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4.xml" ContentType="application/vnd.openxmlformats-officedocument.drawing+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tayro\Desktop\"/>
    </mc:Choice>
  </mc:AlternateContent>
  <xr:revisionPtr revIDLastSave="0" documentId="8_{D1F6C73F-110D-45EA-AFD4-FDF831EE6899}" xr6:coauthVersionLast="47" xr6:coauthVersionMax="47" xr10:uidLastSave="{00000000-0000-0000-0000-000000000000}"/>
  <bookViews>
    <workbookView xWindow="-108" yWindow="-108" windowWidth="23256" windowHeight="13176" firstSheet="3" activeTab="3" xr2:uid="{00000000-000D-0000-FFFF-FFFF00000000}"/>
  </bookViews>
  <sheets>
    <sheet name="Inicio" sheetId="13" r:id="rId1"/>
    <sheet name="CAMPOS" sheetId="17" state="hidden" r:id="rId2"/>
    <sheet name="CONC.RETR" sheetId="2" r:id="rId3"/>
    <sheet name="DATOS" sheetId="4" r:id="rId4"/>
    <sheet name="AGRUPACIONES" sheetId="15" r:id="rId5"/>
    <sheet name="CONTRATOS" sheetId="32" state="hidden" r:id="rId6"/>
    <sheet name="1.1.a.Efect.Prom" sheetId="33" r:id="rId7"/>
    <sheet name="1.2.a.Efect.Mediana" sheetId="42" r:id="rId8"/>
    <sheet name="2.1.a.Equip.Prom" sheetId="41" r:id="rId9"/>
    <sheet name="2.2.a.Equip.Mediana" sheetId="43" r:id="rId10"/>
    <sheet name="1.1.b.Efect.Prom" sheetId="44" r:id="rId11"/>
    <sheet name="1.2.b.Efect.Mediana" sheetId="45" r:id="rId12"/>
    <sheet name="2.1.b.Equip.Prom" sheetId="46" r:id="rId13"/>
    <sheet name="2.2.b.Equip.Mediana" sheetId="47" r:id="rId14"/>
  </sheets>
  <definedNames>
    <definedName name="_xlnm._FilterDatabase" localSheetId="3" hidden="1">DATOS!$A$8:$A$124</definedName>
    <definedName name="_Hlk61886961" localSheetId="1">CAMPOS!$D$54</definedName>
    <definedName name="_TIPO">TblTIPOS_RETRIB[Nombre]</definedName>
    <definedName name="AGR_CL_EMP">TblAGR_CL_EMP[AGRUP. CLAS. PROF. ]</definedName>
    <definedName name="AGR_VAL_PTO">TblAGR_VAL_PTO[AGRUP. VALOR. PTO]</definedName>
    <definedName name="_xlnm.Print_Area" localSheetId="5">CONTRATOS!$A$1:$Q$47</definedName>
    <definedName name="DATOS">DATOS_[]</definedName>
    <definedName name="rngAnualizable">DATOS!$AE$5:$CG$5</definedName>
    <definedName name="rngNombre">DATOS!$AG$6:$CG$6</definedName>
    <definedName name="rngNormalizable">DATOS!$AE$4:$CG$4</definedName>
    <definedName name="RngTipo">DATOS!$AE$3:$CG$3</definedName>
    <definedName name="TblRngEdad" localSheetId="5">CONTRATOS!$M$5:$N$14</definedName>
  </definedNames>
  <calcPr calcId="191028"/>
  <pivotCaches>
    <pivotCache cacheId="0" r:id="rId15"/>
    <pivotCache cacheId="1" r:id="rId1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H9" i="4" l="1"/>
  <c r="CI9" i="4"/>
  <c r="CJ9" i="4"/>
  <c r="CL9" i="4"/>
  <c r="CW9" i="4"/>
  <c r="CX9" i="4"/>
  <c r="CZ9" i="4"/>
  <c r="DB9" i="4"/>
  <c r="DC9" i="4"/>
  <c r="DD9" i="4"/>
  <c r="DH9" i="4" s="1"/>
  <c r="DE9" i="4"/>
  <c r="DI9" i="4" s="1"/>
  <c r="DF9" i="4"/>
  <c r="DG9" i="4"/>
  <c r="CJ27" i="4"/>
  <c r="CJ28" i="4"/>
  <c r="CW27" i="4"/>
  <c r="CW28" i="4"/>
  <c r="CX27" i="4"/>
  <c r="CY27" i="4" s="1"/>
  <c r="CX28" i="4"/>
  <c r="CZ27" i="4"/>
  <c r="CZ28" i="4"/>
  <c r="DC27" i="4"/>
  <c r="DC28" i="4"/>
  <c r="DD27" i="4"/>
  <c r="DH27" i="4" s="1"/>
  <c r="DD28" i="4"/>
  <c r="DE27" i="4"/>
  <c r="DI27" i="4" s="1"/>
  <c r="DE28" i="4"/>
  <c r="DF27" i="4"/>
  <c r="DF28" i="4"/>
  <c r="DG27" i="4"/>
  <c r="DG28" i="4"/>
  <c r="DH28" i="4"/>
  <c r="DI28" i="4"/>
  <c r="BS6" i="4"/>
  <c r="BR6" i="4"/>
  <c r="BQ6" i="4"/>
  <c r="BP6" i="4"/>
  <c r="BJ6" i="4"/>
  <c r="BI6" i="4"/>
  <c r="BS5" i="4"/>
  <c r="BR5" i="4"/>
  <c r="BQ5" i="4"/>
  <c r="BP5" i="4"/>
  <c r="BJ5" i="4"/>
  <c r="BI5" i="4"/>
  <c r="BS4" i="4"/>
  <c r="BR4" i="4"/>
  <c r="BQ4" i="4"/>
  <c r="BP4" i="4"/>
  <c r="BJ4" i="4"/>
  <c r="BI4" i="4"/>
  <c r="BS3" i="4"/>
  <c r="BR3" i="4"/>
  <c r="BQ3" i="4"/>
  <c r="BP3" i="4"/>
  <c r="BJ3" i="4"/>
  <c r="BI3" i="4"/>
  <c r="AZ3" i="4"/>
  <c r="BA3" i="4"/>
  <c r="BB3" i="4"/>
  <c r="AZ4" i="4"/>
  <c r="BA4" i="4"/>
  <c r="BB4" i="4"/>
  <c r="AZ5" i="4"/>
  <c r="BA5" i="4"/>
  <c r="BB5" i="4"/>
  <c r="AZ6" i="4"/>
  <c r="BA6" i="4"/>
  <c r="BB6" i="4"/>
  <c r="AY3" i="4"/>
  <c r="BC3" i="4"/>
  <c r="BD3" i="4"/>
  <c r="BE3" i="4"/>
  <c r="BF3" i="4"/>
  <c r="BG3" i="4"/>
  <c r="BH3" i="4"/>
  <c r="AY4" i="4"/>
  <c r="BC4" i="4"/>
  <c r="BD4" i="4"/>
  <c r="BE4" i="4"/>
  <c r="BF4" i="4"/>
  <c r="BG4" i="4"/>
  <c r="BH4" i="4"/>
  <c r="AY5" i="4"/>
  <c r="BC5" i="4"/>
  <c r="BD5" i="4"/>
  <c r="BE5" i="4"/>
  <c r="BF5" i="4"/>
  <c r="BG5" i="4"/>
  <c r="BH5" i="4"/>
  <c r="AY6" i="4"/>
  <c r="BC6" i="4"/>
  <c r="BD6" i="4"/>
  <c r="BE6" i="4"/>
  <c r="BF6" i="4"/>
  <c r="BG6" i="4"/>
  <c r="BH6" i="4"/>
  <c r="CJ124" i="4"/>
  <c r="CW124" i="4"/>
  <c r="CX124" i="4"/>
  <c r="CY124" i="4" s="1"/>
  <c r="CZ124" i="4"/>
  <c r="DC124" i="4"/>
  <c r="DD124" i="4"/>
  <c r="DH124" i="4" s="1"/>
  <c r="DE124" i="4"/>
  <c r="DI124" i="4" s="1"/>
  <c r="DF124" i="4"/>
  <c r="DG124" i="4"/>
  <c r="CJ123" i="4"/>
  <c r="CW123" i="4"/>
  <c r="CX123" i="4"/>
  <c r="CZ123" i="4"/>
  <c r="DC123" i="4"/>
  <c r="DD123" i="4"/>
  <c r="DH123" i="4" s="1"/>
  <c r="DE123" i="4"/>
  <c r="DI123" i="4" s="1"/>
  <c r="DF123" i="4"/>
  <c r="DG123" i="4"/>
  <c r="CJ122" i="4"/>
  <c r="CW122" i="4"/>
  <c r="CX122" i="4"/>
  <c r="CZ122" i="4"/>
  <c r="DC122" i="4"/>
  <c r="DD122" i="4"/>
  <c r="DH122" i="4" s="1"/>
  <c r="DE122" i="4"/>
  <c r="DI122" i="4" s="1"/>
  <c r="DF122" i="4"/>
  <c r="DG122" i="4"/>
  <c r="CJ121" i="4"/>
  <c r="CW121" i="4"/>
  <c r="CX121" i="4"/>
  <c r="CZ121" i="4"/>
  <c r="DC121" i="4"/>
  <c r="DD121" i="4"/>
  <c r="DH121" i="4" s="1"/>
  <c r="DE121" i="4"/>
  <c r="DI121" i="4" s="1"/>
  <c r="DF121" i="4"/>
  <c r="DG121" i="4"/>
  <c r="DG43" i="4"/>
  <c r="DF43" i="4"/>
  <c r="DE43" i="4"/>
  <c r="DI43" i="4" s="1"/>
  <c r="DD43" i="4"/>
  <c r="DH43" i="4" s="1"/>
  <c r="DC43" i="4"/>
  <c r="CZ43" i="4"/>
  <c r="CX43" i="4"/>
  <c r="CW43" i="4"/>
  <c r="CJ43" i="4"/>
  <c r="CJ120" i="4"/>
  <c r="CW120" i="4"/>
  <c r="CX120" i="4"/>
  <c r="CZ120" i="4"/>
  <c r="DC120" i="4"/>
  <c r="DD120" i="4"/>
  <c r="DH120" i="4" s="1"/>
  <c r="DE120" i="4"/>
  <c r="DI120" i="4" s="1"/>
  <c r="DF120" i="4"/>
  <c r="DG120" i="4"/>
  <c r="CJ119" i="4"/>
  <c r="CW119" i="4"/>
  <c r="CX119" i="4"/>
  <c r="CZ119" i="4"/>
  <c r="DC119" i="4"/>
  <c r="DD119" i="4"/>
  <c r="DH119" i="4" s="1"/>
  <c r="DE119" i="4"/>
  <c r="DI119" i="4" s="1"/>
  <c r="DF119" i="4"/>
  <c r="DG119" i="4"/>
  <c r="CJ118" i="4"/>
  <c r="CW118" i="4"/>
  <c r="CX118" i="4"/>
  <c r="CZ118" i="4"/>
  <c r="DC118" i="4"/>
  <c r="DD118" i="4"/>
  <c r="DH118" i="4" s="1"/>
  <c r="DE118" i="4"/>
  <c r="DI118" i="4" s="1"/>
  <c r="DF118" i="4"/>
  <c r="DG118" i="4"/>
  <c r="CJ117" i="4"/>
  <c r="CW117" i="4"/>
  <c r="CX117" i="4"/>
  <c r="CZ117" i="4"/>
  <c r="DC117" i="4"/>
  <c r="DD117" i="4"/>
  <c r="DH117" i="4" s="1"/>
  <c r="DE117" i="4"/>
  <c r="DI117" i="4" s="1"/>
  <c r="DF117" i="4"/>
  <c r="DG117" i="4"/>
  <c r="CJ116" i="4"/>
  <c r="CW116" i="4"/>
  <c r="CX116" i="4"/>
  <c r="CZ116" i="4"/>
  <c r="DC116" i="4"/>
  <c r="DD116" i="4"/>
  <c r="DH116" i="4" s="1"/>
  <c r="DE116" i="4"/>
  <c r="DI116" i="4" s="1"/>
  <c r="DF116" i="4"/>
  <c r="DG116" i="4"/>
  <c r="CJ115" i="4"/>
  <c r="CW115" i="4"/>
  <c r="CX115" i="4"/>
  <c r="CZ115" i="4"/>
  <c r="DC115" i="4"/>
  <c r="DD115" i="4"/>
  <c r="DH115" i="4" s="1"/>
  <c r="DE115" i="4"/>
  <c r="DI115" i="4" s="1"/>
  <c r="DF115" i="4"/>
  <c r="DG115" i="4"/>
  <c r="CJ114" i="4"/>
  <c r="CW114" i="4"/>
  <c r="CX114" i="4"/>
  <c r="CZ114" i="4"/>
  <c r="DC114" i="4"/>
  <c r="DD114" i="4"/>
  <c r="DH114" i="4" s="1"/>
  <c r="DE114" i="4"/>
  <c r="DI114" i="4" s="1"/>
  <c r="DF114" i="4"/>
  <c r="DG114" i="4"/>
  <c r="CJ113" i="4"/>
  <c r="CW113" i="4"/>
  <c r="CX113" i="4"/>
  <c r="CZ113" i="4"/>
  <c r="DC113" i="4"/>
  <c r="DD113" i="4"/>
  <c r="DH113" i="4" s="1"/>
  <c r="DE113" i="4"/>
  <c r="DI113" i="4" s="1"/>
  <c r="DF113" i="4"/>
  <c r="DG113" i="4"/>
  <c r="CJ112" i="4"/>
  <c r="CW112" i="4"/>
  <c r="CX112" i="4"/>
  <c r="CZ112" i="4"/>
  <c r="DC112" i="4"/>
  <c r="DD112" i="4"/>
  <c r="DH112" i="4" s="1"/>
  <c r="DE112" i="4"/>
  <c r="DI112" i="4" s="1"/>
  <c r="DF112" i="4"/>
  <c r="DG112" i="4"/>
  <c r="CJ82" i="4"/>
  <c r="CW82" i="4"/>
  <c r="CX82" i="4"/>
  <c r="CZ82" i="4"/>
  <c r="DC82" i="4"/>
  <c r="DD82" i="4"/>
  <c r="DH82" i="4" s="1"/>
  <c r="DE82" i="4"/>
  <c r="DI82" i="4" s="1"/>
  <c r="DF82" i="4"/>
  <c r="DG82" i="4"/>
  <c r="CJ29" i="4"/>
  <c r="CW29" i="4"/>
  <c r="CX29" i="4"/>
  <c r="CZ29" i="4"/>
  <c r="DC29" i="4"/>
  <c r="DD29" i="4"/>
  <c r="DH29" i="4" s="1"/>
  <c r="DE29" i="4"/>
  <c r="DI29" i="4" s="1"/>
  <c r="DF29" i="4"/>
  <c r="DG29" i="4"/>
  <c r="CJ89" i="4"/>
  <c r="CW89" i="4"/>
  <c r="CX89" i="4"/>
  <c r="CZ89" i="4"/>
  <c r="DC89" i="4"/>
  <c r="DD89" i="4"/>
  <c r="DH89" i="4" s="1"/>
  <c r="DE89" i="4"/>
  <c r="DI89" i="4" s="1"/>
  <c r="DF89" i="4"/>
  <c r="DG89" i="4"/>
  <c r="DG107" i="4"/>
  <c r="DF107" i="4"/>
  <c r="DE107" i="4"/>
  <c r="DI107" i="4" s="1"/>
  <c r="DD107" i="4"/>
  <c r="DH107" i="4" s="1"/>
  <c r="DC107" i="4"/>
  <c r="CZ107" i="4"/>
  <c r="CX107" i="4"/>
  <c r="CW107" i="4"/>
  <c r="CJ107" i="4"/>
  <c r="CX100" i="4"/>
  <c r="CZ100" i="4"/>
  <c r="CW100" i="4"/>
  <c r="DG100" i="4"/>
  <c r="DF100" i="4"/>
  <c r="DE100" i="4"/>
  <c r="DI100" i="4" s="1"/>
  <c r="DD100" i="4"/>
  <c r="DH100" i="4" s="1"/>
  <c r="DC100" i="4"/>
  <c r="CJ100" i="4"/>
  <c r="DG39" i="4"/>
  <c r="DF39" i="4"/>
  <c r="DE39" i="4"/>
  <c r="DI39" i="4" s="1"/>
  <c r="DD39" i="4"/>
  <c r="DH39" i="4" s="1"/>
  <c r="DC39" i="4"/>
  <c r="CZ39" i="4"/>
  <c r="CX39" i="4"/>
  <c r="CW39" i="4"/>
  <c r="CJ39" i="4"/>
  <c r="DG38" i="4"/>
  <c r="DF38" i="4"/>
  <c r="DE38" i="4"/>
  <c r="DI38" i="4" s="1"/>
  <c r="DD38" i="4"/>
  <c r="DH38" i="4" s="1"/>
  <c r="DC38" i="4"/>
  <c r="CZ38" i="4"/>
  <c r="CX38" i="4"/>
  <c r="CW38" i="4"/>
  <c r="CJ38" i="4"/>
  <c r="DG54" i="4"/>
  <c r="DF54" i="4"/>
  <c r="DE54" i="4"/>
  <c r="DI54" i="4" s="1"/>
  <c r="DD54" i="4"/>
  <c r="DH54" i="4" s="1"/>
  <c r="DC54" i="4"/>
  <c r="CZ54" i="4"/>
  <c r="CX54" i="4"/>
  <c r="CW54" i="4"/>
  <c r="CJ54" i="4"/>
  <c r="DG58" i="4"/>
  <c r="DF58" i="4"/>
  <c r="DE58" i="4"/>
  <c r="DI58" i="4" s="1"/>
  <c r="DD58" i="4"/>
  <c r="DH58" i="4" s="1"/>
  <c r="DC58" i="4"/>
  <c r="CZ58" i="4"/>
  <c r="CX58" i="4"/>
  <c r="CW58" i="4"/>
  <c r="CJ58" i="4"/>
  <c r="DG57" i="4"/>
  <c r="DF57" i="4"/>
  <c r="DE57" i="4"/>
  <c r="DI57" i="4" s="1"/>
  <c r="DD57" i="4"/>
  <c r="DH57" i="4" s="1"/>
  <c r="DC57" i="4"/>
  <c r="CZ57" i="4"/>
  <c r="CX57" i="4"/>
  <c r="CW57" i="4"/>
  <c r="CJ57" i="4"/>
  <c r="DG56" i="4"/>
  <c r="DF56" i="4"/>
  <c r="DE56" i="4"/>
  <c r="DI56" i="4" s="1"/>
  <c r="DD56" i="4"/>
  <c r="DH56" i="4" s="1"/>
  <c r="DC56" i="4"/>
  <c r="CZ56" i="4"/>
  <c r="CX56" i="4"/>
  <c r="CW56" i="4"/>
  <c r="CJ56" i="4"/>
  <c r="DG25" i="4"/>
  <c r="DF25" i="4"/>
  <c r="DE25" i="4"/>
  <c r="DI25" i="4" s="1"/>
  <c r="DD25" i="4"/>
  <c r="DH25" i="4" s="1"/>
  <c r="DC25" i="4"/>
  <c r="CZ25" i="4"/>
  <c r="CX25" i="4"/>
  <c r="CW25" i="4"/>
  <c r="CJ25" i="4"/>
  <c r="DG24" i="4"/>
  <c r="DF24" i="4"/>
  <c r="DE24" i="4"/>
  <c r="DI24" i="4" s="1"/>
  <c r="DD24" i="4"/>
  <c r="DH24" i="4" s="1"/>
  <c r="DC24" i="4"/>
  <c r="CZ24" i="4"/>
  <c r="CX24" i="4"/>
  <c r="CW24" i="4"/>
  <c r="CJ24" i="4"/>
  <c r="CJ95" i="4"/>
  <c r="CW95" i="4"/>
  <c r="CX95" i="4"/>
  <c r="CZ95" i="4"/>
  <c r="DC95" i="4"/>
  <c r="DD95" i="4"/>
  <c r="DH95" i="4" s="1"/>
  <c r="DE95" i="4"/>
  <c r="DI95" i="4" s="1"/>
  <c r="DF95" i="4"/>
  <c r="DG95" i="4"/>
  <c r="CJ96" i="4"/>
  <c r="CW96" i="4"/>
  <c r="CX96" i="4"/>
  <c r="CZ96" i="4"/>
  <c r="DC96" i="4"/>
  <c r="DD96" i="4"/>
  <c r="DH96" i="4" s="1"/>
  <c r="DE96" i="4"/>
  <c r="DI96" i="4" s="1"/>
  <c r="DF96" i="4"/>
  <c r="DG96" i="4"/>
  <c r="CJ97" i="4"/>
  <c r="CW97" i="4"/>
  <c r="CX97" i="4"/>
  <c r="CZ97" i="4"/>
  <c r="DC97" i="4"/>
  <c r="DD97" i="4"/>
  <c r="DH97" i="4" s="1"/>
  <c r="DE97" i="4"/>
  <c r="DI97" i="4" s="1"/>
  <c r="DF97" i="4"/>
  <c r="DG97" i="4"/>
  <c r="CW91" i="4"/>
  <c r="DG91" i="4"/>
  <c r="DF91" i="4"/>
  <c r="DE91" i="4"/>
  <c r="DI91" i="4" s="1"/>
  <c r="DD91" i="4"/>
  <c r="DH91" i="4" s="1"/>
  <c r="DC91" i="4"/>
  <c r="CJ91" i="4"/>
  <c r="CJ62" i="4"/>
  <c r="CW62" i="4"/>
  <c r="CX62" i="4"/>
  <c r="CZ62" i="4"/>
  <c r="DC62" i="4"/>
  <c r="DD62" i="4"/>
  <c r="DH62" i="4" s="1"/>
  <c r="DE62" i="4"/>
  <c r="DI62" i="4" s="1"/>
  <c r="DF62" i="4"/>
  <c r="DG62" i="4"/>
  <c r="CJ63" i="4"/>
  <c r="CW63" i="4"/>
  <c r="CX63" i="4"/>
  <c r="CZ63" i="4"/>
  <c r="DC63" i="4"/>
  <c r="DD63" i="4"/>
  <c r="DH63" i="4" s="1"/>
  <c r="DE63" i="4"/>
  <c r="DI63" i="4" s="1"/>
  <c r="DF63" i="4"/>
  <c r="DG63" i="4"/>
  <c r="CJ61" i="4"/>
  <c r="CW61" i="4"/>
  <c r="CX61" i="4"/>
  <c r="CZ61" i="4"/>
  <c r="DC61" i="4"/>
  <c r="DD61" i="4"/>
  <c r="DH61" i="4" s="1"/>
  <c r="DE61" i="4"/>
  <c r="DI61" i="4" s="1"/>
  <c r="DF61" i="4"/>
  <c r="DG61" i="4"/>
  <c r="CY114" i="4" l="1"/>
  <c r="DA114" i="4" s="1"/>
  <c r="CY121" i="4"/>
  <c r="DA121" i="4" s="1"/>
  <c r="CY28" i="4"/>
  <c r="DA28" i="4" s="1"/>
  <c r="CY9" i="4"/>
  <c r="DA9" i="4" s="1"/>
  <c r="CY116" i="4"/>
  <c r="CY120" i="4"/>
  <c r="DA120" i="4" s="1"/>
  <c r="CK9" i="4"/>
  <c r="DA27" i="4"/>
  <c r="CY115" i="4"/>
  <c r="DA115" i="4" s="1"/>
  <c r="CY122" i="4"/>
  <c r="DA122" i="4" s="1"/>
  <c r="DA124" i="4"/>
  <c r="CY123" i="4"/>
  <c r="DA123" i="4" s="1"/>
  <c r="CY117" i="4"/>
  <c r="DA117" i="4" s="1"/>
  <c r="CY43" i="4"/>
  <c r="DA43" i="4" s="1"/>
  <c r="CY119" i="4"/>
  <c r="DA119" i="4" s="1"/>
  <c r="CY118" i="4"/>
  <c r="DA118" i="4" s="1"/>
  <c r="DA116" i="4"/>
  <c r="CY113" i="4"/>
  <c r="DA113" i="4" s="1"/>
  <c r="CY112" i="4"/>
  <c r="DA112" i="4" s="1"/>
  <c r="CY82" i="4"/>
  <c r="DA82" i="4" s="1"/>
  <c r="CY29" i="4"/>
  <c r="DA29" i="4" s="1"/>
  <c r="CY89" i="4"/>
  <c r="CY107" i="4"/>
  <c r="DA107" i="4" s="1"/>
  <c r="CY100" i="4"/>
  <c r="DA100" i="4" s="1"/>
  <c r="CY38" i="4"/>
  <c r="DA38" i="4" s="1"/>
  <c r="CY39" i="4"/>
  <c r="DA39" i="4" s="1"/>
  <c r="CY54" i="4"/>
  <c r="DA54" i="4" s="1"/>
  <c r="CY57" i="4"/>
  <c r="DA57" i="4" s="1"/>
  <c r="CY56" i="4"/>
  <c r="DA56" i="4" s="1"/>
  <c r="CY58" i="4"/>
  <c r="DA58" i="4" s="1"/>
  <c r="CY95" i="4"/>
  <c r="DA95" i="4" s="1"/>
  <c r="CY25" i="4"/>
  <c r="DA25" i="4" s="1"/>
  <c r="CY24" i="4"/>
  <c r="DA24" i="4" s="1"/>
  <c r="CY97" i="4"/>
  <c r="DA97" i="4" s="1"/>
  <c r="CY96" i="4"/>
  <c r="DA96" i="4" s="1"/>
  <c r="CX91" i="4"/>
  <c r="CY91" i="4" s="1"/>
  <c r="CZ91" i="4"/>
  <c r="CY62" i="4"/>
  <c r="DA62" i="4" s="1"/>
  <c r="CY63" i="4"/>
  <c r="DA63" i="4" s="1"/>
  <c r="CY61" i="4"/>
  <c r="DA61" i="4" s="1"/>
  <c r="CJ101" i="4"/>
  <c r="CJ102" i="4"/>
  <c r="CJ103" i="4"/>
  <c r="CJ104" i="4"/>
  <c r="CJ105" i="4"/>
  <c r="CJ106" i="4"/>
  <c r="CJ108" i="4"/>
  <c r="CJ109" i="4"/>
  <c r="CJ110" i="4"/>
  <c r="CJ111" i="4"/>
  <c r="CW101" i="4"/>
  <c r="CW102" i="4"/>
  <c r="CW103" i="4"/>
  <c r="CW104" i="4"/>
  <c r="CW105" i="4"/>
  <c r="CW106" i="4"/>
  <c r="CW108" i="4"/>
  <c r="CW109" i="4"/>
  <c r="CW110" i="4"/>
  <c r="CW111" i="4"/>
  <c r="CX101" i="4"/>
  <c r="CX102" i="4"/>
  <c r="CX103" i="4"/>
  <c r="CX104" i="4"/>
  <c r="CX105" i="4"/>
  <c r="CX106" i="4"/>
  <c r="CX108" i="4"/>
  <c r="CX109" i="4"/>
  <c r="CX110" i="4"/>
  <c r="CX111" i="4"/>
  <c r="CZ101" i="4"/>
  <c r="CZ102" i="4"/>
  <c r="CZ103" i="4"/>
  <c r="CZ104" i="4"/>
  <c r="CZ105" i="4"/>
  <c r="CZ106" i="4"/>
  <c r="CZ108" i="4"/>
  <c r="CZ109" i="4"/>
  <c r="CZ110" i="4"/>
  <c r="CZ111" i="4"/>
  <c r="DC101" i="4"/>
  <c r="DC102" i="4"/>
  <c r="DC103" i="4"/>
  <c r="DC104" i="4"/>
  <c r="DC105" i="4"/>
  <c r="DC106" i="4"/>
  <c r="DC108" i="4"/>
  <c r="DC109" i="4"/>
  <c r="DC110" i="4"/>
  <c r="DC111" i="4"/>
  <c r="DD101" i="4"/>
  <c r="DH101" i="4" s="1"/>
  <c r="DD102" i="4"/>
  <c r="DH102" i="4" s="1"/>
  <c r="DD103" i="4"/>
  <c r="DH103" i="4" s="1"/>
  <c r="DD104" i="4"/>
  <c r="DH104" i="4" s="1"/>
  <c r="DD105" i="4"/>
  <c r="DH105" i="4" s="1"/>
  <c r="DD106" i="4"/>
  <c r="DH106" i="4" s="1"/>
  <c r="DD108" i="4"/>
  <c r="DH108" i="4" s="1"/>
  <c r="DD109" i="4"/>
  <c r="DH109" i="4" s="1"/>
  <c r="DD110" i="4"/>
  <c r="DH110" i="4" s="1"/>
  <c r="DD111" i="4"/>
  <c r="DH111" i="4" s="1"/>
  <c r="DE101" i="4"/>
  <c r="DI101" i="4" s="1"/>
  <c r="DE102" i="4"/>
  <c r="DI102" i="4" s="1"/>
  <c r="DE103" i="4"/>
  <c r="DI103" i="4" s="1"/>
  <c r="DE104" i="4"/>
  <c r="DI104" i="4" s="1"/>
  <c r="DE105" i="4"/>
  <c r="DI105" i="4" s="1"/>
  <c r="DE106" i="4"/>
  <c r="DI106" i="4" s="1"/>
  <c r="DE108" i="4"/>
  <c r="DI108" i="4" s="1"/>
  <c r="DE109" i="4"/>
  <c r="DI109" i="4" s="1"/>
  <c r="DE110" i="4"/>
  <c r="DI110" i="4" s="1"/>
  <c r="DE111" i="4"/>
  <c r="DI111" i="4" s="1"/>
  <c r="DF101" i="4"/>
  <c r="DF102" i="4"/>
  <c r="DF103" i="4"/>
  <c r="DF104" i="4"/>
  <c r="DF105" i="4"/>
  <c r="DF106" i="4"/>
  <c r="DF108" i="4"/>
  <c r="DF109" i="4"/>
  <c r="DF110" i="4"/>
  <c r="DF111" i="4"/>
  <c r="DG101" i="4"/>
  <c r="DG102" i="4"/>
  <c r="DG103" i="4"/>
  <c r="DG104" i="4"/>
  <c r="DG105" i="4"/>
  <c r="DG106" i="4"/>
  <c r="DG108" i="4"/>
  <c r="DG109" i="4"/>
  <c r="DG110" i="4"/>
  <c r="DG111" i="4"/>
  <c r="CJ52" i="4"/>
  <c r="CJ53" i="4"/>
  <c r="CJ55" i="4"/>
  <c r="CJ59" i="4"/>
  <c r="CJ60" i="4"/>
  <c r="CJ64" i="4"/>
  <c r="CJ65" i="4"/>
  <c r="CJ66" i="4"/>
  <c r="CJ67" i="4"/>
  <c r="CJ68" i="4"/>
  <c r="CJ69" i="4"/>
  <c r="CJ70" i="4"/>
  <c r="CJ71" i="4"/>
  <c r="CJ72" i="4"/>
  <c r="CJ73" i="4"/>
  <c r="CJ74" i="4"/>
  <c r="CJ75" i="4"/>
  <c r="CJ76" i="4"/>
  <c r="CJ77" i="4"/>
  <c r="CJ78" i="4"/>
  <c r="CJ79" i="4"/>
  <c r="CJ80" i="4"/>
  <c r="CJ81" i="4"/>
  <c r="CJ83" i="4"/>
  <c r="CJ84" i="4"/>
  <c r="CJ85" i="4"/>
  <c r="CJ86" i="4"/>
  <c r="CJ87" i="4"/>
  <c r="CJ88" i="4"/>
  <c r="CJ90" i="4"/>
  <c r="CJ92" i="4"/>
  <c r="CJ93" i="4"/>
  <c r="CJ94" i="4"/>
  <c r="CJ98" i="4"/>
  <c r="CJ99" i="4"/>
  <c r="CW52" i="4"/>
  <c r="CW53" i="4"/>
  <c r="CW55" i="4"/>
  <c r="CW59" i="4"/>
  <c r="CW60" i="4"/>
  <c r="CW64" i="4"/>
  <c r="CW65" i="4"/>
  <c r="CW66" i="4"/>
  <c r="CW67" i="4"/>
  <c r="CW68" i="4"/>
  <c r="CW69" i="4"/>
  <c r="CW70" i="4"/>
  <c r="CW71" i="4"/>
  <c r="CW72" i="4"/>
  <c r="CW73" i="4"/>
  <c r="CW74" i="4"/>
  <c r="CW75" i="4"/>
  <c r="CW76" i="4"/>
  <c r="CW77" i="4"/>
  <c r="CW78" i="4"/>
  <c r="CW79" i="4"/>
  <c r="CW80" i="4"/>
  <c r="CW81" i="4"/>
  <c r="CW83" i="4"/>
  <c r="CW84" i="4"/>
  <c r="CW85" i="4"/>
  <c r="CW86" i="4"/>
  <c r="CW87" i="4"/>
  <c r="CW88" i="4"/>
  <c r="CW90" i="4"/>
  <c r="CW92" i="4"/>
  <c r="CW93" i="4"/>
  <c r="CW94" i="4"/>
  <c r="CW98" i="4"/>
  <c r="CW99" i="4"/>
  <c r="CX52" i="4"/>
  <c r="CX53" i="4"/>
  <c r="CX55" i="4"/>
  <c r="CX59" i="4"/>
  <c r="CX60" i="4"/>
  <c r="CX64" i="4"/>
  <c r="CX65" i="4"/>
  <c r="CX66" i="4"/>
  <c r="CX67" i="4"/>
  <c r="CX68" i="4"/>
  <c r="CX69" i="4"/>
  <c r="CX70" i="4"/>
  <c r="CX71" i="4"/>
  <c r="CX72" i="4"/>
  <c r="CX73" i="4"/>
  <c r="CX74" i="4"/>
  <c r="CX75" i="4"/>
  <c r="CX76" i="4"/>
  <c r="CX77" i="4"/>
  <c r="CX78" i="4"/>
  <c r="CX79" i="4"/>
  <c r="CX80" i="4"/>
  <c r="CX81" i="4"/>
  <c r="CX83" i="4"/>
  <c r="CX84" i="4"/>
  <c r="CX85" i="4"/>
  <c r="CX86" i="4"/>
  <c r="CX87" i="4"/>
  <c r="CX88" i="4"/>
  <c r="CX90" i="4"/>
  <c r="CX92" i="4"/>
  <c r="CX93" i="4"/>
  <c r="CX94" i="4"/>
  <c r="CX98" i="4"/>
  <c r="CX99" i="4"/>
  <c r="CZ52" i="4"/>
  <c r="CZ53" i="4"/>
  <c r="CZ55" i="4"/>
  <c r="CZ59" i="4"/>
  <c r="CZ60" i="4"/>
  <c r="CZ64" i="4"/>
  <c r="CZ65" i="4"/>
  <c r="CZ66" i="4"/>
  <c r="CZ67" i="4"/>
  <c r="CZ68" i="4"/>
  <c r="CZ69" i="4"/>
  <c r="CZ70" i="4"/>
  <c r="CZ71" i="4"/>
  <c r="CZ72" i="4"/>
  <c r="CZ73" i="4"/>
  <c r="CZ74" i="4"/>
  <c r="CZ75" i="4"/>
  <c r="CZ76" i="4"/>
  <c r="CZ77" i="4"/>
  <c r="CZ78" i="4"/>
  <c r="CZ79" i="4"/>
  <c r="CZ80" i="4"/>
  <c r="CZ81" i="4"/>
  <c r="CZ83" i="4"/>
  <c r="CZ84" i="4"/>
  <c r="CZ85" i="4"/>
  <c r="CZ86" i="4"/>
  <c r="CZ87" i="4"/>
  <c r="CZ88" i="4"/>
  <c r="CZ90" i="4"/>
  <c r="CZ92" i="4"/>
  <c r="CZ93" i="4"/>
  <c r="CZ94" i="4"/>
  <c r="CZ98" i="4"/>
  <c r="CZ99" i="4"/>
  <c r="DC52" i="4"/>
  <c r="DC53" i="4"/>
  <c r="DC55" i="4"/>
  <c r="DC59" i="4"/>
  <c r="DC60" i="4"/>
  <c r="DC64" i="4"/>
  <c r="DC65" i="4"/>
  <c r="DC66" i="4"/>
  <c r="DC67" i="4"/>
  <c r="DC68" i="4"/>
  <c r="DC69" i="4"/>
  <c r="DC70" i="4"/>
  <c r="DC71" i="4"/>
  <c r="DC72" i="4"/>
  <c r="DC73" i="4"/>
  <c r="DC74" i="4"/>
  <c r="DC75" i="4"/>
  <c r="DC76" i="4"/>
  <c r="DC77" i="4"/>
  <c r="DC78" i="4"/>
  <c r="DC79" i="4"/>
  <c r="DC80" i="4"/>
  <c r="DC81" i="4"/>
  <c r="DC83" i="4"/>
  <c r="DC84" i="4"/>
  <c r="DC85" i="4"/>
  <c r="DC86" i="4"/>
  <c r="DC87" i="4"/>
  <c r="DC88" i="4"/>
  <c r="DC90" i="4"/>
  <c r="DC92" i="4"/>
  <c r="DC93" i="4"/>
  <c r="DC94" i="4"/>
  <c r="DC98" i="4"/>
  <c r="DC99" i="4"/>
  <c r="DD52" i="4"/>
  <c r="DH52" i="4" s="1"/>
  <c r="DD53" i="4"/>
  <c r="DH53" i="4" s="1"/>
  <c r="DD55" i="4"/>
  <c r="DH55" i="4" s="1"/>
  <c r="DD59" i="4"/>
  <c r="DH59" i="4" s="1"/>
  <c r="DD60" i="4"/>
  <c r="DH60" i="4" s="1"/>
  <c r="DD64" i="4"/>
  <c r="DH64" i="4" s="1"/>
  <c r="DD65" i="4"/>
  <c r="DH65" i="4" s="1"/>
  <c r="DD66" i="4"/>
  <c r="DH66" i="4" s="1"/>
  <c r="DD67" i="4"/>
  <c r="DH67" i="4" s="1"/>
  <c r="DD68" i="4"/>
  <c r="DH68" i="4" s="1"/>
  <c r="DD69" i="4"/>
  <c r="DH69" i="4" s="1"/>
  <c r="DD70" i="4"/>
  <c r="DH70" i="4" s="1"/>
  <c r="DD71" i="4"/>
  <c r="DH71" i="4" s="1"/>
  <c r="DD72" i="4"/>
  <c r="DH72" i="4" s="1"/>
  <c r="DD73" i="4"/>
  <c r="DH73" i="4" s="1"/>
  <c r="DD74" i="4"/>
  <c r="DH74" i="4" s="1"/>
  <c r="DD75" i="4"/>
  <c r="DH75" i="4" s="1"/>
  <c r="DD76" i="4"/>
  <c r="DH76" i="4" s="1"/>
  <c r="DD77" i="4"/>
  <c r="DH77" i="4" s="1"/>
  <c r="DD78" i="4"/>
  <c r="DH78" i="4" s="1"/>
  <c r="DD79" i="4"/>
  <c r="DH79" i="4" s="1"/>
  <c r="DD80" i="4"/>
  <c r="DH80" i="4" s="1"/>
  <c r="DD81" i="4"/>
  <c r="DH81" i="4" s="1"/>
  <c r="DD83" i="4"/>
  <c r="DH83" i="4" s="1"/>
  <c r="DD84" i="4"/>
  <c r="DH84" i="4" s="1"/>
  <c r="DD85" i="4"/>
  <c r="DH85" i="4" s="1"/>
  <c r="DD86" i="4"/>
  <c r="DH86" i="4" s="1"/>
  <c r="DD87" i="4"/>
  <c r="DH87" i="4" s="1"/>
  <c r="DD88" i="4"/>
  <c r="DH88" i="4" s="1"/>
  <c r="DD90" i="4"/>
  <c r="DD92" i="4"/>
  <c r="DH92" i="4" s="1"/>
  <c r="DD93" i="4"/>
  <c r="DH93" i="4" s="1"/>
  <c r="DD94" i="4"/>
  <c r="DH94" i="4" s="1"/>
  <c r="DD98" i="4"/>
  <c r="DH98" i="4" s="1"/>
  <c r="DD99" i="4"/>
  <c r="DH99" i="4" s="1"/>
  <c r="DE52" i="4"/>
  <c r="DI52" i="4" s="1"/>
  <c r="DE53" i="4"/>
  <c r="DI53" i="4" s="1"/>
  <c r="DE55" i="4"/>
  <c r="DI55" i="4" s="1"/>
  <c r="DE59" i="4"/>
  <c r="DI59" i="4" s="1"/>
  <c r="DE60" i="4"/>
  <c r="DI60" i="4" s="1"/>
  <c r="DE64" i="4"/>
  <c r="DI64" i="4" s="1"/>
  <c r="DE65" i="4"/>
  <c r="DI65" i="4" s="1"/>
  <c r="DE66" i="4"/>
  <c r="DI66" i="4" s="1"/>
  <c r="DE67" i="4"/>
  <c r="DI67" i="4" s="1"/>
  <c r="DE68" i="4"/>
  <c r="DI68" i="4" s="1"/>
  <c r="DE69" i="4"/>
  <c r="DI69" i="4" s="1"/>
  <c r="DE70" i="4"/>
  <c r="DI70" i="4" s="1"/>
  <c r="DE71" i="4"/>
  <c r="DI71" i="4" s="1"/>
  <c r="DE72" i="4"/>
  <c r="DI72" i="4" s="1"/>
  <c r="DE73" i="4"/>
  <c r="DI73" i="4" s="1"/>
  <c r="DE74" i="4"/>
  <c r="DI74" i="4" s="1"/>
  <c r="DE75" i="4"/>
  <c r="DI75" i="4" s="1"/>
  <c r="DE76" i="4"/>
  <c r="DI76" i="4" s="1"/>
  <c r="DE77" i="4"/>
  <c r="DI77" i="4" s="1"/>
  <c r="DE78" i="4"/>
  <c r="DI78" i="4" s="1"/>
  <c r="DE79" i="4"/>
  <c r="DI79" i="4" s="1"/>
  <c r="DE80" i="4"/>
  <c r="DI80" i="4" s="1"/>
  <c r="DE81" i="4"/>
  <c r="DI81" i="4" s="1"/>
  <c r="DE83" i="4"/>
  <c r="DI83" i="4" s="1"/>
  <c r="DE84" i="4"/>
  <c r="DI84" i="4" s="1"/>
  <c r="DE85" i="4"/>
  <c r="DI85" i="4" s="1"/>
  <c r="DE86" i="4"/>
  <c r="DI86" i="4" s="1"/>
  <c r="DE87" i="4"/>
  <c r="DI87" i="4" s="1"/>
  <c r="DE88" i="4"/>
  <c r="DI88" i="4" s="1"/>
  <c r="DE90" i="4"/>
  <c r="DE92" i="4"/>
  <c r="DI92" i="4" s="1"/>
  <c r="DE93" i="4"/>
  <c r="DI93" i="4" s="1"/>
  <c r="DE94" i="4"/>
  <c r="DI94" i="4" s="1"/>
  <c r="DE98" i="4"/>
  <c r="DI98" i="4" s="1"/>
  <c r="DE99" i="4"/>
  <c r="DI99" i="4" s="1"/>
  <c r="DF52" i="4"/>
  <c r="DF53" i="4"/>
  <c r="DF55" i="4"/>
  <c r="DF59" i="4"/>
  <c r="DF60" i="4"/>
  <c r="DF64" i="4"/>
  <c r="DF65" i="4"/>
  <c r="DF66" i="4"/>
  <c r="DF67" i="4"/>
  <c r="DF68" i="4"/>
  <c r="DF69" i="4"/>
  <c r="DF70" i="4"/>
  <c r="DF71" i="4"/>
  <c r="DF72" i="4"/>
  <c r="DF73" i="4"/>
  <c r="DF74" i="4"/>
  <c r="DF75" i="4"/>
  <c r="DF76" i="4"/>
  <c r="DF77" i="4"/>
  <c r="DF78" i="4"/>
  <c r="DF79" i="4"/>
  <c r="DF80" i="4"/>
  <c r="DF81" i="4"/>
  <c r="DF83" i="4"/>
  <c r="DF84" i="4"/>
  <c r="DF85" i="4"/>
  <c r="DF86" i="4"/>
  <c r="DF87" i="4"/>
  <c r="DF88" i="4"/>
  <c r="DF90" i="4"/>
  <c r="DF92" i="4"/>
  <c r="DF93" i="4"/>
  <c r="DF94" i="4"/>
  <c r="DF98" i="4"/>
  <c r="DF99" i="4"/>
  <c r="DG52" i="4"/>
  <c r="DG53" i="4"/>
  <c r="DG55" i="4"/>
  <c r="DG59" i="4"/>
  <c r="DG60" i="4"/>
  <c r="DG64" i="4"/>
  <c r="DG65" i="4"/>
  <c r="DG66" i="4"/>
  <c r="DG67" i="4"/>
  <c r="DG68" i="4"/>
  <c r="DG69" i="4"/>
  <c r="DG70" i="4"/>
  <c r="DG71" i="4"/>
  <c r="DG72" i="4"/>
  <c r="DG73" i="4"/>
  <c r="DG74" i="4"/>
  <c r="DG75" i="4"/>
  <c r="DG76" i="4"/>
  <c r="DG77" i="4"/>
  <c r="DG78" i="4"/>
  <c r="DG79" i="4"/>
  <c r="DG80" i="4"/>
  <c r="DG81" i="4"/>
  <c r="DG83" i="4"/>
  <c r="DG84" i="4"/>
  <c r="DG85" i="4"/>
  <c r="DG86" i="4"/>
  <c r="DG87" i="4"/>
  <c r="DG88" i="4"/>
  <c r="DG90" i="4"/>
  <c r="DG92" i="4"/>
  <c r="DG93" i="4"/>
  <c r="DG94" i="4"/>
  <c r="DG98" i="4"/>
  <c r="DG99" i="4"/>
  <c r="CJ23" i="4"/>
  <c r="CJ26" i="4"/>
  <c r="CJ30" i="4"/>
  <c r="CJ31" i="4"/>
  <c r="CJ32" i="4"/>
  <c r="CJ33" i="4"/>
  <c r="CJ34" i="4"/>
  <c r="CJ35" i="4"/>
  <c r="CJ36" i="4"/>
  <c r="CJ37" i="4"/>
  <c r="CJ40" i="4"/>
  <c r="CJ41" i="4"/>
  <c r="CJ42" i="4"/>
  <c r="CJ44" i="4"/>
  <c r="CJ45" i="4"/>
  <c r="CJ46" i="4"/>
  <c r="CJ47" i="4"/>
  <c r="CJ48" i="4"/>
  <c r="CJ49" i="4"/>
  <c r="CJ50" i="4"/>
  <c r="CJ51" i="4"/>
  <c r="CW23" i="4"/>
  <c r="CW26" i="4"/>
  <c r="CW30" i="4"/>
  <c r="CW31" i="4"/>
  <c r="CW32" i="4"/>
  <c r="CW33" i="4"/>
  <c r="CW34" i="4"/>
  <c r="CW35" i="4"/>
  <c r="CW36" i="4"/>
  <c r="CW37" i="4"/>
  <c r="CW40" i="4"/>
  <c r="CW41" i="4"/>
  <c r="CW42" i="4"/>
  <c r="CW44" i="4"/>
  <c r="CW45" i="4"/>
  <c r="CW46" i="4"/>
  <c r="CW47" i="4"/>
  <c r="CW48" i="4"/>
  <c r="CW49" i="4"/>
  <c r="CW50" i="4"/>
  <c r="CW51" i="4"/>
  <c r="CX23" i="4"/>
  <c r="CX26" i="4"/>
  <c r="CX30" i="4"/>
  <c r="CX31" i="4"/>
  <c r="CX32" i="4"/>
  <c r="CX33" i="4"/>
  <c r="CX34" i="4"/>
  <c r="CX35" i="4"/>
  <c r="CX36" i="4"/>
  <c r="CX37" i="4"/>
  <c r="CX40" i="4"/>
  <c r="CX41" i="4"/>
  <c r="CX42" i="4"/>
  <c r="CX44" i="4"/>
  <c r="CX45" i="4"/>
  <c r="CX46" i="4"/>
  <c r="CX47" i="4"/>
  <c r="CX48" i="4"/>
  <c r="CX49" i="4"/>
  <c r="CX50" i="4"/>
  <c r="CX51" i="4"/>
  <c r="CZ23" i="4"/>
  <c r="CZ26" i="4"/>
  <c r="CZ30" i="4"/>
  <c r="CZ31" i="4"/>
  <c r="CZ32" i="4"/>
  <c r="CZ33" i="4"/>
  <c r="CZ34" i="4"/>
  <c r="CZ35" i="4"/>
  <c r="CZ36" i="4"/>
  <c r="CZ37" i="4"/>
  <c r="CZ40" i="4"/>
  <c r="CZ41" i="4"/>
  <c r="CZ42" i="4"/>
  <c r="CZ44" i="4"/>
  <c r="CZ45" i="4"/>
  <c r="CZ46" i="4"/>
  <c r="CZ47" i="4"/>
  <c r="CZ48" i="4"/>
  <c r="CZ49" i="4"/>
  <c r="CZ50" i="4"/>
  <c r="CZ51" i="4"/>
  <c r="DC23" i="4"/>
  <c r="DC26" i="4"/>
  <c r="DC30" i="4"/>
  <c r="DC31" i="4"/>
  <c r="DC32" i="4"/>
  <c r="DC33" i="4"/>
  <c r="DC34" i="4"/>
  <c r="DC35" i="4"/>
  <c r="DC36" i="4"/>
  <c r="DC37" i="4"/>
  <c r="DC40" i="4"/>
  <c r="DC41" i="4"/>
  <c r="DC42" i="4"/>
  <c r="DC44" i="4"/>
  <c r="DC45" i="4"/>
  <c r="DC46" i="4"/>
  <c r="DC47" i="4"/>
  <c r="DC48" i="4"/>
  <c r="DC49" i="4"/>
  <c r="DC50" i="4"/>
  <c r="DC51" i="4"/>
  <c r="DD23" i="4"/>
  <c r="DH23" i="4" s="1"/>
  <c r="DD26" i="4"/>
  <c r="DH26" i="4" s="1"/>
  <c r="DD30" i="4"/>
  <c r="DH30" i="4" s="1"/>
  <c r="DD31" i="4"/>
  <c r="DH31" i="4" s="1"/>
  <c r="DD32" i="4"/>
  <c r="DH32" i="4" s="1"/>
  <c r="DD33" i="4"/>
  <c r="DH33" i="4" s="1"/>
  <c r="DD34" i="4"/>
  <c r="DH34" i="4" s="1"/>
  <c r="DD35" i="4"/>
  <c r="DH35" i="4" s="1"/>
  <c r="DD36" i="4"/>
  <c r="DH36" i="4" s="1"/>
  <c r="DD37" i="4"/>
  <c r="DH37" i="4" s="1"/>
  <c r="DD40" i="4"/>
  <c r="DH40" i="4" s="1"/>
  <c r="DD41" i="4"/>
  <c r="DH41" i="4" s="1"/>
  <c r="DD42" i="4"/>
  <c r="DH42" i="4" s="1"/>
  <c r="DD44" i="4"/>
  <c r="DH44" i="4" s="1"/>
  <c r="DD45" i="4"/>
  <c r="DH45" i="4" s="1"/>
  <c r="DD46" i="4"/>
  <c r="DH46" i="4" s="1"/>
  <c r="DD47" i="4"/>
  <c r="DH47" i="4" s="1"/>
  <c r="DD48" i="4"/>
  <c r="DH48" i="4" s="1"/>
  <c r="DD49" i="4"/>
  <c r="DH49" i="4" s="1"/>
  <c r="DD50" i="4"/>
  <c r="DH50" i="4" s="1"/>
  <c r="DD51" i="4"/>
  <c r="DH51" i="4" s="1"/>
  <c r="DE23" i="4"/>
  <c r="DI23" i="4" s="1"/>
  <c r="DE26" i="4"/>
  <c r="DI26" i="4" s="1"/>
  <c r="DE30" i="4"/>
  <c r="DI30" i="4" s="1"/>
  <c r="DE31" i="4"/>
  <c r="DI31" i="4" s="1"/>
  <c r="DE32" i="4"/>
  <c r="DI32" i="4" s="1"/>
  <c r="DE33" i="4"/>
  <c r="DI33" i="4" s="1"/>
  <c r="DE34" i="4"/>
  <c r="DI34" i="4" s="1"/>
  <c r="DE35" i="4"/>
  <c r="DI35" i="4" s="1"/>
  <c r="DE36" i="4"/>
  <c r="DI36" i="4" s="1"/>
  <c r="DE37" i="4"/>
  <c r="DI37" i="4" s="1"/>
  <c r="DE40" i="4"/>
  <c r="DI40" i="4" s="1"/>
  <c r="DE41" i="4"/>
  <c r="DI41" i="4" s="1"/>
  <c r="DE42" i="4"/>
  <c r="DI42" i="4" s="1"/>
  <c r="DE44" i="4"/>
  <c r="DI44" i="4" s="1"/>
  <c r="DE45" i="4"/>
  <c r="DI45" i="4" s="1"/>
  <c r="DE46" i="4"/>
  <c r="DI46" i="4" s="1"/>
  <c r="DE47" i="4"/>
  <c r="DI47" i="4" s="1"/>
  <c r="DE48" i="4"/>
  <c r="DI48" i="4" s="1"/>
  <c r="DE49" i="4"/>
  <c r="DI49" i="4" s="1"/>
  <c r="DE50" i="4"/>
  <c r="DI50" i="4" s="1"/>
  <c r="DE51" i="4"/>
  <c r="DI51" i="4" s="1"/>
  <c r="DF23" i="4"/>
  <c r="DF26" i="4"/>
  <c r="DF30" i="4"/>
  <c r="DF31" i="4"/>
  <c r="DF32" i="4"/>
  <c r="DF33" i="4"/>
  <c r="DF34" i="4"/>
  <c r="DF35" i="4"/>
  <c r="DF36" i="4"/>
  <c r="DF37" i="4"/>
  <c r="DF40" i="4"/>
  <c r="DF41" i="4"/>
  <c r="DF42" i="4"/>
  <c r="DF44" i="4"/>
  <c r="DF45" i="4"/>
  <c r="DF46" i="4"/>
  <c r="DF47" i="4"/>
  <c r="DF48" i="4"/>
  <c r="DF49" i="4"/>
  <c r="DF50" i="4"/>
  <c r="DF51" i="4"/>
  <c r="DG23" i="4"/>
  <c r="DG26" i="4"/>
  <c r="DG30" i="4"/>
  <c r="DG31" i="4"/>
  <c r="DG32" i="4"/>
  <c r="DG33" i="4"/>
  <c r="DG34" i="4"/>
  <c r="DG35" i="4"/>
  <c r="DG36" i="4"/>
  <c r="DG37" i="4"/>
  <c r="DG40" i="4"/>
  <c r="DG41" i="4"/>
  <c r="DG42" i="4"/>
  <c r="DG44" i="4"/>
  <c r="DG45" i="4"/>
  <c r="DG46" i="4"/>
  <c r="DG47" i="4"/>
  <c r="DG48" i="4"/>
  <c r="DG49" i="4"/>
  <c r="DG50" i="4"/>
  <c r="DG51" i="4"/>
  <c r="CJ10" i="4"/>
  <c r="CJ11" i="4"/>
  <c r="CJ12" i="4"/>
  <c r="CJ13" i="4"/>
  <c r="CJ14" i="4"/>
  <c r="CJ15" i="4"/>
  <c r="CJ16" i="4"/>
  <c r="CJ17" i="4"/>
  <c r="CJ18" i="4"/>
  <c r="CJ19" i="4"/>
  <c r="CJ20" i="4"/>
  <c r="CJ21" i="4"/>
  <c r="CJ22" i="4"/>
  <c r="CW10" i="4"/>
  <c r="CW11" i="4"/>
  <c r="CW12" i="4"/>
  <c r="CW13" i="4"/>
  <c r="CW14" i="4"/>
  <c r="CW15" i="4"/>
  <c r="CW16" i="4"/>
  <c r="CW17" i="4"/>
  <c r="CW18" i="4"/>
  <c r="CW19" i="4"/>
  <c r="CW20" i="4"/>
  <c r="CW21" i="4"/>
  <c r="CW22" i="4"/>
  <c r="CX10" i="4"/>
  <c r="CX11" i="4"/>
  <c r="CX12" i="4"/>
  <c r="CX13" i="4"/>
  <c r="CX14" i="4"/>
  <c r="CX15" i="4"/>
  <c r="CX16" i="4"/>
  <c r="CX17" i="4"/>
  <c r="CX18" i="4"/>
  <c r="CX19" i="4"/>
  <c r="CX20" i="4"/>
  <c r="CX21" i="4"/>
  <c r="CX22" i="4"/>
  <c r="CZ10" i="4"/>
  <c r="CZ11" i="4"/>
  <c r="CZ12" i="4"/>
  <c r="CZ13" i="4"/>
  <c r="CZ14" i="4"/>
  <c r="CZ15" i="4"/>
  <c r="CZ16" i="4"/>
  <c r="CZ17" i="4"/>
  <c r="CZ18" i="4"/>
  <c r="CZ19" i="4"/>
  <c r="CZ20" i="4"/>
  <c r="CZ21" i="4"/>
  <c r="CZ22" i="4"/>
  <c r="DC10" i="4"/>
  <c r="DC11" i="4"/>
  <c r="DC12" i="4"/>
  <c r="DC13" i="4"/>
  <c r="DC14" i="4"/>
  <c r="DC15" i="4"/>
  <c r="DC16" i="4"/>
  <c r="DC17" i="4"/>
  <c r="DC18" i="4"/>
  <c r="DC19" i="4"/>
  <c r="DC20" i="4"/>
  <c r="DC21" i="4"/>
  <c r="DC22" i="4"/>
  <c r="DD10" i="4"/>
  <c r="DH10" i="4" s="1"/>
  <c r="DD11" i="4"/>
  <c r="DH11" i="4" s="1"/>
  <c r="DD12" i="4"/>
  <c r="DH12" i="4" s="1"/>
  <c r="DD13" i="4"/>
  <c r="DH13" i="4" s="1"/>
  <c r="DD14" i="4"/>
  <c r="DH14" i="4" s="1"/>
  <c r="DD15" i="4"/>
  <c r="DH15" i="4" s="1"/>
  <c r="DD16" i="4"/>
  <c r="DH16" i="4" s="1"/>
  <c r="DD17" i="4"/>
  <c r="DH17" i="4" s="1"/>
  <c r="DD18" i="4"/>
  <c r="DH18" i="4" s="1"/>
  <c r="DD19" i="4"/>
  <c r="DH19" i="4" s="1"/>
  <c r="DD20" i="4"/>
  <c r="DH20" i="4" s="1"/>
  <c r="DD21" i="4"/>
  <c r="DH21" i="4" s="1"/>
  <c r="DD22" i="4"/>
  <c r="DH22" i="4" s="1"/>
  <c r="DE10" i="4"/>
  <c r="DI10" i="4" s="1"/>
  <c r="DE11" i="4"/>
  <c r="DI11" i="4" s="1"/>
  <c r="DE12" i="4"/>
  <c r="DI12" i="4" s="1"/>
  <c r="DE13" i="4"/>
  <c r="DI13" i="4" s="1"/>
  <c r="DE14" i="4"/>
  <c r="DI14" i="4" s="1"/>
  <c r="DE15" i="4"/>
  <c r="DI15" i="4" s="1"/>
  <c r="DE16" i="4"/>
  <c r="DI16" i="4" s="1"/>
  <c r="DE17" i="4"/>
  <c r="DI17" i="4" s="1"/>
  <c r="DE18" i="4"/>
  <c r="DI18" i="4" s="1"/>
  <c r="DE19" i="4"/>
  <c r="DI19" i="4" s="1"/>
  <c r="DE20" i="4"/>
  <c r="DI20" i="4" s="1"/>
  <c r="DE21" i="4"/>
  <c r="DI21" i="4" s="1"/>
  <c r="DE22" i="4"/>
  <c r="DI22" i="4" s="1"/>
  <c r="DF10" i="4"/>
  <c r="DF11" i="4"/>
  <c r="DF12" i="4"/>
  <c r="DF13" i="4"/>
  <c r="DF14" i="4"/>
  <c r="DF15" i="4"/>
  <c r="DF16" i="4"/>
  <c r="DF17" i="4"/>
  <c r="DF18" i="4"/>
  <c r="DF19" i="4"/>
  <c r="DF20" i="4"/>
  <c r="DF21" i="4"/>
  <c r="DF22" i="4"/>
  <c r="DG10" i="4"/>
  <c r="DG11" i="4"/>
  <c r="DG12" i="4"/>
  <c r="DG13" i="4"/>
  <c r="DG14" i="4"/>
  <c r="DG15" i="4"/>
  <c r="DG16" i="4"/>
  <c r="DG17" i="4"/>
  <c r="DG18" i="4"/>
  <c r="DG19" i="4"/>
  <c r="DG20" i="4"/>
  <c r="DG21" i="4"/>
  <c r="DG22" i="4"/>
  <c r="CO9" i="4" l="1"/>
  <c r="CP9" i="4"/>
  <c r="CN9" i="4"/>
  <c r="CQ9" i="4"/>
  <c r="DI90" i="4"/>
  <c r="DH90" i="4"/>
  <c r="DA89" i="4"/>
  <c r="DA91" i="4"/>
  <c r="CY104" i="4"/>
  <c r="DA104" i="4" s="1"/>
  <c r="CY111" i="4"/>
  <c r="DA111" i="4" s="1"/>
  <c r="CY102" i="4"/>
  <c r="DA102" i="4" s="1"/>
  <c r="CY103" i="4"/>
  <c r="DA103" i="4" s="1"/>
  <c r="CY110" i="4"/>
  <c r="DA110" i="4" s="1"/>
  <c r="CY101" i="4"/>
  <c r="DA101" i="4" s="1"/>
  <c r="CY109" i="4"/>
  <c r="DA109" i="4" s="1"/>
  <c r="CY108" i="4"/>
  <c r="DA108" i="4" s="1"/>
  <c r="CY106" i="4"/>
  <c r="DA106" i="4" s="1"/>
  <c r="CY105" i="4"/>
  <c r="DA105" i="4" s="1"/>
  <c r="CY92" i="4"/>
  <c r="DA92" i="4" s="1"/>
  <c r="CY83" i="4"/>
  <c r="DA83" i="4" s="1"/>
  <c r="CY75" i="4"/>
  <c r="DA75" i="4" s="1"/>
  <c r="CY67" i="4"/>
  <c r="DA67" i="4" s="1"/>
  <c r="CY93" i="4"/>
  <c r="DA93" i="4" s="1"/>
  <c r="CY84" i="4"/>
  <c r="DA84" i="4" s="1"/>
  <c r="CY68" i="4"/>
  <c r="DA68" i="4" s="1"/>
  <c r="CY81" i="4"/>
  <c r="DA81" i="4" s="1"/>
  <c r="CY94" i="4"/>
  <c r="DA94" i="4" s="1"/>
  <c r="CY85" i="4"/>
  <c r="DA85" i="4" s="1"/>
  <c r="CY76" i="4"/>
  <c r="DA76" i="4" s="1"/>
  <c r="CY69" i="4"/>
  <c r="DA69" i="4" s="1"/>
  <c r="CY98" i="4"/>
  <c r="DA98" i="4" s="1"/>
  <c r="CY88" i="4"/>
  <c r="DA88" i="4" s="1"/>
  <c r="CY64" i="4"/>
  <c r="DA64" i="4" s="1"/>
  <c r="CY86" i="4"/>
  <c r="DA86" i="4" s="1"/>
  <c r="CY77" i="4"/>
  <c r="DA77" i="4" s="1"/>
  <c r="CY87" i="4"/>
  <c r="DA87" i="4" s="1"/>
  <c r="CY55" i="4"/>
  <c r="DA55" i="4" s="1"/>
  <c r="CY99" i="4"/>
  <c r="DA99" i="4" s="1"/>
  <c r="CY80" i="4"/>
  <c r="DA80" i="4" s="1"/>
  <c r="CY79" i="4"/>
  <c r="DA79" i="4" s="1"/>
  <c r="CY72" i="4"/>
  <c r="DA72" i="4" s="1"/>
  <c r="CY78" i="4"/>
  <c r="DA78" i="4" s="1"/>
  <c r="CY71" i="4"/>
  <c r="DA71" i="4" s="1"/>
  <c r="CY70" i="4"/>
  <c r="DA70" i="4" s="1"/>
  <c r="CY60" i="4"/>
  <c r="DA60" i="4" s="1"/>
  <c r="CY59" i="4"/>
  <c r="DA59" i="4" s="1"/>
  <c r="CY90" i="4"/>
  <c r="DA90" i="4" s="1"/>
  <c r="CY74" i="4"/>
  <c r="DA74" i="4" s="1"/>
  <c r="CY66" i="4"/>
  <c r="DA66" i="4" s="1"/>
  <c r="CY53" i="4"/>
  <c r="DA53" i="4" s="1"/>
  <c r="CY73" i="4"/>
  <c r="DA73" i="4" s="1"/>
  <c r="CY65" i="4"/>
  <c r="DA65" i="4" s="1"/>
  <c r="CY52" i="4"/>
  <c r="DA52" i="4" s="1"/>
  <c r="CY23" i="4"/>
  <c r="DA23" i="4" s="1"/>
  <c r="CY16" i="4"/>
  <c r="DA16" i="4" s="1"/>
  <c r="CY44" i="4"/>
  <c r="DA44" i="4" s="1"/>
  <c r="CY51" i="4"/>
  <c r="DA51" i="4" s="1"/>
  <c r="CY33" i="4"/>
  <c r="DA33" i="4" s="1"/>
  <c r="CY50" i="4"/>
  <c r="DA50" i="4" s="1"/>
  <c r="CY42" i="4"/>
  <c r="DA42" i="4" s="1"/>
  <c r="CY49" i="4"/>
  <c r="DA49" i="4" s="1"/>
  <c r="CY41" i="4"/>
  <c r="DA41" i="4" s="1"/>
  <c r="CY48" i="4"/>
  <c r="DA48" i="4" s="1"/>
  <c r="CY40" i="4"/>
  <c r="DA40" i="4" s="1"/>
  <c r="CY17" i="4"/>
  <c r="DA17" i="4" s="1"/>
  <c r="CY46" i="4"/>
  <c r="DA46" i="4" s="1"/>
  <c r="CY36" i="4"/>
  <c r="DA36" i="4" s="1"/>
  <c r="CY45" i="4"/>
  <c r="DA45" i="4" s="1"/>
  <c r="CY15" i="4"/>
  <c r="DA15" i="4" s="1"/>
  <c r="CY47" i="4"/>
  <c r="DA47" i="4" s="1"/>
  <c r="CY14" i="4"/>
  <c r="DA14" i="4" s="1"/>
  <c r="CY32" i="4"/>
  <c r="DA32" i="4" s="1"/>
  <c r="CY31" i="4"/>
  <c r="DA31" i="4" s="1"/>
  <c r="CY22" i="4"/>
  <c r="DA22" i="4" s="1"/>
  <c r="CY30" i="4"/>
  <c r="DA30" i="4" s="1"/>
  <c r="CY18" i="4"/>
  <c r="DA18" i="4" s="1"/>
  <c r="CY10" i="4"/>
  <c r="DA10" i="4" s="1"/>
  <c r="CY37" i="4"/>
  <c r="DA37" i="4" s="1"/>
  <c r="CY26" i="4"/>
  <c r="DA26" i="4" s="1"/>
  <c r="CY35" i="4"/>
  <c r="DA35" i="4" s="1"/>
  <c r="CY34" i="4"/>
  <c r="DA34" i="4" s="1"/>
  <c r="CY21" i="4"/>
  <c r="DA21" i="4" s="1"/>
  <c r="CY13" i="4"/>
  <c r="DA13" i="4" s="1"/>
  <c r="CY20" i="4"/>
  <c r="DA20" i="4" s="1"/>
  <c r="CY12" i="4"/>
  <c r="DA12" i="4" s="1"/>
  <c r="CY19" i="4"/>
  <c r="DA19" i="4" s="1"/>
  <c r="CY11" i="4"/>
  <c r="DA11" i="4" s="1"/>
  <c r="AE5" i="4"/>
  <c r="AE4" i="4"/>
  <c r="AL17" i="33" l="1"/>
  <c r="G104" i="47" l="1"/>
  <c r="F104" i="47"/>
  <c r="E104" i="47"/>
  <c r="G103" i="47"/>
  <c r="F103" i="47"/>
  <c r="E103" i="47"/>
  <c r="G101" i="47"/>
  <c r="F101" i="47"/>
  <c r="E101" i="47"/>
  <c r="G100" i="47"/>
  <c r="F100" i="47"/>
  <c r="E100" i="47"/>
  <c r="G98" i="47"/>
  <c r="F98" i="47"/>
  <c r="E98" i="47"/>
  <c r="G97" i="47"/>
  <c r="F97" i="47"/>
  <c r="E97" i="47"/>
  <c r="G95" i="47"/>
  <c r="F95" i="47"/>
  <c r="E95" i="47"/>
  <c r="G94" i="47"/>
  <c r="F94" i="47"/>
  <c r="E94" i="47"/>
  <c r="G92" i="47"/>
  <c r="F92" i="47"/>
  <c r="E92" i="47"/>
  <c r="G91" i="47"/>
  <c r="F91" i="47"/>
  <c r="E91" i="47"/>
  <c r="G89" i="47"/>
  <c r="F89" i="47"/>
  <c r="E89" i="47"/>
  <c r="G88" i="47"/>
  <c r="F88" i="47"/>
  <c r="E88" i="47"/>
  <c r="G86" i="47"/>
  <c r="F86" i="47"/>
  <c r="E86" i="47"/>
  <c r="G85" i="47"/>
  <c r="F85" i="47"/>
  <c r="E85" i="47"/>
  <c r="G83" i="47"/>
  <c r="F83" i="47"/>
  <c r="E83" i="47"/>
  <c r="G82" i="47"/>
  <c r="F82" i="47"/>
  <c r="E82" i="47"/>
  <c r="G80" i="47"/>
  <c r="F80" i="47"/>
  <c r="E80" i="47"/>
  <c r="G79" i="47"/>
  <c r="F79" i="47"/>
  <c r="E79" i="47"/>
  <c r="G77" i="47"/>
  <c r="F77" i="47"/>
  <c r="E77" i="47"/>
  <c r="G76" i="47"/>
  <c r="F76" i="47"/>
  <c r="E76" i="47"/>
  <c r="G74" i="47"/>
  <c r="F74" i="47"/>
  <c r="E74" i="47"/>
  <c r="G73" i="47"/>
  <c r="F73" i="47"/>
  <c r="E73" i="47"/>
  <c r="G71" i="47"/>
  <c r="F71" i="47"/>
  <c r="E71" i="47"/>
  <c r="G70" i="47"/>
  <c r="F70" i="47"/>
  <c r="E70" i="47"/>
  <c r="G68" i="47"/>
  <c r="F68" i="47"/>
  <c r="E68" i="47"/>
  <c r="G67" i="47"/>
  <c r="F67" i="47"/>
  <c r="E67" i="47"/>
  <c r="G65" i="47"/>
  <c r="F65" i="47"/>
  <c r="E65" i="47"/>
  <c r="G64" i="47"/>
  <c r="F64" i="47"/>
  <c r="E64" i="47"/>
  <c r="G62" i="47"/>
  <c r="F62" i="47"/>
  <c r="E62" i="47"/>
  <c r="G61" i="47"/>
  <c r="F61" i="47"/>
  <c r="E61" i="47"/>
  <c r="G59" i="47"/>
  <c r="F59" i="47"/>
  <c r="E59" i="47"/>
  <c r="G58" i="47"/>
  <c r="F58" i="47"/>
  <c r="E58" i="47"/>
  <c r="G56" i="47"/>
  <c r="F56" i="47"/>
  <c r="E56" i="47"/>
  <c r="G55" i="47"/>
  <c r="F55" i="47"/>
  <c r="E55" i="47"/>
  <c r="G53" i="47"/>
  <c r="F53" i="47"/>
  <c r="E53" i="47"/>
  <c r="G52" i="47"/>
  <c r="F52" i="47"/>
  <c r="E52" i="47"/>
  <c r="G50" i="47"/>
  <c r="F50" i="47"/>
  <c r="E50" i="47"/>
  <c r="G49" i="47"/>
  <c r="F49" i="47"/>
  <c r="E49" i="47"/>
  <c r="G47" i="47"/>
  <c r="F47" i="47"/>
  <c r="E47" i="47"/>
  <c r="G46" i="47"/>
  <c r="F46" i="47"/>
  <c r="E46" i="47"/>
  <c r="G104" i="46"/>
  <c r="F104" i="46"/>
  <c r="E104" i="46"/>
  <c r="G103" i="46"/>
  <c r="F103" i="46"/>
  <c r="E103" i="46"/>
  <c r="G101" i="46"/>
  <c r="F101" i="46"/>
  <c r="E101" i="46"/>
  <c r="G100" i="46"/>
  <c r="F100" i="46"/>
  <c r="E100" i="46"/>
  <c r="G98" i="46"/>
  <c r="F98" i="46"/>
  <c r="E98" i="46"/>
  <c r="G97" i="46"/>
  <c r="F97" i="46"/>
  <c r="E97" i="46"/>
  <c r="G95" i="46"/>
  <c r="F95" i="46"/>
  <c r="E95" i="46"/>
  <c r="G94" i="46"/>
  <c r="F94" i="46"/>
  <c r="E94" i="46"/>
  <c r="G92" i="46"/>
  <c r="F92" i="46"/>
  <c r="E92" i="46"/>
  <c r="G91" i="46"/>
  <c r="F91" i="46"/>
  <c r="E91" i="46"/>
  <c r="G89" i="46"/>
  <c r="F89" i="46"/>
  <c r="E89" i="46"/>
  <c r="G88" i="46"/>
  <c r="F88" i="46"/>
  <c r="E88" i="46"/>
  <c r="G86" i="46"/>
  <c r="F86" i="46"/>
  <c r="E86" i="46"/>
  <c r="G85" i="46"/>
  <c r="F85" i="46"/>
  <c r="E85" i="46"/>
  <c r="G83" i="46"/>
  <c r="F83" i="46"/>
  <c r="E83" i="46"/>
  <c r="G82" i="46"/>
  <c r="F82" i="46"/>
  <c r="E82" i="46"/>
  <c r="G80" i="46"/>
  <c r="F80" i="46"/>
  <c r="E80" i="46"/>
  <c r="G79" i="46"/>
  <c r="F79" i="46"/>
  <c r="E79" i="46"/>
  <c r="G77" i="46"/>
  <c r="F77" i="46"/>
  <c r="E77" i="46"/>
  <c r="G76" i="46"/>
  <c r="F76" i="46"/>
  <c r="E76" i="46"/>
  <c r="G74" i="46"/>
  <c r="F74" i="46"/>
  <c r="E74" i="46"/>
  <c r="G73" i="46"/>
  <c r="F73" i="46"/>
  <c r="E73" i="46"/>
  <c r="G71" i="46"/>
  <c r="F71" i="46"/>
  <c r="E71" i="46"/>
  <c r="G70" i="46"/>
  <c r="F70" i="46"/>
  <c r="E70" i="46"/>
  <c r="G68" i="46"/>
  <c r="F68" i="46"/>
  <c r="E68" i="46"/>
  <c r="G67" i="46"/>
  <c r="F67" i="46"/>
  <c r="E67" i="46"/>
  <c r="G65" i="46"/>
  <c r="F65" i="46"/>
  <c r="E65" i="46"/>
  <c r="G64" i="46"/>
  <c r="F64" i="46"/>
  <c r="E64" i="46"/>
  <c r="G62" i="46"/>
  <c r="F62" i="46"/>
  <c r="E62" i="46"/>
  <c r="G61" i="46"/>
  <c r="F61" i="46"/>
  <c r="E61" i="46"/>
  <c r="G59" i="46"/>
  <c r="F59" i="46"/>
  <c r="E59" i="46"/>
  <c r="G58" i="46"/>
  <c r="F58" i="46"/>
  <c r="E58" i="46"/>
  <c r="G56" i="46"/>
  <c r="F56" i="46"/>
  <c r="E56" i="46"/>
  <c r="G55" i="46"/>
  <c r="F55" i="46"/>
  <c r="E55" i="46"/>
  <c r="G53" i="46"/>
  <c r="F53" i="46"/>
  <c r="E53" i="46"/>
  <c r="G52" i="46"/>
  <c r="F52" i="46"/>
  <c r="E52" i="46"/>
  <c r="G50" i="46"/>
  <c r="F50" i="46"/>
  <c r="E50" i="46"/>
  <c r="G49" i="46"/>
  <c r="F49" i="46"/>
  <c r="E49" i="46"/>
  <c r="G47" i="46"/>
  <c r="F47" i="46"/>
  <c r="E47" i="46"/>
  <c r="G46" i="46"/>
  <c r="F46" i="46"/>
  <c r="E46" i="46"/>
  <c r="G104" i="43"/>
  <c r="F104" i="43"/>
  <c r="E104" i="43"/>
  <c r="G103" i="43"/>
  <c r="F103" i="43"/>
  <c r="E103" i="43"/>
  <c r="G101" i="43"/>
  <c r="F101" i="43"/>
  <c r="E101" i="43"/>
  <c r="G100" i="43"/>
  <c r="F100" i="43"/>
  <c r="E100" i="43"/>
  <c r="G98" i="43"/>
  <c r="F98" i="43"/>
  <c r="E98" i="43"/>
  <c r="G97" i="43"/>
  <c r="F97" i="43"/>
  <c r="E97" i="43"/>
  <c r="G95" i="43"/>
  <c r="F95" i="43"/>
  <c r="E95" i="43"/>
  <c r="G94" i="43"/>
  <c r="F94" i="43"/>
  <c r="E94" i="43"/>
  <c r="G92" i="43"/>
  <c r="F92" i="43"/>
  <c r="E92" i="43"/>
  <c r="G91" i="43"/>
  <c r="F91" i="43"/>
  <c r="E91" i="43"/>
  <c r="G89" i="43"/>
  <c r="F89" i="43"/>
  <c r="E89" i="43"/>
  <c r="G88" i="43"/>
  <c r="F88" i="43"/>
  <c r="E88" i="43"/>
  <c r="G86" i="43"/>
  <c r="F86" i="43"/>
  <c r="E86" i="43"/>
  <c r="G85" i="43"/>
  <c r="F85" i="43"/>
  <c r="E85" i="43"/>
  <c r="G83" i="43"/>
  <c r="F83" i="43"/>
  <c r="E83" i="43"/>
  <c r="G82" i="43"/>
  <c r="F82" i="43"/>
  <c r="E82" i="43"/>
  <c r="G80" i="43"/>
  <c r="F80" i="43"/>
  <c r="E80" i="43"/>
  <c r="G79" i="43"/>
  <c r="F79" i="43"/>
  <c r="E79" i="43"/>
  <c r="G77" i="43"/>
  <c r="F77" i="43"/>
  <c r="E77" i="43"/>
  <c r="G76" i="43"/>
  <c r="F76" i="43"/>
  <c r="E76" i="43"/>
  <c r="G74" i="43"/>
  <c r="F74" i="43"/>
  <c r="E74" i="43"/>
  <c r="G73" i="43"/>
  <c r="F73" i="43"/>
  <c r="E73" i="43"/>
  <c r="G71" i="43"/>
  <c r="F71" i="43"/>
  <c r="E71" i="43"/>
  <c r="G70" i="43"/>
  <c r="F70" i="43"/>
  <c r="E70" i="43"/>
  <c r="G68" i="43"/>
  <c r="F68" i="43"/>
  <c r="E68" i="43"/>
  <c r="G65" i="43"/>
  <c r="F65" i="43"/>
  <c r="E65" i="43"/>
  <c r="G64" i="43"/>
  <c r="F64" i="43"/>
  <c r="E64" i="43"/>
  <c r="G62" i="43"/>
  <c r="F62" i="43"/>
  <c r="E62" i="43"/>
  <c r="G61" i="43"/>
  <c r="F61" i="43"/>
  <c r="E61" i="43"/>
  <c r="G59" i="43"/>
  <c r="F59" i="43"/>
  <c r="E59" i="43"/>
  <c r="G58" i="43"/>
  <c r="F58" i="43"/>
  <c r="E58" i="43"/>
  <c r="G56" i="43"/>
  <c r="F56" i="43"/>
  <c r="E56" i="43"/>
  <c r="G53" i="43"/>
  <c r="F53" i="43"/>
  <c r="E53" i="43"/>
  <c r="G52" i="43"/>
  <c r="F52" i="43"/>
  <c r="E52" i="43"/>
  <c r="G50" i="43"/>
  <c r="F50" i="43"/>
  <c r="E50" i="43"/>
  <c r="G49" i="43"/>
  <c r="F49" i="43"/>
  <c r="E49" i="43"/>
  <c r="G104" i="41"/>
  <c r="G103" i="41"/>
  <c r="G101" i="41"/>
  <c r="G100" i="41"/>
  <c r="G98" i="41"/>
  <c r="G97" i="41"/>
  <c r="G95" i="41"/>
  <c r="G94" i="41"/>
  <c r="G92" i="41"/>
  <c r="G91" i="41"/>
  <c r="G89" i="41"/>
  <c r="G88" i="41"/>
  <c r="G86" i="41"/>
  <c r="G85" i="41"/>
  <c r="G83" i="41"/>
  <c r="G82" i="41"/>
  <c r="G80" i="41"/>
  <c r="G79" i="41"/>
  <c r="G77" i="41"/>
  <c r="G76" i="41"/>
  <c r="G74" i="41"/>
  <c r="G73" i="41"/>
  <c r="G71" i="41"/>
  <c r="G70" i="41"/>
  <c r="G68" i="41"/>
  <c r="G65" i="41"/>
  <c r="G64" i="41"/>
  <c r="G62" i="41"/>
  <c r="G61" i="41"/>
  <c r="G59" i="41"/>
  <c r="G58" i="41"/>
  <c r="G56" i="41"/>
  <c r="G53" i="41"/>
  <c r="G52" i="41"/>
  <c r="G50" i="41"/>
  <c r="G49" i="41"/>
  <c r="F104" i="41"/>
  <c r="F103" i="41"/>
  <c r="F101" i="41"/>
  <c r="F100" i="41"/>
  <c r="F98" i="41"/>
  <c r="F97" i="41"/>
  <c r="F95" i="41"/>
  <c r="F94" i="41"/>
  <c r="F92" i="41"/>
  <c r="F91" i="41"/>
  <c r="F89" i="41"/>
  <c r="F88" i="41"/>
  <c r="F86" i="41"/>
  <c r="F85" i="41"/>
  <c r="F83" i="41"/>
  <c r="F82" i="41"/>
  <c r="F80" i="41"/>
  <c r="F79" i="41"/>
  <c r="F77" i="41"/>
  <c r="F76" i="41"/>
  <c r="F74" i="41"/>
  <c r="F73" i="41"/>
  <c r="F71" i="41"/>
  <c r="F70" i="41"/>
  <c r="F68" i="41"/>
  <c r="F65" i="41"/>
  <c r="F64" i="41"/>
  <c r="F62" i="41"/>
  <c r="F61" i="41"/>
  <c r="F59" i="41"/>
  <c r="F58" i="41"/>
  <c r="F56" i="41"/>
  <c r="F53" i="41"/>
  <c r="F52" i="41"/>
  <c r="F50" i="41"/>
  <c r="F49" i="41"/>
  <c r="E104" i="41"/>
  <c r="E103" i="41"/>
  <c r="E101" i="41"/>
  <c r="E100" i="41"/>
  <c r="E98" i="41"/>
  <c r="E97" i="41"/>
  <c r="E95" i="41"/>
  <c r="E94" i="41"/>
  <c r="E92" i="41"/>
  <c r="E91" i="41"/>
  <c r="E89" i="41"/>
  <c r="E88" i="41"/>
  <c r="E86" i="41"/>
  <c r="E85" i="41"/>
  <c r="E83" i="41"/>
  <c r="E82" i="41"/>
  <c r="E80" i="41"/>
  <c r="E79" i="41"/>
  <c r="E77" i="41"/>
  <c r="E76" i="41"/>
  <c r="E74" i="41"/>
  <c r="E73" i="41"/>
  <c r="E71" i="41"/>
  <c r="E70" i="41"/>
  <c r="E68" i="41"/>
  <c r="E65" i="41"/>
  <c r="E64" i="41"/>
  <c r="E62" i="41"/>
  <c r="E61" i="41"/>
  <c r="E59" i="41"/>
  <c r="E58" i="41"/>
  <c r="E56" i="41"/>
  <c r="E53" i="41"/>
  <c r="E52" i="41"/>
  <c r="E50" i="41"/>
  <c r="E49" i="41"/>
  <c r="D104" i="45"/>
  <c r="D103" i="45"/>
  <c r="D101" i="45"/>
  <c r="D100" i="45"/>
  <c r="D98" i="45"/>
  <c r="D97" i="45"/>
  <c r="D95" i="45"/>
  <c r="D94" i="45"/>
  <c r="D92" i="45"/>
  <c r="D91" i="45"/>
  <c r="D89" i="45"/>
  <c r="D88" i="45"/>
  <c r="D86" i="45"/>
  <c r="D85" i="45"/>
  <c r="D83" i="45"/>
  <c r="D82" i="45"/>
  <c r="D80" i="45"/>
  <c r="D79" i="45"/>
  <c r="D77" i="45"/>
  <c r="D76" i="45"/>
  <c r="D74" i="45"/>
  <c r="D73" i="45"/>
  <c r="D71" i="45"/>
  <c r="D70" i="45"/>
  <c r="D68" i="45"/>
  <c r="D67" i="45"/>
  <c r="D65" i="45"/>
  <c r="D64" i="45"/>
  <c r="D62" i="45"/>
  <c r="D61" i="45"/>
  <c r="D59" i="45"/>
  <c r="D58" i="45"/>
  <c r="D56" i="45"/>
  <c r="D55" i="45"/>
  <c r="D53" i="45"/>
  <c r="D52" i="45"/>
  <c r="D50" i="45"/>
  <c r="D49" i="45"/>
  <c r="D47" i="45"/>
  <c r="D46" i="45"/>
  <c r="H104" i="46"/>
  <c r="D104" i="46"/>
  <c r="H103" i="46"/>
  <c r="D103" i="46"/>
  <c r="H101" i="46"/>
  <c r="D101" i="46"/>
  <c r="H100" i="46"/>
  <c r="D100" i="46"/>
  <c r="H98" i="46"/>
  <c r="D98" i="46"/>
  <c r="H97" i="46"/>
  <c r="D97" i="46"/>
  <c r="H95" i="46"/>
  <c r="D95" i="46"/>
  <c r="H94" i="46"/>
  <c r="D94" i="46"/>
  <c r="H92" i="46"/>
  <c r="D92" i="46"/>
  <c r="H91" i="46"/>
  <c r="D91" i="46"/>
  <c r="H89" i="46"/>
  <c r="D89" i="46"/>
  <c r="H88" i="46"/>
  <c r="D88" i="46"/>
  <c r="H86" i="46"/>
  <c r="D86" i="46"/>
  <c r="H85" i="46"/>
  <c r="D85" i="46"/>
  <c r="H83" i="46"/>
  <c r="D83" i="46"/>
  <c r="H82" i="46"/>
  <c r="D82" i="46"/>
  <c r="H80" i="46"/>
  <c r="D80" i="46"/>
  <c r="H79" i="46"/>
  <c r="D79" i="46"/>
  <c r="H77" i="46"/>
  <c r="D77" i="46"/>
  <c r="H76" i="46"/>
  <c r="D76" i="46"/>
  <c r="H74" i="46"/>
  <c r="D74" i="46"/>
  <c r="H73" i="46"/>
  <c r="D73" i="46"/>
  <c r="H71" i="46"/>
  <c r="D71" i="46"/>
  <c r="H70" i="46"/>
  <c r="D70" i="46"/>
  <c r="H68" i="46"/>
  <c r="D68" i="46"/>
  <c r="H67" i="46"/>
  <c r="D67" i="46"/>
  <c r="H65" i="46"/>
  <c r="D65" i="46"/>
  <c r="H64" i="46"/>
  <c r="D64" i="46"/>
  <c r="H62" i="46"/>
  <c r="D62" i="46"/>
  <c r="H61" i="46"/>
  <c r="D61" i="46"/>
  <c r="H59" i="46"/>
  <c r="D59" i="46"/>
  <c r="H58" i="46"/>
  <c r="D58" i="46"/>
  <c r="H56" i="46"/>
  <c r="D56" i="46"/>
  <c r="H55" i="46"/>
  <c r="D55" i="46"/>
  <c r="H53" i="46"/>
  <c r="D53" i="46"/>
  <c r="H52" i="46"/>
  <c r="D52" i="46"/>
  <c r="H50" i="46"/>
  <c r="D50" i="46"/>
  <c r="H49" i="46"/>
  <c r="D49" i="46"/>
  <c r="H47" i="46"/>
  <c r="D47" i="46"/>
  <c r="H46" i="46"/>
  <c r="D46" i="46"/>
  <c r="H104" i="47"/>
  <c r="D104" i="47"/>
  <c r="H103" i="47"/>
  <c r="D103" i="47"/>
  <c r="H101" i="47"/>
  <c r="D101" i="47"/>
  <c r="H100" i="47"/>
  <c r="D100" i="47"/>
  <c r="H98" i="47"/>
  <c r="D98" i="47"/>
  <c r="H97" i="47"/>
  <c r="D97" i="47"/>
  <c r="H95" i="47"/>
  <c r="D95" i="47"/>
  <c r="H94" i="47"/>
  <c r="D94" i="47"/>
  <c r="H92" i="47"/>
  <c r="D92" i="47"/>
  <c r="H91" i="47"/>
  <c r="D91" i="47"/>
  <c r="H89" i="47"/>
  <c r="D89" i="47"/>
  <c r="H88" i="47"/>
  <c r="D88" i="47"/>
  <c r="H86" i="47"/>
  <c r="D86" i="47"/>
  <c r="H85" i="47"/>
  <c r="D85" i="47"/>
  <c r="H83" i="47"/>
  <c r="D83" i="47"/>
  <c r="H82" i="47"/>
  <c r="D82" i="47"/>
  <c r="H80" i="47"/>
  <c r="D80" i="47"/>
  <c r="H79" i="47"/>
  <c r="D79" i="47"/>
  <c r="H77" i="47"/>
  <c r="D77" i="47"/>
  <c r="H76" i="47"/>
  <c r="D76" i="47"/>
  <c r="H74" i="47"/>
  <c r="D74" i="47"/>
  <c r="H73" i="47"/>
  <c r="D73" i="47"/>
  <c r="H71" i="47"/>
  <c r="D71" i="47"/>
  <c r="H70" i="47"/>
  <c r="D70" i="47"/>
  <c r="H68" i="47"/>
  <c r="D68" i="47"/>
  <c r="H67" i="47"/>
  <c r="D67" i="47"/>
  <c r="H65" i="47"/>
  <c r="D65" i="47"/>
  <c r="H64" i="47"/>
  <c r="D64" i="47"/>
  <c r="H62" i="47"/>
  <c r="D62" i="47"/>
  <c r="H61" i="47"/>
  <c r="D61" i="47"/>
  <c r="H59" i="47"/>
  <c r="D59" i="47"/>
  <c r="H58" i="47"/>
  <c r="D58" i="47"/>
  <c r="H56" i="47"/>
  <c r="D56" i="47"/>
  <c r="H55" i="47"/>
  <c r="D55" i="47"/>
  <c r="H53" i="47"/>
  <c r="D53" i="47"/>
  <c r="H52" i="47"/>
  <c r="D52" i="47"/>
  <c r="H50" i="47"/>
  <c r="D50" i="47"/>
  <c r="H49" i="47"/>
  <c r="D49" i="47"/>
  <c r="H47" i="47"/>
  <c r="D47" i="47"/>
  <c r="H46" i="47"/>
  <c r="D46" i="47"/>
  <c r="D104" i="44"/>
  <c r="D103" i="44"/>
  <c r="D101" i="44"/>
  <c r="D100" i="44"/>
  <c r="D98" i="44"/>
  <c r="D97" i="44"/>
  <c r="D95" i="44"/>
  <c r="D94" i="44"/>
  <c r="D92" i="44"/>
  <c r="D91" i="44"/>
  <c r="D89" i="44"/>
  <c r="D88" i="44"/>
  <c r="D86" i="44"/>
  <c r="D85" i="44"/>
  <c r="D83" i="44"/>
  <c r="D82" i="44"/>
  <c r="D80" i="44"/>
  <c r="D79" i="44"/>
  <c r="D77" i="44"/>
  <c r="D76" i="44"/>
  <c r="D74" i="44"/>
  <c r="D73" i="44"/>
  <c r="D71" i="44"/>
  <c r="D70" i="44"/>
  <c r="D68" i="44"/>
  <c r="D67" i="44"/>
  <c r="D65" i="44"/>
  <c r="D64" i="44"/>
  <c r="D62" i="44"/>
  <c r="D61" i="44"/>
  <c r="D59" i="44"/>
  <c r="D58" i="44"/>
  <c r="D56" i="44"/>
  <c r="D55" i="44"/>
  <c r="D53" i="44"/>
  <c r="D52" i="44"/>
  <c r="D50" i="44"/>
  <c r="D49" i="44"/>
  <c r="D47" i="44"/>
  <c r="D46" i="44"/>
  <c r="I6" i="47"/>
  <c r="J5" i="47"/>
  <c r="I5" i="47"/>
  <c r="I3" i="47"/>
  <c r="AO2" i="47"/>
  <c r="AN2" i="47"/>
  <c r="I6" i="46"/>
  <c r="J5" i="46"/>
  <c r="I5" i="46"/>
  <c r="I3" i="46"/>
  <c r="AO2" i="46"/>
  <c r="AN2" i="46"/>
  <c r="E6" i="45"/>
  <c r="F5" i="45"/>
  <c r="E5" i="45"/>
  <c r="E3" i="45"/>
  <c r="AK2" i="45"/>
  <c r="AJ2" i="45"/>
  <c r="E6" i="44"/>
  <c r="F5" i="44"/>
  <c r="E5" i="44"/>
  <c r="E3" i="44"/>
  <c r="AK2" i="44"/>
  <c r="AJ2" i="44"/>
  <c r="AN2" i="43"/>
  <c r="AO2" i="43"/>
  <c r="AO2" i="41"/>
  <c r="AN2" i="41"/>
  <c r="AK2" i="42"/>
  <c r="AJ2" i="42"/>
  <c r="AJ2" i="33"/>
  <c r="AK2" i="33"/>
  <c r="I6" i="43" l="1"/>
  <c r="J5" i="43"/>
  <c r="I5" i="43"/>
  <c r="I3" i="43"/>
  <c r="I6" i="41"/>
  <c r="J5" i="41"/>
  <c r="I5" i="41"/>
  <c r="I3" i="41"/>
  <c r="E6" i="42"/>
  <c r="F5" i="42"/>
  <c r="E5" i="42"/>
  <c r="E3" i="42"/>
  <c r="E6" i="33"/>
  <c r="E5" i="33"/>
  <c r="F5" i="33"/>
  <c r="E3" i="33"/>
  <c r="H104" i="43" l="1"/>
  <c r="D104" i="43"/>
  <c r="H103" i="43"/>
  <c r="D103" i="43"/>
  <c r="H101" i="43"/>
  <c r="D101" i="43"/>
  <c r="H100" i="43"/>
  <c r="D100" i="43"/>
  <c r="H98" i="43"/>
  <c r="D98" i="43"/>
  <c r="H97" i="43"/>
  <c r="D97" i="43"/>
  <c r="H95" i="43"/>
  <c r="D95" i="43"/>
  <c r="H94" i="43"/>
  <c r="D94" i="43"/>
  <c r="H92" i="43"/>
  <c r="D92" i="43"/>
  <c r="H91" i="43"/>
  <c r="D91" i="43"/>
  <c r="H89" i="43"/>
  <c r="D89" i="43"/>
  <c r="H88" i="43"/>
  <c r="D88" i="43"/>
  <c r="H86" i="43"/>
  <c r="D86" i="43"/>
  <c r="H85" i="43"/>
  <c r="D85" i="43"/>
  <c r="H83" i="43"/>
  <c r="D83" i="43"/>
  <c r="H82" i="43"/>
  <c r="D82" i="43"/>
  <c r="H80" i="43"/>
  <c r="D80" i="43"/>
  <c r="H79" i="43"/>
  <c r="D79" i="43"/>
  <c r="H77" i="43"/>
  <c r="D77" i="43"/>
  <c r="H76" i="43"/>
  <c r="D76" i="43"/>
  <c r="H74" i="43"/>
  <c r="D74" i="43"/>
  <c r="H73" i="43"/>
  <c r="D73" i="43"/>
  <c r="H71" i="43"/>
  <c r="D71" i="43"/>
  <c r="H70" i="43"/>
  <c r="D70" i="43"/>
  <c r="H68" i="43"/>
  <c r="D68" i="43"/>
  <c r="H65" i="43"/>
  <c r="D65" i="43"/>
  <c r="H64" i="43"/>
  <c r="D64" i="43"/>
  <c r="H62" i="43"/>
  <c r="D62" i="43"/>
  <c r="H61" i="43"/>
  <c r="D61" i="43"/>
  <c r="H59" i="43"/>
  <c r="D59" i="43"/>
  <c r="H58" i="43"/>
  <c r="D58" i="43"/>
  <c r="H56" i="43"/>
  <c r="D56" i="43"/>
  <c r="H53" i="43"/>
  <c r="D53" i="43"/>
  <c r="H52" i="43"/>
  <c r="D52" i="43"/>
  <c r="H50" i="43"/>
  <c r="D50" i="43"/>
  <c r="H49" i="43"/>
  <c r="D49" i="43"/>
  <c r="D104" i="42" l="1"/>
  <c r="D103" i="42"/>
  <c r="D101" i="42"/>
  <c r="D100" i="42"/>
  <c r="D98" i="42"/>
  <c r="D97" i="42"/>
  <c r="D95" i="42"/>
  <c r="D94" i="42"/>
  <c r="D92" i="42"/>
  <c r="D91" i="42"/>
  <c r="D89" i="42"/>
  <c r="D88" i="42"/>
  <c r="D86" i="42"/>
  <c r="D85" i="42"/>
  <c r="D83" i="42"/>
  <c r="D82" i="42"/>
  <c r="D80" i="42"/>
  <c r="D79" i="42"/>
  <c r="D77" i="42"/>
  <c r="D76" i="42"/>
  <c r="D74" i="42"/>
  <c r="D73" i="42"/>
  <c r="D71" i="42"/>
  <c r="D70" i="42"/>
  <c r="D68" i="42"/>
  <c r="D65" i="42"/>
  <c r="D64" i="42"/>
  <c r="D62" i="42"/>
  <c r="D61" i="42"/>
  <c r="D59" i="42"/>
  <c r="D58" i="42"/>
  <c r="D56" i="42"/>
  <c r="D53" i="42"/>
  <c r="D52" i="42"/>
  <c r="D50" i="42"/>
  <c r="D49" i="42"/>
  <c r="H104" i="41"/>
  <c r="D104" i="41"/>
  <c r="H103" i="41"/>
  <c r="D103" i="41"/>
  <c r="H101" i="41"/>
  <c r="D101" i="41"/>
  <c r="H100" i="41"/>
  <c r="D100" i="41"/>
  <c r="H98" i="41"/>
  <c r="D98" i="41"/>
  <c r="H97" i="41"/>
  <c r="D97" i="41"/>
  <c r="H95" i="41"/>
  <c r="D95" i="41"/>
  <c r="H94" i="41"/>
  <c r="D94" i="41"/>
  <c r="H92" i="41"/>
  <c r="D92" i="41"/>
  <c r="H91" i="41"/>
  <c r="D91" i="41"/>
  <c r="H89" i="41"/>
  <c r="D89" i="41"/>
  <c r="H88" i="41"/>
  <c r="D88" i="41"/>
  <c r="H86" i="41"/>
  <c r="D86" i="41"/>
  <c r="H85" i="41"/>
  <c r="D85" i="41"/>
  <c r="H83" i="41"/>
  <c r="D83" i="41"/>
  <c r="H82" i="41"/>
  <c r="D82" i="41"/>
  <c r="H80" i="41"/>
  <c r="D80" i="41"/>
  <c r="H79" i="41"/>
  <c r="D79" i="41"/>
  <c r="H77" i="41"/>
  <c r="D77" i="41"/>
  <c r="H76" i="41"/>
  <c r="D76" i="41"/>
  <c r="H74" i="41"/>
  <c r="D74" i="41"/>
  <c r="H73" i="41"/>
  <c r="D73" i="41"/>
  <c r="H71" i="41"/>
  <c r="D71" i="41"/>
  <c r="H70" i="41"/>
  <c r="D70" i="41"/>
  <c r="H68" i="41"/>
  <c r="D68" i="41"/>
  <c r="H65" i="41"/>
  <c r="D65" i="41"/>
  <c r="H64" i="41"/>
  <c r="D64" i="41"/>
  <c r="H62" i="41"/>
  <c r="D62" i="41"/>
  <c r="H61" i="41"/>
  <c r="D61" i="41"/>
  <c r="H59" i="41"/>
  <c r="D59" i="41"/>
  <c r="H58" i="41"/>
  <c r="D58" i="41"/>
  <c r="H56" i="41"/>
  <c r="D56" i="41"/>
  <c r="H53" i="41"/>
  <c r="D53" i="41"/>
  <c r="H52" i="41"/>
  <c r="D52" i="41"/>
  <c r="H50" i="41"/>
  <c r="D50" i="41"/>
  <c r="H49" i="41"/>
  <c r="D49" i="41"/>
  <c r="D104" i="33"/>
  <c r="D103" i="33"/>
  <c r="D101" i="33"/>
  <c r="D100" i="33"/>
  <c r="D98" i="33"/>
  <c r="D97" i="33"/>
  <c r="D95" i="33"/>
  <c r="D94" i="33"/>
  <c r="D92" i="33"/>
  <c r="D91" i="33"/>
  <c r="D89" i="33"/>
  <c r="D88" i="33"/>
  <c r="D86" i="33"/>
  <c r="D85" i="33"/>
  <c r="D83" i="33"/>
  <c r="D82" i="33"/>
  <c r="D80" i="33"/>
  <c r="D79" i="33"/>
  <c r="D77" i="33"/>
  <c r="D76" i="33"/>
  <c r="D74" i="33"/>
  <c r="D73" i="33"/>
  <c r="D71" i="33"/>
  <c r="D70" i="33"/>
  <c r="D68" i="33"/>
  <c r="D65" i="33"/>
  <c r="D64" i="33"/>
  <c r="D62" i="33"/>
  <c r="D61" i="33"/>
  <c r="D59" i="33"/>
  <c r="D58" i="33"/>
  <c r="D56" i="33"/>
  <c r="D53" i="33"/>
  <c r="D52" i="33"/>
  <c r="D50" i="33"/>
  <c r="D49" i="33"/>
  <c r="AN3" i="4" l="1"/>
  <c r="AO3" i="4"/>
  <c r="AP3" i="4"/>
  <c r="AQ3" i="4"/>
  <c r="AR3" i="4"/>
  <c r="AS3" i="4"/>
  <c r="AT3" i="4"/>
  <c r="AU3" i="4"/>
  <c r="AV3" i="4"/>
  <c r="AW3" i="4"/>
  <c r="AX3" i="4"/>
  <c r="BW3" i="4"/>
  <c r="CB3" i="4"/>
  <c r="CC3" i="4"/>
  <c r="CD3" i="4"/>
  <c r="CG3" i="4"/>
  <c r="AN4" i="4"/>
  <c r="AO4" i="4"/>
  <c r="AP4" i="4"/>
  <c r="AQ4" i="4"/>
  <c r="AR4" i="4"/>
  <c r="AS4" i="4"/>
  <c r="AT4" i="4"/>
  <c r="AU4" i="4"/>
  <c r="AV4" i="4"/>
  <c r="AW4" i="4"/>
  <c r="AX4" i="4"/>
  <c r="BW4" i="4"/>
  <c r="CB4" i="4"/>
  <c r="CC4" i="4"/>
  <c r="CD4" i="4"/>
  <c r="CG4" i="4"/>
  <c r="AN5" i="4"/>
  <c r="AO5" i="4"/>
  <c r="AP5" i="4"/>
  <c r="AQ5" i="4"/>
  <c r="AR5" i="4"/>
  <c r="AS5" i="4"/>
  <c r="AT5" i="4"/>
  <c r="AU5" i="4"/>
  <c r="AV5" i="4"/>
  <c r="AW5" i="4"/>
  <c r="AX5" i="4"/>
  <c r="BW5" i="4"/>
  <c r="CB5" i="4"/>
  <c r="CC5" i="4"/>
  <c r="CD5" i="4"/>
  <c r="CG5" i="4"/>
  <c r="AN6" i="4"/>
  <c r="AO6" i="4"/>
  <c r="AP6" i="4"/>
  <c r="AQ6" i="4"/>
  <c r="AR6" i="4"/>
  <c r="AS6" i="4"/>
  <c r="AT6" i="4"/>
  <c r="AU6" i="4"/>
  <c r="AV6" i="4"/>
  <c r="AW6" i="4"/>
  <c r="AX6" i="4"/>
  <c r="BW6" i="4"/>
  <c r="CB6" i="4"/>
  <c r="CC6" i="4"/>
  <c r="CD6" i="4"/>
  <c r="CG6" i="4"/>
  <c r="AE3" i="4"/>
  <c r="AF3" i="4"/>
  <c r="AG3" i="4"/>
  <c r="AH3" i="4"/>
  <c r="AI3" i="4"/>
  <c r="AJ3" i="4"/>
  <c r="AK3" i="4"/>
  <c r="AL3" i="4"/>
  <c r="AM3" i="4"/>
  <c r="AF4" i="4"/>
  <c r="AG4" i="4"/>
  <c r="AH4" i="4"/>
  <c r="AI4" i="4"/>
  <c r="AJ4" i="4"/>
  <c r="AK4" i="4"/>
  <c r="AL4" i="4"/>
  <c r="AM4" i="4"/>
  <c r="AF5" i="4"/>
  <c r="AG5" i="4"/>
  <c r="AH5" i="4"/>
  <c r="AI5" i="4"/>
  <c r="AJ5" i="4"/>
  <c r="AK5" i="4"/>
  <c r="AL5" i="4"/>
  <c r="AM5" i="4"/>
  <c r="AE6" i="4"/>
  <c r="AF6" i="4"/>
  <c r="AG6" i="4"/>
  <c r="AH6" i="4"/>
  <c r="AI6" i="4"/>
  <c r="AJ6" i="4"/>
  <c r="AK6" i="4"/>
  <c r="AL6" i="4"/>
  <c r="AM6" i="4"/>
  <c r="AD4" i="4"/>
  <c r="AD5" i="4"/>
  <c r="AD6" i="4"/>
  <c r="AD3" i="4"/>
  <c r="AN8" i="45" l="1"/>
  <c r="AR8" i="47"/>
  <c r="AN8" i="44"/>
  <c r="AR8" i="46"/>
  <c r="AH8" i="45"/>
  <c r="AL8" i="47"/>
  <c r="AL8" i="46"/>
  <c r="AH8" i="44"/>
  <c r="AD8" i="45"/>
  <c r="AH8" i="47"/>
  <c r="AD8" i="44"/>
  <c r="AH8" i="46"/>
  <c r="Z8" i="45"/>
  <c r="AD8" i="47"/>
  <c r="Z8" i="44"/>
  <c r="AD8" i="46"/>
  <c r="V8" i="45"/>
  <c r="Z8" i="47"/>
  <c r="Z8" i="46"/>
  <c r="V8" i="44"/>
  <c r="R8" i="45"/>
  <c r="V8" i="47"/>
  <c r="R8" i="44"/>
  <c r="V8" i="46"/>
  <c r="P8" i="47"/>
  <c r="L8" i="44"/>
  <c r="P8" i="46"/>
  <c r="L8" i="45"/>
  <c r="K8" i="45"/>
  <c r="O8" i="47"/>
  <c r="K8" i="44"/>
  <c r="O8" i="46"/>
  <c r="G8" i="45"/>
  <c r="K8" i="47"/>
  <c r="G8" i="44"/>
  <c r="K8" i="46"/>
  <c r="AQ8" i="46"/>
  <c r="AM8" i="45"/>
  <c r="AM8" i="44"/>
  <c r="AQ8" i="47"/>
  <c r="AK8" i="46"/>
  <c r="AG8" i="44"/>
  <c r="AK8" i="47"/>
  <c r="AG8" i="45"/>
  <c r="AG8" i="46"/>
  <c r="AC8" i="45"/>
  <c r="AC8" i="44"/>
  <c r="AG8" i="47"/>
  <c r="AC8" i="46"/>
  <c r="Y8" i="45"/>
  <c r="AC8" i="47"/>
  <c r="Y8" i="44"/>
  <c r="Y8" i="46"/>
  <c r="Y8" i="47"/>
  <c r="U8" i="44"/>
  <c r="U8" i="45"/>
  <c r="U8" i="46"/>
  <c r="Q8" i="44"/>
  <c r="Q8" i="45"/>
  <c r="U8" i="47"/>
  <c r="L8" i="47"/>
  <c r="H8" i="44"/>
  <c r="H8" i="45"/>
  <c r="L8" i="46"/>
  <c r="J8" i="45"/>
  <c r="N8" i="47"/>
  <c r="J8" i="44"/>
  <c r="N8" i="46"/>
  <c r="F8" i="45"/>
  <c r="F14" i="45" s="1"/>
  <c r="J8" i="47"/>
  <c r="J14" i="47" s="1"/>
  <c r="F8" i="44"/>
  <c r="F14" i="44" s="1"/>
  <c r="J8" i="46"/>
  <c r="J14" i="46" s="1"/>
  <c r="AT8" i="47"/>
  <c r="AP8" i="44"/>
  <c r="AT8" i="46"/>
  <c r="AP8" i="45"/>
  <c r="AP8" i="47"/>
  <c r="AL8" i="44"/>
  <c r="AL8" i="45"/>
  <c r="AP8" i="46"/>
  <c r="AJ8" i="47"/>
  <c r="AF8" i="44"/>
  <c r="AJ8" i="46"/>
  <c r="AF8" i="45"/>
  <c r="AF8" i="47"/>
  <c r="AB8" i="44"/>
  <c r="AF8" i="46"/>
  <c r="AB8" i="45"/>
  <c r="AB8" i="47"/>
  <c r="X8" i="44"/>
  <c r="AB8" i="46"/>
  <c r="X8" i="45"/>
  <c r="X8" i="47"/>
  <c r="T8" i="44"/>
  <c r="X8" i="46"/>
  <c r="T8" i="45"/>
  <c r="T8" i="47"/>
  <c r="P8" i="44"/>
  <c r="T8" i="46"/>
  <c r="P8" i="45"/>
  <c r="N8" i="45"/>
  <c r="R8" i="47"/>
  <c r="R8" i="46"/>
  <c r="N8" i="44"/>
  <c r="Q8" i="46"/>
  <c r="M8" i="45"/>
  <c r="M8" i="44"/>
  <c r="Q8" i="47"/>
  <c r="M8" i="46"/>
  <c r="M8" i="47"/>
  <c r="I8" i="45"/>
  <c r="I8" i="44"/>
  <c r="AO8" i="45"/>
  <c r="AS8" i="47"/>
  <c r="AO8" i="44"/>
  <c r="AS8" i="46"/>
  <c r="AI8" i="45"/>
  <c r="AM8" i="47"/>
  <c r="AI8" i="44"/>
  <c r="AM8" i="46"/>
  <c r="AE8" i="45"/>
  <c r="AI8" i="47"/>
  <c r="AE8" i="44"/>
  <c r="AI8" i="46"/>
  <c r="AA8" i="45"/>
  <c r="AE8" i="47"/>
  <c r="AA8" i="44"/>
  <c r="AE8" i="46"/>
  <c r="W8" i="45"/>
  <c r="AA8" i="47"/>
  <c r="W8" i="44"/>
  <c r="AA8" i="46"/>
  <c r="S8" i="45"/>
  <c r="W8" i="47"/>
  <c r="S8" i="44"/>
  <c r="W8" i="46"/>
  <c r="O8" i="45"/>
  <c r="S8" i="47"/>
  <c r="O8" i="44"/>
  <c r="S8" i="46"/>
  <c r="K8" i="42"/>
  <c r="O8" i="41"/>
  <c r="O8" i="43"/>
  <c r="K8" i="33"/>
  <c r="AT8" i="41"/>
  <c r="AT8" i="43"/>
  <c r="AP8" i="33"/>
  <c r="AP8" i="42"/>
  <c r="AJ8" i="41"/>
  <c r="AJ8" i="43"/>
  <c r="AF8" i="42"/>
  <c r="AF8" i="33"/>
  <c r="AB8" i="41"/>
  <c r="AB8" i="43"/>
  <c r="X8" i="33"/>
  <c r="X8" i="42"/>
  <c r="T8" i="41"/>
  <c r="P8" i="33"/>
  <c r="T8" i="43"/>
  <c r="P8" i="42"/>
  <c r="M8" i="41"/>
  <c r="I8" i="33"/>
  <c r="I8" i="42"/>
  <c r="M8" i="43"/>
  <c r="AS8" i="41"/>
  <c r="AO8" i="42"/>
  <c r="AO8" i="33"/>
  <c r="AS8" i="43"/>
  <c r="AI8" i="43"/>
  <c r="AI8" i="41"/>
  <c r="AE8" i="33"/>
  <c r="AE8" i="42"/>
  <c r="AA8" i="41"/>
  <c r="W8" i="42"/>
  <c r="AA8" i="43"/>
  <c r="W8" i="33"/>
  <c r="S8" i="43"/>
  <c r="S8" i="41"/>
  <c r="O8" i="33"/>
  <c r="O8" i="42"/>
  <c r="Z8" i="33"/>
  <c r="Z8" i="42"/>
  <c r="AD8" i="41"/>
  <c r="AD8" i="43"/>
  <c r="J8" i="42"/>
  <c r="J8" i="33"/>
  <c r="N8" i="41"/>
  <c r="N8" i="43"/>
  <c r="L8" i="41"/>
  <c r="H8" i="33"/>
  <c r="H8" i="42"/>
  <c r="L8" i="43"/>
  <c r="AR8" i="41"/>
  <c r="AN8" i="42"/>
  <c r="AN8" i="33"/>
  <c r="AR8" i="43"/>
  <c r="AD8" i="42"/>
  <c r="AH8" i="43"/>
  <c r="AH8" i="41"/>
  <c r="AD8" i="33"/>
  <c r="Z8" i="43"/>
  <c r="V8" i="33"/>
  <c r="Z8" i="41"/>
  <c r="V8" i="42"/>
  <c r="K8" i="41"/>
  <c r="G8" i="33"/>
  <c r="G8" i="42"/>
  <c r="K8" i="43"/>
  <c r="AG8" i="43"/>
  <c r="AC8" i="42"/>
  <c r="AG8" i="41"/>
  <c r="AC8" i="33"/>
  <c r="Y8" i="43"/>
  <c r="U8" i="42"/>
  <c r="Y8" i="41"/>
  <c r="U8" i="33"/>
  <c r="AQ8" i="43"/>
  <c r="AM8" i="42"/>
  <c r="AQ8" i="41"/>
  <c r="AM8" i="33"/>
  <c r="N8" i="33"/>
  <c r="R8" i="41"/>
  <c r="N8" i="42"/>
  <c r="R8" i="43"/>
  <c r="J8" i="43"/>
  <c r="J14" i="43" s="1"/>
  <c r="F8" i="42"/>
  <c r="F14" i="42" s="1"/>
  <c r="J8" i="41"/>
  <c r="J14" i="41" s="1"/>
  <c r="F8" i="33"/>
  <c r="F14" i="33" s="1"/>
  <c r="AL8" i="33"/>
  <c r="AP8" i="43"/>
  <c r="AP8" i="41"/>
  <c r="AL8" i="42"/>
  <c r="AF8" i="43"/>
  <c r="AB8" i="42"/>
  <c r="AB8" i="33"/>
  <c r="AF8" i="41"/>
  <c r="T8" i="42"/>
  <c r="X8" i="43"/>
  <c r="X8" i="41"/>
  <c r="T8" i="33"/>
  <c r="Q8" i="43"/>
  <c r="M8" i="42"/>
  <c r="M8" i="33"/>
  <c r="Q8" i="41"/>
  <c r="AI8" i="42"/>
  <c r="AI8" i="33"/>
  <c r="AM8" i="41"/>
  <c r="AM8" i="43"/>
  <c r="AA8" i="42"/>
  <c r="AA8" i="33"/>
  <c r="AE8" i="43"/>
  <c r="AE8" i="41"/>
  <c r="S8" i="42"/>
  <c r="S8" i="33"/>
  <c r="W8" i="43"/>
  <c r="W8" i="41"/>
  <c r="AH8" i="33"/>
  <c r="AL8" i="41"/>
  <c r="AH8" i="42"/>
  <c r="AL8" i="43"/>
  <c r="L8" i="42"/>
  <c r="L8" i="33"/>
  <c r="P8" i="43"/>
  <c r="P8" i="41"/>
  <c r="R8" i="33"/>
  <c r="V8" i="41"/>
  <c r="R8" i="42"/>
  <c r="V8" i="43"/>
  <c r="AK8" i="41"/>
  <c r="AG8" i="33"/>
  <c r="AG8" i="42"/>
  <c r="AK8" i="43"/>
  <c r="AC8" i="41"/>
  <c r="Y8" i="33"/>
  <c r="Y8" i="42"/>
  <c r="AC8" i="43"/>
  <c r="U8" i="43"/>
  <c r="Q8" i="42"/>
  <c r="U8" i="41"/>
  <c r="Q8" i="33"/>
  <c r="S14" i="46" l="1"/>
  <c r="S2" i="46"/>
  <c r="W14" i="46"/>
  <c r="W2" i="46"/>
  <c r="AA2" i="46"/>
  <c r="AA14" i="46"/>
  <c r="AE14" i="46"/>
  <c r="AE2" i="46"/>
  <c r="AI14" i="46"/>
  <c r="AI2" i="46"/>
  <c r="AM14" i="46"/>
  <c r="AM2" i="46"/>
  <c r="AS2" i="46"/>
  <c r="AS14" i="46"/>
  <c r="I14" i="44"/>
  <c r="I2" i="44"/>
  <c r="Q14" i="47"/>
  <c r="Q2" i="47"/>
  <c r="N14" i="44"/>
  <c r="N2" i="44"/>
  <c r="P2" i="45"/>
  <c r="P14" i="45"/>
  <c r="T14" i="45"/>
  <c r="T2" i="45"/>
  <c r="X2" i="45"/>
  <c r="X14" i="45"/>
  <c r="AB14" i="45"/>
  <c r="AB2" i="45"/>
  <c r="AF2" i="45"/>
  <c r="AF14" i="45"/>
  <c r="AP14" i="46"/>
  <c r="AP2" i="46"/>
  <c r="AP14" i="45"/>
  <c r="AP2" i="45"/>
  <c r="N14" i="46"/>
  <c r="N2" i="46"/>
  <c r="L14" i="46"/>
  <c r="L2" i="46"/>
  <c r="U14" i="47"/>
  <c r="U2" i="47"/>
  <c r="U14" i="45"/>
  <c r="U2" i="45"/>
  <c r="Y14" i="44"/>
  <c r="Y2" i="44"/>
  <c r="AG14" i="47"/>
  <c r="AG2" i="47"/>
  <c r="AG14" i="45"/>
  <c r="AG2" i="45"/>
  <c r="AQ14" i="47"/>
  <c r="AQ2" i="47"/>
  <c r="K2" i="46"/>
  <c r="K14" i="46"/>
  <c r="O14" i="46"/>
  <c r="O2" i="46"/>
  <c r="L14" i="45"/>
  <c r="L2" i="45"/>
  <c r="V14" i="46"/>
  <c r="V2" i="46"/>
  <c r="V14" i="44"/>
  <c r="V2" i="44"/>
  <c r="AD14" i="46"/>
  <c r="AD2" i="46"/>
  <c r="AH14" i="46"/>
  <c r="AH2" i="46"/>
  <c r="AH2" i="44"/>
  <c r="AH14" i="44"/>
  <c r="AR2" i="46"/>
  <c r="AR14" i="46"/>
  <c r="O14" i="44"/>
  <c r="O2" i="44"/>
  <c r="S14" i="44"/>
  <c r="S2" i="44"/>
  <c r="W14" i="44"/>
  <c r="W2" i="44"/>
  <c r="AA14" i="44"/>
  <c r="AA2" i="44"/>
  <c r="AE14" i="44"/>
  <c r="AE2" i="44"/>
  <c r="AI14" i="44"/>
  <c r="AI2" i="44"/>
  <c r="AO14" i="44"/>
  <c r="AO2" i="44"/>
  <c r="I14" i="45"/>
  <c r="I2" i="45"/>
  <c r="M14" i="44"/>
  <c r="M2" i="44"/>
  <c r="R14" i="46"/>
  <c r="R2" i="46"/>
  <c r="T14" i="46"/>
  <c r="T2" i="46"/>
  <c r="X14" i="46"/>
  <c r="X2" i="46"/>
  <c r="AB2" i="46"/>
  <c r="AB14" i="46"/>
  <c r="AF14" i="46"/>
  <c r="AF2" i="46"/>
  <c r="AJ14" i="46"/>
  <c r="AJ2" i="46"/>
  <c r="AL2" i="45"/>
  <c r="AL14" i="45"/>
  <c r="AT14" i="46"/>
  <c r="AT2" i="46"/>
  <c r="J14" i="44"/>
  <c r="J2" i="44"/>
  <c r="H2" i="45"/>
  <c r="H14" i="45"/>
  <c r="Q14" i="45"/>
  <c r="Q2" i="45"/>
  <c r="U14" i="44"/>
  <c r="U2" i="44"/>
  <c r="AC14" i="47"/>
  <c r="AC2" i="47"/>
  <c r="AC14" i="44"/>
  <c r="AC2" i="44"/>
  <c r="AK14" i="47"/>
  <c r="AK2" i="47"/>
  <c r="AM14" i="44"/>
  <c r="AM2" i="44"/>
  <c r="G14" i="44"/>
  <c r="G2" i="44"/>
  <c r="K14" i="44"/>
  <c r="K2" i="44"/>
  <c r="P14" i="46"/>
  <c r="P2" i="46"/>
  <c r="R2" i="44"/>
  <c r="R14" i="44"/>
  <c r="Z14" i="46"/>
  <c r="Z2" i="46"/>
  <c r="Z14" i="44"/>
  <c r="Z2" i="44"/>
  <c r="AD14" i="44"/>
  <c r="AD2" i="44"/>
  <c r="AL14" i="46"/>
  <c r="AL2" i="46"/>
  <c r="AN2" i="44"/>
  <c r="AN14" i="44"/>
  <c r="S14" i="47"/>
  <c r="S2" i="47"/>
  <c r="W14" i="47"/>
  <c r="W2" i="47"/>
  <c r="AA14" i="47"/>
  <c r="AA2" i="47"/>
  <c r="AE14" i="47"/>
  <c r="AE2" i="47"/>
  <c r="AI14" i="47"/>
  <c r="AI2" i="47"/>
  <c r="AM14" i="47"/>
  <c r="AM2" i="47"/>
  <c r="AS2" i="47"/>
  <c r="AS14" i="47"/>
  <c r="M14" i="47"/>
  <c r="M2" i="47"/>
  <c r="M14" i="45"/>
  <c r="M2" i="45"/>
  <c r="R14" i="47"/>
  <c r="R2" i="47"/>
  <c r="P14" i="44"/>
  <c r="P2" i="44"/>
  <c r="T14" i="44"/>
  <c r="T2" i="44"/>
  <c r="X14" i="44"/>
  <c r="X2" i="44"/>
  <c r="AB14" i="44"/>
  <c r="AB2" i="44"/>
  <c r="AF14" i="44"/>
  <c r="AF2" i="44"/>
  <c r="AL14" i="44"/>
  <c r="AL2" i="44"/>
  <c r="AP14" i="44"/>
  <c r="AP2" i="44"/>
  <c r="N14" i="47"/>
  <c r="N2" i="47"/>
  <c r="H14" i="44"/>
  <c r="H2" i="44"/>
  <c r="Q14" i="44"/>
  <c r="Q2" i="44"/>
  <c r="Y14" i="47"/>
  <c r="Y2" i="47"/>
  <c r="Y14" i="45"/>
  <c r="Y2" i="45"/>
  <c r="AC14" i="45"/>
  <c r="AC2" i="45"/>
  <c r="AG14" i="44"/>
  <c r="AG2" i="44"/>
  <c r="AM2" i="45"/>
  <c r="AM14" i="45"/>
  <c r="K14" i="47"/>
  <c r="K2" i="47"/>
  <c r="O14" i="47"/>
  <c r="O2" i="47"/>
  <c r="L14" i="44"/>
  <c r="L2" i="44"/>
  <c r="V14" i="47"/>
  <c r="V2" i="47"/>
  <c r="Z2" i="47"/>
  <c r="Z14" i="47"/>
  <c r="AD14" i="47"/>
  <c r="AD2" i="47"/>
  <c r="AH14" i="47"/>
  <c r="AH2" i="47"/>
  <c r="AL2" i="47"/>
  <c r="AL14" i="47"/>
  <c r="AR14" i="47"/>
  <c r="AR2" i="47"/>
  <c r="O14" i="45"/>
  <c r="O2" i="45"/>
  <c r="S14" i="45"/>
  <c r="S2" i="45"/>
  <c r="W14" i="45"/>
  <c r="W2" i="45"/>
  <c r="AA14" i="45"/>
  <c r="AA2" i="45"/>
  <c r="AE14" i="45"/>
  <c r="AE2" i="45"/>
  <c r="AI14" i="45"/>
  <c r="AI2" i="45"/>
  <c r="AO14" i="45"/>
  <c r="AO2" i="45"/>
  <c r="M14" i="46"/>
  <c r="M2" i="46"/>
  <c r="Q14" i="46"/>
  <c r="Q2" i="46"/>
  <c r="N14" i="45"/>
  <c r="N2" i="45"/>
  <c r="T14" i="47"/>
  <c r="T2" i="47"/>
  <c r="X14" i="47"/>
  <c r="X2" i="47"/>
  <c r="AB14" i="47"/>
  <c r="AB2" i="47"/>
  <c r="AF14" i="47"/>
  <c r="AF2" i="47"/>
  <c r="AJ14" i="47"/>
  <c r="AJ2" i="47"/>
  <c r="AP2" i="47"/>
  <c r="AP14" i="47"/>
  <c r="AT14" i="47"/>
  <c r="AT2" i="47"/>
  <c r="J14" i="45"/>
  <c r="J2" i="45"/>
  <c r="L14" i="47"/>
  <c r="L2" i="47"/>
  <c r="U14" i="46"/>
  <c r="U2" i="46"/>
  <c r="Y14" i="46"/>
  <c r="Y2" i="46"/>
  <c r="AC14" i="46"/>
  <c r="AC2" i="46"/>
  <c r="AG14" i="46"/>
  <c r="AG2" i="46"/>
  <c r="AK14" i="46"/>
  <c r="AK2" i="46"/>
  <c r="AQ14" i="46"/>
  <c r="AQ2" i="46"/>
  <c r="G14" i="45"/>
  <c r="G2" i="45"/>
  <c r="K14" i="45"/>
  <c r="K2" i="45"/>
  <c r="P14" i="47"/>
  <c r="P2" i="47"/>
  <c r="R14" i="45"/>
  <c r="R2" i="45"/>
  <c r="V14" i="45"/>
  <c r="V2" i="45"/>
  <c r="Z14" i="45"/>
  <c r="Z2" i="45"/>
  <c r="AD14" i="45"/>
  <c r="AD2" i="45"/>
  <c r="AH14" i="45"/>
  <c r="AH2" i="45"/>
  <c r="AN14" i="45"/>
  <c r="AN2" i="45"/>
  <c r="Q14" i="33"/>
  <c r="Q2" i="33"/>
  <c r="AC14" i="43"/>
  <c r="AC2" i="43"/>
  <c r="AK14" i="43"/>
  <c r="AK2" i="43"/>
  <c r="V14" i="43"/>
  <c r="V2" i="43"/>
  <c r="P14" i="41"/>
  <c r="P2" i="41"/>
  <c r="AL14" i="43"/>
  <c r="AL2" i="43"/>
  <c r="W14" i="41"/>
  <c r="W2" i="41"/>
  <c r="AE14" i="41"/>
  <c r="AE2" i="41"/>
  <c r="AM14" i="43"/>
  <c r="AM2" i="43"/>
  <c r="Q14" i="41"/>
  <c r="Q2" i="41"/>
  <c r="T14" i="33"/>
  <c r="T2" i="33"/>
  <c r="AF14" i="41"/>
  <c r="AF2" i="41"/>
  <c r="AL14" i="42"/>
  <c r="AL2" i="42"/>
  <c r="R14" i="43"/>
  <c r="R2" i="43"/>
  <c r="AM14" i="33"/>
  <c r="AM2" i="33"/>
  <c r="U14" i="33"/>
  <c r="U2" i="33"/>
  <c r="AC14" i="33"/>
  <c r="AC2" i="33"/>
  <c r="K14" i="43"/>
  <c r="K2" i="43"/>
  <c r="V14" i="42"/>
  <c r="V2" i="42"/>
  <c r="AD14" i="33"/>
  <c r="AD2" i="33"/>
  <c r="AR14" i="43"/>
  <c r="AR2" i="43"/>
  <c r="L14" i="43"/>
  <c r="L2" i="43"/>
  <c r="N14" i="43"/>
  <c r="N2" i="43"/>
  <c r="AD14" i="43"/>
  <c r="AD2" i="43"/>
  <c r="O14" i="42"/>
  <c r="O2" i="42"/>
  <c r="W14" i="33"/>
  <c r="W2" i="33"/>
  <c r="AE14" i="42"/>
  <c r="AE2" i="42"/>
  <c r="AS14" i="43"/>
  <c r="AS2" i="43"/>
  <c r="M14" i="43"/>
  <c r="M2" i="43"/>
  <c r="P14" i="42"/>
  <c r="P2" i="42"/>
  <c r="X14" i="42"/>
  <c r="X2" i="42"/>
  <c r="AF14" i="33"/>
  <c r="AF2" i="33"/>
  <c r="AP14" i="42"/>
  <c r="AP2" i="42"/>
  <c r="K14" i="33"/>
  <c r="K2" i="33"/>
  <c r="U14" i="41"/>
  <c r="U2" i="41"/>
  <c r="Y14" i="42"/>
  <c r="Y2" i="42"/>
  <c r="AG14" i="42"/>
  <c r="AG2" i="42"/>
  <c r="R14" i="42"/>
  <c r="R2" i="42"/>
  <c r="P14" i="43"/>
  <c r="P2" i="43"/>
  <c r="AH14" i="42"/>
  <c r="AH2" i="42"/>
  <c r="W14" i="43"/>
  <c r="W2" i="43"/>
  <c r="AE14" i="43"/>
  <c r="AE2" i="43"/>
  <c r="AM14" i="41"/>
  <c r="AM2" i="41"/>
  <c r="M14" i="33"/>
  <c r="M2" i="33"/>
  <c r="X14" i="41"/>
  <c r="X2" i="41"/>
  <c r="AB14" i="33"/>
  <c r="AB2" i="33"/>
  <c r="AP14" i="41"/>
  <c r="AP2" i="41"/>
  <c r="N14" i="42"/>
  <c r="N2" i="42"/>
  <c r="AQ14" i="41"/>
  <c r="AQ2" i="41"/>
  <c r="Y14" i="41"/>
  <c r="Y2" i="41"/>
  <c r="AG14" i="41"/>
  <c r="AG2" i="41"/>
  <c r="G14" i="42"/>
  <c r="G2" i="42"/>
  <c r="Z14" i="41"/>
  <c r="Z2" i="41"/>
  <c r="AH14" i="41"/>
  <c r="AH2" i="41"/>
  <c r="AN14" i="33"/>
  <c r="AN2" i="33"/>
  <c r="H14" i="42"/>
  <c r="H2" i="42"/>
  <c r="N14" i="41"/>
  <c r="N2" i="41"/>
  <c r="AD14" i="41"/>
  <c r="AD2" i="41"/>
  <c r="O14" i="33"/>
  <c r="O2" i="33"/>
  <c r="AA14" i="43"/>
  <c r="AA2" i="43"/>
  <c r="AE14" i="33"/>
  <c r="AE2" i="33"/>
  <c r="AO14" i="33"/>
  <c r="AO2" i="33"/>
  <c r="I14" i="42"/>
  <c r="I2" i="42"/>
  <c r="T14" i="43"/>
  <c r="T2" i="43"/>
  <c r="X14" i="33"/>
  <c r="X2" i="33"/>
  <c r="AF14" i="42"/>
  <c r="AF2" i="42"/>
  <c r="AP14" i="33"/>
  <c r="AP2" i="33"/>
  <c r="O14" i="43"/>
  <c r="O2" i="43"/>
  <c r="Q14" i="42"/>
  <c r="Q2" i="42"/>
  <c r="Y14" i="33"/>
  <c r="Y2" i="33"/>
  <c r="AG14" i="33"/>
  <c r="AG2" i="33"/>
  <c r="V14" i="41"/>
  <c r="V2" i="41"/>
  <c r="L14" i="33"/>
  <c r="L2" i="33"/>
  <c r="AL14" i="41"/>
  <c r="AL2" i="41"/>
  <c r="S14" i="33"/>
  <c r="S2" i="33"/>
  <c r="AA14" i="33"/>
  <c r="AA2" i="33"/>
  <c r="AI14" i="33"/>
  <c r="AI2" i="33"/>
  <c r="M14" i="42"/>
  <c r="M2" i="42"/>
  <c r="X14" i="43"/>
  <c r="X2" i="43"/>
  <c r="AB14" i="42"/>
  <c r="AB2" i="42"/>
  <c r="AP14" i="43"/>
  <c r="AP2" i="43"/>
  <c r="R14" i="41"/>
  <c r="R2" i="41"/>
  <c r="AM14" i="42"/>
  <c r="AM2" i="42"/>
  <c r="U14" i="42"/>
  <c r="U2" i="42"/>
  <c r="AC14" i="42"/>
  <c r="AC2" i="42"/>
  <c r="G14" i="33"/>
  <c r="G2" i="33"/>
  <c r="V14" i="33"/>
  <c r="V2" i="33"/>
  <c r="AH14" i="43"/>
  <c r="AH2" i="43"/>
  <c r="AN14" i="42"/>
  <c r="AN2" i="42"/>
  <c r="H14" i="33"/>
  <c r="H2" i="33"/>
  <c r="J14" i="33"/>
  <c r="J2" i="33"/>
  <c r="Z14" i="42"/>
  <c r="Z2" i="42"/>
  <c r="S14" i="41"/>
  <c r="S2" i="41"/>
  <c r="W14" i="42"/>
  <c r="W2" i="42"/>
  <c r="AI14" i="41"/>
  <c r="AI2" i="41"/>
  <c r="AO14" i="42"/>
  <c r="AO2" i="42"/>
  <c r="I14" i="33"/>
  <c r="I2" i="33"/>
  <c r="P14" i="33"/>
  <c r="P2" i="33"/>
  <c r="AB14" i="43"/>
  <c r="AB2" i="43"/>
  <c r="AJ14" i="43"/>
  <c r="AJ2" i="43"/>
  <c r="AT14" i="43"/>
  <c r="AT2" i="43"/>
  <c r="O14" i="41"/>
  <c r="O2" i="41"/>
  <c r="U14" i="43"/>
  <c r="U2" i="43"/>
  <c r="AC14" i="41"/>
  <c r="AC2" i="41"/>
  <c r="AK14" i="41"/>
  <c r="AK2" i="41"/>
  <c r="R14" i="33"/>
  <c r="R2" i="33"/>
  <c r="L14" i="42"/>
  <c r="L2" i="42"/>
  <c r="AH14" i="33"/>
  <c r="AH2" i="33"/>
  <c r="S14" i="42"/>
  <c r="S2" i="42"/>
  <c r="AA14" i="42"/>
  <c r="AA2" i="42"/>
  <c r="AI14" i="42"/>
  <c r="AI2" i="42"/>
  <c r="Q14" i="43"/>
  <c r="Q2" i="43"/>
  <c r="T14" i="42"/>
  <c r="T2" i="42"/>
  <c r="AF14" i="43"/>
  <c r="AF2" i="43"/>
  <c r="AL14" i="33"/>
  <c r="AL2" i="33"/>
  <c r="N14" i="33"/>
  <c r="N2" i="33"/>
  <c r="AQ14" i="43"/>
  <c r="AQ2" i="43"/>
  <c r="Y14" i="43"/>
  <c r="Y2" i="43"/>
  <c r="AG14" i="43"/>
  <c r="AG2" i="43"/>
  <c r="K14" i="41"/>
  <c r="K2" i="41"/>
  <c r="Z14" i="43"/>
  <c r="Z2" i="43"/>
  <c r="AD14" i="42"/>
  <c r="AD2" i="42"/>
  <c r="AR14" i="41"/>
  <c r="AR2" i="41"/>
  <c r="L14" i="41"/>
  <c r="L2" i="41"/>
  <c r="J14" i="42"/>
  <c r="J2" i="42"/>
  <c r="Z14" i="33"/>
  <c r="Z2" i="33"/>
  <c r="S14" i="43"/>
  <c r="S2" i="43"/>
  <c r="AA14" i="41"/>
  <c r="AA2" i="41"/>
  <c r="AI14" i="43"/>
  <c r="AI2" i="43"/>
  <c r="AS14" i="41"/>
  <c r="AS2" i="41"/>
  <c r="M14" i="41"/>
  <c r="M2" i="41"/>
  <c r="T14" i="41"/>
  <c r="T2" i="41"/>
  <c r="AB14" i="41"/>
  <c r="AB2" i="41"/>
  <c r="AJ14" i="41"/>
  <c r="AJ2" i="41"/>
  <c r="AT14" i="41"/>
  <c r="AT2" i="41"/>
  <c r="K14" i="42"/>
  <c r="K2" i="42"/>
  <c r="D4" i="4" l="1"/>
  <c r="D3" i="4"/>
  <c r="CI27" i="4" l="1"/>
  <c r="DB28" i="4"/>
  <c r="DB27" i="4"/>
  <c r="CI28" i="4"/>
  <c r="CH27" i="4"/>
  <c r="CL27" i="4"/>
  <c r="CL28" i="4"/>
  <c r="CH28" i="4"/>
  <c r="CI124" i="4"/>
  <c r="CI122" i="4"/>
  <c r="DB121" i="4"/>
  <c r="CI121" i="4"/>
  <c r="CI123" i="4"/>
  <c r="DB123" i="4"/>
  <c r="DB122" i="4"/>
  <c r="DB124" i="4"/>
  <c r="CH124" i="4"/>
  <c r="CK124" i="4" s="1"/>
  <c r="CH121" i="4"/>
  <c r="CL121" i="4"/>
  <c r="CL123" i="4"/>
  <c r="CH122" i="4"/>
  <c r="CH123" i="4"/>
  <c r="CL122" i="4"/>
  <c r="CL124" i="4"/>
  <c r="DB43" i="4"/>
  <c r="CI43" i="4"/>
  <c r="CL43" i="4"/>
  <c r="CH43" i="4"/>
  <c r="DB112" i="4"/>
  <c r="DB119" i="4"/>
  <c r="CI118" i="4"/>
  <c r="CI120" i="4"/>
  <c r="DB120" i="4"/>
  <c r="CI119" i="4"/>
  <c r="DB118" i="4"/>
  <c r="CI117" i="4"/>
  <c r="CI112" i="4"/>
  <c r="DB113" i="4"/>
  <c r="CI113" i="4"/>
  <c r="DB114" i="4"/>
  <c r="CI114" i="4"/>
  <c r="DB115" i="4"/>
  <c r="CI115" i="4"/>
  <c r="DB116" i="4"/>
  <c r="CI116" i="4"/>
  <c r="DB117" i="4"/>
  <c r="CH116" i="4"/>
  <c r="CL117" i="4"/>
  <c r="CL116" i="4"/>
  <c r="CH117" i="4"/>
  <c r="CH115" i="4"/>
  <c r="CL118" i="4"/>
  <c r="CL115" i="4"/>
  <c r="CH119" i="4"/>
  <c r="CH114" i="4"/>
  <c r="CL120" i="4"/>
  <c r="CL114" i="4"/>
  <c r="CH120" i="4"/>
  <c r="CH113" i="4"/>
  <c r="CH118" i="4"/>
  <c r="CL113" i="4"/>
  <c r="CL119" i="4"/>
  <c r="CH112" i="4"/>
  <c r="CL112" i="4"/>
  <c r="CH82" i="4"/>
  <c r="CL82" i="4"/>
  <c r="CI82" i="4"/>
  <c r="DB82" i="4"/>
  <c r="CH29" i="4"/>
  <c r="CL29" i="4"/>
  <c r="CI29" i="4"/>
  <c r="CK29" i="4" s="1"/>
  <c r="DB29" i="4"/>
  <c r="CH89" i="4"/>
  <c r="CL89" i="4"/>
  <c r="CI89" i="4"/>
  <c r="DB89" i="4"/>
  <c r="CH107" i="4"/>
  <c r="CL107" i="4"/>
  <c r="CI107" i="4"/>
  <c r="DB107" i="4"/>
  <c r="CL100" i="4"/>
  <c r="CH100" i="4"/>
  <c r="CI100" i="4"/>
  <c r="DB100" i="4"/>
  <c r="CH38" i="4"/>
  <c r="CH39" i="4"/>
  <c r="CL38" i="4"/>
  <c r="CL39" i="4"/>
  <c r="CI38" i="4"/>
  <c r="CI39" i="4"/>
  <c r="DB38" i="4"/>
  <c r="DB39" i="4"/>
  <c r="CH54" i="4"/>
  <c r="CL54" i="4"/>
  <c r="CI54" i="4"/>
  <c r="DB54" i="4"/>
  <c r="CH56" i="4"/>
  <c r="CH57" i="4"/>
  <c r="CH58" i="4"/>
  <c r="CL56" i="4"/>
  <c r="CL57" i="4"/>
  <c r="CL58" i="4"/>
  <c r="CI57" i="4"/>
  <c r="CI58" i="4"/>
  <c r="DB56" i="4"/>
  <c r="DB57" i="4"/>
  <c r="DB58" i="4"/>
  <c r="CI56" i="4"/>
  <c r="CH25" i="4"/>
  <c r="CL25" i="4"/>
  <c r="CI25" i="4"/>
  <c r="DB25" i="4"/>
  <c r="CH24" i="4"/>
  <c r="CL24" i="4"/>
  <c r="CI24" i="4"/>
  <c r="DB24" i="4"/>
  <c r="CH96" i="4"/>
  <c r="CL97" i="4"/>
  <c r="CH97" i="4"/>
  <c r="CL95" i="4"/>
  <c r="CL96" i="4"/>
  <c r="CH95" i="4"/>
  <c r="DB95" i="4"/>
  <c r="CI97" i="4"/>
  <c r="CI96" i="4"/>
  <c r="DB96" i="4"/>
  <c r="DB97" i="4"/>
  <c r="CI95" i="4"/>
  <c r="CL91" i="4"/>
  <c r="CH91" i="4"/>
  <c r="DB91" i="4"/>
  <c r="CI91" i="4"/>
  <c r="CH62" i="4"/>
  <c r="CL62" i="4"/>
  <c r="DB62" i="4"/>
  <c r="CI62" i="4"/>
  <c r="CH63" i="4"/>
  <c r="CL63" i="4"/>
  <c r="CI63" i="4"/>
  <c r="DB63" i="4"/>
  <c r="CI61" i="4"/>
  <c r="DB61" i="4"/>
  <c r="CH61" i="4"/>
  <c r="CL61" i="4"/>
  <c r="CH101" i="4"/>
  <c r="CH110" i="4"/>
  <c r="CL102" i="4"/>
  <c r="CL111" i="4"/>
  <c r="CH102" i="4"/>
  <c r="CH111" i="4"/>
  <c r="CL103" i="4"/>
  <c r="CH103" i="4"/>
  <c r="CL104" i="4"/>
  <c r="CH104" i="4"/>
  <c r="CL105" i="4"/>
  <c r="CH105" i="4"/>
  <c r="CL106" i="4"/>
  <c r="CH106" i="4"/>
  <c r="CL108" i="4"/>
  <c r="CH108" i="4"/>
  <c r="CL109" i="4"/>
  <c r="CH109" i="4"/>
  <c r="CL101" i="4"/>
  <c r="CL110" i="4"/>
  <c r="CI103" i="4"/>
  <c r="DB108" i="4"/>
  <c r="CI104" i="4"/>
  <c r="DB109" i="4"/>
  <c r="CI105" i="4"/>
  <c r="DB101" i="4"/>
  <c r="DB110" i="4"/>
  <c r="CI106" i="4"/>
  <c r="DB102" i="4"/>
  <c r="DB111" i="4"/>
  <c r="CI108" i="4"/>
  <c r="DB103" i="4"/>
  <c r="CI109" i="4"/>
  <c r="DB104" i="4"/>
  <c r="CI101" i="4"/>
  <c r="CI110" i="4"/>
  <c r="DB105" i="4"/>
  <c r="CI102" i="4"/>
  <c r="CI111" i="4"/>
  <c r="DB106" i="4"/>
  <c r="CH52" i="4"/>
  <c r="CH65" i="4"/>
  <c r="CH73" i="4"/>
  <c r="CH80" i="4"/>
  <c r="CH99" i="4"/>
  <c r="CL59" i="4"/>
  <c r="CL69" i="4"/>
  <c r="CL76" i="4"/>
  <c r="CL85" i="4"/>
  <c r="CL94" i="4"/>
  <c r="CH53" i="4"/>
  <c r="CH66" i="4"/>
  <c r="CH74" i="4"/>
  <c r="CH81" i="4"/>
  <c r="CH90" i="4"/>
  <c r="CL60" i="4"/>
  <c r="CL70" i="4"/>
  <c r="CL77" i="4"/>
  <c r="CL86" i="4"/>
  <c r="CH67" i="4"/>
  <c r="CH75" i="4"/>
  <c r="CH83" i="4"/>
  <c r="CH92" i="4"/>
  <c r="CL71" i="4"/>
  <c r="CL78" i="4"/>
  <c r="CL87" i="4"/>
  <c r="CH55" i="4"/>
  <c r="CH68" i="4"/>
  <c r="CH84" i="4"/>
  <c r="CH93" i="4"/>
  <c r="CL64" i="4"/>
  <c r="CL72" i="4"/>
  <c r="CL79" i="4"/>
  <c r="CL88" i="4"/>
  <c r="CL98" i="4"/>
  <c r="CH59" i="4"/>
  <c r="CH76" i="4"/>
  <c r="CH94" i="4"/>
  <c r="CL55" i="4"/>
  <c r="CL93" i="4"/>
  <c r="CH60" i="4"/>
  <c r="CH77" i="4"/>
  <c r="CL65" i="4"/>
  <c r="CL80" i="4"/>
  <c r="CL99" i="4"/>
  <c r="CH78" i="4"/>
  <c r="CL66" i="4"/>
  <c r="CL81" i="4"/>
  <c r="CH64" i="4"/>
  <c r="CH79" i="4"/>
  <c r="CH98" i="4"/>
  <c r="CL67" i="4"/>
  <c r="CL83" i="4"/>
  <c r="CH69" i="4"/>
  <c r="CH85" i="4"/>
  <c r="CL68" i="4"/>
  <c r="CL84" i="4"/>
  <c r="CH70" i="4"/>
  <c r="CH86" i="4"/>
  <c r="CL52" i="4"/>
  <c r="CL73" i="4"/>
  <c r="CH71" i="4"/>
  <c r="CL53" i="4"/>
  <c r="CH72" i="4"/>
  <c r="CL74" i="4"/>
  <c r="CH87" i="4"/>
  <c r="CL75" i="4"/>
  <c r="CH88" i="4"/>
  <c r="CL90" i="4"/>
  <c r="CL92" i="4"/>
  <c r="CI64" i="4"/>
  <c r="CI72" i="4"/>
  <c r="CI79" i="4"/>
  <c r="CI88" i="4"/>
  <c r="CI98" i="4"/>
  <c r="CI52" i="4"/>
  <c r="CI65" i="4"/>
  <c r="CI73" i="4"/>
  <c r="CI80" i="4"/>
  <c r="CI99" i="4"/>
  <c r="CI53" i="4"/>
  <c r="CI66" i="4"/>
  <c r="CI74" i="4"/>
  <c r="CI81" i="4"/>
  <c r="CI90" i="4"/>
  <c r="CI67" i="4"/>
  <c r="CI75" i="4"/>
  <c r="CI83" i="4"/>
  <c r="CI92" i="4"/>
  <c r="CI68" i="4"/>
  <c r="CI84" i="4"/>
  <c r="DB64" i="4"/>
  <c r="DB72" i="4"/>
  <c r="DB79" i="4"/>
  <c r="DB88" i="4"/>
  <c r="DB98" i="4"/>
  <c r="CI69" i="4"/>
  <c r="CI85" i="4"/>
  <c r="DB52" i="4"/>
  <c r="DB65" i="4"/>
  <c r="DB73" i="4"/>
  <c r="DB80" i="4"/>
  <c r="DB99" i="4"/>
  <c r="CI70" i="4"/>
  <c r="CI86" i="4"/>
  <c r="DB53" i="4"/>
  <c r="DB66" i="4"/>
  <c r="DB74" i="4"/>
  <c r="DB81" i="4"/>
  <c r="DB90" i="4"/>
  <c r="CI71" i="4"/>
  <c r="CI87" i="4"/>
  <c r="CI55" i="4"/>
  <c r="CI93" i="4"/>
  <c r="DB55" i="4"/>
  <c r="DB68" i="4"/>
  <c r="DB84" i="4"/>
  <c r="DB93" i="4"/>
  <c r="CI59" i="4"/>
  <c r="CI76" i="4"/>
  <c r="CI94" i="4"/>
  <c r="DB59" i="4"/>
  <c r="DB76" i="4"/>
  <c r="DB94" i="4"/>
  <c r="DB71" i="4"/>
  <c r="DB92" i="4"/>
  <c r="DB60" i="4"/>
  <c r="DB77" i="4"/>
  <c r="CI77" i="4"/>
  <c r="DB87" i="4"/>
  <c r="DB78" i="4"/>
  <c r="DB70" i="4"/>
  <c r="DB75" i="4"/>
  <c r="DB67" i="4"/>
  <c r="DB83" i="4"/>
  <c r="DB86" i="4"/>
  <c r="CI78" i="4"/>
  <c r="CI60" i="4"/>
  <c r="DB69" i="4"/>
  <c r="DB85" i="4"/>
  <c r="CH33" i="4"/>
  <c r="CH51" i="4"/>
  <c r="CL33" i="4"/>
  <c r="CL51" i="4"/>
  <c r="CH13" i="4"/>
  <c r="CH21" i="4"/>
  <c r="CL14" i="4"/>
  <c r="CL22" i="4"/>
  <c r="CL15" i="4"/>
  <c r="CL11" i="4"/>
  <c r="CL49" i="4"/>
  <c r="CL12" i="4"/>
  <c r="CL42" i="4"/>
  <c r="CH20" i="4"/>
  <c r="CL21" i="4"/>
  <c r="CH34" i="4"/>
  <c r="CH44" i="4"/>
  <c r="CL34" i="4"/>
  <c r="CL44" i="4"/>
  <c r="CH14" i="4"/>
  <c r="CH22" i="4"/>
  <c r="CH10" i="4"/>
  <c r="CL31" i="4"/>
  <c r="CH19" i="4"/>
  <c r="CH50" i="4"/>
  <c r="CL50" i="4"/>
  <c r="CH35" i="4"/>
  <c r="CH45" i="4"/>
  <c r="CL35" i="4"/>
  <c r="CL45" i="4"/>
  <c r="CH15" i="4"/>
  <c r="CL16" i="4"/>
  <c r="CH49" i="4"/>
  <c r="CL41" i="4"/>
  <c r="CH23" i="4"/>
  <c r="CH36" i="4"/>
  <c r="CH46" i="4"/>
  <c r="CL23" i="4"/>
  <c r="CL36" i="4"/>
  <c r="CL46" i="4"/>
  <c r="CH16" i="4"/>
  <c r="CL17" i="4"/>
  <c r="CH30" i="4"/>
  <c r="CL40" i="4"/>
  <c r="CL19" i="4"/>
  <c r="CH31" i="4"/>
  <c r="CH11" i="4"/>
  <c r="CL20" i="4"/>
  <c r="CH42" i="4"/>
  <c r="CH12" i="4"/>
  <c r="CH26" i="4"/>
  <c r="CH37" i="4"/>
  <c r="CH47" i="4"/>
  <c r="CL26" i="4"/>
  <c r="CL37" i="4"/>
  <c r="CL47" i="4"/>
  <c r="CH17" i="4"/>
  <c r="CL10" i="4"/>
  <c r="CL18" i="4"/>
  <c r="CH40" i="4"/>
  <c r="CH48" i="4"/>
  <c r="CL30" i="4"/>
  <c r="CL48" i="4"/>
  <c r="CH18" i="4"/>
  <c r="CH41" i="4"/>
  <c r="CH32" i="4"/>
  <c r="CL32" i="4"/>
  <c r="CL13" i="4"/>
  <c r="CI26" i="4"/>
  <c r="CI37" i="4"/>
  <c r="CI47" i="4"/>
  <c r="DB33" i="4"/>
  <c r="DB51" i="4"/>
  <c r="CI16" i="4"/>
  <c r="DB10" i="4"/>
  <c r="DB18" i="4"/>
  <c r="DB19" i="4"/>
  <c r="CI13" i="4"/>
  <c r="DB15" i="4"/>
  <c r="DB49" i="4"/>
  <c r="CI14" i="4"/>
  <c r="CI23" i="4"/>
  <c r="CI30" i="4"/>
  <c r="CI40" i="4"/>
  <c r="CI48" i="4"/>
  <c r="DB34" i="4"/>
  <c r="DB44" i="4"/>
  <c r="CI17" i="4"/>
  <c r="DB11" i="4"/>
  <c r="CI45" i="4"/>
  <c r="DB16" i="4"/>
  <c r="DB42" i="4"/>
  <c r="CI15" i="4"/>
  <c r="CI31" i="4"/>
  <c r="CI41" i="4"/>
  <c r="CI49" i="4"/>
  <c r="DB35" i="4"/>
  <c r="DB45" i="4"/>
  <c r="CI10" i="4"/>
  <c r="CI18" i="4"/>
  <c r="DB12" i="4"/>
  <c r="DB20" i="4"/>
  <c r="DB32" i="4"/>
  <c r="DB17" i="4"/>
  <c r="CI32" i="4"/>
  <c r="CI42" i="4"/>
  <c r="CI50" i="4"/>
  <c r="DB23" i="4"/>
  <c r="DB36" i="4"/>
  <c r="DB46" i="4"/>
  <c r="CI11" i="4"/>
  <c r="CI19" i="4"/>
  <c r="DB13" i="4"/>
  <c r="DB21" i="4"/>
  <c r="CI34" i="4"/>
  <c r="DB30" i="4"/>
  <c r="DB48" i="4"/>
  <c r="CI21" i="4"/>
  <c r="DB41" i="4"/>
  <c r="CI22" i="4"/>
  <c r="CI36" i="4"/>
  <c r="CI33" i="4"/>
  <c r="CI51" i="4"/>
  <c r="DB26" i="4"/>
  <c r="DB37" i="4"/>
  <c r="DB47" i="4"/>
  <c r="CI12" i="4"/>
  <c r="CI20" i="4"/>
  <c r="DB14" i="4"/>
  <c r="DB22" i="4"/>
  <c r="CI44" i="4"/>
  <c r="DB40" i="4"/>
  <c r="CI35" i="4"/>
  <c r="DB31" i="4"/>
  <c r="CI46" i="4"/>
  <c r="DB50" i="4"/>
  <c r="D5" i="4"/>
  <c r="CK122" i="4" l="1"/>
  <c r="CK72" i="4"/>
  <c r="CM9" i="4" a="1"/>
  <c r="CM9" i="4" s="1"/>
  <c r="CK27" i="4"/>
  <c r="CN27" i="4" s="1"/>
  <c r="CK28" i="4"/>
  <c r="CQ28" i="4" s="1"/>
  <c r="CQ27" i="4"/>
  <c r="CO27" i="4"/>
  <c r="CM27" i="4" a="1"/>
  <c r="CM27" i="4" s="1"/>
  <c r="CM28" i="4" a="1"/>
  <c r="CM28" i="4" s="1"/>
  <c r="CK96" i="4"/>
  <c r="CN96" i="4" s="1"/>
  <c r="CQ124" i="4"/>
  <c r="CP124" i="4"/>
  <c r="CO124" i="4"/>
  <c r="CN124" i="4"/>
  <c r="CN122" i="4"/>
  <c r="CO122" i="4"/>
  <c r="CQ122" i="4"/>
  <c r="CP122" i="4"/>
  <c r="CK121" i="4"/>
  <c r="CK123" i="4"/>
  <c r="CK43" i="4"/>
  <c r="CK118" i="4"/>
  <c r="CK120" i="4"/>
  <c r="CK119" i="4"/>
  <c r="CK117" i="4"/>
  <c r="CK112" i="4"/>
  <c r="CK113" i="4"/>
  <c r="CK114" i="4"/>
  <c r="CK115" i="4"/>
  <c r="CK116" i="4"/>
  <c r="CM118" i="4" a="1"/>
  <c r="CM118" i="4" s="1"/>
  <c r="CM120" i="4" a="1"/>
  <c r="CM120" i="4" s="1"/>
  <c r="CM117" i="4" a="1"/>
  <c r="CM117" i="4" s="1"/>
  <c r="CM115" i="4" a="1"/>
  <c r="CM115" i="4" s="1"/>
  <c r="CM114" i="4" a="1"/>
  <c r="CM114" i="4" s="1"/>
  <c r="CK103" i="4"/>
  <c r="CK82" i="4"/>
  <c r="CO82" i="4" s="1"/>
  <c r="CM82" i="4" a="1"/>
  <c r="CM82" i="4" s="1"/>
  <c r="CO29" i="4"/>
  <c r="CP29" i="4"/>
  <c r="CQ29" i="4"/>
  <c r="CN29" i="4"/>
  <c r="CM29" i="4" a="1"/>
  <c r="CM29" i="4" s="1"/>
  <c r="CR29" i="4" s="1"/>
  <c r="CK36" i="4"/>
  <c r="CN36" i="4" s="1"/>
  <c r="CK89" i="4"/>
  <c r="CO89" i="4" s="1"/>
  <c r="CM89" i="4" a="1"/>
  <c r="CM89" i="4" s="1"/>
  <c r="CK107" i="4"/>
  <c r="CN107" i="4" s="1"/>
  <c r="CK100" i="4"/>
  <c r="CN100" i="4" s="1"/>
  <c r="CM107" i="4" a="1"/>
  <c r="CM107" i="4" s="1"/>
  <c r="CK38" i="4"/>
  <c r="CN38" i="4" s="1"/>
  <c r="CM100" i="4" a="1"/>
  <c r="CM100" i="4" s="1"/>
  <c r="CK57" i="4"/>
  <c r="CP57" i="4" s="1"/>
  <c r="CK39" i="4"/>
  <c r="CM38" i="4" a="1"/>
  <c r="CM38" i="4" s="1"/>
  <c r="CM39" i="4" a="1"/>
  <c r="CM39" i="4" s="1"/>
  <c r="CM54" i="4" a="1"/>
  <c r="CM54" i="4" s="1"/>
  <c r="CK54" i="4"/>
  <c r="CK56" i="4"/>
  <c r="CQ56" i="4" s="1"/>
  <c r="CK58" i="4"/>
  <c r="CM57" i="4" a="1"/>
  <c r="CM57" i="4" s="1"/>
  <c r="CM56" i="4" a="1"/>
  <c r="CM56" i="4" s="1"/>
  <c r="CM58" i="4" a="1"/>
  <c r="CM58" i="4" s="1"/>
  <c r="CK25" i="4"/>
  <c r="CM25" i="4" a="1"/>
  <c r="CM25" i="4" s="1"/>
  <c r="CK61" i="4"/>
  <c r="CO61" i="4" s="1"/>
  <c r="CK95" i="4"/>
  <c r="CP95" i="4" s="1"/>
  <c r="CM24" i="4" a="1"/>
  <c r="CM24" i="4" s="1"/>
  <c r="CK24" i="4"/>
  <c r="CK91" i="4"/>
  <c r="CP91" i="4" s="1"/>
  <c r="CK97" i="4"/>
  <c r="CP97" i="4" s="1"/>
  <c r="CM95" i="4" a="1"/>
  <c r="CM95" i="4" s="1"/>
  <c r="CM96" i="4" a="1"/>
  <c r="CM96" i="4" s="1"/>
  <c r="CM97" i="4" a="1"/>
  <c r="CM97" i="4" s="1"/>
  <c r="CM91" i="4" a="1"/>
  <c r="CM91" i="4" s="1"/>
  <c r="CK62" i="4"/>
  <c r="CQ62" i="4" s="1"/>
  <c r="CK63" i="4"/>
  <c r="CQ63" i="4" s="1"/>
  <c r="CM63" i="4" a="1"/>
  <c r="CM63" i="4" s="1"/>
  <c r="CM62" i="4" a="1"/>
  <c r="CM62" i="4" s="1"/>
  <c r="CM61" i="4" a="1"/>
  <c r="CM61" i="4" s="1"/>
  <c r="CK52" i="4"/>
  <c r="CQ52" i="4" s="1"/>
  <c r="CK64" i="4"/>
  <c r="CQ64" i="4" s="1"/>
  <c r="CK105" i="4"/>
  <c r="CP105" i="4" s="1"/>
  <c r="CK110" i="4"/>
  <c r="CQ110" i="4" s="1"/>
  <c r="CK101" i="4"/>
  <c r="CN101" i="4" s="1"/>
  <c r="CK109" i="4"/>
  <c r="CO109" i="4" s="1"/>
  <c r="CK106" i="4"/>
  <c r="CN103" i="4"/>
  <c r="CO103" i="4"/>
  <c r="CP103" i="4"/>
  <c r="CQ103" i="4"/>
  <c r="CK111" i="4"/>
  <c r="CK108" i="4"/>
  <c r="CK102" i="4"/>
  <c r="CK104" i="4"/>
  <c r="CM104" i="4" a="1"/>
  <c r="CM104" i="4" s="1"/>
  <c r="CM109" i="4" a="1"/>
  <c r="CM109" i="4" s="1"/>
  <c r="CM101" i="4" a="1"/>
  <c r="CM101" i="4" s="1"/>
  <c r="CM105" i="4" a="1"/>
  <c r="CM105" i="4" s="1"/>
  <c r="CM110" i="4" a="1"/>
  <c r="CM110" i="4" s="1"/>
  <c r="CM102" i="4" a="1"/>
  <c r="CM102" i="4" s="1"/>
  <c r="CM106" i="4" a="1"/>
  <c r="CM106" i="4" s="1"/>
  <c r="CM111" i="4" a="1"/>
  <c r="CM111" i="4" s="1"/>
  <c r="CM103" i="4" a="1"/>
  <c r="CM103" i="4" s="1"/>
  <c r="CM108" i="4" a="1"/>
  <c r="CM108" i="4" s="1"/>
  <c r="CK85" i="4"/>
  <c r="CQ85" i="4" s="1"/>
  <c r="CK68" i="4"/>
  <c r="CN68" i="4" s="1"/>
  <c r="CK83" i="4"/>
  <c r="CN83" i="4" s="1"/>
  <c r="CK71" i="4"/>
  <c r="CQ71" i="4" s="1"/>
  <c r="CK77" i="4"/>
  <c r="CP77" i="4" s="1"/>
  <c r="CK66" i="4"/>
  <c r="CO66" i="4" s="1"/>
  <c r="CK92" i="4"/>
  <c r="CP92" i="4" s="1"/>
  <c r="CK12" i="4"/>
  <c r="CN12" i="4" s="1"/>
  <c r="CK53" i="4"/>
  <c r="CN53" i="4" s="1"/>
  <c r="CK79" i="4"/>
  <c r="CN79" i="4" s="1"/>
  <c r="CK80" i="4"/>
  <c r="CN80" i="4" s="1"/>
  <c r="CK94" i="4"/>
  <c r="CN94" i="4" s="1"/>
  <c r="CK93" i="4"/>
  <c r="CO93" i="4" s="1"/>
  <c r="CK98" i="4"/>
  <c r="CO98" i="4" s="1"/>
  <c r="CK88" i="4"/>
  <c r="CO88" i="4" s="1"/>
  <c r="CK75" i="4"/>
  <c r="CP75" i="4" s="1"/>
  <c r="CK67" i="4"/>
  <c r="CN67" i="4" s="1"/>
  <c r="CK81" i="4"/>
  <c r="CP81" i="4" s="1"/>
  <c r="CK86" i="4"/>
  <c r="CN86" i="4" s="1"/>
  <c r="CK65" i="4"/>
  <c r="CQ65" i="4" s="1"/>
  <c r="CK76" i="4"/>
  <c r="CQ76" i="4" s="1"/>
  <c r="CK84" i="4"/>
  <c r="CP84" i="4" s="1"/>
  <c r="CK69" i="4"/>
  <c r="CO69" i="4" s="1"/>
  <c r="CK59" i="4"/>
  <c r="CP59" i="4" s="1"/>
  <c r="CK47" i="4"/>
  <c r="CP47" i="4" s="1"/>
  <c r="CK48" i="4"/>
  <c r="CO48" i="4" s="1"/>
  <c r="CK87" i="4"/>
  <c r="CQ87" i="4" s="1"/>
  <c r="CK70" i="4"/>
  <c r="CQ70" i="4" s="1"/>
  <c r="CK60" i="4"/>
  <c r="CQ60" i="4" s="1"/>
  <c r="CK99" i="4"/>
  <c r="CP99" i="4" s="1"/>
  <c r="CK55" i="4"/>
  <c r="CQ55" i="4" s="1"/>
  <c r="CK90" i="4"/>
  <c r="CK73" i="4"/>
  <c r="CP73" i="4" s="1"/>
  <c r="CK78" i="4"/>
  <c r="CQ78" i="4" s="1"/>
  <c r="CK30" i="4"/>
  <c r="CP30" i="4" s="1"/>
  <c r="CK74" i="4"/>
  <c r="CP74" i="4" s="1"/>
  <c r="CO72" i="4"/>
  <c r="CN72" i="4"/>
  <c r="CQ72" i="4"/>
  <c r="CP72" i="4"/>
  <c r="CM67" i="4" a="1"/>
  <c r="CM67" i="4" s="1"/>
  <c r="CM71" i="4" a="1"/>
  <c r="CM71" i="4" s="1"/>
  <c r="CM55" i="4" a="1"/>
  <c r="CM55" i="4" s="1"/>
  <c r="CM64" i="4" a="1"/>
  <c r="CM64" i="4" s="1"/>
  <c r="CM68" i="4" a="1"/>
  <c r="CM68" i="4" s="1"/>
  <c r="CM72" i="4" a="1"/>
  <c r="CM72" i="4" s="1"/>
  <c r="CU72" i="4" s="1" a="1"/>
  <c r="CU72" i="4" s="1"/>
  <c r="CM60" i="4" a="1"/>
  <c r="CM60" i="4" s="1"/>
  <c r="CM70" i="4" a="1"/>
  <c r="CM70" i="4" s="1"/>
  <c r="CM83" i="4" a="1"/>
  <c r="CM83" i="4" s="1"/>
  <c r="CM77" i="4" a="1"/>
  <c r="CM77" i="4" s="1"/>
  <c r="CM84" i="4" a="1"/>
  <c r="CM84" i="4" s="1"/>
  <c r="CM52" i="4" a="1"/>
  <c r="CM52" i="4" s="1"/>
  <c r="CM65" i="4" a="1"/>
  <c r="CM65" i="4" s="1"/>
  <c r="CM73" i="4" a="1"/>
  <c r="CM73" i="4" s="1"/>
  <c r="CM78" i="4" a="1"/>
  <c r="CM78" i="4" s="1"/>
  <c r="CM79" i="4" a="1"/>
  <c r="CM79" i="4" s="1"/>
  <c r="CM85" i="4" a="1"/>
  <c r="CM85" i="4" s="1"/>
  <c r="CM90" i="4" a="1"/>
  <c r="CM90" i="4" s="1"/>
  <c r="CM98" i="4" a="1"/>
  <c r="CM98" i="4" s="1"/>
  <c r="CM53" i="4" a="1"/>
  <c r="CM53" i="4" s="1"/>
  <c r="CM66" i="4" a="1"/>
  <c r="CM66" i="4" s="1"/>
  <c r="CM74" i="4" a="1"/>
  <c r="CM74" i="4" s="1"/>
  <c r="CM92" i="4" a="1"/>
  <c r="CM92" i="4" s="1"/>
  <c r="CM75" i="4" a="1"/>
  <c r="CM75" i="4" s="1"/>
  <c r="CM80" i="4" a="1"/>
  <c r="CM80" i="4" s="1"/>
  <c r="CM86" i="4" a="1"/>
  <c r="CM86" i="4" s="1"/>
  <c r="CM93" i="4" a="1"/>
  <c r="CM93" i="4" s="1"/>
  <c r="CM99" i="4" a="1"/>
  <c r="CM99" i="4" s="1"/>
  <c r="CM94" i="4" a="1"/>
  <c r="CM94" i="4" s="1"/>
  <c r="CM69" i="4" a="1"/>
  <c r="CM69" i="4" s="1"/>
  <c r="CM76" i="4" a="1"/>
  <c r="CM76" i="4" s="1"/>
  <c r="CM59" i="4" a="1"/>
  <c r="CM59" i="4" s="1"/>
  <c r="CM81" i="4" a="1"/>
  <c r="CM81" i="4" s="1"/>
  <c r="CM87" i="4" a="1"/>
  <c r="CM87" i="4" s="1"/>
  <c r="CM88" i="4" a="1"/>
  <c r="CM88" i="4" s="1"/>
  <c r="CK11" i="4"/>
  <c r="CO11" i="4" s="1"/>
  <c r="CK15" i="4"/>
  <c r="CN15" i="4" s="1"/>
  <c r="CK50" i="4"/>
  <c r="CP50" i="4" s="1"/>
  <c r="CK13" i="4"/>
  <c r="CO13" i="4" s="1"/>
  <c r="CK37" i="4"/>
  <c r="CQ37" i="4" s="1"/>
  <c r="CK40" i="4"/>
  <c r="CO40" i="4" s="1"/>
  <c r="CK26" i="4"/>
  <c r="CO26" i="4" s="1"/>
  <c r="CK21" i="4"/>
  <c r="CN21" i="4" s="1"/>
  <c r="CK17" i="4"/>
  <c r="CQ17" i="4" s="1"/>
  <c r="CK35" i="4"/>
  <c r="CQ35" i="4" s="1"/>
  <c r="CK23" i="4"/>
  <c r="CO23" i="4" s="1"/>
  <c r="CK20" i="4"/>
  <c r="CO20" i="4" s="1"/>
  <c r="CK51" i="4"/>
  <c r="CQ51" i="4" s="1"/>
  <c r="CK44" i="4"/>
  <c r="CO44" i="4" s="1"/>
  <c r="CK14" i="4"/>
  <c r="CQ14" i="4" s="1"/>
  <c r="CK16" i="4"/>
  <c r="CQ16" i="4" s="1"/>
  <c r="CK46" i="4"/>
  <c r="CP46" i="4" s="1"/>
  <c r="CK22" i="4"/>
  <c r="CO22" i="4" s="1"/>
  <c r="CK34" i="4"/>
  <c r="CN34" i="4" s="1"/>
  <c r="CK10" i="4"/>
  <c r="CP10" i="4" s="1"/>
  <c r="CK41" i="4"/>
  <c r="CN41" i="4" s="1"/>
  <c r="CK19" i="4"/>
  <c r="CP19" i="4" s="1"/>
  <c r="CK33" i="4"/>
  <c r="CN33" i="4" s="1"/>
  <c r="CK31" i="4"/>
  <c r="CP31" i="4" s="1"/>
  <c r="CK45" i="4"/>
  <c r="CO45" i="4" s="1"/>
  <c r="CK32" i="4"/>
  <c r="CK42" i="4"/>
  <c r="CK18" i="4"/>
  <c r="CK49" i="4"/>
  <c r="CM26" i="4" a="1"/>
  <c r="CM26" i="4" s="1"/>
  <c r="CM33" i="4" a="1"/>
  <c r="CM33" i="4" s="1"/>
  <c r="CM37" i="4" a="1"/>
  <c r="CM37" i="4" s="1"/>
  <c r="CM47" i="4" a="1"/>
  <c r="CM47" i="4" s="1"/>
  <c r="CM51" i="4" a="1"/>
  <c r="CM51" i="4" s="1"/>
  <c r="CM30" i="4" a="1"/>
  <c r="CM30" i="4" s="1"/>
  <c r="CM34" i="4" a="1"/>
  <c r="CM34" i="4" s="1"/>
  <c r="CM40" i="4" a="1"/>
  <c r="CM40" i="4" s="1"/>
  <c r="CM44" i="4" a="1"/>
  <c r="CM44" i="4" s="1"/>
  <c r="CM48" i="4" a="1"/>
  <c r="CM48" i="4" s="1"/>
  <c r="CM31" i="4" a="1"/>
  <c r="CM31" i="4" s="1"/>
  <c r="CM35" i="4" a="1"/>
  <c r="CM35" i="4" s="1"/>
  <c r="CM41" i="4" a="1"/>
  <c r="CM41" i="4" s="1"/>
  <c r="CM45" i="4" a="1"/>
  <c r="CM45" i="4" s="1"/>
  <c r="CM49" i="4" a="1"/>
  <c r="CM49" i="4" s="1"/>
  <c r="CM32" i="4" a="1"/>
  <c r="CM32" i="4" s="1"/>
  <c r="CM50" i="4" a="1"/>
  <c r="CM50" i="4" s="1"/>
  <c r="CM36" i="4" a="1"/>
  <c r="CM36" i="4" s="1"/>
  <c r="CM42" i="4" a="1"/>
  <c r="CM42" i="4" s="1"/>
  <c r="CM23" i="4" a="1"/>
  <c r="CM23" i="4" s="1"/>
  <c r="CM46" i="4" a="1"/>
  <c r="CM46" i="4" s="1"/>
  <c r="CM10" i="4" a="1"/>
  <c r="CM10" i="4" s="1"/>
  <c r="CM14" i="4" a="1"/>
  <c r="CM14" i="4" s="1"/>
  <c r="CM18" i="4" a="1"/>
  <c r="CM18" i="4" s="1"/>
  <c r="CM22" i="4" a="1"/>
  <c r="CM22" i="4" s="1"/>
  <c r="CM16" i="4" a="1"/>
  <c r="CM16" i="4" s="1"/>
  <c r="CM13" i="4" a="1"/>
  <c r="CM13" i="4" s="1"/>
  <c r="CM17" i="4" a="1"/>
  <c r="CM17" i="4" s="1"/>
  <c r="CM21" i="4" a="1"/>
  <c r="CM21" i="4" s="1"/>
  <c r="CM20" i="4" a="1"/>
  <c r="CM20" i="4" s="1"/>
  <c r="CM11" i="4" a="1"/>
  <c r="CM11" i="4" s="1"/>
  <c r="CM15" i="4" a="1"/>
  <c r="CM15" i="4" s="1"/>
  <c r="CM19" i="4" a="1"/>
  <c r="CM19" i="4" s="1"/>
  <c r="CM12" i="4" a="1"/>
  <c r="CM12" i="4" s="1"/>
  <c r="D55" i="43"/>
  <c r="D55" i="42"/>
  <c r="D55" i="41"/>
  <c r="D55" i="33"/>
  <c r="D67" i="43"/>
  <c r="D67" i="42"/>
  <c r="D67" i="41"/>
  <c r="D67" i="33"/>
  <c r="D41" i="43"/>
  <c r="D41" i="42"/>
  <c r="D41" i="41"/>
  <c r="D41" i="33"/>
  <c r="D47" i="43"/>
  <c r="D47" i="33"/>
  <c r="D47" i="42"/>
  <c r="D47" i="41"/>
  <c r="D46" i="43"/>
  <c r="D46" i="41"/>
  <c r="D46" i="33"/>
  <c r="D46" i="42"/>
  <c r="D43" i="43"/>
  <c r="D43" i="42"/>
  <c r="D43" i="41"/>
  <c r="D43" i="33"/>
  <c r="D40" i="43"/>
  <c r="D40" i="41"/>
  <c r="D40" i="42"/>
  <c r="D40" i="33"/>
  <c r="C10" i="33" a="1"/>
  <c r="C10" i="33" s="1"/>
  <c r="D31" i="43"/>
  <c r="D31" i="41"/>
  <c r="D31" i="42"/>
  <c r="D31" i="33"/>
  <c r="D32" i="43"/>
  <c r="D32" i="42"/>
  <c r="D32" i="33"/>
  <c r="D32" i="41"/>
  <c r="D38" i="43"/>
  <c r="D38" i="42"/>
  <c r="D38" i="33"/>
  <c r="D38" i="41"/>
  <c r="D37" i="43"/>
  <c r="D37" i="42"/>
  <c r="D37" i="33"/>
  <c r="D37" i="41"/>
  <c r="D35" i="43"/>
  <c r="D35" i="33"/>
  <c r="D35" i="41"/>
  <c r="D35" i="42"/>
  <c r="D44" i="43"/>
  <c r="D44" i="42"/>
  <c r="D44" i="33"/>
  <c r="D44" i="41"/>
  <c r="D34" i="43"/>
  <c r="D34" i="41"/>
  <c r="D34" i="33"/>
  <c r="D34" i="42"/>
  <c r="AO104" i="42" a="1"/>
  <c r="AO104" i="42" s="1"/>
  <c r="AK104" i="42" a="1"/>
  <c r="AK104" i="42" s="1"/>
  <c r="AG104" i="42" a="1"/>
  <c r="AG104" i="42" s="1"/>
  <c r="AC104" i="42" a="1"/>
  <c r="AC104" i="42" s="1"/>
  <c r="Z104" i="42" a="1"/>
  <c r="Z104" i="42" s="1"/>
  <c r="V104" i="42" a="1"/>
  <c r="V104" i="42" s="1"/>
  <c r="R104" i="42" a="1"/>
  <c r="R104" i="42" s="1"/>
  <c r="N104" i="42" a="1"/>
  <c r="N104" i="42" s="1"/>
  <c r="J104" i="42" a="1"/>
  <c r="J104" i="42" s="1"/>
  <c r="F104" i="42" a="1"/>
  <c r="F104" i="42" s="1"/>
  <c r="AQ103" i="42" a="1"/>
  <c r="AQ103" i="42" s="1"/>
  <c r="AM103" i="42" a="1"/>
  <c r="AM103" i="42" s="1"/>
  <c r="AI103" i="42" a="1"/>
  <c r="AI103" i="42" s="1"/>
  <c r="AF103" i="42" a="1"/>
  <c r="AF103" i="42" s="1"/>
  <c r="AC103" i="42" a="1"/>
  <c r="AC103" i="42" s="1"/>
  <c r="Y103" i="42" a="1"/>
  <c r="Y103" i="42" s="1"/>
  <c r="U103" i="42" a="1"/>
  <c r="U103" i="42" s="1"/>
  <c r="R103" i="42" a="1"/>
  <c r="R103" i="42" s="1"/>
  <c r="N103" i="42" a="1"/>
  <c r="N103" i="42" s="1"/>
  <c r="J103" i="42" a="1"/>
  <c r="J103" i="42" s="1"/>
  <c r="F103" i="42" a="1"/>
  <c r="F103" i="42" s="1"/>
  <c r="AR101" i="42" a="1"/>
  <c r="AR101" i="42" s="1"/>
  <c r="AN101" i="42" a="1"/>
  <c r="AN101" i="42" s="1"/>
  <c r="AJ101" i="42" a="1"/>
  <c r="AJ101" i="42" s="1"/>
  <c r="AF101" i="42" a="1"/>
  <c r="AF101" i="42" s="1"/>
  <c r="AB101" i="42" a="1"/>
  <c r="AB101" i="42" s="1"/>
  <c r="X101" i="42" a="1"/>
  <c r="X101" i="42" s="1"/>
  <c r="T101" i="42" a="1"/>
  <c r="T101" i="42" s="1"/>
  <c r="Q101" i="42" a="1"/>
  <c r="Q101" i="42" s="1"/>
  <c r="M101" i="42" a="1"/>
  <c r="M101" i="42" s="1"/>
  <c r="I101" i="42" a="1"/>
  <c r="I101" i="42" s="1"/>
  <c r="E101" i="42" a="1"/>
  <c r="E101" i="42" s="1"/>
  <c r="AO100" i="42" a="1"/>
  <c r="AO100" i="42" s="1"/>
  <c r="AL100" i="42" a="1"/>
  <c r="AL100" i="42" s="1"/>
  <c r="AH100" i="42" a="1"/>
  <c r="AH100" i="42" s="1"/>
  <c r="AD100" i="42" a="1"/>
  <c r="AD100" i="42" s="1"/>
  <c r="Z100" i="42" a="1"/>
  <c r="Z100" i="42" s="1"/>
  <c r="V100" i="42" a="1"/>
  <c r="V100" i="42" s="1"/>
  <c r="R100" i="42" a="1"/>
  <c r="R100" i="42" s="1"/>
  <c r="O100" i="42" a="1"/>
  <c r="O100" i="42" s="1"/>
  <c r="K100" i="42" a="1"/>
  <c r="K100" i="42" s="1"/>
  <c r="AQ98" i="42" a="1"/>
  <c r="AQ98" i="42" s="1"/>
  <c r="AM98" i="42" a="1"/>
  <c r="AM98" i="42" s="1"/>
  <c r="Z98" i="42" a="1"/>
  <c r="Z98" i="42" s="1"/>
  <c r="V98" i="42" a="1"/>
  <c r="V98" i="42" s="1"/>
  <c r="R98" i="42" a="1"/>
  <c r="R98" i="42" s="1"/>
  <c r="N98" i="42" a="1"/>
  <c r="N98" i="42" s="1"/>
  <c r="J98" i="42" a="1"/>
  <c r="J98" i="42" s="1"/>
  <c r="F98" i="42" a="1"/>
  <c r="F98" i="42" s="1"/>
  <c r="AP97" i="42" a="1"/>
  <c r="AP97" i="42" s="1"/>
  <c r="AL97" i="42" a="1"/>
  <c r="AL97" i="42" s="1"/>
  <c r="AH97" i="42" a="1"/>
  <c r="AH97" i="42" s="1"/>
  <c r="AD97" i="42" a="1"/>
  <c r="AD97" i="42" s="1"/>
  <c r="Z97" i="42" a="1"/>
  <c r="Z97" i="42" s="1"/>
  <c r="V97" i="42" a="1"/>
  <c r="V97" i="42" s="1"/>
  <c r="R97" i="42" a="1"/>
  <c r="R97" i="42" s="1"/>
  <c r="N97" i="42" a="1"/>
  <c r="N97" i="42" s="1"/>
  <c r="K97" i="42" a="1"/>
  <c r="K97" i="42" s="1"/>
  <c r="H97" i="42" a="1"/>
  <c r="H97" i="42" s="1"/>
  <c r="AQ95" i="42" a="1"/>
  <c r="AQ95" i="42" s="1"/>
  <c r="AM95" i="42" a="1"/>
  <c r="AM95" i="42" s="1"/>
  <c r="AI95" i="42" a="1"/>
  <c r="AI95" i="42" s="1"/>
  <c r="AE95" i="42" a="1"/>
  <c r="AE95" i="42" s="1"/>
  <c r="AA95" i="42" a="1"/>
  <c r="AA95" i="42" s="1"/>
  <c r="X95" i="42" a="1"/>
  <c r="X95" i="42" s="1"/>
  <c r="T95" i="42" a="1"/>
  <c r="T95" i="42" s="1"/>
  <c r="P95" i="42" a="1"/>
  <c r="P95" i="42" s="1"/>
  <c r="M95" i="42" a="1"/>
  <c r="M95" i="42" s="1"/>
  <c r="I95" i="42" a="1"/>
  <c r="I95" i="42" s="1"/>
  <c r="E95" i="42" a="1"/>
  <c r="E95" i="42" s="1"/>
  <c r="AL94" i="42" a="1"/>
  <c r="AL94" i="42" s="1"/>
  <c r="AI94" i="42" a="1"/>
  <c r="AI94" i="42" s="1"/>
  <c r="AE94" i="42" a="1"/>
  <c r="AE94" i="42" s="1"/>
  <c r="AA94" i="42" a="1"/>
  <c r="AA94" i="42" s="1"/>
  <c r="W94" i="42" a="1"/>
  <c r="W94" i="42" s="1"/>
  <c r="S94" i="42" a="1"/>
  <c r="S94" i="42" s="1"/>
  <c r="P94" i="42" a="1"/>
  <c r="P94" i="42" s="1"/>
  <c r="L94" i="42" a="1"/>
  <c r="L94" i="42" s="1"/>
  <c r="H94" i="42" a="1"/>
  <c r="H94" i="42" s="1"/>
  <c r="AP92" i="42" a="1"/>
  <c r="AP92" i="42" s="1"/>
  <c r="AL92" i="42" a="1"/>
  <c r="AL92" i="42" s="1"/>
  <c r="AH92" i="42" a="1"/>
  <c r="AH92" i="42" s="1"/>
  <c r="AD92" i="42" a="1"/>
  <c r="AD92" i="42" s="1"/>
  <c r="Z92" i="42" a="1"/>
  <c r="Z92" i="42" s="1"/>
  <c r="V92" i="42" a="1"/>
  <c r="V92" i="42" s="1"/>
  <c r="R92" i="42" a="1"/>
  <c r="R92" i="42" s="1"/>
  <c r="N92" i="42" a="1"/>
  <c r="N92" i="42" s="1"/>
  <c r="J92" i="42" a="1"/>
  <c r="J92" i="42" s="1"/>
  <c r="F92" i="42" a="1"/>
  <c r="F92" i="42" s="1"/>
  <c r="AN91" i="42" a="1"/>
  <c r="AN91" i="42" s="1"/>
  <c r="AJ91" i="42" a="1"/>
  <c r="AJ91" i="42" s="1"/>
  <c r="AF91" i="42" a="1"/>
  <c r="AF91" i="42" s="1"/>
  <c r="AB91" i="42" a="1"/>
  <c r="AB91" i="42" s="1"/>
  <c r="Y91" i="42" a="1"/>
  <c r="Y91" i="42" s="1"/>
  <c r="U91" i="42" a="1"/>
  <c r="U91" i="42" s="1"/>
  <c r="R91" i="42" a="1"/>
  <c r="R91" i="42" s="1"/>
  <c r="N91" i="42" a="1"/>
  <c r="N91" i="42" s="1"/>
  <c r="J91" i="42" a="1"/>
  <c r="J91" i="42" s="1"/>
  <c r="F91" i="42" a="1"/>
  <c r="F91" i="42" s="1"/>
  <c r="AP89" i="42" a="1"/>
  <c r="AP89" i="42" s="1"/>
  <c r="AL89" i="42" a="1"/>
  <c r="AL89" i="42" s="1"/>
  <c r="AH89" i="42" a="1"/>
  <c r="AH89" i="42" s="1"/>
  <c r="AD89" i="42" a="1"/>
  <c r="AD89" i="42" s="1"/>
  <c r="Z89" i="42" a="1"/>
  <c r="Z89" i="42" s="1"/>
  <c r="V89" i="42" a="1"/>
  <c r="V89" i="42" s="1"/>
  <c r="R89" i="42" a="1"/>
  <c r="R89" i="42" s="1"/>
  <c r="N89" i="42" a="1"/>
  <c r="N89" i="42" s="1"/>
  <c r="AR88" i="42" a="1"/>
  <c r="AR88" i="42" s="1"/>
  <c r="AN88" i="42" a="1"/>
  <c r="AN88" i="42" s="1"/>
  <c r="AJ88" i="42" a="1"/>
  <c r="AJ88" i="42" s="1"/>
  <c r="AF88" i="42" a="1"/>
  <c r="AF88" i="42" s="1"/>
  <c r="AB88" i="42" a="1"/>
  <c r="AB88" i="42" s="1"/>
  <c r="X88" i="42" a="1"/>
  <c r="X88" i="42" s="1"/>
  <c r="T88" i="42" a="1"/>
  <c r="T88" i="42" s="1"/>
  <c r="P88" i="42" a="1"/>
  <c r="P88" i="42" s="1"/>
  <c r="L88" i="42" a="1"/>
  <c r="L88" i="42" s="1"/>
  <c r="H88" i="42" a="1"/>
  <c r="H88" i="42" s="1"/>
  <c r="AR86" i="42" a="1"/>
  <c r="AR86" i="42" s="1"/>
  <c r="AN86" i="42" a="1"/>
  <c r="AN86" i="42" s="1"/>
  <c r="AJ86" i="42" a="1"/>
  <c r="AJ86" i="42" s="1"/>
  <c r="AF86" i="42" a="1"/>
  <c r="AF86" i="42" s="1"/>
  <c r="AB86" i="42" a="1"/>
  <c r="AB86" i="42" s="1"/>
  <c r="Y86" i="42" a="1"/>
  <c r="Y86" i="42" s="1"/>
  <c r="U86" i="42" a="1"/>
  <c r="U86" i="42" s="1"/>
  <c r="R86" i="42" a="1"/>
  <c r="R86" i="42" s="1"/>
  <c r="N86" i="42" a="1"/>
  <c r="N86" i="42" s="1"/>
  <c r="J86" i="42" a="1"/>
  <c r="J86" i="42" s="1"/>
  <c r="F86" i="42" a="1"/>
  <c r="F86" i="42" s="1"/>
  <c r="AP85" i="42" a="1"/>
  <c r="AP85" i="42" s="1"/>
  <c r="AL85" i="42" a="1"/>
  <c r="AL85" i="42" s="1"/>
  <c r="AE85" i="42" a="1"/>
  <c r="AE85" i="42" s="1"/>
  <c r="X85" i="42" a="1"/>
  <c r="X85" i="42" s="1"/>
  <c r="T85" i="42" a="1"/>
  <c r="T85" i="42" s="1"/>
  <c r="P85" i="42" a="1"/>
  <c r="P85" i="42" s="1"/>
  <c r="L85" i="42" a="1"/>
  <c r="L85" i="42" s="1"/>
  <c r="H85" i="42" a="1"/>
  <c r="H85" i="42" s="1"/>
  <c r="AP83" i="42" a="1"/>
  <c r="AP83" i="42" s="1"/>
  <c r="AL83" i="42" a="1"/>
  <c r="AL83" i="42" s="1"/>
  <c r="AH83" i="42" a="1"/>
  <c r="AH83" i="42" s="1"/>
  <c r="AD83" i="42" a="1"/>
  <c r="AD83" i="42" s="1"/>
  <c r="Z83" i="42" a="1"/>
  <c r="Z83" i="42" s="1"/>
  <c r="V83" i="42" a="1"/>
  <c r="V83" i="42" s="1"/>
  <c r="R83" i="42" a="1"/>
  <c r="R83" i="42" s="1"/>
  <c r="N83" i="42" a="1"/>
  <c r="N83" i="42" s="1"/>
  <c r="J83" i="42" a="1"/>
  <c r="J83" i="42" s="1"/>
  <c r="F83" i="42" a="1"/>
  <c r="F83" i="42" s="1"/>
  <c r="AP82" i="42" a="1"/>
  <c r="AP82" i="42" s="1"/>
  <c r="AL82" i="42" a="1"/>
  <c r="AL82" i="42" s="1"/>
  <c r="AH82" i="42" a="1"/>
  <c r="AH82" i="42" s="1"/>
  <c r="AD82" i="42" a="1"/>
  <c r="AD82" i="42" s="1"/>
  <c r="Z82" i="42" a="1"/>
  <c r="Z82" i="42" s="1"/>
  <c r="V82" i="42" a="1"/>
  <c r="V82" i="42" s="1"/>
  <c r="R82" i="42" a="1"/>
  <c r="R82" i="42" s="1"/>
  <c r="N82" i="42" a="1"/>
  <c r="N82" i="42" s="1"/>
  <c r="J82" i="42" a="1"/>
  <c r="J82" i="42" s="1"/>
  <c r="F82" i="42" a="1"/>
  <c r="F82" i="42" s="1"/>
  <c r="AR80" i="42" a="1"/>
  <c r="AR80" i="42" s="1"/>
  <c r="AN80" i="42" a="1"/>
  <c r="AN80" i="42" s="1"/>
  <c r="AJ80" i="42" a="1"/>
  <c r="AJ80" i="42" s="1"/>
  <c r="AF80" i="42" a="1"/>
  <c r="AF80" i="42" s="1"/>
  <c r="AB80" i="42" a="1"/>
  <c r="AB80" i="42" s="1"/>
  <c r="X80" i="42" a="1"/>
  <c r="X80" i="42" s="1"/>
  <c r="T80" i="42" a="1"/>
  <c r="T80" i="42" s="1"/>
  <c r="P80" i="42" a="1"/>
  <c r="P80" i="42" s="1"/>
  <c r="L80" i="42" a="1"/>
  <c r="L80" i="42" s="1"/>
  <c r="H80" i="42" a="1"/>
  <c r="H80" i="42" s="1"/>
  <c r="AR79" i="42" a="1"/>
  <c r="AR79" i="42" s="1"/>
  <c r="AN79" i="42" a="1"/>
  <c r="AN79" i="42" s="1"/>
  <c r="AJ79" i="42" a="1"/>
  <c r="AJ79" i="42" s="1"/>
  <c r="AF79" i="42" a="1"/>
  <c r="AF79" i="42" s="1"/>
  <c r="AB79" i="42" a="1"/>
  <c r="AB79" i="42" s="1"/>
  <c r="X79" i="42" a="1"/>
  <c r="X79" i="42" s="1"/>
  <c r="T79" i="42" a="1"/>
  <c r="T79" i="42" s="1"/>
  <c r="P79" i="42" a="1"/>
  <c r="P79" i="42" s="1"/>
  <c r="L79" i="42" a="1"/>
  <c r="L79" i="42" s="1"/>
  <c r="H79" i="42" a="1"/>
  <c r="H79" i="42" s="1"/>
  <c r="AQ77" i="42" a="1"/>
  <c r="AQ77" i="42" s="1"/>
  <c r="AM77" i="42" a="1"/>
  <c r="AM77" i="42" s="1"/>
  <c r="AI77" i="42" a="1"/>
  <c r="AI77" i="42" s="1"/>
  <c r="AE77" i="42" a="1"/>
  <c r="AE77" i="42" s="1"/>
  <c r="X77" i="42" a="1"/>
  <c r="X77" i="42" s="1"/>
  <c r="T77" i="42" a="1"/>
  <c r="T77" i="42" s="1"/>
  <c r="P77" i="42" a="1"/>
  <c r="P77" i="42" s="1"/>
  <c r="M77" i="42" a="1"/>
  <c r="M77" i="42" s="1"/>
  <c r="K77" i="42" a="1"/>
  <c r="K77" i="42" s="1"/>
  <c r="G77" i="42" a="1"/>
  <c r="G77" i="42" s="1"/>
  <c r="AQ76" i="42" a="1"/>
  <c r="AQ76" i="42" s="1"/>
  <c r="AG76" i="42" a="1"/>
  <c r="AG76" i="42" s="1"/>
  <c r="AC76" i="42" a="1"/>
  <c r="AC76" i="42" s="1"/>
  <c r="Y76" i="42" a="1"/>
  <c r="Y76" i="42" s="1"/>
  <c r="V76" i="42" a="1"/>
  <c r="V76" i="42" s="1"/>
  <c r="R76" i="42" a="1"/>
  <c r="R76" i="42" s="1"/>
  <c r="O76" i="42" a="1"/>
  <c r="O76" i="42" s="1"/>
  <c r="L76" i="42" a="1"/>
  <c r="L76" i="42" s="1"/>
  <c r="H76" i="42" a="1"/>
  <c r="H76" i="42" s="1"/>
  <c r="AR74" i="42" a="1"/>
  <c r="AR74" i="42" s="1"/>
  <c r="AO74" i="42" a="1"/>
  <c r="AO74" i="42" s="1"/>
  <c r="AL74" i="42" a="1"/>
  <c r="AL74" i="42" s="1"/>
  <c r="AH74" i="42" a="1"/>
  <c r="AH74" i="42" s="1"/>
  <c r="AD74" i="42" a="1"/>
  <c r="AD74" i="42" s="1"/>
  <c r="Z74" i="42" a="1"/>
  <c r="Z74" i="42" s="1"/>
  <c r="V74" i="42" a="1"/>
  <c r="V74" i="42" s="1"/>
  <c r="R74" i="42" a="1"/>
  <c r="R74" i="42" s="1"/>
  <c r="N74" i="42" a="1"/>
  <c r="N74" i="42" s="1"/>
  <c r="J74" i="42" a="1"/>
  <c r="J74" i="42" s="1"/>
  <c r="F74" i="42" a="1"/>
  <c r="F74" i="42" s="1"/>
  <c r="AP73" i="42" a="1"/>
  <c r="AP73" i="42" s="1"/>
  <c r="AL73" i="42" a="1"/>
  <c r="AL73" i="42" s="1"/>
  <c r="AH73" i="42" a="1"/>
  <c r="AH73" i="42" s="1"/>
  <c r="AD73" i="42" a="1"/>
  <c r="AD73" i="42" s="1"/>
  <c r="Z73" i="42" a="1"/>
  <c r="Z73" i="42" s="1"/>
  <c r="V73" i="42" a="1"/>
  <c r="V73" i="42" s="1"/>
  <c r="R73" i="42" a="1"/>
  <c r="R73" i="42" s="1"/>
  <c r="N73" i="42" a="1"/>
  <c r="N73" i="42" s="1"/>
  <c r="J73" i="42" a="1"/>
  <c r="J73" i="42" s="1"/>
  <c r="F73" i="42" a="1"/>
  <c r="F73" i="42" s="1"/>
  <c r="AR71" i="42" a="1"/>
  <c r="AR71" i="42" s="1"/>
  <c r="AN71" i="42" a="1"/>
  <c r="AN71" i="42" s="1"/>
  <c r="AK71" i="42" a="1"/>
  <c r="AK71" i="42" s="1"/>
  <c r="AG71" i="42" a="1"/>
  <c r="AG71" i="42" s="1"/>
  <c r="AC71" i="42" a="1"/>
  <c r="AC71" i="42" s="1"/>
  <c r="Y71" i="42" a="1"/>
  <c r="Y71" i="42" s="1"/>
  <c r="V71" i="42" a="1"/>
  <c r="V71" i="42" s="1"/>
  <c r="S71" i="42" a="1"/>
  <c r="S71" i="42" s="1"/>
  <c r="O71" i="42" a="1"/>
  <c r="O71" i="42" s="1"/>
  <c r="K71" i="42" a="1"/>
  <c r="K71" i="42" s="1"/>
  <c r="G71" i="42" a="1"/>
  <c r="G71" i="42" s="1"/>
  <c r="AQ70" i="42" a="1"/>
  <c r="AQ70" i="42" s="1"/>
  <c r="AM70" i="42" a="1"/>
  <c r="AM70" i="42" s="1"/>
  <c r="AI70" i="42" a="1"/>
  <c r="AI70" i="42" s="1"/>
  <c r="Y70" i="42" a="1"/>
  <c r="Y70" i="42" s="1"/>
  <c r="U70" i="42" a="1"/>
  <c r="U70" i="42" s="1"/>
  <c r="Q70" i="42" a="1"/>
  <c r="Q70" i="42" s="1"/>
  <c r="M70" i="42" a="1"/>
  <c r="M70" i="42" s="1"/>
  <c r="I70" i="42" a="1"/>
  <c r="I70" i="42" s="1"/>
  <c r="E70" i="42" a="1"/>
  <c r="E70" i="42" s="1"/>
  <c r="AP68" i="42" a="1"/>
  <c r="AP68" i="42" s="1"/>
  <c r="AL68" i="42" a="1"/>
  <c r="AL68" i="42" s="1"/>
  <c r="AH68" i="42" a="1"/>
  <c r="AH68" i="42" s="1"/>
  <c r="AD68" i="42" a="1"/>
  <c r="AD68" i="42" s="1"/>
  <c r="Z68" i="42" a="1"/>
  <c r="Z68" i="42" s="1"/>
  <c r="V68" i="42" a="1"/>
  <c r="V68" i="42" s="1"/>
  <c r="R68" i="42" a="1"/>
  <c r="R68" i="42" s="1"/>
  <c r="N68" i="42" a="1"/>
  <c r="N68" i="42" s="1"/>
  <c r="J68" i="42" a="1"/>
  <c r="J68" i="42" s="1"/>
  <c r="F68" i="42" a="1"/>
  <c r="F68" i="42" s="1"/>
  <c r="AP67" i="42" a="1"/>
  <c r="AP67" i="42" s="1"/>
  <c r="AL67" i="42" a="1"/>
  <c r="AL67" i="42" s="1"/>
  <c r="AH67" i="42" a="1"/>
  <c r="AH67" i="42" s="1"/>
  <c r="AD67" i="42" a="1"/>
  <c r="AD67" i="42" s="1"/>
  <c r="Z67" i="42" a="1"/>
  <c r="Z67" i="42" s="1"/>
  <c r="V67" i="42" a="1"/>
  <c r="V67" i="42" s="1"/>
  <c r="L67" i="42" a="1"/>
  <c r="L67" i="42" s="1"/>
  <c r="H67" i="42" a="1"/>
  <c r="H67" i="42" s="1"/>
  <c r="AO65" i="42" a="1"/>
  <c r="AO65" i="42" s="1"/>
  <c r="AK65" i="42" a="1"/>
  <c r="AK65" i="42" s="1"/>
  <c r="AG65" i="42" a="1"/>
  <c r="AG65" i="42" s="1"/>
  <c r="AD65" i="42" a="1"/>
  <c r="AD65" i="42" s="1"/>
  <c r="AA65" i="42" a="1"/>
  <c r="AA65" i="42" s="1"/>
  <c r="W65" i="42" a="1"/>
  <c r="W65" i="42" s="1"/>
  <c r="S65" i="42" a="1"/>
  <c r="S65" i="42" s="1"/>
  <c r="P65" i="42" a="1"/>
  <c r="P65" i="42" s="1"/>
  <c r="L65" i="42" a="1"/>
  <c r="L65" i="42" s="1"/>
  <c r="H65" i="42" a="1"/>
  <c r="H65" i="42" s="1"/>
  <c r="E65" i="42" a="1"/>
  <c r="E65" i="42" s="1"/>
  <c r="AP64" i="42" a="1"/>
  <c r="AP64" i="42" s="1"/>
  <c r="AL64" i="42" a="1"/>
  <c r="AL64" i="42" s="1"/>
  <c r="AH64" i="42" a="1"/>
  <c r="AH64" i="42" s="1"/>
  <c r="AD64" i="42" a="1"/>
  <c r="AD64" i="42" s="1"/>
  <c r="X64" i="42" a="1"/>
  <c r="X64" i="42" s="1"/>
  <c r="T64" i="42" a="1"/>
  <c r="T64" i="42" s="1"/>
  <c r="P64" i="42" a="1"/>
  <c r="P64" i="42" s="1"/>
  <c r="M64" i="42" a="1"/>
  <c r="M64" i="42" s="1"/>
  <c r="G64" i="42" a="1"/>
  <c r="G64" i="42" s="1"/>
  <c r="AO62" i="42" a="1"/>
  <c r="AO62" i="42" s="1"/>
  <c r="AI62" i="42" a="1"/>
  <c r="AI62" i="42" s="1"/>
  <c r="AF62" i="42" a="1"/>
  <c r="AF62" i="42" s="1"/>
  <c r="AB62" i="42" a="1"/>
  <c r="AB62" i="42" s="1"/>
  <c r="Y62" i="42" a="1"/>
  <c r="Y62" i="42" s="1"/>
  <c r="V62" i="42" a="1"/>
  <c r="V62" i="42" s="1"/>
  <c r="S62" i="42" a="1"/>
  <c r="S62" i="42" s="1"/>
  <c r="O62" i="42" a="1"/>
  <c r="O62" i="42" s="1"/>
  <c r="L62" i="42" a="1"/>
  <c r="L62" i="42" s="1"/>
  <c r="I62" i="42" a="1"/>
  <c r="I62" i="42" s="1"/>
  <c r="AP61" i="42" a="1"/>
  <c r="AP61" i="42" s="1"/>
  <c r="AM61" i="42" a="1"/>
  <c r="AM61" i="42" s="1"/>
  <c r="AG61" i="42" a="1"/>
  <c r="AG61" i="42" s="1"/>
  <c r="Z61" i="42" a="1"/>
  <c r="Z61" i="42" s="1"/>
  <c r="W61" i="42" a="1"/>
  <c r="W61" i="42" s="1"/>
  <c r="S61" i="42" a="1"/>
  <c r="S61" i="42" s="1"/>
  <c r="L61" i="42" a="1"/>
  <c r="L61" i="42" s="1"/>
  <c r="H61" i="42" a="1"/>
  <c r="H61" i="42" s="1"/>
  <c r="E61" i="42" a="1"/>
  <c r="E61" i="42" s="1"/>
  <c r="AP59" i="42" a="1"/>
  <c r="AP59" i="42" s="1"/>
  <c r="AL59" i="42" a="1"/>
  <c r="AL59" i="42" s="1"/>
  <c r="AH59" i="42" a="1"/>
  <c r="AH59" i="42" s="1"/>
  <c r="AE59" i="42" a="1"/>
  <c r="AE59" i="42" s="1"/>
  <c r="AA59" i="42" a="1"/>
  <c r="AA59" i="42" s="1"/>
  <c r="W59" i="42" a="1"/>
  <c r="W59" i="42" s="1"/>
  <c r="S59" i="42" a="1"/>
  <c r="S59" i="42" s="1"/>
  <c r="O59" i="42" a="1"/>
  <c r="O59" i="42" s="1"/>
  <c r="K59" i="42" a="1"/>
  <c r="K59" i="42" s="1"/>
  <c r="G59" i="42" a="1"/>
  <c r="G59" i="42" s="1"/>
  <c r="AR58" i="42" a="1"/>
  <c r="AR58" i="42" s="1"/>
  <c r="AO58" i="42" a="1"/>
  <c r="AO58" i="42" s="1"/>
  <c r="AK58" i="42" a="1"/>
  <c r="AK58" i="42" s="1"/>
  <c r="AG58" i="42" a="1"/>
  <c r="AG58" i="42" s="1"/>
  <c r="AC58" i="42" a="1"/>
  <c r="AC58" i="42" s="1"/>
  <c r="Y58" i="42" a="1"/>
  <c r="Y58" i="42" s="1"/>
  <c r="U58" i="42" a="1"/>
  <c r="U58" i="42" s="1"/>
  <c r="Q58" i="42" a="1"/>
  <c r="Q58" i="42" s="1"/>
  <c r="M58" i="42" a="1"/>
  <c r="M58" i="42" s="1"/>
  <c r="J58" i="42" a="1"/>
  <c r="J58" i="42" s="1"/>
  <c r="F58" i="42" a="1"/>
  <c r="F58" i="42" s="1"/>
  <c r="AR56" i="42" a="1"/>
  <c r="AR56" i="42" s="1"/>
  <c r="AO56" i="42" a="1"/>
  <c r="AO56" i="42" s="1"/>
  <c r="AK56" i="42" a="1"/>
  <c r="AK56" i="42" s="1"/>
  <c r="AG56" i="42" a="1"/>
  <c r="AG56" i="42" s="1"/>
  <c r="AD56" i="42" a="1"/>
  <c r="AD56" i="42" s="1"/>
  <c r="Z56" i="42" a="1"/>
  <c r="Z56" i="42" s="1"/>
  <c r="V56" i="42" a="1"/>
  <c r="V56" i="42" s="1"/>
  <c r="R56" i="42" a="1"/>
  <c r="R56" i="42" s="1"/>
  <c r="N56" i="42" a="1"/>
  <c r="N56" i="42" s="1"/>
  <c r="J56" i="42" a="1"/>
  <c r="J56" i="42" s="1"/>
  <c r="F56" i="42" a="1"/>
  <c r="F56" i="42" s="1"/>
  <c r="AP55" i="42" a="1"/>
  <c r="AP55" i="42" s="1"/>
  <c r="AL55" i="42" a="1"/>
  <c r="AL55" i="42" s="1"/>
  <c r="AH55" i="42" a="1"/>
  <c r="AH55" i="42" s="1"/>
  <c r="AE55" i="42" a="1"/>
  <c r="AE55" i="42" s="1"/>
  <c r="AB55" i="42" a="1"/>
  <c r="AB55" i="42" s="1"/>
  <c r="Y55" i="42" a="1"/>
  <c r="Y55" i="42" s="1"/>
  <c r="U55" i="42" a="1"/>
  <c r="U55" i="42" s="1"/>
  <c r="Q55" i="42" a="1"/>
  <c r="Q55" i="42" s="1"/>
  <c r="M55" i="42" a="1"/>
  <c r="M55" i="42" s="1"/>
  <c r="I55" i="42" a="1"/>
  <c r="I55" i="42" s="1"/>
  <c r="E55" i="42" a="1"/>
  <c r="E55" i="42" s="1"/>
  <c r="AR53" i="42" a="1"/>
  <c r="AR53" i="42" s="1"/>
  <c r="AN53" i="42" a="1"/>
  <c r="AN53" i="42" s="1"/>
  <c r="AK53" i="42" a="1"/>
  <c r="AK53" i="42" s="1"/>
  <c r="AG53" i="42" a="1"/>
  <c r="AG53" i="42" s="1"/>
  <c r="AC53" i="42" a="1"/>
  <c r="AC53" i="42" s="1"/>
  <c r="Y53" i="42" a="1"/>
  <c r="Y53" i="42" s="1"/>
  <c r="U53" i="42" a="1"/>
  <c r="U53" i="42" s="1"/>
  <c r="Q53" i="42" a="1"/>
  <c r="Q53" i="42" s="1"/>
  <c r="N53" i="42" a="1"/>
  <c r="N53" i="42" s="1"/>
  <c r="J53" i="42" a="1"/>
  <c r="J53" i="42" s="1"/>
  <c r="F53" i="42" a="1"/>
  <c r="F53" i="42" s="1"/>
  <c r="AP52" i="42" a="1"/>
  <c r="AP52" i="42" s="1"/>
  <c r="AL52" i="42" a="1"/>
  <c r="AL52" i="42" s="1"/>
  <c r="AH52" i="42" a="1"/>
  <c r="AH52" i="42" s="1"/>
  <c r="AD52" i="42" a="1"/>
  <c r="AD52" i="42" s="1"/>
  <c r="Z52" i="42" a="1"/>
  <c r="Z52" i="42" s="1"/>
  <c r="V52" i="42" a="1"/>
  <c r="V52" i="42" s="1"/>
  <c r="R52" i="42" a="1"/>
  <c r="R52" i="42" s="1"/>
  <c r="N52" i="42" a="1"/>
  <c r="N52" i="42" s="1"/>
  <c r="J52" i="42" a="1"/>
  <c r="J52" i="42" s="1"/>
  <c r="F52" i="42" a="1"/>
  <c r="F52" i="42" s="1"/>
  <c r="AP50" i="42" a="1"/>
  <c r="AP50" i="42" s="1"/>
  <c r="AL50" i="42" a="1"/>
  <c r="AL50" i="42" s="1"/>
  <c r="AH50" i="42" a="1"/>
  <c r="AH50" i="42" s="1"/>
  <c r="AE50" i="42" a="1"/>
  <c r="AE50" i="42" s="1"/>
  <c r="AB50" i="42" a="1"/>
  <c r="AB50" i="42" s="1"/>
  <c r="Y50" i="42" a="1"/>
  <c r="Y50" i="42" s="1"/>
  <c r="V50" i="42" a="1"/>
  <c r="V50" i="42" s="1"/>
  <c r="S50" i="42" a="1"/>
  <c r="S50" i="42" s="1"/>
  <c r="O50" i="42" a="1"/>
  <c r="O50" i="42" s="1"/>
  <c r="L50" i="42" a="1"/>
  <c r="L50" i="42" s="1"/>
  <c r="H50" i="42" a="1"/>
  <c r="H50" i="42" s="1"/>
  <c r="E50" i="42" a="1"/>
  <c r="E50" i="42" s="1"/>
  <c r="AM49" i="42" a="1"/>
  <c r="AM49" i="42" s="1"/>
  <c r="AI49" i="42" a="1"/>
  <c r="AI49" i="42" s="1"/>
  <c r="AF49" i="42" a="1"/>
  <c r="AF49" i="42" s="1"/>
  <c r="AC49" i="42" a="1"/>
  <c r="AC49" i="42" s="1"/>
  <c r="Y49" i="42" a="1"/>
  <c r="Y49" i="42" s="1"/>
  <c r="V49" i="42" a="1"/>
  <c r="V49" i="42" s="1"/>
  <c r="O49" i="42" a="1"/>
  <c r="O49" i="42" s="1"/>
  <c r="K49" i="42" a="1"/>
  <c r="K49" i="42" s="1"/>
  <c r="H49" i="42" a="1"/>
  <c r="H49" i="42" s="1"/>
  <c r="AM47" i="42" a="1"/>
  <c r="AM47" i="42" s="1"/>
  <c r="AJ47" i="42" a="1"/>
  <c r="AJ47" i="42" s="1"/>
  <c r="AF47" i="42" a="1"/>
  <c r="AF47" i="42" s="1"/>
  <c r="AB47" i="42" a="1"/>
  <c r="AB47" i="42" s="1"/>
  <c r="X47" i="42" a="1"/>
  <c r="X47" i="42" s="1"/>
  <c r="T47" i="42" a="1"/>
  <c r="T47" i="42" s="1"/>
  <c r="Q47" i="42" a="1"/>
  <c r="Q47" i="42" s="1"/>
  <c r="I47" i="42" a="1"/>
  <c r="I47" i="42" s="1"/>
  <c r="E47" i="42" a="1"/>
  <c r="E47" i="42" s="1"/>
  <c r="AO46" i="42" a="1"/>
  <c r="AO46" i="42" s="1"/>
  <c r="AL46" i="42" a="1"/>
  <c r="AL46" i="42" s="1"/>
  <c r="AI46" i="42" a="1"/>
  <c r="AI46" i="42" s="1"/>
  <c r="AE46" i="42" a="1"/>
  <c r="AE46" i="42" s="1"/>
  <c r="AB46" i="42" a="1"/>
  <c r="AB46" i="42" s="1"/>
  <c r="Y46" i="42" a="1"/>
  <c r="Y46" i="42" s="1"/>
  <c r="V46" i="42" a="1"/>
  <c r="V46" i="42" s="1"/>
  <c r="R46" i="42" a="1"/>
  <c r="R46" i="42" s="1"/>
  <c r="N46" i="42" a="1"/>
  <c r="N46" i="42" s="1"/>
  <c r="AR44" i="42" a="1"/>
  <c r="AR44" i="42" s="1"/>
  <c r="AN44" i="42" a="1"/>
  <c r="AN44" i="42" s="1"/>
  <c r="AJ44" i="42" a="1"/>
  <c r="AJ44" i="42" s="1"/>
  <c r="AF44" i="42" a="1"/>
  <c r="AF44" i="42" s="1"/>
  <c r="AB44" i="42" a="1"/>
  <c r="AB44" i="42" s="1"/>
  <c r="X44" i="42" a="1"/>
  <c r="X44" i="42" s="1"/>
  <c r="T44" i="42" a="1"/>
  <c r="T44" i="42" s="1"/>
  <c r="P44" i="42" a="1"/>
  <c r="P44" i="42" s="1"/>
  <c r="L44" i="42" a="1"/>
  <c r="L44" i="42" s="1"/>
  <c r="I44" i="42" a="1"/>
  <c r="I44" i="42" s="1"/>
  <c r="E44" i="42" a="1"/>
  <c r="E44" i="42" s="1"/>
  <c r="AO43" i="42" a="1"/>
  <c r="AO43" i="42" s="1"/>
  <c r="AK43" i="42" a="1"/>
  <c r="AK43" i="42" s="1"/>
  <c r="AG43" i="42" a="1"/>
  <c r="AG43" i="42" s="1"/>
  <c r="AD43" i="42" a="1"/>
  <c r="AD43" i="42" s="1"/>
  <c r="AA43" i="42" a="1"/>
  <c r="AA43" i="42" s="1"/>
  <c r="W43" i="42" a="1"/>
  <c r="W43" i="42" s="1"/>
  <c r="S43" i="42" a="1"/>
  <c r="S43" i="42" s="1"/>
  <c r="O43" i="42" a="1"/>
  <c r="O43" i="42" s="1"/>
  <c r="K43" i="42" a="1"/>
  <c r="K43" i="42" s="1"/>
  <c r="G43" i="42" a="1"/>
  <c r="G43" i="42" s="1"/>
  <c r="AO41" i="42" a="1"/>
  <c r="AO41" i="42" s="1"/>
  <c r="AK41" i="42" a="1"/>
  <c r="AK41" i="42" s="1"/>
  <c r="AG41" i="42" a="1"/>
  <c r="AG41" i="42" s="1"/>
  <c r="AC41" i="42" a="1"/>
  <c r="AC41" i="42" s="1"/>
  <c r="Y41" i="42" a="1"/>
  <c r="Y41" i="42" s="1"/>
  <c r="U41" i="42" a="1"/>
  <c r="U41" i="42" s="1"/>
  <c r="Q41" i="42" a="1"/>
  <c r="Q41" i="42" s="1"/>
  <c r="M41" i="42" a="1"/>
  <c r="M41" i="42" s="1"/>
  <c r="I41" i="42" a="1"/>
  <c r="I41" i="42" s="1"/>
  <c r="E41" i="42" a="1"/>
  <c r="E41" i="42" s="1"/>
  <c r="AP40" i="42" a="1"/>
  <c r="AP40" i="42" s="1"/>
  <c r="AM40" i="42" a="1"/>
  <c r="AM40" i="42" s="1"/>
  <c r="AI40" i="42" a="1"/>
  <c r="AI40" i="42" s="1"/>
  <c r="AE40" i="42" a="1"/>
  <c r="AE40" i="42" s="1"/>
  <c r="X40" i="42" a="1"/>
  <c r="X40" i="42" s="1"/>
  <c r="Q40" i="42" a="1"/>
  <c r="Q40" i="42" s="1"/>
  <c r="M40" i="42" a="1"/>
  <c r="M40" i="42" s="1"/>
  <c r="J40" i="42" a="1"/>
  <c r="J40" i="42" s="1"/>
  <c r="F40" i="42" a="1"/>
  <c r="F40" i="42" s="1"/>
  <c r="AR38" i="42" a="1"/>
  <c r="AR38" i="42" s="1"/>
  <c r="AN38" i="42" a="1"/>
  <c r="AN38" i="42" s="1"/>
  <c r="AJ38" i="42" a="1"/>
  <c r="AJ38" i="42" s="1"/>
  <c r="AF38" i="42" a="1"/>
  <c r="AF38" i="42" s="1"/>
  <c r="AC38" i="42" a="1"/>
  <c r="AC38" i="42" s="1"/>
  <c r="Z38" i="42" a="1"/>
  <c r="Z38" i="42" s="1"/>
  <c r="V38" i="42" a="1"/>
  <c r="V38" i="42" s="1"/>
  <c r="R38" i="42" a="1"/>
  <c r="R38" i="42" s="1"/>
  <c r="N38" i="42" a="1"/>
  <c r="N38" i="42" s="1"/>
  <c r="J38" i="42" a="1"/>
  <c r="J38" i="42" s="1"/>
  <c r="F38" i="42" a="1"/>
  <c r="F38" i="42" s="1"/>
  <c r="AP37" i="42" a="1"/>
  <c r="AP37" i="42" s="1"/>
  <c r="AL37" i="42" a="1"/>
  <c r="AL37" i="42" s="1"/>
  <c r="AH37" i="42" a="1"/>
  <c r="AH37" i="42" s="1"/>
  <c r="AE37" i="42" a="1"/>
  <c r="AE37" i="42" s="1"/>
  <c r="AA37" i="42" a="1"/>
  <c r="AA37" i="42" s="1"/>
  <c r="W37" i="42" a="1"/>
  <c r="W37" i="42" s="1"/>
  <c r="S37" i="42" a="1"/>
  <c r="S37" i="42" s="1"/>
  <c r="O37" i="42" a="1"/>
  <c r="O37" i="42" s="1"/>
  <c r="K37" i="42" a="1"/>
  <c r="K37" i="42" s="1"/>
  <c r="H37" i="42" a="1"/>
  <c r="H37" i="42" s="1"/>
  <c r="AQ35" i="42" a="1"/>
  <c r="AQ35" i="42" s="1"/>
  <c r="AN35" i="42" a="1"/>
  <c r="AN35" i="42" s="1"/>
  <c r="AJ35" i="42" a="1"/>
  <c r="AJ35" i="42" s="1"/>
  <c r="AF35" i="42" a="1"/>
  <c r="AF35" i="42" s="1"/>
  <c r="AB35" i="42" a="1"/>
  <c r="AB35" i="42" s="1"/>
  <c r="X35" i="42" a="1"/>
  <c r="X35" i="42" s="1"/>
  <c r="U35" i="42" a="1"/>
  <c r="U35" i="42" s="1"/>
  <c r="Q35" i="42" a="1"/>
  <c r="Q35" i="42" s="1"/>
  <c r="M35" i="42" a="1"/>
  <c r="M35" i="42" s="1"/>
  <c r="I35" i="42" a="1"/>
  <c r="I35" i="42" s="1"/>
  <c r="E35" i="42" a="1"/>
  <c r="E35" i="42" s="1"/>
  <c r="AQ34" i="42" a="1"/>
  <c r="AQ34" i="42" s="1"/>
  <c r="AN34" i="42" a="1"/>
  <c r="AN34" i="42" s="1"/>
  <c r="AJ34" i="42" a="1"/>
  <c r="AJ34" i="42" s="1"/>
  <c r="AF34" i="42" a="1"/>
  <c r="AF34" i="42" s="1"/>
  <c r="AB34" i="42" a="1"/>
  <c r="AB34" i="42" s="1"/>
  <c r="X34" i="42" a="1"/>
  <c r="X34" i="42" s="1"/>
  <c r="T34" i="42" a="1"/>
  <c r="T34" i="42" s="1"/>
  <c r="P34" i="42" a="1"/>
  <c r="P34" i="42" s="1"/>
  <c r="AP32" i="42" a="1"/>
  <c r="AP32" i="42" s="1"/>
  <c r="AL32" i="42" a="1"/>
  <c r="AL32" i="42" s="1"/>
  <c r="AH32" i="42" a="1"/>
  <c r="AH32" i="42" s="1"/>
  <c r="AB32" i="42" a="1"/>
  <c r="AB32" i="42" s="1"/>
  <c r="Y32" i="42" a="1"/>
  <c r="Y32" i="42" s="1"/>
  <c r="U32" i="42" a="1"/>
  <c r="U32" i="42" s="1"/>
  <c r="Q32" i="42" a="1"/>
  <c r="Q32" i="42" s="1"/>
  <c r="M32" i="42" a="1"/>
  <c r="M32" i="42" s="1"/>
  <c r="I32" i="42" a="1"/>
  <c r="I32" i="42" s="1"/>
  <c r="E32" i="42" a="1"/>
  <c r="E32" i="42" s="1"/>
  <c r="AO31" i="42" a="1"/>
  <c r="AO31" i="42" s="1"/>
  <c r="AM31" i="42" a="1"/>
  <c r="AM31" i="42" s="1"/>
  <c r="AI31" i="42" a="1"/>
  <c r="AI31" i="42" s="1"/>
  <c r="AF31" i="42" a="1"/>
  <c r="AF31" i="42" s="1"/>
  <c r="AB31" i="42" a="1"/>
  <c r="AB31" i="42" s="1"/>
  <c r="X31" i="42" a="1"/>
  <c r="X31" i="42" s="1"/>
  <c r="T31" i="42" a="1"/>
  <c r="T31" i="42" s="1"/>
  <c r="P31" i="42" a="1"/>
  <c r="P31" i="42" s="1"/>
  <c r="L31" i="42" a="1"/>
  <c r="L31" i="42" s="1"/>
  <c r="E31" i="42" a="1"/>
  <c r="E31" i="42" s="1"/>
  <c r="AQ29" i="42" a="1"/>
  <c r="AQ29" i="42" s="1"/>
  <c r="AM29" i="42" a="1"/>
  <c r="AM29" i="42" s="1"/>
  <c r="AI29" i="42" a="1"/>
  <c r="AI29" i="42" s="1"/>
  <c r="AE29" i="42" a="1"/>
  <c r="AE29" i="42" s="1"/>
  <c r="AA29" i="42" a="1"/>
  <c r="AA29" i="42" s="1"/>
  <c r="W29" i="42" a="1"/>
  <c r="W29" i="42" s="1"/>
  <c r="S29" i="42" a="1"/>
  <c r="S29" i="42" s="1"/>
  <c r="P29" i="42" a="1"/>
  <c r="P29" i="42" s="1"/>
  <c r="L29" i="42" a="1"/>
  <c r="L29" i="42" s="1"/>
  <c r="H29" i="42" a="1"/>
  <c r="H29" i="42" s="1"/>
  <c r="F29" i="42" a="1"/>
  <c r="F29" i="42" s="1"/>
  <c r="AP28" i="42" a="1"/>
  <c r="AP28" i="42" s="1"/>
  <c r="AL28" i="42" a="1"/>
  <c r="AL28" i="42" s="1"/>
  <c r="AH28" i="42" a="1"/>
  <c r="AH28" i="42" s="1"/>
  <c r="AD28" i="42" a="1"/>
  <c r="AD28" i="42" s="1"/>
  <c r="Z28" i="42" a="1"/>
  <c r="Z28" i="42" s="1"/>
  <c r="T28" i="42" a="1"/>
  <c r="T28" i="42" s="1"/>
  <c r="P28" i="42" a="1"/>
  <c r="P28" i="42" s="1"/>
  <c r="I28" i="42" a="1"/>
  <c r="I28" i="42" s="1"/>
  <c r="E28" i="42" a="1"/>
  <c r="E28" i="42" s="1"/>
  <c r="AR26" i="42" a="1"/>
  <c r="AR26" i="42" s="1"/>
  <c r="AK26" i="42" a="1"/>
  <c r="AK26" i="42" s="1"/>
  <c r="AG26" i="42" a="1"/>
  <c r="AG26" i="42" s="1"/>
  <c r="AC26" i="42" a="1"/>
  <c r="AC26" i="42" s="1"/>
  <c r="Y26" i="42" a="1"/>
  <c r="Y26" i="42" s="1"/>
  <c r="U26" i="42" a="1"/>
  <c r="U26" i="42" s="1"/>
  <c r="Q26" i="42" a="1"/>
  <c r="Q26" i="42" s="1"/>
  <c r="M26" i="42" a="1"/>
  <c r="M26" i="42" s="1"/>
  <c r="I26" i="42" a="1"/>
  <c r="I26" i="42" s="1"/>
  <c r="F26" i="42" a="1"/>
  <c r="F26" i="42" s="1"/>
  <c r="AP25" i="42" a="1"/>
  <c r="AP25" i="42" s="1"/>
  <c r="AL25" i="42" a="1"/>
  <c r="AL25" i="42" s="1"/>
  <c r="AH25" i="42" a="1"/>
  <c r="AH25" i="42" s="1"/>
  <c r="AD25" i="42" a="1"/>
  <c r="AD25" i="42" s="1"/>
  <c r="Z25" i="42" a="1"/>
  <c r="Z25" i="42" s="1"/>
  <c r="V25" i="42" a="1"/>
  <c r="V25" i="42" s="1"/>
  <c r="R25" i="42" a="1"/>
  <c r="R25" i="42" s="1"/>
  <c r="O25" i="42" a="1"/>
  <c r="O25" i="42" s="1"/>
  <c r="K25" i="42" a="1"/>
  <c r="K25" i="42" s="1"/>
  <c r="G25" i="42" a="1"/>
  <c r="G25" i="42" s="1"/>
  <c r="AR23" i="42" a="1"/>
  <c r="AR23" i="42" s="1"/>
  <c r="AN23" i="42" a="1"/>
  <c r="AN23" i="42" s="1"/>
  <c r="AK23" i="42" a="1"/>
  <c r="AK23" i="42" s="1"/>
  <c r="AG23" i="42" a="1"/>
  <c r="AG23" i="42" s="1"/>
  <c r="AC23" i="42" a="1"/>
  <c r="AC23" i="42" s="1"/>
  <c r="Y23" i="42" a="1"/>
  <c r="Y23" i="42" s="1"/>
  <c r="U23" i="42" a="1"/>
  <c r="U23" i="42" s="1"/>
  <c r="Q23" i="42" a="1"/>
  <c r="Q23" i="42" s="1"/>
  <c r="M23" i="42" a="1"/>
  <c r="M23" i="42" s="1"/>
  <c r="I23" i="42" a="1"/>
  <c r="I23" i="42" s="1"/>
  <c r="F23" i="42" a="1"/>
  <c r="F23" i="42" s="1"/>
  <c r="AP22" i="42" a="1"/>
  <c r="AP22" i="42" s="1"/>
  <c r="AL22" i="42" a="1"/>
  <c r="AL22" i="42" s="1"/>
  <c r="AH22" i="42" a="1"/>
  <c r="AH22" i="42" s="1"/>
  <c r="AD22" i="42" a="1"/>
  <c r="AD22" i="42" s="1"/>
  <c r="Z22" i="42" a="1"/>
  <c r="Z22" i="42" s="1"/>
  <c r="V22" i="42" a="1"/>
  <c r="V22" i="42" s="1"/>
  <c r="R22" i="42" a="1"/>
  <c r="R22" i="42" s="1"/>
  <c r="K22" i="42" a="1"/>
  <c r="K22" i="42" s="1"/>
  <c r="G22" i="42" a="1"/>
  <c r="G22" i="42" s="1"/>
  <c r="AO20" i="42" a="1"/>
  <c r="AO20" i="42" s="1"/>
  <c r="AK20" i="42" a="1"/>
  <c r="AK20" i="42" s="1"/>
  <c r="AG20" i="42" a="1"/>
  <c r="AG20" i="42" s="1"/>
  <c r="AC20" i="42" a="1"/>
  <c r="AC20" i="42" s="1"/>
  <c r="Y20" i="42" a="1"/>
  <c r="Y20" i="42" s="1"/>
  <c r="U20" i="42" a="1"/>
  <c r="U20" i="42" s="1"/>
  <c r="Q20" i="42" a="1"/>
  <c r="Q20" i="42" s="1"/>
  <c r="M20" i="42" a="1"/>
  <c r="M20" i="42" s="1"/>
  <c r="I20" i="42" a="1"/>
  <c r="I20" i="42" s="1"/>
  <c r="G20" i="42" a="1"/>
  <c r="G20" i="42" s="1"/>
  <c r="AR19" i="42" a="1"/>
  <c r="AR19" i="42" s="1"/>
  <c r="AN19" i="42" a="1"/>
  <c r="AN19" i="42" s="1"/>
  <c r="AJ19" i="42" a="1"/>
  <c r="AJ19" i="42" s="1"/>
  <c r="AF19" i="42" a="1"/>
  <c r="AF19" i="42" s="1"/>
  <c r="AB19" i="42" a="1"/>
  <c r="AB19" i="42" s="1"/>
  <c r="U19" i="42" a="1"/>
  <c r="U19" i="42" s="1"/>
  <c r="O19" i="42" a="1"/>
  <c r="O19" i="42" s="1"/>
  <c r="K19" i="42" a="1"/>
  <c r="K19" i="42" s="1"/>
  <c r="G19" i="42" a="1"/>
  <c r="G19" i="42" s="1"/>
  <c r="AO17" i="42" a="1"/>
  <c r="AO17" i="42" s="1"/>
  <c r="AK17" i="42" a="1"/>
  <c r="AK17" i="42" s="1"/>
  <c r="AG17" i="42" a="1"/>
  <c r="AG17" i="42" s="1"/>
  <c r="AE17" i="42" a="1"/>
  <c r="AE17" i="42" s="1"/>
  <c r="AA17" i="42" a="1"/>
  <c r="AA17" i="42" s="1"/>
  <c r="X17" i="42" a="1"/>
  <c r="X17" i="42" s="1"/>
  <c r="V17" i="42" a="1"/>
  <c r="V17" i="42" s="1"/>
  <c r="R17" i="42" a="1"/>
  <c r="R17" i="42" s="1"/>
  <c r="N17" i="42" a="1"/>
  <c r="N17" i="42" s="1"/>
  <c r="J17" i="42" a="1"/>
  <c r="J17" i="42" s="1"/>
  <c r="F17" i="42" a="1"/>
  <c r="F17" i="42" s="1"/>
  <c r="AM16" i="42" a="1"/>
  <c r="AM16" i="42" s="1"/>
  <c r="AI16" i="42" a="1"/>
  <c r="AI16" i="42" s="1"/>
  <c r="AE16" i="42" a="1"/>
  <c r="AE16" i="42" s="1"/>
  <c r="AA16" i="42" a="1"/>
  <c r="AA16" i="42" s="1"/>
  <c r="W16" i="42" a="1"/>
  <c r="W16" i="42" s="1"/>
  <c r="T16" i="42" a="1"/>
  <c r="T16" i="42" s="1"/>
  <c r="P16" i="42" a="1"/>
  <c r="P16" i="42" s="1"/>
  <c r="M16" i="42" a="1"/>
  <c r="M16" i="42" s="1"/>
  <c r="G16" i="42" a="1"/>
  <c r="G16" i="42" s="1"/>
  <c r="AO11" i="42" a="1"/>
  <c r="AO11" i="42" s="1"/>
  <c r="AK11" i="42" a="1"/>
  <c r="AK11" i="42" s="1"/>
  <c r="AF11" i="42" a="1"/>
  <c r="AF11" i="42" s="1"/>
  <c r="AC11" i="42" a="1"/>
  <c r="AC11" i="42" s="1"/>
  <c r="Y11" i="42" a="1"/>
  <c r="Y11" i="42" s="1"/>
  <c r="R11" i="42" a="1"/>
  <c r="R11" i="42" s="1"/>
  <c r="O11" i="42" a="1"/>
  <c r="O11" i="42" s="1"/>
  <c r="K11" i="42" a="1"/>
  <c r="K11" i="42" s="1"/>
  <c r="G11" i="42" a="1"/>
  <c r="G11" i="42" s="1"/>
  <c r="AQ10" i="42" a="1"/>
  <c r="AQ10" i="42" s="1"/>
  <c r="AN10" i="42" a="1"/>
  <c r="AN10" i="42" s="1"/>
  <c r="AK10" i="42" a="1"/>
  <c r="AK10" i="42" s="1"/>
  <c r="AG10" i="42" a="1"/>
  <c r="AG10" i="42" s="1"/>
  <c r="AR104" i="42" a="1"/>
  <c r="AR104" i="42" s="1"/>
  <c r="AN104" i="42" a="1"/>
  <c r="AN104" i="42" s="1"/>
  <c r="AJ104" i="42" a="1"/>
  <c r="AJ104" i="42" s="1"/>
  <c r="AF104" i="42" a="1"/>
  <c r="AF104" i="42" s="1"/>
  <c r="AB104" i="42" a="1"/>
  <c r="AB104" i="42" s="1"/>
  <c r="Y104" i="42" a="1"/>
  <c r="Y104" i="42" s="1"/>
  <c r="U104" i="42" a="1"/>
  <c r="U104" i="42" s="1"/>
  <c r="Q104" i="42" a="1"/>
  <c r="Q104" i="42" s="1"/>
  <c r="M104" i="42" a="1"/>
  <c r="M104" i="42" s="1"/>
  <c r="I104" i="42" a="1"/>
  <c r="I104" i="42" s="1"/>
  <c r="E104" i="42" a="1"/>
  <c r="E104" i="42" s="1"/>
  <c r="AP103" i="42" a="1"/>
  <c r="AP103" i="42" s="1"/>
  <c r="AL103" i="42" a="1"/>
  <c r="AL103" i="42" s="1"/>
  <c r="AH103" i="42" a="1"/>
  <c r="AH103" i="42" s="1"/>
  <c r="AE103" i="42" a="1"/>
  <c r="AE103" i="42" s="1"/>
  <c r="AB103" i="42" a="1"/>
  <c r="AB103" i="42" s="1"/>
  <c r="X103" i="42" a="1"/>
  <c r="X103" i="42" s="1"/>
  <c r="Q103" i="42" a="1"/>
  <c r="Q103" i="42" s="1"/>
  <c r="M103" i="42" a="1"/>
  <c r="M103" i="42" s="1"/>
  <c r="I103" i="42" a="1"/>
  <c r="I103" i="42" s="1"/>
  <c r="E103" i="42" a="1"/>
  <c r="E103" i="42" s="1"/>
  <c r="AQ101" i="42" a="1"/>
  <c r="AQ101" i="42" s="1"/>
  <c r="AM101" i="42" a="1"/>
  <c r="AM101" i="42" s="1"/>
  <c r="AI101" i="42" a="1"/>
  <c r="AI101" i="42" s="1"/>
  <c r="AE101" i="42" a="1"/>
  <c r="AE101" i="42" s="1"/>
  <c r="AA101" i="42" a="1"/>
  <c r="AA101" i="42" s="1"/>
  <c r="W101" i="42" a="1"/>
  <c r="W101" i="42" s="1"/>
  <c r="S101" i="42" a="1"/>
  <c r="S101" i="42" s="1"/>
  <c r="P101" i="42" a="1"/>
  <c r="P101" i="42" s="1"/>
  <c r="L101" i="42" a="1"/>
  <c r="L101" i="42" s="1"/>
  <c r="H101" i="42" a="1"/>
  <c r="H101" i="42" s="1"/>
  <c r="AR100" i="42" a="1"/>
  <c r="AR100" i="42" s="1"/>
  <c r="AN100" i="42" a="1"/>
  <c r="AN100" i="42" s="1"/>
  <c r="AK100" i="42" a="1"/>
  <c r="AK100" i="42" s="1"/>
  <c r="AG100" i="42" a="1"/>
  <c r="AG100" i="42" s="1"/>
  <c r="AC100" i="42" a="1"/>
  <c r="AC100" i="42" s="1"/>
  <c r="Y100" i="42" a="1"/>
  <c r="Y100" i="42" s="1"/>
  <c r="U100" i="42" a="1"/>
  <c r="U100" i="42" s="1"/>
  <c r="Q100" i="42" a="1"/>
  <c r="Q100" i="42" s="1"/>
  <c r="N100" i="42" a="1"/>
  <c r="N100" i="42" s="1"/>
  <c r="J100" i="42" a="1"/>
  <c r="J100" i="42" s="1"/>
  <c r="G100" i="42" a="1"/>
  <c r="G100" i="42" s="1"/>
  <c r="AP98" i="42" a="1"/>
  <c r="AP98" i="42" s="1"/>
  <c r="AL98" i="42" a="1"/>
  <c r="AL98" i="42" s="1"/>
  <c r="AI98" i="42" a="1"/>
  <c r="AI98" i="42" s="1"/>
  <c r="AF98" i="42" a="1"/>
  <c r="AF98" i="42" s="1"/>
  <c r="AC98" i="42" a="1"/>
  <c r="AC98" i="42" s="1"/>
  <c r="Y98" i="42" a="1"/>
  <c r="Y98" i="42" s="1"/>
  <c r="U98" i="42" a="1"/>
  <c r="U98" i="42" s="1"/>
  <c r="Q98" i="42" a="1"/>
  <c r="Q98" i="42" s="1"/>
  <c r="M98" i="42" a="1"/>
  <c r="M98" i="42" s="1"/>
  <c r="I98" i="42" a="1"/>
  <c r="I98" i="42" s="1"/>
  <c r="E98" i="42" a="1"/>
  <c r="E98" i="42" s="1"/>
  <c r="AO97" i="42" a="1"/>
  <c r="AO97" i="42" s="1"/>
  <c r="AK97" i="42" a="1"/>
  <c r="AK97" i="42" s="1"/>
  <c r="AG97" i="42" a="1"/>
  <c r="AG97" i="42" s="1"/>
  <c r="AC97" i="42" a="1"/>
  <c r="AC97" i="42" s="1"/>
  <c r="Y97" i="42" a="1"/>
  <c r="Y97" i="42" s="1"/>
  <c r="U97" i="42" a="1"/>
  <c r="U97" i="42" s="1"/>
  <c r="Q97" i="42" a="1"/>
  <c r="Q97" i="42" s="1"/>
  <c r="M97" i="42" a="1"/>
  <c r="M97" i="42" s="1"/>
  <c r="J97" i="42" a="1"/>
  <c r="J97" i="42" s="1"/>
  <c r="G97" i="42" a="1"/>
  <c r="G97" i="42" s="1"/>
  <c r="AP95" i="42" a="1"/>
  <c r="AP95" i="42" s="1"/>
  <c r="AL95" i="42" a="1"/>
  <c r="AL95" i="42" s="1"/>
  <c r="AH95" i="42" a="1"/>
  <c r="AH95" i="42" s="1"/>
  <c r="AD95" i="42" a="1"/>
  <c r="AD95" i="42" s="1"/>
  <c r="Z95" i="42" a="1"/>
  <c r="Z95" i="42" s="1"/>
  <c r="W95" i="42" a="1"/>
  <c r="W95" i="42" s="1"/>
  <c r="S95" i="42" a="1"/>
  <c r="S95" i="42" s="1"/>
  <c r="L95" i="42" a="1"/>
  <c r="L95" i="42" s="1"/>
  <c r="H95" i="42" a="1"/>
  <c r="H95" i="42" s="1"/>
  <c r="AR94" i="42" a="1"/>
  <c r="AR94" i="42" s="1"/>
  <c r="AO94" i="42" a="1"/>
  <c r="AO94" i="42" s="1"/>
  <c r="AH94" i="42" a="1"/>
  <c r="AH94" i="42" s="1"/>
  <c r="AD94" i="42" a="1"/>
  <c r="AD94" i="42" s="1"/>
  <c r="Z94" i="42" a="1"/>
  <c r="Z94" i="42" s="1"/>
  <c r="V94" i="42" a="1"/>
  <c r="V94" i="42" s="1"/>
  <c r="R94" i="42" a="1"/>
  <c r="R94" i="42" s="1"/>
  <c r="O94" i="42" a="1"/>
  <c r="O94" i="42" s="1"/>
  <c r="K94" i="42" a="1"/>
  <c r="K94" i="42" s="1"/>
  <c r="G94" i="42" a="1"/>
  <c r="G94" i="42" s="1"/>
  <c r="AO92" i="42" a="1"/>
  <c r="AO92" i="42" s="1"/>
  <c r="AK92" i="42" a="1"/>
  <c r="AK92" i="42" s="1"/>
  <c r="AG92" i="42" a="1"/>
  <c r="AG92" i="42" s="1"/>
  <c r="AC92" i="42" a="1"/>
  <c r="AC92" i="42" s="1"/>
  <c r="Y92" i="42" a="1"/>
  <c r="Y92" i="42" s="1"/>
  <c r="U92" i="42" a="1"/>
  <c r="U92" i="42" s="1"/>
  <c r="Q92" i="42" a="1"/>
  <c r="Q92" i="42" s="1"/>
  <c r="M92" i="42" a="1"/>
  <c r="M92" i="42" s="1"/>
  <c r="I92" i="42" a="1"/>
  <c r="I92" i="42" s="1"/>
  <c r="AQ91" i="42" a="1"/>
  <c r="AQ91" i="42" s="1"/>
  <c r="AM91" i="42" a="1"/>
  <c r="AM91" i="42" s="1"/>
  <c r="AI91" i="42" a="1"/>
  <c r="AI91" i="42" s="1"/>
  <c r="AE91" i="42" a="1"/>
  <c r="AE91" i="42" s="1"/>
  <c r="X91" i="42" a="1"/>
  <c r="X91" i="42" s="1"/>
  <c r="Q91" i="42" a="1"/>
  <c r="Q91" i="42" s="1"/>
  <c r="M91" i="42" a="1"/>
  <c r="M91" i="42" s="1"/>
  <c r="I91" i="42" a="1"/>
  <c r="I91" i="42" s="1"/>
  <c r="E91" i="42" a="1"/>
  <c r="E91" i="42" s="1"/>
  <c r="AO89" i="42" a="1"/>
  <c r="AO89" i="42" s="1"/>
  <c r="AK89" i="42" a="1"/>
  <c r="AK89" i="42" s="1"/>
  <c r="AG89" i="42" a="1"/>
  <c r="AG89" i="42" s="1"/>
  <c r="AC89" i="42" a="1"/>
  <c r="AC89" i="42" s="1"/>
  <c r="Y89" i="42" a="1"/>
  <c r="Y89" i="42" s="1"/>
  <c r="U89" i="42" a="1"/>
  <c r="U89" i="42" s="1"/>
  <c r="Q89" i="42" a="1"/>
  <c r="Q89" i="42" s="1"/>
  <c r="M89" i="42" a="1"/>
  <c r="M89" i="42" s="1"/>
  <c r="J89" i="42" a="1"/>
  <c r="J89" i="42" s="1"/>
  <c r="G89" i="42" a="1"/>
  <c r="G89" i="42" s="1"/>
  <c r="AQ88" i="42" a="1"/>
  <c r="AQ88" i="42" s="1"/>
  <c r="AM88" i="42" a="1"/>
  <c r="AM88" i="42" s="1"/>
  <c r="AI88" i="42" a="1"/>
  <c r="AI88" i="42" s="1"/>
  <c r="AE88" i="42" a="1"/>
  <c r="AE88" i="42" s="1"/>
  <c r="AA88" i="42" a="1"/>
  <c r="AA88" i="42" s="1"/>
  <c r="W88" i="42" a="1"/>
  <c r="W88" i="42" s="1"/>
  <c r="S88" i="42" a="1"/>
  <c r="S88" i="42" s="1"/>
  <c r="O88" i="42" a="1"/>
  <c r="O88" i="42" s="1"/>
  <c r="K88" i="42" a="1"/>
  <c r="K88" i="42" s="1"/>
  <c r="G88" i="42" a="1"/>
  <c r="G88" i="42" s="1"/>
  <c r="AQ86" i="42" a="1"/>
  <c r="AQ86" i="42" s="1"/>
  <c r="AM86" i="42" a="1"/>
  <c r="AM86" i="42" s="1"/>
  <c r="AI86" i="42" a="1"/>
  <c r="AI86" i="42" s="1"/>
  <c r="AE86" i="42" a="1"/>
  <c r="AE86" i="42" s="1"/>
  <c r="AA86" i="42" a="1"/>
  <c r="AA86" i="42" s="1"/>
  <c r="X86" i="42" a="1"/>
  <c r="X86" i="42" s="1"/>
  <c r="T86" i="42" a="1"/>
  <c r="T86" i="42" s="1"/>
  <c r="Q86" i="42" a="1"/>
  <c r="Q86" i="42" s="1"/>
  <c r="M86" i="42" a="1"/>
  <c r="M86" i="42" s="1"/>
  <c r="I86" i="42" a="1"/>
  <c r="I86" i="42" s="1"/>
  <c r="E86" i="42" a="1"/>
  <c r="E86" i="42" s="1"/>
  <c r="AO85" i="42" a="1"/>
  <c r="AO85" i="42" s="1"/>
  <c r="AK85" i="42" a="1"/>
  <c r="AK85" i="42" s="1"/>
  <c r="AH85" i="42" a="1"/>
  <c r="AH85" i="42" s="1"/>
  <c r="AD85" i="42" a="1"/>
  <c r="AD85" i="42" s="1"/>
  <c r="AA85" i="42" a="1"/>
  <c r="AA85" i="42" s="1"/>
  <c r="W85" i="42" a="1"/>
  <c r="W85" i="42" s="1"/>
  <c r="S85" i="42" a="1"/>
  <c r="S85" i="42" s="1"/>
  <c r="O85" i="42" a="1"/>
  <c r="O85" i="42" s="1"/>
  <c r="K85" i="42" a="1"/>
  <c r="K85" i="42" s="1"/>
  <c r="G85" i="42" a="1"/>
  <c r="G85" i="42" s="1"/>
  <c r="AO83" i="42" a="1"/>
  <c r="AO83" i="42" s="1"/>
  <c r="AK83" i="42" a="1"/>
  <c r="AK83" i="42" s="1"/>
  <c r="AG83" i="42" a="1"/>
  <c r="AG83" i="42" s="1"/>
  <c r="AC83" i="42" a="1"/>
  <c r="AC83" i="42" s="1"/>
  <c r="Y83" i="42" a="1"/>
  <c r="Y83" i="42" s="1"/>
  <c r="U83" i="42" a="1"/>
  <c r="U83" i="42" s="1"/>
  <c r="Q83" i="42" a="1"/>
  <c r="Q83" i="42" s="1"/>
  <c r="M83" i="42" a="1"/>
  <c r="M83" i="42" s="1"/>
  <c r="I83" i="42" a="1"/>
  <c r="I83" i="42" s="1"/>
  <c r="E83" i="42" a="1"/>
  <c r="E83" i="42" s="1"/>
  <c r="AO82" i="42" a="1"/>
  <c r="AO82" i="42" s="1"/>
  <c r="AK82" i="42" a="1"/>
  <c r="AK82" i="42" s="1"/>
  <c r="AG82" i="42" a="1"/>
  <c r="AG82" i="42" s="1"/>
  <c r="AC82" i="42" a="1"/>
  <c r="AC82" i="42" s="1"/>
  <c r="Y82" i="42" a="1"/>
  <c r="Y82" i="42" s="1"/>
  <c r="U82" i="42" a="1"/>
  <c r="U82" i="42" s="1"/>
  <c r="Q82" i="42" a="1"/>
  <c r="Q82" i="42" s="1"/>
  <c r="M82" i="42" a="1"/>
  <c r="M82" i="42" s="1"/>
  <c r="I82" i="42" a="1"/>
  <c r="I82" i="42" s="1"/>
  <c r="E82" i="42" a="1"/>
  <c r="E82" i="42" s="1"/>
  <c r="AQ80" i="42" a="1"/>
  <c r="AQ80" i="42" s="1"/>
  <c r="AM80" i="42" a="1"/>
  <c r="AM80" i="42" s="1"/>
  <c r="AI80" i="42" a="1"/>
  <c r="AI80" i="42" s="1"/>
  <c r="AE80" i="42" a="1"/>
  <c r="AE80" i="42" s="1"/>
  <c r="AA80" i="42" a="1"/>
  <c r="AA80" i="42" s="1"/>
  <c r="W80" i="42" a="1"/>
  <c r="W80" i="42" s="1"/>
  <c r="S80" i="42" a="1"/>
  <c r="S80" i="42" s="1"/>
  <c r="O80" i="42" a="1"/>
  <c r="O80" i="42" s="1"/>
  <c r="K80" i="42" a="1"/>
  <c r="K80" i="42" s="1"/>
  <c r="G80" i="42" a="1"/>
  <c r="G80" i="42" s="1"/>
  <c r="AQ79" i="42" a="1"/>
  <c r="AQ79" i="42" s="1"/>
  <c r="AM79" i="42" a="1"/>
  <c r="AM79" i="42" s="1"/>
  <c r="AI79" i="42" a="1"/>
  <c r="AI79" i="42" s="1"/>
  <c r="AE79" i="42" a="1"/>
  <c r="AE79" i="42" s="1"/>
  <c r="AA79" i="42" a="1"/>
  <c r="AA79" i="42" s="1"/>
  <c r="W79" i="42" a="1"/>
  <c r="W79" i="42" s="1"/>
  <c r="S79" i="42" a="1"/>
  <c r="S79" i="42" s="1"/>
  <c r="O79" i="42" a="1"/>
  <c r="O79" i="42" s="1"/>
  <c r="K79" i="42" a="1"/>
  <c r="K79" i="42" s="1"/>
  <c r="G79" i="42" a="1"/>
  <c r="G79" i="42" s="1"/>
  <c r="AP77" i="42" a="1"/>
  <c r="AP77" i="42" s="1"/>
  <c r="AL77" i="42" a="1"/>
  <c r="AL77" i="42" s="1"/>
  <c r="AH77" i="42" a="1"/>
  <c r="AH77" i="42" s="1"/>
  <c r="AD77" i="42" a="1"/>
  <c r="AD77" i="42" s="1"/>
  <c r="AA77" i="42" a="1"/>
  <c r="AA77" i="42" s="1"/>
  <c r="W77" i="42" a="1"/>
  <c r="W77" i="42" s="1"/>
  <c r="S77" i="42" a="1"/>
  <c r="S77" i="42" s="1"/>
  <c r="J77" i="42" a="1"/>
  <c r="J77" i="42" s="1"/>
  <c r="F77" i="42" a="1"/>
  <c r="F77" i="42" s="1"/>
  <c r="AP76" i="42" a="1"/>
  <c r="AP76" i="42" s="1"/>
  <c r="AM76" i="42" a="1"/>
  <c r="AM76" i="42" s="1"/>
  <c r="AJ76" i="42" a="1"/>
  <c r="AJ76" i="42" s="1"/>
  <c r="AF76" i="42" a="1"/>
  <c r="AF76" i="42" s="1"/>
  <c r="AB76" i="42" a="1"/>
  <c r="AB76" i="42" s="1"/>
  <c r="X76" i="42" a="1"/>
  <c r="X76" i="42" s="1"/>
  <c r="U76" i="42" a="1"/>
  <c r="U76" i="42" s="1"/>
  <c r="Q76" i="42" a="1"/>
  <c r="Q76" i="42" s="1"/>
  <c r="N76" i="42" a="1"/>
  <c r="N76" i="42" s="1"/>
  <c r="K76" i="42" a="1"/>
  <c r="K76" i="42" s="1"/>
  <c r="G76" i="42" a="1"/>
  <c r="G76" i="42" s="1"/>
  <c r="AK74" i="42" a="1"/>
  <c r="AK74" i="42" s="1"/>
  <c r="AG74" i="42" a="1"/>
  <c r="AG74" i="42" s="1"/>
  <c r="AC74" i="42" a="1"/>
  <c r="AC74" i="42" s="1"/>
  <c r="Y74" i="42" a="1"/>
  <c r="Y74" i="42" s="1"/>
  <c r="U74" i="42" a="1"/>
  <c r="U74" i="42" s="1"/>
  <c r="Q74" i="42" a="1"/>
  <c r="Q74" i="42" s="1"/>
  <c r="M74" i="42" a="1"/>
  <c r="M74" i="42" s="1"/>
  <c r="I74" i="42" a="1"/>
  <c r="I74" i="42" s="1"/>
  <c r="E74" i="42" a="1"/>
  <c r="E74" i="42" s="1"/>
  <c r="AO73" i="42" a="1"/>
  <c r="AO73" i="42" s="1"/>
  <c r="AK73" i="42" a="1"/>
  <c r="AK73" i="42" s="1"/>
  <c r="AG73" i="42" a="1"/>
  <c r="AG73" i="42" s="1"/>
  <c r="AC73" i="42" a="1"/>
  <c r="AC73" i="42" s="1"/>
  <c r="Y73" i="42" a="1"/>
  <c r="Y73" i="42" s="1"/>
  <c r="U73" i="42" a="1"/>
  <c r="U73" i="42" s="1"/>
  <c r="Q73" i="42" a="1"/>
  <c r="Q73" i="42" s="1"/>
  <c r="M73" i="42" a="1"/>
  <c r="M73" i="42" s="1"/>
  <c r="I73" i="42" a="1"/>
  <c r="I73" i="42" s="1"/>
  <c r="E73" i="42" a="1"/>
  <c r="E73" i="42" s="1"/>
  <c r="AQ71" i="42" a="1"/>
  <c r="AQ71" i="42" s="1"/>
  <c r="AJ71" i="42" a="1"/>
  <c r="AJ71" i="42" s="1"/>
  <c r="AF71" i="42" a="1"/>
  <c r="AF71" i="42" s="1"/>
  <c r="AB71" i="42" a="1"/>
  <c r="AB71" i="42" s="1"/>
  <c r="X71" i="42" a="1"/>
  <c r="X71" i="42" s="1"/>
  <c r="U71" i="42" a="1"/>
  <c r="U71" i="42" s="1"/>
  <c r="R71" i="42" a="1"/>
  <c r="R71" i="42" s="1"/>
  <c r="N71" i="42" a="1"/>
  <c r="N71" i="42" s="1"/>
  <c r="J71" i="42" a="1"/>
  <c r="J71" i="42" s="1"/>
  <c r="F71" i="42" a="1"/>
  <c r="F71" i="42" s="1"/>
  <c r="AP70" i="42" a="1"/>
  <c r="AP70" i="42" s="1"/>
  <c r="AL70" i="42" a="1"/>
  <c r="AL70" i="42" s="1"/>
  <c r="AH70" i="42" a="1"/>
  <c r="AH70" i="42" s="1"/>
  <c r="AE70" i="42" a="1"/>
  <c r="AE70" i="42" s="1"/>
  <c r="AB70" i="42" a="1"/>
  <c r="AB70" i="42" s="1"/>
  <c r="X70" i="42" a="1"/>
  <c r="X70" i="42" s="1"/>
  <c r="T70" i="42" a="1"/>
  <c r="T70" i="42" s="1"/>
  <c r="P70" i="42" a="1"/>
  <c r="P70" i="42" s="1"/>
  <c r="L70" i="42" a="1"/>
  <c r="L70" i="42" s="1"/>
  <c r="H70" i="42" a="1"/>
  <c r="H70" i="42" s="1"/>
  <c r="AO68" i="42" a="1"/>
  <c r="AO68" i="42" s="1"/>
  <c r="AK68" i="42" a="1"/>
  <c r="AK68" i="42" s="1"/>
  <c r="AG68" i="42" a="1"/>
  <c r="AG68" i="42" s="1"/>
  <c r="AC68" i="42" a="1"/>
  <c r="AC68" i="42" s="1"/>
  <c r="Y68" i="42" a="1"/>
  <c r="Y68" i="42" s="1"/>
  <c r="U68" i="42" a="1"/>
  <c r="U68" i="42" s="1"/>
  <c r="Q68" i="42" a="1"/>
  <c r="Q68" i="42" s="1"/>
  <c r="M68" i="42" a="1"/>
  <c r="M68" i="42" s="1"/>
  <c r="I68" i="42" a="1"/>
  <c r="I68" i="42" s="1"/>
  <c r="E68" i="42" a="1"/>
  <c r="E68" i="42" s="1"/>
  <c r="AO67" i="42" a="1"/>
  <c r="AO67" i="42" s="1"/>
  <c r="AK67" i="42" a="1"/>
  <c r="AK67" i="42" s="1"/>
  <c r="AG67" i="42" a="1"/>
  <c r="AG67" i="42" s="1"/>
  <c r="AC67" i="42" a="1"/>
  <c r="AC67" i="42" s="1"/>
  <c r="Y67" i="42" a="1"/>
  <c r="Y67" i="42" s="1"/>
  <c r="U67" i="42" a="1"/>
  <c r="U67" i="42" s="1"/>
  <c r="R67" i="42" a="1"/>
  <c r="R67" i="42" s="1"/>
  <c r="O67" i="42" a="1"/>
  <c r="O67" i="42" s="1"/>
  <c r="K67" i="42" a="1"/>
  <c r="K67" i="42" s="1"/>
  <c r="G67" i="42" a="1"/>
  <c r="G67" i="42" s="1"/>
  <c r="AR65" i="42" a="1"/>
  <c r="AR65" i="42" s="1"/>
  <c r="AN65" i="42" a="1"/>
  <c r="AN65" i="42" s="1"/>
  <c r="AJ65" i="42" a="1"/>
  <c r="AJ65" i="42" s="1"/>
  <c r="AF65" i="42" a="1"/>
  <c r="AF65" i="42" s="1"/>
  <c r="AC65" i="42" a="1"/>
  <c r="AC65" i="42" s="1"/>
  <c r="Z65" i="42" a="1"/>
  <c r="Z65" i="42" s="1"/>
  <c r="V65" i="42" a="1"/>
  <c r="V65" i="42" s="1"/>
  <c r="R65" i="42" a="1"/>
  <c r="R65" i="42" s="1"/>
  <c r="O65" i="42" a="1"/>
  <c r="O65" i="42" s="1"/>
  <c r="K65" i="42" a="1"/>
  <c r="K65" i="42" s="1"/>
  <c r="AO64" i="42" a="1"/>
  <c r="AO64" i="42" s="1"/>
  <c r="AK64" i="42" a="1"/>
  <c r="AK64" i="42" s="1"/>
  <c r="AG64" i="42" a="1"/>
  <c r="AG64" i="42" s="1"/>
  <c r="AC64" i="42" a="1"/>
  <c r="AC64" i="42" s="1"/>
  <c r="Z64" i="42" a="1"/>
  <c r="Z64" i="42" s="1"/>
  <c r="W64" i="42" a="1"/>
  <c r="W64" i="42" s="1"/>
  <c r="S64" i="42" a="1"/>
  <c r="S64" i="42" s="1"/>
  <c r="L64" i="42" a="1"/>
  <c r="L64" i="42" s="1"/>
  <c r="I64" i="42" a="1"/>
  <c r="I64" i="42" s="1"/>
  <c r="F64" i="42" a="1"/>
  <c r="F64" i="42" s="1"/>
  <c r="AR62" i="42" a="1"/>
  <c r="AR62" i="42" s="1"/>
  <c r="AN62" i="42" a="1"/>
  <c r="AN62" i="42" s="1"/>
  <c r="AK62" i="42" a="1"/>
  <c r="AK62" i="42" s="1"/>
  <c r="AH62" i="42" a="1"/>
  <c r="AH62" i="42" s="1"/>
  <c r="AE62" i="42" a="1"/>
  <c r="AE62" i="42" s="1"/>
  <c r="AA62" i="42" a="1"/>
  <c r="AA62" i="42" s="1"/>
  <c r="X62" i="42" a="1"/>
  <c r="X62" i="42" s="1"/>
  <c r="R62" i="42" a="1"/>
  <c r="R62" i="42" s="1"/>
  <c r="N62" i="42" a="1"/>
  <c r="N62" i="42" s="1"/>
  <c r="H62" i="42" a="1"/>
  <c r="H62" i="42" s="1"/>
  <c r="E62" i="42" a="1"/>
  <c r="E62" i="42" s="1"/>
  <c r="AL61" i="42" a="1"/>
  <c r="AL61" i="42" s="1"/>
  <c r="AI61" i="42" a="1"/>
  <c r="AI61" i="42" s="1"/>
  <c r="AF61" i="42" a="1"/>
  <c r="AF61" i="42" s="1"/>
  <c r="AC61" i="42" a="1"/>
  <c r="AC61" i="42" s="1"/>
  <c r="Y61" i="42" a="1"/>
  <c r="Y61" i="42" s="1"/>
  <c r="V61" i="42" a="1"/>
  <c r="V61" i="42" s="1"/>
  <c r="R61" i="42" a="1"/>
  <c r="R61" i="42" s="1"/>
  <c r="O61" i="42" a="1"/>
  <c r="O61" i="42" s="1"/>
  <c r="K61" i="42" a="1"/>
  <c r="K61" i="42" s="1"/>
  <c r="G61" i="42" a="1"/>
  <c r="G61" i="42" s="1"/>
  <c r="AR59" i="42" a="1"/>
  <c r="AR59" i="42" s="1"/>
  <c r="AO59" i="42" a="1"/>
  <c r="AO59" i="42" s="1"/>
  <c r="AK59" i="42" a="1"/>
  <c r="AK59" i="42" s="1"/>
  <c r="AG59" i="42" a="1"/>
  <c r="AG59" i="42" s="1"/>
  <c r="AD59" i="42" a="1"/>
  <c r="AD59" i="42" s="1"/>
  <c r="Z59" i="42" a="1"/>
  <c r="Z59" i="42" s="1"/>
  <c r="V59" i="42" a="1"/>
  <c r="V59" i="42" s="1"/>
  <c r="R59" i="42" a="1"/>
  <c r="R59" i="42" s="1"/>
  <c r="N59" i="42" a="1"/>
  <c r="N59" i="42" s="1"/>
  <c r="J59" i="42" a="1"/>
  <c r="J59" i="42" s="1"/>
  <c r="AQ58" i="42" a="1"/>
  <c r="AQ58" i="42" s="1"/>
  <c r="AN58" i="42" a="1"/>
  <c r="AN58" i="42" s="1"/>
  <c r="AJ58" i="42" a="1"/>
  <c r="AJ58" i="42" s="1"/>
  <c r="AF58" i="42" a="1"/>
  <c r="AF58" i="42" s="1"/>
  <c r="AB58" i="42" a="1"/>
  <c r="AB58" i="42" s="1"/>
  <c r="X58" i="42" a="1"/>
  <c r="X58" i="42" s="1"/>
  <c r="T58" i="42" a="1"/>
  <c r="T58" i="42" s="1"/>
  <c r="P58" i="42" a="1"/>
  <c r="P58" i="42" s="1"/>
  <c r="L58" i="42" a="1"/>
  <c r="L58" i="42" s="1"/>
  <c r="I58" i="42" a="1"/>
  <c r="I58" i="42" s="1"/>
  <c r="E58" i="42" a="1"/>
  <c r="E58" i="42" s="1"/>
  <c r="AN56" i="42" a="1"/>
  <c r="AN56" i="42" s="1"/>
  <c r="AJ56" i="42" a="1"/>
  <c r="AJ56" i="42" s="1"/>
  <c r="AF56" i="42" a="1"/>
  <c r="AF56" i="42" s="1"/>
  <c r="AC56" i="42" a="1"/>
  <c r="AC56" i="42" s="1"/>
  <c r="Y56" i="42" a="1"/>
  <c r="Y56" i="42" s="1"/>
  <c r="U56" i="42" a="1"/>
  <c r="U56" i="42" s="1"/>
  <c r="Q56" i="42" a="1"/>
  <c r="Q56" i="42" s="1"/>
  <c r="M56" i="42" a="1"/>
  <c r="M56" i="42" s="1"/>
  <c r="I56" i="42" a="1"/>
  <c r="I56" i="42" s="1"/>
  <c r="E56" i="42" a="1"/>
  <c r="E56" i="42" s="1"/>
  <c r="AO55" i="42" a="1"/>
  <c r="AO55" i="42" s="1"/>
  <c r="AK55" i="42" a="1"/>
  <c r="AK55" i="42" s="1"/>
  <c r="X55" i="42" a="1"/>
  <c r="X55" i="42" s="1"/>
  <c r="T55" i="42" a="1"/>
  <c r="T55" i="42" s="1"/>
  <c r="P55" i="42" a="1"/>
  <c r="P55" i="42" s="1"/>
  <c r="L55" i="42" a="1"/>
  <c r="L55" i="42" s="1"/>
  <c r="H55" i="42" a="1"/>
  <c r="H55" i="42" s="1"/>
  <c r="AQ53" i="42" a="1"/>
  <c r="AQ53" i="42" s="1"/>
  <c r="AM53" i="42" a="1"/>
  <c r="AM53" i="42" s="1"/>
  <c r="AJ53" i="42" a="1"/>
  <c r="AJ53" i="42" s="1"/>
  <c r="AF53" i="42" a="1"/>
  <c r="AF53" i="42" s="1"/>
  <c r="AB53" i="42" a="1"/>
  <c r="AB53" i="42" s="1"/>
  <c r="X53" i="42" a="1"/>
  <c r="X53" i="42" s="1"/>
  <c r="T53" i="42" a="1"/>
  <c r="T53" i="42" s="1"/>
  <c r="P53" i="42" a="1"/>
  <c r="P53" i="42" s="1"/>
  <c r="M53" i="42" a="1"/>
  <c r="M53" i="42" s="1"/>
  <c r="I53" i="42" a="1"/>
  <c r="I53" i="42" s="1"/>
  <c r="E53" i="42" a="1"/>
  <c r="E53" i="42" s="1"/>
  <c r="AO52" i="42" a="1"/>
  <c r="AO52" i="42" s="1"/>
  <c r="AK52" i="42" a="1"/>
  <c r="AK52" i="42" s="1"/>
  <c r="AG52" i="42" a="1"/>
  <c r="AG52" i="42" s="1"/>
  <c r="AC52" i="42" a="1"/>
  <c r="AC52" i="42" s="1"/>
  <c r="Y52" i="42" a="1"/>
  <c r="Y52" i="42" s="1"/>
  <c r="U52" i="42" a="1"/>
  <c r="U52" i="42" s="1"/>
  <c r="Q52" i="42" a="1"/>
  <c r="Q52" i="42" s="1"/>
  <c r="M52" i="42" a="1"/>
  <c r="M52" i="42" s="1"/>
  <c r="I52" i="42" a="1"/>
  <c r="I52" i="42" s="1"/>
  <c r="E52" i="42" a="1"/>
  <c r="E52" i="42" s="1"/>
  <c r="AR50" i="42" a="1"/>
  <c r="AR50" i="42" s="1"/>
  <c r="AO50" i="42" a="1"/>
  <c r="AO50" i="42" s="1"/>
  <c r="AK50" i="42" a="1"/>
  <c r="AK50" i="42" s="1"/>
  <c r="X50" i="42" a="1"/>
  <c r="X50" i="42" s="1"/>
  <c r="U50" i="42" a="1"/>
  <c r="U50" i="42" s="1"/>
  <c r="R50" i="42" a="1"/>
  <c r="R50" i="42" s="1"/>
  <c r="K50" i="42" a="1"/>
  <c r="K50" i="42" s="1"/>
  <c r="G50" i="42" a="1"/>
  <c r="G50" i="42" s="1"/>
  <c r="AP49" i="42" a="1"/>
  <c r="AP49" i="42" s="1"/>
  <c r="AL49" i="42" a="1"/>
  <c r="AL49" i="42" s="1"/>
  <c r="AB49" i="42" a="1"/>
  <c r="AB49" i="42" s="1"/>
  <c r="U49" i="42" a="1"/>
  <c r="U49" i="42" s="1"/>
  <c r="R49" i="42" a="1"/>
  <c r="R49" i="42" s="1"/>
  <c r="N49" i="42" a="1"/>
  <c r="N49" i="42" s="1"/>
  <c r="J49" i="42" a="1"/>
  <c r="J49" i="42" s="1"/>
  <c r="G49" i="42" a="1"/>
  <c r="G49" i="42" s="1"/>
  <c r="AP47" i="42" a="1"/>
  <c r="AP47" i="42" s="1"/>
  <c r="AL47" i="42" a="1"/>
  <c r="AL47" i="42" s="1"/>
  <c r="AI47" i="42" a="1"/>
  <c r="AI47" i="42" s="1"/>
  <c r="AE47" i="42" a="1"/>
  <c r="AE47" i="42" s="1"/>
  <c r="AA47" i="42" a="1"/>
  <c r="AA47" i="42" s="1"/>
  <c r="W47" i="42" a="1"/>
  <c r="W47" i="42" s="1"/>
  <c r="S47" i="42" a="1"/>
  <c r="S47" i="42" s="1"/>
  <c r="P47" i="42" a="1"/>
  <c r="P47" i="42" s="1"/>
  <c r="N47" i="42" a="1"/>
  <c r="N47" i="42" s="1"/>
  <c r="K47" i="42" a="1"/>
  <c r="K47" i="42" s="1"/>
  <c r="H47" i="42" a="1"/>
  <c r="H47" i="42" s="1"/>
  <c r="AR46" i="42" a="1"/>
  <c r="AR46" i="42" s="1"/>
  <c r="AN46" i="42" a="1"/>
  <c r="AN46" i="42" s="1"/>
  <c r="AK46" i="42" a="1"/>
  <c r="AK46" i="42" s="1"/>
  <c r="AH46" i="42" a="1"/>
  <c r="AH46" i="42" s="1"/>
  <c r="AA46" i="42" a="1"/>
  <c r="AA46" i="42" s="1"/>
  <c r="X46" i="42" a="1"/>
  <c r="X46" i="42" s="1"/>
  <c r="U46" i="42" a="1"/>
  <c r="U46" i="42" s="1"/>
  <c r="Q46" i="42" a="1"/>
  <c r="Q46" i="42" s="1"/>
  <c r="M46" i="42" a="1"/>
  <c r="M46" i="42" s="1"/>
  <c r="J46" i="42" a="1"/>
  <c r="J46" i="42" s="1"/>
  <c r="G46" i="42" a="1"/>
  <c r="G46" i="42" s="1"/>
  <c r="AQ44" i="42" a="1"/>
  <c r="AQ44" i="42" s="1"/>
  <c r="AM44" i="42" a="1"/>
  <c r="AM44" i="42" s="1"/>
  <c r="AI44" i="42" a="1"/>
  <c r="AI44" i="42" s="1"/>
  <c r="AE44" i="42" a="1"/>
  <c r="AE44" i="42" s="1"/>
  <c r="AA44" i="42" a="1"/>
  <c r="AA44" i="42" s="1"/>
  <c r="W44" i="42" a="1"/>
  <c r="W44" i="42" s="1"/>
  <c r="S44" i="42" a="1"/>
  <c r="S44" i="42" s="1"/>
  <c r="O44" i="42" a="1"/>
  <c r="O44" i="42" s="1"/>
  <c r="K44" i="42" a="1"/>
  <c r="K44" i="42" s="1"/>
  <c r="H44" i="42" a="1"/>
  <c r="H44" i="42" s="1"/>
  <c r="AR43" i="42" a="1"/>
  <c r="AR43" i="42" s="1"/>
  <c r="AN43" i="42" a="1"/>
  <c r="AN43" i="42" s="1"/>
  <c r="AJ43" i="42" a="1"/>
  <c r="AJ43" i="42" s="1"/>
  <c r="AF43" i="42" a="1"/>
  <c r="AF43" i="42" s="1"/>
  <c r="AC43" i="42" a="1"/>
  <c r="AC43" i="42" s="1"/>
  <c r="Z43" i="42" a="1"/>
  <c r="Z43" i="42" s="1"/>
  <c r="V43" i="42" a="1"/>
  <c r="V43" i="42" s="1"/>
  <c r="R43" i="42" a="1"/>
  <c r="R43" i="42" s="1"/>
  <c r="N43" i="42" a="1"/>
  <c r="N43" i="42" s="1"/>
  <c r="J43" i="42" a="1"/>
  <c r="J43" i="42" s="1"/>
  <c r="F43" i="42" a="1"/>
  <c r="F43" i="42" s="1"/>
  <c r="AR41" i="42" a="1"/>
  <c r="AR41" i="42" s="1"/>
  <c r="AN41" i="42" a="1"/>
  <c r="AN41" i="42" s="1"/>
  <c r="AJ41" i="42" a="1"/>
  <c r="AJ41" i="42" s="1"/>
  <c r="AF41" i="42" a="1"/>
  <c r="AF41" i="42" s="1"/>
  <c r="AB41" i="42" a="1"/>
  <c r="AB41" i="42" s="1"/>
  <c r="X41" i="42" a="1"/>
  <c r="X41" i="42" s="1"/>
  <c r="T41" i="42" a="1"/>
  <c r="T41" i="42" s="1"/>
  <c r="P41" i="42" a="1"/>
  <c r="P41" i="42" s="1"/>
  <c r="L41" i="42" a="1"/>
  <c r="L41" i="42" s="1"/>
  <c r="H41" i="42" a="1"/>
  <c r="H41" i="42" s="1"/>
  <c r="AR40" i="42" a="1"/>
  <c r="AR40" i="42" s="1"/>
  <c r="AO40" i="42" a="1"/>
  <c r="AO40" i="42" s="1"/>
  <c r="AL40" i="42" a="1"/>
  <c r="AL40" i="42" s="1"/>
  <c r="AH40" i="42" a="1"/>
  <c r="AH40" i="42" s="1"/>
  <c r="AD40" i="42" a="1"/>
  <c r="AD40" i="42" s="1"/>
  <c r="AA40" i="42" a="1"/>
  <c r="AA40" i="42" s="1"/>
  <c r="W40" i="42" a="1"/>
  <c r="W40" i="42" s="1"/>
  <c r="T40" i="42" a="1"/>
  <c r="T40" i="42" s="1"/>
  <c r="P40" i="42" a="1"/>
  <c r="P40" i="42" s="1"/>
  <c r="L40" i="42" a="1"/>
  <c r="L40" i="42" s="1"/>
  <c r="I40" i="42" a="1"/>
  <c r="I40" i="42" s="1"/>
  <c r="E40" i="42" a="1"/>
  <c r="E40" i="42" s="1"/>
  <c r="AQ38" i="42" a="1"/>
  <c r="AQ38" i="42" s="1"/>
  <c r="AM38" i="42" a="1"/>
  <c r="AM38" i="42" s="1"/>
  <c r="AI38" i="42" a="1"/>
  <c r="AI38" i="42" s="1"/>
  <c r="AE38" i="42" a="1"/>
  <c r="AE38" i="42" s="1"/>
  <c r="AB38" i="42" a="1"/>
  <c r="AB38" i="42" s="1"/>
  <c r="Y38" i="42" a="1"/>
  <c r="Y38" i="42" s="1"/>
  <c r="U38" i="42" a="1"/>
  <c r="U38" i="42" s="1"/>
  <c r="Q38" i="42" a="1"/>
  <c r="Q38" i="42" s="1"/>
  <c r="M38" i="42" a="1"/>
  <c r="M38" i="42" s="1"/>
  <c r="I38" i="42" a="1"/>
  <c r="I38" i="42" s="1"/>
  <c r="E38" i="42" a="1"/>
  <c r="E38" i="42" s="1"/>
  <c r="AO37" i="42" a="1"/>
  <c r="AO37" i="42" s="1"/>
  <c r="AK37" i="42" a="1"/>
  <c r="AK37" i="42" s="1"/>
  <c r="AG37" i="42" a="1"/>
  <c r="AG37" i="42" s="1"/>
  <c r="AD37" i="42" a="1"/>
  <c r="AD37" i="42" s="1"/>
  <c r="Z37" i="42" a="1"/>
  <c r="Z37" i="42" s="1"/>
  <c r="V37" i="42" a="1"/>
  <c r="V37" i="42" s="1"/>
  <c r="R37" i="42" a="1"/>
  <c r="R37" i="42" s="1"/>
  <c r="N37" i="42" a="1"/>
  <c r="N37" i="42" s="1"/>
  <c r="G37" i="42" a="1"/>
  <c r="G37" i="42" s="1"/>
  <c r="AP35" i="42" a="1"/>
  <c r="AP35" i="42" s="1"/>
  <c r="AM35" i="42" a="1"/>
  <c r="AM35" i="42" s="1"/>
  <c r="AI35" i="42" a="1"/>
  <c r="AI35" i="42" s="1"/>
  <c r="AE35" i="42" a="1"/>
  <c r="AE35" i="42" s="1"/>
  <c r="AA35" i="42" a="1"/>
  <c r="AA35" i="42" s="1"/>
  <c r="W35" i="42" a="1"/>
  <c r="W35" i="42" s="1"/>
  <c r="T35" i="42" a="1"/>
  <c r="T35" i="42" s="1"/>
  <c r="P35" i="42" a="1"/>
  <c r="P35" i="42" s="1"/>
  <c r="L35" i="42" a="1"/>
  <c r="L35" i="42" s="1"/>
  <c r="H35" i="42" a="1"/>
  <c r="H35" i="42" s="1"/>
  <c r="AM34" i="42" a="1"/>
  <c r="AM34" i="42" s="1"/>
  <c r="AI34" i="42" a="1"/>
  <c r="AI34" i="42" s="1"/>
  <c r="AE34" i="42" a="1"/>
  <c r="AE34" i="42" s="1"/>
  <c r="AA34" i="42" a="1"/>
  <c r="AA34" i="42" s="1"/>
  <c r="W34" i="42" a="1"/>
  <c r="W34" i="42" s="1"/>
  <c r="S34" i="42" a="1"/>
  <c r="S34" i="42" s="1"/>
  <c r="O34" i="42" a="1"/>
  <c r="O34" i="42" s="1"/>
  <c r="L34" i="42" a="1"/>
  <c r="L34" i="42" s="1"/>
  <c r="J34" i="42" a="1"/>
  <c r="J34" i="42" s="1"/>
  <c r="G34" i="42" a="1"/>
  <c r="G34" i="42" s="1"/>
  <c r="AO32" i="42" a="1"/>
  <c r="AO32" i="42" s="1"/>
  <c r="AK32" i="42" a="1"/>
  <c r="AK32" i="42" s="1"/>
  <c r="AG32" i="42" a="1"/>
  <c r="AG32" i="42" s="1"/>
  <c r="AE32" i="42" a="1"/>
  <c r="AE32" i="42" s="1"/>
  <c r="AA32" i="42" a="1"/>
  <c r="AA32" i="42" s="1"/>
  <c r="X32" i="42" a="1"/>
  <c r="X32" i="42" s="1"/>
  <c r="T32" i="42" a="1"/>
  <c r="T32" i="42" s="1"/>
  <c r="P32" i="42" a="1"/>
  <c r="P32" i="42" s="1"/>
  <c r="L32" i="42" a="1"/>
  <c r="L32" i="42" s="1"/>
  <c r="H32" i="42" a="1"/>
  <c r="H32" i="42" s="1"/>
  <c r="AR31" i="42" a="1"/>
  <c r="AR31" i="42" s="1"/>
  <c r="AL31" i="42" a="1"/>
  <c r="AL31" i="42" s="1"/>
  <c r="AH31" i="42" a="1"/>
  <c r="AH31" i="42" s="1"/>
  <c r="AE31" i="42" a="1"/>
  <c r="AE31" i="42" s="1"/>
  <c r="AA31" i="42" a="1"/>
  <c r="AA31" i="42" s="1"/>
  <c r="W31" i="42" a="1"/>
  <c r="W31" i="42" s="1"/>
  <c r="S31" i="42" a="1"/>
  <c r="S31" i="42" s="1"/>
  <c r="O31" i="42" a="1"/>
  <c r="O31" i="42" s="1"/>
  <c r="K31" i="42" a="1"/>
  <c r="K31" i="42" s="1"/>
  <c r="H31" i="42" a="1"/>
  <c r="H31" i="42" s="1"/>
  <c r="AP29" i="42" a="1"/>
  <c r="AP29" i="42" s="1"/>
  <c r="AL29" i="42" a="1"/>
  <c r="AL29" i="42" s="1"/>
  <c r="AH29" i="42" a="1"/>
  <c r="AH29" i="42" s="1"/>
  <c r="AD29" i="42" a="1"/>
  <c r="AD29" i="42" s="1"/>
  <c r="Z29" i="42" a="1"/>
  <c r="Z29" i="42" s="1"/>
  <c r="V29" i="42" a="1"/>
  <c r="V29" i="42" s="1"/>
  <c r="O29" i="42" a="1"/>
  <c r="O29" i="42" s="1"/>
  <c r="K29" i="42" a="1"/>
  <c r="K29" i="42" s="1"/>
  <c r="E29" i="42" a="1"/>
  <c r="E29" i="42" s="1"/>
  <c r="AO28" i="42" a="1"/>
  <c r="AO28" i="42" s="1"/>
  <c r="AK28" i="42" a="1"/>
  <c r="AK28" i="42" s="1"/>
  <c r="AG28" i="42" a="1"/>
  <c r="AG28" i="42" s="1"/>
  <c r="AC28" i="42" a="1"/>
  <c r="AC28" i="42" s="1"/>
  <c r="Y28" i="42" a="1"/>
  <c r="Y28" i="42" s="1"/>
  <c r="W28" i="42" a="1"/>
  <c r="W28" i="42" s="1"/>
  <c r="S28" i="42" a="1"/>
  <c r="S28" i="42" s="1"/>
  <c r="O28" i="42" a="1"/>
  <c r="O28" i="42" s="1"/>
  <c r="L28" i="42" a="1"/>
  <c r="L28" i="42" s="1"/>
  <c r="H28" i="42" a="1"/>
  <c r="H28" i="42" s="1"/>
  <c r="AQ26" i="42" a="1"/>
  <c r="AQ26" i="42" s="1"/>
  <c r="AN26" i="42" a="1"/>
  <c r="AN26" i="42" s="1"/>
  <c r="AJ26" i="42" a="1"/>
  <c r="AJ26" i="42" s="1"/>
  <c r="AF26" i="42" a="1"/>
  <c r="AF26" i="42" s="1"/>
  <c r="AB26" i="42" a="1"/>
  <c r="AB26" i="42" s="1"/>
  <c r="X26" i="42" a="1"/>
  <c r="X26" i="42" s="1"/>
  <c r="T26" i="42" a="1"/>
  <c r="T26" i="42" s="1"/>
  <c r="P26" i="42" a="1"/>
  <c r="P26" i="42" s="1"/>
  <c r="L26" i="42" a="1"/>
  <c r="L26" i="42" s="1"/>
  <c r="E26" i="42" a="1"/>
  <c r="E26" i="42" s="1"/>
  <c r="AO25" i="42" a="1"/>
  <c r="AO25" i="42" s="1"/>
  <c r="AK25" i="42" a="1"/>
  <c r="AK25" i="42" s="1"/>
  <c r="AG25" i="42" a="1"/>
  <c r="AG25" i="42" s="1"/>
  <c r="AC25" i="42" a="1"/>
  <c r="AC25" i="42" s="1"/>
  <c r="Y25" i="42" a="1"/>
  <c r="Y25" i="42" s="1"/>
  <c r="U25" i="42" a="1"/>
  <c r="U25" i="42" s="1"/>
  <c r="Q25" i="42" a="1"/>
  <c r="Q25" i="42" s="1"/>
  <c r="N25" i="42" a="1"/>
  <c r="N25" i="42" s="1"/>
  <c r="J25" i="42" a="1"/>
  <c r="J25" i="42" s="1"/>
  <c r="F25" i="42" a="1"/>
  <c r="F25" i="42" s="1"/>
  <c r="AQ23" i="42" a="1"/>
  <c r="AQ23" i="42" s="1"/>
  <c r="AM23" i="42" a="1"/>
  <c r="AM23" i="42" s="1"/>
  <c r="AJ23" i="42" a="1"/>
  <c r="AJ23" i="42" s="1"/>
  <c r="AF23" i="42" a="1"/>
  <c r="AF23" i="42" s="1"/>
  <c r="AB23" i="42" a="1"/>
  <c r="AB23" i="42" s="1"/>
  <c r="X23" i="42" a="1"/>
  <c r="X23" i="42" s="1"/>
  <c r="T23" i="42" a="1"/>
  <c r="T23" i="42" s="1"/>
  <c r="P23" i="42" a="1"/>
  <c r="P23" i="42" s="1"/>
  <c r="L23" i="42" a="1"/>
  <c r="L23" i="42" s="1"/>
  <c r="H23" i="42" a="1"/>
  <c r="H23" i="42" s="1"/>
  <c r="E23" i="42" a="1"/>
  <c r="E23" i="42" s="1"/>
  <c r="AO22" i="42" a="1"/>
  <c r="AO22" i="42" s="1"/>
  <c r="AK22" i="42" a="1"/>
  <c r="AK22" i="42" s="1"/>
  <c r="AG22" i="42" a="1"/>
  <c r="AG22" i="42" s="1"/>
  <c r="AC22" i="42" a="1"/>
  <c r="AC22" i="42" s="1"/>
  <c r="Y22" i="42" a="1"/>
  <c r="Y22" i="42" s="1"/>
  <c r="U22" i="42" a="1"/>
  <c r="U22" i="42" s="1"/>
  <c r="Q22" i="42" a="1"/>
  <c r="Q22" i="42" s="1"/>
  <c r="N22" i="42" a="1"/>
  <c r="N22" i="42" s="1"/>
  <c r="J22" i="42" a="1"/>
  <c r="J22" i="42" s="1"/>
  <c r="F22" i="42" a="1"/>
  <c r="F22" i="42" s="1"/>
  <c r="AR20" i="42" a="1"/>
  <c r="AR20" i="42" s="1"/>
  <c r="AN20" i="42" a="1"/>
  <c r="AN20" i="42" s="1"/>
  <c r="AJ20" i="42" a="1"/>
  <c r="AJ20" i="42" s="1"/>
  <c r="AF20" i="42" a="1"/>
  <c r="AF20" i="42" s="1"/>
  <c r="AB20" i="42" a="1"/>
  <c r="AB20" i="42" s="1"/>
  <c r="X20" i="42" a="1"/>
  <c r="X20" i="42" s="1"/>
  <c r="T20" i="42" a="1"/>
  <c r="T20" i="42" s="1"/>
  <c r="P20" i="42" a="1"/>
  <c r="P20" i="42" s="1"/>
  <c r="L20" i="42" a="1"/>
  <c r="L20" i="42" s="1"/>
  <c r="F20" i="42" a="1"/>
  <c r="F20" i="42" s="1"/>
  <c r="AQ19" i="42" a="1"/>
  <c r="AQ19" i="42" s="1"/>
  <c r="AM19" i="42" a="1"/>
  <c r="AM19" i="42" s="1"/>
  <c r="AI19" i="42" a="1"/>
  <c r="AI19" i="42" s="1"/>
  <c r="AE19" i="42" a="1"/>
  <c r="AE19" i="42" s="1"/>
  <c r="AA19" i="42" a="1"/>
  <c r="AA19" i="42" s="1"/>
  <c r="X19" i="42" a="1"/>
  <c r="X19" i="42" s="1"/>
  <c r="T19" i="42" a="1"/>
  <c r="T19" i="42" s="1"/>
  <c r="R19" i="42" a="1"/>
  <c r="R19" i="42" s="1"/>
  <c r="N19" i="42" a="1"/>
  <c r="N19" i="42" s="1"/>
  <c r="J19" i="42" a="1"/>
  <c r="J19" i="42" s="1"/>
  <c r="F19" i="42" a="1"/>
  <c r="F19" i="42" s="1"/>
  <c r="AR17" i="42" a="1"/>
  <c r="AR17" i="42" s="1"/>
  <c r="AN17" i="42" a="1"/>
  <c r="AN17" i="42" s="1"/>
  <c r="AJ17" i="42" a="1"/>
  <c r="AJ17" i="42" s="1"/>
  <c r="AD17" i="42" a="1"/>
  <c r="AD17" i="42" s="1"/>
  <c r="Z17" i="42" a="1"/>
  <c r="Z17" i="42" s="1"/>
  <c r="U17" i="42" a="1"/>
  <c r="U17" i="42" s="1"/>
  <c r="Q17" i="42" a="1"/>
  <c r="Q17" i="42" s="1"/>
  <c r="M17" i="42" a="1"/>
  <c r="M17" i="42" s="1"/>
  <c r="I17" i="42" a="1"/>
  <c r="I17" i="42" s="1"/>
  <c r="E17" i="42" a="1"/>
  <c r="E17" i="42" s="1"/>
  <c r="AP16" i="42" a="1"/>
  <c r="AP16" i="42" s="1"/>
  <c r="AL16" i="42" a="1"/>
  <c r="AL16" i="42" s="1"/>
  <c r="AH16" i="42" a="1"/>
  <c r="AH16" i="42" s="1"/>
  <c r="AD16" i="42" a="1"/>
  <c r="AD16" i="42" s="1"/>
  <c r="Z16" i="42" a="1"/>
  <c r="Z16" i="42" s="1"/>
  <c r="S16" i="42" a="1"/>
  <c r="S16" i="42" s="1"/>
  <c r="O16" i="42" a="1"/>
  <c r="O16" i="42" s="1"/>
  <c r="L16" i="42" a="1"/>
  <c r="L16" i="42" s="1"/>
  <c r="J16" i="42" a="1"/>
  <c r="J16" i="42" s="1"/>
  <c r="F16" i="42" a="1"/>
  <c r="F16" i="42" s="1"/>
  <c r="AR11" i="42" a="1"/>
  <c r="AR11" i="42" s="1"/>
  <c r="AN11" i="42" a="1"/>
  <c r="AN11" i="42" s="1"/>
  <c r="AJ11" i="42" a="1"/>
  <c r="AJ11" i="42" s="1"/>
  <c r="AH11" i="42" a="1"/>
  <c r="AH11" i="42" s="1"/>
  <c r="AQ104" i="42" a="1"/>
  <c r="AQ104" i="42" s="1"/>
  <c r="AM104" i="42" a="1"/>
  <c r="AM104" i="42" s="1"/>
  <c r="AI104" i="42" a="1"/>
  <c r="AI104" i="42" s="1"/>
  <c r="AE104" i="42" a="1"/>
  <c r="AE104" i="42" s="1"/>
  <c r="X104" i="42" a="1"/>
  <c r="X104" i="42" s="1"/>
  <c r="T104" i="42" a="1"/>
  <c r="T104" i="42" s="1"/>
  <c r="P104" i="42" a="1"/>
  <c r="P104" i="42" s="1"/>
  <c r="L104" i="42" a="1"/>
  <c r="L104" i="42" s="1"/>
  <c r="H104" i="42" a="1"/>
  <c r="H104" i="42" s="1"/>
  <c r="AR103" i="42" a="1"/>
  <c r="AR103" i="42" s="1"/>
  <c r="AO103" i="42" a="1"/>
  <c r="AO103" i="42" s="1"/>
  <c r="AK103" i="42" a="1"/>
  <c r="AK103" i="42" s="1"/>
  <c r="AG103" i="42" a="1"/>
  <c r="AG103" i="42" s="1"/>
  <c r="AD103" i="42" a="1"/>
  <c r="AD103" i="42" s="1"/>
  <c r="AA103" i="42" a="1"/>
  <c r="AA103" i="42" s="1"/>
  <c r="W103" i="42" a="1"/>
  <c r="W103" i="42" s="1"/>
  <c r="T103" i="42" a="1"/>
  <c r="T103" i="42" s="1"/>
  <c r="P103" i="42" a="1"/>
  <c r="P103" i="42" s="1"/>
  <c r="L103" i="42" a="1"/>
  <c r="L103" i="42" s="1"/>
  <c r="H103" i="42" a="1"/>
  <c r="H103" i="42" s="1"/>
  <c r="AP101" i="42" a="1"/>
  <c r="AP101" i="42" s="1"/>
  <c r="AL101" i="42" a="1"/>
  <c r="AL101" i="42" s="1"/>
  <c r="AH101" i="42" a="1"/>
  <c r="AH101" i="42" s="1"/>
  <c r="AD101" i="42" a="1"/>
  <c r="AD101" i="42" s="1"/>
  <c r="Z101" i="42" a="1"/>
  <c r="Z101" i="42" s="1"/>
  <c r="V101" i="42" a="1"/>
  <c r="V101" i="42" s="1"/>
  <c r="R101" i="42" a="1"/>
  <c r="R101" i="42" s="1"/>
  <c r="O101" i="42" a="1"/>
  <c r="O101" i="42" s="1"/>
  <c r="K101" i="42" a="1"/>
  <c r="K101" i="42" s="1"/>
  <c r="G101" i="42" a="1"/>
  <c r="G101" i="42" s="1"/>
  <c r="AQ100" i="42" a="1"/>
  <c r="AQ100" i="42" s="1"/>
  <c r="AJ100" i="42" a="1"/>
  <c r="AJ100" i="42" s="1"/>
  <c r="AF100" i="42" a="1"/>
  <c r="AF100" i="42" s="1"/>
  <c r="AB100" i="42" a="1"/>
  <c r="AB100" i="42" s="1"/>
  <c r="X100" i="42" a="1"/>
  <c r="X100" i="42" s="1"/>
  <c r="T100" i="42" a="1"/>
  <c r="T100" i="42" s="1"/>
  <c r="P100" i="42" a="1"/>
  <c r="P100" i="42" s="1"/>
  <c r="M100" i="42" a="1"/>
  <c r="M100" i="42" s="1"/>
  <c r="I100" i="42" a="1"/>
  <c r="I100" i="42" s="1"/>
  <c r="F100" i="42" a="1"/>
  <c r="F100" i="42" s="1"/>
  <c r="AR98" i="42" a="1"/>
  <c r="AR98" i="42" s="1"/>
  <c r="AO98" i="42" a="1"/>
  <c r="AO98" i="42" s="1"/>
  <c r="AK98" i="42" a="1"/>
  <c r="AK98" i="42" s="1"/>
  <c r="AH98" i="42" a="1"/>
  <c r="AH98" i="42" s="1"/>
  <c r="AE98" i="42" a="1"/>
  <c r="AE98" i="42" s="1"/>
  <c r="AB98" i="42" a="1"/>
  <c r="AB98" i="42" s="1"/>
  <c r="X98" i="42" a="1"/>
  <c r="X98" i="42" s="1"/>
  <c r="T98" i="42" a="1"/>
  <c r="T98" i="42" s="1"/>
  <c r="P98" i="42" a="1"/>
  <c r="P98" i="42" s="1"/>
  <c r="L98" i="42" a="1"/>
  <c r="L98" i="42" s="1"/>
  <c r="H98" i="42" a="1"/>
  <c r="H98" i="42" s="1"/>
  <c r="AR97" i="42" a="1"/>
  <c r="AR97" i="42" s="1"/>
  <c r="AN97" i="42" a="1"/>
  <c r="AN97" i="42" s="1"/>
  <c r="AJ97" i="42" a="1"/>
  <c r="AJ97" i="42" s="1"/>
  <c r="AF97" i="42" a="1"/>
  <c r="AF97" i="42" s="1"/>
  <c r="AB97" i="42" a="1"/>
  <c r="AB97" i="42" s="1"/>
  <c r="X97" i="42" a="1"/>
  <c r="X97" i="42" s="1"/>
  <c r="T97" i="42" a="1"/>
  <c r="T97" i="42" s="1"/>
  <c r="P97" i="42" a="1"/>
  <c r="P97" i="42" s="1"/>
  <c r="L97" i="42" a="1"/>
  <c r="L97" i="42" s="1"/>
  <c r="F97" i="42" a="1"/>
  <c r="F97" i="42" s="1"/>
  <c r="AO95" i="42" a="1"/>
  <c r="AO95" i="42" s="1"/>
  <c r="AK95" i="42" a="1"/>
  <c r="AK95" i="42" s="1"/>
  <c r="AG95" i="42" a="1"/>
  <c r="AG95" i="42" s="1"/>
  <c r="AC95" i="42" a="1"/>
  <c r="AC95" i="42" s="1"/>
  <c r="V95" i="42" a="1"/>
  <c r="V95" i="42" s="1"/>
  <c r="R95" i="42" a="1"/>
  <c r="R95" i="42" s="1"/>
  <c r="O95" i="42" a="1"/>
  <c r="O95" i="42" s="1"/>
  <c r="K95" i="42" a="1"/>
  <c r="K95" i="42" s="1"/>
  <c r="G95" i="42" a="1"/>
  <c r="G95" i="42" s="1"/>
  <c r="AQ94" i="42" a="1"/>
  <c r="AQ94" i="42" s="1"/>
  <c r="AN94" i="42" a="1"/>
  <c r="AN94" i="42" s="1"/>
  <c r="AK94" i="42" a="1"/>
  <c r="AK94" i="42" s="1"/>
  <c r="AG94" i="42" a="1"/>
  <c r="AG94" i="42" s="1"/>
  <c r="AC94" i="42" a="1"/>
  <c r="AC94" i="42" s="1"/>
  <c r="Y94" i="42" a="1"/>
  <c r="Y94" i="42" s="1"/>
  <c r="U94" i="42" a="1"/>
  <c r="U94" i="42" s="1"/>
  <c r="Q94" i="42" a="1"/>
  <c r="Q94" i="42" s="1"/>
  <c r="N94" i="42" a="1"/>
  <c r="N94" i="42" s="1"/>
  <c r="J94" i="42" a="1"/>
  <c r="J94" i="42" s="1"/>
  <c r="F94" i="42" a="1"/>
  <c r="F94" i="42" s="1"/>
  <c r="AR92" i="42" a="1"/>
  <c r="AR92" i="42" s="1"/>
  <c r="AN92" i="42" a="1"/>
  <c r="AN92" i="42" s="1"/>
  <c r="AJ92" i="42" a="1"/>
  <c r="AJ92" i="42" s="1"/>
  <c r="AF92" i="42" a="1"/>
  <c r="AF92" i="42" s="1"/>
  <c r="AB92" i="42" a="1"/>
  <c r="AB92" i="42" s="1"/>
  <c r="X92" i="42" a="1"/>
  <c r="X92" i="42" s="1"/>
  <c r="T92" i="42" a="1"/>
  <c r="T92" i="42" s="1"/>
  <c r="P92" i="42" a="1"/>
  <c r="P92" i="42" s="1"/>
  <c r="L92" i="42" a="1"/>
  <c r="L92" i="42" s="1"/>
  <c r="H92" i="42" a="1"/>
  <c r="H92" i="42" s="1"/>
  <c r="E92" i="42" a="1"/>
  <c r="E92" i="42" s="1"/>
  <c r="AP91" i="42" a="1"/>
  <c r="AP91" i="42" s="1"/>
  <c r="AL91" i="42" a="1"/>
  <c r="AL91" i="42" s="1"/>
  <c r="AH91" i="42" a="1"/>
  <c r="AH91" i="42" s="1"/>
  <c r="AD91" i="42" a="1"/>
  <c r="AD91" i="42" s="1"/>
  <c r="AA91" i="42" a="1"/>
  <c r="AA91" i="42" s="1"/>
  <c r="W91" i="42" a="1"/>
  <c r="W91" i="42" s="1"/>
  <c r="T91" i="42" a="1"/>
  <c r="T91" i="42" s="1"/>
  <c r="P91" i="42" a="1"/>
  <c r="P91" i="42" s="1"/>
  <c r="L91" i="42" a="1"/>
  <c r="L91" i="42" s="1"/>
  <c r="H91" i="42" a="1"/>
  <c r="H91" i="42" s="1"/>
  <c r="AR89" i="42" a="1"/>
  <c r="AR89" i="42" s="1"/>
  <c r="AN89" i="42" a="1"/>
  <c r="AN89" i="42" s="1"/>
  <c r="AJ89" i="42" a="1"/>
  <c r="AJ89" i="42" s="1"/>
  <c r="AF89" i="42" a="1"/>
  <c r="AF89" i="42" s="1"/>
  <c r="AB89" i="42" a="1"/>
  <c r="AB89" i="42" s="1"/>
  <c r="X89" i="42" a="1"/>
  <c r="X89" i="42" s="1"/>
  <c r="T89" i="42" a="1"/>
  <c r="T89" i="42" s="1"/>
  <c r="P89" i="42" a="1"/>
  <c r="P89" i="42" s="1"/>
  <c r="L89" i="42" a="1"/>
  <c r="L89" i="42" s="1"/>
  <c r="I89" i="42" a="1"/>
  <c r="I89" i="42" s="1"/>
  <c r="F89" i="42" a="1"/>
  <c r="F89" i="42" s="1"/>
  <c r="AP88" i="42" a="1"/>
  <c r="AP88" i="42" s="1"/>
  <c r="AL88" i="42" a="1"/>
  <c r="AL88" i="42" s="1"/>
  <c r="AH88" i="42" a="1"/>
  <c r="AH88" i="42" s="1"/>
  <c r="AD88" i="42" a="1"/>
  <c r="AD88" i="42" s="1"/>
  <c r="Z88" i="42" a="1"/>
  <c r="Z88" i="42" s="1"/>
  <c r="V88" i="42" a="1"/>
  <c r="V88" i="42" s="1"/>
  <c r="R88" i="42" a="1"/>
  <c r="R88" i="42" s="1"/>
  <c r="N88" i="42" a="1"/>
  <c r="N88" i="42" s="1"/>
  <c r="J88" i="42" a="1"/>
  <c r="J88" i="42" s="1"/>
  <c r="F88" i="42" a="1"/>
  <c r="F88" i="42" s="1"/>
  <c r="AP86" i="42" a="1"/>
  <c r="AP86" i="42" s="1"/>
  <c r="AL86" i="42" a="1"/>
  <c r="AL86" i="42" s="1"/>
  <c r="AH86" i="42" a="1"/>
  <c r="AH86" i="42" s="1"/>
  <c r="AD86" i="42" a="1"/>
  <c r="AD86" i="42" s="1"/>
  <c r="W86" i="42" a="1"/>
  <c r="W86" i="42" s="1"/>
  <c r="P86" i="42" a="1"/>
  <c r="P86" i="42" s="1"/>
  <c r="L86" i="42" a="1"/>
  <c r="L86" i="42" s="1"/>
  <c r="H86" i="42" a="1"/>
  <c r="H86" i="42" s="1"/>
  <c r="AR85" i="42" a="1"/>
  <c r="AR85" i="42" s="1"/>
  <c r="AN85" i="42" a="1"/>
  <c r="AN85" i="42" s="1"/>
  <c r="AJ85" i="42" a="1"/>
  <c r="AJ85" i="42" s="1"/>
  <c r="AG85" i="42" a="1"/>
  <c r="AG85" i="42" s="1"/>
  <c r="AC85" i="42" a="1"/>
  <c r="AC85" i="42" s="1"/>
  <c r="Z85" i="42" a="1"/>
  <c r="Z85" i="42" s="1"/>
  <c r="V85" i="42" a="1"/>
  <c r="V85" i="42" s="1"/>
  <c r="R85" i="42" a="1"/>
  <c r="R85" i="42" s="1"/>
  <c r="N85" i="42" a="1"/>
  <c r="N85" i="42" s="1"/>
  <c r="J85" i="42" a="1"/>
  <c r="J85" i="42" s="1"/>
  <c r="F85" i="42" a="1"/>
  <c r="F85" i="42" s="1"/>
  <c r="AR83" i="42" a="1"/>
  <c r="AR83" i="42" s="1"/>
  <c r="AN83" i="42" a="1"/>
  <c r="AN83" i="42" s="1"/>
  <c r="AJ83" i="42" a="1"/>
  <c r="AJ83" i="42" s="1"/>
  <c r="AF83" i="42" a="1"/>
  <c r="AF83" i="42" s="1"/>
  <c r="AB83" i="42" a="1"/>
  <c r="AB83" i="42" s="1"/>
  <c r="X83" i="42" a="1"/>
  <c r="X83" i="42" s="1"/>
  <c r="T83" i="42" a="1"/>
  <c r="T83" i="42" s="1"/>
  <c r="P83" i="42" a="1"/>
  <c r="P83" i="42" s="1"/>
  <c r="L83" i="42" a="1"/>
  <c r="L83" i="42" s="1"/>
  <c r="H83" i="42" a="1"/>
  <c r="H83" i="42" s="1"/>
  <c r="AR82" i="42" a="1"/>
  <c r="AR82" i="42" s="1"/>
  <c r="AN82" i="42" a="1"/>
  <c r="AN82" i="42" s="1"/>
  <c r="AJ82" i="42" a="1"/>
  <c r="AJ82" i="42" s="1"/>
  <c r="AF82" i="42" a="1"/>
  <c r="AF82" i="42" s="1"/>
  <c r="AB82" i="42" a="1"/>
  <c r="AB82" i="42" s="1"/>
  <c r="X82" i="42" a="1"/>
  <c r="X82" i="42" s="1"/>
  <c r="T82" i="42" a="1"/>
  <c r="T82" i="42" s="1"/>
  <c r="P82" i="42" a="1"/>
  <c r="P82" i="42" s="1"/>
  <c r="L82" i="42" a="1"/>
  <c r="L82" i="42" s="1"/>
  <c r="H82" i="42" a="1"/>
  <c r="H82" i="42" s="1"/>
  <c r="AP80" i="42" a="1"/>
  <c r="AP80" i="42" s="1"/>
  <c r="AL80" i="42" a="1"/>
  <c r="AL80" i="42" s="1"/>
  <c r="AH80" i="42" a="1"/>
  <c r="AH80" i="42" s="1"/>
  <c r="AD80" i="42" a="1"/>
  <c r="AD80" i="42" s="1"/>
  <c r="Z80" i="42" a="1"/>
  <c r="Z80" i="42" s="1"/>
  <c r="V80" i="42" a="1"/>
  <c r="V80" i="42" s="1"/>
  <c r="R80" i="42" a="1"/>
  <c r="R80" i="42" s="1"/>
  <c r="N80" i="42" a="1"/>
  <c r="N80" i="42" s="1"/>
  <c r="J80" i="42" a="1"/>
  <c r="J80" i="42" s="1"/>
  <c r="F80" i="42" a="1"/>
  <c r="F80" i="42" s="1"/>
  <c r="AP79" i="42" a="1"/>
  <c r="AP79" i="42" s="1"/>
  <c r="AL79" i="42" a="1"/>
  <c r="AL79" i="42" s="1"/>
  <c r="AH79" i="42" a="1"/>
  <c r="AH79" i="42" s="1"/>
  <c r="AD79" i="42" a="1"/>
  <c r="AD79" i="42" s="1"/>
  <c r="Z79" i="42" a="1"/>
  <c r="Z79" i="42" s="1"/>
  <c r="V79" i="42" a="1"/>
  <c r="V79" i="42" s="1"/>
  <c r="R79" i="42" a="1"/>
  <c r="R79" i="42" s="1"/>
  <c r="N79" i="42" a="1"/>
  <c r="N79" i="42" s="1"/>
  <c r="J79" i="42" a="1"/>
  <c r="J79" i="42" s="1"/>
  <c r="F79" i="42" a="1"/>
  <c r="F79" i="42" s="1"/>
  <c r="AR77" i="42" a="1"/>
  <c r="AR77" i="42" s="1"/>
  <c r="AO77" i="42" a="1"/>
  <c r="AO77" i="42" s="1"/>
  <c r="AK77" i="42" a="1"/>
  <c r="AK77" i="42" s="1"/>
  <c r="AG77" i="42" a="1"/>
  <c r="AG77" i="42" s="1"/>
  <c r="AC77" i="42" a="1"/>
  <c r="AC77" i="42" s="1"/>
  <c r="Z77" i="42" a="1"/>
  <c r="Z77" i="42" s="1"/>
  <c r="V77" i="42" a="1"/>
  <c r="V77" i="42" s="1"/>
  <c r="R77" i="42" a="1"/>
  <c r="R77" i="42" s="1"/>
  <c r="O77" i="42" a="1"/>
  <c r="O77" i="42" s="1"/>
  <c r="L77" i="42" a="1"/>
  <c r="L77" i="42" s="1"/>
  <c r="I77" i="42" a="1"/>
  <c r="I77" i="42" s="1"/>
  <c r="E77" i="42" a="1"/>
  <c r="E77" i="42" s="1"/>
  <c r="AO76" i="42" a="1"/>
  <c r="AO76" i="42" s="1"/>
  <c r="AL76" i="42" a="1"/>
  <c r="AL76" i="42" s="1"/>
  <c r="AI76" i="42" a="1"/>
  <c r="AI76" i="42" s="1"/>
  <c r="AE76" i="42" a="1"/>
  <c r="AE76" i="42" s="1"/>
  <c r="AA76" i="42" a="1"/>
  <c r="AA76" i="42" s="1"/>
  <c r="T76" i="42" a="1"/>
  <c r="T76" i="42" s="1"/>
  <c r="T75" i="42" s="1"/>
  <c r="P76" i="42" a="1"/>
  <c r="P76" i="42" s="1"/>
  <c r="P75" i="42" s="1"/>
  <c r="M76" i="42" a="1"/>
  <c r="M76" i="42" s="1"/>
  <c r="M75" i="42" s="1"/>
  <c r="J76" i="42" a="1"/>
  <c r="J76" i="42" s="1"/>
  <c r="F76" i="42" a="1"/>
  <c r="F76" i="42" s="1"/>
  <c r="AQ74" i="42" a="1"/>
  <c r="AQ74" i="42" s="1"/>
  <c r="AN74" i="42" a="1"/>
  <c r="AN74" i="42" s="1"/>
  <c r="AJ74" i="42" a="1"/>
  <c r="AJ74" i="42" s="1"/>
  <c r="AF74" i="42" a="1"/>
  <c r="AF74" i="42" s="1"/>
  <c r="AB74" i="42" a="1"/>
  <c r="AB74" i="42" s="1"/>
  <c r="X74" i="42" a="1"/>
  <c r="X74" i="42" s="1"/>
  <c r="T74" i="42" a="1"/>
  <c r="T74" i="42" s="1"/>
  <c r="P74" i="42" a="1"/>
  <c r="P74" i="42" s="1"/>
  <c r="L74" i="42" a="1"/>
  <c r="L74" i="42" s="1"/>
  <c r="H74" i="42" a="1"/>
  <c r="H74" i="42" s="1"/>
  <c r="AR73" i="42" a="1"/>
  <c r="AR73" i="42" s="1"/>
  <c r="AR72" i="42" s="1"/>
  <c r="AN73" i="42" a="1"/>
  <c r="AN73" i="42" s="1"/>
  <c r="AJ73" i="42" a="1"/>
  <c r="AJ73" i="42" s="1"/>
  <c r="AF73" i="42" a="1"/>
  <c r="AF73" i="42" s="1"/>
  <c r="AB73" i="42" a="1"/>
  <c r="AB73" i="42" s="1"/>
  <c r="X73" i="42" a="1"/>
  <c r="X73" i="42" s="1"/>
  <c r="T73" i="42" a="1"/>
  <c r="T73" i="42" s="1"/>
  <c r="P73" i="42" a="1"/>
  <c r="P73" i="42" s="1"/>
  <c r="L73" i="42" a="1"/>
  <c r="L73" i="42" s="1"/>
  <c r="H73" i="42" a="1"/>
  <c r="H73" i="42" s="1"/>
  <c r="AP71" i="42" a="1"/>
  <c r="AP71" i="42" s="1"/>
  <c r="AM71" i="42" a="1"/>
  <c r="AM71" i="42" s="1"/>
  <c r="AI71" i="42" a="1"/>
  <c r="AI71" i="42" s="1"/>
  <c r="AE71" i="42" a="1"/>
  <c r="AE71" i="42" s="1"/>
  <c r="AA71" i="42" a="1"/>
  <c r="AA71" i="42" s="1"/>
  <c r="Q71" i="42" a="1"/>
  <c r="Q71" i="42" s="1"/>
  <c r="M71" i="42" a="1"/>
  <c r="M71" i="42" s="1"/>
  <c r="I71" i="42" a="1"/>
  <c r="I71" i="42" s="1"/>
  <c r="E71" i="42" a="1"/>
  <c r="E71" i="42" s="1"/>
  <c r="AO70" i="42" a="1"/>
  <c r="AO70" i="42" s="1"/>
  <c r="AK70" i="42" a="1"/>
  <c r="AK70" i="42" s="1"/>
  <c r="AG70" i="42" a="1"/>
  <c r="AG70" i="42" s="1"/>
  <c r="AD70" i="42" a="1"/>
  <c r="AD70" i="42" s="1"/>
  <c r="AA70" i="42" a="1"/>
  <c r="AA70" i="42" s="1"/>
  <c r="W70" i="42" a="1"/>
  <c r="W70" i="42" s="1"/>
  <c r="S70" i="42" a="1"/>
  <c r="S70" i="42" s="1"/>
  <c r="O70" i="42" a="1"/>
  <c r="O70" i="42" s="1"/>
  <c r="K70" i="42" a="1"/>
  <c r="K70" i="42" s="1"/>
  <c r="G70" i="42" a="1"/>
  <c r="G70" i="42" s="1"/>
  <c r="AR68" i="42" a="1"/>
  <c r="AR68" i="42" s="1"/>
  <c r="AN68" i="42" a="1"/>
  <c r="AN68" i="42" s="1"/>
  <c r="AJ68" i="42" a="1"/>
  <c r="AJ68" i="42" s="1"/>
  <c r="AF68" i="42" a="1"/>
  <c r="AF68" i="42" s="1"/>
  <c r="AB68" i="42" a="1"/>
  <c r="AB68" i="42" s="1"/>
  <c r="X68" i="42" a="1"/>
  <c r="X68" i="42" s="1"/>
  <c r="T68" i="42" a="1"/>
  <c r="T68" i="42" s="1"/>
  <c r="P68" i="42" a="1"/>
  <c r="P68" i="42" s="1"/>
  <c r="L68" i="42" a="1"/>
  <c r="L68" i="42" s="1"/>
  <c r="H68" i="42" a="1"/>
  <c r="H68" i="42" s="1"/>
  <c r="AR67" i="42" a="1"/>
  <c r="AR67" i="42" s="1"/>
  <c r="AN67" i="42" a="1"/>
  <c r="AN67" i="42" s="1"/>
  <c r="AJ67" i="42" a="1"/>
  <c r="AJ67" i="42" s="1"/>
  <c r="AF67" i="42" a="1"/>
  <c r="AF67" i="42" s="1"/>
  <c r="AB67" i="42" a="1"/>
  <c r="AB67" i="42" s="1"/>
  <c r="X67" i="42" a="1"/>
  <c r="X67" i="42" s="1"/>
  <c r="T67" i="42" a="1"/>
  <c r="T67" i="42" s="1"/>
  <c r="Q67" i="42" a="1"/>
  <c r="Q67" i="42" s="1"/>
  <c r="N67" i="42" a="1"/>
  <c r="N67" i="42" s="1"/>
  <c r="N66" i="42" s="1"/>
  <c r="J67" i="42" a="1"/>
  <c r="J67" i="42" s="1"/>
  <c r="J66" i="42" s="1"/>
  <c r="F67" i="42" a="1"/>
  <c r="F67" i="42" s="1"/>
  <c r="F66" i="42" s="1"/>
  <c r="AQ65" i="42" a="1"/>
  <c r="AQ65" i="42" s="1"/>
  <c r="AM65" i="42" a="1"/>
  <c r="AM65" i="42" s="1"/>
  <c r="AI65" i="42" a="1"/>
  <c r="AI65" i="42" s="1"/>
  <c r="AE65" i="42" a="1"/>
  <c r="AE65" i="42" s="1"/>
  <c r="AB65" i="42" a="1"/>
  <c r="AB65" i="42" s="1"/>
  <c r="Y65" i="42" a="1"/>
  <c r="Y65" i="42" s="1"/>
  <c r="U65" i="42" a="1"/>
  <c r="U65" i="42" s="1"/>
  <c r="Q65" i="42" a="1"/>
  <c r="Q65" i="42" s="1"/>
  <c r="N65" i="42" a="1"/>
  <c r="N65" i="42" s="1"/>
  <c r="J65" i="42" a="1"/>
  <c r="J65" i="42" s="1"/>
  <c r="G65" i="42" a="1"/>
  <c r="G65" i="42" s="1"/>
  <c r="AR64" i="42" a="1"/>
  <c r="AR64" i="42" s="1"/>
  <c r="AN64" i="42" a="1"/>
  <c r="AN64" i="42" s="1"/>
  <c r="AJ64" i="42" a="1"/>
  <c r="AJ64" i="42" s="1"/>
  <c r="AF64" i="42" a="1"/>
  <c r="AF64" i="42" s="1"/>
  <c r="AB64" i="42" a="1"/>
  <c r="AB64" i="42" s="1"/>
  <c r="Y64" i="42" a="1"/>
  <c r="Y64" i="42" s="1"/>
  <c r="V64" i="42" a="1"/>
  <c r="V64" i="42" s="1"/>
  <c r="R64" i="42" a="1"/>
  <c r="R64" i="42" s="1"/>
  <c r="O64" i="42" a="1"/>
  <c r="O64" i="42" s="1"/>
  <c r="K64" i="42" a="1"/>
  <c r="K64" i="42" s="1"/>
  <c r="H64" i="42" a="1"/>
  <c r="H64" i="42" s="1"/>
  <c r="E64" i="42" a="1"/>
  <c r="E64" i="42" s="1"/>
  <c r="AQ62" i="42" a="1"/>
  <c r="AQ62" i="42" s="1"/>
  <c r="AM62" i="42" a="1"/>
  <c r="AM62" i="42" s="1"/>
  <c r="AJ62" i="42" a="1"/>
  <c r="AJ62" i="42" s="1"/>
  <c r="AD62" i="42" a="1"/>
  <c r="AD62" i="42" s="1"/>
  <c r="Z62" i="42" a="1"/>
  <c r="Z62" i="42" s="1"/>
  <c r="U62" i="42" a="1"/>
  <c r="U62" i="42" s="1"/>
  <c r="Q62" i="42" a="1"/>
  <c r="Q62" i="42" s="1"/>
  <c r="K62" i="42" a="1"/>
  <c r="K62" i="42" s="1"/>
  <c r="G62" i="42" a="1"/>
  <c r="G62" i="42" s="1"/>
  <c r="AR61" i="42" a="1"/>
  <c r="AR61" i="42" s="1"/>
  <c r="AO61" i="42" a="1"/>
  <c r="AO61" i="42" s="1"/>
  <c r="AK61" i="42" a="1"/>
  <c r="AK61" i="42" s="1"/>
  <c r="AH61" i="42" a="1"/>
  <c r="AH61" i="42" s="1"/>
  <c r="AE61" i="42" a="1"/>
  <c r="AE61" i="42" s="1"/>
  <c r="AB61" i="42" a="1"/>
  <c r="AB61" i="42" s="1"/>
  <c r="X61" i="42" a="1"/>
  <c r="X61" i="42" s="1"/>
  <c r="U61" i="42" a="1"/>
  <c r="U61" i="42" s="1"/>
  <c r="Q61" i="42" a="1"/>
  <c r="Q61" i="42" s="1"/>
  <c r="N61" i="42" a="1"/>
  <c r="N61" i="42" s="1"/>
  <c r="J61" i="42" a="1"/>
  <c r="J61" i="42" s="1"/>
  <c r="AN59" i="42" a="1"/>
  <c r="AN59" i="42" s="1"/>
  <c r="AJ59" i="42" a="1"/>
  <c r="AJ59" i="42" s="1"/>
  <c r="AF59" i="42" a="1"/>
  <c r="AF59" i="42" s="1"/>
  <c r="AC59" i="42" a="1"/>
  <c r="AC59" i="42" s="1"/>
  <c r="Y59" i="42" a="1"/>
  <c r="Y59" i="42" s="1"/>
  <c r="U59" i="42" a="1"/>
  <c r="U59" i="42" s="1"/>
  <c r="Q59" i="42" a="1"/>
  <c r="Q59" i="42" s="1"/>
  <c r="M59" i="42" a="1"/>
  <c r="M59" i="42" s="1"/>
  <c r="I59" i="42" a="1"/>
  <c r="I59" i="42" s="1"/>
  <c r="F59" i="42" a="1"/>
  <c r="F59" i="42" s="1"/>
  <c r="AM58" i="42" a="1"/>
  <c r="AM58" i="42" s="1"/>
  <c r="AI58" i="42" a="1"/>
  <c r="AI58" i="42" s="1"/>
  <c r="AE58" i="42" a="1"/>
  <c r="AE58" i="42" s="1"/>
  <c r="AA58" i="42" a="1"/>
  <c r="AA58" i="42" s="1"/>
  <c r="W58" i="42" a="1"/>
  <c r="W58" i="42" s="1"/>
  <c r="S58" i="42" a="1"/>
  <c r="S58" i="42" s="1"/>
  <c r="O58" i="42" a="1"/>
  <c r="O58" i="42" s="1"/>
  <c r="K58" i="42" a="1"/>
  <c r="K58" i="42" s="1"/>
  <c r="H58" i="42" a="1"/>
  <c r="H58" i="42" s="1"/>
  <c r="AQ56" i="42" a="1"/>
  <c r="AQ56" i="42" s="1"/>
  <c r="AM56" i="42" a="1"/>
  <c r="AM56" i="42" s="1"/>
  <c r="AI56" i="42" a="1"/>
  <c r="AI56" i="42" s="1"/>
  <c r="AB56" i="42" a="1"/>
  <c r="AB56" i="42" s="1"/>
  <c r="X56" i="42" a="1"/>
  <c r="X56" i="42" s="1"/>
  <c r="T56" i="42" a="1"/>
  <c r="T56" i="42" s="1"/>
  <c r="P56" i="42" a="1"/>
  <c r="P56" i="42" s="1"/>
  <c r="L56" i="42" a="1"/>
  <c r="L56" i="42" s="1"/>
  <c r="H56" i="42" a="1"/>
  <c r="H56" i="42" s="1"/>
  <c r="AR55" i="42" a="1"/>
  <c r="AR55" i="42" s="1"/>
  <c r="AN55" i="42" a="1"/>
  <c r="AN55" i="42" s="1"/>
  <c r="AJ55" i="42" a="1"/>
  <c r="AJ55" i="42" s="1"/>
  <c r="AG55" i="42" a="1"/>
  <c r="AG55" i="42" s="1"/>
  <c r="AD55" i="42" a="1"/>
  <c r="AD55" i="42" s="1"/>
  <c r="AA55" i="42" a="1"/>
  <c r="AA55" i="42" s="1"/>
  <c r="W55" i="42" a="1"/>
  <c r="W55" i="42" s="1"/>
  <c r="S55" i="42" a="1"/>
  <c r="S55" i="42" s="1"/>
  <c r="O55" i="42" a="1"/>
  <c r="O55" i="42" s="1"/>
  <c r="K55" i="42" a="1"/>
  <c r="K55" i="42" s="1"/>
  <c r="G55" i="42" a="1"/>
  <c r="G55" i="42" s="1"/>
  <c r="AP53" i="42" a="1"/>
  <c r="AP53" i="42" s="1"/>
  <c r="AI53" i="42" a="1"/>
  <c r="AI53" i="42" s="1"/>
  <c r="AE53" i="42" a="1"/>
  <c r="AE53" i="42" s="1"/>
  <c r="AA53" i="42" a="1"/>
  <c r="AA53" i="42" s="1"/>
  <c r="W53" i="42" a="1"/>
  <c r="W53" i="42" s="1"/>
  <c r="S53" i="42" a="1"/>
  <c r="S53" i="42" s="1"/>
  <c r="O53" i="42" a="1"/>
  <c r="O53" i="42" s="1"/>
  <c r="L53" i="42" a="1"/>
  <c r="L53" i="42" s="1"/>
  <c r="H53" i="42" a="1"/>
  <c r="H53" i="42" s="1"/>
  <c r="AR52" i="42" a="1"/>
  <c r="AR52" i="42" s="1"/>
  <c r="AN52" i="42" a="1"/>
  <c r="AN52" i="42" s="1"/>
  <c r="AJ52" i="42" a="1"/>
  <c r="AJ52" i="42" s="1"/>
  <c r="AF52" i="42" a="1"/>
  <c r="AF52" i="42" s="1"/>
  <c r="AB52" i="42" a="1"/>
  <c r="AB52" i="42" s="1"/>
  <c r="X52" i="42" a="1"/>
  <c r="X52" i="42" s="1"/>
  <c r="T52" i="42" a="1"/>
  <c r="T52" i="42" s="1"/>
  <c r="P52" i="42" a="1"/>
  <c r="P52" i="42" s="1"/>
  <c r="L52" i="42" a="1"/>
  <c r="L52" i="42" s="1"/>
  <c r="H52" i="42" a="1"/>
  <c r="H52" i="42" s="1"/>
  <c r="AQ50" i="42" a="1"/>
  <c r="AQ50" i="42" s="1"/>
  <c r="AN50" i="42" a="1"/>
  <c r="AN50" i="42" s="1"/>
  <c r="AJ50" i="42" a="1"/>
  <c r="AJ50" i="42" s="1"/>
  <c r="AG50" i="42" a="1"/>
  <c r="AG50" i="42" s="1"/>
  <c r="AD50" i="42" a="1"/>
  <c r="AD50" i="42" s="1"/>
  <c r="AA50" i="42" a="1"/>
  <c r="AA50" i="42" s="1"/>
  <c r="W50" i="42" a="1"/>
  <c r="W50" i="42" s="1"/>
  <c r="T50" i="42" a="1"/>
  <c r="T50" i="42" s="1"/>
  <c r="Q50" i="42" a="1"/>
  <c r="Q50" i="42" s="1"/>
  <c r="N50" i="42" a="1"/>
  <c r="N50" i="42" s="1"/>
  <c r="J50" i="42" a="1"/>
  <c r="J50" i="42" s="1"/>
  <c r="AR49" i="42" a="1"/>
  <c r="AR49" i="42" s="1"/>
  <c r="AO49" i="42" a="1"/>
  <c r="AO49" i="42" s="1"/>
  <c r="AK49" i="42" a="1"/>
  <c r="AK49" i="42" s="1"/>
  <c r="AH49" i="42" a="1"/>
  <c r="AH49" i="42" s="1"/>
  <c r="AE49" i="42" a="1"/>
  <c r="AE49" i="42" s="1"/>
  <c r="AA49" i="42" a="1"/>
  <c r="AA49" i="42" s="1"/>
  <c r="X49" i="42" a="1"/>
  <c r="X49" i="42" s="1"/>
  <c r="T49" i="42" a="1"/>
  <c r="T49" i="42" s="1"/>
  <c r="Q49" i="42" a="1"/>
  <c r="Q49" i="42" s="1"/>
  <c r="M49" i="42" a="1"/>
  <c r="M49" i="42" s="1"/>
  <c r="I49" i="42" a="1"/>
  <c r="I49" i="42" s="1"/>
  <c r="F49" i="42" a="1"/>
  <c r="F49" i="42" s="1"/>
  <c r="AR47" i="42" a="1"/>
  <c r="AR47" i="42" s="1"/>
  <c r="AO47" i="42" a="1"/>
  <c r="AO47" i="42" s="1"/>
  <c r="AK47" i="42" a="1"/>
  <c r="AK47" i="42" s="1"/>
  <c r="AH47" i="42" a="1"/>
  <c r="AH47" i="42" s="1"/>
  <c r="AD47" i="42" a="1"/>
  <c r="AD47" i="42" s="1"/>
  <c r="Z47" i="42" a="1"/>
  <c r="Z47" i="42" s="1"/>
  <c r="V47" i="42" a="1"/>
  <c r="V47" i="42" s="1"/>
  <c r="M47" i="42" a="1"/>
  <c r="M47" i="42" s="1"/>
  <c r="G47" i="42" a="1"/>
  <c r="G47" i="42" s="1"/>
  <c r="AQ46" i="42" a="1"/>
  <c r="AQ46" i="42" s="1"/>
  <c r="AM46" i="42" a="1"/>
  <c r="AM46" i="42" s="1"/>
  <c r="AJ46" i="42" a="1"/>
  <c r="AJ46" i="42" s="1"/>
  <c r="AG46" i="42" a="1"/>
  <c r="AG46" i="42" s="1"/>
  <c r="AD46" i="42" a="1"/>
  <c r="AD46" i="42" s="1"/>
  <c r="T46" i="42" a="1"/>
  <c r="T46" i="42" s="1"/>
  <c r="P46" i="42" a="1"/>
  <c r="P46" i="42" s="1"/>
  <c r="L46" i="42" a="1"/>
  <c r="L46" i="42" s="1"/>
  <c r="I46" i="42" a="1"/>
  <c r="I46" i="42" s="1"/>
  <c r="F46" i="42" a="1"/>
  <c r="F46" i="42" s="1"/>
  <c r="AP44" i="42" a="1"/>
  <c r="AP44" i="42" s="1"/>
  <c r="AL44" i="42" a="1"/>
  <c r="AL44" i="42" s="1"/>
  <c r="AH44" i="42" a="1"/>
  <c r="AH44" i="42" s="1"/>
  <c r="AD44" i="42" a="1"/>
  <c r="AD44" i="42" s="1"/>
  <c r="Z44" i="42" a="1"/>
  <c r="Z44" i="42" s="1"/>
  <c r="V44" i="42" a="1"/>
  <c r="V44" i="42" s="1"/>
  <c r="R44" i="42" a="1"/>
  <c r="R44" i="42" s="1"/>
  <c r="N44" i="42" a="1"/>
  <c r="N44" i="42" s="1"/>
  <c r="G44" i="42" a="1"/>
  <c r="G44" i="42" s="1"/>
  <c r="AQ43" i="42" a="1"/>
  <c r="AQ43" i="42" s="1"/>
  <c r="AM43" i="42" a="1"/>
  <c r="AM43" i="42" s="1"/>
  <c r="AI43" i="42" a="1"/>
  <c r="AI43" i="42" s="1"/>
  <c r="AE43" i="42" a="1"/>
  <c r="AE43" i="42" s="1"/>
  <c r="AB43" i="42" a="1"/>
  <c r="AB43" i="42" s="1"/>
  <c r="Y43" i="42" a="1"/>
  <c r="Y43" i="42" s="1"/>
  <c r="U43" i="42" a="1"/>
  <c r="U43" i="42" s="1"/>
  <c r="Q43" i="42" a="1"/>
  <c r="Q43" i="42" s="1"/>
  <c r="M43" i="42" a="1"/>
  <c r="M43" i="42" s="1"/>
  <c r="I43" i="42" a="1"/>
  <c r="I43" i="42" s="1"/>
  <c r="E43" i="42" a="1"/>
  <c r="E43" i="42" s="1"/>
  <c r="AQ41" i="42" a="1"/>
  <c r="AQ41" i="42" s="1"/>
  <c r="AM41" i="42" a="1"/>
  <c r="AM41" i="42" s="1"/>
  <c r="AI41" i="42" a="1"/>
  <c r="AI41" i="42" s="1"/>
  <c r="AE41" i="42" a="1"/>
  <c r="AE41" i="42" s="1"/>
  <c r="AA41" i="42" a="1"/>
  <c r="AA41" i="42" s="1"/>
  <c r="W41" i="42" a="1"/>
  <c r="W41" i="42" s="1"/>
  <c r="S41" i="42" a="1"/>
  <c r="S41" i="42" s="1"/>
  <c r="O41" i="42" a="1"/>
  <c r="O41" i="42" s="1"/>
  <c r="K41" i="42" a="1"/>
  <c r="K41" i="42" s="1"/>
  <c r="G41" i="42" a="1"/>
  <c r="G41" i="42" s="1"/>
  <c r="AK40" i="42" a="1"/>
  <c r="AK40" i="42" s="1"/>
  <c r="AG40" i="42" a="1"/>
  <c r="AG40" i="42" s="1"/>
  <c r="AC40" i="42" a="1"/>
  <c r="AC40" i="42" s="1"/>
  <c r="Z40" i="42" a="1"/>
  <c r="Z40" i="42" s="1"/>
  <c r="V40" i="42" a="1"/>
  <c r="V40" i="42" s="1"/>
  <c r="S40" i="42" a="1"/>
  <c r="S40" i="42" s="1"/>
  <c r="O40" i="42" a="1"/>
  <c r="O40" i="42" s="1"/>
  <c r="H40" i="42" a="1"/>
  <c r="H40" i="42" s="1"/>
  <c r="AP38" i="42" a="1"/>
  <c r="AP38" i="42" s="1"/>
  <c r="AL38" i="42" a="1"/>
  <c r="AL38" i="42" s="1"/>
  <c r="AH38" i="42" a="1"/>
  <c r="AH38" i="42" s="1"/>
  <c r="X38" i="42" a="1"/>
  <c r="X38" i="42" s="1"/>
  <c r="T38" i="42" a="1"/>
  <c r="T38" i="42" s="1"/>
  <c r="P38" i="42" a="1"/>
  <c r="P38" i="42" s="1"/>
  <c r="L38" i="42" a="1"/>
  <c r="L38" i="42" s="1"/>
  <c r="H38" i="42" a="1"/>
  <c r="H38" i="42" s="1"/>
  <c r="AR37" i="42" a="1"/>
  <c r="AR37" i="42" s="1"/>
  <c r="AN37" i="42" a="1"/>
  <c r="AN37" i="42" s="1"/>
  <c r="AJ37" i="42" a="1"/>
  <c r="AJ37" i="42" s="1"/>
  <c r="AF37" i="42" a="1"/>
  <c r="AF37" i="42" s="1"/>
  <c r="AC37" i="42" a="1"/>
  <c r="AC37" i="42" s="1"/>
  <c r="Y37" i="42" a="1"/>
  <c r="Y37" i="42" s="1"/>
  <c r="U37" i="42" a="1"/>
  <c r="U37" i="42" s="1"/>
  <c r="Q37" i="42" a="1"/>
  <c r="Q37" i="42" s="1"/>
  <c r="M37" i="42" a="1"/>
  <c r="M37" i="42" s="1"/>
  <c r="J37" i="42" a="1"/>
  <c r="J37" i="42" s="1"/>
  <c r="F37" i="42" a="1"/>
  <c r="F37" i="42" s="1"/>
  <c r="AR35" i="42" a="1"/>
  <c r="AR35" i="42" s="1"/>
  <c r="AO35" i="42" a="1"/>
  <c r="AO35" i="42" s="1"/>
  <c r="AL35" i="42" a="1"/>
  <c r="AL35" i="42" s="1"/>
  <c r="AH35" i="42" a="1"/>
  <c r="AH35" i="42" s="1"/>
  <c r="AD35" i="42" a="1"/>
  <c r="AD35" i="42" s="1"/>
  <c r="Z35" i="42" a="1"/>
  <c r="Z35" i="42" s="1"/>
  <c r="S35" i="42" a="1"/>
  <c r="S35" i="42" s="1"/>
  <c r="O35" i="42" a="1"/>
  <c r="O35" i="42" s="1"/>
  <c r="K35" i="42" a="1"/>
  <c r="K35" i="42" s="1"/>
  <c r="G35" i="42" a="1"/>
  <c r="G35" i="42" s="1"/>
  <c r="AR34" i="42" a="1"/>
  <c r="AR34" i="42" s="1"/>
  <c r="AP34" i="42" a="1"/>
  <c r="AP34" i="42" s="1"/>
  <c r="AL34" i="42" a="1"/>
  <c r="AL34" i="42" s="1"/>
  <c r="AH34" i="42" a="1"/>
  <c r="AH34" i="42" s="1"/>
  <c r="AD34" i="42" a="1"/>
  <c r="AD34" i="42" s="1"/>
  <c r="Z34" i="42" a="1"/>
  <c r="Z34" i="42" s="1"/>
  <c r="V34" i="42" a="1"/>
  <c r="V34" i="42" s="1"/>
  <c r="R34" i="42" a="1"/>
  <c r="R34" i="42" s="1"/>
  <c r="N34" i="42" a="1"/>
  <c r="N34" i="42" s="1"/>
  <c r="I34" i="42" a="1"/>
  <c r="I34" i="42" s="1"/>
  <c r="F34" i="42" a="1"/>
  <c r="F34" i="42" s="1"/>
  <c r="AR32" i="42" a="1"/>
  <c r="AR32" i="42" s="1"/>
  <c r="AN32" i="42" a="1"/>
  <c r="AN32" i="42" s="1"/>
  <c r="AJ32" i="42" a="1"/>
  <c r="AJ32" i="42" s="1"/>
  <c r="AD32" i="42" a="1"/>
  <c r="AD32" i="42" s="1"/>
  <c r="W32" i="42" a="1"/>
  <c r="W32" i="42" s="1"/>
  <c r="S32" i="42" a="1"/>
  <c r="S32" i="42" s="1"/>
  <c r="O32" i="42" a="1"/>
  <c r="O32" i="42" s="1"/>
  <c r="K32" i="42" a="1"/>
  <c r="K32" i="42" s="1"/>
  <c r="G32" i="42" a="1"/>
  <c r="G32" i="42" s="1"/>
  <c r="AQ31" i="42" a="1"/>
  <c r="AQ31" i="42" s="1"/>
  <c r="AN31" i="42" a="1"/>
  <c r="AN31" i="42" s="1"/>
  <c r="AK31" i="42" a="1"/>
  <c r="AK31" i="42" s="1"/>
  <c r="AG31" i="42" a="1"/>
  <c r="AG31" i="42" s="1"/>
  <c r="AD31" i="42" a="1"/>
  <c r="AD31" i="42" s="1"/>
  <c r="Z31" i="42" a="1"/>
  <c r="Z31" i="42" s="1"/>
  <c r="V31" i="42" a="1"/>
  <c r="V31" i="42" s="1"/>
  <c r="R31" i="42" a="1"/>
  <c r="R31" i="42" s="1"/>
  <c r="N31" i="42" a="1"/>
  <c r="N31" i="42" s="1"/>
  <c r="J31" i="42" a="1"/>
  <c r="J31" i="42" s="1"/>
  <c r="G31" i="42" a="1"/>
  <c r="G31" i="42" s="1"/>
  <c r="AO29" i="42" a="1"/>
  <c r="AO29" i="42" s="1"/>
  <c r="AK29" i="42" a="1"/>
  <c r="AK29" i="42" s="1"/>
  <c r="AG29" i="42" a="1"/>
  <c r="AG29" i="42" s="1"/>
  <c r="AC29" i="42" a="1"/>
  <c r="AC29" i="42" s="1"/>
  <c r="Y29" i="42" a="1"/>
  <c r="Y29" i="42" s="1"/>
  <c r="U29" i="42" a="1"/>
  <c r="U29" i="42" s="1"/>
  <c r="R29" i="42" a="1"/>
  <c r="R29" i="42" s="1"/>
  <c r="N29" i="42" a="1"/>
  <c r="N29" i="42" s="1"/>
  <c r="J29" i="42" a="1"/>
  <c r="J29" i="42" s="1"/>
  <c r="G29" i="42" a="1"/>
  <c r="G29" i="42" s="1"/>
  <c r="AR28" i="42" a="1"/>
  <c r="AR28" i="42" s="1"/>
  <c r="AN28" i="42" a="1"/>
  <c r="AN28" i="42" s="1"/>
  <c r="AJ28" i="42" a="1"/>
  <c r="AJ28" i="42" s="1"/>
  <c r="AF28" i="42" a="1"/>
  <c r="AF28" i="42" s="1"/>
  <c r="AB28" i="42" a="1"/>
  <c r="AB28" i="42" s="1"/>
  <c r="V28" i="42" a="1"/>
  <c r="V28" i="42" s="1"/>
  <c r="R28" i="42" a="1"/>
  <c r="R28" i="42" s="1"/>
  <c r="N28" i="42" a="1"/>
  <c r="N28" i="42" s="1"/>
  <c r="K28" i="42" a="1"/>
  <c r="K28" i="42" s="1"/>
  <c r="G28" i="42" a="1"/>
  <c r="G28" i="42" s="1"/>
  <c r="AP26" i="42" a="1"/>
  <c r="AP26" i="42" s="1"/>
  <c r="AM26" i="42" a="1"/>
  <c r="AM26" i="42" s="1"/>
  <c r="AI26" i="42" a="1"/>
  <c r="AI26" i="42" s="1"/>
  <c r="AE26" i="42" a="1"/>
  <c r="AE26" i="42" s="1"/>
  <c r="AA26" i="42" a="1"/>
  <c r="AA26" i="42" s="1"/>
  <c r="W26" i="42" a="1"/>
  <c r="W26" i="42" s="1"/>
  <c r="S26" i="42" a="1"/>
  <c r="S26" i="42" s="1"/>
  <c r="O26" i="42" a="1"/>
  <c r="O26" i="42" s="1"/>
  <c r="K26" i="42" a="1"/>
  <c r="K26" i="42" s="1"/>
  <c r="H26" i="42" a="1"/>
  <c r="H26" i="42" s="1"/>
  <c r="AR25" i="42" a="1"/>
  <c r="AR25" i="42" s="1"/>
  <c r="AN25" i="42" a="1"/>
  <c r="AN25" i="42" s="1"/>
  <c r="AJ25" i="42" a="1"/>
  <c r="AJ25" i="42" s="1"/>
  <c r="AF25" i="42" a="1"/>
  <c r="AF25" i="42" s="1"/>
  <c r="AB25" i="42" a="1"/>
  <c r="AB25" i="42" s="1"/>
  <c r="X25" i="42" a="1"/>
  <c r="X25" i="42" s="1"/>
  <c r="T25" i="42" a="1"/>
  <c r="T25" i="42" s="1"/>
  <c r="M25" i="42" a="1"/>
  <c r="M25" i="42" s="1"/>
  <c r="I25" i="42" a="1"/>
  <c r="I25" i="42" s="1"/>
  <c r="E25" i="42" a="1"/>
  <c r="E25" i="42" s="1"/>
  <c r="AP23" i="42" a="1"/>
  <c r="AP23" i="42" s="1"/>
  <c r="AI23" i="42" a="1"/>
  <c r="AI23" i="42" s="1"/>
  <c r="AE23" i="42" a="1"/>
  <c r="AE23" i="42" s="1"/>
  <c r="AA23" i="42" a="1"/>
  <c r="AA23" i="42" s="1"/>
  <c r="W23" i="42" a="1"/>
  <c r="W23" i="42" s="1"/>
  <c r="S23" i="42" a="1"/>
  <c r="S23" i="42" s="1"/>
  <c r="O23" i="42" a="1"/>
  <c r="O23" i="42" s="1"/>
  <c r="K23" i="42" a="1"/>
  <c r="K23" i="42" s="1"/>
  <c r="G23" i="42" a="1"/>
  <c r="G23" i="42" s="1"/>
  <c r="AR22" i="42" a="1"/>
  <c r="AR22" i="42" s="1"/>
  <c r="AN22" i="42" a="1"/>
  <c r="AN22" i="42" s="1"/>
  <c r="AJ22" i="42" a="1"/>
  <c r="AJ22" i="42" s="1"/>
  <c r="AF22" i="42" a="1"/>
  <c r="AF22" i="42" s="1"/>
  <c r="AB22" i="42" a="1"/>
  <c r="AB22" i="42" s="1"/>
  <c r="AP104" i="42" a="1"/>
  <c r="AP104" i="42" s="1"/>
  <c r="AL104" i="42" a="1"/>
  <c r="AL104" i="42" s="1"/>
  <c r="AH104" i="42" a="1"/>
  <c r="AH104" i="42" s="1"/>
  <c r="AD104" i="42" a="1"/>
  <c r="AD104" i="42" s="1"/>
  <c r="AA104" i="42" a="1"/>
  <c r="AA104" i="42" s="1"/>
  <c r="W104" i="42" a="1"/>
  <c r="W104" i="42" s="1"/>
  <c r="S104" i="42" a="1"/>
  <c r="S104" i="42" s="1"/>
  <c r="O104" i="42" a="1"/>
  <c r="O104" i="42" s="1"/>
  <c r="K104" i="42" a="1"/>
  <c r="K104" i="42" s="1"/>
  <c r="G104" i="42" a="1"/>
  <c r="G104" i="42" s="1"/>
  <c r="AN103" i="42" a="1"/>
  <c r="AN103" i="42" s="1"/>
  <c r="AJ103" i="42" a="1"/>
  <c r="AJ103" i="42" s="1"/>
  <c r="Z103" i="42" a="1"/>
  <c r="Z103" i="42" s="1"/>
  <c r="V103" i="42" a="1"/>
  <c r="V103" i="42" s="1"/>
  <c r="S103" i="42" a="1"/>
  <c r="S103" i="42" s="1"/>
  <c r="O103" i="42" a="1"/>
  <c r="O103" i="42" s="1"/>
  <c r="K103" i="42" a="1"/>
  <c r="K103" i="42" s="1"/>
  <c r="G103" i="42" a="1"/>
  <c r="G103" i="42" s="1"/>
  <c r="AO101" i="42" a="1"/>
  <c r="AO101" i="42" s="1"/>
  <c r="AK101" i="42" a="1"/>
  <c r="AK101" i="42" s="1"/>
  <c r="AG101" i="42" a="1"/>
  <c r="AG101" i="42" s="1"/>
  <c r="AC101" i="42" a="1"/>
  <c r="AC101" i="42" s="1"/>
  <c r="Y101" i="42" a="1"/>
  <c r="Y101" i="42" s="1"/>
  <c r="U101" i="42" a="1"/>
  <c r="U101" i="42" s="1"/>
  <c r="N101" i="42" a="1"/>
  <c r="N101" i="42" s="1"/>
  <c r="J101" i="42" a="1"/>
  <c r="J101" i="42" s="1"/>
  <c r="F101" i="42" a="1"/>
  <c r="F101" i="42" s="1"/>
  <c r="AP100" i="42" a="1"/>
  <c r="AP100" i="42" s="1"/>
  <c r="AM100" i="42" a="1"/>
  <c r="AM100" i="42" s="1"/>
  <c r="AI100" i="42" a="1"/>
  <c r="AI100" i="42" s="1"/>
  <c r="AE100" i="42" a="1"/>
  <c r="AE100" i="42" s="1"/>
  <c r="AA100" i="42" a="1"/>
  <c r="AA100" i="42" s="1"/>
  <c r="W100" i="42" a="1"/>
  <c r="W100" i="42" s="1"/>
  <c r="S100" i="42" a="1"/>
  <c r="S100" i="42" s="1"/>
  <c r="L100" i="42" a="1"/>
  <c r="L100" i="42" s="1"/>
  <c r="H100" i="42" a="1"/>
  <c r="H100" i="42" s="1"/>
  <c r="E100" i="42" a="1"/>
  <c r="E100" i="42" s="1"/>
  <c r="AN98" i="42" a="1"/>
  <c r="AN98" i="42" s="1"/>
  <c r="AJ98" i="42" a="1"/>
  <c r="AJ98" i="42" s="1"/>
  <c r="AG98" i="42" a="1"/>
  <c r="AG98" i="42" s="1"/>
  <c r="AD98" i="42" a="1"/>
  <c r="AD98" i="42" s="1"/>
  <c r="AA98" i="42" a="1"/>
  <c r="AA98" i="42" s="1"/>
  <c r="W98" i="42" a="1"/>
  <c r="W98" i="42" s="1"/>
  <c r="S98" i="42" a="1"/>
  <c r="S98" i="42" s="1"/>
  <c r="O98" i="42" a="1"/>
  <c r="O98" i="42" s="1"/>
  <c r="K98" i="42" a="1"/>
  <c r="K98" i="42" s="1"/>
  <c r="G98" i="42" a="1"/>
  <c r="G98" i="42" s="1"/>
  <c r="AQ97" i="42" a="1"/>
  <c r="AQ97" i="42" s="1"/>
  <c r="AM97" i="42" a="1"/>
  <c r="AM97" i="42" s="1"/>
  <c r="AI97" i="42" a="1"/>
  <c r="AI97" i="42" s="1"/>
  <c r="AE97" i="42" a="1"/>
  <c r="AE97" i="42" s="1"/>
  <c r="AA97" i="42" a="1"/>
  <c r="AA97" i="42" s="1"/>
  <c r="W97" i="42" a="1"/>
  <c r="W97" i="42" s="1"/>
  <c r="S97" i="42" a="1"/>
  <c r="S97" i="42" s="1"/>
  <c r="O97" i="42" a="1"/>
  <c r="O97" i="42" s="1"/>
  <c r="I97" i="42" a="1"/>
  <c r="I97" i="42" s="1"/>
  <c r="E97" i="42" a="1"/>
  <c r="E97" i="42" s="1"/>
  <c r="AR95" i="42" a="1"/>
  <c r="AR95" i="42" s="1"/>
  <c r="AN95" i="42" a="1"/>
  <c r="AN95" i="42" s="1"/>
  <c r="AJ95" i="42" a="1"/>
  <c r="AJ95" i="42" s="1"/>
  <c r="AF95" i="42" a="1"/>
  <c r="AF95" i="42" s="1"/>
  <c r="AB95" i="42" a="1"/>
  <c r="AB95" i="42" s="1"/>
  <c r="Y95" i="42" a="1"/>
  <c r="Y95" i="42" s="1"/>
  <c r="U95" i="42" a="1"/>
  <c r="U95" i="42" s="1"/>
  <c r="Q95" i="42" a="1"/>
  <c r="Q95" i="42" s="1"/>
  <c r="N95" i="42" a="1"/>
  <c r="N95" i="42" s="1"/>
  <c r="J95" i="42" a="1"/>
  <c r="J95" i="42" s="1"/>
  <c r="F95" i="42" a="1"/>
  <c r="F95" i="42" s="1"/>
  <c r="AP94" i="42" a="1"/>
  <c r="AP94" i="42" s="1"/>
  <c r="AM94" i="42" a="1"/>
  <c r="AM94" i="42" s="1"/>
  <c r="AJ94" i="42" a="1"/>
  <c r="AJ94" i="42" s="1"/>
  <c r="AF94" i="42" a="1"/>
  <c r="AF94" i="42" s="1"/>
  <c r="AB94" i="42" a="1"/>
  <c r="AB94" i="42" s="1"/>
  <c r="X94" i="42" a="1"/>
  <c r="X94" i="42" s="1"/>
  <c r="T94" i="42" a="1"/>
  <c r="T94" i="42" s="1"/>
  <c r="M94" i="42" a="1"/>
  <c r="M94" i="42" s="1"/>
  <c r="I94" i="42" a="1"/>
  <c r="I94" i="42" s="1"/>
  <c r="E94" i="42" a="1"/>
  <c r="E94" i="42" s="1"/>
  <c r="AQ92" i="42" a="1"/>
  <c r="AQ92" i="42" s="1"/>
  <c r="AM92" i="42" a="1"/>
  <c r="AM92" i="42" s="1"/>
  <c r="AI92" i="42" a="1"/>
  <c r="AI92" i="42" s="1"/>
  <c r="AE92" i="42" a="1"/>
  <c r="AE92" i="42" s="1"/>
  <c r="AA92" i="42" a="1"/>
  <c r="AA92" i="42" s="1"/>
  <c r="W92" i="42" a="1"/>
  <c r="W92" i="42" s="1"/>
  <c r="S92" i="42" a="1"/>
  <c r="S92" i="42" s="1"/>
  <c r="O92" i="42" a="1"/>
  <c r="O92" i="42" s="1"/>
  <c r="K92" i="42" a="1"/>
  <c r="K92" i="42" s="1"/>
  <c r="G92" i="42" a="1"/>
  <c r="G92" i="42" s="1"/>
  <c r="AR91" i="42" a="1"/>
  <c r="AR91" i="42" s="1"/>
  <c r="AO91" i="42" a="1"/>
  <c r="AO91" i="42" s="1"/>
  <c r="AK91" i="42" a="1"/>
  <c r="AK91" i="42" s="1"/>
  <c r="AG91" i="42" a="1"/>
  <c r="AG91" i="42" s="1"/>
  <c r="AC91" i="42" a="1"/>
  <c r="AC91" i="42" s="1"/>
  <c r="Z91" i="42" a="1"/>
  <c r="Z91" i="42" s="1"/>
  <c r="V91" i="42" a="1"/>
  <c r="V91" i="42" s="1"/>
  <c r="S91" i="42" a="1"/>
  <c r="S91" i="42" s="1"/>
  <c r="O91" i="42" a="1"/>
  <c r="O91" i="42" s="1"/>
  <c r="K91" i="42" a="1"/>
  <c r="K91" i="42" s="1"/>
  <c r="G91" i="42" a="1"/>
  <c r="G91" i="42" s="1"/>
  <c r="AQ89" i="42" a="1"/>
  <c r="AQ89" i="42" s="1"/>
  <c r="AM89" i="42" a="1"/>
  <c r="AM89" i="42" s="1"/>
  <c r="AI89" i="42" a="1"/>
  <c r="AI89" i="42" s="1"/>
  <c r="AE89" i="42" a="1"/>
  <c r="AE89" i="42" s="1"/>
  <c r="AA89" i="42" a="1"/>
  <c r="AA89" i="42" s="1"/>
  <c r="W89" i="42" a="1"/>
  <c r="W89" i="42" s="1"/>
  <c r="S89" i="42" a="1"/>
  <c r="S89" i="42" s="1"/>
  <c r="O89" i="42" a="1"/>
  <c r="O89" i="42" s="1"/>
  <c r="K89" i="42" a="1"/>
  <c r="K89" i="42" s="1"/>
  <c r="H89" i="42" a="1"/>
  <c r="H89" i="42" s="1"/>
  <c r="E89" i="42" a="1"/>
  <c r="E89" i="42" s="1"/>
  <c r="AO88" i="42" a="1"/>
  <c r="AO88" i="42" s="1"/>
  <c r="AK88" i="42" a="1"/>
  <c r="AK88" i="42" s="1"/>
  <c r="AG88" i="42" a="1"/>
  <c r="AG88" i="42" s="1"/>
  <c r="AC88" i="42" a="1"/>
  <c r="AC88" i="42" s="1"/>
  <c r="Y88" i="42" a="1"/>
  <c r="Y88" i="42" s="1"/>
  <c r="U88" i="42" a="1"/>
  <c r="U88" i="42" s="1"/>
  <c r="Q88" i="42" a="1"/>
  <c r="Q88" i="42" s="1"/>
  <c r="M88" i="42" a="1"/>
  <c r="M88" i="42" s="1"/>
  <c r="I88" i="42" a="1"/>
  <c r="I88" i="42" s="1"/>
  <c r="E88" i="42" a="1"/>
  <c r="E88" i="42" s="1"/>
  <c r="AO86" i="42" a="1"/>
  <c r="AO86" i="42" s="1"/>
  <c r="AK86" i="42" a="1"/>
  <c r="AK86" i="42" s="1"/>
  <c r="AG86" i="42" a="1"/>
  <c r="AG86" i="42" s="1"/>
  <c r="AC86" i="42" a="1"/>
  <c r="AC86" i="42" s="1"/>
  <c r="Z86" i="42" a="1"/>
  <c r="Z86" i="42" s="1"/>
  <c r="V86" i="42" a="1"/>
  <c r="V86" i="42" s="1"/>
  <c r="S86" i="42" a="1"/>
  <c r="S86" i="42" s="1"/>
  <c r="O86" i="42" a="1"/>
  <c r="O86" i="42" s="1"/>
  <c r="K86" i="42" a="1"/>
  <c r="K86" i="42" s="1"/>
  <c r="G86" i="42" a="1"/>
  <c r="G86" i="42" s="1"/>
  <c r="AQ85" i="42" a="1"/>
  <c r="AQ85" i="42" s="1"/>
  <c r="AM85" i="42" a="1"/>
  <c r="AM85" i="42" s="1"/>
  <c r="AI85" i="42" a="1"/>
  <c r="AI85" i="42" s="1"/>
  <c r="AF85" i="42" a="1"/>
  <c r="AF85" i="42" s="1"/>
  <c r="AB85" i="42" a="1"/>
  <c r="AB85" i="42" s="1"/>
  <c r="Y85" i="42" a="1"/>
  <c r="Y85" i="42" s="1"/>
  <c r="U85" i="42" a="1"/>
  <c r="U85" i="42" s="1"/>
  <c r="Q85" i="42" a="1"/>
  <c r="Q85" i="42" s="1"/>
  <c r="M85" i="42" a="1"/>
  <c r="M85" i="42" s="1"/>
  <c r="I85" i="42" a="1"/>
  <c r="I85" i="42" s="1"/>
  <c r="E85" i="42" a="1"/>
  <c r="E85" i="42" s="1"/>
  <c r="AQ83" i="42" a="1"/>
  <c r="AQ83" i="42" s="1"/>
  <c r="AM83" i="42" a="1"/>
  <c r="AM83" i="42" s="1"/>
  <c r="AI83" i="42" a="1"/>
  <c r="AI83" i="42" s="1"/>
  <c r="AE83" i="42" a="1"/>
  <c r="AE83" i="42" s="1"/>
  <c r="AA83" i="42" a="1"/>
  <c r="AA83" i="42" s="1"/>
  <c r="W83" i="42" a="1"/>
  <c r="W83" i="42" s="1"/>
  <c r="S83" i="42" a="1"/>
  <c r="S83" i="42" s="1"/>
  <c r="O83" i="42" a="1"/>
  <c r="O83" i="42" s="1"/>
  <c r="K83" i="42" a="1"/>
  <c r="K83" i="42" s="1"/>
  <c r="G83" i="42" a="1"/>
  <c r="G83" i="42" s="1"/>
  <c r="AQ82" i="42" a="1"/>
  <c r="AQ82" i="42" s="1"/>
  <c r="AM82" i="42" a="1"/>
  <c r="AM82" i="42" s="1"/>
  <c r="AI82" i="42" a="1"/>
  <c r="AI82" i="42" s="1"/>
  <c r="AE82" i="42" a="1"/>
  <c r="AE82" i="42" s="1"/>
  <c r="AA82" i="42" a="1"/>
  <c r="AA82" i="42" s="1"/>
  <c r="W82" i="42" a="1"/>
  <c r="W82" i="42" s="1"/>
  <c r="S82" i="42" a="1"/>
  <c r="S82" i="42" s="1"/>
  <c r="O82" i="42" a="1"/>
  <c r="O82" i="42" s="1"/>
  <c r="K82" i="42" a="1"/>
  <c r="K82" i="42" s="1"/>
  <c r="G82" i="42" a="1"/>
  <c r="G82" i="42" s="1"/>
  <c r="AO80" i="42" a="1"/>
  <c r="AO80" i="42" s="1"/>
  <c r="AK80" i="42" a="1"/>
  <c r="AK80" i="42" s="1"/>
  <c r="AG80" i="42" a="1"/>
  <c r="AG80" i="42" s="1"/>
  <c r="AC80" i="42" a="1"/>
  <c r="AC80" i="42" s="1"/>
  <c r="Y80" i="42" a="1"/>
  <c r="Y80" i="42" s="1"/>
  <c r="U80" i="42" a="1"/>
  <c r="U80" i="42" s="1"/>
  <c r="Q80" i="42" a="1"/>
  <c r="Q80" i="42" s="1"/>
  <c r="M80" i="42" a="1"/>
  <c r="M80" i="42" s="1"/>
  <c r="I80" i="42" a="1"/>
  <c r="I80" i="42" s="1"/>
  <c r="E80" i="42" a="1"/>
  <c r="E80" i="42" s="1"/>
  <c r="AO79" i="42" a="1"/>
  <c r="AO79" i="42" s="1"/>
  <c r="AK79" i="42" a="1"/>
  <c r="AK79" i="42" s="1"/>
  <c r="AG79" i="42" a="1"/>
  <c r="AG79" i="42" s="1"/>
  <c r="AC79" i="42" a="1"/>
  <c r="AC79" i="42" s="1"/>
  <c r="Y79" i="42" a="1"/>
  <c r="Y79" i="42" s="1"/>
  <c r="U79" i="42" a="1"/>
  <c r="U79" i="42" s="1"/>
  <c r="Q79" i="42" a="1"/>
  <c r="Q79" i="42" s="1"/>
  <c r="M79" i="42" a="1"/>
  <c r="M79" i="42" s="1"/>
  <c r="I79" i="42" a="1"/>
  <c r="I79" i="42" s="1"/>
  <c r="E79" i="42" a="1"/>
  <c r="E79" i="42" s="1"/>
  <c r="AN77" i="42" a="1"/>
  <c r="AN77" i="42" s="1"/>
  <c r="AJ77" i="42" a="1"/>
  <c r="AJ77" i="42" s="1"/>
  <c r="AF77" i="42" a="1"/>
  <c r="AF77" i="42" s="1"/>
  <c r="AB77" i="42" a="1"/>
  <c r="AB77" i="42" s="1"/>
  <c r="Y77" i="42" a="1"/>
  <c r="Y77" i="42" s="1"/>
  <c r="U77" i="42" a="1"/>
  <c r="U77" i="42" s="1"/>
  <c r="Q77" i="42" a="1"/>
  <c r="Q77" i="42" s="1"/>
  <c r="N77" i="42" a="1"/>
  <c r="N77" i="42" s="1"/>
  <c r="H77" i="42" a="1"/>
  <c r="H77" i="42" s="1"/>
  <c r="AR76" i="42" a="1"/>
  <c r="AR76" i="42" s="1"/>
  <c r="AN76" i="42" a="1"/>
  <c r="AN76" i="42" s="1"/>
  <c r="AK76" i="42" a="1"/>
  <c r="AK76" i="42" s="1"/>
  <c r="AH76" i="42" a="1"/>
  <c r="AH76" i="42" s="1"/>
  <c r="AD76" i="42" a="1"/>
  <c r="AD76" i="42" s="1"/>
  <c r="Z76" i="42" a="1"/>
  <c r="Z76" i="42" s="1"/>
  <c r="W76" i="42" a="1"/>
  <c r="W76" i="42" s="1"/>
  <c r="S76" i="42" a="1"/>
  <c r="S76" i="42" s="1"/>
  <c r="I76" i="42" a="1"/>
  <c r="I76" i="42" s="1"/>
  <c r="E76" i="42" a="1"/>
  <c r="E76" i="42" s="1"/>
  <c r="AP74" i="42" a="1"/>
  <c r="AP74" i="42" s="1"/>
  <c r="AM74" i="42" a="1"/>
  <c r="AM74" i="42" s="1"/>
  <c r="AI74" i="42" a="1"/>
  <c r="AI74" i="42" s="1"/>
  <c r="AE74" i="42" a="1"/>
  <c r="AE74" i="42" s="1"/>
  <c r="AA74" i="42" a="1"/>
  <c r="AA74" i="42" s="1"/>
  <c r="W74" i="42" a="1"/>
  <c r="W74" i="42" s="1"/>
  <c r="S74" i="42" a="1"/>
  <c r="S74" i="42" s="1"/>
  <c r="O74" i="42" a="1"/>
  <c r="O74" i="42" s="1"/>
  <c r="K74" i="42" a="1"/>
  <c r="K74" i="42" s="1"/>
  <c r="G74" i="42" a="1"/>
  <c r="G74" i="42" s="1"/>
  <c r="AQ73" i="42" a="1"/>
  <c r="AQ73" i="42" s="1"/>
  <c r="AM73" i="42" a="1"/>
  <c r="AM73" i="42" s="1"/>
  <c r="AI73" i="42" a="1"/>
  <c r="AI73" i="42" s="1"/>
  <c r="AE73" i="42" a="1"/>
  <c r="AE73" i="42" s="1"/>
  <c r="AA73" i="42" a="1"/>
  <c r="AA73" i="42" s="1"/>
  <c r="W73" i="42" a="1"/>
  <c r="W73" i="42" s="1"/>
  <c r="S73" i="42" a="1"/>
  <c r="S73" i="42" s="1"/>
  <c r="O73" i="42" a="1"/>
  <c r="O73" i="42" s="1"/>
  <c r="K73" i="42" a="1"/>
  <c r="K73" i="42" s="1"/>
  <c r="G73" i="42" a="1"/>
  <c r="G73" i="42" s="1"/>
  <c r="AO71" i="42" a="1"/>
  <c r="AO71" i="42" s="1"/>
  <c r="AL71" i="42" a="1"/>
  <c r="AL71" i="42" s="1"/>
  <c r="AH71" i="42" a="1"/>
  <c r="AH71" i="42" s="1"/>
  <c r="AD71" i="42" a="1"/>
  <c r="AD71" i="42" s="1"/>
  <c r="Z71" i="42" a="1"/>
  <c r="Z71" i="42" s="1"/>
  <c r="W71" i="42" a="1"/>
  <c r="W71" i="42" s="1"/>
  <c r="T71" i="42" a="1"/>
  <c r="T71" i="42" s="1"/>
  <c r="P71" i="42" a="1"/>
  <c r="P71" i="42" s="1"/>
  <c r="L71" i="42" a="1"/>
  <c r="L71" i="42" s="1"/>
  <c r="H71" i="42" a="1"/>
  <c r="H71" i="42" s="1"/>
  <c r="AR70" i="42" a="1"/>
  <c r="AR70" i="42" s="1"/>
  <c r="AN70" i="42" a="1"/>
  <c r="AN70" i="42" s="1"/>
  <c r="AJ70" i="42" a="1"/>
  <c r="AJ70" i="42" s="1"/>
  <c r="AF70" i="42" a="1"/>
  <c r="AF70" i="42" s="1"/>
  <c r="AC70" i="42" a="1"/>
  <c r="AC70" i="42" s="1"/>
  <c r="Z70" i="42" a="1"/>
  <c r="Z70" i="42" s="1"/>
  <c r="V70" i="42" a="1"/>
  <c r="V70" i="42" s="1"/>
  <c r="R70" i="42" a="1"/>
  <c r="R70" i="42" s="1"/>
  <c r="N70" i="42" a="1"/>
  <c r="N70" i="42" s="1"/>
  <c r="J70" i="42" a="1"/>
  <c r="J70" i="42" s="1"/>
  <c r="F70" i="42" a="1"/>
  <c r="F70" i="42" s="1"/>
  <c r="AQ68" i="42" a="1"/>
  <c r="AQ68" i="42" s="1"/>
  <c r="AM68" i="42" a="1"/>
  <c r="AM68" i="42" s="1"/>
  <c r="AI68" i="42" a="1"/>
  <c r="AI68" i="42" s="1"/>
  <c r="AE68" i="42" a="1"/>
  <c r="AE68" i="42" s="1"/>
  <c r="AA68" i="42" a="1"/>
  <c r="AA68" i="42" s="1"/>
  <c r="W68" i="42" a="1"/>
  <c r="W68" i="42" s="1"/>
  <c r="S68" i="42" a="1"/>
  <c r="S68" i="42" s="1"/>
  <c r="O68" i="42" a="1"/>
  <c r="O68" i="42" s="1"/>
  <c r="K68" i="42" a="1"/>
  <c r="K68" i="42" s="1"/>
  <c r="G68" i="42" a="1"/>
  <c r="G68" i="42" s="1"/>
  <c r="AQ67" i="42" a="1"/>
  <c r="AQ67" i="42" s="1"/>
  <c r="AM67" i="42" a="1"/>
  <c r="AM67" i="42" s="1"/>
  <c r="AI67" i="42" a="1"/>
  <c r="AI67" i="42" s="1"/>
  <c r="AE67" i="42" a="1"/>
  <c r="AE67" i="42" s="1"/>
  <c r="AA67" i="42" a="1"/>
  <c r="AA67" i="42" s="1"/>
  <c r="W67" i="42" a="1"/>
  <c r="W67" i="42" s="1"/>
  <c r="S67" i="42" a="1"/>
  <c r="S67" i="42" s="1"/>
  <c r="P67" i="42" a="1"/>
  <c r="P67" i="42" s="1"/>
  <c r="M67" i="42" a="1"/>
  <c r="M67" i="42" s="1"/>
  <c r="I67" i="42" a="1"/>
  <c r="I67" i="42" s="1"/>
  <c r="E67" i="42" a="1"/>
  <c r="E67" i="42" s="1"/>
  <c r="AP65" i="42" a="1"/>
  <c r="AP65" i="42" s="1"/>
  <c r="AL65" i="42" a="1"/>
  <c r="AL65" i="42" s="1"/>
  <c r="AH65" i="42" a="1"/>
  <c r="AH65" i="42" s="1"/>
  <c r="X65" i="42" a="1"/>
  <c r="X65" i="42" s="1"/>
  <c r="T65" i="42" a="1"/>
  <c r="T65" i="42" s="1"/>
  <c r="M65" i="42" a="1"/>
  <c r="M65" i="42" s="1"/>
  <c r="I65" i="42" a="1"/>
  <c r="I65" i="42" s="1"/>
  <c r="F65" i="42" a="1"/>
  <c r="F65" i="42" s="1"/>
  <c r="AQ64" i="42" a="1"/>
  <c r="AQ64" i="42" s="1"/>
  <c r="AM64" i="42" a="1"/>
  <c r="AM64" i="42" s="1"/>
  <c r="AI64" i="42" a="1"/>
  <c r="AI64" i="42" s="1"/>
  <c r="AE64" i="42" a="1"/>
  <c r="AE64" i="42" s="1"/>
  <c r="AA64" i="42" a="1"/>
  <c r="AA64" i="42" s="1"/>
  <c r="U64" i="42" a="1"/>
  <c r="U64" i="42" s="1"/>
  <c r="Q64" i="42" a="1"/>
  <c r="Q64" i="42" s="1"/>
  <c r="N64" i="42" a="1"/>
  <c r="N64" i="42" s="1"/>
  <c r="J64" i="42" a="1"/>
  <c r="J64" i="42" s="1"/>
  <c r="AP62" i="42" a="1"/>
  <c r="AP62" i="42" s="1"/>
  <c r="AL62" i="42" a="1"/>
  <c r="AL62" i="42" s="1"/>
  <c r="AG62" i="42" a="1"/>
  <c r="AG62" i="42" s="1"/>
  <c r="AC62" i="42" a="1"/>
  <c r="AC62" i="42" s="1"/>
  <c r="W62" i="42" a="1"/>
  <c r="W62" i="42" s="1"/>
  <c r="T62" i="42" a="1"/>
  <c r="T62" i="42" s="1"/>
  <c r="P62" i="42" a="1"/>
  <c r="P62" i="42" s="1"/>
  <c r="M62" i="42" a="1"/>
  <c r="M62" i="42" s="1"/>
  <c r="J62" i="42" a="1"/>
  <c r="J62" i="42" s="1"/>
  <c r="F62" i="42" a="1"/>
  <c r="F62" i="42" s="1"/>
  <c r="AQ61" i="42" a="1"/>
  <c r="AQ61" i="42" s="1"/>
  <c r="AN61" i="42" a="1"/>
  <c r="AN61" i="42" s="1"/>
  <c r="AJ61" i="42" a="1"/>
  <c r="AJ61" i="42" s="1"/>
  <c r="AD61" i="42" a="1"/>
  <c r="AD61" i="42" s="1"/>
  <c r="AA61" i="42" a="1"/>
  <c r="AA61" i="42" s="1"/>
  <c r="T61" i="42" a="1"/>
  <c r="T61" i="42" s="1"/>
  <c r="P61" i="42" a="1"/>
  <c r="P61" i="42" s="1"/>
  <c r="M61" i="42" a="1"/>
  <c r="M61" i="42" s="1"/>
  <c r="I61" i="42" a="1"/>
  <c r="I61" i="42" s="1"/>
  <c r="F61" i="42" a="1"/>
  <c r="F61" i="42" s="1"/>
  <c r="AQ59" i="42" a="1"/>
  <c r="AQ59" i="42" s="1"/>
  <c r="AM59" i="42" a="1"/>
  <c r="AM59" i="42" s="1"/>
  <c r="AI59" i="42" a="1"/>
  <c r="AI59" i="42" s="1"/>
  <c r="AB59" i="42" a="1"/>
  <c r="AB59" i="42" s="1"/>
  <c r="X59" i="42" a="1"/>
  <c r="X59" i="42" s="1"/>
  <c r="T59" i="42" a="1"/>
  <c r="T59" i="42" s="1"/>
  <c r="P59" i="42" a="1"/>
  <c r="P59" i="42" s="1"/>
  <c r="L59" i="42" a="1"/>
  <c r="L59" i="42" s="1"/>
  <c r="H59" i="42" a="1"/>
  <c r="H59" i="42" s="1"/>
  <c r="E59" i="42" a="1"/>
  <c r="E59" i="42" s="1"/>
  <c r="AP58" i="42" a="1"/>
  <c r="AP58" i="42" s="1"/>
  <c r="AL58" i="42" a="1"/>
  <c r="AL58" i="42" s="1"/>
  <c r="AH58" i="42" a="1"/>
  <c r="AH58" i="42" s="1"/>
  <c r="AD58" i="42" a="1"/>
  <c r="AD58" i="42" s="1"/>
  <c r="Z58" i="42" a="1"/>
  <c r="Z58" i="42" s="1"/>
  <c r="V58" i="42" a="1"/>
  <c r="V58" i="42" s="1"/>
  <c r="R58" i="42" a="1"/>
  <c r="R58" i="42" s="1"/>
  <c r="N58" i="42" a="1"/>
  <c r="N58" i="42" s="1"/>
  <c r="G58" i="42" a="1"/>
  <c r="G58" i="42" s="1"/>
  <c r="AP56" i="42" a="1"/>
  <c r="AP56" i="42" s="1"/>
  <c r="AL56" i="42" a="1"/>
  <c r="AL56" i="42" s="1"/>
  <c r="AH56" i="42" a="1"/>
  <c r="AH56" i="42" s="1"/>
  <c r="AE56" i="42" a="1"/>
  <c r="AE56" i="42" s="1"/>
  <c r="AA56" i="42" a="1"/>
  <c r="AA56" i="42" s="1"/>
  <c r="W56" i="42" a="1"/>
  <c r="W56" i="42" s="1"/>
  <c r="S56" i="42" a="1"/>
  <c r="S56" i="42" s="1"/>
  <c r="O56" i="42" a="1"/>
  <c r="O56" i="42" s="1"/>
  <c r="K56" i="42" a="1"/>
  <c r="K56" i="42" s="1"/>
  <c r="G56" i="42" a="1"/>
  <c r="G56" i="42" s="1"/>
  <c r="AQ55" i="42" a="1"/>
  <c r="AQ55" i="42" s="1"/>
  <c r="AM55" i="42" a="1"/>
  <c r="AM55" i="42" s="1"/>
  <c r="AI55" i="42" a="1"/>
  <c r="AI55" i="42" s="1"/>
  <c r="AF55" i="42" a="1"/>
  <c r="AF55" i="42" s="1"/>
  <c r="AC55" i="42" a="1"/>
  <c r="AC55" i="42" s="1"/>
  <c r="Z55" i="42" a="1"/>
  <c r="Z55" i="42" s="1"/>
  <c r="V55" i="42" a="1"/>
  <c r="V55" i="42" s="1"/>
  <c r="R55" i="42" a="1"/>
  <c r="R55" i="42" s="1"/>
  <c r="N55" i="42" a="1"/>
  <c r="N55" i="42" s="1"/>
  <c r="J55" i="42" a="1"/>
  <c r="J55" i="42" s="1"/>
  <c r="F55" i="42" a="1"/>
  <c r="F55" i="42" s="1"/>
  <c r="AO53" i="42" a="1"/>
  <c r="AO53" i="42" s="1"/>
  <c r="AL53" i="42" a="1"/>
  <c r="AL53" i="42" s="1"/>
  <c r="AH53" i="42" a="1"/>
  <c r="AH53" i="42" s="1"/>
  <c r="AD53" i="42" a="1"/>
  <c r="AD53" i="42" s="1"/>
  <c r="Z53" i="42" a="1"/>
  <c r="Z53" i="42" s="1"/>
  <c r="V53" i="42" a="1"/>
  <c r="V53" i="42" s="1"/>
  <c r="R53" i="42" a="1"/>
  <c r="R53" i="42" s="1"/>
  <c r="K53" i="42" a="1"/>
  <c r="K53" i="42" s="1"/>
  <c r="G53" i="42" a="1"/>
  <c r="G53" i="42" s="1"/>
  <c r="AQ52" i="42" a="1"/>
  <c r="AQ52" i="42" s="1"/>
  <c r="AM52" i="42" a="1"/>
  <c r="AM52" i="42" s="1"/>
  <c r="AI52" i="42" a="1"/>
  <c r="AI52" i="42" s="1"/>
  <c r="AE52" i="42" a="1"/>
  <c r="AE52" i="42" s="1"/>
  <c r="AA52" i="42" a="1"/>
  <c r="AA52" i="42" s="1"/>
  <c r="W52" i="42" a="1"/>
  <c r="W52" i="42" s="1"/>
  <c r="S52" i="42" a="1"/>
  <c r="S52" i="42" s="1"/>
  <c r="O52" i="42" a="1"/>
  <c r="O52" i="42" s="1"/>
  <c r="K52" i="42" a="1"/>
  <c r="K52" i="42" s="1"/>
  <c r="G52" i="42" a="1"/>
  <c r="G52" i="42" s="1"/>
  <c r="AM50" i="42" a="1"/>
  <c r="AM50" i="42" s="1"/>
  <c r="AI50" i="42" a="1"/>
  <c r="AI50" i="42" s="1"/>
  <c r="AF50" i="42" a="1"/>
  <c r="AF50" i="42" s="1"/>
  <c r="AC50" i="42" a="1"/>
  <c r="AC50" i="42" s="1"/>
  <c r="Z50" i="42" a="1"/>
  <c r="Z50" i="42" s="1"/>
  <c r="P50" i="42" a="1"/>
  <c r="P50" i="42" s="1"/>
  <c r="M50" i="42" a="1"/>
  <c r="M50" i="42" s="1"/>
  <c r="I50" i="42" a="1"/>
  <c r="I50" i="42" s="1"/>
  <c r="F50" i="42" a="1"/>
  <c r="F50" i="42" s="1"/>
  <c r="AQ49" i="42" a="1"/>
  <c r="AQ49" i="42" s="1"/>
  <c r="AN49" i="42" a="1"/>
  <c r="AN49" i="42" s="1"/>
  <c r="AJ49" i="42" a="1"/>
  <c r="AJ49" i="42" s="1"/>
  <c r="AG49" i="42" a="1"/>
  <c r="AG49" i="42" s="1"/>
  <c r="AD49" i="42" a="1"/>
  <c r="AD49" i="42" s="1"/>
  <c r="Z49" i="42" a="1"/>
  <c r="Z49" i="42" s="1"/>
  <c r="W49" i="42" a="1"/>
  <c r="W49" i="42" s="1"/>
  <c r="S49" i="42" a="1"/>
  <c r="S49" i="42" s="1"/>
  <c r="P49" i="42" a="1"/>
  <c r="P49" i="42" s="1"/>
  <c r="L49" i="42" a="1"/>
  <c r="L49" i="42" s="1"/>
  <c r="E49" i="42" a="1"/>
  <c r="E49" i="42" s="1"/>
  <c r="AQ47" i="42" a="1"/>
  <c r="AQ47" i="42" s="1"/>
  <c r="AN47" i="42" a="1"/>
  <c r="AN47" i="42" s="1"/>
  <c r="AG47" i="42" a="1"/>
  <c r="AG47" i="42" s="1"/>
  <c r="AC47" i="42" a="1"/>
  <c r="AC47" i="42" s="1"/>
  <c r="Y47" i="42" a="1"/>
  <c r="Y47" i="42" s="1"/>
  <c r="U47" i="42" a="1"/>
  <c r="U47" i="42" s="1"/>
  <c r="R47" i="42" a="1"/>
  <c r="R47" i="42" s="1"/>
  <c r="O47" i="42" a="1"/>
  <c r="O47" i="42" s="1"/>
  <c r="L47" i="42" a="1"/>
  <c r="L47" i="42" s="1"/>
  <c r="J47" i="42" a="1"/>
  <c r="J47" i="42" s="1"/>
  <c r="F47" i="42" a="1"/>
  <c r="F47" i="42" s="1"/>
  <c r="AP46" i="42" a="1"/>
  <c r="AP46" i="42" s="1"/>
  <c r="AF46" i="42" a="1"/>
  <c r="AF46" i="42" s="1"/>
  <c r="AC46" i="42" a="1"/>
  <c r="AC46" i="42" s="1"/>
  <c r="Z46" i="42" a="1"/>
  <c r="Z46" i="42" s="1"/>
  <c r="W46" i="42" a="1"/>
  <c r="W46" i="42" s="1"/>
  <c r="S46" i="42" a="1"/>
  <c r="S46" i="42" s="1"/>
  <c r="O46" i="42" a="1"/>
  <c r="O46" i="42" s="1"/>
  <c r="K46" i="42" a="1"/>
  <c r="K46" i="42" s="1"/>
  <c r="H46" i="42" a="1"/>
  <c r="H46" i="42" s="1"/>
  <c r="H45" i="42" s="1"/>
  <c r="E46" i="42" a="1"/>
  <c r="E46" i="42" s="1"/>
  <c r="AO44" i="42" a="1"/>
  <c r="AO44" i="42" s="1"/>
  <c r="AK44" i="42" a="1"/>
  <c r="AK44" i="42" s="1"/>
  <c r="AG44" i="42" a="1"/>
  <c r="AG44" i="42" s="1"/>
  <c r="AC44" i="42" a="1"/>
  <c r="AC44" i="42" s="1"/>
  <c r="Y44" i="42" a="1"/>
  <c r="Y44" i="42" s="1"/>
  <c r="U44" i="42" a="1"/>
  <c r="U44" i="42" s="1"/>
  <c r="Q44" i="42" a="1"/>
  <c r="Q44" i="42" s="1"/>
  <c r="M44" i="42" a="1"/>
  <c r="M44" i="42" s="1"/>
  <c r="J44" i="42" a="1"/>
  <c r="J44" i="42" s="1"/>
  <c r="F44" i="42" a="1"/>
  <c r="F44" i="42" s="1"/>
  <c r="AP43" i="42" a="1"/>
  <c r="AP43" i="42" s="1"/>
  <c r="AL43" i="42" a="1"/>
  <c r="AL43" i="42" s="1"/>
  <c r="AH43" i="42" a="1"/>
  <c r="AH43" i="42" s="1"/>
  <c r="X43" i="42" a="1"/>
  <c r="X43" i="42" s="1"/>
  <c r="T43" i="42" a="1"/>
  <c r="T43" i="42" s="1"/>
  <c r="P43" i="42" a="1"/>
  <c r="P43" i="42" s="1"/>
  <c r="L43" i="42" a="1"/>
  <c r="L43" i="42" s="1"/>
  <c r="H43" i="42" a="1"/>
  <c r="H43" i="42" s="1"/>
  <c r="AP41" i="42" a="1"/>
  <c r="AP41" i="42" s="1"/>
  <c r="AL41" i="42" a="1"/>
  <c r="AL41" i="42" s="1"/>
  <c r="AH41" i="42" a="1"/>
  <c r="AH41" i="42" s="1"/>
  <c r="AD41" i="42" a="1"/>
  <c r="AD41" i="42" s="1"/>
  <c r="Z41" i="42" a="1"/>
  <c r="Z41" i="42" s="1"/>
  <c r="V41" i="42" a="1"/>
  <c r="V41" i="42" s="1"/>
  <c r="R41" i="42" a="1"/>
  <c r="R41" i="42" s="1"/>
  <c r="N41" i="42" a="1"/>
  <c r="N41" i="42" s="1"/>
  <c r="J41" i="42" a="1"/>
  <c r="J41" i="42" s="1"/>
  <c r="F41" i="42" a="1"/>
  <c r="F41" i="42" s="1"/>
  <c r="AQ40" i="42" a="1"/>
  <c r="AQ40" i="42" s="1"/>
  <c r="AN40" i="42" a="1"/>
  <c r="AN40" i="42" s="1"/>
  <c r="AJ40" i="42" a="1"/>
  <c r="AJ40" i="42" s="1"/>
  <c r="AF40" i="42" a="1"/>
  <c r="AF40" i="42" s="1"/>
  <c r="AB40" i="42" a="1"/>
  <c r="AB40" i="42" s="1"/>
  <c r="Y40" i="42" a="1"/>
  <c r="Y40" i="42" s="1"/>
  <c r="U40" i="42" a="1"/>
  <c r="U40" i="42" s="1"/>
  <c r="R40" i="42" a="1"/>
  <c r="R40" i="42" s="1"/>
  <c r="N40" i="42" a="1"/>
  <c r="N40" i="42" s="1"/>
  <c r="K40" i="42" a="1"/>
  <c r="K40" i="42" s="1"/>
  <c r="G40" i="42" a="1"/>
  <c r="G40" i="42" s="1"/>
  <c r="AO38" i="42" a="1"/>
  <c r="AO38" i="42" s="1"/>
  <c r="AK38" i="42" a="1"/>
  <c r="AK38" i="42" s="1"/>
  <c r="AG38" i="42" a="1"/>
  <c r="AG38" i="42" s="1"/>
  <c r="AD38" i="42" a="1"/>
  <c r="AD38" i="42" s="1"/>
  <c r="AA38" i="42" a="1"/>
  <c r="AA38" i="42" s="1"/>
  <c r="W38" i="42" a="1"/>
  <c r="W38" i="42" s="1"/>
  <c r="S38" i="42" a="1"/>
  <c r="S38" i="42" s="1"/>
  <c r="O38" i="42" a="1"/>
  <c r="O38" i="42" s="1"/>
  <c r="K38" i="42" a="1"/>
  <c r="K38" i="42" s="1"/>
  <c r="G38" i="42" a="1"/>
  <c r="G38" i="42" s="1"/>
  <c r="AQ37" i="42" a="1"/>
  <c r="AQ37" i="42" s="1"/>
  <c r="AM37" i="42" a="1"/>
  <c r="AM37" i="42" s="1"/>
  <c r="AI37" i="42" a="1"/>
  <c r="AI37" i="42" s="1"/>
  <c r="AB37" i="42" a="1"/>
  <c r="AB37" i="42" s="1"/>
  <c r="X37" i="42" a="1"/>
  <c r="X37" i="42" s="1"/>
  <c r="T37" i="42" a="1"/>
  <c r="T37" i="42" s="1"/>
  <c r="P37" i="42" a="1"/>
  <c r="P37" i="42" s="1"/>
  <c r="L37" i="42" a="1"/>
  <c r="L37" i="42" s="1"/>
  <c r="I37" i="42" a="1"/>
  <c r="I37" i="42" s="1"/>
  <c r="E37" i="42" a="1"/>
  <c r="E37" i="42" s="1"/>
  <c r="AK35" i="42" a="1"/>
  <c r="AK35" i="42" s="1"/>
  <c r="AG35" i="42" a="1"/>
  <c r="AG35" i="42" s="1"/>
  <c r="AC35" i="42" a="1"/>
  <c r="AC35" i="42" s="1"/>
  <c r="Y35" i="42" a="1"/>
  <c r="Y35" i="42" s="1"/>
  <c r="V35" i="42" a="1"/>
  <c r="V35" i="42" s="1"/>
  <c r="R35" i="42" a="1"/>
  <c r="R35" i="42" s="1"/>
  <c r="N35" i="42" a="1"/>
  <c r="N35" i="42" s="1"/>
  <c r="J35" i="42" a="1"/>
  <c r="J35" i="42" s="1"/>
  <c r="F35" i="42" a="1"/>
  <c r="F35" i="42" s="1"/>
  <c r="AO34" i="42" a="1"/>
  <c r="AO34" i="42" s="1"/>
  <c r="AK34" i="42" a="1"/>
  <c r="AK34" i="42" s="1"/>
  <c r="AG34" i="42" a="1"/>
  <c r="AG34" i="42" s="1"/>
  <c r="AC34" i="42" a="1"/>
  <c r="AC34" i="42" s="1"/>
  <c r="Y34" i="42" a="1"/>
  <c r="Y34" i="42" s="1"/>
  <c r="U34" i="42" a="1"/>
  <c r="U34" i="42" s="1"/>
  <c r="Q34" i="42" a="1"/>
  <c r="Q34" i="42" s="1"/>
  <c r="M34" i="42" a="1"/>
  <c r="M34" i="42" s="1"/>
  <c r="K34" i="42" a="1"/>
  <c r="K34" i="42" s="1"/>
  <c r="H34" i="42" a="1"/>
  <c r="H34" i="42" s="1"/>
  <c r="E34" i="42" a="1"/>
  <c r="E34" i="42" s="1"/>
  <c r="AQ32" i="42" a="1"/>
  <c r="AQ32" i="42" s="1"/>
  <c r="AM32" i="42" a="1"/>
  <c r="AM32" i="42" s="1"/>
  <c r="AI32" i="42" a="1"/>
  <c r="AI32" i="42" s="1"/>
  <c r="AF32" i="42" a="1"/>
  <c r="AF32" i="42" s="1"/>
  <c r="AC32" i="42" a="1"/>
  <c r="AC32" i="42" s="1"/>
  <c r="Z32" i="42" a="1"/>
  <c r="Z32" i="42" s="1"/>
  <c r="V32" i="42" a="1"/>
  <c r="V32" i="42" s="1"/>
  <c r="R32" i="42" a="1"/>
  <c r="R32" i="42" s="1"/>
  <c r="N32" i="42" a="1"/>
  <c r="N32" i="42" s="1"/>
  <c r="J32" i="42" a="1"/>
  <c r="J32" i="42" s="1"/>
  <c r="F32" i="42" a="1"/>
  <c r="F32" i="42" s="1"/>
  <c r="AP31" i="42" a="1"/>
  <c r="AP31" i="42" s="1"/>
  <c r="AJ31" i="42" a="1"/>
  <c r="AJ31" i="42" s="1"/>
  <c r="AC31" i="42" a="1"/>
  <c r="AC31" i="42" s="1"/>
  <c r="Y31" i="42" a="1"/>
  <c r="Y31" i="42" s="1"/>
  <c r="U31" i="42" a="1"/>
  <c r="U31" i="42" s="1"/>
  <c r="Q31" i="42" a="1"/>
  <c r="Q31" i="42" s="1"/>
  <c r="M31" i="42" a="1"/>
  <c r="M31" i="42" s="1"/>
  <c r="I31" i="42" a="1"/>
  <c r="I31" i="42" s="1"/>
  <c r="F31" i="42" a="1"/>
  <c r="F31" i="42" s="1"/>
  <c r="AR29" i="42" a="1"/>
  <c r="AR29" i="42" s="1"/>
  <c r="AN29" i="42" a="1"/>
  <c r="AN29" i="42" s="1"/>
  <c r="AJ29" i="42" a="1"/>
  <c r="AJ29" i="42" s="1"/>
  <c r="AF29" i="42" a="1"/>
  <c r="AF29" i="42" s="1"/>
  <c r="AB29" i="42" a="1"/>
  <c r="AB29" i="42" s="1"/>
  <c r="X29" i="42" a="1"/>
  <c r="X29" i="42" s="1"/>
  <c r="T29" i="42" a="1"/>
  <c r="T29" i="42" s="1"/>
  <c r="Q29" i="42" a="1"/>
  <c r="Q29" i="42" s="1"/>
  <c r="M29" i="42" a="1"/>
  <c r="M29" i="42" s="1"/>
  <c r="I29" i="42" a="1"/>
  <c r="I29" i="42" s="1"/>
  <c r="AQ28" i="42" a="1"/>
  <c r="AQ28" i="42" s="1"/>
  <c r="AM28" i="42" a="1"/>
  <c r="AM28" i="42" s="1"/>
  <c r="AI28" i="42" a="1"/>
  <c r="AI28" i="42" s="1"/>
  <c r="AE28" i="42" a="1"/>
  <c r="AE28" i="42" s="1"/>
  <c r="AA28" i="42" a="1"/>
  <c r="AA28" i="42" s="1"/>
  <c r="X28" i="42" a="1"/>
  <c r="X28" i="42" s="1"/>
  <c r="U28" i="42" a="1"/>
  <c r="U28" i="42" s="1"/>
  <c r="Q28" i="42" a="1"/>
  <c r="Q28" i="42" s="1"/>
  <c r="M28" i="42" a="1"/>
  <c r="M28" i="42" s="1"/>
  <c r="J28" i="42" a="1"/>
  <c r="J28" i="42" s="1"/>
  <c r="F28" i="42" a="1"/>
  <c r="F28" i="42" s="1"/>
  <c r="AO26" i="42" a="1"/>
  <c r="AO26" i="42" s="1"/>
  <c r="AL26" i="42" a="1"/>
  <c r="AL26" i="42" s="1"/>
  <c r="AH26" i="42" a="1"/>
  <c r="AH26" i="42" s="1"/>
  <c r="AD26" i="42" a="1"/>
  <c r="AD26" i="42" s="1"/>
  <c r="Z26" i="42" a="1"/>
  <c r="Z26" i="42" s="1"/>
  <c r="V26" i="42" a="1"/>
  <c r="V26" i="42" s="1"/>
  <c r="R26" i="42" a="1"/>
  <c r="R26" i="42" s="1"/>
  <c r="N26" i="42" a="1"/>
  <c r="N26" i="42" s="1"/>
  <c r="J26" i="42" a="1"/>
  <c r="J26" i="42" s="1"/>
  <c r="G26" i="42" a="1"/>
  <c r="G26" i="42" s="1"/>
  <c r="AQ25" i="42" a="1"/>
  <c r="AQ25" i="42" s="1"/>
  <c r="AM25" i="42" a="1"/>
  <c r="AM25" i="42" s="1"/>
  <c r="AI25" i="42" a="1"/>
  <c r="AI25" i="42" s="1"/>
  <c r="AE25" i="42" a="1"/>
  <c r="AE25" i="42" s="1"/>
  <c r="AA25" i="42" a="1"/>
  <c r="AA25" i="42" s="1"/>
  <c r="W25" i="42" a="1"/>
  <c r="W25" i="42" s="1"/>
  <c r="S25" i="42" a="1"/>
  <c r="S25" i="42" s="1"/>
  <c r="P25" i="42" a="1"/>
  <c r="P25" i="42" s="1"/>
  <c r="L25" i="42" a="1"/>
  <c r="L25" i="42" s="1"/>
  <c r="H25" i="42" a="1"/>
  <c r="H25" i="42" s="1"/>
  <c r="AO23" i="42" a="1"/>
  <c r="AO23" i="42" s="1"/>
  <c r="AL23" i="42" a="1"/>
  <c r="AL23" i="42" s="1"/>
  <c r="AH23" i="42" a="1"/>
  <c r="AH23" i="42" s="1"/>
  <c r="AD23" i="42" a="1"/>
  <c r="AD23" i="42" s="1"/>
  <c r="Z23" i="42" a="1"/>
  <c r="Z23" i="42" s="1"/>
  <c r="V23" i="42" a="1"/>
  <c r="V23" i="42" s="1"/>
  <c r="R23" i="42" a="1"/>
  <c r="R23" i="42" s="1"/>
  <c r="N23" i="42" a="1"/>
  <c r="N23" i="42" s="1"/>
  <c r="J23" i="42" a="1"/>
  <c r="J23" i="42" s="1"/>
  <c r="AQ22" i="42" a="1"/>
  <c r="AQ22" i="42" s="1"/>
  <c r="AM22" i="42" a="1"/>
  <c r="AM22" i="42" s="1"/>
  <c r="AI22" i="42" a="1"/>
  <c r="AI22" i="42" s="1"/>
  <c r="AE22" i="42" a="1"/>
  <c r="AE22" i="42" s="1"/>
  <c r="AA22" i="42" a="1"/>
  <c r="AA22" i="42" s="1"/>
  <c r="W22" i="42" a="1"/>
  <c r="W22" i="42" s="1"/>
  <c r="S22" i="42" a="1"/>
  <c r="S22" i="42" s="1"/>
  <c r="O22" i="42" a="1"/>
  <c r="O22" i="42" s="1"/>
  <c r="L22" i="42" a="1"/>
  <c r="L22" i="42" s="1"/>
  <c r="H22" i="42" a="1"/>
  <c r="H22" i="42" s="1"/>
  <c r="AP20" i="42" a="1"/>
  <c r="AP20" i="42" s="1"/>
  <c r="AL20" i="42" a="1"/>
  <c r="AL20" i="42" s="1"/>
  <c r="AH20" i="42" a="1"/>
  <c r="AH20" i="42" s="1"/>
  <c r="AD20" i="42" a="1"/>
  <c r="AD20" i="42" s="1"/>
  <c r="Z20" i="42" a="1"/>
  <c r="Z20" i="42" s="1"/>
  <c r="V20" i="42" a="1"/>
  <c r="V20" i="42" s="1"/>
  <c r="R20" i="42" a="1"/>
  <c r="R20" i="42" s="1"/>
  <c r="N20" i="42" a="1"/>
  <c r="N20" i="42" s="1"/>
  <c r="J20" i="42" a="1"/>
  <c r="J20" i="42" s="1"/>
  <c r="AO19" i="42" a="1"/>
  <c r="AO19" i="42" s="1"/>
  <c r="AK19" i="42" a="1"/>
  <c r="AK19" i="42" s="1"/>
  <c r="AG19" i="42" a="1"/>
  <c r="AG19" i="42" s="1"/>
  <c r="AC19" i="42" a="1"/>
  <c r="AC19" i="42" s="1"/>
  <c r="Y19" i="42" a="1"/>
  <c r="Y19" i="42" s="1"/>
  <c r="V19" i="42" a="1"/>
  <c r="V19" i="42" s="1"/>
  <c r="S19" i="42" a="1"/>
  <c r="S19" i="42" s="1"/>
  <c r="P19" i="42" a="1"/>
  <c r="P19" i="42" s="1"/>
  <c r="L19" i="42" a="1"/>
  <c r="L19" i="42" s="1"/>
  <c r="H19" i="42" a="1"/>
  <c r="H19" i="42" s="1"/>
  <c r="AP17" i="42" a="1"/>
  <c r="AP17" i="42" s="1"/>
  <c r="AL17" i="42" a="1"/>
  <c r="AL17" i="42" s="1"/>
  <c r="AH17" i="42" a="1"/>
  <c r="AH17" i="42" s="1"/>
  <c r="AB17" i="42" a="1"/>
  <c r="AB17" i="42" s="1"/>
  <c r="S17" i="42" a="1"/>
  <c r="S17" i="42" s="1"/>
  <c r="O17" i="42" a="1"/>
  <c r="O17" i="42" s="1"/>
  <c r="K17" i="42" a="1"/>
  <c r="K17" i="42" s="1"/>
  <c r="G17" i="42" a="1"/>
  <c r="G17" i="42" s="1"/>
  <c r="AQ16" i="42" a="1"/>
  <c r="AQ16" i="42" s="1"/>
  <c r="AN16" i="42" a="1"/>
  <c r="AN16" i="42" s="1"/>
  <c r="AJ16" i="42" a="1"/>
  <c r="AJ16" i="42" s="1"/>
  <c r="AF16" i="42" a="1"/>
  <c r="AF16" i="42" s="1"/>
  <c r="AB16" i="42" a="1"/>
  <c r="AB16" i="42" s="1"/>
  <c r="X16" i="42" a="1"/>
  <c r="X16" i="42" s="1"/>
  <c r="U16" i="42" a="1"/>
  <c r="U16" i="42" s="1"/>
  <c r="Q16" i="42" a="1"/>
  <c r="Q16" i="42" s="1"/>
  <c r="N16" i="42" a="1"/>
  <c r="N16" i="42" s="1"/>
  <c r="K16" i="42" a="1"/>
  <c r="K16" i="42" s="1"/>
  <c r="H16" i="42" a="1"/>
  <c r="H16" i="42" s="1"/>
  <c r="AP11" i="42" a="1"/>
  <c r="AP11" i="42" s="1"/>
  <c r="AL11" i="42" a="1"/>
  <c r="AL11" i="42" s="1"/>
  <c r="AI11" i="42" a="1"/>
  <c r="AI11" i="42" s="1"/>
  <c r="AG11" i="42" a="1"/>
  <c r="AG11" i="42" s="1"/>
  <c r="Z11" i="42" a="1"/>
  <c r="Z11" i="42" s="1"/>
  <c r="V11" i="42" a="1"/>
  <c r="V11" i="42" s="1"/>
  <c r="S11" i="42" a="1"/>
  <c r="S11" i="42" s="1"/>
  <c r="L11" i="42" a="1"/>
  <c r="L11" i="42" s="1"/>
  <c r="H11" i="42" a="1"/>
  <c r="H11" i="42" s="1"/>
  <c r="AR10" i="42" a="1"/>
  <c r="AR10" i="42" s="1"/>
  <c r="AO10" i="42" a="1"/>
  <c r="AO10" i="42" s="1"/>
  <c r="AH10" i="42" a="1"/>
  <c r="AH10" i="42" s="1"/>
  <c r="M22" i="42" a="1"/>
  <c r="M22" i="42" s="1"/>
  <c r="AM20" i="42" a="1"/>
  <c r="AM20" i="42" s="1"/>
  <c r="W20" i="42" a="1"/>
  <c r="W20" i="42" s="1"/>
  <c r="H20" i="42" a="1"/>
  <c r="H20" i="42" s="1"/>
  <c r="AH19" i="42" a="1"/>
  <c r="AH19" i="42" s="1"/>
  <c r="E19" i="42" a="1"/>
  <c r="E19" i="42" s="1"/>
  <c r="AF17" i="42" a="1"/>
  <c r="AF17" i="42" s="1"/>
  <c r="T17" i="42" a="1"/>
  <c r="T17" i="42" s="1"/>
  <c r="AR16" i="42" a="1"/>
  <c r="AR16" i="42" s="1"/>
  <c r="AC16" i="42" a="1"/>
  <c r="AC16" i="42" s="1"/>
  <c r="AQ11" i="42" a="1"/>
  <c r="AQ11" i="42" s="1"/>
  <c r="AE11" i="42" a="1"/>
  <c r="AE11" i="42" s="1"/>
  <c r="X11" i="42" a="1"/>
  <c r="X11" i="42" s="1"/>
  <c r="Q11" i="42" a="1"/>
  <c r="Q11" i="42" s="1"/>
  <c r="J11" i="42" a="1"/>
  <c r="J11" i="42" s="1"/>
  <c r="AP10" i="42" a="1"/>
  <c r="AP10" i="42" s="1"/>
  <c r="AJ10" i="42" a="1"/>
  <c r="AJ10" i="42" s="1"/>
  <c r="AD10" i="42" a="1"/>
  <c r="AD10" i="42" s="1"/>
  <c r="Z10" i="42" a="1"/>
  <c r="Z10" i="42" s="1"/>
  <c r="W10" i="42" a="1"/>
  <c r="W10" i="42" s="1"/>
  <c r="S10" i="42" a="1"/>
  <c r="S10" i="42" s="1"/>
  <c r="O10" i="42" a="1"/>
  <c r="O10" i="42" s="1"/>
  <c r="O9" i="42" s="1"/>
  <c r="K10" i="42" a="1"/>
  <c r="K10" i="42" s="1"/>
  <c r="H10" i="42" a="1"/>
  <c r="H10" i="42" s="1"/>
  <c r="E10" i="42" a="1"/>
  <c r="E10" i="42" s="1"/>
  <c r="P10" i="42" a="1"/>
  <c r="P10" i="42" s="1"/>
  <c r="X22" i="42" a="1"/>
  <c r="X22" i="42" s="1"/>
  <c r="I22" i="42" a="1"/>
  <c r="I22" i="42" s="1"/>
  <c r="I21" i="42" s="1"/>
  <c r="AI20" i="42" a="1"/>
  <c r="AI20" i="42" s="1"/>
  <c r="S20" i="42" a="1"/>
  <c r="S20" i="42" s="1"/>
  <c r="E20" i="42" a="1"/>
  <c r="E20" i="42" s="1"/>
  <c r="AD19" i="42" a="1"/>
  <c r="AD19" i="42" s="1"/>
  <c r="Q19" i="42" a="1"/>
  <c r="Q19" i="42" s="1"/>
  <c r="AQ17" i="42" a="1"/>
  <c r="AQ17" i="42" s="1"/>
  <c r="AC17" i="42" a="1"/>
  <c r="AC17" i="42" s="1"/>
  <c r="P17" i="42" a="1"/>
  <c r="P17" i="42" s="1"/>
  <c r="AO16" i="42" a="1"/>
  <c r="AO16" i="42" s="1"/>
  <c r="Y16" i="42" a="1"/>
  <c r="Y16" i="42" s="1"/>
  <c r="AM11" i="42" a="1"/>
  <c r="AM11" i="42" s="1"/>
  <c r="AD11" i="42" a="1"/>
  <c r="AD11" i="42" s="1"/>
  <c r="W11" i="42" a="1"/>
  <c r="W11" i="42" s="1"/>
  <c r="P11" i="42" a="1"/>
  <c r="P11" i="42" s="1"/>
  <c r="I11" i="42" a="1"/>
  <c r="I11" i="42" s="1"/>
  <c r="AI10" i="42" a="1"/>
  <c r="AI10" i="42" s="1"/>
  <c r="AC10" i="42" a="1"/>
  <c r="AC10" i="42" s="1"/>
  <c r="Y10" i="42" a="1"/>
  <c r="Y10" i="42" s="1"/>
  <c r="V10" i="42" a="1"/>
  <c r="V10" i="42" s="1"/>
  <c r="R10" i="42" a="1"/>
  <c r="R10" i="42" s="1"/>
  <c r="N10" i="42" a="1"/>
  <c r="N10" i="42" s="1"/>
  <c r="J10" i="42" a="1"/>
  <c r="J10" i="42" s="1"/>
  <c r="G10" i="42" a="1"/>
  <c r="G10" i="42" s="1"/>
  <c r="L10" i="42" a="1"/>
  <c r="L10" i="42" s="1"/>
  <c r="T22" i="42" a="1"/>
  <c r="T22" i="42" s="1"/>
  <c r="E22" i="42" a="1"/>
  <c r="E22" i="42" s="1"/>
  <c r="AE20" i="42" a="1"/>
  <c r="AE20" i="42" s="1"/>
  <c r="O20" i="42" a="1"/>
  <c r="O20" i="42" s="1"/>
  <c r="AP19" i="42" a="1"/>
  <c r="AP19" i="42" s="1"/>
  <c r="Z19" i="42" a="1"/>
  <c r="Z19" i="42" s="1"/>
  <c r="M19" i="42" a="1"/>
  <c r="M19" i="42" s="1"/>
  <c r="AM17" i="42" a="1"/>
  <c r="AM17" i="42" s="1"/>
  <c r="Y17" i="42" a="1"/>
  <c r="Y17" i="42" s="1"/>
  <c r="L17" i="42" a="1"/>
  <c r="L17" i="42" s="1"/>
  <c r="AK16" i="42" a="1"/>
  <c r="AK16" i="42" s="1"/>
  <c r="V16" i="42" a="1"/>
  <c r="V16" i="42" s="1"/>
  <c r="I16" i="42" a="1"/>
  <c r="I16" i="42" s="1"/>
  <c r="AB11" i="42" a="1"/>
  <c r="AB11" i="42" s="1"/>
  <c r="U11" i="42" a="1"/>
  <c r="U11" i="42" s="1"/>
  <c r="N11" i="42" a="1"/>
  <c r="N11" i="42" s="1"/>
  <c r="F11" i="42" a="1"/>
  <c r="F11" i="42" s="1"/>
  <c r="AM10" i="42" a="1"/>
  <c r="AM10" i="42" s="1"/>
  <c r="AF10" i="42" a="1"/>
  <c r="AF10" i="42" s="1"/>
  <c r="AB10" i="42" a="1"/>
  <c r="AB10" i="42" s="1"/>
  <c r="X10" i="42" a="1"/>
  <c r="X10" i="42" s="1"/>
  <c r="U10" i="42" a="1"/>
  <c r="U10" i="42" s="1"/>
  <c r="Q10" i="42" a="1"/>
  <c r="Q10" i="42" s="1"/>
  <c r="M10" i="42" a="1"/>
  <c r="M10" i="42" s="1"/>
  <c r="F10" i="42" a="1"/>
  <c r="F10" i="42" s="1"/>
  <c r="P22" i="42" a="1"/>
  <c r="P22" i="42" s="1"/>
  <c r="AQ20" i="42" a="1"/>
  <c r="AQ20" i="42" s="1"/>
  <c r="AA20" i="42" a="1"/>
  <c r="AA20" i="42" s="1"/>
  <c r="K20" i="42" a="1"/>
  <c r="K20" i="42" s="1"/>
  <c r="AL19" i="42" a="1"/>
  <c r="AL19" i="42" s="1"/>
  <c r="W19" i="42" a="1"/>
  <c r="W19" i="42" s="1"/>
  <c r="I19" i="42" a="1"/>
  <c r="I19" i="42" s="1"/>
  <c r="AI17" i="42" a="1"/>
  <c r="AI17" i="42" s="1"/>
  <c r="W17" i="42" a="1"/>
  <c r="W17" i="42" s="1"/>
  <c r="H17" i="42" a="1"/>
  <c r="H17" i="42" s="1"/>
  <c r="AG16" i="42" a="1"/>
  <c r="AG16" i="42" s="1"/>
  <c r="R16" i="42" a="1"/>
  <c r="R16" i="42" s="1"/>
  <c r="E16" i="42" a="1"/>
  <c r="E16" i="42" s="1"/>
  <c r="AA11" i="42" a="1"/>
  <c r="AA11" i="42" s="1"/>
  <c r="T11" i="42" a="1"/>
  <c r="T11" i="42" s="1"/>
  <c r="M11" i="42" a="1"/>
  <c r="M11" i="42" s="1"/>
  <c r="E11" i="42" a="1"/>
  <c r="E11" i="42" s="1"/>
  <c r="AL10" i="42" a="1"/>
  <c r="AL10" i="42" s="1"/>
  <c r="AE10" i="42" a="1"/>
  <c r="AE10" i="42" s="1"/>
  <c r="AA10" i="42" a="1"/>
  <c r="AA10" i="42" s="1"/>
  <c r="T10" i="42" a="1"/>
  <c r="T10" i="42" s="1"/>
  <c r="I10" i="42" a="1"/>
  <c r="I10" i="42" s="1"/>
  <c r="D22" i="45"/>
  <c r="D22" i="46"/>
  <c r="D22" i="47"/>
  <c r="D22" i="44"/>
  <c r="D25" i="45"/>
  <c r="D25" i="46"/>
  <c r="D25" i="47"/>
  <c r="D25" i="44"/>
  <c r="D37" i="45"/>
  <c r="D37" i="46"/>
  <c r="D37" i="47"/>
  <c r="D37" i="44"/>
  <c r="D41" i="45"/>
  <c r="D41" i="46"/>
  <c r="D41" i="47"/>
  <c r="D41" i="44"/>
  <c r="D35" i="45"/>
  <c r="D35" i="46"/>
  <c r="D35" i="47"/>
  <c r="D35" i="44"/>
  <c r="D44" i="45"/>
  <c r="D44" i="46"/>
  <c r="D44" i="47"/>
  <c r="D44" i="44"/>
  <c r="D19" i="45"/>
  <c r="D19" i="46"/>
  <c r="D19" i="47"/>
  <c r="D19" i="44"/>
  <c r="D38" i="45"/>
  <c r="D38" i="46"/>
  <c r="D38" i="47"/>
  <c r="D38" i="44"/>
  <c r="D40" i="45"/>
  <c r="D40" i="46"/>
  <c r="D40" i="47"/>
  <c r="D40" i="44"/>
  <c r="D32" i="45"/>
  <c r="D32" i="46"/>
  <c r="D32" i="47"/>
  <c r="D32" i="44"/>
  <c r="D34" i="45"/>
  <c r="D34" i="46"/>
  <c r="D34" i="47"/>
  <c r="D34" i="44"/>
  <c r="D23" i="45"/>
  <c r="D23" i="46"/>
  <c r="D23" i="47"/>
  <c r="D23" i="44"/>
  <c r="D43" i="45"/>
  <c r="D43" i="46"/>
  <c r="D43" i="47"/>
  <c r="D43" i="44"/>
  <c r="D17" i="45"/>
  <c r="D17" i="46"/>
  <c r="D17" i="47"/>
  <c r="D17" i="44"/>
  <c r="D31" i="45"/>
  <c r="D31" i="46"/>
  <c r="D31" i="47"/>
  <c r="D31" i="44"/>
  <c r="D20" i="45"/>
  <c r="D20" i="46"/>
  <c r="D20" i="47"/>
  <c r="D20" i="44"/>
  <c r="D26" i="45"/>
  <c r="D26" i="46"/>
  <c r="D26" i="47"/>
  <c r="D26" i="44"/>
  <c r="D16" i="45"/>
  <c r="D16" i="46"/>
  <c r="D16" i="47"/>
  <c r="D16" i="44"/>
  <c r="D26" i="43"/>
  <c r="D22" i="43"/>
  <c r="D20" i="43"/>
  <c r="D23" i="43"/>
  <c r="D19" i="43"/>
  <c r="D25" i="43"/>
  <c r="D16" i="43"/>
  <c r="D16" i="41"/>
  <c r="D16" i="42"/>
  <c r="D16" i="33"/>
  <c r="D17" i="42"/>
  <c r="D17" i="43"/>
  <c r="D17" i="41"/>
  <c r="D17" i="33"/>
  <c r="D26" i="42"/>
  <c r="D26" i="41"/>
  <c r="D26" i="33"/>
  <c r="D22" i="42"/>
  <c r="D22" i="41"/>
  <c r="D22" i="33"/>
  <c r="D20" i="42"/>
  <c r="D20" i="33"/>
  <c r="D20" i="41"/>
  <c r="D23" i="42"/>
  <c r="D23" i="33"/>
  <c r="D23" i="41"/>
  <c r="D19" i="42"/>
  <c r="D19" i="33"/>
  <c r="D19" i="41"/>
  <c r="D25" i="42"/>
  <c r="D25" i="41"/>
  <c r="D25" i="33"/>
  <c r="AE75" i="42" l="1"/>
  <c r="AP45" i="42"/>
  <c r="CP27" i="4"/>
  <c r="M24" i="42"/>
  <c r="AI75" i="42"/>
  <c r="AN21" i="42"/>
  <c r="AR21" i="42"/>
  <c r="CN97" i="4"/>
  <c r="CR96" i="4"/>
  <c r="CQ96" i="4"/>
  <c r="CR82" i="4"/>
  <c r="CP96" i="4"/>
  <c r="CO96" i="4"/>
  <c r="G102" i="42"/>
  <c r="CR9" i="4"/>
  <c r="CS9" i="4"/>
  <c r="CU9" i="4" a="1"/>
  <c r="CU9" i="4" s="1"/>
  <c r="CN28" i="4"/>
  <c r="M90" i="42"/>
  <c r="CO28" i="4"/>
  <c r="CP28" i="4"/>
  <c r="Q90" i="42"/>
  <c r="CU27" i="4" a="1"/>
  <c r="CU27" i="4" s="1"/>
  <c r="CS27" i="4"/>
  <c r="CR27" i="4"/>
  <c r="CU28" i="4" a="1"/>
  <c r="CU28" i="4" s="1"/>
  <c r="CS28" i="4"/>
  <c r="CR28" i="4"/>
  <c r="CP121" i="4"/>
  <c r="CO121" i="4"/>
  <c r="CQ121" i="4"/>
  <c r="CN121" i="4"/>
  <c r="CN123" i="4"/>
  <c r="CO123" i="4"/>
  <c r="CP123" i="4"/>
  <c r="CQ123" i="4"/>
  <c r="E66" i="42"/>
  <c r="AJ69" i="42"/>
  <c r="AF69" i="42"/>
  <c r="R69" i="42"/>
  <c r="N69" i="42"/>
  <c r="J69" i="42"/>
  <c r="F69" i="42"/>
  <c r="I66" i="42"/>
  <c r="P57" i="42"/>
  <c r="L57" i="42"/>
  <c r="AQ27" i="42"/>
  <c r="AM27" i="42"/>
  <c r="AE27" i="42"/>
  <c r="AO18" i="42"/>
  <c r="AK18" i="42"/>
  <c r="AG18" i="42"/>
  <c r="AC18" i="42"/>
  <c r="Y18" i="42"/>
  <c r="CQ43" i="4"/>
  <c r="CO43" i="4"/>
  <c r="CP43" i="4"/>
  <c r="CN43" i="4"/>
  <c r="CN118" i="4"/>
  <c r="CO118" i="4"/>
  <c r="CP118" i="4"/>
  <c r="CQ118" i="4"/>
  <c r="CR118" i="4"/>
  <c r="CU118" i="4" a="1"/>
  <c r="CU118" i="4" s="1"/>
  <c r="CS118" i="4"/>
  <c r="CO120" i="4"/>
  <c r="CN120" i="4"/>
  <c r="CQ120" i="4"/>
  <c r="CP120" i="4"/>
  <c r="CR120" i="4"/>
  <c r="CS120" i="4"/>
  <c r="CU120" i="4" a="1"/>
  <c r="CU120" i="4" s="1"/>
  <c r="CN119" i="4"/>
  <c r="CO119" i="4"/>
  <c r="CP119" i="4"/>
  <c r="CQ119" i="4"/>
  <c r="CP117" i="4"/>
  <c r="CN117" i="4"/>
  <c r="CR117" i="4"/>
  <c r="CQ117" i="4"/>
  <c r="CO117" i="4"/>
  <c r="CS117" i="4"/>
  <c r="CU117" i="4" a="1"/>
  <c r="CU117" i="4" s="1"/>
  <c r="CQ112" i="4"/>
  <c r="CP112" i="4"/>
  <c r="CN112" i="4"/>
  <c r="CO112" i="4"/>
  <c r="CN113" i="4"/>
  <c r="CO113" i="4"/>
  <c r="CQ113" i="4"/>
  <c r="CP113" i="4"/>
  <c r="CQ114" i="4"/>
  <c r="CO114" i="4"/>
  <c r="CR114" i="4"/>
  <c r="CP114" i="4"/>
  <c r="CN114" i="4"/>
  <c r="CS114" i="4"/>
  <c r="CU114" i="4" a="1"/>
  <c r="CU114" i="4" s="1"/>
  <c r="CR115" i="4"/>
  <c r="CQ115" i="4"/>
  <c r="CP115" i="4"/>
  <c r="CO115" i="4"/>
  <c r="CN115" i="4"/>
  <c r="CS115" i="4"/>
  <c r="CU115" i="4" a="1"/>
  <c r="CU115" i="4" s="1"/>
  <c r="CN116" i="4"/>
  <c r="CO116" i="4"/>
  <c r="CP116" i="4"/>
  <c r="CQ116" i="4"/>
  <c r="AN15" i="42"/>
  <c r="AJ15" i="42"/>
  <c r="AR9" i="42"/>
  <c r="T42" i="42"/>
  <c r="E48" i="42"/>
  <c r="X42" i="42"/>
  <c r="P42" i="42"/>
  <c r="L42" i="42"/>
  <c r="Y30" i="42"/>
  <c r="U30" i="42"/>
  <c r="M30" i="42"/>
  <c r="AO9" i="42"/>
  <c r="AF84" i="42"/>
  <c r="AO63" i="42"/>
  <c r="AK63" i="42"/>
  <c r="AG63" i="42"/>
  <c r="W63" i="42"/>
  <c r="S63" i="42"/>
  <c r="J15" i="42"/>
  <c r="AO102" i="42"/>
  <c r="AK102" i="42"/>
  <c r="AG102" i="42"/>
  <c r="F96" i="42"/>
  <c r="AQ93" i="42"/>
  <c r="AR51" i="42"/>
  <c r="AN51" i="42"/>
  <c r="AE48" i="42"/>
  <c r="AQ42" i="42"/>
  <c r="AM42" i="42"/>
  <c r="AI42" i="42"/>
  <c r="AE42" i="42"/>
  <c r="AB42" i="42"/>
  <c r="AG39" i="42"/>
  <c r="Y39" i="42"/>
  <c r="U39" i="42"/>
  <c r="K39" i="42"/>
  <c r="G39" i="42"/>
  <c r="CO105" i="4"/>
  <c r="CN82" i="4"/>
  <c r="CQ82" i="4"/>
  <c r="CP82" i="4"/>
  <c r="CU82" i="4" a="1"/>
  <c r="CU82" i="4" s="1"/>
  <c r="CS82" i="4"/>
  <c r="CP36" i="4"/>
  <c r="CQ36" i="4"/>
  <c r="CO36" i="4"/>
  <c r="CR89" i="4"/>
  <c r="CU29" i="4" a="1"/>
  <c r="CU29" i="4" s="1"/>
  <c r="CS29" i="4"/>
  <c r="CT29" i="4" s="1"/>
  <c r="CP90" i="4"/>
  <c r="CQ89" i="4"/>
  <c r="CN50" i="4"/>
  <c r="CN89" i="4"/>
  <c r="CP89" i="4"/>
  <c r="CU89" i="4" a="1"/>
  <c r="CU89" i="4" s="1"/>
  <c r="CS89" i="4"/>
  <c r="CR107" i="4"/>
  <c r="CQ107" i="4"/>
  <c r="CO107" i="4"/>
  <c r="CP107" i="4"/>
  <c r="CR100" i="4"/>
  <c r="CQ38" i="4"/>
  <c r="CQ100" i="4"/>
  <c r="CO100" i="4"/>
  <c r="CP100" i="4"/>
  <c r="CU107" i="4" a="1"/>
  <c r="CU107" i="4" s="1"/>
  <c r="CO57" i="4"/>
  <c r="CO38" i="4"/>
  <c r="CP38" i="4"/>
  <c r="CS107" i="4"/>
  <c r="CN56" i="4"/>
  <c r="CO56" i="4"/>
  <c r="CN57" i="4"/>
  <c r="CQ57" i="4"/>
  <c r="CU100" i="4" a="1"/>
  <c r="CU100" i="4" s="1"/>
  <c r="CS100" i="4"/>
  <c r="CS54" i="4"/>
  <c r="CP56" i="4"/>
  <c r="CR54" i="4"/>
  <c r="CQ39" i="4"/>
  <c r="CN39" i="4"/>
  <c r="CO39" i="4"/>
  <c r="CP39" i="4"/>
  <c r="CU54" i="4" a="1"/>
  <c r="CU54" i="4" s="1"/>
  <c r="CS39" i="4"/>
  <c r="CU39" i="4" a="1"/>
  <c r="CU39" i="4" s="1"/>
  <c r="CR39" i="4"/>
  <c r="CR38" i="4"/>
  <c r="CS38" i="4"/>
  <c r="CU38" i="4" a="1"/>
  <c r="CU38" i="4" s="1"/>
  <c r="CR97" i="4"/>
  <c r="CP54" i="4"/>
  <c r="CO54" i="4"/>
  <c r="CN54" i="4"/>
  <c r="CQ54" i="4"/>
  <c r="CO58" i="4"/>
  <c r="CN58" i="4"/>
  <c r="CQ58" i="4"/>
  <c r="CP58" i="4"/>
  <c r="CQ95" i="4"/>
  <c r="CN95" i="4"/>
  <c r="CU25" i="4" a="1"/>
  <c r="CU25" i="4" s="1"/>
  <c r="CR95" i="4"/>
  <c r="CS58" i="4"/>
  <c r="CU58" i="4" a="1"/>
  <c r="CU58" i="4" s="1"/>
  <c r="CR58" i="4"/>
  <c r="CS56" i="4"/>
  <c r="CR56" i="4"/>
  <c r="CU56" i="4" a="1"/>
  <c r="CU56" i="4" s="1"/>
  <c r="CU57" i="4" a="1"/>
  <c r="CU57" i="4" s="1"/>
  <c r="CR57" i="4"/>
  <c r="CS57" i="4"/>
  <c r="CS25" i="4"/>
  <c r="CN61" i="4"/>
  <c r="CO62" i="4"/>
  <c r="CR25" i="4"/>
  <c r="CQ25" i="4"/>
  <c r="CR61" i="4"/>
  <c r="CN25" i="4"/>
  <c r="CP61" i="4"/>
  <c r="CO25" i="4"/>
  <c r="CQ61" i="4"/>
  <c r="CU91" i="4" a="1"/>
  <c r="CU91" i="4" s="1"/>
  <c r="CP25" i="4"/>
  <c r="CO97" i="4"/>
  <c r="CO95" i="4"/>
  <c r="CR91" i="4"/>
  <c r="CN91" i="4"/>
  <c r="CO91" i="4"/>
  <c r="CQ91" i="4"/>
  <c r="CS97" i="4"/>
  <c r="CS91" i="4"/>
  <c r="CQ97" i="4"/>
  <c r="CP63" i="4"/>
  <c r="CQ24" i="4"/>
  <c r="CN24" i="4"/>
  <c r="CR24" i="4"/>
  <c r="CO24" i="4"/>
  <c r="CP24" i="4"/>
  <c r="CU24" i="4" a="1"/>
  <c r="CU24" i="4" s="1"/>
  <c r="CS24" i="4"/>
  <c r="CU95" i="4" a="1"/>
  <c r="CU95" i="4" s="1"/>
  <c r="CU97" i="4" a="1"/>
  <c r="CU97" i="4" s="1"/>
  <c r="CS95" i="4"/>
  <c r="CS96" i="4"/>
  <c r="CT96" i="4" s="1"/>
  <c r="CO63" i="4"/>
  <c r="CU96" i="4" a="1"/>
  <c r="CU96" i="4" s="1"/>
  <c r="CR62" i="4"/>
  <c r="CR63" i="4"/>
  <c r="CP62" i="4"/>
  <c r="CN62" i="4"/>
  <c r="CN63" i="4"/>
  <c r="CU63" i="4" a="1"/>
  <c r="CU63" i="4" s="1"/>
  <c r="CU62" i="4" a="1"/>
  <c r="CU62" i="4" s="1"/>
  <c r="CS63" i="4"/>
  <c r="CS62" i="4"/>
  <c r="CO52" i="4"/>
  <c r="CR64" i="4"/>
  <c r="CP64" i="4"/>
  <c r="CN64" i="4"/>
  <c r="CO64" i="4"/>
  <c r="CP52" i="4"/>
  <c r="CS61" i="4"/>
  <c r="CU52" i="4" a="1"/>
  <c r="CU52" i="4" s="1"/>
  <c r="CN52" i="4"/>
  <c r="CN109" i="4"/>
  <c r="CU61" i="4" a="1"/>
  <c r="CU61" i="4" s="1"/>
  <c r="CO110" i="4"/>
  <c r="CP110" i="4"/>
  <c r="CN105" i="4"/>
  <c r="CQ101" i="4"/>
  <c r="CN110" i="4"/>
  <c r="CP101" i="4"/>
  <c r="CQ109" i="4"/>
  <c r="CQ105" i="4"/>
  <c r="CO101" i="4"/>
  <c r="CP109" i="4"/>
  <c r="CN85" i="4"/>
  <c r="CO68" i="4"/>
  <c r="CR68" i="4"/>
  <c r="CQ68" i="4"/>
  <c r="CO85" i="4"/>
  <c r="CP85" i="4"/>
  <c r="CS85" i="4"/>
  <c r="CO104" i="4"/>
  <c r="CP104" i="4"/>
  <c r="CN104" i="4"/>
  <c r="CQ104" i="4"/>
  <c r="CP111" i="4"/>
  <c r="CQ111" i="4"/>
  <c r="CN111" i="4"/>
  <c r="CO111" i="4"/>
  <c r="CQ102" i="4"/>
  <c r="CN102" i="4"/>
  <c r="CO102" i="4"/>
  <c r="CP102" i="4"/>
  <c r="CQ106" i="4"/>
  <c r="CN106" i="4"/>
  <c r="CO106" i="4"/>
  <c r="CP106" i="4"/>
  <c r="CP108" i="4"/>
  <c r="CO108" i="4"/>
  <c r="CQ108" i="4"/>
  <c r="CN108" i="4"/>
  <c r="CU83" i="4" a="1"/>
  <c r="CU83" i="4" s="1"/>
  <c r="CU71" i="4" a="1"/>
  <c r="CU71" i="4" s="1"/>
  <c r="CQ83" i="4"/>
  <c r="CP68" i="4"/>
  <c r="CP71" i="4"/>
  <c r="CR108" i="4"/>
  <c r="CU108" i="4" a="1"/>
  <c r="CU108" i="4" s="1"/>
  <c r="CS108" i="4"/>
  <c r="CS111" i="4"/>
  <c r="CU111" i="4" a="1"/>
  <c r="CU111" i="4" s="1"/>
  <c r="CR111" i="4"/>
  <c r="CR103" i="4"/>
  <c r="CU103" i="4" a="1"/>
  <c r="CU103" i="4" s="1"/>
  <c r="CS103" i="4"/>
  <c r="CR106" i="4"/>
  <c r="CS106" i="4"/>
  <c r="CU106" i="4" a="1"/>
  <c r="CU106" i="4" s="1"/>
  <c r="CS110" i="4"/>
  <c r="CU110" i="4" a="1"/>
  <c r="CU110" i="4" s="1"/>
  <c r="CR110" i="4"/>
  <c r="CS102" i="4"/>
  <c r="CU102" i="4" a="1"/>
  <c r="CU102" i="4" s="1"/>
  <c r="CR102" i="4"/>
  <c r="CS105" i="4"/>
  <c r="CR105" i="4"/>
  <c r="CU105" i="4" a="1"/>
  <c r="CU105" i="4" s="1"/>
  <c r="CR109" i="4"/>
  <c r="CS109" i="4"/>
  <c r="CU109" i="4" a="1"/>
  <c r="CU109" i="4" s="1"/>
  <c r="CR85" i="4"/>
  <c r="CS101" i="4"/>
  <c r="CU101" i="4" a="1"/>
  <c r="CU101" i="4" s="1"/>
  <c r="CR101" i="4"/>
  <c r="CR104" i="4"/>
  <c r="CU104" i="4" a="1"/>
  <c r="CU104" i="4" s="1"/>
  <c r="CS104" i="4"/>
  <c r="CO83" i="4"/>
  <c r="CN71" i="4"/>
  <c r="CP83" i="4"/>
  <c r="CO71" i="4"/>
  <c r="CP12" i="4"/>
  <c r="CO12" i="4"/>
  <c r="CQ66" i="4"/>
  <c r="CP66" i="4"/>
  <c r="CQ77" i="4"/>
  <c r="CR77" i="4"/>
  <c r="CN77" i="4"/>
  <c r="CO77" i="4"/>
  <c r="CQ12" i="4"/>
  <c r="CU92" i="4" a="1"/>
  <c r="CU92" i="4" s="1"/>
  <c r="CN66" i="4"/>
  <c r="CQ92" i="4"/>
  <c r="CU66" i="4" a="1"/>
  <c r="CU66" i="4" s="1"/>
  <c r="CS53" i="4"/>
  <c r="CN92" i="4"/>
  <c r="CP79" i="4"/>
  <c r="CO79" i="4"/>
  <c r="CQ79" i="4"/>
  <c r="CR79" i="4"/>
  <c r="CO53" i="4"/>
  <c r="CO92" i="4"/>
  <c r="CQ53" i="4"/>
  <c r="CP53" i="4"/>
  <c r="CR94" i="4"/>
  <c r="CN48" i="4"/>
  <c r="CR65" i="4"/>
  <c r="CR86" i="4"/>
  <c r="CQ80" i="4"/>
  <c r="CU93" i="4" a="1"/>
  <c r="CU93" i="4" s="1"/>
  <c r="CR80" i="4"/>
  <c r="CP48" i="4"/>
  <c r="CN87" i="4"/>
  <c r="CP80" i="4"/>
  <c r="CP98" i="4"/>
  <c r="G41" i="41" s="1"/>
  <c r="CO80" i="4"/>
  <c r="CS79" i="4"/>
  <c r="CQ98" i="4"/>
  <c r="H41" i="43" s="1"/>
  <c r="CU64" i="4" a="1"/>
  <c r="CU64" i="4" s="1"/>
  <c r="CU79" i="4" a="1"/>
  <c r="CU79" i="4" s="1"/>
  <c r="CS64" i="4"/>
  <c r="CU88" i="4" a="1"/>
  <c r="CU88" i="4" s="1"/>
  <c r="CN93" i="4"/>
  <c r="CQ88" i="4"/>
  <c r="CQ30" i="4"/>
  <c r="CO94" i="4"/>
  <c r="CQ94" i="4"/>
  <c r="CQ69" i="4"/>
  <c r="CP94" i="4"/>
  <c r="CN75" i="4"/>
  <c r="CR98" i="4"/>
  <c r="CP93" i="4"/>
  <c r="CN65" i="4"/>
  <c r="CP69" i="4"/>
  <c r="CQ93" i="4"/>
  <c r="CQ75" i="4"/>
  <c r="CN47" i="4"/>
  <c r="CO59" i="4"/>
  <c r="CN59" i="4"/>
  <c r="CN13" i="4"/>
  <c r="CO30" i="4"/>
  <c r="CS59" i="4"/>
  <c r="CS75" i="4"/>
  <c r="CP88" i="4"/>
  <c r="CR69" i="4"/>
  <c r="CU74" i="4" a="1"/>
  <c r="CU74" i="4" s="1"/>
  <c r="CN88" i="4"/>
  <c r="CN98" i="4"/>
  <c r="E41" i="41" s="1"/>
  <c r="CN69" i="4"/>
  <c r="CU81" i="4" a="1"/>
  <c r="CU81" i="4" s="1"/>
  <c r="CN81" i="4"/>
  <c r="CQ81" i="4"/>
  <c r="CU99" i="4" a="1"/>
  <c r="CU99" i="4" s="1"/>
  <c r="CO81" i="4"/>
  <c r="CQ47" i="4"/>
  <c r="CO47" i="4"/>
  <c r="CR81" i="4"/>
  <c r="CQ59" i="4"/>
  <c r="CO75" i="4"/>
  <c r="CS81" i="4"/>
  <c r="CU76" i="4" a="1"/>
  <c r="CU76" i="4" s="1"/>
  <c r="CU85" i="4" a="1"/>
  <c r="CU85" i="4" s="1"/>
  <c r="CO65" i="4"/>
  <c r="CP67" i="4"/>
  <c r="CQ67" i="4"/>
  <c r="CR70" i="4"/>
  <c r="CU67" i="4" a="1"/>
  <c r="CU67" i="4" s="1"/>
  <c r="CN74" i="4"/>
  <c r="CQ99" i="4"/>
  <c r="CN76" i="4"/>
  <c r="CO76" i="4"/>
  <c r="CP76" i="4"/>
  <c r="CO67" i="4"/>
  <c r="CO86" i="4"/>
  <c r="I96" i="42"/>
  <c r="CN84" i="4"/>
  <c r="CR84" i="4"/>
  <c r="CQ84" i="4"/>
  <c r="CQ73" i="4"/>
  <c r="CN78" i="4"/>
  <c r="CO84" i="4"/>
  <c r="CU78" i="4" a="1"/>
  <c r="CU78" i="4" s="1"/>
  <c r="CR72" i="4"/>
  <c r="CP65" i="4"/>
  <c r="CQ86" i="4"/>
  <c r="CO78" i="4"/>
  <c r="CP86" i="4"/>
  <c r="CP78" i="4"/>
  <c r="CU60" i="4" a="1"/>
  <c r="CU60" i="4" s="1"/>
  <c r="CO87" i="4"/>
  <c r="CN40" i="4"/>
  <c r="CP87" i="4"/>
  <c r="CQ48" i="4"/>
  <c r="CQ40" i="4"/>
  <c r="CR87" i="4"/>
  <c r="CS87" i="4"/>
  <c r="CS80" i="4"/>
  <c r="CQ74" i="4"/>
  <c r="CN30" i="4"/>
  <c r="CO74" i="4"/>
  <c r="CO60" i="4"/>
  <c r="CN70" i="4"/>
  <c r="CS77" i="4"/>
  <c r="CN60" i="4"/>
  <c r="CO70" i="4"/>
  <c r="CN37" i="4"/>
  <c r="CP60" i="4"/>
  <c r="CP70" i="4"/>
  <c r="CQ15" i="4"/>
  <c r="CU65" i="4" a="1"/>
  <c r="CU65" i="4" s="1"/>
  <c r="CO37" i="4"/>
  <c r="CR73" i="4"/>
  <c r="CN90" i="4"/>
  <c r="CN55" i="4"/>
  <c r="CN11" i="4"/>
  <c r="CO15" i="4"/>
  <c r="CR90" i="4"/>
  <c r="CR88" i="4"/>
  <c r="CO90" i="4"/>
  <c r="CO55" i="4"/>
  <c r="CR76" i="4"/>
  <c r="CP11" i="4"/>
  <c r="CP15" i="4"/>
  <c r="CO73" i="4"/>
  <c r="CQ90" i="4"/>
  <c r="CP55" i="4"/>
  <c r="CO99" i="4"/>
  <c r="CQ11" i="4"/>
  <c r="CO21" i="4"/>
  <c r="CN73" i="4"/>
  <c r="CR92" i="4"/>
  <c r="CN99" i="4"/>
  <c r="CN26" i="4"/>
  <c r="CP37" i="4"/>
  <c r="G34" i="43" s="1"/>
  <c r="CQ50" i="4"/>
  <c r="CU55" i="4" a="1"/>
  <c r="CU55" i="4" s="1"/>
  <c r="CS65" i="4"/>
  <c r="CS66" i="4"/>
  <c r="CR74" i="4"/>
  <c r="CU90" i="4" a="1"/>
  <c r="CU90" i="4" s="1"/>
  <c r="CS83" i="4"/>
  <c r="CS94" i="4"/>
  <c r="CS78" i="4"/>
  <c r="CR60" i="4"/>
  <c r="CR67" i="4"/>
  <c r="CS68" i="4"/>
  <c r="CS71" i="4"/>
  <c r="CR75" i="4"/>
  <c r="CP13" i="4"/>
  <c r="CS90" i="4"/>
  <c r="CU86" i="4" a="1"/>
  <c r="CU86" i="4" s="1"/>
  <c r="CU94" i="4" a="1"/>
  <c r="CU94" i="4" s="1"/>
  <c r="CR99" i="4"/>
  <c r="CU98" i="4" a="1"/>
  <c r="CU98" i="4" s="1"/>
  <c r="CU68" i="4" a="1"/>
  <c r="CU68" i="4" s="1"/>
  <c r="CU69" i="4" a="1"/>
  <c r="CU69" i="4" s="1"/>
  <c r="CQ13" i="4"/>
  <c r="CO50" i="4"/>
  <c r="CR93" i="4"/>
  <c r="CS72" i="4"/>
  <c r="CR53" i="4"/>
  <c r="CU80" i="4" a="1"/>
  <c r="CU80" i="4" s="1"/>
  <c r="CR59" i="4"/>
  <c r="CS86" i="4"/>
  <c r="CS67" i="4"/>
  <c r="CS98" i="4"/>
  <c r="CR71" i="4"/>
  <c r="CS69" i="4"/>
  <c r="CP20" i="4"/>
  <c r="CS88" i="4"/>
  <c r="CR52" i="4"/>
  <c r="CS73" i="4"/>
  <c r="CU77" i="4" a="1"/>
  <c r="CU77" i="4" s="1"/>
  <c r="CS76" i="4"/>
  <c r="CS60" i="4"/>
  <c r="CS70" i="4"/>
  <c r="CS93" i="4"/>
  <c r="CR66" i="4"/>
  <c r="CS74" i="4"/>
  <c r="CU73" i="4" a="1"/>
  <c r="CU73" i="4" s="1"/>
  <c r="CR83" i="4"/>
  <c r="CR55" i="4"/>
  <c r="CS92" i="4"/>
  <c r="CR78" i="4"/>
  <c r="CS84" i="4"/>
  <c r="CU70" i="4" a="1"/>
  <c r="CU70" i="4" s="1"/>
  <c r="CU53" i="4" a="1"/>
  <c r="CU53" i="4" s="1"/>
  <c r="CU59" i="4" a="1"/>
  <c r="CU59" i="4" s="1"/>
  <c r="CU75" i="4" a="1"/>
  <c r="CU75" i="4" s="1"/>
  <c r="CU84" i="4" a="1"/>
  <c r="CU84" i="4" s="1"/>
  <c r="CU87" i="4" a="1"/>
  <c r="CU87" i="4" s="1"/>
  <c r="CS52" i="4"/>
  <c r="CS55" i="4"/>
  <c r="CS99" i="4"/>
  <c r="CN14" i="4"/>
  <c r="CN17" i="4"/>
  <c r="CP33" i="4"/>
  <c r="CP40" i="4"/>
  <c r="CP21" i="4"/>
  <c r="CQ21" i="4"/>
  <c r="CO17" i="4"/>
  <c r="CP14" i="4"/>
  <c r="U84" i="42"/>
  <c r="CN23" i="4"/>
  <c r="CP17" i="4"/>
  <c r="CO35" i="4"/>
  <c r="CN35" i="4"/>
  <c r="CP26" i="4"/>
  <c r="CP35" i="4"/>
  <c r="CQ26" i="4"/>
  <c r="I90" i="42"/>
  <c r="L60" i="42"/>
  <c r="AA27" i="42"/>
  <c r="I30" i="42"/>
  <c r="I24" i="42"/>
  <c r="AR24" i="42"/>
  <c r="AC39" i="42"/>
  <c r="AJ45" i="42"/>
  <c r="E84" i="42"/>
  <c r="AP30" i="42"/>
  <c r="E36" i="42"/>
  <c r="J54" i="42"/>
  <c r="I60" i="42"/>
  <c r="S99" i="42"/>
  <c r="G48" i="42"/>
  <c r="AP90" i="42"/>
  <c r="E99" i="42"/>
  <c r="CQ44" i="4"/>
  <c r="CN20" i="4"/>
  <c r="CQ20" i="4"/>
  <c r="CP23" i="4"/>
  <c r="CQ23" i="4"/>
  <c r="CN51" i="4"/>
  <c r="CP51" i="4"/>
  <c r="CP44" i="4"/>
  <c r="CN44" i="4"/>
  <c r="CO51" i="4"/>
  <c r="CS32" i="4"/>
  <c r="CS31" i="4"/>
  <c r="CQ31" i="4"/>
  <c r="CO14" i="4"/>
  <c r="CN31" i="4"/>
  <c r="CQ22" i="4"/>
  <c r="CP22" i="4"/>
  <c r="CO31" i="4"/>
  <c r="CN46" i="4"/>
  <c r="CP16" i="4"/>
  <c r="CN16" i="4"/>
  <c r="CO46" i="4"/>
  <c r="CO16" i="4"/>
  <c r="CP34" i="4"/>
  <c r="CQ34" i="4"/>
  <c r="CO34" i="4"/>
  <c r="CO10" i="4"/>
  <c r="CQ10" i="4"/>
  <c r="CN22" i="4"/>
  <c r="CN10" i="4"/>
  <c r="CQ46" i="4"/>
  <c r="CO19" i="4"/>
  <c r="CO41" i="4"/>
  <c r="CQ19" i="4"/>
  <c r="CQ41" i="4"/>
  <c r="CN19" i="4"/>
  <c r="CP41" i="4"/>
  <c r="CQ45" i="4"/>
  <c r="CN45" i="4"/>
  <c r="CP45" i="4"/>
  <c r="CS33" i="4"/>
  <c r="CO33" i="4"/>
  <c r="CQ33" i="4"/>
  <c r="U15" i="42"/>
  <c r="CN49" i="4"/>
  <c r="CQ49" i="4"/>
  <c r="CP49" i="4"/>
  <c r="CO49" i="4"/>
  <c r="CQ18" i="4"/>
  <c r="CP18" i="4"/>
  <c r="CN18" i="4"/>
  <c r="CO18" i="4"/>
  <c r="CN42" i="4"/>
  <c r="CQ42" i="4"/>
  <c r="CP42" i="4"/>
  <c r="CO42" i="4"/>
  <c r="CO32" i="4"/>
  <c r="CP32" i="4"/>
  <c r="CN32" i="4"/>
  <c r="CQ32" i="4"/>
  <c r="CS19" i="4"/>
  <c r="CR19" i="4"/>
  <c r="CR22" i="4"/>
  <c r="CS22" i="4"/>
  <c r="CS30" i="4"/>
  <c r="CR30" i="4"/>
  <c r="CR15" i="4"/>
  <c r="CS15" i="4"/>
  <c r="CS18" i="4"/>
  <c r="CR18" i="4"/>
  <c r="CR11" i="4"/>
  <c r="CS11" i="4"/>
  <c r="CS14" i="4"/>
  <c r="CR14" i="4"/>
  <c r="CR20" i="4"/>
  <c r="CS20" i="4"/>
  <c r="CR10" i="4"/>
  <c r="CS10" i="4"/>
  <c r="CS21" i="4"/>
  <c r="CR21" i="4"/>
  <c r="CR17" i="4"/>
  <c r="CS17" i="4"/>
  <c r="CS13" i="4"/>
  <c r="CR13" i="4"/>
  <c r="CR12" i="4"/>
  <c r="CS12" i="4"/>
  <c r="CS16" i="4"/>
  <c r="CR16" i="4"/>
  <c r="CS23" i="4"/>
  <c r="CR23" i="4"/>
  <c r="CR26" i="4"/>
  <c r="CS26" i="4"/>
  <c r="CR31" i="4"/>
  <c r="CU31" i="4" a="1"/>
  <c r="CU31" i="4" s="1"/>
  <c r="CU30" i="4" a="1"/>
  <c r="CU30" i="4" s="1"/>
  <c r="CR50" i="4"/>
  <c r="CS50" i="4"/>
  <c r="CU50" i="4" a="1"/>
  <c r="CU50" i="4" s="1"/>
  <c r="CR42" i="4"/>
  <c r="CS42" i="4"/>
  <c r="CU42" i="4" a="1"/>
  <c r="CU42" i="4" s="1"/>
  <c r="CR32" i="4"/>
  <c r="CU32" i="4" a="1"/>
  <c r="CU32" i="4" s="1"/>
  <c r="CU51" i="4" a="1"/>
  <c r="CU51" i="4" s="1"/>
  <c r="CS51" i="4"/>
  <c r="CR51" i="4"/>
  <c r="CR47" i="4"/>
  <c r="CU47" i="4" a="1"/>
  <c r="CU47" i="4" s="1"/>
  <c r="CS47" i="4"/>
  <c r="CR49" i="4"/>
  <c r="CU49" i="4" a="1"/>
  <c r="CU49" i="4" s="1"/>
  <c r="CS49" i="4"/>
  <c r="CU48" i="4" a="1"/>
  <c r="CU48" i="4" s="1"/>
  <c r="CS48" i="4"/>
  <c r="CR48" i="4"/>
  <c r="CS45" i="4"/>
  <c r="CR45" i="4"/>
  <c r="CU45" i="4" a="1"/>
  <c r="CU45" i="4" s="1"/>
  <c r="CU44" i="4" a="1"/>
  <c r="CU44" i="4" s="1"/>
  <c r="CS44" i="4"/>
  <c r="CR44" i="4"/>
  <c r="CU37" i="4" a="1"/>
  <c r="CU37" i="4" s="1"/>
  <c r="CS37" i="4"/>
  <c r="CR37" i="4"/>
  <c r="CS46" i="4"/>
  <c r="CR46" i="4"/>
  <c r="CU46" i="4" a="1"/>
  <c r="CU46" i="4" s="1"/>
  <c r="CS36" i="4"/>
  <c r="CR36" i="4"/>
  <c r="CU36" i="4" a="1"/>
  <c r="CU36" i="4" s="1"/>
  <c r="CR41" i="4"/>
  <c r="CS41" i="4"/>
  <c r="CU41" i="4" a="1"/>
  <c r="CU41" i="4" s="1"/>
  <c r="CR40" i="4"/>
  <c r="CS40" i="4"/>
  <c r="CU40" i="4" a="1"/>
  <c r="CU40" i="4" s="1"/>
  <c r="CU33" i="4" a="1"/>
  <c r="CU33" i="4" s="1"/>
  <c r="CR33" i="4"/>
  <c r="CU23" i="4" a="1"/>
  <c r="CU23" i="4" s="1"/>
  <c r="CS35" i="4"/>
  <c r="CR35" i="4"/>
  <c r="CU35" i="4" a="1"/>
  <c r="CU35" i="4" s="1"/>
  <c r="CU34" i="4" a="1"/>
  <c r="CU34" i="4" s="1"/>
  <c r="CS34" i="4"/>
  <c r="CR34" i="4"/>
  <c r="CU26" i="4" a="1"/>
  <c r="CU26" i="4" s="1"/>
  <c r="CU21" i="4" a="1"/>
  <c r="CU21" i="4" s="1"/>
  <c r="CU17" i="4" a="1"/>
  <c r="CU17" i="4" s="1"/>
  <c r="CU13" i="4" a="1"/>
  <c r="CU13" i="4" s="1"/>
  <c r="CU12" i="4" a="1"/>
  <c r="CU12" i="4" s="1"/>
  <c r="CU16" i="4" a="1"/>
  <c r="CU16" i="4" s="1"/>
  <c r="CU19" i="4" a="1"/>
  <c r="CU19" i="4" s="1"/>
  <c r="CU22" i="4" a="1"/>
  <c r="CU22" i="4" s="1"/>
  <c r="CU15" i="4" a="1"/>
  <c r="CU15" i="4" s="1"/>
  <c r="CU18" i="4" a="1"/>
  <c r="CU18" i="4" s="1"/>
  <c r="CU11" i="4" a="1"/>
  <c r="CU11" i="4" s="1"/>
  <c r="CU14" i="4" a="1"/>
  <c r="CU14" i="4" s="1"/>
  <c r="CU20" i="4" a="1"/>
  <c r="CU20" i="4" s="1"/>
  <c r="CU10" i="4" a="1"/>
  <c r="CU10" i="4" s="1"/>
  <c r="R15" i="42"/>
  <c r="AR36" i="42"/>
  <c r="P21" i="42"/>
  <c r="E21" i="42"/>
  <c r="E33" i="42"/>
  <c r="G57" i="42"/>
  <c r="S75" i="42"/>
  <c r="M87" i="42"/>
  <c r="Z90" i="42"/>
  <c r="E93" i="42"/>
  <c r="AM93" i="42"/>
  <c r="J84" i="42"/>
  <c r="AN84" i="42"/>
  <c r="AD87" i="42"/>
  <c r="L48" i="42"/>
  <c r="I99" i="42"/>
  <c r="S48" i="42"/>
  <c r="AL57" i="42"/>
  <c r="AC9" i="42"/>
  <c r="L21" i="42"/>
  <c r="AQ21" i="42"/>
  <c r="AN39" i="42"/>
  <c r="AQ51" i="42"/>
  <c r="V69" i="42"/>
  <c r="I93" i="42"/>
  <c r="Z102" i="42"/>
  <c r="AD54" i="42"/>
  <c r="O57" i="42"/>
  <c r="AG69" i="42"/>
  <c r="T99" i="42"/>
  <c r="X15" i="42"/>
  <c r="AF39" i="42"/>
  <c r="AF45" i="42"/>
  <c r="V90" i="42"/>
  <c r="I18" i="42"/>
  <c r="AF54" i="42"/>
  <c r="R57" i="42"/>
  <c r="M93" i="42"/>
  <c r="S57" i="42"/>
  <c r="R84" i="42"/>
  <c r="AL87" i="42"/>
  <c r="M18" i="42"/>
  <c r="G9" i="42"/>
  <c r="AI36" i="42"/>
  <c r="F54" i="42"/>
  <c r="V57" i="42"/>
  <c r="AC69" i="42"/>
  <c r="AK90" i="42"/>
  <c r="AP87" i="42"/>
  <c r="E96" i="42"/>
  <c r="AJ9" i="42"/>
  <c r="Q15" i="42"/>
  <c r="H47" i="43"/>
  <c r="F41" i="43"/>
  <c r="AI96" i="42"/>
  <c r="AO87" i="42"/>
  <c r="AM51" i="42"/>
  <c r="AG90" i="42"/>
  <c r="G47" i="41"/>
  <c r="G47" i="43"/>
  <c r="H47" i="41"/>
  <c r="F41" i="41"/>
  <c r="H34" i="41"/>
  <c r="AH9" i="42"/>
  <c r="AP57" i="42"/>
  <c r="AA60" i="42"/>
  <c r="V102" i="42"/>
  <c r="K57" i="42"/>
  <c r="AJ39" i="42"/>
  <c r="AC90" i="42"/>
  <c r="AP33" i="42"/>
  <c r="F75" i="42"/>
  <c r="N84" i="42"/>
  <c r="AR84" i="42"/>
  <c r="AH87" i="42"/>
  <c r="AN42" i="42"/>
  <c r="AM21" i="42"/>
  <c r="AG54" i="42"/>
  <c r="H21" i="42"/>
  <c r="AR99" i="42"/>
  <c r="K102" i="42"/>
  <c r="V15" i="42"/>
  <c r="AF9" i="42"/>
  <c r="S36" i="42"/>
  <c r="AC54" i="42"/>
  <c r="N57" i="42"/>
  <c r="AB36" i="42"/>
  <c r="L99" i="42"/>
  <c r="I42" i="42"/>
  <c r="W45" i="42"/>
  <c r="AK87" i="42"/>
  <c r="J36" i="42"/>
  <c r="AN36" i="42"/>
  <c r="AB60" i="42"/>
  <c r="M99" i="42"/>
  <c r="Q87" i="42"/>
  <c r="V36" i="42"/>
  <c r="G69" i="42"/>
  <c r="AK69" i="42"/>
  <c r="X99" i="42"/>
  <c r="R66" i="42"/>
  <c r="I33" i="42"/>
  <c r="AI84" i="42"/>
  <c r="I15" i="42"/>
  <c r="AR15" i="42"/>
  <c r="AG87" i="42"/>
  <c r="F36" i="42"/>
  <c r="AJ36" i="42"/>
  <c r="AJ99" i="42"/>
  <c r="AO51" i="42"/>
  <c r="H99" i="42"/>
  <c r="E42" i="42"/>
  <c r="Q33" i="42"/>
  <c r="X93" i="42"/>
  <c r="Z87" i="42"/>
  <c r="T21" i="42"/>
  <c r="AJ102" i="42"/>
  <c r="E39" i="42"/>
  <c r="U87" i="42"/>
  <c r="X21" i="42"/>
  <c r="M33" i="42"/>
  <c r="AN60" i="42"/>
  <c r="AA63" i="42"/>
  <c r="AD75" i="42"/>
  <c r="M84" i="42"/>
  <c r="AQ84" i="42"/>
  <c r="Y87" i="42"/>
  <c r="T93" i="42"/>
  <c r="AC36" i="42"/>
  <c r="W57" i="42"/>
  <c r="AO60" i="42"/>
  <c r="K69" i="42"/>
  <c r="AB99" i="42"/>
  <c r="AK51" i="42"/>
  <c r="AM36" i="42"/>
  <c r="AA57" i="42"/>
  <c r="O69" i="42"/>
  <c r="N87" i="42"/>
  <c r="AF99" i="42"/>
  <c r="I84" i="42"/>
  <c r="Q18" i="42"/>
  <c r="I36" i="42"/>
  <c r="N54" i="42"/>
  <c r="AD57" i="42"/>
  <c r="AR54" i="42"/>
  <c r="R87" i="42"/>
  <c r="AD90" i="42"/>
  <c r="AQ24" i="42"/>
  <c r="Z57" i="42"/>
  <c r="AO90" i="42"/>
  <c r="M21" i="42"/>
  <c r="W99" i="42"/>
  <c r="AE57" i="42"/>
  <c r="AG15" i="42"/>
  <c r="R9" i="42"/>
  <c r="R54" i="42"/>
  <c r="AN69" i="42"/>
  <c r="Y84" i="42"/>
  <c r="AQ96" i="42"/>
  <c r="AA99" i="42"/>
  <c r="AM45" i="42"/>
  <c r="E63" i="42"/>
  <c r="V87" i="42"/>
  <c r="W75" i="42"/>
  <c r="AM84" i="42"/>
  <c r="L24" i="42"/>
  <c r="AM96" i="42"/>
  <c r="AK15" i="42"/>
  <c r="K9" i="42"/>
  <c r="F27" i="42"/>
  <c r="AI27" i="42"/>
  <c r="Q30" i="42"/>
  <c r="E45" i="42"/>
  <c r="V54" i="42"/>
  <c r="AR69" i="42"/>
  <c r="AB84" i="42"/>
  <c r="AE99" i="42"/>
  <c r="AK39" i="42"/>
  <c r="I45" i="42"/>
  <c r="AL90" i="42"/>
  <c r="L18" i="42"/>
  <c r="P18" i="42"/>
  <c r="AH30" i="42"/>
  <c r="L63" i="42"/>
  <c r="H33" i="42"/>
  <c r="AM99" i="42"/>
  <c r="AL75" i="42"/>
  <c r="AL48" i="42"/>
  <c r="X45" i="42"/>
  <c r="AN99" i="42"/>
  <c r="S45" i="42"/>
  <c r="Y60" i="42"/>
  <c r="Y21" i="42"/>
  <c r="F24" i="42"/>
  <c r="AK24" i="42"/>
  <c r="W27" i="42"/>
  <c r="AR42" i="42"/>
  <c r="F21" i="42"/>
  <c r="AK21" i="42"/>
  <c r="Q24" i="42"/>
  <c r="AO54" i="42"/>
  <c r="AI60" i="42"/>
  <c r="AG51" i="42"/>
  <c r="AQ36" i="42"/>
  <c r="Y36" i="42"/>
  <c r="Q63" i="42"/>
  <c r="I9" i="42"/>
  <c r="G75" i="42"/>
  <c r="U24" i="42"/>
  <c r="H27" i="42"/>
  <c r="I39" i="42"/>
  <c r="AM75" i="42"/>
  <c r="S102" i="42"/>
  <c r="V27" i="42"/>
  <c r="AK30" i="42"/>
  <c r="AN54" i="42"/>
  <c r="AF51" i="42"/>
  <c r="X60" i="42"/>
  <c r="U21" i="42"/>
  <c r="AG24" i="42"/>
  <c r="S27" i="42"/>
  <c r="AJ63" i="42"/>
  <c r="U51" i="42"/>
  <c r="Z75" i="42"/>
  <c r="AA21" i="42"/>
  <c r="O102" i="42"/>
  <c r="AE24" i="42"/>
  <c r="X36" i="42"/>
  <c r="K33" i="42"/>
  <c r="AP99" i="42"/>
  <c r="AK48" i="42"/>
  <c r="P51" i="42"/>
  <c r="AK60" i="42"/>
  <c r="J75" i="42"/>
  <c r="V63" i="42"/>
  <c r="AK75" i="42"/>
  <c r="AH60" i="42"/>
  <c r="AG21" i="42"/>
  <c r="O51" i="42"/>
  <c r="AE96" i="42"/>
  <c r="AJ24" i="42"/>
  <c r="AJ21" i="42"/>
  <c r="Q66" i="42"/>
  <c r="AJ42" i="42"/>
  <c r="AQ63" i="42"/>
  <c r="I75" i="42"/>
  <c r="N63" i="42"/>
  <c r="AL42" i="42"/>
  <c r="AG48" i="42"/>
  <c r="AI54" i="42"/>
  <c r="U63" i="42"/>
  <c r="J63" i="42"/>
  <c r="AF21" i="42"/>
  <c r="H63" i="42"/>
  <c r="F84" i="42"/>
  <c r="AF42" i="42"/>
  <c r="Z54" i="42"/>
  <c r="H69" i="42"/>
  <c r="AI99" i="42"/>
  <c r="AP93" i="42"/>
  <c r="AH48" i="42"/>
  <c r="Y9" i="42"/>
  <c r="AO15" i="42"/>
  <c r="J21" i="42"/>
  <c r="M66" i="42"/>
  <c r="T45" i="42"/>
  <c r="V60" i="42"/>
  <c r="E15" i="42"/>
  <c r="N15" i="42"/>
  <c r="AH75" i="42"/>
  <c r="Q84" i="42"/>
  <c r="AC87" i="42"/>
  <c r="AF36" i="42"/>
  <c r="P24" i="42"/>
  <c r="U33" i="42"/>
  <c r="H42" i="42"/>
  <c r="AB51" i="42"/>
  <c r="S69" i="42"/>
  <c r="Q21" i="42"/>
  <c r="AC24" i="42"/>
  <c r="J96" i="42"/>
  <c r="AB39" i="42"/>
  <c r="AH57" i="42"/>
  <c r="Q51" i="42"/>
  <c r="L9" i="42"/>
  <c r="W18" i="42"/>
  <c r="AG30" i="42"/>
  <c r="AJ54" i="42"/>
  <c r="AB21" i="42"/>
  <c r="AQ72" i="42"/>
  <c r="AE51" i="42"/>
  <c r="F9" i="42"/>
  <c r="E75" i="42"/>
  <c r="U36" i="42"/>
  <c r="P45" i="42"/>
  <c r="AH18" i="42"/>
  <c r="X33" i="42"/>
  <c r="AN33" i="42"/>
  <c r="AE9" i="42"/>
  <c r="P48" i="42"/>
  <c r="N96" i="42"/>
  <c r="X9" i="42"/>
  <c r="AD48" i="42"/>
  <c r="AJ60" i="42"/>
  <c r="AM63" i="42"/>
  <c r="AF24" i="42"/>
  <c r="X48" i="42"/>
  <c r="R63" i="42"/>
  <c r="AF63" i="42"/>
  <c r="R36" i="42"/>
  <c r="Z45" i="42"/>
  <c r="AA51" i="42"/>
  <c r="AR90" i="42"/>
  <c r="M36" i="42"/>
  <c r="AO48" i="42"/>
  <c r="T51" i="42"/>
  <c r="AJ51" i="42"/>
  <c r="AA75" i="42"/>
  <c r="AF96" i="42"/>
  <c r="AQ99" i="42"/>
  <c r="AL30" i="42"/>
  <c r="Z36" i="42"/>
  <c r="AP48" i="42"/>
  <c r="AO39" i="42"/>
  <c r="W51" i="42"/>
  <c r="AR48" i="42"/>
  <c r="X51" i="42"/>
  <c r="AE60" i="42"/>
  <c r="AR60" i="42"/>
  <c r="P99" i="42"/>
  <c r="AC21" i="42"/>
  <c r="Q45" i="42"/>
  <c r="AO72" i="42"/>
  <c r="Q99" i="42"/>
  <c r="AB24" i="42"/>
  <c r="K27" i="42"/>
  <c r="O63" i="42"/>
  <c r="AR63" i="42"/>
  <c r="AC51" i="42"/>
  <c r="AK54" i="42"/>
  <c r="AF60" i="42"/>
  <c r="K63" i="42"/>
  <c r="AN63" i="42"/>
  <c r="AB48" i="42"/>
  <c r="Y51" i="42"/>
  <c r="O60" i="42"/>
  <c r="R102" i="42"/>
  <c r="Q36" i="42"/>
  <c r="H39" i="42"/>
  <c r="Y24" i="42"/>
  <c r="L27" i="42"/>
  <c r="Y96" i="42"/>
  <c r="Q102" i="42"/>
  <c r="AA15" i="42"/>
  <c r="P27" i="42"/>
  <c r="H48" i="42"/>
  <c r="AD66" i="42"/>
  <c r="N72" i="42"/>
  <c r="AD72" i="42"/>
  <c r="P78" i="42"/>
  <c r="AF78" i="42"/>
  <c r="N81" i="42"/>
  <c r="AD81" i="42"/>
  <c r="J90" i="42"/>
  <c r="AA93" i="42"/>
  <c r="Z96" i="42"/>
  <c r="H34" i="43"/>
  <c r="V48" i="42"/>
  <c r="N102" i="42"/>
  <c r="AC102" i="42"/>
  <c r="AH66" i="42"/>
  <c r="R72" i="42"/>
  <c r="AH72" i="42"/>
  <c r="T78" i="42"/>
  <c r="AJ78" i="42"/>
  <c r="R81" i="42"/>
  <c r="AH81" i="42"/>
  <c r="N90" i="42"/>
  <c r="P93" i="42"/>
  <c r="AE93" i="42"/>
  <c r="AI78" i="42"/>
  <c r="Q81" i="42"/>
  <c r="AG81" i="42"/>
  <c r="Z93" i="42"/>
  <c r="AE15" i="42"/>
  <c r="F51" i="42"/>
  <c r="J102" i="42"/>
  <c r="V96" i="42"/>
  <c r="O21" i="42"/>
  <c r="AE21" i="42"/>
  <c r="S24" i="42"/>
  <c r="AI24" i="42"/>
  <c r="L36" i="42"/>
  <c r="AQ39" i="42"/>
  <c r="F102" i="42"/>
  <c r="AJ30" i="42"/>
  <c r="S51" i="42"/>
  <c r="AI51" i="42"/>
  <c r="I87" i="42"/>
  <c r="E51" i="42"/>
  <c r="R90" i="42"/>
  <c r="AI93" i="42"/>
  <c r="R96" i="42"/>
  <c r="AP42" i="42"/>
  <c r="W48" i="42"/>
  <c r="AJ48" i="42"/>
  <c r="AQ60" i="42"/>
  <c r="AE63" i="42"/>
  <c r="E24" i="42"/>
  <c r="AN24" i="42"/>
  <c r="F90" i="42"/>
  <c r="F72" i="42"/>
  <c r="V72" i="42"/>
  <c r="AL72" i="42"/>
  <c r="H78" i="42"/>
  <c r="X78" i="42"/>
  <c r="AN78" i="42"/>
  <c r="F81" i="42"/>
  <c r="V81" i="42"/>
  <c r="AL81" i="42"/>
  <c r="N9" i="42"/>
  <c r="V18" i="42"/>
  <c r="Y48" i="42"/>
  <c r="S60" i="42"/>
  <c r="K75" i="42"/>
  <c r="X75" i="42"/>
  <c r="N51" i="42"/>
  <c r="Z66" i="42"/>
  <c r="AP66" i="42"/>
  <c r="J72" i="42"/>
  <c r="Z72" i="42"/>
  <c r="AQ75" i="42"/>
  <c r="L78" i="42"/>
  <c r="AB78" i="42"/>
  <c r="AR78" i="42"/>
  <c r="J81" i="42"/>
  <c r="Z81" i="42"/>
  <c r="AP81" i="42"/>
  <c r="AN48" i="42"/>
  <c r="AQ54" i="42"/>
  <c r="AD60" i="42"/>
  <c r="AI63" i="42"/>
  <c r="AN30" i="42"/>
  <c r="O39" i="42"/>
  <c r="AE33" i="42"/>
  <c r="AC63" i="42"/>
  <c r="M39" i="42"/>
  <c r="Z9" i="42"/>
  <c r="K15" i="42"/>
  <c r="S21" i="42"/>
  <c r="AI21" i="42"/>
  <c r="H24" i="42"/>
  <c r="W24" i="42"/>
  <c r="AM24" i="42"/>
  <c r="U27" i="42"/>
  <c r="AC33" i="42"/>
  <c r="P36" i="42"/>
  <c r="R39" i="42"/>
  <c r="F60" i="42"/>
  <c r="T60" i="42"/>
  <c r="P66" i="42"/>
  <c r="AE66" i="42"/>
  <c r="K72" i="42"/>
  <c r="AA72" i="42"/>
  <c r="AR75" i="42"/>
  <c r="M78" i="42"/>
  <c r="AC78" i="42"/>
  <c r="O81" i="42"/>
  <c r="AE81" i="42"/>
  <c r="G90" i="42"/>
  <c r="AJ93" i="42"/>
  <c r="O96" i="42"/>
  <c r="R27" i="42"/>
  <c r="AH33" i="42"/>
  <c r="AA48" i="42"/>
  <c r="N60" i="42"/>
  <c r="AB66" i="42"/>
  <c r="AR66" i="42"/>
  <c r="P72" i="42"/>
  <c r="AF72" i="42"/>
  <c r="F78" i="42"/>
  <c r="V78" i="42"/>
  <c r="AL78" i="42"/>
  <c r="H81" i="42"/>
  <c r="X81" i="42"/>
  <c r="AN81" i="42"/>
  <c r="J87" i="42"/>
  <c r="H90" i="42"/>
  <c r="AG93" i="42"/>
  <c r="T96" i="42"/>
  <c r="P102" i="42"/>
  <c r="AR102" i="42"/>
  <c r="AD15" i="42"/>
  <c r="T18" i="42"/>
  <c r="AA30" i="42"/>
  <c r="N36" i="42"/>
  <c r="AA45" i="42"/>
  <c r="U48" i="42"/>
  <c r="X69" i="42"/>
  <c r="AA84" i="42"/>
  <c r="AB102" i="42"/>
  <c r="AF33" i="42"/>
  <c r="AL18" i="42"/>
  <c r="M102" i="42"/>
  <c r="AK9" i="42"/>
  <c r="AD63" i="42"/>
  <c r="AP18" i="42"/>
  <c r="AO33" i="42"/>
  <c r="AH42" i="42"/>
  <c r="Z69" i="42"/>
  <c r="L102" i="42"/>
  <c r="Q39" i="42"/>
  <c r="U66" i="42"/>
  <c r="AK66" i="42"/>
  <c r="E72" i="42"/>
  <c r="U72" i="42"/>
  <c r="AK72" i="42"/>
  <c r="K78" i="42"/>
  <c r="AA78" i="42"/>
  <c r="AQ78" i="42"/>
  <c r="I81" i="42"/>
  <c r="Y81" i="42"/>
  <c r="T9" i="42"/>
  <c r="U9" i="42"/>
  <c r="AM9" i="42"/>
  <c r="Z18" i="42"/>
  <c r="J9" i="42"/>
  <c r="Y15" i="42"/>
  <c r="AD9" i="42"/>
  <c r="AC15" i="42"/>
  <c r="E18" i="42"/>
  <c r="AB15" i="42"/>
  <c r="W21" i="42"/>
  <c r="AA24" i="42"/>
  <c r="J27" i="42"/>
  <c r="X27" i="42"/>
  <c r="AG33" i="42"/>
  <c r="T36" i="42"/>
  <c r="G51" i="42"/>
  <c r="S66" i="42"/>
  <c r="AI66" i="42"/>
  <c r="O72" i="42"/>
  <c r="AE72" i="42"/>
  <c r="Q78" i="42"/>
  <c r="AG78" i="42"/>
  <c r="S81" i="42"/>
  <c r="AI81" i="42"/>
  <c r="K90" i="42"/>
  <c r="S96" i="42"/>
  <c r="G27" i="42"/>
  <c r="G30" i="42"/>
  <c r="AL33" i="42"/>
  <c r="Q48" i="42"/>
  <c r="H51" i="42"/>
  <c r="Q60" i="42"/>
  <c r="Y63" i="42"/>
  <c r="AF66" i="42"/>
  <c r="AA69" i="42"/>
  <c r="T72" i="42"/>
  <c r="AJ72" i="42"/>
  <c r="J78" i="42"/>
  <c r="Z78" i="42"/>
  <c r="AP78" i="42"/>
  <c r="L81" i="42"/>
  <c r="AB81" i="42"/>
  <c r="AR81" i="42"/>
  <c r="L90" i="42"/>
  <c r="AK93" i="42"/>
  <c r="X96" i="42"/>
  <c r="T102" i="42"/>
  <c r="AE30" i="42"/>
  <c r="L33" i="42"/>
  <c r="AA33" i="42"/>
  <c r="L39" i="42"/>
  <c r="I51" i="42"/>
  <c r="Z63" i="42"/>
  <c r="Y66" i="42"/>
  <c r="AO66" i="42"/>
  <c r="AB69" i="42"/>
  <c r="I72" i="42"/>
  <c r="Y72" i="42"/>
  <c r="AP75" i="42"/>
  <c r="O78" i="42"/>
  <c r="AE78" i="42"/>
  <c r="M81" i="42"/>
  <c r="AC81" i="42"/>
  <c r="AH93" i="42"/>
  <c r="U96" i="42"/>
  <c r="AB30" i="42"/>
  <c r="AJ33" i="42"/>
  <c r="AQ15" i="42"/>
  <c r="S18" i="42"/>
  <c r="AA9" i="42"/>
  <c r="E9" i="42"/>
  <c r="S9" i="42"/>
  <c r="AF15" i="42"/>
  <c r="H18" i="42"/>
  <c r="M27" i="42"/>
  <c r="F30" i="42"/>
  <c r="AK33" i="42"/>
  <c r="Z48" i="42"/>
  <c r="K51" i="42"/>
  <c r="M60" i="42"/>
  <c r="W66" i="42"/>
  <c r="AM66" i="42"/>
  <c r="S72" i="42"/>
  <c r="AI72" i="42"/>
  <c r="E78" i="42"/>
  <c r="U78" i="42"/>
  <c r="AK78" i="42"/>
  <c r="G81" i="42"/>
  <c r="W81" i="42"/>
  <c r="AM81" i="42"/>
  <c r="O90" i="42"/>
  <c r="AB93" i="42"/>
  <c r="W96" i="42"/>
  <c r="AB27" i="42"/>
  <c r="AR27" i="42"/>
  <c r="J30" i="42"/>
  <c r="Z30" i="42"/>
  <c r="Z33" i="42"/>
  <c r="Q42" i="42"/>
  <c r="F48" i="42"/>
  <c r="T48" i="42"/>
  <c r="L51" i="42"/>
  <c r="O54" i="42"/>
  <c r="AM54" i="42"/>
  <c r="U60" i="42"/>
  <c r="AB63" i="42"/>
  <c r="T66" i="42"/>
  <c r="AJ66" i="42"/>
  <c r="H72" i="42"/>
  <c r="X72" i="42"/>
  <c r="AN72" i="42"/>
  <c r="N78" i="42"/>
  <c r="AD78" i="42"/>
  <c r="P81" i="42"/>
  <c r="AF81" i="42"/>
  <c r="AC84" i="42"/>
  <c r="P90" i="42"/>
  <c r="J93" i="42"/>
  <c r="Y93" i="42"/>
  <c r="AN93" i="42"/>
  <c r="L96" i="42"/>
  <c r="AB96" i="42"/>
  <c r="AR96" i="42"/>
  <c r="F99" i="42"/>
  <c r="H102" i="42"/>
  <c r="W102" i="42"/>
  <c r="S15" i="42"/>
  <c r="AL15" i="42"/>
  <c r="F18" i="42"/>
  <c r="AI18" i="42"/>
  <c r="N24" i="42"/>
  <c r="X24" i="42"/>
  <c r="O27" i="42"/>
  <c r="AC27" i="42"/>
  <c r="S30" i="42"/>
  <c r="O33" i="42"/>
  <c r="AK36" i="42"/>
  <c r="P39" i="42"/>
  <c r="AD39" i="42"/>
  <c r="AR39" i="42"/>
  <c r="J42" i="42"/>
  <c r="Z42" i="42"/>
  <c r="G45" i="42"/>
  <c r="U45" i="42"/>
  <c r="AK45" i="42"/>
  <c r="K45" i="42"/>
  <c r="N48" i="42"/>
  <c r="M51" i="42"/>
  <c r="L54" i="42"/>
  <c r="E57" i="42"/>
  <c r="T57" i="42"/>
  <c r="AJ57" i="42"/>
  <c r="R60" i="42"/>
  <c r="O66" i="42"/>
  <c r="AC66" i="42"/>
  <c r="P69" i="42"/>
  <c r="AE69" i="42"/>
  <c r="M72" i="42"/>
  <c r="AC72" i="42"/>
  <c r="Q75" i="42"/>
  <c r="AF75" i="42"/>
  <c r="S78" i="42"/>
  <c r="S84" i="42"/>
  <c r="AH84" i="42"/>
  <c r="O87" i="42"/>
  <c r="AE87" i="42"/>
  <c r="AI90" i="42"/>
  <c r="G93" i="42"/>
  <c r="V93" i="42"/>
  <c r="AO93" i="42"/>
  <c r="AO96" i="42"/>
  <c r="G99" i="42"/>
  <c r="U99" i="42"/>
  <c r="AK99" i="42"/>
  <c r="AH102" i="42"/>
  <c r="AN102" i="42"/>
  <c r="AN9" i="42"/>
  <c r="M15" i="42"/>
  <c r="F15" i="42"/>
  <c r="K18" i="42"/>
  <c r="AF18" i="42"/>
  <c r="R21" i="42"/>
  <c r="AH21" i="42"/>
  <c r="O24" i="42"/>
  <c r="AD24" i="42"/>
  <c r="AH27" i="42"/>
  <c r="P30" i="42"/>
  <c r="AF30" i="42"/>
  <c r="AH36" i="42"/>
  <c r="AI39" i="42"/>
  <c r="S42" i="42"/>
  <c r="AG42" i="42"/>
  <c r="V45" i="42"/>
  <c r="AI45" i="42"/>
  <c r="AM48" i="42"/>
  <c r="R51" i="42"/>
  <c r="AH51" i="42"/>
  <c r="M54" i="42"/>
  <c r="AB54" i="42"/>
  <c r="AP54" i="42"/>
  <c r="F57" i="42"/>
  <c r="U57" i="42"/>
  <c r="AK57" i="42"/>
  <c r="AM60" i="42"/>
  <c r="G63" i="42"/>
  <c r="X63" i="42"/>
  <c r="AP63" i="42"/>
  <c r="H66" i="42"/>
  <c r="M69" i="42"/>
  <c r="AI69" i="42"/>
  <c r="L75" i="42"/>
  <c r="Y75" i="42"/>
  <c r="P84" i="42"/>
  <c r="AL84" i="42"/>
  <c r="T87" i="42"/>
  <c r="AJ87" i="42"/>
  <c r="Y90" i="42"/>
  <c r="AN90" i="42"/>
  <c r="AH90" i="42"/>
  <c r="L93" i="42"/>
  <c r="K96" i="42"/>
  <c r="AP96" i="42"/>
  <c r="V99" i="42"/>
  <c r="AL99" i="42"/>
  <c r="AF102" i="42"/>
  <c r="M9" i="42"/>
  <c r="AB9" i="42"/>
  <c r="AI9" i="42"/>
  <c r="AD18" i="42"/>
  <c r="H9" i="42"/>
  <c r="W9" i="42"/>
  <c r="AP9" i="42"/>
  <c r="H15" i="42"/>
  <c r="Q27" i="42"/>
  <c r="AC30" i="42"/>
  <c r="Y33" i="42"/>
  <c r="N39" i="42"/>
  <c r="O45" i="42"/>
  <c r="AC45" i="42"/>
  <c r="P60" i="42"/>
  <c r="AA66" i="42"/>
  <c r="AQ66" i="42"/>
  <c r="G72" i="42"/>
  <c r="W72" i="42"/>
  <c r="AM72" i="42"/>
  <c r="AN75" i="42"/>
  <c r="I78" i="42"/>
  <c r="Y78" i="42"/>
  <c r="AO78" i="42"/>
  <c r="K81" i="42"/>
  <c r="AA81" i="42"/>
  <c r="AQ81" i="42"/>
  <c r="E87" i="42"/>
  <c r="S90" i="42"/>
  <c r="AF93" i="42"/>
  <c r="AA96" i="42"/>
  <c r="N27" i="42"/>
  <c r="AF27" i="42"/>
  <c r="N30" i="42"/>
  <c r="AD30" i="42"/>
  <c r="AQ30" i="42"/>
  <c r="N33" i="42"/>
  <c r="AD33" i="42"/>
  <c r="AR33" i="42"/>
  <c r="S39" i="42"/>
  <c r="U42" i="42"/>
  <c r="F45" i="42"/>
  <c r="I48" i="42"/>
  <c r="S54" i="42"/>
  <c r="AI57" i="42"/>
  <c r="J60" i="42"/>
  <c r="X66" i="42"/>
  <c r="AN66" i="42"/>
  <c r="W69" i="42"/>
  <c r="L72" i="42"/>
  <c r="AB72" i="42"/>
  <c r="AO75" i="42"/>
  <c r="R78" i="42"/>
  <c r="AH78" i="42"/>
  <c r="T81" i="42"/>
  <c r="AJ81" i="42"/>
  <c r="AG84" i="42"/>
  <c r="F87" i="42"/>
  <c r="T90" i="42"/>
  <c r="N93" i="42"/>
  <c r="AC93" i="42"/>
  <c r="P96" i="42"/>
  <c r="AA102" i="42"/>
  <c r="Z15" i="42"/>
  <c r="AP15" i="42"/>
  <c r="J18" i="42"/>
  <c r="X18" i="42"/>
  <c r="AM18" i="42"/>
  <c r="AG27" i="42"/>
  <c r="H30" i="42"/>
  <c r="W30" i="42"/>
  <c r="G33" i="42"/>
  <c r="S33" i="42"/>
  <c r="AI33" i="42"/>
  <c r="G36" i="42"/>
  <c r="AO36" i="42"/>
  <c r="T39" i="42"/>
  <c r="AH39" i="42"/>
  <c r="N42" i="42"/>
  <c r="AC42" i="42"/>
  <c r="J45" i="42"/>
  <c r="AN45" i="42"/>
  <c r="R48" i="42"/>
  <c r="P54" i="42"/>
  <c r="I57" i="42"/>
  <c r="X57" i="42"/>
  <c r="AN57" i="42"/>
  <c r="G60" i="42"/>
  <c r="AG66" i="42"/>
  <c r="T69" i="42"/>
  <c r="AH69" i="42"/>
  <c r="Q72" i="42"/>
  <c r="AG72" i="42"/>
  <c r="U75" i="42"/>
  <c r="AJ75" i="42"/>
  <c r="G78" i="42"/>
  <c r="W78" i="42"/>
  <c r="AM78" i="42"/>
  <c r="E81" i="42"/>
  <c r="U81" i="42"/>
  <c r="AK81" i="42"/>
  <c r="G84" i="42"/>
  <c r="W84" i="42"/>
  <c r="AK84" i="42"/>
  <c r="S87" i="42"/>
  <c r="AI87" i="42"/>
  <c r="AM90" i="42"/>
  <c r="K93" i="42"/>
  <c r="AR93" i="42"/>
  <c r="M96" i="42"/>
  <c r="AC96" i="42"/>
  <c r="J99" i="42"/>
  <c r="Y99" i="42"/>
  <c r="E102" i="42"/>
  <c r="X102" i="42"/>
  <c r="AL102" i="42"/>
  <c r="AQ9" i="42"/>
  <c r="P15" i="42"/>
  <c r="O18" i="42"/>
  <c r="AJ18" i="42"/>
  <c r="V21" i="42"/>
  <c r="AL21" i="42"/>
  <c r="R24" i="42"/>
  <c r="AH24" i="42"/>
  <c r="T27" i="42"/>
  <c r="AL27" i="42"/>
  <c r="T30" i="42"/>
  <c r="AI30" i="42"/>
  <c r="AB33" i="42"/>
  <c r="AQ33" i="42"/>
  <c r="H36" i="42"/>
  <c r="W36" i="42"/>
  <c r="AL36" i="42"/>
  <c r="AM39" i="42"/>
  <c r="G42" i="42"/>
  <c r="W42" i="42"/>
  <c r="AK42" i="42"/>
  <c r="Y45" i="42"/>
  <c r="AL45" i="42"/>
  <c r="K48" i="42"/>
  <c r="AC48" i="42"/>
  <c r="V51" i="42"/>
  <c r="AL51" i="42"/>
  <c r="Q54" i="42"/>
  <c r="AE54" i="42"/>
  <c r="J57" i="42"/>
  <c r="Y57" i="42"/>
  <c r="AO57" i="42"/>
  <c r="E60" i="42"/>
  <c r="W60" i="42"/>
  <c r="AP60" i="42"/>
  <c r="M63" i="42"/>
  <c r="L66" i="42"/>
  <c r="Q69" i="42"/>
  <c r="AM69" i="42"/>
  <c r="O75" i="42"/>
  <c r="AC75" i="42"/>
  <c r="T84" i="42"/>
  <c r="AP84" i="42"/>
  <c r="H87" i="42"/>
  <c r="X87" i="42"/>
  <c r="AN87" i="42"/>
  <c r="AB90" i="42"/>
  <c r="AD96" i="42"/>
  <c r="K99" i="42"/>
  <c r="Z99" i="42"/>
  <c r="AO99" i="42"/>
  <c r="U102" i="42"/>
  <c r="AI102" i="42"/>
  <c r="AL9" i="42"/>
  <c r="Q9" i="42"/>
  <c r="V9" i="42"/>
  <c r="AJ27" i="42"/>
  <c r="R30" i="42"/>
  <c r="R33" i="42"/>
  <c r="V39" i="42"/>
  <c r="Y42" i="42"/>
  <c r="AD45" i="42"/>
  <c r="AQ45" i="42"/>
  <c r="M48" i="42"/>
  <c r="AQ48" i="42"/>
  <c r="G54" i="42"/>
  <c r="W54" i="42"/>
  <c r="H57" i="42"/>
  <c r="AM57" i="42"/>
  <c r="AO69" i="42"/>
  <c r="V84" i="42"/>
  <c r="W90" i="42"/>
  <c r="Q93" i="42"/>
  <c r="AJ96" i="42"/>
  <c r="AD102" i="42"/>
  <c r="L15" i="42"/>
  <c r="N18" i="42"/>
  <c r="AA18" i="42"/>
  <c r="AQ18" i="42"/>
  <c r="AO21" i="42"/>
  <c r="AK27" i="42"/>
  <c r="K30" i="42"/>
  <c r="AR30" i="42"/>
  <c r="J33" i="42"/>
  <c r="W33" i="42"/>
  <c r="AM33" i="42"/>
  <c r="AD36" i="42"/>
  <c r="W39" i="42"/>
  <c r="AL39" i="42"/>
  <c r="R42" i="42"/>
  <c r="M45" i="42"/>
  <c r="AR45" i="42"/>
  <c r="T54" i="42"/>
  <c r="AB57" i="42"/>
  <c r="AQ57" i="42"/>
  <c r="K60" i="42"/>
  <c r="AL60" i="42"/>
  <c r="F63" i="42"/>
  <c r="G66" i="42"/>
  <c r="AL69" i="42"/>
  <c r="AO81" i="42"/>
  <c r="K84" i="42"/>
  <c r="AO84" i="42"/>
  <c r="G87" i="42"/>
  <c r="W87" i="42"/>
  <c r="AM87" i="42"/>
  <c r="E90" i="42"/>
  <c r="X90" i="42"/>
  <c r="AQ90" i="42"/>
  <c r="O93" i="42"/>
  <c r="AD93" i="42"/>
  <c r="Q96" i="42"/>
  <c r="AG96" i="42"/>
  <c r="N99" i="42"/>
  <c r="AC99" i="42"/>
  <c r="I102" i="42"/>
  <c r="AP102" i="42"/>
  <c r="AG9" i="42"/>
  <c r="T15" i="42"/>
  <c r="AI15" i="42"/>
  <c r="U18" i="42"/>
  <c r="AN18" i="42"/>
  <c r="G21" i="42"/>
  <c r="Z21" i="42"/>
  <c r="AP21" i="42"/>
  <c r="G24" i="42"/>
  <c r="V24" i="42"/>
  <c r="AL24" i="42"/>
  <c r="E27" i="42"/>
  <c r="Z27" i="42"/>
  <c r="AP27" i="42"/>
  <c r="E30" i="42"/>
  <c r="X30" i="42"/>
  <c r="AM30" i="42"/>
  <c r="P33" i="42"/>
  <c r="K36" i="42"/>
  <c r="AA36" i="42"/>
  <c r="AP36" i="42"/>
  <c r="F39" i="42"/>
  <c r="X39" i="42"/>
  <c r="AP39" i="42"/>
  <c r="K42" i="42"/>
  <c r="AA42" i="42"/>
  <c r="AO42" i="42"/>
  <c r="N45" i="42"/>
  <c r="AB45" i="42"/>
  <c r="AO45" i="42"/>
  <c r="O48" i="42"/>
  <c r="AF48" i="42"/>
  <c r="J51" i="42"/>
  <c r="Z51" i="42"/>
  <c r="AP51" i="42"/>
  <c r="E54" i="42"/>
  <c r="U54" i="42"/>
  <c r="AH54" i="42"/>
  <c r="M57" i="42"/>
  <c r="AC57" i="42"/>
  <c r="AR57" i="42"/>
  <c r="H60" i="42"/>
  <c r="Z60" i="42"/>
  <c r="P63" i="42"/>
  <c r="AH63" i="42"/>
  <c r="V66" i="42"/>
  <c r="AL66" i="42"/>
  <c r="E69" i="42"/>
  <c r="U69" i="42"/>
  <c r="AQ69" i="42"/>
  <c r="R75" i="42"/>
  <c r="AG75" i="42"/>
  <c r="H84" i="42"/>
  <c r="X84" i="42"/>
  <c r="AJ84" i="42"/>
  <c r="L87" i="42"/>
  <c r="AB87" i="42"/>
  <c r="AR87" i="42"/>
  <c r="AF90" i="42"/>
  <c r="S93" i="42"/>
  <c r="AH96" i="42"/>
  <c r="O99" i="42"/>
  <c r="AD99" i="42"/>
  <c r="Y102" i="42"/>
  <c r="AM102" i="42"/>
  <c r="P9" i="42"/>
  <c r="AN27" i="42"/>
  <c r="V30" i="42"/>
  <c r="F33" i="42"/>
  <c r="V33" i="42"/>
  <c r="Z39" i="42"/>
  <c r="M42" i="42"/>
  <c r="L45" i="42"/>
  <c r="AG45" i="42"/>
  <c r="K54" i="42"/>
  <c r="AA54" i="42"/>
  <c r="AD69" i="42"/>
  <c r="Z84" i="42"/>
  <c r="AA90" i="42"/>
  <c r="F93" i="42"/>
  <c r="U93" i="42"/>
  <c r="AN96" i="42"/>
  <c r="O15" i="42"/>
  <c r="AH15" i="42"/>
  <c r="R18" i="42"/>
  <c r="AE18" i="42"/>
  <c r="N21" i="42"/>
  <c r="J24" i="42"/>
  <c r="AO24" i="42"/>
  <c r="T24" i="42"/>
  <c r="Y27" i="42"/>
  <c r="AO27" i="42"/>
  <c r="O30" i="42"/>
  <c r="AG36" i="42"/>
  <c r="AA39" i="42"/>
  <c r="F42" i="42"/>
  <c r="V42" i="42"/>
  <c r="AH45" i="42"/>
  <c r="J48" i="42"/>
  <c r="H54" i="42"/>
  <c r="X54" i="42"/>
  <c r="AF57" i="42"/>
  <c r="AC60" i="42"/>
  <c r="I63" i="42"/>
  <c r="K66" i="42"/>
  <c r="L69" i="42"/>
  <c r="AP69" i="42"/>
  <c r="N75" i="42"/>
  <c r="AB75" i="42"/>
  <c r="O84" i="42"/>
  <c r="AD84" i="42"/>
  <c r="K87" i="42"/>
  <c r="AA87" i="42"/>
  <c r="AQ87" i="42"/>
  <c r="AE90" i="42"/>
  <c r="R93" i="42"/>
  <c r="G96" i="42"/>
  <c r="AK96" i="42"/>
  <c r="AG99" i="42"/>
  <c r="AE102" i="42"/>
  <c r="G15" i="42"/>
  <c r="W15" i="42"/>
  <c r="AM15" i="42"/>
  <c r="G18" i="42"/>
  <c r="AB18" i="42"/>
  <c r="AR18" i="42"/>
  <c r="K21" i="42"/>
  <c r="AD21" i="42"/>
  <c r="K24" i="42"/>
  <c r="Z24" i="42"/>
  <c r="AP24" i="42"/>
  <c r="I27" i="42"/>
  <c r="AD27" i="42"/>
  <c r="L30" i="42"/>
  <c r="AO30" i="42"/>
  <c r="T33" i="42"/>
  <c r="O36" i="42"/>
  <c r="AE36" i="42"/>
  <c r="J39" i="42"/>
  <c r="AE39" i="42"/>
  <c r="O42" i="42"/>
  <c r="AD42" i="42"/>
  <c r="R45" i="42"/>
  <c r="AE45" i="42"/>
  <c r="AI48" i="42"/>
  <c r="AD51" i="42"/>
  <c r="I54" i="42"/>
  <c r="Y54" i="42"/>
  <c r="AL54" i="42"/>
  <c r="Q57" i="42"/>
  <c r="AG57" i="42"/>
  <c r="AG60" i="42"/>
  <c r="T63" i="42"/>
  <c r="AL63" i="42"/>
  <c r="I69" i="42"/>
  <c r="Y69" i="42"/>
  <c r="AP72" i="42"/>
  <c r="H75" i="42"/>
  <c r="V75" i="42"/>
  <c r="L84" i="42"/>
  <c r="AE84" i="42"/>
  <c r="P87" i="42"/>
  <c r="AF87" i="42"/>
  <c r="U90" i="42"/>
  <c r="AJ90" i="42"/>
  <c r="H93" i="42"/>
  <c r="W93" i="42"/>
  <c r="AL93" i="42"/>
  <c r="H96" i="42"/>
  <c r="AL96" i="42"/>
  <c r="R99" i="42"/>
  <c r="AH99" i="42"/>
  <c r="AQ102" i="42"/>
  <c r="E35" i="41"/>
  <c r="G35" i="41"/>
  <c r="F44" i="41"/>
  <c r="H44" i="41"/>
  <c r="CT82" i="4" l="1"/>
  <c r="CT9" i="4"/>
  <c r="CV9" i="4" s="1"/>
  <c r="CT97" i="4"/>
  <c r="CV97" i="4" s="1"/>
  <c r="CT118" i="4"/>
  <c r="CT27" i="4"/>
  <c r="CV27" i="4" s="1"/>
  <c r="CT28" i="4"/>
  <c r="CV28" i="4" s="1"/>
  <c r="CV118" i="4"/>
  <c r="CT120" i="4"/>
  <c r="CV120" i="4" s="1"/>
  <c r="CT62" i="4"/>
  <c r="CT117" i="4"/>
  <c r="CV117" i="4" s="1"/>
  <c r="CT115" i="4"/>
  <c r="CV115" i="4" s="1"/>
  <c r="CT114" i="4"/>
  <c r="CV114" i="4" s="1"/>
  <c r="H26" i="43"/>
  <c r="CT89" i="4"/>
  <c r="CV89" i="4" s="1"/>
  <c r="CV82" i="4"/>
  <c r="CV29" i="4"/>
  <c r="CT107" i="4"/>
  <c r="CV107" i="4" s="1"/>
  <c r="CT100" i="4"/>
  <c r="CV100" i="4" s="1"/>
  <c r="CT68" i="4"/>
  <c r="CV68" i="4" s="1"/>
  <c r="CT38" i="4"/>
  <c r="CV38" i="4" s="1"/>
  <c r="CV96" i="4"/>
  <c r="CT54" i="4"/>
  <c r="CV54" i="4" s="1"/>
  <c r="CT39" i="4"/>
  <c r="CV39" i="4" s="1"/>
  <c r="CT95" i="4"/>
  <c r="CV95" i="4" s="1"/>
  <c r="CT61" i="4"/>
  <c r="CV61" i="4" s="1"/>
  <c r="CT25" i="4"/>
  <c r="CV25" i="4" s="1"/>
  <c r="CT57" i="4"/>
  <c r="CV57" i="4" s="1"/>
  <c r="CT56" i="4"/>
  <c r="CV56" i="4" s="1"/>
  <c r="CT58" i="4"/>
  <c r="CV58" i="4" s="1"/>
  <c r="CT91" i="4"/>
  <c r="CV91" i="4" s="1"/>
  <c r="CT64" i="4"/>
  <c r="CV64" i="4" s="1"/>
  <c r="CT24" i="4"/>
  <c r="CV24" i="4" s="1"/>
  <c r="CT63" i="4"/>
  <c r="CV63" i="4" s="1"/>
  <c r="CV62" i="4"/>
  <c r="CT85" i="4"/>
  <c r="CV85" i="4" s="1"/>
  <c r="CT69" i="4"/>
  <c r="CV69" i="4" s="1"/>
  <c r="CT65" i="4"/>
  <c r="CV65" i="4" s="1"/>
  <c r="CT77" i="4"/>
  <c r="CV77" i="4" s="1"/>
  <c r="CT71" i="4"/>
  <c r="CV71" i="4" s="1"/>
  <c r="CT111" i="4"/>
  <c r="CV111" i="4" s="1"/>
  <c r="CT53" i="4"/>
  <c r="CV53" i="4" s="1"/>
  <c r="CT105" i="4"/>
  <c r="CV105" i="4" s="1"/>
  <c r="CT104" i="4"/>
  <c r="CV104" i="4" s="1"/>
  <c r="CT109" i="4"/>
  <c r="CV109" i="4" s="1"/>
  <c r="CT110" i="4"/>
  <c r="CV110" i="4" s="1"/>
  <c r="CT103" i="4"/>
  <c r="CV103" i="4" s="1"/>
  <c r="CT101" i="4"/>
  <c r="CV101" i="4" s="1"/>
  <c r="CT102" i="4"/>
  <c r="CV102" i="4" s="1"/>
  <c r="CT108" i="4"/>
  <c r="CV108" i="4" s="1"/>
  <c r="CT106" i="4"/>
  <c r="CV106" i="4" s="1"/>
  <c r="CT79" i="4"/>
  <c r="CV79" i="4" s="1"/>
  <c r="CT94" i="4"/>
  <c r="CV94" i="4" s="1"/>
  <c r="CT84" i="4"/>
  <c r="CV84" i="4" s="1"/>
  <c r="CT86" i="4"/>
  <c r="CV86" i="4" s="1"/>
  <c r="CT98" i="4"/>
  <c r="CV98" i="4" s="1"/>
  <c r="H41" i="41"/>
  <c r="CT80" i="4"/>
  <c r="CV80" i="4" s="1"/>
  <c r="CT73" i="4"/>
  <c r="CV73" i="4" s="1"/>
  <c r="CT88" i="4"/>
  <c r="CV88" i="4" s="1"/>
  <c r="CT76" i="4"/>
  <c r="CV76" i="4" s="1"/>
  <c r="CT59" i="4"/>
  <c r="CV59" i="4" s="1"/>
  <c r="G31" i="43"/>
  <c r="CT75" i="4"/>
  <c r="CV75" i="4" s="1"/>
  <c r="CT81" i="4"/>
  <c r="CV81" i="4" s="1"/>
  <c r="CT70" i="4"/>
  <c r="CV70" i="4" s="1"/>
  <c r="CT87" i="4"/>
  <c r="CV87" i="4" s="1"/>
  <c r="CT92" i="4"/>
  <c r="CV92" i="4" s="1"/>
  <c r="CT90" i="4"/>
  <c r="CV90" i="4" s="1"/>
  <c r="CT78" i="4"/>
  <c r="CV78" i="4" s="1"/>
  <c r="CT66" i="4"/>
  <c r="CV66" i="4" s="1"/>
  <c r="CT72" i="4"/>
  <c r="CV72" i="4" s="1"/>
  <c r="CT52" i="4"/>
  <c r="CV52" i="4" s="1"/>
  <c r="CT99" i="4"/>
  <c r="CV99" i="4" s="1"/>
  <c r="CT55" i="4"/>
  <c r="CV55" i="4" s="1"/>
  <c r="CT60" i="4"/>
  <c r="CV60" i="4" s="1"/>
  <c r="CT93" i="4"/>
  <c r="CV93" i="4" s="1"/>
  <c r="CT74" i="4"/>
  <c r="CV74" i="4" s="1"/>
  <c r="CT83" i="4"/>
  <c r="CV83" i="4" s="1"/>
  <c r="CT67" i="4"/>
  <c r="CV67" i="4" s="1"/>
  <c r="CT13" i="4"/>
  <c r="CV13" i="4" s="1"/>
  <c r="CT18" i="4"/>
  <c r="CV18" i="4" s="1"/>
  <c r="CT19" i="4"/>
  <c r="CV19" i="4" s="1"/>
  <c r="CT12" i="4"/>
  <c r="CV12" i="4" s="1"/>
  <c r="CT10" i="4"/>
  <c r="CV10" i="4" s="1"/>
  <c r="CT21" i="4"/>
  <c r="CV21" i="4" s="1"/>
  <c r="CT11" i="4"/>
  <c r="CV11" i="4" s="1"/>
  <c r="CT14" i="4"/>
  <c r="CV14" i="4" s="1"/>
  <c r="CT17" i="4"/>
  <c r="CV17" i="4" s="1"/>
  <c r="CT15" i="4"/>
  <c r="CV15" i="4" s="1"/>
  <c r="CT16" i="4"/>
  <c r="CV16" i="4" s="1"/>
  <c r="CT22" i="4"/>
  <c r="CV22" i="4" s="1"/>
  <c r="CT20" i="4"/>
  <c r="CV20" i="4" s="1"/>
  <c r="CT35" i="4"/>
  <c r="CV35" i="4" s="1"/>
  <c r="CT45" i="4"/>
  <c r="CV45" i="4" s="1"/>
  <c r="CT47" i="4"/>
  <c r="CV47" i="4" s="1"/>
  <c r="CT42" i="4"/>
  <c r="CV42" i="4" s="1"/>
  <c r="CT50" i="4"/>
  <c r="CV50" i="4" s="1"/>
  <c r="CT51" i="4"/>
  <c r="CV51" i="4" s="1"/>
  <c r="CT34" i="4"/>
  <c r="CV34" i="4" s="1"/>
  <c r="CT23" i="4"/>
  <c r="CV23" i="4" s="1"/>
  <c r="CT41" i="4"/>
  <c r="CV41" i="4" s="1"/>
  <c r="CT46" i="4"/>
  <c r="CV46" i="4" s="1"/>
  <c r="CT44" i="4"/>
  <c r="CV44" i="4" s="1"/>
  <c r="CT48" i="4"/>
  <c r="CV48" i="4" s="1"/>
  <c r="CT49" i="4"/>
  <c r="CV49" i="4" s="1"/>
  <c r="CT32" i="4"/>
  <c r="CV32" i="4" s="1"/>
  <c r="CT33" i="4"/>
  <c r="CV33" i="4" s="1"/>
  <c r="CT40" i="4"/>
  <c r="CV40" i="4" s="1"/>
  <c r="CT37" i="4"/>
  <c r="CV37" i="4" s="1"/>
  <c r="CT26" i="4"/>
  <c r="CV26" i="4" s="1"/>
  <c r="CT30" i="4"/>
  <c r="CV30" i="4" s="1"/>
  <c r="CT31" i="4"/>
  <c r="CV31" i="4" s="1"/>
  <c r="CT36" i="4"/>
  <c r="CV36" i="4" s="1"/>
  <c r="E41" i="43"/>
  <c r="G46" i="41"/>
  <c r="G41" i="43"/>
  <c r="E47" i="41"/>
  <c r="E47" i="43"/>
  <c r="F47" i="41"/>
  <c r="F47" i="43"/>
  <c r="G67" i="43"/>
  <c r="G67" i="41"/>
  <c r="G46" i="43"/>
  <c r="E67" i="43"/>
  <c r="E67" i="41"/>
  <c r="H67" i="43"/>
  <c r="H67" i="41"/>
  <c r="E55" i="41"/>
  <c r="E55" i="43"/>
  <c r="F67" i="43"/>
  <c r="F67" i="41"/>
  <c r="F46" i="41"/>
  <c r="F46" i="43"/>
  <c r="F55" i="41"/>
  <c r="F55" i="43"/>
  <c r="H46" i="43"/>
  <c r="H46" i="41"/>
  <c r="H55" i="43"/>
  <c r="H55" i="41"/>
  <c r="E46" i="43"/>
  <c r="E46" i="41"/>
  <c r="G55" i="43"/>
  <c r="G55" i="41"/>
  <c r="H31" i="43"/>
  <c r="E31" i="41"/>
  <c r="E40" i="43"/>
  <c r="E40" i="41"/>
  <c r="G26" i="46"/>
  <c r="G43" i="43"/>
  <c r="G44" i="41"/>
  <c r="F43" i="41"/>
  <c r="F43" i="43"/>
  <c r="H44" i="43"/>
  <c r="G44" i="43"/>
  <c r="F35" i="41"/>
  <c r="F44" i="43"/>
  <c r="E44" i="43"/>
  <c r="E43" i="43"/>
  <c r="E43" i="41"/>
  <c r="E44" i="41"/>
  <c r="G43" i="41"/>
  <c r="H43" i="41"/>
  <c r="H43" i="43"/>
  <c r="H40" i="41"/>
  <c r="H40" i="43"/>
  <c r="G40" i="41"/>
  <c r="G40" i="43"/>
  <c r="F40" i="41"/>
  <c r="F40" i="43"/>
  <c r="H37" i="43"/>
  <c r="E31" i="43"/>
  <c r="F34" i="41"/>
  <c r="H31" i="41"/>
  <c r="F31" i="41"/>
  <c r="G31" i="41"/>
  <c r="F37" i="43"/>
  <c r="E37" i="43"/>
  <c r="E34" i="41"/>
  <c r="F31" i="43"/>
  <c r="E34" i="43"/>
  <c r="G34" i="41"/>
  <c r="G37" i="41"/>
  <c r="G37" i="43"/>
  <c r="H37" i="41"/>
  <c r="G35" i="43"/>
  <c r="F35" i="43"/>
  <c r="F37" i="41"/>
  <c r="E35" i="43"/>
  <c r="F34" i="43"/>
  <c r="E37" i="41"/>
  <c r="H35" i="43"/>
  <c r="H32" i="43"/>
  <c r="H32" i="41"/>
  <c r="E32" i="41"/>
  <c r="E32" i="43"/>
  <c r="F32" i="41"/>
  <c r="F32" i="43"/>
  <c r="G32" i="43"/>
  <c r="G32" i="41"/>
  <c r="H35" i="41"/>
  <c r="F38" i="43"/>
  <c r="F38" i="41"/>
  <c r="G38" i="41"/>
  <c r="G38" i="43"/>
  <c r="H38" i="43"/>
  <c r="H38" i="41"/>
  <c r="E38" i="43"/>
  <c r="E38" i="41"/>
  <c r="E25" i="46"/>
  <c r="E43" i="46"/>
  <c r="E43" i="47"/>
  <c r="F43" i="47"/>
  <c r="F43" i="46"/>
  <c r="G43" i="47"/>
  <c r="G43" i="46"/>
  <c r="G44" i="47"/>
  <c r="G44" i="46"/>
  <c r="E44" i="46"/>
  <c r="E44" i="47"/>
  <c r="F44" i="47"/>
  <c r="F44" i="46"/>
  <c r="E38" i="46"/>
  <c r="H26" i="47"/>
  <c r="F23" i="43"/>
  <c r="F23" i="41"/>
  <c r="E40" i="46"/>
  <c r="E40" i="47"/>
  <c r="E25" i="43"/>
  <c r="E25" i="41"/>
  <c r="E16" i="47"/>
  <c r="E16" i="46"/>
  <c r="E35" i="46"/>
  <c r="E35" i="47"/>
  <c r="F17" i="41"/>
  <c r="F32" i="47"/>
  <c r="F32" i="46"/>
  <c r="F17" i="43"/>
  <c r="F23" i="46"/>
  <c r="F23" i="47"/>
  <c r="F25" i="46"/>
  <c r="F16" i="41"/>
  <c r="F16" i="43"/>
  <c r="F37" i="46"/>
  <c r="F37" i="47"/>
  <c r="G23" i="43"/>
  <c r="G23" i="41"/>
  <c r="F40" i="46"/>
  <c r="F40" i="47"/>
  <c r="F35" i="47"/>
  <c r="F35" i="46"/>
  <c r="E32" i="47"/>
  <c r="E32" i="46"/>
  <c r="E17" i="43"/>
  <c r="E17" i="41"/>
  <c r="F25" i="47"/>
  <c r="E23" i="46"/>
  <c r="E23" i="47"/>
  <c r="G25" i="47"/>
  <c r="G25" i="46"/>
  <c r="F19" i="47"/>
  <c r="F19" i="43"/>
  <c r="F19" i="46"/>
  <c r="F19" i="41"/>
  <c r="G16" i="43"/>
  <c r="G37" i="47"/>
  <c r="G16" i="41"/>
  <c r="G37" i="46"/>
  <c r="G38" i="46"/>
  <c r="G40" i="46"/>
  <c r="G40" i="47"/>
  <c r="F22" i="43"/>
  <c r="F22" i="41"/>
  <c r="E41" i="47"/>
  <c r="E41" i="46"/>
  <c r="G35" i="47"/>
  <c r="G35" i="46"/>
  <c r="G32" i="47"/>
  <c r="G17" i="43"/>
  <c r="G17" i="41"/>
  <c r="G32" i="46"/>
  <c r="G20" i="41"/>
  <c r="G20" i="43"/>
  <c r="G23" i="46"/>
  <c r="G23" i="47"/>
  <c r="G19" i="41"/>
  <c r="G19" i="47"/>
  <c r="G19" i="46"/>
  <c r="G19" i="43"/>
  <c r="E16" i="41"/>
  <c r="E37" i="46"/>
  <c r="E37" i="47"/>
  <c r="E16" i="43"/>
  <c r="G22" i="41"/>
  <c r="G22" i="43"/>
  <c r="F41" i="46"/>
  <c r="F41" i="47"/>
  <c r="E20" i="43"/>
  <c r="E20" i="41"/>
  <c r="E25" i="47"/>
  <c r="F26" i="41"/>
  <c r="F26" i="43"/>
  <c r="G22" i="47"/>
  <c r="G22" i="46"/>
  <c r="E19" i="47"/>
  <c r="E19" i="43"/>
  <c r="E19" i="46"/>
  <c r="E19" i="41"/>
  <c r="F38" i="46"/>
  <c r="F38" i="47"/>
  <c r="G17" i="46"/>
  <c r="G17" i="47"/>
  <c r="E38" i="47"/>
  <c r="E22" i="41"/>
  <c r="E22" i="43"/>
  <c r="G41" i="46"/>
  <c r="G41" i="47"/>
  <c r="F20" i="41"/>
  <c r="F20" i="43"/>
  <c r="G38" i="47"/>
  <c r="G31" i="47"/>
  <c r="G31" i="46"/>
  <c r="G26" i="43"/>
  <c r="G26" i="41"/>
  <c r="E22" i="46"/>
  <c r="E22" i="47"/>
  <c r="E17" i="47"/>
  <c r="E17" i="46"/>
  <c r="E20" i="47"/>
  <c r="E20" i="46"/>
  <c r="G26" i="47"/>
  <c r="G34" i="47"/>
  <c r="G34" i="46"/>
  <c r="E31" i="46"/>
  <c r="E31" i="47"/>
  <c r="E26" i="43"/>
  <c r="E26" i="41"/>
  <c r="F22" i="47"/>
  <c r="F22" i="46"/>
  <c r="F17" i="46"/>
  <c r="F17" i="47"/>
  <c r="G25" i="41"/>
  <c r="G25" i="43"/>
  <c r="E26" i="46"/>
  <c r="E26" i="47"/>
  <c r="F20" i="47"/>
  <c r="F20" i="46"/>
  <c r="E34" i="46"/>
  <c r="E34" i="47"/>
  <c r="F16" i="47"/>
  <c r="F16" i="46"/>
  <c r="F31" i="46"/>
  <c r="F31" i="47"/>
  <c r="E23" i="43"/>
  <c r="E23" i="41"/>
  <c r="F25" i="43"/>
  <c r="F25" i="41"/>
  <c r="F26" i="46"/>
  <c r="F26" i="47"/>
  <c r="G20" i="47"/>
  <c r="G20" i="46"/>
  <c r="F34" i="47"/>
  <c r="F34" i="46"/>
  <c r="G16" i="47"/>
  <c r="G16" i="46"/>
  <c r="H25" i="46"/>
  <c r="H38" i="47"/>
  <c r="H22" i="46"/>
  <c r="H22" i="47"/>
  <c r="H23" i="47"/>
  <c r="H23" i="46"/>
  <c r="H25" i="47"/>
  <c r="H26" i="46"/>
  <c r="H37" i="46"/>
  <c r="H37" i="47"/>
  <c r="H44" i="47"/>
  <c r="H44" i="46"/>
  <c r="H20" i="47"/>
  <c r="H20" i="46"/>
  <c r="H35" i="46"/>
  <c r="H35" i="47"/>
  <c r="H32" i="46"/>
  <c r="H32" i="47"/>
  <c r="H19" i="47"/>
  <c r="H19" i="46"/>
  <c r="H38" i="46"/>
  <c r="H31" i="46"/>
  <c r="H31" i="47"/>
  <c r="H43" i="46"/>
  <c r="H43" i="47"/>
  <c r="H34" i="46"/>
  <c r="H34" i="47"/>
  <c r="H17" i="47"/>
  <c r="H17" i="46"/>
  <c r="H40" i="47"/>
  <c r="H40" i="46"/>
  <c r="H41" i="47"/>
  <c r="H41" i="46"/>
  <c r="H16" i="46"/>
  <c r="H16" i="47"/>
  <c r="H25" i="43"/>
  <c r="H23" i="43"/>
  <c r="H19" i="43"/>
  <c r="H20" i="43"/>
  <c r="H22" i="43"/>
  <c r="H17" i="43"/>
  <c r="H16" i="43"/>
  <c r="H19" i="41"/>
  <c r="H26" i="41"/>
  <c r="H16" i="41"/>
  <c r="H20" i="41"/>
  <c r="H25" i="41"/>
  <c r="H17" i="41"/>
  <c r="H23" i="41"/>
  <c r="H22" i="41"/>
  <c r="E28" i="41" l="1"/>
  <c r="H28" i="43"/>
  <c r="D28" i="45"/>
  <c r="D10" i="43"/>
  <c r="E28" i="46"/>
  <c r="F10" i="46"/>
  <c r="F10" i="41"/>
  <c r="D28" i="43"/>
  <c r="D10" i="46"/>
  <c r="H28" i="41"/>
  <c r="D10" i="44"/>
  <c r="H10" i="47"/>
  <c r="F10" i="47"/>
  <c r="H28" i="46"/>
  <c r="E10" i="43"/>
  <c r="F28" i="47"/>
  <c r="E10" i="46"/>
  <c r="G28" i="41"/>
  <c r="D28" i="33"/>
  <c r="D10" i="42"/>
  <c r="D10" i="45"/>
  <c r="G10" i="47"/>
  <c r="H10" i="43"/>
  <c r="G28" i="47"/>
  <c r="G28" i="43"/>
  <c r="D28" i="42"/>
  <c r="D28" i="46"/>
  <c r="H28" i="47"/>
  <c r="G10" i="43"/>
  <c r="F10" i="43"/>
  <c r="F28" i="43"/>
  <c r="D28" i="41"/>
  <c r="D10" i="41"/>
  <c r="D10" i="33"/>
  <c r="H10" i="41"/>
  <c r="E10" i="47"/>
  <c r="G10" i="41"/>
  <c r="D28" i="47"/>
  <c r="G10" i="46"/>
  <c r="E28" i="47"/>
  <c r="E10" i="41"/>
  <c r="E28" i="43"/>
  <c r="D10" i="47"/>
  <c r="D28" i="44"/>
  <c r="F28" i="46"/>
  <c r="H10" i="46"/>
  <c r="G28" i="46"/>
  <c r="F28" i="41"/>
  <c r="V34" i="44" a="1"/>
  <c r="V34" i="44" s="1"/>
  <c r="P40" i="44" a="1"/>
  <c r="P40" i="44" s="1"/>
  <c r="X10" i="44" a="1"/>
  <c r="X10" i="44" s="1"/>
  <c r="P49" i="33" a="1"/>
  <c r="P49" i="33" s="1"/>
  <c r="I11" i="44" a="1"/>
  <c r="I11" i="44" s="1"/>
  <c r="Y74" i="33" a="1"/>
  <c r="Y74" i="33" s="1"/>
  <c r="C79" i="45" a="1"/>
  <c r="C79" i="45" s="1"/>
  <c r="G82" i="44" a="1"/>
  <c r="G82" i="44" s="1"/>
  <c r="P47" i="44" a="1"/>
  <c r="P47" i="44" s="1"/>
  <c r="C104" i="45" a="1"/>
  <c r="C104" i="45" s="1"/>
  <c r="AL28" i="33" a="1"/>
  <c r="AL28" i="33" s="1"/>
  <c r="T97" i="45" a="1"/>
  <c r="T97" i="45" s="1"/>
  <c r="N47" i="44" l="1" a="1"/>
  <c r="N47" i="44" s="1"/>
  <c r="AL32" i="45" a="1"/>
  <c r="AL32" i="45" s="1"/>
  <c r="F40" i="33" a="1"/>
  <c r="F40" i="33" s="1"/>
  <c r="Y94" i="33" a="1"/>
  <c r="Y94" i="33" s="1"/>
  <c r="U49" i="44" a="1"/>
  <c r="U49" i="44" s="1"/>
  <c r="AI23" i="44" a="1"/>
  <c r="AI23" i="44" s="1"/>
  <c r="L62" i="33" a="1"/>
  <c r="L62" i="33" s="1"/>
  <c r="AO44" i="33" a="1"/>
  <c r="AO44" i="33" s="1"/>
  <c r="AN29" i="33" a="1"/>
  <c r="AN29" i="33" s="1"/>
  <c r="N29" i="45" a="1"/>
  <c r="N29" i="45" s="1"/>
  <c r="M92" i="33" a="1"/>
  <c r="M92" i="33" s="1"/>
  <c r="H23" i="33" a="1"/>
  <c r="H23" i="33" s="1"/>
  <c r="X29" i="44" a="1"/>
  <c r="X29" i="44" s="1"/>
  <c r="AE49" i="45" a="1"/>
  <c r="AE49" i="45" s="1"/>
  <c r="AL59" i="45" a="1"/>
  <c r="AL59" i="45" s="1"/>
  <c r="W29" i="33" a="1"/>
  <c r="W29" i="33" s="1"/>
  <c r="Z56" i="44" a="1"/>
  <c r="Z56" i="44" s="1"/>
  <c r="G100" i="33" a="1"/>
  <c r="G100" i="33" s="1"/>
  <c r="H100" i="33" a="1"/>
  <c r="H100" i="33" s="1"/>
  <c r="S67" i="45" a="1"/>
  <c r="S67" i="45" s="1"/>
  <c r="T67" i="33" a="1"/>
  <c r="T67" i="33" s="1"/>
  <c r="C16" i="33" a="1"/>
  <c r="C16" i="33" s="1"/>
  <c r="O19" i="45" a="1"/>
  <c r="O19" i="45" s="1"/>
  <c r="C49" i="45" a="1"/>
  <c r="C49" i="45" s="1"/>
  <c r="AL22" i="33" a="1"/>
  <c r="AL22" i="33" s="1"/>
  <c r="T40" i="44" a="1"/>
  <c r="T40" i="44" s="1"/>
  <c r="AK46" i="33" a="1"/>
  <c r="AK46" i="33" s="1"/>
  <c r="AF44" i="33" a="1"/>
  <c r="AF44" i="33" s="1"/>
  <c r="AO101" i="33" a="1"/>
  <c r="AO101" i="33" s="1"/>
  <c r="Z67" i="44" a="1"/>
  <c r="Z67" i="44" s="1"/>
  <c r="Q49" i="45" a="1"/>
  <c r="Q49" i="45" s="1"/>
  <c r="AK100" i="44" a="1"/>
  <c r="AK100" i="44" s="1"/>
  <c r="AK61" i="44" a="1"/>
  <c r="AK61" i="44" s="1"/>
  <c r="AC101" i="33" a="1"/>
  <c r="AC101" i="33" s="1"/>
  <c r="G46" i="33" a="1"/>
  <c r="G46" i="33" s="1"/>
  <c r="AG35" i="44" a="1"/>
  <c r="AG35" i="44" s="1"/>
  <c r="W50" i="44" a="1"/>
  <c r="W50" i="44" s="1"/>
  <c r="S19" i="33" a="1"/>
  <c r="S19" i="33" s="1"/>
  <c r="C61" i="47" a="1"/>
  <c r="C61" i="47" s="1"/>
  <c r="AM34" i="45" a="1"/>
  <c r="AM34" i="45" s="1"/>
  <c r="Q55" i="44" a="1"/>
  <c r="Q55" i="44" s="1"/>
  <c r="AF28" i="33" a="1"/>
  <c r="AF28" i="33" s="1"/>
  <c r="AE64" i="33" a="1"/>
  <c r="AE64" i="33" s="1"/>
  <c r="V92" i="33" a="1"/>
  <c r="V92" i="33" s="1"/>
  <c r="AF56" i="44" a="1"/>
  <c r="AF56" i="44" s="1"/>
  <c r="Y61" i="33" a="1"/>
  <c r="Y61" i="33" s="1"/>
  <c r="AF20" i="44" a="1"/>
  <c r="AF20" i="44" s="1"/>
  <c r="AL95" i="45" a="1"/>
  <c r="AL95" i="45" s="1"/>
  <c r="AF64" i="33" a="1"/>
  <c r="AF64" i="33" s="1"/>
  <c r="C70" i="33" a="1"/>
  <c r="C70" i="33" s="1"/>
  <c r="AF41" i="44" a="1"/>
  <c r="AF41" i="44" s="1"/>
  <c r="V95" i="45" a="1"/>
  <c r="V95" i="45" s="1"/>
  <c r="N11" i="45" a="1"/>
  <c r="N11" i="45" s="1"/>
  <c r="N20" i="44" a="1"/>
  <c r="N20" i="44" s="1"/>
  <c r="AH80" i="44" a="1"/>
  <c r="AH80" i="44" s="1"/>
  <c r="U83" i="33" a="1"/>
  <c r="U83" i="33" s="1"/>
  <c r="H37" i="44" a="1"/>
  <c r="H37" i="44" s="1"/>
  <c r="AM43" i="45" a="1"/>
  <c r="AM43" i="45" s="1"/>
  <c r="I82" i="44" a="1"/>
  <c r="I82" i="44" s="1"/>
  <c r="Y101" i="45" a="1"/>
  <c r="Y101" i="45" s="1"/>
  <c r="L83" i="44" a="1"/>
  <c r="L83" i="44" s="1"/>
  <c r="R64" i="45" a="1"/>
  <c r="R64" i="45" s="1"/>
  <c r="Z95" i="45" a="1"/>
  <c r="Z95" i="45" s="1"/>
  <c r="X25" i="44" a="1"/>
  <c r="X25" i="44" s="1"/>
  <c r="L16" i="45" a="1"/>
  <c r="L16" i="45" s="1"/>
  <c r="AR19" i="44" a="1"/>
  <c r="AR19" i="44" s="1"/>
  <c r="R28" i="44" a="1"/>
  <c r="R28" i="44" s="1"/>
  <c r="F29" i="45" a="1"/>
  <c r="F29" i="45" s="1"/>
  <c r="F89" i="44" a="1"/>
  <c r="F89" i="44" s="1"/>
  <c r="N104" i="33" a="1"/>
  <c r="N104" i="33" s="1"/>
  <c r="AD38" i="33" a="1"/>
  <c r="AD38" i="33" s="1"/>
  <c r="L85" i="33" a="1"/>
  <c r="L85" i="33" s="1"/>
  <c r="T34" i="44" a="1"/>
  <c r="T34" i="44" s="1"/>
  <c r="W68" i="44" a="1"/>
  <c r="W68" i="44" s="1"/>
  <c r="R103" i="45" a="1"/>
  <c r="R103" i="45" s="1"/>
  <c r="AH28" i="44" a="1"/>
  <c r="AH28" i="44" s="1"/>
  <c r="AG92" i="44" a="1"/>
  <c r="AG92" i="44" s="1"/>
  <c r="AI38" i="44" a="1"/>
  <c r="AI38" i="44" s="1"/>
  <c r="Y61" i="44" a="1"/>
  <c r="Y61" i="44" s="1"/>
  <c r="AK70" i="44" a="1"/>
  <c r="AK70" i="44" s="1"/>
  <c r="AI73" i="33" a="1"/>
  <c r="AI73" i="33" s="1"/>
  <c r="H53" i="44" a="1"/>
  <c r="H53" i="44" s="1"/>
  <c r="G10" i="44" a="1"/>
  <c r="G10" i="44" s="1"/>
  <c r="W88" i="33" a="1"/>
  <c r="W88" i="33" s="1"/>
  <c r="W38" i="44" a="1"/>
  <c r="W38" i="44" s="1"/>
  <c r="C19" i="41" a="1"/>
  <c r="C19" i="41" s="1"/>
  <c r="R35" i="33" a="1"/>
  <c r="R35" i="33" s="1"/>
  <c r="M64" i="45" a="1"/>
  <c r="M64" i="45" s="1"/>
  <c r="W53" i="45" a="1"/>
  <c r="W53" i="45" s="1"/>
  <c r="Y10" i="45" a="1"/>
  <c r="Y10" i="45" s="1"/>
  <c r="AK74" i="44" a="1"/>
  <c r="AK74" i="44" s="1"/>
  <c r="I74" i="33" a="1"/>
  <c r="I74" i="33" s="1"/>
  <c r="V56" i="45" a="1"/>
  <c r="V56" i="45" s="1"/>
  <c r="AG28" i="45" a="1"/>
  <c r="AG28" i="45" s="1"/>
  <c r="AP37" i="44" a="1"/>
  <c r="AP37" i="44" s="1"/>
  <c r="Y77" i="45" a="1"/>
  <c r="Y77" i="45" s="1"/>
  <c r="AC10" i="45" a="1"/>
  <c r="AC10" i="45" s="1"/>
  <c r="AR77" i="45" a="1"/>
  <c r="AR77" i="45" s="1"/>
  <c r="AQ16" i="44" a="1"/>
  <c r="AQ16" i="44" s="1"/>
  <c r="V19" i="45" a="1"/>
  <c r="V19" i="45" s="1"/>
  <c r="AM83" i="44" a="1"/>
  <c r="AM83" i="44" s="1"/>
  <c r="G40" i="33" a="1"/>
  <c r="G40" i="33" s="1"/>
  <c r="H92" i="33" a="1"/>
  <c r="H92" i="33" s="1"/>
  <c r="J29" i="33" a="1"/>
  <c r="J29" i="33" s="1"/>
  <c r="S88" i="45" a="1"/>
  <c r="S88" i="45" s="1"/>
  <c r="E22" i="45" a="1"/>
  <c r="E22" i="45" s="1"/>
  <c r="Y59" i="44" a="1"/>
  <c r="Y59" i="44" s="1"/>
  <c r="AE34" i="44" a="1"/>
  <c r="AE34" i="44" s="1"/>
  <c r="R31" i="45" a="1"/>
  <c r="R31" i="45" s="1"/>
  <c r="M35" i="44" a="1"/>
  <c r="M35" i="44" s="1"/>
  <c r="AR19" i="45" a="1"/>
  <c r="AR19" i="45" s="1"/>
  <c r="W79" i="33" a="1"/>
  <c r="W79" i="33" s="1"/>
  <c r="M17" i="44" a="1"/>
  <c r="M17" i="44" s="1"/>
  <c r="AJ34" i="44" a="1"/>
  <c r="AJ34" i="44" s="1"/>
  <c r="C49" i="44" a="1"/>
  <c r="C49" i="44" s="1"/>
  <c r="AQ20" i="45" a="1"/>
  <c r="AQ20" i="45" s="1"/>
  <c r="G83" i="33" a="1"/>
  <c r="G83" i="33" s="1"/>
  <c r="W62" i="44" a="1"/>
  <c r="W62" i="44" s="1"/>
  <c r="AH89" i="45" a="1"/>
  <c r="AH89" i="45" s="1"/>
  <c r="O16" i="45" a="1"/>
  <c r="O16" i="45" s="1"/>
  <c r="AF95" i="33" a="1"/>
  <c r="AF95" i="33" s="1"/>
  <c r="AO62" i="33" a="1"/>
  <c r="AO62" i="33" s="1"/>
  <c r="AG82" i="33" a="1"/>
  <c r="AG82" i="33" s="1"/>
  <c r="AB68" i="33" a="1"/>
  <c r="AB68" i="33" s="1"/>
  <c r="U46" i="33" a="1"/>
  <c r="U46" i="33" s="1"/>
  <c r="M19" i="44" a="1"/>
  <c r="M19" i="44" s="1"/>
  <c r="Q25" i="44" a="1"/>
  <c r="Q25" i="44" s="1"/>
  <c r="AE40" i="33" a="1"/>
  <c r="AE40" i="33" s="1"/>
  <c r="AI28" i="45" a="1"/>
  <c r="AI28" i="45" s="1"/>
  <c r="AH61" i="44" a="1"/>
  <c r="AH61" i="44" s="1"/>
  <c r="AL82" i="45" a="1"/>
  <c r="AL82" i="45" s="1"/>
  <c r="AJ98" i="44" a="1"/>
  <c r="AJ98" i="44" s="1"/>
  <c r="AA86" i="33" a="1"/>
  <c r="AA86" i="33" s="1"/>
  <c r="L53" i="44" a="1"/>
  <c r="L53" i="44" s="1"/>
  <c r="R41" i="45" a="1"/>
  <c r="R41" i="45" s="1"/>
  <c r="G46" i="44" a="1"/>
  <c r="G46" i="44" s="1"/>
  <c r="K89" i="44" a="1"/>
  <c r="K89" i="44" s="1"/>
  <c r="I38" i="44" a="1"/>
  <c r="I38" i="44" s="1"/>
  <c r="AI71" i="44" a="1"/>
  <c r="AI71" i="44" s="1"/>
  <c r="O64" i="44" a="1"/>
  <c r="O64" i="44" s="1"/>
  <c r="AG44" i="44" a="1"/>
  <c r="AG44" i="44" s="1"/>
  <c r="AC34" i="44" a="1"/>
  <c r="AC34" i="44" s="1"/>
  <c r="I82" i="33" a="1"/>
  <c r="I82" i="33" s="1"/>
  <c r="AM40" i="44" a="1"/>
  <c r="AM40" i="44" s="1"/>
  <c r="AG41" i="44" a="1"/>
  <c r="AG41" i="44" s="1"/>
  <c r="W67" i="33" a="1"/>
  <c r="W67" i="33" s="1"/>
  <c r="O46" i="45" a="1"/>
  <c r="O46" i="45" s="1"/>
  <c r="AJ56" i="45" a="1"/>
  <c r="AJ56" i="45" s="1"/>
  <c r="AG68" i="33" a="1"/>
  <c r="AG68" i="33" s="1"/>
  <c r="AD55" i="44" a="1"/>
  <c r="AD55" i="44" s="1"/>
  <c r="J40" i="33" a="1"/>
  <c r="J40" i="33" s="1"/>
  <c r="AM23" i="44" a="1"/>
  <c r="AM23" i="44" s="1"/>
  <c r="AD35" i="45" a="1"/>
  <c r="AD35" i="45" s="1"/>
  <c r="AO98" i="45" a="1"/>
  <c r="AO98" i="45" s="1"/>
  <c r="AC22" i="44" a="1"/>
  <c r="AC22" i="44" s="1"/>
  <c r="X74" i="33" a="1"/>
  <c r="X74" i="33" s="1"/>
  <c r="Q98" i="45" a="1"/>
  <c r="Q98" i="45" s="1"/>
  <c r="W80" i="45" a="1"/>
  <c r="W80" i="45" s="1"/>
  <c r="X82" i="44" a="1"/>
  <c r="X82" i="44" s="1"/>
  <c r="AH31" i="45" a="1"/>
  <c r="AH31" i="45" s="1"/>
  <c r="T25" i="45" a="1"/>
  <c r="T25" i="45" s="1"/>
  <c r="AB59" i="33" a="1"/>
  <c r="AB59" i="33" s="1"/>
  <c r="U10" i="33" a="1"/>
  <c r="U10" i="33" s="1"/>
  <c r="I10" i="44" a="1"/>
  <c r="I10" i="44" s="1"/>
  <c r="I9" i="44" s="1"/>
  <c r="L86" i="44" a="1"/>
  <c r="L86" i="44" s="1"/>
  <c r="AG80" i="44" a="1"/>
  <c r="AG80" i="44" s="1"/>
  <c r="Z28" i="33" a="1"/>
  <c r="Z28" i="33" s="1"/>
  <c r="G17" i="33" a="1"/>
  <c r="G17" i="33" s="1"/>
  <c r="J98" i="45" a="1"/>
  <c r="J98" i="45" s="1"/>
  <c r="AN86" i="44" a="1"/>
  <c r="AN86" i="44" s="1"/>
  <c r="O100" i="44" a="1"/>
  <c r="O100" i="44" s="1"/>
  <c r="O53" i="44" a="1"/>
  <c r="O53" i="44" s="1"/>
  <c r="Y100" i="45" a="1"/>
  <c r="Y100" i="45" s="1"/>
  <c r="S70" i="33" a="1"/>
  <c r="S70" i="33" s="1"/>
  <c r="AH65" i="44" a="1"/>
  <c r="AH65" i="44" s="1"/>
  <c r="J46" i="33" a="1"/>
  <c r="J46" i="33" s="1"/>
  <c r="AL56" i="33" a="1"/>
  <c r="AL56" i="33" s="1"/>
  <c r="I58" i="44" a="1"/>
  <c r="I58" i="44" s="1"/>
  <c r="H71" i="44" a="1"/>
  <c r="H71" i="44" s="1"/>
  <c r="N61" i="33" a="1"/>
  <c r="N61" i="33" s="1"/>
  <c r="AQ86" i="44" a="1"/>
  <c r="AQ86" i="44" s="1"/>
  <c r="AP43" i="44" a="1"/>
  <c r="AP43" i="44" s="1"/>
  <c r="L43" i="45" a="1"/>
  <c r="L43" i="45" s="1"/>
  <c r="AP77" i="45" a="1"/>
  <c r="AP77" i="45" s="1"/>
  <c r="I79" i="33" a="1"/>
  <c r="I79" i="33" s="1"/>
  <c r="C86" i="42" a="1"/>
  <c r="C86" i="42" s="1"/>
  <c r="AN19" i="45" a="1"/>
  <c r="AN19" i="45" s="1"/>
  <c r="AF76" i="44" a="1"/>
  <c r="AF76" i="44" s="1"/>
  <c r="O71" i="33" a="1"/>
  <c r="O71" i="33" s="1"/>
  <c r="AL80" i="44" a="1"/>
  <c r="AL80" i="44" s="1"/>
  <c r="T46" i="45" a="1"/>
  <c r="T46" i="45" s="1"/>
  <c r="V35" i="44" a="1"/>
  <c r="V35" i="44" s="1"/>
  <c r="V33" i="44" s="1"/>
  <c r="J23" i="44" a="1"/>
  <c r="J23" i="44" s="1"/>
  <c r="S79" i="44" a="1"/>
  <c r="S79" i="44" s="1"/>
  <c r="Q88" i="45" a="1"/>
  <c r="Q88" i="45" s="1"/>
  <c r="AE56" i="45" a="1"/>
  <c r="AE56" i="45" s="1"/>
  <c r="X97" i="44" a="1"/>
  <c r="X97" i="44" s="1"/>
  <c r="AK46" i="44" a="1"/>
  <c r="AK46" i="44" s="1"/>
  <c r="AD92" i="44" a="1"/>
  <c r="AD92" i="44" s="1"/>
  <c r="V70" i="33" a="1"/>
  <c r="V70" i="33" s="1"/>
  <c r="I79" i="44" a="1"/>
  <c r="I79" i="44" s="1"/>
  <c r="N62" i="44" a="1"/>
  <c r="N62" i="44" s="1"/>
  <c r="P104" i="45" a="1"/>
  <c r="P104" i="45" s="1"/>
  <c r="X95" i="33" a="1"/>
  <c r="X95" i="33" s="1"/>
  <c r="K74" i="45" a="1"/>
  <c r="K74" i="45" s="1"/>
  <c r="Q53" i="44" a="1"/>
  <c r="Q53" i="44" s="1"/>
  <c r="AK16" i="45" a="1"/>
  <c r="AK16" i="45" s="1"/>
  <c r="I47" i="44" a="1"/>
  <c r="I47" i="44" s="1"/>
  <c r="K22" i="33" a="1"/>
  <c r="K22" i="33" s="1"/>
  <c r="AN73" i="33" a="1"/>
  <c r="AN73" i="33" s="1"/>
  <c r="AI16" i="33" a="1"/>
  <c r="AI16" i="33" s="1"/>
  <c r="AO71" i="45" a="1"/>
  <c r="AO71" i="45" s="1"/>
  <c r="AP68" i="45" a="1"/>
  <c r="AP68" i="45" s="1"/>
  <c r="V80" i="44" a="1"/>
  <c r="V80" i="44" s="1"/>
  <c r="C71" i="43" a="1"/>
  <c r="C71" i="43" s="1"/>
  <c r="AI62" i="45" a="1"/>
  <c r="AI62" i="45" s="1"/>
  <c r="AA38" i="33" a="1"/>
  <c r="AA38" i="33" s="1"/>
  <c r="C98" i="47" a="1"/>
  <c r="C98" i="47" s="1"/>
  <c r="M22" i="45" a="1"/>
  <c r="M22" i="45" s="1"/>
  <c r="AP19" i="45" a="1"/>
  <c r="AP19" i="45" s="1"/>
  <c r="T34" i="33" a="1"/>
  <c r="T34" i="33" s="1"/>
  <c r="F16" i="33" a="1"/>
  <c r="F16" i="33" s="1"/>
  <c r="U47" i="44" a="1"/>
  <c r="U47" i="44" s="1"/>
  <c r="AB80" i="33" a="1"/>
  <c r="AB80" i="33" s="1"/>
  <c r="I41" i="33" a="1"/>
  <c r="I41" i="33" s="1"/>
  <c r="AN88" i="33" a="1"/>
  <c r="AN88" i="33" s="1"/>
  <c r="AF79" i="44" a="1"/>
  <c r="AF79" i="44" s="1"/>
  <c r="AQ43" i="33" a="1"/>
  <c r="AQ43" i="33" s="1"/>
  <c r="AN31" i="45" a="1"/>
  <c r="AN31" i="45" s="1"/>
  <c r="AI43" i="44" a="1"/>
  <c r="AI43" i="44" s="1"/>
  <c r="W98" i="45" a="1"/>
  <c r="W98" i="45" s="1"/>
  <c r="AO50" i="44" a="1"/>
  <c r="AO50" i="44" s="1"/>
  <c r="F98" i="45" a="1"/>
  <c r="F98" i="45" s="1"/>
  <c r="AD28" i="45" a="1"/>
  <c r="AD28" i="45" s="1"/>
  <c r="G104" i="33" a="1"/>
  <c r="G104" i="33" s="1"/>
  <c r="AM101" i="44" a="1"/>
  <c r="AM101" i="44" s="1"/>
  <c r="F22" i="33" a="1"/>
  <c r="F22" i="33" s="1"/>
  <c r="AR94" i="44" a="1"/>
  <c r="AR94" i="44" s="1"/>
  <c r="L23" i="33" a="1"/>
  <c r="L23" i="33" s="1"/>
  <c r="AK95" i="44" a="1"/>
  <c r="AK95" i="44" s="1"/>
  <c r="AM92" i="44" a="1"/>
  <c r="AM92" i="44" s="1"/>
  <c r="C80" i="44" a="1"/>
  <c r="C80" i="44" s="1"/>
  <c r="AG11" i="33" a="1"/>
  <c r="AG11" i="33" s="1"/>
  <c r="AG17" i="33" a="1"/>
  <c r="AG17" i="33" s="1"/>
  <c r="C53" i="41" a="1"/>
  <c r="C53" i="41" s="1"/>
  <c r="AI95" i="44" a="1"/>
  <c r="AI95" i="44" s="1"/>
  <c r="AD64" i="45" a="1"/>
  <c r="AD64" i="45" s="1"/>
  <c r="R98" i="45" a="1"/>
  <c r="R98" i="45" s="1"/>
  <c r="AR35" i="45" a="1"/>
  <c r="AR35" i="45" s="1"/>
  <c r="AK38" i="33" a="1"/>
  <c r="AK38" i="33" s="1"/>
  <c r="K32" i="33" a="1"/>
  <c r="K32" i="33" s="1"/>
  <c r="I41" i="45" a="1"/>
  <c r="I41" i="45" s="1"/>
  <c r="AE82" i="45" a="1"/>
  <c r="AE82" i="45" s="1"/>
  <c r="AH80" i="45" a="1"/>
  <c r="AH80" i="45" s="1"/>
  <c r="AK61" i="45" a="1"/>
  <c r="AK61" i="45" s="1"/>
  <c r="E65" i="45" a="1"/>
  <c r="E65" i="45" s="1"/>
  <c r="R52" i="33" a="1"/>
  <c r="R52" i="33" s="1"/>
  <c r="I67" i="33" a="1"/>
  <c r="I67" i="33" s="1"/>
  <c r="L31" i="45" a="1"/>
  <c r="L31" i="45" s="1"/>
  <c r="AD49" i="44" a="1"/>
  <c r="AD49" i="44" s="1"/>
  <c r="V37" i="44" a="1"/>
  <c r="V37" i="44" s="1"/>
  <c r="P82" i="44" a="1"/>
  <c r="P82" i="44" s="1"/>
  <c r="P19" i="45" a="1"/>
  <c r="P19" i="45" s="1"/>
  <c r="L92" i="44" a="1"/>
  <c r="L92" i="44" s="1"/>
  <c r="C65" i="42" a="1"/>
  <c r="C65" i="42" s="1"/>
  <c r="AH19" i="44" a="1"/>
  <c r="AH19" i="44" s="1"/>
  <c r="AF74" i="45" a="1"/>
  <c r="AF74" i="45" s="1"/>
  <c r="AP71" i="45" a="1"/>
  <c r="AP71" i="45" s="1"/>
  <c r="W73" i="33" a="1"/>
  <c r="W73" i="33" s="1"/>
  <c r="AG67" i="44" a="1"/>
  <c r="AG67" i="44" s="1"/>
  <c r="AB22" i="33" a="1"/>
  <c r="AB22" i="33" s="1"/>
  <c r="AE104" i="33" a="1"/>
  <c r="AE104" i="33" s="1"/>
  <c r="M47" i="33" a="1"/>
  <c r="M47" i="33" s="1"/>
  <c r="AK58" i="44" a="1"/>
  <c r="AK58" i="44" s="1"/>
  <c r="AA16" i="45" a="1"/>
  <c r="AA16" i="45" s="1"/>
  <c r="C76" i="47" a="1"/>
  <c r="C76" i="47" s="1"/>
  <c r="P77" i="45" a="1"/>
  <c r="P77" i="45" s="1"/>
  <c r="AF49" i="33" a="1"/>
  <c r="AF49" i="33" s="1"/>
  <c r="Z64" i="33" a="1"/>
  <c r="Z64" i="33" s="1"/>
  <c r="AD100" i="33" a="1"/>
  <c r="AD100" i="33" s="1"/>
  <c r="U55" i="44" a="1"/>
  <c r="U55" i="44" s="1"/>
  <c r="U82" i="44" a="1"/>
  <c r="U82" i="44" s="1"/>
  <c r="T94" i="44" a="1"/>
  <c r="T94" i="44" s="1"/>
  <c r="AA53" i="44" a="1"/>
  <c r="AA53" i="44" s="1"/>
  <c r="H50" i="33" a="1"/>
  <c r="H50" i="33" s="1"/>
  <c r="C35" i="33" a="1"/>
  <c r="C35" i="33" s="1"/>
  <c r="P67" i="45" a="1"/>
  <c r="P67" i="45" s="1"/>
  <c r="M97" i="44" a="1"/>
  <c r="M97" i="44" s="1"/>
  <c r="G64" i="44" a="1"/>
  <c r="G64" i="44" s="1"/>
  <c r="AE43" i="33" a="1"/>
  <c r="AE43" i="33" s="1"/>
  <c r="AK29" i="33" a="1"/>
  <c r="AK29" i="33" s="1"/>
  <c r="N82" i="44" a="1"/>
  <c r="N82" i="44" s="1"/>
  <c r="AI103" i="33" a="1"/>
  <c r="AI103" i="33" s="1"/>
  <c r="AM25" i="33" a="1"/>
  <c r="AM25" i="33" s="1"/>
  <c r="AH41" i="33" a="1"/>
  <c r="AH41" i="33" s="1"/>
  <c r="G43" i="45" a="1"/>
  <c r="G43" i="45" s="1"/>
  <c r="AF67" i="33" a="1"/>
  <c r="AF67" i="33" s="1"/>
  <c r="N16" i="33" a="1"/>
  <c r="N16" i="33" s="1"/>
  <c r="AR92" i="33" a="1"/>
  <c r="AR92" i="33" s="1"/>
  <c r="X19" i="44" a="1"/>
  <c r="X19" i="44" s="1"/>
  <c r="AJ68" i="45" a="1"/>
  <c r="AJ68" i="45" s="1"/>
  <c r="AB100" i="45" a="1"/>
  <c r="AB100" i="45" s="1"/>
  <c r="AM61" i="44" a="1"/>
  <c r="AM61" i="44" s="1"/>
  <c r="S47" i="44" a="1"/>
  <c r="S47" i="44" s="1"/>
  <c r="I73" i="44" a="1"/>
  <c r="I73" i="44" s="1"/>
  <c r="O92" i="45" a="1"/>
  <c r="O92" i="45" s="1"/>
  <c r="AB28" i="33" a="1"/>
  <c r="AB28" i="33" s="1"/>
  <c r="AJ23" i="45" a="1"/>
  <c r="AJ23" i="45" s="1"/>
  <c r="X80" i="33" a="1"/>
  <c r="X80" i="33" s="1"/>
  <c r="Y40" i="33" a="1"/>
  <c r="Y40" i="33" s="1"/>
  <c r="P104" i="44" a="1"/>
  <c r="P104" i="44" s="1"/>
  <c r="N101" i="44" a="1"/>
  <c r="N101" i="44" s="1"/>
  <c r="AA20" i="44" a="1"/>
  <c r="AA20" i="44" s="1"/>
  <c r="V19" i="44" a="1"/>
  <c r="V19" i="44" s="1"/>
  <c r="W11" i="44" a="1"/>
  <c r="W11" i="44" s="1"/>
  <c r="T28" i="33" a="1"/>
  <c r="T28" i="33" s="1"/>
  <c r="J80" i="33" a="1"/>
  <c r="J80" i="33" s="1"/>
  <c r="AI74" i="44" a="1"/>
  <c r="AI74" i="44" s="1"/>
  <c r="H76" i="33" a="1"/>
  <c r="H76" i="33" s="1"/>
  <c r="AP101" i="33" a="1"/>
  <c r="AP101" i="33" s="1"/>
  <c r="Q49" i="33" a="1"/>
  <c r="Q49" i="33" s="1"/>
  <c r="S91" i="33" a="1"/>
  <c r="S91" i="33" s="1"/>
  <c r="H74" i="44" a="1"/>
  <c r="H74" i="44" s="1"/>
  <c r="AI34" i="45" a="1"/>
  <c r="AI34" i="45" s="1"/>
  <c r="E31" i="44" a="1"/>
  <c r="E31" i="44" s="1"/>
  <c r="AE16" i="44" a="1"/>
  <c r="AE16" i="44" s="1"/>
  <c r="K10" i="33" a="1"/>
  <c r="K10" i="33" s="1"/>
  <c r="W23" i="44" a="1"/>
  <c r="W23" i="44" s="1"/>
  <c r="I73" i="45" a="1"/>
  <c r="I73" i="45" s="1"/>
  <c r="AL80" i="33" a="1"/>
  <c r="AL80" i="33" s="1"/>
  <c r="AC32" i="45" a="1"/>
  <c r="AC32" i="45" s="1"/>
  <c r="Z11" i="45" a="1"/>
  <c r="Z11" i="45" s="1"/>
  <c r="O43" i="33" a="1"/>
  <c r="O43" i="33" s="1"/>
  <c r="AI82" i="45" a="1"/>
  <c r="AI82" i="45" s="1"/>
  <c r="T104" i="44" a="1"/>
  <c r="T104" i="44" s="1"/>
  <c r="I95" i="45" a="1"/>
  <c r="I95" i="45" s="1"/>
  <c r="C85" i="46" a="1"/>
  <c r="C85" i="46" s="1"/>
  <c r="C32" i="33" a="1"/>
  <c r="C32" i="33" s="1"/>
  <c r="F25" i="33" a="1"/>
  <c r="F25" i="33" s="1"/>
  <c r="AN79" i="33" a="1"/>
  <c r="AN79" i="33" s="1"/>
  <c r="AQ34" i="44" a="1"/>
  <c r="AQ34" i="44" s="1"/>
  <c r="AI58" i="33" a="1"/>
  <c r="AI58" i="33" s="1"/>
  <c r="AP59" i="45" a="1"/>
  <c r="AP59" i="45" s="1"/>
  <c r="C37" i="43" a="1"/>
  <c r="C37" i="43" s="1"/>
  <c r="I77" i="45" a="1"/>
  <c r="I77" i="45" s="1"/>
  <c r="K17" i="45" a="1"/>
  <c r="K17" i="45" s="1"/>
  <c r="C94" i="43" a="1"/>
  <c r="C94" i="43" s="1"/>
  <c r="T62" i="45" a="1"/>
  <c r="T62" i="45" s="1"/>
  <c r="AM28" i="33" a="1"/>
  <c r="AM28" i="33" s="1"/>
  <c r="AI53" i="45" a="1"/>
  <c r="AI53" i="45" s="1"/>
  <c r="AL29" i="45" a="1"/>
  <c r="AL29" i="45" s="1"/>
  <c r="G32" i="33" a="1"/>
  <c r="G32" i="33" s="1"/>
  <c r="C74" i="44" a="1"/>
  <c r="C74" i="44" s="1"/>
  <c r="F82" i="45" a="1"/>
  <c r="F82" i="45" s="1"/>
  <c r="N80" i="44" a="1"/>
  <c r="N80" i="44" s="1"/>
  <c r="C58" i="44" a="1"/>
  <c r="C58" i="44" s="1"/>
  <c r="AB20" i="33" a="1"/>
  <c r="AB20" i="33" s="1"/>
  <c r="E98" i="45" a="1"/>
  <c r="E98" i="45" s="1"/>
  <c r="AE86" i="44" a="1"/>
  <c r="AE86" i="44" s="1"/>
  <c r="T83" i="33" a="1"/>
  <c r="T83" i="33" s="1"/>
  <c r="J44" i="45" a="1"/>
  <c r="J44" i="45" s="1"/>
  <c r="X83" i="45" a="1"/>
  <c r="X83" i="45" s="1"/>
  <c r="O26" i="33" a="1"/>
  <c r="O26" i="33" s="1"/>
  <c r="G59" i="33" a="1"/>
  <c r="G59" i="33" s="1"/>
  <c r="Y64" i="45" a="1"/>
  <c r="Y64" i="45" s="1"/>
  <c r="T104" i="45" a="1"/>
  <c r="T104" i="45" s="1"/>
  <c r="AD88" i="33" a="1"/>
  <c r="AD88" i="33" s="1"/>
  <c r="AI35" i="44" a="1"/>
  <c r="AI35" i="44" s="1"/>
  <c r="AA103" i="44" a="1"/>
  <c r="AA103" i="44" s="1"/>
  <c r="X70" i="33" a="1"/>
  <c r="X70" i="33" s="1"/>
  <c r="AL68" i="44" a="1"/>
  <c r="AL68" i="44" s="1"/>
  <c r="AR20" i="45" a="1"/>
  <c r="AR20" i="45" s="1"/>
  <c r="Z86" i="45" a="1"/>
  <c r="Z86" i="45" s="1"/>
  <c r="G58" i="44" a="1"/>
  <c r="G58" i="44" s="1"/>
  <c r="R92" i="44" a="1"/>
  <c r="R92" i="44" s="1"/>
  <c r="AJ74" i="44" a="1"/>
  <c r="AJ74" i="44" s="1"/>
  <c r="AQ37" i="45" a="1"/>
  <c r="AQ37" i="45" s="1"/>
  <c r="U38" i="44" a="1"/>
  <c r="U38" i="44" s="1"/>
  <c r="H85" i="33" a="1"/>
  <c r="H85" i="33" s="1"/>
  <c r="E25" i="44" a="1"/>
  <c r="E25" i="44" s="1"/>
  <c r="AM55" i="33" a="1"/>
  <c r="AM55" i="33" s="1"/>
  <c r="AK47" i="44" a="1"/>
  <c r="AK47" i="44" s="1"/>
  <c r="AA80" i="44" a="1"/>
  <c r="AA80" i="44" s="1"/>
  <c r="Q16" i="33" a="1"/>
  <c r="Q16" i="33" s="1"/>
  <c r="AG76" i="44" a="1"/>
  <c r="AG76" i="44" s="1"/>
  <c r="G34" i="44" a="1"/>
  <c r="G34" i="44" s="1"/>
  <c r="AL64" i="44" a="1"/>
  <c r="AL64" i="44" s="1"/>
  <c r="AN91" i="44" a="1"/>
  <c r="AN91" i="44" s="1"/>
  <c r="AJ11" i="44" a="1"/>
  <c r="AJ11" i="44" s="1"/>
  <c r="E92" i="45" a="1"/>
  <c r="E92" i="45" s="1"/>
  <c r="AI64" i="33" a="1"/>
  <c r="AI64" i="33" s="1"/>
  <c r="X11" i="45" a="1"/>
  <c r="X11" i="45" s="1"/>
  <c r="AF98" i="33" a="1"/>
  <c r="AF98" i="33" s="1"/>
  <c r="Y73" i="45" a="1"/>
  <c r="Y73" i="45" s="1"/>
  <c r="P85" i="45" a="1"/>
  <c r="P85" i="45" s="1"/>
  <c r="H77" i="45" a="1"/>
  <c r="H77" i="45" s="1"/>
  <c r="J70" i="44" a="1"/>
  <c r="J70" i="44" s="1"/>
  <c r="N25" i="45" a="1"/>
  <c r="N25" i="45" s="1"/>
  <c r="AH40" i="33" a="1"/>
  <c r="AH40" i="33" s="1"/>
  <c r="AJ47" i="44" a="1"/>
  <c r="AJ47" i="44" s="1"/>
  <c r="AM95" i="33" a="1"/>
  <c r="AM95" i="33" s="1"/>
  <c r="AA62" i="44" a="1"/>
  <c r="AA62" i="44" s="1"/>
  <c r="L85" i="45" a="1"/>
  <c r="L85" i="45" s="1"/>
  <c r="W70" i="45" a="1"/>
  <c r="W70" i="45" s="1"/>
  <c r="E68" i="45" a="1"/>
  <c r="E68" i="45" s="1"/>
  <c r="AP76" i="33" a="1"/>
  <c r="AP76" i="33" s="1"/>
  <c r="AA55" i="44" a="1"/>
  <c r="AA55" i="44" s="1"/>
  <c r="J104" i="33" a="1"/>
  <c r="J104" i="33" s="1"/>
  <c r="AL41" i="33" a="1"/>
  <c r="AL41" i="33" s="1"/>
  <c r="W77" i="33" a="1"/>
  <c r="W77" i="33" s="1"/>
  <c r="V50" i="33" a="1"/>
  <c r="V50" i="33" s="1"/>
  <c r="P53" i="45" a="1"/>
  <c r="P53" i="45" s="1"/>
  <c r="F20" i="33" a="1"/>
  <c r="F20" i="33" s="1"/>
  <c r="P94" i="44" a="1"/>
  <c r="P94" i="44" s="1"/>
  <c r="AJ83" i="33" a="1"/>
  <c r="AJ83" i="33" s="1"/>
  <c r="AE46" i="33" a="1"/>
  <c r="AE46" i="33" s="1"/>
  <c r="E98" i="44" a="1"/>
  <c r="E98" i="44" s="1"/>
  <c r="AQ44" i="44" a="1"/>
  <c r="AQ44" i="44" s="1"/>
  <c r="AQ28" i="45" a="1"/>
  <c r="AQ28" i="45" s="1"/>
  <c r="AQ46" i="45" a="1"/>
  <c r="AQ46" i="45" s="1"/>
  <c r="AK73" i="44" a="1"/>
  <c r="AK73" i="44" s="1"/>
  <c r="AO92" i="33" a="1"/>
  <c r="AO92" i="33" s="1"/>
  <c r="AD82" i="44" a="1"/>
  <c r="AD82" i="44" s="1"/>
  <c r="C67" i="46" a="1"/>
  <c r="C67" i="46" s="1"/>
  <c r="AN104" i="45" a="1"/>
  <c r="AN104" i="45" s="1"/>
  <c r="AM40" i="45" a="1"/>
  <c r="AM40" i="45" s="1"/>
  <c r="AF56" i="45" a="1"/>
  <c r="AF56" i="45" s="1"/>
  <c r="AE50" i="44" a="1"/>
  <c r="AE50" i="44" s="1"/>
  <c r="AG46" i="33" a="1"/>
  <c r="AG46" i="33" s="1"/>
  <c r="AK53" i="33" a="1"/>
  <c r="AK53" i="33" s="1"/>
  <c r="AO53" i="44" a="1"/>
  <c r="AO53" i="44" s="1"/>
  <c r="N47" i="45" a="1"/>
  <c r="N47" i="45" s="1"/>
  <c r="Y50" i="45" a="1"/>
  <c r="Y50" i="45" s="1"/>
  <c r="AF31" i="33" a="1"/>
  <c r="AF31" i="33" s="1"/>
  <c r="U29" i="45" a="1"/>
  <c r="U29" i="45" s="1"/>
  <c r="G49" i="45" a="1"/>
  <c r="G49" i="45" s="1"/>
  <c r="AK100" i="33" a="1"/>
  <c r="AK100" i="33" s="1"/>
  <c r="C83" i="45" a="1"/>
  <c r="C83" i="45" s="1"/>
  <c r="AQ17" i="44" a="1"/>
  <c r="AQ17" i="44" s="1"/>
  <c r="N25" i="33" a="1"/>
  <c r="N25" i="33" s="1"/>
  <c r="H94" i="45" a="1"/>
  <c r="H94" i="45" s="1"/>
  <c r="E83" i="45" a="1"/>
  <c r="E83" i="45" s="1"/>
  <c r="C34" i="44" a="1"/>
  <c r="C34" i="44" s="1"/>
  <c r="O52" i="44" a="1"/>
  <c r="O52" i="44" s="1"/>
  <c r="O51" i="44" s="1"/>
  <c r="AA59" i="44" a="1"/>
  <c r="AA59" i="44" s="1"/>
  <c r="AQ103" i="45" a="1"/>
  <c r="AQ103" i="45" s="1"/>
  <c r="L52" i="45" a="1"/>
  <c r="L52" i="45" s="1"/>
  <c r="P46" i="45" a="1"/>
  <c r="P46" i="45" s="1"/>
  <c r="Q65" i="45" a="1"/>
  <c r="Q65" i="45" s="1"/>
  <c r="AK19" i="33" a="1"/>
  <c r="AK19" i="33" s="1"/>
  <c r="V11" i="44" a="1"/>
  <c r="V11" i="44" s="1"/>
  <c r="AF80" i="33" a="1"/>
  <c r="AF80" i="33" s="1"/>
  <c r="AO94" i="45" a="1"/>
  <c r="AO94" i="45" s="1"/>
  <c r="G103" i="44" a="1"/>
  <c r="G103" i="44" s="1"/>
  <c r="F101" i="44" a="1"/>
  <c r="F101" i="44" s="1"/>
  <c r="AO34" i="44" a="1"/>
  <c r="AO34" i="44" s="1"/>
  <c r="AP104" i="33" a="1"/>
  <c r="AP104" i="33" s="1"/>
  <c r="N98" i="44" a="1"/>
  <c r="N98" i="44" s="1"/>
  <c r="C65" i="41" a="1"/>
  <c r="C65" i="41" s="1"/>
  <c r="K20" i="45" a="1"/>
  <c r="K20" i="45" s="1"/>
  <c r="M28" i="44" a="1"/>
  <c r="M28" i="44" s="1"/>
  <c r="AQ92" i="45" a="1"/>
  <c r="AQ92" i="45" s="1"/>
  <c r="C41" i="44" a="1"/>
  <c r="C41" i="44" s="1"/>
  <c r="AH55" i="45" a="1"/>
  <c r="AH55" i="45" s="1"/>
  <c r="Y86" i="44" a="1"/>
  <c r="Y86" i="44" s="1"/>
  <c r="AR71" i="33" a="1"/>
  <c r="AR71" i="33" s="1"/>
  <c r="AC50" i="33" a="1"/>
  <c r="AC50" i="33" s="1"/>
  <c r="AL98" i="45" a="1"/>
  <c r="AL98" i="45" s="1"/>
  <c r="AQ86" i="45" a="1"/>
  <c r="AQ86" i="45" s="1"/>
  <c r="C73" i="47" a="1"/>
  <c r="C73" i="47" s="1"/>
  <c r="AH11" i="45" a="1"/>
  <c r="AH11" i="45" s="1"/>
  <c r="AH64" i="44" a="1"/>
  <c r="AH64" i="44" s="1"/>
  <c r="P41" i="45" a="1"/>
  <c r="P41" i="45" s="1"/>
  <c r="C40" i="46" a="1"/>
  <c r="C40" i="46" s="1"/>
  <c r="T103" i="33" a="1"/>
  <c r="T103" i="33" s="1"/>
  <c r="H73" i="45" a="1"/>
  <c r="H73" i="45" s="1"/>
  <c r="AH94" i="33" a="1"/>
  <c r="AH94" i="33" s="1"/>
  <c r="K22" i="45" a="1"/>
  <c r="K22" i="45" s="1"/>
  <c r="E41" i="44" a="1"/>
  <c r="E41" i="44" s="1"/>
  <c r="AO73" i="45" a="1"/>
  <c r="AO73" i="45" s="1"/>
  <c r="O83" i="45" a="1"/>
  <c r="O83" i="45" s="1"/>
  <c r="L46" i="44" a="1"/>
  <c r="L46" i="44" s="1"/>
  <c r="Q44" i="45" a="1"/>
  <c r="Q44" i="45" s="1"/>
  <c r="AI85" i="44" a="1"/>
  <c r="AI85" i="44" s="1"/>
  <c r="X47" i="44" a="1"/>
  <c r="X47" i="44" s="1"/>
  <c r="AG77" i="45" a="1"/>
  <c r="AG77" i="45" s="1"/>
  <c r="J34" i="45" a="1"/>
  <c r="J34" i="45" s="1"/>
  <c r="Z29" i="33" a="1"/>
  <c r="Z29" i="33" s="1"/>
  <c r="V31" i="44" a="1"/>
  <c r="V31" i="44" s="1"/>
  <c r="H62" i="33" a="1"/>
  <c r="H62" i="33" s="1"/>
  <c r="C80" i="42" a="1"/>
  <c r="C80" i="42" s="1"/>
  <c r="AK76" i="33" a="1"/>
  <c r="AK76" i="33" s="1"/>
  <c r="AK22" i="44" a="1"/>
  <c r="AK22" i="44" s="1"/>
  <c r="X56" i="44" a="1"/>
  <c r="X56" i="44" s="1"/>
  <c r="W61" i="45" a="1"/>
  <c r="W61" i="45" s="1"/>
  <c r="AQ19" i="44" a="1"/>
  <c r="AQ19" i="44" s="1"/>
  <c r="U77" i="45" a="1"/>
  <c r="U77" i="45" s="1"/>
  <c r="AA35" i="33" a="1"/>
  <c r="AA35" i="33" s="1"/>
  <c r="AI95" i="45" a="1"/>
  <c r="AI95" i="45" s="1"/>
  <c r="Q80" i="33" a="1"/>
  <c r="Q80" i="33" s="1"/>
  <c r="L40" i="44" a="1"/>
  <c r="L40" i="44" s="1"/>
  <c r="X73" i="33" a="1"/>
  <c r="X73" i="33" s="1"/>
  <c r="AA25" i="45" a="1"/>
  <c r="AA25" i="45" s="1"/>
  <c r="I100" i="33" a="1"/>
  <c r="I100" i="33" s="1"/>
  <c r="S98" i="45" a="1"/>
  <c r="S98" i="45" s="1"/>
  <c r="AF43" i="33" a="1"/>
  <c r="AF43" i="33" s="1"/>
  <c r="I10" i="33" a="1"/>
  <c r="I10" i="33" s="1"/>
  <c r="Y53" i="44" a="1"/>
  <c r="Y53" i="44" s="1"/>
  <c r="G89" i="44" a="1"/>
  <c r="G89" i="44" s="1"/>
  <c r="C34" i="46" a="1"/>
  <c r="C34" i="46" s="1"/>
  <c r="T34" i="45" a="1"/>
  <c r="T34" i="45" s="1"/>
  <c r="AL100" i="44" a="1"/>
  <c r="AL100" i="44" s="1"/>
  <c r="C86" i="47" a="1"/>
  <c r="C86" i="47" s="1"/>
  <c r="AD17" i="45" a="1"/>
  <c r="AD17" i="45" s="1"/>
  <c r="M32" i="45" a="1"/>
  <c r="M32" i="45" s="1"/>
  <c r="AI94" i="33" a="1"/>
  <c r="AI94" i="33" s="1"/>
  <c r="AQ38" i="45" a="1"/>
  <c r="AQ38" i="45" s="1"/>
  <c r="C40" i="42" a="1"/>
  <c r="C40" i="42" s="1"/>
  <c r="AG103" i="44" a="1"/>
  <c r="AG103" i="44" s="1"/>
  <c r="T71" i="44" a="1"/>
  <c r="T71" i="44" s="1"/>
  <c r="AB104" i="44" a="1"/>
  <c r="AB104" i="44" s="1"/>
  <c r="AP23" i="33" a="1"/>
  <c r="AP23" i="33" s="1"/>
  <c r="S53" i="33" a="1"/>
  <c r="S53" i="33" s="1"/>
  <c r="AF49" i="45" a="1"/>
  <c r="AF49" i="45" s="1"/>
  <c r="AA89" i="44" a="1"/>
  <c r="AA89" i="44" s="1"/>
  <c r="AG89" i="33" a="1"/>
  <c r="AG89" i="33" s="1"/>
  <c r="P56" i="45" a="1"/>
  <c r="P56" i="45" s="1"/>
  <c r="AD80" i="33" a="1"/>
  <c r="AD80" i="33" s="1"/>
  <c r="AP25" i="33" a="1"/>
  <c r="AP25" i="33" s="1"/>
  <c r="G71" i="33" a="1"/>
  <c r="G71" i="33" s="1"/>
  <c r="Z94" i="44" a="1"/>
  <c r="Z94" i="44" s="1"/>
  <c r="T19" i="44" a="1"/>
  <c r="T19" i="44" s="1"/>
  <c r="AG70" i="33" a="1"/>
  <c r="AG70" i="33" s="1"/>
  <c r="AA97" i="45" a="1"/>
  <c r="AA97" i="45" s="1"/>
  <c r="F35" i="44" a="1"/>
  <c r="F35" i="44" s="1"/>
  <c r="M95" i="45" a="1"/>
  <c r="M95" i="45" s="1"/>
  <c r="U46" i="45" a="1"/>
  <c r="U46" i="45" s="1"/>
  <c r="AJ35" i="33" a="1"/>
  <c r="AJ35" i="33" s="1"/>
  <c r="H35" i="44" a="1"/>
  <c r="H35" i="44" s="1"/>
  <c r="AQ35" i="45" a="1"/>
  <c r="AQ35" i="45" s="1"/>
  <c r="AL64" i="33" a="1"/>
  <c r="AL64" i="33" s="1"/>
  <c r="Z46" i="44" a="1"/>
  <c r="Z46" i="44" s="1"/>
  <c r="AB43" i="44" a="1"/>
  <c r="AB43" i="44" s="1"/>
  <c r="AH89" i="33" a="1"/>
  <c r="AH89" i="33" s="1"/>
  <c r="AH26" i="45" a="1"/>
  <c r="AH26" i="45" s="1"/>
  <c r="AE98" i="45" a="1"/>
  <c r="AE98" i="45" s="1"/>
  <c r="AI80" i="45" a="1"/>
  <c r="AI80" i="45" s="1"/>
  <c r="AQ23" i="45" a="1"/>
  <c r="AQ23" i="45" s="1"/>
  <c r="G19" i="33" a="1"/>
  <c r="G19" i="33" s="1"/>
  <c r="AR47" i="33" a="1"/>
  <c r="AR47" i="33" s="1"/>
  <c r="T70" i="33" a="1"/>
  <c r="T70" i="33" s="1"/>
  <c r="U59" i="44" a="1"/>
  <c r="U59" i="44" s="1"/>
  <c r="AI91" i="45" a="1"/>
  <c r="AI91" i="45" s="1"/>
  <c r="Y89" i="45" a="1"/>
  <c r="Y89" i="45" s="1"/>
  <c r="V35" i="45" a="1"/>
  <c r="V35" i="45" s="1"/>
  <c r="V65" i="45" a="1"/>
  <c r="V65" i="45" s="1"/>
  <c r="AI19" i="45" a="1"/>
  <c r="AI19" i="45" s="1"/>
  <c r="K25" i="33" a="1"/>
  <c r="K25" i="33" s="1"/>
  <c r="T76" i="33" a="1"/>
  <c r="T76" i="33" s="1"/>
  <c r="U101" i="33" a="1"/>
  <c r="U101" i="33" s="1"/>
  <c r="AD29" i="45" a="1"/>
  <c r="AD29" i="45" s="1"/>
  <c r="J10" i="44" a="1"/>
  <c r="J10" i="44" s="1"/>
  <c r="AJ62" i="33" a="1"/>
  <c r="AJ62" i="33" s="1"/>
  <c r="I70" i="45" a="1"/>
  <c r="I70" i="45" s="1"/>
  <c r="AE28" i="45" a="1"/>
  <c r="AE28" i="45" s="1"/>
  <c r="K59" i="44" a="1"/>
  <c r="K59" i="44" s="1"/>
  <c r="AK86" i="44" a="1"/>
  <c r="AK86" i="44" s="1"/>
  <c r="Q56" i="45" a="1"/>
  <c r="Q56" i="45" s="1"/>
  <c r="Y55" i="33" a="1"/>
  <c r="Y55" i="33" s="1"/>
  <c r="X28" i="33" a="1"/>
  <c r="X28" i="33" s="1"/>
  <c r="AL28" i="44" a="1"/>
  <c r="AL28" i="44" s="1"/>
  <c r="AA44" i="44" a="1"/>
  <c r="AA44" i="44" s="1"/>
  <c r="U71" i="45" a="1"/>
  <c r="U71" i="45" s="1"/>
  <c r="C79" i="42" a="1"/>
  <c r="C79" i="42" s="1"/>
  <c r="Z16" i="45" a="1"/>
  <c r="Z16" i="45" s="1"/>
  <c r="AP16" i="45" a="1"/>
  <c r="AP16" i="45" s="1"/>
  <c r="I44" i="45" a="1"/>
  <c r="I44" i="45" s="1"/>
  <c r="AE73" i="44" a="1"/>
  <c r="AE73" i="44" s="1"/>
  <c r="AQ61" i="33" a="1"/>
  <c r="AQ61" i="33" s="1"/>
  <c r="AC28" i="33" a="1"/>
  <c r="AC28" i="33" s="1"/>
  <c r="AG34" i="44" a="1"/>
  <c r="AG34" i="44" s="1"/>
  <c r="U70" i="45" a="1"/>
  <c r="U70" i="45" s="1"/>
  <c r="O58" i="33" a="1"/>
  <c r="O58" i="33" s="1"/>
  <c r="F56" i="44" a="1"/>
  <c r="F56" i="44" s="1"/>
  <c r="AL94" i="44" a="1"/>
  <c r="AL94" i="44" s="1"/>
  <c r="AL71" i="44" a="1"/>
  <c r="AL71" i="44" s="1"/>
  <c r="M44" i="44" a="1"/>
  <c r="M44" i="44" s="1"/>
  <c r="C52" i="43" a="1"/>
  <c r="C52" i="43" s="1"/>
  <c r="S85" i="45" a="1"/>
  <c r="S85" i="45" s="1"/>
  <c r="J31" i="44" a="1"/>
  <c r="J31" i="44" s="1"/>
  <c r="AO32" i="44" a="1"/>
  <c r="AO32" i="44" s="1"/>
  <c r="P52" i="33" a="1"/>
  <c r="P52" i="33" s="1"/>
  <c r="AB31" i="33" a="1"/>
  <c r="AB31" i="33" s="1"/>
  <c r="AQ34" i="33" a="1"/>
  <c r="AQ34" i="33" s="1"/>
  <c r="AR79" i="33" a="1"/>
  <c r="AR79" i="33" s="1"/>
  <c r="AO16" i="44" a="1"/>
  <c r="AO16" i="44" s="1"/>
  <c r="W17" i="33" a="1"/>
  <c r="W17" i="33" s="1"/>
  <c r="AE73" i="45" a="1"/>
  <c r="AE73" i="45" s="1"/>
  <c r="AP46" i="45" a="1"/>
  <c r="AP46" i="45" s="1"/>
  <c r="U94" i="45" a="1"/>
  <c r="U94" i="45" s="1"/>
  <c r="AF68" i="33" a="1"/>
  <c r="AF68" i="33" s="1"/>
  <c r="AF66" i="33" s="1"/>
  <c r="AE76" i="44" a="1"/>
  <c r="AE76" i="44" s="1"/>
  <c r="L97" i="45" a="1"/>
  <c r="L97" i="45" s="1"/>
  <c r="G104" i="44" a="1"/>
  <c r="G104" i="44" s="1"/>
  <c r="Q44" i="44" a="1"/>
  <c r="Q44" i="44" s="1"/>
  <c r="H77" i="33" a="1"/>
  <c r="H77" i="33" s="1"/>
  <c r="AO55" i="44" a="1"/>
  <c r="AO55" i="44" s="1"/>
  <c r="U68" i="44" a="1"/>
  <c r="U68" i="44" s="1"/>
  <c r="AF98" i="45" a="1"/>
  <c r="AF98" i="45" s="1"/>
  <c r="P58" i="44" a="1"/>
  <c r="P58" i="44" s="1"/>
  <c r="AA40" i="44" a="1"/>
  <c r="AA40" i="44" s="1"/>
  <c r="X64" i="45" a="1"/>
  <c r="X64" i="45" s="1"/>
  <c r="E56" i="33" a="1"/>
  <c r="E56" i="33" s="1"/>
  <c r="AH20" i="44" a="1"/>
  <c r="AH20" i="44" s="1"/>
  <c r="J38" i="33" a="1"/>
  <c r="J38" i="33" s="1"/>
  <c r="AC49" i="33" a="1"/>
  <c r="AC49" i="33" s="1"/>
  <c r="T20" i="45" a="1"/>
  <c r="T20" i="45" s="1"/>
  <c r="M85" i="33" a="1"/>
  <c r="M85" i="33" s="1"/>
  <c r="I50" i="33" a="1"/>
  <c r="I50" i="33" s="1"/>
  <c r="AJ94" i="45" a="1"/>
  <c r="AJ94" i="45" s="1"/>
  <c r="S17" i="45" a="1"/>
  <c r="S17" i="45" s="1"/>
  <c r="N29" i="44" a="1"/>
  <c r="N29" i="44" s="1"/>
  <c r="U65" i="45" a="1"/>
  <c r="U65" i="45" s="1"/>
  <c r="N53" i="44" a="1"/>
  <c r="N53" i="44" s="1"/>
  <c r="K79" i="45" a="1"/>
  <c r="K79" i="45" s="1"/>
  <c r="C61" i="45" a="1"/>
  <c r="C61" i="45" s="1"/>
  <c r="U103" i="45" a="1"/>
  <c r="U103" i="45" s="1"/>
  <c r="S101" i="45" a="1"/>
  <c r="S101" i="45" s="1"/>
  <c r="AB68" i="45" a="1"/>
  <c r="AB68" i="45" s="1"/>
  <c r="AE16" i="45" a="1"/>
  <c r="AE16" i="45" s="1"/>
  <c r="AR31" i="45" a="1"/>
  <c r="AR31" i="45" s="1"/>
  <c r="AR26" i="33" a="1"/>
  <c r="AR26" i="33" s="1"/>
  <c r="AN10" i="44" a="1"/>
  <c r="AN10" i="44" s="1"/>
  <c r="AK77" i="33" a="1"/>
  <c r="AK77" i="33" s="1"/>
  <c r="AR58" i="33" a="1"/>
  <c r="AR58" i="33" s="1"/>
  <c r="M73" i="33" a="1"/>
  <c r="M73" i="33" s="1"/>
  <c r="S85" i="33" a="1"/>
  <c r="S85" i="33" s="1"/>
  <c r="J38" i="45" a="1"/>
  <c r="J38" i="45" s="1"/>
  <c r="AC82" i="33" a="1"/>
  <c r="AC82" i="33" s="1"/>
  <c r="AG16" i="33" a="1"/>
  <c r="AG16" i="33" s="1"/>
  <c r="M56" i="33" a="1"/>
  <c r="M56" i="33" s="1"/>
  <c r="AJ98" i="45" a="1"/>
  <c r="AJ98" i="45" s="1"/>
  <c r="J26" i="44" a="1"/>
  <c r="J26" i="44" s="1"/>
  <c r="Y62" i="44" a="1"/>
  <c r="Y62" i="44" s="1"/>
  <c r="J86" i="33" a="1"/>
  <c r="J86" i="33" s="1"/>
  <c r="C71" i="46" a="1"/>
  <c r="C71" i="46" s="1"/>
  <c r="F40" i="44" a="1"/>
  <c r="F40" i="44" s="1"/>
  <c r="AD38" i="44" a="1"/>
  <c r="AD38" i="44" s="1"/>
  <c r="K100" i="44" a="1"/>
  <c r="K100" i="44" s="1"/>
  <c r="AO92" i="44" a="1"/>
  <c r="AO92" i="44" s="1"/>
  <c r="I64" i="45" a="1"/>
  <c r="I64" i="45" s="1"/>
  <c r="Q52" i="33" a="1"/>
  <c r="Q52" i="33" s="1"/>
  <c r="X26" i="33" a="1"/>
  <c r="X26" i="33" s="1"/>
  <c r="AO37" i="44" a="1"/>
  <c r="AO37" i="44" s="1"/>
  <c r="Q31" i="33" a="1"/>
  <c r="Q31" i="33" s="1"/>
  <c r="AL40" i="33" a="1"/>
  <c r="AL40" i="33" s="1"/>
  <c r="H20" i="44" a="1"/>
  <c r="H20" i="44" s="1"/>
  <c r="H59" i="44" a="1"/>
  <c r="H59" i="44" s="1"/>
  <c r="L34" i="33" a="1"/>
  <c r="L34" i="33" s="1"/>
  <c r="G68" i="33" a="1"/>
  <c r="G68" i="33" s="1"/>
  <c r="AK25" i="44" a="1"/>
  <c r="AK25" i="44" s="1"/>
  <c r="C82" i="43" a="1"/>
  <c r="C82" i="43" s="1"/>
  <c r="F97" i="45" a="1"/>
  <c r="F97" i="45" s="1"/>
  <c r="X82" i="33" a="1"/>
  <c r="X82" i="33" s="1"/>
  <c r="AO40" i="33" a="1"/>
  <c r="AO40" i="33" s="1"/>
  <c r="AA43" i="45" a="1"/>
  <c r="AA43" i="45" s="1"/>
  <c r="S19" i="45" a="1"/>
  <c r="S19" i="45" s="1"/>
  <c r="AP11" i="44" a="1"/>
  <c r="AP11" i="44" s="1"/>
  <c r="AE58" i="33" a="1"/>
  <c r="AE58" i="33" s="1"/>
  <c r="C98" i="43" a="1"/>
  <c r="C98" i="43" s="1"/>
  <c r="AE91" i="33" a="1"/>
  <c r="AE91" i="33" s="1"/>
  <c r="G22" i="44" a="1"/>
  <c r="G22" i="44" s="1"/>
  <c r="AG50" i="44" a="1"/>
  <c r="AG50" i="44" s="1"/>
  <c r="AD26" i="44" a="1"/>
  <c r="AD26" i="44" s="1"/>
  <c r="W37" i="45" a="1"/>
  <c r="W37" i="45" s="1"/>
  <c r="AB91" i="33" a="1"/>
  <c r="AB91" i="33" s="1"/>
  <c r="O52" i="45" a="1"/>
  <c r="O52" i="45" s="1"/>
  <c r="AG62" i="33" a="1"/>
  <c r="AG62" i="33" s="1"/>
  <c r="E25" i="45" a="1"/>
  <c r="E25" i="45" s="1"/>
  <c r="C34" i="45" a="1"/>
  <c r="C34" i="45" s="1"/>
  <c r="S77" i="44" a="1"/>
  <c r="S77" i="44" s="1"/>
  <c r="AB52" i="33" a="1"/>
  <c r="AB52" i="33" s="1"/>
  <c r="H91" i="33" a="1"/>
  <c r="H91" i="33" s="1"/>
  <c r="H25" i="45" a="1"/>
  <c r="H25" i="45" s="1"/>
  <c r="AK94" i="33" a="1"/>
  <c r="AK94" i="33" s="1"/>
  <c r="F34" i="44" a="1"/>
  <c r="F34" i="44" s="1"/>
  <c r="AF64" i="45" a="1"/>
  <c r="AF64" i="45" s="1"/>
  <c r="T16" i="33" a="1"/>
  <c r="T16" i="33" s="1"/>
  <c r="Q23" i="44" a="1"/>
  <c r="Q23" i="44" s="1"/>
  <c r="AP53" i="44" a="1"/>
  <c r="AP53" i="44" s="1"/>
  <c r="O19" i="44" a="1"/>
  <c r="O19" i="44" s="1"/>
  <c r="AR97" i="44" a="1"/>
  <c r="AR97" i="44" s="1"/>
  <c r="V25" i="33" a="1"/>
  <c r="V25" i="33" s="1"/>
  <c r="F50" i="45" a="1"/>
  <c r="F50" i="45" s="1"/>
  <c r="J86" i="45" a="1"/>
  <c r="J86" i="45" s="1"/>
  <c r="H50" i="45" a="1"/>
  <c r="H50" i="45" s="1"/>
  <c r="N58" i="45" a="1"/>
  <c r="N58" i="45" s="1"/>
  <c r="Z43" i="33" a="1"/>
  <c r="Z43" i="33" s="1"/>
  <c r="J43" i="45" a="1"/>
  <c r="J43" i="45" s="1"/>
  <c r="AR97" i="45" a="1"/>
  <c r="AR97" i="45" s="1"/>
  <c r="AQ97" i="44" a="1"/>
  <c r="AQ97" i="44" s="1"/>
  <c r="X94" i="45" a="1"/>
  <c r="X94" i="45" s="1"/>
  <c r="L95" i="33" a="1"/>
  <c r="L95" i="33" s="1"/>
  <c r="AM47" i="44" a="1"/>
  <c r="AM47" i="44" s="1"/>
  <c r="N35" i="44" a="1"/>
  <c r="N35" i="44" s="1"/>
  <c r="H61" i="44" a="1"/>
  <c r="H61" i="44" s="1"/>
  <c r="H73" i="33" a="1"/>
  <c r="H73" i="33" s="1"/>
  <c r="AJ85" i="33" a="1"/>
  <c r="AJ85" i="33" s="1"/>
  <c r="Q80" i="45" a="1"/>
  <c r="Q80" i="45" s="1"/>
  <c r="Q104" i="44" a="1"/>
  <c r="Q104" i="44" s="1"/>
  <c r="AA10" i="33" a="1"/>
  <c r="AA10" i="33" s="1"/>
  <c r="C85" i="43" a="1"/>
  <c r="C85" i="43" s="1"/>
  <c r="AB41" i="33" a="1"/>
  <c r="AB41" i="33" s="1"/>
  <c r="Z71" i="44" a="1"/>
  <c r="Z71" i="44" s="1"/>
  <c r="T103" i="44" a="1"/>
  <c r="T103" i="44" s="1"/>
  <c r="AP82" i="44" a="1"/>
  <c r="AP82" i="44" s="1"/>
  <c r="E65" i="33" a="1"/>
  <c r="E65" i="33" s="1"/>
  <c r="AL26" i="33" a="1"/>
  <c r="AL26" i="33" s="1"/>
  <c r="AC20" i="33" a="1"/>
  <c r="AC20" i="33" s="1"/>
  <c r="U97" i="45" a="1"/>
  <c r="U97" i="45" s="1"/>
  <c r="AF91" i="33" a="1"/>
  <c r="AF91" i="33" s="1"/>
  <c r="V10" i="45" a="1"/>
  <c r="V10" i="45" s="1"/>
  <c r="V34" i="33" a="1"/>
  <c r="V34" i="33" s="1"/>
  <c r="K11" i="44" a="1"/>
  <c r="K11" i="44" s="1"/>
  <c r="AP23" i="45" a="1"/>
  <c r="AP23" i="45" s="1"/>
  <c r="K23" i="33" a="1"/>
  <c r="K23" i="33" s="1"/>
  <c r="AC56" i="45" a="1"/>
  <c r="AC56" i="45" s="1"/>
  <c r="AK95" i="45" a="1"/>
  <c r="AK95" i="45" s="1"/>
  <c r="AC100" i="33" a="1"/>
  <c r="AC100" i="33" s="1"/>
  <c r="AC99" i="33" s="1"/>
  <c r="AI29" i="33" a="1"/>
  <c r="AI29" i="33" s="1"/>
  <c r="C16" i="47" a="1"/>
  <c r="C16" i="47" s="1"/>
  <c r="AB65" i="45" a="1"/>
  <c r="AB65" i="45" s="1"/>
  <c r="H91" i="45" a="1"/>
  <c r="H91" i="45" s="1"/>
  <c r="AJ31" i="33" a="1"/>
  <c r="AJ31" i="33" s="1"/>
  <c r="U22" i="33" a="1"/>
  <c r="U22" i="33" s="1"/>
  <c r="V67" i="44" a="1"/>
  <c r="V67" i="44" s="1"/>
  <c r="AB85" i="45" a="1"/>
  <c r="AB85" i="45" s="1"/>
  <c r="AN46" i="44" a="1"/>
  <c r="AN46" i="44" s="1"/>
  <c r="Z59" i="45" a="1"/>
  <c r="Z59" i="45" s="1"/>
  <c r="C71" i="45" a="1"/>
  <c r="C71" i="45" s="1"/>
  <c r="AC19" i="44" a="1"/>
  <c r="AC19" i="44" s="1"/>
  <c r="AC46" i="33" a="1"/>
  <c r="AC46" i="33" s="1"/>
  <c r="C41" i="43" a="1"/>
  <c r="C41" i="43" s="1"/>
  <c r="J46" i="45" a="1"/>
  <c r="J46" i="45" s="1"/>
  <c r="R10" i="33" a="1"/>
  <c r="R10" i="33" s="1"/>
  <c r="Z103" i="45" a="1"/>
  <c r="Z103" i="45" s="1"/>
  <c r="AC34" i="33" a="1"/>
  <c r="AC34" i="33" s="1"/>
  <c r="Z95" i="44" a="1"/>
  <c r="Z95" i="44" s="1"/>
  <c r="AI58" i="45" a="1"/>
  <c r="AI58" i="45" s="1"/>
  <c r="Z85" i="33" a="1"/>
  <c r="Z85" i="33" s="1"/>
  <c r="W25" i="44" a="1"/>
  <c r="W25" i="44" s="1"/>
  <c r="AP79" i="33" a="1"/>
  <c r="AP79" i="33" s="1"/>
  <c r="C61" i="33" a="1"/>
  <c r="C61" i="33" s="1"/>
  <c r="Y34" i="33" a="1"/>
  <c r="Y34" i="33" s="1"/>
  <c r="N104" i="45" a="1"/>
  <c r="N104" i="45" s="1"/>
  <c r="T35" i="33" a="1"/>
  <c r="T35" i="33" s="1"/>
  <c r="Z56" i="45" a="1"/>
  <c r="Z56" i="45" s="1"/>
  <c r="Q95" i="44" a="1"/>
  <c r="Q95" i="44" s="1"/>
  <c r="G71" i="44" a="1"/>
  <c r="G71" i="44" s="1"/>
  <c r="P29" i="45" a="1"/>
  <c r="P29" i="45" s="1"/>
  <c r="C92" i="45" a="1"/>
  <c r="C92" i="45" s="1"/>
  <c r="M16" i="45" a="1"/>
  <c r="M16" i="45" s="1"/>
  <c r="W76" i="44" a="1"/>
  <c r="W76" i="44" s="1"/>
  <c r="O34" i="44" a="1"/>
  <c r="O34" i="44" s="1"/>
  <c r="L65" i="33" a="1"/>
  <c r="L65" i="33" s="1"/>
  <c r="AQ68" i="44" a="1"/>
  <c r="AQ68" i="44" s="1"/>
  <c r="J89" i="45" a="1"/>
  <c r="J89" i="45" s="1"/>
  <c r="R29" i="45" a="1"/>
  <c r="R29" i="45" s="1"/>
  <c r="N82" i="45" a="1"/>
  <c r="N82" i="45" s="1"/>
  <c r="Y98" i="33" a="1"/>
  <c r="Y98" i="33" s="1"/>
  <c r="AM49" i="44" a="1"/>
  <c r="AM49" i="44" s="1"/>
  <c r="R47" i="33" a="1"/>
  <c r="R47" i="33" s="1"/>
  <c r="L55" i="33" a="1"/>
  <c r="L55" i="33" s="1"/>
  <c r="E58" i="45" a="1"/>
  <c r="E58" i="45" s="1"/>
  <c r="X82" i="45" a="1"/>
  <c r="X82" i="45" s="1"/>
  <c r="AL95" i="44" a="1"/>
  <c r="AL95" i="44" s="1"/>
  <c r="T80" i="44" a="1"/>
  <c r="T80" i="44" s="1"/>
  <c r="R71" i="45" a="1"/>
  <c r="R71" i="45" s="1"/>
  <c r="K38" i="45" a="1"/>
  <c r="K38" i="45" s="1"/>
  <c r="AC61" i="45" a="1"/>
  <c r="AC61" i="45" s="1"/>
  <c r="AI41" i="44" a="1"/>
  <c r="AI41" i="44" s="1"/>
  <c r="C58" i="46" a="1"/>
  <c r="C58" i="46" s="1"/>
  <c r="R95" i="44" a="1"/>
  <c r="R95" i="44" s="1"/>
  <c r="AA34" i="33" a="1"/>
  <c r="AA34" i="33" s="1"/>
  <c r="AK77" i="44" a="1"/>
  <c r="AK77" i="44" s="1"/>
  <c r="AD76" i="44" a="1"/>
  <c r="AD76" i="44" s="1"/>
  <c r="AM29" i="45" a="1"/>
  <c r="AM29" i="45" s="1"/>
  <c r="I37" i="44" a="1"/>
  <c r="I37" i="44" s="1"/>
  <c r="O35" i="33" a="1"/>
  <c r="O35" i="33" s="1"/>
  <c r="W103" i="45" a="1"/>
  <c r="W103" i="45" s="1"/>
  <c r="AN56" i="33" a="1"/>
  <c r="AN56" i="33" s="1"/>
  <c r="AK101" i="44" a="1"/>
  <c r="AK101" i="44" s="1"/>
  <c r="AK22" i="33" a="1"/>
  <c r="AK22" i="33" s="1"/>
  <c r="L100" i="44" a="1"/>
  <c r="L100" i="44" s="1"/>
  <c r="P22" i="44" a="1"/>
  <c r="P22" i="44" s="1"/>
  <c r="F37" i="45" a="1"/>
  <c r="F37" i="45" s="1"/>
  <c r="O29" i="33" a="1"/>
  <c r="O29" i="33" s="1"/>
  <c r="Y28" i="33" a="1"/>
  <c r="Y28" i="33" s="1"/>
  <c r="Z82" i="33" a="1"/>
  <c r="Z82" i="33" s="1"/>
  <c r="O92" i="44" a="1"/>
  <c r="O92" i="44" s="1"/>
  <c r="AE53" i="45" a="1"/>
  <c r="AE53" i="45" s="1"/>
  <c r="AL37" i="33" a="1"/>
  <c r="AL37" i="33" s="1"/>
  <c r="T19" i="33" a="1"/>
  <c r="T19" i="33" s="1"/>
  <c r="W17" i="44" a="1"/>
  <c r="W17" i="44" s="1"/>
  <c r="AI61" i="45" a="1"/>
  <c r="AI61" i="45" s="1"/>
  <c r="AN25" i="33" a="1"/>
  <c r="AN25" i="33" s="1"/>
  <c r="AC58" i="44" a="1"/>
  <c r="AC58" i="44" s="1"/>
  <c r="AO11" i="44" a="1"/>
  <c r="AO11" i="44" s="1"/>
  <c r="AG44" i="33" a="1"/>
  <c r="AG44" i="33" s="1"/>
  <c r="T101" i="45" a="1"/>
  <c r="T101" i="45" s="1"/>
  <c r="K40" i="44" a="1"/>
  <c r="K40" i="44" s="1"/>
  <c r="E34" i="33" a="1"/>
  <c r="E34" i="33" s="1"/>
  <c r="AL85" i="45" a="1"/>
  <c r="AL85" i="45" s="1"/>
  <c r="W40" i="33" a="1"/>
  <c r="W40" i="33" s="1"/>
  <c r="W73" i="44" a="1"/>
  <c r="W73" i="44" s="1"/>
  <c r="R85" i="44" a="1"/>
  <c r="R85" i="44" s="1"/>
  <c r="V82" i="33" a="1"/>
  <c r="V82" i="33" s="1"/>
  <c r="AO64" i="44" a="1"/>
  <c r="AO64" i="44" s="1"/>
  <c r="AE79" i="33" a="1"/>
  <c r="AE79" i="33" s="1"/>
  <c r="X44" i="45" a="1"/>
  <c r="X44" i="45" s="1"/>
  <c r="X58" i="44" a="1"/>
  <c r="X58" i="44" s="1"/>
  <c r="AE86" i="45" a="1"/>
  <c r="AE86" i="45" s="1"/>
  <c r="Y19" i="45" a="1"/>
  <c r="Y19" i="45" s="1"/>
  <c r="N26" i="44" a="1"/>
  <c r="N26" i="44" s="1"/>
  <c r="W52" i="45" a="1"/>
  <c r="W52" i="45" s="1"/>
  <c r="Y58" i="33" a="1"/>
  <c r="Y58" i="33" s="1"/>
  <c r="AD79" i="44" a="1"/>
  <c r="AD79" i="44" s="1"/>
  <c r="W58" i="33" a="1"/>
  <c r="W58" i="33" s="1"/>
  <c r="AL68" i="45" a="1"/>
  <c r="AL68" i="45" s="1"/>
  <c r="AI97" i="33" a="1"/>
  <c r="AI97" i="33" s="1"/>
  <c r="AD41" i="33" a="1"/>
  <c r="AD41" i="33" s="1"/>
  <c r="Y22" i="33" a="1"/>
  <c r="Y22" i="33" s="1"/>
  <c r="AO98" i="33" a="1"/>
  <c r="AO98" i="33" s="1"/>
  <c r="O101" i="44" a="1"/>
  <c r="O101" i="44" s="1"/>
  <c r="AO70" i="44" a="1"/>
  <c r="AO70" i="44" s="1"/>
  <c r="H68" i="45" a="1"/>
  <c r="H68" i="45" s="1"/>
  <c r="AM55" i="45" a="1"/>
  <c r="AM55" i="45" s="1"/>
  <c r="AP38" i="45" a="1"/>
  <c r="AP38" i="45" s="1"/>
  <c r="AM91" i="44" a="1"/>
  <c r="AM91" i="44" s="1"/>
  <c r="T40" i="33" a="1"/>
  <c r="T40" i="33" s="1"/>
  <c r="AR82" i="45" a="1"/>
  <c r="AR82" i="45" s="1"/>
  <c r="AH62" i="44" a="1"/>
  <c r="AH62" i="44" s="1"/>
  <c r="AP34" i="44" a="1"/>
  <c r="AP34" i="44" s="1"/>
  <c r="AG73" i="44" a="1"/>
  <c r="AG73" i="44" s="1"/>
  <c r="Q17" i="33" a="1"/>
  <c r="Q17" i="33" s="1"/>
  <c r="K77" i="44" a="1"/>
  <c r="K77" i="44" s="1"/>
  <c r="AR32" i="44" a="1"/>
  <c r="AR32" i="44" s="1"/>
  <c r="X50" i="44" a="1"/>
  <c r="X50" i="44" s="1"/>
  <c r="AA46" i="45" a="1"/>
  <c r="AA46" i="45" s="1"/>
  <c r="AK50" i="45" a="1"/>
  <c r="AK50" i="45" s="1"/>
  <c r="H16" i="44" a="1"/>
  <c r="H16" i="44" s="1"/>
  <c r="Z20" i="33" a="1"/>
  <c r="Z20" i="33" s="1"/>
  <c r="X92" i="45" a="1"/>
  <c r="X92" i="45" s="1"/>
  <c r="AR85" i="45" a="1"/>
  <c r="AR85" i="45" s="1"/>
  <c r="E79" i="33" a="1"/>
  <c r="E79" i="33" s="1"/>
  <c r="AR77" i="44" a="1"/>
  <c r="AR77" i="44" s="1"/>
  <c r="H103" i="33" a="1"/>
  <c r="H103" i="33" s="1"/>
  <c r="AI73" i="45" a="1"/>
  <c r="AI73" i="45" s="1"/>
  <c r="AF61" i="45" a="1"/>
  <c r="AF61" i="45" s="1"/>
  <c r="C35" i="42" a="1"/>
  <c r="C35" i="42" s="1"/>
  <c r="O98" i="44" a="1"/>
  <c r="O98" i="44" s="1"/>
  <c r="P67" i="44" a="1"/>
  <c r="P67" i="44" s="1"/>
  <c r="F22" i="45" a="1"/>
  <c r="F22" i="45" s="1"/>
  <c r="AJ74" i="45" a="1"/>
  <c r="AJ74" i="45" s="1"/>
  <c r="S55" i="44" a="1"/>
  <c r="S55" i="44" s="1"/>
  <c r="AA76" i="45" a="1"/>
  <c r="AA76" i="45" s="1"/>
  <c r="F29" i="44" a="1"/>
  <c r="F29" i="44" s="1"/>
  <c r="J50" i="45" a="1"/>
  <c r="J50" i="45" s="1"/>
  <c r="C37" i="47" a="1"/>
  <c r="C37" i="47" s="1"/>
  <c r="H40" i="33" a="1"/>
  <c r="H40" i="33" s="1"/>
  <c r="AJ61" i="45" a="1"/>
  <c r="AJ61" i="45" s="1"/>
  <c r="AF58" i="45" a="1"/>
  <c r="AF58" i="45" s="1"/>
  <c r="AG28" i="33" a="1"/>
  <c r="AG28" i="33" s="1"/>
  <c r="H92" i="45" a="1"/>
  <c r="H92" i="45" s="1"/>
  <c r="G65" i="44" a="1"/>
  <c r="G65" i="44" s="1"/>
  <c r="I92" i="45" a="1"/>
  <c r="I92" i="45" s="1"/>
  <c r="AB53" i="33" a="1"/>
  <c r="AB53" i="33" s="1"/>
  <c r="AB32" i="33" a="1"/>
  <c r="AB32" i="33" s="1"/>
  <c r="AB74" i="45" a="1"/>
  <c r="AB74" i="45" s="1"/>
  <c r="AB23" i="44" a="1"/>
  <c r="AB23" i="44" s="1"/>
  <c r="Z89" i="45" a="1"/>
  <c r="Z89" i="45" s="1"/>
  <c r="S38" i="44" a="1"/>
  <c r="S38" i="44" s="1"/>
  <c r="AC74" i="45" a="1"/>
  <c r="AC74" i="45" s="1"/>
  <c r="AM46" i="45" a="1"/>
  <c r="AM46" i="45" s="1"/>
  <c r="C82" i="41" a="1"/>
  <c r="C82" i="41" s="1"/>
  <c r="AN94" i="33" a="1"/>
  <c r="AN94" i="33" s="1"/>
  <c r="AM104" i="44" a="1"/>
  <c r="AM104" i="44" s="1"/>
  <c r="C91" i="46" a="1"/>
  <c r="C91" i="46" s="1"/>
  <c r="R34" i="33" a="1"/>
  <c r="R34" i="33" s="1"/>
  <c r="AN22" i="33" a="1"/>
  <c r="AN22" i="33" s="1"/>
  <c r="E17" i="33" a="1"/>
  <c r="E17" i="33" s="1"/>
  <c r="AI11" i="44" a="1"/>
  <c r="AI11" i="44" s="1"/>
  <c r="O67" i="45" a="1"/>
  <c r="O67" i="45" s="1"/>
  <c r="AD67" i="44" a="1"/>
  <c r="AD67" i="44" s="1"/>
  <c r="AC68" i="33" a="1"/>
  <c r="AC68" i="33" s="1"/>
  <c r="Y16" i="45" a="1"/>
  <c r="Y16" i="45" s="1"/>
  <c r="J82" i="45" a="1"/>
  <c r="J82" i="45" s="1"/>
  <c r="AP88" i="44" a="1"/>
  <c r="AP88" i="44" s="1"/>
  <c r="N77" i="33" a="1"/>
  <c r="N77" i="33" s="1"/>
  <c r="AM98" i="45" a="1"/>
  <c r="AM98" i="45" s="1"/>
  <c r="AD23" i="44" a="1"/>
  <c r="AD23" i="44" s="1"/>
  <c r="N71" i="33" a="1"/>
  <c r="N71" i="33" s="1"/>
  <c r="M61" i="45" a="1"/>
  <c r="M61" i="45" s="1"/>
  <c r="T23" i="45" a="1"/>
  <c r="T23" i="45" s="1"/>
  <c r="Q94" i="44" a="1"/>
  <c r="Q94" i="44" s="1"/>
  <c r="S61" i="44" a="1"/>
  <c r="S61" i="44" s="1"/>
  <c r="H59" i="33" a="1"/>
  <c r="H59" i="33" s="1"/>
  <c r="K76" i="44" a="1"/>
  <c r="K76" i="44" s="1"/>
  <c r="AG89" i="44" a="1"/>
  <c r="AG89" i="44" s="1"/>
  <c r="L67" i="44" a="1"/>
  <c r="L67" i="44" s="1"/>
  <c r="AJ77" i="44" a="1"/>
  <c r="AJ77" i="44" s="1"/>
  <c r="V65" i="44" a="1"/>
  <c r="V65" i="44" s="1"/>
  <c r="K11" i="33" a="1"/>
  <c r="K11" i="33" s="1"/>
  <c r="E26" i="45" a="1"/>
  <c r="E26" i="45" s="1"/>
  <c r="AJ91" i="44" a="1"/>
  <c r="AJ91" i="44" s="1"/>
  <c r="AO28" i="33" a="1"/>
  <c r="AO28" i="33" s="1"/>
  <c r="AI89" i="45" a="1"/>
  <c r="AI89" i="45" s="1"/>
  <c r="Q73" i="44" a="1"/>
  <c r="Q73" i="44" s="1"/>
  <c r="Z53" i="44" a="1"/>
  <c r="Z53" i="44" s="1"/>
  <c r="AG22" i="45" a="1"/>
  <c r="AG22" i="45" s="1"/>
  <c r="T11" i="33" a="1"/>
  <c r="T11" i="33" s="1"/>
  <c r="AG17" i="44" a="1"/>
  <c r="AG17" i="44" s="1"/>
  <c r="AE55" i="44" a="1"/>
  <c r="AE55" i="44" s="1"/>
  <c r="AL50" i="44" a="1"/>
  <c r="AL50" i="44" s="1"/>
  <c r="AA73" i="44" a="1"/>
  <c r="AA73" i="44" s="1"/>
  <c r="W74" i="44" a="1"/>
  <c r="W74" i="44" s="1"/>
  <c r="W97" i="44" a="1"/>
  <c r="W97" i="44" s="1"/>
  <c r="H85" i="45" a="1"/>
  <c r="H85" i="45" s="1"/>
  <c r="S67" i="33" a="1"/>
  <c r="S67" i="33" s="1"/>
  <c r="O31" i="45" a="1"/>
  <c r="O31" i="45" s="1"/>
  <c r="AK97" i="44" a="1"/>
  <c r="AK97" i="44" s="1"/>
  <c r="AH50" i="33" a="1"/>
  <c r="AH50" i="33" s="1"/>
  <c r="I20" i="45" a="1"/>
  <c r="I20" i="45" s="1"/>
  <c r="AQ67" i="45" a="1"/>
  <c r="AQ67" i="45" s="1"/>
  <c r="AK56" i="44" a="1"/>
  <c r="AK56" i="44" s="1"/>
  <c r="AE11" i="44" a="1"/>
  <c r="AE11" i="44" s="1"/>
  <c r="W100" i="33" a="1"/>
  <c r="W100" i="33" s="1"/>
  <c r="AD11" i="45" a="1"/>
  <c r="AD11" i="45" s="1"/>
  <c r="C37" i="41" a="1"/>
  <c r="C37" i="41" s="1"/>
  <c r="AB26" i="33" a="1"/>
  <c r="AB26" i="33" s="1"/>
  <c r="H28" i="33" a="1"/>
  <c r="H28" i="33" s="1"/>
  <c r="AC62" i="33" a="1"/>
  <c r="AC62" i="33" s="1"/>
  <c r="AA103" i="45" a="1"/>
  <c r="AA103" i="45" s="1"/>
  <c r="C82" i="47" a="1"/>
  <c r="C82" i="47" s="1"/>
  <c r="AI20" i="45" a="1"/>
  <c r="AI20" i="45" s="1"/>
  <c r="M62" i="44" a="1"/>
  <c r="M62" i="44" s="1"/>
  <c r="C34" i="41" a="1"/>
  <c r="C34" i="41" s="1"/>
  <c r="V86" i="33" a="1"/>
  <c r="V86" i="33" s="1"/>
  <c r="U56" i="33" a="1"/>
  <c r="U56" i="33" s="1"/>
  <c r="K97" i="45" a="1"/>
  <c r="K97" i="45" s="1"/>
  <c r="M83" i="33" a="1"/>
  <c r="M83" i="33" s="1"/>
  <c r="M23" i="45" a="1"/>
  <c r="M23" i="45" s="1"/>
  <c r="X28" i="45" a="1"/>
  <c r="X28" i="45" s="1"/>
  <c r="C83" i="44" a="1"/>
  <c r="C83" i="44" s="1"/>
  <c r="W83" i="45" a="1"/>
  <c r="W83" i="45" s="1"/>
  <c r="AI71" i="45" a="1"/>
  <c r="AI71" i="45" s="1"/>
  <c r="AN58" i="44" a="1"/>
  <c r="AN58" i="44" s="1"/>
  <c r="AQ44" i="45" a="1"/>
  <c r="AQ44" i="45" s="1"/>
  <c r="H28" i="44" a="1"/>
  <c r="H28" i="44" s="1"/>
  <c r="AB67" i="44" a="1"/>
  <c r="AB67" i="44" s="1"/>
  <c r="C73" i="46" a="1"/>
  <c r="C73" i="46" s="1"/>
  <c r="AC61" i="33" a="1"/>
  <c r="AC61" i="33" s="1"/>
  <c r="AI76" i="45" a="1"/>
  <c r="AI76" i="45" s="1"/>
  <c r="R104" i="45" a="1"/>
  <c r="R104" i="45" s="1"/>
  <c r="J28" i="44" a="1"/>
  <c r="J28" i="44" s="1"/>
  <c r="S47" i="33" a="1"/>
  <c r="S47" i="33" s="1"/>
  <c r="K35" i="33" a="1"/>
  <c r="K35" i="33" s="1"/>
  <c r="AP55" i="44" a="1"/>
  <c r="AP55" i="44" s="1"/>
  <c r="R56" i="45" a="1"/>
  <c r="R56" i="45" s="1"/>
  <c r="L32" i="33" a="1"/>
  <c r="L32" i="33" s="1"/>
  <c r="L11" i="45" a="1"/>
  <c r="L11" i="45" s="1"/>
  <c r="Q82" i="44" a="1"/>
  <c r="Q82" i="44" s="1"/>
  <c r="AC67" i="44" a="1"/>
  <c r="AC67" i="44" s="1"/>
  <c r="AC55" i="45" a="1"/>
  <c r="AC55" i="45" s="1"/>
  <c r="AB64" i="45" a="1"/>
  <c r="AB64" i="45" s="1"/>
  <c r="F26" i="33" a="1"/>
  <c r="F26" i="33" s="1"/>
  <c r="AP53" i="45" a="1"/>
  <c r="AP53" i="45" s="1"/>
  <c r="AM70" i="33" a="1"/>
  <c r="AM70" i="33" s="1"/>
  <c r="S95" i="45" a="1"/>
  <c r="S95" i="45" s="1"/>
  <c r="AB79" i="45" a="1"/>
  <c r="AB79" i="45" s="1"/>
  <c r="AA34" i="44" a="1"/>
  <c r="AA34" i="44" s="1"/>
  <c r="E20" i="33" a="1"/>
  <c r="E20" i="33" s="1"/>
  <c r="AI22" i="44" a="1"/>
  <c r="AI22" i="44" s="1"/>
  <c r="AQ79" i="45" a="1"/>
  <c r="AQ79" i="45" s="1"/>
  <c r="AQ58" i="45" a="1"/>
  <c r="AQ58" i="45" s="1"/>
  <c r="C58" i="43" a="1"/>
  <c r="C58" i="43" s="1"/>
  <c r="AO100" i="45" a="1"/>
  <c r="AO100" i="45" s="1"/>
  <c r="Y16" i="33" a="1"/>
  <c r="Y16" i="33" s="1"/>
  <c r="G73" i="44" a="1"/>
  <c r="G73" i="44" s="1"/>
  <c r="R74" i="33" a="1"/>
  <c r="R74" i="33" s="1"/>
  <c r="AB29" i="44" a="1"/>
  <c r="AB29" i="44" s="1"/>
  <c r="AB43" i="33" a="1"/>
  <c r="AB43" i="33" s="1"/>
  <c r="C89" i="33" a="1"/>
  <c r="C89" i="33" s="1"/>
  <c r="Q74" i="45" a="1"/>
  <c r="Q74" i="45" s="1"/>
  <c r="AP92" i="44" a="1"/>
  <c r="AP92" i="44" s="1"/>
  <c r="AG77" i="33" a="1"/>
  <c r="AG77" i="33" s="1"/>
  <c r="L70" i="45" a="1"/>
  <c r="L70" i="45" s="1"/>
  <c r="AQ31" i="45" a="1"/>
  <c r="AQ31" i="45" s="1"/>
  <c r="E61" i="33" a="1"/>
  <c r="E61" i="33" s="1"/>
  <c r="O61" i="45" a="1"/>
  <c r="O61" i="45" s="1"/>
  <c r="O89" i="45" a="1"/>
  <c r="O89" i="45" s="1"/>
  <c r="N23" i="33" a="1"/>
  <c r="N23" i="33" s="1"/>
  <c r="X49" i="44" a="1"/>
  <c r="X49" i="44" s="1"/>
  <c r="Z80" i="44" a="1"/>
  <c r="Z80" i="44" s="1"/>
  <c r="AA56" i="33" a="1"/>
  <c r="AA56" i="33" s="1"/>
  <c r="F53" i="33" a="1"/>
  <c r="F53" i="33" s="1"/>
  <c r="S70" i="45" a="1"/>
  <c r="S70" i="45" s="1"/>
  <c r="AB44" i="45" a="1"/>
  <c r="AB44" i="45" s="1"/>
  <c r="U50" i="44" a="1"/>
  <c r="U50" i="44" s="1"/>
  <c r="E35" i="45" a="1"/>
  <c r="E35" i="45" s="1"/>
  <c r="I52" i="45" a="1"/>
  <c r="I52" i="45" s="1"/>
  <c r="N101" i="33" a="1"/>
  <c r="N101" i="33" s="1"/>
  <c r="Q74" i="44" a="1"/>
  <c r="Q74" i="44" s="1"/>
  <c r="AM80" i="33" a="1"/>
  <c r="AM80" i="33" s="1"/>
  <c r="P70" i="44" a="1"/>
  <c r="P70" i="44" s="1"/>
  <c r="X101" i="44" a="1"/>
  <c r="X101" i="44" s="1"/>
  <c r="M88" i="45" a="1"/>
  <c r="M88" i="45" s="1"/>
  <c r="J52" i="45" a="1"/>
  <c r="J52" i="45" s="1"/>
  <c r="I20" i="44" a="1"/>
  <c r="I20" i="44" s="1"/>
  <c r="R11" i="44" a="1"/>
  <c r="R11" i="44" s="1"/>
  <c r="AK31" i="33" a="1"/>
  <c r="AK31" i="33" s="1"/>
  <c r="Q40" i="45" a="1"/>
  <c r="Q40" i="45" s="1"/>
  <c r="AR65" i="33" a="1"/>
  <c r="AR65" i="33" s="1"/>
  <c r="Z94" i="45" a="1"/>
  <c r="Z94" i="45" s="1"/>
  <c r="C43" i="46" a="1"/>
  <c r="C43" i="46" s="1"/>
  <c r="J11" i="33" a="1"/>
  <c r="J11" i="33" s="1"/>
  <c r="S37" i="33" a="1"/>
  <c r="S37" i="33" s="1"/>
  <c r="R34" i="45" a="1"/>
  <c r="R34" i="45" s="1"/>
  <c r="AN40" i="33" a="1"/>
  <c r="AN40" i="33" s="1"/>
  <c r="AQ26" i="45" a="1"/>
  <c r="AQ26" i="45" s="1"/>
  <c r="AO74" i="44" a="1"/>
  <c r="AO74" i="44" s="1"/>
  <c r="AE44" i="45" a="1"/>
  <c r="AE44" i="45" s="1"/>
  <c r="I17" i="45" a="1"/>
  <c r="I17" i="45" s="1"/>
  <c r="H38" i="45" a="1"/>
  <c r="H38" i="45" s="1"/>
  <c r="T94" i="33" a="1"/>
  <c r="T94" i="33" s="1"/>
  <c r="Z100" i="33" a="1"/>
  <c r="Z100" i="33" s="1"/>
  <c r="U44" i="45" a="1"/>
  <c r="U44" i="45" s="1"/>
  <c r="AQ79" i="44" a="1"/>
  <c r="AQ79" i="44" s="1"/>
  <c r="C82" i="33" a="1"/>
  <c r="C82" i="33" s="1"/>
  <c r="J41" i="33" a="1"/>
  <c r="J41" i="33" s="1"/>
  <c r="AA77" i="45" a="1"/>
  <c r="AA77" i="45" s="1"/>
  <c r="AH98" i="45" a="1"/>
  <c r="AH98" i="45" s="1"/>
  <c r="W34" i="33" a="1"/>
  <c r="W34" i="33" s="1"/>
  <c r="AB88" i="44" a="1"/>
  <c r="AB88" i="44" s="1"/>
  <c r="AB89" i="45" a="1"/>
  <c r="AB89" i="45" s="1"/>
  <c r="P56" i="44" a="1"/>
  <c r="P56" i="44" s="1"/>
  <c r="K98" i="44" a="1"/>
  <c r="K98" i="44" s="1"/>
  <c r="V64" i="45" a="1"/>
  <c r="V64" i="45" s="1"/>
  <c r="R79" i="45" a="1"/>
  <c r="R79" i="45" s="1"/>
  <c r="AI88" i="45" a="1"/>
  <c r="AI88" i="45" s="1"/>
  <c r="L88" i="45" a="1"/>
  <c r="L88" i="45" s="1"/>
  <c r="T17" i="45" a="1"/>
  <c r="T17" i="45" s="1"/>
  <c r="AD34" i="45" a="1"/>
  <c r="AD34" i="45" s="1"/>
  <c r="Y76" i="33" a="1"/>
  <c r="Y76" i="33" s="1"/>
  <c r="S91" i="44" a="1"/>
  <c r="S91" i="44" s="1"/>
  <c r="AJ26" i="33" a="1"/>
  <c r="AJ26" i="33" s="1"/>
  <c r="AL70" i="44" a="1"/>
  <c r="AL70" i="44" s="1"/>
  <c r="AD95" i="33" a="1"/>
  <c r="AD95" i="33" s="1"/>
  <c r="AH100" i="44" a="1"/>
  <c r="AH100" i="44" s="1"/>
  <c r="L46" i="33" a="1"/>
  <c r="L46" i="33" s="1"/>
  <c r="H44" i="44" a="1"/>
  <c r="H44" i="44" s="1"/>
  <c r="L68" i="33" a="1"/>
  <c r="L68" i="33" s="1"/>
  <c r="AH83" i="44" a="1"/>
  <c r="AH83" i="44" s="1"/>
  <c r="AC26" i="33" a="1"/>
  <c r="AC26" i="33" s="1"/>
  <c r="X47" i="45" a="1"/>
  <c r="X47" i="45" s="1"/>
  <c r="F35" i="45" a="1"/>
  <c r="F35" i="45" s="1"/>
  <c r="AQ38" i="33" a="1"/>
  <c r="AQ38" i="33" s="1"/>
  <c r="AL16" i="33" a="1"/>
  <c r="AL16" i="33" s="1"/>
  <c r="J22" i="44" a="1"/>
  <c r="J22" i="44" s="1"/>
  <c r="AM22" i="44" a="1"/>
  <c r="AM22" i="44" s="1"/>
  <c r="AN32" i="33" a="1"/>
  <c r="AN32" i="33" s="1"/>
  <c r="J43" i="33" a="1"/>
  <c r="J43" i="33" s="1"/>
  <c r="AM35" i="44" a="1"/>
  <c r="AM35" i="44" s="1"/>
  <c r="C88" i="44" a="1"/>
  <c r="C88" i="44" s="1"/>
  <c r="K61" i="44" a="1"/>
  <c r="K61" i="44" s="1"/>
  <c r="F97" i="44" a="1"/>
  <c r="F97" i="44" s="1"/>
  <c r="AP38" i="44" a="1"/>
  <c r="AP38" i="44" s="1"/>
  <c r="AF52" i="44" a="1"/>
  <c r="AF52" i="44" s="1"/>
  <c r="AH68" i="33" a="1"/>
  <c r="AH68" i="33" s="1"/>
  <c r="P25" i="45" a="1"/>
  <c r="P25" i="45" s="1"/>
  <c r="M44" i="45" a="1"/>
  <c r="M44" i="45" s="1"/>
  <c r="C76" i="45" a="1"/>
  <c r="C76" i="45" s="1"/>
  <c r="J61" i="45" a="1"/>
  <c r="J61" i="45" s="1"/>
  <c r="G61" i="33" a="1"/>
  <c r="G61" i="33" s="1"/>
  <c r="X58" i="45" a="1"/>
  <c r="X58" i="45" s="1"/>
  <c r="AH74" i="33" a="1"/>
  <c r="AH74" i="33" s="1"/>
  <c r="K29" i="44" a="1"/>
  <c r="K29" i="44" s="1"/>
  <c r="AF104" i="44" a="1"/>
  <c r="AF104" i="44" s="1"/>
  <c r="AF47" i="33" a="1"/>
  <c r="AF47" i="33" s="1"/>
  <c r="F62" i="44" a="1"/>
  <c r="F62" i="44" s="1"/>
  <c r="AK79" i="44" a="1"/>
  <c r="AK79" i="44" s="1"/>
  <c r="AO19" i="44" a="1"/>
  <c r="AO19" i="44" s="1"/>
  <c r="R103" i="33" a="1"/>
  <c r="R103" i="33" s="1"/>
  <c r="N79" i="33" a="1"/>
  <c r="N79" i="33" s="1"/>
  <c r="C50" i="44" a="1"/>
  <c r="C50" i="44" s="1"/>
  <c r="AC52" i="45" a="1"/>
  <c r="AC52" i="45" s="1"/>
  <c r="Q10" i="33" a="1"/>
  <c r="Q10" i="33" s="1"/>
  <c r="R34" i="44" a="1"/>
  <c r="R34" i="44" s="1"/>
  <c r="G79" i="33" a="1"/>
  <c r="G79" i="33" s="1"/>
  <c r="P64" i="33" a="1"/>
  <c r="P64" i="33" s="1"/>
  <c r="U80" i="44" a="1"/>
  <c r="U80" i="44" s="1"/>
  <c r="R101" i="45" a="1"/>
  <c r="R101" i="45" s="1"/>
  <c r="AH26" i="44" a="1"/>
  <c r="AH26" i="44" s="1"/>
  <c r="G85" i="44" a="1"/>
  <c r="G85" i="44" s="1"/>
  <c r="V58" i="45" a="1"/>
  <c r="V58" i="45" s="1"/>
  <c r="AR40" i="33" a="1"/>
  <c r="AR40" i="33" s="1"/>
  <c r="L103" i="45" a="1"/>
  <c r="L103" i="45" s="1"/>
  <c r="AM61" i="45" a="1"/>
  <c r="AM61" i="45" s="1"/>
  <c r="V97" i="44" a="1"/>
  <c r="V97" i="44" s="1"/>
  <c r="K86" i="44" a="1"/>
  <c r="K86" i="44" s="1"/>
  <c r="AB17" i="45" a="1"/>
  <c r="AB17" i="45" s="1"/>
  <c r="Y85" i="33" a="1"/>
  <c r="Y85" i="33" s="1"/>
  <c r="M103" i="33" a="1"/>
  <c r="M103" i="33" s="1"/>
  <c r="F76" i="33" a="1"/>
  <c r="F76" i="33" s="1"/>
  <c r="AO22" i="44" a="1"/>
  <c r="AO22" i="44" s="1"/>
  <c r="AN103" i="33" a="1"/>
  <c r="AN103" i="33" s="1"/>
  <c r="N52" i="44" a="1"/>
  <c r="N52" i="44" s="1"/>
  <c r="AQ89" i="45" a="1"/>
  <c r="AQ89" i="45" s="1"/>
  <c r="V64" i="33" a="1"/>
  <c r="V64" i="33" s="1"/>
  <c r="AC98" i="33" a="1"/>
  <c r="AC98" i="33" s="1"/>
  <c r="AB91" i="44" a="1"/>
  <c r="AB91" i="44" s="1"/>
  <c r="K85" i="33" a="1"/>
  <c r="K85" i="33" s="1"/>
  <c r="AL49" i="44" a="1"/>
  <c r="AL49" i="44" s="1"/>
  <c r="Q41" i="33" a="1"/>
  <c r="Q41" i="33" s="1"/>
  <c r="AD19" i="44" a="1"/>
  <c r="AD19" i="44" s="1"/>
  <c r="Z17" i="44" a="1"/>
  <c r="Z17" i="44" s="1"/>
  <c r="N86" i="33" a="1"/>
  <c r="N86" i="33" s="1"/>
  <c r="AP68" i="33" a="1"/>
  <c r="AP68" i="33" s="1"/>
  <c r="AN70" i="44" a="1"/>
  <c r="AN70" i="44" s="1"/>
  <c r="I34" i="44" a="1"/>
  <c r="I34" i="44" s="1"/>
  <c r="V67" i="45" a="1"/>
  <c r="V67" i="45" s="1"/>
  <c r="AP55" i="33" a="1"/>
  <c r="AP55" i="33" s="1"/>
  <c r="AK76" i="45" a="1"/>
  <c r="AK76" i="45" s="1"/>
  <c r="C31" i="43" a="1"/>
  <c r="C31" i="43" s="1"/>
  <c r="AP56" i="33" a="1"/>
  <c r="AP56" i="33" s="1"/>
  <c r="N43" i="33" a="1"/>
  <c r="N43" i="33" s="1"/>
  <c r="AO47" i="45" a="1"/>
  <c r="AO47" i="45" s="1"/>
  <c r="H83" i="45" a="1"/>
  <c r="H83" i="45" s="1"/>
  <c r="H17" i="45" a="1"/>
  <c r="H17" i="45" s="1"/>
  <c r="H53" i="45" a="1"/>
  <c r="H53" i="45" s="1"/>
  <c r="AF28" i="44" a="1"/>
  <c r="AF28" i="44" s="1"/>
  <c r="Y29" i="45" a="1"/>
  <c r="Y29" i="45" s="1"/>
  <c r="AM97" i="33" a="1"/>
  <c r="AM97" i="33" s="1"/>
  <c r="Q53" i="33" a="1"/>
  <c r="Q53" i="33" s="1"/>
  <c r="AA37" i="33" a="1"/>
  <c r="AA37" i="33" s="1"/>
  <c r="AP53" i="33" a="1"/>
  <c r="AP53" i="33" s="1"/>
  <c r="J74" i="45" a="1"/>
  <c r="J74" i="45" s="1"/>
  <c r="AA67" i="33" a="1"/>
  <c r="AA67" i="33" s="1"/>
  <c r="F23" i="45" a="1"/>
  <c r="F23" i="45" s="1"/>
  <c r="AA65" i="33" a="1"/>
  <c r="AA65" i="33" s="1"/>
  <c r="C94" i="41" a="1"/>
  <c r="C94" i="41" s="1"/>
  <c r="L23" i="44" a="1"/>
  <c r="L23" i="44" s="1"/>
  <c r="AA77" i="33" a="1"/>
  <c r="AA77" i="33" s="1"/>
  <c r="L104" i="44" a="1"/>
  <c r="L104" i="44" s="1"/>
  <c r="AB50" i="44" a="1"/>
  <c r="AB50" i="44" s="1"/>
  <c r="AK64" i="44" a="1"/>
  <c r="AK64" i="44" s="1"/>
  <c r="AO34" i="45" a="1"/>
  <c r="AO34" i="45" s="1"/>
  <c r="AG37" i="45" a="1"/>
  <c r="AG37" i="45" s="1"/>
  <c r="AK67" i="33" a="1"/>
  <c r="AK67" i="33" s="1"/>
  <c r="AA67" i="45" a="1"/>
  <c r="AA67" i="45" s="1"/>
  <c r="Z46" i="33" a="1"/>
  <c r="Z46" i="33" s="1"/>
  <c r="S52" i="45" a="1"/>
  <c r="S52" i="45" s="1"/>
  <c r="N25" i="44" a="1"/>
  <c r="N25" i="44" s="1"/>
  <c r="AF85" i="33" a="1"/>
  <c r="AF85" i="33" s="1"/>
  <c r="L101" i="33" a="1"/>
  <c r="L101" i="33" s="1"/>
  <c r="L86" i="45" a="1"/>
  <c r="L86" i="45" s="1"/>
  <c r="AN23" i="44" a="1"/>
  <c r="AN23" i="44" s="1"/>
  <c r="AQ74" i="45" a="1"/>
  <c r="AQ74" i="45" s="1"/>
  <c r="L25" i="44" a="1"/>
  <c r="L25" i="44" s="1"/>
  <c r="L32" i="44" a="1"/>
  <c r="L32" i="44" s="1"/>
  <c r="U31" i="33" a="1"/>
  <c r="U31" i="33" s="1"/>
  <c r="AM100" i="33" a="1"/>
  <c r="AM100" i="33" s="1"/>
  <c r="I91" i="45" a="1"/>
  <c r="I91" i="45" s="1"/>
  <c r="AE89" i="44" a="1"/>
  <c r="AE89" i="44" s="1"/>
  <c r="AF29" i="45" a="1"/>
  <c r="AF29" i="45" s="1"/>
  <c r="G40" i="44" a="1"/>
  <c r="G40" i="44" s="1"/>
  <c r="C49" i="41" a="1"/>
  <c r="C49" i="41" s="1"/>
  <c r="AK52" i="45" a="1"/>
  <c r="AK52" i="45" s="1"/>
  <c r="AC37" i="33" a="1"/>
  <c r="AC37" i="33" s="1"/>
  <c r="W10" i="45" a="1"/>
  <c r="W10" i="45" s="1"/>
  <c r="N32" i="45" a="1"/>
  <c r="N32" i="45" s="1"/>
  <c r="AK20" i="45" a="1"/>
  <c r="AK20" i="45" s="1"/>
  <c r="I101" i="45" a="1"/>
  <c r="I101" i="45" s="1"/>
  <c r="AK40" i="45" a="1"/>
  <c r="AK40" i="45" s="1"/>
  <c r="AJ53" i="44" a="1"/>
  <c r="AJ53" i="44" s="1"/>
  <c r="AO83" i="33" a="1"/>
  <c r="AO83" i="33" s="1"/>
  <c r="C65" i="43" a="1"/>
  <c r="C65" i="43" s="1"/>
  <c r="V91" i="33" a="1"/>
  <c r="V91" i="33" s="1"/>
  <c r="R28" i="45" a="1"/>
  <c r="R28" i="45" s="1"/>
  <c r="AR19" i="33" a="1"/>
  <c r="AR19" i="33" s="1"/>
  <c r="C79" i="41" a="1"/>
  <c r="C79" i="41" s="1"/>
  <c r="V86" i="44" a="1"/>
  <c r="V86" i="44" s="1"/>
  <c r="AB89" i="33" a="1"/>
  <c r="AB89" i="33" s="1"/>
  <c r="AF79" i="45" a="1"/>
  <c r="AF79" i="45" s="1"/>
  <c r="AH100" i="33" a="1"/>
  <c r="AH100" i="33" s="1"/>
  <c r="S59" i="33" a="1"/>
  <c r="S59" i="33" s="1"/>
  <c r="AO70" i="33" a="1"/>
  <c r="AO70" i="33" s="1"/>
  <c r="L20" i="45" a="1"/>
  <c r="L20" i="45" s="1"/>
  <c r="V89" i="44" a="1"/>
  <c r="V89" i="44" s="1"/>
  <c r="E28" i="33" a="1"/>
  <c r="E28" i="33" s="1"/>
  <c r="AQ79" i="33" a="1"/>
  <c r="AQ79" i="33" s="1"/>
  <c r="AO19" i="45" a="1"/>
  <c r="AO19" i="45" s="1"/>
  <c r="V92" i="45" a="1"/>
  <c r="V92" i="45" s="1"/>
  <c r="M35" i="33" a="1"/>
  <c r="M35" i="33" s="1"/>
  <c r="W98" i="44" a="1"/>
  <c r="W98" i="44" s="1"/>
  <c r="AC100" i="45" a="1"/>
  <c r="AC100" i="45" s="1"/>
  <c r="AD103" i="33" a="1"/>
  <c r="AD103" i="33" s="1"/>
  <c r="L19" i="45" a="1"/>
  <c r="L19" i="45" s="1"/>
  <c r="C103" i="46" a="1"/>
  <c r="C103" i="46" s="1"/>
  <c r="E44" i="44" a="1"/>
  <c r="E44" i="44" s="1"/>
  <c r="K37" i="44" a="1"/>
  <c r="K37" i="44" s="1"/>
  <c r="AH56" i="44" a="1"/>
  <c r="AH56" i="44" s="1"/>
  <c r="AG85" i="44" a="1"/>
  <c r="AG85" i="44" s="1"/>
  <c r="T77" i="33" a="1"/>
  <c r="T77" i="33" s="1"/>
  <c r="E74" i="45" a="1"/>
  <c r="E74" i="45" s="1"/>
  <c r="AN103" i="44" a="1"/>
  <c r="AN103" i="44" s="1"/>
  <c r="AF44" i="45" a="1"/>
  <c r="AF44" i="45" s="1"/>
  <c r="AC97" i="45" a="1"/>
  <c r="AC97" i="45" s="1"/>
  <c r="J31" i="45" a="1"/>
  <c r="J31" i="45" s="1"/>
  <c r="Y86" i="45" a="1"/>
  <c r="Y86" i="45" s="1"/>
  <c r="N31" i="45" a="1"/>
  <c r="N31" i="45" s="1"/>
  <c r="AQ56" i="45" a="1"/>
  <c r="AQ56" i="45" s="1"/>
  <c r="AE97" i="33" a="1"/>
  <c r="AE97" i="33" s="1"/>
  <c r="C53" i="33" a="1"/>
  <c r="C53" i="33" s="1"/>
  <c r="AG95" i="33" a="1"/>
  <c r="AG95" i="33" s="1"/>
  <c r="Q17" i="45" a="1"/>
  <c r="Q17" i="45" s="1"/>
  <c r="AQ31" i="44" a="1"/>
  <c r="AQ31" i="44" s="1"/>
  <c r="C62" i="44" a="1"/>
  <c r="C62" i="44" s="1"/>
  <c r="Y31" i="45" a="1"/>
  <c r="Y31" i="45" s="1"/>
  <c r="Y19" i="44" a="1"/>
  <c r="Y19" i="44" s="1"/>
  <c r="G19" i="44" a="1"/>
  <c r="G19" i="44" s="1"/>
  <c r="S77" i="33" a="1"/>
  <c r="S77" i="33" s="1"/>
  <c r="W41" i="33" a="1"/>
  <c r="W41" i="33" s="1"/>
  <c r="AF25" i="45" a="1"/>
  <c r="AF25" i="45" s="1"/>
  <c r="L92" i="45" a="1"/>
  <c r="L92" i="45" s="1"/>
  <c r="K77" i="45" a="1"/>
  <c r="K77" i="45" s="1"/>
  <c r="AM44" i="45" a="1"/>
  <c r="AM44" i="45" s="1"/>
  <c r="H26" i="44" a="1"/>
  <c r="H26" i="44" s="1"/>
  <c r="AC50" i="45" a="1"/>
  <c r="AC50" i="45" s="1"/>
  <c r="S53" i="45" a="1"/>
  <c r="S53" i="45" s="1"/>
  <c r="R101" i="44" a="1"/>
  <c r="R101" i="44" s="1"/>
  <c r="H76" i="45" a="1"/>
  <c r="H76" i="45" s="1"/>
  <c r="M40" i="45" a="1"/>
  <c r="M40" i="45" s="1"/>
  <c r="AI95" i="33" a="1"/>
  <c r="AI95" i="33" s="1"/>
  <c r="AB19" i="45" a="1"/>
  <c r="AB19" i="45" s="1"/>
  <c r="AP68" i="44" a="1"/>
  <c r="AP68" i="44" s="1"/>
  <c r="AE22" i="44" a="1"/>
  <c r="AE22" i="44" s="1"/>
  <c r="X89" i="45" a="1"/>
  <c r="X89" i="45" s="1"/>
  <c r="K16" i="45" a="1"/>
  <c r="K16" i="45" s="1"/>
  <c r="P52" i="45" a="1"/>
  <c r="P52" i="45" s="1"/>
  <c r="F98" i="33" a="1"/>
  <c r="F98" i="33" s="1"/>
  <c r="Y10" i="44" a="1"/>
  <c r="Y10" i="44" s="1"/>
  <c r="AR31" i="44" a="1"/>
  <c r="AR31" i="44" s="1"/>
  <c r="V47" i="44" a="1"/>
  <c r="V47" i="44" s="1"/>
  <c r="AE68" i="44" a="1"/>
  <c r="AE68" i="44" s="1"/>
  <c r="AN101" i="44" a="1"/>
  <c r="AN101" i="44" s="1"/>
  <c r="M62" i="45" a="1"/>
  <c r="M62" i="45" s="1"/>
  <c r="AR67" i="44" a="1"/>
  <c r="AR67" i="44" s="1"/>
  <c r="P50" i="44" a="1"/>
  <c r="P50" i="44" s="1"/>
  <c r="AO68" i="33" a="1"/>
  <c r="AO68" i="33" s="1"/>
  <c r="K92" i="33" a="1"/>
  <c r="K92" i="33" s="1"/>
  <c r="AK43" i="33" a="1"/>
  <c r="AK43" i="33" s="1"/>
  <c r="AL94" i="33" a="1"/>
  <c r="AL94" i="33" s="1"/>
  <c r="AI25" i="44" a="1"/>
  <c r="AI25" i="44" s="1"/>
  <c r="M41" i="44" a="1"/>
  <c r="M41" i="44" s="1"/>
  <c r="AH22" i="44" a="1"/>
  <c r="AH22" i="44" s="1"/>
  <c r="AF77" i="44" a="1"/>
  <c r="AF77" i="44" s="1"/>
  <c r="Y85" i="45" a="1"/>
  <c r="Y85" i="45" s="1"/>
  <c r="AK26" i="44" a="1"/>
  <c r="AK26" i="44" s="1"/>
  <c r="N68" i="44" a="1"/>
  <c r="N68" i="44" s="1"/>
  <c r="AH73" i="44" a="1"/>
  <c r="AH73" i="44" s="1"/>
  <c r="AQ82" i="33" a="1"/>
  <c r="AQ82" i="33" s="1"/>
  <c r="V58" i="33" a="1"/>
  <c r="V58" i="33" s="1"/>
  <c r="J95" i="45" a="1"/>
  <c r="J95" i="45" s="1"/>
  <c r="T55" i="45" a="1"/>
  <c r="T55" i="45" s="1"/>
  <c r="W61" i="44" a="1"/>
  <c r="W61" i="44" s="1"/>
  <c r="AQ71" i="33" a="1"/>
  <c r="AQ71" i="33" s="1"/>
  <c r="AH88" i="44" a="1"/>
  <c r="AH88" i="44" s="1"/>
  <c r="S74" i="33" a="1"/>
  <c r="S74" i="33" s="1"/>
  <c r="K82" i="45" a="1"/>
  <c r="K82" i="45" s="1"/>
  <c r="AN79" i="45" a="1"/>
  <c r="AN79" i="45" s="1"/>
  <c r="W94" i="33" a="1"/>
  <c r="W94" i="33" s="1"/>
  <c r="C16" i="41" a="1"/>
  <c r="C16" i="41" s="1"/>
  <c r="X20" i="33" a="1"/>
  <c r="X20" i="33" s="1"/>
  <c r="G22" i="33" a="1"/>
  <c r="G22" i="33" s="1"/>
  <c r="W40" i="44" a="1"/>
  <c r="W40" i="44" s="1"/>
  <c r="AC31" i="33" a="1"/>
  <c r="AC31" i="33" s="1"/>
  <c r="W17" i="45" a="1"/>
  <c r="W17" i="45" s="1"/>
  <c r="V44" i="44" a="1"/>
  <c r="V44" i="44" s="1"/>
  <c r="U83" i="45" a="1"/>
  <c r="U83" i="45" s="1"/>
  <c r="AF44" i="44" a="1"/>
  <c r="AF44" i="44" s="1"/>
  <c r="AK89" i="45" a="1"/>
  <c r="AK89" i="45" s="1"/>
  <c r="AE101" i="44" a="1"/>
  <c r="AE101" i="44" s="1"/>
  <c r="AA20" i="45" a="1"/>
  <c r="AA20" i="45" s="1"/>
  <c r="L94" i="33" a="1"/>
  <c r="L94" i="33" s="1"/>
  <c r="AL47" i="44" a="1"/>
  <c r="AL47" i="44" s="1"/>
  <c r="AG65" i="45" a="1"/>
  <c r="AG65" i="45" s="1"/>
  <c r="O85" i="44" a="1"/>
  <c r="O85" i="44" s="1"/>
  <c r="P97" i="44" a="1"/>
  <c r="P97" i="44" s="1"/>
  <c r="AO104" i="45" a="1"/>
  <c r="AO104" i="45" s="1"/>
  <c r="AC82" i="45" a="1"/>
  <c r="AC82" i="45" s="1"/>
  <c r="AR59" i="44" a="1"/>
  <c r="AR59" i="44" s="1"/>
  <c r="Y52" i="45" a="1"/>
  <c r="Y52" i="45" s="1"/>
  <c r="X35" i="45" a="1"/>
  <c r="X35" i="45" s="1"/>
  <c r="R103" i="44" a="1"/>
  <c r="R103" i="44" s="1"/>
  <c r="AD103" i="45" a="1"/>
  <c r="AD103" i="45" s="1"/>
  <c r="X79" i="44" a="1"/>
  <c r="X79" i="44" s="1"/>
  <c r="J101" i="33" a="1"/>
  <c r="J101" i="33" s="1"/>
  <c r="AG20" i="33" a="1"/>
  <c r="AG20" i="33" s="1"/>
  <c r="E80" i="33" a="1"/>
  <c r="E80" i="33" s="1"/>
  <c r="AC62" i="44" a="1"/>
  <c r="AC62" i="44" s="1"/>
  <c r="AL50" i="33" a="1"/>
  <c r="AL50" i="33" s="1"/>
  <c r="E19" i="45" a="1"/>
  <c r="E19" i="45" s="1"/>
  <c r="AG98" i="33" a="1"/>
  <c r="AG98" i="33" s="1"/>
  <c r="Q32" i="45" a="1"/>
  <c r="Q32" i="45" s="1"/>
  <c r="C46" i="42" a="1"/>
  <c r="C46" i="42" s="1"/>
  <c r="H89" i="45" a="1"/>
  <c r="H89" i="45" s="1"/>
  <c r="AF92" i="45" a="1"/>
  <c r="AF92" i="45" s="1"/>
  <c r="AE77" i="33" a="1"/>
  <c r="AE77" i="33" s="1"/>
  <c r="U61" i="33" a="1"/>
  <c r="U61" i="33" s="1"/>
  <c r="C47" i="41" a="1"/>
  <c r="C47" i="41" s="1"/>
  <c r="C104" i="33" a="1"/>
  <c r="C104" i="33" s="1"/>
  <c r="AI31" i="45" a="1"/>
  <c r="AI31" i="45" s="1"/>
  <c r="AR62" i="44" a="1"/>
  <c r="AR62" i="44" s="1"/>
  <c r="AR74" i="33" a="1"/>
  <c r="AR74" i="33" s="1"/>
  <c r="L10" i="33" a="1"/>
  <c r="L10" i="33" s="1"/>
  <c r="M38" i="33" a="1"/>
  <c r="M38" i="33" s="1"/>
  <c r="E68" i="44" a="1"/>
  <c r="E68" i="44" s="1"/>
  <c r="W76" i="33" a="1"/>
  <c r="W76" i="33" s="1"/>
  <c r="I88" i="33" a="1"/>
  <c r="I88" i="33" s="1"/>
  <c r="U40" i="45" a="1"/>
  <c r="U40" i="45" s="1"/>
  <c r="AO85" i="44" a="1"/>
  <c r="AO85" i="44" s="1"/>
  <c r="Q95" i="45" a="1"/>
  <c r="Q95" i="45" s="1"/>
  <c r="AI97" i="44" a="1"/>
  <c r="AI97" i="44" s="1"/>
  <c r="C77" i="46" a="1"/>
  <c r="C77" i="46" s="1"/>
  <c r="AC38" i="33" a="1"/>
  <c r="AC38" i="33" s="1"/>
  <c r="C25" i="41" a="1"/>
  <c r="C25" i="41" s="1"/>
  <c r="H95" i="45" a="1"/>
  <c r="H95" i="45" s="1"/>
  <c r="Z82" i="44" a="1"/>
  <c r="Z82" i="44" s="1"/>
  <c r="N74" i="44" a="1"/>
  <c r="N74" i="44" s="1"/>
  <c r="W73" i="45" a="1"/>
  <c r="W73" i="45" s="1"/>
  <c r="Y26" i="45" a="1"/>
  <c r="Y26" i="45" s="1"/>
  <c r="AO80" i="33" a="1"/>
  <c r="AO80" i="33" s="1"/>
  <c r="K26" i="45" a="1"/>
  <c r="K26" i="45" s="1"/>
  <c r="F71" i="33" a="1"/>
  <c r="F71" i="33" s="1"/>
  <c r="AC41" i="44" a="1"/>
  <c r="AC41" i="44" s="1"/>
  <c r="G92" i="45" a="1"/>
  <c r="G92" i="45" s="1"/>
  <c r="X53" i="33" a="1"/>
  <c r="X53" i="33" s="1"/>
  <c r="K47" i="33" a="1"/>
  <c r="K47" i="33" s="1"/>
  <c r="AD11" i="44" a="1"/>
  <c r="AD11" i="44" s="1"/>
  <c r="S100" i="33" a="1"/>
  <c r="S100" i="33" s="1"/>
  <c r="AG95" i="45" a="1"/>
  <c r="AG95" i="45" s="1"/>
  <c r="G16" i="45" a="1"/>
  <c r="G16" i="45" s="1"/>
  <c r="F31" i="33" a="1"/>
  <c r="F31" i="33" s="1"/>
  <c r="Y50" i="33" a="1"/>
  <c r="Y50" i="33" s="1"/>
  <c r="AR23" i="45" a="1"/>
  <c r="AR23" i="45" s="1"/>
  <c r="AM94" i="45" a="1"/>
  <c r="AM94" i="45" s="1"/>
  <c r="Z10" i="45" a="1"/>
  <c r="Z10" i="45" s="1"/>
  <c r="S23" i="33" a="1"/>
  <c r="S23" i="33" s="1"/>
  <c r="AN53" i="33" a="1"/>
  <c r="AN53" i="33" s="1"/>
  <c r="P70" i="33" a="1"/>
  <c r="P70" i="33" s="1"/>
  <c r="AE20" i="33" a="1"/>
  <c r="AE20" i="33" s="1"/>
  <c r="C91" i="43" a="1"/>
  <c r="C91" i="43" s="1"/>
  <c r="X98" i="45" a="1"/>
  <c r="X98" i="45" s="1"/>
  <c r="AF32" i="44" a="1"/>
  <c r="AF32" i="44" s="1"/>
  <c r="L31" i="33" a="1"/>
  <c r="L31" i="33" s="1"/>
  <c r="AN101" i="45" a="1"/>
  <c r="AN101" i="45" s="1"/>
  <c r="AG26" i="33" a="1"/>
  <c r="AG26" i="33" s="1"/>
  <c r="AD86" i="33" a="1"/>
  <c r="AD86" i="33" s="1"/>
  <c r="Z91" i="45" a="1"/>
  <c r="Z91" i="45" s="1"/>
  <c r="K53" i="45" a="1"/>
  <c r="K53" i="45" s="1"/>
  <c r="AJ73" i="45" a="1"/>
  <c r="AJ73" i="45" s="1"/>
  <c r="C76" i="41" a="1"/>
  <c r="C76" i="41" s="1"/>
  <c r="AH29" i="44" a="1"/>
  <c r="AH29" i="44" s="1"/>
  <c r="T83" i="45" a="1"/>
  <c r="T83" i="45" s="1"/>
  <c r="AK89" i="33" a="1"/>
  <c r="AK89" i="33" s="1"/>
  <c r="H64" i="33" a="1"/>
  <c r="H64" i="33" s="1"/>
  <c r="C79" i="43" a="1"/>
  <c r="C79" i="43" s="1"/>
  <c r="F20" i="45" a="1"/>
  <c r="F20" i="45" s="1"/>
  <c r="G70" i="44" a="1"/>
  <c r="G70" i="44" s="1"/>
  <c r="S34" i="33" a="1"/>
  <c r="S34" i="33" s="1"/>
  <c r="AH58" i="33" a="1"/>
  <c r="AH58" i="33" s="1"/>
  <c r="I92" i="33" a="1"/>
  <c r="I92" i="33" s="1"/>
  <c r="V23" i="45" a="1"/>
  <c r="V23" i="45" s="1"/>
  <c r="T26" i="45" a="1"/>
  <c r="T26" i="45" s="1"/>
  <c r="AN71" i="45" a="1"/>
  <c r="AN71" i="45" s="1"/>
  <c r="I86" i="33" a="1"/>
  <c r="I86" i="33" s="1"/>
  <c r="AL89" i="45" a="1"/>
  <c r="AL89" i="45" s="1"/>
  <c r="AL31" i="45" a="1"/>
  <c r="AL31" i="45" s="1"/>
  <c r="AL30" i="45" s="1"/>
  <c r="T67" i="45" a="1"/>
  <c r="T67" i="45" s="1"/>
  <c r="O82" i="33" a="1"/>
  <c r="O82" i="33" s="1"/>
  <c r="P28" i="44" a="1"/>
  <c r="P28" i="44" s="1"/>
  <c r="W32" i="45" a="1"/>
  <c r="W32" i="45" s="1"/>
  <c r="L17" i="44" a="1"/>
  <c r="L17" i="44" s="1"/>
  <c r="L10" i="44" a="1"/>
  <c r="L10" i="44" s="1"/>
  <c r="V32" i="45" a="1"/>
  <c r="V32" i="45" s="1"/>
  <c r="AR80" i="33" a="1"/>
  <c r="AR80" i="33" s="1"/>
  <c r="AB77" i="45" a="1"/>
  <c r="AB77" i="45" s="1"/>
  <c r="AJ37" i="33" a="1"/>
  <c r="AJ37" i="33" s="1"/>
  <c r="U52" i="44" a="1"/>
  <c r="U52" i="44" s="1"/>
  <c r="E41" i="33" a="1"/>
  <c r="E41" i="33" s="1"/>
  <c r="Z68" i="44" a="1"/>
  <c r="Z68" i="44" s="1"/>
  <c r="AR94" i="33" a="1"/>
  <c r="AR94" i="33" s="1"/>
  <c r="AH85" i="44" a="1"/>
  <c r="AH85" i="44" s="1"/>
  <c r="AJ37" i="45" a="1"/>
  <c r="AJ37" i="45" s="1"/>
  <c r="AH25" i="44" a="1"/>
  <c r="AH25" i="44" s="1"/>
  <c r="AI68" i="33" a="1"/>
  <c r="AI68" i="33" s="1"/>
  <c r="AN46" i="33" a="1"/>
  <c r="AN46" i="33" s="1"/>
  <c r="AP58" i="33" a="1"/>
  <c r="AP58" i="33" s="1"/>
  <c r="G91" i="33" a="1"/>
  <c r="G91" i="33" s="1"/>
  <c r="AC92" i="44" a="1"/>
  <c r="AC92" i="44" s="1"/>
  <c r="Q64" i="44" a="1"/>
  <c r="Q64" i="44" s="1"/>
  <c r="X76" i="44" a="1"/>
  <c r="X76" i="44" s="1"/>
  <c r="F40" i="45" a="1"/>
  <c r="F40" i="45" s="1"/>
  <c r="F70" i="45" a="1"/>
  <c r="F70" i="45" s="1"/>
  <c r="S92" i="45" a="1"/>
  <c r="S92" i="45" s="1"/>
  <c r="M91" i="33" a="1"/>
  <c r="M91" i="33" s="1"/>
  <c r="AJ79" i="33" a="1"/>
  <c r="AJ79" i="33" s="1"/>
  <c r="AP83" i="33" a="1"/>
  <c r="AP83" i="33" s="1"/>
  <c r="M32" i="44" a="1"/>
  <c r="M32" i="44" s="1"/>
  <c r="M22" i="44" a="1"/>
  <c r="M22" i="44" s="1"/>
  <c r="AI100" i="44" a="1"/>
  <c r="AI100" i="44" s="1"/>
  <c r="E97" i="45" a="1"/>
  <c r="E97" i="45" s="1"/>
  <c r="G53" i="45" a="1"/>
  <c r="G53" i="45" s="1"/>
  <c r="R58" i="33" a="1"/>
  <c r="R58" i="33" s="1"/>
  <c r="AL10" i="45" a="1"/>
  <c r="AL10" i="45" s="1"/>
  <c r="R82" i="33" a="1"/>
  <c r="R82" i="33" s="1"/>
  <c r="AD31" i="44" a="1"/>
  <c r="AD31" i="44" s="1"/>
  <c r="AP50" i="45" a="1"/>
  <c r="AP50" i="45" s="1"/>
  <c r="AR37" i="33" a="1"/>
  <c r="AR37" i="33" s="1"/>
  <c r="AB74" i="33" a="1"/>
  <c r="AB74" i="33" s="1"/>
  <c r="V59" i="45" a="1"/>
  <c r="V59" i="45" s="1"/>
  <c r="G70" i="45" a="1"/>
  <c r="G70" i="45" s="1"/>
  <c r="AF103" i="33" a="1"/>
  <c r="AF103" i="33" s="1"/>
  <c r="AC76" i="33" a="1"/>
  <c r="AC76" i="33" s="1"/>
  <c r="V104" i="44" a="1"/>
  <c r="V104" i="44" s="1"/>
  <c r="U86" i="45" a="1"/>
  <c r="U86" i="45" s="1"/>
  <c r="S77" i="45" a="1"/>
  <c r="S77" i="45" s="1"/>
  <c r="O79" i="45" a="1"/>
  <c r="O79" i="45" s="1"/>
  <c r="V47" i="45" a="1"/>
  <c r="V47" i="45" s="1"/>
  <c r="L64" i="44" a="1"/>
  <c r="L64" i="44" s="1"/>
  <c r="R32" i="33" a="1"/>
  <c r="R32" i="33" s="1"/>
  <c r="Q85" i="44" a="1"/>
  <c r="Q85" i="44" s="1"/>
  <c r="X22" i="33" a="1"/>
  <c r="X22" i="33" s="1"/>
  <c r="H44" i="33" a="1"/>
  <c r="H44" i="33" s="1"/>
  <c r="AQ22" i="44" a="1"/>
  <c r="AQ22" i="44" s="1"/>
  <c r="M82" i="45" a="1"/>
  <c r="M82" i="45" s="1"/>
  <c r="I43" i="44" a="1"/>
  <c r="I43" i="44" s="1"/>
  <c r="AG32" i="44" a="1"/>
  <c r="AG32" i="44" s="1"/>
  <c r="P91" i="44" a="1"/>
  <c r="P91" i="44" s="1"/>
  <c r="AP26" i="44" a="1"/>
  <c r="AP26" i="44" s="1"/>
  <c r="Y101" i="44" a="1"/>
  <c r="Y101" i="44" s="1"/>
  <c r="U56" i="45" a="1"/>
  <c r="U56" i="45" s="1"/>
  <c r="AA37" i="45" a="1"/>
  <c r="AA37" i="45" s="1"/>
  <c r="I43" i="45" a="1"/>
  <c r="I43" i="45" s="1"/>
  <c r="G53" i="44" a="1"/>
  <c r="G53" i="44" s="1"/>
  <c r="AH35" i="45" a="1"/>
  <c r="AH35" i="45" s="1"/>
  <c r="Q28" i="45" a="1"/>
  <c r="Q28" i="45" s="1"/>
  <c r="AD89" i="44" a="1"/>
  <c r="AD89" i="44" s="1"/>
  <c r="AL104" i="45" a="1"/>
  <c r="AL104" i="45" s="1"/>
  <c r="F74" i="33" a="1"/>
  <c r="F74" i="33" s="1"/>
  <c r="V16" i="44" a="1"/>
  <c r="V16" i="44" s="1"/>
  <c r="AJ58" i="45" a="1"/>
  <c r="AJ58" i="45" s="1"/>
  <c r="AK83" i="45" a="1"/>
  <c r="AK83" i="45" s="1"/>
  <c r="Z74" i="33" a="1"/>
  <c r="Z74" i="33" s="1"/>
  <c r="M56" i="45" a="1"/>
  <c r="M56" i="45" s="1"/>
  <c r="Y83" i="45" a="1"/>
  <c r="Y83" i="45" s="1"/>
  <c r="V20" i="45" a="1"/>
  <c r="V20" i="45" s="1"/>
  <c r="L17" i="45" a="1"/>
  <c r="L17" i="45" s="1"/>
  <c r="AL35" i="44" a="1"/>
  <c r="AL35" i="44" s="1"/>
  <c r="K82" i="44" a="1"/>
  <c r="K82" i="44" s="1"/>
  <c r="G76" i="45" a="1"/>
  <c r="G76" i="45" s="1"/>
  <c r="S22" i="45" a="1"/>
  <c r="S22" i="45" s="1"/>
  <c r="L83" i="33" a="1"/>
  <c r="L83" i="33" s="1"/>
  <c r="V97" i="45" a="1"/>
  <c r="V97" i="45" s="1"/>
  <c r="J28" i="33" a="1"/>
  <c r="J28" i="33" s="1"/>
  <c r="J27" i="33" s="1"/>
  <c r="AO89" i="33" a="1"/>
  <c r="AO89" i="33" s="1"/>
  <c r="P44" i="45" a="1"/>
  <c r="P44" i="45" s="1"/>
  <c r="W43" i="45" a="1"/>
  <c r="W43" i="45" s="1"/>
  <c r="Z32" i="44" a="1"/>
  <c r="Z32" i="44" s="1"/>
  <c r="C32" i="45" a="1"/>
  <c r="C32" i="45" s="1"/>
  <c r="I35" i="45" a="1"/>
  <c r="I35" i="45" s="1"/>
  <c r="X74" i="44" a="1"/>
  <c r="X74" i="44" s="1"/>
  <c r="AD29" i="33" a="1"/>
  <c r="AD29" i="33" s="1"/>
  <c r="AM97" i="45" a="1"/>
  <c r="AM97" i="45" s="1"/>
  <c r="AN35" i="45" a="1"/>
  <c r="AN35" i="45" s="1"/>
  <c r="AF37" i="33" a="1"/>
  <c r="AF37" i="33" s="1"/>
  <c r="C88" i="45" a="1"/>
  <c r="C88" i="45" s="1"/>
  <c r="AF67" i="45" a="1"/>
  <c r="AF67" i="45" s="1"/>
  <c r="P46" i="33" a="1"/>
  <c r="P46" i="33" s="1"/>
  <c r="O17" i="44" a="1"/>
  <c r="O17" i="44" s="1"/>
  <c r="AM65" i="45" a="1"/>
  <c r="AM65" i="45" s="1"/>
  <c r="AD35" i="33" a="1"/>
  <c r="AD35" i="33" s="1"/>
  <c r="I19" i="33" a="1"/>
  <c r="I19" i="33" s="1"/>
  <c r="C77" i="42" a="1"/>
  <c r="C77" i="42" s="1"/>
  <c r="AO80" i="44" a="1"/>
  <c r="AO80" i="44" s="1"/>
  <c r="E47" i="33" a="1"/>
  <c r="E47" i="33" s="1"/>
  <c r="X26" i="44" a="1"/>
  <c r="X26" i="44" s="1"/>
  <c r="F101" i="33" a="1"/>
  <c r="F101" i="33" s="1"/>
  <c r="AO26" i="45" a="1"/>
  <c r="AO26" i="45" s="1"/>
  <c r="C91" i="42" a="1"/>
  <c r="C91" i="42" s="1"/>
  <c r="AH86" i="44" a="1"/>
  <c r="AH86" i="44" s="1"/>
  <c r="K101" i="45" a="1"/>
  <c r="K101" i="45" s="1"/>
  <c r="E44" i="45" a="1"/>
  <c r="E44" i="45" s="1"/>
  <c r="M38" i="44" a="1"/>
  <c r="M38" i="44" s="1"/>
  <c r="C41" i="33" a="1"/>
  <c r="C41" i="33" s="1"/>
  <c r="G62" i="44" a="1"/>
  <c r="G62" i="44" s="1"/>
  <c r="J70" i="45" a="1"/>
  <c r="J70" i="45" s="1"/>
  <c r="C31" i="33" a="1"/>
  <c r="C31" i="33" s="1"/>
  <c r="AE53" i="44" a="1"/>
  <c r="AE53" i="44" s="1"/>
  <c r="U68" i="45" a="1"/>
  <c r="U68" i="45" s="1"/>
  <c r="AA94" i="33" a="1"/>
  <c r="AA94" i="33" s="1"/>
  <c r="F86" i="33" a="1"/>
  <c r="F86" i="33" s="1"/>
  <c r="E70" i="45" a="1"/>
  <c r="E70" i="45" s="1"/>
  <c r="H86" i="33" a="1"/>
  <c r="H86" i="33" s="1"/>
  <c r="M80" i="33" a="1"/>
  <c r="M80" i="33" s="1"/>
  <c r="C19" i="43" a="1"/>
  <c r="C19" i="43" s="1"/>
  <c r="E50" i="44" a="1"/>
  <c r="E50" i="44" s="1"/>
  <c r="AM91" i="33" a="1"/>
  <c r="AM91" i="33" s="1"/>
  <c r="W34" i="44" a="1"/>
  <c r="W34" i="44" s="1"/>
  <c r="H67" i="45" a="1"/>
  <c r="H67" i="45" s="1"/>
  <c r="O95" i="44" a="1"/>
  <c r="O95" i="44" s="1"/>
  <c r="AA80" i="45" a="1"/>
  <c r="AA80" i="45" s="1"/>
  <c r="AJ56" i="33" a="1"/>
  <c r="AJ56" i="33" s="1"/>
  <c r="K91" i="44" a="1"/>
  <c r="K91" i="44" s="1"/>
  <c r="K32" i="44" a="1"/>
  <c r="K32" i="44" s="1"/>
  <c r="AK16" i="33" a="1"/>
  <c r="AK16" i="33" s="1"/>
  <c r="R61" i="33" a="1"/>
  <c r="R61" i="33" s="1"/>
  <c r="AN43" i="33" a="1"/>
  <c r="AN43" i="33" s="1"/>
  <c r="AA79" i="44" a="1"/>
  <c r="AA79" i="44" s="1"/>
  <c r="W31" i="33" a="1"/>
  <c r="W31" i="33" s="1"/>
  <c r="O100" i="45" a="1"/>
  <c r="O100" i="45" s="1"/>
  <c r="I89" i="44" a="1"/>
  <c r="I89" i="44" s="1"/>
  <c r="AD58" i="33" a="1"/>
  <c r="AD58" i="33" s="1"/>
  <c r="AF83" i="45" a="1"/>
  <c r="AF83" i="45" s="1"/>
  <c r="C47" i="45" a="1"/>
  <c r="C47" i="45" s="1"/>
  <c r="J86" i="44" a="1"/>
  <c r="J86" i="44" s="1"/>
  <c r="AB10" i="44" a="1"/>
  <c r="AB10" i="44" s="1"/>
  <c r="AL29" i="44" a="1"/>
  <c r="AL29" i="44" s="1"/>
  <c r="T41" i="44" a="1"/>
  <c r="T41" i="44" s="1"/>
  <c r="I25" i="44" a="1"/>
  <c r="I25" i="44" s="1"/>
  <c r="AQ25" i="44" a="1"/>
  <c r="AQ25" i="44" s="1"/>
  <c r="AK95" i="33" a="1"/>
  <c r="AK95" i="33" s="1"/>
  <c r="AD76" i="33" a="1"/>
  <c r="AD76" i="33" s="1"/>
  <c r="AM32" i="33" a="1"/>
  <c r="AM32" i="33" s="1"/>
  <c r="AM76" i="33" a="1"/>
  <c r="AM76" i="33" s="1"/>
  <c r="C19" i="42" a="1"/>
  <c r="C19" i="42" s="1"/>
  <c r="T23" i="33" a="1"/>
  <c r="T23" i="33" s="1"/>
  <c r="AB67" i="45" a="1"/>
  <c r="AB67" i="45" s="1"/>
  <c r="T26" i="33" a="1"/>
  <c r="T26" i="33" s="1"/>
  <c r="Z85" i="45" a="1"/>
  <c r="Z85" i="45" s="1"/>
  <c r="W92" i="33" a="1"/>
  <c r="W92" i="33" s="1"/>
  <c r="C62" i="41" a="1"/>
  <c r="C62" i="41" s="1"/>
  <c r="AB71" i="45" a="1"/>
  <c r="AB71" i="45" s="1"/>
  <c r="T88" i="33" a="1"/>
  <c r="T88" i="33" s="1"/>
  <c r="N10" i="44" a="1"/>
  <c r="N10" i="44" s="1"/>
  <c r="V35" i="33" a="1"/>
  <c r="V35" i="33" s="1"/>
  <c r="AA100" i="45" a="1"/>
  <c r="AA100" i="45" s="1"/>
  <c r="U77" i="44" a="1"/>
  <c r="U77" i="44" s="1"/>
  <c r="U64" i="45" a="1"/>
  <c r="U64" i="45" s="1"/>
  <c r="N94" i="44" a="1"/>
  <c r="N94" i="44" s="1"/>
  <c r="AR28" i="33" a="1"/>
  <c r="AR28" i="33" s="1"/>
  <c r="AR46" i="33" a="1"/>
  <c r="AR46" i="33" s="1"/>
  <c r="AB98" i="45" a="1"/>
  <c r="AB98" i="45" s="1"/>
  <c r="I91" i="33" a="1"/>
  <c r="I91" i="33" s="1"/>
  <c r="AQ76" i="44" a="1"/>
  <c r="AQ76" i="44" s="1"/>
  <c r="P80" i="33" a="1"/>
  <c r="P80" i="33" s="1"/>
  <c r="AE23" i="33" a="1"/>
  <c r="AE23" i="33" s="1"/>
  <c r="K52" i="44" a="1"/>
  <c r="K52" i="44" s="1"/>
  <c r="X65" i="44" a="1"/>
  <c r="X65" i="44" s="1"/>
  <c r="AL41" i="44" a="1"/>
  <c r="AL41" i="44" s="1"/>
  <c r="Y52" i="33" a="1"/>
  <c r="Y52" i="33" s="1"/>
  <c r="H80" i="33" a="1"/>
  <c r="H80" i="33" s="1"/>
  <c r="G25" i="33" a="1"/>
  <c r="G25" i="33" s="1"/>
  <c r="J29" i="44" a="1"/>
  <c r="J29" i="44" s="1"/>
  <c r="AL61" i="33" a="1"/>
  <c r="AL61" i="33" s="1"/>
  <c r="AB34" i="33" a="1"/>
  <c r="AB34" i="33" s="1"/>
  <c r="AJ91" i="45" a="1"/>
  <c r="AJ91" i="45" s="1"/>
  <c r="AJ34" i="33" a="1"/>
  <c r="AJ34" i="33" s="1"/>
  <c r="AF50" i="45" a="1"/>
  <c r="AF50" i="45" s="1"/>
  <c r="R59" i="45" a="1"/>
  <c r="R59" i="45" s="1"/>
  <c r="AD85" i="33" a="1"/>
  <c r="AD85" i="33" s="1"/>
  <c r="N55" i="33" a="1"/>
  <c r="N55" i="33" s="1"/>
  <c r="R26" i="33" a="1"/>
  <c r="R26" i="33" s="1"/>
  <c r="V104" i="33" a="1"/>
  <c r="V104" i="33" s="1"/>
  <c r="I19" i="45" a="1"/>
  <c r="I19" i="45" s="1"/>
  <c r="AP59" i="44" a="1"/>
  <c r="AP59" i="44" s="1"/>
  <c r="U61" i="44" a="1"/>
  <c r="U61" i="44" s="1"/>
  <c r="G77" i="45" a="1"/>
  <c r="G77" i="45" s="1"/>
  <c r="AI29" i="44" a="1"/>
  <c r="AI29" i="44" s="1"/>
  <c r="U79" i="45" a="1"/>
  <c r="U79" i="45" s="1"/>
  <c r="Q98" i="44" a="1"/>
  <c r="Q98" i="44" s="1"/>
  <c r="O32" i="44" a="1"/>
  <c r="O32" i="44" s="1"/>
  <c r="P89" i="44" a="1"/>
  <c r="P89" i="44" s="1"/>
  <c r="O28" i="33" a="1"/>
  <c r="O28" i="33" s="1"/>
  <c r="X20" i="44" a="1"/>
  <c r="X20" i="44" s="1"/>
  <c r="AI61" i="44" a="1"/>
  <c r="AI61" i="44" s="1"/>
  <c r="L28" i="44" a="1"/>
  <c r="L28" i="44" s="1"/>
  <c r="O59" i="33" a="1"/>
  <c r="O59" i="33" s="1"/>
  <c r="T83" i="44" a="1"/>
  <c r="T83" i="44" s="1"/>
  <c r="AL50" i="45" a="1"/>
  <c r="AL50" i="45" s="1"/>
  <c r="U91" i="44" a="1"/>
  <c r="U91" i="44" s="1"/>
  <c r="E62" i="44" a="1"/>
  <c r="E62" i="44" s="1"/>
  <c r="AE67" i="45" a="1"/>
  <c r="AE67" i="45" s="1"/>
  <c r="N94" i="33" a="1"/>
  <c r="N94" i="33" s="1"/>
  <c r="AM52" i="33" a="1"/>
  <c r="AM52" i="33" s="1"/>
  <c r="Q92" i="44" a="1"/>
  <c r="Q92" i="44" s="1"/>
  <c r="AJ76" i="44" a="1"/>
  <c r="AJ76" i="44" s="1"/>
  <c r="Q74" i="33" a="1"/>
  <c r="Q74" i="33" s="1"/>
  <c r="AP97" i="45" a="1"/>
  <c r="AP97" i="45" s="1"/>
  <c r="M67" i="44" a="1"/>
  <c r="M67" i="44" s="1"/>
  <c r="AJ64" i="45" a="1"/>
  <c r="AJ64" i="45" s="1"/>
  <c r="AC59" i="44" a="1"/>
  <c r="AC59" i="44" s="1"/>
  <c r="Y44" i="44" a="1"/>
  <c r="Y44" i="44" s="1"/>
  <c r="L56" i="33" a="1"/>
  <c r="L56" i="33" s="1"/>
  <c r="Z41" i="33" a="1"/>
  <c r="Z41" i="33" s="1"/>
  <c r="AD52" i="44" a="1"/>
  <c r="AD52" i="44" s="1"/>
  <c r="T64" i="33" a="1"/>
  <c r="T64" i="33" s="1"/>
  <c r="AR44" i="45" a="1"/>
  <c r="AR44" i="45" s="1"/>
  <c r="W92" i="45" a="1"/>
  <c r="W92" i="45" s="1"/>
  <c r="AA98" i="33" a="1"/>
  <c r="AA98" i="33" s="1"/>
  <c r="AQ65" i="33" a="1"/>
  <c r="AQ65" i="33" s="1"/>
  <c r="AL97" i="45" a="1"/>
  <c r="AL97" i="45" s="1"/>
  <c r="AI70" i="44" a="1"/>
  <c r="AI70" i="44" s="1"/>
  <c r="AI10" i="45" a="1"/>
  <c r="AI10" i="45" s="1"/>
  <c r="AA88" i="33" a="1"/>
  <c r="AA88" i="33" s="1"/>
  <c r="X11" i="33" a="1"/>
  <c r="X11" i="33" s="1"/>
  <c r="S28" i="44" a="1"/>
  <c r="S28" i="44" s="1"/>
  <c r="F100" i="45" a="1"/>
  <c r="F100" i="45" s="1"/>
  <c r="X56" i="45" a="1"/>
  <c r="X56" i="45" s="1"/>
  <c r="P10" i="33" a="1"/>
  <c r="P10" i="33" s="1"/>
  <c r="AN83" i="45" a="1"/>
  <c r="AN83" i="45" s="1"/>
  <c r="M100" i="45" a="1"/>
  <c r="M100" i="45" s="1"/>
  <c r="X19" i="45" a="1"/>
  <c r="X19" i="45" s="1"/>
  <c r="W101" i="44" a="1"/>
  <c r="W101" i="44" s="1"/>
  <c r="AJ95" i="44" a="1"/>
  <c r="AJ95" i="44" s="1"/>
  <c r="K37" i="45" a="1"/>
  <c r="K37" i="45" s="1"/>
  <c r="AI31" i="33" a="1"/>
  <c r="AI31" i="33" s="1"/>
  <c r="AR38" i="33" a="1"/>
  <c r="AR38" i="33" s="1"/>
  <c r="Q46" i="44" a="1"/>
  <c r="Q46" i="44" s="1"/>
  <c r="S50" i="44" a="1"/>
  <c r="S50" i="44" s="1"/>
  <c r="U98" i="33" a="1"/>
  <c r="U98" i="33" s="1"/>
  <c r="R52" i="45" a="1"/>
  <c r="R52" i="45" s="1"/>
  <c r="AH92" i="33" a="1"/>
  <c r="AH92" i="33" s="1"/>
  <c r="H79" i="44" a="1"/>
  <c r="H79" i="44" s="1"/>
  <c r="W98" i="33" a="1"/>
  <c r="W98" i="33" s="1"/>
  <c r="AE85" i="44" a="1"/>
  <c r="AE85" i="44" s="1"/>
  <c r="AA70" i="45" a="1"/>
  <c r="AA70" i="45" s="1"/>
  <c r="E70" i="33" a="1"/>
  <c r="E70" i="33" s="1"/>
  <c r="AH98" i="44" a="1"/>
  <c r="AH98" i="44" s="1"/>
  <c r="P82" i="33" a="1"/>
  <c r="P82" i="33" s="1"/>
  <c r="AQ49" i="44" a="1"/>
  <c r="AQ49" i="44" s="1"/>
  <c r="AL22" i="45" a="1"/>
  <c r="AL22" i="45" s="1"/>
  <c r="U62" i="45" a="1"/>
  <c r="U62" i="45" s="1"/>
  <c r="C28" i="43" a="1"/>
  <c r="C28" i="43" s="1"/>
  <c r="J32" i="33" a="1"/>
  <c r="J32" i="33" s="1"/>
  <c r="O74" i="44" a="1"/>
  <c r="O74" i="44" s="1"/>
  <c r="K103" i="33" a="1"/>
  <c r="K103" i="33" s="1"/>
  <c r="AH56" i="33" a="1"/>
  <c r="AH56" i="33" s="1"/>
  <c r="AE52" i="33" a="1"/>
  <c r="AE52" i="33" s="1"/>
  <c r="AF65" i="44" a="1"/>
  <c r="AF65" i="44" s="1"/>
  <c r="AJ77" i="45" a="1"/>
  <c r="AJ77" i="45" s="1"/>
  <c r="AD23" i="33" a="1"/>
  <c r="AD23" i="33" s="1"/>
  <c r="Z49" i="45" a="1"/>
  <c r="Z49" i="45" s="1"/>
  <c r="L101" i="45" a="1"/>
  <c r="L101" i="45" s="1"/>
  <c r="AR65" i="45" a="1"/>
  <c r="AR65" i="45" s="1"/>
  <c r="F47" i="45" a="1"/>
  <c r="F47" i="45" s="1"/>
  <c r="N95" i="45" a="1"/>
  <c r="N95" i="45" s="1"/>
  <c r="AD62" i="45" a="1"/>
  <c r="AD62" i="45" s="1"/>
  <c r="AO52" i="44" a="1"/>
  <c r="AO52" i="44" s="1"/>
  <c r="H23" i="45" a="1"/>
  <c r="H23" i="45" s="1"/>
  <c r="L82" i="44" a="1"/>
  <c r="L82" i="44" s="1"/>
  <c r="AG56" i="44" a="1"/>
  <c r="AG56" i="44" s="1"/>
  <c r="J88" i="45" a="1"/>
  <c r="J88" i="45" s="1"/>
  <c r="N73" i="45" a="1"/>
  <c r="N73" i="45" s="1"/>
  <c r="Y22" i="45" a="1"/>
  <c r="Y22" i="45" s="1"/>
  <c r="T100" i="45" a="1"/>
  <c r="T100" i="45" s="1"/>
  <c r="AM85" i="33" a="1"/>
  <c r="AM85" i="33" s="1"/>
  <c r="AL58" i="44" a="1"/>
  <c r="AL58" i="44" s="1"/>
  <c r="AB76" i="45" a="1"/>
  <c r="AB76" i="45" s="1"/>
  <c r="C46" i="33" a="1"/>
  <c r="C46" i="33" s="1"/>
  <c r="W104" i="44" a="1"/>
  <c r="W104" i="44" s="1"/>
  <c r="L100" i="33" a="1"/>
  <c r="L100" i="33" s="1"/>
  <c r="AG35" i="33" a="1"/>
  <c r="AG35" i="33" s="1"/>
  <c r="AK56" i="33" a="1"/>
  <c r="AK56" i="33" s="1"/>
  <c r="T92" i="33" a="1"/>
  <c r="T92" i="33" s="1"/>
  <c r="K25" i="45" a="1"/>
  <c r="K25" i="45" s="1"/>
  <c r="AN31" i="33" a="1"/>
  <c r="AN31" i="33" s="1"/>
  <c r="AF82" i="44" a="1"/>
  <c r="AF82" i="44" s="1"/>
  <c r="Y91" i="33" a="1"/>
  <c r="Y91" i="33" s="1"/>
  <c r="AH70" i="44" a="1"/>
  <c r="AH70" i="44" s="1"/>
  <c r="AF89" i="33" a="1"/>
  <c r="AF89" i="33" s="1"/>
  <c r="AD94" i="44" a="1"/>
  <c r="AD94" i="44" s="1"/>
  <c r="AG43" i="44" a="1"/>
  <c r="AG43" i="44" s="1"/>
  <c r="O77" i="45" a="1"/>
  <c r="O77" i="45" s="1"/>
  <c r="L40" i="33" a="1"/>
  <c r="L40" i="33" s="1"/>
  <c r="C67" i="47" a="1"/>
  <c r="C67" i="47" s="1"/>
  <c r="I34" i="45" a="1"/>
  <c r="I34" i="45" s="1"/>
  <c r="AC71" i="33" a="1"/>
  <c r="AC71" i="33" s="1"/>
  <c r="J34" i="44" a="1"/>
  <c r="J34" i="44" s="1"/>
  <c r="AA71" i="33" a="1"/>
  <c r="AA71" i="33" s="1"/>
  <c r="AM71" i="45" a="1"/>
  <c r="AM71" i="45" s="1"/>
  <c r="Z82" i="45" a="1"/>
  <c r="Z82" i="45" s="1"/>
  <c r="AK41" i="45" a="1"/>
  <c r="AK41" i="45" s="1"/>
  <c r="K94" i="45" a="1"/>
  <c r="K94" i="45" s="1"/>
  <c r="C53" i="42" a="1"/>
  <c r="C53" i="42" s="1"/>
  <c r="AN26" i="45" a="1"/>
  <c r="AN26" i="45" s="1"/>
  <c r="X71" i="45" a="1"/>
  <c r="X71" i="45" s="1"/>
  <c r="AC50" i="44" a="1"/>
  <c r="AC50" i="44" s="1"/>
  <c r="V40" i="45" a="1"/>
  <c r="V40" i="45" s="1"/>
  <c r="E32" i="45" a="1"/>
  <c r="E32" i="45" s="1"/>
  <c r="J62" i="45" a="1"/>
  <c r="J62" i="45" s="1"/>
  <c r="P91" i="45" a="1"/>
  <c r="P91" i="45" s="1"/>
  <c r="C91" i="41" a="1"/>
  <c r="C91" i="41" s="1"/>
  <c r="Y50" i="44" a="1"/>
  <c r="Y50" i="44" s="1"/>
  <c r="J64" i="45" a="1"/>
  <c r="J64" i="45" s="1"/>
  <c r="AE61" i="44" a="1"/>
  <c r="AE61" i="44" s="1"/>
  <c r="Z85" i="44" a="1"/>
  <c r="Z85" i="44" s="1"/>
  <c r="AA67" i="44" a="1"/>
  <c r="AA67" i="44" s="1"/>
  <c r="E35" i="44" a="1"/>
  <c r="E35" i="44" s="1"/>
  <c r="M44" i="33" a="1"/>
  <c r="M44" i="33" s="1"/>
  <c r="H22" i="44" a="1"/>
  <c r="H22" i="44" s="1"/>
  <c r="O59" i="45" a="1"/>
  <c r="O59" i="45" s="1"/>
  <c r="AA104" i="45" a="1"/>
  <c r="AA104" i="45" s="1"/>
  <c r="Z23" i="33" a="1"/>
  <c r="Z23" i="33" s="1"/>
  <c r="AK11" i="44" a="1"/>
  <c r="AK11" i="44" s="1"/>
  <c r="AD83" i="45" a="1"/>
  <c r="AD83" i="45" s="1"/>
  <c r="P55" i="44" a="1"/>
  <c r="P55" i="44" s="1"/>
  <c r="I89" i="45" a="1"/>
  <c r="I89" i="45" s="1"/>
  <c r="AQ94" i="33" a="1"/>
  <c r="AQ94" i="33" s="1"/>
  <c r="T58" i="45" a="1"/>
  <c r="T58" i="45" s="1"/>
  <c r="AR46" i="45" a="1"/>
  <c r="AR46" i="45" s="1"/>
  <c r="T73" i="33" a="1"/>
  <c r="T73" i="33" s="1"/>
  <c r="AA19" i="44" a="1"/>
  <c r="AA19" i="44" s="1"/>
  <c r="Z97" i="44" a="1"/>
  <c r="Z97" i="44" s="1"/>
  <c r="T68" i="45" a="1"/>
  <c r="T68" i="45" s="1"/>
  <c r="W41" i="44" a="1"/>
  <c r="W41" i="44" s="1"/>
  <c r="AE98" i="44" a="1"/>
  <c r="AE98" i="44" s="1"/>
  <c r="M37" i="33" a="1"/>
  <c r="M37" i="33" s="1"/>
  <c r="N22" i="44" a="1"/>
  <c r="N22" i="44" s="1"/>
  <c r="J65" i="33" a="1"/>
  <c r="J65" i="33" s="1"/>
  <c r="AM98" i="44" a="1"/>
  <c r="AM98" i="44" s="1"/>
  <c r="AQ101" i="44" a="1"/>
  <c r="AQ101" i="44" s="1"/>
  <c r="T43" i="45" a="1"/>
  <c r="T43" i="45" s="1"/>
  <c r="AL85" i="33" a="1"/>
  <c r="AL85" i="33" s="1"/>
  <c r="M95" i="44" a="1"/>
  <c r="M95" i="44" s="1"/>
  <c r="AJ85" i="44" a="1"/>
  <c r="AJ85" i="44" s="1"/>
  <c r="AG71" i="33" a="1"/>
  <c r="AG71" i="33" s="1"/>
  <c r="O25" i="44" a="1"/>
  <c r="O25" i="44" s="1"/>
  <c r="AN46" i="45" a="1"/>
  <c r="AN46" i="45" s="1"/>
  <c r="C61" i="41" a="1"/>
  <c r="C61" i="41" s="1"/>
  <c r="V85" i="45" a="1"/>
  <c r="V85" i="45" s="1"/>
  <c r="L46" i="45" a="1"/>
  <c r="L46" i="45" s="1"/>
  <c r="AC26" i="44" a="1"/>
  <c r="AC26" i="44" s="1"/>
  <c r="AE44" i="44" a="1"/>
  <c r="AE44" i="44" s="1"/>
  <c r="X38" i="44" a="1"/>
  <c r="X38" i="44" s="1"/>
  <c r="H43" i="44" a="1"/>
  <c r="H43" i="44" s="1"/>
  <c r="AH50" i="44" a="1"/>
  <c r="AH50" i="44" s="1"/>
  <c r="F103" i="44" a="1"/>
  <c r="F103" i="44" s="1"/>
  <c r="AP34" i="33" a="1"/>
  <c r="AP34" i="33" s="1"/>
  <c r="R38" i="45" a="1"/>
  <c r="R38" i="45" s="1"/>
  <c r="AQ98" i="45" a="1"/>
  <c r="AQ98" i="45" s="1"/>
  <c r="R46" i="44" a="1"/>
  <c r="R46" i="44" s="1"/>
  <c r="AO56" i="44" a="1"/>
  <c r="AO56" i="44" s="1"/>
  <c r="W10" i="33" a="1"/>
  <c r="W10" i="33" s="1"/>
  <c r="AA85" i="33" a="1"/>
  <c r="AA85" i="33" s="1"/>
  <c r="AI94" i="45" a="1"/>
  <c r="AI94" i="45" s="1"/>
  <c r="H83" i="33" a="1"/>
  <c r="H83" i="33" s="1"/>
  <c r="AA23" i="45" a="1"/>
  <c r="AA23" i="45" s="1"/>
  <c r="AK44" i="44" a="1"/>
  <c r="AK44" i="44" s="1"/>
  <c r="Y58" i="45" a="1"/>
  <c r="Y58" i="45" s="1"/>
  <c r="X103" i="33" a="1"/>
  <c r="X103" i="33" s="1"/>
  <c r="AF65" i="33" a="1"/>
  <c r="AF65" i="33" s="1"/>
  <c r="C52" i="41" a="1"/>
  <c r="C52" i="41" s="1"/>
  <c r="A52" i="41" s="1"/>
  <c r="AK44" i="45" a="1"/>
  <c r="AK44" i="45" s="1"/>
  <c r="M40" i="33" a="1"/>
  <c r="M40" i="33" s="1"/>
  <c r="V88" i="44" a="1"/>
  <c r="V88" i="44" s="1"/>
  <c r="I68" i="44" a="1"/>
  <c r="I68" i="44" s="1"/>
  <c r="AC47" i="45" a="1"/>
  <c r="AC47" i="45" s="1"/>
  <c r="AD56" i="33" a="1"/>
  <c r="AD56" i="33" s="1"/>
  <c r="P41" i="33" a="1"/>
  <c r="P41" i="33" s="1"/>
  <c r="X11" i="44" a="1"/>
  <c r="X11" i="44" s="1"/>
  <c r="X9" i="44" s="1"/>
  <c r="AI59" i="44" a="1"/>
  <c r="AI59" i="44" s="1"/>
  <c r="L44" i="33" a="1"/>
  <c r="L44" i="33" s="1"/>
  <c r="M19" i="45" a="1"/>
  <c r="M19" i="45" s="1"/>
  <c r="T38" i="44" a="1"/>
  <c r="T38" i="44" s="1"/>
  <c r="Z34" i="44" a="1"/>
  <c r="Z34" i="44" s="1"/>
  <c r="C44" i="45" a="1"/>
  <c r="C44" i="45" s="1"/>
  <c r="C98" i="46" a="1"/>
  <c r="C98" i="46" s="1"/>
  <c r="Z17" i="33" a="1"/>
  <c r="Z17" i="33" s="1"/>
  <c r="C47" i="44" a="1"/>
  <c r="C47" i="44" s="1"/>
  <c r="AM44" i="33" a="1"/>
  <c r="AM44" i="33" s="1"/>
  <c r="E35" i="33" a="1"/>
  <c r="E35" i="33" s="1"/>
  <c r="N92" i="33" a="1"/>
  <c r="N92" i="33" s="1"/>
  <c r="AC43" i="33" a="1"/>
  <c r="AC43" i="33" s="1"/>
  <c r="H94" i="33" a="1"/>
  <c r="H94" i="33" s="1"/>
  <c r="AK25" i="33" a="1"/>
  <c r="AK25" i="33" s="1"/>
  <c r="AA35" i="44" a="1"/>
  <c r="AA35" i="44" s="1"/>
  <c r="AO103" i="44" a="1"/>
  <c r="AO103" i="44" s="1"/>
  <c r="AR67" i="33" a="1"/>
  <c r="AR67" i="33" s="1"/>
  <c r="AK101" i="33" a="1"/>
  <c r="AK101" i="33" s="1"/>
  <c r="Y92" i="33" a="1"/>
  <c r="Y92" i="33" s="1"/>
  <c r="AN67" i="45" a="1"/>
  <c r="AN67" i="45" s="1"/>
  <c r="AG38" i="44" a="1"/>
  <c r="AG38" i="44" s="1"/>
  <c r="AD20" i="45" a="1"/>
  <c r="AD20" i="45" s="1"/>
  <c r="AA22" i="45" a="1"/>
  <c r="AA22" i="45" s="1"/>
  <c r="F103" i="45" a="1"/>
  <c r="F103" i="45" s="1"/>
  <c r="H47" i="45" a="1"/>
  <c r="H47" i="45" s="1"/>
  <c r="AC97" i="44" a="1"/>
  <c r="AC97" i="44" s="1"/>
  <c r="P20" i="33" a="1"/>
  <c r="P20" i="33" s="1"/>
  <c r="M94" i="45" a="1"/>
  <c r="M94" i="45" s="1"/>
  <c r="E83" i="44" a="1"/>
  <c r="E83" i="44" s="1"/>
  <c r="M89" i="33" a="1"/>
  <c r="M89" i="33" s="1"/>
  <c r="J25" i="45" a="1"/>
  <c r="J25" i="45" s="1"/>
  <c r="T31" i="45" a="1"/>
  <c r="T31" i="45" s="1"/>
  <c r="N40" i="33" a="1"/>
  <c r="N40" i="33" s="1"/>
  <c r="AG74" i="33" a="1"/>
  <c r="AG74" i="33" s="1"/>
  <c r="AK91" i="44" a="1"/>
  <c r="AK91" i="44" s="1"/>
  <c r="AJ26" i="44" a="1"/>
  <c r="AJ26" i="44" s="1"/>
  <c r="AD11" i="33" a="1"/>
  <c r="AD11" i="33" s="1"/>
  <c r="J50" i="33" a="1"/>
  <c r="J50" i="33" s="1"/>
  <c r="C76" i="46" a="1"/>
  <c r="C76" i="46" s="1"/>
  <c r="AP32" i="45" a="1"/>
  <c r="AP32" i="45" s="1"/>
  <c r="AE49" i="33" a="1"/>
  <c r="AE49" i="33" s="1"/>
  <c r="P95" i="45" a="1"/>
  <c r="P95" i="45" s="1"/>
  <c r="AB44" i="33" a="1"/>
  <c r="AB44" i="33" s="1"/>
  <c r="K59" i="45" a="1"/>
  <c r="K59" i="45" s="1"/>
  <c r="J10" i="45" a="1"/>
  <c r="J10" i="45" s="1"/>
  <c r="AQ11" i="45" a="1"/>
  <c r="AQ11" i="45" s="1"/>
  <c r="Z23" i="45" a="1"/>
  <c r="Z23" i="45" s="1"/>
  <c r="O49" i="44" a="1"/>
  <c r="O49" i="44" s="1"/>
  <c r="AC46" i="45" a="1"/>
  <c r="AC46" i="45" s="1"/>
  <c r="AA49" i="44" a="1"/>
  <c r="AA49" i="44" s="1"/>
  <c r="X17" i="45" a="1"/>
  <c r="X17" i="45" s="1"/>
  <c r="V103" i="33" a="1"/>
  <c r="V103" i="33" s="1"/>
  <c r="C23" i="41" a="1"/>
  <c r="C23" i="41" s="1"/>
  <c r="AL74" i="33" a="1"/>
  <c r="AL74" i="33" s="1"/>
  <c r="C16" i="45" a="1"/>
  <c r="C16" i="45" s="1"/>
  <c r="T65" i="44" a="1"/>
  <c r="T65" i="44" s="1"/>
  <c r="L16" i="44" a="1"/>
  <c r="L16" i="44" s="1"/>
  <c r="AI32" i="45" a="1"/>
  <c r="AI32" i="45" s="1"/>
  <c r="C103" i="44" a="1"/>
  <c r="C103" i="44" s="1"/>
  <c r="L98" i="45" a="1"/>
  <c r="L98" i="45" s="1"/>
  <c r="L96" i="45" s="1"/>
  <c r="AN80" i="33" a="1"/>
  <c r="AN80" i="33" s="1"/>
  <c r="AK100" i="45" a="1"/>
  <c r="AK100" i="45" s="1"/>
  <c r="C37" i="42" a="1"/>
  <c r="C37" i="42" s="1"/>
  <c r="W76" i="45" a="1"/>
  <c r="W76" i="45" s="1"/>
  <c r="Y70" i="33" a="1"/>
  <c r="Y70" i="33" s="1"/>
  <c r="AO49" i="33" a="1"/>
  <c r="AO49" i="33" s="1"/>
  <c r="R59" i="33" a="1"/>
  <c r="R59" i="33" s="1"/>
  <c r="W25" i="33" a="1"/>
  <c r="W25" i="33" s="1"/>
  <c r="AH79" i="44" a="1"/>
  <c r="AH79" i="44" s="1"/>
  <c r="F29" i="33" a="1"/>
  <c r="F29" i="33" s="1"/>
  <c r="C68" i="44" a="1"/>
  <c r="C68" i="44" s="1"/>
  <c r="F58" i="45" a="1"/>
  <c r="F58" i="45" s="1"/>
  <c r="T92" i="44" a="1"/>
  <c r="T92" i="44" s="1"/>
  <c r="N65" i="45" a="1"/>
  <c r="N65" i="45" s="1"/>
  <c r="C98" i="33" a="1"/>
  <c r="C98" i="33" s="1"/>
  <c r="AP10" i="45" a="1"/>
  <c r="AP10" i="45" s="1"/>
  <c r="K94" i="33" a="1"/>
  <c r="K94" i="33" s="1"/>
  <c r="AI52" i="45" a="1"/>
  <c r="AI52" i="45" s="1"/>
  <c r="AI51" i="45" s="1"/>
  <c r="AL91" i="45" a="1"/>
  <c r="AL91" i="45" s="1"/>
  <c r="Q97" i="44" a="1"/>
  <c r="Q97" i="44" s="1"/>
  <c r="M49" i="45" a="1"/>
  <c r="M49" i="45" s="1"/>
  <c r="AP80" i="33" a="1"/>
  <c r="AP80" i="33" s="1"/>
  <c r="AI91" i="33" a="1"/>
  <c r="AI91" i="33" s="1"/>
  <c r="AN85" i="45" a="1"/>
  <c r="AN85" i="45" s="1"/>
  <c r="AD74" i="33" a="1"/>
  <c r="AD74" i="33" s="1"/>
  <c r="AE97" i="45" a="1"/>
  <c r="AE97" i="45" s="1"/>
  <c r="AE96" i="45" s="1"/>
  <c r="M100" i="33" a="1"/>
  <c r="M100" i="33" s="1"/>
  <c r="G91" i="44" a="1"/>
  <c r="G91" i="44" s="1"/>
  <c r="O44" i="33" a="1"/>
  <c r="O44" i="33" s="1"/>
  <c r="O42" i="33" s="1"/>
  <c r="K59" i="33" a="1"/>
  <c r="K59" i="33" s="1"/>
  <c r="M52" i="44" a="1"/>
  <c r="M52" i="44" s="1"/>
  <c r="M35" i="45" a="1"/>
  <c r="M35" i="45" s="1"/>
  <c r="AF89" i="44" a="1"/>
  <c r="AF89" i="44" s="1"/>
  <c r="C83" i="43" a="1"/>
  <c r="C83" i="43" s="1"/>
  <c r="Y29" i="33" a="1"/>
  <c r="Y29" i="33" s="1"/>
  <c r="H10" i="44" a="1"/>
  <c r="H10" i="44" s="1"/>
  <c r="AR89" i="44" a="1"/>
  <c r="AR89" i="44" s="1"/>
  <c r="AQ94" i="45" a="1"/>
  <c r="AQ94" i="45" s="1"/>
  <c r="AM104" i="33" a="1"/>
  <c r="AM104" i="33" s="1"/>
  <c r="J49" i="44" a="1"/>
  <c r="J49" i="44" s="1"/>
  <c r="O67" i="44" a="1"/>
  <c r="O67" i="44" s="1"/>
  <c r="O91" i="33" a="1"/>
  <c r="O91" i="33" s="1"/>
  <c r="AN58" i="45" a="1"/>
  <c r="AN58" i="45" s="1"/>
  <c r="F91" i="44" a="1"/>
  <c r="F91" i="44" s="1"/>
  <c r="J89" i="33" a="1"/>
  <c r="J89" i="33" s="1"/>
  <c r="AM35" i="45" a="1"/>
  <c r="AM35" i="45" s="1"/>
  <c r="AM33" i="45" s="1"/>
  <c r="T80" i="45" a="1"/>
  <c r="T80" i="45" s="1"/>
  <c r="AO55" i="33" a="1"/>
  <c r="AO55" i="33" s="1"/>
  <c r="I40" i="44" a="1"/>
  <c r="I40" i="44" s="1"/>
  <c r="AP35" i="33" a="1"/>
  <c r="AP35" i="33" s="1"/>
  <c r="Z61" i="33" a="1"/>
  <c r="Z61" i="33" s="1"/>
  <c r="G16" i="33" a="1"/>
  <c r="G16" i="33" s="1"/>
  <c r="AQ76" i="45" a="1"/>
  <c r="AQ76" i="45" s="1"/>
  <c r="AG53" i="33" a="1"/>
  <c r="AG53" i="33" s="1"/>
  <c r="P68" i="45" a="1"/>
  <c r="P68" i="45" s="1"/>
  <c r="P66" i="45" s="1"/>
  <c r="N61" i="44" a="1"/>
  <c r="N61" i="44" s="1"/>
  <c r="AA38" i="44" a="1"/>
  <c r="AA38" i="44" s="1"/>
  <c r="W11" i="45" a="1"/>
  <c r="W11" i="45" s="1"/>
  <c r="P94" i="33" a="1"/>
  <c r="P94" i="33" s="1"/>
  <c r="S34" i="45" a="1"/>
  <c r="S34" i="45" s="1"/>
  <c r="T52" i="45" a="1"/>
  <c r="T52" i="45" s="1"/>
  <c r="AR62" i="33" a="1"/>
  <c r="AR62" i="33" s="1"/>
  <c r="I104" i="45" a="1"/>
  <c r="I104" i="45" s="1"/>
  <c r="W70" i="33" a="1"/>
  <c r="W70" i="33" s="1"/>
  <c r="L74" i="44" a="1"/>
  <c r="L74" i="44" s="1"/>
  <c r="AO20" i="44" a="1"/>
  <c r="AO20" i="44" s="1"/>
  <c r="C97" i="42" a="1"/>
  <c r="C97" i="42" s="1"/>
  <c r="C26" i="41" a="1"/>
  <c r="C26" i="41" s="1"/>
  <c r="AL97" i="44" a="1"/>
  <c r="AL97" i="44" s="1"/>
  <c r="U35" i="45" a="1"/>
  <c r="U35" i="45" s="1"/>
  <c r="AF40" i="45" a="1"/>
  <c r="AF40" i="45" s="1"/>
  <c r="AH56" i="45" a="1"/>
  <c r="AH56" i="45" s="1"/>
  <c r="C59" i="47" a="1"/>
  <c r="C59" i="47" s="1"/>
  <c r="J68" i="44" a="1"/>
  <c r="J68" i="44" s="1"/>
  <c r="AP61" i="33" a="1"/>
  <c r="AP61" i="33" s="1"/>
  <c r="K49" i="44" a="1"/>
  <c r="K49" i="44" s="1"/>
  <c r="H62" i="45" a="1"/>
  <c r="H62" i="45" s="1"/>
  <c r="Q44" i="33" a="1"/>
  <c r="Q44" i="33" s="1"/>
  <c r="N73" i="44" a="1"/>
  <c r="N73" i="44" s="1"/>
  <c r="J74" i="44" a="1"/>
  <c r="J74" i="44" s="1"/>
  <c r="J59" i="44" a="1"/>
  <c r="J59" i="44" s="1"/>
  <c r="AM101" i="33" a="1"/>
  <c r="AM101" i="33" s="1"/>
  <c r="AH53" i="44" a="1"/>
  <c r="AH53" i="44" s="1"/>
  <c r="K74" i="44" a="1"/>
  <c r="K74" i="44" s="1"/>
  <c r="N85" i="45" a="1"/>
  <c r="N85" i="45" s="1"/>
  <c r="AQ83" i="33" a="1"/>
  <c r="AQ83" i="33" s="1"/>
  <c r="R50" i="33" a="1"/>
  <c r="R50" i="33" s="1"/>
  <c r="AI29" i="45" a="1"/>
  <c r="AI29" i="45" s="1"/>
  <c r="AF67" i="44" a="1"/>
  <c r="AF67" i="44" s="1"/>
  <c r="AJ95" i="33" a="1"/>
  <c r="AJ95" i="33" s="1"/>
  <c r="Z28" i="45" a="1"/>
  <c r="Z28" i="45" s="1"/>
  <c r="AE58" i="44" a="1"/>
  <c r="AE58" i="44" s="1"/>
  <c r="X52" i="45" a="1"/>
  <c r="X52" i="45" s="1"/>
  <c r="AI40" i="44" a="1"/>
  <c r="AI40" i="44" s="1"/>
  <c r="W95" i="45" a="1"/>
  <c r="W95" i="45" s="1"/>
  <c r="J62" i="33" a="1"/>
  <c r="J62" i="33" s="1"/>
  <c r="AH44" i="45" a="1"/>
  <c r="AH44" i="45" s="1"/>
  <c r="N88" i="44" a="1"/>
  <c r="N88" i="44" s="1"/>
  <c r="K88" i="33" a="1"/>
  <c r="K88" i="33" s="1"/>
  <c r="AL89" i="33" a="1"/>
  <c r="AL89" i="33" s="1"/>
  <c r="AH44" i="33" a="1"/>
  <c r="AH44" i="33" s="1"/>
  <c r="AD41" i="44" a="1"/>
  <c r="AD41" i="44" s="1"/>
  <c r="AO31" i="45" a="1"/>
  <c r="AO31" i="45" s="1"/>
  <c r="G97" i="44" a="1"/>
  <c r="G97" i="44" s="1"/>
  <c r="T101" i="33" a="1"/>
  <c r="T101" i="33" s="1"/>
  <c r="AD101" i="44" a="1"/>
  <c r="AD101" i="44" s="1"/>
  <c r="C40" i="41" a="1"/>
  <c r="C40" i="41" s="1"/>
  <c r="K95" i="44" a="1"/>
  <c r="K95" i="44" s="1"/>
  <c r="R43" i="33" a="1"/>
  <c r="R43" i="33" s="1"/>
  <c r="AQ17" i="45" a="1"/>
  <c r="AQ17" i="45" s="1"/>
  <c r="U11" i="33" a="1"/>
  <c r="U11" i="33" s="1"/>
  <c r="E76" i="45" a="1"/>
  <c r="E76" i="45" s="1"/>
  <c r="X16" i="33" a="1"/>
  <c r="X16" i="33" s="1"/>
  <c r="Z68" i="33" a="1"/>
  <c r="Z68" i="33" s="1"/>
  <c r="AO76" i="33" a="1"/>
  <c r="AO76" i="33" s="1"/>
  <c r="I88" i="45" a="1"/>
  <c r="I88" i="45" s="1"/>
  <c r="C41" i="41" a="1"/>
  <c r="C41" i="41" s="1"/>
  <c r="AE70" i="45" a="1"/>
  <c r="AE70" i="45" s="1"/>
  <c r="E103" i="44" a="1"/>
  <c r="E103" i="44" s="1"/>
  <c r="N47" i="33" a="1"/>
  <c r="N47" i="33" s="1"/>
  <c r="L101" i="44" a="1"/>
  <c r="L101" i="44" s="1"/>
  <c r="I86" i="44" a="1"/>
  <c r="I86" i="44" s="1"/>
  <c r="O71" i="45" a="1"/>
  <c r="O71" i="45" s="1"/>
  <c r="C46" i="43" a="1"/>
  <c r="C46" i="43" s="1"/>
  <c r="O26" i="45" a="1"/>
  <c r="O26" i="45" s="1"/>
  <c r="AJ83" i="45" a="1"/>
  <c r="AJ83" i="45" s="1"/>
  <c r="AN61" i="45" a="1"/>
  <c r="AN61" i="45" s="1"/>
  <c r="F16" i="45" a="1"/>
  <c r="F16" i="45" s="1"/>
  <c r="C37" i="45" a="1"/>
  <c r="C37" i="45" s="1"/>
  <c r="P32" i="33" a="1"/>
  <c r="P32" i="33" s="1"/>
  <c r="P58" i="33" a="1"/>
  <c r="P58" i="33" s="1"/>
  <c r="AP104" i="45" a="1"/>
  <c r="AP104" i="45" s="1"/>
  <c r="AG37" i="33" a="1"/>
  <c r="AG37" i="33" s="1"/>
  <c r="AC95" i="44" a="1"/>
  <c r="AC95" i="44" s="1"/>
  <c r="AL34" i="45" a="1"/>
  <c r="AL34" i="45" s="1"/>
  <c r="AN49" i="33" a="1"/>
  <c r="AN49" i="33" s="1"/>
  <c r="AF40" i="44" a="1"/>
  <c r="AF40" i="44" s="1"/>
  <c r="Y25" i="44" a="1"/>
  <c r="Y25" i="44" s="1"/>
  <c r="S43" i="33" a="1"/>
  <c r="S43" i="33" s="1"/>
  <c r="AD19" i="45" a="1"/>
  <c r="AD19" i="45" s="1"/>
  <c r="AK35" i="44" a="1"/>
  <c r="AK35" i="44" s="1"/>
  <c r="AN11" i="33" a="1"/>
  <c r="AN11" i="33" s="1"/>
  <c r="O20" i="33" a="1"/>
  <c r="O20" i="33" s="1"/>
  <c r="AL46" i="44" a="1"/>
  <c r="AL46" i="44" s="1"/>
  <c r="AR83" i="44" a="1"/>
  <c r="AR83" i="44" s="1"/>
  <c r="AE37" i="45" a="1"/>
  <c r="AE37" i="45" s="1"/>
  <c r="AB79" i="33" a="1"/>
  <c r="AB79" i="33" s="1"/>
  <c r="AE62" i="33" a="1"/>
  <c r="AE62" i="33" s="1"/>
  <c r="AB32" i="45" a="1"/>
  <c r="AB32" i="45" s="1"/>
  <c r="AQ59" i="33" a="1"/>
  <c r="AQ59" i="33" s="1"/>
  <c r="M82" i="33" a="1"/>
  <c r="M82" i="33" s="1"/>
  <c r="AN37" i="33" a="1"/>
  <c r="AN37" i="33" s="1"/>
  <c r="AA40" i="45" a="1"/>
  <c r="AA40" i="45" s="1"/>
  <c r="AQ73" i="33" a="1"/>
  <c r="AQ73" i="33" s="1"/>
  <c r="W19" i="45" a="1"/>
  <c r="W19" i="45" s="1"/>
  <c r="H62" i="44" a="1"/>
  <c r="H62" i="44" s="1"/>
  <c r="AE10" i="44" a="1"/>
  <c r="AE10" i="44" s="1"/>
  <c r="AH71" i="45" a="1"/>
  <c r="AH71" i="45" s="1"/>
  <c r="AN44" i="44" a="1"/>
  <c r="AN44" i="44" s="1"/>
  <c r="N28" i="44" a="1"/>
  <c r="N28" i="44" s="1"/>
  <c r="F25" i="45" a="1"/>
  <c r="F25" i="45" s="1"/>
  <c r="AI68" i="44" a="1"/>
  <c r="AI68" i="44" s="1"/>
  <c r="N20" i="45" a="1"/>
  <c r="N20" i="45" s="1"/>
  <c r="U92" i="44" a="1"/>
  <c r="U92" i="44" s="1"/>
  <c r="F104" i="44" a="1"/>
  <c r="F104" i="44" s="1"/>
  <c r="AE98" i="33" a="1"/>
  <c r="AE98" i="33" s="1"/>
  <c r="Q19" i="45" a="1"/>
  <c r="Q19" i="45" s="1"/>
  <c r="AH59" i="45" a="1"/>
  <c r="AH59" i="45" s="1"/>
  <c r="T64" i="44" a="1"/>
  <c r="T64" i="44" s="1"/>
  <c r="AR46" i="44" a="1"/>
  <c r="AR46" i="44" s="1"/>
  <c r="AH101" i="45" a="1"/>
  <c r="AH101" i="45" s="1"/>
  <c r="F16" i="44" a="1"/>
  <c r="F16" i="44" s="1"/>
  <c r="AH46" i="33" a="1"/>
  <c r="AH46" i="33" s="1"/>
  <c r="AA25" i="44" a="1"/>
  <c r="AA25" i="44" s="1"/>
  <c r="G47" i="45" a="1"/>
  <c r="G47" i="45" s="1"/>
  <c r="L79" i="44" a="1"/>
  <c r="L79" i="44" s="1"/>
  <c r="AM28" i="45" a="1"/>
  <c r="AM28" i="45" s="1"/>
  <c r="V16" i="45" a="1"/>
  <c r="V16" i="45" s="1"/>
  <c r="U28" i="44" a="1"/>
  <c r="U28" i="44" s="1"/>
  <c r="J25" i="44" a="1"/>
  <c r="J25" i="44" s="1"/>
  <c r="C62" i="42" a="1"/>
  <c r="C62" i="42" s="1"/>
  <c r="AI47" i="45" a="1"/>
  <c r="AI47" i="45" s="1"/>
  <c r="O80" i="44" a="1"/>
  <c r="O80" i="44" s="1"/>
  <c r="AP82" i="45" a="1"/>
  <c r="AP82" i="45" s="1"/>
  <c r="S101" i="33" a="1"/>
  <c r="S101" i="33" s="1"/>
  <c r="AG40" i="44" a="1"/>
  <c r="AG40" i="44" s="1"/>
  <c r="U43" i="45" a="1"/>
  <c r="U43" i="45" s="1"/>
  <c r="AM41" i="33" a="1"/>
  <c r="AM41" i="33" s="1"/>
  <c r="AN64" i="33" a="1"/>
  <c r="AN64" i="33" s="1"/>
  <c r="R26" i="45" a="1"/>
  <c r="R26" i="45" s="1"/>
  <c r="AC89" i="33" a="1"/>
  <c r="AC89" i="33" s="1"/>
  <c r="S86" i="45" a="1"/>
  <c r="S86" i="45" s="1"/>
  <c r="AL35" i="45" a="1"/>
  <c r="AL35" i="45" s="1"/>
  <c r="R29" i="44" a="1"/>
  <c r="R29" i="44" s="1"/>
  <c r="G103" i="33" a="1"/>
  <c r="G103" i="33" s="1"/>
  <c r="J68" i="45" a="1"/>
  <c r="J68" i="45" s="1"/>
  <c r="AN61" i="33" a="1"/>
  <c r="AN61" i="33" s="1"/>
  <c r="AP62" i="33" a="1"/>
  <c r="AP62" i="33" s="1"/>
  <c r="U88" i="44" a="1"/>
  <c r="U88" i="44" s="1"/>
  <c r="AQ26" i="33" a="1"/>
  <c r="AQ26" i="33" s="1"/>
  <c r="C44" i="41" a="1"/>
  <c r="C44" i="41" s="1"/>
  <c r="AO17" i="44" a="1"/>
  <c r="AO17" i="44" s="1"/>
  <c r="C34" i="42" a="1"/>
  <c r="C34" i="42" s="1"/>
  <c r="AA83" i="45" a="1"/>
  <c r="AA83" i="45" s="1"/>
  <c r="V56" i="44" a="1"/>
  <c r="V56" i="44" s="1"/>
  <c r="W71" i="44" a="1"/>
  <c r="W71" i="44" s="1"/>
  <c r="AH38" i="44" a="1"/>
  <c r="AH38" i="44" s="1"/>
  <c r="O26" i="44" a="1"/>
  <c r="O26" i="44" s="1"/>
  <c r="R76" i="44" a="1"/>
  <c r="R76" i="44" s="1"/>
  <c r="T82" i="44" a="1"/>
  <c r="T82" i="44" s="1"/>
  <c r="N16" i="45" a="1"/>
  <c r="N16" i="45" s="1"/>
  <c r="AO31" i="44" a="1"/>
  <c r="AO31" i="44" s="1"/>
  <c r="AH82" i="45" a="1"/>
  <c r="AH82" i="45" s="1"/>
  <c r="AR34" i="45" a="1"/>
  <c r="AR34" i="45" s="1"/>
  <c r="H71" i="45" a="1"/>
  <c r="H71" i="45" s="1"/>
  <c r="M104" i="44" a="1"/>
  <c r="M104" i="44" s="1"/>
  <c r="AL67" i="45" a="1"/>
  <c r="AL67" i="45" s="1"/>
  <c r="AD56" i="44" a="1"/>
  <c r="AD56" i="44" s="1"/>
  <c r="AM29" i="44" a="1"/>
  <c r="AM29" i="44" s="1"/>
  <c r="N55" i="44" a="1"/>
  <c r="N55" i="44" s="1"/>
  <c r="AQ46" i="44" a="1"/>
  <c r="AQ46" i="44" s="1"/>
  <c r="AM31" i="45" a="1"/>
  <c r="AM31" i="45" s="1"/>
  <c r="R17" i="45" a="1"/>
  <c r="R17" i="45" s="1"/>
  <c r="AP64" i="45" a="1"/>
  <c r="AP64" i="45" s="1"/>
  <c r="Y23" i="44" a="1"/>
  <c r="Y23" i="44" s="1"/>
  <c r="AI101" i="44" a="1"/>
  <c r="AI101" i="44" s="1"/>
  <c r="AH47" i="45" a="1"/>
  <c r="AH47" i="45" s="1"/>
  <c r="C58" i="41" a="1"/>
  <c r="C58" i="41" s="1"/>
  <c r="AI46" i="44" a="1"/>
  <c r="AI46" i="44" s="1"/>
  <c r="U88" i="45" a="1"/>
  <c r="U88" i="45" s="1"/>
  <c r="H58" i="45" a="1"/>
  <c r="H58" i="45" s="1"/>
  <c r="Q65" i="44" a="1"/>
  <c r="Q65" i="44" s="1"/>
  <c r="O85" i="33" a="1"/>
  <c r="O85" i="33" s="1"/>
  <c r="AI32" i="33" a="1"/>
  <c r="AI32" i="33" s="1"/>
  <c r="O77" i="44" a="1"/>
  <c r="O77" i="44" s="1"/>
  <c r="U50" i="45" a="1"/>
  <c r="U50" i="45" s="1"/>
  <c r="C31" i="45" a="1"/>
  <c r="C31" i="45" s="1"/>
  <c r="H19" i="45" a="1"/>
  <c r="H19" i="45" s="1"/>
  <c r="S25" i="44" a="1"/>
  <c r="S25" i="44" s="1"/>
  <c r="V76" i="45" a="1"/>
  <c r="V76" i="45" s="1"/>
  <c r="E100" i="33" a="1"/>
  <c r="E100" i="33" s="1"/>
  <c r="C56" i="44" a="1"/>
  <c r="C56" i="44" s="1"/>
  <c r="Z40" i="44" a="1"/>
  <c r="Z40" i="44" s="1"/>
  <c r="AH77" i="33" a="1"/>
  <c r="AH77" i="33" s="1"/>
  <c r="AG104" i="33" a="1"/>
  <c r="AG104" i="33" s="1"/>
  <c r="N29" i="33" a="1"/>
  <c r="N29" i="33" s="1"/>
  <c r="AP43" i="45" a="1"/>
  <c r="AP43" i="45" s="1"/>
  <c r="G94" i="44" a="1"/>
  <c r="G94" i="44" s="1"/>
  <c r="T103" i="45" a="1"/>
  <c r="T103" i="45" s="1"/>
  <c r="C20" i="42" a="1"/>
  <c r="C20" i="42" s="1"/>
  <c r="AI98" i="44" a="1"/>
  <c r="AI98" i="44" s="1"/>
  <c r="C56" i="42" a="1"/>
  <c r="C56" i="42" s="1"/>
  <c r="AC56" i="33" a="1"/>
  <c r="AC56" i="33" s="1"/>
  <c r="M80" i="44" a="1"/>
  <c r="M80" i="44" s="1"/>
  <c r="S86" i="33" a="1"/>
  <c r="S86" i="33" s="1"/>
  <c r="AA58" i="33" a="1"/>
  <c r="AA58" i="33" s="1"/>
  <c r="AN98" i="33" a="1"/>
  <c r="AN98" i="33" s="1"/>
  <c r="AQ100" i="33" a="1"/>
  <c r="AQ100" i="33" s="1"/>
  <c r="M101" i="33" a="1"/>
  <c r="M101" i="33" s="1"/>
  <c r="K56" i="45" a="1"/>
  <c r="K56" i="45" s="1"/>
  <c r="G98" i="45" a="1"/>
  <c r="G98" i="45" s="1"/>
  <c r="AI28" i="33" a="1"/>
  <c r="AI28" i="33" s="1"/>
  <c r="AQ25" i="45" a="1"/>
  <c r="AQ25" i="45" s="1"/>
  <c r="AH31" i="33" a="1"/>
  <c r="AH31" i="33" s="1"/>
  <c r="J85" i="45" a="1"/>
  <c r="J85" i="45" s="1"/>
  <c r="C64" i="41" a="1"/>
  <c r="C64" i="41" s="1"/>
  <c r="Z79" i="33" a="1"/>
  <c r="Z79" i="33" s="1"/>
  <c r="AQ91" i="33" a="1"/>
  <c r="AQ91" i="33" s="1"/>
  <c r="P20" i="44" a="1"/>
  <c r="P20" i="44" s="1"/>
  <c r="AH11" i="33" a="1"/>
  <c r="AH11" i="33" s="1"/>
  <c r="C53" i="44" a="1"/>
  <c r="C53" i="44" s="1"/>
  <c r="AC11" i="33" a="1"/>
  <c r="AC11" i="33" s="1"/>
  <c r="AO10" i="33" a="1"/>
  <c r="AO10" i="33" s="1"/>
  <c r="C31" i="46" a="1"/>
  <c r="C31" i="46" s="1"/>
  <c r="AK55" i="45" a="1"/>
  <c r="AK55" i="45" s="1"/>
  <c r="AN101" i="33" a="1"/>
  <c r="AN101" i="33" s="1"/>
  <c r="AA73" i="45" a="1"/>
  <c r="AA73" i="45" s="1"/>
  <c r="Y68" i="33" a="1"/>
  <c r="Y68" i="33" s="1"/>
  <c r="C76" i="44" a="1"/>
  <c r="C76" i="44" s="1"/>
  <c r="AK71" i="44" a="1"/>
  <c r="AK71" i="44" s="1"/>
  <c r="F104" i="45" a="1"/>
  <c r="F104" i="45" s="1"/>
  <c r="R40" i="44" a="1"/>
  <c r="R40" i="44" s="1"/>
  <c r="Z101" i="33" a="1"/>
  <c r="Z101" i="33" s="1"/>
  <c r="AH86" i="33" a="1"/>
  <c r="AH86" i="33" s="1"/>
  <c r="AE77" i="45" a="1"/>
  <c r="AE77" i="45" s="1"/>
  <c r="AF58" i="44" a="1"/>
  <c r="AF58" i="44" s="1"/>
  <c r="O101" i="33" a="1"/>
  <c r="O101" i="33" s="1"/>
  <c r="V56" i="33" a="1"/>
  <c r="V56" i="33" s="1"/>
  <c r="W89" i="44" a="1"/>
  <c r="W89" i="44" s="1"/>
  <c r="Z88" i="45" a="1"/>
  <c r="Z88" i="45" s="1"/>
  <c r="AM56" i="45" a="1"/>
  <c r="AM56" i="45" s="1"/>
  <c r="G28" i="45" a="1"/>
  <c r="G28" i="45" s="1"/>
  <c r="C17" i="43" a="1"/>
  <c r="C17" i="43" s="1"/>
  <c r="AO65" i="44" a="1"/>
  <c r="AO65" i="44" s="1"/>
  <c r="Q79" i="45" a="1"/>
  <c r="Q79" i="45" s="1"/>
  <c r="C64" i="46" a="1"/>
  <c r="C64" i="46" s="1"/>
  <c r="AF41" i="33" a="1"/>
  <c r="AF41" i="33" s="1"/>
  <c r="H59" i="45" a="1"/>
  <c r="H59" i="45" s="1"/>
  <c r="AQ20" i="44" a="1"/>
  <c r="AQ20" i="44" s="1"/>
  <c r="E74" i="33" a="1"/>
  <c r="E74" i="33" s="1"/>
  <c r="AK10" i="33" a="1"/>
  <c r="AK10" i="33" s="1"/>
  <c r="S73" i="44" a="1"/>
  <c r="S73" i="44" s="1"/>
  <c r="AL32" i="44" a="1"/>
  <c r="AL32" i="44" s="1"/>
  <c r="U71" i="33" a="1"/>
  <c r="U71" i="33" s="1"/>
  <c r="O64" i="45" a="1"/>
  <c r="O64" i="45" s="1"/>
  <c r="T25" i="44" a="1"/>
  <c r="T25" i="44" s="1"/>
  <c r="W101" i="45" a="1"/>
  <c r="W101" i="45" s="1"/>
  <c r="G104" i="45" a="1"/>
  <c r="G104" i="45" s="1"/>
  <c r="O46" i="33" a="1"/>
  <c r="O46" i="33" s="1"/>
  <c r="AF97" i="44" a="1"/>
  <c r="AF97" i="44" s="1"/>
  <c r="AC62" i="45" a="1"/>
  <c r="AC62" i="45" s="1"/>
  <c r="AI92" i="33" a="1"/>
  <c r="AI92" i="33" s="1"/>
  <c r="U32" i="45" a="1"/>
  <c r="U32" i="45" s="1"/>
  <c r="AI62" i="44" a="1"/>
  <c r="AI62" i="44" s="1"/>
  <c r="W97" i="33" a="1"/>
  <c r="W97" i="33" s="1"/>
  <c r="AC11" i="45" a="1"/>
  <c r="AC11" i="45" s="1"/>
  <c r="R68" i="44" a="1"/>
  <c r="R68" i="44" s="1"/>
  <c r="AO94" i="33" a="1"/>
  <c r="AO94" i="33" s="1"/>
  <c r="AJ32" i="44" a="1"/>
  <c r="AJ32" i="44" s="1"/>
  <c r="AQ40" i="44" a="1"/>
  <c r="AQ40" i="44" s="1"/>
  <c r="F95" i="33" a="1"/>
  <c r="F95" i="33" s="1"/>
  <c r="U85" i="45" a="1"/>
  <c r="U85" i="45" s="1"/>
  <c r="AB71" i="33" a="1"/>
  <c r="AB71" i="33" s="1"/>
  <c r="C20" i="43" a="1"/>
  <c r="C20" i="43" s="1"/>
  <c r="O104" i="33" a="1"/>
  <c r="O104" i="33" s="1"/>
  <c r="Z29" i="45" a="1"/>
  <c r="Z29" i="45" s="1"/>
  <c r="P74" i="45" a="1"/>
  <c r="P74" i="45" s="1"/>
  <c r="AK10" i="44" a="1"/>
  <c r="AK10" i="44" s="1"/>
  <c r="X32" i="44" a="1"/>
  <c r="X32" i="44" s="1"/>
  <c r="J101" i="45" a="1"/>
  <c r="J101" i="45" s="1"/>
  <c r="P98" i="33" a="1"/>
  <c r="P98" i="33" s="1"/>
  <c r="AI11" i="45" a="1"/>
  <c r="AI11" i="45" s="1"/>
  <c r="AA68" i="44" a="1"/>
  <c r="AA68" i="44" s="1"/>
  <c r="AA10" i="45" a="1"/>
  <c r="AA10" i="45" s="1"/>
  <c r="S16" i="33" a="1"/>
  <c r="S16" i="33" s="1"/>
  <c r="E25" i="33" a="1"/>
  <c r="E25" i="33" s="1"/>
  <c r="AQ35" i="33" a="1"/>
  <c r="AQ35" i="33" s="1"/>
  <c r="Q73" i="33" a="1"/>
  <c r="Q73" i="33" s="1"/>
  <c r="X59" i="33" a="1"/>
  <c r="X59" i="33" s="1"/>
  <c r="V76" i="44" a="1"/>
  <c r="V76" i="44" s="1"/>
  <c r="AH82" i="44" a="1"/>
  <c r="AH82" i="44" s="1"/>
  <c r="AC29" i="45" a="1"/>
  <c r="AC29" i="45" s="1"/>
  <c r="AK31" i="45" a="1"/>
  <c r="AK31" i="45" s="1"/>
  <c r="K28" i="44" a="1"/>
  <c r="K28" i="44" s="1"/>
  <c r="X98" i="44" a="1"/>
  <c r="X98" i="44" s="1"/>
  <c r="R85" i="45" a="1"/>
  <c r="R85" i="45" s="1"/>
  <c r="AM11" i="45" a="1"/>
  <c r="AM11" i="45" s="1"/>
  <c r="K77" i="33" a="1"/>
  <c r="K77" i="33" s="1"/>
  <c r="AR10" i="44" a="1"/>
  <c r="AR10" i="44" s="1"/>
  <c r="AL53" i="33" a="1"/>
  <c r="AL53" i="33" s="1"/>
  <c r="AF88" i="45" a="1"/>
  <c r="AF88" i="45" s="1"/>
  <c r="W74" i="45" a="1"/>
  <c r="W74" i="45" s="1"/>
  <c r="V76" i="33" a="1"/>
  <c r="V76" i="33" s="1"/>
  <c r="AB19" i="33" a="1"/>
  <c r="AB19" i="33" s="1"/>
  <c r="R37" i="44" a="1"/>
  <c r="R37" i="44" s="1"/>
  <c r="U53" i="33" a="1"/>
  <c r="U53" i="33" s="1"/>
  <c r="AF65" i="45" a="1"/>
  <c r="AF65" i="45" s="1"/>
  <c r="J71" i="44" a="1"/>
  <c r="J71" i="44" s="1"/>
  <c r="C65" i="33" a="1"/>
  <c r="C65" i="33" s="1"/>
  <c r="N56" i="33" a="1"/>
  <c r="N56" i="33" s="1"/>
  <c r="T22" i="44" a="1"/>
  <c r="T22" i="44" s="1"/>
  <c r="AB40" i="45" a="1"/>
  <c r="AB40" i="45" s="1"/>
  <c r="C40" i="45" a="1"/>
  <c r="C40" i="45" s="1"/>
  <c r="AI52" i="44" a="1"/>
  <c r="AI52" i="44" s="1"/>
  <c r="H55" i="45" a="1"/>
  <c r="H55" i="45" s="1"/>
  <c r="AR62" i="45" a="1"/>
  <c r="AR62" i="45" s="1"/>
  <c r="F74" i="44" a="1"/>
  <c r="F74" i="44" s="1"/>
  <c r="U10" i="44" a="1"/>
  <c r="U10" i="44" s="1"/>
  <c r="AG19" i="45" a="1"/>
  <c r="AG19" i="45" s="1"/>
  <c r="AN55" i="44" a="1"/>
  <c r="AN55" i="44" s="1"/>
  <c r="Y35" i="45" a="1"/>
  <c r="Y35" i="45" s="1"/>
  <c r="E92" i="33" a="1"/>
  <c r="E92" i="33" s="1"/>
  <c r="T71" i="45" a="1"/>
  <c r="T71" i="45" s="1"/>
  <c r="S58" i="44" a="1"/>
  <c r="S58" i="44" s="1"/>
  <c r="Y100" i="44" a="1"/>
  <c r="Y100" i="44" s="1"/>
  <c r="AB38" i="44" a="1"/>
  <c r="AB38" i="44" s="1"/>
  <c r="G25" i="45" a="1"/>
  <c r="G25" i="45" s="1"/>
  <c r="AQ35" i="44" a="1"/>
  <c r="AQ35" i="44" s="1"/>
  <c r="AD58" i="45" a="1"/>
  <c r="AD58" i="45" s="1"/>
  <c r="T59" i="45" a="1"/>
  <c r="T59" i="45" s="1"/>
  <c r="Z58" i="44" a="1"/>
  <c r="Z58" i="44" s="1"/>
  <c r="V22" i="45" a="1"/>
  <c r="V22" i="45" s="1"/>
  <c r="AA70" i="44" a="1"/>
  <c r="AA70" i="44" s="1"/>
  <c r="O68" i="33" a="1"/>
  <c r="O68" i="33" s="1"/>
  <c r="P103" i="33" a="1"/>
  <c r="P103" i="33" s="1"/>
  <c r="R62" i="45" a="1"/>
  <c r="R62" i="45" s="1"/>
  <c r="X34" i="44" a="1"/>
  <c r="X34" i="44" s="1"/>
  <c r="F64" i="44" a="1"/>
  <c r="F64" i="44" s="1"/>
  <c r="AK53" i="44" a="1"/>
  <c r="AK53" i="44" s="1"/>
  <c r="AP61" i="44" a="1"/>
  <c r="AP61" i="44" s="1"/>
  <c r="AM16" i="45" a="1"/>
  <c r="AM16" i="45" s="1"/>
  <c r="Q82" i="33" a="1"/>
  <c r="Q82" i="33" s="1"/>
  <c r="G43" i="33" a="1"/>
  <c r="G43" i="33" s="1"/>
  <c r="AR97" i="33" a="1"/>
  <c r="AR97" i="33" s="1"/>
  <c r="AM88" i="44" a="1"/>
  <c r="AM88" i="44" s="1"/>
  <c r="L47" i="44" a="1"/>
  <c r="L47" i="44" s="1"/>
  <c r="AC91" i="44" a="1"/>
  <c r="AC91" i="44" s="1"/>
  <c r="E94" i="44" a="1"/>
  <c r="E94" i="44" s="1"/>
  <c r="C25" i="45" a="1"/>
  <c r="C25" i="45" s="1"/>
  <c r="AD28" i="44" a="1"/>
  <c r="AD28" i="44" s="1"/>
  <c r="C59" i="44" a="1"/>
  <c r="C59" i="44" s="1"/>
  <c r="AJ19" i="33" a="1"/>
  <c r="AJ19" i="33" s="1"/>
  <c r="AE59" i="33" a="1"/>
  <c r="AE59" i="33" s="1"/>
  <c r="P77" i="33" a="1"/>
  <c r="P77" i="33" s="1"/>
  <c r="AM91" i="45" a="1"/>
  <c r="AM91" i="45" s="1"/>
  <c r="AO10" i="45" a="1"/>
  <c r="AO10" i="45" s="1"/>
  <c r="I80" i="45" a="1"/>
  <c r="I80" i="45" s="1"/>
  <c r="AK94" i="45" a="1"/>
  <c r="AK94" i="45" s="1"/>
  <c r="AN95" i="33" a="1"/>
  <c r="AN95" i="33" s="1"/>
  <c r="F10" i="45" a="1"/>
  <c r="F10" i="45" s="1"/>
  <c r="AP20" i="33" a="1"/>
  <c r="AP20" i="33" s="1"/>
  <c r="AH76" i="33" a="1"/>
  <c r="AH76" i="33" s="1"/>
  <c r="AR32" i="33" a="1"/>
  <c r="AR32" i="33" s="1"/>
  <c r="E79" i="45" a="1"/>
  <c r="E79" i="45" s="1"/>
  <c r="AO85" i="45" a="1"/>
  <c r="AO85" i="45" s="1"/>
  <c r="AF86" i="45" a="1"/>
  <c r="AF86" i="45" s="1"/>
  <c r="AL17" i="44" a="1"/>
  <c r="AL17" i="44" s="1"/>
  <c r="O103" i="45" a="1"/>
  <c r="O103" i="45" s="1"/>
  <c r="AH97" i="33" a="1"/>
  <c r="AH97" i="33" s="1"/>
  <c r="Q32" i="44" a="1"/>
  <c r="Q32" i="44" s="1"/>
  <c r="W103" i="33" a="1"/>
  <c r="W103" i="33" s="1"/>
  <c r="R17" i="44" a="1"/>
  <c r="R17" i="44" s="1"/>
  <c r="L77" i="44" a="1"/>
  <c r="L77" i="44" s="1"/>
  <c r="AN47" i="45" a="1"/>
  <c r="AN47" i="45" s="1"/>
  <c r="S17" i="33" a="1"/>
  <c r="S17" i="33" s="1"/>
  <c r="F11" i="45" a="1"/>
  <c r="F11" i="45" s="1"/>
  <c r="AF101" i="45" a="1"/>
  <c r="AF101" i="45" s="1"/>
  <c r="X67" i="44" a="1"/>
  <c r="X67" i="44" s="1"/>
  <c r="AH100" i="45" a="1"/>
  <c r="AH100" i="45" s="1"/>
  <c r="AJ92" i="44" a="1"/>
  <c r="AJ92" i="44" s="1"/>
  <c r="L61" i="44" a="1"/>
  <c r="L61" i="44" s="1"/>
  <c r="L67" i="45" a="1"/>
  <c r="L67" i="45" s="1"/>
  <c r="AE32" i="44" a="1"/>
  <c r="AE32" i="44" s="1"/>
  <c r="AD89" i="45" a="1"/>
  <c r="AD89" i="45" s="1"/>
  <c r="V94" i="44" a="1"/>
  <c r="V94" i="44" s="1"/>
  <c r="S52" i="33" a="1"/>
  <c r="S52" i="33" s="1"/>
  <c r="Y85" i="44" a="1"/>
  <c r="Y85" i="44" s="1"/>
  <c r="C16" i="42" a="1"/>
  <c r="C16" i="42" s="1"/>
  <c r="R47" i="45" a="1"/>
  <c r="R47" i="45" s="1"/>
  <c r="T20" i="33" a="1"/>
  <c r="T20" i="33" s="1"/>
  <c r="Y94" i="44" a="1"/>
  <c r="Y94" i="44" s="1"/>
  <c r="AR50" i="33" a="1"/>
  <c r="AR50" i="33" s="1"/>
  <c r="AB50" i="33" a="1"/>
  <c r="AB50" i="33" s="1"/>
  <c r="M92" i="44" a="1"/>
  <c r="M92" i="44" s="1"/>
  <c r="AB22" i="45" a="1"/>
  <c r="AB22" i="45" s="1"/>
  <c r="AR76" i="33" a="1"/>
  <c r="AR76" i="33" s="1"/>
  <c r="AH55" i="44" a="1"/>
  <c r="AH55" i="44" s="1"/>
  <c r="Z79" i="45" a="1"/>
  <c r="Z79" i="45" s="1"/>
  <c r="AM26" i="44" a="1"/>
  <c r="AM26" i="44" s="1"/>
  <c r="AD98" i="45" a="1"/>
  <c r="AD98" i="45" s="1"/>
  <c r="J22" i="33" a="1"/>
  <c r="J22" i="33" s="1"/>
  <c r="AR61" i="44" a="1"/>
  <c r="AR61" i="44" s="1"/>
  <c r="Z40" i="45" a="1"/>
  <c r="Z40" i="45" s="1"/>
  <c r="C103" i="42" a="1"/>
  <c r="C103" i="42" s="1"/>
  <c r="G88" i="45" a="1"/>
  <c r="G88" i="45" s="1"/>
  <c r="AK94" i="44" a="1"/>
  <c r="AK94" i="44" s="1"/>
  <c r="H29" i="45" a="1"/>
  <c r="H29" i="45" s="1"/>
  <c r="X37" i="45" a="1"/>
  <c r="X37" i="45" s="1"/>
  <c r="M89" i="45" a="1"/>
  <c r="M89" i="45" s="1"/>
  <c r="N80" i="33" a="1"/>
  <c r="N80" i="33" s="1"/>
  <c r="C43" i="47" a="1"/>
  <c r="C43" i="47" s="1"/>
  <c r="C88" i="33" a="1"/>
  <c r="C88" i="33" s="1"/>
  <c r="AH71" i="44" a="1"/>
  <c r="AH71" i="44" s="1"/>
  <c r="AO86" i="45" a="1"/>
  <c r="AO86" i="45" s="1"/>
  <c r="Q58" i="44" a="1"/>
  <c r="Q58" i="44" s="1"/>
  <c r="S32" i="33" a="1"/>
  <c r="S32" i="33" s="1"/>
  <c r="Z50" i="33" a="1"/>
  <c r="Z50" i="33" s="1"/>
  <c r="T77" i="45" a="1"/>
  <c r="T77" i="45" s="1"/>
  <c r="L73" i="44" a="1"/>
  <c r="L73" i="44" s="1"/>
  <c r="J53" i="44" a="1"/>
  <c r="J53" i="44" s="1"/>
  <c r="C19" i="46" a="1"/>
  <c r="C19" i="46" s="1"/>
  <c r="AB70" i="44" a="1"/>
  <c r="AB70" i="44" s="1"/>
  <c r="P10" i="44" a="1"/>
  <c r="P10" i="44" s="1"/>
  <c r="S82" i="44" a="1"/>
  <c r="S82" i="44" s="1"/>
  <c r="C40" i="47" a="1"/>
  <c r="C40" i="47" s="1"/>
  <c r="U71" i="44" a="1"/>
  <c r="U71" i="44" s="1"/>
  <c r="AM38" i="44" a="1"/>
  <c r="AM38" i="44" s="1"/>
  <c r="AF32" i="33" a="1"/>
  <c r="AF32" i="33" s="1"/>
  <c r="H82" i="44" a="1"/>
  <c r="H82" i="44" s="1"/>
  <c r="W88" i="44" a="1"/>
  <c r="W88" i="44" s="1"/>
  <c r="F100" i="44" a="1"/>
  <c r="F100" i="44" s="1"/>
  <c r="G25" i="44" a="1"/>
  <c r="G25" i="44" s="1"/>
  <c r="K26" i="33" a="1"/>
  <c r="K26" i="33" s="1"/>
  <c r="AB19" i="44" a="1"/>
  <c r="AB19" i="44" s="1"/>
  <c r="Q88" i="44" a="1"/>
  <c r="Q88" i="44" s="1"/>
  <c r="AP61" i="45" a="1"/>
  <c r="AP61" i="45" s="1"/>
  <c r="C82" i="44" a="1"/>
  <c r="C82" i="44" s="1"/>
  <c r="X95" i="44" a="1"/>
  <c r="X95" i="44" s="1"/>
  <c r="Q20" i="44" a="1"/>
  <c r="Q20" i="44" s="1"/>
  <c r="C97" i="41" a="1"/>
  <c r="C97" i="41" s="1"/>
  <c r="U58" i="44" a="1"/>
  <c r="U58" i="44" s="1"/>
  <c r="F32" i="44" a="1"/>
  <c r="F32" i="44" s="1"/>
  <c r="AE83" i="33" a="1"/>
  <c r="AE83" i="33" s="1"/>
  <c r="AK20" i="44" a="1"/>
  <c r="AK20" i="44" s="1"/>
  <c r="AJ11" i="45" a="1"/>
  <c r="AJ11" i="45" s="1"/>
  <c r="AB67" i="33" a="1"/>
  <c r="AB67" i="33" s="1"/>
  <c r="AK86" i="33" a="1"/>
  <c r="AK86" i="33" s="1"/>
  <c r="M46" i="44" a="1"/>
  <c r="M46" i="44" s="1"/>
  <c r="N77" i="45" a="1"/>
  <c r="N77" i="45" s="1"/>
  <c r="C83" i="33" a="1"/>
  <c r="C83" i="33" s="1"/>
  <c r="H52" i="45" a="1"/>
  <c r="H52" i="45" s="1"/>
  <c r="AN68" i="44" a="1"/>
  <c r="AN68" i="44" s="1"/>
  <c r="M43" i="33" a="1"/>
  <c r="M43" i="33" s="1"/>
  <c r="AH67" i="44" a="1"/>
  <c r="AH67" i="44" s="1"/>
  <c r="AE10" i="33" a="1"/>
  <c r="AE10" i="33" s="1"/>
  <c r="AL64" i="45" a="1"/>
  <c r="AL64" i="45" s="1"/>
  <c r="K71" i="33" a="1"/>
  <c r="K71" i="33" s="1"/>
  <c r="Y95" i="44" a="1"/>
  <c r="Y95" i="44" s="1"/>
  <c r="F68" i="44" a="1"/>
  <c r="F68" i="44" s="1"/>
  <c r="O94" i="45" a="1"/>
  <c r="O94" i="45" s="1"/>
  <c r="AH79" i="33" a="1"/>
  <c r="AH79" i="33" s="1"/>
  <c r="Q34" i="33" a="1"/>
  <c r="Q34" i="33" s="1"/>
  <c r="E16" i="44" a="1"/>
  <c r="E16" i="44" s="1"/>
  <c r="AI73" i="44" a="1"/>
  <c r="AI73" i="44" s="1"/>
  <c r="C94" i="44" a="1"/>
  <c r="C94" i="44" s="1"/>
  <c r="Q11" i="44" a="1"/>
  <c r="Q11" i="44" s="1"/>
  <c r="W25" i="45" a="1"/>
  <c r="W25" i="45" s="1"/>
  <c r="O25" i="45" a="1"/>
  <c r="O25" i="45" s="1"/>
  <c r="AI49" i="33" a="1"/>
  <c r="AI49" i="33" s="1"/>
  <c r="AO82" i="45" a="1"/>
  <c r="AO82" i="45" s="1"/>
  <c r="AD71" i="44" a="1"/>
  <c r="AD71" i="44" s="1"/>
  <c r="I76" i="44" a="1"/>
  <c r="I76" i="44" s="1"/>
  <c r="P83" i="45" a="1"/>
  <c r="P83" i="45" s="1"/>
  <c r="X65" i="45" a="1"/>
  <c r="X65" i="45" s="1"/>
  <c r="AM22" i="33" a="1"/>
  <c r="AM22" i="33" s="1"/>
  <c r="AB70" i="45" a="1"/>
  <c r="AB70" i="45" s="1"/>
  <c r="X62" i="45" a="1"/>
  <c r="X62" i="45" s="1"/>
  <c r="C28" i="45" a="1"/>
  <c r="C28" i="45" s="1"/>
  <c r="U41" i="33" a="1"/>
  <c r="U41" i="33" s="1"/>
  <c r="Q22" i="33" a="1"/>
  <c r="Q22" i="33" s="1"/>
  <c r="AN89" i="44" a="1"/>
  <c r="AN89" i="44" s="1"/>
  <c r="N86" i="44" a="1"/>
  <c r="N86" i="44" s="1"/>
  <c r="N88" i="33" a="1"/>
  <c r="N88" i="33" s="1"/>
  <c r="F94" i="33" a="1"/>
  <c r="F94" i="33" s="1"/>
  <c r="AL104" i="44" a="1"/>
  <c r="AL104" i="44" s="1"/>
  <c r="C10" i="41" a="1"/>
  <c r="C10" i="41" s="1"/>
  <c r="AN92" i="45" a="1"/>
  <c r="AN92" i="45" s="1"/>
  <c r="AP86" i="44" a="1"/>
  <c r="AP86" i="44" s="1"/>
  <c r="C58" i="42" a="1"/>
  <c r="C58" i="42" s="1"/>
  <c r="U32" i="33" a="1"/>
  <c r="U32" i="33" s="1"/>
  <c r="I49" i="33" a="1"/>
  <c r="I49" i="33" s="1"/>
  <c r="AH76" i="45" a="1"/>
  <c r="AH76" i="45" s="1"/>
  <c r="C25" i="43" a="1"/>
  <c r="C25" i="43" s="1"/>
  <c r="S104" i="44" a="1"/>
  <c r="S104" i="44" s="1"/>
  <c r="Z32" i="45" a="1"/>
  <c r="Z32" i="45" s="1"/>
  <c r="AD55" i="45" a="1"/>
  <c r="AD55" i="45" s="1"/>
  <c r="AH20" i="45" a="1"/>
  <c r="AH20" i="45" s="1"/>
  <c r="AR70" i="44" a="1"/>
  <c r="AR70" i="44" s="1"/>
  <c r="AA17" i="45" a="1"/>
  <c r="AA17" i="45" s="1"/>
  <c r="AN89" i="33" a="1"/>
  <c r="AN89" i="33" s="1"/>
  <c r="M55" i="44" a="1"/>
  <c r="M55" i="44" s="1"/>
  <c r="AO23" i="44" a="1"/>
  <c r="AO23" i="44" s="1"/>
  <c r="AH10" i="44" a="1"/>
  <c r="AH10" i="44" s="1"/>
  <c r="AR32" i="45" a="1"/>
  <c r="AR32" i="45" s="1"/>
  <c r="U26" i="44" a="1"/>
  <c r="U26" i="44" s="1"/>
  <c r="Q70" i="44" a="1"/>
  <c r="Q70" i="44" s="1"/>
  <c r="M79" i="45" a="1"/>
  <c r="M79" i="45" s="1"/>
  <c r="Y64" i="33" a="1"/>
  <c r="Y64" i="33" s="1"/>
  <c r="G61" i="44" a="1"/>
  <c r="G61" i="44" s="1"/>
  <c r="H44" i="45" a="1"/>
  <c r="H44" i="45" s="1"/>
  <c r="C26" i="33" a="1"/>
  <c r="C26" i="33" s="1"/>
  <c r="X22" i="45" a="1"/>
  <c r="X22" i="45" s="1"/>
  <c r="C92" i="44" a="1"/>
  <c r="C92" i="44" s="1"/>
  <c r="R62" i="33" a="1"/>
  <c r="R62" i="33" s="1"/>
  <c r="AO97" i="33" a="1"/>
  <c r="AO97" i="33" s="1"/>
  <c r="W67" i="44" a="1"/>
  <c r="W67" i="44" s="1"/>
  <c r="L11" i="33" a="1"/>
  <c r="L11" i="33" s="1"/>
  <c r="I67" i="45" a="1"/>
  <c r="I67" i="45" s="1"/>
  <c r="AQ74" i="44" a="1"/>
  <c r="AQ74" i="44" s="1"/>
  <c r="W79" i="44" a="1"/>
  <c r="W79" i="44" s="1"/>
  <c r="C28" i="33" a="1"/>
  <c r="C28" i="33" s="1"/>
  <c r="I82" i="45" a="1"/>
  <c r="I82" i="45" s="1"/>
  <c r="H95" i="33" a="1"/>
  <c r="H95" i="33" s="1"/>
  <c r="AK92" i="44" a="1"/>
  <c r="AK92" i="44" s="1"/>
  <c r="U95" i="33" a="1"/>
  <c r="U95" i="33" s="1"/>
  <c r="I16" i="44" a="1"/>
  <c r="I16" i="44" s="1"/>
  <c r="U73" i="45" a="1"/>
  <c r="U73" i="45" s="1"/>
  <c r="X61" i="45" a="1"/>
  <c r="X61" i="45" s="1"/>
  <c r="S22" i="33" a="1"/>
  <c r="S22" i="33" s="1"/>
  <c r="W95" i="33" a="1"/>
  <c r="W95" i="33" s="1"/>
  <c r="C92" i="33" a="1"/>
  <c r="C92" i="33" s="1"/>
  <c r="L80" i="33" a="1"/>
  <c r="L80" i="33" s="1"/>
  <c r="C10" i="43" a="1"/>
  <c r="C10" i="43" s="1"/>
  <c r="L29" i="44" a="1"/>
  <c r="L29" i="44" s="1"/>
  <c r="C31" i="41" a="1"/>
  <c r="C31" i="41" s="1"/>
  <c r="AH52" i="44" a="1"/>
  <c r="AH52" i="44" s="1"/>
  <c r="H80" i="44" a="1"/>
  <c r="H80" i="44" s="1"/>
  <c r="C17" i="47" a="1"/>
  <c r="C17" i="47" s="1"/>
  <c r="U104" i="33" a="1"/>
  <c r="U104" i="33" s="1"/>
  <c r="P19" i="44" a="1"/>
  <c r="P19" i="44" s="1"/>
  <c r="AA31" i="45" a="1"/>
  <c r="AA31" i="45" s="1"/>
  <c r="AA104" i="33" a="1"/>
  <c r="AA104" i="33" s="1"/>
  <c r="K65" i="45" a="1"/>
  <c r="K65" i="45" s="1"/>
  <c r="Z74" i="44" a="1"/>
  <c r="Z74" i="44" s="1"/>
  <c r="E11" i="44" a="1"/>
  <c r="E11" i="44" s="1"/>
  <c r="L28" i="45" a="1"/>
  <c r="L28" i="45" s="1"/>
  <c r="AI88" i="33" a="1"/>
  <c r="AI88" i="33" s="1"/>
  <c r="AP17" i="45" a="1"/>
  <c r="AP17" i="45" s="1"/>
  <c r="AK98" i="44" a="1"/>
  <c r="AK98" i="44" s="1"/>
  <c r="AL49" i="45" a="1"/>
  <c r="AL49" i="45" s="1"/>
  <c r="AF10" i="33" a="1"/>
  <c r="AF10" i="33" s="1"/>
  <c r="AN91" i="33" a="1"/>
  <c r="AN91" i="33" s="1"/>
  <c r="AC103" i="33" a="1"/>
  <c r="AC103" i="33" s="1"/>
  <c r="F49" i="33" a="1"/>
  <c r="F49" i="33" s="1"/>
  <c r="AJ104" i="44" a="1"/>
  <c r="AJ104" i="44" s="1"/>
  <c r="S62" i="33" a="1"/>
  <c r="S62" i="33" s="1"/>
  <c r="AG10" i="45" a="1"/>
  <c r="AG10" i="45" s="1"/>
  <c r="AI50" i="33" a="1"/>
  <c r="AI50" i="33" s="1"/>
  <c r="F73" i="45" a="1"/>
  <c r="F73" i="45" s="1"/>
  <c r="AO35" i="45" a="1"/>
  <c r="AO35" i="45" s="1"/>
  <c r="AB17" i="33" a="1"/>
  <c r="AB17" i="33" s="1"/>
  <c r="AG28" i="44" a="1"/>
  <c r="AG28" i="44" s="1"/>
  <c r="AQ98" i="44" a="1"/>
  <c r="AQ98" i="44" s="1"/>
  <c r="Z97" i="33" a="1"/>
  <c r="Z97" i="33" s="1"/>
  <c r="AD76" i="45" a="1"/>
  <c r="AD76" i="45" s="1"/>
  <c r="Y82" i="33" a="1"/>
  <c r="Y82" i="33" s="1"/>
  <c r="K44" i="44" a="1"/>
  <c r="K44" i="44" s="1"/>
  <c r="N52" i="45" a="1"/>
  <c r="N52" i="45" s="1"/>
  <c r="Z44" i="45" a="1"/>
  <c r="Z44" i="45" s="1"/>
  <c r="L26" i="45" a="1"/>
  <c r="L26" i="45" s="1"/>
  <c r="T59" i="44" a="1"/>
  <c r="T59" i="44" s="1"/>
  <c r="AB77" i="33" a="1"/>
  <c r="AB77" i="33" s="1"/>
  <c r="L10" i="45" a="1"/>
  <c r="L10" i="45" s="1"/>
  <c r="AN65" i="44" a="1"/>
  <c r="AN65" i="44" s="1"/>
  <c r="AQ37" i="44" a="1"/>
  <c r="AQ37" i="44" s="1"/>
  <c r="N22" i="45" a="1"/>
  <c r="N22" i="45" s="1"/>
  <c r="F26" i="45" a="1"/>
  <c r="F26" i="45" s="1"/>
  <c r="AR98" i="44" a="1"/>
  <c r="AR98" i="44" s="1"/>
  <c r="Y76" i="44" a="1"/>
  <c r="Y76" i="44" s="1"/>
  <c r="N44" i="44" a="1"/>
  <c r="N44" i="44" s="1"/>
  <c r="Y23" i="33" a="1"/>
  <c r="Y23" i="33" s="1"/>
  <c r="AC25" i="33" a="1"/>
  <c r="AC25" i="33" s="1"/>
  <c r="AR37" i="44" a="1"/>
  <c r="AR37" i="44" s="1"/>
  <c r="AL85" i="44" a="1"/>
  <c r="AL85" i="44" s="1"/>
  <c r="AJ49" i="45" a="1"/>
  <c r="AJ49" i="45" s="1"/>
  <c r="AA28" i="33" a="1"/>
  <c r="AA28" i="33" s="1"/>
  <c r="J16" i="33" a="1"/>
  <c r="J16" i="33" s="1"/>
  <c r="AG71" i="45" a="1"/>
  <c r="AG71" i="45" s="1"/>
  <c r="N86" i="45" a="1"/>
  <c r="N86" i="45" s="1"/>
  <c r="AR100" i="45" a="1"/>
  <c r="AR100" i="45" s="1"/>
  <c r="AD100" i="44" a="1"/>
  <c r="AD100" i="44" s="1"/>
  <c r="U80" i="33" a="1"/>
  <c r="U80" i="33" s="1"/>
  <c r="AI22" i="33" a="1"/>
  <c r="AI22" i="33" s="1"/>
  <c r="AM50" i="33" a="1"/>
  <c r="AM50" i="33" s="1"/>
  <c r="AM19" i="44" a="1"/>
  <c r="AM19" i="44" s="1"/>
  <c r="T19" i="45" a="1"/>
  <c r="T19" i="45" s="1"/>
  <c r="AI85" i="45" a="1"/>
  <c r="AI85" i="45" s="1"/>
  <c r="AB47" i="33" a="1"/>
  <c r="AB47" i="33" s="1"/>
  <c r="AL16" i="45" a="1"/>
  <c r="AL16" i="45" s="1"/>
  <c r="AE41" i="33" a="1"/>
  <c r="AE41" i="33" s="1"/>
  <c r="AE39" i="33" s="1"/>
  <c r="C41" i="42" a="1"/>
  <c r="C41" i="42" s="1"/>
  <c r="Y25" i="45" a="1"/>
  <c r="Y25" i="45" s="1"/>
  <c r="AK32" i="33" a="1"/>
  <c r="AK32" i="33" s="1"/>
  <c r="J83" i="44" a="1"/>
  <c r="J83" i="44" s="1"/>
  <c r="C70" i="45" a="1"/>
  <c r="C70" i="45" s="1"/>
  <c r="T29" i="33" a="1"/>
  <c r="T29" i="33" s="1"/>
  <c r="J97" i="33" a="1"/>
  <c r="J97" i="33" s="1"/>
  <c r="AB68" i="44" a="1"/>
  <c r="AB68" i="44" s="1"/>
  <c r="AG70" i="44" a="1"/>
  <c r="AG70" i="44" s="1"/>
  <c r="AD25" i="44" a="1"/>
  <c r="AD25" i="44" s="1"/>
  <c r="AJ20" i="44" a="1"/>
  <c r="AJ20" i="44" s="1"/>
  <c r="AA92" i="44" a="1"/>
  <c r="AA92" i="44" s="1"/>
  <c r="G46" i="45" a="1"/>
  <c r="G46" i="45" s="1"/>
  <c r="Y104" i="33" a="1"/>
  <c r="Y104" i="33" s="1"/>
  <c r="Q94" i="33" a="1"/>
  <c r="Q94" i="33" s="1"/>
  <c r="J85" i="33" a="1"/>
  <c r="J85" i="33" s="1"/>
  <c r="AI20" i="44" a="1"/>
  <c r="AI20" i="44" s="1"/>
  <c r="Y59" i="33" a="1"/>
  <c r="Y59" i="33" s="1"/>
  <c r="F38" i="45" a="1"/>
  <c r="F38" i="45" s="1"/>
  <c r="AC20" i="44" a="1"/>
  <c r="AC20" i="44" s="1"/>
  <c r="L70" i="33" a="1"/>
  <c r="L70" i="33" s="1"/>
  <c r="S95" i="44" a="1"/>
  <c r="S95" i="44" s="1"/>
  <c r="I46" i="45" a="1"/>
  <c r="I46" i="45" s="1"/>
  <c r="AP38" i="33" a="1"/>
  <c r="AP38" i="33" s="1"/>
  <c r="P28" i="45" a="1"/>
  <c r="P28" i="45" s="1"/>
  <c r="O73" i="33" a="1"/>
  <c r="O73" i="33" s="1"/>
  <c r="T50" i="44" a="1"/>
  <c r="T50" i="44" s="1"/>
  <c r="AJ71" i="33" a="1"/>
  <c r="AJ71" i="33" s="1"/>
  <c r="N89" i="33" a="1"/>
  <c r="N89" i="33" s="1"/>
  <c r="AC17" i="44" a="1"/>
  <c r="AC17" i="44" s="1"/>
  <c r="O25" i="33" a="1"/>
  <c r="O25" i="33" s="1"/>
  <c r="S97" i="45" a="1"/>
  <c r="S97" i="45" s="1"/>
  <c r="AB103" i="33" a="1"/>
  <c r="AB103" i="33" s="1"/>
  <c r="P74" i="33" a="1"/>
  <c r="P74" i="33" s="1"/>
  <c r="C74" i="43" a="1"/>
  <c r="C74" i="43" s="1"/>
  <c r="E88" i="45" a="1"/>
  <c r="E88" i="45" s="1"/>
  <c r="H38" i="44" a="1"/>
  <c r="H38" i="44" s="1"/>
  <c r="AO79" i="44" a="1"/>
  <c r="AO79" i="44" s="1"/>
  <c r="S43" i="44" a="1"/>
  <c r="S43" i="44" s="1"/>
  <c r="AB71" i="44" a="1"/>
  <c r="AB71" i="44" s="1"/>
  <c r="W44" i="45" a="1"/>
  <c r="W44" i="45" s="1"/>
  <c r="AE17" i="45" a="1"/>
  <c r="AE17" i="45" s="1"/>
  <c r="AM50" i="45" a="1"/>
  <c r="AM50" i="45" s="1"/>
  <c r="L19" i="33" a="1"/>
  <c r="L19" i="33" s="1"/>
  <c r="R95" i="33" a="1"/>
  <c r="R95" i="33" s="1"/>
  <c r="C67" i="41" a="1"/>
  <c r="C67" i="41" s="1"/>
  <c r="C52" i="45" a="1"/>
  <c r="C52" i="45" s="1"/>
  <c r="X32" i="33" a="1"/>
  <c r="X32" i="33" s="1"/>
  <c r="I28" i="33" a="1"/>
  <c r="I28" i="33" s="1"/>
  <c r="N103" i="45" a="1"/>
  <c r="N103" i="45" s="1"/>
  <c r="F91" i="45" a="1"/>
  <c r="F91" i="45" s="1"/>
  <c r="AL74" i="45" a="1"/>
  <c r="AL74" i="45" s="1"/>
  <c r="AF56" i="33" a="1"/>
  <c r="AF56" i="33" s="1"/>
  <c r="M85" i="44" a="1"/>
  <c r="M85" i="44" s="1"/>
  <c r="AB100" i="44" a="1"/>
  <c r="AB100" i="44" s="1"/>
  <c r="E52" i="44" a="1"/>
  <c r="E52" i="44" s="1"/>
  <c r="AN50" i="45" a="1"/>
  <c r="AN50" i="45" s="1"/>
  <c r="W16" i="33" a="1"/>
  <c r="W16" i="33" s="1"/>
  <c r="AC40" i="44" a="1"/>
  <c r="AC40" i="44" s="1"/>
  <c r="AC61" i="44" a="1"/>
  <c r="AC61" i="44" s="1"/>
  <c r="AQ49" i="45" a="1"/>
  <c r="AQ49" i="45" s="1"/>
  <c r="W61" i="33" a="1"/>
  <c r="W61" i="33" s="1"/>
  <c r="I95" i="44" a="1"/>
  <c r="I95" i="44" s="1"/>
  <c r="C88" i="41" a="1"/>
  <c r="C88" i="41" s="1"/>
  <c r="AG20" i="45" a="1"/>
  <c r="AG20" i="45" s="1"/>
  <c r="AB52" i="44" a="1"/>
  <c r="AB52" i="44" s="1"/>
  <c r="N38" i="33" a="1"/>
  <c r="N38" i="33" s="1"/>
  <c r="I74" i="44" a="1"/>
  <c r="I74" i="44" s="1"/>
  <c r="I72" i="44" s="1"/>
  <c r="C104" i="42" a="1"/>
  <c r="C104" i="42" s="1"/>
  <c r="S92" i="44" a="1"/>
  <c r="S92" i="44" s="1"/>
  <c r="R70" i="33" a="1"/>
  <c r="R70" i="33" s="1"/>
  <c r="J17" i="45" a="1"/>
  <c r="J17" i="45" s="1"/>
  <c r="AM52" i="45" a="1"/>
  <c r="AM52" i="45" s="1"/>
  <c r="AP73" i="44" a="1"/>
  <c r="AP73" i="44" s="1"/>
  <c r="AC53" i="44" a="1"/>
  <c r="AC53" i="44" s="1"/>
  <c r="G50" i="45" a="1"/>
  <c r="G50" i="45" s="1"/>
  <c r="AC83" i="45" a="1"/>
  <c r="AC83" i="45" s="1"/>
  <c r="AR44" i="44" a="1"/>
  <c r="AR44" i="44" s="1"/>
  <c r="AJ80" i="44" a="1"/>
  <c r="AJ80" i="44" s="1"/>
  <c r="AI68" i="45" a="1"/>
  <c r="AI68" i="45" s="1"/>
  <c r="R25" i="33" a="1"/>
  <c r="R25" i="33" s="1"/>
  <c r="AF92" i="44" a="1"/>
  <c r="AF92" i="44" s="1"/>
  <c r="I58" i="45" a="1"/>
  <c r="I58" i="45" s="1"/>
  <c r="Z38" i="33" a="1"/>
  <c r="Z38" i="33" s="1"/>
  <c r="J73" i="33" a="1"/>
  <c r="J73" i="33" s="1"/>
  <c r="AG40" i="45" a="1"/>
  <c r="AG40" i="45" s="1"/>
  <c r="S31" i="45" a="1"/>
  <c r="S31" i="45" s="1"/>
  <c r="AG23" i="33" a="1"/>
  <c r="AG23" i="33" s="1"/>
  <c r="G97" i="45" a="1"/>
  <c r="G97" i="45" s="1"/>
  <c r="AP29" i="45" a="1"/>
  <c r="AP29" i="45" s="1"/>
  <c r="F32" i="45" a="1"/>
  <c r="F32" i="45" s="1"/>
  <c r="U38" i="33" a="1"/>
  <c r="U38" i="33" s="1"/>
  <c r="AN41" i="33" a="1"/>
  <c r="AN41" i="33" s="1"/>
  <c r="G64" i="33" a="1"/>
  <c r="G64" i="33" s="1"/>
  <c r="C26" i="45" a="1"/>
  <c r="C26" i="45" s="1"/>
  <c r="U38" i="45" a="1"/>
  <c r="U38" i="45" s="1"/>
  <c r="Z47" i="44" a="1"/>
  <c r="Z47" i="44" s="1"/>
  <c r="L31" i="44" a="1"/>
  <c r="L31" i="44" s="1"/>
  <c r="AL44" i="44" a="1"/>
  <c r="AL44" i="44" s="1"/>
  <c r="AD32" i="33" a="1"/>
  <c r="AD32" i="33" s="1"/>
  <c r="J77" i="33" a="1"/>
  <c r="J77" i="33" s="1"/>
  <c r="V94" i="45" a="1"/>
  <c r="V94" i="45" s="1"/>
  <c r="V73" i="45" a="1"/>
  <c r="V73" i="45" s="1"/>
  <c r="T98" i="33" a="1"/>
  <c r="T98" i="33" s="1"/>
  <c r="AL28" i="45" a="1"/>
  <c r="AL28" i="45" s="1"/>
  <c r="AF26" i="33" a="1"/>
  <c r="AF26" i="33" s="1"/>
  <c r="AR64" i="33" a="1"/>
  <c r="AR64" i="33" s="1"/>
  <c r="AA41" i="33" a="1"/>
  <c r="AA41" i="33" s="1"/>
  <c r="AA98" i="45" a="1"/>
  <c r="AA98" i="45" s="1"/>
  <c r="Z76" i="33" a="1"/>
  <c r="Z76" i="33" s="1"/>
  <c r="L73" i="33" a="1"/>
  <c r="L73" i="33" s="1"/>
  <c r="F49" i="44" a="1"/>
  <c r="F49" i="44" s="1"/>
  <c r="AP44" i="33" a="1"/>
  <c r="AP44" i="33" s="1"/>
  <c r="AM88" i="45" a="1"/>
  <c r="AM88" i="45" s="1"/>
  <c r="U55" i="45" a="1"/>
  <c r="U55" i="45" s="1"/>
  <c r="C95" i="41" a="1"/>
  <c r="C95" i="41" s="1"/>
  <c r="AE56" i="44" a="1"/>
  <c r="AE56" i="44" s="1"/>
  <c r="U70" i="44" a="1"/>
  <c r="U70" i="44" s="1"/>
  <c r="U22" i="44" a="1"/>
  <c r="U22" i="44" s="1"/>
  <c r="AP85" i="33" a="1"/>
  <c r="AP85" i="33" s="1"/>
  <c r="C37" i="46" a="1"/>
  <c r="C37" i="46" s="1"/>
  <c r="X17" i="33" a="1"/>
  <c r="X17" i="33" s="1"/>
  <c r="AM17" i="45" a="1"/>
  <c r="AM17" i="45" s="1"/>
  <c r="AM82" i="44" a="1"/>
  <c r="AM82" i="44" s="1"/>
  <c r="N50" i="33" a="1"/>
  <c r="N50" i="33" s="1"/>
  <c r="S68" i="44" a="1"/>
  <c r="S68" i="44" s="1"/>
  <c r="AN47" i="44" a="1"/>
  <c r="AN47" i="44" s="1"/>
  <c r="K53" i="44" a="1"/>
  <c r="K53" i="44" s="1"/>
  <c r="AE29" i="44" a="1"/>
  <c r="AE29" i="44" s="1"/>
  <c r="T10" i="33" a="1"/>
  <c r="T10" i="33" s="1"/>
  <c r="I11" i="33" a="1"/>
  <c r="I11" i="33" s="1"/>
  <c r="Q94" i="45" a="1"/>
  <c r="Q94" i="45" s="1"/>
  <c r="AR53" i="33" a="1"/>
  <c r="AR53" i="33" s="1"/>
  <c r="M49" i="33" a="1"/>
  <c r="M49" i="33" s="1"/>
  <c r="F37" i="33" a="1"/>
  <c r="F37" i="33" s="1"/>
  <c r="S28" i="33" a="1"/>
  <c r="S28" i="33" s="1"/>
  <c r="AL65" i="45" a="1"/>
  <c r="AL65" i="45" s="1"/>
  <c r="AO28" i="44" a="1"/>
  <c r="AO28" i="44" s="1"/>
  <c r="AJ41" i="45" a="1"/>
  <c r="AJ41" i="45" s="1"/>
  <c r="N88" i="45" a="1"/>
  <c r="N88" i="45" s="1"/>
  <c r="H32" i="44" a="1"/>
  <c r="H32" i="44" s="1"/>
  <c r="S98" i="44" a="1"/>
  <c r="S98" i="44" s="1"/>
  <c r="AM70" i="44" a="1"/>
  <c r="AM70" i="44" s="1"/>
  <c r="AP16" i="44" a="1"/>
  <c r="AP16" i="44" s="1"/>
  <c r="AN95" i="44" a="1"/>
  <c r="AN95" i="44" s="1"/>
  <c r="V77" i="33" a="1"/>
  <c r="V77" i="33" s="1"/>
  <c r="V11" i="45" a="1"/>
  <c r="V11" i="45" s="1"/>
  <c r="AR79" i="44" a="1"/>
  <c r="AR79" i="44" s="1"/>
  <c r="C64" i="47" a="1"/>
  <c r="C64" i="47" s="1"/>
  <c r="P62" i="44" a="1"/>
  <c r="P62" i="44" s="1"/>
  <c r="N35" i="45" a="1"/>
  <c r="N35" i="45" s="1"/>
  <c r="AJ98" i="33" a="1"/>
  <c r="AJ98" i="33" s="1"/>
  <c r="C25" i="47" a="1"/>
  <c r="C25" i="47" s="1"/>
  <c r="AJ79" i="45" a="1"/>
  <c r="AJ79" i="45" s="1"/>
  <c r="AI55" i="45" a="1"/>
  <c r="AI55" i="45" s="1"/>
  <c r="Q92" i="33" a="1"/>
  <c r="Q92" i="33" s="1"/>
  <c r="AJ29" i="44" a="1"/>
  <c r="AJ29" i="44" s="1"/>
  <c r="Q55" i="45" a="1"/>
  <c r="Q55" i="45" s="1"/>
  <c r="AN29" i="45" a="1"/>
  <c r="AN29" i="45" s="1"/>
  <c r="C68" i="46" a="1"/>
  <c r="C68" i="46" s="1"/>
  <c r="F43" i="33" a="1"/>
  <c r="F43" i="33" s="1"/>
  <c r="U65" i="33" a="1"/>
  <c r="U65" i="33" s="1"/>
  <c r="AL73" i="44" a="1"/>
  <c r="AL73" i="44" s="1"/>
  <c r="G47" i="44" a="1"/>
  <c r="G47" i="44" s="1"/>
  <c r="AN31" i="44" a="1"/>
  <c r="AN31" i="44" s="1"/>
  <c r="AP58" i="45" a="1"/>
  <c r="AP58" i="45" s="1"/>
  <c r="AA100" i="33" a="1"/>
  <c r="AA100" i="33" s="1"/>
  <c r="Q47" i="33" a="1"/>
  <c r="Q47" i="33" s="1"/>
  <c r="AL55" i="45" a="1"/>
  <c r="AL55" i="45" s="1"/>
  <c r="S76" i="45" a="1"/>
  <c r="S76" i="45" s="1"/>
  <c r="L94" i="44" a="1"/>
  <c r="L94" i="44" s="1"/>
  <c r="U41" i="45" a="1"/>
  <c r="U41" i="45" s="1"/>
  <c r="G82" i="45" a="1"/>
  <c r="G82" i="45" s="1"/>
  <c r="I101" i="33" a="1"/>
  <c r="I101" i="33" s="1"/>
  <c r="AK16" i="44" a="1"/>
  <c r="AK16" i="44" s="1"/>
  <c r="AE76" i="33" a="1"/>
  <c r="AE76" i="33" s="1"/>
  <c r="E82" i="44" a="1"/>
  <c r="E82" i="44" s="1"/>
  <c r="AP37" i="45" a="1"/>
  <c r="AP37" i="45" s="1"/>
  <c r="AO65" i="45" a="1"/>
  <c r="AO65" i="45" s="1"/>
  <c r="AQ103" i="33" a="1"/>
  <c r="AQ103" i="33" s="1"/>
  <c r="V22" i="33" a="1"/>
  <c r="V22" i="33" s="1"/>
  <c r="N101" i="45" a="1"/>
  <c r="N101" i="45" s="1"/>
  <c r="R61" i="44" a="1"/>
  <c r="R61" i="44" s="1"/>
  <c r="V103" i="45" a="1"/>
  <c r="V103" i="45" s="1"/>
  <c r="L49" i="33" a="1"/>
  <c r="L49" i="33" s="1"/>
  <c r="P70" i="45" a="1"/>
  <c r="P70" i="45" s="1"/>
  <c r="Y19" i="33" a="1"/>
  <c r="Y19" i="33" s="1"/>
  <c r="AK68" i="44" a="1"/>
  <c r="AK68" i="44" s="1"/>
  <c r="N40" i="45" a="1"/>
  <c r="N40" i="45" s="1"/>
  <c r="G23" i="33" a="1"/>
  <c r="G23" i="33" s="1"/>
  <c r="F88" i="33" a="1"/>
  <c r="F88" i="33" s="1"/>
  <c r="AL82" i="33" a="1"/>
  <c r="AL82" i="33" s="1"/>
  <c r="P80" i="45" a="1"/>
  <c r="P80" i="45" s="1"/>
  <c r="AL37" i="45" a="1"/>
  <c r="AL37" i="45" s="1"/>
  <c r="R53" i="44" a="1"/>
  <c r="R53" i="44" s="1"/>
  <c r="K19" i="33" a="1"/>
  <c r="K19" i="33" s="1"/>
  <c r="AM71" i="33" a="1"/>
  <c r="AM71" i="33" s="1"/>
  <c r="AM46" i="44" a="1"/>
  <c r="AM46" i="44" s="1"/>
  <c r="C82" i="46" a="1"/>
  <c r="C82" i="46" s="1"/>
  <c r="K94" i="44" a="1"/>
  <c r="K94" i="44" s="1"/>
  <c r="K71" i="45" a="1"/>
  <c r="K71" i="45" s="1"/>
  <c r="AH61" i="33" a="1"/>
  <c r="AH61" i="33" s="1"/>
  <c r="E50" i="33" a="1"/>
  <c r="E50" i="33" s="1"/>
  <c r="O65" i="33" a="1"/>
  <c r="O65" i="33" s="1"/>
  <c r="AP28" i="45" a="1"/>
  <c r="AP28" i="45" s="1"/>
  <c r="O38" i="33" a="1"/>
  <c r="O38" i="33" s="1"/>
  <c r="M52" i="45" a="1"/>
  <c r="M52" i="45" s="1"/>
  <c r="C44" i="46" a="1"/>
  <c r="C44" i="46" s="1"/>
  <c r="V61" i="45" a="1"/>
  <c r="V61" i="45" s="1"/>
  <c r="F68" i="33" a="1"/>
  <c r="F68" i="33" s="1"/>
  <c r="Y28" i="45" a="1"/>
  <c r="Y28" i="45" s="1"/>
  <c r="V79" i="44" a="1"/>
  <c r="V79" i="44" s="1"/>
  <c r="V78" i="44" s="1"/>
  <c r="AE23" i="45" a="1"/>
  <c r="AE23" i="45" s="1"/>
  <c r="T91" i="44" a="1"/>
  <c r="T91" i="44" s="1"/>
  <c r="AJ46" i="33" a="1"/>
  <c r="AJ46" i="33" s="1"/>
  <c r="S25" i="45" a="1"/>
  <c r="S25" i="45" s="1"/>
  <c r="W35" i="33" a="1"/>
  <c r="W35" i="33" s="1"/>
  <c r="Y91" i="44" a="1"/>
  <c r="Y91" i="44" s="1"/>
  <c r="N37" i="44" a="1"/>
  <c r="N37" i="44" s="1"/>
  <c r="C23" i="45" a="1"/>
  <c r="C23" i="45" s="1"/>
  <c r="AP95" i="44" a="1"/>
  <c r="AP95" i="44" s="1"/>
  <c r="AH74" i="44" a="1"/>
  <c r="AH74" i="44" s="1"/>
  <c r="P65" i="33" a="1"/>
  <c r="P65" i="33" s="1"/>
  <c r="U44" i="33" a="1"/>
  <c r="U44" i="33" s="1"/>
  <c r="T65" i="33" a="1"/>
  <c r="T65" i="33" s="1"/>
  <c r="P83" i="44" a="1"/>
  <c r="P83" i="44" s="1"/>
  <c r="G37" i="33" a="1"/>
  <c r="G37" i="33" s="1"/>
  <c r="AM88" i="33" a="1"/>
  <c r="AM88" i="33" s="1"/>
  <c r="AL92" i="45" a="1"/>
  <c r="AL92" i="45" s="1"/>
  <c r="K58" i="33" a="1"/>
  <c r="K58" i="33" s="1"/>
  <c r="AO22" i="33" a="1"/>
  <c r="AO22" i="33" s="1"/>
  <c r="K44" i="45" a="1"/>
  <c r="K44" i="45" s="1"/>
  <c r="C56" i="33" a="1"/>
  <c r="C56" i="33" s="1"/>
  <c r="AP40" i="45" a="1"/>
  <c r="AP40" i="45" s="1"/>
  <c r="N56" i="45" a="1"/>
  <c r="N56" i="45" s="1"/>
  <c r="AB47" i="45" a="1"/>
  <c r="AB47" i="45" s="1"/>
  <c r="AC67" i="45" a="1"/>
  <c r="AC67" i="45" s="1"/>
  <c r="AG17" i="45" a="1"/>
  <c r="AG17" i="45" s="1"/>
  <c r="F76" i="45" a="1"/>
  <c r="F76" i="45" s="1"/>
  <c r="J37" i="33" a="1"/>
  <c r="J37" i="33" s="1"/>
  <c r="K38" i="44" a="1"/>
  <c r="K38" i="44" s="1"/>
  <c r="R49" i="45" a="1"/>
  <c r="R49" i="45" s="1"/>
  <c r="V38" i="45" a="1"/>
  <c r="V38" i="45" s="1"/>
  <c r="P59" i="45" a="1"/>
  <c r="P59" i="45" s="1"/>
  <c r="T80" i="33" a="1"/>
  <c r="T80" i="33" s="1"/>
  <c r="L104" i="33" a="1"/>
  <c r="L104" i="33" s="1"/>
  <c r="V28" i="33" a="1"/>
  <c r="V28" i="33" s="1"/>
  <c r="AC32" i="33" a="1"/>
  <c r="AC32" i="33" s="1"/>
  <c r="AN86" i="33" a="1"/>
  <c r="AN86" i="33" s="1"/>
  <c r="AF76" i="45" a="1"/>
  <c r="AF76" i="45" s="1"/>
  <c r="AE74" i="45" a="1"/>
  <c r="AE74" i="45" s="1"/>
  <c r="C89" i="44" a="1"/>
  <c r="C89" i="44" s="1"/>
  <c r="C62" i="46" a="1"/>
  <c r="C62" i="46" s="1"/>
  <c r="AA83" i="33" a="1"/>
  <c r="AA83" i="33" s="1"/>
  <c r="AB10" i="45" a="1"/>
  <c r="AB10" i="45" s="1"/>
  <c r="AR56" i="45" a="1"/>
  <c r="AR56" i="45" s="1"/>
  <c r="C91" i="47" a="1"/>
  <c r="C91" i="47" s="1"/>
  <c r="R65" i="45" a="1"/>
  <c r="R65" i="45" s="1"/>
  <c r="R63" i="45" s="1"/>
  <c r="U50" i="33" a="1"/>
  <c r="U50" i="33" s="1"/>
  <c r="C49" i="46" a="1"/>
  <c r="C49" i="46" s="1"/>
  <c r="M59" i="44" a="1"/>
  <c r="M59" i="44" s="1"/>
  <c r="N19" i="44" a="1"/>
  <c r="N19" i="44" s="1"/>
  <c r="L71" i="45" a="1"/>
  <c r="L71" i="45" s="1"/>
  <c r="Z73" i="33" a="1"/>
  <c r="Z73" i="33" s="1"/>
  <c r="I50" i="44" a="1"/>
  <c r="I50" i="44" s="1"/>
  <c r="C89" i="43" a="1"/>
  <c r="C89" i="43" s="1"/>
  <c r="C62" i="45" a="1"/>
  <c r="C62" i="45" s="1"/>
  <c r="A61" i="45" s="1"/>
  <c r="AQ47" i="33" a="1"/>
  <c r="AQ47" i="33" s="1"/>
  <c r="H26" i="33" a="1"/>
  <c r="H26" i="33" s="1"/>
  <c r="H26" i="45" a="1"/>
  <c r="H26" i="45" s="1"/>
  <c r="Q68" i="44" a="1"/>
  <c r="Q68" i="44" s="1"/>
  <c r="L67" i="33" a="1"/>
  <c r="L67" i="33" s="1"/>
  <c r="X55" i="33" a="1"/>
  <c r="X55" i="33" s="1"/>
  <c r="Y37" i="44" a="1"/>
  <c r="Y37" i="44" s="1"/>
  <c r="F34" i="45" a="1"/>
  <c r="F34" i="45" s="1"/>
  <c r="U85" i="44" a="1"/>
  <c r="U85" i="44" s="1"/>
  <c r="AC31" i="44" a="1"/>
  <c r="AC31" i="44" s="1"/>
  <c r="S64" i="45" a="1"/>
  <c r="S64" i="45" s="1"/>
  <c r="AK82" i="44" a="1"/>
  <c r="AK82" i="44" s="1"/>
  <c r="R74" i="45" a="1"/>
  <c r="R74" i="45" s="1"/>
  <c r="AK50" i="33" a="1"/>
  <c r="AK50" i="33" s="1"/>
  <c r="F31" i="44" a="1"/>
  <c r="F31" i="44" s="1"/>
  <c r="AL55" i="44" a="1"/>
  <c r="AL55" i="44" s="1"/>
  <c r="AQ61" i="45" a="1"/>
  <c r="AQ61" i="45" s="1"/>
  <c r="AR95" i="33" a="1"/>
  <c r="AR95" i="33" s="1"/>
  <c r="AC103" i="44" a="1"/>
  <c r="AC103" i="44" s="1"/>
  <c r="U80" i="45" a="1"/>
  <c r="U80" i="45" s="1"/>
  <c r="AB29" i="45" a="1"/>
  <c r="AB29" i="45" s="1"/>
  <c r="O74" i="45" a="1"/>
  <c r="O74" i="45" s="1"/>
  <c r="Y77" i="33" a="1"/>
  <c r="Y77" i="33" s="1"/>
  <c r="F79" i="45" a="1"/>
  <c r="F79" i="45" s="1"/>
  <c r="U83" i="44" a="1"/>
  <c r="U83" i="44" s="1"/>
  <c r="U81" i="44" s="1"/>
  <c r="AQ56" i="33" a="1"/>
  <c r="AQ56" i="33" s="1"/>
  <c r="R26" i="44" a="1"/>
  <c r="R26" i="44" s="1"/>
  <c r="V32" i="33" a="1"/>
  <c r="V32" i="33" s="1"/>
  <c r="F65" i="45" a="1"/>
  <c r="F65" i="45" s="1"/>
  <c r="AF26" i="44" a="1"/>
  <c r="AF26" i="44" s="1"/>
  <c r="V43" i="33" a="1"/>
  <c r="V43" i="33" s="1"/>
  <c r="G28" i="44" a="1"/>
  <c r="G28" i="44" s="1"/>
  <c r="AQ55" i="44" a="1"/>
  <c r="AQ55" i="44" s="1"/>
  <c r="K10" i="44" a="1"/>
  <c r="K10" i="44" s="1"/>
  <c r="Y95" i="33" a="1"/>
  <c r="Y95" i="33" s="1"/>
  <c r="Y93" i="33" s="1"/>
  <c r="AQ40" i="33" a="1"/>
  <c r="AQ40" i="33" s="1"/>
  <c r="AN32" i="44" a="1"/>
  <c r="AN32" i="44" s="1"/>
  <c r="AL10" i="44" a="1"/>
  <c r="AL10" i="44" s="1"/>
  <c r="L35" i="33" a="1"/>
  <c r="L35" i="33" s="1"/>
  <c r="M52" i="33" a="1"/>
  <c r="M52" i="33" s="1"/>
  <c r="G50" i="33" a="1"/>
  <c r="G50" i="33" s="1"/>
  <c r="W89" i="33" a="1"/>
  <c r="W89" i="33" s="1"/>
  <c r="W87" i="33" s="1"/>
  <c r="AJ67" i="45" a="1"/>
  <c r="AJ67" i="45" s="1"/>
  <c r="AJ66" i="45" s="1"/>
  <c r="AM56" i="33" a="1"/>
  <c r="AM56" i="33" s="1"/>
  <c r="AM54" i="33" s="1"/>
  <c r="AH34" i="44" a="1"/>
  <c r="AH34" i="44" s="1"/>
  <c r="AO103" i="33" a="1"/>
  <c r="AO103" i="33" s="1"/>
  <c r="AN73" i="44" a="1"/>
  <c r="AN73" i="44" s="1"/>
  <c r="Q40" i="33" a="1"/>
  <c r="Q40" i="33" s="1"/>
  <c r="AG55" i="33" a="1"/>
  <c r="AG55" i="33" s="1"/>
  <c r="AO46" i="33" a="1"/>
  <c r="AO46" i="33" s="1"/>
  <c r="AL11" i="33" a="1"/>
  <c r="AL11" i="33" s="1"/>
  <c r="AD20" i="44" a="1"/>
  <c r="AD20" i="44" s="1"/>
  <c r="AK85" i="45" a="1"/>
  <c r="AK85" i="45" s="1"/>
  <c r="H86" i="45" a="1"/>
  <c r="H86" i="45" s="1"/>
  <c r="K70" i="45" a="1"/>
  <c r="K70" i="45" s="1"/>
  <c r="S95" i="33" a="1"/>
  <c r="S95" i="33" s="1"/>
  <c r="AJ46" i="44" a="1"/>
  <c r="AJ46" i="44" s="1"/>
  <c r="AJ45" i="44" s="1"/>
  <c r="U22" i="45" a="1"/>
  <c r="U22" i="45" s="1"/>
  <c r="C88" i="46" a="1"/>
  <c r="C88" i="46" s="1"/>
  <c r="C77" i="43" a="1"/>
  <c r="C77" i="43" s="1"/>
  <c r="AG29" i="44" a="1"/>
  <c r="AG29" i="44" s="1"/>
  <c r="P88" i="44" a="1"/>
  <c r="P88" i="44" s="1"/>
  <c r="AJ31" i="45" a="1"/>
  <c r="AJ31" i="45" s="1"/>
  <c r="AG26" i="44" a="1"/>
  <c r="AG26" i="44" s="1"/>
  <c r="P86" i="44" a="1"/>
  <c r="P86" i="44" s="1"/>
  <c r="P35" i="44" a="1"/>
  <c r="P35" i="44" s="1"/>
  <c r="AG10" i="44" a="1"/>
  <c r="AG10" i="44" s="1"/>
  <c r="AH71" i="33" a="1"/>
  <c r="AH71" i="33" s="1"/>
  <c r="I50" i="45" a="1"/>
  <c r="I50" i="45" s="1"/>
  <c r="AG32" i="33" a="1"/>
  <c r="AG32" i="33" s="1"/>
  <c r="AO53" i="33" a="1"/>
  <c r="AO53" i="33" s="1"/>
  <c r="V88" i="45" a="1"/>
  <c r="V88" i="45" s="1"/>
  <c r="Z44" i="33" a="1"/>
  <c r="Z44" i="33" s="1"/>
  <c r="AN20" i="45" a="1"/>
  <c r="AN20" i="45" s="1"/>
  <c r="AE28" i="33" a="1"/>
  <c r="AE28" i="33" s="1"/>
  <c r="K37" i="33" a="1"/>
  <c r="K37" i="33" s="1"/>
  <c r="AQ53" i="44" a="1"/>
  <c r="AQ53" i="44" s="1"/>
  <c r="S94" i="45" a="1"/>
  <c r="S94" i="45" s="1"/>
  <c r="AI91" i="44" a="1"/>
  <c r="AI91" i="44" s="1"/>
  <c r="V77" i="45" a="1"/>
  <c r="V77" i="45" s="1"/>
  <c r="AQ89" i="33" a="1"/>
  <c r="AQ89" i="33" s="1"/>
  <c r="C97" i="47" a="1"/>
  <c r="C97" i="47" s="1"/>
  <c r="A97" i="47" s="1"/>
  <c r="M62" i="33" a="1"/>
  <c r="M62" i="33" s="1"/>
  <c r="AI79" i="33" a="1"/>
  <c r="AI79" i="33" s="1"/>
  <c r="J80" i="45" a="1"/>
  <c r="J80" i="45" s="1"/>
  <c r="V59" i="44" a="1"/>
  <c r="V59" i="44" s="1"/>
  <c r="C64" i="45" a="1"/>
  <c r="C64" i="45" s="1"/>
  <c r="AI26" i="44" a="1"/>
  <c r="AI26" i="44" s="1"/>
  <c r="AC79" i="33" a="1"/>
  <c r="AC79" i="33" s="1"/>
  <c r="O61" i="33" a="1"/>
  <c r="O61" i="33" s="1"/>
  <c r="AB73" i="44" a="1"/>
  <c r="AB73" i="44" s="1"/>
  <c r="AR17" i="44" a="1"/>
  <c r="AR17" i="44" s="1"/>
  <c r="H76" i="44" a="1"/>
  <c r="H76" i="44" s="1"/>
  <c r="AG35" i="45" a="1"/>
  <c r="AG35" i="45" s="1"/>
  <c r="H38" i="33" a="1"/>
  <c r="H38" i="33" s="1"/>
  <c r="O83" i="44" a="1"/>
  <c r="O83" i="44" s="1"/>
  <c r="P62" i="33" a="1"/>
  <c r="P62" i="33" s="1"/>
  <c r="T40" i="45" a="1"/>
  <c r="T40" i="45" s="1"/>
  <c r="C46" i="45" a="1"/>
  <c r="C46" i="45" s="1"/>
  <c r="A46" i="45" s="1"/>
  <c r="Y52" i="44" a="1"/>
  <c r="Y52" i="44" s="1"/>
  <c r="AH37" i="44" a="1"/>
  <c r="AH37" i="44" s="1"/>
  <c r="M11" i="33" a="1"/>
  <c r="M11" i="33" s="1"/>
  <c r="Z67" i="33" a="1"/>
  <c r="Z67" i="33" s="1"/>
  <c r="E86" i="44" a="1"/>
  <c r="E86" i="44" s="1"/>
  <c r="AI20" i="33" a="1"/>
  <c r="AI20" i="33" s="1"/>
  <c r="AJ29" i="33" a="1"/>
  <c r="AJ29" i="33" s="1"/>
  <c r="F17" i="45" a="1"/>
  <c r="F17" i="45" s="1"/>
  <c r="H22" i="33" a="1"/>
  <c r="H22" i="33" s="1"/>
  <c r="AR23" i="44" a="1"/>
  <c r="AR23" i="44" s="1"/>
  <c r="AI38" i="45" a="1"/>
  <c r="AI38" i="45" s="1"/>
  <c r="T95" i="33" a="1"/>
  <c r="T95" i="33" s="1"/>
  <c r="AI49" i="44" a="1"/>
  <c r="AI49" i="44" s="1"/>
  <c r="X37" i="44" a="1"/>
  <c r="X37" i="44" s="1"/>
  <c r="W10" i="44" a="1"/>
  <c r="W10" i="44" s="1"/>
  <c r="O11" i="45" a="1"/>
  <c r="O11" i="45" s="1"/>
  <c r="K28" i="45" a="1"/>
  <c r="K28" i="45" s="1"/>
  <c r="AN19" i="44" a="1"/>
  <c r="AN19" i="44" s="1"/>
  <c r="G34" i="45" a="1"/>
  <c r="G34" i="45" s="1"/>
  <c r="AI32" i="44" a="1"/>
  <c r="AI32" i="44" s="1"/>
  <c r="X53" i="44" a="1"/>
  <c r="X53" i="44" s="1"/>
  <c r="S56" i="33" a="1"/>
  <c r="S56" i="33" s="1"/>
  <c r="E16" i="45" a="1"/>
  <c r="E16" i="45" s="1"/>
  <c r="G58" i="45" a="1"/>
  <c r="G58" i="45" s="1"/>
  <c r="X70" i="44" a="1"/>
  <c r="X70" i="44" s="1"/>
  <c r="Y49" i="33" a="1"/>
  <c r="Y49" i="33" s="1"/>
  <c r="I55" i="33" a="1"/>
  <c r="I55" i="33" s="1"/>
  <c r="AK103" i="44" a="1"/>
  <c r="AK103" i="44" s="1"/>
  <c r="AG83" i="33" a="1"/>
  <c r="AG83" i="33" s="1"/>
  <c r="AM77" i="33" a="1"/>
  <c r="AM77" i="33" s="1"/>
  <c r="Q16" i="45" a="1"/>
  <c r="Q16" i="45" s="1"/>
  <c r="AK53" i="45" a="1"/>
  <c r="AK53" i="45" s="1"/>
  <c r="AQ65" i="44" a="1"/>
  <c r="AQ65" i="44" s="1"/>
  <c r="X38" i="33" a="1"/>
  <c r="X38" i="33" s="1"/>
  <c r="F17" i="33" a="1"/>
  <c r="F17" i="33" s="1"/>
  <c r="F15" i="33" s="1"/>
  <c r="AC26" i="45" a="1"/>
  <c r="AC26" i="45" s="1"/>
  <c r="AI47" i="44" a="1"/>
  <c r="AI47" i="44" s="1"/>
  <c r="N26" i="45" a="1"/>
  <c r="N26" i="45" s="1"/>
  <c r="AJ61" i="33" a="1"/>
  <c r="AJ61" i="33" s="1"/>
  <c r="AG68" i="44" a="1"/>
  <c r="AG68" i="44" s="1"/>
  <c r="AB25" i="45" a="1"/>
  <c r="AB25" i="45" s="1"/>
  <c r="U49" i="33" a="1"/>
  <c r="U49" i="33" s="1"/>
  <c r="E68" i="33" a="1"/>
  <c r="E68" i="33" s="1"/>
  <c r="H32" i="33" a="1"/>
  <c r="H32" i="33" s="1"/>
  <c r="T73" i="45" a="1"/>
  <c r="T73" i="45" s="1"/>
  <c r="M26" i="44" a="1"/>
  <c r="M26" i="44" s="1"/>
  <c r="U16" i="33" a="1"/>
  <c r="U16" i="33" s="1"/>
  <c r="AE23" i="44" a="1"/>
  <c r="AE23" i="44" s="1"/>
  <c r="N23" i="45" a="1"/>
  <c r="N23" i="45" s="1"/>
  <c r="W77" i="45" a="1"/>
  <c r="W77" i="45" s="1"/>
  <c r="S64" i="33" a="1"/>
  <c r="S64" i="33" s="1"/>
  <c r="V103" i="44" a="1"/>
  <c r="V103" i="44" s="1"/>
  <c r="AF73" i="33" a="1"/>
  <c r="AF73" i="33" s="1"/>
  <c r="AR52" i="44" a="1"/>
  <c r="AR52" i="44" s="1"/>
  <c r="Y38" i="44" a="1"/>
  <c r="Y38" i="44" s="1"/>
  <c r="E56" i="45" a="1"/>
  <c r="E56" i="45" s="1"/>
  <c r="AN71" i="33" a="1"/>
  <c r="AN71" i="33" s="1"/>
  <c r="AC64" i="33" a="1"/>
  <c r="AC64" i="33" s="1"/>
  <c r="J20" i="45" a="1"/>
  <c r="J20" i="45" s="1"/>
  <c r="AI65" i="44" a="1"/>
  <c r="AI65" i="44" s="1"/>
  <c r="G17" i="45" a="1"/>
  <c r="G17" i="45" s="1"/>
  <c r="S50" i="45" a="1"/>
  <c r="S50" i="45" s="1"/>
  <c r="Q50" i="44" a="1"/>
  <c r="Q50" i="44" s="1"/>
  <c r="I98" i="33" a="1"/>
  <c r="I98" i="33" s="1"/>
  <c r="AM49" i="45" a="1"/>
  <c r="AM49" i="45" s="1"/>
  <c r="C74" i="42" a="1"/>
  <c r="C74" i="42" s="1"/>
  <c r="U28" i="45" a="1"/>
  <c r="U28" i="45" s="1"/>
  <c r="AP71" i="33" a="1"/>
  <c r="AP71" i="33" s="1"/>
  <c r="AL86" i="44" a="1"/>
  <c r="AL86" i="44" s="1"/>
  <c r="K34" i="33" a="1"/>
  <c r="K34" i="33" s="1"/>
  <c r="AQ52" i="44" a="1"/>
  <c r="AQ52" i="44" s="1"/>
  <c r="V53" i="33" a="1"/>
  <c r="V53" i="33" s="1"/>
  <c r="E77" i="44" a="1"/>
  <c r="E77" i="44" s="1"/>
  <c r="AQ23" i="33" a="1"/>
  <c r="AQ23" i="33" s="1"/>
  <c r="Y73" i="44" a="1"/>
  <c r="Y73" i="44" s="1"/>
  <c r="M94" i="44" a="1"/>
  <c r="M94" i="44" s="1"/>
  <c r="AI70" i="33" a="1"/>
  <c r="AI70" i="33" s="1"/>
  <c r="AD104" i="33" a="1"/>
  <c r="AD104" i="33" s="1"/>
  <c r="AR40" i="45" a="1"/>
  <c r="AR40" i="45" s="1"/>
  <c r="AL82" i="44" a="1"/>
  <c r="AL82" i="44" s="1"/>
  <c r="J101" i="44" a="1"/>
  <c r="J101" i="44" s="1"/>
  <c r="K10" i="45" a="1"/>
  <c r="K10" i="45" s="1"/>
  <c r="G38" i="44" a="1"/>
  <c r="G38" i="44" s="1"/>
  <c r="O49" i="33" a="1"/>
  <c r="O49" i="33" s="1"/>
  <c r="AI103" i="44" a="1"/>
  <c r="AI103" i="44" s="1"/>
  <c r="O62" i="33" a="1"/>
  <c r="O62" i="33" s="1"/>
  <c r="AN41" i="44" a="1"/>
  <c r="AN41" i="44" s="1"/>
  <c r="X100" i="44" a="1"/>
  <c r="X100" i="44" s="1"/>
  <c r="M67" i="33" a="1"/>
  <c r="M67" i="33" s="1"/>
  <c r="AK20" i="33" a="1"/>
  <c r="AK20" i="33" s="1"/>
  <c r="AL44" i="45" a="1"/>
  <c r="AL44" i="45" s="1"/>
  <c r="W62" i="45" a="1"/>
  <c r="W62" i="45" s="1"/>
  <c r="W60" i="45" s="1"/>
  <c r="R55" i="45" a="1"/>
  <c r="R55" i="45" s="1"/>
  <c r="AI62" i="33" a="1"/>
  <c r="AI62" i="33" s="1"/>
  <c r="AB59" i="44" a="1"/>
  <c r="AB59" i="44" s="1"/>
  <c r="AC41" i="45" a="1"/>
  <c r="AC41" i="45" s="1"/>
  <c r="Q70" i="45" a="1"/>
  <c r="Q70" i="45" s="1"/>
  <c r="AD37" i="44" a="1"/>
  <c r="AD37" i="44" s="1"/>
  <c r="H97" i="45" a="1"/>
  <c r="H97" i="45" s="1"/>
  <c r="AO31" i="33" a="1"/>
  <c r="AO31" i="33" s="1"/>
  <c r="O86" i="33" a="1"/>
  <c r="O86" i="33" s="1"/>
  <c r="AI104" i="33" a="1"/>
  <c r="AI104" i="33" s="1"/>
  <c r="AI102" i="33" s="1"/>
  <c r="E76" i="33" a="1"/>
  <c r="E76" i="33" s="1"/>
  <c r="K41" i="33" a="1"/>
  <c r="K41" i="33" s="1"/>
  <c r="AR43" i="33" a="1"/>
  <c r="AR43" i="33" s="1"/>
  <c r="AO94" i="44" a="1"/>
  <c r="AO94" i="44" s="1"/>
  <c r="K38" i="33" a="1"/>
  <c r="K38" i="33" s="1"/>
  <c r="AL23" i="44" a="1"/>
  <c r="AL23" i="44" s="1"/>
  <c r="AF82" i="33" a="1"/>
  <c r="AF82" i="33" s="1"/>
  <c r="N94" i="45" a="1"/>
  <c r="N94" i="45" s="1"/>
  <c r="H70" i="44" a="1"/>
  <c r="H70" i="44" s="1"/>
  <c r="H69" i="44" s="1"/>
  <c r="AN38" i="44" a="1"/>
  <c r="AN38" i="44" s="1"/>
  <c r="AE46" i="44" a="1"/>
  <c r="AE46" i="44" s="1"/>
  <c r="M76" i="44" a="1"/>
  <c r="M76" i="44" s="1"/>
  <c r="AI82" i="44" a="1"/>
  <c r="AI82" i="44" s="1"/>
  <c r="E77" i="33" a="1"/>
  <c r="E77" i="33" s="1"/>
  <c r="F101" i="45" a="1"/>
  <c r="F101" i="45" s="1"/>
  <c r="C70" i="44" a="1"/>
  <c r="C70" i="44" s="1"/>
  <c r="C34" i="33" a="1"/>
  <c r="C34" i="33" s="1"/>
  <c r="W41" i="45" a="1"/>
  <c r="W41" i="45" s="1"/>
  <c r="AD53" i="33" a="1"/>
  <c r="AD53" i="33" s="1"/>
  <c r="H31" i="45" a="1"/>
  <c r="H31" i="45" s="1"/>
  <c r="AP65" i="33" a="1"/>
  <c r="AP65" i="33" s="1"/>
  <c r="G55" i="33" a="1"/>
  <c r="G55" i="33" s="1"/>
  <c r="Q16" i="44" a="1"/>
  <c r="Q16" i="44" s="1"/>
  <c r="AP95" i="33" a="1"/>
  <c r="AP95" i="33" s="1"/>
  <c r="AQ55" i="33" a="1"/>
  <c r="AQ55" i="33" s="1"/>
  <c r="Y100" i="33" a="1"/>
  <c r="Y100" i="33" s="1"/>
  <c r="AN49" i="44" a="1"/>
  <c r="AN49" i="44" s="1"/>
  <c r="AG101" i="33" a="1"/>
  <c r="AG101" i="33" s="1"/>
  <c r="H82" i="45" a="1"/>
  <c r="H82" i="45" s="1"/>
  <c r="H81" i="45" s="1"/>
  <c r="O77" i="33" a="1"/>
  <c r="O77" i="33" s="1"/>
  <c r="AL34" i="33" a="1"/>
  <c r="AL34" i="33" s="1"/>
  <c r="AR101" i="33" a="1"/>
  <c r="AR101" i="33" s="1"/>
  <c r="F62" i="45" a="1"/>
  <c r="F62" i="45" s="1"/>
  <c r="AD79" i="33" a="1"/>
  <c r="AD79" i="33" s="1"/>
  <c r="M28" i="33" a="1"/>
  <c r="M28" i="33" s="1"/>
  <c r="M73" i="45" a="1"/>
  <c r="M73" i="45" s="1"/>
  <c r="G26" i="45" a="1"/>
  <c r="G26" i="45" s="1"/>
  <c r="K89" i="45" a="1"/>
  <c r="K89" i="45" s="1"/>
  <c r="H89" i="44" a="1"/>
  <c r="H89" i="44" s="1"/>
  <c r="AO22" i="45" a="1"/>
  <c r="AO22" i="45" s="1"/>
  <c r="X88" i="45" a="1"/>
  <c r="X88" i="45" s="1"/>
  <c r="C59" i="43" a="1"/>
  <c r="C59" i="43" s="1"/>
  <c r="S55" i="45" a="1"/>
  <c r="S55" i="45" s="1"/>
  <c r="AO74" i="33" a="1"/>
  <c r="AO74" i="33" s="1"/>
  <c r="AD67" i="33" a="1"/>
  <c r="AD67" i="33" s="1"/>
  <c r="L50" i="33" a="1"/>
  <c r="L50" i="33" s="1"/>
  <c r="AF20" i="45" a="1"/>
  <c r="AF20" i="45" s="1"/>
  <c r="F61" i="44" a="1"/>
  <c r="F61" i="44" s="1"/>
  <c r="AF94" i="45" a="1"/>
  <c r="AF94" i="45" s="1"/>
  <c r="N34" i="45" a="1"/>
  <c r="N34" i="45" s="1"/>
  <c r="AN34" i="45" a="1"/>
  <c r="AN34" i="45" s="1"/>
  <c r="AJ23" i="44" a="1"/>
  <c r="AJ23" i="44" s="1"/>
  <c r="K41" i="45" a="1"/>
  <c r="K41" i="45" s="1"/>
  <c r="AO23" i="33" a="1"/>
  <c r="AO23" i="33" s="1"/>
  <c r="Q20" i="33" a="1"/>
  <c r="Q20" i="33" s="1"/>
  <c r="AE82" i="44" a="1"/>
  <c r="AE82" i="44" s="1"/>
  <c r="AJ62" i="45" a="1"/>
  <c r="AJ62" i="45" s="1"/>
  <c r="AD43" i="33" a="1"/>
  <c r="AD43" i="33" s="1"/>
  <c r="U31" i="44" a="1"/>
  <c r="U31" i="44" s="1"/>
  <c r="C100" i="42" a="1"/>
  <c r="C100" i="42" s="1"/>
  <c r="H67" i="44" a="1"/>
  <c r="H67" i="44" s="1"/>
  <c r="W38" i="33" a="1"/>
  <c r="W38" i="33" s="1"/>
  <c r="AL65" i="44" a="1"/>
  <c r="AL65" i="44" s="1"/>
  <c r="AJ73" i="33" a="1"/>
  <c r="AJ73" i="33" s="1"/>
  <c r="L91" i="33" a="1"/>
  <c r="L91" i="33" s="1"/>
  <c r="J67" i="44" a="1"/>
  <c r="J67" i="44" s="1"/>
  <c r="Y17" i="33" a="1"/>
  <c r="Y17" i="33" s="1"/>
  <c r="Q101" i="44" a="1"/>
  <c r="Q101" i="44" s="1"/>
  <c r="AM74" i="33" a="1"/>
  <c r="AM74" i="33" s="1"/>
  <c r="I28" i="44" a="1"/>
  <c r="I28" i="44" s="1"/>
  <c r="H91" i="44" a="1"/>
  <c r="H91" i="44" s="1"/>
  <c r="AP91" i="33" a="1"/>
  <c r="AP91" i="33" s="1"/>
  <c r="AP100" i="44" a="1"/>
  <c r="AP100" i="44" s="1"/>
  <c r="Y97" i="33" a="1"/>
  <c r="Y97" i="33" s="1"/>
  <c r="AD52" i="33" a="1"/>
  <c r="AD52" i="33" s="1"/>
  <c r="AC86" i="45" a="1"/>
  <c r="AC86" i="45" s="1"/>
  <c r="AB80" i="45" a="1"/>
  <c r="AB80" i="45" s="1"/>
  <c r="O92" i="33" a="1"/>
  <c r="O92" i="33" s="1"/>
  <c r="S89" i="45" a="1"/>
  <c r="S89" i="45" s="1"/>
  <c r="AR83" i="33" a="1"/>
  <c r="AR83" i="33" s="1"/>
  <c r="I29" i="45" a="1"/>
  <c r="I29" i="45" s="1"/>
  <c r="F59" i="45" a="1"/>
  <c r="F59" i="45" s="1"/>
  <c r="J37" i="45" a="1"/>
  <c r="J37" i="45" s="1"/>
  <c r="L37" i="33" a="1"/>
  <c r="L37" i="33" s="1"/>
  <c r="L79" i="45" a="1"/>
  <c r="L79" i="45" s="1"/>
  <c r="AO49" i="45" a="1"/>
  <c r="AO49" i="45" s="1"/>
  <c r="Q85" i="33" a="1"/>
  <c r="Q85" i="33" s="1"/>
  <c r="AH16" i="33" a="1"/>
  <c r="AH16" i="33" s="1"/>
  <c r="U94" i="44" a="1"/>
  <c r="U94" i="44" s="1"/>
  <c r="AF43" i="45" a="1"/>
  <c r="AF43" i="45" s="1"/>
  <c r="U44" i="44" a="1"/>
  <c r="U44" i="44" s="1"/>
  <c r="AR17" i="33" a="1"/>
  <c r="AR17" i="33" s="1"/>
  <c r="E85" i="33" a="1"/>
  <c r="E85" i="33" s="1"/>
  <c r="Q25" i="45" a="1"/>
  <c r="Q25" i="45" s="1"/>
  <c r="AM28" i="44" a="1"/>
  <c r="AM28" i="44" s="1"/>
  <c r="AG82" i="45" a="1"/>
  <c r="AG82" i="45" s="1"/>
  <c r="AP94" i="45" a="1"/>
  <c r="AP94" i="45" s="1"/>
  <c r="AQ20" i="33" a="1"/>
  <c r="AQ20" i="33" s="1"/>
  <c r="AR82" i="33" a="1"/>
  <c r="AR82" i="33" s="1"/>
  <c r="AC64" i="45" a="1"/>
  <c r="AC64" i="45" s="1"/>
  <c r="N71" i="44" a="1"/>
  <c r="N71" i="44" s="1"/>
  <c r="S68" i="45" a="1"/>
  <c r="S68" i="45" s="1"/>
  <c r="F65" i="33" a="1"/>
  <c r="F65" i="33" s="1"/>
  <c r="I89" i="33" a="1"/>
  <c r="I89" i="33" s="1"/>
  <c r="AC41" i="33" a="1"/>
  <c r="AC41" i="33" s="1"/>
  <c r="H34" i="44" a="1"/>
  <c r="H34" i="44" s="1"/>
  <c r="I58" i="33" a="1"/>
  <c r="I58" i="33" s="1"/>
  <c r="U100" i="44" a="1"/>
  <c r="U100" i="44" s="1"/>
  <c r="C98" i="42" a="1"/>
  <c r="C98" i="42" s="1"/>
  <c r="AE56" i="33" a="1"/>
  <c r="AE56" i="33" s="1"/>
  <c r="AQ62" i="45" a="1"/>
  <c r="AQ62" i="45" s="1"/>
  <c r="Z88" i="33" a="1"/>
  <c r="Z88" i="33" s="1"/>
  <c r="C95" i="46" a="1"/>
  <c r="C95" i="46" s="1"/>
  <c r="S29" i="44" a="1"/>
  <c r="S29" i="44" s="1"/>
  <c r="AE55" i="33" a="1"/>
  <c r="AE55" i="33" s="1"/>
  <c r="AC77" i="45" a="1"/>
  <c r="AC77" i="45" s="1"/>
  <c r="AP49" i="33" a="1"/>
  <c r="AP49" i="33" s="1"/>
  <c r="C97" i="46" a="1"/>
  <c r="C97" i="46" s="1"/>
  <c r="K88" i="45" a="1"/>
  <c r="K88" i="45" s="1"/>
  <c r="AD35" i="44" a="1"/>
  <c r="AD35" i="44" s="1"/>
  <c r="U68" i="33" a="1"/>
  <c r="U68" i="33" s="1"/>
  <c r="U23" i="44" a="1"/>
  <c r="U23" i="44" s="1"/>
  <c r="T68" i="33" a="1"/>
  <c r="T68" i="33" s="1"/>
  <c r="M68" i="33" a="1"/>
  <c r="M68" i="33" s="1"/>
  <c r="H29" i="33" a="1"/>
  <c r="H29" i="33" s="1"/>
  <c r="K53" i="33" a="1"/>
  <c r="K53" i="33" s="1"/>
  <c r="AK11" i="45" a="1"/>
  <c r="AK11" i="45" s="1"/>
  <c r="AO89" i="44" a="1"/>
  <c r="AO89" i="44" s="1"/>
  <c r="C44" i="42" a="1"/>
  <c r="C44" i="42" s="1"/>
  <c r="AN44" i="45" a="1"/>
  <c r="AN44" i="45" s="1"/>
  <c r="AL77" i="33" a="1"/>
  <c r="AL77" i="33" s="1"/>
  <c r="O56" i="33" a="1"/>
  <c r="O56" i="33" s="1"/>
  <c r="AI17" i="33" a="1"/>
  <c r="AI17" i="33" s="1"/>
  <c r="AE74" i="33" a="1"/>
  <c r="AE74" i="33" s="1"/>
  <c r="O104" i="45" a="1"/>
  <c r="O104" i="45" s="1"/>
  <c r="AE67" i="44" a="1"/>
  <c r="AE67" i="44" s="1"/>
  <c r="AD26" i="33" a="1"/>
  <c r="AD26" i="33" s="1"/>
  <c r="E85" i="45" a="1"/>
  <c r="E85" i="45" s="1"/>
  <c r="AC58" i="33" a="1"/>
  <c r="AC58" i="33" s="1"/>
  <c r="AG49" i="45" a="1"/>
  <c r="AG49" i="45" s="1"/>
  <c r="AE53" i="33" a="1"/>
  <c r="AE53" i="33" s="1"/>
  <c r="AP44" i="45" a="1"/>
  <c r="AP44" i="45" s="1"/>
  <c r="AK47" i="45" a="1"/>
  <c r="AK47" i="45" s="1"/>
  <c r="AB32" i="44" a="1"/>
  <c r="AB32" i="44" s="1"/>
  <c r="AM68" i="33" a="1"/>
  <c r="AM68" i="33" s="1"/>
  <c r="AD104" i="44" a="1"/>
  <c r="AD104" i="44" s="1"/>
  <c r="O65" i="45" a="1"/>
  <c r="O65" i="45" s="1"/>
  <c r="T65" i="45" a="1"/>
  <c r="T65" i="45" s="1"/>
  <c r="AR26" i="44" a="1"/>
  <c r="AR26" i="44" s="1"/>
  <c r="P46" i="44" a="1"/>
  <c r="P46" i="44" s="1"/>
  <c r="P45" i="44" s="1"/>
  <c r="J83" i="45" a="1"/>
  <c r="J83" i="45" s="1"/>
  <c r="AK17" i="33" a="1"/>
  <c r="AK17" i="33" s="1"/>
  <c r="P98" i="44" a="1"/>
  <c r="P98" i="44" s="1"/>
  <c r="R19" i="45" a="1"/>
  <c r="R19" i="45" s="1"/>
  <c r="M64" i="33" a="1"/>
  <c r="M64" i="33" s="1"/>
  <c r="AF23" i="44" a="1"/>
  <c r="AF23" i="44" s="1"/>
  <c r="X104" i="44" a="1"/>
  <c r="X104" i="44" s="1"/>
  <c r="AK97" i="45" a="1"/>
  <c r="AK97" i="45" s="1"/>
  <c r="R10" i="45" a="1"/>
  <c r="R10" i="45" s="1"/>
  <c r="R22" i="45" a="1"/>
  <c r="R22" i="45" s="1"/>
  <c r="AR77" i="33" a="1"/>
  <c r="AR77" i="33" s="1"/>
  <c r="AR56" i="33" a="1"/>
  <c r="AR56" i="33" s="1"/>
  <c r="AM77" i="45" a="1"/>
  <c r="AM77" i="45" s="1"/>
  <c r="F53" i="44" a="1"/>
  <c r="F53" i="44" s="1"/>
  <c r="AJ47" i="33" a="1"/>
  <c r="AJ47" i="33" s="1"/>
  <c r="AA23" i="33" a="1"/>
  <c r="AA23" i="33" s="1"/>
  <c r="Y35" i="44" a="1"/>
  <c r="Y35" i="44" s="1"/>
  <c r="AL70" i="45" a="1"/>
  <c r="AL70" i="45" s="1"/>
  <c r="C49" i="42" a="1"/>
  <c r="C49" i="42" s="1"/>
  <c r="AL26" i="45" a="1"/>
  <c r="AL26" i="45" s="1"/>
  <c r="AB86" i="33" a="1"/>
  <c r="AB86" i="33" s="1"/>
  <c r="M103" i="44" a="1"/>
  <c r="M103" i="44" s="1"/>
  <c r="AQ32" i="45" a="1"/>
  <c r="AQ32" i="45" s="1"/>
  <c r="R91" i="44" a="1"/>
  <c r="R91" i="44" s="1"/>
  <c r="AL76" i="44" a="1"/>
  <c r="AL76" i="44" s="1"/>
  <c r="AJ92" i="45" a="1"/>
  <c r="AJ92" i="45" s="1"/>
  <c r="AQ29" i="45" a="1"/>
  <c r="AQ29" i="45" s="1"/>
  <c r="X98" i="33" a="1"/>
  <c r="X98" i="33" s="1"/>
  <c r="AO104" i="33" a="1"/>
  <c r="AO104" i="33" s="1"/>
  <c r="AR95" i="44" a="1"/>
  <c r="AR95" i="44" s="1"/>
  <c r="J49" i="45" a="1"/>
  <c r="J49" i="45" s="1"/>
  <c r="V82" i="45" a="1"/>
  <c r="V82" i="45" s="1"/>
  <c r="AI71" i="33" a="1"/>
  <c r="AI71" i="33" s="1"/>
  <c r="Q70" i="33" a="1"/>
  <c r="Q70" i="33" s="1"/>
  <c r="M55" i="45" a="1"/>
  <c r="M55" i="45" s="1"/>
  <c r="C17" i="46" a="1"/>
  <c r="C17" i="46" s="1"/>
  <c r="AF70" i="45" a="1"/>
  <c r="AF70" i="45" s="1"/>
  <c r="L98" i="33" a="1"/>
  <c r="L98" i="33" s="1"/>
  <c r="V17" i="45" a="1"/>
  <c r="V17" i="45" s="1"/>
  <c r="AF41" i="45" a="1"/>
  <c r="AF41" i="45" s="1"/>
  <c r="AE52" i="45" a="1"/>
  <c r="AE52" i="45" s="1"/>
  <c r="G34" i="33" a="1"/>
  <c r="G34" i="33" s="1"/>
  <c r="AK56" i="45" a="1"/>
  <c r="AK56" i="45" s="1"/>
  <c r="AK62" i="33" a="1"/>
  <c r="AK62" i="33" s="1"/>
  <c r="U37" i="45" a="1"/>
  <c r="U37" i="45" s="1"/>
  <c r="AF32" i="45" a="1"/>
  <c r="AF32" i="45" s="1"/>
  <c r="AG56" i="33" a="1"/>
  <c r="AG56" i="33" s="1"/>
  <c r="AJ52" i="44" a="1"/>
  <c r="AJ52" i="44" s="1"/>
  <c r="AE35" i="33" a="1"/>
  <c r="AE35" i="33" s="1"/>
  <c r="T29" i="44" a="1"/>
  <c r="T29" i="44" s="1"/>
  <c r="X32" i="45" a="1"/>
  <c r="X32" i="45" s="1"/>
  <c r="U32" i="44" a="1"/>
  <c r="U32" i="44" s="1"/>
  <c r="AK11" i="33" a="1"/>
  <c r="AK11" i="33" s="1"/>
  <c r="AG61" i="44" a="1"/>
  <c r="AG61" i="44" s="1"/>
  <c r="AG32" i="45" a="1"/>
  <c r="AG32" i="45" s="1"/>
  <c r="S10" i="44" a="1"/>
  <c r="S10" i="44" s="1"/>
  <c r="F80" i="45" a="1"/>
  <c r="F80" i="45" s="1"/>
  <c r="M41" i="45" a="1"/>
  <c r="M41" i="45" s="1"/>
  <c r="V31" i="45" a="1"/>
  <c r="V31" i="45" s="1"/>
  <c r="AB38" i="33" a="1"/>
  <c r="AB38" i="33" s="1"/>
  <c r="AG50" i="33" a="1"/>
  <c r="AG50" i="33" s="1"/>
  <c r="N100" i="33" a="1"/>
  <c r="N100" i="33" s="1"/>
  <c r="U25" i="45" a="1"/>
  <c r="U25" i="45" s="1"/>
  <c r="E46" i="45" a="1"/>
  <c r="E46" i="45" s="1"/>
  <c r="AQ64" i="33" a="1"/>
  <c r="AQ64" i="33" s="1"/>
  <c r="AL19" i="44" a="1"/>
  <c r="AL19" i="44" s="1"/>
  <c r="AJ25" i="44" a="1"/>
  <c r="AJ25" i="44" s="1"/>
  <c r="AG98" i="45" a="1"/>
  <c r="AG98" i="45" s="1"/>
  <c r="AN92" i="33" a="1"/>
  <c r="AN92" i="33" s="1"/>
  <c r="Y89" i="44" a="1"/>
  <c r="Y89" i="44" s="1"/>
  <c r="AM59" i="44" a="1"/>
  <c r="AM59" i="44" s="1"/>
  <c r="AA61" i="44" a="1"/>
  <c r="AA61" i="44" s="1"/>
  <c r="AF19" i="33" a="1"/>
  <c r="AF19" i="33" s="1"/>
  <c r="R67" i="44" a="1"/>
  <c r="R67" i="44" s="1"/>
  <c r="Q26" i="33" a="1"/>
  <c r="Q26" i="33" s="1"/>
  <c r="I32" i="44" a="1"/>
  <c r="I32" i="44" s="1"/>
  <c r="AR68" i="45" a="1"/>
  <c r="AR68" i="45" s="1"/>
  <c r="AJ80" i="45" a="1"/>
  <c r="AJ80" i="45" s="1"/>
  <c r="V71" i="33" a="1"/>
  <c r="V71" i="33" s="1"/>
  <c r="AJ50" i="45" a="1"/>
  <c r="AJ50" i="45" s="1"/>
  <c r="L97" i="33" a="1"/>
  <c r="L97" i="33" s="1"/>
  <c r="O37" i="33" a="1"/>
  <c r="O37" i="33" s="1"/>
  <c r="C17" i="33" a="1"/>
  <c r="C17" i="33" s="1"/>
  <c r="C38" i="45" a="1"/>
  <c r="C38" i="45" s="1"/>
  <c r="AF35" i="33" a="1"/>
  <c r="AF35" i="33" s="1"/>
  <c r="F28" i="44" a="1"/>
  <c r="F28" i="44" s="1"/>
  <c r="R73" i="45" a="1"/>
  <c r="R73" i="45" s="1"/>
  <c r="AJ55" i="44" a="1"/>
  <c r="AJ55" i="44" s="1"/>
  <c r="G67" i="33" a="1"/>
  <c r="G67" i="33" s="1"/>
  <c r="E22" i="33" a="1"/>
  <c r="E22" i="33" s="1"/>
  <c r="AD40" i="45" a="1"/>
  <c r="AD40" i="45" s="1"/>
  <c r="U62" i="33" a="1"/>
  <c r="U62" i="33" s="1"/>
  <c r="S31" i="33" a="1"/>
  <c r="S31" i="33" s="1"/>
  <c r="AL38" i="44" a="1"/>
  <c r="AL38" i="44" s="1"/>
  <c r="AL10" i="33" a="1"/>
  <c r="AL10" i="33" s="1"/>
  <c r="Z40" i="33" a="1"/>
  <c r="Z40" i="33" s="1"/>
  <c r="H43" i="45" a="1"/>
  <c r="H43" i="45" s="1"/>
  <c r="I56" i="44" a="1"/>
  <c r="I56" i="44" s="1"/>
  <c r="Q65" i="33" a="1"/>
  <c r="Q65" i="33" s="1"/>
  <c r="R73" i="44" a="1"/>
  <c r="R73" i="44" s="1"/>
  <c r="AD97" i="45" a="1"/>
  <c r="AD97" i="45" s="1"/>
  <c r="R100" i="45" a="1"/>
  <c r="R100" i="45" s="1"/>
  <c r="AI31" i="44" a="1"/>
  <c r="AI31" i="44" s="1"/>
  <c r="AM53" i="44" a="1"/>
  <c r="AM53" i="44" s="1"/>
  <c r="O32" i="33" a="1"/>
  <c r="O32" i="33" s="1"/>
  <c r="S29" i="45" a="1"/>
  <c r="S29" i="45" s="1"/>
  <c r="F92" i="45" a="1"/>
  <c r="F92" i="45" s="1"/>
  <c r="N10" i="33" a="1"/>
  <c r="N10" i="33" s="1"/>
  <c r="R23" i="44" a="1"/>
  <c r="R23" i="44" s="1"/>
  <c r="AN64" i="45" a="1"/>
  <c r="AN64" i="45" s="1"/>
  <c r="AF76" i="33" a="1"/>
  <c r="AF76" i="33" s="1"/>
  <c r="X85" i="44" a="1"/>
  <c r="X85" i="44" s="1"/>
  <c r="X52" i="33" a="1"/>
  <c r="X52" i="33" s="1"/>
  <c r="T38" i="33" a="1"/>
  <c r="T38" i="33" s="1"/>
  <c r="AF34" i="33" a="1"/>
  <c r="AF34" i="33" s="1"/>
  <c r="C61" i="42" a="1"/>
  <c r="C61" i="42" s="1"/>
  <c r="I68" i="33" a="1"/>
  <c r="I68" i="33" s="1"/>
  <c r="AD92" i="33" a="1"/>
  <c r="AD92" i="33" s="1"/>
  <c r="S74" i="44" a="1"/>
  <c r="S74" i="44" s="1"/>
  <c r="I44" i="33" a="1"/>
  <c r="I44" i="33" s="1"/>
  <c r="E64" i="33" a="1"/>
  <c r="E64" i="33" s="1"/>
  <c r="AJ74" i="33" a="1"/>
  <c r="AJ74" i="33" s="1"/>
  <c r="AD68" i="33" a="1"/>
  <c r="AD68" i="33" s="1"/>
  <c r="AC23" i="45" a="1"/>
  <c r="AC23" i="45" s="1"/>
  <c r="C67" i="43" a="1"/>
  <c r="C67" i="43" s="1"/>
  <c r="S37" i="45" a="1"/>
  <c r="S37" i="45" s="1"/>
  <c r="J92" i="45" a="1"/>
  <c r="J92" i="45" s="1"/>
  <c r="C32" i="44" a="1"/>
  <c r="C32" i="44" s="1"/>
  <c r="L11" i="44" a="1"/>
  <c r="L11" i="44" s="1"/>
  <c r="AN37" i="44" a="1"/>
  <c r="AN37" i="44" s="1"/>
  <c r="U70" i="33" a="1"/>
  <c r="U70" i="33" s="1"/>
  <c r="G92" i="33" a="1"/>
  <c r="G92" i="33" s="1"/>
  <c r="O65" i="44" a="1"/>
  <c r="O65" i="44" s="1"/>
  <c r="AP35" i="44" a="1"/>
  <c r="AP35" i="44" s="1"/>
  <c r="Z98" i="44" a="1"/>
  <c r="Z98" i="44" s="1"/>
  <c r="J100" i="44" a="1"/>
  <c r="J100" i="44" s="1"/>
  <c r="AO11" i="33" a="1"/>
  <c r="AO11" i="33" s="1"/>
  <c r="C71" i="33" a="1"/>
  <c r="C71" i="33" s="1"/>
  <c r="A70" i="33" s="1"/>
  <c r="AL79" i="33" a="1"/>
  <c r="AL79" i="33" s="1"/>
  <c r="O34" i="45" a="1"/>
  <c r="O34" i="45" s="1"/>
  <c r="X76" i="45" a="1"/>
  <c r="X76" i="45" s="1"/>
  <c r="AQ58" i="44" a="1"/>
  <c r="AQ58" i="44" s="1"/>
  <c r="X35" i="33" a="1"/>
  <c r="X35" i="33" s="1"/>
  <c r="I37" i="33" a="1"/>
  <c r="I37" i="33" s="1"/>
  <c r="W64" i="33" a="1"/>
  <c r="W64" i="33" s="1"/>
  <c r="S71" i="44" a="1"/>
  <c r="S71" i="44" s="1"/>
  <c r="E103" i="33" a="1"/>
  <c r="E103" i="33" s="1"/>
  <c r="AN68" i="33" a="1"/>
  <c r="AN68" i="33" s="1"/>
  <c r="T43" i="44" a="1"/>
  <c r="T43" i="44" s="1"/>
  <c r="N65" i="44" a="1"/>
  <c r="N65" i="44" s="1"/>
  <c r="V74" i="33" a="1"/>
  <c r="V74" i="33" s="1"/>
  <c r="AQ104" i="44" a="1"/>
  <c r="AQ104" i="44" s="1"/>
  <c r="Z41" i="45" a="1"/>
  <c r="Z41" i="45" s="1"/>
  <c r="AN74" i="44" a="1"/>
  <c r="AN74" i="44" s="1"/>
  <c r="AC25" i="45" a="1"/>
  <c r="AC25" i="45" s="1"/>
  <c r="AN74" i="45" a="1"/>
  <c r="AN74" i="45" s="1"/>
  <c r="C65" i="46" a="1"/>
  <c r="C65" i="46" s="1"/>
  <c r="X91" i="33" a="1"/>
  <c r="X91" i="33" s="1"/>
  <c r="AR89" i="33" a="1"/>
  <c r="AR89" i="33" s="1"/>
  <c r="AB43" i="45" a="1"/>
  <c r="AB43" i="45" s="1"/>
  <c r="N74" i="33" a="1"/>
  <c r="N74" i="33" s="1"/>
  <c r="AE61" i="33" a="1"/>
  <c r="AE61" i="33" s="1"/>
  <c r="K70" i="33" a="1"/>
  <c r="K70" i="33" s="1"/>
  <c r="AP83" i="45" a="1"/>
  <c r="AP83" i="45" s="1"/>
  <c r="AP37" i="33" a="1"/>
  <c r="AP37" i="33" s="1"/>
  <c r="AC92" i="45" a="1"/>
  <c r="AC92" i="45" s="1"/>
  <c r="AC65" i="33" a="1"/>
  <c r="AC65" i="33" s="1"/>
  <c r="R70" i="44" a="1"/>
  <c r="R70" i="44" s="1"/>
  <c r="G68" i="45" a="1"/>
  <c r="G68" i="45" s="1"/>
  <c r="T31" i="33" a="1"/>
  <c r="T31" i="33" s="1"/>
  <c r="C79" i="47" a="1"/>
  <c r="C79" i="47" s="1"/>
  <c r="AL43" i="33" a="1"/>
  <c r="AL43" i="33" s="1"/>
  <c r="AK34" i="45" a="1"/>
  <c r="AK34" i="45" s="1"/>
  <c r="AR76" i="44" a="1"/>
  <c r="AR76" i="44" s="1"/>
  <c r="L71" i="44" a="1"/>
  <c r="L71" i="44" s="1"/>
  <c r="U101" i="45" a="1"/>
  <c r="U101" i="45" s="1"/>
  <c r="L61" i="45" a="1"/>
  <c r="L61" i="45" s="1"/>
  <c r="AH61" i="45" a="1"/>
  <c r="AH61" i="45" s="1"/>
  <c r="T89" i="45" a="1"/>
  <c r="T89" i="45" s="1"/>
  <c r="M17" i="33" a="1"/>
  <c r="M17" i="33" s="1"/>
  <c r="Y79" i="45" a="1"/>
  <c r="Y79" i="45" s="1"/>
  <c r="AB16" i="45" a="1"/>
  <c r="AB16" i="45" s="1"/>
  <c r="AB37" i="33" a="1"/>
  <c r="AB37" i="33" s="1"/>
  <c r="P103" i="44" a="1"/>
  <c r="P103" i="44" s="1"/>
  <c r="AE29" i="45" a="1"/>
  <c r="AE29" i="45" s="1"/>
  <c r="K104" i="45" a="1"/>
  <c r="K104" i="45" s="1"/>
  <c r="P88" i="45" a="1"/>
  <c r="P88" i="45" s="1"/>
  <c r="J16" i="45" a="1"/>
  <c r="J16" i="45" s="1"/>
  <c r="AH58" i="45" a="1"/>
  <c r="AH58" i="45" s="1"/>
  <c r="AO88" i="45" a="1"/>
  <c r="AO88" i="45" s="1"/>
  <c r="C77" i="33" a="1"/>
  <c r="C77" i="33" s="1"/>
  <c r="AC43" i="44" a="1"/>
  <c r="AC43" i="44" s="1"/>
  <c r="AA37" i="44" a="1"/>
  <c r="AA37" i="44" s="1"/>
  <c r="AE65" i="44" a="1"/>
  <c r="AE65" i="44" s="1"/>
  <c r="J40" i="45" a="1"/>
  <c r="J40" i="45" s="1"/>
  <c r="T35" i="44" a="1"/>
  <c r="T35" i="44" s="1"/>
  <c r="F82" i="33" a="1"/>
  <c r="F82" i="33" s="1"/>
  <c r="N98" i="33" a="1"/>
  <c r="N98" i="33" s="1"/>
  <c r="V17" i="44" a="1"/>
  <c r="V17" i="44" s="1"/>
  <c r="V104" i="45" a="1"/>
  <c r="V104" i="45" s="1"/>
  <c r="P77" i="44" a="1"/>
  <c r="P77" i="44" s="1"/>
  <c r="M68" i="44" a="1"/>
  <c r="M68" i="44" s="1"/>
  <c r="AL58" i="33" a="1"/>
  <c r="AL58" i="33" s="1"/>
  <c r="AP77" i="44" a="1"/>
  <c r="AP77" i="44" s="1"/>
  <c r="AA91" i="44" a="1"/>
  <c r="AA91" i="44" s="1"/>
  <c r="K17" i="33" a="1"/>
  <c r="K17" i="33" s="1"/>
  <c r="W58" i="45" a="1"/>
  <c r="W58" i="45" s="1"/>
  <c r="P53" i="33" a="1"/>
  <c r="P53" i="33" s="1"/>
  <c r="AH104" i="45" a="1"/>
  <c r="AH104" i="45" s="1"/>
  <c r="Z29" i="44" a="1"/>
  <c r="Z29" i="44" s="1"/>
  <c r="AL47" i="33" a="1"/>
  <c r="AL47" i="33" s="1"/>
  <c r="R11" i="45" a="1"/>
  <c r="R11" i="45" s="1"/>
  <c r="C37" i="44" a="1"/>
  <c r="C37" i="44" s="1"/>
  <c r="AA53" i="33" a="1"/>
  <c r="AA53" i="33" s="1"/>
  <c r="V73" i="33" a="1"/>
  <c r="V73" i="33" s="1"/>
  <c r="C52" i="46" a="1"/>
  <c r="C52" i="46" s="1"/>
  <c r="O40" i="44" a="1"/>
  <c r="O40" i="44" s="1"/>
  <c r="AH41" i="44" a="1"/>
  <c r="AH41" i="44" s="1"/>
  <c r="AN56" i="45" a="1"/>
  <c r="AN56" i="45" s="1"/>
  <c r="G38" i="45" a="1"/>
  <c r="G38" i="45" s="1"/>
  <c r="C73" i="41" a="1"/>
  <c r="C73" i="41" s="1"/>
  <c r="I38" i="45" a="1"/>
  <c r="I38" i="45" s="1"/>
  <c r="AB64" i="33" a="1"/>
  <c r="AB64" i="33" s="1"/>
  <c r="AR55" i="44" a="1"/>
  <c r="AR55" i="44" s="1"/>
  <c r="AD16" i="44" a="1"/>
  <c r="AD16" i="44" s="1"/>
  <c r="AN80" i="44" a="1"/>
  <c r="AN80" i="44" s="1"/>
  <c r="Z98" i="33" a="1"/>
  <c r="Z98" i="33" s="1"/>
  <c r="V73" i="44" a="1"/>
  <c r="V73" i="44" s="1"/>
  <c r="AO76" i="45" a="1"/>
  <c r="AO76" i="45" s="1"/>
  <c r="AA25" i="33" a="1"/>
  <c r="AA25" i="33" s="1"/>
  <c r="AF34" i="45" a="1"/>
  <c r="AF34" i="45" s="1"/>
  <c r="Z103" i="33" a="1"/>
  <c r="Z103" i="33" s="1"/>
  <c r="I61" i="33" a="1"/>
  <c r="I61" i="33" s="1"/>
  <c r="AD91" i="44" a="1"/>
  <c r="AD91" i="44" s="1"/>
  <c r="E52" i="45" a="1"/>
  <c r="E52" i="45" s="1"/>
  <c r="AG88" i="44" a="1"/>
  <c r="AG88" i="44" s="1"/>
  <c r="AD77" i="45" a="1"/>
  <c r="AD77" i="45" s="1"/>
  <c r="C46" i="46" a="1"/>
  <c r="C46" i="46" s="1"/>
  <c r="AE85" i="33" a="1"/>
  <c r="AE85" i="33" s="1"/>
  <c r="C52" i="42" a="1"/>
  <c r="C52" i="42" s="1"/>
  <c r="AN85" i="33" a="1"/>
  <c r="AN85" i="33" s="1"/>
  <c r="E55" i="45" a="1"/>
  <c r="E55" i="45" s="1"/>
  <c r="AC29" i="44" a="1"/>
  <c r="AC29" i="44" s="1"/>
  <c r="AD29" i="44" a="1"/>
  <c r="AD29" i="44" s="1"/>
  <c r="AF100" i="33" a="1"/>
  <c r="AF100" i="33" s="1"/>
  <c r="Z73" i="45" a="1"/>
  <c r="Z73" i="45" s="1"/>
  <c r="F38" i="33" a="1"/>
  <c r="F38" i="33" s="1"/>
  <c r="AF16" i="45" a="1"/>
  <c r="AF16" i="45" s="1"/>
  <c r="AB83" i="33" a="1"/>
  <c r="AB83" i="33" s="1"/>
  <c r="G100" i="45" a="1"/>
  <c r="G100" i="45" s="1"/>
  <c r="L35" i="44" a="1"/>
  <c r="L35" i="44" s="1"/>
  <c r="Q37" i="44" a="1"/>
  <c r="Q37" i="44" s="1"/>
  <c r="M79" i="33" a="1"/>
  <c r="M79" i="33" s="1"/>
  <c r="F64" i="45" a="1"/>
  <c r="F64" i="45" s="1"/>
  <c r="R25" i="44" a="1"/>
  <c r="R25" i="44" s="1"/>
  <c r="AM59" i="45" a="1"/>
  <c r="AM59" i="45" s="1"/>
  <c r="H49" i="33" a="1"/>
  <c r="H49" i="33" s="1"/>
  <c r="C10" i="42" a="1"/>
  <c r="C10" i="42" s="1"/>
  <c r="M92" i="45" a="1"/>
  <c r="M92" i="45" s="1"/>
  <c r="AA74" i="45" a="1"/>
  <c r="AA74" i="45" s="1"/>
  <c r="AN50" i="33" a="1"/>
  <c r="AN50" i="33" s="1"/>
  <c r="AK34" i="44" a="1"/>
  <c r="AK34" i="44" s="1"/>
  <c r="AI43" i="33" a="1"/>
  <c r="AI43" i="33" s="1"/>
  <c r="AB40" i="44" a="1"/>
  <c r="AB40" i="44" s="1"/>
  <c r="P38" i="45" a="1"/>
  <c r="P38" i="45" s="1"/>
  <c r="M89" i="44" a="1"/>
  <c r="M89" i="44" s="1"/>
  <c r="AM58" i="33" a="1"/>
  <c r="AM58" i="33" s="1"/>
  <c r="AQ80" i="45" a="1"/>
  <c r="AQ80" i="45" s="1"/>
  <c r="G79" i="45" a="1"/>
  <c r="G79" i="45" s="1"/>
  <c r="R16" i="44" a="1"/>
  <c r="R16" i="44" s="1"/>
  <c r="I97" i="44" a="1"/>
  <c r="I97" i="44" s="1"/>
  <c r="O58" i="45" a="1"/>
  <c r="O58" i="45" s="1"/>
  <c r="AA65" i="44" a="1"/>
  <c r="AA65" i="44" s="1"/>
  <c r="S22" i="44" a="1"/>
  <c r="S22" i="44" s="1"/>
  <c r="T53" i="45" a="1"/>
  <c r="T53" i="45" s="1"/>
  <c r="AM97" i="44" a="1"/>
  <c r="AM97" i="44" s="1"/>
  <c r="AK76" i="44" a="1"/>
  <c r="AK76" i="44" s="1"/>
  <c r="W49" i="33" a="1"/>
  <c r="W49" i="33" s="1"/>
  <c r="AL83" i="45" a="1"/>
  <c r="AL83" i="45" s="1"/>
  <c r="AL81" i="45" s="1"/>
  <c r="U26" i="33" a="1"/>
  <c r="U26" i="33" s="1"/>
  <c r="K29" i="45" a="1"/>
  <c r="K29" i="45" s="1"/>
  <c r="C17" i="45" a="1"/>
  <c r="C17" i="45" s="1"/>
  <c r="I98" i="45" a="1"/>
  <c r="I98" i="45" s="1"/>
  <c r="Y41" i="33" a="1"/>
  <c r="Y41" i="33" s="1"/>
  <c r="I26" i="44" a="1"/>
  <c r="I26" i="44" s="1"/>
  <c r="C34" i="43" a="1"/>
  <c r="C34" i="43" s="1"/>
  <c r="Z59" i="33" a="1"/>
  <c r="Z59" i="33" s="1"/>
  <c r="AQ89" i="44" a="1"/>
  <c r="AQ89" i="44" s="1"/>
  <c r="Q89" i="33" a="1"/>
  <c r="Q89" i="33" s="1"/>
  <c r="AJ58" i="33" a="1"/>
  <c r="AJ58" i="33" s="1"/>
  <c r="L59" i="45" a="1"/>
  <c r="L59" i="45" s="1"/>
  <c r="O89" i="33" a="1"/>
  <c r="O89" i="33" s="1"/>
  <c r="AJ50" i="33" a="1"/>
  <c r="AJ50" i="33" s="1"/>
  <c r="AG11" i="45" a="1"/>
  <c r="AG11" i="45" s="1"/>
  <c r="C97" i="44" a="1"/>
  <c r="C97" i="44" s="1"/>
  <c r="V10" i="33" a="1"/>
  <c r="V10" i="33" s="1"/>
  <c r="Y46" i="45" a="1"/>
  <c r="Y46" i="45" s="1"/>
  <c r="E71" i="33" a="1"/>
  <c r="E71" i="33" s="1"/>
  <c r="J88" i="44" a="1"/>
  <c r="J88" i="44" s="1"/>
  <c r="AK41" i="44" a="1"/>
  <c r="AK41" i="44" s="1"/>
  <c r="AL73" i="33" a="1"/>
  <c r="AL73" i="33" s="1"/>
  <c r="Z11" i="33" a="1"/>
  <c r="Z11" i="33" s="1"/>
  <c r="U76" i="45" a="1"/>
  <c r="U76" i="45" s="1"/>
  <c r="S68" i="33" a="1"/>
  <c r="S68" i="33" s="1"/>
  <c r="G22" i="45" a="1"/>
  <c r="G22" i="45" s="1"/>
  <c r="AF46" i="45" a="1"/>
  <c r="AF46" i="45" s="1"/>
  <c r="F28" i="45" a="1"/>
  <c r="F28" i="45" s="1"/>
  <c r="W20" i="44" a="1"/>
  <c r="W20" i="44" s="1"/>
  <c r="P92" i="33" a="1"/>
  <c r="P92" i="33" s="1"/>
  <c r="P47" i="33" a="1"/>
  <c r="P47" i="33" s="1"/>
  <c r="M47" i="45" a="1"/>
  <c r="M47" i="45" s="1"/>
  <c r="AB25" i="33" a="1"/>
  <c r="AB25" i="33" s="1"/>
  <c r="M23" i="33" a="1"/>
  <c r="M23" i="33" s="1"/>
  <c r="AD70" i="33" a="1"/>
  <c r="AD70" i="33" s="1"/>
  <c r="W50" i="33" a="1"/>
  <c r="W50" i="33" s="1"/>
  <c r="C23" i="33" a="1"/>
  <c r="C23" i="33" s="1"/>
  <c r="G62" i="33" a="1"/>
  <c r="G62" i="33" s="1"/>
  <c r="AI104" i="45" a="1"/>
  <c r="AI104" i="45" s="1"/>
  <c r="F94" i="45" a="1"/>
  <c r="F94" i="45" s="1"/>
  <c r="G59" i="44" a="1"/>
  <c r="G59" i="44" s="1"/>
  <c r="AM58" i="45" a="1"/>
  <c r="AM58" i="45" s="1"/>
  <c r="AG20" i="44" a="1"/>
  <c r="AG20" i="44" s="1"/>
  <c r="Q23" i="45" a="1"/>
  <c r="Q23" i="45" s="1"/>
  <c r="AA40" i="33" a="1"/>
  <c r="AA40" i="33" s="1"/>
  <c r="J35" i="44" a="1"/>
  <c r="J35" i="44" s="1"/>
  <c r="S73" i="45" a="1"/>
  <c r="S73" i="45" s="1"/>
  <c r="AL25" i="33" a="1"/>
  <c r="AL25" i="33" s="1"/>
  <c r="AC80" i="44" a="1"/>
  <c r="AC80" i="44" s="1"/>
  <c r="X43" i="44" a="1"/>
  <c r="X43" i="44" s="1"/>
  <c r="P100" i="44" a="1"/>
  <c r="P100" i="44" s="1"/>
  <c r="G77" i="33" a="1"/>
  <c r="G77" i="33" s="1"/>
  <c r="Z23" i="44" a="1"/>
  <c r="Z23" i="44" s="1"/>
  <c r="AA94" i="45" a="1"/>
  <c r="AA94" i="45" s="1"/>
  <c r="G62" i="45" a="1"/>
  <c r="G62" i="45" s="1"/>
  <c r="R22" i="33" a="1"/>
  <c r="R22" i="33" s="1"/>
  <c r="C44" i="47" a="1"/>
  <c r="C44" i="47" s="1"/>
  <c r="W55" i="45" a="1"/>
  <c r="W55" i="45" s="1"/>
  <c r="Q20" i="45" a="1"/>
  <c r="Q20" i="45" s="1"/>
  <c r="I97" i="45" a="1"/>
  <c r="I97" i="45" s="1"/>
  <c r="AF104" i="33" a="1"/>
  <c r="AF104" i="33" s="1"/>
  <c r="W100" i="45" a="1"/>
  <c r="W100" i="45" s="1"/>
  <c r="T61" i="44" a="1"/>
  <c r="T61" i="44" s="1"/>
  <c r="AD61" i="33" a="1"/>
  <c r="AD61" i="33" s="1"/>
  <c r="N79" i="44" a="1"/>
  <c r="N79" i="44" s="1"/>
  <c r="AM32" i="45" a="1"/>
  <c r="AM32" i="45" s="1"/>
  <c r="K35" i="44" a="1"/>
  <c r="K35" i="44" s="1"/>
  <c r="H68" i="44" a="1"/>
  <c r="H68" i="44" s="1"/>
  <c r="P56" i="33" a="1"/>
  <c r="P56" i="33" s="1"/>
  <c r="V97" i="33" a="1"/>
  <c r="V97" i="33" s="1"/>
  <c r="J79" i="44" a="1"/>
  <c r="J79" i="44" s="1"/>
  <c r="AF16" i="33" a="1"/>
  <c r="AF16" i="33" s="1"/>
  <c r="AN28" i="33" a="1"/>
  <c r="AN28" i="33" s="1"/>
  <c r="AN27" i="33" s="1"/>
  <c r="R62" i="44" a="1"/>
  <c r="R62" i="44" s="1"/>
  <c r="F52" i="33" a="1"/>
  <c r="F52" i="33" s="1"/>
  <c r="R53" i="33" a="1"/>
  <c r="R53" i="33" s="1"/>
  <c r="T79" i="45" a="1"/>
  <c r="T79" i="45" s="1"/>
  <c r="V32" i="44" a="1"/>
  <c r="V32" i="44" s="1"/>
  <c r="AQ53" i="33" a="1"/>
  <c r="AQ53" i="33" s="1"/>
  <c r="Z55" i="44" a="1"/>
  <c r="Z55" i="44" s="1"/>
  <c r="Z54" i="44" s="1"/>
  <c r="C92" i="43" a="1"/>
  <c r="C92" i="43" s="1"/>
  <c r="AQ64" i="45" a="1"/>
  <c r="AQ64" i="45" s="1"/>
  <c r="T17" i="33" a="1"/>
  <c r="T17" i="33" s="1"/>
  <c r="K31" i="33" a="1"/>
  <c r="K31" i="33" s="1"/>
  <c r="J88" i="33" a="1"/>
  <c r="J88" i="33" s="1"/>
  <c r="AI67" i="33" a="1"/>
  <c r="AI67" i="33" s="1"/>
  <c r="AN25" i="44" a="1"/>
  <c r="AN25" i="44" s="1"/>
  <c r="AK73" i="45" a="1"/>
  <c r="AK73" i="45" s="1"/>
  <c r="AP28" i="33" a="1"/>
  <c r="AP28" i="33" s="1"/>
  <c r="M43" i="45" a="1"/>
  <c r="M43" i="45" s="1"/>
  <c r="O44" i="44" a="1"/>
  <c r="O44" i="44" s="1"/>
  <c r="I103" i="44" a="1"/>
  <c r="I103" i="44" s="1"/>
  <c r="Z31" i="44" a="1"/>
  <c r="Z31" i="44" s="1"/>
  <c r="AQ73" i="45" a="1"/>
  <c r="AQ73" i="45" s="1"/>
  <c r="C56" i="45" a="1"/>
  <c r="C56" i="45" s="1"/>
  <c r="S35" i="44" a="1"/>
  <c r="S35" i="44" s="1"/>
  <c r="AB92" i="45" a="1"/>
  <c r="AB92" i="45" s="1"/>
  <c r="W95" i="44" a="1"/>
  <c r="W95" i="44" s="1"/>
  <c r="AP31" i="33" a="1"/>
  <c r="AP31" i="33" s="1"/>
  <c r="AR70" i="33" a="1"/>
  <c r="AR70" i="33" s="1"/>
  <c r="C31" i="42" a="1"/>
  <c r="C31" i="42" s="1"/>
  <c r="U40" i="33" a="1"/>
  <c r="U40" i="33" s="1"/>
  <c r="K86" i="33" a="1"/>
  <c r="K86" i="33" s="1"/>
  <c r="K43" i="45" a="1"/>
  <c r="K43" i="45" s="1"/>
  <c r="AH104" i="44" a="1"/>
  <c r="AH104" i="44" s="1"/>
  <c r="Y17" i="45" a="1"/>
  <c r="Y17" i="45" s="1"/>
  <c r="AE91" i="44" a="1"/>
  <c r="AE91" i="44" s="1"/>
  <c r="AQ56" i="44" a="1"/>
  <c r="AQ56" i="44" s="1"/>
  <c r="AD64" i="44" a="1"/>
  <c r="AD64" i="44" s="1"/>
  <c r="AC49" i="44" a="1"/>
  <c r="AC49" i="44" s="1"/>
  <c r="I47" i="33" a="1"/>
  <c r="I47" i="33" s="1"/>
  <c r="C73" i="42" a="1"/>
  <c r="C73" i="42" s="1"/>
  <c r="V101" i="45" a="1"/>
  <c r="V101" i="45" s="1"/>
  <c r="AR25" i="33" a="1"/>
  <c r="AR25" i="33" s="1"/>
  <c r="I31" i="33" a="1"/>
  <c r="I31" i="33" s="1"/>
  <c r="E73" i="45" a="1"/>
  <c r="E73" i="45" s="1"/>
  <c r="AG92" i="45" a="1"/>
  <c r="AG92" i="45" s="1"/>
  <c r="S20" i="45" a="1"/>
  <c r="S20" i="45" s="1"/>
  <c r="AN62" i="33" a="1"/>
  <c r="AN62" i="33" s="1"/>
  <c r="AG31" i="44" a="1"/>
  <c r="AG31" i="44" s="1"/>
  <c r="T44" i="44" a="1"/>
  <c r="T44" i="44" s="1"/>
  <c r="AM74" i="45" a="1"/>
  <c r="AM74" i="45" s="1"/>
  <c r="AQ59" i="45" a="1"/>
  <c r="AQ59" i="45" s="1"/>
  <c r="AP89" i="45" a="1"/>
  <c r="AP89" i="45" s="1"/>
  <c r="U34" i="45" a="1"/>
  <c r="U34" i="45" s="1"/>
  <c r="AK26" i="45" a="1"/>
  <c r="AK26" i="45" s="1"/>
  <c r="C71" i="41" a="1"/>
  <c r="C71" i="41" s="1"/>
  <c r="AJ20" i="33" a="1"/>
  <c r="AJ20" i="33" s="1"/>
  <c r="Y43" i="44" a="1"/>
  <c r="Y43" i="44" s="1"/>
  <c r="AI86" i="44" a="1"/>
  <c r="AI86" i="44" s="1"/>
  <c r="AG47" i="45" a="1"/>
  <c r="AG47" i="45" s="1"/>
  <c r="U92" i="45" a="1"/>
  <c r="U92" i="45" s="1"/>
  <c r="AG38" i="33" a="1"/>
  <c r="AG38" i="33" s="1"/>
  <c r="O50" i="33" a="1"/>
  <c r="O50" i="33" s="1"/>
  <c r="V34" i="45" a="1"/>
  <c r="V34" i="45" s="1"/>
  <c r="S83" i="44" a="1"/>
  <c r="S83" i="44" s="1"/>
  <c r="AF86" i="44" a="1"/>
  <c r="AF86" i="44" s="1"/>
  <c r="AM73" i="44" a="1"/>
  <c r="AM73" i="44" s="1"/>
  <c r="P71" i="45" a="1"/>
  <c r="P71" i="45" s="1"/>
  <c r="AL19" i="33" a="1"/>
  <c r="AL19" i="33" s="1"/>
  <c r="X80" i="45" a="1"/>
  <c r="X80" i="45" s="1"/>
  <c r="C53" i="47" a="1"/>
  <c r="C53" i="47" s="1"/>
  <c r="C86" i="33" a="1"/>
  <c r="C86" i="33" s="1"/>
  <c r="P44" i="44" a="1"/>
  <c r="P44" i="44" s="1"/>
  <c r="I100" i="44" a="1"/>
  <c r="I100" i="44" s="1"/>
  <c r="C70" i="43" a="1"/>
  <c r="C70" i="43" s="1"/>
  <c r="A70" i="43" s="1"/>
  <c r="Z52" i="45" a="1"/>
  <c r="Z52" i="45" s="1"/>
  <c r="AC68" i="44" a="1"/>
  <c r="AC68" i="44" s="1"/>
  <c r="AA53" i="45" a="1"/>
  <c r="AA53" i="45" s="1"/>
  <c r="M20" i="33" a="1"/>
  <c r="M20" i="33" s="1"/>
  <c r="AL32" i="33" a="1"/>
  <c r="AL32" i="33" s="1"/>
  <c r="L29" i="45" a="1"/>
  <c r="L29" i="45" s="1"/>
  <c r="K23" i="44" a="1"/>
  <c r="K23" i="44" s="1"/>
  <c r="I32" i="45" a="1"/>
  <c r="I32" i="45" s="1"/>
  <c r="AO64" i="45" a="1"/>
  <c r="AO64" i="45" s="1"/>
  <c r="R91" i="33" a="1"/>
  <c r="R91" i="33" s="1"/>
  <c r="N74" i="45" a="1"/>
  <c r="N74" i="45" s="1"/>
  <c r="AO70" i="45" a="1"/>
  <c r="AO70" i="45" s="1"/>
  <c r="T46" i="33" a="1"/>
  <c r="T46" i="33" s="1"/>
  <c r="AG91" i="33" a="1"/>
  <c r="AG91" i="33" s="1"/>
  <c r="AI79" i="44" a="1"/>
  <c r="AI79" i="44" s="1"/>
  <c r="AR55" i="45" a="1"/>
  <c r="AR55" i="45" s="1"/>
  <c r="Q86" i="44" a="1"/>
  <c r="Q86" i="44" s="1"/>
  <c r="AH23" i="45" a="1"/>
  <c r="AH23" i="45" s="1"/>
  <c r="AO98" i="44" a="1"/>
  <c r="AO98" i="44" s="1"/>
  <c r="AC38" i="45" a="1"/>
  <c r="AC38" i="45" s="1"/>
  <c r="E104" i="44" a="1"/>
  <c r="E104" i="44" s="1"/>
  <c r="K34" i="45" a="1"/>
  <c r="K34" i="45" s="1"/>
  <c r="AJ100" i="33" a="1"/>
  <c r="AJ100" i="33" s="1"/>
  <c r="H65" i="45" a="1"/>
  <c r="H65" i="45" s="1"/>
  <c r="AL55" i="33" a="1"/>
  <c r="AL55" i="33" s="1"/>
  <c r="Y80" i="33" a="1"/>
  <c r="Y80" i="33" s="1"/>
  <c r="AA58" i="45" a="1"/>
  <c r="AA58" i="45" s="1"/>
  <c r="Z65" i="45" a="1"/>
  <c r="Z65" i="45" s="1"/>
  <c r="C95" i="45" a="1"/>
  <c r="C95" i="45" s="1"/>
  <c r="AM47" i="33" a="1"/>
  <c r="AM47" i="33" s="1"/>
  <c r="F53" i="45" a="1"/>
  <c r="F53" i="45" s="1"/>
  <c r="F55" i="45" a="1"/>
  <c r="F55" i="45" s="1"/>
  <c r="P38" i="44" a="1"/>
  <c r="P38" i="44" s="1"/>
  <c r="N59" i="45" a="1"/>
  <c r="N59" i="45" s="1"/>
  <c r="N50" i="44" a="1"/>
  <c r="N50" i="44" s="1"/>
  <c r="AQ101" i="45" a="1"/>
  <c r="AQ101" i="45" s="1"/>
  <c r="L58" i="33" a="1"/>
  <c r="L58" i="33" s="1"/>
  <c r="F83" i="44" a="1"/>
  <c r="F83" i="44" s="1"/>
  <c r="AA85" i="45" a="1"/>
  <c r="AA85" i="45" s="1"/>
  <c r="AC79" i="45" a="1"/>
  <c r="AC79" i="45" s="1"/>
  <c r="AJ17" i="44" a="1"/>
  <c r="AJ17" i="44" s="1"/>
  <c r="AM67" i="45" a="1"/>
  <c r="AM67" i="45" s="1"/>
  <c r="Z11" i="44" a="1"/>
  <c r="Z11" i="44" s="1"/>
  <c r="X83" i="33" a="1"/>
  <c r="X83" i="33" s="1"/>
  <c r="AL41" i="45" a="1"/>
  <c r="AL41" i="45" s="1"/>
  <c r="C53" i="46" a="1"/>
  <c r="C53" i="46" s="1"/>
  <c r="H28" i="45" a="1"/>
  <c r="H28" i="45" s="1"/>
  <c r="C55" i="46" a="1"/>
  <c r="C55" i="46" s="1"/>
  <c r="G50" i="44" a="1"/>
  <c r="G50" i="44" s="1"/>
  <c r="T37" i="33" a="1"/>
  <c r="T37" i="33" s="1"/>
  <c r="AC17" i="33" a="1"/>
  <c r="AC17" i="33" s="1"/>
  <c r="X74" i="45" a="1"/>
  <c r="X74" i="45" s="1"/>
  <c r="AL59" i="44" a="1"/>
  <c r="AL59" i="44" s="1"/>
  <c r="I100" i="45" a="1"/>
  <c r="I100" i="45" s="1"/>
  <c r="N41" i="33" a="1"/>
  <c r="N41" i="33" s="1"/>
  <c r="AF11" i="44" a="1"/>
  <c r="AF11" i="44" s="1"/>
  <c r="O98" i="33" a="1"/>
  <c r="O98" i="33" s="1"/>
  <c r="K46" i="45" a="1"/>
  <c r="K46" i="45" s="1"/>
  <c r="E40" i="33" a="1"/>
  <c r="E40" i="33" s="1"/>
  <c r="AL62" i="45" a="1"/>
  <c r="AL62" i="45" s="1"/>
  <c r="AJ100" i="44" a="1"/>
  <c r="AJ100" i="44" s="1"/>
  <c r="W104" i="45" a="1"/>
  <c r="W104" i="45" s="1"/>
  <c r="Q103" i="33" a="1"/>
  <c r="Q103" i="33" s="1"/>
  <c r="R98" i="44" a="1"/>
  <c r="R98" i="44" s="1"/>
  <c r="H88" i="33" a="1"/>
  <c r="H88" i="33" s="1"/>
  <c r="Y65" i="45" a="1"/>
  <c r="Y65" i="45" s="1"/>
  <c r="AO92" i="45" a="1"/>
  <c r="AO92" i="45" s="1"/>
  <c r="N83" i="33" a="1"/>
  <c r="N83" i="33" s="1"/>
  <c r="E17" i="44" a="1"/>
  <c r="E17" i="44" s="1"/>
  <c r="K58" i="45" a="1"/>
  <c r="K58" i="45" s="1"/>
  <c r="AM53" i="33" a="1"/>
  <c r="AM53" i="33" s="1"/>
  <c r="C100" i="47" a="1"/>
  <c r="C100" i="47" s="1"/>
  <c r="Q97" i="45" a="1"/>
  <c r="Q97" i="45" s="1"/>
  <c r="O70" i="33" a="1"/>
  <c r="O70" i="33" s="1"/>
  <c r="M17" i="45" a="1"/>
  <c r="M17" i="45" s="1"/>
  <c r="AL44" i="33" a="1"/>
  <c r="AL44" i="33" s="1"/>
  <c r="I77" i="44" a="1"/>
  <c r="I77" i="44" s="1"/>
  <c r="AN71" i="44" a="1"/>
  <c r="AN71" i="44" s="1"/>
  <c r="C46" i="41" a="1"/>
  <c r="C46" i="41" s="1"/>
  <c r="A46" i="41" s="1"/>
  <c r="I85" i="33" a="1"/>
  <c r="I85" i="33" s="1"/>
  <c r="U73" i="44" a="1"/>
  <c r="U73" i="44" s="1"/>
  <c r="V46" i="44" a="1"/>
  <c r="V46" i="44" s="1"/>
  <c r="AL40" i="45" a="1"/>
  <c r="AL40" i="45" s="1"/>
  <c r="C43" i="43" a="1"/>
  <c r="C43" i="43" s="1"/>
  <c r="AL77" i="45" a="1"/>
  <c r="AL77" i="45" s="1"/>
  <c r="AK82" i="33" a="1"/>
  <c r="AK82" i="33" s="1"/>
  <c r="AC76" i="44" a="1"/>
  <c r="AC76" i="44" s="1"/>
  <c r="AD79" i="45" a="1"/>
  <c r="AD79" i="45" s="1"/>
  <c r="AQ83" i="44" a="1"/>
  <c r="AQ83" i="44" s="1"/>
  <c r="AO88" i="44" a="1"/>
  <c r="AO88" i="44" s="1"/>
  <c r="AL89" i="44" a="1"/>
  <c r="AL89" i="44" s="1"/>
  <c r="Q77" i="45" a="1"/>
  <c r="Q77" i="45" s="1"/>
  <c r="AE11" i="33" a="1"/>
  <c r="AE11" i="33" s="1"/>
  <c r="AA29" i="33" a="1"/>
  <c r="AA29" i="33" s="1"/>
  <c r="AP64" i="33" a="1"/>
  <c r="AP64" i="33" s="1"/>
  <c r="AL76" i="45" a="1"/>
  <c r="AL76" i="45" s="1"/>
  <c r="AK83" i="33" a="1"/>
  <c r="AK83" i="33" s="1"/>
  <c r="F91" i="33" a="1"/>
  <c r="F91" i="33" s="1"/>
  <c r="I97" i="33" a="1"/>
  <c r="I97" i="33" s="1"/>
  <c r="V92" i="44" a="1"/>
  <c r="V92" i="44" s="1"/>
  <c r="K67" i="45" a="1"/>
  <c r="K67" i="45" s="1"/>
  <c r="AP97" i="44" a="1"/>
  <c r="AP97" i="44" s="1"/>
  <c r="I91" i="44" a="1"/>
  <c r="I91" i="44" s="1"/>
  <c r="E61" i="45" a="1"/>
  <c r="E61" i="45" s="1"/>
  <c r="AR43" i="44" a="1"/>
  <c r="AR43" i="44" s="1"/>
  <c r="AF68" i="44" a="1"/>
  <c r="AF68" i="44" s="1"/>
  <c r="Q35" i="45" a="1"/>
  <c r="Q35" i="45" s="1"/>
  <c r="AP95" i="45" a="1"/>
  <c r="AP95" i="45" s="1"/>
  <c r="U49" i="45" a="1"/>
  <c r="U49" i="45" s="1"/>
  <c r="Y49" i="45" a="1"/>
  <c r="Y49" i="45" s="1"/>
  <c r="Y48" i="45" s="1"/>
  <c r="AG68" i="45" a="1"/>
  <c r="AG68" i="45" s="1"/>
  <c r="H41" i="44" a="1"/>
  <c r="H41" i="44" s="1"/>
  <c r="N31" i="33" a="1"/>
  <c r="N31" i="33" s="1"/>
  <c r="AO71" i="33" a="1"/>
  <c r="AO71" i="33" s="1"/>
  <c r="N55" i="45" a="1"/>
  <c r="N55" i="45" s="1"/>
  <c r="C58" i="33" a="1"/>
  <c r="C58" i="33" s="1"/>
  <c r="AL20" i="33" a="1"/>
  <c r="AL20" i="33" s="1"/>
  <c r="U37" i="44" a="1"/>
  <c r="U37" i="44" s="1"/>
  <c r="P19" i="33" a="1"/>
  <c r="P19" i="33" s="1"/>
  <c r="T10" i="44" a="1"/>
  <c r="T10" i="44" s="1"/>
  <c r="G100" i="44" a="1"/>
  <c r="G100" i="44" s="1"/>
  <c r="AL104" i="33" a="1"/>
  <c r="AL104" i="33" s="1"/>
  <c r="AQ85" i="44" a="1"/>
  <c r="AQ85" i="44" s="1"/>
  <c r="AI41" i="33" a="1"/>
  <c r="AI41" i="33" s="1"/>
  <c r="AO64" i="33" a="1"/>
  <c r="AO64" i="33" s="1"/>
  <c r="T61" i="45" a="1"/>
  <c r="T61" i="45" s="1"/>
  <c r="G35" i="44" a="1"/>
  <c r="G35" i="44" s="1"/>
  <c r="C91" i="45" a="1"/>
  <c r="C91" i="45" s="1"/>
  <c r="Z10" i="33" a="1"/>
  <c r="Z10" i="33" s="1"/>
  <c r="AP32" i="33" a="1"/>
  <c r="AP32" i="33" s="1"/>
  <c r="M58" i="33" a="1"/>
  <c r="M58" i="33" s="1"/>
  <c r="Z47" i="45" a="1"/>
  <c r="Z47" i="45" s="1"/>
  <c r="M65" i="44" a="1"/>
  <c r="M65" i="44" s="1"/>
  <c r="AL35" i="33" a="1"/>
  <c r="AL35" i="33" s="1"/>
  <c r="I16" i="45" a="1"/>
  <c r="I16" i="45" s="1"/>
  <c r="AJ20" i="45" a="1"/>
  <c r="AJ20" i="45" s="1"/>
  <c r="AH94" i="44" a="1"/>
  <c r="AH94" i="44" s="1"/>
  <c r="J35" i="45" a="1"/>
  <c r="J35" i="45" s="1"/>
  <c r="J33" i="45" s="1"/>
  <c r="X19" i="33" a="1"/>
  <c r="X19" i="33" s="1"/>
  <c r="R52" i="44" a="1"/>
  <c r="R52" i="44" s="1"/>
  <c r="I98" i="44" a="1"/>
  <c r="I98" i="44" s="1"/>
  <c r="AO56" i="45" a="1"/>
  <c r="AO56" i="45" s="1"/>
  <c r="Q82" i="45" a="1"/>
  <c r="Q82" i="45" s="1"/>
  <c r="O58" i="44" a="1"/>
  <c r="O58" i="44" s="1"/>
  <c r="AK103" i="45" a="1"/>
  <c r="AK103" i="45" s="1"/>
  <c r="AH97" i="44" a="1"/>
  <c r="AH97" i="44" s="1"/>
  <c r="I83" i="33" a="1"/>
  <c r="I83" i="33" s="1"/>
  <c r="R10" i="44" a="1"/>
  <c r="R10" i="44" s="1"/>
  <c r="M70" i="33" a="1"/>
  <c r="M70" i="33" s="1"/>
  <c r="S62" i="45" a="1"/>
  <c r="S62" i="45" s="1"/>
  <c r="AO20" i="45" a="1"/>
  <c r="AO20" i="45" s="1"/>
  <c r="AI53" i="33" a="1"/>
  <c r="AI53" i="33" s="1"/>
  <c r="AR52" i="33" a="1"/>
  <c r="AR52" i="33" s="1"/>
  <c r="AG43" i="33" a="1"/>
  <c r="AG43" i="33" s="1"/>
  <c r="H94" i="44" a="1"/>
  <c r="H94" i="44" s="1"/>
  <c r="Z70" i="45" a="1"/>
  <c r="Z70" i="45" s="1"/>
  <c r="C23" i="44" a="1"/>
  <c r="C23" i="44" s="1"/>
  <c r="X73" i="44" a="1"/>
  <c r="X73" i="44" s="1"/>
  <c r="V52" i="45" a="1"/>
  <c r="V52" i="45" s="1"/>
  <c r="I71" i="44" a="1"/>
  <c r="I71" i="44" s="1"/>
  <c r="AO53" i="45" a="1"/>
  <c r="AO53" i="45" s="1"/>
  <c r="AJ97" i="45" a="1"/>
  <c r="AJ97" i="45" s="1"/>
  <c r="N80" i="45" a="1"/>
  <c r="N80" i="45" s="1"/>
  <c r="AK37" i="44" a="1"/>
  <c r="AK37" i="44" s="1"/>
  <c r="H65" i="33" a="1"/>
  <c r="H65" i="33" s="1"/>
  <c r="U52" i="33" a="1"/>
  <c r="U52" i="33" s="1"/>
  <c r="AH83" i="45" a="1"/>
  <c r="AH83" i="45" s="1"/>
  <c r="J11" i="44" a="1"/>
  <c r="J11" i="44" s="1"/>
  <c r="AK79" i="33" a="1"/>
  <c r="AK79" i="33" s="1"/>
  <c r="AN11" i="45" a="1"/>
  <c r="AN11" i="45" s="1"/>
  <c r="K79" i="33" a="1"/>
  <c r="K79" i="33" s="1"/>
  <c r="R83" i="33" a="1"/>
  <c r="R83" i="33" s="1"/>
  <c r="G86" i="45" a="1"/>
  <c r="G86" i="45" s="1"/>
  <c r="V29" i="33" a="1"/>
  <c r="V29" i="33" s="1"/>
  <c r="J19" i="45" a="1"/>
  <c r="J19" i="45" s="1"/>
  <c r="I70" i="33" a="1"/>
  <c r="I70" i="33" s="1"/>
  <c r="Z37" i="33" a="1"/>
  <c r="Z37" i="33" s="1"/>
  <c r="C92" i="46" a="1"/>
  <c r="C92" i="46" s="1"/>
  <c r="I65" i="45" a="1"/>
  <c r="I65" i="45" s="1"/>
  <c r="H80" i="45" a="1"/>
  <c r="H80" i="45" s="1"/>
  <c r="AP20" i="45" a="1"/>
  <c r="AP20" i="45" s="1"/>
  <c r="AP18" i="45" s="1"/>
  <c r="L76" i="45" a="1"/>
  <c r="L76" i="45" s="1"/>
  <c r="U29" i="44" a="1"/>
  <c r="U29" i="44" s="1"/>
  <c r="AJ43" i="33" a="1"/>
  <c r="AJ43" i="33" s="1"/>
  <c r="I40" i="33" a="1"/>
  <c r="I40" i="33" s="1"/>
  <c r="I39" i="33" s="1"/>
  <c r="AA31" i="33" a="1"/>
  <c r="AA31" i="33" s="1"/>
  <c r="K71" i="44" a="1"/>
  <c r="K71" i="44" s="1"/>
  <c r="AA98" i="44" a="1"/>
  <c r="AA98" i="44" s="1"/>
  <c r="AC47" i="44" a="1"/>
  <c r="AC47" i="44" s="1"/>
  <c r="AI25" i="45" a="1"/>
  <c r="AI25" i="45" s="1"/>
  <c r="AH70" i="33" a="1"/>
  <c r="AH70" i="33" s="1"/>
  <c r="C101" i="44" a="1"/>
  <c r="C101" i="44" s="1"/>
  <c r="C43" i="41" a="1"/>
  <c r="C43" i="41" s="1"/>
  <c r="E37" i="45" a="1"/>
  <c r="E37" i="45" s="1"/>
  <c r="AQ53" i="45" a="1"/>
  <c r="AQ53" i="45" s="1"/>
  <c r="AD65" i="33" a="1"/>
  <c r="AD65" i="33" s="1"/>
  <c r="Y83" i="44" a="1"/>
  <c r="Y83" i="44" s="1"/>
  <c r="Z49" i="44" a="1"/>
  <c r="Z49" i="44" s="1"/>
  <c r="Z44" i="44" a="1"/>
  <c r="Z44" i="44" s="1"/>
  <c r="AL79" i="44" a="1"/>
  <c r="AL79" i="44" s="1"/>
  <c r="C91" i="33" a="1"/>
  <c r="C91" i="33" s="1"/>
  <c r="AM82" i="33" a="1"/>
  <c r="AM82" i="33" s="1"/>
  <c r="S41" i="33" a="1"/>
  <c r="S41" i="33" s="1"/>
  <c r="H70" i="33" a="1"/>
  <c r="H70" i="33" s="1"/>
  <c r="AQ103" i="44" a="1"/>
  <c r="AQ103" i="44" s="1"/>
  <c r="AP31" i="45" a="1"/>
  <c r="AP31" i="45" s="1"/>
  <c r="E92" i="44" a="1"/>
  <c r="E92" i="44" s="1"/>
  <c r="AL11" i="44" a="1"/>
  <c r="AL11" i="44" s="1"/>
  <c r="AE31" i="44" a="1"/>
  <c r="AE31" i="44" s="1"/>
  <c r="G95" i="44" a="1"/>
  <c r="G95" i="44" s="1"/>
  <c r="AJ49" i="44" a="1"/>
  <c r="AJ49" i="44" s="1"/>
  <c r="G49" i="33" a="1"/>
  <c r="G49" i="33" s="1"/>
  <c r="AI17" i="44" a="1"/>
  <c r="AI17" i="44" s="1"/>
  <c r="AI37" i="45" a="1"/>
  <c r="AI37" i="45" s="1"/>
  <c r="Z41" i="44" a="1"/>
  <c r="Z41" i="44" s="1"/>
  <c r="AG19" i="44" a="1"/>
  <c r="AG19" i="44" s="1"/>
  <c r="AF91" i="44" a="1"/>
  <c r="AF91" i="44" s="1"/>
  <c r="AA55" i="45" a="1"/>
  <c r="AA55" i="45" s="1"/>
  <c r="AE20" i="44" a="1"/>
  <c r="AE20" i="44" s="1"/>
  <c r="AJ31" i="44" a="1"/>
  <c r="AJ31" i="44" s="1"/>
  <c r="S59" i="44" a="1"/>
  <c r="S59" i="44" s="1"/>
  <c r="AN17" i="33" a="1"/>
  <c r="AN17" i="33" s="1"/>
  <c r="F43" i="44" a="1"/>
  <c r="F43" i="44" s="1"/>
  <c r="AE95" i="33" a="1"/>
  <c r="AE95" i="33" s="1"/>
  <c r="C64" i="42" a="1"/>
  <c r="C64" i="42" s="1"/>
  <c r="E95" i="33" a="1"/>
  <c r="E95" i="33" s="1"/>
  <c r="AI50" i="45" a="1"/>
  <c r="AI50" i="45" s="1"/>
  <c r="L104" i="45" a="1"/>
  <c r="L104" i="45" s="1"/>
  <c r="J40" i="44" a="1"/>
  <c r="J40" i="44" s="1"/>
  <c r="T85" i="45" a="1"/>
  <c r="T85" i="45" s="1"/>
  <c r="AJ71" i="44" a="1"/>
  <c r="AJ71" i="44" s="1"/>
  <c r="C23" i="46" a="1"/>
  <c r="C23" i="46" s="1"/>
  <c r="E10" i="45" a="1"/>
  <c r="E10" i="45" s="1"/>
  <c r="Q10" i="45" a="1"/>
  <c r="Q10" i="45" s="1"/>
  <c r="Q41" i="45" a="1"/>
  <c r="Q41" i="45" s="1"/>
  <c r="E43" i="44" a="1"/>
  <c r="E43" i="44" s="1"/>
  <c r="E42" i="44" s="1"/>
  <c r="AG38" i="45" a="1"/>
  <c r="AG38" i="45" s="1"/>
  <c r="E29" i="44" a="1"/>
  <c r="E29" i="44" s="1"/>
  <c r="AI83" i="33" a="1"/>
  <c r="AI83" i="33" s="1"/>
  <c r="R85" i="33" a="1"/>
  <c r="R85" i="33" s="1"/>
  <c r="S29" i="33" a="1"/>
  <c r="S29" i="33" s="1"/>
  <c r="AM26" i="33" a="1"/>
  <c r="AM26" i="33" s="1"/>
  <c r="AQ70" i="45" a="1"/>
  <c r="AQ70" i="45" s="1"/>
  <c r="C73" i="33" a="1"/>
  <c r="C73" i="33" s="1"/>
  <c r="E67" i="44" a="1"/>
  <c r="E67" i="44" s="1"/>
  <c r="AC101" i="44" a="1"/>
  <c r="AC101" i="44" s="1"/>
  <c r="X68" i="45" a="1"/>
  <c r="X68" i="45" s="1"/>
  <c r="AR41" i="45" a="1"/>
  <c r="AR41" i="45" s="1"/>
  <c r="AE94" i="44" a="1"/>
  <c r="AE94" i="44" s="1"/>
  <c r="AG49" i="44" a="1"/>
  <c r="AG49" i="44" s="1"/>
  <c r="S103" i="44" a="1"/>
  <c r="S103" i="44" s="1"/>
  <c r="AL22" i="44" a="1"/>
  <c r="AL22" i="44" s="1"/>
  <c r="AD86" i="45" a="1"/>
  <c r="AD86" i="45" s="1"/>
  <c r="AM10" i="44" a="1"/>
  <c r="AM10" i="44" s="1"/>
  <c r="U67" i="33" a="1"/>
  <c r="U67" i="33" s="1"/>
  <c r="AM37" i="33" a="1"/>
  <c r="AM37" i="33" s="1"/>
  <c r="AH95" i="33" a="1"/>
  <c r="AH95" i="33" s="1"/>
  <c r="AH93" i="33" s="1"/>
  <c r="AP59" i="33" a="1"/>
  <c r="AP59" i="33" s="1"/>
  <c r="C95" i="44" a="1"/>
  <c r="C95" i="44" s="1"/>
  <c r="Y80" i="45" a="1"/>
  <c r="Y80" i="45" s="1"/>
  <c r="AP98" i="44" a="1"/>
  <c r="AP98" i="44" s="1"/>
  <c r="R101" i="33" a="1"/>
  <c r="R101" i="33" s="1"/>
  <c r="AR40" i="44" a="1"/>
  <c r="AR40" i="44" s="1"/>
  <c r="H100" i="45" a="1"/>
  <c r="H100" i="45" s="1"/>
  <c r="P101" i="45" a="1"/>
  <c r="P101" i="45" s="1"/>
  <c r="P16" i="44" a="1"/>
  <c r="P16" i="44" s="1"/>
  <c r="K62" i="44" a="1"/>
  <c r="K62" i="44" s="1"/>
  <c r="X64" i="44" a="1"/>
  <c r="X64" i="44" s="1"/>
  <c r="AP65" i="45" a="1"/>
  <c r="AP65" i="45" s="1"/>
  <c r="X46" i="45" a="1"/>
  <c r="X46" i="45" s="1"/>
  <c r="R79" i="33" a="1"/>
  <c r="R79" i="33" s="1"/>
  <c r="AJ68" i="44" a="1"/>
  <c r="AJ68" i="44" s="1"/>
  <c r="AO104" i="44" a="1"/>
  <c r="AO104" i="44" s="1"/>
  <c r="AN95" i="45" a="1"/>
  <c r="AN95" i="45" s="1"/>
  <c r="AJ68" i="33" a="1"/>
  <c r="AJ68" i="33" s="1"/>
  <c r="E20" i="45" a="1"/>
  <c r="E20" i="45" s="1"/>
  <c r="O19" i="33" a="1"/>
  <c r="O19" i="33" s="1"/>
  <c r="AO16" i="45" a="1"/>
  <c r="AO16" i="45" s="1"/>
  <c r="O85" i="45" a="1"/>
  <c r="O85" i="45" s="1"/>
  <c r="AA11" i="45" a="1"/>
  <c r="AA11" i="45" s="1"/>
  <c r="AR88" i="45" a="1"/>
  <c r="AR88" i="45" s="1"/>
  <c r="AL88" i="44" a="1"/>
  <c r="AL88" i="44" s="1"/>
  <c r="AA11" i="44" a="1"/>
  <c r="AA11" i="44" s="1"/>
  <c r="AO43" i="33" a="1"/>
  <c r="AO43" i="33" s="1"/>
  <c r="P73" i="45" a="1"/>
  <c r="P73" i="45" s="1"/>
  <c r="P72" i="45" s="1"/>
  <c r="K80" i="44" a="1"/>
  <c r="K80" i="44" s="1"/>
  <c r="AN32" i="45" a="1"/>
  <c r="AN32" i="45" s="1"/>
  <c r="X41" i="44" a="1"/>
  <c r="X41" i="44" s="1"/>
  <c r="W50" i="45" a="1"/>
  <c r="W50" i="45" s="1"/>
  <c r="X62" i="44" a="1"/>
  <c r="X62" i="44" s="1"/>
  <c r="R46" i="33" a="1"/>
  <c r="R46" i="33" s="1"/>
  <c r="AB23" i="33" a="1"/>
  <c r="AB23" i="33" s="1"/>
  <c r="L41" i="45" a="1"/>
  <c r="L41" i="45" s="1"/>
  <c r="S10" i="33" a="1"/>
  <c r="S10" i="33" s="1"/>
  <c r="I59" i="44" a="1"/>
  <c r="I59" i="44" s="1"/>
  <c r="I57" i="44" s="1"/>
  <c r="T46" i="44" a="1"/>
  <c r="T46" i="44" s="1"/>
  <c r="AO17" i="33" a="1"/>
  <c r="AO17" i="33" s="1"/>
  <c r="V28" i="44" a="1"/>
  <c r="V28" i="44" s="1"/>
  <c r="V85" i="44" a="1"/>
  <c r="V85" i="44" s="1"/>
  <c r="AF88" i="33" a="1"/>
  <c r="AF88" i="33" s="1"/>
  <c r="AK70" i="33" a="1"/>
  <c r="AK70" i="33" s="1"/>
  <c r="AO101" i="44" a="1"/>
  <c r="AO101" i="44" s="1"/>
  <c r="AR34" i="33" a="1"/>
  <c r="AR34" i="33" s="1"/>
  <c r="K103" i="45" a="1"/>
  <c r="K103" i="45" s="1"/>
  <c r="AQ88" i="45" a="1"/>
  <c r="AQ88" i="45" s="1"/>
  <c r="AJ103" i="45" a="1"/>
  <c r="AJ103" i="45" s="1"/>
  <c r="AA82" i="45" a="1"/>
  <c r="AA82" i="45" s="1"/>
  <c r="T47" i="44" a="1"/>
  <c r="T47" i="44" s="1"/>
  <c r="G95" i="33" a="1"/>
  <c r="G95" i="33" s="1"/>
  <c r="AC74" i="44" a="1"/>
  <c r="AC74" i="44" s="1"/>
  <c r="C58" i="47" a="1"/>
  <c r="C58" i="47" s="1"/>
  <c r="AJ104" i="45" a="1"/>
  <c r="AJ104" i="45" s="1"/>
  <c r="F47" i="44" a="1"/>
  <c r="F47" i="44" s="1"/>
  <c r="K64" i="44" a="1"/>
  <c r="K64" i="44" s="1"/>
  <c r="AP25" i="45" a="1"/>
  <c r="AP25" i="45" s="1"/>
  <c r="AL52" i="44" a="1"/>
  <c r="AL52" i="44" s="1"/>
  <c r="AJ65" i="33" a="1"/>
  <c r="AJ65" i="33" s="1"/>
  <c r="C98" i="44" a="1"/>
  <c r="C98" i="44" s="1"/>
  <c r="AK31" i="44" a="1"/>
  <c r="AK31" i="44" s="1"/>
  <c r="AO35" i="44" a="1"/>
  <c r="AO35" i="44" s="1"/>
  <c r="AO33" i="44" s="1"/>
  <c r="M86" i="33" a="1"/>
  <c r="M86" i="33" s="1"/>
  <c r="M84" i="33" s="1"/>
  <c r="M46" i="45" a="1"/>
  <c r="M46" i="45" s="1"/>
  <c r="G26" i="33" a="1"/>
  <c r="G26" i="33" s="1"/>
  <c r="AF85" i="44" a="1"/>
  <c r="AF85" i="44" s="1"/>
  <c r="J37" i="44" a="1"/>
  <c r="J37" i="44" s="1"/>
  <c r="AO67" i="45" a="1"/>
  <c r="AO67" i="45" s="1"/>
  <c r="I79" i="45" a="1"/>
  <c r="I79" i="45" s="1"/>
  <c r="AJ56" i="44" a="1"/>
  <c r="AJ56" i="44" s="1"/>
  <c r="AC16" i="45" a="1"/>
  <c r="AC16" i="45" s="1"/>
  <c r="AH10" i="45" a="1"/>
  <c r="AH10" i="45" s="1"/>
  <c r="O22" i="33" a="1"/>
  <c r="O22" i="33" s="1"/>
  <c r="J20" i="33" a="1"/>
  <c r="J20" i="33" s="1"/>
  <c r="J10" i="33" a="1"/>
  <c r="J10" i="33" s="1"/>
  <c r="S100" i="45" a="1"/>
  <c r="S100" i="45" s="1"/>
  <c r="G35" i="45" a="1"/>
  <c r="G35" i="45" s="1"/>
  <c r="T73" i="44" a="1"/>
  <c r="T73" i="44" s="1"/>
  <c r="L62" i="44" a="1"/>
  <c r="L62" i="44" s="1"/>
  <c r="AE28" i="44" a="1"/>
  <c r="AE28" i="44" s="1"/>
  <c r="G95" i="45" a="1"/>
  <c r="G95" i="45" s="1"/>
  <c r="AE71" i="44" a="1"/>
  <c r="AE71" i="44" s="1"/>
  <c r="AP52" i="44" a="1"/>
  <c r="AP52" i="44" s="1"/>
  <c r="C53" i="45" a="1"/>
  <c r="C53" i="45" s="1"/>
  <c r="M91" i="45" a="1"/>
  <c r="M91" i="45" s="1"/>
  <c r="AP29" i="44" a="1"/>
  <c r="AP29" i="44" s="1"/>
  <c r="Z103" i="44" a="1"/>
  <c r="Z103" i="44" s="1"/>
  <c r="K50" i="45" a="1"/>
  <c r="K50" i="45" s="1"/>
  <c r="U37" i="33" a="1"/>
  <c r="U37" i="33" s="1"/>
  <c r="Q46" i="33" a="1"/>
  <c r="Q46" i="33" s="1"/>
  <c r="AE19" i="33" a="1"/>
  <c r="AE19" i="33" s="1"/>
  <c r="AE18" i="33" s="1"/>
  <c r="S44" i="44" a="1"/>
  <c r="S44" i="44" s="1"/>
  <c r="R68" i="33" a="1"/>
  <c r="R68" i="33" s="1"/>
  <c r="U17" i="44" a="1"/>
  <c r="U17" i="44" s="1"/>
  <c r="AC68" i="45" a="1"/>
  <c r="AC68" i="45" s="1"/>
  <c r="AI35" i="45" a="1"/>
  <c r="AI35" i="45" s="1"/>
  <c r="AI77" i="45" a="1"/>
  <c r="AI77" i="45" s="1"/>
  <c r="AK61" i="33" a="1"/>
  <c r="AK61" i="33" s="1"/>
  <c r="AC55" i="33" a="1"/>
  <c r="AC55" i="33" s="1"/>
  <c r="Y98" i="44" a="1"/>
  <c r="Y98" i="44" s="1"/>
  <c r="Z52" i="33" a="1"/>
  <c r="Z52" i="33" s="1"/>
  <c r="I77" i="33" a="1"/>
  <c r="I77" i="33" s="1"/>
  <c r="E97" i="33" a="1"/>
  <c r="E97" i="33" s="1"/>
  <c r="E26" i="33" a="1"/>
  <c r="E26" i="33" s="1"/>
  <c r="E49" i="44" a="1"/>
  <c r="E49" i="44" s="1"/>
  <c r="E48" i="44" s="1"/>
  <c r="E17" i="45" a="1"/>
  <c r="E17" i="45" s="1"/>
  <c r="AL38" i="45" a="1"/>
  <c r="AL38" i="45" s="1"/>
  <c r="Z67" i="45" a="1"/>
  <c r="Z67" i="45" s="1"/>
  <c r="L68" i="45" a="1"/>
  <c r="L68" i="45" s="1"/>
  <c r="AI80" i="44" a="1"/>
  <c r="AI80" i="44" s="1"/>
  <c r="AL86" i="33" a="1"/>
  <c r="AL86" i="33" s="1"/>
  <c r="M25" i="45" a="1"/>
  <c r="M25" i="45" s="1"/>
  <c r="Q83" i="45" a="1"/>
  <c r="Q83" i="45" s="1"/>
  <c r="Y82" i="44" a="1"/>
  <c r="Y82" i="44" s="1"/>
  <c r="AF104" i="45" a="1"/>
  <c r="AF104" i="45" s="1"/>
  <c r="J52" i="33" a="1"/>
  <c r="J52" i="33" s="1"/>
  <c r="N43" i="45" a="1"/>
  <c r="N43" i="45" s="1"/>
  <c r="AP91" i="44" a="1"/>
  <c r="AP91" i="44" s="1"/>
  <c r="G73" i="45" a="1"/>
  <c r="G73" i="45" s="1"/>
  <c r="AL31" i="44" a="1"/>
  <c r="AL31" i="44" s="1"/>
  <c r="AI10" i="33" a="1"/>
  <c r="AI10" i="33" s="1"/>
  <c r="AF61" i="44" a="1"/>
  <c r="AF61" i="44" s="1"/>
  <c r="AJ62" i="44" a="1"/>
  <c r="AJ62" i="44" s="1"/>
  <c r="C88" i="47" a="1"/>
  <c r="C88" i="47" s="1"/>
  <c r="AB103" i="44" a="1"/>
  <c r="AB103" i="44" s="1"/>
  <c r="E73" i="33" a="1"/>
  <c r="E73" i="33" s="1"/>
  <c r="AM100" i="45" a="1"/>
  <c r="AM100" i="45" s="1"/>
  <c r="R80" i="44" a="1"/>
  <c r="R80" i="44" s="1"/>
  <c r="X41" i="33" a="1"/>
  <c r="X41" i="33" s="1"/>
  <c r="F92" i="33" a="1"/>
  <c r="F92" i="33" s="1"/>
  <c r="AH38" i="33" a="1"/>
  <c r="AH38" i="33" s="1"/>
  <c r="AL43" i="45" a="1"/>
  <c r="AL43" i="45" s="1"/>
  <c r="R82" i="44" a="1"/>
  <c r="R82" i="44" s="1"/>
  <c r="AI88" i="44" a="1"/>
  <c r="AI88" i="44" s="1"/>
  <c r="AR95" i="45" a="1"/>
  <c r="AR95" i="45" s="1"/>
  <c r="AI47" i="33" a="1"/>
  <c r="AI47" i="33" s="1"/>
  <c r="P97" i="45" a="1"/>
  <c r="P97" i="45" s="1"/>
  <c r="K19" i="44" a="1"/>
  <c r="K19" i="44" s="1"/>
  <c r="C64" i="44" a="1"/>
  <c r="C64" i="44" s="1"/>
  <c r="G41" i="33" a="1"/>
  <c r="G41" i="33" s="1"/>
  <c r="U89" i="45" a="1"/>
  <c r="U89" i="45" s="1"/>
  <c r="K56" i="44" a="1"/>
  <c r="K56" i="44" s="1"/>
  <c r="I85" i="45" a="1"/>
  <c r="I85" i="45" s="1"/>
  <c r="AO46" i="44" a="1"/>
  <c r="AO46" i="44" s="1"/>
  <c r="AR56" i="44" a="1"/>
  <c r="AR56" i="44" s="1"/>
  <c r="V91" i="44" a="1"/>
  <c r="V91" i="44" s="1"/>
  <c r="X40" i="45" a="1"/>
  <c r="X40" i="45" s="1"/>
  <c r="AO58" i="44" a="1"/>
  <c r="AO58" i="44" s="1"/>
  <c r="AE19" i="44" a="1"/>
  <c r="AE19" i="44" s="1"/>
  <c r="O91" i="44" a="1"/>
  <c r="O91" i="44" s="1"/>
  <c r="O94" i="44" a="1"/>
  <c r="O94" i="44" s="1"/>
  <c r="J55" i="44" a="1"/>
  <c r="J55" i="44" s="1"/>
  <c r="W43" i="33" a="1"/>
  <c r="W43" i="33" s="1"/>
  <c r="AK98" i="45" a="1"/>
  <c r="AK98" i="45" s="1"/>
  <c r="AK35" i="33" a="1"/>
  <c r="AK35" i="33" s="1"/>
  <c r="J98" i="33" a="1"/>
  <c r="J98" i="33" s="1"/>
  <c r="H103" i="44" a="1"/>
  <c r="H103" i="44" s="1"/>
  <c r="AR28" i="45" a="1"/>
  <c r="AR28" i="45" s="1"/>
  <c r="AE47" i="44" a="1"/>
  <c r="AE47" i="44" s="1"/>
  <c r="AB35" i="45" a="1"/>
  <c r="AB35" i="45" s="1"/>
  <c r="I68" i="45" a="1"/>
  <c r="I68" i="45" s="1"/>
  <c r="M38" i="45" a="1"/>
  <c r="M38" i="45" s="1"/>
  <c r="J34" i="33" a="1"/>
  <c r="J34" i="33" s="1"/>
  <c r="Z65" i="33" a="1"/>
  <c r="Z65" i="33" s="1"/>
  <c r="W100" i="44" a="1"/>
  <c r="W100" i="44" s="1"/>
  <c r="L71" i="33" a="1"/>
  <c r="L71" i="33" s="1"/>
  <c r="AQ59" i="44" a="1"/>
  <c r="AQ59" i="44" s="1"/>
  <c r="S61" i="45" a="1"/>
  <c r="S61" i="45" s="1"/>
  <c r="AG55" i="44" a="1"/>
  <c r="AG55" i="44" s="1"/>
  <c r="AG54" i="44" s="1"/>
  <c r="Z95" i="33" a="1"/>
  <c r="Z95" i="33" s="1"/>
  <c r="AM43" i="33" a="1"/>
  <c r="AM43" i="33" s="1"/>
  <c r="AD94" i="33" a="1"/>
  <c r="AD94" i="33" s="1"/>
  <c r="S97" i="33" a="1"/>
  <c r="S97" i="33" s="1"/>
  <c r="AF55" i="44" a="1"/>
  <c r="AF55" i="44" s="1"/>
  <c r="R22" i="44" a="1"/>
  <c r="R22" i="44" s="1"/>
  <c r="W52" i="44" a="1"/>
  <c r="W52" i="44" s="1"/>
  <c r="AK97" i="33" a="1"/>
  <c r="AK97" i="33" s="1"/>
  <c r="AD73" i="44" a="1"/>
  <c r="AD73" i="44" s="1"/>
  <c r="AJ71" i="45" a="1"/>
  <c r="AJ71" i="45" s="1"/>
  <c r="R77" i="44" a="1"/>
  <c r="R77" i="44" s="1"/>
  <c r="T58" i="44" a="1"/>
  <c r="T58" i="44" s="1"/>
  <c r="O56" i="44" a="1"/>
  <c r="O56" i="44" s="1"/>
  <c r="AI83" i="44" a="1"/>
  <c r="AI83" i="44" s="1"/>
  <c r="O88" i="33" a="1"/>
  <c r="O88" i="33" s="1"/>
  <c r="AI76" i="33" a="1"/>
  <c r="AI76" i="33" s="1"/>
  <c r="AD20" i="33" a="1"/>
  <c r="AD20" i="33" s="1"/>
  <c r="AC11" i="44" a="1"/>
  <c r="AC11" i="44" s="1"/>
  <c r="U76" i="33" a="1"/>
  <c r="U76" i="33" s="1"/>
  <c r="L89" i="33" a="1"/>
  <c r="L89" i="33" s="1"/>
  <c r="C80" i="47" a="1"/>
  <c r="C80" i="47" s="1"/>
  <c r="U100" i="33" a="1"/>
  <c r="U100" i="33" s="1"/>
  <c r="U99" i="33" s="1"/>
  <c r="AE64" i="44" a="1"/>
  <c r="AE64" i="44" s="1"/>
  <c r="AB46" i="44" a="1"/>
  <c r="AB46" i="44" s="1"/>
  <c r="M71" i="45" a="1"/>
  <c r="M71" i="45" s="1"/>
  <c r="M103" i="45" a="1"/>
  <c r="M103" i="45" s="1"/>
  <c r="R76" i="33" a="1"/>
  <c r="R76" i="33" s="1"/>
  <c r="W26" i="44" a="1"/>
  <c r="W26" i="44" s="1"/>
  <c r="G52" i="33" a="1"/>
  <c r="G52" i="33" s="1"/>
  <c r="AN47" i="33" a="1"/>
  <c r="AN47" i="33" s="1"/>
  <c r="AA86" i="45" a="1"/>
  <c r="AA86" i="45" s="1"/>
  <c r="T68" i="44" a="1"/>
  <c r="T68" i="44" s="1"/>
  <c r="AP100" i="45" a="1"/>
  <c r="AP100" i="45" s="1"/>
  <c r="C104" i="46" a="1"/>
  <c r="C104" i="46" s="1"/>
  <c r="AN97" i="44" a="1"/>
  <c r="AN97" i="44" s="1"/>
  <c r="AJ67" i="44" a="1"/>
  <c r="AJ67" i="44" s="1"/>
  <c r="W88" i="45" a="1"/>
  <c r="W88" i="45" s="1"/>
  <c r="P25" i="44" a="1"/>
  <c r="P25" i="44" s="1"/>
  <c r="AI35" i="33" a="1"/>
  <c r="AI35" i="33" s="1"/>
  <c r="U53" i="44" a="1"/>
  <c r="U53" i="44" s="1"/>
  <c r="O41" i="45" a="1"/>
  <c r="O41" i="45" s="1"/>
  <c r="AP22" i="33" a="1"/>
  <c r="AP22" i="33" s="1"/>
  <c r="G19" i="45" a="1"/>
  <c r="G19" i="45" s="1"/>
  <c r="X86" i="44" a="1"/>
  <c r="X86" i="44" s="1"/>
  <c r="L103" i="44" a="1"/>
  <c r="L103" i="44" s="1"/>
  <c r="K100" i="45" a="1"/>
  <c r="K100" i="45" s="1"/>
  <c r="AA61" i="33" a="1"/>
  <c r="AA61" i="33" s="1"/>
  <c r="AD34" i="44" a="1"/>
  <c r="AD34" i="44" s="1"/>
  <c r="AL103" i="33" a="1"/>
  <c r="AL103" i="33" s="1"/>
  <c r="Z37" i="45" a="1"/>
  <c r="Z37" i="45" s="1"/>
  <c r="Y34" i="45" a="1"/>
  <c r="Y34" i="45" s="1"/>
  <c r="L17" i="33" a="1"/>
  <c r="L17" i="33" s="1"/>
  <c r="E55" i="33" a="1"/>
  <c r="E55" i="33" s="1"/>
  <c r="AQ17" i="33" a="1"/>
  <c r="AQ17" i="33" s="1"/>
  <c r="N97" i="44" a="1"/>
  <c r="N97" i="44" s="1"/>
  <c r="L88" i="44" a="1"/>
  <c r="L88" i="44" s="1"/>
  <c r="T56" i="44" a="1"/>
  <c r="T56" i="44" s="1"/>
  <c r="W101" i="33" a="1"/>
  <c r="W101" i="33" s="1"/>
  <c r="AG94" i="45" a="1"/>
  <c r="AG94" i="45" s="1"/>
  <c r="O104" i="44" a="1"/>
  <c r="O104" i="44" s="1"/>
  <c r="AQ50" i="33" a="1"/>
  <c r="AQ50" i="33" s="1"/>
  <c r="N71" i="45" a="1"/>
  <c r="N71" i="45" s="1"/>
  <c r="H97" i="44" a="1"/>
  <c r="H97" i="44" s="1"/>
  <c r="C31" i="47" a="1"/>
  <c r="C31" i="47" s="1"/>
  <c r="AG52" i="45" a="1"/>
  <c r="AG52" i="45" s="1"/>
  <c r="AP88" i="45" a="1"/>
  <c r="AP88" i="45" s="1"/>
  <c r="G98" i="44" a="1"/>
  <c r="G98" i="44" s="1"/>
  <c r="R19" i="33" a="1"/>
  <c r="R19" i="33" s="1"/>
  <c r="W37" i="44" a="1"/>
  <c r="W37" i="44" s="1"/>
  <c r="H64" i="45" a="1"/>
  <c r="H64" i="45" s="1"/>
  <c r="AR22" i="33" a="1"/>
  <c r="AR22" i="33" s="1"/>
  <c r="AR83" i="45" a="1"/>
  <c r="AR83" i="45" s="1"/>
  <c r="F76" i="44" a="1"/>
  <c r="F76" i="44" s="1"/>
  <c r="AE11" i="45" a="1"/>
  <c r="AE11" i="45" s="1"/>
  <c r="AQ34" i="45" a="1"/>
  <c r="AQ34" i="45" s="1"/>
  <c r="AK47" i="33" a="1"/>
  <c r="AK47" i="33" s="1"/>
  <c r="AH22" i="45" a="1"/>
  <c r="AH22" i="45" s="1"/>
  <c r="AB31" i="44" a="1"/>
  <c r="AB31" i="44" s="1"/>
  <c r="AM34" i="44" a="1"/>
  <c r="AM34" i="44" s="1"/>
  <c r="O37" i="44" a="1"/>
  <c r="O37" i="44" s="1"/>
  <c r="P43" i="33" a="1"/>
  <c r="P43" i="33" s="1"/>
  <c r="E76" i="44" a="1"/>
  <c r="E76" i="44" s="1"/>
  <c r="W65" i="44" a="1"/>
  <c r="W65" i="44" s="1"/>
  <c r="AG16" i="45" a="1"/>
  <c r="AG16" i="45" s="1"/>
  <c r="V79" i="45" a="1"/>
  <c r="V79" i="45" s="1"/>
  <c r="M58" i="45" a="1"/>
  <c r="M58" i="45" s="1"/>
  <c r="AO74" i="45" a="1"/>
  <c r="AO74" i="45" s="1"/>
  <c r="AF80" i="45" a="1"/>
  <c r="AF80" i="45" s="1"/>
  <c r="M50" i="33" a="1"/>
  <c r="M50" i="33" s="1"/>
  <c r="AH91" i="44" a="1"/>
  <c r="AH91" i="44" s="1"/>
  <c r="E23" i="44" a="1"/>
  <c r="E23" i="44" s="1"/>
  <c r="C43" i="33" a="1"/>
  <c r="C43" i="33" s="1"/>
  <c r="X23" i="45" a="1"/>
  <c r="X23" i="45" s="1"/>
  <c r="Y20" i="45" a="1"/>
  <c r="Y20" i="45" s="1"/>
  <c r="AB85" i="33" a="1"/>
  <c r="AB85" i="33" s="1"/>
  <c r="AR80" i="45" a="1"/>
  <c r="AR80" i="45" s="1"/>
  <c r="AA101" i="45" a="1"/>
  <c r="AA101" i="45" s="1"/>
  <c r="T32" i="44" a="1"/>
  <c r="T32" i="44" s="1"/>
  <c r="AA68" i="45" a="1"/>
  <c r="AA68" i="45" s="1"/>
  <c r="AI86" i="33" a="1"/>
  <c r="AI86" i="33" s="1"/>
  <c r="AG88" i="33" a="1"/>
  <c r="AG88" i="33" s="1"/>
  <c r="V80" i="33" a="1"/>
  <c r="V80" i="33" s="1"/>
  <c r="AO76" i="44" a="1"/>
  <c r="AO76" i="44" s="1"/>
  <c r="AE20" i="45" a="1"/>
  <c r="AE20" i="45" s="1"/>
  <c r="U86" i="33" a="1"/>
  <c r="U86" i="33" s="1"/>
  <c r="AC83" i="44" a="1"/>
  <c r="AC83" i="44" s="1"/>
  <c r="AR74" i="45" a="1"/>
  <c r="AR74" i="45" s="1"/>
  <c r="S55" i="33" a="1"/>
  <c r="S55" i="33" s="1"/>
  <c r="N28" i="45" a="1"/>
  <c r="N28" i="45" s="1"/>
  <c r="H46" i="45" a="1"/>
  <c r="H46" i="45" s="1"/>
  <c r="AN65" i="33" a="1"/>
  <c r="AN65" i="33" s="1"/>
  <c r="AG100" i="33" a="1"/>
  <c r="AG100" i="33" s="1"/>
  <c r="K97" i="33" a="1"/>
  <c r="K97" i="33" s="1"/>
  <c r="N91" i="33" a="1"/>
  <c r="N91" i="33" s="1"/>
  <c r="C80" i="43" a="1"/>
  <c r="C80" i="43" s="1"/>
  <c r="O62" i="45" a="1"/>
  <c r="O62" i="45" s="1"/>
  <c r="C80" i="33" a="1"/>
  <c r="C80" i="33" s="1"/>
  <c r="AQ62" i="33" a="1"/>
  <c r="AQ62" i="33" s="1"/>
  <c r="Z37" i="44" a="1"/>
  <c r="Z37" i="44" s="1"/>
  <c r="C101" i="41" a="1"/>
  <c r="C101" i="41" s="1"/>
  <c r="S59" i="45" a="1"/>
  <c r="S59" i="45" s="1"/>
  <c r="AE88" i="33" a="1"/>
  <c r="AE88" i="33" s="1"/>
  <c r="V65" i="33" a="1"/>
  <c r="V65" i="33" s="1"/>
  <c r="S73" i="33" a="1"/>
  <c r="S73" i="33" s="1"/>
  <c r="AL53" i="45" a="1"/>
  <c r="AL53" i="45" s="1"/>
  <c r="AC88" i="44" a="1"/>
  <c r="AC88" i="44" s="1"/>
  <c r="I62" i="44" a="1"/>
  <c r="I62" i="44" s="1"/>
  <c r="G40" i="45" a="1"/>
  <c r="G40" i="45" s="1"/>
  <c r="AD25" i="33" a="1"/>
  <c r="AD25" i="33" s="1"/>
  <c r="AM37" i="45" a="1"/>
  <c r="AM37" i="45" s="1"/>
  <c r="I41" i="44" a="1"/>
  <c r="I41" i="44" s="1"/>
  <c r="U19" i="33" a="1"/>
  <c r="U19" i="33" s="1"/>
  <c r="J76" i="33" a="1"/>
  <c r="J76" i="33" s="1"/>
  <c r="Y43" i="45" a="1"/>
  <c r="Y43" i="45" s="1"/>
  <c r="G26" i="44" a="1"/>
  <c r="G26" i="44" s="1"/>
  <c r="Z10" i="44" a="1"/>
  <c r="Z10" i="44" s="1"/>
  <c r="L53" i="45" a="1"/>
  <c r="L53" i="45" s="1"/>
  <c r="F80" i="33" a="1"/>
  <c r="F80" i="33" s="1"/>
  <c r="AF59" i="45" a="1"/>
  <c r="AF59" i="45" s="1"/>
  <c r="X10" i="33" a="1"/>
  <c r="X10" i="33" s="1"/>
  <c r="O49" i="45" a="1"/>
  <c r="O49" i="45" s="1"/>
  <c r="U28" i="33" a="1"/>
  <c r="U28" i="33" s="1"/>
  <c r="U11" i="45" a="1"/>
  <c r="U11" i="45" s="1"/>
  <c r="X83" i="44" a="1"/>
  <c r="X83" i="44" s="1"/>
  <c r="L34" i="45" a="1"/>
  <c r="L34" i="45" s="1"/>
  <c r="P40" i="45" a="1"/>
  <c r="P40" i="45" s="1"/>
  <c r="V43" i="44" a="1"/>
  <c r="V43" i="44" s="1"/>
  <c r="G64" i="45" a="1"/>
  <c r="G64" i="45" s="1"/>
  <c r="E67" i="45" a="1"/>
  <c r="E67" i="45" s="1"/>
  <c r="AG10" i="33" a="1"/>
  <c r="AG10" i="33" s="1"/>
  <c r="AF19" i="45" a="1"/>
  <c r="AF19" i="45" s="1"/>
  <c r="P103" i="45" a="1"/>
  <c r="P103" i="45" s="1"/>
  <c r="W86" i="33" a="1"/>
  <c r="W86" i="33" s="1"/>
  <c r="AN86" i="45" a="1"/>
  <c r="AN86" i="45" s="1"/>
  <c r="C25" i="33" a="1"/>
  <c r="C25" i="33" s="1"/>
  <c r="AA95" i="45" a="1"/>
  <c r="AA95" i="45" s="1"/>
  <c r="R59" i="44" a="1"/>
  <c r="R59" i="44" s="1"/>
  <c r="C65" i="47" a="1"/>
  <c r="C65" i="47" s="1"/>
  <c r="AK62" i="45" a="1"/>
  <c r="AK62" i="45" s="1"/>
  <c r="AB58" i="33" a="1"/>
  <c r="AB58" i="33" s="1"/>
  <c r="Q100" i="33" a="1"/>
  <c r="Q100" i="33" s="1"/>
  <c r="AP64" i="44" a="1"/>
  <c r="AP64" i="44" s="1"/>
  <c r="M101" i="45" a="1"/>
  <c r="M101" i="45" s="1"/>
  <c r="AE50" i="33" a="1"/>
  <c r="AE50" i="33" s="1"/>
  <c r="Q80" i="44" a="1"/>
  <c r="Q80" i="44" s="1"/>
  <c r="E88" i="44" a="1"/>
  <c r="E88" i="44" s="1"/>
  <c r="I67" i="44" a="1"/>
  <c r="I67" i="44" s="1"/>
  <c r="G85" i="45" a="1"/>
  <c r="G85" i="45" s="1"/>
  <c r="AF53" i="45" a="1"/>
  <c r="AF53" i="45" s="1"/>
  <c r="AQ50" i="44" a="1"/>
  <c r="AQ50" i="44" s="1"/>
  <c r="N35" i="33" a="1"/>
  <c r="N35" i="33" s="1"/>
  <c r="S32" i="45" a="1"/>
  <c r="S32" i="45" s="1"/>
  <c r="W43" i="44" a="1"/>
  <c r="W43" i="44" s="1"/>
  <c r="AB55" i="44" a="1"/>
  <c r="AB55" i="44" s="1"/>
  <c r="AP67" i="33" a="1"/>
  <c r="AP67" i="33" s="1"/>
  <c r="Y82" i="45" a="1"/>
  <c r="Y82" i="45" s="1"/>
  <c r="AR103" i="33" a="1"/>
  <c r="AR103" i="33" s="1"/>
  <c r="AM19" i="45" a="1"/>
  <c r="AM19" i="45" s="1"/>
  <c r="F70" i="44" a="1"/>
  <c r="F70" i="44" s="1"/>
  <c r="F49" i="45" a="1"/>
  <c r="F49" i="45" s="1"/>
  <c r="AP103" i="33" a="1"/>
  <c r="AP103" i="33" s="1"/>
  <c r="AG94" i="44" a="1"/>
  <c r="AG94" i="44" s="1"/>
  <c r="P52" i="44" a="1"/>
  <c r="P52" i="44" s="1"/>
  <c r="AM59" i="33" a="1"/>
  <c r="AM59" i="33" s="1"/>
  <c r="L38" i="44" a="1"/>
  <c r="L38" i="44" s="1"/>
  <c r="M97" i="45" a="1"/>
  <c r="M97" i="45" s="1"/>
  <c r="AF79" i="33" a="1"/>
  <c r="AF79" i="33" s="1"/>
  <c r="M74" i="45" a="1"/>
  <c r="M74" i="45" s="1"/>
  <c r="Y11" i="33" a="1"/>
  <c r="Y11" i="33" s="1"/>
  <c r="M77" i="45" a="1"/>
  <c r="M77" i="45" s="1"/>
  <c r="O73" i="44" a="1"/>
  <c r="O73" i="44" s="1"/>
  <c r="Z17" i="45" a="1"/>
  <c r="Z17" i="45" s="1"/>
  <c r="T91" i="45" a="1"/>
  <c r="T91" i="45" s="1"/>
  <c r="J62" i="44" a="1"/>
  <c r="J62" i="44" s="1"/>
  <c r="K61" i="33" a="1"/>
  <c r="K61" i="33" s="1"/>
  <c r="AR103" i="45" a="1"/>
  <c r="AR103" i="45" s="1"/>
  <c r="AN68" i="45" a="1"/>
  <c r="AN68" i="45" s="1"/>
  <c r="AP91" i="45" a="1"/>
  <c r="AP91" i="45" s="1"/>
  <c r="Z80" i="33" a="1"/>
  <c r="Z80" i="33" s="1"/>
  <c r="M74" i="44" a="1"/>
  <c r="M74" i="44" s="1"/>
  <c r="Z76" i="44" a="1"/>
  <c r="Z76" i="44" s="1"/>
  <c r="I35" i="33" a="1"/>
  <c r="I35" i="33" s="1"/>
  <c r="G55" i="44" a="1"/>
  <c r="G55" i="44" s="1"/>
  <c r="AE22" i="45" a="1"/>
  <c r="AE22" i="45" s="1"/>
  <c r="J89" i="44" a="1"/>
  <c r="J89" i="44" s="1"/>
  <c r="P16" i="33" a="1"/>
  <c r="P16" i="33" s="1"/>
  <c r="AR20" i="44" a="1"/>
  <c r="AR20" i="44" s="1"/>
  <c r="L20" i="33" a="1"/>
  <c r="L20" i="33" s="1"/>
  <c r="AQ95" i="33" a="1"/>
  <c r="AQ95" i="33" s="1"/>
  <c r="V91" i="45" a="1"/>
  <c r="V91" i="45" s="1"/>
  <c r="AD74" i="44" a="1"/>
  <c r="AD74" i="44" s="1"/>
  <c r="X86" i="33" a="1"/>
  <c r="X86" i="33" s="1"/>
  <c r="Z19" i="44" a="1"/>
  <c r="Z19" i="44" s="1"/>
  <c r="AJ64" i="44" a="1"/>
  <c r="AJ64" i="44" s="1"/>
  <c r="H77" i="44" a="1"/>
  <c r="H77" i="44" s="1"/>
  <c r="AC58" i="45" a="1"/>
  <c r="AC58" i="45" s="1"/>
  <c r="M104" i="33" a="1"/>
  <c r="M104" i="33" s="1"/>
  <c r="AM85" i="44" a="1"/>
  <c r="AM85" i="44" s="1"/>
  <c r="X80" i="44" a="1"/>
  <c r="X80" i="44" s="1"/>
  <c r="AN85" i="44" a="1"/>
  <c r="AN85" i="44" s="1"/>
  <c r="J58" i="33" a="1"/>
  <c r="J58" i="33" s="1"/>
  <c r="N65" i="33" a="1"/>
  <c r="N65" i="33" s="1"/>
  <c r="R41" i="33" a="1"/>
  <c r="R41" i="33" s="1"/>
  <c r="AR44" i="33" a="1"/>
  <c r="AR44" i="33" s="1"/>
  <c r="C73" i="45" a="1"/>
  <c r="C73" i="45" s="1"/>
  <c r="T64" i="45" a="1"/>
  <c r="T64" i="45" s="1"/>
  <c r="R88" i="45" a="1"/>
  <c r="R88" i="45" s="1"/>
  <c r="AJ95" i="45" a="1"/>
  <c r="AJ95" i="45" s="1"/>
  <c r="AN26" i="44" a="1"/>
  <c r="AN26" i="44" s="1"/>
  <c r="AF71" i="33" a="1"/>
  <c r="AF71" i="33" s="1"/>
  <c r="O62" i="44" a="1"/>
  <c r="O62" i="44" s="1"/>
  <c r="H100" i="44" a="1"/>
  <c r="H100" i="44" s="1"/>
  <c r="AL37" i="44" a="1"/>
  <c r="AL37" i="44" s="1"/>
  <c r="N68" i="33" a="1"/>
  <c r="N68" i="33" s="1"/>
  <c r="T62" i="44" a="1"/>
  <c r="T62" i="44" s="1"/>
  <c r="T74" i="45" a="1"/>
  <c r="T74" i="45" s="1"/>
  <c r="S38" i="33" a="1"/>
  <c r="S38" i="33" s="1"/>
  <c r="Y104" i="45" a="1"/>
  <c r="Y104" i="45" s="1"/>
  <c r="AE19" i="45" a="1"/>
  <c r="AE19" i="45" s="1"/>
  <c r="C68" i="45" a="1"/>
  <c r="C68" i="45" s="1"/>
  <c r="AE95" i="44" a="1"/>
  <c r="AE95" i="44" s="1"/>
  <c r="M43" i="44" a="1"/>
  <c r="M43" i="44" s="1"/>
  <c r="K92" i="45" a="1"/>
  <c r="K92" i="45" s="1"/>
  <c r="C89" i="45" a="1"/>
  <c r="C89" i="45" s="1"/>
  <c r="T91" i="33" a="1"/>
  <c r="T91" i="33" s="1"/>
  <c r="AQ97" i="45" a="1"/>
  <c r="AQ97" i="45" s="1"/>
  <c r="O95" i="45" a="1"/>
  <c r="O95" i="45" s="1"/>
  <c r="AH50" i="45" a="1"/>
  <c r="AH50" i="45" s="1"/>
  <c r="AQ85" i="33" a="1"/>
  <c r="AQ85" i="33" s="1"/>
  <c r="U62" i="44" a="1"/>
  <c r="U62" i="44" s="1"/>
  <c r="AA41" i="44" a="1"/>
  <c r="AA41" i="44" s="1"/>
  <c r="AJ70" i="33" a="1"/>
  <c r="AJ70" i="33" s="1"/>
  <c r="AB94" i="33" a="1"/>
  <c r="AB94" i="33" s="1"/>
  <c r="E11" i="33" a="1"/>
  <c r="E11" i="33" s="1"/>
  <c r="R56" i="44" a="1"/>
  <c r="R56" i="44" s="1"/>
  <c r="AB82" i="45" a="1"/>
  <c r="AB82" i="45" s="1"/>
  <c r="S49" i="33" a="1"/>
  <c r="S49" i="33" s="1"/>
  <c r="AP70" i="45" a="1"/>
  <c r="AP70" i="45" s="1"/>
  <c r="AK49" i="33" a="1"/>
  <c r="AK49" i="33" s="1"/>
  <c r="AJ86" i="33" a="1"/>
  <c r="AJ86" i="33" s="1"/>
  <c r="Q55" i="33" a="1"/>
  <c r="Q55" i="33" s="1"/>
  <c r="C77" i="44" a="1"/>
  <c r="C77" i="44" s="1"/>
  <c r="AH49" i="33" a="1"/>
  <c r="AH49" i="33" s="1"/>
  <c r="Y80" i="44" a="1"/>
  <c r="Y80" i="44" s="1"/>
  <c r="AD31" i="45" a="1"/>
  <c r="AD31" i="45" s="1"/>
  <c r="E47" i="45" a="1"/>
  <c r="E47" i="45" s="1"/>
  <c r="AG103" i="45" a="1"/>
  <c r="AG103" i="45" s="1"/>
  <c r="AM79" i="33" a="1"/>
  <c r="AM79" i="33" s="1"/>
  <c r="Q77" i="44" a="1"/>
  <c r="Q77" i="44" s="1"/>
  <c r="F83" i="45" a="1"/>
  <c r="F83" i="45" s="1"/>
  <c r="AD88" i="44" a="1"/>
  <c r="AD88" i="44" s="1"/>
  <c r="J16" i="44" a="1"/>
  <c r="J16" i="44" s="1"/>
  <c r="L50" i="44" a="1"/>
  <c r="L50" i="44" s="1"/>
  <c r="AK59" i="44" a="1"/>
  <c r="AK59" i="44" s="1"/>
  <c r="AC103" i="45" a="1"/>
  <c r="AC103" i="45" s="1"/>
  <c r="Y31" i="44" a="1"/>
  <c r="Y31" i="44" s="1"/>
  <c r="F98" i="44" a="1"/>
  <c r="F98" i="44" s="1"/>
  <c r="AB55" i="33" a="1"/>
  <c r="AB55" i="33" s="1"/>
  <c r="Y61" i="45" a="1"/>
  <c r="Y61" i="45" s="1"/>
  <c r="AN83" i="33" a="1"/>
  <c r="AN83" i="33" s="1"/>
  <c r="S64" i="44" a="1"/>
  <c r="S64" i="44" s="1"/>
  <c r="AO103" i="45" a="1"/>
  <c r="AO103" i="45" s="1"/>
  <c r="W62" i="33" a="1"/>
  <c r="W62" i="33" s="1"/>
  <c r="AE10" i="45" a="1"/>
  <c r="AE10" i="45" s="1"/>
  <c r="AL65" i="33" a="1"/>
  <c r="AL65" i="33" s="1"/>
  <c r="AH49" i="44" a="1"/>
  <c r="AH49" i="44" s="1"/>
  <c r="AP11" i="45" a="1"/>
  <c r="AP11" i="45" s="1"/>
  <c r="AF49" i="44" a="1"/>
  <c r="AF49" i="44" s="1"/>
  <c r="T50" i="45" a="1"/>
  <c r="T50" i="45" s="1"/>
  <c r="AL88" i="45" a="1"/>
  <c r="AL88" i="45" s="1"/>
  <c r="J44" i="33" a="1"/>
  <c r="J44" i="33" s="1"/>
  <c r="E53" i="45" a="1"/>
  <c r="E53" i="45" s="1"/>
  <c r="O10" i="45" a="1"/>
  <c r="O10" i="45" s="1"/>
  <c r="AD32" i="44" a="1"/>
  <c r="AD32" i="44" s="1"/>
  <c r="X73" i="45" a="1"/>
  <c r="X73" i="45" s="1"/>
  <c r="AD68" i="44" a="1"/>
  <c r="AD68" i="44" s="1"/>
  <c r="C88" i="43" a="1"/>
  <c r="C88" i="43" s="1"/>
  <c r="N67" i="33" a="1"/>
  <c r="N67" i="33" s="1"/>
  <c r="AF35" i="45" a="1"/>
  <c r="AF35" i="45" s="1"/>
  <c r="S41" i="45" a="1"/>
  <c r="S41" i="45" s="1"/>
  <c r="L70" i="44" a="1"/>
  <c r="L70" i="44" s="1"/>
  <c r="AQ101" i="33" a="1"/>
  <c r="AQ101" i="33" s="1"/>
  <c r="AM71" i="44" a="1"/>
  <c r="AM71" i="44" s="1"/>
  <c r="AD53" i="44" a="1"/>
  <c r="AD53" i="44" s="1"/>
  <c r="AD49" i="33" a="1"/>
  <c r="AD49" i="33" s="1"/>
  <c r="AE88" i="45" a="1"/>
  <c r="AE88" i="45" s="1"/>
  <c r="X104" i="45" a="1"/>
  <c r="X104" i="45" s="1"/>
  <c r="AQ10" i="45" a="1"/>
  <c r="AQ10" i="45" s="1"/>
  <c r="R40" i="45" a="1"/>
  <c r="R40" i="45" s="1"/>
  <c r="AK88" i="45" a="1"/>
  <c r="AK88" i="45" s="1"/>
  <c r="AA28" i="45" a="1"/>
  <c r="AA28" i="45" s="1"/>
  <c r="N53" i="33" a="1"/>
  <c r="N53" i="33" s="1"/>
  <c r="N53" i="45" a="1"/>
  <c r="N53" i="45" s="1"/>
  <c r="T11" i="44" a="1"/>
  <c r="T11" i="44" s="1"/>
  <c r="L80" i="45" a="1"/>
  <c r="L80" i="45" s="1"/>
  <c r="AA17" i="44" a="1"/>
  <c r="AA17" i="44" s="1"/>
  <c r="AG59" i="45" a="1"/>
  <c r="AG59" i="45" s="1"/>
  <c r="H98" i="44" a="1"/>
  <c r="H98" i="44" s="1"/>
  <c r="AP77" i="33" a="1"/>
  <c r="AP77" i="33" s="1"/>
  <c r="L56" i="44" a="1"/>
  <c r="L56" i="44" s="1"/>
  <c r="AI58" i="44" a="1"/>
  <c r="AI58" i="44" s="1"/>
  <c r="S26" i="44" a="1"/>
  <c r="S26" i="44" s="1"/>
  <c r="W56" i="44" a="1"/>
  <c r="W56" i="44" s="1"/>
  <c r="AR86" i="45" a="1"/>
  <c r="AR86" i="45" s="1"/>
  <c r="AE47" i="33" a="1"/>
  <c r="AE47" i="33" s="1"/>
  <c r="AE38" i="44" a="1"/>
  <c r="AE38" i="44" s="1"/>
  <c r="AE49" i="44" a="1"/>
  <c r="AE49" i="44" s="1"/>
  <c r="J76" i="44" a="1"/>
  <c r="J76" i="44" s="1"/>
  <c r="AN59" i="45" a="1"/>
  <c r="AN59" i="45" s="1"/>
  <c r="AG91" i="44" a="1"/>
  <c r="AG91" i="44" s="1"/>
  <c r="AE100" i="33" a="1"/>
  <c r="AE100" i="33" s="1"/>
  <c r="AI56" i="33" a="1"/>
  <c r="AI56" i="33" s="1"/>
  <c r="G79" i="44" a="1"/>
  <c r="G79" i="44" s="1"/>
  <c r="R23" i="45" a="1"/>
  <c r="R23" i="45" s="1"/>
  <c r="AQ80" i="44" a="1"/>
  <c r="AQ80" i="44" s="1"/>
  <c r="W20" i="33" a="1"/>
  <c r="W20" i="33" s="1"/>
  <c r="AG25" i="45" a="1"/>
  <c r="AG25" i="45" s="1"/>
  <c r="P44" i="33" a="1"/>
  <c r="P44" i="33" s="1"/>
  <c r="AO35" i="33" a="1"/>
  <c r="AO35" i="33" s="1"/>
  <c r="O79" i="44" a="1"/>
  <c r="O79" i="44" s="1"/>
  <c r="AH41" i="45" a="1"/>
  <c r="AH41" i="45" s="1"/>
  <c r="C28" i="47" a="1"/>
  <c r="C28" i="47" s="1"/>
  <c r="X23" i="44" a="1"/>
  <c r="X23" i="44" s="1"/>
  <c r="Z89" i="44" a="1"/>
  <c r="Z89" i="44" s="1"/>
  <c r="AB49" i="45" a="1"/>
  <c r="AB49" i="45" s="1"/>
  <c r="R32" i="45" a="1"/>
  <c r="R32" i="45" s="1"/>
  <c r="AN20" i="44" a="1"/>
  <c r="AN20" i="44" s="1"/>
  <c r="N44" i="45" a="1"/>
  <c r="N44" i="45" s="1"/>
  <c r="AI59" i="33" a="1"/>
  <c r="AI59" i="33" s="1"/>
  <c r="AA50" i="45" a="1"/>
  <c r="AA50" i="45" s="1"/>
  <c r="AE59" i="44" a="1"/>
  <c r="AE59" i="44" s="1"/>
  <c r="AO25" i="45" a="1"/>
  <c r="AO25" i="45" s="1"/>
  <c r="AO58" i="33" a="1"/>
  <c r="AO58" i="33" s="1"/>
  <c r="P59" i="44" a="1"/>
  <c r="P59" i="44" s="1"/>
  <c r="O38" i="44" a="1"/>
  <c r="O38" i="44" s="1"/>
  <c r="R44" i="44" a="1"/>
  <c r="R44" i="44" s="1"/>
  <c r="AM86" i="44" a="1"/>
  <c r="AM86" i="44" s="1"/>
  <c r="F52" i="45" a="1"/>
  <c r="F52" i="45" s="1"/>
  <c r="S20" i="44" a="1"/>
  <c r="S20" i="44" s="1"/>
  <c r="AH28" i="45" a="1"/>
  <c r="AH28" i="45" s="1"/>
  <c r="C47" i="33" a="1"/>
  <c r="C47" i="33" s="1"/>
  <c r="AE86" i="33" a="1"/>
  <c r="AE86" i="33" s="1"/>
  <c r="AP79" i="44" a="1"/>
  <c r="AP79" i="44" s="1"/>
  <c r="E53" i="33" a="1"/>
  <c r="E53" i="33" s="1"/>
  <c r="Q38" i="33" a="1"/>
  <c r="Q38" i="33" s="1"/>
  <c r="I46" i="33" a="1"/>
  <c r="I46" i="33" s="1"/>
  <c r="AJ26" i="45" a="1"/>
  <c r="AJ26" i="45" s="1"/>
  <c r="P22" i="33" a="1"/>
  <c r="P22" i="33" s="1"/>
  <c r="R44" i="45" a="1"/>
  <c r="R44" i="45" s="1"/>
  <c r="AP31" i="44" a="1"/>
  <c r="AP31" i="44" s="1"/>
  <c r="O20" i="45" a="1"/>
  <c r="O20" i="45" s="1"/>
  <c r="O18" i="45" s="1"/>
  <c r="AK98" i="33" a="1"/>
  <c r="AK98" i="33" s="1"/>
  <c r="AQ77" i="44" a="1"/>
  <c r="AQ77" i="44" s="1"/>
  <c r="Q76" i="33" a="1"/>
  <c r="Q76" i="33" s="1"/>
  <c r="V17" i="33" a="1"/>
  <c r="V17" i="33" s="1"/>
  <c r="AQ28" i="33" a="1"/>
  <c r="AQ28" i="33" s="1"/>
  <c r="AI94" i="44" a="1"/>
  <c r="AI94" i="44" s="1"/>
  <c r="Q19" i="33" a="1"/>
  <c r="Q19" i="33" s="1"/>
  <c r="AI85" i="33" a="1"/>
  <c r="AI85" i="33" s="1"/>
  <c r="H17" i="33" a="1"/>
  <c r="H17" i="33" s="1"/>
  <c r="E104" i="45" a="1"/>
  <c r="E104" i="45" s="1"/>
  <c r="V61" i="44" a="1"/>
  <c r="V61" i="44" s="1"/>
  <c r="AG26" i="45" a="1"/>
  <c r="AG26" i="45" s="1"/>
  <c r="Y97" i="45" a="1"/>
  <c r="Y97" i="45" s="1"/>
  <c r="C50" i="41" a="1"/>
  <c r="C50" i="41" s="1"/>
  <c r="R31" i="33" a="1"/>
  <c r="R31" i="33" s="1"/>
  <c r="H74" i="45" a="1"/>
  <c r="H74" i="45" s="1"/>
  <c r="M86" i="44" a="1"/>
  <c r="M86" i="44" s="1"/>
  <c r="H11" i="44" a="1"/>
  <c r="H11" i="44" s="1"/>
  <c r="AH53" i="45" a="1"/>
  <c r="AH53" i="45" s="1"/>
  <c r="AB85" i="44" a="1"/>
  <c r="AB85" i="44" s="1"/>
  <c r="AP92" i="45" a="1"/>
  <c r="AP92" i="45" s="1"/>
  <c r="AO67" i="44" a="1"/>
  <c r="AO67" i="44" s="1"/>
  <c r="C35" i="45" a="1"/>
  <c r="C35" i="45" s="1"/>
  <c r="AG103" i="33" a="1"/>
  <c r="AG103" i="33" s="1"/>
  <c r="AP56" i="45" a="1"/>
  <c r="AP56" i="45" s="1"/>
  <c r="J98" i="44" a="1"/>
  <c r="J98" i="44" s="1"/>
  <c r="U58" i="45" a="1"/>
  <c r="U58" i="45" s="1"/>
  <c r="AD17" i="44" a="1"/>
  <c r="AD17" i="44" s="1"/>
  <c r="G92" i="44" a="1"/>
  <c r="G92" i="44" s="1"/>
  <c r="Z59" i="44" a="1"/>
  <c r="Z59" i="44" s="1"/>
  <c r="I26" i="45" a="1"/>
  <c r="I26" i="45" s="1"/>
  <c r="N83" i="45" a="1"/>
  <c r="N83" i="45" s="1"/>
  <c r="AN70" i="45" a="1"/>
  <c r="AN70" i="45" s="1"/>
  <c r="AH85" i="33" a="1"/>
  <c r="AH85" i="33" s="1"/>
  <c r="O100" i="33" a="1"/>
  <c r="O100" i="33" s="1"/>
  <c r="AP44" i="44" a="1"/>
  <c r="AP44" i="44" s="1"/>
  <c r="AD46" i="44" a="1"/>
  <c r="AD46" i="44" s="1"/>
  <c r="AL83" i="44" a="1"/>
  <c r="AL83" i="44" s="1"/>
  <c r="J82" i="33" a="1"/>
  <c r="J82" i="33" s="1"/>
  <c r="H41" i="45" a="1"/>
  <c r="H41" i="45" s="1"/>
  <c r="AH25" i="45" a="1"/>
  <c r="AH25" i="45" s="1"/>
  <c r="AP47" i="33" a="1"/>
  <c r="AP47" i="33" s="1"/>
  <c r="J43" i="44" a="1"/>
  <c r="J43" i="44" s="1"/>
  <c r="AC37" i="45" a="1"/>
  <c r="AC37" i="45" s="1"/>
  <c r="C61" i="46" a="1"/>
  <c r="C61" i="46" s="1"/>
  <c r="C67" i="45" a="1"/>
  <c r="C67" i="45" s="1"/>
  <c r="S11" i="33" a="1"/>
  <c r="S11" i="33" s="1"/>
  <c r="E103" i="45" a="1"/>
  <c r="E103" i="45" s="1"/>
  <c r="AP49" i="45" a="1"/>
  <c r="AP49" i="45" s="1"/>
  <c r="Z52" i="44" a="1"/>
  <c r="Z52" i="44" s="1"/>
  <c r="C74" i="41" a="1"/>
  <c r="C74" i="41" s="1"/>
  <c r="AK82" i="45" a="1"/>
  <c r="AK82" i="45" s="1"/>
  <c r="Y67" i="45" a="1"/>
  <c r="Y67" i="45" s="1"/>
  <c r="C50" i="33" a="1"/>
  <c r="C50" i="33" s="1"/>
  <c r="E41" i="45" a="1"/>
  <c r="E41" i="45" s="1"/>
  <c r="AF50" i="33" a="1"/>
  <c r="AF50" i="33" s="1"/>
  <c r="J92" i="44" a="1"/>
  <c r="J92" i="44" s="1"/>
  <c r="AE80" i="33" a="1"/>
  <c r="AE80" i="33" s="1"/>
  <c r="K50" i="44" a="1"/>
  <c r="K50" i="44" s="1"/>
  <c r="AE76" i="45" a="1"/>
  <c r="AE76" i="45" s="1"/>
  <c r="C103" i="47" a="1"/>
  <c r="C103" i="47" s="1"/>
  <c r="L83" i="45" a="1"/>
  <c r="L83" i="45" s="1"/>
  <c r="AF80" i="44" a="1"/>
  <c r="AF80" i="44" s="1"/>
  <c r="AO46" i="45" a="1"/>
  <c r="AO46" i="45" s="1"/>
  <c r="I59" i="45" a="1"/>
  <c r="I59" i="45" s="1"/>
  <c r="V79" i="33" a="1"/>
  <c r="V79" i="33" s="1"/>
  <c r="AL62" i="33" a="1"/>
  <c r="AL62" i="33" s="1"/>
  <c r="G74" i="33" a="1"/>
  <c r="G74" i="33" s="1"/>
  <c r="X79" i="45" a="1"/>
  <c r="X79" i="45" s="1"/>
  <c r="AA35" i="45" a="1"/>
  <c r="AA35" i="45" s="1"/>
  <c r="C46" i="44" a="1"/>
  <c r="C46" i="44" s="1"/>
  <c r="T86" i="33" a="1"/>
  <c r="T86" i="33" s="1"/>
  <c r="P74" i="44" a="1"/>
  <c r="P74" i="44" s="1"/>
  <c r="AO11" i="45" a="1"/>
  <c r="AO11" i="45" s="1"/>
  <c r="W56" i="33" a="1"/>
  <c r="W56" i="33" s="1"/>
  <c r="V77" i="44" a="1"/>
  <c r="V77" i="44" s="1"/>
  <c r="AC10" i="33" a="1"/>
  <c r="AC10" i="33" s="1"/>
  <c r="T26" i="44" a="1"/>
  <c r="T26" i="44" s="1"/>
  <c r="C80" i="41" a="1"/>
  <c r="C80" i="41" s="1"/>
  <c r="Z79" i="44" a="1"/>
  <c r="Z79" i="44" s="1"/>
  <c r="AE82" i="33" a="1"/>
  <c r="AE82" i="33" s="1"/>
  <c r="Q62" i="44" a="1"/>
  <c r="Q62" i="44" s="1"/>
  <c r="AL31" i="33" a="1"/>
  <c r="AL31" i="33" s="1"/>
  <c r="AC70" i="44" a="1"/>
  <c r="AC70" i="44" s="1"/>
  <c r="X22" i="44" a="1"/>
  <c r="X22" i="44" s="1"/>
  <c r="AL94" i="45" a="1"/>
  <c r="AL94" i="45" s="1"/>
  <c r="AL93" i="45" s="1"/>
  <c r="Q56" i="33" a="1"/>
  <c r="Q56" i="33" s="1"/>
  <c r="M83" i="45" a="1"/>
  <c r="M83" i="45" s="1"/>
  <c r="AL100" i="33" a="1"/>
  <c r="AL100" i="33" s="1"/>
  <c r="X55" i="45" a="1"/>
  <c r="X55" i="45" s="1"/>
  <c r="AQ50" i="45" a="1"/>
  <c r="AQ50" i="45" s="1"/>
  <c r="AN19" i="33" a="1"/>
  <c r="AN19" i="33" s="1"/>
  <c r="AA74" i="44" a="1"/>
  <c r="AA74" i="44" s="1"/>
  <c r="S32" i="44" a="1"/>
  <c r="S32" i="44" s="1"/>
  <c r="Z62" i="44" a="1"/>
  <c r="Z62" i="44" s="1"/>
  <c r="AG83" i="44" a="1"/>
  <c r="AG83" i="44" s="1"/>
  <c r="I53" i="33" a="1"/>
  <c r="I53" i="33" s="1"/>
  <c r="W92" i="44" a="1"/>
  <c r="W92" i="44" s="1"/>
  <c r="T31" i="44" a="1"/>
  <c r="T31" i="44" s="1"/>
  <c r="AN23" i="45" a="1"/>
  <c r="AN23" i="45" s="1"/>
  <c r="U74" i="44" a="1"/>
  <c r="U74" i="44" s="1"/>
  <c r="AM100" i="44" a="1"/>
  <c r="AM100" i="44" s="1"/>
  <c r="AQ11" i="33" a="1"/>
  <c r="AQ11" i="33" s="1"/>
  <c r="AQ49" i="33" a="1"/>
  <c r="AQ49" i="33" s="1"/>
  <c r="G80" i="44" a="1"/>
  <c r="G80" i="44" s="1"/>
  <c r="E37" i="33" a="1"/>
  <c r="E37" i="33" s="1"/>
  <c r="X97" i="45" a="1"/>
  <c r="X97" i="45" s="1"/>
  <c r="M50" i="45" a="1"/>
  <c r="M50" i="45" s="1"/>
  <c r="AJ43" i="44" a="1"/>
  <c r="AJ43" i="44" s="1"/>
  <c r="AM67" i="33" a="1"/>
  <c r="AM67" i="33" s="1"/>
  <c r="AI92" i="44" a="1"/>
  <c r="AI92" i="44" s="1"/>
  <c r="C38" i="41" a="1"/>
  <c r="C38" i="41" s="1"/>
  <c r="M23" i="44" a="1"/>
  <c r="M23" i="44" s="1"/>
  <c r="AI19" i="44" a="1"/>
  <c r="AI19" i="44" s="1"/>
  <c r="AH103" i="44" a="1"/>
  <c r="AH103" i="44" s="1"/>
  <c r="AQ85" i="45" a="1"/>
  <c r="AQ85" i="45" s="1"/>
  <c r="AK50" i="44" a="1"/>
  <c r="AK50" i="44" s="1"/>
  <c r="C47" i="47" a="1"/>
  <c r="C47" i="47" s="1"/>
  <c r="X58" i="33" a="1"/>
  <c r="X58" i="33" s="1"/>
  <c r="AN61" i="44" a="1"/>
  <c r="AN61" i="44" s="1"/>
  <c r="AH98" i="33" a="1"/>
  <c r="AH98" i="33" s="1"/>
  <c r="AL49" i="33" a="1"/>
  <c r="AL49" i="33" s="1"/>
  <c r="K52" i="45" a="1"/>
  <c r="K52" i="45" s="1"/>
  <c r="C47" i="42" a="1"/>
  <c r="C47" i="42" s="1"/>
  <c r="M70" i="45" a="1"/>
  <c r="M70" i="45" s="1"/>
  <c r="X89" i="33" a="1"/>
  <c r="X89" i="33" s="1"/>
  <c r="AE67" i="33" a="1"/>
  <c r="AE67" i="33" s="1"/>
  <c r="C97" i="33" a="1"/>
  <c r="C97" i="33" s="1"/>
  <c r="AG100" i="45" a="1"/>
  <c r="AG100" i="45" s="1"/>
  <c r="V50" i="44" a="1"/>
  <c r="V50" i="44" s="1"/>
  <c r="AH28" i="33" a="1"/>
  <c r="AH28" i="33" s="1"/>
  <c r="J17" i="33" a="1"/>
  <c r="J17" i="33" s="1"/>
  <c r="AF89" i="45" a="1"/>
  <c r="AF89" i="45" s="1"/>
  <c r="AB38" i="45" a="1"/>
  <c r="AB38" i="45" s="1"/>
  <c r="AR92" i="44" a="1"/>
  <c r="AR92" i="44" s="1"/>
  <c r="J71" i="45" a="1"/>
  <c r="J71" i="45" s="1"/>
  <c r="T16" i="45" a="1"/>
  <c r="T16" i="45" s="1"/>
  <c r="AB88" i="33" a="1"/>
  <c r="AB88" i="33" s="1"/>
  <c r="AN17" i="44" a="1"/>
  <c r="AN17" i="44" s="1"/>
  <c r="AH64" i="33" a="1"/>
  <c r="AH64" i="33" s="1"/>
  <c r="K32" i="45" a="1"/>
  <c r="K32" i="45" s="1"/>
  <c r="AG22" i="33" a="1"/>
  <c r="AG22" i="33" s="1"/>
  <c r="AP55" i="45" a="1"/>
  <c r="AP55" i="45" s="1"/>
  <c r="K16" i="33" a="1"/>
  <c r="K16" i="33" s="1"/>
  <c r="I32" i="33" a="1"/>
  <c r="I32" i="33" s="1"/>
  <c r="C76" i="33" a="1"/>
  <c r="C76" i="33" s="1"/>
  <c r="W64" i="44" a="1"/>
  <c r="W64" i="44" s="1"/>
  <c r="R77" i="33" a="1"/>
  <c r="R77" i="33" s="1"/>
  <c r="AI97" i="45" a="1"/>
  <c r="AI97" i="45" s="1"/>
  <c r="AL101" i="45" a="1"/>
  <c r="AL101" i="45" s="1"/>
  <c r="AR59" i="45" a="1"/>
  <c r="AR59" i="45" s="1"/>
  <c r="F43" i="45" a="1"/>
  <c r="F43" i="45" s="1"/>
  <c r="S94" i="33" a="1"/>
  <c r="S94" i="33" s="1"/>
  <c r="AI49" i="45" a="1"/>
  <c r="AI49" i="45" s="1"/>
  <c r="AN10" i="45" a="1"/>
  <c r="AN10" i="45" s="1"/>
  <c r="K11" i="45" a="1"/>
  <c r="K11" i="45" s="1"/>
  <c r="C104" i="44" a="1"/>
  <c r="C104" i="44" s="1"/>
  <c r="P20" i="45" a="1"/>
  <c r="P20" i="45" s="1"/>
  <c r="P18" i="45" s="1"/>
  <c r="E38" i="44" a="1"/>
  <c r="E38" i="44" s="1"/>
  <c r="AD44" i="45" a="1"/>
  <c r="AD44" i="45" s="1"/>
  <c r="AO79" i="45" a="1"/>
  <c r="AO79" i="45" s="1"/>
  <c r="AP85" i="44" a="1"/>
  <c r="AP85" i="44" s="1"/>
  <c r="C16" i="43" a="1"/>
  <c r="C16" i="43" s="1"/>
  <c r="J85" i="44" a="1"/>
  <c r="J85" i="44" s="1"/>
  <c r="AH76" i="44" a="1"/>
  <c r="AH76" i="44" s="1"/>
  <c r="AN76" i="45" a="1"/>
  <c r="AN76" i="45" s="1"/>
  <c r="Y103" i="45" a="1"/>
  <c r="Y103" i="45" s="1"/>
  <c r="C85" i="44" a="1"/>
  <c r="C85" i="44" s="1"/>
  <c r="N46" i="33" a="1"/>
  <c r="N46" i="33" s="1"/>
  <c r="I23" i="33" a="1"/>
  <c r="I23" i="33" s="1"/>
  <c r="U82" i="45" a="1"/>
  <c r="U82" i="45" s="1"/>
  <c r="AB95" i="44" a="1"/>
  <c r="AB95" i="44" s="1"/>
  <c r="N95" i="33" a="1"/>
  <c r="N95" i="33" s="1"/>
  <c r="AM40" i="33" a="1"/>
  <c r="AM40" i="33" s="1"/>
  <c r="AE65" i="33" a="1"/>
  <c r="AE65" i="33" s="1"/>
  <c r="E38" i="45" a="1"/>
  <c r="E38" i="45" s="1"/>
  <c r="AL67" i="33" a="1"/>
  <c r="AL67" i="33" s="1"/>
  <c r="AQ47" i="44" a="1"/>
  <c r="AQ47" i="44" s="1"/>
  <c r="AN55" i="33" a="1"/>
  <c r="AN55" i="33" s="1"/>
  <c r="M71" i="33" a="1"/>
  <c r="M71" i="33" s="1"/>
  <c r="AQ11" i="44" a="1"/>
  <c r="AQ11" i="44" s="1"/>
  <c r="X62" i="33" a="1"/>
  <c r="X62" i="33" s="1"/>
  <c r="S79" i="45" a="1"/>
  <c r="S79" i="45" s="1"/>
  <c r="AL62" i="44" a="1"/>
  <c r="AL62" i="44" s="1"/>
  <c r="T86" i="44" a="1"/>
  <c r="T86" i="44" s="1"/>
  <c r="P104" i="33" a="1"/>
  <c r="P104" i="33" s="1"/>
  <c r="H61" i="45" a="1"/>
  <c r="H61" i="45" s="1"/>
  <c r="I47" i="45" a="1"/>
  <c r="I47" i="45" s="1"/>
  <c r="M58" i="44" a="1"/>
  <c r="M58" i="44" s="1"/>
  <c r="AM43" i="44" a="1"/>
  <c r="AM43" i="44" s="1"/>
  <c r="AA104" i="44" a="1"/>
  <c r="AA104" i="44" s="1"/>
  <c r="X79" i="33" a="1"/>
  <c r="X79" i="33" s="1"/>
  <c r="G83" i="44" a="1"/>
  <c r="G83" i="44" s="1"/>
  <c r="G81" i="44" s="1"/>
  <c r="V11" i="33" a="1"/>
  <c r="V11" i="33" s="1"/>
  <c r="AA49" i="45" a="1"/>
  <c r="AA49" i="45" s="1"/>
  <c r="W22" i="44" a="1"/>
  <c r="W22" i="44" s="1"/>
  <c r="W21" i="44" s="1"/>
  <c r="F23" i="33" a="1"/>
  <c r="F23" i="33" s="1"/>
  <c r="AQ83" i="45" a="1"/>
  <c r="AQ83" i="45" s="1"/>
  <c r="Y76" i="45" a="1"/>
  <c r="Y76" i="45" s="1"/>
  <c r="Y75" i="45" s="1"/>
  <c r="AJ76" i="33" a="1"/>
  <c r="AJ76" i="33" s="1"/>
  <c r="V53" i="45" a="1"/>
  <c r="V53" i="45" s="1"/>
  <c r="AE95" i="45" a="1"/>
  <c r="AE95" i="45" s="1"/>
  <c r="J83" i="33" a="1"/>
  <c r="J83" i="33" s="1"/>
  <c r="X23" i="33" a="1"/>
  <c r="X23" i="33" s="1"/>
  <c r="O23" i="33" a="1"/>
  <c r="O23" i="33" s="1"/>
  <c r="L76" i="33" a="1"/>
  <c r="L76" i="33" s="1"/>
  <c r="X85" i="33" a="1"/>
  <c r="X85" i="33" s="1"/>
  <c r="T86" i="45" a="1"/>
  <c r="T86" i="45" s="1"/>
  <c r="AK79" i="45" a="1"/>
  <c r="AK79" i="45" s="1"/>
  <c r="AM89" i="44" a="1"/>
  <c r="AM89" i="44" s="1"/>
  <c r="T79" i="44" a="1"/>
  <c r="T79" i="44" s="1"/>
  <c r="Z26" i="44" a="1"/>
  <c r="Z26" i="44" s="1"/>
  <c r="C98" i="45" a="1"/>
  <c r="C98" i="45" s="1"/>
  <c r="C55" i="47" a="1"/>
  <c r="C55" i="47" s="1"/>
  <c r="AQ23" i="44" a="1"/>
  <c r="AQ23" i="44" s="1"/>
  <c r="I101" i="44" a="1"/>
  <c r="I101" i="44" s="1"/>
  <c r="H19" i="44" a="1"/>
  <c r="H19" i="44" s="1"/>
  <c r="R91" i="45" a="1"/>
  <c r="R91" i="45" s="1"/>
  <c r="Q100" i="44" a="1"/>
  <c r="Q100" i="44" s="1"/>
  <c r="W71" i="45" a="1"/>
  <c r="W71" i="45" s="1"/>
  <c r="C52" i="47" a="1"/>
  <c r="C52" i="47" s="1"/>
  <c r="J94" i="45" a="1"/>
  <c r="J94" i="45" s="1"/>
  <c r="AP40" i="33" a="1"/>
  <c r="AP40" i="33" s="1"/>
  <c r="AB58" i="45" a="1"/>
  <c r="AB58" i="45" s="1"/>
  <c r="AE89" i="45" a="1"/>
  <c r="AE89" i="45" s="1"/>
  <c r="I80" i="33" a="1"/>
  <c r="I80" i="33" s="1"/>
  <c r="AE29" i="33" a="1"/>
  <c r="AE29" i="33" s="1"/>
  <c r="AI65" i="45" a="1"/>
  <c r="AI65" i="45" s="1"/>
  <c r="J104" i="44" a="1"/>
  <c r="J104" i="44" s="1"/>
  <c r="C23" i="43" a="1"/>
  <c r="C23" i="43" s="1"/>
  <c r="P34" i="45" a="1"/>
  <c r="P34" i="45" s="1"/>
  <c r="Q11" i="33" a="1"/>
  <c r="Q11" i="33" s="1"/>
  <c r="T95" i="44" a="1"/>
  <c r="T95" i="44" s="1"/>
  <c r="W94" i="45" a="1"/>
  <c r="W94" i="45" s="1"/>
  <c r="AJ91" i="33" a="1"/>
  <c r="AJ91" i="33" s="1"/>
  <c r="Y44" i="33" a="1"/>
  <c r="Y44" i="33" s="1"/>
  <c r="Y43" i="33" a="1"/>
  <c r="Y43" i="33" s="1"/>
  <c r="AO49" i="44" a="1"/>
  <c r="AO49" i="44" s="1"/>
  <c r="AO48" i="44" s="1"/>
  <c r="H20" i="33" a="1"/>
  <c r="H20" i="33" s="1"/>
  <c r="L85" i="44" a="1"/>
  <c r="L85" i="44" s="1"/>
  <c r="L84" i="44" s="1"/>
  <c r="AH26" i="33" a="1"/>
  <c r="AH26" i="33" s="1"/>
  <c r="I17" i="44" a="1"/>
  <c r="I17" i="44" s="1"/>
  <c r="V58" i="44" a="1"/>
  <c r="V58" i="44" s="1"/>
  <c r="E97" i="44" a="1"/>
  <c r="E97" i="44" s="1"/>
  <c r="Z22" i="44" a="1"/>
  <c r="Z22" i="44" s="1"/>
  <c r="AE38" i="33" a="1"/>
  <c r="AE38" i="33" s="1"/>
  <c r="Z49" i="33" a="1"/>
  <c r="Z49" i="33" s="1"/>
  <c r="AP41" i="33" a="1"/>
  <c r="AP41" i="33" s="1"/>
  <c r="AP103" i="45" a="1"/>
  <c r="AP103" i="45" s="1"/>
  <c r="AC94" i="44" a="1"/>
  <c r="AC94" i="44" s="1"/>
  <c r="F10" i="33" a="1"/>
  <c r="F10" i="33" s="1"/>
  <c r="AM95" i="45" a="1"/>
  <c r="AM95" i="45" s="1"/>
  <c r="T41" i="45" a="1"/>
  <c r="T41" i="45" s="1"/>
  <c r="AG47" i="33" a="1"/>
  <c r="AG47" i="33" s="1"/>
  <c r="AJ52" i="45" a="1"/>
  <c r="AJ52" i="45" s="1"/>
  <c r="P79" i="45" a="1"/>
  <c r="P79" i="45" s="1"/>
  <c r="J103" i="44" a="1"/>
  <c r="J103" i="44" s="1"/>
  <c r="W71" i="33" a="1"/>
  <c r="W71" i="33" s="1"/>
  <c r="L95" i="44" a="1"/>
  <c r="L95" i="44" s="1"/>
  <c r="Z58" i="45" a="1"/>
  <c r="Z58" i="45" s="1"/>
  <c r="E67" i="33" a="1"/>
  <c r="E67" i="33" s="1"/>
  <c r="AD49" i="45" a="1"/>
  <c r="AD49" i="45" s="1"/>
  <c r="C22" i="44" a="1"/>
  <c r="C22" i="44" s="1"/>
  <c r="AL71" i="33" a="1"/>
  <c r="AL71" i="33" s="1"/>
  <c r="Q88" i="33" a="1"/>
  <c r="Q88" i="33" s="1"/>
  <c r="AD22" i="45" a="1"/>
  <c r="AD22" i="45" s="1"/>
  <c r="S76" i="44" a="1"/>
  <c r="S76" i="44" s="1"/>
  <c r="Q32" i="33" a="1"/>
  <c r="Q32" i="33" s="1"/>
  <c r="N56" i="44" a="1"/>
  <c r="N56" i="44" s="1"/>
  <c r="J94" i="33" a="1"/>
  <c r="J94" i="33" s="1"/>
  <c r="W80" i="44" a="1"/>
  <c r="W80" i="44" s="1"/>
  <c r="Z71" i="33" a="1"/>
  <c r="Z71" i="33" s="1"/>
  <c r="AH34" i="33" a="1"/>
  <c r="AH34" i="33" s="1"/>
  <c r="Q67" i="45" a="1"/>
  <c r="Q67" i="45" s="1"/>
  <c r="K98" i="45" a="1"/>
  <c r="K98" i="45" s="1"/>
  <c r="Q76" i="44" a="1"/>
  <c r="Q76" i="44" s="1"/>
  <c r="Q23" i="33" a="1"/>
  <c r="Q23" i="33" s="1"/>
  <c r="AJ17" i="45" a="1"/>
  <c r="AJ17" i="45" s="1"/>
  <c r="AK34" i="33" a="1"/>
  <c r="AK34" i="33" s="1"/>
  <c r="AA65" i="45" a="1"/>
  <c r="AA65" i="45" s="1"/>
  <c r="AH77" i="45" a="1"/>
  <c r="AH77" i="45" s="1"/>
  <c r="C22" i="41" a="1"/>
  <c r="C22" i="41" s="1"/>
  <c r="AE103" i="44" a="1"/>
  <c r="AE103" i="44" s="1"/>
  <c r="AH91" i="45" a="1"/>
  <c r="AH91" i="45" s="1"/>
  <c r="U59" i="33" a="1"/>
  <c r="U59" i="33" s="1"/>
  <c r="G77" i="44" a="1"/>
  <c r="G77" i="44" s="1"/>
  <c r="U89" i="44" a="1"/>
  <c r="U89" i="44" s="1"/>
  <c r="AN55" i="45" a="1"/>
  <c r="AN55" i="45" s="1"/>
  <c r="E58" i="33" a="1"/>
  <c r="E58" i="33" s="1"/>
  <c r="AB61" i="45" a="1"/>
  <c r="AB61" i="45" s="1"/>
  <c r="AB26" i="44" a="1"/>
  <c r="AB26" i="44" s="1"/>
  <c r="AB95" i="45" a="1"/>
  <c r="AB95" i="45" s="1"/>
  <c r="AC83" i="33" a="1"/>
  <c r="AC83" i="33" s="1"/>
  <c r="AH82" i="33" a="1"/>
  <c r="AH82" i="33" s="1"/>
  <c r="AK86" i="45" a="1"/>
  <c r="AK86" i="45" s="1"/>
  <c r="AJ82" i="45" a="1"/>
  <c r="AJ82" i="45" s="1"/>
  <c r="AH52" i="45" a="1"/>
  <c r="AH52" i="45" s="1"/>
  <c r="E65" i="44" a="1"/>
  <c r="E65" i="44" s="1"/>
  <c r="V95" i="44" a="1"/>
  <c r="V95" i="44" s="1"/>
  <c r="AC94" i="45" a="1"/>
  <c r="AC94" i="45" s="1"/>
  <c r="V101" i="33" a="1"/>
  <c r="V101" i="33" s="1"/>
  <c r="R88" i="33" a="1"/>
  <c r="R88" i="33" s="1"/>
  <c r="F77" i="45" a="1"/>
  <c r="F77" i="45" s="1"/>
  <c r="C40" i="33" a="1"/>
  <c r="C40" i="33" s="1"/>
  <c r="V68" i="33" a="1"/>
  <c r="V68" i="33" s="1"/>
  <c r="AH92" i="44" a="1"/>
  <c r="AH92" i="44" s="1"/>
  <c r="X88" i="44" a="1"/>
  <c r="X88" i="44" s="1"/>
  <c r="AD83" i="33" a="1"/>
  <c r="AD83" i="33" s="1"/>
  <c r="S79" i="33" a="1"/>
  <c r="S79" i="33" s="1"/>
  <c r="AP97" i="33" a="1"/>
  <c r="AP97" i="33" s="1"/>
  <c r="Y56" i="45" a="1"/>
  <c r="Y56" i="45" s="1"/>
  <c r="AK64" i="33" a="1"/>
  <c r="AK64" i="33" s="1"/>
  <c r="V38" i="44" a="1"/>
  <c r="V38" i="44" s="1"/>
  <c r="V36" i="44" s="1"/>
  <c r="V74" i="45" a="1"/>
  <c r="V74" i="45" s="1"/>
  <c r="W23" i="33" a="1"/>
  <c r="W23" i="33" s="1"/>
  <c r="AP56" i="44" a="1"/>
  <c r="AP56" i="44" s="1"/>
  <c r="S85" i="44" a="1"/>
  <c r="S85" i="44" s="1"/>
  <c r="C68" i="42" a="1"/>
  <c r="C68" i="42" s="1"/>
  <c r="AA64" i="45" a="1"/>
  <c r="AA64" i="45" s="1"/>
  <c r="R50" i="44" a="1"/>
  <c r="R50" i="44" s="1"/>
  <c r="Y32" i="45" a="1"/>
  <c r="Y32" i="45" s="1"/>
  <c r="AB28" i="45" a="1"/>
  <c r="AB28" i="45" s="1"/>
  <c r="AO52" i="45" a="1"/>
  <c r="AO52" i="45" s="1"/>
  <c r="I46" i="44" a="1"/>
  <c r="I46" i="44" s="1"/>
  <c r="I45" i="44" s="1"/>
  <c r="AA89" i="45" a="1"/>
  <c r="AA89" i="45" s="1"/>
  <c r="N100" i="44" a="1"/>
  <c r="N100" i="44" s="1"/>
  <c r="N99" i="44" s="1"/>
  <c r="C100" i="45" a="1"/>
  <c r="C100" i="45" s="1"/>
  <c r="V82" i="44" a="1"/>
  <c r="V82" i="44" s="1"/>
  <c r="V68" i="45" a="1"/>
  <c r="V68" i="45" s="1"/>
  <c r="T76" i="45" a="1"/>
  <c r="T76" i="45" s="1"/>
  <c r="AG86" i="33" a="1"/>
  <c r="AG86" i="33" s="1"/>
  <c r="E64" i="45" a="1"/>
  <c r="E64" i="45" s="1"/>
  <c r="E63" i="45" s="1"/>
  <c r="H64" i="44" a="1"/>
  <c r="H64" i="44" s="1"/>
  <c r="E83" i="33" a="1"/>
  <c r="E83" i="33" s="1"/>
  <c r="H71" i="33" a="1"/>
  <c r="H71" i="33" s="1"/>
  <c r="AM10" i="45" a="1"/>
  <c r="AM10" i="45" s="1"/>
  <c r="AM9" i="45" s="1"/>
  <c r="AO26" i="33" a="1"/>
  <c r="AO26" i="33" s="1"/>
  <c r="AR29" i="33" a="1"/>
  <c r="AR29" i="33" s="1"/>
  <c r="C19" i="44" a="1"/>
  <c r="C19" i="44" s="1"/>
  <c r="AJ94" i="44" a="1"/>
  <c r="AJ94" i="44" s="1"/>
  <c r="AP35" i="45" a="1"/>
  <c r="AP35" i="45" s="1"/>
  <c r="Z25" i="44" a="1"/>
  <c r="Z25" i="44" s="1"/>
  <c r="AA29" i="45" a="1"/>
  <c r="AA29" i="45" s="1"/>
  <c r="AE40" i="45" a="1"/>
  <c r="AE40" i="45" s="1"/>
  <c r="E40" i="45" a="1"/>
  <c r="E40" i="45" s="1"/>
  <c r="AG19" i="33" a="1"/>
  <c r="AG19" i="33" s="1"/>
  <c r="L43" i="44" a="1"/>
  <c r="L43" i="44" s="1"/>
  <c r="O20" i="44" a="1"/>
  <c r="O20" i="44" s="1"/>
  <c r="AA86" i="44" a="1"/>
  <c r="AA86" i="44" s="1"/>
  <c r="H92" i="44" a="1"/>
  <c r="H92" i="44" s="1"/>
  <c r="Z61" i="45" a="1"/>
  <c r="Z61" i="45" s="1"/>
  <c r="H47" i="33" a="1"/>
  <c r="H47" i="33" s="1"/>
  <c r="AG97" i="33" a="1"/>
  <c r="AG97" i="33" s="1"/>
  <c r="AP80" i="45" a="1"/>
  <c r="AP80" i="45" s="1"/>
  <c r="AF61" i="33" a="1"/>
  <c r="AF61" i="33" s="1"/>
  <c r="F59" i="33" a="1"/>
  <c r="F59" i="33" s="1"/>
  <c r="H82" i="33" a="1"/>
  <c r="H82" i="33" s="1"/>
  <c r="AD59" i="45" a="1"/>
  <c r="AD59" i="45" s="1"/>
  <c r="C100" i="43" a="1"/>
  <c r="C100" i="43" s="1"/>
  <c r="P17" i="45" a="1"/>
  <c r="P17" i="45" s="1"/>
  <c r="Y58" i="44" a="1"/>
  <c r="Y58" i="44" s="1"/>
  <c r="AG74" i="45" a="1"/>
  <c r="AG74" i="45" s="1"/>
  <c r="K64" i="33" a="1"/>
  <c r="K64" i="33" s="1"/>
  <c r="AO73" i="44" a="1"/>
  <c r="AO73" i="44" s="1"/>
  <c r="O83" i="33" a="1"/>
  <c r="O83" i="33" s="1"/>
  <c r="P61" i="33" a="1"/>
  <c r="P61" i="33" s="1"/>
  <c r="K73" i="45" a="1"/>
  <c r="K73" i="45" s="1"/>
  <c r="K72" i="45" s="1"/>
  <c r="E100" i="44" a="1"/>
  <c r="E100" i="44" s="1"/>
  <c r="G56" i="45" a="1"/>
  <c r="G56" i="45" s="1"/>
  <c r="C73" i="43" a="1"/>
  <c r="C73" i="43" s="1"/>
  <c r="AO50" i="45" a="1"/>
  <c r="AO50" i="45" s="1"/>
  <c r="AM37" i="44" a="1"/>
  <c r="AM37" i="44" s="1"/>
  <c r="Z77" i="44" a="1"/>
  <c r="Z77" i="44" s="1"/>
  <c r="AK26" i="33" a="1"/>
  <c r="AK26" i="33" s="1"/>
  <c r="I88" i="44" a="1"/>
  <c r="I88" i="44" s="1"/>
  <c r="K68" i="33" a="1"/>
  <c r="K68" i="33" s="1"/>
  <c r="G37" i="44" a="1"/>
  <c r="G37" i="44" s="1"/>
  <c r="L47" i="45" a="1"/>
  <c r="L47" i="45" s="1"/>
  <c r="AB49" i="33" a="1"/>
  <c r="AB49" i="33" s="1"/>
  <c r="G11" i="44" a="1"/>
  <c r="G11" i="44" s="1"/>
  <c r="G9" i="44" s="1"/>
  <c r="R82" i="45" a="1"/>
  <c r="R82" i="45" s="1"/>
  <c r="Q103" i="44" a="1"/>
  <c r="Q103" i="44" s="1"/>
  <c r="V85" i="33" a="1"/>
  <c r="V85" i="33" s="1"/>
  <c r="AR92" i="45" a="1"/>
  <c r="AR92" i="45" s="1"/>
  <c r="V68" i="44" a="1"/>
  <c r="V68" i="44" s="1"/>
  <c r="Q95" i="33" a="1"/>
  <c r="Q95" i="33" s="1"/>
  <c r="AL92" i="44" a="1"/>
  <c r="AL92" i="44" s="1"/>
  <c r="AK85" i="33" a="1"/>
  <c r="AK85" i="33" s="1"/>
  <c r="N97" i="45" a="1"/>
  <c r="N97" i="45" s="1"/>
  <c r="P95" i="44" a="1"/>
  <c r="P95" i="44" s="1"/>
  <c r="P93" i="44" s="1"/>
  <c r="N49" i="33" a="1"/>
  <c r="N49" i="33" s="1"/>
  <c r="O32" i="45" a="1"/>
  <c r="O32" i="45" s="1"/>
  <c r="AB58" i="44" a="1"/>
  <c r="AB58" i="44" s="1"/>
  <c r="P64" i="44" a="1"/>
  <c r="P64" i="44" s="1"/>
  <c r="AF38" i="45" a="1"/>
  <c r="AF38" i="45" s="1"/>
  <c r="Q50" i="45" a="1"/>
  <c r="Q50" i="45" s="1"/>
  <c r="Q48" i="45" s="1"/>
  <c r="R31" i="44" a="1"/>
  <c r="R31" i="44" s="1"/>
  <c r="AL56" i="44" a="1"/>
  <c r="AL56" i="44" s="1"/>
  <c r="AF22" i="44" a="1"/>
  <c r="AF22" i="44" s="1"/>
  <c r="F89" i="45" a="1"/>
  <c r="F89" i="45" s="1"/>
  <c r="AK88" i="44" a="1"/>
  <c r="AK88" i="44" s="1"/>
  <c r="C59" i="42" a="1"/>
  <c r="C59" i="42" s="1"/>
  <c r="AR11" i="45" a="1"/>
  <c r="AR11" i="45" s="1"/>
  <c r="AH20" i="33" a="1"/>
  <c r="AH20" i="33" s="1"/>
  <c r="R37" i="45" a="1"/>
  <c r="R37" i="45" s="1"/>
  <c r="C68" i="43" a="1"/>
  <c r="C68" i="43" s="1"/>
  <c r="S91" i="45" a="1"/>
  <c r="S91" i="45" s="1"/>
  <c r="AR25" i="45" a="1"/>
  <c r="AR25" i="45" s="1"/>
  <c r="P11" i="44" a="1"/>
  <c r="P11" i="44" s="1"/>
  <c r="Y79" i="44" a="1"/>
  <c r="Y79" i="44" s="1"/>
  <c r="E98" i="33" a="1"/>
  <c r="E98" i="33" s="1"/>
  <c r="AE71" i="33" a="1"/>
  <c r="AE71" i="33" s="1"/>
  <c r="M16" i="44" a="1"/>
  <c r="M16" i="44" s="1"/>
  <c r="M15" i="44" s="1"/>
  <c r="X70" i="45" a="1"/>
  <c r="X70" i="45" s="1"/>
  <c r="E80" i="45" a="1"/>
  <c r="E80" i="45" s="1"/>
  <c r="AO40" i="44" a="1"/>
  <c r="AO40" i="44" s="1"/>
  <c r="AF98" i="44" a="1"/>
  <c r="AF98" i="44" s="1"/>
  <c r="C70" i="46" a="1"/>
  <c r="C70" i="46" s="1"/>
  <c r="A70" i="46" s="1"/>
  <c r="C17" i="42" a="1"/>
  <c r="C17" i="42" s="1"/>
  <c r="P11" i="33" a="1"/>
  <c r="P11" i="33" s="1"/>
  <c r="C70" i="47" a="1"/>
  <c r="C70" i="47" s="1"/>
  <c r="AB97" i="33" a="1"/>
  <c r="AB97" i="33" s="1"/>
  <c r="T49" i="45" a="1"/>
  <c r="T49" i="45" s="1"/>
  <c r="I104" i="44" a="1"/>
  <c r="I104" i="44" s="1"/>
  <c r="AA97" i="33" a="1"/>
  <c r="AA97" i="33" s="1"/>
  <c r="L91" i="44" a="1"/>
  <c r="L91" i="44" s="1"/>
  <c r="L90" i="44" s="1"/>
  <c r="J26" i="45" a="1"/>
  <c r="J26" i="45" s="1"/>
  <c r="S58" i="33" a="1"/>
  <c r="S58" i="33" s="1"/>
  <c r="S57" i="33" s="1"/>
  <c r="X94" i="33" a="1"/>
  <c r="X94" i="33" s="1"/>
  <c r="AM73" i="45" a="1"/>
  <c r="AM73" i="45" s="1"/>
  <c r="AF97" i="45" a="1"/>
  <c r="AF97" i="45" s="1"/>
  <c r="X77" i="44" a="1"/>
  <c r="X77" i="44" s="1"/>
  <c r="AD80" i="45" a="1"/>
  <c r="AD80" i="45" s="1"/>
  <c r="L77" i="33" a="1"/>
  <c r="L77" i="33" s="1"/>
  <c r="AO79" i="33" a="1"/>
  <c r="AO79" i="33" s="1"/>
  <c r="AK74" i="33" a="1"/>
  <c r="AK74" i="33" s="1"/>
  <c r="E79" i="44" a="1"/>
  <c r="E79" i="44" s="1"/>
  <c r="Y62" i="45" a="1"/>
  <c r="Y62" i="45" s="1"/>
  <c r="AE58" i="45" a="1"/>
  <c r="AE58" i="45" s="1"/>
  <c r="AM77" i="44" a="1"/>
  <c r="AM77" i="44" s="1"/>
  <c r="AF37" i="45" a="1"/>
  <c r="AF37" i="45" s="1"/>
  <c r="C86" i="41" a="1"/>
  <c r="C86" i="41" s="1"/>
  <c r="V70" i="45" a="1"/>
  <c r="V70" i="45" s="1"/>
  <c r="J32" i="45" a="1"/>
  <c r="J32" i="45" s="1"/>
  <c r="AI44" i="44" a="1"/>
  <c r="AI44" i="44" s="1"/>
  <c r="AI42" i="44" s="1"/>
  <c r="Z25" i="33" a="1"/>
  <c r="Z25" i="33" s="1"/>
  <c r="AF73" i="45" a="1"/>
  <c r="AF73" i="45" s="1"/>
  <c r="AI56" i="45" a="1"/>
  <c r="AI56" i="45" s="1"/>
  <c r="K31" i="44" a="1"/>
  <c r="K31" i="44" s="1"/>
  <c r="Y23" i="45" a="1"/>
  <c r="Y23" i="45" s="1"/>
  <c r="O55" i="45" a="1"/>
  <c r="O55" i="45" s="1"/>
  <c r="O101" i="45" a="1"/>
  <c r="O101" i="45" s="1"/>
  <c r="AD104" i="45" a="1"/>
  <c r="AD104" i="45" s="1"/>
  <c r="AM34" i="33" a="1"/>
  <c r="AM34" i="33" s="1"/>
  <c r="V94" i="33" a="1"/>
  <c r="V94" i="33" s="1"/>
  <c r="G61" i="45" a="1"/>
  <c r="G61" i="45" s="1"/>
  <c r="R97" i="45" a="1"/>
  <c r="R97" i="45" s="1"/>
  <c r="R96" i="45" s="1"/>
  <c r="AR82" i="44" a="1"/>
  <c r="AR82" i="44" s="1"/>
  <c r="N32" i="44" a="1"/>
  <c r="N32" i="44" s="1"/>
  <c r="H34" i="45" a="1"/>
  <c r="H34" i="45" s="1"/>
  <c r="W85" i="44" a="1"/>
  <c r="W85" i="44" s="1"/>
  <c r="X101" i="33" a="1"/>
  <c r="X101" i="33" s="1"/>
  <c r="M53" i="33" a="1"/>
  <c r="M53" i="33" s="1"/>
  <c r="AK43" i="44" a="1"/>
  <c r="AK43" i="44" s="1"/>
  <c r="R70" i="45" a="1"/>
  <c r="R70" i="45" s="1"/>
  <c r="P71" i="44" a="1"/>
  <c r="P71" i="44" s="1"/>
  <c r="AO91" i="33" a="1"/>
  <c r="AO91" i="33" s="1"/>
  <c r="AO90" i="33" s="1"/>
  <c r="AP41" i="45" a="1"/>
  <c r="AP41" i="45" s="1"/>
  <c r="F74" i="45" a="1"/>
  <c r="F74" i="45" s="1"/>
  <c r="S58" i="45" a="1"/>
  <c r="S58" i="45" s="1"/>
  <c r="N64" i="44" a="1"/>
  <c r="N64" i="44" s="1"/>
  <c r="G44" i="33" a="1"/>
  <c r="G44" i="33" s="1"/>
  <c r="E44" i="33" a="1"/>
  <c r="E44" i="33" s="1"/>
  <c r="S37" i="44" a="1"/>
  <c r="S37" i="44" s="1"/>
  <c r="P100" i="45" a="1"/>
  <c r="P100" i="45" s="1"/>
  <c r="T67" i="44" a="1"/>
  <c r="T67" i="44" s="1"/>
  <c r="AR68" i="44" a="1"/>
  <c r="AR68" i="44" s="1"/>
  <c r="I49" i="44" a="1"/>
  <c r="I49" i="44" s="1"/>
  <c r="O22" i="45" a="1"/>
  <c r="O22" i="45" s="1"/>
  <c r="R44" i="33" a="1"/>
  <c r="R44" i="33" s="1"/>
  <c r="AG22" i="44" a="1"/>
  <c r="AG22" i="44" s="1"/>
  <c r="C40" i="44" a="1"/>
  <c r="C40" i="44" s="1"/>
  <c r="A40" i="44" s="1"/>
  <c r="T70" i="44" a="1"/>
  <c r="T70" i="44" s="1"/>
  <c r="Q79" i="44" a="1"/>
  <c r="Q79" i="44" s="1"/>
  <c r="Z89" i="33" a="1"/>
  <c r="Z89" i="33" s="1"/>
  <c r="G76" i="44" a="1"/>
  <c r="G76" i="44" s="1"/>
  <c r="AD19" i="33" a="1"/>
  <c r="AD19" i="33" s="1"/>
  <c r="AN104" i="44" a="1"/>
  <c r="AN104" i="44" s="1"/>
  <c r="C101" i="33" a="1"/>
  <c r="C101" i="33" s="1"/>
  <c r="AQ77" i="45" a="1"/>
  <c r="AQ77" i="45" s="1"/>
  <c r="V22" i="44" a="1"/>
  <c r="V22" i="44" s="1"/>
  <c r="Q59" i="33" a="1"/>
  <c r="Q59" i="33" s="1"/>
  <c r="AB16" i="33" a="1"/>
  <c r="AB16" i="33" s="1"/>
  <c r="AH29" i="33" a="1"/>
  <c r="AH29" i="33" s="1"/>
  <c r="AF101" i="44" a="1"/>
  <c r="AF101" i="44" s="1"/>
  <c r="U40" i="44" a="1"/>
  <c r="U40" i="44" s="1"/>
  <c r="Y86" i="33" a="1"/>
  <c r="Y86" i="33" s="1"/>
  <c r="AA20" i="33" a="1"/>
  <c r="AA20" i="33" s="1"/>
  <c r="W74" i="33" a="1"/>
  <c r="W74" i="33" s="1"/>
  <c r="W72" i="33" s="1"/>
  <c r="U74" i="45" a="1"/>
  <c r="U74" i="45" s="1"/>
  <c r="AH17" i="33" a="1"/>
  <c r="AH17" i="33" s="1"/>
  <c r="AQ46" i="33" a="1"/>
  <c r="AQ46" i="33" s="1"/>
  <c r="X56" i="33" a="1"/>
  <c r="X56" i="33" s="1"/>
  <c r="AG61" i="45" a="1"/>
  <c r="AG61" i="45" s="1"/>
  <c r="AO29" i="33" a="1"/>
  <c r="AO29" i="33" s="1"/>
  <c r="AM80" i="45" a="1"/>
  <c r="AM80" i="45" s="1"/>
  <c r="AG29" i="33" a="1"/>
  <c r="AG29" i="33" s="1"/>
  <c r="AQ82" i="44" a="1"/>
  <c r="AQ82" i="44" s="1"/>
  <c r="K101" i="44" a="1"/>
  <c r="K101" i="44" s="1"/>
  <c r="AB94" i="44" a="1"/>
  <c r="AB94" i="44" s="1"/>
  <c r="O29" i="45" a="1"/>
  <c r="O29" i="45" s="1"/>
  <c r="Z20" i="45" a="1"/>
  <c r="Z20" i="45" s="1"/>
  <c r="AC80" i="33" a="1"/>
  <c r="AC80" i="33" s="1"/>
  <c r="Q71" i="45" a="1"/>
  <c r="Q71" i="45" s="1"/>
  <c r="O94" i="33" a="1"/>
  <c r="O94" i="33" s="1"/>
  <c r="C103" i="43" a="1"/>
  <c r="C103" i="43" s="1"/>
  <c r="Y16" i="44" a="1"/>
  <c r="Y16" i="44" s="1"/>
  <c r="AD44" i="44" a="1"/>
  <c r="AD44" i="44" s="1"/>
  <c r="C85" i="41" a="1"/>
  <c r="C85" i="41" s="1"/>
  <c r="AK89" i="44" a="1"/>
  <c r="AK89" i="44" s="1"/>
  <c r="O103" i="44" a="1"/>
  <c r="O103" i="44" s="1"/>
  <c r="Y26" i="44" a="1"/>
  <c r="Y26" i="44" s="1"/>
  <c r="AR50" i="44" a="1"/>
  <c r="AR50" i="44" s="1"/>
  <c r="N38" i="44" a="1"/>
  <c r="N38" i="44" s="1"/>
  <c r="AE70" i="44" a="1"/>
  <c r="AE70" i="44" s="1"/>
  <c r="I86" i="45" a="1"/>
  <c r="I86" i="45" s="1"/>
  <c r="AN94" i="44" a="1"/>
  <c r="AN94" i="44" s="1"/>
  <c r="AA64" i="44" a="1"/>
  <c r="AA64" i="44" s="1"/>
  <c r="AB46" i="45" a="1"/>
  <c r="AB46" i="45" s="1"/>
  <c r="V80" i="45" a="1"/>
  <c r="V80" i="45" s="1"/>
  <c r="AP62" i="45" a="1"/>
  <c r="AP62" i="45" s="1"/>
  <c r="AI64" i="45" a="1"/>
  <c r="AI64" i="45" s="1"/>
  <c r="AR22" i="45" a="1"/>
  <c r="AR22" i="45" s="1"/>
  <c r="AL61" i="44" a="1"/>
  <c r="AL61" i="44" s="1"/>
  <c r="AE26" i="33" a="1"/>
  <c r="AE26" i="33" s="1"/>
  <c r="F73" i="44" a="1"/>
  <c r="F73" i="44" s="1"/>
  <c r="L49" i="44" a="1"/>
  <c r="L49" i="44" s="1"/>
  <c r="O97" i="45" a="1"/>
  <c r="O97" i="45" s="1"/>
  <c r="AH80" i="33" a="1"/>
  <c r="AH80" i="33" s="1"/>
  <c r="AI34" i="44" a="1"/>
  <c r="AI34" i="44" s="1"/>
  <c r="AI33" i="44" s="1"/>
  <c r="AG53" i="44" a="1"/>
  <c r="AG53" i="44" s="1"/>
  <c r="AP70" i="33" a="1"/>
  <c r="AP70" i="33" s="1"/>
  <c r="Y44" i="45" a="1"/>
  <c r="Y44" i="45" s="1"/>
  <c r="C23" i="47" a="1"/>
  <c r="C23" i="47" s="1"/>
  <c r="AB31" i="45" a="1"/>
  <c r="AB31" i="45" s="1"/>
  <c r="AD50" i="33" a="1"/>
  <c r="AD50" i="33" s="1"/>
  <c r="AK101" i="45" a="1"/>
  <c r="AK101" i="45" s="1"/>
  <c r="AP19" i="44" a="1"/>
  <c r="AP19" i="44" s="1"/>
  <c r="T43" i="33" a="1"/>
  <c r="T43" i="33" s="1"/>
  <c r="Q22" i="44" a="1"/>
  <c r="Q22" i="44" s="1"/>
  <c r="AG52" i="33" a="1"/>
  <c r="AG52" i="33" s="1"/>
  <c r="F19" i="33" a="1"/>
  <c r="F19" i="33" s="1"/>
  <c r="AM52" i="44" a="1"/>
  <c r="AM52" i="44" s="1"/>
  <c r="F82" i="44" a="1"/>
  <c r="F82" i="44" s="1"/>
  <c r="F35" i="33" a="1"/>
  <c r="F35" i="33" s="1"/>
  <c r="K34" i="44" a="1"/>
  <c r="K34" i="44" s="1"/>
  <c r="L40" i="45" a="1"/>
  <c r="L40" i="45" s="1"/>
  <c r="AL67" i="44" a="1"/>
  <c r="AL67" i="44" s="1"/>
  <c r="AL66" i="44" s="1"/>
  <c r="AM58" i="44" a="1"/>
  <c r="AM58" i="44" s="1"/>
  <c r="I44" i="44" a="1"/>
  <c r="I44" i="44" s="1"/>
  <c r="AN74" i="33" a="1"/>
  <c r="AN74" i="33" s="1"/>
  <c r="V98" i="44" a="1"/>
  <c r="V98" i="44" s="1"/>
  <c r="AQ37" i="33" a="1"/>
  <c r="AQ37" i="33" s="1"/>
  <c r="J56" i="45" a="1"/>
  <c r="J56" i="45" s="1"/>
  <c r="P79" i="44" a="1"/>
  <c r="P79" i="44" s="1"/>
  <c r="AB16" i="44" a="1"/>
  <c r="AB16" i="44" s="1"/>
  <c r="AB10" i="33" a="1"/>
  <c r="AB10" i="33" s="1"/>
  <c r="AE104" i="44" a="1"/>
  <c r="AE104" i="44" s="1"/>
  <c r="R64" i="33" a="1"/>
  <c r="R64" i="33" s="1"/>
  <c r="Q37" i="33" a="1"/>
  <c r="Q37" i="33" s="1"/>
  <c r="R80" i="33" a="1"/>
  <c r="R80" i="33" s="1"/>
  <c r="P16" i="45" a="1"/>
  <c r="P16" i="45" s="1"/>
  <c r="Q62" i="45" a="1"/>
  <c r="Q62" i="45" s="1"/>
  <c r="AF70" i="44" a="1"/>
  <c r="AF70" i="44" s="1"/>
  <c r="I73" i="33" a="1"/>
  <c r="I73" i="33" s="1"/>
  <c r="AQ43" i="45" a="1"/>
  <c r="AQ43" i="45" s="1"/>
  <c r="C26" i="47" a="1"/>
  <c r="C26" i="47" s="1"/>
  <c r="AH58" i="44" a="1"/>
  <c r="AH58" i="44" s="1"/>
  <c r="K103" i="44" a="1"/>
  <c r="K103" i="44" s="1"/>
  <c r="AN43" i="44" a="1"/>
  <c r="AN43" i="44" s="1"/>
  <c r="AQ10" i="33" a="1"/>
  <c r="AQ10" i="33" s="1"/>
  <c r="C70" i="41" a="1"/>
  <c r="C70" i="41" s="1"/>
  <c r="N64" i="45" a="1"/>
  <c r="N64" i="45" s="1"/>
  <c r="C35" i="46" a="1"/>
  <c r="C35" i="46" s="1"/>
  <c r="A34" i="46" s="1"/>
  <c r="S26" i="45" a="1"/>
  <c r="S26" i="45" s="1"/>
  <c r="R35" i="45" a="1"/>
  <c r="R35" i="45" s="1"/>
  <c r="AL23" i="33" a="1"/>
  <c r="AL23" i="33" s="1"/>
  <c r="G37" i="45" a="1"/>
  <c r="G37" i="45" s="1"/>
  <c r="AQ55" i="45" a="1"/>
  <c r="AQ55" i="45" s="1"/>
  <c r="X46" i="44" a="1"/>
  <c r="X46" i="44" s="1"/>
  <c r="X45" i="44" s="1"/>
  <c r="AI89" i="33" a="1"/>
  <c r="AI89" i="33" s="1"/>
  <c r="AJ47" i="45" a="1"/>
  <c r="AJ47" i="45" s="1"/>
  <c r="AN23" i="33" a="1"/>
  <c r="AN23" i="33" s="1"/>
  <c r="N98" i="45" a="1"/>
  <c r="N98" i="45" s="1"/>
  <c r="E56" i="44" a="1"/>
  <c r="E56" i="44" s="1"/>
  <c r="Z97" i="45" a="1"/>
  <c r="Z97" i="45" s="1"/>
  <c r="AL16" i="44" a="1"/>
  <c r="AL16" i="44" s="1"/>
  <c r="C56" i="46" a="1"/>
  <c r="C56" i="46" s="1"/>
  <c r="AN28" i="44" a="1"/>
  <c r="AN28" i="44" s="1"/>
  <c r="AK28" i="45" a="1"/>
  <c r="AK28" i="45" s="1"/>
  <c r="V64" i="44" a="1"/>
  <c r="V64" i="44" s="1"/>
  <c r="F61" i="33" a="1"/>
  <c r="F61" i="33" s="1"/>
  <c r="AG23" i="44" a="1"/>
  <c r="AG23" i="44" s="1"/>
  <c r="J92" i="33" a="1"/>
  <c r="J92" i="33" s="1"/>
  <c r="AN35" i="44" a="1"/>
  <c r="AN35" i="44" s="1"/>
  <c r="Q67" i="33" a="1"/>
  <c r="Q67" i="33" s="1"/>
  <c r="P38" i="33" a="1"/>
  <c r="P38" i="33" s="1"/>
  <c r="I65" i="44" a="1"/>
  <c r="I65" i="44" s="1"/>
  <c r="V49" i="33" a="1"/>
  <c r="V49" i="33" s="1"/>
  <c r="C35" i="41" a="1"/>
  <c r="C35" i="41" s="1"/>
  <c r="H73" i="44" a="1"/>
  <c r="H73" i="44" s="1"/>
  <c r="C79" i="46" a="1"/>
  <c r="C79" i="46" s="1"/>
  <c r="Q100" i="45" a="1"/>
  <c r="Q100" i="45" s="1"/>
  <c r="K98" i="33" a="1"/>
  <c r="K98" i="33" s="1"/>
  <c r="N70" i="45" a="1"/>
  <c r="N70" i="45" s="1"/>
  <c r="AC52" i="33" a="1"/>
  <c r="AC52" i="33" s="1"/>
  <c r="U26" i="45" a="1"/>
  <c r="U26" i="45" s="1"/>
  <c r="AP86" i="45" a="1"/>
  <c r="AP86" i="45" s="1"/>
  <c r="J64" i="44" a="1"/>
  <c r="J64" i="44" s="1"/>
  <c r="AO52" i="33" a="1"/>
  <c r="AO52" i="33" s="1"/>
  <c r="AP50" i="44" a="1"/>
  <c r="AP50" i="44" s="1"/>
  <c r="N37" i="33" a="1"/>
  <c r="N37" i="33" s="1"/>
  <c r="M34" i="45" a="1"/>
  <c r="M34" i="45" s="1"/>
  <c r="X31" i="44" a="1"/>
  <c r="X31" i="44" s="1"/>
  <c r="AM16" i="33" a="1"/>
  <c r="AM16" i="33" s="1"/>
  <c r="U79" i="44" a="1"/>
  <c r="U79" i="44" s="1"/>
  <c r="C32" i="42" a="1"/>
  <c r="C32" i="42" s="1"/>
  <c r="AO23" i="45" a="1"/>
  <c r="AO23" i="45" s="1"/>
  <c r="C22" i="43" a="1"/>
  <c r="C22" i="43" s="1"/>
  <c r="I61" i="44" a="1"/>
  <c r="I61" i="44" s="1"/>
  <c r="I25" i="33" a="1"/>
  <c r="I25" i="33" s="1"/>
  <c r="I103" i="45" a="1"/>
  <c r="I103" i="45" s="1"/>
  <c r="AK74" i="45" a="1"/>
  <c r="AK74" i="45" s="1"/>
  <c r="N28" i="33" a="1"/>
  <c r="N28" i="33" s="1"/>
  <c r="AE34" i="45" a="1"/>
  <c r="AE34" i="45" s="1"/>
  <c r="E49" i="33" a="1"/>
  <c r="E49" i="33" s="1"/>
  <c r="AP20" i="44" a="1"/>
  <c r="AP20" i="44" s="1"/>
  <c r="AO59" i="45" a="1"/>
  <c r="AO59" i="45" s="1"/>
  <c r="X47" i="33" a="1"/>
  <c r="X47" i="33" s="1"/>
  <c r="AD47" i="45" a="1"/>
  <c r="AD47" i="45" s="1"/>
  <c r="P40" i="33" a="1"/>
  <c r="P40" i="33" s="1"/>
  <c r="Z19" i="45" a="1"/>
  <c r="Z19" i="45" s="1"/>
  <c r="AA23" i="44" a="1"/>
  <c r="AA23" i="44" s="1"/>
  <c r="K40" i="33" a="1"/>
  <c r="K40" i="33" s="1"/>
  <c r="AI40" i="45" a="1"/>
  <c r="AI40" i="45" s="1"/>
  <c r="AC73" i="33" a="1"/>
  <c r="AC73" i="33" s="1"/>
  <c r="G38" i="33" a="1"/>
  <c r="G38" i="33" s="1"/>
  <c r="V41" i="45" a="1"/>
  <c r="V41" i="45" s="1"/>
  <c r="AE103" i="45" a="1"/>
  <c r="AE103" i="45" s="1"/>
  <c r="M83" i="44" a="1"/>
  <c r="M83" i="44" s="1"/>
  <c r="U19" i="45" a="1"/>
  <c r="U19" i="45" s="1"/>
  <c r="Z35" i="33" a="1"/>
  <c r="Z35" i="33" s="1"/>
  <c r="AB79" i="44" a="1"/>
  <c r="AB79" i="44" s="1"/>
  <c r="X49" i="45" a="1"/>
  <c r="X49" i="45" s="1"/>
  <c r="AR25" i="44" a="1"/>
  <c r="AR25" i="44" s="1"/>
  <c r="AR53" i="45" a="1"/>
  <c r="AR53" i="45" s="1"/>
  <c r="V53" i="44" a="1"/>
  <c r="V53" i="44" s="1"/>
  <c r="AH74" i="45" a="1"/>
  <c r="AH74" i="45" s="1"/>
  <c r="AQ29" i="33" a="1"/>
  <c r="AQ29" i="33" s="1"/>
  <c r="AR88" i="44" a="1"/>
  <c r="AR88" i="44" s="1"/>
  <c r="X91" i="44" a="1"/>
  <c r="X91" i="44" s="1"/>
  <c r="J91" i="33" a="1"/>
  <c r="J91" i="33" s="1"/>
  <c r="Q40" i="44" a="1"/>
  <c r="Q40" i="44" s="1"/>
  <c r="E89" i="33" a="1"/>
  <c r="E89" i="33" s="1"/>
  <c r="AA47" i="33" a="1"/>
  <c r="AA47" i="33" s="1"/>
  <c r="H35" i="45" a="1"/>
  <c r="H35" i="45" s="1"/>
  <c r="X100" i="45" a="1"/>
  <c r="X100" i="45" s="1"/>
  <c r="X76" i="33" a="1"/>
  <c r="X76" i="33" s="1"/>
  <c r="H16" i="33" a="1"/>
  <c r="H16" i="33" s="1"/>
  <c r="C79" i="33" a="1"/>
  <c r="C79" i="33" s="1"/>
  <c r="AK29" i="44" a="1"/>
  <c r="AK29" i="44" s="1"/>
  <c r="AB34" i="45" a="1"/>
  <c r="AB34" i="45" s="1"/>
  <c r="O86" i="44" a="1"/>
  <c r="O86" i="44" s="1"/>
  <c r="K85" i="45" a="1"/>
  <c r="K85" i="45" s="1"/>
  <c r="N50" i="45" a="1"/>
  <c r="N50" i="45" s="1"/>
  <c r="AK28" i="33" a="1"/>
  <c r="AK28" i="33" s="1"/>
  <c r="Q56" i="44" a="1"/>
  <c r="Q56" i="44" s="1"/>
  <c r="AJ86" i="45" a="1"/>
  <c r="AJ86" i="45" s="1"/>
  <c r="Z88" i="44" a="1"/>
  <c r="Z88" i="44" s="1"/>
  <c r="J17" i="44" a="1"/>
  <c r="J17" i="44" s="1"/>
  <c r="X77" i="33" a="1"/>
  <c r="X77" i="33" s="1"/>
  <c r="AR26" i="45" a="1"/>
  <c r="AR26" i="45" s="1"/>
  <c r="O79" i="33" a="1"/>
  <c r="O79" i="33" s="1"/>
  <c r="AR34" i="44" a="1"/>
  <c r="AR34" i="44" s="1"/>
  <c r="R47" i="44" a="1"/>
  <c r="R47" i="44" s="1"/>
  <c r="AO80" i="45" a="1"/>
  <c r="AO80" i="45" s="1"/>
  <c r="AD61" i="45" a="1"/>
  <c r="AD61" i="45" s="1"/>
  <c r="L32" i="45" a="1"/>
  <c r="L32" i="45" s="1"/>
  <c r="H52" i="33" a="1"/>
  <c r="H52" i="33" s="1"/>
  <c r="P65" i="45" a="1"/>
  <c r="P65" i="45" s="1"/>
  <c r="C67" i="44" a="1"/>
  <c r="C67" i="44" s="1"/>
  <c r="AO28" i="45" a="1"/>
  <c r="AO28" i="45" s="1"/>
  <c r="U31" i="45" a="1"/>
  <c r="U31" i="45" s="1"/>
  <c r="X31" i="45" a="1"/>
  <c r="X31" i="45" s="1"/>
  <c r="C50" i="47" a="1"/>
  <c r="C50" i="47" s="1"/>
  <c r="G56" i="44" a="1"/>
  <c r="G56" i="44" s="1"/>
  <c r="C26" i="42" a="1"/>
  <c r="C26" i="42" s="1"/>
  <c r="AI77" i="33" a="1"/>
  <c r="AI77" i="33" s="1"/>
  <c r="AG64" i="45" a="1"/>
  <c r="AG64" i="45" s="1"/>
  <c r="M85" i="45" a="1"/>
  <c r="M85" i="45" s="1"/>
  <c r="AO97" i="45" a="1"/>
  <c r="AO97" i="45" s="1"/>
  <c r="AI59" i="45" a="1"/>
  <c r="AI59" i="45" s="1"/>
  <c r="G67" i="45" a="1"/>
  <c r="G67" i="45" s="1"/>
  <c r="Y70" i="45" a="1"/>
  <c r="Y70" i="45" s="1"/>
  <c r="AC71" i="45" a="1"/>
  <c r="AC71" i="45" s="1"/>
  <c r="M40" i="44" a="1"/>
  <c r="M40" i="44" s="1"/>
  <c r="T98" i="45" a="1"/>
  <c r="T98" i="45" s="1"/>
  <c r="T96" i="45" s="1"/>
  <c r="Q91" i="45" a="1"/>
  <c r="Q91" i="45" s="1"/>
  <c r="O53" i="33" a="1"/>
  <c r="O53" i="33" s="1"/>
  <c r="AH43" i="44" a="1"/>
  <c r="AH43" i="44" s="1"/>
  <c r="AR86" i="33" a="1"/>
  <c r="AR86" i="33" s="1"/>
  <c r="AH89" i="44" a="1"/>
  <c r="AH89" i="44" s="1"/>
  <c r="AQ95" i="45" a="1"/>
  <c r="AQ95" i="45" s="1"/>
  <c r="AM23" i="33" a="1"/>
  <c r="AM23" i="33" s="1"/>
  <c r="O47" i="45" a="1"/>
  <c r="O47" i="45" s="1"/>
  <c r="AI92" i="45" a="1"/>
  <c r="AI92" i="45" s="1"/>
  <c r="I64" i="44" a="1"/>
  <c r="I64" i="44" s="1"/>
  <c r="K22" i="44" a="1"/>
  <c r="K22" i="44" s="1"/>
  <c r="AN34" i="44" a="1"/>
  <c r="AN34" i="44" s="1"/>
  <c r="AR68" i="33" a="1"/>
  <c r="AR68" i="33" s="1"/>
  <c r="Q61" i="45" a="1"/>
  <c r="Q61" i="45" s="1"/>
  <c r="AC88" i="33" a="1"/>
  <c r="AC88" i="33" s="1"/>
  <c r="AC86" i="33" a="1"/>
  <c r="AC86" i="33" s="1"/>
  <c r="AG58" i="44" a="1"/>
  <c r="AG58" i="44" s="1"/>
  <c r="AA97" i="44" a="1"/>
  <c r="AA97" i="44" s="1"/>
  <c r="Q10" i="44" a="1"/>
  <c r="Q10" i="44" s="1"/>
  <c r="U56" i="44" a="1"/>
  <c r="U56" i="44" s="1"/>
  <c r="AD95" i="44" a="1"/>
  <c r="AD95" i="44" s="1"/>
  <c r="AQ82" i="45" a="1"/>
  <c r="AQ82" i="45" s="1"/>
  <c r="W77" i="44" a="1"/>
  <c r="W77" i="44" s="1"/>
  <c r="Z64" i="44" a="1"/>
  <c r="Z64" i="44" s="1"/>
  <c r="AR91" i="44" a="1"/>
  <c r="AR91" i="44" s="1"/>
  <c r="V98" i="33" a="1"/>
  <c r="V98" i="33" s="1"/>
  <c r="X40" i="33" a="1"/>
  <c r="X40" i="33" s="1"/>
  <c r="AD95" i="45" a="1"/>
  <c r="AD95" i="45" s="1"/>
  <c r="AK68" i="33" a="1"/>
  <c r="AK68" i="33" s="1"/>
  <c r="S41" i="44" a="1"/>
  <c r="S41" i="44" s="1"/>
  <c r="I92" i="44" a="1"/>
  <c r="I92" i="44" s="1"/>
  <c r="AC101" i="45" a="1"/>
  <c r="AC101" i="45" s="1"/>
  <c r="W83" i="33" a="1"/>
  <c r="W83" i="33" s="1"/>
  <c r="W19" i="33" a="1"/>
  <c r="W19" i="33" s="1"/>
  <c r="AH94" i="45" a="1"/>
  <c r="AH94" i="45" s="1"/>
  <c r="AG85" i="33" a="1"/>
  <c r="AG85" i="33" s="1"/>
  <c r="AK23" i="33" a="1"/>
  <c r="AK23" i="33" s="1"/>
  <c r="AF20" i="33" a="1"/>
  <c r="AF20" i="33" s="1"/>
  <c r="AD91" i="33" a="1"/>
  <c r="AD91" i="33" s="1"/>
  <c r="K82" i="33" a="1"/>
  <c r="K82" i="33" s="1"/>
  <c r="C55" i="45" a="1"/>
  <c r="C55" i="45" s="1"/>
  <c r="E46" i="33" a="1"/>
  <c r="E46" i="33" s="1"/>
  <c r="W28" i="44" a="1"/>
  <c r="W28" i="44" s="1"/>
  <c r="R55" i="44" a="1"/>
  <c r="R55" i="44" s="1"/>
  <c r="C20" i="33" a="1"/>
  <c r="C20" i="33" s="1"/>
  <c r="V55" i="33" a="1"/>
  <c r="V55" i="33" s="1"/>
  <c r="AN16" i="45" a="1"/>
  <c r="AN16" i="45" s="1"/>
  <c r="C25" i="44" a="1"/>
  <c r="C25" i="44" s="1"/>
  <c r="R97" i="33" a="1"/>
  <c r="R97" i="33" s="1"/>
  <c r="V23" i="33" a="1"/>
  <c r="V23" i="33" s="1"/>
  <c r="N73" i="33" a="1"/>
  <c r="N73" i="33" s="1"/>
  <c r="C10" i="47" a="1"/>
  <c r="C10" i="47" s="1"/>
  <c r="Y17" i="44" a="1"/>
  <c r="Y17" i="44" s="1"/>
  <c r="AL97" i="33" a="1"/>
  <c r="AL97" i="33" s="1"/>
  <c r="AG55" i="45" a="1"/>
  <c r="AG55" i="45" s="1"/>
  <c r="AN44" i="33" a="1"/>
  <c r="AN44" i="33" s="1"/>
  <c r="Q34" i="44" a="1"/>
  <c r="Q34" i="44" s="1"/>
  <c r="F17" i="44" a="1"/>
  <c r="F17" i="44" s="1"/>
  <c r="M25" i="33" a="1"/>
  <c r="M25" i="33" s="1"/>
  <c r="M32" i="33" a="1"/>
  <c r="M32" i="33" s="1"/>
  <c r="F80" i="44" a="1"/>
  <c r="F80" i="44" s="1"/>
  <c r="R43" i="45" a="1"/>
  <c r="R43" i="45" s="1"/>
  <c r="S56" i="44" a="1"/>
  <c r="S56" i="44" s="1"/>
  <c r="AO20" i="33" a="1"/>
  <c r="AO20" i="33" s="1"/>
  <c r="AM70" i="45" a="1"/>
  <c r="AM70" i="45" s="1"/>
  <c r="C32" i="41" a="1"/>
  <c r="C32" i="41" s="1"/>
  <c r="K104" i="33" a="1"/>
  <c r="K104" i="33" s="1"/>
  <c r="AO25" i="33" a="1"/>
  <c r="AO25" i="33" s="1"/>
  <c r="AG58" i="33" a="1"/>
  <c r="AG58" i="33" s="1"/>
  <c r="AI40" i="33" a="1"/>
  <c r="AI40" i="33" s="1"/>
  <c r="O88" i="45" a="1"/>
  <c r="O88" i="45" s="1"/>
  <c r="Z76" i="45" a="1"/>
  <c r="Z76" i="45" s="1"/>
  <c r="AF95" i="44" a="1"/>
  <c r="AF95" i="44" s="1"/>
  <c r="X59" i="45" a="1"/>
  <c r="X59" i="45" s="1"/>
  <c r="AH67" i="33" a="1"/>
  <c r="AH67" i="33" s="1"/>
  <c r="Y11" i="45" a="1"/>
  <c r="Y11" i="45" s="1"/>
  <c r="AI55" i="44" a="1"/>
  <c r="AI55" i="44" s="1"/>
  <c r="R35" i="44" a="1"/>
  <c r="R35" i="44" s="1"/>
  <c r="V62" i="33" a="1"/>
  <c r="V62" i="33" s="1"/>
  <c r="AA74" i="33" a="1"/>
  <c r="AA74" i="33" s="1"/>
  <c r="O80" i="33" a="1"/>
  <c r="O80" i="33" s="1"/>
  <c r="H37" i="33" a="1"/>
  <c r="H37" i="33" s="1"/>
  <c r="P83" i="33" a="1"/>
  <c r="P83" i="33" s="1"/>
  <c r="AG62" i="45" a="1"/>
  <c r="AG62" i="45" s="1"/>
  <c r="C28" i="42" a="1"/>
  <c r="C28" i="42" s="1"/>
  <c r="AM89" i="33" a="1"/>
  <c r="AM89" i="33" s="1"/>
  <c r="AP76" i="44" a="1"/>
  <c r="AP76" i="44" s="1"/>
  <c r="J47" i="44" a="1"/>
  <c r="J47" i="44" s="1"/>
  <c r="Y46" i="44" a="1"/>
  <c r="Y46" i="44" s="1"/>
  <c r="AG98" i="44" a="1"/>
  <c r="AG98" i="44" s="1"/>
  <c r="X61" i="44" a="1"/>
  <c r="X61" i="44" s="1"/>
  <c r="K62" i="33" a="1"/>
  <c r="K62" i="33" s="1"/>
  <c r="AQ41" i="33" a="1"/>
  <c r="AQ41" i="33" s="1"/>
  <c r="C77" i="45" a="1"/>
  <c r="C77" i="45" s="1"/>
  <c r="Z53" i="45" a="1"/>
  <c r="Z53" i="45" s="1"/>
  <c r="AB47" i="44" a="1"/>
  <c r="AB47" i="44" s="1"/>
  <c r="C71" i="42" a="1"/>
  <c r="C71" i="42" s="1"/>
  <c r="E10" i="33" a="1"/>
  <c r="E10" i="33" s="1"/>
  <c r="H32" i="45" a="1"/>
  <c r="H32" i="45" s="1"/>
  <c r="AE16" i="33" a="1"/>
  <c r="AE16" i="33" s="1"/>
  <c r="G20" i="45" a="1"/>
  <c r="G20" i="45" s="1"/>
  <c r="AQ22" i="45" a="1"/>
  <c r="AQ22" i="45" s="1"/>
  <c r="P67" i="33" a="1"/>
  <c r="P67" i="33" s="1"/>
  <c r="AR73" i="33" a="1"/>
  <c r="AR73" i="33" s="1"/>
  <c r="F34" i="33" a="1"/>
  <c r="F34" i="33" s="1"/>
  <c r="S71" i="33" a="1"/>
  <c r="S71" i="33" s="1"/>
  <c r="R88" i="44" a="1"/>
  <c r="R88" i="44" s="1"/>
  <c r="AQ19" i="33" a="1"/>
  <c r="AQ19" i="33" s="1"/>
  <c r="AA56" i="44" a="1"/>
  <c r="AA56" i="44" s="1"/>
  <c r="AO77" i="45" a="1"/>
  <c r="AO77" i="45" s="1"/>
  <c r="AA59" i="33" a="1"/>
  <c r="AA59" i="33" s="1"/>
  <c r="AF40" i="33" a="1"/>
  <c r="AF40" i="33" s="1"/>
  <c r="M56" i="44" a="1"/>
  <c r="M56" i="44" s="1"/>
  <c r="AF47" i="44" a="1"/>
  <c r="AF47" i="44" s="1"/>
  <c r="AO43" i="44" a="1"/>
  <c r="AO43" i="44" s="1"/>
  <c r="AP73" i="45" a="1"/>
  <c r="AP73" i="45" s="1"/>
  <c r="AD43" i="45" a="1"/>
  <c r="AD43" i="45" s="1"/>
  <c r="AR11" i="44" a="1"/>
  <c r="AR11" i="44" s="1"/>
  <c r="K19" i="45" a="1"/>
  <c r="K19" i="45" s="1"/>
  <c r="Q67" i="44" a="1"/>
  <c r="Q67" i="44" s="1"/>
  <c r="AA91" i="45" a="1"/>
  <c r="AA91" i="45" s="1"/>
  <c r="V86" i="45" a="1"/>
  <c r="V86" i="45" s="1"/>
  <c r="AL23" i="45" a="1"/>
  <c r="AL23" i="45" s="1"/>
  <c r="Y98" i="45" a="1"/>
  <c r="Y98" i="45" s="1"/>
  <c r="AM47" i="45" a="1"/>
  <c r="AM47" i="45" s="1"/>
  <c r="AR85" i="44" a="1"/>
  <c r="AR85" i="44" s="1"/>
  <c r="Y28" i="44" a="1"/>
  <c r="Y28" i="44" s="1"/>
  <c r="Z34" i="33" a="1"/>
  <c r="Z34" i="33" s="1"/>
  <c r="AD82" i="45" a="1"/>
  <c r="AD82" i="45" s="1"/>
  <c r="U82" i="33" a="1"/>
  <c r="U82" i="33" s="1"/>
  <c r="F88" i="45" a="1"/>
  <c r="F88" i="45" s="1"/>
  <c r="X16" i="45" a="1"/>
  <c r="X16" i="45" s="1"/>
  <c r="S80" i="45" a="1"/>
  <c r="S80" i="45" s="1"/>
  <c r="Q104" i="45" a="1"/>
  <c r="Q104" i="45" s="1"/>
  <c r="W56" i="45" a="1"/>
  <c r="W56" i="45" s="1"/>
  <c r="G41" i="44" a="1"/>
  <c r="G41" i="44" s="1"/>
  <c r="Q79" i="33" a="1"/>
  <c r="Q79" i="33" s="1"/>
  <c r="L44" i="44" a="1"/>
  <c r="L44" i="44" s="1"/>
  <c r="AR64" i="44" a="1"/>
  <c r="AR64" i="44" s="1"/>
  <c r="P25" i="33" a="1"/>
  <c r="P25" i="33" s="1"/>
  <c r="V83" i="33" a="1"/>
  <c r="V83" i="33" s="1"/>
  <c r="W47" i="45" a="1"/>
  <c r="W47" i="45" s="1"/>
  <c r="H58" i="33" a="1"/>
  <c r="H58" i="33" s="1"/>
  <c r="K95" i="45" a="1"/>
  <c r="K95" i="45" s="1"/>
  <c r="F71" i="45" a="1"/>
  <c r="F71" i="45" s="1"/>
  <c r="AG65" i="33" a="1"/>
  <c r="AG65" i="33" s="1"/>
  <c r="R83" i="44" a="1"/>
  <c r="R83" i="44" s="1"/>
  <c r="O97" i="33" a="1"/>
  <c r="O97" i="33" s="1"/>
  <c r="G88" i="33" a="1"/>
  <c r="G88" i="33" s="1"/>
  <c r="K49" i="45" a="1"/>
  <c r="K49" i="45" s="1"/>
  <c r="AJ103" i="44" a="1"/>
  <c r="AJ103" i="44" s="1"/>
  <c r="Z104" i="44" a="1"/>
  <c r="Z104" i="44" s="1"/>
  <c r="V47" i="33" a="1"/>
  <c r="V47" i="33" s="1"/>
  <c r="I49" i="45" a="1"/>
  <c r="I49" i="45" s="1"/>
  <c r="T74" i="33" a="1"/>
  <c r="T74" i="33" s="1"/>
  <c r="W68" i="33" a="1"/>
  <c r="W68" i="33" s="1"/>
  <c r="Q83" i="33" a="1"/>
  <c r="Q83" i="33" s="1"/>
  <c r="AJ55" i="33" a="1"/>
  <c r="AJ55" i="33" s="1"/>
  <c r="AJ28" i="44" a="1"/>
  <c r="AJ28" i="44" s="1"/>
  <c r="AF38" i="44" a="1"/>
  <c r="AF38" i="44" s="1"/>
  <c r="R92" i="33" a="1"/>
  <c r="R92" i="33" s="1"/>
  <c r="AK17" i="44" a="1"/>
  <c r="AK17" i="44" s="1"/>
  <c r="AG64" i="33" a="1"/>
  <c r="AG64" i="33" s="1"/>
  <c r="AD50" i="44" a="1"/>
  <c r="AD50" i="44" s="1"/>
  <c r="I71" i="33" a="1"/>
  <c r="I71" i="33" s="1"/>
  <c r="J49" i="33" a="1"/>
  <c r="J49" i="33" s="1"/>
  <c r="AH37" i="45" a="1"/>
  <c r="AH37" i="45" s="1"/>
  <c r="AM55" i="44" a="1"/>
  <c r="AM55" i="44" s="1"/>
  <c r="AQ22" i="33" a="1"/>
  <c r="AQ22" i="33" s="1"/>
  <c r="X89" i="44" a="1"/>
  <c r="X89" i="44" s="1"/>
  <c r="AG49" i="33" a="1"/>
  <c r="AG49" i="33" s="1"/>
  <c r="T32" i="45" a="1"/>
  <c r="T32" i="45" s="1"/>
  <c r="AB20" i="44" a="1"/>
  <c r="AB20" i="44" s="1"/>
  <c r="AR58" i="44" a="1"/>
  <c r="AR58" i="44" s="1"/>
  <c r="P86" i="45" a="1"/>
  <c r="P86" i="45" s="1"/>
  <c r="Z101" i="45" a="1"/>
  <c r="Z101" i="45" s="1"/>
  <c r="AG86" i="45" a="1"/>
  <c r="AG86" i="45" s="1"/>
  <c r="C103" i="41" a="1"/>
  <c r="C103" i="41" s="1"/>
  <c r="W44" i="33" a="1"/>
  <c r="W44" i="33" s="1"/>
  <c r="AK37" i="33" a="1"/>
  <c r="AK37" i="33" s="1"/>
  <c r="AD25" i="45" a="1"/>
  <c r="AD25" i="45" s="1"/>
  <c r="C86" i="43" a="1"/>
  <c r="C86" i="43" s="1"/>
  <c r="AR65" i="44" a="1"/>
  <c r="AR65" i="44" s="1"/>
  <c r="O55" i="44" a="1"/>
  <c r="O55" i="44" s="1"/>
  <c r="W22" i="45" a="1"/>
  <c r="W22" i="45" s="1"/>
  <c r="AA10" i="44" a="1"/>
  <c r="AA10" i="44" s="1"/>
  <c r="AA64" i="33" a="1"/>
  <c r="AA64" i="33" s="1"/>
  <c r="J61" i="44" a="1"/>
  <c r="J61" i="44" s="1"/>
  <c r="AM41" i="45" a="1"/>
  <c r="AM41" i="45" s="1"/>
  <c r="E95" i="44" a="1"/>
  <c r="E95" i="44" s="1"/>
  <c r="X100" i="33" a="1"/>
  <c r="X100" i="33" s="1"/>
  <c r="AG94" i="33" a="1"/>
  <c r="AG94" i="33" s="1"/>
  <c r="Y41" i="44" a="1"/>
  <c r="Y41" i="44" s="1"/>
  <c r="G97" i="33" a="1"/>
  <c r="G97" i="33" s="1"/>
  <c r="J47" i="33" a="1"/>
  <c r="J47" i="33" s="1"/>
  <c r="AJ35" i="45" a="1"/>
  <c r="AJ35" i="45" s="1"/>
  <c r="AB56" i="33" a="1"/>
  <c r="AB56" i="33" s="1"/>
  <c r="AF64" i="44" a="1"/>
  <c r="AF64" i="44" s="1"/>
  <c r="AE91" i="45" a="1"/>
  <c r="AE91" i="45" s="1"/>
  <c r="F88" i="44" a="1"/>
  <c r="F88" i="44" s="1"/>
  <c r="AC82" i="44" a="1"/>
  <c r="AC82" i="44" s="1"/>
  <c r="K95" i="33" a="1"/>
  <c r="K95" i="33" s="1"/>
  <c r="S104" i="33" a="1"/>
  <c r="S104" i="33" s="1"/>
  <c r="E104" i="33" a="1"/>
  <c r="E104" i="33" s="1"/>
  <c r="S43" i="45" a="1"/>
  <c r="S43" i="45" s="1"/>
  <c r="R76" i="45" a="1"/>
  <c r="R76" i="45" s="1"/>
  <c r="AH44" i="44" a="1"/>
  <c r="AH44" i="44" s="1"/>
  <c r="AM26" i="45" a="1"/>
  <c r="AM26" i="45" s="1"/>
  <c r="AN76" i="44" a="1"/>
  <c r="AN76" i="44" s="1"/>
  <c r="O68" i="44" a="1"/>
  <c r="O68" i="44" s="1"/>
  <c r="H52" i="44" a="1"/>
  <c r="H52" i="44" s="1"/>
  <c r="AO43" i="45" a="1"/>
  <c r="AO43" i="45" s="1"/>
  <c r="J68" i="33" a="1"/>
  <c r="J68" i="33" s="1"/>
  <c r="X44" i="33" a="1"/>
  <c r="X44" i="33" s="1"/>
  <c r="H104" i="33" a="1"/>
  <c r="H104" i="33" s="1"/>
  <c r="AE25" i="33" a="1"/>
  <c r="AE25" i="33" s="1"/>
  <c r="Q58" i="33" a="1"/>
  <c r="Q58" i="33" s="1"/>
  <c r="AD10" i="44" a="1"/>
  <c r="AD10" i="44" s="1"/>
  <c r="Y40" i="44" a="1"/>
  <c r="Y40" i="44" s="1"/>
  <c r="I31" i="45" a="1"/>
  <c r="I31" i="45" s="1"/>
  <c r="AF85" i="45" a="1"/>
  <c r="AF85" i="45" s="1"/>
  <c r="C80" i="46" a="1"/>
  <c r="C80" i="46" s="1"/>
  <c r="T32" i="33" a="1"/>
  <c r="T32" i="33" s="1"/>
  <c r="AJ104" i="33" a="1"/>
  <c r="AJ104" i="33" s="1"/>
  <c r="AO26" i="44" a="1"/>
  <c r="AO26" i="44" s="1"/>
  <c r="AI86" i="45" a="1"/>
  <c r="AI86" i="45" s="1"/>
  <c r="AN97" i="33" a="1"/>
  <c r="AN97" i="33" s="1"/>
  <c r="L74" i="33" a="1"/>
  <c r="L74" i="33" s="1"/>
  <c r="Y29" i="44" a="1"/>
  <c r="Y29" i="44" s="1"/>
  <c r="N68" i="45" a="1"/>
  <c r="N68" i="45" s="1"/>
  <c r="AL74" i="44" a="1"/>
  <c r="AL74" i="44" s="1"/>
  <c r="F89" i="33" a="1"/>
  <c r="F89" i="33" s="1"/>
  <c r="W82" i="33" a="1"/>
  <c r="W82" i="33" s="1"/>
  <c r="N17" i="45" a="1"/>
  <c r="N17" i="45" s="1"/>
  <c r="O10" i="44" a="1"/>
  <c r="O10" i="44" s="1"/>
  <c r="K83" i="44" a="1"/>
  <c r="K83" i="44" s="1"/>
  <c r="H19" i="33" a="1"/>
  <c r="H19" i="33" s="1"/>
  <c r="W28" i="33" a="1"/>
  <c r="W28" i="33" s="1"/>
  <c r="W27" i="33" s="1"/>
  <c r="W64" i="45" a="1"/>
  <c r="W64" i="45" s="1"/>
  <c r="W91" i="33" a="1"/>
  <c r="W91" i="33" s="1"/>
  <c r="AA31" i="44" a="1"/>
  <c r="AA31" i="44" s="1"/>
  <c r="Y53" i="33" a="1"/>
  <c r="Y53" i="33" s="1"/>
  <c r="N95" i="44" a="1"/>
  <c r="N95" i="44" s="1"/>
  <c r="R94" i="44" a="1"/>
  <c r="R94" i="44" s="1"/>
  <c r="W49" i="45" a="1"/>
  <c r="W49" i="45" s="1"/>
  <c r="V23" i="44" a="1"/>
  <c r="V23" i="44" s="1"/>
  <c r="T89" i="44" a="1"/>
  <c r="T89" i="44" s="1"/>
  <c r="S97" i="44" a="1"/>
  <c r="S97" i="44" s="1"/>
  <c r="O28" i="44" a="1"/>
  <c r="O28" i="44" s="1"/>
  <c r="C26" i="44" a="1"/>
  <c r="C26" i="44" s="1"/>
  <c r="AJ22" i="33" a="1"/>
  <c r="AJ22" i="33" s="1"/>
  <c r="AR52" i="45" a="1"/>
  <c r="AR52" i="45" s="1"/>
  <c r="G47" i="33" a="1"/>
  <c r="G47" i="33" s="1"/>
  <c r="G45" i="33" s="1"/>
  <c r="AP94" i="33" a="1"/>
  <c r="AP94" i="33" s="1"/>
  <c r="AF88" i="44" a="1"/>
  <c r="AF88" i="44" s="1"/>
  <c r="AE92" i="44" a="1"/>
  <c r="AE92" i="44" s="1"/>
  <c r="C35" i="44" a="1"/>
  <c r="C35" i="44" s="1"/>
  <c r="J94" i="44" a="1"/>
  <c r="J94" i="44" s="1"/>
  <c r="AB74" i="44" a="1"/>
  <c r="AB74" i="44" s="1"/>
  <c r="F10" i="44" a="1"/>
  <c r="F10" i="44" s="1"/>
  <c r="P62" i="45" a="1"/>
  <c r="P62" i="45" s="1"/>
  <c r="Q26" i="45" a="1"/>
  <c r="Q26" i="45" s="1"/>
  <c r="G65" i="45" a="1"/>
  <c r="G65" i="45" s="1"/>
  <c r="M67" i="45" a="1"/>
  <c r="M67" i="45" s="1"/>
  <c r="AJ97" i="44" a="1"/>
  <c r="AJ97" i="44" s="1"/>
  <c r="AR41" i="33" a="1"/>
  <c r="AR41" i="33" s="1"/>
  <c r="AO95" i="45" a="1"/>
  <c r="AO95" i="45" s="1"/>
  <c r="AB62" i="44" a="1"/>
  <c r="AB62" i="44" s="1"/>
  <c r="AM20" i="44" a="1"/>
  <c r="AM20" i="44" s="1"/>
  <c r="AN82" i="44" a="1"/>
  <c r="AN82" i="44" s="1"/>
  <c r="AQ10" i="44" a="1"/>
  <c r="AQ10" i="44" s="1"/>
  <c r="P23" i="33" a="1"/>
  <c r="P23" i="33" s="1"/>
  <c r="AA91" i="33" a="1"/>
  <c r="AA91" i="33" s="1"/>
  <c r="AB94" i="45" a="1"/>
  <c r="AB94" i="45" s="1"/>
  <c r="K55" i="44" a="1"/>
  <c r="K55" i="44" s="1"/>
  <c r="AI53" i="44" a="1"/>
  <c r="AI53" i="44" s="1"/>
  <c r="U58" i="33" a="1"/>
  <c r="U58" i="33" s="1"/>
  <c r="AJ89" i="33" a="1"/>
  <c r="AJ89" i="33" s="1"/>
  <c r="Y47" i="33" a="1"/>
  <c r="Y47" i="33" s="1"/>
  <c r="P85" i="33" a="1"/>
  <c r="P85" i="33" s="1"/>
  <c r="E82" i="33" a="1"/>
  <c r="E82" i="33" s="1"/>
  <c r="E91" i="33" a="1"/>
  <c r="E91" i="33" s="1"/>
  <c r="AC52" i="44" a="1"/>
  <c r="AC52" i="44" s="1"/>
  <c r="C38" i="44" a="1"/>
  <c r="C38" i="44" s="1"/>
  <c r="AL52" i="45" a="1"/>
  <c r="AL52" i="45" s="1"/>
  <c r="C55" i="33" a="1"/>
  <c r="C55" i="33" s="1"/>
  <c r="U97" i="33" a="1"/>
  <c r="U97" i="33" s="1"/>
  <c r="R20" i="33" a="1"/>
  <c r="R20" i="33" s="1"/>
  <c r="U86" i="44" a="1"/>
  <c r="U86" i="44" s="1"/>
  <c r="AE83" i="44" a="1"/>
  <c r="AE83" i="44" s="1"/>
  <c r="I16" i="33" a="1"/>
  <c r="I16" i="33" s="1"/>
  <c r="AP98" i="45" a="1"/>
  <c r="AP98" i="45" s="1"/>
  <c r="W59" i="45" a="1"/>
  <c r="W59" i="45" s="1"/>
  <c r="L43" i="33" a="1"/>
  <c r="L43" i="33" s="1"/>
  <c r="AH91" i="33" a="1"/>
  <c r="AH91" i="33" s="1"/>
  <c r="L59" i="44" a="1"/>
  <c r="L59" i="44" s="1"/>
  <c r="G17" i="44" a="1"/>
  <c r="G17" i="44" s="1"/>
  <c r="K50" i="33" a="1"/>
  <c r="K50" i="33" s="1"/>
  <c r="AO97" i="44" a="1"/>
  <c r="AO97" i="44" s="1"/>
  <c r="W55" i="44" a="1"/>
  <c r="W55" i="44" s="1"/>
  <c r="AB46" i="33" a="1"/>
  <c r="AB46" i="33" s="1"/>
  <c r="K43" i="44" a="1"/>
  <c r="K43" i="44" s="1"/>
  <c r="AH38" i="45" a="1"/>
  <c r="AH38" i="45" s="1"/>
  <c r="E85" i="44" a="1"/>
  <c r="E85" i="44" s="1"/>
  <c r="AJ82" i="44" a="1"/>
  <c r="AJ82" i="44" s="1"/>
  <c r="T16" i="44" a="1"/>
  <c r="T16" i="44" s="1"/>
  <c r="AD74" i="45" a="1"/>
  <c r="AD74" i="45" s="1"/>
  <c r="F55" i="44" a="1"/>
  <c r="F55" i="44" s="1"/>
  <c r="U97" i="44" a="1"/>
  <c r="U97" i="44" s="1"/>
  <c r="O76" i="33" a="1"/>
  <c r="O76" i="33" s="1"/>
  <c r="AK88" i="33" a="1"/>
  <c r="AK88" i="33" s="1"/>
  <c r="Z104" i="33" a="1"/>
  <c r="Z104" i="33" s="1"/>
  <c r="AD34" i="33" a="1"/>
  <c r="AD34" i="33" s="1"/>
  <c r="G52" i="44" a="1"/>
  <c r="G52" i="44" s="1"/>
  <c r="AL77" i="44" a="1"/>
  <c r="AL77" i="44" s="1"/>
  <c r="F58" i="33" a="1"/>
  <c r="F58" i="33" s="1"/>
  <c r="I80" i="44" a="1"/>
  <c r="I80" i="44" s="1"/>
  <c r="AN65" i="45" a="1"/>
  <c r="AN65" i="45" s="1"/>
  <c r="X68" i="33" a="1"/>
  <c r="X68" i="33" s="1"/>
  <c r="G20" i="33" a="1"/>
  <c r="G20" i="33" s="1"/>
  <c r="T92" i="45" a="1"/>
  <c r="T92" i="45" s="1"/>
  <c r="AB41" i="45" a="1"/>
  <c r="AB41" i="45" s="1"/>
  <c r="C46" i="47" a="1"/>
  <c r="C46" i="47" s="1"/>
  <c r="C103" i="45" a="1"/>
  <c r="C103" i="45" s="1"/>
  <c r="A103" i="45" s="1"/>
  <c r="AL53" i="44" a="1"/>
  <c r="AL53" i="44" s="1"/>
  <c r="AI100" i="33" a="1"/>
  <c r="AI100" i="33" s="1"/>
  <c r="T97" i="33" a="1"/>
  <c r="T97" i="33" s="1"/>
  <c r="Y65" i="44" a="1"/>
  <c r="Y65" i="44" s="1"/>
  <c r="H47" i="44" a="1"/>
  <c r="H47" i="44" s="1"/>
  <c r="E31" i="33" a="1"/>
  <c r="E31" i="33" s="1"/>
  <c r="C100" i="44" a="1"/>
  <c r="C100" i="44" s="1"/>
  <c r="AQ88" i="44" a="1"/>
  <c r="AQ88" i="44" s="1"/>
  <c r="AD92" i="45" a="1"/>
  <c r="AD92" i="45" s="1"/>
  <c r="M34" i="44" a="1"/>
  <c r="M34" i="44" s="1"/>
  <c r="M33" i="44" s="1"/>
  <c r="Y46" i="33" a="1"/>
  <c r="Y46" i="33" s="1"/>
  <c r="AA52" i="45" a="1"/>
  <c r="AA52" i="45" s="1"/>
  <c r="AH104" i="33" a="1"/>
  <c r="AH104" i="33" s="1"/>
  <c r="AI80" i="33" a="1"/>
  <c r="AI80" i="33" s="1"/>
  <c r="AN52" i="44" a="1"/>
  <c r="AN52" i="44" s="1"/>
  <c r="L82" i="45" a="1"/>
  <c r="L82" i="45" s="1"/>
  <c r="W53" i="44" a="1"/>
  <c r="W53" i="44" s="1"/>
  <c r="AG82" i="44" a="1"/>
  <c r="AG82" i="44" s="1"/>
  <c r="AI76" i="44" a="1"/>
  <c r="AI76" i="44" s="1"/>
  <c r="L23" i="45" a="1"/>
  <c r="L23" i="45" s="1"/>
  <c r="AR47" i="44" a="1"/>
  <c r="AR47" i="44" s="1"/>
  <c r="F56" i="45" a="1"/>
  <c r="F56" i="45" s="1"/>
  <c r="AJ101" i="33" a="1"/>
  <c r="AJ101" i="33" s="1"/>
  <c r="J79" i="33" a="1"/>
  <c r="J79" i="33" s="1"/>
  <c r="V43" i="45" a="1"/>
  <c r="V43" i="45" s="1"/>
  <c r="K65" i="44" a="1"/>
  <c r="K65" i="44" s="1"/>
  <c r="AL103" i="45" a="1"/>
  <c r="AL103" i="45" s="1"/>
  <c r="G67" i="44" a="1"/>
  <c r="G67" i="44" s="1"/>
  <c r="Q62" i="33" a="1"/>
  <c r="Q62" i="33" s="1"/>
  <c r="Q73" i="45" a="1"/>
  <c r="Q73" i="45" s="1"/>
  <c r="C85" i="42" a="1"/>
  <c r="C85" i="42" s="1"/>
  <c r="A85" i="42" s="1"/>
  <c r="AD52" i="45" a="1"/>
  <c r="AD52" i="45" s="1"/>
  <c r="Q86" i="33" a="1"/>
  <c r="Q86" i="33" s="1"/>
  <c r="E59" i="33" a="1"/>
  <c r="E59" i="33" s="1"/>
  <c r="U94" i="33" a="1"/>
  <c r="U94" i="33" s="1"/>
  <c r="U34" i="33" a="1"/>
  <c r="U34" i="33" s="1"/>
  <c r="G70" i="33" a="1"/>
  <c r="G70" i="33" s="1"/>
  <c r="R94" i="33" a="1"/>
  <c r="R94" i="33" s="1"/>
  <c r="AR11" i="33" a="1"/>
  <c r="AR11" i="33" s="1"/>
  <c r="AQ77" i="33" a="1"/>
  <c r="AQ77" i="33" s="1"/>
  <c r="G59" i="45" a="1"/>
  <c r="G59" i="45" s="1"/>
  <c r="G20" i="44" a="1"/>
  <c r="G20" i="44" s="1"/>
  <c r="J22" i="45" a="1"/>
  <c r="J22" i="45" s="1"/>
  <c r="AQ100" i="44" a="1"/>
  <c r="AQ100" i="44" s="1"/>
  <c r="U98" i="44" a="1"/>
  <c r="U98" i="44" s="1"/>
  <c r="R46" i="45" a="1"/>
  <c r="R46" i="45" s="1"/>
  <c r="AP47" i="44" a="1"/>
  <c r="AP47" i="44" s="1"/>
  <c r="V40" i="33" a="1"/>
  <c r="V40" i="33" s="1"/>
  <c r="J56" i="44" a="1"/>
  <c r="J56" i="44" s="1"/>
  <c r="J31" i="33" a="1"/>
  <c r="J31" i="33" s="1"/>
  <c r="Y38" i="45" a="1"/>
  <c r="Y38" i="45" s="1"/>
  <c r="C50" i="46" a="1"/>
  <c r="C50" i="46" s="1"/>
  <c r="O56" i="45" a="1"/>
  <c r="O56" i="45" s="1"/>
  <c r="AF47" i="45" a="1"/>
  <c r="AF47" i="45" s="1"/>
  <c r="AE97" i="44" a="1"/>
  <c r="AE97" i="44" s="1"/>
  <c r="AO86" i="44" a="1"/>
  <c r="AO86" i="44" s="1"/>
  <c r="AC35" i="45" a="1"/>
  <c r="AC35" i="45" s="1"/>
  <c r="AA101" i="44" a="1"/>
  <c r="AA101" i="44" s="1"/>
  <c r="AC38" i="44" a="1"/>
  <c r="AC38" i="44" s="1"/>
  <c r="K64" i="45" a="1"/>
  <c r="K64" i="45" s="1"/>
  <c r="AP41" i="44" a="1"/>
  <c r="AP41" i="44" s="1"/>
  <c r="Z91" i="44" a="1"/>
  <c r="Z91" i="44" s="1"/>
  <c r="N43" i="44" a="1"/>
  <c r="N43" i="44" s="1"/>
  <c r="F92" i="44" a="1"/>
  <c r="F92" i="44" s="1"/>
  <c r="C59" i="33" a="1"/>
  <c r="C59" i="33" s="1"/>
  <c r="F41" i="44" a="1"/>
  <c r="F41" i="44" s="1"/>
  <c r="AO55" i="45" a="1"/>
  <c r="AO55" i="45" s="1"/>
  <c r="C65" i="44" a="1"/>
  <c r="C65" i="44" s="1"/>
  <c r="M80" i="45" a="1"/>
  <c r="M80" i="45" s="1"/>
  <c r="R89" i="44" a="1"/>
  <c r="R89" i="44" s="1"/>
  <c r="AN43" i="45" a="1"/>
  <c r="AN43" i="45" s="1"/>
  <c r="AD85" i="45" a="1"/>
  <c r="AD85" i="45" s="1"/>
  <c r="K23" i="45" a="1"/>
  <c r="K23" i="45" s="1"/>
  <c r="M65" i="45" a="1"/>
  <c r="M65" i="45" s="1"/>
  <c r="AI64" i="44" a="1"/>
  <c r="AI64" i="44" s="1"/>
  <c r="X86" i="45" a="1"/>
  <c r="X86" i="45" s="1"/>
  <c r="AP49" i="44" a="1"/>
  <c r="AP49" i="44" s="1"/>
  <c r="Y95" i="45" a="1"/>
  <c r="Y95" i="45" s="1"/>
  <c r="C22" i="45" a="1"/>
  <c r="C22" i="45" s="1"/>
  <c r="AK41" i="33" a="1"/>
  <c r="AK41" i="33" s="1"/>
  <c r="U20" i="44" a="1"/>
  <c r="U20" i="44" s="1"/>
  <c r="S38" i="45" a="1"/>
  <c r="S38" i="45" s="1"/>
  <c r="AR16" i="33" a="1"/>
  <c r="AR16" i="33" s="1"/>
  <c r="AD47" i="44" a="1"/>
  <c r="AD47" i="44" s="1"/>
  <c r="F61" i="45" a="1"/>
  <c r="F61" i="45" s="1"/>
  <c r="K47" i="44" a="1"/>
  <c r="K47" i="44" s="1"/>
  <c r="AP101" i="44" a="1"/>
  <c r="AP101" i="44" s="1"/>
  <c r="P92" i="45" a="1"/>
  <c r="P92" i="45" s="1"/>
  <c r="C101" i="47" a="1"/>
  <c r="C101" i="47" s="1"/>
  <c r="F62" i="33" a="1"/>
  <c r="F62" i="33" s="1"/>
  <c r="AC80" i="45" a="1"/>
  <c r="AC80" i="45" s="1"/>
  <c r="Y49" i="44" a="1"/>
  <c r="Y49" i="44" s="1"/>
  <c r="AI10" i="44" a="1"/>
  <c r="AI10" i="44" s="1"/>
  <c r="O73" i="45" a="1"/>
  <c r="O73" i="45" s="1"/>
  <c r="AQ73" i="44" a="1"/>
  <c r="AQ73" i="44" s="1"/>
  <c r="AC70" i="33" a="1"/>
  <c r="AC70" i="33" s="1"/>
  <c r="E22" i="44" a="1"/>
  <c r="E22" i="44" s="1"/>
  <c r="F31" i="45" a="1"/>
  <c r="F31" i="45" s="1"/>
  <c r="C101" i="46" a="1"/>
  <c r="C101" i="46" s="1"/>
  <c r="AN16" i="44" a="1"/>
  <c r="AN16" i="44" s="1"/>
  <c r="AR100" i="44" a="1"/>
  <c r="AR100" i="44" s="1"/>
  <c r="Q47" i="45" a="1"/>
  <c r="Q47" i="45" s="1"/>
  <c r="AK67" i="44" a="1"/>
  <c r="AK67" i="44" s="1"/>
  <c r="AB92" i="33" a="1"/>
  <c r="AB92" i="33" s="1"/>
  <c r="AA94" i="44" a="1"/>
  <c r="AA94" i="44" s="1"/>
  <c r="C67" i="42" a="1"/>
  <c r="C67" i="42" s="1"/>
  <c r="T47" i="45" a="1"/>
  <c r="T47" i="45" s="1"/>
  <c r="J47" i="45" a="1"/>
  <c r="J47" i="45" s="1"/>
  <c r="T50" i="33" a="1"/>
  <c r="T50" i="33" s="1"/>
  <c r="T98" i="44" a="1"/>
  <c r="T98" i="44" s="1"/>
  <c r="AK44" i="33" a="1"/>
  <c r="AK44" i="33" s="1"/>
  <c r="K83" i="33" a="1"/>
  <c r="K83" i="33" s="1"/>
  <c r="O37" i="45" a="1"/>
  <c r="O37" i="45" s="1"/>
  <c r="X31" i="33" a="1"/>
  <c r="X31" i="33" s="1"/>
  <c r="W31" i="45" a="1"/>
  <c r="W31" i="45" s="1"/>
  <c r="C85" i="33" a="1"/>
  <c r="C85" i="33" s="1"/>
  <c r="AD65" i="44" a="1"/>
  <c r="AD65" i="44" s="1"/>
  <c r="H97" i="33" a="1"/>
  <c r="H97" i="33" s="1"/>
  <c r="AK85" i="44" a="1"/>
  <c r="AK85" i="44" s="1"/>
  <c r="AB80" i="44" a="1"/>
  <c r="AB80" i="44" s="1"/>
  <c r="J76" i="45" a="1"/>
  <c r="J76" i="45" s="1"/>
  <c r="C94" i="45" a="1"/>
  <c r="C94" i="45" s="1"/>
  <c r="O47" i="44" a="1"/>
  <c r="O47" i="44" s="1"/>
  <c r="AR94" i="45" a="1"/>
  <c r="AR94" i="45" s="1"/>
  <c r="Y92" i="45" a="1"/>
  <c r="Y92" i="45" s="1"/>
  <c r="AJ49" i="33" a="1"/>
  <c r="AJ49" i="33" s="1"/>
  <c r="N67" i="45" a="1"/>
  <c r="N67" i="45" s="1"/>
  <c r="AD37" i="33" a="1"/>
  <c r="AD37" i="33" s="1"/>
  <c r="AD36" i="33" s="1"/>
  <c r="AR98" i="45" a="1"/>
  <c r="AR98" i="45" s="1"/>
  <c r="G53" i="33" a="1"/>
  <c r="G53" i="33" s="1"/>
  <c r="W103" i="44" a="1"/>
  <c r="W103" i="44" s="1"/>
  <c r="F46" i="44" a="1"/>
  <c r="F46" i="44" s="1"/>
  <c r="G89" i="33" a="1"/>
  <c r="G89" i="33" s="1"/>
  <c r="AL58" i="45" a="1"/>
  <c r="AL58" i="45" s="1"/>
  <c r="AL57" i="45" s="1"/>
  <c r="W35" i="44" a="1"/>
  <c r="W35" i="44" s="1"/>
  <c r="AA76" i="33" a="1"/>
  <c r="AA76" i="33" s="1"/>
  <c r="V89" i="33" a="1"/>
  <c r="V89" i="33" s="1"/>
  <c r="AC88" i="45" a="1"/>
  <c r="AC88" i="45" s="1"/>
  <c r="J56" i="33" a="1"/>
  <c r="J56" i="33" s="1"/>
  <c r="AF62" i="45" a="1"/>
  <c r="AF62" i="45" s="1"/>
  <c r="AD40" i="33" a="1"/>
  <c r="AD40" i="33" s="1"/>
  <c r="K92" i="44" a="1"/>
  <c r="K92" i="44" s="1"/>
  <c r="R89" i="45" a="1"/>
  <c r="R89" i="45" s="1"/>
  <c r="AR73" i="45" a="1"/>
  <c r="AR73" i="45" s="1"/>
  <c r="AN64" i="44" a="1"/>
  <c r="AN64" i="44" s="1"/>
  <c r="Z47" i="33" a="1"/>
  <c r="Z47" i="33" s="1"/>
  <c r="AK91" i="45" a="1"/>
  <c r="AK91" i="45" s="1"/>
  <c r="W20" i="45" a="1"/>
  <c r="W20" i="45" s="1"/>
  <c r="F68" i="45" a="1"/>
  <c r="F68" i="45" s="1"/>
  <c r="V50" i="45" a="1"/>
  <c r="V50" i="45" s="1"/>
  <c r="AB95" i="33" a="1"/>
  <c r="AB95" i="33" s="1"/>
  <c r="AH70" i="45" a="1"/>
  <c r="AH70" i="45" s="1"/>
  <c r="P61" i="45" a="1"/>
  <c r="P61" i="45" s="1"/>
  <c r="C22" i="47" a="1"/>
  <c r="C22" i="47" s="1"/>
  <c r="AI25" i="33" a="1"/>
  <c r="AI25" i="33" s="1"/>
  <c r="Z77" i="33" a="1"/>
  <c r="Z77" i="33" s="1"/>
  <c r="I22" i="45" a="1"/>
  <c r="I22" i="45" s="1"/>
  <c r="F26" i="44" a="1"/>
  <c r="F26" i="44" s="1"/>
  <c r="AG71" i="44" a="1"/>
  <c r="AG71" i="44" s="1"/>
  <c r="AI41" i="45" a="1"/>
  <c r="AI41" i="45" s="1"/>
  <c r="AI38" i="33" a="1"/>
  <c r="AI38" i="33" s="1"/>
  <c r="E47" i="44" a="1"/>
  <c r="E47" i="44" s="1"/>
  <c r="T56" i="45" a="1"/>
  <c r="T56" i="45" s="1"/>
  <c r="K83" i="45" a="1"/>
  <c r="K83" i="45" s="1"/>
  <c r="AH35" i="33" a="1"/>
  <c r="AH35" i="33" s="1"/>
  <c r="C50" i="45" a="1"/>
  <c r="C50" i="45" s="1"/>
  <c r="A49" i="45" s="1"/>
  <c r="AR29" i="44" a="1"/>
  <c r="AR29" i="44" s="1"/>
  <c r="X55" i="44" a="1"/>
  <c r="X55" i="44" s="1"/>
  <c r="G80" i="45" a="1"/>
  <c r="G80" i="45" s="1"/>
  <c r="AI65" i="33" a="1"/>
  <c r="AI65" i="33" s="1"/>
  <c r="AB89" i="44" a="1"/>
  <c r="AB89" i="44" s="1"/>
  <c r="AK58" i="33" a="1"/>
  <c r="AK58" i="33" s="1"/>
  <c r="Y68" i="44" a="1"/>
  <c r="Y68" i="44" s="1"/>
  <c r="AC86" i="44" a="1"/>
  <c r="AC86" i="44" s="1"/>
  <c r="E91" i="45" a="1"/>
  <c r="E91" i="45" s="1"/>
  <c r="V101" i="44" a="1"/>
  <c r="V101" i="44" s="1"/>
  <c r="AR10" i="33" a="1"/>
  <c r="AR10" i="33" s="1"/>
  <c r="AF16" i="44" a="1"/>
  <c r="AF16" i="44" s="1"/>
  <c r="AO25" i="44" a="1"/>
  <c r="AO25" i="44" s="1"/>
  <c r="U20" i="45" a="1"/>
  <c r="U20" i="45" s="1"/>
  <c r="T53" i="44" a="1"/>
  <c r="T53" i="44" s="1"/>
  <c r="AK38" i="44" a="1"/>
  <c r="AK38" i="44" s="1"/>
  <c r="AR104" i="44" a="1"/>
  <c r="AR104" i="44" s="1"/>
  <c r="Z50" i="45" a="1"/>
  <c r="Z50" i="45" s="1"/>
  <c r="J95" i="44" a="1"/>
  <c r="J95" i="44" s="1"/>
  <c r="AF46" i="33" a="1"/>
  <c r="AF46" i="33" s="1"/>
  <c r="M59" i="33" a="1"/>
  <c r="M59" i="33" s="1"/>
  <c r="M98" i="44" a="1"/>
  <c r="M98" i="44" s="1"/>
  <c r="AC35" i="44" a="1"/>
  <c r="AC35" i="44" s="1"/>
  <c r="C83" i="41" a="1"/>
  <c r="C83" i="41" s="1"/>
  <c r="AF25" i="44" a="1"/>
  <c r="AF25" i="44" s="1"/>
  <c r="AD59" i="33" a="1"/>
  <c r="AD59" i="33" s="1"/>
  <c r="V49" i="44" a="1"/>
  <c r="V49" i="44" s="1"/>
  <c r="G16" i="44" a="1"/>
  <c r="G16" i="44" s="1"/>
  <c r="AB97" i="44" a="1"/>
  <c r="AB97" i="44" s="1"/>
  <c r="F85" i="44" a="1"/>
  <c r="F85" i="44" s="1"/>
  <c r="AO61" i="44" a="1"/>
  <c r="AO61" i="44" s="1"/>
  <c r="Q43" i="44" a="1"/>
  <c r="Q43" i="44" s="1"/>
  <c r="AC59" i="33" a="1"/>
  <c r="AC59" i="33" s="1"/>
  <c r="AG79" i="44" a="1"/>
  <c r="AG79" i="44" s="1"/>
  <c r="AH62" i="33" a="1"/>
  <c r="AH62" i="33" s="1"/>
  <c r="G101" i="44" a="1"/>
  <c r="G101" i="44" s="1"/>
  <c r="AM80" i="44" a="1"/>
  <c r="AM80" i="44" s="1"/>
  <c r="AA56" i="45" a="1"/>
  <c r="AA56" i="45" s="1"/>
  <c r="AE40" i="44" a="1"/>
  <c r="AE40" i="44" s="1"/>
  <c r="F100" i="33" a="1"/>
  <c r="F100" i="33" s="1"/>
  <c r="AA47" i="45" a="1"/>
  <c r="AA47" i="45" s="1"/>
  <c r="L50" i="45" a="1"/>
  <c r="L50" i="45" s="1"/>
  <c r="Q19" i="44" a="1"/>
  <c r="Q19" i="44" s="1"/>
  <c r="Q18" i="44" s="1"/>
  <c r="U43" i="44" a="1"/>
  <c r="U43" i="44" s="1"/>
  <c r="P65" i="44" a="1"/>
  <c r="P65" i="44" s="1"/>
  <c r="AC35" i="33" a="1"/>
  <c r="AC35" i="33" s="1"/>
  <c r="AP29" i="33" a="1"/>
  <c r="AP29" i="33" s="1"/>
  <c r="N58" i="44" a="1"/>
  <c r="N58" i="44" s="1"/>
  <c r="Z22" i="45" a="1"/>
  <c r="Z22" i="45" s="1"/>
  <c r="T55" i="44" a="1"/>
  <c r="T55" i="44" s="1"/>
  <c r="L61" i="33" a="1"/>
  <c r="L61" i="33" s="1"/>
  <c r="U95" i="45" a="1"/>
  <c r="U95" i="45" s="1"/>
  <c r="U10" i="45" a="1"/>
  <c r="U10" i="45" s="1"/>
  <c r="AK80" i="45" a="1"/>
  <c r="AK80" i="45" s="1"/>
  <c r="AE62" i="44" a="1"/>
  <c r="AE62" i="44" s="1"/>
  <c r="Q22" i="45" a="1"/>
  <c r="Q22" i="45" s="1"/>
  <c r="V37" i="45" a="1"/>
  <c r="V37" i="45" s="1"/>
  <c r="Q50" i="33" a="1"/>
  <c r="Q50" i="33" s="1"/>
  <c r="AG23" i="45" a="1"/>
  <c r="AG23" i="45" s="1"/>
  <c r="M79" i="44" a="1"/>
  <c r="M79" i="44" s="1"/>
  <c r="AA50" i="44" a="1"/>
  <c r="AA50" i="44" s="1"/>
  <c r="AM20" i="45" a="1"/>
  <c r="AM20" i="45" s="1"/>
  <c r="AD91" i="45" a="1"/>
  <c r="AD91" i="45" s="1"/>
  <c r="C50" i="42" a="1"/>
  <c r="C50" i="42" s="1"/>
  <c r="AD10" i="33" a="1"/>
  <c r="AD10" i="33" s="1"/>
  <c r="C41" i="47" a="1"/>
  <c r="C41" i="47" s="1"/>
  <c r="L34" i="44" a="1"/>
  <c r="L34" i="44" s="1"/>
  <c r="S19" i="44" a="1"/>
  <c r="S19" i="44" s="1"/>
  <c r="AH59" i="44" a="1"/>
  <c r="AH59" i="44" s="1"/>
  <c r="C89" i="47" a="1"/>
  <c r="C89" i="47" s="1"/>
  <c r="R32" i="44" a="1"/>
  <c r="R32" i="44" s="1"/>
  <c r="AQ71" i="44" a="1"/>
  <c r="AQ71" i="44" s="1"/>
  <c r="T44" i="45" a="1"/>
  <c r="T44" i="45" s="1"/>
  <c r="O55" i="33" a="1"/>
  <c r="O55" i="33" s="1"/>
  <c r="AH86" i="45" a="1"/>
  <c r="AH86" i="45" s="1"/>
  <c r="AM22" i="45" a="1"/>
  <c r="AM22" i="45" s="1"/>
  <c r="AH103" i="33" a="1"/>
  <c r="AH103" i="33" s="1"/>
  <c r="C62" i="33" a="1"/>
  <c r="C62" i="33" s="1"/>
  <c r="C94" i="47" a="1"/>
  <c r="C94" i="47" s="1"/>
  <c r="Q59" i="45" a="1"/>
  <c r="Q59" i="45" s="1"/>
  <c r="AR100" i="33" a="1"/>
  <c r="AR100" i="33" s="1"/>
  <c r="K65" i="33" a="1"/>
  <c r="K65" i="33" s="1"/>
  <c r="AI11" i="33" a="1"/>
  <c r="AI11" i="33" s="1"/>
  <c r="R56" i="33" a="1"/>
  <c r="R56" i="33" s="1"/>
  <c r="AB100" i="33" a="1"/>
  <c r="AB100" i="33" s="1"/>
  <c r="F67" i="33" a="1"/>
  <c r="F67" i="33" s="1"/>
  <c r="AA16" i="33" a="1"/>
  <c r="AA16" i="33" s="1"/>
  <c r="AB59" i="45" a="1"/>
  <c r="AB59" i="45" s="1"/>
  <c r="U91" i="45" a="1"/>
  <c r="U91" i="45" s="1"/>
  <c r="X88" i="33" a="1"/>
  <c r="X88" i="33" s="1"/>
  <c r="V37" i="33" a="1"/>
  <c r="V37" i="33" s="1"/>
  <c r="AP26" i="33" a="1"/>
  <c r="AP26" i="33" s="1"/>
  <c r="AO38" i="44" a="1"/>
  <c r="AO38" i="44" s="1"/>
  <c r="R100" i="44" a="1"/>
  <c r="R100" i="44" s="1"/>
  <c r="AK104" i="33" a="1"/>
  <c r="AK104" i="33" s="1"/>
  <c r="I23" i="44" a="1"/>
  <c r="I23" i="44" s="1"/>
  <c r="AP26" i="45" a="1"/>
  <c r="AP26" i="45" s="1"/>
  <c r="G35" i="33" a="1"/>
  <c r="G35" i="33" s="1"/>
  <c r="AI46" i="33" a="1"/>
  <c r="AI46" i="33" s="1"/>
  <c r="U41" i="44" a="1"/>
  <c r="U41" i="44" s="1"/>
  <c r="G43" i="44" a="1"/>
  <c r="G43" i="44" s="1"/>
  <c r="AR38" i="45" a="1"/>
  <c r="AR38" i="45" s="1"/>
  <c r="C82" i="42" a="1"/>
  <c r="C82" i="42" s="1"/>
  <c r="AO65" i="33" a="1"/>
  <c r="AO65" i="33" s="1"/>
  <c r="X92" i="44" a="1"/>
  <c r="X92" i="44" s="1"/>
  <c r="AJ25" i="45" a="1"/>
  <c r="AJ25" i="45" s="1"/>
  <c r="AA26" i="45" a="1"/>
  <c r="AA26" i="45" s="1"/>
  <c r="AN40" i="45" a="1"/>
  <c r="AN40" i="45" s="1"/>
  <c r="AA83" i="44" a="1"/>
  <c r="AA83" i="44" s="1"/>
  <c r="F44" i="33" a="1"/>
  <c r="F44" i="33" s="1"/>
  <c r="AH16" i="45" a="1"/>
  <c r="AH16" i="45" s="1"/>
  <c r="H101" i="45" a="1"/>
  <c r="H101" i="45" s="1"/>
  <c r="AC104" i="44" a="1"/>
  <c r="AC104" i="44" s="1"/>
  <c r="Q41" i="44" a="1"/>
  <c r="Q41" i="44" s="1"/>
  <c r="AQ19" i="45" a="1"/>
  <c r="AQ19" i="45" s="1"/>
  <c r="AO41" i="45" a="1"/>
  <c r="AO41" i="45" s="1"/>
  <c r="E80" i="44" a="1"/>
  <c r="E80" i="44" s="1"/>
  <c r="AQ25" i="33" a="1"/>
  <c r="AQ25" i="33" s="1"/>
  <c r="C55" i="43" a="1"/>
  <c r="C55" i="43" s="1"/>
  <c r="U46" i="44" a="1"/>
  <c r="U46" i="44" s="1"/>
  <c r="AJ53" i="45" a="1"/>
  <c r="AJ53" i="45" s="1"/>
  <c r="AL79" i="45" a="1"/>
  <c r="AL79" i="45" s="1"/>
  <c r="AR104" i="33" a="1"/>
  <c r="AR104" i="33" s="1"/>
  <c r="W80" i="33" a="1"/>
  <c r="W80" i="33" s="1"/>
  <c r="W78" i="33" s="1"/>
  <c r="L52" i="44" a="1"/>
  <c r="L52" i="44" s="1"/>
  <c r="L51" i="44" s="1"/>
  <c r="AF100" i="45" a="1"/>
  <c r="AF100" i="45" s="1"/>
  <c r="AK19" i="44" a="1"/>
  <c r="AK19" i="44" s="1"/>
  <c r="O82" i="45" a="1"/>
  <c r="O82" i="45" s="1"/>
  <c r="T20" i="44" a="1"/>
  <c r="T20" i="44" s="1"/>
  <c r="I65" i="33" a="1"/>
  <c r="I65" i="33" s="1"/>
  <c r="AL83" i="33" a="1"/>
  <c r="AL83" i="33" s="1"/>
  <c r="P10" i="45" a="1"/>
  <c r="P10" i="45" s="1"/>
  <c r="X28" i="44" a="1"/>
  <c r="X28" i="44" s="1"/>
  <c r="X27" i="44" s="1"/>
  <c r="AC74" i="33" a="1"/>
  <c r="AC74" i="33" s="1"/>
  <c r="AE71" i="45" a="1"/>
  <c r="AE71" i="45" s="1"/>
  <c r="X71" i="44" a="1"/>
  <c r="X71" i="44" s="1"/>
  <c r="X77" i="45" a="1"/>
  <c r="X77" i="45" s="1"/>
  <c r="AH17" i="45" a="1"/>
  <c r="AH17" i="45" s="1"/>
  <c r="I55" i="45" a="1"/>
  <c r="I55" i="45" s="1"/>
  <c r="I53" i="44" a="1"/>
  <c r="I53" i="44" s="1"/>
  <c r="H74" i="33" a="1"/>
  <c r="H74" i="33" s="1"/>
  <c r="P37" i="45" a="1"/>
  <c r="P37" i="45" s="1"/>
  <c r="C101" i="42" a="1"/>
  <c r="C101" i="42" s="1"/>
  <c r="L44" i="45" a="1"/>
  <c r="L44" i="45" s="1"/>
  <c r="L42" i="45" s="1"/>
  <c r="G68" i="44" a="1"/>
  <c r="G68" i="44" s="1"/>
  <c r="U77" i="33" a="1"/>
  <c r="U77" i="33" s="1"/>
  <c r="AF31" i="44" a="1"/>
  <c r="AF31" i="44" s="1"/>
  <c r="AJ100" i="45" a="1"/>
  <c r="AJ100" i="45" s="1"/>
  <c r="P97" i="33" a="1"/>
  <c r="P97" i="33" s="1"/>
  <c r="M46" i="33" a="1"/>
  <c r="M46" i="33" s="1"/>
  <c r="O31" i="44" a="1"/>
  <c r="O31" i="44" s="1"/>
  <c r="AD98" i="33" a="1"/>
  <c r="AD98" i="33" s="1"/>
  <c r="F67" i="45" a="1"/>
  <c r="F67" i="45" s="1"/>
  <c r="AL29" i="33" a="1"/>
  <c r="AL29" i="33" s="1"/>
  <c r="AL27" i="33" s="1"/>
  <c r="X35" i="44" a="1"/>
  <c r="X35" i="44" s="1"/>
  <c r="W26" i="45" a="1"/>
  <c r="W26" i="45" s="1"/>
  <c r="V95" i="33" a="1"/>
  <c r="V95" i="33" s="1"/>
  <c r="V25" i="44" a="1"/>
  <c r="V25" i="44" s="1"/>
  <c r="J53" i="45" a="1"/>
  <c r="J53" i="45" s="1"/>
  <c r="AJ19" i="45" a="1"/>
  <c r="AJ19" i="45" s="1"/>
  <c r="N77" i="44" a="1"/>
  <c r="N77" i="44" s="1"/>
  <c r="AK64" i="45" a="1"/>
  <c r="AK64" i="45" s="1"/>
  <c r="Z46" i="45" a="1"/>
  <c r="Z46" i="45" s="1"/>
  <c r="R28" i="33" a="1"/>
  <c r="R28" i="33" s="1"/>
  <c r="Z65" i="44" a="1"/>
  <c r="Z65" i="44" s="1"/>
  <c r="J41" i="44" a="1"/>
  <c r="J41" i="44" s="1"/>
  <c r="I28" i="45" a="1"/>
  <c r="I28" i="45" s="1"/>
  <c r="M11" i="45" a="1"/>
  <c r="M11" i="45" s="1"/>
  <c r="AP92" i="33" a="1"/>
  <c r="AP92" i="33" s="1"/>
  <c r="J58" i="45" a="1"/>
  <c r="J58" i="45" s="1"/>
  <c r="AO29" i="44" a="1"/>
  <c r="AO29" i="44" s="1"/>
  <c r="C19" i="33" a="1"/>
  <c r="C19" i="33" s="1"/>
  <c r="M19" i="33" a="1"/>
  <c r="M19" i="33" s="1"/>
  <c r="AM94" i="44" a="1"/>
  <c r="AM94" i="44" s="1"/>
  <c r="P43" i="45" a="1"/>
  <c r="P43" i="45" s="1"/>
  <c r="P42" i="45" s="1"/>
  <c r="AG67" i="45" a="1"/>
  <c r="AG67" i="45" s="1"/>
  <c r="AJ34" i="45" a="1"/>
  <c r="AJ34" i="45" s="1"/>
  <c r="Z92" i="45" a="1"/>
  <c r="Z92" i="45" s="1"/>
  <c r="Q64" i="45" a="1"/>
  <c r="Q64" i="45" s="1"/>
  <c r="Q63" i="45" s="1"/>
  <c r="L22" i="45" a="1"/>
  <c r="L22" i="45" s="1"/>
  <c r="I103" i="33" a="1"/>
  <c r="I103" i="33" s="1"/>
  <c r="AD22" i="33" a="1"/>
  <c r="AD22" i="33" s="1"/>
  <c r="Z19" i="33" a="1"/>
  <c r="Z19" i="33" s="1"/>
  <c r="N10" i="45" a="1"/>
  <c r="N10" i="45" s="1"/>
  <c r="T37" i="45" a="1"/>
  <c r="T37" i="45" s="1"/>
  <c r="AD71" i="45" a="1"/>
  <c r="AD71" i="45" s="1"/>
  <c r="O43" i="45" a="1"/>
  <c r="O43" i="45" s="1"/>
  <c r="AD86" i="44" a="1"/>
  <c r="AD86" i="44" s="1"/>
  <c r="AB49" i="44" a="1"/>
  <c r="AB49" i="44" s="1"/>
  <c r="AB48" i="44" s="1"/>
  <c r="AF77" i="45" a="1"/>
  <c r="AF77" i="45" s="1"/>
  <c r="O23" i="44" a="1"/>
  <c r="O23" i="44" s="1"/>
  <c r="AF77" i="33" a="1"/>
  <c r="AF77" i="33" s="1"/>
  <c r="T47" i="33" a="1"/>
  <c r="T47" i="33" s="1"/>
  <c r="AH16" i="44" a="1"/>
  <c r="AH16" i="44" s="1"/>
  <c r="AC53" i="33" a="1"/>
  <c r="AC53" i="33" s="1"/>
  <c r="H98" i="45" a="1"/>
  <c r="H98" i="45" s="1"/>
  <c r="E43" i="33" a="1"/>
  <c r="E43" i="33" s="1"/>
  <c r="P94" i="45" a="1"/>
  <c r="P94" i="45" s="1"/>
  <c r="AM53" i="45" a="1"/>
  <c r="AM53" i="45" s="1"/>
  <c r="AJ22" i="45" a="1"/>
  <c r="AJ22" i="45" s="1"/>
  <c r="K73" i="44" a="1"/>
  <c r="K73" i="44" s="1"/>
  <c r="AR41" i="44" a="1"/>
  <c r="AR41" i="44" s="1"/>
  <c r="AI37" i="33" a="1"/>
  <c r="AI37" i="33" s="1"/>
  <c r="AG25" i="44" a="1"/>
  <c r="AG25" i="44" s="1"/>
  <c r="AJ76" i="45" a="1"/>
  <c r="AJ76" i="45" s="1"/>
  <c r="P73" i="33" a="1"/>
  <c r="P73" i="33" s="1"/>
  <c r="S65" i="44" a="1"/>
  <c r="S65" i="44" s="1"/>
  <c r="O88" i="44" a="1"/>
  <c r="O88" i="44" s="1"/>
  <c r="E34" i="45" a="1"/>
  <c r="E34" i="45" s="1"/>
  <c r="F37" i="44" a="1"/>
  <c r="F37" i="44" s="1"/>
  <c r="AH59" i="33" a="1"/>
  <c r="AH59" i="33" s="1"/>
  <c r="AC70" i="45" a="1"/>
  <c r="AC70" i="45" s="1"/>
  <c r="AH23" i="44" a="1"/>
  <c r="AH23" i="44" s="1"/>
  <c r="AQ104" i="33" a="1"/>
  <c r="AQ104" i="33" s="1"/>
  <c r="F19" i="44" a="1"/>
  <c r="F19" i="44" s="1"/>
  <c r="AR71" i="45" a="1"/>
  <c r="AR71" i="45" s="1"/>
  <c r="AL76" i="33" a="1"/>
  <c r="AL76" i="33" s="1"/>
  <c r="V44" i="33" a="1"/>
  <c r="V44" i="33" s="1"/>
  <c r="R43" i="44" a="1"/>
  <c r="R43" i="44" s="1"/>
  <c r="V67" i="33" a="1"/>
  <c r="V67" i="33" s="1"/>
  <c r="AC25" i="44" a="1"/>
  <c r="AC25" i="44" s="1"/>
  <c r="P76" i="33" a="1"/>
  <c r="P76" i="33" s="1"/>
  <c r="C86" i="45" a="1"/>
  <c r="C86" i="45" s="1"/>
  <c r="S11" i="45" a="1"/>
  <c r="S11" i="45" s="1"/>
  <c r="I94" i="33" a="1"/>
  <c r="I94" i="33" s="1"/>
  <c r="AO62" i="45" a="1"/>
  <c r="AO62" i="45" s="1"/>
  <c r="V71" i="44" a="1"/>
  <c r="V71" i="44" s="1"/>
  <c r="AC98" i="45" a="1"/>
  <c r="AC98" i="45" s="1"/>
  <c r="J19" i="44" a="1"/>
  <c r="J19" i="44" s="1"/>
  <c r="AN94" i="45" a="1"/>
  <c r="AN94" i="45" s="1"/>
  <c r="O64" i="33" a="1"/>
  <c r="O64" i="33" s="1"/>
  <c r="S88" i="44" a="1"/>
  <c r="S88" i="44" s="1"/>
  <c r="H20" i="45" a="1"/>
  <c r="H20" i="45" s="1"/>
  <c r="M53" i="44" a="1"/>
  <c r="M53" i="44" s="1"/>
  <c r="AO32" i="45" a="1"/>
  <c r="AO32" i="45" s="1"/>
  <c r="Q52" i="44" a="1"/>
  <c r="Q52" i="44" s="1"/>
  <c r="Q51" i="44" s="1"/>
  <c r="AM89" i="45" a="1"/>
  <c r="AM89" i="45" s="1"/>
  <c r="L91" i="45" a="1"/>
  <c r="L91" i="45" s="1"/>
  <c r="L90" i="45" s="1"/>
  <c r="J28" i="45" a="1"/>
  <c r="J28" i="45" s="1"/>
  <c r="L89" i="45" a="1"/>
  <c r="L89" i="45" s="1"/>
  <c r="N79" i="45" a="1"/>
  <c r="N79" i="45" s="1"/>
  <c r="Y91" i="45" a="1"/>
  <c r="Y91" i="45" s="1"/>
  <c r="X46" i="33" a="1"/>
  <c r="X46" i="33" s="1"/>
  <c r="I35" i="44" a="1"/>
  <c r="I35" i="44" s="1"/>
  <c r="Y73" i="33" a="1"/>
  <c r="Y73" i="33" s="1"/>
  <c r="Y72" i="33" s="1"/>
  <c r="R100" i="33" a="1"/>
  <c r="R100" i="33" s="1"/>
  <c r="AQ52" i="33" a="1"/>
  <c r="AQ52" i="33" s="1"/>
  <c r="X25" i="45" a="1"/>
  <c r="X25" i="45" s="1"/>
  <c r="W29" i="45" a="1"/>
  <c r="W29" i="45" s="1"/>
  <c r="E31" i="45" a="1"/>
  <c r="E31" i="45" s="1"/>
  <c r="AI74" i="33" a="1"/>
  <c r="AI74" i="33" s="1"/>
  <c r="C44" i="44" a="1"/>
  <c r="C44" i="44" s="1"/>
  <c r="AD22" i="44" a="1"/>
  <c r="AD22" i="44" s="1"/>
  <c r="AB53" i="45" a="1"/>
  <c r="AB53" i="45" s="1"/>
  <c r="C25" i="42" a="1"/>
  <c r="C25" i="42" s="1"/>
  <c r="R50" i="45" a="1"/>
  <c r="R50" i="45" s="1"/>
  <c r="AC76" i="45" a="1"/>
  <c r="AC76" i="45" s="1"/>
  <c r="AF101" i="33" a="1"/>
  <c r="AF101" i="33" s="1"/>
  <c r="S61" i="33" a="1"/>
  <c r="S61" i="33" s="1"/>
  <c r="P26" i="33" a="1"/>
  <c r="P26" i="33" s="1"/>
  <c r="Q101" i="33" a="1"/>
  <c r="Q101" i="33" s="1"/>
  <c r="U61" i="45" a="1"/>
  <c r="U61" i="45" s="1"/>
  <c r="V26" i="44" a="1"/>
  <c r="V26" i="44" s="1"/>
  <c r="Q92" i="45" a="1"/>
  <c r="Q92" i="45" s="1"/>
  <c r="AQ91" i="44" a="1"/>
  <c r="AQ91" i="44" s="1"/>
  <c r="AI67" i="45" a="1"/>
  <c r="AI67" i="45" s="1"/>
  <c r="Y55" i="45" a="1"/>
  <c r="Y55" i="45" s="1"/>
  <c r="AE68" i="45" a="1"/>
  <c r="AE68" i="45" s="1"/>
  <c r="Q85" i="45" a="1"/>
  <c r="Q85" i="45" s="1"/>
  <c r="L88" i="33" a="1"/>
  <c r="L88" i="33" s="1"/>
  <c r="Y35" i="33" a="1"/>
  <c r="Y35" i="33" s="1"/>
  <c r="Q26" i="44" a="1"/>
  <c r="Q26" i="44" s="1"/>
  <c r="AD44" i="33" a="1"/>
  <c r="AD44" i="33" s="1"/>
  <c r="AP76" i="45" a="1"/>
  <c r="AP76" i="45" s="1"/>
  <c r="AP75" i="45" s="1"/>
  <c r="C82" i="45" a="1"/>
  <c r="C82" i="45" s="1"/>
  <c r="AL91" i="44" a="1"/>
  <c r="AL91" i="44" s="1"/>
  <c r="P64" i="45" a="1"/>
  <c r="P64" i="45" s="1"/>
  <c r="C64" i="33" a="1"/>
  <c r="C64" i="33" s="1"/>
  <c r="N67" i="44" a="1"/>
  <c r="N67" i="44" s="1"/>
  <c r="L94" i="45" a="1"/>
  <c r="L94" i="45" s="1"/>
  <c r="AG46" i="45" a="1"/>
  <c r="AG46" i="45" s="1"/>
  <c r="I29" i="33" a="1"/>
  <c r="I29" i="33" s="1"/>
  <c r="E94" i="45" a="1"/>
  <c r="E94" i="45" s="1"/>
  <c r="Y32" i="44" a="1"/>
  <c r="Y32" i="44" s="1"/>
  <c r="N104" i="44" a="1"/>
  <c r="N104" i="44" s="1"/>
  <c r="O59" i="44" a="1"/>
  <c r="O59" i="44" s="1"/>
  <c r="Q61" i="44" a="1"/>
  <c r="Q61" i="44" s="1"/>
  <c r="AA52" i="44" a="1"/>
  <c r="AA52" i="44" s="1"/>
  <c r="AM76" i="45" a="1"/>
  <c r="AM76" i="45" s="1"/>
  <c r="E71" i="44" a="1"/>
  <c r="E71" i="44" s="1"/>
  <c r="F11" i="44" a="1"/>
  <c r="F11" i="44" s="1"/>
  <c r="P50" i="33" a="1"/>
  <c r="P50" i="33" s="1"/>
  <c r="P48" i="33" s="1"/>
  <c r="R80" i="45" a="1"/>
  <c r="R80" i="45" s="1"/>
  <c r="AI16" i="44" a="1"/>
  <c r="AI16" i="44" s="1"/>
  <c r="AJ80" i="33" a="1"/>
  <c r="AJ80" i="33" s="1"/>
  <c r="G82" i="33" a="1"/>
  <c r="G82" i="33" s="1"/>
  <c r="G81" i="33" s="1"/>
  <c r="H49" i="45" a="1"/>
  <c r="H49" i="45" s="1"/>
  <c r="AE92" i="45" a="1"/>
  <c r="AE92" i="45" s="1"/>
  <c r="Q68" i="33" a="1"/>
  <c r="Q68" i="33" s="1"/>
  <c r="AQ67" i="33" a="1"/>
  <c r="AQ67" i="33" s="1"/>
  <c r="I59" i="33" a="1"/>
  <c r="I59" i="33" s="1"/>
  <c r="U16" i="45" a="1"/>
  <c r="U16" i="45" s="1"/>
  <c r="N52" i="33" a="1"/>
  <c r="N52" i="33" s="1"/>
  <c r="R11" i="33" a="1"/>
  <c r="R11" i="33" s="1"/>
  <c r="AI67" i="44" a="1"/>
  <c r="AI67" i="44" s="1"/>
  <c r="AN25" i="45" a="1"/>
  <c r="AN25" i="45" s="1"/>
  <c r="F58" i="44" a="1"/>
  <c r="F58" i="44" s="1"/>
  <c r="K25" i="44" a="1"/>
  <c r="K25" i="44" s="1"/>
  <c r="K20" i="44" a="1"/>
  <c r="K20" i="44" s="1"/>
  <c r="AC49" i="45" a="1"/>
  <c r="AC49" i="45" s="1"/>
  <c r="AB35" i="44" a="1"/>
  <c r="AB35" i="44" s="1"/>
  <c r="H35" i="33" a="1"/>
  <c r="H35" i="33" s="1"/>
  <c r="O98" i="45" a="1"/>
  <c r="O98" i="45" s="1"/>
  <c r="O35" i="45" a="1"/>
  <c r="O35" i="45" s="1"/>
  <c r="R38" i="44" a="1"/>
  <c r="R38" i="44" s="1"/>
  <c r="AB37" i="44" a="1"/>
  <c r="AB37" i="44" s="1"/>
  <c r="AE100" i="45" a="1"/>
  <c r="AE100" i="45" s="1"/>
  <c r="Y67" i="33" a="1"/>
  <c r="Y67" i="33" s="1"/>
  <c r="O103" i="33" a="1"/>
  <c r="O103" i="33" s="1"/>
  <c r="W53" i="33" a="1"/>
  <c r="W53" i="33" s="1"/>
  <c r="G29" i="45" a="1"/>
  <c r="G29" i="45" s="1"/>
  <c r="S16" i="44" a="1"/>
  <c r="S16" i="44" s="1"/>
  <c r="S17" i="44" a="1"/>
  <c r="S17" i="44" s="1"/>
  <c r="U34" i="44" a="1"/>
  <c r="U34" i="44" s="1"/>
  <c r="L62" i="45" a="1"/>
  <c r="L62" i="45" s="1"/>
  <c r="E34" i="44" a="1"/>
  <c r="E34" i="44" s="1"/>
  <c r="AK91" i="33" a="1"/>
  <c r="AK91" i="33" s="1"/>
  <c r="C98" i="41" a="1"/>
  <c r="C98" i="41" s="1"/>
  <c r="AJ53" i="33" a="1"/>
  <c r="AJ53" i="33" s="1"/>
  <c r="AK49" i="45" a="1"/>
  <c r="AK49" i="45" s="1"/>
  <c r="AD50" i="45" a="1"/>
  <c r="AD50" i="45" s="1"/>
  <c r="R58" i="44" a="1"/>
  <c r="R58" i="44" s="1"/>
  <c r="K55" i="33" a="1"/>
  <c r="K55" i="33" s="1"/>
  <c r="AQ28" i="44" a="1"/>
  <c r="AQ28" i="44" s="1"/>
  <c r="AF29" i="44" a="1"/>
  <c r="AF29" i="44" s="1"/>
  <c r="I29" i="44" a="1"/>
  <c r="I29" i="44" s="1"/>
  <c r="X34" i="45" a="1"/>
  <c r="X34" i="45" s="1"/>
  <c r="J71" i="33" a="1"/>
  <c r="J71" i="33" s="1"/>
  <c r="AB92" i="44" a="1"/>
  <c r="AB92" i="44" s="1"/>
  <c r="AC40" i="33" a="1"/>
  <c r="AC40" i="33" s="1"/>
  <c r="M98" i="33" a="1"/>
  <c r="M98" i="33" s="1"/>
  <c r="AE32" i="45" a="1"/>
  <c r="AE32" i="45" s="1"/>
  <c r="G85" i="33" a="1"/>
  <c r="G85" i="33" s="1"/>
  <c r="AH79" i="45" a="1"/>
  <c r="AH79" i="45" s="1"/>
  <c r="G71" i="45" a="1"/>
  <c r="G71" i="45" s="1"/>
  <c r="AQ91" i="45" a="1"/>
  <c r="AQ91" i="45" s="1"/>
  <c r="AQ90" i="45" s="1"/>
  <c r="AD47" i="33" a="1"/>
  <c r="AD47" i="33" s="1"/>
  <c r="P76" i="44" a="1"/>
  <c r="P76" i="44" s="1"/>
  <c r="C97" i="45" a="1"/>
  <c r="C97" i="45" s="1"/>
  <c r="C74" i="47" a="1"/>
  <c r="C74" i="47" s="1"/>
  <c r="A73" i="47" s="1"/>
  <c r="C68" i="33" a="1"/>
  <c r="C68" i="33" s="1"/>
  <c r="W35" i="45" a="1"/>
  <c r="W35" i="45" s="1"/>
  <c r="C20" i="45" a="1"/>
  <c r="C20" i="45" s="1"/>
  <c r="L64" i="33" a="1"/>
  <c r="L64" i="33" s="1"/>
  <c r="AB29" i="33" a="1"/>
  <c r="AB29" i="33" s="1"/>
  <c r="AB27" i="33" s="1"/>
  <c r="C49" i="47" a="1"/>
  <c r="C49" i="47" s="1"/>
  <c r="AJ16" i="44" a="1"/>
  <c r="AJ16" i="44" s="1"/>
  <c r="AR91" i="33" a="1"/>
  <c r="AR91" i="33" s="1"/>
  <c r="AR90" i="33" s="1"/>
  <c r="AE100" i="44" a="1"/>
  <c r="AE100" i="44" s="1"/>
  <c r="AE99" i="44" s="1"/>
  <c r="Y41" i="45" a="1"/>
  <c r="Y41" i="45" s="1"/>
  <c r="P95" i="33" a="1"/>
  <c r="P95" i="33" s="1"/>
  <c r="U52" i="45" a="1"/>
  <c r="U52" i="45" s="1"/>
  <c r="C67" i="33" a="1"/>
  <c r="C67" i="33" s="1"/>
  <c r="AH10" i="33" a="1"/>
  <c r="AH10" i="33" s="1"/>
  <c r="V46" i="33" a="1"/>
  <c r="V46" i="33" s="1"/>
  <c r="AB104" i="33" a="1"/>
  <c r="AB104" i="33" s="1"/>
  <c r="C59" i="41" a="1"/>
  <c r="C59" i="41" s="1"/>
  <c r="T101" i="44" a="1"/>
  <c r="T101" i="44" s="1"/>
  <c r="AA32" i="45" a="1"/>
  <c r="AA32" i="45" s="1"/>
  <c r="H68" i="33" a="1"/>
  <c r="H68" i="33" s="1"/>
  <c r="M70" i="44" a="1"/>
  <c r="M70" i="44" s="1"/>
  <c r="K91" i="33" a="1"/>
  <c r="K91" i="33" s="1"/>
  <c r="Q31" i="44" a="1"/>
  <c r="Q31" i="44" s="1"/>
  <c r="AR101" i="45" a="1"/>
  <c r="AR101" i="45" s="1"/>
  <c r="AH37" i="33" a="1"/>
  <c r="AH37" i="33" s="1"/>
  <c r="J61" i="33" a="1"/>
  <c r="J61" i="33" s="1"/>
  <c r="Q47" i="44" a="1"/>
  <c r="Q47" i="44" s="1"/>
  <c r="AC19" i="33" a="1"/>
  <c r="AC19" i="33" s="1"/>
  <c r="AC18" i="33" s="1"/>
  <c r="AO100" i="44" a="1"/>
  <c r="AO100" i="44" s="1"/>
  <c r="AO37" i="33" a="1"/>
  <c r="AO37" i="33" s="1"/>
  <c r="AE77" i="44" a="1"/>
  <c r="AE77" i="44" s="1"/>
  <c r="Z104" i="45" a="1"/>
  <c r="Z104" i="45" s="1"/>
  <c r="Z56" i="33" a="1"/>
  <c r="Z56" i="33" s="1"/>
  <c r="AH32" i="45" a="1"/>
  <c r="AH32" i="45" s="1"/>
  <c r="AH30" i="45" s="1"/>
  <c r="AP32" i="44" a="1"/>
  <c r="AP32" i="44" s="1"/>
  <c r="AF11" i="33" a="1"/>
  <c r="AF11" i="33" s="1"/>
  <c r="C95" i="42" a="1"/>
  <c r="C95" i="42" s="1"/>
  <c r="AI98" i="33" a="1"/>
  <c r="AI98" i="33" s="1"/>
  <c r="Z16" i="44" a="1"/>
  <c r="Z16" i="44" s="1"/>
  <c r="Z15" i="44" s="1"/>
  <c r="AN100" i="45" a="1"/>
  <c r="AN100" i="45" s="1"/>
  <c r="R104" i="33" a="1"/>
  <c r="R104" i="33" s="1"/>
  <c r="AO85" i="33" a="1"/>
  <c r="AO85" i="33" s="1"/>
  <c r="O80" i="45" a="1"/>
  <c r="O80" i="45" s="1"/>
  <c r="AP43" i="33" a="1"/>
  <c r="AP43" i="33" s="1"/>
  <c r="F64" i="33" a="1"/>
  <c r="F64" i="33" s="1"/>
  <c r="E100" i="45" a="1"/>
  <c r="E100" i="45" s="1"/>
  <c r="S104" i="45" a="1"/>
  <c r="S104" i="45" s="1"/>
  <c r="AM29" i="33" a="1"/>
  <c r="AM29" i="33" s="1"/>
  <c r="AB82" i="33" a="1"/>
  <c r="AB82" i="33" s="1"/>
  <c r="R71" i="44" a="1"/>
  <c r="R71" i="44" s="1"/>
  <c r="K67" i="33" a="1"/>
  <c r="K67" i="33" s="1"/>
  <c r="I23" i="45" a="1"/>
  <c r="I23" i="45" s="1"/>
  <c r="N62" i="33" a="1"/>
  <c r="N62" i="33" s="1"/>
  <c r="N64" i="33" a="1"/>
  <c r="N64" i="33" s="1"/>
  <c r="AH65" i="45" a="1"/>
  <c r="AH65" i="45" s="1"/>
  <c r="S20" i="33" a="1"/>
  <c r="S20" i="33" s="1"/>
  <c r="S18" i="33" s="1"/>
  <c r="T77" i="44" a="1"/>
  <c r="T77" i="44" s="1"/>
  <c r="X25" i="33" a="1"/>
  <c r="X25" i="33" s="1"/>
  <c r="AI16" i="45" a="1"/>
  <c r="AI16" i="45" s="1"/>
  <c r="AA92" i="33" a="1"/>
  <c r="AA92" i="33" s="1"/>
  <c r="P31" i="45" a="1"/>
  <c r="P31" i="45" s="1"/>
  <c r="H101" i="44" a="1"/>
  <c r="H101" i="44" s="1"/>
  <c r="AH77" i="44" a="1"/>
  <c r="AH77" i="44" s="1"/>
  <c r="Q11" i="45" a="1"/>
  <c r="Q11" i="45" s="1"/>
  <c r="AB73" i="33" a="1"/>
  <c r="AB73" i="33" s="1"/>
  <c r="AB72" i="33" s="1"/>
  <c r="AD65" i="45" a="1"/>
  <c r="AD65" i="45" s="1"/>
  <c r="AD63" i="45" s="1"/>
  <c r="AA26" i="33" a="1"/>
  <c r="AA26" i="33" s="1"/>
  <c r="W47" i="33" a="1"/>
  <c r="W47" i="33" s="1"/>
  <c r="AH40" i="44" a="1"/>
  <c r="AH40" i="44" s="1"/>
  <c r="AF17" i="33" a="1"/>
  <c r="AF17" i="33" s="1"/>
  <c r="C95" i="33" a="1"/>
  <c r="C95" i="33" s="1"/>
  <c r="AI23" i="45" a="1"/>
  <c r="AI23" i="45" s="1"/>
  <c r="W16" i="44" a="1"/>
  <c r="W16" i="44" s="1"/>
  <c r="AI104" i="44" a="1"/>
  <c r="AI104" i="44" s="1"/>
  <c r="AG40" i="33" a="1"/>
  <c r="AG40" i="33" s="1"/>
  <c r="X71" i="33" a="1"/>
  <c r="X71" i="33" s="1"/>
  <c r="X69" i="33" s="1"/>
  <c r="K44" i="33" a="1"/>
  <c r="K44" i="33" s="1"/>
  <c r="AG61" i="33" a="1"/>
  <c r="AG61" i="33" s="1"/>
  <c r="AM49" i="33" a="1"/>
  <c r="AM49" i="33" s="1"/>
  <c r="AE94" i="33" a="1"/>
  <c r="AE94" i="33" s="1"/>
  <c r="C97" i="43" a="1"/>
  <c r="C97" i="43" s="1"/>
  <c r="W29" i="44" a="1"/>
  <c r="W29" i="44" s="1"/>
  <c r="S47" i="45" a="1"/>
  <c r="S47" i="45" s="1"/>
  <c r="C16" i="46" a="1"/>
  <c r="C16" i="46" s="1"/>
  <c r="AJ11" i="33" a="1"/>
  <c r="AJ11" i="33" s="1"/>
  <c r="AE94" i="45" a="1"/>
  <c r="AE94" i="45" s="1"/>
  <c r="AH103" i="45" a="1"/>
  <c r="AH103" i="45" s="1"/>
  <c r="AM103" i="45" a="1"/>
  <c r="AM103" i="45" s="1"/>
  <c r="F44" i="44" a="1"/>
  <c r="F44" i="44" s="1"/>
  <c r="S40" i="33" a="1"/>
  <c r="S40" i="33" s="1"/>
  <c r="AJ94" i="33" a="1"/>
  <c r="AJ94" i="33" s="1"/>
  <c r="F83" i="33" a="1"/>
  <c r="F83" i="33" s="1"/>
  <c r="AJ92" i="33" a="1"/>
  <c r="AJ92" i="33" s="1"/>
  <c r="Y70" i="44" a="1"/>
  <c r="Y70" i="44" s="1"/>
  <c r="AJ41" i="33" a="1"/>
  <c r="AJ41" i="33" s="1"/>
  <c r="T10" i="45" a="1"/>
  <c r="T10" i="45" s="1"/>
  <c r="I76" i="33" a="1"/>
  <c r="I76" i="33" s="1"/>
  <c r="AM74" i="44" a="1"/>
  <c r="AM74" i="44" s="1"/>
  <c r="O44" i="45" a="1"/>
  <c r="O44" i="45" s="1"/>
  <c r="AF100" i="44" a="1"/>
  <c r="AF100" i="44" s="1"/>
  <c r="AK52" i="44" a="1"/>
  <c r="AK52" i="44" s="1"/>
  <c r="N32" i="33" a="1"/>
  <c r="N32" i="33" s="1"/>
  <c r="AG67" i="33" a="1"/>
  <c r="AG67" i="33" s="1"/>
  <c r="X34" i="33" a="1"/>
  <c r="X34" i="33" s="1"/>
  <c r="AL25" i="44" a="1"/>
  <c r="AL25" i="44" s="1"/>
  <c r="AF26" i="45" a="1"/>
  <c r="AF26" i="45" s="1"/>
  <c r="AQ80" i="33" a="1"/>
  <c r="AQ80" i="33" s="1"/>
  <c r="AG80" i="45" a="1"/>
  <c r="AG80" i="45" s="1"/>
  <c r="I104" i="33" a="1"/>
  <c r="I104" i="33" s="1"/>
  <c r="AQ61" i="44" a="1"/>
  <c r="AQ61" i="44" s="1"/>
  <c r="Y53" i="45" a="1"/>
  <c r="Y53" i="45" s="1"/>
  <c r="AC44" i="44" a="1"/>
  <c r="AC44" i="44" s="1"/>
  <c r="H11" i="45" a="1"/>
  <c r="H11" i="45" s="1"/>
  <c r="AQ26" i="44" a="1"/>
  <c r="AQ26" i="44" s="1"/>
  <c r="AB35" i="33" a="1"/>
  <c r="AB35" i="33" s="1"/>
  <c r="P92" i="44" a="1"/>
  <c r="P92" i="44" s="1"/>
  <c r="C28" i="44" a="1"/>
  <c r="C28" i="44" s="1"/>
  <c r="C28" i="41" a="1"/>
  <c r="C28" i="41" s="1"/>
  <c r="AO62" i="44" a="1"/>
  <c r="AO62" i="44" s="1"/>
  <c r="Y101" i="33" a="1"/>
  <c r="Y101" i="33" s="1"/>
  <c r="X91" i="45" a="1"/>
  <c r="X91" i="45" s="1"/>
  <c r="U29" i="33" a="1"/>
  <c r="U29" i="33" s="1"/>
  <c r="AJ28" i="45" a="1"/>
  <c r="AJ28" i="45" s="1"/>
  <c r="AB83" i="44" a="1"/>
  <c r="AB83" i="44" s="1"/>
  <c r="AJ10" i="45" a="1"/>
  <c r="AJ10" i="45" s="1"/>
  <c r="C31" i="44" a="1"/>
  <c r="C31" i="44" s="1"/>
  <c r="K46" i="33" a="1"/>
  <c r="K46" i="33" s="1"/>
  <c r="R37" i="33" a="1"/>
  <c r="R37" i="33" s="1"/>
  <c r="O28" i="45" a="1"/>
  <c r="O28" i="45" s="1"/>
  <c r="H40" i="44" a="1"/>
  <c r="H40" i="44" s="1"/>
  <c r="AO10" i="44" a="1"/>
  <c r="AO10" i="44" s="1"/>
  <c r="U64" i="33" a="1"/>
  <c r="U64" i="33" s="1"/>
  <c r="AD46" i="33" a="1"/>
  <c r="AD46" i="33" s="1"/>
  <c r="AA71" i="44" a="1"/>
  <c r="AA71" i="44" s="1"/>
  <c r="J20" i="44" a="1"/>
  <c r="J20" i="44" s="1"/>
  <c r="P89" i="33" a="1"/>
  <c r="P89" i="33" s="1"/>
  <c r="AC71" i="44" a="1"/>
  <c r="AC71" i="44" s="1"/>
  <c r="Z31" i="33" a="1"/>
  <c r="Z31" i="33" s="1"/>
  <c r="T11" i="45" a="1"/>
  <c r="T11" i="45" s="1"/>
  <c r="H56" i="44" a="1"/>
  <c r="H56" i="44" s="1"/>
  <c r="V29" i="44" a="1"/>
  <c r="V29" i="44" s="1"/>
  <c r="AM62" i="33" a="1"/>
  <c r="AM62" i="33" s="1"/>
  <c r="V55" i="45" a="1"/>
  <c r="V55" i="45" s="1"/>
  <c r="AH88" i="45" a="1"/>
  <c r="AH88" i="45" s="1"/>
  <c r="Q53" i="45" a="1"/>
  <c r="Q53" i="45" s="1"/>
  <c r="M91" i="44" a="1"/>
  <c r="M91" i="44" s="1"/>
  <c r="R38" i="33" a="1"/>
  <c r="R38" i="33" s="1"/>
  <c r="AO41" i="44" a="1"/>
  <c r="AO41" i="44" s="1"/>
  <c r="F11" i="33" a="1"/>
  <c r="F11" i="33" s="1"/>
  <c r="AM62" i="45" a="1"/>
  <c r="AM62" i="45" s="1"/>
  <c r="AI28" i="44" a="1"/>
  <c r="AI28" i="44" s="1"/>
  <c r="M41" i="33" a="1"/>
  <c r="M41" i="33" s="1"/>
  <c r="J19" i="33" a="1"/>
  <c r="J19" i="33" s="1"/>
  <c r="AN98" i="45" a="1"/>
  <c r="AN98" i="45" s="1"/>
  <c r="Y25" i="33" a="1"/>
  <c r="Y25" i="33" s="1"/>
  <c r="AL98" i="33" a="1"/>
  <c r="AL98" i="33" s="1"/>
  <c r="AA41" i="45" a="1"/>
  <c r="AA41" i="45" s="1"/>
  <c r="AO38" i="33" a="1"/>
  <c r="AO38" i="33" s="1"/>
  <c r="AR104" i="45" a="1"/>
  <c r="AR104" i="45" s="1"/>
  <c r="AI61" i="33" a="1"/>
  <c r="AI61" i="33" s="1"/>
  <c r="V26" i="45" a="1"/>
  <c r="V26" i="45" s="1"/>
  <c r="Z98" i="45" a="1"/>
  <c r="Z98" i="45" s="1"/>
  <c r="J55" i="33" a="1"/>
  <c r="J55" i="33" s="1"/>
  <c r="AL80" i="45" a="1"/>
  <c r="AL80" i="45" s="1"/>
  <c r="T89" i="33" a="1"/>
  <c r="T89" i="33" s="1"/>
  <c r="AR10" i="45" a="1"/>
  <c r="AR10" i="45" s="1"/>
  <c r="H31" i="44" a="1"/>
  <c r="H31" i="44" s="1"/>
  <c r="AB76" i="44" a="1"/>
  <c r="AB76" i="44" s="1"/>
  <c r="H29" i="44" a="1"/>
  <c r="H29" i="44" s="1"/>
  <c r="P17" i="44" a="1"/>
  <c r="P17" i="44" s="1"/>
  <c r="AC94" i="33" a="1"/>
  <c r="AC94" i="33" s="1"/>
  <c r="X61" i="33" a="1"/>
  <c r="X61" i="33" s="1"/>
  <c r="Y26" i="33" a="1"/>
  <c r="Y26" i="33" s="1"/>
  <c r="O76" i="44" a="1"/>
  <c r="O76" i="44" s="1"/>
  <c r="F95" i="45" a="1"/>
  <c r="F95" i="45" s="1"/>
  <c r="AG34" i="45" a="1"/>
  <c r="AG34" i="45" s="1"/>
  <c r="AD89" i="33" a="1"/>
  <c r="AD89" i="33" s="1"/>
  <c r="N16" i="44" a="1"/>
  <c r="N16" i="44" s="1"/>
  <c r="AO44" i="44" a="1"/>
  <c r="AO44" i="44" s="1"/>
  <c r="J55" i="45" a="1"/>
  <c r="J55" i="45" s="1"/>
  <c r="N61" i="45" a="1"/>
  <c r="N61" i="45" s="1"/>
  <c r="AH23" i="33" a="1"/>
  <c r="AH23" i="33" s="1"/>
  <c r="AK80" i="44" a="1"/>
  <c r="AK80" i="44" s="1"/>
  <c r="AJ65" i="45" a="1"/>
  <c r="AJ65" i="45" s="1"/>
  <c r="AA76" i="44" a="1"/>
  <c r="AA76" i="44" s="1"/>
  <c r="AG95" i="44" a="1"/>
  <c r="AG95" i="44" s="1"/>
  <c r="AJ25" i="33" a="1"/>
  <c r="AJ25" i="33" s="1"/>
  <c r="AD40" i="44" a="1"/>
  <c r="AD40" i="44" s="1"/>
  <c r="AP74" i="44" a="1"/>
  <c r="AP74" i="44" s="1"/>
  <c r="J58" i="44" a="1"/>
  <c r="J58" i="44" s="1"/>
  <c r="C68" i="41" a="1"/>
  <c r="C68" i="41" s="1"/>
  <c r="L53" i="33" a="1"/>
  <c r="L53" i="33" s="1"/>
  <c r="C35" i="47" a="1"/>
  <c r="C35" i="47" s="1"/>
  <c r="AA88" i="45" a="1"/>
  <c r="AA88" i="45" s="1"/>
  <c r="Z34" i="45" a="1"/>
  <c r="Z34" i="45" s="1"/>
  <c r="Y59" i="45" a="1"/>
  <c r="Y59" i="45" s="1"/>
  <c r="AR79" i="45" a="1"/>
  <c r="AR79" i="45" s="1"/>
  <c r="W46" i="45" a="1"/>
  <c r="W46" i="45" s="1"/>
  <c r="Z53" i="33" a="1"/>
  <c r="Z53" i="33" s="1"/>
  <c r="F79" i="33" a="1"/>
  <c r="F79" i="33" s="1"/>
  <c r="AK103" i="33" a="1"/>
  <c r="AK103" i="33" s="1"/>
  <c r="J50" i="44" a="1"/>
  <c r="J50" i="44" s="1"/>
  <c r="T58" i="33" a="1"/>
  <c r="T58" i="33" s="1"/>
  <c r="Y77" i="44" a="1"/>
  <c r="Y77" i="44" s="1"/>
  <c r="AK38" i="45" a="1"/>
  <c r="AK38" i="45" s="1"/>
  <c r="Q38" i="44" a="1"/>
  <c r="Q38" i="44" s="1"/>
  <c r="Z31" i="45" a="1"/>
  <c r="Z31" i="45" s="1"/>
  <c r="AF62" i="44" a="1"/>
  <c r="AF62" i="44" s="1"/>
  <c r="AB98" i="33" a="1"/>
  <c r="AB98" i="33" s="1"/>
  <c r="O50" i="44" a="1"/>
  <c r="O50" i="44" s="1"/>
  <c r="T53" i="33" a="1"/>
  <c r="T53" i="33" s="1"/>
  <c r="AA22" i="33" a="1"/>
  <c r="AA22" i="33" s="1"/>
  <c r="E64" i="44" a="1"/>
  <c r="E64" i="44" s="1"/>
  <c r="K76" i="33" a="1"/>
  <c r="K76" i="33" s="1"/>
  <c r="AB82" i="44" a="1"/>
  <c r="AB82" i="44" s="1"/>
  <c r="N70" i="44" a="1"/>
  <c r="N70" i="44" s="1"/>
  <c r="AQ58" i="33" a="1"/>
  <c r="AQ58" i="33" s="1"/>
  <c r="AP19" i="33" a="1"/>
  <c r="AP19" i="33" s="1"/>
  <c r="J70" i="33" a="1"/>
  <c r="J70" i="33" s="1"/>
  <c r="O35" i="44" a="1"/>
  <c r="O35" i="44" s="1"/>
  <c r="AC31" i="45" a="1"/>
  <c r="AC31" i="45" s="1"/>
  <c r="AC53" i="45" a="1"/>
  <c r="AC53" i="45" s="1"/>
  <c r="AD16" i="45" a="1"/>
  <c r="AD16" i="45" s="1"/>
  <c r="AN34" i="33" a="1"/>
  <c r="AN34" i="33" s="1"/>
  <c r="M10" i="45" a="1"/>
  <c r="M10" i="45" s="1"/>
  <c r="AP80" i="44" a="1"/>
  <c r="AP80" i="44" s="1"/>
  <c r="N59" i="44" a="1"/>
  <c r="N59" i="44" s="1"/>
  <c r="R20" i="45" a="1"/>
  <c r="R20" i="45" s="1"/>
  <c r="C89" i="42" a="1"/>
  <c r="C89" i="42" s="1"/>
  <c r="AA62" i="45" a="1"/>
  <c r="AA62" i="45" s="1"/>
  <c r="M31" i="44" a="1"/>
  <c r="M31" i="44" s="1"/>
  <c r="K101" i="33" a="1"/>
  <c r="K101" i="33" s="1"/>
  <c r="C104" i="41" a="1"/>
  <c r="C104" i="41" s="1"/>
  <c r="AJ17" i="33" a="1"/>
  <c r="AJ17" i="33" s="1"/>
  <c r="V70" i="44" a="1"/>
  <c r="V70" i="44" s="1"/>
  <c r="S71" i="45" a="1"/>
  <c r="S71" i="45" s="1"/>
  <c r="C56" i="47" a="1"/>
  <c r="C56" i="47" s="1"/>
  <c r="T88" i="45" a="1"/>
  <c r="T88" i="45" s="1"/>
  <c r="O23" i="45" a="1"/>
  <c r="O23" i="45" s="1"/>
  <c r="AR17" i="45" a="1"/>
  <c r="AR17" i="45" s="1"/>
  <c r="AO101" i="45" a="1"/>
  <c r="AO101" i="45" s="1"/>
  <c r="AK71" i="45" a="1"/>
  <c r="AK71" i="45" s="1"/>
  <c r="AI23" i="33" a="1"/>
  <c r="AI23" i="33" s="1"/>
  <c r="AA68" i="33" a="1"/>
  <c r="AA68" i="33" s="1"/>
  <c r="O71" i="44" a="1"/>
  <c r="O71" i="44" s="1"/>
  <c r="AJ88" i="44" a="1"/>
  <c r="AJ88" i="44" s="1"/>
  <c r="AD56" i="45" a="1"/>
  <c r="AD56" i="45" s="1"/>
  <c r="AR64" i="45" a="1"/>
  <c r="AR64" i="45" s="1"/>
  <c r="AA26" i="44" a="1"/>
  <c r="AA26" i="44" s="1"/>
  <c r="T94" i="45" a="1"/>
  <c r="T94" i="45" s="1"/>
  <c r="AQ95" i="44" a="1"/>
  <c r="AQ95" i="44" s="1"/>
  <c r="F46" i="45" a="1"/>
  <c r="F46" i="45" s="1"/>
  <c r="AK68" i="45" a="1"/>
  <c r="AK68" i="45" s="1"/>
  <c r="I83" i="45" a="1"/>
  <c r="I83" i="45" s="1"/>
  <c r="J46" i="44" a="1"/>
  <c r="J46" i="44" s="1"/>
  <c r="S25" i="33" a="1"/>
  <c r="S25" i="33" s="1"/>
  <c r="F79" i="44" a="1"/>
  <c r="F79" i="44" s="1"/>
  <c r="AH35" i="44" a="1"/>
  <c r="AH35" i="44" s="1"/>
  <c r="AM25" i="44" a="1"/>
  <c r="AM25" i="44" s="1"/>
  <c r="AA95" i="44" a="1"/>
  <c r="AA95" i="44" s="1"/>
  <c r="AN58" i="33" a="1"/>
  <c r="AN58" i="33" s="1"/>
  <c r="AC91" i="45" a="1"/>
  <c r="AC91" i="45" s="1"/>
  <c r="K56" i="33" a="1"/>
  <c r="K56" i="33" s="1"/>
  <c r="P76" i="45" a="1"/>
  <c r="P76" i="45" s="1"/>
  <c r="O86" i="45" a="1"/>
  <c r="O86" i="45" s="1"/>
  <c r="L37" i="45" a="1"/>
  <c r="L37" i="45" s="1"/>
  <c r="AF83" i="44" a="1"/>
  <c r="AF83" i="44" s="1"/>
  <c r="AH43" i="45" a="1"/>
  <c r="AH43" i="45" s="1"/>
  <c r="N11" i="33" a="1"/>
  <c r="N11" i="33" s="1"/>
  <c r="T49" i="33" a="1"/>
  <c r="T49" i="33" s="1"/>
  <c r="AD58" i="44" a="1"/>
  <c r="AD58" i="44" s="1"/>
  <c r="AG76" i="45" a="1"/>
  <c r="AG76" i="45" s="1"/>
  <c r="I52" i="44" a="1"/>
  <c r="I52" i="44" s="1"/>
  <c r="S86" i="44" a="1"/>
  <c r="S86" i="44" s="1"/>
  <c r="F71" i="44" a="1"/>
  <c r="F71" i="44" s="1"/>
  <c r="AM31" i="33" a="1"/>
  <c r="AM31" i="33" s="1"/>
  <c r="AD71" i="33" a="1"/>
  <c r="AD71" i="33" s="1"/>
  <c r="O40" i="45" a="1"/>
  <c r="O40" i="45" s="1"/>
  <c r="AK65" i="45" a="1"/>
  <c r="AK65" i="45" s="1"/>
  <c r="L25" i="33" a="1"/>
  <c r="L25" i="33" s="1"/>
  <c r="U47" i="33" a="1"/>
  <c r="U47" i="33" s="1"/>
  <c r="L65" i="45" a="1"/>
  <c r="L65" i="45" s="1"/>
  <c r="AF23" i="33" a="1"/>
  <c r="AF23" i="33" s="1"/>
  <c r="F67" i="44" a="1"/>
  <c r="F67" i="44" s="1"/>
  <c r="K46" i="44" a="1"/>
  <c r="K46" i="44" s="1"/>
  <c r="K16" i="44" a="1"/>
  <c r="K16" i="44" s="1"/>
  <c r="T41" i="33" a="1"/>
  <c r="T41" i="33" s="1"/>
  <c r="U53" i="45" a="1"/>
  <c r="U53" i="45" s="1"/>
  <c r="AR89" i="45" a="1"/>
  <c r="AR89" i="45" s="1"/>
  <c r="AC97" i="33" a="1"/>
  <c r="AC97" i="33" s="1"/>
  <c r="AO86" i="33" a="1"/>
  <c r="AO86" i="33" s="1"/>
  <c r="Y55" i="44" a="1"/>
  <c r="Y55" i="44" s="1"/>
  <c r="AJ50" i="44" a="1"/>
  <c r="AJ50" i="44" s="1"/>
  <c r="K79" i="44" a="1"/>
  <c r="K79" i="44" s="1"/>
  <c r="Z28" i="44" a="1"/>
  <c r="Z28" i="44" s="1"/>
  <c r="AE85" i="45" a="1"/>
  <c r="AE85" i="45" s="1"/>
  <c r="AL91" i="33" a="1"/>
  <c r="AL91" i="33" s="1"/>
  <c r="T85" i="33" a="1"/>
  <c r="T85" i="33" s="1"/>
  <c r="AQ64" i="44" a="1"/>
  <c r="AQ64" i="44" s="1"/>
  <c r="I95" i="33" a="1"/>
  <c r="I95" i="33" s="1"/>
  <c r="X49" i="33" a="1"/>
  <c r="X49" i="33" s="1"/>
  <c r="O41" i="33" a="1"/>
  <c r="O41" i="33" s="1"/>
  <c r="AD70" i="44" a="1"/>
  <c r="AD70" i="44" s="1"/>
  <c r="N26" i="33" a="1"/>
  <c r="N26" i="33" s="1"/>
  <c r="L38" i="33" a="1"/>
  <c r="L38" i="33" s="1"/>
  <c r="R86" i="44" a="1"/>
  <c r="R86" i="44" s="1"/>
  <c r="U43" i="33" a="1"/>
  <c r="U43" i="33" s="1"/>
  <c r="AE31" i="45" a="1"/>
  <c r="AE31" i="45" s="1"/>
  <c r="AB97" i="45" a="1"/>
  <c r="AB97" i="45" s="1"/>
  <c r="AK52" i="33" a="1"/>
  <c r="AK52" i="33" s="1"/>
  <c r="AN10" i="33" a="1"/>
  <c r="AN10" i="33" s="1"/>
  <c r="T23" i="44" a="1"/>
  <c r="T23" i="44" s="1"/>
  <c r="AB28" i="44" a="1"/>
  <c r="AB28" i="44" s="1"/>
  <c r="AK32" i="44" a="1"/>
  <c r="AK32" i="44" s="1"/>
  <c r="L47" i="33" a="1"/>
  <c r="L47" i="33" s="1"/>
  <c r="AF46" i="44" a="1"/>
  <c r="AF46" i="44" s="1"/>
  <c r="AA92" i="45" a="1"/>
  <c r="AA92" i="45" s="1"/>
  <c r="H25" i="33" a="1"/>
  <c r="H25" i="33" s="1"/>
  <c r="AF17" i="45" a="1"/>
  <c r="AF17" i="45" s="1"/>
  <c r="T55" i="33" a="1"/>
  <c r="T55" i="33" s="1"/>
  <c r="AL71" i="45" a="1"/>
  <c r="AL71" i="45" s="1"/>
  <c r="J23" i="33" a="1"/>
  <c r="J23" i="33" s="1"/>
  <c r="S23" i="45" a="1"/>
  <c r="S23" i="45" s="1"/>
  <c r="T88" i="44" a="1"/>
  <c r="T88" i="44" s="1"/>
  <c r="AK65" i="33" a="1"/>
  <c r="AK65" i="33" s="1"/>
  <c r="C74" i="33" a="1"/>
  <c r="C74" i="33" s="1"/>
  <c r="AF86" i="33" a="1"/>
  <c r="AF86" i="33" s="1"/>
  <c r="T100" i="44" a="1"/>
  <c r="T100" i="44" s="1"/>
  <c r="R98" i="33" a="1"/>
  <c r="R98" i="33" s="1"/>
  <c r="N49" i="44" a="1"/>
  <c r="N49" i="44" s="1"/>
  <c r="AF10" i="45" a="1"/>
  <c r="AF10" i="45" s="1"/>
  <c r="AH68" i="45" a="1"/>
  <c r="AH68" i="45" s="1"/>
  <c r="H53" i="33" a="1"/>
  <c r="H53" i="33" s="1"/>
  <c r="M61" i="33" a="1"/>
  <c r="M61" i="33" s="1"/>
  <c r="X43" i="45" a="1"/>
  <c r="X43" i="45" s="1"/>
  <c r="AP83" i="44" a="1"/>
  <c r="AP83" i="44" s="1"/>
  <c r="AD28" i="33" a="1"/>
  <c r="AD28" i="33" s="1"/>
  <c r="W40" i="45" a="1"/>
  <c r="W40" i="45" s="1"/>
  <c r="AJ43" i="45" a="1"/>
  <c r="AJ43" i="45" s="1"/>
  <c r="E94" i="33" a="1"/>
  <c r="E94" i="33" s="1"/>
  <c r="S56" i="45" a="1"/>
  <c r="S56" i="45" s="1"/>
  <c r="W46" i="44" a="1"/>
  <c r="W46" i="44" s="1"/>
  <c r="H25" i="44" a="1"/>
  <c r="H25" i="44" s="1"/>
  <c r="C68" i="47" a="1"/>
  <c r="C68" i="47" s="1"/>
  <c r="Y97" i="44" a="1"/>
  <c r="Y97" i="44" s="1"/>
  <c r="T28" i="45" a="1"/>
  <c r="T28" i="45" s="1"/>
  <c r="AH101" i="44" a="1"/>
  <c r="AH101" i="44" s="1"/>
  <c r="G94" i="45" a="1"/>
  <c r="G94" i="45" s="1"/>
  <c r="H10" i="33" a="1"/>
  <c r="H10" i="33" s="1"/>
  <c r="Y34" i="44" a="1"/>
  <c r="Y34" i="44" s="1"/>
  <c r="AJ28" i="33" a="1"/>
  <c r="AJ28" i="33" s="1"/>
  <c r="M20" i="44" a="1"/>
  <c r="M20" i="44" s="1"/>
  <c r="AJ19" i="44" a="1"/>
  <c r="AJ19" i="44" s="1"/>
  <c r="AL11" i="45" a="1"/>
  <c r="AL11" i="45" s="1"/>
  <c r="AB101" i="44" a="1"/>
  <c r="AB101" i="44" s="1"/>
  <c r="C22" i="33" a="1"/>
  <c r="C22" i="33" s="1"/>
  <c r="Z70" i="33" a="1"/>
  <c r="Z70" i="33" s="1"/>
  <c r="U11" i="44" a="1"/>
  <c r="U11" i="44" s="1"/>
  <c r="AR20" i="33" a="1"/>
  <c r="AR20" i="33" s="1"/>
  <c r="V59" i="33" a="1"/>
  <c r="V59" i="33" s="1"/>
  <c r="R79" i="44" a="1"/>
  <c r="R79" i="44" s="1"/>
  <c r="L58" i="45" a="1"/>
  <c r="L58" i="45" s="1"/>
  <c r="Z50" i="44" a="1"/>
  <c r="Z50" i="44" s="1"/>
  <c r="C55" i="42" a="1"/>
  <c r="C55" i="42" s="1"/>
  <c r="AA58" i="44" a="1"/>
  <c r="AA58" i="44" s="1"/>
  <c r="U85" i="33" a="1"/>
  <c r="U85" i="33" s="1"/>
  <c r="V38" i="33" a="1"/>
  <c r="V38" i="33" s="1"/>
  <c r="AO16" i="33" a="1"/>
  <c r="AO16" i="33" s="1"/>
  <c r="W91" i="45" a="1"/>
  <c r="W91" i="45" s="1"/>
  <c r="L80" i="44" a="1"/>
  <c r="L80" i="44" s="1"/>
  <c r="AA100" i="44" a="1"/>
  <c r="AA100" i="44" s="1"/>
  <c r="AR67" i="45" a="1"/>
  <c r="AR67" i="45" s="1"/>
  <c r="U16" i="44" a="1"/>
  <c r="U16" i="44" s="1"/>
  <c r="F59" i="44" a="1"/>
  <c r="F59" i="44" s="1"/>
  <c r="S35" i="33" a="1"/>
  <c r="S35" i="33" s="1"/>
  <c r="P26" i="44" a="1"/>
  <c r="P26" i="44" s="1"/>
  <c r="AC77" i="44" a="1"/>
  <c r="AC77" i="44" s="1"/>
  <c r="N19" i="45" a="1"/>
  <c r="N19" i="45" s="1"/>
  <c r="H95" i="44" a="1"/>
  <c r="H95" i="44" s="1"/>
  <c r="V98" i="45" a="1"/>
  <c r="V98" i="45" s="1"/>
  <c r="T97" i="44" a="1"/>
  <c r="T97" i="44" s="1"/>
  <c r="X59" i="44" a="1"/>
  <c r="X59" i="44" s="1"/>
  <c r="J97" i="45" a="1"/>
  <c r="J97" i="45" s="1"/>
  <c r="AR23" i="33" a="1"/>
  <c r="AR23" i="33" s="1"/>
  <c r="S88" i="33" a="1"/>
  <c r="S88" i="33" s="1"/>
  <c r="C80" i="45" a="1"/>
  <c r="C80" i="45" s="1"/>
  <c r="A79" i="45" s="1"/>
  <c r="S46" i="44" a="1"/>
  <c r="S46" i="44" s="1"/>
  <c r="P34" i="44" a="1"/>
  <c r="P34" i="44" s="1"/>
  <c r="C77" i="41" a="1"/>
  <c r="C77" i="41" s="1"/>
  <c r="AE25" i="44" a="1"/>
  <c r="AE25" i="44" s="1"/>
  <c r="Q91" i="33" a="1"/>
  <c r="Q91" i="33" s="1"/>
  <c r="X97" i="33" a="1"/>
  <c r="X97" i="33" s="1"/>
  <c r="H88" i="45" a="1"/>
  <c r="H88" i="45" s="1"/>
  <c r="Q89" i="45" a="1"/>
  <c r="Q89" i="45" s="1"/>
  <c r="J32" i="44" a="1"/>
  <c r="J32" i="44" s="1"/>
  <c r="O70" i="44" a="1"/>
  <c r="O70" i="44" s="1"/>
  <c r="F47" i="33" a="1"/>
  <c r="F47" i="33" s="1"/>
  <c r="AO61" i="33" a="1"/>
  <c r="AO61" i="33" s="1"/>
  <c r="AO60" i="33" s="1"/>
  <c r="AF59" i="44" a="1"/>
  <c r="AF59" i="44" s="1"/>
  <c r="G86" i="44" a="1"/>
  <c r="G86" i="44" s="1"/>
  <c r="AE43" i="45" a="1"/>
  <c r="AE43" i="45" s="1"/>
  <c r="AF103" i="44" a="1"/>
  <c r="AF103" i="44" s="1"/>
  <c r="AF102" i="44" s="1"/>
  <c r="G65" i="33" a="1"/>
  <c r="G65" i="33" s="1"/>
  <c r="M97" i="33" a="1"/>
  <c r="M97" i="33" s="1"/>
  <c r="AN62" i="45" a="1"/>
  <c r="AN62" i="45" s="1"/>
  <c r="AI46" i="45" a="1"/>
  <c r="AI46" i="45" s="1"/>
  <c r="AC22" i="33" a="1"/>
  <c r="AC22" i="33" s="1"/>
  <c r="M49" i="44" a="1"/>
  <c r="M49" i="44" s="1"/>
  <c r="AP67" i="44" a="1"/>
  <c r="AP67" i="44" s="1"/>
  <c r="H70" i="45" a="1"/>
  <c r="H70" i="45" s="1"/>
  <c r="AJ83" i="44" a="1"/>
  <c r="AJ83" i="44" s="1"/>
  <c r="AN38" i="33" a="1"/>
  <c r="AN38" i="33" s="1"/>
  <c r="AH49" i="45" a="1"/>
  <c r="AH49" i="45" s="1"/>
  <c r="G11" i="45" a="1"/>
  <c r="G11" i="45" s="1"/>
  <c r="G56" i="33" a="1"/>
  <c r="G56" i="33" s="1"/>
  <c r="AO41" i="33" a="1"/>
  <c r="AO41" i="33" s="1"/>
  <c r="Y79" i="33" a="1"/>
  <c r="Y79" i="33" s="1"/>
  <c r="AN92" i="44" a="1"/>
  <c r="AN92" i="44" s="1"/>
  <c r="V62" i="45" a="1"/>
  <c r="V62" i="45" s="1"/>
  <c r="AC89" i="45" a="1"/>
  <c r="AC89" i="45" s="1"/>
  <c r="Z32" i="33" a="1"/>
  <c r="Z32" i="33" s="1"/>
  <c r="AD101" i="45" a="1"/>
  <c r="AD101" i="45" s="1"/>
  <c r="Y67" i="44" a="1"/>
  <c r="Y67" i="44" s="1"/>
  <c r="AG29" i="45" a="1"/>
  <c r="AG29" i="45" s="1"/>
  <c r="W52" i="33" a="1"/>
  <c r="W52" i="33" s="1"/>
  <c r="AF38" i="33" a="1"/>
  <c r="AF38" i="33" s="1"/>
  <c r="AD103" i="44" a="1"/>
  <c r="AD103" i="44" s="1"/>
  <c r="AM68" i="44" a="1"/>
  <c r="AM68" i="44" s="1"/>
  <c r="AC91" i="33" a="1"/>
  <c r="AC91" i="33" s="1"/>
  <c r="U104" i="45" a="1"/>
  <c r="U104" i="45" s="1"/>
  <c r="K43" i="33" a="1"/>
  <c r="K43" i="33" s="1"/>
  <c r="U88" i="33" a="1"/>
  <c r="U88" i="33" s="1"/>
  <c r="AF23" i="45" a="1"/>
  <c r="AF23" i="45" s="1"/>
  <c r="AR49" i="33" a="1"/>
  <c r="AR49" i="33" s="1"/>
  <c r="Y20" i="33" a="1"/>
  <c r="Y20" i="33" s="1"/>
  <c r="AL34" i="44" a="1"/>
  <c r="AL34" i="44" s="1"/>
  <c r="C52" i="33" a="1"/>
  <c r="C52" i="33" s="1"/>
  <c r="S67" i="44" a="1"/>
  <c r="S67" i="44" s="1"/>
  <c r="AC95" i="33" a="1"/>
  <c r="AC95" i="33" s="1"/>
  <c r="M64" i="44" a="1"/>
  <c r="M64" i="44" s="1"/>
  <c r="X29" i="33" a="1"/>
  <c r="X29" i="33" s="1"/>
  <c r="AN56" i="44" a="1"/>
  <c r="AN56" i="44" s="1"/>
  <c r="AM17" i="33" a="1"/>
  <c r="AM17" i="33" s="1"/>
  <c r="AP17" i="33" a="1"/>
  <c r="AP17" i="33" s="1"/>
  <c r="K104" i="44" a="1"/>
  <c r="K104" i="44" s="1"/>
  <c r="K20" i="33" a="1"/>
  <c r="K20" i="33" s="1"/>
  <c r="C47" i="43" a="1"/>
  <c r="C47" i="43" s="1"/>
  <c r="X64" i="33" a="1"/>
  <c r="X64" i="33" s="1"/>
  <c r="H10" i="45" a="1"/>
  <c r="H10" i="45" s="1"/>
  <c r="AQ29" i="44" a="1"/>
  <c r="AQ29" i="44" s="1"/>
  <c r="AG31" i="45" a="1"/>
  <c r="AG31" i="45" s="1"/>
  <c r="AG30" i="45" s="1"/>
  <c r="C64" i="43" a="1"/>
  <c r="C64" i="43" s="1"/>
  <c r="A64" i="43" s="1"/>
  <c r="S44" i="45" a="1"/>
  <c r="S44" i="45" s="1"/>
  <c r="E91" i="44" a="1"/>
  <c r="E91" i="44" s="1"/>
  <c r="V41" i="44" a="1"/>
  <c r="V41" i="44" s="1"/>
  <c r="AQ43" i="44" a="1"/>
  <c r="AQ43" i="44" s="1"/>
  <c r="P23" i="44" a="1"/>
  <c r="P23" i="44" s="1"/>
  <c r="O11" i="33" a="1"/>
  <c r="O11" i="33" s="1"/>
  <c r="AE101" i="33" a="1"/>
  <c r="AE101" i="33" s="1"/>
  <c r="N91" i="45" a="1"/>
  <c r="N91" i="45" s="1"/>
  <c r="AG97" i="45" a="1"/>
  <c r="AG97" i="45" s="1"/>
  <c r="AA52" i="33" a="1"/>
  <c r="AA52" i="33" s="1"/>
  <c r="AQ67" i="44" a="1"/>
  <c r="AQ67" i="44" s="1"/>
  <c r="Z77" i="45" a="1"/>
  <c r="Z77" i="45" s="1"/>
  <c r="Y38" i="33" a="1"/>
  <c r="Y38" i="33" s="1"/>
  <c r="P35" i="45" a="1"/>
  <c r="P35" i="45" s="1"/>
  <c r="AF73" i="44" a="1"/>
  <c r="AF73" i="44" s="1"/>
  <c r="AE41" i="45" a="1"/>
  <c r="AE41" i="45" s="1"/>
  <c r="I31" i="44" a="1"/>
  <c r="I31" i="44" s="1"/>
  <c r="AP89" i="33" a="1"/>
  <c r="AP89" i="33" s="1"/>
  <c r="T37" i="44" a="1"/>
  <c r="T37" i="44" s="1"/>
  <c r="W38" i="45" a="1"/>
  <c r="W38" i="45" s="1"/>
  <c r="AP10" i="33" a="1"/>
  <c r="AP10" i="33" s="1"/>
  <c r="AH29" i="45" a="1"/>
  <c r="AH29" i="45" s="1"/>
  <c r="N89" i="45" a="1"/>
  <c r="N89" i="45" s="1"/>
  <c r="AJ29" i="45" a="1"/>
  <c r="AJ29" i="45" s="1"/>
  <c r="P37" i="44" a="1"/>
  <c r="P37" i="44" s="1"/>
  <c r="AL86" i="45" a="1"/>
  <c r="AL86" i="45" s="1"/>
  <c r="AC67" i="33" a="1"/>
  <c r="AC67" i="33" s="1"/>
  <c r="E62" i="33" a="1"/>
  <c r="E62" i="33" s="1"/>
  <c r="AI83" i="45" a="1"/>
  <c r="AI83" i="45" s="1"/>
  <c r="J67" i="45" a="1"/>
  <c r="J67" i="45" s="1"/>
  <c r="H61" i="33" a="1"/>
  <c r="H61" i="33" s="1"/>
  <c r="V29" i="45" a="1"/>
  <c r="V29" i="45" s="1"/>
  <c r="R94" i="45" a="1"/>
  <c r="R94" i="45" s="1"/>
  <c r="P68" i="33" a="1"/>
  <c r="P68" i="33" s="1"/>
  <c r="AE35" i="44" a="1"/>
  <c r="AE35" i="44" s="1"/>
  <c r="AD43" i="44" a="1"/>
  <c r="AD43" i="44" s="1"/>
  <c r="K17" i="44" a="1"/>
  <c r="K17" i="44" s="1"/>
  <c r="AF82" i="45" a="1"/>
  <c r="AF82" i="45" s="1"/>
  <c r="L41" i="44" a="1"/>
  <c r="L41" i="44" s="1"/>
  <c r="G29" i="33" a="1"/>
  <c r="G29" i="33" s="1"/>
  <c r="S65" i="45" a="1"/>
  <c r="S65" i="45" s="1"/>
  <c r="AM46" i="33" a="1"/>
  <c r="AM46" i="33" s="1"/>
  <c r="T35" i="45" a="1"/>
  <c r="T35" i="45" s="1"/>
  <c r="Y32" i="33" a="1"/>
  <c r="Y32" i="33" s="1"/>
  <c r="V20" i="33" a="1"/>
  <c r="V20" i="33" s="1"/>
  <c r="AA82" i="44" a="1"/>
  <c r="AA82" i="44" s="1"/>
  <c r="I76" i="45" a="1"/>
  <c r="I76" i="45" s="1"/>
  <c r="K100" i="33" a="1"/>
  <c r="K100" i="33" s="1"/>
  <c r="AR58" i="45" a="1"/>
  <c r="AR58" i="45" s="1"/>
  <c r="C91" i="44" a="1"/>
  <c r="C91" i="44" s="1"/>
  <c r="AI50" i="44" a="1"/>
  <c r="AI50" i="44" s="1"/>
  <c r="AD83" i="44" a="1"/>
  <c r="AD83" i="44" s="1"/>
  <c r="AB62" i="33" a="1"/>
  <c r="AB62" i="33" s="1"/>
  <c r="AP52" i="33" a="1"/>
  <c r="AP52" i="33" s="1"/>
  <c r="AI101" i="33" a="1"/>
  <c r="AI101" i="33" s="1"/>
  <c r="M59" i="45" a="1"/>
  <c r="M59" i="45" s="1"/>
  <c r="N20" i="33" a="1"/>
  <c r="N20" i="33" s="1"/>
  <c r="AD97" i="44" a="1"/>
  <c r="AD97" i="44" s="1"/>
  <c r="F73" i="33" a="1"/>
  <c r="F73" i="33" s="1"/>
  <c r="AG73" i="33" a="1"/>
  <c r="AG73" i="33" s="1"/>
  <c r="C41" i="46" a="1"/>
  <c r="C41" i="46" s="1"/>
  <c r="AO40" i="45" a="1"/>
  <c r="AO40" i="45" s="1"/>
  <c r="N85" i="33" a="1"/>
  <c r="N85" i="33" s="1"/>
  <c r="R67" i="33" a="1"/>
  <c r="R67" i="33" s="1"/>
  <c r="Z43" i="44" a="1"/>
  <c r="Z43" i="44" s="1"/>
  <c r="AO50" i="33" a="1"/>
  <c r="AO50" i="33" s="1"/>
  <c r="P53" i="44" a="1"/>
  <c r="P53" i="44" s="1"/>
  <c r="N58" i="33" a="1"/>
  <c r="N58" i="33" s="1"/>
  <c r="Z58" i="33" a="1"/>
  <c r="Z58" i="33" s="1"/>
  <c r="AG91" i="45" a="1"/>
  <c r="AG91" i="45" s="1"/>
  <c r="R92" i="45" a="1"/>
  <c r="R92" i="45" s="1"/>
  <c r="Q52" i="45" a="1"/>
  <c r="Q52" i="45" s="1"/>
  <c r="G98" i="33" a="1"/>
  <c r="G98" i="33" s="1"/>
  <c r="AH88" i="33" a="1"/>
  <c r="AH88" i="33" s="1"/>
  <c r="AA95" i="33" a="1"/>
  <c r="AA95" i="33" s="1"/>
  <c r="E58" i="44" a="1"/>
  <c r="E58" i="44" s="1"/>
  <c r="AQ68" i="45" a="1"/>
  <c r="AQ68" i="45" s="1"/>
  <c r="Y56" i="44" a="1"/>
  <c r="Y56" i="44" s="1"/>
  <c r="AM67" i="44" a="1"/>
  <c r="AM67" i="44" s="1"/>
  <c r="AM94" i="33" a="1"/>
  <c r="AM94" i="33" s="1"/>
  <c r="AM98" i="33" a="1"/>
  <c r="AM98" i="33" s="1"/>
  <c r="AJ44" i="45" a="1"/>
  <c r="AJ44" i="45" s="1"/>
  <c r="C89" i="41" a="1"/>
  <c r="C89" i="41" s="1"/>
  <c r="O46" i="44" a="1"/>
  <c r="O46" i="44" s="1"/>
  <c r="Q35" i="44" a="1"/>
  <c r="Q35" i="44" s="1"/>
  <c r="M31" i="45" a="1"/>
  <c r="M31" i="45" s="1"/>
  <c r="AJ86" i="44" a="1"/>
  <c r="AJ86" i="44" s="1"/>
  <c r="I85" i="44" a="1"/>
  <c r="I85" i="44" s="1"/>
  <c r="J64" i="33" a="1"/>
  <c r="J64" i="33" s="1"/>
  <c r="AH17" i="44" a="1"/>
  <c r="AH17" i="44" s="1"/>
  <c r="AR49" i="44" a="1"/>
  <c r="AR49" i="44" s="1"/>
  <c r="AM82" i="45" a="1"/>
  <c r="AM82" i="45" s="1"/>
  <c r="N76" i="44" a="1"/>
  <c r="N76" i="44" s="1"/>
  <c r="E32" i="44" a="1"/>
  <c r="E32" i="44" s="1"/>
  <c r="AR61" i="33" a="1"/>
  <c r="AR61" i="33" s="1"/>
  <c r="Y56" i="33" a="1"/>
  <c r="Y56" i="33" s="1"/>
  <c r="E89" i="45" a="1"/>
  <c r="E89" i="45" s="1"/>
  <c r="F22" i="44" a="1"/>
  <c r="F22" i="44" s="1"/>
  <c r="X10" i="45" a="1"/>
  <c r="X10" i="45" s="1"/>
  <c r="C83" i="46" a="1"/>
  <c r="C83" i="46" s="1"/>
  <c r="AE34" i="33" a="1"/>
  <c r="AE34" i="33" s="1"/>
  <c r="AA88" i="44" a="1"/>
  <c r="AA88" i="44" s="1"/>
  <c r="P88" i="33" a="1"/>
  <c r="P88" i="33" s="1"/>
  <c r="M88" i="33" a="1"/>
  <c r="M88" i="33" s="1"/>
  <c r="E53" i="44" a="1"/>
  <c r="E53" i="44" s="1"/>
  <c r="K61" i="45" a="1"/>
  <c r="K61" i="45" s="1"/>
  <c r="J44" i="44" a="1"/>
  <c r="J44" i="44" s="1"/>
  <c r="AG88" i="45" a="1"/>
  <c r="AG88" i="45" s="1"/>
  <c r="P31" i="44" a="1"/>
  <c r="P31" i="44" s="1"/>
  <c r="N17" i="44" a="1"/>
  <c r="N17" i="44" s="1"/>
  <c r="AN53" i="44" a="1"/>
  <c r="AN53" i="44" s="1"/>
  <c r="N34" i="44" a="1"/>
  <c r="N34" i="44" s="1"/>
  <c r="O67" i="33" a="1"/>
  <c r="O67" i="33" s="1"/>
  <c r="AF28" i="45" a="1"/>
  <c r="AF28" i="45" s="1"/>
  <c r="E88" i="33" a="1"/>
  <c r="E88" i="33" s="1"/>
  <c r="G31" i="45" a="1"/>
  <c r="G31" i="45" s="1"/>
  <c r="S46" i="45" a="1"/>
  <c r="S46" i="45" s="1"/>
  <c r="AM79" i="45" a="1"/>
  <c r="AM79" i="45" s="1"/>
  <c r="AJ37" i="44" a="1"/>
  <c r="AJ37" i="44" s="1"/>
  <c r="AD80" i="44" a="1"/>
  <c r="AD80" i="44" s="1"/>
  <c r="N22" i="33" a="1"/>
  <c r="N22" i="33" s="1"/>
  <c r="AB50" i="45" a="1"/>
  <c r="AB50" i="45" s="1"/>
  <c r="L28" i="33" a="1"/>
  <c r="L28" i="33" s="1"/>
  <c r="AJ64" i="33" a="1"/>
  <c r="AJ64" i="33" s="1"/>
  <c r="AM56" i="44" a="1"/>
  <c r="AM56" i="44" s="1"/>
  <c r="O10" i="33" a="1"/>
  <c r="O10" i="33" s="1"/>
  <c r="P29" i="44" a="1"/>
  <c r="P29" i="44" s="1"/>
  <c r="AE89" i="33" a="1"/>
  <c r="AE89" i="33" s="1"/>
  <c r="AB103" i="45" a="1"/>
  <c r="AB103" i="45" s="1"/>
  <c r="AR35" i="44" a="1"/>
  <c r="AR35" i="44" s="1"/>
  <c r="AO38" i="45" a="1"/>
  <c r="AO38" i="45" s="1"/>
  <c r="K74" i="33" a="1"/>
  <c r="K74" i="33" s="1"/>
  <c r="C71" i="47" a="1"/>
  <c r="C71" i="47" s="1"/>
  <c r="AR31" i="33" a="1"/>
  <c r="AR31" i="33" s="1"/>
  <c r="C73" i="44" a="1"/>
  <c r="C73" i="44" s="1"/>
  <c r="AP17" i="44" a="1"/>
  <c r="AP17" i="44" s="1"/>
  <c r="AB55" i="45" a="1"/>
  <c r="AB55" i="45" s="1"/>
  <c r="U79" i="33" a="1"/>
  <c r="U79" i="33" s="1"/>
  <c r="Q83" i="44" a="1"/>
  <c r="Q83" i="44" s="1"/>
  <c r="H41" i="33" a="1"/>
  <c r="H41" i="33" s="1"/>
  <c r="AO47" i="33" a="1"/>
  <c r="AO47" i="33" s="1"/>
  <c r="AM86" i="33" a="1"/>
  <c r="AM86" i="33" s="1"/>
  <c r="M28" i="45" a="1"/>
  <c r="M28" i="45" s="1"/>
  <c r="AE80" i="45" a="1"/>
  <c r="AE80" i="45" s="1"/>
  <c r="Z62" i="45" a="1"/>
  <c r="Z62" i="45" s="1"/>
  <c r="F23" i="44" a="1"/>
  <c r="F23" i="44" s="1"/>
  <c r="AK59" i="33" a="1"/>
  <c r="AK59" i="33" s="1"/>
  <c r="AR88" i="33" a="1"/>
  <c r="AR88" i="33" s="1"/>
  <c r="S46" i="33" a="1"/>
  <c r="S46" i="33" s="1"/>
  <c r="AG64" i="44" a="1"/>
  <c r="AG64" i="44" s="1"/>
  <c r="E89" i="44" a="1"/>
  <c r="E89" i="44" s="1"/>
  <c r="AO83" i="44" a="1"/>
  <c r="AO83" i="44" s="1"/>
  <c r="AD82" i="33" a="1"/>
  <c r="AD82" i="33" s="1"/>
  <c r="AA32" i="33" a="1"/>
  <c r="AA32" i="33" s="1"/>
  <c r="P101" i="33" a="1"/>
  <c r="P101" i="33" s="1"/>
  <c r="E59" i="45" a="1"/>
  <c r="E59" i="45" s="1"/>
  <c r="C38" i="43" a="1"/>
  <c r="C38" i="43" s="1"/>
  <c r="AO83" i="45" a="1"/>
  <c r="AO83" i="45" s="1"/>
  <c r="AB61" i="33" a="1"/>
  <c r="AB61" i="33" s="1"/>
  <c r="AE64" i="45" a="1"/>
  <c r="AE64" i="45" s="1"/>
  <c r="K67" i="44" a="1"/>
  <c r="K67" i="44" s="1"/>
  <c r="N46" i="44" a="1"/>
  <c r="N46" i="44" s="1"/>
  <c r="N45" i="44" s="1"/>
  <c r="X17" i="44" a="1"/>
  <c r="X17" i="44" s="1"/>
  <c r="AI82" i="33" a="1"/>
  <c r="AI82" i="33" s="1"/>
  <c r="AN16" i="33" a="1"/>
  <c r="AN16" i="33" s="1"/>
  <c r="AO77" i="44" a="1"/>
  <c r="AO77" i="44" s="1"/>
  <c r="F32" i="33" a="1"/>
  <c r="F32" i="33" s="1"/>
  <c r="AA50" i="33" a="1"/>
  <c r="AA50" i="33" s="1"/>
  <c r="Y40" i="45" a="1"/>
  <c r="Y40" i="45" s="1"/>
  <c r="H86" i="44" a="1"/>
  <c r="H86" i="44" s="1"/>
  <c r="AM65" i="33" a="1"/>
  <c r="AM65" i="33" s="1"/>
  <c r="AJ88" i="45" a="1"/>
  <c r="AJ88" i="45" s="1"/>
  <c r="M77" i="44" a="1"/>
  <c r="M77" i="44" s="1"/>
  <c r="AH25" i="33" a="1"/>
  <c r="AH25" i="33" s="1"/>
  <c r="Q28" i="44" a="1"/>
  <c r="Q28" i="44" s="1"/>
  <c r="S40" i="45" a="1"/>
  <c r="S40" i="45" s="1"/>
  <c r="AP71" i="44" a="1"/>
  <c r="AP71" i="44" s="1"/>
  <c r="AC29" i="33" a="1"/>
  <c r="AC29" i="33" s="1"/>
  <c r="L73" i="45" a="1"/>
  <c r="L73" i="45" s="1"/>
  <c r="AJ70" i="45" a="1"/>
  <c r="AJ70" i="45" s="1"/>
  <c r="P37" i="33" a="1"/>
  <c r="P37" i="33" s="1"/>
  <c r="AO58" i="45" a="1"/>
  <c r="AO58" i="45" s="1"/>
  <c r="AC98" i="44" a="1"/>
  <c r="AC98" i="44" s="1"/>
  <c r="AP40" i="44" a="1"/>
  <c r="AP40" i="44" s="1"/>
  <c r="M94" i="33" a="1"/>
  <c r="M94" i="33" s="1"/>
  <c r="M100" i="44" a="1"/>
  <c r="M100" i="44" s="1"/>
  <c r="AA11" i="33" a="1"/>
  <c r="AA11" i="33" s="1"/>
  <c r="AB65" i="33" a="1"/>
  <c r="AB65" i="33" s="1"/>
  <c r="AQ86" i="33" a="1"/>
  <c r="AQ86" i="33" s="1"/>
  <c r="AE83" i="45" a="1"/>
  <c r="AE83" i="45" s="1"/>
  <c r="AE81" i="45" s="1"/>
  <c r="V52" i="44" a="1"/>
  <c r="V52" i="44" s="1"/>
  <c r="AK40" i="33" a="1"/>
  <c r="AK40" i="33" s="1"/>
  <c r="AC79" i="44" a="1"/>
  <c r="AC79" i="44" s="1"/>
  <c r="Z35" i="45" a="1"/>
  <c r="Z35" i="45" s="1"/>
  <c r="M88" i="44" a="1"/>
  <c r="M88" i="44" s="1"/>
  <c r="AH11" i="44" a="1"/>
  <c r="AH11" i="44" s="1"/>
  <c r="G28" i="33" a="1"/>
  <c r="G28" i="33" s="1"/>
  <c r="Z100" i="44" a="1"/>
  <c r="Z100" i="44" s="1"/>
  <c r="AM95" i="44" a="1"/>
  <c r="AM95" i="44" s="1"/>
  <c r="M73" i="44" a="1"/>
  <c r="M73" i="44" s="1"/>
  <c r="AP58" i="44" a="1"/>
  <c r="AP58" i="44" s="1"/>
  <c r="AE55" i="45" a="1"/>
  <c r="AE55" i="45" s="1"/>
  <c r="AL38" i="33" a="1"/>
  <c r="AL38" i="33" s="1"/>
  <c r="P43" i="44" a="1"/>
  <c r="P43" i="44" s="1"/>
  <c r="AF103" i="45" a="1"/>
  <c r="AF103" i="45" s="1"/>
  <c r="U91" i="33" a="1"/>
  <c r="U91" i="33" s="1"/>
  <c r="AB104" i="45" a="1"/>
  <c r="AB104" i="45" s="1"/>
  <c r="AF52" i="45" a="1"/>
  <c r="AF52" i="45" s="1"/>
  <c r="C70" i="42" a="1"/>
  <c r="C70" i="42" s="1"/>
  <c r="O17" i="33" a="1"/>
  <c r="O17" i="33" s="1"/>
  <c r="Q89" i="44" a="1"/>
  <c r="Q89" i="44" s="1"/>
  <c r="F50" i="44" a="1"/>
  <c r="F50" i="44" s="1"/>
  <c r="N70" i="33" a="1"/>
  <c r="N70" i="33" s="1"/>
  <c r="L64" i="45" a="1"/>
  <c r="L64" i="45" s="1"/>
  <c r="L56" i="45" a="1"/>
  <c r="L56" i="45" s="1"/>
  <c r="AG85" i="45" a="1"/>
  <c r="AG85" i="45" s="1"/>
  <c r="N91" i="44" a="1"/>
  <c r="N91" i="44" s="1"/>
  <c r="O82" i="44" a="1"/>
  <c r="O82" i="44" s="1"/>
  <c r="P58" i="45" a="1"/>
  <c r="P58" i="45" s="1"/>
  <c r="Y47" i="45" a="1"/>
  <c r="Y47" i="45" s="1"/>
  <c r="AC17" i="45" a="1"/>
  <c r="AC17" i="45" s="1"/>
  <c r="P55" i="33" a="1"/>
  <c r="P55" i="33" s="1"/>
  <c r="K49" i="33" a="1"/>
  <c r="K49" i="33" s="1"/>
  <c r="AB11" i="45" a="1"/>
  <c r="AB11" i="45" s="1"/>
  <c r="W49" i="44" a="1"/>
  <c r="W49" i="44" s="1"/>
  <c r="Q97" i="33" a="1"/>
  <c r="Q97" i="33" s="1"/>
  <c r="Y74" i="45" a="1"/>
  <c r="Y74" i="45" s="1"/>
  <c r="AQ47" i="45" a="1"/>
  <c r="AQ47" i="45" s="1"/>
  <c r="AF71" i="45" a="1"/>
  <c r="AF71" i="45" s="1"/>
  <c r="M68" i="45" a="1"/>
  <c r="M68" i="45" s="1"/>
  <c r="I55" i="44" a="1"/>
  <c r="I55" i="44" s="1"/>
  <c r="AC64" i="44" a="1"/>
  <c r="AC64" i="44" s="1"/>
  <c r="K86" i="45" a="1"/>
  <c r="K86" i="45" s="1"/>
  <c r="AM101" i="45" a="1"/>
  <c r="AM101" i="45" s="1"/>
  <c r="J77" i="44" a="1"/>
  <c r="J77" i="44" s="1"/>
  <c r="AM44" i="44" a="1"/>
  <c r="AM44" i="44" s="1"/>
  <c r="U25" i="44" a="1"/>
  <c r="U25" i="44" s="1"/>
  <c r="AJ55" i="45" a="1"/>
  <c r="AJ55" i="45" s="1"/>
  <c r="C43" i="42" a="1"/>
  <c r="C43" i="42" s="1"/>
  <c r="E26" i="44" a="1"/>
  <c r="E26" i="44" s="1"/>
  <c r="E24" i="44" s="1"/>
  <c r="AB22" i="44" a="1"/>
  <c r="AB22" i="44" s="1"/>
  <c r="AC100" i="44" a="1"/>
  <c r="AC100" i="44" s="1"/>
  <c r="Z43" i="45" a="1"/>
  <c r="Z43" i="45" s="1"/>
  <c r="AB52" i="45" a="1"/>
  <c r="AB52" i="45" s="1"/>
  <c r="I62" i="45" a="1"/>
  <c r="I62" i="45" s="1"/>
  <c r="M101" i="44" a="1"/>
  <c r="M101" i="44" s="1"/>
  <c r="AE41" i="44" a="1"/>
  <c r="AE41" i="44" s="1"/>
  <c r="AQ32" i="44" a="1"/>
  <c r="AQ32" i="44" s="1"/>
  <c r="W32" i="44" a="1"/>
  <c r="W32" i="44" s="1"/>
  <c r="W47" i="44" a="1"/>
  <c r="W47" i="44" s="1"/>
  <c r="AI55" i="33" a="1"/>
  <c r="AI55" i="33" s="1"/>
  <c r="C59" i="46" a="1"/>
  <c r="C59" i="46" s="1"/>
  <c r="R73" i="33" a="1"/>
  <c r="R73" i="33" s="1"/>
  <c r="AE26" i="44" a="1"/>
  <c r="AE26" i="44" s="1"/>
  <c r="M86" i="45" a="1"/>
  <c r="M86" i="45" s="1"/>
  <c r="AB88" i="45" a="1"/>
  <c r="AB88" i="45" s="1"/>
  <c r="U104" i="44" a="1"/>
  <c r="U104" i="44" s="1"/>
  <c r="G101" i="33" a="1"/>
  <c r="G101" i="33" s="1"/>
  <c r="G99" i="33" s="1"/>
  <c r="Y88" i="45" a="1"/>
  <c r="Y88" i="45" s="1"/>
  <c r="AL40" i="44" a="1"/>
  <c r="AL40" i="44" s="1"/>
  <c r="AK43" i="45" a="1"/>
  <c r="AK43" i="45" s="1"/>
  <c r="K91" i="45" a="1"/>
  <c r="K91" i="45" s="1"/>
  <c r="Y103" i="44" a="1"/>
  <c r="Y103" i="44" s="1"/>
  <c r="P89" i="45" a="1"/>
  <c r="P89" i="45" s="1"/>
  <c r="AQ41" i="45" a="1"/>
  <c r="AQ41" i="45" s="1"/>
  <c r="AK19" i="45" a="1"/>
  <c r="AK19" i="45" s="1"/>
  <c r="AK18" i="45" s="1"/>
  <c r="AI101" i="45" a="1"/>
  <c r="AI101" i="45" s="1"/>
  <c r="AJ59" i="44" a="1"/>
  <c r="AJ59" i="44" s="1"/>
  <c r="Q98" i="33" a="1"/>
  <c r="Q98" i="33" s="1"/>
  <c r="U23" i="45" a="1"/>
  <c r="U23" i="45" s="1"/>
  <c r="C95" i="47" a="1"/>
  <c r="C95" i="47" s="1"/>
  <c r="K85" i="44" a="1"/>
  <c r="K85" i="44" s="1"/>
  <c r="K84" i="44" s="1"/>
  <c r="U17" i="45" a="1"/>
  <c r="U17" i="45" s="1"/>
  <c r="N76" i="33" a="1"/>
  <c r="N76" i="33" s="1"/>
  <c r="AM16" i="44" a="1"/>
  <c r="AM16" i="44" s="1"/>
  <c r="AN38" i="45" a="1"/>
  <c r="AN38" i="45" s="1"/>
  <c r="AE59" i="45" a="1"/>
  <c r="AE59" i="45" s="1"/>
  <c r="J91" i="44" a="1"/>
  <c r="J91" i="44" s="1"/>
  <c r="AJ73" i="44" a="1"/>
  <c r="AJ73" i="44" s="1"/>
  <c r="U89" i="33" a="1"/>
  <c r="U89" i="33" s="1"/>
  <c r="Q86" i="45" a="1"/>
  <c r="Q86" i="45" s="1"/>
  <c r="F56" i="33" a="1"/>
  <c r="F56" i="33" s="1"/>
  <c r="AD41" i="45" a="1"/>
  <c r="AD41" i="45" s="1"/>
  <c r="K80" i="45" a="1"/>
  <c r="K80" i="45" s="1"/>
  <c r="AQ71" i="45" a="1"/>
  <c r="AQ71" i="45" s="1"/>
  <c r="C100" i="33" a="1"/>
  <c r="C100" i="33" s="1"/>
  <c r="L100" i="45" a="1"/>
  <c r="L100" i="45" s="1"/>
  <c r="AG76" i="33" a="1"/>
  <c r="AG76" i="33" s="1"/>
  <c r="G86" i="33" a="1"/>
  <c r="G86" i="33" s="1"/>
  <c r="H31" i="33" a="1"/>
  <c r="H31" i="33" s="1"/>
  <c r="I94" i="45" a="1"/>
  <c r="I94" i="45" s="1"/>
  <c r="I93" i="45" s="1"/>
  <c r="W11" i="33" a="1"/>
  <c r="W11" i="33" s="1"/>
  <c r="AF55" i="33" a="1"/>
  <c r="AF55" i="33" s="1"/>
  <c r="O34" i="33" a="1"/>
  <c r="O34" i="33" s="1"/>
  <c r="AB65" i="44" a="1"/>
  <c r="AB65" i="44" s="1"/>
  <c r="AR49" i="45" a="1"/>
  <c r="AR49" i="45" s="1"/>
  <c r="L58" i="44" a="1"/>
  <c r="L58" i="44" s="1"/>
  <c r="H37" i="45" a="1"/>
  <c r="H37" i="45" s="1"/>
  <c r="AD94" i="45" a="1"/>
  <c r="AD94" i="45" s="1"/>
  <c r="N38" i="45" a="1"/>
  <c r="N38" i="45" s="1"/>
  <c r="AP22" i="45" a="1"/>
  <c r="AP22" i="45" s="1"/>
  <c r="N44" i="33" a="1"/>
  <c r="N44" i="33" s="1"/>
  <c r="R17" i="33" a="1"/>
  <c r="R17" i="33" s="1"/>
  <c r="Q61" i="33" a="1"/>
  <c r="Q61" i="33" s="1"/>
  <c r="Y11" i="44" a="1"/>
  <c r="Y11" i="44" s="1"/>
  <c r="S100" i="44" a="1"/>
  <c r="S100" i="44" s="1"/>
  <c r="N89" i="44" a="1"/>
  <c r="N89" i="44" s="1"/>
  <c r="AG59" i="44" a="1"/>
  <c r="AG59" i="44" s="1"/>
  <c r="Z73" i="44" a="1"/>
  <c r="Z73" i="44" s="1"/>
  <c r="P79" i="33" a="1"/>
  <c r="P79" i="33" s="1"/>
  <c r="P41" i="44" a="1"/>
  <c r="P41" i="44" s="1"/>
  <c r="P39" i="44" s="1"/>
  <c r="AJ40" i="44" a="1"/>
  <c r="AJ40" i="44" s="1"/>
  <c r="AR103" i="44" a="1"/>
  <c r="AR103" i="44" s="1"/>
  <c r="I20" i="33" a="1"/>
  <c r="I20" i="33" s="1"/>
  <c r="T17" i="44" a="1"/>
  <c r="T17" i="44" s="1"/>
  <c r="AD85" i="44" a="1"/>
  <c r="AD85" i="44" s="1"/>
  <c r="G89" i="45" a="1"/>
  <c r="G89" i="45" s="1"/>
  <c r="AG58" i="45" a="1"/>
  <c r="AG58" i="45" s="1"/>
  <c r="AA19" i="33" a="1"/>
  <c r="AA19" i="33" s="1"/>
  <c r="AL103" i="44" a="1"/>
  <c r="AL103" i="44" s="1"/>
  <c r="AL102" i="44" s="1"/>
  <c r="U35" i="44" a="1"/>
  <c r="U35" i="44" s="1"/>
  <c r="AA85" i="44" a="1"/>
  <c r="AA85" i="44" s="1"/>
  <c r="AP70" i="44" a="1"/>
  <c r="AP70" i="44" s="1"/>
  <c r="U20" i="33" a="1"/>
  <c r="U20" i="33" s="1"/>
  <c r="X95" i="45" a="1"/>
  <c r="X95" i="45" s="1"/>
  <c r="C52" i="44" a="1"/>
  <c r="C52" i="44" s="1"/>
  <c r="AH83" i="33" a="1"/>
  <c r="AH83" i="33" s="1"/>
  <c r="AN82" i="45" a="1"/>
  <c r="AN82" i="45" s="1"/>
  <c r="R55" i="33" a="1"/>
  <c r="R55" i="33" s="1"/>
  <c r="AE43" i="44" a="1"/>
  <c r="AE43" i="44" s="1"/>
  <c r="AN83" i="44" a="1"/>
  <c r="AN83" i="44" s="1"/>
  <c r="U35" i="33" a="1"/>
  <c r="U35" i="33" s="1"/>
  <c r="AC85" i="33" a="1"/>
  <c r="AC85" i="33" s="1"/>
  <c r="L55" i="44" a="1"/>
  <c r="L55" i="44" s="1"/>
  <c r="AD61" i="44" a="1"/>
  <c r="AD61" i="44" s="1"/>
  <c r="H49" i="44" a="1"/>
  <c r="H49" i="44" s="1"/>
  <c r="Q59" i="44" a="1"/>
  <c r="Q59" i="44" s="1"/>
  <c r="C65" i="45" a="1"/>
  <c r="C65" i="45" s="1"/>
  <c r="AR47" i="45" a="1"/>
  <c r="AR47" i="45" s="1"/>
  <c r="I61" i="45" a="1"/>
  <c r="I61" i="45" s="1"/>
  <c r="AE50" i="45" a="1"/>
  <c r="AE50" i="45" s="1"/>
  <c r="AM79" i="44" a="1"/>
  <c r="AM79" i="44" s="1"/>
  <c r="E59" i="44" a="1"/>
  <c r="E59" i="44" s="1"/>
  <c r="C58" i="45" a="1"/>
  <c r="C58" i="45" s="1"/>
  <c r="L65" i="44" a="1"/>
  <c r="L65" i="44" s="1"/>
  <c r="AN97" i="45" a="1"/>
  <c r="AN97" i="45" s="1"/>
  <c r="L77" i="45" a="1"/>
  <c r="L77" i="45" s="1"/>
  <c r="AF31" i="45" a="1"/>
  <c r="AF31" i="45" s="1"/>
  <c r="U103" i="44" a="1"/>
  <c r="U103" i="44" s="1"/>
  <c r="V49" i="45" a="1"/>
  <c r="V49" i="45" s="1"/>
  <c r="AO47" i="44" a="1"/>
  <c r="AO47" i="44" s="1"/>
  <c r="AA71" i="45" a="1"/>
  <c r="AA71" i="45" s="1"/>
  <c r="C38" i="46" a="1"/>
  <c r="C38" i="46" s="1"/>
  <c r="W79" i="45" a="1"/>
  <c r="W79" i="45" s="1"/>
  <c r="W78" i="45" s="1"/>
  <c r="AH67" i="45" a="1"/>
  <c r="AH67" i="45" s="1"/>
  <c r="I43" i="33" a="1"/>
  <c r="I43" i="33" s="1"/>
  <c r="C104" i="47" a="1"/>
  <c r="C104" i="47" s="1"/>
  <c r="S103" i="33" a="1"/>
  <c r="S103" i="33" s="1"/>
  <c r="V71" i="45" a="1"/>
  <c r="V71" i="45" s="1"/>
  <c r="AE80" i="44" a="1"/>
  <c r="AE80" i="44" s="1"/>
  <c r="Y47" i="44" a="1"/>
  <c r="Y47" i="44" s="1"/>
  <c r="AA43" i="44" a="1"/>
  <c r="AA43" i="44" s="1"/>
  <c r="AI103" i="45" a="1"/>
  <c r="AI103" i="45" s="1"/>
  <c r="AM61" i="33" a="1"/>
  <c r="AM61" i="33" s="1"/>
  <c r="K73" i="33" a="1"/>
  <c r="K73" i="33" s="1"/>
  <c r="C16" i="44" a="1"/>
  <c r="C16" i="44" s="1"/>
  <c r="K28" i="33" a="1"/>
  <c r="K28" i="33" s="1"/>
  <c r="C59" i="45" a="1"/>
  <c r="C59" i="45" s="1"/>
  <c r="F52" i="44" a="1"/>
  <c r="F52" i="44" s="1"/>
  <c r="C74" i="46" a="1"/>
  <c r="C74" i="46" s="1"/>
  <c r="N92" i="44" a="1"/>
  <c r="N92" i="44" s="1"/>
  <c r="R65" i="44" a="1"/>
  <c r="R65" i="44" s="1"/>
  <c r="AR28" i="44" a="1"/>
  <c r="AR28" i="44" s="1"/>
  <c r="L19" i="44" a="1"/>
  <c r="L19" i="44" s="1"/>
  <c r="AB26" i="45" a="1"/>
  <c r="AB26" i="45" s="1"/>
  <c r="AL20" i="44" a="1"/>
  <c r="AL20" i="44" s="1"/>
  <c r="L92" i="33" a="1"/>
  <c r="L92" i="33" s="1"/>
  <c r="U47" i="45" a="1"/>
  <c r="U47" i="45" s="1"/>
  <c r="U45" i="45" s="1"/>
  <c r="AC47" i="33" a="1"/>
  <c r="AC47" i="33" s="1"/>
  <c r="AE22" i="33" a="1"/>
  <c r="AE22" i="33" s="1"/>
  <c r="AE31" i="33" a="1"/>
  <c r="AE31" i="33" s="1"/>
  <c r="AG16" i="44" a="1"/>
  <c r="AG16" i="44" s="1"/>
  <c r="M47" i="44" a="1"/>
  <c r="M47" i="44" s="1"/>
  <c r="N92" i="45" a="1"/>
  <c r="N92" i="45" s="1"/>
  <c r="N100" i="45" a="1"/>
  <c r="N100" i="45" s="1"/>
  <c r="O53" i="45" a="1"/>
  <c r="O53" i="45" s="1"/>
  <c r="AG77" i="44" a="1"/>
  <c r="AG77" i="44" s="1"/>
  <c r="AG53" i="45" a="1"/>
  <c r="AG53" i="45" s="1"/>
  <c r="X52" i="44" a="1"/>
  <c r="X52" i="44" s="1"/>
  <c r="AI26" i="45" a="1"/>
  <c r="AI26" i="45" s="1"/>
  <c r="G58" i="33" a="1"/>
  <c r="G58" i="33" s="1"/>
  <c r="G57" i="33" s="1"/>
  <c r="X20" i="45" a="1"/>
  <c r="X20" i="45" s="1"/>
  <c r="N97" i="33" a="1"/>
  <c r="N97" i="33" s="1"/>
  <c r="Q77" i="33" a="1"/>
  <c r="Q77" i="33" s="1"/>
  <c r="AR61" i="45" a="1"/>
  <c r="AR61" i="45" s="1"/>
  <c r="AR60" i="45" s="1"/>
  <c r="E23" i="45" a="1"/>
  <c r="E23" i="45" s="1"/>
  <c r="C88" i="42" a="1"/>
  <c r="C88" i="42" s="1"/>
  <c r="AL70" i="33" a="1"/>
  <c r="AL70" i="33" s="1"/>
  <c r="AC16" i="33" a="1"/>
  <c r="AC16" i="33" s="1"/>
  <c r="L25" i="45" a="1"/>
  <c r="L25" i="45" s="1"/>
  <c r="V55" i="44" a="1"/>
  <c r="V55" i="44" s="1"/>
  <c r="J41" i="45" a="1"/>
  <c r="J41" i="45" s="1"/>
  <c r="AG97" i="44" a="1"/>
  <c r="AG97" i="44" s="1"/>
  <c r="C20" i="44" a="1"/>
  <c r="C20" i="44" s="1"/>
  <c r="F95" i="44" a="1"/>
  <c r="F95" i="44" s="1"/>
  <c r="Z92" i="33" a="1"/>
  <c r="Z92" i="33" s="1"/>
  <c r="H79" i="45" a="1"/>
  <c r="H79" i="45" s="1"/>
  <c r="H43" i="33" a="1"/>
  <c r="H43" i="33" s="1"/>
  <c r="H42" i="33" s="1"/>
  <c r="AF70" i="33" a="1"/>
  <c r="AF70" i="33" s="1"/>
  <c r="E77" i="45" a="1"/>
  <c r="E77" i="45" s="1"/>
  <c r="E29" i="33" a="1"/>
  <c r="E29" i="33" s="1"/>
  <c r="AD10" i="45" a="1"/>
  <c r="AD10" i="45" s="1"/>
  <c r="C22" i="42" a="1"/>
  <c r="C22" i="42" s="1"/>
  <c r="C38" i="33" a="1"/>
  <c r="C38" i="33" s="1"/>
  <c r="C34" i="47" a="1"/>
  <c r="C34" i="47" s="1"/>
  <c r="E101" i="44" a="1"/>
  <c r="E101" i="44" s="1"/>
  <c r="AJ23" i="33" a="1"/>
  <c r="AJ23" i="33" s="1"/>
  <c r="P32" i="45" a="1"/>
  <c r="P32" i="45" s="1"/>
  <c r="AE92" i="33" a="1"/>
  <c r="AE92" i="33" s="1"/>
  <c r="G23" i="44" a="1"/>
  <c r="G23" i="44" s="1"/>
  <c r="M10" i="33" a="1"/>
  <c r="M10" i="33" s="1"/>
  <c r="AP25" i="44" a="1"/>
  <c r="AP25" i="44" s="1"/>
  <c r="Q17" i="44" a="1"/>
  <c r="Q17" i="44" s="1"/>
  <c r="O40" i="33" a="1"/>
  <c r="O40" i="33" s="1"/>
  <c r="AO59" i="44" a="1"/>
  <c r="AO59" i="44" s="1"/>
  <c r="AA46" i="33" a="1"/>
  <c r="AA46" i="33" s="1"/>
  <c r="AO68" i="44" a="1"/>
  <c r="AO68" i="44" s="1"/>
  <c r="AL46" i="33" a="1"/>
  <c r="AL46" i="33" s="1"/>
  <c r="U23" i="33" a="1"/>
  <c r="U23" i="33" s="1"/>
  <c r="AR53" i="44" a="1"/>
  <c r="AR53" i="44" s="1"/>
  <c r="Z25" i="45" a="1"/>
  <c r="Z25" i="45" s="1"/>
  <c r="AM86" i="45" a="1"/>
  <c r="AM86" i="45" s="1"/>
  <c r="V28" i="45" a="1"/>
  <c r="V28" i="45" s="1"/>
  <c r="I17" i="33" a="1"/>
  <c r="I17" i="33" s="1"/>
  <c r="E10" i="44" a="1"/>
  <c r="E10" i="44" s="1"/>
  <c r="E9" i="44" s="1"/>
  <c r="AR38" i="44" a="1"/>
  <c r="AR38" i="44" s="1"/>
  <c r="J35" i="33" a="1"/>
  <c r="J35" i="33" s="1"/>
  <c r="R58" i="45" a="1"/>
  <c r="R58" i="45" s="1"/>
  <c r="AQ65" i="45" a="1"/>
  <c r="AQ65" i="45" s="1"/>
  <c r="AK92" i="33" a="1"/>
  <c r="AK92" i="33" s="1"/>
  <c r="AP46" i="44" a="1"/>
  <c r="AP46" i="44" s="1"/>
  <c r="AB61" i="44" a="1"/>
  <c r="AB61" i="44" s="1"/>
  <c r="U103" i="33" a="1"/>
  <c r="U103" i="33" s="1"/>
  <c r="L16" i="33" a="1"/>
  <c r="L16" i="33" s="1"/>
  <c r="R97" i="44" a="1"/>
  <c r="R97" i="44" s="1"/>
  <c r="AO77" i="33" a="1"/>
  <c r="AO77" i="33" s="1"/>
  <c r="G52" i="45" a="1"/>
  <c r="G52" i="45" s="1"/>
  <c r="G51" i="45" s="1"/>
  <c r="AO68" i="45" a="1"/>
  <c r="AO68" i="45" s="1"/>
  <c r="I52" i="33" a="1"/>
  <c r="I52" i="33" s="1"/>
  <c r="Z68" i="45" a="1"/>
  <c r="Z68" i="45" s="1"/>
  <c r="S76" i="33" a="1"/>
  <c r="S76" i="33" s="1"/>
  <c r="AQ70" i="44" a="1"/>
  <c r="AQ70" i="44" s="1"/>
  <c r="AE65" i="45" a="1"/>
  <c r="AE65" i="45" s="1"/>
  <c r="J65" i="44" a="1"/>
  <c r="J65" i="44" s="1"/>
  <c r="P61" i="44" a="1"/>
  <c r="P61" i="44" s="1"/>
  <c r="U100" i="45" a="1"/>
  <c r="U100" i="45" s="1"/>
  <c r="AF43" i="44" a="1"/>
  <c r="AF43" i="44" s="1"/>
  <c r="E101" i="33" a="1"/>
  <c r="E101" i="33" s="1"/>
  <c r="C26" i="46" a="1"/>
  <c r="C26" i="46" s="1"/>
  <c r="C79" i="44" a="1"/>
  <c r="C79" i="44" s="1"/>
  <c r="A79" i="44" s="1"/>
  <c r="AO37" i="45" a="1"/>
  <c r="AO37" i="45" s="1"/>
  <c r="AN91" i="45" a="1"/>
  <c r="AN91" i="45" s="1"/>
  <c r="AJ101" i="44" a="1"/>
  <c r="AJ101" i="44" s="1"/>
  <c r="AF71" i="44" a="1"/>
  <c r="AF71" i="44" s="1"/>
  <c r="O16" i="33" a="1"/>
  <c r="O16" i="33" s="1"/>
  <c r="C25" i="46" a="1"/>
  <c r="C25" i="46" s="1"/>
  <c r="R83" i="45" a="1"/>
  <c r="R83" i="45" s="1"/>
  <c r="AH97" i="45" a="1"/>
  <c r="AH97" i="45" s="1"/>
  <c r="V83" i="45" a="1"/>
  <c r="V83" i="45" s="1"/>
  <c r="H17" i="44" a="1"/>
  <c r="H17" i="44" s="1"/>
  <c r="S83" i="45" a="1"/>
  <c r="S83" i="45" s="1"/>
  <c r="AH52" i="33" a="1"/>
  <c r="AH52" i="33" s="1"/>
  <c r="G101" i="45" a="1"/>
  <c r="G101" i="45" s="1"/>
  <c r="AN62" i="44" a="1"/>
  <c r="AN62" i="44" s="1"/>
  <c r="G31" i="44" a="1"/>
  <c r="G31" i="44" s="1"/>
  <c r="AG50" i="45" a="1"/>
  <c r="AG50" i="45" s="1"/>
  <c r="J80" i="44" a="1"/>
  <c r="J80" i="44" s="1"/>
  <c r="L82" i="33" a="1"/>
  <c r="L82" i="33" s="1"/>
  <c r="AL100" i="45" a="1"/>
  <c r="AL100" i="45" s="1"/>
  <c r="AF25" i="33" a="1"/>
  <c r="AF25" i="33" s="1"/>
  <c r="AH22" i="33" a="1"/>
  <c r="AH22" i="33" s="1"/>
  <c r="AB11" i="33" a="1"/>
  <c r="AB11" i="33" s="1"/>
  <c r="E40" i="44" a="1"/>
  <c r="E40" i="44" s="1"/>
  <c r="N83" i="44" a="1"/>
  <c r="N83" i="44" s="1"/>
  <c r="J82" i="44" a="1"/>
  <c r="J82" i="44" s="1"/>
  <c r="Z94" i="33" a="1"/>
  <c r="Z94" i="33" s="1"/>
  <c r="T61" i="33" a="1"/>
  <c r="T61" i="33" s="1"/>
  <c r="AJ35" i="44" a="1"/>
  <c r="AJ35" i="44" s="1"/>
  <c r="C49" i="43" a="1"/>
  <c r="C49" i="43" s="1"/>
  <c r="P80" i="44" a="1"/>
  <c r="P80" i="44" s="1"/>
  <c r="AP46" i="33" a="1"/>
  <c r="AP46" i="33" s="1"/>
  <c r="AP65" i="44" a="1"/>
  <c r="AP65" i="44" s="1"/>
  <c r="AE79" i="44" a="1"/>
  <c r="AE79" i="44" s="1"/>
  <c r="AM64" i="33" a="1"/>
  <c r="AM64" i="33" s="1"/>
  <c r="AG46" i="44" a="1"/>
  <c r="AG46" i="44" s="1"/>
  <c r="C100" i="41" a="1"/>
  <c r="C100" i="41" s="1"/>
  <c r="AQ32" i="33" a="1"/>
  <c r="AQ32" i="33" s="1"/>
  <c r="M16" i="33" a="1"/>
  <c r="M16" i="33" s="1"/>
  <c r="AN41" i="45" a="1"/>
  <c r="AN41" i="45" s="1"/>
  <c r="AQ88" i="33" a="1"/>
  <c r="AQ88" i="33" s="1"/>
  <c r="Y74" i="44" a="1"/>
  <c r="Y74" i="44" s="1"/>
  <c r="AN103" i="45" a="1"/>
  <c r="AN103" i="45" s="1"/>
  <c r="AN102" i="45" s="1"/>
  <c r="AJ38" i="33" a="1"/>
  <c r="AJ38" i="33" s="1"/>
  <c r="K88" i="44" a="1"/>
  <c r="K88" i="44" s="1"/>
  <c r="E38" i="33" a="1"/>
  <c r="E38" i="33" s="1"/>
  <c r="AO82" i="44" a="1"/>
  <c r="AO82" i="44" s="1"/>
  <c r="AK104" i="44" a="1"/>
  <c r="AK104" i="44" s="1"/>
  <c r="AM62" i="44" a="1"/>
  <c r="AM62" i="44" s="1"/>
  <c r="AJ52" i="33" a="1"/>
  <c r="AJ52" i="33" s="1"/>
  <c r="AA77" i="44" a="1"/>
  <c r="AA77" i="44" s="1"/>
  <c r="R89" i="33" a="1"/>
  <c r="R89" i="33" s="1"/>
  <c r="G80" i="33" a="1"/>
  <c r="G80" i="33" s="1"/>
  <c r="R41" i="44" a="1"/>
  <c r="R41" i="44" s="1"/>
  <c r="N62" i="45" a="1"/>
  <c r="N62" i="45" s="1"/>
  <c r="AK71" i="33" a="1"/>
  <c r="AK71" i="33" s="1"/>
  <c r="AP86" i="33" a="1"/>
  <c r="AP86" i="33" s="1"/>
  <c r="AP10" i="44" a="1"/>
  <c r="AP10" i="44" s="1"/>
  <c r="AM83" i="45" a="1"/>
  <c r="AM83" i="45" s="1"/>
  <c r="AG31" i="33" a="1"/>
  <c r="AG31" i="33" s="1"/>
  <c r="S23" i="44" a="1"/>
  <c r="S23" i="44" s="1"/>
  <c r="AN77" i="33" a="1"/>
  <c r="AN77" i="33" s="1"/>
  <c r="C44" i="33" a="1"/>
  <c r="C44" i="33" s="1"/>
  <c r="V62" i="44" a="1"/>
  <c r="V62" i="44" s="1"/>
  <c r="AE46" i="45" a="1"/>
  <c r="AE46" i="45" s="1"/>
  <c r="AQ74" i="33" a="1"/>
  <c r="AQ74" i="33" s="1"/>
  <c r="C86" i="44" a="1"/>
  <c r="C86" i="44" s="1"/>
  <c r="AJ44" i="44" a="1"/>
  <c r="AJ44" i="44" s="1"/>
  <c r="J91" i="45" a="1"/>
  <c r="J91" i="45" s="1"/>
  <c r="J103" i="45" a="1"/>
  <c r="J103" i="45" s="1"/>
  <c r="AM41" i="44" a="1"/>
  <c r="AM41" i="44" s="1"/>
  <c r="AM76" i="44" a="1"/>
  <c r="AM76" i="44" s="1"/>
  <c r="P50" i="45" a="1"/>
  <c r="P50" i="45" s="1"/>
  <c r="S34" i="44" a="1"/>
  <c r="S34" i="44" s="1"/>
  <c r="AO91" i="45" a="1"/>
  <c r="AO91" i="45" s="1"/>
  <c r="AD73" i="45" a="1"/>
  <c r="AD73" i="45" s="1"/>
  <c r="W89" i="45" a="1"/>
  <c r="W89" i="45" s="1"/>
  <c r="C20" i="47" a="1"/>
  <c r="C20" i="47" s="1"/>
  <c r="AO44" i="45" a="1"/>
  <c r="AO44" i="45" s="1"/>
  <c r="AO95" i="44" a="1"/>
  <c r="AO95" i="44" s="1"/>
  <c r="C92" i="47" a="1"/>
  <c r="C92" i="47" s="1"/>
  <c r="R29" i="33" a="1"/>
  <c r="R29" i="33" s="1"/>
  <c r="AF83" i="33" a="1"/>
  <c r="AF83" i="33" s="1"/>
  <c r="S80" i="44" a="1"/>
  <c r="S80" i="44" s="1"/>
  <c r="S78" i="44" s="1"/>
  <c r="Z38" i="45" a="1"/>
  <c r="Z38" i="45" s="1"/>
  <c r="AA29" i="44" a="1"/>
  <c r="AA29" i="44" s="1"/>
  <c r="L74" i="45" a="1"/>
  <c r="L74" i="45" s="1"/>
  <c r="T85" i="44" a="1"/>
  <c r="T85" i="44" s="1"/>
  <c r="AO67" i="33" a="1"/>
  <c r="AO67" i="33" s="1"/>
  <c r="G74" i="45" a="1"/>
  <c r="G74" i="45" s="1"/>
  <c r="C61" i="44" a="1"/>
  <c r="C61" i="44" s="1"/>
  <c r="A61" i="44" s="1"/>
  <c r="Q43" i="45" a="1"/>
  <c r="Q43" i="45" s="1"/>
  <c r="Q42" i="45" s="1"/>
  <c r="M61" i="44" a="1"/>
  <c r="M61" i="44" s="1"/>
  <c r="F77" i="33" a="1"/>
  <c r="F77" i="33" s="1"/>
  <c r="S101" i="44" a="1"/>
  <c r="S101" i="44" s="1"/>
  <c r="S62" i="44" a="1"/>
  <c r="S62" i="44" s="1"/>
  <c r="M22" i="33" a="1"/>
  <c r="M22" i="33" s="1"/>
  <c r="AC65" i="44" a="1"/>
  <c r="AC65" i="44" s="1"/>
  <c r="S10" i="45" a="1"/>
  <c r="S10" i="45" s="1"/>
  <c r="AD31" i="33" a="1"/>
  <c r="AD31" i="33" s="1"/>
  <c r="AB70" i="33" a="1"/>
  <c r="AB70" i="33" s="1"/>
  <c r="J77" i="45" a="1"/>
  <c r="J77" i="45" s="1"/>
  <c r="C43" i="45" a="1"/>
  <c r="C43" i="45" s="1"/>
  <c r="A43" i="45" s="1"/>
  <c r="E101" i="45" a="1"/>
  <c r="E101" i="45" s="1"/>
  <c r="AD73" i="33" a="1"/>
  <c r="AD73" i="33" s="1"/>
  <c r="P11" i="45" a="1"/>
  <c r="P11" i="45" s="1"/>
  <c r="C10" i="46" a="1"/>
  <c r="C10" i="46" s="1"/>
  <c r="AK23" i="44" a="1"/>
  <c r="AK23" i="44" s="1"/>
  <c r="AF58" i="33" a="1"/>
  <c r="AF58" i="33" s="1"/>
  <c r="U95" i="44" a="1"/>
  <c r="U95" i="44" s="1"/>
  <c r="R77" i="45" a="1"/>
  <c r="R77" i="45" s="1"/>
  <c r="Z55" i="45" a="1"/>
  <c r="Z55" i="45" s="1"/>
  <c r="I22" i="44" a="1"/>
  <c r="I22" i="44" s="1"/>
  <c r="Z91" i="33" a="1"/>
  <c r="Z91" i="33" s="1"/>
  <c r="Z55" i="33" a="1"/>
  <c r="Z55" i="33" s="1"/>
  <c r="M25" i="44" a="1"/>
  <c r="M25" i="44" s="1"/>
  <c r="X43" i="33" a="1"/>
  <c r="X43" i="33" s="1"/>
  <c r="X16" i="44" a="1"/>
  <c r="X16" i="44" s="1"/>
  <c r="C10" i="45" a="1"/>
  <c r="C10" i="45" s="1"/>
  <c r="C47" i="46" a="1"/>
  <c r="C47" i="46" s="1"/>
  <c r="AE25" i="45" a="1"/>
  <c r="AE25" i="45" s="1"/>
  <c r="AC73" i="44" a="1"/>
  <c r="AC73" i="44" s="1"/>
  <c r="AL59" i="33" a="1"/>
  <c r="AL59" i="33" s="1"/>
  <c r="Z101" i="44" a="1"/>
  <c r="Z101" i="44" s="1"/>
  <c r="Y104" i="44" a="1"/>
  <c r="Y104" i="44" s="1"/>
  <c r="AF22" i="33" a="1"/>
  <c r="AF22" i="33" s="1"/>
  <c r="AG41" i="45" a="1"/>
  <c r="AG41" i="45" s="1"/>
  <c r="AN52" i="33" a="1"/>
  <c r="AN52" i="33" s="1"/>
  <c r="AN51" i="33" s="1"/>
  <c r="R23" i="33" a="1"/>
  <c r="R23" i="33" s="1"/>
  <c r="L79" i="33" a="1"/>
  <c r="L79" i="33" s="1"/>
  <c r="AJ10" i="44" a="1"/>
  <c r="AJ10" i="44" s="1"/>
  <c r="F86" i="45" a="1"/>
  <c r="F86" i="45" s="1"/>
  <c r="S92" i="33" a="1"/>
  <c r="S92" i="33" s="1"/>
  <c r="V100" i="33" a="1"/>
  <c r="V100" i="33" s="1"/>
  <c r="AJ65" i="44" a="1"/>
  <c r="AJ65" i="44" s="1"/>
  <c r="AF74" i="33" a="1"/>
  <c r="AF74" i="33" s="1"/>
  <c r="AE73" i="33" a="1"/>
  <c r="AE73" i="33" s="1"/>
  <c r="Q103" i="45" a="1"/>
  <c r="Q103" i="45" s="1"/>
  <c r="AR101" i="44" a="1"/>
  <c r="AR101" i="44" s="1"/>
  <c r="C95" i="43" a="1"/>
  <c r="C95" i="43" s="1"/>
  <c r="A94" i="43" s="1"/>
  <c r="H58" i="44" a="1"/>
  <c r="H58" i="44" s="1"/>
  <c r="H57" i="44" s="1"/>
  <c r="AE62" i="45" a="1"/>
  <c r="AE62" i="45" s="1"/>
  <c r="AK22" i="45" a="1"/>
  <c r="AK22" i="45" s="1"/>
  <c r="M26" i="33" a="1"/>
  <c r="M26" i="33" s="1"/>
  <c r="AE103" i="33" a="1"/>
  <c r="AE103" i="33" s="1"/>
  <c r="AE102" i="33" s="1"/>
  <c r="O97" i="44" a="1"/>
  <c r="O97" i="44" s="1"/>
  <c r="E50" i="45" a="1"/>
  <c r="E50" i="45" s="1"/>
  <c r="I37" i="45" a="1"/>
  <c r="I37" i="45" s="1"/>
  <c r="AG41" i="33" a="1"/>
  <c r="AG41" i="33" s="1"/>
  <c r="F103" i="33" a="1"/>
  <c r="F103" i="33" s="1"/>
  <c r="M76" i="33" a="1"/>
  <c r="M76" i="33" s="1"/>
  <c r="M65" i="33" a="1"/>
  <c r="M65" i="33" s="1"/>
  <c r="G49" i="44" a="1"/>
  <c r="G49" i="44" s="1"/>
  <c r="P31" i="33" a="1"/>
  <c r="P31" i="33" s="1"/>
  <c r="AN76" i="33" a="1"/>
  <c r="AN76" i="33" s="1"/>
  <c r="AB34" i="44" a="1"/>
  <c r="AB34" i="44" s="1"/>
  <c r="AC89" i="44" a="1"/>
  <c r="AC89" i="44" s="1"/>
  <c r="S82" i="45" a="1"/>
  <c r="S82" i="45" s="1"/>
  <c r="AR91" i="45" a="1"/>
  <c r="AR91" i="45" s="1"/>
  <c r="AH19" i="33" a="1"/>
  <c r="AH19" i="33" s="1"/>
  <c r="H103" i="45" a="1"/>
  <c r="H103" i="45" s="1"/>
  <c r="AN88" i="44" a="1"/>
  <c r="AN88" i="44" s="1"/>
  <c r="AN87" i="44" s="1"/>
  <c r="X24" i="44"/>
  <c r="L15" i="45"/>
  <c r="C61" i="43" a="1"/>
  <c r="C61" i="43" s="1"/>
  <c r="X37" i="33" a="1"/>
  <c r="X37" i="33" s="1"/>
  <c r="S49" i="45" a="1"/>
  <c r="S49" i="45" s="1"/>
  <c r="AG101" i="45" a="1"/>
  <c r="AG101" i="45" s="1"/>
  <c r="AE35" i="45" a="1"/>
  <c r="AE35" i="45" s="1"/>
  <c r="AM85" i="45" a="1"/>
  <c r="AM85" i="45" s="1"/>
  <c r="V10" i="44" a="1"/>
  <c r="V10" i="44" s="1"/>
  <c r="AO71" i="44" a="1"/>
  <c r="AO71" i="44" s="1"/>
  <c r="X85" i="45" a="1"/>
  <c r="X85" i="45" s="1"/>
  <c r="C56" i="41" a="1"/>
  <c r="C56" i="41" s="1"/>
  <c r="AK80" i="33" a="1"/>
  <c r="AK80" i="33" s="1"/>
  <c r="AB101" i="33" a="1"/>
  <c r="AB101" i="33" s="1"/>
  <c r="AG101" i="44" a="1"/>
  <c r="AG101" i="44" s="1"/>
  <c r="L49" i="45" a="1"/>
  <c r="L49" i="45" s="1"/>
  <c r="S49" i="44" a="1"/>
  <c r="S49" i="44" s="1"/>
  <c r="G32" i="45" a="1"/>
  <c r="G32" i="45" s="1"/>
  <c r="J53" i="33" a="1"/>
  <c r="J53" i="33" s="1"/>
  <c r="AI56" i="44" a="1"/>
  <c r="AI56" i="44" s="1"/>
  <c r="J52" i="44" a="1"/>
  <c r="J52" i="44" s="1"/>
  <c r="AN49" i="45" a="1"/>
  <c r="AN49" i="45" s="1"/>
  <c r="V100" i="44" a="1"/>
  <c r="V100" i="44" s="1"/>
  <c r="AB53" i="44" a="1"/>
  <c r="AB53" i="44" s="1"/>
  <c r="J97" i="44" a="1"/>
  <c r="J97" i="44" s="1"/>
  <c r="AP74" i="33" a="1"/>
  <c r="AP74" i="33" s="1"/>
  <c r="AG65" i="44" a="1"/>
  <c r="AG65" i="44" s="1"/>
  <c r="U73" i="33" a="1"/>
  <c r="U73" i="33" s="1"/>
  <c r="AI70" i="45" a="1"/>
  <c r="AI70" i="45" s="1"/>
  <c r="V41" i="33" a="1"/>
  <c r="V41" i="33" s="1"/>
  <c r="AA47" i="44" a="1"/>
  <c r="AA47" i="44" s="1"/>
  <c r="S89" i="44" a="1"/>
  <c r="S89" i="44" s="1"/>
  <c r="M98" i="45" a="1"/>
  <c r="M98" i="45" s="1"/>
  <c r="R86" i="45" a="1"/>
  <c r="R86" i="45" s="1"/>
  <c r="C26" i="43" a="1"/>
  <c r="C26" i="43" s="1"/>
  <c r="AA38" i="45" a="1"/>
  <c r="AA38" i="45" s="1"/>
  <c r="Q29" i="44" a="1"/>
  <c r="Q29" i="44" s="1"/>
  <c r="AM68" i="45" a="1"/>
  <c r="AM68" i="45" s="1"/>
  <c r="AG80" i="33" a="1"/>
  <c r="AG80" i="33" s="1"/>
  <c r="K47" i="45" a="1"/>
  <c r="K47" i="45" s="1"/>
  <c r="AK92" i="45" a="1"/>
  <c r="AK92" i="45" s="1"/>
  <c r="AH34" i="45" a="1"/>
  <c r="AH34" i="45" s="1"/>
  <c r="AM65" i="44" a="1"/>
  <c r="AM65" i="44" s="1"/>
  <c r="M11" i="44" a="1"/>
  <c r="M11" i="44" s="1"/>
  <c r="G103" i="45" a="1"/>
  <c r="G103" i="45" s="1"/>
  <c r="E95" i="45" a="1"/>
  <c r="E95" i="45" s="1"/>
  <c r="AI34" i="33" a="1"/>
  <c r="AI34" i="33" s="1"/>
  <c r="H85" i="44" a="1"/>
  <c r="H85" i="44" s="1"/>
  <c r="AA44" i="45" a="1"/>
  <c r="AA44" i="45" s="1"/>
  <c r="E20" i="44" a="1"/>
  <c r="E20" i="44" s="1"/>
  <c r="P17" i="33" a="1"/>
  <c r="P17" i="33" s="1"/>
  <c r="F55" i="33" a="1"/>
  <c r="F55" i="33" s="1"/>
  <c r="AJ22" i="44" a="1"/>
  <c r="AJ22" i="44" s="1"/>
  <c r="C85" i="45" a="1"/>
  <c r="C85" i="45" s="1"/>
  <c r="AE38" i="45" a="1"/>
  <c r="AE38" i="45" s="1"/>
  <c r="AP34" i="45" a="1"/>
  <c r="AP34" i="45" s="1"/>
  <c r="H98" i="33" a="1"/>
  <c r="H98" i="33" s="1"/>
  <c r="T95" i="45" a="1"/>
  <c r="T95" i="45" s="1"/>
  <c r="L22" i="44" a="1"/>
  <c r="L22" i="44" s="1"/>
  <c r="W26" i="33" a="1"/>
  <c r="W26" i="33" s="1"/>
  <c r="AF68" i="45" a="1"/>
  <c r="AF68" i="45" s="1"/>
  <c r="AR16" i="44" a="1"/>
  <c r="AR16" i="44" s="1"/>
  <c r="AB86" i="45" a="1"/>
  <c r="AB86" i="45" s="1"/>
  <c r="L59" i="33" a="1"/>
  <c r="L59" i="33" s="1"/>
  <c r="AA43" i="33" a="1"/>
  <c r="AA43" i="33" s="1"/>
  <c r="AH46" i="44" a="1"/>
  <c r="AH46" i="44" s="1"/>
  <c r="V16" i="33" a="1"/>
  <c r="V16" i="33" s="1"/>
  <c r="AL101" i="44" a="1"/>
  <c r="AL101" i="44" s="1"/>
  <c r="AM35" i="33" a="1"/>
  <c r="AM35" i="33" s="1"/>
  <c r="L97" i="44" a="1"/>
  <c r="L97" i="44" s="1"/>
  <c r="S53" i="44" a="1"/>
  <c r="S53" i="44" s="1"/>
  <c r="C86" i="46" a="1"/>
  <c r="C86" i="46" s="1"/>
  <c r="K26" i="44" a="1"/>
  <c r="K26" i="44" s="1"/>
  <c r="AA59" i="45" a="1"/>
  <c r="AA59" i="45" s="1"/>
  <c r="M31" i="33" a="1"/>
  <c r="M31" i="33" s="1"/>
  <c r="X67" i="33" a="1"/>
  <c r="X67" i="33" s="1"/>
  <c r="AG47" i="44" a="1"/>
  <c r="AG47" i="44" s="1"/>
  <c r="P86" i="33" a="1"/>
  <c r="P86" i="33" s="1"/>
  <c r="AB40" i="33" a="1"/>
  <c r="AB40" i="33" s="1"/>
  <c r="AJ59" i="45" a="1"/>
  <c r="AJ59" i="45" s="1"/>
  <c r="AB37" i="45" a="1"/>
  <c r="AB37" i="45" s="1"/>
  <c r="G83" i="45" a="1"/>
  <c r="G83" i="45" s="1"/>
  <c r="R16" i="45" a="1"/>
  <c r="R16" i="45" s="1"/>
  <c r="N17" i="33" a="1"/>
  <c r="N17" i="33" s="1"/>
  <c r="AR98" i="33" a="1"/>
  <c r="AR98" i="33" s="1"/>
  <c r="AK62" i="44" a="1"/>
  <c r="AK62" i="44" s="1"/>
  <c r="I64" i="33" a="1"/>
  <c r="I64" i="33" s="1"/>
  <c r="V52" i="33" a="1"/>
  <c r="V52" i="33" s="1"/>
  <c r="AA28" i="44" a="1"/>
  <c r="AA28" i="44" s="1"/>
  <c r="AJ97" i="33" a="1"/>
  <c r="AJ97" i="33" s="1"/>
  <c r="P34" i="33" a="1"/>
  <c r="P34" i="33" s="1"/>
  <c r="T70" i="45" a="1"/>
  <c r="T70" i="45" s="1"/>
  <c r="AP11" i="33" a="1"/>
  <c r="AP11" i="33" s="1"/>
  <c r="L29" i="33" a="1"/>
  <c r="L29" i="33" s="1"/>
  <c r="AI79" i="45" a="1"/>
  <c r="AI79" i="45" s="1"/>
  <c r="AD16" i="33" a="1"/>
  <c r="AD16" i="33" s="1"/>
  <c r="AP85" i="45" a="1"/>
  <c r="AP85" i="45" s="1"/>
  <c r="E86" i="45" a="1"/>
  <c r="E86" i="45" s="1"/>
  <c r="AO56" i="33" a="1"/>
  <c r="AO56" i="33" s="1"/>
  <c r="AK23" i="45" a="1"/>
  <c r="AK23" i="45" s="1"/>
  <c r="R71" i="33" a="1"/>
  <c r="R71" i="33" s="1"/>
  <c r="P47" i="45" a="1"/>
  <c r="P47" i="45" s="1"/>
  <c r="AR73" i="44" a="1"/>
  <c r="AR73" i="44" s="1"/>
  <c r="W55" i="33" a="1"/>
  <c r="W55" i="33" s="1"/>
  <c r="M53" i="45" a="1"/>
  <c r="M53" i="45" s="1"/>
  <c r="W86" i="44" a="1"/>
  <c r="W86" i="44" s="1"/>
  <c r="T62" i="33" a="1"/>
  <c r="T62" i="33" s="1"/>
  <c r="AF11" i="45" a="1"/>
  <c r="AF11" i="45" s="1"/>
  <c r="AN59" i="33" a="1"/>
  <c r="AN59" i="33" s="1"/>
  <c r="AQ76" i="33" a="1"/>
  <c r="AQ76" i="33" s="1"/>
  <c r="E52" i="33" a="1"/>
  <c r="E52" i="33" s="1"/>
  <c r="AF50" i="44" a="1"/>
  <c r="AF50" i="44" s="1"/>
  <c r="G23" i="45" a="1"/>
  <c r="G23" i="45" s="1"/>
  <c r="Z26" i="33" a="1"/>
  <c r="Z26" i="33" s="1"/>
  <c r="AC46" i="44" a="1"/>
  <c r="AC46" i="44" s="1"/>
  <c r="AE88" i="44" a="1"/>
  <c r="AE88" i="44" s="1"/>
  <c r="AN37" i="45" a="1"/>
  <c r="AN37" i="45" s="1"/>
  <c r="C71" i="44" a="1"/>
  <c r="C71" i="44" s="1"/>
  <c r="AB20" i="45" a="1"/>
  <c r="AB20" i="45" s="1"/>
  <c r="AL68" i="33" a="1"/>
  <c r="AL68" i="33" s="1"/>
  <c r="E46" i="44" a="1"/>
  <c r="E46" i="44" s="1"/>
  <c r="O41" i="44" a="1"/>
  <c r="O41" i="44" s="1"/>
  <c r="AF19" i="44" a="1"/>
  <c r="AF19" i="44" s="1"/>
  <c r="G73" i="33" a="1"/>
  <c r="G73" i="33" s="1"/>
  <c r="AO88" i="33" a="1"/>
  <c r="AO88" i="33" s="1"/>
  <c r="V89" i="45" a="1"/>
  <c r="V89" i="45" s="1"/>
  <c r="AN22" i="45" a="1"/>
  <c r="AN22" i="45" s="1"/>
  <c r="W58" i="44" a="1"/>
  <c r="W58" i="44" s="1"/>
  <c r="Y88" i="44" a="1"/>
  <c r="Y88" i="44" s="1"/>
  <c r="AD46" i="45" a="1"/>
  <c r="AD46" i="45" s="1"/>
  <c r="AJ40" i="45" a="1"/>
  <c r="AJ40" i="45" s="1"/>
  <c r="W85" i="33" a="1"/>
  <c r="W85" i="33" s="1"/>
  <c r="E55" i="44" a="1"/>
  <c r="E55" i="44" s="1"/>
  <c r="R19" i="44" a="1"/>
  <c r="R19" i="44" s="1"/>
  <c r="K52" i="33" a="1"/>
  <c r="K52" i="33" s="1"/>
  <c r="X65" i="33" a="1"/>
  <c r="X65" i="33" s="1"/>
  <c r="N31" i="44" a="1"/>
  <c r="N31" i="44" s="1"/>
  <c r="AM64" i="45" a="1"/>
  <c r="AM64" i="45" s="1"/>
  <c r="AG104" i="44" a="1"/>
  <c r="AG104" i="44" s="1"/>
  <c r="S52" i="44" a="1"/>
  <c r="S52" i="44" s="1"/>
  <c r="AR76" i="45" a="1"/>
  <c r="AR76" i="45" s="1"/>
  <c r="W37" i="33" a="1"/>
  <c r="W37" i="33" s="1"/>
  <c r="J65" i="45" a="1"/>
  <c r="J65" i="45" s="1"/>
  <c r="AC92" i="33" a="1"/>
  <c r="AC92" i="33" s="1"/>
  <c r="AE74" i="44" a="1"/>
  <c r="AE74" i="44" s="1"/>
  <c r="Y22" i="44" a="1"/>
  <c r="Y22" i="44" s="1"/>
  <c r="Q34" i="45" a="1"/>
  <c r="Q34" i="45" s="1"/>
  <c r="R53" i="45" a="1"/>
  <c r="R53" i="45" s="1"/>
  <c r="U92" i="33" a="1"/>
  <c r="U92" i="33" s="1"/>
  <c r="AC85" i="45" a="1"/>
  <c r="AC85" i="45" s="1"/>
  <c r="P82" i="45" a="1"/>
  <c r="P82" i="45" s="1"/>
  <c r="Z83" i="45" a="1"/>
  <c r="Z83" i="45" s="1"/>
  <c r="AG86" i="44" a="1"/>
  <c r="AG86" i="44" s="1"/>
  <c r="Q91" i="44" a="1"/>
  <c r="Q91" i="44" s="1"/>
  <c r="AB56" i="44" a="1"/>
  <c r="AB56" i="44" s="1"/>
  <c r="AP101" i="45" a="1"/>
  <c r="AP101" i="45" s="1"/>
  <c r="H56" i="45" a="1"/>
  <c r="H56" i="45" s="1"/>
  <c r="O68" i="45" a="1"/>
  <c r="O68" i="45" s="1"/>
  <c r="AK104" i="45" a="1"/>
  <c r="AK104" i="45" s="1"/>
  <c r="AB17" i="44" a="1"/>
  <c r="AB17" i="44" s="1"/>
  <c r="R86" i="33" a="1"/>
  <c r="R86" i="33" s="1"/>
  <c r="S103" i="45" a="1"/>
  <c r="S103" i="45" s="1"/>
  <c r="AM50" i="44" a="1"/>
  <c r="AM50" i="44" s="1"/>
  <c r="C32" i="47" a="1"/>
  <c r="C32" i="47" s="1"/>
  <c r="R49" i="33" a="1"/>
  <c r="R49" i="33" s="1"/>
  <c r="W31" i="44" a="1"/>
  <c r="W31" i="44" s="1"/>
  <c r="X41" i="45" a="1"/>
  <c r="X41" i="45" s="1"/>
  <c r="O38" i="45" a="1"/>
  <c r="O38" i="45" s="1"/>
  <c r="R49" i="44" a="1"/>
  <c r="R49" i="44" s="1"/>
  <c r="AN98" i="44" a="1"/>
  <c r="AN98" i="44" s="1"/>
  <c r="W67" i="45" a="1"/>
  <c r="W67" i="45" s="1"/>
  <c r="AC19" i="45" a="1"/>
  <c r="AC19" i="45" s="1"/>
  <c r="AN100" i="33" a="1"/>
  <c r="AN100" i="33" s="1"/>
  <c r="AC20" i="45" a="1"/>
  <c r="AC20" i="45" s="1"/>
  <c r="U67" i="44" a="1"/>
  <c r="U67" i="44" s="1"/>
  <c r="E86" i="33" a="1"/>
  <c r="E86" i="33" s="1"/>
  <c r="AJ101" i="45" a="1"/>
  <c r="AJ101" i="45" s="1"/>
  <c r="AB98" i="44" a="1"/>
  <c r="AB98" i="44" s="1"/>
  <c r="Z71" i="45" a="1"/>
  <c r="Z71" i="45" s="1"/>
  <c r="S94" i="44" a="1"/>
  <c r="S94" i="44" s="1"/>
  <c r="AR59" i="33" a="1"/>
  <c r="AR59" i="33" s="1"/>
  <c r="AG56" i="45" a="1"/>
  <c r="AG56" i="45" s="1"/>
  <c r="AK73" i="33" a="1"/>
  <c r="AK73" i="33" s="1"/>
  <c r="AL20" i="45" a="1"/>
  <c r="AL20" i="45" s="1"/>
  <c r="AN26" i="33" a="1"/>
  <c r="AN26" i="33" s="1"/>
  <c r="AM25" i="45" a="1"/>
  <c r="AM25" i="45" s="1"/>
  <c r="AR22" i="44" a="1"/>
  <c r="AR22" i="44" s="1"/>
  <c r="S44" i="33" a="1"/>
  <c r="S44" i="33" s="1"/>
  <c r="AQ104" i="45" a="1"/>
  <c r="AQ104" i="45" s="1"/>
  <c r="C94" i="33" a="1"/>
  <c r="C94" i="33" s="1"/>
  <c r="AP23" i="44" a="1"/>
  <c r="AP23" i="44" s="1"/>
  <c r="I94" i="44" a="1"/>
  <c r="I94" i="44" s="1"/>
  <c r="H11" i="33" a="1"/>
  <c r="H11" i="33" s="1"/>
  <c r="AR50" i="45" a="1"/>
  <c r="AR50" i="45" s="1"/>
  <c r="X103" i="45" a="1"/>
  <c r="X103" i="45" s="1"/>
  <c r="F50" i="33" a="1"/>
  <c r="F50" i="33" s="1"/>
  <c r="AJ85" i="45" a="1"/>
  <c r="AJ85" i="45" s="1"/>
  <c r="H50" i="44" a="1"/>
  <c r="H50" i="44" s="1"/>
  <c r="F70" i="33" a="1"/>
  <c r="F70" i="33" s="1"/>
  <c r="AQ44" i="33" a="1"/>
  <c r="AQ44" i="33" s="1"/>
  <c r="N49" i="45" a="1"/>
  <c r="N49" i="45" s="1"/>
  <c r="AM103" i="44" a="1"/>
  <c r="AM103" i="44" s="1"/>
  <c r="F86" i="44" a="1"/>
  <c r="F86" i="44" s="1"/>
  <c r="E62" i="45" a="1"/>
  <c r="E62" i="45" s="1"/>
  <c r="AC44" i="45" a="1"/>
  <c r="AC44" i="45" s="1"/>
  <c r="AC28" i="45" a="1"/>
  <c r="AC28" i="45" s="1"/>
  <c r="Y71" i="44" a="1"/>
  <c r="Y71" i="44" s="1"/>
  <c r="I83" i="44" a="1"/>
  <c r="I83" i="44" s="1"/>
  <c r="I81" i="44" s="1"/>
  <c r="I71" i="45" a="1"/>
  <c r="I71" i="45" s="1"/>
  <c r="T25" i="33" a="1"/>
  <c r="T25" i="33" s="1"/>
  <c r="F28" i="33" a="1"/>
  <c r="F28" i="33" s="1"/>
  <c r="AL88" i="33" a="1"/>
  <c r="AL88" i="33" s="1"/>
  <c r="AK32" i="45" a="1"/>
  <c r="AK32" i="45" s="1"/>
  <c r="AH85" i="45" a="1"/>
  <c r="AH85" i="45" s="1"/>
  <c r="AD62" i="44" a="1"/>
  <c r="AD62" i="44" s="1"/>
  <c r="Y20" i="44" a="1"/>
  <c r="Y20" i="44" s="1"/>
  <c r="E37" i="44" a="1"/>
  <c r="E37" i="44" s="1"/>
  <c r="AI44" i="45" a="1"/>
  <c r="AI44" i="45" s="1"/>
  <c r="Q64" i="33" a="1"/>
  <c r="Q64" i="33" s="1"/>
  <c r="AI44" i="33" a="1"/>
  <c r="AI44" i="33" s="1"/>
  <c r="AC95" i="45" a="1"/>
  <c r="AC95" i="45" s="1"/>
  <c r="AI77" i="44" a="1"/>
  <c r="AI77" i="44" s="1"/>
  <c r="W83" i="44" a="1"/>
  <c r="W83" i="44" s="1"/>
  <c r="AJ77" i="33" a="1"/>
  <c r="AJ77" i="33" s="1"/>
  <c r="AK29" i="45" a="1"/>
  <c r="AK29" i="45" s="1"/>
  <c r="AD62" i="33" a="1"/>
  <c r="AD62" i="33" s="1"/>
  <c r="O74" i="33" a="1"/>
  <c r="O74" i="33" s="1"/>
  <c r="AP103" i="44" a="1"/>
  <c r="AP103" i="44" s="1"/>
  <c r="H22" i="45" a="1"/>
  <c r="H22" i="45" s="1"/>
  <c r="AN88" i="45" a="1"/>
  <c r="AN88" i="45" s="1"/>
  <c r="H67" i="33" a="1"/>
  <c r="H67" i="33" s="1"/>
  <c r="N37" i="45" a="1"/>
  <c r="N37" i="45" s="1"/>
  <c r="AQ31" i="33" a="1"/>
  <c r="AQ31" i="33" s="1"/>
  <c r="X38" i="45" a="1"/>
  <c r="X38" i="45" s="1"/>
  <c r="AQ94" i="44" a="1"/>
  <c r="AQ94" i="44" s="1"/>
  <c r="W65" i="45" a="1"/>
  <c r="W65" i="45" s="1"/>
  <c r="Q35" i="33" a="1"/>
  <c r="Q35" i="33" s="1"/>
  <c r="AQ68" i="33" a="1"/>
  <c r="AQ68" i="33" s="1"/>
  <c r="M95" i="33" a="1"/>
  <c r="M95" i="33" s="1"/>
  <c r="K68" i="44" a="1"/>
  <c r="K68" i="44" s="1"/>
  <c r="M76" i="45" a="1"/>
  <c r="M76" i="45" s="1"/>
  <c r="X40" i="44" a="1"/>
  <c r="X40" i="44" s="1"/>
  <c r="AN67" i="33" a="1"/>
  <c r="AN67" i="33" s="1"/>
  <c r="I11" i="45" a="1"/>
  <c r="I11" i="45" s="1"/>
  <c r="AP67" i="45" a="1"/>
  <c r="AP67" i="45" s="1"/>
  <c r="AP28" i="44" a="1"/>
  <c r="AP28" i="44" s="1"/>
  <c r="C32" i="46" a="1"/>
  <c r="C32" i="46" s="1"/>
  <c r="C20" i="46" a="1"/>
  <c r="C20" i="46" s="1"/>
  <c r="H56" i="33" a="1"/>
  <c r="H56" i="33" s="1"/>
  <c r="X44" i="44" a="1"/>
  <c r="X44" i="44" s="1"/>
  <c r="AN59" i="44" a="1"/>
  <c r="AN59" i="44" s="1"/>
  <c r="AN40" i="44" a="1"/>
  <c r="AN40" i="44" s="1"/>
  <c r="C83" i="47" a="1"/>
  <c r="C83" i="47" s="1"/>
  <c r="AK10" i="45" a="1"/>
  <c r="AK10" i="45" s="1"/>
  <c r="U55" i="33" a="1"/>
  <c r="U55" i="33" s="1"/>
  <c r="I62" i="33" a="1"/>
  <c r="I62" i="33" s="1"/>
  <c r="AL43" i="44" a="1"/>
  <c r="AL43" i="44" s="1"/>
  <c r="AL46" i="45" a="1"/>
  <c r="AL46" i="45" s="1"/>
  <c r="AO29" i="45" a="1"/>
  <c r="AO29" i="45" s="1"/>
  <c r="E71" i="45" a="1"/>
  <c r="E71" i="45" s="1"/>
  <c r="AP89" i="44" a="1"/>
  <c r="AP89" i="44" s="1"/>
  <c r="L26" i="44" a="1"/>
  <c r="L26" i="44" s="1"/>
  <c r="AG104" i="45" a="1"/>
  <c r="AG104" i="45" s="1"/>
  <c r="AD23" i="45" a="1"/>
  <c r="AD23" i="45" s="1"/>
  <c r="AP73" i="33" a="1"/>
  <c r="AP73" i="33" s="1"/>
  <c r="P101" i="44" a="1"/>
  <c r="P101" i="44" s="1"/>
  <c r="K68" i="45" a="1"/>
  <c r="K68" i="45" s="1"/>
  <c r="AK55" i="44" a="1"/>
  <c r="AK55" i="44" s="1"/>
  <c r="AC85" i="44" a="1"/>
  <c r="AC85" i="44" s="1"/>
  <c r="AJ59" i="33" a="1"/>
  <c r="AJ59" i="33" s="1"/>
  <c r="Q38" i="45" a="1"/>
  <c r="Q38" i="45" s="1"/>
  <c r="AN22" i="44" a="1"/>
  <c r="AN22" i="44" s="1"/>
  <c r="AN11" i="44" a="1"/>
  <c r="AN11" i="44" s="1"/>
  <c r="E61" i="44" a="1"/>
  <c r="E61" i="44" s="1"/>
  <c r="R16" i="33" a="1"/>
  <c r="R16" i="33" s="1"/>
  <c r="AA55" i="33" a="1"/>
  <c r="AA55" i="33" s="1"/>
  <c r="Q58" i="45" a="1"/>
  <c r="Q58" i="45" s="1"/>
  <c r="X50" i="33" a="1"/>
  <c r="X50" i="33" s="1"/>
  <c r="V61" i="33" a="1"/>
  <c r="V61" i="33" s="1"/>
  <c r="S31" i="44" a="1"/>
  <c r="S31" i="44" s="1"/>
  <c r="T44" i="33" a="1"/>
  <c r="T44" i="33" s="1"/>
  <c r="F85" i="45" a="1"/>
  <c r="F85" i="45" s="1"/>
  <c r="G55" i="45" a="1"/>
  <c r="G55" i="45" s="1"/>
  <c r="AH68" i="44" a="1"/>
  <c r="AH68" i="44" s="1"/>
  <c r="H79" i="33" a="1"/>
  <c r="H79" i="33" s="1"/>
  <c r="AP47" i="45" a="1"/>
  <c r="AP47" i="45" s="1"/>
  <c r="K80" i="33" a="1"/>
  <c r="K80" i="33" s="1"/>
  <c r="E70" i="44" a="1"/>
  <c r="E70" i="44" s="1"/>
  <c r="H55" i="44" a="1"/>
  <c r="H55" i="44" s="1"/>
  <c r="AL95" i="33" a="1"/>
  <c r="AL95" i="33" s="1"/>
  <c r="AC104" i="45" a="1"/>
  <c r="AC104" i="45" s="1"/>
  <c r="AQ16" i="45" a="1"/>
  <c r="AQ16" i="45" s="1"/>
  <c r="C32" i="43" a="1"/>
  <c r="C32" i="43" s="1"/>
  <c r="G88" i="44" a="1"/>
  <c r="G88" i="44" s="1"/>
  <c r="O31" i="33" a="1"/>
  <c r="O31" i="33" s="1"/>
  <c r="Q71" i="44" a="1"/>
  <c r="Q71" i="44" s="1"/>
  <c r="AA19" i="45" a="1"/>
  <c r="AA19" i="45" s="1"/>
  <c r="R95" i="45" a="1"/>
  <c r="R95" i="45" s="1"/>
  <c r="AK67" i="45" a="1"/>
  <c r="AK67" i="45" s="1"/>
  <c r="T56" i="33" a="1"/>
  <c r="T56" i="33" s="1"/>
  <c r="AF74" i="44" a="1"/>
  <c r="AF74" i="44" s="1"/>
  <c r="AN28" i="45" a="1"/>
  <c r="AN28" i="45" s="1"/>
  <c r="AF17" i="44" a="1"/>
  <c r="AF17" i="44" s="1"/>
  <c r="Q71" i="33" a="1"/>
  <c r="Q71" i="33" s="1"/>
  <c r="L26" i="33" a="1"/>
  <c r="L26" i="33" s="1"/>
  <c r="L95" i="45" a="1"/>
  <c r="L95" i="45" s="1"/>
  <c r="E11" i="45" a="1"/>
  <c r="E11" i="45" s="1"/>
  <c r="AO91" i="44" a="1"/>
  <c r="AO91" i="44" s="1"/>
  <c r="G76" i="33" a="1"/>
  <c r="G76" i="33" s="1"/>
  <c r="R65" i="33" a="1"/>
  <c r="R65" i="33" s="1"/>
  <c r="AA61" i="45" a="1"/>
  <c r="AA61" i="45" s="1"/>
  <c r="Z100" i="45" a="1"/>
  <c r="Z100" i="45" s="1"/>
  <c r="Y37" i="33" a="1"/>
  <c r="Y37" i="33" s="1"/>
  <c r="AP16" i="33" a="1"/>
  <c r="AP16" i="33" s="1"/>
  <c r="G11" i="33" a="1"/>
  <c r="G11" i="33" s="1"/>
  <c r="AH101" i="33" a="1"/>
  <c r="AH101" i="33" s="1"/>
  <c r="Y71" i="33" a="1"/>
  <c r="Y71" i="33" s="1"/>
  <c r="M82" i="44" a="1"/>
  <c r="M82" i="44" s="1"/>
  <c r="T82" i="33" a="1"/>
  <c r="T82" i="33" s="1"/>
  <c r="AF53" i="44" a="1"/>
  <c r="AF53" i="44" s="1"/>
  <c r="AJ79" i="44" a="1"/>
  <c r="AJ79" i="44" s="1"/>
  <c r="Q43" i="33" a="1"/>
  <c r="Q43" i="33" s="1"/>
  <c r="L86" i="33" a="1"/>
  <c r="L86" i="33" s="1"/>
  <c r="L84" i="33" s="1"/>
  <c r="AR55" i="33" a="1"/>
  <c r="AR55" i="33" s="1"/>
  <c r="P32" i="44" a="1"/>
  <c r="P32" i="44" s="1"/>
  <c r="AI52" i="33" a="1"/>
  <c r="AI52" i="33" s="1"/>
  <c r="V46" i="45" a="1"/>
  <c r="V46" i="45" s="1"/>
  <c r="C19" i="45" a="1"/>
  <c r="C19" i="45" s="1"/>
  <c r="AB25" i="44" a="1"/>
  <c r="AB25" i="44" s="1"/>
  <c r="Z38" i="44" a="1"/>
  <c r="Z38" i="44" s="1"/>
  <c r="AK58" i="45" a="1"/>
  <c r="AK58" i="45" s="1"/>
  <c r="Q49" i="44" a="1"/>
  <c r="Q49" i="44" s="1"/>
  <c r="AF37" i="44" a="1"/>
  <c r="AF37" i="44" s="1"/>
  <c r="AP104" i="44" a="1"/>
  <c r="AP104" i="44" s="1"/>
  <c r="AA70" i="33" a="1"/>
  <c r="AA70" i="33" s="1"/>
  <c r="I56" i="33" a="1"/>
  <c r="I56" i="33" s="1"/>
  <c r="AL101" i="33" a="1"/>
  <c r="AL101" i="33" s="1"/>
  <c r="AH47" i="33" a="1"/>
  <c r="AH47" i="33" s="1"/>
  <c r="P29" i="33" a="1"/>
  <c r="P29" i="33" s="1"/>
  <c r="W91" i="44" a="1"/>
  <c r="W91" i="44" s="1"/>
  <c r="Z86" i="33" a="1"/>
  <c r="Z86" i="33" s="1"/>
  <c r="J103" i="33" a="1"/>
  <c r="J103" i="33" s="1"/>
  <c r="AP52" i="45" a="1"/>
  <c r="AP52" i="45" s="1"/>
  <c r="AI37" i="44" a="1"/>
  <c r="AI37" i="44" s="1"/>
  <c r="AI36" i="44" s="1"/>
  <c r="AP94" i="44" a="1"/>
  <c r="AP94" i="44" s="1"/>
  <c r="AC10" i="44" a="1"/>
  <c r="AC10" i="44" s="1"/>
  <c r="AP88" i="33" a="1"/>
  <c r="AP88" i="33" s="1"/>
  <c r="AB91" i="45" a="1"/>
  <c r="AB91" i="45" s="1"/>
  <c r="U76" i="44" a="1"/>
  <c r="U76" i="44" s="1"/>
  <c r="AA46" i="44" a="1"/>
  <c r="AA46" i="44" s="1"/>
  <c r="AR35" i="33" a="1"/>
  <c r="AR35" i="33" s="1"/>
  <c r="N103" i="44" a="1"/>
  <c r="N103" i="44" s="1"/>
  <c r="AL52" i="33" a="1"/>
  <c r="AL52" i="33" s="1"/>
  <c r="C62" i="43" a="1"/>
  <c r="C62" i="43" s="1"/>
  <c r="V26" i="33" a="1"/>
  <c r="V26" i="33" s="1"/>
  <c r="J38" i="44" a="1"/>
  <c r="J38" i="44" s="1"/>
  <c r="AO59" i="33" a="1"/>
  <c r="AO59" i="33" s="1"/>
  <c r="AD37" i="45" a="1"/>
  <c r="AD37" i="45" s="1"/>
  <c r="AH31" i="44" a="1"/>
  <c r="AH31" i="44" s="1"/>
  <c r="R68" i="45" a="1"/>
  <c r="R68" i="45" s="1"/>
  <c r="H104" i="45" a="1"/>
  <c r="H104" i="45" s="1"/>
  <c r="AQ41" i="44" a="1"/>
  <c r="AQ41" i="44" s="1"/>
  <c r="M10" i="44" a="1"/>
  <c r="M10" i="44" s="1"/>
  <c r="AR85" i="33" a="1"/>
  <c r="AR85" i="33" s="1"/>
  <c r="M55" i="33" a="1"/>
  <c r="M55" i="33" s="1"/>
  <c r="W86" i="45" a="1"/>
  <c r="W86" i="45" s="1"/>
  <c r="AM38" i="33" a="1"/>
  <c r="AM38" i="33" s="1"/>
  <c r="C55" i="44" a="1"/>
  <c r="C55" i="44" s="1"/>
  <c r="C94" i="42" a="1"/>
  <c r="C94" i="42" s="1"/>
  <c r="N19" i="33" a="1"/>
  <c r="N19" i="33" s="1"/>
  <c r="V74" i="44" a="1"/>
  <c r="V74" i="44" s="1"/>
  <c r="W28" i="45" a="1"/>
  <c r="W28" i="45" s="1"/>
  <c r="AL25" i="45" a="1"/>
  <c r="AL25" i="45" s="1"/>
  <c r="K62" i="45" a="1"/>
  <c r="K62" i="45" s="1"/>
  <c r="AL73" i="45" a="1"/>
  <c r="AL73" i="45" s="1"/>
  <c r="AH62" i="45" a="1"/>
  <c r="AH62" i="45" s="1"/>
  <c r="AN17" i="45" a="1"/>
  <c r="AN17" i="45" s="1"/>
  <c r="G29" i="44" a="1"/>
  <c r="G29" i="44" s="1"/>
  <c r="AB44" i="44" a="1"/>
  <c r="AB44" i="44" s="1"/>
  <c r="T82" i="45" a="1"/>
  <c r="T82" i="45" s="1"/>
  <c r="AC37" i="44" a="1"/>
  <c r="AC37" i="44" s="1"/>
  <c r="AJ88" i="33" a="1"/>
  <c r="AJ88" i="33" s="1"/>
  <c r="S65" i="33" a="1"/>
  <c r="S65" i="33" s="1"/>
  <c r="K29" i="33" a="1"/>
  <c r="K29" i="33" s="1"/>
  <c r="AC40" i="45" a="1"/>
  <c r="AC40" i="45" s="1"/>
  <c r="P85" i="44" a="1"/>
  <c r="P85" i="44" s="1"/>
  <c r="AE37" i="44" a="1"/>
  <c r="AE37" i="44" s="1"/>
  <c r="F97" i="33" a="1"/>
  <c r="F97" i="33" s="1"/>
  <c r="AQ40" i="45" a="1"/>
  <c r="AQ40" i="45" s="1"/>
  <c r="AJ10" i="33" a="1"/>
  <c r="AJ10" i="33" s="1"/>
  <c r="AL56" i="45" a="1"/>
  <c r="AL56" i="45" s="1"/>
  <c r="AD17" i="33" a="1"/>
  <c r="AD17" i="33" s="1"/>
  <c r="AD53" i="45" a="1"/>
  <c r="AD53" i="45" s="1"/>
  <c r="N103" i="33" a="1"/>
  <c r="N103" i="33" s="1"/>
  <c r="C101" i="43" a="1"/>
  <c r="C101" i="43" s="1"/>
  <c r="R64" i="44" a="1"/>
  <c r="R64" i="44" s="1"/>
  <c r="AC34" i="45" a="1"/>
  <c r="AC34" i="45" s="1"/>
  <c r="M20" i="45" a="1"/>
  <c r="M20" i="45" s="1"/>
  <c r="AD101" i="33" a="1"/>
  <c r="AD101" i="33" s="1"/>
  <c r="AG43" i="45" a="1"/>
  <c r="AG43" i="45" s="1"/>
  <c r="Y68" i="45" a="1"/>
  <c r="Y68" i="45" s="1"/>
  <c r="AH95" i="45" a="1"/>
  <c r="AH95" i="45" s="1"/>
  <c r="U64" i="44" a="1"/>
  <c r="U64" i="44" s="1"/>
  <c r="AK70" i="45" a="1"/>
  <c r="AK70" i="45" s="1"/>
  <c r="AG52" i="44" a="1"/>
  <c r="AG52" i="44" s="1"/>
  <c r="AD59" i="44" a="1"/>
  <c r="AD59" i="44" s="1"/>
  <c r="AA22" i="44" a="1"/>
  <c r="AA22" i="44" s="1"/>
  <c r="C101" i="45" a="1"/>
  <c r="C101" i="45" s="1"/>
  <c r="AE61" i="45" a="1"/>
  <c r="AE61" i="45" s="1"/>
  <c r="AO17" i="45" a="1"/>
  <c r="AO17" i="45" s="1"/>
  <c r="N85" i="44" a="1"/>
  <c r="N85" i="44" s="1"/>
  <c r="AJ16" i="33" a="1"/>
  <c r="AJ16" i="33" s="1"/>
  <c r="AQ98" i="33" a="1"/>
  <c r="AQ98" i="33" s="1"/>
  <c r="AA44" i="33" a="1"/>
  <c r="AA44" i="33" s="1"/>
  <c r="L37" i="44" a="1"/>
  <c r="L37" i="44" s="1"/>
  <c r="AA101" i="33" a="1"/>
  <c r="AA101" i="33" s="1"/>
  <c r="T71" i="33" a="1"/>
  <c r="T71" i="33" s="1"/>
  <c r="AO100" i="33" a="1"/>
  <c r="AO100" i="33" s="1"/>
  <c r="AO99" i="33" s="1"/>
  <c r="AI74" i="45" a="1"/>
  <c r="AI74" i="45" s="1"/>
  <c r="C20" i="41" a="1"/>
  <c r="C20" i="41" s="1"/>
  <c r="AM31" i="44" a="1"/>
  <c r="AM31" i="44" s="1"/>
  <c r="S28" i="45" a="1"/>
  <c r="S28" i="45" s="1"/>
  <c r="AH46" i="45" a="1"/>
  <c r="AH46" i="45" s="1"/>
  <c r="AE52" i="44" a="1"/>
  <c r="AE52" i="44" s="1"/>
  <c r="K31" i="45" a="1"/>
  <c r="K31" i="45" s="1"/>
  <c r="AG100" i="44" a="1"/>
  <c r="AG100" i="44" s="1"/>
  <c r="AL47" i="45" a="1"/>
  <c r="AL47" i="45" s="1"/>
  <c r="AK77" i="45" a="1"/>
  <c r="AK77" i="45" s="1"/>
  <c r="Z83" i="33" a="1"/>
  <c r="Z83" i="33" s="1"/>
  <c r="C23" i="42" a="1"/>
  <c r="C23" i="42" s="1"/>
  <c r="AR43" i="45" a="1"/>
  <c r="AR43" i="45" s="1"/>
  <c r="W32" i="33" a="1"/>
  <c r="W32" i="33" s="1"/>
  <c r="E49" i="45" a="1"/>
  <c r="E49" i="45" s="1"/>
  <c r="AJ103" i="33" a="1"/>
  <c r="AJ103" i="33" s="1"/>
  <c r="AL26" i="44" a="1"/>
  <c r="AL26" i="44" s="1"/>
  <c r="AO32" i="33" a="1"/>
  <c r="AO32" i="33" s="1"/>
  <c r="I25" i="45" a="1"/>
  <c r="I25" i="45" s="1"/>
  <c r="AL98" i="44" a="1"/>
  <c r="AL98" i="44" s="1"/>
  <c r="AL61" i="45" a="1"/>
  <c r="AL61" i="45" s="1"/>
  <c r="O22" i="44" a="1"/>
  <c r="O22" i="44" s="1"/>
  <c r="AJ89" i="44" a="1"/>
  <c r="AJ89" i="44" s="1"/>
  <c r="Z35" i="44" a="1"/>
  <c r="Z35" i="44" s="1"/>
  <c r="J95" i="33" a="1"/>
  <c r="J95" i="33" s="1"/>
  <c r="AI22" i="45" a="1"/>
  <c r="AI22" i="45" s="1"/>
  <c r="Z74" i="45" a="1"/>
  <c r="Z74" i="45" s="1"/>
  <c r="C17" i="41" a="1"/>
  <c r="C17" i="41" s="1"/>
  <c r="AJ38" i="45" a="1"/>
  <c r="AJ38" i="45" s="1"/>
  <c r="W59" i="44" a="1"/>
  <c r="W59" i="44" s="1"/>
  <c r="T22" i="45" a="1"/>
  <c r="T22" i="45" s="1"/>
  <c r="AN35" i="33" a="1"/>
  <c r="AN35" i="33" s="1"/>
  <c r="V40" i="44" a="1"/>
  <c r="V40" i="44" s="1"/>
  <c r="AC44" i="33" a="1"/>
  <c r="AC44" i="33" s="1"/>
  <c r="AG11" i="44" a="1"/>
  <c r="AG11" i="44" s="1"/>
  <c r="AR16" i="45" a="1"/>
  <c r="AR16" i="45" s="1"/>
  <c r="K40" i="45" a="1"/>
  <c r="K40" i="45" s="1"/>
  <c r="AM10" i="33" a="1"/>
  <c r="AM10" i="33" s="1"/>
  <c r="AD32" i="45" a="1"/>
  <c r="AD32" i="45" s="1"/>
  <c r="AC55" i="44" a="1"/>
  <c r="AC55" i="44" s="1"/>
  <c r="AF91" i="45" a="1"/>
  <c r="AF91" i="45" s="1"/>
  <c r="AF94" i="33" a="1"/>
  <c r="AF94" i="33" s="1"/>
  <c r="AF93" i="33" s="1"/>
  <c r="AN67" i="44" a="1"/>
  <c r="AN67" i="44" s="1"/>
  <c r="AC23" i="44" a="1"/>
  <c r="AC23" i="44" s="1"/>
  <c r="E73" i="44" a="1"/>
  <c r="E73" i="44" s="1"/>
  <c r="L22" i="33" a="1"/>
  <c r="L22" i="33" s="1"/>
  <c r="AO95" i="33" a="1"/>
  <c r="AO95" i="33" s="1"/>
  <c r="AC59" i="45" a="1"/>
  <c r="AC59" i="45" s="1"/>
  <c r="AF95" i="45" a="1"/>
  <c r="AF95" i="45" s="1"/>
  <c r="R61" i="45" a="1"/>
  <c r="R61" i="45" s="1"/>
  <c r="R60" i="45" s="1"/>
  <c r="P26" i="45" a="1"/>
  <c r="P26" i="45" s="1"/>
  <c r="V19" i="33" a="1"/>
  <c r="V19" i="33" s="1"/>
  <c r="AK49" i="44" a="1"/>
  <c r="AK49" i="44" s="1"/>
  <c r="W104" i="33" a="1"/>
  <c r="W104" i="33" s="1"/>
  <c r="AN52" i="45" a="1"/>
  <c r="AN52" i="45" s="1"/>
  <c r="C92" i="42" a="1"/>
  <c r="C92" i="42" s="1"/>
  <c r="AB83" i="45" a="1"/>
  <c r="AB83" i="45" s="1"/>
  <c r="Z61" i="44" a="1"/>
  <c r="Z61" i="44" s="1"/>
  <c r="E28" i="45" a="1"/>
  <c r="E28" i="45" s="1"/>
  <c r="W44" i="44" a="1"/>
  <c r="W44" i="44" s="1"/>
  <c r="C56" i="43" a="1"/>
  <c r="C56" i="43" s="1"/>
  <c r="O91" i="45" a="1"/>
  <c r="O91" i="45" s="1"/>
  <c r="O90" i="45" s="1"/>
  <c r="T76" i="44" a="1"/>
  <c r="T76" i="44" s="1"/>
  <c r="V44" i="45" a="1"/>
  <c r="V44" i="45" s="1"/>
  <c r="I19" i="44" a="1"/>
  <c r="I19" i="44" s="1"/>
  <c r="AA103" i="33" a="1"/>
  <c r="AA103" i="33" s="1"/>
  <c r="L41" i="33" a="1"/>
  <c r="L41" i="33" s="1"/>
  <c r="AI100" i="45" a="1"/>
  <c r="AI100" i="45" s="1"/>
  <c r="F77" i="44" a="1"/>
  <c r="F77" i="44" s="1"/>
  <c r="W82" i="44" a="1"/>
  <c r="W82" i="44" s="1"/>
  <c r="AA17" i="33" a="1"/>
  <c r="AA17" i="33" s="1"/>
  <c r="AI26" i="33" a="1"/>
  <c r="AI26" i="33" s="1"/>
  <c r="C43" i="44" a="1"/>
  <c r="C43" i="44" s="1"/>
  <c r="L55" i="45" a="1"/>
  <c r="L55" i="45" s="1"/>
  <c r="AR86" i="44" a="1"/>
  <c r="AR86" i="44" s="1"/>
  <c r="S50" i="33" a="1"/>
  <c r="S50" i="33" s="1"/>
  <c r="S40" i="44" a="1"/>
  <c r="S40" i="44" s="1"/>
  <c r="C41" i="45" a="1"/>
  <c r="C41" i="45" s="1"/>
  <c r="C74" i="45" a="1"/>
  <c r="C74" i="45" s="1"/>
  <c r="O89" i="44" a="1"/>
  <c r="O89" i="44" s="1"/>
  <c r="AJ89" i="45" a="1"/>
  <c r="AJ89" i="45" s="1"/>
  <c r="Q31" i="45" a="1"/>
  <c r="Q31" i="45" s="1"/>
  <c r="S70" i="44" a="1"/>
  <c r="S70" i="44" s="1"/>
  <c r="AF92" i="33" a="1"/>
  <c r="AF92" i="33" s="1"/>
  <c r="AJ58" i="44" a="1"/>
  <c r="AJ58" i="44" s="1"/>
  <c r="AC104" i="33" a="1"/>
  <c r="AC104" i="33" s="1"/>
  <c r="T38" i="45" a="1"/>
  <c r="T38" i="45" s="1"/>
  <c r="J74" i="33" a="1"/>
  <c r="J74" i="33" s="1"/>
  <c r="C76" i="43" a="1"/>
  <c r="C76" i="43" s="1"/>
  <c r="F104" i="33" a="1"/>
  <c r="F104" i="33" s="1"/>
  <c r="K97" i="44" a="1"/>
  <c r="K97" i="44" s="1"/>
  <c r="AP50" i="33" a="1"/>
  <c r="AP50" i="33" s="1"/>
  <c r="AH73" i="45" a="1"/>
  <c r="AH73" i="45" s="1"/>
  <c r="W94" i="44" a="1"/>
  <c r="W94" i="44" s="1"/>
  <c r="I56" i="45" a="1"/>
  <c r="I56" i="45" s="1"/>
  <c r="C55" i="41" a="1"/>
  <c r="C55" i="41" s="1"/>
  <c r="AN29" i="44" a="1"/>
  <c r="AN29" i="44" s="1"/>
  <c r="O50" i="45" a="1"/>
  <c r="O50" i="45" s="1"/>
  <c r="X29" i="45" a="1"/>
  <c r="X29" i="45" s="1"/>
  <c r="Q29" i="33" a="1"/>
  <c r="Q29" i="33" s="1"/>
  <c r="AK37" i="45" a="1"/>
  <c r="AK37" i="45" s="1"/>
  <c r="AR71" i="44" a="1"/>
  <c r="AR71" i="44" s="1"/>
  <c r="AH19" i="45" a="1"/>
  <c r="AH19" i="45" s="1"/>
  <c r="AC16" i="44" a="1"/>
  <c r="AC16" i="44" s="1"/>
  <c r="AF10" i="44" a="1"/>
  <c r="AF10" i="44" s="1"/>
  <c r="AD70" i="45" a="1"/>
  <c r="AD70" i="45" s="1"/>
  <c r="K55" i="45" a="1"/>
  <c r="K55" i="45" s="1"/>
  <c r="C38" i="47" a="1"/>
  <c r="C38" i="47" s="1"/>
  <c r="H23" i="44" a="1"/>
  <c r="H23" i="44" s="1"/>
  <c r="X103" i="44" a="1"/>
  <c r="X103" i="44" s="1"/>
  <c r="AF55" i="45" a="1"/>
  <c r="AF55" i="45" s="1"/>
  <c r="N23" i="44" a="1"/>
  <c r="N23" i="44" s="1"/>
  <c r="W97" i="45" a="1"/>
  <c r="W97" i="45" s="1"/>
  <c r="W96" i="45" s="1"/>
  <c r="V31" i="33" a="1"/>
  <c r="V31" i="33" s="1"/>
  <c r="L68" i="44" a="1"/>
  <c r="L68" i="44" s="1"/>
  <c r="AH95" i="44" a="1"/>
  <c r="AH95" i="44" s="1"/>
  <c r="W59" i="33" a="1"/>
  <c r="W59" i="33" s="1"/>
  <c r="AC77" i="33" a="1"/>
  <c r="AC77" i="33" s="1"/>
  <c r="W34" i="45" a="1"/>
  <c r="W34" i="45" s="1"/>
  <c r="AD88" i="45" a="1"/>
  <c r="AD88" i="45" s="1"/>
  <c r="P28" i="33" a="1"/>
  <c r="P28" i="33" s="1"/>
  <c r="V100" i="45" a="1"/>
  <c r="V100" i="45" s="1"/>
  <c r="AC32" i="44" a="1"/>
  <c r="AC32" i="44" s="1"/>
  <c r="T52" i="44" a="1"/>
  <c r="T52" i="44" s="1"/>
  <c r="AR37" i="45" a="1"/>
  <c r="AR37" i="45" s="1"/>
  <c r="Y37" i="45" a="1"/>
  <c r="Y37" i="45" s="1"/>
  <c r="U98" i="45" a="1"/>
  <c r="U98" i="45" s="1"/>
  <c r="P73" i="44" a="1"/>
  <c r="P73" i="44" s="1"/>
  <c r="AH55" i="33" a="1"/>
  <c r="AH55" i="33" s="1"/>
  <c r="AO61" i="45" a="1"/>
  <c r="AO61" i="45" s="1"/>
  <c r="AO82" i="33" a="1"/>
  <c r="AO82" i="33" s="1"/>
  <c r="S89" i="33" a="1"/>
  <c r="S89" i="33" s="1"/>
  <c r="AG70" i="45" a="1"/>
  <c r="AG70" i="45" s="1"/>
  <c r="AJ40" i="33" a="1"/>
  <c r="AJ40" i="33" s="1"/>
  <c r="M104" i="45" a="1"/>
  <c r="M104" i="45" s="1"/>
  <c r="AD55" i="33" a="1"/>
  <c r="AD55" i="33" s="1"/>
  <c r="AD68" i="45" a="1"/>
  <c r="AD68" i="45" s="1"/>
  <c r="U17" i="33" a="1"/>
  <c r="U17" i="33" s="1"/>
  <c r="O11" i="44" a="1"/>
  <c r="O11" i="44" s="1"/>
  <c r="L103" i="33" a="1"/>
  <c r="L103" i="33" s="1"/>
  <c r="AB56" i="45" a="1"/>
  <c r="AB56" i="45" s="1"/>
  <c r="X94" i="44" a="1"/>
  <c r="X94" i="44" s="1"/>
  <c r="AJ82" i="33" a="1"/>
  <c r="AJ82" i="33" s="1"/>
  <c r="W65" i="33" a="1"/>
  <c r="W65" i="33" s="1"/>
  <c r="C62" i="47" a="1"/>
  <c r="C62" i="47" s="1"/>
  <c r="A61" i="47" s="1"/>
  <c r="AQ100" i="45" a="1"/>
  <c r="AQ100" i="45" s="1"/>
  <c r="Y64" i="44" a="1"/>
  <c r="Y64" i="44" s="1"/>
  <c r="AE104" i="45" a="1"/>
  <c r="AE104" i="45" s="1"/>
  <c r="E16" i="33" a="1"/>
  <c r="E16" i="33" s="1"/>
  <c r="AF94" i="44" a="1"/>
  <c r="AF94" i="44" s="1"/>
  <c r="R67" i="45" a="1"/>
  <c r="R67" i="45" s="1"/>
  <c r="Z20" i="44" a="1"/>
  <c r="Z20" i="44" s="1"/>
  <c r="I22" i="33" a="1"/>
  <c r="I22" i="33" s="1"/>
  <c r="C19" i="47" a="1"/>
  <c r="C19" i="47" s="1"/>
  <c r="T22" i="33" a="1"/>
  <c r="T22" i="33" s="1"/>
  <c r="J104" i="45" a="1"/>
  <c r="J104" i="45" s="1"/>
  <c r="AA49" i="33" a="1"/>
  <c r="AA49" i="33" s="1"/>
  <c r="AC23" i="33" a="1"/>
  <c r="AC23" i="33" s="1"/>
  <c r="R40" i="33" a="1"/>
  <c r="R40" i="33" s="1"/>
  <c r="AC28" i="44" a="1"/>
  <c r="AC28" i="44" s="1"/>
  <c r="AJ46" i="45" a="1"/>
  <c r="AJ46" i="45" s="1"/>
  <c r="Y92" i="44" a="1"/>
  <c r="Y92" i="44" s="1"/>
  <c r="W82" i="45" a="1"/>
  <c r="W82" i="45" s="1"/>
  <c r="G10" i="33" a="1"/>
  <c r="G10" i="33" s="1"/>
  <c r="V25" i="45" a="1"/>
  <c r="V25" i="45" s="1"/>
  <c r="AM64" i="44" a="1"/>
  <c r="AM64" i="44" s="1"/>
  <c r="G31" i="33" a="1"/>
  <c r="G31" i="33" s="1"/>
  <c r="AG89" i="45" a="1"/>
  <c r="AG89" i="45" s="1"/>
  <c r="AG92" i="33" a="1"/>
  <c r="AG92" i="33" s="1"/>
  <c r="I38" i="33" a="1"/>
  <c r="I38" i="33" s="1"/>
  <c r="AH32" i="33" a="1"/>
  <c r="AH32" i="33" s="1"/>
  <c r="C77" i="47" a="1"/>
  <c r="C77" i="47" s="1"/>
  <c r="A76" i="47" s="1"/>
  <c r="P49" i="45" a="1"/>
  <c r="P49" i="45" s="1"/>
  <c r="AM73" i="33" a="1"/>
  <c r="AM73" i="33" s="1"/>
  <c r="G41" i="45" a="1"/>
  <c r="G41" i="45" s="1"/>
  <c r="C22" i="46" a="1"/>
  <c r="C22" i="46" s="1"/>
  <c r="X68" i="44" a="1"/>
  <c r="X68" i="44" s="1"/>
  <c r="T49" i="44" a="1"/>
  <c r="T49" i="44" s="1"/>
  <c r="O76" i="45" a="1"/>
  <c r="O76" i="45" s="1"/>
  <c r="AR29" i="45" a="1"/>
  <c r="AR29" i="45" s="1"/>
  <c r="R20" i="44" a="1"/>
  <c r="R20" i="44" s="1"/>
  <c r="AD38" i="45" a="1"/>
  <c r="AD38" i="45" s="1"/>
  <c r="AH73" i="33" a="1"/>
  <c r="AH73" i="33" s="1"/>
  <c r="AE79" i="45" a="1"/>
  <c r="AE79" i="45" s="1"/>
  <c r="L35" i="45" a="1"/>
  <c r="L35" i="45" s="1"/>
  <c r="E19" i="33" a="1"/>
  <c r="E19" i="33" s="1"/>
  <c r="T59" i="33" a="1"/>
  <c r="T59" i="33" s="1"/>
  <c r="AQ70" i="33" a="1"/>
  <c r="AQ70" i="33" s="1"/>
  <c r="P55" i="45" a="1"/>
  <c r="P55" i="45" s="1"/>
  <c r="Q46" i="45" a="1"/>
  <c r="Q46" i="45" s="1"/>
  <c r="Z92" i="44" a="1"/>
  <c r="Z92" i="44" s="1"/>
  <c r="AJ16" i="45" a="1"/>
  <c r="AJ16" i="45" s="1"/>
  <c r="P49" i="44" a="1"/>
  <c r="P49" i="44" s="1"/>
  <c r="Y10" i="33" a="1"/>
  <c r="Y10" i="33" s="1"/>
  <c r="AF29" i="33" a="1"/>
  <c r="AF29" i="33" s="1"/>
  <c r="AF27" i="33" s="1"/>
  <c r="AK55" i="33" a="1"/>
  <c r="AK55" i="33" s="1"/>
  <c r="T29" i="45" a="1"/>
  <c r="T29" i="45" s="1"/>
  <c r="AD67" i="45" a="1"/>
  <c r="AD67" i="45" s="1"/>
  <c r="Z16" i="33" a="1"/>
  <c r="Z16" i="33" s="1"/>
  <c r="AN100" i="44" a="1"/>
  <c r="AN100" i="44" s="1"/>
  <c r="K35" i="45" a="1"/>
  <c r="K35" i="45" s="1"/>
  <c r="G10" i="45" a="1"/>
  <c r="G10" i="45" s="1"/>
  <c r="AQ62" i="44" a="1"/>
  <c r="AQ62" i="44" s="1"/>
  <c r="AN79" i="44" a="1"/>
  <c r="AN79" i="44" s="1"/>
  <c r="AJ61" i="44" a="1"/>
  <c r="AJ61" i="44" s="1"/>
  <c r="F41" i="33" a="1"/>
  <c r="F41" i="33" s="1"/>
  <c r="N82" i="33" a="1"/>
  <c r="N82" i="33" s="1"/>
  <c r="H40" i="45" a="1"/>
  <c r="H40" i="45" s="1"/>
  <c r="AO34" i="33" a="1"/>
  <c r="AO34" i="33" s="1"/>
  <c r="O16" i="44" a="1"/>
  <c r="O16" i="44" s="1"/>
  <c r="Z62" i="33" a="1"/>
  <c r="Z62" i="33" s="1"/>
  <c r="AB41" i="44" a="1"/>
  <c r="AB41" i="44" s="1"/>
  <c r="H34" i="33" a="1"/>
  <c r="H34" i="33" s="1"/>
  <c r="AQ92" i="44" a="1"/>
  <c r="AQ92" i="44" s="1"/>
  <c r="W23" i="45" a="1"/>
  <c r="W23" i="45" s="1"/>
  <c r="Q101" i="45" a="1"/>
  <c r="Q101" i="45" s="1"/>
  <c r="AO73" i="33" a="1"/>
  <c r="AO73" i="33" s="1"/>
  <c r="AG59" i="33" a="1"/>
  <c r="AG59" i="33" s="1"/>
  <c r="C38" i="42" a="1"/>
  <c r="C38" i="42" s="1"/>
  <c r="U25" i="33" a="1"/>
  <c r="U25" i="33" s="1"/>
  <c r="AI43" i="45" a="1"/>
  <c r="AI43" i="45" s="1"/>
  <c r="AH32" i="44" a="1"/>
  <c r="AH32" i="44" s="1"/>
  <c r="AB101" i="45" a="1"/>
  <c r="AB101" i="45" s="1"/>
  <c r="AB99" i="45" s="1"/>
  <c r="AL17" i="45" a="1"/>
  <c r="AL17" i="45" s="1"/>
  <c r="O61" i="44" a="1"/>
  <c r="O61" i="44" s="1"/>
  <c r="S16" i="45" a="1"/>
  <c r="S16" i="45" s="1"/>
  <c r="AN82" i="33" a="1"/>
  <c r="AN82" i="33" s="1"/>
  <c r="I34" i="33" a="1"/>
  <c r="I34" i="33" s="1"/>
  <c r="AK28" i="44" a="1"/>
  <c r="AK28" i="44" s="1"/>
  <c r="AE17" i="44" a="1"/>
  <c r="AE17" i="44" s="1"/>
  <c r="W70" i="44" a="1"/>
  <c r="W70" i="44" s="1"/>
  <c r="AH43" i="33" a="1"/>
  <c r="AH43" i="33" s="1"/>
  <c r="AM83" i="33" a="1"/>
  <c r="AM83" i="33" s="1"/>
  <c r="Y88" i="33" a="1"/>
  <c r="Y88" i="33" s="1"/>
  <c r="V88" i="33" a="1"/>
  <c r="V88" i="33" s="1"/>
  <c r="F25" i="44" a="1"/>
  <c r="F25" i="44" s="1"/>
  <c r="AE17" i="33" a="1"/>
  <c r="AE17" i="33" s="1"/>
  <c r="AC65" i="45" a="1"/>
  <c r="AC65" i="45" s="1"/>
  <c r="T28" i="44" a="1"/>
  <c r="T28" i="44" s="1"/>
  <c r="M29" i="44" a="1"/>
  <c r="M29" i="44" s="1"/>
  <c r="M27" i="44" s="1"/>
  <c r="I53" i="45" a="1"/>
  <c r="I53" i="45" s="1"/>
  <c r="P35" i="33" a="1"/>
  <c r="P35" i="33" s="1"/>
  <c r="AN77" i="45" a="1"/>
  <c r="AN77" i="45" s="1"/>
  <c r="AF35" i="44" a="1"/>
  <c r="AF35" i="44" s="1"/>
  <c r="H83" i="44" a="1"/>
  <c r="H83" i="44" s="1"/>
  <c r="C85" i="47" a="1"/>
  <c r="C85" i="47" s="1"/>
  <c r="A85" i="47" s="1"/>
  <c r="Y103" i="33" a="1"/>
  <c r="Y103" i="33" s="1"/>
  <c r="AM92" i="45" a="1"/>
  <c r="AM92" i="45" s="1"/>
  <c r="AB76" i="33" a="1"/>
  <c r="AB76" i="33" s="1"/>
  <c r="J25" i="33" a="1"/>
  <c r="J25" i="33" s="1"/>
  <c r="AF22" i="45" a="1"/>
  <c r="AF22" i="45" s="1"/>
  <c r="H46" i="44" a="1"/>
  <c r="H46" i="44" s="1"/>
  <c r="R74" i="44" a="1"/>
  <c r="R74" i="44" s="1"/>
  <c r="G32" i="44" a="1"/>
  <c r="G32" i="44" s="1"/>
  <c r="M26" i="45" a="1"/>
  <c r="M26" i="45" s="1"/>
  <c r="O70" i="45" a="1"/>
  <c r="O70" i="45" s="1"/>
  <c r="J26" i="33" a="1"/>
  <c r="J26" i="33" s="1"/>
  <c r="AK83" i="44" a="1"/>
  <c r="AK83" i="44" s="1"/>
  <c r="AA34" i="45" a="1"/>
  <c r="AA34" i="45" s="1"/>
  <c r="P68" i="44" a="1"/>
  <c r="P68" i="44" s="1"/>
  <c r="G44" i="44" a="1"/>
  <c r="G44" i="44" s="1"/>
  <c r="AM38" i="45" a="1"/>
  <c r="AM38" i="45" s="1"/>
  <c r="AQ97" i="33" a="1"/>
  <c r="AQ97" i="33" s="1"/>
  <c r="AG37" i="44" a="1"/>
  <c r="AG37" i="44" s="1"/>
  <c r="Y71" i="45" a="1"/>
  <c r="Y71" i="45" s="1"/>
  <c r="N59" i="33" a="1"/>
  <c r="N59" i="33" s="1"/>
  <c r="N11" i="44" a="1"/>
  <c r="N11" i="44" s="1"/>
  <c r="AK17" i="45" a="1"/>
  <c r="AK17" i="45" s="1"/>
  <c r="AK15" i="45" s="1"/>
  <c r="S11" i="44" a="1"/>
  <c r="S11" i="44" s="1"/>
  <c r="E82" i="45" a="1"/>
  <c r="E82" i="45" s="1"/>
  <c r="AK65" i="44" a="1"/>
  <c r="AK65" i="44" s="1"/>
  <c r="M37" i="45" a="1"/>
  <c r="M37" i="45" s="1"/>
  <c r="AK59" i="45" a="1"/>
  <c r="AK59" i="45" s="1"/>
  <c r="F20" i="44" a="1"/>
  <c r="F20" i="44" s="1"/>
  <c r="M50" i="44" a="1"/>
  <c r="M50" i="44" s="1"/>
  <c r="AF62" i="33" a="1"/>
  <c r="AF62" i="33" s="1"/>
  <c r="AD98" i="44" a="1"/>
  <c r="AD98" i="44" s="1"/>
  <c r="AB64" i="44" a="1"/>
  <c r="AB64" i="44" s="1"/>
  <c r="T79" i="33" a="1"/>
  <c r="T79" i="33" s="1"/>
  <c r="H46" i="33" a="1"/>
  <c r="H46" i="33" s="1"/>
  <c r="AQ16" i="33" a="1"/>
  <c r="AQ16" i="33" s="1"/>
  <c r="AH65" i="33" a="1"/>
  <c r="AH65" i="33" s="1"/>
  <c r="AR74" i="44" a="1"/>
  <c r="AR74" i="44" s="1"/>
  <c r="AD77" i="44" a="1"/>
  <c r="AD77" i="44" s="1"/>
  <c r="AF53" i="33" a="1"/>
  <c r="AF53" i="33" s="1"/>
  <c r="N41" i="45" a="1"/>
  <c r="N41" i="45" s="1"/>
  <c r="X67" i="45" a="1"/>
  <c r="X67" i="45" s="1"/>
  <c r="AJ44" i="33" a="1"/>
  <c r="AJ44" i="33" s="1"/>
  <c r="AJ32" i="33" a="1"/>
  <c r="AJ32" i="33" s="1"/>
  <c r="X92" i="33" a="1"/>
  <c r="X92" i="33" s="1"/>
  <c r="AI19" i="33" a="1"/>
  <c r="AI19" i="33" s="1"/>
  <c r="AH53" i="33" a="1"/>
  <c r="AH53" i="33" s="1"/>
  <c r="AD97" i="33" a="1"/>
  <c r="AD97" i="33" s="1"/>
  <c r="AG44" i="45" a="1"/>
  <c r="AG44" i="45" s="1"/>
  <c r="S26" i="33" a="1"/>
  <c r="S26" i="33" s="1"/>
  <c r="C92" i="41" a="1"/>
  <c r="C92" i="41" s="1"/>
  <c r="AJ41" i="44" a="1"/>
  <c r="AJ41" i="44" s="1"/>
  <c r="C50" i="43" a="1"/>
  <c r="C50" i="43" s="1"/>
  <c r="V20" i="44" a="1"/>
  <c r="V20" i="44" s="1"/>
  <c r="AG74" i="44" a="1"/>
  <c r="AG74" i="44" s="1"/>
  <c r="AQ52" i="45" a="1"/>
  <c r="AQ52" i="45" s="1"/>
  <c r="AK25" i="45" a="1"/>
  <c r="AK25" i="45" s="1"/>
  <c r="AR70" i="45" a="1"/>
  <c r="AR70" i="45" s="1"/>
  <c r="J11" i="45" a="1"/>
  <c r="J11" i="45" s="1"/>
  <c r="Q29" i="45" a="1"/>
  <c r="Q29" i="45" s="1"/>
  <c r="AA82" i="33" a="1"/>
  <c r="AA82" i="33" s="1"/>
  <c r="AM11" i="44" a="1"/>
  <c r="AM11" i="44" s="1"/>
  <c r="C83" i="42" a="1"/>
  <c r="C83" i="42" s="1"/>
  <c r="AP100" i="33" a="1"/>
  <c r="AP100" i="33" s="1"/>
  <c r="AP99" i="33" s="1"/>
  <c r="AA80" i="33" a="1"/>
  <c r="AA80" i="33" s="1"/>
  <c r="I74" i="45" a="1"/>
  <c r="I74" i="45" s="1"/>
  <c r="I72" i="45" s="1"/>
  <c r="I26" i="33" a="1"/>
  <c r="I26" i="33" s="1"/>
  <c r="AJ32" i="45" a="1"/>
  <c r="AJ32" i="45" s="1"/>
  <c r="C104" i="43" a="1"/>
  <c r="C104" i="43" s="1"/>
  <c r="U74" i="33" a="1"/>
  <c r="U74" i="33" s="1"/>
  <c r="AH64" i="45" a="1"/>
  <c r="AH64" i="45" s="1"/>
  <c r="P22" i="45" a="1"/>
  <c r="P22" i="45" s="1"/>
  <c r="I10" i="45" a="1"/>
  <c r="I10" i="45" s="1"/>
  <c r="AG79" i="33" a="1"/>
  <c r="AG79" i="33" s="1"/>
  <c r="W68" i="45" a="1"/>
  <c r="W68" i="45" s="1"/>
  <c r="Z70" i="44" a="1"/>
  <c r="Z70" i="44" s="1"/>
  <c r="AD64" i="33" a="1"/>
  <c r="AD64" i="33" s="1"/>
  <c r="AB77" i="44" a="1"/>
  <c r="AB77" i="44" s="1"/>
  <c r="F65" i="44" a="1"/>
  <c r="F65" i="44" s="1"/>
  <c r="AP22" i="44" a="1"/>
  <c r="AP22" i="44" s="1"/>
  <c r="AG34" i="33" a="1"/>
  <c r="AG34" i="33" s="1"/>
  <c r="AE32" i="33" a="1"/>
  <c r="AE32" i="33" s="1"/>
  <c r="AD77" i="33" a="1"/>
  <c r="AD77" i="33" s="1"/>
  <c r="AP79" i="45" a="1"/>
  <c r="AP79" i="45" s="1"/>
  <c r="AA62" i="33" a="1"/>
  <c r="AA62" i="33" s="1"/>
  <c r="K41" i="44" a="1"/>
  <c r="K41" i="44" s="1"/>
  <c r="J100" i="45" a="1"/>
  <c r="J100" i="45" s="1"/>
  <c r="J99" i="45" s="1"/>
  <c r="X50" i="45" a="1"/>
  <c r="X50" i="45" s="1"/>
  <c r="AM11" i="33" a="1"/>
  <c r="AM11" i="33" s="1"/>
  <c r="X104" i="33" a="1"/>
  <c r="X104" i="33" s="1"/>
  <c r="U65" i="44" a="1"/>
  <c r="U65" i="44" s="1"/>
  <c r="Q28" i="33" a="1"/>
  <c r="Q28" i="33" s="1"/>
  <c r="AE37" i="33" a="1"/>
  <c r="AE37" i="33" s="1"/>
  <c r="X26" i="45" a="1"/>
  <c r="X26" i="45" s="1"/>
  <c r="AA89" i="33" a="1"/>
  <c r="AA89" i="33" s="1"/>
  <c r="E74" i="44" a="1"/>
  <c r="E74" i="44" s="1"/>
  <c r="K58" i="44" a="1"/>
  <c r="K58" i="44" s="1"/>
  <c r="L98" i="44" a="1"/>
  <c r="L98" i="44" s="1"/>
  <c r="H104" i="44" a="1"/>
  <c r="H104" i="44" s="1"/>
  <c r="S80" i="33" a="1"/>
  <c r="S80" i="33" s="1"/>
  <c r="T74" i="44" a="1"/>
  <c r="T74" i="44" s="1"/>
  <c r="H65" i="44" a="1"/>
  <c r="H65" i="44" s="1"/>
  <c r="R104" i="44" a="1"/>
  <c r="R104" i="44" s="1"/>
  <c r="F94" i="44" a="1"/>
  <c r="F94" i="44" s="1"/>
  <c r="AA32" i="44" a="1"/>
  <c r="AA32" i="44" s="1"/>
  <c r="AM19" i="33" a="1"/>
  <c r="AM19" i="33" s="1"/>
  <c r="Y89" i="33" a="1"/>
  <c r="Y89" i="33" s="1"/>
  <c r="L20" i="44" a="1"/>
  <c r="L20" i="44" s="1"/>
  <c r="AE70" i="33" a="1"/>
  <c r="AE70" i="33" s="1"/>
  <c r="AM32" i="44" a="1"/>
  <c r="AM32" i="44" s="1"/>
  <c r="AC22" i="45" a="1"/>
  <c r="AC22" i="45" s="1"/>
  <c r="N34" i="33" a="1"/>
  <c r="N34" i="33" s="1"/>
  <c r="AP74" i="45" a="1"/>
  <c r="AP74" i="45" s="1"/>
  <c r="V83" i="44" a="1"/>
  <c r="V83" i="44" s="1"/>
  <c r="U67" i="45" a="1"/>
  <c r="U67" i="45" s="1"/>
  <c r="U66" i="45" s="1"/>
  <c r="C53" i="43" a="1"/>
  <c r="C53" i="43" s="1"/>
  <c r="M29" i="33" a="1"/>
  <c r="M29" i="33" s="1"/>
  <c r="S35" i="45" a="1"/>
  <c r="S35" i="45" s="1"/>
  <c r="AN77" i="44" a="1"/>
  <c r="AN77" i="44" s="1"/>
  <c r="Q104" i="33" a="1"/>
  <c r="Q104" i="33" s="1"/>
  <c r="Z22" i="33" a="1"/>
  <c r="Z22" i="33" s="1"/>
  <c r="AM104" i="45" a="1"/>
  <c r="AM104" i="45" s="1"/>
  <c r="N46" i="45" a="1"/>
  <c r="N46" i="45" s="1"/>
  <c r="N45" i="45" s="1"/>
  <c r="J59" i="33" a="1"/>
  <c r="J59" i="33" s="1"/>
  <c r="Q68" i="45" a="1"/>
  <c r="Q68" i="45" s="1"/>
  <c r="AN89" i="45" a="1"/>
  <c r="AN89" i="45" s="1"/>
  <c r="AD26" i="45" a="1"/>
  <c r="AD26" i="45" s="1"/>
  <c r="AE26" i="45" a="1"/>
  <c r="AE26" i="45" s="1"/>
  <c r="AN73" i="45" a="1"/>
  <c r="AN73" i="45" s="1"/>
  <c r="C94" i="46" a="1"/>
  <c r="C94" i="46" s="1"/>
  <c r="J79" i="45" a="1"/>
  <c r="J79" i="45" s="1"/>
  <c r="G91" i="45" a="1"/>
  <c r="G91" i="45" s="1"/>
  <c r="J100" i="33" a="1"/>
  <c r="J100" i="33" s="1"/>
  <c r="J99" i="33" s="1"/>
  <c r="Q76" i="45" a="1"/>
  <c r="Q76" i="45" s="1"/>
  <c r="AJ70" i="44" a="1"/>
  <c r="AJ70" i="44" s="1"/>
  <c r="AO19" i="33" a="1"/>
  <c r="AO19" i="33" s="1"/>
  <c r="AG83" i="45" a="1"/>
  <c r="AG83" i="45" s="1"/>
  <c r="Z26" i="45" a="1"/>
  <c r="Z26" i="45" s="1"/>
  <c r="X101" i="45" a="1"/>
  <c r="X101" i="45" s="1"/>
  <c r="M77" i="33" a="1"/>
  <c r="M77" i="33" s="1"/>
  <c r="E32" i="33" a="1"/>
  <c r="E32" i="33" s="1"/>
  <c r="P91" i="33" a="1"/>
  <c r="P91" i="33" s="1"/>
  <c r="P90" i="33" s="1"/>
  <c r="E19" i="44" a="1"/>
  <c r="E19" i="44" s="1"/>
  <c r="AK46" i="45" a="1"/>
  <c r="AK46" i="45" s="1"/>
  <c r="AQ38" i="44" a="1"/>
  <c r="AQ38" i="44" s="1"/>
  <c r="AJ38" i="44" a="1"/>
  <c r="AJ38" i="44" s="1"/>
  <c r="AK35" i="45" a="1"/>
  <c r="AK35" i="45" s="1"/>
  <c r="AK40" i="44" a="1"/>
  <c r="AK40" i="44" s="1"/>
  <c r="W16" i="45" a="1"/>
  <c r="W16" i="45" s="1"/>
  <c r="W15" i="45" s="1"/>
  <c r="AN104" i="33" a="1"/>
  <c r="AN104" i="33" s="1"/>
  <c r="AN20" i="33" a="1"/>
  <c r="AN20" i="33" s="1"/>
  <c r="AQ92" i="33" a="1"/>
  <c r="AQ92" i="33" s="1"/>
  <c r="C37" i="33" a="1"/>
  <c r="C37" i="33" s="1"/>
  <c r="G44" i="45" a="1"/>
  <c r="G44" i="45" s="1"/>
  <c r="G42" i="45" s="1"/>
  <c r="AH40" i="45" a="1"/>
  <c r="AH40" i="45" s="1"/>
  <c r="J29" i="45" a="1"/>
  <c r="J29" i="45" s="1"/>
  <c r="S74" i="45" a="1"/>
  <c r="S74" i="45" s="1"/>
  <c r="AB86" i="44" a="1"/>
  <c r="AB86" i="44" s="1"/>
  <c r="AN53" i="45" a="1"/>
  <c r="AN53" i="45" s="1"/>
  <c r="AG79" i="45" a="1"/>
  <c r="AG79" i="45" s="1"/>
  <c r="Y94" i="45" a="1"/>
  <c r="Y94" i="45" s="1"/>
  <c r="L38" i="45" a="1"/>
  <c r="L38" i="45" s="1"/>
  <c r="J23" i="45" a="1"/>
  <c r="J23" i="45" s="1"/>
  <c r="C49" i="33" a="1"/>
  <c r="C49" i="33" s="1"/>
  <c r="AH92" i="45" a="1"/>
  <c r="AH92" i="45" s="1"/>
  <c r="K76" i="45" a="1"/>
  <c r="K76" i="45" s="1"/>
  <c r="K75" i="45" s="1"/>
  <c r="H89" i="33" a="1"/>
  <c r="H89" i="33" s="1"/>
  <c r="C17" i="44" a="1"/>
  <c r="C17" i="44" s="1"/>
  <c r="I40" i="45" a="1"/>
  <c r="I40" i="45" s="1"/>
  <c r="I39" i="45" s="1"/>
  <c r="AC73" i="45" a="1"/>
  <c r="AC73" i="45" s="1"/>
  <c r="H101" i="33" a="1"/>
  <c r="H101" i="33" s="1"/>
  <c r="H99" i="33" s="1"/>
  <c r="N76" i="45" a="1"/>
  <c r="N76" i="45" s="1"/>
  <c r="AG62" i="44" a="1"/>
  <c r="AG62" i="44" s="1"/>
  <c r="AL92" i="33" a="1"/>
  <c r="AL92" i="33" s="1"/>
  <c r="K70" i="44" a="1"/>
  <c r="K70" i="44" s="1"/>
  <c r="F85" i="33" a="1"/>
  <c r="F85" i="33" s="1"/>
  <c r="AI98" i="45" a="1"/>
  <c r="AI98" i="45" s="1"/>
  <c r="J67" i="33" a="1"/>
  <c r="J67" i="33" s="1"/>
  <c r="AE68" i="33" a="1"/>
  <c r="AE68" i="33" s="1"/>
  <c r="AM92" i="33" a="1"/>
  <c r="AM92" i="33" s="1"/>
  <c r="AM20" i="33" a="1"/>
  <c r="AM20" i="33" s="1"/>
  <c r="N40" i="44" a="1"/>
  <c r="N40" i="44" s="1"/>
  <c r="AF52" i="33" a="1"/>
  <c r="AF52" i="33" s="1"/>
  <c r="L76" i="44" a="1"/>
  <c r="L76" i="44" s="1"/>
  <c r="AP62" i="44" a="1"/>
  <c r="AP62" i="44" s="1"/>
  <c r="W22" i="33" a="1"/>
  <c r="W22" i="33" s="1"/>
  <c r="P100" i="33" a="1"/>
  <c r="P100" i="33" s="1"/>
  <c r="O52" i="33" a="1"/>
  <c r="O52" i="33" s="1"/>
  <c r="AI17" i="45" a="1"/>
  <c r="AI17" i="45" s="1"/>
  <c r="C89" i="46" a="1"/>
  <c r="C89" i="46" s="1"/>
  <c r="M34" i="33" a="1"/>
  <c r="M34" i="33" s="1"/>
  <c r="AN70" i="33" a="1"/>
  <c r="AN70" i="33" s="1"/>
  <c r="AC56" i="44" a="1"/>
  <c r="AC56" i="44" s="1"/>
  <c r="Z80" i="45" a="1"/>
  <c r="Z80" i="45" s="1"/>
  <c r="AM17" i="44" a="1"/>
  <c r="AM17" i="44" s="1"/>
  <c r="F41" i="45" a="1"/>
  <c r="F41" i="45" s="1"/>
  <c r="Y83" i="33" a="1"/>
  <c r="Y83" i="33" s="1"/>
  <c r="O47" i="33" a="1"/>
  <c r="O47" i="33" s="1"/>
  <c r="F19" i="45" a="1"/>
  <c r="F19" i="45" s="1"/>
  <c r="F18" i="45" s="1"/>
  <c r="U59" i="45" a="1"/>
  <c r="U59" i="45" s="1"/>
  <c r="AN80" i="45" a="1"/>
  <c r="AN80" i="45" s="1"/>
  <c r="Q25" i="33" a="1"/>
  <c r="Q25" i="33" s="1"/>
  <c r="H88" i="44" a="1"/>
  <c r="H88" i="44" s="1"/>
  <c r="J73" i="44" a="1"/>
  <c r="J73" i="44" s="1"/>
  <c r="W46" i="33" a="1"/>
  <c r="W46" i="33" s="1"/>
  <c r="E23" i="33" a="1"/>
  <c r="E23" i="33" s="1"/>
  <c r="Y62" i="33" a="1"/>
  <c r="Y62" i="33" s="1"/>
  <c r="Y60" i="33" s="1"/>
  <c r="Z64" i="45" a="1"/>
  <c r="Z64" i="45" s="1"/>
  <c r="Z63" i="45" s="1"/>
  <c r="H55" i="33" a="1"/>
  <c r="H55" i="33" s="1"/>
  <c r="AA73" i="33" a="1"/>
  <c r="AA73" i="33" s="1"/>
  <c r="O17" i="45" a="1"/>
  <c r="O17" i="45" s="1"/>
  <c r="O15" i="45" s="1"/>
  <c r="AE44" i="33" a="1"/>
  <c r="AE44" i="33" s="1"/>
  <c r="G94" i="33" a="1"/>
  <c r="G94" i="33" s="1"/>
  <c r="F38" i="44" a="1"/>
  <c r="F38" i="44" s="1"/>
  <c r="AB11" i="44" a="1"/>
  <c r="AB11" i="44" s="1"/>
  <c r="O95" i="33" a="1"/>
  <c r="O95" i="33" s="1"/>
  <c r="C44" i="43" a="1"/>
  <c r="C44" i="43" s="1"/>
  <c r="O29" i="44" a="1"/>
  <c r="O29" i="44" s="1"/>
  <c r="O43" i="44" a="1"/>
  <c r="O43" i="44" s="1"/>
  <c r="M74" i="33" a="1"/>
  <c r="M74" i="33" s="1"/>
  <c r="Z86" i="44" a="1"/>
  <c r="Z86" i="44" s="1"/>
  <c r="AF97" i="33" a="1"/>
  <c r="AF97" i="33" s="1"/>
  <c r="AF96" i="33" s="1"/>
  <c r="AD100" i="45" a="1"/>
  <c r="AD100" i="45" s="1"/>
  <c r="AP98" i="33" a="1"/>
  <c r="AP98" i="33" s="1"/>
  <c r="U19" i="44" a="1"/>
  <c r="U19" i="44" s="1"/>
  <c r="AO89" i="45" a="1"/>
  <c r="AO89" i="45" s="1"/>
  <c r="J59" i="45" a="1"/>
  <c r="J59" i="45" s="1"/>
  <c r="C100" i="46" a="1"/>
  <c r="C100" i="46" s="1"/>
  <c r="E43" i="45" a="1"/>
  <c r="E43" i="45" s="1"/>
  <c r="E42" i="45" s="1"/>
  <c r="AP82" i="33" a="1"/>
  <c r="AP82" i="33" s="1"/>
  <c r="AP81" i="33" s="1"/>
  <c r="AG73" i="45" a="1"/>
  <c r="AG73" i="45" s="1"/>
  <c r="W19" i="44" a="1"/>
  <c r="W19" i="44" s="1"/>
  <c r="T104" i="33" a="1"/>
  <c r="T104" i="33" s="1"/>
  <c r="AN50" i="44" a="1"/>
  <c r="AN50" i="44" s="1"/>
  <c r="AF59" i="33" a="1"/>
  <c r="AF59" i="33" s="1"/>
  <c r="H16" i="45" a="1"/>
  <c r="H16" i="45" s="1"/>
  <c r="H15" i="45" s="1"/>
  <c r="Q37" i="45" a="1"/>
  <c r="Q37" i="45" s="1"/>
  <c r="AA16" i="44" a="1"/>
  <c r="AA16" i="44" s="1"/>
  <c r="M29" i="45" a="1"/>
  <c r="M29" i="45" s="1"/>
  <c r="K89" i="33" a="1"/>
  <c r="K89" i="33" s="1"/>
  <c r="C40" i="43" a="1"/>
  <c r="C40" i="43" s="1"/>
  <c r="P71" i="33" a="1"/>
  <c r="P71" i="33" s="1"/>
  <c r="N41" i="44" a="1"/>
  <c r="N41" i="44" s="1"/>
  <c r="S83" i="33" a="1"/>
  <c r="S83" i="33" s="1"/>
  <c r="M37" i="44" a="1"/>
  <c r="M37" i="44" s="1"/>
  <c r="M36" i="44" s="1"/>
  <c r="C103" i="33" a="1"/>
  <c r="C103" i="33" s="1"/>
  <c r="A103" i="33" s="1"/>
  <c r="AE47" i="45" a="1"/>
  <c r="AE47" i="45" s="1"/>
  <c r="G74" i="44" a="1"/>
  <c r="G74" i="44" s="1"/>
  <c r="AF34" i="44" a="1"/>
  <c r="AF34" i="44" s="1"/>
  <c r="AL19" i="45" a="1"/>
  <c r="AL19" i="45" s="1"/>
  <c r="L89" i="44" a="1"/>
  <c r="L89" i="44" s="1"/>
  <c r="AH47" i="44" a="1"/>
  <c r="AH47" i="44" s="1"/>
  <c r="AM23" i="45" a="1"/>
  <c r="AM23" i="45" s="1"/>
  <c r="R25" i="45" a="1"/>
  <c r="R25" i="45" s="1"/>
  <c r="U101" i="44" a="1"/>
  <c r="U101" i="44" s="1"/>
  <c r="AB62" i="45" a="1"/>
  <c r="AB62" i="45" s="1"/>
  <c r="AA79" i="33" a="1"/>
  <c r="AA79" i="33" s="1"/>
  <c r="Y31" i="33" a="1"/>
  <c r="Y31" i="33" s="1"/>
  <c r="Z83" i="44" a="1"/>
  <c r="Z83" i="44" s="1"/>
  <c r="X53" i="45" a="1"/>
  <c r="X53" i="45" s="1"/>
  <c r="AC43" i="45" a="1"/>
  <c r="AC43" i="45" s="1"/>
  <c r="E29" i="45" a="1"/>
  <c r="E29" i="45" s="1"/>
  <c r="AM103" i="33" a="1"/>
  <c r="AM103" i="33" s="1"/>
  <c r="AJ67" i="33" a="1"/>
  <c r="AJ67" i="33" s="1"/>
  <c r="P98" i="45" a="1"/>
  <c r="P98" i="45" s="1"/>
  <c r="M71" i="44" a="1"/>
  <c r="M71" i="44" s="1"/>
  <c r="T100" i="33" a="1"/>
  <c r="T100" i="33" s="1"/>
  <c r="C35" i="43" a="1"/>
  <c r="C35" i="43" s="1"/>
  <c r="AR80" i="44" a="1"/>
  <c r="AR80" i="44" s="1"/>
  <c r="AA79" i="45" a="1"/>
  <c r="AA79" i="45" s="1"/>
  <c r="AA78" i="45" s="1"/>
  <c r="S98" i="33" a="1"/>
  <c r="S98" i="33" s="1"/>
  <c r="S82" i="33" a="1"/>
  <c r="S82" i="33" s="1"/>
  <c r="L52" i="33" a="1"/>
  <c r="L52" i="33" s="1"/>
  <c r="Y65" i="33" a="1"/>
  <c r="Y65" i="33" s="1"/>
  <c r="C10" i="44" a="1"/>
  <c r="C10" i="44" s="1"/>
  <c r="P59" i="33" a="1"/>
  <c r="P59" i="33" s="1"/>
  <c r="AG25" i="33" a="1"/>
  <c r="AG25" i="33" s="1"/>
  <c r="AE101" i="45" a="1"/>
  <c r="AE101" i="45" s="1"/>
  <c r="W85" i="45" a="1"/>
  <c r="W85" i="45" s="1"/>
  <c r="E28" i="44" a="1"/>
  <c r="E28" i="44" s="1"/>
  <c r="F46" i="33" a="1"/>
  <c r="F46" i="33" s="1"/>
  <c r="T52" i="33" a="1"/>
  <c r="T52" i="33" s="1"/>
  <c r="AI89" i="44" a="1"/>
  <c r="AI89" i="44" s="1"/>
  <c r="AB73" i="45" a="1"/>
  <c r="AB73" i="45" s="1"/>
  <c r="C28" i="46" a="1"/>
  <c r="C28" i="46" s="1"/>
  <c r="I70" i="44" a="1"/>
  <c r="I70" i="44" s="1"/>
  <c r="J73" i="45" a="1"/>
  <c r="J73" i="45" s="1"/>
  <c r="J72" i="45" s="1"/>
  <c r="C76" i="42" a="1"/>
  <c r="C76" i="42" s="1"/>
  <c r="AB23" i="45" a="1"/>
  <c r="AB23" i="45" s="1"/>
  <c r="F44" i="45" a="1"/>
  <c r="F44" i="45" s="1"/>
  <c r="P23" i="45" a="1"/>
  <c r="P23" i="45" s="1"/>
  <c r="D11" i="33"/>
  <c r="F29" i="47"/>
  <c r="H11" i="41"/>
  <c r="D29" i="43"/>
  <c r="E29" i="46"/>
  <c r="E29" i="41"/>
  <c r="F29" i="43"/>
  <c r="H29" i="41"/>
  <c r="E11" i="41"/>
  <c r="F11" i="47"/>
  <c r="G11" i="47"/>
  <c r="E29" i="43"/>
  <c r="D11" i="47"/>
  <c r="G11" i="43"/>
  <c r="H29" i="43"/>
  <c r="D29" i="33"/>
  <c r="H11" i="46"/>
  <c r="D11" i="45"/>
  <c r="D11" i="41"/>
  <c r="E11" i="43"/>
  <c r="F29" i="41"/>
  <c r="D11" i="44"/>
  <c r="H11" i="43"/>
  <c r="F11" i="43"/>
  <c r="G29" i="47"/>
  <c r="D11" i="46"/>
  <c r="G29" i="41"/>
  <c r="E29" i="47"/>
  <c r="D29" i="44"/>
  <c r="H29" i="46"/>
  <c r="F29" i="46"/>
  <c r="D11" i="42"/>
  <c r="F11" i="41"/>
  <c r="G29" i="46"/>
  <c r="D11" i="43"/>
  <c r="F11" i="46"/>
  <c r="E11" i="46"/>
  <c r="H29" i="47"/>
  <c r="D29" i="42"/>
  <c r="D29" i="46"/>
  <c r="G11" i="46"/>
  <c r="D29" i="41"/>
  <c r="H11" i="47"/>
  <c r="G29" i="43"/>
  <c r="G11" i="41"/>
  <c r="D29" i="47"/>
  <c r="D29" i="45"/>
  <c r="E11" i="47"/>
  <c r="C29" i="33" a="1"/>
  <c r="C29" i="33" s="1"/>
  <c r="C29" i="45" a="1"/>
  <c r="C29" i="45" s="1"/>
  <c r="C29" i="42" a="1"/>
  <c r="C29" i="42" s="1"/>
  <c r="C29" i="47" a="1"/>
  <c r="C29" i="47" s="1"/>
  <c r="C29" i="44" a="1"/>
  <c r="C29" i="44" s="1"/>
  <c r="C29" i="41" a="1"/>
  <c r="C29" i="41" s="1"/>
  <c r="C29" i="46" a="1"/>
  <c r="C29" i="46" s="1"/>
  <c r="C29" i="43" a="1"/>
  <c r="C29" i="43" s="1"/>
  <c r="A28" i="43" s="1"/>
  <c r="C11" i="45" a="1"/>
  <c r="C11" i="45" s="1"/>
  <c r="C11" i="44" a="1"/>
  <c r="C11" i="44" s="1"/>
  <c r="C11" i="41" a="1"/>
  <c r="C11" i="41" s="1"/>
  <c r="C11" i="43" a="1"/>
  <c r="C11" i="43" s="1"/>
  <c r="C11" i="46" a="1"/>
  <c r="C11" i="46" s="1"/>
  <c r="C11" i="47" a="1"/>
  <c r="C11" i="47" s="1"/>
  <c r="C11" i="33" a="1"/>
  <c r="C11" i="33" s="1"/>
  <c r="C11" i="42" a="1"/>
  <c r="C11" i="42" s="1"/>
  <c r="X63" i="45" l="1"/>
  <c r="AA54" i="44"/>
  <c r="AQ21" i="45"/>
  <c r="AC30" i="45"/>
  <c r="F96" i="33"/>
  <c r="AJ81" i="33"/>
  <c r="F84" i="33"/>
  <c r="AN21" i="44"/>
  <c r="N27" i="45"/>
  <c r="K75" i="33"/>
  <c r="K69" i="44"/>
  <c r="AP15" i="45"/>
  <c r="AB30" i="33"/>
  <c r="Y9" i="45"/>
  <c r="J24" i="44"/>
  <c r="AO15" i="44"/>
  <c r="T102" i="45"/>
  <c r="AL63" i="44"/>
  <c r="S87" i="45"/>
  <c r="L102" i="44"/>
  <c r="Y33" i="45"/>
  <c r="E54" i="33"/>
  <c r="N96" i="44"/>
  <c r="AG93" i="45"/>
  <c r="W36" i="44"/>
  <c r="AQ33" i="45"/>
  <c r="L51" i="45"/>
  <c r="X9" i="33"/>
  <c r="X81" i="44"/>
  <c r="P102" i="45"/>
  <c r="AK60" i="45"/>
  <c r="AK27" i="33"/>
  <c r="AO96" i="45"/>
  <c r="M39" i="44"/>
  <c r="Q9" i="44"/>
  <c r="E45" i="33"/>
  <c r="U63" i="33"/>
  <c r="AH87" i="45"/>
  <c r="S48" i="44"/>
  <c r="AN48" i="45"/>
  <c r="AH33" i="45"/>
  <c r="AL51" i="33"/>
  <c r="AB75" i="33"/>
  <c r="O81" i="45"/>
  <c r="AI66" i="45"/>
  <c r="O15" i="44"/>
  <c r="R30" i="45"/>
  <c r="AF75" i="44"/>
  <c r="AD90" i="44"/>
  <c r="AF54" i="45"/>
  <c r="AH66" i="33"/>
  <c r="AC87" i="33"/>
  <c r="U60" i="45"/>
  <c r="AN24" i="45"/>
  <c r="E33" i="44"/>
  <c r="AE21" i="33"/>
  <c r="R57" i="45"/>
  <c r="Z54" i="45"/>
  <c r="Z21" i="33"/>
  <c r="AD99" i="33"/>
  <c r="Y102" i="33"/>
  <c r="W93" i="44"/>
  <c r="E9" i="33"/>
  <c r="R102" i="45"/>
  <c r="Z93" i="44"/>
  <c r="AC27" i="45"/>
  <c r="AA15" i="45"/>
  <c r="U24" i="44"/>
  <c r="Z45" i="44"/>
  <c r="L33" i="33"/>
  <c r="J9" i="44"/>
  <c r="AG45" i="33"/>
  <c r="AF96" i="45"/>
  <c r="L93" i="33"/>
  <c r="AL27" i="44"/>
  <c r="U63" i="45"/>
  <c r="K36" i="45"/>
  <c r="AC9" i="45"/>
  <c r="X96" i="44"/>
  <c r="L45" i="44"/>
  <c r="AK93" i="44"/>
  <c r="AD24" i="44"/>
  <c r="AE15" i="45"/>
  <c r="E63" i="33"/>
  <c r="O63" i="44"/>
  <c r="AK75" i="44"/>
  <c r="V30" i="44"/>
  <c r="T15" i="33"/>
  <c r="S18" i="45"/>
  <c r="V33" i="45"/>
  <c r="A91" i="45"/>
  <c r="I15" i="45"/>
  <c r="I63" i="45"/>
  <c r="A58" i="47"/>
  <c r="AP69" i="45"/>
  <c r="F81" i="45"/>
  <c r="AK57" i="44"/>
  <c r="AO102" i="45"/>
  <c r="AL87" i="45"/>
  <c r="AE45" i="33"/>
  <c r="P57" i="44"/>
  <c r="AI93" i="44"/>
  <c r="H72" i="45"/>
  <c r="A34" i="45"/>
  <c r="AN69" i="45"/>
  <c r="AC9" i="33"/>
  <c r="H18" i="44"/>
  <c r="A22" i="41"/>
  <c r="AC81" i="33"/>
  <c r="AQ42" i="45"/>
  <c r="U81" i="33"/>
  <c r="I48" i="45"/>
  <c r="W66" i="33"/>
  <c r="P84" i="45"/>
  <c r="AK36" i="33"/>
  <c r="F87" i="44"/>
  <c r="H51" i="44"/>
  <c r="W90" i="33"/>
  <c r="A34" i="44"/>
  <c r="AJ96" i="44"/>
  <c r="E84" i="44"/>
  <c r="F54" i="44"/>
  <c r="I78" i="44"/>
  <c r="G18" i="33"/>
  <c r="F39" i="44"/>
  <c r="K21" i="45"/>
  <c r="Y48" i="44"/>
  <c r="AK84" i="44"/>
  <c r="AR96" i="45"/>
  <c r="AH69" i="45"/>
  <c r="U93" i="45"/>
  <c r="M78" i="44"/>
  <c r="AO36" i="44"/>
  <c r="AA24" i="45"/>
  <c r="T18" i="44"/>
  <c r="P93" i="45"/>
  <c r="E33" i="45"/>
  <c r="E30" i="45"/>
  <c r="H48" i="45"/>
  <c r="AG33" i="45"/>
  <c r="AR63" i="45"/>
  <c r="F45" i="45"/>
  <c r="P75" i="45"/>
  <c r="AM30" i="33"/>
  <c r="U45" i="33"/>
  <c r="AC96" i="33"/>
  <c r="AE84" i="45"/>
  <c r="AD69" i="44"/>
  <c r="N24" i="33"/>
  <c r="AK51" i="33"/>
  <c r="AB27" i="44"/>
  <c r="H24" i="44"/>
  <c r="M18" i="44"/>
  <c r="A55" i="42"/>
  <c r="S45" i="44"/>
  <c r="H87" i="45"/>
  <c r="Q87" i="45"/>
  <c r="J30" i="44"/>
  <c r="H69" i="45"/>
  <c r="AO39" i="33"/>
  <c r="AL33" i="44"/>
  <c r="A52" i="33"/>
  <c r="X27" i="33"/>
  <c r="E90" i="44"/>
  <c r="AQ42" i="44"/>
  <c r="AQ66" i="44"/>
  <c r="AI81" i="45"/>
  <c r="T33" i="45"/>
  <c r="I75" i="45"/>
  <c r="A91" i="44"/>
  <c r="AD81" i="44"/>
  <c r="F72" i="33"/>
  <c r="A40" i="46"/>
  <c r="AG90" i="45"/>
  <c r="M30" i="45"/>
  <c r="E30" i="44"/>
  <c r="Y54" i="33"/>
  <c r="X9" i="45"/>
  <c r="AA87" i="44"/>
  <c r="N69" i="33"/>
  <c r="Y72" i="45"/>
  <c r="AB87" i="45"/>
  <c r="Y87" i="45"/>
  <c r="AL39" i="44"/>
  <c r="K78" i="45"/>
  <c r="AG75" i="33"/>
  <c r="H30" i="33"/>
  <c r="H36" i="45"/>
  <c r="AP21" i="45"/>
  <c r="X93" i="45"/>
  <c r="V54" i="44"/>
  <c r="AD9" i="45"/>
  <c r="AE90" i="33"/>
  <c r="P60" i="44"/>
  <c r="M60" i="44"/>
  <c r="AD72" i="33"/>
  <c r="X36" i="33"/>
  <c r="AI69" i="45"/>
  <c r="AB39" i="33"/>
  <c r="AJ96" i="33"/>
  <c r="P45" i="45"/>
  <c r="AE87" i="44"/>
  <c r="AF18" i="44"/>
  <c r="AO87" i="33"/>
  <c r="AM63" i="45"/>
  <c r="AG102" i="44"/>
  <c r="AR75" i="45"/>
  <c r="AE72" i="44"/>
  <c r="Y21" i="44"/>
  <c r="AR57" i="33"/>
  <c r="AQ102" i="45"/>
  <c r="I93" i="44"/>
  <c r="AQ42" i="33"/>
  <c r="AM102" i="44"/>
  <c r="I69" i="45"/>
  <c r="T24" i="33"/>
  <c r="X39" i="44"/>
  <c r="AP66" i="45"/>
  <c r="AK9" i="45"/>
  <c r="U54" i="33"/>
  <c r="AK54" i="44"/>
  <c r="E60" i="44"/>
  <c r="H78" i="33"/>
  <c r="AP45" i="45"/>
  <c r="G87" i="44"/>
  <c r="AA18" i="45"/>
  <c r="AO90" i="44"/>
  <c r="AJ78" i="44"/>
  <c r="V45" i="45"/>
  <c r="AA69" i="33"/>
  <c r="U75" i="44"/>
  <c r="A55" i="44"/>
  <c r="AB42" i="44"/>
  <c r="T69" i="33"/>
  <c r="AR42" i="45"/>
  <c r="K39" i="45"/>
  <c r="A76" i="43"/>
  <c r="K54" i="45"/>
  <c r="X102" i="44"/>
  <c r="T48" i="44"/>
  <c r="P54" i="45"/>
  <c r="Z15" i="33"/>
  <c r="S15" i="45"/>
  <c r="X66" i="45"/>
  <c r="AI18" i="33"/>
  <c r="Z69" i="44"/>
  <c r="AC72" i="45"/>
  <c r="AN69" i="33"/>
  <c r="H87" i="44"/>
  <c r="J72" i="44"/>
  <c r="T99" i="33"/>
  <c r="AB72" i="45"/>
  <c r="A40" i="42"/>
  <c r="AP42" i="33"/>
  <c r="Q39" i="33"/>
  <c r="AH18" i="44"/>
  <c r="AE75" i="33"/>
  <c r="K9" i="33"/>
  <c r="AH63" i="44"/>
  <c r="O69" i="45"/>
  <c r="AH96" i="45"/>
  <c r="J96" i="45"/>
  <c r="AP51" i="45"/>
  <c r="AQ45" i="45"/>
  <c r="U102" i="45"/>
  <c r="Q30" i="45"/>
  <c r="S90" i="45"/>
  <c r="AG69" i="45"/>
  <c r="A82" i="45"/>
  <c r="O51" i="45"/>
  <c r="S33" i="44"/>
  <c r="AK21" i="44"/>
  <c r="AJ33" i="44"/>
  <c r="AD39" i="44"/>
  <c r="N84" i="44"/>
  <c r="K87" i="44"/>
  <c r="X51" i="44"/>
  <c r="T78" i="44"/>
  <c r="AJ72" i="44"/>
  <c r="H72" i="44"/>
  <c r="K96" i="44"/>
  <c r="O96" i="44"/>
  <c r="E39" i="44"/>
  <c r="AC15" i="44"/>
  <c r="V18" i="44"/>
  <c r="AC21" i="44"/>
  <c r="M24" i="44"/>
  <c r="AA51" i="44"/>
  <c r="AB102" i="44"/>
  <c r="AP93" i="44"/>
  <c r="AP24" i="44"/>
  <c r="AP57" i="44"/>
  <c r="F66" i="44"/>
  <c r="W102" i="44"/>
  <c r="AI84" i="44"/>
  <c r="R90" i="44"/>
  <c r="N81" i="44"/>
  <c r="AE33" i="44"/>
  <c r="G51" i="44"/>
  <c r="AF78" i="44"/>
  <c r="A73" i="44"/>
  <c r="AA57" i="44"/>
  <c r="M87" i="33"/>
  <c r="AR48" i="33"/>
  <c r="L102" i="33"/>
  <c r="AQ69" i="33"/>
  <c r="A67" i="46"/>
  <c r="A66" i="46" s="1"/>
  <c r="J90" i="45"/>
  <c r="U42" i="33"/>
  <c r="A64" i="33"/>
  <c r="A65" i="33" s="1"/>
  <c r="M81" i="44"/>
  <c r="A52" i="43"/>
  <c r="A51" i="43" s="1"/>
  <c r="A37" i="43"/>
  <c r="A38" i="43" s="1"/>
  <c r="A16" i="43"/>
  <c r="A15" i="43" s="1"/>
  <c r="AE69" i="33"/>
  <c r="I69" i="44"/>
  <c r="AK39" i="44"/>
  <c r="AJ69" i="44"/>
  <c r="AK24" i="45"/>
  <c r="Q48" i="44"/>
  <c r="AN66" i="33"/>
  <c r="L81" i="33"/>
  <c r="AF54" i="33"/>
  <c r="AP51" i="33"/>
  <c r="AP66" i="44"/>
  <c r="AM27" i="33"/>
  <c r="K90" i="33"/>
  <c r="X33" i="45"/>
  <c r="U45" i="44"/>
  <c r="AP24" i="33"/>
  <c r="Z21" i="45"/>
  <c r="AN84" i="44"/>
  <c r="S99" i="45"/>
  <c r="G93" i="33"/>
  <c r="AK45" i="45"/>
  <c r="Q75" i="45"/>
  <c r="AH45" i="45"/>
  <c r="AB90" i="45"/>
  <c r="AN39" i="44"/>
  <c r="AN99" i="33"/>
  <c r="Q90" i="44"/>
  <c r="W36" i="33"/>
  <c r="AB21" i="44"/>
  <c r="AC66" i="33"/>
  <c r="AD15" i="45"/>
  <c r="AI63" i="33"/>
  <c r="Q21" i="44"/>
  <c r="AI33" i="45"/>
  <c r="I84" i="44"/>
  <c r="M60" i="33"/>
  <c r="AJ75" i="45"/>
  <c r="AO93" i="45"/>
  <c r="AM69" i="45"/>
  <c r="R69" i="45"/>
  <c r="X93" i="33"/>
  <c r="AG18" i="33"/>
  <c r="AM99" i="44"/>
  <c r="AF48" i="33"/>
  <c r="AG9" i="33"/>
  <c r="AL78" i="44"/>
  <c r="O69" i="33"/>
  <c r="AB30" i="45"/>
  <c r="AO33" i="33"/>
  <c r="K42" i="44"/>
  <c r="AC51" i="44"/>
  <c r="AB24" i="33"/>
  <c r="AP27" i="44"/>
  <c r="AC21" i="45"/>
  <c r="AJ60" i="44"/>
  <c r="AN66" i="44"/>
  <c r="AR54" i="33"/>
  <c r="AR21" i="44"/>
  <c r="AH42" i="45"/>
  <c r="AE75" i="44"/>
  <c r="AI66" i="44"/>
  <c r="M63" i="45"/>
  <c r="AE96" i="44"/>
  <c r="Z57" i="45"/>
  <c r="AE48" i="44"/>
  <c r="AQ60" i="33"/>
  <c r="L36" i="44"/>
  <c r="AQ99" i="45"/>
  <c r="V99" i="45"/>
  <c r="P84" i="44"/>
  <c r="AC84" i="45"/>
  <c r="O66" i="33"/>
  <c r="AN9" i="33"/>
  <c r="S69" i="33"/>
  <c r="AN72" i="33"/>
  <c r="Z51" i="44"/>
  <c r="AD30" i="33"/>
  <c r="AQ18" i="33"/>
  <c r="A64" i="41"/>
  <c r="A63" i="41" s="1"/>
  <c r="AP57" i="45"/>
  <c r="AL15" i="44"/>
  <c r="AF63" i="45"/>
  <c r="J39" i="33"/>
  <c r="E72" i="45"/>
  <c r="Q78" i="45"/>
  <c r="S72" i="33"/>
  <c r="N42" i="44"/>
  <c r="A46" i="44"/>
  <c r="A47" i="44" s="1"/>
  <c r="AF39" i="44"/>
  <c r="A31" i="44"/>
  <c r="A32" i="44" s="1"/>
  <c r="H48" i="33"/>
  <c r="T33" i="44"/>
  <c r="A49" i="44"/>
  <c r="A48" i="44" s="1"/>
  <c r="AC72" i="44"/>
  <c r="AF24" i="44"/>
  <c r="A94" i="45"/>
  <c r="A93" i="45" s="1"/>
  <c r="E66" i="44"/>
  <c r="AO96" i="33"/>
  <c r="A70" i="45"/>
  <c r="A69" i="45" s="1"/>
  <c r="N102" i="45"/>
  <c r="AK93" i="45"/>
  <c r="U42" i="45"/>
  <c r="E96" i="45"/>
  <c r="A43" i="41"/>
  <c r="A42" i="41" s="1"/>
  <c r="A61" i="42"/>
  <c r="A62" i="42" s="1"/>
  <c r="A43" i="42"/>
  <c r="A42" i="42" s="1"/>
  <c r="A76" i="42"/>
  <c r="A77" i="42" s="1"/>
  <c r="AN21" i="45"/>
  <c r="AC9" i="44"/>
  <c r="M75" i="45"/>
  <c r="P42" i="44"/>
  <c r="AJ27" i="33"/>
  <c r="Z30" i="45"/>
  <c r="J60" i="33"/>
  <c r="AD39" i="33"/>
  <c r="M42" i="44"/>
  <c r="AP51" i="44"/>
  <c r="V84" i="44"/>
  <c r="AL24" i="33"/>
  <c r="S66" i="45"/>
  <c r="AG81" i="33"/>
  <c r="H24" i="45"/>
  <c r="I9" i="33"/>
  <c r="P57" i="45"/>
  <c r="U78" i="33"/>
  <c r="I81" i="33"/>
  <c r="AI57" i="44"/>
  <c r="K99" i="45"/>
  <c r="AP102" i="45"/>
  <c r="N24" i="45"/>
  <c r="J84" i="45"/>
  <c r="K21" i="33"/>
  <c r="AD54" i="44"/>
  <c r="Y51" i="44"/>
  <c r="AP36" i="45"/>
  <c r="R27" i="44"/>
  <c r="G33" i="44"/>
  <c r="L33" i="44"/>
  <c r="AK42" i="44"/>
  <c r="AM39" i="33"/>
  <c r="X96" i="45"/>
  <c r="N57" i="45"/>
  <c r="AA60" i="44"/>
  <c r="AQ27" i="45"/>
  <c r="G45" i="44"/>
  <c r="G15" i="33"/>
  <c r="AI93" i="45"/>
  <c r="AA78" i="44"/>
  <c r="X57" i="33"/>
  <c r="AR24" i="33"/>
  <c r="AN18" i="45"/>
  <c r="P51" i="45"/>
  <c r="Y60" i="44"/>
  <c r="Y93" i="45"/>
  <c r="AM45" i="33"/>
  <c r="AF84" i="45"/>
  <c r="W93" i="45"/>
  <c r="AK87" i="45"/>
  <c r="V42" i="44"/>
  <c r="P51" i="33"/>
  <c r="Z42" i="33"/>
  <c r="G48" i="45"/>
  <c r="AK99" i="33"/>
  <c r="M90" i="33"/>
  <c r="K15" i="45"/>
  <c r="M78" i="33"/>
  <c r="R54" i="45"/>
  <c r="AG66" i="44"/>
  <c r="H21" i="33"/>
  <c r="W66" i="44"/>
  <c r="K24" i="33"/>
  <c r="N60" i="44"/>
  <c r="U48" i="44"/>
  <c r="AR78" i="33"/>
  <c r="U33" i="45"/>
  <c r="Z9" i="45"/>
  <c r="AK99" i="44"/>
  <c r="A19" i="41"/>
  <c r="A20" i="41" s="1"/>
  <c r="AH60" i="44"/>
  <c r="J81" i="44"/>
  <c r="J96" i="44"/>
  <c r="X102" i="45"/>
  <c r="AC78" i="44"/>
  <c r="AJ15" i="44"/>
  <c r="AF42" i="33"/>
  <c r="A16" i="33"/>
  <c r="A15" i="33" s="1"/>
  <c r="A28" i="47"/>
  <c r="A29" i="47" s="1"/>
  <c r="A28" i="45"/>
  <c r="A27" i="45" s="1"/>
  <c r="V18" i="45"/>
  <c r="AK66" i="44"/>
  <c r="T27" i="44"/>
  <c r="A28" i="42"/>
  <c r="A27" i="42" s="1"/>
  <c r="AI51" i="33"/>
  <c r="AC27" i="33"/>
  <c r="O30" i="33"/>
  <c r="T27" i="33"/>
  <c r="A22" i="33"/>
  <c r="A23" i="33" s="1"/>
  <c r="W21" i="33"/>
  <c r="AP69" i="33"/>
  <c r="F78" i="33"/>
  <c r="I18" i="45"/>
  <c r="V21" i="45"/>
  <c r="AO24" i="45"/>
  <c r="W99" i="44"/>
  <c r="W54" i="33"/>
  <c r="W39" i="45"/>
  <c r="AH18" i="33"/>
  <c r="Z42" i="44"/>
  <c r="Z27" i="44"/>
  <c r="P72" i="33"/>
  <c r="T90" i="33"/>
  <c r="A28" i="41"/>
  <c r="A29" i="41" s="1"/>
  <c r="AJ21" i="44"/>
  <c r="U99" i="45"/>
  <c r="M90" i="44"/>
  <c r="I36" i="45"/>
  <c r="AN90" i="45"/>
  <c r="L24" i="45"/>
  <c r="P81" i="45"/>
  <c r="K51" i="33"/>
  <c r="N75" i="45"/>
  <c r="AE93" i="45"/>
  <c r="AB15" i="33"/>
  <c r="AF30" i="45"/>
  <c r="N90" i="33"/>
  <c r="AE72" i="45"/>
  <c r="AM24" i="44"/>
  <c r="X51" i="33"/>
  <c r="AH39" i="45"/>
  <c r="Q30" i="44"/>
  <c r="AD81" i="45"/>
  <c r="Z78" i="44"/>
  <c r="AR30" i="45"/>
  <c r="AC15" i="33"/>
  <c r="F51" i="44"/>
  <c r="P54" i="33"/>
  <c r="O75" i="44"/>
  <c r="Y27" i="45"/>
  <c r="AL45" i="44"/>
  <c r="A28" i="44"/>
  <c r="A27" i="44" s="1"/>
  <c r="A94" i="46"/>
  <c r="A93" i="46" s="1"/>
  <c r="AE51" i="45"/>
  <c r="Z99" i="45"/>
  <c r="A85" i="45"/>
  <c r="A84" i="45" s="1"/>
  <c r="F60" i="45"/>
  <c r="Z93" i="45"/>
  <c r="T18" i="45"/>
  <c r="AA84" i="44"/>
  <c r="A67" i="44"/>
  <c r="A66" i="44" s="1"/>
  <c r="A52" i="44"/>
  <c r="A51" i="44" s="1"/>
  <c r="AD87" i="44"/>
  <c r="AG48" i="44"/>
  <c r="W18" i="44"/>
  <c r="AR69" i="45"/>
  <c r="R30" i="33"/>
  <c r="AJ93" i="44"/>
  <c r="AF39" i="33"/>
  <c r="AC99" i="44"/>
  <c r="AM33" i="44"/>
  <c r="R45" i="45"/>
  <c r="N69" i="44"/>
  <c r="AD60" i="45"/>
  <c r="AM78" i="33"/>
  <c r="P36" i="44"/>
  <c r="AJ27" i="44"/>
  <c r="Y63" i="44"/>
  <c r="G72" i="33"/>
  <c r="AK27" i="44"/>
  <c r="S96" i="44"/>
  <c r="AR57" i="45"/>
  <c r="K21" i="44"/>
  <c r="AJ24" i="44"/>
  <c r="AD99" i="44"/>
  <c r="A82" i="43"/>
  <c r="A83" i="43" s="1"/>
  <c r="M81" i="33"/>
  <c r="AB33" i="45"/>
  <c r="AQ81" i="44"/>
  <c r="W48" i="45"/>
  <c r="M93" i="45"/>
  <c r="G93" i="45"/>
  <c r="AG30" i="44"/>
  <c r="W84" i="33"/>
  <c r="U84" i="33"/>
  <c r="Z72" i="33"/>
  <c r="L99" i="33"/>
  <c r="A19" i="45"/>
  <c r="A18" i="45" s="1"/>
  <c r="K93" i="44"/>
  <c r="AG78" i="45"/>
  <c r="AF36" i="44"/>
  <c r="AG21" i="33"/>
  <c r="I30" i="45"/>
  <c r="W51" i="45"/>
  <c r="F24" i="33"/>
  <c r="G69" i="44"/>
  <c r="AI93" i="33"/>
  <c r="AC36" i="44"/>
  <c r="X81" i="45"/>
  <c r="N72" i="33"/>
  <c r="G36" i="44"/>
  <c r="N78" i="45"/>
  <c r="K24" i="45"/>
  <c r="U48" i="45"/>
  <c r="AJ63" i="33"/>
  <c r="Y78" i="33"/>
  <c r="AB48" i="33"/>
  <c r="AH84" i="45"/>
  <c r="A67" i="42"/>
  <c r="A68" i="42" s="1"/>
  <c r="A94" i="33"/>
  <c r="A93" i="33" s="1"/>
  <c r="AJ18" i="45"/>
  <c r="AP75" i="44"/>
  <c r="V15" i="33"/>
  <c r="A22" i="46"/>
  <c r="A21" i="46" s="1"/>
  <c r="A46" i="47"/>
  <c r="A45" i="47" s="1"/>
  <c r="Z9" i="33"/>
  <c r="AA33" i="33"/>
  <c r="AL9" i="33"/>
  <c r="F33" i="44"/>
  <c r="A79" i="42"/>
  <c r="A22" i="47"/>
  <c r="A23" i="47" s="1"/>
  <c r="K48" i="45"/>
  <c r="Q57" i="45"/>
  <c r="Z45" i="45"/>
  <c r="AA51" i="45"/>
  <c r="A22" i="45"/>
  <c r="A21" i="45" s="1"/>
  <c r="I87" i="45"/>
  <c r="E45" i="44"/>
  <c r="AO99" i="44"/>
  <c r="E21" i="44"/>
  <c r="A100" i="44"/>
  <c r="A101" i="44" s="1"/>
  <c r="AA9" i="44"/>
  <c r="AA96" i="44"/>
  <c r="O72" i="44"/>
  <c r="E75" i="44"/>
  <c r="AE30" i="44"/>
  <c r="AO54" i="44"/>
  <c r="P54" i="44"/>
  <c r="AG42" i="44"/>
  <c r="F45" i="44"/>
  <c r="A82" i="44"/>
  <c r="A81" i="44" s="1"/>
  <c r="AG33" i="44"/>
  <c r="Y42" i="44"/>
  <c r="AK33" i="44"/>
  <c r="X36" i="44"/>
  <c r="F99" i="44"/>
  <c r="Y84" i="44"/>
  <c r="A40" i="43"/>
  <c r="A39" i="43" s="1"/>
  <c r="A100" i="41"/>
  <c r="A101" i="41" s="1"/>
  <c r="R24" i="33"/>
  <c r="X33" i="33"/>
  <c r="E66" i="33"/>
  <c r="K39" i="33"/>
  <c r="AO51" i="33"/>
  <c r="A76" i="33"/>
  <c r="A75" i="33" s="1"/>
  <c r="A97" i="33"/>
  <c r="A98" i="33" s="1"/>
  <c r="AE93" i="33"/>
  <c r="AF87" i="33"/>
  <c r="A85" i="33"/>
  <c r="A86" i="33" s="1"/>
  <c r="A79" i="33"/>
  <c r="A78" i="33" s="1"/>
  <c r="M72" i="33"/>
  <c r="AM72" i="33"/>
  <c r="AI72" i="33"/>
  <c r="AO72" i="33"/>
  <c r="R72" i="33"/>
  <c r="AH54" i="33"/>
  <c r="AK54" i="33"/>
  <c r="AD54" i="33"/>
  <c r="AI54" i="33"/>
  <c r="AP45" i="33"/>
  <c r="AL45" i="33"/>
  <c r="K45" i="33"/>
  <c r="AB45" i="33"/>
  <c r="Q24" i="33"/>
  <c r="AN81" i="33"/>
  <c r="AA102" i="33"/>
  <c r="E51" i="33"/>
  <c r="E93" i="33"/>
  <c r="AQ57" i="33"/>
  <c r="AD21" i="33"/>
  <c r="L42" i="33"/>
  <c r="P39" i="33"/>
  <c r="A25" i="33"/>
  <c r="A24" i="33" s="1"/>
  <c r="AK45" i="33"/>
  <c r="Z63" i="33"/>
  <c r="AB21" i="33"/>
  <c r="X18" i="33"/>
  <c r="Y39" i="33"/>
  <c r="AF30" i="33"/>
  <c r="AR87" i="33"/>
  <c r="S39" i="33"/>
  <c r="O63" i="33"/>
  <c r="AD33" i="33"/>
  <c r="O75" i="33"/>
  <c r="A55" i="33"/>
  <c r="A56" i="33" s="1"/>
  <c r="A40" i="33"/>
  <c r="A41" i="33" s="1"/>
  <c r="AL48" i="33"/>
  <c r="AE81" i="33"/>
  <c r="AI57" i="33"/>
  <c r="AP66" i="33"/>
  <c r="E39" i="33"/>
  <c r="X81" i="33"/>
  <c r="A34" i="33"/>
  <c r="A33" i="33" s="1"/>
  <c r="AK93" i="33"/>
  <c r="E87" i="33"/>
  <c r="AP18" i="33"/>
  <c r="F63" i="33"/>
  <c r="AA63" i="33"/>
  <c r="O96" i="33"/>
  <c r="I72" i="33"/>
  <c r="AE63" i="33"/>
  <c r="AB87" i="33"/>
  <c r="AG102" i="33"/>
  <c r="AG87" i="33"/>
  <c r="A91" i="33"/>
  <c r="A90" i="33" s="1"/>
  <c r="T66" i="33"/>
  <c r="J84" i="33"/>
  <c r="S51" i="33"/>
  <c r="W45" i="33"/>
  <c r="AE36" i="33"/>
  <c r="A28" i="33"/>
  <c r="A27" i="33" s="1"/>
  <c r="AQ24" i="33"/>
  <c r="A70" i="42"/>
  <c r="A69" i="42" s="1"/>
  <c r="A52" i="42"/>
  <c r="A53" i="42" s="1"/>
  <c r="A55" i="41"/>
  <c r="A54" i="41" s="1"/>
  <c r="AL75" i="45"/>
  <c r="A22" i="43"/>
  <c r="A23" i="43" s="1"/>
  <c r="AR81" i="33"/>
  <c r="AE78" i="44"/>
  <c r="E48" i="45"/>
  <c r="AC48" i="33"/>
  <c r="H54" i="44"/>
  <c r="Z9" i="44"/>
  <c r="AL30" i="33"/>
  <c r="AG99" i="44"/>
  <c r="O18" i="33"/>
  <c r="AJ39" i="45"/>
  <c r="M72" i="44"/>
  <c r="J63" i="33"/>
  <c r="AC90" i="45"/>
  <c r="AD9" i="33"/>
  <c r="G66" i="45"/>
  <c r="R36" i="45"/>
  <c r="H81" i="33"/>
  <c r="AD63" i="33"/>
  <c r="X63" i="44"/>
  <c r="AL21" i="44"/>
  <c r="I96" i="33"/>
  <c r="AB15" i="45"/>
  <c r="U36" i="45"/>
  <c r="H51" i="45"/>
  <c r="S27" i="45"/>
  <c r="AC39" i="45"/>
  <c r="AA81" i="33"/>
  <c r="AF9" i="44"/>
  <c r="AN27" i="45"/>
  <c r="V51" i="33"/>
  <c r="N36" i="33"/>
  <c r="AM48" i="45"/>
  <c r="AQ15" i="33"/>
  <c r="T78" i="33"/>
  <c r="I51" i="33"/>
  <c r="AG15" i="44"/>
  <c r="AF51" i="45"/>
  <c r="H24" i="33"/>
  <c r="AM75" i="45"/>
  <c r="AF87" i="44"/>
  <c r="P78" i="45"/>
  <c r="AP48" i="45"/>
  <c r="K57" i="45"/>
  <c r="AA72" i="33"/>
  <c r="U24" i="33"/>
  <c r="AL87" i="33"/>
  <c r="AF24" i="33"/>
  <c r="L54" i="44"/>
  <c r="AN78" i="44"/>
  <c r="S69" i="44"/>
  <c r="R48" i="44"/>
  <c r="G102" i="45"/>
  <c r="M15" i="33"/>
  <c r="AI102" i="45"/>
  <c r="S60" i="33"/>
  <c r="AG33" i="33"/>
  <c r="AQ15" i="45"/>
  <c r="Y87" i="44"/>
  <c r="AE42" i="44"/>
  <c r="I21" i="33"/>
  <c r="Q42" i="33"/>
  <c r="Q21" i="45"/>
  <c r="AG93" i="33"/>
  <c r="T66" i="44"/>
  <c r="M9" i="44"/>
  <c r="AP45" i="44"/>
  <c r="L57" i="44"/>
  <c r="R66" i="33"/>
  <c r="AN15" i="44"/>
  <c r="AH63" i="45"/>
  <c r="N30" i="44"/>
  <c r="K78" i="44"/>
  <c r="AO96" i="44"/>
  <c r="Y36" i="45"/>
  <c r="AD69" i="45"/>
  <c r="AA21" i="44"/>
  <c r="L81" i="45"/>
  <c r="K102" i="45"/>
  <c r="H27" i="45"/>
  <c r="AR90" i="45"/>
  <c r="AI63" i="45"/>
  <c r="Z66" i="33"/>
  <c r="S81" i="33"/>
  <c r="AK84" i="33"/>
  <c r="AC48" i="44"/>
  <c r="V69" i="33"/>
  <c r="M93" i="44"/>
  <c r="AJ75" i="44"/>
  <c r="W81" i="45"/>
  <c r="AR15" i="44"/>
  <c r="T87" i="45"/>
  <c r="AI27" i="44"/>
  <c r="H45" i="33"/>
  <c r="AG36" i="44"/>
  <c r="S39" i="44"/>
  <c r="AC33" i="45"/>
  <c r="AE36" i="44"/>
  <c r="AK66" i="45"/>
  <c r="L21" i="44"/>
  <c r="S48" i="45"/>
  <c r="R96" i="44"/>
  <c r="AF69" i="33"/>
  <c r="N99" i="45"/>
  <c r="O81" i="44"/>
  <c r="J57" i="44"/>
  <c r="I75" i="33"/>
  <c r="AC24" i="44"/>
  <c r="AQ99" i="44"/>
  <c r="N63" i="44"/>
  <c r="H60" i="45"/>
  <c r="T15" i="45"/>
  <c r="K51" i="45"/>
  <c r="AB84" i="33"/>
  <c r="R51" i="33"/>
  <c r="AR63" i="33"/>
  <c r="AL42" i="44"/>
  <c r="AM24" i="45"/>
  <c r="T51" i="44"/>
  <c r="R48" i="33"/>
  <c r="J51" i="44"/>
  <c r="K45" i="44"/>
  <c r="AA87" i="45"/>
  <c r="G15" i="44"/>
  <c r="AG96" i="33"/>
  <c r="J93" i="45"/>
  <c r="AH102" i="44"/>
  <c r="X21" i="44"/>
  <c r="AJ69" i="33"/>
  <c r="AD24" i="33"/>
  <c r="K69" i="45"/>
  <c r="AR60" i="44"/>
  <c r="K27" i="44"/>
  <c r="S66" i="44"/>
  <c r="U18" i="44"/>
  <c r="R39" i="33"/>
  <c r="AO81" i="33"/>
  <c r="AK69" i="45"/>
  <c r="H21" i="45"/>
  <c r="AR30" i="33"/>
  <c r="Z57" i="33"/>
  <c r="J66" i="45"/>
  <c r="X96" i="33"/>
  <c r="U15" i="44"/>
  <c r="AQ51" i="33"/>
  <c r="AJ33" i="45"/>
  <c r="AF30" i="44"/>
  <c r="P36" i="45"/>
  <c r="AI39" i="33"/>
  <c r="X72" i="45"/>
  <c r="R9" i="44"/>
  <c r="AA90" i="44"/>
  <c r="T21" i="33"/>
  <c r="AL24" i="45"/>
  <c r="G30" i="33"/>
  <c r="AG72" i="33"/>
  <c r="AR87" i="44"/>
  <c r="AO45" i="45"/>
  <c r="J18" i="45"/>
  <c r="AQ33" i="44"/>
  <c r="AO30" i="44"/>
  <c r="Y9" i="33"/>
  <c r="V30" i="33"/>
  <c r="M30" i="33"/>
  <c r="O30" i="44"/>
  <c r="AK18" i="44"/>
  <c r="X30" i="33"/>
  <c r="F45" i="33"/>
  <c r="AJ66" i="33"/>
  <c r="AG72" i="45"/>
  <c r="N33" i="33"/>
  <c r="I33" i="33"/>
  <c r="P48" i="44"/>
  <c r="AJ87" i="33"/>
  <c r="AJ69" i="45"/>
  <c r="AH24" i="33"/>
  <c r="N21" i="33"/>
  <c r="AF27" i="45"/>
  <c r="Q90" i="33"/>
  <c r="AK51" i="44"/>
  <c r="AN99" i="45"/>
  <c r="K33" i="44"/>
  <c r="AB27" i="45"/>
  <c r="AN84" i="33"/>
  <c r="M42" i="33"/>
  <c r="G90" i="45"/>
  <c r="X93" i="44"/>
  <c r="T21" i="45"/>
  <c r="Q33" i="45"/>
  <c r="P78" i="33"/>
  <c r="J78" i="45"/>
  <c r="T69" i="45"/>
  <c r="R15" i="45"/>
  <c r="Z72" i="44"/>
  <c r="I54" i="44"/>
  <c r="L57" i="45"/>
  <c r="J18" i="33"/>
  <c r="H39" i="44"/>
  <c r="AQ84" i="45"/>
  <c r="AH48" i="33"/>
  <c r="AQ87" i="45"/>
  <c r="Z36" i="33"/>
  <c r="Z39" i="33"/>
  <c r="S93" i="45"/>
  <c r="T81" i="44"/>
  <c r="AB51" i="33"/>
  <c r="AL39" i="33"/>
  <c r="X15" i="44"/>
  <c r="M9" i="45"/>
  <c r="F72" i="44"/>
  <c r="R99" i="45"/>
  <c r="AF42" i="45"/>
  <c r="P27" i="33"/>
  <c r="V87" i="44"/>
  <c r="X69" i="45"/>
  <c r="S9" i="45"/>
  <c r="P96" i="33"/>
  <c r="K63" i="45"/>
  <c r="AE66" i="44"/>
  <c r="F51" i="33"/>
  <c r="T99" i="45"/>
  <c r="Q18" i="33"/>
  <c r="AC54" i="33"/>
  <c r="AE60" i="33"/>
  <c r="Z87" i="45"/>
  <c r="AQ24" i="45"/>
  <c r="AA18" i="44"/>
  <c r="T39" i="44"/>
  <c r="H84" i="33"/>
  <c r="O18" i="44"/>
  <c r="X72" i="33"/>
  <c r="AK18" i="33"/>
  <c r="AH39" i="33"/>
  <c r="L30" i="45"/>
  <c r="O99" i="44"/>
  <c r="M21" i="33"/>
  <c r="AO90" i="45"/>
  <c r="O33" i="33"/>
  <c r="AA51" i="33"/>
  <c r="N18" i="45"/>
  <c r="AJ24" i="33"/>
  <c r="O27" i="45"/>
  <c r="R93" i="33"/>
  <c r="U93" i="33"/>
  <c r="Q72" i="45"/>
  <c r="AQ21" i="33"/>
  <c r="F33" i="33"/>
  <c r="AR81" i="44"/>
  <c r="N45" i="33"/>
  <c r="AP75" i="33"/>
  <c r="F48" i="45"/>
  <c r="AG42" i="33"/>
  <c r="P102" i="44"/>
  <c r="AC39" i="44"/>
  <c r="S21" i="33"/>
  <c r="G60" i="44"/>
  <c r="AI69" i="44"/>
  <c r="AI18" i="45"/>
  <c r="L60" i="33"/>
  <c r="W30" i="45"/>
  <c r="X39" i="33"/>
  <c r="U54" i="44"/>
  <c r="P60" i="33"/>
  <c r="U81" i="45"/>
  <c r="AF84" i="44"/>
  <c r="AM24" i="33"/>
  <c r="AG87" i="44"/>
  <c r="AN30" i="33"/>
  <c r="AM96" i="45"/>
  <c r="AM21" i="44"/>
  <c r="T33" i="33"/>
  <c r="T102" i="44"/>
  <c r="AG30" i="33"/>
  <c r="AD84" i="44"/>
  <c r="AK42" i="45"/>
  <c r="N33" i="44"/>
  <c r="AI45" i="45"/>
  <c r="AE42" i="45"/>
  <c r="AR66" i="45"/>
  <c r="T87" i="44"/>
  <c r="AB96" i="45"/>
  <c r="AG60" i="33"/>
  <c r="AI15" i="44"/>
  <c r="I27" i="45"/>
  <c r="AC69" i="33"/>
  <c r="AG48" i="33"/>
  <c r="AR72" i="33"/>
  <c r="U30" i="45"/>
  <c r="AG90" i="44"/>
  <c r="AE9" i="45"/>
  <c r="AJ96" i="45"/>
  <c r="U39" i="33"/>
  <c r="AM27" i="44"/>
  <c r="K33" i="33"/>
  <c r="I48" i="33"/>
  <c r="H93" i="45"/>
  <c r="AR30" i="44"/>
  <c r="AQ9" i="44"/>
  <c r="AF63" i="44"/>
  <c r="AR57" i="44"/>
  <c r="H57" i="33"/>
  <c r="Q60" i="45"/>
  <c r="V90" i="45"/>
  <c r="AE27" i="44"/>
  <c r="J9" i="33"/>
  <c r="U66" i="33"/>
  <c r="S102" i="44"/>
  <c r="O57" i="45"/>
  <c r="Y48" i="33"/>
  <c r="P81" i="44"/>
  <c r="AR96" i="44"/>
  <c r="AL66" i="45"/>
  <c r="R27" i="45"/>
  <c r="AD27" i="45"/>
  <c r="Z42" i="45"/>
  <c r="AE33" i="33"/>
  <c r="AR60" i="33"/>
  <c r="L39" i="44"/>
  <c r="T36" i="44"/>
  <c r="AN90" i="44"/>
  <c r="H30" i="44"/>
  <c r="AO9" i="44"/>
  <c r="AH102" i="45"/>
  <c r="AH36" i="33"/>
  <c r="AD21" i="44"/>
  <c r="AA75" i="33"/>
  <c r="AL102" i="45"/>
  <c r="J78" i="33"/>
  <c r="Q66" i="44"/>
  <c r="M33" i="45"/>
  <c r="Q36" i="33"/>
  <c r="AO78" i="33"/>
  <c r="AF54" i="44"/>
  <c r="I78" i="45"/>
  <c r="AP30" i="45"/>
  <c r="AL72" i="33"/>
  <c r="L30" i="44"/>
  <c r="AA36" i="33"/>
  <c r="AE42" i="33"/>
  <c r="M33" i="33"/>
  <c r="N84" i="33"/>
  <c r="AF81" i="45"/>
  <c r="AJ18" i="44"/>
  <c r="X42" i="45"/>
  <c r="R57" i="44"/>
  <c r="AJ21" i="45"/>
  <c r="Z18" i="33"/>
  <c r="AG66" i="45"/>
  <c r="U9" i="45"/>
  <c r="R54" i="44"/>
  <c r="AB93" i="44"/>
  <c r="AA81" i="45"/>
  <c r="AQ63" i="33"/>
  <c r="J48" i="45"/>
  <c r="U9" i="33"/>
  <c r="L84" i="45"/>
  <c r="AM90" i="44"/>
  <c r="AR18" i="45"/>
  <c r="R24" i="45"/>
  <c r="AA15" i="44"/>
  <c r="AE15" i="44"/>
  <c r="AJ84" i="45"/>
  <c r="AK60" i="44"/>
  <c r="AJ9" i="44"/>
  <c r="P33" i="44"/>
  <c r="AJ93" i="33"/>
  <c r="AH78" i="45"/>
  <c r="P75" i="33"/>
  <c r="AI45" i="33"/>
  <c r="Q48" i="33"/>
  <c r="AN63" i="44"/>
  <c r="O87" i="45"/>
  <c r="AQ81" i="45"/>
  <c r="Q54" i="44"/>
  <c r="AO72" i="44"/>
  <c r="AQ9" i="45"/>
  <c r="AH9" i="45"/>
  <c r="Q96" i="45"/>
  <c r="AI15" i="33"/>
  <c r="K57" i="33"/>
  <c r="L81" i="44"/>
  <c r="H45" i="44"/>
  <c r="V87" i="33"/>
  <c r="I18" i="44"/>
  <c r="N102" i="33"/>
  <c r="S93" i="44"/>
  <c r="S75" i="33"/>
  <c r="AR27" i="44"/>
  <c r="N75" i="33"/>
  <c r="W90" i="45"/>
  <c r="AA21" i="33"/>
  <c r="AM48" i="33"/>
  <c r="Q60" i="44"/>
  <c r="F66" i="33"/>
  <c r="AI9" i="44"/>
  <c r="J30" i="33"/>
  <c r="T96" i="33"/>
  <c r="R93" i="44"/>
  <c r="H36" i="33"/>
  <c r="AF72" i="45"/>
  <c r="AP102" i="33"/>
  <c r="G39" i="33"/>
  <c r="R45" i="33"/>
  <c r="L9" i="45"/>
  <c r="AI27" i="33"/>
  <c r="H75" i="45"/>
  <c r="Q15" i="33"/>
  <c r="J42" i="45"/>
  <c r="AM102" i="33"/>
  <c r="AQ96" i="33"/>
  <c r="P72" i="44"/>
  <c r="J102" i="33"/>
  <c r="AE54" i="45"/>
  <c r="AH87" i="33"/>
  <c r="AG45" i="45"/>
  <c r="AN96" i="33"/>
  <c r="X99" i="33"/>
  <c r="K99" i="44"/>
  <c r="Q78" i="44"/>
  <c r="N48" i="33"/>
  <c r="F51" i="45"/>
  <c r="R21" i="44"/>
  <c r="O93" i="44"/>
  <c r="G48" i="33"/>
  <c r="X72" i="44"/>
  <c r="J36" i="45"/>
  <c r="G102" i="33"/>
  <c r="H78" i="45"/>
  <c r="AJ102" i="44"/>
  <c r="T75" i="45"/>
  <c r="AK33" i="33"/>
  <c r="AN9" i="45"/>
  <c r="AM66" i="33"/>
  <c r="U75" i="45"/>
  <c r="X99" i="44"/>
  <c r="Q54" i="45"/>
  <c r="AR33" i="45"/>
  <c r="AM27" i="45"/>
  <c r="AJ33" i="33"/>
  <c r="I42" i="45"/>
  <c r="N24" i="44"/>
  <c r="AR84" i="33"/>
  <c r="N15" i="33"/>
  <c r="T102" i="33"/>
  <c r="AC27" i="44"/>
  <c r="AL60" i="45"/>
  <c r="T81" i="33"/>
  <c r="AN9" i="44"/>
  <c r="U66" i="44"/>
  <c r="P30" i="33"/>
  <c r="AI81" i="33"/>
  <c r="Y96" i="44"/>
  <c r="AI60" i="33"/>
  <c r="AG66" i="33"/>
  <c r="N63" i="33"/>
  <c r="O102" i="33"/>
  <c r="L87" i="33"/>
  <c r="G69" i="33"/>
  <c r="AG81" i="44"/>
  <c r="AP93" i="33"/>
  <c r="G60" i="45"/>
  <c r="J87" i="33"/>
  <c r="AA96" i="45"/>
  <c r="P18" i="44"/>
  <c r="AB18" i="33"/>
  <c r="AH78" i="44"/>
  <c r="AH24" i="44"/>
  <c r="AL69" i="44"/>
  <c r="AK75" i="33"/>
  <c r="M36" i="45"/>
  <c r="AN15" i="33"/>
  <c r="Z60" i="44"/>
  <c r="AJ15" i="33"/>
  <c r="AC84" i="44"/>
  <c r="AA42" i="45"/>
  <c r="AE72" i="33"/>
  <c r="L99" i="45"/>
  <c r="AG27" i="45"/>
  <c r="W15" i="44"/>
  <c r="AC48" i="45"/>
  <c r="AK87" i="33"/>
  <c r="X30" i="44"/>
  <c r="AN42" i="44"/>
  <c r="T69" i="44"/>
  <c r="AE18" i="44"/>
  <c r="AR69" i="33"/>
  <c r="AA36" i="44"/>
  <c r="J66" i="44"/>
  <c r="P27" i="45"/>
  <c r="AG39" i="44"/>
  <c r="O57" i="33"/>
  <c r="J21" i="44"/>
  <c r="AI39" i="44"/>
  <c r="AB36" i="44"/>
  <c r="K72" i="44"/>
  <c r="T54" i="44"/>
  <c r="F99" i="33"/>
  <c r="AD9" i="44"/>
  <c r="AC93" i="44"/>
  <c r="AF90" i="45"/>
  <c r="AO66" i="33"/>
  <c r="T51" i="33"/>
  <c r="AH72" i="33"/>
  <c r="AD87" i="45"/>
  <c r="AH9" i="33"/>
  <c r="AJ24" i="45"/>
  <c r="R99" i="44"/>
  <c r="AR99" i="33"/>
  <c r="AH18" i="45"/>
  <c r="Q102" i="44"/>
  <c r="Y81" i="45"/>
  <c r="O90" i="44"/>
  <c r="AN72" i="45"/>
  <c r="E18" i="33"/>
  <c r="W90" i="44"/>
  <c r="AA54" i="33"/>
  <c r="G48" i="44"/>
  <c r="Z93" i="33"/>
  <c r="I42" i="33"/>
  <c r="V48" i="45"/>
  <c r="AG84" i="45"/>
  <c r="R78" i="44"/>
  <c r="E63" i="44"/>
  <c r="AR78" i="45"/>
  <c r="AK48" i="45"/>
  <c r="Y66" i="33"/>
  <c r="AF45" i="33"/>
  <c r="AR72" i="45"/>
  <c r="A55" i="45"/>
  <c r="A56" i="45" s="1"/>
  <c r="U78" i="44"/>
  <c r="V63" i="44"/>
  <c r="AA63" i="44"/>
  <c r="AP84" i="44"/>
  <c r="L69" i="44"/>
  <c r="U51" i="33"/>
  <c r="P18" i="33"/>
  <c r="O42" i="44"/>
  <c r="O51" i="33"/>
  <c r="O75" i="45"/>
  <c r="AF93" i="44"/>
  <c r="T81" i="45"/>
  <c r="N102" i="44"/>
  <c r="G54" i="45"/>
  <c r="E36" i="44"/>
  <c r="F27" i="33"/>
  <c r="X66" i="33"/>
  <c r="AB69" i="33"/>
  <c r="AG57" i="45"/>
  <c r="M63" i="44"/>
  <c r="AO15" i="33"/>
  <c r="M30" i="44"/>
  <c r="X90" i="45"/>
  <c r="A16" i="46"/>
  <c r="A15" i="46" s="1"/>
  <c r="AF99" i="45"/>
  <c r="F30" i="45"/>
  <c r="AN42" i="45"/>
  <c r="AC81" i="44"/>
  <c r="AJ54" i="33"/>
  <c r="AG63" i="45"/>
  <c r="X45" i="45"/>
  <c r="S75" i="45"/>
  <c r="Y24" i="45"/>
  <c r="AG24" i="33"/>
  <c r="AI42" i="45"/>
  <c r="AN99" i="44"/>
  <c r="E15" i="33"/>
  <c r="W33" i="45"/>
  <c r="AJ102" i="33"/>
  <c r="AA60" i="45"/>
  <c r="S30" i="44"/>
  <c r="L15" i="33"/>
  <c r="N96" i="33"/>
  <c r="AN81" i="45"/>
  <c r="AD102" i="44"/>
  <c r="O39" i="45"/>
  <c r="Z87" i="44"/>
  <c r="AN93" i="44"/>
  <c r="A73" i="43"/>
  <c r="A72" i="43" s="1"/>
  <c r="Q99" i="44"/>
  <c r="W63" i="44"/>
  <c r="Z30" i="44"/>
  <c r="A97" i="46"/>
  <c r="A98" i="46" s="1"/>
  <c r="E27" i="44"/>
  <c r="L75" i="44"/>
  <c r="AQ51" i="45"/>
  <c r="AH42" i="33"/>
  <c r="O60" i="44"/>
  <c r="AJ15" i="45"/>
  <c r="V18" i="33"/>
  <c r="AR15" i="45"/>
  <c r="AE51" i="44"/>
  <c r="AL72" i="45"/>
  <c r="I63" i="33"/>
  <c r="I21" i="44"/>
  <c r="AQ87" i="33"/>
  <c r="U102" i="33"/>
  <c r="M9" i="33"/>
  <c r="AF102" i="45"/>
  <c r="S45" i="33"/>
  <c r="I30" i="44"/>
  <c r="N66" i="44"/>
  <c r="S18" i="44"/>
  <c r="AR93" i="45"/>
  <c r="AQ87" i="44"/>
  <c r="X60" i="44"/>
  <c r="H15" i="33"/>
  <c r="AR24" i="44"/>
  <c r="L39" i="45"/>
  <c r="K15" i="33"/>
  <c r="M69" i="45"/>
  <c r="O9" i="45"/>
  <c r="J75" i="33"/>
  <c r="AH54" i="44"/>
  <c r="AH81" i="44"/>
  <c r="AD99" i="45"/>
  <c r="H39" i="45"/>
  <c r="G75" i="33"/>
  <c r="F69" i="33"/>
  <c r="AF42" i="44"/>
  <c r="AG96" i="45"/>
  <c r="AB81" i="33"/>
  <c r="L63" i="33"/>
  <c r="N63" i="45"/>
  <c r="AE69" i="44"/>
  <c r="T30" i="44"/>
  <c r="AD93" i="33"/>
  <c r="AQ102" i="44"/>
  <c r="K42" i="45"/>
  <c r="AD96" i="45"/>
  <c r="G96" i="45"/>
  <c r="G45" i="45"/>
  <c r="AB63" i="45"/>
  <c r="W69" i="44"/>
  <c r="N81" i="33"/>
  <c r="AI99" i="45"/>
  <c r="Q63" i="33"/>
  <c r="AC45" i="44"/>
  <c r="L78" i="33"/>
  <c r="AH48" i="45"/>
  <c r="AD27" i="33"/>
  <c r="N48" i="44"/>
  <c r="AH39" i="44"/>
  <c r="AC75" i="45"/>
  <c r="AN93" i="45"/>
  <c r="U90" i="45"/>
  <c r="O54" i="33"/>
  <c r="AR15" i="33"/>
  <c r="AD84" i="45"/>
  <c r="O102" i="44"/>
  <c r="O78" i="44"/>
  <c r="AO63" i="45"/>
  <c r="AC60" i="44"/>
  <c r="P99" i="33"/>
  <c r="AA48" i="33"/>
  <c r="AJ39" i="33"/>
  <c r="V39" i="44"/>
  <c r="X30" i="45"/>
  <c r="AM36" i="44"/>
  <c r="I66" i="44"/>
  <c r="AL30" i="44"/>
  <c r="Y96" i="33"/>
  <c r="Q15" i="45"/>
  <c r="Q93" i="45"/>
  <c r="AI72" i="44"/>
  <c r="AI27" i="45"/>
  <c r="W75" i="33"/>
  <c r="V63" i="45"/>
  <c r="I36" i="44"/>
  <c r="Y30" i="33"/>
  <c r="AP15" i="33"/>
  <c r="A34" i="47"/>
  <c r="A35" i="47" s="1"/>
  <c r="AQ45" i="33"/>
  <c r="I48" i="44"/>
  <c r="V45" i="44"/>
  <c r="AI66" i="33"/>
  <c r="AR75" i="44"/>
  <c r="AB42" i="45"/>
  <c r="AJ51" i="44"/>
  <c r="N93" i="45"/>
  <c r="V102" i="44"/>
  <c r="K9" i="44"/>
  <c r="L66" i="33"/>
  <c r="AM81" i="44"/>
  <c r="AQ96" i="44"/>
  <c r="A37" i="33"/>
  <c r="A36" i="33" s="1"/>
  <c r="AR36" i="45"/>
  <c r="A97" i="45"/>
  <c r="A96" i="45" s="1"/>
  <c r="AJ48" i="33"/>
  <c r="G63" i="45"/>
  <c r="AM57" i="44"/>
  <c r="AB45" i="45"/>
  <c r="AH84" i="33"/>
  <c r="AE21" i="45"/>
  <c r="H36" i="44"/>
  <c r="AN87" i="33"/>
  <c r="U57" i="44"/>
  <c r="A88" i="33"/>
  <c r="A89" i="33" s="1"/>
  <c r="W60" i="44"/>
  <c r="AI21" i="44"/>
  <c r="AI60" i="45"/>
  <c r="AG15" i="33"/>
  <c r="AQ36" i="45"/>
  <c r="AL69" i="33"/>
  <c r="R99" i="33"/>
  <c r="A22" i="44"/>
  <c r="A23" i="44" s="1"/>
  <c r="J66" i="33"/>
  <c r="AD72" i="45"/>
  <c r="K72" i="33"/>
  <c r="AD42" i="44"/>
  <c r="Y66" i="44"/>
  <c r="AA99" i="44"/>
  <c r="T84" i="33"/>
  <c r="K54" i="44"/>
  <c r="I60" i="44"/>
  <c r="AC36" i="45"/>
  <c r="AR54" i="45"/>
  <c r="AP78" i="45"/>
  <c r="L51" i="33"/>
  <c r="AE78" i="45"/>
  <c r="AI21" i="45"/>
  <c r="AM60" i="33"/>
  <c r="J90" i="44"/>
  <c r="S39" i="45"/>
  <c r="Z69" i="33"/>
  <c r="AF45" i="44"/>
  <c r="AE30" i="45"/>
  <c r="M18" i="33"/>
  <c r="AM51" i="44"/>
  <c r="AJ102" i="45"/>
  <c r="H42" i="45"/>
  <c r="AC90" i="44"/>
  <c r="AK72" i="33"/>
  <c r="X42" i="33"/>
  <c r="K90" i="45"/>
  <c r="AD81" i="33"/>
  <c r="X87" i="33"/>
  <c r="AH51" i="45"/>
  <c r="AJ66" i="44"/>
  <c r="AL87" i="44"/>
  <c r="AO78" i="44"/>
  <c r="AA33" i="45"/>
  <c r="O21" i="44"/>
  <c r="AJ9" i="33"/>
  <c r="AI33" i="33"/>
  <c r="AJ51" i="33"/>
  <c r="AL99" i="45"/>
  <c r="N75" i="44"/>
  <c r="R42" i="44"/>
  <c r="AO54" i="45"/>
  <c r="N54" i="45"/>
  <c r="AM78" i="44"/>
  <c r="P36" i="33"/>
  <c r="AF99" i="44"/>
  <c r="AH72" i="45"/>
  <c r="AP87" i="33"/>
  <c r="AG96" i="44"/>
  <c r="J60" i="44"/>
  <c r="W18" i="33"/>
  <c r="T48" i="45"/>
  <c r="L30" i="33"/>
  <c r="AL18" i="45"/>
  <c r="AG51" i="44"/>
  <c r="N48" i="45"/>
  <c r="AQ75" i="33"/>
  <c r="S84" i="33"/>
  <c r="AA39" i="44"/>
  <c r="AQ33" i="33"/>
  <c r="AF48" i="45"/>
  <c r="AQ18" i="44"/>
  <c r="AH54" i="45"/>
  <c r="J69" i="44"/>
  <c r="G57" i="44"/>
  <c r="Y63" i="45"/>
  <c r="A58" i="44"/>
  <c r="A57" i="44" s="1"/>
  <c r="X18" i="44"/>
  <c r="G63" i="44"/>
  <c r="I66" i="33"/>
  <c r="AK45" i="44"/>
  <c r="AH27" i="44"/>
  <c r="AE48" i="45"/>
  <c r="AP39" i="44"/>
  <c r="AR48" i="44"/>
  <c r="AK36" i="45"/>
  <c r="R15" i="33"/>
  <c r="AM84" i="45"/>
  <c r="S102" i="33"/>
  <c r="Q60" i="33"/>
  <c r="Q51" i="33"/>
  <c r="AJ93" i="45"/>
  <c r="S84" i="45"/>
  <c r="Z15" i="45"/>
  <c r="T75" i="33"/>
  <c r="I99" i="33"/>
  <c r="W69" i="45"/>
  <c r="AA102" i="44"/>
  <c r="AN78" i="33"/>
  <c r="M21" i="45"/>
  <c r="T24" i="45"/>
  <c r="Z66" i="44"/>
  <c r="AF21" i="45"/>
  <c r="A100" i="46"/>
  <c r="A101" i="46" s="1"/>
  <c r="AD96" i="33"/>
  <c r="V24" i="45"/>
  <c r="A43" i="44"/>
  <c r="A42" i="44" s="1"/>
  <c r="AM75" i="44"/>
  <c r="AC84" i="33"/>
  <c r="X45" i="33"/>
  <c r="Q45" i="45"/>
  <c r="AA18" i="33"/>
  <c r="Q57" i="33"/>
  <c r="Y54" i="45"/>
  <c r="E42" i="33"/>
  <c r="K57" i="44"/>
  <c r="A19" i="47"/>
  <c r="A20" i="47" s="1"/>
  <c r="K30" i="45"/>
  <c r="AB24" i="44"/>
  <c r="L21" i="33"/>
  <c r="V48" i="33"/>
  <c r="AP42" i="44"/>
  <c r="F96" i="45"/>
  <c r="AP84" i="45"/>
  <c r="G21" i="44"/>
  <c r="S45" i="45"/>
  <c r="F78" i="44"/>
  <c r="M54" i="33"/>
  <c r="V24" i="33"/>
  <c r="V60" i="33"/>
  <c r="S90" i="33"/>
  <c r="AD48" i="44"/>
  <c r="AJ45" i="45"/>
  <c r="T84" i="44"/>
  <c r="AM39" i="44"/>
  <c r="AA42" i="44"/>
  <c r="W48" i="44"/>
  <c r="J54" i="45"/>
  <c r="AM60" i="44"/>
  <c r="AD93" i="45"/>
  <c r="AG75" i="45"/>
  <c r="V54" i="45"/>
  <c r="M45" i="33"/>
  <c r="M96" i="44"/>
  <c r="A49" i="33"/>
  <c r="A50" i="33" s="1"/>
  <c r="Q78" i="33"/>
  <c r="N9" i="45"/>
  <c r="AB90" i="33"/>
  <c r="AL78" i="33"/>
  <c r="AJ60" i="33"/>
  <c r="W15" i="33"/>
  <c r="S96" i="45"/>
  <c r="AO51" i="44"/>
  <c r="AR45" i="33"/>
  <c r="A31" i="33"/>
  <c r="A32" i="33" s="1"/>
  <c r="AM42" i="45"/>
  <c r="AP36" i="44"/>
  <c r="AD78" i="33"/>
  <c r="AD36" i="44"/>
  <c r="O24" i="33"/>
  <c r="T75" i="44"/>
  <c r="AK48" i="44"/>
  <c r="I24" i="45"/>
  <c r="AD45" i="45"/>
  <c r="AP33" i="45"/>
  <c r="Q102" i="45"/>
  <c r="Z54" i="33"/>
  <c r="AQ69" i="44"/>
  <c r="AJ54" i="45"/>
  <c r="K48" i="33"/>
  <c r="AM93" i="33"/>
  <c r="W36" i="45"/>
  <c r="Y33" i="44"/>
  <c r="AQ63" i="44"/>
  <c r="J45" i="44"/>
  <c r="AJ9" i="45"/>
  <c r="A97" i="43"/>
  <c r="A98" i="43" s="1"/>
  <c r="AC39" i="33"/>
  <c r="V66" i="33"/>
  <c r="E90" i="45"/>
  <c r="X54" i="44"/>
  <c r="AQ72" i="44"/>
  <c r="AH90" i="33"/>
  <c r="J45" i="33"/>
  <c r="AI78" i="45"/>
  <c r="V9" i="44"/>
  <c r="AG75" i="44"/>
  <c r="A100" i="33"/>
  <c r="A99" i="33" s="1"/>
  <c r="Y24" i="33"/>
  <c r="N60" i="33"/>
  <c r="V45" i="33"/>
  <c r="P75" i="44"/>
  <c r="Q24" i="44"/>
  <c r="AQ18" i="45"/>
  <c r="AG78" i="44"/>
  <c r="AC33" i="44"/>
  <c r="O72" i="45"/>
  <c r="AI63" i="44"/>
  <c r="AB57" i="33"/>
  <c r="AO42" i="33"/>
  <c r="K30" i="33"/>
  <c r="W99" i="45"/>
  <c r="Q36" i="45"/>
  <c r="AO18" i="33"/>
  <c r="E81" i="45"/>
  <c r="H33" i="33"/>
  <c r="F39" i="33"/>
  <c r="AQ39" i="45"/>
  <c r="N18" i="33"/>
  <c r="E54" i="44"/>
  <c r="AL99" i="44"/>
  <c r="AB33" i="44"/>
  <c r="V99" i="33"/>
  <c r="AP9" i="44"/>
  <c r="AA45" i="33"/>
  <c r="M87" i="44"/>
  <c r="H60" i="33"/>
  <c r="AD87" i="33"/>
  <c r="Y90" i="45"/>
  <c r="AL75" i="33"/>
  <c r="AG24" i="44"/>
  <c r="V36" i="45"/>
  <c r="T45" i="45"/>
  <c r="U96" i="33"/>
  <c r="E90" i="33"/>
  <c r="AM39" i="45"/>
  <c r="J48" i="33"/>
  <c r="X15" i="45"/>
  <c r="AB36" i="45"/>
  <c r="A85" i="46"/>
  <c r="A84" i="46" s="1"/>
  <c r="V99" i="44"/>
  <c r="AF21" i="33"/>
  <c r="AH21" i="33"/>
  <c r="AB60" i="44"/>
  <c r="E21" i="45"/>
  <c r="I51" i="44"/>
  <c r="X24" i="33"/>
  <c r="U42" i="44"/>
  <c r="Q42" i="44"/>
  <c r="K18" i="45"/>
  <c r="AP21" i="33"/>
  <c r="T57" i="44"/>
  <c r="AM42" i="33"/>
  <c r="AQ84" i="44"/>
  <c r="I84" i="33"/>
  <c r="AO69" i="45"/>
  <c r="O45" i="45"/>
  <c r="AR21" i="45"/>
  <c r="I87" i="44"/>
  <c r="S75" i="44"/>
  <c r="T93" i="44"/>
  <c r="I78" i="33"/>
  <c r="F21" i="33"/>
  <c r="J84" i="44"/>
  <c r="X54" i="45"/>
  <c r="AL63" i="33"/>
  <c r="AK48" i="33"/>
  <c r="E66" i="45"/>
  <c r="I99" i="45"/>
  <c r="AM96" i="44"/>
  <c r="AP36" i="33"/>
  <c r="N99" i="33"/>
  <c r="AB66" i="33"/>
  <c r="F9" i="45"/>
  <c r="A34" i="42"/>
  <c r="A33" i="42" s="1"/>
  <c r="AE9" i="44"/>
  <c r="V102" i="33"/>
  <c r="AB66" i="45"/>
  <c r="V90" i="33"/>
  <c r="AK72" i="44"/>
  <c r="AI90" i="45"/>
  <c r="F18" i="33"/>
  <c r="AA96" i="33"/>
  <c r="X78" i="33"/>
  <c r="AE75" i="45"/>
  <c r="R39" i="45"/>
  <c r="AF78" i="33"/>
  <c r="AP90" i="44"/>
  <c r="AJ30" i="44"/>
  <c r="M54" i="45"/>
  <c r="P87" i="44"/>
  <c r="J36" i="33"/>
  <c r="T9" i="33"/>
  <c r="V93" i="45"/>
  <c r="AC24" i="33"/>
  <c r="AE57" i="33"/>
  <c r="AF63" i="33"/>
  <c r="H90" i="33"/>
  <c r="V54" i="33"/>
  <c r="S36" i="44"/>
  <c r="V57" i="44"/>
  <c r="AN54" i="33"/>
  <c r="AI18" i="44"/>
  <c r="AR18" i="44"/>
  <c r="H45" i="45"/>
  <c r="A64" i="42"/>
  <c r="A65" i="42" s="1"/>
  <c r="AR42" i="44"/>
  <c r="AQ72" i="45"/>
  <c r="M42" i="45"/>
  <c r="T78" i="45"/>
  <c r="F27" i="45"/>
  <c r="F27" i="44"/>
  <c r="R66" i="44"/>
  <c r="AR93" i="44"/>
  <c r="AN33" i="45"/>
  <c r="AG69" i="33"/>
  <c r="I33" i="45"/>
  <c r="R33" i="33"/>
  <c r="Y99" i="45"/>
  <c r="E48" i="33"/>
  <c r="I102" i="45"/>
  <c r="AQ54" i="45"/>
  <c r="AQ36" i="33"/>
  <c r="S57" i="45"/>
  <c r="AJ81" i="45"/>
  <c r="Z48" i="33"/>
  <c r="E96" i="44"/>
  <c r="E102" i="45"/>
  <c r="AH24" i="45"/>
  <c r="O99" i="33"/>
  <c r="AH48" i="44"/>
  <c r="P39" i="45"/>
  <c r="AB30" i="44"/>
  <c r="E72" i="33"/>
  <c r="AH96" i="44"/>
  <c r="U36" i="44"/>
  <c r="N78" i="44"/>
  <c r="S30" i="33"/>
  <c r="M102" i="44"/>
  <c r="X87" i="45"/>
  <c r="F30" i="44"/>
  <c r="U69" i="44"/>
  <c r="J87" i="45"/>
  <c r="AB57" i="44"/>
  <c r="V84" i="33"/>
  <c r="Y57" i="44"/>
  <c r="M57" i="44"/>
  <c r="S93" i="33"/>
  <c r="S54" i="33"/>
  <c r="AO72" i="45"/>
  <c r="Q45" i="33"/>
  <c r="AN30" i="45"/>
  <c r="AF90" i="44"/>
  <c r="AL54" i="33"/>
  <c r="AE27" i="45"/>
  <c r="V30" i="45"/>
  <c r="W9" i="44"/>
  <c r="N18" i="44"/>
  <c r="U54" i="45"/>
  <c r="AL27" i="45"/>
  <c r="Q96" i="44"/>
  <c r="AE84" i="44"/>
  <c r="Z84" i="45"/>
  <c r="H66" i="45"/>
  <c r="AJ72" i="45"/>
  <c r="N27" i="33"/>
  <c r="AL21" i="33"/>
  <c r="F81" i="44"/>
  <c r="AG51" i="33"/>
  <c r="K30" i="44"/>
  <c r="AF21" i="44"/>
  <c r="Q30" i="33"/>
  <c r="AK81" i="45"/>
  <c r="A61" i="46"/>
  <c r="A62" i="46" s="1"/>
  <c r="AQ96" i="45"/>
  <c r="T60" i="45"/>
  <c r="G66" i="33"/>
  <c r="H33" i="44"/>
  <c r="F60" i="44"/>
  <c r="U27" i="45"/>
  <c r="F33" i="45"/>
  <c r="AM45" i="44"/>
  <c r="AK69" i="44"/>
  <c r="N27" i="44"/>
  <c r="AB78" i="33"/>
  <c r="AA84" i="33"/>
  <c r="AL96" i="45"/>
  <c r="AK24" i="44"/>
  <c r="AD33" i="45"/>
  <c r="E81" i="33"/>
  <c r="AN54" i="45"/>
  <c r="AA39" i="33"/>
  <c r="U69" i="33"/>
  <c r="T90" i="44"/>
  <c r="AL48" i="44"/>
  <c r="E24" i="45"/>
  <c r="S102" i="45"/>
  <c r="AK39" i="33"/>
  <c r="AM78" i="45"/>
  <c r="J54" i="33"/>
  <c r="V48" i="44"/>
  <c r="AR9" i="33"/>
  <c r="R42" i="45"/>
  <c r="AD90" i="33"/>
  <c r="G36" i="45"/>
  <c r="Q87" i="33"/>
  <c r="U36" i="33"/>
  <c r="R15" i="44"/>
  <c r="O27" i="33"/>
  <c r="F54" i="33"/>
  <c r="AN96" i="45"/>
  <c r="K66" i="33"/>
  <c r="AL90" i="44"/>
  <c r="W27" i="45"/>
  <c r="Y36" i="33"/>
  <c r="U102" i="44"/>
  <c r="AB51" i="45"/>
  <c r="T96" i="44"/>
  <c r="T99" i="44"/>
  <c r="V69" i="44"/>
  <c r="A70" i="41"/>
  <c r="A69" i="41" s="1"/>
  <c r="AG15" i="45"/>
  <c r="M90" i="45"/>
  <c r="V51" i="44"/>
  <c r="X60" i="33"/>
  <c r="AH102" i="33"/>
  <c r="O54" i="44"/>
  <c r="T63" i="45"/>
  <c r="AO24" i="44"/>
  <c r="P99" i="45"/>
  <c r="AG99" i="33"/>
  <c r="R51" i="44"/>
  <c r="N51" i="44"/>
  <c r="AD45" i="33"/>
  <c r="AO51" i="45"/>
  <c r="AI48" i="45"/>
  <c r="AH21" i="45"/>
  <c r="V57" i="45"/>
  <c r="J93" i="44"/>
  <c r="U69" i="45"/>
  <c r="E81" i="44"/>
  <c r="Q72" i="33"/>
  <c r="L15" i="44"/>
  <c r="H42" i="44"/>
  <c r="A61" i="41"/>
  <c r="A60" i="41" s="1"/>
  <c r="M36" i="33"/>
  <c r="J15" i="45"/>
  <c r="W84" i="45"/>
  <c r="P87" i="33"/>
  <c r="AF36" i="45"/>
  <c r="AK102" i="33"/>
  <c r="A28" i="46"/>
  <c r="A27" i="46" s="1"/>
  <c r="AP21" i="44"/>
  <c r="P48" i="45"/>
  <c r="AL45" i="45"/>
  <c r="AC18" i="45"/>
  <c r="X84" i="45"/>
  <c r="AH66" i="45"/>
  <c r="R54" i="33"/>
  <c r="AR102" i="44"/>
  <c r="AO57" i="45"/>
  <c r="O9" i="33"/>
  <c r="K42" i="33"/>
  <c r="Y54" i="44"/>
  <c r="AC69" i="45"/>
  <c r="F66" i="45"/>
  <c r="AL51" i="45"/>
  <c r="AE24" i="33"/>
  <c r="AQ9" i="33"/>
  <c r="G75" i="44"/>
  <c r="A88" i="43"/>
  <c r="A87" i="43" s="1"/>
  <c r="AF18" i="45"/>
  <c r="AE63" i="44"/>
  <c r="A73" i="42"/>
  <c r="A74" i="42" s="1"/>
  <c r="O36" i="33"/>
  <c r="N87" i="33"/>
  <c r="L72" i="44"/>
  <c r="V75" i="33"/>
  <c r="U84" i="45"/>
  <c r="W96" i="33"/>
  <c r="AO39" i="45"/>
  <c r="AB93" i="45"/>
  <c r="L48" i="44"/>
  <c r="G9" i="33"/>
  <c r="T60" i="33"/>
  <c r="AO36" i="45"/>
  <c r="A19" i="33"/>
  <c r="A18" i="33" s="1"/>
  <c r="Y27" i="44"/>
  <c r="AA63" i="45"/>
  <c r="AD33" i="44"/>
  <c r="H57" i="45"/>
  <c r="E69" i="44"/>
  <c r="N66" i="45"/>
  <c r="W54" i="44"/>
  <c r="I45" i="33"/>
  <c r="AK60" i="33"/>
  <c r="T45" i="44"/>
  <c r="M66" i="33"/>
  <c r="U21" i="44"/>
  <c r="F24" i="44"/>
  <c r="AO60" i="45"/>
  <c r="AQ30" i="33"/>
  <c r="H84" i="44"/>
  <c r="L48" i="45"/>
  <c r="Z30" i="33"/>
  <c r="A49" i="47"/>
  <c r="A48" i="47" s="1"/>
  <c r="N51" i="33"/>
  <c r="W81" i="33"/>
  <c r="F87" i="45"/>
  <c r="AD42" i="45"/>
  <c r="AG84" i="33"/>
  <c r="AR90" i="44"/>
  <c r="I63" i="44"/>
  <c r="P15" i="45"/>
  <c r="AL60" i="44"/>
  <c r="Z24" i="44"/>
  <c r="Z21" i="44"/>
  <c r="AR51" i="33"/>
  <c r="AH51" i="44"/>
  <c r="Q51" i="45"/>
  <c r="J69" i="33"/>
  <c r="P63" i="45"/>
  <c r="AH69" i="33"/>
  <c r="W87" i="44"/>
  <c r="A40" i="41"/>
  <c r="A41" i="41" s="1"/>
  <c r="AF33" i="44"/>
  <c r="N39" i="44"/>
  <c r="AM18" i="33"/>
  <c r="Q27" i="33"/>
  <c r="G9" i="45"/>
  <c r="A94" i="42"/>
  <c r="A95" i="42" s="1"/>
  <c r="H66" i="33"/>
  <c r="W30" i="44"/>
  <c r="AM63" i="33"/>
  <c r="G27" i="33"/>
  <c r="AB60" i="33"/>
  <c r="AE24" i="44"/>
  <c r="AR9" i="45"/>
  <c r="AI36" i="45"/>
  <c r="T36" i="33"/>
  <c r="E54" i="45"/>
  <c r="V72" i="33"/>
  <c r="AO102" i="33"/>
  <c r="AL84" i="44"/>
  <c r="U72" i="33"/>
  <c r="S81" i="45"/>
  <c r="AN75" i="33"/>
  <c r="A58" i="45"/>
  <c r="A57" i="45" s="1"/>
  <c r="L72" i="45"/>
  <c r="AE63" i="45"/>
  <c r="M27" i="45"/>
  <c r="E57" i="44"/>
  <c r="AO84" i="33"/>
  <c r="K54" i="33"/>
  <c r="N15" i="44"/>
  <c r="AP72" i="33"/>
  <c r="W66" i="45"/>
  <c r="A88" i="42"/>
  <c r="A87" i="42" s="1"/>
  <c r="Z99" i="44"/>
  <c r="R36" i="33"/>
  <c r="J24" i="33"/>
  <c r="AD66" i="45"/>
  <c r="AJ57" i="44"/>
  <c r="AP9" i="33"/>
  <c r="P60" i="45"/>
  <c r="AC42" i="45"/>
  <c r="AG78" i="33"/>
  <c r="AM63" i="44"/>
  <c r="L54" i="45"/>
  <c r="AQ93" i="44"/>
  <c r="N36" i="45"/>
  <c r="AP102" i="44"/>
  <c r="AA42" i="33"/>
  <c r="Z90" i="33"/>
  <c r="O45" i="44"/>
  <c r="AA81" i="44"/>
  <c r="T48" i="33"/>
  <c r="I9" i="45"/>
  <c r="AB63" i="44"/>
  <c r="AK21" i="45"/>
  <c r="AC93" i="33"/>
  <c r="S15" i="44"/>
  <c r="U96" i="44"/>
  <c r="U57" i="33"/>
  <c r="U18" i="45"/>
  <c r="A85" i="41"/>
  <c r="A86" i="41" s="1"/>
  <c r="Y78" i="44"/>
  <c r="AP54" i="45"/>
  <c r="F90" i="33"/>
  <c r="J99" i="44"/>
  <c r="O48" i="33"/>
  <c r="AJ45" i="33"/>
  <c r="AP27" i="45"/>
  <c r="AC54" i="45"/>
  <c r="H75" i="33"/>
  <c r="V24" i="44"/>
  <c r="F57" i="33"/>
  <c r="AR51" i="45"/>
  <c r="Y39" i="44"/>
  <c r="AH36" i="45"/>
  <c r="AN33" i="44"/>
  <c r="X84" i="33"/>
  <c r="V78" i="33"/>
  <c r="AI84" i="33"/>
  <c r="H63" i="45"/>
  <c r="O87" i="33"/>
  <c r="AI78" i="44"/>
  <c r="AL18" i="33"/>
  <c r="A103" i="42"/>
  <c r="A102" i="42" s="1"/>
  <c r="AO84" i="45"/>
  <c r="AP33" i="33"/>
  <c r="Y84" i="45"/>
  <c r="X48" i="44"/>
  <c r="K75" i="44"/>
  <c r="Z18" i="45"/>
  <c r="AC51" i="33"/>
  <c r="J102" i="44"/>
  <c r="AE54" i="33"/>
  <c r="M99" i="33"/>
  <c r="AD90" i="45"/>
  <c r="H18" i="33"/>
  <c r="AO24" i="33"/>
  <c r="AB78" i="44"/>
  <c r="N69" i="45"/>
  <c r="AD18" i="33"/>
  <c r="AM72" i="45"/>
  <c r="A52" i="47"/>
  <c r="A53" i="47" s="1"/>
  <c r="X78" i="45"/>
  <c r="AL36" i="44"/>
  <c r="G84" i="45"/>
  <c r="AL102" i="33"/>
  <c r="AL42" i="45"/>
  <c r="AP63" i="33"/>
  <c r="I96" i="45"/>
  <c r="R24" i="44"/>
  <c r="AH57" i="45"/>
  <c r="K69" i="33"/>
  <c r="AC24" i="45"/>
  <c r="AN36" i="44"/>
  <c r="AI30" i="44"/>
  <c r="L96" i="33"/>
  <c r="AD51" i="33"/>
  <c r="U30" i="44"/>
  <c r="N33" i="45"/>
  <c r="AL33" i="33"/>
  <c r="AH36" i="44"/>
  <c r="AN30" i="44"/>
  <c r="Y99" i="44"/>
  <c r="A76" i="46"/>
  <c r="A75" i="46" s="1"/>
  <c r="AL93" i="44"/>
  <c r="G102" i="44"/>
  <c r="AI87" i="45"/>
  <c r="W72" i="44"/>
  <c r="Y90" i="33"/>
  <c r="Z27" i="33"/>
  <c r="Z33" i="33"/>
  <c r="K81" i="33"/>
  <c r="E39" i="45"/>
  <c r="Q75" i="44"/>
  <c r="AA48" i="45"/>
  <c r="AQ48" i="33"/>
  <c r="A67" i="45"/>
  <c r="A68" i="45" s="1"/>
  <c r="AE18" i="45"/>
  <c r="AM84" i="44"/>
  <c r="V90" i="44"/>
  <c r="AG18" i="44"/>
  <c r="AO87" i="44"/>
  <c r="F63" i="45"/>
  <c r="O24" i="45"/>
  <c r="AA21" i="45"/>
  <c r="O36" i="44"/>
  <c r="L48" i="33"/>
  <c r="AL63" i="45"/>
  <c r="AH99" i="45"/>
  <c r="T63" i="44"/>
  <c r="F24" i="45"/>
  <c r="F57" i="45"/>
  <c r="AB75" i="45"/>
  <c r="AR36" i="33"/>
  <c r="AA75" i="45"/>
  <c r="AQ15" i="44"/>
  <c r="A62" i="47"/>
  <c r="A60" i="47"/>
  <c r="A50" i="45"/>
  <c r="A48" i="45"/>
  <c r="A75" i="47"/>
  <c r="A77" i="47"/>
  <c r="A95" i="43"/>
  <c r="A93" i="43"/>
  <c r="A69" i="33"/>
  <c r="A71" i="33"/>
  <c r="A74" i="47"/>
  <c r="A72" i="47"/>
  <c r="A78" i="45"/>
  <c r="A80" i="45"/>
  <c r="AF51" i="33"/>
  <c r="P21" i="45"/>
  <c r="Y87" i="33"/>
  <c r="AM9" i="33"/>
  <c r="AE60" i="45"/>
  <c r="AK57" i="45"/>
  <c r="F84" i="45"/>
  <c r="AA27" i="44"/>
  <c r="G30" i="44"/>
  <c r="U90" i="33"/>
  <c r="M93" i="33"/>
  <c r="K66" i="44"/>
  <c r="AM81" i="45"/>
  <c r="AM66" i="44"/>
  <c r="AF72" i="44"/>
  <c r="T27" i="45"/>
  <c r="AF9" i="45"/>
  <c r="X48" i="33"/>
  <c r="AA75" i="44"/>
  <c r="Y69" i="44"/>
  <c r="U33" i="44"/>
  <c r="AI36" i="33"/>
  <c r="T36" i="45"/>
  <c r="L21" i="45"/>
  <c r="AK63" i="45"/>
  <c r="AL78" i="45"/>
  <c r="A82" i="42"/>
  <c r="AK57" i="33"/>
  <c r="AK90" i="45"/>
  <c r="I15" i="33"/>
  <c r="O27" i="44"/>
  <c r="W63" i="45"/>
  <c r="R75" i="45"/>
  <c r="AO42" i="44"/>
  <c r="A25" i="44"/>
  <c r="AH42" i="44"/>
  <c r="AE33" i="45"/>
  <c r="AN27" i="44"/>
  <c r="AB9" i="33"/>
  <c r="T42" i="33"/>
  <c r="E78" i="44"/>
  <c r="N96" i="45"/>
  <c r="Z60" i="45"/>
  <c r="A19" i="44"/>
  <c r="X87" i="44"/>
  <c r="AC69" i="44"/>
  <c r="Y66" i="45"/>
  <c r="AB84" i="44"/>
  <c r="AA27" i="45"/>
  <c r="R87" i="45"/>
  <c r="AR102" i="45"/>
  <c r="P51" i="44"/>
  <c r="AR102" i="33"/>
  <c r="Y42" i="45"/>
  <c r="AO75" i="44"/>
  <c r="V78" i="45"/>
  <c r="AR21" i="33"/>
  <c r="L87" i="44"/>
  <c r="AP99" i="45"/>
  <c r="G51" i="33"/>
  <c r="U75" i="33"/>
  <c r="J36" i="44"/>
  <c r="Q9" i="45"/>
  <c r="E36" i="45"/>
  <c r="I69" i="33"/>
  <c r="AK78" i="33"/>
  <c r="Z69" i="45"/>
  <c r="AH93" i="44"/>
  <c r="G99" i="44"/>
  <c r="K66" i="45"/>
  <c r="U72" i="44"/>
  <c r="A100" i="47"/>
  <c r="A55" i="46"/>
  <c r="L57" i="33"/>
  <c r="T45" i="33"/>
  <c r="I30" i="33"/>
  <c r="J78" i="44"/>
  <c r="AO75" i="45"/>
  <c r="O39" i="44"/>
  <c r="AL57" i="33"/>
  <c r="AH60" i="45"/>
  <c r="AK33" i="45"/>
  <c r="R69" i="44"/>
  <c r="X90" i="33"/>
  <c r="A67" i="43"/>
  <c r="S9" i="44"/>
  <c r="G33" i="33"/>
  <c r="V81" i="45"/>
  <c r="R21" i="45"/>
  <c r="AG81" i="45"/>
  <c r="Q84" i="33"/>
  <c r="AP90" i="33"/>
  <c r="H66" i="44"/>
  <c r="AE81" i="44"/>
  <c r="S54" i="45"/>
  <c r="AO21" i="45"/>
  <c r="Q15" i="44"/>
  <c r="AR42" i="33"/>
  <c r="AI102" i="44"/>
  <c r="T39" i="45"/>
  <c r="H75" i="44"/>
  <c r="AE27" i="33"/>
  <c r="AJ30" i="45"/>
  <c r="S63" i="45"/>
  <c r="AM87" i="33"/>
  <c r="AH60" i="33"/>
  <c r="AP84" i="33"/>
  <c r="F48" i="44"/>
  <c r="V72" i="45"/>
  <c r="AB99" i="44"/>
  <c r="A67" i="41"/>
  <c r="I45" i="45"/>
  <c r="L69" i="33"/>
  <c r="AR36" i="44"/>
  <c r="AF9" i="33"/>
  <c r="A31" i="41"/>
  <c r="U72" i="45"/>
  <c r="Y63" i="33"/>
  <c r="AH75" i="45"/>
  <c r="AI48" i="33"/>
  <c r="Q33" i="33"/>
  <c r="M45" i="44"/>
  <c r="AB18" i="44"/>
  <c r="A40" i="47"/>
  <c r="A19" i="46"/>
  <c r="Q57" i="44"/>
  <c r="A16" i="42"/>
  <c r="AD27" i="44"/>
  <c r="AM87" i="44"/>
  <c r="AR96" i="33"/>
  <c r="AP60" i="44"/>
  <c r="S57" i="44"/>
  <c r="AN54" i="44"/>
  <c r="AI51" i="44"/>
  <c r="AK30" i="45"/>
  <c r="O63" i="45"/>
  <c r="A31" i="46"/>
  <c r="Z39" i="44"/>
  <c r="A58" i="41"/>
  <c r="AE36" i="45"/>
  <c r="AD18" i="45"/>
  <c r="AG36" i="33"/>
  <c r="X51" i="45"/>
  <c r="AQ75" i="45"/>
  <c r="AK90" i="44"/>
  <c r="H93" i="33"/>
  <c r="AL84" i="33"/>
  <c r="Z96" i="44"/>
  <c r="AR45" i="45"/>
  <c r="H21" i="44"/>
  <c r="J63" i="45"/>
  <c r="V39" i="45"/>
  <c r="K93" i="45"/>
  <c r="AD93" i="44"/>
  <c r="AM84" i="33"/>
  <c r="N72" i="45"/>
  <c r="AE51" i="33"/>
  <c r="K102" i="33"/>
  <c r="F99" i="45"/>
  <c r="L27" i="44"/>
  <c r="AB33" i="33"/>
  <c r="K51" i="44"/>
  <c r="I24" i="44"/>
  <c r="J69" i="45"/>
  <c r="W42" i="45"/>
  <c r="G75" i="45"/>
  <c r="X21" i="33"/>
  <c r="O78" i="45"/>
  <c r="AD30" i="44"/>
  <c r="F69" i="45"/>
  <c r="Z90" i="45"/>
  <c r="AM93" i="45"/>
  <c r="S99" i="33"/>
  <c r="W72" i="45"/>
  <c r="I87" i="33"/>
  <c r="U60" i="33"/>
  <c r="AL93" i="33"/>
  <c r="Y18" i="44"/>
  <c r="AC96" i="45"/>
  <c r="AG84" i="44"/>
  <c r="A103" i="46"/>
  <c r="AO69" i="33"/>
  <c r="G39" i="44"/>
  <c r="AM99" i="33"/>
  <c r="L102" i="45"/>
  <c r="J60" i="45"/>
  <c r="AF51" i="44"/>
  <c r="L45" i="33"/>
  <c r="Y75" i="33"/>
  <c r="I51" i="45"/>
  <c r="A58" i="43"/>
  <c r="Q81" i="44"/>
  <c r="AP54" i="44"/>
  <c r="AI75" i="45"/>
  <c r="AN57" i="44"/>
  <c r="H84" i="45"/>
  <c r="AA72" i="44"/>
  <c r="AG21" i="45"/>
  <c r="L66" i="44"/>
  <c r="Y15" i="45"/>
  <c r="T39" i="33"/>
  <c r="AO69" i="44"/>
  <c r="Y57" i="33"/>
  <c r="R84" i="44"/>
  <c r="AC60" i="45"/>
  <c r="L54" i="33"/>
  <c r="Z84" i="33"/>
  <c r="AC45" i="33"/>
  <c r="H90" i="45"/>
  <c r="AM30" i="44"/>
  <c r="A49" i="43"/>
  <c r="A25" i="46"/>
  <c r="V27" i="45"/>
  <c r="A16" i="44"/>
  <c r="H48" i="44"/>
  <c r="AP69" i="44"/>
  <c r="AR48" i="45"/>
  <c r="AB54" i="45"/>
  <c r="L27" i="33"/>
  <c r="N57" i="33"/>
  <c r="H9" i="45"/>
  <c r="M96" i="33"/>
  <c r="H9" i="33"/>
  <c r="AN57" i="33"/>
  <c r="AJ87" i="44"/>
  <c r="Z33" i="45"/>
  <c r="AB75" i="44"/>
  <c r="A67" i="33"/>
  <c r="E93" i="45"/>
  <c r="J18" i="44"/>
  <c r="F18" i="44"/>
  <c r="O42" i="45"/>
  <c r="AH15" i="45"/>
  <c r="AB99" i="33"/>
  <c r="A94" i="47"/>
  <c r="N57" i="44"/>
  <c r="AO60" i="44"/>
  <c r="AC87" i="45"/>
  <c r="AA93" i="44"/>
  <c r="Z90" i="44"/>
  <c r="AN51" i="44"/>
  <c r="Y45" i="33"/>
  <c r="A104" i="45"/>
  <c r="A102" i="45"/>
  <c r="T15" i="44"/>
  <c r="G87" i="33"/>
  <c r="AR63" i="44"/>
  <c r="AA90" i="45"/>
  <c r="R87" i="44"/>
  <c r="Q33" i="44"/>
  <c r="AN15" i="45"/>
  <c r="Q90" i="45"/>
  <c r="Y69" i="45"/>
  <c r="H51" i="33"/>
  <c r="X75" i="33"/>
  <c r="I24" i="33"/>
  <c r="AP18" i="44"/>
  <c r="A39" i="44"/>
  <c r="A41" i="44"/>
  <c r="W84" i="44"/>
  <c r="L42" i="44"/>
  <c r="R87" i="33"/>
  <c r="J93" i="33"/>
  <c r="AJ90" i="33"/>
  <c r="AP39" i="33"/>
  <c r="R90" i="45"/>
  <c r="A55" i="47"/>
  <c r="A85" i="44"/>
  <c r="F42" i="45"/>
  <c r="AH27" i="33"/>
  <c r="AN18" i="33"/>
  <c r="U57" i="45"/>
  <c r="P21" i="33"/>
  <c r="AO57" i="33"/>
  <c r="AG24" i="45"/>
  <c r="G78" i="44"/>
  <c r="AE87" i="45"/>
  <c r="Y60" i="45"/>
  <c r="AQ84" i="33"/>
  <c r="T90" i="45"/>
  <c r="AB54" i="44"/>
  <c r="G39" i="45"/>
  <c r="AH90" i="44"/>
  <c r="AD72" i="44"/>
  <c r="AF60" i="44"/>
  <c r="Y81" i="44"/>
  <c r="Z66" i="45"/>
  <c r="AC15" i="45"/>
  <c r="AK30" i="44"/>
  <c r="O84" i="45"/>
  <c r="A73" i="33"/>
  <c r="E9" i="45"/>
  <c r="AK36" i="44"/>
  <c r="H93" i="44"/>
  <c r="Q81" i="45"/>
  <c r="T9" i="44"/>
  <c r="AM66" i="45"/>
  <c r="F54" i="45"/>
  <c r="A69" i="43"/>
  <c r="A71" i="43"/>
  <c r="A97" i="44"/>
  <c r="W48" i="33"/>
  <c r="I96" i="44"/>
  <c r="AM57" i="45"/>
  <c r="AF15" i="45"/>
  <c r="AE84" i="33"/>
  <c r="L60" i="45"/>
  <c r="AL42" i="33"/>
  <c r="I36" i="33"/>
  <c r="R72" i="45"/>
  <c r="AL18" i="44"/>
  <c r="A49" i="42"/>
  <c r="R9" i="45"/>
  <c r="AC63" i="45"/>
  <c r="AJ72" i="33"/>
  <c r="A100" i="42"/>
  <c r="G54" i="33"/>
  <c r="A70" i="44"/>
  <c r="Q69" i="45"/>
  <c r="AL81" i="44"/>
  <c r="AF72" i="33"/>
  <c r="O60" i="33"/>
  <c r="A96" i="47"/>
  <c r="A98" i="47"/>
  <c r="AG9" i="44"/>
  <c r="A88" i="46"/>
  <c r="G27" i="44"/>
  <c r="V60" i="45"/>
  <c r="K18" i="33"/>
  <c r="V102" i="45"/>
  <c r="AK15" i="44"/>
  <c r="AL72" i="44"/>
  <c r="F42" i="33"/>
  <c r="S27" i="33"/>
  <c r="L72" i="33"/>
  <c r="AB51" i="44"/>
  <c r="Q93" i="33"/>
  <c r="J15" i="33"/>
  <c r="N21" i="45"/>
  <c r="N51" i="45"/>
  <c r="AD75" i="45"/>
  <c r="M78" i="45"/>
  <c r="M54" i="44"/>
  <c r="A58" i="42"/>
  <c r="AM21" i="33"/>
  <c r="W24" i="45"/>
  <c r="AH78" i="33"/>
  <c r="H81" i="44"/>
  <c r="S81" i="44"/>
  <c r="L60" i="44"/>
  <c r="O102" i="45"/>
  <c r="A25" i="45"/>
  <c r="AA9" i="45"/>
  <c r="AF96" i="44"/>
  <c r="AA72" i="45"/>
  <c r="G93" i="44"/>
  <c r="A31" i="45"/>
  <c r="O84" i="33"/>
  <c r="R75" i="44"/>
  <c r="AA24" i="44"/>
  <c r="Y24" i="44"/>
  <c r="F15" i="45"/>
  <c r="N72" i="44"/>
  <c r="AL96" i="44"/>
  <c r="AA48" i="44"/>
  <c r="AC42" i="33"/>
  <c r="AH69" i="44"/>
  <c r="E69" i="33"/>
  <c r="R51" i="45"/>
  <c r="AM51" i="33"/>
  <c r="AE66" i="45"/>
  <c r="U78" i="45"/>
  <c r="AL60" i="33"/>
  <c r="AQ75" i="44"/>
  <c r="AA99" i="45"/>
  <c r="AA93" i="33"/>
  <c r="P45" i="33"/>
  <c r="V96" i="45"/>
  <c r="K81" i="44"/>
  <c r="Q84" i="44"/>
  <c r="G69" i="45"/>
  <c r="AI99" i="44"/>
  <c r="F39" i="45"/>
  <c r="AP57" i="33"/>
  <c r="F30" i="33"/>
  <c r="AI96" i="44"/>
  <c r="A46" i="42"/>
  <c r="W93" i="33"/>
  <c r="K81" i="45"/>
  <c r="AQ81" i="33"/>
  <c r="AK42" i="33"/>
  <c r="Y30" i="45"/>
  <c r="AC36" i="33"/>
  <c r="S51" i="45"/>
  <c r="A31" i="43"/>
  <c r="AK75" i="45"/>
  <c r="AD18" i="44"/>
  <c r="AR39" i="33"/>
  <c r="L87" i="45"/>
  <c r="Z99" i="33"/>
  <c r="AQ57" i="45"/>
  <c r="O30" i="45"/>
  <c r="M60" i="45"/>
  <c r="AN21" i="33"/>
  <c r="AG27" i="33"/>
  <c r="F21" i="45"/>
  <c r="E78" i="33"/>
  <c r="Y18" i="45"/>
  <c r="K39" i="44"/>
  <c r="L99" i="44"/>
  <c r="M15" i="45"/>
  <c r="AC18" i="44"/>
  <c r="AP81" i="44"/>
  <c r="A102" i="33"/>
  <c r="A104" i="33"/>
  <c r="AN87" i="45"/>
  <c r="AR72" i="44"/>
  <c r="P33" i="33"/>
  <c r="A61" i="43"/>
  <c r="H102" i="45"/>
  <c r="A60" i="44"/>
  <c r="A62" i="44"/>
  <c r="Z24" i="45"/>
  <c r="I60" i="45"/>
  <c r="AD60" i="44"/>
  <c r="S99" i="44"/>
  <c r="AG63" i="44"/>
  <c r="AJ36" i="44"/>
  <c r="K60" i="45"/>
  <c r="X63" i="33"/>
  <c r="M48" i="44"/>
  <c r="O69" i="44"/>
  <c r="AJ42" i="45"/>
  <c r="T54" i="33"/>
  <c r="K15" i="44"/>
  <c r="AB81" i="44"/>
  <c r="T57" i="33"/>
  <c r="AM102" i="45"/>
  <c r="AE99" i="45"/>
  <c r="F36" i="44"/>
  <c r="AM93" i="44"/>
  <c r="J75" i="45"/>
  <c r="H96" i="33"/>
  <c r="V39" i="33"/>
  <c r="AD51" i="45"/>
  <c r="G66" i="44"/>
  <c r="AJ81" i="44"/>
  <c r="P84" i="33"/>
  <c r="M66" i="45"/>
  <c r="F9" i="44"/>
  <c r="S42" i="45"/>
  <c r="AE15" i="33"/>
  <c r="Y45" i="44"/>
  <c r="AG57" i="33"/>
  <c r="W27" i="44"/>
  <c r="X99" i="45"/>
  <c r="AC72" i="33"/>
  <c r="J63" i="44"/>
  <c r="Q66" i="33"/>
  <c r="AB15" i="44"/>
  <c r="O96" i="45"/>
  <c r="AG60" i="45"/>
  <c r="H33" i="45"/>
  <c r="AM33" i="33"/>
  <c r="V69" i="45"/>
  <c r="AE57" i="45"/>
  <c r="AO39" i="44"/>
  <c r="V81" i="44"/>
  <c r="AK63" i="33"/>
  <c r="AP96" i="33"/>
  <c r="Q66" i="45"/>
  <c r="AN60" i="44"/>
  <c r="AJ42" i="44"/>
  <c r="Y96" i="45"/>
  <c r="AQ27" i="33"/>
  <c r="AB54" i="33"/>
  <c r="S48" i="33"/>
  <c r="A73" i="45"/>
  <c r="Z18" i="44"/>
  <c r="G54" i="44"/>
  <c r="K60" i="33"/>
  <c r="AG93" i="44"/>
  <c r="W42" i="44"/>
  <c r="AP63" i="44"/>
  <c r="A43" i="33"/>
  <c r="F75" i="44"/>
  <c r="AG51" i="45"/>
  <c r="J54" i="44"/>
  <c r="P96" i="45"/>
  <c r="AI87" i="44"/>
  <c r="G72" i="45"/>
  <c r="Z102" i="44"/>
  <c r="T72" i="44"/>
  <c r="AP24" i="45"/>
  <c r="AO15" i="45"/>
  <c r="R78" i="33"/>
  <c r="AQ69" i="45"/>
  <c r="H69" i="33"/>
  <c r="Z48" i="44"/>
  <c r="V51" i="45"/>
  <c r="Q102" i="33"/>
  <c r="K45" i="45"/>
  <c r="AA57" i="45"/>
  <c r="AJ99" i="33"/>
  <c r="V96" i="33"/>
  <c r="R21" i="33"/>
  <c r="F93" i="45"/>
  <c r="Y45" i="45"/>
  <c r="A34" i="43"/>
  <c r="AB39" i="44"/>
  <c r="E51" i="45"/>
  <c r="Z102" i="33"/>
  <c r="AD15" i="44"/>
  <c r="A52" i="46"/>
  <c r="AO87" i="45"/>
  <c r="T42" i="44"/>
  <c r="X84" i="44"/>
  <c r="AC57" i="33"/>
  <c r="Y99" i="33"/>
  <c r="AI81" i="44"/>
  <c r="M75" i="44"/>
  <c r="X69" i="44"/>
  <c r="G33" i="45"/>
  <c r="AO45" i="33"/>
  <c r="AC102" i="44"/>
  <c r="AL54" i="44"/>
  <c r="AC30" i="44"/>
  <c r="Y36" i="44"/>
  <c r="R48" i="45"/>
  <c r="G36" i="33"/>
  <c r="N36" i="44"/>
  <c r="N39" i="45"/>
  <c r="R60" i="44"/>
  <c r="L93" i="44"/>
  <c r="AM87" i="45"/>
  <c r="J72" i="33"/>
  <c r="W60" i="33"/>
  <c r="AA27" i="33"/>
  <c r="AJ48" i="45"/>
  <c r="AG9" i="45"/>
  <c r="F48" i="33"/>
  <c r="AI87" i="33"/>
  <c r="I15" i="44"/>
  <c r="AH9" i="44"/>
  <c r="I75" i="44"/>
  <c r="G24" i="44"/>
  <c r="A43" i="47"/>
  <c r="J21" i="33"/>
  <c r="Z78" i="45"/>
  <c r="AJ18" i="33"/>
  <c r="E93" i="44"/>
  <c r="AG18" i="45"/>
  <c r="A40" i="45"/>
  <c r="O45" i="33"/>
  <c r="A64" i="46"/>
  <c r="G27" i="45"/>
  <c r="AQ90" i="33"/>
  <c r="AQ99" i="33"/>
  <c r="AP42" i="45"/>
  <c r="U87" i="44"/>
  <c r="AR45" i="44"/>
  <c r="W18" i="45"/>
  <c r="S42" i="33"/>
  <c r="A46" i="43"/>
  <c r="R42" i="33"/>
  <c r="G96" i="44"/>
  <c r="K87" i="33"/>
  <c r="K48" i="44"/>
  <c r="T51" i="45"/>
  <c r="I39" i="44"/>
  <c r="F90" i="44"/>
  <c r="M48" i="45"/>
  <c r="AO48" i="33"/>
  <c r="AC45" i="45"/>
  <c r="AO102" i="44"/>
  <c r="M18" i="45"/>
  <c r="X102" i="33"/>
  <c r="T42" i="45"/>
  <c r="T57" i="45"/>
  <c r="AA66" i="44"/>
  <c r="A91" i="41"/>
  <c r="Q45" i="44"/>
  <c r="M99" i="45"/>
  <c r="AI9" i="45"/>
  <c r="T63" i="33"/>
  <c r="N54" i="33"/>
  <c r="I90" i="33"/>
  <c r="T87" i="33"/>
  <c r="A19" i="42"/>
  <c r="AD75" i="33"/>
  <c r="I18" i="33"/>
  <c r="AF66" i="45"/>
  <c r="AJ57" i="45"/>
  <c r="X75" i="44"/>
  <c r="AJ36" i="45"/>
  <c r="P27" i="44"/>
  <c r="A91" i="43"/>
  <c r="A25" i="41"/>
  <c r="Y51" i="45"/>
  <c r="P96" i="44"/>
  <c r="AH21" i="44"/>
  <c r="M39" i="45"/>
  <c r="N30" i="45"/>
  <c r="K36" i="44"/>
  <c r="L18" i="45"/>
  <c r="AF78" i="45"/>
  <c r="AR18" i="33"/>
  <c r="AN69" i="44"/>
  <c r="AN102" i="33"/>
  <c r="M102" i="33"/>
  <c r="G78" i="33"/>
  <c r="F96" i="44"/>
  <c r="AH99" i="44"/>
  <c r="W33" i="33"/>
  <c r="T93" i="33"/>
  <c r="S69" i="45"/>
  <c r="E60" i="33"/>
  <c r="G72" i="44"/>
  <c r="AQ78" i="45"/>
  <c r="AC60" i="33"/>
  <c r="AA102" i="45"/>
  <c r="W96" i="44"/>
  <c r="AP87" i="44"/>
  <c r="AN93" i="33"/>
  <c r="AF60" i="45"/>
  <c r="AR84" i="45"/>
  <c r="AP33" i="44"/>
  <c r="W57" i="33"/>
  <c r="AL36" i="33"/>
  <c r="Y27" i="33"/>
  <c r="AM48" i="44"/>
  <c r="Z102" i="45"/>
  <c r="A16" i="47"/>
  <c r="V33" i="33"/>
  <c r="U96" i="45"/>
  <c r="AJ84" i="33"/>
  <c r="R18" i="44"/>
  <c r="AE24" i="45"/>
  <c r="AE45" i="45"/>
  <c r="AM15" i="44"/>
  <c r="Y102" i="44"/>
  <c r="AD96" i="44"/>
  <c r="AC21" i="33"/>
  <c r="AN33" i="33"/>
  <c r="AJ27" i="45"/>
  <c r="AI15" i="45"/>
  <c r="AO36" i="33"/>
  <c r="U51" i="45"/>
  <c r="K24" i="44"/>
  <c r="U15" i="45"/>
  <c r="S87" i="44"/>
  <c r="AJ99" i="45"/>
  <c r="AN39" i="45"/>
  <c r="G42" i="44"/>
  <c r="F84" i="44"/>
  <c r="A86" i="42"/>
  <c r="A84" i="42"/>
  <c r="AI75" i="44"/>
  <c r="AD24" i="45"/>
  <c r="A103" i="41"/>
  <c r="AM54" i="44"/>
  <c r="AG54" i="45"/>
  <c r="Z63" i="44"/>
  <c r="AG57" i="44"/>
  <c r="X90" i="44"/>
  <c r="AI39" i="45"/>
  <c r="Y15" i="44"/>
  <c r="AG21" i="44"/>
  <c r="O54" i="45"/>
  <c r="AB96" i="33"/>
  <c r="A100" i="43"/>
  <c r="AB60" i="45"/>
  <c r="AD21" i="45"/>
  <c r="F9" i="33"/>
  <c r="L75" i="33"/>
  <c r="AI96" i="45"/>
  <c r="AH63" i="33"/>
  <c r="AD45" i="44"/>
  <c r="AE99" i="33"/>
  <c r="AD48" i="33"/>
  <c r="AB81" i="45"/>
  <c r="AC57" i="45"/>
  <c r="F69" i="44"/>
  <c r="U27" i="33"/>
  <c r="R18" i="33"/>
  <c r="W87" i="45"/>
  <c r="AN96" i="44"/>
  <c r="R75" i="33"/>
  <c r="W51" i="44"/>
  <c r="AO45" i="44"/>
  <c r="AM99" i="45"/>
  <c r="E96" i="33"/>
  <c r="O21" i="33"/>
  <c r="K63" i="44"/>
  <c r="AR33" i="33"/>
  <c r="P15" i="44"/>
  <c r="H99" i="45"/>
  <c r="R84" i="33"/>
  <c r="T84" i="45"/>
  <c r="AK81" i="33"/>
  <c r="K33" i="45"/>
  <c r="I99" i="44"/>
  <c r="A31" i="42"/>
  <c r="AD69" i="33"/>
  <c r="AJ57" i="33"/>
  <c r="Q36" i="44"/>
  <c r="AF33" i="45"/>
  <c r="AR54" i="44"/>
  <c r="A73" i="41"/>
  <c r="A37" i="44"/>
  <c r="F81" i="33"/>
  <c r="O33" i="45"/>
  <c r="AF75" i="33"/>
  <c r="N9" i="33"/>
  <c r="AF18" i="33"/>
  <c r="E45" i="45"/>
  <c r="AL69" i="45"/>
  <c r="M63" i="33"/>
  <c r="E84" i="45"/>
  <c r="Z87" i="33"/>
  <c r="U99" i="44"/>
  <c r="AO48" i="45"/>
  <c r="H90" i="44"/>
  <c r="M72" i="45"/>
  <c r="AE45" i="44"/>
  <c r="AF81" i="33"/>
  <c r="AR39" i="45"/>
  <c r="U15" i="33"/>
  <c r="AK102" i="44"/>
  <c r="AN18" i="44"/>
  <c r="AG54" i="33"/>
  <c r="AL9" i="44"/>
  <c r="V42" i="33"/>
  <c r="U84" i="44"/>
  <c r="AB9" i="45"/>
  <c r="V27" i="33"/>
  <c r="F75" i="45"/>
  <c r="AP39" i="45"/>
  <c r="AO21" i="33"/>
  <c r="Y90" i="44"/>
  <c r="A82" i="46"/>
  <c r="G81" i="45"/>
  <c r="AA99" i="33"/>
  <c r="AI54" i="45"/>
  <c r="N87" i="45"/>
  <c r="Z75" i="33"/>
  <c r="AP72" i="44"/>
  <c r="AM18" i="44"/>
  <c r="AR99" i="45"/>
  <c r="AC102" i="33"/>
  <c r="W78" i="44"/>
  <c r="X21" i="45"/>
  <c r="AR69" i="44"/>
  <c r="AD54" i="45"/>
  <c r="A94" i="44"/>
  <c r="O93" i="45"/>
  <c r="G87" i="45"/>
  <c r="AB21" i="45"/>
  <c r="W102" i="33"/>
  <c r="AO9" i="45"/>
  <c r="G42" i="33"/>
  <c r="P102" i="33"/>
  <c r="U9" i="44"/>
  <c r="AB39" i="45"/>
  <c r="AF87" i="45"/>
  <c r="AQ39" i="44"/>
  <c r="AK9" i="33"/>
  <c r="AF57" i="44"/>
  <c r="AO9" i="33"/>
  <c r="AM30" i="45"/>
  <c r="AH81" i="45"/>
  <c r="U27" i="44"/>
  <c r="AQ72" i="33"/>
  <c r="AO75" i="33"/>
  <c r="AO30" i="45"/>
  <c r="N87" i="44"/>
  <c r="AO54" i="33"/>
  <c r="AN57" i="45"/>
  <c r="AQ93" i="45"/>
  <c r="Y69" i="33"/>
  <c r="O48" i="44"/>
  <c r="N39" i="33"/>
  <c r="A51" i="41"/>
  <c r="A53" i="41"/>
  <c r="R45" i="44"/>
  <c r="T72" i="33"/>
  <c r="AQ93" i="33"/>
  <c r="P90" i="45"/>
  <c r="A46" i="33"/>
  <c r="AL21" i="45"/>
  <c r="AA69" i="45"/>
  <c r="AA87" i="33"/>
  <c r="N93" i="33"/>
  <c r="Y51" i="33"/>
  <c r="AM75" i="33"/>
  <c r="AN42" i="33"/>
  <c r="K90" i="44"/>
  <c r="A88" i="45"/>
  <c r="V15" i="44"/>
  <c r="AA36" i="45"/>
  <c r="I42" i="44"/>
  <c r="R81" i="33"/>
  <c r="M21" i="44"/>
  <c r="Q63" i="44"/>
  <c r="AN45" i="33"/>
  <c r="O81" i="33"/>
  <c r="A76" i="41"/>
  <c r="G15" i="45"/>
  <c r="O84" i="44"/>
  <c r="AC30" i="33"/>
  <c r="AH72" i="44"/>
  <c r="AB18" i="45"/>
  <c r="G18" i="44"/>
  <c r="AQ30" i="44"/>
  <c r="AN102" i="44"/>
  <c r="AD102" i="33"/>
  <c r="U30" i="33"/>
  <c r="L24" i="44"/>
  <c r="V63" i="33"/>
  <c r="AC51" i="45"/>
  <c r="AK78" i="44"/>
  <c r="A76" i="45"/>
  <c r="R78" i="45"/>
  <c r="A82" i="33"/>
  <c r="AN39" i="33"/>
  <c r="P69" i="44"/>
  <c r="AQ30" i="45"/>
  <c r="Y15" i="33"/>
  <c r="A73" i="46"/>
  <c r="K96" i="45"/>
  <c r="A34" i="41"/>
  <c r="A37" i="41"/>
  <c r="S66" i="33"/>
  <c r="AE54" i="44"/>
  <c r="S60" i="44"/>
  <c r="J81" i="45"/>
  <c r="A91" i="46"/>
  <c r="A82" i="41"/>
  <c r="AM45" i="45"/>
  <c r="AF57" i="45"/>
  <c r="H15" i="44"/>
  <c r="W39" i="33"/>
  <c r="AC57" i="44"/>
  <c r="AK21" i="33"/>
  <c r="AD75" i="44"/>
  <c r="A58" i="46"/>
  <c r="AI57" i="45"/>
  <c r="R9" i="33"/>
  <c r="AB84" i="45"/>
  <c r="AA9" i="33"/>
  <c r="E72" i="44"/>
  <c r="AC54" i="44"/>
  <c r="M75" i="33"/>
  <c r="AE30" i="33"/>
  <c r="L18" i="44"/>
  <c r="H54" i="33"/>
  <c r="E18" i="44"/>
  <c r="F93" i="44"/>
  <c r="W81" i="44"/>
  <c r="R63" i="44"/>
  <c r="AH30" i="44"/>
  <c r="AA45" i="44"/>
  <c r="AN36" i="45"/>
  <c r="A42" i="45"/>
  <c r="A44" i="45"/>
  <c r="AO81" i="44"/>
  <c r="AH51" i="33"/>
  <c r="O15" i="33"/>
  <c r="O39" i="33"/>
  <c r="AJ39" i="44"/>
  <c r="L63" i="45"/>
  <c r="Q27" i="44"/>
  <c r="Y39" i="45"/>
  <c r="AB102" i="45"/>
  <c r="K99" i="33"/>
  <c r="AC90" i="33"/>
  <c r="W51" i="33"/>
  <c r="L24" i="33"/>
  <c r="S24" i="33"/>
  <c r="W45" i="45"/>
  <c r="AQ60" i="44"/>
  <c r="T9" i="45"/>
  <c r="P30" i="45"/>
  <c r="M69" i="44"/>
  <c r="AQ27" i="44"/>
  <c r="AK90" i="33"/>
  <c r="A25" i="42"/>
  <c r="J27" i="45"/>
  <c r="O87" i="44"/>
  <c r="P9" i="45"/>
  <c r="V36" i="33"/>
  <c r="AA15" i="33"/>
  <c r="AB96" i="44"/>
  <c r="AI24" i="33"/>
  <c r="AP48" i="44"/>
  <c r="AN81" i="44"/>
  <c r="AJ21" i="33"/>
  <c r="W21" i="45"/>
  <c r="AG63" i="33"/>
  <c r="AP72" i="45"/>
  <c r="P66" i="33"/>
  <c r="AL96" i="33"/>
  <c r="AR33" i="44"/>
  <c r="K84" i="45"/>
  <c r="F60" i="33"/>
  <c r="AH57" i="44"/>
  <c r="U39" i="44"/>
  <c r="A70" i="47"/>
  <c r="R81" i="45"/>
  <c r="AF60" i="33"/>
  <c r="H63" i="44"/>
  <c r="S84" i="44"/>
  <c r="AH90" i="45"/>
  <c r="P33" i="45"/>
  <c r="S78" i="45"/>
  <c r="AL66" i="33"/>
  <c r="Y102" i="45"/>
  <c r="AG99" i="45"/>
  <c r="AL99" i="33"/>
  <c r="A103" i="47"/>
  <c r="J81" i="33"/>
  <c r="V60" i="44"/>
  <c r="AP30" i="44"/>
  <c r="AG102" i="45"/>
  <c r="Q54" i="33"/>
  <c r="AB93" i="33"/>
  <c r="J57" i="33"/>
  <c r="M96" i="45"/>
  <c r="AM18" i="45"/>
  <c r="O48" i="45"/>
  <c r="A31" i="47"/>
  <c r="Z36" i="45"/>
  <c r="AK96" i="33"/>
  <c r="S96" i="33"/>
  <c r="I84" i="45"/>
  <c r="R81" i="44"/>
  <c r="AI9" i="33"/>
  <c r="N42" i="45"/>
  <c r="M45" i="45"/>
  <c r="AL51" i="44"/>
  <c r="AR39" i="44"/>
  <c r="AM9" i="44"/>
  <c r="AA54" i="45"/>
  <c r="AA30" i="33"/>
  <c r="S60" i="45"/>
  <c r="M57" i="33"/>
  <c r="I90" i="44"/>
  <c r="H87" i="33"/>
  <c r="AJ99" i="44"/>
  <c r="Z51" i="45"/>
  <c r="AD63" i="44"/>
  <c r="AP27" i="33"/>
  <c r="X42" i="44"/>
  <c r="S72" i="45"/>
  <c r="AF45" i="45"/>
  <c r="J87" i="44"/>
  <c r="G78" i="45"/>
  <c r="A46" i="46"/>
  <c r="AA24" i="33"/>
  <c r="AB63" i="33"/>
  <c r="W57" i="45"/>
  <c r="AB36" i="33"/>
  <c r="AD39" i="45"/>
  <c r="U24" i="45"/>
  <c r="R18" i="45"/>
  <c r="K87" i="45"/>
  <c r="I57" i="33"/>
  <c r="Q24" i="45"/>
  <c r="L78" i="45"/>
  <c r="I27" i="44"/>
  <c r="M27" i="33"/>
  <c r="AN48" i="44"/>
  <c r="AQ54" i="33"/>
  <c r="E75" i="33"/>
  <c r="K9" i="45"/>
  <c r="Y72" i="44"/>
  <c r="U48" i="33"/>
  <c r="G57" i="45"/>
  <c r="K27" i="45"/>
  <c r="AC78" i="33"/>
  <c r="AI78" i="33"/>
  <c r="V87" i="45"/>
  <c r="U21" i="45"/>
  <c r="AK84" i="45"/>
  <c r="AN72" i="44"/>
  <c r="M51" i="33"/>
  <c r="AQ54" i="44"/>
  <c r="X54" i="33"/>
  <c r="A49" i="46"/>
  <c r="A91" i="47"/>
  <c r="AL81" i="33"/>
  <c r="Y18" i="33"/>
  <c r="F36" i="33"/>
  <c r="AM51" i="45"/>
  <c r="A88" i="41"/>
  <c r="AQ48" i="45"/>
  <c r="S42" i="44"/>
  <c r="O72" i="33"/>
  <c r="J96" i="33"/>
  <c r="AI84" i="45"/>
  <c r="AQ36" i="44"/>
  <c r="Y81" i="33"/>
  <c r="Z96" i="33"/>
  <c r="AN90" i="33"/>
  <c r="AL48" i="45"/>
  <c r="Q69" i="44"/>
  <c r="AO81" i="45"/>
  <c r="P9" i="44"/>
  <c r="AR75" i="33"/>
  <c r="AH75" i="33"/>
  <c r="AM90" i="45"/>
  <c r="AD57" i="45"/>
  <c r="T21" i="44"/>
  <c r="E24" i="33"/>
  <c r="AO93" i="33"/>
  <c r="S72" i="44"/>
  <c r="Z78" i="33"/>
  <c r="E99" i="33"/>
  <c r="U87" i="45"/>
  <c r="V15" i="45"/>
  <c r="AA39" i="45"/>
  <c r="AN48" i="33"/>
  <c r="P57" i="33"/>
  <c r="AF66" i="44"/>
  <c r="AP60" i="33"/>
  <c r="AF39" i="45"/>
  <c r="G90" i="44"/>
  <c r="AI90" i="33"/>
  <c r="K93" i="33"/>
  <c r="W75" i="45"/>
  <c r="A103" i="44"/>
  <c r="AE48" i="33"/>
  <c r="T30" i="45"/>
  <c r="F102" i="45"/>
  <c r="Y57" i="45"/>
  <c r="Z81" i="45"/>
  <c r="A67" i="47"/>
  <c r="AF81" i="44"/>
  <c r="Y21" i="45"/>
  <c r="AD51" i="44"/>
  <c r="AJ63" i="45"/>
  <c r="AD84" i="33"/>
  <c r="AB9" i="44"/>
  <c r="O99" i="45"/>
  <c r="R60" i="33"/>
  <c r="E69" i="45"/>
  <c r="AF36" i="33"/>
  <c r="AQ21" i="44"/>
  <c r="L63" i="44"/>
  <c r="AH84" i="44"/>
  <c r="AH57" i="33"/>
  <c r="P69" i="33"/>
  <c r="L9" i="33"/>
  <c r="AI30" i="45"/>
  <c r="E18" i="45"/>
  <c r="AC81" i="45"/>
  <c r="W39" i="44"/>
  <c r="A16" i="41"/>
  <c r="AN78" i="45"/>
  <c r="T54" i="45"/>
  <c r="Y9" i="44"/>
  <c r="AF24" i="45"/>
  <c r="AE96" i="33"/>
  <c r="AC99" i="45"/>
  <c r="AQ78" i="33"/>
  <c r="AK63" i="44"/>
  <c r="AP54" i="33"/>
  <c r="X57" i="45"/>
  <c r="K60" i="44"/>
  <c r="J42" i="33"/>
  <c r="AB87" i="44"/>
  <c r="AQ78" i="44"/>
  <c r="R33" i="45"/>
  <c r="AO99" i="45"/>
  <c r="AM69" i="33"/>
  <c r="AB66" i="44"/>
  <c r="X27" i="45"/>
  <c r="AQ66" i="45"/>
  <c r="AK96" i="44"/>
  <c r="Q72" i="44"/>
  <c r="Q93" i="44"/>
  <c r="AJ60" i="45"/>
  <c r="P66" i="44"/>
  <c r="AI72" i="45"/>
  <c r="AG72" i="44"/>
  <c r="Y21" i="33"/>
  <c r="Y33" i="33"/>
  <c r="W24" i="44"/>
  <c r="J45" i="45"/>
  <c r="V66" i="44"/>
  <c r="H72" i="33"/>
  <c r="A86" i="47"/>
  <c r="A84" i="47"/>
  <c r="AG42" i="45"/>
  <c r="S51" i="44"/>
  <c r="W57" i="44"/>
  <c r="L96" i="44"/>
  <c r="AH45" i="44"/>
  <c r="AF57" i="33"/>
  <c r="AG45" i="44"/>
  <c r="A80" i="44"/>
  <c r="A78" i="44"/>
  <c r="A22" i="42"/>
  <c r="K27" i="33"/>
  <c r="N90" i="44"/>
  <c r="G30" i="45"/>
  <c r="P30" i="44"/>
  <c r="F21" i="44"/>
  <c r="N90" i="45"/>
  <c r="S87" i="33"/>
  <c r="W45" i="44"/>
  <c r="N60" i="45"/>
  <c r="AL24" i="44"/>
  <c r="E99" i="45"/>
  <c r="X24" i="45"/>
  <c r="I102" i="33"/>
  <c r="I54" i="45"/>
  <c r="AE39" i="44"/>
  <c r="U33" i="33"/>
  <c r="AI99" i="33"/>
  <c r="AA30" i="44"/>
  <c r="AE90" i="45"/>
  <c r="Z75" i="45"/>
  <c r="AH93" i="45"/>
  <c r="M84" i="45"/>
  <c r="Q39" i="44"/>
  <c r="X48" i="45"/>
  <c r="AE102" i="45"/>
  <c r="R63" i="33"/>
  <c r="A103" i="43"/>
  <c r="Z24" i="33"/>
  <c r="R30" i="44"/>
  <c r="E99" i="44"/>
  <c r="K63" i="33"/>
  <c r="S78" i="33"/>
  <c r="E57" i="33"/>
  <c r="AE102" i="44"/>
  <c r="AH33" i="33"/>
  <c r="AD48" i="45"/>
  <c r="AJ51" i="45"/>
  <c r="AB57" i="45"/>
  <c r="AJ75" i="33"/>
  <c r="J75" i="44"/>
  <c r="Y30" i="44"/>
  <c r="J15" i="44"/>
  <c r="AJ63" i="44"/>
  <c r="Z75" i="44"/>
  <c r="AP90" i="45"/>
  <c r="L33" i="45"/>
  <c r="Z36" i="44"/>
  <c r="P42" i="33"/>
  <c r="AR27" i="45"/>
  <c r="AO57" i="44"/>
  <c r="J51" i="33"/>
  <c r="AO66" i="45"/>
  <c r="AR87" i="45"/>
  <c r="J39" i="44"/>
  <c r="F42" i="44"/>
  <c r="AJ48" i="44"/>
  <c r="L75" i="45"/>
  <c r="K78" i="33"/>
  <c r="AP96" i="44"/>
  <c r="AD78" i="45"/>
  <c r="A43" i="43"/>
  <c r="AC78" i="45"/>
  <c r="AG90" i="33"/>
  <c r="R90" i="33"/>
  <c r="AM72" i="44"/>
  <c r="AP30" i="33"/>
  <c r="AD60" i="33"/>
  <c r="P99" i="44"/>
  <c r="S21" i="44"/>
  <c r="AI42" i="33"/>
  <c r="Z72" i="45"/>
  <c r="I60" i="33"/>
  <c r="E102" i="33"/>
  <c r="AQ57" i="44"/>
  <c r="AN63" i="45"/>
  <c r="AG60" i="44"/>
  <c r="AF69" i="45"/>
  <c r="Q69" i="33"/>
  <c r="AL75" i="44"/>
  <c r="AK96" i="45"/>
  <c r="E84" i="33"/>
  <c r="L36" i="33"/>
  <c r="AD42" i="33"/>
  <c r="AF93" i="45"/>
  <c r="AO30" i="33"/>
  <c r="F78" i="45"/>
  <c r="AQ60" i="45"/>
  <c r="AC66" i="45"/>
  <c r="F87" i="33"/>
  <c r="P69" i="45"/>
  <c r="V21" i="33"/>
  <c r="AL54" i="45"/>
  <c r="A64" i="47"/>
  <c r="AP15" i="44"/>
  <c r="AO27" i="44"/>
  <c r="M48" i="33"/>
  <c r="F90" i="45"/>
  <c r="AB102" i="33"/>
  <c r="AL15" i="45"/>
  <c r="Y75" i="44"/>
  <c r="F72" i="45"/>
  <c r="AA30" i="45"/>
  <c r="Q21" i="33"/>
  <c r="AE9" i="33"/>
  <c r="AP60" i="45"/>
  <c r="X66" i="44"/>
  <c r="F63" i="44"/>
  <c r="R36" i="44"/>
  <c r="V75" i="44"/>
  <c r="R39" i="44"/>
  <c r="A76" i="44"/>
  <c r="AA57" i="33"/>
  <c r="V75" i="45"/>
  <c r="AQ45" i="44"/>
  <c r="N15" i="45"/>
  <c r="AN60" i="33"/>
  <c r="AP81" i="45"/>
  <c r="AH45" i="33"/>
  <c r="AN36" i="33"/>
  <c r="E102" i="44"/>
  <c r="N84" i="45"/>
  <c r="A97" i="42"/>
  <c r="W69" i="33"/>
  <c r="Z60" i="33"/>
  <c r="O90" i="33"/>
  <c r="J48" i="44"/>
  <c r="H9" i="44"/>
  <c r="AN84" i="45"/>
  <c r="AL90" i="45"/>
  <c r="AP9" i="45"/>
  <c r="A37" i="42"/>
  <c r="J24" i="45"/>
  <c r="AN66" i="45"/>
  <c r="L45" i="45"/>
  <c r="AN45" i="45"/>
  <c r="AJ84" i="44"/>
  <c r="L39" i="33"/>
  <c r="AQ48" i="44"/>
  <c r="P9" i="33"/>
  <c r="M66" i="44"/>
  <c r="AJ90" i="45"/>
  <c r="N93" i="44"/>
  <c r="AQ24" i="44"/>
  <c r="W33" i="44"/>
  <c r="A19" i="43"/>
  <c r="A91" i="42"/>
  <c r="AC75" i="33"/>
  <c r="AL9" i="45"/>
  <c r="U51" i="44"/>
  <c r="A79" i="43"/>
  <c r="Z81" i="44"/>
  <c r="X78" i="44"/>
  <c r="G21" i="33"/>
  <c r="AI24" i="44"/>
  <c r="J30" i="45"/>
  <c r="AK51" i="45"/>
  <c r="Z45" i="33"/>
  <c r="AK66" i="33"/>
  <c r="AA66" i="33"/>
  <c r="V66" i="45"/>
  <c r="G84" i="44"/>
  <c r="AL15" i="33"/>
  <c r="A43" i="46"/>
  <c r="Q39" i="45"/>
  <c r="L69" i="45"/>
  <c r="AB42" i="33"/>
  <c r="AA33" i="44"/>
  <c r="H27" i="44"/>
  <c r="H39" i="33"/>
  <c r="S54" i="44"/>
  <c r="H102" i="33"/>
  <c r="AA45" i="45"/>
  <c r="AM54" i="45"/>
  <c r="AD78" i="44"/>
  <c r="X57" i="44"/>
  <c r="AE78" i="33"/>
  <c r="AL84" i="45"/>
  <c r="Z81" i="33"/>
  <c r="F36" i="45"/>
  <c r="N81" i="45"/>
  <c r="O33" i="44"/>
  <c r="A61" i="33"/>
  <c r="V9" i="45"/>
  <c r="A85" i="43"/>
  <c r="R66" i="45"/>
  <c r="AN51" i="45"/>
  <c r="AD15" i="33"/>
  <c r="F102" i="33"/>
  <c r="AC63" i="44"/>
  <c r="M99" i="44"/>
  <c r="AJ87" i="45"/>
  <c r="AG87" i="45"/>
  <c r="R93" i="45"/>
  <c r="U87" i="33"/>
  <c r="AL90" i="33"/>
  <c r="L36" i="45"/>
  <c r="F57" i="44"/>
  <c r="Q84" i="45"/>
  <c r="I93" i="33"/>
  <c r="J57" i="45"/>
  <c r="J21" i="45"/>
  <c r="V42" i="45"/>
  <c r="E30" i="33"/>
  <c r="AI54" i="44"/>
  <c r="AM15" i="33"/>
  <c r="Q99" i="45"/>
  <c r="AK27" i="45"/>
  <c r="Z96" i="45"/>
  <c r="K102" i="44"/>
  <c r="AF69" i="44"/>
  <c r="P78" i="44"/>
  <c r="O93" i="33"/>
  <c r="V21" i="44"/>
  <c r="O21" i="45"/>
  <c r="AR24" i="45"/>
  <c r="AK78" i="45"/>
  <c r="AN75" i="45"/>
  <c r="AE66" i="33"/>
  <c r="E36" i="33"/>
  <c r="Q75" i="33"/>
  <c r="AH27" i="45"/>
  <c r="N66" i="33"/>
  <c r="AD30" i="45"/>
  <c r="P15" i="33"/>
  <c r="Q99" i="33"/>
  <c r="AC87" i="44"/>
  <c r="AE87" i="33"/>
  <c r="AP87" i="45"/>
  <c r="H96" i="44"/>
  <c r="P24" i="44"/>
  <c r="AB45" i="44"/>
  <c r="J33" i="33"/>
  <c r="X39" i="45"/>
  <c r="A64" i="44"/>
  <c r="M24" i="45"/>
  <c r="AK69" i="33"/>
  <c r="V27" i="44"/>
  <c r="AE93" i="44"/>
  <c r="AI24" i="45"/>
  <c r="AK102" i="45"/>
  <c r="E60" i="45"/>
  <c r="AL39" i="45"/>
  <c r="A47" i="41"/>
  <c r="A45" i="41"/>
  <c r="AA84" i="45"/>
  <c r="AK72" i="45"/>
  <c r="AF15" i="33"/>
  <c r="T60" i="44"/>
  <c r="W54" i="45"/>
  <c r="G21" i="45"/>
  <c r="V9" i="33"/>
  <c r="G99" i="45"/>
  <c r="AF99" i="33"/>
  <c r="V72" i="44"/>
  <c r="J39" i="45"/>
  <c r="AC42" i="44"/>
  <c r="A79" i="47"/>
  <c r="X75" i="45"/>
  <c r="S36" i="45"/>
  <c r="AF33" i="33"/>
  <c r="AJ54" i="44"/>
  <c r="AG48" i="45"/>
  <c r="AP48" i="33"/>
  <c r="AP93" i="45"/>
  <c r="U93" i="44"/>
  <c r="L90" i="33"/>
  <c r="AD66" i="33"/>
  <c r="H30" i="45"/>
  <c r="H96" i="45"/>
  <c r="AI69" i="33"/>
  <c r="AQ51" i="44"/>
  <c r="AC63" i="33"/>
  <c r="AR51" i="44"/>
  <c r="S63" i="33"/>
  <c r="T72" i="45"/>
  <c r="AB24" i="45"/>
  <c r="E15" i="45"/>
  <c r="AI48" i="44"/>
  <c r="AQ39" i="33"/>
  <c r="AK81" i="44"/>
  <c r="M51" i="45"/>
  <c r="AL36" i="45"/>
  <c r="AQ102" i="33"/>
  <c r="AJ78" i="45"/>
  <c r="AR78" i="44"/>
  <c r="AM69" i="44"/>
  <c r="G63" i="33"/>
  <c r="S30" i="45"/>
  <c r="M84" i="44"/>
  <c r="E87" i="45"/>
  <c r="AI21" i="33"/>
  <c r="AH66" i="44"/>
  <c r="AB69" i="44"/>
  <c r="V93" i="44"/>
  <c r="E78" i="45"/>
  <c r="Q81" i="33"/>
  <c r="X33" i="44"/>
  <c r="G24" i="45"/>
  <c r="H54" i="45"/>
  <c r="T24" i="44"/>
  <c r="S24" i="44"/>
  <c r="AP63" i="45"/>
  <c r="AN63" i="33"/>
  <c r="L78" i="44"/>
  <c r="AL33" i="45"/>
  <c r="AN60" i="45"/>
  <c r="AE69" i="45"/>
  <c r="X15" i="33"/>
  <c r="AE57" i="44"/>
  <c r="S33" i="45"/>
  <c r="O66" i="44"/>
  <c r="M51" i="44"/>
  <c r="AC96" i="44"/>
  <c r="AR66" i="33"/>
  <c r="M39" i="33"/>
  <c r="F102" i="44"/>
  <c r="Z84" i="44"/>
  <c r="AL57" i="44"/>
  <c r="Z48" i="45"/>
  <c r="P81" i="33"/>
  <c r="S27" i="44"/>
  <c r="AP96" i="45"/>
  <c r="AI60" i="44"/>
  <c r="G24" i="33"/>
  <c r="N9" i="44"/>
  <c r="W30" i="33"/>
  <c r="P90" i="44"/>
  <c r="AF102" i="33"/>
  <c r="AR93" i="33"/>
  <c r="AJ36" i="33"/>
  <c r="S33" i="33"/>
  <c r="AO84" i="44"/>
  <c r="AD102" i="45"/>
  <c r="R102" i="44"/>
  <c r="AH87" i="44"/>
  <c r="V57" i="33"/>
  <c r="AR66" i="44"/>
  <c r="AO18" i="45"/>
  <c r="E27" i="33"/>
  <c r="AH99" i="33"/>
  <c r="A79" i="41"/>
  <c r="AK39" i="45"/>
  <c r="A49" i="41"/>
  <c r="AF84" i="33"/>
  <c r="AG36" i="45"/>
  <c r="AO33" i="45"/>
  <c r="A94" i="41"/>
  <c r="AF27" i="44"/>
  <c r="N42" i="33"/>
  <c r="K84" i="33"/>
  <c r="AO21" i="44"/>
  <c r="Y84" i="33"/>
  <c r="V96" i="44"/>
  <c r="P63" i="33"/>
  <c r="R33" i="44"/>
  <c r="N78" i="33"/>
  <c r="G60" i="33"/>
  <c r="P24" i="45"/>
  <c r="A88" i="44"/>
  <c r="J51" i="45"/>
  <c r="O60" i="45"/>
  <c r="J27" i="44"/>
  <c r="W99" i="33"/>
  <c r="AO27" i="33"/>
  <c r="AD66" i="44"/>
  <c r="AR81" i="45"/>
  <c r="AI96" i="33"/>
  <c r="E33" i="33"/>
  <c r="AN24" i="33"/>
  <c r="T18" i="33"/>
  <c r="W102" i="45"/>
  <c r="E57" i="45"/>
  <c r="W75" i="44"/>
  <c r="AP78" i="33"/>
  <c r="AC33" i="33"/>
  <c r="U21" i="33"/>
  <c r="AA78" i="33"/>
  <c r="E27" i="45"/>
  <c r="U63" i="44"/>
  <c r="AD36" i="45"/>
  <c r="A62" i="45"/>
  <c r="A60" i="45"/>
  <c r="J102" i="45"/>
  <c r="Q96" i="33"/>
  <c r="A63" i="43"/>
  <c r="A65" i="43"/>
  <c r="AD57" i="44"/>
  <c r="T93" i="45"/>
  <c r="AG39" i="33"/>
  <c r="G84" i="33"/>
  <c r="AQ66" i="33"/>
  <c r="L93" i="45"/>
  <c r="AQ90" i="44"/>
  <c r="AH15" i="44"/>
  <c r="R27" i="33"/>
  <c r="A55" i="43"/>
  <c r="AM21" i="45"/>
  <c r="AF15" i="44"/>
  <c r="I21" i="45"/>
  <c r="O36" i="45"/>
  <c r="AR99" i="44"/>
  <c r="AA90" i="33"/>
  <c r="O9" i="44"/>
  <c r="AO42" i="45"/>
  <c r="AN75" i="44"/>
  <c r="G96" i="33"/>
  <c r="P24" i="33"/>
  <c r="AR84" i="44"/>
  <c r="A35" i="46"/>
  <c r="A33" i="46"/>
  <c r="M24" i="33"/>
  <c r="R96" i="33"/>
  <c r="AO27" i="45"/>
  <c r="O78" i="33"/>
  <c r="J90" i="33"/>
  <c r="A79" i="46"/>
  <c r="V93" i="33"/>
  <c r="A69" i="46"/>
  <c r="A71" i="46"/>
  <c r="AK87" i="44"/>
  <c r="P63" i="44"/>
  <c r="AE39" i="45"/>
  <c r="A100" i="45"/>
  <c r="AC93" i="45"/>
  <c r="AH81" i="33"/>
  <c r="Y42" i="33"/>
  <c r="AM42" i="44"/>
  <c r="AH75" i="44"/>
  <c r="AO78" i="45"/>
  <c r="J42" i="44"/>
  <c r="AO66" i="44"/>
  <c r="AP78" i="44"/>
  <c r="AB48" i="45"/>
  <c r="AF48" i="44"/>
  <c r="S63" i="44"/>
  <c r="AC102" i="45"/>
  <c r="H99" i="44"/>
  <c r="E87" i="44"/>
  <c r="U18" i="33"/>
  <c r="AM36" i="45"/>
  <c r="K96" i="33"/>
  <c r="M57" i="45"/>
  <c r="AA60" i="33"/>
  <c r="G18" i="45"/>
  <c r="M102" i="45"/>
  <c r="AI75" i="33"/>
  <c r="H102" i="44"/>
  <c r="W42" i="33"/>
  <c r="K18" i="44"/>
  <c r="A88" i="47"/>
  <c r="Z51" i="33"/>
  <c r="S9" i="33"/>
  <c r="AM36" i="33"/>
  <c r="AM81" i="33"/>
  <c r="AJ42" i="33"/>
  <c r="M69" i="33"/>
  <c r="O57" i="44"/>
  <c r="AO63" i="33"/>
  <c r="A58" i="33"/>
  <c r="N30" i="33"/>
  <c r="AC75" i="44"/>
  <c r="AE90" i="44"/>
  <c r="I102" i="44"/>
  <c r="AN24" i="44"/>
  <c r="AQ63" i="45"/>
  <c r="AA93" i="45"/>
  <c r="AM57" i="33"/>
  <c r="P87" i="45"/>
  <c r="Y78" i="45"/>
  <c r="T30" i="33"/>
  <c r="W63" i="33"/>
  <c r="R72" i="44"/>
  <c r="E21" i="33"/>
  <c r="AH15" i="33"/>
  <c r="AP99" i="44"/>
  <c r="AO93" i="44"/>
  <c r="I54" i="33"/>
  <c r="A47" i="45"/>
  <c r="A45" i="45"/>
  <c r="AB72" i="44"/>
  <c r="A64" i="45"/>
  <c r="AI90" i="44"/>
  <c r="K36" i="33"/>
  <c r="AH33" i="44"/>
  <c r="AF75" i="45"/>
  <c r="S24" i="45"/>
  <c r="A25" i="47"/>
  <c r="A37" i="46"/>
  <c r="AG39" i="45"/>
  <c r="I57" i="45"/>
  <c r="R69" i="33"/>
  <c r="E51" i="44"/>
  <c r="I27" i="33"/>
  <c r="A52" i="45"/>
  <c r="L18" i="33"/>
  <c r="AG69" i="44"/>
  <c r="AG27" i="44"/>
  <c r="L27" i="45"/>
  <c r="X60" i="45"/>
  <c r="I81" i="45"/>
  <c r="I66" i="45"/>
  <c r="A25" i="43"/>
  <c r="F93" i="33"/>
  <c r="AB69" i="45"/>
  <c r="E15" i="44"/>
  <c r="A97" i="41"/>
  <c r="Q87" i="44"/>
  <c r="X36" i="45"/>
  <c r="Z39" i="45"/>
  <c r="Y93" i="44"/>
  <c r="L66" i="45"/>
  <c r="AH96" i="33"/>
  <c r="AM15" i="45"/>
  <c r="AA69" i="44"/>
  <c r="Z57" i="44"/>
  <c r="AR9" i="44"/>
  <c r="R84" i="45"/>
  <c r="S15" i="33"/>
  <c r="AK9" i="44"/>
  <c r="AK54" i="45"/>
  <c r="AH30" i="33"/>
  <c r="H18" i="45"/>
  <c r="AI45" i="44"/>
  <c r="N54" i="44"/>
  <c r="F15" i="44"/>
  <c r="Q18" i="45"/>
  <c r="A37" i="45"/>
  <c r="E75" i="45"/>
  <c r="Z27" i="45"/>
  <c r="P93" i="33"/>
  <c r="W24" i="33"/>
  <c r="AK99" i="45"/>
  <c r="A16" i="45"/>
  <c r="J9" i="45"/>
  <c r="AK24" i="33"/>
  <c r="Z33" i="44"/>
  <c r="W9" i="33"/>
  <c r="V84" i="45"/>
  <c r="O24" i="44"/>
  <c r="N21" i="44"/>
  <c r="AE60" i="44"/>
  <c r="J33" i="44"/>
  <c r="H78" i="44"/>
  <c r="AI30" i="33"/>
  <c r="X18" i="45"/>
  <c r="U90" i="44"/>
  <c r="U60" i="44"/>
  <c r="AR27" i="33"/>
  <c r="AD57" i="33"/>
  <c r="AK15" i="33"/>
  <c r="AM90" i="33"/>
  <c r="S21" i="45"/>
  <c r="Q27" i="45"/>
  <c r="M81" i="45"/>
  <c r="R57" i="33"/>
  <c r="AJ78" i="33"/>
  <c r="G90" i="33"/>
  <c r="L9" i="44"/>
  <c r="T66" i="45"/>
  <c r="H63" i="33"/>
  <c r="U39" i="45"/>
  <c r="AE21" i="44"/>
  <c r="W9" i="45"/>
  <c r="I90" i="45"/>
  <c r="AA66" i="45"/>
  <c r="AM96" i="33"/>
  <c r="I33" i="44"/>
  <c r="AB90" i="44"/>
  <c r="F75" i="33"/>
  <c r="AM60" i="45"/>
  <c r="Q9" i="33"/>
  <c r="R102" i="33"/>
  <c r="AO18" i="44"/>
  <c r="S90" i="44"/>
  <c r="S36" i="33"/>
  <c r="AK30" i="33"/>
  <c r="M87" i="45"/>
  <c r="AB78" i="45"/>
  <c r="AC66" i="44"/>
  <c r="A82" i="47"/>
  <c r="H27" i="33"/>
  <c r="AJ90" i="44"/>
  <c r="O66" i="45"/>
  <c r="A37" i="47"/>
  <c r="AO63" i="44"/>
  <c r="V81" i="33"/>
  <c r="P21" i="44"/>
  <c r="AN45" i="44"/>
  <c r="AJ30" i="33"/>
  <c r="AF90" i="33"/>
  <c r="H60" i="44"/>
  <c r="A29" i="43"/>
  <c r="A27" i="43"/>
  <c r="A57" i="47" l="1"/>
  <c r="A59" i="47"/>
  <c r="A21" i="41"/>
  <c r="A23" i="41"/>
  <c r="A35" i="44"/>
  <c r="A33" i="44"/>
  <c r="A90" i="45"/>
  <c r="A92" i="45"/>
  <c r="A35" i="45"/>
  <c r="A33" i="45"/>
  <c r="A54" i="42"/>
  <c r="A56" i="42"/>
  <c r="A53" i="33"/>
  <c r="A51" i="33"/>
  <c r="A92" i="44"/>
  <c r="A90" i="44"/>
  <c r="A39" i="46"/>
  <c r="A41" i="46"/>
  <c r="A56" i="44"/>
  <c r="A54" i="44"/>
  <c r="A81" i="45"/>
  <c r="A83" i="45"/>
  <c r="A77" i="43"/>
  <c r="A75" i="43"/>
  <c r="A41" i="42"/>
  <c r="A39" i="42"/>
  <c r="A74" i="44"/>
  <c r="A72" i="44"/>
  <c r="A68" i="46"/>
  <c r="A63" i="33"/>
  <c r="A95" i="45"/>
  <c r="A53" i="43"/>
  <c r="A30" i="44"/>
  <c r="A36" i="43"/>
  <c r="A18" i="41"/>
  <c r="A71" i="45"/>
  <c r="A65" i="41"/>
  <c r="A17" i="43"/>
  <c r="A75" i="42"/>
  <c r="A60" i="42"/>
  <c r="A44" i="41"/>
  <c r="A44" i="42"/>
  <c r="A50" i="44"/>
  <c r="A45" i="44"/>
  <c r="A86" i="45"/>
  <c r="A17" i="33"/>
  <c r="A81" i="43"/>
  <c r="A27" i="47"/>
  <c r="A29" i="42"/>
  <c r="A29" i="45"/>
  <c r="A21" i="33"/>
  <c r="A27" i="41"/>
  <c r="A29" i="44"/>
  <c r="A53" i="44"/>
  <c r="A68" i="44"/>
  <c r="A95" i="46"/>
  <c r="A20" i="45"/>
  <c r="A18" i="47"/>
  <c r="A95" i="33"/>
  <c r="A20" i="33"/>
  <c r="A66" i="42"/>
  <c r="A29" i="33"/>
  <c r="A96" i="46"/>
  <c r="A23" i="45"/>
  <c r="A89" i="43"/>
  <c r="A96" i="43"/>
  <c r="A74" i="43"/>
  <c r="A77" i="33"/>
  <c r="A87" i="33"/>
  <c r="A51" i="42"/>
  <c r="A71" i="42"/>
  <c r="A84" i="33"/>
  <c r="A99" i="41"/>
  <c r="A80" i="33"/>
  <c r="A101" i="33"/>
  <c r="A39" i="41"/>
  <c r="A41" i="43"/>
  <c r="A47" i="47"/>
  <c r="A98" i="45"/>
  <c r="A72" i="42"/>
  <c r="A21" i="43"/>
  <c r="A44" i="44"/>
  <c r="A99" i="44"/>
  <c r="A60" i="46"/>
  <c r="A99" i="46"/>
  <c r="A29" i="46"/>
  <c r="A96" i="33"/>
  <c r="A35" i="33"/>
  <c r="A39" i="33"/>
  <c r="A54" i="33"/>
  <c r="A104" i="42"/>
  <c r="A35" i="42"/>
  <c r="A83" i="44"/>
  <c r="A54" i="45"/>
  <c r="A23" i="46"/>
  <c r="A33" i="47"/>
  <c r="A51" i="47"/>
  <c r="A59" i="45"/>
  <c r="A26" i="33"/>
  <c r="A92" i="33"/>
  <c r="A62" i="41"/>
  <c r="A80" i="42"/>
  <c r="A78" i="42"/>
  <c r="A21" i="47"/>
  <c r="A30" i="33"/>
  <c r="A50" i="47"/>
  <c r="A56" i="41"/>
  <c r="A84" i="41"/>
  <c r="A71" i="41"/>
  <c r="A38" i="33"/>
  <c r="A93" i="42"/>
  <c r="A89" i="42"/>
  <c r="A63" i="42"/>
  <c r="A59" i="44"/>
  <c r="A17" i="46"/>
  <c r="A86" i="46"/>
  <c r="A21" i="44"/>
  <c r="A77" i="46"/>
  <c r="A48" i="33"/>
  <c r="A66" i="45"/>
  <c r="A36" i="47"/>
  <c r="A38" i="47"/>
  <c r="A18" i="46"/>
  <c r="A20" i="46"/>
  <c r="A17" i="45"/>
  <c r="A15" i="45"/>
  <c r="A95" i="41"/>
  <c r="A93" i="41"/>
  <c r="A33" i="41"/>
  <c r="A35" i="41"/>
  <c r="A81" i="47"/>
  <c r="A83" i="47"/>
  <c r="A78" i="46"/>
  <c r="A80" i="46"/>
  <c r="A78" i="41"/>
  <c r="A80" i="41"/>
  <c r="A80" i="43"/>
  <c r="A78" i="43"/>
  <c r="A38" i="42"/>
  <c r="A36" i="42"/>
  <c r="A30" i="47"/>
  <c r="A32" i="47"/>
  <c r="A71" i="47"/>
  <c r="A69" i="47"/>
  <c r="A57" i="46"/>
  <c r="A59" i="46"/>
  <c r="A77" i="41"/>
  <c r="A75" i="41"/>
  <c r="A87" i="45"/>
  <c r="A89" i="45"/>
  <c r="A47" i="33"/>
  <c r="A45" i="33"/>
  <c r="A15" i="47"/>
  <c r="A17" i="47"/>
  <c r="A41" i="45"/>
  <c r="A39" i="45"/>
  <c r="A96" i="44"/>
  <c r="A98" i="44"/>
  <c r="A84" i="44"/>
  <c r="A86" i="44"/>
  <c r="A18" i="44"/>
  <c r="A20" i="44"/>
  <c r="A62" i="33"/>
  <c r="A60" i="33"/>
  <c r="A30" i="43"/>
  <c r="A32" i="43"/>
  <c r="A90" i="41"/>
  <c r="A92" i="41"/>
  <c r="A50" i="42"/>
  <c r="A48" i="42"/>
  <c r="A41" i="47"/>
  <c r="A39" i="47"/>
  <c r="A92" i="47"/>
  <c r="A90" i="47"/>
  <c r="A83" i="41"/>
  <c r="A81" i="41"/>
  <c r="A72" i="46"/>
  <c r="A74" i="46"/>
  <c r="A38" i="44"/>
  <c r="A36" i="44"/>
  <c r="A32" i="42"/>
  <c r="A30" i="42"/>
  <c r="A90" i="43"/>
  <c r="A92" i="43"/>
  <c r="A71" i="44"/>
  <c r="A69" i="44"/>
  <c r="A24" i="46"/>
  <c r="A26" i="46"/>
  <c r="A68" i="43"/>
  <c r="A66" i="43"/>
  <c r="A50" i="41"/>
  <c r="A48" i="41"/>
  <c r="A42" i="46"/>
  <c r="A44" i="46"/>
  <c r="A42" i="43"/>
  <c r="A44" i="43"/>
  <c r="A26" i="43"/>
  <c r="A24" i="43"/>
  <c r="A38" i="46"/>
  <c r="A36" i="46"/>
  <c r="A65" i="45"/>
  <c r="A63" i="45"/>
  <c r="A18" i="43"/>
  <c r="A20" i="43"/>
  <c r="A48" i="46"/>
  <c r="A50" i="46"/>
  <c r="A92" i="46"/>
  <c r="A90" i="46"/>
  <c r="A72" i="41"/>
  <c r="A74" i="41"/>
  <c r="A101" i="43"/>
  <c r="A99" i="43"/>
  <c r="A45" i="43"/>
  <c r="A47" i="43"/>
  <c r="A72" i="33"/>
  <c r="A74" i="33"/>
  <c r="A68" i="33"/>
  <c r="A66" i="33"/>
  <c r="A48" i="43"/>
  <c r="A50" i="43"/>
  <c r="A59" i="43"/>
  <c r="A57" i="43"/>
  <c r="A57" i="41"/>
  <c r="A59" i="41"/>
  <c r="A15" i="42"/>
  <c r="A17" i="42"/>
  <c r="A24" i="44"/>
  <c r="A26" i="44"/>
  <c r="A83" i="42"/>
  <c r="A81" i="42"/>
  <c r="A45" i="46"/>
  <c r="A47" i="46"/>
  <c r="A36" i="41"/>
  <c r="A38" i="41"/>
  <c r="A102" i="43"/>
  <c r="A104" i="43"/>
  <c r="A104" i="47"/>
  <c r="A102" i="47"/>
  <c r="A83" i="46"/>
  <c r="A81" i="46"/>
  <c r="A87" i="46"/>
  <c r="A89" i="46"/>
  <c r="A30" i="46"/>
  <c r="A32" i="46"/>
  <c r="A59" i="33"/>
  <c r="A57" i="33"/>
  <c r="A99" i="45"/>
  <c r="A101" i="45"/>
  <c r="A65" i="44"/>
  <c r="A63" i="44"/>
  <c r="A81" i="33"/>
  <c r="A83" i="33"/>
  <c r="A93" i="44"/>
  <c r="A95" i="44"/>
  <c r="A104" i="41"/>
  <c r="A102" i="41"/>
  <c r="A65" i="46"/>
  <c r="A63" i="46"/>
  <c r="A53" i="46"/>
  <c r="A51" i="46"/>
  <c r="A57" i="42"/>
  <c r="A59" i="42"/>
  <c r="A54" i="47"/>
  <c r="A56" i="47"/>
  <c r="A102" i="46"/>
  <c r="A104" i="46"/>
  <c r="A36" i="45"/>
  <c r="A38" i="45"/>
  <c r="A95" i="47"/>
  <c r="A93" i="47"/>
  <c r="A15" i="44"/>
  <c r="A17" i="44"/>
  <c r="A26" i="42"/>
  <c r="A24" i="42"/>
  <c r="A75" i="45"/>
  <c r="A77" i="45"/>
  <c r="A47" i="42"/>
  <c r="A45" i="42"/>
  <c r="A96" i="41"/>
  <c r="A98" i="41"/>
  <c r="A53" i="45"/>
  <c r="A51" i="45"/>
  <c r="A87" i="47"/>
  <c r="A89" i="47"/>
  <c r="A56" i="43"/>
  <c r="A54" i="43"/>
  <c r="A98" i="42"/>
  <c r="A96" i="42"/>
  <c r="A68" i="47"/>
  <c r="A66" i="47"/>
  <c r="A87" i="41"/>
  <c r="A89" i="41"/>
  <c r="A26" i="41"/>
  <c r="A24" i="41"/>
  <c r="A18" i="42"/>
  <c r="A20" i="42"/>
  <c r="A72" i="45"/>
  <c r="A74" i="45"/>
  <c r="A32" i="45"/>
  <c r="A30" i="45"/>
  <c r="A99" i="42"/>
  <c r="A101" i="42"/>
  <c r="A66" i="41"/>
  <c r="A68" i="41"/>
  <c r="A54" i="46"/>
  <c r="A56" i="46"/>
  <c r="A17" i="41"/>
  <c r="A15" i="41"/>
  <c r="A30" i="41"/>
  <c r="A32" i="41"/>
  <c r="A89" i="44"/>
  <c r="A87" i="44"/>
  <c r="A24" i="47"/>
  <c r="A26" i="47"/>
  <c r="A80" i="47"/>
  <c r="A78" i="47"/>
  <c r="A84" i="43"/>
  <c r="A86" i="43"/>
  <c r="A90" i="42"/>
  <c r="A92" i="42"/>
  <c r="A75" i="44"/>
  <c r="A77" i="44"/>
  <c r="A63" i="47"/>
  <c r="A65" i="47"/>
  <c r="A23" i="42"/>
  <c r="A21" i="42"/>
  <c r="A102" i="44"/>
  <c r="A104" i="44"/>
  <c r="A44" i="47"/>
  <c r="A42" i="47"/>
  <c r="A35" i="43"/>
  <c r="A33" i="43"/>
  <c r="A42" i="33"/>
  <c r="A44" i="33"/>
  <c r="A60" i="43"/>
  <c r="A62" i="43"/>
  <c r="A24" i="45"/>
  <c r="A26" i="45"/>
  <c r="A99" i="47"/>
  <c r="A101" i="47"/>
  <c r="CM112" i="4" a="1"/>
  <c r="CM112" i="4" s="1"/>
  <c r="CU112" i="4" l="1" a="1"/>
  <c r="CU112" i="4" s="1"/>
  <c r="CR112" i="4"/>
  <c r="CS112" i="4"/>
  <c r="CT112" i="4" s="1"/>
  <c r="CV112" i="4" l="1"/>
  <c r="CM116" i="4" a="1"/>
  <c r="CM116" i="4" s="1"/>
  <c r="CM113" i="4" a="1"/>
  <c r="CM113" i="4" s="1"/>
  <c r="CS113" i="4" l="1"/>
  <c r="CT113" i="4" s="1"/>
  <c r="CR113" i="4"/>
  <c r="CU113" i="4" a="1"/>
  <c r="CU113" i="4" s="1"/>
  <c r="CS116" i="4"/>
  <c r="CR116" i="4"/>
  <c r="CU116" i="4" a="1"/>
  <c r="CU116" i="4" s="1"/>
  <c r="CV113" i="4" l="1"/>
  <c r="CT116" i="4"/>
  <c r="CV116" i="4" s="1"/>
  <c r="CM119" i="4" a="1"/>
  <c r="CM119" i="4" s="1"/>
  <c r="CU119" i="4" l="1" a="1"/>
  <c r="CU119" i="4" s="1"/>
  <c r="CR119" i="4"/>
  <c r="CS119" i="4"/>
  <c r="CT119" i="4" s="1"/>
  <c r="CV119" i="4" l="1"/>
  <c r="CM121" i="4" a="1"/>
  <c r="CM121" i="4" s="1"/>
  <c r="CM43" i="4" a="1"/>
  <c r="CM43" i="4" s="1"/>
  <c r="CU121" i="4" l="1" a="1"/>
  <c r="CU121" i="4" s="1"/>
  <c r="CS121" i="4"/>
  <c r="CR121" i="4"/>
  <c r="CU43" i="4" a="1"/>
  <c r="CU43" i="4" s="1"/>
  <c r="CS43" i="4"/>
  <c r="CR43" i="4"/>
  <c r="CM122" i="4" a="1"/>
  <c r="CM122" i="4" s="1"/>
  <c r="CU122" i="4" l="1" a="1"/>
  <c r="CU122" i="4" s="1"/>
  <c r="CS122" i="4"/>
  <c r="CR122" i="4"/>
  <c r="CT121" i="4"/>
  <c r="CV121" i="4" s="1"/>
  <c r="CT43" i="4"/>
  <c r="CV43" i="4" s="1"/>
  <c r="CM123" i="4" a="1"/>
  <c r="CM123" i="4" s="1"/>
  <c r="CS123" i="4" l="1"/>
  <c r="CT123" i="4" s="1"/>
  <c r="CU123" i="4" a="1"/>
  <c r="CU123" i="4" s="1"/>
  <c r="CR123" i="4"/>
  <c r="CT122" i="4"/>
  <c r="CV122" i="4" s="1"/>
  <c r="CV123" i="4" l="1"/>
  <c r="CM124" i="4" a="1"/>
  <c r="CM124" i="4" s="1"/>
  <c r="AS98" i="47" s="1" a="1"/>
  <c r="AS98" i="47" s="1"/>
  <c r="AF104" i="47" a="1"/>
  <c r="AF104" i="47" s="1"/>
  <c r="AP100" i="47" a="1"/>
  <c r="AP100" i="47" s="1"/>
  <c r="X100" i="47" a="1"/>
  <c r="X100" i="47" s="1"/>
  <c r="AA98" i="47" a="1"/>
  <c r="AA98" i="47" s="1"/>
  <c r="K98" i="47" a="1"/>
  <c r="K98" i="47" s="1"/>
  <c r="J97" i="47" a="1"/>
  <c r="J97" i="47" s="1"/>
  <c r="AQ95" i="47" a="1"/>
  <c r="AQ95" i="47" s="1"/>
  <c r="AG95" i="47" a="1"/>
  <c r="AG95" i="47" s="1"/>
  <c r="U95" i="47" a="1"/>
  <c r="U95" i="47" s="1"/>
  <c r="AD98" i="47" a="1"/>
  <c r="AD98" i="47" s="1"/>
  <c r="AM95" i="47" a="1"/>
  <c r="AM95" i="47" s="1"/>
  <c r="Z95" i="47" a="1"/>
  <c r="Z95" i="47" s="1"/>
  <c r="L95" i="47" a="1"/>
  <c r="L95" i="47" s="1"/>
  <c r="AS94" i="47" a="1"/>
  <c r="AS94" i="47" s="1"/>
  <c r="W94" i="47" a="1"/>
  <c r="W94" i="47" s="1"/>
  <c r="AH92" i="47" a="1"/>
  <c r="AH92" i="47" s="1"/>
  <c r="V92" i="47" a="1"/>
  <c r="V92" i="47" s="1"/>
  <c r="R92" i="47" a="1"/>
  <c r="R92" i="47" s="1"/>
  <c r="J92" i="47" a="1"/>
  <c r="J92" i="47" s="1"/>
  <c r="AG91" i="47" a="1"/>
  <c r="AG91" i="47" s="1"/>
  <c r="AC91" i="47" a="1"/>
  <c r="AC91" i="47" s="1"/>
  <c r="U91" i="47" a="1"/>
  <c r="U91" i="47" s="1"/>
  <c r="M91" i="47" a="1"/>
  <c r="M91" i="47" s="1"/>
  <c r="AT89" i="47" a="1"/>
  <c r="AT89" i="47" s="1"/>
  <c r="AP89" i="47" a="1"/>
  <c r="AP89" i="47" s="1"/>
  <c r="AK88" i="47" a="1"/>
  <c r="AK88" i="47" s="1"/>
  <c r="W89" i="47" a="1"/>
  <c r="W89" i="47" s="1"/>
  <c r="L89" i="47" a="1"/>
  <c r="L89" i="47" s="1"/>
  <c r="AS88" i="47" a="1"/>
  <c r="AS88" i="47" s="1"/>
  <c r="AP88" i="47" a="1"/>
  <c r="AP88" i="47" s="1"/>
  <c r="AC88" i="47" a="1"/>
  <c r="AC88" i="47" s="1"/>
  <c r="Z88" i="47" a="1"/>
  <c r="Z88" i="47" s="1"/>
  <c r="V88" i="47" a="1"/>
  <c r="V88" i="47" s="1"/>
  <c r="AM86" i="47" a="1"/>
  <c r="AM86" i="47" s="1"/>
  <c r="AF86" i="47" a="1"/>
  <c r="AF86" i="47" s="1"/>
  <c r="AC85" i="47" a="1"/>
  <c r="AC85" i="47" s="1"/>
  <c r="R86" i="47" a="1"/>
  <c r="R86" i="47" s="1"/>
  <c r="AR85" i="47" a="1"/>
  <c r="AR85" i="47" s="1"/>
  <c r="AI85" i="47" a="1"/>
  <c r="AI85" i="47" s="1"/>
  <c r="U85" i="47" a="1"/>
  <c r="U85" i="47" s="1"/>
  <c r="J86" i="47" a="1"/>
  <c r="J86" i="47" s="1"/>
  <c r="AR83" i="47" a="1"/>
  <c r="AR83" i="47" s="1"/>
  <c r="AL83" i="47" a="1"/>
  <c r="AL83" i="47" s="1"/>
  <c r="AE83" i="47" a="1"/>
  <c r="AE83" i="47" s="1"/>
  <c r="X83" i="47" a="1"/>
  <c r="X83" i="47" s="1"/>
  <c r="Z98" i="47" a="1"/>
  <c r="Z98" i="47" s="1"/>
  <c r="J98" i="47" a="1"/>
  <c r="J98" i="47" s="1"/>
  <c r="AC97" i="47" a="1"/>
  <c r="AC97" i="47" s="1"/>
  <c r="M97" i="47" a="1"/>
  <c r="M97" i="47" s="1"/>
  <c r="AJ95" i="47" a="1"/>
  <c r="AJ95" i="47" s="1"/>
  <c r="AJ94" i="47" a="1"/>
  <c r="AJ94" i="47" s="1"/>
  <c r="S95" i="47" a="1"/>
  <c r="S95" i="47" s="1"/>
  <c r="O95" i="47" a="1"/>
  <c r="O95" i="47" s="1"/>
  <c r="K95" i="47" a="1"/>
  <c r="K95" i="47" s="1"/>
  <c r="AR94" i="47" a="1"/>
  <c r="AR94" i="47" s="1"/>
  <c r="AL94" i="47" a="1"/>
  <c r="AL94" i="47" s="1"/>
  <c r="AH94" i="47" a="1"/>
  <c r="AH94" i="47" s="1"/>
  <c r="AD94" i="47" a="1"/>
  <c r="AD94" i="47" s="1"/>
  <c r="Z94" i="47" a="1"/>
  <c r="Z94" i="47" s="1"/>
  <c r="Z93" i="47" s="1"/>
  <c r="V94" i="47" a="1"/>
  <c r="V94" i="47" s="1"/>
  <c r="N94" i="47" a="1"/>
  <c r="N94" i="47" s="1"/>
  <c r="N95" i="47" a="1"/>
  <c r="N95" i="47" s="1"/>
  <c r="J94" i="47" a="1"/>
  <c r="J94" i="47" s="1"/>
  <c r="AQ92" i="47" a="1"/>
  <c r="AQ92" i="47" s="1"/>
  <c r="AG92" i="47" a="1"/>
  <c r="AG92" i="47" s="1"/>
  <c r="Y92" i="47" a="1"/>
  <c r="Y92" i="47" s="1"/>
  <c r="Q92" i="47" a="1"/>
  <c r="Q92" i="47" s="1"/>
  <c r="AT91" i="47" a="1"/>
  <c r="AT91" i="47" s="1"/>
  <c r="AT92" i="47" a="1"/>
  <c r="AT92" i="47" s="1"/>
  <c r="AP92" i="47" a="1"/>
  <c r="AP92" i="47" s="1"/>
  <c r="AJ91" i="47" a="1"/>
  <c r="AJ91" i="47" s="1"/>
  <c r="AJ92" i="47" a="1"/>
  <c r="AJ92" i="47" s="1"/>
  <c r="AB92" i="47" a="1"/>
  <c r="AB92" i="47" s="1"/>
  <c r="X91" i="47" a="1"/>
  <c r="X91" i="47" s="1"/>
  <c r="T91" i="47" a="1"/>
  <c r="T91" i="47" s="1"/>
  <c r="T92" i="47" a="1"/>
  <c r="T92" i="47" s="1"/>
  <c r="P92" i="47" a="1"/>
  <c r="P92" i="47" s="1"/>
  <c r="L91" i="47" a="1"/>
  <c r="L91" i="47" s="1"/>
  <c r="L92" i="47" a="1"/>
  <c r="L92" i="47" s="1"/>
  <c r="AJ89" i="47" a="1"/>
  <c r="AJ89" i="47" s="1"/>
  <c r="Y89" i="47" a="1"/>
  <c r="Y89" i="47" s="1"/>
  <c r="V89" i="47" a="1"/>
  <c r="V89" i="47" s="1"/>
  <c r="R89" i="47" a="1"/>
  <c r="R89" i="47" s="1"/>
  <c r="K89" i="47" a="1"/>
  <c r="K89" i="47" s="1"/>
  <c r="AI88" i="47" a="1"/>
  <c r="AI88" i="47" s="1"/>
  <c r="AI89" i="47" a="1"/>
  <c r="AI89" i="47" s="1"/>
  <c r="AF88" i="47" a="1"/>
  <c r="AF88" i="47" s="1"/>
  <c r="AB88" i="47" a="1"/>
  <c r="AB88" i="47" s="1"/>
  <c r="AB89" i="47" a="1"/>
  <c r="AB89" i="47" s="1"/>
  <c r="U88" i="47" a="1"/>
  <c r="U88" i="47" s="1"/>
  <c r="U89" i="47" a="1"/>
  <c r="U89" i="47" s="1"/>
  <c r="N88" i="47" a="1"/>
  <c r="N88" i="47" s="1"/>
  <c r="N89" i="47" a="1"/>
  <c r="N89" i="47" s="1"/>
  <c r="AR86" i="47" a="1"/>
  <c r="AR86" i="47" s="1"/>
  <c r="AL86" i="47" a="1"/>
  <c r="AL86" i="47" s="1"/>
  <c r="AI86" i="47" a="1"/>
  <c r="AI86" i="47" s="1"/>
  <c r="AE86" i="47" a="1"/>
  <c r="AE86" i="47" s="1"/>
  <c r="X86" i="47" a="1"/>
  <c r="X86" i="47" s="1"/>
  <c r="U86" i="47" a="1"/>
  <c r="U86" i="47" s="1"/>
  <c r="AQ85" i="47" a="1"/>
  <c r="AQ85" i="47" s="1"/>
  <c r="AQ86" i="47" a="1"/>
  <c r="AQ86" i="47" s="1"/>
  <c r="AL85" i="47" a="1"/>
  <c r="AL85" i="47" s="1"/>
  <c r="AE85" i="47" a="1"/>
  <c r="AE85" i="47" s="1"/>
  <c r="AA86" i="47" a="1"/>
  <c r="AA86" i="47" s="1"/>
  <c r="X85" i="47" a="1"/>
  <c r="X85" i="47" s="1"/>
  <c r="T85" i="47" a="1"/>
  <c r="T85" i="47" s="1"/>
  <c r="T86" i="47" a="1"/>
  <c r="T86" i="47" s="1"/>
  <c r="M85" i="47" a="1"/>
  <c r="M85" i="47" s="1"/>
  <c r="M86" i="47" a="1"/>
  <c r="M86" i="47" s="1"/>
  <c r="AT82" i="47" a="1"/>
  <c r="AT82" i="47" s="1"/>
  <c r="AQ83" i="47" a="1"/>
  <c r="AQ83" i="47" s="1"/>
  <c r="AQ82" i="47" a="1"/>
  <c r="AQ82" i="47" s="1"/>
  <c r="AD83" i="47" a="1"/>
  <c r="AD83" i="47" s="1"/>
  <c r="AD82" i="47" a="1"/>
  <c r="AD82" i="47" s="1"/>
  <c r="AA83" i="47" a="1"/>
  <c r="AA83" i="47" s="1"/>
  <c r="T83" i="47" a="1"/>
  <c r="T83" i="47" s="1"/>
  <c r="T82" i="47" a="1"/>
  <c r="T82" i="47" s="1"/>
  <c r="Q83" i="47" a="1"/>
  <c r="Q83" i="47" s="1"/>
  <c r="Q82" i="47" a="1"/>
  <c r="Q82" i="47" s="1"/>
  <c r="N83" i="47" a="1"/>
  <c r="N83" i="47" s="1"/>
  <c r="K83" i="47" a="1"/>
  <c r="K83" i="47" s="1"/>
  <c r="V98" i="47" a="1"/>
  <c r="V98" i="47" s="1"/>
  <c r="AQ97" i="47" a="1"/>
  <c r="AQ97" i="47" s="1"/>
  <c r="Y97" i="47" a="1"/>
  <c r="Y97" i="47" s="1"/>
  <c r="AT95" i="47" a="1"/>
  <c r="AT95" i="47" s="1"/>
  <c r="AB95" i="47" a="1"/>
  <c r="AB95" i="47" s="1"/>
  <c r="W95" i="47" a="1"/>
  <c r="W95" i="47" s="1"/>
  <c r="W93" i="47" s="1"/>
  <c r="AQ94" i="47" a="1"/>
  <c r="AQ94" i="47" s="1"/>
  <c r="AK94" i="47" a="1"/>
  <c r="AK94" i="47" s="1"/>
  <c r="AC94" i="47" a="1"/>
  <c r="AC94" i="47" s="1"/>
  <c r="Y94" i="47" a="1"/>
  <c r="Y94" i="47" s="1"/>
  <c r="U94" i="47" a="1"/>
  <c r="U94" i="47" s="1"/>
  <c r="Q94" i="47" a="1"/>
  <c r="Q94" i="47" s="1"/>
  <c r="Q95" i="47" a="1"/>
  <c r="Q95" i="47" s="1"/>
  <c r="M94" i="47" a="1"/>
  <c r="M94" i="47" s="1"/>
  <c r="M95" i="47" a="1"/>
  <c r="M95" i="47" s="1"/>
  <c r="AS91" i="47" a="1"/>
  <c r="AS91" i="47" s="1"/>
  <c r="AM91" i="47" a="1"/>
  <c r="AM91" i="47" s="1"/>
  <c r="AM92" i="47" a="1"/>
  <c r="AM92" i="47" s="1"/>
  <c r="AI91" i="47" a="1"/>
  <c r="AI91" i="47" s="1"/>
  <c r="AI92" i="47" a="1"/>
  <c r="AI92" i="47" s="1"/>
  <c r="AE91" i="47" a="1"/>
  <c r="AE91" i="47" s="1"/>
  <c r="AA91" i="47" a="1"/>
  <c r="AA91" i="47" s="1"/>
  <c r="AA92" i="47" a="1"/>
  <c r="AA92" i="47" s="1"/>
  <c r="W91" i="47" a="1"/>
  <c r="W91" i="47" s="1"/>
  <c r="W92" i="47" a="1"/>
  <c r="W92" i="47" s="1"/>
  <c r="S91" i="47" a="1"/>
  <c r="S91" i="47" s="1"/>
  <c r="S92" i="47" a="1"/>
  <c r="S92" i="47" s="1"/>
  <c r="O91" i="47" a="1"/>
  <c r="O91" i="47" s="1"/>
  <c r="K91" i="47" a="1"/>
  <c r="K91" i="47" s="1"/>
  <c r="K92" i="47" a="1"/>
  <c r="K92" i="47" s="1"/>
  <c r="AR89" i="47" a="1"/>
  <c r="AR89" i="47" s="1"/>
  <c r="X89" i="47" a="1"/>
  <c r="X89" i="47" s="1"/>
  <c r="Q89" i="47" a="1"/>
  <c r="Q89" i="47" s="1"/>
  <c r="J89" i="47" a="1"/>
  <c r="J89" i="47" s="1"/>
  <c r="AR88" i="47" a="1"/>
  <c r="AR88" i="47" s="1"/>
  <c r="AL88" i="47" a="1"/>
  <c r="AL88" i="47" s="1"/>
  <c r="AE88" i="47" a="1"/>
  <c r="AE88" i="47" s="1"/>
  <c r="AE89" i="47" a="1"/>
  <c r="AE89" i="47" s="1"/>
  <c r="AA88" i="47" a="1"/>
  <c r="AA88" i="47" s="1"/>
  <c r="AA89" i="47" a="1"/>
  <c r="AA89" i="47" s="1"/>
  <c r="X88" i="47" a="1"/>
  <c r="X88" i="47" s="1"/>
  <c r="T88" i="47" a="1"/>
  <c r="T88" i="47" s="1"/>
  <c r="Q88" i="47" a="1"/>
  <c r="Q88" i="47" s="1"/>
  <c r="M88" i="47" a="1"/>
  <c r="M88" i="47" s="1"/>
  <c r="M89" i="47" a="1"/>
  <c r="M89" i="47" s="1"/>
  <c r="J88" i="47" a="1"/>
  <c r="J88" i="47" s="1"/>
  <c r="AD86" i="47" a="1"/>
  <c r="AD86" i="47" s="1"/>
  <c r="W86" i="47" a="1"/>
  <c r="W86" i="47" s="1"/>
  <c r="P86" i="47" a="1"/>
  <c r="P86" i="47" s="1"/>
  <c r="AT85" i="47" a="1"/>
  <c r="AT85" i="47" s="1"/>
  <c r="AT86" i="47" a="1"/>
  <c r="AT86" i="47" s="1"/>
  <c r="AK85" i="47" a="1"/>
  <c r="AK85" i="47" s="1"/>
  <c r="AK86" i="47" a="1"/>
  <c r="AK86" i="47" s="1"/>
  <c r="AG85" i="47" a="1"/>
  <c r="AG85" i="47" s="1"/>
  <c r="AG86" i="47" a="1"/>
  <c r="AG86" i="47" s="1"/>
  <c r="AD85" i="47" a="1"/>
  <c r="AD85" i="47" s="1"/>
  <c r="AD84" i="47" s="1"/>
  <c r="Z85" i="47" a="1"/>
  <c r="Z85" i="47" s="1"/>
  <c r="Z86" i="47" a="1"/>
  <c r="Z86" i="47" s="1"/>
  <c r="W85" i="47" a="1"/>
  <c r="W85" i="47" s="1"/>
  <c r="S85" i="47" a="1"/>
  <c r="S85" i="47" s="1"/>
  <c r="P85" i="47" a="1"/>
  <c r="P85" i="47" s="1"/>
  <c r="P84" i="47" s="1"/>
  <c r="L85" i="47" a="1"/>
  <c r="L85" i="47" s="1"/>
  <c r="L86" i="47" a="1"/>
  <c r="L86" i="47" s="1"/>
  <c r="AP83" i="47" a="1"/>
  <c r="AP83" i="47" s="1"/>
  <c r="AJ83" i="47" a="1"/>
  <c r="AJ83" i="47" s="1"/>
  <c r="AG83" i="47" a="1"/>
  <c r="AG83" i="47" s="1"/>
  <c r="AG82" i="47" a="1"/>
  <c r="AG82" i="47" s="1"/>
  <c r="AC83" i="47" a="1"/>
  <c r="AC83" i="47" s="1"/>
  <c r="Z83" i="47" a="1"/>
  <c r="Z83" i="47" s="1"/>
  <c r="W83" i="47" a="1"/>
  <c r="W83" i="47" s="1"/>
  <c r="P83" i="47" a="1"/>
  <c r="P83" i="47" s="1"/>
  <c r="M83" i="47" a="1"/>
  <c r="M83" i="47" s="1"/>
  <c r="R98" i="47" a="1"/>
  <c r="R98" i="47" s="1"/>
  <c r="AF95" i="47" a="1"/>
  <c r="AF95" i="47" s="1"/>
  <c r="AF94" i="47" a="1"/>
  <c r="AF94" i="47" s="1"/>
  <c r="P94" i="47" a="1"/>
  <c r="P94" i="47" s="1"/>
  <c r="AL91" i="47" a="1"/>
  <c r="AL91" i="47" s="1"/>
  <c r="V91" i="47" a="1"/>
  <c r="V91" i="47" s="1"/>
  <c r="V90" i="47" s="1"/>
  <c r="AQ89" i="47" a="1"/>
  <c r="AQ89" i="47" s="1"/>
  <c r="AH88" i="47" a="1"/>
  <c r="AH88" i="47" s="1"/>
  <c r="AH89" i="47" a="1"/>
  <c r="AH89" i="47" s="1"/>
  <c r="S88" i="47" a="1"/>
  <c r="S88" i="47" s="1"/>
  <c r="AP86" i="47" a="1"/>
  <c r="AP86" i="47" s="1"/>
  <c r="R85" i="47" a="1"/>
  <c r="R85" i="47" s="1"/>
  <c r="R84" i="47" s="1"/>
  <c r="AM83" i="47" a="1"/>
  <c r="AM83" i="47" s="1"/>
  <c r="AM82" i="47" a="1"/>
  <c r="AM82" i="47" s="1"/>
  <c r="Y83" i="47" a="1"/>
  <c r="Y83" i="47" s="1"/>
  <c r="Y82" i="47" a="1"/>
  <c r="Y82" i="47" s="1"/>
  <c r="J83" i="47" a="1"/>
  <c r="J83" i="47" s="1"/>
  <c r="AR82" i="47" a="1"/>
  <c r="AR82" i="47" s="1"/>
  <c r="AI82" i="47" a="1"/>
  <c r="AI82" i="47" s="1"/>
  <c r="AF82" i="47" a="1"/>
  <c r="AF82" i="47" s="1"/>
  <c r="AC82" i="47" a="1"/>
  <c r="AC82" i="47" s="1"/>
  <c r="Z82" i="47" a="1"/>
  <c r="Z82" i="47" s="1"/>
  <c r="S82" i="47" a="1"/>
  <c r="S82" i="47" s="1"/>
  <c r="S83" i="47" a="1"/>
  <c r="S83" i="47" s="1"/>
  <c r="P82" i="47" a="1"/>
  <c r="P82" i="47" s="1"/>
  <c r="M82" i="47" a="1"/>
  <c r="M82" i="47" s="1"/>
  <c r="J82" i="47" a="1"/>
  <c r="J82" i="47" s="1"/>
  <c r="AQ80" i="47" a="1"/>
  <c r="AQ80" i="47" s="1"/>
  <c r="AQ79" i="47" a="1"/>
  <c r="AQ79" i="47" s="1"/>
  <c r="AK80" i="47" a="1"/>
  <c r="AK80" i="47" s="1"/>
  <c r="AK79" i="47" a="1"/>
  <c r="AK79" i="47" s="1"/>
  <c r="AG80" i="47" a="1"/>
  <c r="AG80" i="47" s="1"/>
  <c r="AG79" i="47" a="1"/>
  <c r="AG79" i="47" s="1"/>
  <c r="AC80" i="47" a="1"/>
  <c r="AC80" i="47" s="1"/>
  <c r="AC79" i="47" a="1"/>
  <c r="AC79" i="47" s="1"/>
  <c r="Y80" i="47" a="1"/>
  <c r="Y80" i="47" s="1"/>
  <c r="Y79" i="47" a="1"/>
  <c r="Y79" i="47" s="1"/>
  <c r="U80" i="47" a="1"/>
  <c r="U80" i="47" s="1"/>
  <c r="U79" i="47" a="1"/>
  <c r="U79" i="47" s="1"/>
  <c r="Q80" i="47" a="1"/>
  <c r="Q80" i="47" s="1"/>
  <c r="M80" i="47" a="1"/>
  <c r="M80" i="47" s="1"/>
  <c r="M79" i="47" a="1"/>
  <c r="M79" i="47" s="1"/>
  <c r="AT79" i="47" a="1"/>
  <c r="AT79" i="47" s="1"/>
  <c r="AT80" i="47" a="1"/>
  <c r="AT80" i="47" s="1"/>
  <c r="AP79" i="47" a="1"/>
  <c r="AP79" i="47" s="1"/>
  <c r="AP80" i="47" a="1"/>
  <c r="AP80" i="47" s="1"/>
  <c r="AJ79" i="47" a="1"/>
  <c r="AJ79" i="47" s="1"/>
  <c r="AJ80" i="47" a="1"/>
  <c r="AJ80" i="47" s="1"/>
  <c r="AF79" i="47" a="1"/>
  <c r="AF79" i="47" s="1"/>
  <c r="AF80" i="47" a="1"/>
  <c r="AF80" i="47" s="1"/>
  <c r="AB79" i="47" a="1"/>
  <c r="AB79" i="47" s="1"/>
  <c r="AB80" i="47" a="1"/>
  <c r="AB80" i="47" s="1"/>
  <c r="X79" i="47" a="1"/>
  <c r="X79" i="47" s="1"/>
  <c r="X80" i="47" a="1"/>
  <c r="X80" i="47" s="1"/>
  <c r="T79" i="47" a="1"/>
  <c r="T79" i="47" s="1"/>
  <c r="T80" i="47" a="1"/>
  <c r="T80" i="47" s="1"/>
  <c r="P79" i="47" a="1"/>
  <c r="P79" i="47" s="1"/>
  <c r="P80" i="47" a="1"/>
  <c r="P80" i="47" s="1"/>
  <c r="L79" i="47" a="1"/>
  <c r="L79" i="47" s="1"/>
  <c r="AS77" i="47" a="1"/>
  <c r="AS77" i="47" s="1"/>
  <c r="AS76" i="47" a="1"/>
  <c r="AS76" i="47" s="1"/>
  <c r="AM77" i="47" a="1"/>
  <c r="AM77" i="47" s="1"/>
  <c r="AM76" i="47" a="1"/>
  <c r="AM76" i="47" s="1"/>
  <c r="AI77" i="47" a="1"/>
  <c r="AI77" i="47" s="1"/>
  <c r="AI76" i="47" a="1"/>
  <c r="AI76" i="47" s="1"/>
  <c r="AE77" i="47" a="1"/>
  <c r="AE77" i="47" s="1"/>
  <c r="AE76" i="47" a="1"/>
  <c r="AE76" i="47" s="1"/>
  <c r="AA77" i="47" a="1"/>
  <c r="AA77" i="47" s="1"/>
  <c r="AA76" i="47" a="1"/>
  <c r="AA76" i="47" s="1"/>
  <c r="W77" i="47" a="1"/>
  <c r="W77" i="47" s="1"/>
  <c r="S77" i="47" a="1"/>
  <c r="S77" i="47" s="1"/>
  <c r="S76" i="47" a="1"/>
  <c r="S76" i="47" s="1"/>
  <c r="O77" i="47" a="1"/>
  <c r="O77" i="47" s="1"/>
  <c r="O76" i="47" a="1"/>
  <c r="O76" i="47" s="1"/>
  <c r="K77" i="47" a="1"/>
  <c r="K77" i="47" s="1"/>
  <c r="K76" i="47" a="1"/>
  <c r="K76" i="47" s="1"/>
  <c r="AR76" i="47" a="1"/>
  <c r="AR76" i="47" s="1"/>
  <c r="AR77" i="47" a="1"/>
  <c r="AR77" i="47" s="1"/>
  <c r="AL76" i="47" a="1"/>
  <c r="AL76" i="47" s="1"/>
  <c r="AL77" i="47" a="1"/>
  <c r="AL77" i="47" s="1"/>
  <c r="AH76" i="47" a="1"/>
  <c r="AH76" i="47" s="1"/>
  <c r="AH77" i="47" a="1"/>
  <c r="AH77" i="47" s="1"/>
  <c r="AD76" i="47" a="1"/>
  <c r="AD76" i="47" s="1"/>
  <c r="AD77" i="47" a="1"/>
  <c r="AD77" i="47" s="1"/>
  <c r="Z76" i="47" a="1"/>
  <c r="Z76" i="47" s="1"/>
  <c r="Z77" i="47" a="1"/>
  <c r="Z77" i="47" s="1"/>
  <c r="V76" i="47" a="1"/>
  <c r="V76" i="47" s="1"/>
  <c r="V77" i="47" a="1"/>
  <c r="V77" i="47" s="1"/>
  <c r="R76" i="47" a="1"/>
  <c r="R76" i="47" s="1"/>
  <c r="R77" i="47" a="1"/>
  <c r="R77" i="47" s="1"/>
  <c r="N76" i="47" a="1"/>
  <c r="N76" i="47" s="1"/>
  <c r="N77" i="47" a="1"/>
  <c r="N77" i="47" s="1"/>
  <c r="J76" i="47" a="1"/>
  <c r="J76" i="47" s="1"/>
  <c r="J77" i="47" a="1"/>
  <c r="J77" i="47" s="1"/>
  <c r="AQ74" i="47" a="1"/>
  <c r="AQ74" i="47" s="1"/>
  <c r="AQ73" i="47" a="1"/>
  <c r="AQ73" i="47" s="1"/>
  <c r="AK74" i="47" a="1"/>
  <c r="AK74" i="47" s="1"/>
  <c r="AK73" i="47" a="1"/>
  <c r="AK73" i="47" s="1"/>
  <c r="AG74" i="47" a="1"/>
  <c r="AG74" i="47" s="1"/>
  <c r="AG73" i="47" a="1"/>
  <c r="AG73" i="47" s="1"/>
  <c r="AC74" i="47" a="1"/>
  <c r="AC74" i="47" s="1"/>
  <c r="Y74" i="47" a="1"/>
  <c r="Y74" i="47" s="1"/>
  <c r="Y73" i="47" a="1"/>
  <c r="Y73" i="47" s="1"/>
  <c r="U74" i="47" a="1"/>
  <c r="U74" i="47" s="1"/>
  <c r="Q74" i="47" a="1"/>
  <c r="Q74" i="47" s="1"/>
  <c r="M74" i="47" a="1"/>
  <c r="M74" i="47" s="1"/>
  <c r="M73" i="47" a="1"/>
  <c r="M73" i="47" s="1"/>
  <c r="AT73" i="47" a="1"/>
  <c r="AT73" i="47" s="1"/>
  <c r="AT74" i="47" a="1"/>
  <c r="AT74" i="47" s="1"/>
  <c r="AP73" i="47" a="1"/>
  <c r="AP73" i="47" s="1"/>
  <c r="AP74" i="47" a="1"/>
  <c r="AP74" i="47" s="1"/>
  <c r="AJ73" i="47" a="1"/>
  <c r="AJ73" i="47" s="1"/>
  <c r="AJ74" i="47" a="1"/>
  <c r="AJ74" i="47" s="1"/>
  <c r="AF73" i="47" a="1"/>
  <c r="AF73" i="47" s="1"/>
  <c r="AF74" i="47" a="1"/>
  <c r="AF74" i="47" s="1"/>
  <c r="AB73" i="47" a="1"/>
  <c r="AB73" i="47" s="1"/>
  <c r="AB74" i="47" a="1"/>
  <c r="AB74" i="47" s="1"/>
  <c r="U73" i="47" a="1"/>
  <c r="U73" i="47" s="1"/>
  <c r="Q73" i="47" a="1"/>
  <c r="Q73" i="47" s="1"/>
  <c r="AK97" i="47" a="1"/>
  <c r="AK97" i="47" s="1"/>
  <c r="AA95" i="47" a="1"/>
  <c r="AA95" i="47" s="1"/>
  <c r="AT94" i="47" a="1"/>
  <c r="AT94" i="47" s="1"/>
  <c r="AB94" i="47" a="1"/>
  <c r="AB94" i="47" s="1"/>
  <c r="L94" i="47" a="1"/>
  <c r="L94" i="47" s="1"/>
  <c r="L93" i="47" s="1"/>
  <c r="AE92" i="47" a="1"/>
  <c r="AE92" i="47" s="1"/>
  <c r="AE90" i="47" s="1"/>
  <c r="O92" i="47" a="1"/>
  <c r="O92" i="47" s="1"/>
  <c r="AH91" i="47" a="1"/>
  <c r="AH91" i="47" s="1"/>
  <c r="AH90" i="47" s="1"/>
  <c r="R91" i="47" a="1"/>
  <c r="R91" i="47" s="1"/>
  <c r="AL89" i="47" a="1"/>
  <c r="AL89" i="47" s="1"/>
  <c r="AT88" i="47" a="1"/>
  <c r="AT88" i="47" s="1"/>
  <c r="AT87" i="47" s="1"/>
  <c r="AA53" i="47" a="1"/>
  <c r="AA53" i="47" s="1"/>
  <c r="Q53" i="47" a="1"/>
  <c r="Q53" i="47" s="1"/>
  <c r="Q52" i="47" a="1"/>
  <c r="Q52" i="47" s="1"/>
  <c r="AQ52" i="47" a="1"/>
  <c r="AQ52" i="47" s="1"/>
  <c r="AQ53" i="47" a="1"/>
  <c r="AQ53" i="47" s="1"/>
  <c r="AD52" i="47" a="1"/>
  <c r="AD52" i="47" s="1"/>
  <c r="AD53" i="47" a="1"/>
  <c r="AD53" i="47" s="1"/>
  <c r="T52" i="47" a="1"/>
  <c r="T52" i="47" s="1"/>
  <c r="T53" i="47" a="1"/>
  <c r="T53" i="47" s="1"/>
  <c r="AT50" i="47" a="1"/>
  <c r="AT50" i="47" s="1"/>
  <c r="AM50" i="47" a="1"/>
  <c r="AM50" i="47" s="1"/>
  <c r="AB50" i="47" a="1"/>
  <c r="AB50" i="47" s="1"/>
  <c r="Q50" i="47" a="1"/>
  <c r="Q50" i="47" s="1"/>
  <c r="Q49" i="47" a="1"/>
  <c r="Q49" i="47" s="1"/>
  <c r="AT49" i="47" a="1"/>
  <c r="AT49" i="47" s="1"/>
  <c r="AJ49" i="47" a="1"/>
  <c r="AJ49" i="47" s="1"/>
  <c r="AB49" i="47" a="1"/>
  <c r="AB49" i="47" s="1"/>
  <c r="T49" i="47" a="1"/>
  <c r="T49" i="47" s="1"/>
  <c r="T50" i="47" a="1"/>
  <c r="T50" i="47" s="1"/>
  <c r="L49" i="47" a="1"/>
  <c r="L49" i="47" s="1"/>
  <c r="AI47" i="47" a="1"/>
  <c r="AI47" i="47" s="1"/>
  <c r="AI46" i="47" a="1"/>
  <c r="AI46" i="47" s="1"/>
  <c r="AE47" i="47" a="1"/>
  <c r="AE47" i="47" s="1"/>
  <c r="AE46" i="47" a="1"/>
  <c r="AE46" i="47" s="1"/>
  <c r="W47" i="47" a="1"/>
  <c r="W47" i="47" s="1"/>
  <c r="W46" i="47" a="1"/>
  <c r="W46" i="47" s="1"/>
  <c r="K47" i="47" a="1"/>
  <c r="K47" i="47" s="1"/>
  <c r="K46" i="47" a="1"/>
  <c r="K46" i="47" s="1"/>
  <c r="AL46" i="47" a="1"/>
  <c r="AL46" i="47" s="1"/>
  <c r="AD46" i="47" a="1"/>
  <c r="AD46" i="47" s="1"/>
  <c r="V46" i="47" a="1"/>
  <c r="V46" i="47" s="1"/>
  <c r="V47" i="47" a="1"/>
  <c r="V47" i="47" s="1"/>
  <c r="N46" i="47" a="1"/>
  <c r="N46" i="47" s="1"/>
  <c r="AQ44" i="47" a="1"/>
  <c r="AQ44" i="47" s="1"/>
  <c r="AQ43" i="47" a="1"/>
  <c r="AQ43" i="47" s="1"/>
  <c r="AG44" i="47" a="1"/>
  <c r="AG44" i="47" s="1"/>
  <c r="AG43" i="47" a="1"/>
  <c r="AG43" i="47" s="1"/>
  <c r="Y44" i="47" a="1"/>
  <c r="Y44" i="47" s="1"/>
  <c r="Y43" i="47" a="1"/>
  <c r="Y43" i="47" s="1"/>
  <c r="Q44" i="47" a="1"/>
  <c r="Q44" i="47" s="1"/>
  <c r="Q43" i="47" a="1"/>
  <c r="Q43" i="47" s="1"/>
  <c r="AJ43" i="47" a="1"/>
  <c r="AJ43" i="47" s="1"/>
  <c r="O41" i="47" a="1"/>
  <c r="O41" i="47" s="1"/>
  <c r="O40" i="47" a="1"/>
  <c r="O40" i="47" s="1"/>
  <c r="AL40" i="47" a="1"/>
  <c r="AL40" i="47" s="1"/>
  <c r="AL41" i="47" a="1"/>
  <c r="AL41" i="47" s="1"/>
  <c r="AD40" i="47" a="1"/>
  <c r="AD40" i="47" s="1"/>
  <c r="AD41" i="47" a="1"/>
  <c r="AD41" i="47" s="1"/>
  <c r="V40" i="47" a="1"/>
  <c r="V40" i="47" s="1"/>
  <c r="V41" i="47" a="1"/>
  <c r="V41" i="47" s="1"/>
  <c r="N40" i="47" a="1"/>
  <c r="N40" i="47" s="1"/>
  <c r="N41" i="47" a="1"/>
  <c r="N41" i="47" s="1"/>
  <c r="AQ38" i="47" a="1"/>
  <c r="AQ38" i="47" s="1"/>
  <c r="AQ37" i="47" a="1"/>
  <c r="AQ37" i="47" s="1"/>
  <c r="AG38" i="47" a="1"/>
  <c r="AG38" i="47" s="1"/>
  <c r="AG37" i="47" a="1"/>
  <c r="AG37" i="47" s="1"/>
  <c r="Y38" i="47" a="1"/>
  <c r="Y38" i="47" s="1"/>
  <c r="Y37" i="47" a="1"/>
  <c r="Y37" i="47" s="1"/>
  <c r="Q38" i="47" a="1"/>
  <c r="Q38" i="47" s="1"/>
  <c r="Q37" i="47" a="1"/>
  <c r="Q37" i="47" s="1"/>
  <c r="AT37" i="47" a="1"/>
  <c r="AT37" i="47" s="1"/>
  <c r="AJ37" i="47" a="1"/>
  <c r="AJ37" i="47" s="1"/>
  <c r="AB37" i="47" a="1"/>
  <c r="AB37" i="47" s="1"/>
  <c r="T37" i="47" a="1"/>
  <c r="T37" i="47" s="1"/>
  <c r="L37" i="47" a="1"/>
  <c r="L37" i="47" s="1"/>
  <c r="AI35" i="47" a="1"/>
  <c r="AI35" i="47" s="1"/>
  <c r="AI34" i="47" a="1"/>
  <c r="AI34" i="47" s="1"/>
  <c r="AA35" i="47" a="1"/>
  <c r="AA35" i="47" s="1"/>
  <c r="AA34" i="47" a="1"/>
  <c r="AA34" i="47" s="1"/>
  <c r="S35" i="47" a="1"/>
  <c r="S35" i="47" s="1"/>
  <c r="S34" i="47" a="1"/>
  <c r="S34" i="47" s="1"/>
  <c r="K35" i="47" a="1"/>
  <c r="K35" i="47" s="1"/>
  <c r="K34" i="47" a="1"/>
  <c r="K34" i="47" s="1"/>
  <c r="AL34" i="47" a="1"/>
  <c r="AL34" i="47" s="1"/>
  <c r="AL35" i="47" a="1"/>
  <c r="AL35" i="47" s="1"/>
  <c r="AD34" i="47" a="1"/>
  <c r="AD34" i="47" s="1"/>
  <c r="AD35" i="47" a="1"/>
  <c r="AD35" i="47" s="1"/>
  <c r="V34" i="47" a="1"/>
  <c r="V34" i="47" s="1"/>
  <c r="V35" i="47" a="1"/>
  <c r="V35" i="47" s="1"/>
  <c r="N34" i="47" a="1"/>
  <c r="N34" i="47" s="1"/>
  <c r="N35" i="47" a="1"/>
  <c r="N35" i="47" s="1"/>
  <c r="AQ32" i="47" a="1"/>
  <c r="AQ32" i="47" s="1"/>
  <c r="AQ31" i="47" a="1"/>
  <c r="AQ31" i="47" s="1"/>
  <c r="AG32" i="47" a="1"/>
  <c r="AG32" i="47" s="1"/>
  <c r="AG31" i="47" a="1"/>
  <c r="AG31" i="47" s="1"/>
  <c r="Y32" i="47" a="1"/>
  <c r="Y32" i="47" s="1"/>
  <c r="Q32" i="47" a="1"/>
  <c r="Q32" i="47" s="1"/>
  <c r="AT31" i="47" a="1"/>
  <c r="AT31" i="47" s="1"/>
  <c r="AT32" i="47" a="1"/>
  <c r="AT32" i="47" s="1"/>
  <c r="V80" i="47" a="1"/>
  <c r="V80" i="47" s="1"/>
  <c r="V79" i="47" a="1"/>
  <c r="V79" i="47" s="1"/>
  <c r="AI68" i="47" a="1"/>
  <c r="AI68" i="47" s="1"/>
  <c r="AI67" i="47" a="1"/>
  <c r="AI67" i="47" s="1"/>
  <c r="AQ67" i="47" a="1"/>
  <c r="AQ67" i="47" s="1"/>
  <c r="AQ68" i="47" a="1"/>
  <c r="AQ68" i="47" s="1"/>
  <c r="AE65" i="47" a="1"/>
  <c r="AE65" i="47" s="1"/>
  <c r="AE64" i="47" a="1"/>
  <c r="AE64" i="47" s="1"/>
  <c r="AI64" i="47" a="1"/>
  <c r="AI64" i="47" s="1"/>
  <c r="AI65" i="47" a="1"/>
  <c r="AI65" i="47" s="1"/>
  <c r="AP62" i="47" a="1"/>
  <c r="AP62" i="47" s="1"/>
  <c r="AP61" i="47" a="1"/>
  <c r="AP61" i="47" s="1"/>
  <c r="J62" i="47" a="1"/>
  <c r="J62" i="47" s="1"/>
  <c r="J61" i="47" a="1"/>
  <c r="J61" i="47" s="1"/>
  <c r="N61" i="47" a="1"/>
  <c r="N61" i="47" s="1"/>
  <c r="N62" i="47" a="1"/>
  <c r="N62" i="47" s="1"/>
  <c r="R59" i="47" a="1"/>
  <c r="R59" i="47" s="1"/>
  <c r="R58" i="47" a="1"/>
  <c r="R58" i="47" s="1"/>
  <c r="V58" i="47" a="1"/>
  <c r="V58" i="47" s="1"/>
  <c r="V59" i="47" a="1"/>
  <c r="V59" i="47" s="1"/>
  <c r="AC56" i="47" a="1"/>
  <c r="AC56" i="47" s="1"/>
  <c r="AC55" i="47" a="1"/>
  <c r="AC55" i="47" s="1"/>
  <c r="O56" i="47" a="1"/>
  <c r="O56" i="47" s="1"/>
  <c r="AJ55" i="47" a="1"/>
  <c r="AJ55" i="47" s="1"/>
  <c r="AJ56" i="47" a="1"/>
  <c r="AJ56" i="47" s="1"/>
  <c r="W55" i="47" a="1"/>
  <c r="W55" i="47" s="1"/>
  <c r="W56" i="47" a="1"/>
  <c r="W56" i="47" s="1"/>
  <c r="R55" i="47" a="1"/>
  <c r="R55" i="47" s="1"/>
  <c r="R56" i="47" a="1"/>
  <c r="R56" i="47" s="1"/>
  <c r="L55" i="47" a="1"/>
  <c r="L55" i="47" s="1"/>
  <c r="L56" i="47" a="1"/>
  <c r="L56" i="47" s="1"/>
  <c r="AR53" i="47" a="1"/>
  <c r="AR53" i="47" s="1"/>
  <c r="AK53" i="47" a="1"/>
  <c r="AK53" i="47" s="1"/>
  <c r="AE53" i="47" a="1"/>
  <c r="AE53" i="47" s="1"/>
  <c r="AE52" i="47" a="1"/>
  <c r="AE52" i="47" s="1"/>
  <c r="Z53" i="47" a="1"/>
  <c r="Z53" i="47" s="1"/>
  <c r="U53" i="47" a="1"/>
  <c r="U53" i="47" s="1"/>
  <c r="J53" i="47" a="1"/>
  <c r="J53" i="47" s="1"/>
  <c r="AP52" i="47" a="1"/>
  <c r="AP52" i="47" s="1"/>
  <c r="AP53" i="47" a="1"/>
  <c r="AP53" i="47" s="1"/>
  <c r="AH52" i="47" a="1"/>
  <c r="AH52" i="47" s="1"/>
  <c r="AH53" i="47" a="1"/>
  <c r="AH53" i="47" s="1"/>
  <c r="AC52" i="47" a="1"/>
  <c r="AC52" i="47" s="1"/>
  <c r="AC53" i="47" a="1"/>
  <c r="AC53" i="47" s="1"/>
  <c r="X52" i="47" a="1"/>
  <c r="X52" i="47" s="1"/>
  <c r="X53" i="47" a="1"/>
  <c r="X53" i="47" s="1"/>
  <c r="R52" i="47" a="1"/>
  <c r="R52" i="47" s="1"/>
  <c r="R53" i="47" a="1"/>
  <c r="R53" i="47" s="1"/>
  <c r="M52" i="47" a="1"/>
  <c r="M52" i="47" s="1"/>
  <c r="M53" i="47" a="1"/>
  <c r="M53" i="47" s="1"/>
  <c r="AS50" i="47" a="1"/>
  <c r="AS50" i="47" s="1"/>
  <c r="AK50" i="47" a="1"/>
  <c r="AK50" i="47" s="1"/>
  <c r="AA50" i="47" a="1"/>
  <c r="AA50" i="47" s="1"/>
  <c r="U50" i="47" a="1"/>
  <c r="U50" i="47" s="1"/>
  <c r="P50" i="47" a="1"/>
  <c r="P50" i="47" s="1"/>
  <c r="P49" i="47" a="1"/>
  <c r="P49" i="47" s="1"/>
  <c r="L50" i="47" a="1"/>
  <c r="L50" i="47" s="1"/>
  <c r="AS49" i="47" a="1"/>
  <c r="AS49" i="47" s="1"/>
  <c r="AM49" i="47" a="1"/>
  <c r="AM49" i="47" s="1"/>
  <c r="AM48" i="47" s="1"/>
  <c r="AI49" i="47" a="1"/>
  <c r="AI49" i="47" s="1"/>
  <c r="AI50" i="47" a="1"/>
  <c r="AI50" i="47" s="1"/>
  <c r="AA49" i="47" a="1"/>
  <c r="AA49" i="47" s="1"/>
  <c r="W49" i="47" a="1"/>
  <c r="W49" i="47" s="1"/>
  <c r="W50" i="47" a="1"/>
  <c r="W50" i="47" s="1"/>
  <c r="S49" i="47" a="1"/>
  <c r="S49" i="47" s="1"/>
  <c r="S50" i="47" a="1"/>
  <c r="S50" i="47" s="1"/>
  <c r="O49" i="47" a="1"/>
  <c r="O49" i="47" s="1"/>
  <c r="AR47" i="47" a="1"/>
  <c r="AR47" i="47" s="1"/>
  <c r="AR46" i="47" a="1"/>
  <c r="AR46" i="47" s="1"/>
  <c r="AL47" i="47" a="1"/>
  <c r="AL47" i="47" s="1"/>
  <c r="AD47" i="47" a="1"/>
  <c r="AD47" i="47" s="1"/>
  <c r="Z47" i="47" a="1"/>
  <c r="Z47" i="47" s="1"/>
  <c r="Z46" i="47" a="1"/>
  <c r="Z46" i="47" s="1"/>
  <c r="R47" i="47" a="1"/>
  <c r="R47" i="47" s="1"/>
  <c r="R46" i="47" a="1"/>
  <c r="R46" i="47" s="1"/>
  <c r="N47" i="47" a="1"/>
  <c r="N47" i="47" s="1"/>
  <c r="AQ46" i="47" a="1"/>
  <c r="AQ46" i="47" s="1"/>
  <c r="AQ47" i="47" a="1"/>
  <c r="AQ47" i="47" s="1"/>
  <c r="AG46" i="47" a="1"/>
  <c r="AG46" i="47" s="1"/>
  <c r="AG47" i="47" a="1"/>
  <c r="AG47" i="47" s="1"/>
  <c r="AC46" i="47" a="1"/>
  <c r="AC46" i="47" s="1"/>
  <c r="AC47" i="47" a="1"/>
  <c r="AC47" i="47" s="1"/>
  <c r="Q46" i="47" a="1"/>
  <c r="Q46" i="47" s="1"/>
  <c r="M46" i="47" a="1"/>
  <c r="M46" i="47" s="1"/>
  <c r="M47" i="47" a="1"/>
  <c r="M47" i="47" s="1"/>
  <c r="AT44" i="47" a="1"/>
  <c r="AT44" i="47" s="1"/>
  <c r="AT43" i="47" a="1"/>
  <c r="AT43" i="47" s="1"/>
  <c r="AJ44" i="47" a="1"/>
  <c r="AJ44" i="47" s="1"/>
  <c r="AB44" i="47" a="1"/>
  <c r="AB44" i="47" s="1"/>
  <c r="AB43" i="47" a="1"/>
  <c r="AB43" i="47" s="1"/>
  <c r="T44" i="47" a="1"/>
  <c r="T44" i="47" s="1"/>
  <c r="T43" i="47" a="1"/>
  <c r="T43" i="47" s="1"/>
  <c r="L44" i="47" a="1"/>
  <c r="L44" i="47" s="1"/>
  <c r="L43" i="47" a="1"/>
  <c r="L43" i="47" s="1"/>
  <c r="AM43" i="47" a="1"/>
  <c r="AM43" i="47" s="1"/>
  <c r="AE43" i="47" a="1"/>
  <c r="AE43" i="47" s="1"/>
  <c r="W43" i="47" a="1"/>
  <c r="W43" i="47" s="1"/>
  <c r="W44" i="47" a="1"/>
  <c r="W44" i="47" s="1"/>
  <c r="O43" i="47" a="1"/>
  <c r="O43" i="47" s="1"/>
  <c r="O44" i="47" a="1"/>
  <c r="O44" i="47" s="1"/>
  <c r="AR41" i="47" a="1"/>
  <c r="AR41" i="47" s="1"/>
  <c r="AR40" i="47" a="1"/>
  <c r="AR40" i="47" s="1"/>
  <c r="AH41" i="47" a="1"/>
  <c r="AH41" i="47" s="1"/>
  <c r="AH40" i="47" a="1"/>
  <c r="AH40" i="47" s="1"/>
  <c r="Z41" i="47" a="1"/>
  <c r="Z41" i="47" s="1"/>
  <c r="Z40" i="47" a="1"/>
  <c r="Z40" i="47" s="1"/>
  <c r="R41" i="47" a="1"/>
  <c r="R41" i="47" s="1"/>
  <c r="R40" i="47" a="1"/>
  <c r="R40" i="47" s="1"/>
  <c r="J41" i="47" a="1"/>
  <c r="J41" i="47" s="1"/>
  <c r="J40" i="47" a="1"/>
  <c r="J40" i="47" s="1"/>
  <c r="AQ40" i="47" a="1"/>
  <c r="AQ40" i="47" s="1"/>
  <c r="AQ41" i="47" a="1"/>
  <c r="AQ41" i="47" s="1"/>
  <c r="AG40" i="47" a="1"/>
  <c r="AG40" i="47" s="1"/>
  <c r="AG41" i="47" a="1"/>
  <c r="AG41" i="47" s="1"/>
  <c r="Y40" i="47" a="1"/>
  <c r="Y40" i="47" s="1"/>
  <c r="Y41" i="47" a="1"/>
  <c r="Y41" i="47" s="1"/>
  <c r="Q40" i="47" a="1"/>
  <c r="Q40" i="47" s="1"/>
  <c r="AT38" i="47" a="1"/>
  <c r="AT38" i="47" s="1"/>
  <c r="AJ38" i="47" a="1"/>
  <c r="AJ38" i="47" s="1"/>
  <c r="AF38" i="47" a="1"/>
  <c r="AF38" i="47" s="1"/>
  <c r="AF37" i="47" a="1"/>
  <c r="AF37" i="47" s="1"/>
  <c r="AB38" i="47" a="1"/>
  <c r="AB38" i="47" s="1"/>
  <c r="X38" i="47" a="1"/>
  <c r="X38" i="47" s="1"/>
  <c r="X37" i="47" a="1"/>
  <c r="X37" i="47" s="1"/>
  <c r="T38" i="47" a="1"/>
  <c r="T38" i="47" s="1"/>
  <c r="P38" i="47" a="1"/>
  <c r="P38" i="47" s="1"/>
  <c r="P37" i="47" a="1"/>
  <c r="P37" i="47" s="1"/>
  <c r="L38" i="47" a="1"/>
  <c r="L38" i="47" s="1"/>
  <c r="AM37" i="47" a="1"/>
  <c r="AM37" i="47" s="1"/>
  <c r="AE37" i="47" a="1"/>
  <c r="AE37" i="47" s="1"/>
  <c r="W37" i="47" a="1"/>
  <c r="W37" i="47" s="1"/>
  <c r="O37" i="47" a="1"/>
  <c r="O37" i="47" s="1"/>
  <c r="AR35" i="47" a="1"/>
  <c r="AR35" i="47" s="1"/>
  <c r="AR34" i="47" a="1"/>
  <c r="AR34" i="47" s="1"/>
  <c r="AH35" i="47" a="1"/>
  <c r="AH35" i="47" s="1"/>
  <c r="AH34" i="47" a="1"/>
  <c r="AH34" i="47" s="1"/>
  <c r="Z35" i="47" a="1"/>
  <c r="Z35" i="47" s="1"/>
  <c r="Z34" i="47" a="1"/>
  <c r="Z34" i="47" s="1"/>
  <c r="R35" i="47" a="1"/>
  <c r="R35" i="47" s="1"/>
  <c r="R34" i="47" a="1"/>
  <c r="R34" i="47" s="1"/>
  <c r="J35" i="47" a="1"/>
  <c r="J35" i="47" s="1"/>
  <c r="J34" i="47" a="1"/>
  <c r="J34" i="47" s="1"/>
  <c r="AK34" i="47" a="1"/>
  <c r="AK34" i="47" s="1"/>
  <c r="AK35" i="47" a="1"/>
  <c r="AK35" i="47" s="1"/>
  <c r="AC34" i="47" a="1"/>
  <c r="AC34" i="47" s="1"/>
  <c r="AC35" i="47" a="1"/>
  <c r="AC35" i="47" s="1"/>
  <c r="U34" i="47" a="1"/>
  <c r="U34" i="47" s="1"/>
  <c r="U35" i="47" a="1"/>
  <c r="U35" i="47" s="1"/>
  <c r="M34" i="47" a="1"/>
  <c r="M34" i="47" s="1"/>
  <c r="M35" i="47" a="1"/>
  <c r="M35" i="47" s="1"/>
  <c r="AP32" i="47" a="1"/>
  <c r="AP32" i="47" s="1"/>
  <c r="AP31" i="47" a="1"/>
  <c r="AP31" i="47" s="1"/>
  <c r="AF32" i="47" a="1"/>
  <c r="AF32" i="47" s="1"/>
  <c r="AF31" i="47" a="1"/>
  <c r="AF31" i="47" s="1"/>
  <c r="X32" i="47" a="1"/>
  <c r="X32" i="47" s="1"/>
  <c r="X31" i="47" a="1"/>
  <c r="X31" i="47" s="1"/>
  <c r="AH98" i="47" a="1"/>
  <c r="AH98" i="47" s="1"/>
  <c r="O86" i="47" a="1"/>
  <c r="O86" i="47" s="1"/>
  <c r="O85" i="47" a="1"/>
  <c r="O85" i="47" s="1"/>
  <c r="N82" i="47" a="1"/>
  <c r="N82" i="47" s="1"/>
  <c r="N81" i="47" s="1"/>
  <c r="N80" i="47" a="1"/>
  <c r="N80" i="47" s="1"/>
  <c r="N79" i="47" a="1"/>
  <c r="N79" i="47" s="1"/>
  <c r="Q79" i="47" a="1"/>
  <c r="Q79" i="47" s="1"/>
  <c r="W76" i="47" a="1"/>
  <c r="W76" i="47" s="1"/>
  <c r="W75" i="47" s="1"/>
  <c r="AC73" i="47" a="1"/>
  <c r="AC73" i="47" s="1"/>
  <c r="T71" i="47" a="1"/>
  <c r="T71" i="47" s="1"/>
  <c r="X70" i="47" a="1"/>
  <c r="X70" i="47" s="1"/>
  <c r="X71" i="47" a="1"/>
  <c r="X71" i="47" s="1"/>
  <c r="Q68" i="47" a="1"/>
  <c r="Q68" i="47" s="1"/>
  <c r="Q67" i="47" a="1"/>
  <c r="Q67" i="47" s="1"/>
  <c r="V67" i="47" a="1"/>
  <c r="V67" i="47" s="1"/>
  <c r="V68" i="47" a="1"/>
  <c r="V68" i="47" s="1"/>
  <c r="AA65" i="47" a="1"/>
  <c r="AA65" i="47" s="1"/>
  <c r="AA64" i="47" a="1"/>
  <c r="AA64" i="47" s="1"/>
  <c r="AF64" i="47" a="1"/>
  <c r="AF64" i="47" s="1"/>
  <c r="AF65" i="47" a="1"/>
  <c r="AF65" i="47" s="1"/>
  <c r="AK62" i="47" a="1"/>
  <c r="AK62" i="47" s="1"/>
  <c r="AK61" i="47" a="1"/>
  <c r="AK61" i="47" s="1"/>
  <c r="Z61" i="47" a="1"/>
  <c r="Z61" i="47" s="1"/>
  <c r="Z62" i="47" a="1"/>
  <c r="Z62" i="47" s="1"/>
  <c r="AD59" i="47" a="1"/>
  <c r="AD59" i="47" s="1"/>
  <c r="AD58" i="47" a="1"/>
  <c r="AD58" i="47" s="1"/>
  <c r="AH58" i="47" a="1"/>
  <c r="AH58" i="47" s="1"/>
  <c r="AH59" i="47" a="1"/>
  <c r="AH59" i="47" s="1"/>
  <c r="AH56" i="47" a="1"/>
  <c r="AH56" i="47" s="1"/>
  <c r="AH55" i="47" a="1"/>
  <c r="AH55" i="47" s="1"/>
  <c r="T56" i="47" a="1"/>
  <c r="T56" i="47" s="1"/>
  <c r="AQ55" i="47" a="1"/>
  <c r="AQ55" i="47" s="1"/>
  <c r="AQ56" i="47" a="1"/>
  <c r="AQ56" i="47" s="1"/>
  <c r="AG55" i="47" a="1"/>
  <c r="AG55" i="47" s="1"/>
  <c r="AG56" i="47" a="1"/>
  <c r="AG56" i="47" s="1"/>
  <c r="V55" i="47" a="1"/>
  <c r="V55" i="47" s="1"/>
  <c r="V56" i="47" a="1"/>
  <c r="V56" i="47" s="1"/>
  <c r="K55" i="47" a="1"/>
  <c r="K55" i="47" s="1"/>
  <c r="K56" i="47" a="1"/>
  <c r="K56" i="47" s="1"/>
  <c r="AI53" i="47" a="1"/>
  <c r="AI53" i="47" s="1"/>
  <c r="AI52" i="47" a="1"/>
  <c r="AI52" i="47" s="1"/>
  <c r="Y53" i="47" a="1"/>
  <c r="Y53" i="47" s="1"/>
  <c r="Y52" i="47" a="1"/>
  <c r="Y52" i="47" s="1"/>
  <c r="N53" i="47" a="1"/>
  <c r="N53" i="47" s="1"/>
  <c r="N52" i="47" a="1"/>
  <c r="N52" i="47" s="1"/>
  <c r="AG52" i="47" a="1"/>
  <c r="AG52" i="47" s="1"/>
  <c r="AG53" i="47" a="1"/>
  <c r="AG53" i="47" s="1"/>
  <c r="AB52" i="47" a="1"/>
  <c r="AB52" i="47" s="1"/>
  <c r="AB53" i="47" a="1"/>
  <c r="AB53" i="47" s="1"/>
  <c r="V52" i="47" a="1"/>
  <c r="V52" i="47" s="1"/>
  <c r="V53" i="47" a="1"/>
  <c r="V53" i="47" s="1"/>
  <c r="L52" i="47" a="1"/>
  <c r="L52" i="47" s="1"/>
  <c r="L53" i="47" a="1"/>
  <c r="L53" i="47" s="1"/>
  <c r="AJ50" i="47" a="1"/>
  <c r="AJ50" i="47" s="1"/>
  <c r="Y50" i="47" a="1"/>
  <c r="Y50" i="47" s="1"/>
  <c r="O50" i="47" a="1"/>
  <c r="O50" i="47" s="1"/>
  <c r="AR49" i="47" a="1"/>
  <c r="AR49" i="47" s="1"/>
  <c r="AR50" i="47" a="1"/>
  <c r="AR50" i="47" s="1"/>
  <c r="AH49" i="47" a="1"/>
  <c r="AH49" i="47" s="1"/>
  <c r="AH50" i="47" a="1"/>
  <c r="AH50" i="47" s="1"/>
  <c r="Z49" i="47" a="1"/>
  <c r="Z49" i="47" s="1"/>
  <c r="Z50" i="47" a="1"/>
  <c r="Z50" i="47" s="1"/>
  <c r="R49" i="47" a="1"/>
  <c r="R49" i="47" s="1"/>
  <c r="R50" i="47" a="1"/>
  <c r="R50" i="47" s="1"/>
  <c r="J49" i="47" a="1"/>
  <c r="J49" i="47" s="1"/>
  <c r="J50" i="47" a="1"/>
  <c r="J50" i="47" s="1"/>
  <c r="AK47" i="47" a="1"/>
  <c r="AK47" i="47" s="1"/>
  <c r="AK46" i="47" a="1"/>
  <c r="AK46" i="47" s="1"/>
  <c r="Q47" i="47" a="1"/>
  <c r="Q47" i="47" s="1"/>
  <c r="AT46" i="47" a="1"/>
  <c r="AT46" i="47" s="1"/>
  <c r="AT47" i="47" a="1"/>
  <c r="AT47" i="47" s="1"/>
  <c r="AF46" i="47" a="1"/>
  <c r="AF46" i="47" s="1"/>
  <c r="AF47" i="47" a="1"/>
  <c r="AF47" i="47" s="1"/>
  <c r="X46" i="47" a="1"/>
  <c r="X46" i="47" s="1"/>
  <c r="X47" i="47" a="1"/>
  <c r="X47" i="47" s="1"/>
  <c r="L46" i="47" a="1"/>
  <c r="L46" i="47" s="1"/>
  <c r="L47" i="47" a="1"/>
  <c r="L47" i="47" s="1"/>
  <c r="AM44" i="47" a="1"/>
  <c r="AM44" i="47" s="1"/>
  <c r="AE44" i="47" a="1"/>
  <c r="AE44" i="47" s="1"/>
  <c r="K44" i="47" a="1"/>
  <c r="K44" i="47" s="1"/>
  <c r="K43" i="47" a="1"/>
  <c r="K43" i="47" s="1"/>
  <c r="AC41" i="47" a="1"/>
  <c r="AC41" i="47" s="1"/>
  <c r="AC40" i="47" a="1"/>
  <c r="AC40" i="47" s="1"/>
  <c r="Q41" i="47" a="1"/>
  <c r="Q41" i="47" s="1"/>
  <c r="AJ40" i="47" a="1"/>
  <c r="AJ40" i="47" s="1"/>
  <c r="AJ41" i="47" a="1"/>
  <c r="AJ41" i="47" s="1"/>
  <c r="X40" i="47" a="1"/>
  <c r="X40" i="47" s="1"/>
  <c r="X41" i="47" a="1"/>
  <c r="X41" i="47" s="1"/>
  <c r="T40" i="47" a="1"/>
  <c r="T40" i="47" s="1"/>
  <c r="T41" i="47" a="1"/>
  <c r="T41" i="47" s="1"/>
  <c r="L40" i="47" a="1"/>
  <c r="L40" i="47" s="1"/>
  <c r="L41" i="47" a="1"/>
  <c r="L41" i="47" s="1"/>
  <c r="AM38" i="47" a="1"/>
  <c r="AM38" i="47" s="1"/>
  <c r="AE38" i="47" a="1"/>
  <c r="AE38" i="47" s="1"/>
  <c r="W38" i="47" a="1"/>
  <c r="W38" i="47" s="1"/>
  <c r="O38" i="47" a="1"/>
  <c r="O38" i="47" s="1"/>
  <c r="AR37" i="47" a="1"/>
  <c r="AR37" i="47" s="1"/>
  <c r="AR38" i="47" a="1"/>
  <c r="AR38" i="47" s="1"/>
  <c r="AL37" i="47" a="1"/>
  <c r="AL37" i="47" s="1"/>
  <c r="AL38" i="47" a="1"/>
  <c r="AL38" i="47" s="1"/>
  <c r="AD37" i="47" a="1"/>
  <c r="AD37" i="47" s="1"/>
  <c r="AD38" i="47" a="1"/>
  <c r="AD38" i="47" s="1"/>
  <c r="V37" i="47" a="1"/>
  <c r="V37" i="47" s="1"/>
  <c r="V38" i="47" a="1"/>
  <c r="V38" i="47" s="1"/>
  <c r="N37" i="47" a="1"/>
  <c r="N37" i="47" s="1"/>
  <c r="N38" i="47" a="1"/>
  <c r="N38" i="47" s="1"/>
  <c r="AQ35" i="47" a="1"/>
  <c r="AQ35" i="47" s="1"/>
  <c r="AQ34" i="47" a="1"/>
  <c r="AQ34" i="47" s="1"/>
  <c r="AG35" i="47" a="1"/>
  <c r="AG35" i="47" s="1"/>
  <c r="AG34" i="47" a="1"/>
  <c r="AG34" i="47" s="1"/>
  <c r="Y35" i="47" a="1"/>
  <c r="Y35" i="47" s="1"/>
  <c r="Y34" i="47" a="1"/>
  <c r="Y34" i="47" s="1"/>
  <c r="Q35" i="47" a="1"/>
  <c r="Q35" i="47" s="1"/>
  <c r="Q34" i="47" a="1"/>
  <c r="Q34" i="47" s="1"/>
  <c r="AT34" i="47" a="1"/>
  <c r="AT34" i="47" s="1"/>
  <c r="AT35" i="47" a="1"/>
  <c r="AT35" i="47" s="1"/>
  <c r="AJ34" i="47" a="1"/>
  <c r="AJ34" i="47" s="1"/>
  <c r="AJ35" i="47" a="1"/>
  <c r="AJ35" i="47" s="1"/>
  <c r="AB34" i="47" a="1"/>
  <c r="AB34" i="47" s="1"/>
  <c r="AB35" i="47" a="1"/>
  <c r="AB35" i="47" s="1"/>
  <c r="T34" i="47" a="1"/>
  <c r="T34" i="47" s="1"/>
  <c r="T35" i="47" a="1"/>
  <c r="T35" i="47" s="1"/>
  <c r="L34" i="47" a="1"/>
  <c r="L34" i="47" s="1"/>
  <c r="L35" i="47" a="1"/>
  <c r="L35" i="47" s="1"/>
  <c r="AI32" i="47" a="1"/>
  <c r="AI32" i="47" s="1"/>
  <c r="AI31" i="47" a="1"/>
  <c r="AI31" i="47" s="1"/>
  <c r="K32" i="47" a="1"/>
  <c r="K32" i="47" s="1"/>
  <c r="K31" i="47" a="1"/>
  <c r="K31" i="47" s="1"/>
  <c r="AE31" i="47" a="1"/>
  <c r="AE31" i="47" s="1"/>
  <c r="AE32" i="47" a="1"/>
  <c r="AE32" i="47" s="1"/>
  <c r="W31" i="47" a="1"/>
  <c r="W31" i="47" s="1"/>
  <c r="W32" i="47" a="1"/>
  <c r="W32" i="47" s="1"/>
  <c r="O31" i="47" a="1"/>
  <c r="O31" i="47" s="1"/>
  <c r="O32" i="47" a="1"/>
  <c r="O32" i="47" s="1"/>
  <c r="AR29" i="47" a="1"/>
  <c r="AR29" i="47" s="1"/>
  <c r="AR28" i="47" a="1"/>
  <c r="AR28" i="47" s="1"/>
  <c r="AH29" i="47" a="1"/>
  <c r="AH29" i="47" s="1"/>
  <c r="Z29" i="47" a="1"/>
  <c r="Z29" i="47" s="1"/>
  <c r="Z28" i="47" a="1"/>
  <c r="Z28" i="47" s="1"/>
  <c r="R29" i="47" a="1"/>
  <c r="R29" i="47" s="1"/>
  <c r="R28" i="47" a="1"/>
  <c r="R28" i="47" s="1"/>
  <c r="O29" i="47" a="1"/>
  <c r="O29" i="47" s="1"/>
  <c r="O28" i="47" a="1"/>
  <c r="O28" i="47" s="1"/>
  <c r="AP28" i="47" a="1"/>
  <c r="AP28" i="47" s="1"/>
  <c r="AP29" i="47" a="1"/>
  <c r="AP29" i="47" s="1"/>
  <c r="AH28" i="47" a="1"/>
  <c r="AH28" i="47" s="1"/>
  <c r="X28" i="47" a="1"/>
  <c r="X28" i="47" s="1"/>
  <c r="X29" i="47" a="1"/>
  <c r="X29" i="47" s="1"/>
  <c r="AF91" i="46" a="1"/>
  <c r="AF91" i="46" s="1"/>
  <c r="T91" i="46" a="1"/>
  <c r="T91" i="46" s="1"/>
  <c r="T92" i="46" a="1"/>
  <c r="T92" i="46" s="1"/>
  <c r="AS89" i="46" a="1"/>
  <c r="AS89" i="46" s="1"/>
  <c r="AS88" i="46" a="1"/>
  <c r="AS88" i="46" s="1"/>
  <c r="AF89" i="46" a="1"/>
  <c r="AF89" i="46" s="1"/>
  <c r="S89" i="46" a="1"/>
  <c r="S89" i="46" s="1"/>
  <c r="AQ88" i="46" a="1"/>
  <c r="AQ88" i="46" s="1"/>
  <c r="AQ89" i="46" a="1"/>
  <c r="AQ89" i="46" s="1"/>
  <c r="AF88" i="46" a="1"/>
  <c r="AF88" i="46" s="1"/>
  <c r="S88" i="46" a="1"/>
  <c r="S88" i="46" s="1"/>
  <c r="AR86" i="46" a="1"/>
  <c r="AR86" i="46" s="1"/>
  <c r="AR85" i="46" a="1"/>
  <c r="AR85" i="46" s="1"/>
  <c r="AI86" i="46" a="1"/>
  <c r="AI86" i="46" s="1"/>
  <c r="T86" i="46" a="1"/>
  <c r="T86" i="46" s="1"/>
  <c r="T85" i="46" a="1"/>
  <c r="T85" i="46" s="1"/>
  <c r="AS85" i="46" a="1"/>
  <c r="AS85" i="46" s="1"/>
  <c r="AS86" i="46" a="1"/>
  <c r="AS86" i="46" s="1"/>
  <c r="AB85" i="46" a="1"/>
  <c r="AB85" i="46" s="1"/>
  <c r="AB86" i="46" a="1"/>
  <c r="AB86" i="46" s="1"/>
  <c r="Q85" i="46" a="1"/>
  <c r="Q85" i="46" s="1"/>
  <c r="Q86" i="46" a="1"/>
  <c r="Q86" i="46" s="1"/>
  <c r="AG83" i="46" a="1"/>
  <c r="AG83" i="46" s="1"/>
  <c r="AR82" i="46" a="1"/>
  <c r="AR82" i="46" s="1"/>
  <c r="AR83" i="46" a="1"/>
  <c r="AR83" i="46" s="1"/>
  <c r="S82" i="46" a="1"/>
  <c r="S82" i="46" s="1"/>
  <c r="S83" i="46" a="1"/>
  <c r="S83" i="46" s="1"/>
  <c r="AB80" i="46" a="1"/>
  <c r="AB80" i="46" s="1"/>
  <c r="AK79" i="46" a="1"/>
  <c r="AK79" i="46" s="1"/>
  <c r="AK80" i="46" a="1"/>
  <c r="AK80" i="46" s="1"/>
  <c r="J79" i="46" a="1"/>
  <c r="J79" i="46" s="1"/>
  <c r="J80" i="46" a="1"/>
  <c r="J80" i="46" s="1"/>
  <c r="W77" i="46" a="1"/>
  <c r="W77" i="46" s="1"/>
  <c r="AM76" i="46" a="1"/>
  <c r="AM76" i="46" s="1"/>
  <c r="AD95" i="46" a="1"/>
  <c r="AD95" i="46" s="1"/>
  <c r="AD94" i="46" a="1"/>
  <c r="AD94" i="46" s="1"/>
  <c r="AK94" i="46" a="1"/>
  <c r="AK94" i="46" s="1"/>
  <c r="AK95" i="46" a="1"/>
  <c r="AK95" i="46" s="1"/>
  <c r="Y94" i="46" a="1"/>
  <c r="Y94" i="46" s="1"/>
  <c r="Y95" i="46" a="1"/>
  <c r="Y95" i="46" s="1"/>
  <c r="M94" i="46" a="1"/>
  <c r="M94" i="46" s="1"/>
  <c r="M95" i="46" a="1"/>
  <c r="M95" i="46" s="1"/>
  <c r="AP92" i="46" a="1"/>
  <c r="AP92" i="46" s="1"/>
  <c r="AP91" i="46" a="1"/>
  <c r="AP91" i="46" s="1"/>
  <c r="L92" i="46" a="1"/>
  <c r="L92" i="46" s="1"/>
  <c r="L91" i="46" a="1"/>
  <c r="L91" i="46" s="1"/>
  <c r="AI92" i="46" a="1"/>
  <c r="AI92" i="46" s="1"/>
  <c r="AI91" i="46" a="1"/>
  <c r="AI91" i="46" s="1"/>
  <c r="S11" i="47" a="1"/>
  <c r="S11" i="47" s="1"/>
  <c r="K11" i="47" a="1"/>
  <c r="K11" i="47" s="1"/>
  <c r="AQ104" i="46" a="1"/>
  <c r="AQ104" i="46" s="1"/>
  <c r="AG104" i="46" a="1"/>
  <c r="AG104" i="46" s="1"/>
  <c r="Y104" i="46" a="1"/>
  <c r="Y104" i="46" s="1"/>
  <c r="Q104" i="46" a="1"/>
  <c r="Q104" i="46" s="1"/>
  <c r="AB101" i="46" a="1"/>
  <c r="AB101" i="46" s="1"/>
  <c r="AB100" i="46" a="1"/>
  <c r="AB100" i="46" s="1"/>
  <c r="AS100" i="46" a="1"/>
  <c r="AS100" i="46" s="1"/>
  <c r="AI100" i="46" a="1"/>
  <c r="AI100" i="46" s="1"/>
  <c r="AA100" i="46" a="1"/>
  <c r="AA100" i="46" s="1"/>
  <c r="S100" i="46" a="1"/>
  <c r="S100" i="46" s="1"/>
  <c r="AL98" i="46" a="1"/>
  <c r="AL98" i="46" s="1"/>
  <c r="AL97" i="46" a="1"/>
  <c r="AL97" i="46" s="1"/>
  <c r="N98" i="46" a="1"/>
  <c r="N98" i="46" s="1"/>
  <c r="N97" i="46" a="1"/>
  <c r="N97" i="46" s="1"/>
  <c r="AK97" i="46" a="1"/>
  <c r="AK97" i="46" s="1"/>
  <c r="AG98" i="46" a="1"/>
  <c r="AG98" i="46" s="1"/>
  <c r="Y98" i="46" a="1"/>
  <c r="Y98" i="46" s="1"/>
  <c r="Q98" i="46" a="1"/>
  <c r="Q98" i="46" s="1"/>
  <c r="AH31" i="47" a="1"/>
  <c r="AH31" i="47" s="1"/>
  <c r="AH32" i="47" a="1"/>
  <c r="AH32" i="47" s="1"/>
  <c r="Z68" i="46" a="1"/>
  <c r="Z68" i="46" s="1"/>
  <c r="L68" i="46" a="1"/>
  <c r="L68" i="46" s="1"/>
  <c r="Y65" i="46" a="1"/>
  <c r="Y65" i="46" s="1"/>
  <c r="AM64" i="46" a="1"/>
  <c r="AM64" i="46" s="1"/>
  <c r="AD73" i="41" a="1"/>
  <c r="AD73" i="41" s="1"/>
  <c r="AD74" i="41" a="1"/>
  <c r="AD74" i="41" s="1"/>
  <c r="AQ70" i="41" a="1"/>
  <c r="AQ70" i="41" s="1"/>
  <c r="AQ71" i="41" a="1"/>
  <c r="AQ71" i="41" s="1"/>
  <c r="Y71" i="41" a="1"/>
  <c r="Y71" i="41" s="1"/>
  <c r="M70" i="41" a="1"/>
  <c r="M70" i="41" s="1"/>
  <c r="X70" i="41" a="1"/>
  <c r="X70" i="41" s="1"/>
  <c r="X71" i="41" a="1"/>
  <c r="X71" i="41" s="1"/>
  <c r="AM68" i="41" a="1"/>
  <c r="AM68" i="41" s="1"/>
  <c r="AA67" i="41" a="1"/>
  <c r="AA67" i="41" s="1"/>
  <c r="AA68" i="41" a="1"/>
  <c r="AA68" i="41" s="1"/>
  <c r="K68" i="41" a="1"/>
  <c r="K68" i="41" s="1"/>
  <c r="AD68" i="41" a="1"/>
  <c r="AD68" i="41" s="1"/>
  <c r="AG65" i="41" a="1"/>
  <c r="AG65" i="41" s="1"/>
  <c r="M64" i="41" a="1"/>
  <c r="M64" i="41" s="1"/>
  <c r="M65" i="41" a="1"/>
  <c r="M65" i="41" s="1"/>
  <c r="AM62" i="41" a="1"/>
  <c r="AM62" i="41" s="1"/>
  <c r="AM61" i="41" a="1"/>
  <c r="AM61" i="41" s="1"/>
  <c r="S62" i="41" a="1"/>
  <c r="S62" i="41" s="1"/>
  <c r="AH61" i="41" a="1"/>
  <c r="AH61" i="41" s="1"/>
  <c r="AH62" i="41" a="1"/>
  <c r="AH62" i="41" s="1"/>
  <c r="AK59" i="41" a="1"/>
  <c r="AK59" i="41" s="1"/>
  <c r="U59" i="41" a="1"/>
  <c r="U59" i="41" s="1"/>
  <c r="AH11" i="43" a="1"/>
  <c r="AH11" i="43" s="1"/>
  <c r="AH10" i="43" a="1"/>
  <c r="AH10" i="43" s="1"/>
  <c r="AA104" i="41" a="1"/>
  <c r="AA104" i="41" s="1"/>
  <c r="AA103" i="41" a="1"/>
  <c r="AA103" i="41" s="1"/>
  <c r="AQ100" i="41" a="1"/>
  <c r="AQ100" i="41" s="1"/>
  <c r="AT97" i="41" a="1"/>
  <c r="AT97" i="41" s="1"/>
  <c r="AT98" i="41" a="1"/>
  <c r="AT98" i="41" s="1"/>
  <c r="K97" i="41" a="1"/>
  <c r="K97" i="41" s="1"/>
  <c r="K98" i="41" a="1"/>
  <c r="K98" i="41" s="1"/>
  <c r="R95" i="41" a="1"/>
  <c r="R95" i="41" s="1"/>
  <c r="R94" i="41" a="1"/>
  <c r="R94" i="41" s="1"/>
  <c r="U95" i="41" a="1"/>
  <c r="U95" i="41" s="1"/>
  <c r="U94" i="41" a="1"/>
  <c r="U94" i="41" s="1"/>
  <c r="AA91" i="41" a="1"/>
  <c r="AA91" i="41" s="1"/>
  <c r="AA92" i="41" a="1"/>
  <c r="AA92" i="41" s="1"/>
  <c r="AH89" i="41" a="1"/>
  <c r="AH89" i="41" s="1"/>
  <c r="AH88" i="41" a="1"/>
  <c r="AH88" i="41" s="1"/>
  <c r="AK89" i="41" a="1"/>
  <c r="AK89" i="41" s="1"/>
  <c r="AK88" i="41" a="1"/>
  <c r="AK88" i="41" s="1"/>
  <c r="AS85" i="41" a="1"/>
  <c r="AS85" i="41" s="1"/>
  <c r="AS86" i="41" a="1"/>
  <c r="AS86" i="41" s="1"/>
  <c r="S85" i="41" a="1"/>
  <c r="S85" i="41" s="1"/>
  <c r="S86" i="41" a="1"/>
  <c r="S86" i="41" s="1"/>
  <c r="V83" i="41" a="1"/>
  <c r="V83" i="41" s="1"/>
  <c r="V82" i="41" a="1"/>
  <c r="V82" i="41" s="1"/>
  <c r="Y83" i="41" a="1"/>
  <c r="Y83" i="41" s="1"/>
  <c r="Y82" i="41" a="1"/>
  <c r="Y82" i="41" s="1"/>
  <c r="P89" i="47" a="1"/>
  <c r="P89" i="47" s="1"/>
  <c r="P88" i="47" a="1"/>
  <c r="P88" i="47" s="1"/>
  <c r="V86" i="47" a="1"/>
  <c r="V86" i="47" s="1"/>
  <c r="V85" i="47" a="1"/>
  <c r="V85" i="47" s="1"/>
  <c r="O83" i="47" a="1"/>
  <c r="O83" i="47" s="1"/>
  <c r="AB83" i="47" a="1"/>
  <c r="AB83" i="47" s="1"/>
  <c r="AB82" i="47" a="1"/>
  <c r="AB82" i="47" s="1"/>
  <c r="V82" i="47" a="1"/>
  <c r="V82" i="47" s="1"/>
  <c r="V83" i="47" a="1"/>
  <c r="V83" i="47" s="1"/>
  <c r="O82" i="47" a="1"/>
  <c r="O82" i="47" s="1"/>
  <c r="L82" i="47" a="1"/>
  <c r="L82" i="47" s="1"/>
  <c r="L83" i="47" a="1"/>
  <c r="L83" i="47" s="1"/>
  <c r="AI23" i="47" a="1"/>
  <c r="AI23" i="47" s="1"/>
  <c r="AA22" i="47" a="1"/>
  <c r="AA22" i="47" s="1"/>
  <c r="AA23" i="47" a="1"/>
  <c r="AA23" i="47" s="1"/>
  <c r="S22" i="47" a="1"/>
  <c r="S22" i="47" s="1"/>
  <c r="S23" i="47" a="1"/>
  <c r="S23" i="47" s="1"/>
  <c r="K22" i="47" a="1"/>
  <c r="K22" i="47" s="1"/>
  <c r="K23" i="47" a="1"/>
  <c r="K23" i="47" s="1"/>
  <c r="AL23" i="47" a="1"/>
  <c r="AL23" i="47" s="1"/>
  <c r="AL22" i="47" a="1"/>
  <c r="AL22" i="47" s="1"/>
  <c r="AD23" i="47" a="1"/>
  <c r="AD23" i="47" s="1"/>
  <c r="AD22" i="47" a="1"/>
  <c r="AD22" i="47" s="1"/>
  <c r="V23" i="47" a="1"/>
  <c r="V23" i="47" s="1"/>
  <c r="V22" i="47" a="1"/>
  <c r="V22" i="47" s="1"/>
  <c r="N23" i="47" a="1"/>
  <c r="N23" i="47" s="1"/>
  <c r="N22" i="47" a="1"/>
  <c r="N22" i="47" s="1"/>
  <c r="AQ19" i="47" a="1"/>
  <c r="AQ19" i="47" s="1"/>
  <c r="AQ20" i="47" a="1"/>
  <c r="AQ20" i="47" s="1"/>
  <c r="AG19" i="47" a="1"/>
  <c r="AG19" i="47" s="1"/>
  <c r="AG20" i="47" a="1"/>
  <c r="AG20" i="47" s="1"/>
  <c r="Y19" i="47" a="1"/>
  <c r="Y19" i="47" s="1"/>
  <c r="Y20" i="47" a="1"/>
  <c r="Y20" i="47" s="1"/>
  <c r="Q19" i="47" a="1"/>
  <c r="Q19" i="47" s="1"/>
  <c r="Q20" i="47" a="1"/>
  <c r="Q20" i="47" s="1"/>
  <c r="AT20" i="47" a="1"/>
  <c r="AT20" i="47" s="1"/>
  <c r="AT19" i="47" a="1"/>
  <c r="AT19" i="47" s="1"/>
  <c r="AJ20" i="47" a="1"/>
  <c r="AJ20" i="47" s="1"/>
  <c r="AJ19" i="47" a="1"/>
  <c r="AJ19" i="47" s="1"/>
  <c r="AB20" i="47" a="1"/>
  <c r="AB20" i="47" s="1"/>
  <c r="AB19" i="47" a="1"/>
  <c r="AB19" i="47" s="1"/>
  <c r="T20" i="47" a="1"/>
  <c r="T20" i="47" s="1"/>
  <c r="T19" i="47" a="1"/>
  <c r="T19" i="47" s="1"/>
  <c r="L20" i="47" a="1"/>
  <c r="L20" i="47" s="1"/>
  <c r="L19" i="47" a="1"/>
  <c r="L19" i="47" s="1"/>
  <c r="AM16" i="47" a="1"/>
  <c r="AM16" i="47" s="1"/>
  <c r="AM17" i="47" a="1"/>
  <c r="AM17" i="47" s="1"/>
  <c r="AE16" i="47" a="1"/>
  <c r="AE16" i="47" s="1"/>
  <c r="AE17" i="47" a="1"/>
  <c r="AE17" i="47" s="1"/>
  <c r="W16" i="47" a="1"/>
  <c r="W16" i="47" s="1"/>
  <c r="W17" i="47" a="1"/>
  <c r="W17" i="47" s="1"/>
  <c r="O16" i="47" a="1"/>
  <c r="O16" i="47" s="1"/>
  <c r="O17" i="47" a="1"/>
  <c r="O17" i="47" s="1"/>
  <c r="AR17" i="47" a="1"/>
  <c r="AR17" i="47" s="1"/>
  <c r="AR16" i="47" a="1"/>
  <c r="AR16" i="47" s="1"/>
  <c r="AH17" i="47" a="1"/>
  <c r="AH17" i="47" s="1"/>
  <c r="AH16" i="47" a="1"/>
  <c r="AH16" i="47" s="1"/>
  <c r="Z17" i="47" a="1"/>
  <c r="Z17" i="47" s="1"/>
  <c r="Z16" i="47" a="1"/>
  <c r="Z16" i="47" s="1"/>
  <c r="R17" i="47" a="1"/>
  <c r="R17" i="47" s="1"/>
  <c r="R16" i="47" a="1"/>
  <c r="R16" i="47" s="1"/>
  <c r="J17" i="47" a="1"/>
  <c r="J17" i="47" s="1"/>
  <c r="J16" i="47" a="1"/>
  <c r="J16" i="47" s="1"/>
  <c r="AK10" i="47" a="1"/>
  <c r="AK10" i="47" s="1"/>
  <c r="AK11" i="47" a="1"/>
  <c r="AK11" i="47" s="1"/>
  <c r="AC10" i="47" a="1"/>
  <c r="AC10" i="47" s="1"/>
  <c r="AC11" i="47" a="1"/>
  <c r="AC11" i="47" s="1"/>
  <c r="U10" i="47" a="1"/>
  <c r="U10" i="47" s="1"/>
  <c r="U11" i="47" a="1"/>
  <c r="U11" i="47" s="1"/>
  <c r="M10" i="47" a="1"/>
  <c r="M10" i="47" s="1"/>
  <c r="M11" i="47" a="1"/>
  <c r="M11" i="47" s="1"/>
  <c r="AP11" i="47" a="1"/>
  <c r="AP11" i="47" s="1"/>
  <c r="AP10" i="47" a="1"/>
  <c r="AP10" i="47" s="1"/>
  <c r="AF11" i="47" a="1"/>
  <c r="AF11" i="47" s="1"/>
  <c r="AF10" i="47" a="1"/>
  <c r="AF10" i="47" s="1"/>
  <c r="X11" i="47" a="1"/>
  <c r="X11" i="47" s="1"/>
  <c r="X10" i="47" a="1"/>
  <c r="X10" i="47" s="1"/>
  <c r="P11" i="47" a="1"/>
  <c r="P11" i="47" s="1"/>
  <c r="P10" i="47" a="1"/>
  <c r="P10" i="47" s="1"/>
  <c r="AI104" i="46" a="1"/>
  <c r="AI104" i="46" s="1"/>
  <c r="S104" i="46" a="1"/>
  <c r="S104" i="46" s="1"/>
  <c r="AL103" i="46" a="1"/>
  <c r="AL103" i="46" s="1"/>
  <c r="AL104" i="46" a="1"/>
  <c r="AL104" i="46" s="1"/>
  <c r="AD103" i="46" a="1"/>
  <c r="AD103" i="46" s="1"/>
  <c r="AD104" i="46" a="1"/>
  <c r="AD104" i="46" s="1"/>
  <c r="V103" i="46" a="1"/>
  <c r="V103" i="46" s="1"/>
  <c r="V104" i="46" a="1"/>
  <c r="V104" i="46" s="1"/>
  <c r="N103" i="46" a="1"/>
  <c r="N103" i="46" s="1"/>
  <c r="N104" i="46" a="1"/>
  <c r="N104" i="46" s="1"/>
  <c r="AQ101" i="46" a="1"/>
  <c r="AQ101" i="46" s="1"/>
  <c r="Y101" i="46" a="1"/>
  <c r="Y101" i="46" s="1"/>
  <c r="AT100" i="46" a="1"/>
  <c r="AT100" i="46" s="1"/>
  <c r="AT101" i="46" a="1"/>
  <c r="AT101" i="46" s="1"/>
  <c r="AJ100" i="46" a="1"/>
  <c r="AJ100" i="46" s="1"/>
  <c r="AJ101" i="46" a="1"/>
  <c r="AJ101" i="46" s="1"/>
  <c r="R68" i="46" a="1"/>
  <c r="R68" i="46" s="1"/>
  <c r="X68" i="46" a="1"/>
  <c r="X68" i="46" s="1"/>
  <c r="X67" i="46" a="1"/>
  <c r="X67" i="46" s="1"/>
  <c r="M68" i="46" a="1"/>
  <c r="M68" i="46" s="1"/>
  <c r="M67" i="46" a="1"/>
  <c r="M67" i="46" s="1"/>
  <c r="W65" i="46" a="1"/>
  <c r="W65" i="46" s="1"/>
  <c r="AG64" i="46" a="1"/>
  <c r="AG64" i="46" s="1"/>
  <c r="AG65" i="46" a="1"/>
  <c r="AG65" i="46" s="1"/>
  <c r="AB91" i="46" a="1"/>
  <c r="AB91" i="46" s="1"/>
  <c r="AB92" i="46" a="1"/>
  <c r="AB92" i="46" s="1"/>
  <c r="P91" i="46" a="1"/>
  <c r="P91" i="46" s="1"/>
  <c r="P92" i="46" a="1"/>
  <c r="P92" i="46" s="1"/>
  <c r="P89" i="46" a="1"/>
  <c r="P89" i="46" s="1"/>
  <c r="O88" i="46" a="1"/>
  <c r="M85" i="46" a="1"/>
  <c r="K83" i="46" a="1"/>
  <c r="K83" i="46" s="1"/>
  <c r="L82" i="46" a="1"/>
  <c r="AT79" i="46" a="1"/>
  <c r="R79" i="46" a="1"/>
  <c r="AE76" i="46" a="1"/>
  <c r="AB71" i="46" a="1"/>
  <c r="AK70" i="46" a="1"/>
  <c r="R70" i="46" a="1"/>
  <c r="R98" i="46" a="1"/>
  <c r="N95" i="46" a="1"/>
  <c r="Q94" i="46" a="1"/>
  <c r="O91" i="46" a="1"/>
  <c r="Y89" i="46" a="1"/>
  <c r="Y89" i="46" s="1"/>
  <c r="Y88" i="46" a="1"/>
  <c r="Y88" i="46" s="1"/>
  <c r="R88" i="46" a="1"/>
  <c r="R88" i="46" s="1"/>
  <c r="R89" i="46" a="1"/>
  <c r="R89" i="46" s="1"/>
  <c r="K86" i="46" a="1"/>
  <c r="AP83" i="46" a="1"/>
  <c r="Q83" i="46" a="1"/>
  <c r="Q83" i="46" s="1"/>
  <c r="R82" i="46" a="1"/>
  <c r="R82" i="46" s="1"/>
  <c r="R83" i="46" a="1"/>
  <c r="R83" i="46" s="1"/>
  <c r="AR80" i="46" a="1"/>
  <c r="P80" i="46" a="1"/>
  <c r="P80" i="46" s="1"/>
  <c r="Z20" i="46" a="1"/>
  <c r="Z20" i="46" s="1"/>
  <c r="AJ16" i="46" a="1"/>
  <c r="AS11" i="46" a="1"/>
  <c r="AS11" i="46" s="1"/>
  <c r="AS10" i="46" a="1"/>
  <c r="AS10" i="46" s="1"/>
  <c r="AD10" i="46" a="1"/>
  <c r="AD10" i="46" s="1"/>
  <c r="AD11" i="46" a="1"/>
  <c r="AD11" i="46" s="1"/>
  <c r="N11" i="46" a="1"/>
  <c r="N11" i="46" s="1"/>
  <c r="AG103" i="43" a="1"/>
  <c r="AG103" i="43" s="1"/>
  <c r="AG104" i="43" a="1"/>
  <c r="AG104" i="43" s="1"/>
  <c r="Q104" i="43" a="1"/>
  <c r="AP104" i="43" a="1"/>
  <c r="AP104" i="43" s="1"/>
  <c r="AS101" i="43" a="1"/>
  <c r="AS101" i="43" s="1"/>
  <c r="AA100" i="43" a="1"/>
  <c r="AA100" i="43" s="1"/>
  <c r="O100" i="43" a="1"/>
  <c r="O100" i="43" s="1"/>
  <c r="O101" i="43" a="1"/>
  <c r="O101" i="43" s="1"/>
  <c r="AD100" i="43" a="1"/>
  <c r="AD100" i="43" s="1"/>
  <c r="AD101" i="43" a="1"/>
  <c r="AD101" i="43" s="1"/>
  <c r="N101" i="43" a="1"/>
  <c r="N101" i="43" s="1"/>
  <c r="AJ97" i="43" a="1"/>
  <c r="AJ97" i="43" s="1"/>
  <c r="AJ98" i="43" a="1"/>
  <c r="AJ98" i="43" s="1"/>
  <c r="T98" i="43" a="1"/>
  <c r="T98" i="43" s="1"/>
  <c r="AR94" i="43" a="1"/>
  <c r="AR94" i="43" s="1"/>
  <c r="AR95" i="43" a="1"/>
  <c r="AR95" i="43" s="1"/>
  <c r="J94" i="43" a="1"/>
  <c r="J94" i="43" s="1"/>
  <c r="AJ91" i="43" a="1"/>
  <c r="T92" i="43" a="1"/>
  <c r="T92" i="43" s="1"/>
  <c r="AM94" i="43" a="1"/>
  <c r="AM94" i="43" s="1"/>
  <c r="AM95" i="43" a="1"/>
  <c r="AM95" i="43" s="1"/>
  <c r="S94" i="43" a="1"/>
  <c r="AM88" i="43" a="1"/>
  <c r="AM88" i="43" s="1"/>
  <c r="U89" i="43" a="1"/>
  <c r="U89" i="43" s="1"/>
  <c r="AT83" i="43" a="1"/>
  <c r="AT83" i="43" s="1"/>
  <c r="AP83" i="43" a="1"/>
  <c r="AP83" i="43" s="1"/>
  <c r="AJ80" i="43" a="1"/>
  <c r="AC79" i="43" a="1"/>
  <c r="AC79" i="43" s="1"/>
  <c r="AC80" i="43" a="1"/>
  <c r="AC80" i="43" s="1"/>
  <c r="X77" i="43" a="1"/>
  <c r="X77" i="43" s="1"/>
  <c r="X76" i="43" a="1"/>
  <c r="X76" i="43" s="1"/>
  <c r="AK74" i="43" a="1"/>
  <c r="AK74" i="43" s="1"/>
  <c r="AF73" i="43" a="1"/>
  <c r="AF73" i="43" s="1"/>
  <c r="AF74" i="43" a="1"/>
  <c r="AF74" i="43" s="1"/>
  <c r="L73" i="43" a="1"/>
  <c r="L73" i="43" s="1"/>
  <c r="L74" i="43" a="1"/>
  <c r="L74" i="43" s="1"/>
  <c r="AR71" i="43" a="1"/>
  <c r="AR71" i="43" s="1"/>
  <c r="AK68" i="43" a="1"/>
  <c r="AK68" i="43" s="1"/>
  <c r="AK67" i="43" a="1"/>
  <c r="AK67" i="43" s="1"/>
  <c r="Q67" i="43" a="1"/>
  <c r="Q67" i="43" s="1"/>
  <c r="Q68" i="43" a="1"/>
  <c r="Q68" i="43" s="1"/>
  <c r="AJ67" i="43" a="1"/>
  <c r="AJ67" i="43" s="1"/>
  <c r="AJ68" i="43" a="1"/>
  <c r="AJ68" i="43" s="1"/>
  <c r="K67" i="43" a="1"/>
  <c r="K67" i="43" s="1"/>
  <c r="K68" i="43" a="1"/>
  <c r="K68" i="43" s="1"/>
  <c r="AF64" i="43" a="1"/>
  <c r="AF64" i="43" s="1"/>
  <c r="AF65" i="43" a="1"/>
  <c r="AF65" i="43" s="1"/>
  <c r="L64" i="43" a="1"/>
  <c r="O62" i="43" a="1"/>
  <c r="O62" i="43" s="1"/>
  <c r="AD62" i="43" a="1"/>
  <c r="AD62" i="43" s="1"/>
  <c r="Y59" i="43" a="1"/>
  <c r="T58" i="43" a="1"/>
  <c r="T58" i="43" s="1"/>
  <c r="T59" i="43" a="1"/>
  <c r="T59" i="43" s="1"/>
  <c r="J94" i="46" a="1"/>
  <c r="J94" i="46" s="1"/>
  <c r="J95" i="46" a="1"/>
  <c r="J95" i="46" s="1"/>
  <c r="Y92" i="46" a="1"/>
  <c r="Y92" i="46" s="1"/>
  <c r="AT91" i="46" a="1"/>
  <c r="AT91" i="46" s="1"/>
  <c r="AT92" i="46" a="1"/>
  <c r="AT92" i="46" s="1"/>
  <c r="X91" i="46" a="1"/>
  <c r="X91" i="46" s="1"/>
  <c r="X92" i="46" a="1"/>
  <c r="X92" i="46" s="1"/>
  <c r="AI88" i="46" a="1"/>
  <c r="AI88" i="46" s="1"/>
  <c r="AI89" i="46" a="1"/>
  <c r="AI89" i="46" s="1"/>
  <c r="K88" i="46" a="1"/>
  <c r="K88" i="46" s="1"/>
  <c r="K89" i="46" a="1"/>
  <c r="K89" i="46" s="1"/>
  <c r="AE86" i="46" a="1"/>
  <c r="AE86" i="46" s="1"/>
  <c r="AE85" i="46" a="1"/>
  <c r="AE85" i="46" s="1"/>
  <c r="AF85" i="46" a="1"/>
  <c r="AF85" i="46" s="1"/>
  <c r="AF86" i="46" a="1"/>
  <c r="AF86" i="46" s="1"/>
  <c r="U85" i="46" a="1"/>
  <c r="U85" i="46" s="1"/>
  <c r="U86" i="46" a="1"/>
  <c r="U86" i="46" s="1"/>
  <c r="AL82" i="46" a="1"/>
  <c r="AL82" i="46" s="1"/>
  <c r="AL83" i="46" a="1"/>
  <c r="AL83" i="46" s="1"/>
  <c r="X80" i="46" a="1"/>
  <c r="V79" i="46" a="1"/>
  <c r="V79" i="46" s="1"/>
  <c r="V80" i="46" a="1"/>
  <c r="V80" i="46" s="1"/>
  <c r="N79" i="46" a="1"/>
  <c r="N79" i="46" s="1"/>
  <c r="N80" i="46" a="1"/>
  <c r="N80" i="46" s="1"/>
  <c r="K77" i="46" a="1"/>
  <c r="K77" i="46" s="1"/>
  <c r="AB74" i="46" a="1"/>
  <c r="AT73" i="46" a="1"/>
  <c r="AT73" i="46" s="1"/>
  <c r="AT74" i="46" a="1"/>
  <c r="AT74" i="46" s="1"/>
  <c r="AH73" i="46" a="1"/>
  <c r="AH73" i="46" s="1"/>
  <c r="AH74" i="46" a="1"/>
  <c r="AH74" i="46" s="1"/>
  <c r="AK71" i="46" a="1"/>
  <c r="AK71" i="46" s="1"/>
  <c r="AP70" i="46" a="1"/>
  <c r="AP70" i="46" s="1"/>
  <c r="AP71" i="46" a="1"/>
  <c r="AP71" i="46" s="1"/>
  <c r="AH97" i="46" a="1"/>
  <c r="AH97" i="46" s="1"/>
  <c r="AH98" i="46" a="1"/>
  <c r="AH98" i="46" s="1"/>
  <c r="K97" i="46" a="1"/>
  <c r="K97" i="46" s="1"/>
  <c r="AG94" i="46" a="1"/>
  <c r="AG94" i="46" s="1"/>
  <c r="S91" i="46" a="1"/>
  <c r="S91" i="46" s="1"/>
  <c r="S92" i="46" a="1"/>
  <c r="S92" i="46" s="1"/>
  <c r="K91" i="46" a="1"/>
  <c r="AT88" i="46" a="1"/>
  <c r="AT88" i="46" s="1"/>
  <c r="AT89" i="46" a="1"/>
  <c r="AT89" i="46" s="1"/>
  <c r="AH88" i="46" a="1"/>
  <c r="AH88" i="46" s="1"/>
  <c r="S86" i="46" a="1"/>
  <c r="S86" i="46" s="1"/>
  <c r="AT83" i="46" a="1"/>
  <c r="AT83" i="46" s="1"/>
  <c r="AK82" i="46" a="1"/>
  <c r="AK82" i="46" s="1"/>
  <c r="AK83" i="46" a="1"/>
  <c r="AK83" i="46" s="1"/>
  <c r="Z82" i="46" a="1"/>
  <c r="Z82" i="46" s="1"/>
  <c r="L80" i="46" a="1"/>
  <c r="L80" i="46" s="1"/>
  <c r="AC17" i="46" a="1"/>
  <c r="AC17" i="46" s="1"/>
  <c r="AC16" i="46" a="1"/>
  <c r="AC16" i="46" s="1"/>
  <c r="P16" i="46" a="1"/>
  <c r="P16" i="46" s="1"/>
  <c r="P17" i="46" a="1"/>
  <c r="P17" i="46" s="1"/>
  <c r="S11" i="46" a="1"/>
  <c r="S11" i="46" s="1"/>
  <c r="S10" i="46" a="1"/>
  <c r="S10" i="46" s="1"/>
  <c r="AK104" i="43" a="1"/>
  <c r="AK104" i="43" s="1"/>
  <c r="U103" i="43" a="1"/>
  <c r="U103" i="43" s="1"/>
  <c r="AQ82" i="46" a="1"/>
  <c r="AQ82" i="46" s="1"/>
  <c r="AD82" i="46" a="1"/>
  <c r="AD82" i="46" s="1"/>
  <c r="AD83" i="46" a="1"/>
  <c r="AD83" i="46" s="1"/>
  <c r="AT20" i="46" a="1"/>
  <c r="AT20" i="46" s="1"/>
  <c r="AT19" i="46" a="1"/>
  <c r="AT19" i="46" s="1"/>
  <c r="Z19" i="46" a="1"/>
  <c r="Z19" i="46" s="1"/>
  <c r="AP17" i="46" a="1"/>
  <c r="AP17" i="46" s="1"/>
  <c r="AR10" i="46" a="1"/>
  <c r="AR10" i="46" s="1"/>
  <c r="AR11" i="46" a="1"/>
  <c r="AR11" i="46" s="1"/>
  <c r="Q103" i="43" a="1"/>
  <c r="Q103" i="43" s="1"/>
  <c r="X104" i="43" a="1"/>
  <c r="X104" i="43" s="1"/>
  <c r="X103" i="43" a="1"/>
  <c r="X103" i="43" s="1"/>
  <c r="AS100" i="43" a="1"/>
  <c r="AS100" i="43" s="1"/>
  <c r="AA101" i="43" a="1"/>
  <c r="AA101" i="43" s="1"/>
  <c r="Q98" i="43" a="1"/>
  <c r="Q98" i="43" s="1"/>
  <c r="Q97" i="43" a="1"/>
  <c r="Q97" i="43" s="1"/>
  <c r="W95" i="43" a="1"/>
  <c r="W95" i="43" s="1"/>
  <c r="J95" i="43" a="1"/>
  <c r="J95" i="43" s="1"/>
  <c r="T91" i="43" a="1"/>
  <c r="T91" i="43" s="1"/>
  <c r="S94" i="43"/>
  <c r="S95" i="43" a="1"/>
  <c r="S95" i="43" s="1"/>
  <c r="AH92" i="43" a="1"/>
  <c r="AH92" i="43" s="1"/>
  <c r="AH91" i="43" a="1"/>
  <c r="AH91" i="43" s="1"/>
  <c r="AM89" i="43" a="1"/>
  <c r="AM89" i="43" s="1"/>
  <c r="U88" i="43" a="1"/>
  <c r="U88" i="43" s="1"/>
  <c r="W83" i="43" a="1"/>
  <c r="W83" i="43" s="1"/>
  <c r="W82" i="43" a="1"/>
  <c r="W82" i="43" s="1"/>
  <c r="AP82" i="43" a="1"/>
  <c r="AP82" i="43" s="1"/>
  <c r="S82" i="43" a="1"/>
  <c r="S82" i="43" s="1"/>
  <c r="S83" i="43" a="1"/>
  <c r="S83" i="43" s="1"/>
  <c r="AF77" i="43" a="1"/>
  <c r="AF77" i="43" s="1"/>
  <c r="V71" i="43" a="1"/>
  <c r="V71" i="43" s="1"/>
  <c r="V70" i="43" a="1"/>
  <c r="V70" i="43" s="1"/>
  <c r="Q65" i="43" a="1"/>
  <c r="Q65" i="43" s="1"/>
  <c r="Q64" i="43" a="1"/>
  <c r="Q64" i="43" s="1"/>
  <c r="O61" i="43" a="1"/>
  <c r="O61" i="43" s="1"/>
  <c r="AD61" i="43" a="1"/>
  <c r="AD61" i="43" s="1"/>
  <c r="J62" i="43" a="1"/>
  <c r="J62" i="43" s="1"/>
  <c r="J61" i="43" a="1"/>
  <c r="J61" i="43" s="1"/>
  <c r="AI56" i="43" a="1"/>
  <c r="Q92" i="46" a="1"/>
  <c r="Q92" i="46" s="1"/>
  <c r="AJ91" i="46" a="1"/>
  <c r="AJ91" i="46" s="1"/>
  <c r="V88" i="46" a="1"/>
  <c r="V88" i="46" s="1"/>
  <c r="AP86" i="46" a="1"/>
  <c r="AP86" i="46" s="1"/>
  <c r="J86" i="46" a="1"/>
  <c r="J86" i="46" s="1"/>
  <c r="P82" i="46" a="1"/>
  <c r="P82" i="46" s="1"/>
  <c r="AM80" i="46" a="1"/>
  <c r="AM80" i="46" s="1"/>
  <c r="W10" i="41" a="1"/>
  <c r="W10" i="41" s="1"/>
  <c r="W11" i="41" a="1"/>
  <c r="W11" i="41" s="1"/>
  <c r="S10" i="41" a="1"/>
  <c r="J11" i="41" a="1"/>
  <c r="J11" i="41" s="1"/>
  <c r="AJ61" i="41" a="1"/>
  <c r="AJ61" i="41" s="1"/>
  <c r="AJ62" i="41" a="1"/>
  <c r="AJ62" i="41" s="1"/>
  <c r="T62" i="41" a="1"/>
  <c r="T62" i="41" s="1"/>
  <c r="J58" i="41" a="1"/>
  <c r="J58" i="41" s="1"/>
  <c r="J59" i="41" a="1"/>
  <c r="J59" i="41" s="1"/>
  <c r="AC58" i="41" a="1"/>
  <c r="AC58" i="41" s="1"/>
  <c r="AL53" i="41" a="1"/>
  <c r="AL53" i="41" s="1"/>
  <c r="O49" i="41" a="1"/>
  <c r="O49" i="41" s="1"/>
  <c r="AE43" i="41" a="1"/>
  <c r="AE43" i="41" s="1"/>
  <c r="K44" i="41" a="1"/>
  <c r="K44" i="41" s="1"/>
  <c r="Z43" i="41" a="1"/>
  <c r="Z43" i="41" s="1"/>
  <c r="AF10" i="43" a="1"/>
  <c r="V64" i="46" a="1"/>
  <c r="V65" i="43" a="1"/>
  <c r="Z19" i="43" a="1"/>
  <c r="Z19" i="43" s="1"/>
  <c r="U104" i="43" a="1"/>
  <c r="U104" i="43" s="1"/>
  <c r="AJ103" i="43" a="1"/>
  <c r="AJ103" i="43" s="1"/>
  <c r="AM101" i="43" a="1"/>
  <c r="AM101" i="43" s="1"/>
  <c r="W100" i="43" a="1"/>
  <c r="W100" i="43" s="1"/>
  <c r="AQ98" i="43" a="1"/>
  <c r="AQ98" i="43" s="1"/>
  <c r="AT97" i="43" a="1"/>
  <c r="AT97" i="43" s="1"/>
  <c r="P98" i="43" a="1"/>
  <c r="P98" i="43" s="1"/>
  <c r="V94" i="43" a="1"/>
  <c r="V94" i="43" s="1"/>
  <c r="AT91" i="43" a="1"/>
  <c r="AT91" i="43" s="1"/>
  <c r="AB92" i="43" a="1"/>
  <c r="AB92" i="43" s="1"/>
  <c r="AB91" i="43" a="1"/>
  <c r="AB91" i="43" s="1"/>
  <c r="AK91" i="43" a="1"/>
  <c r="AK91" i="43" s="1"/>
  <c r="AH85" i="43" a="1"/>
  <c r="AH85" i="43" s="1"/>
  <c r="AC68" i="43" a="1"/>
  <c r="AC68" i="43" s="1"/>
  <c r="AT58" i="43" a="1"/>
  <c r="AT58" i="43" s="1"/>
  <c r="X52" i="43" a="1"/>
  <c r="X52" i="43" s="1"/>
  <c r="W55" i="43" a="1"/>
  <c r="W55" i="43" s="1"/>
  <c r="AF49" i="43" a="1"/>
  <c r="AF49" i="43" s="1"/>
  <c r="AF50" i="43" a="1"/>
  <c r="AF50" i="43" s="1"/>
  <c r="O49" i="43" a="1"/>
  <c r="O49" i="43" s="1"/>
  <c r="O58" i="43" a="1"/>
  <c r="O58" i="43" s="1"/>
  <c r="V37" i="43" a="1"/>
  <c r="V37" i="43" s="1"/>
  <c r="V38" i="43" a="1"/>
  <c r="V38" i="43" s="1"/>
  <c r="S88" i="41" a="1"/>
  <c r="S88" i="41" s="1"/>
  <c r="AI35" i="41" a="1"/>
  <c r="AI35" i="41" s="1"/>
  <c r="AB34" i="43" a="1"/>
  <c r="AB34" i="43" s="1"/>
  <c r="AB35" i="43" a="1"/>
  <c r="AB35" i="43" s="1"/>
  <c r="K28" i="43" a="1"/>
  <c r="K28" i="43" s="1"/>
  <c r="AG19" i="43" a="1"/>
  <c r="AG19" i="43" s="1"/>
  <c r="W65" i="43" a="1"/>
  <c r="W65" i="43" s="1"/>
  <c r="W64" i="43" a="1"/>
  <c r="W64" i="43" s="1"/>
  <c r="AS59" i="43" a="1"/>
  <c r="AS59" i="43" s="1"/>
  <c r="J47" i="41" a="1"/>
  <c r="J47" i="41" s="1"/>
  <c r="J41" i="41" a="1"/>
  <c r="J41" i="41" s="1"/>
  <c r="AA37" i="41" a="1"/>
  <c r="AA37" i="41" s="1"/>
  <c r="AA38" i="41" a="1"/>
  <c r="AA38" i="41" s="1"/>
  <c r="AC34" i="41" a="1"/>
  <c r="AC34" i="41" s="1"/>
  <c r="AC35" i="41" a="1"/>
  <c r="AC35" i="41" s="1"/>
  <c r="W31" i="41" a="1"/>
  <c r="W31" i="41" s="1"/>
  <c r="W32" i="41" a="1"/>
  <c r="W32" i="41" s="1"/>
  <c r="AK100" i="41" a="1"/>
  <c r="AK100" i="41" s="1"/>
  <c r="AE85" i="41" a="1"/>
  <c r="AE85" i="41" s="1"/>
  <c r="V71" i="41" a="1"/>
  <c r="V71" i="41" s="1"/>
  <c r="V70" i="41" a="1"/>
  <c r="V70" i="41" s="1"/>
  <c r="AR76" i="46" a="1"/>
  <c r="AR76" i="46" s="1"/>
  <c r="AR77" i="46" a="1"/>
  <c r="AR77" i="46" s="1"/>
  <c r="U74" i="46" a="1"/>
  <c r="U74" i="46" s="1"/>
  <c r="K71" i="46" a="1"/>
  <c r="K71" i="46" s="1"/>
  <c r="K70" i="46" a="1"/>
  <c r="K70" i="46" s="1"/>
  <c r="AF82" i="43" a="1"/>
  <c r="AF82" i="43" s="1"/>
  <c r="AF83" i="43" a="1"/>
  <c r="AF83" i="43" s="1"/>
  <c r="X79" i="43" a="1"/>
  <c r="X79" i="43" s="1"/>
  <c r="X80" i="43" a="1"/>
  <c r="X80" i="43" s="1"/>
  <c r="AB74" i="43" a="1"/>
  <c r="AB74" i="43" s="1"/>
  <c r="P65" i="41" a="1"/>
  <c r="S91" i="41" a="1"/>
  <c r="S91" i="41" s="1"/>
  <c r="S92" i="41" a="1"/>
  <c r="S92" i="41" s="1"/>
  <c r="AD83" i="41" a="1"/>
  <c r="AD83" i="41" s="1"/>
  <c r="AD82" i="41" a="1"/>
  <c r="AD82" i="41" s="1"/>
  <c r="AR77" i="41" a="1"/>
  <c r="AR77" i="41" s="1"/>
  <c r="AR76" i="41" a="1"/>
  <c r="AR76" i="41" s="1"/>
  <c r="AP74" i="41" a="1"/>
  <c r="AP74" i="41" s="1"/>
  <c r="AP73" i="41" a="1"/>
  <c r="AP73" i="41" s="1"/>
  <c r="Z71" i="41" a="1"/>
  <c r="Z71" i="41" s="1"/>
  <c r="Z70" i="41" a="1"/>
  <c r="Z70" i="41" s="1"/>
  <c r="W89" i="43" a="1"/>
  <c r="W89" i="43" s="1"/>
  <c r="W88" i="43" a="1"/>
  <c r="W88" i="43" s="1"/>
  <c r="AL88" i="43" a="1"/>
  <c r="AL88" i="43" s="1"/>
  <c r="AL89" i="43" a="1"/>
  <c r="AL89" i="43" s="1"/>
  <c r="Q88" i="43" a="1"/>
  <c r="Q88" i="43" s="1"/>
  <c r="Q89" i="43" a="1"/>
  <c r="Q89" i="43" s="1"/>
  <c r="Y67" i="43" a="1"/>
  <c r="Y67" i="43" s="1"/>
  <c r="Y68" i="43" a="1"/>
  <c r="Y68" i="43" s="1"/>
  <c r="AK79" i="41" a="1"/>
  <c r="AK79" i="41" s="1"/>
  <c r="AK80" i="41" a="1"/>
  <c r="AK80" i="41" s="1"/>
  <c r="AD20" i="43" a="1"/>
  <c r="AD20" i="43" s="1"/>
  <c r="AD19" i="43" a="1"/>
  <c r="AD19" i="43" s="1"/>
  <c r="N64" i="43" a="1"/>
  <c r="N64" i="43" s="1"/>
  <c r="N65" i="43" a="1"/>
  <c r="N65" i="43" s="1"/>
  <c r="AS43" i="41" a="1"/>
  <c r="AS43" i="41" s="1"/>
  <c r="AS44" i="41" a="1"/>
  <c r="AS44" i="41" s="1"/>
  <c r="AI37" i="41" a="1"/>
  <c r="AI37" i="41" s="1"/>
  <c r="AI38" i="41" a="1"/>
  <c r="AI38" i="41" s="1"/>
  <c r="X32" i="41" a="1"/>
  <c r="X32" i="41" s="1"/>
  <c r="X31" i="41" a="1"/>
  <c r="X31" i="41" s="1"/>
  <c r="AK86" i="43" a="1"/>
  <c r="AK86" i="43" s="1"/>
  <c r="AK85" i="43" a="1"/>
  <c r="AK85" i="43" s="1"/>
  <c r="AH25" i="43" a="1"/>
  <c r="AH25" i="43" s="1"/>
  <c r="AH26" i="43" a="1"/>
  <c r="AH26" i="43" s="1"/>
  <c r="AI79" i="43" a="1"/>
  <c r="AI79" i="43" s="1"/>
  <c r="AI80" i="43" a="1"/>
  <c r="AI80" i="43" s="1"/>
  <c r="Z76" i="43" a="1"/>
  <c r="Z76" i="43" s="1"/>
  <c r="Z77" i="43" a="1"/>
  <c r="Z77" i="43" s="1"/>
  <c r="AP65" i="41" a="1"/>
  <c r="AP65" i="41" s="1"/>
  <c r="AP64" i="41" a="1"/>
  <c r="AP64" i="41" s="1"/>
  <c r="X25" i="41" a="1"/>
  <c r="X25" i="41" s="1"/>
  <c r="X26" i="41" a="1"/>
  <c r="X26" i="41" s="1"/>
  <c r="X19" i="43" a="1"/>
  <c r="X19" i="43" s="1"/>
  <c r="X20" i="43" a="1"/>
  <c r="X20" i="43" s="1"/>
  <c r="AI17" i="43" a="1"/>
  <c r="AI17" i="43" s="1"/>
  <c r="AI16" i="43" a="1"/>
  <c r="AI16" i="43" s="1"/>
  <c r="AH16" i="43" a="1"/>
  <c r="AH16" i="43" s="1"/>
  <c r="AH17" i="43" a="1"/>
  <c r="AH17" i="43" s="1"/>
  <c r="J16" i="43" a="1"/>
  <c r="J16" i="43" s="1"/>
  <c r="J17" i="43" a="1"/>
  <c r="J17" i="43" s="1"/>
  <c r="AT10" i="43" a="1"/>
  <c r="AT10" i="43" s="1"/>
  <c r="AT11" i="43" a="1"/>
  <c r="AT11" i="43" s="1"/>
  <c r="O20" i="41" a="1"/>
  <c r="O20" i="41" s="1"/>
  <c r="O19" i="41" a="1"/>
  <c r="O19" i="41" s="1"/>
  <c r="AD19" i="41" a="1"/>
  <c r="AD19" i="41" s="1"/>
  <c r="AD20" i="41" a="1"/>
  <c r="AD20" i="41" s="1"/>
  <c r="AK17" i="41" a="1"/>
  <c r="AK17" i="41" s="1"/>
  <c r="AK16" i="41" a="1"/>
  <c r="AK16" i="41" s="1"/>
  <c r="AT16" i="41" a="1"/>
  <c r="AT16" i="41" s="1"/>
  <c r="AT17" i="41" a="1"/>
  <c r="AT17" i="41" s="1"/>
  <c r="P16" i="41" a="1"/>
  <c r="P16" i="41" s="1"/>
  <c r="P17" i="41" a="1"/>
  <c r="P17" i="41" s="1"/>
  <c r="O11" i="41" a="1"/>
  <c r="O11" i="41" s="1"/>
  <c r="O10" i="41" a="1"/>
  <c r="O10" i="41" s="1"/>
  <c r="N10" i="41" a="1"/>
  <c r="N10" i="41" s="1"/>
  <c r="N11" i="41" a="1"/>
  <c r="N11" i="41" s="1"/>
  <c r="AV22" i="41" a="1"/>
  <c r="AV22" i="41" s="1"/>
  <c r="Q17" i="43" a="1"/>
  <c r="Q17" i="43" s="1"/>
  <c r="Q16" i="43" a="1"/>
  <c r="Q16" i="43" s="1"/>
  <c r="AE11" i="43" a="1"/>
  <c r="AE11" i="43" s="1"/>
  <c r="K11" i="43" a="1"/>
  <c r="K11" i="43" s="1"/>
  <c r="K10" i="43" a="1"/>
  <c r="K10" i="43" s="1"/>
  <c r="AJ103" i="41" a="1"/>
  <c r="AJ103" i="41" s="1"/>
  <c r="AJ104" i="41" a="1"/>
  <c r="AJ104" i="41" s="1"/>
  <c r="P103" i="41" a="1"/>
  <c r="P103" i="41" s="1"/>
  <c r="P104" i="41" a="1"/>
  <c r="P104" i="41" s="1"/>
  <c r="Z22" i="47" a="1"/>
  <c r="Z22" i="47" s="1"/>
  <c r="Z23" i="47" a="1"/>
  <c r="Z23" i="47" s="1"/>
  <c r="AK20" i="47" a="1"/>
  <c r="AK20" i="47" s="1"/>
  <c r="AK19" i="47" a="1"/>
  <c r="AK19" i="47" s="1"/>
  <c r="M20" i="47" a="1"/>
  <c r="M20" i="47" s="1"/>
  <c r="M19" i="47" a="1"/>
  <c r="M19" i="47" s="1"/>
  <c r="P19" i="47" a="1"/>
  <c r="P19" i="47" s="1"/>
  <c r="P20" i="47" a="1"/>
  <c r="P20" i="47" s="1"/>
  <c r="S17" i="47" a="1"/>
  <c r="S17" i="47" s="1"/>
  <c r="S16" i="47" a="1"/>
  <c r="S16" i="47" s="1"/>
  <c r="AL16" i="47" a="1"/>
  <c r="AL16" i="47" s="1"/>
  <c r="AL17" i="47" a="1"/>
  <c r="AL17" i="47" s="1"/>
  <c r="V16" i="47" a="1"/>
  <c r="V16" i="47" s="1"/>
  <c r="V17" i="47" a="1"/>
  <c r="V17" i="47" s="1"/>
  <c r="Y47" i="43" a="1"/>
  <c r="Y47" i="43" s="1"/>
  <c r="AD53" i="43" a="1"/>
  <c r="AD53" i="43" s="1"/>
  <c r="AD52" i="43" a="1"/>
  <c r="AD52" i="43" s="1"/>
  <c r="AQ53" i="43" a="1"/>
  <c r="AQ53" i="43" s="1"/>
  <c r="AB50" i="43" a="1"/>
  <c r="AB50" i="43" s="1"/>
  <c r="AB49" i="43" a="1"/>
  <c r="AB49" i="43" s="1"/>
  <c r="K49" i="43" a="1"/>
  <c r="K49" i="43" s="1"/>
  <c r="R47" i="43" a="1"/>
  <c r="R47" i="43" s="1"/>
  <c r="R46" i="43" a="1"/>
  <c r="R46" i="43" s="1"/>
  <c r="AF44" i="43" a="1"/>
  <c r="AF44" i="43" s="1"/>
  <c r="AF43" i="43" a="1"/>
  <c r="AF43" i="43" s="1"/>
  <c r="K43" i="43" a="1"/>
  <c r="K43" i="43" s="1"/>
  <c r="K44" i="43" a="1"/>
  <c r="K44" i="43" s="1"/>
  <c r="R41" i="43" a="1"/>
  <c r="R41" i="43" s="1"/>
  <c r="R40" i="43" a="1"/>
  <c r="R40" i="43" s="1"/>
  <c r="AF38" i="43" a="1"/>
  <c r="AF38" i="43" s="1"/>
  <c r="AF37" i="43" a="1"/>
  <c r="AF37" i="43" s="1"/>
  <c r="K37" i="43" a="1"/>
  <c r="K37" i="43" s="1"/>
  <c r="K38" i="43" a="1"/>
  <c r="K38" i="43" s="1"/>
  <c r="R34" i="43" a="1"/>
  <c r="R34" i="43" s="1"/>
  <c r="Y34" i="43" a="1"/>
  <c r="Y34" i="43" s="1"/>
  <c r="Y35" i="43" a="1"/>
  <c r="Y35" i="43" s="1"/>
  <c r="AF32" i="43" a="1"/>
  <c r="AF32" i="43" s="1"/>
  <c r="AF31" i="43" a="1"/>
  <c r="AF31" i="43" s="1"/>
  <c r="AR92" i="43" a="1"/>
  <c r="AR92" i="43" s="1"/>
  <c r="AR91" i="43" a="1"/>
  <c r="AR91" i="43" s="1"/>
  <c r="Q91" i="43" a="1"/>
  <c r="Q91" i="43" s="1"/>
  <c r="Q92" i="43" a="1"/>
  <c r="Q92" i="43" s="1"/>
  <c r="AR86" i="43" a="1"/>
  <c r="AR86" i="43" s="1"/>
  <c r="AR85" i="43" a="1"/>
  <c r="AR85" i="43" s="1"/>
  <c r="M85" i="43" a="1"/>
  <c r="M85" i="43" s="1"/>
  <c r="M86" i="43" a="1"/>
  <c r="M86" i="43" s="1"/>
  <c r="Z82" i="43" a="1"/>
  <c r="Z82" i="43" s="1"/>
  <c r="Z83" i="43" a="1"/>
  <c r="Z83" i="43" s="1"/>
  <c r="K80" i="43" a="1"/>
  <c r="K80" i="43" s="1"/>
  <c r="K79" i="43" a="1"/>
  <c r="K79" i="43" s="1"/>
  <c r="Q77" i="43" a="1"/>
  <c r="Q77" i="43" s="1"/>
  <c r="AC74" i="43" a="1"/>
  <c r="AC74" i="43" s="1"/>
  <c r="AC73" i="43" a="1"/>
  <c r="AC73" i="43" s="1"/>
  <c r="AM71" i="43" a="1"/>
  <c r="AM71" i="43" s="1"/>
  <c r="AM70" i="43" a="1"/>
  <c r="AM70" i="43" s="1"/>
  <c r="N70" i="43" a="1"/>
  <c r="N70" i="43" s="1"/>
  <c r="N71" i="43" a="1"/>
  <c r="N71" i="43" s="1"/>
  <c r="S67" i="43" a="1"/>
  <c r="S67" i="43" s="1"/>
  <c r="AT64" i="43" a="1"/>
  <c r="AT64" i="43" s="1"/>
  <c r="AT65" i="43" a="1"/>
  <c r="AT65" i="43" s="1"/>
  <c r="AM61" i="43" a="1"/>
  <c r="AM61" i="43" s="1"/>
  <c r="AM62" i="43" a="1"/>
  <c r="AM62" i="43" s="1"/>
  <c r="N61" i="43" a="1"/>
  <c r="N61" i="43" s="1"/>
  <c r="N62" i="43" a="1"/>
  <c r="N62" i="43" s="1"/>
  <c r="X58" i="43" a="1"/>
  <c r="X58" i="43" s="1"/>
  <c r="X59" i="43" a="1"/>
  <c r="X59" i="43" s="1"/>
  <c r="AL55" i="43" a="1"/>
  <c r="AL55" i="43" s="1"/>
  <c r="AL56" i="43" a="1"/>
  <c r="AL56" i="43" s="1"/>
  <c r="AT52" i="43" a="1"/>
  <c r="AT52" i="43" s="1"/>
  <c r="AT53" i="43" a="1"/>
  <c r="AT53" i="43" s="1"/>
  <c r="AK47" i="43" a="1"/>
  <c r="AK47" i="43" s="1"/>
  <c r="AK46" i="43" a="1"/>
  <c r="AK46" i="43" s="1"/>
  <c r="AH52" i="43" a="1"/>
  <c r="AH52" i="43" s="1"/>
  <c r="AH53" i="43" a="1"/>
  <c r="AH53" i="43" s="1"/>
  <c r="U52" i="43" a="1"/>
  <c r="U52" i="43" s="1"/>
  <c r="AS49" i="43" a="1"/>
  <c r="AS49" i="43" s="1"/>
  <c r="AS50" i="43" a="1"/>
  <c r="AS50" i="43" s="1"/>
  <c r="V47" i="43" a="1"/>
  <c r="V47" i="43" s="1"/>
  <c r="V46" i="43" a="1"/>
  <c r="V46" i="43" s="1"/>
  <c r="AS43" i="43" a="1"/>
  <c r="AS43" i="43" s="1"/>
  <c r="AS44" i="43" a="1"/>
  <c r="AS44" i="43" s="1"/>
  <c r="AD28" i="43" a="1"/>
  <c r="AD28" i="43" s="1"/>
  <c r="AD29" i="43" a="1"/>
  <c r="AD29" i="43" s="1"/>
  <c r="AR104" i="41" a="1"/>
  <c r="AR104" i="41" s="1"/>
  <c r="AR103" i="41" a="1"/>
  <c r="AR103" i="41" s="1"/>
  <c r="AH56" i="43" a="1"/>
  <c r="AH56" i="43" s="1"/>
  <c r="AH55" i="43" a="1"/>
  <c r="AH55" i="43" s="1"/>
  <c r="AS52" i="43" a="1"/>
  <c r="AS52" i="43" s="1"/>
  <c r="AS53" i="43" a="1"/>
  <c r="AS53" i="43" s="1"/>
  <c r="O40" i="43" a="1"/>
  <c r="O40" i="43" s="1"/>
  <c r="O41" i="43" a="1"/>
  <c r="O41" i="43" s="1"/>
  <c r="AS88" i="41" a="1"/>
  <c r="AS88" i="41" s="1"/>
  <c r="AS89" i="41" a="1"/>
  <c r="AS89" i="41" s="1"/>
  <c r="AM82" i="41" a="1"/>
  <c r="AM82" i="41" s="1"/>
  <c r="AM83" i="41" a="1"/>
  <c r="AM83" i="41" s="1"/>
  <c r="AL62" i="41" a="1"/>
  <c r="AL62" i="41" s="1"/>
  <c r="AL61" i="41" a="1"/>
  <c r="AL61" i="41" s="1"/>
  <c r="N35" i="43" a="1"/>
  <c r="N35" i="43" s="1"/>
  <c r="N34" i="43" a="1"/>
  <c r="N34" i="43" s="1"/>
  <c r="Y31" i="43" a="1"/>
  <c r="Y31" i="43" s="1"/>
  <c r="Y32" i="43" a="1"/>
  <c r="Y32" i="43" s="1"/>
  <c r="N65" i="41" a="1"/>
  <c r="N65" i="41" s="1"/>
  <c r="N64" i="41" a="1"/>
  <c r="N64" i="41" s="1"/>
  <c r="T23" i="43" a="1"/>
  <c r="T23" i="43" s="1"/>
  <c r="T22" i="43" a="1"/>
  <c r="T22" i="43" s="1"/>
  <c r="J20" i="43" a="1"/>
  <c r="J20" i="43" s="1"/>
  <c r="U19" i="43" a="1"/>
  <c r="U19" i="43" s="1"/>
  <c r="U20" i="43" a="1"/>
  <c r="U20" i="43" s="1"/>
  <c r="AF17" i="43" a="1"/>
  <c r="AF17" i="43" s="1"/>
  <c r="AI65" i="43" a="1"/>
  <c r="AI65" i="43" s="1"/>
  <c r="K65" i="43" a="1"/>
  <c r="K65" i="43" s="1"/>
  <c r="R64" i="43" a="1"/>
  <c r="R64" i="43" s="1"/>
  <c r="R65" i="43" a="1"/>
  <c r="R65" i="43" s="1"/>
  <c r="AC62" i="43" a="1"/>
  <c r="AC62" i="43" s="1"/>
  <c r="AP61" i="43" a="1"/>
  <c r="AP61" i="43" s="1"/>
  <c r="AP62" i="43" a="1"/>
  <c r="AP62" i="43" s="1"/>
  <c r="P61" i="43" a="1"/>
  <c r="P61" i="43" s="1"/>
  <c r="P62" i="43" a="1"/>
  <c r="P62" i="43" s="1"/>
  <c r="AR58" i="43" a="1"/>
  <c r="AR58" i="43" s="1"/>
  <c r="AR59" i="43" a="1"/>
  <c r="AR59" i="43" s="1"/>
  <c r="AQ46" i="41" a="1"/>
  <c r="AQ46" i="41" s="1"/>
  <c r="T44" i="41" a="1"/>
  <c r="T44" i="41" s="1"/>
  <c r="T43" i="41" a="1"/>
  <c r="T43" i="41" s="1"/>
  <c r="AA43" i="41" a="1"/>
  <c r="AA43" i="41" s="1"/>
  <c r="AA44" i="41" a="1"/>
  <c r="AA44" i="41" s="1"/>
  <c r="AH41" i="41" a="1"/>
  <c r="AH41" i="41" s="1"/>
  <c r="AH40" i="41" a="1"/>
  <c r="AH40" i="41" s="1"/>
  <c r="AG40" i="41" a="1"/>
  <c r="AG40" i="41" s="1"/>
  <c r="AG41" i="41" a="1"/>
  <c r="AG41" i="41" s="1"/>
  <c r="AP38" i="41" a="1"/>
  <c r="AP38" i="41" s="1"/>
  <c r="AP37" i="41" a="1"/>
  <c r="AP37" i="41" s="1"/>
  <c r="AM37" i="41" a="1"/>
  <c r="AM37" i="41" s="1"/>
  <c r="AM38" i="41" a="1"/>
  <c r="AM38" i="41" s="1"/>
  <c r="K37" i="41" a="1"/>
  <c r="K37" i="41" s="1"/>
  <c r="K38" i="41" a="1"/>
  <c r="K38" i="41" s="1"/>
  <c r="J35" i="41" a="1"/>
  <c r="J35" i="41" s="1"/>
  <c r="J34" i="41" a="1"/>
  <c r="J34" i="41" s="1"/>
  <c r="M34" i="41" a="1"/>
  <c r="M34" i="41" s="1"/>
  <c r="M35" i="41" a="1"/>
  <c r="M35" i="41" s="1"/>
  <c r="T32" i="41" a="1"/>
  <c r="T32" i="41" s="1"/>
  <c r="T31" i="41" a="1"/>
  <c r="T31" i="41" s="1"/>
  <c r="K31" i="41" a="1"/>
  <c r="K31" i="41" s="1"/>
  <c r="K32" i="41" a="1"/>
  <c r="K32" i="41" s="1"/>
  <c r="Y11" i="47" a="1"/>
  <c r="Y11" i="47" s="1"/>
  <c r="Y10" i="47" a="1"/>
  <c r="Y10" i="47" s="1"/>
  <c r="AC40" i="43" a="1"/>
  <c r="AC40" i="43" s="1"/>
  <c r="AC41" i="43" a="1"/>
  <c r="AC41" i="43" s="1"/>
  <c r="AK34" i="43" a="1"/>
  <c r="AK34" i="43" s="1"/>
  <c r="AK35" i="43" a="1"/>
  <c r="AK35" i="43" s="1"/>
  <c r="W31" i="43" a="1"/>
  <c r="W31" i="43" s="1"/>
  <c r="W32" i="43" a="1"/>
  <c r="W32" i="43" s="1"/>
  <c r="AT26" i="43" a="1"/>
  <c r="AT26" i="43" s="1"/>
  <c r="AT25" i="43" a="1"/>
  <c r="AT25" i="43" s="1"/>
  <c r="AD23" i="43" a="1"/>
  <c r="AD23" i="43" s="1"/>
  <c r="AD22" i="43" a="1"/>
  <c r="AD22" i="43" s="1"/>
  <c r="AD17" i="43" a="1"/>
  <c r="AD17" i="43" s="1"/>
  <c r="AB11" i="43" a="1"/>
  <c r="AB11" i="43" s="1"/>
  <c r="AB10" i="43" a="1"/>
  <c r="AB10" i="43" s="1"/>
  <c r="K16" i="43" a="1"/>
  <c r="K16" i="43" s="1"/>
  <c r="AD52" i="41" a="1"/>
  <c r="AD52" i="41" s="1"/>
  <c r="AD53" i="41" a="1"/>
  <c r="AD53" i="41" s="1"/>
  <c r="K47" i="41" a="1"/>
  <c r="K47" i="41" s="1"/>
  <c r="K46" i="41" a="1"/>
  <c r="K46" i="41" s="1"/>
  <c r="AJ101" i="41" a="1"/>
  <c r="AJ101" i="41" s="1"/>
  <c r="AJ100" i="41" a="1"/>
  <c r="AJ100" i="41" s="1"/>
  <c r="AJ99" i="41" s="1"/>
  <c r="L98" i="41" a="1"/>
  <c r="L98" i="41" s="1"/>
  <c r="L97" i="41" a="1"/>
  <c r="L97" i="41" s="1"/>
  <c r="AQ95" i="41" a="1"/>
  <c r="AQ95" i="41" s="1"/>
  <c r="O92" i="41" a="1"/>
  <c r="O92" i="41" s="1"/>
  <c r="AB86" i="41" a="1"/>
  <c r="AB86" i="41" s="1"/>
  <c r="AB85" i="41" a="1"/>
  <c r="AB85" i="41" s="1"/>
  <c r="AQ82" i="41" a="1"/>
  <c r="AQ82" i="41" s="1"/>
  <c r="AQ83" i="41" a="1"/>
  <c r="AQ83" i="41" s="1"/>
  <c r="O80" i="41" a="1"/>
  <c r="O80" i="41" s="1"/>
  <c r="T74" i="41" a="1"/>
  <c r="T74" i="41" s="1"/>
  <c r="T73" i="41" a="1"/>
  <c r="T73" i="41" s="1"/>
  <c r="AJ79" i="46" a="1"/>
  <c r="AJ79" i="46" s="1"/>
  <c r="AJ80" i="46" a="1"/>
  <c r="AJ80" i="46" s="1"/>
  <c r="AB79" i="46" a="1"/>
  <c r="AB79" i="46" s="1"/>
  <c r="M79" i="46" a="1"/>
  <c r="M79" i="46" s="1"/>
  <c r="AC77" i="46" a="1"/>
  <c r="AC77" i="46" s="1"/>
  <c r="AC76" i="46" a="1"/>
  <c r="AC76" i="46" s="1"/>
  <c r="J77" i="46" a="1"/>
  <c r="J77" i="46" s="1"/>
  <c r="J76" i="46" a="1"/>
  <c r="J76" i="46" s="1"/>
  <c r="AD76" i="46" a="1"/>
  <c r="AD76" i="46" s="1"/>
  <c r="AD77" i="46" a="1"/>
  <c r="AD77" i="46" s="1"/>
  <c r="S76" i="46" a="1"/>
  <c r="S76" i="46" s="1"/>
  <c r="AP74" i="46" a="1"/>
  <c r="AP74" i="46" s="1"/>
  <c r="X74" i="46" a="1"/>
  <c r="X74" i="46" s="1"/>
  <c r="X73" i="46" a="1"/>
  <c r="X73" i="46" s="1"/>
  <c r="AS73" i="46" a="1"/>
  <c r="AS73" i="46" s="1"/>
  <c r="AS74" i="46" a="1"/>
  <c r="AS74" i="46" s="1"/>
  <c r="AA73" i="46" a="1"/>
  <c r="AA73" i="46" s="1"/>
  <c r="AA74" i="46" a="1"/>
  <c r="AA74" i="46" s="1"/>
  <c r="K73" i="46" a="1"/>
  <c r="K73" i="46" s="1"/>
  <c r="K74" i="46" a="1"/>
  <c r="K74" i="46" s="1"/>
  <c r="AD71" i="46" a="1"/>
  <c r="AD71" i="46" s="1"/>
  <c r="AD70" i="46" a="1"/>
  <c r="AD70" i="46" s="1"/>
  <c r="N71" i="46" a="1"/>
  <c r="N71" i="46" s="1"/>
  <c r="AA70" i="46" a="1"/>
  <c r="AA70" i="46" s="1"/>
  <c r="Z85" i="43" a="1"/>
  <c r="Z85" i="43" s="1"/>
  <c r="Z86" i="43" a="1"/>
  <c r="Z86" i="43" s="1"/>
  <c r="AS83" i="43" a="1"/>
  <c r="AS83" i="43" s="1"/>
  <c r="AS82" i="43" a="1"/>
  <c r="AS82" i="43" s="1"/>
  <c r="V83" i="43" a="1"/>
  <c r="V83" i="43" s="1"/>
  <c r="V82" i="43" a="1"/>
  <c r="V82" i="43" s="1"/>
  <c r="AJ82" i="43" a="1"/>
  <c r="AJ82" i="43" s="1"/>
  <c r="AJ83" i="43" a="1"/>
  <c r="AJ83" i="43" s="1"/>
  <c r="R82" i="43" a="1"/>
  <c r="R82" i="43" s="1"/>
  <c r="R83" i="43" a="1"/>
  <c r="R83" i="43" s="1"/>
  <c r="AF80" i="43" a="1"/>
  <c r="AF80" i="43" s="1"/>
  <c r="AF79" i="43" a="1"/>
  <c r="AF79" i="43" s="1"/>
  <c r="N80" i="43" a="1"/>
  <c r="N80" i="43" s="1"/>
  <c r="N79" i="43" a="1"/>
  <c r="N79" i="43" s="1"/>
  <c r="AB79" i="43" a="1"/>
  <c r="AB79" i="43" s="1"/>
  <c r="AB80" i="43" a="1"/>
  <c r="AB80" i="43" s="1"/>
  <c r="AQ77" i="43" a="1"/>
  <c r="AQ77" i="43" s="1"/>
  <c r="AQ76" i="43" a="1"/>
  <c r="AQ76" i="43" s="1"/>
  <c r="W77" i="43" a="1"/>
  <c r="W77" i="43" s="1"/>
  <c r="W76" i="43" a="1"/>
  <c r="W76" i="43" s="1"/>
  <c r="AK76" i="43" a="1"/>
  <c r="AK76" i="43" s="1"/>
  <c r="AK77" i="43" a="1"/>
  <c r="AK77" i="43" s="1"/>
  <c r="P76" i="43" a="1"/>
  <c r="P76" i="43" s="1"/>
  <c r="P77" i="43" a="1"/>
  <c r="P77" i="43" s="1"/>
  <c r="AA73" i="43" a="1"/>
  <c r="AA73" i="43" s="1"/>
  <c r="AA74" i="43" a="1"/>
  <c r="AA74" i="43" s="1"/>
  <c r="R74" i="41" a="1"/>
  <c r="R74" i="41" s="1"/>
  <c r="R73" i="41" a="1"/>
  <c r="R73" i="41" s="1"/>
  <c r="R68" i="41" a="1"/>
  <c r="R68" i="41" s="1"/>
  <c r="R67" i="41" a="1"/>
  <c r="R67" i="41" s="1"/>
  <c r="N62" i="41" a="1"/>
  <c r="N62" i="41" s="1"/>
  <c r="AK55" i="41" a="1"/>
  <c r="AK55" i="41" s="1"/>
  <c r="AK56" i="41" a="1"/>
  <c r="AK56" i="41" s="1"/>
  <c r="AL34" i="41" a="1"/>
  <c r="AL34" i="41" s="1"/>
  <c r="AL35" i="41" a="1"/>
  <c r="AL35" i="41" s="1"/>
  <c r="U26" i="41" a="1"/>
  <c r="U26" i="41" s="1"/>
  <c r="U25" i="41" a="1"/>
  <c r="U25" i="41" s="1"/>
  <c r="AM17" i="41" a="1"/>
  <c r="AM17" i="41" s="1"/>
  <c r="AM16" i="41" a="1"/>
  <c r="AM16" i="41" s="1"/>
  <c r="AE25" i="43" a="1"/>
  <c r="AE25" i="43" s="1"/>
  <c r="AE26" i="43" a="1"/>
  <c r="AE26" i="43" s="1"/>
  <c r="M37" i="43" a="1"/>
  <c r="M37" i="43" s="1"/>
  <c r="M38" i="43" a="1"/>
  <c r="M38" i="43" s="1"/>
  <c r="X35" i="43" a="1"/>
  <c r="X35" i="43" s="1"/>
  <c r="X34" i="43" a="1"/>
  <c r="X34" i="43" s="1"/>
  <c r="AI34" i="43" a="1"/>
  <c r="AI34" i="43" s="1"/>
  <c r="AI35" i="43" a="1"/>
  <c r="AI35" i="43" s="1"/>
  <c r="AL32" i="43" a="1"/>
  <c r="AL32" i="43" s="1"/>
  <c r="AL31" i="43" a="1"/>
  <c r="AL31" i="43" s="1"/>
  <c r="N32" i="43" a="1"/>
  <c r="N32" i="43" s="1"/>
  <c r="N31" i="43" a="1"/>
  <c r="N31" i="43" s="1"/>
  <c r="AC31" i="43" a="1"/>
  <c r="AC31" i="43" s="1"/>
  <c r="AC32" i="43" a="1"/>
  <c r="AC32" i="43" s="1"/>
  <c r="AJ29" i="43" a="1"/>
  <c r="AJ29" i="43" s="1"/>
  <c r="AJ28" i="43" a="1"/>
  <c r="AJ28" i="43" s="1"/>
  <c r="AS28" i="43" a="1"/>
  <c r="AS28" i="43" s="1"/>
  <c r="AS29" i="43" a="1"/>
  <c r="AS29" i="43" s="1"/>
  <c r="O28" i="43" a="1"/>
  <c r="O28" i="43" s="1"/>
  <c r="O29" i="43" a="1"/>
  <c r="O29" i="43" s="1"/>
  <c r="V26" i="43" a="1"/>
  <c r="V26" i="43" s="1"/>
  <c r="V25" i="43" a="1"/>
  <c r="V25" i="43" s="1"/>
  <c r="AC25" i="43" a="1"/>
  <c r="AC25" i="43" s="1"/>
  <c r="AC26" i="43" a="1"/>
  <c r="AC26" i="43" s="1"/>
  <c r="AR65" i="41" a="1"/>
  <c r="AR65" i="41" s="1"/>
  <c r="AR64" i="41" a="1"/>
  <c r="AR64" i="41" s="1"/>
  <c r="U64" i="41" a="1"/>
  <c r="U64" i="41" s="1"/>
  <c r="U65" i="41" a="1"/>
  <c r="U65" i="41" s="1"/>
  <c r="AI64" i="43" a="1"/>
  <c r="AI64" i="43" s="1"/>
  <c r="AI63" i="43" s="1"/>
  <c r="K64" i="43" a="1"/>
  <c r="K64" i="43" s="1"/>
  <c r="R62" i="43" a="1"/>
  <c r="R62" i="43" s="1"/>
  <c r="R61" i="43" a="1"/>
  <c r="R61" i="43" s="1"/>
  <c r="AG61" i="43" a="1"/>
  <c r="AG61" i="43" s="1"/>
  <c r="M61" i="43" a="1"/>
  <c r="M61" i="43" s="1"/>
  <c r="M62" i="43" a="1"/>
  <c r="M62" i="43" s="1"/>
  <c r="AM58" i="43" a="1"/>
  <c r="AM58" i="43" s="1"/>
  <c r="AM59" i="43" a="1"/>
  <c r="AM59" i="43" s="1"/>
  <c r="AK55" i="43" a="1"/>
  <c r="AK55" i="43" s="1"/>
  <c r="AK56" i="43" a="1"/>
  <c r="AK56" i="43" s="1"/>
  <c r="Q55" i="43" a="1"/>
  <c r="Q55" i="43" s="1"/>
  <c r="Q56" i="43" a="1"/>
  <c r="Q56" i="43" s="1"/>
  <c r="AA52" i="43" a="1"/>
  <c r="AA52" i="43" s="1"/>
  <c r="AA53" i="43" a="1"/>
  <c r="AA53" i="43" s="1"/>
  <c r="Y49" i="43" a="1"/>
  <c r="Y49" i="43" s="1"/>
  <c r="Y50" i="43" a="1"/>
  <c r="Y50" i="43" s="1"/>
  <c r="AT47" i="43" a="1"/>
  <c r="AT47" i="43" s="1"/>
  <c r="AT46" i="43" a="1"/>
  <c r="AT46" i="43" s="1"/>
  <c r="X47" i="43" a="1"/>
  <c r="X47" i="43" s="1"/>
  <c r="X46" i="43" a="1"/>
  <c r="X46" i="43" s="1"/>
  <c r="AS46" i="43" a="1"/>
  <c r="AS46" i="43" s="1"/>
  <c r="AS47" i="43" a="1"/>
  <c r="AS47" i="43" s="1"/>
  <c r="S46" i="43" a="1"/>
  <c r="S46" i="43" s="1"/>
  <c r="S47" i="43" a="1"/>
  <c r="S47" i="43" s="1"/>
  <c r="AD44" i="43" a="1"/>
  <c r="AD44" i="43" s="1"/>
  <c r="AD43" i="43" a="1"/>
  <c r="AD43" i="43" s="1"/>
  <c r="J44" i="43" a="1"/>
  <c r="J44" i="43" s="1"/>
  <c r="J43" i="43" a="1"/>
  <c r="J43" i="43" s="1"/>
  <c r="K40" i="43" a="1"/>
  <c r="K40" i="43" s="1"/>
  <c r="K41" i="43" a="1"/>
  <c r="K41" i="43" s="1"/>
  <c r="R38" i="43" a="1"/>
  <c r="R38" i="43" s="1"/>
  <c r="R37" i="43" a="1"/>
  <c r="R37" i="43" s="1"/>
  <c r="Z92" i="41" a="1"/>
  <c r="Z92" i="41" s="1"/>
  <c r="Z91" i="41" a="1"/>
  <c r="Z91" i="41" s="1"/>
  <c r="AK91" i="41" a="1"/>
  <c r="AK91" i="41" s="1"/>
  <c r="AK92" i="41" a="1"/>
  <c r="AK92" i="41" s="1"/>
  <c r="M91" i="41" a="1"/>
  <c r="M91" i="41" s="1"/>
  <c r="M92" i="41" a="1"/>
  <c r="M92" i="41" s="1"/>
  <c r="X89" i="41" a="1"/>
  <c r="X89" i="41" s="1"/>
  <c r="X88" i="41" a="1"/>
  <c r="X88" i="41" s="1"/>
  <c r="AI88" i="41" a="1"/>
  <c r="AI88" i="41" s="1"/>
  <c r="AI89" i="41" a="1"/>
  <c r="AI89" i="41" s="1"/>
  <c r="K88" i="41" a="1"/>
  <c r="K88" i="41" s="1"/>
  <c r="K89" i="41" a="1"/>
  <c r="K89" i="41" s="1"/>
  <c r="V86" i="41" a="1"/>
  <c r="V86" i="41" s="1"/>
  <c r="V85" i="41" a="1"/>
  <c r="V85" i="41" s="1"/>
  <c r="AG85" i="41" a="1"/>
  <c r="AG85" i="41" s="1"/>
  <c r="AG86" i="41" a="1"/>
  <c r="AG86" i="41" s="1"/>
  <c r="AT83" i="41" a="1"/>
  <c r="AT83" i="41" s="1"/>
  <c r="AT82" i="41" a="1"/>
  <c r="AT82" i="41" s="1"/>
  <c r="T83" i="41" a="1"/>
  <c r="T83" i="41" s="1"/>
  <c r="T82" i="41" a="1"/>
  <c r="T82" i="41" s="1"/>
  <c r="AE82" i="41" a="1"/>
  <c r="AE82" i="41" s="1"/>
  <c r="AE83" i="41" a="1"/>
  <c r="AE83" i="41" s="1"/>
  <c r="AR80" i="41" a="1"/>
  <c r="AR80" i="41" s="1"/>
  <c r="V80" i="41" a="1"/>
  <c r="V80" i="41" s="1"/>
  <c r="AG79" i="41" a="1"/>
  <c r="AG79" i="41" s="1"/>
  <c r="AG80" i="41" a="1"/>
  <c r="AG80" i="41" s="1"/>
  <c r="M79" i="41" a="1"/>
  <c r="M79" i="41" s="1"/>
  <c r="M80" i="41" a="1"/>
  <c r="M80" i="41" s="1"/>
  <c r="T77" i="41" a="1"/>
  <c r="T77" i="41" s="1"/>
  <c r="AE76" i="41" a="1"/>
  <c r="AE76" i="41" s="1"/>
  <c r="AE77" i="41" a="1"/>
  <c r="AE77" i="41" s="1"/>
  <c r="AR74" i="41" a="1"/>
  <c r="AR74" i="41" s="1"/>
  <c r="V74" i="41" a="1"/>
  <c r="V74" i="41" s="1"/>
  <c r="AG73" i="41" a="1"/>
  <c r="AG73" i="41" s="1"/>
  <c r="AG74" i="41" a="1"/>
  <c r="AG74" i="41" s="1"/>
  <c r="AT71" i="41" a="1"/>
  <c r="AT71" i="41" s="1"/>
  <c r="T71" i="41" a="1"/>
  <c r="T71" i="41" s="1"/>
  <c r="AE70" i="41" a="1"/>
  <c r="AE70" i="41" s="1"/>
  <c r="AE71" i="41" a="1"/>
  <c r="AE71" i="41" s="1"/>
  <c r="K70" i="41" a="1"/>
  <c r="K70" i="41" s="1"/>
  <c r="K71" i="41" a="1"/>
  <c r="K71" i="41" s="1"/>
  <c r="V68" i="41" a="1"/>
  <c r="V68" i="41" s="1"/>
  <c r="AG67" i="41" a="1"/>
  <c r="AG67" i="41" s="1"/>
  <c r="AG68" i="41" a="1"/>
  <c r="AG68" i="41" s="1"/>
  <c r="AT65" i="41" a="1"/>
  <c r="AT65" i="41" s="1"/>
  <c r="T65" i="41" a="1"/>
  <c r="T65" i="41" s="1"/>
  <c r="AE64" i="41" a="1"/>
  <c r="AE64" i="41" s="1"/>
  <c r="AE65" i="41" a="1"/>
  <c r="AE65" i="41" s="1"/>
  <c r="AR62" i="41" a="1"/>
  <c r="AR62" i="41" s="1"/>
  <c r="R62" i="41" a="1"/>
  <c r="R62" i="41" s="1"/>
  <c r="AC61" i="41" a="1"/>
  <c r="AC61" i="41" s="1"/>
  <c r="AC62" i="41" a="1"/>
  <c r="AC62" i="41" s="1"/>
  <c r="AP59" i="41" a="1"/>
  <c r="AP59" i="41" s="1"/>
  <c r="AS58" i="41" a="1"/>
  <c r="AS58" i="41" s="1"/>
  <c r="AS59" i="41" a="1"/>
  <c r="AS59" i="41" s="1"/>
  <c r="O58" i="41" a="1"/>
  <c r="O58" i="41" s="1"/>
  <c r="O59" i="41" a="1"/>
  <c r="O59" i="41" s="1"/>
  <c r="V56" i="41" a="1"/>
  <c r="V56" i="41" s="1"/>
  <c r="AC55" i="41" a="1"/>
  <c r="AC55" i="41" s="1"/>
  <c r="AC56" i="41" a="1"/>
  <c r="AC56" i="41" s="1"/>
  <c r="AJ53" i="41" a="1"/>
  <c r="AJ53" i="41" s="1"/>
  <c r="AS52" i="41" a="1"/>
  <c r="AS52" i="41" s="1"/>
  <c r="O52" i="41" a="1"/>
  <c r="O52" i="41" s="1"/>
  <c r="V50" i="41" a="1"/>
  <c r="V50" i="41" s="1"/>
  <c r="AC49" i="41" a="1"/>
  <c r="AC49" i="41" s="1"/>
  <c r="AC50" i="41" a="1"/>
  <c r="AC50" i="41" s="1"/>
  <c r="AJ47" i="41" a="1"/>
  <c r="AJ47" i="41" s="1"/>
  <c r="AJ46" i="41" a="1"/>
  <c r="AJ46" i="41" s="1"/>
  <c r="K41" i="41" a="1"/>
  <c r="K41" i="41" s="1"/>
  <c r="K40" i="41" a="1"/>
  <c r="K40" i="41" s="1"/>
  <c r="N40" i="41" a="1"/>
  <c r="N40" i="41" s="1"/>
  <c r="N41" i="41" a="1"/>
  <c r="N41" i="41" s="1"/>
  <c r="Q38" i="41" a="1"/>
  <c r="Q38" i="41" s="1"/>
  <c r="Q37" i="41" a="1"/>
  <c r="Q37" i="41" s="1"/>
  <c r="P37" i="41" a="1"/>
  <c r="P37" i="41" s="1"/>
  <c r="P38" i="41" a="1"/>
  <c r="P38" i="41" s="1"/>
  <c r="K35" i="41" a="1"/>
  <c r="K35" i="41" s="1"/>
  <c r="K34" i="41" a="1"/>
  <c r="K34" i="41" s="1"/>
  <c r="N34" i="41" a="1"/>
  <c r="N34" i="41" s="1"/>
  <c r="N35" i="41" a="1"/>
  <c r="N35" i="41" s="1"/>
  <c r="Y32" i="41" a="1"/>
  <c r="Y32" i="41" s="1"/>
  <c r="Y31" i="41" a="1"/>
  <c r="Y31" i="41" s="1"/>
  <c r="AA29" i="41" a="1"/>
  <c r="AA29" i="41" s="1"/>
  <c r="AA28" i="41" a="1"/>
  <c r="AA28" i="41" s="1"/>
  <c r="Z28" i="41" a="1"/>
  <c r="Z28" i="41" s="1"/>
  <c r="Z29" i="41" a="1"/>
  <c r="Z29" i="41" s="1"/>
  <c r="AC26" i="41" a="1"/>
  <c r="AC26" i="41" s="1"/>
  <c r="AC25" i="41" a="1"/>
  <c r="AC25" i="41" s="1"/>
  <c r="AF25" i="41" a="1"/>
  <c r="AF25" i="41" s="1"/>
  <c r="AF26" i="41" a="1"/>
  <c r="AF26" i="41" s="1"/>
  <c r="AI23" i="41" a="1"/>
  <c r="AI23" i="41" s="1"/>
  <c r="AI22" i="41" a="1"/>
  <c r="AI22" i="41" s="1"/>
  <c r="AL22" i="41" a="1"/>
  <c r="AL22" i="41" s="1"/>
  <c r="AL23" i="41" a="1"/>
  <c r="AL23" i="41" s="1"/>
  <c r="AQ20" i="41" a="1"/>
  <c r="AQ20" i="41" s="1"/>
  <c r="AQ19" i="41" a="1"/>
  <c r="AQ19" i="41" s="1"/>
  <c r="AT19" i="41" a="1"/>
  <c r="AT19" i="41" s="1"/>
  <c r="AT20" i="41" a="1"/>
  <c r="AT20" i="41" s="1"/>
  <c r="L19" i="41" a="1"/>
  <c r="L19" i="41" s="1"/>
  <c r="L20" i="41" a="1"/>
  <c r="L20" i="41" s="1"/>
  <c r="O17" i="41" a="1"/>
  <c r="O17" i="41" s="1"/>
  <c r="O16" i="41" a="1"/>
  <c r="O16" i="41" s="1"/>
  <c r="R16" i="41" a="1"/>
  <c r="R16" i="41" s="1"/>
  <c r="R17" i="41" a="1"/>
  <c r="R17" i="41" s="1"/>
  <c r="Y11" i="41" a="1"/>
  <c r="Y11" i="41" s="1"/>
  <c r="Y10" i="41" a="1"/>
  <c r="Y10" i="41" s="1"/>
  <c r="P10" i="41" a="1"/>
  <c r="P10" i="41" s="1"/>
  <c r="P11" i="41" a="1"/>
  <c r="P11" i="41" s="1"/>
  <c r="AR41" i="43" a="1"/>
  <c r="AR41" i="43" s="1"/>
  <c r="AR40" i="43" a="1"/>
  <c r="AR40" i="43" s="1"/>
  <c r="AB32" i="43" a="1"/>
  <c r="AB32" i="43" s="1"/>
  <c r="AB31" i="43" a="1"/>
  <c r="AB31" i="43" s="1"/>
  <c r="N23" i="43" a="1"/>
  <c r="N23" i="43" s="1"/>
  <c r="N22" i="43" a="1"/>
  <c r="N22" i="43" s="1"/>
  <c r="AQ76" i="47" a="1"/>
  <c r="AQ76" i="47" s="1"/>
  <c r="AQ77" i="47" a="1"/>
  <c r="AQ77" i="47" s="1"/>
  <c r="AK76" i="47" a="1"/>
  <c r="AK76" i="47" s="1"/>
  <c r="AG76" i="47" a="1"/>
  <c r="AG76" i="47" s="1"/>
  <c r="AG77" i="47" a="1"/>
  <c r="AG77" i="47" s="1"/>
  <c r="AC76" i="47" a="1"/>
  <c r="AC76" i="47" s="1"/>
  <c r="Y76" i="47" a="1"/>
  <c r="Y76" i="47" s="1"/>
  <c r="Y77" i="47" a="1"/>
  <c r="Y77" i="47" s="1"/>
  <c r="Q76" i="47" a="1"/>
  <c r="Q76" i="47" s="1"/>
  <c r="Q77" i="47" a="1"/>
  <c r="Q77" i="47" s="1"/>
  <c r="M76" i="47" a="1"/>
  <c r="M76" i="47" s="1"/>
  <c r="X74" i="47" a="1"/>
  <c r="X74" i="47" s="1"/>
  <c r="X73" i="47" a="1"/>
  <c r="X73" i="47" s="1"/>
  <c r="T74" i="47" a="1"/>
  <c r="T74" i="47" s="1"/>
  <c r="T73" i="47" a="1"/>
  <c r="T73" i="47" s="1"/>
  <c r="P74" i="47" a="1"/>
  <c r="P74" i="47" s="1"/>
  <c r="P73" i="47" a="1"/>
  <c r="P73" i="47" s="1"/>
  <c r="L74" i="47" a="1"/>
  <c r="L74" i="47" s="1"/>
  <c r="AS73" i="47" a="1"/>
  <c r="AS73" i="47" s="1"/>
  <c r="AM73" i="47" a="1"/>
  <c r="AM73" i="47" s="1"/>
  <c r="AM74" i="47" a="1"/>
  <c r="AM74" i="47" s="1"/>
  <c r="AE73" i="47" a="1"/>
  <c r="AE73" i="47" s="1"/>
  <c r="AE74" i="47" a="1"/>
  <c r="AE74" i="47" s="1"/>
  <c r="L73" i="47" a="1"/>
  <c r="L73" i="47" s="1"/>
  <c r="AP71" i="47" a="1"/>
  <c r="AP71" i="47" s="1"/>
  <c r="AP70" i="47" a="1"/>
  <c r="AP70" i="47" s="1"/>
  <c r="AJ71" i="47" a="1"/>
  <c r="AJ71" i="47" s="1"/>
  <c r="AF71" i="47" a="1"/>
  <c r="AF71" i="47" s="1"/>
  <c r="AF70" i="47" a="1"/>
  <c r="AF70" i="47" s="1"/>
  <c r="AB71" i="47" a="1"/>
  <c r="AB71" i="47" s="1"/>
  <c r="AB70" i="47" a="1"/>
  <c r="AB70" i="47" s="1"/>
  <c r="Y71" i="47" a="1"/>
  <c r="Y71" i="47" s="1"/>
  <c r="AI70" i="47" a="1"/>
  <c r="AI70" i="47" s="1"/>
  <c r="AI71" i="47" a="1"/>
  <c r="AI71" i="47" s="1"/>
  <c r="AE70" i="47" a="1"/>
  <c r="AE70" i="47" s="1"/>
  <c r="AA70" i="47" a="1"/>
  <c r="AA70" i="47" s="1"/>
  <c r="W70" i="47" a="1"/>
  <c r="W70" i="47" s="1"/>
  <c r="W71" i="47" a="1"/>
  <c r="W71" i="47" s="1"/>
  <c r="S70" i="47" a="1"/>
  <c r="S70" i="47" s="1"/>
  <c r="S71" i="47" a="1"/>
  <c r="S71" i="47" s="1"/>
  <c r="P70" i="47" a="1"/>
  <c r="P70" i="47" s="1"/>
  <c r="M70" i="47" a="1"/>
  <c r="M70" i="47" s="1"/>
  <c r="J70" i="47" a="1"/>
  <c r="J70" i="47" s="1"/>
  <c r="AH68" i="47" a="1"/>
  <c r="AH68" i="47" s="1"/>
  <c r="AA68" i="47" a="1"/>
  <c r="AA68" i="47" s="1"/>
  <c r="W68" i="47" a="1"/>
  <c r="W68" i="47" s="1"/>
  <c r="T68" i="47" a="1"/>
  <c r="T68" i="47" s="1"/>
  <c r="P68" i="47" a="1"/>
  <c r="P68" i="47" s="1"/>
  <c r="L68" i="47" a="1"/>
  <c r="L68" i="47" s="1"/>
  <c r="AT67" i="47" a="1"/>
  <c r="AT67" i="47" s="1"/>
  <c r="AP67" i="47" a="1"/>
  <c r="AP67" i="47" s="1"/>
  <c r="AF67" i="47" a="1"/>
  <c r="AF67" i="47" s="1"/>
  <c r="U67" i="47" a="1"/>
  <c r="U67" i="47" s="1"/>
  <c r="U68" i="47" a="1"/>
  <c r="U68" i="47" s="1"/>
  <c r="M67" i="47" a="1"/>
  <c r="M67" i="47" s="1"/>
  <c r="AQ65" i="47" a="1"/>
  <c r="AQ65" i="47" s="1"/>
  <c r="AK65" i="47" a="1"/>
  <c r="AK65" i="47" s="1"/>
  <c r="AD65" i="47" a="1"/>
  <c r="AD65" i="47" s="1"/>
  <c r="Z65" i="47" a="1"/>
  <c r="Z65" i="47" s="1"/>
  <c r="V65" i="47" a="1"/>
  <c r="V65" i="47" s="1"/>
  <c r="R65" i="47" a="1"/>
  <c r="R65" i="47" s="1"/>
  <c r="O65" i="47" a="1"/>
  <c r="O65" i="47" s="1"/>
  <c r="K65" i="47" a="1"/>
  <c r="K65" i="47" s="1"/>
  <c r="AR64" i="47" a="1"/>
  <c r="AR64" i="47" s="1"/>
  <c r="AR65" i="47" a="1"/>
  <c r="AR65" i="47" s="1"/>
  <c r="AL64" i="47" a="1"/>
  <c r="AL64" i="47" s="1"/>
  <c r="W64" i="47" a="1"/>
  <c r="W64" i="47" s="1"/>
  <c r="S64" i="47" a="1"/>
  <c r="S64" i="47" s="1"/>
  <c r="S65" i="47" a="1"/>
  <c r="S65" i="47" s="1"/>
  <c r="P64" i="47" a="1"/>
  <c r="P64" i="47" s="1"/>
  <c r="L64" i="47" a="1"/>
  <c r="L64" i="47" s="1"/>
  <c r="L65" i="47" a="1"/>
  <c r="L65" i="47" s="1"/>
  <c r="AS62" i="47" a="1"/>
  <c r="AS62" i="47" s="1"/>
  <c r="AJ62" i="47" a="1"/>
  <c r="AJ62" i="47" s="1"/>
  <c r="AF62" i="47" a="1"/>
  <c r="AF62" i="47" s="1"/>
  <c r="AB62" i="47" a="1"/>
  <c r="AB62" i="47" s="1"/>
  <c r="X62" i="47" a="1"/>
  <c r="X62" i="47" s="1"/>
  <c r="U62" i="47" a="1"/>
  <c r="U62" i="47" s="1"/>
  <c r="Q62" i="47" a="1"/>
  <c r="Q62" i="47" s="1"/>
  <c r="M62" i="47" a="1"/>
  <c r="M62" i="47" s="1"/>
  <c r="AT61" i="47" a="1"/>
  <c r="AT61" i="47" s="1"/>
  <c r="AT62" i="47" a="1"/>
  <c r="AT62" i="47" s="1"/>
  <c r="AG61" i="47" a="1"/>
  <c r="AG61" i="47" s="1"/>
  <c r="AG62" i="47" a="1"/>
  <c r="AG62" i="47" s="1"/>
  <c r="AC61" i="47" a="1"/>
  <c r="AC61" i="47" s="1"/>
  <c r="AC62" i="47" a="1"/>
  <c r="AC62" i="47" s="1"/>
  <c r="Y61" i="47" a="1"/>
  <c r="Y61" i="47" s="1"/>
  <c r="Y62" i="47" a="1"/>
  <c r="Y62" i="47" s="1"/>
  <c r="U61" i="47" a="1"/>
  <c r="U61" i="47" s="1"/>
  <c r="Q61" i="47" a="1"/>
  <c r="Q61" i="47" s="1"/>
  <c r="M61" i="47" a="1"/>
  <c r="M61" i="47" s="1"/>
  <c r="AT59" i="47" a="1"/>
  <c r="AT59" i="47" s="1"/>
  <c r="AP59" i="47" a="1"/>
  <c r="AP59" i="47" s="1"/>
  <c r="AK59" i="47" a="1"/>
  <c r="AK59" i="47" s="1"/>
  <c r="AG59" i="47" a="1"/>
  <c r="AG59" i="47" s="1"/>
  <c r="AC59" i="47" a="1"/>
  <c r="AC59" i="47" s="1"/>
  <c r="Y59" i="47" a="1"/>
  <c r="Y59" i="47" s="1"/>
  <c r="U59" i="47" a="1"/>
  <c r="U59" i="47" s="1"/>
  <c r="Q59" i="47" a="1"/>
  <c r="Q59" i="47" s="1"/>
  <c r="M59" i="47" a="1"/>
  <c r="M59" i="47" s="1"/>
  <c r="AT58" i="47" a="1"/>
  <c r="AT58" i="47" s="1"/>
  <c r="AP58" i="47" a="1"/>
  <c r="AP58" i="47" s="1"/>
  <c r="AK58" i="47" a="1"/>
  <c r="AK58" i="47" s="1"/>
  <c r="AG58" i="47" a="1"/>
  <c r="AG58" i="47" s="1"/>
  <c r="AC58" i="47" a="1"/>
  <c r="AC58" i="47" s="1"/>
  <c r="Y58" i="47" a="1"/>
  <c r="Y58" i="47" s="1"/>
  <c r="U58" i="47" a="1"/>
  <c r="U58" i="47" s="1"/>
  <c r="Q58" i="47" a="1"/>
  <c r="Q58" i="47" s="1"/>
  <c r="M58" i="47" a="1"/>
  <c r="M58" i="47" s="1"/>
  <c r="AR80" i="47" a="1"/>
  <c r="AR80" i="47" s="1"/>
  <c r="Z80" i="47" a="1"/>
  <c r="Z80" i="47" s="1"/>
  <c r="R80" i="47" a="1"/>
  <c r="R80" i="47" s="1"/>
  <c r="AP77" i="47" a="1"/>
  <c r="AP77" i="47" s="1"/>
  <c r="P77" i="47" a="1"/>
  <c r="P77" i="47" s="1"/>
  <c r="V71" i="47" a="1"/>
  <c r="V71" i="47" s="1"/>
  <c r="R71" i="47" a="1"/>
  <c r="R71" i="47" s="1"/>
  <c r="N71" i="47" a="1"/>
  <c r="N71" i="47" s="1"/>
  <c r="N70" i="47" a="1"/>
  <c r="N70" i="47" s="1"/>
  <c r="K71" i="47" a="1"/>
  <c r="K71" i="47" s="1"/>
  <c r="AR70" i="47" a="1"/>
  <c r="AR70" i="47" s="1"/>
  <c r="AL70" i="47" a="1"/>
  <c r="AL70" i="47" s="1"/>
  <c r="AL71" i="47" a="1"/>
  <c r="AL71" i="47" s="1"/>
  <c r="AH70" i="47" a="1"/>
  <c r="AH70" i="47" s="1"/>
  <c r="AH71" i="47" a="1"/>
  <c r="AH71" i="47" s="1"/>
  <c r="AD70" i="47" a="1"/>
  <c r="AD70" i="47" s="1"/>
  <c r="AD71" i="47" a="1"/>
  <c r="AD71" i="47" s="1"/>
  <c r="AL68" i="47" a="1"/>
  <c r="AL68" i="47" s="1"/>
  <c r="U71" i="41" a="1"/>
  <c r="U71" i="41" s="1"/>
  <c r="AP71" i="41" a="1"/>
  <c r="AP71" i="41" s="1"/>
  <c r="L70" i="41" a="1"/>
  <c r="L70" i="41" s="1"/>
  <c r="AI67" i="41" a="1"/>
  <c r="AI67" i="41" s="1"/>
  <c r="AI68" i="41" a="1"/>
  <c r="AI68" i="41" s="1"/>
  <c r="S68" i="41" a="1"/>
  <c r="S68" i="41" s="1"/>
  <c r="AR68" i="41" a="1"/>
  <c r="AR68" i="41" s="1"/>
  <c r="V67" i="41" a="1"/>
  <c r="V67" i="41" s="1"/>
  <c r="AC65" i="41" a="1"/>
  <c r="AC65" i="41" s="1"/>
  <c r="AJ64" i="41" a="1"/>
  <c r="AJ64" i="41" s="1"/>
  <c r="AJ65" i="41" a="1"/>
  <c r="AJ65" i="41" s="1"/>
  <c r="AI62" i="41" a="1"/>
  <c r="AI62" i="41" s="1"/>
  <c r="O62" i="41" a="1"/>
  <c r="O62" i="41" s="1"/>
  <c r="R61" i="41" a="1"/>
  <c r="R61" i="41" s="1"/>
  <c r="AG59" i="41" a="1"/>
  <c r="AG59" i="41" s="1"/>
  <c r="Q58" i="41" a="1"/>
  <c r="Q58" i="41" s="1"/>
  <c r="R67" i="47" a="1"/>
  <c r="R67" i="47" s="1"/>
  <c r="AL65" i="47" a="1"/>
  <c r="AL65" i="47" s="1"/>
  <c r="AB64" i="47" a="1"/>
  <c r="AB64" i="47" s="1"/>
  <c r="R62" i="47" a="1"/>
  <c r="R62" i="47" s="1"/>
  <c r="AL61" i="47" a="1"/>
  <c r="AL61" i="47" s="1"/>
  <c r="V61" i="47" a="1"/>
  <c r="V61" i="47" s="1"/>
  <c r="AQ59" i="47" a="1"/>
  <c r="AQ59" i="47" s="1"/>
  <c r="Z59" i="47" a="1"/>
  <c r="Z59" i="47" s="1"/>
  <c r="J59" i="47" a="1"/>
  <c r="J59" i="47" s="1"/>
  <c r="N58" i="47" a="1"/>
  <c r="N58" i="47" s="1"/>
  <c r="N59" i="47" a="1"/>
  <c r="N59" i="47" s="1"/>
  <c r="Z56" i="47" a="1"/>
  <c r="Z56" i="47" s="1"/>
  <c r="S56" i="47" a="1"/>
  <c r="S56" i="47" s="1"/>
  <c r="Z55" i="47" a="1"/>
  <c r="Z55" i="47" s="1"/>
  <c r="T55" i="47" a="1"/>
  <c r="T55" i="47" s="1"/>
  <c r="O55" i="47" a="1"/>
  <c r="O55" i="47" s="1"/>
  <c r="J55" i="47" a="1"/>
  <c r="J55" i="47" s="1"/>
  <c r="AR52" i="47" a="1"/>
  <c r="AR52" i="47" s="1"/>
  <c r="AK52" i="47" a="1"/>
  <c r="AK52" i="47" s="1"/>
  <c r="AF52" i="47" a="1"/>
  <c r="AF52" i="47" s="1"/>
  <c r="Z52" i="47" a="1"/>
  <c r="Z52" i="47" s="1"/>
  <c r="U52" i="47" a="1"/>
  <c r="U52" i="47" s="1"/>
  <c r="P52" i="47" a="1"/>
  <c r="P52" i="47" s="1"/>
  <c r="J52" i="47" a="1"/>
  <c r="J52" i="47" s="1"/>
  <c r="J51" i="47" s="1"/>
  <c r="AP50" i="47" a="1"/>
  <c r="AP50" i="47" s="1"/>
  <c r="AC50" i="47" a="1"/>
  <c r="AC50" i="47" s="1"/>
  <c r="X50" i="47" a="1"/>
  <c r="X50" i="47" s="1"/>
  <c r="N50" i="47" a="1"/>
  <c r="N50" i="47" s="1"/>
  <c r="AQ49" i="47" a="1"/>
  <c r="AQ49" i="47" s="1"/>
  <c r="AQ50" i="47" a="1"/>
  <c r="AQ50" i="47" s="1"/>
  <c r="AK49" i="47" a="1"/>
  <c r="AK49" i="47" s="1"/>
  <c r="AG49" i="47" a="1"/>
  <c r="AG49" i="47" s="1"/>
  <c r="AG50" i="47" a="1"/>
  <c r="AG50" i="47" s="1"/>
  <c r="AC49" i="47" a="1"/>
  <c r="AC49" i="47" s="1"/>
  <c r="Y49" i="47" a="1"/>
  <c r="Y49" i="47" s="1"/>
  <c r="U49" i="47" a="1"/>
  <c r="U49" i="47" s="1"/>
  <c r="M49" i="47" a="1"/>
  <c r="M49" i="47" s="1"/>
  <c r="M50" i="47" a="1"/>
  <c r="M50" i="47" s="1"/>
  <c r="AP47" i="47" a="1"/>
  <c r="AP47" i="47" s="1"/>
  <c r="AJ47" i="47" a="1"/>
  <c r="AJ47" i="47" s="1"/>
  <c r="AB47" i="47" a="1"/>
  <c r="AB47" i="47" s="1"/>
  <c r="T47" i="47" a="1"/>
  <c r="T47" i="47" s="1"/>
  <c r="P47" i="47" a="1"/>
  <c r="P47" i="47" s="1"/>
  <c r="AS46" i="47" a="1"/>
  <c r="AS46" i="47" s="1"/>
  <c r="AS47" i="47" a="1"/>
  <c r="AS47" i="47" s="1"/>
  <c r="AM46" i="47" a="1"/>
  <c r="AM46" i="47" s="1"/>
  <c r="AM47" i="47" a="1"/>
  <c r="AM47" i="47" s="1"/>
  <c r="AA46" i="47" a="1"/>
  <c r="AA46" i="47" s="1"/>
  <c r="AA47" i="47" a="1"/>
  <c r="AA47" i="47" s="1"/>
  <c r="S46" i="47" a="1"/>
  <c r="S46" i="47" s="1"/>
  <c r="S47" i="47" a="1"/>
  <c r="S47" i="47" s="1"/>
  <c r="O46" i="47" a="1"/>
  <c r="O46" i="47" s="1"/>
  <c r="O47" i="47" a="1"/>
  <c r="O47" i="47" s="1"/>
  <c r="AR44" i="47" a="1"/>
  <c r="AR44" i="47" s="1"/>
  <c r="AL44" i="47" a="1"/>
  <c r="AL44" i="47" s="1"/>
  <c r="AH44" i="47" a="1"/>
  <c r="AH44" i="47" s="1"/>
  <c r="AD44" i="47" a="1"/>
  <c r="AD44" i="47" s="1"/>
  <c r="Z44" i="47" a="1"/>
  <c r="Z44" i="47" s="1"/>
  <c r="V44" i="47" a="1"/>
  <c r="V44" i="47" s="1"/>
  <c r="R44" i="47" a="1"/>
  <c r="R44" i="47" s="1"/>
  <c r="N44" i="47" a="1"/>
  <c r="N44" i="47" s="1"/>
  <c r="J44" i="47" a="1"/>
  <c r="J44" i="47" s="1"/>
  <c r="AK43" i="47" a="1"/>
  <c r="AK43" i="47" s="1"/>
  <c r="AK44" i="47" a="1"/>
  <c r="AK44" i="47" s="1"/>
  <c r="AK42" i="47" s="1"/>
  <c r="AC43" i="47" a="1"/>
  <c r="AC43" i="47" s="1"/>
  <c r="AC44" i="47" a="1"/>
  <c r="AC44" i="47" s="1"/>
  <c r="U43" i="47" a="1"/>
  <c r="U43" i="47" s="1"/>
  <c r="U44" i="47" a="1"/>
  <c r="U44" i="47" s="1"/>
  <c r="M43" i="47" a="1"/>
  <c r="M43" i="47" s="1"/>
  <c r="M44" i="47" a="1"/>
  <c r="M44" i="47" s="1"/>
  <c r="AT41" i="47" a="1"/>
  <c r="AT41" i="47" s="1"/>
  <c r="AP41" i="47" a="1"/>
  <c r="AP41" i="47" s="1"/>
  <c r="AF41" i="47" a="1"/>
  <c r="AF41" i="47" s="1"/>
  <c r="AB41" i="47" a="1"/>
  <c r="AB41" i="47" s="1"/>
  <c r="P41" i="47" a="1"/>
  <c r="P41" i="47" s="1"/>
  <c r="AS40" i="47" a="1"/>
  <c r="AS40" i="47" s="1"/>
  <c r="AS41" i="47" a="1"/>
  <c r="AS41" i="47" s="1"/>
  <c r="AM40" i="47" a="1"/>
  <c r="AM40" i="47" s="1"/>
  <c r="AM41" i="47" a="1"/>
  <c r="AM41" i="47" s="1"/>
  <c r="AI40" i="47" a="1"/>
  <c r="AI40" i="47" s="1"/>
  <c r="AI41" i="47" a="1"/>
  <c r="AI41" i="47" s="1"/>
  <c r="AE40" i="47" a="1"/>
  <c r="AE40" i="47" s="1"/>
  <c r="AE41" i="47" a="1"/>
  <c r="AE41" i="47" s="1"/>
  <c r="AA40" i="47" a="1"/>
  <c r="AA40" i="47" s="1"/>
  <c r="AA41" i="47" a="1"/>
  <c r="AA41" i="47" s="1"/>
  <c r="W40" i="47" a="1"/>
  <c r="W40" i="47" s="1"/>
  <c r="W41" i="47" a="1"/>
  <c r="W41" i="47" s="1"/>
  <c r="S40" i="47" a="1"/>
  <c r="S40" i="47" s="1"/>
  <c r="S41" i="47" a="1"/>
  <c r="S41" i="47" s="1"/>
  <c r="K40" i="47" a="1"/>
  <c r="K40" i="47" s="1"/>
  <c r="K41" i="47" a="1"/>
  <c r="K41" i="47" s="1"/>
  <c r="AH38" i="47" a="1"/>
  <c r="AH38" i="47" s="1"/>
  <c r="Z38" i="47" a="1"/>
  <c r="Z38" i="47" s="1"/>
  <c r="R38" i="47" a="1"/>
  <c r="R38" i="47" s="1"/>
  <c r="J38" i="47" a="1"/>
  <c r="J38" i="47" s="1"/>
  <c r="AK37" i="47" a="1"/>
  <c r="AK37" i="47" s="1"/>
  <c r="AK38" i="47" a="1"/>
  <c r="AK38" i="47" s="1"/>
  <c r="AC37" i="47" a="1"/>
  <c r="AC37" i="47" s="1"/>
  <c r="AC38" i="47" a="1"/>
  <c r="AC38" i="47" s="1"/>
  <c r="U37" i="47" a="1"/>
  <c r="U37" i="47" s="1"/>
  <c r="U38" i="47" a="1"/>
  <c r="U38" i="47" s="1"/>
  <c r="M37" i="47" a="1"/>
  <c r="M37" i="47" s="1"/>
  <c r="M38" i="47" a="1"/>
  <c r="M38" i="47" s="1"/>
  <c r="AP35" i="47" a="1"/>
  <c r="AP35" i="47" s="1"/>
  <c r="AF35" i="47" a="1"/>
  <c r="AF35" i="47" s="1"/>
  <c r="X35" i="47" a="1"/>
  <c r="X35" i="47" s="1"/>
  <c r="P35" i="47" a="1"/>
  <c r="P35" i="47" s="1"/>
  <c r="AS34" i="47" a="1"/>
  <c r="AS34" i="47" s="1"/>
  <c r="AS35" i="47" a="1"/>
  <c r="AS35" i="47" s="1"/>
  <c r="AM34" i="47" a="1"/>
  <c r="AM34" i="47" s="1"/>
  <c r="AM35" i="47" a="1"/>
  <c r="AM35" i="47" s="1"/>
  <c r="AE34" i="47" a="1"/>
  <c r="AE34" i="47" s="1"/>
  <c r="AE35" i="47" a="1"/>
  <c r="AE35" i="47" s="1"/>
  <c r="W34" i="47" a="1"/>
  <c r="W34" i="47" s="1"/>
  <c r="W35" i="47" a="1"/>
  <c r="W35" i="47" s="1"/>
  <c r="O34" i="47" a="1"/>
  <c r="O34" i="47" s="1"/>
  <c r="O35" i="47" a="1"/>
  <c r="O35" i="47" s="1"/>
  <c r="AR32" i="47" a="1"/>
  <c r="AR32" i="47" s="1"/>
  <c r="AL32" i="47" a="1"/>
  <c r="AL32" i="47" s="1"/>
  <c r="AD32" i="47" a="1"/>
  <c r="AD32" i="47" s="1"/>
  <c r="Z32" i="47" a="1"/>
  <c r="Z32" i="47" s="1"/>
  <c r="V32" i="47" a="1"/>
  <c r="V32" i="47" s="1"/>
  <c r="R32" i="47" a="1"/>
  <c r="R32" i="47" s="1"/>
  <c r="N32" i="47" a="1"/>
  <c r="N32" i="47" s="1"/>
  <c r="J32" i="47" a="1"/>
  <c r="J32" i="47" s="1"/>
  <c r="AK31" i="47" a="1"/>
  <c r="AK31" i="47" s="1"/>
  <c r="AK32" i="47" a="1"/>
  <c r="AK32" i="47" s="1"/>
  <c r="AD80" i="47" a="1"/>
  <c r="AD80" i="47" s="1"/>
  <c r="AJ77" i="47" a="1"/>
  <c r="AJ77" i="47" s="1"/>
  <c r="AR74" i="47" a="1"/>
  <c r="AR74" i="47" s="1"/>
  <c r="AC67" i="47" a="1"/>
  <c r="AC67" i="47" s="1"/>
  <c r="N67" i="47" a="1"/>
  <c r="N67" i="47" s="1"/>
  <c r="R61" i="47" a="1"/>
  <c r="R61" i="47" s="1"/>
  <c r="AQ58" i="47" a="1"/>
  <c r="AQ58" i="47" s="1"/>
  <c r="Z58" i="47" a="1"/>
  <c r="Z58" i="47" s="1"/>
  <c r="J58" i="47" a="1"/>
  <c r="J58" i="47" s="1"/>
  <c r="AD56" i="47" a="1"/>
  <c r="AD56" i="47" s="1"/>
  <c r="X56" i="47" a="1"/>
  <c r="X56" i="47" s="1"/>
  <c r="P56" i="47" a="1"/>
  <c r="P56" i="47" s="1"/>
  <c r="AK55" i="47" a="1"/>
  <c r="AK55" i="47" s="1"/>
  <c r="AK56" i="47" a="1"/>
  <c r="AK56" i="47" s="1"/>
  <c r="AD55" i="47" a="1"/>
  <c r="AD55" i="47" s="1"/>
  <c r="X55" i="47" a="1"/>
  <c r="X55" i="47" s="1"/>
  <c r="S55" i="47" a="1"/>
  <c r="S55" i="47" s="1"/>
  <c r="AL53" i="47" a="1"/>
  <c r="AL53" i="47" s="1"/>
  <c r="AP49" i="47" a="1"/>
  <c r="AP49" i="47" s="1"/>
  <c r="AF49" i="47" a="1"/>
  <c r="AF49" i="47" s="1"/>
  <c r="AF50" i="47" a="1"/>
  <c r="AF50" i="47" s="1"/>
  <c r="X49" i="47" a="1"/>
  <c r="X49" i="47" s="1"/>
  <c r="AH46" i="47" a="1"/>
  <c r="AH46" i="47" s="1"/>
  <c r="AH47" i="47" a="1"/>
  <c r="AH47" i="47" s="1"/>
  <c r="J46" i="47" a="1"/>
  <c r="J46" i="47" s="1"/>
  <c r="J47" i="47" a="1"/>
  <c r="J47" i="47" s="1"/>
  <c r="AP43" i="47" a="1"/>
  <c r="AP43" i="47" s="1"/>
  <c r="AP44" i="47" a="1"/>
  <c r="AP44" i="47" s="1"/>
  <c r="AF43" i="47" a="1"/>
  <c r="AF43" i="47" s="1"/>
  <c r="AF44" i="47" a="1"/>
  <c r="AF44" i="47" s="1"/>
  <c r="X43" i="47" a="1"/>
  <c r="X43" i="47" s="1"/>
  <c r="X44" i="47" a="1"/>
  <c r="X44" i="47" s="1"/>
  <c r="P43" i="47" a="1"/>
  <c r="P43" i="47" s="1"/>
  <c r="P44" i="47" a="1"/>
  <c r="P44" i="47" s="1"/>
  <c r="AP37" i="47" a="1"/>
  <c r="AP37" i="47" s="1"/>
  <c r="AP38" i="47" a="1"/>
  <c r="AP38" i="47" s="1"/>
  <c r="U32" i="47" a="1"/>
  <c r="U32" i="47" s="1"/>
  <c r="M32" i="47" a="1"/>
  <c r="M32" i="47" s="1"/>
  <c r="AJ31" i="47" a="1"/>
  <c r="AJ31" i="47" s="1"/>
  <c r="AJ32" i="47" a="1"/>
  <c r="AJ32" i="47" s="1"/>
  <c r="AB77" i="47" a="1"/>
  <c r="AB77" i="47" s="1"/>
  <c r="AH74" i="47" a="1"/>
  <c r="AH74" i="47" s="1"/>
  <c r="AT71" i="47" a="1"/>
  <c r="AT71" i="47" s="1"/>
  <c r="AT70" i="47" a="1"/>
  <c r="AT70" i="47" s="1"/>
  <c r="AT56" i="47" a="1"/>
  <c r="AT56" i="47" s="1"/>
  <c r="AT55" i="47" a="1"/>
  <c r="AT55" i="47" s="1"/>
  <c r="AE49" i="47" a="1"/>
  <c r="AE49" i="47" s="1"/>
  <c r="K49" i="47" a="1"/>
  <c r="K49" i="47" s="1"/>
  <c r="Y46" i="47" a="1"/>
  <c r="Y46" i="47" s="1"/>
  <c r="Y47" i="47" a="1"/>
  <c r="Y47" i="47" s="1"/>
  <c r="U46" i="47" a="1"/>
  <c r="U46" i="47" s="1"/>
  <c r="AS43" i="47" a="1"/>
  <c r="AS43" i="47" s="1"/>
  <c r="AI43" i="47" a="1"/>
  <c r="AI43" i="47" s="1"/>
  <c r="AA43" i="47" a="1"/>
  <c r="AA43" i="47" s="1"/>
  <c r="S43" i="47" a="1"/>
  <c r="S43" i="47" s="1"/>
  <c r="AK40" i="47" a="1"/>
  <c r="AK40" i="47" s="1"/>
  <c r="U40" i="47" a="1"/>
  <c r="U40" i="47" s="1"/>
  <c r="M40" i="47" a="1"/>
  <c r="M40" i="47" s="1"/>
  <c r="AS37" i="47" a="1"/>
  <c r="AS37" i="47" s="1"/>
  <c r="AI37" i="47" a="1"/>
  <c r="AI37" i="47" s="1"/>
  <c r="AA37" i="47" a="1"/>
  <c r="AA37" i="47" s="1"/>
  <c r="S37" i="47" a="1"/>
  <c r="S37" i="47" s="1"/>
  <c r="K37" i="47" a="1"/>
  <c r="K37" i="47" s="1"/>
  <c r="AB32" i="47" a="1"/>
  <c r="AB32" i="47" s="1"/>
  <c r="AB31" i="47" a="1"/>
  <c r="AB31" i="47" s="1"/>
  <c r="T32" i="47" a="1"/>
  <c r="T32" i="47" s="1"/>
  <c r="T31" i="47" a="1"/>
  <c r="T31" i="47" s="1"/>
  <c r="T77" i="47" a="1"/>
  <c r="T77" i="47" s="1"/>
  <c r="T76" i="47" a="1"/>
  <c r="T76" i="47" s="1"/>
  <c r="Z74" i="47" a="1"/>
  <c r="Z74" i="47" s="1"/>
  <c r="Z73" i="47" a="1"/>
  <c r="Z73" i="47" s="1"/>
  <c r="AM71" i="47" a="1"/>
  <c r="AM71" i="47" s="1"/>
  <c r="AQ61" i="47" a="1"/>
  <c r="AQ61" i="47" s="1"/>
  <c r="AA56" i="47" a="1"/>
  <c r="AA56" i="47" s="1"/>
  <c r="AA55" i="47" a="1"/>
  <c r="AA55" i="47" s="1"/>
  <c r="P55" i="47" a="1"/>
  <c r="P55" i="47" s="1"/>
  <c r="AT52" i="47" a="1"/>
  <c r="AT52" i="47" s="1"/>
  <c r="AL52" i="47" a="1"/>
  <c r="AL52" i="47" s="1"/>
  <c r="AE50" i="47" a="1"/>
  <c r="AE50" i="47" s="1"/>
  <c r="K50" i="47" a="1"/>
  <c r="K50" i="47" s="1"/>
  <c r="AD49" i="47" a="1"/>
  <c r="AD49" i="47" s="1"/>
  <c r="N49" i="47" a="1"/>
  <c r="N49" i="47" s="1"/>
  <c r="U47" i="47" a="1"/>
  <c r="U47" i="47" s="1"/>
  <c r="AP46" i="47" a="1"/>
  <c r="AP46" i="47" s="1"/>
  <c r="AJ46" i="47" a="1"/>
  <c r="AJ46" i="47" s="1"/>
  <c r="AB46" i="47" a="1"/>
  <c r="AB46" i="47" s="1"/>
  <c r="T46" i="47" a="1"/>
  <c r="T46" i="47" s="1"/>
  <c r="P46" i="47" a="1"/>
  <c r="P46" i="47" s="1"/>
  <c r="AS44" i="47" a="1"/>
  <c r="AS44" i="47" s="1"/>
  <c r="AI44" i="47" a="1"/>
  <c r="AI44" i="47" s="1"/>
  <c r="AA44" i="47" a="1"/>
  <c r="AA44" i="47" s="1"/>
  <c r="S44" i="47" a="1"/>
  <c r="S44" i="47" s="1"/>
  <c r="AR43" i="47" a="1"/>
  <c r="AR43" i="47" s="1"/>
  <c r="AR42" i="47" s="1"/>
  <c r="AL43" i="47" a="1"/>
  <c r="AL43" i="47" s="1"/>
  <c r="AH43" i="47" a="1"/>
  <c r="AH43" i="47" s="1"/>
  <c r="AD43" i="47" a="1"/>
  <c r="AD43" i="47" s="1"/>
  <c r="Z43" i="47" a="1"/>
  <c r="Z43" i="47" s="1"/>
  <c r="V43" i="47" a="1"/>
  <c r="V43" i="47" s="1"/>
  <c r="R43" i="47" a="1"/>
  <c r="R43" i="47" s="1"/>
  <c r="N43" i="47" a="1"/>
  <c r="N43" i="47" s="1"/>
  <c r="J43" i="47" a="1"/>
  <c r="J43" i="47" s="1"/>
  <c r="AK41" i="47" a="1"/>
  <c r="AK41" i="47" s="1"/>
  <c r="U41" i="47" a="1"/>
  <c r="U41" i="47" s="1"/>
  <c r="M41" i="47" a="1"/>
  <c r="M41" i="47" s="1"/>
  <c r="AT40" i="47" a="1"/>
  <c r="AT40" i="47" s="1"/>
  <c r="AP40" i="47" a="1"/>
  <c r="AP40" i="47" s="1"/>
  <c r="AF40" i="47" a="1"/>
  <c r="AF40" i="47" s="1"/>
  <c r="AB40" i="47" a="1"/>
  <c r="AB40" i="47" s="1"/>
  <c r="P40" i="47" a="1"/>
  <c r="P40" i="47" s="1"/>
  <c r="AS38" i="47" a="1"/>
  <c r="AS38" i="47" s="1"/>
  <c r="AI38" i="47" a="1"/>
  <c r="AI38" i="47" s="1"/>
  <c r="AA38" i="47" a="1"/>
  <c r="AA38" i="47" s="1"/>
  <c r="S38" i="47" a="1"/>
  <c r="S38" i="47" s="1"/>
  <c r="K38" i="47" a="1"/>
  <c r="K38" i="47" s="1"/>
  <c r="AH37" i="47" a="1"/>
  <c r="AH37" i="47" s="1"/>
  <c r="Z37" i="47" a="1"/>
  <c r="Z37" i="47" s="1"/>
  <c r="R37" i="47" a="1"/>
  <c r="R37" i="47" s="1"/>
  <c r="J37" i="47" a="1"/>
  <c r="J37" i="47" s="1"/>
  <c r="AP34" i="47" a="1"/>
  <c r="AP34" i="47" s="1"/>
  <c r="AF34" i="47" a="1"/>
  <c r="AF34" i="47" s="1"/>
  <c r="X34" i="47" a="1"/>
  <c r="X34" i="47" s="1"/>
  <c r="P34" i="47" a="1"/>
  <c r="P34" i="47" s="1"/>
  <c r="AS32" i="47" a="1"/>
  <c r="AS32" i="47" s="1"/>
  <c r="AS31" i="47" a="1"/>
  <c r="AS31" i="47" s="1"/>
  <c r="S32" i="47" a="1"/>
  <c r="S32" i="47" s="1"/>
  <c r="AL31" i="47" a="1"/>
  <c r="AL31" i="47" s="1"/>
  <c r="AA31" i="47" a="1"/>
  <c r="AA31" i="47" s="1"/>
  <c r="AA32" i="47" a="1"/>
  <c r="AA32" i="47" s="1"/>
  <c r="S31" i="47" a="1"/>
  <c r="S31" i="47" s="1"/>
  <c r="AL29" i="47" a="1"/>
  <c r="AL29" i="47" s="1"/>
  <c r="AL28" i="47" a="1"/>
  <c r="AL28" i="47" s="1"/>
  <c r="AD29" i="47" a="1"/>
  <c r="AD29" i="47" s="1"/>
  <c r="AD28" i="47" a="1"/>
  <c r="AD28" i="47" s="1"/>
  <c r="V29" i="47" a="1"/>
  <c r="V29" i="47" s="1"/>
  <c r="V28" i="47" a="1"/>
  <c r="V28" i="47" s="1"/>
  <c r="AS28" i="47" a="1"/>
  <c r="AS28" i="47" s="1"/>
  <c r="AS29" i="47" a="1"/>
  <c r="AS29" i="47" s="1"/>
  <c r="AK28" i="47" a="1"/>
  <c r="AK28" i="47" s="1"/>
  <c r="AK29" i="47" a="1"/>
  <c r="AK29" i="47" s="1"/>
  <c r="AA28" i="47" a="1"/>
  <c r="AA28" i="47" s="1"/>
  <c r="AA29" i="47" a="1"/>
  <c r="AA29" i="47" s="1"/>
  <c r="U29" i="47" a="1"/>
  <c r="U29" i="47" s="1"/>
  <c r="U28" i="47" a="1"/>
  <c r="U28" i="47" s="1"/>
  <c r="AC89" i="46" a="1"/>
  <c r="AC89" i="46" s="1"/>
  <c r="AL88" i="46" a="1"/>
  <c r="AL88" i="46" s="1"/>
  <c r="AL89" i="46" a="1"/>
  <c r="AL89" i="46" s="1"/>
  <c r="O88" i="46"/>
  <c r="O89" i="46" a="1"/>
  <c r="O89" i="46" s="1"/>
  <c r="AM86" i="46" a="1"/>
  <c r="AM86" i="46" s="1"/>
  <c r="AJ85" i="46" a="1"/>
  <c r="AJ85" i="46" s="1"/>
  <c r="AJ86" i="46" a="1"/>
  <c r="AJ86" i="46" s="1"/>
  <c r="M85" i="46"/>
  <c r="M86" i="46" a="1"/>
  <c r="M86" i="46" s="1"/>
  <c r="K82" i="46" a="1"/>
  <c r="K82" i="46" s="1"/>
  <c r="AH82" i="46" a="1"/>
  <c r="AH82" i="46" s="1"/>
  <c r="AH83" i="46" a="1"/>
  <c r="AH83" i="46" s="1"/>
  <c r="L82" i="46"/>
  <c r="L83" i="46" a="1"/>
  <c r="L83" i="46" s="1"/>
  <c r="AF80" i="46" a="1"/>
  <c r="AF80" i="46" s="1"/>
  <c r="AT79" i="46"/>
  <c r="AT80" i="46" a="1"/>
  <c r="AT80" i="46" s="1"/>
  <c r="AP79" i="46" a="1"/>
  <c r="AP79" i="46" s="1"/>
  <c r="AP80" i="46" a="1"/>
  <c r="AP80" i="46" s="1"/>
  <c r="R79" i="46"/>
  <c r="R80" i="46" a="1"/>
  <c r="R80" i="46" s="1"/>
  <c r="AL77" i="46" a="1"/>
  <c r="AL77" i="46" s="1"/>
  <c r="AE76" i="46"/>
  <c r="AE77" i="46" a="1"/>
  <c r="AE77" i="46" s="1"/>
  <c r="T76" i="46" a="1"/>
  <c r="T76" i="46" s="1"/>
  <c r="T77" i="46" a="1"/>
  <c r="T77" i="46" s="1"/>
  <c r="AB71" i="46"/>
  <c r="AB70" i="46" a="1"/>
  <c r="AB70" i="46" s="1"/>
  <c r="AK70" i="46"/>
  <c r="X70" i="46" a="1"/>
  <c r="X70" i="46" s="1"/>
  <c r="X71" i="46" a="1"/>
  <c r="X71" i="46" s="1"/>
  <c r="R70" i="46"/>
  <c r="R71" i="46" a="1"/>
  <c r="R71" i="46" s="1"/>
  <c r="O98" i="46" a="1"/>
  <c r="O98" i="46" s="1"/>
  <c r="O97" i="46" a="1"/>
  <c r="O97" i="46" s="1"/>
  <c r="R98" i="46"/>
  <c r="R97" i="46" a="1"/>
  <c r="R97" i="46" s="1"/>
  <c r="AL95" i="46" a="1"/>
  <c r="AL95" i="46" s="1"/>
  <c r="N95" i="46"/>
  <c r="AQ94" i="46" a="1"/>
  <c r="AQ94" i="46" s="1"/>
  <c r="AQ95" i="46" a="1"/>
  <c r="AQ95" i="46" s="1"/>
  <c r="Q94" i="46"/>
  <c r="Q95" i="46" a="1"/>
  <c r="Q95" i="46" s="1"/>
  <c r="AJ92" i="46" a="1"/>
  <c r="AJ92" i="46" s="1"/>
  <c r="AM91" i="46" a="1"/>
  <c r="AM91" i="46" s="1"/>
  <c r="AM92" i="46" a="1"/>
  <c r="AM92" i="46" s="1"/>
  <c r="O91" i="46"/>
  <c r="O92" i="46" a="1"/>
  <c r="O92" i="46" s="1"/>
  <c r="AR89" i="46" a="1"/>
  <c r="AR89" i="46" s="1"/>
  <c r="AH89" i="46" a="1"/>
  <c r="AH89" i="46" s="1"/>
  <c r="AE88" i="46" a="1"/>
  <c r="AE88" i="46" s="1"/>
  <c r="AE89" i="46" a="1"/>
  <c r="AE89" i="46" s="1"/>
  <c r="AH86" i="46" a="1"/>
  <c r="AH86" i="46" s="1"/>
  <c r="AH85" i="46" a="1"/>
  <c r="AH85" i="46" s="1"/>
  <c r="K86" i="46"/>
  <c r="K85" i="46" a="1"/>
  <c r="K85" i="46" s="1"/>
  <c r="AA85" i="46" a="1"/>
  <c r="AA85" i="46" s="1"/>
  <c r="AA86" i="46" a="1"/>
  <c r="AA86" i="46" s="1"/>
  <c r="AP83" i="46"/>
  <c r="AP82" i="46" a="1"/>
  <c r="AP82" i="46" s="1"/>
  <c r="AC83" i="46" a="1"/>
  <c r="AC83" i="46" s="1"/>
  <c r="AC82" i="46" a="1"/>
  <c r="AC82" i="46" s="1"/>
  <c r="AQ83" i="46" a="1"/>
  <c r="AR80" i="46"/>
  <c r="AE80" i="46" a="1"/>
  <c r="AE80" i="46" s="1"/>
  <c r="AJ16" i="46"/>
  <c r="AJ17" i="46" a="1"/>
  <c r="AJ17" i="46" s="1"/>
  <c r="N10" i="46" a="1"/>
  <c r="N10" i="46" s="1"/>
  <c r="N9" i="46" s="1"/>
  <c r="Q104" i="43"/>
  <c r="AP103" i="43" a="1"/>
  <c r="AP103" i="43" s="1"/>
  <c r="AP102" i="43" s="1"/>
  <c r="N100" i="43" a="1"/>
  <c r="N100" i="43" s="1"/>
  <c r="N99" i="43" s="1"/>
  <c r="T97" i="43" a="1"/>
  <c r="T97" i="43" s="1"/>
  <c r="T96" i="43" s="1"/>
  <c r="Z94" i="43" a="1"/>
  <c r="Z94" i="43" s="1"/>
  <c r="Z95" i="43" a="1"/>
  <c r="Z95" i="43" s="1"/>
  <c r="AJ91" i="43"/>
  <c r="AJ92" i="43" a="1"/>
  <c r="AJ92" i="43" s="1"/>
  <c r="X95" i="43" a="1"/>
  <c r="X95" i="43" s="1"/>
  <c r="X94" i="43" a="1"/>
  <c r="X94" i="43" s="1"/>
  <c r="AT89" i="43" a="1"/>
  <c r="AT89" i="43" s="1"/>
  <c r="AT88" i="43" a="1"/>
  <c r="AT88" i="43" s="1"/>
  <c r="N86" i="43" a="1"/>
  <c r="N86" i="43" s="1"/>
  <c r="N85" i="43" a="1"/>
  <c r="N85" i="43" s="1"/>
  <c r="AJ80" i="43"/>
  <c r="O80" i="43" a="1"/>
  <c r="O80" i="43" s="1"/>
  <c r="AR70" i="43" a="1"/>
  <c r="AR70" i="43" s="1"/>
  <c r="AR69" i="43" s="1"/>
  <c r="P68" i="43" a="1"/>
  <c r="P68" i="43" s="1"/>
  <c r="P67" i="43" a="1"/>
  <c r="P67" i="43" s="1"/>
  <c r="L64" i="43"/>
  <c r="L65" i="43" a="1"/>
  <c r="L65" i="43" s="1"/>
  <c r="AP59" i="43" a="1"/>
  <c r="AP59" i="43" s="1"/>
  <c r="AP58" i="43" a="1"/>
  <c r="AP58" i="43" s="1"/>
  <c r="AG92" i="46" a="1"/>
  <c r="AG92" i="46" s="1"/>
  <c r="V89" i="46" a="1"/>
  <c r="V89" i="46" s="1"/>
  <c r="AP85" i="46" a="1"/>
  <c r="AP85" i="46" s="1"/>
  <c r="AP84" i="46" s="1"/>
  <c r="J85" i="46" a="1"/>
  <c r="J85" i="46" s="1"/>
  <c r="Z83" i="46" a="1"/>
  <c r="Z83" i="46" s="1"/>
  <c r="P83" i="46" a="1"/>
  <c r="AS10" i="41" a="1"/>
  <c r="AS10" i="41" s="1"/>
  <c r="AS11" i="41" a="1"/>
  <c r="AS11" i="41" s="1"/>
  <c r="AM10" i="41" a="1"/>
  <c r="AM10" i="41" s="1"/>
  <c r="AM11" i="41" a="1"/>
  <c r="AM11" i="41" s="1"/>
  <c r="AI10" i="41" a="1"/>
  <c r="K10" i="41" a="1"/>
  <c r="AF10" i="41" a="1"/>
  <c r="T61" i="41" a="1"/>
  <c r="T61" i="41" s="1"/>
  <c r="M58" i="41" a="1"/>
  <c r="AL52" i="41" a="1"/>
  <c r="AL52" i="41" s="1"/>
  <c r="V53" i="41" a="1"/>
  <c r="V53" i="41" s="1"/>
  <c r="AK46" i="41" a="1"/>
  <c r="AE44" i="41" a="1"/>
  <c r="AE44" i="41" s="1"/>
  <c r="AL43" i="41" a="1"/>
  <c r="Z44" i="41" a="1"/>
  <c r="AT16" i="43" a="1"/>
  <c r="AT16" i="43" s="1"/>
  <c r="AK64" i="43" a="1"/>
  <c r="AK64" i="43" s="1"/>
  <c r="AK65" i="43" a="1"/>
  <c r="AK65" i="43" s="1"/>
  <c r="AB103" i="41" a="1"/>
  <c r="AB103" i="41" s="1"/>
  <c r="Q43" i="41" a="1"/>
  <c r="Q43" i="41" s="1"/>
  <c r="M67" i="43" a="1"/>
  <c r="X80" i="46"/>
  <c r="X79" i="46" a="1"/>
  <c r="X79" i="46" s="1"/>
  <c r="AB74" i="46"/>
  <c r="U70" i="46" a="1"/>
  <c r="U70" i="46" s="1"/>
  <c r="U71" i="46" a="1"/>
  <c r="U71" i="46" s="1"/>
  <c r="AP68" i="46" a="1"/>
  <c r="AP68" i="46" s="1"/>
  <c r="K98" i="46" a="1"/>
  <c r="K98" i="46" s="1"/>
  <c r="AH95" i="46" a="1"/>
  <c r="AH95" i="46" s="1"/>
  <c r="AG95" i="46" a="1"/>
  <c r="AG95" i="46" s="1"/>
  <c r="U94" i="46" a="1"/>
  <c r="U94" i="46" s="1"/>
  <c r="U95" i="46" a="1"/>
  <c r="U95" i="46" s="1"/>
  <c r="AS91" i="46" a="1"/>
  <c r="AS91" i="46" s="1"/>
  <c r="AS92" i="46" a="1"/>
  <c r="AS92" i="46" s="1"/>
  <c r="K91" i="46"/>
  <c r="K92" i="46" a="1"/>
  <c r="K92" i="46" s="1"/>
  <c r="U88" i="46" a="1"/>
  <c r="U88" i="46" s="1"/>
  <c r="U89" i="46" a="1"/>
  <c r="U89" i="46" s="1"/>
  <c r="S85" i="46" a="1"/>
  <c r="S85" i="46" s="1"/>
  <c r="AM85" i="46" a="1"/>
  <c r="AM85" i="46" s="1"/>
  <c r="AF83" i="46" a="1"/>
  <c r="AF83" i="46" s="1"/>
  <c r="O82" i="46" a="1"/>
  <c r="O82" i="46" s="1"/>
  <c r="O83" i="46" a="1"/>
  <c r="O83" i="46" s="1"/>
  <c r="AK19" i="46" a="1"/>
  <c r="AK19" i="46" s="1"/>
  <c r="AK20" i="46" a="1"/>
  <c r="AK20" i="46" s="1"/>
  <c r="P20" i="46" a="1"/>
  <c r="P20" i="46" s="1"/>
  <c r="AF17" i="46" a="1"/>
  <c r="AF17" i="46" s="1"/>
  <c r="AL11" i="46" a="1"/>
  <c r="AL11" i="46" s="1"/>
  <c r="AL10" i="46" a="1"/>
  <c r="AL10" i="46" s="1"/>
  <c r="AK103" i="43" a="1"/>
  <c r="AK103" i="43" s="1"/>
  <c r="T103" i="43" a="1"/>
  <c r="T103" i="43" s="1"/>
  <c r="T104" i="43" a="1"/>
  <c r="T104" i="43" s="1"/>
  <c r="AM100" i="43" a="1"/>
  <c r="AM100" i="43" s="1"/>
  <c r="W101" i="43" a="1"/>
  <c r="W101" i="43" s="1"/>
  <c r="K100" i="43" a="1"/>
  <c r="K100" i="43" s="1"/>
  <c r="K101" i="43" a="1"/>
  <c r="K101" i="43" s="1"/>
  <c r="V100" i="43" a="1"/>
  <c r="V100" i="43" s="1"/>
  <c r="V101" i="43" a="1"/>
  <c r="V101" i="43" s="1"/>
  <c r="AQ97" i="43" a="1"/>
  <c r="AQ97" i="43" s="1"/>
  <c r="Y98" i="43" a="1"/>
  <c r="Y98" i="43" s="1"/>
  <c r="Y97" i="43" a="1"/>
  <c r="Y97" i="43" s="1"/>
  <c r="AF98" i="43" a="1"/>
  <c r="AF98" i="43" s="1"/>
  <c r="AF97" i="43" a="1"/>
  <c r="AF97" i="43" s="1"/>
  <c r="V95" i="43" a="1"/>
  <c r="V95" i="43" s="1"/>
  <c r="AT92" i="43" a="1"/>
  <c r="AT92" i="43" s="1"/>
  <c r="L92" i="43" a="1"/>
  <c r="L92" i="43" s="1"/>
  <c r="AF89" i="43" a="1"/>
  <c r="AF89" i="43" s="1"/>
  <c r="AF88" i="43" a="1"/>
  <c r="AF88" i="43" s="1"/>
  <c r="AH86" i="43" a="1"/>
  <c r="AH86" i="43" s="1"/>
  <c r="AD83" i="43" a="1"/>
  <c r="AD83" i="43" s="1"/>
  <c r="AD82" i="43" a="1"/>
  <c r="AD82" i="43" s="1"/>
  <c r="AT73" i="43" a="1"/>
  <c r="AT73" i="43" s="1"/>
  <c r="AT74" i="43" a="1"/>
  <c r="AT74" i="43" s="1"/>
  <c r="AC67" i="43" a="1"/>
  <c r="AC67" i="43" s="1"/>
  <c r="AC65" i="43" a="1"/>
  <c r="AC65" i="43" s="1"/>
  <c r="AC64" i="43" a="1"/>
  <c r="AC64" i="43" s="1"/>
  <c r="AT59" i="43" a="1"/>
  <c r="AT59" i="43" s="1"/>
  <c r="AS56" i="43" a="1"/>
  <c r="AS56" i="43" s="1"/>
  <c r="AS55" i="43" a="1"/>
  <c r="AS55" i="43" s="1"/>
  <c r="AR49" i="43" a="1"/>
  <c r="AR49" i="43" s="1"/>
  <c r="AR50" i="43" a="1"/>
  <c r="AR50" i="43" s="1"/>
  <c r="AJ43" i="43" a="1"/>
  <c r="AJ43" i="43" s="1"/>
  <c r="S89" i="41" a="1"/>
  <c r="S89" i="41" s="1"/>
  <c r="AI34" i="41" a="1"/>
  <c r="AI34" i="41" s="1"/>
  <c r="K29" i="43" a="1"/>
  <c r="K29" i="43" s="1"/>
  <c r="AG20" i="43" a="1"/>
  <c r="AG20" i="43" s="1"/>
  <c r="AG18" i="43" s="1"/>
  <c r="M19" i="43" a="1"/>
  <c r="M19" i="43" s="1"/>
  <c r="M20" i="43" a="1"/>
  <c r="M20" i="43" s="1"/>
  <c r="J64" i="43" a="1"/>
  <c r="J64" i="43" s="1"/>
  <c r="J65" i="43" a="1"/>
  <c r="J65" i="43" s="1"/>
  <c r="Z89" i="41" a="1"/>
  <c r="Z89" i="41" s="1"/>
  <c r="Z88" i="41" a="1"/>
  <c r="Z88" i="41" s="1"/>
  <c r="Q76" i="41" a="1"/>
  <c r="Q76" i="41" s="1"/>
  <c r="Q77" i="41" a="1"/>
  <c r="Q77" i="41" s="1"/>
  <c r="V77" i="46" a="1"/>
  <c r="V77" i="46" s="1"/>
  <c r="V76" i="46" a="1"/>
  <c r="V76" i="46" s="1"/>
  <c r="AK74" i="46" a="1"/>
  <c r="AK74" i="46" s="1"/>
  <c r="AA71" i="46" a="1"/>
  <c r="AA71" i="46" s="1"/>
  <c r="W85" i="43" a="1"/>
  <c r="W85" i="43" s="1"/>
  <c r="AR79" i="43" a="1"/>
  <c r="AR79" i="43" s="1"/>
  <c r="AR80" i="43" a="1"/>
  <c r="AR80" i="43" s="1"/>
  <c r="AD76" i="43" a="1"/>
  <c r="AD76" i="43" s="1"/>
  <c r="AD77" i="43" a="1"/>
  <c r="AD77" i="43" s="1"/>
  <c r="P71" i="41" a="1"/>
  <c r="P71" i="41" s="1"/>
  <c r="M94" i="41" a="1"/>
  <c r="M94" i="41" s="1"/>
  <c r="M95" i="41" a="1"/>
  <c r="M95" i="41" s="1"/>
  <c r="X86" i="41" a="1"/>
  <c r="X86" i="41" s="1"/>
  <c r="X85" i="41" a="1"/>
  <c r="X85" i="41" s="1"/>
  <c r="AE79" i="41" a="1"/>
  <c r="AE79" i="41" s="1"/>
  <c r="AE80" i="41" a="1"/>
  <c r="AE80" i="41" s="1"/>
  <c r="AK76" i="41" a="1"/>
  <c r="AK76" i="41" s="1"/>
  <c r="AK77" i="41" a="1"/>
  <c r="AK77" i="41" s="1"/>
  <c r="W73" i="41" a="1"/>
  <c r="W73" i="41" s="1"/>
  <c r="W74" i="41" a="1"/>
  <c r="W74" i="41" s="1"/>
  <c r="AE89" i="43" a="1"/>
  <c r="AE89" i="43" s="1"/>
  <c r="AE88" i="43" a="1"/>
  <c r="AE88" i="43" s="1"/>
  <c r="K89" i="43" a="1"/>
  <c r="K89" i="43" s="1"/>
  <c r="K88" i="43" a="1"/>
  <c r="K88" i="43" s="1"/>
  <c r="X88" i="43" a="1"/>
  <c r="X88" i="43" s="1"/>
  <c r="X89" i="43" a="1"/>
  <c r="X89" i="43" s="1"/>
  <c r="X103" i="41" a="1"/>
  <c r="X103" i="41" s="1"/>
  <c r="X104" i="41" a="1"/>
  <c r="X104" i="41" s="1"/>
  <c r="AQ61" i="43" a="1"/>
  <c r="AQ61" i="43" s="1"/>
  <c r="AQ62" i="43" a="1"/>
  <c r="AQ62" i="43" s="1"/>
  <c r="AD92" i="41" a="1"/>
  <c r="AD92" i="41" s="1"/>
  <c r="X62" i="41" a="1"/>
  <c r="X62" i="41" s="1"/>
  <c r="X61" i="41" a="1"/>
  <c r="X61" i="41" s="1"/>
  <c r="AA65" i="43" a="1"/>
  <c r="AA65" i="43" s="1"/>
  <c r="AA64" i="43" a="1"/>
  <c r="AA64" i="43" s="1"/>
  <c r="L61" i="43" a="1"/>
  <c r="L61" i="43" s="1"/>
  <c r="L62" i="43" a="1"/>
  <c r="L62" i="43" s="1"/>
  <c r="AC40" i="41" a="1"/>
  <c r="AC40" i="41" s="1"/>
  <c r="AC41" i="41" a="1"/>
  <c r="AC41" i="41" s="1"/>
  <c r="AE31" i="41" a="1"/>
  <c r="AE31" i="41" s="1"/>
  <c r="AE32" i="41" a="1"/>
  <c r="AE32" i="41" s="1"/>
  <c r="AQ86" i="43" a="1"/>
  <c r="AQ86" i="43" s="1"/>
  <c r="AQ85" i="43" a="1"/>
  <c r="AQ85" i="43" s="1"/>
  <c r="W86" i="43" a="1"/>
  <c r="W86" i="43" s="1"/>
  <c r="K83" i="43" a="1"/>
  <c r="K83" i="43" s="1"/>
  <c r="K82" i="43" a="1"/>
  <c r="K82" i="43" s="1"/>
  <c r="AE77" i="43" a="1"/>
  <c r="AE77" i="43" s="1"/>
  <c r="AE76" i="43" a="1"/>
  <c r="AE76" i="43" s="1"/>
  <c r="T74" i="43" a="1"/>
  <c r="T74" i="43" s="1"/>
  <c r="T73" i="43" a="1"/>
  <c r="T73" i="43" s="1"/>
  <c r="AT53" i="41" a="1"/>
  <c r="AT53" i="41" s="1"/>
  <c r="AT52" i="41" a="1"/>
  <c r="AT52" i="41" s="1"/>
  <c r="AR16" i="41" a="1"/>
  <c r="AR16" i="41" s="1"/>
  <c r="AR17" i="41" a="1"/>
  <c r="AR17" i="41" s="1"/>
  <c r="AF19" i="43" a="1"/>
  <c r="AF19" i="43" s="1"/>
  <c r="AF20" i="43" a="1"/>
  <c r="AF20" i="43" s="1"/>
  <c r="AS17" i="43" a="1"/>
  <c r="AS17" i="43" s="1"/>
  <c r="S17" i="43" a="1"/>
  <c r="S17" i="43" s="1"/>
  <c r="S16" i="43" a="1"/>
  <c r="S16" i="43" s="1"/>
  <c r="N16" i="43" a="1"/>
  <c r="N16" i="43" s="1"/>
  <c r="N17" i="43" a="1"/>
  <c r="N17" i="43" s="1"/>
  <c r="Q11" i="43" a="1"/>
  <c r="Q11" i="43" s="1"/>
  <c r="Q10" i="43" a="1"/>
  <c r="Q10" i="43" s="1"/>
  <c r="W20" i="41" a="1"/>
  <c r="W20" i="41" s="1"/>
  <c r="W19" i="41" a="1"/>
  <c r="W19" i="41" s="1"/>
  <c r="Z19" i="41" a="1"/>
  <c r="Z19" i="41" s="1"/>
  <c r="Z20" i="41" a="1"/>
  <c r="Z20" i="41" s="1"/>
  <c r="AG17" i="41" a="1"/>
  <c r="AG17" i="41" s="1"/>
  <c r="AP16" i="41" a="1"/>
  <c r="AP16" i="41" s="1"/>
  <c r="AP17" i="41" a="1"/>
  <c r="AP17" i="41" s="1"/>
  <c r="L16" i="41" a="1"/>
  <c r="L16" i="41" s="1"/>
  <c r="L17" i="41" a="1"/>
  <c r="L17" i="41" s="1"/>
  <c r="K11" i="41" a="1"/>
  <c r="K11" i="41" s="1"/>
  <c r="AC10" i="41" a="1"/>
  <c r="AC10" i="41" s="1"/>
  <c r="AC11" i="41" a="1"/>
  <c r="AC11" i="41" s="1"/>
  <c r="AI56" i="43"/>
  <c r="AI55" i="43" a="1"/>
  <c r="AI55" i="43" s="1"/>
  <c r="AD56" i="43" a="1"/>
  <c r="AD56" i="43" s="1"/>
  <c r="AD55" i="43" a="1"/>
  <c r="AD55" i="43" s="1"/>
  <c r="J55" i="43" a="1"/>
  <c r="J55" i="43" s="1"/>
  <c r="J56" i="43" a="1"/>
  <c r="J56" i="43" s="1"/>
  <c r="Y53" i="43" a="1"/>
  <c r="Y53" i="43" s="1"/>
  <c r="AP52" i="43" a="1"/>
  <c r="AP52" i="43" s="1"/>
  <c r="AP53" i="43" a="1"/>
  <c r="AP53" i="43" s="1"/>
  <c r="T52" i="43" a="1"/>
  <c r="T52" i="43" s="1"/>
  <c r="T53" i="43" a="1"/>
  <c r="T53" i="43" s="1"/>
  <c r="AI50" i="43" a="1"/>
  <c r="AI50" i="43" s="1"/>
  <c r="AI49" i="43" a="1"/>
  <c r="AI49" i="43" s="1"/>
  <c r="O50" i="43" a="1"/>
  <c r="O50" i="43" s="1"/>
  <c r="AD49" i="43" a="1"/>
  <c r="AD49" i="43" s="1"/>
  <c r="AD50" i="43" a="1"/>
  <c r="AD50" i="43" s="1"/>
  <c r="J49" i="43" a="1"/>
  <c r="J49" i="43" s="1"/>
  <c r="J50" i="43" a="1"/>
  <c r="J50" i="43" s="1"/>
  <c r="S55" i="43" a="1"/>
  <c r="S55" i="43" s="1"/>
  <c r="AQ52" i="43" a="1"/>
  <c r="AQ52" i="43" s="1"/>
  <c r="Q52" i="43" a="1"/>
  <c r="Q52" i="43" s="1"/>
  <c r="Q53" i="43" a="1"/>
  <c r="Q53" i="43" s="1"/>
  <c r="AM49" i="43" a="1"/>
  <c r="AM49" i="43" s="1"/>
  <c r="AM50" i="43" a="1"/>
  <c r="AM50" i="43" s="1"/>
  <c r="K50" i="43" a="1"/>
  <c r="K50" i="43" s="1"/>
  <c r="Y46" i="43" a="1"/>
  <c r="Y46" i="43" s="1"/>
  <c r="AM43" i="43" a="1"/>
  <c r="AM43" i="43" s="1"/>
  <c r="AM44" i="43" a="1"/>
  <c r="AM44" i="43" s="1"/>
  <c r="Y40" i="43" a="1"/>
  <c r="Y40" i="43" s="1"/>
  <c r="Y41" i="43" a="1"/>
  <c r="Y41" i="43" s="1"/>
  <c r="AM37" i="43" a="1"/>
  <c r="AM37" i="43" s="1"/>
  <c r="AM38" i="43" a="1"/>
  <c r="AM38" i="43" s="1"/>
  <c r="R35" i="43" a="1"/>
  <c r="R35" i="43" s="1"/>
  <c r="AM31" i="43" a="1"/>
  <c r="AM31" i="43" s="1"/>
  <c r="AM32" i="43" a="1"/>
  <c r="AM32" i="43" s="1"/>
  <c r="AS94" i="43" a="1"/>
  <c r="AS94" i="43" s="1"/>
  <c r="AS95" i="43" a="1"/>
  <c r="AS95" i="43" s="1"/>
  <c r="V92" i="43" a="1"/>
  <c r="V92" i="43" s="1"/>
  <c r="V91" i="43" a="1"/>
  <c r="V91" i="43" s="1"/>
  <c r="L89" i="43" a="1"/>
  <c r="L89" i="43" s="1"/>
  <c r="X86" i="43" a="1"/>
  <c r="X86" i="43" s="1"/>
  <c r="X85" i="43" a="1"/>
  <c r="X85" i="43" s="1"/>
  <c r="AT82" i="43" a="1"/>
  <c r="AT82" i="43" s="1"/>
  <c r="AS80" i="43" a="1"/>
  <c r="AS80" i="43" s="1"/>
  <c r="U79" i="43" a="1"/>
  <c r="U79" i="43" s="1"/>
  <c r="U80" i="43" a="1"/>
  <c r="U80" i="43" s="1"/>
  <c r="Q76" i="43" a="1"/>
  <c r="Q76" i="43" s="1"/>
  <c r="X73" i="43" a="1"/>
  <c r="X73" i="43" s="1"/>
  <c r="X74" i="43" a="1"/>
  <c r="X74" i="43" s="1"/>
  <c r="AH70" i="43" a="1"/>
  <c r="AH70" i="43" s="1"/>
  <c r="AH71" i="43" a="1"/>
  <c r="AH71" i="43" s="1"/>
  <c r="AT67" i="43" a="1"/>
  <c r="AT67" i="43" s="1"/>
  <c r="AT68" i="43" a="1"/>
  <c r="AT68" i="43" s="1"/>
  <c r="S68" i="43" a="1"/>
  <c r="S68" i="43" s="1"/>
  <c r="X64" i="43" a="1"/>
  <c r="X64" i="43" s="1"/>
  <c r="X65" i="43" a="1"/>
  <c r="X65" i="43" s="1"/>
  <c r="AH61" i="43" a="1"/>
  <c r="AH61" i="43" s="1"/>
  <c r="AH62" i="43" a="1"/>
  <c r="AH62" i="43" s="1"/>
  <c r="AC59" i="43" a="1"/>
  <c r="AC59" i="43" s="1"/>
  <c r="AC58" i="43" a="1"/>
  <c r="AC58" i="43" s="1"/>
  <c r="W56" i="43" a="1"/>
  <c r="W56" i="43" s="1"/>
  <c r="W54" i="43" s="1"/>
  <c r="AC53" i="43" a="1"/>
  <c r="AC53" i="43" s="1"/>
  <c r="AC52" i="43" a="1"/>
  <c r="AC52" i="43" s="1"/>
  <c r="V49" i="43" a="1"/>
  <c r="V49" i="43" s="1"/>
  <c r="V50" i="43" a="1"/>
  <c r="V50" i="43" s="1"/>
  <c r="J53" i="43" a="1"/>
  <c r="J53" i="43" s="1"/>
  <c r="U53" i="43" a="1"/>
  <c r="U53" i="43" s="1"/>
  <c r="AC46" i="43" a="1"/>
  <c r="AC46" i="43" s="1"/>
  <c r="AC47" i="43" a="1"/>
  <c r="AC47" i="43" s="1"/>
  <c r="V41" i="43" a="1"/>
  <c r="V41" i="43" s="1"/>
  <c r="W25" i="43" a="1"/>
  <c r="W25" i="43" s="1"/>
  <c r="W26" i="43" a="1"/>
  <c r="W26" i="43" s="1"/>
  <c r="K17" i="43" a="1"/>
  <c r="K17" i="43" s="1"/>
  <c r="R56" i="43" a="1"/>
  <c r="R56" i="43" s="1"/>
  <c r="R55" i="43" a="1"/>
  <c r="R55" i="43" s="1"/>
  <c r="O46" i="43" a="1"/>
  <c r="O46" i="43" s="1"/>
  <c r="O47" i="43" a="1"/>
  <c r="O47" i="43" s="1"/>
  <c r="AQ91" i="41" a="1"/>
  <c r="AQ91" i="41" s="1"/>
  <c r="AQ92" i="41" a="1"/>
  <c r="AQ92" i="41" s="1"/>
  <c r="AD86" i="41" a="1"/>
  <c r="AD86" i="41" s="1"/>
  <c r="AD85" i="41" a="1"/>
  <c r="AD85" i="41" s="1"/>
  <c r="Z80" i="41" a="1"/>
  <c r="Z80" i="41" s="1"/>
  <c r="Z79" i="41" a="1"/>
  <c r="Z79" i="41" s="1"/>
  <c r="AQ49" i="41" a="1"/>
  <c r="AQ49" i="41" s="1"/>
  <c r="AQ50" i="41" a="1"/>
  <c r="AQ50" i="41" s="1"/>
  <c r="Q37" i="43" a="1"/>
  <c r="Q37" i="43" s="1"/>
  <c r="Q38" i="43" a="1"/>
  <c r="Q38" i="43" s="1"/>
  <c r="AM28" i="43" a="1"/>
  <c r="AM28" i="43" s="1"/>
  <c r="AM29" i="43" a="1"/>
  <c r="AM29" i="43" s="1"/>
  <c r="AJ23" i="43" a="1"/>
  <c r="AJ23" i="43" s="1"/>
  <c r="AJ22" i="43" a="1"/>
  <c r="AJ22" i="43" s="1"/>
  <c r="AH20" i="43" a="1"/>
  <c r="AH20" i="43" s="1"/>
  <c r="AQ19" i="43" a="1"/>
  <c r="AQ19" i="43" s="1"/>
  <c r="AQ20" i="43" a="1"/>
  <c r="AQ20" i="43" s="1"/>
  <c r="Q19" i="43" a="1"/>
  <c r="Q19" i="43" s="1"/>
  <c r="Q20" i="43" a="1"/>
  <c r="Q20" i="43" s="1"/>
  <c r="AE67" i="43" a="1"/>
  <c r="AE67" i="43" s="1"/>
  <c r="AE68" i="43" a="1"/>
  <c r="AE68" i="43" s="1"/>
  <c r="AE65" i="43" a="1"/>
  <c r="AE65" i="43" s="1"/>
  <c r="AE64" i="43" a="1"/>
  <c r="AE64" i="43" s="1"/>
  <c r="AR64" i="43" a="1"/>
  <c r="AR64" i="43" s="1"/>
  <c r="AR65" i="43" a="1"/>
  <c r="AR65" i="43" s="1"/>
  <c r="V64" i="43" a="1"/>
  <c r="V64" i="43" s="1"/>
  <c r="V65" i="43"/>
  <c r="AG62" i="43" a="1"/>
  <c r="AG62" i="43" s="1"/>
  <c r="AT61" i="43" a="1"/>
  <c r="AT61" i="43" s="1"/>
  <c r="AT62" i="43" a="1"/>
  <c r="AT62" i="43" s="1"/>
  <c r="T61" i="43" a="1"/>
  <c r="T61" i="43" s="1"/>
  <c r="T62" i="43" a="1"/>
  <c r="T62" i="43" s="1"/>
  <c r="O59" i="43" a="1"/>
  <c r="O59" i="43" s="1"/>
  <c r="Y46" i="41" a="1"/>
  <c r="Y46" i="41" s="1"/>
  <c r="Y47" i="41" a="1"/>
  <c r="Y47" i="41" s="1"/>
  <c r="P44" i="41" a="1"/>
  <c r="P44" i="41" s="1"/>
  <c r="P43" i="41" a="1"/>
  <c r="P43" i="41" s="1"/>
  <c r="S43" i="41" a="1"/>
  <c r="S43" i="41" s="1"/>
  <c r="S44" i="41" a="1"/>
  <c r="S44" i="41" s="1"/>
  <c r="Z41" i="41" a="1"/>
  <c r="Z41" i="41" s="1"/>
  <c r="U40" i="41" a="1"/>
  <c r="U40" i="41" s="1"/>
  <c r="U41" i="41" a="1"/>
  <c r="U41" i="41" s="1"/>
  <c r="AB38" i="41" a="1"/>
  <c r="AB38" i="41" s="1"/>
  <c r="AB37" i="41" a="1"/>
  <c r="AB37" i="41" s="1"/>
  <c r="W37" i="41" a="1"/>
  <c r="W37" i="41" s="1"/>
  <c r="W38" i="41" a="1"/>
  <c r="W38" i="41" s="1"/>
  <c r="AH35" i="41" a="1"/>
  <c r="AH35" i="41" s="1"/>
  <c r="AH34" i="41" a="1"/>
  <c r="AH34" i="41" s="1"/>
  <c r="AG34" i="41" a="1"/>
  <c r="AG34" i="41" s="1"/>
  <c r="AG35" i="41" a="1"/>
  <c r="AG35" i="41" s="1"/>
  <c r="AJ32" i="41" a="1"/>
  <c r="AJ32" i="41" s="1"/>
  <c r="AS31" i="41" a="1"/>
  <c r="AS31" i="41" s="1"/>
  <c r="AS32" i="41" a="1"/>
  <c r="AS32" i="41" s="1"/>
  <c r="AA31" i="41" a="1"/>
  <c r="AA31" i="41" s="1"/>
  <c r="AA32" i="41" a="1"/>
  <c r="AA32" i="41" s="1"/>
  <c r="AH29" i="41" a="1"/>
  <c r="AH29" i="41" s="1"/>
  <c r="AH28" i="41" a="1"/>
  <c r="AH28" i="41" s="1"/>
  <c r="K31" i="43" a="1"/>
  <c r="K31" i="43" s="1"/>
  <c r="K32" i="43" a="1"/>
  <c r="K32" i="43" s="1"/>
  <c r="R29" i="43" a="1"/>
  <c r="R29" i="43" s="1"/>
  <c r="R28" i="43" a="1"/>
  <c r="R28" i="43" s="1"/>
  <c r="Y28" i="43" a="1"/>
  <c r="Y28" i="43" s="1"/>
  <c r="Y29" i="43" a="1"/>
  <c r="Y29" i="43" s="1"/>
  <c r="AF26" i="43" a="1"/>
  <c r="AF26" i="43" s="1"/>
  <c r="AF25" i="43" a="1"/>
  <c r="AF25" i="43" s="1"/>
  <c r="AM25" i="43" a="1"/>
  <c r="AM25" i="43" s="1"/>
  <c r="AM26" i="43" a="1"/>
  <c r="AM26" i="43" s="1"/>
  <c r="K25" i="43" a="1"/>
  <c r="K25" i="43" s="1"/>
  <c r="K26" i="43" a="1"/>
  <c r="K26" i="43" s="1"/>
  <c r="R23" i="43" a="1"/>
  <c r="R23" i="43" s="1"/>
  <c r="R22" i="43" a="1"/>
  <c r="R22" i="43" s="1"/>
  <c r="Y22" i="43" a="1"/>
  <c r="Y22" i="43" s="1"/>
  <c r="Y23" i="43" a="1"/>
  <c r="Y23" i="43" s="1"/>
  <c r="AM19" i="43" a="1"/>
  <c r="AM19" i="43" s="1"/>
  <c r="AM20" i="43" a="1"/>
  <c r="AM20" i="43" s="1"/>
  <c r="R17" i="43" a="1"/>
  <c r="R17" i="43" s="1"/>
  <c r="R16" i="43" a="1"/>
  <c r="R16" i="43" s="1"/>
  <c r="AF11" i="43" a="1"/>
  <c r="AF11" i="43" s="1"/>
  <c r="AF10" i="43"/>
  <c r="AM10" i="43" a="1"/>
  <c r="AM10" i="43" s="1"/>
  <c r="AM11" i="43" a="1"/>
  <c r="AM11" i="43" s="1"/>
  <c r="R104" i="41" a="1"/>
  <c r="R104" i="41" s="1"/>
  <c r="R103" i="41" a="1"/>
  <c r="R103" i="41" s="1"/>
  <c r="AA16" i="43" a="1"/>
  <c r="AA16" i="43" s="1"/>
  <c r="AA17" i="43" a="1"/>
  <c r="AA17" i="43" s="1"/>
  <c r="P55" i="41" a="1"/>
  <c r="P55" i="41" s="1"/>
  <c r="P56" i="41" a="1"/>
  <c r="P56" i="41" s="1"/>
  <c r="V52" i="41" a="1"/>
  <c r="V52" i="41" s="1"/>
  <c r="AF49" i="41" a="1"/>
  <c r="AF49" i="41" s="1"/>
  <c r="AF50" i="41" a="1"/>
  <c r="AF50" i="41" s="1"/>
  <c r="AL46" i="41" a="1"/>
  <c r="AL46" i="41" s="1"/>
  <c r="AL47" i="41" a="1"/>
  <c r="AL47" i="41" s="1"/>
  <c r="AP104" i="41" a="1"/>
  <c r="AP104" i="41" s="1"/>
  <c r="U100" i="41" a="1"/>
  <c r="U100" i="41" s="1"/>
  <c r="U101" i="41" a="1"/>
  <c r="U101" i="41" s="1"/>
  <c r="AA97" i="41" a="1"/>
  <c r="AA97" i="41" s="1"/>
  <c r="AA98" i="41" a="1"/>
  <c r="AA98" i="41" s="1"/>
  <c r="AK94" i="41" a="1"/>
  <c r="AK94" i="41" s="1"/>
  <c r="AK95" i="41" a="1"/>
  <c r="AK95" i="41" s="1"/>
  <c r="AS91" i="41" a="1"/>
  <c r="AS91" i="41" s="1"/>
  <c r="AS92" i="41" a="1"/>
  <c r="AS92" i="41" s="1"/>
  <c r="AA26" i="47" a="1"/>
  <c r="AA26" i="47" s="1"/>
  <c r="AA25" i="47" a="1"/>
  <c r="AA25" i="47" s="1"/>
  <c r="Q26" i="47" a="1"/>
  <c r="Q26" i="47" s="1"/>
  <c r="Q25" i="47" a="1"/>
  <c r="Q25" i="47" s="1"/>
  <c r="AT25" i="47" a="1"/>
  <c r="AT25" i="47" s="1"/>
  <c r="AT26" i="47" a="1"/>
  <c r="AT26" i="47" s="1"/>
  <c r="AJ25" i="47" a="1"/>
  <c r="AJ25" i="47" s="1"/>
  <c r="AJ26" i="47" a="1"/>
  <c r="AJ26" i="47" s="1"/>
  <c r="AB25" i="47" a="1"/>
  <c r="AB25" i="47" s="1"/>
  <c r="AB26" i="47" a="1"/>
  <c r="AB26" i="47" s="1"/>
  <c r="T25" i="47" a="1"/>
  <c r="T25" i="47" s="1"/>
  <c r="T26" i="47" a="1"/>
  <c r="T26" i="47" s="1"/>
  <c r="L25" i="47" a="1"/>
  <c r="L25" i="47" s="1"/>
  <c r="L26" i="47" a="1"/>
  <c r="L26" i="47" s="1"/>
  <c r="AM23" i="47" a="1"/>
  <c r="AM23" i="47" s="1"/>
  <c r="AM22" i="47" a="1"/>
  <c r="AM22" i="47" s="1"/>
  <c r="AE23" i="47" a="1"/>
  <c r="AE23" i="47" s="1"/>
  <c r="AE22" i="47" a="1"/>
  <c r="AE22" i="47" s="1"/>
  <c r="W23" i="47" a="1"/>
  <c r="W23" i="47" s="1"/>
  <c r="W22" i="47" a="1"/>
  <c r="W22" i="47" s="1"/>
  <c r="O23" i="47" a="1"/>
  <c r="O23" i="47" s="1"/>
  <c r="O22" i="47" a="1"/>
  <c r="O22" i="47" s="1"/>
  <c r="AR22" i="47" a="1"/>
  <c r="AR22" i="47" s="1"/>
  <c r="AR23" i="47" a="1"/>
  <c r="AR23" i="47" s="1"/>
  <c r="AH22" i="47" a="1"/>
  <c r="AH22" i="47" s="1"/>
  <c r="AH23" i="47" a="1"/>
  <c r="AH23" i="47" s="1"/>
  <c r="R22" i="47" a="1"/>
  <c r="R22" i="47" s="1"/>
  <c r="R23" i="47" a="1"/>
  <c r="R23" i="47" s="1"/>
  <c r="AC20" i="47" a="1"/>
  <c r="AC20" i="47" s="1"/>
  <c r="AC19" i="47" a="1"/>
  <c r="AC19" i="47" s="1"/>
  <c r="AP19" i="47" a="1"/>
  <c r="AP19" i="47" s="1"/>
  <c r="AP20" i="47" a="1"/>
  <c r="AP20" i="47" s="1"/>
  <c r="X19" i="47" a="1"/>
  <c r="X19" i="47" s="1"/>
  <c r="X20" i="47" a="1"/>
  <c r="X20" i="47" s="1"/>
  <c r="AA17" i="47" a="1"/>
  <c r="AA17" i="47" s="1"/>
  <c r="AA16" i="47" a="1"/>
  <c r="AA16" i="47" s="1"/>
  <c r="AD16" i="47" a="1"/>
  <c r="AD16" i="47" s="1"/>
  <c r="AD17" i="47" a="1"/>
  <c r="AD17" i="47" s="1"/>
  <c r="AQ11" i="47" a="1"/>
  <c r="AQ11" i="47" s="1"/>
  <c r="AQ10" i="47" a="1"/>
  <c r="AQ10" i="47" s="1"/>
  <c r="AG11" i="47" a="1"/>
  <c r="AG11" i="47" s="1"/>
  <c r="AG10" i="47" a="1"/>
  <c r="AG10" i="47" s="1"/>
  <c r="V40" i="43" a="1"/>
  <c r="V40" i="43" s="1"/>
  <c r="O37" i="43" a="1"/>
  <c r="O37" i="43" s="1"/>
  <c r="O38" i="43" a="1"/>
  <c r="O38" i="43" s="1"/>
  <c r="P32" i="43" a="1"/>
  <c r="P32" i="43" s="1"/>
  <c r="P31" i="43" a="1"/>
  <c r="P31" i="43" s="1"/>
  <c r="AK28" i="43" a="1"/>
  <c r="AK28" i="43" s="1"/>
  <c r="AK29" i="43" a="1"/>
  <c r="AK29" i="43" s="1"/>
  <c r="AK22" i="43" a="1"/>
  <c r="AK22" i="43" s="1"/>
  <c r="AK23" i="43" a="1"/>
  <c r="AK23" i="43" s="1"/>
  <c r="W19" i="43" a="1"/>
  <c r="W19" i="43" s="1"/>
  <c r="W20" i="43" a="1"/>
  <c r="W20" i="43" s="1"/>
  <c r="N104" i="41" a="1"/>
  <c r="N104" i="41" s="1"/>
  <c r="N103" i="41" a="1"/>
  <c r="N103" i="41" s="1"/>
  <c r="Z101" i="41" a="1"/>
  <c r="Z101" i="41" s="1"/>
  <c r="Z100" i="41" a="1"/>
  <c r="Z100" i="41" s="1"/>
  <c r="AJ49" i="41" a="1"/>
  <c r="AJ49" i="41" s="1"/>
  <c r="AJ50" i="41" a="1"/>
  <c r="AJ50" i="41" s="1"/>
  <c r="U10" i="43" a="1"/>
  <c r="U10" i="43" s="1"/>
  <c r="U11" i="43" a="1"/>
  <c r="U11" i="43" s="1"/>
  <c r="AK101" i="41" a="1"/>
  <c r="AK101" i="41" s="1"/>
  <c r="AL95" i="41" a="1"/>
  <c r="AL95" i="41" s="1"/>
  <c r="AL94" i="41" a="1"/>
  <c r="AL94" i="41" s="1"/>
  <c r="L92" i="41" a="1"/>
  <c r="L92" i="41" s="1"/>
  <c r="L91" i="41" a="1"/>
  <c r="L91" i="41" s="1"/>
  <c r="AC88" i="41" a="1"/>
  <c r="AC88" i="41" s="1"/>
  <c r="AC89" i="41" a="1"/>
  <c r="AC89" i="41" s="1"/>
  <c r="AE86" i="41" a="1"/>
  <c r="AE86" i="41" s="1"/>
  <c r="AE84" i="41" s="1"/>
  <c r="AT80" i="41" a="1"/>
  <c r="AT80" i="41" s="1"/>
  <c r="AT79" i="41" a="1"/>
  <c r="AT79" i="41" s="1"/>
  <c r="N77" i="41" a="1"/>
  <c r="N77" i="41" s="1"/>
  <c r="N76" i="41" a="1"/>
  <c r="N76" i="41" s="1"/>
  <c r="S73" i="41" a="1"/>
  <c r="S73" i="41" s="1"/>
  <c r="S74" i="41" a="1"/>
  <c r="S74" i="41" s="1"/>
  <c r="U79" i="46" a="1"/>
  <c r="U79" i="46" s="1"/>
  <c r="U80" i="46" a="1"/>
  <c r="U80" i="46" s="1"/>
  <c r="AQ77" i="46" a="1"/>
  <c r="AQ77" i="46" s="1"/>
  <c r="AQ76" i="46" a="1"/>
  <c r="AQ76" i="46" s="1"/>
  <c r="AK77" i="46" a="1"/>
  <c r="AK77" i="46" s="1"/>
  <c r="AK76" i="46" a="1"/>
  <c r="AK76" i="46" s="1"/>
  <c r="R77" i="46" a="1"/>
  <c r="R77" i="46" s="1"/>
  <c r="R76" i="46" a="1"/>
  <c r="R76" i="46" s="1"/>
  <c r="AL76" i="46" a="1"/>
  <c r="AL76" i="46" s="1"/>
  <c r="W76" i="46" a="1"/>
  <c r="W76" i="46" s="1"/>
  <c r="L76" i="46" a="1"/>
  <c r="L76" i="46" s="1"/>
  <c r="L77" i="46" a="1"/>
  <c r="L77" i="46" s="1"/>
  <c r="R74" i="46" a="1"/>
  <c r="R74" i="46" s="1"/>
  <c r="AK73" i="46" a="1"/>
  <c r="AK73" i="46" s="1"/>
  <c r="U73" i="46" a="1"/>
  <c r="U73" i="46" s="1"/>
  <c r="AS70" i="46" a="1"/>
  <c r="AS70" i="46" s="1"/>
  <c r="AS71" i="46" a="1"/>
  <c r="AS71" i="46" s="1"/>
  <c r="N70" i="46" a="1"/>
  <c r="N70" i="46" s="1"/>
  <c r="AP85" i="43" a="1"/>
  <c r="AP85" i="43" s="1"/>
  <c r="AP86" i="43" a="1"/>
  <c r="AP86" i="43" s="1"/>
  <c r="S85" i="43" a="1"/>
  <c r="S85" i="43" s="1"/>
  <c r="S86" i="43" a="1"/>
  <c r="S86" i="43" s="1"/>
  <c r="O83" i="43" a="1"/>
  <c r="O83" i="43" s="1"/>
  <c r="O82" i="43" a="1"/>
  <c r="O82" i="43" s="1"/>
  <c r="AC82" i="43" a="1"/>
  <c r="AC82" i="43" s="1"/>
  <c r="Y80" i="43" a="1"/>
  <c r="Y80" i="43" s="1"/>
  <c r="Y79" i="43" a="1"/>
  <c r="Y79" i="43" s="1"/>
  <c r="AL79" i="43" a="1"/>
  <c r="AL79" i="43" s="1"/>
  <c r="AL80" i="43" a="1"/>
  <c r="AL80" i="43" s="1"/>
  <c r="T79" i="43" a="1"/>
  <c r="T79" i="43" s="1"/>
  <c r="T80" i="43" a="1"/>
  <c r="T80" i="43" s="1"/>
  <c r="AH77" i="43" a="1"/>
  <c r="AH77" i="43" s="1"/>
  <c r="M77" i="43" a="1"/>
  <c r="M77" i="43" s="1"/>
  <c r="M76" i="43" a="1"/>
  <c r="M76" i="43" s="1"/>
  <c r="AH76" i="43" a="1"/>
  <c r="AH76" i="43" s="1"/>
  <c r="L76" i="43" a="1"/>
  <c r="L76" i="43" s="1"/>
  <c r="L77" i="43" a="1"/>
  <c r="L77" i="43" s="1"/>
  <c r="AM73" i="43" a="1"/>
  <c r="AM73" i="43" s="1"/>
  <c r="AM74" i="43" a="1"/>
  <c r="AM74" i="43" s="1"/>
  <c r="AT77" i="41" a="1"/>
  <c r="AT77" i="41" s="1"/>
  <c r="AT76" i="41" a="1"/>
  <c r="AT76" i="41" s="1"/>
  <c r="AC73" i="41" a="1"/>
  <c r="AC73" i="41" s="1"/>
  <c r="AC74" i="41" a="1"/>
  <c r="AC74" i="41" s="1"/>
  <c r="AC67" i="41" a="1"/>
  <c r="AC67" i="41" s="1"/>
  <c r="AC68" i="41" a="1"/>
  <c r="AC68" i="41" s="1"/>
  <c r="AJ59" i="41" a="1"/>
  <c r="AJ59" i="41" s="1"/>
  <c r="P53" i="41" a="1"/>
  <c r="P53" i="41" s="1"/>
  <c r="Z40" i="41" a="1"/>
  <c r="Z40" i="41" s="1"/>
  <c r="M32" i="41" a="1"/>
  <c r="M32" i="41" s="1"/>
  <c r="M31" i="41" a="1"/>
  <c r="M31" i="41" s="1"/>
  <c r="AA23" i="41" a="1"/>
  <c r="AA23" i="41" s="1"/>
  <c r="AA22" i="41" a="1"/>
  <c r="AA22" i="41" s="1"/>
  <c r="AT10" i="41" a="1"/>
  <c r="AT10" i="41" s="1"/>
  <c r="AT11" i="41" a="1"/>
  <c r="AT11" i="41" s="1"/>
  <c r="AC37" i="43" a="1"/>
  <c r="AC37" i="43" s="1"/>
  <c r="AC38" i="43" a="1"/>
  <c r="AC38" i="43" s="1"/>
  <c r="AP35" i="43" a="1"/>
  <c r="AP35" i="43" s="1"/>
  <c r="AP34" i="43" a="1"/>
  <c r="AP34" i="43" s="1"/>
  <c r="P35" i="43" a="1"/>
  <c r="P35" i="43" s="1"/>
  <c r="P34" i="43" a="1"/>
  <c r="P34" i="43" s="1"/>
  <c r="AA34" i="43" a="1"/>
  <c r="AA34" i="43" s="1"/>
  <c r="AA35" i="43" a="1"/>
  <c r="AA35" i="43" s="1"/>
  <c r="AD32" i="43" a="1"/>
  <c r="AD32" i="43" s="1"/>
  <c r="AD31" i="43" a="1"/>
  <c r="AD31" i="43" s="1"/>
  <c r="AQ31" i="43" a="1"/>
  <c r="AQ31" i="43" s="1"/>
  <c r="AQ32" i="43" a="1"/>
  <c r="AQ32" i="43" s="1"/>
  <c r="Q31" i="43" a="1"/>
  <c r="Q31" i="43" s="1"/>
  <c r="Q32" i="43" a="1"/>
  <c r="Q32" i="43" s="1"/>
  <c r="T29" i="43" a="1"/>
  <c r="T29" i="43" s="1"/>
  <c r="T28" i="43" a="1"/>
  <c r="T28" i="43" s="1"/>
  <c r="AE28" i="43" a="1"/>
  <c r="AE28" i="43" s="1"/>
  <c r="AE29" i="43" a="1"/>
  <c r="AE29" i="43" s="1"/>
  <c r="AL26" i="43" a="1"/>
  <c r="AL26" i="43" s="1"/>
  <c r="AL25" i="43" a="1"/>
  <c r="AL25" i="43" s="1"/>
  <c r="J26" i="43" a="1"/>
  <c r="J26" i="43" s="1"/>
  <c r="J25" i="43" a="1"/>
  <c r="J25" i="43" s="1"/>
  <c r="M25" i="43" a="1"/>
  <c r="M25" i="43" s="1"/>
  <c r="M26" i="43" a="1"/>
  <c r="M26" i="43" s="1"/>
  <c r="AQ64" i="41" a="1"/>
  <c r="AQ64" i="41" s="1"/>
  <c r="AQ65" i="41" a="1"/>
  <c r="AQ65" i="41" s="1"/>
  <c r="AS61" i="41" a="1"/>
  <c r="AS61" i="41" s="1"/>
  <c r="AS62" i="41" a="1"/>
  <c r="AS62" i="41" s="1"/>
  <c r="Q11" i="47" a="1"/>
  <c r="Q11" i="47" s="1"/>
  <c r="Q10" i="47" a="1"/>
  <c r="Q10" i="47" s="1"/>
  <c r="AT10" i="47" a="1"/>
  <c r="AT10" i="47" s="1"/>
  <c r="AT11" i="47" a="1"/>
  <c r="AT11" i="47" s="1"/>
  <c r="AJ10" i="47" a="1"/>
  <c r="AJ10" i="47" s="1"/>
  <c r="AJ11" i="47" a="1"/>
  <c r="AJ11" i="47" s="1"/>
  <c r="AB10" i="47" a="1"/>
  <c r="AB10" i="47" s="1"/>
  <c r="AB11" i="47" a="1"/>
  <c r="AB11" i="47" s="1"/>
  <c r="T10" i="47" a="1"/>
  <c r="T10" i="47" s="1"/>
  <c r="T11" i="47" a="1"/>
  <c r="T11" i="47" s="1"/>
  <c r="L10" i="47" a="1"/>
  <c r="L10" i="47" s="1"/>
  <c r="L11" i="47" a="1"/>
  <c r="L11" i="47" s="1"/>
  <c r="AM104" i="46" a="1"/>
  <c r="AM104" i="46" s="1"/>
  <c r="AM103" i="46" a="1"/>
  <c r="AM103" i="46" s="1"/>
  <c r="AE104" i="46" a="1"/>
  <c r="AE104" i="46" s="1"/>
  <c r="AE103" i="46" a="1"/>
  <c r="AE103" i="46" s="1"/>
  <c r="W104" i="46" a="1"/>
  <c r="W104" i="46" s="1"/>
  <c r="W103" i="46" a="1"/>
  <c r="W103" i="46" s="1"/>
  <c r="O104" i="46" a="1"/>
  <c r="O104" i="46" s="1"/>
  <c r="O103" i="46" a="1"/>
  <c r="O103" i="46" s="1"/>
  <c r="AR103" i="46" a="1"/>
  <c r="AR103" i="46" s="1"/>
  <c r="AR104" i="46" a="1"/>
  <c r="AR104" i="46" s="1"/>
  <c r="R103" i="46" a="1"/>
  <c r="R103" i="46" s="1"/>
  <c r="R104" i="46" a="1"/>
  <c r="R104" i="46" s="1"/>
  <c r="J103" i="46" a="1"/>
  <c r="J103" i="46" s="1"/>
  <c r="J104" i="46" a="1"/>
  <c r="J104" i="46" s="1"/>
  <c r="AK101" i="46" a="1"/>
  <c r="AK101" i="46" s="1"/>
  <c r="AK100" i="46" a="1"/>
  <c r="AK100" i="46" s="1"/>
  <c r="AC101" i="46" a="1"/>
  <c r="AC101" i="46" s="1"/>
  <c r="AC100" i="46" a="1"/>
  <c r="AC100" i="46" s="1"/>
  <c r="U101" i="46" a="1"/>
  <c r="U101" i="46" s="1"/>
  <c r="U100" i="46" a="1"/>
  <c r="U100" i="46" s="1"/>
  <c r="M101" i="46" a="1"/>
  <c r="M101" i="46" s="1"/>
  <c r="M100" i="46" a="1"/>
  <c r="M100" i="46" s="1"/>
  <c r="AP100" i="46" a="1"/>
  <c r="AP100" i="46" s="1"/>
  <c r="AP101" i="46" a="1"/>
  <c r="AP101" i="46" s="1"/>
  <c r="AF100" i="46" a="1"/>
  <c r="AF100" i="46" s="1"/>
  <c r="AF101" i="46" a="1"/>
  <c r="AF101" i="46" s="1"/>
  <c r="AS67" i="46" a="1"/>
  <c r="AS67" i="46" s="1"/>
  <c r="AS68" i="46" a="1"/>
  <c r="AS68" i="46" s="1"/>
  <c r="AK67" i="46" a="1"/>
  <c r="AK67" i="46" s="1"/>
  <c r="AK68" i="46" a="1"/>
  <c r="AK68" i="46" s="1"/>
  <c r="AA67" i="46" a="1"/>
  <c r="AA67" i="46" s="1"/>
  <c r="AA68" i="46" a="1"/>
  <c r="AA68" i="46" s="1"/>
  <c r="Q67" i="46" a="1"/>
  <c r="Q67" i="46" s="1"/>
  <c r="AK65" i="46" a="1"/>
  <c r="AK65" i="46" s="1"/>
  <c r="AK64" i="46" a="1"/>
  <c r="AK64" i="46" s="1"/>
  <c r="P65" i="46" a="1"/>
  <c r="P65" i="46" s="1"/>
  <c r="P64" i="46" a="1"/>
  <c r="P64" i="46" s="1"/>
  <c r="AJ64" i="46" a="1"/>
  <c r="AJ64" i="46" s="1"/>
  <c r="Z64" i="46" a="1"/>
  <c r="Z64" i="46" s="1"/>
  <c r="Z65" i="46" a="1"/>
  <c r="Z65" i="46" s="1"/>
  <c r="AJ62" i="46" a="1"/>
  <c r="AJ62" i="46" s="1"/>
  <c r="AJ61" i="46" a="1"/>
  <c r="AJ61" i="46" s="1"/>
  <c r="Y62" i="46" a="1"/>
  <c r="Y62" i="46" s="1"/>
  <c r="Y61" i="46" a="1"/>
  <c r="Y61" i="46" s="1"/>
  <c r="Y71" i="43" a="1"/>
  <c r="Y71" i="43" s="1"/>
  <c r="Y70" i="43" a="1"/>
  <c r="Y70" i="43" s="1"/>
  <c r="AM67" i="43" a="1"/>
  <c r="AM67" i="43" s="1"/>
  <c r="AM68" i="43" a="1"/>
  <c r="AM68" i="43" s="1"/>
  <c r="Y56" i="46" a="1"/>
  <c r="Y56" i="46" s="1"/>
  <c r="AL53" i="46" a="1"/>
  <c r="AL53" i="46" s="1"/>
  <c r="AD52" i="46" a="1"/>
  <c r="AD52" i="46" s="1"/>
  <c r="AD53" i="46" a="1"/>
  <c r="AD53" i="46" s="1"/>
  <c r="AS49" i="46" a="1"/>
  <c r="AS49" i="46" s="1"/>
  <c r="AS50" i="46" a="1"/>
  <c r="AS50" i="46" s="1"/>
  <c r="AL47" i="46" a="1"/>
  <c r="AL47" i="46" s="1"/>
  <c r="AL46" i="46" a="1"/>
  <c r="AL46" i="46" s="1"/>
  <c r="K23" i="46" a="1"/>
  <c r="K23" i="46" s="1"/>
  <c r="K22" i="46" a="1"/>
  <c r="K22" i="46" s="1"/>
  <c r="AG20" i="46" a="1"/>
  <c r="AG20" i="46" s="1"/>
  <c r="AG19" i="46" a="1"/>
  <c r="AG19" i="46" s="1"/>
  <c r="AJ19" i="46" a="1"/>
  <c r="AJ19" i="46" s="1"/>
  <c r="AJ20" i="46" a="1"/>
  <c r="AJ20" i="46" s="1"/>
  <c r="T19" i="46" a="1"/>
  <c r="T19" i="46" s="1"/>
  <c r="T20" i="46" a="1"/>
  <c r="T20" i="46" s="1"/>
  <c r="AA16" i="46" a="1"/>
  <c r="AA16" i="46" s="1"/>
  <c r="AA17" i="46" a="1"/>
  <c r="AA17" i="46" s="1"/>
  <c r="AC23" i="43" a="1"/>
  <c r="AC23" i="43" s="1"/>
  <c r="AC22" i="43" a="1"/>
  <c r="AC22" i="43" s="1"/>
  <c r="M23" i="43" a="1"/>
  <c r="M23" i="43" s="1"/>
  <c r="M22" i="43" a="1"/>
  <c r="M22" i="43" s="1"/>
  <c r="AF22" i="43" a="1"/>
  <c r="AF22" i="43" s="1"/>
  <c r="AF23" i="43" a="1"/>
  <c r="AF23" i="43" s="1"/>
  <c r="P22" i="43" a="1"/>
  <c r="P22" i="43" s="1"/>
  <c r="P23" i="43" a="1"/>
  <c r="P23" i="43" s="1"/>
  <c r="AA20" i="43" a="1"/>
  <c r="AA20" i="43" s="1"/>
  <c r="AA19" i="43" a="1"/>
  <c r="AA19" i="43" s="1"/>
  <c r="N19" i="43" a="1"/>
  <c r="N19" i="43" s="1"/>
  <c r="N20" i="43" a="1"/>
  <c r="N20" i="43" s="1"/>
  <c r="U17" i="43" a="1"/>
  <c r="U17" i="43" s="1"/>
  <c r="U16" i="43" a="1"/>
  <c r="U16" i="43" s="1"/>
  <c r="AF16" i="43" a="1"/>
  <c r="AF16" i="43" s="1"/>
  <c r="AF15" i="43" s="1"/>
  <c r="L16" i="43" a="1"/>
  <c r="L16" i="43" s="1"/>
  <c r="L17" i="43" a="1"/>
  <c r="L17" i="43" s="1"/>
  <c r="AA11" i="43" a="1"/>
  <c r="AA11" i="43" s="1"/>
  <c r="AA10" i="43" a="1"/>
  <c r="AA10" i="43" s="1"/>
  <c r="AR10" i="43" a="1"/>
  <c r="AR10" i="43" s="1"/>
  <c r="AR11" i="43" a="1"/>
  <c r="AR11" i="43" s="1"/>
  <c r="V10" i="43" a="1"/>
  <c r="V10" i="43" s="1"/>
  <c r="V11" i="43" a="1"/>
  <c r="V11" i="43" s="1"/>
  <c r="AK104" i="41" a="1"/>
  <c r="AK104" i="41" s="1"/>
  <c r="AK103" i="41" a="1"/>
  <c r="AK103" i="41" s="1"/>
  <c r="AF103" i="41" a="1"/>
  <c r="AF103" i="41" s="1"/>
  <c r="AF104" i="41" a="1"/>
  <c r="AF104" i="41" s="1"/>
  <c r="L103" i="41" a="1"/>
  <c r="L103" i="41" s="1"/>
  <c r="L104" i="41" a="1"/>
  <c r="L104" i="41" s="1"/>
  <c r="AA101" i="41" a="1"/>
  <c r="AA101" i="41" s="1"/>
  <c r="AM64" i="43" a="1"/>
  <c r="AM64" i="43" s="1"/>
  <c r="AM65" i="43" a="1"/>
  <c r="AM65" i="43" s="1"/>
  <c r="S64" i="43" a="1"/>
  <c r="S64" i="43" s="1"/>
  <c r="S65" i="43" a="1"/>
  <c r="S65" i="43" s="1"/>
  <c r="AL62" i="43" a="1"/>
  <c r="AL62" i="43" s="1"/>
  <c r="AL61" i="43" a="1"/>
  <c r="AL61" i="43" s="1"/>
  <c r="AC61" i="43" a="1"/>
  <c r="AC61" i="43" s="1"/>
  <c r="AB59" i="43" a="1"/>
  <c r="AB59" i="43" s="1"/>
  <c r="AB58" i="43" a="1"/>
  <c r="AB58" i="43" s="1"/>
  <c r="AS58" i="43" a="1"/>
  <c r="AS58" i="43" s="1"/>
  <c r="AS57" i="43" s="1"/>
  <c r="AA58" i="43" a="1"/>
  <c r="AA58" i="43" s="1"/>
  <c r="AA59" i="43" a="1"/>
  <c r="AA59" i="43" s="1"/>
  <c r="K58" i="43" a="1"/>
  <c r="K58" i="43" s="1"/>
  <c r="K59" i="43" a="1"/>
  <c r="K59" i="43" s="1"/>
  <c r="Z56" i="43" a="1"/>
  <c r="Z56" i="43" s="1"/>
  <c r="Z55" i="43" a="1"/>
  <c r="Z55" i="43" s="1"/>
  <c r="Y55" i="43" a="1"/>
  <c r="Y55" i="43" s="1"/>
  <c r="Y56" i="43" a="1"/>
  <c r="Y56" i="43" s="1"/>
  <c r="AI52" i="43" a="1"/>
  <c r="AI52" i="43" s="1"/>
  <c r="AI53" i="43" a="1"/>
  <c r="AI53" i="43" s="1"/>
  <c r="S52" i="43" a="1"/>
  <c r="S52" i="43" s="1"/>
  <c r="S53" i="43" a="1"/>
  <c r="S53" i="43" s="1"/>
  <c r="AL50" i="43" a="1"/>
  <c r="AL50" i="43" s="1"/>
  <c r="AL49" i="43" a="1"/>
  <c r="AL49" i="43" s="1"/>
  <c r="AK49" i="43" a="1"/>
  <c r="AK49" i="43" s="1"/>
  <c r="AK50" i="43" a="1"/>
  <c r="AK50" i="43" s="1"/>
  <c r="Q49" i="43" a="1"/>
  <c r="Q49" i="43" s="1"/>
  <c r="Q50" i="43" a="1"/>
  <c r="Q50" i="43" s="1"/>
  <c r="AJ47" i="43" a="1"/>
  <c r="AJ47" i="43" s="1"/>
  <c r="AJ46" i="43" a="1"/>
  <c r="AJ46" i="43" s="1"/>
  <c r="T47" i="43" a="1"/>
  <c r="T47" i="43" s="1"/>
  <c r="T46" i="43" a="1"/>
  <c r="T46" i="43" s="1"/>
  <c r="AM46" i="43" a="1"/>
  <c r="AM46" i="43" s="1"/>
  <c r="AM47" i="43" a="1"/>
  <c r="AM47" i="43" s="1"/>
  <c r="AA46" i="43" a="1"/>
  <c r="AA46" i="43" s="1"/>
  <c r="AA47" i="43" a="1"/>
  <c r="AA47" i="43" s="1"/>
  <c r="AR44" i="43" a="1"/>
  <c r="AR44" i="43" s="1"/>
  <c r="AR43" i="43" a="1"/>
  <c r="AR43" i="43" s="1"/>
  <c r="V44" i="43" a="1"/>
  <c r="V44" i="43" s="1"/>
  <c r="V43" i="43" a="1"/>
  <c r="V43" i="43" s="1"/>
  <c r="S40" i="43" a="1"/>
  <c r="S40" i="43" s="1"/>
  <c r="S41" i="43" a="1"/>
  <c r="S41" i="43" s="1"/>
  <c r="Z38" i="43" a="1"/>
  <c r="Z38" i="43" s="1"/>
  <c r="Z37" i="43" a="1"/>
  <c r="Z37" i="43" s="1"/>
  <c r="AL92" i="41" a="1"/>
  <c r="AL92" i="41" s="1"/>
  <c r="AL91" i="41" a="1"/>
  <c r="AL91" i="41" s="1"/>
  <c r="N92" i="41" a="1"/>
  <c r="N92" i="41" s="1"/>
  <c r="N91" i="41" a="1"/>
  <c r="N91" i="41" s="1"/>
  <c r="Y91" i="41" a="1"/>
  <c r="Y91" i="41" s="1"/>
  <c r="Y92" i="41" a="1"/>
  <c r="Y92" i="41" s="1"/>
  <c r="AJ89" i="41" a="1"/>
  <c r="AJ89" i="41" s="1"/>
  <c r="AJ88" i="41" a="1"/>
  <c r="AJ88" i="41" s="1"/>
  <c r="L89" i="41" a="1"/>
  <c r="L89" i="41" s="1"/>
  <c r="L88" i="41" a="1"/>
  <c r="L88" i="41" s="1"/>
  <c r="W88" i="41" a="1"/>
  <c r="W88" i="41" s="1"/>
  <c r="W89" i="41" a="1"/>
  <c r="W89" i="41" s="1"/>
  <c r="AH86" i="41" a="1"/>
  <c r="AH86" i="41" s="1"/>
  <c r="AH85" i="41" a="1"/>
  <c r="AH85" i="41" s="1"/>
  <c r="J86" i="41" a="1"/>
  <c r="J86" i="41" s="1"/>
  <c r="J85" i="41" a="1"/>
  <c r="J85" i="41" s="1"/>
  <c r="U85" i="41" a="1"/>
  <c r="U85" i="41" s="1"/>
  <c r="U86" i="41" a="1"/>
  <c r="U86" i="41" s="1"/>
  <c r="AF83" i="41" a="1"/>
  <c r="AF83" i="41" s="1"/>
  <c r="AS82" i="41" a="1"/>
  <c r="AS82" i="41" s="1"/>
  <c r="AS83" i="41" a="1"/>
  <c r="AS83" i="41" s="1"/>
  <c r="S82" i="41" a="1"/>
  <c r="S82" i="41" s="1"/>
  <c r="S83" i="41" a="1"/>
  <c r="S83" i="41" s="1"/>
  <c r="AD80" i="41" a="1"/>
  <c r="AD80" i="41" s="1"/>
  <c r="AQ79" i="41" a="1"/>
  <c r="AQ79" i="41" s="1"/>
  <c r="AQ80" i="41" a="1"/>
  <c r="AQ80" i="41" s="1"/>
  <c r="Q79" i="41" a="1"/>
  <c r="Q79" i="41" s="1"/>
  <c r="Q80" i="41" a="1"/>
  <c r="Q80" i="41" s="1"/>
  <c r="AB77" i="41" a="1"/>
  <c r="AB77" i="41" s="1"/>
  <c r="AM76" i="41" a="1"/>
  <c r="AM76" i="41" s="1"/>
  <c r="AP47" i="41" a="1"/>
  <c r="AP47" i="41" s="1"/>
  <c r="AP46" i="41" a="1"/>
  <c r="AP46" i="41" s="1"/>
  <c r="Y22" i="47" a="1"/>
  <c r="Y22" i="47" s="1"/>
  <c r="Y23" i="47" a="1"/>
  <c r="Y23" i="47" s="1"/>
  <c r="U22" i="47" a="1"/>
  <c r="U22" i="47" s="1"/>
  <c r="Q23" i="47" a="1"/>
  <c r="Q23" i="47" s="1"/>
  <c r="M22" i="47" a="1"/>
  <c r="M22" i="47" s="1"/>
  <c r="AF19" i="47" a="1"/>
  <c r="AF19" i="47" s="1"/>
  <c r="AF20" i="47" a="1"/>
  <c r="AF20" i="47" s="1"/>
  <c r="AK65" i="41" a="1"/>
  <c r="AK65" i="41" s="1"/>
  <c r="Y65" i="41" a="1"/>
  <c r="Y65" i="41" s="1"/>
  <c r="Y64" i="41" a="1"/>
  <c r="Y64" i="41" s="1"/>
  <c r="X64" i="41" a="1"/>
  <c r="X64" i="41" s="1"/>
  <c r="AE62" i="41" a="1"/>
  <c r="AE62" i="41" s="1"/>
  <c r="K62" i="41" a="1"/>
  <c r="K62" i="41" s="1"/>
  <c r="J61" i="41" a="1"/>
  <c r="J61" i="41" s="1"/>
  <c r="J62" i="41" a="1"/>
  <c r="J62" i="41" s="1"/>
  <c r="Z25" i="47" a="1"/>
  <c r="Z25" i="47" s="1"/>
  <c r="AJ16" i="47" a="1"/>
  <c r="AJ16" i="47" s="1"/>
  <c r="AJ17" i="47" a="1"/>
  <c r="AJ17" i="47" s="1"/>
  <c r="AF16" i="47" a="1"/>
  <c r="AF16" i="47" s="1"/>
  <c r="AF17" i="47" a="1"/>
  <c r="AF17" i="47" s="1"/>
  <c r="AB16" i="47" a="1"/>
  <c r="AB16" i="47" s="1"/>
  <c r="AB17" i="47" a="1"/>
  <c r="AB17" i="47" s="1"/>
  <c r="X16" i="47" a="1"/>
  <c r="X16" i="47" s="1"/>
  <c r="X17" i="47" a="1"/>
  <c r="X17" i="47" s="1"/>
  <c r="T16" i="47" a="1"/>
  <c r="T16" i="47" s="1"/>
  <c r="T17" i="47" a="1"/>
  <c r="T17" i="47" s="1"/>
  <c r="P16" i="47" a="1"/>
  <c r="P16" i="47" s="1"/>
  <c r="P17" i="47" a="1"/>
  <c r="P17" i="47" s="1"/>
  <c r="L16" i="47" a="1"/>
  <c r="L16" i="47" s="1"/>
  <c r="L17" i="47" a="1"/>
  <c r="L17" i="47" s="1"/>
  <c r="AR10" i="47" a="1"/>
  <c r="AR10" i="47" s="1"/>
  <c r="AR11" i="47" a="1"/>
  <c r="AR11" i="47" s="1"/>
  <c r="AL10" i="47" a="1"/>
  <c r="AL10" i="47" s="1"/>
  <c r="AL11" i="47" a="1"/>
  <c r="AL11" i="47" s="1"/>
  <c r="AH10" i="47" a="1"/>
  <c r="AH10" i="47" s="1"/>
  <c r="AH11" i="47" a="1"/>
  <c r="AH11" i="47" s="1"/>
  <c r="AD10" i="47" a="1"/>
  <c r="AD10" i="47" s="1"/>
  <c r="AD11" i="47" a="1"/>
  <c r="AD11" i="47" s="1"/>
  <c r="Z10" i="47" a="1"/>
  <c r="Z10" i="47" s="1"/>
  <c r="Z11" i="47" a="1"/>
  <c r="Z11" i="47" s="1"/>
  <c r="V10" i="47" a="1"/>
  <c r="V10" i="47" s="1"/>
  <c r="V11" i="47" a="1"/>
  <c r="V11" i="47" s="1"/>
  <c r="R10" i="47" a="1"/>
  <c r="R10" i="47" s="1"/>
  <c r="R11" i="47" a="1"/>
  <c r="R11" i="47" s="1"/>
  <c r="N10" i="47" a="1"/>
  <c r="N10" i="47" s="1"/>
  <c r="N11" i="47" a="1"/>
  <c r="N11" i="47" s="1"/>
  <c r="J10" i="47" a="1"/>
  <c r="J10" i="47" s="1"/>
  <c r="J11" i="47" a="1"/>
  <c r="J11" i="47" s="1"/>
  <c r="AT103" i="46" a="1"/>
  <c r="AT103" i="46" s="1"/>
  <c r="AT104" i="46" a="1"/>
  <c r="AT104" i="46" s="1"/>
  <c r="AP103" i="46" a="1"/>
  <c r="AP103" i="46" s="1"/>
  <c r="AP104" i="46" a="1"/>
  <c r="AP104" i="46" s="1"/>
  <c r="AJ103" i="46" a="1"/>
  <c r="AJ103" i="46" s="1"/>
  <c r="AJ104" i="46" a="1"/>
  <c r="AJ104" i="46" s="1"/>
  <c r="AF103" i="46" a="1"/>
  <c r="AF103" i="46" s="1"/>
  <c r="AF104" i="46" a="1"/>
  <c r="AF104" i="46" s="1"/>
  <c r="AB103" i="46" a="1"/>
  <c r="AB103" i="46" s="1"/>
  <c r="AB104" i="46" a="1"/>
  <c r="AB104" i="46" s="1"/>
  <c r="X103" i="46" a="1"/>
  <c r="X103" i="46" s="1"/>
  <c r="X104" i="46" a="1"/>
  <c r="X104" i="46" s="1"/>
  <c r="T103" i="46" a="1"/>
  <c r="T103" i="46" s="1"/>
  <c r="T104" i="46" a="1"/>
  <c r="T104" i="46" s="1"/>
  <c r="P103" i="46" a="1"/>
  <c r="P103" i="46" s="1"/>
  <c r="P104" i="46" a="1"/>
  <c r="P104" i="46" s="1"/>
  <c r="L103" i="46" a="1"/>
  <c r="L103" i="46" s="1"/>
  <c r="L104" i="46" a="1"/>
  <c r="L104" i="46" s="1"/>
  <c r="AR100" i="46" a="1"/>
  <c r="AR100" i="46" s="1"/>
  <c r="AR101" i="46" a="1"/>
  <c r="AR101" i="46" s="1"/>
  <c r="AL100" i="46" a="1"/>
  <c r="AL100" i="46" s="1"/>
  <c r="AL101" i="46" a="1"/>
  <c r="AL101" i="46" s="1"/>
  <c r="AH100" i="46" a="1"/>
  <c r="AH100" i="46" s="1"/>
  <c r="AH101" i="46" a="1"/>
  <c r="AH101" i="46" s="1"/>
  <c r="AD100" i="46" a="1"/>
  <c r="AD100" i="46" s="1"/>
  <c r="AD101" i="46" a="1"/>
  <c r="AD101" i="46" s="1"/>
  <c r="Z100" i="46" a="1"/>
  <c r="Z100" i="46" s="1"/>
  <c r="Z101" i="46" a="1"/>
  <c r="Z101" i="46" s="1"/>
  <c r="V100" i="46" a="1"/>
  <c r="V100" i="46" s="1"/>
  <c r="V101" i="46" a="1"/>
  <c r="V101" i="46" s="1"/>
  <c r="R100" i="46" a="1"/>
  <c r="R100" i="46" s="1"/>
  <c r="R101" i="46" a="1"/>
  <c r="R101" i="46" s="1"/>
  <c r="N100" i="46" a="1"/>
  <c r="N100" i="46" s="1"/>
  <c r="N101" i="46" a="1"/>
  <c r="N101" i="46" s="1"/>
  <c r="J100" i="46" a="1"/>
  <c r="J100" i="46" s="1"/>
  <c r="J101" i="46" a="1"/>
  <c r="J101" i="46" s="1"/>
  <c r="AT97" i="46" a="1"/>
  <c r="AT97" i="46" s="1"/>
  <c r="AP97" i="46" a="1"/>
  <c r="AP97" i="46" s="1"/>
  <c r="AJ97" i="46" a="1"/>
  <c r="AJ97" i="46" s="1"/>
  <c r="AF97" i="46" a="1"/>
  <c r="AF97" i="46" s="1"/>
  <c r="AB97" i="46" a="1"/>
  <c r="AB97" i="46" s="1"/>
  <c r="X97" i="46" a="1"/>
  <c r="X97" i="46" s="1"/>
  <c r="T97" i="46" a="1"/>
  <c r="T97" i="46" s="1"/>
  <c r="P97" i="46" a="1"/>
  <c r="P97" i="46" s="1"/>
  <c r="AM32" i="47" a="1"/>
  <c r="AM32" i="47" s="1"/>
  <c r="L32" i="47" a="1"/>
  <c r="L32" i="47" s="1"/>
  <c r="AM31" i="47" a="1"/>
  <c r="AM31" i="47" s="1"/>
  <c r="P31" i="47" a="1"/>
  <c r="P31" i="47" s="1"/>
  <c r="L31" i="47" a="1"/>
  <c r="L31" i="47" s="1"/>
  <c r="AM29" i="47" a="1"/>
  <c r="AM29" i="47" s="1"/>
  <c r="AE29" i="47" a="1"/>
  <c r="AE29" i="47" s="1"/>
  <c r="W29" i="47" a="1"/>
  <c r="W29" i="47" s="1"/>
  <c r="L29" i="47" a="1"/>
  <c r="L29" i="47" s="1"/>
  <c r="AT28" i="47" a="1"/>
  <c r="AT28" i="47" s="1"/>
  <c r="AQ28" i="47" a="1"/>
  <c r="AQ28" i="47" s="1"/>
  <c r="AE28" i="47" a="1"/>
  <c r="AE28" i="47" s="1"/>
  <c r="AB28" i="47" a="1"/>
  <c r="AB28" i="47" s="1"/>
  <c r="Y28" i="47" a="1"/>
  <c r="Y28" i="47" s="1"/>
  <c r="L28" i="47" a="1"/>
  <c r="L28" i="47" s="1"/>
  <c r="AQ26" i="47" a="1"/>
  <c r="AQ26" i="47" s="1"/>
  <c r="AE26" i="47" a="1"/>
  <c r="AE26" i="47" s="1"/>
  <c r="U26" i="47" a="1"/>
  <c r="U26" i="47" s="1"/>
  <c r="AQ25" i="47" a="1"/>
  <c r="AQ25" i="47" s="1"/>
  <c r="AG25" i="47" a="1"/>
  <c r="AG25" i="47" s="1"/>
  <c r="AG26" i="47" a="1"/>
  <c r="AG26" i="47" s="1"/>
  <c r="AC25" i="47" a="1"/>
  <c r="AC25" i="47" s="1"/>
  <c r="Y25" i="47" a="1"/>
  <c r="Y25" i="47" s="1"/>
  <c r="U25" i="47" a="1"/>
  <c r="U25" i="47" s="1"/>
  <c r="U19" i="47" a="1"/>
  <c r="U19" i="47" s="1"/>
  <c r="U20" i="47" a="1"/>
  <c r="U20" i="47" s="1"/>
  <c r="AS16" i="47" a="1"/>
  <c r="AS16" i="47" s="1"/>
  <c r="AS17" i="47" a="1"/>
  <c r="AS17" i="47" s="1"/>
  <c r="AI16" i="47" a="1"/>
  <c r="AI16" i="47" s="1"/>
  <c r="AI17" i="47" a="1"/>
  <c r="AI17" i="47" s="1"/>
  <c r="K16" i="47" a="1"/>
  <c r="K16" i="47" s="1"/>
  <c r="K17" i="47" a="1"/>
  <c r="K17" i="47" s="1"/>
  <c r="AS103" i="46" a="1"/>
  <c r="AS103" i="46" s="1"/>
  <c r="AS104" i="46" a="1"/>
  <c r="AS104" i="46" s="1"/>
  <c r="AI103" i="46" a="1"/>
  <c r="AI103" i="46" s="1"/>
  <c r="AA103" i="46" a="1"/>
  <c r="AA103" i="46" s="1"/>
  <c r="AA104" i="46" a="1"/>
  <c r="AA104" i="46" s="1"/>
  <c r="S103" i="46" a="1"/>
  <c r="S103" i="46" s="1"/>
  <c r="K103" i="46" a="1"/>
  <c r="K103" i="46" s="1"/>
  <c r="K104" i="46" a="1"/>
  <c r="K104" i="46" s="1"/>
  <c r="AQ100" i="46" a="1"/>
  <c r="AQ100" i="46" s="1"/>
  <c r="AQ99" i="46" s="1"/>
  <c r="AG100" i="46" a="1"/>
  <c r="AG100" i="46" s="1"/>
  <c r="AG101" i="46" a="1"/>
  <c r="AG101" i="46" s="1"/>
  <c r="Y100" i="46" a="1"/>
  <c r="Y100" i="46" s="1"/>
  <c r="Q100" i="46" a="1"/>
  <c r="Q100" i="46" s="1"/>
  <c r="Q101" i="46" a="1"/>
  <c r="Q101" i="46" s="1"/>
  <c r="AT98" i="46" a="1"/>
  <c r="AT98" i="46" s="1"/>
  <c r="AP98" i="46" a="1"/>
  <c r="AP98" i="46" s="1"/>
  <c r="AJ98" i="46" a="1"/>
  <c r="AJ98" i="46" s="1"/>
  <c r="AF98" i="46" a="1"/>
  <c r="AF98" i="46" s="1"/>
  <c r="AB98" i="46" a="1"/>
  <c r="AB98" i="46" s="1"/>
  <c r="X98" i="46" a="1"/>
  <c r="X98" i="46" s="1"/>
  <c r="T98" i="46" a="1"/>
  <c r="T98" i="46" s="1"/>
  <c r="P98" i="46" a="1"/>
  <c r="P98" i="46" s="1"/>
  <c r="L98" i="46" a="1"/>
  <c r="L98" i="46" s="1"/>
  <c r="W97" i="46" a="1"/>
  <c r="W97" i="46" s="1"/>
  <c r="AC95" i="46" a="1"/>
  <c r="AC95" i="46" s="1"/>
  <c r="AC94" i="46" a="1"/>
  <c r="AC94" i="46" s="1"/>
  <c r="AT94" i="46" a="1"/>
  <c r="AT94" i="46" s="1"/>
  <c r="AT95" i="46" a="1"/>
  <c r="AT95" i="46" s="1"/>
  <c r="AP94" i="46" a="1"/>
  <c r="AP94" i="46" s="1"/>
  <c r="AP95" i="46" a="1"/>
  <c r="AP95" i="46" s="1"/>
  <c r="AJ94" i="46" a="1"/>
  <c r="AJ94" i="46" s="1"/>
  <c r="AJ95" i="46" a="1"/>
  <c r="AJ95" i="46" s="1"/>
  <c r="AF94" i="46" a="1"/>
  <c r="AF94" i="46" s="1"/>
  <c r="AF95" i="46" a="1"/>
  <c r="AF95" i="46" s="1"/>
  <c r="AB94" i="46" a="1"/>
  <c r="AB94" i="46" s="1"/>
  <c r="AB95" i="46" a="1"/>
  <c r="AB95" i="46" s="1"/>
  <c r="X94" i="46" a="1"/>
  <c r="X94" i="46" s="1"/>
  <c r="X95" i="46" a="1"/>
  <c r="X95" i="46" s="1"/>
  <c r="T94" i="46" a="1"/>
  <c r="T94" i="46" s="1"/>
  <c r="T95" i="46" a="1"/>
  <c r="T95" i="46" s="1"/>
  <c r="P94" i="46" a="1"/>
  <c r="P94" i="46" s="1"/>
  <c r="P95" i="46" a="1"/>
  <c r="P95" i="46" s="1"/>
  <c r="L94" i="46" a="1"/>
  <c r="L94" i="46" s="1"/>
  <c r="L95" i="46" a="1"/>
  <c r="L95" i="46" s="1"/>
  <c r="AE92" i="46" a="1"/>
  <c r="AE92" i="46" s="1"/>
  <c r="AA92" i="46" a="1"/>
  <c r="AA92" i="46" s="1"/>
  <c r="AA91" i="46" a="1"/>
  <c r="AA91" i="46" s="1"/>
  <c r="AR91" i="46" a="1"/>
  <c r="AR91" i="46" s="1"/>
  <c r="AR92" i="46" a="1"/>
  <c r="AR92" i="46" s="1"/>
  <c r="AL91" i="46" a="1"/>
  <c r="AL91" i="46" s="1"/>
  <c r="AL92" i="46" a="1"/>
  <c r="AL92" i="46" s="1"/>
  <c r="AH91" i="46" a="1"/>
  <c r="AH91" i="46" s="1"/>
  <c r="AH92" i="46" a="1"/>
  <c r="AH92" i="46" s="1"/>
  <c r="AD91" i="46" a="1"/>
  <c r="AD91" i="46" s="1"/>
  <c r="AD92" i="46" a="1"/>
  <c r="AD92" i="46" s="1"/>
  <c r="Z91" i="46" a="1"/>
  <c r="Z91" i="46" s="1"/>
  <c r="Z92" i="46" a="1"/>
  <c r="Z92" i="46" s="1"/>
  <c r="V91" i="46" a="1"/>
  <c r="V91" i="46" s="1"/>
  <c r="V92" i="46" a="1"/>
  <c r="V92" i="46" s="1"/>
  <c r="R91" i="46" a="1"/>
  <c r="R91" i="46" s="1"/>
  <c r="R92" i="46" a="1"/>
  <c r="R92" i="46" s="1"/>
  <c r="N91" i="46" a="1"/>
  <c r="N91" i="46" s="1"/>
  <c r="N92" i="46" a="1"/>
  <c r="N92" i="46" s="1"/>
  <c r="J91" i="46" a="1"/>
  <c r="J91" i="46" s="1"/>
  <c r="J92" i="46" a="1"/>
  <c r="J92" i="46" s="1"/>
  <c r="AD89" i="46" a="1"/>
  <c r="AD89" i="46" s="1"/>
  <c r="AA89" i="46" a="1"/>
  <c r="AA89" i="46" s="1"/>
  <c r="X89" i="46" a="1"/>
  <c r="X89" i="46" s="1"/>
  <c r="AP88" i="46" a="1"/>
  <c r="AP88" i="46" s="1"/>
  <c r="AP89" i="46" a="1"/>
  <c r="AP89" i="46" s="1"/>
  <c r="AG88" i="46" a="1"/>
  <c r="AG88" i="46" s="1"/>
  <c r="AG89" i="46" a="1"/>
  <c r="AG89" i="46" s="1"/>
  <c r="AD88" i="46" a="1"/>
  <c r="AD88" i="46" s="1"/>
  <c r="AA88" i="46" a="1"/>
  <c r="AA88" i="46" s="1"/>
  <c r="X88" i="46" a="1"/>
  <c r="X88" i="46" s="1"/>
  <c r="Q88" i="46" a="1"/>
  <c r="Q88" i="46" s="1"/>
  <c r="Q89" i="46" a="1"/>
  <c r="Q89" i="46" s="1"/>
  <c r="M88" i="46" a="1"/>
  <c r="M88" i="46" s="1"/>
  <c r="M89" i="46" a="1"/>
  <c r="M89" i="46" s="1"/>
  <c r="AT86" i="46" a="1"/>
  <c r="AT86" i="46" s="1"/>
  <c r="AK86" i="46" a="1"/>
  <c r="AK86" i="46" s="1"/>
  <c r="AG86" i="46" a="1"/>
  <c r="AG86" i="46" s="1"/>
  <c r="AC86" i="46" a="1"/>
  <c r="AC86" i="46" s="1"/>
  <c r="Y86" i="46" a="1"/>
  <c r="Y86" i="46" s="1"/>
  <c r="Y85" i="46" a="1"/>
  <c r="Y85" i="46" s="1"/>
  <c r="V86" i="46" a="1"/>
  <c r="V86" i="46" s="1"/>
  <c r="R86" i="46" a="1"/>
  <c r="R86" i="46" s="1"/>
  <c r="N86" i="46" a="1"/>
  <c r="N86" i="46" s="1"/>
  <c r="AL85" i="46" a="1"/>
  <c r="AL85" i="46" s="1"/>
  <c r="AL86" i="46" a="1"/>
  <c r="AL86" i="46" s="1"/>
  <c r="AD85" i="46" a="1"/>
  <c r="AD85" i="46" s="1"/>
  <c r="AD86" i="46" a="1"/>
  <c r="AD86" i="46" s="1"/>
  <c r="W85" i="46" a="1"/>
  <c r="W85" i="46" s="1"/>
  <c r="W86" i="46" a="1"/>
  <c r="W86" i="46" s="1"/>
  <c r="O85" i="46" a="1"/>
  <c r="O85" i="46" s="1"/>
  <c r="O86" i="46" a="1"/>
  <c r="O86" i="46" s="1"/>
  <c r="AS83" i="46" a="1"/>
  <c r="AS83" i="46" s="1"/>
  <c r="AM83" i="46" a="1"/>
  <c r="AM83" i="46" s="1"/>
  <c r="AI83" i="46" a="1"/>
  <c r="AI83" i="46" s="1"/>
  <c r="AE83" i="46" a="1"/>
  <c r="AE83" i="46" s="1"/>
  <c r="AE82" i="46" a="1"/>
  <c r="AE82" i="46" s="1"/>
  <c r="AB83" i="46" a="1"/>
  <c r="AB83" i="46" s="1"/>
  <c r="X83" i="46" a="1"/>
  <c r="X83" i="46" s="1"/>
  <c r="T83" i="46" a="1"/>
  <c r="T83" i="46" s="1"/>
  <c r="M83" i="46" a="1"/>
  <c r="M83" i="46" s="1"/>
  <c r="AT82" i="46" a="1"/>
  <c r="AT82" i="46" s="1"/>
  <c r="AJ82" i="46" a="1"/>
  <c r="AJ82" i="46" s="1"/>
  <c r="AJ83" i="46" a="1"/>
  <c r="AJ83" i="46" s="1"/>
  <c r="Y82" i="46" a="1"/>
  <c r="Y82" i="46" s="1"/>
  <c r="Y83" i="46" a="1"/>
  <c r="Y83" i="46" s="1"/>
  <c r="U82" i="46" a="1"/>
  <c r="U82" i="46" s="1"/>
  <c r="U83" i="46" a="1"/>
  <c r="U83" i="46" s="1"/>
  <c r="Q82" i="46" a="1"/>
  <c r="Q82" i="46" s="1"/>
  <c r="N82" i="46" a="1"/>
  <c r="N82" i="46" s="1"/>
  <c r="N83" i="46" a="1"/>
  <c r="N83" i="46" s="1"/>
  <c r="AQ80" i="46" a="1"/>
  <c r="AQ80" i="46" s="1"/>
  <c r="AH80" i="46" a="1"/>
  <c r="AH80" i="46" s="1"/>
  <c r="AD80" i="46" a="1"/>
  <c r="AD80" i="46" s="1"/>
  <c r="Z80" i="46" a="1"/>
  <c r="Z80" i="46" s="1"/>
  <c r="S80" i="46" a="1"/>
  <c r="S80" i="46" s="1"/>
  <c r="O80" i="46" a="1"/>
  <c r="O80" i="46" s="1"/>
  <c r="K80" i="46" a="1"/>
  <c r="K80" i="46" s="1"/>
  <c r="AR79" i="46" a="1"/>
  <c r="AR79" i="46" s="1"/>
  <c r="AE79" i="46" a="1"/>
  <c r="AE79" i="46" s="1"/>
  <c r="AA79" i="46" a="1"/>
  <c r="AA79" i="46" s="1"/>
  <c r="AA80" i="46" a="1"/>
  <c r="AA80" i="46" s="1"/>
  <c r="T79" i="46" a="1"/>
  <c r="T79" i="46" s="1"/>
  <c r="T80" i="46" a="1"/>
  <c r="T80" i="46" s="1"/>
  <c r="P79" i="46" a="1"/>
  <c r="P79" i="46" s="1"/>
  <c r="L79" i="46" a="1"/>
  <c r="L79" i="46" s="1"/>
  <c r="AS77" i="46" a="1"/>
  <c r="AS77" i="46" s="1"/>
  <c r="AS76" i="46" a="1"/>
  <c r="AS76" i="46" s="1"/>
  <c r="AP77" i="46" a="1"/>
  <c r="AP77" i="46" s="1"/>
  <c r="AJ77" i="46" a="1"/>
  <c r="AJ77" i="46" s="1"/>
  <c r="AF77" i="46" a="1"/>
  <c r="AF77" i="46" s="1"/>
  <c r="Y77" i="46" a="1"/>
  <c r="Y77" i="46" s="1"/>
  <c r="U77" i="46" a="1"/>
  <c r="U77" i="46" s="1"/>
  <c r="Q77" i="46" a="1"/>
  <c r="Q77" i="46" s="1"/>
  <c r="M77" i="46" a="1"/>
  <c r="M77" i="46" s="1"/>
  <c r="AG76" i="46" a="1"/>
  <c r="AG76" i="46" s="1"/>
  <c r="AG77" i="46" a="1"/>
  <c r="AG77" i="46" s="1"/>
  <c r="Z76" i="46" a="1"/>
  <c r="Z76" i="46" s="1"/>
  <c r="Z77" i="46" a="1"/>
  <c r="Z77" i="46" s="1"/>
  <c r="N76" i="46" a="1"/>
  <c r="N76" i="46" s="1"/>
  <c r="N77" i="46" a="1"/>
  <c r="N77" i="46" s="1"/>
  <c r="K76" i="46" a="1"/>
  <c r="K76" i="46" s="1"/>
  <c r="AM74" i="46" a="1"/>
  <c r="AM74" i="46" s="1"/>
  <c r="AJ74" i="46" a="1"/>
  <c r="AJ74" i="46" s="1"/>
  <c r="AG74" i="46" a="1"/>
  <c r="AG74" i="46" s="1"/>
  <c r="AD74" i="46" a="1"/>
  <c r="AD74" i="46" s="1"/>
  <c r="W74" i="46" a="1"/>
  <c r="W74" i="46" s="1"/>
  <c r="T74" i="46" a="1"/>
  <c r="T74" i="46" s="1"/>
  <c r="Q74" i="46" a="1"/>
  <c r="Q74" i="46" s="1"/>
  <c r="N74" i="46" a="1"/>
  <c r="N74" i="46" s="1"/>
  <c r="AR73" i="46" a="1"/>
  <c r="AR73" i="46" s="1"/>
  <c r="AR74" i="46" a="1"/>
  <c r="AR74" i="46" s="1"/>
  <c r="AM73" i="46" a="1"/>
  <c r="AM73" i="46" s="1"/>
  <c r="AJ73" i="46" a="1"/>
  <c r="AJ73" i="46" s="1"/>
  <c r="AG73" i="46" a="1"/>
  <c r="AG73" i="46" s="1"/>
  <c r="Z73" i="46" a="1"/>
  <c r="Z73" i="46" s="1"/>
  <c r="Z74" i="46" a="1"/>
  <c r="Z74" i="46" s="1"/>
  <c r="W73" i="46" a="1"/>
  <c r="W73" i="46" s="1"/>
  <c r="T73" i="46" a="1"/>
  <c r="T73" i="46" s="1"/>
  <c r="Q73" i="46" a="1"/>
  <c r="Q73" i="46" s="1"/>
  <c r="J73" i="46" a="1"/>
  <c r="J73" i="46" s="1"/>
  <c r="J74" i="46" a="1"/>
  <c r="J74" i="46" s="1"/>
  <c r="AR71" i="46" a="1"/>
  <c r="AR71" i="46" s="1"/>
  <c r="AM71" i="46" a="1"/>
  <c r="AM71" i="46" s="1"/>
  <c r="AJ71" i="46" a="1"/>
  <c r="AJ71" i="46" s="1"/>
  <c r="AC71" i="46" a="1"/>
  <c r="AC71" i="46" s="1"/>
  <c r="Z71" i="46" a="1"/>
  <c r="Z71" i="46" s="1"/>
  <c r="W71" i="46" a="1"/>
  <c r="W71" i="46" s="1"/>
  <c r="T71" i="46" a="1"/>
  <c r="T71" i="46" s="1"/>
  <c r="M71" i="46" a="1"/>
  <c r="M71" i="46" s="1"/>
  <c r="J71" i="46" a="1"/>
  <c r="J71" i="46" s="1"/>
  <c r="AR70" i="46" a="1"/>
  <c r="AR70" i="46" s="1"/>
  <c r="AM70" i="46" a="1"/>
  <c r="AM70" i="46" s="1"/>
  <c r="AF70" i="46" a="1"/>
  <c r="AF70" i="46" s="1"/>
  <c r="AF71" i="46" a="1"/>
  <c r="AF71" i="46" s="1"/>
  <c r="AC70" i="46" a="1"/>
  <c r="AC70" i="46" s="1"/>
  <c r="Z70" i="46" a="1"/>
  <c r="Z70" i="46" s="1"/>
  <c r="W70" i="46" a="1"/>
  <c r="W70" i="46" s="1"/>
  <c r="P70" i="46" a="1"/>
  <c r="P70" i="46" s="1"/>
  <c r="P71" i="46" a="1"/>
  <c r="P71" i="46" s="1"/>
  <c r="V97" i="46" a="1"/>
  <c r="V97" i="46" s="1"/>
  <c r="AS94" i="46" a="1"/>
  <c r="AS94" i="46" s="1"/>
  <c r="AS95" i="46" a="1"/>
  <c r="AS95" i="46" s="1"/>
  <c r="AM94" i="46" a="1"/>
  <c r="AM94" i="46" s="1"/>
  <c r="AM95" i="46" a="1"/>
  <c r="AM95" i="46" s="1"/>
  <c r="AI94" i="46" a="1"/>
  <c r="AI94" i="46" s="1"/>
  <c r="AI95" i="46" a="1"/>
  <c r="AI95" i="46" s="1"/>
  <c r="AE94" i="46" a="1"/>
  <c r="AE94" i="46" s="1"/>
  <c r="AE95" i="46" a="1"/>
  <c r="AE95" i="46" s="1"/>
  <c r="AA94" i="46" a="1"/>
  <c r="AA94" i="46" s="1"/>
  <c r="AA95" i="46" a="1"/>
  <c r="AA95" i="46" s="1"/>
  <c r="W94" i="46" a="1"/>
  <c r="W94" i="46" s="1"/>
  <c r="W95" i="46" a="1"/>
  <c r="W95" i="46" s="1"/>
  <c r="S94" i="46" a="1"/>
  <c r="S94" i="46" s="1"/>
  <c r="S95" i="46" a="1"/>
  <c r="S95" i="46" s="1"/>
  <c r="O94" i="46" a="1"/>
  <c r="O94" i="46" s="1"/>
  <c r="K94" i="46" a="1"/>
  <c r="K94" i="46" s="1"/>
  <c r="K95" i="46" a="1"/>
  <c r="K95" i="46" s="1"/>
  <c r="AQ91" i="46" a="1"/>
  <c r="AQ91" i="46" s="1"/>
  <c r="AQ92" i="46" a="1"/>
  <c r="AQ92" i="46" s="1"/>
  <c r="AK91" i="46" a="1"/>
  <c r="AK91" i="46" s="1"/>
  <c r="AK92" i="46" a="1"/>
  <c r="AK92" i="46" s="1"/>
  <c r="AG91" i="46" a="1"/>
  <c r="AG91" i="46" s="1"/>
  <c r="AC91" i="46" a="1"/>
  <c r="AC91" i="46" s="1"/>
  <c r="AC92" i="46" a="1"/>
  <c r="AC92" i="46" s="1"/>
  <c r="Y91" i="46" a="1"/>
  <c r="Y91" i="46" s="1"/>
  <c r="U91" i="46" a="1"/>
  <c r="U91" i="46" s="1"/>
  <c r="U92" i="46" a="1"/>
  <c r="U92" i="46" s="1"/>
  <c r="Q91" i="46" a="1"/>
  <c r="Q91" i="46" s="1"/>
  <c r="M91" i="46" a="1"/>
  <c r="M91" i="46" s="1"/>
  <c r="M92" i="46" a="1"/>
  <c r="M92" i="46" s="1"/>
  <c r="AJ89" i="46" a="1"/>
  <c r="AJ89" i="46" s="1"/>
  <c r="Z89" i="46" a="1"/>
  <c r="Z89" i="46" s="1"/>
  <c r="W89" i="46" a="1"/>
  <c r="W89" i="46" s="1"/>
  <c r="T89" i="46" a="1"/>
  <c r="T89" i="46" s="1"/>
  <c r="J89" i="46" a="1"/>
  <c r="J89" i="46" s="1"/>
  <c r="AR88" i="46" a="1"/>
  <c r="AR88" i="46" s="1"/>
  <c r="AM88" i="46" a="1"/>
  <c r="AM88" i="46" s="1"/>
  <c r="AM89" i="46" a="1"/>
  <c r="AM89" i="46" s="1"/>
  <c r="AJ88" i="46" a="1"/>
  <c r="AJ88" i="46" s="1"/>
  <c r="AC88" i="46" a="1"/>
  <c r="AC88" i="46" s="1"/>
  <c r="AC87" i="46" s="1"/>
  <c r="Z88" i="46" a="1"/>
  <c r="Z88" i="46" s="1"/>
  <c r="W88" i="46" a="1"/>
  <c r="W88" i="46" s="1"/>
  <c r="T88" i="46" a="1"/>
  <c r="T88" i="46" s="1"/>
  <c r="P88" i="46" a="1"/>
  <c r="P88" i="46" s="1"/>
  <c r="P87" i="46" s="1"/>
  <c r="L88" i="46" a="1"/>
  <c r="L88" i="46" s="1"/>
  <c r="L89" i="46" a="1"/>
  <c r="L89" i="46" s="1"/>
  <c r="X86" i="46" a="1"/>
  <c r="X86" i="46" s="1"/>
  <c r="X85" i="46" a="1"/>
  <c r="X85" i="46" s="1"/>
  <c r="AT85" i="46" a="1"/>
  <c r="AT85" i="46" s="1"/>
  <c r="AQ85" i="46" a="1"/>
  <c r="AQ85" i="46" s="1"/>
  <c r="AQ86" i="46" a="1"/>
  <c r="AQ86" i="46" s="1"/>
  <c r="AK85" i="46" a="1"/>
  <c r="AK85" i="46" s="1"/>
  <c r="AG85" i="46" a="1"/>
  <c r="AG85" i="46" s="1"/>
  <c r="AC85" i="46" a="1"/>
  <c r="AC85" i="46" s="1"/>
  <c r="V85" i="46" a="1"/>
  <c r="V85" i="46" s="1"/>
  <c r="R85" i="46" a="1"/>
  <c r="R85" i="46" s="1"/>
  <c r="N85" i="46" a="1"/>
  <c r="N85" i="46" s="1"/>
  <c r="AA83" i="46" a="1"/>
  <c r="AA83" i="46" s="1"/>
  <c r="W83" i="46" a="1"/>
  <c r="W83" i="46" s="1"/>
  <c r="W82" i="46" a="1"/>
  <c r="W82" i="46" s="1"/>
  <c r="AS82" i="46" a="1"/>
  <c r="AS82" i="46" s="1"/>
  <c r="AM82" i="46" a="1"/>
  <c r="AM82" i="46" s="1"/>
  <c r="AI82" i="46" a="1"/>
  <c r="AI82" i="46" s="1"/>
  <c r="AF82" i="46" a="1"/>
  <c r="AF82" i="46" s="1"/>
  <c r="AB82" i="46" a="1"/>
  <c r="AB82" i="46" s="1"/>
  <c r="X82" i="46" a="1"/>
  <c r="X82" i="46" s="1"/>
  <c r="T82" i="46" a="1"/>
  <c r="T82" i="46" s="1"/>
  <c r="M82" i="46" a="1"/>
  <c r="M82" i="46" s="1"/>
  <c r="AG80" i="46" a="1"/>
  <c r="AG80" i="46" s="1"/>
  <c r="AC80" i="46" a="1"/>
  <c r="AC80" i="46" s="1"/>
  <c r="AC79" i="46" a="1"/>
  <c r="AC79" i="46" s="1"/>
  <c r="Y80" i="46" a="1"/>
  <c r="Y80" i="46" s="1"/>
  <c r="Y79" i="46" a="1"/>
  <c r="Y79" i="46" s="1"/>
  <c r="AQ79" i="46" a="1"/>
  <c r="AQ79" i="46" s="1"/>
  <c r="AL79" i="46" a="1"/>
  <c r="AL79" i="46" s="1"/>
  <c r="AL80" i="46" a="1"/>
  <c r="AL80" i="46" s="1"/>
  <c r="AH79" i="46" a="1"/>
  <c r="AH79" i="46" s="1"/>
  <c r="AD79" i="46" a="1"/>
  <c r="AD79" i="46" s="1"/>
  <c r="Z79" i="46" a="1"/>
  <c r="Z79" i="46" s="1"/>
  <c r="S79" i="46" a="1"/>
  <c r="S79" i="46" s="1"/>
  <c r="O79" i="46" a="1"/>
  <c r="O79" i="46" s="1"/>
  <c r="K79" i="46" a="1"/>
  <c r="K79" i="46" s="1"/>
  <c r="K78" i="46" s="1"/>
  <c r="AI77" i="46" a="1"/>
  <c r="AI77" i="46" s="1"/>
  <c r="AI76" i="46" a="1"/>
  <c r="AI76" i="46" s="1"/>
  <c r="AA77" i="46" a="1"/>
  <c r="AA77" i="46" s="1"/>
  <c r="P77" i="46" a="1"/>
  <c r="P77" i="46" s="1"/>
  <c r="AT76" i="46" a="1"/>
  <c r="AT76" i="46" s="1"/>
  <c r="AT77" i="46" a="1"/>
  <c r="AT77" i="46" s="1"/>
  <c r="AP76" i="46" a="1"/>
  <c r="AP76" i="46" s="1"/>
  <c r="AJ76" i="46" a="1"/>
  <c r="AJ76" i="46" s="1"/>
  <c r="AF76" i="46" a="1"/>
  <c r="AF76" i="46" s="1"/>
  <c r="Y76" i="46" a="1"/>
  <c r="Y76" i="46" s="1"/>
  <c r="U76" i="46" a="1"/>
  <c r="U76" i="46" s="1"/>
  <c r="Q76" i="46" a="1"/>
  <c r="Q76" i="46" s="1"/>
  <c r="M76" i="46" a="1"/>
  <c r="M76" i="46" s="1"/>
  <c r="AI74" i="46" a="1"/>
  <c r="AI74" i="46" s="1"/>
  <c r="AF74" i="46" a="1"/>
  <c r="AF74" i="46" s="1"/>
  <c r="AC74" i="46" a="1"/>
  <c r="AC74" i="46" s="1"/>
  <c r="S74" i="46" a="1"/>
  <c r="S74" i="46" s="1"/>
  <c r="P74" i="46" a="1"/>
  <c r="P74" i="46" s="1"/>
  <c r="M74" i="46" a="1"/>
  <c r="M74" i="46" s="1"/>
  <c r="AL73" i="46" a="1"/>
  <c r="AL73" i="46" s="1"/>
  <c r="AL74" i="46" a="1"/>
  <c r="AL74" i="46" s="1"/>
  <c r="AI73" i="46" a="1"/>
  <c r="AI73" i="46"/>
  <c r="AF73" i="46" a="1"/>
  <c r="AF73" i="46" s="1"/>
  <c r="AC73" i="46" a="1"/>
  <c r="AC73" i="46" s="1"/>
  <c r="V73" i="46" a="1"/>
  <c r="V73" i="46" s="1"/>
  <c r="V74" i="46" a="1"/>
  <c r="V74" i="46" s="1"/>
  <c r="S73" i="46" a="1"/>
  <c r="S73" i="46" s="1"/>
  <c r="P73" i="46" a="1"/>
  <c r="P73" i="46" s="1"/>
  <c r="M73" i="46" a="1"/>
  <c r="M73" i="46" s="1"/>
  <c r="AQ71" i="46" a="1"/>
  <c r="AQ71" i="46" s="1"/>
  <c r="AL71" i="46" a="1"/>
  <c r="AL71" i="46" s="1"/>
  <c r="AI71" i="46" a="1"/>
  <c r="AI71" i="46" s="1"/>
  <c r="Y71" i="46" a="1"/>
  <c r="Y71" i="46" s="1"/>
  <c r="V71" i="46" a="1"/>
  <c r="V71" i="46" s="1"/>
  <c r="V70" i="46" a="1"/>
  <c r="V70" i="46" s="1"/>
  <c r="S71" i="46" a="1"/>
  <c r="S71" i="46" s="1"/>
  <c r="AT70" i="46" a="1"/>
  <c r="AT70" i="46" s="1"/>
  <c r="AT71" i="46" a="1"/>
  <c r="AT71" i="46" s="1"/>
  <c r="AQ70" i="46" a="1"/>
  <c r="AQ70" i="46" s="1"/>
  <c r="AG91" i="43" a="1"/>
  <c r="AG91" i="43" s="1"/>
  <c r="AG92" i="43" a="1"/>
  <c r="AG92" i="43" s="1"/>
  <c r="M91" i="43" a="1"/>
  <c r="AS88" i="43" a="1"/>
  <c r="AS38" i="43" a="1"/>
  <c r="AS38" i="43" s="1"/>
  <c r="AE38" i="43" a="1"/>
  <c r="AE38" i="43" s="1"/>
  <c r="AL37" i="43" a="1"/>
  <c r="AL37" i="43" s="1"/>
  <c r="AD37" i="43" a="1"/>
  <c r="AD37" i="43" s="1"/>
  <c r="J37" i="43" a="1"/>
  <c r="J37" i="43" s="1"/>
  <c r="AC35" i="43" a="1"/>
  <c r="AC35" i="43" s="1"/>
  <c r="U35" i="43" a="1"/>
  <c r="U35" i="43" s="1"/>
  <c r="AT34" i="43" a="1"/>
  <c r="AF34" i="43" a="1"/>
  <c r="AF34" i="43" s="1"/>
  <c r="T34" i="43" a="1"/>
  <c r="T34" i="43" s="1"/>
  <c r="L34" i="43" a="1"/>
  <c r="AI32" i="43" a="1"/>
  <c r="AI32" i="43" s="1"/>
  <c r="O31" i="43" a="1"/>
  <c r="O31" i="43" s="1"/>
  <c r="AH31" i="43" a="1"/>
  <c r="AH31" i="43" s="1"/>
  <c r="Z31" i="43" a="1"/>
  <c r="Z31" i="43" s="1"/>
  <c r="V32" i="43" a="1"/>
  <c r="V32" i="43" s="1"/>
  <c r="R32" i="43" a="1"/>
  <c r="J32" i="43" a="1"/>
  <c r="AG29" i="43" a="1"/>
  <c r="U29" i="43" a="1"/>
  <c r="U29" i="43" s="1"/>
  <c r="AT28" i="43" a="1"/>
  <c r="AT28" i="43" s="1"/>
  <c r="AB28" i="43" a="1"/>
  <c r="AB28" i="43" s="1"/>
  <c r="L28" i="43" a="1"/>
  <c r="AS25" i="43" a="1"/>
  <c r="AI25" i="43" a="1"/>
  <c r="AI25" i="43" s="1"/>
  <c r="AI26" i="43" a="1"/>
  <c r="AI26" i="43" s="1"/>
  <c r="AR25" i="43" a="1"/>
  <c r="AR25" i="43" s="1"/>
  <c r="AD26" i="43" a="1"/>
  <c r="AB22" i="43" a="1"/>
  <c r="AI20" i="43" a="1"/>
  <c r="AI20" i="43" s="1"/>
  <c r="AL19" i="43" a="1"/>
  <c r="AL19" i="43" s="1"/>
  <c r="V20" i="43" a="1"/>
  <c r="AP16" i="43" a="1"/>
  <c r="AP16" i="43" s="1"/>
  <c r="AP17" i="43" a="1"/>
  <c r="AP17" i="43" s="1"/>
  <c r="T16" i="43" a="1"/>
  <c r="T16" i="43" s="1"/>
  <c r="AT103" i="41" a="1"/>
  <c r="AT103" i="41" s="1"/>
  <c r="AM100" i="41" a="1"/>
  <c r="AM100" i="41" s="1"/>
  <c r="Z62" i="43" a="1"/>
  <c r="AE58" i="43" a="1"/>
  <c r="AC49" i="43" a="1"/>
  <c r="AC49" i="43" s="1"/>
  <c r="AC50" i="43" a="1"/>
  <c r="AC50" i="43" s="1"/>
  <c r="U91" i="41" a="1"/>
  <c r="U91" i="41" s="1"/>
  <c r="Q86" i="41" a="1"/>
  <c r="R28" i="41" a="1"/>
  <c r="R28" i="41" s="1"/>
  <c r="R29" i="41" a="1"/>
  <c r="R29" i="41" s="1"/>
  <c r="AR32" i="43" a="1"/>
  <c r="R20" i="43" a="1"/>
  <c r="R20" i="43" s="1"/>
  <c r="R19" i="43" a="1"/>
  <c r="R19" i="43" s="1"/>
  <c r="AC19" i="43" a="1"/>
  <c r="AC19" i="43" s="1"/>
  <c r="AC20" i="43" a="1"/>
  <c r="AC20" i="43" s="1"/>
  <c r="Q62" i="43" a="1"/>
  <c r="Q62" i="43" s="1"/>
  <c r="AE59" i="43" a="1"/>
  <c r="AC16" i="41" a="1"/>
  <c r="AC16" i="41" s="1"/>
  <c r="AC17" i="41" a="1"/>
  <c r="AC17" i="41" s="1"/>
  <c r="U16" i="41" a="1"/>
  <c r="U16" i="41" s="1"/>
  <c r="AB11" i="41" a="1"/>
  <c r="AB11" i="41" s="1"/>
  <c r="L11" i="41" a="1"/>
  <c r="L11" i="41" s="1"/>
  <c r="AE10" i="41" a="1"/>
  <c r="AE10" i="41" s="1"/>
  <c r="AE11" i="41" a="1"/>
  <c r="AE11" i="41" s="1"/>
  <c r="AA10" i="41" a="1"/>
  <c r="AA10" i="41" s="1"/>
  <c r="R11" i="41" a="1"/>
  <c r="R11" i="41" s="1"/>
  <c r="L10" i="41" a="1"/>
  <c r="L10" i="41" s="1"/>
  <c r="Q64" i="41" a="1"/>
  <c r="Q64" i="41" s="1"/>
  <c r="Z58" i="41" a="1"/>
  <c r="Z58" i="41" s="1"/>
  <c r="Z59" i="41" a="1"/>
  <c r="Z59" i="41" s="1"/>
  <c r="AI55" i="41" a="1"/>
  <c r="AI55" i="41" s="1"/>
  <c r="AI56" i="41" a="1"/>
  <c r="AI56" i="41" s="1"/>
  <c r="AB50" i="41" a="1"/>
  <c r="AT44" i="41" a="1"/>
  <c r="AT44" i="41" s="1"/>
  <c r="W43" i="41" a="1"/>
  <c r="W43" i="41" s="1"/>
  <c r="W44" i="41" a="1"/>
  <c r="W44" i="41" s="1"/>
  <c r="AH44" i="41" a="1"/>
  <c r="AH44" i="41" s="1"/>
  <c r="AQ49" i="43" a="1"/>
  <c r="AQ49" i="43" s="1"/>
  <c r="V64" i="46"/>
  <c r="V65" i="46" a="1"/>
  <c r="V65" i="46" s="1"/>
  <c r="U61" i="46" a="1"/>
  <c r="U61" i="46" s="1"/>
  <c r="U67" i="43" a="1"/>
  <c r="U67" i="43" s="1"/>
  <c r="W58" i="43" a="1"/>
  <c r="W58" i="43" s="1"/>
  <c r="W59" i="43" a="1"/>
  <c r="W59" i="43" s="1"/>
  <c r="S98" i="46" a="1"/>
  <c r="S98" i="46" s="1"/>
  <c r="L97" i="46" a="1"/>
  <c r="L97" i="46" s="1"/>
  <c r="O95" i="46" a="1"/>
  <c r="O95" i="46" s="1"/>
  <c r="AR94" i="46" a="1"/>
  <c r="AR94" i="46" s="1"/>
  <c r="AR95" i="46" a="1"/>
  <c r="AR95" i="46" s="1"/>
  <c r="AL94" i="46" a="1"/>
  <c r="AL94" i="46" s="1"/>
  <c r="AL93" i="46" s="1"/>
  <c r="AH94" i="46" a="1"/>
  <c r="AH94" i="46" s="1"/>
  <c r="AH93" i="46" s="1"/>
  <c r="Z94" i="46" a="1"/>
  <c r="Z94" i="46" s="1"/>
  <c r="Z95" i="46" a="1"/>
  <c r="Z95" i="46" s="1"/>
  <c r="V94" i="46" a="1"/>
  <c r="V94" i="46" s="1"/>
  <c r="V95" i="46" a="1"/>
  <c r="V95" i="46" s="1"/>
  <c r="R94" i="46" a="1"/>
  <c r="R94" i="46" s="1"/>
  <c r="R95" i="46" a="1"/>
  <c r="R95" i="46" s="1"/>
  <c r="N94" i="46" a="1"/>
  <c r="N94" i="46" s="1"/>
  <c r="P86" i="46" a="1"/>
  <c r="P86" i="46" s="1"/>
  <c r="P85" i="46" a="1"/>
  <c r="P85" i="46" s="1"/>
  <c r="AA82" i="46" a="1"/>
  <c r="AA82" i="46" s="1"/>
  <c r="AG79" i="46" a="1"/>
  <c r="AG79" i="46" s="1"/>
  <c r="S77" i="46" a="1"/>
  <c r="S77" i="46" s="1"/>
  <c r="AQ74" i="46" a="1"/>
  <c r="AQ74" i="46" s="1"/>
  <c r="AQ73" i="46" a="1"/>
  <c r="AQ73" i="46" s="1"/>
  <c r="O74" i="46" a="1"/>
  <c r="O74" i="46" s="1"/>
  <c r="AF92" i="46" a="1"/>
  <c r="AF92" i="46" s="1"/>
  <c r="AE91" i="46" a="1"/>
  <c r="AE91" i="46" s="1"/>
  <c r="J88" i="46" a="1"/>
  <c r="J88" i="46" s="1"/>
  <c r="P19" i="46" a="1"/>
  <c r="P19" i="46" s="1"/>
  <c r="AF16" i="46" a="1"/>
  <c r="AF16" i="46" s="1"/>
  <c r="AI11" i="46" a="1"/>
  <c r="AI11" i="46" s="1"/>
  <c r="AI10" i="46" a="1"/>
  <c r="AI10" i="46" s="1"/>
  <c r="V10" i="46" a="1"/>
  <c r="V10" i="46" s="1"/>
  <c r="V11" i="46" a="1"/>
  <c r="V11" i="46" s="1"/>
  <c r="AJ104" i="43" a="1"/>
  <c r="AJ104" i="43" s="1"/>
  <c r="AJ102" i="43" s="1"/>
  <c r="AT98" i="43" a="1"/>
  <c r="AT98" i="43" s="1"/>
  <c r="AT96" i="43" s="1"/>
  <c r="P97" i="43" a="1"/>
  <c r="P97" i="43" s="1"/>
  <c r="P96" i="43" s="1"/>
  <c r="AL95" i="43" a="1"/>
  <c r="AL95" i="43" s="1"/>
  <c r="AL94" i="43" a="1"/>
  <c r="AL94" i="43" s="1"/>
  <c r="L91" i="43" a="1"/>
  <c r="L91" i="43" s="1"/>
  <c r="AK92" i="43" a="1"/>
  <c r="AK92" i="43" s="1"/>
  <c r="AK90" i="43" s="1"/>
  <c r="AB89" i="43" a="1"/>
  <c r="AB89" i="43" s="1"/>
  <c r="AB88" i="43" a="1"/>
  <c r="AB88" i="43" s="1"/>
  <c r="AI76" i="43" a="1"/>
  <c r="AI76" i="43" s="1"/>
  <c r="AI77" i="43" a="1"/>
  <c r="AI77" i="43" s="1"/>
  <c r="S71" i="43" a="1"/>
  <c r="S71" i="43" s="1"/>
  <c r="S70" i="43" a="1"/>
  <c r="S70" i="43" s="1"/>
  <c r="S62" i="43" a="1"/>
  <c r="X53" i="43" a="1"/>
  <c r="X53" i="43" s="1"/>
  <c r="X51" i="43" s="1"/>
  <c r="J52" i="43" a="1"/>
  <c r="J52" i="43" s="1"/>
  <c r="AJ44" i="43" a="1"/>
  <c r="AJ44" i="43" s="1"/>
  <c r="AJ42" i="43" s="1"/>
  <c r="AK16" i="43" a="1"/>
  <c r="AK16" i="43" s="1"/>
  <c r="AK17" i="43" a="1"/>
  <c r="AK17" i="43" s="1"/>
  <c r="O83" i="41" a="1"/>
  <c r="O83" i="41" s="1"/>
  <c r="O82" i="41" a="1"/>
  <c r="O82" i="41" s="1"/>
  <c r="Z20" i="43" a="1"/>
  <c r="Z20" i="43" s="1"/>
  <c r="AH64" i="43" a="1"/>
  <c r="AH64" i="43" s="1"/>
  <c r="AH65" i="43" a="1"/>
  <c r="AH65" i="43" s="1"/>
  <c r="AF61" i="43" a="1"/>
  <c r="AF61" i="43" s="1"/>
  <c r="AF62" i="43" a="1"/>
  <c r="AF62" i="43" s="1"/>
  <c r="J46" i="41" a="1"/>
  <c r="J46" i="41" s="1"/>
  <c r="J45" i="41" s="1"/>
  <c r="O43" i="41" a="1"/>
  <c r="O43" i="41" s="1"/>
  <c r="O44" i="41" a="1"/>
  <c r="O44" i="41" s="1"/>
  <c r="T38" i="41" a="1"/>
  <c r="T38" i="41" s="1"/>
  <c r="AD35" i="41" a="1"/>
  <c r="AD35" i="41" s="1"/>
  <c r="AD34" i="41" a="1"/>
  <c r="AD34" i="41" s="1"/>
  <c r="L32" i="41" a="1"/>
  <c r="L32" i="41" s="1"/>
  <c r="N46" i="41" a="1"/>
  <c r="N46" i="41" s="1"/>
  <c r="N47" i="41" a="1"/>
  <c r="N47" i="41" s="1"/>
  <c r="AT92" i="41" a="1"/>
  <c r="AT92" i="41" s="1"/>
  <c r="AT91" i="41" a="1"/>
  <c r="AT91" i="41" s="1"/>
  <c r="L80" i="41" a="1"/>
  <c r="L80" i="41" s="1"/>
  <c r="L79" i="41" a="1"/>
  <c r="L79" i="41" s="1"/>
  <c r="AA76" i="46" a="1"/>
  <c r="AA76" i="46" s="1"/>
  <c r="AP73" i="46" a="1"/>
  <c r="AP73" i="46" s="1"/>
  <c r="T70" i="46" a="1"/>
  <c r="T70" i="46" s="1"/>
  <c r="N82" i="43" a="1"/>
  <c r="N82" i="43" s="1"/>
  <c r="N83" i="43" a="1"/>
  <c r="N83" i="43" s="1"/>
  <c r="AL77" i="43" a="1"/>
  <c r="AL77" i="43" s="1"/>
  <c r="AS73" i="43" a="1"/>
  <c r="AS73" i="43" s="1"/>
  <c r="J95" i="41" a="1"/>
  <c r="J95" i="41" s="1"/>
  <c r="J94" i="41" a="1"/>
  <c r="J94" i="41" s="1"/>
  <c r="Y88" i="41" a="1"/>
  <c r="Y88" i="41" s="1"/>
  <c r="Y89" i="41" a="1"/>
  <c r="Y89" i="41" s="1"/>
  <c r="AJ80" i="41" a="1"/>
  <c r="AJ80" i="41" s="1"/>
  <c r="AJ79" i="41" a="1"/>
  <c r="AJ79" i="41" s="1"/>
  <c r="J77" i="41" a="1"/>
  <c r="J77" i="41" s="1"/>
  <c r="J76" i="41" a="1"/>
  <c r="J76" i="41" s="1"/>
  <c r="AS73" i="41" a="1"/>
  <c r="AS73" i="41" s="1"/>
  <c r="AS74" i="41" a="1"/>
  <c r="AS74" i="41" s="1"/>
  <c r="AI89" i="43" a="1"/>
  <c r="AI89" i="43" s="1"/>
  <c r="AI88" i="43" a="1"/>
  <c r="AI88" i="43" s="1"/>
  <c r="O89" i="43" a="1"/>
  <c r="O89" i="43" s="1"/>
  <c r="O88" i="43" a="1"/>
  <c r="O88" i="43" s="1"/>
  <c r="AS64" i="43" a="1"/>
  <c r="AS64" i="43" s="1"/>
  <c r="AS65" i="43" a="1"/>
  <c r="AS65" i="43" s="1"/>
  <c r="M55" i="43" a="1"/>
  <c r="M55" i="43" s="1"/>
  <c r="M56" i="43" a="1"/>
  <c r="M56" i="43" s="1"/>
  <c r="AD56" i="41" a="1"/>
  <c r="AD56" i="41" s="1"/>
  <c r="AT17" i="43" a="1"/>
  <c r="AT17" i="43" s="1"/>
  <c r="Y62" i="43" a="1"/>
  <c r="Y62" i="43" s="1"/>
  <c r="Y61" i="43" a="1"/>
  <c r="Y61" i="43" s="1"/>
  <c r="AK44" i="41" a="1"/>
  <c r="AK44" i="41" s="1"/>
  <c r="AK43" i="41" a="1"/>
  <c r="AK43" i="41" s="1"/>
  <c r="AJ38" i="41" a="1"/>
  <c r="AJ38" i="41" s="1"/>
  <c r="AJ37" i="41" a="1"/>
  <c r="AJ37" i="41" s="1"/>
  <c r="AQ34" i="41" a="1"/>
  <c r="AQ34" i="41" s="1"/>
  <c r="AQ35" i="41" a="1"/>
  <c r="AQ35" i="41" s="1"/>
  <c r="J88" i="43" a="1"/>
  <c r="J88" i="43" s="1"/>
  <c r="J89" i="43" a="1"/>
  <c r="J89" i="43" s="1"/>
  <c r="T86" i="43" a="1"/>
  <c r="T86" i="43" s="1"/>
  <c r="T85" i="43" a="1"/>
  <c r="T85" i="43" s="1"/>
  <c r="Y82" i="43" a="1"/>
  <c r="Y82" i="43" s="1"/>
  <c r="Y83" i="43" a="1"/>
  <c r="Y83" i="43" s="1"/>
  <c r="AT76" i="43" a="1"/>
  <c r="AT76" i="43" s="1"/>
  <c r="AT77" i="43" a="1"/>
  <c r="AT77" i="43" s="1"/>
  <c r="AI73" i="43" a="1"/>
  <c r="AI73" i="43" s="1"/>
  <c r="AI74" i="43" a="1"/>
  <c r="AI74" i="43" s="1"/>
  <c r="Y61" i="41" a="1"/>
  <c r="Y61" i="41" s="1"/>
  <c r="Y62" i="41" a="1"/>
  <c r="Y62" i="41" s="1"/>
  <c r="AG37" i="43" a="1"/>
  <c r="AG37" i="43" s="1"/>
  <c r="AG38" i="43" a="1"/>
  <c r="AG38" i="43" s="1"/>
  <c r="AB19" i="43" a="1"/>
  <c r="AB19" i="43" s="1"/>
  <c r="AB20" i="43" a="1"/>
  <c r="AB20" i="43" s="1"/>
  <c r="AM17" i="43" a="1"/>
  <c r="AM17" i="43" s="1"/>
  <c r="AM16" i="43" a="1"/>
  <c r="AM16" i="43" s="1"/>
  <c r="AL16" i="43" a="1"/>
  <c r="AL16" i="43" s="1"/>
  <c r="AL17" i="43" a="1"/>
  <c r="AL17" i="43" s="1"/>
  <c r="AQ11" i="43" a="1"/>
  <c r="AQ11" i="43" s="1"/>
  <c r="AQ10" i="43" a="1"/>
  <c r="AQ10" i="43" s="1"/>
  <c r="AC11" i="43" a="1"/>
  <c r="AC11" i="43" s="1"/>
  <c r="AC10" i="43" a="1"/>
  <c r="AC10" i="43" s="1"/>
  <c r="AJ10" i="43" a="1"/>
  <c r="AJ10" i="43" s="1"/>
  <c r="AJ11" i="43" a="1"/>
  <c r="AJ11" i="43" s="1"/>
  <c r="AH19" i="41" a="1"/>
  <c r="AH19" i="41" s="1"/>
  <c r="AH20" i="41" a="1"/>
  <c r="AH20" i="41" s="1"/>
  <c r="AQ17" i="41" a="1"/>
  <c r="AQ17" i="41" s="1"/>
  <c r="AQ16" i="41" a="1"/>
  <c r="AQ16" i="41" s="1"/>
  <c r="M17" i="41" a="1"/>
  <c r="M17" i="41" s="1"/>
  <c r="T16" i="41" a="1"/>
  <c r="T16" i="41" s="1"/>
  <c r="T17" i="41" a="1"/>
  <c r="T17" i="41" s="1"/>
  <c r="AA11" i="41" a="1"/>
  <c r="AA11" i="41" s="1"/>
  <c r="AH10" i="41" a="1"/>
  <c r="AH10" i="41" s="1"/>
  <c r="AH11" i="41" a="1"/>
  <c r="AH11" i="41" s="1"/>
  <c r="AO10" i="43" a="1"/>
  <c r="AO10" i="43" s="1"/>
  <c r="AO11" i="43" a="1"/>
  <c r="AO11" i="43" s="1"/>
  <c r="P65" i="41"/>
  <c r="AC38" i="41" a="1"/>
  <c r="AC38" i="41" s="1"/>
  <c r="AC37" i="41" a="1"/>
  <c r="AC37" i="41" s="1"/>
  <c r="L31" i="41" a="1"/>
  <c r="L31" i="41" s="1"/>
  <c r="AD22" i="41" a="1"/>
  <c r="AD22" i="41" s="1"/>
  <c r="AD23" i="41" a="1"/>
  <c r="AD23" i="41" s="1"/>
  <c r="J16" i="41" a="1"/>
  <c r="J16" i="41" s="1"/>
  <c r="J17" i="41" a="1"/>
  <c r="J17" i="41"/>
  <c r="Y37" i="43" a="1"/>
  <c r="Y37" i="43" s="1"/>
  <c r="Y38" i="43" a="1"/>
  <c r="Y38" i="43" s="1"/>
  <c r="AJ35" i="43" a="1"/>
  <c r="AJ35" i="43" s="1"/>
  <c r="AJ34" i="43" a="1"/>
  <c r="AJ34" i="43" s="1"/>
  <c r="L35" i="43" a="1"/>
  <c r="L35" i="43" s="1"/>
  <c r="L34" i="43"/>
  <c r="O34" i="43" a="1"/>
  <c r="O34" i="43" s="1"/>
  <c r="O35" i="43" a="1"/>
  <c r="O35" i="43" s="1"/>
  <c r="Z32" i="43" a="1"/>
  <c r="Z32" i="43" s="1"/>
  <c r="AK31" i="43" a="1"/>
  <c r="AK31" i="43" s="1"/>
  <c r="AK32" i="43" a="1"/>
  <c r="AK32" i="43" s="1"/>
  <c r="AT29" i="43" a="1"/>
  <c r="AT29" i="43" s="1"/>
  <c r="X29" i="43" a="1"/>
  <c r="X29" i="43" s="1"/>
  <c r="X28" i="43" a="1"/>
  <c r="X28" i="43" s="1"/>
  <c r="AA28" i="43" a="1"/>
  <c r="AA28" i="43" s="1"/>
  <c r="AA29" i="43" a="1"/>
  <c r="AA29" i="43" s="1"/>
  <c r="AQ25" i="43" a="1"/>
  <c r="AQ25" i="43" s="1"/>
  <c r="AQ26" i="43" a="1"/>
  <c r="AQ26" i="43" s="1"/>
  <c r="Q25" i="43" a="1"/>
  <c r="Q25" i="43" s="1"/>
  <c r="Q26" i="43" a="1"/>
  <c r="Q26" i="43" s="1"/>
  <c r="J65" i="41" a="1"/>
  <c r="J65" i="41" s="1"/>
  <c r="J64" i="41" a="1"/>
  <c r="J64" i="41" s="1"/>
  <c r="AA61" i="41" a="1"/>
  <c r="AA61" i="41" s="1"/>
  <c r="AA62" i="41" a="1"/>
  <c r="AA62" i="41" s="1"/>
  <c r="AQ68" i="46" a="1"/>
  <c r="AQ68" i="46" s="1"/>
  <c r="AQ67" i="46" a="1"/>
  <c r="AQ67" i="46" s="1"/>
  <c r="AH68" i="46" a="1"/>
  <c r="AH68" i="46" s="1"/>
  <c r="AH67" i="46" a="1"/>
  <c r="AH67" i="46" s="1"/>
  <c r="U68" i="46" a="1"/>
  <c r="U68" i="46" s="1"/>
  <c r="U67" i="46" a="1"/>
  <c r="U67" i="46" s="1"/>
  <c r="K68" i="46" a="1"/>
  <c r="K68" i="46" s="1"/>
  <c r="K67" i="46" a="1"/>
  <c r="K67" i="46" s="1"/>
  <c r="AP67" i="46" a="1"/>
  <c r="AP67" i="46" s="1"/>
  <c r="AP66" i="46" s="1"/>
  <c r="AD67" i="46" a="1"/>
  <c r="AD67" i="46" s="1"/>
  <c r="T67" i="46" a="1"/>
  <c r="T67" i="46" s="1"/>
  <c r="AT65" i="46" a="1"/>
  <c r="AT65" i="46" s="1"/>
  <c r="AT64" i="46" a="1"/>
  <c r="AT64" i="46" s="1"/>
  <c r="S65" i="46" a="1"/>
  <c r="S65" i="46" s="1"/>
  <c r="AC64" i="46" a="1"/>
  <c r="AC64" i="46" s="1"/>
  <c r="S64" i="46" a="1"/>
  <c r="S64" i="46" s="1"/>
  <c r="AM62" i="46" a="1"/>
  <c r="AM62" i="46" s="1"/>
  <c r="AC62" i="46" a="1"/>
  <c r="AC62" i="46" s="1"/>
  <c r="AC61" i="46" a="1"/>
  <c r="AC61" i="46" s="1"/>
  <c r="R62" i="46" a="1"/>
  <c r="R62" i="46" s="1"/>
  <c r="R61" i="46" a="1"/>
  <c r="R61" i="46" s="1"/>
  <c r="AM61" i="46" a="1"/>
  <c r="AM61" i="46" s="1"/>
  <c r="AB61" i="46" a="1"/>
  <c r="AB61" i="46" s="1"/>
  <c r="AB62" i="46" a="1"/>
  <c r="AB62" i="46" s="1"/>
  <c r="AC71" i="43" a="1"/>
  <c r="AC71" i="43" s="1"/>
  <c r="M70" i="43" a="1"/>
  <c r="M70" i="43" s="1"/>
  <c r="M71" i="43" a="1"/>
  <c r="M71" i="43" s="1"/>
  <c r="AB68" i="43" a="1"/>
  <c r="AB68" i="43" s="1"/>
  <c r="AB67" i="43" a="1"/>
  <c r="AB67" i="43" s="1"/>
  <c r="AF58" i="46" a="1"/>
  <c r="AF58" i="46" s="1"/>
  <c r="AF59" i="46" a="1"/>
  <c r="AF59" i="46" s="1"/>
  <c r="AM56" i="46" a="1"/>
  <c r="AM56" i="46" s="1"/>
  <c r="Q55" i="46" a="1"/>
  <c r="Q55" i="46" s="1"/>
  <c r="Q56" i="46" a="1"/>
  <c r="Q56" i="46" s="1"/>
  <c r="AT52" i="46" a="1"/>
  <c r="AT52" i="46" s="1"/>
  <c r="AT53" i="46" a="1"/>
  <c r="AT53" i="46" s="1"/>
  <c r="AK50" i="46" a="1"/>
  <c r="AK50" i="46" s="1"/>
  <c r="P49" i="46" a="1"/>
  <c r="P49" i="46" s="1"/>
  <c r="AI46" i="46" a="1"/>
  <c r="AI46" i="46" s="1"/>
  <c r="AI47" i="46" a="1"/>
  <c r="AI47" i="46" s="1"/>
  <c r="N22" i="46" a="1"/>
  <c r="N22" i="46" s="1"/>
  <c r="N23" i="46" a="1"/>
  <c r="N23" i="46" s="1"/>
  <c r="AR19" i="46" a="1"/>
  <c r="AR19" i="46" s="1"/>
  <c r="AR20" i="46" a="1"/>
  <c r="AR20" i="46" s="1"/>
  <c r="Y19" i="46" a="1"/>
  <c r="Y19" i="46" s="1"/>
  <c r="Y20" i="46" a="1"/>
  <c r="Y20" i="46" s="1"/>
  <c r="W16" i="46" a="1"/>
  <c r="W16" i="46" s="1"/>
  <c r="Z25" i="43" a="1"/>
  <c r="Z25" i="43" s="1"/>
  <c r="N25" i="43" a="1"/>
  <c r="N25" i="43" s="1"/>
  <c r="N26" i="43" a="1"/>
  <c r="N26" i="43" s="1"/>
  <c r="U23" i="43" a="1"/>
  <c r="U23" i="43" s="1"/>
  <c r="U22" i="43" a="1"/>
  <c r="U22" i="43" s="1"/>
  <c r="AP22" i="43" a="1"/>
  <c r="AP22" i="43" s="1"/>
  <c r="X22" i="43" a="1"/>
  <c r="X22" i="43" s="1"/>
  <c r="X23" i="43" a="1"/>
  <c r="X23" i="43" s="1"/>
  <c r="AH19" i="43" a="1"/>
  <c r="AH19" i="43" s="1"/>
  <c r="AH18" i="43" s="1"/>
  <c r="J19" i="43" a="1"/>
  <c r="J19" i="43" s="1"/>
  <c r="J18" i="43" s="1"/>
  <c r="M17" i="43" a="1"/>
  <c r="M17" i="43" s="1"/>
  <c r="M16" i="43" a="1"/>
  <c r="M16" i="43" s="1"/>
  <c r="AI11" i="43" a="1"/>
  <c r="AI11" i="43" s="1"/>
  <c r="O11" i="43" a="1"/>
  <c r="O11" i="43" s="1"/>
  <c r="O10" i="43" a="1"/>
  <c r="O10" i="43" s="1"/>
  <c r="AD10" i="43" a="1"/>
  <c r="AD10" i="43" s="1"/>
  <c r="AD11" i="43" a="1"/>
  <c r="AD11" i="43" s="1"/>
  <c r="J10" i="43" a="1"/>
  <c r="J10" i="43" s="1"/>
  <c r="J11" i="43" a="1"/>
  <c r="J11" i="43" s="1"/>
  <c r="Y104" i="41" a="1"/>
  <c r="Y104" i="41" s="1"/>
  <c r="Y103" i="41" a="1"/>
  <c r="Y103" i="41" s="1"/>
  <c r="AP103" i="41" a="1"/>
  <c r="AP103" i="41" s="1"/>
  <c r="AP102" i="41" s="1"/>
  <c r="AI101" i="41" a="1"/>
  <c r="AI101" i="41" s="1"/>
  <c r="AI100" i="41" a="1"/>
  <c r="AI100" i="41" s="1"/>
  <c r="AK61" i="43" a="1"/>
  <c r="AK61" i="43" s="1"/>
  <c r="AK62" i="43" a="1"/>
  <c r="AK62" i="43" s="1"/>
  <c r="Q61" i="43" a="1"/>
  <c r="Q61" i="43" s="1"/>
  <c r="AI58" i="43" a="1"/>
  <c r="AI58" i="43" s="1"/>
  <c r="AI59" i="43" a="1"/>
  <c r="AI59" i="43" s="1"/>
  <c r="S58" i="43" a="1"/>
  <c r="S58" i="43" s="1"/>
  <c r="S59" i="43" a="1"/>
  <c r="S59" i="43" s="1"/>
  <c r="V56" i="43" a="1"/>
  <c r="V56" i="43" s="1"/>
  <c r="V55" i="43" a="1"/>
  <c r="V55" i="43" s="1"/>
  <c r="AQ55" i="43" a="1"/>
  <c r="AQ55" i="43" s="1"/>
  <c r="AQ56" i="43" a="1"/>
  <c r="AQ56" i="43" s="1"/>
  <c r="U55" i="43" a="1"/>
  <c r="U55" i="43" s="1"/>
  <c r="U56" i="43" a="1"/>
  <c r="U56" i="43" s="1"/>
  <c r="AJ53" i="43" a="1"/>
  <c r="AJ53" i="43" s="1"/>
  <c r="AJ52" i="43" a="1"/>
  <c r="AJ52" i="43" s="1"/>
  <c r="P53" i="43" a="1"/>
  <c r="P53" i="43" s="1"/>
  <c r="P52" i="43" a="1"/>
  <c r="P52" i="43" s="1"/>
  <c r="AE52" i="43" a="1"/>
  <c r="AE52" i="43" s="1"/>
  <c r="AE53" i="43" a="1"/>
  <c r="AE53" i="43" s="1"/>
  <c r="O52" i="43" a="1"/>
  <c r="O52" i="43" s="1"/>
  <c r="O53" i="43" a="1"/>
  <c r="O53" i="43" s="1"/>
  <c r="R50" i="43" a="1"/>
  <c r="R50" i="43" s="1"/>
  <c r="R49" i="43" a="1"/>
  <c r="R49" i="43" s="1"/>
  <c r="AG49" i="43" a="1"/>
  <c r="AG49" i="43" s="1"/>
  <c r="AG50" i="43" a="1"/>
  <c r="AG50" i="43" s="1"/>
  <c r="M49" i="43" a="1"/>
  <c r="M49" i="43" s="1"/>
  <c r="M50" i="43" a="1"/>
  <c r="M50" i="43" s="1"/>
  <c r="AF47" i="43" a="1"/>
  <c r="AF47" i="43" s="1"/>
  <c r="AF46" i="43" a="1"/>
  <c r="AF46" i="43" s="1"/>
  <c r="P47" i="43" a="1"/>
  <c r="P47" i="43" s="1"/>
  <c r="P46" i="43" a="1"/>
  <c r="P46" i="43" s="1"/>
  <c r="AE46" i="43" a="1"/>
  <c r="AE46" i="43" s="1"/>
  <c r="AE47" i="43" a="1"/>
  <c r="AE47" i="43" s="1"/>
  <c r="K46" i="43" a="1"/>
  <c r="K46" i="43" s="1"/>
  <c r="K47" i="43" a="1"/>
  <c r="K47" i="43" s="1"/>
  <c r="Z44" i="43" a="1"/>
  <c r="Z44" i="43" s="1"/>
  <c r="Z43" i="43" a="1"/>
  <c r="Z43" i="43" s="1"/>
  <c r="AQ43" i="43" a="1"/>
  <c r="AQ43" i="43" s="1"/>
  <c r="AQ44" i="43" a="1"/>
  <c r="AQ44" i="43" s="1"/>
  <c r="AR38" i="43" a="1"/>
  <c r="AR38" i="43" s="1"/>
  <c r="AR37" i="43" a="1"/>
  <c r="AR37" i="43" s="1"/>
  <c r="K94" i="41" a="1"/>
  <c r="K94" i="41" s="1"/>
  <c r="K95" i="41" a="1"/>
  <c r="K95" i="41" s="1"/>
  <c r="V92" i="41" a="1"/>
  <c r="V92" i="41" s="1"/>
  <c r="AG91" i="41" a="1"/>
  <c r="AG91" i="41" s="1"/>
  <c r="AG92" i="41" a="1"/>
  <c r="AG92" i="41" s="1"/>
  <c r="AT89" i="41" a="1"/>
  <c r="AT89" i="41" s="1"/>
  <c r="P89" i="41" a="1"/>
  <c r="P89" i="41" s="1"/>
  <c r="AA88" i="41" a="1"/>
  <c r="AA88" i="41" s="1"/>
  <c r="AA89" i="41" a="1"/>
  <c r="AA89" i="41" s="1"/>
  <c r="AL86" i="41" a="1"/>
  <c r="AL86" i="41" s="1"/>
  <c r="N86" i="41" a="1"/>
  <c r="N86" i="41" s="1"/>
  <c r="Y85" i="41" a="1"/>
  <c r="Y85" i="41" s="1"/>
  <c r="Y86" i="41" a="1"/>
  <c r="Y86" i="41" s="1"/>
  <c r="AJ83" i="41" a="1"/>
  <c r="AJ83" i="41" s="1"/>
  <c r="L83" i="41" a="1"/>
  <c r="L83" i="41" s="1"/>
  <c r="W82" i="41" a="1"/>
  <c r="W82" i="41" s="1"/>
  <c r="W83" i="41" a="1"/>
  <c r="W83" i="41" s="1"/>
  <c r="AH80" i="41" a="1"/>
  <c r="AH80" i="41" s="1"/>
  <c r="J80" i="41" a="1"/>
  <c r="J80" i="41" s="1"/>
  <c r="U79" i="41" a="1"/>
  <c r="U79" i="41" s="1"/>
  <c r="U80" i="41" a="1"/>
  <c r="U80" i="41" s="1"/>
  <c r="AF77" i="41" a="1"/>
  <c r="AF77" i="41" s="1"/>
  <c r="AS76" i="41" a="1"/>
  <c r="AS76" i="41" s="1"/>
  <c r="AS77" i="41" a="1"/>
  <c r="AS77" i="41" s="1"/>
  <c r="S76" i="41" a="1"/>
  <c r="S76" i="41" s="1"/>
  <c r="S77" i="41" a="1"/>
  <c r="S77" i="41" s="1"/>
  <c r="AQ73" i="41" a="1"/>
  <c r="AQ73" i="41" s="1"/>
  <c r="AQ74" i="41" a="1"/>
  <c r="AQ74" i="41" s="1"/>
  <c r="Q73" i="41" a="1"/>
  <c r="Q73" i="41" s="1"/>
  <c r="Q74" i="41" a="1"/>
  <c r="Q74" i="41" s="1"/>
  <c r="AB71" i="41" a="1"/>
  <c r="AB71" i="41" s="1"/>
  <c r="AB70" i="41" a="1"/>
  <c r="AB70" i="41" s="1"/>
  <c r="AM70" i="41" a="1"/>
  <c r="AM70" i="41" s="1"/>
  <c r="AM71" i="41" a="1"/>
  <c r="AM71" i="41" s="1"/>
  <c r="S70" i="41" a="1"/>
  <c r="S70" i="41" s="1"/>
  <c r="S71" i="41" a="1"/>
  <c r="S71" i="41" s="1"/>
  <c r="AL68" i="41" a="1"/>
  <c r="AL68" i="41" s="1"/>
  <c r="N68" i="41" a="1"/>
  <c r="N68" i="41" s="1"/>
  <c r="Y67" i="41" a="1"/>
  <c r="Y67" i="41" s="1"/>
  <c r="Y68" i="41" a="1"/>
  <c r="Y68" i="41" s="1"/>
  <c r="L65" i="41" a="1"/>
  <c r="L65" i="41" s="1"/>
  <c r="W64" i="41" a="1"/>
  <c r="W64" i="41" s="1"/>
  <c r="W65" i="41" a="1"/>
  <c r="W65" i="41" s="1"/>
  <c r="U61" i="41" a="1"/>
  <c r="U61" i="41" s="1"/>
  <c r="U62" i="41" a="1"/>
  <c r="U62" i="41" s="1"/>
  <c r="AF59" i="41" a="1"/>
  <c r="AF59" i="41" s="1"/>
  <c r="AM58" i="41" a="1"/>
  <c r="AM58" i="41" s="1"/>
  <c r="AM59" i="41" a="1"/>
  <c r="AM59" i="41" s="1"/>
  <c r="K58" i="41" a="1"/>
  <c r="K58" i="41" s="1"/>
  <c r="K59" i="41" a="1"/>
  <c r="K59" i="41" s="1"/>
  <c r="R56" i="41" a="1"/>
  <c r="R56" i="41" s="1"/>
  <c r="Y55" i="41" a="1"/>
  <c r="Y55" i="41" s="1"/>
  <c r="Y56" i="41" a="1"/>
  <c r="Y56" i="41" s="1"/>
  <c r="AF53" i="41" a="1"/>
  <c r="AF53" i="41" s="1"/>
  <c r="K52" i="41" a="1"/>
  <c r="K52" i="41" s="1"/>
  <c r="K53" i="41" a="1"/>
  <c r="K53" i="41" s="1"/>
  <c r="N50" i="41" a="1"/>
  <c r="N50" i="41" s="1"/>
  <c r="U49" i="41" a="1"/>
  <c r="U49" i="41" s="1"/>
  <c r="U50" i="41" a="1"/>
  <c r="U50" i="41" s="1"/>
  <c r="AB47" i="41" a="1"/>
  <c r="AB47" i="41" s="1"/>
  <c r="AB46" i="41" a="1"/>
  <c r="AB46" i="41" s="1"/>
  <c r="AL40" i="41" a="1"/>
  <c r="AL40" i="41" s="1"/>
  <c r="AL41" i="41" a="1"/>
  <c r="AL41" i="41" s="1"/>
  <c r="AQ38" i="41" a="1"/>
  <c r="AQ38" i="41" s="1"/>
  <c r="AQ37" i="41" a="1"/>
  <c r="AQ37" i="41" s="1"/>
  <c r="AT37" i="41" a="1"/>
  <c r="AT37" i="41" s="1"/>
  <c r="AT38" i="41" a="1"/>
  <c r="AT38" i="41" s="1"/>
  <c r="T37" i="41" a="1"/>
  <c r="T37" i="41" s="1"/>
  <c r="S35" i="41" a="1"/>
  <c r="S35" i="41" s="1"/>
  <c r="S34" i="41" a="1"/>
  <c r="S34" i="41" s="1"/>
  <c r="V34" i="41" a="1"/>
  <c r="V34" i="41" s="1"/>
  <c r="V35" i="41" a="1"/>
  <c r="V35" i="41" s="1"/>
  <c r="AG32" i="41" a="1"/>
  <c r="AG32" i="41" s="1"/>
  <c r="AG31" i="41" a="1"/>
  <c r="AG31" i="41" s="1"/>
  <c r="AJ31" i="41" a="1"/>
  <c r="AJ31" i="41" s="1"/>
  <c r="AJ30" i="41" s="1"/>
  <c r="AM29" i="41" a="1"/>
  <c r="AM29" i="41" s="1"/>
  <c r="AM28" i="41" a="1"/>
  <c r="AM28" i="41" s="1"/>
  <c r="AR28" i="41" a="1"/>
  <c r="AR28" i="41" s="1"/>
  <c r="AR29" i="41" a="1"/>
  <c r="AR29" i="41" s="1"/>
  <c r="J28" i="41" a="1"/>
  <c r="J28" i="41" s="1"/>
  <c r="J29" i="41" a="1"/>
  <c r="J29" i="41" s="1"/>
  <c r="AT25" i="41" a="1"/>
  <c r="AT25" i="41" s="1"/>
  <c r="AT26" i="41" a="1"/>
  <c r="AT26" i="41" s="1"/>
  <c r="L25" i="41" a="1"/>
  <c r="L25" i="41" s="1"/>
  <c r="L26" i="41" a="1"/>
  <c r="L26" i="41" s="1"/>
  <c r="O23" i="41" a="1"/>
  <c r="O23" i="41" s="1"/>
  <c r="O22" i="41" a="1"/>
  <c r="O22" i="41" s="1"/>
  <c r="Z22" i="41" a="1"/>
  <c r="Z22" i="41" s="1"/>
  <c r="Z23" i="41" a="1"/>
  <c r="Z23" i="41" s="1"/>
  <c r="Y20" i="41" a="1"/>
  <c r="Y20" i="41" s="1"/>
  <c r="Y19" i="41" a="1"/>
  <c r="Y19" i="41" s="1"/>
  <c r="X19" i="41" a="1"/>
  <c r="X19" i="41" s="1"/>
  <c r="X20" i="41" a="1"/>
  <c r="X20" i="41" s="1"/>
  <c r="AE17" i="41" a="1"/>
  <c r="AE17" i="41" s="1"/>
  <c r="AE16" i="41" a="1"/>
  <c r="AE16" i="41" s="1"/>
  <c r="AH16" i="41" a="1"/>
  <c r="AH16" i="41" s="1"/>
  <c r="AH17" i="41" a="1"/>
  <c r="AH17" i="41" s="1"/>
  <c r="AK11" i="41" a="1"/>
  <c r="AK11" i="41" s="1"/>
  <c r="AK10" i="41" a="1"/>
  <c r="AK10" i="41" s="1"/>
  <c r="M11" i="41" a="1"/>
  <c r="M11" i="41" s="1"/>
  <c r="M10" i="41" a="1"/>
  <c r="M10" i="41" s="1"/>
  <c r="N47" i="43" a="1"/>
  <c r="N47" i="43" s="1"/>
  <c r="N46" i="43" a="1"/>
  <c r="N46" i="43" s="1"/>
  <c r="AR35" i="43" a="1"/>
  <c r="AR35" i="43" s="1"/>
  <c r="AR34" i="43" a="1"/>
  <c r="AR34" i="43" s="1"/>
  <c r="U28" i="43" a="1"/>
  <c r="U28" i="43" s="1"/>
  <c r="AB37" i="46" a="1"/>
  <c r="AB37" i="46" s="1"/>
  <c r="AB38" i="46" a="1"/>
  <c r="AB38" i="46" s="1"/>
  <c r="Y37" i="46" a="1"/>
  <c r="Y37" i="46" s="1"/>
  <c r="Y38" i="46" a="1"/>
  <c r="Y38" i="46" s="1"/>
  <c r="V37" i="46" a="1"/>
  <c r="V37" i="46" s="1"/>
  <c r="V38" i="46" a="1"/>
  <c r="V38" i="46" s="1"/>
  <c r="S37" i="46" a="1"/>
  <c r="S37" i="46" s="1"/>
  <c r="S38" i="46" a="1"/>
  <c r="S38" i="46" s="1"/>
  <c r="O37" i="46" a="1"/>
  <c r="O37" i="46" s="1"/>
  <c r="O38" i="46" a="1"/>
  <c r="O38" i="46" s="1"/>
  <c r="L37" i="46" a="1"/>
  <c r="L37" i="46" s="1"/>
  <c r="L38" i="46" a="1"/>
  <c r="L38" i="46" s="1"/>
  <c r="AS35" i="46" a="1"/>
  <c r="AS35" i="46" s="1"/>
  <c r="AS34" i="46" a="1"/>
  <c r="AS34" i="46" s="1"/>
  <c r="AP35" i="46" a="1"/>
  <c r="AP35" i="46" s="1"/>
  <c r="AK35" i="46" a="1"/>
  <c r="AK35" i="46" s="1"/>
  <c r="AK34" i="46" a="1"/>
  <c r="AK34" i="46" s="1"/>
  <c r="AG35" i="46" a="1"/>
  <c r="AG35" i="46" s="1"/>
  <c r="AG34" i="46" a="1"/>
  <c r="AG34" i="46" s="1"/>
  <c r="AC35" i="46" a="1"/>
  <c r="AC35" i="46" s="1"/>
  <c r="AC34" i="46" a="1"/>
  <c r="AC34" i="46" s="1"/>
  <c r="Y35" i="46" a="1"/>
  <c r="Y35" i="46" s="1"/>
  <c r="Y34" i="46" a="1"/>
  <c r="Y34" i="46" s="1"/>
  <c r="U35" i="46" a="1"/>
  <c r="U35" i="46" s="1"/>
  <c r="U34" i="46" a="1"/>
  <c r="U34" i="46" s="1"/>
  <c r="Q35" i="46" a="1"/>
  <c r="Q35" i="46" s="1"/>
  <c r="Q34" i="46" a="1"/>
  <c r="Q34" i="46" s="1"/>
  <c r="M35" i="46" a="1"/>
  <c r="M35" i="46" s="1"/>
  <c r="M34" i="46" a="1"/>
  <c r="M34" i="46" s="1"/>
  <c r="AT34" i="46" a="1"/>
  <c r="AT34" i="46" s="1"/>
  <c r="AT35" i="46" a="1"/>
  <c r="AT35" i="46" s="1"/>
  <c r="AP34" i="46" a="1"/>
  <c r="AP34" i="46" s="1"/>
  <c r="AJ34" i="46" a="1"/>
  <c r="AJ34" i="46" s="1"/>
  <c r="AJ35" i="46" a="1"/>
  <c r="AJ35" i="46" s="1"/>
  <c r="AF34" i="46" a="1"/>
  <c r="AF34" i="46" s="1"/>
  <c r="AF35" i="46" a="1"/>
  <c r="AF35" i="46" s="1"/>
  <c r="AB34" i="46" a="1"/>
  <c r="AB34" i="46" s="1"/>
  <c r="AB35" i="46" a="1"/>
  <c r="AB35" i="46" s="1"/>
  <c r="X34" i="46" a="1"/>
  <c r="X34" i="46" s="1"/>
  <c r="X35" i="46" a="1"/>
  <c r="X35" i="46" s="1"/>
  <c r="T34" i="46" a="1"/>
  <c r="T34" i="46" s="1"/>
  <c r="T35" i="46" a="1"/>
  <c r="T35" i="46" s="1"/>
  <c r="P34" i="46" a="1"/>
  <c r="P34" i="46" s="1"/>
  <c r="P35" i="46" a="1"/>
  <c r="P35" i="46" s="1"/>
  <c r="L34" i="46" a="1"/>
  <c r="L34" i="46" s="1"/>
  <c r="L35" i="46" a="1"/>
  <c r="L35" i="46" s="1"/>
  <c r="AS32" i="46" a="1"/>
  <c r="AS32" i="46" s="1"/>
  <c r="AS31" i="46" a="1"/>
  <c r="AS31" i="46" s="1"/>
  <c r="AM32" i="46" a="1"/>
  <c r="AM32" i="46" s="1"/>
  <c r="AM31" i="46" a="1"/>
  <c r="AM31" i="46" s="1"/>
  <c r="AI32" i="46" a="1"/>
  <c r="AI32" i="46" s="1"/>
  <c r="AI31" i="46" a="1"/>
  <c r="AI31" i="46" s="1"/>
  <c r="AE32" i="46" a="1"/>
  <c r="AE32" i="46" s="1"/>
  <c r="AE31" i="46" a="1"/>
  <c r="AE31" i="46" s="1"/>
  <c r="AA32" i="46" a="1"/>
  <c r="AA32" i="46" s="1"/>
  <c r="AA31" i="46" a="1"/>
  <c r="AA31" i="46" s="1"/>
  <c r="W32" i="46" a="1"/>
  <c r="W32" i="46" s="1"/>
  <c r="W31" i="46" a="1"/>
  <c r="W31" i="46" s="1"/>
  <c r="S32" i="46" a="1"/>
  <c r="S32" i="46" s="1"/>
  <c r="S31" i="46" a="1"/>
  <c r="S31" i="46" s="1"/>
  <c r="O32" i="46" a="1"/>
  <c r="O32" i="46" s="1"/>
  <c r="O31" i="46" a="1"/>
  <c r="O31" i="46" s="1"/>
  <c r="K32" i="46" a="1"/>
  <c r="K32" i="46" s="1"/>
  <c r="K31" i="46" a="1"/>
  <c r="K31" i="46" s="1"/>
  <c r="AR31" i="46" a="1"/>
  <c r="AR31" i="46" s="1"/>
  <c r="AR32" i="46" a="1"/>
  <c r="AR32" i="46" s="1"/>
  <c r="AL31" i="46" a="1"/>
  <c r="AL31" i="46" s="1"/>
  <c r="AL32" i="46" a="1"/>
  <c r="AL32" i="46" s="1"/>
  <c r="AH31" i="46" a="1"/>
  <c r="AH31" i="46" s="1"/>
  <c r="AH32" i="46" a="1"/>
  <c r="AH32" i="46" s="1"/>
  <c r="AD31" i="46" a="1"/>
  <c r="AD31" i="46" s="1"/>
  <c r="AD32" i="46" a="1"/>
  <c r="AD32" i="46" s="1"/>
  <c r="Z31" i="46" a="1"/>
  <c r="Z31" i="46" s="1"/>
  <c r="Z32" i="46" a="1"/>
  <c r="Z32" i="46" s="1"/>
  <c r="V31" i="46" a="1"/>
  <c r="V31" i="46" s="1"/>
  <c r="V32" i="46" a="1"/>
  <c r="V32" i="46" s="1"/>
  <c r="R31" i="46" a="1"/>
  <c r="R31" i="46" s="1"/>
  <c r="R32" i="46" a="1"/>
  <c r="R32" i="46" s="1"/>
  <c r="N31" i="46" a="1"/>
  <c r="N31" i="46" s="1"/>
  <c r="N32" i="46" a="1"/>
  <c r="N32" i="46" s="1"/>
  <c r="J31" i="46" a="1"/>
  <c r="J31" i="46" s="1"/>
  <c r="J32" i="46" a="1"/>
  <c r="J32" i="46" s="1"/>
  <c r="AQ29" i="46" a="1"/>
  <c r="AQ29" i="46" s="1"/>
  <c r="AQ28" i="46" a="1"/>
  <c r="AQ28" i="46" s="1"/>
  <c r="AK29" i="46" a="1"/>
  <c r="AK29" i="46" s="1"/>
  <c r="AK28" i="46" a="1"/>
  <c r="AK28" i="46" s="1"/>
  <c r="AG29" i="46" a="1"/>
  <c r="AG29" i="46" s="1"/>
  <c r="AG28" i="46" a="1"/>
  <c r="AG28" i="46" s="1"/>
  <c r="AC29" i="46" a="1"/>
  <c r="AC29" i="46" s="1"/>
  <c r="AC28" i="46" a="1"/>
  <c r="AC28" i="46" s="1"/>
  <c r="Y29" i="46" a="1"/>
  <c r="Y29" i="46" s="1"/>
  <c r="Y28" i="46" a="1"/>
  <c r="Y28" i="46" s="1"/>
  <c r="U29" i="46" a="1"/>
  <c r="U29" i="46" s="1"/>
  <c r="U28" i="46" a="1"/>
  <c r="U28" i="46" s="1"/>
  <c r="Q29" i="46" a="1"/>
  <c r="Q29" i="46" s="1"/>
  <c r="Q28" i="46" a="1"/>
  <c r="Q28" i="46" s="1"/>
  <c r="M29" i="46" a="1"/>
  <c r="M29" i="46" s="1"/>
  <c r="M28" i="46" a="1"/>
  <c r="M28" i="46" s="1"/>
  <c r="AT28" i="46" a="1"/>
  <c r="AT28" i="46" s="1"/>
  <c r="AT29" i="46" a="1"/>
  <c r="AT29" i="46" s="1"/>
  <c r="AP28" i="46" a="1"/>
  <c r="AP28" i="46" s="1"/>
  <c r="AP29" i="46" a="1"/>
  <c r="AP29" i="46" s="1"/>
  <c r="X28" i="46" a="1"/>
  <c r="X28" i="46" s="1"/>
  <c r="X29" i="46" a="1"/>
  <c r="X29" i="46" s="1"/>
  <c r="T28" i="46" a="1"/>
  <c r="T28" i="46" s="1"/>
  <c r="T29" i="46" a="1"/>
  <c r="T29" i="46" s="1"/>
  <c r="P28" i="46" a="1"/>
  <c r="P28" i="46" s="1"/>
  <c r="P29" i="46" a="1"/>
  <c r="P29" i="46" s="1"/>
  <c r="L28" i="46" a="1"/>
  <c r="L28" i="46" s="1"/>
  <c r="L29" i="46" a="1"/>
  <c r="L29" i="46" s="1"/>
  <c r="AS26" i="46" a="1"/>
  <c r="AS26" i="46" s="1"/>
  <c r="AS25" i="46" a="1"/>
  <c r="AS25" i="46" s="1"/>
  <c r="AM26" i="46" a="1"/>
  <c r="AM26" i="46" s="1"/>
  <c r="AM25" i="46" a="1"/>
  <c r="AM25" i="46" s="1"/>
  <c r="AI26" i="46" a="1"/>
  <c r="AI26" i="46" s="1"/>
  <c r="AI25" i="46" a="1"/>
  <c r="AI25" i="46" s="1"/>
  <c r="AE26" i="46" a="1"/>
  <c r="AE26" i="46" s="1"/>
  <c r="W25" i="46" a="1"/>
  <c r="W25" i="46" s="1"/>
  <c r="S26" i="46" a="1"/>
  <c r="S26" i="46" s="1"/>
  <c r="S25" i="46" a="1"/>
  <c r="S25" i="46" s="1"/>
  <c r="T46" i="46" a="1"/>
  <c r="T46" i="46" s="1"/>
  <c r="Q47" i="46" a="1"/>
  <c r="Q47" i="46" s="1"/>
  <c r="Q46" i="46" a="1"/>
  <c r="Q46" i="46" s="1"/>
  <c r="J47" i="46" a="1"/>
  <c r="J47" i="46" s="1"/>
  <c r="J46" i="46" a="1"/>
  <c r="J46" i="46" s="1"/>
  <c r="AR46" i="46" a="1"/>
  <c r="AR46" i="46" s="1"/>
  <c r="AM46" i="46" a="1"/>
  <c r="AM46" i="46" s="1"/>
  <c r="AJ46" i="46" a="1"/>
  <c r="AJ46" i="46" s="1"/>
  <c r="AF46" i="46" a="1"/>
  <c r="AF46" i="46" s="1"/>
  <c r="AF47" i="46" a="1"/>
  <c r="AF47" i="46" s="1"/>
  <c r="Y46" i="46" a="1"/>
  <c r="Y46" i="46" s="1"/>
  <c r="Y47" i="46" a="1"/>
  <c r="Y47" i="46" s="1"/>
  <c r="U46" i="46" a="1"/>
  <c r="U46" i="46" s="1"/>
  <c r="U47" i="46" a="1"/>
  <c r="U47" i="46" s="1"/>
  <c r="R46" i="46" a="1"/>
  <c r="R46" i="46" s="1"/>
  <c r="R47" i="46" a="1"/>
  <c r="R47" i="46" s="1"/>
  <c r="O46" i="46" a="1"/>
  <c r="O46" i="46" s="1"/>
  <c r="O47" i="46" a="1"/>
  <c r="O47" i="46" s="1"/>
  <c r="L46" i="46" a="1"/>
  <c r="L46" i="46" s="1"/>
  <c r="L47" i="46" a="1"/>
  <c r="L47" i="46" s="1"/>
  <c r="AT44" i="46" a="1"/>
  <c r="AT44" i="46" s="1"/>
  <c r="AQ44" i="46" a="1"/>
  <c r="AQ44" i="46" s="1"/>
  <c r="AL44" i="46" a="1"/>
  <c r="AL44" i="46" s="1"/>
  <c r="AI44" i="46" a="1"/>
  <c r="AI44" i="46" s="1"/>
  <c r="AI43" i="46" a="1"/>
  <c r="AI43" i="46" s="1"/>
  <c r="AB44" i="46" a="1"/>
  <c r="AB44" i="46" s="1"/>
  <c r="AB43" i="46" a="1"/>
  <c r="AB43" i="46" s="1"/>
  <c r="X44" i="46" a="1"/>
  <c r="X44" i="46" s="1"/>
  <c r="U44" i="46" a="1"/>
  <c r="U44" i="46" s="1"/>
  <c r="R44" i="46" a="1"/>
  <c r="R44" i="46" s="1"/>
  <c r="O44" i="46" a="1"/>
  <c r="O44" i="46" s="1"/>
  <c r="L44" i="46" a="1"/>
  <c r="L44" i="46" s="1"/>
  <c r="AT43" i="46" a="1"/>
  <c r="AT43" i="46" s="1"/>
  <c r="AT42" i="46" s="1"/>
  <c r="AQ43" i="46" a="1"/>
  <c r="AQ43" i="46" s="1"/>
  <c r="AQ42" i="46" s="1"/>
  <c r="AL43" i="46" a="1"/>
  <c r="AL43" i="46" s="1"/>
  <c r="AL42" i="46" s="1"/>
  <c r="AE43" i="46" a="1"/>
  <c r="AE43" i="46" s="1"/>
  <c r="AE44" i="46" a="1"/>
  <c r="AE44" i="46" s="1"/>
  <c r="AA43" i="46" a="1"/>
  <c r="AA43" i="46" s="1"/>
  <c r="AA44" i="46" a="1"/>
  <c r="AA44" i="46" s="1"/>
  <c r="X43" i="46" a="1"/>
  <c r="X43" i="46" s="1"/>
  <c r="X42" i="46" s="1"/>
  <c r="U43" i="46" a="1"/>
  <c r="U43" i="46" s="1"/>
  <c r="U42" i="46" s="1"/>
  <c r="R43" i="46" a="1"/>
  <c r="R43" i="46" s="1"/>
  <c r="R42" i="46" s="1"/>
  <c r="O43" i="46" a="1"/>
  <c r="O43" i="46" s="1"/>
  <c r="O42" i="46" s="1"/>
  <c r="L43" i="46" a="1"/>
  <c r="L43" i="46" s="1"/>
  <c r="L42" i="46" s="1"/>
  <c r="AT41" i="46" a="1"/>
  <c r="AT41" i="46" s="1"/>
  <c r="AQ41" i="46" a="1"/>
  <c r="AQ41" i="46" s="1"/>
  <c r="AQ40" i="46" a="1"/>
  <c r="AQ40" i="46" s="1"/>
  <c r="AH41" i="46" a="1"/>
  <c r="AH41" i="46" s="1"/>
  <c r="AH40" i="46" a="1"/>
  <c r="AH40" i="46" s="1"/>
  <c r="AD41" i="46" a="1"/>
  <c r="AD41" i="46" s="1"/>
  <c r="AA41" i="46" a="1"/>
  <c r="AA41" i="46" s="1"/>
  <c r="X41" i="46" a="1"/>
  <c r="X41" i="46" s="1"/>
  <c r="U41" i="46" a="1"/>
  <c r="U41" i="46" s="1"/>
  <c r="R41" i="46" a="1"/>
  <c r="R41" i="46" s="1"/>
  <c r="O41" i="46" a="1"/>
  <c r="O41" i="46" s="1"/>
  <c r="L41" i="46" a="1"/>
  <c r="L41" i="46" s="1"/>
  <c r="AT40" i="46" a="1"/>
  <c r="AT40" i="46" s="1"/>
  <c r="AT39" i="46" s="1"/>
  <c r="AK40" i="46" a="1"/>
  <c r="AK40" i="46" s="1"/>
  <c r="AK41" i="46" a="1"/>
  <c r="AK41" i="46" s="1"/>
  <c r="AG40" i="46" a="1"/>
  <c r="AG40" i="46" s="1"/>
  <c r="AG41" i="46" a="1"/>
  <c r="AG41" i="46" s="1"/>
  <c r="AD40" i="46" a="1"/>
  <c r="AD40" i="46" s="1"/>
  <c r="AA40" i="46" a="1"/>
  <c r="AA40" i="46" s="1"/>
  <c r="X40" i="46" a="1"/>
  <c r="X40" i="46" s="1"/>
  <c r="U40" i="46" a="1"/>
  <c r="U40" i="46" s="1"/>
  <c r="R40" i="46" a="1"/>
  <c r="R40" i="46" s="1"/>
  <c r="O40" i="46" a="1"/>
  <c r="O40" i="46" s="1"/>
  <c r="L40" i="46" a="1"/>
  <c r="L40" i="46" s="1"/>
  <c r="AP38" i="46" a="1"/>
  <c r="AP38" i="46" s="1"/>
  <c r="AP37" i="46" a="1"/>
  <c r="AP37" i="46" s="1"/>
  <c r="AJ38" i="46" a="1"/>
  <c r="AJ38" i="46" s="1"/>
  <c r="AG38" i="46" a="1"/>
  <c r="AG38" i="46" s="1"/>
  <c r="AD38" i="46" a="1"/>
  <c r="AD38" i="46" s="1"/>
  <c r="AA38" i="46" a="1"/>
  <c r="AA38" i="46" s="1"/>
  <c r="X38" i="46" a="1"/>
  <c r="X38" i="46" s="1"/>
  <c r="U38" i="46" a="1"/>
  <c r="U38" i="46" s="1"/>
  <c r="R38" i="46" a="1"/>
  <c r="R38" i="46" s="1"/>
  <c r="AS37" i="46" a="1"/>
  <c r="AS37" i="46" s="1"/>
  <c r="AS38" i="46" a="1"/>
  <c r="AS38" i="46" s="1"/>
  <c r="AM37" i="46" a="1"/>
  <c r="AM37" i="46" s="1"/>
  <c r="AM38" i="46" a="1"/>
  <c r="AM38" i="46" s="1"/>
  <c r="AJ37" i="46" a="1"/>
  <c r="AJ37" i="46" s="1"/>
  <c r="AG37" i="46" a="1"/>
  <c r="AG37" i="46" s="1"/>
  <c r="AD37" i="46" a="1"/>
  <c r="AD37" i="46" s="1"/>
  <c r="AA37" i="46" a="1"/>
  <c r="AA37" i="46" s="1"/>
  <c r="X37" i="46" a="1"/>
  <c r="X37" i="46" s="1"/>
  <c r="U37" i="46" a="1"/>
  <c r="U37" i="46" s="1"/>
  <c r="R37" i="46" a="1"/>
  <c r="R37" i="46" s="1"/>
  <c r="K37" i="46" a="1"/>
  <c r="K37" i="46" s="1"/>
  <c r="K38" i="46" a="1"/>
  <c r="K38" i="46" s="1"/>
  <c r="AR35" i="46" a="1"/>
  <c r="AR35" i="46" s="1"/>
  <c r="AR34" i="46" a="1"/>
  <c r="AR34" i="46" s="1"/>
  <c r="AM35" i="46" a="1"/>
  <c r="AM35" i="46" s="1"/>
  <c r="AM34" i="46" a="1"/>
  <c r="AM34" i="46" s="1"/>
  <c r="AI34" i="46" a="1"/>
  <c r="AI34" i="46" s="1"/>
  <c r="AI35" i="46" a="1"/>
  <c r="AI35" i="46" s="1"/>
  <c r="AE34" i="46" a="1"/>
  <c r="AE34" i="46" s="1"/>
  <c r="AE35" i="46" a="1"/>
  <c r="AE35" i="46" s="1"/>
  <c r="AA34" i="46" a="1"/>
  <c r="AA34" i="46" s="1"/>
  <c r="AA35" i="46" a="1"/>
  <c r="AA35" i="46" s="1"/>
  <c r="W34" i="46" a="1"/>
  <c r="W34" i="46" s="1"/>
  <c r="W35" i="46" a="1"/>
  <c r="W35" i="46" s="1"/>
  <c r="S34" i="46" a="1"/>
  <c r="S34" i="46" s="1"/>
  <c r="S35" i="46" a="1"/>
  <c r="S35" i="46" s="1"/>
  <c r="O34" i="46" a="1"/>
  <c r="O34" i="46" s="1"/>
  <c r="O35" i="46" a="1"/>
  <c r="O35" i="46" s="1"/>
  <c r="K34" i="46" a="1"/>
  <c r="K34" i="46" s="1"/>
  <c r="K35" i="46" a="1"/>
  <c r="K35" i="46" s="1"/>
  <c r="AQ31" i="46" a="1"/>
  <c r="AQ31" i="46" s="1"/>
  <c r="AQ32" i="46" a="1"/>
  <c r="AQ32" i="46" s="1"/>
  <c r="AK31" i="46" a="1"/>
  <c r="AK31" i="46" s="1"/>
  <c r="AK32" i="46" a="1"/>
  <c r="AK32" i="46" s="1"/>
  <c r="AG31" i="46" a="1"/>
  <c r="AG31" i="46" s="1"/>
  <c r="AG32" i="46" a="1"/>
  <c r="AG32" i="46" s="1"/>
  <c r="AC31" i="46" a="1"/>
  <c r="AC31" i="46" s="1"/>
  <c r="AC32" i="46" a="1"/>
  <c r="AC32" i="46" s="1"/>
  <c r="Y31" i="46" a="1"/>
  <c r="Y31" i="46" s="1"/>
  <c r="Y32" i="46" a="1"/>
  <c r="Y32" i="46" s="1"/>
  <c r="U31" i="46" a="1"/>
  <c r="U31" i="46" s="1"/>
  <c r="U32" i="46" a="1"/>
  <c r="U32" i="46" s="1"/>
  <c r="Q31" i="46" a="1"/>
  <c r="Q31" i="46" s="1"/>
  <c r="Q32" i="46" a="1"/>
  <c r="Q32" i="46" s="1"/>
  <c r="M31" i="46" a="1"/>
  <c r="M31" i="46" s="1"/>
  <c r="M32" i="46" a="1"/>
  <c r="M32" i="46" s="1"/>
  <c r="AS28" i="46" a="1"/>
  <c r="AS28" i="46" s="1"/>
  <c r="AS29" i="46" a="1"/>
  <c r="AS29" i="46" s="1"/>
  <c r="AM28" i="46" a="1"/>
  <c r="AM28" i="46" s="1"/>
  <c r="AM29" i="46" a="1"/>
  <c r="AM29" i="46" s="1"/>
  <c r="AI28" i="46" a="1"/>
  <c r="AI28" i="46" s="1"/>
  <c r="AI29" i="46" a="1"/>
  <c r="AI29" i="46" s="1"/>
  <c r="AE28" i="46" a="1"/>
  <c r="AE28" i="46" s="1"/>
  <c r="AE29" i="46" a="1"/>
  <c r="AE29" i="46" s="1"/>
  <c r="AA28" i="46" a="1"/>
  <c r="AA28" i="46" s="1"/>
  <c r="AA29" i="46" a="1"/>
  <c r="AA29" i="46" s="1"/>
  <c r="W28" i="46" a="1"/>
  <c r="W28" i="46" s="1"/>
  <c r="W29" i="46" a="1"/>
  <c r="W29" i="46" s="1"/>
  <c r="S28" i="46" a="1"/>
  <c r="S28" i="46" s="1"/>
  <c r="S29" i="46" a="1"/>
  <c r="S29" i="46" s="1"/>
  <c r="O28" i="46" a="1"/>
  <c r="O28" i="46" s="1"/>
  <c r="O29" i="46" a="1"/>
  <c r="O29" i="46" s="1"/>
  <c r="K28" i="46" a="1"/>
  <c r="K28" i="46" s="1"/>
  <c r="K29" i="46" a="1"/>
  <c r="K29" i="46" s="1"/>
  <c r="AQ25" i="46" a="1"/>
  <c r="AQ25" i="46" s="1"/>
  <c r="AK25" i="46" a="1"/>
  <c r="AK25" i="46" s="1"/>
  <c r="AG25" i="46" a="1"/>
  <c r="AG25" i="46" s="1"/>
  <c r="AG26" i="46" a="1"/>
  <c r="AG26" i="46" s="1"/>
  <c r="AC25" i="46" a="1"/>
  <c r="AC25" i="46" s="1"/>
  <c r="Y25" i="46" a="1"/>
  <c r="Y25" i="46" s="1"/>
  <c r="U25" i="46" a="1"/>
  <c r="U25" i="46" s="1"/>
  <c r="Q25" i="46" a="1"/>
  <c r="Q25" i="46" s="1"/>
  <c r="Q26" i="46" a="1"/>
  <c r="Q26" i="46" s="1"/>
  <c r="M25" i="46" a="1"/>
  <c r="M25" i="46" s="1"/>
  <c r="AS22" i="46" a="1"/>
  <c r="AS22" i="46" s="1"/>
  <c r="AM22" i="46" a="1"/>
  <c r="AM22" i="46" s="1"/>
  <c r="AM23" i="46" a="1"/>
  <c r="AM23" i="46" s="1"/>
  <c r="AI22" i="46" a="1"/>
  <c r="AI22" i="46" s="1"/>
  <c r="AE22" i="46" a="1"/>
  <c r="AE22" i="46" s="1"/>
  <c r="AA22" i="46" a="1"/>
  <c r="AA22" i="46" s="1"/>
  <c r="W22" i="46" a="1"/>
  <c r="W22" i="46" s="1"/>
  <c r="W23" i="46" a="1"/>
  <c r="W23" i="46" s="1"/>
  <c r="S22" i="46" a="1"/>
  <c r="S22" i="46" s="1"/>
  <c r="S23" i="46" a="1"/>
  <c r="S23" i="46" s="1"/>
  <c r="O22" i="46" a="1"/>
  <c r="O22" i="46" s="1"/>
  <c r="AL20" i="46" a="1"/>
  <c r="AL20" i="46" s="1"/>
  <c r="AL19" i="46" a="1"/>
  <c r="AL19" i="46" s="1"/>
  <c r="AH20" i="46" a="1"/>
  <c r="AH20" i="46" s="1"/>
  <c r="AD20" i="46" a="1"/>
  <c r="AD20" i="46" s="1"/>
  <c r="V20" i="46" a="1"/>
  <c r="V20" i="46" s="1"/>
  <c r="V19" i="46" a="1"/>
  <c r="V19" i="46" s="1"/>
  <c r="R20" i="46" a="1"/>
  <c r="R20" i="46" s="1"/>
  <c r="AQ19" i="46" a="1"/>
  <c r="AQ19" i="46" s="1"/>
  <c r="AQ20" i="46" a="1"/>
  <c r="AQ20" i="46" s="1"/>
  <c r="Q70" i="46" a="1"/>
  <c r="Q70" i="46" s="1"/>
  <c r="AI68" i="46" a="1"/>
  <c r="AI68" i="46" s="1"/>
  <c r="AF68" i="46" a="1"/>
  <c r="AF68" i="46" s="1"/>
  <c r="AC68" i="46" a="1"/>
  <c r="AC68" i="46" s="1"/>
  <c r="S68" i="46" a="1"/>
  <c r="S68" i="46" s="1"/>
  <c r="J68" i="46" a="1"/>
  <c r="J68" i="46" s="1"/>
  <c r="AL67" i="46" a="1"/>
  <c r="AL67" i="46" s="1"/>
  <c r="AI67" i="46" a="1"/>
  <c r="AI67" i="46" s="1"/>
  <c r="AF67" i="46" a="1"/>
  <c r="AF67" i="46" s="1"/>
  <c r="AC67" i="46" a="1"/>
  <c r="AC67" i="46" s="1"/>
  <c r="V67" i="46" a="1"/>
  <c r="V67" i="46" s="1"/>
  <c r="S67" i="46" a="1"/>
  <c r="S67" i="46" s="1"/>
  <c r="O67" i="46" a="1"/>
  <c r="O67" i="46" s="1"/>
  <c r="AR65" i="46" a="1"/>
  <c r="AR65" i="46" s="1"/>
  <c r="AI65" i="46" a="1"/>
  <c r="AI65" i="46" s="1"/>
  <c r="Q65" i="46" a="1"/>
  <c r="Q65" i="46" s="1"/>
  <c r="J65" i="46" a="1"/>
  <c r="J65" i="46" s="1"/>
  <c r="AR64" i="46" a="1"/>
  <c r="AR64" i="46" s="1"/>
  <c r="AL64" i="46" a="1"/>
  <c r="AL64" i="46" s="1"/>
  <c r="AI64" i="46" a="1"/>
  <c r="AI64" i="46" s="1"/>
  <c r="AE64" i="46" a="1"/>
  <c r="AE64" i="46" s="1"/>
  <c r="X64" i="46" a="1"/>
  <c r="X64" i="46" s="1"/>
  <c r="T64" i="46" a="1"/>
  <c r="T64" i="46" s="1"/>
  <c r="Q64" i="46" a="1"/>
  <c r="Q64" i="46" s="1"/>
  <c r="M64" i="46" a="1"/>
  <c r="M64" i="46" s="1"/>
  <c r="J64" i="46" a="1"/>
  <c r="J64" i="46" s="1"/>
  <c r="AQ62" i="46" a="1"/>
  <c r="AQ62" i="46" s="1"/>
  <c r="W62" i="46" a="1"/>
  <c r="W62" i="46" s="1"/>
  <c r="P62" i="46" a="1"/>
  <c r="P62" i="46" s="1"/>
  <c r="AT61" i="46" a="1"/>
  <c r="AT61" i="46" s="1"/>
  <c r="AQ61" i="46" a="1"/>
  <c r="AQ61" i="46" s="1"/>
  <c r="AK61" i="46" a="1"/>
  <c r="AK61" i="46" s="1"/>
  <c r="AK62" i="46" a="1"/>
  <c r="AK62" i="46" s="1"/>
  <c r="AD61" i="46" a="1"/>
  <c r="AD61" i="46" s="1"/>
  <c r="Z61" i="46" a="1"/>
  <c r="Z61" i="46" s="1"/>
  <c r="Z62" i="46" a="1"/>
  <c r="Z62" i="46" s="1"/>
  <c r="W61" i="46" a="1"/>
  <c r="W61" i="46" s="1"/>
  <c r="S61" i="46" a="1"/>
  <c r="S61" i="46" s="1"/>
  <c r="S62" i="46" a="1"/>
  <c r="S62" i="46" s="1"/>
  <c r="P61" i="46" a="1"/>
  <c r="P61" i="46" s="1"/>
  <c r="L61" i="46" a="1"/>
  <c r="L61" i="46" s="1"/>
  <c r="AC59" i="46" a="1"/>
  <c r="AC59" i="46" s="1"/>
  <c r="V59" i="46" a="1"/>
  <c r="V59" i="46" s="1"/>
  <c r="O59" i="46" a="1"/>
  <c r="O59" i="46" s="1"/>
  <c r="AS58" i="46" a="1"/>
  <c r="AS58" i="46" s="1"/>
  <c r="AL68" i="46" a="1"/>
  <c r="AL68" i="46" s="1"/>
  <c r="AE68" i="46" a="1"/>
  <c r="AE68" i="46" s="1"/>
  <c r="AB68" i="46" a="1"/>
  <c r="AB68" i="46" s="1"/>
  <c r="Y68" i="46" a="1"/>
  <c r="Y68" i="46" s="1"/>
  <c r="V68" i="46" a="1"/>
  <c r="V68" i="46" s="1"/>
  <c r="O68" i="46" a="1"/>
  <c r="O68" i="46" s="1"/>
  <c r="AE67" i="46" a="1"/>
  <c r="AE67" i="46" s="1"/>
  <c r="AB67" i="46" a="1"/>
  <c r="AB67" i="46" s="1"/>
  <c r="Y67" i="46" a="1"/>
  <c r="Y67" i="46" s="1"/>
  <c r="R67" i="46" a="1"/>
  <c r="R67" i="46" s="1"/>
  <c r="J67" i="46" a="1"/>
  <c r="J67" i="46" s="1"/>
  <c r="AQ65" i="46" a="1"/>
  <c r="AQ65" i="46" s="1"/>
  <c r="AL65" i="46" a="1"/>
  <c r="AL65" i="46" s="1"/>
  <c r="AH65" i="46" a="1"/>
  <c r="AH65" i="46" s="1"/>
  <c r="AE65" i="46" a="1"/>
  <c r="AE65" i="46" s="1"/>
  <c r="AA65" i="46" a="1"/>
  <c r="AA65" i="46" s="1"/>
  <c r="X65" i="46" a="1"/>
  <c r="X65" i="46" s="1"/>
  <c r="T65" i="46" a="1"/>
  <c r="T65" i="46" s="1"/>
  <c r="M65" i="46" a="1"/>
  <c r="M65" i="46" s="1"/>
  <c r="AQ64" i="46" a="1"/>
  <c r="AQ64" i="46" s="1"/>
  <c r="AH64" i="46" a="1"/>
  <c r="AH64" i="46" s="1"/>
  <c r="AD64" i="46" a="1"/>
  <c r="AD64" i="46" s="1"/>
  <c r="AD65" i="46" a="1"/>
  <c r="AD65" i="46" s="1"/>
  <c r="AA64" i="46" a="1"/>
  <c r="AA64" i="46" s="1"/>
  <c r="W64" i="46" a="1"/>
  <c r="W64" i="46" s="1"/>
  <c r="L64" i="46" a="1"/>
  <c r="L64" i="46" s="1"/>
  <c r="L65" i="46" a="1"/>
  <c r="L65" i="46" s="1"/>
  <c r="AT62" i="46" a="1"/>
  <c r="AT62" i="46" s="1"/>
  <c r="AP62" i="46" a="1"/>
  <c r="AP62" i="46" s="1"/>
  <c r="AG62" i="46" a="1"/>
  <c r="AG62" i="46" s="1"/>
  <c r="AD62" i="46" a="1"/>
  <c r="AD62" i="46" s="1"/>
  <c r="O62" i="46" a="1"/>
  <c r="O62" i="46" s="1"/>
  <c r="L62" i="46" a="1"/>
  <c r="L62" i="46" s="1"/>
  <c r="AS61" i="46" a="1"/>
  <c r="AS61" i="46" s="1"/>
  <c r="AS62" i="46" a="1"/>
  <c r="AS62" i="46" s="1"/>
  <c r="AP61" i="46" a="1"/>
  <c r="AP61" i="46" s="1"/>
  <c r="AG61" i="46" a="1"/>
  <c r="AG61" i="46" s="1"/>
  <c r="V61" i="46" a="1"/>
  <c r="V61" i="46" s="1"/>
  <c r="V62" i="46" a="1"/>
  <c r="V62" i="46" s="1"/>
  <c r="O61" i="46" a="1"/>
  <c r="O61" i="46" s="1"/>
  <c r="K61" i="46" a="1"/>
  <c r="K61" i="46" s="1"/>
  <c r="AS59" i="46" a="1"/>
  <c r="AS59" i="46" s="1"/>
  <c r="AM59" i="46" a="1"/>
  <c r="AM59" i="46" s="1"/>
  <c r="AJ59" i="46" a="1"/>
  <c r="AJ59" i="46" s="1"/>
  <c r="Y59" i="46" a="1"/>
  <c r="Y59" i="46" s="1"/>
  <c r="U59" i="46" a="1"/>
  <c r="U59" i="46" s="1"/>
  <c r="N59" i="46" a="1"/>
  <c r="N59" i="46" s="1"/>
  <c r="K59" i="46" a="1"/>
  <c r="K59" i="46" s="1"/>
  <c r="AR58" i="46" a="1"/>
  <c r="AR58" i="46" s="1"/>
  <c r="AR59" i="46" a="1"/>
  <c r="AR59" i="46" s="1"/>
  <c r="AM58" i="46" a="1"/>
  <c r="AM58" i="46" s="1"/>
  <c r="AI58" i="46" a="1"/>
  <c r="AI58" i="46" s="1"/>
  <c r="AB58" i="46" a="1"/>
  <c r="AB58" i="46" s="1"/>
  <c r="X58" i="46" a="1"/>
  <c r="X58" i="46" s="1"/>
  <c r="U58" i="46" a="1"/>
  <c r="U58" i="46" s="1"/>
  <c r="Q58" i="46" a="1"/>
  <c r="Q58" i="46" s="1"/>
  <c r="Q59" i="46" a="1"/>
  <c r="Q59" i="46" s="1"/>
  <c r="N58" i="46" a="1"/>
  <c r="N58" i="46" s="1"/>
  <c r="J58" i="46" a="1"/>
  <c r="J58" i="46" s="1"/>
  <c r="AR56" i="46" a="1"/>
  <c r="AR56" i="46" s="1"/>
  <c r="AL56" i="46" a="1"/>
  <c r="AL56" i="46" s="1"/>
  <c r="AE56" i="46" a="1"/>
  <c r="AE56" i="46" s="1"/>
  <c r="AA56" i="46" a="1"/>
  <c r="AA56" i="46" s="1"/>
  <c r="X56" i="46" a="1"/>
  <c r="X56" i="46" s="1"/>
  <c r="T56" i="46" a="1"/>
  <c r="T56" i="46" s="1"/>
  <c r="M56" i="46" a="1"/>
  <c r="M56" i="46" s="1"/>
  <c r="J56" i="46" a="1"/>
  <c r="J56" i="46" s="1"/>
  <c r="AQ55" i="46" a="1"/>
  <c r="AQ55" i="46" s="1"/>
  <c r="AQ56" i="46" a="1"/>
  <c r="AQ56" i="46" s="1"/>
  <c r="AH55" i="46" a="1"/>
  <c r="AH55" i="46" s="1"/>
  <c r="AD55" i="46" a="1"/>
  <c r="AD55" i="46" s="1"/>
  <c r="AD56" i="46" a="1"/>
  <c r="AD56" i="46" s="1"/>
  <c r="AA55" i="46" a="1"/>
  <c r="AA55" i="46" s="1"/>
  <c r="W55" i="46" a="1"/>
  <c r="W55" i="46" s="1"/>
  <c r="T55" i="46" a="1"/>
  <c r="T55" i="46" s="1"/>
  <c r="P55" i="46" a="1"/>
  <c r="P55" i="46" s="1"/>
  <c r="P56" i="46" a="1"/>
  <c r="P56" i="46" s="1"/>
  <c r="M55" i="46" a="1"/>
  <c r="M55" i="46" s="1"/>
  <c r="AK53" i="46" a="1"/>
  <c r="AK53" i="46" s="1"/>
  <c r="AG53" i="46" a="1"/>
  <c r="AG53" i="46" s="1"/>
  <c r="Z53" i="46" a="1"/>
  <c r="Z53" i="46" s="1"/>
  <c r="W53" i="46" a="1"/>
  <c r="W53" i="46" s="1"/>
  <c r="S53" i="46" a="1"/>
  <c r="S53" i="46" s="1"/>
  <c r="P53" i="46" a="1"/>
  <c r="P53" i="46" s="1"/>
  <c r="L53" i="46" a="1"/>
  <c r="L53" i="46" s="1"/>
  <c r="AP52" i="46" a="1"/>
  <c r="AP52" i="46" s="1"/>
  <c r="AP53" i="46" a="1"/>
  <c r="AP53" i="46" s="1"/>
  <c r="AJ52" i="46" a="1"/>
  <c r="AJ52" i="46" s="1"/>
  <c r="AJ53" i="46" a="1"/>
  <c r="AJ53" i="46" s="1"/>
  <c r="AG52" i="46" a="1"/>
  <c r="AG52" i="46" s="1"/>
  <c r="AC52" i="46" a="1"/>
  <c r="AC52" i="46" s="1"/>
  <c r="Z52" i="46" a="1"/>
  <c r="Z52" i="46" s="1"/>
  <c r="V52" i="46" a="1"/>
  <c r="V52" i="46" s="1"/>
  <c r="S52" i="46" a="1"/>
  <c r="S52" i="46" s="1"/>
  <c r="O52" i="46" a="1"/>
  <c r="O52" i="46" s="1"/>
  <c r="AM50" i="46" a="1"/>
  <c r="AM50" i="46" s="1"/>
  <c r="AJ50" i="46" a="1"/>
  <c r="AJ50" i="46" s="1"/>
  <c r="AJ49" i="46" a="1"/>
  <c r="AJ49" i="46" s="1"/>
  <c r="AF50" i="46" a="1"/>
  <c r="AF50" i="46" s="1"/>
  <c r="Y50" i="46" a="1"/>
  <c r="Y50" i="46" s="1"/>
  <c r="V50" i="46" a="1"/>
  <c r="V50" i="46" s="1"/>
  <c r="R50" i="46" a="1"/>
  <c r="R50" i="46" s="1"/>
  <c r="K50" i="46" a="1"/>
  <c r="K50" i="46" s="1"/>
  <c r="AR49" i="46" a="1"/>
  <c r="AR49" i="46" s="1"/>
  <c r="AR50" i="46" a="1"/>
  <c r="AR50" i="46" s="1"/>
  <c r="AM49" i="46" a="1"/>
  <c r="AM49" i="46" s="1"/>
  <c r="AI49" i="46" a="1"/>
  <c r="AI49" i="46" s="1"/>
  <c r="AF49" i="46" a="1"/>
  <c r="AF49" i="46" s="1"/>
  <c r="AB49" i="46" a="1"/>
  <c r="AB49" i="46" s="1"/>
  <c r="AB50" i="46" a="1"/>
  <c r="AB50" i="46" s="1"/>
  <c r="Y49" i="46" a="1"/>
  <c r="Y49" i="46" s="1"/>
  <c r="V49" i="46" a="1"/>
  <c r="V49" i="46" s="1"/>
  <c r="O49" i="46" a="1"/>
  <c r="O49" i="46" s="1"/>
  <c r="O50" i="46" a="1"/>
  <c r="O50" i="46" s="1"/>
  <c r="L49" i="46" a="1"/>
  <c r="L49" i="46" s="1"/>
  <c r="L50" i="46" a="1"/>
  <c r="L50" i="46" s="1"/>
  <c r="AT47" i="46" a="1"/>
  <c r="AT47" i="46" s="1"/>
  <c r="AQ47" i="46" a="1"/>
  <c r="AQ47" i="46" s="1"/>
  <c r="AQ46" i="46" a="1"/>
  <c r="AQ46" i="46" s="1"/>
  <c r="AH47" i="46" a="1"/>
  <c r="AH47" i="46" s="1"/>
  <c r="AE47" i="46" a="1"/>
  <c r="AE47" i="46" s="1"/>
  <c r="AB47" i="46" a="1"/>
  <c r="AB47" i="46" s="1"/>
  <c r="AB46" i="46" a="1"/>
  <c r="AB46" i="46" s="1"/>
  <c r="AT46" i="46" a="1"/>
  <c r="AT46" i="46" s="1"/>
  <c r="AK46" i="46" a="1"/>
  <c r="AK46" i="46" s="1"/>
  <c r="AK47" i="46" a="1"/>
  <c r="AK47" i="46" s="1"/>
  <c r="AH46" i="46" a="1"/>
  <c r="AH46" i="46" s="1"/>
  <c r="AD46" i="46" a="1"/>
  <c r="AD46" i="46" s="1"/>
  <c r="AA46" i="46" a="1"/>
  <c r="AA46" i="46" s="1"/>
  <c r="AA47" i="46" a="1"/>
  <c r="AA47" i="46" s="1"/>
  <c r="M46" i="46" a="1"/>
  <c r="M46" i="46" s="1"/>
  <c r="M47" i="46" a="1"/>
  <c r="M47" i="46" s="1"/>
  <c r="AS44" i="46" a="1"/>
  <c r="AS44" i="46" s="1"/>
  <c r="AK44" i="46" a="1"/>
  <c r="AK44" i="46" s="1"/>
  <c r="AG44" i="46" a="1"/>
  <c r="AG44" i="46" s="1"/>
  <c r="AD44" i="46" a="1"/>
  <c r="AD44" i="46" s="1"/>
  <c r="Z44" i="46" a="1"/>
  <c r="Z44" i="46" s="1"/>
  <c r="W44" i="46" a="1"/>
  <c r="W44" i="46" s="1"/>
  <c r="P44" i="46" a="1"/>
  <c r="P44" i="46" s="1"/>
  <c r="K44" i="46" a="1"/>
  <c r="K44" i="46" s="1"/>
  <c r="AP43" i="46" a="1"/>
  <c r="AP43" i="46" s="1"/>
  <c r="AP44" i="46" a="1"/>
  <c r="AP44" i="46" s="1"/>
  <c r="AJ43" i="46" a="1"/>
  <c r="AJ43" i="46" s="1"/>
  <c r="AG43" i="46" a="1"/>
  <c r="AG43" i="46" s="1"/>
  <c r="AC43" i="46" a="1"/>
  <c r="AC43" i="46" s="1"/>
  <c r="AC44" i="46" a="1"/>
  <c r="AC44" i="46" s="1"/>
  <c r="Z43" i="46" a="1"/>
  <c r="Z43" i="46" s="1"/>
  <c r="S43" i="46" a="1"/>
  <c r="S43" i="46" s="1"/>
  <c r="N43" i="46" a="1"/>
  <c r="N43" i="46" s="1"/>
  <c r="N44" i="46" a="1"/>
  <c r="N44" i="46" s="1"/>
  <c r="AS41" i="46" a="1"/>
  <c r="AS41" i="46" s="1"/>
  <c r="AM41" i="46" a="1"/>
  <c r="AM41" i="46" s="1"/>
  <c r="AJ41" i="46" a="1"/>
  <c r="AJ41" i="46" s="1"/>
  <c r="AF41" i="46" a="1"/>
  <c r="AF41" i="46" s="1"/>
  <c r="AC41" i="46" a="1"/>
  <c r="AC41" i="46" s="1"/>
  <c r="V41" i="46" a="1"/>
  <c r="V41" i="46" s="1"/>
  <c r="Q41" i="46" a="1"/>
  <c r="Q41" i="46" s="1"/>
  <c r="K41" i="46" a="1"/>
  <c r="K41" i="46" s="1"/>
  <c r="AR40" i="46" a="1"/>
  <c r="AR40" i="46" s="1"/>
  <c r="AR41" i="46" a="1"/>
  <c r="AR41" i="46" s="1"/>
  <c r="AM40" i="46" a="1"/>
  <c r="AM40" i="46" s="1"/>
  <c r="AI40" i="46" a="1"/>
  <c r="AI40" i="46" s="1"/>
  <c r="AF40" i="46" a="1"/>
  <c r="AF40" i="46" s="1"/>
  <c r="Y40" i="46" a="1"/>
  <c r="Y40" i="46" s="1"/>
  <c r="T40" i="46" a="1"/>
  <c r="T40" i="46" s="1"/>
  <c r="T41" i="46" a="1"/>
  <c r="T41" i="46" s="1"/>
  <c r="N40" i="46" a="1"/>
  <c r="N40" i="46" s="1"/>
  <c r="N41" i="46" a="1"/>
  <c r="N41" i="46" s="1"/>
  <c r="J40" i="46" a="1"/>
  <c r="J40" i="46" s="1"/>
  <c r="AR38" i="46" a="1"/>
  <c r="AR38" i="46" s="1"/>
  <c r="AL38" i="46" a="1"/>
  <c r="AL38" i="46" s="1"/>
  <c r="AI38" i="46" a="1"/>
  <c r="AI38" i="46" s="1"/>
  <c r="W38" i="46" a="1"/>
  <c r="W38" i="46" s="1"/>
  <c r="Q38" i="46" a="1"/>
  <c r="Q38" i="46" s="1"/>
  <c r="M38" i="46" a="1"/>
  <c r="M38" i="46" s="1"/>
  <c r="J38" i="46" a="1"/>
  <c r="J38" i="46" s="1"/>
  <c r="AQ37" i="46" a="1"/>
  <c r="AQ37" i="46" s="1"/>
  <c r="AQ38" i="46" a="1"/>
  <c r="AQ38" i="46" s="1"/>
  <c r="AL37" i="46" a="1"/>
  <c r="AL37" i="46" s="1"/>
  <c r="AE37" i="46" a="1"/>
  <c r="AE37" i="46" s="1"/>
  <c r="AE38" i="46" a="1"/>
  <c r="AE38" i="46" s="1"/>
  <c r="Z37" i="46" a="1"/>
  <c r="Z37" i="46" s="1"/>
  <c r="Z38" i="46" a="1"/>
  <c r="Z38" i="46" s="1"/>
  <c r="T37" i="46" a="1"/>
  <c r="T37" i="46" s="1"/>
  <c r="T38" i="46" a="1"/>
  <c r="T38" i="46" s="1"/>
  <c r="P37" i="46" a="1"/>
  <c r="P37" i="46" s="1"/>
  <c r="M37" i="46" a="1"/>
  <c r="M37" i="46" s="1"/>
  <c r="AQ35" i="46" a="1"/>
  <c r="AQ35" i="46" s="1"/>
  <c r="AH35" i="46" a="1"/>
  <c r="AH35" i="46" s="1"/>
  <c r="AD35" i="46" a="1"/>
  <c r="AD35" i="46" s="1"/>
  <c r="AD34" i="46" a="1"/>
  <c r="AD34" i="46" s="1"/>
  <c r="Z35" i="46" a="1"/>
  <c r="Z35" i="46" s="1"/>
  <c r="V35" i="46" a="1"/>
  <c r="V35" i="46" s="1"/>
  <c r="R35" i="46" a="1"/>
  <c r="R35" i="46" s="1"/>
  <c r="N35" i="46" a="1"/>
  <c r="N35" i="46" s="1"/>
  <c r="N34" i="46" a="1"/>
  <c r="N34" i="46" s="1"/>
  <c r="J35" i="46" a="1"/>
  <c r="J35" i="46" s="1"/>
  <c r="AQ34" i="46" a="1"/>
  <c r="AQ34" i="46" s="1"/>
  <c r="AT32" i="46" a="1"/>
  <c r="AT32" i="46" s="1"/>
  <c r="AP32" i="46" a="1"/>
  <c r="AP32" i="46" s="1"/>
  <c r="AJ32" i="46" a="1"/>
  <c r="AJ32" i="46" s="1"/>
  <c r="AJ31" i="46" a="1"/>
  <c r="AJ31" i="46" s="1"/>
  <c r="AF32" i="46" a="1"/>
  <c r="AF32" i="46" s="1"/>
  <c r="AB32" i="46" a="1"/>
  <c r="AB32" i="46" s="1"/>
  <c r="X32" i="46" a="1"/>
  <c r="X32" i="46" s="1"/>
  <c r="T32" i="46" a="1"/>
  <c r="T32" i="46" s="1"/>
  <c r="T31" i="46" a="1"/>
  <c r="T31" i="46" s="1"/>
  <c r="P32" i="46" a="1"/>
  <c r="P32" i="46" s="1"/>
  <c r="L32" i="46" a="1"/>
  <c r="L32" i="46" s="1"/>
  <c r="AR29" i="46" a="1"/>
  <c r="AR29" i="46" s="1"/>
  <c r="AR28" i="46" a="1"/>
  <c r="AR28" i="46" s="1"/>
  <c r="AL29" i="46" a="1"/>
  <c r="AL29" i="46" s="1"/>
  <c r="AH29" i="46" a="1"/>
  <c r="AH29" i="46" s="1"/>
  <c r="AD29" i="46" a="1"/>
  <c r="AD29" i="46" s="1"/>
  <c r="Z29" i="46" a="1"/>
  <c r="Z29" i="46" s="1"/>
  <c r="Z28" i="46" a="1"/>
  <c r="Z28" i="46" s="1"/>
  <c r="V29" i="46" a="1"/>
  <c r="V29" i="46" s="1"/>
  <c r="R29" i="46" a="1"/>
  <c r="R29" i="46" s="1"/>
  <c r="R28" i="46" a="1"/>
  <c r="R28" i="46" s="1"/>
  <c r="N29" i="46" a="1"/>
  <c r="N29" i="46" s="1"/>
  <c r="J29" i="46" a="1"/>
  <c r="J29" i="46" s="1"/>
  <c r="J28" i="46" a="1"/>
  <c r="J28" i="46" s="1"/>
  <c r="AT26" i="46" a="1"/>
  <c r="AT26" i="46" s="1"/>
  <c r="AP26" i="46" a="1"/>
  <c r="AP26" i="46" s="1"/>
  <c r="AJ26" i="46" a="1"/>
  <c r="AJ26" i="46" s="1"/>
  <c r="AF26" i="46" a="1"/>
  <c r="AF26" i="46" s="1"/>
  <c r="AF25" i="46" a="1"/>
  <c r="AF25" i="46" s="1"/>
  <c r="AB26" i="46" a="1"/>
  <c r="AB26" i="46" s="1"/>
  <c r="X26" i="46" a="1"/>
  <c r="X26" i="46" s="1"/>
  <c r="X25" i="46" a="1"/>
  <c r="X25" i="46" s="1"/>
  <c r="T26" i="46" a="1"/>
  <c r="T26" i="46" s="1"/>
  <c r="P26" i="46" a="1"/>
  <c r="P26" i="46" s="1"/>
  <c r="P25" i="46" a="1"/>
  <c r="P25" i="46" s="1"/>
  <c r="L26" i="46" a="1"/>
  <c r="L26" i="46" s="1"/>
  <c r="AR23" i="46" a="1"/>
  <c r="AR23" i="46" s="1"/>
  <c r="AL23" i="46" a="1"/>
  <c r="AL23" i="46" s="1"/>
  <c r="AL22" i="46" a="1"/>
  <c r="AL22" i="46" s="1"/>
  <c r="AH23" i="46" a="1"/>
  <c r="AH23" i="46" s="1"/>
  <c r="AD23" i="46" a="1"/>
  <c r="AD23" i="46" s="1"/>
  <c r="Z23" i="46" a="1"/>
  <c r="Z23" i="46" s="1"/>
  <c r="V23" i="46" a="1"/>
  <c r="V23" i="46" s="1"/>
  <c r="V22" i="46" a="1"/>
  <c r="V22" i="46" s="1"/>
  <c r="R23" i="46" a="1"/>
  <c r="R23" i="46" s="1"/>
  <c r="J23" i="46" a="1"/>
  <c r="J23" i="46" s="1"/>
  <c r="AP20" i="46" a="1"/>
  <c r="AP20" i="46" s="1"/>
  <c r="AF20" i="46" a="1"/>
  <c r="AF20" i="46" s="1"/>
  <c r="AF19" i="46" a="1"/>
  <c r="AF19" i="46" s="1"/>
  <c r="AB20" i="46" a="1"/>
  <c r="AB20" i="46" s="1"/>
  <c r="AB19" i="46" a="1"/>
  <c r="AB19" i="46" s="1"/>
  <c r="X20" i="46" a="1"/>
  <c r="X20" i="46" s="1"/>
  <c r="L20" i="46" a="1"/>
  <c r="L20" i="46" s="1"/>
  <c r="L19" i="46" a="1"/>
  <c r="L19" i="46" s="1"/>
  <c r="K19" i="46" a="1"/>
  <c r="K19" i="46" s="1"/>
  <c r="K20" i="46" a="1"/>
  <c r="K20" i="46" s="1"/>
  <c r="AR17" i="46" a="1"/>
  <c r="AR17" i="46" s="1"/>
  <c r="AL17" i="46" a="1"/>
  <c r="AL17" i="46" s="1"/>
  <c r="AH17" i="46" a="1"/>
  <c r="AH17" i="46" s="1"/>
  <c r="AD17" i="46" a="1"/>
  <c r="AD17" i="46" s="1"/>
  <c r="AJ58" i="46" a="1"/>
  <c r="AJ58" i="46" s="1"/>
  <c r="V58" i="46" a="1"/>
  <c r="V58" i="46" s="1"/>
  <c r="AB56" i="46" a="1"/>
  <c r="AB56" i="46" s="1"/>
  <c r="AI55" i="46" a="1"/>
  <c r="AI55" i="46" s="1"/>
  <c r="AI56" i="46" a="1"/>
  <c r="AI56" i="46" s="1"/>
  <c r="U55" i="46" a="1"/>
  <c r="U55" i="46" s="1"/>
  <c r="U56" i="46" a="1"/>
  <c r="U56" i="46" s="1"/>
  <c r="AQ53" i="46" a="1"/>
  <c r="AQ53" i="46" s="1"/>
  <c r="AA53" i="46" a="1"/>
  <c r="AA53" i="46" s="1"/>
  <c r="AH52" i="46" a="1"/>
  <c r="AH52" i="46" s="1"/>
  <c r="AH53" i="46" a="1"/>
  <c r="AH53" i="46" s="1"/>
  <c r="AP50" i="46" a="1"/>
  <c r="AP50" i="46" s="1"/>
  <c r="Z50" i="46" a="1"/>
  <c r="Z50" i="46" s="1"/>
  <c r="AG49" i="46" a="1"/>
  <c r="AG49" i="46" s="1"/>
  <c r="AG50" i="46" a="1"/>
  <c r="AG50" i="46" s="1"/>
  <c r="S49" i="46" a="1"/>
  <c r="S49" i="46" s="1"/>
  <c r="S50" i="46" a="1"/>
  <c r="S50" i="46" s="1"/>
  <c r="AC47" i="46" a="1"/>
  <c r="AC47" i="46" s="1"/>
  <c r="P47" i="46" a="1"/>
  <c r="P47" i="46" s="1"/>
  <c r="P46" i="46" a="1"/>
  <c r="P46" i="46" s="1"/>
  <c r="X46" i="46" a="1"/>
  <c r="X46" i="46" s="1"/>
  <c r="X47" i="46" a="1"/>
  <c r="X47" i="46" s="1"/>
  <c r="K46" i="46" a="1"/>
  <c r="K46" i="46" s="1"/>
  <c r="K47" i="46" a="1"/>
  <c r="K47" i="46" s="1"/>
  <c r="AH44" i="46" a="1"/>
  <c r="AH44" i="46" s="1"/>
  <c r="AH43" i="46" a="1"/>
  <c r="AH43" i="46" s="1"/>
  <c r="T44" i="46" a="1"/>
  <c r="T44" i="46" s="1"/>
  <c r="T43" i="46" a="1"/>
  <c r="T43" i="46" s="1"/>
  <c r="AS43" i="46" a="1"/>
  <c r="AS43" i="46" s="1"/>
  <c r="AD43" i="46" a="1"/>
  <c r="AD43" i="46" s="1"/>
  <c r="Q43" i="46" a="1"/>
  <c r="Q43" i="46" s="1"/>
  <c r="Q44" i="46" a="1"/>
  <c r="Q44" i="46" s="1"/>
  <c r="AP41" i="46" a="1"/>
  <c r="AP41" i="46" s="1"/>
  <c r="AP40" i="46" a="1"/>
  <c r="AP40" i="46" s="1"/>
  <c r="Z41" i="46" a="1"/>
  <c r="Z41" i="46" s="1"/>
  <c r="Z40" i="46" a="1"/>
  <c r="Z40" i="46" s="1"/>
  <c r="AJ40" i="46" a="1"/>
  <c r="AJ40" i="46" s="1"/>
  <c r="W40" i="46" a="1"/>
  <c r="W40" i="46" s="1"/>
  <c r="W41" i="46" a="1"/>
  <c r="W41" i="46" s="1"/>
  <c r="K40" i="46" a="1"/>
  <c r="K40" i="46" s="1"/>
  <c r="AF38" i="46" a="1"/>
  <c r="AF38" i="46" s="1"/>
  <c r="AF37" i="46" a="1"/>
  <c r="AF37" i="46" s="1"/>
  <c r="AR37" i="46" a="1"/>
  <c r="AR37" i="46" s="1"/>
  <c r="AC37" i="46" a="1"/>
  <c r="AC37" i="46" s="1"/>
  <c r="AC38" i="46" a="1"/>
  <c r="AC38" i="46" s="1"/>
  <c r="Q37" i="46" a="1"/>
  <c r="Q37" i="46" s="1"/>
  <c r="AL35" i="46" a="1"/>
  <c r="AL35" i="46" s="1"/>
  <c r="Z34" i="46" a="1"/>
  <c r="Z34" i="46" s="1"/>
  <c r="J34" i="46" a="1"/>
  <c r="J34" i="46" s="1"/>
  <c r="AF31" i="46" a="1"/>
  <c r="AF31" i="46" s="1"/>
  <c r="P31" i="46" a="1"/>
  <c r="P31" i="46" s="1"/>
  <c r="AL28" i="46" a="1"/>
  <c r="AL28" i="46" s="1"/>
  <c r="V28" i="46" a="1"/>
  <c r="V28" i="46" s="1"/>
  <c r="AQ26" i="46" a="1"/>
  <c r="AQ26" i="46" s="1"/>
  <c r="Y26" i="46" a="1"/>
  <c r="Y26" i="46" s="1"/>
  <c r="AT25" i="46" a="1"/>
  <c r="AT25" i="46" s="1"/>
  <c r="AB25" i="46" a="1"/>
  <c r="AB25" i="46" s="1"/>
  <c r="L25" i="46" a="1"/>
  <c r="L25" i="46" s="1"/>
  <c r="AE23" i="46" a="1"/>
  <c r="AE23" i="46" s="1"/>
  <c r="O23" i="46" a="1"/>
  <c r="O23" i="46" s="1"/>
  <c r="AH22" i="46" a="1"/>
  <c r="AH22" i="46" s="1"/>
  <c r="R22" i="46" a="1"/>
  <c r="R22" i="46" s="1"/>
  <c r="U20" i="46" a="1"/>
  <c r="U20" i="46" s="1"/>
  <c r="U19" i="46" a="1"/>
  <c r="U19" i="46" s="1"/>
  <c r="AI17" i="46" a="1"/>
  <c r="AI17" i="46" s="1"/>
  <c r="AI16" i="46" a="1"/>
  <c r="AI16" i="46" s="1"/>
  <c r="Q17" i="46" a="1"/>
  <c r="Q17" i="46" s="1"/>
  <c r="Q16" i="46" a="1"/>
  <c r="Q16" i="46" s="1"/>
  <c r="AP16" i="46" a="1"/>
  <c r="AP16" i="46" s="1"/>
  <c r="AP15" i="46" s="1"/>
  <c r="T16" i="46" a="1"/>
  <c r="T16" i="46" s="1"/>
  <c r="AM11" i="46" a="1"/>
  <c r="AM11" i="46" s="1"/>
  <c r="AM10" i="46" a="1"/>
  <c r="AM10" i="46" s="1"/>
  <c r="W11" i="46" a="1"/>
  <c r="W11" i="46" s="1"/>
  <c r="W10" i="46" a="1"/>
  <c r="W10" i="46" s="1"/>
  <c r="K11" i="46" a="1"/>
  <c r="K11" i="46" s="1"/>
  <c r="K10" i="46" a="1"/>
  <c r="K10" i="46" s="1"/>
  <c r="Z10" i="46" a="1"/>
  <c r="Z10" i="46" s="1"/>
  <c r="Z11" i="46" a="1"/>
  <c r="Z11" i="46" s="1"/>
  <c r="J10" i="46" a="1"/>
  <c r="J10" i="46" s="1"/>
  <c r="J11" i="46" a="1"/>
  <c r="J11" i="46" s="1"/>
  <c r="AC104" i="43" a="1"/>
  <c r="AC104" i="43" s="1"/>
  <c r="AC103" i="43" a="1"/>
  <c r="AC103" i="43" s="1"/>
  <c r="M104" i="43" a="1"/>
  <c r="M104" i="43" s="1"/>
  <c r="M103" i="43" a="1"/>
  <c r="M103" i="43" s="1"/>
  <c r="AF103" i="43" a="1"/>
  <c r="AF103" i="43" s="1"/>
  <c r="AF104" i="43" a="1"/>
  <c r="AF104" i="43" s="1"/>
  <c r="P103" i="43" a="1"/>
  <c r="P103" i="43" s="1"/>
  <c r="P104" i="43" a="1"/>
  <c r="P104" i="43" s="1"/>
  <c r="AI101" i="43" a="1"/>
  <c r="AI101" i="43" s="1"/>
  <c r="AI100" i="43" a="1"/>
  <c r="AI100" i="43" s="1"/>
  <c r="S101" i="43" a="1"/>
  <c r="S101" i="43" s="1"/>
  <c r="S100" i="43" a="1"/>
  <c r="S100" i="43" s="1"/>
  <c r="AR100" i="43" a="1"/>
  <c r="AR100" i="43" s="1"/>
  <c r="AR101" i="43" a="1"/>
  <c r="AR101" i="43" s="1"/>
  <c r="AH100" i="43" a="1"/>
  <c r="AH100" i="43" s="1"/>
  <c r="AH101" i="43" a="1"/>
  <c r="AH101" i="43" s="1"/>
  <c r="R100" i="43" a="1"/>
  <c r="R100" i="43" s="1"/>
  <c r="R101" i="43" a="1"/>
  <c r="R101" i="43" s="1"/>
  <c r="AK98" i="43" a="1"/>
  <c r="AK98" i="43" s="1"/>
  <c r="AK97" i="43" a="1"/>
  <c r="AK97" i="43" s="1"/>
  <c r="U98" i="43" a="1"/>
  <c r="U98" i="43" s="1"/>
  <c r="U97" i="43" a="1"/>
  <c r="U97" i="43" s="1"/>
  <c r="AP97" i="43" a="1"/>
  <c r="AP97" i="43" s="1"/>
  <c r="AP98" i="43" a="1"/>
  <c r="AP98" i="43" s="1"/>
  <c r="X97" i="43" a="1"/>
  <c r="X97" i="43" s="1"/>
  <c r="X98" i="43" a="1"/>
  <c r="X98" i="43" s="1"/>
  <c r="AE95" i="43" a="1"/>
  <c r="AE95" i="43" s="1"/>
  <c r="AE94" i="43" a="1"/>
  <c r="AE94" i="43" s="1"/>
  <c r="AH94" i="43" a="1"/>
  <c r="AH94" i="43" s="1"/>
  <c r="AH95" i="43" a="1"/>
  <c r="AH95" i="43" s="1"/>
  <c r="R94" i="43" a="1"/>
  <c r="R94" i="43" s="1"/>
  <c r="R95" i="43" a="1"/>
  <c r="R95" i="43" s="1"/>
  <c r="U92" i="43" a="1"/>
  <c r="U92" i="43" s="1"/>
  <c r="U91" i="43" a="1"/>
  <c r="U91" i="43" s="1"/>
  <c r="AP91" i="43" a="1"/>
  <c r="AP91" i="43" s="1"/>
  <c r="AP92" i="43" a="1"/>
  <c r="AP92" i="43" s="1"/>
  <c r="X91" i="43" a="1"/>
  <c r="X91" i="43" s="1"/>
  <c r="X92" i="43" a="1"/>
  <c r="X92" i="43" s="1"/>
  <c r="AS89" i="43" a="1"/>
  <c r="AS89" i="43" s="1"/>
  <c r="L95" i="43" a="1"/>
  <c r="L95" i="43" s="1"/>
  <c r="L94" i="43" a="1"/>
  <c r="L94" i="43" s="1"/>
  <c r="W94" i="43" a="1"/>
  <c r="W94" i="43" s="1"/>
  <c r="W93" i="43" s="1"/>
  <c r="AL92" i="43" a="1"/>
  <c r="AL92" i="43" s="1"/>
  <c r="AL91" i="43" a="1"/>
  <c r="AL91" i="43" s="1"/>
  <c r="R92" i="43" a="1"/>
  <c r="R92" i="43" s="1"/>
  <c r="R91" i="43" a="1"/>
  <c r="R91" i="43" s="1"/>
  <c r="M91" i="43"/>
  <c r="M92" i="43" a="1"/>
  <c r="M92" i="43" s="1"/>
  <c r="AS88" i="43"/>
  <c r="L40" i="43" a="1"/>
  <c r="L40" i="43" s="1"/>
  <c r="L41" i="43" a="1"/>
  <c r="L41" i="43" s="1"/>
  <c r="AS37" i="43" a="1"/>
  <c r="AS37" i="43" s="1"/>
  <c r="AH37" i="43" a="1"/>
  <c r="AH37" i="43" s="1"/>
  <c r="AH38" i="43" a="1"/>
  <c r="AH38" i="43" s="1"/>
  <c r="N38" i="43" a="1"/>
  <c r="N38" i="43" s="1"/>
  <c r="AC34" i="43" a="1"/>
  <c r="AC34" i="43" s="1"/>
  <c r="M35" i="43" a="1"/>
  <c r="AA32" i="43" a="1"/>
  <c r="O32" i="43" a="1"/>
  <c r="O32" i="43" s="1"/>
  <c r="AR31" i="43" a="1"/>
  <c r="AR31" i="43" s="1"/>
  <c r="AR32" i="43"/>
  <c r="AH32" i="43" a="1"/>
  <c r="AH32" i="43" s="1"/>
  <c r="R32" i="43"/>
  <c r="R31" i="43" a="1"/>
  <c r="R31" i="43" s="1"/>
  <c r="J32" i="43"/>
  <c r="J31" i="43" a="1"/>
  <c r="J31" i="43" s="1"/>
  <c r="AQ29" i="43" a="1"/>
  <c r="AQ29" i="43" s="1"/>
  <c r="AG29" i="43"/>
  <c r="Q29" i="43" a="1"/>
  <c r="Q29" i="43" s="1"/>
  <c r="Q28" i="43" a="1"/>
  <c r="Q28" i="43" s="1"/>
  <c r="AP28" i="43" a="1"/>
  <c r="AP28" i="43" s="1"/>
  <c r="AF28" i="43" a="1"/>
  <c r="AF28" i="43" s="1"/>
  <c r="AB29" i="43" a="1"/>
  <c r="AB29" i="43" s="1"/>
  <c r="P28" i="43" a="1"/>
  <c r="P28" i="43" s="1"/>
  <c r="L28" i="43"/>
  <c r="L29" i="43" a="1"/>
  <c r="L29" i="43" s="1"/>
  <c r="AS25" i="43"/>
  <c r="AS26" i="43" a="1"/>
  <c r="AS26" i="43" s="1"/>
  <c r="AA26" i="43" a="1"/>
  <c r="AA26" i="43" s="1"/>
  <c r="O26" i="43" a="1"/>
  <c r="O26" i="43" s="1"/>
  <c r="AR26" i="43" a="1"/>
  <c r="AR26" i="43" s="1"/>
  <c r="AD26" i="43"/>
  <c r="AD25" i="43" a="1"/>
  <c r="AD25" i="43" s="1"/>
  <c r="R25" i="43" a="1"/>
  <c r="R25" i="43" s="1"/>
  <c r="R26" i="43" a="1"/>
  <c r="R26" i="43" s="1"/>
  <c r="AT22" i="43" a="1"/>
  <c r="AT22" i="43" s="1"/>
  <c r="AB22" i="43"/>
  <c r="AB23" i="43" a="1"/>
  <c r="AB23" i="43" s="1"/>
  <c r="L22" i="43" a="1"/>
  <c r="L22" i="43" s="1"/>
  <c r="AI19" i="43" a="1"/>
  <c r="AI19" i="43" s="1"/>
  <c r="AL20" i="43" a="1"/>
  <c r="AL20" i="43" s="1"/>
  <c r="V20" i="43"/>
  <c r="V19" i="43" a="1"/>
  <c r="V19" i="43" s="1"/>
  <c r="N11" i="43" a="1"/>
  <c r="N11" i="43" s="1"/>
  <c r="AM101" i="41" a="1"/>
  <c r="AM101" i="41" s="1"/>
  <c r="AB64" i="43" a="1"/>
  <c r="AB64" i="43" s="1"/>
  <c r="AB65" i="43" a="1"/>
  <c r="AB65" i="43" s="1"/>
  <c r="U62" i="43" a="1"/>
  <c r="U62" i="43" s="1"/>
  <c r="AG55" i="43" a="1"/>
  <c r="AG55" i="43" s="1"/>
  <c r="AG56" i="43" a="1"/>
  <c r="AG56" i="43" s="1"/>
  <c r="Q85" i="41" a="1"/>
  <c r="Q85" i="41" s="1"/>
  <c r="Q86" i="41"/>
  <c r="K76" i="41" a="1"/>
  <c r="K76" i="41" s="1"/>
  <c r="K77" i="41" a="1"/>
  <c r="K77" i="41" s="1"/>
  <c r="AD64" i="43" a="1"/>
  <c r="AD64" i="43" s="1"/>
  <c r="AD65" i="43" a="1"/>
  <c r="AD65" i="43" s="1"/>
  <c r="AB61" i="43" a="1"/>
  <c r="AB61" i="43" s="1"/>
  <c r="AE59" i="43"/>
  <c r="AE58" i="43"/>
  <c r="Y16" i="41" a="1"/>
  <c r="Y16" i="41" s="1"/>
  <c r="M16" i="41" a="1"/>
  <c r="M16" i="41" s="1"/>
  <c r="M15" i="41" s="1"/>
  <c r="AF11" i="41" a="1"/>
  <c r="AF11" i="41" s="1"/>
  <c r="AI10" i="41"/>
  <c r="AI11" i="41" a="1"/>
  <c r="AI11" i="41" s="1"/>
  <c r="K10" i="41"/>
  <c r="K9" i="41" s="1"/>
  <c r="R10" i="41" a="1"/>
  <c r="R10" i="41" s="1"/>
  <c r="AF10" i="41"/>
  <c r="AR59" i="41" a="1"/>
  <c r="AR59" i="41" s="1"/>
  <c r="AR58" i="41" a="1"/>
  <c r="AR58" i="41" s="1"/>
  <c r="AF55" i="41" a="1"/>
  <c r="AF55" i="41" s="1"/>
  <c r="AF56" i="41" a="1"/>
  <c r="AF56" i="41" s="1"/>
  <c r="Y52" i="41" a="1"/>
  <c r="Y52" i="41" s="1"/>
  <c r="AK46" i="41"/>
  <c r="U46" i="41" a="1"/>
  <c r="U46" i="41" s="1"/>
  <c r="AL43" i="41"/>
  <c r="AL44" i="41" a="1"/>
  <c r="AL44" i="41" s="1"/>
  <c r="AH43" i="41" a="1"/>
  <c r="AH43" i="41" s="1"/>
  <c r="Z44" i="41"/>
  <c r="AQ50" i="43" a="1"/>
  <c r="AQ50" i="43" s="1"/>
  <c r="W46" i="43" a="1"/>
  <c r="W46" i="43" s="1"/>
  <c r="W47" i="43" a="1"/>
  <c r="W47" i="43" s="1"/>
  <c r="P58" i="46" a="1"/>
  <c r="P58" i="46" s="1"/>
  <c r="P59" i="46" a="1"/>
  <c r="P59" i="46" s="1"/>
  <c r="R58" i="46" a="1"/>
  <c r="R58" i="46" s="1"/>
  <c r="R59" i="46" a="1"/>
  <c r="R59" i="46" s="1"/>
  <c r="AG64" i="43" a="1"/>
  <c r="AG64" i="43" s="1"/>
  <c r="AG65" i="43" a="1"/>
  <c r="AG65" i="43" s="1"/>
  <c r="N19" i="46" a="1"/>
  <c r="N19" i="46" s="1"/>
  <c r="N20" i="46" a="1"/>
  <c r="N20" i="46" s="1"/>
  <c r="AK70" i="43" a="1"/>
  <c r="AK70" i="43" s="1"/>
  <c r="Q86" i="43" a="1"/>
  <c r="Q86" i="43" s="1"/>
  <c r="Q85" i="43" a="1"/>
  <c r="Q85" i="43" s="1"/>
  <c r="AL85" i="43" a="1"/>
  <c r="AL85" i="43" s="1"/>
  <c r="AL86" i="43" a="1"/>
  <c r="AL86" i="43" s="1"/>
  <c r="AQ83" i="43" a="1"/>
  <c r="AQ83" i="43" s="1"/>
  <c r="AQ82" i="43" a="1"/>
  <c r="AQ82" i="43" s="1"/>
  <c r="T83" i="43" a="1"/>
  <c r="T83" i="43" s="1"/>
  <c r="T82" i="43" a="1"/>
  <c r="T82" i="43" s="1"/>
  <c r="AK82" i="43" a="1"/>
  <c r="AK82" i="43" s="1"/>
  <c r="AK83" i="43" a="1"/>
  <c r="AK83" i="43" s="1"/>
  <c r="Z80" i="43" a="1"/>
  <c r="Z80" i="43" s="1"/>
  <c r="Z79" i="43" a="1"/>
  <c r="Z79" i="43" s="1"/>
  <c r="AS79" i="43" a="1"/>
  <c r="AS79" i="43" s="1"/>
  <c r="AS78" i="43" s="1"/>
  <c r="AR77" i="43" a="1"/>
  <c r="AR77" i="43" s="1"/>
  <c r="AR76" i="43" a="1"/>
  <c r="AR76" i="43" s="1"/>
  <c r="U77" i="43" a="1"/>
  <c r="U77" i="43" s="1"/>
  <c r="U76" i="43" a="1"/>
  <c r="U76" i="43" s="1"/>
  <c r="AL76" i="43" a="1"/>
  <c r="AL76" i="43" s="1"/>
  <c r="T76" i="43" a="1"/>
  <c r="T76" i="43" s="1"/>
  <c r="T77" i="43" a="1"/>
  <c r="T77" i="43" s="1"/>
  <c r="AG74" i="43" a="1"/>
  <c r="AG74" i="43" s="1"/>
  <c r="AG73" i="43" a="1"/>
  <c r="AG73" i="43" s="1"/>
  <c r="M74" i="43" a="1"/>
  <c r="M74" i="43" s="1"/>
  <c r="M73" i="43" a="1"/>
  <c r="M73" i="43" s="1"/>
  <c r="AB73" i="43" a="1"/>
  <c r="AB73" i="43" s="1"/>
  <c r="AB72" i="43" s="1"/>
  <c r="AS71" i="43" a="1"/>
  <c r="AS71" i="43" s="1"/>
  <c r="AS70" i="43" a="1"/>
  <c r="AS70" i="43" s="1"/>
  <c r="W71" i="43" a="1"/>
  <c r="W71" i="43" s="1"/>
  <c r="W70" i="43" a="1"/>
  <c r="W70" i="43" s="1"/>
  <c r="AL70" i="43" a="1"/>
  <c r="AL70" i="43" s="1"/>
  <c r="AL71" i="43" a="1"/>
  <c r="AL71" i="43" s="1"/>
  <c r="R70" i="43" a="1"/>
  <c r="R70" i="43" s="1"/>
  <c r="R71" i="43" a="1"/>
  <c r="R71" i="43" s="1"/>
  <c r="AG68" i="43" a="1"/>
  <c r="AG68" i="43" s="1"/>
  <c r="AG67" i="43" a="1"/>
  <c r="AG67" i="43" s="1"/>
  <c r="M68" i="43" a="1"/>
  <c r="M68" i="43" s="1"/>
  <c r="M67" i="43"/>
  <c r="AI67" i="43" a="1"/>
  <c r="AI67" i="43" s="1"/>
  <c r="AI68" i="43" a="1"/>
  <c r="AI68" i="43" s="1"/>
  <c r="AQ65" i="43" a="1"/>
  <c r="AQ65" i="43" s="1"/>
  <c r="AQ64" i="43" a="1"/>
  <c r="AQ64" i="43" s="1"/>
  <c r="U65" i="43" a="1"/>
  <c r="U65" i="43" s="1"/>
  <c r="U64" i="43" a="1"/>
  <c r="U64" i="43" s="1"/>
  <c r="AJ64" i="43" a="1"/>
  <c r="AJ64" i="43" s="1"/>
  <c r="AJ65" i="43" a="1"/>
  <c r="AJ65" i="43" s="1"/>
  <c r="P64" i="43" a="1"/>
  <c r="P64" i="43" s="1"/>
  <c r="P65" i="43" a="1"/>
  <c r="P65" i="43" s="1"/>
  <c r="AA62" i="43" a="1"/>
  <c r="AA62" i="43" s="1"/>
  <c r="AR61" i="43" a="1"/>
  <c r="AR61" i="43" s="1"/>
  <c r="Z61" i="43" a="1"/>
  <c r="Z61" i="43" s="1"/>
  <c r="Z62" i="43"/>
  <c r="AQ59" i="43" a="1"/>
  <c r="AQ59" i="43" s="1"/>
  <c r="Q59" i="43" a="1"/>
  <c r="Q59" i="43" s="1"/>
  <c r="AJ58" i="43" a="1"/>
  <c r="AJ58" i="43" s="1"/>
  <c r="AJ59" i="43" a="1"/>
  <c r="AJ59" i="43" s="1"/>
  <c r="L58" i="43" a="1"/>
  <c r="L58" i="43" s="1"/>
  <c r="L59" i="43" a="1"/>
  <c r="L59" i="43" s="1"/>
  <c r="AA56" i="43" a="1"/>
  <c r="AA56" i="43" s="1"/>
  <c r="AR55" i="43" a="1"/>
  <c r="AR55" i="43" s="1"/>
  <c r="AR56" i="43" a="1"/>
  <c r="AR56" i="43" s="1"/>
  <c r="AK53" i="43" a="1"/>
  <c r="AK53" i="43" s="1"/>
  <c r="AK52" i="43" a="1"/>
  <c r="AK52" i="43" s="1"/>
  <c r="AB52" i="43" a="1"/>
  <c r="AB52" i="43" s="1"/>
  <c r="AA50" i="43" a="1"/>
  <c r="AA50" i="43" s="1"/>
  <c r="AA49" i="43" a="1"/>
  <c r="AA49" i="43" s="1"/>
  <c r="M47" i="43" a="1"/>
  <c r="M47" i="43" s="1"/>
  <c r="M46" i="43" a="1"/>
  <c r="M46" i="43" s="1"/>
  <c r="AL53" i="43" a="1"/>
  <c r="AL53" i="43" s="1"/>
  <c r="AL52" i="43" a="1"/>
  <c r="AL52" i="43" s="1"/>
  <c r="N53" i="43" a="1"/>
  <c r="N53" i="43" s="1"/>
  <c r="N52" i="43" a="1"/>
  <c r="N52" i="43" s="1"/>
  <c r="Y52" i="43" a="1"/>
  <c r="Y52" i="43" s="1"/>
  <c r="Y51" i="43" s="1"/>
  <c r="AJ50" i="43" a="1"/>
  <c r="AJ50" i="43" s="1"/>
  <c r="AJ49" i="43" a="1"/>
  <c r="AJ49" i="43" s="1"/>
  <c r="L50" i="43" a="1"/>
  <c r="L50" i="43" s="1"/>
  <c r="L49" i="43" a="1"/>
  <c r="L49" i="43" s="1"/>
  <c r="S49" i="43" a="1"/>
  <c r="S49" i="43" s="1"/>
  <c r="S50" i="43" a="1"/>
  <c r="S50" i="43" s="1"/>
  <c r="AD47" i="43" a="1"/>
  <c r="AD47" i="43" s="1"/>
  <c r="AD46" i="43" a="1"/>
  <c r="AD46" i="43" s="1"/>
  <c r="AG46" i="43" a="1"/>
  <c r="AG46" i="43" s="1"/>
  <c r="AG47" i="43" a="1"/>
  <c r="AG47" i="43" s="1"/>
  <c r="AT44" i="43" a="1"/>
  <c r="AT44" i="43" s="1"/>
  <c r="AT43" i="43" a="1"/>
  <c r="AT43" i="43" s="1"/>
  <c r="P44" i="43" a="1"/>
  <c r="P44" i="43" s="1"/>
  <c r="P43" i="43" a="1"/>
  <c r="P43" i="43" s="1"/>
  <c r="S43" i="43" a="1"/>
  <c r="S43" i="43" s="1"/>
  <c r="S44" i="43" a="1"/>
  <c r="S44" i="43" s="1"/>
  <c r="AD41" i="43" a="1"/>
  <c r="AD41" i="43" s="1"/>
  <c r="AD40" i="43" a="1"/>
  <c r="AD40" i="43" s="1"/>
  <c r="AG40" i="43" a="1"/>
  <c r="AG40" i="43" s="1"/>
  <c r="AG41" i="43" a="1"/>
  <c r="AG41" i="43" s="1"/>
  <c r="AP38" i="43" a="1"/>
  <c r="AP38" i="43" s="1"/>
  <c r="AP37" i="43" a="1"/>
  <c r="AP37" i="43" s="1"/>
  <c r="L38" i="43" a="1"/>
  <c r="L38" i="43" s="1"/>
  <c r="L37" i="43" a="1"/>
  <c r="L37" i="43" s="1"/>
  <c r="W37" i="43" a="1"/>
  <c r="W37" i="43" s="1"/>
  <c r="W38" i="43" a="1"/>
  <c r="W38" i="43" s="1"/>
  <c r="V35" i="43" a="1"/>
  <c r="V35" i="43" s="1"/>
  <c r="V34" i="43" a="1"/>
  <c r="V34" i="43" s="1"/>
  <c r="AG34" i="43" a="1"/>
  <c r="AG34" i="43" s="1"/>
  <c r="AG35" i="43" a="1"/>
  <c r="AG35" i="43" s="1"/>
  <c r="AP32" i="43" a="1"/>
  <c r="AP32" i="43" s="1"/>
  <c r="AP31" i="43" a="1"/>
  <c r="AP31" i="43" s="1"/>
  <c r="L32" i="43" a="1"/>
  <c r="L32" i="43" s="1"/>
  <c r="L31" i="43" a="1"/>
  <c r="L31" i="43" s="1"/>
  <c r="S31" i="43" a="1"/>
  <c r="S31" i="43" s="1"/>
  <c r="S32" i="43" a="1"/>
  <c r="S32" i="43" s="1"/>
  <c r="Z29" i="43" a="1"/>
  <c r="Z29" i="43" s="1"/>
  <c r="Z28" i="43" a="1"/>
  <c r="Z28" i="43" s="1"/>
  <c r="AG28" i="43" a="1"/>
  <c r="AG28" i="43" s="1"/>
  <c r="AP26" i="43" a="1"/>
  <c r="AP26" i="43" s="1"/>
  <c r="AP25" i="43" a="1"/>
  <c r="AP25" i="43" s="1"/>
  <c r="L26" i="43" a="1"/>
  <c r="L26" i="43" s="1"/>
  <c r="L25" i="43" a="1"/>
  <c r="L25" i="43" s="1"/>
  <c r="O25" i="43" a="1"/>
  <c r="O25" i="43" s="1"/>
  <c r="V23" i="43" a="1"/>
  <c r="V23" i="43" s="1"/>
  <c r="AJ20" i="43" a="1"/>
  <c r="AJ20" i="43" s="1"/>
  <c r="AS19" i="43" a="1"/>
  <c r="AS19" i="43" s="1"/>
  <c r="AS20" i="43" a="1"/>
  <c r="AS20" i="43" s="1"/>
  <c r="S19" i="43" a="1"/>
  <c r="S19" i="43" s="1"/>
  <c r="S20" i="43" a="1"/>
  <c r="S20" i="43" s="1"/>
  <c r="Z17" i="43" a="1"/>
  <c r="Z17" i="43" s="1"/>
  <c r="AG16" i="43" a="1"/>
  <c r="AG16" i="43" s="1"/>
  <c r="AG17" i="43" a="1"/>
  <c r="AG17" i="43" s="1"/>
  <c r="AP11" i="43" a="1"/>
  <c r="AP11" i="43" s="1"/>
  <c r="X11" i="43" a="1"/>
  <c r="X11" i="43" s="1"/>
  <c r="X10" i="43" a="1"/>
  <c r="X10" i="43" s="1"/>
  <c r="AE10" i="43" a="1"/>
  <c r="AE10" i="43" s="1"/>
  <c r="AE9" i="43" s="1"/>
  <c r="AL104" i="41" a="1"/>
  <c r="AL104" i="41" s="1"/>
  <c r="AL103" i="41" a="1"/>
  <c r="AL103" i="41" s="1"/>
  <c r="J104" i="41" a="1"/>
  <c r="J104" i="41" s="1"/>
  <c r="J103" i="41" a="1"/>
  <c r="J103" i="41" s="1"/>
  <c r="M103" i="41" a="1"/>
  <c r="M103" i="41" s="1"/>
  <c r="M104" i="41" a="1"/>
  <c r="M104" i="41" s="1"/>
  <c r="AR101" i="41" a="1"/>
  <c r="AR101" i="41" s="1"/>
  <c r="AS53" i="41" a="1"/>
  <c r="AS53" i="41" s="1"/>
  <c r="O53" i="41" a="1"/>
  <c r="O53" i="41" s="1"/>
  <c r="R52" i="41" a="1"/>
  <c r="R52" i="41" s="1"/>
  <c r="R53" i="41" a="1"/>
  <c r="R53" i="41" s="1"/>
  <c r="AT49" i="41" a="1"/>
  <c r="AT49" i="41" s="1"/>
  <c r="AT50" i="41" a="1"/>
  <c r="AT50" i="41" s="1"/>
  <c r="X49" i="41" a="1"/>
  <c r="X49" i="41" s="1"/>
  <c r="X50" i="41" a="1"/>
  <c r="X50" i="41" s="1"/>
  <c r="W47" i="41" a="1"/>
  <c r="W47" i="41" s="1"/>
  <c r="W46" i="41" a="1"/>
  <c r="W46" i="41" s="1"/>
  <c r="Z46" i="41" a="1"/>
  <c r="Z46" i="41" s="1"/>
  <c r="Z47" i="41" a="1"/>
  <c r="Z47" i="41" s="1"/>
  <c r="O16" i="43" a="1"/>
  <c r="O16" i="43" s="1"/>
  <c r="O17" i="43" a="1"/>
  <c r="O17" i="43" s="1"/>
  <c r="V101" i="41" a="1"/>
  <c r="V101" i="41" s="1"/>
  <c r="V100" i="41" a="1"/>
  <c r="V100" i="41" s="1"/>
  <c r="AC100" i="41" a="1"/>
  <c r="AC100" i="41" s="1"/>
  <c r="AC101" i="41" a="1"/>
  <c r="AC101" i="41" s="1"/>
  <c r="AF98" i="41" a="1"/>
  <c r="AF98" i="41" s="1"/>
  <c r="AF97" i="41" a="1"/>
  <c r="AF97" i="41" s="1"/>
  <c r="AI97" i="41" a="1"/>
  <c r="AI97" i="41" s="1"/>
  <c r="AI98" i="41" a="1"/>
  <c r="AI98" i="41" s="1"/>
  <c r="AR95" i="41" a="1"/>
  <c r="AR95" i="41" s="1"/>
  <c r="AR94" i="41" a="1"/>
  <c r="AR94" i="41" s="1"/>
  <c r="V89" i="41" a="1"/>
  <c r="V89" i="41" s="1"/>
  <c r="V88" i="41" a="1"/>
  <c r="V88" i="41" s="1"/>
  <c r="AG82" i="41" a="1"/>
  <c r="AG82" i="41" s="1"/>
  <c r="AG83" i="41" a="1"/>
  <c r="AG83" i="41" s="1"/>
  <c r="AH77" i="41" a="1"/>
  <c r="AH77" i="41" s="1"/>
  <c r="AH76" i="41" a="1"/>
  <c r="AH76" i="41" s="1"/>
  <c r="P74" i="41" a="1"/>
  <c r="P74" i="41" s="1"/>
  <c r="P73" i="41" a="1"/>
  <c r="P73" i="41" s="1"/>
  <c r="S89" i="43" a="1"/>
  <c r="S89" i="43" s="1"/>
  <c r="S88" i="43" a="1"/>
  <c r="S88" i="43" s="1"/>
  <c r="AH88" i="43" a="1"/>
  <c r="AH88" i="43" s="1"/>
  <c r="AH89" i="43" a="1"/>
  <c r="AH89" i="43" s="1"/>
  <c r="M88" i="43" a="1"/>
  <c r="M88" i="43" s="1"/>
  <c r="M89" i="43" a="1"/>
  <c r="M89" i="43" s="1"/>
  <c r="AR62" i="43" a="1"/>
  <c r="AR62" i="43" s="1"/>
  <c r="AH44" i="43" a="1"/>
  <c r="AH44" i="43" s="1"/>
  <c r="AH43" i="43" a="1"/>
  <c r="AH43" i="43" s="1"/>
  <c r="AM34" i="43" a="1"/>
  <c r="AM34" i="43" s="1"/>
  <c r="AM35" i="43" a="1"/>
  <c r="AM35" i="43" s="1"/>
  <c r="AK19" i="43" a="1"/>
  <c r="AK19" i="43" s="1"/>
  <c r="AK20" i="43" a="1"/>
  <c r="AK20" i="43" s="1"/>
  <c r="AL64" i="43" a="1"/>
  <c r="AL64" i="43" s="1"/>
  <c r="AL65" i="43" a="1"/>
  <c r="AL65" i="43" s="1"/>
  <c r="AI49" i="41" a="1"/>
  <c r="AI49" i="41" s="1"/>
  <c r="AI50" i="41" a="1"/>
  <c r="AI50" i="41" s="1"/>
  <c r="AD41" i="41" a="1"/>
  <c r="AD41" i="41" s="1"/>
  <c r="AD40" i="41" a="1"/>
  <c r="AD40" i="41" s="1"/>
  <c r="Q34" i="41" a="1"/>
  <c r="Q34" i="41" s="1"/>
  <c r="Q35" i="41" a="1"/>
  <c r="Q35" i="41" s="1"/>
  <c r="P86" i="43" a="1"/>
  <c r="P86" i="43" s="1"/>
  <c r="P85" i="43" a="1"/>
  <c r="P85" i="43" s="1"/>
  <c r="Q79" i="43" a="1"/>
  <c r="Q79" i="43" s="1"/>
  <c r="Q80" i="43" a="1"/>
  <c r="Q80" i="43" s="1"/>
  <c r="X77" i="41" a="1"/>
  <c r="X77" i="41" s="1"/>
  <c r="L47" i="41" a="1"/>
  <c r="L47" i="41" s="1"/>
  <c r="L46" i="41" a="1"/>
  <c r="L46" i="41" s="1"/>
  <c r="AT35" i="43" a="1"/>
  <c r="AT35" i="43" s="1"/>
  <c r="AT34" i="43"/>
  <c r="T19" i="43" a="1"/>
  <c r="T19" i="43" s="1"/>
  <c r="T20" i="43" a="1"/>
  <c r="T20" i="43" s="1"/>
  <c r="AE17" i="43" a="1"/>
  <c r="AE17" i="43" s="1"/>
  <c r="AE16" i="43" a="1"/>
  <c r="AE16" i="43" s="1"/>
  <c r="Z16" i="43" a="1"/>
  <c r="Z16" i="43" s="1"/>
  <c r="AK11" i="43" a="1"/>
  <c r="AK11" i="43" s="1"/>
  <c r="AK10" i="43" a="1"/>
  <c r="AK10" i="43" s="1"/>
  <c r="M11" i="43" a="1"/>
  <c r="M11" i="43" s="1"/>
  <c r="M10" i="43" a="1"/>
  <c r="M10" i="43" s="1"/>
  <c r="K20" i="41" a="1"/>
  <c r="K20" i="41" s="1"/>
  <c r="K19" i="41" a="1"/>
  <c r="K19" i="41" s="1"/>
  <c r="R19" i="41" a="1"/>
  <c r="R19" i="41" s="1"/>
  <c r="R20" i="41" a="1"/>
  <c r="R20" i="41" s="1"/>
  <c r="Y17" i="41" a="1"/>
  <c r="Y17" i="41" s="1"/>
  <c r="AF16" i="41" a="1"/>
  <c r="AF16" i="41" s="1"/>
  <c r="AF17" i="41" a="1"/>
  <c r="AF17" i="41" s="1"/>
  <c r="S11" i="41" a="1"/>
  <c r="S11" i="41" s="1"/>
  <c r="S10" i="41"/>
  <c r="Z10" i="41" a="1"/>
  <c r="Z10" i="41" s="1"/>
  <c r="Z11" i="41" a="1"/>
  <c r="Z11" i="41" s="1"/>
  <c r="R92" i="41" a="1"/>
  <c r="R92" i="41" s="1"/>
  <c r="AC91" i="41" a="1"/>
  <c r="AC91" i="41" s="1"/>
  <c r="AC92" i="41" a="1"/>
  <c r="AC92" i="41" s="1"/>
  <c r="AP89" i="41" a="1"/>
  <c r="AP89" i="41" s="1"/>
  <c r="T89" i="41" a="1"/>
  <c r="T89" i="41" s="1"/>
  <c r="AE88" i="41" a="1"/>
  <c r="AE88" i="41" s="1"/>
  <c r="AE89" i="41" a="1"/>
  <c r="AE89" i="41" s="1"/>
  <c r="AR86" i="41" a="1"/>
  <c r="AR86" i="41" s="1"/>
  <c r="R86" i="41" a="1"/>
  <c r="R86" i="41" s="1"/>
  <c r="AC85" i="41" a="1"/>
  <c r="AC85" i="41" s="1"/>
  <c r="AC86" i="41" a="1"/>
  <c r="AC86" i="41" s="1"/>
  <c r="AP83" i="41" a="1"/>
  <c r="AP83" i="41" s="1"/>
  <c r="P83" i="41" a="1"/>
  <c r="P83" i="41" s="1"/>
  <c r="AA82" i="41" a="1"/>
  <c r="AA82" i="41" s="1"/>
  <c r="AA83" i="41" a="1"/>
  <c r="AA83" i="41" s="1"/>
  <c r="AL80" i="41" a="1"/>
  <c r="AL80" i="41" s="1"/>
  <c r="N80" i="41" a="1"/>
  <c r="N80" i="41" s="1"/>
  <c r="Y79" i="41" a="1"/>
  <c r="Y79" i="41" s="1"/>
  <c r="Y80" i="41" a="1"/>
  <c r="Y80" i="41" s="1"/>
  <c r="AJ77" i="41" a="1"/>
  <c r="AJ77" i="41" s="1"/>
  <c r="L77" i="41" a="1"/>
  <c r="L77" i="41" s="1"/>
  <c r="W76" i="41" a="1"/>
  <c r="W76" i="41" s="1"/>
  <c r="W77" i="41" a="1"/>
  <c r="W77" i="41" s="1"/>
  <c r="AH74" i="41" a="1"/>
  <c r="AH74" i="41" s="1"/>
  <c r="J74" i="41" a="1"/>
  <c r="J74" i="41" s="1"/>
  <c r="U73" i="41" a="1"/>
  <c r="U73" i="41" s="1"/>
  <c r="U74" i="41" a="1"/>
  <c r="U74" i="41" s="1"/>
  <c r="AF71" i="41" a="1"/>
  <c r="AF71" i="41" s="1"/>
  <c r="AS70" i="41" a="1"/>
  <c r="AS70" i="41" s="1"/>
  <c r="AS71" i="41" a="1"/>
  <c r="AS71" i="41" s="1"/>
  <c r="W70" i="41" a="1"/>
  <c r="W70" i="41" s="1"/>
  <c r="W71" i="41" a="1"/>
  <c r="W71" i="41" s="1"/>
  <c r="J68" i="41" a="1"/>
  <c r="J68" i="41" s="1"/>
  <c r="U67" i="41" a="1"/>
  <c r="U67" i="41" s="1"/>
  <c r="U68" i="41" a="1"/>
  <c r="U68" i="41" s="1"/>
  <c r="AF65" i="41" a="1"/>
  <c r="AF65" i="41" s="1"/>
  <c r="AF64" i="41" a="1"/>
  <c r="AF64" i="41" s="1"/>
  <c r="AS64" i="41" a="1"/>
  <c r="AS64" i="41" s="1"/>
  <c r="AS65" i="41" a="1"/>
  <c r="AS65" i="41" s="1"/>
  <c r="S64" i="41" a="1"/>
  <c r="S64" i="41" s="1"/>
  <c r="S65" i="41" a="1"/>
  <c r="S65" i="41" s="1"/>
  <c r="AD62" i="41" a="1"/>
  <c r="AD62" i="41" s="1"/>
  <c r="AD61" i="41" a="1"/>
  <c r="AD61" i="41" s="1"/>
  <c r="AQ61" i="41" a="1"/>
  <c r="AQ61" i="41" s="1"/>
  <c r="AQ62" i="41" a="1"/>
  <c r="AQ62" i="41" s="1"/>
  <c r="Q61" i="41" a="1"/>
  <c r="Q61" i="41" s="1"/>
  <c r="Q62" i="41" a="1"/>
  <c r="Q62" i="41" s="1"/>
  <c r="X59" i="41" a="1"/>
  <c r="X59" i="41" s="1"/>
  <c r="X58" i="41" a="1"/>
  <c r="X58" i="41" s="1"/>
  <c r="AI58" i="41" a="1"/>
  <c r="AI58" i="41" s="1"/>
  <c r="AI59" i="41" a="1"/>
  <c r="AI59" i="41" s="1"/>
  <c r="AR56" i="41" a="1"/>
  <c r="AR56" i="41" s="1"/>
  <c r="AR55" i="41" a="1"/>
  <c r="AR55" i="41" s="1"/>
  <c r="N56" i="41" a="1"/>
  <c r="N56" i="41" s="1"/>
  <c r="N55" i="41" a="1"/>
  <c r="N55" i="41" s="1"/>
  <c r="U55" i="41" a="1"/>
  <c r="U55" i="41" s="1"/>
  <c r="U56" i="41" a="1"/>
  <c r="U56" i="41" s="1"/>
  <c r="AB53" i="41" a="1"/>
  <c r="AB53" i="41" s="1"/>
  <c r="AB52" i="41" a="1"/>
  <c r="AB52" i="41" s="1"/>
  <c r="AI52" i="41" a="1"/>
  <c r="AI52" i="41" s="1"/>
  <c r="AI53" i="41" a="1"/>
  <c r="AI53" i="41" s="1"/>
  <c r="AR50" i="41" a="1"/>
  <c r="AR50" i="41" s="1"/>
  <c r="AR49" i="41" a="1"/>
  <c r="AR49" i="41" s="1"/>
  <c r="R50" i="41" a="1"/>
  <c r="R50" i="41" s="1"/>
  <c r="R49" i="41" a="1"/>
  <c r="R49" i="41" s="1"/>
  <c r="AF47" i="41" a="1"/>
  <c r="AF47" i="41" s="1"/>
  <c r="AF46" i="41" a="1"/>
  <c r="AF46" i="41" s="1"/>
  <c r="AR40" i="41" a="1"/>
  <c r="AR40" i="41" s="1"/>
  <c r="AR41" i="41" a="1"/>
  <c r="AR41" i="41" s="1"/>
  <c r="R40" i="41" a="1"/>
  <c r="R40" i="41" s="1"/>
  <c r="R41" i="41" a="1"/>
  <c r="R41" i="41" s="1"/>
  <c r="U38" i="41" a="1"/>
  <c r="U38" i="41" s="1"/>
  <c r="U37" i="41" a="1"/>
  <c r="U37" i="41" s="1"/>
  <c r="AE35" i="41" a="1"/>
  <c r="AE35" i="41" s="1"/>
  <c r="AE34" i="41" a="1"/>
  <c r="AE34" i="41" s="1"/>
  <c r="AK32" i="41" a="1"/>
  <c r="AK32" i="41" s="1"/>
  <c r="AK31" i="41" a="1"/>
  <c r="AK31" i="41" s="1"/>
  <c r="AP31" i="41" a="1"/>
  <c r="AP31" i="41" s="1"/>
  <c r="AP32" i="41" a="1"/>
  <c r="AP32" i="41" s="1"/>
  <c r="AS29" i="41" a="1"/>
  <c r="AS29" i="41" s="1"/>
  <c r="AS28" i="41" a="1"/>
  <c r="AS28" i="41" s="1"/>
  <c r="K29" i="41" a="1"/>
  <c r="K29" i="41" s="1"/>
  <c r="K28" i="41" a="1"/>
  <c r="K28" i="41" s="1"/>
  <c r="N28" i="41" a="1"/>
  <c r="N28" i="41" s="1"/>
  <c r="N29" i="41" a="1"/>
  <c r="N29" i="41" s="1"/>
  <c r="M26" i="41" a="1"/>
  <c r="M26" i="41" s="1"/>
  <c r="M25" i="41" a="1"/>
  <c r="M25" i="41" s="1"/>
  <c r="T25" i="41" a="1"/>
  <c r="T25" i="41" s="1"/>
  <c r="T26" i="41" a="1"/>
  <c r="T26" i="41" s="1"/>
  <c r="Q19" i="41" a="1"/>
  <c r="Q19" i="41" s="1"/>
  <c r="AF19" i="41" a="1"/>
  <c r="AF19" i="41" s="1"/>
  <c r="AF20" i="41" a="1"/>
  <c r="AF20" i="41" s="1"/>
  <c r="AI17" i="41" a="1"/>
  <c r="AI17" i="41" s="1"/>
  <c r="AI16" i="41" a="1"/>
  <c r="AI16" i="41" s="1"/>
  <c r="AL16" i="41" a="1"/>
  <c r="AL16" i="41" s="1"/>
  <c r="AL17" i="41" a="1"/>
  <c r="AL17" i="41" s="1"/>
  <c r="AQ11" i="41" a="1"/>
  <c r="AQ11" i="41" s="1"/>
  <c r="AQ10" i="41" a="1"/>
  <c r="AQ10" i="41" s="1"/>
  <c r="U10" i="41" a="1"/>
  <c r="U10" i="41" s="1"/>
  <c r="AC11" i="46" a="1"/>
  <c r="AC11" i="46" s="1"/>
  <c r="Y10" i="46" a="1"/>
  <c r="Y10" i="46" s="1"/>
  <c r="Y11" i="46" a="1"/>
  <c r="Y11" i="46" s="1"/>
  <c r="U10" i="46" a="1"/>
  <c r="U10" i="46" s="1"/>
  <c r="U11" i="46" a="1"/>
  <c r="U11" i="46" s="1"/>
  <c r="Q10" i="46" a="1"/>
  <c r="Q10" i="46" s="1"/>
  <c r="Q11" i="46" a="1"/>
  <c r="Q11" i="46" s="1"/>
  <c r="M10" i="46" a="1"/>
  <c r="M10" i="46" s="1"/>
  <c r="M11" i="46" a="1"/>
  <c r="M11" i="46" s="1"/>
  <c r="AS103" i="43" a="1"/>
  <c r="AS103" i="43" s="1"/>
  <c r="AS104" i="43" a="1"/>
  <c r="AS104" i="43" s="1"/>
  <c r="AM103" i="43" a="1"/>
  <c r="AM103" i="43" s="1"/>
  <c r="AM104" i="43" a="1"/>
  <c r="AM104" i="43" s="1"/>
  <c r="AI103" i="43" a="1"/>
  <c r="AI103" i="43" s="1"/>
  <c r="AI104" i="43" a="1"/>
  <c r="AI104" i="43"/>
  <c r="AE103" i="43" a="1"/>
  <c r="AE103" i="43" s="1"/>
  <c r="AE104" i="43" a="1"/>
  <c r="AE104" i="43" s="1"/>
  <c r="AA103" i="43" a="1"/>
  <c r="AA103" i="43" s="1"/>
  <c r="AA104" i="43" a="1"/>
  <c r="AA104" i="43" s="1"/>
  <c r="W103" i="43" a="1"/>
  <c r="W103" i="43" s="1"/>
  <c r="W104" i="43" a="1"/>
  <c r="W104" i="43" s="1"/>
  <c r="S103" i="43" a="1"/>
  <c r="S103" i="43" s="1"/>
  <c r="S104" i="43" a="1"/>
  <c r="S104" i="43" s="1"/>
  <c r="O103" i="43" a="1"/>
  <c r="O103" i="43" s="1"/>
  <c r="O104" i="43" a="1"/>
  <c r="O104" i="43" s="1"/>
  <c r="K103" i="43" a="1"/>
  <c r="K103" i="43" s="1"/>
  <c r="K104" i="43" a="1"/>
  <c r="K104" i="43" s="1"/>
  <c r="AQ100" i="43" a="1"/>
  <c r="AQ100" i="43" s="1"/>
  <c r="AQ101" i="43" a="1"/>
  <c r="AQ101" i="43" s="1"/>
  <c r="AK100" i="43" a="1"/>
  <c r="AK100" i="43" s="1"/>
  <c r="AK101" i="43" a="1"/>
  <c r="AK101" i="43" s="1"/>
  <c r="AG100" i="43" a="1"/>
  <c r="AG100" i="43" s="1"/>
  <c r="AG101" i="43" a="1"/>
  <c r="AG101" i="43" s="1"/>
  <c r="AC100" i="43" a="1"/>
  <c r="AC100" i="43" s="1"/>
  <c r="AC101" i="43" a="1"/>
  <c r="AC101" i="43" s="1"/>
  <c r="Y100" i="43" a="1"/>
  <c r="Y100" i="43" s="1"/>
  <c r="Y101" i="43" a="1"/>
  <c r="Y101" i="43" s="1"/>
  <c r="U100" i="43" a="1"/>
  <c r="U100" i="43" s="1"/>
  <c r="U101" i="43" a="1"/>
  <c r="U101" i="43" s="1"/>
  <c r="Q100" i="43" a="1"/>
  <c r="Q100" i="43" s="1"/>
  <c r="Q101" i="43" a="1"/>
  <c r="Q101" i="43" s="1"/>
  <c r="M100" i="43" a="1"/>
  <c r="M100" i="43" s="1"/>
  <c r="AS97" i="43" a="1"/>
  <c r="AS97" i="43" s="1"/>
  <c r="AS98" i="43" a="1"/>
  <c r="AS98" i="43" s="1"/>
  <c r="AM97" i="43" a="1"/>
  <c r="AM97" i="43" s="1"/>
  <c r="AM98" i="43" a="1"/>
  <c r="AM98" i="43" s="1"/>
  <c r="AI97" i="43" a="1"/>
  <c r="AI97" i="43" s="1"/>
  <c r="U82" i="43" a="1"/>
  <c r="U82" i="43" s="1"/>
  <c r="Q82" i="43" a="1"/>
  <c r="Q82" i="43" s="1"/>
  <c r="J82" i="43" a="1"/>
  <c r="J82" i="43" s="1"/>
  <c r="AH80" i="43" a="1"/>
  <c r="AH80" i="43" s="1"/>
  <c r="AE80" i="43" a="1"/>
  <c r="AE80" i="43" s="1"/>
  <c r="AE79" i="43" a="1"/>
  <c r="AE79" i="43" s="1"/>
  <c r="AA80" i="43" a="1"/>
  <c r="AA80" i="43" s="1"/>
  <c r="M80" i="43" a="1"/>
  <c r="M80" i="43" s="1"/>
  <c r="J80" i="43" a="1"/>
  <c r="J80" i="43" s="1"/>
  <c r="J79" i="43" a="1"/>
  <c r="J79" i="43" s="1"/>
  <c r="AQ79" i="43" a="1"/>
  <c r="AQ79" i="43" s="1"/>
  <c r="AK79" i="43" a="1"/>
  <c r="AK79" i="43" s="1"/>
  <c r="AH79" i="43" a="1"/>
  <c r="AH79" i="43" s="1"/>
  <c r="AD79" i="43" a="1"/>
  <c r="AD79" i="43" s="1"/>
  <c r="AA79" i="43" a="1"/>
  <c r="AA79" i="43" s="1"/>
  <c r="AA68" i="43" a="1"/>
  <c r="AA68" i="43" s="1"/>
  <c r="AA67" i="43" a="1"/>
  <c r="AA67" i="43" s="1"/>
  <c r="W68" i="43" a="1"/>
  <c r="W68" i="43" s="1"/>
  <c r="W67" i="43" a="1"/>
  <c r="W67" i="43" s="1"/>
  <c r="O68" i="43" a="1"/>
  <c r="O68" i="43" s="1"/>
  <c r="O67" i="43" a="1"/>
  <c r="O67" i="43" s="1"/>
  <c r="AR67" i="43" a="1"/>
  <c r="AR67" i="43" s="1"/>
  <c r="AL67" i="43" a="1"/>
  <c r="AL67" i="43" s="1"/>
  <c r="AH67" i="43" a="1"/>
  <c r="AH67" i="43" s="1"/>
  <c r="AD67" i="43" a="1"/>
  <c r="AD67" i="43" s="1"/>
  <c r="Z67" i="43" a="1"/>
  <c r="Z67" i="43" s="1"/>
  <c r="V67" i="43" a="1"/>
  <c r="V67" i="43" s="1"/>
  <c r="R67" i="43" a="1"/>
  <c r="R67" i="43" s="1"/>
  <c r="N67" i="43" a="1"/>
  <c r="N67" i="43" s="1"/>
  <c r="J67" i="43" a="1"/>
  <c r="J67" i="43" s="1"/>
  <c r="AC58" i="46" a="1"/>
  <c r="AC58" i="46" s="1"/>
  <c r="O58" i="46" a="1"/>
  <c r="O58" i="46" s="1"/>
  <c r="AR55" i="46" a="1"/>
  <c r="AR55" i="46" s="1"/>
  <c r="AB55" i="46" a="1"/>
  <c r="AB55" i="46" s="1"/>
  <c r="AQ52" i="46" a="1"/>
  <c r="AQ52" i="46" s="1"/>
  <c r="AA52" i="46" a="1"/>
  <c r="AA52" i="46" s="1"/>
  <c r="L52" i="46" a="1"/>
  <c r="L52" i="46" s="1"/>
  <c r="AP49" i="46" a="1"/>
  <c r="AP49" i="46" s="1"/>
  <c r="Z49" i="46" a="1"/>
  <c r="Z49" i="46" s="1"/>
  <c r="V47" i="46" a="1"/>
  <c r="V47" i="46" s="1"/>
  <c r="V46" i="46" a="1"/>
  <c r="V46" i="46" s="1"/>
  <c r="AE46" i="46" a="1"/>
  <c r="AE46" i="46" s="1"/>
  <c r="AK43" i="46" a="1"/>
  <c r="AK43" i="46" s="1"/>
  <c r="W43" i="46" a="1"/>
  <c r="W43" i="46" s="1"/>
  <c r="K43" i="46" a="1"/>
  <c r="K43" i="46" s="1"/>
  <c r="AS40" i="46" a="1"/>
  <c r="AS40" i="46" s="1"/>
  <c r="AC40" i="46" a="1"/>
  <c r="AC40" i="46" s="1"/>
  <c r="Q40" i="46" a="1"/>
  <c r="Q40" i="46" s="1"/>
  <c r="N38" i="46" a="1"/>
  <c r="N38" i="46" s="1"/>
  <c r="N37" i="46" a="1"/>
  <c r="N37" i="46" s="1"/>
  <c r="AI37" i="46" a="1"/>
  <c r="AI37" i="46" s="1"/>
  <c r="W37" i="46" a="1"/>
  <c r="W37" i="46" s="1"/>
  <c r="J37" i="46" a="1"/>
  <c r="J37" i="46" s="1"/>
  <c r="AH34" i="46" a="1"/>
  <c r="AH34" i="46" s="1"/>
  <c r="R34" i="46" a="1"/>
  <c r="R34" i="46" s="1"/>
  <c r="AP31" i="46" a="1"/>
  <c r="AP31" i="46" s="1"/>
  <c r="X31" i="46" a="1"/>
  <c r="X31" i="46" s="1"/>
  <c r="AD28" i="46" a="1"/>
  <c r="AD28" i="46" s="1"/>
  <c r="N28" i="46" a="1"/>
  <c r="N28" i="46" s="1"/>
  <c r="AJ25" i="46" a="1"/>
  <c r="AJ25" i="46" s="1"/>
  <c r="T25" i="46" a="1"/>
  <c r="T25" i="46" s="1"/>
  <c r="AR22" i="46" a="1"/>
  <c r="AR22" i="46" s="1"/>
  <c r="Z22" i="46" a="1"/>
  <c r="Z22" i="46" s="1"/>
  <c r="J22" i="46" a="1"/>
  <c r="J22" i="46" s="1"/>
  <c r="AC20" i="46" a="1"/>
  <c r="AC20" i="46" s="1"/>
  <c r="M20" i="46" a="1"/>
  <c r="M20" i="46" s="1"/>
  <c r="AP19" i="46" a="1"/>
  <c r="AP19" i="46" s="1"/>
  <c r="AH19" i="46" a="1"/>
  <c r="AH19" i="46" s="1"/>
  <c r="AC19" i="46" a="1"/>
  <c r="AC19" i="46" s="1"/>
  <c r="X19" i="46" a="1"/>
  <c r="X19" i="46" s="1"/>
  <c r="R19" i="46" a="1"/>
  <c r="R19" i="46" s="1"/>
  <c r="M19" i="46" a="1"/>
  <c r="M19" i="46" s="1"/>
  <c r="AS17" i="46" a="1"/>
  <c r="AS17" i="46" s="1"/>
  <c r="AS16" i="46" a="1"/>
  <c r="AS16" i="46" s="1"/>
  <c r="AK17" i="46" a="1"/>
  <c r="AK17" i="46" s="1"/>
  <c r="AK16" i="46" a="1"/>
  <c r="AK16" i="46" s="1"/>
  <c r="W17" i="46" a="1"/>
  <c r="W17" i="46" s="1"/>
  <c r="S17" i="46" a="1"/>
  <c r="S17" i="46" s="1"/>
  <c r="S16" i="46" a="1"/>
  <c r="S16" i="46" s="1"/>
  <c r="O17" i="46" a="1"/>
  <c r="O17" i="46" s="1"/>
  <c r="O16" i="46" a="1"/>
  <c r="O16" i="46" s="1"/>
  <c r="K17" i="46" a="1"/>
  <c r="K17" i="46" s="1"/>
  <c r="K16" i="46" a="1"/>
  <c r="K16" i="46" s="1"/>
  <c r="AR16" i="46" a="1"/>
  <c r="AR16" i="46" s="1"/>
  <c r="AL16" i="46" a="1"/>
  <c r="AL16" i="46" s="1"/>
  <c r="AH16" i="46" a="1"/>
  <c r="AH16" i="46" s="1"/>
  <c r="AD16" i="46" a="1"/>
  <c r="AD16" i="46" s="1"/>
  <c r="Z16" i="46" a="1"/>
  <c r="Z16" i="46" s="1"/>
  <c r="Z17" i="46" a="1"/>
  <c r="Z17" i="46" s="1"/>
  <c r="V16" i="46" a="1"/>
  <c r="V16" i="46" s="1"/>
  <c r="V17" i="46" a="1"/>
  <c r="V17" i="46" s="1"/>
  <c r="R16" i="46" a="1"/>
  <c r="R16" i="46" s="1"/>
  <c r="R17" i="46" a="1"/>
  <c r="R17" i="46" s="1"/>
  <c r="N16" i="46" a="1"/>
  <c r="N16" i="46" s="1"/>
  <c r="N17" i="46" a="1"/>
  <c r="N17" i="46" s="1"/>
  <c r="J16" i="46" a="1"/>
  <c r="J16" i="46" s="1"/>
  <c r="J17" i="46" a="1"/>
  <c r="J17" i="46" s="1"/>
  <c r="AQ11" i="46" a="1"/>
  <c r="AQ11" i="46" s="1"/>
  <c r="AQ10" i="46" a="1"/>
  <c r="AQ10" i="46" s="1"/>
  <c r="AK11" i="46" a="1"/>
  <c r="AK11" i="46" s="1"/>
  <c r="AK10" i="46" a="1"/>
  <c r="AK10" i="46" s="1"/>
  <c r="AT10" i="46" a="1"/>
  <c r="AT10" i="46" s="1"/>
  <c r="AT11" i="46" a="1"/>
  <c r="AT11" i="46" s="1"/>
  <c r="AP10" i="46" a="1"/>
  <c r="AP10" i="46" s="1"/>
  <c r="AP11" i="46" a="1"/>
  <c r="AP11" i="46" s="1"/>
  <c r="AJ10" i="46" a="1"/>
  <c r="AJ10" i="46" s="1"/>
  <c r="AJ11" i="46" a="1"/>
  <c r="AJ11" i="46" s="1"/>
  <c r="AF10" i="46" a="1"/>
  <c r="AF10" i="46" s="1"/>
  <c r="AF11" i="46" a="1"/>
  <c r="AF11" i="46" s="1"/>
  <c r="AB10" i="46" a="1"/>
  <c r="AB10" i="46" s="1"/>
  <c r="AB11" i="46" a="1"/>
  <c r="AB11" i="46" s="1"/>
  <c r="X10" i="46" a="1"/>
  <c r="X10" i="46" s="1"/>
  <c r="X11" i="46" a="1"/>
  <c r="X11" i="46" s="1"/>
  <c r="T10" i="46" a="1"/>
  <c r="T10" i="46" s="1"/>
  <c r="T11" i="46" a="1"/>
  <c r="T11" i="46" s="1"/>
  <c r="P10" i="46" a="1"/>
  <c r="P10" i="46" s="1"/>
  <c r="P11" i="46" a="1"/>
  <c r="P11" i="46" s="1"/>
  <c r="L10" i="46" a="1"/>
  <c r="L10" i="46" s="1"/>
  <c r="L11" i="46" a="1"/>
  <c r="L11" i="46" s="1"/>
  <c r="AR103" i="43" a="1"/>
  <c r="AR103" i="43" s="1"/>
  <c r="AR104" i="43" a="1"/>
  <c r="AR104" i="43" s="1"/>
  <c r="AL103" i="43" a="1"/>
  <c r="AL103" i="43" s="1"/>
  <c r="AL104" i="43" a="1"/>
  <c r="AL104" i="43" s="1"/>
  <c r="AH103" i="43" a="1"/>
  <c r="AH103" i="43" s="1"/>
  <c r="AH104" i="43" a="1"/>
  <c r="AH104" i="43" s="1"/>
  <c r="AD103" i="43" a="1"/>
  <c r="AD103" i="43" s="1"/>
  <c r="AD104" i="43" a="1"/>
  <c r="AD104" i="43" s="1"/>
  <c r="Z103" i="43" a="1"/>
  <c r="Z103" i="43" s="1"/>
  <c r="Z104" i="43" a="1"/>
  <c r="Z104" i="43" s="1"/>
  <c r="V103" i="43" a="1"/>
  <c r="V103" i="43" s="1"/>
  <c r="V104" i="43" a="1"/>
  <c r="V104" i="43" s="1"/>
  <c r="R103" i="43" a="1"/>
  <c r="R103" i="43" s="1"/>
  <c r="R104" i="43" a="1"/>
  <c r="R104" i="43" s="1"/>
  <c r="N103" i="43" a="1"/>
  <c r="N103" i="43" s="1"/>
  <c r="N104" i="43" a="1"/>
  <c r="N104" i="43" s="1"/>
  <c r="J103" i="43" a="1"/>
  <c r="J103" i="43" s="1"/>
  <c r="J104" i="43" a="1"/>
  <c r="J104" i="43" s="1"/>
  <c r="AT100" i="43" a="1"/>
  <c r="AT100" i="43" s="1"/>
  <c r="AT101" i="43" a="1"/>
  <c r="AT101" i="43" s="1"/>
  <c r="AP100" i="43" a="1"/>
  <c r="AP100" i="43" s="1"/>
  <c r="AP101" i="43" a="1"/>
  <c r="AP101" i="43" s="1"/>
  <c r="AJ100" i="43" a="1"/>
  <c r="AJ100" i="43" s="1"/>
  <c r="AJ101" i="43" a="1"/>
  <c r="AJ101" i="43" s="1"/>
  <c r="AF100" i="43" a="1"/>
  <c r="AF100" i="43" s="1"/>
  <c r="AF101" i="43" a="1"/>
  <c r="AF101" i="43" s="1"/>
  <c r="AB100" i="43" a="1"/>
  <c r="AB100" i="43" s="1"/>
  <c r="AB101" i="43" a="1"/>
  <c r="AB101" i="43" s="1"/>
  <c r="X100" i="43" a="1"/>
  <c r="X100" i="43" s="1"/>
  <c r="X101" i="43" a="1"/>
  <c r="X101" i="43" s="1"/>
  <c r="T100" i="43" a="1"/>
  <c r="T100" i="43" s="1"/>
  <c r="T101" i="43" a="1"/>
  <c r="T101" i="43" s="1"/>
  <c r="P100" i="43" a="1"/>
  <c r="P100" i="43" s="1"/>
  <c r="P101" i="43" a="1"/>
  <c r="P101" i="43" s="1"/>
  <c r="L100" i="43" a="1"/>
  <c r="L100" i="43" s="1"/>
  <c r="L101" i="43" a="1"/>
  <c r="L101" i="43" s="1"/>
  <c r="AR97" i="43" a="1"/>
  <c r="AR97" i="43" s="1"/>
  <c r="AR98" i="43" a="1"/>
  <c r="AR98" i="43" s="1"/>
  <c r="AL97" i="43" a="1"/>
  <c r="AL97" i="43" s="1"/>
  <c r="AL98" i="43" a="1"/>
  <c r="AL98" i="43" s="1"/>
  <c r="AH97" i="43" a="1"/>
  <c r="AH97" i="43" s="1"/>
  <c r="AH98" i="43" a="1"/>
  <c r="AH98" i="43" s="1"/>
  <c r="AD97" i="43" a="1"/>
  <c r="AD97" i="43" s="1"/>
  <c r="AD98" i="43" a="1"/>
  <c r="AD98" i="43" s="1"/>
  <c r="Z97" i="43" a="1"/>
  <c r="Z97" i="43" s="1"/>
  <c r="Z98" i="43" a="1"/>
  <c r="Z98" i="43" s="1"/>
  <c r="V97" i="43" a="1"/>
  <c r="V97" i="43" s="1"/>
  <c r="V98" i="43" a="1"/>
  <c r="V98" i="43" s="1"/>
  <c r="R97" i="43" a="1"/>
  <c r="R97" i="43" s="1"/>
  <c r="R98" i="43" a="1"/>
  <c r="R98" i="43" s="1"/>
  <c r="N97" i="43" a="1"/>
  <c r="N97" i="43" s="1"/>
  <c r="N98" i="43" a="1"/>
  <c r="N98" i="43" s="1"/>
  <c r="J97" i="43" a="1"/>
  <c r="J97" i="43" s="1"/>
  <c r="J98" i="43" a="1"/>
  <c r="J98" i="43" s="1"/>
  <c r="AT94" i="43" a="1"/>
  <c r="AT94" i="43" s="1"/>
  <c r="AT95" i="43" a="1"/>
  <c r="AT95" i="43" s="1"/>
  <c r="AP94" i="43" a="1"/>
  <c r="AP94" i="43" s="1"/>
  <c r="AP95" i="43" a="1"/>
  <c r="AP95" i="43" s="1"/>
  <c r="AJ94" i="43" a="1"/>
  <c r="AJ94" i="43" s="1"/>
  <c r="AJ95" i="43" a="1"/>
  <c r="AJ95" i="43" s="1"/>
  <c r="AF94" i="43" a="1"/>
  <c r="AF94" i="43" s="1"/>
  <c r="AF95" i="43" a="1"/>
  <c r="AF95" i="43" s="1"/>
  <c r="AB94" i="43" a="1"/>
  <c r="AB94" i="43" s="1"/>
  <c r="AB95" i="43" a="1"/>
  <c r="AB95" i="43" s="1"/>
  <c r="P94" i="43" a="1"/>
  <c r="P94" i="43" s="1"/>
  <c r="P95" i="43" a="1"/>
  <c r="P95" i="43" s="1"/>
  <c r="Z91" i="43" a="1"/>
  <c r="Z91" i="43" s="1"/>
  <c r="Z92" i="43" a="1"/>
  <c r="Z92" i="43" s="1"/>
  <c r="N91" i="43" a="1"/>
  <c r="N91" i="43" s="1"/>
  <c r="N92" i="43" a="1"/>
  <c r="N92" i="43" s="1"/>
  <c r="J91" i="43" a="1"/>
  <c r="J91" i="43" s="1"/>
  <c r="J92" i="43" a="1"/>
  <c r="J92" i="43" s="1"/>
  <c r="AG89" i="43" a="1"/>
  <c r="AG89" i="43" s="1"/>
  <c r="AC89" i="43" a="1"/>
  <c r="AC89" i="43" s="1"/>
  <c r="AP88" i="43" a="1"/>
  <c r="AP88" i="43" s="1"/>
  <c r="AP89" i="43" a="1"/>
  <c r="AP89" i="43" s="1"/>
  <c r="AJ88" i="43" a="1"/>
  <c r="AJ88" i="43" s="1"/>
  <c r="AJ89" i="43" a="1"/>
  <c r="AJ89" i="43" s="1"/>
  <c r="AG88" i="43" a="1"/>
  <c r="AG88" i="43" s="1"/>
  <c r="AC88" i="43" a="1"/>
  <c r="AC88" i="43" s="1"/>
  <c r="AM86" i="43" a="1"/>
  <c r="AM86" i="43" s="1"/>
  <c r="AF86" i="43" a="1"/>
  <c r="AF86" i="43" s="1"/>
  <c r="U86" i="43" a="1"/>
  <c r="U86" i="43" s="1"/>
  <c r="K86" i="43" a="1"/>
  <c r="K86" i="43" s="1"/>
  <c r="AM85" i="43" a="1"/>
  <c r="AM85" i="43" s="1"/>
  <c r="AI85" i="43" a="1"/>
  <c r="AI85" i="43" s="1"/>
  <c r="AI86" i="43" a="1"/>
  <c r="AI86" i="43" s="1"/>
  <c r="AF85" i="43" a="1"/>
  <c r="AF85" i="43" s="1"/>
  <c r="AB85" i="43" a="1"/>
  <c r="AB85" i="43" s="1"/>
  <c r="AB86" i="43" a="1"/>
  <c r="AB86" i="43" s="1"/>
  <c r="U85" i="43" a="1"/>
  <c r="U85" i="43" s="1"/>
  <c r="J85" i="43" a="1"/>
  <c r="J85" i="43" s="1"/>
  <c r="J86" i="43" a="1"/>
  <c r="J86" i="43" s="1"/>
  <c r="AR83" i="43" a="1"/>
  <c r="AR83" i="43" s="1"/>
  <c r="AL83" i="43" a="1"/>
  <c r="AL83" i="43" s="1"/>
  <c r="AI83" i="43" a="1"/>
  <c r="AI83" i="43" s="1"/>
  <c r="AE83" i="43" a="1"/>
  <c r="AE83" i="43" s="1"/>
  <c r="AA83" i="43" a="1"/>
  <c r="AA83" i="43" s="1"/>
  <c r="X83" i="43" a="1"/>
  <c r="X83" i="43" s="1"/>
  <c r="Q83" i="43" a="1"/>
  <c r="Q83" i="43" s="1"/>
  <c r="M83" i="43" a="1"/>
  <c r="M83" i="43" s="1"/>
  <c r="J83" i="43" a="1"/>
  <c r="J83" i="43" s="1"/>
  <c r="AL82" i="43" a="1"/>
  <c r="AL82" i="43" s="1"/>
  <c r="AH82" i="43" a="1"/>
  <c r="AH82" i="43" s="1"/>
  <c r="AH83" i="43" a="1"/>
  <c r="AH83" i="43" s="1"/>
  <c r="AA82" i="43" a="1"/>
  <c r="AA82" i="43" s="1"/>
  <c r="M82" i="43" a="1"/>
  <c r="M82" i="43" s="1"/>
  <c r="AT80" i="43" a="1"/>
  <c r="AT80" i="43" s="1"/>
  <c r="AQ80" i="43" a="1"/>
  <c r="AQ80" i="43" s="1"/>
  <c r="AK80" i="43" a="1"/>
  <c r="AK80" i="43" s="1"/>
  <c r="AG80" i="43" a="1"/>
  <c r="AG80" i="43" s="1"/>
  <c r="AD80" i="43" a="1"/>
  <c r="AD80" i="43" s="1"/>
  <c r="W80" i="43" a="1"/>
  <c r="W80" i="43" s="1"/>
  <c r="S80" i="43" a="1"/>
  <c r="S80" i="43" s="1"/>
  <c r="P80" i="43" a="1"/>
  <c r="P80" i="43" s="1"/>
  <c r="L80" i="43" a="1"/>
  <c r="L80" i="43" s="1"/>
  <c r="AT79" i="43" a="1"/>
  <c r="AT79" i="43" s="1"/>
  <c r="AP79" i="43" a="1"/>
  <c r="AP79" i="43" s="1"/>
  <c r="AP80" i="43" a="1"/>
  <c r="AP80" i="43" s="1"/>
  <c r="AJ79" i="43" a="1"/>
  <c r="AJ79" i="43" s="1"/>
  <c r="AG79" i="43" a="1"/>
  <c r="AG79" i="43" s="1"/>
  <c r="V79" i="43" a="1"/>
  <c r="V79" i="43" s="1"/>
  <c r="V80" i="43" a="1"/>
  <c r="V80" i="43" s="1"/>
  <c r="S79" i="43" a="1"/>
  <c r="S79" i="43" s="1"/>
  <c r="O79" i="43" a="1"/>
  <c r="O79" i="43" s="1"/>
  <c r="L79" i="43" a="1"/>
  <c r="L79" i="43" s="1"/>
  <c r="AS77" i="43" a="1"/>
  <c r="AS77" i="43" s="1"/>
  <c r="AM77" i="43" a="1"/>
  <c r="AM77" i="43" s="1"/>
  <c r="AJ77" i="43" a="1"/>
  <c r="AJ77" i="43" s="1"/>
  <c r="AC77" i="43" a="1"/>
  <c r="AC77" i="43" s="1"/>
  <c r="Y77" i="43" a="1"/>
  <c r="Y77" i="43" s="1"/>
  <c r="V77" i="43" a="1"/>
  <c r="V77" i="43" s="1"/>
  <c r="R77" i="43" a="1"/>
  <c r="R77" i="43" s="1"/>
  <c r="O77" i="43" a="1"/>
  <c r="O77" i="43" s="1"/>
  <c r="K77" i="43" a="1"/>
  <c r="K77" i="43" s="1"/>
  <c r="AM76" i="43" a="1"/>
  <c r="AM76" i="43" s="1"/>
  <c r="AF76" i="43" a="1"/>
  <c r="AF76" i="43" s="1"/>
  <c r="AB76" i="43" a="1"/>
  <c r="AB76" i="43" s="1"/>
  <c r="AB77" i="43" a="1"/>
  <c r="AB77" i="43" s="1"/>
  <c r="Y76" i="43" a="1"/>
  <c r="Y76" i="43" s="1"/>
  <c r="R76" i="43" a="1"/>
  <c r="R76" i="43" s="1"/>
  <c r="J76" i="43" a="1"/>
  <c r="J76" i="43" s="1"/>
  <c r="J77" i="43" a="1"/>
  <c r="J77" i="43" s="1"/>
  <c r="AR74" i="43" a="1"/>
  <c r="AR74" i="43" s="1"/>
  <c r="AL74" i="43" a="1"/>
  <c r="AL74" i="43" s="1"/>
  <c r="AH74" i="43" a="1"/>
  <c r="AH74" i="43" s="1"/>
  <c r="AD74" i="43" a="1"/>
  <c r="AD74" i="43" s="1"/>
  <c r="Z74" i="43" a="1"/>
  <c r="Z74" i="43" s="1"/>
  <c r="V74" i="43" a="1"/>
  <c r="V74" i="43" s="1"/>
  <c r="R74" i="43" a="1"/>
  <c r="R74" i="43" s="1"/>
  <c r="N74" i="43" a="1"/>
  <c r="N74" i="43" s="1"/>
  <c r="J74" i="43" a="1"/>
  <c r="J74" i="43" s="1"/>
  <c r="AK73" i="43" a="1"/>
  <c r="AK73" i="43" s="1"/>
  <c r="Y73" i="43" a="1"/>
  <c r="Y73" i="43" s="1"/>
  <c r="Y74" i="43" a="1"/>
  <c r="Y74" i="43" s="1"/>
  <c r="U73" i="43" a="1"/>
  <c r="U73" i="43" s="1"/>
  <c r="U74" i="43" a="1"/>
  <c r="U74" i="43" s="1"/>
  <c r="Q73" i="43" a="1"/>
  <c r="Q73" i="43" s="1"/>
  <c r="Q74" i="43" a="1"/>
  <c r="Q74" i="43" s="1"/>
  <c r="AT71" i="43" a="1"/>
  <c r="AT71" i="43" s="1"/>
  <c r="AP71" i="43" a="1"/>
  <c r="AP71" i="43" s="1"/>
  <c r="AJ71" i="43" a="1"/>
  <c r="AJ71" i="43" s="1"/>
  <c r="AF71" i="43" a="1"/>
  <c r="AF71" i="43" s="1"/>
  <c r="AB71" i="43" a="1"/>
  <c r="AB71" i="43" s="1"/>
  <c r="X71" i="43" a="1"/>
  <c r="X71" i="43" s="1"/>
  <c r="T71" i="43" a="1"/>
  <c r="T71" i="43" s="1"/>
  <c r="P71" i="43" a="1"/>
  <c r="P71" i="43" s="1"/>
  <c r="L71" i="43" a="1"/>
  <c r="L71" i="43" s="1"/>
  <c r="AI70" i="43" a="1"/>
  <c r="AI70" i="43" s="1"/>
  <c r="AI71" i="43" a="1"/>
  <c r="AI71" i="43" s="1"/>
  <c r="AA70" i="43" a="1"/>
  <c r="AA70" i="43" s="1"/>
  <c r="AA71" i="43" a="1"/>
  <c r="AA71" i="43" s="1"/>
  <c r="O70" i="43" a="1"/>
  <c r="O70" i="43" s="1"/>
  <c r="O71" i="43" a="1"/>
  <c r="O71" i="43" s="1"/>
  <c r="AR68" i="43" a="1"/>
  <c r="AR68" i="43" s="1"/>
  <c r="AL68" i="43" a="1"/>
  <c r="AL68" i="43" s="1"/>
  <c r="AH68" i="43" a="1"/>
  <c r="AH68" i="43" s="1"/>
  <c r="AD68" i="43" a="1"/>
  <c r="AD68" i="43" s="1"/>
  <c r="Z68" i="43" a="1"/>
  <c r="Z68" i="43" s="1"/>
  <c r="V68" i="43" a="1"/>
  <c r="V68" i="43" s="1"/>
  <c r="R68" i="43" a="1"/>
  <c r="R68" i="43" s="1"/>
  <c r="N68" i="43" a="1"/>
  <c r="N68" i="43" s="1"/>
  <c r="J68" i="43" a="1"/>
  <c r="J68" i="43" s="1"/>
  <c r="AQ67" i="43" a="1"/>
  <c r="AQ67" i="43" s="1"/>
  <c r="AQ68" i="43" a="1"/>
  <c r="AQ68" i="43" s="1"/>
  <c r="Y58" i="46" a="1"/>
  <c r="Y58" i="46" s="1"/>
  <c r="K58" i="46" a="1"/>
  <c r="K58" i="46" s="1"/>
  <c r="AL55" i="46" a="1"/>
  <c r="AL55" i="46" s="1"/>
  <c r="X55" i="46" a="1"/>
  <c r="X55" i="46" s="1"/>
  <c r="J55" i="46" a="1"/>
  <c r="J55" i="46" s="1"/>
  <c r="J54" i="46" s="1"/>
  <c r="AK52" i="46" a="1"/>
  <c r="AK52" i="46" s="1"/>
  <c r="W52" i="46" a="1"/>
  <c r="W52" i="46" s="1"/>
  <c r="J49" i="46" a="1"/>
  <c r="J49" i="46" s="1"/>
  <c r="S47" i="46" a="1"/>
  <c r="S47" i="46" s="1"/>
  <c r="N46" i="46" a="1"/>
  <c r="N46" i="46" s="1"/>
  <c r="AC26" i="46" a="1"/>
  <c r="AC26" i="46" s="1"/>
  <c r="M26" i="46" a="1"/>
  <c r="M26" i="46" s="1"/>
  <c r="M24" i="46" s="1"/>
  <c r="AI23" i="46" a="1"/>
  <c r="AI23" i="46" s="1"/>
  <c r="Q19" i="46" a="1"/>
  <c r="Q19" i="46" s="1"/>
  <c r="Q20" i="46" a="1"/>
  <c r="Q20" i="46" s="1"/>
  <c r="AQ17" i="46" a="1"/>
  <c r="AQ17" i="46" s="1"/>
  <c r="AE17" i="46" a="1"/>
  <c r="AE17" i="46" s="1"/>
  <c r="AE16" i="46" a="1"/>
  <c r="AE16" i="46" s="1"/>
  <c r="AQ16" i="46" a="1"/>
  <c r="AQ16" i="46" s="1"/>
  <c r="AG16" i="46" a="1"/>
  <c r="AG16" i="46" s="1"/>
  <c r="AG17" i="46" a="1"/>
  <c r="AG17" i="46" s="1"/>
  <c r="U16" i="46" a="1"/>
  <c r="U16" i="46" s="1"/>
  <c r="U17" i="46" a="1"/>
  <c r="U17" i="46" s="1"/>
  <c r="M16" i="46" a="1"/>
  <c r="M16" i="46" s="1"/>
  <c r="M17" i="46" a="1"/>
  <c r="M17" i="46" s="1"/>
  <c r="AA10" i="46" a="1"/>
  <c r="AA10" i="46" s="1"/>
  <c r="AA11" i="46" a="1"/>
  <c r="AA11" i="46" s="1"/>
  <c r="AQ103" i="43" a="1"/>
  <c r="AQ103" i="43" s="1"/>
  <c r="AQ104" i="43" a="1"/>
  <c r="AQ104" i="43" s="1"/>
  <c r="AE100" i="43" a="1"/>
  <c r="AE100" i="43" s="1"/>
  <c r="AE101" i="43" a="1"/>
  <c r="AE101" i="43" s="1"/>
  <c r="AG97" i="43" a="1"/>
  <c r="AG97" i="43" s="1"/>
  <c r="AG98" i="43" a="1"/>
  <c r="AG98" i="43" s="1"/>
  <c r="M97" i="43" a="1"/>
  <c r="M97" i="43" s="1"/>
  <c r="M98" i="43" a="1"/>
  <c r="M98" i="43" s="1"/>
  <c r="K94" i="43" a="1"/>
  <c r="K94" i="43" s="1"/>
  <c r="K95" i="43" a="1"/>
  <c r="K95" i="43" s="1"/>
  <c r="AQ91" i="43" a="1"/>
  <c r="AQ91" i="43" s="1"/>
  <c r="AQ92" i="43" a="1"/>
  <c r="AQ92" i="43" s="1"/>
  <c r="R80" i="43" a="1"/>
  <c r="R80" i="43" s="1"/>
  <c r="R79" i="43" a="1"/>
  <c r="R79" i="43" s="1"/>
  <c r="AP73" i="43" a="1"/>
  <c r="AP73" i="43" s="1"/>
  <c r="AP74" i="43" a="1"/>
  <c r="AP74" i="43" s="1"/>
  <c r="AD70" i="43" a="1"/>
  <c r="AD70" i="43" s="1"/>
  <c r="AD71" i="43" a="1"/>
  <c r="AD71" i="43" s="1"/>
  <c r="J70" i="43" a="1"/>
  <c r="J70" i="43" s="1"/>
  <c r="J71" i="43" a="1"/>
  <c r="J71" i="43" s="1"/>
  <c r="AP67" i="43" a="1"/>
  <c r="AP67" i="43" s="1"/>
  <c r="AP68" i="43" a="1"/>
  <c r="AP68" i="43" s="1"/>
  <c r="X67" i="43" a="1"/>
  <c r="X67" i="43" s="1"/>
  <c r="X68" i="43" a="1"/>
  <c r="X68" i="43" s="1"/>
  <c r="M65" i="43" a="1"/>
  <c r="M65" i="43" s="1"/>
  <c r="AS62" i="43" a="1"/>
  <c r="AS62" i="43" s="1"/>
  <c r="W62" i="43" a="1"/>
  <c r="W62" i="43" s="1"/>
  <c r="AG59" i="43" a="1"/>
  <c r="AG59" i="43" s="1"/>
  <c r="M59" i="43" a="1"/>
  <c r="M59" i="43" s="1"/>
  <c r="AE56" i="43" a="1"/>
  <c r="AE56" i="43" s="1"/>
  <c r="K56" i="43" a="1"/>
  <c r="K56" i="43" s="1"/>
  <c r="AE50" i="43" a="1"/>
  <c r="AE50" i="43" s="1"/>
  <c r="Z49" i="43" a="1"/>
  <c r="Z49" i="43" s="1"/>
  <c r="Z50" i="43" a="1"/>
  <c r="Z50" i="43" s="1"/>
  <c r="AQ47" i="43" a="1"/>
  <c r="AQ47" i="43" s="1"/>
  <c r="U47" i="43" a="1"/>
  <c r="U47" i="43" s="1"/>
  <c r="U46" i="43" a="1"/>
  <c r="U46" i="43" s="1"/>
  <c r="K55" i="43" a="1"/>
  <c r="K55" i="43" s="1"/>
  <c r="Z53" i="43" a="1"/>
  <c r="Z53" i="43" s="1"/>
  <c r="T50" i="43" a="1"/>
  <c r="T50" i="43" s="1"/>
  <c r="AH47" i="43" a="1"/>
  <c r="AH47" i="43" s="1"/>
  <c r="AQ46" i="43" a="1"/>
  <c r="AQ46" i="43" s="1"/>
  <c r="T44" i="43" a="1"/>
  <c r="T44" i="43" s="1"/>
  <c r="AA43" i="43" a="1"/>
  <c r="AA43" i="43" s="1"/>
  <c r="AH41" i="43" a="1"/>
  <c r="AH41" i="43" s="1"/>
  <c r="AQ40" i="43" a="1"/>
  <c r="AQ40" i="43" s="1"/>
  <c r="Q40" i="43" a="1"/>
  <c r="Q40" i="43" s="1"/>
  <c r="X38" i="43" a="1"/>
  <c r="X38" i="43" s="1"/>
  <c r="AE37" i="43" a="1"/>
  <c r="AE37" i="43" s="1"/>
  <c r="AL35" i="43" a="1"/>
  <c r="AL35" i="43" s="1"/>
  <c r="J35" i="43" a="1"/>
  <c r="J35" i="43" s="1"/>
  <c r="Q34" i="43" a="1"/>
  <c r="Q34" i="43" s="1"/>
  <c r="X32" i="43" a="1"/>
  <c r="X32" i="43" s="1"/>
  <c r="AI31" i="43" a="1"/>
  <c r="AI31" i="43" s="1"/>
  <c r="AL29" i="43" a="1"/>
  <c r="AL29" i="43" s="1"/>
  <c r="N29" i="43" a="1"/>
  <c r="N29" i="43" s="1"/>
  <c r="AB26" i="43" a="1"/>
  <c r="AB26" i="43" s="1"/>
  <c r="AL23" i="43" a="1"/>
  <c r="AL23" i="43" s="1"/>
  <c r="J23" i="43" a="1"/>
  <c r="J23" i="43" s="1"/>
  <c r="AE19" i="43" a="1"/>
  <c r="AE19" i="43" s="1"/>
  <c r="AE20" i="43" a="1"/>
  <c r="AE20" i="43" s="1"/>
  <c r="T11" i="43" a="1"/>
  <c r="T11" i="43" s="1"/>
  <c r="Z104" i="41" a="1"/>
  <c r="Z104" i="41" s="1"/>
  <c r="X17" i="43" a="1"/>
  <c r="X17" i="43" s="1"/>
  <c r="AH101" i="41" a="1"/>
  <c r="AH101" i="41" s="1"/>
  <c r="N52" i="41" a="1"/>
  <c r="N52" i="41" s="1"/>
  <c r="N53" i="41" a="1"/>
  <c r="N53" i="41" s="1"/>
  <c r="Q50" i="41" a="1"/>
  <c r="Q50" i="41" s="1"/>
  <c r="P49" i="41" a="1"/>
  <c r="P49" i="41" s="1"/>
  <c r="Y100" i="41" a="1"/>
  <c r="Y100" i="41" s="1"/>
  <c r="AB98" i="41" a="1"/>
  <c r="AB98" i="41" s="1"/>
  <c r="AE97" i="41" a="1"/>
  <c r="AE97" i="41" s="1"/>
  <c r="AE98" i="41" a="1"/>
  <c r="AE98" i="41" s="1"/>
  <c r="V95" i="41" a="1"/>
  <c r="V95" i="41" s="1"/>
  <c r="V94" i="41" a="1"/>
  <c r="V94" i="41" s="1"/>
  <c r="Y94" i="41" a="1"/>
  <c r="Y94" i="41" s="1"/>
  <c r="Y95" i="41" a="1"/>
  <c r="Y95" i="41" s="1"/>
  <c r="AB92" i="41" a="1"/>
  <c r="AB92" i="41" s="1"/>
  <c r="AB91" i="41" a="1"/>
  <c r="AB91" i="41" s="1"/>
  <c r="AE91" i="41" a="1"/>
  <c r="AE91" i="41" s="1"/>
  <c r="AE92" i="41" a="1"/>
  <c r="AE92" i="41" s="1"/>
  <c r="AR89" i="41" a="1"/>
  <c r="AR89" i="41" s="1"/>
  <c r="AR88" i="41" a="1"/>
  <c r="AR88" i="41" s="1"/>
  <c r="R89" i="41" a="1"/>
  <c r="R89" i="41" s="1"/>
  <c r="R88" i="41" a="1"/>
  <c r="R88" i="41" s="1"/>
  <c r="J89" i="41" a="1"/>
  <c r="J89" i="41" s="1"/>
  <c r="J88" i="41" a="1"/>
  <c r="J88" i="41" s="1"/>
  <c r="U88" i="41" a="1"/>
  <c r="U88" i="41" s="1"/>
  <c r="U89" i="41" a="1"/>
  <c r="U89" i="41" s="1"/>
  <c r="AT86" i="41" a="1"/>
  <c r="AT86" i="41" s="1"/>
  <c r="AT85" i="41" a="1"/>
  <c r="AT85" i="41" s="1"/>
  <c r="AF86" i="41" a="1"/>
  <c r="AF86" i="41" s="1"/>
  <c r="AF85" i="41" a="1"/>
  <c r="AF85" i="41" s="1"/>
  <c r="T86" i="41" a="1"/>
  <c r="T86" i="41" s="1"/>
  <c r="T85" i="41" a="1"/>
  <c r="T85" i="41" s="1"/>
  <c r="AI85" i="41" a="1"/>
  <c r="AI85" i="41" s="1"/>
  <c r="AI86" i="41" a="1"/>
  <c r="AI86" i="41" s="1"/>
  <c r="W85" i="41" a="1"/>
  <c r="W85" i="41" s="1"/>
  <c r="W86" i="41" a="1"/>
  <c r="W86" i="41" s="1"/>
  <c r="AL83" i="41" a="1"/>
  <c r="AL83" i="41" s="1"/>
  <c r="AL82" i="41" a="1"/>
  <c r="AL82" i="41" s="1"/>
  <c r="Z83" i="41" a="1"/>
  <c r="Z83" i="41" s="1"/>
  <c r="Z82" i="41" a="1"/>
  <c r="Z82" i="41" s="1"/>
  <c r="AK82" i="41" a="1"/>
  <c r="AK82" i="41" s="1"/>
  <c r="AK83" i="41" a="1"/>
  <c r="AK83" i="41" s="1"/>
  <c r="AC82" i="41" a="1"/>
  <c r="AC82" i="41" s="1"/>
  <c r="AC83" i="41" a="1"/>
  <c r="AC83" i="41" s="1"/>
  <c r="AP80" i="41" a="1"/>
  <c r="AP80" i="41" s="1"/>
  <c r="AP79" i="41" a="1"/>
  <c r="AP79" i="41" s="1"/>
  <c r="AF80" i="41" a="1"/>
  <c r="AF80" i="41" s="1"/>
  <c r="AF79" i="41" a="1"/>
  <c r="AF79" i="41" s="1"/>
  <c r="AS79" i="41" a="1"/>
  <c r="AS79" i="41" s="1"/>
  <c r="AS80" i="41" a="1"/>
  <c r="AS80" i="41" s="1"/>
  <c r="AI79" i="41" a="1"/>
  <c r="AI79" i="41" s="1"/>
  <c r="AI80" i="41" a="1"/>
  <c r="AI80" i="41" s="1"/>
  <c r="K79" i="41" a="1"/>
  <c r="K79" i="41" s="1"/>
  <c r="K80" i="41" a="1"/>
  <c r="K80" i="41" s="1"/>
  <c r="AL77" i="41" a="1"/>
  <c r="AL77" i="41" s="1"/>
  <c r="AL76" i="41" a="1"/>
  <c r="AL76" i="41" s="1"/>
  <c r="R77" i="41" a="1"/>
  <c r="R77" i="41" s="1"/>
  <c r="R76" i="41" a="1"/>
  <c r="R76" i="41" s="1"/>
  <c r="AQ76" i="41" a="1"/>
  <c r="AQ76" i="41" s="1"/>
  <c r="AQ77" i="41" a="1"/>
  <c r="AQ77" i="41" s="1"/>
  <c r="U76" i="41" a="1"/>
  <c r="U76" i="41" s="1"/>
  <c r="U77" i="41" a="1"/>
  <c r="U77" i="41" s="1"/>
  <c r="AT74" i="41" a="1"/>
  <c r="AT74" i="41" s="1"/>
  <c r="AT73" i="41" a="1"/>
  <c r="AT73" i="41" s="1"/>
  <c r="X74" i="41" a="1"/>
  <c r="X74" i="41" s="1"/>
  <c r="X73" i="41" a="1"/>
  <c r="X73" i="41" s="1"/>
  <c r="L74" i="41" a="1"/>
  <c r="L74" i="41" s="1"/>
  <c r="L73" i="41" a="1"/>
  <c r="L73" i="41" s="1"/>
  <c r="AE73" i="41" a="1"/>
  <c r="AE73" i="41" s="1"/>
  <c r="AE74" i="41" a="1"/>
  <c r="AE74" i="41" s="1"/>
  <c r="O73" i="41" a="1"/>
  <c r="O73" i="41" s="1"/>
  <c r="O74" i="41" a="1"/>
  <c r="O74" i="41" s="1"/>
  <c r="AH71" i="41" a="1"/>
  <c r="AH71" i="41" s="1"/>
  <c r="AH70" i="41" a="1"/>
  <c r="AH70" i="41" s="1"/>
  <c r="AP46" i="43" a="1"/>
  <c r="AP46" i="43" s="1"/>
  <c r="AP47" i="43" a="1"/>
  <c r="AP47" i="43" s="1"/>
  <c r="AB46" i="43" a="1"/>
  <c r="AB46" i="43" s="1"/>
  <c r="AB47" i="43" a="1"/>
  <c r="AB47" i="43" s="1"/>
  <c r="L46" i="43" a="1"/>
  <c r="L46" i="43" s="1"/>
  <c r="L47" i="43" a="1"/>
  <c r="L47" i="43" s="1"/>
  <c r="AI44" i="43" a="1"/>
  <c r="AI44" i="43" s="1"/>
  <c r="AE44" i="43" a="1"/>
  <c r="AE44" i="43" s="1"/>
  <c r="AA44" i="43" a="1"/>
  <c r="AA44" i="43" s="1"/>
  <c r="O44" i="43" a="1"/>
  <c r="O44" i="43" s="1"/>
  <c r="O43" i="43" a="1"/>
  <c r="O43" i="43" s="1"/>
  <c r="AL43" i="43" a="1"/>
  <c r="AL43" i="43" s="1"/>
  <c r="AL44" i="43" a="1"/>
  <c r="AL44" i="43" s="1"/>
  <c r="R43" i="43" a="1"/>
  <c r="R43" i="43" s="1"/>
  <c r="R44" i="43" a="1"/>
  <c r="R44" i="43" s="1"/>
  <c r="N43" i="43" a="1"/>
  <c r="N43" i="43" s="1"/>
  <c r="N44" i="43" a="1"/>
  <c r="N44" i="43" s="1"/>
  <c r="AQ41" i="43" a="1"/>
  <c r="AQ41" i="43" s="1"/>
  <c r="AQ39" i="43" s="1"/>
  <c r="AK41" i="43" a="1"/>
  <c r="AK41" i="43" s="1"/>
  <c r="AK40" i="43" a="1"/>
  <c r="AK40" i="43" s="1"/>
  <c r="Q41" i="43" a="1"/>
  <c r="Q41" i="43" s="1"/>
  <c r="M41" i="43" a="1"/>
  <c r="M41" i="43" s="1"/>
  <c r="AT40" i="43" a="1"/>
  <c r="AT40" i="43" s="1"/>
  <c r="AP40" i="43" a="1"/>
  <c r="AP40" i="43" s="1"/>
  <c r="AJ40" i="43" a="1"/>
  <c r="AJ40" i="43" s="1"/>
  <c r="AF40" i="43" a="1"/>
  <c r="AF40" i="43" s="1"/>
  <c r="AF41" i="43" a="1"/>
  <c r="AF41" i="43" s="1"/>
  <c r="AB40" i="43" a="1"/>
  <c r="AB40" i="43" s="1"/>
  <c r="AB41" i="43" a="1"/>
  <c r="AB41" i="43" s="1"/>
  <c r="X40" i="43" a="1"/>
  <c r="X40" i="43" s="1"/>
  <c r="T40" i="43" a="1"/>
  <c r="T40" i="43" s="1"/>
  <c r="P40" i="43" a="1"/>
  <c r="P40" i="43" s="1"/>
  <c r="AA38" i="43" a="1"/>
  <c r="AA38" i="43" s="1"/>
  <c r="AL38" i="43" a="1"/>
  <c r="AL38" i="43" s="1"/>
  <c r="AD38" i="43" a="1"/>
  <c r="AD38" i="43" s="1"/>
  <c r="N37" i="43" a="1"/>
  <c r="N37" i="43" s="1"/>
  <c r="AQ35" i="43" a="1"/>
  <c r="AQ35" i="43" s="1"/>
  <c r="Q35" i="43" a="1"/>
  <c r="Q35" i="43" s="1"/>
  <c r="AF35" i="43" a="1"/>
  <c r="AF35" i="43" s="1"/>
  <c r="T35" i="43" a="1"/>
  <c r="T35" i="43" s="1"/>
  <c r="AE32" i="43" a="1"/>
  <c r="AE32" i="43" s="1"/>
  <c r="AE31" i="43" a="1"/>
  <c r="AE31" i="43" s="1"/>
  <c r="V31" i="43" a="1"/>
  <c r="V31" i="43" s="1"/>
  <c r="M29" i="43" a="1"/>
  <c r="M29" i="43" s="1"/>
  <c r="AP29" i="43" a="1"/>
  <c r="AP29" i="43" s="1"/>
  <c r="AF29" i="43" a="1"/>
  <c r="AF29" i="43" s="1"/>
  <c r="P29" i="43" a="1"/>
  <c r="P29" i="43" s="1"/>
  <c r="AQ23" i="43" a="1"/>
  <c r="AQ23" i="43" s="1"/>
  <c r="AT23" i="43" a="1"/>
  <c r="AT23" i="43" s="1"/>
  <c r="L23" i="43" a="1"/>
  <c r="L23" i="43" s="1"/>
  <c r="T17" i="43" a="1"/>
  <c r="T17" i="43" s="1"/>
  <c r="N10" i="43" a="1"/>
  <c r="N10" i="43" s="1"/>
  <c r="AT104" i="41" a="1"/>
  <c r="AT104" i="41" s="1"/>
  <c r="U61" i="43" a="1"/>
  <c r="U61" i="43" s="1"/>
  <c r="U92" i="41" a="1"/>
  <c r="U92" i="41" s="1"/>
  <c r="AB62" i="43" a="1"/>
  <c r="AB62" i="43" s="1"/>
  <c r="AG16" i="41" a="1"/>
  <c r="AG16" i="41" s="1"/>
  <c r="Q16" i="41" a="1"/>
  <c r="Q16" i="41" s="1"/>
  <c r="Q17" i="41" a="1"/>
  <c r="Q17" i="41" s="1"/>
  <c r="AJ11" i="41" a="1"/>
  <c r="AJ11" i="41" s="1"/>
  <c r="X10" i="41" a="1"/>
  <c r="X10" i="41" s="1"/>
  <c r="X11" i="41" a="1"/>
  <c r="X11" i="41" s="1"/>
  <c r="T11" i="41" a="1"/>
  <c r="T11" i="41" s="1"/>
  <c r="J10" i="41" a="1"/>
  <c r="J10" i="41" s="1"/>
  <c r="M58" i="41"/>
  <c r="AQ52" i="41" a="1"/>
  <c r="AQ52" i="41" s="1"/>
  <c r="AH47" i="41" a="1"/>
  <c r="AH47" i="41" s="1"/>
  <c r="AR43" i="41" a="1"/>
  <c r="AR43" i="41" s="1"/>
  <c r="AR44" i="41" a="1"/>
  <c r="AR44" i="41" s="1"/>
  <c r="AD44" i="41" a="1"/>
  <c r="AD44" i="41" s="1"/>
  <c r="U62" i="46" a="1"/>
  <c r="U62" i="46" s="1"/>
  <c r="U68" i="43" a="1"/>
  <c r="U68" i="43" s="1"/>
  <c r="AB52" i="46" a="1"/>
  <c r="AB52" i="46" s="1"/>
  <c r="AB53" i="46" a="1"/>
  <c r="AB53" i="46" s="1"/>
  <c r="AC43" i="41" a="1"/>
  <c r="AC43" i="41" s="1"/>
  <c r="AF38" i="41" a="1"/>
  <c r="AF38" i="41" s="1"/>
  <c r="AF37" i="41" a="1"/>
  <c r="AF37" i="41" s="1"/>
  <c r="AE37" i="41" a="1"/>
  <c r="AE37" i="41" s="1"/>
  <c r="AE38" i="41" a="1"/>
  <c r="AE38" i="41" s="1"/>
  <c r="AR35" i="41" a="1"/>
  <c r="AR35" i="41" s="1"/>
  <c r="AR34" i="41" a="1"/>
  <c r="AR34" i="41" s="1"/>
  <c r="AK34" i="41" a="1"/>
  <c r="AK34" i="41" s="1"/>
  <c r="AK35" i="41" a="1"/>
  <c r="AK35" i="41" s="1"/>
  <c r="AT32" i="41" a="1"/>
  <c r="AT32" i="41" s="1"/>
  <c r="AT31" i="41" a="1"/>
  <c r="AT31" i="41" s="1"/>
  <c r="P32" i="41" a="1"/>
  <c r="P32" i="41" s="1"/>
  <c r="P31" i="41" a="1"/>
  <c r="P31" i="41" s="1"/>
  <c r="O31" i="41" a="1"/>
  <c r="O31" i="41" s="1"/>
  <c r="O32" i="41" a="1"/>
  <c r="O32" i="41" s="1"/>
  <c r="AH58" i="43" a="1"/>
  <c r="AH58" i="43" s="1"/>
  <c r="AH59" i="43" a="1"/>
  <c r="AH59" i="43" s="1"/>
  <c r="AD58" i="43" a="1"/>
  <c r="AD58" i="43" s="1"/>
  <c r="AD59" i="43" a="1"/>
  <c r="AD59" i="43" s="1"/>
  <c r="Z58" i="43" a="1"/>
  <c r="Z58" i="43" s="1"/>
  <c r="Z59" i="43" a="1"/>
  <c r="Z59" i="43" s="1"/>
  <c r="V58" i="43" a="1"/>
  <c r="V58" i="43" s="1"/>
  <c r="V59" i="43" a="1"/>
  <c r="V59" i="43" s="1"/>
  <c r="R58" i="43" a="1"/>
  <c r="R58" i="43" s="1"/>
  <c r="R59" i="43" a="1"/>
  <c r="R59" i="43" s="1"/>
  <c r="N58" i="43" a="1"/>
  <c r="N58" i="43" s="1"/>
  <c r="N59" i="43" a="1"/>
  <c r="N59" i="43" s="1"/>
  <c r="J58" i="43" a="1"/>
  <c r="J58" i="43" s="1"/>
  <c r="J59" i="43" a="1"/>
  <c r="J59" i="43" s="1"/>
  <c r="AC56" i="43" a="1"/>
  <c r="AC56" i="43" s="1"/>
  <c r="AC55" i="43" a="1"/>
  <c r="AC55" i="43" s="1"/>
  <c r="AT55" i="43" a="1"/>
  <c r="AT55" i="43" s="1"/>
  <c r="AT56" i="43" a="1"/>
  <c r="AT56" i="43" s="1"/>
  <c r="AP55" i="43" a="1"/>
  <c r="AP55" i="43" s="1"/>
  <c r="AP56" i="43" a="1"/>
  <c r="AP56" i="43" s="1"/>
  <c r="AJ55" i="43" a="1"/>
  <c r="AJ55" i="43" s="1"/>
  <c r="AJ56" i="43" a="1"/>
  <c r="AJ56" i="43" s="1"/>
  <c r="AF55" i="43" a="1"/>
  <c r="AF55" i="43" s="1"/>
  <c r="AF56" i="43" a="1"/>
  <c r="AF56" i="43" s="1"/>
  <c r="AB55" i="43" a="1"/>
  <c r="AB55" i="43" s="1"/>
  <c r="AB56" i="43" a="1"/>
  <c r="AB56" i="43" s="1"/>
  <c r="X55" i="43" a="1"/>
  <c r="X55" i="43" s="1"/>
  <c r="X56" i="43" a="1"/>
  <c r="X56" i="43" s="1"/>
  <c r="T55" i="43" a="1"/>
  <c r="T55" i="43" s="1"/>
  <c r="T56" i="43" a="1"/>
  <c r="T56" i="43" s="1"/>
  <c r="P55" i="43" a="1"/>
  <c r="P55" i="43" s="1"/>
  <c r="P56" i="43" a="1"/>
  <c r="P56" i="43" s="1"/>
  <c r="L55" i="43" a="1"/>
  <c r="L55" i="43" s="1"/>
  <c r="L56" i="43" a="1"/>
  <c r="L56" i="43" s="1"/>
  <c r="AM53" i="43" a="1"/>
  <c r="AM53" i="43" s="1"/>
  <c r="AM52" i="43" a="1"/>
  <c r="AM52" i="43" s="1"/>
  <c r="W53" i="43" a="1"/>
  <c r="W53" i="43" s="1"/>
  <c r="W52" i="43" a="1"/>
  <c r="W52" i="43" s="1"/>
  <c r="Z52" i="43" a="1"/>
  <c r="Z52" i="43" s="1"/>
  <c r="V52" i="43" a="1"/>
  <c r="V52" i="43" s="1"/>
  <c r="V53" i="43" a="1"/>
  <c r="V53" i="43" s="1"/>
  <c r="U50" i="43" a="1"/>
  <c r="U50" i="43" s="1"/>
  <c r="U49" i="43" a="1"/>
  <c r="U49" i="43" s="1"/>
  <c r="AT49" i="43" a="1"/>
  <c r="AT49" i="43" s="1"/>
  <c r="AT50" i="43" a="1"/>
  <c r="AT50" i="43" s="1"/>
  <c r="X49" i="43" a="1"/>
  <c r="X49" i="43" s="1"/>
  <c r="X50" i="43" a="1"/>
  <c r="X50" i="43" s="1"/>
  <c r="T49" i="43" a="1"/>
  <c r="T49" i="43" s="1"/>
  <c r="AI47" i="43" a="1"/>
  <c r="AI47" i="43" s="1"/>
  <c r="AI46" i="43" a="1"/>
  <c r="AI46" i="43" s="1"/>
  <c r="AR46" i="43" a="1"/>
  <c r="AR46" i="43" s="1"/>
  <c r="AR47" i="43" a="1"/>
  <c r="AR47" i="43" s="1"/>
  <c r="AL46" i="43" a="1"/>
  <c r="AL46" i="43" s="1"/>
  <c r="AL47" i="43" a="1"/>
  <c r="AL47" i="43" s="1"/>
  <c r="AH46" i="43" a="1"/>
  <c r="AH46" i="43" s="1"/>
  <c r="J46" i="43" a="1"/>
  <c r="J46" i="43" s="1"/>
  <c r="J47" i="43" a="1"/>
  <c r="J47" i="43" s="1"/>
  <c r="AK44" i="43" a="1"/>
  <c r="AK44" i="43" s="1"/>
  <c r="AK43" i="43" a="1"/>
  <c r="AK43" i="43" s="1"/>
  <c r="AG44" i="43" a="1"/>
  <c r="AG44" i="43" s="1"/>
  <c r="AG43" i="43" a="1"/>
  <c r="AG43" i="43" s="1"/>
  <c r="AC44" i="43" a="1"/>
  <c r="AC44" i="43" s="1"/>
  <c r="AC43" i="43" a="1"/>
  <c r="AC43" i="43" s="1"/>
  <c r="Y44" i="43" a="1"/>
  <c r="Y44" i="43" s="1"/>
  <c r="Y43" i="43" a="1"/>
  <c r="Y43" i="43" s="1"/>
  <c r="U44" i="43" a="1"/>
  <c r="U44" i="43" s="1"/>
  <c r="Q44" i="43" a="1"/>
  <c r="Q44" i="43" s="1"/>
  <c r="M44" i="43" a="1"/>
  <c r="M44" i="43" s="1"/>
  <c r="M43" i="43" a="1"/>
  <c r="M43" i="43" s="1"/>
  <c r="X43" i="43" a="1"/>
  <c r="X43" i="43" s="1"/>
  <c r="X44" i="43" a="1"/>
  <c r="X44" i="43" s="1"/>
  <c r="T43" i="43" a="1"/>
  <c r="T43" i="43" s="1"/>
  <c r="AS41" i="43" a="1"/>
  <c r="AS41" i="43" s="1"/>
  <c r="AS40" i="43" a="1"/>
  <c r="AS40" i="43" s="1"/>
  <c r="AM41" i="43" a="1"/>
  <c r="AM41" i="43" s="1"/>
  <c r="AM40" i="43" a="1"/>
  <c r="AM40" i="43" s="1"/>
  <c r="AI41" i="43" a="1"/>
  <c r="AI41" i="43" s="1"/>
  <c r="AI40" i="43" a="1"/>
  <c r="AI40" i="43" s="1"/>
  <c r="AE41" i="43" a="1"/>
  <c r="AE41" i="43" s="1"/>
  <c r="AE40" i="43" a="1"/>
  <c r="AE40" i="43" s="1"/>
  <c r="AA41" i="43" a="1"/>
  <c r="AA41" i="43" s="1"/>
  <c r="W41" i="43" a="1"/>
  <c r="W41" i="43" s="1"/>
  <c r="W40" i="43" a="1"/>
  <c r="W40" i="43" s="1"/>
  <c r="AL40" i="43" a="1"/>
  <c r="AL40" i="43" s="1"/>
  <c r="AL41" i="43" a="1"/>
  <c r="AL41" i="43" s="1"/>
  <c r="AH40" i="43" a="1"/>
  <c r="AH40" i="43" s="1"/>
  <c r="N40" i="43" a="1"/>
  <c r="N40" i="43" s="1"/>
  <c r="N41" i="43" a="1"/>
  <c r="N41" i="43" s="1"/>
  <c r="J40" i="43" a="1"/>
  <c r="J40" i="43" s="1"/>
  <c r="J41" i="43" a="1"/>
  <c r="J41" i="43" s="1"/>
  <c r="AQ38" i="43" a="1"/>
  <c r="AQ38" i="43" s="1"/>
  <c r="AQ37" i="43" a="1"/>
  <c r="AQ37" i="43" s="1"/>
  <c r="AK38" i="43" a="1"/>
  <c r="AK38" i="43" s="1"/>
  <c r="AK37" i="43" a="1"/>
  <c r="AK37" i="43" s="1"/>
  <c r="U38" i="43" a="1"/>
  <c r="U38" i="43" s="1"/>
  <c r="U37" i="43" a="1"/>
  <c r="U37" i="43" s="1"/>
  <c r="AJ37" i="43" a="1"/>
  <c r="AJ37" i="43" s="1"/>
  <c r="AJ38" i="43" a="1"/>
  <c r="AJ38" i="43" s="1"/>
  <c r="AB37" i="43" a="1"/>
  <c r="AB37" i="43" s="1"/>
  <c r="AB38" i="43" a="1"/>
  <c r="AB38" i="43" s="1"/>
  <c r="X37" i="43" a="1"/>
  <c r="X37" i="43" s="1"/>
  <c r="T37" i="43" a="1"/>
  <c r="T37" i="43" s="1"/>
  <c r="T38" i="43" a="1"/>
  <c r="T38" i="43" s="1"/>
  <c r="AS35" i="43" a="1"/>
  <c r="AS35" i="43" s="1"/>
  <c r="AS34" i="43" a="1"/>
  <c r="AS34" i="43" s="1"/>
  <c r="AE35" i="43" a="1"/>
  <c r="AE35" i="43" s="1"/>
  <c r="AE34" i="43" a="1"/>
  <c r="AE34" i="43" s="1"/>
  <c r="W35" i="43" a="1"/>
  <c r="W35" i="43" s="1"/>
  <c r="W34" i="43" a="1"/>
  <c r="W34" i="43" s="1"/>
  <c r="S35" i="43" a="1"/>
  <c r="S35" i="43" s="1"/>
  <c r="S34" i="43" a="1"/>
  <c r="S34" i="43" s="1"/>
  <c r="K35" i="43" a="1"/>
  <c r="K35" i="43" s="1"/>
  <c r="K34" i="43" a="1"/>
  <c r="K34" i="43" s="1"/>
  <c r="AL34" i="43" a="1"/>
  <c r="AL34" i="43" s="1"/>
  <c r="AH34" i="43" a="1"/>
  <c r="AH34" i="43" s="1"/>
  <c r="AH35" i="43" a="1"/>
  <c r="AH35" i="43" s="1"/>
  <c r="AD34" i="43" a="1"/>
  <c r="AD34" i="43" s="1"/>
  <c r="AD35" i="43" a="1"/>
  <c r="AD35" i="43" s="1"/>
  <c r="J34" i="43" a="1"/>
  <c r="J34" i="43" s="1"/>
  <c r="AG32" i="43" a="1"/>
  <c r="AG32" i="43" s="1"/>
  <c r="AG31" i="43" a="1"/>
  <c r="AG31" i="43" s="1"/>
  <c r="U32" i="43" a="1"/>
  <c r="U32" i="43" s="1"/>
  <c r="U31" i="43" a="1"/>
  <c r="U31" i="43" s="1"/>
  <c r="M32" i="43" a="1"/>
  <c r="M32" i="43" s="1"/>
  <c r="M31" i="43" a="1"/>
  <c r="M31" i="43" s="1"/>
  <c r="AT31" i="43" a="1"/>
  <c r="AT31" i="43" s="1"/>
  <c r="AT32" i="43" a="1"/>
  <c r="AT32" i="43" s="1"/>
  <c r="X31" i="43" a="1"/>
  <c r="X31" i="43" s="1"/>
  <c r="X30" i="43" s="1"/>
  <c r="T31" i="43" a="1"/>
  <c r="T31" i="43" s="1"/>
  <c r="T32" i="43" a="1"/>
  <c r="T32" i="43" s="1"/>
  <c r="AI29" i="43" a="1"/>
  <c r="AI29" i="43" s="1"/>
  <c r="AI28" i="43" a="1"/>
  <c r="AI28" i="43" s="1"/>
  <c r="W29" i="43" a="1"/>
  <c r="W29" i="43" s="1"/>
  <c r="W28" i="43" a="1"/>
  <c r="W28" i="43" s="1"/>
  <c r="S29" i="43" a="1"/>
  <c r="S29" i="43" s="1"/>
  <c r="S28" i="43" a="1"/>
  <c r="S28" i="43" s="1"/>
  <c r="AL28" i="43" a="1"/>
  <c r="AL28" i="43" s="1"/>
  <c r="AH28" i="43" a="1"/>
  <c r="AH28" i="43" s="1"/>
  <c r="AH29" i="43" a="1"/>
  <c r="AH29" i="43" s="1"/>
  <c r="N28" i="43" a="1"/>
  <c r="N28" i="43" s="1"/>
  <c r="J28" i="43" a="1"/>
  <c r="J28" i="43" s="1"/>
  <c r="J29" i="43" a="1"/>
  <c r="J29" i="43" s="1"/>
  <c r="AK26" i="43" a="1"/>
  <c r="AK26" i="43" s="1"/>
  <c r="AK25" i="43" a="1"/>
  <c r="AK25" i="43" s="1"/>
  <c r="AG26" i="43" a="1"/>
  <c r="AG26" i="43" s="1"/>
  <c r="AG25" i="43" a="1"/>
  <c r="AG25" i="43" s="1"/>
  <c r="Y26" i="43" a="1"/>
  <c r="Y26" i="43" s="1"/>
  <c r="Y25" i="43" a="1"/>
  <c r="Y25" i="43" s="1"/>
  <c r="U26" i="43" a="1"/>
  <c r="U26" i="43" s="1"/>
  <c r="U25" i="43" a="1"/>
  <c r="U25" i="43" s="1"/>
  <c r="AB25" i="43" a="1"/>
  <c r="AB25" i="43" s="1"/>
  <c r="T25" i="43" a="1"/>
  <c r="T25" i="43" s="1"/>
  <c r="T26" i="43" a="1"/>
  <c r="T26" i="43" s="1"/>
  <c r="P25" i="43" a="1"/>
  <c r="P25" i="43" s="1"/>
  <c r="P26" i="43" a="1"/>
  <c r="P26" i="43" s="1"/>
  <c r="AS23" i="43" a="1"/>
  <c r="AS23" i="43" s="1"/>
  <c r="AS22" i="43" a="1"/>
  <c r="AS22" i="43" s="1"/>
  <c r="AM23" i="43" a="1"/>
  <c r="AM23" i="43" s="1"/>
  <c r="AM22" i="43" a="1"/>
  <c r="AM22" i="43" s="1"/>
  <c r="AI23" i="43" a="1"/>
  <c r="AI23" i="43" s="1"/>
  <c r="AI22" i="43" a="1"/>
  <c r="AI22" i="43" s="1"/>
  <c r="AE23" i="43" a="1"/>
  <c r="AE23" i="43" s="1"/>
  <c r="AE22" i="43" a="1"/>
  <c r="AE22" i="43" s="1"/>
  <c r="AA23" i="43" a="1"/>
  <c r="AA23" i="43" s="1"/>
  <c r="AA22" i="43" a="1"/>
  <c r="AA22" i="43" s="1"/>
  <c r="W23" i="43" a="1"/>
  <c r="W23" i="43" s="1"/>
  <c r="W22" i="43" a="1"/>
  <c r="W22" i="43" s="1"/>
  <c r="S23" i="43" a="1"/>
  <c r="S23" i="43" s="1"/>
  <c r="S22" i="43" a="1"/>
  <c r="S22" i="43" s="1"/>
  <c r="O23" i="43" a="1"/>
  <c r="O23" i="43" s="1"/>
  <c r="O22" i="43" a="1"/>
  <c r="O22" i="43" s="1"/>
  <c r="K23" i="43" a="1"/>
  <c r="K23" i="43" s="1"/>
  <c r="K22" i="43" a="1"/>
  <c r="K22" i="43" s="1"/>
  <c r="AR22" i="43" a="1"/>
  <c r="AR22" i="43" s="1"/>
  <c r="AR23" i="43" a="1"/>
  <c r="AR23" i="43" s="1"/>
  <c r="AL22" i="43" a="1"/>
  <c r="AL22" i="43" s="1"/>
  <c r="AH22" i="43" a="1"/>
  <c r="AH22" i="43" s="1"/>
  <c r="AH23" i="43" a="1"/>
  <c r="AH23" i="43" s="1"/>
  <c r="Z22" i="43" a="1"/>
  <c r="Z22" i="43" s="1"/>
  <c r="Z23" i="43" a="1"/>
  <c r="Z23" i="43" s="1"/>
  <c r="V22" i="43" a="1"/>
  <c r="V22" i="43" s="1"/>
  <c r="J22" i="43" a="1"/>
  <c r="J22" i="43" s="1"/>
  <c r="Y20" i="43" a="1"/>
  <c r="Y20" i="43" s="1"/>
  <c r="Y19" i="43" a="1"/>
  <c r="Y19" i="43" s="1"/>
  <c r="AT19" i="43" a="1"/>
  <c r="AT19" i="43" s="1"/>
  <c r="AT20" i="43" a="1"/>
  <c r="AT20" i="43" s="1"/>
  <c r="AP19" i="43" a="1"/>
  <c r="AP19" i="43" s="1"/>
  <c r="AP20" i="43" a="1"/>
  <c r="AP20" i="43" s="1"/>
  <c r="AJ19" i="43" a="1"/>
  <c r="AJ19" i="43" s="1"/>
  <c r="P19" i="43" a="1"/>
  <c r="P19" i="43" s="1"/>
  <c r="P20" i="43" a="1"/>
  <c r="P20" i="43" s="1"/>
  <c r="W17" i="43" a="1"/>
  <c r="W17" i="43" s="1"/>
  <c r="W16" i="43" a="1"/>
  <c r="W16" i="43" s="1"/>
  <c r="V16" i="43" a="1"/>
  <c r="V16" i="43" s="1"/>
  <c r="AG11" i="43" a="1"/>
  <c r="AG11" i="43" s="1"/>
  <c r="AG10" i="43" a="1"/>
  <c r="AG10" i="43" s="1"/>
  <c r="AP10" i="43" a="1"/>
  <c r="AP10" i="43" s="1"/>
  <c r="AR19" i="41" a="1"/>
  <c r="AR19" i="41" s="1"/>
  <c r="AR20" i="41" a="1"/>
  <c r="AR20" i="41" s="1"/>
  <c r="N19" i="41" a="1"/>
  <c r="N19" i="41" s="1"/>
  <c r="N20" i="41" a="1"/>
  <c r="N20" i="41" s="1"/>
  <c r="U17" i="41" a="1"/>
  <c r="U17" i="41" s="1"/>
  <c r="AB16" i="41" a="1"/>
  <c r="AB16" i="41" s="1"/>
  <c r="AB17" i="41" a="1"/>
  <c r="AB17" i="41" s="1"/>
  <c r="AR10" i="41" a="1"/>
  <c r="AR10" i="41" s="1"/>
  <c r="AR11" i="41" a="1"/>
  <c r="AR11" i="41" s="1"/>
  <c r="V10" i="41" a="1"/>
  <c r="V10" i="41" s="1"/>
  <c r="V11" i="41" a="1"/>
  <c r="V11" i="41" s="1"/>
  <c r="AS61" i="43" a="1"/>
  <c r="AS61" i="43" s="1"/>
  <c r="AI61" i="43" a="1"/>
  <c r="AI61" i="43" s="1"/>
  <c r="AI62" i="43" a="1"/>
  <c r="AI62" i="43" s="1"/>
  <c r="AA61" i="43" a="1"/>
  <c r="AA61" i="43" s="1"/>
  <c r="AA60" i="43" s="1"/>
  <c r="W61" i="43" a="1"/>
  <c r="W61" i="43" s="1"/>
  <c r="S61" i="43" a="1"/>
  <c r="S61" i="43" s="1"/>
  <c r="S62" i="43"/>
  <c r="K61" i="43" a="1"/>
  <c r="K61" i="43" s="1"/>
  <c r="K62" i="43" a="1"/>
  <c r="K62" i="43" s="1"/>
  <c r="AL59" i="43" a="1"/>
  <c r="AL59" i="43" s="1"/>
  <c r="AL58" i="43" a="1"/>
  <c r="AL58" i="43" s="1"/>
  <c r="AQ58" i="43" a="1"/>
  <c r="AQ58" i="43" s="1"/>
  <c r="AQ57" i="43" s="1"/>
  <c r="AK58" i="43" a="1"/>
  <c r="AK58" i="43" s="1"/>
  <c r="AK59" i="43" a="1"/>
  <c r="AK59" i="43" s="1"/>
  <c r="AG58" i="43" a="1"/>
  <c r="AG58" i="43" s="1"/>
  <c r="Y58" i="43" a="1"/>
  <c r="Y58" i="43" s="1"/>
  <c r="Y59" i="43"/>
  <c r="U58" i="43" a="1"/>
  <c r="U58" i="43" s="1"/>
  <c r="U59" i="43" a="1"/>
  <c r="U59" i="43" s="1"/>
  <c r="Q58" i="43" a="1"/>
  <c r="Q58" i="43" s="1"/>
  <c r="M58" i="43" a="1"/>
  <c r="M58" i="43" s="1"/>
  <c r="AM55" i="43" a="1"/>
  <c r="AM55" i="43" s="1"/>
  <c r="AM56" i="43" a="1"/>
  <c r="AM56" i="43" s="1"/>
  <c r="AE55" i="43" a="1"/>
  <c r="AE55" i="43" s="1"/>
  <c r="AA55" i="43" a="1"/>
  <c r="AA55" i="43" s="1"/>
  <c r="AA54" i="43" s="1"/>
  <c r="O55" i="43" a="1"/>
  <c r="O55" i="43" s="1"/>
  <c r="O56" i="43" a="1"/>
  <c r="O56" i="43" s="1"/>
  <c r="AE49" i="43" a="1"/>
  <c r="AE49" i="43" s="1"/>
  <c r="AE43" i="43" a="1"/>
  <c r="AE43" i="43" s="1"/>
  <c r="M40" i="43" a="1"/>
  <c r="M40" i="43" s="1"/>
  <c r="AA37" i="43" a="1"/>
  <c r="AA37" i="43" s="1"/>
  <c r="AQ34" i="43" a="1"/>
  <c r="AQ34" i="43" s="1"/>
  <c r="M34" i="43" a="1"/>
  <c r="M34" i="43" s="1"/>
  <c r="M35" i="43"/>
  <c r="AA31" i="43" a="1"/>
  <c r="AA31" i="43" s="1"/>
  <c r="AA32" i="43"/>
  <c r="AQ28" i="43" a="1"/>
  <c r="AQ28" i="43" s="1"/>
  <c r="M28" i="43" a="1"/>
  <c r="M28" i="43" s="1"/>
  <c r="AA25" i="43" a="1"/>
  <c r="AA25" i="43" s="1"/>
  <c r="AA24" i="43" s="1"/>
  <c r="AQ22" i="43" a="1"/>
  <c r="AQ22" i="43" s="1"/>
  <c r="AQ16" i="43" a="1"/>
  <c r="AQ16" i="43" s="1"/>
  <c r="AQ17" i="43" a="1"/>
  <c r="AQ17" i="43" s="1"/>
  <c r="AS10" i="43" a="1"/>
  <c r="AS10" i="43" s="1"/>
  <c r="AS11" i="43" a="1"/>
  <c r="AS11" i="43" s="1"/>
  <c r="V104" i="41" a="1"/>
  <c r="V104" i="41" s="1"/>
  <c r="V103" i="41" a="1"/>
  <c r="V103" i="41" s="1"/>
  <c r="AS16" i="43" a="1"/>
  <c r="AS16" i="43" s="1"/>
  <c r="AS15" i="43" s="1"/>
  <c r="W53" i="41" a="1"/>
  <c r="W53" i="41" s="1"/>
  <c r="W52" i="41" a="1"/>
  <c r="W52" i="41" s="1"/>
  <c r="Z52" i="41" a="1"/>
  <c r="Z52" i="41" s="1"/>
  <c r="Z53" i="41" a="1"/>
  <c r="Z53" i="41" s="1"/>
  <c r="AB49" i="41" a="1"/>
  <c r="AB49" i="41" s="1"/>
  <c r="AB50" i="41"/>
  <c r="AE47" i="41" a="1"/>
  <c r="AE47" i="41" s="1"/>
  <c r="AE46" i="41" a="1"/>
  <c r="AE46" i="41" s="1"/>
  <c r="AH46" i="41" a="1"/>
  <c r="AH46" i="41" s="1"/>
  <c r="N101" i="41" a="1"/>
  <c r="N101" i="41" s="1"/>
  <c r="N100" i="41" a="1"/>
  <c r="N100" i="41" s="1"/>
  <c r="Q100" i="41" a="1"/>
  <c r="Q100" i="41" s="1"/>
  <c r="Q101" i="41" a="1"/>
  <c r="Q101" i="41" s="1"/>
  <c r="T98" i="41" a="1"/>
  <c r="T98" i="41" s="1"/>
  <c r="T97" i="41" a="1"/>
  <c r="T97" i="41" s="1"/>
  <c r="W97" i="41" a="1"/>
  <c r="W97" i="41" s="1"/>
  <c r="W98" i="41" a="1"/>
  <c r="W98" i="41" s="1"/>
  <c r="N95" i="41" a="1"/>
  <c r="N95" i="41" s="1"/>
  <c r="N94" i="41" a="1"/>
  <c r="N94" i="41" s="1"/>
  <c r="Q94" i="41" a="1"/>
  <c r="Q94" i="41" s="1"/>
  <c r="Q95" i="41" a="1"/>
  <c r="Q95" i="41" s="1"/>
  <c r="T92" i="41" a="1"/>
  <c r="T92" i="41" s="1"/>
  <c r="T91" i="41" a="1"/>
  <c r="T91" i="41" s="1"/>
  <c r="W91" i="41" a="1"/>
  <c r="W91" i="41" s="1"/>
  <c r="W92" i="41" a="1"/>
  <c r="W92" i="41" s="1"/>
  <c r="AD89" i="41" a="1"/>
  <c r="AD89" i="41" s="1"/>
  <c r="AD88" i="41" a="1"/>
  <c r="AD88" i="41" s="1"/>
  <c r="AG88" i="41" a="1"/>
  <c r="AG88" i="41" s="1"/>
  <c r="AG89" i="41" a="1"/>
  <c r="AG89" i="41" s="1"/>
  <c r="AJ86" i="41" a="1"/>
  <c r="AJ86" i="41" s="1"/>
  <c r="AJ85" i="41" a="1"/>
  <c r="AJ85" i="41" s="1"/>
  <c r="AM85" i="41" a="1"/>
  <c r="AM85" i="41" s="1"/>
  <c r="AM86" i="41" a="1"/>
  <c r="AM86" i="41" s="1"/>
  <c r="AR83" i="41" a="1"/>
  <c r="AR83" i="41" s="1"/>
  <c r="AR82" i="41" a="1"/>
  <c r="AR82" i="41" s="1"/>
  <c r="J83" i="41" a="1"/>
  <c r="J83" i="41" s="1"/>
  <c r="J82" i="41" a="1"/>
  <c r="J82" i="41" s="1"/>
  <c r="M82" i="41" a="1"/>
  <c r="M82" i="41" s="1"/>
  <c r="M83" i="41" a="1"/>
  <c r="M83" i="41" s="1"/>
  <c r="P80" i="41" a="1"/>
  <c r="P80" i="41" s="1"/>
  <c r="P79" i="41" a="1"/>
  <c r="P79" i="41" s="1"/>
  <c r="S79" i="41" a="1"/>
  <c r="S79" i="41" s="1"/>
  <c r="S80" i="41" a="1"/>
  <c r="S80" i="41" s="1"/>
  <c r="Z77" i="41" a="1"/>
  <c r="Z77" i="41" s="1"/>
  <c r="Z76" i="41" a="1"/>
  <c r="Z76" i="41" s="1"/>
  <c r="AC76" i="41" a="1"/>
  <c r="AC76" i="41" s="1"/>
  <c r="AC77" i="41" a="1"/>
  <c r="AC77" i="41" s="1"/>
  <c r="AF74" i="41" a="1"/>
  <c r="AF74" i="41" s="1"/>
  <c r="AF73" i="41" a="1"/>
  <c r="AF73" i="41" s="1"/>
  <c r="AI73" i="41" a="1"/>
  <c r="AI73" i="41" s="1"/>
  <c r="AI74" i="41" a="1"/>
  <c r="AI74" i="41" s="1"/>
  <c r="AL71" i="41" a="1"/>
  <c r="AL71" i="41" s="1"/>
  <c r="AL70" i="41" a="1"/>
  <c r="AL70" i="41" s="1"/>
  <c r="M101" i="41" a="1"/>
  <c r="M101" i="41" s="1"/>
  <c r="M100" i="41" a="1"/>
  <c r="M100" i="41" s="1"/>
  <c r="AT100" i="41" a="1"/>
  <c r="AT100" i="41" s="1"/>
  <c r="AT101" i="41" a="1"/>
  <c r="AT101" i="41" s="1"/>
  <c r="AP100" i="41" a="1"/>
  <c r="AP100" i="41" s="1"/>
  <c r="AP101" i="41" a="1"/>
  <c r="AP101" i="41" s="1"/>
  <c r="AF100" i="41" a="1"/>
  <c r="AF100" i="41" s="1"/>
  <c r="AF101" i="41" a="1"/>
  <c r="AF101" i="41" s="1"/>
  <c r="AB100" i="41" a="1"/>
  <c r="AB100" i="41" s="1"/>
  <c r="AB101" i="41" a="1"/>
  <c r="AB101" i="41" s="1"/>
  <c r="X100" i="41" a="1"/>
  <c r="X100" i="41" s="1"/>
  <c r="X101" i="41" a="1"/>
  <c r="X101" i="41" s="1"/>
  <c r="T100" i="41" a="1"/>
  <c r="T100" i="41" s="1"/>
  <c r="T101" i="41" a="1"/>
  <c r="T101" i="41" s="1"/>
  <c r="P100" i="41" a="1"/>
  <c r="P100" i="41" s="1"/>
  <c r="P101" i="41" a="1"/>
  <c r="P101" i="41" s="1"/>
  <c r="L100" i="41" a="1"/>
  <c r="L100" i="41" s="1"/>
  <c r="L101" i="41" a="1"/>
  <c r="L101" i="41" s="1"/>
  <c r="AS98" i="41" a="1"/>
  <c r="AS98" i="41" s="1"/>
  <c r="AS97" i="41" a="1"/>
  <c r="AS97" i="41" s="1"/>
  <c r="AM98" i="41" a="1"/>
  <c r="AM98" i="41" s="1"/>
  <c r="AM97" i="41" a="1"/>
  <c r="AM97" i="41" s="1"/>
  <c r="S98" i="41" a="1"/>
  <c r="S98" i="41" s="1"/>
  <c r="S97" i="41" a="1"/>
  <c r="S97" i="41" s="1"/>
  <c r="O98" i="41" a="1"/>
  <c r="O98" i="41" s="1"/>
  <c r="O97" i="41" a="1"/>
  <c r="O97" i="41" s="1"/>
  <c r="AR97" i="41" a="1"/>
  <c r="AR97" i="41" s="1"/>
  <c r="AR98" i="41" a="1"/>
  <c r="AR98" i="41" s="1"/>
  <c r="AL97" i="41" a="1"/>
  <c r="AL97" i="41" s="1"/>
  <c r="AL98" i="41" a="1"/>
  <c r="AL98" i="41" s="1"/>
  <c r="AH97" i="41" a="1"/>
  <c r="AH97" i="41" s="1"/>
  <c r="AH98" i="41" a="1"/>
  <c r="AH98" i="41" s="1"/>
  <c r="AD97" i="41" a="1"/>
  <c r="AD97" i="41" s="1"/>
  <c r="AD98" i="41" a="1"/>
  <c r="AD98" i="41" s="1"/>
  <c r="Z97" i="41" a="1"/>
  <c r="Z97" i="41" s="1"/>
  <c r="Z98" i="41" a="1"/>
  <c r="Z98" i="41" s="1"/>
  <c r="V97" i="41" a="1"/>
  <c r="V97" i="41" s="1"/>
  <c r="V98" i="41" a="1"/>
  <c r="V98" i="41" s="1"/>
  <c r="R97" i="41" a="1"/>
  <c r="R97" i="41" s="1"/>
  <c r="R98" i="41" a="1"/>
  <c r="R98" i="41" s="1"/>
  <c r="N97" i="41" a="1"/>
  <c r="N97" i="41" s="1"/>
  <c r="N98" i="41" a="1"/>
  <c r="N98" i="41" s="1"/>
  <c r="J97" i="41" a="1"/>
  <c r="J97" i="41" s="1"/>
  <c r="J98" i="41" a="1"/>
  <c r="J98" i="41" s="1"/>
  <c r="AG95" i="41" a="1"/>
  <c r="AG95" i="41" s="1"/>
  <c r="AG94" i="41" a="1"/>
  <c r="AG94" i="41" s="1"/>
  <c r="AC95" i="41" a="1"/>
  <c r="AC95" i="41" s="1"/>
  <c r="AC94" i="41" a="1"/>
  <c r="AC94" i="41" s="1"/>
  <c r="AT94" i="41" a="1"/>
  <c r="AT94" i="41" s="1"/>
  <c r="AT95" i="41" a="1"/>
  <c r="AT95" i="41" s="1"/>
  <c r="AP94" i="41" a="1"/>
  <c r="AP94" i="41" s="1"/>
  <c r="AP95" i="41" a="1"/>
  <c r="AP95" i="41" s="1"/>
  <c r="AJ94" i="41" a="1"/>
  <c r="AJ94" i="41" s="1"/>
  <c r="AJ95" i="41" a="1"/>
  <c r="AJ95" i="41" s="1"/>
  <c r="AF94" i="41" a="1"/>
  <c r="AF94" i="41" s="1"/>
  <c r="AF95" i="41" a="1"/>
  <c r="AF95" i="41" s="1"/>
  <c r="AB94" i="41" a="1"/>
  <c r="AB94" i="41" s="1"/>
  <c r="AB95" i="41" a="1"/>
  <c r="AB95" i="41" s="1"/>
  <c r="X94" i="41" a="1"/>
  <c r="X94" i="41" s="1"/>
  <c r="X95" i="41" a="1"/>
  <c r="X95" i="41" s="1"/>
  <c r="T94" i="41" a="1"/>
  <c r="T94" i="41" s="1"/>
  <c r="T95" i="41" a="1"/>
  <c r="T95" i="41" s="1"/>
  <c r="P94" i="41" a="1"/>
  <c r="P94" i="41" s="1"/>
  <c r="P95" i="41" a="1"/>
  <c r="P95" i="41" s="1"/>
  <c r="L94" i="41" a="1"/>
  <c r="L94" i="41" s="1"/>
  <c r="L95" i="41" a="1"/>
  <c r="L95" i="41" s="1"/>
  <c r="AM92" i="41" a="1"/>
  <c r="AM92" i="41" s="1"/>
  <c r="AM91" i="41" a="1"/>
  <c r="AM91" i="41" s="1"/>
  <c r="AI92" i="41" a="1"/>
  <c r="AI92" i="41" s="1"/>
  <c r="AI91" i="41" a="1"/>
  <c r="AI91" i="41" s="1"/>
  <c r="K92" i="41" a="1"/>
  <c r="K92" i="41" s="1"/>
  <c r="K91" i="41" a="1"/>
  <c r="K91" i="41" s="1"/>
  <c r="AR91" i="41" a="1"/>
  <c r="AR91" i="41" s="1"/>
  <c r="AR92" i="41" a="1"/>
  <c r="AR92" i="41" s="1"/>
  <c r="AH91" i="41" a="1"/>
  <c r="AH91" i="41" s="1"/>
  <c r="AH92" i="41" a="1"/>
  <c r="AH92" i="41" s="1"/>
  <c r="AD91" i="41" a="1"/>
  <c r="AD91" i="41" s="1"/>
  <c r="AD90" i="41" s="1"/>
  <c r="V91" i="41" a="1"/>
  <c r="V91" i="41" s="1"/>
  <c r="R91" i="41" a="1"/>
  <c r="R91" i="41" s="1"/>
  <c r="J91" i="41" a="1"/>
  <c r="J91" i="41" s="1"/>
  <c r="J92" i="41" a="1"/>
  <c r="J92" i="41" s="1"/>
  <c r="AQ89" i="41" a="1"/>
  <c r="AQ89" i="41" s="1"/>
  <c r="AQ88" i="41" a="1"/>
  <c r="AQ88" i="41" s="1"/>
  <c r="Q89" i="41" a="1"/>
  <c r="Q89" i="41" s="1"/>
  <c r="Q88" i="41" a="1"/>
  <c r="Q88" i="41" s="1"/>
  <c r="M89" i="41" a="1"/>
  <c r="M89" i="41" s="1"/>
  <c r="M88" i="41" a="1"/>
  <c r="M88" i="41" s="1"/>
  <c r="AT88" i="41" a="1"/>
  <c r="AT88" i="41" s="1"/>
  <c r="AT87" i="41" s="1"/>
  <c r="AP88" i="41" a="1"/>
  <c r="AP88" i="41" s="1"/>
  <c r="AF88" i="41" a="1"/>
  <c r="AF88" i="41" s="1"/>
  <c r="AF89" i="41" a="1"/>
  <c r="AF89" i="41" s="1"/>
  <c r="AB88" i="41" a="1"/>
  <c r="AB88" i="41" s="1"/>
  <c r="AB89" i="41" a="1"/>
  <c r="AB89" i="41" s="1"/>
  <c r="T88" i="41" a="1"/>
  <c r="T88" i="41" s="1"/>
  <c r="T87" i="41" s="1"/>
  <c r="P88" i="41" a="1"/>
  <c r="P88" i="41" s="1"/>
  <c r="P87" i="41" s="1"/>
  <c r="AA86" i="41" a="1"/>
  <c r="AA86" i="41" s="1"/>
  <c r="AA85" i="41" a="1"/>
  <c r="AA85" i="41" s="1"/>
  <c r="O86" i="41" a="1"/>
  <c r="O86" i="41" s="1"/>
  <c r="O85" i="41" a="1"/>
  <c r="O85" i="41" s="1"/>
  <c r="K86" i="41" a="1"/>
  <c r="K86" i="41" s="1"/>
  <c r="K85" i="41" a="1"/>
  <c r="K85" i="41" s="1"/>
  <c r="AR85" i="41" a="1"/>
  <c r="AR85" i="41" s="1"/>
  <c r="AL85" i="41" a="1"/>
  <c r="AL85" i="41" s="1"/>
  <c r="AL84" i="41" s="1"/>
  <c r="Z85" i="41" a="1"/>
  <c r="Z85" i="41" s="1"/>
  <c r="Z86" i="41" a="1"/>
  <c r="Z86" i="41" s="1"/>
  <c r="R85" i="41" a="1"/>
  <c r="R85" i="41" s="1"/>
  <c r="N85" i="41" a="1"/>
  <c r="N85" i="41" s="1"/>
  <c r="N84" i="41" s="1"/>
  <c r="U83" i="41" a="1"/>
  <c r="U83" i="41" s="1"/>
  <c r="U82" i="41" a="1"/>
  <c r="U82" i="41" s="1"/>
  <c r="Q83" i="41" a="1"/>
  <c r="Q83" i="41" s="1"/>
  <c r="Q82" i="41" a="1"/>
  <c r="Q82" i="41" s="1"/>
  <c r="AP82" i="41" a="1"/>
  <c r="AP82" i="41" s="1"/>
  <c r="AJ82" i="41" a="1"/>
  <c r="AJ82" i="41" s="1"/>
  <c r="AJ81" i="41" s="1"/>
  <c r="AF82" i="41" a="1"/>
  <c r="AF82" i="41" s="1"/>
  <c r="AB82" i="41" a="1"/>
  <c r="AB82" i="41" s="1"/>
  <c r="AB83" i="41" a="1"/>
  <c r="AB83" i="41" s="1"/>
  <c r="X82" i="41" a="1"/>
  <c r="X82" i="41" s="1"/>
  <c r="X83" i="41" a="1"/>
  <c r="X83" i="41" s="1"/>
  <c r="P82" i="41" a="1"/>
  <c r="P82" i="41" s="1"/>
  <c r="L82" i="41" a="1"/>
  <c r="L82" i="41" s="1"/>
  <c r="L81" i="41" s="1"/>
  <c r="AM80" i="41" a="1"/>
  <c r="AM80" i="41" s="1"/>
  <c r="AM79" i="41" a="1"/>
  <c r="AM79" i="41" s="1"/>
  <c r="AA80" i="41" a="1"/>
  <c r="AA80" i="41" s="1"/>
  <c r="AA79" i="41" a="1"/>
  <c r="AA79" i="41" s="1"/>
  <c r="W80" i="41" a="1"/>
  <c r="W80" i="41" s="1"/>
  <c r="W79" i="41" a="1"/>
  <c r="W79" i="41" s="1"/>
  <c r="AR79" i="41" a="1"/>
  <c r="AR79" i="41" s="1"/>
  <c r="AL79" i="41" a="1"/>
  <c r="AL79" i="41" s="1"/>
  <c r="AJ76" i="41" a="1"/>
  <c r="AJ76" i="41" s="1"/>
  <c r="AB76" i="41" a="1"/>
  <c r="AB76" i="41" s="1"/>
  <c r="T76" i="41" a="1"/>
  <c r="T76" i="41" s="1"/>
  <c r="P77" i="41" a="1"/>
  <c r="P77" i="41" s="1"/>
  <c r="AR73" i="41" a="1"/>
  <c r="AR73" i="41" s="1"/>
  <c r="V73" i="41" a="1"/>
  <c r="V73" i="41" s="1"/>
  <c r="AK70" i="41" a="1"/>
  <c r="AK70" i="41" s="1"/>
  <c r="AP70" i="41" a="1"/>
  <c r="AP70" i="41" s="1"/>
  <c r="P70" i="41" a="1"/>
  <c r="P70" i="41" s="1"/>
  <c r="W67" i="41" a="1"/>
  <c r="W67" i="41" s="1"/>
  <c r="AR67" i="41" a="1"/>
  <c r="AR67" i="41" s="1"/>
  <c r="N67" i="41" a="1"/>
  <c r="N67" i="41" s="1"/>
  <c r="AC64" i="41" a="1"/>
  <c r="AC64" i="41" s="1"/>
  <c r="AB64" i="41" a="1"/>
  <c r="AB64" i="41" s="1"/>
  <c r="AB65" i="41" a="1"/>
  <c r="AB65" i="41" s="1"/>
  <c r="AI61" i="41" a="1"/>
  <c r="AI61" i="41" s="1"/>
  <c r="O61" i="41" a="1"/>
  <c r="O61" i="41" s="1"/>
  <c r="N61" i="41" a="1"/>
  <c r="N61" i="41" s="1"/>
  <c r="AC59" i="41" a="1"/>
  <c r="AC59" i="41" s="1"/>
  <c r="AP58" i="41" a="1"/>
  <c r="AP58" i="41" s="1"/>
  <c r="AJ58" i="41" a="1"/>
  <c r="AJ58" i="41" s="1"/>
  <c r="AF58" i="41" a="1"/>
  <c r="AF58" i="41" s="1"/>
  <c r="T58" i="41" a="1"/>
  <c r="T58" i="41" s="1"/>
  <c r="P58" i="41" a="1"/>
  <c r="P58" i="41" s="1"/>
  <c r="P59" i="41" a="1"/>
  <c r="P59" i="41" s="1"/>
  <c r="AS56" i="41" a="1"/>
  <c r="AS56" i="41" s="1"/>
  <c r="AS55" i="41" a="1"/>
  <c r="AS55" i="41" s="1"/>
  <c r="AM56" i="41" a="1"/>
  <c r="AM56" i="41" s="1"/>
  <c r="AM55" i="41" a="1"/>
  <c r="AM55" i="41" s="1"/>
  <c r="Q53" i="41" a="1"/>
  <c r="Q53" i="41" s="1"/>
  <c r="Q52" i="41" a="1"/>
  <c r="Q52" i="41" s="1"/>
  <c r="M53" i="41" a="1"/>
  <c r="M53" i="41" s="1"/>
  <c r="M52" i="41" a="1"/>
  <c r="M52" i="41" s="1"/>
  <c r="AP52" i="41" a="1"/>
  <c r="AP52" i="41" s="1"/>
  <c r="V76" i="41" a="1"/>
  <c r="V76" i="41" s="1"/>
  <c r="AJ73" i="41" a="1"/>
  <c r="AJ73" i="41" s="1"/>
  <c r="AB73" i="41" a="1"/>
  <c r="AB73" i="41" s="1"/>
  <c r="AA71" i="41" a="1"/>
  <c r="AA71" i="41" s="1"/>
  <c r="AA70" i="41" a="1"/>
  <c r="AA70" i="41" s="1"/>
  <c r="AR70" i="41" a="1"/>
  <c r="AR70" i="41" s="1"/>
  <c r="AD59" i="41" a="1"/>
  <c r="AD59" i="41" s="1"/>
  <c r="V58" i="41" a="1"/>
  <c r="V58" i="41" s="1"/>
  <c r="R58" i="41" a="1"/>
  <c r="R58" i="41" s="1"/>
  <c r="R59" i="41" a="1"/>
  <c r="R59" i="41" s="1"/>
  <c r="N58" i="41" a="1"/>
  <c r="N58" i="41" s="1"/>
  <c r="Q56" i="41" a="1"/>
  <c r="Q56" i="41" s="1"/>
  <c r="AT55" i="41" a="1"/>
  <c r="AT55" i="41" s="1"/>
  <c r="AP55" i="41" a="1"/>
  <c r="AP55" i="41" s="1"/>
  <c r="AP56" i="41" a="1"/>
  <c r="AP56" i="41" s="1"/>
  <c r="AJ55" i="41" a="1"/>
  <c r="AJ55" i="41" s="1"/>
  <c r="AB55" i="41" a="1"/>
  <c r="AB55" i="41" s="1"/>
  <c r="X55" i="41" a="1"/>
  <c r="X55" i="41" s="1"/>
  <c r="X56" i="41" a="1"/>
  <c r="X56" i="41" s="1"/>
  <c r="T55" i="41" a="1"/>
  <c r="T55" i="41" s="1"/>
  <c r="T56" i="41" a="1"/>
  <c r="T56" i="41" s="1"/>
  <c r="AE53" i="41" a="1"/>
  <c r="AE53" i="41" s="1"/>
  <c r="AH52" i="41" a="1"/>
  <c r="AH52" i="41" s="1"/>
  <c r="AP49" i="41" a="1"/>
  <c r="AP49" i="41" s="1"/>
  <c r="AS47" i="41" a="1"/>
  <c r="AS47" i="41" s="1"/>
  <c r="AS46" i="41" a="1"/>
  <c r="AS46" i="41" s="1"/>
  <c r="S47" i="41" a="1"/>
  <c r="S47" i="41" s="1"/>
  <c r="V46" i="41" a="1"/>
  <c r="V46" i="41" s="1"/>
  <c r="V47" i="41" a="1"/>
  <c r="V47" i="41" s="1"/>
  <c r="R11" i="43" a="1"/>
  <c r="R11" i="43" s="1"/>
  <c r="K103" i="41" a="1"/>
  <c r="K103" i="41" s="1"/>
  <c r="K104" i="41" a="1"/>
  <c r="K104" i="41" s="1"/>
  <c r="AG100" i="41" a="1"/>
  <c r="AG100" i="41" s="1"/>
  <c r="AG101" i="41" a="1"/>
  <c r="AG101" i="41" s="1"/>
  <c r="AJ98" i="41" a="1"/>
  <c r="AJ98" i="41" s="1"/>
  <c r="Z95" i="41" a="1"/>
  <c r="Z95" i="41" s="1"/>
  <c r="AJ92" i="41" a="1"/>
  <c r="AJ92" i="41" s="1"/>
  <c r="N89" i="41" a="1"/>
  <c r="N89" i="41" s="1"/>
  <c r="L86" i="41" a="1"/>
  <c r="L86" i="41" s="1"/>
  <c r="N83" i="41" a="1"/>
  <c r="N83" i="41" s="1"/>
  <c r="T80" i="41" a="1"/>
  <c r="T80" i="41" s="1"/>
  <c r="V77" i="41" a="1"/>
  <c r="V77" i="41" s="1"/>
  <c r="AB74" i="41" a="1"/>
  <c r="AB74" i="41" s="1"/>
  <c r="AD71" i="41" a="1"/>
  <c r="AD71" i="41" s="1"/>
  <c r="R71" i="41" a="1"/>
  <c r="R71" i="41" s="1"/>
  <c r="N71" i="41" a="1"/>
  <c r="N71" i="41" s="1"/>
  <c r="J71" i="41" a="1"/>
  <c r="J71" i="41" s="1"/>
  <c r="AT68" i="41" a="1"/>
  <c r="AT68" i="41" s="1"/>
  <c r="AP68" i="41" a="1"/>
  <c r="AP68" i="41" s="1"/>
  <c r="AJ68" i="41" a="1"/>
  <c r="AJ68" i="41" s="1"/>
  <c r="AF68" i="41" a="1"/>
  <c r="AF68" i="41" s="1"/>
  <c r="AB68" i="41" a="1"/>
  <c r="AB68" i="41" s="1"/>
  <c r="X68" i="41" a="1"/>
  <c r="X68" i="41" s="1"/>
  <c r="T68" i="41" a="1"/>
  <c r="T68" i="41" s="1"/>
  <c r="P68" i="41" a="1"/>
  <c r="P68" i="41" s="1"/>
  <c r="L68" i="41" a="1"/>
  <c r="L68" i="41" s="1"/>
  <c r="N59" i="41" a="1"/>
  <c r="N59" i="41" s="1"/>
  <c r="AJ56" i="41" a="1"/>
  <c r="AJ56" i="41" s="1"/>
  <c r="J53" i="41" a="1"/>
  <c r="J53" i="41" s="1"/>
  <c r="J52" i="41" a="1"/>
  <c r="J52" i="41" s="1"/>
  <c r="P50" i="41" a="1"/>
  <c r="P50" i="41" s="1"/>
  <c r="AB44" i="41" a="1"/>
  <c r="AB44" i="41" s="1"/>
  <c r="AQ40" i="41" a="1"/>
  <c r="AQ40" i="41" s="1"/>
  <c r="M40" i="41" a="1"/>
  <c r="M40" i="41" s="1"/>
  <c r="L38" i="41" a="1"/>
  <c r="L38" i="41" s="1"/>
  <c r="S37" i="41" a="1"/>
  <c r="S37" i="41" s="1"/>
  <c r="Y34" i="41" a="1"/>
  <c r="Y34" i="41" s="1"/>
  <c r="AM31" i="41" a="1"/>
  <c r="AM31" i="41" s="1"/>
  <c r="S31" i="41" a="1"/>
  <c r="S31" i="41" s="1"/>
  <c r="AQ28" i="41" a="1"/>
  <c r="AQ28" i="41" s="1"/>
  <c r="AK28" i="41" a="1"/>
  <c r="AK28" i="41" s="1"/>
  <c r="AG28" i="41" a="1"/>
  <c r="AG28" i="41" s="1"/>
  <c r="AC28" i="41" a="1"/>
  <c r="AC28" i="41" s="1"/>
  <c r="Y28" i="41" a="1"/>
  <c r="Y28" i="41" s="1"/>
  <c r="U28" i="41" a="1"/>
  <c r="U28" i="41" s="1"/>
  <c r="Q28" i="41" a="1"/>
  <c r="Q28" i="41" s="1"/>
  <c r="M28" i="41" a="1"/>
  <c r="M28" i="41" s="1"/>
  <c r="AP26" i="41" a="1"/>
  <c r="AP26" i="41" s="1"/>
  <c r="AJ26" i="41" a="1"/>
  <c r="AJ26" i="41" s="1"/>
  <c r="AS25" i="41" a="1"/>
  <c r="AS25" i="41" s="1"/>
  <c r="AM25" i="41" a="1"/>
  <c r="AM25" i="41" s="1"/>
  <c r="AI25" i="41" a="1"/>
  <c r="AI25" i="41" s="1"/>
  <c r="AE25" i="41" a="1"/>
  <c r="AE25" i="41" s="1"/>
  <c r="AA25" i="41" a="1"/>
  <c r="AA25" i="41" s="1"/>
  <c r="W25" i="41" a="1"/>
  <c r="W25" i="41" s="1"/>
  <c r="S25" i="41" a="1"/>
  <c r="S25" i="41" s="1"/>
  <c r="O25" i="41" a="1"/>
  <c r="O25" i="41" s="1"/>
  <c r="K25" i="41" a="1"/>
  <c r="K25" i="41" s="1"/>
  <c r="AR23" i="41" a="1"/>
  <c r="AR23" i="41" s="1"/>
  <c r="N23" i="41" a="1"/>
  <c r="N23" i="41" s="1"/>
  <c r="J23" i="41" a="1"/>
  <c r="J23" i="41" s="1"/>
  <c r="AQ22" i="41" a="1"/>
  <c r="AQ22" i="41" s="1"/>
  <c r="AK22" i="41" a="1"/>
  <c r="AK22" i="41" s="1"/>
  <c r="AG22" i="41" a="1"/>
  <c r="AG22" i="41" s="1"/>
  <c r="AC22" i="41" a="1"/>
  <c r="AC22" i="41" s="1"/>
  <c r="Y22" i="41" a="1"/>
  <c r="Y22" i="41" s="1"/>
  <c r="U22" i="41" a="1"/>
  <c r="U22" i="41" s="1"/>
  <c r="Q22" i="41" a="1"/>
  <c r="Q22" i="41" s="1"/>
  <c r="M22" i="41" a="1"/>
  <c r="M22" i="41" s="1"/>
  <c r="AJ20" i="41" a="1"/>
  <c r="AJ20" i="41" s="1"/>
  <c r="AJ19" i="41" a="1"/>
  <c r="AJ19" i="41" s="1"/>
  <c r="AB20" i="41" a="1"/>
  <c r="AB20" i="41" s="1"/>
  <c r="P20" i="41" a="1"/>
  <c r="P20" i="41" s="1"/>
  <c r="AS19" i="41" a="1"/>
  <c r="AS19" i="41" s="1"/>
  <c r="AM19" i="41" a="1"/>
  <c r="AM19" i="41" s="1"/>
  <c r="AI19" i="41" a="1"/>
  <c r="AI19" i="41" s="1"/>
  <c r="AE19" i="41" a="1"/>
  <c r="AE19" i="41" s="1"/>
  <c r="AA19" i="41" a="1"/>
  <c r="AA19" i="41" s="1"/>
  <c r="AA20" i="41" a="1"/>
  <c r="AA20" i="41" s="1"/>
  <c r="S19" i="41" a="1"/>
  <c r="S19" i="41" s="1"/>
  <c r="Z17" i="41" a="1"/>
  <c r="Z17" i="41" s="1"/>
  <c r="V17" i="41" a="1"/>
  <c r="V17" i="41" s="1"/>
  <c r="AJ44" i="41" a="1"/>
  <c r="AJ44" i="41" s="1"/>
  <c r="AD43" i="41" a="1"/>
  <c r="AD43" i="41" s="1"/>
  <c r="M43" i="41" a="1"/>
  <c r="M43" i="41" s="1"/>
  <c r="V43" i="41" a="1"/>
  <c r="V43" i="41" s="1"/>
  <c r="V44" i="41" a="1"/>
  <c r="V44" i="41" s="1"/>
  <c r="R43" i="41" a="1"/>
  <c r="R43" i="41" s="1"/>
  <c r="R44" i="41" a="1"/>
  <c r="R44" i="41" s="1"/>
  <c r="N43" i="41" a="1"/>
  <c r="N43" i="41" s="1"/>
  <c r="N44" i="41" a="1"/>
  <c r="N44" i="41" s="1"/>
  <c r="J43" i="41" a="1"/>
  <c r="J43" i="41" s="1"/>
  <c r="J44" i="41" a="1"/>
  <c r="J44" i="41" s="1"/>
  <c r="AQ41" i="41" a="1"/>
  <c r="AQ41" i="41" s="1"/>
  <c r="AK41" i="41" a="1"/>
  <c r="AK41" i="41" s="1"/>
  <c r="AK40" i="41" a="1"/>
  <c r="AK40" i="41" s="1"/>
  <c r="Y41" i="41" a="1"/>
  <c r="Y41" i="41" s="1"/>
  <c r="Q41" i="41" a="1"/>
  <c r="Q41" i="41" s="1"/>
  <c r="Q40" i="41" a="1"/>
  <c r="Q40" i="41" s="1"/>
  <c r="M41" i="41" a="1"/>
  <c r="M41" i="41" s="1"/>
  <c r="AT40" i="41" a="1"/>
  <c r="AT40" i="41" s="1"/>
  <c r="AT41" i="41" a="1"/>
  <c r="AT41" i="41" s="1"/>
  <c r="AP40" i="41" a="1"/>
  <c r="AP40" i="41" s="1"/>
  <c r="AP41" i="41" a="1"/>
  <c r="AP41" i="41" s="1"/>
  <c r="AJ40" i="41" a="1"/>
  <c r="AJ40" i="41" s="1"/>
  <c r="AJ41" i="41" a="1"/>
  <c r="AJ41" i="41" s="1"/>
  <c r="AF40" i="41" a="1"/>
  <c r="AF40" i="41" s="1"/>
  <c r="AF41" i="41" a="1"/>
  <c r="AF41" i="41" s="1"/>
  <c r="AB40" i="41" a="1"/>
  <c r="AB40" i="41" s="1"/>
  <c r="AB41" i="41" a="1"/>
  <c r="AB41" i="41" s="1"/>
  <c r="X40" i="41" a="1"/>
  <c r="X40" i="41" s="1"/>
  <c r="X41" i="41" a="1"/>
  <c r="X41" i="41" s="1"/>
  <c r="T40" i="41" a="1"/>
  <c r="T40" i="41" s="1"/>
  <c r="T41" i="41" a="1"/>
  <c r="T41" i="41" s="1"/>
  <c r="P40" i="41" a="1"/>
  <c r="P40" i="41" s="1"/>
  <c r="P41" i="41" a="1"/>
  <c r="P41" i="41" s="1"/>
  <c r="L40" i="41" a="1"/>
  <c r="L40" i="41" s="1"/>
  <c r="L41" i="41" a="1"/>
  <c r="L41" i="41" s="1"/>
  <c r="AS38" i="41" a="1"/>
  <c r="AS38" i="41" s="1"/>
  <c r="AS37" i="41" a="1"/>
  <c r="AS37" i="41" s="1"/>
  <c r="S38" i="41" a="1"/>
  <c r="S38" i="41" s="1"/>
  <c r="O38" i="41" a="1"/>
  <c r="O38" i="41" s="1"/>
  <c r="O37" i="41" a="1"/>
  <c r="O37" i="41" s="1"/>
  <c r="AR37" i="41" a="1"/>
  <c r="AR37" i="41" s="1"/>
  <c r="AR38" i="41" a="1"/>
  <c r="AR38" i="41" s="1"/>
  <c r="AL37" i="41" a="1"/>
  <c r="AL37" i="41" s="1"/>
  <c r="AL38" i="41" a="1"/>
  <c r="AL38" i="41" s="1"/>
  <c r="AH37" i="41" a="1"/>
  <c r="AH37" i="41" s="1"/>
  <c r="AH38" i="41" a="1"/>
  <c r="AH38" i="41" s="1"/>
  <c r="AD37" i="41" a="1"/>
  <c r="AD37" i="41" s="1"/>
  <c r="AD38" i="41" a="1"/>
  <c r="AD38" i="41" s="1"/>
  <c r="Z37" i="41" a="1"/>
  <c r="Z37" i="41" s="1"/>
  <c r="Z38" i="41" a="1"/>
  <c r="Z38" i="41" s="1"/>
  <c r="V37" i="41" a="1"/>
  <c r="V37" i="41" s="1"/>
  <c r="V38" i="41" a="1"/>
  <c r="V38" i="41" s="1"/>
  <c r="R37" i="41" a="1"/>
  <c r="R37" i="41" s="1"/>
  <c r="R38" i="41" a="1"/>
  <c r="R38" i="41" s="1"/>
  <c r="N37" i="41" a="1"/>
  <c r="N37" i="41" s="1"/>
  <c r="N38" i="41" a="1"/>
  <c r="N38" i="41" s="1"/>
  <c r="J37" i="41" a="1"/>
  <c r="J37" i="41" s="1"/>
  <c r="J38" i="41" a="1"/>
  <c r="J38" i="41" s="1"/>
  <c r="Y35" i="41" a="1"/>
  <c r="Y35" i="41" s="1"/>
  <c r="U35" i="41" a="1"/>
  <c r="U35" i="41" s="1"/>
  <c r="U34" i="41" a="1"/>
  <c r="U34" i="41" s="1"/>
  <c r="AT34" i="41" a="1"/>
  <c r="AT34" i="41" s="1"/>
  <c r="AT35" i="41" a="1"/>
  <c r="AT35" i="41" s="1"/>
  <c r="AP34" i="41" a="1"/>
  <c r="AP34" i="41" s="1"/>
  <c r="AP35" i="41" a="1"/>
  <c r="AP35" i="41" s="1"/>
  <c r="AJ34" i="41" a="1"/>
  <c r="AJ34" i="41" s="1"/>
  <c r="AJ35" i="41" a="1"/>
  <c r="AJ35" i="41" s="1"/>
  <c r="AF34" i="41" a="1"/>
  <c r="AF34" i="41" s="1"/>
  <c r="AF35" i="41" a="1"/>
  <c r="AF35" i="41" s="1"/>
  <c r="AB34" i="41" a="1"/>
  <c r="AB34" i="41" s="1"/>
  <c r="AB35" i="41" a="1"/>
  <c r="AB35" i="41" s="1"/>
  <c r="X34" i="41" a="1"/>
  <c r="X34" i="41" s="1"/>
  <c r="X35" i="41" a="1"/>
  <c r="X35" i="41" s="1"/>
  <c r="T34" i="41" a="1"/>
  <c r="T34" i="41" s="1"/>
  <c r="T35" i="41" a="1"/>
  <c r="T35" i="41" s="1"/>
  <c r="P34" i="41" a="1"/>
  <c r="P34" i="41" s="1"/>
  <c r="P35" i="41" a="1"/>
  <c r="P35" i="41" s="1"/>
  <c r="L34" i="41" a="1"/>
  <c r="L34" i="41" s="1"/>
  <c r="L35" i="41" a="1"/>
  <c r="L35" i="41" s="1"/>
  <c r="AM32" i="41" a="1"/>
  <c r="AM32" i="41" s="1"/>
  <c r="AI32" i="41" a="1"/>
  <c r="AI32" i="41" s="1"/>
  <c r="AI31" i="41" a="1"/>
  <c r="AI31" i="41" s="1"/>
  <c r="S32" i="41" a="1"/>
  <c r="S32" i="41" s="1"/>
  <c r="AR31" i="41" a="1"/>
  <c r="AR31" i="41" s="1"/>
  <c r="AR32" i="41" a="1"/>
  <c r="AR32" i="41" s="1"/>
  <c r="AL31" i="41" a="1"/>
  <c r="AL31" i="41" s="1"/>
  <c r="AL32" i="41" a="1"/>
  <c r="AL32" i="41" s="1"/>
  <c r="AH31" i="41" a="1"/>
  <c r="AH31" i="41" s="1"/>
  <c r="AH32" i="41" a="1"/>
  <c r="AH32" i="41" s="1"/>
  <c r="AD31" i="41" a="1"/>
  <c r="AD31" i="41" s="1"/>
  <c r="AD32" i="41" a="1"/>
  <c r="AD32" i="41" s="1"/>
  <c r="Z31" i="41" a="1"/>
  <c r="Z31" i="41" s="1"/>
  <c r="Z32" i="41" a="1"/>
  <c r="Z32" i="41" s="1"/>
  <c r="V31" i="41" a="1"/>
  <c r="V31" i="41" s="1"/>
  <c r="V32" i="41" a="1"/>
  <c r="V32" i="41" s="1"/>
  <c r="R31" i="41" a="1"/>
  <c r="R31" i="41" s="1"/>
  <c r="R32" i="41" a="1"/>
  <c r="R32" i="41" s="1"/>
  <c r="N31" i="41" a="1"/>
  <c r="N31" i="41" s="1"/>
  <c r="N32" i="41" a="1"/>
  <c r="N32" i="41" s="1"/>
  <c r="J31" i="41" a="1"/>
  <c r="J31" i="41" s="1"/>
  <c r="J32" i="41" a="1"/>
  <c r="J32" i="41" s="1"/>
  <c r="AQ29" i="41" a="1"/>
  <c r="AQ29" i="41" s="1"/>
  <c r="AK29" i="41" a="1"/>
  <c r="AK29" i="41" s="1"/>
  <c r="AG29" i="41" a="1"/>
  <c r="AG29" i="41" s="1"/>
  <c r="AC29" i="41" a="1"/>
  <c r="AC29" i="41" s="1"/>
  <c r="Y29" i="41" a="1"/>
  <c r="Y29" i="41" s="1"/>
  <c r="U29" i="41" a="1"/>
  <c r="U29" i="41" s="1"/>
  <c r="Q29" i="41" a="1"/>
  <c r="Q29" i="41" s="1"/>
  <c r="M29" i="41" a="1"/>
  <c r="M29" i="41" s="1"/>
  <c r="AT28" i="41" a="1"/>
  <c r="AT28" i="41" s="1"/>
  <c r="AT29" i="41" a="1"/>
  <c r="AT29" i="41" s="1"/>
  <c r="AP28" i="41" a="1"/>
  <c r="AP28" i="41" s="1"/>
  <c r="AP29" i="41" a="1"/>
  <c r="AP29" i="41" s="1"/>
  <c r="AJ28" i="41" a="1"/>
  <c r="AJ28" i="41" s="1"/>
  <c r="AJ29" i="41" a="1"/>
  <c r="AJ29" i="41" s="1"/>
  <c r="AF28" i="41" a="1"/>
  <c r="AF28" i="41" s="1"/>
  <c r="AF29" i="41" a="1"/>
  <c r="AF29" i="41" s="1"/>
  <c r="AB28" i="41" a="1"/>
  <c r="AB28" i="41" s="1"/>
  <c r="AB29" i="41" a="1"/>
  <c r="AB29" i="41" s="1"/>
  <c r="X28" i="41" a="1"/>
  <c r="X28" i="41" s="1"/>
  <c r="X29" i="41" a="1"/>
  <c r="X29" i="41" s="1"/>
  <c r="T28" i="41" a="1"/>
  <c r="T28" i="41" s="1"/>
  <c r="T29" i="41" a="1"/>
  <c r="T29" i="41" s="1"/>
  <c r="P28" i="41" a="1"/>
  <c r="P28" i="41" s="1"/>
  <c r="P29" i="41" a="1"/>
  <c r="P29" i="41" s="1"/>
  <c r="L28" i="41" a="1"/>
  <c r="L28" i="41" s="1"/>
  <c r="L29" i="41" a="1"/>
  <c r="L29" i="41" s="1"/>
  <c r="AS26" i="41" a="1"/>
  <c r="AS26" i="41" s="1"/>
  <c r="AM26" i="41" a="1"/>
  <c r="AM26" i="41" s="1"/>
  <c r="AI26" i="41" a="1"/>
  <c r="AI26" i="41" s="1"/>
  <c r="AE26" i="41" a="1"/>
  <c r="AE26" i="41" s="1"/>
  <c r="AA26" i="41" a="1"/>
  <c r="AA26" i="41" s="1"/>
  <c r="W26" i="41" a="1"/>
  <c r="W26" i="41" s="1"/>
  <c r="S26" i="41" a="1"/>
  <c r="S26" i="41" s="1"/>
  <c r="O26" i="41" a="1"/>
  <c r="O26" i="41" s="1"/>
  <c r="K26" i="41" a="1"/>
  <c r="K26" i="41" s="1"/>
  <c r="AR25" i="41" a="1"/>
  <c r="AR25" i="41" s="1"/>
  <c r="AR26" i="41" a="1"/>
  <c r="AR26" i="41" s="1"/>
  <c r="AL25" i="41" a="1"/>
  <c r="AL25" i="41" s="1"/>
  <c r="AL26" i="41" a="1"/>
  <c r="AL26" i="41" s="1"/>
  <c r="AH25" i="41" a="1"/>
  <c r="AH25" i="41" s="1"/>
  <c r="AH26" i="41" a="1"/>
  <c r="AH26" i="41" s="1"/>
  <c r="AD25" i="41" a="1"/>
  <c r="AD25" i="41" s="1"/>
  <c r="AD26" i="41" a="1"/>
  <c r="AD26" i="41" s="1"/>
  <c r="Z25" i="41" a="1"/>
  <c r="Z25" i="41" s="1"/>
  <c r="Z26" i="41" a="1"/>
  <c r="Z26" i="41" s="1"/>
  <c r="V25" i="41" a="1"/>
  <c r="V25" i="41" s="1"/>
  <c r="V26" i="41" a="1"/>
  <c r="V26" i="41" s="1"/>
  <c r="R25" i="41" a="1"/>
  <c r="R25" i="41" s="1"/>
  <c r="R26" i="41" a="1"/>
  <c r="R26" i="41" s="1"/>
  <c r="N25" i="41" a="1"/>
  <c r="N25" i="41" s="1"/>
  <c r="N26" i="41" a="1"/>
  <c r="N26" i="41" s="1"/>
  <c r="J25" i="41" a="1"/>
  <c r="J25" i="41" s="1"/>
  <c r="J26" i="41" a="1"/>
  <c r="J26" i="41" s="1"/>
  <c r="AQ23" i="41" a="1"/>
  <c r="AQ23" i="41" s="1"/>
  <c r="AK23" i="41" a="1"/>
  <c r="AK23" i="41" s="1"/>
  <c r="AG23" i="41" a="1"/>
  <c r="AG23" i="41" s="1"/>
  <c r="AC23" i="41" a="1"/>
  <c r="AC23" i="41" s="1"/>
  <c r="Y23" i="41" a="1"/>
  <c r="Y23" i="41" s="1"/>
  <c r="U23" i="41" a="1"/>
  <c r="U23" i="41" s="1"/>
  <c r="Q23" i="41" a="1"/>
  <c r="Q23" i="41" s="1"/>
  <c r="M23" i="41" a="1"/>
  <c r="M23" i="41" s="1"/>
  <c r="AT22" i="41" a="1"/>
  <c r="AT22" i="41" s="1"/>
  <c r="AT23" i="41" a="1"/>
  <c r="AT23" i="41" s="1"/>
  <c r="AP22" i="41" a="1"/>
  <c r="AP22" i="41" s="1"/>
  <c r="AP23" i="41" a="1"/>
  <c r="AP23" i="41" s="1"/>
  <c r="AJ22" i="41" a="1"/>
  <c r="AJ22" i="41" s="1"/>
  <c r="AJ23" i="41" a="1"/>
  <c r="AJ23" i="41" s="1"/>
  <c r="AF22" i="41" a="1"/>
  <c r="AF22" i="41" s="1"/>
  <c r="AF23" i="41" a="1"/>
  <c r="AF23" i="41" s="1"/>
  <c r="AB22" i="41" a="1"/>
  <c r="AB22" i="41" s="1"/>
  <c r="AB23" i="41" a="1"/>
  <c r="AB23" i="41" s="1"/>
  <c r="X22" i="41" a="1"/>
  <c r="X22" i="41" s="1"/>
  <c r="X23" i="41" a="1"/>
  <c r="X23" i="41" s="1"/>
  <c r="T22" i="41" a="1"/>
  <c r="T22" i="41" s="1"/>
  <c r="T23" i="41" a="1"/>
  <c r="T23" i="41" s="1"/>
  <c r="P22" i="41" a="1"/>
  <c r="P22" i="41" s="1"/>
  <c r="P23" i="41" a="1"/>
  <c r="P23" i="41" s="1"/>
  <c r="L22" i="41" a="1"/>
  <c r="L22" i="41" s="1"/>
  <c r="L23" i="41" a="1"/>
  <c r="L23" i="41" s="1"/>
  <c r="AS20" i="41" a="1"/>
  <c r="AS20" i="41" s="1"/>
  <c r="AM20" i="41" a="1"/>
  <c r="AM20" i="41" s="1"/>
  <c r="AI20" i="41" a="1"/>
  <c r="AI20" i="41" s="1"/>
  <c r="AE20" i="41" a="1"/>
  <c r="AE20" i="41" s="1"/>
  <c r="AL19" i="41" a="1"/>
  <c r="AL19" i="41" s="1"/>
  <c r="AL20" i="41" a="1"/>
  <c r="AL20" i="41" s="1"/>
  <c r="J19" i="41" a="1"/>
  <c r="J19" i="41" s="1"/>
  <c r="J20" i="41" a="1"/>
  <c r="J20" i="41" s="1"/>
  <c r="X16" i="41" a="1"/>
  <c r="X16" i="41" s="1"/>
  <c r="X17" i="41" a="1"/>
  <c r="X17" i="41" s="1"/>
  <c r="AL10" i="41" a="1"/>
  <c r="AL10" i="41" s="1"/>
  <c r="AL11" i="41" a="1"/>
  <c r="AL11" i="41" s="1"/>
  <c r="AM40" i="41" a="1"/>
  <c r="AM40" i="41" s="1"/>
  <c r="AM41" i="41" a="1"/>
  <c r="AM41" i="41" s="1"/>
  <c r="AI40" i="41" a="1"/>
  <c r="AI40" i="41" s="1"/>
  <c r="AI41" i="41" a="1"/>
  <c r="AI41" i="41" s="1"/>
  <c r="AE40" i="41" a="1"/>
  <c r="AE40" i="41" s="1"/>
  <c r="AE41" i="41" a="1"/>
  <c r="AE41" i="41" s="1"/>
  <c r="AA40" i="41" a="1"/>
  <c r="AA40" i="41" s="1"/>
  <c r="AA41" i="41" a="1"/>
  <c r="AA41" i="41" s="1"/>
  <c r="W40" i="41" a="1"/>
  <c r="W40" i="41" s="1"/>
  <c r="W41" i="41" a="1"/>
  <c r="W41" i="41" s="1"/>
  <c r="O40" i="41" a="1"/>
  <c r="O40" i="41" s="1"/>
  <c r="O41" i="41" a="1"/>
  <c r="O41" i="41" s="1"/>
  <c r="AK37" i="41" a="1"/>
  <c r="AK37" i="41" s="1"/>
  <c r="AK38" i="41" a="1"/>
  <c r="AK38" i="41" s="1"/>
  <c r="M37" i="41" a="1"/>
  <c r="M37" i="41" s="1"/>
  <c r="M38" i="41" a="1"/>
  <c r="M38" i="41" s="1"/>
  <c r="AS34" i="41" a="1"/>
  <c r="AS34" i="41" s="1"/>
  <c r="AS35" i="41" a="1"/>
  <c r="AS35" i="41" s="1"/>
  <c r="W34" i="41" a="1"/>
  <c r="W34" i="41" s="1"/>
  <c r="W35" i="41" a="1"/>
  <c r="W35" i="41" s="1"/>
  <c r="O34" i="41" a="1"/>
  <c r="O34" i="41" s="1"/>
  <c r="O35" i="41" a="1"/>
  <c r="O35" i="41" s="1"/>
  <c r="AQ31" i="41" a="1"/>
  <c r="AQ31" i="41" s="1"/>
  <c r="AQ32" i="41" a="1"/>
  <c r="AQ32" i="41" s="1"/>
  <c r="U31" i="41" a="1"/>
  <c r="U31" i="41" s="1"/>
  <c r="U32" i="41" a="1"/>
  <c r="U32" i="41" s="1"/>
  <c r="Q31" i="41" a="1"/>
  <c r="Q31" i="41" s="1"/>
  <c r="Q32" i="41" a="1"/>
  <c r="Q32" i="41" s="1"/>
  <c r="AE28" i="41" a="1"/>
  <c r="AE28" i="41" s="1"/>
  <c r="AE29" i="41" a="1"/>
  <c r="AE29" i="41" s="1"/>
  <c r="W28" i="41" a="1"/>
  <c r="W28" i="41" s="1"/>
  <c r="W29" i="41" a="1"/>
  <c r="W29" i="41" s="1"/>
  <c r="O28" i="41" a="1"/>
  <c r="O28" i="41" s="1"/>
  <c r="O29" i="41" a="1"/>
  <c r="O29" i="41" s="1"/>
  <c r="AK25" i="41" a="1"/>
  <c r="AK25" i="41" s="1"/>
  <c r="AK26" i="41" a="1"/>
  <c r="AK26" i="41" s="1"/>
  <c r="AG25" i="41" a="1"/>
  <c r="AG25" i="41" s="1"/>
  <c r="AG26" i="41" a="1"/>
  <c r="AG26" i="41" s="1"/>
  <c r="AS22" i="41" a="1"/>
  <c r="AS22" i="41" s="1"/>
  <c r="AS23" i="41" a="1"/>
  <c r="AS23" i="41" s="1"/>
  <c r="AM22" i="41" a="1"/>
  <c r="AM22" i="41" s="1"/>
  <c r="AM23" i="41" a="1"/>
  <c r="AM23" i="41" s="1"/>
  <c r="K22" i="41" a="1"/>
  <c r="K22" i="41" s="1"/>
  <c r="K23" i="41" a="1"/>
  <c r="K23" i="41" s="1"/>
  <c r="V20" i="41" a="1"/>
  <c r="V20" i="41" s="1"/>
  <c r="V19" i="41" a="1"/>
  <c r="V19" i="41" s="1"/>
  <c r="AG19" i="41" a="1"/>
  <c r="AG19" i="41" s="1"/>
  <c r="AG20" i="41" a="1"/>
  <c r="AG20" i="41" s="1"/>
  <c r="U19" i="41" a="1"/>
  <c r="U19" i="41" s="1"/>
  <c r="U20" i="41" a="1"/>
  <c r="U20" i="41" s="1"/>
  <c r="M19" i="41" a="1"/>
  <c r="M19" i="41" s="1"/>
  <c r="M20" i="41" a="1"/>
  <c r="M20" i="41" s="1"/>
  <c r="AJ17" i="41" a="1"/>
  <c r="AJ17" i="41" s="1"/>
  <c r="AJ16" i="41" a="1"/>
  <c r="AJ16" i="41" s="1"/>
  <c r="AA16" i="41" a="1"/>
  <c r="AA16" i="41" s="1"/>
  <c r="AA17" i="41" a="1"/>
  <c r="AA17" i="41" s="1"/>
  <c r="S16" i="41" a="1"/>
  <c r="S16" i="41" s="1"/>
  <c r="S17" i="41" a="1"/>
  <c r="S17" i="41" s="1"/>
  <c r="AD11" i="41" a="1"/>
  <c r="AD11" i="41" s="1"/>
  <c r="AD10" i="41" a="1"/>
  <c r="AD10" i="41" s="1"/>
  <c r="T10" i="41" a="1"/>
  <c r="T10" i="41" s="1"/>
  <c r="T50" i="41" a="1"/>
  <c r="T50" i="41" s="1"/>
  <c r="AR47" i="41" a="1"/>
  <c r="AR47" i="41" s="1"/>
  <c r="AP44" i="41" a="1"/>
  <c r="AP44" i="41" s="1"/>
  <c r="AG44" i="41" a="1"/>
  <c r="AG44" i="41" s="1"/>
  <c r="AG43" i="41" a="1"/>
  <c r="AG43" i="41" s="1"/>
  <c r="AC44" i="41" a="1"/>
  <c r="AC44" i="41" s="1"/>
  <c r="Y44" i="41" a="1"/>
  <c r="Y44" i="41" s="1"/>
  <c r="Y43" i="41" a="1"/>
  <c r="Y43" i="41" s="1"/>
  <c r="U44" i="41" a="1"/>
  <c r="U44" i="41" s="1"/>
  <c r="U43" i="41" a="1"/>
  <c r="U43" i="41" s="1"/>
  <c r="Q44" i="41" a="1"/>
  <c r="Q44" i="41" s="1"/>
  <c r="M44" i="41" a="1"/>
  <c r="M44" i="41" s="1"/>
  <c r="AT43" i="41" a="1"/>
  <c r="AT43" i="41" s="1"/>
  <c r="AP43" i="41" a="1"/>
  <c r="AP43" i="41" s="1"/>
  <c r="AJ43" i="41" a="1"/>
  <c r="AJ43" i="41" s="1"/>
  <c r="AF43" i="41" a="1"/>
  <c r="AF43" i="41" s="1"/>
  <c r="AF44" i="41" a="1"/>
  <c r="AF44" i="41" s="1"/>
  <c r="AB43" i="41" a="1"/>
  <c r="AB43" i="41" s="1"/>
  <c r="X43" i="41" a="1"/>
  <c r="X43" i="41" s="1"/>
  <c r="X44" i="41" a="1"/>
  <c r="X44" i="41" s="1"/>
  <c r="L43" i="41" a="1"/>
  <c r="L43" i="41" s="1"/>
  <c r="L44" i="41" a="1"/>
  <c r="L44" i="41" s="1"/>
  <c r="AS41" i="41" a="1"/>
  <c r="AS41" i="41" s="1"/>
  <c r="AS40" i="41" a="1"/>
  <c r="AS40" i="41" s="1"/>
  <c r="J40" i="41" a="1"/>
  <c r="J40" i="41" s="1"/>
  <c r="L37" i="41" a="1"/>
  <c r="L37" i="41" s="1"/>
  <c r="R34" i="41" a="1"/>
  <c r="R34" i="41" s="1"/>
  <c r="R35" i="41" a="1"/>
  <c r="R35" i="41" s="1"/>
  <c r="AB31" i="41" a="1"/>
  <c r="AB31" i="41" s="1"/>
  <c r="AB32" i="41" a="1"/>
  <c r="AB32" i="41" s="1"/>
  <c r="AD28" i="41" a="1"/>
  <c r="AD28" i="41" s="1"/>
  <c r="AD29" i="41" a="1"/>
  <c r="AD29" i="41" s="1"/>
  <c r="AJ25" i="41" a="1"/>
  <c r="AJ25" i="41" s="1"/>
  <c r="AJ24" i="41" s="1"/>
  <c r="AR22" i="41" a="1"/>
  <c r="AR22" i="41" s="1"/>
  <c r="J22" i="41" a="1"/>
  <c r="J22" i="41" s="1"/>
  <c r="J21" i="41" s="1"/>
  <c r="P19" i="41" a="1"/>
  <c r="P19" i="41" s="1"/>
  <c r="V16" i="41" a="1"/>
  <c r="V16" i="41" s="1"/>
  <c r="AJ10" i="41" a="1"/>
  <c r="AJ10" i="41" s="1"/>
  <c r="AI43" i="43" a="1"/>
  <c r="AI43" i="43" s="1"/>
  <c r="U34" i="43" a="1"/>
  <c r="U34" i="43" s="1"/>
  <c r="T49" i="41" a="1"/>
  <c r="T49" i="41" s="1"/>
  <c r="AA47" i="41" a="1"/>
  <c r="AA47" i="41" s="1"/>
  <c r="AA46" i="41" a="1"/>
  <c r="AA46" i="41" s="1"/>
  <c r="AR46" i="41" a="1"/>
  <c r="AR46" i="41" s="1"/>
  <c r="AD46" i="41" a="1"/>
  <c r="AD46" i="41" s="1"/>
  <c r="AD47" i="41" a="1"/>
  <c r="AD47" i="41" s="1"/>
  <c r="AS103" i="41" a="1"/>
  <c r="AS103" i="41" s="1"/>
  <c r="AS104" i="41" a="1"/>
  <c r="AS104" i="41" s="1"/>
  <c r="J101" i="41" a="1"/>
  <c r="J101" i="41" s="1"/>
  <c r="AD95" i="41" a="1"/>
  <c r="AD95" i="41" s="1"/>
  <c r="AF92" i="41" a="1"/>
  <c r="AF92" i="41" s="1"/>
  <c r="AL89" i="41" a="1"/>
  <c r="AL89" i="41" s="1"/>
  <c r="I22" i="43" a="1"/>
  <c r="I22" i="43" s="1"/>
  <c r="AU22" i="41" a="1"/>
  <c r="AU22" i="41" s="1"/>
  <c r="AN22" i="43" a="1"/>
  <c r="AN22" i="43" s="1"/>
  <c r="I11" i="47" a="1"/>
  <c r="I11" i="47" s="1"/>
  <c r="I10" i="47" a="1"/>
  <c r="I10" i="47" s="1"/>
  <c r="AU22" i="43" a="1"/>
  <c r="AU22" i="43" s="1"/>
  <c r="I10" i="41" a="1"/>
  <c r="I10" i="41" s="1"/>
  <c r="I11" i="41" a="1"/>
  <c r="I11" i="41" s="1"/>
  <c r="AV22" i="43" a="1"/>
  <c r="AV22" i="43" s="1"/>
  <c r="AU10" i="47" a="1"/>
  <c r="AU10" i="47" s="1"/>
  <c r="AU11" i="47" a="1"/>
  <c r="AU11" i="47" s="1"/>
  <c r="I10" i="43" a="1"/>
  <c r="I10" i="43" s="1"/>
  <c r="I11" i="43" a="1"/>
  <c r="I11" i="43" s="1"/>
  <c r="I10" i="46" a="1"/>
  <c r="I10" i="46" s="1"/>
  <c r="I11" i="46" a="1"/>
  <c r="I11" i="46" s="1"/>
  <c r="I22" i="41" a="1"/>
  <c r="I22" i="41" s="1"/>
  <c r="AV10" i="46" a="1"/>
  <c r="AV10" i="46" s="1"/>
  <c r="AV10" i="43" a="1"/>
  <c r="AV10" i="43" s="1"/>
  <c r="AN10" i="43" a="1"/>
  <c r="AN10" i="43" s="1"/>
  <c r="AO10" i="46" a="1"/>
  <c r="AO10" i="46" s="1"/>
  <c r="AM17" i="46" a="1"/>
  <c r="AM17" i="46" s="1"/>
  <c r="AN22" i="41" a="1"/>
  <c r="AN22" i="41" s="1"/>
  <c r="AN10" i="41" a="1"/>
  <c r="AN10" i="41" s="1"/>
  <c r="AO22" i="41" a="1"/>
  <c r="AO22" i="41" s="1"/>
  <c r="AV10" i="47" a="1"/>
  <c r="AV10" i="47" s="1"/>
  <c r="AV11" i="47" a="1"/>
  <c r="AV11" i="47" s="1"/>
  <c r="AU10" i="46" a="1"/>
  <c r="AU10" i="46" s="1"/>
  <c r="AU11" i="46" a="1"/>
  <c r="AU11" i="46" s="1"/>
  <c r="AV10" i="41" a="1"/>
  <c r="AV10" i="41" s="1"/>
  <c r="AV11" i="41" a="1"/>
  <c r="AV11" i="41" s="1"/>
  <c r="AO10" i="47" a="1"/>
  <c r="AO10" i="47" s="1"/>
  <c r="AO11" i="47" a="1"/>
  <c r="AO11" i="47" s="1"/>
  <c r="AE58" i="41" a="1"/>
  <c r="AE58" i="41" s="1"/>
  <c r="Q55" i="41" a="1"/>
  <c r="Q55" i="41" s="1"/>
  <c r="AE52" i="41" a="1"/>
  <c r="AE52" i="41" s="1"/>
  <c r="Q49" i="41" a="1"/>
  <c r="Q49" i="41" s="1"/>
  <c r="AP25" i="41" a="1"/>
  <c r="AP25" i="41" s="1"/>
  <c r="N22" i="41" a="1"/>
  <c r="N22" i="41" s="1"/>
  <c r="AB19" i="41" a="1"/>
  <c r="AB19" i="41" s="1"/>
  <c r="Z16" i="41" a="1"/>
  <c r="Z16" i="41" s="1"/>
  <c r="AB10" i="41" a="1"/>
  <c r="AB10" i="41" s="1"/>
  <c r="AB9" i="41" s="1"/>
  <c r="Q22" i="43" a="1"/>
  <c r="Q22" i="43" s="1"/>
  <c r="Q23" i="43" a="1"/>
  <c r="Q23" i="43" s="1"/>
  <c r="AT37" i="46" a="1"/>
  <c r="AT37" i="46" s="1"/>
  <c r="AT38" i="46" a="1"/>
  <c r="AT38" i="46" s="1"/>
  <c r="O46" i="41" a="1"/>
  <c r="O46" i="41" s="1"/>
  <c r="O47" i="41" a="1"/>
  <c r="O47" i="41" s="1"/>
  <c r="J38" i="43" a="1"/>
  <c r="J38" i="43" s="1"/>
  <c r="V95" i="47" a="1"/>
  <c r="V95" i="47" s="1"/>
  <c r="AL41" i="46" a="1"/>
  <c r="AL41" i="46" s="1"/>
  <c r="R31" i="47" a="1"/>
  <c r="R31" i="47" s="1"/>
  <c r="AA23" i="46" a="1"/>
  <c r="AA23" i="46" s="1"/>
  <c r="S25" i="47" a="1"/>
  <c r="S25" i="47" s="1"/>
  <c r="AS70" i="47" a="1"/>
  <c r="AS70" i="47" s="1"/>
  <c r="AS71" i="47" a="1"/>
  <c r="AS71" i="47" s="1"/>
  <c r="T89" i="47" a="1"/>
  <c r="T89" i="47" s="1"/>
  <c r="M41" i="46" a="1"/>
  <c r="M41" i="46" s="1"/>
  <c r="S40" i="46" a="1"/>
  <c r="S40" i="46" s="1"/>
  <c r="S41" i="46" a="1"/>
  <c r="S41" i="46" s="1"/>
  <c r="V44" i="46" a="1"/>
  <c r="V44" i="46" s="1"/>
  <c r="V43" i="46" a="1"/>
  <c r="V43" i="46" s="1"/>
  <c r="AD79" i="47" a="1"/>
  <c r="AD79" i="47" s="1"/>
  <c r="S86" i="47" a="1"/>
  <c r="S86" i="47" s="1"/>
  <c r="X82" i="47" a="1"/>
  <c r="X82" i="47" s="1"/>
  <c r="AJ85" i="47" a="1"/>
  <c r="AJ85" i="47" s="1"/>
  <c r="AJ28" i="47" a="1"/>
  <c r="AJ28" i="47" s="1"/>
  <c r="AM26" i="47" a="1"/>
  <c r="AM26" i="47" s="1"/>
  <c r="X49" i="46" a="1"/>
  <c r="X49" i="46" s="1"/>
  <c r="X50" i="46" a="1"/>
  <c r="X50" i="46" s="1"/>
  <c r="V34" i="46" a="1"/>
  <c r="V34" i="46"/>
  <c r="R83" i="41" a="1"/>
  <c r="R83" i="41" s="1"/>
  <c r="AJ74" i="41" a="1"/>
  <c r="AJ74" i="41" s="1"/>
  <c r="AS23" i="46" a="1"/>
  <c r="AS23" i="46" s="1"/>
  <c r="AS21" i="46" s="1"/>
  <c r="O25" i="47" a="1"/>
  <c r="O25" i="47" s="1"/>
  <c r="J50" i="46" a="1"/>
  <c r="J50" i="46" s="1"/>
  <c r="AJ97" i="41" a="1"/>
  <c r="AJ97" i="41" s="1"/>
  <c r="AB97" i="41" a="1"/>
  <c r="AB97" i="41" s="1"/>
  <c r="AJ82" i="47" a="1"/>
  <c r="AJ82" i="47" s="1"/>
  <c r="S46" i="46" a="1"/>
  <c r="S46" i="46" s="1"/>
  <c r="AM44" i="46" a="1"/>
  <c r="AM44" i="46" s="1"/>
  <c r="AM43" i="46" a="1"/>
  <c r="AM43" i="46" s="1"/>
  <c r="AM70" i="47" a="1"/>
  <c r="AM70" i="47" s="1"/>
  <c r="AF44" i="46" a="1"/>
  <c r="AF44" i="46" s="1"/>
  <c r="AS82" i="47" a="1"/>
  <c r="AS82" i="47" s="1"/>
  <c r="K82" i="47" a="1"/>
  <c r="K82" i="47" s="1"/>
  <c r="Z26" i="47" a="1"/>
  <c r="Z26" i="47" s="1"/>
  <c r="K49" i="46" a="1"/>
  <c r="K49" i="46" s="1"/>
  <c r="AT31" i="46" a="1"/>
  <c r="AT31" i="46" s="1"/>
  <c r="AK26" i="46" a="1"/>
  <c r="AK26" i="46" s="1"/>
  <c r="AK24" i="46" s="1"/>
  <c r="AT41" i="43" a="1"/>
  <c r="AT41" i="43" s="1"/>
  <c r="P41" i="43" a="1"/>
  <c r="P41" i="43" s="1"/>
  <c r="AD101" i="41" a="1"/>
  <c r="AD101" i="41" s="1"/>
  <c r="AD100" i="41" a="1"/>
  <c r="AD100" i="41" s="1"/>
  <c r="N47" i="46" a="1"/>
  <c r="N47" i="46" s="1"/>
  <c r="AG29" i="47" a="1"/>
  <c r="AG29" i="47" s="1"/>
  <c r="Y44" i="46" a="1"/>
  <c r="Y44" i="46" s="1"/>
  <c r="Z94" i="41" a="1"/>
  <c r="Z94" i="41" s="1"/>
  <c r="Y29" i="47" a="1"/>
  <c r="Y29" i="47" s="1"/>
  <c r="Y27" i="47" s="1"/>
  <c r="J44" i="46" a="1"/>
  <c r="J44" i="46" s="1"/>
  <c r="J43" i="46" a="1"/>
  <c r="J43" i="46" s="1"/>
  <c r="AK38" i="46" a="1"/>
  <c r="AK38" i="46" s="1"/>
  <c r="Y43" i="46" a="1"/>
  <c r="Y43" i="46" s="1"/>
  <c r="M43" i="46" a="1"/>
  <c r="M43" i="46" s="1"/>
  <c r="M44" i="46" a="1"/>
  <c r="M44" i="46" s="1"/>
  <c r="AQ88" i="47" a="1"/>
  <c r="AQ88" i="47" s="1"/>
  <c r="AR44" i="46" a="1"/>
  <c r="AR44" i="46" s="1"/>
  <c r="P41" i="46" a="1"/>
  <c r="P41" i="46" s="1"/>
  <c r="AT76" i="47" a="1"/>
  <c r="AT76" i="47" s="1"/>
  <c r="AQ29" i="47" a="1"/>
  <c r="AQ29" i="47" s="1"/>
  <c r="AQ27" i="47" s="1"/>
  <c r="AR73" i="47" a="1"/>
  <c r="AR73" i="47" s="1"/>
  <c r="AR72" i="47" s="1"/>
  <c r="AD31" i="47" a="1"/>
  <c r="AD31" i="47" s="1"/>
  <c r="AD30" i="47" s="1"/>
  <c r="V31" i="47" a="1"/>
  <c r="V31" i="47" s="1"/>
  <c r="V30" i="47" s="1"/>
  <c r="AK82" i="47" a="1"/>
  <c r="AK82" i="47" s="1"/>
  <c r="AP95" i="47" a="1"/>
  <c r="AP95" i="47" s="1"/>
  <c r="N29" i="47" a="1"/>
  <c r="N29" i="47" s="1"/>
  <c r="N28" i="47" a="1"/>
  <c r="N28" i="47" s="1"/>
  <c r="Q28" i="47" a="1"/>
  <c r="Q28" i="47" s="1"/>
  <c r="Q29" i="47" a="1"/>
  <c r="Q29" i="47" s="1"/>
  <c r="AP47" i="46" a="1"/>
  <c r="AP47" i="46" s="1"/>
  <c r="AS46" i="46" a="1"/>
  <c r="AS46" i="46" s="1"/>
  <c r="AS47" i="46" a="1"/>
  <c r="AS47" i="46" s="1"/>
  <c r="AB31" i="46" a="1"/>
  <c r="AB31" i="46" s="1"/>
  <c r="AP25" i="46" a="1"/>
  <c r="AP25" i="46" s="1"/>
  <c r="AP41" i="43" a="1"/>
  <c r="AP41" i="43" s="1"/>
  <c r="X80" i="41" a="1"/>
  <c r="X80" i="41" s="1"/>
  <c r="P38" i="46" a="1"/>
  <c r="P38" i="46" s="1"/>
  <c r="P11" i="43" a="1"/>
  <c r="P11" i="43" s="1"/>
  <c r="P10" i="43" a="1"/>
  <c r="P10" i="43" s="1"/>
  <c r="L55" i="41" a="1"/>
  <c r="L55" i="41" s="1"/>
  <c r="L56" i="41" a="1"/>
  <c r="L56" i="41" s="1"/>
  <c r="AD104" i="41" a="1"/>
  <c r="AD104" i="41" s="1"/>
  <c r="AD103" i="41" a="1"/>
  <c r="AD103" i="41" s="1"/>
  <c r="U50" i="46" a="1"/>
  <c r="U50" i="46" s="1"/>
  <c r="AM103" i="41" a="1"/>
  <c r="AM103" i="41" s="1"/>
  <c r="AM104" i="41" a="1"/>
  <c r="AM104" i="41" s="1"/>
  <c r="AE41" i="46" a="1"/>
  <c r="AE41" i="46" s="1"/>
  <c r="AE49" i="46" a="1"/>
  <c r="AE49" i="46" s="1"/>
  <c r="AE50" i="46" a="1"/>
  <c r="AE50" i="46" s="1"/>
  <c r="AE40" i="46" a="1"/>
  <c r="AE40" i="46" s="1"/>
  <c r="S73" i="47" a="1"/>
  <c r="S73" i="47" s="1"/>
  <c r="AG71" i="47" a="1"/>
  <c r="AG71" i="47" s="1"/>
  <c r="S44" i="46" a="1"/>
  <c r="S44" i="46" s="1"/>
  <c r="AB41" i="46" a="1"/>
  <c r="AB41" i="46" s="1"/>
  <c r="AB40" i="46" a="1"/>
  <c r="AB40" i="46" s="1"/>
  <c r="M40" i="46" a="1"/>
  <c r="M40" i="46" s="1"/>
  <c r="AP94" i="47" a="1"/>
  <c r="AP94" i="47" s="1"/>
  <c r="N91" i="47" a="1"/>
  <c r="N91" i="47" s="1"/>
  <c r="AP85" i="47" a="1"/>
  <c r="AP85" i="47" s="1"/>
  <c r="K85" i="47" a="1"/>
  <c r="K85" i="47" s="1"/>
  <c r="U82" i="47" a="1"/>
  <c r="U82" i="47" s="1"/>
  <c r="W88" i="47" a="1"/>
  <c r="W88" i="47" s="1"/>
  <c r="AG28" i="47" a="1"/>
  <c r="AG28" i="47" s="1"/>
  <c r="U49" i="46" a="1"/>
  <c r="U49" i="46" s="1"/>
  <c r="AH28" i="46" a="1"/>
  <c r="AH28" i="46" s="1"/>
  <c r="Q43" i="43" a="1"/>
  <c r="Q43" i="43" s="1"/>
  <c r="Q42" i="43" s="1"/>
  <c r="T41" i="43" a="1"/>
  <c r="T41" i="43" s="1"/>
  <c r="AL101" i="41" a="1"/>
  <c r="AL101" i="41" s="1"/>
  <c r="AL100" i="41" a="1"/>
  <c r="AL100" i="41" s="1"/>
  <c r="AV11" i="46" a="1"/>
  <c r="AV11" i="46" s="1"/>
  <c r="AO11" i="46" a="1"/>
  <c r="AO11" i="46" s="1"/>
  <c r="AK37" i="46" a="1"/>
  <c r="AK37" i="46" s="1"/>
  <c r="AK36" i="46" s="1"/>
  <c r="AR17" i="43" a="1"/>
  <c r="AR17" i="43" s="1"/>
  <c r="AR16" i="43" a="1"/>
  <c r="AR16" i="43" s="1"/>
  <c r="W98" i="46" a="1"/>
  <c r="W98" i="46" s="1"/>
  <c r="W96" i="46" s="1"/>
  <c r="S46" i="41" a="1"/>
  <c r="S46" i="41" s="1"/>
  <c r="AD91" i="47" a="1"/>
  <c r="AD91" i="47" s="1"/>
  <c r="AL40" i="46" a="1"/>
  <c r="AL40" i="46" s="1"/>
  <c r="J41" i="46" a="1"/>
  <c r="J41" i="46" s="1"/>
  <c r="K25" i="47" a="1"/>
  <c r="K25" i="47" s="1"/>
  <c r="AP97" i="41" a="1"/>
  <c r="AP97" i="41" s="1"/>
  <c r="AP98" i="41" a="1"/>
  <c r="AP98" i="41" s="1"/>
  <c r="AJ44" i="46" a="1"/>
  <c r="AJ44" i="46" s="1"/>
  <c r="P32" i="47" a="1"/>
  <c r="P32" i="47" s="1"/>
  <c r="P30" i="47" s="1"/>
  <c r="AS92" i="47" a="1"/>
  <c r="AS92" i="47" s="1"/>
  <c r="Y85" i="47" a="1"/>
  <c r="Y85" i="47" s="1"/>
  <c r="AM25" i="47" a="1"/>
  <c r="AM25" i="47" s="1"/>
  <c r="AU10" i="43" a="1"/>
  <c r="AU10" i="43" s="1"/>
  <c r="AU11" i="43" a="1"/>
  <c r="AU11" i="43" s="1"/>
  <c r="AF83" i="47" a="1"/>
  <c r="AF83" i="47" s="1"/>
  <c r="AA82" i="47" a="1"/>
  <c r="AA82" i="47" s="1"/>
  <c r="J91" i="47" a="1"/>
  <c r="J91" i="47" s="1"/>
  <c r="J90" i="47" s="1"/>
  <c r="AM28" i="47" a="1"/>
  <c r="AM28" i="47" s="1"/>
  <c r="AM27" i="47" s="1"/>
  <c r="AR26" i="47" a="1"/>
  <c r="AR26" i="47" s="1"/>
  <c r="AD47" i="46" a="1"/>
  <c r="AD47" i="46" s="1"/>
  <c r="AC46" i="46" a="1"/>
  <c r="AC46" i="46" s="1"/>
  <c r="AL34" i="46" a="1"/>
  <c r="AL34" i="46" s="1"/>
  <c r="U43" i="43" a="1"/>
  <c r="U43" i="43" s="1"/>
  <c r="X41" i="43" a="1"/>
  <c r="X41" i="43" s="1"/>
  <c r="O103" i="41" a="1"/>
  <c r="O103" i="41" s="1"/>
  <c r="O104" i="41" a="1"/>
  <c r="O104" i="41" s="1"/>
  <c r="AH100" i="41" a="1"/>
  <c r="AH100" i="41" s="1"/>
  <c r="AN11" i="47" a="1"/>
  <c r="AN11" i="47" s="1"/>
  <c r="AN11" i="41" a="1"/>
  <c r="AN11" i="41" s="1"/>
  <c r="AM46" i="41" a="1"/>
  <c r="AM46" i="41" s="1"/>
  <c r="AM47" i="41" a="1"/>
  <c r="AM47" i="41" s="1"/>
  <c r="AH38" i="46" a="1"/>
  <c r="AH38" i="46" s="1"/>
  <c r="AH37" i="46" a="1"/>
  <c r="AH37" i="46" s="1"/>
  <c r="X94" i="47" a="1"/>
  <c r="X94" i="47" s="1"/>
  <c r="AI41" i="46" a="1"/>
  <c r="AI41" i="46" s="1"/>
  <c r="AA40" i="43" a="1"/>
  <c r="AA40" i="43" s="1"/>
  <c r="AR43" i="46" a="1"/>
  <c r="AR43" i="46" s="1"/>
  <c r="Y41" i="46" a="1"/>
  <c r="Y41" i="46" s="1"/>
  <c r="P40" i="46" a="1"/>
  <c r="P40" i="46" s="1"/>
  <c r="P39" i="46" s="1"/>
  <c r="AF43" i="46" a="1"/>
  <c r="AF43" i="46" s="1"/>
  <c r="Z31" i="47" a="1"/>
  <c r="Z31" i="47" s="1"/>
  <c r="Z30" i="47" s="1"/>
  <c r="AC29" i="47" a="1"/>
  <c r="AC29" i="47" s="1"/>
  <c r="AE25" i="47" a="1"/>
  <c r="AE25" i="47" s="1"/>
  <c r="AE24" i="47" s="1"/>
  <c r="W82" i="47" a="1"/>
  <c r="W82" i="47" s="1"/>
  <c r="L88" i="47" a="1"/>
  <c r="L88" i="47" s="1"/>
  <c r="L87" i="47" s="1"/>
  <c r="J100" i="41" a="1"/>
  <c r="J100" i="41" s="1"/>
  <c r="T28" i="47" a="1"/>
  <c r="T28" i="47" s="1"/>
  <c r="W26" i="47" a="1"/>
  <c r="W26" i="47" s="1"/>
  <c r="W25" i="47" a="1"/>
  <c r="W25" i="47" s="1"/>
  <c r="AP46" i="46" a="1"/>
  <c r="AP46" i="46" s="1"/>
  <c r="U26" i="46" a="1"/>
  <c r="U26" i="46" s="1"/>
  <c r="U24" i="46" s="1"/>
  <c r="AJ41" i="43" a="1"/>
  <c r="AJ41" i="43" s="1"/>
  <c r="AB104" i="41" a="1"/>
  <c r="AB104" i="41" s="1"/>
  <c r="AR71" i="41" a="1"/>
  <c r="AR71" i="41" s="1"/>
  <c r="AN11" i="43" a="1"/>
  <c r="AN11" i="43" s="1"/>
  <c r="AU11" i="41" a="1"/>
  <c r="AU11" i="41" s="1"/>
  <c r="AV11" i="43" a="1"/>
  <c r="AV11" i="43" s="1"/>
  <c r="AG103" i="41" a="1"/>
  <c r="AG103" i="41" s="1"/>
  <c r="AG104" i="41" a="1"/>
  <c r="AG104" i="41" s="1"/>
  <c r="P43" i="46" a="1"/>
  <c r="P43" i="46" s="1"/>
  <c r="P42" i="46" s="1"/>
  <c r="AI25" i="47" a="1"/>
  <c r="AI25" i="47" s="1"/>
  <c r="U97" i="47" a="1"/>
  <c r="U97" i="47" s="1"/>
  <c r="AH73" i="47" a="1"/>
  <c r="AH73" i="47" s="1"/>
  <c r="AH72" i="47" s="1"/>
  <c r="AB76" i="47" a="1"/>
  <c r="AB76" i="47" s="1"/>
  <c r="AB75" i="47" s="1"/>
  <c r="AS25" i="47" a="1"/>
  <c r="AS25" i="47" s="1"/>
  <c r="AJ76" i="47" a="1"/>
  <c r="AJ76" i="47" s="1"/>
  <c r="AJ75" i="47" s="1"/>
  <c r="AP82" i="47" a="1"/>
  <c r="AP82" i="47" s="1"/>
  <c r="R82" i="47" a="1"/>
  <c r="R82" i="47" s="1"/>
  <c r="R83" i="47" a="1"/>
  <c r="R83" i="47" s="1"/>
  <c r="W28" i="47" a="1"/>
  <c r="W28" i="47" s="1"/>
  <c r="W27" i="47" s="1"/>
  <c r="R49" i="46" a="1"/>
  <c r="R49" i="46" s="1"/>
  <c r="L31" i="46" a="1"/>
  <c r="L31" i="46" s="1"/>
  <c r="X100" i="46" a="1"/>
  <c r="X100" i="46" s="1"/>
  <c r="W10" i="43" a="1"/>
  <c r="W10" i="43" s="1"/>
  <c r="W11" i="43" a="1"/>
  <c r="W11" i="43" s="1"/>
  <c r="V40" i="46" a="1"/>
  <c r="V40" i="46" s="1"/>
  <c r="V39" i="46" s="1"/>
  <c r="J31" i="47" a="1"/>
  <c r="J31" i="47" s="1"/>
  <c r="J30" i="47" s="1"/>
  <c r="R100" i="41" a="1"/>
  <c r="R100" i="41" s="1"/>
  <c r="R101" i="41" a="1"/>
  <c r="R101" i="41" s="1"/>
  <c r="N31" i="47" a="1"/>
  <c r="N31" i="47" s="1"/>
  <c r="N30" i="47" s="1"/>
  <c r="AA80" i="47" a="1"/>
  <c r="AA80" i="47" s="1"/>
  <c r="AA79" i="47" a="1"/>
  <c r="AA79" i="47" s="1"/>
  <c r="AH82" i="47" a="1"/>
  <c r="AH82" i="47" s="1"/>
  <c r="K29" i="47" a="1"/>
  <c r="K29" i="47" s="1"/>
  <c r="K28" i="47" a="1"/>
  <c r="K28" i="47" s="1"/>
  <c r="AE103" i="41" a="1"/>
  <c r="AE103" i="41" s="1"/>
  <c r="AE104" i="41" a="1"/>
  <c r="AE104" i="41" s="1"/>
  <c r="AR100" i="41" a="1"/>
  <c r="AR100" i="41" s="1"/>
  <c r="AG70" i="43" a="1"/>
  <c r="AG70" i="43" s="1"/>
  <c r="AG71" i="43" a="1"/>
  <c r="AG71" i="43" s="1"/>
  <c r="Q70" i="43" a="1"/>
  <c r="Q70" i="43" s="1"/>
  <c r="Q71" i="43" a="1"/>
  <c r="Q71" i="43" s="1"/>
  <c r="T67" i="43" a="1"/>
  <c r="T67" i="43" s="1"/>
  <c r="T68" i="43" a="1"/>
  <c r="T68" i="43" s="1"/>
  <c r="AE55" i="46" a="1"/>
  <c r="AE55" i="46" s="1"/>
  <c r="AE54" i="46" s="1"/>
  <c r="P52" i="46" a="1"/>
  <c r="P52" i="46" s="1"/>
  <c r="P51" i="46" s="1"/>
  <c r="AD22" i="46" a="1"/>
  <c r="AD22" i="46" s="1"/>
  <c r="AD19" i="46" a="1"/>
  <c r="AD19" i="46" s="1"/>
  <c r="AD18" i="46" s="1"/>
  <c r="O20" i="43" a="1"/>
  <c r="O20" i="43" s="1"/>
  <c r="O19" i="43" a="1"/>
  <c r="O19" i="43" s="1"/>
  <c r="AJ16" i="43" a="1"/>
  <c r="AJ16" i="43" s="1"/>
  <c r="AJ17" i="43" a="1"/>
  <c r="AJ17" i="43" s="1"/>
  <c r="U104" i="41" a="1"/>
  <c r="U104" i="41" s="1"/>
  <c r="AD16" i="43" a="1"/>
  <c r="AD16" i="43" s="1"/>
  <c r="AI10" i="43" a="1"/>
  <c r="AI10" i="43" s="1"/>
  <c r="U103" i="41" a="1"/>
  <c r="U103" i="41" s="1"/>
  <c r="AA53" i="41" a="1"/>
  <c r="AA53" i="41" s="1"/>
  <c r="AA52" i="41" a="1"/>
  <c r="AA52" i="41" s="1"/>
  <c r="AQ94" i="41" a="1"/>
  <c r="AQ94" i="41" s="1"/>
  <c r="O91" i="41" a="1"/>
  <c r="O91" i="41" s="1"/>
  <c r="O79" i="41" a="1"/>
  <c r="O79" i="41" s="1"/>
  <c r="AM79" i="46" a="1"/>
  <c r="AM79" i="46" s="1"/>
  <c r="AF79" i="46" a="1"/>
  <c r="AF79" i="46" s="1"/>
  <c r="AF78" i="46" s="1"/>
  <c r="Q79" i="46" a="1"/>
  <c r="Q79" i="46" s="1"/>
  <c r="Q80" i="46" a="1"/>
  <c r="Q80" i="46" s="1"/>
  <c r="AH76" i="46" a="1"/>
  <c r="AH76" i="46" s="1"/>
  <c r="AH77" i="46" a="1"/>
  <c r="AH77" i="46" s="1"/>
  <c r="AD73" i="46" a="1"/>
  <c r="AD73" i="46" s="1"/>
  <c r="N73" i="46" a="1"/>
  <c r="N73" i="46" s="1"/>
  <c r="N72" i="46" s="1"/>
  <c r="Q71" i="46" a="1"/>
  <c r="Q71" i="46" s="1"/>
  <c r="Q69" i="46" s="1"/>
  <c r="AJ70" i="46" a="1"/>
  <c r="AJ70" i="46" s="1"/>
  <c r="J70" i="46" a="1"/>
  <c r="J70" i="46" s="1"/>
  <c r="J69" i="46" s="1"/>
  <c r="AA77" i="43" a="1"/>
  <c r="AA77" i="43" s="1"/>
  <c r="AA76" i="43" a="1"/>
  <c r="AA76" i="43" s="1"/>
  <c r="P74" i="43" a="1"/>
  <c r="P74" i="43" s="1"/>
  <c r="P73" i="43" a="1"/>
  <c r="P73" i="43" s="1"/>
  <c r="Z26" i="43" a="1"/>
  <c r="Z26" i="43" s="1"/>
  <c r="AP23" i="43" a="1"/>
  <c r="AP23" i="43" s="1"/>
  <c r="K53" i="46" a="1"/>
  <c r="K53" i="46" s="1"/>
  <c r="K53" i="43" a="1"/>
  <c r="K53" i="43" s="1"/>
  <c r="AR20" i="43" a="1"/>
  <c r="AR20" i="43" s="1"/>
  <c r="AR19" i="43" a="1"/>
  <c r="AR19" i="43" s="1"/>
  <c r="AH56" i="46" a="1"/>
  <c r="AH56" i="46" s="1"/>
  <c r="AH54" i="46" s="1"/>
  <c r="K52" i="46" a="1"/>
  <c r="K52" i="46" s="1"/>
  <c r="AQ71" i="43" a="1"/>
  <c r="AQ71" i="43" s="1"/>
  <c r="AB59" i="46" a="1"/>
  <c r="AB59" i="46" s="1"/>
  <c r="AB57" i="46" s="1"/>
  <c r="AK55" i="46" a="1"/>
  <c r="AK55" i="46" s="1"/>
  <c r="AK56" i="46" a="1"/>
  <c r="AK56" i="46" s="1"/>
  <c r="AI50" i="46" a="1"/>
  <c r="AI50" i="46" s="1"/>
  <c r="AI48" i="46" s="1"/>
  <c r="M58" i="46" a="1"/>
  <c r="M58" i="46" s="1"/>
  <c r="M59" i="46" a="1"/>
  <c r="M59" i="46" s="1"/>
  <c r="W56" i="46" a="1"/>
  <c r="W56" i="46" s="1"/>
  <c r="W54" i="46" s="1"/>
  <c r="L56" i="46" a="1"/>
  <c r="L56" i="46" s="1"/>
  <c r="L55" i="46" a="1"/>
  <c r="L55" i="46" s="1"/>
  <c r="J59" i="46" a="1"/>
  <c r="J59" i="46" s="1"/>
  <c r="O53" i="46" a="1"/>
  <c r="O53" i="46" s="1"/>
  <c r="O51" i="46" s="1"/>
  <c r="T17" i="46" a="1"/>
  <c r="T17" i="46" s="1"/>
  <c r="AB17" i="46" a="1"/>
  <c r="AB17" i="46" s="1"/>
  <c r="AB16" i="46" a="1"/>
  <c r="AB16" i="46" s="1"/>
  <c r="K62" i="46" a="1"/>
  <c r="K62" i="46" s="1"/>
  <c r="K60" i="46" s="1"/>
  <c r="X59" i="46" a="1"/>
  <c r="X59" i="46" s="1"/>
  <c r="AT56" i="46" a="1"/>
  <c r="AT56" i="46" s="1"/>
  <c r="AQ70" i="43" a="1"/>
  <c r="AQ70" i="43" s="1"/>
  <c r="AL59" i="46" a="1"/>
  <c r="AL59" i="46" s="1"/>
  <c r="AL58" i="46" a="1"/>
  <c r="AL58" i="46" s="1"/>
  <c r="AC53" i="46" a="1"/>
  <c r="AC53" i="46" s="1"/>
  <c r="AC51" i="46" s="1"/>
  <c r="V53" i="46" a="1"/>
  <c r="V53" i="46" s="1"/>
  <c r="V51" i="46" s="1"/>
  <c r="K52" i="43" a="1"/>
  <c r="K52" i="43" s="1"/>
  <c r="AI59" i="46" a="1"/>
  <c r="AI59" i="46" s="1"/>
  <c r="AI57" i="46" s="1"/>
  <c r="AT55" i="46" a="1"/>
  <c r="AT55" i="46" s="1"/>
  <c r="Y53" i="46" a="1"/>
  <c r="Y53" i="46" s="1"/>
  <c r="Y52" i="46" a="1"/>
  <c r="Y52" i="46" s="1"/>
  <c r="AC70" i="43" a="1"/>
  <c r="AC70" i="43" s="1"/>
  <c r="AB53" i="43" a="1"/>
  <c r="AB53" i="43" s="1"/>
  <c r="O65" i="43" a="1"/>
  <c r="O65" i="43" s="1"/>
  <c r="O64" i="43" a="1"/>
  <c r="O64" i="43" s="1"/>
  <c r="Z64" i="43" a="1"/>
  <c r="Z64" i="43" s="1"/>
  <c r="Z65" i="43" a="1"/>
  <c r="Z65" i="43" s="1"/>
  <c r="X61" i="43" a="1"/>
  <c r="X61" i="43" s="1"/>
  <c r="O76" i="46" a="1"/>
  <c r="O76" i="46" s="1"/>
  <c r="O77" i="46" a="1"/>
  <c r="O77" i="46" s="1"/>
  <c r="AE70" i="46" a="1"/>
  <c r="AE70" i="46" s="1"/>
  <c r="AE71" i="46" a="1"/>
  <c r="AE71" i="46" s="1"/>
  <c r="AI94" i="43" a="1"/>
  <c r="AI94" i="43" s="1"/>
  <c r="AI95" i="43" a="1"/>
  <c r="AI95" i="43" s="1"/>
  <c r="AP92" i="41" a="1"/>
  <c r="AP92" i="41" s="1"/>
  <c r="X92" i="41" a="1"/>
  <c r="X92" i="41" s="1"/>
  <c r="AS80" i="46" a="1"/>
  <c r="AS80" i="46" s="1"/>
  <c r="AS79" i="46" a="1"/>
  <c r="AS79" i="46" s="1"/>
  <c r="AH10" i="46" a="1"/>
  <c r="AH10" i="46" s="1"/>
  <c r="AH11" i="46" a="1"/>
  <c r="AH11" i="46" s="1"/>
  <c r="AP64" i="43" a="1"/>
  <c r="AP64" i="43" s="1"/>
  <c r="AP65" i="43" a="1"/>
  <c r="AP65" i="43" s="1"/>
  <c r="AH104" i="41" a="1"/>
  <c r="AH104" i="41" s="1"/>
  <c r="P92" i="41" a="1"/>
  <c r="P92" i="41" s="1"/>
  <c r="AQ85" i="41" a="1"/>
  <c r="AQ85" i="41" s="1"/>
  <c r="AJ61" i="43" a="1"/>
  <c r="AJ61" i="43" s="1"/>
  <c r="AJ62" i="43" a="1"/>
  <c r="AJ62" i="43" s="1"/>
  <c r="S20" i="41" a="1"/>
  <c r="S20" i="41" s="1"/>
  <c r="AF62" i="46" a="1"/>
  <c r="AF62" i="46" s="1"/>
  <c r="AR61" i="46" a="1"/>
  <c r="AR61" i="46" s="1"/>
  <c r="AR62" i="46" a="1"/>
  <c r="AR62" i="46" s="1"/>
  <c r="AF61" i="46" a="1"/>
  <c r="AF61" i="46" s="1"/>
  <c r="AE59" i="46" a="1"/>
  <c r="AE59" i="46" s="1"/>
  <c r="AQ58" i="46" a="1"/>
  <c r="AQ58" i="46" s="1"/>
  <c r="AQ59" i="46" a="1"/>
  <c r="AQ59" i="46" s="1"/>
  <c r="AE58" i="46" a="1"/>
  <c r="AE58" i="46" s="1"/>
  <c r="AP55" i="46" a="1"/>
  <c r="AP55" i="46" s="1"/>
  <c r="AP56" i="46" a="1"/>
  <c r="AP56" i="46" s="1"/>
  <c r="Z55" i="46" a="1"/>
  <c r="Z55" i="46" s="1"/>
  <c r="Z56" i="46" a="1"/>
  <c r="Z56" i="46" s="1"/>
  <c r="S55" i="46" a="1"/>
  <c r="S55" i="46" s="1"/>
  <c r="S56" i="46" a="1"/>
  <c r="S56" i="46" s="1"/>
  <c r="R52" i="46" a="1"/>
  <c r="R52" i="46" s="1"/>
  <c r="R53" i="46" a="1"/>
  <c r="R53" i="46" s="1"/>
  <c r="AC49" i="46" a="1"/>
  <c r="AC49" i="46" s="1"/>
  <c r="AC50" i="46" a="1"/>
  <c r="AC50" i="46" s="1"/>
  <c r="X16" i="43" a="1"/>
  <c r="X16" i="43" s="1"/>
  <c r="X15" i="43" s="1"/>
  <c r="T10" i="43" a="1"/>
  <c r="T10" i="43" s="1"/>
  <c r="T9" i="43" s="1"/>
  <c r="M64" i="43" a="1"/>
  <c r="M64" i="43" s="1"/>
  <c r="M63" i="43" s="1"/>
  <c r="AH103" i="41" a="1"/>
  <c r="AH103" i="41" s="1"/>
  <c r="Z103" i="41" a="1"/>
  <c r="Z103" i="41" s="1"/>
  <c r="Z102" i="41" s="1"/>
  <c r="AQ44" i="41" a="1"/>
  <c r="AQ44" i="41" s="1"/>
  <c r="P62" i="41" a="1"/>
  <c r="P62" i="41" s="1"/>
  <c r="AL59" i="41" a="1"/>
  <c r="AL59" i="41" s="1"/>
  <c r="V59" i="41" a="1"/>
  <c r="V59" i="41" s="1"/>
  <c r="AT56" i="41" a="1"/>
  <c r="AT56" i="41" s="1"/>
  <c r="AB56" i="41" a="1"/>
  <c r="AB56" i="41" s="1"/>
  <c r="AH53" i="41" a="1"/>
  <c r="AH53" i="41" s="1"/>
  <c r="AP50" i="41" a="1"/>
  <c r="AP50" i="41" s="1"/>
  <c r="AQ43" i="41" a="1"/>
  <c r="AQ43" i="41" s="1"/>
  <c r="Y101" i="41" a="1"/>
  <c r="Y101" i="41" s="1"/>
  <c r="Y99" i="41" s="1"/>
  <c r="AS52" i="46" a="1"/>
  <c r="AS52" i="46" s="1"/>
  <c r="AS53" i="46" a="1"/>
  <c r="AS53" i="46" s="1"/>
  <c r="X16" i="46" a="1"/>
  <c r="X16" i="46" s="1"/>
  <c r="X17" i="46" a="1"/>
  <c r="X17" i="46" s="1"/>
  <c r="X62" i="43" a="1"/>
  <c r="X62" i="43" s="1"/>
  <c r="AM16" i="46" a="1"/>
  <c r="AM16" i="46" s="1"/>
  <c r="R10" i="43" a="1"/>
  <c r="R10" i="43" s="1"/>
  <c r="AF62" i="41" a="1"/>
  <c r="AF62" i="41" s="1"/>
  <c r="AQ83" i="46"/>
  <c r="AQ81" i="46" s="1"/>
  <c r="P83" i="46"/>
  <c r="P81" i="46" s="1"/>
  <c r="AA42" i="43"/>
  <c r="M80" i="46" a="1"/>
  <c r="M80" i="46" s="1"/>
  <c r="AI70" i="46" a="1"/>
  <c r="AI70" i="46" s="1"/>
  <c r="P76" i="46" a="1"/>
  <c r="P76" i="46" s="1"/>
  <c r="P75" i="46" s="1"/>
  <c r="AL70" i="46" a="1"/>
  <c r="AL70" i="46" s="1"/>
  <c r="AL69" i="46" s="1"/>
  <c r="S97" i="46" a="1"/>
  <c r="S97" i="46" s="1"/>
  <c r="AM43" i="41" a="1"/>
  <c r="AM43" i="41" s="1"/>
  <c r="AM44" i="41" a="1"/>
  <c r="AM44" i="41" s="1"/>
  <c r="AJ90" i="46"/>
  <c r="AM84" i="46"/>
  <c r="Z18" i="41"/>
  <c r="AB77" i="46" a="1"/>
  <c r="AB77" i="46" s="1"/>
  <c r="AB73" i="46" a="1"/>
  <c r="AB73" i="46" s="1"/>
  <c r="AB72" i="46" s="1"/>
  <c r="AA97" i="46" a="1"/>
  <c r="AA97" i="46" s="1"/>
  <c r="AA98" i="46" a="1"/>
  <c r="AA98" i="46" s="1"/>
  <c r="Y89" i="43" a="1"/>
  <c r="Y89" i="43" s="1"/>
  <c r="K43" i="41" a="1"/>
  <c r="K43" i="41" s="1"/>
  <c r="AD75" i="47"/>
  <c r="V75" i="47"/>
  <c r="U102" i="43"/>
  <c r="W99" i="43"/>
  <c r="AF48" i="43"/>
  <c r="V36" i="43"/>
  <c r="AB33" i="43"/>
  <c r="O33" i="46"/>
  <c r="AA27" i="46"/>
  <c r="J84" i="43"/>
  <c r="V78" i="43"/>
  <c r="AA69" i="43"/>
  <c r="AQ66" i="43"/>
  <c r="AA99" i="43"/>
  <c r="U30" i="46"/>
  <c r="Q66" i="43"/>
  <c r="AT72" i="46"/>
  <c r="Z75" i="47"/>
  <c r="K87" i="46"/>
  <c r="AJ90" i="43"/>
  <c r="AH96" i="46"/>
  <c r="K27" i="46"/>
  <c r="AF84" i="46"/>
  <c r="AB76" i="46" a="1"/>
  <c r="AB76" i="46" s="1"/>
  <c r="R73" i="46" a="1"/>
  <c r="R73" i="46" s="1"/>
  <c r="Y88" i="43" a="1"/>
  <c r="Y88" i="43" s="1"/>
  <c r="Y40" i="41" a="1"/>
  <c r="Y40" i="41" s="1"/>
  <c r="Y39" i="41" s="1"/>
  <c r="V62" i="43" a="1"/>
  <c r="V62" i="43" s="1"/>
  <c r="AF59" i="43" a="1"/>
  <c r="AF59" i="43" s="1"/>
  <c r="S56" i="43" a="1"/>
  <c r="S56" i="43" s="1"/>
  <c r="N56" i="43" a="1"/>
  <c r="N56" i="43" s="1"/>
  <c r="AG52" i="43" a="1"/>
  <c r="AG52" i="43" s="1"/>
  <c r="M52" i="43" a="1"/>
  <c r="M52" i="43" s="1"/>
  <c r="AF52" i="43" a="1"/>
  <c r="AF52" i="43" s="1"/>
  <c r="L52" i="43" a="1"/>
  <c r="L52" i="43" s="1"/>
  <c r="AH50" i="43" a="1"/>
  <c r="AH50" i="43" s="1"/>
  <c r="N50" i="43" a="1"/>
  <c r="N50" i="43" s="1"/>
  <c r="AR52" i="43" a="1"/>
  <c r="AR52" i="43" s="1"/>
  <c r="R52" i="43" a="1"/>
  <c r="R52" i="43" s="1"/>
  <c r="W49" i="43" a="1"/>
  <c r="W49" i="43" s="1"/>
  <c r="Z46" i="43" a="1"/>
  <c r="Z46" i="43" s="1"/>
  <c r="W43" i="43" a="1"/>
  <c r="W43" i="43" s="1"/>
  <c r="Z40" i="43" a="1"/>
  <c r="Z40" i="43" s="1"/>
  <c r="S37" i="43" a="1"/>
  <c r="S37" i="43" s="1"/>
  <c r="Z34" i="43" a="1"/>
  <c r="Z34" i="43" s="1"/>
  <c r="AS31" i="43" a="1"/>
  <c r="AS31" i="43" s="1"/>
  <c r="AC28" i="43" a="1"/>
  <c r="AC28" i="43" s="1"/>
  <c r="AJ25" i="43" a="1"/>
  <c r="AJ25" i="43" s="1"/>
  <c r="S25" i="43" a="1"/>
  <c r="S25" i="43" s="1"/>
  <c r="AG22" i="43" a="1"/>
  <c r="AG22" i="43" s="1"/>
  <c r="V17" i="43" a="1"/>
  <c r="V17" i="43" s="1"/>
  <c r="AC16" i="43" a="1"/>
  <c r="AC16" i="43" s="1"/>
  <c r="L10" i="43" a="1"/>
  <c r="L10" i="43" s="1"/>
  <c r="S11" i="43" a="1"/>
  <c r="S11" i="43" s="1"/>
  <c r="AQ104" i="41" a="1"/>
  <c r="AQ104" i="41" s="1"/>
  <c r="Q103" i="41" a="1"/>
  <c r="Q103" i="41" s="1"/>
  <c r="W104" i="41" a="1"/>
  <c r="W104" i="41" s="1"/>
  <c r="AM52" i="41" a="1"/>
  <c r="AM52" i="41" s="1"/>
  <c r="AR53" i="41" a="1"/>
  <c r="AR53" i="41" s="1"/>
  <c r="R46" i="41" a="1"/>
  <c r="R46" i="41" s="1"/>
  <c r="T61" i="47" a="1"/>
  <c r="T61" i="47" s="1"/>
  <c r="AS59" i="47" a="1"/>
  <c r="AS59" i="47" s="1"/>
  <c r="AF59" i="47" a="1"/>
  <c r="AF59" i="47" s="1"/>
  <c r="T59" i="47" a="1"/>
  <c r="T59" i="47" s="1"/>
  <c r="AS58" i="47" a="1"/>
  <c r="AS58" i="47" s="1"/>
  <c r="AF58" i="47" a="1"/>
  <c r="AF58" i="47" s="1"/>
  <c r="T58" i="47" a="1"/>
  <c r="T58" i="47" s="1"/>
  <c r="AS56" i="47" a="1"/>
  <c r="AS56" i="47" s="1"/>
  <c r="AF56" i="47" a="1"/>
  <c r="AF56" i="47" s="1"/>
  <c r="AS55" i="47" a="1"/>
  <c r="AS55" i="47" s="1"/>
  <c r="AI55" i="47" a="1"/>
  <c r="AI55" i="47" s="1"/>
  <c r="AE56" i="47" a="1"/>
  <c r="AE56" i="47" s="1"/>
  <c r="U55" i="47" a="1"/>
  <c r="U55" i="47" s="1"/>
  <c r="Q56" i="47" a="1"/>
  <c r="Q56" i="47" s="1"/>
  <c r="AT53" i="47" a="1"/>
  <c r="AT53" i="47" s="1"/>
  <c r="AT51" i="47" s="1"/>
  <c r="P53" i="47" a="1"/>
  <c r="P53" i="47" s="1"/>
  <c r="P51" i="47" s="1"/>
  <c r="AM52" i="47" a="1"/>
  <c r="AM52" i="47" s="1"/>
  <c r="W52" i="47" a="1"/>
  <c r="W52" i="47" s="1"/>
  <c r="S53" i="47" a="1"/>
  <c r="S53" i="47" s="1"/>
  <c r="K52" i="47" a="1"/>
  <c r="K52" i="47" s="1"/>
  <c r="AD50" i="47" a="1"/>
  <c r="AD50" i="47" s="1"/>
  <c r="AD48" i="47" s="1"/>
  <c r="AS83" i="47" a="1"/>
  <c r="AS83" i="47" s="1"/>
  <c r="Z79" i="47" a="1"/>
  <c r="Z79" i="47" s="1"/>
  <c r="AK77" i="47" a="1"/>
  <c r="AK77" i="47" s="1"/>
  <c r="M77" i="47" a="1"/>
  <c r="M77" i="47" s="1"/>
  <c r="AS74" i="47" a="1"/>
  <c r="AS74" i="47" s="1"/>
  <c r="S74" i="47" a="1"/>
  <c r="S74" i="47" s="1"/>
  <c r="W73" i="47" a="1"/>
  <c r="W73" i="47" s="1"/>
  <c r="J73" i="47" a="1"/>
  <c r="J73" i="47" s="1"/>
  <c r="J71" i="47" a="1"/>
  <c r="J71" i="47" s="1"/>
  <c r="AG70" i="47" a="1"/>
  <c r="AG70" i="47" s="1"/>
  <c r="Y70" i="47" a="1"/>
  <c r="Y70" i="47" s="1"/>
  <c r="K70" i="47" a="1"/>
  <c r="K70" i="47" s="1"/>
  <c r="AC68" i="47" a="1"/>
  <c r="AC68" i="47" s="1"/>
  <c r="AC66" i="47" s="1"/>
  <c r="N68" i="47" a="1"/>
  <c r="N68" i="47" s="1"/>
  <c r="N66" i="47" s="1"/>
  <c r="AR68" i="47" a="1"/>
  <c r="AR68" i="47" s="1"/>
  <c r="AH67" i="47" a="1"/>
  <c r="AH67" i="47" s="1"/>
  <c r="W67" i="47" a="1"/>
  <c r="W67" i="47" s="1"/>
  <c r="L67" i="47" a="1"/>
  <c r="L67" i="47" s="1"/>
  <c r="AB65" i="47" a="1"/>
  <c r="AB65" i="47" s="1"/>
  <c r="AB63" i="47" s="1"/>
  <c r="P65" i="47" a="1"/>
  <c r="P65" i="47" s="1"/>
  <c r="AP64" i="47" a="1"/>
  <c r="AP64" i="47" s="1"/>
  <c r="AC64" i="47" a="1"/>
  <c r="AC64" i="47" s="1"/>
  <c r="R64" i="47" a="1"/>
  <c r="R64" i="47" s="1"/>
  <c r="AQ62" i="47" a="1"/>
  <c r="AQ62" i="47" s="1"/>
  <c r="AQ60" i="47" s="1"/>
  <c r="V62" i="47" a="1"/>
  <c r="V62" i="47" s="1"/>
  <c r="V60" i="47" s="1"/>
  <c r="K62" i="47" a="1"/>
  <c r="K62" i="47" s="1"/>
  <c r="AI61" i="47" a="1"/>
  <c r="AI61" i="47" s="1"/>
  <c r="W61" i="47" a="1"/>
  <c r="W61" i="47"/>
  <c r="K61" i="47" a="1"/>
  <c r="K61" i="47" s="1"/>
  <c r="AI59" i="47" a="1"/>
  <c r="AI59" i="47" s="1"/>
  <c r="O59" i="47" a="1"/>
  <c r="O59" i="47" s="1"/>
  <c r="AI58" i="47" a="1"/>
  <c r="AI58" i="47" s="1"/>
  <c r="AA58" i="47" a="1"/>
  <c r="AA58" i="47" s="1"/>
  <c r="O58" i="47" a="1"/>
  <c r="O58" i="47" s="1"/>
  <c r="J56" i="47" a="1"/>
  <c r="J56" i="47" s="1"/>
  <c r="J54" i="47" s="1"/>
  <c r="AL56" i="47" a="1"/>
  <c r="AL56" i="47" s="1"/>
  <c r="T94" i="47" a="1"/>
  <c r="T94" i="47" s="1"/>
  <c r="AT77" i="47" a="1"/>
  <c r="AT77" i="47" s="1"/>
  <c r="V73" i="47" a="1"/>
  <c r="V73" i="47" s="1"/>
  <c r="AJ70" i="47" a="1"/>
  <c r="AJ70" i="47" s="1"/>
  <c r="M68" i="47" a="1"/>
  <c r="M68" i="47" s="1"/>
  <c r="U23" i="47" a="1"/>
  <c r="U23" i="47" s="1"/>
  <c r="AM20" i="47" a="1"/>
  <c r="AM20" i="47" s="1"/>
  <c r="AE20" i="47" a="1"/>
  <c r="AE20" i="47" s="1"/>
  <c r="W20" i="47" a="1"/>
  <c r="W20" i="47" s="1"/>
  <c r="O20" i="47" a="1"/>
  <c r="O20" i="47" s="1"/>
  <c r="AQ16" i="47" a="1"/>
  <c r="AQ16" i="47" s="1"/>
  <c r="AG16" i="47" a="1"/>
  <c r="AG16" i="47" s="1"/>
  <c r="Y16" i="47" a="1"/>
  <c r="Y16" i="47" s="1"/>
  <c r="Q16" i="47" a="1"/>
  <c r="Q16" i="47" s="1"/>
  <c r="AS10" i="47" a="1"/>
  <c r="AS10" i="47" s="1"/>
  <c r="AI10" i="47" a="1"/>
  <c r="AI10" i="47" s="1"/>
  <c r="AA10" i="47" a="1"/>
  <c r="AA10" i="47" s="1"/>
  <c r="S10" i="47" a="1"/>
  <c r="S10" i="47" s="1"/>
  <c r="S9" i="47" s="1"/>
  <c r="K10" i="47" a="1"/>
  <c r="K10" i="47" s="1"/>
  <c r="K9" i="47" s="1"/>
  <c r="AQ103" i="46" a="1"/>
  <c r="AQ103" i="46" s="1"/>
  <c r="AQ102" i="46" s="1"/>
  <c r="AG103" i="46" a="1"/>
  <c r="AG103" i="46" s="1"/>
  <c r="AG102" i="46" s="1"/>
  <c r="Y103" i="46" a="1"/>
  <c r="Y103" i="46" s="1"/>
  <c r="Y102" i="46" s="1"/>
  <c r="Q103" i="46" a="1"/>
  <c r="Q103" i="46" s="1"/>
  <c r="X101" i="46" a="1"/>
  <c r="X101" i="46" s="1"/>
  <c r="AS101" i="46" a="1"/>
  <c r="AS101" i="46" s="1"/>
  <c r="AS99" i="46" s="1"/>
  <c r="AI101" i="46" a="1"/>
  <c r="AI101" i="46" s="1"/>
  <c r="AI99" i="46" s="1"/>
  <c r="AA101" i="46" a="1"/>
  <c r="AA101" i="46"/>
  <c r="AA99" i="46" s="1"/>
  <c r="S101" i="46" a="1"/>
  <c r="S101" i="46" s="1"/>
  <c r="S99" i="46" s="1"/>
  <c r="K100" i="46" a="1"/>
  <c r="K100" i="46" s="1"/>
  <c r="V98" i="46" a="1"/>
  <c r="V98" i="46" s="1"/>
  <c r="V96" i="46" s="1"/>
  <c r="AQ98" i="46" a="1"/>
  <c r="AQ98" i="46" s="1"/>
  <c r="AG97" i="46" a="1"/>
  <c r="AG97" i="46" s="1"/>
  <c r="AG96" i="46" s="1"/>
  <c r="Y97" i="46" a="1"/>
  <c r="Y97" i="46" s="1"/>
  <c r="Y96" i="46" s="1"/>
  <c r="Q97" i="46" a="1"/>
  <c r="Q97" i="46" s="1"/>
  <c r="Q96" i="46" s="1"/>
  <c r="AR31" i="47" a="1"/>
  <c r="AR31" i="47" s="1"/>
  <c r="AR30" i="47" s="1"/>
  <c r="Z67" i="46" a="1"/>
  <c r="Z67" i="46" s="1"/>
  <c r="Z66" i="46" s="1"/>
  <c r="L67" i="46" a="1"/>
  <c r="L67" i="46" s="1"/>
  <c r="L66" i="46" s="1"/>
  <c r="AC65" i="46" a="1"/>
  <c r="AC65" i="46"/>
  <c r="AS64" i="46" a="1"/>
  <c r="AS64" i="46" s="1"/>
  <c r="AL74" i="41" a="1"/>
  <c r="AL74" i="41" s="1"/>
  <c r="J73" i="41" a="1"/>
  <c r="J73" i="41" s="1"/>
  <c r="AC71" i="41" a="1"/>
  <c r="AC71" i="41" s="1"/>
  <c r="Q70" i="41" a="1"/>
  <c r="Q70" i="41" s="1"/>
  <c r="AJ71" i="41" a="1"/>
  <c r="AJ71" i="41" s="1"/>
  <c r="AS68" i="41" a="1"/>
  <c r="AS68" i="41" s="1"/>
  <c r="AE68" i="41" a="1"/>
  <c r="AE68" i="41" s="1"/>
  <c r="S67" i="41" a="1"/>
  <c r="S67" i="41" s="1"/>
  <c r="S66" i="41" s="1"/>
  <c r="AL67" i="41" a="1"/>
  <c r="AL67" i="41" s="1"/>
  <c r="J67" i="41" a="1"/>
  <c r="J67" i="41" s="1"/>
  <c r="Q65" i="41" a="1"/>
  <c r="Q65" i="41" s="1"/>
  <c r="T64" i="41" a="1"/>
  <c r="T64" i="41" s="1"/>
  <c r="AE61" i="41" a="1"/>
  <c r="AE61" i="41" s="1"/>
  <c r="K61" i="41" a="1"/>
  <c r="K61" i="41" s="1"/>
  <c r="AG58" i="41" a="1"/>
  <c r="AG58" i="41" s="1"/>
  <c r="AG57" i="41" s="1"/>
  <c r="M59" i="41" a="1"/>
  <c r="M59" i="41" s="1"/>
  <c r="M57" i="41" s="1"/>
  <c r="U31" i="47" a="1"/>
  <c r="U31" i="47" s="1"/>
  <c r="AF65" i="46" a="1"/>
  <c r="AF65" i="46" s="1"/>
  <c r="AT58" i="41" a="1"/>
  <c r="AT58" i="41" s="1"/>
  <c r="AB58" i="41" a="1"/>
  <c r="AB58" i="41" s="1"/>
  <c r="AT29" i="47" a="1"/>
  <c r="AT29" i="47" s="1"/>
  <c r="AT27" i="47" s="1"/>
  <c r="AS64" i="47" a="1"/>
  <c r="AS64" i="47" s="1"/>
  <c r="AR78" i="46"/>
  <c r="AQ101" i="41" a="1"/>
  <c r="AQ101" i="41" s="1"/>
  <c r="AQ99" i="41" s="1"/>
  <c r="AS68" i="43" a="1"/>
  <c r="AS68" i="43" s="1"/>
  <c r="AS79" i="47" a="1"/>
  <c r="AS79" i="47" s="1"/>
  <c r="AS80" i="47" a="1"/>
  <c r="AS80" i="47" s="1"/>
  <c r="AE80" i="47" a="1"/>
  <c r="AE80" i="47" s="1"/>
  <c r="Y50" i="41" a="1"/>
  <c r="Y50" i="41" s="1"/>
  <c r="AH94" i="41" a="1"/>
  <c r="AH94" i="41" s="1"/>
  <c r="AK25" i="47" a="1"/>
  <c r="AK25" i="47" s="1"/>
  <c r="AK26" i="47" a="1"/>
  <c r="AK26" i="47" s="1"/>
  <c r="AF26" i="47" a="1"/>
  <c r="AF26" i="47" s="1"/>
  <c r="AS22" i="47" a="1"/>
  <c r="AS22" i="47" s="1"/>
  <c r="AF70" i="43" a="1"/>
  <c r="AF70" i="43" s="1"/>
  <c r="AF69" i="43" s="1"/>
  <c r="AK71" i="43" a="1"/>
  <c r="AK71" i="43" s="1"/>
  <c r="AK69" i="43" s="1"/>
  <c r="AJ76" i="43" a="1"/>
  <c r="AJ76" i="43" s="1"/>
  <c r="P79" i="43" a="1"/>
  <c r="P79" i="43" s="1"/>
  <c r="P78" i="43" s="1"/>
  <c r="AL50" i="46" a="1"/>
  <c r="AL50" i="46" s="1"/>
  <c r="T53" i="46" a="1"/>
  <c r="T53" i="46" s="1"/>
  <c r="AI52" i="46" a="1"/>
  <c r="AI52" i="46" s="1"/>
  <c r="AI102" i="46"/>
  <c r="S102" i="46"/>
  <c r="Y99" i="46"/>
  <c r="AK69" i="46"/>
  <c r="K96" i="46"/>
  <c r="AG93" i="46"/>
  <c r="AH87" i="46"/>
  <c r="AT81" i="46"/>
  <c r="Z81" i="46"/>
  <c r="L78" i="46"/>
  <c r="AK102" i="43"/>
  <c r="Q102" i="43"/>
  <c r="AF75" i="43"/>
  <c r="Q90" i="46"/>
  <c r="V87" i="46"/>
  <c r="J84" i="46"/>
  <c r="T60" i="41"/>
  <c r="AL51" i="41"/>
  <c r="AE42" i="41"/>
  <c r="Z42" i="41"/>
  <c r="AM99" i="43"/>
  <c r="AQ96" i="43"/>
  <c r="V93" i="43"/>
  <c r="AT90" i="43"/>
  <c r="AH84" i="43"/>
  <c r="AC66" i="43"/>
  <c r="AT57" i="43"/>
  <c r="O57" i="43"/>
  <c r="AI33" i="41"/>
  <c r="K27" i="43"/>
  <c r="Y45" i="43"/>
  <c r="AQ51" i="43"/>
  <c r="Q75" i="43"/>
  <c r="Z54" i="47"/>
  <c r="O54" i="47"/>
  <c r="AR51" i="47"/>
  <c r="AK51" i="47"/>
  <c r="Z51" i="47"/>
  <c r="U51" i="47"/>
  <c r="X48" i="47"/>
  <c r="N48" i="47"/>
  <c r="AK48" i="47"/>
  <c r="U48" i="47"/>
  <c r="M48" i="47"/>
  <c r="AP45" i="47"/>
  <c r="AJ45" i="47"/>
  <c r="AB45" i="47"/>
  <c r="T45" i="47"/>
  <c r="P45" i="47"/>
  <c r="AA45" i="47"/>
  <c r="AL42" i="47"/>
  <c r="AH42" i="47"/>
  <c r="AD42" i="47"/>
  <c r="Z42" i="47"/>
  <c r="V42" i="47"/>
  <c r="R42" i="47"/>
  <c r="N42" i="47"/>
  <c r="M42" i="47"/>
  <c r="AT39" i="47"/>
  <c r="AP39" i="47"/>
  <c r="AF39" i="47"/>
  <c r="AB39" i="47"/>
  <c r="P39" i="47"/>
  <c r="AM39" i="47"/>
  <c r="K39" i="47"/>
  <c r="AH36" i="47"/>
  <c r="Z36" i="47"/>
  <c r="R36" i="47"/>
  <c r="J36" i="47"/>
  <c r="X25" i="47" a="1"/>
  <c r="X25" i="47" s="1"/>
  <c r="AO22" i="43" a="1"/>
  <c r="AO22" i="43" s="1"/>
  <c r="P70" i="43" a="1"/>
  <c r="P70" i="43" s="1"/>
  <c r="P69" i="43" s="1"/>
  <c r="AM79" i="47" a="1"/>
  <c r="AM79" i="47" s="1"/>
  <c r="AM80" i="47" a="1"/>
  <c r="AM80" i="47" s="1"/>
  <c r="T104" i="41" a="1"/>
  <c r="T104" i="41" s="1"/>
  <c r="AI47" i="41" a="1"/>
  <c r="AI47" i="41" s="1"/>
  <c r="AS26" i="47" a="1"/>
  <c r="AS26" i="47" s="1"/>
  <c r="M25" i="47" a="1"/>
  <c r="M25" i="47" s="1"/>
  <c r="M26" i="47" a="1"/>
  <c r="M26" i="47" s="1"/>
  <c r="AF55" i="46" a="1"/>
  <c r="AF55" i="46" s="1"/>
  <c r="T70" i="43" a="1"/>
  <c r="T70" i="43" s="1"/>
  <c r="T69" i="43" s="1"/>
  <c r="AT70" i="43" a="1"/>
  <c r="AT70" i="43" s="1"/>
  <c r="AT69" i="43" s="1"/>
  <c r="AG76" i="43" a="1"/>
  <c r="AG76" i="43" s="1"/>
  <c r="M79" i="43" a="1"/>
  <c r="M79" i="43" s="1"/>
  <c r="AH50" i="46" a="1"/>
  <c r="AH50" i="46" s="1"/>
  <c r="Q52" i="46" a="1"/>
  <c r="Q52" i="46" s="1"/>
  <c r="AE52" i="46" a="1"/>
  <c r="AE52" i="46" s="1"/>
  <c r="AE53" i="46" a="1"/>
  <c r="AE53" i="46" s="1"/>
  <c r="AH9" i="47"/>
  <c r="AA9" i="41"/>
  <c r="AT42" i="41"/>
  <c r="Y57" i="46"/>
  <c r="K57" i="46"/>
  <c r="AL54" i="46"/>
  <c r="X54" i="46"/>
  <c r="AK51" i="46"/>
  <c r="W51" i="46"/>
  <c r="X26" i="47" a="1"/>
  <c r="X26" i="47" s="1"/>
  <c r="AC55" i="46" a="1"/>
  <c r="AC55" i="46" s="1"/>
  <c r="L70" i="43" a="1"/>
  <c r="L70" i="43" s="1"/>
  <c r="L69" i="43" s="1"/>
  <c r="T103" i="41" a="1"/>
  <c r="T103" i="41"/>
  <c r="AI46" i="41" a="1"/>
  <c r="AI46" i="41" s="1"/>
  <c r="AH95" i="41" a="1"/>
  <c r="AH95" i="41" s="1"/>
  <c r="AL26" i="47" a="1"/>
  <c r="AL26" i="47" s="1"/>
  <c r="AI22" i="47" a="1"/>
  <c r="AI22" i="47" s="1"/>
  <c r="AI21" i="47" s="1"/>
  <c r="AP70" i="43" a="1"/>
  <c r="AP70" i="43" s="1"/>
  <c r="AP69" i="43" s="1"/>
  <c r="V76" i="43" a="1"/>
  <c r="V76" i="43" s="1"/>
  <c r="V75" i="43" s="1"/>
  <c r="AG77" i="43" a="1"/>
  <c r="AG77" i="43" s="1"/>
  <c r="AA50" i="46" a="1"/>
  <c r="AA50" i="46" s="1"/>
  <c r="M53" i="46" a="1"/>
  <c r="M53" i="46" s="1"/>
  <c r="AF55" i="47" a="1"/>
  <c r="AF55" i="47" s="1"/>
  <c r="AJ56" i="46" a="1"/>
  <c r="AJ56" i="46" s="1"/>
  <c r="Q59" i="41" a="1"/>
  <c r="Q59" i="41" s="1"/>
  <c r="Q57" i="41" s="1"/>
  <c r="L80" i="47" a="1"/>
  <c r="L80" i="47" s="1"/>
  <c r="L78" i="47" s="1"/>
  <c r="AI79" i="47" a="1"/>
  <c r="AI79" i="47" s="1"/>
  <c r="AI80" i="47" a="1"/>
  <c r="AI80" i="47" s="1"/>
  <c r="Y49" i="41" a="1"/>
  <c r="Y49" i="41" s="1"/>
  <c r="X98" i="41" a="1"/>
  <c r="X98" i="41" s="1"/>
  <c r="AD26" i="47" a="1"/>
  <c r="AD26" i="47" s="1"/>
  <c r="AF25" i="47" a="1"/>
  <c r="AF25" i="47" s="1"/>
  <c r="AS23" i="47" a="1"/>
  <c r="AS23" i="47" s="1"/>
  <c r="AJ70" i="43" a="1"/>
  <c r="AJ70" i="43" s="1"/>
  <c r="AJ69" i="43" s="1"/>
  <c r="J73" i="43" a="1"/>
  <c r="J73" i="43" s="1"/>
  <c r="J72" i="43" s="1"/>
  <c r="AS76" i="43" a="1"/>
  <c r="AS76" i="43" s="1"/>
  <c r="AS75" i="43" s="1"/>
  <c r="W50" i="46" a="1"/>
  <c r="W50" i="46" s="1"/>
  <c r="AL49" i="46" a="1"/>
  <c r="AL49" i="46" s="1"/>
  <c r="T52" i="46" a="1"/>
  <c r="T52" i="46" s="1"/>
  <c r="AC56" i="46" a="1"/>
  <c r="AC56" i="46" s="1"/>
  <c r="AE79" i="47" a="1"/>
  <c r="AE79" i="47" s="1"/>
  <c r="W79" i="47" a="1"/>
  <c r="W79" i="47" s="1"/>
  <c r="W80" i="47" a="1"/>
  <c r="W80" i="47" s="1"/>
  <c r="S79" i="47" a="1"/>
  <c r="S79" i="47" s="1"/>
  <c r="S80" i="47" a="1"/>
  <c r="S80" i="47" s="1"/>
  <c r="O79" i="47" a="1"/>
  <c r="O79" i="47" s="1"/>
  <c r="O80" i="47" a="1"/>
  <c r="O80" i="47" s="1"/>
  <c r="K79" i="47" a="1"/>
  <c r="K79" i="47" s="1"/>
  <c r="K80" i="47" a="1"/>
  <c r="K80" i="47" s="1"/>
  <c r="K19" i="43" a="1"/>
  <c r="K19" i="43" s="1"/>
  <c r="K20" i="43" a="1"/>
  <c r="K20" i="43" s="1"/>
  <c r="Y16" i="43" a="1"/>
  <c r="Y16" i="43" s="1"/>
  <c r="Y17" i="43" a="1"/>
  <c r="Y17" i="43" s="1"/>
  <c r="AC103" i="41" a="1"/>
  <c r="AC103" i="41" s="1"/>
  <c r="AC104" i="41" a="1"/>
  <c r="AC104" i="41" s="1"/>
  <c r="S53" i="41" a="1"/>
  <c r="S53" i="41" s="1"/>
  <c r="AB17" i="43" a="1"/>
  <c r="AB17" i="43" s="1"/>
  <c r="AP26" i="47" a="1"/>
  <c r="AP26" i="47" s="1"/>
  <c r="P25" i="47" a="1"/>
  <c r="P25" i="47" s="1"/>
  <c r="P26" i="47" a="1"/>
  <c r="P26" i="47" s="1"/>
  <c r="AB70" i="43" a="1"/>
  <c r="AB70" i="43" s="1"/>
  <c r="AB69" i="43" s="1"/>
  <c r="N73" i="43" a="1"/>
  <c r="N73" i="43" s="1"/>
  <c r="N72" i="43" s="1"/>
  <c r="S77" i="43" a="1"/>
  <c r="S77" i="43" s="1"/>
  <c r="AA49" i="46" a="1"/>
  <c r="AA49" i="46" s="1"/>
  <c r="AQ50" i="46" a="1"/>
  <c r="AQ50" i="46" s="1"/>
  <c r="X53" i="46" a="1"/>
  <c r="X53" i="46" s="1"/>
  <c r="AG55" i="46" a="1"/>
  <c r="AG55" i="46" s="1"/>
  <c r="R73" i="43" a="1"/>
  <c r="R73" i="43" s="1"/>
  <c r="R72" i="43" s="1"/>
  <c r="V73" i="43" a="1"/>
  <c r="V73" i="43" s="1"/>
  <c r="Z73" i="43" a="1"/>
  <c r="Z73" i="43" s="1"/>
  <c r="Z72" i="43" s="1"/>
  <c r="AD73" i="43" a="1"/>
  <c r="AD73" i="43" s="1"/>
  <c r="AD72" i="43" s="1"/>
  <c r="AH73" i="43" a="1"/>
  <c r="AH73" i="43" s="1"/>
  <c r="AH72" i="43" s="1"/>
  <c r="AL73" i="43" a="1"/>
  <c r="AL73" i="43" s="1"/>
  <c r="AR73" i="43" a="1"/>
  <c r="AR73" i="43" s="1"/>
  <c r="AR72" i="43" s="1"/>
  <c r="K73" i="43" a="1"/>
  <c r="K73" i="43" s="1"/>
  <c r="K74" i="43" a="1"/>
  <c r="K74" i="43" s="1"/>
  <c r="O73" i="43" a="1"/>
  <c r="O73" i="43" s="1"/>
  <c r="O74" i="43" a="1"/>
  <c r="O74" i="43" s="1"/>
  <c r="S73" i="43" a="1"/>
  <c r="S73" i="43" s="1"/>
  <c r="S74" i="43" a="1"/>
  <c r="S74" i="43" s="1"/>
  <c r="W73" i="43" a="1"/>
  <c r="W73" i="43" s="1"/>
  <c r="W74" i="43" a="1"/>
  <c r="W74" i="43" s="1"/>
  <c r="AE73" i="43" a="1"/>
  <c r="AE73" i="43" s="1"/>
  <c r="AE74" i="43" a="1"/>
  <c r="AE74" i="43" s="1"/>
  <c r="AS74" i="43" a="1"/>
  <c r="AS74" i="43" s="1"/>
  <c r="K76" i="43" a="1"/>
  <c r="K76" i="43" s="1"/>
  <c r="K75" i="43" s="1"/>
  <c r="O76" i="43" a="1"/>
  <c r="O76" i="43" s="1"/>
  <c r="O75" i="43" s="1"/>
  <c r="S76" i="43" a="1"/>
  <c r="S76" i="43" s="1"/>
  <c r="AC76" i="43" a="1"/>
  <c r="AC76" i="43" s="1"/>
  <c r="AP77" i="43" a="1"/>
  <c r="AP77" i="43" s="1"/>
  <c r="AH49" i="46" a="1"/>
  <c r="AH49" i="46" s="1"/>
  <c r="M52" i="46" a="1"/>
  <c r="M52" i="46" s="1"/>
  <c r="AI26" i="47" a="1"/>
  <c r="AI26" i="47" s="1"/>
  <c r="AL52" i="46" a="1"/>
  <c r="AL52" i="46" s="1"/>
  <c r="AR52" i="46" a="1"/>
  <c r="AR52" i="46" s="1"/>
  <c r="J53" i="46" a="1"/>
  <c r="J53" i="46" s="1"/>
  <c r="N52" i="46" a="1"/>
  <c r="N52" i="46" s="1"/>
  <c r="N53" i="46" a="1"/>
  <c r="N53" i="46" s="1"/>
  <c r="Q53" i="46" a="1"/>
  <c r="Q53" i="46" s="1"/>
  <c r="U52" i="46" a="1"/>
  <c r="U52" i="46" s="1"/>
  <c r="U53" i="46" a="1"/>
  <c r="U53" i="46" s="1"/>
  <c r="AF52" i="46" a="1"/>
  <c r="AF52" i="46" s="1"/>
  <c r="AF53" i="46" a="1"/>
  <c r="AF53" i="46" s="1"/>
  <c r="AI53" i="46" a="1"/>
  <c r="AI53" i="46" s="1"/>
  <c r="AM52" i="46" a="1"/>
  <c r="AM52" i="46" s="1"/>
  <c r="AM53" i="46" a="1"/>
  <c r="AM53" i="46" s="1"/>
  <c r="AR53" i="46" a="1"/>
  <c r="AR53" i="46" s="1"/>
  <c r="K55" i="46" a="1"/>
  <c r="K55" i="46" s="1"/>
  <c r="N56" i="46" a="1"/>
  <c r="N56" i="46" s="1"/>
  <c r="N55" i="46" a="1"/>
  <c r="N55" i="46" s="1"/>
  <c r="R56" i="46" a="1"/>
  <c r="R56" i="46" s="1"/>
  <c r="R55" i="46" a="1"/>
  <c r="R55" i="46" s="1"/>
  <c r="Y55" i="46" a="1"/>
  <c r="Y55" i="46" s="1"/>
  <c r="AF56" i="46" a="1"/>
  <c r="AF56" i="46" s="1"/>
  <c r="AJ55" i="46" a="1"/>
  <c r="AJ55" i="46" s="1"/>
  <c r="AM55" i="46" a="1"/>
  <c r="AM55" i="46" s="1"/>
  <c r="AM54" i="46" s="1"/>
  <c r="AS55" i="46" a="1"/>
  <c r="AS55" i="46" s="1"/>
  <c r="K56" i="46" a="1"/>
  <c r="K56" i="46" s="1"/>
  <c r="O55" i="46" a="1"/>
  <c r="O55" i="46" s="1"/>
  <c r="O56" i="46" a="1"/>
  <c r="O56" i="46" s="1"/>
  <c r="V55" i="46" a="1"/>
  <c r="V55" i="46" s="1"/>
  <c r="V56" i="46" a="1"/>
  <c r="V56" i="46" s="1"/>
  <c r="AS56" i="46" a="1"/>
  <c r="AS56" i="46" s="1"/>
  <c r="V81" i="47"/>
  <c r="L81" i="47"/>
  <c r="S45" i="47"/>
  <c r="AI39" i="47"/>
  <c r="W39" i="47"/>
  <c r="AF15" i="47"/>
  <c r="AB15" i="47"/>
  <c r="X15" i="47"/>
  <c r="T15" i="47"/>
  <c r="P15" i="47"/>
  <c r="L15" i="47"/>
  <c r="AL9" i="47"/>
  <c r="L27" i="43"/>
  <c r="AL18" i="43"/>
  <c r="S84" i="41"/>
  <c r="N57" i="47"/>
  <c r="AQ48" i="47"/>
  <c r="AG48" i="47"/>
  <c r="AS45" i="47"/>
  <c r="AM45" i="47"/>
  <c r="AC42" i="47"/>
  <c r="AS39" i="47"/>
  <c r="AA39" i="47"/>
  <c r="AT96" i="41"/>
  <c r="K96" i="41"/>
  <c r="AA90" i="41"/>
  <c r="AS84" i="41"/>
  <c r="U42" i="47"/>
  <c r="S39" i="47"/>
  <c r="AK36" i="47"/>
  <c r="AC36" i="47"/>
  <c r="U36" i="47"/>
  <c r="AB64" i="46" a="1"/>
  <c r="AB64" i="46" s="1"/>
  <c r="AJ78" i="43"/>
  <c r="O78" i="43"/>
  <c r="AB59" i="41" a="1"/>
  <c r="AB59" i="41" s="1"/>
  <c r="M31" i="47" a="1"/>
  <c r="M31" i="47" s="1"/>
  <c r="M30" i="47" s="1"/>
  <c r="W65" i="47" a="1"/>
  <c r="W65" i="47" s="1"/>
  <c r="AS67" i="43" a="1"/>
  <c r="AS67" i="43" s="1"/>
  <c r="S52" i="41" a="1"/>
  <c r="S52" i="41" s="1"/>
  <c r="AB16" i="43" a="1"/>
  <c r="AB16" i="43" s="1"/>
  <c r="AP25" i="47" a="1"/>
  <c r="AP25" i="47" s="1"/>
  <c r="X70" i="43" a="1"/>
  <c r="X70" i="43" s="1"/>
  <c r="X69" i="43" s="1"/>
  <c r="U71" i="43" a="1"/>
  <c r="U71" i="43" s="1"/>
  <c r="AP76" i="43" a="1"/>
  <c r="AP76" i="43" s="1"/>
  <c r="W79" i="43" a="1"/>
  <c r="W79" i="43" s="1"/>
  <c r="W78" i="43" s="1"/>
  <c r="J52" i="46" a="1"/>
  <c r="J52" i="46" s="1"/>
  <c r="X52" i="46" a="1"/>
  <c r="X52" i="46" s="1"/>
  <c r="X51" i="46" s="1"/>
  <c r="AG56" i="46" a="1"/>
  <c r="AG56" i="46" s="1"/>
  <c r="J99" i="41" l="1"/>
  <c r="V87" i="47"/>
  <c r="J75" i="43"/>
  <c r="AG72" i="47"/>
  <c r="AR9" i="47"/>
  <c r="AR24" i="43"/>
  <c r="U93" i="47"/>
  <c r="AL27" i="43"/>
  <c r="AH30" i="43"/>
  <c r="R84" i="46"/>
  <c r="AI75" i="43"/>
  <c r="V97" i="47" a="1"/>
  <c r="V97" i="47" s="1"/>
  <c r="V96" i="47" s="1"/>
  <c r="M51" i="46"/>
  <c r="O15" i="46"/>
  <c r="AT81" i="43"/>
  <c r="AH97" i="47" a="1"/>
  <c r="AH97" i="47" s="1"/>
  <c r="AH96" i="47" s="1"/>
  <c r="AB27" i="43"/>
  <c r="AR97" i="47" a="1"/>
  <c r="AR97" i="47" s="1"/>
  <c r="AC75" i="43"/>
  <c r="AB66" i="43"/>
  <c r="P18" i="46"/>
  <c r="N93" i="46"/>
  <c r="AP87" i="46"/>
  <c r="U72" i="46"/>
  <c r="R9" i="41"/>
  <c r="AP48" i="47"/>
  <c r="AD75" i="46"/>
  <c r="AP30" i="47"/>
  <c r="Q72" i="43"/>
  <c r="U72" i="43"/>
  <c r="P18" i="41"/>
  <c r="W60" i="43"/>
  <c r="AH42" i="41"/>
  <c r="AS87" i="43"/>
  <c r="Y48" i="46"/>
  <c r="AC78" i="46"/>
  <c r="AG78" i="46"/>
  <c r="J42" i="47"/>
  <c r="AD18" i="43"/>
  <c r="AC72" i="47"/>
  <c r="AH93" i="41"/>
  <c r="V57" i="46"/>
  <c r="V72" i="43"/>
  <c r="AP87" i="41"/>
  <c r="AL63" i="43"/>
  <c r="L90" i="43"/>
  <c r="U72" i="47"/>
  <c r="AG69" i="47"/>
  <c r="Q57" i="43"/>
  <c r="AI21" i="46"/>
  <c r="Z90" i="43"/>
  <c r="O21" i="46"/>
  <c r="Z33" i="46"/>
  <c r="T36" i="41"/>
  <c r="N78" i="47"/>
  <c r="O45" i="47"/>
  <c r="R90" i="47"/>
  <c r="Y15" i="43"/>
  <c r="AT84" i="46"/>
  <c r="AS93" i="46"/>
  <c r="Y69" i="43"/>
  <c r="N75" i="41"/>
  <c r="Q57" i="46"/>
  <c r="X69" i="47"/>
  <c r="M39" i="41"/>
  <c r="N27" i="43"/>
  <c r="AG15" i="46"/>
  <c r="AB9" i="47"/>
  <c r="W69" i="46"/>
  <c r="AA81" i="43"/>
  <c r="T87" i="46"/>
  <c r="AJ90" i="47"/>
  <c r="J87" i="46"/>
  <c r="AD42" i="46"/>
  <c r="AB15" i="46"/>
  <c r="M39" i="46"/>
  <c r="U30" i="41"/>
  <c r="W33" i="43"/>
  <c r="AQ33" i="41"/>
  <c r="L78" i="41"/>
  <c r="AM81" i="46"/>
  <c r="AB93" i="46"/>
  <c r="AG18" i="46"/>
  <c r="O81" i="43"/>
  <c r="AI69" i="46"/>
  <c r="Y72" i="47"/>
  <c r="AS51" i="46"/>
  <c r="AD72" i="46"/>
  <c r="V90" i="41"/>
  <c r="AS60" i="43"/>
  <c r="Z81" i="41"/>
  <c r="AE15" i="43"/>
  <c r="AR39" i="46"/>
  <c r="P33" i="43"/>
  <c r="AM9" i="41"/>
  <c r="AG84" i="41"/>
  <c r="AL54" i="43"/>
  <c r="P18" i="47"/>
  <c r="K42" i="47"/>
  <c r="AQ24" i="47"/>
  <c r="AE78" i="46"/>
  <c r="AH48" i="46"/>
  <c r="Y42" i="46"/>
  <c r="AJ60" i="43"/>
  <c r="AG9" i="43"/>
  <c r="AC84" i="46"/>
  <c r="T102" i="41"/>
  <c r="W102" i="43"/>
  <c r="P30" i="46"/>
  <c r="AE51" i="43"/>
  <c r="W87" i="46"/>
  <c r="AM21" i="47"/>
  <c r="R27" i="43"/>
  <c r="P24" i="47"/>
  <c r="V87" i="41"/>
  <c r="W9" i="46"/>
  <c r="AS81" i="43"/>
  <c r="N33" i="43"/>
  <c r="S87" i="41"/>
  <c r="AK81" i="46"/>
  <c r="AC51" i="47"/>
  <c r="AE63" i="47"/>
  <c r="V30" i="41"/>
  <c r="AJ51" i="43"/>
  <c r="AT75" i="43"/>
  <c r="Q99" i="46"/>
  <c r="AP42" i="47"/>
  <c r="AQ24" i="43"/>
  <c r="X45" i="47"/>
  <c r="AT42" i="47"/>
  <c r="R45" i="47"/>
  <c r="AP42" i="41"/>
  <c r="AA33" i="46"/>
  <c r="O21" i="41"/>
  <c r="AA84" i="46"/>
  <c r="AC48" i="47"/>
  <c r="J60" i="43"/>
  <c r="R81" i="46"/>
  <c r="AI66" i="47"/>
  <c r="AI45" i="47"/>
  <c r="U30" i="47"/>
  <c r="P48" i="41"/>
  <c r="AT78" i="43"/>
  <c r="Y75" i="46"/>
  <c r="S78" i="46"/>
  <c r="AE30" i="41"/>
  <c r="P72" i="46"/>
  <c r="AF54" i="47"/>
  <c r="AJ69" i="46"/>
  <c r="AL39" i="46"/>
  <c r="R42" i="41"/>
  <c r="U57" i="43"/>
  <c r="AP30" i="43"/>
  <c r="AA63" i="46"/>
  <c r="Q72" i="46"/>
  <c r="AA87" i="46"/>
  <c r="R102" i="46"/>
  <c r="X18" i="47"/>
  <c r="P33" i="47"/>
  <c r="AS72" i="43"/>
  <c r="W78" i="47"/>
  <c r="AC54" i="46"/>
  <c r="L36" i="41"/>
  <c r="AA24" i="41"/>
  <c r="AG27" i="41"/>
  <c r="M81" i="41"/>
  <c r="P24" i="46"/>
  <c r="AS60" i="41"/>
  <c r="AC45" i="47"/>
  <c r="AM90" i="47"/>
  <c r="T57" i="47"/>
  <c r="R90" i="41"/>
  <c r="AH39" i="43"/>
  <c r="O18" i="41"/>
  <c r="AS99" i="43"/>
  <c r="AI45" i="41"/>
  <c r="AP24" i="47"/>
  <c r="X24" i="47"/>
  <c r="AS54" i="46"/>
  <c r="S18" i="41"/>
  <c r="AM24" i="47"/>
  <c r="AS33" i="41"/>
  <c r="AP54" i="43"/>
  <c r="AM33" i="43"/>
  <c r="L60" i="46"/>
  <c r="AH63" i="46"/>
  <c r="AQ36" i="41"/>
  <c r="R60" i="46"/>
  <c r="V63" i="46"/>
  <c r="AL93" i="41"/>
  <c r="W36" i="41"/>
  <c r="AM42" i="43"/>
  <c r="AS42" i="43"/>
  <c r="L18" i="47"/>
  <c r="M33" i="47"/>
  <c r="AG78" i="47"/>
  <c r="AA78" i="47"/>
  <c r="AH42" i="43"/>
  <c r="AL102" i="41"/>
  <c r="L93" i="43"/>
  <c r="AQ39" i="46"/>
  <c r="AQ78" i="46"/>
  <c r="O48" i="43"/>
  <c r="AT72" i="43"/>
  <c r="AD21" i="47"/>
  <c r="Y81" i="41"/>
  <c r="S48" i="47"/>
  <c r="AE75" i="47"/>
  <c r="AP81" i="41"/>
  <c r="AL27" i="46"/>
  <c r="AC36" i="43"/>
  <c r="AG30" i="47"/>
  <c r="X57" i="46"/>
  <c r="AB21" i="41"/>
  <c r="AL72" i="43"/>
  <c r="K39" i="46"/>
  <c r="W63" i="41"/>
  <c r="J75" i="41"/>
  <c r="AI54" i="43"/>
  <c r="AG66" i="41"/>
  <c r="V78" i="46"/>
  <c r="AK24" i="41"/>
  <c r="AJ27" i="41"/>
  <c r="L39" i="41"/>
  <c r="M99" i="41"/>
  <c r="AE15" i="46"/>
  <c r="AA78" i="46"/>
  <c r="L93" i="46"/>
  <c r="U9" i="43"/>
  <c r="K36" i="41"/>
  <c r="AS69" i="43"/>
  <c r="W39" i="46"/>
  <c r="AK30" i="46"/>
  <c r="W33" i="46"/>
  <c r="L36" i="46"/>
  <c r="Q60" i="43"/>
  <c r="X78" i="46"/>
  <c r="AD60" i="43"/>
  <c r="Q48" i="47"/>
  <c r="AC48" i="46"/>
  <c r="J30" i="41"/>
  <c r="N93" i="41"/>
  <c r="Z60" i="43"/>
  <c r="AH99" i="43"/>
  <c r="AA54" i="46"/>
  <c r="AE27" i="46"/>
  <c r="U75" i="46"/>
  <c r="N84" i="46"/>
  <c r="AM87" i="46"/>
  <c r="AL84" i="46"/>
  <c r="AM102" i="46"/>
  <c r="AD75" i="43"/>
  <c r="P66" i="43"/>
  <c r="O24" i="41"/>
  <c r="P81" i="41"/>
  <c r="AE21" i="46"/>
  <c r="Q63" i="43"/>
  <c r="AB75" i="46"/>
  <c r="Q102" i="46"/>
  <c r="O33" i="41"/>
  <c r="AB48" i="41"/>
  <c r="AQ15" i="43"/>
  <c r="AA36" i="43"/>
  <c r="AE72" i="41"/>
  <c r="AP102" i="46"/>
  <c r="AS66" i="43"/>
  <c r="AE78" i="47"/>
  <c r="J57" i="46"/>
  <c r="AD36" i="41"/>
  <c r="R75" i="43"/>
  <c r="AK30" i="41"/>
  <c r="AK51" i="43"/>
  <c r="AQ54" i="46"/>
  <c r="T9" i="46"/>
  <c r="AJ75" i="43"/>
  <c r="AT21" i="41"/>
  <c r="AB39" i="41"/>
  <c r="Y57" i="43"/>
  <c r="AT48" i="43"/>
  <c r="P93" i="43"/>
  <c r="J96" i="43"/>
  <c r="W75" i="41"/>
  <c r="X90" i="43"/>
  <c r="T39" i="46"/>
  <c r="AJ51" i="46"/>
  <c r="AE72" i="43"/>
  <c r="AC102" i="41"/>
  <c r="S72" i="47"/>
  <c r="AK27" i="41"/>
  <c r="AM84" i="43"/>
  <c r="AS24" i="43"/>
  <c r="AS42" i="46"/>
  <c r="N33" i="46"/>
  <c r="AB48" i="46"/>
  <c r="W33" i="41"/>
  <c r="AJ18" i="41"/>
  <c r="AA30" i="43"/>
  <c r="AK24" i="43"/>
  <c r="AB90" i="41"/>
  <c r="AM75" i="43"/>
  <c r="AH81" i="43"/>
  <c r="P63" i="43"/>
  <c r="AG66" i="43"/>
  <c r="W45" i="43"/>
  <c r="J33" i="46"/>
  <c r="AS9" i="43"/>
  <c r="N18" i="41"/>
  <c r="K33" i="43"/>
  <c r="P21" i="41"/>
  <c r="V24" i="41"/>
  <c r="P33" i="41"/>
  <c r="AG42" i="43"/>
  <c r="Z51" i="43"/>
  <c r="L45" i="43"/>
  <c r="AL75" i="41"/>
  <c r="AQ102" i="43"/>
  <c r="L57" i="43"/>
  <c r="R69" i="43"/>
  <c r="AC102" i="43"/>
  <c r="V54" i="46"/>
  <c r="S63" i="41"/>
  <c r="AG27" i="43"/>
  <c r="Y48" i="41"/>
  <c r="AA96" i="46"/>
  <c r="R48" i="46"/>
  <c r="Q30" i="41"/>
  <c r="N30" i="41"/>
  <c r="Q15" i="41"/>
  <c r="L48" i="43"/>
  <c r="AM99" i="41"/>
  <c r="AI99" i="43"/>
  <c r="J51" i="46"/>
  <c r="AT54" i="46"/>
  <c r="AF24" i="47"/>
  <c r="Q51" i="46"/>
  <c r="AI78" i="47"/>
  <c r="AB30" i="41"/>
  <c r="AD9" i="41"/>
  <c r="M27" i="41"/>
  <c r="AI27" i="43"/>
  <c r="P9" i="46"/>
  <c r="AT75" i="47"/>
  <c r="AB42" i="41"/>
  <c r="U24" i="43"/>
  <c r="AR39" i="41"/>
  <c r="T75" i="43"/>
  <c r="V18" i="43"/>
  <c r="AL36" i="46"/>
  <c r="AQ27" i="43"/>
  <c r="AG57" i="43"/>
  <c r="AC81" i="41"/>
  <c r="K93" i="43"/>
  <c r="X57" i="41"/>
  <c r="AF96" i="41"/>
  <c r="U75" i="43"/>
  <c r="P102" i="43"/>
  <c r="X45" i="46"/>
  <c r="AH51" i="46"/>
  <c r="N39" i="46"/>
  <c r="AJ33" i="46"/>
  <c r="AG30" i="41"/>
  <c r="AS75" i="41"/>
  <c r="Y84" i="41"/>
  <c r="AH9" i="41"/>
  <c r="T84" i="43"/>
  <c r="AC72" i="46"/>
  <c r="Y78" i="46"/>
  <c r="AS81" i="46"/>
  <c r="T27" i="43"/>
  <c r="AS90" i="46"/>
  <c r="AJ30" i="47"/>
  <c r="AE69" i="41"/>
  <c r="N78" i="43"/>
  <c r="AK33" i="43"/>
  <c r="AM60" i="43"/>
  <c r="K78" i="43"/>
  <c r="AK66" i="43"/>
  <c r="J15" i="47"/>
  <c r="T18" i="47"/>
  <c r="AR36" i="47"/>
  <c r="L51" i="47"/>
  <c r="Z45" i="47"/>
  <c r="AQ30" i="47"/>
  <c r="N39" i="47"/>
  <c r="AT48" i="47"/>
  <c r="AA75" i="47"/>
  <c r="M75" i="46"/>
  <c r="U24" i="47"/>
  <c r="AA9" i="43"/>
  <c r="AP33" i="43"/>
  <c r="AT78" i="41"/>
  <c r="AQ9" i="47"/>
  <c r="AC51" i="43"/>
  <c r="Q75" i="46"/>
  <c r="V39" i="47"/>
  <c r="AT33" i="46"/>
  <c r="AB60" i="46"/>
  <c r="J87" i="43"/>
  <c r="AL99" i="46"/>
  <c r="Z9" i="47"/>
  <c r="R96" i="46"/>
  <c r="AL30" i="47"/>
  <c r="J45" i="47"/>
  <c r="AE63" i="41"/>
  <c r="R45" i="43"/>
  <c r="AD81" i="41"/>
  <c r="J60" i="47"/>
  <c r="W60" i="46"/>
  <c r="AB45" i="41"/>
  <c r="Q54" i="46"/>
  <c r="AS75" i="46"/>
  <c r="R99" i="46"/>
  <c r="AF99" i="46"/>
  <c r="M24" i="43"/>
  <c r="AK72" i="46"/>
  <c r="AD69" i="46"/>
  <c r="P36" i="47"/>
  <c r="AS48" i="47"/>
  <c r="N33" i="47"/>
  <c r="AA33" i="47"/>
  <c r="AQ42" i="47"/>
  <c r="O81" i="41"/>
  <c r="U57" i="46"/>
  <c r="M9" i="41"/>
  <c r="J9" i="43"/>
  <c r="AD33" i="41"/>
  <c r="AI9" i="46"/>
  <c r="AQ69" i="46"/>
  <c r="AB102" i="46"/>
  <c r="U15" i="43"/>
  <c r="AC66" i="41"/>
  <c r="AF18" i="43"/>
  <c r="K81" i="43"/>
  <c r="AA63" i="43"/>
  <c r="S90" i="41"/>
  <c r="AF72" i="43"/>
  <c r="U33" i="47"/>
  <c r="AG36" i="47"/>
  <c r="M78" i="47"/>
  <c r="Q93" i="47"/>
  <c r="AI87" i="47"/>
  <c r="AC60" i="43"/>
  <c r="K81" i="46"/>
  <c r="J93" i="43"/>
  <c r="AH60" i="41"/>
  <c r="P48" i="47"/>
  <c r="AF15" i="46"/>
  <c r="AB81" i="46"/>
  <c r="P69" i="46"/>
  <c r="AF96" i="46"/>
  <c r="V51" i="41"/>
  <c r="AF24" i="43"/>
  <c r="AQ84" i="43"/>
  <c r="AS36" i="47"/>
  <c r="AT69" i="47"/>
  <c r="AI87" i="41"/>
  <c r="N30" i="43"/>
  <c r="X24" i="41"/>
  <c r="AI90" i="46"/>
  <c r="AD93" i="46"/>
  <c r="AR27" i="47"/>
  <c r="Y33" i="47"/>
  <c r="O42" i="41"/>
  <c r="L87" i="46"/>
  <c r="AA15" i="46"/>
  <c r="AS48" i="46"/>
  <c r="AP84" i="43"/>
  <c r="AS9" i="41"/>
  <c r="Q93" i="46"/>
  <c r="AA72" i="43"/>
  <c r="J48" i="47"/>
  <c r="J75" i="47"/>
  <c r="Z45" i="41"/>
  <c r="Q84" i="41"/>
  <c r="AR36" i="46"/>
  <c r="AJ57" i="46"/>
  <c r="Q24" i="46"/>
  <c r="AE90" i="46"/>
  <c r="L96" i="46"/>
  <c r="AR90" i="46"/>
  <c r="AE27" i="43"/>
  <c r="Y27" i="43"/>
  <c r="AP33" i="47"/>
  <c r="AS72" i="46"/>
  <c r="AH39" i="41"/>
  <c r="AK18" i="47"/>
  <c r="Y66" i="43"/>
  <c r="AG33" i="47"/>
  <c r="J39" i="47"/>
  <c r="AH51" i="47"/>
  <c r="T81" i="47"/>
  <c r="AB57" i="41"/>
  <c r="O54" i="46"/>
  <c r="K18" i="43"/>
  <c r="AJ15" i="43"/>
  <c r="X48" i="46"/>
  <c r="AJ42" i="41"/>
  <c r="AM69" i="41"/>
  <c r="W72" i="43"/>
  <c r="O72" i="43"/>
  <c r="L54" i="41"/>
  <c r="AT36" i="46"/>
  <c r="AI18" i="41"/>
  <c r="AE39" i="46"/>
  <c r="V18" i="41"/>
  <c r="AQ30" i="41"/>
  <c r="AF54" i="46"/>
  <c r="AF57" i="47"/>
  <c r="AB15" i="43"/>
  <c r="AJ54" i="46"/>
  <c r="AI51" i="46"/>
  <c r="K78" i="47"/>
  <c r="R99" i="41"/>
  <c r="O102" i="41"/>
  <c r="AS69" i="47"/>
  <c r="AU9" i="47"/>
  <c r="AK36" i="41"/>
  <c r="AL99" i="41"/>
  <c r="AR45" i="41"/>
  <c r="AI39" i="41"/>
  <c r="AP21" i="41"/>
  <c r="Z30" i="41"/>
  <c r="V36" i="41"/>
  <c r="AT99" i="41"/>
  <c r="Q63" i="46"/>
  <c r="AG75" i="43"/>
  <c r="AE69" i="46"/>
  <c r="K51" i="46"/>
  <c r="AU9" i="43"/>
  <c r="I9" i="41"/>
  <c r="AJ15" i="41"/>
  <c r="Z24" i="41"/>
  <c r="AP27" i="41"/>
  <c r="AR36" i="41"/>
  <c r="AG48" i="43"/>
  <c r="AV9" i="41"/>
  <c r="U42" i="41"/>
  <c r="AM39" i="41"/>
  <c r="AM18" i="41"/>
  <c r="S24" i="41"/>
  <c r="Z36" i="41"/>
  <c r="AS21" i="47"/>
  <c r="AP63" i="43"/>
  <c r="O75" i="46"/>
  <c r="T66" i="43"/>
  <c r="S51" i="41"/>
  <c r="AM45" i="41"/>
  <c r="R33" i="41"/>
  <c r="AF42" i="41"/>
  <c r="AS21" i="41"/>
  <c r="AT27" i="41"/>
  <c r="L33" i="41"/>
  <c r="X39" i="41"/>
  <c r="AA69" i="41"/>
  <c r="AS78" i="47"/>
  <c r="AH9" i="46"/>
  <c r="AU9" i="46"/>
  <c r="K24" i="41"/>
  <c r="N36" i="41"/>
  <c r="AI72" i="41"/>
  <c r="AI60" i="43"/>
  <c r="Y18" i="43"/>
  <c r="AH33" i="43"/>
  <c r="K15" i="46"/>
  <c r="AE78" i="43"/>
  <c r="S9" i="41"/>
  <c r="W36" i="43"/>
  <c r="M45" i="43"/>
  <c r="M72" i="43"/>
  <c r="R30" i="43"/>
  <c r="R99" i="43"/>
  <c r="U18" i="46"/>
  <c r="S48" i="46"/>
  <c r="L18" i="46"/>
  <c r="R27" i="46"/>
  <c r="T63" i="46"/>
  <c r="AC27" i="46"/>
  <c r="AC33" i="46"/>
  <c r="U66" i="46"/>
  <c r="AM15" i="43"/>
  <c r="AE30" i="43"/>
  <c r="M9" i="43"/>
  <c r="R90" i="43"/>
  <c r="M102" i="43"/>
  <c r="V66" i="46"/>
  <c r="P60" i="46"/>
  <c r="Q30" i="46"/>
  <c r="Y102" i="41"/>
  <c r="P18" i="43"/>
  <c r="AQ15" i="46"/>
  <c r="AP51" i="46"/>
  <c r="M54" i="46"/>
  <c r="AJ36" i="46"/>
  <c r="AE30" i="46"/>
  <c r="AB69" i="41"/>
  <c r="AB18" i="43"/>
  <c r="AH45" i="41"/>
  <c r="M27" i="43"/>
  <c r="K60" i="43"/>
  <c r="J45" i="43"/>
  <c r="AL42" i="43"/>
  <c r="AP45" i="43"/>
  <c r="AF84" i="41"/>
  <c r="AB93" i="43"/>
  <c r="Z96" i="43"/>
  <c r="AF99" i="43"/>
  <c r="AH78" i="43"/>
  <c r="AF45" i="41"/>
  <c r="AF15" i="41"/>
  <c r="L30" i="43"/>
  <c r="AJ57" i="43"/>
  <c r="AL69" i="43"/>
  <c r="AL90" i="43"/>
  <c r="Q42" i="46"/>
  <c r="AR57" i="46"/>
  <c r="U54" i="43"/>
  <c r="AC75" i="41"/>
  <c r="AD87" i="41"/>
  <c r="Y24" i="43"/>
  <c r="O42" i="43"/>
  <c r="AF78" i="41"/>
  <c r="AI69" i="43"/>
  <c r="AP78" i="43"/>
  <c r="O66" i="43"/>
  <c r="AK9" i="43"/>
  <c r="M102" i="41"/>
  <c r="AT42" i="43"/>
  <c r="AJ48" i="43"/>
  <c r="AQ63" i="43"/>
  <c r="AR99" i="43"/>
  <c r="AQ33" i="46"/>
  <c r="AP42" i="46"/>
  <c r="K36" i="46"/>
  <c r="AM36" i="46"/>
  <c r="O30" i="46"/>
  <c r="P33" i="46"/>
  <c r="Q72" i="41"/>
  <c r="AE45" i="43"/>
  <c r="Z93" i="46"/>
  <c r="U84" i="43"/>
  <c r="U36" i="41"/>
  <c r="W69" i="43"/>
  <c r="AG72" i="43"/>
  <c r="M36" i="46"/>
  <c r="T54" i="46"/>
  <c r="AH39" i="46"/>
  <c r="AI42" i="46"/>
  <c r="AF33" i="46"/>
  <c r="AK33" i="46"/>
  <c r="Z30" i="43"/>
  <c r="AL96" i="46"/>
  <c r="AR9" i="41"/>
  <c r="W21" i="43"/>
  <c r="AG24" i="43"/>
  <c r="AC42" i="43"/>
  <c r="AL45" i="43"/>
  <c r="L54" i="43"/>
  <c r="AF54" i="43"/>
  <c r="T99" i="43"/>
  <c r="AK9" i="46"/>
  <c r="V45" i="46"/>
  <c r="AC90" i="41"/>
  <c r="AQ48" i="43"/>
  <c r="J66" i="46"/>
  <c r="AM30" i="46"/>
  <c r="X18" i="41"/>
  <c r="AA87" i="41"/>
  <c r="O51" i="43"/>
  <c r="X21" i="43"/>
  <c r="AI87" i="43"/>
  <c r="P84" i="46"/>
  <c r="X84" i="46"/>
  <c r="AK90" i="46"/>
  <c r="M81" i="43"/>
  <c r="AI102" i="43"/>
  <c r="AT48" i="41"/>
  <c r="O30" i="43"/>
  <c r="U96" i="43"/>
  <c r="AP60" i="46"/>
  <c r="AT60" i="46"/>
  <c r="T33" i="46"/>
  <c r="N78" i="46"/>
  <c r="AT18" i="43"/>
  <c r="AH57" i="43"/>
  <c r="O72" i="41"/>
  <c r="N90" i="43"/>
  <c r="AH96" i="43"/>
  <c r="W66" i="43"/>
  <c r="S18" i="43"/>
  <c r="AG33" i="43"/>
  <c r="AG39" i="43"/>
  <c r="N42" i="46"/>
  <c r="X36" i="46"/>
  <c r="V36" i="46"/>
  <c r="AF57" i="46"/>
  <c r="AA27" i="43"/>
  <c r="AC48" i="43"/>
  <c r="M33" i="43"/>
  <c r="AB15" i="41"/>
  <c r="AD33" i="43"/>
  <c r="AE39" i="43"/>
  <c r="P54" i="43"/>
  <c r="AR42" i="41"/>
  <c r="AI84" i="41"/>
  <c r="Y72" i="43"/>
  <c r="AQ60" i="41"/>
  <c r="Y78" i="41"/>
  <c r="V33" i="43"/>
  <c r="AB63" i="43"/>
  <c r="AB24" i="46"/>
  <c r="Q36" i="46"/>
  <c r="AA45" i="46"/>
  <c r="M63" i="46"/>
  <c r="AA36" i="46"/>
  <c r="S30" i="46"/>
  <c r="Y33" i="46"/>
  <c r="AR27" i="41"/>
  <c r="O33" i="43"/>
  <c r="J18" i="41"/>
  <c r="AL24" i="41"/>
  <c r="AS24" i="41"/>
  <c r="AT39" i="41"/>
  <c r="Q27" i="41"/>
  <c r="AI45" i="43"/>
  <c r="V51" i="43"/>
  <c r="R57" i="43"/>
  <c r="R42" i="43"/>
  <c r="V93" i="41"/>
  <c r="U45" i="43"/>
  <c r="AP93" i="43"/>
  <c r="R96" i="43"/>
  <c r="R39" i="41"/>
  <c r="AK18" i="43"/>
  <c r="S87" i="43"/>
  <c r="AS18" i="43"/>
  <c r="Z27" i="43"/>
  <c r="AI15" i="46"/>
  <c r="AT24" i="46"/>
  <c r="L63" i="46"/>
  <c r="S21" i="46"/>
  <c r="AM33" i="46"/>
  <c r="AS30" i="46"/>
  <c r="N24" i="43"/>
  <c r="AT15" i="43"/>
  <c r="AF33" i="47"/>
  <c r="AR84" i="41"/>
  <c r="AP99" i="41"/>
  <c r="AQ33" i="43"/>
  <c r="K21" i="43"/>
  <c r="AK42" i="43"/>
  <c r="V57" i="43"/>
  <c r="P30" i="41"/>
  <c r="AC24" i="46"/>
  <c r="AG78" i="43"/>
  <c r="M18" i="46"/>
  <c r="AA78" i="43"/>
  <c r="AD60" i="41"/>
  <c r="AI63" i="46"/>
  <c r="M33" i="46"/>
  <c r="Z42" i="43"/>
  <c r="O81" i="46"/>
  <c r="AQ15" i="41"/>
  <c r="R18" i="43"/>
  <c r="AP75" i="46"/>
  <c r="Z78" i="46"/>
  <c r="T81" i="46"/>
  <c r="AR99" i="46"/>
  <c r="AR21" i="47"/>
  <c r="L24" i="47"/>
  <c r="AM48" i="43"/>
  <c r="X87" i="43"/>
  <c r="K99" i="43"/>
  <c r="T75" i="46"/>
  <c r="AK54" i="41"/>
  <c r="S81" i="43"/>
  <c r="AP90" i="46"/>
  <c r="L39" i="47"/>
  <c r="T42" i="47"/>
  <c r="R57" i="47"/>
  <c r="AI33" i="47"/>
  <c r="M21" i="43"/>
  <c r="AC99" i="46"/>
  <c r="M75" i="43"/>
  <c r="AD54" i="43"/>
  <c r="AE75" i="46"/>
  <c r="T75" i="47"/>
  <c r="V72" i="46"/>
  <c r="AH78" i="46"/>
  <c r="Y84" i="46"/>
  <c r="N90" i="46"/>
  <c r="AS15" i="47"/>
  <c r="P63" i="46"/>
  <c r="AK75" i="46"/>
  <c r="X84" i="43"/>
  <c r="AF96" i="43"/>
  <c r="K84" i="46"/>
  <c r="AI66" i="41"/>
  <c r="AS57" i="41"/>
  <c r="W75" i="43"/>
  <c r="Z84" i="43"/>
  <c r="AG63" i="46"/>
  <c r="O15" i="47"/>
  <c r="P87" i="47"/>
  <c r="AG45" i="47"/>
  <c r="X78" i="47"/>
  <c r="M84" i="47"/>
  <c r="T90" i="47"/>
  <c r="Z75" i="46"/>
  <c r="AM30" i="47"/>
  <c r="X72" i="46"/>
  <c r="AC75" i="46"/>
  <c r="AR102" i="41"/>
  <c r="AR75" i="41"/>
  <c r="AL102" i="46"/>
  <c r="AA66" i="41"/>
  <c r="AK45" i="47"/>
  <c r="R51" i="47"/>
  <c r="W54" i="47"/>
  <c r="S75" i="47"/>
  <c r="AC81" i="47"/>
  <c r="M81" i="47"/>
  <c r="U84" i="47"/>
  <c r="AA75" i="46"/>
  <c r="Z69" i="46"/>
  <c r="U18" i="47"/>
  <c r="AM66" i="43"/>
  <c r="AA21" i="41"/>
  <c r="AC18" i="47"/>
  <c r="AS54" i="43"/>
  <c r="AD81" i="43"/>
  <c r="T102" i="43"/>
  <c r="AK63" i="43"/>
  <c r="AH81" i="46"/>
  <c r="Y57" i="47"/>
  <c r="AT24" i="43"/>
  <c r="AM69" i="43"/>
  <c r="AB90" i="43"/>
  <c r="R15" i="47"/>
  <c r="W15" i="47"/>
  <c r="AG51" i="47"/>
  <c r="AD57" i="47"/>
  <c r="O42" i="47"/>
  <c r="N75" i="47"/>
  <c r="L84" i="47"/>
  <c r="P102" i="46"/>
  <c r="AM24" i="43"/>
  <c r="K30" i="43"/>
  <c r="AL87" i="46"/>
  <c r="K36" i="43"/>
  <c r="V45" i="47"/>
  <c r="AL87" i="47"/>
  <c r="M72" i="47"/>
  <c r="K90" i="47"/>
  <c r="AI90" i="47"/>
  <c r="X84" i="47"/>
  <c r="P96" i="46"/>
  <c r="AQ63" i="41"/>
  <c r="AA24" i="47"/>
  <c r="AH27" i="41"/>
  <c r="W18" i="41"/>
  <c r="AA30" i="47"/>
  <c r="AE75" i="41"/>
  <c r="AE81" i="41"/>
  <c r="U24" i="41"/>
  <c r="AR84" i="43"/>
  <c r="AT18" i="46"/>
  <c r="AT33" i="47"/>
  <c r="O84" i="47"/>
  <c r="W42" i="47"/>
  <c r="Q78" i="47"/>
  <c r="AQ78" i="47"/>
  <c r="AR81" i="47"/>
  <c r="AG90" i="43"/>
  <c r="AG99" i="46"/>
  <c r="AP99" i="46"/>
  <c r="AJ9" i="47"/>
  <c r="L75" i="46"/>
  <c r="AA15" i="47"/>
  <c r="AB30" i="47"/>
  <c r="AT54" i="47"/>
  <c r="AB84" i="41"/>
  <c r="AC33" i="41"/>
  <c r="V81" i="41"/>
  <c r="AH30" i="47"/>
  <c r="AG84" i="46"/>
  <c r="AF87" i="43"/>
  <c r="V27" i="47"/>
  <c r="S30" i="47"/>
  <c r="U87" i="43"/>
  <c r="R39" i="47"/>
  <c r="K45" i="47"/>
  <c r="AB48" i="47"/>
  <c r="O90" i="47"/>
  <c r="Y81" i="47"/>
  <c r="AQ72" i="41"/>
  <c r="Y81" i="43"/>
  <c r="AK42" i="41"/>
  <c r="AI18" i="43"/>
  <c r="M72" i="46"/>
  <c r="AL72" i="46"/>
  <c r="AM72" i="46"/>
  <c r="X87" i="46"/>
  <c r="AP93" i="46"/>
  <c r="AG24" i="47"/>
  <c r="X102" i="46"/>
  <c r="AT102" i="46"/>
  <c r="N84" i="43"/>
  <c r="AB69" i="46"/>
  <c r="P42" i="47"/>
  <c r="AH45" i="47"/>
  <c r="X33" i="43"/>
  <c r="AG39" i="41"/>
  <c r="AK15" i="41"/>
  <c r="AR75" i="46"/>
  <c r="U93" i="41"/>
  <c r="Z39" i="47"/>
  <c r="AD51" i="47"/>
  <c r="AF78" i="47"/>
  <c r="N87" i="47"/>
  <c r="AC18" i="43"/>
  <c r="AF75" i="46"/>
  <c r="AR69" i="46"/>
  <c r="O78" i="46"/>
  <c r="AT9" i="47"/>
  <c r="Q30" i="43"/>
  <c r="AL78" i="43"/>
  <c r="AJ24" i="47"/>
  <c r="AT81" i="41"/>
  <c r="X45" i="43"/>
  <c r="AH15" i="47"/>
  <c r="AI51" i="47"/>
  <c r="N21" i="46"/>
  <c r="AL93" i="43"/>
  <c r="AA81" i="46"/>
  <c r="K102" i="46"/>
  <c r="AD51" i="46"/>
  <c r="AK99" i="41"/>
  <c r="AD48" i="43"/>
  <c r="X102" i="41"/>
  <c r="S36" i="47"/>
  <c r="O9" i="41"/>
  <c r="Q18" i="47"/>
  <c r="AA21" i="47"/>
  <c r="AF45" i="47"/>
  <c r="Y36" i="47"/>
  <c r="K75" i="47"/>
  <c r="T78" i="47"/>
  <c r="AC78" i="47"/>
  <c r="AM81" i="47"/>
  <c r="W90" i="47"/>
  <c r="U87" i="47"/>
  <c r="AL48" i="46"/>
  <c r="Y87" i="43"/>
  <c r="R51" i="46"/>
  <c r="R54" i="46"/>
  <c r="U51" i="46"/>
  <c r="K72" i="43"/>
  <c r="AM78" i="47"/>
  <c r="X60" i="43"/>
  <c r="O21" i="43"/>
  <c r="X15" i="46"/>
  <c r="Z63" i="43"/>
  <c r="AH75" i="46"/>
  <c r="O45" i="41"/>
  <c r="L21" i="41"/>
  <c r="M24" i="47"/>
  <c r="S54" i="46"/>
  <c r="O63" i="43"/>
  <c r="K51" i="43"/>
  <c r="U102" i="41"/>
  <c r="AV9" i="47"/>
  <c r="AG18" i="41"/>
  <c r="N24" i="41"/>
  <c r="AE102" i="43"/>
  <c r="K54" i="46"/>
  <c r="AP75" i="43"/>
  <c r="AG54" i="46"/>
  <c r="AA75" i="43"/>
  <c r="AD30" i="41"/>
  <c r="R24" i="41"/>
  <c r="AM51" i="46"/>
  <c r="AI57" i="47"/>
  <c r="Z54" i="46"/>
  <c r="AR60" i="46"/>
  <c r="AI93" i="43"/>
  <c r="M42" i="41"/>
  <c r="T96" i="41"/>
  <c r="T51" i="46"/>
  <c r="Y33" i="41"/>
  <c r="AR54" i="41"/>
  <c r="AR51" i="46"/>
  <c r="S72" i="43"/>
  <c r="O78" i="47"/>
  <c r="K60" i="47"/>
  <c r="W9" i="43"/>
  <c r="AK24" i="47"/>
  <c r="AS54" i="47"/>
  <c r="L54" i="46"/>
  <c r="Q69" i="43"/>
  <c r="W27" i="43"/>
  <c r="AF51" i="46"/>
  <c r="AI24" i="47"/>
  <c r="S78" i="47"/>
  <c r="AA48" i="46"/>
  <c r="O57" i="47"/>
  <c r="M18" i="41"/>
  <c r="P27" i="41"/>
  <c r="X54" i="43"/>
  <c r="V15" i="41"/>
  <c r="Y42" i="41"/>
  <c r="W39" i="41"/>
  <c r="S30" i="41"/>
  <c r="U33" i="41"/>
  <c r="AH36" i="41"/>
  <c r="AS36" i="41"/>
  <c r="T90" i="41"/>
  <c r="AS33" i="43"/>
  <c r="J87" i="41"/>
  <c r="AA9" i="46"/>
  <c r="AB84" i="43"/>
  <c r="J90" i="43"/>
  <c r="X99" i="43"/>
  <c r="AD39" i="41"/>
  <c r="AG15" i="43"/>
  <c r="L24" i="43"/>
  <c r="N18" i="46"/>
  <c r="AM57" i="46"/>
  <c r="V42" i="46"/>
  <c r="AE27" i="41"/>
  <c r="AL18" i="41"/>
  <c r="AJ21" i="41"/>
  <c r="Q21" i="41"/>
  <c r="AR24" i="41"/>
  <c r="AI30" i="41"/>
  <c r="AL36" i="41"/>
  <c r="AR18" i="41"/>
  <c r="AH21" i="43"/>
  <c r="AT30" i="43"/>
  <c r="J33" i="43"/>
  <c r="J39" i="43"/>
  <c r="U48" i="43"/>
  <c r="T54" i="43"/>
  <c r="AD69" i="43"/>
  <c r="AF84" i="43"/>
  <c r="X96" i="43"/>
  <c r="O66" i="46"/>
  <c r="L42" i="41"/>
  <c r="M36" i="41"/>
  <c r="T21" i="41"/>
  <c r="R30" i="41"/>
  <c r="AJ33" i="41"/>
  <c r="AK39" i="41"/>
  <c r="AE45" i="41"/>
  <c r="AQ21" i="43"/>
  <c r="AI21" i="43"/>
  <c r="AJ36" i="43"/>
  <c r="Y42" i="43"/>
  <c r="AJ54" i="43"/>
  <c r="J57" i="43"/>
  <c r="O30" i="41"/>
  <c r="AR33" i="41"/>
  <c r="M39" i="43"/>
  <c r="AL81" i="41"/>
  <c r="Z48" i="43"/>
  <c r="Q9" i="46"/>
  <c r="Q60" i="41"/>
  <c r="AI96" i="41"/>
  <c r="R51" i="41"/>
  <c r="AK54" i="46"/>
  <c r="K21" i="41"/>
  <c r="AL9" i="41"/>
  <c r="Y21" i="41"/>
  <c r="AD24" i="41"/>
  <c r="AR81" i="41"/>
  <c r="Q93" i="41"/>
  <c r="T24" i="43"/>
  <c r="AE48" i="43"/>
  <c r="AG87" i="43"/>
  <c r="Z9" i="41"/>
  <c r="R18" i="41"/>
  <c r="AH75" i="41"/>
  <c r="S99" i="43"/>
  <c r="AE39" i="41"/>
  <c r="J51" i="41"/>
  <c r="S78" i="41"/>
  <c r="AS39" i="43"/>
  <c r="Q33" i="43"/>
  <c r="AB39" i="43"/>
  <c r="U75" i="41"/>
  <c r="AT84" i="41"/>
  <c r="AR87" i="41"/>
  <c r="AQ45" i="43"/>
  <c r="AP72" i="43"/>
  <c r="AG96" i="43"/>
  <c r="Q18" i="46"/>
  <c r="K27" i="41"/>
  <c r="AS63" i="41"/>
  <c r="AS69" i="41"/>
  <c r="AE87" i="41"/>
  <c r="AF18" i="46"/>
  <c r="AM57" i="41"/>
  <c r="AL78" i="46"/>
  <c r="AD102" i="41"/>
  <c r="AD99" i="41"/>
  <c r="AR21" i="41"/>
  <c r="AG42" i="41"/>
  <c r="AC21" i="41"/>
  <c r="V42" i="41"/>
  <c r="W24" i="41"/>
  <c r="V102" i="41"/>
  <c r="AR21" i="43"/>
  <c r="AH27" i="43"/>
  <c r="AK36" i="43"/>
  <c r="T42" i="43"/>
  <c r="Z57" i="43"/>
  <c r="AK39" i="43"/>
  <c r="K78" i="41"/>
  <c r="R78" i="43"/>
  <c r="AD96" i="43"/>
  <c r="K18" i="41"/>
  <c r="N51" i="43"/>
  <c r="U36" i="46"/>
  <c r="Q99" i="41"/>
  <c r="T36" i="43"/>
  <c r="X48" i="43"/>
  <c r="AD57" i="43"/>
  <c r="AB45" i="43"/>
  <c r="W84" i="41"/>
  <c r="U15" i="46"/>
  <c r="AM102" i="43"/>
  <c r="AB51" i="41"/>
  <c r="M87" i="43"/>
  <c r="X9" i="43"/>
  <c r="AD39" i="43"/>
  <c r="AD63" i="43"/>
  <c r="AK96" i="43"/>
  <c r="AC66" i="46"/>
  <c r="V33" i="41"/>
  <c r="AT51" i="46"/>
  <c r="AS45" i="46"/>
  <c r="T48" i="41"/>
  <c r="S15" i="41"/>
  <c r="U18" i="41"/>
  <c r="AM21" i="41"/>
  <c r="AL30" i="41"/>
  <c r="X33" i="41"/>
  <c r="AP33" i="41"/>
  <c r="J36" i="41"/>
  <c r="AF39" i="41"/>
  <c r="R84" i="41"/>
  <c r="AF72" i="41"/>
  <c r="N99" i="41"/>
  <c r="S60" i="43"/>
  <c r="AM21" i="43"/>
  <c r="N57" i="43"/>
  <c r="AE36" i="41"/>
  <c r="AF39" i="43"/>
  <c r="L72" i="41"/>
  <c r="AQ75" i="41"/>
  <c r="U87" i="41"/>
  <c r="AE96" i="41"/>
  <c r="AP66" i="43"/>
  <c r="AE99" i="43"/>
  <c r="AP87" i="43"/>
  <c r="P99" i="43"/>
  <c r="L9" i="46"/>
  <c r="AQ9" i="46"/>
  <c r="U9" i="46"/>
  <c r="AF63" i="41"/>
  <c r="P84" i="43"/>
  <c r="S42" i="43"/>
  <c r="AD45" i="43"/>
  <c r="AP93" i="47"/>
  <c r="J42" i="46"/>
  <c r="O27" i="41"/>
  <c r="O39" i="41"/>
  <c r="AQ21" i="41"/>
  <c r="AF27" i="41"/>
  <c r="AT33" i="41"/>
  <c r="O36" i="41"/>
  <c r="P39" i="41"/>
  <c r="J42" i="41"/>
  <c r="AQ27" i="41"/>
  <c r="AM84" i="41"/>
  <c r="Z51" i="41"/>
  <c r="AM54" i="43"/>
  <c r="V9" i="41"/>
  <c r="AP18" i="43"/>
  <c r="Z21" i="43"/>
  <c r="AI39" i="43"/>
  <c r="X42" i="43"/>
  <c r="AE90" i="41"/>
  <c r="J78" i="43"/>
  <c r="AS102" i="43"/>
  <c r="R48" i="41"/>
  <c r="AB21" i="43"/>
  <c r="AE93" i="43"/>
  <c r="AI33" i="46"/>
  <c r="O18" i="43"/>
  <c r="K27" i="47"/>
  <c r="R81" i="47"/>
  <c r="AH36" i="46"/>
  <c r="P9" i="43"/>
  <c r="J27" i="43"/>
  <c r="AE33" i="43"/>
  <c r="AB36" i="43"/>
  <c r="AL39" i="43"/>
  <c r="M42" i="43"/>
  <c r="R75" i="41"/>
  <c r="AS78" i="41"/>
  <c r="K54" i="43"/>
  <c r="J102" i="43"/>
  <c r="AD102" i="43"/>
  <c r="AT33" i="43"/>
  <c r="AC99" i="41"/>
  <c r="S30" i="43"/>
  <c r="U27" i="41"/>
  <c r="Q39" i="41"/>
  <c r="AJ84" i="41"/>
  <c r="W51" i="41"/>
  <c r="AA21" i="43"/>
  <c r="P24" i="43"/>
  <c r="AG30" i="43"/>
  <c r="W39" i="43"/>
  <c r="W51" i="43"/>
  <c r="AT54" i="43"/>
  <c r="AT30" i="41"/>
  <c r="AH69" i="41"/>
  <c r="T84" i="41"/>
  <c r="AH102" i="43"/>
  <c r="U66" i="41"/>
  <c r="Q33" i="41"/>
  <c r="S48" i="43"/>
  <c r="M66" i="43"/>
  <c r="Z78" i="43"/>
  <c r="AP39" i="46"/>
  <c r="X33" i="46"/>
  <c r="Y54" i="41"/>
  <c r="AR18" i="43"/>
  <c r="AF42" i="46"/>
  <c r="U48" i="46"/>
  <c r="AS102" i="41"/>
  <c r="AM24" i="41"/>
  <c r="T27" i="41"/>
  <c r="Y27" i="41"/>
  <c r="AR30" i="41"/>
  <c r="AB33" i="41"/>
  <c r="Z75" i="41"/>
  <c r="W90" i="41"/>
  <c r="AL57" i="43"/>
  <c r="AE21" i="43"/>
  <c r="AL33" i="43"/>
  <c r="AM39" i="43"/>
  <c r="AR45" i="43"/>
  <c r="AC54" i="43"/>
  <c r="AI42" i="43"/>
  <c r="J69" i="43"/>
  <c r="O69" i="43"/>
  <c r="U54" i="41"/>
  <c r="V21" i="46"/>
  <c r="AF24" i="46"/>
  <c r="AR27" i="46"/>
  <c r="O48" i="46"/>
  <c r="AD63" i="46"/>
  <c r="AK60" i="46"/>
  <c r="AQ30" i="46"/>
  <c r="AS36" i="46"/>
  <c r="AA30" i="46"/>
  <c r="AP33" i="46"/>
  <c r="U48" i="41"/>
  <c r="S57" i="43"/>
  <c r="Y18" i="46"/>
  <c r="AJ9" i="43"/>
  <c r="AI72" i="43"/>
  <c r="N81" i="43"/>
  <c r="AK15" i="43"/>
  <c r="AI54" i="41"/>
  <c r="AE9" i="41"/>
  <c r="AT69" i="46"/>
  <c r="AC90" i="46"/>
  <c r="AD9" i="47"/>
  <c r="L63" i="43"/>
  <c r="AA27" i="47"/>
  <c r="AH42" i="46"/>
  <c r="V48" i="46"/>
  <c r="AM48" i="46"/>
  <c r="AD54" i="46"/>
  <c r="Y66" i="46"/>
  <c r="AF66" i="46"/>
  <c r="O27" i="46"/>
  <c r="AI27" i="46"/>
  <c r="AC30" i="46"/>
  <c r="K33" i="46"/>
  <c r="AG27" i="46"/>
  <c r="K30" i="46"/>
  <c r="AB36" i="46"/>
  <c r="Z21" i="41"/>
  <c r="K57" i="41"/>
  <c r="AQ42" i="43"/>
  <c r="AQ66" i="46"/>
  <c r="AD21" i="41"/>
  <c r="AQ72" i="46"/>
  <c r="J72" i="46"/>
  <c r="AF93" i="46"/>
  <c r="AP96" i="46"/>
  <c r="AT9" i="41"/>
  <c r="AJ15" i="46"/>
  <c r="AI36" i="47"/>
  <c r="J30" i="43"/>
  <c r="U90" i="43"/>
  <c r="K9" i="46"/>
  <c r="L24" i="46"/>
  <c r="AF30" i="46"/>
  <c r="AB18" i="46"/>
  <c r="AD60" i="46"/>
  <c r="AB66" i="46"/>
  <c r="S60" i="46"/>
  <c r="AI66" i="46"/>
  <c r="L33" i="46"/>
  <c r="AG90" i="41"/>
  <c r="R93" i="46"/>
  <c r="AR93" i="46"/>
  <c r="AI93" i="46"/>
  <c r="AP18" i="47"/>
  <c r="AF36" i="46"/>
  <c r="AC42" i="46"/>
  <c r="V60" i="46"/>
  <c r="AE66" i="46"/>
  <c r="X63" i="46"/>
  <c r="AL66" i="46"/>
  <c r="U27" i="43"/>
  <c r="AH15" i="41"/>
  <c r="AI57" i="43"/>
  <c r="AR18" i="46"/>
  <c r="AK30" i="43"/>
  <c r="T15" i="41"/>
  <c r="AJ36" i="41"/>
  <c r="Y87" i="41"/>
  <c r="Z57" i="41"/>
  <c r="S93" i="46"/>
  <c r="AS102" i="46"/>
  <c r="L30" i="47"/>
  <c r="AL51" i="47"/>
  <c r="Y15" i="41"/>
  <c r="L45" i="41"/>
  <c r="AH87" i="43"/>
  <c r="O24" i="43"/>
  <c r="AL51" i="43"/>
  <c r="AG63" i="43"/>
  <c r="R24" i="43"/>
  <c r="Z27" i="46"/>
  <c r="AQ36" i="46"/>
  <c r="AM39" i="46"/>
  <c r="AG42" i="46"/>
  <c r="AS57" i="46"/>
  <c r="AM21" i="46"/>
  <c r="AG24" i="46"/>
  <c r="S27" i="46"/>
  <c r="AM27" i="46"/>
  <c r="AD36" i="46"/>
  <c r="AR33" i="43"/>
  <c r="L24" i="41"/>
  <c r="AL39" i="41"/>
  <c r="K51" i="41"/>
  <c r="O9" i="43"/>
  <c r="AQ9" i="43"/>
  <c r="AH63" i="43"/>
  <c r="O93" i="46"/>
  <c r="S72" i="46"/>
  <c r="T78" i="46"/>
  <c r="AE81" i="46"/>
  <c r="J99" i="46"/>
  <c r="AD99" i="46"/>
  <c r="R9" i="47"/>
  <c r="K90" i="46"/>
  <c r="L36" i="43"/>
  <c r="AG45" i="43"/>
  <c r="U63" i="43"/>
  <c r="Q84" i="43"/>
  <c r="AF54" i="41"/>
  <c r="AD24" i="43"/>
  <c r="AC33" i="43"/>
  <c r="T30" i="46"/>
  <c r="T36" i="46"/>
  <c r="V18" i="46"/>
  <c r="AR33" i="46"/>
  <c r="AI30" i="46"/>
  <c r="S36" i="46"/>
  <c r="AM27" i="41"/>
  <c r="M48" i="43"/>
  <c r="S63" i="46"/>
  <c r="J93" i="41"/>
  <c r="V69" i="46"/>
  <c r="AJ75" i="46"/>
  <c r="W81" i="46"/>
  <c r="AJ87" i="46"/>
  <c r="AM93" i="46"/>
  <c r="K75" i="41"/>
  <c r="R93" i="43"/>
  <c r="AH45" i="46"/>
  <c r="AG36" i="46"/>
  <c r="Z18" i="43"/>
  <c r="AD33" i="46"/>
  <c r="AK45" i="46"/>
  <c r="Z51" i="46"/>
  <c r="AQ63" i="46"/>
  <c r="Z60" i="46"/>
  <c r="S66" i="46"/>
  <c r="W27" i="46"/>
  <c r="AS33" i="46"/>
  <c r="Y66" i="41"/>
  <c r="K93" i="41"/>
  <c r="K45" i="43"/>
  <c r="AQ54" i="43"/>
  <c r="AG36" i="43"/>
  <c r="L9" i="41"/>
  <c r="M81" i="46"/>
  <c r="AK84" i="46"/>
  <c r="Z72" i="46"/>
  <c r="N99" i="46"/>
  <c r="L60" i="43"/>
  <c r="X36" i="43"/>
  <c r="L78" i="43"/>
  <c r="AL81" i="43"/>
  <c r="AJ87" i="43"/>
  <c r="L99" i="43"/>
  <c r="AP99" i="43"/>
  <c r="AQ9" i="41"/>
  <c r="AR48" i="41"/>
  <c r="N54" i="41"/>
  <c r="Z15" i="43"/>
  <c r="AR93" i="41"/>
  <c r="P42" i="43"/>
  <c r="J9" i="46"/>
  <c r="AQ24" i="46"/>
  <c r="AJ39" i="46"/>
  <c r="U54" i="46"/>
  <c r="X24" i="46"/>
  <c r="Z36" i="46"/>
  <c r="L48" i="46"/>
  <c r="S51" i="46"/>
  <c r="AS60" i="46"/>
  <c r="AS27" i="46"/>
  <c r="AE33" i="46"/>
  <c r="S75" i="41"/>
  <c r="AK60" i="43"/>
  <c r="AI45" i="46"/>
  <c r="X27" i="43"/>
  <c r="AO9" i="43"/>
  <c r="AF72" i="46"/>
  <c r="AT75" i="46"/>
  <c r="AD78" i="46"/>
  <c r="U90" i="46"/>
  <c r="AQ90" i="46"/>
  <c r="AG72" i="46"/>
  <c r="X96" i="46"/>
  <c r="AA42" i="47"/>
  <c r="AF9" i="41"/>
  <c r="AH36" i="43"/>
  <c r="AH93" i="43"/>
  <c r="Z9" i="46"/>
  <c r="R21" i="46"/>
  <c r="V27" i="46"/>
  <c r="P45" i="46"/>
  <c r="J27" i="46"/>
  <c r="AE36" i="46"/>
  <c r="AG51" i="46"/>
  <c r="AL63" i="46"/>
  <c r="Y30" i="46"/>
  <c r="S33" i="46"/>
  <c r="U33" i="46"/>
  <c r="AG33" i="46"/>
  <c r="AT24" i="41"/>
  <c r="AT36" i="41"/>
  <c r="AR36" i="43"/>
  <c r="AH66" i="46"/>
  <c r="J15" i="41"/>
  <c r="Y60" i="43"/>
  <c r="AS63" i="43"/>
  <c r="V99" i="41"/>
  <c r="AR60" i="43"/>
  <c r="AR75" i="43"/>
  <c r="T81" i="43"/>
  <c r="AL42" i="41"/>
  <c r="AE57" i="43"/>
  <c r="Q27" i="43"/>
  <c r="AR30" i="43"/>
  <c r="AF102" i="43"/>
  <c r="AH21" i="46"/>
  <c r="AC36" i="46"/>
  <c r="T42" i="46"/>
  <c r="AI54" i="46"/>
  <c r="R36" i="46"/>
  <c r="Y18" i="41"/>
  <c r="U60" i="41"/>
  <c r="AI99" i="41"/>
  <c r="AM60" i="46"/>
  <c r="AT27" i="43"/>
  <c r="Y60" i="41"/>
  <c r="N81" i="46"/>
  <c r="AH90" i="46"/>
  <c r="AF21" i="43"/>
  <c r="AK75" i="41"/>
  <c r="J24" i="43"/>
  <c r="Q24" i="47"/>
  <c r="X60" i="41"/>
  <c r="Z87" i="41"/>
  <c r="Z72" i="47"/>
  <c r="AE33" i="47"/>
  <c r="AC78" i="43"/>
  <c r="Y18" i="47"/>
  <c r="AL36" i="47"/>
  <c r="AI15" i="47"/>
  <c r="T18" i="46"/>
  <c r="AE102" i="46"/>
  <c r="Y78" i="43"/>
  <c r="N102" i="41"/>
  <c r="AB24" i="47"/>
  <c r="AF48" i="41"/>
  <c r="T60" i="43"/>
  <c r="V90" i="43"/>
  <c r="AM36" i="43"/>
  <c r="AC63" i="43"/>
  <c r="AK18" i="46"/>
  <c r="Z93" i="43"/>
  <c r="O90" i="46"/>
  <c r="AF42" i="47"/>
  <c r="AD51" i="41"/>
  <c r="Z18" i="46"/>
  <c r="Y87" i="46"/>
  <c r="AD33" i="47"/>
  <c r="AI75" i="46"/>
  <c r="X81" i="46"/>
  <c r="AQ84" i="46"/>
  <c r="AC69" i="46"/>
  <c r="T72" i="46"/>
  <c r="Q87" i="46"/>
  <c r="V90" i="46"/>
  <c r="Y60" i="46"/>
  <c r="AK63" i="46"/>
  <c r="AL24" i="43"/>
  <c r="AD30" i="43"/>
  <c r="AC72" i="41"/>
  <c r="AK27" i="43"/>
  <c r="AH21" i="47"/>
  <c r="AF9" i="43"/>
  <c r="S42" i="41"/>
  <c r="AE66" i="43"/>
  <c r="AR15" i="41"/>
  <c r="AC39" i="41"/>
  <c r="S84" i="46"/>
  <c r="AH84" i="46"/>
  <c r="AP78" i="46"/>
  <c r="AP36" i="47"/>
  <c r="J57" i="47"/>
  <c r="AG78" i="41"/>
  <c r="K39" i="43"/>
  <c r="AB78" i="43"/>
  <c r="K93" i="46"/>
  <c r="W72" i="46"/>
  <c r="AL90" i="46"/>
  <c r="AB96" i="46"/>
  <c r="L27" i="47"/>
  <c r="Z99" i="46"/>
  <c r="M30" i="41"/>
  <c r="K24" i="43"/>
  <c r="AA30" i="41"/>
  <c r="W24" i="43"/>
  <c r="Q51" i="43"/>
  <c r="AT51" i="41"/>
  <c r="K87" i="43"/>
  <c r="X84" i="41"/>
  <c r="Y96" i="43"/>
  <c r="O96" i="46"/>
  <c r="AE39" i="47"/>
  <c r="AC60" i="41"/>
  <c r="P75" i="43"/>
  <c r="T72" i="41"/>
  <c r="W30" i="43"/>
  <c r="Z21" i="47"/>
  <c r="T90" i="43"/>
  <c r="Z33" i="47"/>
  <c r="AE51" i="47"/>
  <c r="AH75" i="47"/>
  <c r="AR102" i="46"/>
  <c r="R75" i="46"/>
  <c r="P30" i="43"/>
  <c r="AT60" i="43"/>
  <c r="AQ60" i="43"/>
  <c r="J63" i="43"/>
  <c r="AR48" i="43"/>
  <c r="U87" i="46"/>
  <c r="AK54" i="43"/>
  <c r="U81" i="46"/>
  <c r="W84" i="46"/>
  <c r="J90" i="46"/>
  <c r="AC93" i="46"/>
  <c r="AD15" i="47"/>
  <c r="Q18" i="43"/>
  <c r="U78" i="43"/>
  <c r="AC81" i="46"/>
  <c r="R69" i="46"/>
  <c r="AT78" i="46"/>
  <c r="AK27" i="47"/>
  <c r="AL27" i="47"/>
  <c r="P54" i="47"/>
  <c r="R60" i="41"/>
  <c r="AD42" i="43"/>
  <c r="AA36" i="41"/>
  <c r="AC21" i="43"/>
  <c r="O102" i="46"/>
  <c r="X33" i="47"/>
  <c r="U45" i="47"/>
  <c r="AD54" i="47"/>
  <c r="AC30" i="43"/>
  <c r="M33" i="41"/>
  <c r="L102" i="46"/>
  <c r="AA33" i="43"/>
  <c r="AM72" i="43"/>
  <c r="T78" i="43"/>
  <c r="W18" i="43"/>
  <c r="P54" i="41"/>
  <c r="M18" i="43"/>
  <c r="AE87" i="46"/>
  <c r="R60" i="47"/>
  <c r="O57" i="41"/>
  <c r="AE24" i="43"/>
  <c r="AH54" i="43"/>
  <c r="AP60" i="47"/>
  <c r="V78" i="47"/>
  <c r="J81" i="47"/>
  <c r="Y81" i="46"/>
  <c r="P21" i="43"/>
  <c r="J102" i="46"/>
  <c r="O36" i="43"/>
  <c r="AM18" i="43"/>
  <c r="Y45" i="41"/>
  <c r="V63" i="43"/>
  <c r="R54" i="43"/>
  <c r="M93" i="41"/>
  <c r="V75" i="46"/>
  <c r="X69" i="46"/>
  <c r="AS27" i="47"/>
  <c r="AI42" i="47"/>
  <c r="U39" i="47"/>
  <c r="AQ57" i="47"/>
  <c r="AG87" i="46"/>
  <c r="R90" i="46"/>
  <c r="AA90" i="46"/>
  <c r="T93" i="46"/>
  <c r="V9" i="47"/>
  <c r="M99" i="46"/>
  <c r="L75" i="43"/>
  <c r="AJ48" i="41"/>
  <c r="AK21" i="43"/>
  <c r="V39" i="43"/>
  <c r="T24" i="47"/>
  <c r="AL45" i="41"/>
  <c r="V99" i="43"/>
  <c r="X93" i="43"/>
  <c r="AP81" i="46"/>
  <c r="AK54" i="47"/>
  <c r="M57" i="47"/>
  <c r="M78" i="41"/>
  <c r="K87" i="41"/>
  <c r="V24" i="43"/>
  <c r="AH72" i="46"/>
  <c r="AD99" i="43"/>
  <c r="W93" i="46"/>
  <c r="AR72" i="46"/>
  <c r="AG75" i="46"/>
  <c r="AJ81" i="46"/>
  <c r="AI81" i="46"/>
  <c r="AJ93" i="46"/>
  <c r="AE27" i="47"/>
  <c r="AH99" i="46"/>
  <c r="K21" i="46"/>
  <c r="W102" i="46"/>
  <c r="T9" i="47"/>
  <c r="AC87" i="41"/>
  <c r="R21" i="47"/>
  <c r="Y21" i="43"/>
  <c r="U39" i="41"/>
  <c r="AR63" i="43"/>
  <c r="AQ93" i="46"/>
  <c r="R78" i="46"/>
  <c r="K33" i="41"/>
  <c r="AG72" i="41"/>
  <c r="AL30" i="43"/>
  <c r="AQ75" i="43"/>
  <c r="AL81" i="46"/>
  <c r="AG39" i="47"/>
  <c r="L54" i="47"/>
  <c r="AD39" i="47"/>
  <c r="AJ78" i="47"/>
  <c r="V66" i="41"/>
  <c r="R63" i="43"/>
  <c r="AC72" i="43"/>
  <c r="Y33" i="43"/>
  <c r="S93" i="43"/>
  <c r="L72" i="43"/>
  <c r="AM93" i="43"/>
  <c r="X9" i="47"/>
  <c r="AM60" i="41"/>
  <c r="AD72" i="41"/>
  <c r="AI30" i="47"/>
  <c r="AQ33" i="47"/>
  <c r="AH54" i="47"/>
  <c r="AR45" i="47"/>
  <c r="AL33" i="47"/>
  <c r="T48" i="47"/>
  <c r="AF72" i="47"/>
  <c r="Z84" i="47"/>
  <c r="AL84" i="47"/>
  <c r="AI87" i="46"/>
  <c r="AB18" i="47"/>
  <c r="AI48" i="47"/>
  <c r="V57" i="47"/>
  <c r="K33" i="47"/>
  <c r="Y42" i="47"/>
  <c r="P78" i="47"/>
  <c r="AH87" i="47"/>
  <c r="J87" i="47"/>
  <c r="AQ72" i="47"/>
  <c r="R75" i="47"/>
  <c r="Q81" i="47"/>
  <c r="U101" i="47" a="1"/>
  <c r="U101" i="47" s="1"/>
  <c r="L96" i="41"/>
  <c r="V45" i="43"/>
  <c r="AK78" i="41"/>
  <c r="Z69" i="41"/>
  <c r="X78" i="43"/>
  <c r="W9" i="41"/>
  <c r="X102" i="43"/>
  <c r="T57" i="43"/>
  <c r="AT99" i="46"/>
  <c r="AC9" i="47"/>
  <c r="AJ18" i="47"/>
  <c r="V84" i="47"/>
  <c r="AA102" i="41"/>
  <c r="S87" i="46"/>
  <c r="AA63" i="47"/>
  <c r="AH33" i="47"/>
  <c r="AF36" i="47"/>
  <c r="V33" i="47"/>
  <c r="Q72" i="47"/>
  <c r="AR87" i="47"/>
  <c r="N93" i="47"/>
  <c r="AK101" i="47" a="1"/>
  <c r="AK101" i="47" s="1"/>
  <c r="O27" i="43"/>
  <c r="AJ81" i="43"/>
  <c r="K72" i="46"/>
  <c r="Y9" i="47"/>
  <c r="P60" i="43"/>
  <c r="V15" i="47"/>
  <c r="AR93" i="43"/>
  <c r="AG102" i="43"/>
  <c r="AE15" i="47"/>
  <c r="AL21" i="47"/>
  <c r="R93" i="41"/>
  <c r="AH9" i="43"/>
  <c r="N96" i="46"/>
  <c r="L90" i="46"/>
  <c r="Q33" i="47"/>
  <c r="L45" i="47"/>
  <c r="S33" i="47"/>
  <c r="W45" i="47"/>
  <c r="Q87" i="47"/>
  <c r="AQ93" i="47"/>
  <c r="R103" i="47" a="1"/>
  <c r="R103" i="47" s="1"/>
  <c r="V81" i="43"/>
  <c r="AB9" i="43"/>
  <c r="P15" i="46"/>
  <c r="Q36" i="47"/>
  <c r="AQ36" i="47"/>
  <c r="M93" i="47"/>
  <c r="L90" i="47"/>
  <c r="AH103" i="47" a="1"/>
  <c r="AH103" i="47" s="1"/>
  <c r="U18" i="43"/>
  <c r="AT9" i="43"/>
  <c r="AF81" i="43"/>
  <c r="AM87" i="43"/>
  <c r="V51" i="47"/>
  <c r="N60" i="47"/>
  <c r="AE45" i="47"/>
  <c r="AQ51" i="47"/>
  <c r="AS75" i="47"/>
  <c r="AK78" i="47"/>
  <c r="AJ93" i="47"/>
  <c r="AI84" i="47"/>
  <c r="O104" i="47" a="1"/>
  <c r="O104" i="47" s="1"/>
  <c r="U63" i="41"/>
  <c r="AS27" i="43"/>
  <c r="AP60" i="43"/>
  <c r="AL15" i="47"/>
  <c r="W63" i="43"/>
  <c r="AJ60" i="41"/>
  <c r="AD9" i="46"/>
  <c r="P90" i="46"/>
  <c r="AP9" i="47"/>
  <c r="AQ18" i="47"/>
  <c r="O81" i="47"/>
  <c r="L42" i="47"/>
  <c r="AJ54" i="47"/>
  <c r="AL75" i="47"/>
  <c r="AB87" i="47"/>
  <c r="AT90" i="47"/>
  <c r="AR84" i="47"/>
  <c r="AR63" i="41"/>
  <c r="AK75" i="43"/>
  <c r="K45" i="41"/>
  <c r="K30" i="41"/>
  <c r="AM36" i="41"/>
  <c r="T42" i="41"/>
  <c r="O60" i="43"/>
  <c r="AP81" i="43"/>
  <c r="AD81" i="46"/>
  <c r="AT90" i="46"/>
  <c r="O99" i="43"/>
  <c r="V36" i="47"/>
  <c r="T39" i="47"/>
  <c r="AK60" i="47"/>
  <c r="Q66" i="47"/>
  <c r="AR33" i="47"/>
  <c r="AQ39" i="47"/>
  <c r="AH39" i="47"/>
  <c r="AG81" i="47"/>
  <c r="AT84" i="47"/>
  <c r="AD81" i="47"/>
  <c r="Q100" i="47" a="1"/>
  <c r="Q100" i="47" s="1"/>
  <c r="AG57" i="47"/>
  <c r="X87" i="41"/>
  <c r="AI33" i="43"/>
  <c r="AM15" i="41"/>
  <c r="AA72" i="46"/>
  <c r="T30" i="41"/>
  <c r="AP36" i="41"/>
  <c r="T21" i="43"/>
  <c r="AF30" i="43"/>
  <c r="AK84" i="43"/>
  <c r="W30" i="41"/>
  <c r="AH90" i="43"/>
  <c r="AT87" i="46"/>
  <c r="AF63" i="43"/>
  <c r="N102" i="46"/>
  <c r="K21" i="47"/>
  <c r="AH87" i="41"/>
  <c r="AS87" i="46"/>
  <c r="R27" i="47"/>
  <c r="X30" i="47"/>
  <c r="AC54" i="47"/>
  <c r="AT30" i="47"/>
  <c r="Q51" i="47"/>
  <c r="U78" i="47"/>
  <c r="W84" i="47"/>
  <c r="AQ100" i="47" a="1"/>
  <c r="AQ100" i="47" s="1"/>
  <c r="AF78" i="43"/>
  <c r="AL60" i="41"/>
  <c r="AD27" i="43"/>
  <c r="Q15" i="43"/>
  <c r="AP63" i="41"/>
  <c r="AL87" i="43"/>
  <c r="W81" i="43"/>
  <c r="AR9" i="46"/>
  <c r="AE84" i="46"/>
  <c r="K66" i="43"/>
  <c r="X75" i="43"/>
  <c r="P9" i="47"/>
  <c r="AJ33" i="47"/>
  <c r="X36" i="47"/>
  <c r="AA48" i="47"/>
  <c r="AR75" i="47"/>
  <c r="AF93" i="47"/>
  <c r="V84" i="41"/>
  <c r="K42" i="43"/>
  <c r="W87" i="43"/>
  <c r="AJ96" i="43"/>
  <c r="R87" i="46"/>
  <c r="AD36" i="47"/>
  <c r="AF30" i="47"/>
  <c r="AC33" i="47"/>
  <c r="AR39" i="47"/>
  <c r="AQ66" i="47"/>
  <c r="AP78" i="47"/>
  <c r="AQ81" i="47"/>
  <c r="N51" i="46"/>
  <c r="S75" i="43"/>
  <c r="N54" i="46"/>
  <c r="AM42" i="41"/>
  <c r="AF60" i="46"/>
  <c r="Q78" i="46"/>
  <c r="AR42" i="46"/>
  <c r="M42" i="46"/>
  <c r="AS81" i="47"/>
  <c r="S39" i="46"/>
  <c r="Q21" i="43"/>
  <c r="AE102" i="41"/>
  <c r="AE51" i="46"/>
  <c r="AM42" i="46"/>
  <c r="P72" i="43"/>
  <c r="AG102" i="41"/>
  <c r="AP45" i="46"/>
  <c r="AE48" i="46"/>
  <c r="Q27" i="47"/>
  <c r="AO9" i="47"/>
  <c r="AQ42" i="41"/>
  <c r="AP54" i="46"/>
  <c r="AL57" i="46"/>
  <c r="M57" i="46"/>
  <c r="W24" i="47"/>
  <c r="AR15" i="43"/>
  <c r="AB39" i="46"/>
  <c r="N27" i="47"/>
  <c r="I9" i="43"/>
  <c r="AH102" i="41"/>
  <c r="AE57" i="46"/>
  <c r="Y51" i="46"/>
  <c r="AA51" i="41"/>
  <c r="AS24" i="47"/>
  <c r="AG27" i="47"/>
  <c r="AS57" i="47"/>
  <c r="AQ57" i="46"/>
  <c r="AS78" i="46"/>
  <c r="AQ69" i="43"/>
  <c r="AG69" i="43"/>
  <c r="X99" i="46"/>
  <c r="AP96" i="41"/>
  <c r="AM102" i="41"/>
  <c r="AD27" i="41"/>
  <c r="AD45" i="41"/>
  <c r="I9" i="47"/>
  <c r="AA45" i="41"/>
  <c r="AH24" i="41"/>
  <c r="AB27" i="41"/>
  <c r="AH30" i="41"/>
  <c r="T33" i="41"/>
  <c r="AP39" i="41"/>
  <c r="AA18" i="41"/>
  <c r="AK21" i="41"/>
  <c r="AC27" i="41"/>
  <c r="AG87" i="41"/>
  <c r="S33" i="43"/>
  <c r="U36" i="43"/>
  <c r="N39" i="43"/>
  <c r="X9" i="41"/>
  <c r="R87" i="41"/>
  <c r="Y93" i="41"/>
  <c r="S36" i="41"/>
  <c r="AE54" i="43"/>
  <c r="AB24" i="43"/>
  <c r="M30" i="43"/>
  <c r="AP78" i="41"/>
  <c r="AE18" i="41"/>
  <c r="M21" i="41"/>
  <c r="P78" i="41"/>
  <c r="J21" i="43"/>
  <c r="T48" i="43"/>
  <c r="AA39" i="41"/>
  <c r="X42" i="41"/>
  <c r="J24" i="41"/>
  <c r="AK57" i="43"/>
  <c r="U30" i="43"/>
  <c r="AH45" i="43"/>
  <c r="AB54" i="43"/>
  <c r="AI78" i="41"/>
  <c r="AE18" i="43"/>
  <c r="X66" i="43"/>
  <c r="M15" i="46"/>
  <c r="AG24" i="41"/>
  <c r="W27" i="41"/>
  <c r="AF21" i="41"/>
  <c r="U21" i="41"/>
  <c r="AE24" i="41"/>
  <c r="AE42" i="43"/>
  <c r="AS21" i="43"/>
  <c r="S27" i="43"/>
  <c r="AQ36" i="43"/>
  <c r="AF36" i="41"/>
  <c r="AS18" i="41"/>
  <c r="AS39" i="41"/>
  <c r="AA15" i="41"/>
  <c r="X15" i="41"/>
  <c r="T39" i="41"/>
  <c r="N42" i="41"/>
  <c r="AI24" i="41"/>
  <c r="AL69" i="41"/>
  <c r="W96" i="41"/>
  <c r="M57" i="43"/>
  <c r="W15" i="43"/>
  <c r="T30" i="43"/>
  <c r="N42" i="43"/>
  <c r="X72" i="41"/>
  <c r="AK81" i="41"/>
  <c r="AP39" i="43"/>
  <c r="X21" i="41"/>
  <c r="X27" i="41"/>
  <c r="AF33" i="41"/>
  <c r="R36" i="41"/>
  <c r="AJ39" i="41"/>
  <c r="AM30" i="41"/>
  <c r="J81" i="41"/>
  <c r="O54" i="43"/>
  <c r="AK33" i="41"/>
  <c r="AB51" i="46"/>
  <c r="AT72" i="41"/>
  <c r="AQ90" i="43"/>
  <c r="L27" i="41"/>
  <c r="AG21" i="41"/>
  <c r="S21" i="43"/>
  <c r="U42" i="43"/>
  <c r="AM51" i="43"/>
  <c r="AL21" i="43"/>
  <c r="AS45" i="41"/>
  <c r="V96" i="43"/>
  <c r="AB96" i="41"/>
  <c r="AL96" i="43"/>
  <c r="AI51" i="41"/>
  <c r="T18" i="43"/>
  <c r="Y75" i="43"/>
  <c r="AJ93" i="43"/>
  <c r="W69" i="41"/>
  <c r="J102" i="41"/>
  <c r="AQ81" i="43"/>
  <c r="Q39" i="43"/>
  <c r="M96" i="43"/>
  <c r="AC87" i="43"/>
  <c r="AR96" i="43"/>
  <c r="P39" i="43"/>
  <c r="AI84" i="43"/>
  <c r="N96" i="43"/>
  <c r="AJ99" i="43"/>
  <c r="N102" i="43"/>
  <c r="L39" i="43"/>
  <c r="AA39" i="43"/>
  <c r="T39" i="43"/>
  <c r="AP30" i="41"/>
  <c r="AI57" i="41"/>
  <c r="AA81" i="41"/>
  <c r="AG81" i="41"/>
  <c r="AJ63" i="43"/>
  <c r="AL84" i="43"/>
  <c r="AI9" i="41"/>
  <c r="AB75" i="43"/>
  <c r="R102" i="43"/>
  <c r="AA66" i="43"/>
  <c r="V15" i="43"/>
  <c r="X39" i="43"/>
  <c r="AJ39" i="43"/>
  <c r="Q48" i="41"/>
  <c r="W45" i="41"/>
  <c r="AR54" i="43"/>
  <c r="R57" i="46"/>
  <c r="AR57" i="41"/>
  <c r="AC42" i="41"/>
  <c r="S78" i="43"/>
  <c r="AT93" i="43"/>
  <c r="AB99" i="43"/>
  <c r="AL102" i="43"/>
  <c r="M9" i="46"/>
  <c r="V102" i="43"/>
  <c r="AP36" i="43"/>
  <c r="AK81" i="43"/>
  <c r="P57" i="46"/>
  <c r="AP96" i="43"/>
  <c r="U72" i="41"/>
  <c r="AI48" i="41"/>
  <c r="X48" i="41"/>
  <c r="Z39" i="46"/>
  <c r="AT39" i="43"/>
  <c r="N51" i="41"/>
  <c r="AF93" i="43"/>
  <c r="AT99" i="43"/>
  <c r="AR102" i="43"/>
  <c r="AE33" i="41"/>
  <c r="AC84" i="41"/>
  <c r="Q78" i="43"/>
  <c r="P72" i="41"/>
  <c r="AP24" i="43"/>
  <c r="AA48" i="43"/>
  <c r="AI66" i="43"/>
  <c r="AL33" i="46"/>
  <c r="K45" i="46"/>
  <c r="AB45" i="46"/>
  <c r="N57" i="46"/>
  <c r="AL18" i="46"/>
  <c r="Y24" i="46"/>
  <c r="Y36" i="46"/>
  <c r="AK9" i="41"/>
  <c r="J27" i="41"/>
  <c r="R48" i="43"/>
  <c r="AJ30" i="46"/>
  <c r="AF39" i="46"/>
  <c r="Z42" i="46"/>
  <c r="O60" i="46"/>
  <c r="AL66" i="41"/>
  <c r="AK15" i="46"/>
  <c r="Q15" i="46"/>
  <c r="Y9" i="46"/>
  <c r="J72" i="41"/>
  <c r="AR48" i="46"/>
  <c r="AQ60" i="46"/>
  <c r="S69" i="41"/>
  <c r="U78" i="41"/>
  <c r="AS15" i="46"/>
  <c r="N36" i="46"/>
  <c r="AG48" i="46"/>
  <c r="AQ18" i="46"/>
  <c r="AG30" i="46"/>
  <c r="S33" i="41"/>
  <c r="AP90" i="43"/>
  <c r="AP24" i="46"/>
  <c r="AG60" i="46"/>
  <c r="AE63" i="46"/>
  <c r="AB33" i="46"/>
  <c r="O36" i="46"/>
  <c r="AE15" i="41"/>
  <c r="U21" i="43"/>
  <c r="AR99" i="41"/>
  <c r="AM9" i="46"/>
  <c r="AT30" i="46"/>
  <c r="AQ45" i="46"/>
  <c r="P54" i="46"/>
  <c r="AI9" i="43"/>
  <c r="Q33" i="46"/>
  <c r="J66" i="41"/>
  <c r="AB51" i="43"/>
  <c r="AG54" i="43"/>
  <c r="N45" i="43"/>
  <c r="AC18" i="46"/>
  <c r="AS36" i="43"/>
  <c r="K18" i="46"/>
  <c r="AL21" i="46"/>
  <c r="AF48" i="46"/>
  <c r="W21" i="46"/>
  <c r="W81" i="41"/>
  <c r="P51" i="43"/>
  <c r="S15" i="46"/>
  <c r="AS27" i="41"/>
  <c r="M45" i="46"/>
  <c r="AT45" i="46"/>
  <c r="AJ48" i="46"/>
  <c r="J63" i="46"/>
  <c r="AR63" i="46"/>
  <c r="M30" i="46"/>
  <c r="W30" i="46"/>
  <c r="P45" i="43"/>
  <c r="M69" i="43"/>
  <c r="AC60" i="46"/>
  <c r="AA60" i="41"/>
  <c r="AJ33" i="43"/>
  <c r="L30" i="41"/>
  <c r="O87" i="43"/>
  <c r="AJ78" i="41"/>
  <c r="AB87" i="43"/>
  <c r="V9" i="46"/>
  <c r="M15" i="43"/>
  <c r="AP21" i="43"/>
  <c r="AC69" i="43"/>
  <c r="J63" i="41"/>
  <c r="AC36" i="41"/>
  <c r="AC9" i="43"/>
  <c r="N45" i="41"/>
  <c r="AF60" i="43"/>
  <c r="M87" i="46"/>
  <c r="T69" i="46"/>
  <c r="J45" i="46"/>
  <c r="V54" i="43"/>
  <c r="Y36" i="43"/>
  <c r="AI24" i="43"/>
  <c r="O84" i="46"/>
  <c r="AB42" i="46"/>
  <c r="Q45" i="46"/>
  <c r="AD9" i="43"/>
  <c r="V93" i="46"/>
  <c r="AF45" i="43"/>
  <c r="K66" i="46"/>
  <c r="Q24" i="43"/>
  <c r="M54" i="43"/>
  <c r="AS72" i="41"/>
  <c r="S69" i="43"/>
  <c r="AC15" i="41"/>
  <c r="R27" i="41"/>
  <c r="AE93" i="46"/>
  <c r="N75" i="46"/>
  <c r="AP15" i="43"/>
  <c r="AQ27" i="46"/>
  <c r="AT63" i="46"/>
  <c r="AH18" i="41"/>
  <c r="AL15" i="43"/>
  <c r="W42" i="41"/>
  <c r="V84" i="46"/>
  <c r="AD87" i="46"/>
  <c r="V33" i="46"/>
  <c r="Z24" i="43"/>
  <c r="L33" i="43"/>
  <c r="AT90" i="41"/>
  <c r="AJ72" i="46"/>
  <c r="AD84" i="46"/>
  <c r="P93" i="46"/>
  <c r="W15" i="46"/>
  <c r="W57" i="43"/>
  <c r="J36" i="43"/>
  <c r="AA93" i="46"/>
  <c r="R72" i="46"/>
  <c r="AE21" i="47"/>
  <c r="AT24" i="47"/>
  <c r="Z78" i="41"/>
  <c r="AM30" i="43"/>
  <c r="J48" i="43"/>
  <c r="AE75" i="43"/>
  <c r="W72" i="41"/>
  <c r="AK39" i="47"/>
  <c r="AT96" i="46"/>
  <c r="U99" i="46"/>
  <c r="AH75" i="43"/>
  <c r="S84" i="43"/>
  <c r="AQ75" i="46"/>
  <c r="Z99" i="41"/>
  <c r="AG9" i="47"/>
  <c r="R102" i="41"/>
  <c r="AJ21" i="43"/>
  <c r="Q75" i="41"/>
  <c r="AF69" i="46"/>
  <c r="Z90" i="46"/>
  <c r="K15" i="47"/>
  <c r="AL45" i="46"/>
  <c r="L90" i="41"/>
  <c r="R21" i="43"/>
  <c r="AE63" i="43"/>
  <c r="AD84" i="41"/>
  <c r="AP57" i="43"/>
  <c r="AI72" i="46"/>
  <c r="AT93" i="46"/>
  <c r="V99" i="46"/>
  <c r="AF102" i="46"/>
  <c r="J9" i="47"/>
  <c r="AM69" i="46"/>
  <c r="AA102" i="46"/>
  <c r="T96" i="46"/>
  <c r="AQ30" i="43"/>
  <c r="U78" i="46"/>
  <c r="AM9" i="43"/>
  <c r="AH33" i="41"/>
  <c r="T102" i="46"/>
  <c r="N9" i="47"/>
  <c r="AE78" i="41"/>
  <c r="AR78" i="43"/>
  <c r="AD90" i="46"/>
  <c r="AJ102" i="46"/>
  <c r="AK99" i="46"/>
  <c r="AT75" i="41"/>
  <c r="S72" i="41"/>
  <c r="P42" i="41"/>
  <c r="Y39" i="43"/>
  <c r="AI48" i="43"/>
  <c r="Q9" i="43"/>
  <c r="AM90" i="46"/>
  <c r="W84" i="43"/>
  <c r="U69" i="46"/>
  <c r="Z87" i="46"/>
  <c r="M90" i="46"/>
  <c r="AJ18" i="46"/>
  <c r="AJ60" i="46"/>
  <c r="O21" i="47"/>
  <c r="R15" i="43"/>
  <c r="AB36" i="41"/>
  <c r="AT87" i="43"/>
  <c r="X93" i="46"/>
  <c r="Z39" i="41"/>
  <c r="AC57" i="43"/>
  <c r="N15" i="43"/>
  <c r="T72" i="43"/>
  <c r="AE87" i="43"/>
  <c r="AJ96" i="46"/>
  <c r="L9" i="47"/>
  <c r="Q9" i="47"/>
  <c r="W21" i="47"/>
  <c r="S15" i="43"/>
  <c r="AL9" i="46"/>
  <c r="U93" i="46"/>
  <c r="AJ84" i="46"/>
  <c r="AA54" i="47"/>
  <c r="M90" i="41"/>
  <c r="J42" i="43"/>
  <c r="R60" i="43"/>
  <c r="AC24" i="43"/>
  <c r="AA69" i="46"/>
  <c r="AQ93" i="41"/>
  <c r="N63" i="41"/>
  <c r="AF42" i="43"/>
  <c r="AA18" i="43"/>
  <c r="AD27" i="47"/>
  <c r="M39" i="47"/>
  <c r="Z78" i="47"/>
  <c r="K69" i="41"/>
  <c r="AK90" i="41"/>
  <c r="AL33" i="41"/>
  <c r="R81" i="43"/>
  <c r="AC39" i="43"/>
  <c r="AR57" i="43"/>
  <c r="U27" i="47"/>
  <c r="S54" i="47"/>
  <c r="Z57" i="47"/>
  <c r="AM33" i="47"/>
  <c r="M36" i="47"/>
  <c r="Z90" i="41"/>
  <c r="AT45" i="43"/>
  <c r="K63" i="43"/>
  <c r="O78" i="41"/>
  <c r="J33" i="41"/>
  <c r="Y45" i="47"/>
  <c r="X54" i="47"/>
  <c r="AP72" i="46"/>
  <c r="K15" i="43"/>
  <c r="K36" i="47"/>
  <c r="S42" i="47"/>
  <c r="K48" i="47"/>
  <c r="AS33" i="47"/>
  <c r="M36" i="43"/>
  <c r="S75" i="46"/>
  <c r="AQ81" i="41"/>
  <c r="AE48" i="47"/>
  <c r="R36" i="43"/>
  <c r="O87" i="46"/>
  <c r="AS30" i="47"/>
  <c r="AA36" i="47"/>
  <c r="X42" i="47"/>
  <c r="R66" i="41"/>
  <c r="AR90" i="43"/>
  <c r="R39" i="43"/>
  <c r="AK30" i="47"/>
  <c r="O33" i="47"/>
  <c r="T63" i="41"/>
  <c r="AJ27" i="43"/>
  <c r="S15" i="47"/>
  <c r="AL75" i="46"/>
  <c r="R72" i="41"/>
  <c r="AJ78" i="46"/>
  <c r="AK102" i="41"/>
  <c r="L81" i="46"/>
  <c r="M84" i="46"/>
  <c r="AF48" i="47"/>
  <c r="W33" i="47"/>
  <c r="AA51" i="43"/>
  <c r="M60" i="43"/>
  <c r="AD21" i="43"/>
  <c r="T30" i="47"/>
  <c r="AS42" i="47"/>
  <c r="T81" i="41"/>
  <c r="AG60" i="43"/>
  <c r="J75" i="46"/>
  <c r="O90" i="41"/>
  <c r="AK45" i="43"/>
  <c r="K39" i="41"/>
  <c r="K9" i="43"/>
  <c r="AI36" i="41"/>
  <c r="V69" i="41"/>
  <c r="V69" i="43"/>
  <c r="AP69" i="46"/>
  <c r="J93" i="46"/>
  <c r="AJ99" i="46"/>
  <c r="Z15" i="47"/>
  <c r="X39" i="47"/>
  <c r="AJ69" i="47"/>
  <c r="AK75" i="47"/>
  <c r="AJ45" i="41"/>
  <c r="S90" i="46"/>
  <c r="AJ66" i="43"/>
  <c r="AD102" i="46"/>
  <c r="R63" i="47"/>
  <c r="L66" i="47"/>
  <c r="J57" i="41"/>
  <c r="S9" i="46"/>
  <c r="U84" i="46"/>
  <c r="AF9" i="47"/>
  <c r="M66" i="46"/>
  <c r="M63" i="41"/>
  <c r="X69" i="41"/>
  <c r="AB99" i="46"/>
  <c r="M75" i="47"/>
  <c r="AA42" i="41"/>
  <c r="AB48" i="43"/>
  <c r="M18" i="47"/>
  <c r="Q87" i="43"/>
  <c r="AP72" i="41"/>
  <c r="K69" i="46"/>
  <c r="X90" i="46"/>
  <c r="AK9" i="47"/>
  <c r="AG18" i="47"/>
  <c r="P63" i="47"/>
  <c r="W66" i="47"/>
  <c r="N63" i="43"/>
  <c r="X66" i="46"/>
  <c r="AM15" i="47"/>
  <c r="AT18" i="47"/>
  <c r="AK87" i="41"/>
  <c r="AC57" i="47"/>
  <c r="O51" i="41"/>
  <c r="AD15" i="43"/>
  <c r="AR15" i="47"/>
  <c r="AC39" i="47"/>
  <c r="AH66" i="47"/>
  <c r="Y69" i="47"/>
  <c r="AS51" i="41"/>
  <c r="Q96" i="43"/>
  <c r="AC15" i="46"/>
  <c r="AS9" i="46"/>
  <c r="M66" i="47"/>
  <c r="J69" i="47"/>
  <c r="AS72" i="47"/>
  <c r="AF36" i="43"/>
  <c r="X30" i="41"/>
  <c r="M9" i="47"/>
  <c r="N21" i="47"/>
  <c r="AQ69" i="41"/>
  <c r="AL63" i="47"/>
  <c r="M78" i="46"/>
  <c r="AD51" i="43"/>
  <c r="AI15" i="43"/>
  <c r="AB90" i="46"/>
  <c r="V102" i="46"/>
  <c r="U9" i="47"/>
  <c r="V21" i="47"/>
  <c r="S21" i="47"/>
  <c r="AB81" i="47"/>
  <c r="O27" i="47"/>
  <c r="AJ39" i="47"/>
  <c r="AI75" i="47"/>
  <c r="Y78" i="47"/>
  <c r="T54" i="47"/>
  <c r="AQ45" i="47"/>
  <c r="S90" i="47"/>
  <c r="T84" i="46"/>
  <c r="K30" i="47"/>
  <c r="Y51" i="47"/>
  <c r="AG42" i="47"/>
  <c r="O75" i="47"/>
  <c r="AM75" i="47"/>
  <c r="AT78" i="47"/>
  <c r="AG84" i="47"/>
  <c r="M87" i="47"/>
  <c r="Z27" i="47"/>
  <c r="AK33" i="47"/>
  <c r="P81" i="47"/>
  <c r="J33" i="47"/>
  <c r="Y39" i="47"/>
  <c r="M45" i="47"/>
  <c r="AQ87" i="47"/>
  <c r="AK84" i="47"/>
  <c r="T87" i="47"/>
  <c r="AF90" i="46"/>
  <c r="N36" i="47"/>
  <c r="Y48" i="47"/>
  <c r="AB51" i="47"/>
  <c r="M51" i="47"/>
  <c r="AP51" i="47"/>
  <c r="AL39" i="47"/>
  <c r="S81" i="47"/>
  <c r="X87" i="47"/>
  <c r="AA90" i="47"/>
  <c r="T84" i="47"/>
  <c r="W48" i="47"/>
  <c r="O39" i="47"/>
  <c r="Z81" i="47"/>
  <c r="AF87" i="46"/>
  <c r="AH27" i="47"/>
  <c r="AH57" i="47"/>
  <c r="R33" i="47"/>
  <c r="AB42" i="47"/>
  <c r="AA87" i="47"/>
  <c r="AB93" i="47"/>
  <c r="AE84" i="47"/>
  <c r="N51" i="47"/>
  <c r="Q42" i="47"/>
  <c r="AT93" i="47"/>
  <c r="AK72" i="47"/>
  <c r="AB78" i="47"/>
  <c r="AE87" i="47"/>
  <c r="J96" i="47"/>
  <c r="AP87" i="47"/>
  <c r="AJ81" i="47"/>
  <c r="S84" i="47"/>
  <c r="AQ84" i="47"/>
  <c r="AG90" i="47"/>
  <c r="U103" i="47" a="1"/>
  <c r="U103" i="47" s="1"/>
  <c r="AF101" i="47" a="1"/>
  <c r="AF101" i="47" s="1"/>
  <c r="AS100" i="47" a="1"/>
  <c r="AS100" i="47" s="1"/>
  <c r="AI101" i="47" a="1"/>
  <c r="AI101" i="47" s="1"/>
  <c r="AH104" i="47" a="1"/>
  <c r="AH104" i="47" s="1"/>
  <c r="Z100" i="47" a="1"/>
  <c r="Z100" i="47" s="1"/>
  <c r="P104" i="47" a="1"/>
  <c r="P104" i="47" s="1"/>
  <c r="AE103" i="47" a="1"/>
  <c r="AE103" i="47" s="1"/>
  <c r="AK100" i="47" a="1"/>
  <c r="AK100" i="47" s="1"/>
  <c r="AK99" i="47" s="1"/>
  <c r="M100" i="47" a="1"/>
  <c r="M100" i="47" s="1"/>
  <c r="N98" i="47" a="1"/>
  <c r="N98" i="47" s="1"/>
  <c r="AM94" i="47" a="1"/>
  <c r="AM94" i="47" s="1"/>
  <c r="AM93" i="47" s="1"/>
  <c r="S94" i="47" a="1"/>
  <c r="S94" i="47" s="1"/>
  <c r="S93" i="47" s="1"/>
  <c r="AD92" i="47" a="1"/>
  <c r="AD92" i="47" s="1"/>
  <c r="AD90" i="47" s="1"/>
  <c r="AJ88" i="47" a="1"/>
  <c r="AJ88" i="47" s="1"/>
  <c r="AJ87" i="47" s="1"/>
  <c r="O88" i="47" a="1"/>
  <c r="O88" i="47" s="1"/>
  <c r="N86" i="47" a="1"/>
  <c r="N86" i="47" s="1"/>
  <c r="R94" i="47" a="1"/>
  <c r="R94" i="47" s="1"/>
  <c r="J95" i="47" a="1"/>
  <c r="J95" i="47" s="1"/>
  <c r="J93" i="47" s="1"/>
  <c r="AC92" i="47" a="1"/>
  <c r="AC92" i="47" s="1"/>
  <c r="AC90" i="47" s="1"/>
  <c r="M92" i="47" a="1"/>
  <c r="M92" i="47" s="1"/>
  <c r="M90" i="47" s="1"/>
  <c r="AS89" i="47" a="1"/>
  <c r="AS89" i="47" s="1"/>
  <c r="AS87" i="47" s="1"/>
  <c r="AM88" i="47" a="1"/>
  <c r="AM88" i="47" s="1"/>
  <c r="AH85" i="47" a="1"/>
  <c r="AH85" i="47" s="1"/>
  <c r="AK83" i="47" a="1"/>
  <c r="AK83" i="47" s="1"/>
  <c r="AI95" i="47" a="1"/>
  <c r="AI95" i="47" s="1"/>
  <c r="AS104" i="47" a="1"/>
  <c r="AS104" i="47" s="1"/>
  <c r="AD104" i="47" a="1"/>
  <c r="AD104" i="47" s="1"/>
  <c r="AQ103" i="47" a="1"/>
  <c r="AQ103" i="47" s="1"/>
  <c r="W100" i="47" a="1"/>
  <c r="W100" i="47" s="1"/>
  <c r="K100" i="47" a="1"/>
  <c r="K100" i="47" s="1"/>
  <c r="AF103" i="47" a="1"/>
  <c r="AF103" i="47" s="1"/>
  <c r="AF102" i="47" s="1"/>
  <c r="T103" i="47" a="1"/>
  <c r="T103" i="47" s="1"/>
  <c r="AR100" i="47" a="1"/>
  <c r="AR100" i="47" s="1"/>
  <c r="AQ98" i="47" a="1"/>
  <c r="AQ98" i="47" s="1"/>
  <c r="AQ96" i="47" s="1"/>
  <c r="Q98" i="47" a="1"/>
  <c r="Q98" i="47" s="1"/>
  <c r="AB97" i="47" a="1"/>
  <c r="AB97" i="47" s="1"/>
  <c r="AT104" i="47" a="1"/>
  <c r="AT104" i="47" s="1"/>
  <c r="AL101" i="47" a="1"/>
  <c r="AL101" i="47" s="1"/>
  <c r="V101" i="47" a="1"/>
  <c r="V101" i="47" s="1"/>
  <c r="AA97" i="47" a="1"/>
  <c r="AA97" i="47" s="1"/>
  <c r="AA96" i="47" s="1"/>
  <c r="AL95" i="47" a="1"/>
  <c r="AL95" i="47" s="1"/>
  <c r="AL93" i="47" s="1"/>
  <c r="AA104" i="47" a="1"/>
  <c r="AA104" i="47" s="1"/>
  <c r="K104" i="47" a="1"/>
  <c r="K104" i="47" s="1"/>
  <c r="AD103" i="47" a="1"/>
  <c r="AD103" i="47" s="1"/>
  <c r="N103" i="47" a="1"/>
  <c r="N103" i="47" s="1"/>
  <c r="AG101" i="47" a="1"/>
  <c r="AG101" i="47" s="1"/>
  <c r="Q101" i="47" a="1"/>
  <c r="Q101" i="47" s="1"/>
  <c r="Q99" i="47" s="1"/>
  <c r="AJ100" i="47" a="1"/>
  <c r="AJ100" i="47" s="1"/>
  <c r="T100" i="47" a="1"/>
  <c r="T100" i="47" s="1"/>
  <c r="AM98" i="47" a="1"/>
  <c r="AM98" i="47" s="1"/>
  <c r="W98" i="47" a="1"/>
  <c r="W98" i="47" s="1"/>
  <c r="Q103" i="47" a="1"/>
  <c r="Q103" i="47" s="1"/>
  <c r="AB101" i="47" a="1"/>
  <c r="AB101" i="47" s="1"/>
  <c r="AS101" i="47" a="1"/>
  <c r="AS101" i="47" s="1"/>
  <c r="AC104" i="47" a="1"/>
  <c r="AC104" i="47" s="1"/>
  <c r="M104" i="47" a="1"/>
  <c r="M104" i="47" s="1"/>
  <c r="V100" i="47" a="1"/>
  <c r="V100" i="47" s="1"/>
  <c r="AG100" i="47" a="1"/>
  <c r="AG100" i="47" s="1"/>
  <c r="AG99" i="47" s="1"/>
  <c r="AT98" i="47" a="1"/>
  <c r="AT98" i="47" s="1"/>
  <c r="AB98" i="47" a="1"/>
  <c r="AB98" i="47" s="1"/>
  <c r="L98" i="47" a="1"/>
  <c r="L98" i="47" s="1"/>
  <c r="O94" i="47" a="1"/>
  <c r="O94" i="47" s="1"/>
  <c r="O93" i="47" s="1"/>
  <c r="Z92" i="47" a="1"/>
  <c r="Z92" i="47" s="1"/>
  <c r="AG88" i="47" a="1"/>
  <c r="AG88" i="47" s="1"/>
  <c r="K88" i="47" a="1"/>
  <c r="K88" i="47" s="1"/>
  <c r="K87" i="47" s="1"/>
  <c r="K86" i="47" a="1"/>
  <c r="K86" i="47" s="1"/>
  <c r="AB85" i="47" a="1"/>
  <c r="AB85" i="47" s="1"/>
  <c r="J85" i="47" a="1"/>
  <c r="J85" i="47" s="1"/>
  <c r="J84" i="47" s="1"/>
  <c r="AI83" i="47" a="1"/>
  <c r="AI83" i="47" s="1"/>
  <c r="AI81" i="47" s="1"/>
  <c r="R95" i="47" a="1"/>
  <c r="R95" i="47" s="1"/>
  <c r="P91" i="47" a="1"/>
  <c r="P91" i="47" s="1"/>
  <c r="P90" i="47" s="1"/>
  <c r="AM89" i="47" a="1"/>
  <c r="AM89" i="47" s="1"/>
  <c r="R88" i="47" a="1"/>
  <c r="R88" i="47" s="1"/>
  <c r="R87" i="47" s="1"/>
  <c r="AH86" i="47" a="1"/>
  <c r="AH86" i="47" s="1"/>
  <c r="AT83" i="47" a="1"/>
  <c r="AT83" i="47" s="1"/>
  <c r="AT81" i="47" s="1"/>
  <c r="AH83" i="47" a="1"/>
  <c r="AH83" i="47" s="1"/>
  <c r="AH81" i="47" s="1"/>
  <c r="AG94" i="47" a="1"/>
  <c r="AG94" i="47" s="1"/>
  <c r="AG93" i="47" s="1"/>
  <c r="CR124" i="4"/>
  <c r="AM104" i="47" a="1"/>
  <c r="AM104" i="47" s="1"/>
  <c r="Z104" i="47" a="1"/>
  <c r="Z104" i="47" s="1"/>
  <c r="AE100" i="47" a="1"/>
  <c r="AE100" i="47" s="1"/>
  <c r="S100" i="47" a="1"/>
  <c r="S100" i="47" s="1"/>
  <c r="K101" i="47" a="1"/>
  <c r="K101" i="47" s="1"/>
  <c r="AB103" i="47" a="1"/>
  <c r="AB103" i="47" s="1"/>
  <c r="P103" i="47" a="1"/>
  <c r="P103" i="47" s="1"/>
  <c r="P102" i="47" s="1"/>
  <c r="AR101" i="47" a="1"/>
  <c r="AR101" i="47" s="1"/>
  <c r="AK98" i="47" a="1"/>
  <c r="AK98" i="47" s="1"/>
  <c r="AK96" i="47" s="1"/>
  <c r="M98" i="47" a="1"/>
  <c r="M98" i="47" s="1"/>
  <c r="M96" i="47" s="1"/>
  <c r="X97" i="47" a="1"/>
  <c r="X97" i="47" s="1"/>
  <c r="AS103" i="47" a="1"/>
  <c r="AS103" i="47" s="1"/>
  <c r="AA103" i="47" a="1"/>
  <c r="AA103" i="47" s="1"/>
  <c r="AA102" i="47" s="1"/>
  <c r="W97" i="47" a="1"/>
  <c r="W97" i="47" s="1"/>
  <c r="AH95" i="47" a="1"/>
  <c r="AH95" i="47" s="1"/>
  <c r="AH93" i="47" s="1"/>
  <c r="R97" i="47" a="1"/>
  <c r="R97" i="47" s="1"/>
  <c r="R96" i="47" s="1"/>
  <c r="AC95" i="47" a="1"/>
  <c r="AC95" i="47" s="1"/>
  <c r="AC93" i="47" s="1"/>
  <c r="AG97" i="47" a="1"/>
  <c r="AG97" i="47" s="1"/>
  <c r="T95" i="47" a="1"/>
  <c r="T95" i="47" s="1"/>
  <c r="T93" i="47" s="1"/>
  <c r="AI94" i="47" a="1"/>
  <c r="AI94" i="47" s="1"/>
  <c r="AI93" i="47" s="1"/>
  <c r="AQ91" i="47" a="1"/>
  <c r="AQ91" i="47" s="1"/>
  <c r="AQ90" i="47" s="1"/>
  <c r="Q91" i="47" a="1"/>
  <c r="Q91" i="47" s="1"/>
  <c r="Q90" i="47" s="1"/>
  <c r="S89" i="47" a="1"/>
  <c r="S89" i="47" s="1"/>
  <c r="S87" i="47" s="1"/>
  <c r="AC86" i="47" a="1"/>
  <c r="AC86" i="47" s="1"/>
  <c r="AC84" i="47" s="1"/>
  <c r="CS124" i="4"/>
  <c r="AK103" i="47" a="1"/>
  <c r="AK103" i="47" s="1"/>
  <c r="M103" i="47" a="1"/>
  <c r="M103" i="47" s="1"/>
  <c r="X101" i="47" a="1"/>
  <c r="X101" i="47" s="1"/>
  <c r="X99" i="47" s="1"/>
  <c r="R100" i="47" a="1"/>
  <c r="R100" i="47" s="1"/>
  <c r="AL104" i="47" a="1"/>
  <c r="AL104" i="47" s="1"/>
  <c r="AH101" i="47" a="1"/>
  <c r="AH101" i="47" s="1"/>
  <c r="R101" i="47" a="1"/>
  <c r="R101" i="47" s="1"/>
  <c r="AC100" i="47" a="1"/>
  <c r="AC100" i="47" s="1"/>
  <c r="W104" i="47" a="1"/>
  <c r="W104" i="47" s="1"/>
  <c r="AR103" i="47" a="1"/>
  <c r="AR103" i="47" s="1"/>
  <c r="Z103" i="47" a="1"/>
  <c r="Z103" i="47" s="1"/>
  <c r="J103" i="47" a="1"/>
  <c r="J103" i="47" s="1"/>
  <c r="AC101" i="47" a="1"/>
  <c r="AC101" i="47" s="1"/>
  <c r="M101" i="47" a="1"/>
  <c r="M101" i="47" s="1"/>
  <c r="AF100" i="47" a="1"/>
  <c r="AF100" i="47" s="1"/>
  <c r="AF99" i="47" s="1"/>
  <c r="P100" i="47" a="1"/>
  <c r="P100" i="47" s="1"/>
  <c r="AI98" i="47" a="1"/>
  <c r="AI98" i="47" s="1"/>
  <c r="S98" i="47" a="1"/>
  <c r="S98" i="47" s="1"/>
  <c r="AL97" i="47" a="1"/>
  <c r="AL97" i="47" s="1"/>
  <c r="K94" i="47" a="1"/>
  <c r="K94" i="47" s="1"/>
  <c r="K93" i="47" s="1"/>
  <c r="Z91" i="47" a="1"/>
  <c r="Z91" i="47" s="1"/>
  <c r="AG89" i="47" a="1"/>
  <c r="AG89" i="47" s="1"/>
  <c r="AS86" i="47" a="1"/>
  <c r="AS86" i="47" s="1"/>
  <c r="CU124" i="4" a="1"/>
  <c r="CU124" i="4" s="1"/>
  <c r="AI104" i="47" a="1"/>
  <c r="AI104" i="47" s="1"/>
  <c r="V104" i="47" a="1"/>
  <c r="V104" i="47" s="1"/>
  <c r="AM100" i="47" a="1"/>
  <c r="AM100" i="47" s="1"/>
  <c r="AE101" i="47" a="1"/>
  <c r="AE101" i="47" s="1"/>
  <c r="S101" i="47" a="1"/>
  <c r="S101" i="47" s="1"/>
  <c r="Y104" i="47" a="1"/>
  <c r="Y104" i="47" s="1"/>
  <c r="AT103" i="47" a="1"/>
  <c r="AT103" i="47" s="1"/>
  <c r="AT102" i="47" s="1"/>
  <c r="AB104" i="47" a="1"/>
  <c r="AB104" i="47" s="1"/>
  <c r="L103" i="47" a="1"/>
  <c r="L103" i="47" s="1"/>
  <c r="AG98" i="47" a="1"/>
  <c r="AG98" i="47" s="1"/>
  <c r="AT97" i="47" a="1"/>
  <c r="AT97" i="47" s="1"/>
  <c r="AT96" i="47" s="1"/>
  <c r="T97" i="47" a="1"/>
  <c r="T97" i="47" s="1"/>
  <c r="W103" i="47" a="1"/>
  <c r="W103" i="47" s="1"/>
  <c r="W102" i="47" s="1"/>
  <c r="AP98" i="47" a="1"/>
  <c r="AP98" i="47" s="1"/>
  <c r="X98" i="47" a="1"/>
  <c r="X98" i="47" s="1"/>
  <c r="AS97" i="47" a="1"/>
  <c r="AS97" i="47" s="1"/>
  <c r="AS96" i="47" s="1"/>
  <c r="S97" i="47" a="1"/>
  <c r="S97" i="47" s="1"/>
  <c r="AR104" i="47" a="1"/>
  <c r="AR104" i="47" s="1"/>
  <c r="N97" i="47" a="1"/>
  <c r="N97" i="47" s="1"/>
  <c r="N96" i="47" s="1"/>
  <c r="Y95" i="47" a="1"/>
  <c r="Y95" i="47" s="1"/>
  <c r="Y93" i="47" s="1"/>
  <c r="P95" i="47" a="1"/>
  <c r="P95" i="47" s="1"/>
  <c r="P93" i="47" s="1"/>
  <c r="AE94" i="47" a="1"/>
  <c r="AE94" i="47" s="1"/>
  <c r="AK91" i="47" a="1"/>
  <c r="AK91" i="47" s="1"/>
  <c r="AG103" i="47" a="1"/>
  <c r="AG103" i="47" s="1"/>
  <c r="AT101" i="47" a="1"/>
  <c r="AT101" i="47" s="1"/>
  <c r="T101" i="47" a="1"/>
  <c r="T101" i="47" s="1"/>
  <c r="AR98" i="47" a="1"/>
  <c r="AR98" i="47" s="1"/>
  <c r="AR96" i="47" s="1"/>
  <c r="AL100" i="47" a="1"/>
  <c r="AL100" i="47" s="1"/>
  <c r="N100" i="47" a="1"/>
  <c r="N100" i="47" s="1"/>
  <c r="AG104" i="47" a="1"/>
  <c r="AG104" i="47" s="1"/>
  <c r="AM103" i="47" a="1"/>
  <c r="AM103" i="47" s="1"/>
  <c r="AM102" i="47" s="1"/>
  <c r="Y100" i="47" a="1"/>
  <c r="Y100" i="47" s="1"/>
  <c r="Q97" i="47" a="1"/>
  <c r="Q97" i="47" s="1"/>
  <c r="Q96" i="47" s="1"/>
  <c r="AR92" i="47" a="1"/>
  <c r="AR92" i="47" s="1"/>
  <c r="AD89" i="47" a="1"/>
  <c r="AD89" i="47" s="1"/>
  <c r="AS85" i="47" a="1"/>
  <c r="AS85" i="47" s="1"/>
  <c r="AS84" i="47" s="1"/>
  <c r="AM85" i="47" a="1"/>
  <c r="AM85" i="47" s="1"/>
  <c r="AM84" i="47" s="1"/>
  <c r="Q85" i="47" a="1"/>
  <c r="Q85" i="47" s="1"/>
  <c r="AE82" i="47" a="1"/>
  <c r="AE82" i="47" s="1"/>
  <c r="AE81" i="47" s="1"/>
  <c r="AD95" i="47" a="1"/>
  <c r="AD95" i="47" s="1"/>
  <c r="AD93" i="47" s="1"/>
  <c r="AK92" i="47" a="1"/>
  <c r="AK92" i="47" s="1"/>
  <c r="U92" i="47" a="1"/>
  <c r="U92" i="47" s="1"/>
  <c r="U90" i="47" s="1"/>
  <c r="AF91" i="47" a="1"/>
  <c r="AF91" i="47" s="1"/>
  <c r="X92" i="47" a="1"/>
  <c r="X92" i="47" s="1"/>
  <c r="X90" i="47" s="1"/>
  <c r="AF89" i="47" a="1"/>
  <c r="AF89" i="47" s="1"/>
  <c r="AF87" i="47" s="1"/>
  <c r="O89" i="47" a="1"/>
  <c r="O89" i="47" s="1"/>
  <c r="Y88" i="47" a="1"/>
  <c r="Y88" i="47" s="1"/>
  <c r="Y87" i="47" s="1"/>
  <c r="AE104" i="47" a="1"/>
  <c r="AE104" i="47" s="1"/>
  <c r="R104" i="47" a="1"/>
  <c r="R104" i="47" s="1"/>
  <c r="R102" i="47" s="1"/>
  <c r="AM101" i="47" a="1"/>
  <c r="AM101" i="47" s="1"/>
  <c r="AP103" i="47" a="1"/>
  <c r="AP103" i="47" s="1"/>
  <c r="L104" i="47" a="1"/>
  <c r="L104" i="47" s="1"/>
  <c r="AC98" i="47" a="1"/>
  <c r="AC98" i="47" s="1"/>
  <c r="AC96" i="47" s="1"/>
  <c r="AP97" i="47" a="1"/>
  <c r="AP97" i="47" s="1"/>
  <c r="P97" i="47" a="1"/>
  <c r="P97" i="47" s="1"/>
  <c r="S103" i="47" a="1"/>
  <c r="S103" i="47" s="1"/>
  <c r="AD101" i="47" a="1"/>
  <c r="AD101" i="47" s="1"/>
  <c r="N101" i="47" a="1"/>
  <c r="N101" i="47" s="1"/>
  <c r="AM97" i="47" a="1"/>
  <c r="AM97" i="47" s="1"/>
  <c r="O97" i="47" a="1"/>
  <c r="O97" i="47" s="1"/>
  <c r="AK104" i="47" a="1"/>
  <c r="AK104" i="47" s="1"/>
  <c r="S104" i="47" a="1"/>
  <c r="S104" i="47" s="1"/>
  <c r="AL103" i="47" a="1"/>
  <c r="AL103" i="47" s="1"/>
  <c r="AL102" i="47" s="1"/>
  <c r="V103" i="47" a="1"/>
  <c r="V103" i="47" s="1"/>
  <c r="AQ101" i="47" a="1"/>
  <c r="AQ101" i="47" s="1"/>
  <c r="AQ99" i="47" s="1"/>
  <c r="Y101" i="47" a="1"/>
  <c r="Y101" i="47" s="1"/>
  <c r="AT100" i="47" a="1"/>
  <c r="AT100" i="47" s="1"/>
  <c r="AB100" i="47" a="1"/>
  <c r="AB100" i="47" s="1"/>
  <c r="AB99" i="47" s="1"/>
  <c r="L100" i="47" a="1"/>
  <c r="L100" i="47" s="1"/>
  <c r="AE98" i="47" a="1"/>
  <c r="AE98" i="47" s="1"/>
  <c r="O98" i="47" a="1"/>
  <c r="O98" i="47" s="1"/>
  <c r="AC103" i="47" a="1"/>
  <c r="AC103" i="47" s="1"/>
  <c r="AC102" i="47" s="1"/>
  <c r="AP101" i="47" a="1"/>
  <c r="AP101" i="47" s="1"/>
  <c r="AP99" i="47" s="1"/>
  <c r="P101" i="47" a="1"/>
  <c r="P101" i="47" s="1"/>
  <c r="AA100" i="47" a="1"/>
  <c r="AA100" i="47" s="1"/>
  <c r="O100" i="47" a="1"/>
  <c r="O100" i="47" s="1"/>
  <c r="AL98" i="47" a="1"/>
  <c r="AL98" i="47" s="1"/>
  <c r="U104" i="47" a="1"/>
  <c r="U104" i="47" s="1"/>
  <c r="X103" i="47" a="1"/>
  <c r="X103" i="47" s="1"/>
  <c r="AH100" i="47" a="1"/>
  <c r="AH100" i="47" s="1"/>
  <c r="AH99" i="47" s="1"/>
  <c r="J100" i="47" a="1"/>
  <c r="J100" i="47" s="1"/>
  <c r="U100" i="47" a="1"/>
  <c r="U100" i="47" s="1"/>
  <c r="U99" i="47" s="1"/>
  <c r="AJ98" i="47" a="1"/>
  <c r="AJ98" i="47" s="1"/>
  <c r="T98" i="47" a="1"/>
  <c r="T98" i="47" s="1"/>
  <c r="AA94" i="47" a="1"/>
  <c r="AA94" i="47" s="1"/>
  <c r="AA93" i="47" s="1"/>
  <c r="AL92" i="47" a="1"/>
  <c r="AL92" i="47" s="1"/>
  <c r="AL90" i="47" s="1"/>
  <c r="AD88" i="47" a="1"/>
  <c r="AD88" i="47" s="1"/>
  <c r="AD87" i="47" s="1"/>
  <c r="Y86" i="47" a="1"/>
  <c r="Y86" i="47" s="1"/>
  <c r="Y84" i="47" s="1"/>
  <c r="Q86" i="47" a="1"/>
  <c r="Q86" i="47" s="1"/>
  <c r="X95" i="47" a="1"/>
  <c r="X95" i="47" s="1"/>
  <c r="X93" i="47" s="1"/>
  <c r="AP91" i="47" a="1"/>
  <c r="AP91" i="47" s="1"/>
  <c r="AP90" i="47" s="1"/>
  <c r="AF92" i="47" a="1"/>
  <c r="AF92" i="47" s="1"/>
  <c r="AC89" i="47" a="1"/>
  <c r="AC89" i="47" s="1"/>
  <c r="AC87" i="47" s="1"/>
  <c r="AB86" i="47" a="1"/>
  <c r="AB86" i="47" s="1"/>
  <c r="AA85" i="47" a="1"/>
  <c r="AA85" i="47" s="1"/>
  <c r="AA84" i="47" s="1"/>
  <c r="U70" i="43" a="1"/>
  <c r="U70" i="43" s="1"/>
  <c r="U69" i="43" s="1"/>
  <c r="AQ104" i="47" a="1"/>
  <c r="AQ104" i="47" s="1"/>
  <c r="N104" i="47" a="1"/>
  <c r="N104" i="47" s="1"/>
  <c r="Y98" i="47" a="1"/>
  <c r="Y98" i="47" s="1"/>
  <c r="Y96" i="47" s="1"/>
  <c r="AJ97" i="47" a="1"/>
  <c r="AJ97" i="47" s="1"/>
  <c r="L97" i="47" a="1"/>
  <c r="L97" i="47" s="1"/>
  <c r="L96" i="47" s="1"/>
  <c r="T104" i="47" a="1"/>
  <c r="T104" i="47" s="1"/>
  <c r="AI103" i="47" a="1"/>
  <c r="AI103" i="47" s="1"/>
  <c r="O103" i="47" a="1"/>
  <c r="O103" i="47" s="1"/>
  <c r="O102" i="47" s="1"/>
  <c r="AI97" i="47" a="1"/>
  <c r="AI97" i="47" s="1"/>
  <c r="AI96" i="47" s="1"/>
  <c r="K97" i="47" a="1"/>
  <c r="K97" i="47" s="1"/>
  <c r="K96" i="47" s="1"/>
  <c r="AD97" i="47" a="1"/>
  <c r="AD97" i="47" s="1"/>
  <c r="AD96" i="47" s="1"/>
  <c r="Y103" i="47" a="1"/>
  <c r="Y103" i="47" s="1"/>
  <c r="Y102" i="47" s="1"/>
  <c r="AJ101" i="47" a="1"/>
  <c r="AJ101" i="47" s="1"/>
  <c r="L101" i="47" a="1"/>
  <c r="L101" i="47" s="1"/>
  <c r="AI100" i="47" a="1"/>
  <c r="AI100" i="47" s="1"/>
  <c r="AI99" i="47" s="1"/>
  <c r="AA101" i="47" a="1"/>
  <c r="AA101" i="47" s="1"/>
  <c r="O101" i="47" a="1"/>
  <c r="O101" i="47" s="1"/>
  <c r="AP104" i="47" a="1"/>
  <c r="AP104" i="47" s="1"/>
  <c r="AJ103" i="47" a="1"/>
  <c r="AJ103" i="47" s="1"/>
  <c r="X104" i="47" a="1"/>
  <c r="X104" i="47" s="1"/>
  <c r="W101" i="47" a="1"/>
  <c r="W101" i="47" s="1"/>
  <c r="AD100" i="47" a="1"/>
  <c r="AD100" i="47" s="1"/>
  <c r="AD99" i="47" s="1"/>
  <c r="J101" i="47" a="1"/>
  <c r="J101" i="47" s="1"/>
  <c r="Z101" i="47" a="1"/>
  <c r="Z101" i="47" s="1"/>
  <c r="AC83" i="43" a="1"/>
  <c r="AC83" i="43" s="1"/>
  <c r="AC81" i="43" s="1"/>
  <c r="AJ104" i="47" a="1"/>
  <c r="AJ104" i="47" s="1"/>
  <c r="J104" i="47" a="1"/>
  <c r="J104" i="47" s="1"/>
  <c r="Q104" i="47" a="1"/>
  <c r="Q104" i="47" s="1"/>
  <c r="U98" i="47" a="1"/>
  <c r="U98" i="47" s="1"/>
  <c r="U96" i="47" s="1"/>
  <c r="AF97" i="47" a="1"/>
  <c r="AF97" i="47" s="1"/>
  <c r="AS95" i="47" a="1"/>
  <c r="AS95" i="47" s="1"/>
  <c r="AS93" i="47" s="1"/>
  <c r="K103" i="47" a="1"/>
  <c r="K103" i="47" s="1"/>
  <c r="K102" i="47" s="1"/>
  <c r="AF98" i="47" a="1"/>
  <c r="AF98" i="47" s="1"/>
  <c r="P98" i="47" a="1"/>
  <c r="P98" i="47" s="1"/>
  <c r="AE97" i="47" a="1"/>
  <c r="AE97" i="47" s="1"/>
  <c r="AE96" i="47" s="1"/>
  <c r="AR95" i="47" a="1"/>
  <c r="AR95" i="47" s="1"/>
  <c r="AR93" i="47" s="1"/>
  <c r="Z97" i="47" a="1"/>
  <c r="Z97" i="47" s="1"/>
  <c r="Z96" i="47" s="1"/>
  <c r="AK95" i="47" a="1"/>
  <c r="AK95" i="47" s="1"/>
  <c r="AK93" i="47" s="1"/>
  <c r="AE95" i="47" a="1"/>
  <c r="AE95" i="47" s="1"/>
  <c r="N92" i="47" a="1"/>
  <c r="N92" i="47" s="1"/>
  <c r="Y91" i="47" a="1"/>
  <c r="Y91" i="47" s="1"/>
  <c r="Y90" i="47" s="1"/>
  <c r="AK89" i="47" a="1"/>
  <c r="AK89" i="47" s="1"/>
  <c r="AK87" i="47" s="1"/>
  <c r="Z89" i="47" a="1"/>
  <c r="Z89" i="47" s="1"/>
  <c r="Z87" i="47" s="1"/>
  <c r="AJ86" i="47" a="1"/>
  <c r="AJ86" i="47" s="1"/>
  <c r="AF85" i="47" a="1"/>
  <c r="AF85" i="47" s="1"/>
  <c r="AF84" i="47" s="1"/>
  <c r="N85" i="47" a="1"/>
  <c r="N85" i="47" s="1"/>
  <c r="N84" i="47" s="1"/>
  <c r="AL82" i="47" a="1"/>
  <c r="AL82" i="47" s="1"/>
  <c r="AL81" i="47" s="1"/>
  <c r="U83" i="47" a="1"/>
  <c r="U83" i="47" s="1"/>
  <c r="AB91" i="47" a="1"/>
  <c r="AB91" i="47" s="1"/>
  <c r="AB90" i="47" s="1"/>
  <c r="AI21" i="41"/>
  <c r="AK57" i="47"/>
  <c r="AM96" i="41"/>
  <c r="AG93" i="41"/>
  <c r="AC54" i="41"/>
  <c r="AP57" i="47"/>
  <c r="L99" i="41"/>
  <c r="AM77" i="46" a="1"/>
  <c r="AM77" i="46" s="1"/>
  <c r="X76" i="46" a="1"/>
  <c r="X76" i="46" s="1"/>
  <c r="X77" i="46" a="1"/>
  <c r="X77" i="46" s="1"/>
  <c r="AE74" i="46" a="1"/>
  <c r="AE74" i="46" s="1"/>
  <c r="Z97" i="46" a="1"/>
  <c r="Z97" i="46" s="1"/>
  <c r="AE25" i="46" a="1"/>
  <c r="AE25" i="46" s="1"/>
  <c r="AE24" i="46" s="1"/>
  <c r="AA26" i="46" a="1"/>
  <c r="AA26" i="46" s="1"/>
  <c r="AA25" i="46" a="1"/>
  <c r="AA25" i="46" s="1"/>
  <c r="W26" i="46" a="1"/>
  <c r="W26" i="46" s="1"/>
  <c r="U11" i="41" a="1"/>
  <c r="U11" i="41" s="1"/>
  <c r="U9" i="41" s="1"/>
  <c r="L74" i="46" a="1"/>
  <c r="L74" i="46" s="1"/>
  <c r="L73" i="46" a="1"/>
  <c r="L73" i="46" s="1"/>
  <c r="AE73" i="46" a="1"/>
  <c r="AE73" i="46" s="1"/>
  <c r="Y73" i="46" a="1"/>
  <c r="Y73" i="46" s="1"/>
  <c r="O71" i="46" a="1"/>
  <c r="O71" i="46" s="1"/>
  <c r="AR98" i="46" a="1"/>
  <c r="AR98" i="46" s="1"/>
  <c r="AR97" i="46" a="1"/>
  <c r="AR97" i="46" s="1"/>
  <c r="Z98" i="46" a="1"/>
  <c r="Z98" i="46" s="1"/>
  <c r="AD74" i="47" a="1"/>
  <c r="AD74" i="47" s="1"/>
  <c r="O26" i="46" a="1"/>
  <c r="O26" i="46" s="1"/>
  <c r="O25" i="46" a="1"/>
  <c r="O25" i="46" s="1"/>
  <c r="K26" i="46" a="1"/>
  <c r="K26" i="46" s="1"/>
  <c r="K25" i="46" a="1"/>
  <c r="K25" i="46" s="1"/>
  <c r="AR25" i="46" a="1"/>
  <c r="AR25" i="46" s="1"/>
  <c r="AR26" i="46" a="1"/>
  <c r="AR26" i="46" s="1"/>
  <c r="AM47" i="46" a="1"/>
  <c r="AM47" i="46" s="1"/>
  <c r="AM45" i="46" s="1"/>
  <c r="W46" i="46" a="1"/>
  <c r="W46" i="46" s="1"/>
  <c r="T47" i="46" a="1"/>
  <c r="T47" i="46" s="1"/>
  <c r="T45" i="46" s="1"/>
  <c r="U40" i="43" a="1"/>
  <c r="U40" i="43" s="1"/>
  <c r="U41" i="43" a="1"/>
  <c r="U41" i="43" s="1"/>
  <c r="AR29" i="43" a="1"/>
  <c r="AR29" i="43" s="1"/>
  <c r="AR28" i="43" a="1"/>
  <c r="AR28" i="43" s="1"/>
  <c r="AG10" i="46" a="1"/>
  <c r="AG10" i="46" s="1"/>
  <c r="AG11" i="46" a="1"/>
  <c r="AG11" i="46" s="1"/>
  <c r="AC10" i="46" a="1"/>
  <c r="AC10" i="46" s="1"/>
  <c r="AC9" i="46" s="1"/>
  <c r="I55" i="43" a="1"/>
  <c r="I55" i="43" s="1"/>
  <c r="AN79" i="46" a="1"/>
  <c r="AN79" i="46" s="1"/>
  <c r="AN35" i="41" a="1"/>
  <c r="AN35" i="41" s="1"/>
  <c r="AS96" i="41"/>
  <c r="S96" i="41"/>
  <c r="AB99" i="41"/>
  <c r="X99" i="41"/>
  <c r="T99" i="41"/>
  <c r="Q27" i="46"/>
  <c r="AK27" i="46"/>
  <c r="P99" i="41"/>
  <c r="AF99" i="41"/>
  <c r="P72" i="47"/>
  <c r="Z54" i="43"/>
  <c r="Q60" i="47"/>
  <c r="K84" i="41"/>
  <c r="L72" i="47"/>
  <c r="T72" i="47"/>
  <c r="AI15" i="41"/>
  <c r="AP24" i="41"/>
  <c r="AR84" i="46"/>
  <c r="Y9" i="41"/>
  <c r="I9" i="46"/>
  <c r="AB30" i="43"/>
  <c r="Y74" i="46" a="1"/>
  <c r="Y74" i="46" s="1"/>
  <c r="O73" i="46" a="1"/>
  <c r="O73" i="46" s="1"/>
  <c r="O72" i="46" s="1"/>
  <c r="AH71" i="46" a="1"/>
  <c r="AH71" i="46" s="1"/>
  <c r="AH70" i="46" a="1"/>
  <c r="AH70" i="46" s="1"/>
  <c r="L71" i="46" a="1"/>
  <c r="L71" i="46" s="1"/>
  <c r="L70" i="46" a="1"/>
  <c r="L70" i="46" s="1"/>
  <c r="O70" i="46" a="1"/>
  <c r="O70" i="46" s="1"/>
  <c r="AJ47" i="46" a="1"/>
  <c r="AJ47" i="46" s="1"/>
  <c r="AJ45" i="46" s="1"/>
  <c r="AG47" i="46" a="1"/>
  <c r="AG47" i="46" s="1"/>
  <c r="AG46" i="46" a="1"/>
  <c r="AG46" i="46" s="1"/>
  <c r="Z47" i="46" a="1"/>
  <c r="Z47" i="46" s="1"/>
  <c r="Z46" i="46" a="1"/>
  <c r="Z46" i="46" s="1"/>
  <c r="W47" i="46" a="1"/>
  <c r="W47" i="46" s="1"/>
  <c r="W45" i="46" s="1"/>
  <c r="AH79" i="41" a="1"/>
  <c r="AH79" i="41" s="1"/>
  <c r="AH78" i="41" s="1"/>
  <c r="AD79" i="41" a="1"/>
  <c r="AD79" i="41" s="1"/>
  <c r="R80" i="41" a="1"/>
  <c r="R80" i="41" s="1"/>
  <c r="AG77" i="41" a="1"/>
  <c r="AG77" i="41" s="1"/>
  <c r="M76" i="41" a="1"/>
  <c r="M76" i="41" s="1"/>
  <c r="I101" i="43" a="1"/>
  <c r="I101" i="43" s="1"/>
  <c r="AN16" i="41" a="1"/>
  <c r="AN16" i="41" s="1"/>
  <c r="AN77" i="47" a="1"/>
  <c r="AN77" i="47" s="1"/>
  <c r="AL48" i="43"/>
  <c r="AJ45" i="43"/>
  <c r="O96" i="41"/>
  <c r="AC93" i="41"/>
  <c r="K90" i="41"/>
  <c r="AN71" i="43" a="1"/>
  <c r="AN71" i="43" s="1"/>
  <c r="AR71" i="47" a="1"/>
  <c r="AR71" i="47" s="1"/>
  <c r="AR69" i="47" s="1"/>
  <c r="AK71" i="47" a="1"/>
  <c r="AK71" i="47" s="1"/>
  <c r="AE71" i="47" a="1"/>
  <c r="AE71" i="47" s="1"/>
  <c r="AA71" i="47" a="1"/>
  <c r="AA71" i="47" s="1"/>
  <c r="AM77" i="41" a="1"/>
  <c r="AM77" i="41" s="1"/>
  <c r="AM75" i="41" s="1"/>
  <c r="O76" i="41" a="1"/>
  <c r="O76" i="41" s="1"/>
  <c r="O77" i="41" a="1"/>
  <c r="O77" i="41" s="1"/>
  <c r="AL25" i="46" a="1"/>
  <c r="AL25" i="46" s="1"/>
  <c r="AL26" i="46" a="1"/>
  <c r="AL26" i="46" s="1"/>
  <c r="AH25" i="46" a="1"/>
  <c r="AH25" i="46" s="1"/>
  <c r="AH26" i="46" a="1"/>
  <c r="AH26" i="46" s="1"/>
  <c r="I16" i="41" a="1"/>
  <c r="I16" i="41" s="1"/>
  <c r="AR42" i="43"/>
  <c r="V96" i="41"/>
  <c r="AQ87" i="41"/>
  <c r="AF18" i="41"/>
  <c r="AL15" i="41"/>
  <c r="AB69" i="47"/>
  <c r="Q87" i="41"/>
  <c r="M87" i="41"/>
  <c r="O84" i="41"/>
  <c r="U81" i="41"/>
  <c r="AQ18" i="41"/>
  <c r="AL60" i="43"/>
  <c r="U57" i="47"/>
  <c r="AA78" i="41"/>
  <c r="AT57" i="47"/>
  <c r="Q57" i="47"/>
  <c r="AR27" i="43"/>
  <c r="R96" i="41"/>
  <c r="AP27" i="43"/>
  <c r="AF27" i="43"/>
  <c r="P27" i="43"/>
  <c r="AL78" i="41"/>
  <c r="AJ75" i="41"/>
  <c r="AA27" i="41"/>
  <c r="AM90" i="41"/>
  <c r="AT21" i="43"/>
  <c r="L21" i="43"/>
  <c r="AB60" i="43"/>
  <c r="AP69" i="41"/>
  <c r="AR66" i="41"/>
  <c r="N66" i="41"/>
  <c r="AC63" i="41"/>
  <c r="AI60" i="41"/>
  <c r="O60" i="41"/>
  <c r="N60" i="41"/>
  <c r="AC57" i="41"/>
  <c r="AP57" i="41"/>
  <c r="AJ57" i="41"/>
  <c r="AF57" i="41"/>
  <c r="AR96" i="41"/>
  <c r="AL96" i="41"/>
  <c r="AI30" i="43"/>
  <c r="AT17" i="47" a="1"/>
  <c r="AT17" i="47" s="1"/>
  <c r="W91" i="46" a="1"/>
  <c r="W91" i="46" s="1"/>
  <c r="AB89" i="46" a="1"/>
  <c r="AB89" i="46" s="1"/>
  <c r="AK88" i="46" a="1"/>
  <c r="AK88" i="46" s="1"/>
  <c r="AK89" i="46" a="1"/>
  <c r="AK89" i="46" s="1"/>
  <c r="AB88" i="46" a="1"/>
  <c r="AB88" i="46" s="1"/>
  <c r="N89" i="46" a="1"/>
  <c r="N89" i="46" s="1"/>
  <c r="N88" i="46" a="1"/>
  <c r="N88" i="46" s="1"/>
  <c r="Z86" i="46" a="1"/>
  <c r="Z86" i="46" s="1"/>
  <c r="Z85" i="46" a="1"/>
  <c r="Z85" i="46" s="1"/>
  <c r="AI85" i="46" a="1"/>
  <c r="AI85" i="46" s="1"/>
  <c r="AI84" i="46" s="1"/>
  <c r="L85" i="46" a="1"/>
  <c r="L85" i="46" s="1"/>
  <c r="L86" i="46" a="1"/>
  <c r="L86" i="46" s="1"/>
  <c r="J83" i="46" a="1"/>
  <c r="J83" i="46" s="1"/>
  <c r="J82" i="46" a="1"/>
  <c r="J82" i="46" s="1"/>
  <c r="AG82" i="46" a="1"/>
  <c r="AG82" i="46" s="1"/>
  <c r="AG81" i="46" s="1"/>
  <c r="V82" i="46" a="1"/>
  <c r="V82" i="46" s="1"/>
  <c r="V83" i="46" a="1"/>
  <c r="V83" i="46" s="1"/>
  <c r="AI80" i="46" a="1"/>
  <c r="AI80" i="46" s="1"/>
  <c r="AI79" i="46" a="1"/>
  <c r="AI79" i="46" s="1"/>
  <c r="W80" i="46" a="1"/>
  <c r="W80" i="46" s="1"/>
  <c r="W79" i="46" a="1"/>
  <c r="W79" i="46" s="1"/>
  <c r="J19" i="46" a="1"/>
  <c r="J19" i="46" s="1"/>
  <c r="J20" i="46" a="1"/>
  <c r="J20" i="46" s="1"/>
  <c r="AM61" i="47" a="1"/>
  <c r="AM61" i="47" s="1"/>
  <c r="AM62" i="47" a="1"/>
  <c r="AM62" i="47" s="1"/>
  <c r="AA61" i="47" a="1"/>
  <c r="AA61" i="47" s="1"/>
  <c r="O61" i="47" a="1"/>
  <c r="O61" i="47" s="1"/>
  <c r="AR59" i="47" a="1"/>
  <c r="AR59" i="47" s="1"/>
  <c r="AE59" i="47" a="1"/>
  <c r="AE59" i="47" s="1"/>
  <c r="AR58" i="47" a="1"/>
  <c r="AR58" i="47" s="1"/>
  <c r="W58" i="47" a="1"/>
  <c r="W58" i="47" s="1"/>
  <c r="W59" i="47" a="1"/>
  <c r="W59" i="47" s="1"/>
  <c r="K58" i="47" a="1"/>
  <c r="K58" i="47" s="1"/>
  <c r="K59" i="47" a="1"/>
  <c r="K59" i="47" s="1"/>
  <c r="AR55" i="47" a="1"/>
  <c r="AR55" i="47" s="1"/>
  <c r="AR56" i="47" a="1"/>
  <c r="AR56" i="47" s="1"/>
  <c r="T70" i="47" a="1"/>
  <c r="T70" i="47" s="1"/>
  <c r="T69" i="47" s="1"/>
  <c r="Q22" i="47" a="1"/>
  <c r="Q22" i="47" s="1"/>
  <c r="Q21" i="47" s="1"/>
  <c r="AS20" i="47" a="1"/>
  <c r="AS20" i="47" s="1"/>
  <c r="AI20" i="47" a="1"/>
  <c r="AI20" i="47" s="1"/>
  <c r="AA20" i="47" a="1"/>
  <c r="AA20" i="47" s="1"/>
  <c r="S19" i="47" a="1"/>
  <c r="S19" i="47" s="1"/>
  <c r="K20" i="47" a="1"/>
  <c r="K20" i="47" s="1"/>
  <c r="AQ17" i="47" a="1"/>
  <c r="AQ17" i="47" s="1"/>
  <c r="AQ15" i="47" s="1"/>
  <c r="AG17" i="47" a="1"/>
  <c r="AG17" i="47" s="1"/>
  <c r="AG15" i="47" s="1"/>
  <c r="Y17" i="47" a="1"/>
  <c r="Y17" i="47" s="1"/>
  <c r="Y15" i="47" s="1"/>
  <c r="Q17" i="47" a="1"/>
  <c r="Q17" i="47" s="1"/>
  <c r="Q15" i="47" s="1"/>
  <c r="AS11" i="47" a="1"/>
  <c r="AS11" i="47" s="1"/>
  <c r="AS9" i="47" s="1"/>
  <c r="AI11" i="47" a="1"/>
  <c r="AI11" i="47" s="1"/>
  <c r="AI9" i="47" s="1"/>
  <c r="AA11" i="47" a="1"/>
  <c r="AA11" i="47" s="1"/>
  <c r="AA9" i="47" s="1"/>
  <c r="V74" i="47" a="1"/>
  <c r="V74" i="47" s="1"/>
  <c r="V72" i="47" s="1"/>
  <c r="N74" i="47" a="1"/>
  <c r="N74" i="47" s="1"/>
  <c r="N73" i="47" a="1"/>
  <c r="N73" i="47" s="1"/>
  <c r="R73" i="47" a="1"/>
  <c r="R73" i="47" s="1"/>
  <c r="R74" i="47" a="1"/>
  <c r="R74" i="47" s="1"/>
  <c r="K73" i="47" a="1"/>
  <c r="K73" i="47" s="1"/>
  <c r="K74" i="47" a="1"/>
  <c r="K74" i="47" s="1"/>
  <c r="V25" i="47" a="1"/>
  <c r="V25" i="47" s="1"/>
  <c r="R25" i="47" a="1"/>
  <c r="R25" i="47" s="1"/>
  <c r="R26" i="47" a="1"/>
  <c r="R26" i="47" s="1"/>
  <c r="N25" i="47" a="1"/>
  <c r="N25" i="47" s="1"/>
  <c r="N26" i="47" a="1"/>
  <c r="N26" i="47" s="1"/>
  <c r="J25" i="47" a="1"/>
  <c r="J25" i="47" s="1"/>
  <c r="J26" i="47" a="1"/>
  <c r="J26" i="47" s="1"/>
  <c r="AT22" i="47" a="1"/>
  <c r="AT22" i="47" s="1"/>
  <c r="AT23" i="47" a="1"/>
  <c r="AT23" i="47" s="1"/>
  <c r="AP22" i="47" a="1"/>
  <c r="AP22" i="47" s="1"/>
  <c r="AP23" i="47" a="1"/>
  <c r="AP23" i="47" s="1"/>
  <c r="AJ22" i="47" a="1"/>
  <c r="AJ22" i="47" s="1"/>
  <c r="AJ23" i="47" a="1"/>
  <c r="AJ23" i="47" s="1"/>
  <c r="AF22" i="47" a="1"/>
  <c r="AF22" i="47" s="1"/>
  <c r="AF23" i="47" a="1"/>
  <c r="AF23" i="47" s="1"/>
  <c r="AB22" i="47" a="1"/>
  <c r="AB22" i="47" s="1"/>
  <c r="AB23" i="47" a="1"/>
  <c r="AB23" i="47" s="1"/>
  <c r="X22" i="47" a="1"/>
  <c r="X22" i="47" s="1"/>
  <c r="X23" i="47" a="1"/>
  <c r="X23" i="47" s="1"/>
  <c r="T22" i="47" a="1"/>
  <c r="T22" i="47" s="1"/>
  <c r="T23" i="47" a="1"/>
  <c r="T23" i="47" s="1"/>
  <c r="P22" i="47" a="1"/>
  <c r="P22" i="47" s="1"/>
  <c r="P23" i="47" a="1"/>
  <c r="P23" i="47" s="1"/>
  <c r="L22" i="47" a="1"/>
  <c r="L22" i="47" s="1"/>
  <c r="L23" i="47" a="1"/>
  <c r="L23" i="47" s="1"/>
  <c r="AR19" i="47" a="1"/>
  <c r="AR19" i="47" s="1"/>
  <c r="AR20" i="47" a="1"/>
  <c r="AR20" i="47" s="1"/>
  <c r="AL19" i="47" a="1"/>
  <c r="AL19" i="47" s="1"/>
  <c r="AL20" i="47" a="1"/>
  <c r="AL20" i="47" s="1"/>
  <c r="AH19" i="47" a="1"/>
  <c r="AH19" i="47" s="1"/>
  <c r="AH20" i="47" a="1"/>
  <c r="AH20" i="47" s="1"/>
  <c r="AD19" i="47" a="1"/>
  <c r="AD19" i="47" s="1"/>
  <c r="AD20" i="47" a="1"/>
  <c r="AD20" i="47" s="1"/>
  <c r="Z19" i="47" a="1"/>
  <c r="Z19" i="47" s="1"/>
  <c r="Z20" i="47" a="1"/>
  <c r="Z20" i="47" s="1"/>
  <c r="V19" i="47" a="1"/>
  <c r="V19" i="47" s="1"/>
  <c r="V20" i="47" a="1"/>
  <c r="V20" i="47" s="1"/>
  <c r="R19" i="47" a="1"/>
  <c r="R19" i="47" s="1"/>
  <c r="R20" i="47" a="1"/>
  <c r="R20" i="47" s="1"/>
  <c r="N19" i="47" a="1"/>
  <c r="N19" i="47" s="1"/>
  <c r="N20" i="47" a="1"/>
  <c r="N20" i="47" s="1"/>
  <c r="J19" i="47" a="1"/>
  <c r="J19" i="47" s="1"/>
  <c r="J20" i="47" a="1"/>
  <c r="J20" i="47" s="1"/>
  <c r="AT16" i="47" a="1"/>
  <c r="AT16" i="47" s="1"/>
  <c r="W92" i="46" a="1"/>
  <c r="W92" i="46" s="1"/>
  <c r="AP16" i="47" a="1"/>
  <c r="AP16" i="47" s="1"/>
  <c r="AP17" i="47" a="1"/>
  <c r="AP17" i="47" s="1"/>
  <c r="AD70" i="41" a="1"/>
  <c r="AD70" i="41" s="1"/>
  <c r="AD69" i="41" s="1"/>
  <c r="R70" i="41" a="1"/>
  <c r="R70" i="41" s="1"/>
  <c r="R69" i="41" s="1"/>
  <c r="N70" i="41" a="1"/>
  <c r="N70" i="41" s="1"/>
  <c r="N69" i="41" s="1"/>
  <c r="J70" i="41" a="1"/>
  <c r="J70" i="41" s="1"/>
  <c r="J69" i="41" s="1"/>
  <c r="AT67" i="41" a="1"/>
  <c r="AT67" i="41" s="1"/>
  <c r="AT66" i="41" s="1"/>
  <c r="AP67" i="41" a="1"/>
  <c r="AP67" i="41" s="1"/>
  <c r="AP66" i="41" s="1"/>
  <c r="AJ67" i="41" a="1"/>
  <c r="AJ67" i="41" s="1"/>
  <c r="AJ66" i="41" s="1"/>
  <c r="AF67" i="41" a="1"/>
  <c r="AF67" i="41" s="1"/>
  <c r="AF66" i="41" s="1"/>
  <c r="AB67" i="41" a="1"/>
  <c r="AB67" i="41" s="1"/>
  <c r="AB66" i="41" s="1"/>
  <c r="X67" i="41" a="1"/>
  <c r="X67" i="41" s="1"/>
  <c r="X66" i="41" s="1"/>
  <c r="T67" i="41" a="1"/>
  <c r="T67" i="41" s="1"/>
  <c r="T66" i="41" s="1"/>
  <c r="P67" i="41" a="1"/>
  <c r="P67" i="41" s="1"/>
  <c r="P66" i="41" s="1"/>
  <c r="L67" i="41" a="1"/>
  <c r="L67" i="41" s="1"/>
  <c r="L66" i="41" s="1"/>
  <c r="AA65" i="41" a="1"/>
  <c r="AA65" i="41" s="1"/>
  <c r="AA64" i="41" a="1"/>
  <c r="AA64" i="41" s="1"/>
  <c r="AL64" i="41" a="1"/>
  <c r="AL64" i="41" s="1"/>
  <c r="AL65" i="41" a="1"/>
  <c r="AL65" i="41" s="1"/>
  <c r="AH64" i="41" a="1"/>
  <c r="AH64" i="41" s="1"/>
  <c r="AH65" i="41" a="1"/>
  <c r="AH65" i="41" s="1"/>
  <c r="AD64" i="41" a="1"/>
  <c r="AD64" i="41" s="1"/>
  <c r="AD65" i="41" a="1"/>
  <c r="AD65" i="41" s="1"/>
  <c r="Z64" i="41" a="1"/>
  <c r="Z64" i="41" s="1"/>
  <c r="Z65" i="41" a="1"/>
  <c r="Z65" i="41" s="1"/>
  <c r="V64" i="41" a="1"/>
  <c r="V64" i="41" s="1"/>
  <c r="V65" i="41" a="1"/>
  <c r="V65" i="41" s="1"/>
  <c r="R64" i="41" a="1"/>
  <c r="R64" i="41" s="1"/>
  <c r="R65" i="41" a="1"/>
  <c r="R65" i="41" s="1"/>
  <c r="AT61" i="41" a="1"/>
  <c r="AT61" i="41" s="1"/>
  <c r="AT62" i="41" a="1"/>
  <c r="AT62" i="41" s="1"/>
  <c r="AP61" i="41" a="1"/>
  <c r="AP61" i="41" s="1"/>
  <c r="AP62" i="41" a="1"/>
  <c r="AP62" i="41" s="1"/>
  <c r="AF61" i="41" a="1"/>
  <c r="AF61" i="41" s="1"/>
  <c r="AF60" i="41" s="1"/>
  <c r="AB61" i="41" a="1"/>
  <c r="AB61" i="41" s="1"/>
  <c r="AB62" i="41" a="1"/>
  <c r="AB62" i="41" s="1"/>
  <c r="P61" i="41" a="1"/>
  <c r="P61" i="41" s="1"/>
  <c r="P60" i="41" s="1"/>
  <c r="L61" i="41" a="1"/>
  <c r="L61" i="41" s="1"/>
  <c r="L62" i="41" a="1"/>
  <c r="L62" i="41" s="1"/>
  <c r="AE59" i="41" a="1"/>
  <c r="AE59" i="41" s="1"/>
  <c r="AE57" i="41" s="1"/>
  <c r="W59" i="41" a="1"/>
  <c r="W59" i="41" s="1"/>
  <c r="W58" i="41" a="1"/>
  <c r="W58" i="41" s="1"/>
  <c r="AL58" i="41" a="1"/>
  <c r="AL58" i="41" s="1"/>
  <c r="AL57" i="41" s="1"/>
  <c r="AH58" i="41" a="1"/>
  <c r="AH58" i="41" s="1"/>
  <c r="AH59" i="41" a="1"/>
  <c r="AH59" i="41" s="1"/>
  <c r="AD58" i="41" a="1"/>
  <c r="AD58" i="41" s="1"/>
  <c r="AD57" i="41" s="1"/>
  <c r="AU25" i="41" a="1"/>
  <c r="AU25" i="41" s="1"/>
  <c r="AU40" i="46" a="1"/>
  <c r="AU40" i="46" s="1"/>
  <c r="AN94" i="47" a="1"/>
  <c r="AN94" i="47" s="1"/>
  <c r="AU41" i="46" a="1"/>
  <c r="AU41" i="46" s="1"/>
  <c r="AU46" i="46" a="1"/>
  <c r="AU46" i="46" s="1"/>
  <c r="AN104" i="41" a="1"/>
  <c r="AN104" i="41" s="1"/>
  <c r="I17" i="43" a="1"/>
  <c r="I17" i="43" s="1"/>
  <c r="I86" i="43" a="1"/>
  <c r="I86" i="43" s="1"/>
  <c r="I41" i="47" a="1"/>
  <c r="I41" i="47" s="1"/>
  <c r="AN32" i="43" a="1"/>
  <c r="AN32" i="43" s="1"/>
  <c r="I26" i="41" a="1"/>
  <c r="I26" i="41" s="1"/>
  <c r="AU10" i="41" a="1"/>
  <c r="AU10" i="41" s="1"/>
  <c r="AU9" i="41" s="1"/>
  <c r="AU29" i="46" a="1"/>
  <c r="AU29" i="46" s="1"/>
  <c r="AN73" i="47" a="1"/>
  <c r="AN73" i="47" s="1"/>
  <c r="AN85" i="41" a="1"/>
  <c r="AN85" i="41" s="1"/>
  <c r="I17" i="47" a="1"/>
  <c r="I17" i="47" s="1"/>
  <c r="AN83" i="43" a="1"/>
  <c r="AN83" i="43" s="1"/>
  <c r="AN77" i="46" a="1"/>
  <c r="AN77" i="46" s="1"/>
  <c r="I28" i="41" a="1"/>
  <c r="I28" i="41" s="1"/>
  <c r="I88" i="46" a="1"/>
  <c r="I88" i="46" s="1"/>
  <c r="AN47" i="46" a="1"/>
  <c r="AN47" i="46" s="1"/>
  <c r="AN95" i="47" a="1"/>
  <c r="AN95" i="47" s="1"/>
  <c r="AN82" i="43" a="1"/>
  <c r="AN82" i="43" s="1"/>
  <c r="AN23" i="47" a="1"/>
  <c r="AN23" i="47" s="1"/>
  <c r="AN31" i="46" a="1"/>
  <c r="AN31" i="46" s="1"/>
  <c r="AN94" i="46" a="1"/>
  <c r="AN94" i="46" s="1"/>
  <c r="AU32" i="46" a="1"/>
  <c r="AU32" i="46" s="1"/>
  <c r="AN103" i="43" a="1"/>
  <c r="AN103" i="43" s="1"/>
  <c r="AN67" i="47" a="1"/>
  <c r="AN67" i="47" s="1"/>
  <c r="AU55" i="46" a="1"/>
  <c r="AU55" i="46" s="1"/>
  <c r="I56" i="41" a="1"/>
  <c r="I56" i="41" s="1"/>
  <c r="AN70" i="46" a="1"/>
  <c r="AN70" i="46" s="1"/>
  <c r="I41" i="41" a="1"/>
  <c r="I41" i="41" s="1"/>
  <c r="I22" i="46" a="1"/>
  <c r="I22" i="46" s="1"/>
  <c r="Q36" i="41"/>
  <c r="AA102" i="43"/>
  <c r="AC48" i="41"/>
  <c r="N39" i="41"/>
  <c r="K69" i="47"/>
  <c r="N69" i="46"/>
  <c r="AG9" i="46"/>
  <c r="AH96" i="41"/>
  <c r="Z96" i="41"/>
  <c r="N96" i="41"/>
  <c r="L93" i="41"/>
  <c r="Y63" i="41"/>
  <c r="AQ22" i="46" a="1"/>
  <c r="AQ22" i="46" s="1"/>
  <c r="Y17" i="46" a="1"/>
  <c r="Y17" i="46" s="1"/>
  <c r="AK23" i="46" a="1"/>
  <c r="AK23" i="46" s="1"/>
  <c r="AT17" i="46" a="1"/>
  <c r="AT17" i="46" s="1"/>
  <c r="AK22" i="46" a="1"/>
  <c r="AK22" i="46" s="1"/>
  <c r="L16" i="46" a="1"/>
  <c r="L16" i="46" s="1"/>
  <c r="AG23" i="46" a="1"/>
  <c r="AG23" i="46" s="1"/>
  <c r="AE11" i="46" a="1"/>
  <c r="AE11" i="46" s="1"/>
  <c r="O11" i="46" a="1"/>
  <c r="O11" i="46" s="1"/>
  <c r="O10" i="46" a="1"/>
  <c r="O10" i="46" s="1"/>
  <c r="R10" i="46" a="1"/>
  <c r="R10" i="46" s="1"/>
  <c r="R11" i="46" a="1"/>
  <c r="R11" i="46" s="1"/>
  <c r="Y104" i="43" a="1"/>
  <c r="Y104" i="43" s="1"/>
  <c r="Y103" i="43" a="1"/>
  <c r="Y103" i="43" s="1"/>
  <c r="AT104" i="43" a="1"/>
  <c r="AT104" i="43" s="1"/>
  <c r="AT103" i="43" a="1"/>
  <c r="AT103" i="43" s="1"/>
  <c r="AB104" i="43" a="1"/>
  <c r="AB104" i="43" s="1"/>
  <c r="U65" i="47" a="1"/>
  <c r="U65" i="47" s="1"/>
  <c r="J64" i="47" a="1"/>
  <c r="J64" i="47" s="1"/>
  <c r="J65" i="47" a="1"/>
  <c r="J65" i="47" s="1"/>
  <c r="AD62" i="47" a="1"/>
  <c r="AD62" i="47" s="1"/>
  <c r="AD61" i="47" a="1"/>
  <c r="AD61" i="47" s="1"/>
  <c r="O62" i="47" a="1"/>
  <c r="O62" i="47" s="1"/>
  <c r="L76" i="47" a="1"/>
  <c r="L76" i="47" s="1"/>
  <c r="P71" i="47" a="1"/>
  <c r="P71" i="47" s="1"/>
  <c r="P69" i="47" s="1"/>
  <c r="AG67" i="47" a="1"/>
  <c r="AG67" i="47" s="1"/>
  <c r="M23" i="47" a="1"/>
  <c r="M23" i="47" s="1"/>
  <c r="M21" i="47" s="1"/>
  <c r="AS19" i="47" a="1"/>
  <c r="AS19" i="47" s="1"/>
  <c r="AM19" i="47" a="1"/>
  <c r="AM19" i="47" s="1"/>
  <c r="AM18" i="47" s="1"/>
  <c r="AE19" i="47" a="1"/>
  <c r="AE19" i="47" s="1"/>
  <c r="AE18" i="47" s="1"/>
  <c r="W19" i="47" a="1"/>
  <c r="W19" i="47" s="1"/>
  <c r="W18" i="47" s="1"/>
  <c r="O19" i="47" a="1"/>
  <c r="O19" i="47" s="1"/>
  <c r="O18" i="47" s="1"/>
  <c r="N17" i="47" a="1"/>
  <c r="N17" i="47" s="1"/>
  <c r="N16" i="47" a="1"/>
  <c r="N16" i="47" s="1"/>
  <c r="AK17" i="47" a="1"/>
  <c r="AK17" i="47" s="1"/>
  <c r="AC17" i="47" a="1"/>
  <c r="AC17" i="47" s="1"/>
  <c r="U17" i="47" a="1"/>
  <c r="U17" i="47" s="1"/>
  <c r="M17" i="47" a="1"/>
  <c r="M17" i="47" s="1"/>
  <c r="AM11" i="47" a="1"/>
  <c r="AM11" i="47" s="1"/>
  <c r="AE11" i="47" a="1"/>
  <c r="AE11" i="47" s="1"/>
  <c r="W11" i="47" a="1"/>
  <c r="W11" i="47" s="1"/>
  <c r="O11" i="47" a="1"/>
  <c r="O11" i="47" s="1"/>
  <c r="Z104" i="46" a="1"/>
  <c r="Z104" i="46" s="1"/>
  <c r="Z103" i="46" a="1"/>
  <c r="Z103" i="46" s="1"/>
  <c r="AK104" i="46" a="1"/>
  <c r="AK104" i="46" s="1"/>
  <c r="AC104" i="46" a="1"/>
  <c r="AC104" i="46" s="1"/>
  <c r="U104" i="46" a="1"/>
  <c r="U104" i="46" s="1"/>
  <c r="M104" i="46" a="1"/>
  <c r="M104" i="46" s="1"/>
  <c r="P101" i="46" a="1"/>
  <c r="P101" i="46" s="1"/>
  <c r="P100" i="46" a="1"/>
  <c r="P100" i="46" s="1"/>
  <c r="AM101" i="46" a="1"/>
  <c r="AM101" i="46" s="1"/>
  <c r="AE101" i="46" a="1"/>
  <c r="AE101" i="46" s="1"/>
  <c r="W101" i="46" a="1"/>
  <c r="W101" i="46" s="1"/>
  <c r="O101" i="46" a="1"/>
  <c r="O101" i="46" s="1"/>
  <c r="AD98" i="46" a="1"/>
  <c r="AD98" i="46" s="1"/>
  <c r="AD97" i="46" a="1"/>
  <c r="AD97" i="46" s="1"/>
  <c r="AQ97" i="46" a="1"/>
  <c r="AQ97" i="46" s="1"/>
  <c r="AQ96" i="46" s="1"/>
  <c r="AK98" i="46" a="1"/>
  <c r="AK98" i="46" s="1"/>
  <c r="AK96" i="46" s="1"/>
  <c r="AC98" i="46" a="1"/>
  <c r="AC98" i="46" s="1"/>
  <c r="U98" i="46" a="1"/>
  <c r="U98" i="46" s="1"/>
  <c r="M98" i="46" a="1"/>
  <c r="M98" i="46" s="1"/>
  <c r="AC31" i="47" a="1"/>
  <c r="AC31" i="47" s="1"/>
  <c r="AC32" i="47" a="1"/>
  <c r="AC32" i="47" s="1"/>
  <c r="P67" i="46" a="1"/>
  <c r="P67" i="46" s="1"/>
  <c r="AP65" i="46" a="1"/>
  <c r="AP65" i="46" s="1"/>
  <c r="AP64" i="46" a="1"/>
  <c r="AP64" i="46" s="1"/>
  <c r="O65" i="46" a="1"/>
  <c r="O65" i="46" s="1"/>
  <c r="O64" i="46" a="1"/>
  <c r="O64" i="46" s="1"/>
  <c r="AF64" i="46" a="1"/>
  <c r="AF64" i="46" s="1"/>
  <c r="AF63" i="46" s="1"/>
  <c r="N73" i="41" a="1"/>
  <c r="N73" i="41" s="1"/>
  <c r="AG71" i="41" a="1"/>
  <c r="AG71" i="41" s="1"/>
  <c r="U70" i="41" a="1"/>
  <c r="U70" i="41" s="1"/>
  <c r="U69" i="41" s="1"/>
  <c r="Y59" i="41" a="1"/>
  <c r="Y59" i="41" s="1"/>
  <c r="AU25" i="46" a="1"/>
  <c r="AU25" i="46" s="1"/>
  <c r="AU26" i="46" a="1"/>
  <c r="AU26" i="46" s="1"/>
  <c r="AN47" i="41" a="1"/>
  <c r="AN47" i="41" s="1"/>
  <c r="I91" i="46" a="1"/>
  <c r="I91" i="46" s="1"/>
  <c r="I92" i="46" a="1"/>
  <c r="I92" i="46" s="1"/>
  <c r="AF28" i="47" a="1"/>
  <c r="AF28" i="47" s="1"/>
  <c r="AC28" i="47" a="1"/>
  <c r="AC28" i="47" s="1"/>
  <c r="AC27" i="47" s="1"/>
  <c r="S28" i="47" a="1"/>
  <c r="S28" i="47" s="1"/>
  <c r="S29" i="47" a="1"/>
  <c r="S29" i="47" s="1"/>
  <c r="P28" i="47" a="1"/>
  <c r="P28" i="47" s="1"/>
  <c r="M28" i="47" a="1"/>
  <c r="M28" i="47" s="1"/>
  <c r="J28" i="47" a="1"/>
  <c r="J28" i="47" s="1"/>
  <c r="AC26" i="47" a="1"/>
  <c r="AC26" i="47" s="1"/>
  <c r="AC24" i="47" s="1"/>
  <c r="Y26" i="47" a="1"/>
  <c r="Y26" i="47" s="1"/>
  <c r="Y24" i="47" s="1"/>
  <c r="V26" i="47" a="1"/>
  <c r="V26" i="47" s="1"/>
  <c r="S26" i="47" a="1"/>
  <c r="S26" i="47" s="1"/>
  <c r="S24" i="47" s="1"/>
  <c r="O26" i="47" a="1"/>
  <c r="O26" i="47" s="1"/>
  <c r="O24" i="47" s="1"/>
  <c r="K26" i="47" a="1"/>
  <c r="K26" i="47" s="1"/>
  <c r="K24" i="47" s="1"/>
  <c r="AR25" i="47" a="1"/>
  <c r="AR25" i="47" s="1"/>
  <c r="AR24" i="47" s="1"/>
  <c r="AL25" i="47" a="1"/>
  <c r="AL25" i="47" s="1"/>
  <c r="AL24" i="47" s="1"/>
  <c r="AH25" i="47" a="1"/>
  <c r="AH25" i="47" s="1"/>
  <c r="AH26" i="47" a="1"/>
  <c r="AH26" i="47" s="1"/>
  <c r="AD25" i="47" a="1"/>
  <c r="AD25" i="47" s="1"/>
  <c r="AD24" i="47" s="1"/>
  <c r="AD25" i="46" a="1"/>
  <c r="AD25" i="46" s="1"/>
  <c r="AD26" i="46" a="1"/>
  <c r="AD26" i="46" s="1"/>
  <c r="Z25" i="46" a="1"/>
  <c r="Z25" i="46" s="1"/>
  <c r="Z26" i="46" a="1"/>
  <c r="Z26" i="46" s="1"/>
  <c r="V25" i="46" a="1"/>
  <c r="V25" i="46" s="1"/>
  <c r="V26" i="46" a="1"/>
  <c r="V26" i="46" s="1"/>
  <c r="R25" i="46" a="1"/>
  <c r="R25" i="46" s="1"/>
  <c r="R26" i="46" a="1"/>
  <c r="R26" i="46" s="1"/>
  <c r="N25" i="46" a="1"/>
  <c r="N25" i="46" s="1"/>
  <c r="N26" i="46" a="1"/>
  <c r="N26" i="46" s="1"/>
  <c r="J25" i="46" a="1"/>
  <c r="J25" i="46" s="1"/>
  <c r="J26" i="46" a="1"/>
  <c r="J26" i="46" s="1"/>
  <c r="AQ23" i="46" a="1"/>
  <c r="AQ23" i="46" s="1"/>
  <c r="Y16" i="46" a="1"/>
  <c r="Y16" i="46" s="1"/>
  <c r="AT16" i="46" a="1"/>
  <c r="AT16" i="46" s="1"/>
  <c r="L17" i="46" a="1"/>
  <c r="L17" i="46" s="1"/>
  <c r="AE10" i="46" a="1"/>
  <c r="AE10" i="46" s="1"/>
  <c r="AG22" i="46" a="1"/>
  <c r="AG22" i="46" s="1"/>
  <c r="AC23" i="46" a="1"/>
  <c r="AC23" i="46" s="1"/>
  <c r="U23" i="46" a="1"/>
  <c r="U23" i="46" s="1"/>
  <c r="U22" i="46" a="1"/>
  <c r="U22" i="46" s="1"/>
  <c r="Q23" i="46" a="1"/>
  <c r="Q23" i="46" s="1"/>
  <c r="Q22" i="46" a="1"/>
  <c r="Q22" i="46" s="1"/>
  <c r="M23" i="46" a="1"/>
  <c r="M23" i="46" s="1"/>
  <c r="M22" i="46" a="1"/>
  <c r="M22" i="46" s="1"/>
  <c r="AT22" i="46" a="1"/>
  <c r="AT22" i="46" s="1"/>
  <c r="AT23" i="46" a="1"/>
  <c r="AT23" i="46" s="1"/>
  <c r="AP22" i="46" a="1"/>
  <c r="AP22" i="46" s="1"/>
  <c r="AP23" i="46" a="1"/>
  <c r="AP23" i="46" s="1"/>
  <c r="AJ22" i="46" a="1"/>
  <c r="AJ22" i="46" s="1"/>
  <c r="AJ23" i="46" a="1"/>
  <c r="AJ23" i="46" s="1"/>
  <c r="AF22" i="46" a="1"/>
  <c r="AF22" i="46" s="1"/>
  <c r="AF23" i="46" a="1"/>
  <c r="AF23" i="46" s="1"/>
  <c r="AB22" i="46" a="1"/>
  <c r="AB22" i="46" s="1"/>
  <c r="AB23" i="46" a="1"/>
  <c r="AB23" i="46" s="1"/>
  <c r="M49" i="46" a="1"/>
  <c r="M49" i="46" s="1"/>
  <c r="AT49" i="46" a="1"/>
  <c r="AT49" i="46" s="1"/>
  <c r="AT50" i="46" a="1"/>
  <c r="AT50" i="46" s="1"/>
  <c r="AQ49" i="46" a="1"/>
  <c r="AQ49" i="46" s="1"/>
  <c r="AQ48" i="46" s="1"/>
  <c r="AK49" i="46" a="1"/>
  <c r="AK49" i="46" s="1"/>
  <c r="AK48" i="46" s="1"/>
  <c r="AD49" i="46" a="1"/>
  <c r="AD49" i="46" s="1"/>
  <c r="AD50" i="46" a="1"/>
  <c r="AD50" i="46" s="1"/>
  <c r="W49" i="46" a="1"/>
  <c r="W49" i="46" s="1"/>
  <c r="W48" i="46" s="1"/>
  <c r="T49" i="46" a="1"/>
  <c r="T49" i="46" s="1"/>
  <c r="Q49" i="46" a="1"/>
  <c r="Q49" i="46" s="1"/>
  <c r="Q50" i="46" a="1"/>
  <c r="Q50" i="46" s="1"/>
  <c r="N49" i="46" a="1"/>
  <c r="N49" i="46" s="1"/>
  <c r="N50" i="46" a="1"/>
  <c r="N50" i="46" s="1"/>
  <c r="AR47" i="46" a="1"/>
  <c r="AR47" i="46" s="1"/>
  <c r="AR45" i="46" s="1"/>
  <c r="AJ52" i="41" a="1"/>
  <c r="AJ52" i="41" s="1"/>
  <c r="AJ51" i="41" s="1"/>
  <c r="AF52" i="41" a="1"/>
  <c r="AF52" i="41" s="1"/>
  <c r="AF51" i="41" s="1"/>
  <c r="X52" i="41" a="1"/>
  <c r="X52" i="41" s="1"/>
  <c r="X53" i="41" a="1"/>
  <c r="X53" i="41" s="1"/>
  <c r="T52" i="41" a="1"/>
  <c r="T52" i="41" s="1"/>
  <c r="P52" i="41" a="1"/>
  <c r="P52" i="41" s="1"/>
  <c r="P51" i="41" s="1"/>
  <c r="L52" i="41" a="1"/>
  <c r="L52" i="41" s="1"/>
  <c r="AS50" i="41" a="1"/>
  <c r="AS50" i="41" s="1"/>
  <c r="AS49" i="41" a="1"/>
  <c r="AS49" i="41" s="1"/>
  <c r="AM50" i="41" a="1"/>
  <c r="AM50" i="41" s="1"/>
  <c r="AM49" i="41" a="1"/>
  <c r="AM49" i="41" s="1"/>
  <c r="AE50" i="41" a="1"/>
  <c r="AE50" i="41" s="1"/>
  <c r="AE49" i="41" a="1"/>
  <c r="AE49" i="41" s="1"/>
  <c r="AA50" i="41" a="1"/>
  <c r="AA50" i="41" s="1"/>
  <c r="AA49" i="41" a="1"/>
  <c r="AA49" i="41" s="1"/>
  <c r="W50" i="41" a="1"/>
  <c r="W50" i="41" s="1"/>
  <c r="W49" i="41" a="1"/>
  <c r="W49" i="41" s="1"/>
  <c r="S50" i="41" a="1"/>
  <c r="S50" i="41" s="1"/>
  <c r="S49" i="41" a="1"/>
  <c r="S49" i="41" s="1"/>
  <c r="O50" i="41" a="1"/>
  <c r="O50" i="41" s="1"/>
  <c r="O48" i="41" s="1"/>
  <c r="K50" i="41" a="1"/>
  <c r="K50" i="41" s="1"/>
  <c r="X91" i="41" a="1"/>
  <c r="X91" i="41" s="1"/>
  <c r="X90" i="41" s="1"/>
  <c r="P91" i="41" a="1"/>
  <c r="P91" i="41" s="1"/>
  <c r="P90" i="41" s="1"/>
  <c r="AL88" i="41" a="1"/>
  <c r="AL88" i="41" s="1"/>
  <c r="AL87" i="41" s="1"/>
  <c r="N88" i="41" a="1"/>
  <c r="N88" i="41" s="1"/>
  <c r="N87" i="41" s="1"/>
  <c r="AQ86" i="41" a="1"/>
  <c r="AQ86" i="41" s="1"/>
  <c r="AQ84" i="41" s="1"/>
  <c r="AP85" i="41" a="1"/>
  <c r="AP85" i="41" s="1"/>
  <c r="AP86" i="41" a="1"/>
  <c r="AP86" i="41" s="1"/>
  <c r="P85" i="41" a="1"/>
  <c r="P85" i="41" s="1"/>
  <c r="P86" i="41" a="1"/>
  <c r="P86" i="41" s="1"/>
  <c r="L85" i="41" a="1"/>
  <c r="L85" i="41" s="1"/>
  <c r="L84" i="41" s="1"/>
  <c r="AH82" i="41" a="1"/>
  <c r="AH82" i="41" s="1"/>
  <c r="AH83" i="41" a="1"/>
  <c r="AH83" i="41" s="1"/>
  <c r="R82" i="41" a="1"/>
  <c r="R82" i="41" s="1"/>
  <c r="R81" i="41" s="1"/>
  <c r="N82" i="41" a="1"/>
  <c r="N82" i="41" s="1"/>
  <c r="N81" i="41" s="1"/>
  <c r="AB79" i="41" a="1"/>
  <c r="AB79" i="41" s="1"/>
  <c r="AB80" i="41" a="1"/>
  <c r="AB80" i="41" s="1"/>
  <c r="X79" i="41" a="1"/>
  <c r="X79" i="41" s="1"/>
  <c r="X78" i="41" s="1"/>
  <c r="T79" i="41" a="1"/>
  <c r="T79" i="41" s="1"/>
  <c r="T78" i="41" s="1"/>
  <c r="AI77" i="41" a="1"/>
  <c r="AI77" i="41" s="1"/>
  <c r="AI76" i="41" a="1"/>
  <c r="AI76" i="41" s="1"/>
  <c r="AD76" i="41" a="1"/>
  <c r="AD76" i="41" s="1"/>
  <c r="AD77" i="41" a="1"/>
  <c r="AD77" i="41" s="1"/>
  <c r="AD96" i="41"/>
  <c r="J96" i="41"/>
  <c r="AT93" i="41"/>
  <c r="AP93" i="41"/>
  <c r="AJ93" i="41"/>
  <c r="AF93" i="41"/>
  <c r="AB93" i="41"/>
  <c r="X93" i="41"/>
  <c r="T93" i="41"/>
  <c r="P93" i="41"/>
  <c r="AD42" i="41"/>
  <c r="Y30" i="41"/>
  <c r="AM78" i="41"/>
  <c r="AS54" i="41"/>
  <c r="P36" i="41"/>
  <c r="N33" i="41"/>
  <c r="V42" i="43"/>
  <c r="AE36" i="43"/>
  <c r="M74" i="41" a="1"/>
  <c r="M74" i="41" s="1"/>
  <c r="AB103" i="43" a="1"/>
  <c r="AB103" i="43" s="1"/>
  <c r="AI70" i="41" a="1"/>
  <c r="AI70" i="41" s="1"/>
  <c r="L103" i="43" a="1"/>
  <c r="L103" i="43" s="1"/>
  <c r="AI71" i="41" a="1"/>
  <c r="AI71" i="41" s="1"/>
  <c r="Z100" i="43" a="1"/>
  <c r="Z100" i="43" s="1"/>
  <c r="Z101" i="43" a="1"/>
  <c r="Z101" i="43" s="1"/>
  <c r="J100" i="43" a="1"/>
  <c r="J100" i="43" s="1"/>
  <c r="J101" i="43" a="1"/>
  <c r="J101" i="43" s="1"/>
  <c r="AC98" i="43" a="1"/>
  <c r="AC98" i="43" s="1"/>
  <c r="AC97" i="43" a="1"/>
  <c r="AC97" i="43" s="1"/>
  <c r="AB97" i="43" a="1"/>
  <c r="AB97" i="43" s="1"/>
  <c r="AB98" i="43" a="1"/>
  <c r="AB98" i="43" s="1"/>
  <c r="L97" i="43" a="1"/>
  <c r="L97" i="43" s="1"/>
  <c r="L98" i="43" a="1"/>
  <c r="L98" i="43" s="1"/>
  <c r="AA95" i="43" a="1"/>
  <c r="AA95" i="43" s="1"/>
  <c r="AA94" i="43" a="1"/>
  <c r="AA94" i="43" s="1"/>
  <c r="AD94" i="43" a="1"/>
  <c r="AD94" i="43" s="1"/>
  <c r="AD95" i="43" a="1"/>
  <c r="AD95" i="43" s="1"/>
  <c r="N94" i="43" a="1"/>
  <c r="N94" i="43" s="1"/>
  <c r="N95" i="43" a="1"/>
  <c r="N95" i="43" s="1"/>
  <c r="AC92" i="43" a="1"/>
  <c r="AC92" i="43" s="1"/>
  <c r="AC91" i="43" a="1"/>
  <c r="AC91" i="43" s="1"/>
  <c r="AF91" i="43" a="1"/>
  <c r="AF91" i="43" s="1"/>
  <c r="AF92" i="43" a="1"/>
  <c r="AF92" i="43" s="1"/>
  <c r="P91" i="43" a="1"/>
  <c r="P91" i="43" s="1"/>
  <c r="P92" i="43" a="1"/>
  <c r="P92" i="43" s="1"/>
  <c r="L59" i="47" a="1"/>
  <c r="L59" i="47" s="1"/>
  <c r="AJ58" i="47" a="1"/>
  <c r="AJ58" i="47" s="1"/>
  <c r="X58" i="47" a="1"/>
  <c r="X58" i="47" s="1"/>
  <c r="L58" i="47" a="1"/>
  <c r="L58" i="47" s="1"/>
  <c r="AB56" i="47" a="1"/>
  <c r="AB56" i="47" s="1"/>
  <c r="AM55" i="47" a="1"/>
  <c r="AM55" i="47" s="1"/>
  <c r="AI56" i="47" a="1"/>
  <c r="AI56" i="47" s="1"/>
  <c r="AI54" i="47" s="1"/>
  <c r="AG64" i="47" a="1"/>
  <c r="AG64" i="47" s="1"/>
  <c r="AG65" i="47" a="1"/>
  <c r="AG65" i="47" s="1"/>
  <c r="U64" i="47" a="1"/>
  <c r="U64" i="47" s="1"/>
  <c r="Z70" i="47" a="1"/>
  <c r="Z70" i="47" s="1"/>
  <c r="Z71" i="47" a="1"/>
  <c r="Z71" i="47" s="1"/>
  <c r="V70" i="47" a="1"/>
  <c r="V70" i="47" s="1"/>
  <c r="V69" i="47" s="1"/>
  <c r="O70" i="47" a="1"/>
  <c r="O70" i="47" s="1"/>
  <c r="O71" i="47" a="1"/>
  <c r="O71" i="47" s="1"/>
  <c r="L70" i="47" a="1"/>
  <c r="L70" i="47" s="1"/>
  <c r="L71" i="47" a="1"/>
  <c r="L71" i="47" s="1"/>
  <c r="AT68" i="47" a="1"/>
  <c r="AT68" i="47" s="1"/>
  <c r="AT66" i="47" s="1"/>
  <c r="AP68" i="47" a="1"/>
  <c r="AP68" i="47" s="1"/>
  <c r="AP66" i="47" s="1"/>
  <c r="Z67" i="47" a="1"/>
  <c r="Z67" i="47" s="1"/>
  <c r="O68" i="47" a="1"/>
  <c r="O68" i="47" s="1"/>
  <c r="K68" i="47" a="1"/>
  <c r="K68" i="47" s="1"/>
  <c r="K67" i="47" a="1"/>
  <c r="K67" i="47" s="1"/>
  <c r="AS67" i="47" a="1"/>
  <c r="AS67" i="47" s="1"/>
  <c r="AS68" i="47" a="1"/>
  <c r="AS68" i="47" s="1"/>
  <c r="AM67" i="47" a="1"/>
  <c r="AM67" i="47" s="1"/>
  <c r="AM68" i="47" a="1"/>
  <c r="AM68" i="47" s="1"/>
  <c r="AE67" i="47" a="1"/>
  <c r="AE67" i="47" s="1"/>
  <c r="AE68" i="47" a="1"/>
  <c r="AE68" i="47" s="1"/>
  <c r="AB67" i="47" a="1"/>
  <c r="AB67" i="47" s="1"/>
  <c r="AB68" i="47" a="1"/>
  <c r="AB68" i="47" s="1"/>
  <c r="X67" i="47" a="1"/>
  <c r="X67" i="47" s="1"/>
  <c r="X68" i="47" a="1"/>
  <c r="X68" i="47" s="1"/>
  <c r="T67" i="47" a="1"/>
  <c r="T67" i="47" s="1"/>
  <c r="T66" i="47" s="1"/>
  <c r="P67" i="47" a="1"/>
  <c r="P67" i="47" s="1"/>
  <c r="P66" i="47" s="1"/>
  <c r="AT65" i="47" a="1"/>
  <c r="AT65" i="47" s="1"/>
  <c r="AP65" i="47" a="1"/>
  <c r="AP65" i="47" s="1"/>
  <c r="AP63" i="47" s="1"/>
  <c r="AJ65" i="47" a="1"/>
  <c r="AJ65" i="47" s="1"/>
  <c r="AC65" i="47" a="1"/>
  <c r="AC65" i="47" s="1"/>
  <c r="AC63" i="47" s="1"/>
  <c r="Y65" i="47" a="1"/>
  <c r="Y65" i="47" s="1"/>
  <c r="Q65" i="47" a="1"/>
  <c r="Q65" i="47" s="1"/>
  <c r="Q64" i="47" a="1"/>
  <c r="Q64" i="47" s="1"/>
  <c r="N65" i="47" a="1"/>
  <c r="N65" i="47" s="1"/>
  <c r="AQ64" i="47" a="1"/>
  <c r="AQ64" i="47" s="1"/>
  <c r="AQ63" i="47" s="1"/>
  <c r="AR67" i="47" a="1"/>
  <c r="AR67" i="47" s="1"/>
  <c r="AR66" i="47" s="1"/>
  <c r="Z74" i="41" a="1"/>
  <c r="Z74" i="41" s="1"/>
  <c r="AK73" i="41" a="1"/>
  <c r="AK73" i="41" s="1"/>
  <c r="AK74" i="41" a="1"/>
  <c r="AK74" i="41" s="1"/>
  <c r="M73" i="41" a="1"/>
  <c r="M73" i="41" s="1"/>
  <c r="L104" i="43" a="1"/>
  <c r="L104" i="43" s="1"/>
  <c r="AL100" i="43" a="1"/>
  <c r="AL100" i="43" s="1"/>
  <c r="AL101" i="43" a="1"/>
  <c r="AL101" i="43" s="1"/>
  <c r="O70" i="41" a="1"/>
  <c r="O70" i="41" s="1"/>
  <c r="O71" i="41" a="1"/>
  <c r="O71" i="41" s="1"/>
  <c r="Z68" i="41" a="1"/>
  <c r="Z68" i="41" s="1"/>
  <c r="AK67" i="41" a="1"/>
  <c r="AK67" i="41" s="1"/>
  <c r="AK68" i="41" a="1"/>
  <c r="AK68" i="41" s="1"/>
  <c r="M67" i="41" a="1"/>
  <c r="M67" i="41" s="1"/>
  <c r="M68" i="41" a="1"/>
  <c r="M68" i="41" s="1"/>
  <c r="X65" i="41" a="1"/>
  <c r="X65" i="41" s="1"/>
  <c r="X63" i="41" s="1"/>
  <c r="AI64" i="41" a="1"/>
  <c r="AI64" i="41" s="1"/>
  <c r="AI65" i="41" a="1"/>
  <c r="AI65" i="41" s="1"/>
  <c r="K64" i="41" a="1"/>
  <c r="K64" i="41" s="1"/>
  <c r="K65" i="41" a="1"/>
  <c r="K65" i="41" s="1"/>
  <c r="V62" i="41" a="1"/>
  <c r="V62" i="41" s="1"/>
  <c r="V61" i="41" a="1"/>
  <c r="V61" i="41" s="1"/>
  <c r="AG61" i="41" a="1"/>
  <c r="AG61" i="41" s="1"/>
  <c r="AG62" i="41" a="1"/>
  <c r="AG62" i="41" s="1"/>
  <c r="AT59" i="41" a="1"/>
  <c r="AT59" i="41" s="1"/>
  <c r="AT57" i="41" s="1"/>
  <c r="L59" i="41" a="1"/>
  <c r="L59" i="41" s="1"/>
  <c r="L58" i="41" a="1"/>
  <c r="L58" i="41" s="1"/>
  <c r="S58" i="41" a="1"/>
  <c r="S58" i="41" s="1"/>
  <c r="S59" i="41" a="1"/>
  <c r="S59" i="41" s="1"/>
  <c r="Z56" i="41" a="1"/>
  <c r="Z56" i="41" s="1"/>
  <c r="AG55" i="41" a="1"/>
  <c r="AG55" i="41" s="1"/>
  <c r="AG56" i="41" a="1"/>
  <c r="AG56" i="41" s="1"/>
  <c r="AP53" i="41" a="1"/>
  <c r="AP53" i="41" s="1"/>
  <c r="AP51" i="41" s="1"/>
  <c r="L53" i="41" a="1"/>
  <c r="L53" i="41" s="1"/>
  <c r="Z50" i="41" a="1"/>
  <c r="Z50" i="41" s="1"/>
  <c r="AG49" i="41" a="1"/>
  <c r="AG49" i="41" s="1"/>
  <c r="AG50" i="41" a="1"/>
  <c r="AG50" i="41" s="1"/>
  <c r="AJ28" i="46" a="1"/>
  <c r="AJ28" i="46" s="1"/>
  <c r="AJ29" i="46" a="1"/>
  <c r="AJ29" i="46" s="1"/>
  <c r="AF28" i="46" a="1"/>
  <c r="AF28" i="46" s="1"/>
  <c r="AF29" i="46" a="1"/>
  <c r="AF29" i="46" s="1"/>
  <c r="AB28" i="46" a="1"/>
  <c r="AB28" i="46" s="1"/>
  <c r="AB29" i="46" a="1"/>
  <c r="AB29" i="46" s="1"/>
  <c r="W23" i="41" a="1"/>
  <c r="W23" i="41" s="1"/>
  <c r="W22" i="41" a="1"/>
  <c r="W22" i="41" s="1"/>
  <c r="R22" i="41" a="1"/>
  <c r="R22" i="41" s="1"/>
  <c r="R23" i="41" a="1"/>
  <c r="R23" i="41" s="1"/>
  <c r="Q20" i="41" a="1"/>
  <c r="Q20" i="41" s="1"/>
  <c r="Q18" i="41" s="1"/>
  <c r="AE56" i="41" a="1"/>
  <c r="AE56" i="41" s="1"/>
  <c r="AE55" i="41" a="1"/>
  <c r="AE55" i="41" s="1"/>
  <c r="AA56" i="41" a="1"/>
  <c r="AA56" i="41" s="1"/>
  <c r="AA55" i="41" a="1"/>
  <c r="AA55" i="41" s="1"/>
  <c r="W56" i="41" a="1"/>
  <c r="W56" i="41" s="1"/>
  <c r="W55" i="41" a="1"/>
  <c r="W55" i="41" s="1"/>
  <c r="S56" i="41" a="1"/>
  <c r="S56" i="41" s="1"/>
  <c r="S55" i="41" a="1"/>
  <c r="S55" i="41" s="1"/>
  <c r="O56" i="41" a="1"/>
  <c r="O56" i="41" s="1"/>
  <c r="O55" i="41" a="1"/>
  <c r="O55" i="41" s="1"/>
  <c r="K56" i="41" a="1"/>
  <c r="K56" i="41" s="1"/>
  <c r="K55" i="41" a="1"/>
  <c r="K55" i="41" s="1"/>
  <c r="AL55" i="41" a="1"/>
  <c r="AL55" i="41" s="1"/>
  <c r="AL56" i="41" a="1"/>
  <c r="AL56" i="41" s="1"/>
  <c r="AH55" i="41" a="1"/>
  <c r="AH55" i="41" s="1"/>
  <c r="AD55" i="41" a="1"/>
  <c r="AD55" i="41" s="1"/>
  <c r="AD54" i="41" s="1"/>
  <c r="Z55" i="41" a="1"/>
  <c r="Z55" i="41" s="1"/>
  <c r="Z54" i="41" s="1"/>
  <c r="V55" i="41" a="1"/>
  <c r="V55" i="41" s="1"/>
  <c r="V54" i="41" s="1"/>
  <c r="R55" i="41" a="1"/>
  <c r="R55" i="41" s="1"/>
  <c r="R54" i="41" s="1"/>
  <c r="J55" i="41" a="1"/>
  <c r="J55" i="41" s="1"/>
  <c r="J56" i="41" a="1"/>
  <c r="J56" i="41" s="1"/>
  <c r="AQ53" i="41" a="1"/>
  <c r="AQ53" i="41" s="1"/>
  <c r="AQ51" i="41" s="1"/>
  <c r="AK53" i="41" a="1"/>
  <c r="AK53" i="41" s="1"/>
  <c r="AK52" i="41" a="1"/>
  <c r="AK52" i="41" s="1"/>
  <c r="AG53" i="41" a="1"/>
  <c r="AG53" i="41" s="1"/>
  <c r="AG52" i="41" a="1"/>
  <c r="AG52" i="41" s="1"/>
  <c r="AC53" i="41" a="1"/>
  <c r="AC53" i="41" s="1"/>
  <c r="AC52" i="41" a="1"/>
  <c r="AC52" i="41" s="1"/>
  <c r="Y53" i="41" a="1"/>
  <c r="Y53" i="41" s="1"/>
  <c r="Y51" i="41" s="1"/>
  <c r="U53" i="41" a="1"/>
  <c r="U53" i="41" s="1"/>
  <c r="U52" i="41" a="1"/>
  <c r="U52" i="41" s="1"/>
  <c r="AR9" i="43"/>
  <c r="AF102" i="41"/>
  <c r="N27" i="41"/>
  <c r="AB57" i="43"/>
  <c r="O15" i="41"/>
  <c r="Z30" i="46"/>
  <c r="AD45" i="46"/>
  <c r="M24" i="41"/>
  <c r="N18" i="43"/>
  <c r="V9" i="43"/>
  <c r="Y27" i="46"/>
  <c r="AR30" i="46"/>
  <c r="AL30" i="46"/>
  <c r="AH30" i="46"/>
  <c r="AD30" i="46"/>
  <c r="X72" i="47"/>
  <c r="R30" i="46"/>
  <c r="Q81" i="41"/>
  <c r="U27" i="46"/>
  <c r="V30" i="46"/>
  <c r="S96" i="46"/>
  <c r="T24" i="41"/>
  <c r="AC24" i="41"/>
  <c r="M27" i="46"/>
  <c r="AR90" i="41"/>
  <c r="AI90" i="41"/>
  <c r="L102" i="41"/>
  <c r="AM63" i="43"/>
  <c r="S63" i="43"/>
  <c r="AH90" i="41"/>
  <c r="J90" i="41"/>
  <c r="AM82" i="43" a="1"/>
  <c r="AM82" i="43" s="1"/>
  <c r="AI82" i="43" a="1"/>
  <c r="AI82" i="43" s="1"/>
  <c r="AI81" i="43" s="1"/>
  <c r="X82" i="43" a="1"/>
  <c r="X82" i="43" s="1"/>
  <c r="X81" i="43" s="1"/>
  <c r="AE82" i="43" a="1"/>
  <c r="AE82" i="43" s="1"/>
  <c r="AE81" i="43" s="1"/>
  <c r="AB82" i="43" a="1"/>
  <c r="AB82" i="43" s="1"/>
  <c r="I62" i="46" a="1"/>
  <c r="I62" i="46" s="1"/>
  <c r="K49" i="41" a="1"/>
  <c r="K49" i="41" s="1"/>
  <c r="O95" i="43" a="1"/>
  <c r="O95" i="43" s="1"/>
  <c r="AD92" i="43" a="1"/>
  <c r="AD92" i="43" s="1"/>
  <c r="AG38" i="41" a="1"/>
  <c r="AG38" i="41" s="1"/>
  <c r="Y92" i="43" a="1"/>
  <c r="Y92" i="43" s="1"/>
  <c r="AH22" i="41" a="1"/>
  <c r="AH22" i="41" s="1"/>
  <c r="AU19" i="47" a="1"/>
  <c r="AU19" i="47" s="1"/>
  <c r="AA98" i="43" a="1"/>
  <c r="AA98" i="43" s="1"/>
  <c r="AL11" i="43" a="1"/>
  <c r="AL11" i="43" s="1"/>
  <c r="R85" i="43" a="1"/>
  <c r="R85" i="43" s="1"/>
  <c r="AN50" i="43" a="1"/>
  <c r="AN50" i="43" s="1"/>
  <c r="AG37" i="41" a="1"/>
  <c r="AG37" i="41" s="1"/>
  <c r="K71" i="43" a="1"/>
  <c r="K71" i="43" s="1"/>
  <c r="K17" i="41" a="1"/>
  <c r="K17" i="41" s="1"/>
  <c r="AK64" i="41" a="1"/>
  <c r="AK64" i="41" s="1"/>
  <c r="AK63" i="41" s="1"/>
  <c r="AM95" i="41" a="1"/>
  <c r="AM95" i="41" s="1"/>
  <c r="AK68" i="47" a="1"/>
  <c r="AK68" i="47" s="1"/>
  <c r="AN34" i="47" a="1"/>
  <c r="AN34" i="47" s="1"/>
  <c r="I74" i="46" a="1"/>
  <c r="I74" i="46" s="1"/>
  <c r="AI98" i="43" a="1"/>
  <c r="AI98" i="43" s="1"/>
  <c r="AI96" i="43" s="1"/>
  <c r="AB25" i="41" a="1"/>
  <c r="AB25" i="41" s="1"/>
  <c r="L82" i="43" a="1"/>
  <c r="L82" i="43" s="1"/>
  <c r="AP19" i="41" a="1"/>
  <c r="AP19" i="41" s="1"/>
  <c r="K97" i="43" a="1"/>
  <c r="K97" i="43" s="1"/>
  <c r="Q11" i="41" a="1"/>
  <c r="Q11" i="41" s="1"/>
  <c r="AF67" i="43" a="1"/>
  <c r="AF67" i="43" s="1"/>
  <c r="X97" i="41" a="1"/>
  <c r="X97" i="41" s="1"/>
  <c r="X96" i="41" s="1"/>
  <c r="AR61" i="41" a="1"/>
  <c r="AR61" i="41" s="1"/>
  <c r="AR60" i="41" s="1"/>
  <c r="W95" i="41" a="1"/>
  <c r="W95" i="41" s="1"/>
  <c r="I40" i="47" a="1"/>
  <c r="I40" i="47" s="1"/>
  <c r="AC86" i="43" a="1"/>
  <c r="AC86" i="43" s="1"/>
  <c r="AQ74" i="43" a="1"/>
  <c r="AQ74" i="43" s="1"/>
  <c r="I23" i="46" a="1"/>
  <c r="I23" i="46" s="1"/>
  <c r="AM83" i="43" a="1"/>
  <c r="AM83" i="43" s="1"/>
  <c r="AJ73" i="43" a="1"/>
  <c r="AJ73" i="43" s="1"/>
  <c r="AO10" i="41" a="1"/>
  <c r="AO10" i="41" s="1"/>
  <c r="O94" i="43" a="1"/>
  <c r="O94" i="43" s="1"/>
  <c r="Y91" i="43" a="1"/>
  <c r="Y91" i="43" s="1"/>
  <c r="AE71" i="43" a="1"/>
  <c r="AE71" i="43" s="1"/>
  <c r="Y26" i="41" a="1"/>
  <c r="Y26" i="41" s="1"/>
  <c r="AE98" i="43" a="1"/>
  <c r="AE98" i="43" s="1"/>
  <c r="AE23" i="41" a="1"/>
  <c r="AE23" i="41" s="1"/>
  <c r="AA85" i="43" a="1"/>
  <c r="AA85" i="43" s="1"/>
  <c r="AK20" i="41" a="1"/>
  <c r="AK20" i="41" s="1"/>
  <c r="O97" i="43" a="1"/>
  <c r="O97" i="43" s="1"/>
  <c r="AS17" i="41" a="1"/>
  <c r="AS17" i="41" s="1"/>
  <c r="Z71" i="43" a="1"/>
  <c r="Z71" i="43" s="1"/>
  <c r="N16" i="41" a="1"/>
  <c r="N16" i="41" s="1"/>
  <c r="O67" i="41" a="1"/>
  <c r="O67" i="41" s="1"/>
  <c r="P17" i="43" a="1"/>
  <c r="P17" i="43" s="1"/>
  <c r="AM79" i="43" a="1"/>
  <c r="AM79" i="43" s="1"/>
  <c r="Y10" i="43" a="1"/>
  <c r="Y10" i="43" s="1"/>
  <c r="W62" i="41" a="1"/>
  <c r="W62" i="41" s="1"/>
  <c r="P98" i="41" a="1"/>
  <c r="P98" i="41" s="1"/>
  <c r="L68" i="43" a="1"/>
  <c r="L68" i="43" s="1"/>
  <c r="AE95" i="41" a="1"/>
  <c r="AE95" i="41" s="1"/>
  <c r="AQ59" i="41" a="1"/>
  <c r="AQ59" i="41" s="1"/>
  <c r="O95" i="41" a="1"/>
  <c r="O95" i="41" s="1"/>
  <c r="AF91" i="41" a="1"/>
  <c r="AF91" i="41" s="1"/>
  <c r="AF90" i="41" s="1"/>
  <c r="AU53" i="43" a="1"/>
  <c r="AU53" i="43" s="1"/>
  <c r="T64" i="43" a="1"/>
  <c r="T64" i="43" s="1"/>
  <c r="I37" i="43" a="1"/>
  <c r="I37" i="43" s="1"/>
  <c r="Y86" i="43" a="1"/>
  <c r="Y86" i="43" s="1"/>
  <c r="AN25" i="41" a="1"/>
  <c r="AN25" i="41" s="1"/>
  <c r="P82" i="43" a="1"/>
  <c r="P82" i="43" s="1"/>
  <c r="I85" i="43" a="1"/>
  <c r="I85" i="43" s="1"/>
  <c r="O85" i="43" a="1"/>
  <c r="O85" i="43" s="1"/>
  <c r="AN79" i="43" a="1"/>
  <c r="AN79" i="43" s="1"/>
  <c r="AG68" i="47" a="1"/>
  <c r="AG68" i="47" s="1"/>
  <c r="U83" i="43" a="1"/>
  <c r="U83" i="43" s="1"/>
  <c r="U81" i="43" s="1"/>
  <c r="AU86" i="43" a="1"/>
  <c r="AU86" i="43" s="1"/>
  <c r="AE85" i="43" a="1"/>
  <c r="AE85" i="43" s="1"/>
  <c r="AN68" i="47" a="1"/>
  <c r="AN68" i="47" s="1"/>
  <c r="T95" i="43" a="1"/>
  <c r="T95" i="43" s="1"/>
  <c r="AN17" i="47" a="1"/>
  <c r="AN17" i="47" s="1"/>
  <c r="AG83" i="43" a="1"/>
  <c r="AG83" i="43" s="1"/>
  <c r="V29" i="41" a="1"/>
  <c r="V29" i="41" s="1"/>
  <c r="AE97" i="43" a="1"/>
  <c r="AE97" i="43" s="1"/>
  <c r="Y25" i="41" a="1"/>
  <c r="Y25" i="41" s="1"/>
  <c r="AE70" i="43" a="1"/>
  <c r="AE70" i="43" s="1"/>
  <c r="AB26" i="41" a="1"/>
  <c r="AB26" i="41" s="1"/>
  <c r="AA97" i="43" a="1"/>
  <c r="AA97" i="43" s="1"/>
  <c r="AE22" i="41" a="1"/>
  <c r="AE22" i="41" s="1"/>
  <c r="N89" i="43" a="1"/>
  <c r="N89" i="43" s="1"/>
  <c r="AH23" i="41" a="1"/>
  <c r="AH23" i="41" s="1"/>
  <c r="S98" i="43" a="1"/>
  <c r="S98" i="43" s="1"/>
  <c r="AK19" i="41" a="1"/>
  <c r="AK19" i="41" s="1"/>
  <c r="K70" i="43" a="1"/>
  <c r="K70" i="43" s="1"/>
  <c r="AP20" i="41" a="1"/>
  <c r="AP20" i="41" s="1"/>
  <c r="O98" i="43" a="1"/>
  <c r="O98" i="43" s="1"/>
  <c r="AS16" i="41" a="1"/>
  <c r="AS16" i="41" s="1"/>
  <c r="L83" i="43" a="1"/>
  <c r="L83" i="43" s="1"/>
  <c r="K16" i="41" a="1"/>
  <c r="K16" i="41" s="1"/>
  <c r="K98" i="43" a="1"/>
  <c r="K98" i="43" s="1"/>
  <c r="N17" i="41" a="1"/>
  <c r="N17" i="41" s="1"/>
  <c r="Z70" i="43" a="1"/>
  <c r="Z70" i="43" s="1"/>
  <c r="Q10" i="41" a="1"/>
  <c r="Q10" i="41" s="1"/>
  <c r="AD67" i="41" a="1"/>
  <c r="AD67" i="41" s="1"/>
  <c r="AD66" i="41" s="1"/>
  <c r="P16" i="43" a="1"/>
  <c r="P16" i="43" s="1"/>
  <c r="AA86" i="43" a="1"/>
  <c r="AA86" i="43" s="1"/>
  <c r="AL10" i="43" a="1"/>
  <c r="AL10" i="43" s="1"/>
  <c r="P64" i="41" a="1"/>
  <c r="P64" i="41" s="1"/>
  <c r="P63" i="41" s="1"/>
  <c r="Y11" i="43" a="1"/>
  <c r="Y11" i="43" s="1"/>
  <c r="AF68" i="43" a="1"/>
  <c r="AF68" i="43" s="1"/>
  <c r="P97" i="41" a="1"/>
  <c r="P97" i="41" s="1"/>
  <c r="W61" i="41" a="1"/>
  <c r="W61" i="41" s="1"/>
  <c r="AS95" i="41" a="1"/>
  <c r="AS95" i="41" s="1"/>
  <c r="AM80" i="43" a="1"/>
  <c r="AM80" i="43" s="1"/>
  <c r="AI95" i="41" a="1"/>
  <c r="AI95" i="41" s="1"/>
  <c r="AQ58" i="41" a="1"/>
  <c r="AQ58" i="41" s="1"/>
  <c r="AA95" i="41" a="1"/>
  <c r="AA95" i="41" s="1"/>
  <c r="L67" i="43" a="1"/>
  <c r="L67" i="43" s="1"/>
  <c r="S95" i="41" a="1"/>
  <c r="S95" i="41" s="1"/>
  <c r="Y58" i="41" a="1"/>
  <c r="Y58" i="41" s="1"/>
  <c r="AD94" i="41" a="1"/>
  <c r="AD94" i="41" s="1"/>
  <c r="AD93" i="41" s="1"/>
  <c r="AJ91" i="41" a="1"/>
  <c r="AJ91" i="41" s="1"/>
  <c r="AJ90" i="41" s="1"/>
  <c r="AN103" i="41" a="1"/>
  <c r="AN103" i="41" s="1"/>
  <c r="Y64" i="43" a="1"/>
  <c r="Y64" i="43" s="1"/>
  <c r="AC85" i="43" a="1"/>
  <c r="AC85" i="43" s="1"/>
  <c r="N76" i="43" a="1"/>
  <c r="N76" i="43" s="1"/>
  <c r="I100" i="43" a="1"/>
  <c r="I100" i="43" s="1"/>
  <c r="I99" i="43" s="1"/>
  <c r="Y85" i="43" a="1"/>
  <c r="Y85" i="43" s="1"/>
  <c r="T65" i="43" a="1"/>
  <c r="T65" i="43" s="1"/>
  <c r="V85" i="43" a="1"/>
  <c r="V85" i="43" s="1"/>
  <c r="AN26" i="41" a="1"/>
  <c r="AN26" i="41" s="1"/>
  <c r="AE86" i="43" a="1"/>
  <c r="AE86" i="43" s="1"/>
  <c r="AN10" i="47" a="1"/>
  <c r="AN10" i="47" s="1"/>
  <c r="AN9" i="47" s="1"/>
  <c r="R86" i="43" a="1"/>
  <c r="R86" i="43" s="1"/>
  <c r="AK67" i="47" a="1"/>
  <c r="AK67" i="47" s="1"/>
  <c r="AN28" i="41" a="1"/>
  <c r="AN28" i="41" s="1"/>
  <c r="K85" i="43" a="1"/>
  <c r="K85" i="43" s="1"/>
  <c r="K84" i="43" s="1"/>
  <c r="AQ73" i="43" a="1"/>
  <c r="AQ73" i="43" s="1"/>
  <c r="AN52" i="47" a="1"/>
  <c r="AN52" i="47" s="1"/>
  <c r="AB83" i="43" a="1"/>
  <c r="AB83" i="43" s="1"/>
  <c r="AN98" i="46" a="1"/>
  <c r="AN98" i="46" s="1"/>
  <c r="Z68" i="47" a="1"/>
  <c r="Z68" i="47" s="1"/>
  <c r="AR82" i="43" a="1"/>
  <c r="AR82" i="43" s="1"/>
  <c r="AR81" i="43" s="1"/>
  <c r="AU20" i="47" a="1"/>
  <c r="AU20" i="47" s="1"/>
  <c r="T88" i="43" a="1"/>
  <c r="T88" i="43" s="1"/>
  <c r="AL49" i="41" a="1"/>
  <c r="AL49" i="41" s="1"/>
  <c r="I100" i="41" a="1"/>
  <c r="I100" i="41" s="1"/>
  <c r="AO11" i="41" a="1"/>
  <c r="AO11" i="41" s="1"/>
  <c r="T94" i="43" a="1"/>
  <c r="T94" i="43" s="1"/>
  <c r="AU65" i="46" a="1"/>
  <c r="AU65" i="46" s="1"/>
  <c r="AG82" i="43" a="1"/>
  <c r="AG82" i="43" s="1"/>
  <c r="AN97" i="41" a="1"/>
  <c r="AN97" i="41" s="1"/>
  <c r="AD91" i="43" a="1"/>
  <c r="AD91" i="43" s="1"/>
  <c r="AJ74" i="43" a="1"/>
  <c r="AJ74" i="43" s="1"/>
  <c r="I68" i="47" a="1"/>
  <c r="I68" i="47" s="1"/>
  <c r="T89" i="43" a="1"/>
  <c r="T89" i="43" s="1"/>
  <c r="N88" i="43" a="1"/>
  <c r="N88" i="43" s="1"/>
  <c r="P83" i="43" a="1"/>
  <c r="P83" i="43" s="1"/>
  <c r="N77" i="43" a="1"/>
  <c r="N77" i="43" s="1"/>
  <c r="Y65" i="43" a="1"/>
  <c r="Y65" i="43" s="1"/>
  <c r="I86" i="41" a="1"/>
  <c r="I86" i="41" s="1"/>
  <c r="AP91" i="41" a="1"/>
  <c r="AP91" i="41" s="1"/>
  <c r="AP90" i="41" s="1"/>
  <c r="N21" i="43"/>
  <c r="M60" i="47"/>
  <c r="I16" i="47" a="1"/>
  <c r="I16" i="47" s="1"/>
  <c r="S41" i="41" a="1"/>
  <c r="S41" i="41" s="1"/>
  <c r="S40" i="41" a="1"/>
  <c r="S40" i="41" s="1"/>
  <c r="V40" i="41" a="1"/>
  <c r="V40" i="41" s="1"/>
  <c r="AC23" i="47" a="1"/>
  <c r="AC23" i="47" s="1"/>
  <c r="AC22" i="46" a="1"/>
  <c r="AC22" i="46" s="1"/>
  <c r="Y23" i="46" a="1"/>
  <c r="Y23" i="46" s="1"/>
  <c r="Y22" i="46" a="1"/>
  <c r="Y22" i="46" s="1"/>
  <c r="W97" i="43" a="1"/>
  <c r="W97" i="43" s="1"/>
  <c r="W98" i="43" a="1"/>
  <c r="W98" i="43" s="1"/>
  <c r="S97" i="43" a="1"/>
  <c r="S97" i="43" s="1"/>
  <c r="AN49" i="43" a="1"/>
  <c r="AN49" i="43" s="1"/>
  <c r="AM35" i="41" a="1"/>
  <c r="AM35" i="41" s="1"/>
  <c r="AM34" i="41" a="1"/>
  <c r="AM34" i="41" s="1"/>
  <c r="S29" i="41" a="1"/>
  <c r="S29" i="41" s="1"/>
  <c r="S28" i="41" a="1"/>
  <c r="S28" i="41" s="1"/>
  <c r="V28" i="41" a="1"/>
  <c r="V28" i="41" s="1"/>
  <c r="AN41" i="47" a="1"/>
  <c r="AN41" i="47" s="1"/>
  <c r="AN28" i="47" a="1"/>
  <c r="AN28" i="47" s="1"/>
  <c r="U60" i="47"/>
  <c r="AK64" i="47" a="1"/>
  <c r="AK64" i="47" s="1"/>
  <c r="AK63" i="47" s="1"/>
  <c r="AH64" i="47" a="1"/>
  <c r="AH64" i="47" s="1"/>
  <c r="AH65" i="47" a="1"/>
  <c r="AH65" i="47" s="1"/>
  <c r="AD64" i="47" a="1"/>
  <c r="AD64" i="47" s="1"/>
  <c r="AD63" i="47" s="1"/>
  <c r="Z64" i="47" a="1"/>
  <c r="Z64" i="47" s="1"/>
  <c r="Z63" i="47" s="1"/>
  <c r="O74" i="47" a="1"/>
  <c r="O74" i="47" s="1"/>
  <c r="M71" i="47" a="1"/>
  <c r="M71" i="47" s="1"/>
  <c r="M69" i="47" s="1"/>
  <c r="AK70" i="47" a="1"/>
  <c r="AK70" i="47" s="1"/>
  <c r="AK69" i="47" s="1"/>
  <c r="AC71" i="47" a="1"/>
  <c r="AC71" i="47" s="1"/>
  <c r="R70" i="47" a="1"/>
  <c r="R70" i="47" s="1"/>
  <c r="R69" i="47" s="1"/>
  <c r="AF68" i="47" a="1"/>
  <c r="AF68" i="47" s="1"/>
  <c r="AF66" i="47" s="1"/>
  <c r="R68" i="47" a="1"/>
  <c r="R68" i="47" s="1"/>
  <c r="R66" i="47" s="1"/>
  <c r="AU68" i="47" a="1"/>
  <c r="AU68" i="47" s="1"/>
  <c r="Q31" i="47" a="1"/>
  <c r="Q31" i="47" s="1"/>
  <c r="Q30" i="47" s="1"/>
  <c r="AJ29" i="47" a="1"/>
  <c r="AJ29" i="47" s="1"/>
  <c r="AJ27" i="47" s="1"/>
  <c r="AF29" i="47" a="1"/>
  <c r="AF29" i="47" s="1"/>
  <c r="AF27" i="47" s="1"/>
  <c r="AB29" i="47" a="1"/>
  <c r="AB29" i="47" s="1"/>
  <c r="AB27" i="47" s="1"/>
  <c r="T29" i="47" a="1"/>
  <c r="T29" i="47" s="1"/>
  <c r="T27" i="47" s="1"/>
  <c r="P29" i="47" a="1"/>
  <c r="P29" i="47" s="1"/>
  <c r="P27" i="47" s="1"/>
  <c r="M29" i="47" a="1"/>
  <c r="M29" i="47" s="1"/>
  <c r="M27" i="47" s="1"/>
  <c r="J29" i="47" a="1"/>
  <c r="J29" i="47" s="1"/>
  <c r="J27" i="47" s="1"/>
  <c r="AI28" i="47" a="1"/>
  <c r="AI28" i="47" s="1"/>
  <c r="AI29" i="47" a="1"/>
  <c r="AI29" i="47" s="1"/>
  <c r="X22" i="46" a="1"/>
  <c r="X22" i="46" s="1"/>
  <c r="X23" i="46" a="1"/>
  <c r="X23" i="46" s="1"/>
  <c r="T22" i="46" a="1"/>
  <c r="T22" i="46" s="1"/>
  <c r="T23" i="46" a="1"/>
  <c r="T23" i="46" s="1"/>
  <c r="P22" i="46" a="1"/>
  <c r="P22" i="46" s="1"/>
  <c r="P23" i="46" a="1"/>
  <c r="P23" i="46" s="1"/>
  <c r="AT58" i="46" a="1"/>
  <c r="AT58" i="46" s="1"/>
  <c r="AT59" i="46" a="1"/>
  <c r="AT59" i="46" s="1"/>
  <c r="AP58" i="46" a="1"/>
  <c r="AP58" i="46" s="1"/>
  <c r="AP59" i="46" a="1"/>
  <c r="AP59" i="46" s="1"/>
  <c r="AK58" i="46" a="1"/>
  <c r="AK58" i="46" s="1"/>
  <c r="AG58" i="46" a="1"/>
  <c r="AG58" i="46" s="1"/>
  <c r="AG59" i="46" a="1"/>
  <c r="AG59" i="46" s="1"/>
  <c r="AD58" i="46" a="1"/>
  <c r="AD58" i="46" s="1"/>
  <c r="Z58" i="46" a="1"/>
  <c r="Z58" i="46" s="1"/>
  <c r="Z59" i="46" a="1"/>
  <c r="Z59" i="46" s="1"/>
  <c r="W58" i="46" a="1"/>
  <c r="W58" i="46" s="1"/>
  <c r="S58" i="46" a="1"/>
  <c r="S58" i="46" s="1"/>
  <c r="S59" i="46" a="1"/>
  <c r="S59" i="46" s="1"/>
  <c r="L58" i="46" a="1"/>
  <c r="L58" i="46" s="1"/>
  <c r="L59" i="46" a="1"/>
  <c r="L59" i="46" s="1"/>
  <c r="T50" i="46" a="1"/>
  <c r="T50" i="46" s="1"/>
  <c r="P50" i="46" a="1"/>
  <c r="P50" i="46" s="1"/>
  <c r="P48" i="46" s="1"/>
  <c r="M50" i="46" a="1"/>
  <c r="M50" i="46" s="1"/>
  <c r="AQ94" i="43" a="1"/>
  <c r="AQ94" i="43" s="1"/>
  <c r="AQ95" i="43" a="1"/>
  <c r="AQ95" i="43" s="1"/>
  <c r="AK94" i="43" a="1"/>
  <c r="AK94" i="43" s="1"/>
  <c r="AK95" i="43" a="1"/>
  <c r="AK95" i="43" s="1"/>
  <c r="AG94" i="43" a="1"/>
  <c r="AG94" i="43" s="1"/>
  <c r="AG95" i="43" a="1"/>
  <c r="AG95" i="43" s="1"/>
  <c r="AC94" i="43" a="1"/>
  <c r="AC94" i="43" s="1"/>
  <c r="AC95" i="43" a="1"/>
  <c r="AC95" i="43" s="1"/>
  <c r="Y94" i="43" a="1"/>
  <c r="Y94" i="43" s="1"/>
  <c r="Y95" i="43" a="1"/>
  <c r="Y95" i="43" s="1"/>
  <c r="L76" i="41" a="1"/>
  <c r="L76" i="41" s="1"/>
  <c r="L75" i="41" s="1"/>
  <c r="AM73" i="41" a="1"/>
  <c r="AM73" i="41" s="1"/>
  <c r="AM74" i="41" a="1"/>
  <c r="AM74" i="41" s="1"/>
  <c r="AA73" i="41" a="1"/>
  <c r="AA73" i="41" s="1"/>
  <c r="AA74" i="41" a="1"/>
  <c r="AA74" i="41" s="1"/>
  <c r="K73" i="41" a="1"/>
  <c r="K73" i="41" s="1"/>
  <c r="K74" i="41" a="1"/>
  <c r="K74" i="41" s="1"/>
  <c r="AH73" i="41" a="1"/>
  <c r="AH73" i="41" s="1"/>
  <c r="AH72" i="41" s="1"/>
  <c r="AC70" i="41" a="1"/>
  <c r="AC70" i="41" s="1"/>
  <c r="AC69" i="41" s="1"/>
  <c r="M71" i="41" a="1"/>
  <c r="M71" i="41" s="1"/>
  <c r="M69" i="41" s="1"/>
  <c r="AF70" i="41" a="1"/>
  <c r="AF70" i="41" s="1"/>
  <c r="AF69" i="41" s="1"/>
  <c r="AS67" i="41" a="1"/>
  <c r="AS67" i="41" s="1"/>
  <c r="AS66" i="41" s="1"/>
  <c r="AL50" i="41" a="1"/>
  <c r="AL50" i="41" s="1"/>
  <c r="AH49" i="41" a="1"/>
  <c r="AH49" i="41" s="1"/>
  <c r="AH50" i="41" a="1"/>
  <c r="AH50" i="41" s="1"/>
  <c r="AD49" i="41" a="1"/>
  <c r="AD49" i="41" s="1"/>
  <c r="Z49" i="41" a="1"/>
  <c r="Z49" i="41" s="1"/>
  <c r="V49" i="41" a="1"/>
  <c r="V49" i="41" s="1"/>
  <c r="V48" i="41" s="1"/>
  <c r="M62" i="41" a="1"/>
  <c r="M62" i="41" s="1"/>
  <c r="T59" i="41" a="1"/>
  <c r="T59" i="41" s="1"/>
  <c r="T57" i="41" s="1"/>
  <c r="AA58" i="41" a="1"/>
  <c r="AA58" i="41" s="1"/>
  <c r="AA59" i="41" a="1"/>
  <c r="AA59" i="41" s="1"/>
  <c r="AH56" i="41" a="1"/>
  <c r="AH56" i="41" s="1"/>
  <c r="AQ55" i="41" a="1"/>
  <c r="AQ55" i="41" s="1"/>
  <c r="AQ56" i="41" a="1"/>
  <c r="AQ56" i="41" s="1"/>
  <c r="M55" i="41" a="1"/>
  <c r="M55" i="41" s="1"/>
  <c r="M56" i="41" a="1"/>
  <c r="M56" i="41" s="1"/>
  <c r="T53" i="41" a="1"/>
  <c r="T53" i="41" s="1"/>
  <c r="AD50" i="41" a="1"/>
  <c r="AD50" i="41" s="1"/>
  <c r="AK49" i="41" a="1"/>
  <c r="AK49" i="41" s="1"/>
  <c r="AK50" i="41" a="1"/>
  <c r="AK50" i="41" s="1"/>
  <c r="AT47" i="41" a="1"/>
  <c r="AT47" i="41" s="1"/>
  <c r="T47" i="41" a="1"/>
  <c r="T47" i="41" s="1"/>
  <c r="O73" i="47" a="1"/>
  <c r="O73" i="47" s="1"/>
  <c r="AE61" i="43" a="1"/>
  <c r="AE61" i="43" s="1"/>
  <c r="V61" i="43" a="1"/>
  <c r="V61" i="43" s="1"/>
  <c r="V60" i="43" s="1"/>
  <c r="AF58" i="43" a="1"/>
  <c r="AF58" i="43" s="1"/>
  <c r="AF57" i="43" s="1"/>
  <c r="P58" i="43" a="1"/>
  <c r="P58" i="43" s="1"/>
  <c r="P59" i="43" a="1"/>
  <c r="P59" i="43" s="1"/>
  <c r="N55" i="43" a="1"/>
  <c r="N55" i="43" s="1"/>
  <c r="N54" i="43" s="1"/>
  <c r="AP43" i="43" a="1"/>
  <c r="AP43" i="43" s="1"/>
  <c r="AP44" i="43" a="1"/>
  <c r="AP44" i="43" s="1"/>
  <c r="L43" i="43" a="1"/>
  <c r="L43" i="43" s="1"/>
  <c r="L44" i="43" a="1"/>
  <c r="L44" i="43" s="1"/>
  <c r="W44" i="43" a="1"/>
  <c r="W44" i="43" s="1"/>
  <c r="W42" i="43" s="1"/>
  <c r="Z41" i="43" a="1"/>
  <c r="Z41" i="43" s="1"/>
  <c r="Z39" i="43" s="1"/>
  <c r="AT37" i="43" a="1"/>
  <c r="AT37" i="43" s="1"/>
  <c r="AT38" i="43" a="1"/>
  <c r="AT38" i="43" s="1"/>
  <c r="P37" i="43" a="1"/>
  <c r="P37" i="43" s="1"/>
  <c r="P38" i="43" a="1"/>
  <c r="P38" i="43" s="1"/>
  <c r="S38" i="43" a="1"/>
  <c r="S38" i="43" s="1"/>
  <c r="S36" i="43" s="1"/>
  <c r="Z35" i="43" a="1"/>
  <c r="Z35" i="43" s="1"/>
  <c r="Z33" i="43" s="1"/>
  <c r="AJ31" i="43" a="1"/>
  <c r="AJ31" i="43" s="1"/>
  <c r="AJ32" i="43" a="1"/>
  <c r="AJ32" i="43" s="1"/>
  <c r="AS32" i="43" a="1"/>
  <c r="AS32" i="43" s="1"/>
  <c r="AS30" i="43" s="1"/>
  <c r="V28" i="43" a="1"/>
  <c r="V28" i="43" s="1"/>
  <c r="V29" i="43" a="1"/>
  <c r="V29" i="43" s="1"/>
  <c r="AC29" i="43" a="1"/>
  <c r="AC29" i="43" s="1"/>
  <c r="AC27" i="43" s="1"/>
  <c r="AJ26" i="43" a="1"/>
  <c r="AJ26" i="43" s="1"/>
  <c r="AJ24" i="43" s="1"/>
  <c r="S26" i="43" a="1"/>
  <c r="S26" i="43" s="1"/>
  <c r="S24" i="43" s="1"/>
  <c r="AG23" i="43" a="1"/>
  <c r="AG23" i="43" s="1"/>
  <c r="AG21" i="43" s="1"/>
  <c r="L19" i="43" a="1"/>
  <c r="L19" i="43" s="1"/>
  <c r="L20" i="43" a="1"/>
  <c r="L20" i="43" s="1"/>
  <c r="AC17" i="43" a="1"/>
  <c r="AC17" i="43" s="1"/>
  <c r="AC15" i="43" s="1"/>
  <c r="L11" i="43" a="1"/>
  <c r="L11" i="43" s="1"/>
  <c r="L9" i="43" s="1"/>
  <c r="S10" i="43" a="1"/>
  <c r="S10" i="43" s="1"/>
  <c r="S9" i="43" s="1"/>
  <c r="AQ103" i="41" a="1"/>
  <c r="AQ103" i="41" s="1"/>
  <c r="AQ102" i="41" s="1"/>
  <c r="Q104" i="41" a="1"/>
  <c r="Q104" i="41" s="1"/>
  <c r="Q102" i="41" s="1"/>
  <c r="W103" i="41" a="1"/>
  <c r="W103" i="41" s="1"/>
  <c r="W102" i="41" s="1"/>
  <c r="AM53" i="41" a="1"/>
  <c r="AM53" i="41" s="1"/>
  <c r="AM51" i="41" s="1"/>
  <c r="AR52" i="41" a="1"/>
  <c r="AR52" i="41" s="1"/>
  <c r="AR51" i="41" s="1"/>
  <c r="M50" i="41" a="1"/>
  <c r="M50" i="41" s="1"/>
  <c r="M49" i="41" a="1"/>
  <c r="M49" i="41" s="1"/>
  <c r="L49" i="41" a="1"/>
  <c r="L49" i="41" s="1"/>
  <c r="L50" i="41" a="1"/>
  <c r="L50" i="41" s="1"/>
  <c r="R47" i="41" a="1"/>
  <c r="R47" i="41" s="1"/>
  <c r="R45" i="41" s="1"/>
  <c r="L61" i="47" a="1"/>
  <c r="L61" i="47" s="1"/>
  <c r="L62" i="47" a="1"/>
  <c r="L62" i="47" s="1"/>
  <c r="AJ59" i="47" a="1"/>
  <c r="AJ59" i="47" s="1"/>
  <c r="X59" i="47" a="1"/>
  <c r="X59" i="47" s="1"/>
  <c r="V64" i="47" a="1"/>
  <c r="V64" i="47" s="1"/>
  <c r="V63" i="47" s="1"/>
  <c r="O64" i="47" a="1"/>
  <c r="O64" i="47" s="1"/>
  <c r="O63" i="47" s="1"/>
  <c r="K64" i="47" a="1"/>
  <c r="K64" i="47" s="1"/>
  <c r="K63" i="47" s="1"/>
  <c r="AR62" i="47" a="1"/>
  <c r="AR62" i="47" s="1"/>
  <c r="AL62" i="47" a="1"/>
  <c r="AL62" i="47" s="1"/>
  <c r="AL60" i="47" s="1"/>
  <c r="AI62" i="47" a="1"/>
  <c r="AI62" i="47" s="1"/>
  <c r="AI60" i="47" s="1"/>
  <c r="AE62" i="47" a="1"/>
  <c r="AE62" i="47" s="1"/>
  <c r="AA62" i="47" a="1"/>
  <c r="AA62" i="47" s="1"/>
  <c r="W62" i="47" a="1"/>
  <c r="W62" i="47" s="1"/>
  <c r="W60" i="47" s="1"/>
  <c r="T62" i="47" a="1"/>
  <c r="T62" i="47" s="1"/>
  <c r="T60" i="47" s="1"/>
  <c r="P62" i="47" a="1"/>
  <c r="P62" i="47" s="1"/>
  <c r="AS61" i="47" a="1"/>
  <c r="AS61" i="47" s="1"/>
  <c r="AS60" i="47" s="1"/>
  <c r="AJ61" i="47" a="1"/>
  <c r="AJ61" i="47" s="1"/>
  <c r="AJ60" i="47" s="1"/>
  <c r="AF61" i="47" a="1"/>
  <c r="AF61" i="47" s="1"/>
  <c r="AF60" i="47" s="1"/>
  <c r="AB61" i="47" a="1"/>
  <c r="AB61" i="47" s="1"/>
  <c r="AB60" i="47" s="1"/>
  <c r="X61" i="47" a="1"/>
  <c r="X61" i="47" s="1"/>
  <c r="X60" i="47" s="1"/>
  <c r="P61" i="47" a="1"/>
  <c r="P61" i="47" s="1"/>
  <c r="AM59" i="47" a="1"/>
  <c r="AM59" i="47" s="1"/>
  <c r="AB59" i="47" a="1"/>
  <c r="AB59" i="47" s="1"/>
  <c r="P59" i="47" a="1"/>
  <c r="P59" i="47" s="1"/>
  <c r="AM58" i="47" a="1"/>
  <c r="AM58" i="47" s="1"/>
  <c r="AB58" i="47" a="1"/>
  <c r="AB58" i="47" s="1"/>
  <c r="P58" i="47" a="1"/>
  <c r="P58" i="47" s="1"/>
  <c r="AP56" i="47" a="1"/>
  <c r="AP56" i="47" s="1"/>
  <c r="AP55" i="47" a="1"/>
  <c r="AP55" i="47" s="1"/>
  <c r="N56" i="47" a="1"/>
  <c r="N56" i="47" s="1"/>
  <c r="N55" i="47" a="1"/>
  <c r="N55" i="47" s="1"/>
  <c r="AM56" i="47" a="1"/>
  <c r="AM56" i="47" s="1"/>
  <c r="AE55" i="47" a="1"/>
  <c r="AE55" i="47" s="1"/>
  <c r="AE54" i="47" s="1"/>
  <c r="Y56" i="47" a="1"/>
  <c r="Y56" i="47" s="1"/>
  <c r="Q55" i="47" a="1"/>
  <c r="Q55" i="47" s="1"/>
  <c r="Q54" i="47" s="1"/>
  <c r="M56" i="47" a="1"/>
  <c r="M56" i="47" s="1"/>
  <c r="AF53" i="47" a="1"/>
  <c r="AF53" i="47" s="1"/>
  <c r="AF51" i="47" s="1"/>
  <c r="AS53" i="47" a="1"/>
  <c r="AS53" i="47" s="1"/>
  <c r="AA52" i="47" a="1"/>
  <c r="AA52" i="47" s="1"/>
  <c r="AA51" i="47" s="1"/>
  <c r="S52" i="47" a="1"/>
  <c r="S52" i="47" s="1"/>
  <c r="S51" i="47" s="1"/>
  <c r="O53" i="47" a="1"/>
  <c r="O53" i="47" s="1"/>
  <c r="AL50" i="47" a="1"/>
  <c r="AL50" i="47" s="1"/>
  <c r="AL49" i="47" a="1"/>
  <c r="AL49" i="47" s="1"/>
  <c r="V50" i="47" a="1"/>
  <c r="V50" i="47" s="1"/>
  <c r="V49" i="47" a="1"/>
  <c r="V49" i="47" s="1"/>
  <c r="AR79" i="47" a="1"/>
  <c r="AR79" i="47" s="1"/>
  <c r="AR78" i="47" s="1"/>
  <c r="R79" i="47" a="1"/>
  <c r="R79" i="47" s="1"/>
  <c r="R78" i="47" s="1"/>
  <c r="AC77" i="47" a="1"/>
  <c r="AC77" i="47" s="1"/>
  <c r="AC75" i="47" s="1"/>
  <c r="AP76" i="47" a="1"/>
  <c r="AP76" i="47" s="1"/>
  <c r="AP75" i="47" s="1"/>
  <c r="P76" i="47" a="1"/>
  <c r="P76" i="47" s="1"/>
  <c r="P75" i="47" s="1"/>
  <c r="AA74" i="47" a="1"/>
  <c r="AA74" i="47" s="1"/>
  <c r="AA73" i="47" a="1"/>
  <c r="AA73" i="47" s="1"/>
  <c r="AD73" i="47" a="1"/>
  <c r="AD73" i="47" s="1"/>
  <c r="AD72" i="47" s="1"/>
  <c r="AE62" i="43" a="1"/>
  <c r="AE62" i="43" s="1"/>
  <c r="V41" i="41" a="1"/>
  <c r="V41" i="41" s="1"/>
  <c r="Y38" i="41" a="1"/>
  <c r="Y38" i="41" s="1"/>
  <c r="Y37" i="41" a="1"/>
  <c r="Y37" i="41" s="1"/>
  <c r="X37" i="41" a="1"/>
  <c r="X37" i="41" s="1"/>
  <c r="X38" i="41" a="1"/>
  <c r="X38" i="41" s="1"/>
  <c r="AA35" i="41" a="1"/>
  <c r="AA35" i="41" s="1"/>
  <c r="AA34" i="41" a="1"/>
  <c r="AA34" i="41" s="1"/>
  <c r="Z34" i="41" a="1"/>
  <c r="Z34" i="41" s="1"/>
  <c r="Z35" i="41" a="1"/>
  <c r="Z35" i="41" s="1"/>
  <c r="AC32" i="41" a="1"/>
  <c r="AC32" i="41" s="1"/>
  <c r="AC31" i="41" a="1"/>
  <c r="AC31" i="41" s="1"/>
  <c r="AC20" i="41" a="1"/>
  <c r="AC20" i="41" s="1"/>
  <c r="AC19" i="41" a="1"/>
  <c r="AC19" i="41" s="1"/>
  <c r="T19" i="41" a="1"/>
  <c r="T19" i="41" s="1"/>
  <c r="T20" i="41" a="1"/>
  <c r="T20" i="41" s="1"/>
  <c r="W17" i="41" a="1"/>
  <c r="W17" i="41" s="1"/>
  <c r="W16" i="41" a="1"/>
  <c r="W16" i="41" s="1"/>
  <c r="AD16" i="41" a="1"/>
  <c r="AD16" i="41" s="1"/>
  <c r="AD17" i="41" a="1"/>
  <c r="AD17" i="41" s="1"/>
  <c r="AG11" i="41" a="1"/>
  <c r="AG11" i="41" s="1"/>
  <c r="AG10" i="41" a="1"/>
  <c r="AG10" i="41" s="1"/>
  <c r="AP10" i="41" a="1"/>
  <c r="AP10" i="41" s="1"/>
  <c r="AP11" i="41" a="1"/>
  <c r="AP11" i="41" s="1"/>
  <c r="AB44" i="43" a="1"/>
  <c r="AB44" i="43" s="1"/>
  <c r="AB43" i="43" a="1"/>
  <c r="AB43" i="43" s="1"/>
  <c r="AI37" i="43" a="1"/>
  <c r="AI37" i="43" s="1"/>
  <c r="AI38" i="43" a="1"/>
  <c r="AI38" i="43" s="1"/>
  <c r="X26" i="43" a="1"/>
  <c r="X26" i="43" s="1"/>
  <c r="X25" i="43" a="1"/>
  <c r="X25" i="43" s="1"/>
  <c r="L100" i="46" a="1"/>
  <c r="L100" i="46" s="1"/>
  <c r="L101" i="46" a="1"/>
  <c r="L101" i="46" s="1"/>
  <c r="AS98" i="46" a="1"/>
  <c r="AS98" i="46" s="1"/>
  <c r="AS97" i="46" a="1"/>
  <c r="AS97" i="46" s="1"/>
  <c r="AM98" i="46" a="1"/>
  <c r="AM98" i="46" s="1"/>
  <c r="AM97" i="46" a="1"/>
  <c r="AM97" i="46" s="1"/>
  <c r="AI98" i="46" a="1"/>
  <c r="AI98" i="46" s="1"/>
  <c r="AI97" i="46" a="1"/>
  <c r="AI97" i="46" s="1"/>
  <c r="AE98" i="46" a="1"/>
  <c r="AE98" i="46" s="1"/>
  <c r="AE97" i="46" a="1"/>
  <c r="AE97" i="46" s="1"/>
  <c r="J23" i="47" a="1"/>
  <c r="J23" i="47" s="1"/>
  <c r="J22" i="47" a="1"/>
  <c r="J22" i="47" s="1"/>
  <c r="AQ22" i="47" a="1"/>
  <c r="AQ22" i="47" s="1"/>
  <c r="AQ23" i="47" a="1"/>
  <c r="AQ23" i="47" s="1"/>
  <c r="AK22" i="47" a="1"/>
  <c r="AK22" i="47" s="1"/>
  <c r="AK23" i="47" a="1"/>
  <c r="AK23" i="47" s="1"/>
  <c r="AG22" i="47" a="1"/>
  <c r="AG22" i="47" s="1"/>
  <c r="AG23" i="47" a="1"/>
  <c r="AG23" i="47" s="1"/>
  <c r="AC22" i="47" a="1"/>
  <c r="AC22" i="47" s="1"/>
  <c r="M101" i="43" a="1"/>
  <c r="M101" i="43" s="1"/>
  <c r="M99" i="43" s="1"/>
  <c r="N49" i="41" a="1"/>
  <c r="N49" i="41" s="1"/>
  <c r="N48" i="41" s="1"/>
  <c r="J49" i="41" a="1"/>
  <c r="J49" i="41" s="1"/>
  <c r="J50" i="41" a="1"/>
  <c r="J50" i="41" s="1"/>
  <c r="AQ47" i="41" a="1"/>
  <c r="AQ47" i="41" s="1"/>
  <c r="AQ45" i="41" s="1"/>
  <c r="AK47" i="41" a="1"/>
  <c r="AK47" i="41" s="1"/>
  <c r="AK45" i="41" s="1"/>
  <c r="AG47" i="41" a="1"/>
  <c r="AG47" i="41" s="1"/>
  <c r="AG46" i="41" a="1"/>
  <c r="AG46" i="41" s="1"/>
  <c r="AC47" i="41" a="1"/>
  <c r="AC47" i="41" s="1"/>
  <c r="AC46" i="41" a="1"/>
  <c r="AC46" i="41" s="1"/>
  <c r="AI43" i="41" a="1"/>
  <c r="AI43" i="41" s="1"/>
  <c r="Z11" i="43" a="1"/>
  <c r="Z11" i="43" s="1"/>
  <c r="Z10" i="43" a="1"/>
  <c r="Z10" i="43" s="1"/>
  <c r="AI103" i="41" a="1"/>
  <c r="AI103" i="41" s="1"/>
  <c r="AI104" i="41" a="1"/>
  <c r="AI104" i="41" s="1"/>
  <c r="S103" i="41" a="1"/>
  <c r="S103" i="41" s="1"/>
  <c r="Q91" i="41" a="1"/>
  <c r="Q91" i="41" s="1"/>
  <c r="Q92" i="41" a="1"/>
  <c r="Q92" i="41" s="1"/>
  <c r="AM88" i="41" a="1"/>
  <c r="AM88" i="41" s="1"/>
  <c r="AM89" i="41" a="1"/>
  <c r="AM89" i="41" s="1"/>
  <c r="O88" i="41" a="1"/>
  <c r="O88" i="41" s="1"/>
  <c r="O89" i="41" a="1"/>
  <c r="O89" i="41" s="1"/>
  <c r="AK85" i="41" a="1"/>
  <c r="AK85" i="41" s="1"/>
  <c r="AK86" i="41" a="1"/>
  <c r="AK86" i="41" s="1"/>
  <c r="M85" i="41" a="1"/>
  <c r="M85" i="41" s="1"/>
  <c r="M86" i="41" a="1"/>
  <c r="M86" i="41" s="1"/>
  <c r="AI82" i="41" a="1"/>
  <c r="AI82" i="41" s="1"/>
  <c r="AI83" i="41" a="1"/>
  <c r="AI83" i="41" s="1"/>
  <c r="K82" i="41" a="1"/>
  <c r="K82" i="41" s="1"/>
  <c r="K83" i="41" a="1"/>
  <c r="K83" i="41" s="1"/>
  <c r="AC79" i="41" a="1"/>
  <c r="AC79" i="41" s="1"/>
  <c r="AC80" i="41" a="1"/>
  <c r="AC80" i="41" s="1"/>
  <c r="AA76" i="41" a="1"/>
  <c r="AA76" i="41" s="1"/>
  <c r="AA77" i="41" a="1"/>
  <c r="AA77" i="41" s="1"/>
  <c r="Y73" i="41" a="1"/>
  <c r="Y73" i="41" s="1"/>
  <c r="Y74" i="41" a="1"/>
  <c r="Y74" i="41" s="1"/>
  <c r="AQ67" i="41" a="1"/>
  <c r="AQ67" i="41" s="1"/>
  <c r="AQ68" i="41" a="1"/>
  <c r="AQ68" i="41" s="1"/>
  <c r="Q67" i="41" a="1"/>
  <c r="Q67" i="41" s="1"/>
  <c r="Q68" i="41" a="1"/>
  <c r="Q68" i="41" s="1"/>
  <c r="AM64" i="41" a="1"/>
  <c r="AM64" i="41" s="1"/>
  <c r="AM65" i="41" a="1"/>
  <c r="AM65" i="41" s="1"/>
  <c r="O64" i="41" a="1"/>
  <c r="O64" i="41" s="1"/>
  <c r="O65" i="41" a="1"/>
  <c r="O65" i="41" s="1"/>
  <c r="AK61" i="41" a="1"/>
  <c r="AK61" i="41" s="1"/>
  <c r="AK62" i="41" a="1"/>
  <c r="AK62" i="41" s="1"/>
  <c r="M61" i="41" a="1"/>
  <c r="M61" i="41" s="1"/>
  <c r="AU58" i="47" a="1"/>
  <c r="AU58" i="47" s="1"/>
  <c r="AH84" i="41"/>
  <c r="AF69" i="47"/>
  <c r="AQ99" i="43"/>
  <c r="AR39" i="43"/>
  <c r="N21" i="41"/>
  <c r="U99" i="43"/>
  <c r="S102" i="43"/>
  <c r="O102" i="43"/>
  <c r="K102" i="43"/>
  <c r="AG99" i="43"/>
  <c r="AC99" i="43"/>
  <c r="Y99" i="43"/>
  <c r="AK99" i="43"/>
  <c r="AJ87" i="41"/>
  <c r="AI24" i="46"/>
  <c r="N30" i="46"/>
  <c r="J30" i="46"/>
  <c r="O15" i="43"/>
  <c r="Z36" i="43"/>
  <c r="S24" i="46"/>
  <c r="W78" i="41"/>
  <c r="Q99" i="43"/>
  <c r="N69" i="47"/>
  <c r="AS24" i="46"/>
  <c r="AF87" i="41"/>
  <c r="AB87" i="41"/>
  <c r="AA84" i="41"/>
  <c r="Z84" i="41"/>
  <c r="M51" i="41"/>
  <c r="AF81" i="41"/>
  <c r="AB81" i="41"/>
  <c r="X81" i="41"/>
  <c r="I17" i="41" a="1"/>
  <c r="I17" i="41" s="1"/>
  <c r="I83" i="43" a="1"/>
  <c r="I83" i="43" s="1"/>
  <c r="AG53" i="43" a="1"/>
  <c r="AG53" i="43" s="1"/>
  <c r="AG51" i="43" s="1"/>
  <c r="M53" i="43" a="1"/>
  <c r="M53" i="43" s="1"/>
  <c r="M51" i="43" s="1"/>
  <c r="AF53" i="43" a="1"/>
  <c r="AF53" i="43" s="1"/>
  <c r="AF51" i="43" s="1"/>
  <c r="L53" i="43" a="1"/>
  <c r="L53" i="43" s="1"/>
  <c r="L51" i="43" s="1"/>
  <c r="AH49" i="43" a="1"/>
  <c r="AH49" i="43" s="1"/>
  <c r="AH48" i="43" s="1"/>
  <c r="N49" i="43" a="1"/>
  <c r="N49" i="43" s="1"/>
  <c r="N48" i="43" s="1"/>
  <c r="Q47" i="43" a="1"/>
  <c r="Q47" i="43" s="1"/>
  <c r="Q46" i="43" a="1"/>
  <c r="Q46" i="43" s="1"/>
  <c r="AR53" i="43" a="1"/>
  <c r="AR53" i="43" s="1"/>
  <c r="AR51" i="43" s="1"/>
  <c r="R53" i="43" a="1"/>
  <c r="R53" i="43" s="1"/>
  <c r="R51" i="43" s="1"/>
  <c r="AP49" i="43" a="1"/>
  <c r="AP49" i="43" s="1"/>
  <c r="AP50" i="43" a="1"/>
  <c r="AP50" i="43" s="1"/>
  <c r="P49" i="43" a="1"/>
  <c r="P49" i="43" s="1"/>
  <c r="P50" i="43" a="1"/>
  <c r="P50" i="43" s="1"/>
  <c r="W50" i="43" a="1"/>
  <c r="W50" i="43" s="1"/>
  <c r="W48" i="43" s="1"/>
  <c r="Z47" i="43" a="1"/>
  <c r="Z47" i="43" s="1"/>
  <c r="Z45" i="43" s="1"/>
  <c r="AN65" i="43" a="1"/>
  <c r="AN65" i="43" s="1"/>
  <c r="AN85" i="46" a="1"/>
  <c r="AN85" i="46" s="1"/>
  <c r="AF31" i="41" a="1"/>
  <c r="AF31" i="41" s="1"/>
  <c r="AF32" i="41" a="1"/>
  <c r="AF32" i="41" s="1"/>
  <c r="AI29" i="41" a="1"/>
  <c r="AI29" i="41" s="1"/>
  <c r="AI28" i="41" a="1"/>
  <c r="AI28" i="41" s="1"/>
  <c r="AL28" i="41" a="1"/>
  <c r="AL28" i="41" s="1"/>
  <c r="AL29" i="41" a="1"/>
  <c r="AL29" i="41" s="1"/>
  <c r="AQ26" i="41" a="1"/>
  <c r="AQ26" i="41" s="1"/>
  <c r="AQ25" i="41" a="1"/>
  <c r="AQ25" i="41" s="1"/>
  <c r="Q26" i="41" a="1"/>
  <c r="Q26" i="41" s="1"/>
  <c r="Q25" i="41" a="1"/>
  <c r="Q25" i="41" s="1"/>
  <c r="P25" i="41" a="1"/>
  <c r="P25" i="41" s="1"/>
  <c r="P26" i="41" a="1"/>
  <c r="P26" i="41" s="1"/>
  <c r="S23" i="41" a="1"/>
  <c r="S23" i="41" s="1"/>
  <c r="S22" i="41" a="1"/>
  <c r="S22" i="41" s="1"/>
  <c r="V22" i="41" a="1"/>
  <c r="V22" i="41" s="1"/>
  <c r="V23" i="41" a="1"/>
  <c r="V23" i="41" s="1"/>
  <c r="AU61" i="43" a="1"/>
  <c r="AU61" i="43" s="1"/>
  <c r="AU62" i="43" a="1"/>
  <c r="AU62" i="43" s="1"/>
  <c r="AN40" i="41" a="1"/>
  <c r="AN40" i="41" s="1"/>
  <c r="I82" i="43" a="1"/>
  <c r="I82" i="43" s="1"/>
  <c r="S104" i="41" a="1"/>
  <c r="S104" i="41" s="1"/>
  <c r="AS100" i="41" a="1"/>
  <c r="AS100" i="41" s="1"/>
  <c r="U98" i="41" a="1"/>
  <c r="U98" i="41" s="1"/>
  <c r="Q97" i="41" a="1"/>
  <c r="Q97" i="41" s="1"/>
  <c r="Q98" i="41" a="1"/>
  <c r="Q98" i="41" s="1"/>
  <c r="M97" i="41" a="1"/>
  <c r="M97" i="41" s="1"/>
  <c r="M98" i="41" a="1"/>
  <c r="M98" i="41" s="1"/>
  <c r="AS94" i="41" a="1"/>
  <c r="AS94" i="41" s="1"/>
  <c r="AM94" i="41" a="1"/>
  <c r="AM94" i="41" s="1"/>
  <c r="AI94" i="41" a="1"/>
  <c r="AI94" i="41" s="1"/>
  <c r="AE94" i="41" a="1"/>
  <c r="AE94" i="41" s="1"/>
  <c r="AA94" i="41" a="1"/>
  <c r="AA94" i="41" s="1"/>
  <c r="W94" i="41" a="1"/>
  <c r="W94" i="41" s="1"/>
  <c r="S94" i="41" a="1"/>
  <c r="S94" i="41" s="1"/>
  <c r="O94" i="41" a="1"/>
  <c r="O94" i="41" s="1"/>
  <c r="AN10" i="46" a="1"/>
  <c r="AN10" i="46" s="1"/>
  <c r="AN11" i="46" a="1"/>
  <c r="AN11" i="46" s="1"/>
  <c r="AN95" i="43" a="1"/>
  <c r="AN95" i="43" s="1"/>
  <c r="AB30" i="46"/>
  <c r="AC45" i="46"/>
  <c r="AL75" i="43"/>
  <c r="W24" i="46"/>
  <c r="AM24" i="46"/>
  <c r="AR87" i="46"/>
  <c r="AL90" i="41"/>
  <c r="L87" i="41"/>
  <c r="T45" i="43"/>
  <c r="J84" i="41"/>
  <c r="AS96" i="43"/>
  <c r="AH99" i="41"/>
  <c r="N90" i="41"/>
  <c r="AP45" i="41"/>
  <c r="Z27" i="41"/>
  <c r="AF24" i="41"/>
  <c r="AL21" i="41"/>
  <c r="AT18" i="41"/>
  <c r="L18" i="41"/>
  <c r="R15" i="41"/>
  <c r="P9" i="41"/>
  <c r="AQ75" i="47"/>
  <c r="AG75" i="47"/>
  <c r="Y75" i="47"/>
  <c r="Q75" i="47"/>
  <c r="AP69" i="47"/>
  <c r="AM72" i="47"/>
  <c r="AE72" i="47"/>
  <c r="Q51" i="41"/>
  <c r="AM54" i="41"/>
  <c r="J48" i="46"/>
  <c r="S45" i="46"/>
  <c r="T9" i="41"/>
  <c r="K24" i="46"/>
  <c r="AB18" i="41"/>
  <c r="Z15" i="41"/>
  <c r="AR24" i="46"/>
  <c r="O24" i="46"/>
  <c r="AM96" i="43"/>
  <c r="P69" i="41"/>
  <c r="Y90" i="41"/>
  <c r="W87" i="41"/>
  <c r="U84" i="41"/>
  <c r="AG90" i="46"/>
  <c r="AF81" i="46"/>
  <c r="J51" i="43"/>
  <c r="U21" i="47"/>
  <c r="Q63" i="41"/>
  <c r="AJ9" i="41"/>
  <c r="AS81" i="41"/>
  <c r="S81" i="41"/>
  <c r="AQ78" i="41"/>
  <c r="Q78" i="41"/>
  <c r="AT27" i="46"/>
  <c r="AP27" i="46"/>
  <c r="X27" i="46"/>
  <c r="T27" i="46"/>
  <c r="P27" i="46"/>
  <c r="L27" i="46"/>
  <c r="AB63" i="41"/>
  <c r="P57" i="41"/>
  <c r="AP77" i="41" a="1"/>
  <c r="AP77" i="41" s="1"/>
  <c r="AA19" i="46" a="1"/>
  <c r="AA19" i="46" s="1"/>
  <c r="L23" i="46" a="1"/>
  <c r="L23" i="46" s="1"/>
  <c r="I104" i="43" a="1"/>
  <c r="I104" i="43" s="1"/>
  <c r="AI19" i="47" a="1"/>
  <c r="AI19" i="47" s="1"/>
  <c r="Q95" i="43" a="1"/>
  <c r="Q95" i="43" s="1"/>
  <c r="M94" i="43" a="1"/>
  <c r="M94" i="43" s="1"/>
  <c r="N74" i="41" a="1"/>
  <c r="N74" i="41" s="1"/>
  <c r="M95" i="43" a="1"/>
  <c r="M95" i="43" s="1"/>
  <c r="AS91" i="43" a="1"/>
  <c r="AS91" i="43" s="1"/>
  <c r="M16" i="47" a="1"/>
  <c r="M16" i="47" s="1"/>
  <c r="AI44" i="41" a="1"/>
  <c r="AI44" i="41" s="1"/>
  <c r="AC103" i="46" a="1"/>
  <c r="AC103" i="46" s="1"/>
  <c r="U103" i="46" a="1"/>
  <c r="U103" i="46" s="1"/>
  <c r="AF76" i="41" a="1"/>
  <c r="AF76" i="41" s="1"/>
  <c r="AF75" i="41" s="1"/>
  <c r="N67" i="46" a="1"/>
  <c r="N67" i="46" s="1"/>
  <c r="I95" i="43" a="1"/>
  <c r="I95" i="43" s="1"/>
  <c r="AG71" i="46" a="1"/>
  <c r="AG71" i="46" s="1"/>
  <c r="K101" i="46" a="1"/>
  <c r="K101" i="46" s="1"/>
  <c r="K99" i="46" s="1"/>
  <c r="AG68" i="46" a="1"/>
  <c r="AG68" i="46" s="1"/>
  <c r="J97" i="46" a="1"/>
  <c r="J97" i="46" s="1"/>
  <c r="U97" i="46" a="1"/>
  <c r="U97" i="46" s="1"/>
  <c r="AN104" i="43" a="1"/>
  <c r="AN104" i="43" s="1"/>
  <c r="AT46" i="41" a="1"/>
  <c r="AT46" i="41" s="1"/>
  <c r="U94" i="43" a="1"/>
  <c r="U94" i="43" s="1"/>
  <c r="AU104" i="47" a="1"/>
  <c r="AU104" i="47" s="1"/>
  <c r="W92" i="43" a="1"/>
  <c r="W92" i="43" s="1"/>
  <c r="AA92" i="43" a="1"/>
  <c r="AA92" i="43" s="1"/>
  <c r="AG70" i="41" a="1"/>
  <c r="AG70" i="41" s="1"/>
  <c r="AT68" i="46" a="1"/>
  <c r="AT68" i="46" s="1"/>
  <c r="S19" i="46" a="1"/>
  <c r="S19" i="46" s="1"/>
  <c r="AJ85" i="43" a="1"/>
  <c r="AJ85" i="43" s="1"/>
  <c r="AJ70" i="41" a="1"/>
  <c r="AJ70" i="41" s="1"/>
  <c r="AJ69" i="41" s="1"/>
  <c r="Q68" i="46" a="1"/>
  <c r="Q68" i="46" s="1"/>
  <c r="Q66" i="46" s="1"/>
  <c r="AE67" i="41" a="1"/>
  <c r="AE67" i="41" s="1"/>
  <c r="AE66" i="41" s="1"/>
  <c r="AH67" i="41" a="1"/>
  <c r="AH67" i="41" s="1"/>
  <c r="P47" i="41" a="1"/>
  <c r="P47" i="41" s="1"/>
  <c r="L22" i="46" a="1"/>
  <c r="L22" i="46" s="1"/>
  <c r="AH59" i="46" a="1"/>
  <c r="AH59" i="46" s="1"/>
  <c r="Q47" i="41" a="1"/>
  <c r="Q47" i="41" s="1"/>
  <c r="P46" i="41" a="1"/>
  <c r="P46" i="41" s="1"/>
  <c r="I28" i="46" a="1"/>
  <c r="I28" i="46" s="1"/>
  <c r="K19" i="47" a="1"/>
  <c r="K19" i="47" s="1"/>
  <c r="S20" i="46" a="1"/>
  <c r="S20" i="46" s="1"/>
  <c r="AN37" i="46" a="1"/>
  <c r="AN37" i="46" s="1"/>
  <c r="AU62" i="47" a="1"/>
  <c r="AU62" i="47" s="1"/>
  <c r="AN31" i="43" a="1"/>
  <c r="AN31" i="43" s="1"/>
  <c r="Q71" i="41" a="1"/>
  <c r="Q71" i="41" s="1"/>
  <c r="Q69" i="41" s="1"/>
  <c r="AU74" i="41" a="1"/>
  <c r="AU74" i="41" s="1"/>
  <c r="L71" i="41" a="1"/>
  <c r="L71" i="41" s="1"/>
  <c r="L69" i="41" s="1"/>
  <c r="AM10" i="47" a="1"/>
  <c r="AM10" i="47" s="1"/>
  <c r="AD86" i="43" a="1"/>
  <c r="AD86" i="43" s="1"/>
  <c r="AE10" i="47" a="1"/>
  <c r="AE10" i="47" s="1"/>
  <c r="AC97" i="46" a="1"/>
  <c r="AC97" i="46" s="1"/>
  <c r="O20" i="46" a="1"/>
  <c r="O20" i="46" s="1"/>
  <c r="AM68" i="46" a="1"/>
  <c r="AM68" i="46" s="1"/>
  <c r="AG70" i="46" a="1"/>
  <c r="AG70" i="46" s="1"/>
  <c r="AH68" i="41" a="1"/>
  <c r="AH68" i="41" s="1"/>
  <c r="Y70" i="46" a="1"/>
  <c r="Y70" i="46" s="1"/>
  <c r="Y69" i="46" s="1"/>
  <c r="Y76" i="41" a="1"/>
  <c r="Y76" i="41" s="1"/>
  <c r="M70" i="46" a="1"/>
  <c r="M70" i="46" s="1"/>
  <c r="M69" i="46" s="1"/>
  <c r="X76" i="41" a="1"/>
  <c r="X76" i="41" s="1"/>
  <c r="X75" i="41" s="1"/>
  <c r="AT67" i="46" a="1"/>
  <c r="AT67" i="46" s="1"/>
  <c r="AJ68" i="46" a="1"/>
  <c r="AJ68" i="46" s="1"/>
  <c r="X46" i="41" a="1"/>
  <c r="X46" i="41" s="1"/>
  <c r="AD68" i="46" a="1"/>
  <c r="AD68" i="46" s="1"/>
  <c r="AD66" i="46" s="1"/>
  <c r="P68" i="46" a="1"/>
  <c r="P68" i="46" s="1"/>
  <c r="T68" i="46" a="1"/>
  <c r="T68" i="46" s="1"/>
  <c r="T66" i="46" s="1"/>
  <c r="AN64" i="47" a="1"/>
  <c r="AN64" i="47" s="1"/>
  <c r="N68" i="46" a="1"/>
  <c r="N68" i="46" s="1"/>
  <c r="I37" i="47" a="1"/>
  <c r="I37" i="47" s="1"/>
  <c r="P76" i="41" a="1"/>
  <c r="P76" i="41" s="1"/>
  <c r="P75" i="41" s="1"/>
  <c r="M47" i="41" a="1"/>
  <c r="M47" i="41" s="1"/>
  <c r="K65" i="46" a="1"/>
  <c r="K65" i="46" s="1"/>
  <c r="X47" i="41" a="1"/>
  <c r="X47" i="41" s="1"/>
  <c r="AU59" i="46" a="1"/>
  <c r="AU59" i="46" s="1"/>
  <c r="T62" i="46" a="1"/>
  <c r="T62" i="46" s="1"/>
  <c r="AA58" i="46" a="1"/>
  <c r="AA58" i="46" s="1"/>
  <c r="Q94" i="43" a="1"/>
  <c r="Q94" i="43" s="1"/>
  <c r="W19" i="46" a="1"/>
  <c r="W19" i="46" s="1"/>
  <c r="AU85" i="43" a="1"/>
  <c r="AU85" i="43" s="1"/>
  <c r="AM92" i="43" a="1"/>
  <c r="AM92" i="43" s="1"/>
  <c r="AU80" i="47" a="1"/>
  <c r="AU80" i="47" s="1"/>
  <c r="AK103" i="46" a="1"/>
  <c r="AK103" i="46" s="1"/>
  <c r="I76" i="46" a="1"/>
  <c r="I76" i="46" s="1"/>
  <c r="AN88" i="46" a="1"/>
  <c r="AN88" i="46" s="1"/>
  <c r="AH103" i="46" a="1"/>
  <c r="AH103" i="46" s="1"/>
  <c r="AN25" i="43" a="1"/>
  <c r="AN25" i="43" s="1"/>
  <c r="AE92" i="43" a="1"/>
  <c r="AE92" i="43" s="1"/>
  <c r="AU37" i="47" a="1"/>
  <c r="AU37" i="47" s="1"/>
  <c r="AN19" i="46" a="1"/>
  <c r="AN19" i="46" s="1"/>
  <c r="AH104" i="46" a="1"/>
  <c r="AH104" i="46" s="1"/>
  <c r="W10" i="47" a="1"/>
  <c r="W10" i="47" s="1"/>
  <c r="W9" i="47" s="1"/>
  <c r="S70" i="46" a="1"/>
  <c r="S70" i="46" s="1"/>
  <c r="S69" i="46" s="1"/>
  <c r="AN100" i="47" a="1"/>
  <c r="AN100" i="47" s="1"/>
  <c r="O92" i="43" a="1"/>
  <c r="O92" i="43" s="1"/>
  <c r="I46" i="47" a="1"/>
  <c r="I46" i="47" s="1"/>
  <c r="S92" i="43" a="1"/>
  <c r="S92" i="43" s="1"/>
  <c r="V86" i="43" a="1"/>
  <c r="V86" i="43" s="1"/>
  <c r="O68" i="41" a="1"/>
  <c r="O68" i="41" s="1"/>
  <c r="AU80" i="46" a="1"/>
  <c r="AU80" i="46" s="1"/>
  <c r="AS85" i="43" a="1"/>
  <c r="AS85" i="43" s="1"/>
  <c r="O19" i="46" a="1"/>
  <c r="O19" i="46" s="1"/>
  <c r="AE91" i="43" a="1"/>
  <c r="AE91" i="43" s="1"/>
  <c r="AG85" i="43" a="1"/>
  <c r="AG85" i="43" s="1"/>
  <c r="AA91" i="43" a="1"/>
  <c r="AA91" i="43" s="1"/>
  <c r="W68" i="46" a="1"/>
  <c r="W68" i="46" s="1"/>
  <c r="W91" i="43" a="1"/>
  <c r="W91" i="43" s="1"/>
  <c r="J79" i="41" a="1"/>
  <c r="J79" i="41" s="1"/>
  <c r="J78" i="41" s="1"/>
  <c r="S91" i="43" a="1"/>
  <c r="S91" i="43" s="1"/>
  <c r="R79" i="41" a="1"/>
  <c r="R79" i="41" s="1"/>
  <c r="O91" i="43" a="1"/>
  <c r="O91" i="43" s="1"/>
  <c r="M77" i="41" a="1"/>
  <c r="M77" i="41" s="1"/>
  <c r="K91" i="43" a="1"/>
  <c r="K91" i="43" s="1"/>
  <c r="U47" i="41" a="1"/>
  <c r="U47" i="41" s="1"/>
  <c r="U45" i="41" s="1"/>
  <c r="AD85" i="43" a="1"/>
  <c r="AD85" i="43" s="1"/>
  <c r="AE61" i="46" a="1"/>
  <c r="AE61" i="46" s="1"/>
  <c r="O86" i="43" a="1"/>
  <c r="O86" i="43" s="1"/>
  <c r="L85" i="43" a="1"/>
  <c r="L85" i="43" s="1"/>
  <c r="AS19" i="46" a="1"/>
  <c r="AS19" i="46" s="1"/>
  <c r="AS86" i="43" a="1"/>
  <c r="AS86" i="43" s="1"/>
  <c r="T46" i="41" a="1"/>
  <c r="T46" i="41" s="1"/>
  <c r="AJ86" i="43" a="1"/>
  <c r="AJ86" i="43" s="1"/>
  <c r="T61" i="46" a="1"/>
  <c r="T61" i="46" s="1"/>
  <c r="V79" i="41" a="1"/>
  <c r="V79" i="41" s="1"/>
  <c r="V78" i="41" s="1"/>
  <c r="AM19" i="46" a="1"/>
  <c r="AM19" i="46" s="1"/>
  <c r="N79" i="41" a="1"/>
  <c r="N79" i="41" s="1"/>
  <c r="N78" i="41" s="1"/>
  <c r="W100" i="46" a="1"/>
  <c r="W100" i="46" s="1"/>
  <c r="AG76" i="41" a="1"/>
  <c r="AG76" i="41" s="1"/>
  <c r="Y77" i="41" a="1"/>
  <c r="Y77" i="41" s="1"/>
  <c r="M62" i="46" a="1"/>
  <c r="M62" i="46" s="1"/>
  <c r="AP76" i="41" a="1"/>
  <c r="AP76" i="41" s="1"/>
  <c r="Q61" i="46" a="1"/>
  <c r="Q61" i="46" s="1"/>
  <c r="AH62" i="46" a="1"/>
  <c r="AH62" i="46" s="1"/>
  <c r="AI19" i="46" a="1"/>
  <c r="AI19" i="46" s="1"/>
  <c r="AS20" i="46" a="1"/>
  <c r="AS20" i="46" s="1"/>
  <c r="AA61" i="46" a="1"/>
  <c r="AA61" i="46" s="1"/>
  <c r="AD59" i="46" a="1"/>
  <c r="AD59" i="46" s="1"/>
  <c r="AE100" i="46" a="1"/>
  <c r="AE100" i="46" s="1"/>
  <c r="AE19" i="46" a="1"/>
  <c r="AE19" i="46" s="1"/>
  <c r="X61" i="46" a="1"/>
  <c r="X61" i="46" s="1"/>
  <c r="O100" i="46" a="1"/>
  <c r="O100" i="46" s="1"/>
  <c r="Y31" i="47" a="1"/>
  <c r="Y31" i="47" s="1"/>
  <c r="Y30" i="47" s="1"/>
  <c r="AM20" i="46" a="1"/>
  <c r="AM20" i="46" s="1"/>
  <c r="T59" i="46" a="1"/>
  <c r="T59" i="46" s="1"/>
  <c r="M103" i="46" a="1"/>
  <c r="M103" i="46" s="1"/>
  <c r="O10" i="47" a="1"/>
  <c r="O10" i="47" s="1"/>
  <c r="M61" i="46" a="1"/>
  <c r="M61" i="46" s="1"/>
  <c r="AU47" i="43" a="1"/>
  <c r="AU47" i="43" s="1"/>
  <c r="AI20" i="46" a="1"/>
  <c r="AI20" i="46" s="1"/>
  <c r="AK59" i="46" a="1"/>
  <c r="AK59" i="46" s="1"/>
  <c r="AA19" i="47" a="1"/>
  <c r="AA19" i="47" s="1"/>
  <c r="AJ65" i="46" a="1"/>
  <c r="AJ65" i="46" s="1"/>
  <c r="AJ63" i="46" s="1"/>
  <c r="AK16" i="47" a="1"/>
  <c r="AK16" i="47" s="1"/>
  <c r="AH58" i="46" a="1"/>
  <c r="AH58" i="46" s="1"/>
  <c r="AC16" i="47" a="1"/>
  <c r="AC16" i="47" s="1"/>
  <c r="AE20" i="46" a="1"/>
  <c r="AE20" i="46" s="1"/>
  <c r="AA59" i="46" a="1"/>
  <c r="AA59" i="46" s="1"/>
  <c r="AN46" i="46" a="1"/>
  <c r="AN46" i="46" s="1"/>
  <c r="U16" i="47" a="1"/>
  <c r="U16" i="47" s="1"/>
  <c r="W59" i="46" a="1"/>
  <c r="W59" i="46" s="1"/>
  <c r="AM91" i="43" a="1"/>
  <c r="AM91" i="43" s="1"/>
  <c r="AA20" i="46" a="1"/>
  <c r="AA20" i="46" s="1"/>
  <c r="AS92" i="43" a="1"/>
  <c r="AS92" i="43" s="1"/>
  <c r="T58" i="46" a="1"/>
  <c r="T58" i="46" s="1"/>
  <c r="AN101" i="47" a="1"/>
  <c r="AN101" i="47" s="1"/>
  <c r="AL73" i="41" a="1"/>
  <c r="AL73" i="41" s="1"/>
  <c r="AL72" i="41" s="1"/>
  <c r="AI91" i="43" a="1"/>
  <c r="AI91" i="43" s="1"/>
  <c r="U95" i="43" a="1"/>
  <c r="U95" i="43" s="1"/>
  <c r="T100" i="46" a="1"/>
  <c r="T100" i="46" s="1"/>
  <c r="W20" i="46" a="1"/>
  <c r="W20" i="46" s="1"/>
  <c r="J98" i="46" a="1"/>
  <c r="J98" i="46" s="1"/>
  <c r="S20" i="47" a="1"/>
  <c r="S20" i="47" s="1"/>
  <c r="M97" i="46" a="1"/>
  <c r="M97" i="46" s="1"/>
  <c r="T101" i="46" a="1"/>
  <c r="T101" i="46" s="1"/>
  <c r="AI92" i="43" a="1"/>
  <c r="AI92" i="43" s="1"/>
  <c r="L86" i="43" a="1"/>
  <c r="L86" i="43" s="1"/>
  <c r="M46" i="41" a="1"/>
  <c r="M46" i="41" s="1"/>
  <c r="AA62" i="46" a="1"/>
  <c r="AA62" i="46" s="1"/>
  <c r="Q46" i="41" a="1"/>
  <c r="Q46" i="41" s="1"/>
  <c r="AM100" i="46" a="1"/>
  <c r="AM100" i="46" s="1"/>
  <c r="AJ84" i="47"/>
  <c r="X81" i="47"/>
  <c r="V93" i="47"/>
  <c r="AK81" i="47"/>
  <c r="AA81" i="47"/>
  <c r="K81" i="47"/>
  <c r="AS90" i="47"/>
  <c r="AP81" i="47"/>
  <c r="W81" i="47"/>
  <c r="AP84" i="47"/>
  <c r="AF81" i="47"/>
  <c r="AT72" i="47"/>
  <c r="AP72" i="47"/>
  <c r="AJ72" i="47"/>
  <c r="AB72" i="47"/>
  <c r="T51" i="47"/>
  <c r="AJ48" i="47"/>
  <c r="L48" i="47"/>
  <c r="AL45" i="47"/>
  <c r="AD45" i="47"/>
  <c r="N45" i="47"/>
  <c r="AJ42" i="47"/>
  <c r="AT36" i="47"/>
  <c r="AJ36" i="47"/>
  <c r="AB36" i="47"/>
  <c r="T36" i="47"/>
  <c r="L36" i="47"/>
  <c r="AI63" i="47"/>
  <c r="R54" i="47"/>
  <c r="X51" i="47"/>
  <c r="O48" i="47"/>
  <c r="Q45" i="47"/>
  <c r="AM42" i="47"/>
  <c r="AE42" i="47"/>
  <c r="Q39" i="47"/>
  <c r="AM36" i="47"/>
  <c r="AE36" i="47"/>
  <c r="W36" i="47"/>
  <c r="O36" i="47"/>
  <c r="V66" i="47"/>
  <c r="AF63" i="47"/>
  <c r="Z60" i="47"/>
  <c r="AQ54" i="47"/>
  <c r="AG54" i="47"/>
  <c r="V54" i="47"/>
  <c r="K54" i="47"/>
  <c r="AR48" i="47"/>
  <c r="AH48" i="47"/>
  <c r="Z48" i="47"/>
  <c r="R48" i="47"/>
  <c r="AT45" i="47"/>
  <c r="R66" i="46"/>
  <c r="W63" i="46"/>
  <c r="Q81" i="46"/>
  <c r="P78" i="46"/>
  <c r="AK72" i="43"/>
  <c r="Y90" i="46"/>
  <c r="K75" i="46"/>
  <c r="AM78" i="46"/>
  <c r="J9" i="41"/>
  <c r="K42" i="41"/>
  <c r="J39" i="41"/>
  <c r="AS42" i="41"/>
  <c r="AH24" i="43"/>
  <c r="AI78" i="43"/>
  <c r="Z75" i="43"/>
  <c r="X18" i="43"/>
  <c r="AH15" i="43"/>
  <c r="J15" i="43"/>
  <c r="AD18" i="41"/>
  <c r="AT15" i="41"/>
  <c r="P15" i="41"/>
  <c r="N9" i="41"/>
  <c r="AJ102" i="41"/>
  <c r="P102" i="41"/>
  <c r="K48" i="43"/>
  <c r="R33" i="43"/>
  <c r="Q90" i="43"/>
  <c r="M84" i="43"/>
  <c r="Z81" i="43"/>
  <c r="N69" i="43"/>
  <c r="S66" i="43"/>
  <c r="AT63" i="43"/>
  <c r="N60" i="43"/>
  <c r="X57" i="43"/>
  <c r="AT51" i="43"/>
  <c r="AH51" i="43"/>
  <c r="U51" i="43"/>
  <c r="AS48" i="43"/>
  <c r="AS51" i="43"/>
  <c r="O39" i="43"/>
  <c r="AS87" i="41"/>
  <c r="AM81" i="41"/>
  <c r="Y30" i="43"/>
  <c r="AB78" i="46"/>
  <c r="AM57" i="43"/>
  <c r="Q54" i="43"/>
  <c r="Y48" i="43"/>
  <c r="AS45" i="43"/>
  <c r="S45" i="43"/>
  <c r="AR78" i="41"/>
  <c r="T75" i="41"/>
  <c r="AR72" i="41"/>
  <c r="V72" i="41"/>
  <c r="S69" i="47"/>
  <c r="W63" i="47"/>
  <c r="AT60" i="47"/>
  <c r="Y60" i="47"/>
  <c r="AH69" i="47"/>
  <c r="AD69" i="47"/>
  <c r="AM69" i="47"/>
  <c r="AB102" i="41"/>
  <c r="Q42" i="41"/>
  <c r="AG15" i="41"/>
  <c r="AP15" i="41"/>
  <c r="L15" i="41"/>
  <c r="AC9" i="41"/>
  <c r="J54" i="43"/>
  <c r="AP51" i="43"/>
  <c r="T51" i="43"/>
  <c r="S54" i="43"/>
  <c r="AS93" i="43"/>
  <c r="X72" i="43"/>
  <c r="AH69" i="43"/>
  <c r="AT66" i="43"/>
  <c r="X63" i="43"/>
  <c r="AH60" i="43"/>
  <c r="V48" i="43"/>
  <c r="AC45" i="43"/>
  <c r="O45" i="43"/>
  <c r="AQ90" i="41"/>
  <c r="AQ48" i="41"/>
  <c r="Q36" i="43"/>
  <c r="AM27" i="43"/>
  <c r="AQ18" i="43"/>
  <c r="AG33" i="41"/>
  <c r="AS30" i="41"/>
  <c r="AA15" i="43"/>
  <c r="U99" i="41"/>
  <c r="AA96" i="41"/>
  <c r="AK93" i="41"/>
  <c r="AS90" i="41"/>
  <c r="W75" i="46"/>
  <c r="AS69" i="46"/>
  <c r="AS66" i="46"/>
  <c r="AK66" i="46"/>
  <c r="AA66" i="46"/>
  <c r="Z63" i="46"/>
  <c r="Y54" i="46"/>
  <c r="AL51" i="46"/>
  <c r="L15" i="43"/>
  <c r="AA57" i="43"/>
  <c r="K57" i="43"/>
  <c r="Y54" i="43"/>
  <c r="AI51" i="43"/>
  <c r="S51" i="43"/>
  <c r="AK48" i="43"/>
  <c r="Q48" i="43"/>
  <c r="AM45" i="43"/>
  <c r="AA45" i="43"/>
  <c r="S39" i="43"/>
  <c r="AD78" i="41"/>
  <c r="AB75" i="41"/>
  <c r="AE60" i="41"/>
  <c r="K60" i="41"/>
  <c r="J60" i="41"/>
  <c r="Z24" i="47"/>
  <c r="AJ15" i="47"/>
  <c r="AL36" i="43"/>
  <c r="AD36" i="43"/>
  <c r="U33" i="43"/>
  <c r="AF33" i="43"/>
  <c r="T33" i="43"/>
  <c r="V30" i="43"/>
  <c r="T15" i="43"/>
  <c r="AT102" i="41"/>
  <c r="U90" i="41"/>
  <c r="U15" i="41"/>
  <c r="U60" i="46"/>
  <c r="U66" i="43"/>
  <c r="AC63" i="46"/>
  <c r="AD39" i="46"/>
  <c r="AA39" i="46"/>
  <c r="X39" i="46"/>
  <c r="U39" i="46"/>
  <c r="R39" i="46"/>
  <c r="O39" i="46"/>
  <c r="L39" i="46"/>
  <c r="K48" i="46"/>
  <c r="AJ42" i="46"/>
  <c r="S42" i="46"/>
  <c r="AI39" i="46"/>
  <c r="Y39" i="46"/>
  <c r="J39" i="46"/>
  <c r="P36" i="46"/>
  <c r="L30" i="46"/>
  <c r="AH27" i="46"/>
  <c r="AD21" i="46"/>
  <c r="T15" i="46"/>
  <c r="N36" i="43"/>
  <c r="N9" i="43"/>
  <c r="U60" i="43"/>
  <c r="V21" i="43"/>
  <c r="AJ18" i="43"/>
  <c r="AP9" i="43"/>
  <c r="Q81" i="43"/>
  <c r="J81" i="43"/>
  <c r="M78" i="43"/>
  <c r="AQ78" i="43"/>
  <c r="AK78" i="43"/>
  <c r="AD78" i="43"/>
  <c r="AR66" i="43"/>
  <c r="AL66" i="43"/>
  <c r="AH66" i="43"/>
  <c r="AD66" i="43"/>
  <c r="Z66" i="43"/>
  <c r="V66" i="43"/>
  <c r="R66" i="43"/>
  <c r="N66" i="43"/>
  <c r="J66" i="43"/>
  <c r="AC57" i="46"/>
  <c r="O57" i="46"/>
  <c r="AR54" i="46"/>
  <c r="AB54" i="46"/>
  <c r="AQ51" i="46"/>
  <c r="AA51" i="46"/>
  <c r="L51" i="46"/>
  <c r="AP48" i="46"/>
  <c r="Z48" i="46"/>
  <c r="AE45" i="46"/>
  <c r="AK42" i="46"/>
  <c r="W42" i="46"/>
  <c r="K42" i="46"/>
  <c r="AS39" i="46"/>
  <c r="AC39" i="46"/>
  <c r="Q39" i="46"/>
  <c r="AI36" i="46"/>
  <c r="W36" i="46"/>
  <c r="J36" i="46"/>
  <c r="AH33" i="46"/>
  <c r="R33" i="46"/>
  <c r="AP30" i="46"/>
  <c r="X30" i="46"/>
  <c r="AD27" i="46"/>
  <c r="N27" i="46"/>
  <c r="AJ24" i="46"/>
  <c r="T24" i="46"/>
  <c r="AR21" i="46"/>
  <c r="Z21" i="46"/>
  <c r="J21" i="46"/>
  <c r="AP18" i="46"/>
  <c r="AH18" i="46"/>
  <c r="X18" i="46"/>
  <c r="R18" i="46"/>
  <c r="AR15" i="46"/>
  <c r="AL15" i="46"/>
  <c r="AH15" i="46"/>
  <c r="AD15" i="46"/>
  <c r="X9" i="46"/>
  <c r="V75" i="41"/>
  <c r="AJ72" i="41"/>
  <c r="AB72" i="41"/>
  <c r="AR69" i="41"/>
  <c r="V57" i="41"/>
  <c r="N57" i="41"/>
  <c r="Q54" i="41"/>
  <c r="AT54" i="41"/>
  <c r="AJ54" i="41"/>
  <c r="AB54" i="41"/>
  <c r="AE51" i="41"/>
  <c r="AH51" i="41"/>
  <c r="AP48" i="41"/>
  <c r="S45" i="41"/>
  <c r="R9" i="43"/>
  <c r="AJ96" i="41"/>
  <c r="Z93" i="41"/>
  <c r="AV9" i="46"/>
  <c r="AV9" i="43"/>
  <c r="AN9" i="43"/>
  <c r="AO9" i="46"/>
  <c r="AM15" i="46"/>
  <c r="AN9" i="41"/>
  <c r="T65" i="47" a="1"/>
  <c r="T65" i="47" s="1"/>
  <c r="I103" i="41" a="1"/>
  <c r="I103" i="41" s="1"/>
  <c r="T64" i="47" a="1"/>
  <c r="T64" i="47" s="1"/>
  <c r="T70" i="41" a="1"/>
  <c r="T70" i="41" s="1"/>
  <c r="T69" i="41" s="1"/>
  <c r="AT64" i="47" a="1"/>
  <c r="AT64" i="47" s="1"/>
  <c r="I29" i="43" a="1"/>
  <c r="I29" i="43" s="1"/>
  <c r="AJ64" i="47" a="1"/>
  <c r="AJ64" i="47" s="1"/>
  <c r="Y64" i="47" a="1"/>
  <c r="Y64" i="47" s="1"/>
  <c r="I77" i="43" a="1"/>
  <c r="I77" i="43" s="1"/>
  <c r="N64" i="47" a="1"/>
  <c r="N64" i="47" s="1"/>
  <c r="I61" i="41" a="1"/>
  <c r="I61" i="41" s="1"/>
  <c r="AH62" i="47" a="1"/>
  <c r="AH62" i="47" s="1"/>
  <c r="I94" i="41" a="1"/>
  <c r="I94" i="41" s="1"/>
  <c r="N64" i="46" a="1"/>
  <c r="N64" i="46" s="1"/>
  <c r="X64" i="47" a="1"/>
  <c r="X64" i="47" s="1"/>
  <c r="L77" i="47" a="1"/>
  <c r="L77" i="47" s="1"/>
  <c r="AR89" i="43" a="1"/>
  <c r="AR89" i="43" s="1"/>
  <c r="S101" i="41" a="1"/>
  <c r="S101" i="41" s="1"/>
  <c r="AK71" i="41" a="1"/>
  <c r="AK71" i="41" s="1"/>
  <c r="AK69" i="41" s="1"/>
  <c r="AL73" i="47" a="1"/>
  <c r="AL73" i="47" s="1"/>
  <c r="S58" i="47" a="1"/>
  <c r="S58" i="47" s="1"/>
  <c r="Q71" i="47" a="1"/>
  <c r="Q71" i="47" s="1"/>
  <c r="AS101" i="41" a="1"/>
  <c r="AS101" i="41" s="1"/>
  <c r="R88" i="43" a="1"/>
  <c r="R88" i="43" s="1"/>
  <c r="AK98" i="41" a="1"/>
  <c r="AK98" i="41" s="1"/>
  <c r="N62" i="46" a="1"/>
  <c r="N62" i="46" s="1"/>
  <c r="J67" i="47" a="1"/>
  <c r="J67" i="47" s="1"/>
  <c r="AM67" i="46" a="1"/>
  <c r="AM67" i="46" s="1"/>
  <c r="S67" i="47" a="1"/>
  <c r="S67" i="47" s="1"/>
  <c r="AG64" i="41" a="1"/>
  <c r="AG64" i="41" s="1"/>
  <c r="AG63" i="41" s="1"/>
  <c r="AH79" i="47" a="1"/>
  <c r="AH79" i="47" s="1"/>
  <c r="AL58" i="47" a="1"/>
  <c r="AL58" i="47" s="1"/>
  <c r="AU94" i="47" a="1"/>
  <c r="AU94" i="47" s="1"/>
  <c r="J74" i="47" a="1"/>
  <c r="J74" i="47" s="1"/>
  <c r="J72" i="47" s="1"/>
  <c r="J79" i="47" a="1"/>
  <c r="J79" i="47" s="1"/>
  <c r="W100" i="41" a="1"/>
  <c r="W100" i="41" s="1"/>
  <c r="AQ70" i="47" a="1"/>
  <c r="AQ70" i="47" s="1"/>
  <c r="AT85" i="43" a="1"/>
  <c r="AT85" i="43" s="1"/>
  <c r="AK89" i="43" a="1"/>
  <c r="AK89" i="43" s="1"/>
  <c r="AC98" i="41" a="1"/>
  <c r="AC98" i="41" s="1"/>
  <c r="Z88" i="43" a="1"/>
  <c r="Z88" i="43" s="1"/>
  <c r="AJ67" i="47" a="1"/>
  <c r="AJ67" i="47" s="1"/>
  <c r="AL61" i="46" a="1"/>
  <c r="AL61" i="46" s="1"/>
  <c r="K101" i="41" a="1"/>
  <c r="K101" i="41" s="1"/>
  <c r="AI61" i="46" a="1"/>
  <c r="AI61" i="46" s="1"/>
  <c r="X76" i="47" a="1"/>
  <c r="X76" i="47" s="1"/>
  <c r="Y64" i="46" a="1"/>
  <c r="Y64" i="46" s="1"/>
  <c r="Y63" i="46" s="1"/>
  <c r="AM64" i="47" a="1"/>
  <c r="AM64" i="47" s="1"/>
  <c r="AS65" i="46" a="1"/>
  <c r="AS65" i="46" s="1"/>
  <c r="AS63" i="46" s="1"/>
  <c r="AI74" i="47" a="1"/>
  <c r="AI74" i="47" s="1"/>
  <c r="AM67" i="41" a="1"/>
  <c r="AM67" i="41" s="1"/>
  <c r="AM66" i="41" s="1"/>
  <c r="AH61" i="47" a="1"/>
  <c r="AH61" i="47" s="1"/>
  <c r="Z61" i="41" a="1"/>
  <c r="Z61" i="41" s="1"/>
  <c r="Z62" i="41" a="1"/>
  <c r="Z62" i="41" s="1"/>
  <c r="U58" i="41" a="1"/>
  <c r="U58" i="41" s="1"/>
  <c r="U57" i="41" s="1"/>
  <c r="M64" i="47" a="1"/>
  <c r="M64" i="47" s="1"/>
  <c r="S59" i="47" a="1"/>
  <c r="S59" i="47" s="1"/>
  <c r="M55" i="47" a="1"/>
  <c r="M55" i="47" s="1"/>
  <c r="AB55" i="47" a="1"/>
  <c r="AB55" i="47" s="1"/>
  <c r="AH80" i="47" a="1"/>
  <c r="AH80" i="47" s="1"/>
  <c r="AL80" i="47" a="1"/>
  <c r="AL80" i="47" s="1"/>
  <c r="AE61" i="47" a="1"/>
  <c r="AE61" i="47" s="1"/>
  <c r="S100" i="41" a="1"/>
  <c r="S100" i="41" s="1"/>
  <c r="AN31" i="41" a="1"/>
  <c r="AN31" i="41" s="1"/>
  <c r="AE101" i="41" a="1"/>
  <c r="AE101" i="41" s="1"/>
  <c r="AM53" i="47" a="1"/>
  <c r="AM53" i="47" s="1"/>
  <c r="AM51" i="47" s="1"/>
  <c r="L88" i="43" a="1"/>
  <c r="L88" i="43" s="1"/>
  <c r="L87" i="43" s="1"/>
  <c r="AA88" i="43" a="1"/>
  <c r="AA88" i="43" s="1"/>
  <c r="Y98" i="41" a="1"/>
  <c r="Y98" i="41" s="1"/>
  <c r="AQ89" i="43" a="1"/>
  <c r="AQ89" i="43" s="1"/>
  <c r="U71" i="47" a="1"/>
  <c r="U71" i="47" s="1"/>
  <c r="V88" i="43" a="1"/>
  <c r="V88" i="43" s="1"/>
  <c r="AG98" i="41" a="1"/>
  <c r="AG98" i="41" s="1"/>
  <c r="AD89" i="43" a="1"/>
  <c r="AD89" i="43" s="1"/>
  <c r="AF76" i="47" a="1"/>
  <c r="AF76" i="47" s="1"/>
  <c r="AH61" i="46" a="1"/>
  <c r="AH61" i="46" s="1"/>
  <c r="AQ98" i="41" a="1"/>
  <c r="AQ98" i="41" s="1"/>
  <c r="J62" i="46" a="1"/>
  <c r="J62" i="46" s="1"/>
  <c r="Y67" i="47" a="1"/>
  <c r="Y67" i="47" s="1"/>
  <c r="X62" i="46" a="1"/>
  <c r="X62" i="46" s="1"/>
  <c r="O101" i="41" a="1"/>
  <c r="O101" i="41" s="1"/>
  <c r="K64" i="46" a="1"/>
  <c r="K64" i="46" s="1"/>
  <c r="K53" i="47" a="1"/>
  <c r="K53" i="47" s="1"/>
  <c r="K51" i="47" s="1"/>
  <c r="U65" i="46" a="1"/>
  <c r="U65" i="46" s="1"/>
  <c r="O67" i="47" a="1"/>
  <c r="O67" i="47" s="1"/>
  <c r="AR67" i="46" a="1"/>
  <c r="AR67" i="46" s="1"/>
  <c r="AD67" i="47" a="1"/>
  <c r="AD67" i="47" s="1"/>
  <c r="AG67" i="46" a="1"/>
  <c r="AG67" i="46" s="1"/>
  <c r="AM65" i="46" a="1"/>
  <c r="AM65" i="46" s="1"/>
  <c r="AM63" i="46" s="1"/>
  <c r="AJ52" i="47" a="1"/>
  <c r="AJ52" i="47" s="1"/>
  <c r="AT70" i="41" a="1"/>
  <c r="AT70" i="41" s="1"/>
  <c r="AT69" i="41" s="1"/>
  <c r="AU91" i="43" a="1"/>
  <c r="AU91" i="43" s="1"/>
  <c r="K67" i="41" a="1"/>
  <c r="K67" i="41" s="1"/>
  <c r="K66" i="41" s="1"/>
  <c r="AS65" i="47" a="1"/>
  <c r="AS65" i="47" s="1"/>
  <c r="AS63" i="47" s="1"/>
  <c r="L64" i="41" a="1"/>
  <c r="L64" i="41" s="1"/>
  <c r="L63" i="41" s="1"/>
  <c r="AR61" i="47" a="1"/>
  <c r="AR61" i="47" s="1"/>
  <c r="AK58" i="41" a="1"/>
  <c r="AK58" i="41" s="1"/>
  <c r="AK57" i="41" s="1"/>
  <c r="S61" i="41" a="1"/>
  <c r="S61" i="41" s="1"/>
  <c r="S60" i="41" s="1"/>
  <c r="M65" i="47" a="1"/>
  <c r="M65" i="47" s="1"/>
  <c r="AL59" i="47" a="1"/>
  <c r="AL59" i="47" s="1"/>
  <c r="AL74" i="47" a="1"/>
  <c r="AL74" i="47" s="1"/>
  <c r="AA59" i="47" a="1"/>
  <c r="AA59" i="47" s="1"/>
  <c r="AA57" i="47" s="1"/>
  <c r="AU43" i="43" a="1"/>
  <c r="AU43" i="43" s="1"/>
  <c r="AE58" i="47" a="1"/>
  <c r="AE58" i="47" s="1"/>
  <c r="Y55" i="47" a="1"/>
  <c r="Y55" i="47" s="1"/>
  <c r="AL55" i="47" a="1"/>
  <c r="AL55" i="47" s="1"/>
  <c r="AL54" i="47" s="1"/>
  <c r="W74" i="47" a="1"/>
  <c r="W74" i="47" s="1"/>
  <c r="W72" i="47" s="1"/>
  <c r="AS52" i="47" a="1"/>
  <c r="AS52" i="47" s="1"/>
  <c r="I74" i="43" a="1"/>
  <c r="I74" i="43" s="1"/>
  <c r="AN53" i="47" a="1"/>
  <c r="AN53" i="47" s="1"/>
  <c r="AL79" i="47" a="1"/>
  <c r="AL79" i="47" s="1"/>
  <c r="X65" i="47" a="1"/>
  <c r="X65" i="47" s="1"/>
  <c r="AU55" i="41" a="1"/>
  <c r="AU55" i="41" s="1"/>
  <c r="AN31" i="47" a="1"/>
  <c r="AN31" i="47" s="1"/>
  <c r="W101" i="41" a="1"/>
  <c r="W101" i="41" s="1"/>
  <c r="Q70" i="47" a="1"/>
  <c r="Q70" i="47" s="1"/>
  <c r="AA100" i="41" a="1"/>
  <c r="AA100" i="41" s="1"/>
  <c r="AA99" i="41" s="1"/>
  <c r="I64" i="47" a="1"/>
  <c r="I64" i="47" s="1"/>
  <c r="AE100" i="41" a="1"/>
  <c r="AE100" i="41" s="1"/>
  <c r="S61" i="47" a="1"/>
  <c r="S61" i="47" s="1"/>
  <c r="AU100" i="43" a="1"/>
  <c r="AU100" i="43" s="1"/>
  <c r="J80" i="47" a="1"/>
  <c r="J80" i="47" s="1"/>
  <c r="AG86" i="43" a="1"/>
  <c r="AG86" i="43" s="1"/>
  <c r="AQ71" i="47" a="1"/>
  <c r="AQ71" i="47" s="1"/>
  <c r="AT86" i="43" a="1"/>
  <c r="AT86" i="43" s="1"/>
  <c r="P89" i="43" a="1"/>
  <c r="P89" i="43" s="1"/>
  <c r="AA89" i="43" a="1"/>
  <c r="AA89" i="43" s="1"/>
  <c r="U97" i="41" a="1"/>
  <c r="U97" i="41" s="1"/>
  <c r="AD88" i="43" a="1"/>
  <c r="AD88" i="43" s="1"/>
  <c r="U70" i="47" a="1"/>
  <c r="U70" i="47" s="1"/>
  <c r="AK88" i="43" a="1"/>
  <c r="AK88" i="43" s="1"/>
  <c r="Y97" i="41" a="1"/>
  <c r="Y97" i="41" s="1"/>
  <c r="AQ88" i="43" a="1"/>
  <c r="AQ88" i="43" s="1"/>
  <c r="U76" i="47" a="1"/>
  <c r="U76" i="47" s="1"/>
  <c r="R89" i="43" a="1"/>
  <c r="R89" i="43" s="1"/>
  <c r="AC97" i="41" a="1"/>
  <c r="AC97" i="41" s="1"/>
  <c r="V89" i="43" a="1"/>
  <c r="V89" i="43" s="1"/>
  <c r="AJ68" i="47" a="1"/>
  <c r="AJ68" i="47" s="1"/>
  <c r="Z89" i="43" a="1"/>
  <c r="Z89" i="43" s="1"/>
  <c r="AG97" i="41" a="1"/>
  <c r="AG97" i="41" s="1"/>
  <c r="AR88" i="43" a="1"/>
  <c r="AR88" i="43" s="1"/>
  <c r="O52" i="47" a="1"/>
  <c r="O52" i="47" s="1"/>
  <c r="K92" i="43" a="1"/>
  <c r="K92" i="43" s="1"/>
  <c r="AK97" i="41" a="1"/>
  <c r="AK97" i="41" s="1"/>
  <c r="AL62" i="46" a="1"/>
  <c r="AL62" i="46" s="1"/>
  <c r="Y68" i="47" a="1"/>
  <c r="Y68" i="47" s="1"/>
  <c r="J61" i="46" a="1"/>
  <c r="J61" i="46" s="1"/>
  <c r="AQ97" i="41" a="1"/>
  <c r="AQ97" i="41" s="1"/>
  <c r="N61" i="46" a="1"/>
  <c r="N61" i="46" s="1"/>
  <c r="AF77" i="47" a="1"/>
  <c r="AF77" i="47" s="1"/>
  <c r="Q62" i="46" a="1"/>
  <c r="Q62" i="46" s="1"/>
  <c r="K100" i="41" a="1"/>
  <c r="K100" i="41" s="1"/>
  <c r="AE62" i="46" a="1"/>
  <c r="AE62" i="46" s="1"/>
  <c r="J68" i="47" a="1"/>
  <c r="J68" i="47" s="1"/>
  <c r="AI62" i="46" a="1"/>
  <c r="AI62" i="46" s="1"/>
  <c r="O100" i="41" a="1"/>
  <c r="O100" i="41" s="1"/>
  <c r="N65" i="46" a="1"/>
  <c r="N65" i="46" s="1"/>
  <c r="AI73" i="47" a="1"/>
  <c r="AI73" i="47" s="1"/>
  <c r="R64" i="46" a="1"/>
  <c r="R64" i="46" s="1"/>
  <c r="AA67" i="47" a="1"/>
  <c r="AA67" i="47" s="1"/>
  <c r="AA66" i="47" s="1"/>
  <c r="U64" i="46" a="1"/>
  <c r="U64" i="46" s="1"/>
  <c r="AL67" i="47" a="1"/>
  <c r="AL67" i="47" s="1"/>
  <c r="AL66" i="47" s="1"/>
  <c r="AB65" i="46" a="1"/>
  <c r="AB65" i="46" s="1"/>
  <c r="AB63" i="46" s="1"/>
  <c r="AM65" i="47" a="1"/>
  <c r="AM65" i="47" s="1"/>
  <c r="AR68" i="46" a="1"/>
  <c r="AR68" i="46" s="1"/>
  <c r="X77" i="47" a="1"/>
  <c r="X77" i="47" s="1"/>
  <c r="AJ67" i="46" a="1"/>
  <c r="AJ67" i="46" s="1"/>
  <c r="Y70" i="41" a="1"/>
  <c r="Y70" i="41" s="1"/>
  <c r="Y69" i="41" s="1"/>
  <c r="W67" i="46" a="1"/>
  <c r="W67" i="46" s="1"/>
  <c r="AD68" i="47" a="1"/>
  <c r="AD68" i="47" s="1"/>
  <c r="R65" i="46" a="1"/>
  <c r="R65" i="46" s="1"/>
  <c r="AN76" i="46" a="1"/>
  <c r="AN76" i="46" s="1"/>
  <c r="Z73" i="41" a="1"/>
  <c r="Z73" i="41" s="1"/>
  <c r="U56" i="47" a="1"/>
  <c r="U56" i="47" s="1"/>
  <c r="U54" i="47" s="1"/>
  <c r="AN74" i="47" a="1"/>
  <c r="AN74" i="47" s="1"/>
  <c r="I62" i="41" a="1"/>
  <c r="I62" i="41" s="1"/>
  <c r="I61" i="47" a="1"/>
  <c r="I61" i="47" s="1"/>
  <c r="S68" i="47" a="1"/>
  <c r="S68" i="47" s="1"/>
  <c r="W68" i="41" a="1"/>
  <c r="W68" i="41" s="1"/>
  <c r="W66" i="41" s="1"/>
  <c r="AN103" i="47" a="1"/>
  <c r="AN103" i="47" s="1"/>
  <c r="Z67" i="41" a="1"/>
  <c r="Z67" i="41" s="1"/>
  <c r="AR91" i="47" a="1"/>
  <c r="AR91" i="47" s="1"/>
  <c r="AR90" i="47" s="1"/>
  <c r="AT64" i="41" a="1"/>
  <c r="AT64" i="41" s="1"/>
  <c r="AT63" i="41" s="1"/>
  <c r="S62" i="47" a="1"/>
  <c r="S62" i="47" s="1"/>
  <c r="AJ53" i="47" a="1"/>
  <c r="AJ53" i="47" s="1"/>
  <c r="W53" i="47" a="1"/>
  <c r="W53" i="47" s="1"/>
  <c r="W51" i="47" s="1"/>
  <c r="U77" i="47" a="1"/>
  <c r="U77" i="47" s="1"/>
  <c r="AC70" i="47" a="1"/>
  <c r="AC70" i="47" s="1"/>
  <c r="AN94" i="41" a="1"/>
  <c r="AN94" i="41" s="1"/>
  <c r="P88" i="43" a="1"/>
  <c r="P88" i="43" s="1"/>
  <c r="N90" i="47"/>
  <c r="W87" i="47"/>
  <c r="K84" i="47"/>
  <c r="U81" i="47"/>
  <c r="AJ63" i="41"/>
  <c r="R30" i="47"/>
  <c r="AD78" i="47"/>
  <c r="AP36" i="46"/>
  <c r="AA21" i="46"/>
  <c r="Z102" i="43"/>
  <c r="N45" i="46"/>
  <c r="AQ39" i="41"/>
  <c r="AF45" i="46"/>
  <c r="Y45" i="46"/>
  <c r="U45" i="46"/>
  <c r="R45" i="46"/>
  <c r="O45" i="46"/>
  <c r="L45" i="46"/>
  <c r="AE42" i="46"/>
  <c r="AA42" i="46"/>
  <c r="AK39" i="46"/>
  <c r="AG39" i="46"/>
  <c r="M90" i="43"/>
  <c r="AI69" i="47"/>
  <c r="AE69" i="47"/>
  <c r="AL69" i="47"/>
  <c r="AF18" i="47"/>
  <c r="Z15" i="46"/>
  <c r="V15" i="46"/>
  <c r="R15" i="46"/>
  <c r="N15" i="46"/>
  <c r="J15" i="46"/>
  <c r="AT9" i="46"/>
  <c r="AP9" i="46"/>
  <c r="AJ9" i="46"/>
  <c r="AF9" i="46"/>
  <c r="AB9" i="46"/>
  <c r="W69" i="47"/>
  <c r="R57" i="41"/>
  <c r="AP54" i="41"/>
  <c r="X54" i="41"/>
  <c r="T54" i="41"/>
  <c r="V45" i="41"/>
  <c r="K102" i="41"/>
  <c r="AG99" i="41"/>
  <c r="AA69" i="47"/>
  <c r="U66" i="47"/>
  <c r="AC60" i="47"/>
  <c r="Y21" i="47"/>
  <c r="AB33" i="47"/>
  <c r="T33" i="47"/>
  <c r="L33" i="47"/>
  <c r="AE30" i="47"/>
  <c r="W30" i="47"/>
  <c r="O30" i="47"/>
  <c r="AP27" i="47"/>
  <c r="X27" i="47"/>
  <c r="T90" i="46"/>
  <c r="AQ87" i="46"/>
  <c r="AS84" i="46"/>
  <c r="AB84" i="46"/>
  <c r="Q84" i="46"/>
  <c r="AR81" i="46"/>
  <c r="S81" i="46"/>
  <c r="AK78" i="46"/>
  <c r="J78" i="46"/>
  <c r="AM75" i="46"/>
  <c r="X75" i="46"/>
  <c r="Y72" i="46"/>
  <c r="O69" i="46"/>
  <c r="AK93" i="46"/>
  <c r="Y93" i="46"/>
  <c r="M93" i="46"/>
  <c r="AK87" i="46"/>
  <c r="L84" i="46"/>
  <c r="V81" i="46"/>
  <c r="J18" i="46"/>
  <c r="AR63" i="47"/>
  <c r="S63" i="47"/>
  <c r="L63" i="47"/>
  <c r="AG60" i="47"/>
  <c r="V102" i="47" l="1"/>
  <c r="M102" i="47"/>
  <c r="O96" i="47"/>
  <c r="AI102" i="47"/>
  <c r="AT99" i="47"/>
  <c r="AP96" i="47"/>
  <c r="Z90" i="47"/>
  <c r="AA33" i="41"/>
  <c r="W96" i="47"/>
  <c r="AH102" i="47"/>
  <c r="L72" i="46"/>
  <c r="S96" i="47"/>
  <c r="V99" i="47"/>
  <c r="AD102" i="47"/>
  <c r="AT15" i="47"/>
  <c r="AM96" i="47"/>
  <c r="Z102" i="47"/>
  <c r="AS102" i="47"/>
  <c r="Z45" i="46"/>
  <c r="AL99" i="47"/>
  <c r="X24" i="43"/>
  <c r="Y21" i="46"/>
  <c r="O63" i="46"/>
  <c r="AD96" i="46"/>
  <c r="Z102" i="46"/>
  <c r="AG45" i="46"/>
  <c r="AH69" i="46"/>
  <c r="U39" i="43"/>
  <c r="W21" i="41"/>
  <c r="AA72" i="47"/>
  <c r="P99" i="46"/>
  <c r="Y102" i="43"/>
  <c r="N15" i="47"/>
  <c r="AD60" i="47"/>
  <c r="Y36" i="41"/>
  <c r="R72" i="47"/>
  <c r="Z9" i="43"/>
  <c r="AC18" i="41"/>
  <c r="AL48" i="47"/>
  <c r="N54" i="47"/>
  <c r="AJ102" i="47"/>
  <c r="AI78" i="46"/>
  <c r="N87" i="46"/>
  <c r="AB87" i="46"/>
  <c r="L99" i="47"/>
  <c r="W78" i="46"/>
  <c r="Z84" i="46"/>
  <c r="S102" i="47"/>
  <c r="AC99" i="47"/>
  <c r="AC30" i="41"/>
  <c r="S39" i="41"/>
  <c r="AP63" i="46"/>
  <c r="AR96" i="46"/>
  <c r="AK102" i="47"/>
  <c r="T102" i="47"/>
  <c r="AG102" i="47"/>
  <c r="T96" i="47"/>
  <c r="AU67" i="47" a="1"/>
  <c r="AU67" i="47" s="1"/>
  <c r="AU38" i="43" a="1"/>
  <c r="AU38" i="43" s="1"/>
  <c r="AU20" i="43" a="1"/>
  <c r="AU20" i="43" s="1"/>
  <c r="AU40" i="47" a="1"/>
  <c r="AU40" i="47" s="1"/>
  <c r="AU37" i="43" a="1"/>
  <c r="AU37" i="43" s="1"/>
  <c r="AU29" i="41" a="1"/>
  <c r="AU29" i="41" s="1"/>
  <c r="AU70" i="46" a="1"/>
  <c r="AU70" i="46" s="1"/>
  <c r="AU41" i="47" a="1"/>
  <c r="AU41" i="47" s="1"/>
  <c r="AU52" i="43" a="1"/>
  <c r="AU52" i="43" s="1"/>
  <c r="AU92" i="43" a="1"/>
  <c r="AU92" i="43" s="1"/>
  <c r="AU90" i="43" s="1"/>
  <c r="AU76" i="41" a="1"/>
  <c r="AU76" i="41" s="1"/>
  <c r="AU56" i="47" a="1"/>
  <c r="AU56" i="47" s="1"/>
  <c r="AU82" i="47" a="1"/>
  <c r="AU82" i="47" s="1"/>
  <c r="AU83" i="47" a="1"/>
  <c r="AU83" i="47" s="1"/>
  <c r="AU55" i="47" a="1"/>
  <c r="AU55" i="47" s="1"/>
  <c r="AU65" i="47" a="1"/>
  <c r="AU65" i="47" s="1"/>
  <c r="AU19" i="43" a="1"/>
  <c r="AU19" i="43" s="1"/>
  <c r="AU64" i="47" a="1"/>
  <c r="AU64" i="47" s="1"/>
  <c r="AU71" i="43" a="1"/>
  <c r="AU71" i="43" s="1"/>
  <c r="AU41" i="43" a="1"/>
  <c r="AU41" i="43" s="1"/>
  <c r="AU95" i="43" a="1"/>
  <c r="AU95" i="43" s="1"/>
  <c r="AU65" i="41" a="1"/>
  <c r="AU65" i="41" s="1"/>
  <c r="AU83" i="41" a="1"/>
  <c r="AU83" i="41" s="1"/>
  <c r="AU47" i="41" a="1"/>
  <c r="AU47" i="41" s="1"/>
  <c r="AU23" i="41" a="1"/>
  <c r="AU23" i="41" s="1"/>
  <c r="AU21" i="41" s="1"/>
  <c r="AU92" i="47" a="1"/>
  <c r="AU92" i="47" s="1"/>
  <c r="AU46" i="41" a="1"/>
  <c r="AU46" i="41" s="1"/>
  <c r="AU35" i="41" a="1"/>
  <c r="AU35" i="41" s="1"/>
  <c r="AU80" i="43" a="1"/>
  <c r="AU80" i="43" s="1"/>
  <c r="AU49" i="46" a="1"/>
  <c r="AU49" i="46" s="1"/>
  <c r="AU79" i="43" a="1"/>
  <c r="AU79" i="43" s="1"/>
  <c r="AU71" i="46" a="1"/>
  <c r="AU71" i="46" s="1"/>
  <c r="AU50" i="46" a="1"/>
  <c r="AU50" i="46" s="1"/>
  <c r="AU35" i="47" a="1"/>
  <c r="AU35" i="47" s="1"/>
  <c r="AU22" i="46" a="1"/>
  <c r="AU22" i="46" s="1"/>
  <c r="AU34" i="47" a="1"/>
  <c r="AU34" i="47" s="1"/>
  <c r="AU16" i="46" a="1"/>
  <c r="AU16" i="46" s="1"/>
  <c r="AU23" i="46" a="1"/>
  <c r="AU23" i="46" s="1"/>
  <c r="AU17" i="46" a="1"/>
  <c r="AU17" i="46" s="1"/>
  <c r="AU70" i="43" a="1"/>
  <c r="AU70" i="43" s="1"/>
  <c r="AU64" i="41" a="1"/>
  <c r="AU64" i="41" s="1"/>
  <c r="AU63" i="41" s="1"/>
  <c r="AU49" i="47" a="1"/>
  <c r="AU49" i="47" s="1"/>
  <c r="AU82" i="41" a="1"/>
  <c r="AU82" i="41" s="1"/>
  <c r="AU62" i="41" a="1"/>
  <c r="AU62" i="41" s="1"/>
  <c r="AU91" i="41" a="1"/>
  <c r="AU91" i="41" s="1"/>
  <c r="AU101" i="46" a="1"/>
  <c r="AU101" i="46" s="1"/>
  <c r="AU103" i="41" a="1"/>
  <c r="AU103" i="41" s="1"/>
  <c r="AU77" i="43" a="1"/>
  <c r="AU77" i="43" s="1"/>
  <c r="AU20" i="41" a="1"/>
  <c r="AU20" i="41" s="1"/>
  <c r="AU43" i="46" a="1"/>
  <c r="AU43" i="46" s="1"/>
  <c r="AU95" i="41" a="1"/>
  <c r="AU95" i="41" s="1"/>
  <c r="AU86" i="47" a="1"/>
  <c r="AU86" i="47" s="1"/>
  <c r="AU101" i="47" a="1"/>
  <c r="AU101" i="47" s="1"/>
  <c r="AU25" i="43" a="1"/>
  <c r="AU25" i="43" s="1"/>
  <c r="AU29" i="47" a="1"/>
  <c r="AU29" i="47" s="1"/>
  <c r="AU59" i="41" a="1"/>
  <c r="AU59" i="41" s="1"/>
  <c r="AU61" i="41" a="1"/>
  <c r="AU61" i="41" s="1"/>
  <c r="AU60" i="41" s="1"/>
  <c r="AU76" i="47" a="1"/>
  <c r="AU76" i="47" s="1"/>
  <c r="AU32" i="47" a="1"/>
  <c r="AU32" i="47" s="1"/>
  <c r="AU92" i="41" a="1"/>
  <c r="AU92" i="41" s="1"/>
  <c r="AU104" i="41" a="1"/>
  <c r="AU104" i="41" s="1"/>
  <c r="AU58" i="43" a="1"/>
  <c r="AU58" i="43" s="1"/>
  <c r="AU35" i="46" a="1"/>
  <c r="AU35" i="46" s="1"/>
  <c r="AU82" i="46" a="1"/>
  <c r="AU82" i="46" s="1"/>
  <c r="AU19" i="41" a="1"/>
  <c r="AU19" i="41" s="1"/>
  <c r="AU44" i="46" a="1"/>
  <c r="AU44" i="46" s="1"/>
  <c r="AU77" i="47" a="1"/>
  <c r="AU77" i="47" s="1"/>
  <c r="AU23" i="43" a="1"/>
  <c r="AU23" i="43" s="1"/>
  <c r="AU21" i="43" s="1"/>
  <c r="AU43" i="41" a="1"/>
  <c r="AU43" i="41" s="1"/>
  <c r="AU74" i="47" a="1"/>
  <c r="AU74" i="47" s="1"/>
  <c r="AU88" i="41" a="1"/>
  <c r="AU88" i="41" s="1"/>
  <c r="AU31" i="47" a="1"/>
  <c r="AU31" i="47" s="1"/>
  <c r="AU44" i="41" a="1"/>
  <c r="AU44" i="41" s="1"/>
  <c r="AU89" i="41" a="1"/>
  <c r="AU89" i="41" s="1"/>
  <c r="AU94" i="43" a="1"/>
  <c r="AU94" i="43" s="1"/>
  <c r="AU93" i="43" s="1"/>
  <c r="AU73" i="47" a="1"/>
  <c r="AU73" i="47" s="1"/>
  <c r="AU35" i="43" a="1"/>
  <c r="AU35" i="43" s="1"/>
  <c r="AU85" i="46" a="1"/>
  <c r="AU85" i="46" s="1"/>
  <c r="AU20" i="46" a="1"/>
  <c r="AU20" i="46" s="1"/>
  <c r="AU73" i="46" a="1"/>
  <c r="AU73" i="46" s="1"/>
  <c r="AU104" i="43" a="1"/>
  <c r="AU104" i="43" s="1"/>
  <c r="AU50" i="47" a="1"/>
  <c r="AU50" i="47" s="1"/>
  <c r="AU32" i="41" a="1"/>
  <c r="AU32" i="41" s="1"/>
  <c r="AU34" i="41" a="1"/>
  <c r="AU34" i="41" s="1"/>
  <c r="AU28" i="41" a="1"/>
  <c r="AU28" i="41" s="1"/>
  <c r="AU27" i="41" s="1"/>
  <c r="AU103" i="43" a="1"/>
  <c r="AU103" i="43" s="1"/>
  <c r="AU31" i="41" a="1"/>
  <c r="AU31" i="41" s="1"/>
  <c r="AU31" i="43" a="1"/>
  <c r="AU31" i="43" s="1"/>
  <c r="AU40" i="41" a="1"/>
  <c r="AU40" i="41" s="1"/>
  <c r="AU40" i="43" a="1"/>
  <c r="AU40" i="43" s="1"/>
  <c r="AU39" i="43" s="1"/>
  <c r="AU91" i="47" a="1"/>
  <c r="AU91" i="47" s="1"/>
  <c r="AU94" i="41" a="1"/>
  <c r="AU94" i="41" s="1"/>
  <c r="AU100" i="46" a="1"/>
  <c r="AU100" i="46" s="1"/>
  <c r="AU99" i="46" s="1"/>
  <c r="AU76" i="43" a="1"/>
  <c r="AU76" i="43" s="1"/>
  <c r="AU75" i="43" s="1"/>
  <c r="AU32" i="43" a="1"/>
  <c r="AU32" i="43" s="1"/>
  <c r="AU85" i="47" a="1"/>
  <c r="AU85" i="47" s="1"/>
  <c r="AU74" i="43" a="1"/>
  <c r="AU74" i="43" s="1"/>
  <c r="AU28" i="47" a="1"/>
  <c r="AU28" i="47" s="1"/>
  <c r="AU67" i="43" a="1"/>
  <c r="AU67" i="43" s="1"/>
  <c r="AU58" i="41" a="1"/>
  <c r="AU58" i="41" s="1"/>
  <c r="AU57" i="41" s="1"/>
  <c r="AU98" i="43" a="1"/>
  <c r="AU98" i="43" s="1"/>
  <c r="AU76" i="46" a="1"/>
  <c r="AU76" i="46" s="1"/>
  <c r="AU100" i="41" a="1"/>
  <c r="AU100" i="41" s="1"/>
  <c r="AU95" i="47" a="1"/>
  <c r="AU95" i="47" s="1"/>
  <c r="AU26" i="47" a="1"/>
  <c r="AU26" i="47" s="1"/>
  <c r="AU50" i="41" a="1"/>
  <c r="AU50" i="41" s="1"/>
  <c r="AU86" i="46" a="1"/>
  <c r="AU86" i="46" s="1"/>
  <c r="AU73" i="43" a="1"/>
  <c r="AU73" i="43" s="1"/>
  <c r="AU52" i="41" a="1"/>
  <c r="AU52" i="41" s="1"/>
  <c r="AU68" i="46" a="1"/>
  <c r="AU68" i="46" s="1"/>
  <c r="AU86" i="41" a="1"/>
  <c r="AU86" i="41" s="1"/>
  <c r="AU52" i="47" a="1"/>
  <c r="AU52" i="47" s="1"/>
  <c r="AU64" i="43" a="1"/>
  <c r="AU64" i="43" s="1"/>
  <c r="AU98" i="46" a="1"/>
  <c r="AU98" i="46" s="1"/>
  <c r="AU17" i="43" a="1"/>
  <c r="AU17" i="43" s="1"/>
  <c r="AU56" i="41" a="1"/>
  <c r="AU56" i="41" s="1"/>
  <c r="AU89" i="47" a="1"/>
  <c r="AU89" i="47" s="1"/>
  <c r="AU31" i="46" a="1"/>
  <c r="AU31" i="46" s="1"/>
  <c r="AU49" i="41" a="1"/>
  <c r="AU49" i="41" s="1"/>
  <c r="AU53" i="47" a="1"/>
  <c r="AU53" i="47" s="1"/>
  <c r="AU61" i="47" a="1"/>
  <c r="AU61" i="47" s="1"/>
  <c r="AU101" i="43" a="1"/>
  <c r="AU101" i="43" s="1"/>
  <c r="AU17" i="47" a="1"/>
  <c r="AU17" i="47" s="1"/>
  <c r="AU38" i="46" a="1"/>
  <c r="AU38" i="46" s="1"/>
  <c r="AU85" i="41" a="1"/>
  <c r="AU85" i="41" s="1"/>
  <c r="AU46" i="43" a="1"/>
  <c r="AU46" i="43" s="1"/>
  <c r="AU97" i="46" a="1"/>
  <c r="AU97" i="46" s="1"/>
  <c r="AU26" i="43" a="1"/>
  <c r="AU26" i="43" s="1"/>
  <c r="AU83" i="43" a="1"/>
  <c r="AU83" i="43" s="1"/>
  <c r="AU74" i="46" a="1"/>
  <c r="AU74" i="46" s="1"/>
  <c r="AU22" i="47" a="1"/>
  <c r="AU22" i="47" s="1"/>
  <c r="AU37" i="41" a="1"/>
  <c r="AU37" i="41" s="1"/>
  <c r="AU37" i="46" a="1"/>
  <c r="AU37" i="46" s="1"/>
  <c r="AU82" i="43" a="1"/>
  <c r="AU82" i="43" s="1"/>
  <c r="AU16" i="43" a="1"/>
  <c r="AU16" i="43" s="1"/>
  <c r="AU103" i="47" a="1"/>
  <c r="AU103" i="47" s="1"/>
  <c r="AU56" i="46" a="1"/>
  <c r="AU56" i="46" s="1"/>
  <c r="AU58" i="46" a="1"/>
  <c r="AU58" i="46" s="1"/>
  <c r="AU95" i="46" a="1"/>
  <c r="AU95" i="46" s="1"/>
  <c r="AU88" i="43" a="1"/>
  <c r="AU88" i="43" s="1"/>
  <c r="AU71" i="47" a="1"/>
  <c r="AU71" i="47" s="1"/>
  <c r="AU23" i="47" a="1"/>
  <c r="AU23" i="47" s="1"/>
  <c r="AU38" i="41" a="1"/>
  <c r="AU38" i="41" s="1"/>
  <c r="AU61" i="46" a="1"/>
  <c r="AU61" i="46" s="1"/>
  <c r="AU89" i="46" a="1"/>
  <c r="AU89" i="46" s="1"/>
  <c r="AU62" i="46" a="1"/>
  <c r="AU62" i="46" s="1"/>
  <c r="AU16" i="41" a="1"/>
  <c r="AU16" i="41" s="1"/>
  <c r="AU77" i="41" a="1"/>
  <c r="AU77" i="41" s="1"/>
  <c r="AU41" i="41" a="1"/>
  <c r="AU41" i="41" s="1"/>
  <c r="AU89" i="43" a="1"/>
  <c r="AU89" i="43" s="1"/>
  <c r="AU70" i="47" a="1"/>
  <c r="AU70" i="47" s="1"/>
  <c r="AU59" i="43" a="1"/>
  <c r="AU59" i="43" s="1"/>
  <c r="AU97" i="43" a="1"/>
  <c r="AU97" i="43" s="1"/>
  <c r="AU96" i="43" s="1"/>
  <c r="AU88" i="46" a="1"/>
  <c r="AU88" i="46" s="1"/>
  <c r="AU43" i="47" a="1"/>
  <c r="AU43" i="47" s="1"/>
  <c r="AU70" i="41" a="1"/>
  <c r="AU70" i="41" s="1"/>
  <c r="AU65" i="43" a="1"/>
  <c r="AU65" i="43" s="1"/>
  <c r="AU71" i="41" a="1"/>
  <c r="AU71" i="41" s="1"/>
  <c r="AU46" i="47" a="1"/>
  <c r="AU46" i="47" s="1"/>
  <c r="AU53" i="41" a="1"/>
  <c r="AU53" i="41" s="1"/>
  <c r="AU80" i="41" a="1"/>
  <c r="AU80" i="41" s="1"/>
  <c r="AU19" i="46" a="1"/>
  <c r="AU19" i="46" s="1"/>
  <c r="AU18" i="46" s="1"/>
  <c r="AU97" i="41" a="1"/>
  <c r="AU97" i="41" s="1"/>
  <c r="AU44" i="47" a="1"/>
  <c r="AU44" i="47" s="1"/>
  <c r="AU79" i="46" a="1"/>
  <c r="AU79" i="46" s="1"/>
  <c r="AU38" i="47" a="1"/>
  <c r="AU38" i="47" s="1"/>
  <c r="AU26" i="41" a="1"/>
  <c r="AU26" i="41" s="1"/>
  <c r="AU100" i="47" a="1"/>
  <c r="AU100" i="47" s="1"/>
  <c r="AU99" i="47" s="1"/>
  <c r="AU68" i="43" a="1"/>
  <c r="AU68" i="43" s="1"/>
  <c r="AU34" i="46" a="1"/>
  <c r="AU34" i="46" s="1"/>
  <c r="AU33" i="46" s="1"/>
  <c r="AU68" i="41" a="1"/>
  <c r="AU68" i="41" s="1"/>
  <c r="AU29" i="43" a="1"/>
  <c r="AU29" i="43" s="1"/>
  <c r="AU49" i="43" a="1"/>
  <c r="AU49" i="43" s="1"/>
  <c r="AU98" i="41" a="1"/>
  <c r="AU98" i="41" s="1"/>
  <c r="AU59" i="47" a="1"/>
  <c r="AU59" i="47" s="1"/>
  <c r="AU44" i="43" a="1"/>
  <c r="AU44" i="43" s="1"/>
  <c r="AU42" i="43" s="1"/>
  <c r="AU79" i="47" a="1"/>
  <c r="AU79" i="47" s="1"/>
  <c r="AU78" i="47" s="1"/>
  <c r="AU28" i="46" a="1"/>
  <c r="AU28" i="46" s="1"/>
  <c r="AU103" i="46" a="1"/>
  <c r="AU103" i="46" s="1"/>
  <c r="AU50" i="43" a="1"/>
  <c r="AU50" i="43" s="1"/>
  <c r="AU53" i="46" a="1"/>
  <c r="AU53" i="46" s="1"/>
  <c r="AU73" i="41" a="1"/>
  <c r="AU73" i="41" s="1"/>
  <c r="AU47" i="46" a="1"/>
  <c r="AU47" i="46" s="1"/>
  <c r="AU104" i="46" a="1"/>
  <c r="AU104" i="46" s="1"/>
  <c r="AU34" i="43" a="1"/>
  <c r="AU34" i="43" s="1"/>
  <c r="AU33" i="43" s="1"/>
  <c r="AU67" i="41" a="1"/>
  <c r="AU67" i="41" s="1"/>
  <c r="AU67" i="46" a="1"/>
  <c r="AU67" i="46" s="1"/>
  <c r="AU101" i="41" a="1"/>
  <c r="AU101" i="41" s="1"/>
  <c r="AU28" i="43" a="1"/>
  <c r="AU28" i="43" s="1"/>
  <c r="AU77" i="46" a="1"/>
  <c r="AU77" i="46" s="1"/>
  <c r="AU52" i="46" a="1"/>
  <c r="AU52" i="46" s="1"/>
  <c r="AU17" i="41" a="1"/>
  <c r="AU17" i="41" s="1"/>
  <c r="AU64" i="46" a="1"/>
  <c r="AU64" i="46" s="1"/>
  <c r="AU88" i="47" a="1"/>
  <c r="AU88" i="47" s="1"/>
  <c r="AU87" i="47" s="1"/>
  <c r="AU92" i="46" a="1"/>
  <c r="AU92" i="46" s="1"/>
  <c r="AU91" i="46" a="1"/>
  <c r="AU91" i="46" s="1"/>
  <c r="AU47" i="47" a="1"/>
  <c r="AU47" i="47" s="1"/>
  <c r="AU25" i="47" a="1"/>
  <c r="AU25" i="47" s="1"/>
  <c r="AU24" i="47" s="1"/>
  <c r="AU83" i="46" a="1"/>
  <c r="AU83" i="46" s="1"/>
  <c r="AU16" i="47" a="1"/>
  <c r="AU16" i="47" s="1"/>
  <c r="AU79" i="41" a="1"/>
  <c r="AU79" i="41" s="1"/>
  <c r="AU78" i="41" s="1"/>
  <c r="AU56" i="43" a="1"/>
  <c r="AU56" i="43" s="1"/>
  <c r="AU94" i="46" a="1"/>
  <c r="AU94" i="46" s="1"/>
  <c r="AU55" i="43" a="1"/>
  <c r="AU55" i="43" s="1"/>
  <c r="AU97" i="47" a="1"/>
  <c r="AU97" i="47" s="1"/>
  <c r="AU98" i="47" a="1"/>
  <c r="AU98" i="47" s="1"/>
  <c r="J102" i="47"/>
  <c r="AN91" i="41" a="1"/>
  <c r="AN91" i="41" s="1"/>
  <c r="AN86" i="41" a="1"/>
  <c r="AN86" i="41" s="1"/>
  <c r="AN84" i="41" s="1"/>
  <c r="AN100" i="46" a="1"/>
  <c r="AN100" i="46" s="1"/>
  <c r="AN101" i="46" a="1"/>
  <c r="AN101" i="46" s="1"/>
  <c r="AN58" i="41" a="1"/>
  <c r="AN58" i="41" s="1"/>
  <c r="AN59" i="41" a="1"/>
  <c r="AN59" i="41" s="1"/>
  <c r="AN44" i="41" a="1"/>
  <c r="AN44" i="41" s="1"/>
  <c r="AN70" i="41" a="1"/>
  <c r="AN70" i="41" s="1"/>
  <c r="AN71" i="41" a="1"/>
  <c r="AN71" i="41" s="1"/>
  <c r="AN58" i="43" a="1"/>
  <c r="AN58" i="43" s="1"/>
  <c r="AN20" i="43" a="1"/>
  <c r="AN20" i="43" s="1"/>
  <c r="AN59" i="43" a="1"/>
  <c r="AN59" i="43" s="1"/>
  <c r="AN19" i="43" a="1"/>
  <c r="AN19" i="43" s="1"/>
  <c r="AN29" i="46" a="1"/>
  <c r="AN29" i="46" s="1"/>
  <c r="AN92" i="41" a="1"/>
  <c r="AN92" i="41" s="1"/>
  <c r="AN62" i="41" a="1"/>
  <c r="AN62" i="41" s="1"/>
  <c r="AN28" i="46" a="1"/>
  <c r="AN28" i="46" s="1"/>
  <c r="AN58" i="47" a="1"/>
  <c r="AN58" i="47" s="1"/>
  <c r="AN38" i="46" a="1"/>
  <c r="AN38" i="46" s="1"/>
  <c r="AN59" i="47" a="1"/>
  <c r="AN59" i="47" s="1"/>
  <c r="AN52" i="43" a="1"/>
  <c r="AN52" i="43" s="1"/>
  <c r="AN55" i="47" a="1"/>
  <c r="AN55" i="47" s="1"/>
  <c r="AN23" i="41" a="1"/>
  <c r="AN23" i="41" s="1"/>
  <c r="AN21" i="41" s="1"/>
  <c r="AN53" i="43" a="1"/>
  <c r="AN53" i="43" s="1"/>
  <c r="AN56" i="47" a="1"/>
  <c r="AN56" i="47" s="1"/>
  <c r="AN85" i="43" a="1"/>
  <c r="AN85" i="43" s="1"/>
  <c r="AN86" i="43" a="1"/>
  <c r="AN86" i="43" s="1"/>
  <c r="AN98" i="41" a="1"/>
  <c r="AN98" i="41" s="1"/>
  <c r="AN74" i="43" a="1"/>
  <c r="AN74" i="43" s="1"/>
  <c r="AN64" i="46" a="1"/>
  <c r="AN64" i="46" s="1"/>
  <c r="AN73" i="43" a="1"/>
  <c r="AN73" i="43" s="1"/>
  <c r="AN65" i="46" a="1"/>
  <c r="AN65" i="46" s="1"/>
  <c r="AN62" i="43" a="1"/>
  <c r="AN62" i="43" s="1"/>
  <c r="AN67" i="43" a="1"/>
  <c r="AN67" i="43" s="1"/>
  <c r="AN41" i="43" a="1"/>
  <c r="AN41" i="43" s="1"/>
  <c r="AN68" i="46" a="1"/>
  <c r="AN68" i="46" s="1"/>
  <c r="AN37" i="43" a="1"/>
  <c r="AN37" i="43" s="1"/>
  <c r="AN40" i="43" a="1"/>
  <c r="AN40" i="43" s="1"/>
  <c r="AN62" i="47" a="1"/>
  <c r="AN62" i="47" s="1"/>
  <c r="AN53" i="46" a="1"/>
  <c r="AN53" i="46" s="1"/>
  <c r="AN17" i="43" a="1"/>
  <c r="AN17" i="43" s="1"/>
  <c r="AN17" i="46" a="1"/>
  <c r="AN17" i="46" s="1"/>
  <c r="AN50" i="46" a="1"/>
  <c r="AN50" i="46" s="1"/>
  <c r="AN65" i="41" a="1"/>
  <c r="AN65" i="41" s="1"/>
  <c r="AN82" i="41" a="1"/>
  <c r="AN82" i="41" s="1"/>
  <c r="AN88" i="43" a="1"/>
  <c r="AN88" i="43" s="1"/>
  <c r="AN37" i="47" a="1"/>
  <c r="AN37" i="47" s="1"/>
  <c r="AN80" i="41" a="1"/>
  <c r="AN80" i="41" s="1"/>
  <c r="AN56" i="41" a="1"/>
  <c r="AN56" i="41" s="1"/>
  <c r="AN91" i="46" a="1"/>
  <c r="AN91" i="46" s="1"/>
  <c r="AN52" i="46" a="1"/>
  <c r="AN52" i="46" s="1"/>
  <c r="AN59" i="46" a="1"/>
  <c r="AN59" i="46" s="1"/>
  <c r="AN83" i="41" a="1"/>
  <c r="AN83" i="41" s="1"/>
  <c r="AN89" i="43" a="1"/>
  <c r="AN89" i="43" s="1"/>
  <c r="AN38" i="47" a="1"/>
  <c r="AN38" i="47" s="1"/>
  <c r="AN52" i="41" a="1"/>
  <c r="AN52" i="41" s="1"/>
  <c r="AN23" i="43" a="1"/>
  <c r="AN23" i="43" s="1"/>
  <c r="AN21" i="43" s="1"/>
  <c r="AN58" i="46" a="1"/>
  <c r="AN58" i="46" s="1"/>
  <c r="AN76" i="41" a="1"/>
  <c r="AN76" i="41" s="1"/>
  <c r="AN43" i="41" a="1"/>
  <c r="AN43" i="41" s="1"/>
  <c r="AN42" i="41" s="1"/>
  <c r="AN56" i="46" a="1"/>
  <c r="AN56" i="46" s="1"/>
  <c r="AN53" i="41" a="1"/>
  <c r="AN53" i="41" s="1"/>
  <c r="AN101" i="41" a="1"/>
  <c r="AN101" i="41" s="1"/>
  <c r="AN77" i="41" a="1"/>
  <c r="AN77" i="41" s="1"/>
  <c r="AN55" i="46" a="1"/>
  <c r="AN55" i="46" s="1"/>
  <c r="AN49" i="47" a="1"/>
  <c r="AN49" i="47" s="1"/>
  <c r="AN43" i="47" a="1"/>
  <c r="AN43" i="47" s="1"/>
  <c r="AN61" i="43" a="1"/>
  <c r="AN61" i="43" s="1"/>
  <c r="AN70" i="47" a="1"/>
  <c r="AN70" i="47" s="1"/>
  <c r="AN100" i="41" a="1"/>
  <c r="AN100" i="41" s="1"/>
  <c r="AN97" i="43" a="1"/>
  <c r="AN97" i="43" s="1"/>
  <c r="AN68" i="43" a="1"/>
  <c r="AN68" i="43" s="1"/>
  <c r="AN61" i="41" a="1"/>
  <c r="AN61" i="41" s="1"/>
  <c r="AN67" i="46" a="1"/>
  <c r="AN67" i="46" s="1"/>
  <c r="AN38" i="43" a="1"/>
  <c r="AN38" i="43" s="1"/>
  <c r="AN56" i="43" a="1"/>
  <c r="AN56" i="43" s="1"/>
  <c r="AN50" i="47" a="1"/>
  <c r="AN50" i="47" s="1"/>
  <c r="AN44" i="47" a="1"/>
  <c r="AN44" i="47" s="1"/>
  <c r="AN71" i="47" a="1"/>
  <c r="AN71" i="47" s="1"/>
  <c r="AN64" i="41" a="1"/>
  <c r="AN64" i="41" s="1"/>
  <c r="AN63" i="41" s="1"/>
  <c r="AN61" i="47" a="1"/>
  <c r="AN61" i="47" s="1"/>
  <c r="AN60" i="47" s="1"/>
  <c r="AN16" i="46" a="1"/>
  <c r="AN16" i="46" s="1"/>
  <c r="AN15" i="46" s="1"/>
  <c r="AN19" i="47" a="1"/>
  <c r="AN19" i="47" s="1"/>
  <c r="AN55" i="41" a="1"/>
  <c r="AN55" i="41" s="1"/>
  <c r="AN41" i="46" a="1"/>
  <c r="AN41" i="46" s="1"/>
  <c r="AN37" i="41" a="1"/>
  <c r="AN37" i="41" s="1"/>
  <c r="AN46" i="41" a="1"/>
  <c r="AN46" i="41" s="1"/>
  <c r="AN45" i="41" s="1"/>
  <c r="AN74" i="46" a="1"/>
  <c r="AN74" i="46" s="1"/>
  <c r="AN89" i="46" a="1"/>
  <c r="AN89" i="46" s="1"/>
  <c r="AN85" i="47" a="1"/>
  <c r="AN85" i="47" s="1"/>
  <c r="AN49" i="41" a="1"/>
  <c r="AN49" i="41" s="1"/>
  <c r="AN88" i="47" a="1"/>
  <c r="AN88" i="47" s="1"/>
  <c r="AN32" i="47" a="1"/>
  <c r="AN32" i="47" s="1"/>
  <c r="AN30" i="47" s="1"/>
  <c r="AN26" i="46" a="1"/>
  <c r="AN26" i="46" s="1"/>
  <c r="AN92" i="46" a="1"/>
  <c r="AN92" i="46" s="1"/>
  <c r="AN40" i="46" a="1"/>
  <c r="AN40" i="46" s="1"/>
  <c r="AN38" i="41" a="1"/>
  <c r="AN38" i="41" s="1"/>
  <c r="AN94" i="43" a="1"/>
  <c r="AN94" i="43" s="1"/>
  <c r="AN32" i="41" a="1"/>
  <c r="AN32" i="41" s="1"/>
  <c r="AN61" i="46" a="1"/>
  <c r="AN61" i="46" s="1"/>
  <c r="AN95" i="46" a="1"/>
  <c r="AN95" i="46" s="1"/>
  <c r="AN20" i="46" a="1"/>
  <c r="AN20" i="46" s="1"/>
  <c r="AN65" i="47" a="1"/>
  <c r="AN65" i="47" s="1"/>
  <c r="AN82" i="47" a="1"/>
  <c r="AN82" i="47" s="1"/>
  <c r="AN83" i="46" a="1"/>
  <c r="AN83" i="46" s="1"/>
  <c r="AN64" i="43" a="1"/>
  <c r="AN64" i="43" s="1"/>
  <c r="AN63" i="43" s="1"/>
  <c r="AN91" i="43" a="1"/>
  <c r="AN91" i="43" s="1"/>
  <c r="AN29" i="43" a="1"/>
  <c r="AN29" i="43" s="1"/>
  <c r="AN47" i="47" a="1"/>
  <c r="AN47" i="47" s="1"/>
  <c r="AN34" i="46" a="1"/>
  <c r="AN34" i="46" s="1"/>
  <c r="AN25" i="46" a="1"/>
  <c r="AN25" i="46" s="1"/>
  <c r="AN26" i="43" a="1"/>
  <c r="AN26" i="43" s="1"/>
  <c r="AN24" i="43" s="1"/>
  <c r="AN83" i="47" a="1"/>
  <c r="AN83" i="47" s="1"/>
  <c r="AN82" i="46" a="1"/>
  <c r="AN82" i="46" s="1"/>
  <c r="AN44" i="46" a="1"/>
  <c r="AN44" i="46" s="1"/>
  <c r="AN19" i="41" a="1"/>
  <c r="AN19" i="41" s="1"/>
  <c r="AN41" i="41" a="1"/>
  <c r="AN41" i="41" s="1"/>
  <c r="AN39" i="41" s="1"/>
  <c r="AN79" i="47" a="1"/>
  <c r="AN79" i="47" s="1"/>
  <c r="AN67" i="41" a="1"/>
  <c r="AN67" i="41" s="1"/>
  <c r="AN17" i="41" a="1"/>
  <c r="AN17" i="41" s="1"/>
  <c r="AN15" i="41" s="1"/>
  <c r="AN28" i="43" a="1"/>
  <c r="AN28" i="43" s="1"/>
  <c r="AN101" i="43" a="1"/>
  <c r="AN101" i="43" s="1"/>
  <c r="AN22" i="46" a="1"/>
  <c r="AN22" i="46" s="1"/>
  <c r="AN43" i="43" a="1"/>
  <c r="AN43" i="43" s="1"/>
  <c r="AN80" i="43" a="1"/>
  <c r="AN80" i="43" s="1"/>
  <c r="AN78" i="43" s="1"/>
  <c r="AN22" i="47" a="1"/>
  <c r="AN22" i="47" s="1"/>
  <c r="AN21" i="47" s="1"/>
  <c r="AN100" i="43" a="1"/>
  <c r="AN100" i="43" s="1"/>
  <c r="AN26" i="47" a="1"/>
  <c r="AN26" i="47" s="1"/>
  <c r="AN40" i="47" a="1"/>
  <c r="AN40" i="47" s="1"/>
  <c r="AN39" i="47" s="1"/>
  <c r="AN62" i="46" a="1"/>
  <c r="AN62" i="46" s="1"/>
  <c r="AN86" i="47" a="1"/>
  <c r="AN86" i="47" s="1"/>
  <c r="AN20" i="41" a="1"/>
  <c r="AN20" i="41" s="1"/>
  <c r="AN43" i="46" a="1"/>
  <c r="AN43" i="46" s="1"/>
  <c r="AN68" i="41" a="1"/>
  <c r="AN68" i="41" s="1"/>
  <c r="AN79" i="41" a="1"/>
  <c r="AN79" i="41" s="1"/>
  <c r="AN78" i="41" s="1"/>
  <c r="AN55" i="43" a="1"/>
  <c r="AN55" i="43" s="1"/>
  <c r="AN54" i="43" s="1"/>
  <c r="AN49" i="46" a="1"/>
  <c r="AN49" i="46" s="1"/>
  <c r="AN48" i="46" s="1"/>
  <c r="AN20" i="47" a="1"/>
  <c r="AN20" i="47" s="1"/>
  <c r="AN44" i="43" a="1"/>
  <c r="AN44" i="43" s="1"/>
  <c r="AN97" i="46" a="1"/>
  <c r="AN97" i="46" s="1"/>
  <c r="AN91" i="47" a="1"/>
  <c r="AN91" i="47" s="1"/>
  <c r="AN29" i="41" a="1"/>
  <c r="AN29" i="41" s="1"/>
  <c r="AN27" i="41" s="1"/>
  <c r="AN25" i="47" a="1"/>
  <c r="AN25" i="47" s="1"/>
  <c r="AN47" i="43" a="1"/>
  <c r="AN47" i="43" s="1"/>
  <c r="AN89" i="47" a="1"/>
  <c r="AN89" i="47" s="1"/>
  <c r="AN95" i="41" a="1"/>
  <c r="AN95" i="41" s="1"/>
  <c r="AN104" i="47" a="1"/>
  <c r="AN104" i="47" s="1"/>
  <c r="AN103" i="46" a="1"/>
  <c r="AN103" i="46" s="1"/>
  <c r="AN74" i="41" a="1"/>
  <c r="AN74" i="41" s="1"/>
  <c r="AN46" i="43" a="1"/>
  <c r="AN46" i="43" s="1"/>
  <c r="AN80" i="47" a="1"/>
  <c r="AN80" i="47" s="1"/>
  <c r="AN35" i="47" a="1"/>
  <c r="AN35" i="47" s="1"/>
  <c r="AN46" i="47" a="1"/>
  <c r="AN46" i="47" s="1"/>
  <c r="AN71" i="46" a="1"/>
  <c r="AN71" i="46" s="1"/>
  <c r="AN76" i="47" a="1"/>
  <c r="AN76" i="47" s="1"/>
  <c r="AN75" i="47" s="1"/>
  <c r="AN92" i="47" a="1"/>
  <c r="AN92" i="47" s="1"/>
  <c r="AN97" i="47" a="1"/>
  <c r="AN97" i="47" s="1"/>
  <c r="AN34" i="41" a="1"/>
  <c r="AN34" i="41" s="1"/>
  <c r="AN33" i="41" s="1"/>
  <c r="AN34" i="43" a="1"/>
  <c r="AN34" i="43" s="1"/>
  <c r="AN32" i="46" a="1"/>
  <c r="AN32" i="46" s="1"/>
  <c r="AN30" i="46" s="1"/>
  <c r="AN80" i="46" a="1"/>
  <c r="AN80" i="46" s="1"/>
  <c r="AN78" i="46" s="1"/>
  <c r="AN86" i="46" a="1"/>
  <c r="AN86" i="46" s="1"/>
  <c r="AN29" i="47" a="1"/>
  <c r="AN29" i="47" s="1"/>
  <c r="AN35" i="43" a="1"/>
  <c r="AN35" i="43" s="1"/>
  <c r="AN89" i="41" a="1"/>
  <c r="AN89" i="41" s="1"/>
  <c r="AN92" i="43" a="1"/>
  <c r="AN92" i="43" s="1"/>
  <c r="AN98" i="47" a="1"/>
  <c r="AN98" i="47" s="1"/>
  <c r="AN104" i="46" a="1"/>
  <c r="AN104" i="46" s="1"/>
  <c r="AN16" i="47" a="1"/>
  <c r="AN16" i="47" s="1"/>
  <c r="AN15" i="47" s="1"/>
  <c r="AN98" i="43" a="1"/>
  <c r="AN98" i="43" s="1"/>
  <c r="AN23" i="46" a="1"/>
  <c r="AN23" i="46" s="1"/>
  <c r="AN73" i="46" a="1"/>
  <c r="AN73" i="46" s="1"/>
  <c r="AN72" i="46" s="1"/>
  <c r="AN88" i="41" a="1"/>
  <c r="AN88" i="41" s="1"/>
  <c r="AN35" i="46" a="1"/>
  <c r="AN35" i="46" s="1"/>
  <c r="AN50" i="41" a="1"/>
  <c r="AN50" i="41" s="1"/>
  <c r="AN70" i="43" a="1"/>
  <c r="AN70" i="43" s="1"/>
  <c r="AN76" i="43" a="1"/>
  <c r="AN76" i="43" s="1"/>
  <c r="AN73" i="41" a="1"/>
  <c r="AN73" i="41" s="1"/>
  <c r="AN72" i="41" s="1"/>
  <c r="AN77" i="43" a="1"/>
  <c r="AN77" i="43" s="1"/>
  <c r="AN16" i="43" a="1"/>
  <c r="AN16" i="43" s="1"/>
  <c r="AN15" i="43" s="1"/>
  <c r="AB84" i="47"/>
  <c r="AE102" i="47"/>
  <c r="AU93" i="47"/>
  <c r="AN93" i="43"/>
  <c r="AG9" i="41"/>
  <c r="P57" i="47"/>
  <c r="L57" i="41"/>
  <c r="K66" i="47"/>
  <c r="AT102" i="43"/>
  <c r="AU45" i="46"/>
  <c r="AK90" i="47"/>
  <c r="CT124" i="4"/>
  <c r="I85" i="46" a="1"/>
  <c r="I85" i="46" s="1"/>
  <c r="I86" i="46" a="1"/>
  <c r="I86" i="46" s="1"/>
  <c r="I104" i="41" a="1"/>
  <c r="I104" i="41" s="1"/>
  <c r="I102" i="41" s="1"/>
  <c r="I89" i="43" a="1"/>
  <c r="I89" i="43" s="1"/>
  <c r="I49" i="43" a="1"/>
  <c r="I49" i="43" s="1"/>
  <c r="I43" i="41" a="1"/>
  <c r="I43" i="41" s="1"/>
  <c r="I44" i="41" a="1"/>
  <c r="I44" i="41" s="1"/>
  <c r="I88" i="43" a="1"/>
  <c r="I88" i="43" s="1"/>
  <c r="I103" i="47" a="1"/>
  <c r="I103" i="47" s="1"/>
  <c r="I104" i="47" a="1"/>
  <c r="I104" i="47" s="1"/>
  <c r="I97" i="41" a="1"/>
  <c r="I97" i="41" s="1"/>
  <c r="I98" i="41" a="1"/>
  <c r="I98" i="41" s="1"/>
  <c r="I70" i="47" a="1"/>
  <c r="I70" i="47" s="1"/>
  <c r="I71" i="47" a="1"/>
  <c r="I71" i="47" s="1"/>
  <c r="I67" i="46" a="1"/>
  <c r="I67" i="46" s="1"/>
  <c r="I53" i="46" a="1"/>
  <c r="I53" i="46" s="1"/>
  <c r="I68" i="46" a="1"/>
  <c r="I68" i="46" s="1"/>
  <c r="I52" i="46" a="1"/>
  <c r="I52" i="46" s="1"/>
  <c r="I70" i="43" a="1"/>
  <c r="I70" i="43" s="1"/>
  <c r="I88" i="47" a="1"/>
  <c r="I88" i="47" s="1"/>
  <c r="I71" i="43" a="1"/>
  <c r="I71" i="43" s="1"/>
  <c r="I101" i="47" a="1"/>
  <c r="I101" i="47" s="1"/>
  <c r="I80" i="43" a="1"/>
  <c r="I80" i="43" s="1"/>
  <c r="I101" i="41" a="1"/>
  <c r="I101" i="41" s="1"/>
  <c r="I43" i="47" a="1"/>
  <c r="I43" i="47" s="1"/>
  <c r="I47" i="41" a="1"/>
  <c r="I47" i="41" s="1"/>
  <c r="I20" i="43" a="1"/>
  <c r="I20" i="43" s="1"/>
  <c r="I50" i="43" a="1"/>
  <c r="I50" i="43" s="1"/>
  <c r="I44" i="47" a="1"/>
  <c r="I44" i="47" s="1"/>
  <c r="I19" i="43" a="1"/>
  <c r="I19" i="43" s="1"/>
  <c r="I62" i="47" a="1"/>
  <c r="I62" i="47" s="1"/>
  <c r="I43" i="46" a="1"/>
  <c r="I43" i="46" s="1"/>
  <c r="I23" i="43" a="1"/>
  <c r="I23" i="43" s="1"/>
  <c r="I21" i="43" s="1"/>
  <c r="I44" i="43" a="1"/>
  <c r="I44" i="43" s="1"/>
  <c r="I32" i="46" a="1"/>
  <c r="I32" i="46" s="1"/>
  <c r="I58" i="41" a="1"/>
  <c r="I58" i="41" s="1"/>
  <c r="I91" i="41" a="1"/>
  <c r="I91" i="41" s="1"/>
  <c r="I71" i="41" a="1"/>
  <c r="I71" i="41" s="1"/>
  <c r="I52" i="43" a="1"/>
  <c r="I52" i="43" s="1"/>
  <c r="I34" i="41" a="1"/>
  <c r="I34" i="41" s="1"/>
  <c r="I46" i="41" a="1"/>
  <c r="I46" i="41" s="1"/>
  <c r="I49" i="47" a="1"/>
  <c r="I49" i="47" s="1"/>
  <c r="I79" i="46" a="1"/>
  <c r="I79" i="46" s="1"/>
  <c r="I83" i="46" a="1"/>
  <c r="I83" i="46" s="1"/>
  <c r="I97" i="47" a="1"/>
  <c r="I97" i="47" s="1"/>
  <c r="I77" i="47" a="1"/>
  <c r="I77" i="47" s="1"/>
  <c r="I95" i="46" a="1"/>
  <c r="I95" i="46" s="1"/>
  <c r="I34" i="47" a="1"/>
  <c r="I34" i="47" s="1"/>
  <c r="I92" i="41" a="1"/>
  <c r="I92" i="41" s="1"/>
  <c r="I23" i="47" a="1"/>
  <c r="I23" i="47" s="1"/>
  <c r="I35" i="41" a="1"/>
  <c r="I35" i="41" s="1"/>
  <c r="I35" i="46" a="1"/>
  <c r="I35" i="46" s="1"/>
  <c r="I43" i="43" a="1"/>
  <c r="I43" i="43" s="1"/>
  <c r="I100" i="47" a="1"/>
  <c r="I100" i="47" s="1"/>
  <c r="I64" i="41" a="1"/>
  <c r="I64" i="41" s="1"/>
  <c r="I98" i="47" a="1"/>
  <c r="I98" i="47" s="1"/>
  <c r="I89" i="47" a="1"/>
  <c r="I89" i="47" s="1"/>
  <c r="I104" i="46" a="1"/>
  <c r="I104" i="46" s="1"/>
  <c r="I35" i="47" a="1"/>
  <c r="I35" i="47" s="1"/>
  <c r="I88" i="41" a="1"/>
  <c r="I88" i="41" s="1"/>
  <c r="I67" i="41" a="1"/>
  <c r="I67" i="41" s="1"/>
  <c r="I22" i="47" a="1"/>
  <c r="I22" i="47" s="1"/>
  <c r="I21" i="47" s="1"/>
  <c r="I37" i="41" a="1"/>
  <c r="I37" i="41" s="1"/>
  <c r="I44" i="46" a="1"/>
  <c r="I44" i="46" s="1"/>
  <c r="I34" i="43" a="1"/>
  <c r="I34" i="43" s="1"/>
  <c r="I89" i="41" a="1"/>
  <c r="I89" i="41" s="1"/>
  <c r="I79" i="43" a="1"/>
  <c r="I79" i="43" s="1"/>
  <c r="I65" i="41" a="1"/>
  <c r="I65" i="41" s="1"/>
  <c r="I68" i="41" a="1"/>
  <c r="I68" i="41" s="1"/>
  <c r="I71" i="46" a="1"/>
  <c r="I71" i="46" s="1"/>
  <c r="I25" i="46" a="1"/>
  <c r="I25" i="46" s="1"/>
  <c r="I38" i="41" a="1"/>
  <c r="I38" i="41" s="1"/>
  <c r="I73" i="41" a="1"/>
  <c r="I73" i="41" s="1"/>
  <c r="I68" i="43" a="1"/>
  <c r="I68" i="43" s="1"/>
  <c r="I91" i="47" a="1"/>
  <c r="I91" i="47" s="1"/>
  <c r="I46" i="46" a="1"/>
  <c r="I46" i="46" s="1"/>
  <c r="I35" i="43" a="1"/>
  <c r="I35" i="43" s="1"/>
  <c r="I41" i="43" a="1"/>
  <c r="I41" i="43" s="1"/>
  <c r="I92" i="47" a="1"/>
  <c r="I92" i="47" s="1"/>
  <c r="I47" i="46" a="1"/>
  <c r="I47" i="46" s="1"/>
  <c r="I86" i="47" a="1"/>
  <c r="I86" i="47" s="1"/>
  <c r="I17" i="46" a="1"/>
  <c r="I17" i="46" s="1"/>
  <c r="I85" i="47" a="1"/>
  <c r="I85" i="47" s="1"/>
  <c r="I59" i="41" a="1"/>
  <c r="I59" i="41" s="1"/>
  <c r="I70" i="41" a="1"/>
  <c r="I70" i="41" s="1"/>
  <c r="I53" i="43" a="1"/>
  <c r="I53" i="43" s="1"/>
  <c r="I16" i="46" a="1"/>
  <c r="I16" i="46" s="1"/>
  <c r="I83" i="47" a="1"/>
  <c r="I83" i="47" s="1"/>
  <c r="I31" i="46" a="1"/>
  <c r="I31" i="46" s="1"/>
  <c r="I50" i="47" a="1"/>
  <c r="I50" i="47" s="1"/>
  <c r="I80" i="46" a="1"/>
  <c r="I80" i="46" s="1"/>
  <c r="I82" i="46" a="1"/>
  <c r="I82" i="46" s="1"/>
  <c r="I81" i="46" s="1"/>
  <c r="I76" i="47" a="1"/>
  <c r="I76" i="47" s="1"/>
  <c r="I34" i="46" a="1"/>
  <c r="I34" i="46" s="1"/>
  <c r="I41" i="46" a="1"/>
  <c r="I41" i="46" s="1"/>
  <c r="I31" i="43" a="1"/>
  <c r="I31" i="43" s="1"/>
  <c r="I50" i="41" a="1"/>
  <c r="I50" i="41" s="1"/>
  <c r="I59" i="46" a="1"/>
  <c r="I59" i="46" s="1"/>
  <c r="I23" i="41" a="1"/>
  <c r="I23" i="41" s="1"/>
  <c r="I21" i="41" s="1"/>
  <c r="I56" i="43" a="1"/>
  <c r="I56" i="43" s="1"/>
  <c r="I54" i="43" s="1"/>
  <c r="I98" i="43" a="1"/>
  <c r="I98" i="43" s="1"/>
  <c r="I94" i="47" a="1"/>
  <c r="I94" i="47" s="1"/>
  <c r="I47" i="47" a="1"/>
  <c r="I47" i="47" s="1"/>
  <c r="I45" i="47" s="1"/>
  <c r="I79" i="41" a="1"/>
  <c r="I79" i="41" s="1"/>
  <c r="I56" i="47" a="1"/>
  <c r="I56" i="47" s="1"/>
  <c r="I40" i="46" a="1"/>
  <c r="I40" i="46" s="1"/>
  <c r="I31" i="41" a="1"/>
  <c r="I31" i="41" s="1"/>
  <c r="I76" i="43" a="1"/>
  <c r="I76" i="43" s="1"/>
  <c r="I75" i="43" s="1"/>
  <c r="I64" i="46" a="1"/>
  <c r="I64" i="46" s="1"/>
  <c r="I20" i="41" a="1"/>
  <c r="I20" i="41" s="1"/>
  <c r="I89" i="46" a="1"/>
  <c r="I89" i="46" s="1"/>
  <c r="I87" i="46" s="1"/>
  <c r="I61" i="46" a="1"/>
  <c r="I61" i="46" s="1"/>
  <c r="I60" i="46" s="1"/>
  <c r="I103" i="46" a="1"/>
  <c r="I103" i="46" s="1"/>
  <c r="I55" i="47" a="1"/>
  <c r="I55" i="47" s="1"/>
  <c r="I49" i="41" a="1"/>
  <c r="I49" i="41" s="1"/>
  <c r="I32" i="41" a="1"/>
  <c r="I32" i="41" s="1"/>
  <c r="I28" i="43" a="1"/>
  <c r="I28" i="43" s="1"/>
  <c r="I27" i="43" s="1"/>
  <c r="I49" i="46" a="1"/>
  <c r="I49" i="46" s="1"/>
  <c r="I59" i="47" a="1"/>
  <c r="I59" i="47" s="1"/>
  <c r="I82" i="47" a="1"/>
  <c r="I82" i="47" s="1"/>
  <c r="I92" i="43" a="1"/>
  <c r="I92" i="43" s="1"/>
  <c r="I52" i="41" a="1"/>
  <c r="I52" i="41" s="1"/>
  <c r="I26" i="43" a="1"/>
  <c r="I26" i="43" s="1"/>
  <c r="I101" i="46" a="1"/>
  <c r="I101" i="46" s="1"/>
  <c r="I76" i="41" a="1"/>
  <c r="I76" i="41" s="1"/>
  <c r="I20" i="46" a="1"/>
  <c r="I20" i="46" s="1"/>
  <c r="I58" i="47" a="1"/>
  <c r="I58" i="47" s="1"/>
  <c r="I61" i="43" a="1"/>
  <c r="I61" i="43" s="1"/>
  <c r="I94" i="46" a="1"/>
  <c r="I94" i="46" s="1"/>
  <c r="I28" i="47" a="1"/>
  <c r="I28" i="47" s="1"/>
  <c r="I53" i="41" a="1"/>
  <c r="I53" i="41" s="1"/>
  <c r="I25" i="43" a="1"/>
  <c r="I25" i="43" s="1"/>
  <c r="I95" i="41" a="1"/>
  <c r="I95" i="41" s="1"/>
  <c r="I93" i="41" s="1"/>
  <c r="I29" i="41" a="1"/>
  <c r="I29" i="41" s="1"/>
  <c r="I27" i="41" s="1"/>
  <c r="I95" i="47" a="1"/>
  <c r="I95" i="47" s="1"/>
  <c r="I59" i="43" a="1"/>
  <c r="I59" i="43" s="1"/>
  <c r="I77" i="46" a="1"/>
  <c r="I77" i="46" s="1"/>
  <c r="I75" i="46" s="1"/>
  <c r="I40" i="41" a="1"/>
  <c r="I40" i="41" s="1"/>
  <c r="I39" i="41" s="1"/>
  <c r="I58" i="43" a="1"/>
  <c r="I58" i="43" s="1"/>
  <c r="I94" i="43" a="1"/>
  <c r="I94" i="43" s="1"/>
  <c r="I93" i="43" s="1"/>
  <c r="I40" i="43" a="1"/>
  <c r="I40" i="43" s="1"/>
  <c r="I39" i="43" s="1"/>
  <c r="I62" i="43" a="1"/>
  <c r="I62" i="43" s="1"/>
  <c r="I29" i="46" a="1"/>
  <c r="I29" i="46" s="1"/>
  <c r="I27" i="46" s="1"/>
  <c r="I19" i="46" a="1"/>
  <c r="I19" i="46" s="1"/>
  <c r="I70" i="46" a="1"/>
  <c r="I70" i="46" s="1"/>
  <c r="I26" i="46" a="1"/>
  <c r="I26" i="46" s="1"/>
  <c r="I29" i="47" a="1"/>
  <c r="I29" i="47" s="1"/>
  <c r="I73" i="46" a="1"/>
  <c r="I73" i="46" s="1"/>
  <c r="I72" i="46" s="1"/>
  <c r="I50" i="46" a="1"/>
  <c r="I50" i="46" s="1"/>
  <c r="I55" i="46" a="1"/>
  <c r="I55" i="46" s="1"/>
  <c r="I73" i="43" a="1"/>
  <c r="I73" i="43" s="1"/>
  <c r="I72" i="43" s="1"/>
  <c r="I25" i="41" a="1"/>
  <c r="I25" i="41" s="1"/>
  <c r="I24" i="41" s="1"/>
  <c r="I32" i="47" a="1"/>
  <c r="I32" i="47" s="1"/>
  <c r="I98" i="46" a="1"/>
  <c r="I98" i="46" s="1"/>
  <c r="I55" i="41" a="1"/>
  <c r="I55" i="41" s="1"/>
  <c r="I54" i="41" s="1"/>
  <c r="I100" i="46" a="1"/>
  <c r="I100" i="46" s="1"/>
  <c r="I65" i="43" a="1"/>
  <c r="I65" i="43" s="1"/>
  <c r="I31" i="47" a="1"/>
  <c r="I31" i="47" s="1"/>
  <c r="I38" i="47" a="1"/>
  <c r="I38" i="47" s="1"/>
  <c r="I36" i="47" s="1"/>
  <c r="I38" i="43" a="1"/>
  <c r="I38" i="43" s="1"/>
  <c r="I36" i="43" s="1"/>
  <c r="I56" i="46" a="1"/>
  <c r="I56" i="46" s="1"/>
  <c r="I103" i="43" a="1"/>
  <c r="I103" i="43" s="1"/>
  <c r="I102" i="43" s="1"/>
  <c r="I64" i="43" a="1"/>
  <c r="I64" i="43" s="1"/>
  <c r="I67" i="43" a="1"/>
  <c r="I67" i="43" s="1"/>
  <c r="I66" i="43" s="1"/>
  <c r="I74" i="47" a="1"/>
  <c r="I74" i="47" s="1"/>
  <c r="I97" i="46" a="1"/>
  <c r="I97" i="46" s="1"/>
  <c r="I20" i="47" a="1"/>
  <c r="I20" i="47" s="1"/>
  <c r="I47" i="43" a="1"/>
  <c r="I47" i="43" s="1"/>
  <c r="I82" i="41" a="1"/>
  <c r="I82" i="41" s="1"/>
  <c r="I38" i="46" a="1"/>
  <c r="I38" i="46" s="1"/>
  <c r="I74" i="41" a="1"/>
  <c r="I74" i="41" s="1"/>
  <c r="I19" i="47" a="1"/>
  <c r="I19" i="47" s="1"/>
  <c r="I77" i="41" a="1"/>
  <c r="I77" i="41" s="1"/>
  <c r="I65" i="46" a="1"/>
  <c r="I65" i="46" s="1"/>
  <c r="I83" i="41" a="1"/>
  <c r="I83" i="41" s="1"/>
  <c r="I46" i="43" a="1"/>
  <c r="I46" i="43" s="1"/>
  <c r="I65" i="47" a="1"/>
  <c r="I65" i="47" s="1"/>
  <c r="I63" i="47" s="1"/>
  <c r="I37" i="46" a="1"/>
  <c r="I37" i="46" s="1"/>
  <c r="I32" i="43" a="1"/>
  <c r="I32" i="43" s="1"/>
  <c r="I73" i="47" a="1"/>
  <c r="I73" i="47" s="1"/>
  <c r="I58" i="46" a="1"/>
  <c r="I58" i="46" s="1"/>
  <c r="I16" i="43" a="1"/>
  <c r="I16" i="43" s="1"/>
  <c r="I15" i="43" s="1"/>
  <c r="I19" i="41" a="1"/>
  <c r="I19" i="41" s="1"/>
  <c r="I18" i="41" s="1"/>
  <c r="I97" i="43" a="1"/>
  <c r="I97" i="43" s="1"/>
  <c r="I96" i="43" s="1"/>
  <c r="I67" i="47" a="1"/>
  <c r="I67" i="47" s="1"/>
  <c r="I66" i="47" s="1"/>
  <c r="I91" i="43" a="1"/>
  <c r="I91" i="43" s="1"/>
  <c r="I53" i="47" a="1"/>
  <c r="I53" i="47" s="1"/>
  <c r="I26" i="47" a="1"/>
  <c r="I26" i="47" s="1"/>
  <c r="I85" i="41" a="1"/>
  <c r="I85" i="41" s="1"/>
  <c r="I84" i="41" s="1"/>
  <c r="I25" i="47" a="1"/>
  <c r="I25" i="47" s="1"/>
  <c r="I80" i="41" a="1"/>
  <c r="I80" i="41" s="1"/>
  <c r="I79" i="47" a="1"/>
  <c r="I79" i="47" s="1"/>
  <c r="I80" i="47" a="1"/>
  <c r="I80" i="47" s="1"/>
  <c r="I52" i="47" a="1"/>
  <c r="I52" i="47" s="1"/>
  <c r="K99" i="47"/>
  <c r="AU54" i="41"/>
  <c r="AN87" i="46"/>
  <c r="AU57" i="46"/>
  <c r="AU54" i="46"/>
  <c r="AU27" i="46"/>
  <c r="AE93" i="47"/>
  <c r="AR102" i="47"/>
  <c r="X96" i="47"/>
  <c r="W99" i="47"/>
  <c r="R93" i="47"/>
  <c r="Z99" i="47"/>
  <c r="AN96" i="41"/>
  <c r="J99" i="47"/>
  <c r="L102" i="47"/>
  <c r="AG87" i="47"/>
  <c r="Q102" i="47"/>
  <c r="AQ102" i="47"/>
  <c r="AU66" i="47"/>
  <c r="AC96" i="43"/>
  <c r="AR57" i="47"/>
  <c r="Y99" i="47"/>
  <c r="O87" i="47"/>
  <c r="AU63" i="46"/>
  <c r="AN96" i="46"/>
  <c r="AN33" i="47"/>
  <c r="AU24" i="41"/>
  <c r="X102" i="47"/>
  <c r="P96" i="47"/>
  <c r="AF90" i="47"/>
  <c r="AL96" i="47"/>
  <c r="AS99" i="47"/>
  <c r="AN102" i="47"/>
  <c r="AU72" i="41"/>
  <c r="Q63" i="47"/>
  <c r="AF96" i="47"/>
  <c r="T99" i="47"/>
  <c r="AN27" i="47"/>
  <c r="AU30" i="46"/>
  <c r="AN69" i="43"/>
  <c r="N99" i="47"/>
  <c r="AG96" i="47"/>
  <c r="AB102" i="47"/>
  <c r="AJ99" i="47"/>
  <c r="AB96" i="47"/>
  <c r="U102" i="47"/>
  <c r="AN30" i="41"/>
  <c r="AU78" i="46"/>
  <c r="AN18" i="46"/>
  <c r="AN93" i="46"/>
  <c r="J81" i="46"/>
  <c r="L69" i="46"/>
  <c r="AA24" i="46"/>
  <c r="AJ96" i="47"/>
  <c r="O99" i="47"/>
  <c r="P99" i="47"/>
  <c r="R99" i="47"/>
  <c r="AH84" i="47"/>
  <c r="AU45" i="43"/>
  <c r="AN93" i="41"/>
  <c r="AU36" i="47"/>
  <c r="AU60" i="47"/>
  <c r="AU102" i="47"/>
  <c r="I99" i="41"/>
  <c r="AU51" i="43"/>
  <c r="AA99" i="47"/>
  <c r="AP102" i="47"/>
  <c r="AM99" i="47"/>
  <c r="S99" i="47"/>
  <c r="AM87" i="47"/>
  <c r="AU99" i="43"/>
  <c r="I60" i="47"/>
  <c r="AN63" i="47"/>
  <c r="AN36" i="46"/>
  <c r="AN84" i="46"/>
  <c r="AU57" i="47"/>
  <c r="AN69" i="46"/>
  <c r="AL24" i="46"/>
  <c r="Z96" i="46"/>
  <c r="Q84" i="47"/>
  <c r="AE99" i="47"/>
  <c r="N102" i="47"/>
  <c r="AR99" i="47"/>
  <c r="M99" i="47"/>
  <c r="AE54" i="41"/>
  <c r="N72" i="47"/>
  <c r="AA54" i="41"/>
  <c r="AC30" i="47"/>
  <c r="W54" i="41"/>
  <c r="AC51" i="41"/>
  <c r="S27" i="41"/>
  <c r="O75" i="41"/>
  <c r="K54" i="41"/>
  <c r="U51" i="41"/>
  <c r="AK51" i="41"/>
  <c r="S54" i="41"/>
  <c r="AE72" i="46"/>
  <c r="I39" i="47"/>
  <c r="I15" i="41"/>
  <c r="R78" i="41"/>
  <c r="M75" i="41"/>
  <c r="AA48" i="41"/>
  <c r="AA63" i="41"/>
  <c r="AH24" i="46"/>
  <c r="J24" i="47"/>
  <c r="AT21" i="47"/>
  <c r="AP21" i="47"/>
  <c r="X21" i="47"/>
  <c r="P21" i="47"/>
  <c r="K18" i="47"/>
  <c r="AE57" i="47"/>
  <c r="W57" i="41"/>
  <c r="U21" i="46"/>
  <c r="M21" i="46"/>
  <c r="AR18" i="47"/>
  <c r="AH18" i="47"/>
  <c r="Z18" i="47"/>
  <c r="V18" i="47"/>
  <c r="J18" i="47"/>
  <c r="Q21" i="46"/>
  <c r="W99" i="46"/>
  <c r="AG75" i="41"/>
  <c r="AP15" i="47"/>
  <c r="I84" i="43"/>
  <c r="AE48" i="41"/>
  <c r="W48" i="41"/>
  <c r="AS48" i="41"/>
  <c r="S48" i="41"/>
  <c r="AM99" i="46"/>
  <c r="AN81" i="43"/>
  <c r="AL63" i="41"/>
  <c r="AH63" i="41"/>
  <c r="R24" i="46"/>
  <c r="AM48" i="41"/>
  <c r="AK21" i="46"/>
  <c r="AF90" i="43"/>
  <c r="L57" i="47"/>
  <c r="I21" i="46"/>
  <c r="AJ57" i="47"/>
  <c r="X57" i="47"/>
  <c r="AC102" i="46"/>
  <c r="U102" i="46"/>
  <c r="U96" i="46"/>
  <c r="P90" i="43"/>
  <c r="K72" i="47"/>
  <c r="R24" i="47"/>
  <c r="N24" i="47"/>
  <c r="AJ21" i="47"/>
  <c r="AF21" i="47"/>
  <c r="AB21" i="47"/>
  <c r="T21" i="47"/>
  <c r="L21" i="47"/>
  <c r="AL18" i="47"/>
  <c r="AD18" i="47"/>
  <c r="R18" i="47"/>
  <c r="N18" i="47"/>
  <c r="AD63" i="41"/>
  <c r="Z63" i="41"/>
  <c r="V63" i="41"/>
  <c r="AN93" i="47"/>
  <c r="AQ21" i="46"/>
  <c r="R9" i="46"/>
  <c r="O60" i="47"/>
  <c r="AS18" i="47"/>
  <c r="V24" i="46"/>
  <c r="N24" i="46"/>
  <c r="J24" i="46"/>
  <c r="Z69" i="47"/>
  <c r="O69" i="47"/>
  <c r="L69" i="47"/>
  <c r="AS66" i="47"/>
  <c r="AM66" i="47"/>
  <c r="AE66" i="47"/>
  <c r="AB66" i="47"/>
  <c r="AN66" i="47"/>
  <c r="P96" i="41"/>
  <c r="W60" i="41"/>
  <c r="AQ57" i="41"/>
  <c r="AE99" i="46"/>
  <c r="O99" i="46"/>
  <c r="M102" i="46"/>
  <c r="O9" i="47"/>
  <c r="AA18" i="47"/>
  <c r="AK15" i="47"/>
  <c r="AC15" i="47"/>
  <c r="AN45" i="46"/>
  <c r="U15" i="47"/>
  <c r="R63" i="41"/>
  <c r="AT60" i="41"/>
  <c r="AP60" i="41"/>
  <c r="AU39" i="46"/>
  <c r="AB60" i="41"/>
  <c r="L60" i="41"/>
  <c r="AH57" i="41"/>
  <c r="W90" i="46"/>
  <c r="AM60" i="47"/>
  <c r="W57" i="47"/>
  <c r="K57" i="47"/>
  <c r="AR54" i="47"/>
  <c r="O9" i="46"/>
  <c r="S27" i="47"/>
  <c r="V24" i="47"/>
  <c r="Y15" i="46"/>
  <c r="AT15" i="46"/>
  <c r="L15" i="46"/>
  <c r="AE9" i="46"/>
  <c r="AG21" i="46"/>
  <c r="AL99" i="43"/>
  <c r="K48" i="41"/>
  <c r="L66" i="43"/>
  <c r="AN102" i="41"/>
  <c r="Z66" i="47"/>
  <c r="I15" i="47"/>
  <c r="AC21" i="46"/>
  <c r="AA60" i="47"/>
  <c r="AI18" i="47"/>
  <c r="N72" i="41"/>
  <c r="M15" i="47"/>
  <c r="AN102" i="43"/>
  <c r="AN30" i="43"/>
  <c r="S18" i="47"/>
  <c r="M96" i="46"/>
  <c r="AN72" i="47"/>
  <c r="AA93" i="43"/>
  <c r="AC90" i="43"/>
  <c r="AN75" i="46"/>
  <c r="AG51" i="41"/>
  <c r="AE96" i="46"/>
  <c r="Z72" i="41"/>
  <c r="Z66" i="41"/>
  <c r="Z24" i="46"/>
  <c r="AM33" i="41"/>
  <c r="AD24" i="46"/>
  <c r="AK102" i="46"/>
  <c r="AU24" i="46"/>
  <c r="I90" i="46"/>
  <c r="AH24" i="47"/>
  <c r="Q48" i="46"/>
  <c r="AB78" i="41"/>
  <c r="AB102" i="43"/>
  <c r="L102" i="43"/>
  <c r="Z99" i="43"/>
  <c r="J99" i="43"/>
  <c r="AB96" i="43"/>
  <c r="L96" i="43"/>
  <c r="AD93" i="43"/>
  <c r="N93" i="43"/>
  <c r="T48" i="46"/>
  <c r="M48" i="46"/>
  <c r="AG69" i="41"/>
  <c r="AD48" i="46"/>
  <c r="N48" i="46"/>
  <c r="O54" i="41"/>
  <c r="AH60" i="47"/>
  <c r="AB54" i="47"/>
  <c r="AT48" i="46"/>
  <c r="X51" i="41"/>
  <c r="J63" i="47"/>
  <c r="AT21" i="46"/>
  <c r="AF21" i="46"/>
  <c r="AP84" i="41"/>
  <c r="P84" i="41"/>
  <c r="U63" i="47"/>
  <c r="M72" i="41"/>
  <c r="L51" i="41"/>
  <c r="O93" i="43"/>
  <c r="Y90" i="43"/>
  <c r="AG66" i="47"/>
  <c r="AE96" i="43"/>
  <c r="Y24" i="41"/>
  <c r="AE69" i="43"/>
  <c r="AE21" i="41"/>
  <c r="AK18" i="41"/>
  <c r="AS15" i="41"/>
  <c r="L81" i="43"/>
  <c r="Z69" i="43"/>
  <c r="Q9" i="41"/>
  <c r="P15" i="43"/>
  <c r="AA84" i="43"/>
  <c r="AF66" i="43"/>
  <c r="AM78" i="43"/>
  <c r="Y57" i="41"/>
  <c r="AC84" i="43"/>
  <c r="AD90" i="43"/>
  <c r="AJ72" i="43"/>
  <c r="T51" i="41"/>
  <c r="O72" i="47"/>
  <c r="AE60" i="43"/>
  <c r="AM9" i="47"/>
  <c r="AE9" i="47"/>
  <c r="AC96" i="46"/>
  <c r="P66" i="46"/>
  <c r="L75" i="47"/>
  <c r="AP21" i="46"/>
  <c r="AB21" i="46"/>
  <c r="AI75" i="41"/>
  <c r="AD75" i="41"/>
  <c r="AC69" i="47"/>
  <c r="AJ21" i="46"/>
  <c r="AH81" i="41"/>
  <c r="V60" i="41"/>
  <c r="Q45" i="43"/>
  <c r="S21" i="41"/>
  <c r="AN48" i="43"/>
  <c r="M48" i="41"/>
  <c r="AM57" i="47"/>
  <c r="AB57" i="47"/>
  <c r="AM54" i="47"/>
  <c r="AI69" i="41"/>
  <c r="X66" i="47"/>
  <c r="AK72" i="41"/>
  <c r="O69" i="41"/>
  <c r="AK66" i="41"/>
  <c r="M66" i="41"/>
  <c r="AI63" i="41"/>
  <c r="K63" i="41"/>
  <c r="AG60" i="41"/>
  <c r="S57" i="41"/>
  <c r="AG54" i="41"/>
  <c r="AG48" i="41"/>
  <c r="AJ27" i="46"/>
  <c r="AF27" i="46"/>
  <c r="AB27" i="46"/>
  <c r="AG36" i="41"/>
  <c r="I81" i="43"/>
  <c r="AL54" i="41"/>
  <c r="J54" i="41"/>
  <c r="AQ24" i="41"/>
  <c r="AG63" i="47"/>
  <c r="R21" i="41"/>
  <c r="Y84" i="43"/>
  <c r="P81" i="43"/>
  <c r="AE84" i="43"/>
  <c r="AG81" i="43"/>
  <c r="AA96" i="43"/>
  <c r="N87" i="43"/>
  <c r="K69" i="43"/>
  <c r="K15" i="41"/>
  <c r="AL9" i="43"/>
  <c r="Y63" i="43"/>
  <c r="Z48" i="41"/>
  <c r="AH54" i="41"/>
  <c r="V39" i="41"/>
  <c r="AC21" i="47"/>
  <c r="AM93" i="41"/>
  <c r="W93" i="41"/>
  <c r="V84" i="43"/>
  <c r="O66" i="41"/>
  <c r="O84" i="43"/>
  <c r="AT63" i="47"/>
  <c r="AJ63" i="47"/>
  <c r="Y63" i="47"/>
  <c r="N63" i="47"/>
  <c r="AP54" i="47"/>
  <c r="O66" i="47"/>
  <c r="P60" i="47"/>
  <c r="N75" i="43"/>
  <c r="W15" i="41"/>
  <c r="T63" i="43"/>
  <c r="AU84" i="43"/>
  <c r="AB42" i="43"/>
  <c r="AC45" i="41"/>
  <c r="AG45" i="41"/>
  <c r="AP57" i="46"/>
  <c r="AT57" i="46"/>
  <c r="AK66" i="47"/>
  <c r="AQ72" i="43"/>
  <c r="T87" i="43"/>
  <c r="T93" i="43"/>
  <c r="AK57" i="46"/>
  <c r="L42" i="43"/>
  <c r="AM81" i="43"/>
  <c r="AB81" i="43"/>
  <c r="AH21" i="41"/>
  <c r="AU18" i="47"/>
  <c r="R84" i="43"/>
  <c r="AB24" i="41"/>
  <c r="AP18" i="41"/>
  <c r="K96" i="43"/>
  <c r="AO9" i="41"/>
  <c r="O96" i="43"/>
  <c r="N15" i="41"/>
  <c r="Y9" i="43"/>
  <c r="AN24" i="41"/>
  <c r="S96" i="43"/>
  <c r="V27" i="41"/>
  <c r="AG57" i="46"/>
  <c r="Z57" i="46"/>
  <c r="S57" i="46"/>
  <c r="L57" i="46"/>
  <c r="AL48" i="41"/>
  <c r="AH48" i="41"/>
  <c r="AS93" i="41"/>
  <c r="AI93" i="41"/>
  <c r="AE93" i="41"/>
  <c r="AA93" i="41"/>
  <c r="S93" i="41"/>
  <c r="O93" i="41"/>
  <c r="Q93" i="43"/>
  <c r="W57" i="46"/>
  <c r="AN51" i="47"/>
  <c r="W96" i="43"/>
  <c r="P21" i="46"/>
  <c r="AQ21" i="47"/>
  <c r="AK21" i="47"/>
  <c r="AH63" i="47"/>
  <c r="AI27" i="47"/>
  <c r="P57" i="43"/>
  <c r="L18" i="43"/>
  <c r="L48" i="41"/>
  <c r="AG21" i="47"/>
  <c r="J48" i="41"/>
  <c r="AM96" i="46"/>
  <c r="AK93" i="43"/>
  <c r="M54" i="41"/>
  <c r="AP42" i="43"/>
  <c r="P36" i="43"/>
  <c r="AJ30" i="43"/>
  <c r="AS96" i="46"/>
  <c r="AI96" i="46"/>
  <c r="Y93" i="43"/>
  <c r="AT36" i="43"/>
  <c r="X21" i="46"/>
  <c r="T21" i="46"/>
  <c r="AQ93" i="43"/>
  <c r="AG93" i="43"/>
  <c r="AC93" i="43"/>
  <c r="AM72" i="41"/>
  <c r="AA72" i="41"/>
  <c r="K72" i="41"/>
  <c r="L60" i="47"/>
  <c r="X36" i="41"/>
  <c r="Z33" i="41"/>
  <c r="T18" i="41"/>
  <c r="AD15" i="41"/>
  <c r="AP9" i="41"/>
  <c r="AI36" i="43"/>
  <c r="L99" i="46"/>
  <c r="M60" i="41"/>
  <c r="S102" i="41"/>
  <c r="AI42" i="41"/>
  <c r="AT45" i="41"/>
  <c r="T45" i="41"/>
  <c r="AD57" i="46"/>
  <c r="V27" i="43"/>
  <c r="AI102" i="41"/>
  <c r="AA57" i="41"/>
  <c r="AQ54" i="41"/>
  <c r="AK48" i="41"/>
  <c r="AD48" i="41"/>
  <c r="J21" i="47"/>
  <c r="Q90" i="41"/>
  <c r="AM87" i="41"/>
  <c r="O87" i="41"/>
  <c r="AK84" i="41"/>
  <c r="M84" i="41"/>
  <c r="AI81" i="41"/>
  <c r="K81" i="41"/>
  <c r="AC78" i="41"/>
  <c r="AA75" i="41"/>
  <c r="Y72" i="41"/>
  <c r="AQ66" i="41"/>
  <c r="Q66" i="41"/>
  <c r="AM63" i="41"/>
  <c r="O63" i="41"/>
  <c r="AK60" i="41"/>
  <c r="AR60" i="47"/>
  <c r="M54" i="47"/>
  <c r="AE60" i="47"/>
  <c r="Y54" i="47"/>
  <c r="AS51" i="47"/>
  <c r="V48" i="47"/>
  <c r="AC96" i="41"/>
  <c r="AR87" i="43"/>
  <c r="O51" i="47"/>
  <c r="AK96" i="41"/>
  <c r="AI27" i="41"/>
  <c r="Q24" i="41"/>
  <c r="U96" i="41"/>
  <c r="P48" i="43"/>
  <c r="AP48" i="43"/>
  <c r="AF30" i="41"/>
  <c r="AL27" i="41"/>
  <c r="M60" i="46"/>
  <c r="S99" i="41"/>
  <c r="AJ66" i="46"/>
  <c r="P24" i="41"/>
  <c r="V21" i="41"/>
  <c r="AU60" i="43"/>
  <c r="Q96" i="41"/>
  <c r="M96" i="41"/>
  <c r="AN9" i="46"/>
  <c r="T57" i="46"/>
  <c r="AS99" i="41"/>
  <c r="O18" i="46"/>
  <c r="W90" i="43"/>
  <c r="AE90" i="43"/>
  <c r="AA90" i="43"/>
  <c r="S90" i="43"/>
  <c r="L21" i="46"/>
  <c r="AD84" i="43"/>
  <c r="T63" i="47"/>
  <c r="M63" i="47"/>
  <c r="AH66" i="41"/>
  <c r="P45" i="41"/>
  <c r="O90" i="43"/>
  <c r="AP75" i="41"/>
  <c r="AL72" i="47"/>
  <c r="AQ69" i="47"/>
  <c r="K63" i="46"/>
  <c r="AS90" i="43"/>
  <c r="J96" i="46"/>
  <c r="U93" i="43"/>
  <c r="AN99" i="47"/>
  <c r="AG69" i="46"/>
  <c r="X45" i="41"/>
  <c r="AA57" i="46"/>
  <c r="W18" i="46"/>
  <c r="T60" i="46"/>
  <c r="AM18" i="46"/>
  <c r="AI18" i="46"/>
  <c r="AA60" i="46"/>
  <c r="AE18" i="46"/>
  <c r="J66" i="47"/>
  <c r="AG66" i="46"/>
  <c r="AK87" i="43"/>
  <c r="AG96" i="41"/>
  <c r="L84" i="43"/>
  <c r="AJ84" i="43"/>
  <c r="AT66" i="46"/>
  <c r="AH57" i="46"/>
  <c r="AM90" i="43"/>
  <c r="AI90" i="43"/>
  <c r="T99" i="46"/>
  <c r="M45" i="41"/>
  <c r="Q45" i="41"/>
  <c r="Q60" i="46"/>
  <c r="AS18" i="46"/>
  <c r="AM66" i="46"/>
  <c r="AH60" i="46"/>
  <c r="X60" i="46"/>
  <c r="AH102" i="46"/>
  <c r="AH78" i="47"/>
  <c r="AI60" i="46"/>
  <c r="AF75" i="47"/>
  <c r="Y66" i="47"/>
  <c r="W66" i="46"/>
  <c r="AS84" i="43"/>
  <c r="AL60" i="46"/>
  <c r="AR66" i="46"/>
  <c r="AL78" i="47"/>
  <c r="Q69" i="47"/>
  <c r="AE99" i="41"/>
  <c r="AG84" i="43"/>
  <c r="AD87" i="43"/>
  <c r="U69" i="47"/>
  <c r="Y96" i="41"/>
  <c r="AQ87" i="43"/>
  <c r="K90" i="43"/>
  <c r="AE60" i="46"/>
  <c r="P87" i="43"/>
  <c r="AA18" i="46"/>
  <c r="M93" i="43"/>
  <c r="N66" i="46"/>
  <c r="S18" i="46"/>
  <c r="Y75" i="41"/>
  <c r="V87" i="43"/>
  <c r="N63" i="46"/>
  <c r="AA87" i="43"/>
  <c r="AD66" i="47"/>
  <c r="S60" i="47"/>
  <c r="Z87" i="43"/>
  <c r="U75" i="47"/>
  <c r="S66" i="47"/>
  <c r="AL57" i="47"/>
  <c r="J78" i="47"/>
  <c r="W99" i="41"/>
  <c r="AT84" i="43"/>
  <c r="X75" i="47"/>
  <c r="AJ51" i="47"/>
  <c r="J60" i="46"/>
  <c r="AQ96" i="41"/>
  <c r="N60" i="46"/>
  <c r="K99" i="41"/>
  <c r="O99" i="41"/>
  <c r="AI72" i="47"/>
  <c r="R63" i="46"/>
  <c r="U63" i="46"/>
  <c r="I60" i="41"/>
  <c r="X63" i="47"/>
  <c r="S57" i="47"/>
  <c r="R87" i="43"/>
  <c r="AJ66" i="47"/>
  <c r="AM63" i="47"/>
  <c r="Z60" i="41"/>
  <c r="AU45" i="41" l="1"/>
  <c r="AU54" i="47"/>
  <c r="I93" i="46"/>
  <c r="AU48" i="41"/>
  <c r="AU66" i="46"/>
  <c r="AU96" i="46"/>
  <c r="AU69" i="47"/>
  <c r="AN60" i="43"/>
  <c r="I54" i="46"/>
  <c r="AU81" i="41"/>
  <c r="AN66" i="46"/>
  <c r="AN57" i="43"/>
  <c r="AN51" i="43"/>
  <c r="AU15" i="47"/>
  <c r="AU93" i="41"/>
  <c r="I18" i="47"/>
  <c r="I45" i="46"/>
  <c r="AN102" i="46"/>
  <c r="I90" i="47"/>
  <c r="I66" i="46"/>
  <c r="AU66" i="41"/>
  <c r="AU63" i="47"/>
  <c r="I30" i="47"/>
  <c r="AN54" i="41"/>
  <c r="AU36" i="46"/>
  <c r="AU84" i="47"/>
  <c r="AU33" i="41"/>
  <c r="AN69" i="41"/>
  <c r="AU51" i="46"/>
  <c r="AU27" i="43"/>
  <c r="I30" i="46"/>
  <c r="AN87" i="41"/>
  <c r="AN54" i="46"/>
  <c r="AN24" i="46"/>
  <c r="I51" i="41"/>
  <c r="AU69" i="43"/>
  <c r="AU27" i="47"/>
  <c r="AU102" i="43"/>
  <c r="AN45" i="47"/>
  <c r="AN18" i="41"/>
  <c r="I78" i="43"/>
  <c r="AU87" i="46"/>
  <c r="I54" i="47"/>
  <c r="I51" i="46"/>
  <c r="AN45" i="43"/>
  <c r="AN81" i="46"/>
  <c r="I96" i="46"/>
  <c r="I51" i="47"/>
  <c r="I30" i="41"/>
  <c r="I84" i="47"/>
  <c r="AU15" i="43"/>
  <c r="I75" i="47"/>
  <c r="I102" i="47"/>
  <c r="AU96" i="47"/>
  <c r="AU15" i="46"/>
  <c r="AN81" i="47"/>
  <c r="AU93" i="46"/>
  <c r="AU87" i="41"/>
  <c r="I93" i="47"/>
  <c r="I99" i="47"/>
  <c r="I18" i="43"/>
  <c r="I42" i="41"/>
  <c r="I102" i="46"/>
  <c r="I42" i="43"/>
  <c r="I45" i="41"/>
  <c r="AU90" i="47"/>
  <c r="AN51" i="46"/>
  <c r="AN99" i="46"/>
  <c r="I57" i="46"/>
  <c r="I81" i="41"/>
  <c r="I69" i="46"/>
  <c r="I69" i="41"/>
  <c r="I66" i="41"/>
  <c r="I42" i="47"/>
  <c r="I69" i="47"/>
  <c r="I84" i="46"/>
  <c r="AN39" i="43"/>
  <c r="AU48" i="43"/>
  <c r="AU84" i="41"/>
  <c r="AU18" i="41"/>
  <c r="AU18" i="43"/>
  <c r="AU36" i="43"/>
  <c r="I15" i="46"/>
  <c r="I72" i="47"/>
  <c r="I24" i="43"/>
  <c r="I81" i="47"/>
  <c r="AN96" i="47"/>
  <c r="AN42" i="46"/>
  <c r="AN27" i="43"/>
  <c r="AN60" i="41"/>
  <c r="AN18" i="43"/>
  <c r="AU90" i="46"/>
  <c r="AU51" i="47"/>
  <c r="AU72" i="47"/>
  <c r="AU39" i="47"/>
  <c r="I63" i="43"/>
  <c r="I57" i="43"/>
  <c r="I57" i="47"/>
  <c r="I48" i="41"/>
  <c r="I63" i="41"/>
  <c r="I78" i="46"/>
  <c r="I69" i="43"/>
  <c r="AN75" i="43"/>
  <c r="AN90" i="47"/>
  <c r="AN69" i="47"/>
  <c r="AN81" i="41"/>
  <c r="AU54" i="43"/>
  <c r="AU69" i="41"/>
  <c r="AU60" i="46"/>
  <c r="AU36" i="41"/>
  <c r="AU72" i="43"/>
  <c r="AU30" i="47"/>
  <c r="AU33" i="47"/>
  <c r="I48" i="47"/>
  <c r="AN87" i="47"/>
  <c r="AN51" i="41"/>
  <c r="AU102" i="46"/>
  <c r="AU42" i="47"/>
  <c r="AU21" i="47"/>
  <c r="AU102" i="41"/>
  <c r="AU21" i="46"/>
  <c r="AU75" i="41"/>
  <c r="I75" i="41"/>
  <c r="I33" i="43"/>
  <c r="I48" i="43"/>
  <c r="AN99" i="43"/>
  <c r="AN48" i="41"/>
  <c r="AN42" i="47"/>
  <c r="AN72" i="43"/>
  <c r="AU75" i="47"/>
  <c r="I33" i="41"/>
  <c r="AN84" i="47"/>
  <c r="AN48" i="47"/>
  <c r="AN63" i="46"/>
  <c r="AN57" i="47"/>
  <c r="AU42" i="41"/>
  <c r="AU90" i="41"/>
  <c r="I36" i="41"/>
  <c r="I51" i="43"/>
  <c r="AN27" i="46"/>
  <c r="AN57" i="41"/>
  <c r="AU87" i="43"/>
  <c r="AU72" i="46"/>
  <c r="AN42" i="43"/>
  <c r="AN60" i="46"/>
  <c r="AU96" i="41"/>
  <c r="AU99" i="41"/>
  <c r="AU78" i="43"/>
  <c r="AU69" i="46"/>
  <c r="I90" i="43"/>
  <c r="I63" i="46"/>
  <c r="I72" i="41"/>
  <c r="I90" i="41"/>
  <c r="AN33" i="43"/>
  <c r="AN21" i="46"/>
  <c r="AU75" i="46"/>
  <c r="AU84" i="46"/>
  <c r="AU24" i="43"/>
  <c r="AU48" i="47"/>
  <c r="AU48" i="46"/>
  <c r="I18" i="46"/>
  <c r="I30" i="43"/>
  <c r="I87" i="41"/>
  <c r="I33" i="47"/>
  <c r="I57" i="41"/>
  <c r="CV124" i="4"/>
  <c r="AO55" i="46" a="1"/>
  <c r="AO55" i="46" s="1"/>
  <c r="AO56" i="46" a="1"/>
  <c r="AO56" i="46" s="1"/>
  <c r="AO82" i="43" a="1"/>
  <c r="AO82" i="43" s="1"/>
  <c r="AO91" i="41" a="1"/>
  <c r="AO91" i="41" s="1"/>
  <c r="AO100" i="41" a="1"/>
  <c r="AO100" i="41" s="1"/>
  <c r="AO35" i="41" a="1"/>
  <c r="AO35" i="41" s="1"/>
  <c r="AO85" i="46" a="1"/>
  <c r="AO85" i="46" s="1"/>
  <c r="AO86" i="46" a="1"/>
  <c r="AO86" i="46" s="1"/>
  <c r="AO52" i="41" a="1"/>
  <c r="AO52" i="41" s="1"/>
  <c r="AO53" i="41" a="1"/>
  <c r="AO53" i="41" s="1"/>
  <c r="AO34" i="47" a="1"/>
  <c r="AO34" i="47" s="1"/>
  <c r="AO35" i="47" a="1"/>
  <c r="AO35" i="47" s="1"/>
  <c r="AO31" i="41" a="1"/>
  <c r="AO31" i="41" s="1"/>
  <c r="AO32" i="41" a="1"/>
  <c r="AO32" i="41" s="1"/>
  <c r="AO34" i="41" a="1"/>
  <c r="AO34" i="41" s="1"/>
  <c r="AO65" i="47" a="1"/>
  <c r="AO65" i="47" s="1"/>
  <c r="AO101" i="41" a="1"/>
  <c r="AO101" i="41" s="1"/>
  <c r="AO64" i="47" a="1"/>
  <c r="AO64" i="47" s="1"/>
  <c r="AO35" i="46" a="1"/>
  <c r="AO35" i="46" s="1"/>
  <c r="AO41" i="41" a="1"/>
  <c r="AO41" i="41" s="1"/>
  <c r="AO86" i="43" a="1"/>
  <c r="AO86" i="43" s="1"/>
  <c r="AO68" i="46" a="1"/>
  <c r="AO68" i="46" s="1"/>
  <c r="AO52" i="47" a="1"/>
  <c r="AO52" i="47" s="1"/>
  <c r="AO34" i="43" a="1"/>
  <c r="AO34" i="43" s="1"/>
  <c r="AO31" i="43" a="1"/>
  <c r="AO31" i="43" s="1"/>
  <c r="AO32" i="43" a="1"/>
  <c r="AO32" i="43" s="1"/>
  <c r="AO85" i="43" a="1"/>
  <c r="AO85" i="43" s="1"/>
  <c r="AO84" i="43" s="1"/>
  <c r="AO49" i="41" a="1"/>
  <c r="AO49" i="41" s="1"/>
  <c r="AO83" i="41" a="1"/>
  <c r="AO83" i="41" s="1"/>
  <c r="AO67" i="46" a="1"/>
  <c r="AO67" i="46" s="1"/>
  <c r="AO50" i="41" a="1"/>
  <c r="AO50" i="41" s="1"/>
  <c r="AO65" i="41" a="1"/>
  <c r="AO65" i="41" s="1"/>
  <c r="AO22" i="47" a="1"/>
  <c r="AO22" i="47" s="1"/>
  <c r="AO77" i="47" a="1"/>
  <c r="AO77" i="47" s="1"/>
  <c r="AO89" i="46" a="1"/>
  <c r="AO89" i="46" s="1"/>
  <c r="AO50" i="46" a="1"/>
  <c r="AO50" i="46" s="1"/>
  <c r="AO86" i="41" a="1"/>
  <c r="AO86" i="41" s="1"/>
  <c r="AO85" i="47" a="1"/>
  <c r="AO85" i="47" s="1"/>
  <c r="AO41" i="47" a="1"/>
  <c r="AO41" i="47" s="1"/>
  <c r="AO67" i="43" a="1"/>
  <c r="AO67" i="43" s="1"/>
  <c r="AO61" i="41" a="1"/>
  <c r="AO61" i="41" s="1"/>
  <c r="AO88" i="43" a="1"/>
  <c r="AO88" i="43" s="1"/>
  <c r="AO41" i="46" a="1"/>
  <c r="AO41" i="46" s="1"/>
  <c r="AO40" i="46" a="1"/>
  <c r="AO40" i="46" s="1"/>
  <c r="AO20" i="43" a="1"/>
  <c r="AO20" i="43" s="1"/>
  <c r="AO104" i="41" a="1"/>
  <c r="AO104" i="41" s="1"/>
  <c r="AO94" i="47" a="1"/>
  <c r="AO94" i="47" s="1"/>
  <c r="AO67" i="47" a="1"/>
  <c r="AO67" i="47" s="1"/>
  <c r="AO59" i="41" a="1"/>
  <c r="AO59" i="41" s="1"/>
  <c r="AO98" i="43" a="1"/>
  <c r="AO98" i="43" s="1"/>
  <c r="AO47" i="41" a="1"/>
  <c r="AO47" i="41" s="1"/>
  <c r="AO64" i="41" a="1"/>
  <c r="AO64" i="41" s="1"/>
  <c r="AO63" i="41" s="1"/>
  <c r="AO64" i="43" a="1"/>
  <c r="AO64" i="43" s="1"/>
  <c r="AO49" i="46" a="1"/>
  <c r="AO49" i="46" s="1"/>
  <c r="AO86" i="47" a="1"/>
  <c r="AO86" i="47" s="1"/>
  <c r="AO68" i="43" a="1"/>
  <c r="AO68" i="43" s="1"/>
  <c r="AO62" i="41" a="1"/>
  <c r="AO62" i="41" s="1"/>
  <c r="AO89" i="43" a="1"/>
  <c r="AO89" i="43" s="1"/>
  <c r="AO98" i="41" a="1"/>
  <c r="AO98" i="41" s="1"/>
  <c r="AO62" i="43" a="1"/>
  <c r="AO62" i="43" s="1"/>
  <c r="AO46" i="46" a="1"/>
  <c r="AO46" i="46" s="1"/>
  <c r="AO40" i="41" a="1"/>
  <c r="AO40" i="41" s="1"/>
  <c r="AO39" i="41" s="1"/>
  <c r="AO53" i="47" a="1"/>
  <c r="AO53" i="47" s="1"/>
  <c r="AO103" i="41" a="1"/>
  <c r="AO103" i="41" s="1"/>
  <c r="AO35" i="43" a="1"/>
  <c r="AO35" i="43" s="1"/>
  <c r="AO56" i="41" a="1"/>
  <c r="AO56" i="41" s="1"/>
  <c r="AO46" i="47" a="1"/>
  <c r="AO46" i="47" s="1"/>
  <c r="AO65" i="43" a="1"/>
  <c r="AO65" i="43" s="1"/>
  <c r="AO88" i="46" a="1"/>
  <c r="AO88" i="46" s="1"/>
  <c r="AO55" i="41" a="1"/>
  <c r="AO55" i="41" s="1"/>
  <c r="AO47" i="47" a="1"/>
  <c r="AO47" i="47" s="1"/>
  <c r="AO91" i="47" a="1"/>
  <c r="AO91" i="47" s="1"/>
  <c r="AO29" i="41" a="1"/>
  <c r="AO29" i="41" s="1"/>
  <c r="AO100" i="47" a="1"/>
  <c r="AO100" i="47" s="1"/>
  <c r="AO19" i="41" a="1"/>
  <c r="AO19" i="41" s="1"/>
  <c r="AO101" i="46" a="1"/>
  <c r="AO101" i="46" s="1"/>
  <c r="AO91" i="43" a="1"/>
  <c r="AO91" i="43" s="1"/>
  <c r="AO44" i="41" a="1"/>
  <c r="AO44" i="41" s="1"/>
  <c r="AO101" i="47" a="1"/>
  <c r="AO101" i="47" s="1"/>
  <c r="AO82" i="41" a="1"/>
  <c r="AO82" i="41" s="1"/>
  <c r="AO20" i="41" a="1"/>
  <c r="AO20" i="41" s="1"/>
  <c r="AO89" i="41" a="1"/>
  <c r="AO89" i="41" s="1"/>
  <c r="AO103" i="43" a="1"/>
  <c r="AO103" i="43" s="1"/>
  <c r="AO103" i="47" a="1"/>
  <c r="AO103" i="47" s="1"/>
  <c r="AO44" i="47" a="1"/>
  <c r="AO44" i="47" s="1"/>
  <c r="AO92" i="43" a="1"/>
  <c r="AO92" i="43" s="1"/>
  <c r="AO23" i="47" a="1"/>
  <c r="AO23" i="47" s="1"/>
  <c r="AO76" i="47" a="1"/>
  <c r="AO76" i="47" s="1"/>
  <c r="AO43" i="41" a="1"/>
  <c r="AO43" i="41" s="1"/>
  <c r="AO85" i="41" a="1"/>
  <c r="AO85" i="41" s="1"/>
  <c r="AO16" i="46" a="1"/>
  <c r="AO16" i="46" s="1"/>
  <c r="AO40" i="47" a="1"/>
  <c r="AO40" i="47" s="1"/>
  <c r="AO39" i="47" s="1"/>
  <c r="AO34" i="46" a="1"/>
  <c r="AO34" i="46" s="1"/>
  <c r="AO19" i="43" a="1"/>
  <c r="AO19" i="43" s="1"/>
  <c r="AO18" i="43" s="1"/>
  <c r="AO104" i="43" a="1"/>
  <c r="AO104" i="43" s="1"/>
  <c r="AO104" i="47" a="1"/>
  <c r="AO104" i="47" s="1"/>
  <c r="AO16" i="43" a="1"/>
  <c r="AO16" i="43" s="1"/>
  <c r="AO68" i="47" a="1"/>
  <c r="AO68" i="47" s="1"/>
  <c r="AO19" i="47" a="1"/>
  <c r="AO19" i="47" s="1"/>
  <c r="AO58" i="41" a="1"/>
  <c r="AO58" i="41" s="1"/>
  <c r="AO22" i="46" a="1"/>
  <c r="AO22" i="46" s="1"/>
  <c r="AO92" i="47" a="1"/>
  <c r="AO92" i="47" s="1"/>
  <c r="AO97" i="47" a="1"/>
  <c r="AO97" i="47" s="1"/>
  <c r="AO26" i="43" a="1"/>
  <c r="AO26" i="43" s="1"/>
  <c r="AO55" i="43" a="1"/>
  <c r="AO55" i="43" s="1"/>
  <c r="AO95" i="41" a="1"/>
  <c r="AO95" i="41" s="1"/>
  <c r="AO58" i="47" a="1"/>
  <c r="AO58" i="47" s="1"/>
  <c r="AO94" i="43" a="1"/>
  <c r="AO94" i="43" s="1"/>
  <c r="AO98" i="46" a="1"/>
  <c r="AO98" i="46" s="1"/>
  <c r="AO80" i="46" a="1"/>
  <c r="AO80" i="46" s="1"/>
  <c r="AO100" i="46" a="1"/>
  <c r="AO100" i="46" s="1"/>
  <c r="AO99" i="46" s="1"/>
  <c r="AO23" i="46" a="1"/>
  <c r="AO23" i="46" s="1"/>
  <c r="AO46" i="41" a="1"/>
  <c r="AO46" i="41" s="1"/>
  <c r="AO45" i="41" s="1"/>
  <c r="AO47" i="46" a="1"/>
  <c r="AO47" i="46" s="1"/>
  <c r="AO52" i="46" a="1"/>
  <c r="AO52" i="46" s="1"/>
  <c r="AO56" i="43" a="1"/>
  <c r="AO56" i="43" s="1"/>
  <c r="AO94" i="41" a="1"/>
  <c r="AO94" i="41" s="1"/>
  <c r="AO38" i="46" a="1"/>
  <c r="AO38" i="46" s="1"/>
  <c r="AO43" i="46" a="1"/>
  <c r="AO43" i="46" s="1"/>
  <c r="AO53" i="43" a="1"/>
  <c r="AO53" i="43" s="1"/>
  <c r="AO100" i="43" a="1"/>
  <c r="AO100" i="43" s="1"/>
  <c r="AO20" i="47" a="1"/>
  <c r="AO20" i="47" s="1"/>
  <c r="AO94" i="46" a="1"/>
  <c r="AO94" i="46" s="1"/>
  <c r="AO37" i="46" a="1"/>
  <c r="AO37" i="46" s="1"/>
  <c r="AO70" i="47" a="1"/>
  <c r="AO70" i="47" s="1"/>
  <c r="AO73" i="47" a="1"/>
  <c r="AO73" i="47" s="1"/>
  <c r="AO77" i="43" a="1"/>
  <c r="AO77" i="43" s="1"/>
  <c r="AO17" i="41" a="1"/>
  <c r="AO17" i="41" s="1"/>
  <c r="AO77" i="41" a="1"/>
  <c r="AO77" i="41" s="1"/>
  <c r="AO71" i="43" a="1"/>
  <c r="AO71" i="43" s="1"/>
  <c r="AO79" i="47" a="1"/>
  <c r="AO79" i="47" s="1"/>
  <c r="AO43" i="47" a="1"/>
  <c r="AO43" i="47" s="1"/>
  <c r="AO80" i="41" a="1"/>
  <c r="AO80" i="41" s="1"/>
  <c r="AO95" i="46" a="1"/>
  <c r="AO95" i="46" s="1"/>
  <c r="AO77" i="46" a="1"/>
  <c r="AO77" i="46" s="1"/>
  <c r="AO71" i="47" a="1"/>
  <c r="AO71" i="47" s="1"/>
  <c r="AO16" i="47" a="1"/>
  <c r="AO16" i="47" s="1"/>
  <c r="AO43" i="43" a="1"/>
  <c r="AO43" i="43" s="1"/>
  <c r="AO29" i="46" a="1"/>
  <c r="AO29" i="46" s="1"/>
  <c r="AO80" i="47" a="1"/>
  <c r="AO80" i="47" s="1"/>
  <c r="AO17" i="43" a="1"/>
  <c r="AO17" i="43" s="1"/>
  <c r="AO76" i="46" a="1"/>
  <c r="AO76" i="46" s="1"/>
  <c r="AO83" i="47" a="1"/>
  <c r="AO83" i="47" s="1"/>
  <c r="AO37" i="41" a="1"/>
  <c r="AO37" i="41" s="1"/>
  <c r="AO26" i="41" a="1"/>
  <c r="AO26" i="41" s="1"/>
  <c r="AO61" i="46" a="1"/>
  <c r="AO61" i="46" s="1"/>
  <c r="AO95" i="47" a="1"/>
  <c r="AO95" i="47" s="1"/>
  <c r="AO103" i="46" a="1"/>
  <c r="AO103" i="46" s="1"/>
  <c r="AO25" i="47" a="1"/>
  <c r="AO25" i="47" s="1"/>
  <c r="AO58" i="46" a="1"/>
  <c r="AO58" i="46" s="1"/>
  <c r="AO38" i="47" a="1"/>
  <c r="AO38" i="47" s="1"/>
  <c r="AO91" i="46" a="1"/>
  <c r="AO91" i="46" s="1"/>
  <c r="AO97" i="41" a="1"/>
  <c r="AO97" i="41" s="1"/>
  <c r="AO96" i="41" s="1"/>
  <c r="AO104" i="46" a="1"/>
  <c r="AO104" i="46" s="1"/>
  <c r="AO26" i="47" a="1"/>
  <c r="AO26" i="47" s="1"/>
  <c r="AO89" i="47" a="1"/>
  <c r="AO89" i="47" s="1"/>
  <c r="AO79" i="41" a="1"/>
  <c r="AO79" i="41" s="1"/>
  <c r="AO23" i="43" a="1"/>
  <c r="AO23" i="43" s="1"/>
  <c r="AO21" i="43" s="1"/>
  <c r="AO88" i="41" a="1"/>
  <c r="AO88" i="41" s="1"/>
  <c r="AO92" i="46" a="1"/>
  <c r="AO92" i="46" s="1"/>
  <c r="AO74" i="41" a="1"/>
  <c r="AO74" i="41" s="1"/>
  <c r="AO52" i="43" a="1"/>
  <c r="AO52" i="43" s="1"/>
  <c r="AO79" i="43" a="1"/>
  <c r="AO79" i="43" s="1"/>
  <c r="AO44" i="46" a="1"/>
  <c r="AO44" i="46" s="1"/>
  <c r="AO88" i="47" a="1"/>
  <c r="AO88" i="47" s="1"/>
  <c r="AO61" i="43" a="1"/>
  <c r="AO61" i="43" s="1"/>
  <c r="AO60" i="43" s="1"/>
  <c r="AO28" i="41" a="1"/>
  <c r="AO28" i="41" s="1"/>
  <c r="AO25" i="46" a="1"/>
  <c r="AO25" i="46" s="1"/>
  <c r="AO74" i="43" a="1"/>
  <c r="AO74" i="43" s="1"/>
  <c r="AO49" i="47" a="1"/>
  <c r="AO49" i="47" s="1"/>
  <c r="AO17" i="46" a="1"/>
  <c r="AO17" i="46" s="1"/>
  <c r="AO55" i="47" a="1"/>
  <c r="AO55" i="47" s="1"/>
  <c r="AO25" i="43" a="1"/>
  <c r="AO25" i="43" s="1"/>
  <c r="AO24" i="43" s="1"/>
  <c r="AO73" i="41" a="1"/>
  <c r="AO73" i="41" s="1"/>
  <c r="AO49" i="43" a="1"/>
  <c r="AO49" i="43" s="1"/>
  <c r="AO74" i="46" a="1"/>
  <c r="AO74" i="46" s="1"/>
  <c r="AO50" i="47" a="1"/>
  <c r="AO50" i="47" s="1"/>
  <c r="AO97" i="46" a="1"/>
  <c r="AO97" i="46" s="1"/>
  <c r="AO38" i="41" a="1"/>
  <c r="AO38" i="41" s="1"/>
  <c r="AO59" i="47" a="1"/>
  <c r="AO59" i="47" s="1"/>
  <c r="AO98" i="47" a="1"/>
  <c r="AO98" i="47" s="1"/>
  <c r="AO56" i="47" a="1"/>
  <c r="AO56" i="47" s="1"/>
  <c r="AO62" i="47" a="1"/>
  <c r="AO62" i="47" s="1"/>
  <c r="AO73" i="43" a="1"/>
  <c r="AO73" i="43" s="1"/>
  <c r="AO28" i="47" a="1"/>
  <c r="AO28" i="47" s="1"/>
  <c r="AO59" i="43" a="1"/>
  <c r="AO59" i="43" s="1"/>
  <c r="AO37" i="43" a="1"/>
  <c r="AO37" i="43" s="1"/>
  <c r="AO97" i="43" a="1"/>
  <c r="AO97" i="43" s="1"/>
  <c r="AO79" i="46" a="1"/>
  <c r="AO79" i="46" s="1"/>
  <c r="AO78" i="46" s="1"/>
  <c r="AO70" i="41" a="1"/>
  <c r="AO70" i="41" s="1"/>
  <c r="AO26" i="46" a="1"/>
  <c r="AO26" i="46" s="1"/>
  <c r="AO62" i="46" a="1"/>
  <c r="AO62" i="46" s="1"/>
  <c r="AO70" i="43" a="1"/>
  <c r="AO70" i="43" s="1"/>
  <c r="AO71" i="41" a="1"/>
  <c r="AO71" i="41" s="1"/>
  <c r="AO25" i="41" a="1"/>
  <c r="AO25" i="41" s="1"/>
  <c r="AO82" i="47" a="1"/>
  <c r="AO82" i="47" s="1"/>
  <c r="AO44" i="43" a="1"/>
  <c r="AO44" i="43" s="1"/>
  <c r="AO53" i="46" a="1"/>
  <c r="AO53" i="46" s="1"/>
  <c r="AO92" i="41" a="1"/>
  <c r="AO92" i="41" s="1"/>
  <c r="AO90" i="41" s="1"/>
  <c r="AO65" i="46" a="1"/>
  <c r="AO65" i="46" s="1"/>
  <c r="AO101" i="43" a="1"/>
  <c r="AO101" i="43" s="1"/>
  <c r="AO68" i="41" a="1"/>
  <c r="AO68" i="41" s="1"/>
  <c r="AO70" i="46" a="1"/>
  <c r="AO70" i="46" s="1"/>
  <c r="AO95" i="43" a="1"/>
  <c r="AO95" i="43" s="1"/>
  <c r="AO93" i="43" s="1"/>
  <c r="AO83" i="43" a="1"/>
  <c r="AO83" i="43" s="1"/>
  <c r="AO81" i="43" s="1"/>
  <c r="AO59" i="46" a="1"/>
  <c r="AO59" i="46" s="1"/>
  <c r="AO17" i="47" a="1"/>
  <c r="AO17" i="47" s="1"/>
  <c r="AO23" i="41" a="1"/>
  <c r="AO23" i="41" s="1"/>
  <c r="AO21" i="41" s="1"/>
  <c r="AO19" i="46" a="1"/>
  <c r="AO19" i="46" s="1"/>
  <c r="AO38" i="43" a="1"/>
  <c r="AO38" i="43" s="1"/>
  <c r="AO29" i="43" a="1"/>
  <c r="AO29" i="43" s="1"/>
  <c r="AO50" i="43" a="1"/>
  <c r="AO50" i="43" s="1"/>
  <c r="AO74" i="47" a="1"/>
  <c r="AO74" i="47" s="1"/>
  <c r="AO16" i="41" a="1"/>
  <c r="AO16" i="41" s="1"/>
  <c r="AO15" i="41" s="1"/>
  <c r="AO76" i="43" a="1"/>
  <c r="AO76" i="43" s="1"/>
  <c r="AO28" i="46" a="1"/>
  <c r="AO28" i="46" s="1"/>
  <c r="AO64" i="46" a="1"/>
  <c r="AO64" i="46" s="1"/>
  <c r="AO63" i="46" s="1"/>
  <c r="AO80" i="43" a="1"/>
  <c r="AO80" i="43" s="1"/>
  <c r="AO76" i="41" a="1"/>
  <c r="AO76" i="41" s="1"/>
  <c r="AO75" i="41" s="1"/>
  <c r="AO46" i="43" a="1"/>
  <c r="AO46" i="43" s="1"/>
  <c r="AO28" i="43" a="1"/>
  <c r="AO28" i="43" s="1"/>
  <c r="AO40" i="43" a="1"/>
  <c r="AO40" i="43" s="1"/>
  <c r="AO31" i="47" a="1"/>
  <c r="AO31" i="47" s="1"/>
  <c r="AO61" i="47" a="1"/>
  <c r="AO61" i="47" s="1"/>
  <c r="AO41" i="43" a="1"/>
  <c r="AO41" i="43" s="1"/>
  <c r="AO58" i="43" a="1"/>
  <c r="AO58" i="43" s="1"/>
  <c r="AO73" i="46" a="1"/>
  <c r="AO73" i="46" s="1"/>
  <c r="AO72" i="46" s="1"/>
  <c r="AO37" i="47" a="1"/>
  <c r="AO37" i="47" s="1"/>
  <c r="AO83" i="46" a="1"/>
  <c r="AO83" i="46" s="1"/>
  <c r="AO20" i="46" a="1"/>
  <c r="AO20" i="46" s="1"/>
  <c r="AO32" i="46" a="1"/>
  <c r="AO32" i="46" s="1"/>
  <c r="AO29" i="47" a="1"/>
  <c r="AO29" i="47" s="1"/>
  <c r="AO47" i="43" a="1"/>
  <c r="AO47" i="43" s="1"/>
  <c r="AO32" i="47" a="1"/>
  <c r="AO32" i="47" s="1"/>
  <c r="AO82" i="46" a="1"/>
  <c r="AO82" i="46" s="1"/>
  <c r="AO67" i="41" a="1"/>
  <c r="AO67" i="41" s="1"/>
  <c r="AO31" i="46" a="1"/>
  <c r="AO31" i="46" s="1"/>
  <c r="AO71" i="46" a="1"/>
  <c r="AO71" i="46" s="1"/>
  <c r="AN33" i="46"/>
  <c r="AN36" i="41"/>
  <c r="AN90" i="46"/>
  <c r="AN84" i="43"/>
  <c r="AU63" i="43"/>
  <c r="AU39" i="41"/>
  <c r="I78" i="47"/>
  <c r="I24" i="46"/>
  <c r="I96" i="41"/>
  <c r="AN36" i="43"/>
  <c r="AN90" i="41"/>
  <c r="AU30" i="43"/>
  <c r="AU81" i="46"/>
  <c r="I99" i="46"/>
  <c r="I24" i="47"/>
  <c r="I36" i="46"/>
  <c r="I27" i="47"/>
  <c r="I48" i="46"/>
  <c r="I39" i="46"/>
  <c r="I33" i="46"/>
  <c r="AN39" i="46"/>
  <c r="AU45" i="47"/>
  <c r="AU15" i="41"/>
  <c r="AU66" i="43"/>
  <c r="AU30" i="41"/>
  <c r="I96" i="47"/>
  <c r="AN24" i="47"/>
  <c r="AN66" i="41"/>
  <c r="AN90" i="43"/>
  <c r="AN18" i="47"/>
  <c r="AN96" i="43"/>
  <c r="AN75" i="41"/>
  <c r="AN36" i="47"/>
  <c r="AU81" i="43"/>
  <c r="AU57" i="43"/>
  <c r="AU42" i="46"/>
  <c r="I45" i="43"/>
  <c r="I60" i="43"/>
  <c r="I78" i="41"/>
  <c r="I42" i="46"/>
  <c r="I87" i="47"/>
  <c r="I87" i="43"/>
  <c r="AN78" i="47"/>
  <c r="AN99" i="41"/>
  <c r="AN57" i="46"/>
  <c r="AN87" i="43"/>
  <c r="AN66" i="43"/>
  <c r="AN54" i="47"/>
  <c r="AU51" i="41"/>
  <c r="AU81" i="47"/>
  <c r="AO84" i="41" l="1"/>
  <c r="AO57" i="41"/>
  <c r="AO24" i="41"/>
  <c r="AO51" i="46"/>
  <c r="AO78" i="43"/>
  <c r="AO36" i="43"/>
  <c r="AO27" i="46"/>
  <c r="AO36" i="47"/>
  <c r="AO75" i="43"/>
  <c r="AO27" i="41"/>
  <c r="AO96" i="46"/>
  <c r="AO99" i="43"/>
  <c r="AO33" i="46"/>
  <c r="AO72" i="47"/>
  <c r="AO42" i="43"/>
  <c r="AO57" i="46"/>
  <c r="AO42" i="47"/>
  <c r="AO51" i="43"/>
  <c r="AO63" i="47"/>
  <c r="AO54" i="46"/>
  <c r="AO60" i="47"/>
  <c r="AO81" i="41"/>
  <c r="AO81" i="46"/>
  <c r="AO48" i="43"/>
  <c r="AO27" i="43"/>
  <c r="AO18" i="46"/>
  <c r="AO69" i="47"/>
  <c r="AO21" i="46"/>
  <c r="AO42" i="41"/>
  <c r="AO90" i="43"/>
  <c r="AO78" i="47"/>
  <c r="AO57" i="43"/>
  <c r="AO69" i="41"/>
  <c r="AO75" i="46"/>
  <c r="AO54" i="41"/>
  <c r="AO30" i="46"/>
  <c r="AO69" i="43"/>
  <c r="AO90" i="47"/>
  <c r="AO93" i="41"/>
  <c r="AO87" i="46"/>
  <c r="AO66" i="41"/>
  <c r="AO90" i="46"/>
  <c r="AO39" i="46"/>
  <c r="AO72" i="41"/>
  <c r="AO66" i="46"/>
  <c r="AO81" i="47"/>
  <c r="AO72" i="43"/>
  <c r="AO75" i="47"/>
  <c r="AO102" i="41"/>
  <c r="AO27" i="47"/>
  <c r="AO15" i="47"/>
  <c r="AO87" i="41"/>
  <c r="AO33" i="41"/>
  <c r="AO78" i="41"/>
  <c r="AO15" i="43"/>
  <c r="AO45" i="46"/>
  <c r="AO30" i="43"/>
  <c r="AO30" i="41"/>
  <c r="AO24" i="46"/>
  <c r="AO36" i="41"/>
  <c r="AO102" i="47"/>
  <c r="AO66" i="47"/>
  <c r="AO33" i="43"/>
  <c r="AV56" i="46" a="1"/>
  <c r="AV56" i="46" s="1"/>
  <c r="AV55" i="46" a="1"/>
  <c r="AV55" i="46" s="1"/>
  <c r="AV23" i="41" a="1"/>
  <c r="AV23" i="41" s="1"/>
  <c r="AV21" i="41" s="1"/>
  <c r="AV62" i="43" a="1"/>
  <c r="AV62" i="43" s="1"/>
  <c r="AV73" i="47" a="1"/>
  <c r="AV73" i="47" s="1"/>
  <c r="AV74" i="47" a="1"/>
  <c r="AV74" i="47" s="1"/>
  <c r="AV88" i="43" a="1"/>
  <c r="AV88" i="43" s="1"/>
  <c r="AV89" i="47" a="1"/>
  <c r="AV89" i="47" s="1"/>
  <c r="AV65" i="47" a="1"/>
  <c r="AV65" i="47" s="1"/>
  <c r="AV64" i="47" a="1"/>
  <c r="AV64" i="47" s="1"/>
  <c r="AV89" i="43" a="1"/>
  <c r="AV89" i="43" s="1"/>
  <c r="AV88" i="47" a="1"/>
  <c r="AV88" i="47" s="1"/>
  <c r="AV50" i="43" a="1"/>
  <c r="AV50" i="43" s="1"/>
  <c r="AV89" i="41" a="1"/>
  <c r="AV89" i="41" s="1"/>
  <c r="AV49" i="43" a="1"/>
  <c r="AV49" i="43" s="1"/>
  <c r="AV88" i="41" a="1"/>
  <c r="AV88" i="41" s="1"/>
  <c r="AV55" i="41" a="1"/>
  <c r="AV55" i="41" s="1"/>
  <c r="AV31" i="43" a="1"/>
  <c r="AV31" i="43" s="1"/>
  <c r="AV80" i="46" a="1"/>
  <c r="AV80" i="46" s="1"/>
  <c r="AV98" i="46" a="1"/>
  <c r="AV98" i="46" s="1"/>
  <c r="AV73" i="41" a="1"/>
  <c r="AV73" i="41" s="1"/>
  <c r="AV85" i="47" a="1"/>
  <c r="AV85" i="47" s="1"/>
  <c r="AV61" i="43" a="1"/>
  <c r="AV61" i="43" s="1"/>
  <c r="AV60" i="43" s="1"/>
  <c r="AV53" i="46" a="1"/>
  <c r="AV53" i="46" s="1"/>
  <c r="AV103" i="46" a="1"/>
  <c r="AV103" i="46" s="1"/>
  <c r="AV40" i="41" a="1"/>
  <c r="AV40" i="41" s="1"/>
  <c r="AV104" i="46" a="1"/>
  <c r="AV104" i="46" s="1"/>
  <c r="AV56" i="41" a="1"/>
  <c r="AV56" i="41" s="1"/>
  <c r="AV41" i="41" a="1"/>
  <c r="AV41" i="41" s="1"/>
  <c r="AV70" i="47" a="1"/>
  <c r="AV70" i="47" s="1"/>
  <c r="AV32" i="43" a="1"/>
  <c r="AV32" i="43" s="1"/>
  <c r="AV86" i="41" a="1"/>
  <c r="AV86" i="41" s="1"/>
  <c r="AV97" i="46" a="1"/>
  <c r="AV97" i="46" s="1"/>
  <c r="AV96" i="46" s="1"/>
  <c r="AV94" i="46" a="1"/>
  <c r="AV94" i="46" s="1"/>
  <c r="AV58" i="46" a="1"/>
  <c r="AV58" i="46" s="1"/>
  <c r="AV65" i="41" a="1"/>
  <c r="AV65" i="41" s="1"/>
  <c r="AV22" i="46" a="1"/>
  <c r="AV22" i="46" s="1"/>
  <c r="AV31" i="41" a="1"/>
  <c r="AV31" i="41" s="1"/>
  <c r="AV67" i="43" a="1"/>
  <c r="AV67" i="43" s="1"/>
  <c r="AV86" i="43" a="1"/>
  <c r="AV86" i="43" s="1"/>
  <c r="AV37" i="43" a="1"/>
  <c r="AV37" i="43" s="1"/>
  <c r="AV34" i="47" a="1"/>
  <c r="AV34" i="47" s="1"/>
  <c r="AV52" i="46" a="1"/>
  <c r="AV52" i="46" s="1"/>
  <c r="AV51" i="46" s="1"/>
  <c r="AV85" i="46" a="1"/>
  <c r="AV85" i="46" s="1"/>
  <c r="AV53" i="47" a="1"/>
  <c r="AV53" i="47" s="1"/>
  <c r="AV94" i="43" a="1"/>
  <c r="AV94" i="43" s="1"/>
  <c r="AV95" i="46" a="1"/>
  <c r="AV95" i="46" s="1"/>
  <c r="AV58" i="43" a="1"/>
  <c r="AV58" i="43" s="1"/>
  <c r="AV32" i="41" a="1"/>
  <c r="AV32" i="41" s="1"/>
  <c r="AV62" i="46" a="1"/>
  <c r="AV62" i="46" s="1"/>
  <c r="AV68" i="43" a="1"/>
  <c r="AV68" i="43" s="1"/>
  <c r="AV80" i="47" a="1"/>
  <c r="AV80" i="47" s="1"/>
  <c r="AV85" i="43" a="1"/>
  <c r="AV85" i="43" s="1"/>
  <c r="AV84" i="43" s="1"/>
  <c r="AV38" i="43" a="1"/>
  <c r="AV38" i="43" s="1"/>
  <c r="AV35" i="47" a="1"/>
  <c r="AV35" i="47" s="1"/>
  <c r="AV19" i="46" a="1"/>
  <c r="AV19" i="46" s="1"/>
  <c r="AV74" i="41" a="1"/>
  <c r="AV74" i="41" s="1"/>
  <c r="AV95" i="43" a="1"/>
  <c r="AV95" i="43" s="1"/>
  <c r="AV101" i="46" a="1"/>
  <c r="AV101" i="46" s="1"/>
  <c r="AV100" i="43" a="1"/>
  <c r="AV100" i="43" s="1"/>
  <c r="AV16" i="43" a="1"/>
  <c r="AV16" i="43" s="1"/>
  <c r="AV79" i="46" a="1"/>
  <c r="AV79" i="46" s="1"/>
  <c r="AV79" i="47" a="1"/>
  <c r="AV79" i="47" s="1"/>
  <c r="AV92" i="47" a="1"/>
  <c r="AV92" i="47" s="1"/>
  <c r="AV65" i="43" a="1"/>
  <c r="AV65" i="43" s="1"/>
  <c r="AV76" i="47" a="1"/>
  <c r="AV76" i="47" s="1"/>
  <c r="AV44" i="41" a="1"/>
  <c r="AV44" i="41" s="1"/>
  <c r="AV71" i="47" a="1"/>
  <c r="AV71" i="47" s="1"/>
  <c r="AV100" i="46" a="1"/>
  <c r="AV100" i="46" s="1"/>
  <c r="AV19" i="41" a="1"/>
  <c r="AV19" i="41" s="1"/>
  <c r="AV97" i="43" a="1"/>
  <c r="AV97" i="43" s="1"/>
  <c r="AV82" i="47" a="1"/>
  <c r="AV82" i="47" s="1"/>
  <c r="AV101" i="43" a="1"/>
  <c r="AV101" i="43" s="1"/>
  <c r="AV17" i="43" a="1"/>
  <c r="AV17" i="43" s="1"/>
  <c r="AV77" i="43" a="1"/>
  <c r="AV77" i="43" s="1"/>
  <c r="AV38" i="46" a="1"/>
  <c r="AV38" i="46" s="1"/>
  <c r="AV62" i="41" a="1"/>
  <c r="AV62" i="41" s="1"/>
  <c r="AV77" i="41" a="1"/>
  <c r="AV77" i="41" s="1"/>
  <c r="AV41" i="47" a="1"/>
  <c r="AV41" i="47" s="1"/>
  <c r="AV44" i="43" a="1"/>
  <c r="AV44" i="43" s="1"/>
  <c r="AV91" i="47" a="1"/>
  <c r="AV91" i="47" s="1"/>
  <c r="AV64" i="43" a="1"/>
  <c r="AV64" i="43" s="1"/>
  <c r="AV77" i="47" a="1"/>
  <c r="AV77" i="47" s="1"/>
  <c r="AV43" i="41" a="1"/>
  <c r="AV43" i="41" s="1"/>
  <c r="AV95" i="47" a="1"/>
  <c r="AV95" i="47" s="1"/>
  <c r="AV20" i="41" a="1"/>
  <c r="AV20" i="41" s="1"/>
  <c r="AV40" i="47" a="1"/>
  <c r="AV40" i="47" s="1"/>
  <c r="AV49" i="47" a="1"/>
  <c r="AV49" i="47" s="1"/>
  <c r="AV98" i="43" a="1"/>
  <c r="AV98" i="43" s="1"/>
  <c r="AV83" i="47" a="1"/>
  <c r="AV83" i="47" s="1"/>
  <c r="AV55" i="47" a="1"/>
  <c r="AV55" i="47" s="1"/>
  <c r="AV76" i="41" a="1"/>
  <c r="AV76" i="41" s="1"/>
  <c r="AV85" i="41" a="1"/>
  <c r="AV85" i="41" s="1"/>
  <c r="AV84" i="41" s="1"/>
  <c r="AV100" i="41" a="1"/>
  <c r="AV100" i="41" s="1"/>
  <c r="AV43" i="43" a="1"/>
  <c r="AV43" i="43" s="1"/>
  <c r="AV98" i="47" a="1"/>
  <c r="AV98" i="47" s="1"/>
  <c r="AV94" i="47" a="1"/>
  <c r="AV94" i="47" s="1"/>
  <c r="AV93" i="47" s="1"/>
  <c r="AV101" i="41" a="1"/>
  <c r="AV101" i="41" s="1"/>
  <c r="AV59" i="46" a="1"/>
  <c r="AV59" i="46" s="1"/>
  <c r="AV50" i="47" a="1"/>
  <c r="AV50" i="47" s="1"/>
  <c r="AV56" i="47" a="1"/>
  <c r="AV56" i="47" s="1"/>
  <c r="AV59" i="43" a="1"/>
  <c r="AV59" i="43" s="1"/>
  <c r="AV86" i="47" a="1"/>
  <c r="AV86" i="47" s="1"/>
  <c r="AV97" i="47" a="1"/>
  <c r="AV97" i="47" s="1"/>
  <c r="AV35" i="41" a="1"/>
  <c r="AV35" i="41" s="1"/>
  <c r="AV79" i="43" a="1"/>
  <c r="AV79" i="43" s="1"/>
  <c r="AV52" i="47" a="1"/>
  <c r="AV52" i="47" s="1"/>
  <c r="AV65" i="46" a="1"/>
  <c r="AV65" i="46" s="1"/>
  <c r="AV97" i="41" a="1"/>
  <c r="AV97" i="41" s="1"/>
  <c r="AV34" i="43" a="1"/>
  <c r="AV34" i="43" s="1"/>
  <c r="AV89" i="46" a="1"/>
  <c r="AV89" i="46" s="1"/>
  <c r="AV23" i="47" a="1"/>
  <c r="AV23" i="47" s="1"/>
  <c r="AV37" i="47" a="1"/>
  <c r="AV37" i="47" s="1"/>
  <c r="AV34" i="41" a="1"/>
  <c r="AV34" i="41" s="1"/>
  <c r="AV80" i="43" a="1"/>
  <c r="AV80" i="43" s="1"/>
  <c r="AV49" i="46" a="1"/>
  <c r="AV49" i="46" s="1"/>
  <c r="AV103" i="47" a="1"/>
  <c r="AV103" i="47" s="1"/>
  <c r="AV79" i="41" a="1"/>
  <c r="AV79" i="41" s="1"/>
  <c r="AV52" i="43" a="1"/>
  <c r="AV52" i="43" s="1"/>
  <c r="AV47" i="46" a="1"/>
  <c r="AV47" i="46" s="1"/>
  <c r="AV34" i="46" a="1"/>
  <c r="AV34" i="46" s="1"/>
  <c r="AV43" i="47" a="1"/>
  <c r="AV43" i="47" s="1"/>
  <c r="AV16" i="47" a="1"/>
  <c r="AV16" i="47" s="1"/>
  <c r="AV92" i="41" a="1"/>
  <c r="AV92" i="41" s="1"/>
  <c r="AV71" i="43" a="1"/>
  <c r="AV71" i="43" s="1"/>
  <c r="AV52" i="41" a="1"/>
  <c r="AV52" i="41" s="1"/>
  <c r="AV103" i="43" a="1"/>
  <c r="AV103" i="43" s="1"/>
  <c r="AV17" i="46" a="1"/>
  <c r="AV17" i="46" s="1"/>
  <c r="AV70" i="46" a="1"/>
  <c r="AV70" i="46" s="1"/>
  <c r="AV29" i="46" a="1"/>
  <c r="AV29" i="46" s="1"/>
  <c r="AV46" i="47" a="1"/>
  <c r="AV46" i="47" s="1"/>
  <c r="AV101" i="47" a="1"/>
  <c r="AV101" i="47" s="1"/>
  <c r="AV40" i="46" a="1"/>
  <c r="AV40" i="46" s="1"/>
  <c r="AV68" i="47" a="1"/>
  <c r="AV68" i="47" s="1"/>
  <c r="AV82" i="41" a="1"/>
  <c r="AV82" i="41" s="1"/>
  <c r="AV76" i="43" a="1"/>
  <c r="AV76" i="43" s="1"/>
  <c r="AV75" i="43" s="1"/>
  <c r="AV38" i="47" a="1"/>
  <c r="AV38" i="47" s="1"/>
  <c r="AV50" i="46" a="1"/>
  <c r="AV50" i="46" s="1"/>
  <c r="AV104" i="47" a="1"/>
  <c r="AV104" i="47" s="1"/>
  <c r="AV53" i="41" a="1"/>
  <c r="AV53" i="41" s="1"/>
  <c r="AV104" i="43" a="1"/>
  <c r="AV104" i="43" s="1"/>
  <c r="AV74" i="46" a="1"/>
  <c r="AV74" i="46" s="1"/>
  <c r="AV25" i="41" a="1"/>
  <c r="AV25" i="41" s="1"/>
  <c r="AV70" i="43" a="1"/>
  <c r="AV70" i="43" s="1"/>
  <c r="AV20" i="46" a="1"/>
  <c r="AV20" i="46" s="1"/>
  <c r="AV86" i="46" a="1"/>
  <c r="AV86" i="46" s="1"/>
  <c r="AV94" i="41" a="1"/>
  <c r="AV94" i="41" s="1"/>
  <c r="AV16" i="46" a="1"/>
  <c r="AV16" i="46" s="1"/>
  <c r="AV82" i="46" a="1"/>
  <c r="AV82" i="46" s="1"/>
  <c r="AV28" i="46" a="1"/>
  <c r="AV28" i="46" s="1"/>
  <c r="AV27" i="46" s="1"/>
  <c r="AV41" i="46" a="1"/>
  <c r="AV41" i="46" s="1"/>
  <c r="AV23" i="43" a="1"/>
  <c r="AV23" i="43" s="1"/>
  <c r="AV21" i="43" s="1"/>
  <c r="AV95" i="41" a="1"/>
  <c r="AV95" i="41" s="1"/>
  <c r="AV68" i="41" a="1"/>
  <c r="AV68" i="41" s="1"/>
  <c r="AV19" i="43" a="1"/>
  <c r="AV19" i="43" s="1"/>
  <c r="AV31" i="46" a="1"/>
  <c r="AV31" i="46" s="1"/>
  <c r="AV47" i="41" a="1"/>
  <c r="AV47" i="41" s="1"/>
  <c r="AV16" i="41" a="1"/>
  <c r="AV16" i="41" s="1"/>
  <c r="AV26" i="41" a="1"/>
  <c r="AV26" i="41" s="1"/>
  <c r="AV25" i="46" a="1"/>
  <c r="AV25" i="46" s="1"/>
  <c r="AV91" i="46" a="1"/>
  <c r="AV91" i="46" s="1"/>
  <c r="AV67" i="41" a="1"/>
  <c r="AV67" i="41" s="1"/>
  <c r="AV20" i="43" a="1"/>
  <c r="AV20" i="43" s="1"/>
  <c r="AV47" i="47" a="1"/>
  <c r="AV47" i="47" s="1"/>
  <c r="AV37" i="41" a="1"/>
  <c r="AV37" i="41" s="1"/>
  <c r="AV31" i="47" a="1"/>
  <c r="AV31" i="47" s="1"/>
  <c r="AV43" i="46" a="1"/>
  <c r="AV43" i="46" s="1"/>
  <c r="AV64" i="41" a="1"/>
  <c r="AV64" i="41" s="1"/>
  <c r="AV63" i="41" s="1"/>
  <c r="AV71" i="41" a="1"/>
  <c r="AV71" i="41" s="1"/>
  <c r="AV91" i="43" a="1"/>
  <c r="AV91" i="43" s="1"/>
  <c r="AV17" i="41" a="1"/>
  <c r="AV17" i="41" s="1"/>
  <c r="AV83" i="43" a="1"/>
  <c r="AV83" i="43" s="1"/>
  <c r="AV98" i="41" a="1"/>
  <c r="AV98" i="41" s="1"/>
  <c r="AV56" i="43" a="1"/>
  <c r="AV56" i="43" s="1"/>
  <c r="AV62" i="47" a="1"/>
  <c r="AV62" i="47" s="1"/>
  <c r="AV26" i="46" a="1"/>
  <c r="AV26" i="46" s="1"/>
  <c r="AV70" i="41" a="1"/>
  <c r="AV70" i="41" s="1"/>
  <c r="AV104" i="41" a="1"/>
  <c r="AV104" i="41" s="1"/>
  <c r="AV37" i="46" a="1"/>
  <c r="AV37" i="46" s="1"/>
  <c r="AV36" i="46" s="1"/>
  <c r="AV83" i="41" a="1"/>
  <c r="AV83" i="41" s="1"/>
  <c r="AV81" i="41" s="1"/>
  <c r="AV61" i="46" a="1"/>
  <c r="AV61" i="46" s="1"/>
  <c r="AV60" i="46" s="1"/>
  <c r="AV32" i="47" a="1"/>
  <c r="AV32" i="47" s="1"/>
  <c r="AV28" i="41" a="1"/>
  <c r="AV28" i="41" s="1"/>
  <c r="AV92" i="43" a="1"/>
  <c r="AV92" i="43" s="1"/>
  <c r="AV61" i="41" a="1"/>
  <c r="AV61" i="41" s="1"/>
  <c r="AV60" i="41" s="1"/>
  <c r="AV53" i="43" a="1"/>
  <c r="AV53" i="43" s="1"/>
  <c r="AV41" i="43" a="1"/>
  <c r="AV41" i="43" s="1"/>
  <c r="AV83" i="46" a="1"/>
  <c r="AV83" i="46" s="1"/>
  <c r="AV23" i="46" a="1"/>
  <c r="AV23" i="46" s="1"/>
  <c r="AV103" i="41" a="1"/>
  <c r="AV103" i="41" s="1"/>
  <c r="AV102" i="41" s="1"/>
  <c r="AV50" i="41" a="1"/>
  <c r="AV50" i="41" s="1"/>
  <c r="AV73" i="43" a="1"/>
  <c r="AV73" i="43" s="1"/>
  <c r="AV80" i="41" a="1"/>
  <c r="AV80" i="41" s="1"/>
  <c r="AV29" i="47" a="1"/>
  <c r="AV29" i="47" s="1"/>
  <c r="AV17" i="47" a="1"/>
  <c r="AV17" i="47" s="1"/>
  <c r="AV91" i="41" a="1"/>
  <c r="AV91" i="41" s="1"/>
  <c r="AV90" i="41" s="1"/>
  <c r="AV67" i="47" a="1"/>
  <c r="AV67" i="47" s="1"/>
  <c r="AV66" i="47" s="1"/>
  <c r="AV92" i="46" a="1"/>
  <c r="AV92" i="46" s="1"/>
  <c r="AV22" i="47" a="1"/>
  <c r="AV22" i="47" s="1"/>
  <c r="AV21" i="47" s="1"/>
  <c r="AV38" i="41" a="1"/>
  <c r="AV38" i="41" s="1"/>
  <c r="AV55" i="43" a="1"/>
  <c r="AV55" i="43" s="1"/>
  <c r="AV73" i="46" a="1"/>
  <c r="AV73" i="46" s="1"/>
  <c r="AV72" i="46" s="1"/>
  <c r="AV88" i="46" a="1"/>
  <c r="AV88" i="46" s="1"/>
  <c r="AV87" i="46" s="1"/>
  <c r="AV44" i="46" a="1"/>
  <c r="AV44" i="46" s="1"/>
  <c r="AV64" i="46" a="1"/>
  <c r="AV64" i="46" s="1"/>
  <c r="AV63" i="46" s="1"/>
  <c r="AV19" i="47" a="1"/>
  <c r="AV19" i="47" s="1"/>
  <c r="AV77" i="46" a="1"/>
  <c r="AV77" i="46" s="1"/>
  <c r="AV25" i="43" a="1"/>
  <c r="AV25" i="43" s="1"/>
  <c r="AV44" i="47" a="1"/>
  <c r="AV44" i="47" s="1"/>
  <c r="AV42" i="47" s="1"/>
  <c r="AV100" i="47" a="1"/>
  <c r="AV100" i="47" s="1"/>
  <c r="AV99" i="47" s="1"/>
  <c r="AV35" i="43" a="1"/>
  <c r="AV35" i="43" s="1"/>
  <c r="AV33" i="43" s="1"/>
  <c r="AV28" i="43" a="1"/>
  <c r="AV28" i="43" s="1"/>
  <c r="AV26" i="43" a="1"/>
  <c r="AV26" i="43" s="1"/>
  <c r="AV68" i="46" a="1"/>
  <c r="AV68" i="46" s="1"/>
  <c r="AV46" i="46" a="1"/>
  <c r="AV46" i="46" s="1"/>
  <c r="AV45" i="46" s="1"/>
  <c r="AV74" i="43" a="1"/>
  <c r="AV74" i="43" s="1"/>
  <c r="AV72" i="43" s="1"/>
  <c r="AV20" i="47" a="1"/>
  <c r="AV20" i="47" s="1"/>
  <c r="AV67" i="46" a="1"/>
  <c r="AV67" i="46" s="1"/>
  <c r="AV61" i="47" a="1"/>
  <c r="AV61" i="47" s="1"/>
  <c r="AV46" i="43" a="1"/>
  <c r="AV46" i="43" s="1"/>
  <c r="AV59" i="41" a="1"/>
  <c r="AV59" i="41" s="1"/>
  <c r="AV25" i="47" a="1"/>
  <c r="AV25" i="47" s="1"/>
  <c r="AV47" i="43" a="1"/>
  <c r="AV47" i="43" s="1"/>
  <c r="AV82" i="43" a="1"/>
  <c r="AV82" i="43" s="1"/>
  <c r="AV81" i="43" s="1"/>
  <c r="AV58" i="41" a="1"/>
  <c r="AV58" i="41" s="1"/>
  <c r="AV26" i="47" a="1"/>
  <c r="AV26" i="47" s="1"/>
  <c r="AV49" i="41" a="1"/>
  <c r="AV49" i="41" s="1"/>
  <c r="AV48" i="41" s="1"/>
  <c r="AV58" i="47" a="1"/>
  <c r="AV58" i="47" s="1"/>
  <c r="AV40" i="43" a="1"/>
  <c r="AV40" i="43" s="1"/>
  <c r="AV76" i="46" a="1"/>
  <c r="AV76" i="46" s="1"/>
  <c r="AV29" i="41" a="1"/>
  <c r="AV29" i="41" s="1"/>
  <c r="AV27" i="41" s="1"/>
  <c r="AV32" i="46" a="1"/>
  <c r="AV32" i="46" s="1"/>
  <c r="AV30" i="46" s="1"/>
  <c r="AV59" i="47" a="1"/>
  <c r="AV59" i="47" s="1"/>
  <c r="AV28" i="47" a="1"/>
  <c r="AV28" i="47" s="1"/>
  <c r="AV27" i="47" s="1"/>
  <c r="AV46" i="41" a="1"/>
  <c r="AV46" i="41" s="1"/>
  <c r="AV45" i="41" s="1"/>
  <c r="AV35" i="46" a="1"/>
  <c r="AV35" i="46" s="1"/>
  <c r="AV33" i="46" s="1"/>
  <c r="AV71" i="46" a="1"/>
  <c r="AV71" i="46" s="1"/>
  <c r="AV69" i="46" s="1"/>
  <c r="AV29" i="43" a="1"/>
  <c r="AV29" i="43" s="1"/>
  <c r="AO69" i="46"/>
  <c r="AO42" i="46"/>
  <c r="AO57" i="47"/>
  <c r="AO102" i="43"/>
  <c r="AO93" i="47"/>
  <c r="AO51" i="47"/>
  <c r="AO33" i="47"/>
  <c r="AO87" i="47"/>
  <c r="AO54" i="43"/>
  <c r="AO21" i="47"/>
  <c r="AO51" i="41"/>
  <c r="AO30" i="47"/>
  <c r="AO96" i="47"/>
  <c r="AO15" i="46"/>
  <c r="AO45" i="47"/>
  <c r="AO84" i="46"/>
  <c r="AO39" i="43"/>
  <c r="AO48" i="46"/>
  <c r="AO87" i="43"/>
  <c r="AO24" i="47"/>
  <c r="AO63" i="43"/>
  <c r="AO60" i="41"/>
  <c r="AO99" i="41"/>
  <c r="AO45" i="43"/>
  <c r="AO54" i="47"/>
  <c r="AO102" i="46"/>
  <c r="AO36" i="46"/>
  <c r="AO66" i="43"/>
  <c r="AO48" i="41"/>
  <c r="AO93" i="46"/>
  <c r="AO18" i="47"/>
  <c r="AO18" i="41"/>
  <c r="AO48" i="47"/>
  <c r="AO60" i="46"/>
  <c r="AO99" i="47"/>
  <c r="AO96" i="43"/>
  <c r="AO84" i="47"/>
  <c r="AV42" i="46" l="1"/>
  <c r="AV15" i="46"/>
  <c r="AV78" i="47"/>
  <c r="AV78" i="46"/>
  <c r="AV39" i="43"/>
  <c r="AV60" i="47"/>
  <c r="AV42" i="41"/>
  <c r="AV36" i="41"/>
  <c r="AV75" i="46"/>
  <c r="AV51" i="47"/>
  <c r="AV87" i="47"/>
  <c r="AV66" i="46"/>
  <c r="AV99" i="46"/>
  <c r="AV66" i="41"/>
  <c r="AV96" i="47"/>
  <c r="AV75" i="41"/>
  <c r="AV54" i="46"/>
  <c r="AV57" i="41"/>
  <c r="AV54" i="43"/>
  <c r="AV69" i="41"/>
  <c r="AV90" i="47"/>
  <c r="AV90" i="43"/>
  <c r="AV15" i="41"/>
  <c r="AV39" i="41"/>
  <c r="AV102" i="46"/>
  <c r="AV24" i="41"/>
  <c r="AV42" i="43"/>
  <c r="AV63" i="43"/>
  <c r="AV18" i="47"/>
  <c r="AV30" i="41"/>
  <c r="AV39" i="46"/>
  <c r="AV96" i="41"/>
  <c r="AV15" i="43"/>
  <c r="AV21" i="46"/>
  <c r="AV81" i="47"/>
  <c r="AV99" i="43"/>
  <c r="AV57" i="43"/>
  <c r="AV18" i="43"/>
  <c r="AV45" i="47"/>
  <c r="AV51" i="43"/>
  <c r="AV96" i="43"/>
  <c r="AV57" i="46"/>
  <c r="AV30" i="47"/>
  <c r="AV78" i="41"/>
  <c r="AV78" i="43"/>
  <c r="AV99" i="41"/>
  <c r="AV18" i="41"/>
  <c r="AV93" i="43"/>
  <c r="AV93" i="46"/>
  <c r="AV84" i="47"/>
  <c r="AV63" i="47"/>
  <c r="AV102" i="47"/>
  <c r="AV72" i="41"/>
  <c r="AV27" i="43"/>
  <c r="AV48" i="46"/>
  <c r="AV18" i="46"/>
  <c r="AV84" i="46"/>
  <c r="AV102" i="43"/>
  <c r="AV54" i="47"/>
  <c r="AV87" i="43"/>
  <c r="AV51" i="41"/>
  <c r="AV33" i="41"/>
  <c r="AV75" i="47"/>
  <c r="AV33" i="47"/>
  <c r="AV69" i="47"/>
  <c r="AV30" i="43"/>
  <c r="AV57" i="47"/>
  <c r="AV90" i="46"/>
  <c r="AV81" i="46"/>
  <c r="AV69" i="43"/>
  <c r="AV36" i="47"/>
  <c r="AV36" i="43"/>
  <c r="AV54" i="41"/>
  <c r="AV72" i="47"/>
  <c r="AV45" i="43"/>
  <c r="AV24" i="43"/>
  <c r="AV24" i="46"/>
  <c r="AV48" i="47"/>
  <c r="AV87" i="41"/>
  <c r="AV24" i="47"/>
  <c r="AV93" i="41"/>
  <c r="AV15" i="47"/>
  <c r="AV39" i="47"/>
  <c r="AV66" i="43"/>
  <c r="AV48" i="4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<sst xmlns="http://schemas.openxmlformats.org/spreadsheetml/2006/main" count="2967" uniqueCount="626">
  <si>
    <t>Razón Social:</t>
  </si>
  <si>
    <t>TANATORIOS DE CORDOBA, SA/Convenio Colectivo de Sector de POMPAS FUNEBRES (14000425011981) de Córdoba</t>
  </si>
  <si>
    <t>NIF:</t>
  </si>
  <si>
    <t>A14087548</t>
  </si>
  <si>
    <t>PERIODO DE REFERENCIA</t>
  </si>
  <si>
    <t>fecha inicio</t>
  </si>
  <si>
    <t>fecha fin</t>
  </si>
  <si>
    <t>TABLAS DEL REGISTRO RETRIBUTIVO</t>
  </si>
  <si>
    <t>TABLAS ADICIONALES PARA EMPRESAS QUE REALICEN AUDITORÍA RETRIBUTIVA (TRABAJOS DE IGUAL VALOR)</t>
  </si>
  <si>
    <t>CAMPO</t>
  </si>
  <si>
    <t>Tipo</t>
  </si>
  <si>
    <t>Reg.</t>
  </si>
  <si>
    <t>Descripción</t>
  </si>
  <si>
    <t>Formato</t>
  </si>
  <si>
    <t>Valores permitidos</t>
  </si>
  <si>
    <t>Ret.</t>
  </si>
  <si>
    <t>id</t>
  </si>
  <si>
    <t>PERSONA</t>
  </si>
  <si>
    <t>x</t>
  </si>
  <si>
    <t>Identificador único para cada persona trabajadora.</t>
  </si>
  <si>
    <t>Número entero</t>
  </si>
  <si>
    <t>Sexo</t>
  </si>
  <si>
    <t>Sexo de la persona trabajadora.</t>
  </si>
  <si>
    <t>Texto</t>
  </si>
  <si>
    <t>Hombre / Mujer</t>
  </si>
  <si>
    <t>Fecha Nacimiento</t>
  </si>
  <si>
    <t>Fecha de nacimiento de la persona trabajadora.</t>
  </si>
  <si>
    <t>Fecha</t>
  </si>
  <si>
    <t>dd-mm-aa</t>
  </si>
  <si>
    <t>Nivel de Estudios</t>
  </si>
  <si>
    <t>Nivel académico actual de la persona trabajadora.</t>
  </si>
  <si>
    <t>Situación Familiar</t>
  </si>
  <si>
    <t>Situación familiar conforme a MODELO 145 AEAT.</t>
  </si>
  <si>
    <t>conforme a MODELO 145 AEAT</t>
  </si>
  <si>
    <t>Hijos/as</t>
  </si>
  <si>
    <t>Número de hijos/as de la persona trabajadora, conforme a MODELO 145 AEAT.</t>
  </si>
  <si>
    <t>Fecha de Contratación</t>
  </si>
  <si>
    <t>SITUACION CONTRACTUAL</t>
  </si>
  <si>
    <t>Fecha de contratación. Se emplea exclusivamente en el caso de contrataciones con fecha posterior al inicio del periodo de referencia. Si es anterior, puede dejarse en blanco. 1/1/1900 = 0.</t>
  </si>
  <si>
    <t>Fecha fin contrato</t>
  </si>
  <si>
    <t>Fecha de fin del contrato. Se emplea exclusivamente en el caso de contrataciones finalizadas antes del fin del periodo de referencia. Si es posterior, puede dejarse en blanco. 1/1/1900 = 0.</t>
  </si>
  <si>
    <t>Fecha de Antigüedad</t>
  </si>
  <si>
    <t>Fecha que aplica a efectos de cálculo de antigüedad (puede o no coincidir con la fecha de contratación).</t>
  </si>
  <si>
    <t>Fecha Inicio Sit. Contract.</t>
  </si>
  <si>
    <t>Fecha de inicio de la Situación contractual. Se emplea exclusivamente en el caso de inicio de Situación contractual con fecha posterior al inicio del periodo de referencia. Si es anterior, puede dejarse en blanco. 1/1/1900 = 0.</t>
  </si>
  <si>
    <t>Fecha Fin Sit. Contract.</t>
  </si>
  <si>
    <t>Fecha de fin de la Situación contractual. Se emplea exclusivamente en el caso de fin de Situación contractual con fecha anterior al fin del periodo de referencia. Si es posterior, puede dejarse en blanco. 1/1/1900 = 0.</t>
  </si>
  <si>
    <t>% de jornada</t>
  </si>
  <si>
    <r>
      <t xml:space="preserve">% de jornada realizada por la persona en el periodo de referencia y Situación contractual, considerando 100% como jornada completa, y </t>
    </r>
    <r>
      <rPr>
        <b/>
        <u/>
        <sz val="10"/>
        <color rgb="FF000000"/>
        <rFont val="Cambria"/>
        <family val="1"/>
      </rPr>
      <t>sin considerar las reducciones de jornada</t>
    </r>
    <r>
      <rPr>
        <sz val="10"/>
        <color rgb="FF000000"/>
        <rFont val="Cambria"/>
        <family val="1"/>
      </rPr>
      <t xml:space="preserve">. Si el % ha variado a lo largo del periodo de referencia, deberá asegurarse que para el periodo indicado (inicio y fin de contrato que se indique), el % de jornada sea constante, y que los importes de retribución son igualmente consistentes con ese %. </t>
    </r>
  </si>
  <si>
    <t>Porcentaje</t>
  </si>
  <si>
    <t>%</t>
  </si>
  <si>
    <t>% jornada reducida</t>
  </si>
  <si>
    <r>
      <t>Medido en relación a la jornada por contrato</t>
    </r>
    <r>
      <rPr>
        <sz val="10"/>
        <color rgb="FF000000"/>
        <rFont val="Cambria"/>
        <family val="1"/>
      </rPr>
      <t xml:space="preserve"> en la Situación contractual</t>
    </r>
    <r>
      <rPr>
        <sz val="10"/>
        <color theme="1"/>
        <rFont val="Cambria"/>
        <family val="1"/>
      </rPr>
      <t>. Ejemplo: si una persona con contrato a tiempo completo reduce 1/3 su jornada, el % a indicar será el 66,67%. Si una persona con contrato a tiempo parcial del 50% se reduce la jornada en 1/3, el % a indicar será también del 66,67%. Dejar en blanco si no hay reducción de jornada.</t>
    </r>
  </si>
  <si>
    <t>motivo reducción</t>
  </si>
  <si>
    <t>Motivo de Reducción de Jornada (dejar en blanco si no hay reducción de jornada) en la Situación contractual.</t>
  </si>
  <si>
    <t>ver tabla "Motivo reducción de jornada"</t>
  </si>
  <si>
    <t>Clave de Contrato</t>
  </si>
  <si>
    <t>Clave del contrato actual de la persona trabajadora en la Situación contractual, de acuerdo a los códigos de la Seguridad Social.</t>
  </si>
  <si>
    <t>ver tabla "Clave de Contrato"</t>
  </si>
  <si>
    <t>Area-empresa</t>
  </si>
  <si>
    <t>PUESTO ACTUAL</t>
  </si>
  <si>
    <t>Área de la empresa en la que trabaja la persona en la Situación contractual. Si resulta útil, puede emplearse este campo y el siguiente para reflejar cualquier otra organización de la empresa (centro de trabajo, división, dirección territorial, etc.).</t>
  </si>
  <si>
    <t>los de la empresa</t>
  </si>
  <si>
    <t>Dpto-empresa</t>
  </si>
  <si>
    <t>Departamento actual de la persona trabajadora en la Situación contractual.</t>
  </si>
  <si>
    <t>Puesto-empresa</t>
  </si>
  <si>
    <t>Puesto actual de la persona trabajadora en la Situación Contractual. Para una mejor visualización de los datos, se recomienda utilizar una nomenclatura con denominaciones breves.</t>
  </si>
  <si>
    <t>Horario (continuo/ partido)</t>
  </si>
  <si>
    <t>Indica el tipo de horario que realiza en la Situación Contractual.</t>
  </si>
  <si>
    <t>continuo/partido</t>
  </si>
  <si>
    <t>Trabajo a turnos</t>
  </si>
  <si>
    <t>Indica si realiza o no trabajo a turnos en la Situación Contractual.</t>
  </si>
  <si>
    <t>Sí/No</t>
  </si>
  <si>
    <t>Escala-empresa</t>
  </si>
  <si>
    <t>X</t>
  </si>
  <si>
    <t>Escala actual de la persona trabajadora en la Situación Contractual, conforme a la escala de mando vigente en la empresa.</t>
  </si>
  <si>
    <t xml:space="preserve">AGRUP. CLAS. PROF. </t>
  </si>
  <si>
    <r>
      <t xml:space="preserve">Agrupación en la que queda agrupada la persona en su Situación Contractual </t>
    </r>
    <r>
      <rPr>
        <b/>
        <sz val="10"/>
        <color rgb="FF000000"/>
        <rFont val="Cambria"/>
        <family val="1"/>
      </rPr>
      <t>según la clasificación profesional de la empresa de acuerdo con el Convenio de aplicación</t>
    </r>
    <r>
      <rPr>
        <sz val="10"/>
        <color rgb="FF000000"/>
        <rFont val="Cambria"/>
        <family val="1"/>
      </rPr>
      <t>.</t>
    </r>
    <r>
      <rPr>
        <sz val="10"/>
        <color theme="1"/>
        <rFont val="Cambria"/>
        <family val="1"/>
      </rPr>
      <t xml:space="preserve"> </t>
    </r>
    <r>
      <rPr>
        <sz val="10"/>
        <color rgb="FF000000"/>
        <rFont val="Cambria"/>
        <family val="1"/>
      </rPr>
      <t xml:space="preserve">Se nombrarán necesariamente como GRUPO 01, GRUPO 02, etc., hasta un máximo de 30. Se recomienda que este orden esté relacionado con la jerarquía dentro de las empresas. Esta agrupación es la que se emplea en las </t>
    </r>
    <r>
      <rPr>
        <b/>
        <sz val="10"/>
        <color rgb="FF000000"/>
        <rFont val="Cambria"/>
        <family val="1"/>
      </rPr>
      <t>TABLAS DEL REGISTRO RETRIBUTIVO</t>
    </r>
  </si>
  <si>
    <t>GRUPO 01, GRUPO 02, … hasta GRUPO 30 (máximo)</t>
  </si>
  <si>
    <t>AGRUP. VALOR. PTO.</t>
  </si>
  <si>
    <t>(x)</t>
  </si>
  <si>
    <r>
      <t xml:space="preserve">Agrupación en la que queda agrupada la persona en su Situación Contractual </t>
    </r>
    <r>
      <rPr>
        <b/>
        <sz val="10"/>
        <color rgb="FF000000"/>
        <rFont val="Cambria"/>
        <family val="1"/>
      </rPr>
      <t>según la valoración su puesto de trabajo</t>
    </r>
    <r>
      <rPr>
        <sz val="10"/>
        <color rgb="FF000000"/>
        <rFont val="Cambria"/>
        <family val="1"/>
      </rPr>
      <t xml:space="preserve"> (solamente para empresas con auditoría retributiva). Se nombrarán necesariamente como ESCALA 01, ESCALA 02, etc., hasta un máximo de 30. Se recomienda que este orden esté relacionado el valor de los puestos agrupados en esa ESCALA. Esta agrupación es la que se emplea en las </t>
    </r>
    <r>
      <rPr>
        <b/>
        <sz val="10"/>
        <color rgb="FF000000"/>
        <rFont val="Cambria"/>
        <family val="1"/>
      </rPr>
      <t>TABLAS ADICIONALES PARA EMPRESAS QUE REALICEN AUDITORÍA RERIBUTIVA (TRABAJOS DE IGUAL VALOR)</t>
    </r>
  </si>
  <si>
    <t>ESCALA 01, ESCALA 02…, hasta ESCALA 30 (máximo)</t>
  </si>
  <si>
    <t>Convenio/Área</t>
  </si>
  <si>
    <t>CONTRATO-CONVENIO</t>
  </si>
  <si>
    <t>Convenio de aplicación de cada contrato. No hace falta incluir el nº completo del convenio, basta una nomenclatura suficiente para identificarlo. En convenios con varias Áreas, indicar conjuntamente el Área para cada caso.</t>
  </si>
  <si>
    <t>los del convenio y contrato</t>
  </si>
  <si>
    <t>Categoría profesional</t>
  </si>
  <si>
    <t>Categoría profesional que corresponde a la persona en su Situación Contractual, conforme al Convenio. (Puede ser que el Convenio de referencia no utilice Categorías, sino Grupos, ver abajo).</t>
  </si>
  <si>
    <t>Grupo profesional</t>
  </si>
  <si>
    <t>Grupo profesional que corresponde a la persona en su Situación Contractual, conforme al Convenio.</t>
  </si>
  <si>
    <t>Nivel</t>
  </si>
  <si>
    <t>Nivel (retributivo) que corresponde a la persona en su Situación Contractual, conforme al Convenio.</t>
  </si>
  <si>
    <t>Grupo de Cotización Seg.Social.</t>
  </si>
  <si>
    <t>SEG-SOCIAL</t>
  </si>
  <si>
    <t>Grupo de cotización de la Seguridad Social.</t>
  </si>
  <si>
    <t>ver aquí</t>
  </si>
  <si>
    <t>S.BASE</t>
  </si>
  <si>
    <t>RETRIBUCION</t>
  </si>
  <si>
    <t>Salario base de la persona (sumatorio de importes correspondiente al periodo de referencia y Situación Contractual). Se deben añadir las pagas extraordinarias percibidas.</t>
  </si>
  <si>
    <t>Moneda</t>
  </si>
  <si>
    <t>Conc.Sal.01</t>
  </si>
  <si>
    <t>Concepto Salarial 01. A determinar por la organización (sumatorio de importes correspondiente al periodo de referencia y Situación Contractual).</t>
  </si>
  <si>
    <t>Conc.Sal.02</t>
  </si>
  <si>
    <t>Concepto Salarial 02. A determinar por la organización (sumatorio de importes correspondiente al periodo de referencia y Situación Contractual)</t>
  </si>
  <si>
    <t>Conc.Sal.03</t>
  </si>
  <si>
    <t>Concepto Salarial 03. A determinar por la organización (sumatorio de importes correspondiente al periodo de referencia y Situación Contractual).</t>
  </si>
  <si>
    <t>Conc.Sal.04</t>
  </si>
  <si>
    <t>Concepto Salarial 04. A determinar por la organización (sumatorio de importes correspondiente al periodo de referencia y Situación Contractual).</t>
  </si>
  <si>
    <t>Conc.Sal.05</t>
  </si>
  <si>
    <t>Concepto Salarial 05. A determinar por la organización (sumatorio de importes correspondiente al periodo de referencia y Situación Contractual)..</t>
  </si>
  <si>
    <t>…</t>
  </si>
  <si>
    <t>Conc.Sal.30</t>
  </si>
  <si>
    <t xml:space="preserve">Concepto Salarial 30. A determinar por la organización (sumatorio de importes correspondiente al periodo de referencia y Situación Contractual). </t>
  </si>
  <si>
    <t>C.Extra.01</t>
  </si>
  <si>
    <t>Concepto Extrasalarial 01. A determinar por la organización (sumatorio de importes correspondiente al periodo de referencia y Situación Contractual).</t>
  </si>
  <si>
    <t>C.Extra.05</t>
  </si>
  <si>
    <t>Concepto Extrasalarial 05. A determinar por la organización (sumatorio de importes correspondiente al periodo de referencia y Situación Contractual).</t>
  </si>
  <si>
    <t>F.ini.cal</t>
  </si>
  <si>
    <t>CAMPO CALCULADO</t>
  </si>
  <si>
    <t>Fecha de inicio considerada a efectos de cálculo de la anualización de importes para su equiparación.</t>
  </si>
  <si>
    <t>F.fin.cal</t>
  </si>
  <si>
    <t>Fecha de fin considerada a efectos de cálculo de la anualización de importes para su equiparación.</t>
  </si>
  <si>
    <t>% normaliz</t>
  </si>
  <si>
    <r>
      <t xml:space="preserve">% de jornada efectiva, calculada como producto del </t>
    </r>
    <r>
      <rPr>
        <b/>
        <sz val="10"/>
        <color rgb="FF000000"/>
        <rFont val="Cambria"/>
        <family val="1"/>
      </rPr>
      <t>% de jornada</t>
    </r>
    <r>
      <rPr>
        <sz val="10"/>
        <color rgb="FF000000"/>
        <rFont val="Cambria"/>
        <family val="1"/>
      </rPr>
      <t xml:space="preserve"> y el </t>
    </r>
    <r>
      <rPr>
        <b/>
        <sz val="10"/>
        <color rgb="FF000000"/>
        <rFont val="Cambria"/>
        <family val="1"/>
      </rPr>
      <t>% de jornada reducida</t>
    </r>
    <r>
      <rPr>
        <sz val="10"/>
        <color rgb="FF000000"/>
        <rFont val="Cambria"/>
        <family val="1"/>
      </rPr>
      <t xml:space="preserve"> reseñados. Se usa para la normalización de las retribuciones para su equiparación.</t>
    </r>
  </si>
  <si>
    <t>% anualiz</t>
  </si>
  <si>
    <r>
      <t xml:space="preserve">% del Periodo de Referencia en que ha estado activa la Situación Contractual, calculada como diferencia entre la </t>
    </r>
    <r>
      <rPr>
        <b/>
        <sz val="10"/>
        <color rgb="FF000000"/>
        <rFont val="Cambria"/>
        <family val="1"/>
      </rPr>
      <t>F.fin.cal</t>
    </r>
    <r>
      <rPr>
        <sz val="10"/>
        <color rgb="FF000000"/>
        <rFont val="Cambria"/>
        <family val="1"/>
      </rPr>
      <t xml:space="preserve"> menos la </t>
    </r>
    <r>
      <rPr>
        <b/>
        <sz val="10"/>
        <color rgb="FF000000"/>
        <rFont val="Cambria"/>
        <family val="1"/>
      </rPr>
      <t>F.ini.cal.</t>
    </r>
    <r>
      <rPr>
        <sz val="10"/>
        <color rgb="FF000000"/>
        <rFont val="Cambria"/>
        <family val="1"/>
      </rPr>
      <t xml:space="preserve"> Se usa para la anualización de las retribuciones para su equiparación. </t>
    </r>
  </si>
  <si>
    <t>Check Periodo Ref.</t>
  </si>
  <si>
    <r>
      <t xml:space="preserve">Campo que chequea si la Situación Contractual de la ficha está activa durante el </t>
    </r>
    <r>
      <rPr>
        <b/>
        <sz val="10"/>
        <color rgb="FF000000"/>
        <rFont val="Cambria"/>
        <family val="1"/>
      </rPr>
      <t>periodo de referencia</t>
    </r>
  </si>
  <si>
    <t>Dentro / Fuera</t>
  </si>
  <si>
    <t>Check Equiparado</t>
  </si>
  <si>
    <t>Campo que chequea si la Situación Contractual es considerada a los efectos de cálculo de importes equiparados. NOTA: para los importes equiparados se emplea una sola Situación Contractual, la última del periodo de referencia.</t>
  </si>
  <si>
    <t>Sí / NO</t>
  </si>
  <si>
    <t>Check Nº SC Norm</t>
  </si>
  <si>
    <t>Campo que chequea si los importes de la Situación Contractual son objeto solamente de Normalización.</t>
  </si>
  <si>
    <t>Check Nº SC Anualiz</t>
  </si>
  <si>
    <t>Campo que chequea si los importes de la Situación Contractual son objeto solamente de Anualización.</t>
  </si>
  <si>
    <t>Check Nº SC Norm y Anualiz</t>
  </si>
  <si>
    <t>Campo que chequea si los importes de la Situación Contractual son objeto solamente de Normalización y también de Anualización.</t>
  </si>
  <si>
    <t>Check Equiparación</t>
  </si>
  <si>
    <t>Campo que chequea si los importes de esa Situación Contractual son objeto o no de equiparación.</t>
  </si>
  <si>
    <t>SALARIO BASE EQ</t>
  </si>
  <si>
    <t>Salario Base equiparado, esto es, ajustado al 100% de jornada (Normalizado), y ajustado al 100% del periodo de referencia (Anualizado).</t>
  </si>
  <si>
    <t>Tot COMPL.SAL EQ</t>
  </si>
  <si>
    <t>Sumatorio de Complementos Salariales equiparados, esto es, ajustados al 100% de jornada (Normalizado), y ajustados al 100% del periodo de referencia (Anualizado), si es que procede conforme se indique en la Tabla de CONCEPTROS RETRIBUTIVOS (columnas "Normalizable" y "Anualizable").</t>
  </si>
  <si>
    <t>TOTAL SALARIO EQ</t>
  </si>
  <si>
    <t>Suma de SALARIO BASE Eq + Tot COMPL.SAL Eq</t>
  </si>
  <si>
    <t>Tot Extrasalarial EQ</t>
  </si>
  <si>
    <t>Sumatorio de Complementos Extrasalariales equiparados, esto es, ajustados al 100% de jornada (Normalizado), y ajustados al 100% del periodo de referencia (Anualizado), si es que procede conforme se indique en la Tabla de CONCEPTROS RETRIBUTIVOS (columnas "Normalizable" y "Anualizable").</t>
  </si>
  <si>
    <t>TOTAL Retrib EQ</t>
  </si>
  <si>
    <t>Suma de TOTAL SALARIO Eq + Tot Extrasalarial Eq</t>
  </si>
  <si>
    <t>SALARIO BASE Ef</t>
  </si>
  <si>
    <t>Salario Base efectivo, conforme reportado.</t>
  </si>
  <si>
    <t>Tot COMPL.SAL Ef</t>
  </si>
  <si>
    <t>Sumatorio de Complementos Salariales efectivos, conforme reportados.</t>
  </si>
  <si>
    <t>TOTAL SALARIO Ef</t>
  </si>
  <si>
    <t xml:space="preserve">Suma de Salario Base efectivo + Total complementos salariales efectivos </t>
  </si>
  <si>
    <t>Tot Extrasalarial Ef</t>
  </si>
  <si>
    <t>Sumatorio de Complementos Extrasalariales efectivos, conforme reportados.</t>
  </si>
  <si>
    <t>TOTAL Retrib Ef</t>
  </si>
  <si>
    <t>Suma de TOTAL SALARIO Ef + Tot Extrasalarial Ef</t>
  </si>
  <si>
    <t>TABLA DE CONCEPTOS RETRIBUTIVOS</t>
  </si>
  <si>
    <t>Form. Retrib.</t>
  </si>
  <si>
    <t>Tipo de Retribución</t>
  </si>
  <si>
    <t>Retrib</t>
  </si>
  <si>
    <t>Nombre</t>
  </si>
  <si>
    <t>Dinero</t>
  </si>
  <si>
    <t>Salario Base</t>
  </si>
  <si>
    <t>En especie</t>
  </si>
  <si>
    <t>Comp. Salarial</t>
  </si>
  <si>
    <t>Extrasalarial</t>
  </si>
  <si>
    <t>Valor</t>
  </si>
  <si>
    <t>Nombre Corto</t>
  </si>
  <si>
    <t>Normalizable</t>
  </si>
  <si>
    <t>Anualizable</t>
  </si>
  <si>
    <t>AGRUP. VALOR. PTO</t>
  </si>
  <si>
    <t>SALARIO BASE</t>
  </si>
  <si>
    <t>Sí</t>
  </si>
  <si>
    <t>GRUPO 01</t>
  </si>
  <si>
    <t>ESCALA 01</t>
  </si>
  <si>
    <t>HORAS EXTRAS</t>
  </si>
  <si>
    <t>HORAS EXTRAS ORDINARIAS</t>
  </si>
  <si>
    <t>GRUPO 02</t>
  </si>
  <si>
    <t>ESCALA 02</t>
  </si>
  <si>
    <t>SEGURO CONVENIO</t>
  </si>
  <si>
    <t>GRUPO 03</t>
  </si>
  <si>
    <t>ESCALA 03</t>
  </si>
  <si>
    <t>PLUS UNIFICADO</t>
  </si>
  <si>
    <t>GRUPO 04</t>
  </si>
  <si>
    <t>ESCALA 04</t>
  </si>
  <si>
    <t>GARANTIA AD PERS</t>
  </si>
  <si>
    <t>GARANTIA AD PERSONAM</t>
  </si>
  <si>
    <t>GRUPO 05</t>
  </si>
  <si>
    <t>ESCALA 05</t>
  </si>
  <si>
    <t>COMISIONES</t>
  </si>
  <si>
    <t>GRUPO 06</t>
  </si>
  <si>
    <t>ESCALA 06</t>
  </si>
  <si>
    <t>Conc.Sal.06</t>
  </si>
  <si>
    <t>DOMINGOS Y FESTIVOS</t>
  </si>
  <si>
    <t>GRUPO 07</t>
  </si>
  <si>
    <t>ESCALA 07</t>
  </si>
  <si>
    <t>Conc.Sal.07</t>
  </si>
  <si>
    <t>LOCOMOCION NO</t>
  </si>
  <si>
    <t>GRUPO 08</t>
  </si>
  <si>
    <t>ESCALA 08</t>
  </si>
  <si>
    <t>Conc.Sal.08</t>
  </si>
  <si>
    <t>PLUS EXTRA VAC</t>
  </si>
  <si>
    <t>PLUS EXTRA VACACIONES</t>
  </si>
  <si>
    <t>GRUPO 09</t>
  </si>
  <si>
    <t>ESCALA 09</t>
  </si>
  <si>
    <t>Conc.Sal.09</t>
  </si>
  <si>
    <t>PLUS DE TRANS</t>
  </si>
  <si>
    <t>PLUS DE TRANSPORTE</t>
  </si>
  <si>
    <t>GRUPO 10</t>
  </si>
  <si>
    <t>ESCALA 10</t>
  </si>
  <si>
    <t>Conc.Sal.10</t>
  </si>
  <si>
    <t>PLUS ACTIVIDAD</t>
  </si>
  <si>
    <t>GRUPO 11</t>
  </si>
  <si>
    <t>ESCALA 11</t>
  </si>
  <si>
    <t>Conc.Sal.11</t>
  </si>
  <si>
    <t>CUOTA SINDICAL</t>
  </si>
  <si>
    <t>GRUPO 12</t>
  </si>
  <si>
    <t>ESCALA 12</t>
  </si>
  <si>
    <t>Conc.Sal.12</t>
  </si>
  <si>
    <t>AYUDA FAMILIAR</t>
  </si>
  <si>
    <t>GRUPO 13</t>
  </si>
  <si>
    <t>ESCALA 13</t>
  </si>
  <si>
    <t>Conc.Sal.13</t>
  </si>
  <si>
    <t>INCENTIVO</t>
  </si>
  <si>
    <t>GRUPO 14</t>
  </si>
  <si>
    <t>ESCALA 14</t>
  </si>
  <si>
    <t>Conc.Sal.14</t>
  </si>
  <si>
    <t>SEGURO MEDICO</t>
  </si>
  <si>
    <t>GRUPO 15</t>
  </si>
  <si>
    <t>ESCALA 15</t>
  </si>
  <si>
    <t>Conc.Sal.15</t>
  </si>
  <si>
    <t>DES. SEGURO MEDICO</t>
  </si>
  <si>
    <t>DESCUENTO SEGURO MEDICO</t>
  </si>
  <si>
    <t>GRUPO 16</t>
  </si>
  <si>
    <t>ESCALA 16</t>
  </si>
  <si>
    <t>Conc.Sal.16</t>
  </si>
  <si>
    <t>SEGURO SALUD 2</t>
  </si>
  <si>
    <t>SEGURO SALUD 3</t>
  </si>
  <si>
    <t>GRUPO 17</t>
  </si>
  <si>
    <t>ESCALA 17</t>
  </si>
  <si>
    <t>Conc.Sal.17</t>
  </si>
  <si>
    <t>COMP. EMPRESA I.T.</t>
  </si>
  <si>
    <t>COMPLEMENTO EMPRESA I.T.</t>
  </si>
  <si>
    <t>GRUPO 18</t>
  </si>
  <si>
    <t>ESCALA 18</t>
  </si>
  <si>
    <t>Conc.Sal.18</t>
  </si>
  <si>
    <t>I.T. CUENTA EMPRESA</t>
  </si>
  <si>
    <t>GRUPO 19</t>
  </si>
  <si>
    <t>ESCALA 19</t>
  </si>
  <si>
    <t>Conc.Sal.19</t>
  </si>
  <si>
    <t>SALARIO EN ESPECIE</t>
  </si>
  <si>
    <t>GRUPO 20</t>
  </si>
  <si>
    <t>ESCALA 20</t>
  </si>
  <si>
    <t>Conc.Sal.20</t>
  </si>
  <si>
    <t>PLUS DE POLIVALENCIA</t>
  </si>
  <si>
    <t>GRUPO 21</t>
  </si>
  <si>
    <t>ESCALA 21</t>
  </si>
  <si>
    <t>Conc.Sal.21</t>
  </si>
  <si>
    <t>LIQUID  PAGAS EXTRA</t>
  </si>
  <si>
    <t>LIQUIDACION DE PAGAS EXTRAORDINARIAS</t>
  </si>
  <si>
    <t>GRUPO 22</t>
  </si>
  <si>
    <t>ESCALA 22</t>
  </si>
  <si>
    <t>Conc.Sal.22</t>
  </si>
  <si>
    <t>GRUPO 23</t>
  </si>
  <si>
    <t>ESCALA 23</t>
  </si>
  <si>
    <t>Conc.Sal.23</t>
  </si>
  <si>
    <t>GRUPO 24</t>
  </si>
  <si>
    <t>ESCALA 24</t>
  </si>
  <si>
    <t>Conc.Sal.24</t>
  </si>
  <si>
    <t>GRUPO 25</t>
  </si>
  <si>
    <t>ESCALA 25</t>
  </si>
  <si>
    <t>Conc.Sal.25</t>
  </si>
  <si>
    <t>GRUPO 26</t>
  </si>
  <si>
    <t>ESCALA 26</t>
  </si>
  <si>
    <t>Conc.Sal.26</t>
  </si>
  <si>
    <t>GRUPO 27</t>
  </si>
  <si>
    <t>ESCALA 27</t>
  </si>
  <si>
    <t>Conc.Sal.27</t>
  </si>
  <si>
    <t>GRUPO 28</t>
  </si>
  <si>
    <t>ESCALA 28</t>
  </si>
  <si>
    <t>Conc.Sal.28</t>
  </si>
  <si>
    <t>GRUPO 29</t>
  </si>
  <si>
    <t>ESCALA 29</t>
  </si>
  <si>
    <t>Conc.Sal.29</t>
  </si>
  <si>
    <t>GRUPO 30</t>
  </si>
  <si>
    <t>ESCALA 30</t>
  </si>
  <si>
    <t>Conc.Sal.31</t>
  </si>
  <si>
    <t>Conc.Sal.32</t>
  </si>
  <si>
    <t>Conc.Sal.33</t>
  </si>
  <si>
    <t>Conc.Sal.34</t>
  </si>
  <si>
    <t>Conc.Sal.35</t>
  </si>
  <si>
    <t>Conc.Sal.36</t>
  </si>
  <si>
    <t>Conc.Sal.37</t>
  </si>
  <si>
    <t>Conc.Sal.38</t>
  </si>
  <si>
    <t>Conc.Sal.39</t>
  </si>
  <si>
    <t>Conc.Sal.40</t>
  </si>
  <si>
    <t>Conc.Sal.41</t>
  </si>
  <si>
    <t>Conc.Sal.42</t>
  </si>
  <si>
    <t>Conc.Sal.43</t>
  </si>
  <si>
    <t>Conc.Sal.44</t>
  </si>
  <si>
    <t>C.Extra.02</t>
  </si>
  <si>
    <t>C.Extra.03</t>
  </si>
  <si>
    <t>C.Extra.04</t>
  </si>
  <si>
    <t>C.Extra.06</t>
  </si>
  <si>
    <t>C.Extra.07</t>
  </si>
  <si>
    <t>C.Extra.08</t>
  </si>
  <si>
    <t>C.Extra.09</t>
  </si>
  <si>
    <t>C.Extra.10</t>
  </si>
  <si>
    <t>C.Extra.11</t>
  </si>
  <si>
    <t>Nº SC Norm</t>
  </si>
  <si>
    <t>cuando % norm difer 100% y % anualiz es 100%</t>
  </si>
  <si>
    <t>Nº SC Anualiz</t>
  </si>
  <si>
    <t>días</t>
  </si>
  <si>
    <t>Nº SC Norm y Anualiz</t>
  </si>
  <si>
    <t>id/cod</t>
  </si>
  <si>
    <t>Fecha Fin Contrato</t>
  </si>
  <si>
    <t>Horario (continuo/partido)</t>
  </si>
  <si>
    <t>AGRUP. CLAS. PROF.</t>
  </si>
  <si>
    <t>SALARIO BASE Eq</t>
  </si>
  <si>
    <t>Tot COMPL.SAL Eq</t>
  </si>
  <si>
    <t>TOTAL SALARIO Eq</t>
  </si>
  <si>
    <t>Tot Extrasalarial Eq</t>
  </si>
  <si>
    <t>TOTAL Retrib Eq</t>
  </si>
  <si>
    <t>DIAS TRABAJ. EN EL AÑO</t>
  </si>
  <si>
    <t>REPET.</t>
  </si>
  <si>
    <t>Edad</t>
  </si>
  <si>
    <t>Antigüedad</t>
  </si>
  <si>
    <t>Jornada</t>
  </si>
  <si>
    <t>Contrato</t>
  </si>
  <si>
    <t>Intervalo Edad</t>
  </si>
  <si>
    <t>Intervalo Antigüedad</t>
  </si>
  <si>
    <t>RAFAEL MORENO SERRANO</t>
  </si>
  <si>
    <t>HOMBRE</t>
  </si>
  <si>
    <t>FPI</t>
  </si>
  <si>
    <t>CONDUCTORES</t>
  </si>
  <si>
    <t>CONDUCTOR</t>
  </si>
  <si>
    <t>CONTINUO</t>
  </si>
  <si>
    <t>SI</t>
  </si>
  <si>
    <t>PERSONAL OPERARIO GENERAL</t>
  </si>
  <si>
    <t>JOSE HINOJOSA CUENCA</t>
  </si>
  <si>
    <t>PRIMARIOS</t>
  </si>
  <si>
    <t>ENCARGADOS DE CONDUCTORES</t>
  </si>
  <si>
    <t>MANUEL CARMONA CHICO</t>
  </si>
  <si>
    <t>E.G.B.</t>
  </si>
  <si>
    <t>OPERARIO CREMATORIO</t>
  </si>
  <si>
    <t>EDUARDO CALVENTE BORREGO</t>
  </si>
  <si>
    <t>FPII</t>
  </si>
  <si>
    <t>MANTENIMIENTO</t>
  </si>
  <si>
    <t>ENCARGADO DE MANTENIMIENTO</t>
  </si>
  <si>
    <t>Oficial administrativo/a 1era</t>
  </si>
  <si>
    <t>Mª NIEVES ESTRADA VALS</t>
  </si>
  <si>
    <t>MUJER</t>
  </si>
  <si>
    <t>ADMINISTRACIÓN</t>
  </si>
  <si>
    <t>CONTABILIDAD</t>
  </si>
  <si>
    <t>PERSONAL ADMINISTRATIVO</t>
  </si>
  <si>
    <t>PILAR AVILA PORRAS</t>
  </si>
  <si>
    <t>BACHILLER</t>
  </si>
  <si>
    <t>FACTURACION</t>
  </si>
  <si>
    <t>JOSE RAFAEL ROMAN CRUZ</t>
  </si>
  <si>
    <t>GRADUADO SOCIAL</t>
  </si>
  <si>
    <t>TRAMITES</t>
  </si>
  <si>
    <t>TRAMITACIONES Y DILIGENCIA</t>
  </si>
  <si>
    <t>NO</t>
  </si>
  <si>
    <t>Mª GEMMA GIL MOLINA</t>
  </si>
  <si>
    <t xml:space="preserve">DIPLOMADA </t>
  </si>
  <si>
    <t>RR.HH,</t>
  </si>
  <si>
    <t>PERSONAL Y CALIDAD</t>
  </si>
  <si>
    <t>MANUEL VIDA SANCHEZ</t>
  </si>
  <si>
    <t>GRADUADO ESCOLAR</t>
  </si>
  <si>
    <t>ANGEL HEREDIA AGUILERA</t>
  </si>
  <si>
    <t>ASESORES</t>
  </si>
  <si>
    <t>ASESOR</t>
  </si>
  <si>
    <t>Mª DOLORES BRAVO MOLINA</t>
  </si>
  <si>
    <t>CERTIFICADO ESCOLARIDAD</t>
  </si>
  <si>
    <t>LIMPIEZA</t>
  </si>
  <si>
    <t>LIMPIADORA (ENCARGADA)</t>
  </si>
  <si>
    <t>PARTIDO</t>
  </si>
  <si>
    <t>limpiador/a</t>
  </si>
  <si>
    <t>PERSONAL SUBALTERNO</t>
  </si>
  <si>
    <t>MERCEDES RAYA VAZQUEZ</t>
  </si>
  <si>
    <t>LIMPIADORA</t>
  </si>
  <si>
    <t>JOSE ENRIQUE HIDALGO SEOANE</t>
  </si>
  <si>
    <t>MIGUEL ANGEL FERNANDEZ MUÑOZ</t>
  </si>
  <si>
    <t>CONDUCTOR/OPERARIO CREMATORIO</t>
  </si>
  <si>
    <t>FRANCISCO DANIEL GARCIA ARANDA</t>
  </si>
  <si>
    <t>JUAN DE DIOS SANCHEZ CORONA</t>
  </si>
  <si>
    <t>RECEPCIONISTA</t>
  </si>
  <si>
    <t>FRANCISCO JOSE LOPEZ GONZALEZ</t>
  </si>
  <si>
    <t>JUAN JOSE JURADO POLO</t>
  </si>
  <si>
    <t>Hombre</t>
  </si>
  <si>
    <t>RELACIONES PUBLICAS</t>
  </si>
  <si>
    <t>ROSARIO FERNANDEZ SANZ</t>
  </si>
  <si>
    <t>Oficial administrativo/a 2da</t>
  </si>
  <si>
    <t>JUAN JOSE CARTES MOYA</t>
  </si>
  <si>
    <t>ASESORA</t>
  </si>
  <si>
    <t>Mª CARMEN SANCHEZ GUZMAN</t>
  </si>
  <si>
    <t>RECEPCION</t>
  </si>
  <si>
    <t>Mª ANGELES AGUDO GOMEZ</t>
  </si>
  <si>
    <t>PROTOCOLO</t>
  </si>
  <si>
    <t>MAESTRA DE CEREMONIAS</t>
  </si>
  <si>
    <t>Recepcionista</t>
  </si>
  <si>
    <t>ANA ADAME ECHEVARRIA</t>
  </si>
  <si>
    <t>Aux. Admministrativo/a</t>
  </si>
  <si>
    <t>ANA LUCIA PEREZ CAZALLA</t>
  </si>
  <si>
    <t>E. G. B</t>
  </si>
  <si>
    <t>ANTONIO FERNANDEZ ARROYO</t>
  </si>
  <si>
    <t>JOSE RODRIGUEZ GONZALEZ</t>
  </si>
  <si>
    <t>ORESTES MUÑOZ OTS</t>
  </si>
  <si>
    <t>JOSE Mª GARCIA MANZANO</t>
  </si>
  <si>
    <t>GRADO</t>
  </si>
  <si>
    <t>DIRECCIÓN</t>
  </si>
  <si>
    <t>GERENTE</t>
  </si>
  <si>
    <t>INMACULADA ESCUDERO MOLINA</t>
  </si>
  <si>
    <t>ANGEL BOHOLLO HIDALGO</t>
  </si>
  <si>
    <t>ALBERTO MARTOS MOLINA</t>
  </si>
  <si>
    <t>FRANCISCO MERINO LUNA</t>
  </si>
  <si>
    <t>ENCARNACION ARENAS MOINA</t>
  </si>
  <si>
    <t>JAIME NAVARRO GALLEGO</t>
  </si>
  <si>
    <t>ELENA CASTON CRUZ</t>
  </si>
  <si>
    <t>PARCIAL</t>
  </si>
  <si>
    <t>Mª CARMEN AGUAYO HUERTAS</t>
  </si>
  <si>
    <t>ARACELI BOENTE RANCHAL</t>
  </si>
  <si>
    <t>ANTONIO JESUS FERNANDEZ DIAZ</t>
  </si>
  <si>
    <t>ANTONIO MONTERO RODRIGUEZ</t>
  </si>
  <si>
    <t>RAFAEL ANGEL ALGARRA MARTINEZ</t>
  </si>
  <si>
    <t>JOSE LUIS ESPARTERO FERRER</t>
  </si>
  <si>
    <t>ASESORA ZONA VILLLAVICIOSA</t>
  </si>
  <si>
    <t>JOSEFA CALERO RUIZ</t>
  </si>
  <si>
    <t>JESUS ZAFRA GONZALEZ</t>
  </si>
  <si>
    <t>ENRIQUE JOSE FERNANDEZ PEREZ</t>
  </si>
  <si>
    <t>VICTOR VAZQUEZ MERINA</t>
  </si>
  <si>
    <t>ISABEL LARROSA LISARTE</t>
  </si>
  <si>
    <t>LICENCIADA</t>
  </si>
  <si>
    <t>Mª TERESA TALAVERA LOPEZ</t>
  </si>
  <si>
    <t>ASESOR ZONA LA CARLOTA</t>
  </si>
  <si>
    <t>ISABEL Mª GIL MOYANO</t>
  </si>
  <si>
    <t>LIMPIADORA LA CARLOTA</t>
  </si>
  <si>
    <t>YESSICA ARANDA HIDALGO</t>
  </si>
  <si>
    <t>RAFAEL JEMEZ MARTIN</t>
  </si>
  <si>
    <t>Mª ISABEL CANTOS BENAVENTE</t>
  </si>
  <si>
    <t>POLIVALENTE</t>
  </si>
  <si>
    <t>JOSE Mª LUQUE TIENDA</t>
  </si>
  <si>
    <t>ASESOR ZONA POSADAS</t>
  </si>
  <si>
    <t>SEBASTIAN CANO PRIETO</t>
  </si>
  <si>
    <t>DIPLOMADO</t>
  </si>
  <si>
    <t>JEFE DE SERVICIOS</t>
  </si>
  <si>
    <t>Oficial 1era</t>
  </si>
  <si>
    <t>ENRIQUE ROLDAN SERRANO</t>
  </si>
  <si>
    <t>DAVID MUÑOZ SANTAMARIA</t>
  </si>
  <si>
    <t>JUAN JOSE GALAN COSANO</t>
  </si>
  <si>
    <t>JEFE DE DESARROLLO</t>
  </si>
  <si>
    <t>FRANCISCO JOSE CABRERA CECILIA</t>
  </si>
  <si>
    <t>MIGUEL DORADO TRILLES</t>
  </si>
  <si>
    <t>JAVIER CUESTA PULGARIN</t>
  </si>
  <si>
    <t>ALVARO GOMEZ ARIZA</t>
  </si>
  <si>
    <t>ENRIQUE JESUS CABELLO RUIZ</t>
  </si>
  <si>
    <t>JOSE RUIZ CATALAN</t>
  </si>
  <si>
    <t>DANIEL LUCENA ALBA</t>
  </si>
  <si>
    <t>AIDA LUCENA GARCIA</t>
  </si>
  <si>
    <t>Mª ANGELES VAZQUEZ MEMBRILLO</t>
  </si>
  <si>
    <t>DANIEL RODRIGUEZ JIMENEZ</t>
  </si>
  <si>
    <t>FRANCISCO MIGUEL GARCIA GARCIA</t>
  </si>
  <si>
    <t>EDUARDO MOLINA LUQUE</t>
  </si>
  <si>
    <t>ASESOR ZONA BUJALANCE</t>
  </si>
  <si>
    <t>ANA TERESA MARTINEZ CRUZ</t>
  </si>
  <si>
    <t xml:space="preserve"> GRADO</t>
  </si>
  <si>
    <t>JEFA DE OFICINA</t>
  </si>
  <si>
    <t>MARTA GARCIA LUQUE</t>
  </si>
  <si>
    <t>ANTONIO RODRIGUEZ OTERO</t>
  </si>
  <si>
    <t>GRADO EN BIOLOGÍA</t>
  </si>
  <si>
    <t>LAURA MENDOZA GALLARDO</t>
  </si>
  <si>
    <t>ISABEL MUÑOZ GAJETE</t>
  </si>
  <si>
    <t>ADMINISTRATIVA</t>
  </si>
  <si>
    <t>JULIO TARIN MARIN</t>
  </si>
  <si>
    <t>ASESORA DE ZONA MONTILLA</t>
  </si>
  <si>
    <t>FRANCISCO LLAMAS MUDARRA</t>
  </si>
  <si>
    <t>SONIA ROMERO HORNERO</t>
  </si>
  <si>
    <t>ANA MARQUEZ ROJAS</t>
  </si>
  <si>
    <t>ASESOR DE ZONA CABRA</t>
  </si>
  <si>
    <t>LIDIA CABELLO HERNANDEZ</t>
  </si>
  <si>
    <t>ISABEL BEGARA ARENAS</t>
  </si>
  <si>
    <t>VANESSA GRANDINETTI CASTILLA</t>
  </si>
  <si>
    <t>ASESORA DE ZONA EL CARPIO-PEDRO ABAD</t>
  </si>
  <si>
    <t>JOAQUIN SANZ RAMIREZ</t>
  </si>
  <si>
    <t>ASESORA DE ZONA FTE. PALMERA</t>
  </si>
  <si>
    <t>MARIA JIMENEZ LARESO</t>
  </si>
  <si>
    <t>ASESOR DE ZONA LUQUE</t>
  </si>
  <si>
    <t>AINARA RODRIGUEZ CANO</t>
  </si>
  <si>
    <t>ASESOR DE ZONA BUJALANCE</t>
  </si>
  <si>
    <t>CRISTINA JIMENEZ MARTINEZ</t>
  </si>
  <si>
    <t>MIGUEL ANGEL SUAREZ PEREZ</t>
  </si>
  <si>
    <t>CONDUCTORA</t>
  </si>
  <si>
    <t>ZONA  VILLAVICIOSA</t>
  </si>
  <si>
    <t>EDUARDO FCO. GAVILAN ESPINOSA DE LOS MONTEROS</t>
  </si>
  <si>
    <t>SERGIO CANO URBANO</t>
  </si>
  <si>
    <t>ANDREA CANO GONZALEZ</t>
  </si>
  <si>
    <t>INMACULADA MORALES VALLE</t>
  </si>
  <si>
    <t>AZAHARA JAEN GODOY</t>
  </si>
  <si>
    <t>LIMPIADORA BUJALANCE</t>
  </si>
  <si>
    <t>ELVIRA LEAL GRANADOS</t>
  </si>
  <si>
    <t>MANUEL TORRICO ORTIZ</t>
  </si>
  <si>
    <t>AURELIO CALERO LEDESMA</t>
  </si>
  <si>
    <t>ASESOR DE ZONA FTE. OBEJUNA</t>
  </si>
  <si>
    <t>VICENTE MORALES MONTES</t>
  </si>
  <si>
    <t>ASESOR DE ZONA DOÑA MENCIA</t>
  </si>
  <si>
    <t>RODRIGO MUÑOZ JURADO</t>
  </si>
  <si>
    <t>JESUS ARENAS CALLEJA</t>
  </si>
  <si>
    <t>GEMA Mª PASTOS RIVERA</t>
  </si>
  <si>
    <t xml:space="preserve">FPII </t>
  </si>
  <si>
    <t>DANIEL MESA TEJADA</t>
  </si>
  <si>
    <t xml:space="preserve">MAYRA COVA </t>
  </si>
  <si>
    <t>BELEN GARCIA ALCALDE</t>
  </si>
  <si>
    <t>FP I GERIATRIA</t>
  </si>
  <si>
    <t>INMACULADA RUIZ BRAVO</t>
  </si>
  <si>
    <t>LIMPIADORA FTE. OBEJUNA</t>
  </si>
  <si>
    <t>VALDIVIA MENESES, MARIELA</t>
  </si>
  <si>
    <t>Mujer</t>
  </si>
  <si>
    <t>CABALLERO CALVO, NAZARET</t>
  </si>
  <si>
    <t>RUIZ FERNANDEZ, MARIA JESUS</t>
  </si>
  <si>
    <t>MORENO SANCHEZ, CARMEN MARIA</t>
  </si>
  <si>
    <t>RAMOS MANZANO, MELANIA</t>
  </si>
  <si>
    <t>ORTEGA SANCHEZ, PALOMA</t>
  </si>
  <si>
    <t>NAVARRO GARCIA, ANA</t>
  </si>
  <si>
    <t>ACEVEDO SANTOS, CARMEN</t>
  </si>
  <si>
    <t>RUBIO LOPEZ, JUAN</t>
  </si>
  <si>
    <t>Oficial 3era</t>
  </si>
  <si>
    <t>ESPEJO ACICLOS, MARIA TERESA</t>
  </si>
  <si>
    <t>AGUILERA LEON, CARMEN</t>
  </si>
  <si>
    <t>SALAZAR NIEVAS, MANUELA</t>
  </si>
  <si>
    <t>Agrupación según clasificación profesional de la empresa</t>
  </si>
  <si>
    <t>Cuenta de Dpto-empresa</t>
  </si>
  <si>
    <t>Agrupación según valoración de puestos de trabajo (para empresas con auditoría retributiva)</t>
  </si>
  <si>
    <t xml:space="preserve">    </t>
  </si>
  <si>
    <t>(en blanco)</t>
  </si>
  <si>
    <t>TABLA DE CLAVES DE CONTRATOS</t>
  </si>
  <si>
    <t>Rangos de Antigüedad</t>
  </si>
  <si>
    <t>Rangos de Edad</t>
  </si>
  <si>
    <t>Motivo reducción de jornada</t>
  </si>
  <si>
    <t>límite inferior</t>
  </si>
  <si>
    <t>Nombre Rango</t>
  </si>
  <si>
    <t>INDEFINIDO TIEMPO COMPLETO – ORDINARIO</t>
  </si>
  <si>
    <t>Completa</t>
  </si>
  <si>
    <t>Indefinido</t>
  </si>
  <si>
    <t>0 a 1 años</t>
  </si>
  <si>
    <t>20  o menos</t>
  </si>
  <si>
    <t>Sin reducción</t>
  </si>
  <si>
    <t>INDEFINIDO TIEMPO COMPLETO – FOMENTO CONTRATACIÓN INDEFINIDA/EMPLEO ESTABLE  TRANSFORMACIÓN CONTRATO TEMPORAL</t>
  </si>
  <si>
    <t>1 a 3  años</t>
  </si>
  <si>
    <t>20 a 25</t>
  </si>
  <si>
    <t>GLM</t>
  </si>
  <si>
    <t>Guarda Legal de menor de 12 años</t>
  </si>
  <si>
    <t>INDEFINIDO TIEMPO COMPLETO - DISCAPACITADOS</t>
  </si>
  <si>
    <t>3 a 5  años</t>
  </si>
  <si>
    <t>25 a 30</t>
  </si>
  <si>
    <t>GLD</t>
  </si>
  <si>
    <t>Guarda Legal de persona discapacidad</t>
  </si>
  <si>
    <t>INDEFINIDO TIEMPO COMPLETO – DISCAPACITADOS TRANSFORMACIÓN CONTRATO TEMPORAL.</t>
  </si>
  <si>
    <t>5 a 10  años</t>
  </si>
  <si>
    <t>30 a 35</t>
  </si>
  <si>
    <t>CD</t>
  </si>
  <si>
    <t>Cuidado Directo de familiar que no pueda valerse por sí mismo</t>
  </si>
  <si>
    <t>INDEFINIDO TIEMPO COMPLETO – FOMENTO CONTRATACIÓN INDEFINIDA/EMPLEO ESTABLE INICIAL</t>
  </si>
  <si>
    <t>de 10 a 15  años</t>
  </si>
  <si>
    <t>35 a 40</t>
  </si>
  <si>
    <t>E</t>
  </si>
  <si>
    <t>Por voluntad de la Empresa</t>
  </si>
  <si>
    <t>INDEFINIDO TIEMPO COMPLETO – TRANSFORMACIÓN CONTRATO TEMPORAL.</t>
  </si>
  <si>
    <t>más de 15</t>
  </si>
  <si>
    <t>40 a 45</t>
  </si>
  <si>
    <t>INDEFINIDO TIEMPO PARCIAL – ORDINARIO</t>
  </si>
  <si>
    <t>Parcial</t>
  </si>
  <si>
    <t>45 a 50</t>
  </si>
  <si>
    <t>INDEFINIDO TIEMPO PARCIAL – FOMENTO CONTRATACIÓN INDEFINIDA/EMPLEO ESTABLE TRANSFORMACIÓN CONTRATO TEMPORAL</t>
  </si>
  <si>
    <t>50 a 55</t>
  </si>
  <si>
    <t>INDEFINIDO TIEMPO PARCIAL - DISCAPACITADOS</t>
  </si>
  <si>
    <t>55 a 60</t>
  </si>
  <si>
    <t>INDEFINIDO TIEMPO PARCIAL – DISCAPACITADOS TRANSFORMACIÓN CONTRATO TEMPORAL.</t>
  </si>
  <si>
    <t>60 en adelante</t>
  </si>
  <si>
    <t>INDEFINIDO TIEMPO PARCIAL – FOMENTO CONTRATACIÓN INDEFINIDA/EMPLEO ESTABLE INICIAL</t>
  </si>
  <si>
    <t>INDEFINIDO TIEMPO PARCIAL – TRANSFORMACIÓN CONTRATO TEMPORAL.</t>
  </si>
  <si>
    <t>INDEFINIDO FIJO/DISCONTINUO</t>
  </si>
  <si>
    <t>N.D</t>
  </si>
  <si>
    <t>Fijo discontinuo</t>
  </si>
  <si>
    <t>INDEFINIDO FIJO/DISCONTINUO – FOMENTO CONTRATACIÓN INDEFINIDA/EMPLEO ESTABLE TRANSFORMACIÓN CONTRATO TEMPORAL</t>
  </si>
  <si>
    <t>INDEFINIDO FIJO/DISCONTINUO - DISCAPACITADOS</t>
  </si>
  <si>
    <t xml:space="preserve">INDEFINIDO FIJO/DISCONTINUO – DISCAPACITADO. TRANSFORMACION </t>
  </si>
  <si>
    <t>INDEFINIDO FIJO/DISCONTINUO – FOMENTO CONTRATACIÓN INDEFINIDA/EMPLEO ESTABLE INICIAL</t>
  </si>
  <si>
    <t>INDEFINIDO FIJO/DISCONTINUO – TRANSFORMACIÓN CONTRATO TEMPORAL.</t>
  </si>
  <si>
    <t>DURACIÓN DETERMINADA TIEMPO COMPLETO – OBRA O SERVICIO DETERMINADO</t>
  </si>
  <si>
    <t>Temporal</t>
  </si>
  <si>
    <t>DURACIÓN DETERMINADA TIEMPO COMPLETO – EVENTUAL POR CIRCUNSTANCIAS DE LA PRODUCCIÓN</t>
  </si>
  <si>
    <t>DURACIÓN DETERMINADA TIEMPO COMPLETO – INSERCIÓN</t>
  </si>
  <si>
    <t>DURACIÓN DETERMINADA TIEMPO COMPLETO – CARÁCTER ADMINISTRATIVO</t>
  </si>
  <si>
    <t>DURACIÓN DETERMINADA TIEMPO COMPLETO – INTERINIDAD</t>
  </si>
  <si>
    <t>DURACIÓN DETERMINADA TIEMPO COMPLETO – INTERINIDAD CARÁCTER ADMINISTRATIVO</t>
  </si>
  <si>
    <t>DURACIÓN DETERMINADA TIEMPO COMPLETO – PRÁCTICAS</t>
  </si>
  <si>
    <t>DURACIÓN DETERMINADA TIEMPO COMPLETO – FORMACIÓN</t>
  </si>
  <si>
    <t>DURACIÓN DETERMINADA TIEMPO COMPLETO – DISCAPACITADOS</t>
  </si>
  <si>
    <t>DURACIÓN DETERMINADA TIEMPO COMPLETO – RELEVO</t>
  </si>
  <si>
    <t>DURACIÓN DETERMINADA TIEMPO COMPLETO – FOMENTO CONTRATACIÓN INDEFINIDA/EMPLEO ESTABLE</t>
  </si>
  <si>
    <t>DURACIÓN DETERMINADA TIEMPO COMPLETO – TRABAJADORES DESEMPLEADOS CONTRATADOS POR EMPRESAS DE INSERCIÓN</t>
  </si>
  <si>
    <t>DURACIÓN DETERMINADA TIEMPO PARCIAL – OBRA O SERVICIO DETERMINADO</t>
  </si>
  <si>
    <t>DURACIÓN DETERMINADA TIEMPO PARCIAL – EVENTUAL POR CIRCUNSTANCIAS DE LA PRODUCCIÓN</t>
  </si>
  <si>
    <t>DURACIÓN DETERMINADA TIEMPO PARCIAL – INSERCIÓN</t>
  </si>
  <si>
    <t>DURACIÓN DETERMINADA TIEMPO PARCIAL – CARÁCTER ADMINISTRATIVO</t>
  </si>
  <si>
    <t>DURACIÓN DETERMINADA TIEMPO PARCIAL – INTERINIDAD</t>
  </si>
  <si>
    <t>DURACIÓN DETERMINADA TIEMPO PARCIAL – INTERINIDAD CARÁCTER ADMINISTRATIVO</t>
  </si>
  <si>
    <t>DURACIÓN DETERMINADA TIEMPO PARCIAL – PRÁCTICAS</t>
  </si>
  <si>
    <t>DURACIÓN DETERMINADA TIEMPO PARCIAL – DISCAPACITADOS</t>
  </si>
  <si>
    <t>DURACIÓN DETERMINADA TIEMPO PARCIAL – JUBILACIÓN PARCIAL</t>
  </si>
  <si>
    <t>DURACIÓN DETERMINADA TIEMPO PARCIAL – RELEVO</t>
  </si>
  <si>
    <t>DURACIÓN DETERMINADA TIEMPO PARCIAL – FOMENTO CONTRATACIÓN INDEFINIDA/EMPLEO ESTABLE</t>
  </si>
  <si>
    <t>DURACIÓN DETERMINADA TIEMPO PARCIAL – TRABAJADORES DESEMPLEADOS CONTRATADOS POR EMPRESAS DE INSERCIÓN</t>
  </si>
  <si>
    <t>N/D</t>
  </si>
  <si>
    <t>NO DISPONIBLE</t>
  </si>
  <si>
    <t>REGISTRO SEGÚN LA CLASIFICACIÓN PROFESIONAL APLICABLE A LA EMPRESA</t>
  </si>
  <si>
    <t>Nº</t>
  </si>
  <si>
    <t>Nº SC</t>
  </si>
  <si>
    <t>TOTAL</t>
  </si>
  <si>
    <t>Nº SC Eq</t>
  </si>
  <si>
    <t>REGISTRO SEGÚN VALORACIÓN DE PUESTOS DE TRABAJO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</si>
</sst>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 _€_-;\-* #,##0.00\ _€_-;_-* &quot;-&quot;??\ _€_-;_-@_-"/>
    <numFmt numFmtId="165" formatCode="dd\-mm\-yy;@"/>
    <numFmt numFmtId="166" formatCode="[$-C0A]dddd\,\ d&quot; de &quot;mmmm&quot; de &quot;yyyy"/>
    <numFmt numFmtId="167" formatCode="_-* #,##0\ _€_-;\-* #,##0\ _€_-;_-* &quot;-&quot;??\ _€_-;_-@_-"/>
    <numFmt numFmtId="168" formatCode="d\-m\-yy;@"/>
  </numFmts>
  <fonts count="63" x14ac:knownFonts="1">
    <font>
      <sz val="11"/>
      <color theme="1"/>
      <name val="Calibri"/>
      <family val="2"/>
      <scheme val="minor"/>
    </font>
    <font>
      <sz val="11"/>
      <color theme="1"/>
      <name val="Calibri"/>
      <family val="2"/>
      <scheme val="minor"/>
    </font>
    <font>
      <sz val="11"/>
      <color theme="0"/>
      <name val="Calibri"/>
      <family val="2"/>
      <scheme val="minor"/>
    </font>
    <font>
      <u/>
      <sz val="11"/>
      <color theme="10"/>
      <name val="Calibri"/>
      <family val="2"/>
      <scheme val="minor"/>
    </font>
    <font>
      <sz val="11"/>
      <color theme="1"/>
      <name val="Arial"/>
      <family val="2"/>
    </font>
    <font>
      <sz val="8"/>
      <name val="Calibri"/>
      <family val="2"/>
      <scheme val="minor"/>
    </font>
    <font>
      <sz val="11"/>
      <color theme="1"/>
      <name val="Cambria"/>
      <family val="1"/>
    </font>
    <font>
      <b/>
      <sz val="11"/>
      <color theme="5" tint="0.39997558519241921"/>
      <name val="Cambria"/>
      <family val="1"/>
    </font>
    <font>
      <sz val="11"/>
      <color rgb="FFFF0000"/>
      <name val="Cambria"/>
      <family val="1"/>
    </font>
    <font>
      <sz val="11"/>
      <color theme="5" tint="0.39997558519241921"/>
      <name val="Cambria"/>
      <family val="1"/>
    </font>
    <font>
      <b/>
      <sz val="10.5"/>
      <color theme="5" tint="0.39997558519241921"/>
      <name val="Cambria"/>
      <family val="1"/>
    </font>
    <font>
      <b/>
      <sz val="16"/>
      <color theme="5" tint="0.39997558519241921"/>
      <name val="Cambria"/>
      <family val="1"/>
    </font>
    <font>
      <b/>
      <sz val="10"/>
      <color rgb="FFFFFFFF"/>
      <name val="Cambria"/>
      <family val="1"/>
    </font>
    <font>
      <sz val="10"/>
      <color rgb="FF000000"/>
      <name val="Cambria"/>
      <family val="1"/>
    </font>
    <font>
      <sz val="10"/>
      <color theme="1"/>
      <name val="Cambria"/>
      <family val="1"/>
    </font>
    <font>
      <b/>
      <u/>
      <sz val="10"/>
      <color rgb="FF000000"/>
      <name val="Cambria"/>
      <family val="1"/>
    </font>
    <font>
      <u/>
      <sz val="11"/>
      <color theme="10"/>
      <name val="Cambria"/>
      <family val="1"/>
    </font>
    <font>
      <sz val="8"/>
      <color theme="1"/>
      <name val="Cambria"/>
      <family val="1"/>
    </font>
    <font>
      <b/>
      <sz val="10"/>
      <color rgb="FF000000"/>
      <name val="Cambria"/>
      <family val="1"/>
    </font>
    <font>
      <b/>
      <i/>
      <sz val="10"/>
      <color rgb="FFFFFFFF"/>
      <name val="Cambria"/>
      <family val="1"/>
    </font>
    <font>
      <sz val="8"/>
      <color rgb="FF000000"/>
      <name val="Cambria"/>
      <family val="1"/>
    </font>
    <font>
      <u/>
      <sz val="10"/>
      <color theme="10"/>
      <name val="Cambria"/>
      <family val="1"/>
    </font>
    <font>
      <b/>
      <sz val="10"/>
      <color rgb="FFFF0000"/>
      <name val="Cambria"/>
      <family val="1"/>
    </font>
    <font>
      <i/>
      <sz val="10"/>
      <color rgb="FF000000"/>
      <name val="Cambria"/>
      <family val="1"/>
    </font>
    <font>
      <b/>
      <sz val="11"/>
      <color theme="0"/>
      <name val="Cambria"/>
      <family val="1"/>
    </font>
    <font>
      <b/>
      <sz val="11"/>
      <color rgb="FFF2F2F2"/>
      <name val="Cambria"/>
      <family val="1"/>
    </font>
    <font>
      <sz val="11"/>
      <color rgb="FF7030A0"/>
      <name val="Cambria"/>
      <family val="1"/>
    </font>
    <font>
      <i/>
      <sz val="11"/>
      <color theme="1"/>
      <name val="Cambria"/>
      <family val="1"/>
    </font>
    <font>
      <b/>
      <sz val="10.5"/>
      <color theme="1"/>
      <name val="Cambria"/>
      <family val="1"/>
    </font>
    <font>
      <sz val="11"/>
      <color theme="0"/>
      <name val="Cambria"/>
      <family val="1"/>
    </font>
    <font>
      <b/>
      <sz val="11"/>
      <color theme="1"/>
      <name val="Cambria"/>
      <family val="1"/>
    </font>
    <font>
      <i/>
      <sz val="11"/>
      <color theme="0"/>
      <name val="Cambria"/>
      <family val="1"/>
    </font>
    <font>
      <b/>
      <sz val="11"/>
      <color rgb="FFFF0000"/>
      <name val="Cambria"/>
      <family val="1"/>
    </font>
    <font>
      <b/>
      <sz val="10"/>
      <color rgb="FFC00000"/>
      <name val="Cambria"/>
      <family val="1"/>
    </font>
    <font>
      <sz val="12"/>
      <color theme="0"/>
      <name val="Cambria"/>
      <family val="1"/>
    </font>
    <font>
      <i/>
      <sz val="12"/>
      <color theme="0"/>
      <name val="Cambria"/>
      <family val="1"/>
    </font>
    <font>
      <sz val="11"/>
      <color theme="0" tint="-0.499984740745262"/>
      <name val="Cambria"/>
      <family val="1"/>
    </font>
    <font>
      <b/>
      <sz val="11"/>
      <name val="Cambria"/>
      <family val="1"/>
    </font>
    <font>
      <sz val="11"/>
      <name val="Cambria"/>
      <family val="1"/>
    </font>
    <font>
      <b/>
      <sz val="10"/>
      <color theme="0"/>
      <name val="Cambria"/>
      <family val="1"/>
    </font>
    <font>
      <b/>
      <sz val="9"/>
      <color theme="0"/>
      <name val="Cambria"/>
      <family val="1"/>
    </font>
    <font>
      <b/>
      <sz val="9"/>
      <color theme="1"/>
      <name val="Cambria"/>
      <family val="1"/>
    </font>
    <font>
      <sz val="9"/>
      <color theme="1"/>
      <name val="Cambria"/>
      <family val="1"/>
    </font>
    <font>
      <sz val="9"/>
      <color theme="0"/>
      <name val="Cambria"/>
      <family val="1"/>
    </font>
    <font>
      <b/>
      <sz val="10"/>
      <color theme="1"/>
      <name val="Cambria"/>
      <family val="1"/>
    </font>
    <font>
      <b/>
      <sz val="14"/>
      <color rgb="FFFFFFFF"/>
      <name val="Cambria"/>
      <family val="1"/>
    </font>
    <font>
      <b/>
      <i/>
      <sz val="11"/>
      <color theme="1"/>
      <name val="Cambria"/>
      <family val="1"/>
    </font>
    <font>
      <i/>
      <sz val="11"/>
      <name val="Cambria"/>
      <family val="1"/>
    </font>
    <font>
      <b/>
      <i/>
      <sz val="10.5"/>
      <color theme="1"/>
      <name val="Cambria"/>
      <family val="1"/>
    </font>
    <font>
      <b/>
      <i/>
      <sz val="11"/>
      <name val="Cambria"/>
      <family val="1"/>
    </font>
    <font>
      <b/>
      <i/>
      <sz val="12"/>
      <name val="Cambria"/>
      <family val="1"/>
    </font>
    <font>
      <i/>
      <sz val="10"/>
      <name val="Cambria"/>
      <family val="1"/>
    </font>
    <font>
      <sz val="11"/>
      <color rgb="FF663300"/>
      <name val="Cambria"/>
      <family val="1"/>
    </font>
    <font>
      <b/>
      <i/>
      <sz val="11"/>
      <color rgb="FF663300"/>
      <name val="Cambria"/>
      <family val="1"/>
    </font>
    <font>
      <b/>
      <i/>
      <sz val="10.5"/>
      <color rgb="FF663300"/>
      <name val="Cambria"/>
      <family val="1"/>
    </font>
    <font>
      <i/>
      <sz val="11"/>
      <color rgb="FF663300"/>
      <name val="Cambria"/>
      <family val="1"/>
    </font>
    <font>
      <sz val="10"/>
      <name val="Cambria"/>
      <family val="1"/>
    </font>
    <font>
      <b/>
      <sz val="10"/>
      <name val="Cambria"/>
      <family val="1"/>
    </font>
    <font>
      <b/>
      <sz val="10.5"/>
      <name val="Cambria"/>
      <family val="1"/>
    </font>
    <font>
      <b/>
      <sz val="14"/>
      <name val="Cambria"/>
      <family val="1"/>
    </font>
    <font>
      <b/>
      <i/>
      <sz val="12"/>
      <color rgb="FFFF0000"/>
      <name val="Cambria"/>
      <family val="1"/>
    </font>
    <font>
      <i/>
      <sz val="11"/>
      <color rgb="FF000000"/>
      <name val="Cambria"/>
      <family val="1"/>
    </font>
    <font>
      <u/>
      <sz val="11"/>
      <color theme="4" tint="0.39997558519241921"/>
      <name val="Calibri"/>
      <family val="2"/>
      <scheme val="minor"/>
    </font>
  </fonts>
  <fills count="43">
    <fill>
      <patternFill patternType="none"/>
    </fill>
    <fill>
      <patternFill patternType="gray125"/>
    </fill>
    <fill>
      <patternFill patternType="solid">
        <fgColor theme="7" tint="-0.249977111117893"/>
        <bgColor indexed="64"/>
      </patternFill>
    </fill>
    <fill>
      <patternFill patternType="solid">
        <fgColor theme="7" tint="-0.499984740745262"/>
        <bgColor indexed="64"/>
      </patternFill>
    </fill>
    <fill>
      <patternFill patternType="solid">
        <fgColor theme="7"/>
        <bgColor indexed="64"/>
      </patternFill>
    </fill>
    <fill>
      <patternFill patternType="solid">
        <fgColor theme="9"/>
        <bgColor indexed="64"/>
      </patternFill>
    </fill>
    <fill>
      <patternFill patternType="solid">
        <fgColor theme="6"/>
        <bgColor indexed="64"/>
      </patternFill>
    </fill>
    <fill>
      <patternFill patternType="solid">
        <fgColor theme="5"/>
        <bgColor indexed="64"/>
      </patternFill>
    </fill>
    <fill>
      <patternFill patternType="solid">
        <fgColor theme="1" tint="0.499984740745262"/>
        <bgColor indexed="64"/>
      </patternFill>
    </fill>
    <fill>
      <patternFill patternType="solid">
        <fgColor rgb="FF7030A0"/>
        <bgColor indexed="64"/>
      </patternFill>
    </fill>
    <fill>
      <patternFill patternType="solid">
        <fgColor theme="8"/>
      </patternFill>
    </fill>
    <fill>
      <patternFill patternType="solid">
        <fgColor theme="7" tint="0.79998168889431442"/>
        <bgColor indexed="64"/>
      </patternFill>
    </fill>
    <fill>
      <patternFill patternType="solid">
        <fgColor rgb="FFFF6600"/>
        <bgColor indexed="64"/>
      </patternFill>
    </fill>
    <fill>
      <patternFill patternType="solid">
        <fgColor rgb="FF663300"/>
        <bgColor indexed="64"/>
      </patternFill>
    </fill>
    <fill>
      <patternFill patternType="solid">
        <fgColor rgb="FFA6A6A6"/>
        <bgColor indexed="64"/>
      </patternFill>
    </fill>
    <fill>
      <patternFill patternType="solid">
        <fgColor theme="5" tint="0.79998168889431442"/>
        <bgColor indexed="64"/>
      </patternFill>
    </fill>
    <fill>
      <patternFill patternType="solid">
        <fgColor rgb="FFC00000"/>
        <bgColor indexed="64"/>
      </patternFill>
    </fill>
    <fill>
      <patternFill patternType="solid">
        <fgColor rgb="FFBF8F00"/>
        <bgColor indexed="64"/>
      </patternFill>
    </fill>
    <fill>
      <patternFill patternType="solid">
        <fgColor rgb="FF806000"/>
        <bgColor indexed="64"/>
      </patternFill>
    </fill>
    <fill>
      <patternFill patternType="solid">
        <fgColor rgb="FFFF9900"/>
        <bgColor theme="9"/>
      </patternFill>
    </fill>
    <fill>
      <patternFill patternType="solid">
        <fgColor rgb="FFFF9900"/>
        <bgColor indexed="64"/>
      </patternFill>
    </fill>
    <fill>
      <patternFill patternType="solid">
        <fgColor rgb="FFF7CAAC"/>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0" tint="-0.249977111117893"/>
        <bgColor indexed="64"/>
      </patternFill>
    </fill>
    <fill>
      <patternFill patternType="solid">
        <fgColor theme="2" tint="-0.499984740745262"/>
        <bgColor indexed="64"/>
      </patternFill>
    </fill>
    <fill>
      <patternFill patternType="solid">
        <fgColor theme="8"/>
        <bgColor theme="8"/>
      </patternFill>
    </fill>
    <fill>
      <patternFill patternType="solid">
        <fgColor rgb="FF404040"/>
        <bgColor indexed="64"/>
      </patternFill>
    </fill>
    <fill>
      <patternFill patternType="solid">
        <fgColor rgb="FFD9D9D9"/>
        <bgColor indexed="64"/>
      </patternFill>
    </fill>
    <fill>
      <patternFill patternType="solid">
        <fgColor rgb="FFED7D31"/>
        <bgColor indexed="64"/>
      </patternFill>
    </fill>
    <fill>
      <patternFill patternType="solid">
        <fgColor rgb="FF808080"/>
        <bgColor indexed="64"/>
      </patternFill>
    </fill>
    <fill>
      <patternFill patternType="solid">
        <fgColor rgb="FFFFFFFF"/>
        <bgColor indexed="64"/>
      </patternFill>
    </fill>
    <fill>
      <patternFill patternType="solid">
        <fgColor rgb="FFFF0000"/>
        <bgColor indexed="64"/>
      </patternFill>
    </fill>
    <fill>
      <patternFill patternType="solid">
        <fgColor theme="2"/>
        <bgColor indexed="64"/>
      </patternFill>
    </fill>
    <fill>
      <patternFill patternType="solid">
        <fgColor theme="5" tint="-0.499984740745262"/>
        <bgColor indexed="64"/>
      </patternFill>
    </fill>
    <fill>
      <patternFill patternType="solid">
        <fgColor theme="5" tint="-0.249977111117893"/>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6" tint="-0.249977111117893"/>
        <bgColor indexed="64"/>
      </patternFill>
    </fill>
    <fill>
      <patternFill patternType="solid">
        <fgColor theme="2" tint="-9.9978637043366805E-2"/>
        <bgColor indexed="64"/>
      </patternFill>
    </fill>
    <fill>
      <patternFill patternType="solid">
        <fgColor rgb="FFFFCC99"/>
        <bgColor indexed="64"/>
      </patternFill>
    </fill>
    <fill>
      <patternFill patternType="solid">
        <fgColor theme="0" tint="-0.34998626667073579"/>
        <bgColor indexed="64"/>
      </patternFill>
    </fill>
    <fill>
      <patternFill patternType="solid">
        <fgColor theme="0"/>
        <bgColor indexed="64"/>
      </patternFill>
    </fill>
  </fills>
  <borders count="17">
    <border>
      <left/>
      <right/>
      <top/>
      <bottom/>
      <diagonal/>
    </border>
    <border>
      <left style="thin">
        <color theme="4" tint="0.39997558519241921"/>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theme="9"/>
      </left>
      <right/>
      <top/>
      <bottom/>
      <diagonal/>
    </border>
    <border>
      <left/>
      <right/>
      <top style="thin">
        <color theme="8"/>
      </top>
      <bottom/>
      <diagonal/>
    </border>
    <border>
      <left style="medium">
        <color rgb="FFBFBFBF"/>
      </left>
      <right style="medium">
        <color rgb="FFBFBFBF"/>
      </right>
      <top style="medium">
        <color rgb="FFBFBFBF"/>
      </top>
      <bottom/>
      <diagonal/>
    </border>
    <border>
      <left style="medium">
        <color rgb="FFBFBFBF"/>
      </left>
      <right style="medium">
        <color rgb="FFBFBFBF"/>
      </right>
      <top/>
      <bottom style="medium">
        <color rgb="FFBFBFBF"/>
      </bottom>
      <diagonal/>
    </border>
    <border>
      <left/>
      <right style="medium">
        <color rgb="FFBFBFBF"/>
      </right>
      <top style="medium">
        <color rgb="FFBFBFBF"/>
      </top>
      <bottom/>
      <diagonal/>
    </border>
    <border>
      <left/>
      <right style="medium">
        <color rgb="FFBFBFBF"/>
      </right>
      <top/>
      <bottom style="medium">
        <color rgb="FFBFBFBF"/>
      </bottom>
      <diagonal/>
    </border>
    <border>
      <left/>
      <right style="medium">
        <color rgb="FFBFBFBF"/>
      </right>
      <top/>
      <bottom/>
      <diagonal/>
    </border>
    <border>
      <left/>
      <right/>
      <top/>
      <bottom style="medium">
        <color auto="1"/>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8">
    <xf numFmtId="0" fontId="0" fillId="0" borderId="0"/>
    <xf numFmtId="9" fontId="1" fillId="0" borderId="0" applyFont="0" applyFill="0" applyBorder="0" applyAlignment="0" applyProtection="0"/>
    <xf numFmtId="0" fontId="2" fillId="10" borderId="0" applyNumberFormat="0" applyBorder="0" applyAlignment="0" applyProtection="0"/>
    <xf numFmtId="0" fontId="1" fillId="0" borderId="0"/>
    <xf numFmtId="0" fontId="3" fillId="0" borderId="0" applyNumberFormat="0" applyFill="0" applyBorder="0" applyAlignment="0" applyProtection="0"/>
    <xf numFmtId="0" fontId="4" fillId="0" borderId="0"/>
    <xf numFmtId="164" fontId="1" fillId="0" borderId="0" applyFont="0" applyFill="0" applyBorder="0" applyAlignment="0" applyProtection="0"/>
    <xf numFmtId="9" fontId="4" fillId="0" borderId="0" applyFont="0" applyFill="0" applyBorder="0" applyAlignment="0" applyProtection="0"/>
  </cellStyleXfs>
  <cellXfs count="341">
    <xf numFmtId="0" fontId="0" fillId="0" borderId="0" xfId="0"/>
    <xf numFmtId="0" fontId="6" fillId="0" borderId="0" xfId="0" applyFont="1"/>
    <xf numFmtId="0" fontId="7" fillId="0" borderId="0" xfId="0" applyFont="1"/>
    <xf numFmtId="0" fontId="6" fillId="0" borderId="6" xfId="0" applyFont="1" applyBorder="1" applyAlignment="1">
      <alignment horizontal="left" vertical="top"/>
    </xf>
    <xf numFmtId="0" fontId="6" fillId="0" borderId="0" xfId="0" applyFont="1" applyAlignment="1">
      <alignment horizontal="left" vertical="top"/>
    </xf>
    <xf numFmtId="0" fontId="7" fillId="0" borderId="0" xfId="0" applyFont="1" applyAlignment="1">
      <alignment horizontal="right" vertical="center"/>
    </xf>
    <xf numFmtId="0" fontId="8" fillId="0" borderId="0" xfId="0" applyFont="1"/>
    <xf numFmtId="0" fontId="9" fillId="0" borderId="0" xfId="0" applyFont="1"/>
    <xf numFmtId="0" fontId="10" fillId="0" borderId="0" xfId="0" applyFont="1"/>
    <xf numFmtId="0" fontId="6" fillId="15" borderId="2" xfId="0" applyFont="1" applyFill="1" applyBorder="1" applyAlignment="1">
      <alignment horizontal="right"/>
    </xf>
    <xf numFmtId="165" fontId="6" fillId="0" borderId="2" xfId="0" applyNumberFormat="1" applyFont="1" applyBorder="1"/>
    <xf numFmtId="0" fontId="11" fillId="0" borderId="0" xfId="0" applyFont="1" applyAlignment="1">
      <alignment vertical="top"/>
    </xf>
    <xf numFmtId="0" fontId="12" fillId="27" borderId="11" xfId="0" applyFont="1" applyFill="1" applyBorder="1" applyAlignment="1">
      <alignment horizontal="center" vertical="center" wrapText="1"/>
    </xf>
    <xf numFmtId="0" fontId="12" fillId="27" borderId="12" xfId="0" applyFont="1" applyFill="1" applyBorder="1" applyAlignment="1">
      <alignment horizontal="center" vertical="center" wrapText="1"/>
    </xf>
    <xf numFmtId="0" fontId="12" fillId="34" borderId="10" xfId="0" applyFont="1" applyFill="1" applyBorder="1" applyAlignment="1">
      <alignment vertical="center" wrapText="1"/>
    </xf>
    <xf numFmtId="0" fontId="13" fillId="28" borderId="12" xfId="0" applyFont="1" applyFill="1" applyBorder="1" applyAlignment="1">
      <alignment horizontal="center" vertical="center" wrapText="1"/>
    </xf>
    <xf numFmtId="0" fontId="13" fillId="28" borderId="12" xfId="0" applyFont="1" applyFill="1" applyBorder="1" applyAlignment="1">
      <alignment vertical="center" wrapText="1"/>
    </xf>
    <xf numFmtId="0" fontId="14" fillId="28" borderId="12" xfId="0" applyFont="1" applyFill="1" applyBorder="1" applyAlignment="1">
      <alignment vertical="center" wrapText="1"/>
    </xf>
    <xf numFmtId="0" fontId="13" fillId="0" borderId="12" xfId="0" applyFont="1" applyBorder="1" applyAlignment="1">
      <alignment horizontal="center" vertical="center" wrapText="1"/>
    </xf>
    <xf numFmtId="0" fontId="13" fillId="0" borderId="12" xfId="0" applyFont="1" applyBorder="1" applyAlignment="1">
      <alignment vertical="center" wrapText="1"/>
    </xf>
    <xf numFmtId="0" fontId="14" fillId="0" borderId="12" xfId="0" applyFont="1" applyBorder="1" applyAlignment="1">
      <alignment vertical="center" wrapText="1"/>
    </xf>
    <xf numFmtId="0" fontId="12" fillId="35" borderId="10" xfId="0" applyFont="1" applyFill="1" applyBorder="1" applyAlignment="1">
      <alignment vertical="center" wrapText="1"/>
    </xf>
    <xf numFmtId="0" fontId="14" fillId="28" borderId="12" xfId="0" applyFont="1" applyFill="1" applyBorder="1" applyAlignment="1">
      <alignment horizontal="center" vertical="center" wrapText="1"/>
    </xf>
    <xf numFmtId="0" fontId="16" fillId="0" borderId="12" xfId="4" applyFont="1" applyBorder="1" applyAlignment="1">
      <alignment horizontal="center" vertical="center" wrapText="1"/>
    </xf>
    <xf numFmtId="0" fontId="12" fillId="38" borderId="10" xfId="0" applyFont="1" applyFill="1" applyBorder="1" applyAlignment="1">
      <alignment vertical="center" wrapText="1"/>
    </xf>
    <xf numFmtId="0" fontId="16" fillId="28" borderId="12" xfId="4" applyFont="1" applyFill="1" applyBorder="1" applyAlignment="1">
      <alignment horizontal="center" vertical="center" wrapText="1"/>
    </xf>
    <xf numFmtId="0" fontId="12" fillId="36" borderId="10" xfId="0" applyFont="1" applyFill="1" applyBorder="1" applyAlignment="1">
      <alignment vertical="center" wrapText="1"/>
    </xf>
    <xf numFmtId="0" fontId="17" fillId="28" borderId="12" xfId="0" applyFont="1" applyFill="1" applyBorder="1" applyAlignment="1">
      <alignment horizontal="center" vertical="center" wrapText="1"/>
    </xf>
    <xf numFmtId="0" fontId="12" fillId="17" borderId="9" xfId="0" applyFont="1" applyFill="1" applyBorder="1" applyAlignment="1">
      <alignment vertical="center" wrapText="1"/>
    </xf>
    <xf numFmtId="0" fontId="13" fillId="0" borderId="9" xfId="0" applyFont="1" applyBorder="1" applyAlignment="1">
      <alignment horizontal="center" vertical="center" wrapText="1"/>
    </xf>
    <xf numFmtId="0" fontId="13" fillId="0" borderId="9" xfId="0" applyFont="1" applyBorder="1" applyAlignment="1">
      <alignment vertical="center" wrapText="1"/>
    </xf>
    <xf numFmtId="0" fontId="13" fillId="28" borderId="9" xfId="0" applyFont="1" applyFill="1" applyBorder="1" applyAlignment="1">
      <alignment horizontal="center" vertical="center" wrapText="1"/>
    </xf>
    <xf numFmtId="0" fontId="13" fillId="28" borderId="9" xfId="0" applyFont="1" applyFill="1" applyBorder="1" applyAlignment="1">
      <alignment vertical="center" wrapText="1"/>
    </xf>
    <xf numFmtId="0" fontId="13" fillId="28" borderId="13" xfId="0" applyFont="1" applyFill="1" applyBorder="1" applyAlignment="1">
      <alignment horizontal="center" vertical="center" wrapText="1"/>
    </xf>
    <xf numFmtId="0" fontId="12" fillId="18" borderId="10" xfId="0" applyFont="1" applyFill="1" applyBorder="1" applyAlignment="1">
      <alignment vertical="center" wrapText="1"/>
    </xf>
    <xf numFmtId="0" fontId="19" fillId="18" borderId="10" xfId="0" applyFont="1" applyFill="1" applyBorder="1" applyAlignment="1">
      <alignment vertical="center" wrapText="1"/>
    </xf>
    <xf numFmtId="0" fontId="20" fillId="28" borderId="12" xfId="0" applyFont="1" applyFill="1" applyBorder="1" applyAlignment="1">
      <alignment horizontal="center" vertical="center" wrapText="1"/>
    </xf>
    <xf numFmtId="0" fontId="12" fillId="13" borderId="10" xfId="0" applyFont="1" applyFill="1" applyBorder="1" applyAlignment="1">
      <alignment vertical="center" wrapText="1"/>
    </xf>
    <xf numFmtId="0" fontId="21" fillId="0" borderId="12" xfId="4" applyFont="1" applyBorder="1" applyAlignment="1">
      <alignment horizontal="center" vertical="center" wrapText="1"/>
    </xf>
    <xf numFmtId="0" fontId="12" fillId="29" borderId="10" xfId="0" applyFont="1" applyFill="1" applyBorder="1" applyAlignment="1">
      <alignment vertical="center" wrapText="1"/>
    </xf>
    <xf numFmtId="0" fontId="12" fillId="37" borderId="10" xfId="0" applyFont="1" applyFill="1" applyBorder="1" applyAlignment="1">
      <alignment vertical="center" wrapText="1"/>
    </xf>
    <xf numFmtId="0" fontId="12" fillId="33" borderId="10" xfId="0" applyFont="1" applyFill="1" applyBorder="1" applyAlignment="1">
      <alignment vertical="center" wrapText="1"/>
    </xf>
    <xf numFmtId="0" fontId="18" fillId="28" borderId="12" xfId="0" applyFont="1" applyFill="1" applyBorder="1" applyAlignment="1">
      <alignment horizontal="center" vertical="center" wrapText="1"/>
    </xf>
    <xf numFmtId="0" fontId="12" fillId="30" borderId="10" xfId="0" applyFont="1" applyFill="1" applyBorder="1" applyAlignment="1">
      <alignment vertical="center" wrapText="1"/>
    </xf>
    <xf numFmtId="0" fontId="12" fillId="9" borderId="10" xfId="0" applyFont="1" applyFill="1" applyBorder="1" applyAlignment="1">
      <alignment vertical="center"/>
    </xf>
    <xf numFmtId="0" fontId="14" fillId="0" borderId="12" xfId="0" applyFont="1" applyBorder="1" applyAlignment="1">
      <alignment horizontal="center" vertical="center" wrapText="1"/>
    </xf>
    <xf numFmtId="0" fontId="12" fillId="16" borderId="10" xfId="0" applyFont="1" applyFill="1" applyBorder="1" applyAlignment="1">
      <alignment vertical="center"/>
    </xf>
    <xf numFmtId="0" fontId="22" fillId="11" borderId="10" xfId="0" applyFont="1" applyFill="1" applyBorder="1" applyAlignment="1">
      <alignment vertical="center" wrapText="1"/>
    </xf>
    <xf numFmtId="0" fontId="13" fillId="31" borderId="12" xfId="0" applyFont="1" applyFill="1" applyBorder="1" applyAlignment="1">
      <alignment horizontal="center" vertical="center" wrapText="1"/>
    </xf>
    <xf numFmtId="0" fontId="13" fillId="31" borderId="12" xfId="0" applyFont="1" applyFill="1" applyBorder="1" applyAlignment="1">
      <alignment vertical="center" wrapText="1"/>
    </xf>
    <xf numFmtId="0" fontId="14" fillId="31" borderId="12" xfId="0" applyFont="1" applyFill="1" applyBorder="1" applyAlignment="1">
      <alignment vertical="center" wrapText="1"/>
    </xf>
    <xf numFmtId="0" fontId="12" fillId="15" borderId="10" xfId="0" applyFont="1" applyFill="1" applyBorder="1" applyAlignment="1">
      <alignment vertical="center" wrapText="1"/>
    </xf>
    <xf numFmtId="0" fontId="19" fillId="29" borderId="10" xfId="0" applyFont="1" applyFill="1" applyBorder="1" applyAlignment="1">
      <alignment vertical="center" wrapText="1"/>
    </xf>
    <xf numFmtId="0" fontId="23" fillId="28" borderId="12" xfId="0" applyFont="1" applyFill="1" applyBorder="1" applyAlignment="1">
      <alignment horizontal="center" vertical="center" wrapText="1"/>
    </xf>
    <xf numFmtId="0" fontId="23" fillId="28" borderId="12" xfId="0" applyFont="1" applyFill="1" applyBorder="1" applyAlignment="1">
      <alignment vertical="center" wrapText="1"/>
    </xf>
    <xf numFmtId="0" fontId="19" fillId="36" borderId="10" xfId="0" applyFont="1" applyFill="1" applyBorder="1" applyAlignment="1">
      <alignment vertical="center" wrapText="1"/>
    </xf>
    <xf numFmtId="0" fontId="23" fillId="31" borderId="12" xfId="0" applyFont="1" applyFill="1" applyBorder="1" applyAlignment="1">
      <alignment horizontal="center" vertical="center" wrapText="1"/>
    </xf>
    <xf numFmtId="0" fontId="23" fillId="31" borderId="12" xfId="0" applyFont="1" applyFill="1" applyBorder="1" applyAlignment="1">
      <alignment vertical="center" wrapText="1"/>
    </xf>
    <xf numFmtId="0" fontId="19" fillId="37" borderId="10" xfId="0" applyFont="1" applyFill="1" applyBorder="1" applyAlignment="1">
      <alignment vertical="center" wrapText="1"/>
    </xf>
    <xf numFmtId="0" fontId="19" fillId="15" borderId="10" xfId="0" applyFont="1" applyFill="1" applyBorder="1" applyAlignment="1">
      <alignment vertical="center" wrapText="1"/>
    </xf>
    <xf numFmtId="0" fontId="19" fillId="38" borderId="10" xfId="0" applyFont="1" applyFill="1" applyBorder="1" applyAlignment="1">
      <alignment vertical="center" wrapText="1"/>
    </xf>
    <xf numFmtId="0" fontId="6" fillId="0" borderId="0" xfId="0" applyFont="1" applyProtection="1">
      <protection locked="0"/>
    </xf>
    <xf numFmtId="0" fontId="24" fillId="36" borderId="0" xfId="0" applyFont="1" applyFill="1" applyProtection="1">
      <protection locked="0"/>
    </xf>
    <xf numFmtId="0" fontId="6" fillId="0" borderId="0" xfId="0" applyFont="1" applyAlignment="1" applyProtection="1">
      <alignment vertical="center"/>
      <protection locked="0"/>
    </xf>
    <xf numFmtId="0" fontId="24" fillId="5" borderId="0" xfId="0" applyFont="1" applyFill="1" applyProtection="1">
      <protection locked="0"/>
    </xf>
    <xf numFmtId="0" fontId="25" fillId="14" borderId="0" xfId="0" applyFont="1" applyFill="1" applyAlignment="1" applyProtection="1">
      <alignment vertical="center"/>
      <protection locked="0"/>
    </xf>
    <xf numFmtId="0" fontId="6" fillId="0" borderId="0" xfId="0" applyFont="1" applyAlignment="1">
      <alignment vertical="center"/>
    </xf>
    <xf numFmtId="0" fontId="6" fillId="36" borderId="0" xfId="0" applyFont="1" applyFill="1" applyAlignment="1" applyProtection="1">
      <alignment vertical="center"/>
      <protection locked="0"/>
    </xf>
    <xf numFmtId="0" fontId="6" fillId="5" borderId="0" xfId="0" applyFont="1" applyFill="1" applyAlignment="1" applyProtection="1">
      <alignment vertical="center"/>
      <protection locked="0"/>
    </xf>
    <xf numFmtId="0" fontId="6" fillId="6" borderId="0" xfId="0" applyFont="1" applyFill="1" applyAlignment="1">
      <alignment vertical="center"/>
    </xf>
    <xf numFmtId="0" fontId="6" fillId="9" borderId="0" xfId="0" applyFont="1" applyFill="1" applyAlignment="1" applyProtection="1">
      <alignment vertical="center" wrapText="1"/>
      <protection locked="0"/>
    </xf>
    <xf numFmtId="0" fontId="6" fillId="32" borderId="0" xfId="0" applyFont="1" applyFill="1" applyAlignment="1" applyProtection="1">
      <alignment vertical="center" wrapText="1"/>
      <protection locked="0"/>
    </xf>
    <xf numFmtId="0" fontId="26" fillId="0" borderId="0" xfId="0" applyFont="1" applyAlignment="1" applyProtection="1">
      <alignment horizontal="center"/>
      <protection locked="0"/>
    </xf>
    <xf numFmtId="0" fontId="8" fillId="0" borderId="0" xfId="0" applyFont="1" applyAlignment="1" applyProtection="1">
      <alignment horizontal="center"/>
      <protection locked="0"/>
    </xf>
    <xf numFmtId="0" fontId="26" fillId="0" borderId="0" xfId="0" applyFont="1" applyProtection="1">
      <protection locked="0"/>
    </xf>
    <xf numFmtId="0" fontId="6" fillId="0" borderId="0" xfId="0" applyFont="1" applyAlignment="1">
      <alignment horizontal="left" vertical="center" wrapText="1"/>
    </xf>
    <xf numFmtId="0" fontId="27" fillId="0" borderId="0" xfId="0" applyFont="1"/>
    <xf numFmtId="0" fontId="6" fillId="0" borderId="0" xfId="0" applyFont="1" applyAlignment="1">
      <alignment horizontal="center"/>
    </xf>
    <xf numFmtId="0" fontId="28" fillId="0" borderId="0" xfId="0" applyFont="1"/>
    <xf numFmtId="0" fontId="6" fillId="0" borderId="0" xfId="0" applyFont="1" applyAlignment="1">
      <alignment wrapText="1"/>
    </xf>
    <xf numFmtId="0" fontId="6" fillId="15" borderId="2" xfId="0" applyFont="1" applyFill="1" applyBorder="1" applyAlignment="1">
      <alignment horizontal="right" wrapText="1"/>
    </xf>
    <xf numFmtId="165" fontId="6" fillId="15" borderId="2" xfId="0" applyNumberFormat="1" applyFont="1" applyFill="1" applyBorder="1" applyAlignment="1">
      <alignment wrapText="1"/>
    </xf>
    <xf numFmtId="0" fontId="29" fillId="0" borderId="0" xfId="0" applyFont="1" applyAlignment="1">
      <alignment horizontal="center" wrapText="1"/>
    </xf>
    <xf numFmtId="0" fontId="24" fillId="6" borderId="2" xfId="0" applyFont="1" applyFill="1" applyBorder="1" applyAlignment="1">
      <alignment horizontal="center" vertical="center" wrapText="1"/>
    </xf>
    <xf numFmtId="0" fontId="6" fillId="0" borderId="2" xfId="0" applyFont="1" applyBorder="1" applyAlignment="1">
      <alignment horizontal="center" vertical="center" wrapText="1"/>
    </xf>
    <xf numFmtId="0" fontId="30" fillId="0" borderId="0" xfId="0" applyFont="1" applyAlignment="1">
      <alignment horizontal="left" vertical="center" wrapText="1"/>
    </xf>
    <xf numFmtId="0" fontId="27" fillId="0" borderId="0" xfId="0" applyFont="1" applyAlignment="1">
      <alignment wrapText="1"/>
    </xf>
    <xf numFmtId="0" fontId="6" fillId="0" borderId="0" xfId="0" applyFont="1" applyAlignment="1">
      <alignment horizontal="center" wrapText="1"/>
    </xf>
    <xf numFmtId="165" fontId="6" fillId="15" borderId="2" xfId="0" applyNumberFormat="1" applyFont="1" applyFill="1" applyBorder="1"/>
    <xf numFmtId="0" fontId="29" fillId="0" borderId="0" xfId="0" applyFont="1" applyAlignment="1">
      <alignment horizontal="center"/>
    </xf>
    <xf numFmtId="0" fontId="24" fillId="9" borderId="2" xfId="0" applyFont="1" applyFill="1" applyBorder="1" applyAlignment="1">
      <alignment horizontal="center" vertical="center"/>
    </xf>
    <xf numFmtId="0" fontId="26" fillId="0" borderId="2" xfId="0" applyFont="1" applyBorder="1" applyAlignment="1">
      <alignment horizontal="center" vertical="center"/>
    </xf>
    <xf numFmtId="0" fontId="6" fillId="0" borderId="0" xfId="0" applyFont="1" applyAlignment="1">
      <alignment horizontal="right" vertical="top"/>
    </xf>
    <xf numFmtId="167" fontId="6" fillId="0" borderId="0" xfId="6" applyNumberFormat="1" applyFont="1" applyAlignment="1" applyProtection="1">
      <alignment horizontal="center" vertical="top"/>
    </xf>
    <xf numFmtId="0" fontId="24" fillId="16" borderId="2" xfId="0" applyFont="1" applyFill="1" applyBorder="1" applyAlignment="1">
      <alignment horizontal="center" vertical="center"/>
    </xf>
    <xf numFmtId="0" fontId="8" fillId="0" borderId="2" xfId="0" applyFont="1" applyBorder="1" applyAlignment="1">
      <alignment horizontal="center" vertical="center"/>
    </xf>
    <xf numFmtId="0" fontId="30" fillId="0" borderId="0" xfId="0" applyFont="1"/>
    <xf numFmtId="0" fontId="24" fillId="0" borderId="0" xfId="0" applyFont="1" applyAlignment="1">
      <alignment horizontal="center"/>
    </xf>
    <xf numFmtId="0" fontId="24" fillId="26" borderId="8" xfId="0" applyFont="1" applyFill="1" applyBorder="1" applyAlignment="1">
      <alignment vertical="center"/>
    </xf>
    <xf numFmtId="0" fontId="30" fillId="0" borderId="2" xfId="0" applyFont="1" applyBorder="1" applyAlignment="1">
      <alignment horizontal="center" vertical="center" wrapText="1"/>
    </xf>
    <xf numFmtId="0" fontId="30" fillId="0" borderId="0" xfId="0" applyFont="1" applyAlignment="1">
      <alignment horizontal="center"/>
    </xf>
    <xf numFmtId="0" fontId="29" fillId="0" borderId="0" xfId="0" applyFont="1"/>
    <xf numFmtId="0" fontId="24" fillId="9" borderId="2" xfId="0" applyFont="1" applyFill="1" applyBorder="1" applyAlignment="1">
      <alignment horizontal="center" vertical="top"/>
    </xf>
    <xf numFmtId="0" fontId="24" fillId="16" borderId="2" xfId="0" applyFont="1" applyFill="1" applyBorder="1" applyAlignment="1">
      <alignment horizontal="center" vertical="top"/>
    </xf>
    <xf numFmtId="0" fontId="29" fillId="12" borderId="0" xfId="0" applyFont="1" applyFill="1" applyAlignment="1">
      <alignment horizontal="center" vertical="center" wrapText="1"/>
    </xf>
    <xf numFmtId="0" fontId="29" fillId="0" borderId="0" xfId="0" applyFont="1" applyAlignment="1">
      <alignment vertical="top" wrapText="1"/>
    </xf>
    <xf numFmtId="0" fontId="6" fillId="0" borderId="0" xfId="0" applyFont="1" applyAlignment="1">
      <alignment vertical="top" wrapText="1"/>
    </xf>
    <xf numFmtId="0" fontId="6" fillId="0" borderId="0" xfId="0" applyFont="1" applyAlignment="1" applyProtection="1">
      <alignment horizontal="center"/>
      <protection locked="0"/>
    </xf>
    <xf numFmtId="3" fontId="6" fillId="33" borderId="0" xfId="0" applyNumberFormat="1" applyFont="1" applyFill="1" applyProtection="1">
      <protection locked="0"/>
    </xf>
    <xf numFmtId="3" fontId="6" fillId="11" borderId="0" xfId="0" applyNumberFormat="1" applyFont="1" applyFill="1" applyAlignment="1" applyProtection="1">
      <alignment horizontal="center"/>
      <protection locked="0"/>
    </xf>
    <xf numFmtId="3" fontId="6" fillId="11" borderId="0" xfId="0" applyNumberFormat="1" applyFont="1" applyFill="1" applyProtection="1">
      <protection locked="0"/>
    </xf>
    <xf numFmtId="0" fontId="24" fillId="36" borderId="0" xfId="0" applyFont="1" applyFill="1" applyAlignment="1">
      <alignment horizontal="left" vertical="top"/>
    </xf>
    <xf numFmtId="0" fontId="6" fillId="36" borderId="0" xfId="0" applyFont="1" applyFill="1"/>
    <xf numFmtId="0" fontId="39" fillId="0" borderId="0" xfId="3" applyFont="1" applyAlignment="1">
      <alignment horizontal="left"/>
    </xf>
    <xf numFmtId="0" fontId="40" fillId="36" borderId="1" xfId="2" applyFont="1" applyFill="1" applyBorder="1" applyAlignment="1">
      <alignment horizontal="center" vertical="center" wrapText="1"/>
    </xf>
    <xf numFmtId="0" fontId="40" fillId="36" borderId="0" xfId="2" applyFont="1" applyFill="1" applyBorder="1" applyAlignment="1">
      <alignment horizontal="center" vertical="center" wrapText="1"/>
    </xf>
    <xf numFmtId="0" fontId="41" fillId="20" borderId="0" xfId="0" applyFont="1" applyFill="1" applyAlignment="1">
      <alignment horizontal="center" vertical="center" wrapText="1"/>
    </xf>
    <xf numFmtId="0" fontId="42" fillId="20" borderId="0" xfId="0" applyFont="1" applyFill="1" applyAlignment="1">
      <alignment horizontal="center" vertical="center" wrapText="1"/>
    </xf>
    <xf numFmtId="0" fontId="40" fillId="20" borderId="0" xfId="0" applyFont="1" applyFill="1" applyAlignment="1">
      <alignment horizontal="left" wrapText="1"/>
    </xf>
    <xf numFmtId="0" fontId="40" fillId="20" borderId="0" xfId="0" applyFont="1" applyFill="1"/>
    <xf numFmtId="0" fontId="43" fillId="37" borderId="0" xfId="2" applyFont="1" applyFill="1" applyAlignment="1">
      <alignment horizontal="center" vertical="center" wrapText="1"/>
    </xf>
    <xf numFmtId="0" fontId="43" fillId="37" borderId="0" xfId="2" quotePrefix="1" applyFont="1" applyFill="1" applyAlignment="1">
      <alignment horizontal="center" vertical="center" wrapText="1"/>
    </xf>
    <xf numFmtId="0" fontId="41" fillId="0" borderId="0" xfId="0" applyFont="1" applyAlignment="1">
      <alignment horizontal="left"/>
    </xf>
    <xf numFmtId="0" fontId="42" fillId="0" borderId="0" xfId="0" applyFont="1"/>
    <xf numFmtId="0" fontId="44" fillId="0" borderId="0" xfId="0" applyFont="1" applyAlignment="1">
      <alignment horizontal="left"/>
    </xf>
    <xf numFmtId="0" fontId="14" fillId="0" borderId="0" xfId="0" applyFont="1"/>
    <xf numFmtId="0" fontId="45" fillId="4" borderId="0" xfId="0" applyFont="1" applyFill="1"/>
    <xf numFmtId="0" fontId="6" fillId="4" borderId="0" xfId="0" applyFont="1" applyFill="1"/>
    <xf numFmtId="0" fontId="6" fillId="0" borderId="0" xfId="0" pivotButton="1" applyFont="1"/>
    <xf numFmtId="0" fontId="45" fillId="3" borderId="0" xfId="0" applyFont="1" applyFill="1"/>
    <xf numFmtId="0" fontId="6" fillId="3" borderId="0" xfId="0" applyFont="1" applyFill="1"/>
    <xf numFmtId="0" fontId="6" fillId="0" borderId="0" xfId="0" pivotButton="1" applyFont="1" applyAlignment="1">
      <alignment wrapText="1"/>
    </xf>
    <xf numFmtId="0" fontId="38" fillId="0" borderId="0" xfId="0" applyFont="1" applyProtection="1">
      <protection locked="0"/>
    </xf>
    <xf numFmtId="0" fontId="38" fillId="0" borderId="0" xfId="0" applyFont="1"/>
    <xf numFmtId="0" fontId="46" fillId="0" borderId="0" xfId="0" applyFont="1" applyAlignment="1">
      <alignment horizontal="left"/>
    </xf>
    <xf numFmtId="0" fontId="47" fillId="0" borderId="0" xfId="0" applyFont="1"/>
    <xf numFmtId="0" fontId="48" fillId="0" borderId="0" xfId="0" applyFont="1"/>
    <xf numFmtId="0" fontId="27" fillId="0" borderId="0" xfId="0" applyFont="1" applyAlignment="1">
      <alignment horizontal="left" vertical="top"/>
    </xf>
    <xf numFmtId="165" fontId="47" fillId="0" borderId="0" xfId="0" applyNumberFormat="1" applyFont="1"/>
    <xf numFmtId="0" fontId="47" fillId="0" borderId="0" xfId="0" applyFont="1" applyAlignment="1">
      <alignment horizontal="left"/>
    </xf>
    <xf numFmtId="0" fontId="27" fillId="0" borderId="0" xfId="0" applyFont="1" applyAlignment="1">
      <alignment horizontal="left"/>
    </xf>
    <xf numFmtId="165" fontId="6" fillId="0" borderId="0" xfId="0" applyNumberFormat="1" applyFont="1"/>
    <xf numFmtId="0" fontId="38" fillId="0" borderId="0" xfId="0" applyFont="1" applyAlignment="1" applyProtection="1">
      <alignment vertical="top" wrapText="1"/>
      <protection locked="0"/>
    </xf>
    <xf numFmtId="0" fontId="38" fillId="0" borderId="0" xfId="0" applyFont="1" applyAlignment="1">
      <alignment vertical="top" wrapText="1"/>
    </xf>
    <xf numFmtId="0" fontId="47" fillId="0" borderId="0" xfId="0" applyFont="1" applyAlignment="1" applyProtection="1">
      <alignment horizontal="center" vertical="center"/>
      <protection locked="0"/>
    </xf>
    <xf numFmtId="0" fontId="49" fillId="39" borderId="0" xfId="0" applyFont="1" applyFill="1" applyAlignment="1">
      <alignment horizontal="center" vertical="center" wrapText="1"/>
    </xf>
    <xf numFmtId="0" fontId="50" fillId="7" borderId="0" xfId="0" applyFont="1" applyFill="1" applyAlignment="1">
      <alignment horizontal="center" vertical="center" wrapText="1"/>
    </xf>
    <xf numFmtId="0" fontId="47" fillId="36" borderId="0" xfId="0" applyFont="1" applyFill="1" applyAlignment="1">
      <alignment horizontal="center" vertical="center" wrapText="1"/>
    </xf>
    <xf numFmtId="0" fontId="49" fillId="35" borderId="0" xfId="0" applyFont="1" applyFill="1" applyAlignment="1">
      <alignment horizontal="center" vertical="top" wrapText="1"/>
    </xf>
    <xf numFmtId="0" fontId="49" fillId="36" borderId="0" xfId="0" applyFont="1" applyFill="1" applyAlignment="1">
      <alignment horizontal="center" vertical="top" wrapText="1"/>
    </xf>
    <xf numFmtId="0" fontId="47" fillId="24" borderId="0" xfId="0" applyFont="1" applyFill="1" applyAlignment="1">
      <alignment horizontal="center" vertical="center" wrapText="1"/>
    </xf>
    <xf numFmtId="0" fontId="49" fillId="25" borderId="0" xfId="0" applyFont="1" applyFill="1" applyAlignment="1">
      <alignment horizontal="center" vertical="top" wrapText="1"/>
    </xf>
    <xf numFmtId="0" fontId="47" fillId="0" borderId="0" xfId="0" applyFont="1" applyProtection="1">
      <protection locked="0"/>
    </xf>
    <xf numFmtId="0" fontId="49" fillId="0" borderId="14" xfId="0" applyFont="1" applyBorder="1" applyAlignment="1">
      <alignment horizontal="right" vertical="center"/>
    </xf>
    <xf numFmtId="0" fontId="47" fillId="0" borderId="14" xfId="0" applyFont="1" applyBorder="1" applyAlignment="1">
      <alignment vertical="center"/>
    </xf>
    <xf numFmtId="0" fontId="49" fillId="0" borderId="14" xfId="0" applyFont="1" applyBorder="1" applyAlignment="1">
      <alignment horizontal="center" vertical="center" wrapText="1"/>
    </xf>
    <xf numFmtId="9" fontId="49" fillId="21" borderId="14" xfId="0" applyNumberFormat="1" applyFont="1" applyFill="1" applyBorder="1" applyAlignment="1">
      <alignment vertical="center"/>
    </xf>
    <xf numFmtId="9" fontId="51" fillId="40" borderId="14" xfId="1" applyFont="1" applyFill="1" applyBorder="1" applyAlignment="1" applyProtection="1">
      <alignment horizontal="center"/>
    </xf>
    <xf numFmtId="9" fontId="51" fillId="40" borderId="14" xfId="0" applyNumberFormat="1" applyFont="1" applyFill="1" applyBorder="1"/>
    <xf numFmtId="9" fontId="51" fillId="40" borderId="14" xfId="0" applyNumberFormat="1" applyFont="1" applyFill="1" applyBorder="1" applyAlignment="1">
      <alignment horizontal="center" vertical="center" wrapText="1"/>
    </xf>
    <xf numFmtId="9" fontId="51" fillId="40" borderId="14" xfId="0" applyNumberFormat="1" applyFont="1" applyFill="1" applyBorder="1" applyAlignment="1">
      <alignment vertical="center" wrapText="1"/>
    </xf>
    <xf numFmtId="9" fontId="49" fillId="36" borderId="14" xfId="0" applyNumberFormat="1" applyFont="1" applyFill="1" applyBorder="1" applyAlignment="1">
      <alignment vertical="center"/>
    </xf>
    <xf numFmtId="9" fontId="49" fillId="37" borderId="14" xfId="0" applyNumberFormat="1" applyFont="1" applyFill="1" applyBorder="1" applyAlignment="1">
      <alignment vertical="center"/>
    </xf>
    <xf numFmtId="9" fontId="51" fillId="23" borderId="14" xfId="0" applyNumberFormat="1" applyFont="1" applyFill="1" applyBorder="1" applyAlignment="1">
      <alignment vertical="center" wrapText="1"/>
    </xf>
    <xf numFmtId="9" fontId="49" fillId="6" borderId="14" xfId="0" applyNumberFormat="1" applyFont="1" applyFill="1" applyBorder="1"/>
    <xf numFmtId="9" fontId="50" fillId="36" borderId="14" xfId="0" applyNumberFormat="1" applyFont="1" applyFill="1" applyBorder="1" applyAlignment="1">
      <alignment vertical="center"/>
    </xf>
    <xf numFmtId="0" fontId="47" fillId="0" borderId="0" xfId="0" applyFont="1" applyAlignment="1">
      <alignment horizontal="right" vertical="center"/>
    </xf>
    <xf numFmtId="0" fontId="47" fillId="0" borderId="0" xfId="0" applyFont="1" applyAlignment="1">
      <alignment horizontal="center" vertical="center"/>
    </xf>
    <xf numFmtId="0" fontId="47" fillId="0" borderId="0" xfId="0" applyFont="1" applyAlignment="1">
      <alignment horizontal="center" vertical="center" wrapText="1"/>
    </xf>
    <xf numFmtId="3" fontId="47" fillId="21" borderId="0" xfId="0" applyNumberFormat="1" applyFont="1" applyFill="1" applyAlignment="1">
      <alignment horizontal="right" vertical="center"/>
    </xf>
    <xf numFmtId="3" fontId="51" fillId="40" borderId="0" xfId="0" applyNumberFormat="1" applyFont="1" applyFill="1" applyAlignment="1">
      <alignment horizontal="right" vertical="center"/>
    </xf>
    <xf numFmtId="3" fontId="47" fillId="36" borderId="0" xfId="0" applyNumberFormat="1" applyFont="1" applyFill="1" applyAlignment="1">
      <alignment horizontal="right" vertical="center"/>
    </xf>
    <xf numFmtId="3" fontId="49" fillId="37" borderId="0" xfId="0" applyNumberFormat="1" applyFont="1" applyFill="1" applyAlignment="1">
      <alignment horizontal="right" vertical="center"/>
    </xf>
    <xf numFmtId="3" fontId="47" fillId="22" borderId="0" xfId="0" applyNumberFormat="1" applyFont="1" applyFill="1" applyAlignment="1">
      <alignment horizontal="right" vertical="center" wrapText="1" indent="1"/>
    </xf>
    <xf numFmtId="3" fontId="47" fillId="6" borderId="0" xfId="0" applyNumberFormat="1" applyFont="1" applyFill="1" applyAlignment="1">
      <alignment horizontal="right" vertical="center"/>
    </xf>
    <xf numFmtId="3" fontId="49" fillId="36" borderId="0" xfId="0" applyNumberFormat="1" applyFont="1" applyFill="1" applyAlignment="1">
      <alignment horizontal="right" vertical="center"/>
    </xf>
    <xf numFmtId="0" fontId="51" fillId="0" borderId="0" xfId="0" applyFont="1" applyAlignment="1">
      <alignment horizontal="center" vertical="center" wrapText="1"/>
    </xf>
    <xf numFmtId="0" fontId="51" fillId="0" borderId="0" xfId="0" applyFont="1" applyAlignment="1">
      <alignment vertical="center" wrapText="1"/>
    </xf>
    <xf numFmtId="0" fontId="52" fillId="0" borderId="0" xfId="0" applyFont="1"/>
    <xf numFmtId="0" fontId="53" fillId="0" borderId="0" xfId="0" applyFont="1" applyAlignment="1">
      <alignment horizontal="left"/>
    </xf>
    <xf numFmtId="0" fontId="53" fillId="0" borderId="0" xfId="0" applyFont="1"/>
    <xf numFmtId="0" fontId="54" fillId="0" borderId="0" xfId="0" applyFont="1"/>
    <xf numFmtId="0" fontId="53" fillId="0" borderId="0" xfId="0" applyFont="1" applyAlignment="1">
      <alignment horizontal="left" vertical="top"/>
    </xf>
    <xf numFmtId="165" fontId="55" fillId="0" borderId="0" xfId="0" applyNumberFormat="1" applyFont="1"/>
    <xf numFmtId="0" fontId="55" fillId="0" borderId="0" xfId="0" applyFont="1" applyAlignment="1">
      <alignment horizontal="left"/>
    </xf>
    <xf numFmtId="0" fontId="55" fillId="0" borderId="0" xfId="0" applyFont="1" applyAlignment="1">
      <alignment horizontal="center" vertical="center"/>
    </xf>
    <xf numFmtId="0" fontId="55" fillId="0" borderId="0" xfId="0" applyFont="1"/>
    <xf numFmtId="0" fontId="47" fillId="37" borderId="0" xfId="0" applyFont="1" applyFill="1" applyAlignment="1">
      <alignment horizontal="center" vertical="center" wrapText="1"/>
    </xf>
    <xf numFmtId="0" fontId="49" fillId="40" borderId="0" xfId="0" applyFont="1" applyFill="1" applyAlignment="1">
      <alignment horizontal="center" vertical="top" wrapText="1"/>
    </xf>
    <xf numFmtId="9" fontId="49" fillId="40" borderId="14" xfId="0" applyNumberFormat="1" applyFont="1" applyFill="1" applyBorder="1" applyAlignment="1">
      <alignment vertical="center"/>
    </xf>
    <xf numFmtId="9" fontId="51" fillId="15" borderId="14" xfId="1" applyFont="1" applyFill="1" applyBorder="1" applyAlignment="1">
      <alignment horizontal="center"/>
    </xf>
    <xf numFmtId="9" fontId="51" fillId="15" borderId="14" xfId="0" applyNumberFormat="1" applyFont="1" applyFill="1" applyBorder="1"/>
    <xf numFmtId="9" fontId="51" fillId="15" borderId="14" xfId="0" applyNumberFormat="1" applyFont="1" applyFill="1" applyBorder="1" applyAlignment="1">
      <alignment horizontal="center" vertical="center" wrapText="1"/>
    </xf>
    <xf numFmtId="9" fontId="51" fillId="15" borderId="14" xfId="0" applyNumberFormat="1" applyFont="1" applyFill="1" applyBorder="1" applyAlignment="1">
      <alignment vertical="center" wrapText="1"/>
    </xf>
    <xf numFmtId="9" fontId="49" fillId="41" borderId="14" xfId="0" applyNumberFormat="1" applyFont="1" applyFill="1" applyBorder="1"/>
    <xf numFmtId="3" fontId="47" fillId="40" borderId="0" xfId="0" applyNumberFormat="1" applyFont="1" applyFill="1" applyAlignment="1">
      <alignment horizontal="right" vertical="center"/>
    </xf>
    <xf numFmtId="3" fontId="51" fillId="15" borderId="0" xfId="0" applyNumberFormat="1" applyFont="1" applyFill="1" applyAlignment="1">
      <alignment horizontal="right" vertical="center"/>
    </xf>
    <xf numFmtId="3" fontId="47" fillId="41" borderId="0" xfId="0" applyNumberFormat="1" applyFont="1" applyFill="1" applyAlignment="1">
      <alignment horizontal="right" vertical="center"/>
    </xf>
    <xf numFmtId="0" fontId="37" fillId="24" borderId="0" xfId="0" applyFont="1" applyFill="1" applyAlignment="1">
      <alignment horizontal="center" vertical="center" wrapText="1"/>
    </xf>
    <xf numFmtId="0" fontId="37" fillId="0" borderId="14" xfId="0" applyFont="1" applyBorder="1" applyAlignment="1">
      <alignment horizontal="right" vertical="center"/>
    </xf>
    <xf numFmtId="0" fontId="38" fillId="0" borderId="14" xfId="0" applyFont="1" applyBorder="1" applyAlignment="1">
      <alignment vertical="center"/>
    </xf>
    <xf numFmtId="0" fontId="37" fillId="0" borderId="14" xfId="0" applyFont="1" applyBorder="1" applyAlignment="1">
      <alignment horizontal="center" vertical="center" wrapText="1"/>
    </xf>
    <xf numFmtId="0" fontId="38" fillId="0" borderId="0" xfId="0" applyFont="1" applyAlignment="1">
      <alignment horizontal="right" vertical="center"/>
    </xf>
    <xf numFmtId="0" fontId="38" fillId="0" borderId="0" xfId="0" applyFont="1" applyAlignment="1">
      <alignment horizontal="center" vertical="center"/>
    </xf>
    <xf numFmtId="0" fontId="38" fillId="0" borderId="0" xfId="0" applyFont="1" applyAlignment="1">
      <alignment horizontal="center" vertical="center" wrapText="1"/>
    </xf>
    <xf numFmtId="0" fontId="56" fillId="0" borderId="0" xfId="0" applyFont="1" applyAlignment="1">
      <alignment horizontal="center" vertical="center" wrapText="1"/>
    </xf>
    <xf numFmtId="0" fontId="57" fillId="0" borderId="0" xfId="0" applyFont="1" applyAlignment="1">
      <alignment horizontal="center" vertical="center" wrapText="1"/>
    </xf>
    <xf numFmtId="0" fontId="56" fillId="0" borderId="0" xfId="0" applyFont="1" applyAlignment="1">
      <alignment vertical="center" wrapText="1"/>
    </xf>
    <xf numFmtId="0" fontId="37" fillId="0" borderId="0" xfId="0" applyFont="1" applyAlignment="1">
      <alignment horizontal="right" vertical="center"/>
    </xf>
    <xf numFmtId="0" fontId="38" fillId="0" borderId="0" xfId="0" applyFont="1" applyAlignment="1">
      <alignment vertical="center"/>
    </xf>
    <xf numFmtId="0" fontId="37" fillId="0" borderId="0" xfId="0" applyFont="1" applyAlignment="1">
      <alignment horizontal="center" vertical="center" wrapText="1"/>
    </xf>
    <xf numFmtId="0" fontId="37" fillId="0" borderId="0" xfId="0" applyFont="1" applyAlignment="1">
      <alignment horizontal="left"/>
    </xf>
    <xf numFmtId="0" fontId="37" fillId="0" borderId="0" xfId="0" applyFont="1"/>
    <xf numFmtId="0" fontId="58" fillId="0" borderId="0" xfId="0" applyFont="1"/>
    <xf numFmtId="0" fontId="37" fillId="0" borderId="0" xfId="0" applyFont="1" applyAlignment="1">
      <alignment horizontal="left" vertical="top"/>
    </xf>
    <xf numFmtId="165" fontId="38" fillId="0" borderId="0" xfId="0" applyNumberFormat="1" applyFont="1"/>
    <xf numFmtId="0" fontId="38" fillId="0" borderId="0" xfId="0" applyFont="1" applyAlignment="1">
      <alignment horizontal="left"/>
    </xf>
    <xf numFmtId="0" fontId="29" fillId="34" borderId="2" xfId="0" applyFont="1" applyFill="1" applyBorder="1" applyAlignment="1">
      <alignment vertical="top" wrapText="1"/>
    </xf>
    <xf numFmtId="0" fontId="29" fillId="35" borderId="2" xfId="0" applyFont="1" applyFill="1" applyBorder="1" applyAlignment="1">
      <alignment vertical="top" wrapText="1"/>
    </xf>
    <xf numFmtId="0" fontId="24" fillId="35" borderId="2" xfId="0" applyFont="1" applyFill="1" applyBorder="1" applyAlignment="1">
      <alignment vertical="top" wrapText="1"/>
    </xf>
    <xf numFmtId="0" fontId="29" fillId="38" borderId="2" xfId="0" applyFont="1" applyFill="1" applyBorder="1" applyAlignment="1">
      <alignment vertical="top" wrapText="1"/>
    </xf>
    <xf numFmtId="0" fontId="29" fillId="36" borderId="2" xfId="0" applyFont="1" applyFill="1" applyBorder="1" applyAlignment="1">
      <alignment vertical="top" wrapText="1"/>
    </xf>
    <xf numFmtId="0" fontId="24" fillId="2" borderId="2" xfId="0" applyFont="1" applyFill="1" applyBorder="1" applyAlignment="1">
      <alignment vertical="top" wrapText="1"/>
    </xf>
    <xf numFmtId="0" fontId="29" fillId="3" borderId="2" xfId="0" applyFont="1" applyFill="1" applyBorder="1" applyAlignment="1">
      <alignment vertical="top" wrapText="1"/>
    </xf>
    <xf numFmtId="0" fontId="31" fillId="3" borderId="2" xfId="0" applyFont="1" applyFill="1" applyBorder="1" applyAlignment="1">
      <alignment vertical="top" wrapText="1"/>
    </xf>
    <xf numFmtId="0" fontId="29" fillId="13" borderId="2" xfId="0" applyFont="1" applyFill="1" applyBorder="1" applyAlignment="1">
      <alignment vertical="top" wrapText="1"/>
    </xf>
    <xf numFmtId="0" fontId="29" fillId="7" borderId="2" xfId="0" applyFont="1" applyFill="1" applyBorder="1" applyAlignment="1">
      <alignment vertical="top" wrapText="1"/>
    </xf>
    <xf numFmtId="0" fontId="29" fillId="37" borderId="2" xfId="0" applyFont="1" applyFill="1" applyBorder="1" applyAlignment="1">
      <alignment vertical="top" wrapText="1"/>
    </xf>
    <xf numFmtId="0" fontId="29" fillId="33" borderId="2" xfId="0" applyFont="1" applyFill="1" applyBorder="1" applyAlignment="1">
      <alignment vertical="top" wrapText="1"/>
    </xf>
    <xf numFmtId="0" fontId="29" fillId="8" borderId="2" xfId="0" applyFont="1" applyFill="1" applyBorder="1" applyAlignment="1">
      <alignment vertical="top" wrapText="1"/>
    </xf>
    <xf numFmtId="0" fontId="32" fillId="11" borderId="2" xfId="0" applyFont="1" applyFill="1" applyBorder="1" applyAlignment="1">
      <alignment horizontal="center" vertical="top" wrapText="1"/>
    </xf>
    <xf numFmtId="0" fontId="33" fillId="11" borderId="2" xfId="0" applyFont="1" applyFill="1" applyBorder="1" applyAlignment="1">
      <alignment horizontal="center" vertical="top" wrapText="1"/>
    </xf>
    <xf numFmtId="0" fontId="34" fillId="7" borderId="2" xfId="0" applyFont="1" applyFill="1" applyBorder="1" applyAlignment="1">
      <alignment vertical="top" wrapText="1"/>
    </xf>
    <xf numFmtId="0" fontId="29" fillId="36" borderId="2" xfId="0" applyFont="1" applyFill="1" applyBorder="1" applyAlignment="1">
      <alignment horizontal="center" vertical="top" wrapText="1"/>
    </xf>
    <xf numFmtId="0" fontId="29" fillId="37" borderId="2" xfId="0" applyFont="1" applyFill="1" applyBorder="1" applyAlignment="1">
      <alignment horizontal="center" vertical="top" wrapText="1"/>
    </xf>
    <xf numFmtId="0" fontId="29" fillId="15" borderId="2" xfId="0" applyFont="1" applyFill="1" applyBorder="1" applyAlignment="1">
      <alignment horizontal="center" vertical="top" wrapText="1"/>
    </xf>
    <xf numFmtId="0" fontId="29" fillId="38" borderId="2" xfId="0" applyFont="1" applyFill="1" applyBorder="1" applyAlignment="1">
      <alignment horizontal="center" vertical="top" wrapText="1"/>
    </xf>
    <xf numFmtId="0" fontId="35" fillId="7" borderId="2" xfId="0" applyFont="1" applyFill="1" applyBorder="1" applyAlignment="1">
      <alignment vertical="top" wrapText="1"/>
    </xf>
    <xf numFmtId="0" fontId="31" fillId="36" borderId="2" xfId="0" applyFont="1" applyFill="1" applyBorder="1" applyAlignment="1">
      <alignment horizontal="center" vertical="top" wrapText="1"/>
    </xf>
    <xf numFmtId="0" fontId="31" fillId="37" borderId="2" xfId="0" applyFont="1" applyFill="1" applyBorder="1" applyAlignment="1">
      <alignment horizontal="center" vertical="top" wrapText="1"/>
    </xf>
    <xf numFmtId="0" fontId="31" fillId="15" borderId="2" xfId="0" applyFont="1" applyFill="1" applyBorder="1" applyAlignment="1">
      <alignment horizontal="center" vertical="top" wrapText="1"/>
    </xf>
    <xf numFmtId="0" fontId="31" fillId="38" borderId="2" xfId="0" applyFont="1" applyFill="1" applyBorder="1" applyAlignment="1">
      <alignment horizontal="center" vertical="top" wrapText="1"/>
    </xf>
    <xf numFmtId="0" fontId="6" fillId="0" borderId="2" xfId="0" applyFont="1" applyBorder="1" applyProtection="1">
      <protection locked="0"/>
    </xf>
    <xf numFmtId="165" fontId="36" fillId="0" borderId="2" xfId="0" applyNumberFormat="1" applyFont="1" applyBorder="1" applyProtection="1">
      <protection locked="0"/>
    </xf>
    <xf numFmtId="9" fontId="6" fillId="0" borderId="2" xfId="1" applyFont="1" applyBorder="1" applyProtection="1">
      <protection locked="0"/>
    </xf>
    <xf numFmtId="0" fontId="36" fillId="0" borderId="2" xfId="0" applyFont="1" applyBorder="1" applyProtection="1">
      <protection locked="0"/>
    </xf>
    <xf numFmtId="0" fontId="30" fillId="11" borderId="2" xfId="0" applyFont="1" applyFill="1" applyBorder="1" applyProtection="1">
      <protection locked="0"/>
    </xf>
    <xf numFmtId="0" fontId="27" fillId="0" borderId="2" xfId="0" applyFont="1" applyBorder="1" applyProtection="1">
      <protection locked="0"/>
    </xf>
    <xf numFmtId="0" fontId="6" fillId="0" borderId="2" xfId="0" applyFont="1" applyBorder="1" applyAlignment="1" applyProtection="1">
      <alignment horizontal="center"/>
      <protection locked="0"/>
    </xf>
    <xf numFmtId="165" fontId="6" fillId="11" borderId="2" xfId="0" applyNumberFormat="1" applyFont="1" applyFill="1" applyBorder="1"/>
    <xf numFmtId="9" fontId="6" fillId="11" borderId="2" xfId="1" applyFont="1" applyFill="1" applyBorder="1" applyAlignment="1" applyProtection="1">
      <alignment horizontal="center"/>
    </xf>
    <xf numFmtId="3" fontId="6" fillId="33" borderId="2" xfId="0" applyNumberFormat="1" applyFont="1" applyFill="1" applyBorder="1"/>
    <xf numFmtId="3" fontId="27" fillId="33" borderId="2" xfId="0" applyNumberFormat="1" applyFont="1" applyFill="1" applyBorder="1"/>
    <xf numFmtId="0" fontId="59" fillId="0" borderId="0" xfId="0" applyFont="1" applyAlignment="1" applyProtection="1">
      <alignment vertical="center"/>
      <protection locked="0"/>
    </xf>
    <xf numFmtId="0" fontId="59" fillId="0" borderId="0" xfId="0" applyFont="1" applyAlignment="1">
      <alignment vertical="center"/>
    </xf>
    <xf numFmtId="0" fontId="6" fillId="0" borderId="0" xfId="0" applyFont="1" applyAlignment="1">
      <alignment horizontal="right"/>
    </xf>
    <xf numFmtId="166" fontId="6" fillId="0" borderId="0" xfId="6" applyNumberFormat="1" applyFont="1" applyAlignment="1" applyProtection="1">
      <alignment horizontal="right" wrapText="1"/>
    </xf>
    <xf numFmtId="0" fontId="30" fillId="0" borderId="0" xfId="0" applyFont="1" applyAlignment="1">
      <alignment horizontal="right"/>
    </xf>
    <xf numFmtId="0" fontId="29" fillId="35" borderId="2" xfId="0" applyFont="1" applyFill="1" applyBorder="1" applyAlignment="1">
      <alignment horizontal="right" vertical="top" wrapText="1"/>
    </xf>
    <xf numFmtId="0" fontId="6" fillId="0" borderId="0" xfId="0" applyFont="1" applyAlignment="1" applyProtection="1">
      <alignment horizontal="right"/>
      <protection locked="0"/>
    </xf>
    <xf numFmtId="165" fontId="36" fillId="0" borderId="2" xfId="0" applyNumberFormat="1" applyFont="1" applyBorder="1" applyAlignment="1" applyProtection="1">
      <alignment horizontal="right"/>
      <protection locked="0"/>
    </xf>
    <xf numFmtId="4" fontId="6" fillId="0" borderId="2" xfId="0" applyNumberFormat="1" applyFont="1" applyBorder="1" applyProtection="1">
      <protection locked="0"/>
    </xf>
    <xf numFmtId="4" fontId="6" fillId="37" borderId="2" xfId="0" applyNumberFormat="1" applyFont="1" applyFill="1" applyBorder="1" applyProtection="1">
      <protection locked="0"/>
    </xf>
    <xf numFmtId="4" fontId="6" fillId="33" borderId="2" xfId="0" applyNumberFormat="1" applyFont="1" applyFill="1" applyBorder="1" applyProtection="1">
      <protection locked="0"/>
    </xf>
    <xf numFmtId="49" fontId="6" fillId="0" borderId="2" xfId="0" applyNumberFormat="1" applyFont="1" applyBorder="1" applyAlignment="1" applyProtection="1">
      <alignment horizontal="center" vertical="center"/>
      <protection locked="0"/>
    </xf>
    <xf numFmtId="0" fontId="6" fillId="0" borderId="2" xfId="0" applyFont="1" applyBorder="1" applyAlignment="1" applyProtection="1">
      <alignment horizontal="right"/>
      <protection locked="0"/>
    </xf>
    <xf numFmtId="165" fontId="6" fillId="0" borderId="2" xfId="0" applyNumberFormat="1" applyFont="1" applyBorder="1" applyAlignment="1" applyProtection="1">
      <alignment horizontal="right"/>
      <protection locked="0"/>
    </xf>
    <xf numFmtId="165" fontId="38" fillId="11" borderId="2" xfId="0" applyNumberFormat="1" applyFont="1" applyFill="1" applyBorder="1" applyProtection="1">
      <protection locked="0"/>
    </xf>
    <xf numFmtId="165" fontId="37" fillId="0" borderId="2" xfId="0" applyNumberFormat="1" applyFont="1" applyBorder="1" applyAlignment="1" applyProtection="1">
      <alignment horizontal="right"/>
      <protection locked="0"/>
    </xf>
    <xf numFmtId="9" fontId="60" fillId="36" borderId="14" xfId="0" applyNumberFormat="1" applyFont="1" applyFill="1" applyBorder="1" applyAlignment="1">
      <alignment vertical="center"/>
    </xf>
    <xf numFmtId="4" fontId="6" fillId="37" borderId="15" xfId="0" applyNumberFormat="1" applyFont="1" applyFill="1" applyBorder="1" applyProtection="1">
      <protection locked="0"/>
    </xf>
    <xf numFmtId="1" fontId="14" fillId="0" borderId="2" xfId="0" applyNumberFormat="1" applyFont="1" applyBorder="1" applyAlignment="1" applyProtection="1">
      <alignment horizontal="left" vertical="top" wrapText="1"/>
      <protection locked="0"/>
    </xf>
    <xf numFmtId="0" fontId="6" fillId="0" borderId="0" xfId="0" applyFont="1" applyAlignment="1">
      <alignment horizontal="left"/>
    </xf>
    <xf numFmtId="0" fontId="6" fillId="0" borderId="0" xfId="0" applyFont="1" applyAlignment="1">
      <alignment horizontal="left" wrapText="1"/>
    </xf>
    <xf numFmtId="0" fontId="30" fillId="0" borderId="0" xfId="0" applyFont="1" applyAlignment="1">
      <alignment horizontal="left"/>
    </xf>
    <xf numFmtId="0" fontId="29" fillId="34" borderId="2" xfId="0" applyFont="1" applyFill="1" applyBorder="1" applyAlignment="1">
      <alignment horizontal="left" vertical="top" wrapText="1"/>
    </xf>
    <xf numFmtId="0" fontId="6" fillId="0" borderId="0" xfId="0" applyFont="1" applyAlignment="1" applyProtection="1">
      <alignment horizontal="left"/>
      <protection locked="0"/>
    </xf>
    <xf numFmtId="4" fontId="6" fillId="37" borderId="2" xfId="0" applyNumberFormat="1" applyFont="1" applyFill="1" applyBorder="1"/>
    <xf numFmtId="4" fontId="6" fillId="33" borderId="2" xfId="0" applyNumberFormat="1" applyFont="1" applyFill="1" applyBorder="1"/>
    <xf numFmtId="0" fontId="6" fillId="0" borderId="2" xfId="0" applyFont="1" applyBorder="1" applyAlignment="1" applyProtection="1">
      <alignment horizontal="left"/>
      <protection locked="0"/>
    </xf>
    <xf numFmtId="9" fontId="29" fillId="0" borderId="2" xfId="1" applyFont="1" applyBorder="1" applyProtection="1">
      <protection locked="0"/>
    </xf>
    <xf numFmtId="0" fontId="6" fillId="0" borderId="16" xfId="0" applyFont="1" applyBorder="1" applyAlignment="1" applyProtection="1">
      <alignment horizontal="right"/>
      <protection locked="0"/>
    </xf>
    <xf numFmtId="49" fontId="6" fillId="0" borderId="16" xfId="0" applyNumberFormat="1" applyFont="1" applyBorder="1" applyAlignment="1" applyProtection="1">
      <alignment horizontal="center" vertical="center"/>
      <protection locked="0"/>
    </xf>
    <xf numFmtId="165" fontId="36" fillId="0" borderId="16" xfId="0" applyNumberFormat="1" applyFont="1" applyBorder="1" applyProtection="1">
      <protection locked="0"/>
    </xf>
    <xf numFmtId="0" fontId="36" fillId="0" borderId="16" xfId="0" applyFont="1" applyBorder="1" applyProtection="1">
      <protection locked="0"/>
    </xf>
    <xf numFmtId="165" fontId="6" fillId="0" borderId="16" xfId="0" applyNumberFormat="1" applyFont="1" applyBorder="1" applyAlignment="1" applyProtection="1">
      <alignment horizontal="right"/>
      <protection locked="0"/>
    </xf>
    <xf numFmtId="165" fontId="37" fillId="0" borderId="16" xfId="0" applyNumberFormat="1" applyFont="1" applyBorder="1" applyAlignment="1" applyProtection="1">
      <alignment horizontal="right"/>
      <protection locked="0"/>
    </xf>
    <xf numFmtId="165" fontId="38" fillId="11" borderId="16" xfId="0" applyNumberFormat="1" applyFont="1" applyFill="1" applyBorder="1" applyProtection="1">
      <protection locked="0"/>
    </xf>
    <xf numFmtId="9" fontId="6" fillId="0" borderId="16" xfId="1" applyFont="1" applyBorder="1" applyProtection="1">
      <protection locked="0"/>
    </xf>
    <xf numFmtId="0" fontId="6" fillId="0" borderId="16" xfId="0" applyFont="1" applyBorder="1" applyProtection="1">
      <protection locked="0"/>
    </xf>
    <xf numFmtId="0" fontId="30" fillId="11" borderId="16" xfId="0" applyFont="1" applyFill="1" applyBorder="1" applyProtection="1">
      <protection locked="0"/>
    </xf>
    <xf numFmtId="1" fontId="14" fillId="0" borderId="16" xfId="0" applyNumberFormat="1" applyFont="1" applyBorder="1" applyAlignment="1" applyProtection="1">
      <alignment horizontal="left" vertical="top" wrapText="1"/>
      <protection locked="0"/>
    </xf>
    <xf numFmtId="0" fontId="27" fillId="0" borderId="16" xfId="0" applyFont="1" applyBorder="1" applyProtection="1">
      <protection locked="0"/>
    </xf>
    <xf numFmtId="0" fontId="6" fillId="0" borderId="16" xfId="0" applyFont="1" applyBorder="1" applyAlignment="1" applyProtection="1">
      <alignment horizontal="left"/>
      <protection locked="0"/>
    </xf>
    <xf numFmtId="0" fontId="6" fillId="0" borderId="16" xfId="0" applyFont="1" applyBorder="1" applyAlignment="1" applyProtection="1">
      <alignment horizontal="center"/>
      <protection locked="0"/>
    </xf>
    <xf numFmtId="4" fontId="6" fillId="0" borderId="16" xfId="0" applyNumberFormat="1" applyFont="1" applyBorder="1" applyProtection="1">
      <protection locked="0"/>
    </xf>
    <xf numFmtId="4" fontId="6" fillId="37" borderId="16" xfId="0" applyNumberFormat="1" applyFont="1" applyFill="1" applyBorder="1" applyProtection="1">
      <protection locked="0"/>
    </xf>
    <xf numFmtId="4" fontId="6" fillId="33" borderId="16" xfId="0" applyNumberFormat="1" applyFont="1" applyFill="1" applyBorder="1" applyProtection="1">
      <protection locked="0"/>
    </xf>
    <xf numFmtId="165" fontId="6" fillId="11" borderId="16" xfId="0" applyNumberFormat="1" applyFont="1" applyFill="1" applyBorder="1"/>
    <xf numFmtId="9" fontId="6" fillId="11" borderId="16" xfId="1" applyFont="1" applyFill="1" applyBorder="1" applyAlignment="1" applyProtection="1">
      <alignment horizontal="center"/>
    </xf>
    <xf numFmtId="3" fontId="6" fillId="33" borderId="16" xfId="0" applyNumberFormat="1" applyFont="1" applyFill="1" applyBorder="1"/>
    <xf numFmtId="3" fontId="27" fillId="33" borderId="16" xfId="0" applyNumberFormat="1" applyFont="1" applyFill="1" applyBorder="1"/>
    <xf numFmtId="0" fontId="61" fillId="0" borderId="2" xfId="0" applyFont="1" applyBorder="1" applyProtection="1">
      <protection locked="0"/>
    </xf>
    <xf numFmtId="0" fontId="6" fillId="0" borderId="2" xfId="0" applyFont="1" applyBorder="1"/>
    <xf numFmtId="0" fontId="62" fillId="34" borderId="2" xfId="4" applyFont="1" applyFill="1" applyBorder="1" applyAlignment="1">
      <alignment vertical="top" wrapText="1"/>
    </xf>
    <xf numFmtId="0" fontId="6" fillId="0" borderId="3" xfId="0" applyFont="1" applyBorder="1" applyAlignment="1">
      <alignment horizontal="left" vertical="top"/>
    </xf>
    <xf numFmtId="0" fontId="6" fillId="0" borderId="4" xfId="0" applyFont="1" applyBorder="1" applyAlignment="1">
      <alignment horizontal="left" vertical="top"/>
    </xf>
    <xf numFmtId="0" fontId="6" fillId="0" borderId="5" xfId="0" applyFont="1" applyBorder="1" applyAlignment="1">
      <alignment horizontal="left" vertical="top"/>
    </xf>
    <xf numFmtId="0" fontId="0" fillId="0" borderId="3" xfId="0" applyBorder="1" applyAlignment="1">
      <alignment horizontal="left"/>
    </xf>
    <xf numFmtId="0" fontId="0" fillId="0" borderId="5" xfId="0" applyBorder="1" applyAlignment="1">
      <alignment horizontal="left"/>
    </xf>
    <xf numFmtId="0" fontId="12" fillId="27" borderId="9" xfId="0" applyFont="1" applyFill="1" applyBorder="1" applyAlignment="1">
      <alignment horizontal="center" vertical="center" wrapText="1"/>
    </xf>
    <xf numFmtId="0" fontId="12" fillId="27" borderId="10" xfId="0" applyFont="1" applyFill="1" applyBorder="1" applyAlignment="1">
      <alignment horizontal="center" vertical="center" wrapText="1"/>
    </xf>
    <xf numFmtId="0" fontId="24" fillId="19" borderId="7" xfId="0" applyFont="1" applyFill="1" applyBorder="1" applyAlignment="1">
      <alignment horizontal="center" vertical="center"/>
    </xf>
    <xf numFmtId="0" fontId="24" fillId="19" borderId="0" xfId="0" applyFont="1" applyFill="1" applyAlignment="1">
      <alignment horizontal="center" vertical="center"/>
    </xf>
    <xf numFmtId="0" fontId="24" fillId="37" borderId="0" xfId="0" applyFont="1" applyFill="1" applyAlignment="1">
      <alignment horizontal="center" vertical="center"/>
    </xf>
    <xf numFmtId="0" fontId="6" fillId="42" borderId="2" xfId="0" applyFont="1" applyFill="1" applyBorder="1"/>
    <xf numFmtId="0" fontId="6" fillId="42" borderId="2" xfId="0" applyFont="1" applyFill="1" applyBorder="1" applyAlignment="1" applyProtection="1">
      <alignment horizontal="right"/>
      <protection locked="0"/>
    </xf>
    <xf numFmtId="49" fontId="6" fillId="42" borderId="2" xfId="0" applyNumberFormat="1" applyFont="1" applyFill="1" applyBorder="1" applyAlignment="1" applyProtection="1">
      <alignment horizontal="center" vertical="center"/>
      <protection locked="0"/>
    </xf>
    <xf numFmtId="165" fontId="36" fillId="42" borderId="2" xfId="0" applyNumberFormat="1" applyFont="1" applyFill="1" applyBorder="1" applyProtection="1">
      <protection locked="0"/>
    </xf>
    <xf numFmtId="0" fontId="36" fillId="42" borderId="2" xfId="0" applyFont="1" applyFill="1" applyBorder="1" applyProtection="1">
      <protection locked="0"/>
    </xf>
    <xf numFmtId="165" fontId="6" fillId="42" borderId="2" xfId="0" applyNumberFormat="1" applyFont="1" applyFill="1" applyBorder="1" applyAlignment="1" applyProtection="1">
      <alignment horizontal="right"/>
      <protection locked="0"/>
    </xf>
    <xf numFmtId="165" fontId="37" fillId="42" borderId="2" xfId="0" applyNumberFormat="1" applyFont="1" applyFill="1" applyBorder="1" applyAlignment="1" applyProtection="1">
      <alignment horizontal="right"/>
      <protection locked="0"/>
    </xf>
    <xf numFmtId="165" fontId="36" fillId="42" borderId="2" xfId="0" applyNumberFormat="1" applyFont="1" applyFill="1" applyBorder="1" applyAlignment="1" applyProtection="1">
      <alignment horizontal="right"/>
      <protection locked="0"/>
    </xf>
    <xf numFmtId="165" fontId="38" fillId="42" borderId="2" xfId="0" applyNumberFormat="1" applyFont="1" applyFill="1" applyBorder="1" applyProtection="1">
      <protection locked="0"/>
    </xf>
    <xf numFmtId="9" fontId="6" fillId="42" borderId="2" xfId="1" applyFont="1" applyFill="1" applyBorder="1" applyProtection="1">
      <protection locked="0"/>
    </xf>
    <xf numFmtId="0" fontId="6" fillId="42" borderId="2" xfId="0" applyFont="1" applyFill="1" applyBorder="1" applyProtection="1">
      <protection locked="0"/>
    </xf>
    <xf numFmtId="0" fontId="30" fillId="42" borderId="2" xfId="0" applyFont="1" applyFill="1" applyBorder="1" applyProtection="1">
      <protection locked="0"/>
    </xf>
    <xf numFmtId="1" fontId="14" fillId="42" borderId="2" xfId="0" applyNumberFormat="1" applyFont="1" applyFill="1" applyBorder="1" applyAlignment="1" applyProtection="1">
      <alignment horizontal="left" vertical="top" wrapText="1"/>
      <protection locked="0"/>
    </xf>
    <xf numFmtId="0" fontId="27" fillId="42" borderId="2" xfId="0" applyFont="1" applyFill="1" applyBorder="1" applyProtection="1">
      <protection locked="0"/>
    </xf>
    <xf numFmtId="0" fontId="6" fillId="42" borderId="2" xfId="0" applyFont="1" applyFill="1" applyBorder="1" applyAlignment="1" applyProtection="1">
      <alignment horizontal="left"/>
      <protection locked="0"/>
    </xf>
    <xf numFmtId="0" fontId="6" fillId="42" borderId="2" xfId="0" applyFont="1" applyFill="1" applyBorder="1" applyAlignment="1" applyProtection="1">
      <alignment horizontal="center"/>
      <protection locked="0"/>
    </xf>
    <xf numFmtId="4" fontId="6" fillId="42" borderId="2" xfId="0" applyNumberFormat="1" applyFont="1" applyFill="1" applyBorder="1" applyProtection="1">
      <protection locked="0"/>
    </xf>
    <xf numFmtId="165" fontId="6" fillId="42" borderId="2" xfId="0" applyNumberFormat="1" applyFont="1" applyFill="1" applyBorder="1"/>
    <xf numFmtId="9" fontId="6" fillId="42" borderId="2" xfId="1" applyFont="1" applyFill="1" applyBorder="1" applyAlignment="1" applyProtection="1">
      <alignment horizontal="center"/>
    </xf>
    <xf numFmtId="3" fontId="6" fillId="42" borderId="2" xfId="0" applyNumberFormat="1" applyFont="1" applyFill="1" applyBorder="1"/>
    <xf numFmtId="3" fontId="27" fillId="42" borderId="2" xfId="0" applyNumberFormat="1" applyFont="1" applyFill="1" applyBorder="1"/>
    <xf numFmtId="3" fontId="6" fillId="42" borderId="0" xfId="0" applyNumberFormat="1" applyFont="1" applyFill="1" applyAlignment="1" applyProtection="1">
      <alignment horizontal="center"/>
      <protection locked="0"/>
    </xf>
    <xf numFmtId="3" fontId="6" fillId="42" borderId="0" xfId="0" applyNumberFormat="1" applyFont="1" applyFill="1" applyProtection="1">
      <protection locked="0"/>
    </xf>
    <xf numFmtId="0" fontId="6" fillId="42" borderId="0" xfId="0" applyFont="1" applyFill="1" applyProtection="1">
      <protection locked="0"/>
    </xf>
    <xf numFmtId="168" fontId="6" fillId="42" borderId="2" xfId="0" applyNumberFormat="1" applyFont="1" applyFill="1" applyBorder="1" applyAlignment="1" applyProtection="1">
      <alignment horizontal="right"/>
      <protection locked="0"/>
    </xf>
    <xf numFmtId="4" fontId="6" fillId="42" borderId="16" xfId="0" applyNumberFormat="1" applyFont="1" applyFill="1" applyBorder="1" applyProtection="1">
      <protection locked="0"/>
    </xf>
  </cellXfs>
  <cellStyles count="8">
    <cellStyle name="Énfasis5" xfId="2" builtinId="45"/>
    <cellStyle name="Hipervínculo" xfId="4" builtinId="8"/>
    <cellStyle name="Millares" xfId="6" builtinId="3"/>
    <cellStyle name="Normal" xfId="0" builtinId="0"/>
    <cellStyle name="Normal 2" xfId="3" xr:uid="{00000000-0005-0000-0000-000004000000}"/>
    <cellStyle name="Normal 3" xfId="5" xr:uid="{00000000-0005-0000-0000-000005000000}"/>
    <cellStyle name="Porcentaje" xfId="1" builtinId="5"/>
    <cellStyle name="Porcentaje 2" xfId="7" xr:uid="{00000000-0005-0000-0000-000007000000}"/>
  </cellStyles>
  <dxfs count="178">
    <dxf>
      <font>
        <color rgb="FF9C0006"/>
      </font>
      <fill>
        <patternFill>
          <bgColor rgb="FFFFC7CE"/>
        </patternFill>
      </fill>
    </dxf>
    <dxf>
      <font>
        <strike val="0"/>
        <outline val="0"/>
        <shadow val="0"/>
        <u val="none"/>
        <vertAlign val="baseline"/>
        <name val="Cambria"/>
        <family val="1"/>
        <scheme val="none"/>
      </font>
      <numFmt numFmtId="3" formatCode="#,##0"/>
      <fill>
        <patternFill patternType="solid">
          <fgColor indexed="64"/>
          <bgColor theme="2"/>
        </patternFill>
      </fill>
      <protection locked="0" hidden="0"/>
    </dxf>
    <dxf>
      <font>
        <strike val="0"/>
        <outline val="0"/>
        <shadow val="0"/>
        <u val="none"/>
        <vertAlign val="baseline"/>
        <name val="Cambria"/>
        <family val="1"/>
        <scheme val="none"/>
      </font>
      <numFmt numFmtId="3" formatCode="#,##0"/>
      <fill>
        <patternFill patternType="solid">
          <fgColor indexed="64"/>
          <bgColor theme="2"/>
        </patternFill>
      </fill>
      <protection locked="0" hidden="0"/>
    </dxf>
    <dxf>
      <font>
        <strike val="0"/>
        <outline val="0"/>
        <shadow val="0"/>
        <u val="none"/>
        <vertAlign val="baseline"/>
        <name val="Cambria"/>
        <family val="1"/>
        <scheme val="none"/>
      </font>
      <numFmt numFmtId="3" formatCode="#,##0"/>
      <fill>
        <patternFill patternType="solid">
          <fgColor indexed="64"/>
          <bgColor theme="2"/>
        </patternFill>
      </fill>
      <protection locked="0" hidden="0"/>
    </dxf>
    <dxf>
      <font>
        <strike val="0"/>
        <outline val="0"/>
        <shadow val="0"/>
        <u val="none"/>
        <vertAlign val="baseline"/>
        <name val="Cambria"/>
        <family val="1"/>
        <scheme val="none"/>
      </font>
      <numFmt numFmtId="3" formatCode="#,##0"/>
      <fill>
        <patternFill patternType="solid">
          <fgColor indexed="64"/>
          <bgColor theme="2"/>
        </patternFill>
      </fill>
      <protection locked="0" hidden="0"/>
    </dxf>
    <dxf>
      <font>
        <strike val="0"/>
        <outline val="0"/>
        <shadow val="0"/>
        <u val="none"/>
        <vertAlign val="baseline"/>
        <name val="Cambria"/>
        <family val="1"/>
        <scheme val="none"/>
      </font>
      <numFmt numFmtId="3" formatCode="#,##0"/>
      <fill>
        <patternFill patternType="solid">
          <fgColor indexed="64"/>
          <bgColor theme="2"/>
        </patternFill>
      </fill>
      <protection locked="0" hidden="0"/>
    </dxf>
    <dxf>
      <font>
        <strike val="0"/>
        <outline val="0"/>
        <shadow val="0"/>
        <u val="none"/>
        <vertAlign val="baseline"/>
        <name val="Cambria"/>
        <family val="1"/>
        <scheme val="none"/>
      </font>
      <numFmt numFmtId="3" formatCode="#,##0"/>
      <fill>
        <patternFill patternType="solid">
          <fgColor indexed="64"/>
          <bgColor theme="2"/>
        </patternFill>
      </fill>
      <protection locked="0" hidden="0"/>
    </dxf>
    <dxf>
      <font>
        <strike val="0"/>
        <outline val="0"/>
        <shadow val="0"/>
        <u val="none"/>
        <vertAlign val="baseline"/>
        <name val="Cambria"/>
        <family val="1"/>
        <scheme val="none"/>
      </font>
      <numFmt numFmtId="3" formatCode="#,##0"/>
      <fill>
        <patternFill patternType="solid">
          <fgColor indexed="64"/>
          <bgColor theme="7" tint="0.79998168889431442"/>
        </patternFill>
      </fill>
      <protection locked="0" hidden="0"/>
    </dxf>
    <dxf>
      <font>
        <strike val="0"/>
        <outline val="0"/>
        <shadow val="0"/>
        <u val="none"/>
        <vertAlign val="baseline"/>
        <name val="Cambria"/>
        <family val="1"/>
        <scheme val="none"/>
      </font>
      <numFmt numFmtId="3" formatCode="#,##0"/>
      <fill>
        <patternFill patternType="solid">
          <fgColor indexed="64"/>
          <bgColor theme="7" tint="0.79998168889431442"/>
        </patternFill>
      </fill>
      <alignment horizontal="center" textRotation="0" indent="0" justifyLastLine="0" shrinkToFit="0" readingOrder="0"/>
      <protection locked="0" hidden="0"/>
    </dxf>
    <dxf>
      <font>
        <i/>
        <strike val="0"/>
        <outline val="0"/>
        <shadow val="0"/>
        <u val="none"/>
        <vertAlign val="baseline"/>
        <name val="Cambria"/>
        <family val="1"/>
        <scheme val="none"/>
      </font>
      <numFmt numFmtId="3" formatCode="#,##0"/>
      <fill>
        <patternFill patternType="solid">
          <fgColor indexed="64"/>
          <bgColor them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i/>
        <strike val="0"/>
        <outline val="0"/>
        <shadow val="0"/>
        <u val="none"/>
        <vertAlign val="baseline"/>
        <name val="Cambria"/>
        <family val="1"/>
        <scheme val="none"/>
      </font>
      <numFmt numFmtId="3" formatCode="#,##0"/>
      <fill>
        <patternFill patternType="solid">
          <fgColor indexed="64"/>
          <bgColor them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i/>
        <strike val="0"/>
        <outline val="0"/>
        <shadow val="0"/>
        <u val="none"/>
        <vertAlign val="baseline"/>
        <name val="Cambria"/>
        <family val="1"/>
        <scheme val="none"/>
      </font>
      <numFmt numFmtId="3" formatCode="#,##0"/>
      <fill>
        <patternFill patternType="solid">
          <fgColor indexed="64"/>
          <bgColor them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i/>
        <strike val="0"/>
        <outline val="0"/>
        <shadow val="0"/>
        <u val="none"/>
        <vertAlign val="baseline"/>
        <name val="Cambria"/>
        <family val="1"/>
        <scheme val="none"/>
      </font>
      <numFmt numFmtId="3" formatCode="#,##0"/>
      <fill>
        <patternFill patternType="solid">
          <fgColor indexed="64"/>
          <bgColor them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i/>
        <strike val="0"/>
        <outline val="0"/>
        <shadow val="0"/>
        <u val="none"/>
        <vertAlign val="baseline"/>
        <name val="Cambria"/>
        <family val="1"/>
        <scheme val="none"/>
      </font>
      <numFmt numFmtId="3" formatCode="#,##0"/>
      <fill>
        <patternFill patternType="solid">
          <fgColor indexed="64"/>
          <bgColor them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strike val="0"/>
        <outline val="0"/>
        <shadow val="0"/>
        <u val="none"/>
        <vertAlign val="baseline"/>
        <name val="Cambria"/>
        <family val="1"/>
        <scheme val="none"/>
      </font>
      <numFmt numFmtId="3" formatCode="#,##0"/>
      <fill>
        <patternFill patternType="solid">
          <fgColor indexed="64"/>
          <bgColor them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strike val="0"/>
        <outline val="0"/>
        <shadow val="0"/>
        <u val="none"/>
        <vertAlign val="baseline"/>
        <name val="Cambria"/>
        <family val="1"/>
        <scheme val="none"/>
      </font>
      <numFmt numFmtId="3" formatCode="#,##0"/>
      <fill>
        <patternFill patternType="solid">
          <fgColor indexed="64"/>
          <bgColor them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strike val="0"/>
        <outline val="0"/>
        <shadow val="0"/>
        <u val="none"/>
        <vertAlign val="baseline"/>
        <name val="Cambria"/>
        <family val="1"/>
        <scheme val="none"/>
      </font>
      <numFmt numFmtId="3" formatCode="#,##0"/>
      <fill>
        <patternFill patternType="solid">
          <fgColor indexed="64"/>
          <bgColor them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strike val="0"/>
        <outline val="0"/>
        <shadow val="0"/>
        <u val="none"/>
        <vertAlign val="baseline"/>
        <name val="Cambria"/>
        <family val="1"/>
        <scheme val="none"/>
      </font>
      <numFmt numFmtId="3" formatCode="#,##0"/>
      <fill>
        <patternFill patternType="solid">
          <fgColor indexed="64"/>
          <bgColor them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strike val="0"/>
        <outline val="0"/>
        <shadow val="0"/>
        <u val="none"/>
        <vertAlign val="baseline"/>
        <name val="Cambria"/>
        <family val="1"/>
        <scheme val="none"/>
      </font>
      <numFmt numFmtId="3" formatCode="#,##0"/>
      <fill>
        <patternFill patternType="solid">
          <fgColor indexed="64"/>
          <bgColor them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mbria"/>
        <family val="1"/>
        <scheme val="none"/>
      </font>
      <numFmt numFmtId="13" formatCode="0%"/>
      <fill>
        <patternFill>
          <fgColor indexed="64"/>
          <bgColor theme="7"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mbria"/>
        <family val="1"/>
        <scheme val="none"/>
      </font>
      <numFmt numFmtId="13" formatCode="0%"/>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mbria"/>
        <family val="1"/>
        <scheme val="none"/>
      </font>
      <numFmt numFmtId="13" formatCode="0%"/>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mbria"/>
        <family val="1"/>
        <scheme val="none"/>
      </font>
      <numFmt numFmtId="13" formatCode="0%"/>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mbria"/>
        <family val="1"/>
        <scheme val="none"/>
      </font>
      <numFmt numFmtId="13" formatCode="0%"/>
      <fill>
        <patternFill>
          <fgColor indexed="64"/>
          <bgColor theme="7"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mbria"/>
        <family val="1"/>
        <scheme val="none"/>
      </font>
      <numFmt numFmtId="13" formatCode="0%"/>
      <fill>
        <patternFill>
          <fgColor indexed="64"/>
          <bgColor theme="7"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strike val="0"/>
        <outline val="0"/>
        <shadow val="0"/>
        <u val="none"/>
        <vertAlign val="baseline"/>
        <name val="Cambria"/>
        <family val="1"/>
        <scheme val="none"/>
      </font>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strike val="0"/>
        <outline val="0"/>
        <shadow val="0"/>
        <u val="none"/>
        <vertAlign val="baseline"/>
        <name val="Cambria"/>
        <family val="1"/>
        <scheme val="none"/>
      </font>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strike val="0"/>
        <outline val="0"/>
        <shadow val="0"/>
        <u val="none"/>
        <vertAlign val="baseline"/>
        <name val="Cambria"/>
        <family val="1"/>
        <scheme val="none"/>
      </font>
      <numFmt numFmtId="165" formatCode="dd\-mm\-yy;@"/>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strike val="0"/>
        <outline val="0"/>
        <shadow val="0"/>
        <u val="none"/>
        <vertAlign val="baseline"/>
        <name val="Cambria"/>
        <family val="1"/>
        <scheme val="none"/>
      </font>
      <numFmt numFmtId="165" formatCode="dd\-mm\-yy;@"/>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strike val="0"/>
        <outline val="0"/>
        <shadow val="0"/>
        <u val="none"/>
        <vertAlign val="baseline"/>
        <name val="Cambria"/>
        <family val="1"/>
        <scheme val="none"/>
      </font>
      <numFmt numFmtId="4" formatCode="#,##0.00"/>
      <fill>
        <patternFill>
          <fgColor indexed="64"/>
          <bgColor them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mbria"/>
        <family val="1"/>
        <scheme val="none"/>
      </font>
      <numFmt numFmtId="4" formatCode="#,##0.00"/>
      <fill>
        <patternFill patternType="solid">
          <fgColor indexed="64"/>
          <bgColor theme="2"/>
        </patternFill>
      </fill>
      <border diagonalUp="0" diagonalDown="0">
        <left style="thin">
          <color indexed="64"/>
        </left>
        <right style="thin">
          <color indexed="64"/>
        </right>
        <top style="thin">
          <color indexed="64"/>
        </top>
        <bottom/>
        <vertical/>
        <horizontal/>
      </border>
      <protection locked="0" hidden="0"/>
    </dxf>
    <dxf>
      <font>
        <b val="0"/>
        <i val="0"/>
        <strike val="0"/>
        <condense val="0"/>
        <extend val="0"/>
        <outline val="0"/>
        <shadow val="0"/>
        <u val="none"/>
        <vertAlign val="baseline"/>
        <sz val="11"/>
        <color theme="1"/>
        <name val="Cambria"/>
        <family val="1"/>
        <scheme val="none"/>
      </font>
      <numFmt numFmtId="4" formatCode="#,##0.00"/>
      <fill>
        <patternFill patternType="solid">
          <fgColor indexed="64"/>
          <bgColor theme="2"/>
        </patternFill>
      </fill>
      <border diagonalUp="0" diagonalDown="0">
        <left style="thin">
          <color indexed="64"/>
        </left>
        <right style="thin">
          <color indexed="64"/>
        </right>
        <top style="thin">
          <color indexed="64"/>
        </top>
        <bottom/>
        <vertical/>
        <horizontal/>
      </border>
      <protection locked="0" hidden="0"/>
    </dxf>
    <dxf>
      <font>
        <strike val="0"/>
        <outline val="0"/>
        <shadow val="0"/>
        <u val="none"/>
        <vertAlign val="baseline"/>
        <name val="Cambria"/>
        <family val="1"/>
        <scheme val="none"/>
      </font>
      <numFmt numFmtId="4" formatCode="#,##0.00"/>
      <fill>
        <patternFill>
          <fgColor indexed="64"/>
          <bgColor them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name val="Cambria"/>
        <family val="1"/>
        <scheme val="none"/>
      </font>
      <numFmt numFmtId="4" formatCode="#,##0.00"/>
      <fill>
        <patternFill>
          <fgColor indexed="64"/>
          <bgColor them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name val="Cambria"/>
        <family val="1"/>
        <scheme val="none"/>
      </font>
      <numFmt numFmtId="4" formatCode="#,##0.00"/>
      <fill>
        <patternFill>
          <fgColor indexed="64"/>
          <bgColor them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mbria"/>
        <family val="1"/>
        <scheme val="none"/>
      </font>
      <numFmt numFmtId="4" formatCode="#,##0.00"/>
      <fill>
        <patternFill patternType="solid">
          <fgColor indexed="64"/>
          <bgColor theme="2"/>
        </patternFill>
      </fill>
      <border diagonalUp="0" diagonalDown="0">
        <left style="thin">
          <color indexed="64"/>
        </left>
        <right style="thin">
          <color indexed="64"/>
        </right>
        <top style="thin">
          <color indexed="64"/>
        </top>
        <bottom/>
        <vertical/>
        <horizontal/>
      </border>
      <protection locked="0" hidden="0"/>
    </dxf>
    <dxf>
      <font>
        <b val="0"/>
        <i val="0"/>
        <strike val="0"/>
        <condense val="0"/>
        <extend val="0"/>
        <outline val="0"/>
        <shadow val="0"/>
        <u val="none"/>
        <vertAlign val="baseline"/>
        <sz val="11"/>
        <color theme="1"/>
        <name val="Cambria"/>
        <family val="1"/>
        <scheme val="none"/>
      </font>
      <numFmt numFmtId="4" formatCode="#,##0.00"/>
      <fill>
        <patternFill patternType="solid">
          <fgColor indexed="64"/>
          <bgColor theme="2"/>
        </patternFill>
      </fill>
      <border diagonalUp="0" diagonalDown="0">
        <left style="thin">
          <color indexed="64"/>
        </left>
        <right style="thin">
          <color indexed="64"/>
        </right>
        <top style="thin">
          <color indexed="64"/>
        </top>
        <bottom/>
        <vertical/>
        <horizontal/>
      </border>
      <protection locked="0" hidden="0"/>
    </dxf>
    <dxf>
      <font>
        <b val="0"/>
        <i val="0"/>
        <strike val="0"/>
        <condense val="0"/>
        <extend val="0"/>
        <outline val="0"/>
        <shadow val="0"/>
        <u val="none"/>
        <vertAlign val="baseline"/>
        <sz val="11"/>
        <color theme="1"/>
        <name val="Cambria"/>
        <family val="1"/>
        <scheme val="none"/>
      </font>
      <numFmt numFmtId="4" formatCode="#,##0.00"/>
      <fill>
        <patternFill patternType="solid">
          <fgColor indexed="64"/>
          <bgColor theme="2"/>
        </patternFill>
      </fill>
      <border diagonalUp="0" diagonalDown="0">
        <left style="thin">
          <color indexed="64"/>
        </left>
        <right style="thin">
          <color indexed="64"/>
        </right>
        <top style="thin">
          <color indexed="64"/>
        </top>
        <bottom/>
        <vertical/>
        <horizontal/>
      </border>
      <protection locked="0" hidden="0"/>
    </dxf>
    <dxf>
      <font>
        <b val="0"/>
        <i val="0"/>
        <strike val="0"/>
        <condense val="0"/>
        <extend val="0"/>
        <outline val="0"/>
        <shadow val="0"/>
        <u val="none"/>
        <vertAlign val="baseline"/>
        <sz val="11"/>
        <color theme="1"/>
        <name val="Cambria"/>
        <family val="1"/>
        <scheme val="none"/>
      </font>
      <numFmt numFmtId="4" formatCode="#,##0.00"/>
      <fill>
        <patternFill patternType="solid">
          <fgColor indexed="64"/>
          <bgColor theme="2"/>
        </patternFill>
      </fill>
      <border diagonalUp="0" diagonalDown="0">
        <left style="thin">
          <color indexed="64"/>
        </left>
        <right style="thin">
          <color indexed="64"/>
        </right>
        <top style="thin">
          <color indexed="64"/>
        </top>
        <bottom/>
        <vertical/>
        <horizontal/>
      </border>
      <protection locked="0" hidden="0"/>
    </dxf>
    <dxf>
      <font>
        <strike val="0"/>
        <outline val="0"/>
        <shadow val="0"/>
        <u val="none"/>
        <vertAlign val="baseline"/>
        <name val="Cambria"/>
        <family val="1"/>
        <scheme val="none"/>
      </font>
      <numFmt numFmtId="4" formatCode="#,##0.00"/>
      <fill>
        <patternFill patternType="solid">
          <fgColor indexed="64"/>
          <bgColor them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mbria"/>
        <family val="1"/>
        <scheme val="none"/>
      </font>
      <numFmt numFmtId="4" formatCode="#,##0.00"/>
      <fill>
        <patternFill patternType="solid">
          <fgColor indexed="64"/>
          <bgColor theme="5" tint="0.59999389629810485"/>
        </patternFill>
      </fill>
      <border diagonalUp="0" diagonalDown="0">
        <left style="thin">
          <color indexed="64"/>
        </left>
        <right style="thin">
          <color indexed="64"/>
        </right>
        <top style="thin">
          <color indexed="64"/>
        </top>
        <bottom/>
        <vertical/>
        <horizontal/>
      </border>
      <protection locked="0" hidden="0"/>
    </dxf>
    <dxf>
      <font>
        <b val="0"/>
        <i val="0"/>
        <strike val="0"/>
        <condense val="0"/>
        <extend val="0"/>
        <outline val="0"/>
        <shadow val="0"/>
        <u val="none"/>
        <vertAlign val="baseline"/>
        <sz val="11"/>
        <color theme="1"/>
        <name val="Cambria"/>
        <family val="1"/>
        <scheme val="none"/>
      </font>
      <numFmt numFmtId="4" formatCode="#,##0.00"/>
      <fill>
        <patternFill patternType="solid">
          <fgColor indexed="64"/>
          <bgColor theme="5" tint="0.59999389629810485"/>
        </patternFill>
      </fill>
      <border diagonalUp="0" diagonalDown="0">
        <left style="thin">
          <color indexed="64"/>
        </left>
        <right style="thin">
          <color indexed="64"/>
        </right>
        <top style="thin">
          <color indexed="64"/>
        </top>
        <bottom/>
        <vertical/>
        <horizontal/>
      </border>
      <protection locked="0" hidden="0"/>
    </dxf>
    <dxf>
      <font>
        <b val="0"/>
        <i val="0"/>
        <strike val="0"/>
        <condense val="0"/>
        <extend val="0"/>
        <outline val="0"/>
        <shadow val="0"/>
        <u val="none"/>
        <vertAlign val="baseline"/>
        <sz val="11"/>
        <color theme="1"/>
        <name val="Cambria"/>
        <family val="1"/>
        <scheme val="none"/>
      </font>
      <numFmt numFmtId="4" formatCode="#,##0.00"/>
      <fill>
        <patternFill patternType="solid">
          <fgColor indexed="64"/>
          <bgColor theme="5" tint="0.59999389629810485"/>
        </patternFill>
      </fill>
      <border diagonalUp="0" diagonalDown="0">
        <left style="thin">
          <color indexed="64"/>
        </left>
        <right style="thin">
          <color indexed="64"/>
        </right>
        <top style="thin">
          <color indexed="64"/>
        </top>
        <bottom/>
        <vertical/>
        <horizontal/>
      </border>
      <protection locked="0" hidden="0"/>
    </dxf>
    <dxf>
      <font>
        <b val="0"/>
        <i val="0"/>
        <strike val="0"/>
        <condense val="0"/>
        <extend val="0"/>
        <outline val="0"/>
        <shadow val="0"/>
        <u val="none"/>
        <vertAlign val="baseline"/>
        <sz val="11"/>
        <color theme="1"/>
        <name val="Cambria"/>
        <family val="1"/>
        <scheme val="none"/>
      </font>
      <numFmt numFmtId="4" formatCode="#,##0.00"/>
      <fill>
        <patternFill patternType="solid">
          <fgColor indexed="64"/>
          <bgColor theme="5" tint="0.59999389629810485"/>
        </patternFill>
      </fill>
      <border diagonalUp="0" diagonalDown="0">
        <left style="thin">
          <color indexed="64"/>
        </left>
        <right style="thin">
          <color indexed="64"/>
        </right>
        <top style="thin">
          <color indexed="64"/>
        </top>
        <bottom/>
        <vertical/>
        <horizontal/>
      </border>
      <protection locked="0" hidden="0"/>
    </dxf>
    <dxf>
      <font>
        <b val="0"/>
        <i val="0"/>
        <strike val="0"/>
        <condense val="0"/>
        <extend val="0"/>
        <outline val="0"/>
        <shadow val="0"/>
        <u val="none"/>
        <vertAlign val="baseline"/>
        <sz val="11"/>
        <color theme="1"/>
        <name val="Cambria"/>
        <family val="1"/>
        <scheme val="none"/>
      </font>
      <numFmt numFmtId="4" formatCode="#,##0.00"/>
      <fill>
        <patternFill patternType="solid">
          <fgColor indexed="64"/>
          <bgColor theme="5" tint="0.59999389629810485"/>
        </patternFill>
      </fill>
      <border diagonalUp="0" diagonalDown="0">
        <left style="thin">
          <color indexed="64"/>
        </left>
        <right style="thin">
          <color indexed="64"/>
        </right>
        <top style="thin">
          <color indexed="64"/>
        </top>
        <bottom/>
        <vertical/>
        <horizontal/>
      </border>
      <protection locked="0" hidden="0"/>
    </dxf>
    <dxf>
      <font>
        <b val="0"/>
        <i val="0"/>
        <strike val="0"/>
        <condense val="0"/>
        <extend val="0"/>
        <outline val="0"/>
        <shadow val="0"/>
        <u val="none"/>
        <vertAlign val="baseline"/>
        <sz val="11"/>
        <color theme="1"/>
        <name val="Cambria"/>
        <family val="1"/>
        <scheme val="none"/>
      </font>
      <numFmt numFmtId="4" formatCode="#,##0.00"/>
      <fill>
        <patternFill patternType="solid">
          <fgColor indexed="64"/>
          <bgColor theme="5" tint="0.59999389629810485"/>
        </patternFill>
      </fill>
      <border diagonalUp="0" diagonalDown="0">
        <left style="thin">
          <color indexed="64"/>
        </left>
        <right style="thin">
          <color indexed="64"/>
        </right>
        <top style="thin">
          <color indexed="64"/>
        </top>
        <bottom/>
        <vertical/>
        <horizontal/>
      </border>
      <protection locked="0" hidden="0"/>
    </dxf>
    <dxf>
      <font>
        <b val="0"/>
        <i val="0"/>
        <strike val="0"/>
        <condense val="0"/>
        <extend val="0"/>
        <outline val="0"/>
        <shadow val="0"/>
        <u val="none"/>
        <vertAlign val="baseline"/>
        <sz val="11"/>
        <color theme="1"/>
        <name val="Cambria"/>
        <family val="1"/>
        <scheme val="none"/>
      </font>
      <numFmt numFmtId="4" formatCode="#,##0.00"/>
      <fill>
        <patternFill patternType="solid">
          <fgColor indexed="64"/>
          <bgColor theme="5" tint="0.59999389629810485"/>
        </patternFill>
      </fill>
      <border diagonalUp="0" diagonalDown="0">
        <left style="thin">
          <color indexed="64"/>
        </left>
        <right style="thin">
          <color indexed="64"/>
        </right>
        <top style="thin">
          <color indexed="64"/>
        </top>
        <bottom/>
        <vertical/>
        <horizontal/>
      </border>
      <protection locked="0" hidden="0"/>
    </dxf>
    <dxf>
      <font>
        <b val="0"/>
        <i val="0"/>
        <strike val="0"/>
        <condense val="0"/>
        <extend val="0"/>
        <outline val="0"/>
        <shadow val="0"/>
        <u val="none"/>
        <vertAlign val="baseline"/>
        <sz val="11"/>
        <color theme="1"/>
        <name val="Cambria"/>
        <family val="1"/>
        <scheme val="none"/>
      </font>
      <numFmt numFmtId="4" formatCode="#,##0.00"/>
      <fill>
        <patternFill patternType="solid">
          <fgColor indexed="64"/>
          <bgColor theme="5" tint="0.59999389629810485"/>
        </patternFill>
      </fill>
      <border diagonalUp="0" diagonalDown="0">
        <left style="thin">
          <color indexed="64"/>
        </left>
        <right style="thin">
          <color indexed="64"/>
        </right>
        <top style="thin">
          <color indexed="64"/>
        </top>
        <bottom/>
        <vertical/>
        <horizontal/>
      </border>
      <protection locked="0" hidden="0"/>
    </dxf>
    <dxf>
      <font>
        <b val="0"/>
        <i val="0"/>
        <strike val="0"/>
        <condense val="0"/>
        <extend val="0"/>
        <outline val="0"/>
        <shadow val="0"/>
        <u val="none"/>
        <vertAlign val="baseline"/>
        <sz val="11"/>
        <color theme="1"/>
        <name val="Cambria"/>
        <family val="1"/>
        <scheme val="none"/>
      </font>
      <numFmt numFmtId="4" formatCode="#,##0.00"/>
      <fill>
        <patternFill patternType="solid">
          <fgColor indexed="64"/>
          <bgColor theme="5" tint="0.59999389629810485"/>
        </patternFill>
      </fill>
      <border diagonalUp="0" diagonalDown="0">
        <left style="thin">
          <color indexed="64"/>
        </left>
        <right style="thin">
          <color indexed="64"/>
        </right>
        <top style="thin">
          <color indexed="64"/>
        </top>
        <bottom/>
        <vertical/>
        <horizontal/>
      </border>
      <protection locked="0" hidden="0"/>
    </dxf>
    <dxf>
      <font>
        <b val="0"/>
        <i val="0"/>
        <strike val="0"/>
        <condense val="0"/>
        <extend val="0"/>
        <outline val="0"/>
        <shadow val="0"/>
        <u val="none"/>
        <vertAlign val="baseline"/>
        <sz val="11"/>
        <color theme="1"/>
        <name val="Cambria"/>
        <family val="1"/>
        <scheme val="none"/>
      </font>
      <numFmt numFmtId="4" formatCode="#,##0.00"/>
      <fill>
        <patternFill patternType="solid">
          <fgColor indexed="64"/>
          <bgColor theme="5" tint="0.59999389629810485"/>
        </patternFill>
      </fill>
      <border diagonalUp="0" diagonalDown="0">
        <left style="thin">
          <color indexed="64"/>
        </left>
        <right style="thin">
          <color indexed="64"/>
        </right>
        <top style="thin">
          <color indexed="64"/>
        </top>
        <bottom/>
        <vertical/>
        <horizontal/>
      </border>
      <protection locked="0" hidden="0"/>
    </dxf>
    <dxf>
      <font>
        <b val="0"/>
        <i val="0"/>
        <strike val="0"/>
        <condense val="0"/>
        <extend val="0"/>
        <outline val="0"/>
        <shadow val="0"/>
        <u val="none"/>
        <vertAlign val="baseline"/>
        <sz val="11"/>
        <color theme="1"/>
        <name val="Cambria"/>
        <family val="1"/>
        <scheme val="none"/>
      </font>
      <numFmt numFmtId="4" formatCode="#,##0.00"/>
      <fill>
        <patternFill patternType="solid">
          <fgColor indexed="64"/>
          <bgColor theme="5" tint="0.59999389629810485"/>
        </patternFill>
      </fill>
      <border diagonalUp="0" diagonalDown="0">
        <left style="thin">
          <color indexed="64"/>
        </left>
        <right style="thin">
          <color indexed="64"/>
        </right>
        <top style="thin">
          <color indexed="64"/>
        </top>
        <bottom/>
        <vertical/>
        <horizontal/>
      </border>
      <protection locked="0" hidden="0"/>
    </dxf>
    <dxf>
      <font>
        <b val="0"/>
        <i val="0"/>
        <strike val="0"/>
        <condense val="0"/>
        <extend val="0"/>
        <outline val="0"/>
        <shadow val="0"/>
        <u val="none"/>
        <vertAlign val="baseline"/>
        <sz val="11"/>
        <color theme="1"/>
        <name val="Cambria"/>
        <family val="1"/>
        <scheme val="none"/>
      </font>
      <numFmt numFmtId="4" formatCode="#,##0.00"/>
      <fill>
        <patternFill patternType="solid">
          <fgColor indexed="64"/>
          <bgColor theme="5" tint="0.59999389629810485"/>
        </patternFill>
      </fill>
      <border diagonalUp="0" diagonalDown="0">
        <left style="thin">
          <color indexed="64"/>
        </left>
        <right style="thin">
          <color indexed="64"/>
        </right>
        <top style="thin">
          <color indexed="64"/>
        </top>
        <bottom/>
        <vertical/>
        <horizontal/>
      </border>
      <protection locked="0" hidden="0"/>
    </dxf>
    <dxf>
      <font>
        <b val="0"/>
        <i val="0"/>
        <strike val="0"/>
        <condense val="0"/>
        <extend val="0"/>
        <outline val="0"/>
        <shadow val="0"/>
        <u val="none"/>
        <vertAlign val="baseline"/>
        <sz val="11"/>
        <color theme="1"/>
        <name val="Cambria"/>
        <family val="1"/>
        <scheme val="none"/>
      </font>
      <numFmt numFmtId="4" formatCode="#,##0.00"/>
      <fill>
        <patternFill patternType="solid">
          <fgColor indexed="64"/>
          <bgColor theme="5" tint="0.59999389629810485"/>
        </patternFill>
      </fill>
      <border diagonalUp="0" diagonalDown="0">
        <left style="thin">
          <color indexed="64"/>
        </left>
        <right style="thin">
          <color indexed="64"/>
        </right>
        <top style="thin">
          <color indexed="64"/>
        </top>
        <bottom/>
        <vertical/>
        <horizontal/>
      </border>
      <protection locked="0" hidden="0"/>
    </dxf>
    <dxf>
      <font>
        <b val="0"/>
        <i val="0"/>
        <strike val="0"/>
        <condense val="0"/>
        <extend val="0"/>
        <outline val="0"/>
        <shadow val="0"/>
        <u val="none"/>
        <vertAlign val="baseline"/>
        <sz val="11"/>
        <color theme="1"/>
        <name val="Cambria"/>
        <family val="1"/>
        <scheme val="none"/>
      </font>
      <numFmt numFmtId="4" formatCode="#,##0.00"/>
      <fill>
        <patternFill patternType="solid">
          <fgColor indexed="64"/>
          <bgColor theme="5" tint="0.59999389629810485"/>
        </patternFill>
      </fill>
      <border diagonalUp="0" diagonalDown="0">
        <left style="thin">
          <color indexed="64"/>
        </left>
        <right style="thin">
          <color indexed="64"/>
        </right>
        <top style="thin">
          <color indexed="64"/>
        </top>
        <bottom/>
        <vertical/>
        <horizontal/>
      </border>
      <protection locked="0" hidden="0"/>
    </dxf>
    <dxf>
      <font>
        <strike val="0"/>
        <outline val="0"/>
        <shadow val="0"/>
        <u val="none"/>
        <vertAlign val="baseline"/>
        <name val="Cambria"/>
        <family val="1"/>
        <scheme val="none"/>
      </font>
      <numFmt numFmtId="4" formatCode="#,##0.00"/>
      <fill>
        <patternFill>
          <fgColor indexed="64"/>
          <bgColor theme="5" tint="0.5999938962981048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name val="Cambria"/>
        <family val="1"/>
        <scheme val="none"/>
      </font>
      <numFmt numFmtId="4" formatCode="#,##0.00"/>
      <fill>
        <patternFill>
          <fgColor indexed="64"/>
          <bgColor theme="5" tint="0.5999938962981048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name val="Cambria"/>
        <family val="1"/>
        <scheme val="none"/>
      </font>
      <numFmt numFmtId="4" formatCode="#,##0.00"/>
      <fill>
        <patternFill>
          <fgColor indexed="64"/>
          <bgColor theme="5" tint="0.5999938962981048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name val="Cambria"/>
        <family val="1"/>
        <scheme val="none"/>
      </font>
      <numFmt numFmtId="4" formatCode="#,##0.00"/>
      <fill>
        <patternFill>
          <fgColor indexed="64"/>
          <bgColor theme="5" tint="0.5999938962981048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name val="Cambria"/>
        <family val="1"/>
        <scheme val="none"/>
      </font>
      <numFmt numFmtId="4" formatCode="#,##0.00"/>
      <fill>
        <patternFill>
          <fgColor indexed="64"/>
          <bgColor theme="5" tint="0.5999938962981048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name val="Cambria"/>
        <family val="1"/>
        <scheme val="none"/>
      </font>
      <numFmt numFmtId="4" formatCode="#,##0.00"/>
      <fill>
        <patternFill>
          <fgColor indexed="64"/>
          <bgColor theme="5" tint="0.5999938962981048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name val="Cambria"/>
        <family val="1"/>
        <scheme val="none"/>
      </font>
      <numFmt numFmtId="4" formatCode="#,##0.00"/>
      <fill>
        <patternFill>
          <fgColor indexed="64"/>
          <bgColor theme="5" tint="0.5999938962981048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name val="Cambria"/>
        <family val="1"/>
        <scheme val="none"/>
      </font>
      <numFmt numFmtId="4" formatCode="#,##0.00"/>
      <fill>
        <patternFill>
          <fgColor indexed="64"/>
          <bgColor theme="5" tint="0.5999938962981048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name val="Cambria"/>
        <family val="1"/>
        <scheme val="none"/>
      </font>
      <numFmt numFmtId="4" formatCode="#,##0.00"/>
      <fill>
        <patternFill>
          <fgColor indexed="64"/>
          <bgColor theme="5" tint="0.5999938962981048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name val="Cambria"/>
        <family val="1"/>
        <scheme val="none"/>
      </font>
      <numFmt numFmtId="4" formatCode="#,##0.00"/>
      <fill>
        <patternFill>
          <fgColor indexed="64"/>
          <bgColor theme="5" tint="0.5999938962981048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name val="Cambria"/>
        <family val="1"/>
        <scheme val="none"/>
      </font>
      <numFmt numFmtId="4" formatCode="#,##0.00"/>
      <fill>
        <patternFill>
          <fgColor indexed="64"/>
          <bgColor theme="5" tint="0.5999938962981048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name val="Cambria"/>
        <family val="1"/>
        <scheme val="none"/>
      </font>
      <numFmt numFmtId="4" formatCode="#,##0.00"/>
      <fill>
        <patternFill>
          <fgColor indexed="64"/>
          <bgColor theme="5" tint="0.5999938962981048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name val="Cambria"/>
        <family val="1"/>
        <scheme val="none"/>
      </font>
      <numFmt numFmtId="4" formatCode="#,##0.00"/>
      <fill>
        <patternFill>
          <fgColor indexed="64"/>
          <bgColor theme="5" tint="0.5999938962981048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name val="Cambria"/>
        <family val="1"/>
        <scheme val="none"/>
      </font>
      <numFmt numFmtId="4" formatCode="#,##0.00"/>
      <fill>
        <patternFill>
          <fgColor indexed="64"/>
          <bgColor theme="5" tint="0.5999938962981048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name val="Cambria"/>
        <family val="1"/>
        <scheme val="none"/>
      </font>
      <numFmt numFmtId="4" formatCode="#,##0.00"/>
      <fill>
        <patternFill>
          <fgColor indexed="64"/>
          <bgColor theme="5" tint="0.5999938962981048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name val="Cambria"/>
        <family val="1"/>
        <scheme val="none"/>
      </font>
      <numFmt numFmtId="4" formatCode="#,##0.00"/>
      <fill>
        <patternFill>
          <fgColor indexed="64"/>
          <bgColor theme="5" tint="0.5999938962981048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name val="Cambria"/>
        <family val="1"/>
        <scheme val="none"/>
      </font>
      <numFmt numFmtId="4" formatCode="#,##0.00"/>
      <fill>
        <patternFill>
          <fgColor indexed="64"/>
          <bgColor theme="5" tint="0.5999938962981048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name val="Cambria"/>
        <family val="1"/>
        <scheme val="none"/>
      </font>
      <numFmt numFmtId="4" formatCode="#,##0.00"/>
      <fill>
        <patternFill>
          <fgColor indexed="64"/>
          <bgColor theme="5" tint="0.5999938962981048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name val="Cambria"/>
        <family val="1"/>
        <scheme val="none"/>
      </font>
      <numFmt numFmtId="4" formatCode="#,##0.00"/>
      <fill>
        <patternFill>
          <fgColor indexed="64"/>
          <bgColor theme="5" tint="0.5999938962981048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name val="Cambria"/>
        <family val="1"/>
        <scheme val="none"/>
      </font>
      <numFmt numFmtId="4" formatCode="#,##0.00"/>
      <fill>
        <patternFill>
          <fgColor indexed="64"/>
          <bgColor theme="5" tint="0.5999938962981048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name val="Cambria"/>
        <family val="1"/>
        <scheme val="none"/>
      </font>
      <numFmt numFmtId="4" formatCode="#,##0.00"/>
      <fill>
        <patternFill patternType="solid">
          <fgColor indexed="64"/>
          <bgColor theme="5" tint="0.5999938962981048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name val="Cambria"/>
        <family val="1"/>
        <scheme val="none"/>
      </font>
      <numFmt numFmtId="4" formatCode="#,##0.00"/>
      <fill>
        <patternFill>
          <fgColor indexed="64"/>
          <bgColor theme="5" tint="0.5999938962981048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name val="Cambria"/>
        <family val="1"/>
        <scheme val="none"/>
      </font>
      <numFmt numFmtId="4" formatCode="#,##0.00"/>
      <fill>
        <patternFill>
          <fgColor indexed="64"/>
          <bgColor theme="5" tint="0.5999938962981048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name val="Cambria"/>
        <family val="1"/>
        <scheme val="none"/>
      </font>
      <numFmt numFmtId="4" formatCode="#,##0.00"/>
      <fill>
        <patternFill>
          <fgColor indexed="64"/>
          <bgColor theme="5" tint="0.5999938962981048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name val="Cambria"/>
        <family val="1"/>
        <scheme val="none"/>
      </font>
      <numFmt numFmtId="4" formatCode="#,##0.00"/>
      <fill>
        <patternFill>
          <fgColor indexed="64"/>
          <bgColor theme="5" tint="0.5999938962981048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name val="Cambria"/>
        <family val="1"/>
        <scheme val="none"/>
      </font>
      <numFmt numFmtId="4" formatCode="#,##0.00"/>
      <fill>
        <patternFill>
          <fgColor indexed="64"/>
          <bgColor theme="5" tint="0.5999938962981048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name val="Cambria"/>
        <family val="1"/>
        <scheme val="none"/>
      </font>
      <numFmt numFmtId="4" formatCode="#,##0.00"/>
      <fill>
        <patternFill>
          <fgColor indexed="64"/>
          <bgColor theme="5" tint="0.5999938962981048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name val="Cambria"/>
        <family val="1"/>
        <scheme val="none"/>
      </font>
      <numFmt numFmtId="4" formatCode="#,##0.00"/>
      <fill>
        <patternFill>
          <fgColor indexed="64"/>
          <bgColor theme="5" tint="0.5999938962981048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name val="Cambria"/>
        <family val="1"/>
        <scheme val="none"/>
      </font>
      <numFmt numFmtId="4" formatCode="#,##0.00"/>
      <fill>
        <patternFill>
          <fgColor indexed="64"/>
          <bgColor theme="5" tint="0.5999938962981048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name val="Cambria"/>
        <family val="1"/>
        <scheme val="none"/>
      </font>
      <numFmt numFmtId="4" formatCode="#,##0.00"/>
      <fill>
        <patternFill>
          <fgColor indexed="64"/>
          <bgColor theme="5" tint="0.5999938962981048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name val="Cambria"/>
        <family val="1"/>
        <scheme val="none"/>
      </font>
      <numFmt numFmtId="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sz val="11"/>
        <color theme="0" tint="-0.499984740745262"/>
        <name val="Cambr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name val="Cambria"/>
        <family val="1"/>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name val="Cambria"/>
        <family val="1"/>
        <scheme val="none"/>
      </font>
      <numFmt numFmtId="0" formatCode="Genera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i/>
        <strike val="0"/>
        <outline val="0"/>
        <shadow val="0"/>
        <u val="none"/>
        <vertAlign val="baseline"/>
        <name val="Cambria"/>
        <family val="1"/>
        <scheme val="none"/>
      </font>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0"/>
        <color theme="1"/>
        <name val="Cambria"/>
        <family val="1"/>
        <scheme val="none"/>
      </font>
      <numFmt numFmtId="1" formatCode="0"/>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1"/>
        <color theme="1"/>
        <name val="Cambria"/>
        <family val="1"/>
        <scheme val="none"/>
      </font>
      <fill>
        <patternFill patternType="solid">
          <fgColor indexed="64"/>
          <bgColor theme="7" tint="0.79998168889431442"/>
        </patternFill>
      </fill>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name val="Cambr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name val="Cambria"/>
        <family val="1"/>
        <scheme val="none"/>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name val="Cambr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name val="Cambr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name val="Cambr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name val="Cambr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name val="Cambr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sz val="11"/>
        <color theme="0" tint="-0.499984740745262"/>
        <name val="Cambr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mbr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mbr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name val="Cambr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auto="1"/>
        <name val="Cambria"/>
        <family val="1"/>
        <scheme val="none"/>
      </font>
      <numFmt numFmtId="165" formatCode="dd\-mm\-yy;@"/>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auto="1"/>
        <name val="Cambria"/>
        <family val="1"/>
        <scheme val="none"/>
      </font>
      <numFmt numFmtId="165" formatCode="dd\-mm\-yy;@"/>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horizontal/>
      </border>
      <protection locked="0" hidden="0"/>
    </dxf>
    <dxf>
      <font>
        <strike val="0"/>
        <outline val="0"/>
        <shadow val="0"/>
        <u val="none"/>
        <vertAlign val="baseline"/>
        <sz val="11"/>
        <color theme="0" tint="-0.499984740745262"/>
        <name val="Cambria"/>
        <family val="1"/>
        <scheme val="none"/>
      </font>
      <numFmt numFmtId="165" formatCode="dd\-mm\-yy;@"/>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strike val="0"/>
        <outline val="0"/>
        <shadow val="0"/>
        <u val="none"/>
        <vertAlign val="baseline"/>
        <sz val="11"/>
        <color auto="1"/>
        <name val="Cambria"/>
        <family val="1"/>
        <scheme val="none"/>
      </font>
      <numFmt numFmtId="165" formatCode="dd\-mm\-yy;@"/>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strike val="0"/>
        <outline val="0"/>
        <shadow val="0"/>
        <u val="none"/>
        <vertAlign val="baseline"/>
        <name val="Cambria"/>
        <family val="1"/>
        <scheme val="none"/>
      </font>
      <numFmt numFmtId="165" formatCode="dd\-mm\-yy;@"/>
      <alignment horizontal="right" textRotation="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theme="0" tint="-0.499984740745262"/>
        <name val="Cambria"/>
        <family val="1"/>
        <scheme val="none"/>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sz val="11"/>
        <color theme="0" tint="-0.499984740745262"/>
        <name val="Cambria"/>
        <family val="1"/>
        <scheme val="none"/>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sz val="11"/>
        <color theme="0" tint="-0.499984740745262"/>
        <name val="Cambria"/>
        <family val="1"/>
        <scheme val="none"/>
      </font>
      <numFmt numFmtId="165" formatCode="dd\-mm\-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sz val="11"/>
        <color theme="0" tint="-0.499984740745262"/>
        <name val="Cambria"/>
        <family val="1"/>
        <scheme val="none"/>
      </font>
      <numFmt numFmtId="165" formatCode="dd\-mm\-yy;@"/>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name val="Cambria"/>
        <family val="1"/>
        <scheme val="none"/>
      </font>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theme="1"/>
        <name val="Cambria"/>
        <family val="1"/>
        <scheme val="none"/>
      </font>
      <numFmt numFmtId="0" formatCode="Genera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name val="Cambria"/>
        <family val="1"/>
        <scheme val="none"/>
      </font>
      <protection locked="0" hidden="0"/>
    </dxf>
    <dxf>
      <font>
        <b val="0"/>
        <i val="0"/>
        <strike val="0"/>
        <outline val="0"/>
        <shadow val="0"/>
        <u val="none"/>
        <vertAlign val="baseline"/>
        <sz val="11"/>
        <color theme="0"/>
        <name val="Cambria"/>
        <family val="1"/>
        <scheme val="none"/>
      </font>
      <alignment horizontal="general" vertical="top" textRotation="0" wrapText="1" indent="0" justifyLastLine="0" shrinkToFit="0" readingOrder="0"/>
      <protection locked="1" hidden="0"/>
    </dxf>
    <dxf>
      <font>
        <color rgb="FF9C0006"/>
      </font>
      <fill>
        <patternFill>
          <bgColor rgb="FFFFC7CE"/>
        </patternFill>
      </fill>
    </dxf>
    <dxf>
      <font>
        <color rgb="FF9C0006"/>
      </font>
      <fill>
        <patternFill>
          <bgColor rgb="FFFFC7CE"/>
        </patternFill>
      </fill>
    </dxf>
    <dxf>
      <font>
        <strike val="0"/>
        <outline val="0"/>
        <shadow val="0"/>
        <u val="none"/>
        <vertAlign val="baseline"/>
        <sz val="10"/>
        <name val="Cambria"/>
        <family val="1"/>
        <scheme val="none"/>
      </font>
      <numFmt numFmtId="0" formatCode="General"/>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9"/>
        <name val="Cambria"/>
        <family val="1"/>
        <scheme val="none"/>
      </font>
      <fill>
        <patternFill patternType="solid">
          <fgColor indexed="64"/>
          <bgColor theme="5"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mbria"/>
        <family val="1"/>
        <scheme val="none"/>
      </font>
    </dxf>
    <dxf>
      <font>
        <b/>
        <i val="0"/>
        <strike val="0"/>
        <condense val="0"/>
        <extend val="0"/>
        <outline val="0"/>
        <shadow val="0"/>
        <u val="none"/>
        <vertAlign val="baseline"/>
        <sz val="10"/>
        <color theme="1"/>
        <name val="Cambria"/>
        <family val="1"/>
        <scheme val="none"/>
      </font>
      <alignment horizontal="left" vertical="bottom" textRotation="0" wrapText="0" indent="0" justifyLastLine="0" shrinkToFit="0" readingOrder="0"/>
    </dxf>
    <dxf>
      <font>
        <strike val="0"/>
        <outline val="0"/>
        <shadow val="0"/>
        <u val="none"/>
        <vertAlign val="baseline"/>
        <name val="Cambria"/>
        <family val="1"/>
        <scheme val="none"/>
      </font>
    </dxf>
    <dxf>
      <font>
        <strike val="0"/>
        <outline val="0"/>
        <shadow val="0"/>
        <u val="none"/>
        <vertAlign val="baseline"/>
        <name val="Cambria"/>
        <family val="1"/>
        <scheme val="none"/>
      </font>
    </dxf>
    <dxf>
      <font>
        <strike val="0"/>
        <outline val="0"/>
        <shadow val="0"/>
        <u val="none"/>
        <vertAlign val="baseline"/>
        <sz val="10"/>
        <color theme="1"/>
        <name val="Cambria"/>
        <family val="1"/>
        <scheme val="none"/>
      </font>
    </dxf>
    <dxf>
      <font>
        <b/>
        <strike val="0"/>
        <outline val="0"/>
        <shadow val="0"/>
        <u val="none"/>
        <vertAlign val="baseline"/>
        <sz val="10"/>
        <color theme="1"/>
        <name val="Cambria"/>
        <family val="1"/>
        <scheme val="none"/>
      </font>
      <alignment horizontal="left" vertical="bottom" textRotation="0" indent="0" justifyLastLine="0" shrinkToFit="0" readingOrder="0"/>
    </dxf>
    <dxf>
      <font>
        <strike val="0"/>
        <outline val="0"/>
        <shadow val="0"/>
        <u val="none"/>
        <vertAlign val="baseline"/>
        <sz val="10"/>
        <color rgb="FF000000"/>
        <name val="Cambria"/>
        <family val="1"/>
        <scheme val="none"/>
      </font>
    </dxf>
    <dxf>
      <font>
        <strike val="0"/>
        <outline val="0"/>
        <shadow val="0"/>
        <u val="none"/>
        <vertAlign val="baseline"/>
        <sz val="9"/>
        <color theme="1"/>
        <name val="Cambria"/>
        <family val="1"/>
        <scheme val="none"/>
      </font>
      <fill>
        <patternFill patternType="solid">
          <fgColor indexed="64"/>
          <bgColor rgb="FFFF9900"/>
        </patternFill>
      </fill>
      <alignment horizontal="center" vertical="center" textRotation="0" wrapText="1" indent="0" justifyLastLine="0" shrinkToFit="0" readingOrder="0"/>
    </dxf>
    <dxf>
      <font>
        <strike val="0"/>
        <outline val="0"/>
        <shadow val="0"/>
        <u val="none"/>
        <vertAlign val="baseline"/>
        <sz val="9"/>
        <color theme="1"/>
        <name val="Cambria"/>
        <family val="1"/>
        <scheme val="none"/>
      </font>
      <fill>
        <patternFill patternType="none">
          <bgColor auto="1"/>
        </patternFill>
      </fill>
    </dxf>
    <dxf>
      <font>
        <strike val="0"/>
        <outline val="0"/>
        <shadow val="0"/>
        <u val="none"/>
        <vertAlign val="baseline"/>
        <sz val="9"/>
        <color theme="1"/>
        <name val="Cambria"/>
        <family val="1"/>
        <scheme val="none"/>
      </font>
      <fill>
        <patternFill patternType="none">
          <bgColor auto="1"/>
        </patternFill>
      </fill>
    </dxf>
    <dxf>
      <font>
        <b val="0"/>
        <i val="0"/>
        <strike val="0"/>
        <condense val="0"/>
        <extend val="0"/>
        <outline val="0"/>
        <shadow val="0"/>
        <u val="none"/>
        <vertAlign val="baseline"/>
        <sz val="9"/>
        <color theme="1"/>
        <name val="Cambria"/>
        <family val="1"/>
        <scheme val="none"/>
      </font>
      <fill>
        <patternFill patternType="none">
          <fgColor theme="4" tint="0.79998168889431442"/>
          <bgColor auto="1"/>
        </patternFill>
      </fill>
    </dxf>
    <dxf>
      <font>
        <b/>
        <i val="0"/>
        <strike val="0"/>
        <condense val="0"/>
        <extend val="0"/>
        <outline val="0"/>
        <shadow val="0"/>
        <u val="none"/>
        <vertAlign val="baseline"/>
        <sz val="9"/>
        <color theme="1"/>
        <name val="Cambria"/>
        <family val="1"/>
        <scheme val="none"/>
      </font>
      <numFmt numFmtId="0" formatCode="General"/>
      <fill>
        <patternFill patternType="none">
          <fgColor theme="4" tint="0.79998168889431442"/>
          <bgColor auto="1"/>
        </patternFill>
      </fill>
      <alignment horizontal="left" vertical="bottom" textRotation="0" wrapText="0" indent="0" justifyLastLine="0" shrinkToFit="0" readingOrder="0"/>
    </dxf>
    <dxf>
      <border outline="0">
        <top style="thin">
          <color rgb="FF9BC2E6"/>
        </top>
        <bottom style="thin">
          <color rgb="FF000000"/>
        </bottom>
      </border>
    </dxf>
    <dxf>
      <font>
        <strike val="0"/>
        <outline val="0"/>
        <shadow val="0"/>
        <u val="none"/>
        <vertAlign val="baseline"/>
        <sz val="9"/>
        <color rgb="FF000000"/>
        <name val="Cambria"/>
        <family val="1"/>
        <scheme val="none"/>
      </font>
      <fill>
        <patternFill patternType="none">
          <bgColor auto="1"/>
        </patternFill>
      </fill>
    </dxf>
    <dxf>
      <font>
        <strike val="0"/>
        <outline val="0"/>
        <shadow val="0"/>
        <u val="none"/>
        <vertAlign val="baseline"/>
        <sz val="9"/>
        <name val="Cambria"/>
        <family val="1"/>
        <scheme val="none"/>
      </font>
      <fill>
        <patternFill patternType="solid">
          <fgColor indexed="64"/>
          <bgColor theme="5" tint="0.39997558519241921"/>
        </patternFill>
      </fill>
      <alignment horizontal="center" vertical="center" textRotation="0" wrapText="1" indent="0" justifyLastLine="0" shrinkToFit="0" readingOrder="0"/>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alignment wrapText="1"/>
    </dxf>
    <dxf>
      <alignment wrapText="1"/>
    </dxf>
    <dxf>
      <alignment wrapText="0"/>
    </dxf>
    <dxf>
      <alignment wrapText="0"/>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alignment wrapText="0"/>
    </dxf>
    <dxf>
      <font>
        <strike val="0"/>
        <outline val="0"/>
        <shadow val="0"/>
        <u val="none"/>
        <vertAlign val="baseline"/>
        <sz val="11"/>
        <name val="Cambria"/>
        <family val="1"/>
        <scheme val="none"/>
      </font>
      <protection locked="0" hidden="0"/>
    </dxf>
    <dxf>
      <font>
        <strike val="0"/>
        <outline val="0"/>
        <shadow val="0"/>
        <u val="none"/>
        <vertAlign val="baseline"/>
        <sz val="11"/>
        <name val="Cambria"/>
        <family val="1"/>
        <scheme val="none"/>
      </font>
      <protection locked="0" hidden="0"/>
    </dxf>
    <dxf>
      <font>
        <strike val="0"/>
        <outline val="0"/>
        <shadow val="0"/>
        <u val="none"/>
        <vertAlign val="baseline"/>
        <sz val="11"/>
        <name val="Cambria"/>
        <family val="1"/>
        <scheme val="none"/>
      </font>
      <protection locked="0" hidden="0"/>
    </dxf>
    <dxf>
      <font>
        <strike val="0"/>
        <outline val="0"/>
        <shadow val="0"/>
        <u val="none"/>
        <vertAlign val="baseline"/>
        <sz val="11"/>
        <name val="Cambria"/>
        <family val="1"/>
        <scheme val="none"/>
      </font>
      <protection locked="0" hidden="0"/>
    </dxf>
    <dxf>
      <font>
        <strike val="0"/>
        <outline val="0"/>
        <shadow val="0"/>
        <u val="none"/>
        <vertAlign val="baseline"/>
        <sz val="11"/>
        <name val="Cambria"/>
        <family val="1"/>
        <scheme val="none"/>
      </font>
      <protection locked="0" hidden="0"/>
    </dxf>
    <dxf>
      <font>
        <strike val="0"/>
        <outline val="0"/>
        <shadow val="0"/>
        <u val="none"/>
        <vertAlign val="baseline"/>
        <sz val="11"/>
        <name val="Cambria"/>
        <family val="1"/>
        <scheme val="none"/>
      </font>
      <protection locked="0" hidden="0"/>
    </dxf>
    <dxf>
      <font>
        <strike val="0"/>
        <outline val="0"/>
        <shadow val="0"/>
        <u val="none"/>
        <vertAlign val="baseline"/>
        <sz val="11"/>
        <name val="Cambria"/>
        <family val="1"/>
        <scheme val="none"/>
      </font>
      <protection locked="1" hidden="0"/>
    </dxf>
    <dxf>
      <font>
        <strike val="0"/>
        <outline val="0"/>
        <shadow val="0"/>
        <u val="none"/>
        <vertAlign val="baseline"/>
        <sz val="11"/>
        <name val="Cambria"/>
        <family val="1"/>
        <scheme val="none"/>
      </font>
      <protection locked="1" hidden="0"/>
    </dxf>
    <dxf>
      <font>
        <strike val="0"/>
        <outline val="0"/>
        <shadow val="0"/>
        <u val="none"/>
        <vertAlign val="baseline"/>
        <sz val="11"/>
        <name val="Cambria"/>
        <family val="1"/>
        <scheme val="none"/>
      </font>
      <alignment vertical="center" textRotation="0" indent="0" justifyLastLine="0" shrinkToFit="0" readingOrder="0"/>
      <protection locked="1" hidden="0"/>
    </dxf>
    <dxf>
      <font>
        <strike val="0"/>
        <outline val="0"/>
        <shadow val="0"/>
        <u val="none"/>
        <vertAlign val="baseline"/>
        <sz val="11"/>
        <name val="Cambria"/>
        <family val="1"/>
        <scheme val="none"/>
      </font>
      <protection locked="0" hidden="0"/>
    </dxf>
    <dxf>
      <font>
        <strike val="0"/>
        <outline val="0"/>
        <shadow val="0"/>
        <u val="none"/>
        <vertAlign val="baseline"/>
        <sz val="11"/>
        <name val="Cambria"/>
        <family val="1"/>
        <scheme val="none"/>
      </font>
      <protection locked="0" hidden="0"/>
    </dxf>
    <dxf>
      <font>
        <strike val="0"/>
        <outline val="0"/>
        <shadow val="0"/>
        <u val="none"/>
        <vertAlign val="baseline"/>
        <sz val="11"/>
        <name val="Cambria"/>
        <family val="1"/>
        <scheme val="none"/>
      </font>
      <alignment vertical="center" textRotation="0" indent="0" justifyLastLine="0" shrinkToFit="0" readingOrder="0"/>
      <protection locked="0" hidden="0"/>
    </dxf>
    <dxf>
      <font>
        <strike val="0"/>
        <outline val="0"/>
        <shadow val="0"/>
        <u val="none"/>
        <vertAlign val="baseline"/>
        <sz val="11"/>
        <color rgb="FFFF0000"/>
        <name val="Cambria"/>
        <family val="1"/>
        <scheme val="none"/>
      </font>
      <alignment horizontal="center" vertical="bottom" textRotation="0" wrapText="0" indent="0" justifyLastLine="0" shrinkToFit="0" readingOrder="0"/>
      <protection locked="0" hidden="0"/>
    </dxf>
    <dxf>
      <font>
        <strike val="0"/>
        <outline val="0"/>
        <shadow val="0"/>
        <u val="none"/>
        <vertAlign val="baseline"/>
        <sz val="11"/>
        <color rgb="FF7030A0"/>
        <name val="Cambria"/>
        <family val="1"/>
        <scheme val="none"/>
      </font>
      <fill>
        <patternFill patternType="none">
          <fgColor indexed="64"/>
          <bgColor auto="1"/>
        </patternFill>
      </fill>
      <protection locked="0" hidden="0"/>
    </dxf>
    <dxf>
      <font>
        <strike val="0"/>
        <outline val="0"/>
        <shadow val="0"/>
        <u val="none"/>
        <vertAlign val="baseline"/>
        <sz val="11"/>
        <name val="Cambria"/>
        <family val="1"/>
        <scheme val="none"/>
      </font>
      <protection locked="1" hidden="0"/>
    </dxf>
    <dxf>
      <font>
        <strike val="0"/>
        <outline val="0"/>
        <shadow val="0"/>
        <u val="none"/>
        <vertAlign val="baseline"/>
        <sz val="11"/>
        <name val="Cambria"/>
        <family val="1"/>
        <scheme val="none"/>
      </font>
      <protection locked="0" hidden="0"/>
    </dxf>
    <dxf>
      <font>
        <strike val="0"/>
        <outline val="0"/>
        <shadow val="0"/>
        <u val="none"/>
        <vertAlign val="baseline"/>
        <sz val="11"/>
        <name val="Cambria"/>
        <family val="1"/>
        <scheme val="none"/>
      </font>
      <protection locked="0" hidden="0"/>
    </dxf>
    <dxf>
      <font>
        <strike val="0"/>
        <outline val="0"/>
        <shadow val="0"/>
        <u val="none"/>
        <vertAlign val="baseline"/>
        <sz val="11"/>
        <name val="Cambria"/>
        <family val="1"/>
        <scheme val="none"/>
      </font>
      <protection locked="0" hidden="0"/>
    </dxf>
    <dxf>
      <font>
        <strike val="0"/>
        <outline val="0"/>
        <shadow val="0"/>
        <u val="none"/>
        <vertAlign val="baseline"/>
        <sz val="11"/>
        <name val="Cambria"/>
        <family val="1"/>
        <scheme val="none"/>
      </font>
      <protection locked="1" hidden="0"/>
    </dxf>
    <dxf>
      <font>
        <strike val="0"/>
        <outline val="0"/>
        <shadow val="0"/>
        <u val="none"/>
        <vertAlign val="baseline"/>
        <sz val="11"/>
        <name val="Cambria"/>
        <family val="1"/>
        <scheme val="none"/>
      </font>
      <protection locked="0" hidden="0"/>
    </dxf>
    <dxf>
      <font>
        <strike val="0"/>
        <outline val="0"/>
        <shadow val="0"/>
        <u val="none"/>
        <vertAlign val="baseline"/>
        <sz val="11"/>
        <name val="Cambria"/>
        <family val="1"/>
        <scheme val="none"/>
      </font>
      <alignment horizontal="general" vertical="center" textRotation="0" indent="0" justifyLastLine="0" shrinkToFit="0" readingOrder="0"/>
      <protection locked="0" hidden="0"/>
    </dxf>
    <dxf>
      <fill>
        <patternFill>
          <bgColor theme="4" tint="0.59996337778862885"/>
        </patternFill>
      </fill>
    </dxf>
  </dxfs>
  <tableStyles count="1" defaultTableStyle="TableStyleMedium2" defaultPivotStyle="PivotStyleLight16">
    <tableStyle name="Estilo de tabla dinámica 1" table="0" count="1" xr9:uid="{00000000-0011-0000-FFFF-FFFF00000000}">
      <tableStyleElement type="firstSubtotalRow" dxfId="177"/>
    </tableStyle>
  </tableStyles>
  <colors>
    <mruColors>
      <color rgb="FFFFCC99"/>
      <color rgb="FF003300"/>
      <color rgb="FF663300"/>
      <color rgb="FFFFFFFF"/>
      <color rgb="FF33CCCC"/>
      <color rgb="FF33CCFF"/>
      <color rgb="FFFF6600"/>
      <color rgb="FF0044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6.png"/><Relationship Id="rId18" Type="http://schemas.openxmlformats.org/officeDocument/2006/relationships/hyperlink" Target="#'2.2.a.Equip.Mediana'!A1"/><Relationship Id="rId26" Type="http://schemas.openxmlformats.org/officeDocument/2006/relationships/hyperlink" Target="#'2.2.b.Equip.Mediana'!A1"/><Relationship Id="rId3" Type="http://schemas.openxmlformats.org/officeDocument/2006/relationships/hyperlink" Target="#CONC.RETR!A1"/><Relationship Id="rId21" Type="http://schemas.openxmlformats.org/officeDocument/2006/relationships/image" Target="../media/image10.png"/><Relationship Id="rId7" Type="http://schemas.openxmlformats.org/officeDocument/2006/relationships/hyperlink" Target="#AGRUPACIONES!A1"/><Relationship Id="rId12" Type="http://schemas.openxmlformats.org/officeDocument/2006/relationships/hyperlink" Target="#'1.1.a.Efect.Prom'!A1"/><Relationship Id="rId17" Type="http://schemas.openxmlformats.org/officeDocument/2006/relationships/image" Target="../media/image8.png"/><Relationship Id="rId25" Type="http://schemas.openxmlformats.org/officeDocument/2006/relationships/image" Target="../media/image12.png"/><Relationship Id="rId2" Type="http://schemas.openxmlformats.org/officeDocument/2006/relationships/image" Target="../media/image1.png"/><Relationship Id="rId16" Type="http://schemas.openxmlformats.org/officeDocument/2006/relationships/hyperlink" Target="#'2.1.a.Equip.Prom'!A1"/><Relationship Id="rId20" Type="http://schemas.openxmlformats.org/officeDocument/2006/relationships/hyperlink" Target="#'1.1.b.Efect.Prom'!A1"/><Relationship Id="rId29" Type="http://schemas.openxmlformats.org/officeDocument/2006/relationships/image" Target="../media/image15.png"/><Relationship Id="rId1" Type="http://schemas.openxmlformats.org/officeDocument/2006/relationships/hyperlink" Target="#CAMPOS!A1"/><Relationship Id="rId6" Type="http://schemas.openxmlformats.org/officeDocument/2006/relationships/image" Target="../media/image3.png"/><Relationship Id="rId11" Type="http://schemas.openxmlformats.org/officeDocument/2006/relationships/image" Target="../media/image5.png"/><Relationship Id="rId24" Type="http://schemas.openxmlformats.org/officeDocument/2006/relationships/hyperlink" Target="#'2.1.b.Equip.Prom'!A1"/><Relationship Id="rId5" Type="http://schemas.openxmlformats.org/officeDocument/2006/relationships/hyperlink" Target="#DATOS!A1"/><Relationship Id="rId15" Type="http://schemas.openxmlformats.org/officeDocument/2006/relationships/image" Target="../media/image7.png"/><Relationship Id="rId23" Type="http://schemas.openxmlformats.org/officeDocument/2006/relationships/image" Target="../media/image11.png"/><Relationship Id="rId28" Type="http://schemas.openxmlformats.org/officeDocument/2006/relationships/image" Target="../media/image14.png"/><Relationship Id="rId10" Type="http://schemas.openxmlformats.org/officeDocument/2006/relationships/hyperlink" Target="#CONTRATOS!A1"/><Relationship Id="rId19" Type="http://schemas.openxmlformats.org/officeDocument/2006/relationships/image" Target="../media/image9.png"/><Relationship Id="rId4" Type="http://schemas.openxmlformats.org/officeDocument/2006/relationships/image" Target="../media/image2.png"/><Relationship Id="rId9" Type="http://schemas.microsoft.com/office/2007/relationships/hdphoto" Target="../media/hdphoto1.wdp"/><Relationship Id="rId14" Type="http://schemas.openxmlformats.org/officeDocument/2006/relationships/hyperlink" Target="#'1.2.a.Efect.Mediana'!A1"/><Relationship Id="rId22" Type="http://schemas.openxmlformats.org/officeDocument/2006/relationships/hyperlink" Target="#'1.2.b.Efect.Mediana'!A1"/><Relationship Id="rId27" Type="http://schemas.openxmlformats.org/officeDocument/2006/relationships/image" Target="../media/image13.png"/><Relationship Id="rId30" Type="http://schemas.openxmlformats.org/officeDocument/2006/relationships/image" Target="../media/image16.png"/></Relationships>
</file>

<file path=xl/drawings/_rels/drawing2.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hyperlink" Target="#Inicio!A1"/><Relationship Id="rId1" Type="http://schemas.openxmlformats.org/officeDocument/2006/relationships/image" Target="../media/image17.png"/></Relationships>
</file>

<file path=xl/drawings/_rels/drawing3.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hyperlink" Target="#Inicio!A1"/></Relationships>
</file>

<file path=xl/drawings/_rels/drawing4.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hyperlink" Target="#Inicio!A1"/></Relationships>
</file>

<file path=xl/drawings/_rels/drawing5.xml.rels><?xml version="1.0" encoding="UTF-8" standalone="yes"?>
<Relationships xmlns="http://schemas.openxmlformats.org/package/2006/relationships"><Relationship Id="rId3" Type="http://schemas.openxmlformats.org/officeDocument/2006/relationships/image" Target="../media/image20.png"/><Relationship Id="rId7" Type="http://schemas.openxmlformats.org/officeDocument/2006/relationships/image" Target="../media/image18.png"/><Relationship Id="rId2" Type="http://schemas.openxmlformats.org/officeDocument/2006/relationships/hyperlink" Target="#AGRUPACIONES!B11"/><Relationship Id="rId1" Type="http://schemas.openxmlformats.org/officeDocument/2006/relationships/hyperlink" Target="#AGRUPACIONES!A1"/><Relationship Id="rId6" Type="http://schemas.openxmlformats.org/officeDocument/2006/relationships/hyperlink" Target="#Inicio!A1"/><Relationship Id="rId5" Type="http://schemas.openxmlformats.org/officeDocument/2006/relationships/image" Target="../media/image21.png"/><Relationship Id="rId4" Type="http://schemas.openxmlformats.org/officeDocument/2006/relationships/hyperlink" Target="#AGRUPACIONES!B110"/></Relationships>
</file>

<file path=xl/drawings/_rels/drawing6.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hyperlink" Target="#Inicio!A1"/></Relationships>
</file>

<file path=xl/drawings/_rels/drawing7.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hyperlink" Target="#Inicio!A1"/><Relationship Id="rId1" Type="http://schemas.openxmlformats.org/officeDocument/2006/relationships/image" Target="../media/image6.png"/><Relationship Id="rId4" Type="http://schemas.openxmlformats.org/officeDocument/2006/relationships/image" Target="../media/image15.png"/></Relationships>
</file>

<file path=xl/drawings/_rels/drawing8.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hyperlink" Target="#Inicio!A1"/><Relationship Id="rId1" Type="http://schemas.openxmlformats.org/officeDocument/2006/relationships/image" Target="../media/image7.png"/><Relationship Id="rId4" Type="http://schemas.openxmlformats.org/officeDocument/2006/relationships/image" Target="../media/image15.png"/></Relationships>
</file>

<file path=xl/drawings/_rels/drawing9.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hyperlink" Target="#Inicio!A1"/><Relationship Id="rId1" Type="http://schemas.openxmlformats.org/officeDocument/2006/relationships/image" Target="../media/image8.png"/><Relationship Id="rId4" Type="http://schemas.openxmlformats.org/officeDocument/2006/relationships/image" Target="../media/image15.png"/></Relationships>
</file>

<file path=xl/drawings/_rels/drawing10.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hyperlink" Target="#Inicio!A1"/><Relationship Id="rId1" Type="http://schemas.openxmlformats.org/officeDocument/2006/relationships/image" Target="../media/image9.png"/><Relationship Id="rId4" Type="http://schemas.openxmlformats.org/officeDocument/2006/relationships/image" Target="../media/image15.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hyperlink" Target="#Inicio!A1"/><Relationship Id="rId1" Type="http://schemas.openxmlformats.org/officeDocument/2006/relationships/image" Target="../media/image10.png"/><Relationship Id="rId4" Type="http://schemas.openxmlformats.org/officeDocument/2006/relationships/image" Target="../media/image15.png"/></Relationships>
</file>

<file path=xl/drawings/_rels/drawing12.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hyperlink" Target="#Inicio!A1"/><Relationship Id="rId1" Type="http://schemas.openxmlformats.org/officeDocument/2006/relationships/image" Target="../media/image11.png"/><Relationship Id="rId4" Type="http://schemas.openxmlformats.org/officeDocument/2006/relationships/image" Target="../media/image15.png"/></Relationships>
</file>

<file path=xl/drawings/_rels/drawing13.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8.png"/><Relationship Id="rId1" Type="http://schemas.openxmlformats.org/officeDocument/2006/relationships/hyperlink" Target="#Inicio!A1"/></Relationships>
</file>

<file path=xl/drawings/_rels/drawing14.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hyperlink" Target="#Inicio!A1"/><Relationship Id="rId1" Type="http://schemas.openxmlformats.org/officeDocument/2006/relationships/image" Target="../media/image13.png"/><Relationship Id="rId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xdr:col>
      <xdr:colOff>22860</xdr:colOff>
      <xdr:row>12</xdr:row>
      <xdr:rowOff>19050</xdr:rowOff>
    </xdr:from>
    <xdr:to>
      <xdr:col>2</xdr:col>
      <xdr:colOff>338438</xdr:colOff>
      <xdr:row>13</xdr:row>
      <xdr:rowOff>144425</xdr:rowOff>
    </xdr:to>
    <xdr:pic>
      <xdr:nvPicPr>
        <xdr:cNvPr id="8" name="Imagen 7">
          <a:hlinkClick xmlns:r="http://schemas.openxmlformats.org/officeDocument/2006/relationships" r:id="rId1"/>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2">
          <a:duotone>
            <a:schemeClr val="accent2">
              <a:shade val="45000"/>
              <a:satMod val="135000"/>
            </a:schemeClr>
            <a:prstClr val="white"/>
          </a:duotone>
        </a:blip>
        <a:stretch>
          <a:fillRect/>
        </a:stretch>
      </xdr:blipFill>
      <xdr:spPr>
        <a:xfrm>
          <a:off x="815340" y="2404110"/>
          <a:ext cx="1268078" cy="298730"/>
        </a:xfrm>
        <a:prstGeom prst="rect">
          <a:avLst/>
        </a:prstGeom>
        <a:noFill/>
      </xdr:spPr>
    </xdr:pic>
    <xdr:clientData/>
  </xdr:twoCellAnchor>
  <xdr:twoCellAnchor editAs="oneCell">
    <xdr:from>
      <xdr:col>3</xdr:col>
      <xdr:colOff>155802</xdr:colOff>
      <xdr:row>12</xdr:row>
      <xdr:rowOff>19050</xdr:rowOff>
    </xdr:from>
    <xdr:to>
      <xdr:col>5</xdr:col>
      <xdr:colOff>786958</xdr:colOff>
      <xdr:row>13</xdr:row>
      <xdr:rowOff>144425</xdr:rowOff>
    </xdr:to>
    <xdr:pic>
      <xdr:nvPicPr>
        <xdr:cNvPr id="10" name="Imagen 9">
          <a:hlinkClick xmlns:r="http://schemas.openxmlformats.org/officeDocument/2006/relationships" r:id="rId3"/>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4"/>
        <a:stretch>
          <a:fillRect/>
        </a:stretch>
      </xdr:blipFill>
      <xdr:spPr>
        <a:xfrm>
          <a:off x="2533242" y="2404110"/>
          <a:ext cx="2536156" cy="298730"/>
        </a:xfrm>
        <a:prstGeom prst="rect">
          <a:avLst/>
        </a:prstGeom>
      </xdr:spPr>
    </xdr:pic>
    <xdr:clientData/>
  </xdr:twoCellAnchor>
  <xdr:twoCellAnchor editAs="oneCell">
    <xdr:from>
      <xdr:col>6</xdr:col>
      <xdr:colOff>764342</xdr:colOff>
      <xdr:row>12</xdr:row>
      <xdr:rowOff>19050</xdr:rowOff>
    </xdr:from>
    <xdr:to>
      <xdr:col>8</xdr:col>
      <xdr:colOff>133516</xdr:colOff>
      <xdr:row>13</xdr:row>
      <xdr:rowOff>144425</xdr:rowOff>
    </xdr:to>
    <xdr:pic>
      <xdr:nvPicPr>
        <xdr:cNvPr id="12" name="Imagen 11">
          <a:hlinkClick xmlns:r="http://schemas.openxmlformats.org/officeDocument/2006/relationships" r:id="rId5"/>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6"/>
        <a:stretch>
          <a:fillRect/>
        </a:stretch>
      </xdr:blipFill>
      <xdr:spPr>
        <a:xfrm>
          <a:off x="5519222" y="2404110"/>
          <a:ext cx="1274174" cy="298730"/>
        </a:xfrm>
        <a:prstGeom prst="rect">
          <a:avLst/>
        </a:prstGeom>
      </xdr:spPr>
    </xdr:pic>
    <xdr:clientData/>
  </xdr:twoCellAnchor>
  <xdr:twoCellAnchor editAs="oneCell">
    <xdr:from>
      <xdr:col>9</xdr:col>
      <xdr:colOff>110900</xdr:colOff>
      <xdr:row>12</xdr:row>
      <xdr:rowOff>19050</xdr:rowOff>
    </xdr:from>
    <xdr:to>
      <xdr:col>10</xdr:col>
      <xdr:colOff>426478</xdr:colOff>
      <xdr:row>13</xdr:row>
      <xdr:rowOff>144425</xdr:rowOff>
    </xdr:to>
    <xdr:pic>
      <xdr:nvPicPr>
        <xdr:cNvPr id="14" name="Imagen 13">
          <a:hlinkClick xmlns:r="http://schemas.openxmlformats.org/officeDocument/2006/relationships" r:id="rId7"/>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8">
          <a:extLst>
            <a:ext uri="{BEBA8EAE-BF5A-486C-A8C5-ECC9F3942E4B}">
              <a14:imgProps xmlns:a14="http://schemas.microsoft.com/office/drawing/2010/main">
                <a14:imgLayer r:embed="rId9">
                  <a14:imgEffect>
                    <a14:saturation sat="0"/>
                  </a14:imgEffect>
                </a14:imgLayer>
              </a14:imgProps>
            </a:ext>
          </a:extLst>
        </a:blip>
        <a:stretch>
          <a:fillRect/>
        </a:stretch>
      </xdr:blipFill>
      <xdr:spPr>
        <a:xfrm>
          <a:off x="7243220" y="2404110"/>
          <a:ext cx="1268078" cy="298730"/>
        </a:xfrm>
        <a:prstGeom prst="rect">
          <a:avLst/>
        </a:prstGeom>
      </xdr:spPr>
    </xdr:pic>
    <xdr:clientData/>
  </xdr:twoCellAnchor>
  <xdr:twoCellAnchor editAs="oneCell">
    <xdr:from>
      <xdr:col>11</xdr:col>
      <xdr:colOff>243840</xdr:colOff>
      <xdr:row>12</xdr:row>
      <xdr:rowOff>19050</xdr:rowOff>
    </xdr:from>
    <xdr:to>
      <xdr:col>12</xdr:col>
      <xdr:colOff>565514</xdr:colOff>
      <xdr:row>13</xdr:row>
      <xdr:rowOff>144425</xdr:rowOff>
    </xdr:to>
    <xdr:pic>
      <xdr:nvPicPr>
        <xdr:cNvPr id="25" name="Imagen 24">
          <a:hlinkClick xmlns:r="http://schemas.openxmlformats.org/officeDocument/2006/relationships" r:id="rId10"/>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1">
          <a:duotone>
            <a:prstClr val="black"/>
            <a:schemeClr val="accent2">
              <a:lumMod val="20000"/>
              <a:lumOff val="80000"/>
              <a:tint val="45000"/>
              <a:satMod val="400000"/>
            </a:schemeClr>
          </a:duotone>
        </a:blip>
        <a:stretch>
          <a:fillRect/>
        </a:stretch>
      </xdr:blipFill>
      <xdr:spPr>
        <a:xfrm>
          <a:off x="8961120" y="2404110"/>
          <a:ext cx="1274174" cy="298730"/>
        </a:xfrm>
        <a:prstGeom prst="rect">
          <a:avLst/>
        </a:prstGeom>
      </xdr:spPr>
    </xdr:pic>
    <xdr:clientData/>
  </xdr:twoCellAnchor>
  <xdr:twoCellAnchor editAs="oneCell">
    <xdr:from>
      <xdr:col>1</xdr:col>
      <xdr:colOff>22860</xdr:colOff>
      <xdr:row>16</xdr:row>
      <xdr:rowOff>76200</xdr:rowOff>
    </xdr:from>
    <xdr:to>
      <xdr:col>3</xdr:col>
      <xdr:colOff>56556</xdr:colOff>
      <xdr:row>20</xdr:row>
      <xdr:rowOff>102170</xdr:rowOff>
    </xdr:to>
    <xdr:pic>
      <xdr:nvPicPr>
        <xdr:cNvPr id="33" name="Imagen 32">
          <a:hlinkClick xmlns:r="http://schemas.openxmlformats.org/officeDocument/2006/relationships" r:id="rId12"/>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3"/>
        <a:stretch>
          <a:fillRect/>
        </a:stretch>
      </xdr:blipFill>
      <xdr:spPr>
        <a:xfrm>
          <a:off x="815340" y="3337560"/>
          <a:ext cx="1938696" cy="719390"/>
        </a:xfrm>
        <a:prstGeom prst="rect">
          <a:avLst/>
        </a:prstGeom>
      </xdr:spPr>
    </xdr:pic>
    <xdr:clientData/>
  </xdr:twoCellAnchor>
  <xdr:twoCellAnchor editAs="oneCell">
    <xdr:from>
      <xdr:col>4</xdr:col>
      <xdr:colOff>133076</xdr:colOff>
      <xdr:row>16</xdr:row>
      <xdr:rowOff>76200</xdr:rowOff>
    </xdr:from>
    <xdr:to>
      <xdr:col>6</xdr:col>
      <xdr:colOff>172869</xdr:colOff>
      <xdr:row>20</xdr:row>
      <xdr:rowOff>102170</xdr:rowOff>
    </xdr:to>
    <xdr:pic>
      <xdr:nvPicPr>
        <xdr:cNvPr id="34" name="Imagen 33">
          <a:hlinkClick xmlns:r="http://schemas.openxmlformats.org/officeDocument/2006/relationships" r:id="rId14"/>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5"/>
        <a:stretch>
          <a:fillRect/>
        </a:stretch>
      </xdr:blipFill>
      <xdr:spPr>
        <a:xfrm>
          <a:off x="3302996" y="3337560"/>
          <a:ext cx="1944793" cy="719390"/>
        </a:xfrm>
        <a:prstGeom prst="rect">
          <a:avLst/>
        </a:prstGeom>
      </xdr:spPr>
    </xdr:pic>
    <xdr:clientData/>
  </xdr:twoCellAnchor>
  <xdr:twoCellAnchor editAs="oneCell">
    <xdr:from>
      <xdr:col>7</xdr:col>
      <xdr:colOff>249389</xdr:colOff>
      <xdr:row>16</xdr:row>
      <xdr:rowOff>76200</xdr:rowOff>
    </xdr:from>
    <xdr:to>
      <xdr:col>9</xdr:col>
      <xdr:colOff>289182</xdr:colOff>
      <xdr:row>20</xdr:row>
      <xdr:rowOff>102170</xdr:rowOff>
    </xdr:to>
    <xdr:pic>
      <xdr:nvPicPr>
        <xdr:cNvPr id="35" name="Imagen 34">
          <a:hlinkClick xmlns:r="http://schemas.openxmlformats.org/officeDocument/2006/relationships" r:id="rId16"/>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7">
          <a:duotone>
            <a:schemeClr val="accent2">
              <a:shade val="45000"/>
              <a:satMod val="135000"/>
            </a:schemeClr>
            <a:prstClr val="white"/>
          </a:duotone>
        </a:blip>
        <a:stretch>
          <a:fillRect/>
        </a:stretch>
      </xdr:blipFill>
      <xdr:spPr>
        <a:xfrm>
          <a:off x="5796749" y="3337560"/>
          <a:ext cx="1944793" cy="719390"/>
        </a:xfrm>
        <a:prstGeom prst="rect">
          <a:avLst/>
        </a:prstGeom>
      </xdr:spPr>
    </xdr:pic>
    <xdr:clientData/>
  </xdr:twoCellAnchor>
  <xdr:twoCellAnchor editAs="oneCell">
    <xdr:from>
      <xdr:col>10</xdr:col>
      <xdr:colOff>365701</xdr:colOff>
      <xdr:row>16</xdr:row>
      <xdr:rowOff>76200</xdr:rowOff>
    </xdr:from>
    <xdr:to>
      <xdr:col>12</xdr:col>
      <xdr:colOff>405494</xdr:colOff>
      <xdr:row>20</xdr:row>
      <xdr:rowOff>102170</xdr:rowOff>
    </xdr:to>
    <xdr:pic>
      <xdr:nvPicPr>
        <xdr:cNvPr id="36" name="Imagen 35">
          <a:hlinkClick xmlns:r="http://schemas.openxmlformats.org/officeDocument/2006/relationships" r:id="rId18"/>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9">
          <a:duotone>
            <a:schemeClr val="accent2">
              <a:shade val="45000"/>
              <a:satMod val="135000"/>
            </a:schemeClr>
            <a:prstClr val="white"/>
          </a:duotone>
        </a:blip>
        <a:stretch>
          <a:fillRect/>
        </a:stretch>
      </xdr:blipFill>
      <xdr:spPr>
        <a:xfrm>
          <a:off x="8290501" y="3337560"/>
          <a:ext cx="1944793" cy="719390"/>
        </a:xfrm>
        <a:prstGeom prst="rect">
          <a:avLst/>
        </a:prstGeom>
      </xdr:spPr>
    </xdr:pic>
    <xdr:clientData/>
  </xdr:twoCellAnchor>
  <xdr:twoCellAnchor editAs="oneCell">
    <xdr:from>
      <xdr:col>1</xdr:col>
      <xdr:colOff>22860</xdr:colOff>
      <xdr:row>22</xdr:row>
      <xdr:rowOff>110490</xdr:rowOff>
    </xdr:from>
    <xdr:to>
      <xdr:col>3</xdr:col>
      <xdr:colOff>74846</xdr:colOff>
      <xdr:row>26</xdr:row>
      <xdr:rowOff>154750</xdr:rowOff>
    </xdr:to>
    <xdr:pic>
      <xdr:nvPicPr>
        <xdr:cNvPr id="37" name="Imagen 36">
          <a:hlinkClick xmlns:r="http://schemas.openxmlformats.org/officeDocument/2006/relationships" r:id="rId20"/>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21"/>
        <a:stretch>
          <a:fillRect/>
        </a:stretch>
      </xdr:blipFill>
      <xdr:spPr>
        <a:xfrm>
          <a:off x="815340" y="4735830"/>
          <a:ext cx="1956986" cy="737680"/>
        </a:xfrm>
        <a:prstGeom prst="rect">
          <a:avLst/>
        </a:prstGeom>
      </xdr:spPr>
    </xdr:pic>
    <xdr:clientData/>
  </xdr:twoCellAnchor>
  <xdr:twoCellAnchor editAs="oneCell">
    <xdr:from>
      <xdr:col>4</xdr:col>
      <xdr:colOff>114787</xdr:colOff>
      <xdr:row>22</xdr:row>
      <xdr:rowOff>104394</xdr:rowOff>
    </xdr:from>
    <xdr:to>
      <xdr:col>6</xdr:col>
      <xdr:colOff>185062</xdr:colOff>
      <xdr:row>26</xdr:row>
      <xdr:rowOff>160847</xdr:rowOff>
    </xdr:to>
    <xdr:pic>
      <xdr:nvPicPr>
        <xdr:cNvPr id="38" name="Imagen 37">
          <a:hlinkClick xmlns:r="http://schemas.openxmlformats.org/officeDocument/2006/relationships" r:id="rId22"/>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23"/>
        <a:stretch>
          <a:fillRect/>
        </a:stretch>
      </xdr:blipFill>
      <xdr:spPr>
        <a:xfrm>
          <a:off x="3284707" y="4729734"/>
          <a:ext cx="1975275" cy="749873"/>
        </a:xfrm>
        <a:prstGeom prst="rect">
          <a:avLst/>
        </a:prstGeom>
      </xdr:spPr>
    </xdr:pic>
    <xdr:clientData/>
  </xdr:twoCellAnchor>
  <xdr:twoCellAnchor editAs="oneCell">
    <xdr:from>
      <xdr:col>7</xdr:col>
      <xdr:colOff>225003</xdr:colOff>
      <xdr:row>22</xdr:row>
      <xdr:rowOff>104394</xdr:rowOff>
    </xdr:from>
    <xdr:to>
      <xdr:col>9</xdr:col>
      <xdr:colOff>295278</xdr:colOff>
      <xdr:row>26</xdr:row>
      <xdr:rowOff>160847</xdr:rowOff>
    </xdr:to>
    <xdr:pic>
      <xdr:nvPicPr>
        <xdr:cNvPr id="39" name="Imagen 38">
          <a:hlinkClick xmlns:r="http://schemas.openxmlformats.org/officeDocument/2006/relationships" r:id="rId24"/>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25">
          <a:duotone>
            <a:schemeClr val="accent2">
              <a:shade val="45000"/>
              <a:satMod val="135000"/>
            </a:schemeClr>
            <a:prstClr val="white"/>
          </a:duotone>
        </a:blip>
        <a:stretch>
          <a:fillRect/>
        </a:stretch>
      </xdr:blipFill>
      <xdr:spPr>
        <a:xfrm>
          <a:off x="5772363" y="4729734"/>
          <a:ext cx="1975275" cy="749873"/>
        </a:xfrm>
        <a:prstGeom prst="rect">
          <a:avLst/>
        </a:prstGeom>
      </xdr:spPr>
    </xdr:pic>
    <xdr:clientData/>
  </xdr:twoCellAnchor>
  <xdr:twoCellAnchor editAs="oneCell">
    <xdr:from>
      <xdr:col>10</xdr:col>
      <xdr:colOff>335219</xdr:colOff>
      <xdr:row>22</xdr:row>
      <xdr:rowOff>104394</xdr:rowOff>
    </xdr:from>
    <xdr:to>
      <xdr:col>12</xdr:col>
      <xdr:colOff>405494</xdr:colOff>
      <xdr:row>26</xdr:row>
      <xdr:rowOff>160847</xdr:rowOff>
    </xdr:to>
    <xdr:pic>
      <xdr:nvPicPr>
        <xdr:cNvPr id="40" name="Imagen 39">
          <a:hlinkClick xmlns:r="http://schemas.openxmlformats.org/officeDocument/2006/relationships" r:id="rId26"/>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27">
          <a:duotone>
            <a:schemeClr val="accent2">
              <a:shade val="45000"/>
              <a:satMod val="135000"/>
            </a:schemeClr>
            <a:prstClr val="white"/>
          </a:duotone>
        </a:blip>
        <a:stretch>
          <a:fillRect/>
        </a:stretch>
      </xdr:blipFill>
      <xdr:spPr>
        <a:xfrm>
          <a:off x="8260019" y="4729734"/>
          <a:ext cx="1975275" cy="749873"/>
        </a:xfrm>
        <a:prstGeom prst="rect">
          <a:avLst/>
        </a:prstGeom>
      </xdr:spPr>
    </xdr:pic>
    <xdr:clientData/>
  </xdr:twoCellAnchor>
  <xdr:twoCellAnchor>
    <xdr:from>
      <xdr:col>1</xdr:col>
      <xdr:colOff>3810</xdr:colOff>
      <xdr:row>1</xdr:row>
      <xdr:rowOff>601980</xdr:rowOff>
    </xdr:from>
    <xdr:to>
      <xdr:col>13</xdr:col>
      <xdr:colOff>22860</xdr:colOff>
      <xdr:row>4</xdr:row>
      <xdr:rowOff>60960</xdr:rowOff>
    </xdr:to>
    <xdr:sp macro="" textlink="">
      <xdr:nvSpPr>
        <xdr:cNvPr id="2" name="2 CuadroTexto">
          <a:extLst>
            <a:ext uri="{FF2B5EF4-FFF2-40B4-BE49-F238E27FC236}">
              <a16:creationId xmlns:a16="http://schemas.microsoft.com/office/drawing/2014/main" id="{00000000-0008-0000-0000-000002000000}"/>
            </a:ext>
          </a:extLst>
        </xdr:cNvPr>
        <xdr:cNvSpPr txBox="1"/>
      </xdr:nvSpPr>
      <xdr:spPr>
        <a:xfrm>
          <a:off x="794385" y="1725930"/>
          <a:ext cx="11449050" cy="478155"/>
        </a:xfrm>
        <a:prstGeom prst="rect">
          <a:avLst/>
        </a:prstGeom>
        <a:solidFill>
          <a:srgbClr val="FFCC99"/>
        </a:solidFill>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ctr"/>
        <a:lstStyle/>
        <a:p>
          <a:pPr algn="ctr"/>
          <a:r>
            <a:rPr lang="es-ES" sz="2400" b="1">
              <a:latin typeface="Cambria" panose="02040503050406030204" pitchFamily="18" charset="0"/>
            </a:rPr>
            <a:t>Registro Retributivo  2024</a:t>
          </a:r>
        </a:p>
      </xdr:txBody>
    </xdr:sp>
    <xdr:clientData/>
  </xdr:twoCellAnchor>
  <xdr:twoCellAnchor editAs="oneCell">
    <xdr:from>
      <xdr:col>4</xdr:col>
      <xdr:colOff>609600</xdr:colOff>
      <xdr:row>33</xdr:row>
      <xdr:rowOff>12700</xdr:rowOff>
    </xdr:from>
    <xdr:to>
      <xdr:col>9</xdr:col>
      <xdr:colOff>632531</xdr:colOff>
      <xdr:row>38</xdr:row>
      <xdr:rowOff>10686</xdr:rowOff>
    </xdr:to>
    <xdr:pic>
      <xdr:nvPicPr>
        <xdr:cNvPr id="5" name="Imagen 4">
          <a:extLst>
            <a:ext uri="{FF2B5EF4-FFF2-40B4-BE49-F238E27FC236}">
              <a16:creationId xmlns:a16="http://schemas.microsoft.com/office/drawing/2014/main" id="{93EF707A-F94A-C944-870B-55A0C7F66733}"/>
            </a:ext>
          </a:extLst>
        </xdr:cNvPr>
        <xdr:cNvPicPr>
          <a:picLocks noChangeAspect="1"/>
        </xdr:cNvPicPr>
      </xdr:nvPicPr>
      <xdr:blipFill rotWithShape="1">
        <a:blip xmlns:r="http://schemas.openxmlformats.org/officeDocument/2006/relationships" r:embed="rId28"/>
        <a:srcRect r="361"/>
        <a:stretch/>
      </xdr:blipFill>
      <xdr:spPr>
        <a:xfrm>
          <a:off x="4648200" y="7277100"/>
          <a:ext cx="5293431" cy="886986"/>
        </a:xfrm>
        <a:prstGeom prst="rect">
          <a:avLst/>
        </a:prstGeom>
      </xdr:spPr>
    </xdr:pic>
    <xdr:clientData/>
  </xdr:twoCellAnchor>
  <xdr:twoCellAnchor editAs="oneCell">
    <xdr:from>
      <xdr:col>0</xdr:col>
      <xdr:colOff>825500</xdr:colOff>
      <xdr:row>0</xdr:row>
      <xdr:rowOff>698500</xdr:rowOff>
    </xdr:from>
    <xdr:to>
      <xdr:col>3</xdr:col>
      <xdr:colOff>1041</xdr:colOff>
      <xdr:row>1</xdr:row>
      <xdr:rowOff>364374</xdr:rowOff>
    </xdr:to>
    <xdr:pic>
      <xdr:nvPicPr>
        <xdr:cNvPr id="7" name="Imagen 6">
          <a:extLst>
            <a:ext uri="{FF2B5EF4-FFF2-40B4-BE49-F238E27FC236}">
              <a16:creationId xmlns:a16="http://schemas.microsoft.com/office/drawing/2014/main" id="{9EB7DAD9-77DD-2342-A024-221AFF80EC3F}"/>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825500" y="698500"/>
          <a:ext cx="2077491" cy="796174"/>
        </a:xfrm>
        <a:prstGeom prst="rect">
          <a:avLst/>
        </a:prstGeom>
      </xdr:spPr>
    </xdr:pic>
    <xdr:clientData/>
  </xdr:twoCellAnchor>
  <xdr:twoCellAnchor editAs="oneCell">
    <xdr:from>
      <xdr:col>10</xdr:col>
      <xdr:colOff>673100</xdr:colOff>
      <xdr:row>0</xdr:row>
      <xdr:rowOff>152400</xdr:rowOff>
    </xdr:from>
    <xdr:to>
      <xdr:col>13</xdr:col>
      <xdr:colOff>531586</xdr:colOff>
      <xdr:row>1</xdr:row>
      <xdr:rowOff>546100</xdr:rowOff>
    </xdr:to>
    <xdr:pic>
      <xdr:nvPicPr>
        <xdr:cNvPr id="3" name="Imagen 2" descr="Logotipo, nombre de la empresa&#10;&#10;Descripción generada automáticamente">
          <a:extLst>
            <a:ext uri="{FF2B5EF4-FFF2-40B4-BE49-F238E27FC236}">
              <a16:creationId xmlns:a16="http://schemas.microsoft.com/office/drawing/2014/main" id="{FD073AD1-0985-264D-84A4-8947F34501DC}"/>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11036300" y="152400"/>
          <a:ext cx="3020786" cy="152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411480</xdr:colOff>
      <xdr:row>53</xdr:row>
      <xdr:rowOff>0</xdr:rowOff>
    </xdr:from>
    <xdr:to>
      <xdr:col>2</xdr:col>
      <xdr:colOff>108251</xdr:colOff>
      <xdr:row>61</xdr:row>
      <xdr:rowOff>3288</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duotone>
            <a:schemeClr val="accent2">
              <a:shade val="45000"/>
              <a:satMod val="135000"/>
            </a:schemeClr>
            <a:prstClr val="white"/>
          </a:duotone>
        </a:blip>
        <a:stretch>
          <a:fillRect/>
        </a:stretch>
      </xdr:blipFill>
      <xdr:spPr>
        <a:xfrm>
          <a:off x="411480" y="37170360"/>
          <a:ext cx="542591" cy="2761727"/>
        </a:xfrm>
        <a:prstGeom prst="rect">
          <a:avLst/>
        </a:prstGeom>
      </xdr:spPr>
    </xdr:pic>
    <xdr:clientData/>
  </xdr:twoCellAnchor>
  <xdr:twoCellAnchor editAs="oneCell">
    <xdr:from>
      <xdr:col>0</xdr:col>
      <xdr:colOff>0</xdr:colOff>
      <xdr:row>0</xdr:row>
      <xdr:rowOff>0</xdr:rowOff>
    </xdr:from>
    <xdr:to>
      <xdr:col>0</xdr:col>
      <xdr:colOff>485775</xdr:colOff>
      <xdr:row>1</xdr:row>
      <xdr:rowOff>173240</xdr:rowOff>
    </xdr:to>
    <xdr:pic>
      <xdr:nvPicPr>
        <xdr:cNvPr id="8" name="Imagen 7">
          <a:hlinkClick xmlns:r="http://schemas.openxmlformats.org/officeDocument/2006/relationships" r:id="rId2"/>
          <a:extLst>
            <a:ext uri="{FF2B5EF4-FFF2-40B4-BE49-F238E27FC236}">
              <a16:creationId xmlns:a16="http://schemas.microsoft.com/office/drawing/2014/main" id="{00000000-0008-0000-0100-000008000000}"/>
            </a:ext>
          </a:extLst>
        </xdr:cNvPr>
        <xdr:cNvPicPr>
          <a:picLocks noChangeAspect="1"/>
        </xdr:cNvPicPr>
      </xdr:nvPicPr>
      <xdr:blipFill rotWithShape="1">
        <a:blip xmlns:r="http://schemas.openxmlformats.org/officeDocument/2006/relationships" r:embed="rId3" cstate="screen">
          <a:duotone>
            <a:schemeClr val="accent2">
              <a:shade val="45000"/>
              <a:satMod val="135000"/>
            </a:schemeClr>
            <a:prstClr val="white"/>
          </a:duotone>
          <a:extLst>
            <a:ext uri="{28A0092B-C50C-407E-A947-70E740481C1C}">
              <a14:useLocalDpi xmlns:a14="http://schemas.microsoft.com/office/drawing/2010/main"/>
            </a:ext>
          </a:extLst>
        </a:blip>
        <a:srcRect l="5795" r="7280" b="19483"/>
        <a:stretch/>
      </xdr:blipFill>
      <xdr:spPr>
        <a:xfrm>
          <a:off x="0" y="0"/>
          <a:ext cx="485775" cy="3465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502920</xdr:colOff>
      <xdr:row>8</xdr:row>
      <xdr:rowOff>7620</xdr:rowOff>
    </xdr:from>
    <xdr:to>
      <xdr:col>4</xdr:col>
      <xdr:colOff>510540</xdr:colOff>
      <xdr:row>9</xdr:row>
      <xdr:rowOff>160020</xdr:rowOff>
    </xdr:to>
    <xdr:cxnSp macro="">
      <xdr:nvCxnSpPr>
        <xdr:cNvPr id="3" name="Conector recto de flecha 2">
          <a:extLst>
            <a:ext uri="{FF2B5EF4-FFF2-40B4-BE49-F238E27FC236}">
              <a16:creationId xmlns:a16="http://schemas.microsoft.com/office/drawing/2014/main" id="{00000000-0008-0000-0200-000003000000}"/>
            </a:ext>
          </a:extLst>
        </xdr:cNvPr>
        <xdr:cNvCxnSpPr/>
      </xdr:nvCxnSpPr>
      <xdr:spPr>
        <a:xfrm>
          <a:off x="7444740" y="1470660"/>
          <a:ext cx="7620" cy="335280"/>
        </a:xfrm>
        <a:prstGeom prst="straightConnector1">
          <a:avLst/>
        </a:prstGeom>
        <a:ln>
          <a:tailEnd type="triangle"/>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5</xdr:col>
      <xdr:colOff>685800</xdr:colOff>
      <xdr:row>9</xdr:row>
      <xdr:rowOff>15240</xdr:rowOff>
    </xdr:from>
    <xdr:to>
      <xdr:col>6</xdr:col>
      <xdr:colOff>190500</xdr:colOff>
      <xdr:row>9</xdr:row>
      <xdr:rowOff>160020</xdr:rowOff>
    </xdr:to>
    <xdr:cxnSp macro="">
      <xdr:nvCxnSpPr>
        <xdr:cNvPr id="4" name="Conector recto de flecha 3">
          <a:extLst>
            <a:ext uri="{FF2B5EF4-FFF2-40B4-BE49-F238E27FC236}">
              <a16:creationId xmlns:a16="http://schemas.microsoft.com/office/drawing/2014/main" id="{00000000-0008-0000-0200-000004000000}"/>
            </a:ext>
          </a:extLst>
        </xdr:cNvPr>
        <xdr:cNvCxnSpPr/>
      </xdr:nvCxnSpPr>
      <xdr:spPr>
        <a:xfrm flipH="1">
          <a:off x="8823960" y="1661160"/>
          <a:ext cx="838200" cy="144780"/>
        </a:xfrm>
        <a:prstGeom prst="straightConnector1">
          <a:avLst/>
        </a:prstGeom>
        <a:ln>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editAs="oneCell">
    <xdr:from>
      <xdr:col>0</xdr:col>
      <xdr:colOff>38100</xdr:colOff>
      <xdr:row>0</xdr:row>
      <xdr:rowOff>42334</xdr:rowOff>
    </xdr:from>
    <xdr:to>
      <xdr:col>0</xdr:col>
      <xdr:colOff>523875</xdr:colOff>
      <xdr:row>2</xdr:row>
      <xdr:rowOff>38524</xdr:rowOff>
    </xdr:to>
    <xdr:pic>
      <xdr:nvPicPr>
        <xdr:cNvPr id="9" name="Imagen 8">
          <a:hlinkClick xmlns:r="http://schemas.openxmlformats.org/officeDocument/2006/relationships" r:id="rId1"/>
          <a:extLst>
            <a:ext uri="{FF2B5EF4-FFF2-40B4-BE49-F238E27FC236}">
              <a16:creationId xmlns:a16="http://schemas.microsoft.com/office/drawing/2014/main" id="{00000000-0008-0000-0200-000009000000}"/>
            </a:ext>
          </a:extLst>
        </xdr:cNvPr>
        <xdr:cNvPicPr>
          <a:picLocks noChangeAspect="1"/>
        </xdr:cNvPicPr>
      </xdr:nvPicPr>
      <xdr:blipFill rotWithShape="1">
        <a:blip xmlns:r="http://schemas.openxmlformats.org/officeDocument/2006/relationships" r:embed="rId2" cstate="screen">
          <a:duotone>
            <a:schemeClr val="accent2">
              <a:shade val="45000"/>
              <a:satMod val="135000"/>
            </a:schemeClr>
            <a:prstClr val="white"/>
          </a:duotone>
          <a:extLst>
            <a:ext uri="{28A0092B-C50C-407E-A947-70E740481C1C}">
              <a14:useLocalDpi xmlns:a14="http://schemas.microsoft.com/office/drawing/2010/main"/>
            </a:ext>
          </a:extLst>
        </a:blip>
        <a:srcRect l="5795" r="7280" b="19483"/>
        <a:stretch/>
      </xdr:blipFill>
      <xdr:spPr>
        <a:xfrm>
          <a:off x="38100" y="42334"/>
          <a:ext cx="485775" cy="345440"/>
        </a:xfrm>
        <a:prstGeom prst="rect">
          <a:avLst/>
        </a:prstGeom>
      </xdr:spPr>
    </xdr:pic>
    <xdr:clientData/>
  </xdr:twoCellAnchor>
  <xdr:twoCellAnchor editAs="oneCell">
    <xdr:from>
      <xdr:col>0</xdr:col>
      <xdr:colOff>499894</xdr:colOff>
      <xdr:row>3</xdr:row>
      <xdr:rowOff>67553</xdr:rowOff>
    </xdr:from>
    <xdr:to>
      <xdr:col>2</xdr:col>
      <xdr:colOff>1373994</xdr:colOff>
      <xdr:row>9</xdr:row>
      <xdr:rowOff>49399</xdr:rowOff>
    </xdr:to>
    <xdr:pic>
      <xdr:nvPicPr>
        <xdr:cNvPr id="2" name="Imagen 1">
          <a:extLst>
            <a:ext uri="{FF2B5EF4-FFF2-40B4-BE49-F238E27FC236}">
              <a16:creationId xmlns:a16="http://schemas.microsoft.com/office/drawing/2014/main" id="{82441CBA-CD0E-6A4F-8796-AFFED6133B0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99894" y="594468"/>
          <a:ext cx="2562930" cy="104918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100</xdr:col>
      <xdr:colOff>104774</xdr:colOff>
      <xdr:row>5</xdr:row>
      <xdr:rowOff>118110</xdr:rowOff>
    </xdr:from>
    <xdr:to>
      <xdr:col>104</xdr:col>
      <xdr:colOff>647699</xdr:colOff>
      <xdr:row>6</xdr:row>
      <xdr:rowOff>80010</xdr:rowOff>
    </xdr:to>
    <xdr:sp macro="" textlink="">
      <xdr:nvSpPr>
        <xdr:cNvPr id="4" name="Rectángulo: esquinas redondeadas 3">
          <a:extLst>
            <a:ext uri="{FF2B5EF4-FFF2-40B4-BE49-F238E27FC236}">
              <a16:creationId xmlns:a16="http://schemas.microsoft.com/office/drawing/2014/main" id="{00000000-0008-0000-0300-000004000000}"/>
            </a:ext>
          </a:extLst>
        </xdr:cNvPr>
        <xdr:cNvSpPr/>
      </xdr:nvSpPr>
      <xdr:spPr>
        <a:xfrm>
          <a:off x="88544399" y="1372235"/>
          <a:ext cx="5495925" cy="327025"/>
        </a:xfrm>
        <a:prstGeom prst="roundRect">
          <a:avLst/>
        </a:prstGeom>
        <a:solidFill>
          <a:schemeClr val="accent2">
            <a:lumMod val="60000"/>
            <a:lumOff val="40000"/>
          </a:schemeClr>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ES" sz="1200" b="1" i="1"/>
            <a:t>IMPORTES EFECTIVOS </a:t>
          </a:r>
        </a:p>
      </xdr:txBody>
    </xdr:sp>
    <xdr:clientData/>
  </xdr:twoCellAnchor>
  <xdr:twoCellAnchor>
    <xdr:from>
      <xdr:col>95</xdr:col>
      <xdr:colOff>133349</xdr:colOff>
      <xdr:row>5</xdr:row>
      <xdr:rowOff>126365</xdr:rowOff>
    </xdr:from>
    <xdr:to>
      <xdr:col>99</xdr:col>
      <xdr:colOff>581024</xdr:colOff>
      <xdr:row>6</xdr:row>
      <xdr:rowOff>80010</xdr:rowOff>
    </xdr:to>
    <xdr:sp macro="" textlink="">
      <xdr:nvSpPr>
        <xdr:cNvPr id="5" name="Rectángulo: esquinas redondeadas 4">
          <a:extLst>
            <a:ext uri="{FF2B5EF4-FFF2-40B4-BE49-F238E27FC236}">
              <a16:creationId xmlns:a16="http://schemas.microsoft.com/office/drawing/2014/main" id="{00000000-0008-0000-0300-000005000000}"/>
            </a:ext>
          </a:extLst>
        </xdr:cNvPr>
        <xdr:cNvSpPr/>
      </xdr:nvSpPr>
      <xdr:spPr>
        <a:xfrm>
          <a:off x="82032474" y="1380490"/>
          <a:ext cx="5575300" cy="318770"/>
        </a:xfrm>
        <a:prstGeom prst="roundRect">
          <a:avLst/>
        </a:prstGeom>
        <a:solidFill>
          <a:schemeClr val="accent2">
            <a:lumMod val="40000"/>
            <a:lumOff val="60000"/>
          </a:schemeClr>
        </a:solidFill>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es-ES" sz="1200" b="1" i="0"/>
            <a:t>IMPORTES EQUIPARADOS </a:t>
          </a:r>
        </a:p>
      </xdr:txBody>
    </xdr:sp>
    <xdr:clientData/>
  </xdr:twoCellAnchor>
  <xdr:twoCellAnchor editAs="oneCell">
    <xdr:from>
      <xdr:col>1</xdr:col>
      <xdr:colOff>0</xdr:colOff>
      <xdr:row>0</xdr:row>
      <xdr:rowOff>0</xdr:rowOff>
    </xdr:from>
    <xdr:to>
      <xdr:col>2</xdr:col>
      <xdr:colOff>3880</xdr:colOff>
      <xdr:row>0</xdr:row>
      <xdr:rowOff>346595</xdr:rowOff>
    </xdr:to>
    <xdr:pic>
      <xdr:nvPicPr>
        <xdr:cNvPr id="6" name="Imagen 5">
          <a:hlinkClick xmlns:r="http://schemas.openxmlformats.org/officeDocument/2006/relationships" r:id="rId1"/>
          <a:extLst>
            <a:ext uri="{FF2B5EF4-FFF2-40B4-BE49-F238E27FC236}">
              <a16:creationId xmlns:a16="http://schemas.microsoft.com/office/drawing/2014/main" id="{00000000-0008-0000-0300-000006000000}"/>
            </a:ext>
          </a:extLst>
        </xdr:cNvPr>
        <xdr:cNvPicPr>
          <a:picLocks noChangeAspect="1"/>
        </xdr:cNvPicPr>
      </xdr:nvPicPr>
      <xdr:blipFill rotWithShape="1">
        <a:blip xmlns:r="http://schemas.openxmlformats.org/officeDocument/2006/relationships" r:embed="rId2" cstate="screen">
          <a:duotone>
            <a:schemeClr val="accent2">
              <a:shade val="45000"/>
              <a:satMod val="135000"/>
            </a:schemeClr>
            <a:prstClr val="white"/>
          </a:duotone>
          <a:extLst>
            <a:ext uri="{28A0092B-C50C-407E-A947-70E740481C1C}">
              <a14:useLocalDpi xmlns:a14="http://schemas.microsoft.com/office/drawing/2010/main"/>
            </a:ext>
          </a:extLst>
        </a:blip>
        <a:srcRect l="5795" r="7280" b="19483"/>
        <a:stretch/>
      </xdr:blipFill>
      <xdr:spPr>
        <a:xfrm>
          <a:off x="523875" y="0"/>
          <a:ext cx="523875" cy="34659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98</xdr:row>
      <xdr:rowOff>0</xdr:rowOff>
    </xdr:from>
    <xdr:to>
      <xdr:col>0</xdr:col>
      <xdr:colOff>594360</xdr:colOff>
      <xdr:row>99</xdr:row>
      <xdr:rowOff>137160</xdr:rowOff>
    </xdr:to>
    <xdr:sp macro="" textlink="">
      <xdr:nvSpPr>
        <xdr:cNvPr id="5" name="Flecha: hacia arriba 4">
          <a:hlinkClick xmlns:r="http://schemas.openxmlformats.org/officeDocument/2006/relationships" r:id="rId1"/>
          <a:extLst>
            <a:ext uri="{FF2B5EF4-FFF2-40B4-BE49-F238E27FC236}">
              <a16:creationId xmlns:a16="http://schemas.microsoft.com/office/drawing/2014/main" id="{00000000-0008-0000-0400-000005000000}"/>
            </a:ext>
          </a:extLst>
        </xdr:cNvPr>
        <xdr:cNvSpPr/>
      </xdr:nvSpPr>
      <xdr:spPr>
        <a:xfrm>
          <a:off x="0" y="18463260"/>
          <a:ext cx="594360" cy="320040"/>
        </a:xfrm>
        <a:prstGeom prst="upArrow">
          <a:avLst>
            <a:gd name="adj1" fmla="val 80233"/>
            <a:gd name="adj2" fmla="val 50000"/>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es-ES" sz="800" b="1"/>
            <a:t>Arriba</a:t>
          </a:r>
          <a:endParaRPr lang="es-ES" sz="700" b="1"/>
        </a:p>
      </xdr:txBody>
    </xdr:sp>
    <xdr:clientData/>
  </xdr:twoCellAnchor>
  <xdr:twoCellAnchor editAs="oneCell">
    <xdr:from>
      <xdr:col>2</xdr:col>
      <xdr:colOff>76200</xdr:colOff>
      <xdr:row>2</xdr:row>
      <xdr:rowOff>38100</xdr:rowOff>
    </xdr:from>
    <xdr:to>
      <xdr:col>2</xdr:col>
      <xdr:colOff>2795863</xdr:colOff>
      <xdr:row>6</xdr:row>
      <xdr:rowOff>11107</xdr:rowOff>
    </xdr:to>
    <xdr:pic>
      <xdr:nvPicPr>
        <xdr:cNvPr id="2" name="Imagen 1">
          <a:hlinkClick xmlns:r="http://schemas.openxmlformats.org/officeDocument/2006/relationships" r:id="rId2"/>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3"/>
        <a:stretch>
          <a:fillRect/>
        </a:stretch>
      </xdr:blipFill>
      <xdr:spPr>
        <a:xfrm>
          <a:off x="1356360" y="495300"/>
          <a:ext cx="2444708" cy="664522"/>
        </a:xfrm>
        <a:prstGeom prst="rect">
          <a:avLst/>
        </a:prstGeom>
      </xdr:spPr>
    </xdr:pic>
    <xdr:clientData/>
  </xdr:twoCellAnchor>
  <xdr:twoCellAnchor editAs="oneCell">
    <xdr:from>
      <xdr:col>11</xdr:col>
      <xdr:colOff>220980</xdr:colOff>
      <xdr:row>2</xdr:row>
      <xdr:rowOff>91440</xdr:rowOff>
    </xdr:from>
    <xdr:to>
      <xdr:col>14</xdr:col>
      <xdr:colOff>314746</xdr:colOff>
      <xdr:row>6</xdr:row>
      <xdr:rowOff>56445</xdr:rowOff>
    </xdr:to>
    <xdr:pic>
      <xdr:nvPicPr>
        <xdr:cNvPr id="8" name="Imagen 7">
          <a:hlinkClick xmlns:r="http://schemas.openxmlformats.org/officeDocument/2006/relationships" r:id="rId4"/>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5"/>
        <a:stretch>
          <a:fillRect/>
        </a:stretch>
      </xdr:blipFill>
      <xdr:spPr>
        <a:xfrm>
          <a:off x="7795260" y="548640"/>
          <a:ext cx="3395766" cy="658425"/>
        </a:xfrm>
        <a:prstGeom prst="rect">
          <a:avLst/>
        </a:prstGeom>
      </xdr:spPr>
    </xdr:pic>
    <xdr:clientData/>
  </xdr:twoCellAnchor>
  <xdr:twoCellAnchor editAs="oneCell">
    <xdr:from>
      <xdr:col>0</xdr:col>
      <xdr:colOff>0</xdr:colOff>
      <xdr:row>0</xdr:row>
      <xdr:rowOff>0</xdr:rowOff>
    </xdr:from>
    <xdr:to>
      <xdr:col>0</xdr:col>
      <xdr:colOff>485775</xdr:colOff>
      <xdr:row>1</xdr:row>
      <xdr:rowOff>173240</xdr:rowOff>
    </xdr:to>
    <xdr:pic>
      <xdr:nvPicPr>
        <xdr:cNvPr id="6" name="Imagen 5">
          <a:hlinkClick xmlns:r="http://schemas.openxmlformats.org/officeDocument/2006/relationships" r:id="rId6"/>
          <a:extLst>
            <a:ext uri="{FF2B5EF4-FFF2-40B4-BE49-F238E27FC236}">
              <a16:creationId xmlns:a16="http://schemas.microsoft.com/office/drawing/2014/main" id="{00000000-0008-0000-0400-000006000000}"/>
            </a:ext>
          </a:extLst>
        </xdr:cNvPr>
        <xdr:cNvPicPr>
          <a:picLocks noChangeAspect="1"/>
        </xdr:cNvPicPr>
      </xdr:nvPicPr>
      <xdr:blipFill rotWithShape="1">
        <a:blip xmlns:r="http://schemas.openxmlformats.org/officeDocument/2006/relationships" r:embed="rId7" cstate="screen">
          <a:duotone>
            <a:schemeClr val="accent2">
              <a:shade val="45000"/>
              <a:satMod val="135000"/>
            </a:schemeClr>
            <a:prstClr val="white"/>
          </a:duotone>
          <a:extLst>
            <a:ext uri="{28A0092B-C50C-407E-A947-70E740481C1C}">
              <a14:useLocalDpi xmlns:a14="http://schemas.microsoft.com/office/drawing/2010/main"/>
            </a:ext>
          </a:extLst>
        </a:blip>
        <a:srcRect l="5795" r="7280" b="19483"/>
        <a:stretch/>
      </xdr:blipFill>
      <xdr:spPr>
        <a:xfrm>
          <a:off x="0" y="0"/>
          <a:ext cx="485775" cy="34659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485775</xdr:colOff>
      <xdr:row>2</xdr:row>
      <xdr:rowOff>4561</xdr:rowOff>
    </xdr:to>
    <xdr:pic>
      <xdr:nvPicPr>
        <xdr:cNvPr id="3" name="Imagen 2">
          <a:hlinkClick xmlns:r="http://schemas.openxmlformats.org/officeDocument/2006/relationships" r:id="rId1"/>
          <a:extLst>
            <a:ext uri="{FF2B5EF4-FFF2-40B4-BE49-F238E27FC236}">
              <a16:creationId xmlns:a16="http://schemas.microsoft.com/office/drawing/2014/main" id="{00000000-0008-0000-0500-000003000000}"/>
            </a:ext>
          </a:extLst>
        </xdr:cNvPr>
        <xdr:cNvPicPr>
          <a:picLocks noChangeAspect="1"/>
        </xdr:cNvPicPr>
      </xdr:nvPicPr>
      <xdr:blipFill rotWithShape="1">
        <a:blip xmlns:r="http://schemas.openxmlformats.org/officeDocument/2006/relationships" r:embed="rId2" cstate="screen">
          <a:duotone>
            <a:schemeClr val="accent2">
              <a:shade val="45000"/>
              <a:satMod val="135000"/>
            </a:schemeClr>
            <a:prstClr val="white"/>
          </a:duotone>
          <a:extLst>
            <a:ext uri="{28A0092B-C50C-407E-A947-70E740481C1C}">
              <a14:useLocalDpi xmlns:a14="http://schemas.microsoft.com/office/drawing/2010/main"/>
            </a:ext>
          </a:extLst>
        </a:blip>
        <a:srcRect l="5795" r="7280" b="19483"/>
        <a:stretch/>
      </xdr:blipFill>
      <xdr:spPr>
        <a:xfrm>
          <a:off x="0" y="0"/>
          <a:ext cx="485775" cy="34659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613961</xdr:colOff>
      <xdr:row>3</xdr:row>
      <xdr:rowOff>56515</xdr:rowOff>
    </xdr:from>
    <xdr:to>
      <xdr:col>3</xdr:col>
      <xdr:colOff>559295</xdr:colOff>
      <xdr:row>6</xdr:row>
      <xdr:rowOff>206375</xdr:rowOff>
    </xdr:to>
    <xdr:pic>
      <xdr:nvPicPr>
        <xdr:cNvPr id="6" name="Imagen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1"/>
        <a:stretch>
          <a:fillRect/>
        </a:stretch>
      </xdr:blipFill>
      <xdr:spPr>
        <a:xfrm>
          <a:off x="613961" y="770890"/>
          <a:ext cx="1992755" cy="673735"/>
        </a:xfrm>
        <a:prstGeom prst="rect">
          <a:avLst/>
        </a:prstGeom>
      </xdr:spPr>
    </xdr:pic>
    <xdr:clientData/>
  </xdr:twoCellAnchor>
  <xdr:twoCellAnchor editAs="oneCell">
    <xdr:from>
      <xdr:col>47</xdr:col>
      <xdr:colOff>9525</xdr:colOff>
      <xdr:row>0</xdr:row>
      <xdr:rowOff>152400</xdr:rowOff>
    </xdr:from>
    <xdr:to>
      <xdr:col>48</xdr:col>
      <xdr:colOff>0</xdr:colOff>
      <xdr:row>0</xdr:row>
      <xdr:rowOff>495185</xdr:rowOff>
    </xdr:to>
    <xdr:pic>
      <xdr:nvPicPr>
        <xdr:cNvPr id="8" name="Imagen 7">
          <a:hlinkClick xmlns:r="http://schemas.openxmlformats.org/officeDocument/2006/relationships" r:id="rId2"/>
          <a:extLst>
            <a:ext uri="{FF2B5EF4-FFF2-40B4-BE49-F238E27FC236}">
              <a16:creationId xmlns:a16="http://schemas.microsoft.com/office/drawing/2014/main" id="{00000000-0008-0000-0600-000008000000}"/>
            </a:ext>
          </a:extLst>
        </xdr:cNvPr>
        <xdr:cNvPicPr>
          <a:picLocks noChangeAspect="1"/>
        </xdr:cNvPicPr>
      </xdr:nvPicPr>
      <xdr:blipFill rotWithShape="1">
        <a:blip xmlns:r="http://schemas.openxmlformats.org/officeDocument/2006/relationships" r:embed="rId3" cstate="screen">
          <a:duotone>
            <a:schemeClr val="accent2">
              <a:shade val="45000"/>
              <a:satMod val="135000"/>
            </a:schemeClr>
            <a:prstClr val="white"/>
          </a:duotone>
          <a:extLst>
            <a:ext uri="{28A0092B-C50C-407E-A947-70E740481C1C}">
              <a14:useLocalDpi xmlns:a14="http://schemas.microsoft.com/office/drawing/2010/main"/>
            </a:ext>
          </a:extLst>
        </a:blip>
        <a:srcRect l="5795" r="7280" b="19483"/>
        <a:stretch/>
      </xdr:blipFill>
      <xdr:spPr>
        <a:xfrm>
          <a:off x="12601575" y="152400"/>
          <a:ext cx="485775" cy="342785"/>
        </a:xfrm>
        <a:prstGeom prst="rect">
          <a:avLst/>
        </a:prstGeom>
      </xdr:spPr>
    </xdr:pic>
    <xdr:clientData/>
  </xdr:twoCellAnchor>
  <xdr:twoCellAnchor editAs="oneCell">
    <xdr:from>
      <xdr:col>0</xdr:col>
      <xdr:colOff>526143</xdr:colOff>
      <xdr:row>0</xdr:row>
      <xdr:rowOff>254000</xdr:rowOff>
    </xdr:from>
    <xdr:to>
      <xdr:col>4</xdr:col>
      <xdr:colOff>134</xdr:colOff>
      <xdr:row>3</xdr:row>
      <xdr:rowOff>72572</xdr:rowOff>
    </xdr:to>
    <xdr:pic>
      <xdr:nvPicPr>
        <xdr:cNvPr id="2" name="Imagen 1">
          <a:extLst>
            <a:ext uri="{FF2B5EF4-FFF2-40B4-BE49-F238E27FC236}">
              <a16:creationId xmlns:a16="http://schemas.microsoft.com/office/drawing/2014/main" id="{BC7EF939-5EE2-5349-9F38-4F643859D7D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26143" y="254000"/>
          <a:ext cx="2077491" cy="78014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615949</xdr:colOff>
      <xdr:row>3</xdr:row>
      <xdr:rowOff>48896</xdr:rowOff>
    </xdr:from>
    <xdr:to>
      <xdr:col>4</xdr:col>
      <xdr:colOff>18203</xdr:colOff>
      <xdr:row>6</xdr:row>
      <xdr:rowOff>190501</xdr:rowOff>
    </xdr:to>
    <xdr:pic>
      <xdr:nvPicPr>
        <xdr:cNvPr id="6" name="Imagen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1"/>
        <a:stretch>
          <a:fillRect/>
        </a:stretch>
      </xdr:blipFill>
      <xdr:spPr>
        <a:xfrm>
          <a:off x="615949" y="763271"/>
          <a:ext cx="1974004" cy="665480"/>
        </a:xfrm>
        <a:prstGeom prst="rect">
          <a:avLst/>
        </a:prstGeom>
      </xdr:spPr>
    </xdr:pic>
    <xdr:clientData/>
  </xdr:twoCellAnchor>
  <xdr:twoCellAnchor editAs="oneCell">
    <xdr:from>
      <xdr:col>46</xdr:col>
      <xdr:colOff>104775</xdr:colOff>
      <xdr:row>1</xdr:row>
      <xdr:rowOff>38100</xdr:rowOff>
    </xdr:from>
    <xdr:to>
      <xdr:col>47</xdr:col>
      <xdr:colOff>85725</xdr:colOff>
      <xdr:row>4</xdr:row>
      <xdr:rowOff>3060</xdr:rowOff>
    </xdr:to>
    <xdr:pic>
      <xdr:nvPicPr>
        <xdr:cNvPr id="8" name="Imagen 7">
          <a:hlinkClick xmlns:r="http://schemas.openxmlformats.org/officeDocument/2006/relationships" r:id="rId2"/>
          <a:extLst>
            <a:ext uri="{FF2B5EF4-FFF2-40B4-BE49-F238E27FC236}">
              <a16:creationId xmlns:a16="http://schemas.microsoft.com/office/drawing/2014/main" id="{00000000-0008-0000-0700-000008000000}"/>
            </a:ext>
          </a:extLst>
        </xdr:cNvPr>
        <xdr:cNvPicPr>
          <a:picLocks noChangeAspect="1"/>
        </xdr:cNvPicPr>
      </xdr:nvPicPr>
      <xdr:blipFill rotWithShape="1">
        <a:blip xmlns:r="http://schemas.openxmlformats.org/officeDocument/2006/relationships" r:embed="rId3" cstate="screen">
          <a:duotone>
            <a:schemeClr val="accent2">
              <a:shade val="45000"/>
              <a:satMod val="135000"/>
            </a:schemeClr>
            <a:prstClr val="white"/>
          </a:duotone>
          <a:extLst>
            <a:ext uri="{28A0092B-C50C-407E-A947-70E740481C1C}">
              <a14:useLocalDpi xmlns:a14="http://schemas.microsoft.com/office/drawing/2010/main"/>
            </a:ext>
          </a:extLst>
        </a:blip>
        <a:srcRect l="5795" r="7280" b="19483"/>
        <a:stretch/>
      </xdr:blipFill>
      <xdr:spPr>
        <a:xfrm>
          <a:off x="13173075" y="581025"/>
          <a:ext cx="485775" cy="342785"/>
        </a:xfrm>
        <a:prstGeom prst="rect">
          <a:avLst/>
        </a:prstGeom>
      </xdr:spPr>
    </xdr:pic>
    <xdr:clientData/>
  </xdr:twoCellAnchor>
  <xdr:twoCellAnchor editAs="oneCell">
    <xdr:from>
      <xdr:col>0</xdr:col>
      <xdr:colOff>539750</xdr:colOff>
      <xdr:row>0</xdr:row>
      <xdr:rowOff>63500</xdr:rowOff>
    </xdr:from>
    <xdr:to>
      <xdr:col>4</xdr:col>
      <xdr:colOff>45491</xdr:colOff>
      <xdr:row>3</xdr:row>
      <xdr:rowOff>129268</xdr:rowOff>
    </xdr:to>
    <xdr:pic>
      <xdr:nvPicPr>
        <xdr:cNvPr id="2" name="Imagen 1">
          <a:extLst>
            <a:ext uri="{FF2B5EF4-FFF2-40B4-BE49-F238E27FC236}">
              <a16:creationId xmlns:a16="http://schemas.microsoft.com/office/drawing/2014/main" id="{87191BB0-CF9E-A442-ADB3-7441F274CD3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39750" y="63500"/>
          <a:ext cx="2077491" cy="78014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3</xdr:row>
      <xdr:rowOff>36286</xdr:rowOff>
    </xdr:from>
    <xdr:to>
      <xdr:col>3</xdr:col>
      <xdr:colOff>653203</xdr:colOff>
      <xdr:row>6</xdr:row>
      <xdr:rowOff>236065</xdr:rowOff>
    </xdr:to>
    <xdr:pic>
      <xdr:nvPicPr>
        <xdr:cNvPr id="7" name="Imagen 6">
          <a:extLst>
            <a:ext uri="{FF2B5EF4-FFF2-40B4-BE49-F238E27FC236}">
              <a16:creationId xmlns:a16="http://schemas.microsoft.com/office/drawing/2014/main" id="{00000000-0008-0000-0800-000007000000}"/>
            </a:ext>
          </a:extLst>
        </xdr:cNvPr>
        <xdr:cNvPicPr>
          <a:picLocks noChangeAspect="1"/>
        </xdr:cNvPicPr>
      </xdr:nvPicPr>
      <xdr:blipFill>
        <a:blip xmlns:r="http://schemas.openxmlformats.org/officeDocument/2006/relationships" r:embed="rId1">
          <a:duotone>
            <a:schemeClr val="accent2">
              <a:shade val="45000"/>
              <a:satMod val="135000"/>
            </a:schemeClr>
            <a:prstClr val="white"/>
          </a:duotone>
        </a:blip>
        <a:stretch>
          <a:fillRect/>
        </a:stretch>
      </xdr:blipFill>
      <xdr:spPr>
        <a:xfrm>
          <a:off x="653143" y="743857"/>
          <a:ext cx="2093292" cy="744065"/>
        </a:xfrm>
        <a:prstGeom prst="rect">
          <a:avLst/>
        </a:prstGeom>
      </xdr:spPr>
    </xdr:pic>
    <xdr:clientData/>
  </xdr:twoCellAnchor>
  <xdr:twoCellAnchor editAs="oneCell">
    <xdr:from>
      <xdr:col>48</xdr:col>
      <xdr:colOff>438150</xdr:colOff>
      <xdr:row>0</xdr:row>
      <xdr:rowOff>476250</xdr:rowOff>
    </xdr:from>
    <xdr:to>
      <xdr:col>49</xdr:col>
      <xdr:colOff>333375</xdr:colOff>
      <xdr:row>3</xdr:row>
      <xdr:rowOff>104660</xdr:rowOff>
    </xdr:to>
    <xdr:pic>
      <xdr:nvPicPr>
        <xdr:cNvPr id="9" name="Imagen 8">
          <a:hlinkClick xmlns:r="http://schemas.openxmlformats.org/officeDocument/2006/relationships" r:id="rId2"/>
          <a:extLst>
            <a:ext uri="{FF2B5EF4-FFF2-40B4-BE49-F238E27FC236}">
              <a16:creationId xmlns:a16="http://schemas.microsoft.com/office/drawing/2014/main" id="{00000000-0008-0000-0800-000009000000}"/>
            </a:ext>
          </a:extLst>
        </xdr:cNvPr>
        <xdr:cNvPicPr>
          <a:picLocks noChangeAspect="1"/>
        </xdr:cNvPicPr>
      </xdr:nvPicPr>
      <xdr:blipFill rotWithShape="1">
        <a:blip xmlns:r="http://schemas.openxmlformats.org/officeDocument/2006/relationships" r:embed="rId3" cstate="screen">
          <a:duotone>
            <a:schemeClr val="accent2">
              <a:shade val="45000"/>
              <a:satMod val="135000"/>
            </a:schemeClr>
            <a:prstClr val="white"/>
          </a:duotone>
          <a:extLst>
            <a:ext uri="{28A0092B-C50C-407E-A947-70E740481C1C}">
              <a14:useLocalDpi xmlns:a14="http://schemas.microsoft.com/office/drawing/2010/main"/>
            </a:ext>
          </a:extLst>
        </a:blip>
        <a:srcRect l="5795" r="7280" b="19483"/>
        <a:stretch/>
      </xdr:blipFill>
      <xdr:spPr>
        <a:xfrm>
          <a:off x="14125575" y="476250"/>
          <a:ext cx="485775" cy="342785"/>
        </a:xfrm>
        <a:prstGeom prst="rect">
          <a:avLst/>
        </a:prstGeom>
      </xdr:spPr>
    </xdr:pic>
    <xdr:clientData/>
  </xdr:twoCellAnchor>
  <xdr:twoCellAnchor editAs="oneCell">
    <xdr:from>
      <xdr:col>0</xdr:col>
      <xdr:colOff>587375</xdr:colOff>
      <xdr:row>0</xdr:row>
      <xdr:rowOff>0</xdr:rowOff>
    </xdr:from>
    <xdr:to>
      <xdr:col>3</xdr:col>
      <xdr:colOff>569366</xdr:colOff>
      <xdr:row>3</xdr:row>
      <xdr:rowOff>65768</xdr:rowOff>
    </xdr:to>
    <xdr:pic>
      <xdr:nvPicPr>
        <xdr:cNvPr id="2" name="Imagen 1">
          <a:extLst>
            <a:ext uri="{FF2B5EF4-FFF2-40B4-BE49-F238E27FC236}">
              <a16:creationId xmlns:a16="http://schemas.microsoft.com/office/drawing/2014/main" id="{188EFDAD-9490-274F-8A66-5F9F5041CF4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87375" y="0"/>
          <a:ext cx="2077491" cy="78014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3</xdr:col>
      <xdr:colOff>660006</xdr:colOff>
      <xdr:row>6</xdr:row>
      <xdr:rowOff>18351</xdr:rowOff>
    </xdr:to>
    <xdr:pic>
      <xdr:nvPicPr>
        <xdr:cNvPr id="7" name="Imagen 6">
          <a:extLst>
            <a:ext uri="{FF2B5EF4-FFF2-40B4-BE49-F238E27FC236}">
              <a16:creationId xmlns:a16="http://schemas.microsoft.com/office/drawing/2014/main" id="{00000000-0008-0000-0900-000007000000}"/>
            </a:ext>
          </a:extLst>
        </xdr:cNvPr>
        <xdr:cNvPicPr>
          <a:picLocks noChangeAspect="1"/>
        </xdr:cNvPicPr>
      </xdr:nvPicPr>
      <xdr:blipFill>
        <a:blip xmlns:r="http://schemas.openxmlformats.org/officeDocument/2006/relationships" r:embed="rId1">
          <a:duotone>
            <a:schemeClr val="accent2">
              <a:shade val="45000"/>
              <a:satMod val="135000"/>
            </a:schemeClr>
            <a:prstClr val="white"/>
          </a:duotone>
        </a:blip>
        <a:stretch>
          <a:fillRect/>
        </a:stretch>
      </xdr:blipFill>
      <xdr:spPr>
        <a:xfrm>
          <a:off x="609600" y="175260"/>
          <a:ext cx="1944793" cy="719390"/>
        </a:xfrm>
        <a:prstGeom prst="rect">
          <a:avLst/>
        </a:prstGeom>
      </xdr:spPr>
    </xdr:pic>
    <xdr:clientData/>
  </xdr:twoCellAnchor>
  <xdr:twoCellAnchor editAs="oneCell">
    <xdr:from>
      <xdr:col>49</xdr:col>
      <xdr:colOff>304800</xdr:colOff>
      <xdr:row>0</xdr:row>
      <xdr:rowOff>163286</xdr:rowOff>
    </xdr:from>
    <xdr:to>
      <xdr:col>50</xdr:col>
      <xdr:colOff>202746</xdr:colOff>
      <xdr:row>0</xdr:row>
      <xdr:rowOff>508792</xdr:rowOff>
    </xdr:to>
    <xdr:pic>
      <xdr:nvPicPr>
        <xdr:cNvPr id="9" name="Imagen 8">
          <a:hlinkClick xmlns:r="http://schemas.openxmlformats.org/officeDocument/2006/relationships" r:id="rId2"/>
          <a:extLst>
            <a:ext uri="{FF2B5EF4-FFF2-40B4-BE49-F238E27FC236}">
              <a16:creationId xmlns:a16="http://schemas.microsoft.com/office/drawing/2014/main" id="{00000000-0008-0000-0900-000009000000}"/>
            </a:ext>
          </a:extLst>
        </xdr:cNvPr>
        <xdr:cNvPicPr>
          <a:picLocks noChangeAspect="1"/>
        </xdr:cNvPicPr>
      </xdr:nvPicPr>
      <xdr:blipFill rotWithShape="1">
        <a:blip xmlns:r="http://schemas.openxmlformats.org/officeDocument/2006/relationships" r:embed="rId3" cstate="screen">
          <a:duotone>
            <a:schemeClr val="accent2">
              <a:shade val="45000"/>
              <a:satMod val="135000"/>
            </a:schemeClr>
            <a:prstClr val="white"/>
          </a:duotone>
          <a:extLst>
            <a:ext uri="{28A0092B-C50C-407E-A947-70E740481C1C}">
              <a14:useLocalDpi xmlns:a14="http://schemas.microsoft.com/office/drawing/2010/main"/>
            </a:ext>
          </a:extLst>
        </a:blip>
        <a:srcRect l="5795" r="7280" b="19483"/>
        <a:stretch/>
      </xdr:blipFill>
      <xdr:spPr>
        <a:xfrm>
          <a:off x="16916400" y="163286"/>
          <a:ext cx="485775" cy="345506"/>
        </a:xfrm>
        <a:prstGeom prst="rect">
          <a:avLst/>
        </a:prstGeom>
      </xdr:spPr>
    </xdr:pic>
    <xdr:clientData/>
  </xdr:twoCellAnchor>
  <xdr:twoCellAnchor editAs="oneCell">
    <xdr:from>
      <xdr:col>1</xdr:col>
      <xdr:colOff>15875</xdr:colOff>
      <xdr:row>0</xdr:row>
      <xdr:rowOff>15875</xdr:rowOff>
    </xdr:from>
    <xdr:to>
      <xdr:col>3</xdr:col>
      <xdr:colOff>648741</xdr:colOff>
      <xdr:row>2</xdr:row>
      <xdr:rowOff>2268</xdr:rowOff>
    </xdr:to>
    <xdr:pic>
      <xdr:nvPicPr>
        <xdr:cNvPr id="2" name="Imagen 1">
          <a:extLst>
            <a:ext uri="{FF2B5EF4-FFF2-40B4-BE49-F238E27FC236}">
              <a16:creationId xmlns:a16="http://schemas.microsoft.com/office/drawing/2014/main" id="{44C8F169-6910-F84B-973F-372ADE1D4B8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66750" y="15875"/>
          <a:ext cx="2077491" cy="78014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644455</xdr:colOff>
      <xdr:row>3</xdr:row>
      <xdr:rowOff>106828</xdr:rowOff>
    </xdr:from>
    <xdr:to>
      <xdr:col>3</xdr:col>
      <xdr:colOff>531671</xdr:colOff>
      <xdr:row>6</xdr:row>
      <xdr:rowOff>256704</xdr:rowOff>
    </xdr:to>
    <xdr:pic>
      <xdr:nvPicPr>
        <xdr:cNvPr id="7" name="Imagen 6">
          <a:extLst>
            <a:ext uri="{FF2B5EF4-FFF2-40B4-BE49-F238E27FC236}">
              <a16:creationId xmlns:a16="http://schemas.microsoft.com/office/drawing/2014/main" id="{00000000-0008-0000-0A00-000007000000}"/>
            </a:ext>
          </a:extLst>
        </xdr:cNvPr>
        <xdr:cNvPicPr>
          <a:picLocks noChangeAspect="1"/>
        </xdr:cNvPicPr>
      </xdr:nvPicPr>
      <xdr:blipFill>
        <a:blip xmlns:r="http://schemas.openxmlformats.org/officeDocument/2006/relationships" r:embed="rId1"/>
        <a:stretch>
          <a:fillRect/>
        </a:stretch>
      </xdr:blipFill>
      <xdr:spPr>
        <a:xfrm>
          <a:off x="644455" y="809381"/>
          <a:ext cx="1970962" cy="676791"/>
        </a:xfrm>
        <a:prstGeom prst="rect">
          <a:avLst/>
        </a:prstGeom>
      </xdr:spPr>
    </xdr:pic>
    <xdr:clientData/>
  </xdr:twoCellAnchor>
  <xdr:twoCellAnchor editAs="oneCell">
    <xdr:from>
      <xdr:col>45</xdr:col>
      <xdr:colOff>32657</xdr:colOff>
      <xdr:row>0</xdr:row>
      <xdr:rowOff>402771</xdr:rowOff>
    </xdr:from>
    <xdr:to>
      <xdr:col>46</xdr:col>
      <xdr:colOff>17688</xdr:colOff>
      <xdr:row>3</xdr:row>
      <xdr:rowOff>35610</xdr:rowOff>
    </xdr:to>
    <xdr:pic>
      <xdr:nvPicPr>
        <xdr:cNvPr id="8" name="Imagen 7">
          <a:hlinkClick xmlns:r="http://schemas.openxmlformats.org/officeDocument/2006/relationships" r:id="rId2"/>
          <a:extLst>
            <a:ext uri="{FF2B5EF4-FFF2-40B4-BE49-F238E27FC236}">
              <a16:creationId xmlns:a16="http://schemas.microsoft.com/office/drawing/2014/main" id="{00000000-0008-0000-0A00-000008000000}"/>
            </a:ext>
          </a:extLst>
        </xdr:cNvPr>
        <xdr:cNvPicPr>
          <a:picLocks noChangeAspect="1"/>
        </xdr:cNvPicPr>
      </xdr:nvPicPr>
      <xdr:blipFill rotWithShape="1">
        <a:blip xmlns:r="http://schemas.openxmlformats.org/officeDocument/2006/relationships" r:embed="rId3" cstate="screen">
          <a:duotone>
            <a:schemeClr val="accent2">
              <a:shade val="45000"/>
              <a:satMod val="135000"/>
            </a:schemeClr>
            <a:prstClr val="white"/>
          </a:duotone>
          <a:extLst>
            <a:ext uri="{28A0092B-C50C-407E-A947-70E740481C1C}">
              <a14:useLocalDpi xmlns:a14="http://schemas.microsoft.com/office/drawing/2010/main"/>
            </a:ext>
          </a:extLst>
        </a:blip>
        <a:srcRect l="5795" r="7280" b="19483"/>
        <a:stretch/>
      </xdr:blipFill>
      <xdr:spPr>
        <a:xfrm>
          <a:off x="13302343" y="402771"/>
          <a:ext cx="485775" cy="345506"/>
        </a:xfrm>
        <a:prstGeom prst="rect">
          <a:avLst/>
        </a:prstGeom>
      </xdr:spPr>
    </xdr:pic>
    <xdr:clientData/>
  </xdr:twoCellAnchor>
  <xdr:twoCellAnchor editAs="oneCell">
    <xdr:from>
      <xdr:col>0</xdr:col>
      <xdr:colOff>571500</xdr:colOff>
      <xdr:row>0</xdr:row>
      <xdr:rowOff>79375</xdr:rowOff>
    </xdr:from>
    <xdr:to>
      <xdr:col>4</xdr:col>
      <xdr:colOff>29616</xdr:colOff>
      <xdr:row>3</xdr:row>
      <xdr:rowOff>145143</xdr:rowOff>
    </xdr:to>
    <xdr:pic>
      <xdr:nvPicPr>
        <xdr:cNvPr id="2" name="Imagen 1">
          <a:extLst>
            <a:ext uri="{FF2B5EF4-FFF2-40B4-BE49-F238E27FC236}">
              <a16:creationId xmlns:a16="http://schemas.microsoft.com/office/drawing/2014/main" id="{E2915F90-DF94-5D43-8596-088B152C7B1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71500" y="79375"/>
          <a:ext cx="2077491" cy="780143"/>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588249</xdr:colOff>
      <xdr:row>2</xdr:row>
      <xdr:rowOff>0</xdr:rowOff>
    </xdr:from>
    <xdr:to>
      <xdr:col>3</xdr:col>
      <xdr:colOff>481755</xdr:colOff>
      <xdr:row>5</xdr:row>
      <xdr:rowOff>145144</xdr:rowOff>
    </xdr:to>
    <xdr:pic>
      <xdr:nvPicPr>
        <xdr:cNvPr id="6" name="Imagen 5">
          <a:extLst>
            <a:ext uri="{FF2B5EF4-FFF2-40B4-BE49-F238E27FC236}">
              <a16:creationId xmlns:a16="http://schemas.microsoft.com/office/drawing/2014/main" id="{00000000-0008-0000-0B00-000006000000}"/>
            </a:ext>
          </a:extLst>
        </xdr:cNvPr>
        <xdr:cNvPicPr>
          <a:picLocks noChangeAspect="1"/>
        </xdr:cNvPicPr>
      </xdr:nvPicPr>
      <xdr:blipFill>
        <a:blip xmlns:r="http://schemas.openxmlformats.org/officeDocument/2006/relationships" r:embed="rId1"/>
        <a:stretch>
          <a:fillRect/>
        </a:stretch>
      </xdr:blipFill>
      <xdr:spPr>
        <a:xfrm>
          <a:off x="588249" y="707571"/>
          <a:ext cx="1925506" cy="689429"/>
        </a:xfrm>
        <a:prstGeom prst="rect">
          <a:avLst/>
        </a:prstGeom>
      </xdr:spPr>
    </xdr:pic>
    <xdr:clientData/>
  </xdr:twoCellAnchor>
  <xdr:twoCellAnchor editAs="oneCell">
    <xdr:from>
      <xdr:col>45</xdr:col>
      <xdr:colOff>43543</xdr:colOff>
      <xdr:row>0</xdr:row>
      <xdr:rowOff>468086</xdr:rowOff>
    </xdr:from>
    <xdr:to>
      <xdr:col>46</xdr:col>
      <xdr:colOff>28576</xdr:colOff>
      <xdr:row>2</xdr:row>
      <xdr:rowOff>4420</xdr:rowOff>
    </xdr:to>
    <xdr:pic>
      <xdr:nvPicPr>
        <xdr:cNvPr id="7" name="Imagen 6">
          <a:hlinkClick xmlns:r="http://schemas.openxmlformats.org/officeDocument/2006/relationships" r:id="rId2"/>
          <a:extLst>
            <a:ext uri="{FF2B5EF4-FFF2-40B4-BE49-F238E27FC236}">
              <a16:creationId xmlns:a16="http://schemas.microsoft.com/office/drawing/2014/main" id="{00000000-0008-0000-0B00-000007000000}"/>
            </a:ext>
          </a:extLst>
        </xdr:cNvPr>
        <xdr:cNvPicPr>
          <a:picLocks noChangeAspect="1"/>
        </xdr:cNvPicPr>
      </xdr:nvPicPr>
      <xdr:blipFill rotWithShape="1">
        <a:blip xmlns:r="http://schemas.openxmlformats.org/officeDocument/2006/relationships" r:embed="rId3" cstate="screen">
          <a:duotone>
            <a:schemeClr val="accent2">
              <a:shade val="45000"/>
              <a:satMod val="135000"/>
            </a:schemeClr>
            <a:prstClr val="white"/>
          </a:duotone>
          <a:extLst>
            <a:ext uri="{28A0092B-C50C-407E-A947-70E740481C1C}">
              <a14:useLocalDpi xmlns:a14="http://schemas.microsoft.com/office/drawing/2010/main"/>
            </a:ext>
          </a:extLst>
        </a:blip>
        <a:srcRect l="5795" r="7280" b="19483"/>
        <a:stretch/>
      </xdr:blipFill>
      <xdr:spPr>
        <a:xfrm>
          <a:off x="13313229" y="468086"/>
          <a:ext cx="485775" cy="345506"/>
        </a:xfrm>
        <a:prstGeom prst="rect">
          <a:avLst/>
        </a:prstGeom>
      </xdr:spPr>
    </xdr:pic>
    <xdr:clientData/>
  </xdr:twoCellAnchor>
  <xdr:twoCellAnchor editAs="oneCell">
    <xdr:from>
      <xdr:col>0</xdr:col>
      <xdr:colOff>492125</xdr:colOff>
      <xdr:row>0</xdr:row>
      <xdr:rowOff>79375</xdr:rowOff>
    </xdr:from>
    <xdr:to>
      <xdr:col>4</xdr:col>
      <xdr:colOff>1041</xdr:colOff>
      <xdr:row>2</xdr:row>
      <xdr:rowOff>49893</xdr:rowOff>
    </xdr:to>
    <xdr:pic>
      <xdr:nvPicPr>
        <xdr:cNvPr id="2" name="Imagen 1">
          <a:extLst>
            <a:ext uri="{FF2B5EF4-FFF2-40B4-BE49-F238E27FC236}">
              <a16:creationId xmlns:a16="http://schemas.microsoft.com/office/drawing/2014/main" id="{FEE1F088-CB8A-C541-B17D-45CD6EF010F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92125" y="79375"/>
          <a:ext cx="2077491" cy="780143"/>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2</xdr:row>
      <xdr:rowOff>0</xdr:rowOff>
    </xdr:from>
    <xdr:to>
      <xdr:col>3</xdr:col>
      <xdr:colOff>725715</xdr:colOff>
      <xdr:row>5</xdr:row>
      <xdr:rowOff>164935</xdr:rowOff>
    </xdr:to>
    <xdr:sp macro="" textlink="">
      <xdr:nvSpPr>
        <xdr:cNvPr id="5" name="Rectángulo: esquinas redondeadas 4">
          <a:extLst>
            <a:ext uri="{FF2B5EF4-FFF2-40B4-BE49-F238E27FC236}">
              <a16:creationId xmlns:a16="http://schemas.microsoft.com/office/drawing/2014/main" id="{00000000-0008-0000-0C00-000005000000}"/>
            </a:ext>
          </a:extLst>
        </xdr:cNvPr>
        <xdr:cNvSpPr/>
      </xdr:nvSpPr>
      <xdr:spPr>
        <a:xfrm>
          <a:off x="643247" y="824675"/>
          <a:ext cx="2210130" cy="709221"/>
        </a:xfrm>
        <a:prstGeom prst="roundRect">
          <a:avLst/>
        </a:prstGeom>
        <a:solidFill>
          <a:schemeClr val="accent2">
            <a:lumMod val="20000"/>
            <a:lumOff val="80000"/>
            <a:alpha val="50000"/>
          </a:schemeClr>
        </a:solidFill>
        <a:ln w="28575">
          <a:solidFill>
            <a:srgbClr val="0033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s-ES" sz="1200" b="1" i="0">
              <a:solidFill>
                <a:sysClr val="windowText" lastClr="000000"/>
              </a:solidFill>
            </a:rPr>
            <a:t>2.1.b. IMPORTES EQUIPARADOS </a:t>
          </a:r>
        </a:p>
        <a:p>
          <a:pPr algn="ctr"/>
          <a:r>
            <a:rPr lang="es-ES" sz="1200" b="1" i="0">
              <a:solidFill>
                <a:sysClr val="windowText" lastClr="000000"/>
              </a:solidFill>
            </a:rPr>
            <a:t>Promedios</a:t>
          </a:r>
        </a:p>
      </xdr:txBody>
    </xdr:sp>
    <xdr:clientData/>
  </xdr:twoCellAnchor>
  <xdr:twoCellAnchor editAs="oneCell">
    <xdr:from>
      <xdr:col>48</xdr:col>
      <xdr:colOff>478972</xdr:colOff>
      <xdr:row>0</xdr:row>
      <xdr:rowOff>435429</xdr:rowOff>
    </xdr:from>
    <xdr:to>
      <xdr:col>49</xdr:col>
      <xdr:colOff>376917</xdr:colOff>
      <xdr:row>1</xdr:row>
      <xdr:rowOff>243906</xdr:rowOff>
    </xdr:to>
    <xdr:pic>
      <xdr:nvPicPr>
        <xdr:cNvPr id="6" name="Imagen 5">
          <a:hlinkClick xmlns:r="http://schemas.openxmlformats.org/officeDocument/2006/relationships" r:id="rId1"/>
          <a:extLst>
            <a:ext uri="{FF2B5EF4-FFF2-40B4-BE49-F238E27FC236}">
              <a16:creationId xmlns:a16="http://schemas.microsoft.com/office/drawing/2014/main" id="{00000000-0008-0000-0C00-000006000000}"/>
            </a:ext>
          </a:extLst>
        </xdr:cNvPr>
        <xdr:cNvPicPr>
          <a:picLocks noChangeAspect="1"/>
        </xdr:cNvPicPr>
      </xdr:nvPicPr>
      <xdr:blipFill rotWithShape="1">
        <a:blip xmlns:r="http://schemas.openxmlformats.org/officeDocument/2006/relationships" r:embed="rId2" cstate="screen">
          <a:duotone>
            <a:schemeClr val="accent2">
              <a:shade val="45000"/>
              <a:satMod val="135000"/>
            </a:schemeClr>
            <a:prstClr val="white"/>
          </a:duotone>
          <a:extLst>
            <a:ext uri="{28A0092B-C50C-407E-A947-70E740481C1C}">
              <a14:useLocalDpi xmlns:a14="http://schemas.microsoft.com/office/drawing/2010/main"/>
            </a:ext>
          </a:extLst>
        </a:blip>
        <a:srcRect l="5795" r="7280" b="19483"/>
        <a:stretch/>
      </xdr:blipFill>
      <xdr:spPr>
        <a:xfrm>
          <a:off x="16502743" y="435429"/>
          <a:ext cx="485775" cy="345506"/>
        </a:xfrm>
        <a:prstGeom prst="rect">
          <a:avLst/>
        </a:prstGeom>
      </xdr:spPr>
    </xdr:pic>
    <xdr:clientData/>
  </xdr:twoCellAnchor>
  <xdr:twoCellAnchor editAs="oneCell">
    <xdr:from>
      <xdr:col>1</xdr:col>
      <xdr:colOff>47625</xdr:colOff>
      <xdr:row>0</xdr:row>
      <xdr:rowOff>63500</xdr:rowOff>
    </xdr:from>
    <xdr:to>
      <xdr:col>3</xdr:col>
      <xdr:colOff>632866</xdr:colOff>
      <xdr:row>2</xdr:row>
      <xdr:rowOff>2268</xdr:rowOff>
    </xdr:to>
    <xdr:pic>
      <xdr:nvPicPr>
        <xdr:cNvPr id="2" name="Imagen 1">
          <a:extLst>
            <a:ext uri="{FF2B5EF4-FFF2-40B4-BE49-F238E27FC236}">
              <a16:creationId xmlns:a16="http://schemas.microsoft.com/office/drawing/2014/main" id="{AAEFD35A-048D-7E47-893E-4D26E9ABDBE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98500" y="63500"/>
          <a:ext cx="2077491" cy="780143"/>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3</xdr:col>
      <xdr:colOff>607485</xdr:colOff>
      <xdr:row>6</xdr:row>
      <xdr:rowOff>48833</xdr:rowOff>
    </xdr:to>
    <xdr:pic>
      <xdr:nvPicPr>
        <xdr:cNvPr id="8" name="Imagen 7">
          <a:extLst>
            <a:ext uri="{FF2B5EF4-FFF2-40B4-BE49-F238E27FC236}">
              <a16:creationId xmlns:a16="http://schemas.microsoft.com/office/drawing/2014/main" id="{00000000-0008-0000-0D00-000008000000}"/>
            </a:ext>
          </a:extLst>
        </xdr:cNvPr>
        <xdr:cNvPicPr>
          <a:picLocks noChangeAspect="1"/>
        </xdr:cNvPicPr>
      </xdr:nvPicPr>
      <xdr:blipFill>
        <a:blip xmlns:r="http://schemas.openxmlformats.org/officeDocument/2006/relationships" r:embed="rId1">
          <a:duotone>
            <a:schemeClr val="accent2">
              <a:shade val="45000"/>
              <a:satMod val="135000"/>
            </a:schemeClr>
            <a:prstClr val="white"/>
          </a:duotone>
        </a:blip>
        <a:stretch>
          <a:fillRect/>
        </a:stretch>
      </xdr:blipFill>
      <xdr:spPr>
        <a:xfrm>
          <a:off x="609600" y="175260"/>
          <a:ext cx="1975275" cy="749873"/>
        </a:xfrm>
        <a:prstGeom prst="rect">
          <a:avLst/>
        </a:prstGeom>
      </xdr:spPr>
    </xdr:pic>
    <xdr:clientData/>
  </xdr:twoCellAnchor>
  <xdr:twoCellAnchor editAs="oneCell">
    <xdr:from>
      <xdr:col>48</xdr:col>
      <xdr:colOff>489858</xdr:colOff>
      <xdr:row>0</xdr:row>
      <xdr:rowOff>370115</xdr:rowOff>
    </xdr:from>
    <xdr:to>
      <xdr:col>49</xdr:col>
      <xdr:colOff>387804</xdr:colOff>
      <xdr:row>1</xdr:row>
      <xdr:rowOff>171335</xdr:rowOff>
    </xdr:to>
    <xdr:pic>
      <xdr:nvPicPr>
        <xdr:cNvPr id="9" name="Imagen 8">
          <a:hlinkClick xmlns:r="http://schemas.openxmlformats.org/officeDocument/2006/relationships" r:id="rId2"/>
          <a:extLst>
            <a:ext uri="{FF2B5EF4-FFF2-40B4-BE49-F238E27FC236}">
              <a16:creationId xmlns:a16="http://schemas.microsoft.com/office/drawing/2014/main" id="{00000000-0008-0000-0D00-000009000000}"/>
            </a:ext>
          </a:extLst>
        </xdr:cNvPr>
        <xdr:cNvPicPr>
          <a:picLocks noChangeAspect="1"/>
        </xdr:cNvPicPr>
      </xdr:nvPicPr>
      <xdr:blipFill rotWithShape="1">
        <a:blip xmlns:r="http://schemas.openxmlformats.org/officeDocument/2006/relationships" r:embed="rId3" cstate="screen">
          <a:duotone>
            <a:schemeClr val="accent2">
              <a:shade val="45000"/>
              <a:satMod val="135000"/>
            </a:schemeClr>
            <a:prstClr val="white"/>
          </a:duotone>
          <a:extLst>
            <a:ext uri="{28A0092B-C50C-407E-A947-70E740481C1C}">
              <a14:useLocalDpi xmlns:a14="http://schemas.microsoft.com/office/drawing/2010/main"/>
            </a:ext>
          </a:extLst>
        </a:blip>
        <a:srcRect l="5795" r="7280" b="19483"/>
        <a:stretch/>
      </xdr:blipFill>
      <xdr:spPr>
        <a:xfrm>
          <a:off x="16513629" y="370115"/>
          <a:ext cx="485775" cy="345506"/>
        </a:xfrm>
        <a:prstGeom prst="rect">
          <a:avLst/>
        </a:prstGeom>
      </xdr:spPr>
    </xdr:pic>
    <xdr:clientData/>
  </xdr:twoCellAnchor>
  <xdr:twoCellAnchor editAs="oneCell">
    <xdr:from>
      <xdr:col>1</xdr:col>
      <xdr:colOff>15875</xdr:colOff>
      <xdr:row>0</xdr:row>
      <xdr:rowOff>0</xdr:rowOff>
    </xdr:from>
    <xdr:to>
      <xdr:col>3</xdr:col>
      <xdr:colOff>601116</xdr:colOff>
      <xdr:row>2</xdr:row>
      <xdr:rowOff>65768</xdr:rowOff>
    </xdr:to>
    <xdr:pic>
      <xdr:nvPicPr>
        <xdr:cNvPr id="2" name="Imagen 1">
          <a:extLst>
            <a:ext uri="{FF2B5EF4-FFF2-40B4-BE49-F238E27FC236}">
              <a16:creationId xmlns:a16="http://schemas.microsoft.com/office/drawing/2014/main" id="{61CE1657-5361-D34E-8E2D-652AE46218D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66750" y="0"/>
          <a:ext cx="2077491" cy="78014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79.826624652778" createdVersion="6" refreshedVersion="8" minRefreshableVersion="3" recordCount="101" xr:uid="{00000000-000A-0000-FFFF-FFFF01000000}">
  <cacheSource type="worksheet">
    <worksheetSource name="DATOS_[[Puesto-empresa]:[Nivel]]"/>
  </cacheSource>
  <cacheFields count="10">
    <cacheField name="Puesto-empresa" numFmtId="0">
      <sharedItems containsBlank="1" count="199">
        <s v="CONDUCTOR"/>
        <s v="ENCARGADOS DE CONDUCTORES"/>
        <s v="OPERARIO CREMATORIO"/>
        <s v="ENCARGADO DE MANTENIMIENTO"/>
        <s v="CONTABILIDAD"/>
        <s v="FACTURACION"/>
        <s v="TRAMITACIONES Y DILIGENCIA"/>
        <s v="PERSONAL Y CALIDAD"/>
        <s v="ASESOR"/>
        <s v="LIMPIADORA (ENCARGADA)"/>
        <s v="LIMPIADORA"/>
        <s v="CONDUCTOR/OPERARIO CREMATORIO"/>
        <s v="RECEPCIONISTA"/>
        <s v="RELACIONES PUBLICAS"/>
        <s v="ASESORA"/>
        <s v="MAESTRA DE CEREMONIAS"/>
        <s v="GERENTE"/>
        <s v="LIMPIEZA"/>
        <s v="ASESORA ZONA VILLLAVICIOSA"/>
        <s v="ASESOR ZONA LA CARLOTA"/>
        <s v="LIMPIADORA LA CARLOTA"/>
        <s v="MANTENIMIENTO"/>
        <s v="POLIVALENTE"/>
        <s v="ASESOR ZONA POSADAS"/>
        <s v="JEFE DE SERVICIOS"/>
        <s v="JEFE DE DESARROLLO"/>
        <s v="ASESOR ZONA BUJALANCE"/>
        <s v="JEFA DE OFICINA"/>
        <s v="ADMINISTRATIVA"/>
        <s v="ASESORA DE ZONA MONTILLA"/>
        <s v="ASESOR DE ZONA CABRA"/>
        <s v="ASESORA DE ZONA EL CARPIO-PEDRO ABAD"/>
        <s v="ASESORA DE ZONA FTE. PALMERA"/>
        <s v="ASESOR DE ZONA LUQUE"/>
        <s v="ASESOR DE ZONA BUJALANCE"/>
        <s v="CONDUCTORA"/>
        <s v="LIMPIADORA BUJALANCE"/>
        <s v="ASESOR DE ZONA FTE. OBEJUNA"/>
        <s v="ASESOR DE ZONA DOÑA MENCIA"/>
        <s v="LIMPIADORA FTE. OBEJUNA"/>
        <s v="ZONA  VILLAVICIOSA" u="1"/>
        <s v="JEFE DE SEGURIDAD" u="1"/>
        <s v="RESPONSABLE DPTO SEGURIDAD ELECTRONICA Y SISTEMAS SEGURIDAD" u="1"/>
        <s v="RESPONSABLE DPTO ADMINISTRACIÓN" u="1"/>
        <s v="AUXILIAR ADMINISTRATIVO" u="1"/>
        <s v="VENDEDOR/A" u="1"/>
        <s v="VIGILANTE" u="1"/>
        <s v="ENCARGADO (P.SEGURIDAD MEC.)" u="1"/>
        <s v="OFICIAL DE 1ª(SEGURIDAD ELECTRÓNICA Y SISTEMA DE SEGURIDAD)" u="1"/>
        <s v="OFICIAL DE 2ª(SEGURIDAD ELECTRÓNICA Y SISTEMAS DE SEGURIDAD)" u="1"/>
        <s v="AYUDANTE (OFICIOS VARIOS)" u="1"/>
        <s v="PEÓN (OFICIOS VARIOS)" u="1"/>
        <s v="VENDEDORA" u="1"/>
        <s v="VENDEDOR" u="1"/>
        <m u="1"/>
        <s v="Op. Cámara" u="1"/>
        <s v="Aux. Prod." u="1"/>
        <s v="Azafata" u="1"/>
        <s v="Seg. Ay. Dir. " u="1"/>
        <s v="Redactor" u="1"/>
        <s v="Op. Vídeo" u="1"/>
        <s v="Redactora" u="1"/>
        <s v="Iluminación" u="1"/>
        <s v="Guionista" u="1"/>
        <s v="Dir. Com. " u="1"/>
        <s v="Ayudante Prod." u="1"/>
        <s v="Realizador" u="1"/>
        <s v="Op. Sonido" u="1"/>
        <s v="Aux. sonido" u="1"/>
        <s v="Técnico sonido" u="1"/>
        <s v="Ayudante sonido" u="1"/>
        <s v="Ambientador" u="1"/>
        <s v="Aux. plató" u="1"/>
        <s v="Fotógrafo" u="1"/>
        <s v="Editor" u="1"/>
        <s v="Grafista" u="1"/>
        <s v="Aux. Realización" u="1"/>
        <s v="Primer Ay. Dir." u="1"/>
        <s v="Jefe Admin." u="1"/>
        <s v="Jefa de Prod." u="1"/>
        <s v="Montador vídeo" u="1"/>
        <s v="JARDINERO." u="1"/>
        <s v="DIR.COM.INDUSTRIA" u="1"/>
        <s v="PS SOFTWARE FACTORY" u="1"/>
        <s v="AMS TIME&amp;MATERIAL" u="1"/>
        <s v="Directivo Nivel 2" u="1"/>
        <s v="CONSEJERO DELEGADO" u="1"/>
        <s v="DIR.COM.TELCOS Y MEDIA" u="1"/>
        <s v="Puesto 3" u="1"/>
        <s v="DIR.COM. ESTRATEGIA" u="1"/>
        <s v="EUS END USER SERVICES" u="1"/>
        <s v="HRB" u="1"/>
        <s v="Puesto 8" u="1"/>
        <s v="ID D/OPS DIGITAL" u="1"/>
        <s v="DIS COMPRAS" u="1"/>
        <s v="AE MICROSOFT IBERPER" u="1"/>
        <s v="DEF ECONOMICO - FINANCIERO" u="1"/>
        <s v="JARDINERO" u="1"/>
        <s v="PS DIRECCION DE PRODUCCION" u="1"/>
        <s v="Oficial Admtvo" u="1"/>
        <s v="IMM MANTENIMIENTO" u="1"/>
        <s v="DC&amp;MI IBERDROLA USA" u="1"/>
        <s v="PS QUALITY MANAGEMENT SYSTEM INTEGRATED" u="1"/>
        <s v="ID D/LAB" u="1"/>
        <s v="INV.INDUSTRIA" u="1"/>
        <s v="ID D/OPS CYBERSECURITY" u="1"/>
        <s v="EUS SISTEMAS DISTRIBUIDOS ONCE" u="1"/>
        <s v="AUXILIAR_x0009_" u="1"/>
        <s v="PEÓN LIMPIADOR" u="1"/>
        <s v="DIR.COM.SERV.FINANCIEROS / SEGUROS" u="1"/>
        <s v="Directora General" u="1"/>
        <s v="ID D/OPS INTERFLEX" u="1"/>
        <s v="DC&amp;MI MANAGED SERVICES" u="1"/>
        <s v="Resp. Nivel 1" u="1"/>
        <s v="Puesto 2" u="1"/>
        <s v="Puesto 7" u="1"/>
        <s v="Administrativa/o" u="1"/>
        <s v="Directivo Nivel 1" u="1"/>
        <s v="EUS END USER SERVICES GRUPO ONCE" u="1"/>
        <s v="DC&amp;MI OPERATION&amp;MONITORING GRUPO ONCE" u="1"/>
        <s v="Ingeniero Téc." u="1"/>
        <s v="Informatico Aux." u="1"/>
        <s v="IMM DIRECCION MID-MARKET" u="1"/>
        <s v="EQUIPO SOPORTE A LOS NEGOCIOS" u="1"/>
        <s v="IMM CONSULTORIA RPS" u="1"/>
        <s v="Directora Proyectos" u="1"/>
        <s v="Puesto 1" u="1"/>
        <s v="BPS WI-FI SOLUTIONS" u="1"/>
        <s v="IMM CONSULTORIA MES" u="1"/>
        <s v="Puesto 6" u="1"/>
        <s v="ID D/BIZ" u="1"/>
        <s v="PROCESOS ORGANIZATIVOS" u="1"/>
        <s v="DIS / EDA" u="1"/>
        <s v="Téc. Marketing" u="1"/>
        <s v="DC&amp;MI OPERATION&amp;MONITORING" u="1"/>
        <s v="Directivo Nivel I" u="1"/>
        <s v="DEF ASESORIA JURIDICA" u="1"/>
        <s v="AMS APLICATION MANAGEMENT ONCE" u="1"/>
        <s v="AE SAP" u="1"/>
        <s v="AE DIR.COM. SAP" u="1"/>
        <s v="Directivo Nivel 4" u="1"/>
        <s v="AE MICROSOFT NAVISION CRM" u="1"/>
        <s v="AE MICROSOFT SERVICIOS DE DOCUMENTACION" u="1"/>
        <s v="Comercial   " u="1"/>
        <s v="DIR.COM.SERVICIOS" u="1"/>
        <s v="Director Dpto. / Zona" u="1"/>
        <s v="DIR.COM.DIRECCION ZONA NORTE" u="1"/>
        <s v="BPS MANAGED COMUNICATION SERVICES" u="1"/>
        <s v="DC&amp;MI MANAGED SERVICES GRUPO ONCE" u="1"/>
        <s v="RECURSOS HUMANOS" u="1"/>
        <s v="JEFE ADMINISTRATIVO 1º" u="1"/>
        <s v="Téc. Admtv." u="1"/>
        <s v="IMM COMERCIAL" u="1"/>
        <s v="Resp. Nivel 2" u="1"/>
        <s v="DC&amp;MI DATA CENTRE COMUNICATIONS" u="1"/>
        <s v="IMM CONSULTORIA RPS INTERNACIONAL" u="1"/>
        <s v="Aux. Marketing" u="1"/>
        <s v="AUX.JARDINERO." u="1"/>
        <s v="BPS CONTACT CENTER" u="1"/>
        <s v="ESPECIALISTA" u="1"/>
        <s v="DIR.COM.SALUD" u="1"/>
        <s v="Puesto 5" u="1"/>
        <s v="DPC y CCC" u="1"/>
        <s v="AE MICROSOFT NAVISION GyC" u="1"/>
        <s v="Secretaria Dirección" u="1"/>
        <s v="Director Financiero" u="1"/>
        <s v="DIS INFRAESTRUCTURAS" u="1"/>
        <s v="Resp. Dpto./Zona" u="1"/>
        <s v="Of. Administrativo" u="1"/>
        <s v="DIR.COM.ADM.PUBLICA " u="1"/>
        <s v="Puesto I" u="1"/>
        <s v="DC&amp;MI DATA CENTRE COMUNICATIONS GRUPO ON" u="1"/>
        <s v="Aux. Admtv." u="1"/>
        <s v="DIR.COM.ZONA CATALUÑA" u="1"/>
        <s v="AE MICROSOFT NAVISION OPERACIONES" u="1"/>
        <s v="IMM INGENIERIA" u="1"/>
        <s v="AMS APLICATION MANAGEMENT" u="1"/>
        <s v="Director Producción" u="1"/>
        <s v="DIS INSTALACIONES" u="1"/>
        <s v="Directivo Nivel 3" u="1"/>
        <s v="AE CLOUTURE IMPLEMENTATION PROJECTS" u="1"/>
        <s v="PS CAPACITY MANAGEMENT" u="1"/>
        <s v="ID D/OPS I3B" u="1"/>
        <s v="Puesto 4" u="1"/>
        <s v="Comercial" u="1"/>
        <s v="Puesto 9" u="1"/>
        <s v="AE CLOUTURE DATA CENTER SERVICES" u="1"/>
        <s v="Operaria/o" u="1"/>
        <s v="OFIC.VARIOS" u="1"/>
        <s v="Teleoperador/a" u="1"/>
        <s v="MK MARKETING Y COMUNICACION" u="1"/>
        <s v="DC&amp;MI IBERDROLA" u="1"/>
        <s v="AD&amp;SI DEVELOPMENT MANAGEMENT PLATFORM" u="1"/>
        <s v="DIR.COM.UTILITIES" u="1"/>
        <s v="CONSULTORIA Y PREVENTA" u="1"/>
        <s v="DIR.COM. MARKETING DIGITAL" u="1"/>
        <s v="PEÓN." u="1"/>
        <s v="Adj. Dirección" u="1"/>
        <s v="AE MICROSOFT NAVISION CSC" u="1"/>
      </sharedItems>
    </cacheField>
    <cacheField name="Horario (continuo/partido)" numFmtId="0">
      <sharedItems containsBlank="1"/>
    </cacheField>
    <cacheField name="Trabajo a turnos" numFmtId="0">
      <sharedItems containsBlank="1"/>
    </cacheField>
    <cacheField name="Escala-empresa" numFmtId="0">
      <sharedItems containsString="0" containsBlank="1" containsNumber="1" containsInteger="1" minValue="1" maxValue="10" count="11">
        <m/>
        <n v="5" u="1"/>
        <n v="2" u="1"/>
        <n v="6" u="1"/>
        <n v="7" u="1"/>
        <n v="1" u="1"/>
        <n v="3" u="1"/>
        <n v="8" u="1"/>
        <n v="9" u="1"/>
        <n v="10" u="1"/>
        <n v="4" u="1"/>
      </sharedItems>
    </cacheField>
    <cacheField name="AGRUP. CLAS. PROF." numFmtId="0">
      <sharedItems containsString="0" containsBlank="1"/>
    </cacheField>
    <cacheField name="AGRUP. VALOR. PTO." numFmtId="0">
      <sharedItems containsBlank="1" count="20">
        <m/>
        <s v="ESCALA 04" u="1"/>
        <s v="ESCALA 03" u="1"/>
        <s v="ESCALA 01" u="1"/>
        <s v="ESCALA 06" u="1"/>
        <s v="ESCALA 07" u="1"/>
        <s v="ESCALA 05" u="1"/>
        <s v="ESCALA 1" u="1"/>
        <s v="ESCALA 6" u="1"/>
        <s v="ESCALA 10" u="1"/>
        <s v="ESCALA 5" u="1"/>
        <s v="ESCALA 4" u="1"/>
        <s v="ESCALA 9" u="1"/>
        <s v="ESCALA 09" u="1"/>
        <s v="ESCALA 3" u="1"/>
        <s v="ESCALA 8" u="1"/>
        <s v="ESCALA 02" u="1"/>
        <s v="ESCALA 2" u="1"/>
        <s v="ESCALA 7" u="1"/>
        <s v="ESCALA 08" u="1"/>
      </sharedItems>
    </cacheField>
    <cacheField name="Convenio/Área" numFmtId="1">
      <sharedItems containsSemiMixedTypes="0" containsString="0" containsNumber="1" containsInteger="1" minValue="8000765011993" maxValue="99004615011982" count="5">
        <n v="14000425011981"/>
        <n v="99004615011982" u="1"/>
        <n v="8000765011993" u="1"/>
        <n v="29000285011982" u="1"/>
        <n v="99002995011981" u="1"/>
      </sharedItems>
    </cacheField>
    <cacheField name="Categoría profesional" numFmtId="0">
      <sharedItems containsString="0" containsBlank="1" containsNumber="1" containsInteger="1" minValue="5" maxValue="10"/>
    </cacheField>
    <cacheField name="Grupo profesional" numFmtId="0">
      <sharedItems containsBlank="1" containsMixedTypes="1" containsNumber="1" containsInteger="1" minValue="0" maxValue="0" count="6">
        <s v="PERSONAL OPERARIO GENERAL"/>
        <s v="PERSONAL ADMINISTRATIVO"/>
        <s v="PERSONAL SUBALTERNO"/>
        <m/>
        <s v="PERSONA OPERARIO GENERAL"/>
        <n v="0" u="1"/>
      </sharedItems>
    </cacheField>
    <cacheField name="Nivel" numFmtId="0">
      <sharedItems containsString="0" containsBlank="1" containsNumber="1" containsInteger="1" minValue="0" maxValue="8" count="10">
        <m/>
        <n v="0" u="1"/>
        <n v="5" u="1"/>
        <n v="2" u="1"/>
        <n v="6" u="1"/>
        <n v="7" u="1"/>
        <n v="1" u="1"/>
        <n v="3" u="1"/>
        <n v="8" u="1"/>
        <n v="4" u="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79.826625347225" createdVersion="8" refreshedVersion="8" minRefreshableVersion="3" recordCount="101" xr:uid="{B7FB74EA-28F8-E94A-95A9-E2C3FC96B906}">
  <cacheSource type="worksheet">
    <worksheetSource name="DATOS_[[Sexo]:[TOTAL Retrib Eq]]"/>
  </cacheSource>
  <cacheFields count="78">
    <cacheField name="Sexo" numFmtId="49">
      <sharedItems count="2">
        <s v="HOMBRE"/>
        <s v="MUJER"/>
      </sharedItems>
    </cacheField>
    <cacheField name="Fecha Nacimiento" numFmtId="165">
      <sharedItems containsSemiMixedTypes="0" containsNonDate="0" containsDate="1" containsString="0" minDate="1959-09-22T00:00:00" maxDate="2010-08-02T00:00:00"/>
    </cacheField>
    <cacheField name="Nivel de Estudios" numFmtId="165">
      <sharedItems/>
    </cacheField>
    <cacheField name="Situación Familiar" numFmtId="0">
      <sharedItems containsString="0" containsBlank="1"/>
    </cacheField>
    <cacheField name="Hijos/as" numFmtId="0">
      <sharedItems containsString="0" containsBlank="1"/>
    </cacheField>
    <cacheField name="Fecha de Contratación" numFmtId="165">
      <sharedItems containsSemiMixedTypes="0" containsNonDate="0" containsDate="1" containsString="0" minDate="1986-03-08T00:00:00" maxDate="2024-07-16T00:00:00"/>
    </cacheField>
    <cacheField name="Fecha Fin Contrato" numFmtId="165">
      <sharedItems containsString="0" containsBlank="1"/>
    </cacheField>
    <cacheField name="Fecha de Antigüedad" numFmtId="165">
      <sharedItems containsSemiMixedTypes="0" containsNonDate="0" containsDate="1" containsString="0" minDate="1931-03-05T00:00:00" maxDate="2024-07-16T00:00:00"/>
    </cacheField>
    <cacheField name="Fecha Inicio Sit. Contract." numFmtId="165">
      <sharedItems containsDate="1" containsString="0" containsBlank="1" minDate="2023-01-05T00:00:00" maxDate="2023-03-21T00:00:00"/>
    </cacheField>
    <cacheField name="Fecha Fin Sit. Contract." numFmtId="165">
      <sharedItems containsDate="1" containsString="0" containsBlank="1" minDate="2023-01-22T00:00:00" maxDate="2023-03-21T00:00:00"/>
    </cacheField>
    <cacheField name="% de jornada" numFmtId="9">
      <sharedItems containsSemiMixedTypes="0" containsString="0" containsNumber="1" minValue="0.26250000000000001" maxValue="1"/>
    </cacheField>
    <cacheField name="% jornada reducida" numFmtId="9">
      <sharedItems containsString="0" containsBlank="1"/>
    </cacheField>
    <cacheField name="motivo reducción" numFmtId="9">
      <sharedItems containsString="0" containsBlank="1"/>
    </cacheField>
    <cacheField name="Clave de Contrato" numFmtId="0">
      <sharedItems containsString="0" containsBlank="1"/>
    </cacheField>
    <cacheField name="Area-empresa" numFmtId="0">
      <sharedItems/>
    </cacheField>
    <cacheField name="Dpto-empresa" numFmtId="0">
      <sharedItems/>
    </cacheField>
    <cacheField name="Puesto-empresa" numFmtId="0">
      <sharedItems count="52">
        <s v="CONDUCTOR"/>
        <s v="ENCARGADOS DE CONDUCTORES"/>
        <s v="OPERARIO CREMATORIO"/>
        <s v="ENCARGADO DE MANTENIMIENTO"/>
        <s v="CONTABILIDAD"/>
        <s v="FACTURACION"/>
        <s v="TRAMITACIONES Y DILIGENCIA"/>
        <s v="PERSONAL Y CALIDAD"/>
        <s v="ASESOR"/>
        <s v="LIMPIADORA (ENCARGADA)"/>
        <s v="LIMPIADORA"/>
        <s v="CONDUCTOR/OPERARIO CREMATORIO"/>
        <s v="RECEPCIONISTA"/>
        <s v="RELACIONES PUBLICAS"/>
        <s v="ASESORA"/>
        <s v="MAESTRA DE CEREMONIAS"/>
        <s v="GERENTE"/>
        <s v="LIMPIEZA"/>
        <s v="ASESORA ZONA VILLLAVICIOSA"/>
        <s v="ASESOR ZONA LA CARLOTA"/>
        <s v="LIMPIADORA LA CARLOTA"/>
        <s v="MANTENIMIENTO"/>
        <s v="POLIVALENTE"/>
        <s v="ASESOR ZONA POSADAS"/>
        <s v="JEFE DE SERVICIOS"/>
        <s v="JEFE DE DESARROLLO"/>
        <s v="ASESOR ZONA BUJALANCE"/>
        <s v="JEFA DE OFICINA"/>
        <s v="ADMINISTRATIVA"/>
        <s v="ASESORA DE ZONA MONTILLA"/>
        <s v="ASESOR DE ZONA CABRA"/>
        <s v="ASESORA DE ZONA EL CARPIO-PEDRO ABAD"/>
        <s v="ASESORA DE ZONA FTE. PALMERA"/>
        <s v="ASESOR DE ZONA LUQUE"/>
        <s v="ASESOR DE ZONA BUJALANCE"/>
        <s v="CONDUCTORA"/>
        <s v="LIMPIADORA BUJALANCE"/>
        <s v="ASESOR DE ZONA FTE. OBEJUNA"/>
        <s v="ASESOR DE ZONA DOÑA MENCIA"/>
        <s v="LIMPIADORA FTE. OBEJUNA"/>
        <s v="ZONA  VILLAVICIOSA" u="1"/>
        <s v="JEFE DE SEGURIDAD" u="1"/>
        <s v="RESPONSABLE DPTO SEGURIDAD ELECTRONICA Y SISTEMAS SEGURIDAD" u="1"/>
        <s v="RESPONSABLE DPTO ADMINISTRACIÓN" u="1"/>
        <s v="AUXILIAR ADMINISTRATIVO" u="1"/>
        <s v="VENDEDOR/A" u="1"/>
        <s v="VIGILANTE" u="1"/>
        <s v="ENCARGADO (P.SEGURIDAD MEC.)" u="1"/>
        <s v="OFICIAL DE 1ª(SEGURIDAD ELECTRÓNICA Y SISTEMA DE SEGURIDAD)" u="1"/>
        <s v="OFICIAL DE 2ª(SEGURIDAD ELECTRÓNICA Y SISTEMAS DE SEGURIDAD)" u="1"/>
        <s v="AYUDANTE (OFICIOS VARIOS)" u="1"/>
        <s v="PEÓN (OFICIOS VARIOS)" u="1"/>
      </sharedItems>
    </cacheField>
    <cacheField name="Horario (continuo/partido)" numFmtId="0">
      <sharedItems containsBlank="1"/>
    </cacheField>
    <cacheField name="Trabajo a turnos" numFmtId="0">
      <sharedItems containsBlank="1"/>
    </cacheField>
    <cacheField name="Escala-empresa" numFmtId="0">
      <sharedItems containsBlank="1" count="3">
        <m/>
        <s v="TÉCNICOS" u="1"/>
        <s v="VIGILANTES" u="1"/>
      </sharedItems>
    </cacheField>
    <cacheField name="AGRUP. CLAS. PROF." numFmtId="0">
      <sharedItems containsBlank="1" count="7">
        <m/>
        <s v="GRUPO 01" u="1"/>
        <s v="GRUPO 02" u="1"/>
        <s v="GRUPO 03" u="1"/>
        <s v="GRUPO 04" u="1"/>
        <s v="GRUPO 05" u="1"/>
        <s v="GRUPO 06" u="1"/>
      </sharedItems>
    </cacheField>
    <cacheField name="AGRUP. VALOR. PTO." numFmtId="0">
      <sharedItems containsString="0" containsBlank="1"/>
    </cacheField>
    <cacheField name="Convenio/Área" numFmtId="1">
      <sharedItems containsSemiMixedTypes="0" containsString="0" containsNumber="1" containsInteger="1" minValue="14000425011981" maxValue="14000425011981"/>
    </cacheField>
    <cacheField name="Categoría profesional" numFmtId="0">
      <sharedItems containsString="0" containsBlank="1" containsNumber="1" containsInteger="1" minValue="5" maxValue="10"/>
    </cacheField>
    <cacheField name="Grupo profesional" numFmtId="0">
      <sharedItems containsBlank="1"/>
    </cacheField>
    <cacheField name="Nivel" numFmtId="0">
      <sharedItems containsString="0" containsBlank="1"/>
    </cacheField>
    <cacheField name="Grupo de Cotización Seg.Social." numFmtId="0">
      <sharedItems containsString="0" containsBlank="1" containsNumber="1" containsInteger="1" minValue="5" maxValue="10"/>
    </cacheField>
    <cacheField name="S.BASE" numFmtId="4">
      <sharedItems containsString="0" containsBlank="1"/>
    </cacheField>
    <cacheField name="Conc.Sal.01" numFmtId="4">
      <sharedItems containsString="0" containsBlank="1"/>
    </cacheField>
    <cacheField name="Conc.Sal.02" numFmtId="4">
      <sharedItems containsString="0" containsBlank="1"/>
    </cacheField>
    <cacheField name="Conc.Sal.03" numFmtId="4">
      <sharedItems containsString="0" containsBlank="1"/>
    </cacheField>
    <cacheField name="Conc.Sal.04" numFmtId="4">
      <sharedItems containsString="0" containsBlank="1"/>
    </cacheField>
    <cacheField name="Conc.Sal.05" numFmtId="4">
      <sharedItems containsString="0" containsBlank="1"/>
    </cacheField>
    <cacheField name="Conc.Sal.06" numFmtId="4">
      <sharedItems containsString="0" containsBlank="1"/>
    </cacheField>
    <cacheField name="Conc.Sal.07" numFmtId="4">
      <sharedItems containsString="0" containsBlank="1"/>
    </cacheField>
    <cacheField name="Conc.Sal.08" numFmtId="4">
      <sharedItems containsString="0" containsBlank="1"/>
    </cacheField>
    <cacheField name="Conc.Sal.09" numFmtId="4">
      <sharedItems containsString="0" containsBlank="1"/>
    </cacheField>
    <cacheField name="Conc.Sal.10" numFmtId="4">
      <sharedItems containsString="0" containsBlank="1"/>
    </cacheField>
    <cacheField name="Conc.Sal.11" numFmtId="4">
      <sharedItems containsString="0" containsBlank="1"/>
    </cacheField>
    <cacheField name="Conc.Sal.12" numFmtId="4">
      <sharedItems containsString="0" containsBlank="1"/>
    </cacheField>
    <cacheField name="Conc.Sal.13" numFmtId="4">
      <sharedItems containsString="0" containsBlank="1"/>
    </cacheField>
    <cacheField name="Conc.Sal.14" numFmtId="4">
      <sharedItems containsString="0" containsBlank="1"/>
    </cacheField>
    <cacheField name="Conc.Sal.15" numFmtId="4">
      <sharedItems containsString="0" containsBlank="1"/>
    </cacheField>
    <cacheField name="Conc.Sal.16" numFmtId="4">
      <sharedItems containsString="0" containsBlank="1"/>
    </cacheField>
    <cacheField name="Conc.Sal.17" numFmtId="4">
      <sharedItems containsString="0" containsBlank="1"/>
    </cacheField>
    <cacheField name="Conc.Sal.18" numFmtId="4">
      <sharedItems containsString="0" containsBlank="1"/>
    </cacheField>
    <cacheField name="Conc.Sal.19" numFmtId="4">
      <sharedItems containsString="0" containsBlank="1"/>
    </cacheField>
    <cacheField name="Conc.Sal.20" numFmtId="4">
      <sharedItems containsString="0" containsBlank="1"/>
    </cacheField>
    <cacheField name="Conc.Sal.21" numFmtId="4">
      <sharedItems containsString="0" containsBlank="1"/>
    </cacheField>
    <cacheField name="Conc.Sal.22" numFmtId="4">
      <sharedItems containsString="0" containsBlank="1"/>
    </cacheField>
    <cacheField name="Conc.Sal.23" numFmtId="4">
      <sharedItems containsString="0" containsBlank="1"/>
    </cacheField>
    <cacheField name="Conc.Sal.24" numFmtId="4">
      <sharedItems containsString="0" containsBlank="1"/>
    </cacheField>
    <cacheField name="Conc.Sal.25" numFmtId="4">
      <sharedItems containsString="0" containsBlank="1"/>
    </cacheField>
    <cacheField name="Conc.Sal.26" numFmtId="4">
      <sharedItems containsString="0" containsBlank="1"/>
    </cacheField>
    <cacheField name="Conc.Sal.27" numFmtId="4">
      <sharedItems containsString="0" containsBlank="1"/>
    </cacheField>
    <cacheField name="Conc.Sal.28" numFmtId="4">
      <sharedItems containsString="0" containsBlank="1"/>
    </cacheField>
    <cacheField name="Conc.Sal.29" numFmtId="4">
      <sharedItems containsString="0" containsBlank="1"/>
    </cacheField>
    <cacheField name="Conc.Sal.30" numFmtId="4">
      <sharedItems containsString="0" containsBlank="1"/>
    </cacheField>
    <cacheField name="C.Extra.01" numFmtId="4">
      <sharedItems containsString="0" containsBlank="1"/>
    </cacheField>
    <cacheField name="C.Extra.02" numFmtId="4">
      <sharedItems containsString="0" containsBlank="1"/>
    </cacheField>
    <cacheField name="C.Extra.03" numFmtId="4">
      <sharedItems containsString="0" containsBlank="1"/>
    </cacheField>
    <cacheField name="C.Extra.04" numFmtId="4">
      <sharedItems containsString="0" containsBlank="1"/>
    </cacheField>
    <cacheField name="C.Extra.05" numFmtId="4">
      <sharedItems containsString="0" containsBlank="1"/>
    </cacheField>
    <cacheField name="F.ini.cal" numFmtId="165">
      <sharedItems containsSemiMixedTypes="0" containsNonDate="0" containsDate="1" containsString="0" minDate="2024-01-01T00:00:00" maxDate="2024-01-02T00:00:00"/>
    </cacheField>
    <cacheField name="F.fin.cal" numFmtId="165">
      <sharedItems containsSemiMixedTypes="0" containsNonDate="0" containsDate="1" containsString="0" minDate="2023-01-22T00:00:00" maxDate="2025-01-01T00:00:00"/>
    </cacheField>
    <cacheField name="% normaliz" numFmtId="9">
      <sharedItems containsSemiMixedTypes="0" containsString="0" containsNumber="1" minValue="0.26250000000000001" maxValue="1"/>
    </cacheField>
    <cacheField name="% anualiz" numFmtId="9">
      <sharedItems containsSemiMixedTypes="0" containsString="0" containsNumber="1" minValue="-0.93715846994535523" maxValue="1"/>
    </cacheField>
    <cacheField name="Check Periodo Ref." numFmtId="9">
      <sharedItems/>
    </cacheField>
    <cacheField name="Check Equiparado" numFmtId="9">
      <sharedItems/>
    </cacheField>
    <cacheField name="Check Nº SC Norm" numFmtId="9">
      <sharedItems/>
    </cacheField>
    <cacheField name="Check Nº SC Anualiz" numFmtId="9">
      <sharedItems/>
    </cacheField>
    <cacheField name="Check Nº SC Norm y Anualiz" numFmtId="9">
      <sharedItems/>
    </cacheField>
    <cacheField name="Check Equiparación" numFmtId="9">
      <sharedItems/>
    </cacheField>
    <cacheField name="SALARIO BASE Eq" numFmtId="3">
      <sharedItems containsSemiMixedTypes="0" containsString="0" containsNumber="1" containsInteger="1" minValue="0" maxValue="0"/>
    </cacheField>
    <cacheField name="Tot COMPL.SAL Eq" numFmtId="3">
      <sharedItems containsSemiMixedTypes="0" containsString="0" containsNumber="1" containsInteger="1" minValue="0" maxValue="0"/>
    </cacheField>
    <cacheField name="TOTAL SALARIO Eq" numFmtId="3">
      <sharedItems containsSemiMixedTypes="0" containsString="0" containsNumber="1" containsInteger="1" minValue="0" maxValue="0"/>
    </cacheField>
    <cacheField name="Tot Extrasalarial Eq" numFmtId="3">
      <sharedItems containsSemiMixedTypes="0" containsString="0" containsNumber="1" containsInteger="1" minValue="0" maxValue="0"/>
    </cacheField>
    <cacheField name="TOTAL Retrib Eq" numFmtId="3">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x v="0"/>
    <s v="CONTINUO"/>
    <s v="SI"/>
    <x v="0"/>
    <m/>
    <x v="0"/>
    <x v="0"/>
    <n v="10"/>
    <x v="0"/>
    <x v="0"/>
  </r>
  <r>
    <x v="1"/>
    <s v="CONTINUO"/>
    <s v="SI"/>
    <x v="0"/>
    <m/>
    <x v="0"/>
    <x v="0"/>
    <n v="10"/>
    <x v="0"/>
    <x v="0"/>
  </r>
  <r>
    <x v="2"/>
    <s v="CONTINUO"/>
    <s v="SI"/>
    <x v="0"/>
    <m/>
    <x v="0"/>
    <x v="0"/>
    <n v="10"/>
    <x v="0"/>
    <x v="0"/>
  </r>
  <r>
    <x v="3"/>
    <s v="CONTINUO"/>
    <s v="SI"/>
    <x v="0"/>
    <m/>
    <x v="0"/>
    <x v="0"/>
    <n v="8"/>
    <x v="0"/>
    <x v="0"/>
  </r>
  <r>
    <x v="4"/>
    <s v="CONTINUO"/>
    <s v="SI"/>
    <x v="0"/>
    <m/>
    <x v="0"/>
    <x v="0"/>
    <n v="5"/>
    <x v="1"/>
    <x v="0"/>
  </r>
  <r>
    <x v="5"/>
    <s v="CONTINUO"/>
    <s v="SI"/>
    <x v="0"/>
    <m/>
    <x v="0"/>
    <x v="0"/>
    <n v="5"/>
    <x v="1"/>
    <x v="0"/>
  </r>
  <r>
    <x v="6"/>
    <s v="CONTINUO"/>
    <s v="NO"/>
    <x v="0"/>
    <m/>
    <x v="0"/>
    <x v="0"/>
    <n v="8"/>
    <x v="1"/>
    <x v="0"/>
  </r>
  <r>
    <x v="7"/>
    <s v="CONTINUO"/>
    <s v="NO"/>
    <x v="0"/>
    <m/>
    <x v="0"/>
    <x v="0"/>
    <n v="5"/>
    <x v="1"/>
    <x v="0"/>
  </r>
  <r>
    <x v="2"/>
    <s v="CONTINUO"/>
    <s v="SI"/>
    <x v="0"/>
    <m/>
    <x v="0"/>
    <x v="0"/>
    <n v="8"/>
    <x v="0"/>
    <x v="0"/>
  </r>
  <r>
    <x v="8"/>
    <s v="CONTINUO"/>
    <s v="SI"/>
    <x v="0"/>
    <m/>
    <x v="0"/>
    <x v="0"/>
    <n v="8"/>
    <x v="1"/>
    <x v="0"/>
  </r>
  <r>
    <x v="9"/>
    <s v="PARTIDO"/>
    <s v="SI"/>
    <x v="0"/>
    <m/>
    <x v="0"/>
    <x v="0"/>
    <n v="10"/>
    <x v="2"/>
    <x v="0"/>
  </r>
  <r>
    <x v="10"/>
    <s v="PARTIDO"/>
    <s v="SI"/>
    <x v="0"/>
    <m/>
    <x v="0"/>
    <x v="0"/>
    <n v="10"/>
    <x v="2"/>
    <x v="0"/>
  </r>
  <r>
    <x v="8"/>
    <s v="CONTINUO"/>
    <s v="SI"/>
    <x v="0"/>
    <m/>
    <x v="0"/>
    <x v="0"/>
    <n v="8"/>
    <x v="0"/>
    <x v="0"/>
  </r>
  <r>
    <x v="11"/>
    <s v="CONTINUO"/>
    <s v="SI"/>
    <x v="0"/>
    <m/>
    <x v="0"/>
    <x v="0"/>
    <n v="8"/>
    <x v="0"/>
    <x v="0"/>
  </r>
  <r>
    <x v="0"/>
    <s v="CONTINUO"/>
    <s v="SI"/>
    <x v="0"/>
    <m/>
    <x v="0"/>
    <x v="0"/>
    <n v="8"/>
    <x v="0"/>
    <x v="0"/>
  </r>
  <r>
    <x v="12"/>
    <s v="CONTINUO"/>
    <s v="SI"/>
    <x v="0"/>
    <m/>
    <x v="0"/>
    <x v="0"/>
    <n v="8"/>
    <x v="0"/>
    <x v="0"/>
  </r>
  <r>
    <x v="0"/>
    <s v="CONTINUO"/>
    <s v="SI"/>
    <x v="0"/>
    <m/>
    <x v="0"/>
    <x v="0"/>
    <n v="8"/>
    <x v="0"/>
    <x v="0"/>
  </r>
  <r>
    <x v="13"/>
    <s v="CONTINUO"/>
    <s v="NO"/>
    <x v="0"/>
    <m/>
    <x v="0"/>
    <x v="0"/>
    <n v="5"/>
    <x v="1"/>
    <x v="0"/>
  </r>
  <r>
    <x v="0"/>
    <s v="CONTINUO"/>
    <s v="SI"/>
    <x v="0"/>
    <m/>
    <x v="0"/>
    <x v="0"/>
    <n v="8"/>
    <x v="0"/>
    <x v="0"/>
  </r>
  <r>
    <x v="14"/>
    <s v="CONTINUO"/>
    <s v="SI"/>
    <x v="0"/>
    <m/>
    <x v="0"/>
    <x v="0"/>
    <n v="8"/>
    <x v="1"/>
    <x v="0"/>
  </r>
  <r>
    <x v="12"/>
    <s v="CONTINUO"/>
    <s v="SI"/>
    <x v="0"/>
    <m/>
    <x v="0"/>
    <x v="0"/>
    <n v="7"/>
    <x v="0"/>
    <x v="0"/>
  </r>
  <r>
    <x v="15"/>
    <s v="CONTINUO"/>
    <s v="SI"/>
    <x v="0"/>
    <m/>
    <x v="0"/>
    <x v="0"/>
    <n v="7"/>
    <x v="0"/>
    <x v="0"/>
  </r>
  <r>
    <x v="15"/>
    <s v="CONTINUO"/>
    <s v="SI"/>
    <x v="0"/>
    <m/>
    <x v="0"/>
    <x v="0"/>
    <n v="7"/>
    <x v="0"/>
    <x v="0"/>
  </r>
  <r>
    <x v="0"/>
    <s v="CONTINUO"/>
    <s v="SI"/>
    <x v="0"/>
    <m/>
    <x v="0"/>
    <x v="0"/>
    <n v="8"/>
    <x v="0"/>
    <x v="0"/>
  </r>
  <r>
    <x v="0"/>
    <s v="CONTINUO"/>
    <s v="SI"/>
    <x v="0"/>
    <m/>
    <x v="0"/>
    <x v="0"/>
    <n v="8"/>
    <x v="0"/>
    <x v="0"/>
  </r>
  <r>
    <x v="0"/>
    <s v="CONTINUO"/>
    <s v="SI"/>
    <x v="0"/>
    <m/>
    <x v="0"/>
    <x v="0"/>
    <n v="8"/>
    <x v="0"/>
    <x v="0"/>
  </r>
  <r>
    <x v="8"/>
    <s v="CONTINUO"/>
    <s v="SI"/>
    <x v="0"/>
    <m/>
    <x v="0"/>
    <x v="0"/>
    <n v="8"/>
    <x v="1"/>
    <x v="0"/>
  </r>
  <r>
    <x v="16"/>
    <s v="CONTINUO"/>
    <s v="NO"/>
    <x v="0"/>
    <m/>
    <x v="0"/>
    <x v="0"/>
    <n v="5"/>
    <x v="1"/>
    <x v="0"/>
  </r>
  <r>
    <x v="8"/>
    <s v="CONTINUO"/>
    <s v="SI"/>
    <x v="0"/>
    <m/>
    <x v="0"/>
    <x v="0"/>
    <n v="8"/>
    <x v="1"/>
    <x v="0"/>
  </r>
  <r>
    <x v="8"/>
    <s v="CONTINUO"/>
    <s v="SI"/>
    <x v="0"/>
    <m/>
    <x v="0"/>
    <x v="0"/>
    <n v="8"/>
    <x v="1"/>
    <x v="0"/>
  </r>
  <r>
    <x v="0"/>
    <s v="CONTINUO"/>
    <s v="SI"/>
    <x v="0"/>
    <m/>
    <x v="0"/>
    <x v="0"/>
    <n v="8"/>
    <x v="0"/>
    <x v="0"/>
  </r>
  <r>
    <x v="17"/>
    <s v="PARTIDO"/>
    <s v="SI"/>
    <x v="0"/>
    <m/>
    <x v="0"/>
    <x v="0"/>
    <n v="10"/>
    <x v="2"/>
    <x v="0"/>
  </r>
  <r>
    <x v="8"/>
    <s v="CONTINUO"/>
    <s v="SI"/>
    <x v="0"/>
    <m/>
    <x v="0"/>
    <x v="0"/>
    <n v="8"/>
    <x v="1"/>
    <x v="0"/>
  </r>
  <r>
    <x v="10"/>
    <s v="CONTINUO"/>
    <s v="SI"/>
    <x v="0"/>
    <m/>
    <x v="0"/>
    <x v="0"/>
    <n v="10"/>
    <x v="2"/>
    <x v="0"/>
  </r>
  <r>
    <x v="10"/>
    <s v="PARCIAL"/>
    <s v="SI"/>
    <x v="0"/>
    <m/>
    <x v="0"/>
    <x v="0"/>
    <n v="10"/>
    <x v="2"/>
    <x v="0"/>
  </r>
  <r>
    <x v="10"/>
    <s v="CONTINUO"/>
    <s v="SI"/>
    <x v="0"/>
    <m/>
    <x v="0"/>
    <x v="0"/>
    <n v="10"/>
    <x v="2"/>
    <x v="0"/>
  </r>
  <r>
    <x v="0"/>
    <s v="CONTINUO"/>
    <s v="SI"/>
    <x v="0"/>
    <m/>
    <x v="0"/>
    <x v="0"/>
    <n v="8"/>
    <x v="0"/>
    <x v="0"/>
  </r>
  <r>
    <x v="0"/>
    <s v="CONTINUO"/>
    <s v="SI"/>
    <x v="0"/>
    <m/>
    <x v="0"/>
    <x v="0"/>
    <n v="8"/>
    <x v="0"/>
    <x v="0"/>
  </r>
  <r>
    <x v="0"/>
    <s v="CONTINUO"/>
    <s v="SI"/>
    <x v="0"/>
    <m/>
    <x v="0"/>
    <x v="0"/>
    <n v="8"/>
    <x v="0"/>
    <x v="0"/>
  </r>
  <r>
    <x v="0"/>
    <s v="CONTINUO"/>
    <s v="SI"/>
    <x v="0"/>
    <m/>
    <x v="0"/>
    <x v="0"/>
    <n v="8"/>
    <x v="0"/>
    <x v="0"/>
  </r>
  <r>
    <x v="18"/>
    <m/>
    <m/>
    <x v="0"/>
    <m/>
    <x v="0"/>
    <x v="0"/>
    <n v="10"/>
    <x v="2"/>
    <x v="0"/>
  </r>
  <r>
    <x v="0"/>
    <s v="CONTINUO"/>
    <s v="SI"/>
    <x v="0"/>
    <m/>
    <x v="0"/>
    <x v="0"/>
    <n v="8"/>
    <x v="0"/>
    <x v="0"/>
  </r>
  <r>
    <x v="0"/>
    <s v="CONTINUO"/>
    <s v="SI"/>
    <x v="0"/>
    <m/>
    <x v="0"/>
    <x v="0"/>
    <n v="8"/>
    <x v="0"/>
    <x v="0"/>
  </r>
  <r>
    <x v="12"/>
    <s v="CONTINUO"/>
    <s v="SI"/>
    <x v="0"/>
    <m/>
    <x v="0"/>
    <x v="0"/>
    <n v="7"/>
    <x v="0"/>
    <x v="0"/>
  </r>
  <r>
    <x v="12"/>
    <s v="CONTINUO"/>
    <s v="SI"/>
    <x v="0"/>
    <m/>
    <x v="0"/>
    <x v="0"/>
    <n v="7"/>
    <x v="0"/>
    <x v="0"/>
  </r>
  <r>
    <x v="15"/>
    <s v="CONTINUO"/>
    <s v="SI"/>
    <x v="0"/>
    <m/>
    <x v="0"/>
    <x v="0"/>
    <n v="7"/>
    <x v="0"/>
    <x v="0"/>
  </r>
  <r>
    <x v="19"/>
    <s v="CONTINUO"/>
    <s v="SI"/>
    <x v="0"/>
    <m/>
    <x v="0"/>
    <x v="0"/>
    <n v="8"/>
    <x v="0"/>
    <x v="0"/>
  </r>
  <r>
    <x v="20"/>
    <s v="CONTINUO"/>
    <s v="NO"/>
    <x v="0"/>
    <m/>
    <x v="0"/>
    <x v="0"/>
    <n v="10"/>
    <x v="2"/>
    <x v="0"/>
  </r>
  <r>
    <x v="0"/>
    <s v="CONTINUO"/>
    <m/>
    <x v="0"/>
    <m/>
    <x v="0"/>
    <x v="0"/>
    <n v="8"/>
    <x v="0"/>
    <x v="0"/>
  </r>
  <r>
    <x v="21"/>
    <s v="CONTINUO"/>
    <s v="NO"/>
    <x v="0"/>
    <m/>
    <x v="0"/>
    <x v="0"/>
    <n v="8"/>
    <x v="0"/>
    <x v="0"/>
  </r>
  <r>
    <x v="22"/>
    <s v="CONTINUO"/>
    <s v="SI"/>
    <x v="0"/>
    <m/>
    <x v="0"/>
    <x v="0"/>
    <n v="8"/>
    <x v="1"/>
    <x v="0"/>
  </r>
  <r>
    <x v="23"/>
    <s v="CONTINUO"/>
    <s v="NO"/>
    <x v="0"/>
    <m/>
    <x v="0"/>
    <x v="0"/>
    <n v="8"/>
    <x v="0"/>
    <x v="0"/>
  </r>
  <r>
    <x v="24"/>
    <s v="CONTINUO"/>
    <s v="SI"/>
    <x v="0"/>
    <m/>
    <x v="0"/>
    <x v="0"/>
    <n v="8"/>
    <x v="0"/>
    <x v="0"/>
  </r>
  <r>
    <x v="0"/>
    <s v="CONTINUO"/>
    <s v="SI"/>
    <x v="0"/>
    <m/>
    <x v="0"/>
    <x v="0"/>
    <n v="8"/>
    <x v="0"/>
    <x v="0"/>
  </r>
  <r>
    <x v="0"/>
    <s v="CONTINUO"/>
    <s v="SI"/>
    <x v="0"/>
    <m/>
    <x v="0"/>
    <x v="0"/>
    <n v="8"/>
    <x v="0"/>
    <x v="0"/>
  </r>
  <r>
    <x v="25"/>
    <s v="CONTINUO"/>
    <s v="SI"/>
    <x v="0"/>
    <m/>
    <x v="0"/>
    <x v="0"/>
    <n v="5"/>
    <x v="0"/>
    <x v="0"/>
  </r>
  <r>
    <x v="22"/>
    <s v="CONTINUO"/>
    <s v="SI"/>
    <x v="0"/>
    <m/>
    <x v="0"/>
    <x v="0"/>
    <n v="8"/>
    <x v="0"/>
    <x v="0"/>
  </r>
  <r>
    <x v="22"/>
    <s v="CONTINUO"/>
    <s v="SI"/>
    <x v="0"/>
    <m/>
    <x v="0"/>
    <x v="0"/>
    <n v="8"/>
    <x v="0"/>
    <x v="0"/>
  </r>
  <r>
    <x v="22"/>
    <s v="CONTINUO"/>
    <s v="SI"/>
    <x v="0"/>
    <m/>
    <x v="0"/>
    <x v="0"/>
    <n v="8"/>
    <x v="0"/>
    <x v="0"/>
  </r>
  <r>
    <x v="0"/>
    <s v="CONTINUO"/>
    <s v="SI"/>
    <x v="0"/>
    <m/>
    <x v="0"/>
    <x v="0"/>
    <n v="8"/>
    <x v="0"/>
    <x v="0"/>
  </r>
  <r>
    <x v="12"/>
    <s v="CONTINUO"/>
    <s v="SI"/>
    <x v="0"/>
    <m/>
    <x v="0"/>
    <x v="0"/>
    <n v="7"/>
    <x v="0"/>
    <x v="0"/>
  </r>
  <r>
    <x v="12"/>
    <s v="CONTINUO"/>
    <s v="SI"/>
    <x v="0"/>
    <m/>
    <x v="0"/>
    <x v="0"/>
    <n v="7"/>
    <x v="0"/>
    <x v="0"/>
  </r>
  <r>
    <x v="22"/>
    <s v="CONTINUO"/>
    <s v="SI"/>
    <x v="0"/>
    <m/>
    <x v="0"/>
    <x v="0"/>
    <n v="8"/>
    <x v="0"/>
    <x v="0"/>
  </r>
  <r>
    <x v="22"/>
    <s v="CONTINUO"/>
    <s v="SI"/>
    <x v="0"/>
    <m/>
    <x v="0"/>
    <x v="0"/>
    <n v="8"/>
    <x v="0"/>
    <x v="0"/>
  </r>
  <r>
    <x v="22"/>
    <s v="CONTINUO"/>
    <s v="SI"/>
    <x v="0"/>
    <m/>
    <x v="0"/>
    <x v="0"/>
    <n v="8"/>
    <x v="0"/>
    <x v="0"/>
  </r>
  <r>
    <x v="15"/>
    <s v="CONTINUO"/>
    <s v="SI"/>
    <x v="0"/>
    <m/>
    <x v="0"/>
    <x v="0"/>
    <n v="7"/>
    <x v="0"/>
    <x v="0"/>
  </r>
  <r>
    <x v="12"/>
    <s v="CONTINUO"/>
    <s v="SI"/>
    <x v="0"/>
    <m/>
    <x v="0"/>
    <x v="0"/>
    <n v="7"/>
    <x v="0"/>
    <x v="0"/>
  </r>
  <r>
    <x v="26"/>
    <s v="CONTINUO"/>
    <s v="NO"/>
    <x v="0"/>
    <m/>
    <x v="0"/>
    <x v="0"/>
    <m/>
    <x v="3"/>
    <x v="0"/>
  </r>
  <r>
    <x v="27"/>
    <s v="CONTINUO"/>
    <s v="NO"/>
    <x v="0"/>
    <m/>
    <x v="0"/>
    <x v="0"/>
    <m/>
    <x v="3"/>
    <x v="0"/>
  </r>
  <r>
    <x v="0"/>
    <s v="CONTINUO"/>
    <s v="SI"/>
    <x v="0"/>
    <m/>
    <x v="0"/>
    <x v="0"/>
    <m/>
    <x v="3"/>
    <x v="0"/>
  </r>
  <r>
    <x v="0"/>
    <s v="CONTINUO"/>
    <s v="SI"/>
    <x v="0"/>
    <m/>
    <x v="0"/>
    <x v="0"/>
    <m/>
    <x v="3"/>
    <x v="0"/>
  </r>
  <r>
    <x v="10"/>
    <s v="CONTINUO"/>
    <s v="NO"/>
    <x v="0"/>
    <m/>
    <x v="0"/>
    <x v="0"/>
    <m/>
    <x v="3"/>
    <x v="0"/>
  </r>
  <r>
    <x v="28"/>
    <s v="CONTINUO"/>
    <s v="NO"/>
    <x v="0"/>
    <m/>
    <x v="0"/>
    <x v="0"/>
    <m/>
    <x v="3"/>
    <x v="0"/>
  </r>
  <r>
    <x v="29"/>
    <s v="CONTINUO"/>
    <s v="NO"/>
    <x v="0"/>
    <m/>
    <x v="0"/>
    <x v="0"/>
    <m/>
    <x v="3"/>
    <x v="0"/>
  </r>
  <r>
    <x v="20"/>
    <s v="CONTINUO"/>
    <s v="NO"/>
    <x v="0"/>
    <m/>
    <x v="0"/>
    <x v="0"/>
    <n v="10"/>
    <x v="2"/>
    <x v="0"/>
  </r>
  <r>
    <x v="12"/>
    <s v="CONTINUO"/>
    <s v="NO"/>
    <x v="0"/>
    <m/>
    <x v="0"/>
    <x v="0"/>
    <m/>
    <x v="3"/>
    <x v="0"/>
  </r>
  <r>
    <x v="30"/>
    <s v="CONTINUO"/>
    <s v="NO"/>
    <x v="0"/>
    <m/>
    <x v="0"/>
    <x v="0"/>
    <m/>
    <x v="3"/>
    <x v="0"/>
  </r>
  <r>
    <x v="22"/>
    <s v="CONTINUO"/>
    <s v="SI"/>
    <x v="0"/>
    <m/>
    <x v="0"/>
    <x v="0"/>
    <n v="8"/>
    <x v="4"/>
    <x v="0"/>
  </r>
  <r>
    <x v="22"/>
    <s v="CONTINUO"/>
    <s v="SI"/>
    <x v="0"/>
    <m/>
    <x v="0"/>
    <x v="0"/>
    <n v="8"/>
    <x v="4"/>
    <x v="0"/>
  </r>
  <r>
    <x v="31"/>
    <s v="CONTINUO"/>
    <s v="NO"/>
    <x v="0"/>
    <m/>
    <x v="0"/>
    <x v="0"/>
    <m/>
    <x v="3"/>
    <x v="0"/>
  </r>
  <r>
    <x v="32"/>
    <s v="CONTINUO"/>
    <s v="NO"/>
    <x v="0"/>
    <m/>
    <x v="0"/>
    <x v="0"/>
    <m/>
    <x v="3"/>
    <x v="0"/>
  </r>
  <r>
    <x v="33"/>
    <s v="CONTINUO"/>
    <s v="NO"/>
    <x v="0"/>
    <m/>
    <x v="0"/>
    <x v="0"/>
    <m/>
    <x v="3"/>
    <x v="0"/>
  </r>
  <r>
    <x v="34"/>
    <s v="CONTINUO"/>
    <s v="NO"/>
    <x v="0"/>
    <m/>
    <x v="0"/>
    <x v="0"/>
    <m/>
    <x v="3"/>
    <x v="0"/>
  </r>
  <r>
    <x v="21"/>
    <s v="CONTINUO"/>
    <s v="NO"/>
    <x v="0"/>
    <m/>
    <x v="0"/>
    <x v="0"/>
    <n v="8"/>
    <x v="0"/>
    <x v="0"/>
  </r>
  <r>
    <x v="35"/>
    <s v="CONTINUO"/>
    <s v="NO"/>
    <x v="0"/>
    <m/>
    <x v="0"/>
    <x v="0"/>
    <m/>
    <x v="3"/>
    <x v="0"/>
  </r>
  <r>
    <x v="0"/>
    <s v="CONTINUO"/>
    <s v="SI"/>
    <x v="0"/>
    <m/>
    <x v="0"/>
    <x v="0"/>
    <m/>
    <x v="3"/>
    <x v="0"/>
  </r>
  <r>
    <x v="0"/>
    <s v="CONTINUO"/>
    <s v="SI"/>
    <x v="0"/>
    <m/>
    <x v="0"/>
    <x v="0"/>
    <m/>
    <x v="3"/>
    <x v="0"/>
  </r>
  <r>
    <x v="0"/>
    <s v="CONTINUO"/>
    <s v="SI"/>
    <x v="0"/>
    <m/>
    <x v="0"/>
    <x v="0"/>
    <m/>
    <x v="3"/>
    <x v="0"/>
  </r>
  <r>
    <x v="22"/>
    <s v="CONTINUO"/>
    <s v="SI"/>
    <x v="0"/>
    <m/>
    <x v="0"/>
    <x v="0"/>
    <n v="8"/>
    <x v="4"/>
    <x v="0"/>
  </r>
  <r>
    <x v="36"/>
    <s v="CONTINUO"/>
    <s v="NO"/>
    <x v="0"/>
    <m/>
    <x v="0"/>
    <x v="0"/>
    <n v="10"/>
    <x v="2"/>
    <x v="0"/>
  </r>
  <r>
    <x v="0"/>
    <s v="CONTINUO"/>
    <s v="SI"/>
    <x v="0"/>
    <m/>
    <x v="0"/>
    <x v="0"/>
    <n v="8"/>
    <x v="4"/>
    <x v="0"/>
  </r>
  <r>
    <x v="22"/>
    <s v="CONTINUO"/>
    <s v="SI"/>
    <x v="0"/>
    <m/>
    <x v="0"/>
    <x v="0"/>
    <m/>
    <x v="3"/>
    <x v="0"/>
  </r>
  <r>
    <x v="37"/>
    <s v="CONTINUO"/>
    <s v="NO"/>
    <x v="0"/>
    <m/>
    <x v="0"/>
    <x v="0"/>
    <m/>
    <x v="3"/>
    <x v="0"/>
  </r>
  <r>
    <x v="38"/>
    <s v="CONTINUO"/>
    <s v="NO"/>
    <x v="0"/>
    <m/>
    <x v="0"/>
    <x v="0"/>
    <m/>
    <x v="3"/>
    <x v="0"/>
  </r>
  <r>
    <x v="30"/>
    <s v="CONTINUO"/>
    <s v="NO"/>
    <x v="0"/>
    <m/>
    <x v="0"/>
    <x v="0"/>
    <m/>
    <x v="3"/>
    <x v="0"/>
  </r>
  <r>
    <x v="0"/>
    <s v="CONTINUO"/>
    <s v="SI"/>
    <x v="0"/>
    <m/>
    <x v="0"/>
    <x v="0"/>
    <m/>
    <x v="3"/>
    <x v="0"/>
  </r>
  <r>
    <x v="22"/>
    <s v="CONTINUO"/>
    <s v="SI"/>
    <x v="0"/>
    <m/>
    <x v="0"/>
    <x v="0"/>
    <n v="8"/>
    <x v="4"/>
    <x v="0"/>
  </r>
  <r>
    <x v="22"/>
    <s v="CONTINUO"/>
    <s v="SI"/>
    <x v="0"/>
    <m/>
    <x v="0"/>
    <x v="0"/>
    <m/>
    <x v="3"/>
    <x v="0"/>
  </r>
  <r>
    <x v="10"/>
    <s v="CONTINUO"/>
    <s v="NO"/>
    <x v="0"/>
    <m/>
    <x v="0"/>
    <x v="0"/>
    <n v="10"/>
    <x v="2"/>
    <x v="0"/>
  </r>
  <r>
    <x v="10"/>
    <s v="CONTINUO"/>
    <s v="NO"/>
    <x v="0"/>
    <m/>
    <x v="0"/>
    <x v="0"/>
    <n v="10"/>
    <x v="2"/>
    <x v="0"/>
  </r>
  <r>
    <x v="39"/>
    <s v="CONTINUO"/>
    <s v="NO"/>
    <x v="0"/>
    <m/>
    <x v="0"/>
    <x v="0"/>
    <n v="10"/>
    <x v="2"/>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x v="0"/>
    <d v="1965-09-16T00:00:00"/>
    <s v="FPI"/>
    <m/>
    <m/>
    <d v="1986-03-08T00:00:00"/>
    <m/>
    <d v="1986-03-08T00:00:00"/>
    <m/>
    <m/>
    <n v="1"/>
    <m/>
    <m/>
    <m/>
    <s v="CONDUCTORES"/>
    <s v="CONDUCTORES"/>
    <x v="0"/>
    <s v="CONTINUO"/>
    <s v="SI"/>
    <x v="0"/>
    <x v="0"/>
    <m/>
    <n v="14000425011981"/>
    <n v="10"/>
    <s v="PERSONAL OPERARIO GENERAL"/>
    <m/>
    <n v="8"/>
    <m/>
    <m/>
    <m/>
    <m/>
    <m/>
    <m/>
    <m/>
    <m/>
    <m/>
    <m/>
    <m/>
    <m/>
    <m/>
    <m/>
    <m/>
    <m/>
    <m/>
    <m/>
    <m/>
    <m/>
    <m/>
    <m/>
    <m/>
    <m/>
    <m/>
    <m/>
    <m/>
    <m/>
    <m/>
    <m/>
    <m/>
    <m/>
    <m/>
    <m/>
    <m/>
    <m/>
    <d v="2024-01-01T00:00:00"/>
    <d v="2024-12-31T00:00:00"/>
    <n v="1"/>
    <n v="1"/>
    <s v="Dentro"/>
    <s v="Sí"/>
    <s v="NO"/>
    <s v="NO"/>
    <s v="NO"/>
    <s v="NO"/>
    <n v="0"/>
    <n v="0"/>
    <n v="0"/>
    <n v="0"/>
    <n v="0"/>
  </r>
  <r>
    <x v="0"/>
    <d v="1961-02-18T00:00:00"/>
    <s v="PRIMARIOS"/>
    <m/>
    <m/>
    <d v="1992-02-01T00:00:00"/>
    <m/>
    <d v="1992-02-01T00:00:00"/>
    <m/>
    <m/>
    <n v="1"/>
    <m/>
    <m/>
    <m/>
    <s v="CONDUCTORES"/>
    <s v="CONDUCTORES"/>
    <x v="1"/>
    <s v="CONTINUO"/>
    <s v="SI"/>
    <x v="0"/>
    <x v="0"/>
    <m/>
    <n v="14000425011981"/>
    <n v="10"/>
    <s v="PERSONAL OPERARIO GENERAL"/>
    <m/>
    <n v="8"/>
    <m/>
    <m/>
    <m/>
    <m/>
    <m/>
    <m/>
    <m/>
    <m/>
    <m/>
    <m/>
    <m/>
    <m/>
    <m/>
    <m/>
    <m/>
    <m/>
    <m/>
    <m/>
    <m/>
    <m/>
    <m/>
    <m/>
    <m/>
    <m/>
    <m/>
    <m/>
    <m/>
    <m/>
    <m/>
    <m/>
    <m/>
    <m/>
    <m/>
    <m/>
    <m/>
    <m/>
    <d v="2024-01-01T00:00:00"/>
    <d v="2024-12-31T00:00:00"/>
    <n v="1"/>
    <n v="1"/>
    <s v="Dentro"/>
    <s v="Sí"/>
    <s v="NO"/>
    <s v="NO"/>
    <s v="NO"/>
    <s v="NO"/>
    <n v="0"/>
    <n v="0"/>
    <n v="0"/>
    <n v="0"/>
    <n v="0"/>
  </r>
  <r>
    <x v="0"/>
    <d v="1971-10-18T00:00:00"/>
    <s v="E.G.B."/>
    <m/>
    <m/>
    <d v="1992-02-01T00:00:00"/>
    <m/>
    <d v="1992-02-01T00:00:00"/>
    <m/>
    <m/>
    <n v="1"/>
    <m/>
    <m/>
    <m/>
    <s v="CONDUCTORES"/>
    <s v="CONDUCTORES"/>
    <x v="2"/>
    <s v="CONTINUO"/>
    <s v="SI"/>
    <x v="0"/>
    <x v="0"/>
    <m/>
    <n v="14000425011981"/>
    <n v="10"/>
    <s v="PERSONAL OPERARIO GENERAL"/>
    <m/>
    <n v="8"/>
    <m/>
    <m/>
    <m/>
    <m/>
    <m/>
    <m/>
    <m/>
    <m/>
    <m/>
    <m/>
    <m/>
    <m/>
    <m/>
    <m/>
    <m/>
    <m/>
    <m/>
    <m/>
    <m/>
    <m/>
    <m/>
    <m/>
    <m/>
    <m/>
    <m/>
    <m/>
    <m/>
    <m/>
    <m/>
    <m/>
    <m/>
    <m/>
    <m/>
    <m/>
    <m/>
    <m/>
    <d v="2024-01-01T00:00:00"/>
    <d v="2024-12-31T00:00:00"/>
    <n v="1"/>
    <n v="1"/>
    <s v="Dentro"/>
    <s v="Sí"/>
    <s v="NO"/>
    <s v="NO"/>
    <s v="NO"/>
    <s v="NO"/>
    <n v="0"/>
    <n v="0"/>
    <n v="0"/>
    <n v="0"/>
    <n v="0"/>
  </r>
  <r>
    <x v="0"/>
    <d v="1967-04-27T00:00:00"/>
    <s v="FPII"/>
    <m/>
    <m/>
    <d v="1992-06-25T00:00:00"/>
    <m/>
    <d v="1992-06-25T00:00:00"/>
    <m/>
    <m/>
    <n v="1"/>
    <m/>
    <m/>
    <m/>
    <s v="MANTENIMIENTO"/>
    <s v="MANTENIMIENTO"/>
    <x v="3"/>
    <s v="CONTINUO"/>
    <s v="SI"/>
    <x v="0"/>
    <x v="0"/>
    <m/>
    <n v="14000425011981"/>
    <n v="8"/>
    <s v="PERSONAL OPERARIO GENERAL"/>
    <m/>
    <n v="8"/>
    <m/>
    <m/>
    <m/>
    <m/>
    <m/>
    <m/>
    <m/>
    <m/>
    <m/>
    <m/>
    <m/>
    <m/>
    <m/>
    <m/>
    <m/>
    <m/>
    <m/>
    <m/>
    <m/>
    <m/>
    <m/>
    <m/>
    <m/>
    <m/>
    <m/>
    <m/>
    <m/>
    <m/>
    <m/>
    <m/>
    <m/>
    <m/>
    <m/>
    <m/>
    <m/>
    <m/>
    <d v="2024-01-01T00:00:00"/>
    <d v="2024-12-31T00:00:00"/>
    <n v="1"/>
    <n v="1"/>
    <s v="Dentro"/>
    <s v="Sí"/>
    <s v="NO"/>
    <s v="NO"/>
    <s v="NO"/>
    <s v="NO"/>
    <n v="0"/>
    <n v="0"/>
    <n v="0"/>
    <n v="0"/>
    <n v="0"/>
  </r>
  <r>
    <x v="1"/>
    <d v="1968-06-11T00:00:00"/>
    <s v="FPI"/>
    <m/>
    <m/>
    <d v="1993-05-03T00:00:00"/>
    <m/>
    <d v="1993-05-03T00:00:00"/>
    <m/>
    <m/>
    <n v="1"/>
    <m/>
    <m/>
    <m/>
    <s v="ADMINISTRACIÓN"/>
    <s v="ADMINISTRACIÓN"/>
    <x v="4"/>
    <s v="CONTINUO"/>
    <s v="SI"/>
    <x v="0"/>
    <x v="0"/>
    <m/>
    <n v="14000425011981"/>
    <n v="5"/>
    <s v="PERSONAL ADMINISTRATIVO"/>
    <m/>
    <n v="5"/>
    <m/>
    <m/>
    <m/>
    <m/>
    <m/>
    <m/>
    <m/>
    <m/>
    <m/>
    <m/>
    <m/>
    <m/>
    <m/>
    <m/>
    <m/>
    <m/>
    <m/>
    <m/>
    <m/>
    <m/>
    <m/>
    <m/>
    <m/>
    <m/>
    <m/>
    <m/>
    <m/>
    <m/>
    <m/>
    <m/>
    <m/>
    <m/>
    <m/>
    <m/>
    <m/>
    <m/>
    <d v="2024-01-01T00:00:00"/>
    <d v="2024-12-31T00:00:00"/>
    <n v="1"/>
    <n v="1"/>
    <s v="Dentro"/>
    <s v="Sí"/>
    <s v="NO"/>
    <s v="NO"/>
    <s v="NO"/>
    <s v="NO"/>
    <n v="0"/>
    <n v="0"/>
    <n v="0"/>
    <n v="0"/>
    <n v="0"/>
  </r>
  <r>
    <x v="1"/>
    <d v="1966-01-26T00:00:00"/>
    <s v="BACHILLER"/>
    <m/>
    <m/>
    <d v="1994-04-20T00:00:00"/>
    <m/>
    <d v="1994-04-20T00:00:00"/>
    <m/>
    <m/>
    <n v="1"/>
    <m/>
    <m/>
    <m/>
    <s v="ADMINISTRACIÓN"/>
    <s v="ADMINISTRACIÓN"/>
    <x v="5"/>
    <s v="CONTINUO"/>
    <s v="SI"/>
    <x v="0"/>
    <x v="0"/>
    <m/>
    <n v="14000425011981"/>
    <n v="5"/>
    <s v="PERSONAL ADMINISTRATIVO"/>
    <m/>
    <n v="5"/>
    <m/>
    <m/>
    <m/>
    <m/>
    <m/>
    <m/>
    <m/>
    <m/>
    <m/>
    <m/>
    <m/>
    <m/>
    <m/>
    <m/>
    <m/>
    <m/>
    <m/>
    <m/>
    <m/>
    <m/>
    <m/>
    <m/>
    <m/>
    <m/>
    <m/>
    <m/>
    <m/>
    <m/>
    <m/>
    <m/>
    <m/>
    <m/>
    <m/>
    <m/>
    <m/>
    <m/>
    <d v="2024-01-01T00:00:00"/>
    <d v="2024-12-31T00:00:00"/>
    <n v="1"/>
    <n v="1"/>
    <s v="Dentro"/>
    <s v="Sí"/>
    <s v="NO"/>
    <s v="NO"/>
    <s v="NO"/>
    <s v="NO"/>
    <n v="0"/>
    <n v="0"/>
    <n v="0"/>
    <n v="0"/>
    <n v="0"/>
  </r>
  <r>
    <x v="0"/>
    <d v="1965-05-01T00:00:00"/>
    <s v="GRADUADO SOCIAL"/>
    <m/>
    <m/>
    <d v="1995-05-16T00:00:00"/>
    <m/>
    <d v="1995-05-16T00:00:00"/>
    <m/>
    <m/>
    <n v="1"/>
    <m/>
    <m/>
    <m/>
    <s v="ADMINISTRACIÓN"/>
    <s v="TRAMITES"/>
    <x v="6"/>
    <s v="CONTINUO"/>
    <s v="NO"/>
    <x v="0"/>
    <x v="0"/>
    <m/>
    <n v="14000425011981"/>
    <n v="8"/>
    <s v="PERSONAL ADMINISTRATIVO"/>
    <m/>
    <n v="5"/>
    <m/>
    <m/>
    <m/>
    <m/>
    <m/>
    <m/>
    <m/>
    <m/>
    <m/>
    <m/>
    <m/>
    <m/>
    <m/>
    <m/>
    <m/>
    <m/>
    <m/>
    <m/>
    <m/>
    <m/>
    <m/>
    <m/>
    <m/>
    <m/>
    <m/>
    <m/>
    <m/>
    <m/>
    <m/>
    <m/>
    <m/>
    <m/>
    <m/>
    <m/>
    <m/>
    <m/>
    <d v="2024-01-01T00:00:00"/>
    <d v="2024-12-31T00:00:00"/>
    <n v="1"/>
    <n v="1"/>
    <s v="Dentro"/>
    <s v="Sí"/>
    <s v="NO"/>
    <s v="NO"/>
    <s v="NO"/>
    <s v="NO"/>
    <n v="0"/>
    <n v="0"/>
    <n v="0"/>
    <n v="0"/>
    <n v="0"/>
  </r>
  <r>
    <x v="1"/>
    <d v="1972-04-05T00:00:00"/>
    <s v="DIPLOMADA "/>
    <m/>
    <m/>
    <d v="1996-03-14T00:00:00"/>
    <m/>
    <d v="1996-03-14T00:00:00"/>
    <m/>
    <m/>
    <n v="1"/>
    <m/>
    <m/>
    <m/>
    <s v="ADMINISTRACIÓN"/>
    <s v="RR.HH,"/>
    <x v="7"/>
    <s v="CONTINUO"/>
    <s v="NO"/>
    <x v="0"/>
    <x v="0"/>
    <m/>
    <n v="14000425011981"/>
    <n v="5"/>
    <s v="PERSONAL ADMINISTRATIVO"/>
    <m/>
    <n v="5"/>
    <m/>
    <m/>
    <m/>
    <m/>
    <m/>
    <m/>
    <m/>
    <m/>
    <m/>
    <m/>
    <m/>
    <m/>
    <m/>
    <m/>
    <m/>
    <m/>
    <m/>
    <m/>
    <m/>
    <m/>
    <m/>
    <m/>
    <m/>
    <m/>
    <m/>
    <m/>
    <m/>
    <m/>
    <m/>
    <m/>
    <m/>
    <m/>
    <m/>
    <m/>
    <m/>
    <m/>
    <d v="2024-01-01T00:00:00"/>
    <d v="2024-12-31T00:00:00"/>
    <n v="1"/>
    <n v="1"/>
    <s v="Dentro"/>
    <s v="Sí"/>
    <s v="NO"/>
    <s v="NO"/>
    <s v="NO"/>
    <s v="NO"/>
    <n v="0"/>
    <n v="0"/>
    <n v="0"/>
    <n v="0"/>
    <n v="0"/>
  </r>
  <r>
    <x v="0"/>
    <d v="1967-02-26T00:00:00"/>
    <s v="GRADUADO ESCOLAR"/>
    <m/>
    <m/>
    <d v="1996-05-11T00:00:00"/>
    <m/>
    <d v="1996-05-11T00:00:00"/>
    <m/>
    <m/>
    <n v="1"/>
    <m/>
    <m/>
    <m/>
    <s v="CONDUCTORES"/>
    <s v="CONDUCTORES"/>
    <x v="2"/>
    <s v="CONTINUO"/>
    <s v="SI"/>
    <x v="0"/>
    <x v="0"/>
    <m/>
    <n v="14000425011981"/>
    <n v="8"/>
    <s v="PERSONAL OPERARIO GENERAL"/>
    <m/>
    <n v="8"/>
    <m/>
    <m/>
    <m/>
    <m/>
    <m/>
    <m/>
    <m/>
    <m/>
    <m/>
    <m/>
    <m/>
    <m/>
    <m/>
    <m/>
    <m/>
    <m/>
    <m/>
    <m/>
    <m/>
    <m/>
    <m/>
    <m/>
    <m/>
    <m/>
    <m/>
    <m/>
    <m/>
    <m/>
    <m/>
    <m/>
    <m/>
    <m/>
    <m/>
    <m/>
    <m/>
    <m/>
    <d v="2024-01-01T00:00:00"/>
    <d v="2024-12-31T00:00:00"/>
    <n v="1"/>
    <n v="1"/>
    <s v="Dentro"/>
    <s v="Sí"/>
    <s v="NO"/>
    <s v="NO"/>
    <s v="NO"/>
    <s v="NO"/>
    <n v="0"/>
    <n v="0"/>
    <n v="0"/>
    <n v="0"/>
    <n v="0"/>
  </r>
  <r>
    <x v="0"/>
    <d v="1970-07-25T00:00:00"/>
    <s v="BACHILLER"/>
    <m/>
    <m/>
    <d v="1997-01-02T00:00:00"/>
    <m/>
    <d v="1997-01-02T00:00:00"/>
    <m/>
    <m/>
    <n v="1"/>
    <m/>
    <m/>
    <m/>
    <s v="ASESORES"/>
    <s v="ASESORES"/>
    <x v="8"/>
    <s v="CONTINUO"/>
    <s v="SI"/>
    <x v="0"/>
    <x v="0"/>
    <m/>
    <n v="14000425011981"/>
    <n v="8"/>
    <s v="PERSONAL ADMINISTRATIVO"/>
    <m/>
    <n v="8"/>
    <m/>
    <m/>
    <m/>
    <m/>
    <m/>
    <m/>
    <m/>
    <m/>
    <m/>
    <m/>
    <m/>
    <m/>
    <m/>
    <m/>
    <m/>
    <m/>
    <m/>
    <m/>
    <m/>
    <m/>
    <m/>
    <m/>
    <m/>
    <m/>
    <m/>
    <m/>
    <m/>
    <m/>
    <m/>
    <m/>
    <m/>
    <m/>
    <m/>
    <m/>
    <m/>
    <m/>
    <d v="2024-01-01T00:00:00"/>
    <d v="2024-12-31T00:00:00"/>
    <n v="1"/>
    <n v="1"/>
    <s v="Dentro"/>
    <s v="Sí"/>
    <s v="NO"/>
    <s v="NO"/>
    <s v="NO"/>
    <s v="NO"/>
    <n v="0"/>
    <n v="0"/>
    <n v="0"/>
    <n v="0"/>
    <n v="0"/>
  </r>
  <r>
    <x v="1"/>
    <d v="1959-09-22T00:00:00"/>
    <s v="CERTIFICADO ESCOLARIDAD"/>
    <m/>
    <m/>
    <d v="1999-08-19T00:00:00"/>
    <m/>
    <d v="1999-08-19T00:00:00"/>
    <m/>
    <m/>
    <n v="0.75"/>
    <m/>
    <m/>
    <m/>
    <s v="LIMPIEZA"/>
    <s v="LIMPIEZA"/>
    <x v="9"/>
    <s v="PARTIDO"/>
    <s v="SI"/>
    <x v="0"/>
    <x v="0"/>
    <m/>
    <n v="14000425011981"/>
    <n v="10"/>
    <s v="PERSONAL SUBALTERNO"/>
    <m/>
    <n v="10"/>
    <m/>
    <m/>
    <m/>
    <m/>
    <m/>
    <m/>
    <m/>
    <m/>
    <m/>
    <m/>
    <m/>
    <m/>
    <m/>
    <m/>
    <m/>
    <m/>
    <m/>
    <m/>
    <m/>
    <m/>
    <m/>
    <m/>
    <m/>
    <m/>
    <m/>
    <m/>
    <m/>
    <m/>
    <m/>
    <m/>
    <m/>
    <m/>
    <m/>
    <m/>
    <m/>
    <m/>
    <d v="2024-01-01T00:00:00"/>
    <d v="2024-12-31T00:00:00"/>
    <n v="0.75"/>
    <n v="1"/>
    <s v="Dentro"/>
    <s v="Sí"/>
    <s v="Sí"/>
    <s v="NO"/>
    <s v="NO"/>
    <s v="Sí"/>
    <n v="0"/>
    <n v="0"/>
    <n v="0"/>
    <n v="0"/>
    <n v="0"/>
  </r>
  <r>
    <x v="1"/>
    <d v="1970-10-31T00:00:00"/>
    <s v="GRADUADO ESCOLAR"/>
    <m/>
    <m/>
    <d v="2000-02-15T00:00:00"/>
    <m/>
    <d v="2000-02-15T00:00:00"/>
    <m/>
    <m/>
    <n v="0.75"/>
    <m/>
    <m/>
    <m/>
    <s v="LIMPIEZA"/>
    <s v="LIMPIEZA"/>
    <x v="10"/>
    <s v="PARTIDO"/>
    <s v="SI"/>
    <x v="0"/>
    <x v="0"/>
    <m/>
    <n v="14000425011981"/>
    <n v="10"/>
    <s v="PERSONAL SUBALTERNO"/>
    <m/>
    <n v="10"/>
    <m/>
    <m/>
    <m/>
    <m/>
    <m/>
    <m/>
    <m/>
    <m/>
    <m/>
    <m/>
    <m/>
    <m/>
    <m/>
    <m/>
    <m/>
    <m/>
    <m/>
    <m/>
    <m/>
    <m/>
    <m/>
    <m/>
    <m/>
    <m/>
    <m/>
    <m/>
    <m/>
    <m/>
    <m/>
    <m/>
    <m/>
    <m/>
    <m/>
    <m/>
    <m/>
    <m/>
    <d v="2024-01-01T00:00:00"/>
    <d v="2024-12-31T00:00:00"/>
    <n v="0.75"/>
    <n v="1"/>
    <s v="Dentro"/>
    <s v="Sí"/>
    <s v="Sí"/>
    <s v="NO"/>
    <s v="NO"/>
    <s v="Sí"/>
    <n v="0"/>
    <n v="0"/>
    <n v="0"/>
    <n v="0"/>
    <n v="0"/>
  </r>
  <r>
    <x v="0"/>
    <d v="1974-07-29T00:00:00"/>
    <s v="FPII"/>
    <m/>
    <m/>
    <d v="2000-02-15T00:00:00"/>
    <m/>
    <d v="2000-02-15T00:00:00"/>
    <m/>
    <m/>
    <n v="1"/>
    <m/>
    <m/>
    <m/>
    <s v="CONDUCTORES"/>
    <s v="CONDUCTORES"/>
    <x v="8"/>
    <s v="CONTINUO"/>
    <s v="SI"/>
    <x v="0"/>
    <x v="0"/>
    <m/>
    <n v="14000425011981"/>
    <n v="8"/>
    <s v="PERSONAL OPERARIO GENERAL"/>
    <m/>
    <n v="8"/>
    <m/>
    <m/>
    <m/>
    <m/>
    <m/>
    <m/>
    <m/>
    <m/>
    <m/>
    <m/>
    <m/>
    <m/>
    <m/>
    <m/>
    <m/>
    <m/>
    <m/>
    <m/>
    <m/>
    <m/>
    <m/>
    <m/>
    <m/>
    <m/>
    <m/>
    <m/>
    <m/>
    <m/>
    <m/>
    <m/>
    <m/>
    <m/>
    <m/>
    <m/>
    <m/>
    <m/>
    <d v="2024-01-01T00:00:00"/>
    <d v="2024-12-31T00:00:00"/>
    <n v="1"/>
    <n v="1"/>
    <s v="Dentro"/>
    <s v="Sí"/>
    <s v="NO"/>
    <s v="NO"/>
    <s v="NO"/>
    <s v="NO"/>
    <n v="0"/>
    <n v="0"/>
    <n v="0"/>
    <n v="0"/>
    <n v="0"/>
  </r>
  <r>
    <x v="0"/>
    <d v="1978-06-09T00:00:00"/>
    <s v="FPI"/>
    <m/>
    <m/>
    <d v="2000-08-05T00:00:00"/>
    <m/>
    <d v="2000-08-05T00:00:00"/>
    <m/>
    <m/>
    <n v="1"/>
    <m/>
    <m/>
    <m/>
    <s v="CONDUCTORES"/>
    <s v="CONDUCTORES"/>
    <x v="11"/>
    <s v="CONTINUO"/>
    <s v="SI"/>
    <x v="0"/>
    <x v="0"/>
    <m/>
    <n v="14000425011981"/>
    <n v="8"/>
    <s v="PERSONAL OPERARIO GENERAL"/>
    <m/>
    <n v="8"/>
    <m/>
    <m/>
    <m/>
    <m/>
    <m/>
    <m/>
    <m/>
    <m/>
    <m/>
    <m/>
    <m/>
    <m/>
    <m/>
    <m/>
    <m/>
    <m/>
    <m/>
    <m/>
    <m/>
    <m/>
    <m/>
    <m/>
    <m/>
    <m/>
    <m/>
    <m/>
    <m/>
    <m/>
    <m/>
    <m/>
    <m/>
    <m/>
    <m/>
    <m/>
    <m/>
    <m/>
    <d v="2024-01-01T00:00:00"/>
    <d v="2024-12-31T00:00:00"/>
    <n v="1"/>
    <n v="1"/>
    <s v="Dentro"/>
    <s v="Sí"/>
    <s v="NO"/>
    <s v="NO"/>
    <s v="NO"/>
    <s v="NO"/>
    <n v="0"/>
    <n v="0"/>
    <n v="0"/>
    <n v="0"/>
    <n v="0"/>
  </r>
  <r>
    <x v="0"/>
    <d v="2001-02-02T00:00:00"/>
    <s v="FPI"/>
    <m/>
    <m/>
    <d v="2001-02-02T00:00:00"/>
    <m/>
    <d v="2001-02-02T00:00:00"/>
    <m/>
    <m/>
    <n v="1"/>
    <m/>
    <m/>
    <m/>
    <s v="CONDUCTORES"/>
    <s v="CONDUCTORES"/>
    <x v="0"/>
    <s v="CONTINUO"/>
    <s v="SI"/>
    <x v="0"/>
    <x v="0"/>
    <m/>
    <n v="14000425011981"/>
    <n v="8"/>
    <s v="PERSONAL OPERARIO GENERAL"/>
    <m/>
    <n v="8"/>
    <m/>
    <m/>
    <m/>
    <m/>
    <m/>
    <m/>
    <m/>
    <m/>
    <m/>
    <m/>
    <m/>
    <m/>
    <m/>
    <m/>
    <m/>
    <m/>
    <m/>
    <m/>
    <m/>
    <m/>
    <m/>
    <m/>
    <m/>
    <m/>
    <m/>
    <m/>
    <m/>
    <m/>
    <m/>
    <m/>
    <m/>
    <m/>
    <m/>
    <m/>
    <m/>
    <m/>
    <d v="2024-01-01T00:00:00"/>
    <d v="2024-12-31T00:00:00"/>
    <n v="1"/>
    <n v="1"/>
    <s v="Dentro"/>
    <s v="Sí"/>
    <s v="NO"/>
    <s v="NO"/>
    <s v="NO"/>
    <s v="NO"/>
    <n v="0"/>
    <n v="0"/>
    <n v="0"/>
    <n v="0"/>
    <n v="0"/>
  </r>
  <r>
    <x v="0"/>
    <d v="1964-08-31T00:00:00"/>
    <s v="FPI"/>
    <m/>
    <m/>
    <d v="2001-10-01T00:00:00"/>
    <m/>
    <d v="2001-10-01T00:00:00"/>
    <m/>
    <m/>
    <n v="1"/>
    <m/>
    <m/>
    <m/>
    <s v="CONDUCTORES"/>
    <s v="CONDUCTORES"/>
    <x v="12"/>
    <s v="CONTINUO"/>
    <s v="SI"/>
    <x v="0"/>
    <x v="0"/>
    <m/>
    <n v="14000425011981"/>
    <n v="8"/>
    <s v="PERSONAL OPERARIO GENERAL"/>
    <m/>
    <n v="8"/>
    <m/>
    <m/>
    <m/>
    <m/>
    <m/>
    <m/>
    <m/>
    <m/>
    <m/>
    <m/>
    <m/>
    <m/>
    <m/>
    <m/>
    <m/>
    <m/>
    <m/>
    <m/>
    <m/>
    <m/>
    <m/>
    <m/>
    <m/>
    <m/>
    <m/>
    <m/>
    <m/>
    <m/>
    <m/>
    <m/>
    <m/>
    <m/>
    <m/>
    <m/>
    <m/>
    <m/>
    <d v="2024-01-01T00:00:00"/>
    <d v="2024-12-31T00:00:00"/>
    <n v="1"/>
    <n v="1"/>
    <s v="Dentro"/>
    <s v="Sí"/>
    <s v="NO"/>
    <s v="NO"/>
    <s v="NO"/>
    <s v="NO"/>
    <n v="0"/>
    <n v="0"/>
    <n v="0"/>
    <n v="0"/>
    <n v="0"/>
  </r>
  <r>
    <x v="0"/>
    <d v="1963-01-20T00:00:00"/>
    <s v="GRADUADO ESCOLAR"/>
    <m/>
    <m/>
    <d v="2002-07-25T00:00:00"/>
    <m/>
    <d v="2002-07-25T00:00:00"/>
    <m/>
    <m/>
    <n v="1"/>
    <m/>
    <m/>
    <m/>
    <s v="CONDUCTORES"/>
    <s v="CONDUCTORES"/>
    <x v="0"/>
    <s v="CONTINUO"/>
    <s v="SI"/>
    <x v="0"/>
    <x v="0"/>
    <m/>
    <n v="14000425011981"/>
    <n v="8"/>
    <s v="PERSONAL OPERARIO GENERAL"/>
    <m/>
    <n v="8"/>
    <m/>
    <m/>
    <m/>
    <m/>
    <m/>
    <m/>
    <m/>
    <m/>
    <m/>
    <m/>
    <m/>
    <m/>
    <m/>
    <m/>
    <m/>
    <m/>
    <m/>
    <m/>
    <m/>
    <m/>
    <m/>
    <m/>
    <m/>
    <m/>
    <m/>
    <m/>
    <m/>
    <m/>
    <m/>
    <m/>
    <m/>
    <m/>
    <m/>
    <m/>
    <m/>
    <m/>
    <d v="2024-01-01T00:00:00"/>
    <d v="2024-12-31T00:00:00"/>
    <n v="1"/>
    <n v="1"/>
    <s v="Dentro"/>
    <s v="Sí"/>
    <s v="NO"/>
    <s v="NO"/>
    <s v="NO"/>
    <s v="NO"/>
    <n v="0"/>
    <n v="0"/>
    <n v="0"/>
    <n v="0"/>
    <n v="0"/>
  </r>
  <r>
    <x v="1"/>
    <d v="1980-10-27T00:00:00"/>
    <s v="FPI"/>
    <m/>
    <m/>
    <d v="2002-11-13T00:00:00"/>
    <m/>
    <d v="2002-11-13T00:00:00"/>
    <m/>
    <m/>
    <n v="1"/>
    <m/>
    <m/>
    <m/>
    <s v="ADMINISTRACIÓN"/>
    <s v="ADMINISTRACIÓN"/>
    <x v="13"/>
    <s v="CONTINUO"/>
    <s v="NO"/>
    <x v="0"/>
    <x v="0"/>
    <m/>
    <n v="14000425011981"/>
    <n v="5"/>
    <s v="PERSONAL ADMINISTRATIVO"/>
    <m/>
    <n v="5"/>
    <m/>
    <m/>
    <m/>
    <m/>
    <m/>
    <m/>
    <m/>
    <m/>
    <m/>
    <m/>
    <m/>
    <m/>
    <m/>
    <m/>
    <m/>
    <m/>
    <m/>
    <m/>
    <m/>
    <m/>
    <m/>
    <m/>
    <m/>
    <m/>
    <m/>
    <m/>
    <m/>
    <m/>
    <m/>
    <m/>
    <m/>
    <m/>
    <m/>
    <m/>
    <m/>
    <m/>
    <d v="2024-01-01T00:00:00"/>
    <d v="2024-12-31T00:00:00"/>
    <n v="1"/>
    <n v="1"/>
    <s v="Dentro"/>
    <s v="Sí"/>
    <s v="NO"/>
    <s v="NO"/>
    <s v="NO"/>
    <s v="NO"/>
    <n v="0"/>
    <n v="0"/>
    <n v="0"/>
    <n v="0"/>
    <n v="0"/>
  </r>
  <r>
    <x v="0"/>
    <d v="1975-04-05T00:00:00"/>
    <s v="BACHILLER"/>
    <m/>
    <m/>
    <d v="2003-02-27T00:00:00"/>
    <m/>
    <d v="2003-02-27T00:00:00"/>
    <m/>
    <m/>
    <n v="1"/>
    <m/>
    <m/>
    <m/>
    <s v="CONDUCTORES"/>
    <s v="CONDUCTORES"/>
    <x v="0"/>
    <s v="CONTINUO"/>
    <s v="SI"/>
    <x v="0"/>
    <x v="0"/>
    <m/>
    <n v="14000425011981"/>
    <n v="8"/>
    <s v="PERSONAL OPERARIO GENERAL"/>
    <m/>
    <n v="8"/>
    <m/>
    <m/>
    <m/>
    <m/>
    <m/>
    <m/>
    <m/>
    <m/>
    <m/>
    <m/>
    <m/>
    <m/>
    <m/>
    <m/>
    <m/>
    <m/>
    <m/>
    <m/>
    <m/>
    <m/>
    <m/>
    <m/>
    <m/>
    <m/>
    <m/>
    <m/>
    <m/>
    <m/>
    <m/>
    <m/>
    <m/>
    <m/>
    <m/>
    <m/>
    <m/>
    <m/>
    <d v="2024-01-01T00:00:00"/>
    <d v="2024-12-31T00:00:00"/>
    <n v="1"/>
    <n v="1"/>
    <s v="Dentro"/>
    <s v="Sí"/>
    <s v="NO"/>
    <s v="NO"/>
    <s v="NO"/>
    <s v="NO"/>
    <n v="0"/>
    <n v="0"/>
    <n v="0"/>
    <n v="0"/>
    <n v="0"/>
  </r>
  <r>
    <x v="1"/>
    <d v="1978-11-08T00:00:00"/>
    <s v="FPII"/>
    <m/>
    <m/>
    <d v="2003-06-04T00:00:00"/>
    <m/>
    <d v="2003-06-04T00:00:00"/>
    <m/>
    <m/>
    <n v="1"/>
    <m/>
    <m/>
    <m/>
    <s v="ASESORES"/>
    <s v="ASESORES"/>
    <x v="14"/>
    <s v="CONTINUO"/>
    <s v="SI"/>
    <x v="0"/>
    <x v="0"/>
    <m/>
    <n v="14000425011981"/>
    <n v="8"/>
    <s v="PERSONAL ADMINISTRATIVO"/>
    <m/>
    <n v="7"/>
    <m/>
    <m/>
    <m/>
    <m/>
    <m/>
    <m/>
    <m/>
    <m/>
    <m/>
    <m/>
    <m/>
    <m/>
    <m/>
    <m/>
    <m/>
    <m/>
    <m/>
    <m/>
    <m/>
    <m/>
    <m/>
    <m/>
    <m/>
    <m/>
    <m/>
    <m/>
    <m/>
    <m/>
    <m/>
    <m/>
    <m/>
    <m/>
    <m/>
    <m/>
    <m/>
    <m/>
    <d v="2024-01-01T00:00:00"/>
    <d v="2024-12-31T00:00:00"/>
    <n v="1"/>
    <n v="1"/>
    <s v="Dentro"/>
    <s v="Sí"/>
    <s v="NO"/>
    <s v="NO"/>
    <s v="NO"/>
    <s v="NO"/>
    <n v="0"/>
    <n v="0"/>
    <n v="0"/>
    <n v="0"/>
    <n v="0"/>
  </r>
  <r>
    <x v="1"/>
    <d v="1977-11-11T00:00:00"/>
    <s v="GRADUADO ESCOLAR"/>
    <m/>
    <m/>
    <d v="2003-07-21T00:00:00"/>
    <m/>
    <d v="2003-07-21T00:00:00"/>
    <m/>
    <m/>
    <n v="1"/>
    <m/>
    <m/>
    <m/>
    <s v="RECEPCIONISTA"/>
    <s v="RECEPCION"/>
    <x v="12"/>
    <s v="CONTINUO"/>
    <s v="SI"/>
    <x v="0"/>
    <x v="0"/>
    <m/>
    <n v="14000425011981"/>
    <n v="7"/>
    <s v="PERSONAL OPERARIO GENERAL"/>
    <m/>
    <n v="7"/>
    <m/>
    <m/>
    <m/>
    <m/>
    <m/>
    <m/>
    <m/>
    <m/>
    <m/>
    <m/>
    <m/>
    <m/>
    <m/>
    <m/>
    <m/>
    <m/>
    <m/>
    <m/>
    <m/>
    <m/>
    <m/>
    <m/>
    <m/>
    <m/>
    <m/>
    <m/>
    <m/>
    <m/>
    <m/>
    <m/>
    <m/>
    <m/>
    <m/>
    <m/>
    <m/>
    <m/>
    <d v="2024-01-01T00:00:00"/>
    <d v="2024-12-31T00:00:00"/>
    <n v="1"/>
    <n v="1"/>
    <s v="Dentro"/>
    <s v="Sí"/>
    <s v="NO"/>
    <s v="NO"/>
    <s v="NO"/>
    <s v="NO"/>
    <n v="0"/>
    <n v="0"/>
    <n v="0"/>
    <n v="0"/>
    <n v="0"/>
  </r>
  <r>
    <x v="1"/>
    <d v="1978-12-12T00:00:00"/>
    <s v="FPI"/>
    <m/>
    <m/>
    <d v="2003-09-27T00:00:00"/>
    <m/>
    <d v="2003-09-27T00:00:00"/>
    <m/>
    <m/>
    <n v="1"/>
    <m/>
    <m/>
    <m/>
    <s v="PROTOCOLO"/>
    <s v="PROTOCOLO"/>
    <x v="15"/>
    <s v="CONTINUO"/>
    <s v="SI"/>
    <x v="0"/>
    <x v="0"/>
    <m/>
    <n v="14000425011981"/>
    <n v="7"/>
    <s v="PERSONAL OPERARIO GENERAL"/>
    <m/>
    <n v="7"/>
    <m/>
    <m/>
    <m/>
    <m/>
    <m/>
    <m/>
    <m/>
    <m/>
    <m/>
    <m/>
    <m/>
    <m/>
    <m/>
    <m/>
    <m/>
    <m/>
    <m/>
    <m/>
    <m/>
    <m/>
    <m/>
    <m/>
    <m/>
    <m/>
    <m/>
    <m/>
    <m/>
    <m/>
    <m/>
    <m/>
    <m/>
    <m/>
    <m/>
    <m/>
    <m/>
    <m/>
    <d v="2024-01-01T00:00:00"/>
    <d v="2024-12-31T00:00:00"/>
    <n v="1"/>
    <n v="1"/>
    <s v="Dentro"/>
    <s v="Sí"/>
    <s v="NO"/>
    <s v="NO"/>
    <s v="NO"/>
    <s v="NO"/>
    <n v="0"/>
    <n v="0"/>
    <n v="0"/>
    <n v="0"/>
    <n v="0"/>
  </r>
  <r>
    <x v="1"/>
    <d v="1974-01-31T00:00:00"/>
    <s v="FPI"/>
    <m/>
    <m/>
    <d v="2004-02-04T00:00:00"/>
    <m/>
    <d v="2004-02-04T00:00:00"/>
    <m/>
    <m/>
    <n v="1"/>
    <m/>
    <m/>
    <m/>
    <s v="PROTOCOLO"/>
    <s v="PROTOCOLO"/>
    <x v="15"/>
    <s v="CONTINUO"/>
    <s v="SI"/>
    <x v="0"/>
    <x v="0"/>
    <m/>
    <n v="14000425011981"/>
    <n v="7"/>
    <s v="PERSONAL OPERARIO GENERAL"/>
    <m/>
    <n v="7"/>
    <m/>
    <m/>
    <m/>
    <m/>
    <m/>
    <m/>
    <m/>
    <m/>
    <m/>
    <m/>
    <m/>
    <m/>
    <m/>
    <m/>
    <m/>
    <m/>
    <m/>
    <m/>
    <m/>
    <m/>
    <m/>
    <m/>
    <m/>
    <m/>
    <m/>
    <m/>
    <m/>
    <m/>
    <m/>
    <m/>
    <m/>
    <m/>
    <m/>
    <m/>
    <m/>
    <m/>
    <d v="2024-01-01T00:00:00"/>
    <d v="2024-12-31T00:00:00"/>
    <n v="1"/>
    <n v="1"/>
    <s v="Dentro"/>
    <s v="Sí"/>
    <s v="NO"/>
    <s v="NO"/>
    <s v="NO"/>
    <s v="NO"/>
    <n v="0"/>
    <n v="0"/>
    <n v="0"/>
    <n v="0"/>
    <n v="0"/>
  </r>
  <r>
    <x v="0"/>
    <d v="1964-08-20T00:00:00"/>
    <s v="E. G. B"/>
    <m/>
    <m/>
    <d v="2004-09-17T00:00:00"/>
    <m/>
    <d v="2004-09-17T00:00:00"/>
    <m/>
    <m/>
    <n v="1"/>
    <m/>
    <m/>
    <m/>
    <s v="CONDUCTORES"/>
    <s v="CONDUCTOR"/>
    <x v="0"/>
    <s v="CONTINUO"/>
    <s v="SI"/>
    <x v="0"/>
    <x v="0"/>
    <m/>
    <n v="14000425011981"/>
    <n v="8"/>
    <s v="PERSONAL OPERARIO GENERAL"/>
    <m/>
    <n v="8"/>
    <m/>
    <m/>
    <m/>
    <m/>
    <m/>
    <m/>
    <m/>
    <m/>
    <m/>
    <m/>
    <m/>
    <m/>
    <m/>
    <m/>
    <m/>
    <m/>
    <m/>
    <m/>
    <m/>
    <m/>
    <m/>
    <m/>
    <m/>
    <m/>
    <m/>
    <m/>
    <m/>
    <m/>
    <m/>
    <m/>
    <m/>
    <m/>
    <m/>
    <m/>
    <m/>
    <m/>
    <d v="2024-01-01T00:00:00"/>
    <d v="2024-12-31T00:00:00"/>
    <n v="1"/>
    <n v="1"/>
    <s v="Dentro"/>
    <s v="Sí"/>
    <s v="NO"/>
    <s v="NO"/>
    <s v="NO"/>
    <s v="NO"/>
    <n v="0"/>
    <n v="0"/>
    <n v="0"/>
    <n v="0"/>
    <n v="0"/>
  </r>
  <r>
    <x v="0"/>
    <d v="1963-09-17T00:00:00"/>
    <s v="GRADUADO ESCOLAR"/>
    <m/>
    <m/>
    <d v="2005-11-16T00:00:00"/>
    <m/>
    <d v="2005-11-16T00:00:00"/>
    <m/>
    <m/>
    <n v="1"/>
    <m/>
    <m/>
    <m/>
    <s v="CONDUCTORES"/>
    <s v="CONDUCTOR"/>
    <x v="0"/>
    <s v="CONTINUO"/>
    <s v="SI"/>
    <x v="0"/>
    <x v="0"/>
    <m/>
    <n v="14000425011981"/>
    <n v="8"/>
    <s v="PERSONAL OPERARIO GENERAL"/>
    <m/>
    <n v="8"/>
    <m/>
    <m/>
    <m/>
    <m/>
    <m/>
    <m/>
    <m/>
    <m/>
    <m/>
    <m/>
    <m/>
    <m/>
    <m/>
    <m/>
    <m/>
    <m/>
    <m/>
    <m/>
    <m/>
    <m/>
    <m/>
    <m/>
    <m/>
    <m/>
    <m/>
    <m/>
    <m/>
    <m/>
    <m/>
    <m/>
    <m/>
    <m/>
    <m/>
    <m/>
    <m/>
    <m/>
    <d v="2024-01-01T00:00:00"/>
    <d v="2024-12-31T00:00:00"/>
    <n v="1"/>
    <n v="1"/>
    <s v="Dentro"/>
    <s v="Sí"/>
    <s v="NO"/>
    <s v="NO"/>
    <s v="NO"/>
    <s v="NO"/>
    <n v="0"/>
    <n v="0"/>
    <n v="0"/>
    <n v="0"/>
    <n v="0"/>
  </r>
  <r>
    <x v="0"/>
    <d v="1961-08-18T00:00:00"/>
    <s v="GRADUADO ESCOLAR"/>
    <m/>
    <m/>
    <d v="2007-12-12T00:00:00"/>
    <m/>
    <d v="2007-12-12T00:00:00"/>
    <m/>
    <m/>
    <n v="1"/>
    <m/>
    <m/>
    <m/>
    <s v="CONDUCTORES"/>
    <s v="CONDUCTOR"/>
    <x v="0"/>
    <s v="CONTINUO"/>
    <s v="SI"/>
    <x v="0"/>
    <x v="0"/>
    <m/>
    <n v="14000425011981"/>
    <n v="8"/>
    <s v="PERSONAL OPERARIO GENERAL"/>
    <m/>
    <n v="8"/>
    <m/>
    <m/>
    <m/>
    <m/>
    <m/>
    <m/>
    <m/>
    <m/>
    <m/>
    <m/>
    <m/>
    <m/>
    <m/>
    <m/>
    <m/>
    <m/>
    <m/>
    <m/>
    <m/>
    <m/>
    <m/>
    <m/>
    <m/>
    <m/>
    <m/>
    <m/>
    <m/>
    <m/>
    <m/>
    <m/>
    <m/>
    <m/>
    <m/>
    <m/>
    <m/>
    <m/>
    <d v="2024-01-01T00:00:00"/>
    <d v="2024-12-31T00:00:00"/>
    <n v="1"/>
    <n v="1"/>
    <s v="Dentro"/>
    <s v="Sí"/>
    <s v="NO"/>
    <s v="NO"/>
    <s v="NO"/>
    <s v="NO"/>
    <n v="0"/>
    <n v="0"/>
    <n v="0"/>
    <n v="0"/>
    <n v="0"/>
  </r>
  <r>
    <x v="0"/>
    <d v="1982-10-13T00:00:00"/>
    <s v="FPII"/>
    <m/>
    <m/>
    <d v="2008-02-18T00:00:00"/>
    <m/>
    <d v="2008-02-18T00:00:00"/>
    <m/>
    <m/>
    <n v="1"/>
    <m/>
    <m/>
    <m/>
    <s v="ASESORES"/>
    <s v="ASESORES"/>
    <x v="8"/>
    <s v="CONTINUO"/>
    <s v="SI"/>
    <x v="0"/>
    <x v="0"/>
    <m/>
    <n v="14000425011981"/>
    <n v="8"/>
    <s v="PERSONAL ADMINISTRATIVO"/>
    <m/>
    <n v="5"/>
    <m/>
    <m/>
    <m/>
    <m/>
    <m/>
    <m/>
    <m/>
    <m/>
    <m/>
    <m/>
    <m/>
    <m/>
    <m/>
    <m/>
    <m/>
    <m/>
    <m/>
    <m/>
    <m/>
    <m/>
    <m/>
    <m/>
    <m/>
    <m/>
    <m/>
    <m/>
    <m/>
    <m/>
    <m/>
    <m/>
    <m/>
    <m/>
    <m/>
    <m/>
    <m/>
    <m/>
    <d v="2024-01-01T00:00:00"/>
    <d v="2024-12-31T00:00:00"/>
    <n v="1"/>
    <n v="1"/>
    <s v="Dentro"/>
    <s v="Sí"/>
    <s v="NO"/>
    <s v="NO"/>
    <s v="NO"/>
    <s v="NO"/>
    <n v="0"/>
    <n v="0"/>
    <n v="0"/>
    <n v="0"/>
    <n v="0"/>
  </r>
  <r>
    <x v="1"/>
    <d v="1988-10-26T00:00:00"/>
    <s v="GRADO"/>
    <m/>
    <m/>
    <d v="2008-07-22T00:00:00"/>
    <m/>
    <d v="2008-07-22T00:00:00"/>
    <m/>
    <m/>
    <n v="1"/>
    <m/>
    <m/>
    <m/>
    <s v="ADMINISTRACIÓN"/>
    <s v="DIRECCIÓN"/>
    <x v="16"/>
    <s v="CONTINUO"/>
    <s v="NO"/>
    <x v="0"/>
    <x v="0"/>
    <m/>
    <n v="14000425011981"/>
    <n v="5"/>
    <s v="PERSONAL ADMINISTRATIVO"/>
    <m/>
    <n v="5"/>
    <m/>
    <m/>
    <m/>
    <m/>
    <m/>
    <m/>
    <m/>
    <m/>
    <m/>
    <m/>
    <m/>
    <m/>
    <m/>
    <m/>
    <m/>
    <m/>
    <m/>
    <m/>
    <m/>
    <m/>
    <m/>
    <m/>
    <m/>
    <m/>
    <m/>
    <m/>
    <m/>
    <m/>
    <m/>
    <m/>
    <m/>
    <m/>
    <m/>
    <m/>
    <m/>
    <m/>
    <d v="2024-01-01T00:00:00"/>
    <d v="2024-12-31T00:00:00"/>
    <n v="1"/>
    <n v="1"/>
    <s v="Dentro"/>
    <s v="Sí"/>
    <s v="NO"/>
    <s v="NO"/>
    <s v="NO"/>
    <s v="NO"/>
    <n v="0"/>
    <n v="0"/>
    <n v="0"/>
    <n v="0"/>
    <n v="0"/>
  </r>
  <r>
    <x v="0"/>
    <d v="2008-11-10T00:00:00"/>
    <s v="BACHILLER"/>
    <m/>
    <m/>
    <d v="2008-11-10T00:00:00"/>
    <m/>
    <d v="2008-11-10T00:00:00"/>
    <m/>
    <m/>
    <n v="1"/>
    <m/>
    <m/>
    <m/>
    <s v="ASESORES"/>
    <s v="ASESORES"/>
    <x v="8"/>
    <s v="CONTINUO"/>
    <s v="SI"/>
    <x v="0"/>
    <x v="0"/>
    <m/>
    <n v="14000425011981"/>
    <n v="8"/>
    <s v="PERSONAL ADMINISTRATIVO"/>
    <m/>
    <n v="7"/>
    <m/>
    <m/>
    <m/>
    <m/>
    <m/>
    <m/>
    <m/>
    <m/>
    <m/>
    <m/>
    <m/>
    <m/>
    <m/>
    <m/>
    <m/>
    <m/>
    <m/>
    <m/>
    <m/>
    <m/>
    <m/>
    <m/>
    <m/>
    <m/>
    <m/>
    <m/>
    <m/>
    <m/>
    <m/>
    <m/>
    <m/>
    <m/>
    <m/>
    <m/>
    <m/>
    <m/>
    <d v="2024-01-01T00:00:00"/>
    <d v="2024-12-31T00:00:00"/>
    <n v="1"/>
    <n v="1"/>
    <s v="Dentro"/>
    <s v="Sí"/>
    <s v="NO"/>
    <s v="NO"/>
    <s v="NO"/>
    <s v="NO"/>
    <n v="0"/>
    <n v="0"/>
    <n v="0"/>
    <n v="0"/>
    <n v="0"/>
  </r>
  <r>
    <x v="0"/>
    <d v="1985-09-09T00:00:00"/>
    <s v="FPII"/>
    <m/>
    <m/>
    <d v="2008-11-10T00:00:00"/>
    <m/>
    <d v="2008-11-10T00:00:00"/>
    <m/>
    <m/>
    <n v="1"/>
    <m/>
    <m/>
    <m/>
    <s v="ASESORES"/>
    <s v="ASESORES"/>
    <x v="8"/>
    <s v="CONTINUO"/>
    <s v="SI"/>
    <x v="0"/>
    <x v="0"/>
    <m/>
    <n v="14000425011981"/>
    <n v="8"/>
    <s v="PERSONAL ADMINISTRATIVO"/>
    <m/>
    <n v="7"/>
    <m/>
    <m/>
    <m/>
    <m/>
    <m/>
    <m/>
    <m/>
    <m/>
    <m/>
    <m/>
    <m/>
    <m/>
    <m/>
    <m/>
    <m/>
    <m/>
    <m/>
    <m/>
    <m/>
    <m/>
    <m/>
    <m/>
    <m/>
    <m/>
    <m/>
    <m/>
    <m/>
    <m/>
    <m/>
    <m/>
    <m/>
    <m/>
    <m/>
    <m/>
    <m/>
    <m/>
    <d v="2024-01-01T00:00:00"/>
    <d v="2024-12-31T00:00:00"/>
    <n v="1"/>
    <n v="1"/>
    <s v="Dentro"/>
    <s v="Sí"/>
    <s v="NO"/>
    <s v="NO"/>
    <s v="NO"/>
    <s v="NO"/>
    <n v="0"/>
    <n v="0"/>
    <n v="0"/>
    <n v="0"/>
    <n v="0"/>
  </r>
  <r>
    <x v="0"/>
    <d v="1977-01-20T00:00:00"/>
    <s v="FPII"/>
    <m/>
    <m/>
    <d v="2009-06-15T00:00:00"/>
    <m/>
    <d v="2009-06-15T00:00:00"/>
    <m/>
    <m/>
    <n v="1"/>
    <m/>
    <m/>
    <m/>
    <s v="CONDUCTORES"/>
    <s v="CONDUCTORES"/>
    <x v="0"/>
    <s v="CONTINUO"/>
    <s v="SI"/>
    <x v="0"/>
    <x v="0"/>
    <m/>
    <n v="14000425011981"/>
    <n v="8"/>
    <s v="PERSONAL OPERARIO GENERAL"/>
    <m/>
    <n v="8"/>
    <m/>
    <m/>
    <m/>
    <m/>
    <m/>
    <m/>
    <m/>
    <m/>
    <m/>
    <m/>
    <m/>
    <m/>
    <m/>
    <m/>
    <m/>
    <m/>
    <m/>
    <m/>
    <m/>
    <m/>
    <m/>
    <m/>
    <m/>
    <m/>
    <m/>
    <m/>
    <m/>
    <m/>
    <m/>
    <m/>
    <m/>
    <m/>
    <m/>
    <m/>
    <m/>
    <m/>
    <d v="2024-01-01T00:00:00"/>
    <d v="2024-12-31T00:00:00"/>
    <n v="1"/>
    <n v="1"/>
    <s v="Dentro"/>
    <s v="Sí"/>
    <s v="NO"/>
    <s v="NO"/>
    <s v="NO"/>
    <s v="NO"/>
    <n v="0"/>
    <n v="0"/>
    <n v="0"/>
    <n v="0"/>
    <n v="0"/>
  </r>
  <r>
    <x v="1"/>
    <d v="1960-12-30T00:00:00"/>
    <s v="E.G.B."/>
    <m/>
    <m/>
    <d v="2010-05-07T00:00:00"/>
    <m/>
    <d v="2010-05-07T00:00:00"/>
    <m/>
    <m/>
    <n v="0.75"/>
    <m/>
    <m/>
    <m/>
    <s v="LIMPIEZA"/>
    <s v="LIMPIEZA"/>
    <x v="17"/>
    <s v="PARTIDO"/>
    <s v="SI"/>
    <x v="0"/>
    <x v="0"/>
    <m/>
    <n v="14000425011981"/>
    <n v="10"/>
    <s v="PERSONAL SUBALTERNO"/>
    <m/>
    <n v="10"/>
    <m/>
    <m/>
    <m/>
    <m/>
    <m/>
    <m/>
    <m/>
    <m/>
    <m/>
    <m/>
    <m/>
    <m/>
    <m/>
    <m/>
    <m/>
    <m/>
    <m/>
    <m/>
    <m/>
    <m/>
    <m/>
    <m/>
    <m/>
    <m/>
    <m/>
    <m/>
    <m/>
    <m/>
    <m/>
    <m/>
    <m/>
    <m/>
    <m/>
    <m/>
    <m/>
    <m/>
    <d v="2024-01-01T00:00:00"/>
    <d v="2024-12-31T00:00:00"/>
    <n v="0.75"/>
    <n v="1"/>
    <s v="Dentro"/>
    <s v="Sí"/>
    <s v="Sí"/>
    <s v="NO"/>
    <s v="NO"/>
    <s v="Sí"/>
    <n v="0"/>
    <n v="0"/>
    <n v="0"/>
    <n v="0"/>
    <n v="0"/>
  </r>
  <r>
    <x v="0"/>
    <d v="1985-09-11T00:00:00"/>
    <s v="FPII"/>
    <m/>
    <m/>
    <d v="2010-05-26T00:00:00"/>
    <m/>
    <d v="2010-05-26T00:00:00"/>
    <m/>
    <m/>
    <n v="1"/>
    <m/>
    <m/>
    <m/>
    <s v="ASESORES"/>
    <s v="ASESORES"/>
    <x v="8"/>
    <s v="CONTINUO"/>
    <s v="SI"/>
    <x v="0"/>
    <x v="0"/>
    <m/>
    <n v="14000425011981"/>
    <n v="8"/>
    <s v="PERSONAL ADMINISTRATIVO"/>
    <m/>
    <n v="5"/>
    <m/>
    <m/>
    <m/>
    <m/>
    <m/>
    <m/>
    <m/>
    <m/>
    <m/>
    <m/>
    <m/>
    <m/>
    <m/>
    <m/>
    <m/>
    <m/>
    <m/>
    <m/>
    <m/>
    <m/>
    <m/>
    <m/>
    <m/>
    <m/>
    <m/>
    <m/>
    <m/>
    <m/>
    <m/>
    <m/>
    <m/>
    <m/>
    <m/>
    <m/>
    <m/>
    <m/>
    <d v="2024-01-01T00:00:00"/>
    <d v="2024-12-31T00:00:00"/>
    <n v="1"/>
    <n v="1"/>
    <s v="Dentro"/>
    <s v="Sí"/>
    <s v="NO"/>
    <s v="NO"/>
    <s v="NO"/>
    <s v="NO"/>
    <n v="0"/>
    <n v="0"/>
    <n v="0"/>
    <n v="0"/>
    <n v="0"/>
  </r>
  <r>
    <x v="1"/>
    <d v="1969-12-17T00:00:00"/>
    <s v="E.G.B."/>
    <m/>
    <m/>
    <d v="2010-08-01T00:00:00"/>
    <m/>
    <d v="2010-08-01T00:00:00"/>
    <m/>
    <m/>
    <n v="1"/>
    <m/>
    <m/>
    <m/>
    <s v="LIMPIEZA"/>
    <s v="LIMPIEZA"/>
    <x v="10"/>
    <s v="CONTINUO"/>
    <s v="SI"/>
    <x v="0"/>
    <x v="0"/>
    <m/>
    <n v="14000425011981"/>
    <n v="10"/>
    <s v="PERSONAL SUBALTERNO"/>
    <m/>
    <n v="10"/>
    <m/>
    <m/>
    <m/>
    <m/>
    <m/>
    <m/>
    <m/>
    <m/>
    <m/>
    <m/>
    <m/>
    <m/>
    <m/>
    <m/>
    <m/>
    <m/>
    <m/>
    <m/>
    <m/>
    <m/>
    <m/>
    <m/>
    <m/>
    <m/>
    <m/>
    <m/>
    <m/>
    <m/>
    <m/>
    <m/>
    <m/>
    <m/>
    <m/>
    <m/>
    <m/>
    <m/>
    <d v="2024-01-01T00:00:00"/>
    <d v="2024-12-31T00:00:00"/>
    <n v="1"/>
    <n v="1"/>
    <s v="Dentro"/>
    <s v="Sí"/>
    <s v="NO"/>
    <s v="NO"/>
    <s v="NO"/>
    <s v="NO"/>
    <n v="0"/>
    <n v="0"/>
    <n v="0"/>
    <n v="0"/>
    <n v="0"/>
  </r>
  <r>
    <x v="1"/>
    <d v="2010-08-01T00:00:00"/>
    <s v="E.G.B."/>
    <m/>
    <m/>
    <d v="2010-08-01T00:00:00"/>
    <m/>
    <d v="2010-08-01T00:00:00"/>
    <m/>
    <m/>
    <n v="0.75"/>
    <m/>
    <m/>
    <m/>
    <s v="LIMPIEZA"/>
    <s v="LIMPIEZA"/>
    <x v="10"/>
    <s v="PARCIAL"/>
    <s v="SI"/>
    <x v="0"/>
    <x v="0"/>
    <m/>
    <n v="14000425011981"/>
    <n v="10"/>
    <s v="PERSONAL SUBALTERNO"/>
    <m/>
    <n v="10"/>
    <m/>
    <m/>
    <m/>
    <m/>
    <m/>
    <m/>
    <m/>
    <m/>
    <m/>
    <m/>
    <m/>
    <m/>
    <m/>
    <m/>
    <m/>
    <m/>
    <m/>
    <m/>
    <m/>
    <m/>
    <m/>
    <m/>
    <m/>
    <m/>
    <m/>
    <m/>
    <m/>
    <m/>
    <m/>
    <m/>
    <m/>
    <m/>
    <m/>
    <m/>
    <m/>
    <m/>
    <d v="2024-01-01T00:00:00"/>
    <d v="2024-12-31T00:00:00"/>
    <n v="0.75"/>
    <n v="1"/>
    <s v="Dentro"/>
    <s v="Sí"/>
    <s v="Sí"/>
    <s v="NO"/>
    <s v="NO"/>
    <s v="Sí"/>
    <n v="0"/>
    <n v="0"/>
    <n v="0"/>
    <n v="0"/>
    <n v="0"/>
  </r>
  <r>
    <x v="1"/>
    <d v="1962-07-03T00:00:00"/>
    <s v="CERTIFICADO ESCOLARIDAD"/>
    <m/>
    <m/>
    <d v="2010-08-09T00:00:00"/>
    <m/>
    <d v="2010-08-09T00:00:00"/>
    <m/>
    <m/>
    <n v="1"/>
    <m/>
    <m/>
    <m/>
    <s v="LIMPIEZA"/>
    <s v="LIMPIEZA"/>
    <x v="10"/>
    <s v="CONTINUO"/>
    <s v="SI"/>
    <x v="0"/>
    <x v="0"/>
    <m/>
    <n v="14000425011981"/>
    <n v="10"/>
    <s v="PERSONAL SUBALTERNO"/>
    <m/>
    <n v="10"/>
    <m/>
    <m/>
    <m/>
    <m/>
    <m/>
    <m/>
    <m/>
    <m/>
    <m/>
    <m/>
    <m/>
    <m/>
    <m/>
    <m/>
    <m/>
    <m/>
    <m/>
    <m/>
    <m/>
    <m/>
    <m/>
    <m/>
    <m/>
    <m/>
    <m/>
    <m/>
    <m/>
    <m/>
    <m/>
    <m/>
    <m/>
    <m/>
    <m/>
    <m/>
    <m/>
    <m/>
    <d v="2024-01-01T00:00:00"/>
    <d v="2024-12-31T00:00:00"/>
    <n v="1"/>
    <n v="1"/>
    <s v="Dentro"/>
    <s v="Sí"/>
    <s v="NO"/>
    <s v="NO"/>
    <s v="NO"/>
    <s v="NO"/>
    <n v="0"/>
    <n v="0"/>
    <n v="0"/>
    <n v="0"/>
    <n v="0"/>
  </r>
  <r>
    <x v="0"/>
    <d v="1975-04-02T00:00:00"/>
    <s v="FPII"/>
    <m/>
    <m/>
    <d v="2011-03-14T00:00:00"/>
    <m/>
    <d v="2011-03-14T00:00:00"/>
    <m/>
    <m/>
    <n v="1"/>
    <m/>
    <m/>
    <m/>
    <s v="CONDUCTORES"/>
    <s v="CONDUCTORES"/>
    <x v="0"/>
    <s v="CONTINUO"/>
    <s v="SI"/>
    <x v="0"/>
    <x v="0"/>
    <m/>
    <n v="14000425011981"/>
    <n v="8"/>
    <s v="PERSONAL OPERARIO GENERAL"/>
    <m/>
    <n v="8"/>
    <m/>
    <m/>
    <m/>
    <m/>
    <m/>
    <m/>
    <m/>
    <m/>
    <m/>
    <m/>
    <m/>
    <m/>
    <m/>
    <m/>
    <m/>
    <m/>
    <m/>
    <m/>
    <m/>
    <m/>
    <m/>
    <m/>
    <m/>
    <m/>
    <m/>
    <m/>
    <m/>
    <m/>
    <m/>
    <m/>
    <m/>
    <m/>
    <m/>
    <m/>
    <m/>
    <m/>
    <d v="2024-01-01T00:00:00"/>
    <d v="2024-12-31T00:00:00"/>
    <n v="1"/>
    <n v="1"/>
    <s v="Dentro"/>
    <s v="Sí"/>
    <s v="NO"/>
    <s v="NO"/>
    <s v="NO"/>
    <s v="NO"/>
    <n v="0"/>
    <n v="0"/>
    <n v="0"/>
    <n v="0"/>
    <n v="0"/>
  </r>
  <r>
    <x v="0"/>
    <d v="1967-10-07T00:00:00"/>
    <s v="GRADUADO ESCOLAR"/>
    <m/>
    <m/>
    <d v="2011-06-06T00:00:00"/>
    <m/>
    <d v="2011-06-06T00:00:00"/>
    <m/>
    <m/>
    <n v="1"/>
    <m/>
    <m/>
    <m/>
    <s v="CONDUCTORES"/>
    <s v="CONDUCTORES"/>
    <x v="0"/>
    <s v="CONTINUO"/>
    <s v="SI"/>
    <x v="0"/>
    <x v="0"/>
    <m/>
    <n v="14000425011981"/>
    <n v="8"/>
    <s v="PERSONAL OPERARIO GENERAL"/>
    <m/>
    <n v="8"/>
    <m/>
    <m/>
    <m/>
    <m/>
    <m/>
    <m/>
    <m/>
    <m/>
    <m/>
    <m/>
    <m/>
    <m/>
    <m/>
    <m/>
    <m/>
    <m/>
    <m/>
    <m/>
    <m/>
    <m/>
    <m/>
    <m/>
    <m/>
    <m/>
    <m/>
    <m/>
    <m/>
    <m/>
    <m/>
    <m/>
    <m/>
    <m/>
    <m/>
    <m/>
    <m/>
    <m/>
    <d v="2024-01-01T00:00:00"/>
    <d v="2024-12-31T00:00:00"/>
    <n v="1"/>
    <n v="1"/>
    <s v="Dentro"/>
    <s v="Sí"/>
    <s v="NO"/>
    <s v="NO"/>
    <s v="NO"/>
    <s v="NO"/>
    <n v="0"/>
    <n v="0"/>
    <n v="0"/>
    <n v="0"/>
    <n v="0"/>
  </r>
  <r>
    <x v="0"/>
    <d v="1970-05-22T00:00:00"/>
    <s v="FPII"/>
    <m/>
    <m/>
    <d v="2012-06-25T00:00:00"/>
    <m/>
    <d v="2012-06-25T00:00:00"/>
    <m/>
    <m/>
    <n v="1"/>
    <m/>
    <m/>
    <m/>
    <s v="ASESORES"/>
    <s v="ASESORES"/>
    <x v="0"/>
    <s v="CONTINUO"/>
    <s v="SI"/>
    <x v="0"/>
    <x v="0"/>
    <m/>
    <n v="14000425011981"/>
    <n v="8"/>
    <s v="PERSONAL OPERARIO GENERAL"/>
    <m/>
    <n v="8"/>
    <m/>
    <m/>
    <m/>
    <m/>
    <m/>
    <m/>
    <m/>
    <m/>
    <m/>
    <m/>
    <m/>
    <m/>
    <m/>
    <m/>
    <m/>
    <m/>
    <m/>
    <m/>
    <m/>
    <m/>
    <m/>
    <m/>
    <m/>
    <m/>
    <m/>
    <m/>
    <m/>
    <m/>
    <m/>
    <m/>
    <m/>
    <m/>
    <m/>
    <m/>
    <m/>
    <m/>
    <d v="2024-01-01T00:00:00"/>
    <d v="2024-12-31T00:00:00"/>
    <n v="1"/>
    <n v="1"/>
    <s v="Dentro"/>
    <s v="Sí"/>
    <s v="NO"/>
    <s v="NO"/>
    <s v="NO"/>
    <s v="NO"/>
    <n v="0"/>
    <n v="0"/>
    <n v="0"/>
    <n v="0"/>
    <n v="0"/>
  </r>
  <r>
    <x v="0"/>
    <d v="1983-07-09T00:00:00"/>
    <s v="FPII"/>
    <m/>
    <m/>
    <d v="2013-02-18T00:00:00"/>
    <m/>
    <d v="2013-02-18T00:00:00"/>
    <m/>
    <m/>
    <n v="1"/>
    <m/>
    <m/>
    <m/>
    <s v="CONDUCTORES"/>
    <s v="CONDUCTORES"/>
    <x v="0"/>
    <s v="CONTINUO"/>
    <s v="SI"/>
    <x v="0"/>
    <x v="0"/>
    <m/>
    <n v="14000425011981"/>
    <n v="8"/>
    <s v="PERSONAL OPERARIO GENERAL"/>
    <m/>
    <n v="8"/>
    <m/>
    <m/>
    <m/>
    <m/>
    <m/>
    <m/>
    <m/>
    <m/>
    <m/>
    <m/>
    <m/>
    <m/>
    <m/>
    <m/>
    <m/>
    <m/>
    <m/>
    <m/>
    <m/>
    <m/>
    <m/>
    <m/>
    <m/>
    <m/>
    <m/>
    <m/>
    <m/>
    <m/>
    <m/>
    <m/>
    <m/>
    <m/>
    <m/>
    <m/>
    <m/>
    <m/>
    <d v="2024-01-01T00:00:00"/>
    <d v="2024-12-31T00:00:00"/>
    <n v="1"/>
    <n v="1"/>
    <s v="Dentro"/>
    <s v="Sí"/>
    <s v="NO"/>
    <s v="NO"/>
    <s v="NO"/>
    <s v="NO"/>
    <n v="0"/>
    <n v="0"/>
    <n v="0"/>
    <n v="0"/>
    <n v="0"/>
  </r>
  <r>
    <x v="1"/>
    <d v="1984-03-21T00:00:00"/>
    <s v="FPI"/>
    <m/>
    <m/>
    <d v="2013-07-13T00:00:00"/>
    <m/>
    <d v="2013-07-13T00:00:00"/>
    <m/>
    <m/>
    <n v="1"/>
    <m/>
    <m/>
    <m/>
    <s v="ASESORES"/>
    <s v="ASESORA"/>
    <x v="18"/>
    <m/>
    <m/>
    <x v="0"/>
    <x v="0"/>
    <m/>
    <n v="14000425011981"/>
    <n v="10"/>
    <s v="PERSONAL SUBALTERNO"/>
    <m/>
    <n v="10"/>
    <m/>
    <m/>
    <m/>
    <m/>
    <m/>
    <m/>
    <m/>
    <m/>
    <m/>
    <m/>
    <m/>
    <m/>
    <m/>
    <m/>
    <m/>
    <m/>
    <m/>
    <m/>
    <m/>
    <m/>
    <m/>
    <m/>
    <m/>
    <m/>
    <m/>
    <m/>
    <m/>
    <m/>
    <m/>
    <m/>
    <m/>
    <m/>
    <m/>
    <m/>
    <m/>
    <m/>
    <d v="2024-01-01T00:00:00"/>
    <d v="2024-12-31T00:00:00"/>
    <n v="1"/>
    <n v="1"/>
    <s v="Dentro"/>
    <s v="Sí"/>
    <s v="NO"/>
    <s v="NO"/>
    <s v="NO"/>
    <s v="NO"/>
    <n v="0"/>
    <n v="0"/>
    <n v="0"/>
    <n v="0"/>
    <n v="0"/>
  </r>
  <r>
    <x v="0"/>
    <d v="1975-08-20T00:00:00"/>
    <s v="FPII"/>
    <m/>
    <m/>
    <d v="2013-10-10T00:00:00"/>
    <m/>
    <d v="2013-10-10T00:00:00"/>
    <m/>
    <m/>
    <n v="1"/>
    <m/>
    <m/>
    <m/>
    <s v="CONDUCTORES"/>
    <s v="CONDUCTORES"/>
    <x v="0"/>
    <s v="CONTINUO"/>
    <s v="SI"/>
    <x v="0"/>
    <x v="0"/>
    <m/>
    <n v="14000425011981"/>
    <n v="8"/>
    <s v="PERSONAL OPERARIO GENERAL"/>
    <m/>
    <n v="8"/>
    <m/>
    <m/>
    <m/>
    <m/>
    <m/>
    <m/>
    <m/>
    <m/>
    <m/>
    <m/>
    <m/>
    <m/>
    <m/>
    <m/>
    <m/>
    <m/>
    <m/>
    <m/>
    <m/>
    <m/>
    <m/>
    <m/>
    <m/>
    <m/>
    <m/>
    <m/>
    <m/>
    <m/>
    <m/>
    <m/>
    <m/>
    <m/>
    <m/>
    <m/>
    <m/>
    <m/>
    <d v="2024-01-01T00:00:00"/>
    <d v="2024-12-31T00:00:00"/>
    <n v="1"/>
    <n v="1"/>
    <s v="Dentro"/>
    <s v="Sí"/>
    <s v="NO"/>
    <s v="NO"/>
    <s v="NO"/>
    <s v="NO"/>
    <n v="0"/>
    <n v="0"/>
    <n v="0"/>
    <n v="0"/>
    <n v="0"/>
  </r>
  <r>
    <x v="0"/>
    <d v="1968-03-09T00:00:00"/>
    <s v="FPI"/>
    <m/>
    <m/>
    <d v="2014-05-09T00:00:00"/>
    <m/>
    <d v="2014-05-09T00:00:00"/>
    <m/>
    <m/>
    <n v="1"/>
    <m/>
    <m/>
    <m/>
    <s v="CONDUCTORES"/>
    <s v="CONDUCTORES"/>
    <x v="0"/>
    <s v="CONTINUO"/>
    <s v="SI"/>
    <x v="0"/>
    <x v="0"/>
    <m/>
    <n v="14000425011981"/>
    <n v="8"/>
    <s v="PERSONAL OPERARIO GENERAL"/>
    <m/>
    <n v="8"/>
    <m/>
    <m/>
    <m/>
    <m/>
    <m/>
    <m/>
    <m/>
    <m/>
    <m/>
    <m/>
    <m/>
    <m/>
    <m/>
    <m/>
    <m/>
    <m/>
    <m/>
    <m/>
    <m/>
    <m/>
    <m/>
    <m/>
    <m/>
    <m/>
    <m/>
    <m/>
    <m/>
    <m/>
    <m/>
    <m/>
    <m/>
    <m/>
    <m/>
    <m/>
    <m/>
    <m/>
    <d v="2024-01-01T00:00:00"/>
    <d v="2024-12-31T00:00:00"/>
    <n v="1"/>
    <n v="1"/>
    <s v="Dentro"/>
    <s v="Sí"/>
    <s v="NO"/>
    <s v="NO"/>
    <s v="NO"/>
    <s v="NO"/>
    <n v="0"/>
    <n v="0"/>
    <n v="0"/>
    <n v="0"/>
    <n v="0"/>
  </r>
  <r>
    <x v="1"/>
    <d v="1978-09-22T00:00:00"/>
    <s v="FPII"/>
    <m/>
    <m/>
    <d v="2015-05-12T00:00:00"/>
    <m/>
    <d v="2015-05-12T00:00:00"/>
    <m/>
    <m/>
    <n v="1"/>
    <m/>
    <m/>
    <m/>
    <s v="RECEPCIONISTA"/>
    <s v="RECEPCION"/>
    <x v="12"/>
    <s v="CONTINUO"/>
    <s v="SI"/>
    <x v="0"/>
    <x v="0"/>
    <m/>
    <n v="14000425011981"/>
    <n v="7"/>
    <s v="PERSONAL OPERARIO GENERAL"/>
    <m/>
    <n v="7"/>
    <m/>
    <m/>
    <m/>
    <m/>
    <m/>
    <m/>
    <m/>
    <m/>
    <m/>
    <m/>
    <m/>
    <m/>
    <m/>
    <m/>
    <m/>
    <m/>
    <m/>
    <m/>
    <m/>
    <m/>
    <m/>
    <m/>
    <m/>
    <m/>
    <m/>
    <m/>
    <m/>
    <m/>
    <m/>
    <m/>
    <m/>
    <m/>
    <m/>
    <m/>
    <m/>
    <m/>
    <d v="2024-01-01T00:00:00"/>
    <d v="2024-12-31T00:00:00"/>
    <n v="1"/>
    <n v="1"/>
    <s v="Dentro"/>
    <s v="Sí"/>
    <s v="NO"/>
    <s v="NO"/>
    <s v="NO"/>
    <s v="NO"/>
    <n v="0"/>
    <n v="0"/>
    <n v="0"/>
    <n v="0"/>
    <n v="0"/>
  </r>
  <r>
    <x v="1"/>
    <d v="1979-05-23T00:00:00"/>
    <s v="FPII"/>
    <m/>
    <m/>
    <d v="2016-12-12T00:00:00"/>
    <m/>
    <d v="2016-12-12T00:00:00"/>
    <m/>
    <m/>
    <n v="1"/>
    <m/>
    <m/>
    <m/>
    <s v="RECEPCIONISTA"/>
    <s v="RECEPCION"/>
    <x v="12"/>
    <s v="CONTINUO"/>
    <s v="SI"/>
    <x v="0"/>
    <x v="0"/>
    <m/>
    <n v="14000425011981"/>
    <n v="7"/>
    <s v="PERSONAL OPERARIO GENERAL"/>
    <m/>
    <n v="7"/>
    <m/>
    <m/>
    <m/>
    <m/>
    <m/>
    <m/>
    <m/>
    <m/>
    <m/>
    <m/>
    <m/>
    <m/>
    <m/>
    <m/>
    <m/>
    <m/>
    <m/>
    <m/>
    <m/>
    <m/>
    <m/>
    <m/>
    <m/>
    <m/>
    <m/>
    <m/>
    <m/>
    <m/>
    <m/>
    <m/>
    <m/>
    <m/>
    <m/>
    <m/>
    <m/>
    <m/>
    <d v="2024-01-01T00:00:00"/>
    <d v="2024-12-31T00:00:00"/>
    <n v="1"/>
    <n v="1"/>
    <s v="Dentro"/>
    <s v="Sí"/>
    <s v="NO"/>
    <s v="NO"/>
    <s v="NO"/>
    <s v="NO"/>
    <n v="0"/>
    <n v="0"/>
    <n v="0"/>
    <n v="0"/>
    <n v="0"/>
  </r>
  <r>
    <x v="1"/>
    <d v="1981-10-20T00:00:00"/>
    <s v="LICENCIADA"/>
    <m/>
    <m/>
    <d v="2017-06-05T00:00:00"/>
    <m/>
    <d v="2017-06-05T00:00:00"/>
    <m/>
    <m/>
    <n v="1"/>
    <m/>
    <m/>
    <m/>
    <s v="PROTOCOLO"/>
    <s v="PROTOCOLO"/>
    <x v="15"/>
    <s v="CONTINUO"/>
    <s v="SI"/>
    <x v="0"/>
    <x v="0"/>
    <m/>
    <n v="14000425011981"/>
    <n v="7"/>
    <s v="PERSONAL OPERARIO GENERAL"/>
    <m/>
    <n v="7"/>
    <m/>
    <m/>
    <m/>
    <m/>
    <m/>
    <m/>
    <m/>
    <m/>
    <m/>
    <m/>
    <m/>
    <m/>
    <m/>
    <m/>
    <m/>
    <m/>
    <m/>
    <m/>
    <m/>
    <m/>
    <m/>
    <m/>
    <m/>
    <m/>
    <m/>
    <m/>
    <m/>
    <m/>
    <m/>
    <m/>
    <m/>
    <m/>
    <m/>
    <m/>
    <m/>
    <m/>
    <d v="2024-01-01T00:00:00"/>
    <d v="2024-12-31T00:00:00"/>
    <n v="1"/>
    <n v="1"/>
    <s v="Dentro"/>
    <s v="Sí"/>
    <s v="NO"/>
    <s v="NO"/>
    <s v="NO"/>
    <s v="NO"/>
    <n v="0"/>
    <n v="0"/>
    <n v="0"/>
    <n v="0"/>
    <n v="0"/>
  </r>
  <r>
    <x v="0"/>
    <d v="1978-02-10T00:00:00"/>
    <s v="BACHILLER"/>
    <m/>
    <m/>
    <d v="2017-07-11T00:00:00"/>
    <m/>
    <d v="2017-07-11T00:00:00"/>
    <m/>
    <m/>
    <n v="1"/>
    <m/>
    <m/>
    <m/>
    <s v="ASESORES"/>
    <s v="ASESORES"/>
    <x v="19"/>
    <s v="CONTINUO"/>
    <s v="SI"/>
    <x v="0"/>
    <x v="0"/>
    <m/>
    <n v="14000425011981"/>
    <n v="8"/>
    <s v="PERSONAL OPERARIO GENERAL"/>
    <m/>
    <n v="5"/>
    <m/>
    <m/>
    <m/>
    <m/>
    <m/>
    <m/>
    <m/>
    <m/>
    <m/>
    <m/>
    <m/>
    <m/>
    <m/>
    <m/>
    <m/>
    <m/>
    <m/>
    <m/>
    <m/>
    <m/>
    <m/>
    <m/>
    <m/>
    <m/>
    <m/>
    <m/>
    <m/>
    <m/>
    <m/>
    <m/>
    <m/>
    <m/>
    <m/>
    <m/>
    <m/>
    <m/>
    <d v="2024-01-01T00:00:00"/>
    <d v="2024-12-31T00:00:00"/>
    <n v="1"/>
    <n v="1"/>
    <s v="Dentro"/>
    <s v="Sí"/>
    <s v="NO"/>
    <s v="NO"/>
    <s v="NO"/>
    <s v="NO"/>
    <n v="0"/>
    <n v="0"/>
    <n v="0"/>
    <n v="0"/>
    <n v="0"/>
  </r>
  <r>
    <x v="1"/>
    <d v="1975-07-06T00:00:00"/>
    <s v="FPII"/>
    <m/>
    <m/>
    <d v="2017-07-20T00:00:00"/>
    <m/>
    <d v="2017-07-20T00:00:00"/>
    <m/>
    <m/>
    <n v="0.26250000000000001"/>
    <m/>
    <m/>
    <m/>
    <s v="LIMPIEZA"/>
    <s v="LIMPIEZA"/>
    <x v="20"/>
    <s v="CONTINUO"/>
    <s v="NO"/>
    <x v="0"/>
    <x v="0"/>
    <m/>
    <n v="14000425011981"/>
    <n v="10"/>
    <s v="PERSONAL SUBALTERNO"/>
    <m/>
    <n v="10"/>
    <m/>
    <m/>
    <m/>
    <m/>
    <m/>
    <m/>
    <m/>
    <m/>
    <m/>
    <m/>
    <m/>
    <m/>
    <m/>
    <m/>
    <m/>
    <m/>
    <m/>
    <m/>
    <m/>
    <m/>
    <m/>
    <m/>
    <m/>
    <m/>
    <m/>
    <m/>
    <m/>
    <m/>
    <m/>
    <m/>
    <m/>
    <m/>
    <m/>
    <m/>
    <m/>
    <m/>
    <d v="2024-01-01T00:00:00"/>
    <d v="2024-12-31T00:00:00"/>
    <n v="0.26250000000000001"/>
    <n v="1"/>
    <s v="Dentro"/>
    <s v="Sí"/>
    <s v="Sí"/>
    <s v="NO"/>
    <s v="NO"/>
    <s v="Sí"/>
    <n v="0"/>
    <n v="0"/>
    <n v="0"/>
    <n v="0"/>
    <n v="0"/>
  </r>
  <r>
    <x v="0"/>
    <d v="1978-01-27T00:00:00"/>
    <s v="GRADUADO ESCOLAR"/>
    <m/>
    <m/>
    <d v="2017-12-18T00:00:00"/>
    <m/>
    <d v="2017-12-18T00:00:00"/>
    <m/>
    <m/>
    <n v="1"/>
    <m/>
    <m/>
    <m/>
    <s v="CONDUCTORES"/>
    <s v="CONDUCTORES"/>
    <x v="0"/>
    <s v="CONTINUO"/>
    <m/>
    <x v="0"/>
    <x v="0"/>
    <m/>
    <n v="14000425011981"/>
    <n v="8"/>
    <s v="PERSONAL OPERARIO GENERAL"/>
    <m/>
    <n v="8"/>
    <m/>
    <m/>
    <m/>
    <m/>
    <m/>
    <m/>
    <m/>
    <m/>
    <m/>
    <m/>
    <m/>
    <m/>
    <m/>
    <m/>
    <m/>
    <m/>
    <m/>
    <m/>
    <m/>
    <m/>
    <m/>
    <m/>
    <m/>
    <m/>
    <m/>
    <m/>
    <m/>
    <m/>
    <m/>
    <m/>
    <m/>
    <m/>
    <m/>
    <m/>
    <m/>
    <m/>
    <d v="2024-01-01T00:00:00"/>
    <d v="2024-12-31T00:00:00"/>
    <n v="1"/>
    <n v="1"/>
    <s v="Dentro"/>
    <s v="Sí"/>
    <s v="NO"/>
    <s v="NO"/>
    <s v="NO"/>
    <s v="NO"/>
    <n v="0"/>
    <n v="0"/>
    <n v="0"/>
    <n v="0"/>
    <n v="0"/>
  </r>
  <r>
    <x v="0"/>
    <d v="1962-07-14T00:00:00"/>
    <s v="FPI"/>
    <m/>
    <m/>
    <d v="2018-01-01T00:00:00"/>
    <m/>
    <d v="2018-01-01T00:00:00"/>
    <m/>
    <m/>
    <n v="1"/>
    <m/>
    <m/>
    <m/>
    <s v="MANTENIMIENTO"/>
    <s v="MANTENIMIENTO"/>
    <x v="21"/>
    <s v="CONTINUO"/>
    <s v="NO"/>
    <x v="0"/>
    <x v="0"/>
    <m/>
    <n v="14000425011981"/>
    <n v="8"/>
    <s v="PERSONAL OPERARIO GENERAL"/>
    <m/>
    <n v="8"/>
    <m/>
    <m/>
    <m/>
    <m/>
    <m/>
    <m/>
    <m/>
    <m/>
    <m/>
    <m/>
    <m/>
    <m/>
    <m/>
    <m/>
    <m/>
    <m/>
    <m/>
    <m/>
    <m/>
    <m/>
    <m/>
    <m/>
    <m/>
    <m/>
    <m/>
    <m/>
    <m/>
    <m/>
    <m/>
    <m/>
    <m/>
    <m/>
    <m/>
    <m/>
    <m/>
    <m/>
    <d v="2024-01-01T00:00:00"/>
    <d v="2024-12-31T00:00:00"/>
    <n v="1"/>
    <n v="1"/>
    <s v="Dentro"/>
    <s v="Sí"/>
    <s v="NO"/>
    <s v="NO"/>
    <s v="NO"/>
    <s v="NO"/>
    <n v="0"/>
    <n v="0"/>
    <n v="0"/>
    <n v="0"/>
    <n v="0"/>
  </r>
  <r>
    <x v="0"/>
    <d v="1979-01-09T00:00:00"/>
    <s v="FPII"/>
    <m/>
    <m/>
    <d v="2018-03-10T00:00:00"/>
    <m/>
    <d v="2018-03-10T00:00:00"/>
    <m/>
    <m/>
    <n v="1"/>
    <m/>
    <m/>
    <m/>
    <s v="ASESORES"/>
    <s v="ASESORES"/>
    <x v="22"/>
    <s v="CONTINUO"/>
    <s v="SI"/>
    <x v="0"/>
    <x v="0"/>
    <m/>
    <n v="14000425011981"/>
    <n v="8"/>
    <s v="PERSONAL ADMINISTRATIVO"/>
    <m/>
    <n v="8"/>
    <m/>
    <m/>
    <m/>
    <m/>
    <m/>
    <m/>
    <m/>
    <m/>
    <m/>
    <m/>
    <m/>
    <m/>
    <m/>
    <m/>
    <m/>
    <m/>
    <m/>
    <m/>
    <m/>
    <m/>
    <m/>
    <m/>
    <m/>
    <m/>
    <m/>
    <m/>
    <m/>
    <m/>
    <m/>
    <m/>
    <m/>
    <m/>
    <m/>
    <m/>
    <m/>
    <m/>
    <d v="2024-01-01T00:00:00"/>
    <d v="2024-12-31T00:00:00"/>
    <n v="1"/>
    <n v="1"/>
    <s v="Dentro"/>
    <s v="Sí"/>
    <s v="NO"/>
    <s v="NO"/>
    <s v="NO"/>
    <s v="NO"/>
    <n v="0"/>
    <n v="0"/>
    <n v="0"/>
    <n v="0"/>
    <n v="0"/>
  </r>
  <r>
    <x v="0"/>
    <d v="1984-11-10T00:00:00"/>
    <s v="GRADUADO ESCOLAR"/>
    <m/>
    <m/>
    <d v="2018-05-21T00:00:00"/>
    <m/>
    <d v="2018-05-21T00:00:00"/>
    <m/>
    <m/>
    <n v="1"/>
    <m/>
    <m/>
    <m/>
    <s v="CONDUCTORES"/>
    <s v="CONDUCTORES"/>
    <x v="23"/>
    <s v="CONTINUO"/>
    <s v="NO"/>
    <x v="0"/>
    <x v="0"/>
    <m/>
    <n v="14000425011981"/>
    <n v="8"/>
    <s v="PERSONAL OPERARIO GENERAL"/>
    <m/>
    <n v="8"/>
    <m/>
    <m/>
    <m/>
    <m/>
    <m/>
    <m/>
    <m/>
    <m/>
    <m/>
    <m/>
    <m/>
    <m/>
    <m/>
    <m/>
    <m/>
    <m/>
    <m/>
    <m/>
    <m/>
    <m/>
    <m/>
    <m/>
    <m/>
    <m/>
    <m/>
    <m/>
    <m/>
    <m/>
    <m/>
    <m/>
    <m/>
    <m/>
    <m/>
    <m/>
    <m/>
    <m/>
    <d v="2024-01-01T00:00:00"/>
    <d v="2024-12-31T00:00:00"/>
    <n v="1"/>
    <n v="1"/>
    <s v="Dentro"/>
    <s v="Sí"/>
    <s v="NO"/>
    <s v="NO"/>
    <s v="NO"/>
    <s v="NO"/>
    <n v="0"/>
    <n v="0"/>
    <n v="0"/>
    <n v="0"/>
    <n v="0"/>
  </r>
  <r>
    <x v="0"/>
    <d v="1973-04-02T00:00:00"/>
    <s v="DIPLOMADO"/>
    <m/>
    <m/>
    <d v="2018-06-04T00:00:00"/>
    <m/>
    <d v="2018-06-04T00:00:00"/>
    <m/>
    <m/>
    <n v="1"/>
    <m/>
    <m/>
    <m/>
    <s v="ADMINISTRACIÓN"/>
    <s v="ADMINISTRACIÓN"/>
    <x v="24"/>
    <s v="CONTINUO"/>
    <s v="SI"/>
    <x v="0"/>
    <x v="0"/>
    <m/>
    <n v="14000425011981"/>
    <n v="8"/>
    <s v="PERSONAL OPERARIO GENERAL"/>
    <m/>
    <n v="8"/>
    <m/>
    <m/>
    <m/>
    <m/>
    <m/>
    <m/>
    <m/>
    <m/>
    <m/>
    <m/>
    <m/>
    <m/>
    <m/>
    <m/>
    <m/>
    <m/>
    <m/>
    <m/>
    <m/>
    <m/>
    <m/>
    <m/>
    <m/>
    <m/>
    <m/>
    <m/>
    <m/>
    <m/>
    <m/>
    <m/>
    <m/>
    <m/>
    <m/>
    <m/>
    <m/>
    <m/>
    <d v="2024-01-01T00:00:00"/>
    <d v="2024-12-31T00:00:00"/>
    <n v="1"/>
    <n v="1"/>
    <s v="Dentro"/>
    <s v="Sí"/>
    <s v="NO"/>
    <s v="NO"/>
    <s v="NO"/>
    <s v="NO"/>
    <n v="0"/>
    <n v="0"/>
    <n v="0"/>
    <n v="0"/>
    <n v="0"/>
  </r>
  <r>
    <x v="0"/>
    <d v="1974-02-20T00:00:00"/>
    <s v="FPII"/>
    <m/>
    <m/>
    <d v="2018-06-18T00:00:00"/>
    <m/>
    <d v="2018-06-18T00:00:00"/>
    <m/>
    <m/>
    <n v="1"/>
    <m/>
    <m/>
    <m/>
    <s v="CONDUCTORES"/>
    <s v="CONDUCTORES"/>
    <x v="0"/>
    <s v="CONTINUO"/>
    <s v="SI"/>
    <x v="0"/>
    <x v="0"/>
    <m/>
    <n v="14000425011981"/>
    <n v="8"/>
    <s v="PERSONAL OPERARIO GENERAL"/>
    <m/>
    <n v="8"/>
    <m/>
    <m/>
    <m/>
    <m/>
    <m/>
    <m/>
    <m/>
    <m/>
    <m/>
    <m/>
    <m/>
    <m/>
    <m/>
    <m/>
    <m/>
    <m/>
    <m/>
    <m/>
    <m/>
    <m/>
    <m/>
    <m/>
    <m/>
    <m/>
    <m/>
    <m/>
    <m/>
    <m/>
    <m/>
    <m/>
    <m/>
    <m/>
    <m/>
    <m/>
    <m/>
    <m/>
    <d v="2024-01-01T00:00:00"/>
    <d v="2024-12-31T00:00:00"/>
    <n v="1"/>
    <n v="1"/>
    <s v="Dentro"/>
    <s v="Sí"/>
    <s v="NO"/>
    <s v="NO"/>
    <s v="NO"/>
    <s v="NO"/>
    <n v="0"/>
    <n v="0"/>
    <n v="0"/>
    <n v="0"/>
    <n v="0"/>
  </r>
  <r>
    <x v="0"/>
    <d v="1996-10-03T00:00:00"/>
    <s v="BACHILLER"/>
    <m/>
    <m/>
    <d v="2017-07-19T00:00:00"/>
    <m/>
    <d v="2017-07-19T00:00:00"/>
    <m/>
    <m/>
    <n v="1"/>
    <m/>
    <m/>
    <m/>
    <s v="CONDUCTORES"/>
    <s v="CONDUCTORES"/>
    <x v="0"/>
    <s v="CONTINUO"/>
    <s v="SI"/>
    <x v="0"/>
    <x v="0"/>
    <m/>
    <n v="14000425011981"/>
    <n v="8"/>
    <s v="PERSONAL OPERARIO GENERAL"/>
    <m/>
    <n v="8"/>
    <m/>
    <m/>
    <m/>
    <m/>
    <m/>
    <m/>
    <m/>
    <m/>
    <m/>
    <m/>
    <m/>
    <m/>
    <m/>
    <m/>
    <m/>
    <m/>
    <m/>
    <m/>
    <m/>
    <m/>
    <m/>
    <m/>
    <m/>
    <m/>
    <m/>
    <m/>
    <m/>
    <m/>
    <m/>
    <m/>
    <m/>
    <m/>
    <m/>
    <m/>
    <m/>
    <m/>
    <d v="2024-01-01T00:00:00"/>
    <d v="2024-12-31T00:00:00"/>
    <n v="1"/>
    <n v="1"/>
    <s v="Dentro"/>
    <s v="Sí"/>
    <s v="NO"/>
    <s v="NO"/>
    <s v="NO"/>
    <s v="NO"/>
    <n v="0"/>
    <n v="0"/>
    <n v="0"/>
    <n v="0"/>
    <n v="0"/>
  </r>
  <r>
    <x v="0"/>
    <d v="1994-02-24T00:00:00"/>
    <s v="FPII"/>
    <m/>
    <m/>
    <d v="2019-02-04T00:00:00"/>
    <m/>
    <d v="2019-02-04T00:00:00"/>
    <m/>
    <m/>
    <n v="1"/>
    <m/>
    <m/>
    <m/>
    <s v="ADMINISTRACIÓN"/>
    <s v="ADMINISTRACIÓN"/>
    <x v="25"/>
    <s v="CONTINUO"/>
    <s v="SI"/>
    <x v="0"/>
    <x v="0"/>
    <m/>
    <n v="14000425011981"/>
    <n v="5"/>
    <s v="PERSONAL OPERARIO GENERAL"/>
    <m/>
    <n v="5"/>
    <m/>
    <m/>
    <m/>
    <m/>
    <m/>
    <m/>
    <m/>
    <m/>
    <m/>
    <m/>
    <m/>
    <m/>
    <m/>
    <m/>
    <m/>
    <m/>
    <m/>
    <m/>
    <m/>
    <m/>
    <m/>
    <m/>
    <m/>
    <m/>
    <m/>
    <m/>
    <m/>
    <m/>
    <m/>
    <m/>
    <m/>
    <m/>
    <m/>
    <m/>
    <m/>
    <m/>
    <d v="2024-01-01T00:00:00"/>
    <d v="2024-12-31T00:00:00"/>
    <n v="1"/>
    <n v="1"/>
    <s v="Dentro"/>
    <s v="Sí"/>
    <s v="NO"/>
    <s v="NO"/>
    <s v="NO"/>
    <s v="NO"/>
    <n v="0"/>
    <n v="0"/>
    <n v="0"/>
    <n v="0"/>
    <n v="0"/>
  </r>
  <r>
    <x v="0"/>
    <d v="1982-12-21T00:00:00"/>
    <s v="DIPLOMADO"/>
    <m/>
    <m/>
    <d v="2019-03-05T00:00:00"/>
    <m/>
    <d v="2019-03-05T00:00:00"/>
    <m/>
    <m/>
    <n v="1"/>
    <m/>
    <m/>
    <m/>
    <s v="CONDUCTORES"/>
    <s v="CONDUCTORES"/>
    <x v="22"/>
    <s v="CONTINUO"/>
    <s v="SI"/>
    <x v="0"/>
    <x v="0"/>
    <m/>
    <n v="14000425011981"/>
    <n v="8"/>
    <s v="PERSONAL OPERARIO GENERAL"/>
    <m/>
    <n v="8"/>
    <m/>
    <m/>
    <m/>
    <m/>
    <m/>
    <m/>
    <m/>
    <m/>
    <m/>
    <m/>
    <m/>
    <m/>
    <m/>
    <m/>
    <m/>
    <m/>
    <m/>
    <m/>
    <m/>
    <m/>
    <m/>
    <m/>
    <m/>
    <m/>
    <m/>
    <m/>
    <m/>
    <m/>
    <m/>
    <m/>
    <m/>
    <m/>
    <m/>
    <m/>
    <m/>
    <m/>
    <d v="2024-01-01T00:00:00"/>
    <d v="2024-12-31T00:00:00"/>
    <n v="1"/>
    <n v="1"/>
    <s v="Dentro"/>
    <s v="Sí"/>
    <s v="NO"/>
    <s v="NO"/>
    <s v="NO"/>
    <s v="NO"/>
    <n v="0"/>
    <n v="0"/>
    <n v="0"/>
    <n v="0"/>
    <n v="0"/>
  </r>
  <r>
    <x v="0"/>
    <d v="1976-02-19T00:00:00"/>
    <s v="FPI"/>
    <m/>
    <m/>
    <d v="2021-01-09T00:00:00"/>
    <m/>
    <d v="2019-08-16T00:00:00"/>
    <m/>
    <m/>
    <n v="1"/>
    <m/>
    <m/>
    <m/>
    <s v="CONDUCTORES"/>
    <s v="CONDUCTORES"/>
    <x v="22"/>
    <s v="CONTINUO"/>
    <s v="SI"/>
    <x v="0"/>
    <x v="0"/>
    <m/>
    <n v="14000425011981"/>
    <n v="8"/>
    <s v="PERSONAL OPERARIO GENERAL"/>
    <m/>
    <n v="8"/>
    <m/>
    <m/>
    <m/>
    <m/>
    <m/>
    <m/>
    <m/>
    <m/>
    <m/>
    <m/>
    <m/>
    <m/>
    <m/>
    <m/>
    <m/>
    <m/>
    <m/>
    <m/>
    <m/>
    <m/>
    <m/>
    <m/>
    <m/>
    <m/>
    <m/>
    <m/>
    <m/>
    <m/>
    <m/>
    <m/>
    <m/>
    <m/>
    <m/>
    <m/>
    <m/>
    <m/>
    <d v="2024-01-01T00:00:00"/>
    <d v="2024-12-31T00:00:00"/>
    <n v="1"/>
    <n v="1"/>
    <s v="Dentro"/>
    <s v="Sí"/>
    <s v="NO"/>
    <s v="NO"/>
    <s v="NO"/>
    <s v="NO"/>
    <n v="0"/>
    <n v="0"/>
    <n v="0"/>
    <n v="0"/>
    <n v="0"/>
  </r>
  <r>
    <x v="0"/>
    <d v="1991-09-02T00:00:00"/>
    <s v="FPI"/>
    <m/>
    <m/>
    <d v="2020-07-01T00:00:00"/>
    <m/>
    <d v="2019-09-03T00:00:00"/>
    <m/>
    <m/>
    <n v="1"/>
    <m/>
    <m/>
    <m/>
    <s v="CONDUCTORES"/>
    <s v="CONDUCTORES"/>
    <x v="22"/>
    <s v="CONTINUO"/>
    <s v="SI"/>
    <x v="0"/>
    <x v="0"/>
    <m/>
    <n v="14000425011981"/>
    <n v="8"/>
    <s v="PERSONAL OPERARIO GENERAL"/>
    <m/>
    <n v="8"/>
    <m/>
    <m/>
    <m/>
    <m/>
    <m/>
    <m/>
    <m/>
    <m/>
    <m/>
    <m/>
    <m/>
    <m/>
    <m/>
    <m/>
    <m/>
    <m/>
    <m/>
    <m/>
    <m/>
    <m/>
    <m/>
    <m/>
    <m/>
    <m/>
    <m/>
    <m/>
    <m/>
    <m/>
    <m/>
    <m/>
    <m/>
    <m/>
    <m/>
    <m/>
    <m/>
    <m/>
    <d v="2024-01-01T00:00:00"/>
    <d v="2024-12-31T00:00:00"/>
    <n v="1"/>
    <n v="1"/>
    <s v="Dentro"/>
    <s v="Sí"/>
    <s v="NO"/>
    <s v="NO"/>
    <s v="NO"/>
    <s v="NO"/>
    <n v="0"/>
    <n v="0"/>
    <n v="0"/>
    <n v="0"/>
    <n v="0"/>
  </r>
  <r>
    <x v="0"/>
    <d v="1981-04-08T00:00:00"/>
    <s v="FPI"/>
    <m/>
    <m/>
    <d v="2020-11-02T00:00:00"/>
    <m/>
    <d v="2019-10-16T00:00:00"/>
    <m/>
    <m/>
    <n v="1"/>
    <m/>
    <m/>
    <m/>
    <s v="CONDUCTORES"/>
    <s v="CONDUCTORES"/>
    <x v="0"/>
    <s v="CONTINUO"/>
    <s v="SI"/>
    <x v="0"/>
    <x v="0"/>
    <m/>
    <n v="14000425011981"/>
    <n v="8"/>
    <s v="PERSONAL OPERARIO GENERAL"/>
    <m/>
    <n v="8"/>
    <m/>
    <m/>
    <m/>
    <m/>
    <m/>
    <m/>
    <m/>
    <m/>
    <m/>
    <m/>
    <m/>
    <m/>
    <m/>
    <m/>
    <m/>
    <m/>
    <m/>
    <m/>
    <m/>
    <m/>
    <m/>
    <m/>
    <m/>
    <m/>
    <m/>
    <m/>
    <m/>
    <m/>
    <m/>
    <m/>
    <m/>
    <m/>
    <m/>
    <m/>
    <m/>
    <m/>
    <d v="2024-01-01T00:00:00"/>
    <d v="2024-12-31T00:00:00"/>
    <n v="1"/>
    <n v="1"/>
    <s v="Dentro"/>
    <s v="Sí"/>
    <s v="NO"/>
    <s v="NO"/>
    <s v="NO"/>
    <s v="NO"/>
    <n v="0"/>
    <n v="0"/>
    <n v="0"/>
    <n v="0"/>
    <n v="0"/>
  </r>
  <r>
    <x v="1"/>
    <d v="1989-01-23T00:00:00"/>
    <s v="FPI"/>
    <m/>
    <m/>
    <d v="2020-08-13T00:00:00"/>
    <m/>
    <d v="2019-10-21T00:00:00"/>
    <m/>
    <m/>
    <n v="1"/>
    <m/>
    <m/>
    <m/>
    <s v="RECEPCIONISTA"/>
    <s v="RECEPCIONISTA"/>
    <x v="12"/>
    <s v="CONTINUO"/>
    <s v="SI"/>
    <x v="0"/>
    <x v="0"/>
    <m/>
    <n v="14000425011981"/>
    <n v="7"/>
    <s v="PERSONAL OPERARIO GENERAL"/>
    <m/>
    <n v="7"/>
    <m/>
    <m/>
    <m/>
    <m/>
    <m/>
    <m/>
    <m/>
    <m/>
    <m/>
    <m/>
    <m/>
    <m/>
    <m/>
    <m/>
    <m/>
    <m/>
    <m/>
    <m/>
    <m/>
    <m/>
    <m/>
    <m/>
    <m/>
    <m/>
    <m/>
    <m/>
    <m/>
    <m/>
    <m/>
    <m/>
    <m/>
    <m/>
    <m/>
    <m/>
    <m/>
    <m/>
    <d v="2024-01-01T00:00:00"/>
    <d v="2024-12-31T00:00:00"/>
    <n v="1"/>
    <n v="1"/>
    <s v="Dentro"/>
    <s v="Sí"/>
    <s v="NO"/>
    <s v="NO"/>
    <s v="NO"/>
    <s v="NO"/>
    <n v="0"/>
    <n v="0"/>
    <n v="0"/>
    <n v="0"/>
    <n v="0"/>
  </r>
  <r>
    <x v="1"/>
    <d v="1981-05-13T00:00:00"/>
    <s v="FPI"/>
    <m/>
    <m/>
    <d v="2020-02-19T00:00:00"/>
    <m/>
    <d v="2019-10-21T00:00:00"/>
    <m/>
    <m/>
    <n v="1"/>
    <m/>
    <m/>
    <m/>
    <s v="RECEPCIONISTA"/>
    <s v="RECEPCIONISTA"/>
    <x v="12"/>
    <s v="CONTINUO"/>
    <s v="SI"/>
    <x v="0"/>
    <x v="0"/>
    <m/>
    <n v="14000425011981"/>
    <n v="7"/>
    <s v="PERSONAL OPERARIO GENERAL"/>
    <m/>
    <n v="7"/>
    <m/>
    <m/>
    <m/>
    <m/>
    <m/>
    <m/>
    <m/>
    <m/>
    <m/>
    <m/>
    <m/>
    <m/>
    <m/>
    <m/>
    <m/>
    <m/>
    <m/>
    <m/>
    <m/>
    <m/>
    <m/>
    <m/>
    <m/>
    <m/>
    <m/>
    <m/>
    <m/>
    <m/>
    <m/>
    <m/>
    <m/>
    <m/>
    <m/>
    <m/>
    <m/>
    <m/>
    <d v="2024-01-01T00:00:00"/>
    <d v="2024-12-31T00:00:00"/>
    <n v="1"/>
    <n v="1"/>
    <s v="Dentro"/>
    <s v="Sí"/>
    <s v="NO"/>
    <s v="NO"/>
    <s v="NO"/>
    <s v="NO"/>
    <n v="0"/>
    <n v="0"/>
    <n v="0"/>
    <n v="0"/>
    <n v="0"/>
  </r>
  <r>
    <x v="0"/>
    <d v="1998-11-29T00:00:00"/>
    <s v="FPI"/>
    <m/>
    <m/>
    <d v="2020-05-21T00:00:00"/>
    <m/>
    <d v="2019-11-01T00:00:00"/>
    <m/>
    <m/>
    <n v="1"/>
    <m/>
    <m/>
    <m/>
    <s v="CONDUCTORES"/>
    <s v="CONDUCTOR"/>
    <x v="22"/>
    <s v="CONTINUO"/>
    <s v="SI"/>
    <x v="0"/>
    <x v="0"/>
    <m/>
    <n v="14000425011981"/>
    <n v="8"/>
    <s v="PERSONAL OPERARIO GENERAL"/>
    <m/>
    <n v="8"/>
    <m/>
    <m/>
    <m/>
    <m/>
    <m/>
    <m/>
    <m/>
    <m/>
    <m/>
    <m/>
    <m/>
    <m/>
    <m/>
    <m/>
    <m/>
    <m/>
    <m/>
    <m/>
    <m/>
    <m/>
    <m/>
    <m/>
    <m/>
    <m/>
    <m/>
    <m/>
    <m/>
    <m/>
    <m/>
    <m/>
    <m/>
    <m/>
    <m/>
    <m/>
    <m/>
    <m/>
    <d v="2024-01-01T00:00:00"/>
    <d v="2024-12-31T00:00:00"/>
    <n v="1"/>
    <n v="1"/>
    <s v="Dentro"/>
    <s v="Sí"/>
    <s v="NO"/>
    <s v="NO"/>
    <s v="NO"/>
    <s v="NO"/>
    <n v="0"/>
    <n v="0"/>
    <n v="0"/>
    <n v="0"/>
    <n v="0"/>
  </r>
  <r>
    <x v="0"/>
    <d v="1984-03-11T00:00:00"/>
    <s v="FPI"/>
    <m/>
    <m/>
    <d v="2020-07-11T00:00:00"/>
    <m/>
    <d v="2019-11-27T00:00:00"/>
    <m/>
    <m/>
    <n v="1"/>
    <m/>
    <m/>
    <m/>
    <s v="CONDUCTORES"/>
    <s v="CONDUCTOR"/>
    <x v="22"/>
    <s v="CONTINUO"/>
    <s v="SI"/>
    <x v="0"/>
    <x v="0"/>
    <m/>
    <n v="14000425011981"/>
    <n v="8"/>
    <s v="PERSONAL OPERARIO GENERAL"/>
    <m/>
    <n v="8"/>
    <m/>
    <m/>
    <m/>
    <m/>
    <m/>
    <m/>
    <m/>
    <m/>
    <m/>
    <m/>
    <m/>
    <m/>
    <m/>
    <m/>
    <m/>
    <m/>
    <m/>
    <m/>
    <m/>
    <m/>
    <m/>
    <m/>
    <m/>
    <m/>
    <m/>
    <m/>
    <m/>
    <m/>
    <m/>
    <m/>
    <m/>
    <m/>
    <m/>
    <m/>
    <m/>
    <m/>
    <d v="2024-01-01T00:00:00"/>
    <d v="2024-12-31T00:00:00"/>
    <n v="1"/>
    <n v="1"/>
    <s v="Dentro"/>
    <s v="Sí"/>
    <s v="NO"/>
    <s v="NO"/>
    <s v="NO"/>
    <s v="NO"/>
    <n v="0"/>
    <n v="0"/>
    <n v="0"/>
    <n v="0"/>
    <n v="0"/>
  </r>
  <r>
    <x v="0"/>
    <d v="1981-05-09T00:00:00"/>
    <s v="FPI"/>
    <m/>
    <m/>
    <d v="2020-10-20T00:00:00"/>
    <m/>
    <d v="2019-12-02T00:00:00"/>
    <m/>
    <m/>
    <n v="1"/>
    <m/>
    <m/>
    <m/>
    <s v="CONDUCTORES"/>
    <s v="CONDUCTOR"/>
    <x v="22"/>
    <s v="CONTINUO"/>
    <s v="SI"/>
    <x v="0"/>
    <x v="0"/>
    <m/>
    <n v="14000425011981"/>
    <n v="8"/>
    <s v="PERSONAL OPERARIO GENERAL"/>
    <m/>
    <n v="8"/>
    <m/>
    <m/>
    <m/>
    <m/>
    <m/>
    <m/>
    <m/>
    <m/>
    <m/>
    <m/>
    <m/>
    <m/>
    <m/>
    <m/>
    <m/>
    <m/>
    <m/>
    <m/>
    <m/>
    <m/>
    <m/>
    <m/>
    <m/>
    <m/>
    <m/>
    <m/>
    <m/>
    <m/>
    <m/>
    <m/>
    <m/>
    <m/>
    <m/>
    <m/>
    <m/>
    <m/>
    <d v="2024-01-01T00:00:00"/>
    <d v="2024-12-31T00:00:00"/>
    <n v="1"/>
    <n v="1"/>
    <s v="Dentro"/>
    <s v="Sí"/>
    <s v="NO"/>
    <s v="NO"/>
    <s v="NO"/>
    <s v="NO"/>
    <n v="0"/>
    <n v="0"/>
    <n v="0"/>
    <n v="0"/>
    <n v="0"/>
  </r>
  <r>
    <x v="1"/>
    <d v="1991-06-27T00:00:00"/>
    <s v="FPII"/>
    <m/>
    <m/>
    <d v="2021-04-09T00:00:00"/>
    <m/>
    <d v="2020-05-15T00:00:00"/>
    <m/>
    <m/>
    <n v="1"/>
    <m/>
    <m/>
    <m/>
    <s v="PROTOCOLO"/>
    <s v="PROTOCOLO"/>
    <x v="15"/>
    <s v="CONTINUO"/>
    <s v="SI"/>
    <x v="0"/>
    <x v="0"/>
    <m/>
    <n v="14000425011981"/>
    <n v="7"/>
    <s v="PERSONAL OPERARIO GENERAL"/>
    <m/>
    <n v="7"/>
    <m/>
    <m/>
    <m/>
    <m/>
    <m/>
    <m/>
    <m/>
    <m/>
    <m/>
    <m/>
    <m/>
    <m/>
    <m/>
    <m/>
    <m/>
    <m/>
    <m/>
    <m/>
    <m/>
    <m/>
    <m/>
    <m/>
    <m/>
    <m/>
    <m/>
    <m/>
    <m/>
    <m/>
    <m/>
    <m/>
    <m/>
    <m/>
    <m/>
    <m/>
    <m/>
    <m/>
    <d v="2024-01-01T00:00:00"/>
    <d v="2024-12-31T00:00:00"/>
    <n v="1"/>
    <n v="1"/>
    <s v="Dentro"/>
    <s v="Sí"/>
    <s v="NO"/>
    <s v="NO"/>
    <s v="NO"/>
    <s v="NO"/>
    <n v="0"/>
    <n v="0"/>
    <n v="0"/>
    <n v="0"/>
    <n v="0"/>
  </r>
  <r>
    <x v="1"/>
    <d v="1989-08-10T00:00:00"/>
    <s v="GRADO"/>
    <m/>
    <m/>
    <d v="2020-09-16T00:00:00"/>
    <m/>
    <d v="2020-09-16T00:00:00"/>
    <m/>
    <m/>
    <n v="1"/>
    <m/>
    <m/>
    <m/>
    <s v="RECEPCIONISTA"/>
    <s v="RECEPCION"/>
    <x v="12"/>
    <s v="CONTINUO"/>
    <s v="SI"/>
    <x v="0"/>
    <x v="0"/>
    <m/>
    <n v="14000425011981"/>
    <n v="7"/>
    <s v="PERSONAL OPERARIO GENERAL"/>
    <m/>
    <n v="7"/>
    <m/>
    <m/>
    <m/>
    <m/>
    <m/>
    <m/>
    <m/>
    <m/>
    <m/>
    <m/>
    <m/>
    <m/>
    <m/>
    <m/>
    <m/>
    <m/>
    <m/>
    <m/>
    <m/>
    <m/>
    <m/>
    <m/>
    <m/>
    <m/>
    <m/>
    <m/>
    <m/>
    <m/>
    <m/>
    <m/>
    <m/>
    <m/>
    <m/>
    <m/>
    <m/>
    <m/>
    <d v="2024-01-01T00:00:00"/>
    <d v="2024-12-31T00:00:00"/>
    <n v="1"/>
    <n v="1"/>
    <s v="Dentro"/>
    <s v="Sí"/>
    <s v="NO"/>
    <s v="NO"/>
    <s v="NO"/>
    <s v="NO"/>
    <n v="0"/>
    <n v="0"/>
    <n v="0"/>
    <n v="0"/>
    <n v="0"/>
  </r>
  <r>
    <x v="0"/>
    <d v="1992-12-09T00:00:00"/>
    <s v="FPII"/>
    <m/>
    <m/>
    <d v="2021-03-05T00:00:00"/>
    <m/>
    <d v="1931-03-05T00:00:00"/>
    <m/>
    <m/>
    <n v="1"/>
    <m/>
    <m/>
    <m/>
    <s v="ASESORES"/>
    <s v="ASESORES"/>
    <x v="26"/>
    <s v="CONTINUO"/>
    <s v="NO"/>
    <x v="0"/>
    <x v="0"/>
    <m/>
    <n v="14000425011981"/>
    <m/>
    <m/>
    <m/>
    <m/>
    <m/>
    <m/>
    <m/>
    <m/>
    <m/>
    <m/>
    <m/>
    <m/>
    <m/>
    <m/>
    <m/>
    <m/>
    <m/>
    <m/>
    <m/>
    <m/>
    <m/>
    <m/>
    <m/>
    <m/>
    <m/>
    <m/>
    <m/>
    <m/>
    <m/>
    <m/>
    <m/>
    <m/>
    <m/>
    <m/>
    <m/>
    <m/>
    <m/>
    <m/>
    <m/>
    <m/>
    <d v="2024-01-01T00:00:00"/>
    <d v="2024-12-31T00:00:00"/>
    <n v="1"/>
    <n v="1"/>
    <s v="Dentro"/>
    <s v="Sí"/>
    <s v="NO"/>
    <s v="NO"/>
    <s v="NO"/>
    <s v="NO"/>
    <n v="0"/>
    <n v="0"/>
    <n v="0"/>
    <n v="0"/>
    <n v="0"/>
  </r>
  <r>
    <x v="1"/>
    <d v="1992-01-25T00:00:00"/>
    <s v=" GRADO"/>
    <m/>
    <m/>
    <d v="2021-03-25T00:00:00"/>
    <m/>
    <d v="2021-03-25T00:00:00"/>
    <m/>
    <m/>
    <n v="1"/>
    <m/>
    <m/>
    <m/>
    <s v="ADMINISTRACIÓN"/>
    <s v="ADMINISTRACIÓN"/>
    <x v="27"/>
    <s v="CONTINUO"/>
    <s v="NO"/>
    <x v="0"/>
    <x v="0"/>
    <m/>
    <n v="14000425011981"/>
    <m/>
    <m/>
    <m/>
    <m/>
    <m/>
    <m/>
    <m/>
    <m/>
    <m/>
    <m/>
    <m/>
    <m/>
    <m/>
    <m/>
    <m/>
    <m/>
    <m/>
    <m/>
    <m/>
    <m/>
    <m/>
    <m/>
    <m/>
    <m/>
    <m/>
    <m/>
    <m/>
    <m/>
    <m/>
    <m/>
    <m/>
    <m/>
    <m/>
    <m/>
    <m/>
    <m/>
    <m/>
    <m/>
    <m/>
    <m/>
    <d v="2024-01-01T00:00:00"/>
    <d v="2024-12-31T00:00:00"/>
    <n v="1"/>
    <n v="1"/>
    <s v="Dentro"/>
    <s v="Sí"/>
    <s v="NO"/>
    <s v="NO"/>
    <s v="NO"/>
    <s v="NO"/>
    <n v="0"/>
    <n v="0"/>
    <n v="0"/>
    <n v="0"/>
    <n v="0"/>
  </r>
  <r>
    <x v="0"/>
    <d v="1989-08-10T00:00:00"/>
    <s v="GRADUADO ESCOLAR"/>
    <m/>
    <m/>
    <d v="2021-05-18T00:00:00"/>
    <m/>
    <d v="2021-05-18T00:00:00"/>
    <m/>
    <m/>
    <n v="1"/>
    <m/>
    <m/>
    <m/>
    <s v="CONDUCTORES"/>
    <s v="CONDUCTORES"/>
    <x v="0"/>
    <s v="CONTINUO"/>
    <s v="SI"/>
    <x v="0"/>
    <x v="0"/>
    <m/>
    <n v="14000425011981"/>
    <m/>
    <m/>
    <m/>
    <m/>
    <m/>
    <m/>
    <m/>
    <m/>
    <m/>
    <m/>
    <m/>
    <m/>
    <m/>
    <m/>
    <m/>
    <m/>
    <m/>
    <m/>
    <m/>
    <m/>
    <m/>
    <m/>
    <m/>
    <m/>
    <m/>
    <m/>
    <m/>
    <m/>
    <m/>
    <m/>
    <m/>
    <m/>
    <m/>
    <m/>
    <m/>
    <m/>
    <m/>
    <m/>
    <m/>
    <m/>
    <d v="2024-01-01T00:00:00"/>
    <d v="2024-12-31T00:00:00"/>
    <n v="1"/>
    <n v="1"/>
    <s v="Dentro"/>
    <s v="Sí"/>
    <s v="NO"/>
    <s v="NO"/>
    <s v="NO"/>
    <s v="NO"/>
    <n v="0"/>
    <n v="0"/>
    <n v="0"/>
    <n v="0"/>
    <n v="0"/>
  </r>
  <r>
    <x v="0"/>
    <d v="1990-11-05T00:00:00"/>
    <s v="GRADO EN BIOLOGÍA"/>
    <m/>
    <m/>
    <d v="2022-04-18T00:00:00"/>
    <m/>
    <d v="2021-06-28T00:00:00"/>
    <m/>
    <m/>
    <n v="1"/>
    <m/>
    <m/>
    <m/>
    <s v="CONDUCTORES"/>
    <s v="CONDUCTORES"/>
    <x v="0"/>
    <s v="CONTINUO"/>
    <s v="SI"/>
    <x v="0"/>
    <x v="0"/>
    <m/>
    <n v="14000425011981"/>
    <m/>
    <m/>
    <m/>
    <m/>
    <m/>
    <m/>
    <m/>
    <m/>
    <m/>
    <m/>
    <m/>
    <m/>
    <m/>
    <m/>
    <m/>
    <m/>
    <m/>
    <m/>
    <m/>
    <m/>
    <m/>
    <m/>
    <m/>
    <m/>
    <m/>
    <m/>
    <m/>
    <m/>
    <m/>
    <m/>
    <m/>
    <m/>
    <m/>
    <m/>
    <m/>
    <m/>
    <m/>
    <m/>
    <m/>
    <m/>
    <d v="2024-01-01T00:00:00"/>
    <d v="2024-12-31T00:00:00"/>
    <n v="1"/>
    <n v="1"/>
    <s v="Dentro"/>
    <s v="Sí"/>
    <s v="NO"/>
    <s v="NO"/>
    <s v="NO"/>
    <s v="NO"/>
    <n v="0"/>
    <n v="0"/>
    <n v="0"/>
    <n v="0"/>
    <n v="0"/>
  </r>
  <r>
    <x v="1"/>
    <d v="1982-04-07T00:00:00"/>
    <s v="GRADUADO ESCOLAR"/>
    <m/>
    <m/>
    <d v="2021-09-22T00:00:00"/>
    <m/>
    <d v="2021-09-22T00:00:00"/>
    <m/>
    <m/>
    <n v="1"/>
    <m/>
    <m/>
    <m/>
    <s v="LIMPIEZA"/>
    <s v="LIMPIEZA"/>
    <x v="10"/>
    <s v="CONTINUO"/>
    <s v="NO"/>
    <x v="0"/>
    <x v="0"/>
    <m/>
    <n v="14000425011981"/>
    <m/>
    <m/>
    <m/>
    <m/>
    <m/>
    <m/>
    <m/>
    <m/>
    <m/>
    <m/>
    <m/>
    <m/>
    <m/>
    <m/>
    <m/>
    <m/>
    <m/>
    <m/>
    <m/>
    <m/>
    <m/>
    <m/>
    <m/>
    <m/>
    <m/>
    <m/>
    <m/>
    <m/>
    <m/>
    <m/>
    <m/>
    <m/>
    <m/>
    <m/>
    <m/>
    <m/>
    <m/>
    <m/>
    <m/>
    <m/>
    <d v="2024-01-01T00:00:00"/>
    <d v="2024-12-31T00:00:00"/>
    <n v="1"/>
    <n v="1"/>
    <s v="Dentro"/>
    <s v="Sí"/>
    <s v="NO"/>
    <s v="NO"/>
    <s v="NO"/>
    <s v="NO"/>
    <n v="0"/>
    <n v="0"/>
    <n v="0"/>
    <n v="0"/>
    <n v="0"/>
  </r>
  <r>
    <x v="1"/>
    <d v="1991-09-04T00:00:00"/>
    <s v="FPII"/>
    <m/>
    <m/>
    <d v="2021-11-15T00:00:00"/>
    <m/>
    <d v="2021-11-15T00:00:00"/>
    <m/>
    <m/>
    <n v="1"/>
    <m/>
    <m/>
    <m/>
    <s v="ADMINISTRACIÓN"/>
    <s v="ADMINISTRACIÓN"/>
    <x v="28"/>
    <s v="CONTINUO"/>
    <s v="NO"/>
    <x v="0"/>
    <x v="0"/>
    <m/>
    <n v="14000425011981"/>
    <m/>
    <m/>
    <m/>
    <m/>
    <m/>
    <m/>
    <m/>
    <m/>
    <m/>
    <m/>
    <m/>
    <m/>
    <m/>
    <m/>
    <m/>
    <m/>
    <m/>
    <m/>
    <m/>
    <m/>
    <m/>
    <m/>
    <m/>
    <m/>
    <m/>
    <m/>
    <m/>
    <m/>
    <m/>
    <m/>
    <m/>
    <m/>
    <m/>
    <m/>
    <m/>
    <m/>
    <m/>
    <m/>
    <m/>
    <m/>
    <d v="2024-01-01T00:00:00"/>
    <d v="2024-12-31T00:00:00"/>
    <n v="1"/>
    <n v="1"/>
    <s v="Dentro"/>
    <s v="Sí"/>
    <s v="NO"/>
    <s v="NO"/>
    <s v="NO"/>
    <s v="NO"/>
    <n v="0"/>
    <n v="0"/>
    <n v="0"/>
    <n v="0"/>
    <n v="0"/>
  </r>
  <r>
    <x v="1"/>
    <d v="1980-01-14T00:00:00"/>
    <s v="FPI"/>
    <m/>
    <m/>
    <d v="2022-02-17T00:00:00"/>
    <m/>
    <d v="2022-02-17T00:00:00"/>
    <m/>
    <m/>
    <n v="1"/>
    <m/>
    <m/>
    <m/>
    <s v="ASESORES"/>
    <s v="ASESORES"/>
    <x v="29"/>
    <s v="CONTINUO"/>
    <s v="NO"/>
    <x v="0"/>
    <x v="0"/>
    <m/>
    <n v="14000425011981"/>
    <m/>
    <m/>
    <m/>
    <m/>
    <m/>
    <m/>
    <m/>
    <m/>
    <m/>
    <m/>
    <m/>
    <m/>
    <m/>
    <m/>
    <m/>
    <m/>
    <m/>
    <m/>
    <m/>
    <m/>
    <m/>
    <m/>
    <m/>
    <m/>
    <m/>
    <m/>
    <m/>
    <m/>
    <m/>
    <m/>
    <m/>
    <m/>
    <m/>
    <m/>
    <m/>
    <m/>
    <m/>
    <m/>
    <m/>
    <m/>
    <d v="2024-01-01T00:00:00"/>
    <d v="2024-12-31T00:00:00"/>
    <n v="1"/>
    <n v="1"/>
    <s v="Dentro"/>
    <s v="Sí"/>
    <s v="NO"/>
    <s v="NO"/>
    <s v="NO"/>
    <s v="NO"/>
    <n v="0"/>
    <n v="0"/>
    <n v="0"/>
    <n v="0"/>
    <n v="0"/>
  </r>
  <r>
    <x v="1"/>
    <d v="1975-01-11T00:00:00"/>
    <s v="GRADUADO ESCOLAR"/>
    <m/>
    <m/>
    <d v="2022-03-07T00:00:00"/>
    <m/>
    <d v="2022-03-07T00:00:00"/>
    <m/>
    <m/>
    <n v="0.26250000000000001"/>
    <m/>
    <m/>
    <m/>
    <s v="LIMPIEZA"/>
    <s v="LIMPIEZA"/>
    <x v="20"/>
    <s v="CONTINUO"/>
    <s v="NO"/>
    <x v="0"/>
    <x v="0"/>
    <m/>
    <n v="14000425011981"/>
    <n v="10"/>
    <s v="PERSONAL SUBALTERNO"/>
    <m/>
    <n v="10"/>
    <m/>
    <m/>
    <m/>
    <m/>
    <m/>
    <m/>
    <m/>
    <m/>
    <m/>
    <m/>
    <m/>
    <m/>
    <m/>
    <m/>
    <m/>
    <m/>
    <m/>
    <m/>
    <m/>
    <m/>
    <m/>
    <m/>
    <m/>
    <m/>
    <m/>
    <m/>
    <m/>
    <m/>
    <m/>
    <m/>
    <m/>
    <m/>
    <m/>
    <m/>
    <m/>
    <m/>
    <d v="2024-01-01T00:00:00"/>
    <d v="2024-12-31T00:00:00"/>
    <n v="0.26250000000000001"/>
    <n v="1"/>
    <s v="Dentro"/>
    <s v="Sí"/>
    <s v="Sí"/>
    <s v="NO"/>
    <s v="NO"/>
    <s v="Sí"/>
    <n v="0"/>
    <n v="0"/>
    <n v="0"/>
    <n v="0"/>
    <n v="0"/>
  </r>
  <r>
    <x v="1"/>
    <d v="1998-10-19T00:00:00"/>
    <s v="FPII"/>
    <m/>
    <m/>
    <d v="2022-07-29T00:00:00"/>
    <m/>
    <d v="2022-07-29T00:00:00"/>
    <m/>
    <m/>
    <n v="1"/>
    <m/>
    <m/>
    <m/>
    <s v="RECEPCIONISTA"/>
    <s v="RECEPCION"/>
    <x v="12"/>
    <s v="CONTINUO"/>
    <s v="NO"/>
    <x v="0"/>
    <x v="0"/>
    <m/>
    <n v="14000425011981"/>
    <m/>
    <m/>
    <m/>
    <m/>
    <m/>
    <m/>
    <m/>
    <m/>
    <m/>
    <m/>
    <m/>
    <m/>
    <m/>
    <m/>
    <m/>
    <m/>
    <m/>
    <m/>
    <m/>
    <m/>
    <m/>
    <m/>
    <m/>
    <m/>
    <m/>
    <m/>
    <m/>
    <m/>
    <m/>
    <m/>
    <m/>
    <m/>
    <m/>
    <m/>
    <m/>
    <m/>
    <m/>
    <m/>
    <m/>
    <m/>
    <d v="2024-01-01T00:00:00"/>
    <d v="2024-12-31T00:00:00"/>
    <n v="1"/>
    <n v="1"/>
    <s v="Dentro"/>
    <s v="Sí"/>
    <s v="NO"/>
    <s v="NO"/>
    <s v="NO"/>
    <s v="NO"/>
    <n v="0"/>
    <n v="0"/>
    <n v="0"/>
    <n v="0"/>
    <n v="0"/>
  </r>
  <r>
    <x v="0"/>
    <d v="1979-02-25T00:00:00"/>
    <s v="GRADUADO ESCOLAR"/>
    <m/>
    <m/>
    <d v="2023-01-05T00:00:00"/>
    <m/>
    <d v="2022-01-05T00:00:00"/>
    <m/>
    <m/>
    <n v="1"/>
    <m/>
    <m/>
    <m/>
    <s v="ASESORES"/>
    <s v="ASESORES"/>
    <x v="30"/>
    <s v="CONTINUO"/>
    <s v="NO"/>
    <x v="0"/>
    <x v="0"/>
    <m/>
    <n v="14000425011981"/>
    <m/>
    <m/>
    <m/>
    <m/>
    <m/>
    <m/>
    <m/>
    <m/>
    <m/>
    <m/>
    <m/>
    <m/>
    <m/>
    <m/>
    <m/>
    <m/>
    <m/>
    <m/>
    <m/>
    <m/>
    <m/>
    <m/>
    <m/>
    <m/>
    <m/>
    <m/>
    <m/>
    <m/>
    <m/>
    <m/>
    <m/>
    <m/>
    <m/>
    <m/>
    <m/>
    <m/>
    <m/>
    <m/>
    <m/>
    <m/>
    <d v="2024-01-01T00:00:00"/>
    <d v="2024-12-31T00:00:00"/>
    <n v="1"/>
    <n v="1"/>
    <s v="Dentro"/>
    <s v="Sí"/>
    <s v="NO"/>
    <s v="NO"/>
    <s v="NO"/>
    <s v="NO"/>
    <n v="0"/>
    <n v="0"/>
    <n v="0"/>
    <n v="0"/>
    <n v="0"/>
  </r>
  <r>
    <x v="1"/>
    <d v="1993-01-20T00:00:00"/>
    <s v="GRADO"/>
    <m/>
    <m/>
    <d v="2023-03-20T00:00:00"/>
    <m/>
    <d v="2023-03-20T00:00:00"/>
    <m/>
    <m/>
    <n v="1"/>
    <m/>
    <m/>
    <m/>
    <s v="CONDUCTORES"/>
    <s v="CONDUCTORES"/>
    <x v="22"/>
    <s v="CONTINUO"/>
    <s v="SI"/>
    <x v="0"/>
    <x v="0"/>
    <m/>
    <n v="14000425011981"/>
    <n v="8"/>
    <s v="PERSONA OPERARIO GENERAL"/>
    <m/>
    <n v="8"/>
    <m/>
    <m/>
    <m/>
    <m/>
    <m/>
    <m/>
    <m/>
    <m/>
    <m/>
    <m/>
    <m/>
    <m/>
    <m/>
    <m/>
    <m/>
    <m/>
    <m/>
    <m/>
    <m/>
    <m/>
    <m/>
    <m/>
    <m/>
    <m/>
    <m/>
    <m/>
    <m/>
    <m/>
    <m/>
    <m/>
    <m/>
    <m/>
    <m/>
    <m/>
    <m/>
    <m/>
    <d v="2024-01-01T00:00:00"/>
    <d v="2024-12-31T00:00:00"/>
    <n v="1"/>
    <n v="1"/>
    <s v="Dentro"/>
    <s v="Sí"/>
    <s v="NO"/>
    <s v="NO"/>
    <s v="NO"/>
    <s v="NO"/>
    <n v="0"/>
    <n v="0"/>
    <n v="0"/>
    <n v="0"/>
    <n v="0"/>
  </r>
  <r>
    <x v="1"/>
    <d v="1986-08-30T00:00:00"/>
    <s v="FPII"/>
    <m/>
    <m/>
    <d v="2023-03-20T00:00:00"/>
    <m/>
    <d v="2023-03-20T00:00:00"/>
    <m/>
    <m/>
    <n v="1"/>
    <m/>
    <m/>
    <m/>
    <s v="CONDUCTORES"/>
    <s v="CONDUCTORES"/>
    <x v="22"/>
    <s v="CONTINUO"/>
    <s v="SI"/>
    <x v="0"/>
    <x v="0"/>
    <m/>
    <n v="14000425011981"/>
    <n v="8"/>
    <s v="PERSONA OPERARIO GENERAL"/>
    <m/>
    <m/>
    <m/>
    <m/>
    <m/>
    <m/>
    <m/>
    <m/>
    <m/>
    <m/>
    <m/>
    <m/>
    <m/>
    <m/>
    <m/>
    <m/>
    <m/>
    <m/>
    <m/>
    <m/>
    <m/>
    <m/>
    <m/>
    <m/>
    <m/>
    <m/>
    <m/>
    <m/>
    <m/>
    <m/>
    <m/>
    <m/>
    <m/>
    <m/>
    <m/>
    <m/>
    <m/>
    <m/>
    <d v="2024-01-01T00:00:00"/>
    <d v="2024-12-31T00:00:00"/>
    <n v="1"/>
    <n v="1"/>
    <s v="Dentro"/>
    <s v="Sí"/>
    <s v="NO"/>
    <s v="NO"/>
    <s v="NO"/>
    <s v="NO"/>
    <n v="0"/>
    <n v="0"/>
    <n v="0"/>
    <n v="0"/>
    <n v="0"/>
  </r>
  <r>
    <x v="1"/>
    <d v="1983-11-14T00:00:00"/>
    <s v="BACHILLER"/>
    <m/>
    <m/>
    <d v="2023-03-21T00:00:00"/>
    <m/>
    <d v="2023-03-21T00:00:00"/>
    <m/>
    <m/>
    <n v="1"/>
    <m/>
    <m/>
    <m/>
    <s v="ASESORES"/>
    <s v="ASESORES"/>
    <x v="31"/>
    <s v="CONTINUO"/>
    <s v="NO"/>
    <x v="0"/>
    <x v="0"/>
    <m/>
    <n v="14000425011981"/>
    <m/>
    <m/>
    <m/>
    <m/>
    <m/>
    <m/>
    <m/>
    <m/>
    <m/>
    <m/>
    <m/>
    <m/>
    <m/>
    <m/>
    <m/>
    <m/>
    <m/>
    <m/>
    <m/>
    <m/>
    <m/>
    <m/>
    <m/>
    <m/>
    <m/>
    <m/>
    <m/>
    <m/>
    <m/>
    <m/>
    <m/>
    <m/>
    <m/>
    <m/>
    <m/>
    <m/>
    <m/>
    <m/>
    <m/>
    <m/>
    <d v="2024-01-01T00:00:00"/>
    <d v="2024-12-31T00:00:00"/>
    <n v="1"/>
    <n v="1"/>
    <s v="Dentro"/>
    <s v="Sí"/>
    <s v="NO"/>
    <s v="NO"/>
    <s v="NO"/>
    <s v="NO"/>
    <n v="0"/>
    <n v="0"/>
    <n v="0"/>
    <n v="0"/>
    <n v="0"/>
  </r>
  <r>
    <x v="1"/>
    <d v="1980-05-06T00:00:00"/>
    <s v="FPII"/>
    <m/>
    <m/>
    <d v="2023-04-01T00:00:00"/>
    <m/>
    <d v="2023-04-01T00:00:00"/>
    <m/>
    <d v="2023-01-22T00:00:00"/>
    <n v="1"/>
    <m/>
    <m/>
    <m/>
    <s v="ASESORES"/>
    <s v="ASESORES"/>
    <x v="32"/>
    <s v="CONTINUO"/>
    <s v="NO"/>
    <x v="0"/>
    <x v="0"/>
    <m/>
    <n v="14000425011981"/>
    <m/>
    <m/>
    <m/>
    <m/>
    <m/>
    <m/>
    <m/>
    <m/>
    <m/>
    <m/>
    <m/>
    <m/>
    <m/>
    <m/>
    <m/>
    <m/>
    <m/>
    <m/>
    <m/>
    <m/>
    <m/>
    <m/>
    <m/>
    <m/>
    <m/>
    <m/>
    <m/>
    <m/>
    <m/>
    <m/>
    <m/>
    <m/>
    <m/>
    <m/>
    <m/>
    <m/>
    <m/>
    <m/>
    <m/>
    <m/>
    <d v="2024-01-01T00:00:00"/>
    <d v="2023-01-22T00:00:00"/>
    <n v="1"/>
    <n v="-0.93715846994535523"/>
    <s v="Dentro"/>
    <s v="Sí"/>
    <s v="NO"/>
    <s v="Sí"/>
    <s v="NO"/>
    <s v="Sí"/>
    <n v="0"/>
    <n v="0"/>
    <n v="0"/>
    <n v="0"/>
    <n v="0"/>
  </r>
  <r>
    <x v="1"/>
    <d v="1964-10-29T00:00:00"/>
    <s v="GRADUADO ESCOLAR"/>
    <m/>
    <m/>
    <d v="2023-06-07T00:00:00"/>
    <m/>
    <d v="2023-06-07T00:00:00"/>
    <m/>
    <m/>
    <n v="1"/>
    <m/>
    <m/>
    <m/>
    <s v="ASESORES"/>
    <s v="ASESORES"/>
    <x v="33"/>
    <s v="CONTINUO"/>
    <s v="NO"/>
    <x v="0"/>
    <x v="0"/>
    <m/>
    <n v="14000425011981"/>
    <m/>
    <m/>
    <m/>
    <m/>
    <m/>
    <m/>
    <m/>
    <m/>
    <m/>
    <m/>
    <m/>
    <m/>
    <m/>
    <m/>
    <m/>
    <m/>
    <m/>
    <m/>
    <m/>
    <m/>
    <m/>
    <m/>
    <m/>
    <m/>
    <m/>
    <m/>
    <m/>
    <m/>
    <m/>
    <m/>
    <m/>
    <m/>
    <m/>
    <m/>
    <m/>
    <m/>
    <m/>
    <m/>
    <m/>
    <m/>
    <d v="2024-01-01T00:00:00"/>
    <d v="2024-12-31T00:00:00"/>
    <n v="1"/>
    <n v="1"/>
    <s v="Dentro"/>
    <s v="Sí"/>
    <s v="NO"/>
    <s v="NO"/>
    <s v="NO"/>
    <s v="NO"/>
    <n v="0"/>
    <n v="0"/>
    <n v="0"/>
    <n v="0"/>
    <n v="0"/>
  </r>
  <r>
    <x v="0"/>
    <d v="1995-05-14T00:00:00"/>
    <s v="FPI"/>
    <m/>
    <m/>
    <d v="2023-07-27T00:00:00"/>
    <m/>
    <d v="2023-07-27T00:00:00"/>
    <m/>
    <m/>
    <n v="1"/>
    <m/>
    <m/>
    <m/>
    <s v="ASESORES"/>
    <s v="ASESORES"/>
    <x v="34"/>
    <s v="CONTINUO"/>
    <s v="NO"/>
    <x v="0"/>
    <x v="0"/>
    <m/>
    <n v="14000425011981"/>
    <m/>
    <m/>
    <m/>
    <m/>
    <m/>
    <m/>
    <m/>
    <m/>
    <m/>
    <m/>
    <m/>
    <m/>
    <m/>
    <m/>
    <m/>
    <m/>
    <m/>
    <m/>
    <m/>
    <m/>
    <m/>
    <m/>
    <m/>
    <m/>
    <m/>
    <m/>
    <m/>
    <m/>
    <m/>
    <m/>
    <m/>
    <m/>
    <m/>
    <m/>
    <m/>
    <m/>
    <m/>
    <m/>
    <m/>
    <m/>
    <d v="2024-01-01T00:00:00"/>
    <d v="2024-12-31T00:00:00"/>
    <n v="1"/>
    <n v="1"/>
    <s v="Dentro"/>
    <s v="Sí"/>
    <s v="NO"/>
    <s v="NO"/>
    <s v="NO"/>
    <s v="NO"/>
    <n v="0"/>
    <n v="0"/>
    <n v="0"/>
    <n v="0"/>
    <n v="0"/>
  </r>
  <r>
    <x v="0"/>
    <d v="1999-02-12T00:00:00"/>
    <s v="FPII"/>
    <m/>
    <m/>
    <d v="2023-11-06T00:00:00"/>
    <m/>
    <d v="2023-11-06T00:00:00"/>
    <m/>
    <d v="2023-03-20T00:00:00"/>
    <n v="1"/>
    <m/>
    <m/>
    <m/>
    <s v="MANTENIMIENTO"/>
    <s v="MANTENIMIENTO"/>
    <x v="21"/>
    <s v="CONTINUO"/>
    <s v="NO"/>
    <x v="0"/>
    <x v="0"/>
    <m/>
    <n v="14000425011981"/>
    <n v="8"/>
    <s v="PERSONAL OPERARIO GENERAL"/>
    <m/>
    <n v="8"/>
    <m/>
    <m/>
    <m/>
    <m/>
    <m/>
    <m/>
    <m/>
    <m/>
    <m/>
    <m/>
    <m/>
    <m/>
    <m/>
    <m/>
    <m/>
    <m/>
    <m/>
    <m/>
    <m/>
    <m/>
    <m/>
    <m/>
    <m/>
    <m/>
    <m/>
    <m/>
    <m/>
    <m/>
    <m/>
    <m/>
    <m/>
    <m/>
    <m/>
    <m/>
    <m/>
    <m/>
    <d v="2024-01-01T00:00:00"/>
    <d v="2023-03-20T00:00:00"/>
    <n v="1"/>
    <n v="-0.78142076502732238"/>
    <s v="Dentro"/>
    <s v="Sí"/>
    <s v="NO"/>
    <s v="Sí"/>
    <s v="NO"/>
    <s v="Sí"/>
    <n v="0"/>
    <n v="0"/>
    <n v="0"/>
    <n v="0"/>
    <n v="0"/>
  </r>
  <r>
    <x v="1"/>
    <d v="1974-12-09T00:00:00"/>
    <s v="GRADUADO ESCOLAR"/>
    <m/>
    <m/>
    <d v="2023-11-27T00:00:00"/>
    <m/>
    <d v="2023-11-27T00:00:00"/>
    <m/>
    <m/>
    <n v="1"/>
    <m/>
    <m/>
    <m/>
    <s v="CONDUCTORA"/>
    <s v="ZONA  VILLAVICIOSA"/>
    <x v="35"/>
    <s v="CONTINUO"/>
    <s v="NO"/>
    <x v="0"/>
    <x v="0"/>
    <m/>
    <n v="14000425011981"/>
    <m/>
    <m/>
    <m/>
    <n v="10"/>
    <m/>
    <m/>
    <m/>
    <m/>
    <m/>
    <m/>
    <m/>
    <m/>
    <m/>
    <m/>
    <m/>
    <m/>
    <m/>
    <m/>
    <m/>
    <m/>
    <m/>
    <m/>
    <m/>
    <m/>
    <m/>
    <m/>
    <m/>
    <m/>
    <m/>
    <m/>
    <m/>
    <m/>
    <m/>
    <m/>
    <m/>
    <m/>
    <m/>
    <m/>
    <m/>
    <m/>
    <d v="2024-01-01T00:00:00"/>
    <d v="2024-12-31T00:00:00"/>
    <n v="1"/>
    <n v="1"/>
    <s v="Dentro"/>
    <s v="Sí"/>
    <s v="NO"/>
    <s v="NO"/>
    <s v="NO"/>
    <s v="NO"/>
    <n v="0"/>
    <n v="0"/>
    <n v="0"/>
    <n v="0"/>
    <n v="0"/>
  </r>
  <r>
    <x v="0"/>
    <d v="1990-04-01T00:00:00"/>
    <s v="GRADUADO ESCOLAR"/>
    <m/>
    <m/>
    <d v="2023-12-01T00:00:00"/>
    <m/>
    <d v="2023-12-01T00:00:00"/>
    <m/>
    <m/>
    <n v="1"/>
    <m/>
    <m/>
    <m/>
    <s v="CONDUCTORES"/>
    <s v="CONDUCTORES"/>
    <x v="0"/>
    <s v="CONTINUO"/>
    <s v="SI"/>
    <x v="0"/>
    <x v="0"/>
    <m/>
    <n v="14000425011981"/>
    <m/>
    <m/>
    <m/>
    <m/>
    <m/>
    <m/>
    <m/>
    <m/>
    <m/>
    <m/>
    <m/>
    <m/>
    <m/>
    <m/>
    <m/>
    <m/>
    <m/>
    <m/>
    <m/>
    <m/>
    <m/>
    <m/>
    <m/>
    <m/>
    <m/>
    <m/>
    <m/>
    <m/>
    <m/>
    <m/>
    <m/>
    <m/>
    <m/>
    <m/>
    <m/>
    <m/>
    <m/>
    <m/>
    <m/>
    <m/>
    <d v="2024-01-01T00:00:00"/>
    <d v="2024-12-31T00:00:00"/>
    <n v="1"/>
    <n v="1"/>
    <s v="Dentro"/>
    <s v="Sí"/>
    <s v="NO"/>
    <s v="NO"/>
    <s v="NO"/>
    <s v="NO"/>
    <n v="0"/>
    <n v="0"/>
    <n v="0"/>
    <n v="0"/>
    <n v="0"/>
  </r>
  <r>
    <x v="0"/>
    <d v="1996-06-13T00:00:00"/>
    <s v="FPII"/>
    <m/>
    <m/>
    <d v="2023-06-27T00:00:00"/>
    <m/>
    <d v="2023-06-27T00:00:00"/>
    <d v="2023-01-05T00:00:00"/>
    <m/>
    <n v="1"/>
    <m/>
    <m/>
    <m/>
    <s v="CONDUCTORES"/>
    <s v="CONDUCTORES"/>
    <x v="0"/>
    <s v="CONTINUO"/>
    <s v="SI"/>
    <x v="0"/>
    <x v="0"/>
    <m/>
    <n v="14000425011981"/>
    <m/>
    <m/>
    <m/>
    <m/>
    <m/>
    <m/>
    <m/>
    <m/>
    <m/>
    <m/>
    <m/>
    <m/>
    <m/>
    <m/>
    <m/>
    <m/>
    <m/>
    <m/>
    <m/>
    <m/>
    <m/>
    <m/>
    <m/>
    <m/>
    <m/>
    <m/>
    <m/>
    <m/>
    <m/>
    <m/>
    <m/>
    <m/>
    <m/>
    <m/>
    <m/>
    <m/>
    <m/>
    <m/>
    <m/>
    <m/>
    <d v="2024-01-01T00:00:00"/>
    <d v="2024-12-31T00:00:00"/>
    <n v="1"/>
    <n v="1"/>
    <s v="Dentro"/>
    <s v="Sí"/>
    <s v="NO"/>
    <s v="NO"/>
    <s v="NO"/>
    <s v="NO"/>
    <n v="0"/>
    <n v="0"/>
    <n v="0"/>
    <n v="0"/>
    <n v="0"/>
  </r>
  <r>
    <x v="0"/>
    <d v="1990-01-15T00:00:00"/>
    <s v="GRADO"/>
    <m/>
    <m/>
    <d v="2023-12-30T00:00:00"/>
    <m/>
    <d v="2023-12-30T00:00:00"/>
    <d v="2023-03-20T00:00:00"/>
    <m/>
    <n v="1"/>
    <m/>
    <m/>
    <m/>
    <s v="CONDUCTORES"/>
    <s v="CONDUCTORES"/>
    <x v="0"/>
    <s v="CONTINUO"/>
    <s v="SI"/>
    <x v="0"/>
    <x v="0"/>
    <m/>
    <n v="14000425011981"/>
    <m/>
    <m/>
    <m/>
    <m/>
    <m/>
    <m/>
    <m/>
    <m/>
    <m/>
    <m/>
    <m/>
    <m/>
    <m/>
    <m/>
    <m/>
    <m/>
    <m/>
    <m/>
    <m/>
    <m/>
    <m/>
    <m/>
    <m/>
    <m/>
    <m/>
    <m/>
    <m/>
    <m/>
    <m/>
    <m/>
    <m/>
    <m/>
    <m/>
    <m/>
    <m/>
    <m/>
    <m/>
    <m/>
    <m/>
    <m/>
    <d v="2024-01-01T00:00:00"/>
    <d v="2024-12-31T00:00:00"/>
    <n v="1"/>
    <n v="1"/>
    <s v="Dentro"/>
    <s v="Sí"/>
    <s v="NO"/>
    <s v="NO"/>
    <s v="NO"/>
    <s v="NO"/>
    <n v="0"/>
    <n v="0"/>
    <n v="0"/>
    <n v="0"/>
    <n v="0"/>
  </r>
  <r>
    <x v="1"/>
    <d v="2003-08-21T00:00:00"/>
    <s v="FPII"/>
    <m/>
    <m/>
    <d v="2024-01-17T00:00:00"/>
    <m/>
    <d v="2024-01-17T00:00:00"/>
    <d v="2023-03-20T00:00:00"/>
    <m/>
    <n v="1"/>
    <m/>
    <m/>
    <m/>
    <s v="CONDUCTORES"/>
    <s v="CONDUCTORES"/>
    <x v="22"/>
    <s v="CONTINUO"/>
    <s v="SI"/>
    <x v="0"/>
    <x v="0"/>
    <m/>
    <n v="14000425011981"/>
    <n v="8"/>
    <s v="PERSONA OPERARIO GENERAL"/>
    <m/>
    <n v="8"/>
    <m/>
    <m/>
    <m/>
    <m/>
    <m/>
    <m/>
    <m/>
    <m/>
    <m/>
    <m/>
    <m/>
    <m/>
    <m/>
    <m/>
    <m/>
    <m/>
    <m/>
    <m/>
    <m/>
    <m/>
    <m/>
    <m/>
    <m/>
    <m/>
    <m/>
    <m/>
    <m/>
    <m/>
    <m/>
    <m/>
    <m/>
    <m/>
    <m/>
    <m/>
    <m/>
    <m/>
    <d v="2024-01-01T00:00:00"/>
    <d v="2024-12-31T00:00:00"/>
    <n v="1"/>
    <n v="1"/>
    <s v="Dentro"/>
    <s v="Sí"/>
    <s v="NO"/>
    <s v="NO"/>
    <s v="NO"/>
    <s v="NO"/>
    <n v="0"/>
    <n v="0"/>
    <n v="0"/>
    <n v="0"/>
    <n v="0"/>
  </r>
  <r>
    <x v="1"/>
    <d v="1993-01-10T00:00:00"/>
    <s v="GRADUADO ESCOLAR"/>
    <m/>
    <m/>
    <d v="2024-01-25T00:00:00"/>
    <m/>
    <d v="2024-01-25T00:00:00"/>
    <m/>
    <m/>
    <n v="0.33750000000000002"/>
    <m/>
    <m/>
    <m/>
    <s v="LIMPIEZA"/>
    <s v="LIMPIEZA"/>
    <x v="36"/>
    <s v="CONTINUO"/>
    <s v="NO"/>
    <x v="0"/>
    <x v="0"/>
    <m/>
    <n v="14000425011981"/>
    <n v="10"/>
    <s v="PERSONAL SUBALTERNO"/>
    <m/>
    <n v="10"/>
    <m/>
    <m/>
    <m/>
    <m/>
    <m/>
    <m/>
    <m/>
    <m/>
    <m/>
    <m/>
    <m/>
    <m/>
    <m/>
    <m/>
    <m/>
    <m/>
    <m/>
    <m/>
    <m/>
    <m/>
    <m/>
    <m/>
    <m/>
    <m/>
    <m/>
    <m/>
    <m/>
    <m/>
    <m/>
    <m/>
    <m/>
    <m/>
    <m/>
    <m/>
    <m/>
    <m/>
    <d v="2024-01-01T00:00:00"/>
    <d v="2024-12-31T00:00:00"/>
    <n v="0.33750000000000002"/>
    <n v="1"/>
    <s v="Dentro"/>
    <s v="Sí"/>
    <s v="Sí"/>
    <s v="NO"/>
    <s v="NO"/>
    <s v="Sí"/>
    <n v="0"/>
    <n v="0"/>
    <n v="0"/>
    <n v="0"/>
    <n v="0"/>
  </r>
  <r>
    <x v="1"/>
    <d v="1986-04-21T00:00:00"/>
    <s v="FPII"/>
    <m/>
    <m/>
    <d v="2024-01-26T00:00:00"/>
    <m/>
    <d v="2024-01-26T00:00:00"/>
    <m/>
    <m/>
    <n v="1"/>
    <m/>
    <m/>
    <m/>
    <s v="CONDUCTORES"/>
    <s v="CONDUCTORES"/>
    <x v="0"/>
    <s v="CONTINUO"/>
    <s v="SI"/>
    <x v="0"/>
    <x v="0"/>
    <m/>
    <n v="14000425011981"/>
    <n v="8"/>
    <s v="PERSONA OPERARIO GENERAL"/>
    <m/>
    <n v="8"/>
    <m/>
    <m/>
    <m/>
    <m/>
    <m/>
    <m/>
    <m/>
    <m/>
    <m/>
    <m/>
    <m/>
    <m/>
    <m/>
    <m/>
    <m/>
    <m/>
    <m/>
    <m/>
    <m/>
    <m/>
    <m/>
    <m/>
    <m/>
    <m/>
    <m/>
    <m/>
    <m/>
    <m/>
    <m/>
    <m/>
    <m/>
    <m/>
    <m/>
    <m/>
    <m/>
    <m/>
    <d v="2024-01-01T00:00:00"/>
    <d v="2024-12-31T00:00:00"/>
    <n v="1"/>
    <n v="1"/>
    <s v="Dentro"/>
    <s v="Sí"/>
    <s v="NO"/>
    <s v="NO"/>
    <s v="NO"/>
    <s v="NO"/>
    <n v="0"/>
    <n v="0"/>
    <n v="0"/>
    <n v="0"/>
    <n v="0"/>
  </r>
  <r>
    <x v="0"/>
    <d v="1998-03-13T00:00:00"/>
    <s v="FPI"/>
    <m/>
    <m/>
    <d v="2024-02-19T00:00:00"/>
    <m/>
    <d v="2024-02-19T00:00:00"/>
    <m/>
    <m/>
    <n v="1"/>
    <m/>
    <m/>
    <m/>
    <s v="CONDUCTORES"/>
    <s v="CONDUCTORES"/>
    <x v="22"/>
    <s v="CONTINUO"/>
    <s v="SI"/>
    <x v="0"/>
    <x v="0"/>
    <m/>
    <n v="14000425011981"/>
    <m/>
    <m/>
    <m/>
    <m/>
    <m/>
    <m/>
    <m/>
    <m/>
    <m/>
    <m/>
    <m/>
    <m/>
    <m/>
    <m/>
    <m/>
    <m/>
    <m/>
    <m/>
    <m/>
    <m/>
    <m/>
    <m/>
    <m/>
    <m/>
    <m/>
    <m/>
    <m/>
    <m/>
    <m/>
    <m/>
    <m/>
    <m/>
    <m/>
    <m/>
    <m/>
    <m/>
    <m/>
    <m/>
    <m/>
    <m/>
    <d v="2024-01-01T00:00:00"/>
    <d v="2024-12-31T00:00:00"/>
    <n v="1"/>
    <n v="1"/>
    <s v="Dentro"/>
    <s v="Sí"/>
    <s v="NO"/>
    <s v="NO"/>
    <s v="NO"/>
    <s v="NO"/>
    <n v="0"/>
    <n v="0"/>
    <n v="0"/>
    <n v="0"/>
    <n v="0"/>
  </r>
  <r>
    <x v="0"/>
    <d v="1971-09-13T00:00:00"/>
    <s v="FPI"/>
    <m/>
    <m/>
    <d v="2024-02-29T00:00:00"/>
    <m/>
    <d v="2024-02-29T00:00:00"/>
    <m/>
    <m/>
    <n v="1"/>
    <m/>
    <m/>
    <m/>
    <s v="ASESORES"/>
    <s v="ASESORES"/>
    <x v="37"/>
    <s v="CONTINUO"/>
    <s v="NO"/>
    <x v="0"/>
    <x v="0"/>
    <m/>
    <n v="14000425011981"/>
    <m/>
    <m/>
    <m/>
    <m/>
    <m/>
    <m/>
    <m/>
    <m/>
    <m/>
    <m/>
    <m/>
    <m/>
    <m/>
    <m/>
    <m/>
    <m/>
    <m/>
    <m/>
    <m/>
    <m/>
    <m/>
    <m/>
    <m/>
    <m/>
    <m/>
    <m/>
    <m/>
    <m/>
    <m/>
    <m/>
    <m/>
    <m/>
    <m/>
    <m/>
    <m/>
    <m/>
    <m/>
    <m/>
    <m/>
    <m/>
    <d v="2024-01-01T00:00:00"/>
    <d v="2024-12-31T00:00:00"/>
    <n v="1"/>
    <n v="1"/>
    <s v="Dentro"/>
    <s v="Sí"/>
    <s v="NO"/>
    <s v="NO"/>
    <s v="NO"/>
    <s v="NO"/>
    <n v="0"/>
    <n v="0"/>
    <n v="0"/>
    <n v="0"/>
    <n v="0"/>
  </r>
  <r>
    <x v="0"/>
    <d v="1980-09-17T00:00:00"/>
    <s v="GRADUADO ESCOLAR"/>
    <m/>
    <m/>
    <d v="2024-03-04T00:00:00"/>
    <m/>
    <d v="2024-03-04T00:00:00"/>
    <m/>
    <m/>
    <n v="1"/>
    <m/>
    <m/>
    <m/>
    <s v="ASESORES"/>
    <s v="ASESORES"/>
    <x v="38"/>
    <s v="CONTINUO"/>
    <s v="NO"/>
    <x v="0"/>
    <x v="0"/>
    <m/>
    <n v="14000425011981"/>
    <m/>
    <m/>
    <m/>
    <m/>
    <m/>
    <m/>
    <m/>
    <m/>
    <m/>
    <m/>
    <m/>
    <m/>
    <m/>
    <m/>
    <m/>
    <m/>
    <m/>
    <m/>
    <m/>
    <m/>
    <m/>
    <m/>
    <m/>
    <m/>
    <m/>
    <m/>
    <m/>
    <m/>
    <m/>
    <m/>
    <m/>
    <m/>
    <m/>
    <m/>
    <m/>
    <m/>
    <m/>
    <m/>
    <m/>
    <m/>
    <d v="2024-01-01T00:00:00"/>
    <d v="2024-12-31T00:00:00"/>
    <n v="1"/>
    <n v="1"/>
    <s v="Dentro"/>
    <s v="Sí"/>
    <s v="NO"/>
    <s v="NO"/>
    <s v="NO"/>
    <s v="NO"/>
    <n v="0"/>
    <n v="0"/>
    <n v="0"/>
    <n v="0"/>
    <n v="0"/>
  </r>
  <r>
    <x v="0"/>
    <d v="1990-10-09T00:00:00"/>
    <s v="GRADUADO ESCOLAR"/>
    <m/>
    <m/>
    <d v="2024-04-08T00:00:00"/>
    <m/>
    <d v="2024-04-08T00:00:00"/>
    <m/>
    <m/>
    <n v="1"/>
    <m/>
    <m/>
    <m/>
    <s v="ASESORES"/>
    <s v="ASESORES"/>
    <x v="30"/>
    <s v="CONTINUO"/>
    <s v="NO"/>
    <x v="0"/>
    <x v="0"/>
    <m/>
    <n v="14000425011981"/>
    <m/>
    <m/>
    <m/>
    <m/>
    <m/>
    <m/>
    <m/>
    <m/>
    <m/>
    <m/>
    <m/>
    <m/>
    <m/>
    <m/>
    <m/>
    <m/>
    <m/>
    <m/>
    <m/>
    <m/>
    <m/>
    <m/>
    <m/>
    <m/>
    <m/>
    <m/>
    <m/>
    <m/>
    <m/>
    <m/>
    <m/>
    <m/>
    <m/>
    <m/>
    <m/>
    <m/>
    <m/>
    <m/>
    <m/>
    <m/>
    <d v="2024-01-01T00:00:00"/>
    <d v="2024-12-31T00:00:00"/>
    <n v="1"/>
    <n v="1"/>
    <s v="Dentro"/>
    <s v="Sí"/>
    <s v="NO"/>
    <s v="NO"/>
    <s v="NO"/>
    <s v="NO"/>
    <n v="0"/>
    <n v="0"/>
    <n v="0"/>
    <n v="0"/>
    <n v="0"/>
  </r>
  <r>
    <x v="0"/>
    <d v="1995-07-09T00:00:00"/>
    <s v="FPI"/>
    <m/>
    <m/>
    <d v="2024-04-22T00:00:00"/>
    <m/>
    <d v="2024-04-22T00:00:00"/>
    <m/>
    <m/>
    <n v="1"/>
    <m/>
    <m/>
    <m/>
    <s v="CONDUCTORES"/>
    <s v="CONDUCTORES"/>
    <x v="0"/>
    <s v="CONTINUO"/>
    <s v="SI"/>
    <x v="0"/>
    <x v="0"/>
    <m/>
    <n v="14000425011981"/>
    <m/>
    <m/>
    <m/>
    <m/>
    <m/>
    <m/>
    <m/>
    <m/>
    <m/>
    <m/>
    <m/>
    <m/>
    <m/>
    <m/>
    <m/>
    <m/>
    <m/>
    <m/>
    <m/>
    <m/>
    <m/>
    <m/>
    <m/>
    <m/>
    <m/>
    <m/>
    <m/>
    <m/>
    <m/>
    <m/>
    <m/>
    <m/>
    <m/>
    <m/>
    <m/>
    <m/>
    <m/>
    <m/>
    <m/>
    <m/>
    <d v="2024-01-01T00:00:00"/>
    <d v="2024-12-31T00:00:00"/>
    <n v="1"/>
    <n v="1"/>
    <s v="Dentro"/>
    <s v="Sí"/>
    <s v="NO"/>
    <s v="NO"/>
    <s v="NO"/>
    <s v="NO"/>
    <n v="0"/>
    <n v="0"/>
    <n v="0"/>
    <n v="0"/>
    <n v="0"/>
  </r>
  <r>
    <x v="1"/>
    <d v="1978-11-02T00:00:00"/>
    <s v="FPII "/>
    <m/>
    <m/>
    <d v="2024-07-08T00:00:00"/>
    <m/>
    <d v="2024-07-08T00:00:00"/>
    <m/>
    <m/>
    <n v="1"/>
    <m/>
    <m/>
    <m/>
    <s v="CONDUCTORES"/>
    <s v="CONDUCTORES"/>
    <x v="22"/>
    <s v="CONTINUO"/>
    <s v="SI"/>
    <x v="0"/>
    <x v="0"/>
    <m/>
    <n v="14000425011981"/>
    <n v="8"/>
    <s v="PERSONA OPERARIO GENERAL"/>
    <m/>
    <n v="8"/>
    <m/>
    <m/>
    <m/>
    <m/>
    <m/>
    <m/>
    <m/>
    <m/>
    <m/>
    <m/>
    <m/>
    <m/>
    <m/>
    <m/>
    <m/>
    <m/>
    <m/>
    <m/>
    <m/>
    <m/>
    <m/>
    <m/>
    <m/>
    <m/>
    <m/>
    <m/>
    <m/>
    <m/>
    <m/>
    <m/>
    <m/>
    <m/>
    <m/>
    <m/>
    <m/>
    <m/>
    <d v="2024-01-01T00:00:00"/>
    <d v="2024-12-31T00:00:00"/>
    <n v="1"/>
    <n v="1"/>
    <s v="Dentro"/>
    <s v="Sí"/>
    <s v="NO"/>
    <s v="NO"/>
    <s v="NO"/>
    <s v="NO"/>
    <n v="0"/>
    <n v="0"/>
    <n v="0"/>
    <n v="0"/>
    <n v="0"/>
  </r>
  <r>
    <x v="0"/>
    <d v="1992-05-06T00:00:00"/>
    <s v="GRADO"/>
    <m/>
    <m/>
    <d v="2024-07-08T00:00:00"/>
    <m/>
    <d v="2024-07-08T00:00:00"/>
    <m/>
    <m/>
    <n v="1"/>
    <m/>
    <m/>
    <m/>
    <s v="CONDUCTORES"/>
    <s v="CONDUCTORES"/>
    <x v="22"/>
    <s v="CONTINUO"/>
    <s v="SI"/>
    <x v="0"/>
    <x v="0"/>
    <m/>
    <n v="14000425011981"/>
    <m/>
    <m/>
    <m/>
    <m/>
    <m/>
    <m/>
    <m/>
    <m/>
    <m/>
    <m/>
    <m/>
    <m/>
    <m/>
    <m/>
    <m/>
    <m/>
    <m/>
    <m/>
    <m/>
    <m/>
    <m/>
    <m/>
    <m/>
    <m/>
    <m/>
    <m/>
    <m/>
    <m/>
    <m/>
    <m/>
    <m/>
    <m/>
    <m/>
    <m/>
    <m/>
    <m/>
    <m/>
    <m/>
    <m/>
    <m/>
    <d v="2024-01-01T00:00:00"/>
    <d v="2024-12-31T00:00:00"/>
    <n v="1"/>
    <n v="1"/>
    <s v="Dentro"/>
    <s v="Sí"/>
    <s v="NO"/>
    <s v="NO"/>
    <s v="NO"/>
    <s v="NO"/>
    <n v="0"/>
    <n v="0"/>
    <n v="0"/>
    <n v="0"/>
    <n v="0"/>
  </r>
  <r>
    <x v="1"/>
    <d v="1977-12-05T00:00:00"/>
    <s v="BACHILLER"/>
    <m/>
    <m/>
    <d v="2024-07-09T00:00:00"/>
    <m/>
    <d v="2024-07-09T00:00:00"/>
    <m/>
    <m/>
    <n v="0.75"/>
    <m/>
    <m/>
    <m/>
    <s v="LIMPIEZA"/>
    <s v="LIMPIEZA"/>
    <x v="10"/>
    <s v="CONTINUO"/>
    <s v="NO"/>
    <x v="0"/>
    <x v="0"/>
    <m/>
    <n v="14000425011981"/>
    <n v="10"/>
    <s v="PERSONAL SUBALTERNO"/>
    <m/>
    <n v="10"/>
    <m/>
    <m/>
    <m/>
    <m/>
    <m/>
    <m/>
    <m/>
    <m/>
    <m/>
    <m/>
    <m/>
    <m/>
    <m/>
    <m/>
    <m/>
    <m/>
    <m/>
    <m/>
    <m/>
    <m/>
    <m/>
    <m/>
    <m/>
    <m/>
    <m/>
    <m/>
    <m/>
    <m/>
    <m/>
    <m/>
    <m/>
    <m/>
    <m/>
    <m/>
    <m/>
    <m/>
    <d v="2024-01-01T00:00:00"/>
    <d v="2024-12-31T00:00:00"/>
    <n v="0.75"/>
    <n v="1"/>
    <s v="Dentro"/>
    <s v="Sí"/>
    <s v="Sí"/>
    <s v="NO"/>
    <s v="NO"/>
    <s v="Sí"/>
    <n v="0"/>
    <n v="0"/>
    <n v="0"/>
    <n v="0"/>
    <n v="0"/>
  </r>
  <r>
    <x v="1"/>
    <d v="1986-06-19T00:00:00"/>
    <s v="FP I GERIATRIA"/>
    <m/>
    <m/>
    <d v="2024-07-15T00:00:00"/>
    <m/>
    <d v="2024-07-15T00:00:00"/>
    <m/>
    <m/>
    <n v="0.75"/>
    <m/>
    <m/>
    <m/>
    <s v="LIMPIEZA"/>
    <s v="LIMPIEZA"/>
    <x v="10"/>
    <s v="CONTINUO"/>
    <s v="NO"/>
    <x v="0"/>
    <x v="0"/>
    <m/>
    <n v="14000425011981"/>
    <n v="10"/>
    <s v="PERSONAL SUBALTERNO"/>
    <m/>
    <n v="10"/>
    <m/>
    <m/>
    <m/>
    <m/>
    <m/>
    <m/>
    <m/>
    <m/>
    <m/>
    <m/>
    <m/>
    <m/>
    <m/>
    <m/>
    <m/>
    <m/>
    <m/>
    <m/>
    <m/>
    <m/>
    <m/>
    <m/>
    <m/>
    <m/>
    <m/>
    <m/>
    <m/>
    <m/>
    <m/>
    <m/>
    <m/>
    <m/>
    <m/>
    <m/>
    <m/>
    <m/>
    <d v="2024-01-01T00:00:00"/>
    <d v="2024-12-31T00:00:00"/>
    <n v="0.75"/>
    <n v="1"/>
    <s v="Dentro"/>
    <s v="Sí"/>
    <s v="Sí"/>
    <s v="NO"/>
    <s v="NO"/>
    <s v="Sí"/>
    <n v="0"/>
    <n v="0"/>
    <n v="0"/>
    <n v="0"/>
    <n v="0"/>
  </r>
  <r>
    <x v="1"/>
    <d v="1984-10-02T00:00:00"/>
    <s v="GRADUADO ESCOLAR"/>
    <m/>
    <m/>
    <d v="2024-01-25T00:00:00"/>
    <m/>
    <d v="2024-01-25T00:00:00"/>
    <m/>
    <m/>
    <n v="0.33750000000000002"/>
    <m/>
    <m/>
    <m/>
    <s v="LIMPIEZA"/>
    <s v="LIMPIEZA"/>
    <x v="39"/>
    <s v="CONTINUO"/>
    <s v="NO"/>
    <x v="0"/>
    <x v="0"/>
    <m/>
    <n v="14000425011981"/>
    <n v="10"/>
    <s v="PERSONAL SUBALTERNO"/>
    <m/>
    <n v="10"/>
    <m/>
    <m/>
    <m/>
    <m/>
    <m/>
    <m/>
    <m/>
    <m/>
    <m/>
    <m/>
    <m/>
    <m/>
    <m/>
    <m/>
    <m/>
    <m/>
    <m/>
    <m/>
    <m/>
    <m/>
    <m/>
    <m/>
    <m/>
    <m/>
    <m/>
    <m/>
    <m/>
    <m/>
    <m/>
    <m/>
    <m/>
    <m/>
    <m/>
    <m/>
    <m/>
    <m/>
    <d v="2024-01-01T00:00:00"/>
    <d v="2024-12-31T00:00:00"/>
    <n v="0.33750000000000002"/>
    <n v="1"/>
    <s v="Dentro"/>
    <s v="Sí"/>
    <s v="Sí"/>
    <s v="NO"/>
    <s v="NO"/>
    <s v="Sí"/>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TablaDinámica3" cacheId="0" applyNumberFormats="0" applyBorderFormats="0" applyFontFormats="0" applyPatternFormats="0" applyAlignmentFormats="0" applyWidthHeightFormats="1" dataCaption="Valores" updatedVersion="8" minRefreshableVersion="3" rowGrandTotals="0" colGrandTotals="0" itemPrintTitles="1" createdVersion="6" indent="0" compact="0" compactData="0" multipleFieldFilters="0">
  <location ref="C101:E142" firstHeaderRow="1" firstDataRow="2" firstDataCol="2"/>
  <pivotFields count="10">
    <pivotField axis="axisRow" dataField="1" compact="0" outline="0" subtotalTop="0" showAll="0" defaultSubtotal="0">
      <items count="199">
        <item m="1" x="192"/>
        <item m="1" x="116"/>
        <item m="1" x="186"/>
        <item m="1" x="180"/>
        <item m="1" x="139"/>
        <item m="1" x="95"/>
        <item m="1" x="141"/>
        <item m="1" x="198"/>
        <item m="1" x="163"/>
        <item m="1" x="174"/>
        <item m="1" x="142"/>
        <item m="1" x="138"/>
        <item m="1" x="176"/>
        <item m="1" x="137"/>
        <item m="1" x="84"/>
        <item m="1" x="158"/>
        <item m="1" x="147"/>
        <item m="1" x="127"/>
        <item m="1" x="86"/>
        <item m="1" x="194"/>
        <item m="1" x="154"/>
        <item m="1" x="171"/>
        <item m="1" x="191"/>
        <item m="1" x="101"/>
        <item m="1" x="112"/>
        <item m="1" x="148"/>
        <item m="1" x="134"/>
        <item m="1" x="119"/>
        <item m="1" x="136"/>
        <item m="1" x="96"/>
        <item m="1" x="89"/>
        <item m="1" x="195"/>
        <item m="1" x="169"/>
        <item m="1" x="146"/>
        <item m="1" x="82"/>
        <item m="1" x="160"/>
        <item m="1" x="109"/>
        <item m="1" x="144"/>
        <item m="1" x="87"/>
        <item m="1" x="193"/>
        <item m="1" x="173"/>
        <item m="1" x="117"/>
        <item m="1" x="85"/>
        <item m="1" x="179"/>
        <item m="1" x="140"/>
        <item m="1" x="135"/>
        <item m="1" x="132"/>
        <item m="1" x="94"/>
        <item m="1" x="166"/>
        <item m="1" x="178"/>
        <item m="1" x="162"/>
        <item m="1" x="123"/>
        <item m="1" x="90"/>
        <item m="1" x="118"/>
        <item m="1" x="106"/>
        <item m="1" x="91"/>
        <item m="1" x="130"/>
        <item m="1" x="103"/>
        <item m="1" x="105"/>
        <item m="1" x="93"/>
        <item m="1" x="182"/>
        <item m="1" x="111"/>
        <item m="1" x="152"/>
        <item m="1" x="128"/>
        <item m="1" x="124"/>
        <item m="1" x="155"/>
        <item m="1" x="122"/>
        <item m="1" x="175"/>
        <item m="1" x="100"/>
        <item m="1" x="104"/>
        <item x="21"/>
        <item m="1" x="190"/>
        <item m="1" x="187"/>
        <item m="1" x="131"/>
        <item m="1" x="181"/>
        <item m="1" x="98"/>
        <item m="1" x="102"/>
        <item m="1" x="83"/>
        <item m="1" x="126"/>
        <item m="1" x="114"/>
        <item m="1" x="88"/>
        <item m="1" x="183"/>
        <item m="1" x="161"/>
        <item m="1" x="129"/>
        <item m="1" x="115"/>
        <item m="1" x="92"/>
        <item m="1" x="185"/>
        <item m="1" x="170"/>
        <item m="1" x="149"/>
        <item m="1" x="113"/>
        <item m="1" x="153"/>
        <item m="1" x="54"/>
        <item m="1" x="189"/>
        <item m="1" x="151"/>
        <item m="1" x="167"/>
        <item m="1" x="99"/>
        <item m="1" x="184"/>
        <item m="1" x="143"/>
        <item m="1" x="145"/>
        <item m="1" x="165"/>
        <item m="1" x="120"/>
        <item m="1" x="110"/>
        <item m="1" x="164"/>
        <item m="1" x="197"/>
        <item m="1" x="121"/>
        <item m="1" x="156"/>
        <item m="1" x="172"/>
        <item m="1" x="133"/>
        <item m="1" x="107"/>
        <item m="1" x="188"/>
        <item m="1" x="159"/>
        <item m="1" x="97"/>
        <item m="1" x="157"/>
        <item m="1" x="81"/>
        <item m="1" x="196"/>
        <item x="10"/>
        <item m="1" x="108"/>
        <item m="1" x="150"/>
        <item m="1" x="168"/>
        <item m="1" x="59"/>
        <item m="1" x="125"/>
        <item m="1" x="177"/>
        <item m="1" x="75"/>
        <item m="1" x="61"/>
        <item m="1" x="62"/>
        <item m="1" x="55"/>
        <item m="1" x="56"/>
        <item m="1" x="63"/>
        <item m="1" x="64"/>
        <item m="1" x="65"/>
        <item m="1" x="66"/>
        <item m="1" x="67"/>
        <item m="1" x="57"/>
        <item m="1" x="68"/>
        <item m="1" x="69"/>
        <item m="1" x="70"/>
        <item m="1" x="71"/>
        <item m="1" x="72"/>
        <item m="1" x="73"/>
        <item m="1" x="74"/>
        <item m="1" x="76"/>
        <item m="1" x="77"/>
        <item m="1" x="78"/>
        <item m="1" x="79"/>
        <item m="1" x="80"/>
        <item m="1" x="58"/>
        <item m="1" x="60"/>
        <item x="16"/>
        <item m="1" x="41"/>
        <item m="1" x="42"/>
        <item m="1" x="43"/>
        <item m="1" x="44"/>
        <item m="1" x="52"/>
        <item m="1" x="53"/>
        <item x="24"/>
        <item m="1" x="46"/>
        <item m="1" x="47"/>
        <item m="1" x="48"/>
        <item m="1" x="49"/>
        <item m="1" x="50"/>
        <item m="1" x="51"/>
        <item m="1" x="45"/>
        <item x="0"/>
        <item x="1"/>
        <item x="2"/>
        <item x="3"/>
        <item x="4"/>
        <item x="5"/>
        <item x="6"/>
        <item x="7"/>
        <item x="8"/>
        <item x="9"/>
        <item x="11"/>
        <item x="12"/>
        <item x="13"/>
        <item x="14"/>
        <item x="15"/>
        <item x="17"/>
        <item x="18"/>
        <item x="19"/>
        <item x="20"/>
        <item x="22"/>
        <item x="23"/>
        <item x="25"/>
        <item x="26"/>
        <item x="27"/>
        <item x="28"/>
        <item x="29"/>
        <item x="30"/>
        <item x="31"/>
        <item x="32"/>
        <item x="33"/>
        <item x="34"/>
        <item m="1" x="40"/>
        <item x="36"/>
        <item x="37"/>
        <item x="38"/>
        <item x="39"/>
        <item x="35"/>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sortType="ascending" defaultSubtotal="0">
      <items count="11">
        <item m="1" x="5"/>
        <item m="1" x="2"/>
        <item m="1" x="6"/>
        <item m="1" x="10"/>
        <item m="1" x="1"/>
        <item m="1" x="3"/>
        <item m="1" x="4"/>
        <item m="1" x="7"/>
        <item m="1" x="8"/>
        <item m="1" x="9"/>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Col" compact="0" outline="0" subtotalTop="0" showAll="0" sortType="ascending" defaultSubtotal="0">
      <items count="20">
        <item m="1" x="3"/>
        <item m="1" x="16"/>
        <item m="1" x="2"/>
        <item m="1" x="1"/>
        <item m="1" x="6"/>
        <item m="1" x="4"/>
        <item m="1" x="5"/>
        <item m="1" x="19"/>
        <item m="1" x="13"/>
        <item m="1" x="7"/>
        <item m="1" x="9"/>
        <item m="1" x="17"/>
        <item m="1" x="14"/>
        <item m="1" x="11"/>
        <item m="1" x="10"/>
        <item m="1" x="8"/>
        <item m="1" x="18"/>
        <item m="1" x="15"/>
        <item m="1" x="12"/>
        <item x="0"/>
      </items>
      <extLst>
        <ext xmlns:x14="http://schemas.microsoft.com/office/spreadsheetml/2009/9/main" uri="{2946ED86-A175-432a-8AC1-64E0C546D7DE}">
          <x14:pivotField fillDownLabels="1"/>
        </ext>
      </extLst>
    </pivotField>
    <pivotField compact="0" outline="0" subtotalTop="0" showAll="0" defaultSubtotal="0">
      <items count="5">
        <item m="1" x="4"/>
        <item m="1" x="3"/>
        <item m="1" x="2"/>
        <item m="1" x="1"/>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6">
        <item m="1" x="5"/>
        <item x="0"/>
        <item x="1"/>
        <item x="2"/>
        <item x="3"/>
        <item x="4"/>
      </items>
      <extLst>
        <ext xmlns:x14="http://schemas.microsoft.com/office/spreadsheetml/2009/9/main" uri="{2946ED86-A175-432a-8AC1-64E0C546D7DE}">
          <x14:pivotField fillDownLabels="1"/>
        </ext>
      </extLst>
    </pivotField>
    <pivotField compact="0" outline="0" subtotalTop="0" showAll="0" defaultSubtotal="0">
      <items count="10">
        <item m="1" x="6"/>
        <item m="1" x="3"/>
        <item m="1" x="7"/>
        <item m="1" x="9"/>
        <item m="1" x="2"/>
        <item m="1" x="4"/>
        <item m="1" x="5"/>
        <item m="1" x="1"/>
        <item m="1" x="8"/>
        <item x="0"/>
      </items>
      <extLst>
        <ext xmlns:x14="http://schemas.microsoft.com/office/spreadsheetml/2009/9/main" uri="{2946ED86-A175-432a-8AC1-64E0C546D7DE}">
          <x14:pivotField fillDownLabels="1"/>
        </ext>
      </extLst>
    </pivotField>
  </pivotFields>
  <rowFields count="2">
    <field x="3"/>
    <field x="0"/>
  </rowFields>
  <rowItems count="40">
    <i>
      <x v="10"/>
      <x v="70"/>
    </i>
    <i r="1">
      <x v="115"/>
    </i>
    <i r="1">
      <x v="147"/>
    </i>
    <i r="1">
      <x v="154"/>
    </i>
    <i r="1">
      <x v="162"/>
    </i>
    <i r="1">
      <x v="163"/>
    </i>
    <i r="1">
      <x v="164"/>
    </i>
    <i r="1">
      <x v="165"/>
    </i>
    <i r="1">
      <x v="166"/>
    </i>
    <i r="1">
      <x v="167"/>
    </i>
    <i r="1">
      <x v="168"/>
    </i>
    <i r="1">
      <x v="169"/>
    </i>
    <i r="1">
      <x v="170"/>
    </i>
    <i r="1">
      <x v="171"/>
    </i>
    <i r="1">
      <x v="172"/>
    </i>
    <i r="1">
      <x v="173"/>
    </i>
    <i r="1">
      <x v="174"/>
    </i>
    <i r="1">
      <x v="175"/>
    </i>
    <i r="1">
      <x v="176"/>
    </i>
    <i r="1">
      <x v="177"/>
    </i>
    <i r="1">
      <x v="178"/>
    </i>
    <i r="1">
      <x v="179"/>
    </i>
    <i r="1">
      <x v="180"/>
    </i>
    <i r="1">
      <x v="181"/>
    </i>
    <i r="1">
      <x v="182"/>
    </i>
    <i r="1">
      <x v="183"/>
    </i>
    <i r="1">
      <x v="184"/>
    </i>
    <i r="1">
      <x v="185"/>
    </i>
    <i r="1">
      <x v="186"/>
    </i>
    <i r="1">
      <x v="187"/>
    </i>
    <i r="1">
      <x v="188"/>
    </i>
    <i r="1">
      <x v="189"/>
    </i>
    <i r="1">
      <x v="190"/>
    </i>
    <i r="1">
      <x v="191"/>
    </i>
    <i r="1">
      <x v="192"/>
    </i>
    <i r="1">
      <x v="194"/>
    </i>
    <i r="1">
      <x v="195"/>
    </i>
    <i r="1">
      <x v="196"/>
    </i>
    <i r="1">
      <x v="197"/>
    </i>
    <i r="1">
      <x v="198"/>
    </i>
  </rowItems>
  <colFields count="1">
    <field x="5"/>
  </colFields>
  <colItems count="1">
    <i>
      <x v="19"/>
    </i>
  </colItems>
  <dataFields count="1">
    <dataField name="    " fld="0" subtotal="count" baseField="0" baseItem="0"/>
  </dataFields>
  <formats count="13">
    <format dxfId="148">
      <pivotArea field="6" type="button" dataOnly="0" labelOnly="1" outline="0"/>
    </format>
    <format dxfId="147">
      <pivotArea field="9" type="button" dataOnly="0" labelOnly="1" outline="0"/>
    </format>
    <format dxfId="146">
      <pivotArea field="8" type="button" dataOnly="0" labelOnly="1" outline="0"/>
    </format>
    <format dxfId="145">
      <pivotArea field="5" type="button" dataOnly="0" labelOnly="1" outline="0" axis="axisCol" fieldPosition="0"/>
    </format>
    <format dxfId="144">
      <pivotArea type="all" dataOnly="0" outline="0" fieldPosition="0"/>
    </format>
    <format dxfId="143">
      <pivotArea outline="0" collapsedLevelsAreSubtotals="1" fieldPosition="0"/>
    </format>
    <format dxfId="142">
      <pivotArea type="origin" dataOnly="0" labelOnly="1" outline="0" fieldPosition="0"/>
    </format>
    <format dxfId="141">
      <pivotArea field="5" type="button" dataOnly="0" labelOnly="1" outline="0" axis="axisCol" fieldPosition="0"/>
    </format>
    <format dxfId="140">
      <pivotArea field="3" type="button" dataOnly="0" labelOnly="1" outline="0" axis="axisRow" fieldPosition="0"/>
    </format>
    <format dxfId="139">
      <pivotArea field="0" type="button" dataOnly="0" labelOnly="1" outline="0" axis="axisRow" fieldPosition="1"/>
    </format>
    <format dxfId="138">
      <pivotArea dataOnly="0" labelOnly="1" outline="0" fieldPosition="0">
        <references count="1">
          <reference field="3" count="0"/>
        </references>
      </pivotArea>
    </format>
    <format dxfId="137">
      <pivotArea dataOnly="0" labelOnly="1" outline="0" fieldPosition="0">
        <references count="2">
          <reference field="0" count="0"/>
          <reference field="3" count="0" selected="0"/>
        </references>
      </pivotArea>
    </format>
    <format dxfId="136">
      <pivotArea dataOnly="0" labelOnly="1" outline="0" fieldPosition="0">
        <references count="1">
          <reference field="5" count="0"/>
        </references>
      </pivotArea>
    </format>
  </formats>
  <pivotTableStyleInfo name="PivotStyleLight10" showRowHeaders="1" showColHeaders="1" showRowStripes="1" showColStripes="1"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6E02AC-5ACC-6F43-875D-2F7594B02F0A}" name="TablaDinámica1" cacheId="1" applyNumberFormats="0" applyBorderFormats="0" applyFontFormats="0" applyPatternFormats="0" applyAlignmentFormats="0" applyWidthHeightFormats="1" dataCaption="Valores" updatedVersion="8" minRefreshableVersion="3" rowGrandTotals="0" colGrandTotals="0" itemPrintTitles="1" createdVersion="6" indent="0" compact="0" compactData="0" multipleFieldFilters="0">
  <location ref="C10:E51" firstHeaderRow="1" firstDataRow="2" firstDataCol="1"/>
  <pivotFields count="78">
    <pivotField axis="axisCol" compact="0" outline="0" subtotalTop="0" showAll="0" defaultSubtotal="0">
      <items count="2">
        <item x="0"/>
        <item x="1"/>
      </items>
      <extLst>
        <ext xmlns:x14="http://schemas.microsoft.com/office/spreadsheetml/2009/9/main" uri="{2946ED86-A175-432a-8AC1-64E0C546D7DE}">
          <x14:pivotField fillDownLabels="1"/>
        </ext>
      </extLst>
    </pivotField>
    <pivotField compact="0" numFmtId="165"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65"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9"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sortType="ascending" defaultSubtotal="0">
      <items count="52">
        <item x="28"/>
        <item x="8"/>
        <item x="34"/>
        <item x="30"/>
        <item x="38"/>
        <item x="37"/>
        <item x="33"/>
        <item x="26"/>
        <item x="19"/>
        <item x="23"/>
        <item x="14"/>
        <item x="31"/>
        <item x="32"/>
        <item x="29"/>
        <item x="18"/>
        <item m="1" x="44"/>
        <item m="1" x="50"/>
        <item x="0"/>
        <item x="11"/>
        <item x="35"/>
        <item x="4"/>
        <item m="1" x="47"/>
        <item x="3"/>
        <item x="1"/>
        <item x="5"/>
        <item x="16"/>
        <item x="27"/>
        <item x="25"/>
        <item m="1" x="41"/>
        <item x="24"/>
        <item x="10"/>
        <item x="9"/>
        <item x="36"/>
        <item x="39"/>
        <item x="20"/>
        <item x="17"/>
        <item x="15"/>
        <item x="21"/>
        <item m="1" x="48"/>
        <item m="1" x="49"/>
        <item x="2"/>
        <item m="1" x="51"/>
        <item x="7"/>
        <item x="22"/>
        <item x="12"/>
        <item x="13"/>
        <item m="1" x="43"/>
        <item m="1" x="42"/>
        <item x="6"/>
        <item m="1" x="45"/>
        <item m="1" x="46"/>
        <item m="1" x="4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sortType="ascending" defaultSubtotal="0">
      <items count="3">
        <item m="1" x="1"/>
        <item m="1" x="2"/>
        <item x="0"/>
      </items>
      <extLst>
        <ext xmlns:x14="http://schemas.microsoft.com/office/spreadsheetml/2009/9/main" uri="{2946ED86-A175-432a-8AC1-64E0C546D7DE}">
          <x14:pivotField fillDownLabels="1"/>
        </ext>
      </extLst>
    </pivotField>
    <pivotField compact="0" outline="0" subtotalTop="0" showAll="0">
      <items count="8">
        <item m="1" x="5"/>
        <item m="1" x="6"/>
        <item m="1" x="3"/>
        <item m="1" x="1"/>
        <item m="1" x="4"/>
        <item m="1" x="2"/>
        <item x="0"/>
        <item t="default"/>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65" outline="0" subtotalTop="0" showAll="0" defaultSubtotal="0">
      <extLst>
        <ext xmlns:x14="http://schemas.microsoft.com/office/spreadsheetml/2009/9/main" uri="{2946ED86-A175-432a-8AC1-64E0C546D7DE}">
          <x14:pivotField fillDownLabels="1"/>
        </ext>
      </extLst>
    </pivotField>
    <pivotField compact="0" numFmtId="165" outline="0" subtotalTop="0" showAll="0" defaultSubtotal="0">
      <extLst>
        <ext xmlns:x14="http://schemas.microsoft.com/office/spreadsheetml/2009/9/main" uri="{2946ED86-A175-432a-8AC1-64E0C546D7DE}">
          <x14:pivotField fillDownLabels="1"/>
        </ext>
      </extLst>
    </pivotField>
    <pivotField compact="0" numFmtId="9" outline="0" subtotalTop="0" showAll="0" defaultSubtotal="0">
      <extLst>
        <ext xmlns:x14="http://schemas.microsoft.com/office/spreadsheetml/2009/9/main" uri="{2946ED86-A175-432a-8AC1-64E0C546D7DE}">
          <x14:pivotField fillDownLabels="1"/>
        </ext>
      </extLst>
    </pivotField>
    <pivotField compact="0" numFmtId="9"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s>
  <rowFields count="1">
    <field x="16"/>
  </rowFields>
  <rowItems count="40">
    <i>
      <x/>
    </i>
    <i>
      <x v="1"/>
    </i>
    <i>
      <x v="2"/>
    </i>
    <i>
      <x v="3"/>
    </i>
    <i>
      <x v="4"/>
    </i>
    <i>
      <x v="5"/>
    </i>
    <i>
      <x v="6"/>
    </i>
    <i>
      <x v="7"/>
    </i>
    <i>
      <x v="8"/>
    </i>
    <i>
      <x v="9"/>
    </i>
    <i>
      <x v="10"/>
    </i>
    <i>
      <x v="11"/>
    </i>
    <i>
      <x v="12"/>
    </i>
    <i>
      <x v="13"/>
    </i>
    <i>
      <x v="14"/>
    </i>
    <i>
      <x v="17"/>
    </i>
    <i>
      <x v="18"/>
    </i>
    <i>
      <x v="19"/>
    </i>
    <i>
      <x v="20"/>
    </i>
    <i>
      <x v="22"/>
    </i>
    <i>
      <x v="23"/>
    </i>
    <i>
      <x v="24"/>
    </i>
    <i>
      <x v="25"/>
    </i>
    <i>
      <x v="26"/>
    </i>
    <i>
      <x v="27"/>
    </i>
    <i>
      <x v="29"/>
    </i>
    <i>
      <x v="30"/>
    </i>
    <i>
      <x v="31"/>
    </i>
    <i>
      <x v="32"/>
    </i>
    <i>
      <x v="33"/>
    </i>
    <i>
      <x v="34"/>
    </i>
    <i>
      <x v="35"/>
    </i>
    <i>
      <x v="36"/>
    </i>
    <i>
      <x v="37"/>
    </i>
    <i>
      <x v="40"/>
    </i>
    <i>
      <x v="42"/>
    </i>
    <i>
      <x v="43"/>
    </i>
    <i>
      <x v="44"/>
    </i>
    <i>
      <x v="45"/>
    </i>
    <i>
      <x v="48"/>
    </i>
  </rowItems>
  <colFields count="1">
    <field x="0"/>
  </colFields>
  <colItems count="2">
    <i>
      <x/>
    </i>
    <i>
      <x v="1"/>
    </i>
  </colItems>
  <dataFields count="1">
    <dataField name="Cuenta de Dpto-empresa" fld="15" subtotal="count" baseField="0" baseItem="0"/>
  </dataFields>
  <formats count="7">
    <format dxfId="155">
      <pivotArea field="16" type="button" dataOnly="0" labelOnly="1" outline="0" axis="axisRow" fieldPosition="0"/>
    </format>
    <format dxfId="154">
      <pivotArea type="all" dataOnly="0" outline="0" fieldPosition="0"/>
    </format>
    <format dxfId="153">
      <pivotArea outline="0" collapsedLevelsAreSubtotals="1" fieldPosition="0"/>
    </format>
    <format dxfId="152">
      <pivotArea type="origin" dataOnly="0" labelOnly="1" outline="0" fieldPosition="0"/>
    </format>
    <format dxfId="151">
      <pivotArea field="20" type="button" dataOnly="0" labelOnly="1" outline="0"/>
    </format>
    <format dxfId="150">
      <pivotArea field="19" type="button" dataOnly="0" labelOnly="1" outline="0"/>
    </format>
    <format dxfId="149">
      <pivotArea field="16" type="button" dataOnly="0" labelOnly="1" outline="0" axis="axisRow" fieldPosition="0"/>
    </format>
  </formats>
  <pivotTableStyleInfo name="PivotStyleLight12" showRowHeaders="1" showColHeaders="1" showRowStripes="1" showColStripes="1"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blComplem" displayName="TblComplem" ref="B11:H67" totalsRowShown="0" headerRowDxfId="176" dataDxfId="175">
  <autoFilter ref="B11:H67" xr:uid="{00000000-0009-0000-0100-000004000000}"/>
  <tableColumns count="7">
    <tableColumn id="1" xr3:uid="{00000000-0010-0000-0000-000001000000}" name="Valor" dataDxfId="174"/>
    <tableColumn id="2" xr3:uid="{00000000-0010-0000-0000-000002000000}" name="Nombre Corto" dataDxfId="173"/>
    <tableColumn id="3" xr3:uid="{00000000-0010-0000-0000-000003000000}" name="Descripción" dataDxfId="172"/>
    <tableColumn id="6" xr3:uid="{00000000-0010-0000-0000-000006000000}" name="Retrib" dataDxfId="171"/>
    <tableColumn id="4" xr3:uid="{00000000-0010-0000-0000-000004000000}" name="Tipo" dataDxfId="170"/>
    <tableColumn id="9" xr3:uid="{00000000-0010-0000-0000-000009000000}" name="Normalizable" dataDxfId="169"/>
    <tableColumn id="7" xr3:uid="{00000000-0010-0000-0000-000007000000}" name="Anualizable" dataDxfId="168"/>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TblFormRetrib" displayName="TblFormRetrib" ref="E6:E8" totalsRowShown="0" headerRowDxfId="167" dataDxfId="166">
  <autoFilter ref="E6:E8" xr:uid="{00000000-0009-0000-0100-000005000000}">
    <filterColumn colId="0" hiddenButton="1"/>
  </autoFilter>
  <tableColumns count="1">
    <tableColumn id="1" xr3:uid="{00000000-0010-0000-0100-000001000000}" name="Retrib" dataDxfId="165"/>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TIPOS_RETRIB" displayName="TblTIPOS_RETRIB" ref="G6:G9" totalsRowShown="0" headerRowDxfId="164" dataDxfId="163">
  <autoFilter ref="G6:G9" xr:uid="{00000000-0009-0000-0100-000003000000}">
    <filterColumn colId="0" hiddenButton="1"/>
  </autoFilter>
  <tableColumns count="1">
    <tableColumn id="2" xr3:uid="{00000000-0010-0000-0200-000002000000}" name="Nombre" dataDxfId="162"/>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blAGR_CL_EMP" displayName="TblAGR_CL_EMP" ref="J11:J41" totalsRowShown="0" headerRowDxfId="161" dataDxfId="160">
  <autoFilter ref="J11:J41" xr:uid="{00000000-0009-0000-0100-000006000000}"/>
  <tableColumns count="1">
    <tableColumn id="1" xr3:uid="{00000000-0010-0000-0300-000001000000}" name="AGRUP. CLAS. PROF. " dataDxfId="159"/>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blAGR_VAL_PTO" displayName="TblAGR_VAL_PTO" ref="L11:L41" totalsRowShown="0" headerRowDxfId="158" dataDxfId="157">
  <autoFilter ref="L11:L41" xr:uid="{00000000-0009-0000-0100-000007000000}"/>
  <tableColumns count="1">
    <tableColumn id="1" xr3:uid="{00000000-0010-0000-0400-000001000000}" name="AGRUP. VALOR. PTO" dataDxfId="156"/>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DATOS_" displayName="DATOS_" ref="B8:DI124" totalsRowShown="0" headerRowDxfId="114" dataDxfId="113">
  <autoFilter ref="B8:DI124" xr:uid="{00000000-000C-0000-FFFF-FFFF05000000}"/>
  <sortState xmlns:xlrd2="http://schemas.microsoft.com/office/spreadsheetml/2017/richdata2" ref="B9:DI9">
    <sortCondition ref="B8:B9"/>
  </sortState>
  <tableColumns count="112">
    <tableColumn id="1" xr3:uid="{00000000-0010-0000-0500-000001000000}" name="id/cod" dataDxfId="112"/>
    <tableColumn id="2" xr3:uid="{00000000-0010-0000-0500-000002000000}" name="Sexo" dataDxfId="111"/>
    <tableColumn id="3" xr3:uid="{00000000-0010-0000-0500-000003000000}" name="Fecha Nacimiento" dataDxfId="110"/>
    <tableColumn id="4" xr3:uid="{00000000-0010-0000-0500-000004000000}" name="Nivel de Estudios" dataDxfId="109"/>
    <tableColumn id="5" xr3:uid="{00000000-0010-0000-0500-000005000000}" name="Situación Familiar" dataDxfId="108"/>
    <tableColumn id="6" xr3:uid="{00000000-0010-0000-0500-000006000000}" name="Hijos/as" dataDxfId="107"/>
    <tableColumn id="7" xr3:uid="{00000000-0010-0000-0500-000007000000}" name="Fecha de Contratación" dataDxfId="106"/>
    <tableColumn id="8" xr3:uid="{00000000-0010-0000-0500-000008000000}" name="Fecha Fin Contrato" dataDxfId="105"/>
    <tableColumn id="34" xr3:uid="{00000000-0010-0000-0500-000022000000}" name="Fecha de Antigüedad" dataDxfId="104"/>
    <tableColumn id="255" xr3:uid="{00000000-0010-0000-0500-0000FF000000}" name="Fecha Inicio Sit. Contract." dataDxfId="103"/>
    <tableColumn id="256" xr3:uid="{00000000-0010-0000-0500-000000010000}" name="Fecha Fin Sit. Contract." dataDxfId="102"/>
    <tableColumn id="10" xr3:uid="{00000000-0010-0000-0500-00000A000000}" name="% de jornada" dataDxfId="101" dataCellStyle="Porcentaje"/>
    <tableColumn id="45" xr3:uid="{00000000-0010-0000-0500-00002D000000}" name="% jornada reducida" dataDxfId="100" dataCellStyle="Porcentaje"/>
    <tableColumn id="46" xr3:uid="{00000000-0010-0000-0500-00002E000000}" name="motivo reducción" dataDxfId="99" dataCellStyle="Porcentaje"/>
    <tableColumn id="9" xr3:uid="{00000000-0010-0000-0500-000009000000}" name="Clave de Contrato" dataDxfId="98"/>
    <tableColumn id="41" xr3:uid="{00000000-0010-0000-0500-000029000000}" name="Area-empresa" dataDxfId="97"/>
    <tableColumn id="14" xr3:uid="{00000000-0010-0000-0500-00000E000000}" name="Dpto-empresa" dataDxfId="96"/>
    <tableColumn id="13" xr3:uid="{00000000-0010-0000-0500-00000D000000}" name="Puesto-empresa" dataDxfId="95"/>
    <tableColumn id="47" xr3:uid="{00000000-0010-0000-0500-00002F000000}" name="Horario (continuo/partido)" dataDxfId="94"/>
    <tableColumn id="48" xr3:uid="{00000000-0010-0000-0500-000030000000}" name="Trabajo a turnos" dataDxfId="93"/>
    <tableColumn id="23" xr3:uid="{00000000-0010-0000-0500-000017000000}" name="Escala-empresa" dataDxfId="92"/>
    <tableColumn id="25" xr3:uid="{00000000-0010-0000-0500-000019000000}" name="AGRUP. CLAS. PROF." dataDxfId="91"/>
    <tableColumn id="32" xr3:uid="{00000000-0010-0000-0500-000020000000}" name="AGRUP. VALOR. PTO." dataDxfId="90"/>
    <tableColumn id="20" xr3:uid="{00000000-0010-0000-0500-000014000000}" name="Convenio/Área" dataDxfId="89"/>
    <tableColumn id="18" xr3:uid="{00000000-0010-0000-0500-000012000000}" name="Categoría profesional" dataDxfId="88"/>
    <tableColumn id="19" xr3:uid="{00000000-0010-0000-0500-000013000000}" name="Grupo profesional" dataDxfId="87"/>
    <tableColumn id="40" xr3:uid="{00000000-0010-0000-0500-000028000000}" name="Nivel" dataDxfId="86"/>
    <tableColumn id="24" xr3:uid="{00000000-0010-0000-0500-000018000000}" name="Grupo de Cotización Seg.Social." dataDxfId="85"/>
    <tableColumn id="26" xr3:uid="{00000000-0010-0000-0500-00001A000000}" name="S.BASE" dataDxfId="84"/>
    <tableColumn id="12" xr3:uid="{00000000-0010-0000-0500-00000C000000}" name="Conc.Sal.01" dataDxfId="83"/>
    <tableColumn id="15" xr3:uid="{00000000-0010-0000-0500-00000F000000}" name="Conc.Sal.02" dataDxfId="82"/>
    <tableColumn id="16" xr3:uid="{00000000-0010-0000-0500-000010000000}" name="Conc.Sal.03" dataDxfId="81"/>
    <tableColumn id="17" xr3:uid="{00000000-0010-0000-0500-000011000000}" name="Conc.Sal.04" dataDxfId="80"/>
    <tableColumn id="21" xr3:uid="{00000000-0010-0000-0500-000015000000}" name="Conc.Sal.05" dataDxfId="79"/>
    <tableColumn id="22" xr3:uid="{00000000-0010-0000-0500-000016000000}" name="Conc.Sal.06" dataDxfId="78"/>
    <tableColumn id="35" xr3:uid="{00000000-0010-0000-0500-000023000000}" name="Conc.Sal.07" dataDxfId="77"/>
    <tableColumn id="36" xr3:uid="{00000000-0010-0000-0500-000024000000}" name="Conc.Sal.08" dataDxfId="76"/>
    <tableColumn id="37" xr3:uid="{00000000-0010-0000-0500-000025000000}" name="Conc.Sal.09" dataDxfId="75"/>
    <tableColumn id="55" xr3:uid="{00000000-0010-0000-0500-000037000000}" name="Conc.Sal.10" dataDxfId="74"/>
    <tableColumn id="56" xr3:uid="{00000000-0010-0000-0500-000038000000}" name="Conc.Sal.11" dataDxfId="73"/>
    <tableColumn id="57" xr3:uid="{00000000-0010-0000-0500-000039000000}" name="Conc.Sal.12" dataDxfId="72"/>
    <tableColumn id="58" xr3:uid="{00000000-0010-0000-0500-00003A000000}" name="Conc.Sal.13" dataDxfId="71"/>
    <tableColumn id="59" xr3:uid="{00000000-0010-0000-0500-00003B000000}" name="Conc.Sal.14" dataDxfId="70"/>
    <tableColumn id="60" xr3:uid="{00000000-0010-0000-0500-00003C000000}" name="Conc.Sal.15" dataDxfId="69"/>
    <tableColumn id="61" xr3:uid="{00000000-0010-0000-0500-00003D000000}" name="Conc.Sal.16" dataDxfId="68"/>
    <tableColumn id="62" xr3:uid="{00000000-0010-0000-0500-00003E000000}" name="Conc.Sal.17" dataDxfId="67"/>
    <tableColumn id="63" xr3:uid="{00000000-0010-0000-0500-00003F000000}" name="Conc.Sal.18" dataDxfId="66"/>
    <tableColumn id="64" xr3:uid="{00000000-0010-0000-0500-000040000000}" name="Conc.Sal.19" dataDxfId="65"/>
    <tableColumn id="65" xr3:uid="{00000000-0010-0000-0500-000041000000}" name="Conc.Sal.20" dataDxfId="64"/>
    <tableColumn id="66" xr3:uid="{00000000-0010-0000-0500-000042000000}" name="Conc.Sal.21" dataDxfId="63"/>
    <tableColumn id="67" xr3:uid="{00000000-0010-0000-0500-000043000000}" name="Conc.Sal.22" dataDxfId="62"/>
    <tableColumn id="68" xr3:uid="{00000000-0010-0000-0500-000044000000}" name="Conc.Sal.23" dataDxfId="61"/>
    <tableColumn id="69" xr3:uid="{00000000-0010-0000-0500-000045000000}" name="Conc.Sal.24" dataDxfId="60"/>
    <tableColumn id="70" xr3:uid="{00000000-0010-0000-0500-000046000000}" name="Conc.Sal.25" dataDxfId="59"/>
    <tableColumn id="71" xr3:uid="{00000000-0010-0000-0500-000047000000}" name="Conc.Sal.26" dataDxfId="58"/>
    <tableColumn id="72" xr3:uid="{00000000-0010-0000-0500-000048000000}" name="Conc.Sal.27" dataDxfId="57"/>
    <tableColumn id="73" xr3:uid="{00000000-0010-0000-0500-000049000000}" name="Conc.Sal.28" dataDxfId="56"/>
    <tableColumn id="74" xr3:uid="{00000000-0010-0000-0500-00004A000000}" name="Conc.Sal.29" dataDxfId="55"/>
    <tableColumn id="75" xr3:uid="{00000000-0010-0000-0500-00004B000000}" name="Conc.Sal.30" dataDxfId="54"/>
    <tableColumn id="82" xr3:uid="{1DB0DF47-673A-5D4F-A920-0CF198F29F2D}" name="Conc.Sal.31" dataDxfId="53"/>
    <tableColumn id="86" xr3:uid="{1CDEE071-67B8-B14D-A3E3-DA6255E29B9C}" name="Conc.Sal.32" dataDxfId="52"/>
    <tableColumn id="89" xr3:uid="{DAEBCB21-6707-1B4C-88F0-5BC23977F6D2}" name="Conc.Sal.33" dataDxfId="51"/>
    <tableColumn id="90" xr3:uid="{86CD6AC1-11EB-A949-B9FD-87B427B2EACF}" name="Conc.Sal.34" dataDxfId="50"/>
    <tableColumn id="91" xr3:uid="{9B8D93D1-5F90-C84A-A02D-17F7ED9678D5}" name="Conc.Sal.35" dataDxfId="49"/>
    <tableColumn id="92" xr3:uid="{4E7CF89C-5CC4-B04F-84CA-FACA5B3F0D5F}" name="Conc.Sal.36" dataDxfId="48"/>
    <tableColumn id="93" xr3:uid="{5F7E13E6-1483-9642-BC85-DB11DA3BBF8E}" name="Conc.Sal.37" dataDxfId="47"/>
    <tableColumn id="87" xr3:uid="{05681C51-040B-EC49-BB99-5EB0CF9FD9E4}" name="Conc.Sal.38" dataDxfId="46"/>
    <tableColumn id="83" xr3:uid="{CDA7EE68-74DC-CD40-8874-6BAECE29E1EF}" name="Conc.Sal.39" dataDxfId="45"/>
    <tableColumn id="84" xr3:uid="{50B95767-F406-6A48-A8D1-D1AE4368602E}" name="Conc.Sal.40" dataDxfId="44"/>
    <tableColumn id="85" xr3:uid="{E678C32C-1DF0-974B-BB44-FE1D845E9013}" name="Conc.Sal.41" dataDxfId="43"/>
    <tableColumn id="88" xr3:uid="{4904272A-726E-114C-9253-3B689FE4D4F5}" name="Conc.Sal.42" dataDxfId="42"/>
    <tableColumn id="94" xr3:uid="{BFE23812-546D-7441-A9D8-E3EA429AC6E4}" name="Conc.Sal.43" dataDxfId="41"/>
    <tableColumn id="95" xr3:uid="{CB943B85-A204-4844-A5CE-3CB83EB7EEE4}" name="Conc.Sal.44" dataDxfId="40"/>
    <tableColumn id="76" xr3:uid="{00000000-0010-0000-0500-00004C000000}" name="C.Extra.01" dataDxfId="39"/>
    <tableColumn id="96" xr3:uid="{BBBDA1FB-6962-7243-88B0-36FED4E97EEE}" name="C.Extra.02" dataDxfId="38"/>
    <tableColumn id="97" xr3:uid="{F77101A0-ED4F-BA4C-83FC-2D5A35FDF148}" name="C.Extra.03" dataDxfId="37"/>
    <tableColumn id="98" xr3:uid="{38FE9B44-D56F-CD45-8446-12A51EAA84CA}" name="C.Extra.04" dataDxfId="36"/>
    <tableColumn id="99" xr3:uid="{64D3A9E8-513C-294F-8E49-F9FA21FDC70E}" name="C.Extra.05" dataDxfId="35"/>
    <tableColumn id="77" xr3:uid="{00000000-0010-0000-0500-00004D000000}" name="C.Extra.06" dataDxfId="34"/>
    <tableColumn id="78" xr3:uid="{00000000-0010-0000-0500-00004E000000}" name="C.Extra.07" dataDxfId="33"/>
    <tableColumn id="79" xr3:uid="{00000000-0010-0000-0500-00004F000000}" name="C.Extra.08" dataDxfId="32"/>
    <tableColumn id="101" xr3:uid="{4B2252A0-FF6F-DD49-9FA2-A0F0F6F97F25}" name="C.Extra.09" dataDxfId="31"/>
    <tableColumn id="100" xr3:uid="{1D16C26F-E780-B14A-A74B-6B9F5749768F}" name="C.Extra.10" dataDxfId="30"/>
    <tableColumn id="80" xr3:uid="{00000000-0010-0000-0500-000050000000}" name="C.Extra.11" dataDxfId="29"/>
    <tableColumn id="257" xr3:uid="{00000000-0010-0000-0500-000001010000}" name="F.ini.cal" dataDxfId="28">
      <calculatedColumnFormula>+MAX($D$3,DATOS_[[#This Row],[Fecha Inicio Sit. Contract.]])</calculatedColumnFormula>
    </tableColumn>
    <tableColumn id="258" xr3:uid="{00000000-0010-0000-0500-000002010000}" name="F.fin.cal" dataDxfId="27">
      <calculatedColumnFormula>+MIN($D$4,DATOS_[[#This Row],[Fecha Fin Sit. Contract.]])</calculatedColumnFormula>
    </tableColumn>
    <tableColumn id="259" xr3:uid="{00000000-0010-0000-0500-000003010000}" name="% normaliz" dataDxfId="26" dataCellStyle="Porcentaje">
      <calculatedColumnFormula>+DATOS_[[#This Row],[% de jornada]]*IF(DATOS_[[#This Row],[% jornada reducida]]="",1,DATOS_[[#This Row],[% jornada reducida]])</calculatedColumnFormula>
    </tableColumn>
    <tableColumn id="260" xr3:uid="{00000000-0010-0000-0500-000004010000}" name="% anualiz" dataDxfId="25" dataCellStyle="Porcentaje">
      <calculatedColumnFormula>+(DATOS_[[#This Row],[F.fin.cal]]-DATOS_[[#This Row],[F.ini.cal]]+1)/($D$4-$D$3+1)</calculatedColumnFormula>
    </tableColumn>
    <tableColumn id="28" xr3:uid="{00000000-0010-0000-0500-00001C000000}" name="Check Periodo Ref." dataDxfId="24" dataCellStyle="Porcentaje">
      <calculatedColumnFormula>IF(OR(AND(DATOS_[[#This Row],[Fecha Fin Contrato]]&lt;$D$3,DATOS_[[#This Row],[Fecha Fin Contrato]]&lt;&gt;""),DATOS_[[#This Row],[Fecha de Contratación]]&gt;$D$4),"Fuera","Dentro")</calculatedColumnFormula>
    </tableColumn>
    <tableColumn id="27" xr3:uid="{00000000-0010-0000-0500-00001B000000}" name="Check Equiparado" dataDxfId="23" dataCellStyle="Porcentaje">
      <calculatedColumnFormula array="1">IF(MAX(IF(DATOS_[id/cod]=DATOS_[[#This Row],[id/cod]],DATOS_[F.fin.cal]))=DATOS_[[#This Row],[F.fin.cal]],"Sí","NO")</calculatedColumnFormula>
    </tableColumn>
    <tableColumn id="81" xr3:uid="{00000000-0010-0000-0500-000051000000}" name="Check Nº SC Norm" dataDxfId="22" dataCellStyle="Porcentaje">
      <calculatedColumnFormula>IF(AND(DATOS_[[#This Row],[% normaliz]]&lt;&gt;1,DATOS_[[#This Row],[% anualiz]]=1),"Sí","NO")</calculatedColumnFormula>
    </tableColumn>
    <tableColumn id="44" xr3:uid="{00000000-0010-0000-0500-00002C000000}" name="Check Nº SC Anualiz" dataDxfId="21" dataCellStyle="Porcentaje">
      <calculatedColumnFormula>IF(AND(DATOS_[[#This Row],[% normaliz]]=1,DATOS_[[#This Row],[% anualiz]]&lt;&gt;1),"Sí","NO")</calculatedColumnFormula>
    </tableColumn>
    <tableColumn id="38" xr3:uid="{00000000-0010-0000-0500-000026000000}" name="Check Nº SC Norm y Anualiz" dataDxfId="20" dataCellStyle="Porcentaje">
      <calculatedColumnFormula>IF(AND(DATOS_[[#This Row],[% normaliz]]&lt;&gt;1,DATOS_[[#This Row],[% anualiz]]&lt;&gt;1),"Sí","NO")</calculatedColumnFormula>
    </tableColumn>
    <tableColumn id="29" xr3:uid="{00000000-0010-0000-0500-00001D000000}" name="Check Equiparación" dataDxfId="19" dataCellStyle="Porcentaje">
      <calculatedColumnFormula>+IF(DATOS_[[#This Row],[% normaliz]]*DATOS_[[#This Row],[% anualiz]]=1,"NO","Sí")</calculatedColumnFormula>
    </tableColumn>
    <tableColumn id="39" xr3:uid="{00000000-0010-0000-0500-000027000000}" name="SALARIO BASE Eq" dataDxfId="18">
      <calculatedColumnFormula>(DATOS_[[#This Row],[S.BASE]]*(1/DATOS_[[#This Row],[% normaliz]])*(1/DATOS_[[#This Row],[% anualiz]]))*IF(DATOS_[[#This Row],[Check Equiparado]]="Sí",1,0)</calculatedColumnFormula>
    </tableColumn>
    <tableColumn id="33" xr3:uid="{00000000-0010-0000-0500-000021000000}" name="Tot COMPL.SAL Eq" dataDxfId="17">
      <calculatedColumnFormula>(SUMPRODUCT((RngTipo=$CS$7)*(rngAnualizable="Sí")*(rngNormalizable="Sí")*(DATOS_[[#This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calculatedColumnFormula>
    </tableColumn>
    <tableColumn id="11" xr3:uid="{00000000-0010-0000-0500-00000B000000}" name="TOTAL SALARIO Eq" dataDxfId="16">
      <calculatedColumnFormula>+DATOS_[[#This Row],[SALARIO BASE Eq]]+DATOS_[[#This Row],[Tot COMPL.SAL Eq]]</calculatedColumnFormula>
    </tableColumn>
    <tableColumn id="30" xr3:uid="{00000000-0010-0000-0500-00001E000000}" name="Tot Extrasalarial Eq" dataDxfId="15">
      <calculatedColumnFormula array="1">(SUMPRODUCT((RngTipo=$CU$7)*(rngAnualizable="Sí")*(rngNormalizable="Sí")*(DATOS_[[#This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calculatedColumnFormula>
    </tableColumn>
    <tableColumn id="31" xr3:uid="{00000000-0010-0000-0500-00001F000000}" name="TOTAL Retrib Eq" dataDxfId="14">
      <calculatedColumnFormula>+DATOS_[[#This Row],[TOTAL SALARIO Eq]]+DATOS_[[#This Row],[Tot Extrasalarial Eq]]</calculatedColumnFormula>
    </tableColumn>
    <tableColumn id="246" xr3:uid="{00000000-0010-0000-0500-0000F6000000}" name="SALARIO BASE Ef" dataDxfId="13">
      <calculatedColumnFormula>DATOS_[[#This Row],[S.BASE]]</calculatedColumnFormula>
    </tableColumn>
    <tableColumn id="248" xr3:uid="{00000000-0010-0000-0500-0000F8000000}" name="Tot COMPL.SAL Ef" dataDxfId="12">
      <calculatedColumnFormula>+SUM(DATOS_[[#This Row],[Conc.Sal.01]:[Conc.Sal.30]])</calculatedColumnFormula>
    </tableColumn>
    <tableColumn id="249" xr3:uid="{00000000-0010-0000-0500-0000F9000000}" name="TOTAL SALARIO Ef" dataDxfId="11">
      <calculatedColumnFormula>+DATOS_[[#This Row],[SALARIO BASE Ef]]+DATOS_[[#This Row],[Tot COMPL.SAL Ef]]</calculatedColumnFormula>
    </tableColumn>
    <tableColumn id="250" xr3:uid="{00000000-0010-0000-0500-0000FA000000}" name="Tot Extrasalarial Ef" dataDxfId="10">
      <calculatedColumnFormula>+SUM(DATOS_[[#This Row],[C.Extra.01]:[C.Extra.11]])</calculatedColumnFormula>
    </tableColumn>
    <tableColumn id="251" xr3:uid="{00000000-0010-0000-0500-0000FB000000}" name="TOTAL Retrib Ef" dataDxfId="9">
      <calculatedColumnFormula>+DATOS_[[#This Row],[TOTAL SALARIO Ef]]+DATOS_[[#This Row],[Tot Extrasalarial Ef]]</calculatedColumnFormula>
    </tableColumn>
    <tableColumn id="42" xr3:uid="{00000000-0010-0000-0500-00002A000000}" name="DIAS TRABAJ. EN EL AÑO" dataDxfId="8">
      <calculatedColumnFormula>MIN(IF(DATOS_[[#This Row],[Fecha Fin Contrato]]="",$D$4,DATOS_[[#This Row],[Fecha Fin Contrato]]),$D$4)-MAX(DATOS_[[#This Row],[Fecha de Contratación]],$D$3)+1</calculatedColumnFormula>
    </tableColumn>
    <tableColumn id="43" xr3:uid="{00000000-0010-0000-0500-00002B000000}" name="REPET." dataDxfId="7">
      <calculatedColumnFormula>IF(COUNTIFS(DATOS_[id/cod],DATOS_[[#This Row],[id/cod]])&gt;1,DATOS_[[#This Row],[id/cod]],"")</calculatedColumnFormula>
    </tableColumn>
    <tableColumn id="49" xr3:uid="{00000000-0010-0000-0500-000031000000}" name="Edad" dataDxfId="6">
      <calculatedColumnFormula>(Inicio!$G$10-DATOS_[[#This Row],[Fecha Nacimiento]])/365.25</calculatedColumnFormula>
    </tableColumn>
    <tableColumn id="50" xr3:uid="{00000000-0010-0000-0500-000032000000}" name="Antigüedad" dataDxfId="5">
      <calculatedColumnFormula>(Inicio!$G$10-DATOS_[[#This Row],[Fecha de Antigüedad]])/365.25</calculatedColumnFormula>
    </tableColumn>
    <tableColumn id="51" xr3:uid="{00000000-0010-0000-0500-000033000000}" name="Jornada" dataDxfId="4">
      <calculatedColumnFormula>+VLOOKUP(DATOS_[[#This Row],[Clave de Contrato]],TblTiposContrato13[],3,FALSE)</calculatedColumnFormula>
    </tableColumn>
    <tableColumn id="52" xr3:uid="{00000000-0010-0000-0500-000034000000}" name="Contrato" dataDxfId="3">
      <calculatedColumnFormula>+VLOOKUP(DATOS_[[#This Row],[Clave de Contrato]],TblTiposContrato13[],4,FALSE)</calculatedColumnFormula>
    </tableColumn>
    <tableColumn id="53" xr3:uid="{00000000-0010-0000-0500-000035000000}" name="Intervalo Edad" dataDxfId="2">
      <calculatedColumnFormula>VLOOKUP(DATOS_[[#This Row],[Edad]],CONTRATOS!TblRngEdad,2,TRUE)</calculatedColumnFormula>
    </tableColumn>
    <tableColumn id="54" xr3:uid="{00000000-0010-0000-0500-000036000000}" name="Intervalo Antigüedad" dataDxfId="1">
      <calculatedColumnFormula>VLOOKUP(DATOS_[[#This Row],[Antigüedad]],TblRngAntg14[],2,TRUE)</calculatedColumnFormula>
    </tableColumn>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6000000}" name="TblTiposContrato13" displayName="TblTiposContrato13" ref="D4:G47" totalsRowShown="0" headerRowDxfId="135" dataDxfId="134" tableBorderDxfId="133">
  <autoFilter ref="D4:G47" xr:uid="{00000000-0009-0000-0100-00000C000000}"/>
  <sortState xmlns:xlrd2="http://schemas.microsoft.com/office/spreadsheetml/2017/richdata2" ref="D5:G47">
    <sortCondition ref="D4:D47"/>
  </sortState>
  <tableColumns count="4">
    <tableColumn id="1" xr3:uid="{00000000-0010-0000-0600-000001000000}" name="Valor" dataDxfId="132"/>
    <tableColumn id="2" xr3:uid="{00000000-0010-0000-0600-000002000000}" name="Descripción" dataDxfId="131"/>
    <tableColumn id="3" xr3:uid="{00000000-0010-0000-0600-000003000000}" name="Jornada" dataDxfId="130"/>
    <tableColumn id="4" xr3:uid="{00000000-0010-0000-0600-000004000000}" name="Contrato" dataDxfId="129"/>
  </tableColumns>
  <tableStyleInfo name="TableStyleLight1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7000000}" name="TblRngAntg14" displayName="TblRngAntg14" ref="J4:K10" totalsRowShown="0" headerRowDxfId="128" dataDxfId="127">
  <autoFilter ref="J4:K10" xr:uid="{00000000-0009-0000-0100-00000D000000}"/>
  <sortState xmlns:xlrd2="http://schemas.microsoft.com/office/spreadsheetml/2017/richdata2" ref="J5:K9">
    <sortCondition ref="J3:J8"/>
  </sortState>
  <tableColumns count="2">
    <tableColumn id="3" xr3:uid="{00000000-0010-0000-0700-000003000000}" name="límite inferior" dataDxfId="126"/>
    <tableColumn id="1" xr3:uid="{00000000-0010-0000-0700-000001000000}" name="Nombre Rango" dataDxfId="125"/>
  </tableColumns>
  <tableStyleInfo name="TableStyleLight10"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8000000}" name="TblRangEdad15" displayName="TblRangEdad15" ref="M4:N14" totalsRowShown="0" headerRowDxfId="124" dataDxfId="123">
  <autoFilter ref="M4:N14" xr:uid="{00000000-0009-0000-0100-00000E000000}"/>
  <tableColumns count="2">
    <tableColumn id="1" xr3:uid="{00000000-0010-0000-0800-000001000000}" name="límite inferior" dataDxfId="122"/>
    <tableColumn id="2" xr3:uid="{00000000-0010-0000-0800-000002000000}" name="Nombre Rango" dataDxfId="121"/>
  </tableColumns>
  <tableStyleInfo name="TableStyleLight10"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9000000}" name="TblReduccionJorn16" displayName="TblReduccionJorn16" ref="P4:Q9" totalsRowShown="0" headerRowDxfId="120" dataDxfId="119" headerRowCellStyle="Énfasis5">
  <autoFilter ref="P4:Q9" xr:uid="{00000000-0009-0000-0100-00000F000000}"/>
  <tableColumns count="2">
    <tableColumn id="1" xr3:uid="{00000000-0010-0000-0900-000001000000}" name="Valor" dataDxfId="118"/>
    <tableColumn id="2" xr3:uid="{00000000-0010-0000-0900-000002000000}" name="Descripción" dataDxfId="117"/>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seg-social.es/wps/portal/wss/internet/Trabajadores/CotizacionRecaudacionTrabajadores/36537"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1drv.ms/x/c/647c3dd1704fddca/EfgNIrSrV3dEqWnkOVHsvBAB1GNmqsUf9qVAvxBcBBrgYQ?e=9x2n6D" TargetMode="External"/><Relationship Id="rId4" Type="http://schemas.openxmlformats.org/officeDocument/2006/relationships/table" Target="../tables/table6.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pageSetUpPr fitToPage="1"/>
  </sheetPr>
  <dimension ref="B1:J22"/>
  <sheetViews>
    <sheetView showGridLines="0" zoomScaleNormal="100" workbookViewId="0">
      <selection activeCell="N21" sqref="N21"/>
    </sheetView>
  </sheetViews>
  <sheetFormatPr baseColWidth="10" defaultColWidth="11.44140625" defaultRowHeight="13.8" x14ac:dyDescent="0.25"/>
  <cols>
    <col min="1" max="1" width="11.44140625" style="1"/>
    <col min="2" max="13" width="13.88671875" style="1" customWidth="1"/>
    <col min="14" max="16384" width="11.44140625" style="1"/>
  </cols>
  <sheetData>
    <row r="1" spans="2:10" ht="89.25" customHeight="1" x14ac:dyDescent="0.25"/>
    <row r="2" spans="2:10" ht="53.4" customHeight="1" x14ac:dyDescent="0.25"/>
    <row r="6" spans="2:10" x14ac:dyDescent="0.25">
      <c r="B6" s="2" t="s">
        <v>0</v>
      </c>
      <c r="C6" s="305" t="s">
        <v>1</v>
      </c>
      <c r="D6" s="306"/>
      <c r="E6" s="306"/>
      <c r="F6" s="306"/>
      <c r="G6" s="306"/>
      <c r="H6" s="307"/>
    </row>
    <row r="7" spans="2:10" ht="5.4" customHeight="1" x14ac:dyDescent="0.25">
      <c r="B7" s="2"/>
      <c r="C7" s="3"/>
      <c r="D7" s="3"/>
      <c r="E7" s="4"/>
      <c r="F7" s="4"/>
      <c r="G7" s="4"/>
      <c r="H7" s="4"/>
    </row>
    <row r="8" spans="2:10" ht="14.4" x14ac:dyDescent="0.3">
      <c r="B8" s="5" t="s">
        <v>2</v>
      </c>
      <c r="C8" s="308" t="s">
        <v>3</v>
      </c>
      <c r="D8" s="309"/>
      <c r="J8" s="6"/>
    </row>
    <row r="9" spans="2:10" ht="5.4" customHeight="1" x14ac:dyDescent="0.25">
      <c r="B9" s="7"/>
    </row>
    <row r="10" spans="2:10" x14ac:dyDescent="0.25">
      <c r="B10" s="8" t="s">
        <v>4</v>
      </c>
      <c r="D10" s="9" t="s">
        <v>5</v>
      </c>
      <c r="E10" s="10">
        <v>45292</v>
      </c>
      <c r="F10" s="9" t="s">
        <v>6</v>
      </c>
      <c r="G10" s="10">
        <v>45657</v>
      </c>
      <c r="J10" s="6"/>
    </row>
    <row r="11" spans="2:10" ht="8.4" customHeight="1" x14ac:dyDescent="0.25"/>
    <row r="16" spans="2:10" ht="26.1" customHeight="1" x14ac:dyDescent="0.25">
      <c r="B16" s="11" t="s">
        <v>7</v>
      </c>
    </row>
    <row r="22" spans="2:2" ht="20.399999999999999" x14ac:dyDescent="0.25">
      <c r="B22" s="11" t="s">
        <v>8</v>
      </c>
    </row>
  </sheetData>
  <mergeCells count="2">
    <mergeCell ref="C6:H6"/>
    <mergeCell ref="C8:D8"/>
  </mergeCells>
  <pageMargins left="0.25" right="0.25" top="0.75" bottom="0.75" header="0.3" footer="0.3"/>
  <pageSetup paperSize="9" scale="88"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1">
    <tabColor theme="5" tint="0.39997558519241921"/>
    <pageSetUpPr fitToPage="1"/>
  </sheetPr>
  <dimension ref="D2:I63"/>
  <sheetViews>
    <sheetView showGridLines="0" zoomScale="90" zoomScaleNormal="90" workbookViewId="0">
      <selection activeCell="M16" sqref="M16"/>
    </sheetView>
  </sheetViews>
  <sheetFormatPr baseColWidth="10" defaultColWidth="11.44140625" defaultRowHeight="13.8" x14ac:dyDescent="0.25"/>
  <cols>
    <col min="1" max="1" width="8.6640625" style="1" customWidth="1"/>
    <col min="2" max="3" width="3.6640625" style="1" customWidth="1"/>
    <col min="4" max="4" width="16.109375" style="1" customWidth="1"/>
    <col min="5" max="5" width="19.44140625" style="1" customWidth="1"/>
    <col min="6" max="6" width="4.6640625" style="1" bestFit="1" customWidth="1"/>
    <col min="7" max="7" width="109.109375" style="1" customWidth="1"/>
    <col min="8" max="8" width="16.6640625" style="1" customWidth="1"/>
    <col min="9" max="9" width="16.88671875" style="1" customWidth="1"/>
    <col min="10" max="16384" width="11.44140625" style="1"/>
  </cols>
  <sheetData>
    <row r="2" spans="4:9" ht="14.4" thickBot="1" x14ac:dyDescent="0.3"/>
    <row r="3" spans="4:9" x14ac:dyDescent="0.25">
      <c r="D3" s="310" t="s">
        <v>9</v>
      </c>
      <c r="E3" s="310" t="s">
        <v>10</v>
      </c>
      <c r="F3" s="12" t="s">
        <v>11</v>
      </c>
      <c r="G3" s="310" t="s">
        <v>12</v>
      </c>
      <c r="H3" s="310" t="s">
        <v>13</v>
      </c>
      <c r="I3" s="310" t="s">
        <v>14</v>
      </c>
    </row>
    <row r="4" spans="4:9" ht="14.4" thickBot="1" x14ac:dyDescent="0.3">
      <c r="D4" s="311"/>
      <c r="E4" s="311"/>
      <c r="F4" s="13" t="s">
        <v>15</v>
      </c>
      <c r="G4" s="311"/>
      <c r="H4" s="311"/>
      <c r="I4" s="311"/>
    </row>
    <row r="5" spans="4:9" ht="14.4" thickBot="1" x14ac:dyDescent="0.3">
      <c r="D5" s="14" t="s">
        <v>16</v>
      </c>
      <c r="E5" s="15" t="s">
        <v>17</v>
      </c>
      <c r="F5" s="15" t="s">
        <v>18</v>
      </c>
      <c r="G5" s="16" t="s">
        <v>19</v>
      </c>
      <c r="H5" s="15" t="s">
        <v>20</v>
      </c>
      <c r="I5" s="17"/>
    </row>
    <row r="6" spans="4:9" ht="14.4" thickBot="1" x14ac:dyDescent="0.3">
      <c r="D6" s="14" t="s">
        <v>21</v>
      </c>
      <c r="E6" s="18" t="s">
        <v>17</v>
      </c>
      <c r="F6" s="18" t="s">
        <v>18</v>
      </c>
      <c r="G6" s="19" t="s">
        <v>22</v>
      </c>
      <c r="H6" s="18" t="s">
        <v>23</v>
      </c>
      <c r="I6" s="18" t="s">
        <v>24</v>
      </c>
    </row>
    <row r="7" spans="4:9" ht="27" thickBot="1" x14ac:dyDescent="0.3">
      <c r="D7" s="14" t="s">
        <v>25</v>
      </c>
      <c r="E7" s="15" t="s">
        <v>17</v>
      </c>
      <c r="F7" s="17"/>
      <c r="G7" s="16" t="s">
        <v>26</v>
      </c>
      <c r="H7" s="15" t="s">
        <v>27</v>
      </c>
      <c r="I7" s="15" t="s">
        <v>28</v>
      </c>
    </row>
    <row r="8" spans="4:9" ht="14.4" thickBot="1" x14ac:dyDescent="0.3">
      <c r="D8" s="14" t="s">
        <v>29</v>
      </c>
      <c r="E8" s="18" t="s">
        <v>17</v>
      </c>
      <c r="F8" s="20"/>
      <c r="G8" s="19" t="s">
        <v>30</v>
      </c>
      <c r="H8" s="18" t="s">
        <v>23</v>
      </c>
      <c r="I8" s="20"/>
    </row>
    <row r="9" spans="4:9" ht="40.200000000000003" thickBot="1" x14ac:dyDescent="0.3">
      <c r="D9" s="14" t="s">
        <v>31</v>
      </c>
      <c r="E9" s="15" t="s">
        <v>17</v>
      </c>
      <c r="F9" s="17"/>
      <c r="G9" s="16" t="s">
        <v>32</v>
      </c>
      <c r="H9" s="15" t="s">
        <v>20</v>
      </c>
      <c r="I9" s="15" t="s">
        <v>33</v>
      </c>
    </row>
    <row r="10" spans="4:9" ht="14.4" thickBot="1" x14ac:dyDescent="0.3">
      <c r="D10" s="14" t="s">
        <v>34</v>
      </c>
      <c r="E10" s="18" t="s">
        <v>17</v>
      </c>
      <c r="F10" s="20"/>
      <c r="G10" s="19" t="s">
        <v>35</v>
      </c>
      <c r="H10" s="18" t="s">
        <v>20</v>
      </c>
      <c r="I10" s="20"/>
    </row>
    <row r="11" spans="4:9" ht="27" thickBot="1" x14ac:dyDescent="0.3">
      <c r="D11" s="21" t="s">
        <v>36</v>
      </c>
      <c r="E11" s="15" t="s">
        <v>37</v>
      </c>
      <c r="F11" s="15" t="s">
        <v>18</v>
      </c>
      <c r="G11" s="16" t="s">
        <v>38</v>
      </c>
      <c r="H11" s="15" t="s">
        <v>27</v>
      </c>
      <c r="I11" s="15" t="s">
        <v>28</v>
      </c>
    </row>
    <row r="12" spans="4:9" ht="27" thickBot="1" x14ac:dyDescent="0.3">
      <c r="D12" s="21" t="s">
        <v>39</v>
      </c>
      <c r="E12" s="18" t="s">
        <v>37</v>
      </c>
      <c r="F12" s="18" t="s">
        <v>18</v>
      </c>
      <c r="G12" s="19" t="s">
        <v>40</v>
      </c>
      <c r="H12" s="18" t="s">
        <v>27</v>
      </c>
      <c r="I12" s="18" t="s">
        <v>28</v>
      </c>
    </row>
    <row r="13" spans="4:9" ht="27" thickBot="1" x14ac:dyDescent="0.3">
      <c r="D13" s="21" t="s">
        <v>41</v>
      </c>
      <c r="E13" s="15" t="s">
        <v>37</v>
      </c>
      <c r="F13" s="17"/>
      <c r="G13" s="16" t="s">
        <v>42</v>
      </c>
      <c r="H13" s="15" t="s">
        <v>27</v>
      </c>
      <c r="I13" s="15" t="s">
        <v>28</v>
      </c>
    </row>
    <row r="14" spans="4:9" ht="27" thickBot="1" x14ac:dyDescent="0.3">
      <c r="D14" s="21" t="s">
        <v>43</v>
      </c>
      <c r="E14" s="18" t="s">
        <v>37</v>
      </c>
      <c r="F14" s="18" t="s">
        <v>18</v>
      </c>
      <c r="G14" s="19" t="s">
        <v>44</v>
      </c>
      <c r="H14" s="18" t="s">
        <v>27</v>
      </c>
      <c r="I14" s="18" t="s">
        <v>28</v>
      </c>
    </row>
    <row r="15" spans="4:9" ht="27" thickBot="1" x14ac:dyDescent="0.3">
      <c r="D15" s="21" t="s">
        <v>45</v>
      </c>
      <c r="E15" s="15" t="s">
        <v>37</v>
      </c>
      <c r="F15" s="15" t="s">
        <v>18</v>
      </c>
      <c r="G15" s="16" t="s">
        <v>46</v>
      </c>
      <c r="H15" s="15" t="s">
        <v>27</v>
      </c>
      <c r="I15" s="15" t="s">
        <v>28</v>
      </c>
    </row>
    <row r="16" spans="4:9" ht="53.4" thickBot="1" x14ac:dyDescent="0.3">
      <c r="D16" s="21" t="s">
        <v>47</v>
      </c>
      <c r="E16" s="18" t="s">
        <v>37</v>
      </c>
      <c r="F16" s="18" t="s">
        <v>18</v>
      </c>
      <c r="G16" s="19" t="s">
        <v>48</v>
      </c>
      <c r="H16" s="18" t="s">
        <v>49</v>
      </c>
      <c r="I16" s="18" t="s">
        <v>50</v>
      </c>
    </row>
    <row r="17" spans="4:9" ht="40.200000000000003" thickBot="1" x14ac:dyDescent="0.3">
      <c r="D17" s="21" t="s">
        <v>51</v>
      </c>
      <c r="E17" s="15" t="s">
        <v>37</v>
      </c>
      <c r="F17" s="22" t="s">
        <v>18</v>
      </c>
      <c r="G17" s="17" t="s">
        <v>52</v>
      </c>
      <c r="H17" s="22" t="s">
        <v>49</v>
      </c>
      <c r="I17" s="22" t="s">
        <v>50</v>
      </c>
    </row>
    <row r="18" spans="4:9" ht="42" thickBot="1" x14ac:dyDescent="0.3">
      <c r="D18" s="21" t="s">
        <v>53</v>
      </c>
      <c r="E18" s="18" t="s">
        <v>37</v>
      </c>
      <c r="F18" s="20"/>
      <c r="G18" s="19" t="s">
        <v>54</v>
      </c>
      <c r="H18" s="18" t="s">
        <v>23</v>
      </c>
      <c r="I18" s="23" t="s">
        <v>55</v>
      </c>
    </row>
    <row r="19" spans="4:9" ht="28.2" thickBot="1" x14ac:dyDescent="0.3">
      <c r="D19" s="24" t="s">
        <v>56</v>
      </c>
      <c r="E19" s="15" t="s">
        <v>37</v>
      </c>
      <c r="F19" s="17"/>
      <c r="G19" s="16" t="s">
        <v>57</v>
      </c>
      <c r="H19" s="15" t="s">
        <v>20</v>
      </c>
      <c r="I19" s="25" t="s">
        <v>58</v>
      </c>
    </row>
    <row r="20" spans="4:9" ht="27" thickBot="1" x14ac:dyDescent="0.3">
      <c r="D20" s="26" t="s">
        <v>59</v>
      </c>
      <c r="E20" s="18" t="s">
        <v>60</v>
      </c>
      <c r="F20" s="20"/>
      <c r="G20" s="19" t="s">
        <v>61</v>
      </c>
      <c r="H20" s="18" t="s">
        <v>23</v>
      </c>
      <c r="I20" s="18" t="s">
        <v>62</v>
      </c>
    </row>
    <row r="21" spans="4:9" ht="14.4" thickBot="1" x14ac:dyDescent="0.3">
      <c r="D21" s="26" t="s">
        <v>63</v>
      </c>
      <c r="E21" s="15" t="s">
        <v>60</v>
      </c>
      <c r="F21" s="17"/>
      <c r="G21" s="16" t="s">
        <v>64</v>
      </c>
      <c r="H21" s="15" t="s">
        <v>23</v>
      </c>
      <c r="I21" s="15" t="s">
        <v>62</v>
      </c>
    </row>
    <row r="22" spans="4:9" ht="27" thickBot="1" x14ac:dyDescent="0.3">
      <c r="D22" s="26" t="s">
        <v>65</v>
      </c>
      <c r="E22" s="18" t="s">
        <v>60</v>
      </c>
      <c r="F22" s="18" t="s">
        <v>18</v>
      </c>
      <c r="G22" s="19" t="s">
        <v>66</v>
      </c>
      <c r="H22" s="18" t="s">
        <v>23</v>
      </c>
      <c r="I22" s="18" t="s">
        <v>62</v>
      </c>
    </row>
    <row r="23" spans="4:9" ht="40.200000000000003" thickBot="1" x14ac:dyDescent="0.3">
      <c r="D23" s="26" t="s">
        <v>67</v>
      </c>
      <c r="E23" s="15" t="s">
        <v>60</v>
      </c>
      <c r="F23" s="17"/>
      <c r="G23" s="16" t="s">
        <v>68</v>
      </c>
      <c r="H23" s="15" t="s">
        <v>23</v>
      </c>
      <c r="I23" s="15" t="s">
        <v>69</v>
      </c>
    </row>
    <row r="24" spans="4:9" ht="14.4" thickBot="1" x14ac:dyDescent="0.3">
      <c r="D24" s="26" t="s">
        <v>70</v>
      </c>
      <c r="E24" s="18" t="s">
        <v>60</v>
      </c>
      <c r="F24" s="20"/>
      <c r="G24" s="19" t="s">
        <v>71</v>
      </c>
      <c r="H24" s="18" t="s">
        <v>23</v>
      </c>
      <c r="I24" s="18" t="s">
        <v>72</v>
      </c>
    </row>
    <row r="25" spans="4:9" ht="14.4" thickBot="1" x14ac:dyDescent="0.3">
      <c r="D25" s="26" t="s">
        <v>73</v>
      </c>
      <c r="E25" s="15" t="s">
        <v>60</v>
      </c>
      <c r="F25" s="27" t="s">
        <v>74</v>
      </c>
      <c r="G25" s="16" t="s">
        <v>75</v>
      </c>
      <c r="H25" s="15" t="s">
        <v>23</v>
      </c>
      <c r="I25" s="15" t="s">
        <v>62</v>
      </c>
    </row>
    <row r="26" spans="4:9" ht="53.4" thickBot="1" x14ac:dyDescent="0.3">
      <c r="D26" s="28" t="s">
        <v>76</v>
      </c>
      <c r="E26" s="29" t="s">
        <v>60</v>
      </c>
      <c r="F26" s="29" t="s">
        <v>18</v>
      </c>
      <c r="G26" s="30" t="s">
        <v>77</v>
      </c>
      <c r="H26" s="29" t="s">
        <v>23</v>
      </c>
      <c r="I26" s="18" t="s">
        <v>78</v>
      </c>
    </row>
    <row r="27" spans="4:9" ht="52.8" x14ac:dyDescent="0.25">
      <c r="D27" s="28" t="s">
        <v>79</v>
      </c>
      <c r="E27" s="31" t="s">
        <v>60</v>
      </c>
      <c r="F27" s="31" t="s">
        <v>80</v>
      </c>
      <c r="G27" s="32" t="s">
        <v>81</v>
      </c>
      <c r="H27" s="31" t="s">
        <v>23</v>
      </c>
      <c r="I27" s="33" t="s">
        <v>82</v>
      </c>
    </row>
    <row r="28" spans="4:9" ht="27" thickBot="1" x14ac:dyDescent="0.3">
      <c r="D28" s="34" t="s">
        <v>83</v>
      </c>
      <c r="E28" s="18" t="s">
        <v>84</v>
      </c>
      <c r="F28" s="18" t="s">
        <v>18</v>
      </c>
      <c r="G28" s="19" t="s">
        <v>85</v>
      </c>
      <c r="H28" s="18" t="s">
        <v>23</v>
      </c>
      <c r="I28" s="18" t="s">
        <v>86</v>
      </c>
    </row>
    <row r="29" spans="4:9" ht="30.9" customHeight="1" thickBot="1" x14ac:dyDescent="0.3">
      <c r="D29" s="35" t="s">
        <v>87</v>
      </c>
      <c r="E29" s="15" t="s">
        <v>84</v>
      </c>
      <c r="F29" s="31" t="s">
        <v>80</v>
      </c>
      <c r="G29" s="16" t="s">
        <v>88</v>
      </c>
      <c r="H29" s="15" t="s">
        <v>23</v>
      </c>
      <c r="I29" s="15" t="s">
        <v>86</v>
      </c>
    </row>
    <row r="30" spans="4:9" ht="27" thickBot="1" x14ac:dyDescent="0.3">
      <c r="D30" s="34" t="s">
        <v>89</v>
      </c>
      <c r="E30" s="18" t="s">
        <v>84</v>
      </c>
      <c r="F30" s="18" t="s">
        <v>18</v>
      </c>
      <c r="G30" s="19" t="s">
        <v>90</v>
      </c>
      <c r="H30" s="18" t="s">
        <v>23</v>
      </c>
      <c r="I30" s="18" t="s">
        <v>86</v>
      </c>
    </row>
    <row r="31" spans="4:9" ht="27" thickBot="1" x14ac:dyDescent="0.3">
      <c r="D31" s="34" t="s">
        <v>91</v>
      </c>
      <c r="E31" s="15" t="s">
        <v>84</v>
      </c>
      <c r="F31" s="36" t="s">
        <v>74</v>
      </c>
      <c r="G31" s="16" t="s">
        <v>92</v>
      </c>
      <c r="H31" s="15" t="s">
        <v>23</v>
      </c>
      <c r="I31" s="15" t="s">
        <v>86</v>
      </c>
    </row>
    <row r="32" spans="4:9" ht="40.200000000000003" thickBot="1" x14ac:dyDescent="0.3">
      <c r="D32" s="37" t="s">
        <v>93</v>
      </c>
      <c r="E32" s="18" t="s">
        <v>94</v>
      </c>
      <c r="F32" s="20"/>
      <c r="G32" s="19" t="s">
        <v>95</v>
      </c>
      <c r="H32" s="18" t="s">
        <v>20</v>
      </c>
      <c r="I32" s="38" t="s">
        <v>96</v>
      </c>
    </row>
    <row r="33" spans="4:9" ht="27" thickBot="1" x14ac:dyDescent="0.3">
      <c r="D33" s="39" t="s">
        <v>97</v>
      </c>
      <c r="E33" s="15" t="s">
        <v>98</v>
      </c>
      <c r="F33" s="15" t="s">
        <v>18</v>
      </c>
      <c r="G33" s="16" t="s">
        <v>99</v>
      </c>
      <c r="H33" s="15" t="s">
        <v>100</v>
      </c>
      <c r="I33" s="17"/>
    </row>
    <row r="34" spans="4:9" ht="27" thickBot="1" x14ac:dyDescent="0.3">
      <c r="D34" s="40" t="s">
        <v>101</v>
      </c>
      <c r="E34" s="18" t="s">
        <v>98</v>
      </c>
      <c r="F34" s="18" t="s">
        <v>18</v>
      </c>
      <c r="G34" s="19" t="s">
        <v>102</v>
      </c>
      <c r="H34" s="18" t="s">
        <v>100</v>
      </c>
      <c r="I34" s="20"/>
    </row>
    <row r="35" spans="4:9" ht="27" thickBot="1" x14ac:dyDescent="0.3">
      <c r="D35" s="40" t="s">
        <v>103</v>
      </c>
      <c r="E35" s="15" t="s">
        <v>98</v>
      </c>
      <c r="F35" s="15" t="s">
        <v>18</v>
      </c>
      <c r="G35" s="16" t="s">
        <v>104</v>
      </c>
      <c r="H35" s="15" t="s">
        <v>100</v>
      </c>
      <c r="I35" s="17"/>
    </row>
    <row r="36" spans="4:9" ht="27" thickBot="1" x14ac:dyDescent="0.3">
      <c r="D36" s="40" t="s">
        <v>105</v>
      </c>
      <c r="E36" s="18" t="s">
        <v>98</v>
      </c>
      <c r="F36" s="18" t="s">
        <v>18</v>
      </c>
      <c r="G36" s="19" t="s">
        <v>106</v>
      </c>
      <c r="H36" s="18" t="s">
        <v>100</v>
      </c>
      <c r="I36" s="20"/>
    </row>
    <row r="37" spans="4:9" ht="27" thickBot="1" x14ac:dyDescent="0.3">
      <c r="D37" s="40" t="s">
        <v>107</v>
      </c>
      <c r="E37" s="15" t="s">
        <v>98</v>
      </c>
      <c r="F37" s="15" t="s">
        <v>18</v>
      </c>
      <c r="G37" s="16" t="s">
        <v>108</v>
      </c>
      <c r="H37" s="15" t="s">
        <v>100</v>
      </c>
      <c r="I37" s="17"/>
    </row>
    <row r="38" spans="4:9" ht="27" thickBot="1" x14ac:dyDescent="0.3">
      <c r="D38" s="40" t="s">
        <v>109</v>
      </c>
      <c r="E38" s="18" t="s">
        <v>98</v>
      </c>
      <c r="F38" s="18" t="s">
        <v>18</v>
      </c>
      <c r="G38" s="19" t="s">
        <v>110</v>
      </c>
      <c r="H38" s="18" t="s">
        <v>100</v>
      </c>
      <c r="I38" s="20"/>
    </row>
    <row r="39" spans="4:9" ht="14.4" thickBot="1" x14ac:dyDescent="0.3">
      <c r="D39" s="40" t="s">
        <v>111</v>
      </c>
      <c r="E39" s="15" t="s">
        <v>111</v>
      </c>
      <c r="F39" s="15" t="s">
        <v>111</v>
      </c>
      <c r="G39" s="16" t="s">
        <v>111</v>
      </c>
      <c r="H39" s="17"/>
      <c r="I39" s="17"/>
    </row>
    <row r="40" spans="4:9" ht="27" thickBot="1" x14ac:dyDescent="0.3">
      <c r="D40" s="40" t="s">
        <v>112</v>
      </c>
      <c r="E40" s="18" t="s">
        <v>98</v>
      </c>
      <c r="F40" s="18" t="s">
        <v>18</v>
      </c>
      <c r="G40" s="19" t="s">
        <v>113</v>
      </c>
      <c r="H40" s="18" t="s">
        <v>100</v>
      </c>
      <c r="I40" s="20"/>
    </row>
    <row r="41" spans="4:9" ht="27" thickBot="1" x14ac:dyDescent="0.3">
      <c r="D41" s="41" t="s">
        <v>114</v>
      </c>
      <c r="E41" s="15" t="s">
        <v>98</v>
      </c>
      <c r="F41" s="15" t="s">
        <v>18</v>
      </c>
      <c r="G41" s="16" t="s">
        <v>115</v>
      </c>
      <c r="H41" s="15" t="s">
        <v>100</v>
      </c>
      <c r="I41" s="17"/>
    </row>
    <row r="42" spans="4:9" ht="14.4" thickBot="1" x14ac:dyDescent="0.3">
      <c r="D42" s="41" t="s">
        <v>111</v>
      </c>
      <c r="E42" s="18" t="s">
        <v>111</v>
      </c>
      <c r="F42" s="18" t="s">
        <v>111</v>
      </c>
      <c r="G42" s="19" t="s">
        <v>111</v>
      </c>
      <c r="H42" s="18" t="s">
        <v>100</v>
      </c>
      <c r="I42" s="20"/>
    </row>
    <row r="43" spans="4:9" ht="27" thickBot="1" x14ac:dyDescent="0.3">
      <c r="D43" s="41" t="s">
        <v>116</v>
      </c>
      <c r="E43" s="15" t="s">
        <v>98</v>
      </c>
      <c r="F43" s="15" t="s">
        <v>18</v>
      </c>
      <c r="G43" s="16" t="s">
        <v>117</v>
      </c>
      <c r="H43" s="15" t="s">
        <v>100</v>
      </c>
      <c r="I43" s="42"/>
    </row>
    <row r="44" spans="4:9" ht="14.4" thickBot="1" x14ac:dyDescent="0.3">
      <c r="D44" s="43" t="s">
        <v>118</v>
      </c>
      <c r="E44" s="18" t="s">
        <v>119</v>
      </c>
      <c r="F44" s="20"/>
      <c r="G44" s="19" t="s">
        <v>120</v>
      </c>
      <c r="H44" s="18" t="s">
        <v>27</v>
      </c>
      <c r="I44" s="18" t="s">
        <v>28</v>
      </c>
    </row>
    <row r="45" spans="4:9" ht="14.4" thickBot="1" x14ac:dyDescent="0.3">
      <c r="D45" s="43" t="s">
        <v>121</v>
      </c>
      <c r="E45" s="15" t="s">
        <v>119</v>
      </c>
      <c r="F45" s="17"/>
      <c r="G45" s="16" t="s">
        <v>122</v>
      </c>
      <c r="H45" s="15" t="s">
        <v>27</v>
      </c>
      <c r="I45" s="15" t="s">
        <v>28</v>
      </c>
    </row>
    <row r="46" spans="4:9" ht="27" thickBot="1" x14ac:dyDescent="0.3">
      <c r="D46" s="44" t="s">
        <v>123</v>
      </c>
      <c r="E46" s="18" t="s">
        <v>119</v>
      </c>
      <c r="F46" s="20"/>
      <c r="G46" s="19" t="s">
        <v>124</v>
      </c>
      <c r="H46" s="45" t="s">
        <v>49</v>
      </c>
      <c r="I46" s="45" t="s">
        <v>50</v>
      </c>
    </row>
    <row r="47" spans="4:9" ht="27" thickBot="1" x14ac:dyDescent="0.3">
      <c r="D47" s="46" t="s">
        <v>125</v>
      </c>
      <c r="E47" s="15" t="s">
        <v>119</v>
      </c>
      <c r="F47" s="17"/>
      <c r="G47" s="16" t="s">
        <v>126</v>
      </c>
      <c r="H47" s="22" t="s">
        <v>49</v>
      </c>
      <c r="I47" s="22" t="s">
        <v>50</v>
      </c>
    </row>
    <row r="48" spans="4:9" ht="26.4" customHeight="1" thickBot="1" x14ac:dyDescent="0.3">
      <c r="D48" s="47" t="s">
        <v>127</v>
      </c>
      <c r="E48" s="18" t="s">
        <v>119</v>
      </c>
      <c r="F48" s="20"/>
      <c r="G48" s="19" t="s">
        <v>128</v>
      </c>
      <c r="H48" s="18" t="s">
        <v>23</v>
      </c>
      <c r="I48" s="18" t="s">
        <v>129</v>
      </c>
    </row>
    <row r="49" spans="4:9" ht="26.4" customHeight="1" thickBot="1" x14ac:dyDescent="0.3">
      <c r="D49" s="47" t="s">
        <v>130</v>
      </c>
      <c r="E49" s="15" t="s">
        <v>119</v>
      </c>
      <c r="F49" s="17"/>
      <c r="G49" s="16" t="s">
        <v>131</v>
      </c>
      <c r="H49" s="15" t="s">
        <v>23</v>
      </c>
      <c r="I49" s="15" t="s">
        <v>132</v>
      </c>
    </row>
    <row r="50" spans="4:9" ht="26.4" customHeight="1" thickBot="1" x14ac:dyDescent="0.3">
      <c r="D50" s="47" t="s">
        <v>133</v>
      </c>
      <c r="E50" s="18" t="s">
        <v>119</v>
      </c>
      <c r="F50" s="18"/>
      <c r="G50" s="19" t="s">
        <v>134</v>
      </c>
      <c r="H50" s="18" t="s">
        <v>23</v>
      </c>
      <c r="I50" s="18" t="s">
        <v>132</v>
      </c>
    </row>
    <row r="51" spans="4:9" ht="26.4" customHeight="1" thickBot="1" x14ac:dyDescent="0.3">
      <c r="D51" s="47" t="s">
        <v>135</v>
      </c>
      <c r="E51" s="15" t="s">
        <v>119</v>
      </c>
      <c r="F51" s="15"/>
      <c r="G51" s="16" t="s">
        <v>136</v>
      </c>
      <c r="H51" s="15" t="s">
        <v>23</v>
      </c>
      <c r="I51" s="15" t="s">
        <v>132</v>
      </c>
    </row>
    <row r="52" spans="4:9" ht="26.4" customHeight="1" thickBot="1" x14ac:dyDescent="0.3">
      <c r="D52" s="47" t="s">
        <v>137</v>
      </c>
      <c r="E52" s="48" t="s">
        <v>119</v>
      </c>
      <c r="F52" s="48"/>
      <c r="G52" s="49" t="s">
        <v>138</v>
      </c>
      <c r="H52" s="48" t="s">
        <v>23</v>
      </c>
      <c r="I52" s="48" t="s">
        <v>132</v>
      </c>
    </row>
    <row r="53" spans="4:9" ht="26.4" customHeight="1" thickBot="1" x14ac:dyDescent="0.3">
      <c r="D53" s="47" t="s">
        <v>139</v>
      </c>
      <c r="E53" s="15" t="s">
        <v>119</v>
      </c>
      <c r="F53" s="17"/>
      <c r="G53" s="16" t="s">
        <v>140</v>
      </c>
      <c r="H53" s="15" t="s">
        <v>23</v>
      </c>
      <c r="I53" s="15" t="s">
        <v>132</v>
      </c>
    </row>
    <row r="54" spans="4:9" ht="27" thickBot="1" x14ac:dyDescent="0.3">
      <c r="D54" s="39" t="s">
        <v>141</v>
      </c>
      <c r="E54" s="48" t="s">
        <v>119</v>
      </c>
      <c r="F54" s="50"/>
      <c r="G54" s="49" t="s">
        <v>142</v>
      </c>
      <c r="H54" s="48" t="s">
        <v>100</v>
      </c>
      <c r="I54" s="50"/>
    </row>
    <row r="55" spans="4:9" ht="40.200000000000003" thickBot="1" x14ac:dyDescent="0.3">
      <c r="D55" s="26" t="s">
        <v>143</v>
      </c>
      <c r="E55" s="15" t="s">
        <v>119</v>
      </c>
      <c r="F55" s="17"/>
      <c r="G55" s="16" t="s">
        <v>144</v>
      </c>
      <c r="H55" s="15" t="s">
        <v>100</v>
      </c>
      <c r="I55" s="17"/>
    </row>
    <row r="56" spans="4:9" ht="27" thickBot="1" x14ac:dyDescent="0.3">
      <c r="D56" s="40" t="s">
        <v>145</v>
      </c>
      <c r="E56" s="48" t="s">
        <v>119</v>
      </c>
      <c r="F56" s="50"/>
      <c r="G56" s="49" t="s">
        <v>146</v>
      </c>
      <c r="H56" s="48" t="s">
        <v>100</v>
      </c>
      <c r="I56" s="50"/>
    </row>
    <row r="57" spans="4:9" ht="40.200000000000003" thickBot="1" x14ac:dyDescent="0.3">
      <c r="D57" s="51" t="s">
        <v>147</v>
      </c>
      <c r="E57" s="15" t="s">
        <v>119</v>
      </c>
      <c r="F57" s="17"/>
      <c r="G57" s="16" t="s">
        <v>148</v>
      </c>
      <c r="H57" s="15" t="s">
        <v>100</v>
      </c>
      <c r="I57" s="17"/>
    </row>
    <row r="58" spans="4:9" ht="14.4" thickBot="1" x14ac:dyDescent="0.3">
      <c r="D58" s="24" t="s">
        <v>149</v>
      </c>
      <c r="E58" s="48" t="s">
        <v>119</v>
      </c>
      <c r="F58" s="50"/>
      <c r="G58" s="49" t="s">
        <v>150</v>
      </c>
      <c r="H58" s="48" t="s">
        <v>100</v>
      </c>
      <c r="I58" s="50"/>
    </row>
    <row r="59" spans="4:9" ht="14.4" thickBot="1" x14ac:dyDescent="0.3">
      <c r="D59" s="52" t="s">
        <v>151</v>
      </c>
      <c r="E59" s="53" t="s">
        <v>119</v>
      </c>
      <c r="F59" s="17"/>
      <c r="G59" s="54" t="s">
        <v>152</v>
      </c>
      <c r="H59" s="53" t="s">
        <v>100</v>
      </c>
      <c r="I59" s="17"/>
    </row>
    <row r="60" spans="4:9" ht="27" thickBot="1" x14ac:dyDescent="0.3">
      <c r="D60" s="55" t="s">
        <v>153</v>
      </c>
      <c r="E60" s="56" t="s">
        <v>119</v>
      </c>
      <c r="F60" s="50"/>
      <c r="G60" s="57" t="s">
        <v>154</v>
      </c>
      <c r="H60" s="56" t="s">
        <v>100</v>
      </c>
      <c r="I60" s="50"/>
    </row>
    <row r="61" spans="4:9" ht="27" thickBot="1" x14ac:dyDescent="0.3">
      <c r="D61" s="58" t="s">
        <v>155</v>
      </c>
      <c r="E61" s="53" t="s">
        <v>119</v>
      </c>
      <c r="F61" s="17"/>
      <c r="G61" s="54" t="s">
        <v>156</v>
      </c>
      <c r="H61" s="53" t="s">
        <v>100</v>
      </c>
      <c r="I61" s="17"/>
    </row>
    <row r="62" spans="4:9" ht="27" thickBot="1" x14ac:dyDescent="0.3">
      <c r="D62" s="59" t="s">
        <v>157</v>
      </c>
      <c r="E62" s="56" t="s">
        <v>119</v>
      </c>
      <c r="F62" s="50"/>
      <c r="G62" s="57" t="s">
        <v>158</v>
      </c>
      <c r="H62" s="56" t="s">
        <v>100</v>
      </c>
      <c r="I62" s="50"/>
    </row>
    <row r="63" spans="4:9" ht="14.4" thickBot="1" x14ac:dyDescent="0.3">
      <c r="D63" s="60" t="s">
        <v>159</v>
      </c>
      <c r="E63" s="53" t="s">
        <v>119</v>
      </c>
      <c r="F63" s="17"/>
      <c r="G63" s="54" t="s">
        <v>160</v>
      </c>
      <c r="H63" s="53" t="s">
        <v>100</v>
      </c>
      <c r="I63" s="17"/>
    </row>
  </sheetData>
  <mergeCells count="5">
    <mergeCell ref="D3:D4"/>
    <mergeCell ref="E3:E4"/>
    <mergeCell ref="G3:G4"/>
    <mergeCell ref="H3:H4"/>
    <mergeCell ref="I3:I4"/>
  </mergeCells>
  <hyperlinks>
    <hyperlink ref="I32" r:id="rId1" display="http://www.seg-social.es/wps/portal/wss/internet/Trabajadores/CotizacionRecaudacionTrabajadores/36537" xr:uid="{00000000-0004-0000-0100-000000000000}"/>
    <hyperlink ref="I18" location="CONTRATOS!P2" display="ver tabla &quot;Motivo reducción de jornada&quot;" xr:uid="{00000000-0004-0000-0100-000001000000}"/>
    <hyperlink ref="I19" location="CONTRATOS!A1" display="ver tabla &quot;Clave de Contrato&quot;" xr:uid="{00000000-0004-0000-0100-000002000000}"/>
  </hyperlinks>
  <pageMargins left="0.25" right="0.25" top="0.75" bottom="0.75" header="0.3" footer="0.3"/>
  <pageSetup paperSize="9" scale="71" fitToHeight="0"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tabColor theme="5"/>
    <pageSetUpPr fitToPage="1"/>
  </sheetPr>
  <dimension ref="A2:L67"/>
  <sheetViews>
    <sheetView showGridLines="0" topLeftCell="A29" zoomScale="94" zoomScaleNormal="94" workbookViewId="0">
      <selection activeCell="F48" sqref="F48"/>
    </sheetView>
  </sheetViews>
  <sheetFormatPr baseColWidth="10" defaultColWidth="11.44140625" defaultRowHeight="13.8" x14ac:dyDescent="0.25"/>
  <cols>
    <col min="1" max="1" width="8.6640625" style="61" customWidth="1"/>
    <col min="2" max="2" width="13.44140625" style="61" customWidth="1"/>
    <col min="3" max="3" width="23.33203125" style="61" bestFit="1" customWidth="1"/>
    <col min="4" max="4" width="55.6640625" style="61" customWidth="1"/>
    <col min="5" max="5" width="11.88671875" style="61" bestFit="1" customWidth="1"/>
    <col min="6" max="6" width="14.33203125" style="61" customWidth="1"/>
    <col min="7" max="7" width="17.44140625" style="61" bestFit="1" customWidth="1"/>
    <col min="8" max="8" width="14.6640625" style="61" customWidth="1"/>
    <col min="9" max="9" width="12.88671875" style="61" bestFit="1" customWidth="1"/>
    <col min="10" max="10" width="20.33203125" style="61" hidden="1" customWidth="1"/>
    <col min="11" max="11" width="4.33203125" style="61" hidden="1" customWidth="1"/>
    <col min="12" max="12" width="21.44140625" style="61" hidden="1" customWidth="1"/>
    <col min="13" max="16384" width="11.44140625" style="61"/>
  </cols>
  <sheetData>
    <row r="2" spans="1:12" x14ac:dyDescent="0.25">
      <c r="B2" s="62" t="s">
        <v>161</v>
      </c>
      <c r="C2" s="62"/>
      <c r="D2" s="62"/>
      <c r="E2" s="62"/>
      <c r="F2" s="62"/>
      <c r="G2" s="62"/>
      <c r="H2" s="62"/>
    </row>
    <row r="4" spans="1:12" s="63" customFormat="1" x14ac:dyDescent="0.25">
      <c r="A4" s="61"/>
      <c r="E4" s="64" t="s">
        <v>162</v>
      </c>
      <c r="G4" s="65" t="s">
        <v>163</v>
      </c>
    </row>
    <row r="6" spans="1:12" x14ac:dyDescent="0.25">
      <c r="E6" s="63" t="s">
        <v>164</v>
      </c>
      <c r="G6" s="66" t="s">
        <v>165</v>
      </c>
    </row>
    <row r="7" spans="1:12" ht="14.4" x14ac:dyDescent="0.3">
      <c r="D7"/>
      <c r="E7" s="61" t="s">
        <v>166</v>
      </c>
      <c r="G7" s="1" t="s">
        <v>167</v>
      </c>
    </row>
    <row r="8" spans="1:12" x14ac:dyDescent="0.25">
      <c r="E8" s="61" t="s">
        <v>168</v>
      </c>
      <c r="G8" s="1" t="s">
        <v>169</v>
      </c>
    </row>
    <row r="9" spans="1:12" x14ac:dyDescent="0.25">
      <c r="G9" s="1" t="s">
        <v>170</v>
      </c>
    </row>
    <row r="11" spans="1:12" x14ac:dyDescent="0.25">
      <c r="B11" s="67" t="s">
        <v>171</v>
      </c>
      <c r="C11" s="67" t="s">
        <v>172</v>
      </c>
      <c r="D11" s="67" t="s">
        <v>12</v>
      </c>
      <c r="E11" s="68" t="s">
        <v>164</v>
      </c>
      <c r="F11" s="69" t="s">
        <v>10</v>
      </c>
      <c r="G11" s="70" t="s">
        <v>173</v>
      </c>
      <c r="H11" s="71" t="s">
        <v>174</v>
      </c>
      <c r="J11" s="61" t="s">
        <v>76</v>
      </c>
      <c r="L11" s="61" t="s">
        <v>175</v>
      </c>
    </row>
    <row r="12" spans="1:12" x14ac:dyDescent="0.25">
      <c r="B12" s="66" t="s">
        <v>97</v>
      </c>
      <c r="C12" s="63" t="s">
        <v>97</v>
      </c>
      <c r="D12" s="63" t="s">
        <v>176</v>
      </c>
      <c r="E12" s="61" t="s">
        <v>166</v>
      </c>
      <c r="F12" s="1" t="s">
        <v>167</v>
      </c>
      <c r="G12" s="72" t="s">
        <v>177</v>
      </c>
      <c r="H12" s="73" t="s">
        <v>177</v>
      </c>
      <c r="J12" s="61" t="s">
        <v>178</v>
      </c>
      <c r="L12" s="61" t="s">
        <v>179</v>
      </c>
    </row>
    <row r="13" spans="1:12" x14ac:dyDescent="0.25">
      <c r="B13" s="1" t="s">
        <v>101</v>
      </c>
      <c r="C13" s="63" t="s">
        <v>180</v>
      </c>
      <c r="D13" s="63" t="s">
        <v>181</v>
      </c>
      <c r="E13" s="61" t="s">
        <v>166</v>
      </c>
      <c r="F13" s="1" t="s">
        <v>169</v>
      </c>
      <c r="G13" s="72" t="s">
        <v>177</v>
      </c>
      <c r="H13" s="73" t="s">
        <v>177</v>
      </c>
      <c r="J13" s="61" t="s">
        <v>182</v>
      </c>
      <c r="L13" s="61" t="s">
        <v>183</v>
      </c>
    </row>
    <row r="14" spans="1:12" x14ac:dyDescent="0.25">
      <c r="B14" s="1" t="s">
        <v>103</v>
      </c>
      <c r="C14" s="61" t="s">
        <v>184</v>
      </c>
      <c r="D14" s="61" t="s">
        <v>184</v>
      </c>
      <c r="E14" s="61" t="s">
        <v>166</v>
      </c>
      <c r="F14" s="1" t="s">
        <v>169</v>
      </c>
      <c r="G14" s="72" t="s">
        <v>177</v>
      </c>
      <c r="H14" s="73" t="s">
        <v>177</v>
      </c>
      <c r="J14" s="61" t="s">
        <v>185</v>
      </c>
      <c r="L14" s="61" t="s">
        <v>186</v>
      </c>
    </row>
    <row r="15" spans="1:12" x14ac:dyDescent="0.25">
      <c r="B15" s="1" t="s">
        <v>105</v>
      </c>
      <c r="C15" s="61" t="s">
        <v>187</v>
      </c>
      <c r="D15" s="61" t="s">
        <v>187</v>
      </c>
      <c r="E15" s="61" t="s">
        <v>166</v>
      </c>
      <c r="F15" s="1" t="s">
        <v>169</v>
      </c>
      <c r="G15" s="72" t="s">
        <v>177</v>
      </c>
      <c r="H15" s="73" t="s">
        <v>177</v>
      </c>
      <c r="J15" s="61" t="s">
        <v>188</v>
      </c>
      <c r="L15" s="61" t="s">
        <v>189</v>
      </c>
    </row>
    <row r="16" spans="1:12" x14ac:dyDescent="0.25">
      <c r="B16" s="1" t="s">
        <v>107</v>
      </c>
      <c r="C16" s="61" t="s">
        <v>190</v>
      </c>
      <c r="D16" s="61" t="s">
        <v>191</v>
      </c>
      <c r="E16" s="61" t="s">
        <v>166</v>
      </c>
      <c r="F16" s="1" t="s">
        <v>169</v>
      </c>
      <c r="G16" s="72" t="s">
        <v>177</v>
      </c>
      <c r="H16" s="73" t="s">
        <v>177</v>
      </c>
      <c r="J16" s="61" t="s">
        <v>192</v>
      </c>
      <c r="L16" s="61" t="s">
        <v>193</v>
      </c>
    </row>
    <row r="17" spans="1:12" x14ac:dyDescent="0.25">
      <c r="B17" s="1" t="s">
        <v>109</v>
      </c>
      <c r="C17" s="61" t="s">
        <v>194</v>
      </c>
      <c r="D17" s="61" t="s">
        <v>194</v>
      </c>
      <c r="E17" s="61" t="s">
        <v>166</v>
      </c>
      <c r="F17" s="1" t="s">
        <v>169</v>
      </c>
      <c r="G17" s="72" t="s">
        <v>177</v>
      </c>
      <c r="H17" s="73" t="s">
        <v>177</v>
      </c>
      <c r="J17" s="61" t="s">
        <v>195</v>
      </c>
      <c r="L17" s="61" t="s">
        <v>196</v>
      </c>
    </row>
    <row r="18" spans="1:12" x14ac:dyDescent="0.25">
      <c r="B18" s="1" t="s">
        <v>197</v>
      </c>
      <c r="C18" s="61" t="s">
        <v>198</v>
      </c>
      <c r="D18" s="61" t="s">
        <v>198</v>
      </c>
      <c r="E18" s="61" t="s">
        <v>166</v>
      </c>
      <c r="F18" s="1" t="s">
        <v>169</v>
      </c>
      <c r="G18" s="72" t="s">
        <v>177</v>
      </c>
      <c r="H18" s="73" t="s">
        <v>177</v>
      </c>
      <c r="J18" s="61" t="s">
        <v>199</v>
      </c>
      <c r="L18" s="61" t="s">
        <v>200</v>
      </c>
    </row>
    <row r="19" spans="1:12" x14ac:dyDescent="0.25">
      <c r="B19" s="1" t="s">
        <v>201</v>
      </c>
      <c r="C19" s="61" t="s">
        <v>202</v>
      </c>
      <c r="D19" s="61" t="s">
        <v>202</v>
      </c>
      <c r="E19" s="61" t="s">
        <v>166</v>
      </c>
      <c r="F19" s="1" t="s">
        <v>169</v>
      </c>
      <c r="G19" s="72" t="s">
        <v>177</v>
      </c>
      <c r="H19" s="73" t="s">
        <v>177</v>
      </c>
      <c r="J19" s="61" t="s">
        <v>203</v>
      </c>
      <c r="L19" s="61" t="s">
        <v>204</v>
      </c>
    </row>
    <row r="20" spans="1:12" x14ac:dyDescent="0.25">
      <c r="B20" s="1" t="s">
        <v>205</v>
      </c>
      <c r="C20" s="61" t="s">
        <v>206</v>
      </c>
      <c r="D20" s="61" t="s">
        <v>207</v>
      </c>
      <c r="E20" s="61" t="s">
        <v>166</v>
      </c>
      <c r="F20" s="1" t="s">
        <v>169</v>
      </c>
      <c r="G20" s="72" t="s">
        <v>177</v>
      </c>
      <c r="H20" s="73" t="s">
        <v>177</v>
      </c>
      <c r="J20" s="61" t="s">
        <v>208</v>
      </c>
      <c r="L20" s="61" t="s">
        <v>209</v>
      </c>
    </row>
    <row r="21" spans="1:12" x14ac:dyDescent="0.25">
      <c r="B21" s="1" t="s">
        <v>210</v>
      </c>
      <c r="C21" s="61" t="s">
        <v>211</v>
      </c>
      <c r="D21" s="61" t="s">
        <v>212</v>
      </c>
      <c r="E21" s="61" t="s">
        <v>166</v>
      </c>
      <c r="F21" s="1" t="s">
        <v>169</v>
      </c>
      <c r="G21" s="72" t="s">
        <v>177</v>
      </c>
      <c r="H21" s="73" t="s">
        <v>177</v>
      </c>
      <c r="J21" s="61" t="s">
        <v>213</v>
      </c>
      <c r="L21" s="61" t="s">
        <v>214</v>
      </c>
    </row>
    <row r="22" spans="1:12" x14ac:dyDescent="0.25">
      <c r="A22" s="63"/>
      <c r="B22" s="1" t="s">
        <v>215</v>
      </c>
      <c r="C22" s="61" t="s">
        <v>216</v>
      </c>
      <c r="D22" s="61" t="s">
        <v>216</v>
      </c>
      <c r="E22" s="61" t="s">
        <v>166</v>
      </c>
      <c r="F22" s="1" t="s">
        <v>169</v>
      </c>
      <c r="G22" s="72" t="s">
        <v>177</v>
      </c>
      <c r="H22" s="73" t="s">
        <v>177</v>
      </c>
      <c r="I22" s="63"/>
      <c r="J22" s="61" t="s">
        <v>217</v>
      </c>
      <c r="L22" s="61" t="s">
        <v>218</v>
      </c>
    </row>
    <row r="23" spans="1:12" x14ac:dyDescent="0.25">
      <c r="B23" s="1" t="s">
        <v>219</v>
      </c>
      <c r="C23" s="61" t="s">
        <v>220</v>
      </c>
      <c r="D23" s="61" t="s">
        <v>220</v>
      </c>
      <c r="E23" s="61" t="s">
        <v>166</v>
      </c>
      <c r="F23" s="1" t="s">
        <v>169</v>
      </c>
      <c r="G23" s="72" t="s">
        <v>177</v>
      </c>
      <c r="H23" s="73" t="s">
        <v>177</v>
      </c>
      <c r="J23" s="61" t="s">
        <v>221</v>
      </c>
      <c r="L23" s="61" t="s">
        <v>222</v>
      </c>
    </row>
    <row r="24" spans="1:12" x14ac:dyDescent="0.25">
      <c r="B24" s="1" t="s">
        <v>223</v>
      </c>
      <c r="C24" s="61" t="s">
        <v>224</v>
      </c>
      <c r="D24" s="61" t="s">
        <v>224</v>
      </c>
      <c r="E24" s="61" t="s">
        <v>166</v>
      </c>
      <c r="F24" s="1" t="s">
        <v>169</v>
      </c>
      <c r="G24" s="72" t="s">
        <v>177</v>
      </c>
      <c r="H24" s="73" t="s">
        <v>177</v>
      </c>
      <c r="J24" s="61" t="s">
        <v>225</v>
      </c>
      <c r="L24" s="61" t="s">
        <v>226</v>
      </c>
    </row>
    <row r="25" spans="1:12" x14ac:dyDescent="0.25">
      <c r="B25" s="1" t="s">
        <v>227</v>
      </c>
      <c r="C25" s="61" t="s">
        <v>228</v>
      </c>
      <c r="D25" s="61" t="s">
        <v>228</v>
      </c>
      <c r="E25" s="61" t="s">
        <v>166</v>
      </c>
      <c r="F25" s="1" t="s">
        <v>169</v>
      </c>
      <c r="G25" s="72" t="s">
        <v>177</v>
      </c>
      <c r="H25" s="73" t="s">
        <v>177</v>
      </c>
      <c r="J25" s="61" t="s">
        <v>229</v>
      </c>
      <c r="L25" s="61" t="s">
        <v>230</v>
      </c>
    </row>
    <row r="26" spans="1:12" x14ac:dyDescent="0.25">
      <c r="B26" s="1" t="s">
        <v>231</v>
      </c>
      <c r="C26" s="61" t="s">
        <v>232</v>
      </c>
      <c r="D26" s="61" t="s">
        <v>232</v>
      </c>
      <c r="E26" s="61" t="s">
        <v>166</v>
      </c>
      <c r="F26" s="1" t="s">
        <v>169</v>
      </c>
      <c r="G26" s="72" t="s">
        <v>177</v>
      </c>
      <c r="H26" s="73" t="s">
        <v>177</v>
      </c>
      <c r="J26" s="61" t="s">
        <v>233</v>
      </c>
      <c r="L26" s="61" t="s">
        <v>234</v>
      </c>
    </row>
    <row r="27" spans="1:12" x14ac:dyDescent="0.25">
      <c r="B27" s="1" t="s">
        <v>235</v>
      </c>
      <c r="C27" s="61" t="s">
        <v>236</v>
      </c>
      <c r="D27" s="61" t="s">
        <v>237</v>
      </c>
      <c r="E27" s="61" t="s">
        <v>166</v>
      </c>
      <c r="F27" s="1" t="s">
        <v>170</v>
      </c>
      <c r="G27" s="72" t="s">
        <v>177</v>
      </c>
      <c r="H27" s="73" t="s">
        <v>177</v>
      </c>
      <c r="J27" s="61" t="s">
        <v>238</v>
      </c>
      <c r="L27" s="61" t="s">
        <v>239</v>
      </c>
    </row>
    <row r="28" spans="1:12" x14ac:dyDescent="0.25">
      <c r="B28" s="1" t="s">
        <v>240</v>
      </c>
      <c r="C28" s="61" t="s">
        <v>241</v>
      </c>
      <c r="D28" s="61" t="s">
        <v>242</v>
      </c>
      <c r="E28" s="61" t="s">
        <v>166</v>
      </c>
      <c r="F28" s="1" t="s">
        <v>170</v>
      </c>
      <c r="G28" s="72" t="s">
        <v>177</v>
      </c>
      <c r="H28" s="73" t="s">
        <v>177</v>
      </c>
      <c r="J28" s="61" t="s">
        <v>243</v>
      </c>
      <c r="L28" s="61" t="s">
        <v>244</v>
      </c>
    </row>
    <row r="29" spans="1:12" x14ac:dyDescent="0.25">
      <c r="B29" s="1" t="s">
        <v>245</v>
      </c>
      <c r="C29" s="61" t="s">
        <v>246</v>
      </c>
      <c r="D29" s="61" t="s">
        <v>247</v>
      </c>
      <c r="E29" s="61" t="s">
        <v>166</v>
      </c>
      <c r="F29" s="1" t="s">
        <v>169</v>
      </c>
      <c r="G29" s="72" t="s">
        <v>177</v>
      </c>
      <c r="H29" s="73" t="s">
        <v>177</v>
      </c>
      <c r="J29" s="61" t="s">
        <v>248</v>
      </c>
      <c r="L29" s="61" t="s">
        <v>249</v>
      </c>
    </row>
    <row r="30" spans="1:12" x14ac:dyDescent="0.25">
      <c r="B30" s="1" t="s">
        <v>250</v>
      </c>
      <c r="C30" s="61" t="s">
        <v>251</v>
      </c>
      <c r="D30" s="61" t="s">
        <v>251</v>
      </c>
      <c r="E30" s="61" t="s">
        <v>166</v>
      </c>
      <c r="F30" s="1" t="s">
        <v>170</v>
      </c>
      <c r="G30" s="72" t="s">
        <v>177</v>
      </c>
      <c r="H30" s="73" t="s">
        <v>177</v>
      </c>
      <c r="J30" s="61" t="s">
        <v>252</v>
      </c>
      <c r="L30" s="61" t="s">
        <v>253</v>
      </c>
    </row>
    <row r="31" spans="1:12" x14ac:dyDescent="0.25">
      <c r="B31" s="1" t="s">
        <v>254</v>
      </c>
      <c r="C31" s="61" t="s">
        <v>255</v>
      </c>
      <c r="D31" s="61" t="s">
        <v>255</v>
      </c>
      <c r="E31" s="61" t="s">
        <v>168</v>
      </c>
      <c r="F31" s="1" t="s">
        <v>169</v>
      </c>
      <c r="G31" s="72" t="s">
        <v>177</v>
      </c>
      <c r="H31" s="73" t="s">
        <v>177</v>
      </c>
      <c r="J31" s="61" t="s">
        <v>256</v>
      </c>
      <c r="L31" s="61" t="s">
        <v>257</v>
      </c>
    </row>
    <row r="32" spans="1:12" x14ac:dyDescent="0.25">
      <c r="B32" s="1" t="s">
        <v>258</v>
      </c>
      <c r="C32" s="61" t="s">
        <v>259</v>
      </c>
      <c r="D32" s="61" t="s">
        <v>259</v>
      </c>
      <c r="E32" s="61" t="s">
        <v>166</v>
      </c>
      <c r="F32" s="1" t="s">
        <v>169</v>
      </c>
      <c r="G32" s="72" t="s">
        <v>177</v>
      </c>
      <c r="H32" s="73" t="s">
        <v>177</v>
      </c>
      <c r="J32" s="61" t="s">
        <v>260</v>
      </c>
      <c r="L32" s="61" t="s">
        <v>261</v>
      </c>
    </row>
    <row r="33" spans="2:12" x14ac:dyDescent="0.25">
      <c r="B33" s="1" t="s">
        <v>262</v>
      </c>
      <c r="C33" s="61" t="s">
        <v>263</v>
      </c>
      <c r="D33" s="61" t="s">
        <v>264</v>
      </c>
      <c r="E33" s="61" t="s">
        <v>166</v>
      </c>
      <c r="F33" s="1" t="s">
        <v>169</v>
      </c>
      <c r="G33" s="72" t="s">
        <v>177</v>
      </c>
      <c r="H33" s="73" t="s">
        <v>177</v>
      </c>
      <c r="J33" s="61" t="s">
        <v>265</v>
      </c>
      <c r="L33" s="61" t="s">
        <v>266</v>
      </c>
    </row>
    <row r="34" spans="2:12" x14ac:dyDescent="0.25">
      <c r="B34" s="1" t="s">
        <v>267</v>
      </c>
      <c r="F34" s="1"/>
      <c r="G34" s="72"/>
      <c r="H34" s="73"/>
      <c r="J34" s="61" t="s">
        <v>268</v>
      </c>
      <c r="L34" s="61" t="s">
        <v>269</v>
      </c>
    </row>
    <row r="35" spans="2:12" x14ac:dyDescent="0.25">
      <c r="B35" s="1" t="s">
        <v>270</v>
      </c>
      <c r="F35" s="1"/>
      <c r="G35" s="74"/>
      <c r="H35" s="73"/>
      <c r="J35" s="61" t="s">
        <v>271</v>
      </c>
      <c r="L35" s="61" t="s">
        <v>272</v>
      </c>
    </row>
    <row r="36" spans="2:12" x14ac:dyDescent="0.25">
      <c r="B36" s="1" t="s">
        <v>273</v>
      </c>
      <c r="F36" s="1"/>
      <c r="G36" s="74"/>
      <c r="H36" s="73"/>
      <c r="J36" s="61" t="s">
        <v>274</v>
      </c>
      <c r="L36" s="61" t="s">
        <v>275</v>
      </c>
    </row>
    <row r="37" spans="2:12" x14ac:dyDescent="0.25">
      <c r="B37" s="1" t="s">
        <v>276</v>
      </c>
      <c r="F37" s="1"/>
      <c r="G37" s="74"/>
      <c r="H37" s="73"/>
      <c r="J37" s="61" t="s">
        <v>277</v>
      </c>
      <c r="L37" s="61" t="s">
        <v>278</v>
      </c>
    </row>
    <row r="38" spans="2:12" x14ac:dyDescent="0.25">
      <c r="B38" s="1" t="s">
        <v>279</v>
      </c>
      <c r="F38" s="1"/>
      <c r="G38" s="74"/>
      <c r="H38" s="73"/>
      <c r="J38" s="61" t="s">
        <v>280</v>
      </c>
      <c r="L38" s="61" t="s">
        <v>281</v>
      </c>
    </row>
    <row r="39" spans="2:12" x14ac:dyDescent="0.25">
      <c r="B39" s="1" t="s">
        <v>282</v>
      </c>
      <c r="F39" s="1"/>
      <c r="G39" s="74"/>
      <c r="H39" s="73"/>
      <c r="J39" s="61" t="s">
        <v>283</v>
      </c>
      <c r="L39" s="61" t="s">
        <v>284</v>
      </c>
    </row>
    <row r="40" spans="2:12" x14ac:dyDescent="0.25">
      <c r="B40" s="1" t="s">
        <v>285</v>
      </c>
      <c r="F40" s="1"/>
      <c r="G40" s="74"/>
      <c r="H40" s="73"/>
      <c r="J40" s="61" t="s">
        <v>286</v>
      </c>
      <c r="L40" s="61" t="s">
        <v>287</v>
      </c>
    </row>
    <row r="41" spans="2:12" x14ac:dyDescent="0.25">
      <c r="B41" s="1" t="s">
        <v>288</v>
      </c>
      <c r="F41" s="1"/>
      <c r="G41" s="74"/>
      <c r="H41" s="73"/>
      <c r="J41" s="61" t="s">
        <v>289</v>
      </c>
      <c r="L41" s="61" t="s">
        <v>290</v>
      </c>
    </row>
    <row r="42" spans="2:12" x14ac:dyDescent="0.25">
      <c r="B42" s="1" t="s">
        <v>112</v>
      </c>
      <c r="F42" s="1"/>
      <c r="G42" s="74"/>
      <c r="H42" s="73"/>
    </row>
    <row r="43" spans="2:12" x14ac:dyDescent="0.25">
      <c r="B43" s="1" t="s">
        <v>291</v>
      </c>
      <c r="F43" s="1"/>
      <c r="G43" s="74"/>
      <c r="H43" s="73"/>
    </row>
    <row r="44" spans="2:12" x14ac:dyDescent="0.25">
      <c r="B44" s="1" t="s">
        <v>292</v>
      </c>
      <c r="F44" s="1"/>
      <c r="G44" s="74"/>
      <c r="H44" s="73"/>
    </row>
    <row r="45" spans="2:12" x14ac:dyDescent="0.25">
      <c r="B45" s="1" t="s">
        <v>293</v>
      </c>
      <c r="F45" s="1"/>
      <c r="G45" s="74"/>
      <c r="H45" s="73"/>
    </row>
    <row r="46" spans="2:12" x14ac:dyDescent="0.25">
      <c r="B46" s="1" t="s">
        <v>294</v>
      </c>
      <c r="F46" s="1"/>
      <c r="G46" s="74"/>
      <c r="H46" s="73"/>
    </row>
    <row r="47" spans="2:12" x14ac:dyDescent="0.25">
      <c r="B47" s="1" t="s">
        <v>295</v>
      </c>
      <c r="F47" s="1"/>
      <c r="G47" s="74"/>
      <c r="H47" s="73"/>
    </row>
    <row r="48" spans="2:12" x14ac:dyDescent="0.25">
      <c r="B48" s="1" t="s">
        <v>296</v>
      </c>
      <c r="F48" s="1"/>
      <c r="G48" s="74"/>
      <c r="H48" s="73"/>
    </row>
    <row r="49" spans="2:8" x14ac:dyDescent="0.25">
      <c r="B49" s="1" t="s">
        <v>297</v>
      </c>
      <c r="F49" s="1"/>
      <c r="G49" s="74"/>
      <c r="H49" s="73"/>
    </row>
    <row r="50" spans="2:8" x14ac:dyDescent="0.25">
      <c r="B50" s="1" t="s">
        <v>298</v>
      </c>
      <c r="F50" s="1"/>
      <c r="G50" s="74"/>
      <c r="H50" s="73"/>
    </row>
    <row r="51" spans="2:8" x14ac:dyDescent="0.25">
      <c r="B51" s="1" t="s">
        <v>299</v>
      </c>
      <c r="F51" s="1"/>
      <c r="G51" s="74"/>
      <c r="H51" s="73"/>
    </row>
    <row r="52" spans="2:8" x14ac:dyDescent="0.25">
      <c r="B52" s="1" t="s">
        <v>300</v>
      </c>
      <c r="F52" s="1"/>
      <c r="G52" s="74"/>
      <c r="H52" s="73"/>
    </row>
    <row r="53" spans="2:8" x14ac:dyDescent="0.25">
      <c r="B53" s="1" t="s">
        <v>301</v>
      </c>
      <c r="F53" s="1"/>
      <c r="G53" s="74"/>
      <c r="H53" s="73"/>
    </row>
    <row r="54" spans="2:8" x14ac:dyDescent="0.25">
      <c r="B54" s="1" t="s">
        <v>302</v>
      </c>
      <c r="F54" s="1"/>
      <c r="G54" s="74"/>
      <c r="H54" s="73"/>
    </row>
    <row r="55" spans="2:8" x14ac:dyDescent="0.25">
      <c r="B55" s="1" t="s">
        <v>303</v>
      </c>
      <c r="F55" s="1"/>
      <c r="G55" s="74"/>
      <c r="H55" s="73"/>
    </row>
    <row r="56" spans="2:8" x14ac:dyDescent="0.25">
      <c r="B56" s="1" t="s">
        <v>304</v>
      </c>
      <c r="F56" s="1"/>
      <c r="G56" s="74"/>
      <c r="H56" s="73"/>
    </row>
    <row r="57" spans="2:8" x14ac:dyDescent="0.25">
      <c r="B57" s="1" t="s">
        <v>114</v>
      </c>
      <c r="F57" s="1"/>
      <c r="G57" s="72"/>
      <c r="H57" s="73"/>
    </row>
    <row r="58" spans="2:8" x14ac:dyDescent="0.25">
      <c r="B58" s="1" t="s">
        <v>305</v>
      </c>
      <c r="F58" s="1"/>
      <c r="G58" s="72"/>
      <c r="H58" s="73"/>
    </row>
    <row r="59" spans="2:8" x14ac:dyDescent="0.25">
      <c r="B59" s="1" t="s">
        <v>306</v>
      </c>
      <c r="F59" s="1"/>
      <c r="G59" s="72"/>
      <c r="H59" s="73"/>
    </row>
    <row r="60" spans="2:8" x14ac:dyDescent="0.25">
      <c r="B60" s="1" t="s">
        <v>307</v>
      </c>
      <c r="F60" s="1"/>
      <c r="G60" s="72"/>
      <c r="H60" s="73"/>
    </row>
    <row r="61" spans="2:8" x14ac:dyDescent="0.25">
      <c r="B61" s="1" t="s">
        <v>116</v>
      </c>
      <c r="F61" s="1"/>
      <c r="G61" s="72"/>
      <c r="H61" s="73"/>
    </row>
    <row r="62" spans="2:8" x14ac:dyDescent="0.25">
      <c r="B62" s="1" t="s">
        <v>308</v>
      </c>
      <c r="F62" s="1"/>
      <c r="G62" s="72"/>
      <c r="H62" s="73"/>
    </row>
    <row r="63" spans="2:8" x14ac:dyDescent="0.25">
      <c r="B63" s="1" t="s">
        <v>309</v>
      </c>
      <c r="F63" s="1"/>
      <c r="G63" s="72"/>
      <c r="H63" s="73"/>
    </row>
    <row r="64" spans="2:8" x14ac:dyDescent="0.25">
      <c r="B64" s="1" t="s">
        <v>310</v>
      </c>
      <c r="F64" s="1"/>
      <c r="G64" s="72"/>
      <c r="H64" s="73"/>
    </row>
    <row r="65" spans="2:8" x14ac:dyDescent="0.25">
      <c r="B65" s="1" t="s">
        <v>311</v>
      </c>
      <c r="F65" s="1"/>
      <c r="G65" s="72"/>
      <c r="H65" s="73"/>
    </row>
    <row r="66" spans="2:8" x14ac:dyDescent="0.25">
      <c r="B66" s="1" t="s">
        <v>312</v>
      </c>
      <c r="F66" s="1"/>
      <c r="G66" s="72"/>
      <c r="H66" s="73"/>
    </row>
    <row r="67" spans="2:8" x14ac:dyDescent="0.25">
      <c r="B67" s="1" t="s">
        <v>313</v>
      </c>
      <c r="F67" s="1"/>
      <c r="G67" s="72"/>
      <c r="H67" s="73"/>
    </row>
  </sheetData>
  <sheetProtection selectLockedCells="1"/>
  <phoneticPr fontId="5" type="noConversion"/>
  <dataValidations count="3">
    <dataValidation type="list" allowBlank="1" showInputMessage="1" showErrorMessage="1" sqref="F12:F67" xr:uid="{00000000-0002-0000-0200-000000000000}">
      <formula1>_TIPO</formula1>
    </dataValidation>
    <dataValidation type="list" allowBlank="1" showInputMessage="1" showErrorMessage="1" sqref="E12:E67" xr:uid="{00000000-0002-0000-0200-000002000000}">
      <formula1>$E$7:$E$8</formula1>
    </dataValidation>
    <dataValidation type="list" allowBlank="1" showInputMessage="1" showErrorMessage="1" sqref="G12:H65" xr:uid="{00000000-0002-0000-0200-000001000000}">
      <formula1>"Sí,No"</formula1>
    </dataValidation>
  </dataValidations>
  <printOptions verticalCentered="1"/>
  <pageMargins left="0.23622047244094491" right="0.23622047244094491" top="0.74803149606299213" bottom="0.74803149606299213" header="0.31496062992125984" footer="0.31496062992125984"/>
  <pageSetup paperSize="9" scale="71" fitToWidth="0" orientation="landscape" r:id="rId1"/>
  <drawing r:id="rId2"/>
  <tableParts count="5">
    <tablePart r:id="rId3"/>
    <tablePart r:id="rId4"/>
    <tablePart r:id="rId5"/>
    <tablePart r:id="rId6"/>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tabColor theme="6"/>
    <pageSetUpPr fitToPage="1"/>
  </sheetPr>
  <dimension ref="A1:DI130"/>
  <sheetViews>
    <sheetView showGridLines="0" tabSelected="1" zoomScaleNormal="100" workbookViewId="0">
      <selection activeCell="A5" sqref="A5"/>
    </sheetView>
  </sheetViews>
  <sheetFormatPr baseColWidth="10" defaultColWidth="6.88671875" defaultRowHeight="13.8" outlineLevelCol="1" x14ac:dyDescent="0.25"/>
  <cols>
    <col min="1" max="1" width="32" style="276" customWidth="1"/>
    <col min="2" max="2" width="7.109375" style="61" customWidth="1"/>
    <col min="3" max="3" width="10.109375" style="61" customWidth="1"/>
    <col min="4" max="4" width="12" style="61" customWidth="1"/>
    <col min="5" max="5" width="22.44140625" style="61" customWidth="1"/>
    <col min="6" max="6" width="11.109375" style="61" hidden="1" customWidth="1"/>
    <col min="7" max="7" width="9.6640625" style="61" hidden="1" customWidth="1"/>
    <col min="8" max="8" width="13.44140625" style="259" customWidth="1"/>
    <col min="9" max="9" width="12" style="61" customWidth="1"/>
    <col min="10" max="10" width="12.33203125" style="61" customWidth="1"/>
    <col min="11" max="11" width="13" style="61" customWidth="1"/>
    <col min="12" max="12" width="16.44140625" style="61" customWidth="1"/>
    <col min="13" max="13" width="11.6640625" style="61" customWidth="1"/>
    <col min="14" max="14" width="12.6640625" style="61" customWidth="1"/>
    <col min="15" max="15" width="12.88671875" style="61" customWidth="1"/>
    <col min="16" max="16" width="11.44140625" style="61" customWidth="1"/>
    <col min="17" max="17" width="23.33203125" style="61" customWidth="1" outlineLevel="1"/>
    <col min="18" max="18" width="27.6640625" style="61" customWidth="1" outlineLevel="1"/>
    <col min="19" max="19" width="29.6640625" style="61" customWidth="1" outlineLevel="1"/>
    <col min="20" max="20" width="14" style="61" customWidth="1" outlineLevel="1"/>
    <col min="21" max="21" width="10.88671875" style="61" customWidth="1" outlineLevel="1"/>
    <col min="22" max="22" width="18.88671875" style="61" customWidth="1" outlineLevel="1"/>
    <col min="23" max="23" width="13.109375" style="61" customWidth="1"/>
    <col min="24" max="24" width="13" style="61" customWidth="1"/>
    <col min="25" max="25" width="17.33203125" style="61" customWidth="1"/>
    <col min="26" max="26" width="24.109375" style="61" customWidth="1"/>
    <col min="27" max="27" width="34.88671875" style="61" customWidth="1"/>
    <col min="28" max="28" width="9" style="61" customWidth="1"/>
    <col min="29" max="29" width="12.44140625" style="61" customWidth="1"/>
    <col min="30" max="30" width="12.88671875" style="61" customWidth="1"/>
    <col min="31" max="31" width="12.33203125" style="61" customWidth="1" outlineLevel="1"/>
    <col min="32" max="35" width="12.88671875" style="61" customWidth="1" outlineLevel="1"/>
    <col min="36" max="36" width="14.88671875" style="61" customWidth="1" outlineLevel="1"/>
    <col min="37" max="38" width="12.88671875" style="61" customWidth="1" outlineLevel="1"/>
    <col min="39" max="42" width="9.6640625" style="61" customWidth="1" outlineLevel="1"/>
    <col min="43" max="43" width="10.44140625" style="61" customWidth="1" outlineLevel="1"/>
    <col min="44" max="50" width="9.6640625" style="61" customWidth="1" outlineLevel="1"/>
    <col min="51" max="54" width="12" style="61" customWidth="1" outlineLevel="1"/>
    <col min="55" max="74" width="12.88671875" style="61" customWidth="1" outlineLevel="1"/>
    <col min="75" max="85" width="10.88671875" style="61" customWidth="1" outlineLevel="1"/>
    <col min="86" max="87" width="11.33203125" style="1" customWidth="1"/>
    <col min="88" max="89" width="16.6640625" style="1" hidden="1" customWidth="1"/>
    <col min="90" max="90" width="18.44140625" style="1" hidden="1" customWidth="1"/>
    <col min="91" max="91" width="18.109375" style="1" hidden="1" customWidth="1"/>
    <col min="92" max="94" width="16.33203125" style="1" hidden="1" customWidth="1"/>
    <col min="95" max="95" width="18.44140625" style="1" hidden="1" customWidth="1"/>
    <col min="96" max="100" width="12.44140625" style="1" customWidth="1"/>
    <col min="101" max="101" width="13.44140625" style="76" customWidth="1"/>
    <col min="102" max="102" width="17.88671875" style="76" customWidth="1"/>
    <col min="103" max="103" width="17.6640625" style="76" customWidth="1"/>
    <col min="104" max="104" width="18" style="76" customWidth="1"/>
    <col min="105" max="105" width="15.44140625" style="76" customWidth="1"/>
    <col min="106" max="106" width="12.33203125" style="107" customWidth="1"/>
    <col min="107" max="107" width="8" style="61" customWidth="1"/>
    <col min="108" max="109" width="8.6640625" style="61" customWidth="1"/>
    <col min="110" max="110" width="11" style="61" customWidth="1"/>
    <col min="111" max="111" width="12.88671875" style="61" customWidth="1"/>
    <col min="112" max="112" width="14.88671875" style="61" customWidth="1"/>
    <col min="113" max="113" width="14.33203125" style="61" customWidth="1"/>
    <col min="114" max="114" width="6.88671875" style="61" customWidth="1"/>
    <col min="115" max="16384" width="6.88671875" style="61"/>
  </cols>
  <sheetData>
    <row r="1" spans="1:113" s="1" customFormat="1" ht="29.1" customHeight="1" x14ac:dyDescent="0.25">
      <c r="A1" s="272"/>
      <c r="H1" s="255"/>
      <c r="CR1" s="75"/>
      <c r="CW1" s="76"/>
      <c r="CX1" s="76"/>
      <c r="CY1" s="76"/>
      <c r="CZ1" s="76"/>
      <c r="DA1" s="76"/>
      <c r="DB1" s="77"/>
    </row>
    <row r="2" spans="1:113" s="1" customFormat="1" x14ac:dyDescent="0.25">
      <c r="A2" s="272"/>
      <c r="C2" s="78" t="s">
        <v>4</v>
      </c>
      <c r="H2" s="255"/>
      <c r="CR2" s="75"/>
      <c r="CW2" s="76"/>
      <c r="CX2" s="76"/>
      <c r="CY2" s="76"/>
      <c r="CZ2" s="76"/>
      <c r="DA2" s="76"/>
      <c r="DB2" s="77"/>
    </row>
    <row r="3" spans="1:113" s="79" customFormat="1" ht="29.4" customHeight="1" x14ac:dyDescent="0.25">
      <c r="A3" s="273"/>
      <c r="C3" s="80" t="s">
        <v>5</v>
      </c>
      <c r="D3" s="81">
        <f>+Inicio!E10</f>
        <v>45292</v>
      </c>
      <c r="H3" s="256"/>
      <c r="AB3" s="82">
        <v>5</v>
      </c>
      <c r="AC3" s="83" t="s">
        <v>10</v>
      </c>
      <c r="AD3" s="84" t="str">
        <f>IFERROR(IF(VLOOKUP(AD$8,TblComplem[],$AB3,FALSE)=0,"",VLOOKUP(AD$8,TblComplem[],$AB3,FALSE)),"")</f>
        <v>Salario Base</v>
      </c>
      <c r="AE3" s="84" t="str">
        <f>IFERROR(IF(VLOOKUP(AE$8,TblComplem[],$AB3,FALSE)=0,"",VLOOKUP(AE$8,TblComplem[],$AB3,FALSE)),"")</f>
        <v>Comp. Salarial</v>
      </c>
      <c r="AF3" s="84" t="str">
        <f>IFERROR(IF(VLOOKUP(AF$8,TblComplem[],$AB3,FALSE)=0,"",VLOOKUP(AF$8,TblComplem[],$AB3,FALSE)),"")</f>
        <v>Comp. Salarial</v>
      </c>
      <c r="AG3" s="84" t="str">
        <f>IFERROR(IF(VLOOKUP(AG$8,TblComplem[],$AB3,FALSE)=0,"",VLOOKUP(AG$8,TblComplem[],$AB3,FALSE)),"")</f>
        <v>Comp. Salarial</v>
      </c>
      <c r="AH3" s="84" t="str">
        <f>IFERROR(IF(VLOOKUP(AH$8,TblComplem[],$AB3,FALSE)=0,"",VLOOKUP(AH$8,TblComplem[],$AB3,FALSE)),"")</f>
        <v>Comp. Salarial</v>
      </c>
      <c r="AI3" s="84" t="str">
        <f>IFERROR(IF(VLOOKUP(AI$8,TblComplem[],$AB3,FALSE)=0,"",VLOOKUP(AI$8,TblComplem[],$AB3,FALSE)),"")</f>
        <v>Comp. Salarial</v>
      </c>
      <c r="AJ3" s="84" t="str">
        <f>IFERROR(IF(VLOOKUP(AJ$8,TblComplem[],$AB3,FALSE)=0,"",VLOOKUP(AJ$8,TblComplem[],$AB3,FALSE)),"")</f>
        <v>Comp. Salarial</v>
      </c>
      <c r="AK3" s="84" t="str">
        <f>IFERROR(IF(VLOOKUP(AK$8,TblComplem[],$AB3,FALSE)=0,"",VLOOKUP(AK$8,TblComplem[],$AB3,FALSE)),"")</f>
        <v>Comp. Salarial</v>
      </c>
      <c r="AL3" s="84" t="str">
        <f>IFERROR(IF(VLOOKUP(AL$8,TblComplem[],$AB3,FALSE)=0,"",VLOOKUP(AL$8,TblComplem[],$AB3,FALSE)),"")</f>
        <v>Comp. Salarial</v>
      </c>
      <c r="AM3" s="84" t="str">
        <f>IFERROR(IF(VLOOKUP(AM$8,TblComplem[],$AB3,FALSE)=0,"",VLOOKUP(AM$8,TblComplem[],$AB3,FALSE)),"")</f>
        <v>Comp. Salarial</v>
      </c>
      <c r="AN3" s="84" t="str">
        <f>IFERROR(IF(VLOOKUP(AN$8,TblComplem[],$AB3,FALSE)=0,"",VLOOKUP(AN$8,TblComplem[],$AB3,FALSE)),"")</f>
        <v>Comp. Salarial</v>
      </c>
      <c r="AO3" s="84" t="str">
        <f>IFERROR(IF(VLOOKUP(AO$8,TblComplem[],$AB3,FALSE)=0,"",VLOOKUP(AO$8,TblComplem[],$AB3,FALSE)),"")</f>
        <v>Comp. Salarial</v>
      </c>
      <c r="AP3" s="84" t="str">
        <f>IFERROR(IF(VLOOKUP(AP$8,TblComplem[],$AB3,FALSE)=0,"",VLOOKUP(AP$8,TblComplem[],$AB3,FALSE)),"")</f>
        <v>Comp. Salarial</v>
      </c>
      <c r="AQ3" s="84" t="str">
        <f>IFERROR(IF(VLOOKUP(AQ$8,TblComplem[],$AB3,FALSE)=0,"",VLOOKUP(AQ$8,TblComplem[],$AB3,FALSE)),"")</f>
        <v>Comp. Salarial</v>
      </c>
      <c r="AR3" s="84" t="str">
        <f>IFERROR(IF(VLOOKUP(AR$8,TblComplem[],$AB3,FALSE)=0,"",VLOOKUP(AR$8,TblComplem[],$AB3,FALSE)),"")</f>
        <v>Comp. Salarial</v>
      </c>
      <c r="AS3" s="84" t="str">
        <f>IFERROR(IF(VLOOKUP(AS$8,TblComplem[],$AB3,FALSE)=0,"",VLOOKUP(AS$8,TblComplem[],$AB3,FALSE)),"")</f>
        <v>Extrasalarial</v>
      </c>
      <c r="AT3" s="84" t="str">
        <f>IFERROR(IF(VLOOKUP(AT$8,TblComplem[],$AB3,FALSE)=0,"",VLOOKUP(AT$8,TblComplem[],$AB3,FALSE)),"")</f>
        <v>Extrasalarial</v>
      </c>
      <c r="AU3" s="84" t="str">
        <f>IFERROR(IF(VLOOKUP(AU$8,TblComplem[],$AB3,FALSE)=0,"",VLOOKUP(AU$8,TblComplem[],$AB3,FALSE)),"")</f>
        <v>Comp. Salarial</v>
      </c>
      <c r="AV3" s="84" t="str">
        <f>IFERROR(IF(VLOOKUP(AV$8,TblComplem[],$AB3,FALSE)=0,"",VLOOKUP(AV$8,TblComplem[],$AB3,FALSE)),"")</f>
        <v>Extrasalarial</v>
      </c>
      <c r="AW3" s="84" t="str">
        <f>IFERROR(IF(VLOOKUP(AW$8,TblComplem[],$AB3,FALSE)=0,"",VLOOKUP(AW$8,TblComplem[],$AB3,FALSE)),"")</f>
        <v>Comp. Salarial</v>
      </c>
      <c r="AX3" s="84" t="str">
        <f>IFERROR(IF(VLOOKUP(AX$8,TblComplem[],$AB3,FALSE)=0,"",VLOOKUP(AX$8,TblComplem[],$AB3,FALSE)),"")</f>
        <v>Comp. Salarial</v>
      </c>
      <c r="AY3" s="84" t="str">
        <f>IFERROR(IF(VLOOKUP(AY$8,TblComplem[],$AB3,FALSE)=0,"",VLOOKUP(AY$8,TblComplem[],$AB3,FALSE)),"")</f>
        <v>Comp. Salarial</v>
      </c>
      <c r="AZ3" s="84" t="str">
        <f>IFERROR(IF(VLOOKUP(AZ$8,TblComplem[],$AB3,FALSE)=0,"",VLOOKUP(AZ$8,TblComplem[],$AB3,FALSE)),"")</f>
        <v/>
      </c>
      <c r="BA3" s="84" t="str">
        <f>IFERROR(IF(VLOOKUP(BA$8,TblComplem[],$AB3,FALSE)=0,"",VLOOKUP(BA$8,TblComplem[],$AB3,FALSE)),"")</f>
        <v/>
      </c>
      <c r="BB3" s="84" t="str">
        <f>IFERROR(IF(VLOOKUP(BB$8,TblComplem[],$AB3,FALSE)=0,"",VLOOKUP(BB$8,TblComplem[],$AB3,FALSE)),"")</f>
        <v/>
      </c>
      <c r="BC3" s="84" t="str">
        <f>IFERROR(IF(VLOOKUP(BC$8,TblComplem[],$AB3,FALSE)=0,"",VLOOKUP(BC$8,TblComplem[],$AB3,FALSE)),"")</f>
        <v/>
      </c>
      <c r="BD3" s="84" t="str">
        <f>IFERROR(IF(VLOOKUP(BD$8,TblComplem[],$AB3,FALSE)=0,"",VLOOKUP(BD$8,TblComplem[],$AB3,FALSE)),"")</f>
        <v/>
      </c>
      <c r="BE3" s="84" t="str">
        <f>IFERROR(IF(VLOOKUP(BE$8,TblComplem[],$AB3,FALSE)=0,"",VLOOKUP(BE$8,TblComplem[],$AB3,FALSE)),"")</f>
        <v/>
      </c>
      <c r="BF3" s="84" t="str">
        <f>IFERROR(IF(VLOOKUP(BF$8,TblComplem[],$AB3,FALSE)=0,"",VLOOKUP(BF$8,TblComplem[],$AB3,FALSE)),"")</f>
        <v/>
      </c>
      <c r="BG3" s="84" t="str">
        <f>IFERROR(IF(VLOOKUP(BG$8,TblComplem[],$AB3,FALSE)=0,"",VLOOKUP(BG$8,TblComplem[],$AB3,FALSE)),"")</f>
        <v/>
      </c>
      <c r="BH3" s="84" t="str">
        <f>IFERROR(IF(VLOOKUP(BH$8,TblComplem[],$AB3,FALSE)=0,"",VLOOKUP(BH$8,TblComplem[],$AB3,FALSE)),"")</f>
        <v/>
      </c>
      <c r="BI3" s="84" t="str">
        <f>IFERROR(IF(VLOOKUP(BI$8,TblComplem[],$AB3,FALSE)=0,"",VLOOKUP(BI$8,TblComplem[],$AB3,FALSE)),"")</f>
        <v/>
      </c>
      <c r="BJ3" s="84" t="str">
        <f>IFERROR(IF(VLOOKUP(BJ$8,TblComplem[],$AB3,FALSE)=0,"",VLOOKUP(BJ$8,TblComplem[],$AB3,FALSE)),"")</f>
        <v/>
      </c>
      <c r="BK3" s="84"/>
      <c r="BL3" s="84"/>
      <c r="BM3" s="84"/>
      <c r="BN3" s="84"/>
      <c r="BO3" s="84"/>
      <c r="BP3" s="84" t="str">
        <f>IFERROR(IF(VLOOKUP(BP$8,TblComplem[],$AB3,FALSE)=0,"",VLOOKUP(BP$8,TblComplem[],$AB3,FALSE)),"")</f>
        <v/>
      </c>
      <c r="BQ3" s="84" t="str">
        <f>IFERROR(IF(VLOOKUP(BQ$8,TblComplem[],$AB3,FALSE)=0,"",VLOOKUP(BQ$8,TblComplem[],$AB3,FALSE)),"")</f>
        <v/>
      </c>
      <c r="BR3" s="84" t="str">
        <f>IFERROR(IF(VLOOKUP(BR$8,TblComplem[],$AB3,FALSE)=0,"",VLOOKUP(BR$8,TblComplem[],$AB3,FALSE)),"")</f>
        <v/>
      </c>
      <c r="BS3" s="84" t="str">
        <f>IFERROR(IF(VLOOKUP(BS$8,TblComplem[],$AB3,FALSE)=0,"",VLOOKUP(BS$8,TblComplem[],$AB3,FALSE)),"")</f>
        <v/>
      </c>
      <c r="BT3" s="84"/>
      <c r="BU3" s="84"/>
      <c r="BV3" s="84"/>
      <c r="BW3" s="84" t="str">
        <f>IFERROR(IF(VLOOKUP(BW$8,TblComplem[],$AB3,FALSE)=0,"",VLOOKUP(BW$8,TblComplem[],$AB3,FALSE)),"")</f>
        <v/>
      </c>
      <c r="BX3" s="84"/>
      <c r="BY3" s="84"/>
      <c r="BZ3" s="84"/>
      <c r="CA3" s="84"/>
      <c r="CB3" s="84" t="str">
        <f>IFERROR(IF(VLOOKUP(CB$8,TblComplem[],$AB3,FALSE)=0,"",VLOOKUP(CB$8,TblComplem[],$AB3,FALSE)),"")</f>
        <v/>
      </c>
      <c r="CC3" s="84" t="str">
        <f>IFERROR(IF(VLOOKUP(CC$8,TblComplem[],$AB3,FALSE)=0,"",VLOOKUP(CC$8,TblComplem[],$AB3,FALSE)),"")</f>
        <v/>
      </c>
      <c r="CD3" s="84" t="str">
        <f>IFERROR(IF(VLOOKUP(CD$8,TblComplem[],$AB3,FALSE)=0,"",VLOOKUP(CD$8,TblComplem[],$AB3,FALSE)),"")</f>
        <v/>
      </c>
      <c r="CE3" s="84"/>
      <c r="CF3" s="84"/>
      <c r="CG3" s="84" t="str">
        <f>IFERROR(IF(VLOOKUP(CG$8,TblComplem[],$AB3,FALSE)=0,"",VLOOKUP(CG$8,TblComplem[],$AB3,FALSE)),"")</f>
        <v/>
      </c>
      <c r="CJ3" s="1" t="s">
        <v>314</v>
      </c>
      <c r="CK3" s="79" t="s">
        <v>315</v>
      </c>
      <c r="CR3" s="85"/>
      <c r="CW3" s="86"/>
      <c r="CX3" s="86"/>
      <c r="CY3" s="86"/>
      <c r="CZ3" s="86"/>
      <c r="DA3" s="86"/>
      <c r="DB3" s="87"/>
    </row>
    <row r="4" spans="1:113" s="1" customFormat="1" x14ac:dyDescent="0.25">
      <c r="A4" s="272"/>
      <c r="C4" s="9" t="s">
        <v>6</v>
      </c>
      <c r="D4" s="88">
        <f>+Inicio!G10</f>
        <v>45657</v>
      </c>
      <c r="H4" s="255"/>
      <c r="AB4" s="89">
        <v>6</v>
      </c>
      <c r="AC4" s="90" t="s">
        <v>173</v>
      </c>
      <c r="AD4" s="91" t="str">
        <f>IFERROR(IF(VLOOKUP(AD$8,TblComplem[],$AB4,FALSE)=0,"",VLOOKUP(AD$8,TblComplem[],$AB4,FALSE)),"")</f>
        <v>Sí</v>
      </c>
      <c r="AE4" s="91" t="str">
        <f>IFERROR(IF(VLOOKUP(AE$8,TblComplem[],$AB4,FALSE)=0,"",VLOOKUP(AE$8,TblComplem[],$AB4,FALSE)),"")</f>
        <v>Sí</v>
      </c>
      <c r="AF4" s="91" t="str">
        <f>IFERROR(IF(VLOOKUP(AF$8,TblComplem[],$AB4,FALSE)=0,"",VLOOKUP(AF$8,TblComplem[],$AB4,FALSE)),"")</f>
        <v>Sí</v>
      </c>
      <c r="AG4" s="91" t="str">
        <f>IFERROR(IF(VLOOKUP(AG$8,TblComplem[],$AB4,FALSE)=0,"",VLOOKUP(AG$8,TblComplem[],$AB4,FALSE)),"")</f>
        <v>Sí</v>
      </c>
      <c r="AH4" s="91" t="str">
        <f>IFERROR(IF(VLOOKUP(AH$8,TblComplem[],$AB4,FALSE)=0,"",VLOOKUP(AH$8,TblComplem[],$AB4,FALSE)),"")</f>
        <v>Sí</v>
      </c>
      <c r="AI4" s="91" t="str">
        <f>IFERROR(IF(VLOOKUP(AI$8,TblComplem[],$AB4,FALSE)=0,"",VLOOKUP(AI$8,TblComplem[],$AB4,FALSE)),"")</f>
        <v>Sí</v>
      </c>
      <c r="AJ4" s="91" t="str">
        <f>IFERROR(IF(VLOOKUP(AJ$8,TblComplem[],$AB4,FALSE)=0,"",VLOOKUP(AJ$8,TblComplem[],$AB4,FALSE)),"")</f>
        <v>Sí</v>
      </c>
      <c r="AK4" s="91" t="str">
        <f>IFERROR(IF(VLOOKUP(AK$8,TblComplem[],$AB4,FALSE)=0,"",VLOOKUP(AK$8,TblComplem[],$AB4,FALSE)),"")</f>
        <v>Sí</v>
      </c>
      <c r="AL4" s="91" t="str">
        <f>IFERROR(IF(VLOOKUP(AL$8,TblComplem[],$AB4,FALSE)=0,"",VLOOKUP(AL$8,TblComplem[],$AB4,FALSE)),"")</f>
        <v>Sí</v>
      </c>
      <c r="AM4" s="91" t="str">
        <f>IFERROR(IF(VLOOKUP(AM$8,TblComplem[],$AB4,FALSE)=0,"",VLOOKUP(AM$8,TblComplem[],$AB4,FALSE)),"")</f>
        <v>Sí</v>
      </c>
      <c r="AN4" s="91" t="str">
        <f>IFERROR(IF(VLOOKUP(AN$8,TblComplem[],$AB4,FALSE)=0,"",VLOOKUP(AN$8,TblComplem[],$AB4,FALSE)),"")</f>
        <v>Sí</v>
      </c>
      <c r="AO4" s="91" t="str">
        <f>IFERROR(IF(VLOOKUP(AO$8,TblComplem[],$AB4,FALSE)=0,"",VLOOKUP(AO$8,TblComplem[],$AB4,FALSE)),"")</f>
        <v>Sí</v>
      </c>
      <c r="AP4" s="91" t="str">
        <f>IFERROR(IF(VLOOKUP(AP$8,TblComplem[],$AB4,FALSE)=0,"",VLOOKUP(AP$8,TblComplem[],$AB4,FALSE)),"")</f>
        <v>Sí</v>
      </c>
      <c r="AQ4" s="91" t="str">
        <f>IFERROR(IF(VLOOKUP(AQ$8,TblComplem[],$AB4,FALSE)=0,"",VLOOKUP(AQ$8,TblComplem[],$AB4,FALSE)),"")</f>
        <v>Sí</v>
      </c>
      <c r="AR4" s="91" t="str">
        <f>IFERROR(IF(VLOOKUP(AR$8,TblComplem[],$AB4,FALSE)=0,"",VLOOKUP(AR$8,TblComplem[],$AB4,FALSE)),"")</f>
        <v>Sí</v>
      </c>
      <c r="AS4" s="91" t="str">
        <f>IFERROR(IF(VLOOKUP(AS$8,TblComplem[],$AB4,FALSE)=0,"",VLOOKUP(AS$8,TblComplem[],$AB4,FALSE)),"")</f>
        <v>Sí</v>
      </c>
      <c r="AT4" s="91" t="str">
        <f>IFERROR(IF(VLOOKUP(AT$8,TblComplem[],$AB4,FALSE)=0,"",VLOOKUP(AT$8,TblComplem[],$AB4,FALSE)),"")</f>
        <v>Sí</v>
      </c>
      <c r="AU4" s="91" t="str">
        <f>IFERROR(IF(VLOOKUP(AU$8,TblComplem[],$AB4,FALSE)=0,"",VLOOKUP(AU$8,TblComplem[],$AB4,FALSE)),"")</f>
        <v>Sí</v>
      </c>
      <c r="AV4" s="91" t="str">
        <f>IFERROR(IF(VLOOKUP(AV$8,TblComplem[],$AB4,FALSE)=0,"",VLOOKUP(AV$8,TblComplem[],$AB4,FALSE)),"")</f>
        <v>Sí</v>
      </c>
      <c r="AW4" s="91" t="str">
        <f>IFERROR(IF(VLOOKUP(AW$8,TblComplem[],$AB4,FALSE)=0,"",VLOOKUP(AW$8,TblComplem[],$AB4,FALSE)),"")</f>
        <v>Sí</v>
      </c>
      <c r="AX4" s="91" t="str">
        <f>IFERROR(IF(VLOOKUP(AX$8,TblComplem[],$AB4,FALSE)=0,"",VLOOKUP(AX$8,TblComplem[],$AB4,FALSE)),"")</f>
        <v>Sí</v>
      </c>
      <c r="AY4" s="91" t="str">
        <f>IFERROR(IF(VLOOKUP(AY$8,TblComplem[],$AB4,FALSE)=0,"",VLOOKUP(AY$8,TblComplem[],$AB4,FALSE)),"")</f>
        <v>Sí</v>
      </c>
      <c r="AZ4" s="91" t="str">
        <f>IFERROR(IF(VLOOKUP(AZ$8,TblComplem[],$AB4,FALSE)=0,"",VLOOKUP(AZ$8,TblComplem[],$AB4,FALSE)),"")</f>
        <v/>
      </c>
      <c r="BA4" s="91" t="str">
        <f>IFERROR(IF(VLOOKUP(BA$8,TblComplem[],$AB4,FALSE)=0,"",VLOOKUP(BA$8,TblComplem[],$AB4,FALSE)),"")</f>
        <v/>
      </c>
      <c r="BB4" s="91" t="str">
        <f>IFERROR(IF(VLOOKUP(BB$8,TblComplem[],$AB4,FALSE)=0,"",VLOOKUP(BB$8,TblComplem[],$AB4,FALSE)),"")</f>
        <v/>
      </c>
      <c r="BC4" s="91" t="str">
        <f>IFERROR(IF(VLOOKUP(BC$8,TblComplem[],$AB4,FALSE)=0,"",VLOOKUP(BC$8,TblComplem[],$AB4,FALSE)),"")</f>
        <v/>
      </c>
      <c r="BD4" s="91" t="str">
        <f>IFERROR(IF(VLOOKUP(BD$8,TblComplem[],$AB4,FALSE)=0,"",VLOOKUP(BD$8,TblComplem[],$AB4,FALSE)),"")</f>
        <v/>
      </c>
      <c r="BE4" s="91" t="str">
        <f>IFERROR(IF(VLOOKUP(BE$8,TblComplem[],$AB4,FALSE)=0,"",VLOOKUP(BE$8,TblComplem[],$AB4,FALSE)),"")</f>
        <v/>
      </c>
      <c r="BF4" s="91" t="str">
        <f>IFERROR(IF(VLOOKUP(BF$8,TblComplem[],$AB4,FALSE)=0,"",VLOOKUP(BF$8,TblComplem[],$AB4,FALSE)),"")</f>
        <v/>
      </c>
      <c r="BG4" s="91" t="str">
        <f>IFERROR(IF(VLOOKUP(BG$8,TblComplem[],$AB4,FALSE)=0,"",VLOOKUP(BG$8,TblComplem[],$AB4,FALSE)),"")</f>
        <v/>
      </c>
      <c r="BH4" s="91" t="str">
        <f>IFERROR(IF(VLOOKUP(BH$8,TblComplem[],$AB4,FALSE)=0,"",VLOOKUP(BH$8,TblComplem[],$AB4,FALSE)),"")</f>
        <v/>
      </c>
      <c r="BI4" s="91" t="str">
        <f>IFERROR(IF(VLOOKUP(BI$8,TblComplem[],$AB4,FALSE)=0,"",VLOOKUP(BI$8,TblComplem[],$AB4,FALSE)),"")</f>
        <v/>
      </c>
      <c r="BJ4" s="91" t="str">
        <f>IFERROR(IF(VLOOKUP(BJ$8,TblComplem[],$AB4,FALSE)=0,"",VLOOKUP(BJ$8,TblComplem[],$AB4,FALSE)),"")</f>
        <v/>
      </c>
      <c r="BK4" s="91"/>
      <c r="BL4" s="91"/>
      <c r="BM4" s="91"/>
      <c r="BN4" s="91"/>
      <c r="BO4" s="91"/>
      <c r="BP4" s="91" t="str">
        <f>IFERROR(IF(VLOOKUP(BP$8,TblComplem[],$AB4,FALSE)=0,"",VLOOKUP(BP$8,TblComplem[],$AB4,FALSE)),"")</f>
        <v/>
      </c>
      <c r="BQ4" s="91" t="str">
        <f>IFERROR(IF(VLOOKUP(BQ$8,TblComplem[],$AB4,FALSE)=0,"",VLOOKUP(BQ$8,TblComplem[],$AB4,FALSE)),"")</f>
        <v/>
      </c>
      <c r="BR4" s="91" t="str">
        <f>IFERROR(IF(VLOOKUP(BR$8,TblComplem[],$AB4,FALSE)=0,"",VLOOKUP(BR$8,TblComplem[],$AB4,FALSE)),"")</f>
        <v/>
      </c>
      <c r="BS4" s="91" t="str">
        <f>IFERROR(IF(VLOOKUP(BS$8,TblComplem[],$AB4,FALSE)=0,"",VLOOKUP(BS$8,TblComplem[],$AB4,FALSE)),"")</f>
        <v/>
      </c>
      <c r="BT4" s="91"/>
      <c r="BU4" s="91"/>
      <c r="BV4" s="91"/>
      <c r="BW4" s="91" t="str">
        <f>IFERROR(IF(VLOOKUP(BW$8,TblComplem[],$AB4,FALSE)=0,"",VLOOKUP(BW$8,TblComplem[],$AB4,FALSE)),"")</f>
        <v/>
      </c>
      <c r="BX4" s="91"/>
      <c r="BY4" s="91"/>
      <c r="BZ4" s="91"/>
      <c r="CA4" s="91"/>
      <c r="CB4" s="91" t="str">
        <f>IFERROR(IF(VLOOKUP(CB$8,TblComplem[],$AB4,FALSE)=0,"",VLOOKUP(CB$8,TblComplem[],$AB4,FALSE)),"")</f>
        <v/>
      </c>
      <c r="CC4" s="91" t="str">
        <f>IFERROR(IF(VLOOKUP(CC$8,TblComplem[],$AB4,FALSE)=0,"",VLOOKUP(CC$8,TblComplem[],$AB4,FALSE)),"")</f>
        <v/>
      </c>
      <c r="CD4" s="91" t="str">
        <f>IFERROR(IF(VLOOKUP(CD$8,TblComplem[],$AB4,FALSE)=0,"",VLOOKUP(CD$8,TblComplem[],$AB4,FALSE)),"")</f>
        <v/>
      </c>
      <c r="CE4" s="91"/>
      <c r="CF4" s="91"/>
      <c r="CG4" s="91" t="str">
        <f>IFERROR(IF(VLOOKUP(CG$8,TblComplem[],$AB4,FALSE)=0,"",VLOOKUP(CG$8,TblComplem[],$AB4,FALSE)),"")</f>
        <v/>
      </c>
      <c r="CJ4" s="1" t="s">
        <v>316</v>
      </c>
      <c r="CR4" s="75"/>
      <c r="CW4" s="76"/>
      <c r="CX4" s="76"/>
      <c r="CY4" s="76"/>
      <c r="CZ4" s="76"/>
      <c r="DA4" s="76"/>
      <c r="DB4" s="77"/>
    </row>
    <row r="5" spans="1:113" s="1" customFormat="1" x14ac:dyDescent="0.25">
      <c r="A5" s="272"/>
      <c r="C5" s="92" t="s">
        <v>317</v>
      </c>
      <c r="D5" s="93">
        <f>D4-D3+1</f>
        <v>366</v>
      </c>
      <c r="H5" s="255"/>
      <c r="AB5" s="89">
        <v>7</v>
      </c>
      <c r="AC5" s="94" t="s">
        <v>174</v>
      </c>
      <c r="AD5" s="95" t="str">
        <f>IFERROR(IF(VLOOKUP(AD$8,TblComplem[],$AB5,FALSE)=0,"",VLOOKUP(AD$8,TblComplem[],$AB5,FALSE)),"")</f>
        <v>Sí</v>
      </c>
      <c r="AE5" s="95" t="str">
        <f>IFERROR(IF(VLOOKUP(AE$8,TblComplem[],$AB5,FALSE)=0,"",VLOOKUP(AE$8,TblComplem[],$AB5,FALSE)),"")</f>
        <v>Sí</v>
      </c>
      <c r="AF5" s="95" t="str">
        <f>IFERROR(IF(VLOOKUP(AF$8,TblComplem[],$AB5,FALSE)=0,"",VLOOKUP(AF$8,TblComplem[],$AB5,FALSE)),"")</f>
        <v>Sí</v>
      </c>
      <c r="AG5" s="95" t="str">
        <f>IFERROR(IF(VLOOKUP(AG$8,TblComplem[],$AB5,FALSE)=0,"",VLOOKUP(AG$8,TblComplem[],$AB5,FALSE)),"")</f>
        <v>Sí</v>
      </c>
      <c r="AH5" s="95" t="str">
        <f>IFERROR(IF(VLOOKUP(AH$8,TblComplem[],$AB5,FALSE)=0,"",VLOOKUP(AH$8,TblComplem[],$AB5,FALSE)),"")</f>
        <v>Sí</v>
      </c>
      <c r="AI5" s="95" t="str">
        <f>IFERROR(IF(VLOOKUP(AI$8,TblComplem[],$AB5,FALSE)=0,"",VLOOKUP(AI$8,TblComplem[],$AB5,FALSE)),"")</f>
        <v>Sí</v>
      </c>
      <c r="AJ5" s="95" t="str">
        <f>IFERROR(IF(VLOOKUP(AJ$8,TblComplem[],$AB5,FALSE)=0,"",VLOOKUP(AJ$8,TblComplem[],$AB5,FALSE)),"")</f>
        <v>Sí</v>
      </c>
      <c r="AK5" s="95" t="str">
        <f>IFERROR(IF(VLOOKUP(AK$8,TblComplem[],$AB5,FALSE)=0,"",VLOOKUP(AK$8,TblComplem[],$AB5,FALSE)),"")</f>
        <v>Sí</v>
      </c>
      <c r="AL5" s="95" t="str">
        <f>IFERROR(IF(VLOOKUP(AL$8,TblComplem[],$AB5,FALSE)=0,"",VLOOKUP(AL$8,TblComplem[],$AB5,FALSE)),"")</f>
        <v>Sí</v>
      </c>
      <c r="AM5" s="95" t="str">
        <f>IFERROR(IF(VLOOKUP(AM$8,TblComplem[],$AB5,FALSE)=0,"",VLOOKUP(AM$8,TblComplem[],$AB5,FALSE)),"")</f>
        <v>Sí</v>
      </c>
      <c r="AN5" s="95" t="str">
        <f>IFERROR(IF(VLOOKUP(AN$8,TblComplem[],$AB5,FALSE)=0,"",VLOOKUP(AN$8,TblComplem[],$AB5,FALSE)),"")</f>
        <v>Sí</v>
      </c>
      <c r="AO5" s="95" t="str">
        <f>IFERROR(IF(VLOOKUP(AO$8,TblComplem[],$AB5,FALSE)=0,"",VLOOKUP(AO$8,TblComplem[],$AB5,FALSE)),"")</f>
        <v>Sí</v>
      </c>
      <c r="AP5" s="95" t="str">
        <f>IFERROR(IF(VLOOKUP(AP$8,TblComplem[],$AB5,FALSE)=0,"",VLOOKUP(AP$8,TblComplem[],$AB5,FALSE)),"")</f>
        <v>Sí</v>
      </c>
      <c r="AQ5" s="95" t="str">
        <f>IFERROR(IF(VLOOKUP(AQ$8,TblComplem[],$AB5,FALSE)=0,"",VLOOKUP(AQ$8,TblComplem[],$AB5,FALSE)),"")</f>
        <v>Sí</v>
      </c>
      <c r="AR5" s="95" t="str">
        <f>IFERROR(IF(VLOOKUP(AR$8,TblComplem[],$AB5,FALSE)=0,"",VLOOKUP(AR$8,TblComplem[],$AB5,FALSE)),"")</f>
        <v>Sí</v>
      </c>
      <c r="AS5" s="95" t="str">
        <f>IFERROR(IF(VLOOKUP(AS$8,TblComplem[],$AB5,FALSE)=0,"",VLOOKUP(AS$8,TblComplem[],$AB5,FALSE)),"")</f>
        <v>Sí</v>
      </c>
      <c r="AT5" s="95" t="str">
        <f>IFERROR(IF(VLOOKUP(AT$8,TblComplem[],$AB5,FALSE)=0,"",VLOOKUP(AT$8,TblComplem[],$AB5,FALSE)),"")</f>
        <v>Sí</v>
      </c>
      <c r="AU5" s="95" t="str">
        <f>IFERROR(IF(VLOOKUP(AU$8,TblComplem[],$AB5,FALSE)=0,"",VLOOKUP(AU$8,TblComplem[],$AB5,FALSE)),"")</f>
        <v>Sí</v>
      </c>
      <c r="AV5" s="95" t="str">
        <f>IFERROR(IF(VLOOKUP(AV$8,TblComplem[],$AB5,FALSE)=0,"",VLOOKUP(AV$8,TblComplem[],$AB5,FALSE)),"")</f>
        <v>Sí</v>
      </c>
      <c r="AW5" s="95" t="str">
        <f>IFERROR(IF(VLOOKUP(AW$8,TblComplem[],$AB5,FALSE)=0,"",VLOOKUP(AW$8,TblComplem[],$AB5,FALSE)),"")</f>
        <v>Sí</v>
      </c>
      <c r="AX5" s="95" t="str">
        <f>IFERROR(IF(VLOOKUP(AX$8,TblComplem[],$AB5,FALSE)=0,"",VLOOKUP(AX$8,TblComplem[],$AB5,FALSE)),"")</f>
        <v>Sí</v>
      </c>
      <c r="AY5" s="95" t="str">
        <f>IFERROR(IF(VLOOKUP(AY$8,TblComplem[],$AB5,FALSE)=0,"",VLOOKUP(AY$8,TblComplem[],$AB5,FALSE)),"")</f>
        <v>Sí</v>
      </c>
      <c r="AZ5" s="95" t="str">
        <f>IFERROR(IF(VLOOKUP(AZ$8,TblComplem[],$AB5,FALSE)=0,"",VLOOKUP(AZ$8,TblComplem[],$AB5,FALSE)),"")</f>
        <v/>
      </c>
      <c r="BA5" s="95" t="str">
        <f>IFERROR(IF(VLOOKUP(BA$8,TblComplem[],$AB5,FALSE)=0,"",VLOOKUP(BA$8,TblComplem[],$AB5,FALSE)),"")</f>
        <v/>
      </c>
      <c r="BB5" s="95" t="str">
        <f>IFERROR(IF(VLOOKUP(BB$8,TblComplem[],$AB5,FALSE)=0,"",VLOOKUP(BB$8,TblComplem[],$AB5,FALSE)),"")</f>
        <v/>
      </c>
      <c r="BC5" s="95" t="str">
        <f>IFERROR(IF(VLOOKUP(BC$8,TblComplem[],$AB5,FALSE)=0,"",VLOOKUP(BC$8,TblComplem[],$AB5,FALSE)),"")</f>
        <v/>
      </c>
      <c r="BD5" s="95" t="str">
        <f>IFERROR(IF(VLOOKUP(BD$8,TblComplem[],$AB5,FALSE)=0,"",VLOOKUP(BD$8,TblComplem[],$AB5,FALSE)),"")</f>
        <v/>
      </c>
      <c r="BE5" s="95" t="str">
        <f>IFERROR(IF(VLOOKUP(BE$8,TblComplem[],$AB5,FALSE)=0,"",VLOOKUP(BE$8,TblComplem[],$AB5,FALSE)),"")</f>
        <v/>
      </c>
      <c r="BF5" s="95" t="str">
        <f>IFERROR(IF(VLOOKUP(BF$8,TblComplem[],$AB5,FALSE)=0,"",VLOOKUP(BF$8,TblComplem[],$AB5,FALSE)),"")</f>
        <v/>
      </c>
      <c r="BG5" s="95" t="str">
        <f>IFERROR(IF(VLOOKUP(BG$8,TblComplem[],$AB5,FALSE)=0,"",VLOOKUP(BG$8,TblComplem[],$AB5,FALSE)),"")</f>
        <v/>
      </c>
      <c r="BH5" s="95" t="str">
        <f>IFERROR(IF(VLOOKUP(BH$8,TblComplem[],$AB5,FALSE)=0,"",VLOOKUP(BH$8,TblComplem[],$AB5,FALSE)),"")</f>
        <v/>
      </c>
      <c r="BI5" s="95" t="str">
        <f>IFERROR(IF(VLOOKUP(BI$8,TblComplem[],$AB5,FALSE)=0,"",VLOOKUP(BI$8,TblComplem[],$AB5,FALSE)),"")</f>
        <v/>
      </c>
      <c r="BJ5" s="95" t="str">
        <f>IFERROR(IF(VLOOKUP(BJ$8,TblComplem[],$AB5,FALSE)=0,"",VLOOKUP(BJ$8,TblComplem[],$AB5,FALSE)),"")</f>
        <v/>
      </c>
      <c r="BK5" s="95"/>
      <c r="BL5" s="95"/>
      <c r="BM5" s="95"/>
      <c r="BN5" s="95"/>
      <c r="BO5" s="95"/>
      <c r="BP5" s="95" t="str">
        <f>IFERROR(IF(VLOOKUP(BP$8,TblComplem[],$AB5,FALSE)=0,"",VLOOKUP(BP$8,TblComplem[],$AB5,FALSE)),"")</f>
        <v/>
      </c>
      <c r="BQ5" s="95" t="str">
        <f>IFERROR(IF(VLOOKUP(BQ$8,TblComplem[],$AB5,FALSE)=0,"",VLOOKUP(BQ$8,TblComplem[],$AB5,FALSE)),"")</f>
        <v/>
      </c>
      <c r="BR5" s="95" t="str">
        <f>IFERROR(IF(VLOOKUP(BR$8,TblComplem[],$AB5,FALSE)=0,"",VLOOKUP(BR$8,TblComplem[],$AB5,FALSE)),"")</f>
        <v/>
      </c>
      <c r="BS5" s="95" t="str">
        <f>IFERROR(IF(VLOOKUP(BS$8,TblComplem[],$AB5,FALSE)=0,"",VLOOKUP(BS$8,TblComplem[],$AB5,FALSE)),"")</f>
        <v/>
      </c>
      <c r="BT5" s="95"/>
      <c r="BU5" s="95"/>
      <c r="BV5" s="95"/>
      <c r="BW5" s="95" t="str">
        <f>IFERROR(IF(VLOOKUP(BW$8,TblComplem[],$AB5,FALSE)=0,"",VLOOKUP(BW$8,TblComplem[],$AB5,FALSE)),"")</f>
        <v/>
      </c>
      <c r="BX5" s="95"/>
      <c r="BY5" s="95"/>
      <c r="BZ5" s="95"/>
      <c r="CA5" s="95"/>
      <c r="CB5" s="95" t="str">
        <f>IFERROR(IF(VLOOKUP(CB$8,TblComplem[],$AB5,FALSE)=0,"",VLOOKUP(CB$8,TblComplem[],$AB5,FALSE)),"")</f>
        <v/>
      </c>
      <c r="CC5" s="95" t="str">
        <f>IFERROR(IF(VLOOKUP(CC$8,TblComplem[],$AB5,FALSE)=0,"",VLOOKUP(CC$8,TblComplem[],$AB5,FALSE)),"")</f>
        <v/>
      </c>
      <c r="CD5" s="95" t="str">
        <f>IFERROR(IF(VLOOKUP(CD$8,TblComplem[],$AB5,FALSE)=0,"",VLOOKUP(CD$8,TblComplem[],$AB5,FALSE)),"")</f>
        <v/>
      </c>
      <c r="CE5" s="95"/>
      <c r="CF5" s="95"/>
      <c r="CG5" s="95" t="str">
        <f>IFERROR(IF(VLOOKUP(CG$8,TblComplem[],$AB5,FALSE)=0,"",VLOOKUP(CG$8,TblComplem[],$AB5,FALSE)),"")</f>
        <v/>
      </c>
      <c r="CJ5" s="1" t="s">
        <v>318</v>
      </c>
      <c r="CR5" s="75"/>
      <c r="CW5" s="76"/>
      <c r="CX5" s="76"/>
      <c r="CY5" s="76"/>
      <c r="CZ5" s="76"/>
      <c r="DA5" s="76"/>
      <c r="DB5" s="77"/>
    </row>
    <row r="6" spans="1:113" s="96" customFormat="1" ht="29.1" customHeight="1" x14ac:dyDescent="0.25">
      <c r="A6" s="274"/>
      <c r="H6" s="257"/>
      <c r="AB6" s="97">
        <v>2</v>
      </c>
      <c r="AC6" s="98" t="s">
        <v>172</v>
      </c>
      <c r="AD6" s="99" t="str">
        <f>IFERROR(IF(VLOOKUP(AD$8,TblComplem[],$AB6,FALSE)=0,"",VLOOKUP(AD$8,TblComplem[],$AB6,FALSE)),"")</f>
        <v>S.BASE</v>
      </c>
      <c r="AE6" s="99" t="str">
        <f>IFERROR(IF(VLOOKUP(AE$8,TblComplem[],$AB6,FALSE)=0,"",VLOOKUP(AE$8,TblComplem[],$AB6,FALSE)),"")</f>
        <v>HORAS EXTRAS</v>
      </c>
      <c r="AF6" s="99" t="str">
        <f>IFERROR(IF(VLOOKUP(AF$8,TblComplem[],$AB6,FALSE)=0,"",VLOOKUP(AF$8,TblComplem[],$AB6,FALSE)),"")</f>
        <v>SEGURO CONVENIO</v>
      </c>
      <c r="AG6" s="99" t="str">
        <f>IFERROR(IF(VLOOKUP(AG$8,TblComplem[],$AB6,FALSE)=0,"",VLOOKUP(AG$8,TblComplem[],$AB6,FALSE)),"")</f>
        <v>PLUS UNIFICADO</v>
      </c>
      <c r="AH6" s="99" t="str">
        <f>IFERROR(IF(VLOOKUP(AH$8,TblComplem[],$AB6,FALSE)=0,"",VLOOKUP(AH$8,TblComplem[],$AB6,FALSE)),"")</f>
        <v>GARANTIA AD PERS</v>
      </c>
      <c r="AI6" s="99" t="str">
        <f>IFERROR(IF(VLOOKUP(AI$8,TblComplem[],$AB6,FALSE)=0,"",VLOOKUP(AI$8,TblComplem[],$AB6,FALSE)),"")</f>
        <v>COMISIONES</v>
      </c>
      <c r="AJ6" s="99" t="str">
        <f>IFERROR(IF(VLOOKUP(AJ$8,TblComplem[],$AB6,FALSE)=0,"",VLOOKUP(AJ$8,TblComplem[],$AB6,FALSE)),"")</f>
        <v>DOMINGOS Y FESTIVOS</v>
      </c>
      <c r="AK6" s="99" t="str">
        <f>IFERROR(IF(VLOOKUP(AK$8,TblComplem[],$AB6,FALSE)=0,"",VLOOKUP(AK$8,TblComplem[],$AB6,FALSE)),"")</f>
        <v>LOCOMOCION NO</v>
      </c>
      <c r="AL6" s="99" t="str">
        <f>IFERROR(IF(VLOOKUP(AL$8,TblComplem[],$AB6,FALSE)=0,"",VLOOKUP(AL$8,TblComplem[],$AB6,FALSE)),"")</f>
        <v>PLUS EXTRA VAC</v>
      </c>
      <c r="AM6" s="99" t="str">
        <f>IFERROR(IF(VLOOKUP(AM$8,TblComplem[],$AB6,FALSE)=0,"",VLOOKUP(AM$8,TblComplem[],$AB6,FALSE)),"")</f>
        <v>PLUS DE TRANS</v>
      </c>
      <c r="AN6" s="99" t="str">
        <f>IFERROR(IF(VLOOKUP(AN$8,TblComplem[],$AB6,FALSE)=0,"",VLOOKUP(AN$8,TblComplem[],$AB6,FALSE)),"")</f>
        <v>PLUS ACTIVIDAD</v>
      </c>
      <c r="AO6" s="99" t="str">
        <f>IFERROR(IF(VLOOKUP(AO$8,TblComplem[],$AB6,FALSE)=0,"",VLOOKUP(AO$8,TblComplem[],$AB6,FALSE)),"")</f>
        <v>CUOTA SINDICAL</v>
      </c>
      <c r="AP6" s="99" t="str">
        <f>IFERROR(IF(VLOOKUP(AP$8,TblComplem[],$AB6,FALSE)=0,"",VLOOKUP(AP$8,TblComplem[],$AB6,FALSE)),"")</f>
        <v>AYUDA FAMILIAR</v>
      </c>
      <c r="AQ6" s="99" t="str">
        <f>IFERROR(IF(VLOOKUP(AQ$8,TblComplem[],$AB6,FALSE)=0,"",VLOOKUP(AQ$8,TblComplem[],$AB6,FALSE)),"")</f>
        <v>INCENTIVO</v>
      </c>
      <c r="AR6" s="99" t="str">
        <f>IFERROR(IF(VLOOKUP(AR$8,TblComplem[],$AB6,FALSE)=0,"",VLOOKUP(AR$8,TblComplem[],$AB6,FALSE)),"")</f>
        <v>SEGURO MEDICO</v>
      </c>
      <c r="AS6" s="99" t="str">
        <f>IFERROR(IF(VLOOKUP(AS$8,TblComplem[],$AB6,FALSE)=0,"",VLOOKUP(AS$8,TblComplem[],$AB6,FALSE)),"")</f>
        <v>DES. SEGURO MEDICO</v>
      </c>
      <c r="AT6" s="99" t="str">
        <f>IFERROR(IF(VLOOKUP(AT$8,TblComplem[],$AB6,FALSE)=0,"",VLOOKUP(AT$8,TblComplem[],$AB6,FALSE)),"")</f>
        <v>SEGURO SALUD 2</v>
      </c>
      <c r="AU6" s="99" t="str">
        <f>IFERROR(IF(VLOOKUP(AU$8,TblComplem[],$AB6,FALSE)=0,"",VLOOKUP(AU$8,TblComplem[],$AB6,FALSE)),"")</f>
        <v>COMP. EMPRESA I.T.</v>
      </c>
      <c r="AV6" s="99" t="str">
        <f>IFERROR(IF(VLOOKUP(AV$8,TblComplem[],$AB6,FALSE)=0,"",VLOOKUP(AV$8,TblComplem[],$AB6,FALSE)),"")</f>
        <v>I.T. CUENTA EMPRESA</v>
      </c>
      <c r="AW6" s="99" t="str">
        <f>IFERROR(IF(VLOOKUP(AW$8,TblComplem[],$AB6,FALSE)=0,"",VLOOKUP(AW$8,TblComplem[],$AB6,FALSE)),"")</f>
        <v>SALARIO EN ESPECIE</v>
      </c>
      <c r="AX6" s="99" t="str">
        <f>IFERROR(IF(VLOOKUP(AX$8,TblComplem[],$AB6,FALSE)=0,"",VLOOKUP(AX$8,TblComplem[],$AB6,FALSE)),"")</f>
        <v>PLUS DE POLIVALENCIA</v>
      </c>
      <c r="AY6" s="99" t="str">
        <f>IFERROR(IF(VLOOKUP(AY$8,TblComplem[],$AB6,FALSE)=0,"",VLOOKUP(AY$8,TblComplem[],$AB6,FALSE)),"")</f>
        <v>LIQUID  PAGAS EXTRA</v>
      </c>
      <c r="AZ6" s="99" t="str">
        <f>IFERROR(IF(VLOOKUP(AZ$8,TblComplem[],$AB6,FALSE)=0,"",VLOOKUP(AZ$8,TblComplem[],$AB6,FALSE)),"")</f>
        <v/>
      </c>
      <c r="BA6" s="99" t="str">
        <f>IFERROR(IF(VLOOKUP(BA$8,TblComplem[],$AB6,FALSE)=0,"",VLOOKUP(BA$8,TblComplem[],$AB6,FALSE)),"")</f>
        <v/>
      </c>
      <c r="BB6" s="99" t="str">
        <f>IFERROR(IF(VLOOKUP(BB$8,TblComplem[],$AB6,FALSE)=0,"",VLOOKUP(BB$8,TblComplem[],$AB6,FALSE)),"")</f>
        <v/>
      </c>
      <c r="BC6" s="99" t="str">
        <f>IFERROR(IF(VLOOKUP(BC$8,TblComplem[],$AB6,FALSE)=0,"",VLOOKUP(BC$8,TblComplem[],$AB6,FALSE)),"")</f>
        <v/>
      </c>
      <c r="BD6" s="99" t="str">
        <f>IFERROR(IF(VLOOKUP(BD$8,TblComplem[],$AB6,FALSE)=0,"",VLOOKUP(BD$8,TblComplem[],$AB6,FALSE)),"")</f>
        <v/>
      </c>
      <c r="BE6" s="99" t="str">
        <f>IFERROR(IF(VLOOKUP(BE$8,TblComplem[],$AB6,FALSE)=0,"",VLOOKUP(BE$8,TblComplem[],$AB6,FALSE)),"")</f>
        <v/>
      </c>
      <c r="BF6" s="99" t="str">
        <f>IFERROR(IF(VLOOKUP(BF$8,TblComplem[],$AB6,FALSE)=0,"",VLOOKUP(BF$8,TblComplem[],$AB6,FALSE)),"")</f>
        <v/>
      </c>
      <c r="BG6" s="99" t="str">
        <f>IFERROR(IF(VLOOKUP(BG$8,TblComplem[],$AB6,FALSE)=0,"",VLOOKUP(BG$8,TblComplem[],$AB6,FALSE)),"")</f>
        <v/>
      </c>
      <c r="BH6" s="99" t="str">
        <f>IFERROR(IF(VLOOKUP(BH$8,TblComplem[],$AB6,FALSE)=0,"",VLOOKUP(BH$8,TblComplem[],$AB6,FALSE)),"")</f>
        <v/>
      </c>
      <c r="BI6" s="99" t="str">
        <f>IFERROR(IF(VLOOKUP(BI$8,TblComplem[],$AB6,FALSE)=0,"",VLOOKUP(BI$8,TblComplem[],$AB6,FALSE)),"")</f>
        <v/>
      </c>
      <c r="BJ6" s="99" t="str">
        <f>IFERROR(IF(VLOOKUP(BJ$8,TblComplem[],$AB6,FALSE)=0,"",VLOOKUP(BJ$8,TblComplem[],$AB6,FALSE)),"")</f>
        <v/>
      </c>
      <c r="BK6" s="99"/>
      <c r="BL6" s="99"/>
      <c r="BM6" s="99"/>
      <c r="BN6" s="99"/>
      <c r="BO6" s="99"/>
      <c r="BP6" s="99" t="str">
        <f>IFERROR(IF(VLOOKUP(BP$8,TblComplem[],$AB6,FALSE)=0,"",VLOOKUP(BP$8,TblComplem[],$AB6,FALSE)),"")</f>
        <v/>
      </c>
      <c r="BQ6" s="99" t="str">
        <f>IFERROR(IF(VLOOKUP(BQ$8,TblComplem[],$AB6,FALSE)=0,"",VLOOKUP(BQ$8,TblComplem[],$AB6,FALSE)),"")</f>
        <v/>
      </c>
      <c r="BR6" s="99" t="str">
        <f>IFERROR(IF(VLOOKUP(BR$8,TblComplem[],$AB6,FALSE)=0,"",VLOOKUP(BR$8,TblComplem[],$AB6,FALSE)),"")</f>
        <v/>
      </c>
      <c r="BS6" s="99" t="str">
        <f>IFERROR(IF(VLOOKUP(BS$8,TblComplem[],$AB6,FALSE)=0,"",VLOOKUP(BS$8,TblComplem[],$AB6,FALSE)),"")</f>
        <v/>
      </c>
      <c r="BT6" s="99"/>
      <c r="BU6" s="99"/>
      <c r="BV6" s="99"/>
      <c r="BW6" s="99" t="str">
        <f>IFERROR(IF(VLOOKUP(BW$8,TblComplem[],$AB6,FALSE)=0,"",VLOOKUP(BW$8,TblComplem[],$AB6,FALSE)),"")</f>
        <v/>
      </c>
      <c r="BX6" s="99"/>
      <c r="BY6" s="99"/>
      <c r="BZ6" s="99"/>
      <c r="CA6" s="99"/>
      <c r="CB6" s="99" t="str">
        <f>IFERROR(IF(VLOOKUP(CB$8,TblComplem[],$AB6,FALSE)=0,"",VLOOKUP(CB$8,TblComplem[],$AB6,FALSE)),"")</f>
        <v/>
      </c>
      <c r="CC6" s="99" t="str">
        <f>IFERROR(IF(VLOOKUP(CC$8,TblComplem[],$AB6,FALSE)=0,"",VLOOKUP(CC$8,TblComplem[],$AB6,FALSE)),"")</f>
        <v/>
      </c>
      <c r="CD6" s="99" t="str">
        <f>IFERROR(IF(VLOOKUP(CD$8,TblComplem[],$AB6,FALSE)=0,"",VLOOKUP(CD$8,TblComplem[],$AB6,FALSE)),"")</f>
        <v/>
      </c>
      <c r="CE6" s="99"/>
      <c r="CF6" s="99"/>
      <c r="CG6" s="99" t="str">
        <f>IFERROR(IF(VLOOKUP(CG$8,TblComplem[],$AB6,FALSE)=0,"",VLOOKUP(CG$8,TblComplem[],$AB6,FALSE)),"")</f>
        <v/>
      </c>
      <c r="CQ6" s="1"/>
      <c r="DB6" s="100"/>
    </row>
    <row r="7" spans="1:113" s="1" customFormat="1" x14ac:dyDescent="0.25">
      <c r="A7" s="272"/>
      <c r="H7" s="255"/>
      <c r="CS7" s="101" t="s">
        <v>169</v>
      </c>
      <c r="CT7" s="101"/>
      <c r="CU7" s="101" t="s">
        <v>170</v>
      </c>
      <c r="CW7" s="76"/>
      <c r="CX7" s="76"/>
      <c r="CY7" s="76"/>
      <c r="CZ7" s="76"/>
      <c r="DA7" s="76"/>
      <c r="DB7" s="77"/>
    </row>
    <row r="8" spans="1:113" s="106" customFormat="1" ht="66" customHeight="1" x14ac:dyDescent="0.3">
      <c r="A8" s="275" t="s">
        <v>16</v>
      </c>
      <c r="B8" s="304" t="s">
        <v>319</v>
      </c>
      <c r="C8" s="217" t="s">
        <v>21</v>
      </c>
      <c r="D8" s="217" t="s">
        <v>25</v>
      </c>
      <c r="E8" s="217" t="s">
        <v>29</v>
      </c>
      <c r="F8" s="217" t="s">
        <v>31</v>
      </c>
      <c r="G8" s="217" t="s">
        <v>34</v>
      </c>
      <c r="H8" s="258" t="s">
        <v>36</v>
      </c>
      <c r="I8" s="218" t="s">
        <v>320</v>
      </c>
      <c r="J8" s="218" t="s">
        <v>41</v>
      </c>
      <c r="K8" s="218" t="s">
        <v>43</v>
      </c>
      <c r="L8" s="218" t="s">
        <v>45</v>
      </c>
      <c r="M8" s="218" t="s">
        <v>47</v>
      </c>
      <c r="N8" s="219" t="s">
        <v>51</v>
      </c>
      <c r="O8" s="219" t="s">
        <v>53</v>
      </c>
      <c r="P8" s="220" t="s">
        <v>56</v>
      </c>
      <c r="Q8" s="221" t="s">
        <v>59</v>
      </c>
      <c r="R8" s="221" t="s">
        <v>63</v>
      </c>
      <c r="S8" s="221" t="s">
        <v>65</v>
      </c>
      <c r="T8" s="221" t="s">
        <v>321</v>
      </c>
      <c r="U8" s="221" t="s">
        <v>70</v>
      </c>
      <c r="V8" s="221" t="s">
        <v>73</v>
      </c>
      <c r="W8" s="222" t="s">
        <v>322</v>
      </c>
      <c r="X8" s="222" t="s">
        <v>79</v>
      </c>
      <c r="Y8" s="223" t="s">
        <v>83</v>
      </c>
      <c r="Z8" s="224" t="s">
        <v>87</v>
      </c>
      <c r="AA8" s="223" t="s">
        <v>89</v>
      </c>
      <c r="AB8" s="223" t="s">
        <v>91</v>
      </c>
      <c r="AC8" s="225" t="s">
        <v>93</v>
      </c>
      <c r="AD8" s="226" t="s">
        <v>97</v>
      </c>
      <c r="AE8" s="227" t="s">
        <v>101</v>
      </c>
      <c r="AF8" s="227" t="s">
        <v>103</v>
      </c>
      <c r="AG8" s="227" t="s">
        <v>105</v>
      </c>
      <c r="AH8" s="227" t="s">
        <v>107</v>
      </c>
      <c r="AI8" s="227" t="s">
        <v>109</v>
      </c>
      <c r="AJ8" s="227" t="s">
        <v>197</v>
      </c>
      <c r="AK8" s="227" t="s">
        <v>201</v>
      </c>
      <c r="AL8" s="227" t="s">
        <v>205</v>
      </c>
      <c r="AM8" s="227" t="s">
        <v>210</v>
      </c>
      <c r="AN8" s="227" t="s">
        <v>215</v>
      </c>
      <c r="AO8" s="227" t="s">
        <v>219</v>
      </c>
      <c r="AP8" s="227" t="s">
        <v>223</v>
      </c>
      <c r="AQ8" s="227" t="s">
        <v>227</v>
      </c>
      <c r="AR8" s="227" t="s">
        <v>231</v>
      </c>
      <c r="AS8" s="227" t="s">
        <v>235</v>
      </c>
      <c r="AT8" s="227" t="s">
        <v>240</v>
      </c>
      <c r="AU8" s="227" t="s">
        <v>245</v>
      </c>
      <c r="AV8" s="227" t="s">
        <v>250</v>
      </c>
      <c r="AW8" s="227" t="s">
        <v>254</v>
      </c>
      <c r="AX8" s="227" t="s">
        <v>258</v>
      </c>
      <c r="AY8" s="227" t="s">
        <v>262</v>
      </c>
      <c r="AZ8" s="227" t="s">
        <v>267</v>
      </c>
      <c r="BA8" s="227" t="s">
        <v>270</v>
      </c>
      <c r="BB8" s="227" t="s">
        <v>273</v>
      </c>
      <c r="BC8" s="227" t="s">
        <v>276</v>
      </c>
      <c r="BD8" s="227" t="s">
        <v>279</v>
      </c>
      <c r="BE8" s="227" t="s">
        <v>282</v>
      </c>
      <c r="BF8" s="227" t="s">
        <v>285</v>
      </c>
      <c r="BG8" s="227" t="s">
        <v>288</v>
      </c>
      <c r="BH8" s="227" t="s">
        <v>112</v>
      </c>
      <c r="BI8" s="227" t="s">
        <v>291</v>
      </c>
      <c r="BJ8" s="227" t="s">
        <v>292</v>
      </c>
      <c r="BK8" s="227" t="s">
        <v>293</v>
      </c>
      <c r="BL8" s="227" t="s">
        <v>294</v>
      </c>
      <c r="BM8" s="227" t="s">
        <v>295</v>
      </c>
      <c r="BN8" s="227" t="s">
        <v>296</v>
      </c>
      <c r="BO8" s="227" t="s">
        <v>297</v>
      </c>
      <c r="BP8" s="227" t="s">
        <v>298</v>
      </c>
      <c r="BQ8" s="227" t="s">
        <v>299</v>
      </c>
      <c r="BR8" s="227" t="s">
        <v>300</v>
      </c>
      <c r="BS8" s="227" t="s">
        <v>301</v>
      </c>
      <c r="BT8" s="227" t="s">
        <v>302</v>
      </c>
      <c r="BU8" s="227" t="s">
        <v>303</v>
      </c>
      <c r="BV8" s="227" t="s">
        <v>304</v>
      </c>
      <c r="BW8" s="228" t="s">
        <v>114</v>
      </c>
      <c r="BX8" s="228" t="s">
        <v>305</v>
      </c>
      <c r="BY8" s="228" t="s">
        <v>306</v>
      </c>
      <c r="BZ8" s="228" t="s">
        <v>307</v>
      </c>
      <c r="CA8" s="228" t="s">
        <v>116</v>
      </c>
      <c r="CB8" s="228" t="s">
        <v>308</v>
      </c>
      <c r="CC8" s="228" t="s">
        <v>309</v>
      </c>
      <c r="CD8" s="228" t="s">
        <v>310</v>
      </c>
      <c r="CE8" s="228" t="s">
        <v>311</v>
      </c>
      <c r="CF8" s="228" t="s">
        <v>312</v>
      </c>
      <c r="CG8" s="228" t="s">
        <v>313</v>
      </c>
      <c r="CH8" s="229" t="s">
        <v>118</v>
      </c>
      <c r="CI8" s="229" t="s">
        <v>121</v>
      </c>
      <c r="CJ8" s="102" t="s">
        <v>123</v>
      </c>
      <c r="CK8" s="103" t="s">
        <v>125</v>
      </c>
      <c r="CL8" s="230" t="s">
        <v>127</v>
      </c>
      <c r="CM8" s="230" t="s">
        <v>130</v>
      </c>
      <c r="CN8" s="231" t="s">
        <v>133</v>
      </c>
      <c r="CO8" s="231" t="s">
        <v>135</v>
      </c>
      <c r="CP8" s="231" t="s">
        <v>137</v>
      </c>
      <c r="CQ8" s="230" t="s">
        <v>139</v>
      </c>
      <c r="CR8" s="232" t="s">
        <v>323</v>
      </c>
      <c r="CS8" s="233" t="s">
        <v>324</v>
      </c>
      <c r="CT8" s="234" t="s">
        <v>325</v>
      </c>
      <c r="CU8" s="235" t="s">
        <v>326</v>
      </c>
      <c r="CV8" s="236" t="s">
        <v>327</v>
      </c>
      <c r="CW8" s="237" t="s">
        <v>151</v>
      </c>
      <c r="CX8" s="238" t="s">
        <v>153</v>
      </c>
      <c r="CY8" s="239" t="s">
        <v>155</v>
      </c>
      <c r="CZ8" s="240" t="s">
        <v>157</v>
      </c>
      <c r="DA8" s="241" t="s">
        <v>159</v>
      </c>
      <c r="DB8" s="104" t="s">
        <v>328</v>
      </c>
      <c r="DC8" s="104" t="s">
        <v>329</v>
      </c>
      <c r="DD8" s="105" t="s">
        <v>330</v>
      </c>
      <c r="DE8" s="105" t="s">
        <v>331</v>
      </c>
      <c r="DF8" s="105" t="s">
        <v>332</v>
      </c>
      <c r="DG8" s="105" t="s">
        <v>333</v>
      </c>
      <c r="DH8" s="105" t="s">
        <v>334</v>
      </c>
      <c r="DI8" s="105" t="s">
        <v>335</v>
      </c>
    </row>
    <row r="9" spans="1:113" ht="12.9" customHeight="1" x14ac:dyDescent="0.25">
      <c r="A9" s="303" t="s">
        <v>336</v>
      </c>
      <c r="B9" s="265">
        <v>1</v>
      </c>
      <c r="C9" s="264" t="s">
        <v>337</v>
      </c>
      <c r="D9" s="243">
        <v>24001</v>
      </c>
      <c r="E9" s="243" t="s">
        <v>338</v>
      </c>
      <c r="F9" s="245"/>
      <c r="G9" s="245"/>
      <c r="H9" s="266">
        <v>31479</v>
      </c>
      <c r="I9" s="268"/>
      <c r="J9" s="260">
        <v>31479</v>
      </c>
      <c r="K9" s="267"/>
      <c r="L9" s="267"/>
      <c r="M9" s="244">
        <v>1</v>
      </c>
      <c r="N9" s="244"/>
      <c r="O9" s="244"/>
      <c r="P9" s="245"/>
      <c r="Q9" s="242" t="s">
        <v>339</v>
      </c>
      <c r="R9" s="242" t="s">
        <v>339</v>
      </c>
      <c r="S9" s="242" t="s">
        <v>340</v>
      </c>
      <c r="T9" s="242" t="s">
        <v>341</v>
      </c>
      <c r="U9" s="242" t="s">
        <v>342</v>
      </c>
      <c r="V9" s="242"/>
      <c r="W9" s="242"/>
      <c r="X9" s="246"/>
      <c r="Y9" s="271">
        <v>14000425011981</v>
      </c>
      <c r="Z9" s="247"/>
      <c r="AA9" s="279" t="s">
        <v>343</v>
      </c>
      <c r="AB9" s="248"/>
      <c r="AC9" s="245">
        <v>8</v>
      </c>
      <c r="AD9" s="261"/>
      <c r="AE9" s="262"/>
      <c r="AF9" s="262"/>
      <c r="AG9" s="262"/>
      <c r="AH9" s="262"/>
      <c r="AI9" s="262"/>
      <c r="AJ9" s="262"/>
      <c r="AK9" s="262"/>
      <c r="AL9" s="262"/>
      <c r="AM9" s="262"/>
      <c r="AN9" s="262"/>
      <c r="AO9" s="262"/>
      <c r="AP9" s="262"/>
      <c r="AQ9" s="262"/>
      <c r="AR9" s="262"/>
      <c r="AS9" s="262"/>
      <c r="AT9" s="262"/>
      <c r="AU9" s="262"/>
      <c r="AV9" s="262"/>
      <c r="AW9" s="270"/>
      <c r="AX9" s="262"/>
      <c r="AY9" s="262"/>
      <c r="AZ9" s="262"/>
      <c r="BA9" s="262"/>
      <c r="BB9" s="262"/>
      <c r="BC9" s="262"/>
      <c r="BD9" s="262"/>
      <c r="BE9" s="262"/>
      <c r="BF9" s="262"/>
      <c r="BG9" s="262"/>
      <c r="BH9" s="262"/>
      <c r="BI9" s="262"/>
      <c r="BJ9" s="262"/>
      <c r="BK9" s="262"/>
      <c r="BL9" s="262"/>
      <c r="BM9" s="262"/>
      <c r="BN9" s="262"/>
      <c r="BO9" s="262"/>
      <c r="BP9" s="262"/>
      <c r="BQ9" s="262"/>
      <c r="BR9" s="262"/>
      <c r="BS9" s="262"/>
      <c r="BT9" s="262"/>
      <c r="BU9" s="262"/>
      <c r="BV9" s="262"/>
      <c r="BW9" s="263"/>
      <c r="BX9" s="263"/>
      <c r="BY9" s="263"/>
      <c r="BZ9" s="263"/>
      <c r="CA9" s="263"/>
      <c r="CB9" s="263"/>
      <c r="CC9" s="263"/>
      <c r="CD9" s="263"/>
      <c r="CE9" s="263"/>
      <c r="CF9" s="263"/>
      <c r="CG9" s="263"/>
      <c r="CH9" s="249">
        <f>+MAX($D$3,DATOS_[[#This Row],[Fecha Inicio Sit. Contract.]])</f>
        <v>45292</v>
      </c>
      <c r="CI9" s="249">
        <f>+MIN($D$4,DATOS_[[#This Row],[Fecha Fin Sit. Contract.]])</f>
        <v>45657</v>
      </c>
      <c r="CJ9" s="250">
        <f>+DATOS_[[#This Row],[% de jornada]]*IF(DATOS_[[#This Row],[% jornada reducida]]="",1,DATOS_[[#This Row],[% jornada reducida]])</f>
        <v>1</v>
      </c>
      <c r="CK9" s="250">
        <f>+(DATOS_[[#This Row],[F.fin.cal]]-DATOS_[[#This Row],[F.ini.cal]]+1)/($D$4-$D$3+1)</f>
        <v>1</v>
      </c>
      <c r="CL9" s="250" t="str">
        <f>IF(OR(AND(DATOS_[[#This Row],[Fecha Fin Contrato]]&lt;$D$3,DATOS_[[#This Row],[Fecha Fin Contrato]]&lt;&gt;""),DATOS_[[#This Row],[Fecha de Contratación]]&gt;$D$4),"Fuera","Dentro")</f>
        <v>Dentro</v>
      </c>
      <c r="CM9" s="250" t="str">
        <f t="array" ref="CM9">IF(MAX(IF(DATOS_[id/cod]=DATOS_[[#This Row],[id/cod]],DATOS_[F.fin.cal]))=DATOS_[[#This Row],[F.fin.cal]],"Sí","NO")</f>
        <v>Sí</v>
      </c>
      <c r="CN9" s="250" t="str">
        <f>IF(AND(DATOS_[[#This Row],[% normaliz]]&lt;&gt;1,DATOS_[[#This Row],[% anualiz]]=1),"Sí","NO")</f>
        <v>NO</v>
      </c>
      <c r="CO9" s="250" t="str">
        <f>IF(AND(DATOS_[[#This Row],[% normaliz]]=1,DATOS_[[#This Row],[% anualiz]]&lt;&gt;1),"Sí","NO")</f>
        <v>NO</v>
      </c>
      <c r="CP9" s="250" t="str">
        <f>IF(AND(DATOS_[[#This Row],[% normaliz]]&lt;&gt;1,DATOS_[[#This Row],[% anualiz]]&lt;&gt;1),"Sí","NO")</f>
        <v>NO</v>
      </c>
      <c r="CQ9" s="250" t="str">
        <f>+IF(DATOS_[[#This Row],[% normaliz]]*DATOS_[[#This Row],[% anualiz]]=1,"NO","Sí")</f>
        <v>NO</v>
      </c>
      <c r="CR9" s="251">
        <f>(DATOS_[[#This Row],[S.BASE]]*(1/DATOS_[[#This Row],[% normaliz]])*(1/DATOS_[[#This Row],[% anualiz]]))*IF(DATOS_[[#This Row],[Check Equiparado]]="Sí",1,0)</f>
        <v>0</v>
      </c>
      <c r="CS9"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9" s="251">
        <f>+DATOS_[[#This Row],[SALARIO BASE Eq]]+DATOS_[[#This Row],[Tot COMPL.SAL Eq]]</f>
        <v>0</v>
      </c>
      <c r="CU9" s="251" cm="1">
        <f t="array" ref="CU9">(SUMPRODUCT((RngTipo=$CU$7)*(rngAnualizable="Sí")*(rngNormalizable="Sí")*(DATOS_[[#This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9" s="251">
        <f>+DATOS_[[#This Row],[TOTAL SALARIO Eq]]+DATOS_[[#This Row],[Tot Extrasalarial Eq]]</f>
        <v>0</v>
      </c>
      <c r="CW9" s="252">
        <f>DATOS_[[#This Row],[S.BASE]]</f>
        <v>0</v>
      </c>
      <c r="CX9" s="252">
        <f>+SUM(DATOS_[[#This Row],[Conc.Sal.01]:[Conc.Sal.30]])</f>
        <v>0</v>
      </c>
      <c r="CY9" s="252">
        <f>+DATOS_[[#This Row],[SALARIO BASE Ef]]+DATOS_[[#This Row],[Tot COMPL.SAL Ef]]</f>
        <v>0</v>
      </c>
      <c r="CZ9" s="252">
        <f>+SUM(DATOS_[[#This Row],[C.Extra.01]:[C.Extra.11]])</f>
        <v>0</v>
      </c>
      <c r="DA9" s="252">
        <f>+DATOS_[[#This Row],[TOTAL SALARIO Ef]]+DATOS_[[#This Row],[Tot Extrasalarial Ef]]</f>
        <v>0</v>
      </c>
      <c r="DB9" s="109">
        <f>MIN(IF(DATOS_[[#This Row],[Fecha Fin Contrato]]="",$D$4,DATOS_[[#This Row],[Fecha Fin Contrato]]),$D$4)-MAX(DATOS_[[#This Row],[Fecha de Contratación]],$D$3)+1</f>
        <v>366</v>
      </c>
      <c r="DC9" s="110" t="str">
        <f>IF(COUNTIFS(DATOS_[id/cod],DATOS_[[#This Row],[id/cod]])&gt;1,DATOS_[[#This Row],[id/cod]],"")</f>
        <v/>
      </c>
      <c r="DD9" s="110">
        <f>(Inicio!$G$10-DATOS_[[#This Row],[Fecha Nacimiento]])/365.25</f>
        <v>59.290896646132786</v>
      </c>
      <c r="DE9" s="110">
        <f>(Inicio!$G$10-DATOS_[[#This Row],[Fecha de Antigüedad]])/365.25</f>
        <v>38.817248459958932</v>
      </c>
      <c r="DF9" s="110" t="e">
        <f>+VLOOKUP(DATOS_[[#This Row],[Clave de Contrato]],TblTiposContrato13[],3,FALSE)</f>
        <v>#N/A</v>
      </c>
      <c r="DG9" s="110" t="e">
        <f>+VLOOKUP(DATOS_[[#This Row],[Clave de Contrato]],TblTiposContrato13[],4,FALSE)</f>
        <v>#N/A</v>
      </c>
      <c r="DH9" s="110" t="str">
        <f>VLOOKUP(DATOS_[[#This Row],[Edad]],CONTRATOS!TblRngEdad,2,TRUE)</f>
        <v>55 a 60</v>
      </c>
      <c r="DI9" s="110" t="str">
        <f>VLOOKUP(DATOS_[[#This Row],[Antigüedad]],TblRngAntg14[],2,TRUE)</f>
        <v>más de 15</v>
      </c>
    </row>
    <row r="10" spans="1:113" ht="12.9" customHeight="1" x14ac:dyDescent="0.25">
      <c r="A10" s="303" t="s">
        <v>344</v>
      </c>
      <c r="B10" s="265">
        <v>2</v>
      </c>
      <c r="C10" s="264" t="s">
        <v>337</v>
      </c>
      <c r="D10" s="243">
        <v>22330</v>
      </c>
      <c r="E10" s="243" t="s">
        <v>345</v>
      </c>
      <c r="F10" s="245"/>
      <c r="G10" s="245"/>
      <c r="H10" s="266">
        <v>33635</v>
      </c>
      <c r="I10" s="268"/>
      <c r="J10" s="260">
        <v>33635</v>
      </c>
      <c r="K10" s="267"/>
      <c r="L10" s="267"/>
      <c r="M10" s="244">
        <v>1</v>
      </c>
      <c r="N10" s="244"/>
      <c r="O10" s="244"/>
      <c r="P10" s="245"/>
      <c r="Q10" s="242" t="s">
        <v>339</v>
      </c>
      <c r="R10" s="242" t="s">
        <v>339</v>
      </c>
      <c r="S10" s="242" t="s">
        <v>346</v>
      </c>
      <c r="T10" s="242" t="s">
        <v>341</v>
      </c>
      <c r="U10" s="242" t="s">
        <v>342</v>
      </c>
      <c r="V10" s="242"/>
      <c r="W10" s="242"/>
      <c r="X10" s="246"/>
      <c r="Y10" s="271">
        <v>14000425011981</v>
      </c>
      <c r="Z10" s="247"/>
      <c r="AA10" s="279" t="s">
        <v>343</v>
      </c>
      <c r="AB10" s="248"/>
      <c r="AC10" s="245">
        <v>8</v>
      </c>
      <c r="AD10" s="261"/>
      <c r="AE10" s="262"/>
      <c r="AF10" s="262"/>
      <c r="AG10" s="262"/>
      <c r="AH10" s="262"/>
      <c r="AI10" s="262"/>
      <c r="AJ10" s="262"/>
      <c r="AK10" s="262"/>
      <c r="AL10" s="262"/>
      <c r="AM10" s="262"/>
      <c r="AN10" s="262"/>
      <c r="AO10" s="262"/>
      <c r="AP10" s="262"/>
      <c r="AQ10" s="262"/>
      <c r="AR10" s="262"/>
      <c r="AS10" s="262"/>
      <c r="AT10" s="262"/>
      <c r="AU10" s="262"/>
      <c r="AV10" s="262"/>
      <c r="AW10" s="262"/>
      <c r="AX10" s="262"/>
      <c r="AY10" s="262"/>
      <c r="AZ10" s="262"/>
      <c r="BA10" s="262"/>
      <c r="BB10" s="262"/>
      <c r="BC10" s="262"/>
      <c r="BD10" s="262"/>
      <c r="BE10" s="262"/>
      <c r="BF10" s="262"/>
      <c r="BG10" s="262"/>
      <c r="BH10" s="262"/>
      <c r="BI10" s="262"/>
      <c r="BJ10" s="262"/>
      <c r="BK10" s="262"/>
      <c r="BL10" s="262"/>
      <c r="BM10" s="262"/>
      <c r="BN10" s="262"/>
      <c r="BO10" s="262"/>
      <c r="BP10" s="262"/>
      <c r="BQ10" s="262"/>
      <c r="BR10" s="262"/>
      <c r="BS10" s="262"/>
      <c r="BT10" s="262"/>
      <c r="BU10" s="262"/>
      <c r="BV10" s="262"/>
      <c r="BW10" s="263"/>
      <c r="BX10" s="263"/>
      <c r="BY10" s="263"/>
      <c r="BZ10" s="263"/>
      <c r="CA10" s="263"/>
      <c r="CB10" s="263"/>
      <c r="CC10" s="263"/>
      <c r="CD10" s="263"/>
      <c r="CE10" s="263"/>
      <c r="CF10" s="263"/>
      <c r="CG10" s="263"/>
      <c r="CH10" s="249">
        <f>+MAX($D$3,DATOS_[[#This Row],[Fecha Inicio Sit. Contract.]])</f>
        <v>45292</v>
      </c>
      <c r="CI10" s="249">
        <f>+MIN($D$4,DATOS_[[#This Row],[Fecha Fin Sit. Contract.]])</f>
        <v>45657</v>
      </c>
      <c r="CJ10" s="250">
        <f>+DATOS_[[#This Row],[% de jornada]]*IF(DATOS_[[#This Row],[% jornada reducida]]="",1,DATOS_[[#This Row],[% jornada reducida]])</f>
        <v>1</v>
      </c>
      <c r="CK10" s="250">
        <f>+(DATOS_[[#This Row],[F.fin.cal]]-DATOS_[[#This Row],[F.ini.cal]]+1)/($D$4-$D$3+1)</f>
        <v>1</v>
      </c>
      <c r="CL10" s="250" t="str">
        <f>IF(OR(AND(DATOS_[[#This Row],[Fecha Fin Contrato]]&lt;$D$3,DATOS_[[#This Row],[Fecha Fin Contrato]]&lt;&gt;""),DATOS_[[#This Row],[Fecha de Contratación]]&gt;$D$4),"Fuera","Dentro")</f>
        <v>Dentro</v>
      </c>
      <c r="CM10" s="250" t="str" cm="1">
        <f t="array" ref="CM10">IF(MAX(IF(DATOS_[id/cod]=DATOS_[[#This Row],[id/cod]],DATOS_[F.fin.cal]))=DATOS_[[#This Row],[F.fin.cal]],"Sí","NO")</f>
        <v>Sí</v>
      </c>
      <c r="CN10" s="250" t="str">
        <f>IF(AND(DATOS_[[#This Row],[% normaliz]]&lt;&gt;1,DATOS_[[#This Row],[% anualiz]]=1),"Sí","NO")</f>
        <v>NO</v>
      </c>
      <c r="CO10" s="250" t="str">
        <f>IF(AND(DATOS_[[#This Row],[% normaliz]]=1,DATOS_[[#This Row],[% anualiz]]&lt;&gt;1),"Sí","NO")</f>
        <v>NO</v>
      </c>
      <c r="CP10" s="250" t="str">
        <f>IF(AND(DATOS_[[#This Row],[% normaliz]]&lt;&gt;1,DATOS_[[#This Row],[% anualiz]]&lt;&gt;1),"Sí","NO")</f>
        <v>NO</v>
      </c>
      <c r="CQ10" s="250" t="str">
        <f>+IF(DATOS_[[#This Row],[% normaliz]]*DATOS_[[#This Row],[% anualiz]]=1,"NO","Sí")</f>
        <v>NO</v>
      </c>
      <c r="CR10" s="251">
        <f>(DATOS_[[#This Row],[S.BASE]]*(1/DATOS_[[#This Row],[% normaliz]])*(1/DATOS_[[#This Row],[% anualiz]]))*IF(DATOS_[[#This Row],[Check Equiparado]]="Sí",1,0)</f>
        <v>0</v>
      </c>
      <c r="CS10"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10" s="251">
        <f>+DATOS_[[#This Row],[SALARIO BASE Eq]]+DATOS_[[#This Row],[Tot COMPL.SAL Eq]]</f>
        <v>0</v>
      </c>
      <c r="CU10" s="251" cm="1">
        <f t="array" ref="CU10">(SUMPRODUCT((RngTipo=$CU$7)*(rngAnualizable="Sí")*(rngNormalizable="Sí")*(DATOS_[[#This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10" s="251">
        <f>+DATOS_[[#This Row],[TOTAL SALARIO Eq]]+DATOS_[[#This Row],[Tot Extrasalarial Eq]]</f>
        <v>0</v>
      </c>
      <c r="CW10" s="252">
        <f>DATOS_[[#This Row],[S.BASE]]</f>
        <v>0</v>
      </c>
      <c r="CX10" s="252">
        <f>+SUM(DATOS_[[#This Row],[Conc.Sal.01]:[Conc.Sal.30]])</f>
        <v>0</v>
      </c>
      <c r="CY10" s="252">
        <f>+DATOS_[[#This Row],[SALARIO BASE Ef]]+DATOS_[[#This Row],[Tot COMPL.SAL Ef]]</f>
        <v>0</v>
      </c>
      <c r="CZ10" s="252">
        <f>+SUM(DATOS_[[#This Row],[C.Extra.01]:[C.Extra.11]])</f>
        <v>0</v>
      </c>
      <c r="DA10" s="252">
        <f>+DATOS_[[#This Row],[TOTAL SALARIO Ef]]+DATOS_[[#This Row],[Tot Extrasalarial Ef]]</f>
        <v>0</v>
      </c>
      <c r="DB10" s="109">
        <f>MIN(IF(DATOS_[[#This Row],[Fecha Fin Contrato]]="",$D$4,DATOS_[[#This Row],[Fecha Fin Contrato]]),$D$4)-MAX(DATOS_[[#This Row],[Fecha de Contratación]],$D$3)+1</f>
        <v>366</v>
      </c>
      <c r="DC10" s="110" t="str">
        <f>IF(COUNTIFS(DATOS_[id/cod],DATOS_[[#This Row],[id/cod]])&gt;1,DATOS_[[#This Row],[id/cod]],"")</f>
        <v/>
      </c>
      <c r="DD10" s="108">
        <f>(Inicio!$G$10-DATOS_[[#This Row],[Fecha Nacimiento]])/365.25</f>
        <v>63.865845311430526</v>
      </c>
      <c r="DE10" s="108">
        <f>(Inicio!$G$10-DATOS_[[#This Row],[Fecha de Antigüedad]])/365.25</f>
        <v>32.91444216290212</v>
      </c>
      <c r="DF10" s="108" t="e">
        <f>+VLOOKUP(DATOS_[[#This Row],[Clave de Contrato]],TblTiposContrato13[],3,FALSE)</f>
        <v>#N/A</v>
      </c>
      <c r="DG10" s="108" t="e">
        <f>+VLOOKUP(DATOS_[[#This Row],[Clave de Contrato]],TblTiposContrato13[],4,FALSE)</f>
        <v>#N/A</v>
      </c>
      <c r="DH10" s="108" t="str">
        <f>VLOOKUP(DATOS_[[#This Row],[Edad]],CONTRATOS!TblRngEdad,2,TRUE)</f>
        <v>60 en adelante</v>
      </c>
      <c r="DI10" s="108" t="str">
        <f>VLOOKUP(DATOS_[[#This Row],[Antigüedad]],TblRngAntg14[],2,TRUE)</f>
        <v>más de 15</v>
      </c>
    </row>
    <row r="11" spans="1:113" ht="12.9" customHeight="1" x14ac:dyDescent="0.25">
      <c r="A11" s="303" t="s">
        <v>347</v>
      </c>
      <c r="B11" s="265">
        <v>3</v>
      </c>
      <c r="C11" s="264" t="s">
        <v>337</v>
      </c>
      <c r="D11" s="243">
        <v>26224</v>
      </c>
      <c r="E11" s="243" t="s">
        <v>348</v>
      </c>
      <c r="F11" s="245"/>
      <c r="G11" s="245"/>
      <c r="H11" s="266">
        <v>33635</v>
      </c>
      <c r="I11" s="268"/>
      <c r="J11" s="260">
        <v>33635</v>
      </c>
      <c r="K11" s="267"/>
      <c r="L11" s="267"/>
      <c r="M11" s="244">
        <v>1</v>
      </c>
      <c r="N11" s="244"/>
      <c r="O11" s="244"/>
      <c r="P11" s="245"/>
      <c r="Q11" s="242" t="s">
        <v>339</v>
      </c>
      <c r="R11" s="242" t="s">
        <v>339</v>
      </c>
      <c r="S11" s="242" t="s">
        <v>349</v>
      </c>
      <c r="T11" s="242" t="s">
        <v>341</v>
      </c>
      <c r="U11" s="242" t="s">
        <v>342</v>
      </c>
      <c r="V11" s="242"/>
      <c r="W11" s="242"/>
      <c r="X11" s="246"/>
      <c r="Y11" s="271">
        <v>14000425011981</v>
      </c>
      <c r="Z11" s="247"/>
      <c r="AA11" s="279" t="s">
        <v>343</v>
      </c>
      <c r="AB11" s="248"/>
      <c r="AC11" s="245">
        <v>8</v>
      </c>
      <c r="AD11" s="261"/>
      <c r="AE11" s="262"/>
      <c r="AF11" s="262"/>
      <c r="AG11" s="262"/>
      <c r="AH11" s="262"/>
      <c r="AI11" s="262"/>
      <c r="AJ11" s="262"/>
      <c r="AK11" s="262"/>
      <c r="AL11" s="262"/>
      <c r="AM11" s="262"/>
      <c r="AN11" s="262"/>
      <c r="AO11" s="262"/>
      <c r="AP11" s="262"/>
      <c r="AQ11" s="262"/>
      <c r="AR11" s="262"/>
      <c r="AS11" s="262"/>
      <c r="AT11" s="262"/>
      <c r="AU11" s="262"/>
      <c r="AV11" s="262"/>
      <c r="AW11" s="262"/>
      <c r="AX11" s="262"/>
      <c r="AY11" s="262"/>
      <c r="AZ11" s="262"/>
      <c r="BA11" s="262"/>
      <c r="BB11" s="262"/>
      <c r="BC11" s="262"/>
      <c r="BD11" s="262"/>
      <c r="BE11" s="262"/>
      <c r="BF11" s="262"/>
      <c r="BG11" s="262"/>
      <c r="BH11" s="262"/>
      <c r="BI11" s="262"/>
      <c r="BJ11" s="262"/>
      <c r="BK11" s="262"/>
      <c r="BL11" s="262"/>
      <c r="BM11" s="262"/>
      <c r="BN11" s="262"/>
      <c r="BO11" s="262"/>
      <c r="BP11" s="262"/>
      <c r="BQ11" s="262"/>
      <c r="BR11" s="262"/>
      <c r="BS11" s="262"/>
      <c r="BT11" s="262"/>
      <c r="BU11" s="262"/>
      <c r="BV11" s="262"/>
      <c r="BW11" s="263"/>
      <c r="BX11" s="263"/>
      <c r="BY11" s="263"/>
      <c r="BZ11" s="263"/>
      <c r="CA11" s="263"/>
      <c r="CB11" s="263"/>
      <c r="CC11" s="263"/>
      <c r="CD11" s="263"/>
      <c r="CE11" s="263"/>
      <c r="CF11" s="263"/>
      <c r="CG11" s="263"/>
      <c r="CH11" s="249">
        <f>+MAX($D$3,DATOS_[[#This Row],[Fecha Inicio Sit. Contract.]])</f>
        <v>45292</v>
      </c>
      <c r="CI11" s="249">
        <f>+MIN($D$4,DATOS_[[#This Row],[Fecha Fin Sit. Contract.]])</f>
        <v>45657</v>
      </c>
      <c r="CJ11" s="250">
        <f>+DATOS_[[#This Row],[% de jornada]]*IF(DATOS_[[#This Row],[% jornada reducida]]="",1,DATOS_[[#This Row],[% jornada reducida]])</f>
        <v>1</v>
      </c>
      <c r="CK11" s="250">
        <f>+(DATOS_[[#This Row],[F.fin.cal]]-DATOS_[[#This Row],[F.ini.cal]]+1)/($D$4-$D$3+1)</f>
        <v>1</v>
      </c>
      <c r="CL11" s="250" t="str">
        <f>IF(OR(AND(DATOS_[[#This Row],[Fecha Fin Contrato]]&lt;$D$3,DATOS_[[#This Row],[Fecha Fin Contrato]]&lt;&gt;""),DATOS_[[#This Row],[Fecha de Contratación]]&gt;$D$4),"Fuera","Dentro")</f>
        <v>Dentro</v>
      </c>
      <c r="CM11" s="250" t="str" cm="1">
        <f t="array" ref="CM11">IF(MAX(IF(DATOS_[id/cod]=DATOS_[[#This Row],[id/cod]],DATOS_[F.fin.cal]))=DATOS_[[#This Row],[F.fin.cal]],"Sí","NO")</f>
        <v>Sí</v>
      </c>
      <c r="CN11" s="250" t="str">
        <f>IF(AND(DATOS_[[#This Row],[% normaliz]]&lt;&gt;1,DATOS_[[#This Row],[% anualiz]]=1),"Sí","NO")</f>
        <v>NO</v>
      </c>
      <c r="CO11" s="250" t="str">
        <f>IF(AND(DATOS_[[#This Row],[% normaliz]]=1,DATOS_[[#This Row],[% anualiz]]&lt;&gt;1),"Sí","NO")</f>
        <v>NO</v>
      </c>
      <c r="CP11" s="250" t="str">
        <f>IF(AND(DATOS_[[#This Row],[% normaliz]]&lt;&gt;1,DATOS_[[#This Row],[% anualiz]]&lt;&gt;1),"Sí","NO")</f>
        <v>NO</v>
      </c>
      <c r="CQ11" s="250" t="str">
        <f>+IF(DATOS_[[#This Row],[% normaliz]]*DATOS_[[#This Row],[% anualiz]]=1,"NO","Sí")</f>
        <v>NO</v>
      </c>
      <c r="CR11" s="251">
        <f>(DATOS_[[#This Row],[S.BASE]]*(1/DATOS_[[#This Row],[% normaliz]])*(1/DATOS_[[#This Row],[% anualiz]]))*IF(DATOS_[[#This Row],[Check Equiparado]]="Sí",1,0)</f>
        <v>0</v>
      </c>
      <c r="CS11"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11" s="251">
        <f>+DATOS_[[#This Row],[SALARIO BASE Eq]]+DATOS_[[#This Row],[Tot COMPL.SAL Eq]]</f>
        <v>0</v>
      </c>
      <c r="CU11" s="251" cm="1">
        <f t="array" ref="CU11">(SUMPRODUCT((RngTipo=$CU$7)*(rngAnualizable="Sí")*(rngNormalizable="Sí")*(DATOS_[[#This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11" s="251">
        <f>+DATOS_[[#This Row],[TOTAL SALARIO Eq]]+DATOS_[[#This Row],[Tot Extrasalarial Eq]]</f>
        <v>0</v>
      </c>
      <c r="CW11" s="252">
        <f>DATOS_[[#This Row],[S.BASE]]</f>
        <v>0</v>
      </c>
      <c r="CX11" s="252">
        <f>+SUM(DATOS_[[#This Row],[Conc.Sal.01]:[Conc.Sal.30]])</f>
        <v>0</v>
      </c>
      <c r="CY11" s="252">
        <f>+DATOS_[[#This Row],[SALARIO BASE Ef]]+DATOS_[[#This Row],[Tot COMPL.SAL Ef]]</f>
        <v>0</v>
      </c>
      <c r="CZ11" s="252">
        <f>+SUM(DATOS_[[#This Row],[C.Extra.01]:[C.Extra.11]])</f>
        <v>0</v>
      </c>
      <c r="DA11" s="252">
        <f>+DATOS_[[#This Row],[TOTAL SALARIO Ef]]+DATOS_[[#This Row],[Tot Extrasalarial Ef]]</f>
        <v>0</v>
      </c>
      <c r="DB11" s="109">
        <f>MIN(IF(DATOS_[[#This Row],[Fecha Fin Contrato]]="",$D$4,DATOS_[[#This Row],[Fecha Fin Contrato]]),$D$4)-MAX(DATOS_[[#This Row],[Fecha de Contratación]],$D$3)+1</f>
        <v>366</v>
      </c>
      <c r="DC11" s="110" t="str">
        <f>IF(COUNTIFS(DATOS_[id/cod],DATOS_[[#This Row],[id/cod]])&gt;1,DATOS_[[#This Row],[id/cod]],"")</f>
        <v/>
      </c>
      <c r="DD11" s="108">
        <f>(Inicio!$G$10-DATOS_[[#This Row],[Fecha Nacimiento]])/365.25</f>
        <v>53.204654346338124</v>
      </c>
      <c r="DE11" s="108">
        <f>(Inicio!$G$10-DATOS_[[#This Row],[Fecha de Antigüedad]])/365.25</f>
        <v>32.91444216290212</v>
      </c>
      <c r="DF11" s="108" t="e">
        <f>+VLOOKUP(DATOS_[[#This Row],[Clave de Contrato]],TblTiposContrato13[],3,FALSE)</f>
        <v>#N/A</v>
      </c>
      <c r="DG11" s="108" t="e">
        <f>+VLOOKUP(DATOS_[[#This Row],[Clave de Contrato]],TblTiposContrato13[],4,FALSE)</f>
        <v>#N/A</v>
      </c>
      <c r="DH11" s="108" t="str">
        <f>VLOOKUP(DATOS_[[#This Row],[Edad]],CONTRATOS!TblRngEdad,2,TRUE)</f>
        <v>50 a 55</v>
      </c>
      <c r="DI11" s="108" t="str">
        <f>VLOOKUP(DATOS_[[#This Row],[Antigüedad]],TblRngAntg14[],2,TRUE)</f>
        <v>más de 15</v>
      </c>
    </row>
    <row r="12" spans="1:113" ht="12.9" customHeight="1" x14ac:dyDescent="0.25">
      <c r="A12" s="303" t="s">
        <v>350</v>
      </c>
      <c r="B12" s="265">
        <v>4</v>
      </c>
      <c r="C12" s="264" t="s">
        <v>337</v>
      </c>
      <c r="D12" s="243">
        <v>24589</v>
      </c>
      <c r="E12" s="243" t="s">
        <v>351</v>
      </c>
      <c r="F12" s="245"/>
      <c r="G12" s="245"/>
      <c r="H12" s="266">
        <v>33780</v>
      </c>
      <c r="I12" s="268"/>
      <c r="J12" s="260">
        <v>33780</v>
      </c>
      <c r="K12" s="267"/>
      <c r="L12" s="267"/>
      <c r="M12" s="244">
        <v>1</v>
      </c>
      <c r="N12" s="244"/>
      <c r="O12" s="244"/>
      <c r="P12" s="245">
        <v>100</v>
      </c>
      <c r="Q12" s="242" t="s">
        <v>352</v>
      </c>
      <c r="R12" s="242" t="s">
        <v>352</v>
      </c>
      <c r="S12" s="242" t="s">
        <v>353</v>
      </c>
      <c r="T12" s="242" t="s">
        <v>341</v>
      </c>
      <c r="U12" s="242" t="s">
        <v>342</v>
      </c>
      <c r="V12" s="242"/>
      <c r="W12" s="242" t="s">
        <v>182</v>
      </c>
      <c r="X12" s="246"/>
      <c r="Y12" s="271">
        <v>14000425011981</v>
      </c>
      <c r="Z12" s="247" t="s">
        <v>354</v>
      </c>
      <c r="AA12" s="279" t="s">
        <v>343</v>
      </c>
      <c r="AB12" s="248"/>
      <c r="AC12" s="245">
        <v>8</v>
      </c>
      <c r="AD12" s="261">
        <v>13448.76</v>
      </c>
      <c r="AE12" s="262">
        <v>2989.88</v>
      </c>
      <c r="AF12" s="262">
        <v>37.44</v>
      </c>
      <c r="AG12" s="262">
        <v>902.4</v>
      </c>
      <c r="AH12" s="262">
        <v>1215</v>
      </c>
      <c r="AI12" s="262">
        <v>426.96</v>
      </c>
      <c r="AJ12" s="262">
        <v>843.12</v>
      </c>
      <c r="AK12" s="262">
        <v>1363.56</v>
      </c>
      <c r="AL12" s="262">
        <v>3600</v>
      </c>
      <c r="AM12" s="262">
        <v>0</v>
      </c>
      <c r="AN12" s="262">
        <v>0</v>
      </c>
      <c r="AO12" s="262">
        <v>0</v>
      </c>
      <c r="AP12" s="262">
        <v>65</v>
      </c>
      <c r="AQ12" s="262"/>
      <c r="AR12" s="262"/>
      <c r="AS12" s="262"/>
      <c r="AT12" s="262"/>
      <c r="AU12" s="262"/>
      <c r="AV12" s="262"/>
      <c r="AW12" s="262"/>
      <c r="AX12" s="262"/>
      <c r="AY12" s="262"/>
      <c r="AZ12" s="262"/>
      <c r="BA12" s="262"/>
      <c r="BB12" s="262"/>
      <c r="BC12" s="262"/>
      <c r="BD12" s="262"/>
      <c r="BE12" s="262"/>
      <c r="BF12" s="262"/>
      <c r="BG12" s="262"/>
      <c r="BH12" s="262"/>
      <c r="BI12" s="262"/>
      <c r="BJ12" s="262"/>
      <c r="BK12" s="262"/>
      <c r="BL12" s="262"/>
      <c r="BM12" s="262"/>
      <c r="BN12" s="262"/>
      <c r="BO12" s="262"/>
      <c r="BP12" s="262"/>
      <c r="BQ12" s="262"/>
      <c r="BR12" s="262"/>
      <c r="BS12" s="262"/>
      <c r="BT12" s="262"/>
      <c r="BU12" s="262"/>
      <c r="BV12" s="262"/>
      <c r="BW12" s="263"/>
      <c r="BX12" s="263"/>
      <c r="BY12" s="263"/>
      <c r="BZ12" s="263"/>
      <c r="CA12" s="263"/>
      <c r="CB12" s="263"/>
      <c r="CC12" s="263"/>
      <c r="CD12" s="263"/>
      <c r="CE12" s="263"/>
      <c r="CF12" s="263"/>
      <c r="CG12" s="263"/>
      <c r="CH12" s="249">
        <f>+MAX($D$3,DATOS_[[#This Row],[Fecha Inicio Sit. Contract.]])</f>
        <v>45292</v>
      </c>
      <c r="CI12" s="249">
        <f>+MIN($D$4,DATOS_[[#This Row],[Fecha Fin Sit. Contract.]])</f>
        <v>45657</v>
      </c>
      <c r="CJ12" s="250">
        <f>+DATOS_[[#This Row],[% de jornada]]*IF(DATOS_[[#This Row],[% jornada reducida]]="",1,DATOS_[[#This Row],[% jornada reducida]])</f>
        <v>1</v>
      </c>
      <c r="CK12" s="250">
        <f>+(DATOS_[[#This Row],[F.fin.cal]]-DATOS_[[#This Row],[F.ini.cal]]+1)/($D$4-$D$3+1)</f>
        <v>1</v>
      </c>
      <c r="CL12" s="250" t="str">
        <f>IF(OR(AND(DATOS_[[#This Row],[Fecha Fin Contrato]]&lt;$D$3,DATOS_[[#This Row],[Fecha Fin Contrato]]&lt;&gt;""),DATOS_[[#This Row],[Fecha de Contratación]]&gt;$D$4),"Fuera","Dentro")</f>
        <v>Dentro</v>
      </c>
      <c r="CM12" s="250" t="str" cm="1">
        <f t="array" ref="CM12">IF(MAX(IF(DATOS_[id/cod]=DATOS_[[#This Row],[id/cod]],DATOS_[F.fin.cal]))=DATOS_[[#This Row],[F.fin.cal]],"Sí","NO")</f>
        <v>Sí</v>
      </c>
      <c r="CN12" s="250" t="str">
        <f>IF(AND(DATOS_[[#This Row],[% normaliz]]&lt;&gt;1,DATOS_[[#This Row],[% anualiz]]=1),"Sí","NO")</f>
        <v>NO</v>
      </c>
      <c r="CO12" s="250" t="str">
        <f>IF(AND(DATOS_[[#This Row],[% normaliz]]=1,DATOS_[[#This Row],[% anualiz]]&lt;&gt;1),"Sí","NO")</f>
        <v>NO</v>
      </c>
      <c r="CP12" s="250" t="str">
        <f>IF(AND(DATOS_[[#This Row],[% normaliz]]&lt;&gt;1,DATOS_[[#This Row],[% anualiz]]&lt;&gt;1),"Sí","NO")</f>
        <v>NO</v>
      </c>
      <c r="CQ12" s="250" t="str">
        <f>+IF(DATOS_[[#This Row],[% normaliz]]*DATOS_[[#This Row],[% anualiz]]=1,"NO","Sí")</f>
        <v>NO</v>
      </c>
      <c r="CR12" s="251">
        <f>(DATOS_[[#This Row],[S.BASE]]*(1/DATOS_[[#This Row],[% normaliz]])*(1/DATOS_[[#This Row],[% anualiz]]))*IF(DATOS_[[#This Row],[Check Equiparado]]="Sí",1,0)</f>
        <v>13448.76</v>
      </c>
      <c r="CS12"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11443.36</v>
      </c>
      <c r="CT12" s="251">
        <f>+DATOS_[[#This Row],[SALARIO BASE Eq]]+DATOS_[[#This Row],[Tot COMPL.SAL Eq]]</f>
        <v>24892.120000000003</v>
      </c>
      <c r="CU12" s="251" cm="1">
        <f t="array" ref="CU12">(SUMPRODUCT((RngTipo=$CU$7)*(rngAnualizable="Sí")*(rngNormalizable="Sí")*(DATOS_[[#This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12" s="251">
        <f>+DATOS_[[#This Row],[TOTAL SALARIO Eq]]+DATOS_[[#This Row],[Tot Extrasalarial Eq]]</f>
        <v>24892.120000000003</v>
      </c>
      <c r="CW12" s="252">
        <f>DATOS_[[#This Row],[S.BASE]]</f>
        <v>13448.76</v>
      </c>
      <c r="CX12" s="252">
        <f>+SUM(DATOS_[[#This Row],[Conc.Sal.01]:[Conc.Sal.30]])</f>
        <v>11443.36</v>
      </c>
      <c r="CY12" s="252">
        <f>+DATOS_[[#This Row],[SALARIO BASE Ef]]+DATOS_[[#This Row],[Tot COMPL.SAL Ef]]</f>
        <v>24892.120000000003</v>
      </c>
      <c r="CZ12" s="252">
        <f>+SUM(DATOS_[[#This Row],[C.Extra.01]:[C.Extra.11]])</f>
        <v>0</v>
      </c>
      <c r="DA12" s="252">
        <f>+DATOS_[[#This Row],[TOTAL SALARIO Ef]]+DATOS_[[#This Row],[Tot Extrasalarial Ef]]</f>
        <v>24892.120000000003</v>
      </c>
      <c r="DB12" s="109">
        <f>MIN(IF(DATOS_[[#This Row],[Fecha Fin Contrato]]="",$D$4,DATOS_[[#This Row],[Fecha Fin Contrato]]),$D$4)-MAX(DATOS_[[#This Row],[Fecha de Contratación]],$D$3)+1</f>
        <v>366</v>
      </c>
      <c r="DC12" s="110" t="str">
        <f>IF(COUNTIFS(DATOS_[id/cod],DATOS_[[#This Row],[id/cod]])&gt;1,DATOS_[[#This Row],[id/cod]],"")</f>
        <v/>
      </c>
      <c r="DD12" s="108">
        <f>(Inicio!$G$10-DATOS_[[#This Row],[Fecha Nacimiento]])/365.25</f>
        <v>57.681040383299113</v>
      </c>
      <c r="DE12" s="108">
        <f>(Inicio!$G$10-DATOS_[[#This Row],[Fecha de Antigüedad]])/365.25</f>
        <v>32.517453798767967</v>
      </c>
      <c r="DF12" s="108" t="str">
        <f>+VLOOKUP(DATOS_[[#This Row],[Clave de Contrato]],TblTiposContrato13[],3,FALSE)</f>
        <v>Completa</v>
      </c>
      <c r="DG12" s="108" t="str">
        <f>+VLOOKUP(DATOS_[[#This Row],[Clave de Contrato]],TblTiposContrato13[],4,FALSE)</f>
        <v>Indefinido</v>
      </c>
      <c r="DH12" s="108" t="str">
        <f>VLOOKUP(DATOS_[[#This Row],[Edad]],CONTRATOS!TblRngEdad,2,TRUE)</f>
        <v>55 a 60</v>
      </c>
      <c r="DI12" s="108" t="str">
        <f>VLOOKUP(DATOS_[[#This Row],[Antigüedad]],TblRngAntg14[],2,TRUE)</f>
        <v>más de 15</v>
      </c>
    </row>
    <row r="13" spans="1:113" ht="12.9" customHeight="1" x14ac:dyDescent="0.25">
      <c r="A13" s="303" t="s">
        <v>355</v>
      </c>
      <c r="B13" s="265">
        <v>5</v>
      </c>
      <c r="C13" s="264" t="s">
        <v>356</v>
      </c>
      <c r="D13" s="243">
        <v>25000</v>
      </c>
      <c r="E13" s="243" t="s">
        <v>338</v>
      </c>
      <c r="F13" s="245"/>
      <c r="G13" s="245"/>
      <c r="H13" s="266">
        <v>34092</v>
      </c>
      <c r="I13" s="268"/>
      <c r="J13" s="260">
        <v>34092</v>
      </c>
      <c r="K13" s="267"/>
      <c r="L13" s="267"/>
      <c r="M13" s="244">
        <v>1</v>
      </c>
      <c r="N13" s="244"/>
      <c r="O13" s="244"/>
      <c r="P13" s="245">
        <v>100</v>
      </c>
      <c r="Q13" s="242" t="s">
        <v>357</v>
      </c>
      <c r="R13" s="242" t="s">
        <v>357</v>
      </c>
      <c r="S13" s="242" t="s">
        <v>358</v>
      </c>
      <c r="T13" s="242" t="s">
        <v>341</v>
      </c>
      <c r="U13" s="242" t="s">
        <v>342</v>
      </c>
      <c r="V13" s="242"/>
      <c r="W13" s="242" t="s">
        <v>182</v>
      </c>
      <c r="X13" s="246"/>
      <c r="Y13" s="271">
        <v>14000425011981</v>
      </c>
      <c r="Z13" s="247" t="s">
        <v>354</v>
      </c>
      <c r="AA13" s="279" t="s">
        <v>359</v>
      </c>
      <c r="AB13" s="248"/>
      <c r="AC13" s="245">
        <v>5</v>
      </c>
      <c r="AD13" s="261">
        <v>13448.76</v>
      </c>
      <c r="AE13" s="262">
        <v>4924</v>
      </c>
      <c r="AF13" s="262">
        <v>37.44</v>
      </c>
      <c r="AG13" s="262">
        <v>902.4</v>
      </c>
      <c r="AH13" s="262">
        <v>3720</v>
      </c>
      <c r="AI13" s="262">
        <v>426.96</v>
      </c>
      <c r="AJ13" s="262">
        <v>843.12</v>
      </c>
      <c r="AK13" s="262">
        <v>1374.12</v>
      </c>
      <c r="AL13" s="262">
        <v>0</v>
      </c>
      <c r="AM13" s="262">
        <v>0</v>
      </c>
      <c r="AN13" s="262">
        <v>0</v>
      </c>
      <c r="AO13" s="262">
        <v>0</v>
      </c>
      <c r="AP13" s="262">
        <v>65</v>
      </c>
      <c r="AQ13" s="262">
        <v>4517.8100000000004</v>
      </c>
      <c r="AR13" s="262"/>
      <c r="AS13" s="262"/>
      <c r="AT13" s="262"/>
      <c r="AU13" s="262"/>
      <c r="AV13" s="262"/>
      <c r="AW13" s="262"/>
      <c r="AX13" s="262"/>
      <c r="AY13" s="262"/>
      <c r="AZ13" s="262"/>
      <c r="BA13" s="262"/>
      <c r="BB13" s="262"/>
      <c r="BC13" s="262"/>
      <c r="BD13" s="262"/>
      <c r="BE13" s="262"/>
      <c r="BF13" s="262"/>
      <c r="BG13" s="262"/>
      <c r="BH13" s="262"/>
      <c r="BI13" s="262"/>
      <c r="BJ13" s="262"/>
      <c r="BK13" s="262"/>
      <c r="BL13" s="262"/>
      <c r="BM13" s="262"/>
      <c r="BN13" s="262"/>
      <c r="BO13" s="262"/>
      <c r="BP13" s="262"/>
      <c r="BQ13" s="262"/>
      <c r="BR13" s="262"/>
      <c r="BS13" s="262"/>
      <c r="BT13" s="262"/>
      <c r="BU13" s="262"/>
      <c r="BV13" s="262"/>
      <c r="BW13" s="263"/>
      <c r="BX13" s="263"/>
      <c r="BY13" s="263"/>
      <c r="BZ13" s="263"/>
      <c r="CA13" s="263"/>
      <c r="CB13" s="263"/>
      <c r="CC13" s="263"/>
      <c r="CD13" s="263"/>
      <c r="CE13" s="263"/>
      <c r="CF13" s="263"/>
      <c r="CG13" s="263"/>
      <c r="CH13" s="249">
        <f>+MAX($D$3,DATOS_[[#This Row],[Fecha Inicio Sit. Contract.]])</f>
        <v>45292</v>
      </c>
      <c r="CI13" s="249">
        <f>+MIN($D$4,DATOS_[[#This Row],[Fecha Fin Sit. Contract.]])</f>
        <v>45657</v>
      </c>
      <c r="CJ13" s="250">
        <f>+DATOS_[[#This Row],[% de jornada]]*IF(DATOS_[[#This Row],[% jornada reducida]]="",1,DATOS_[[#This Row],[% jornada reducida]])</f>
        <v>1</v>
      </c>
      <c r="CK13" s="250">
        <f>+(DATOS_[[#This Row],[F.fin.cal]]-DATOS_[[#This Row],[F.ini.cal]]+1)/($D$4-$D$3+1)</f>
        <v>1</v>
      </c>
      <c r="CL13" s="250" t="str">
        <f>IF(OR(AND(DATOS_[[#This Row],[Fecha Fin Contrato]]&lt;$D$3,DATOS_[[#This Row],[Fecha Fin Contrato]]&lt;&gt;""),DATOS_[[#This Row],[Fecha de Contratación]]&gt;$D$4),"Fuera","Dentro")</f>
        <v>Dentro</v>
      </c>
      <c r="CM13" s="250" t="str" cm="1">
        <f t="array" ref="CM13">IF(MAX(IF(DATOS_[id/cod]=DATOS_[[#This Row],[id/cod]],DATOS_[F.fin.cal]))=DATOS_[[#This Row],[F.fin.cal]],"Sí","NO")</f>
        <v>Sí</v>
      </c>
      <c r="CN13" s="250" t="str">
        <f>IF(AND(DATOS_[[#This Row],[% normaliz]]&lt;&gt;1,DATOS_[[#This Row],[% anualiz]]=1),"Sí","NO")</f>
        <v>NO</v>
      </c>
      <c r="CO13" s="250" t="str">
        <f>IF(AND(DATOS_[[#This Row],[% normaliz]]=1,DATOS_[[#This Row],[% anualiz]]&lt;&gt;1),"Sí","NO")</f>
        <v>NO</v>
      </c>
      <c r="CP13" s="250" t="str">
        <f>IF(AND(DATOS_[[#This Row],[% normaliz]]&lt;&gt;1,DATOS_[[#This Row],[% anualiz]]&lt;&gt;1),"Sí","NO")</f>
        <v>NO</v>
      </c>
      <c r="CQ13" s="250" t="str">
        <f>+IF(DATOS_[[#This Row],[% normaliz]]*DATOS_[[#This Row],[% anualiz]]=1,"NO","Sí")</f>
        <v>NO</v>
      </c>
      <c r="CR13" s="251">
        <f>(DATOS_[[#This Row],[S.BASE]]*(1/DATOS_[[#This Row],[% normaliz]])*(1/DATOS_[[#This Row],[% anualiz]]))*IF(DATOS_[[#This Row],[Check Equiparado]]="Sí",1,0)</f>
        <v>13448.76</v>
      </c>
      <c r="CS13"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16810.850000000002</v>
      </c>
      <c r="CT13" s="251">
        <f>+DATOS_[[#This Row],[SALARIO BASE Eq]]+DATOS_[[#This Row],[Tot COMPL.SAL Eq]]</f>
        <v>30259.61</v>
      </c>
      <c r="CU13" s="251" cm="1">
        <f t="array" ref="CU13">(SUMPRODUCT((RngTipo=$CU$7)*(rngAnualizable="Sí")*(rngNormalizable="Sí")*(DATOS_[[#This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13" s="251">
        <f>+DATOS_[[#This Row],[TOTAL SALARIO Eq]]+DATOS_[[#This Row],[Tot Extrasalarial Eq]]</f>
        <v>30259.61</v>
      </c>
      <c r="CW13" s="252">
        <f>DATOS_[[#This Row],[S.BASE]]</f>
        <v>13448.76</v>
      </c>
      <c r="CX13" s="252">
        <f>+SUM(DATOS_[[#This Row],[Conc.Sal.01]:[Conc.Sal.30]])</f>
        <v>16810.850000000002</v>
      </c>
      <c r="CY13" s="252">
        <f>+DATOS_[[#This Row],[SALARIO BASE Ef]]+DATOS_[[#This Row],[Tot COMPL.SAL Ef]]</f>
        <v>30259.61</v>
      </c>
      <c r="CZ13" s="252">
        <f>+SUM(DATOS_[[#This Row],[C.Extra.01]:[C.Extra.11]])</f>
        <v>0</v>
      </c>
      <c r="DA13" s="252">
        <f>+DATOS_[[#This Row],[TOTAL SALARIO Ef]]+DATOS_[[#This Row],[Tot Extrasalarial Ef]]</f>
        <v>30259.61</v>
      </c>
      <c r="DB13" s="109">
        <f>MIN(IF(DATOS_[[#This Row],[Fecha Fin Contrato]]="",$D$4,DATOS_[[#This Row],[Fecha Fin Contrato]]),$D$4)-MAX(DATOS_[[#This Row],[Fecha de Contratación]],$D$3)+1</f>
        <v>366</v>
      </c>
      <c r="DC13" s="110" t="str">
        <f>IF(COUNTIFS(DATOS_[id/cod],DATOS_[[#This Row],[id/cod]])&gt;1,DATOS_[[#This Row],[id/cod]],"")</f>
        <v/>
      </c>
      <c r="DD13" s="108">
        <f>(Inicio!$G$10-DATOS_[[#This Row],[Fecha Nacimiento]])/365.25</f>
        <v>56.555783709787818</v>
      </c>
      <c r="DE13" s="108">
        <f>(Inicio!$G$10-DATOS_[[#This Row],[Fecha de Antigüedad]])/365.25</f>
        <v>31.663244353182751</v>
      </c>
      <c r="DF13" s="108" t="str">
        <f>+VLOOKUP(DATOS_[[#This Row],[Clave de Contrato]],TblTiposContrato13[],3,FALSE)</f>
        <v>Completa</v>
      </c>
      <c r="DG13" s="108" t="str">
        <f>+VLOOKUP(DATOS_[[#This Row],[Clave de Contrato]],TblTiposContrato13[],4,FALSE)</f>
        <v>Indefinido</v>
      </c>
      <c r="DH13" s="108" t="str">
        <f>VLOOKUP(DATOS_[[#This Row],[Edad]],CONTRATOS!TblRngEdad,2,TRUE)</f>
        <v>55 a 60</v>
      </c>
      <c r="DI13" s="108" t="str">
        <f>VLOOKUP(DATOS_[[#This Row],[Antigüedad]],TblRngAntg14[],2,TRUE)</f>
        <v>más de 15</v>
      </c>
    </row>
    <row r="14" spans="1:113" ht="12.9" customHeight="1" x14ac:dyDescent="0.25">
      <c r="A14" s="303" t="s">
        <v>360</v>
      </c>
      <c r="B14" s="265">
        <v>6</v>
      </c>
      <c r="C14" s="264" t="s">
        <v>356</v>
      </c>
      <c r="D14" s="243">
        <v>24133</v>
      </c>
      <c r="E14" s="243" t="s">
        <v>361</v>
      </c>
      <c r="F14" s="245"/>
      <c r="G14" s="245"/>
      <c r="H14" s="266">
        <v>34444</v>
      </c>
      <c r="I14" s="268"/>
      <c r="J14" s="260">
        <v>34444</v>
      </c>
      <c r="K14" s="267"/>
      <c r="L14" s="267"/>
      <c r="M14" s="244">
        <v>1</v>
      </c>
      <c r="N14" s="244"/>
      <c r="O14" s="244"/>
      <c r="P14" s="245">
        <v>100</v>
      </c>
      <c r="Q14" s="242" t="s">
        <v>357</v>
      </c>
      <c r="R14" s="242" t="s">
        <v>357</v>
      </c>
      <c r="S14" s="242" t="s">
        <v>362</v>
      </c>
      <c r="T14" s="242" t="s">
        <v>341</v>
      </c>
      <c r="U14" s="242" t="s">
        <v>342</v>
      </c>
      <c r="V14" s="242"/>
      <c r="W14" s="242" t="s">
        <v>182</v>
      </c>
      <c r="X14" s="246"/>
      <c r="Y14" s="271">
        <v>14000425011981</v>
      </c>
      <c r="Z14" s="247" t="s">
        <v>354</v>
      </c>
      <c r="AA14" s="279" t="s">
        <v>359</v>
      </c>
      <c r="AB14" s="248"/>
      <c r="AC14" s="245">
        <v>5</v>
      </c>
      <c r="AD14" s="261">
        <v>13448.76</v>
      </c>
      <c r="AE14" s="262">
        <v>3564</v>
      </c>
      <c r="AF14" s="262">
        <v>37.44</v>
      </c>
      <c r="AG14" s="262">
        <v>902.4</v>
      </c>
      <c r="AH14" s="262">
        <v>1168.32</v>
      </c>
      <c r="AI14" s="262">
        <v>310.68</v>
      </c>
      <c r="AJ14" s="262">
        <v>843.12</v>
      </c>
      <c r="AK14" s="262">
        <v>1358.88</v>
      </c>
      <c r="AL14" s="262">
        <v>0</v>
      </c>
      <c r="AM14" s="262">
        <v>0</v>
      </c>
      <c r="AN14" s="262">
        <v>0</v>
      </c>
      <c r="AO14" s="262">
        <v>200</v>
      </c>
      <c r="AP14" s="262">
        <v>65</v>
      </c>
      <c r="AQ14" s="262"/>
      <c r="AR14" s="262"/>
      <c r="AS14" s="262"/>
      <c r="AT14" s="262"/>
      <c r="AU14" s="262"/>
      <c r="AV14" s="262"/>
      <c r="AW14" s="262"/>
      <c r="AX14" s="262"/>
      <c r="AY14" s="262"/>
      <c r="AZ14" s="262"/>
      <c r="BA14" s="262"/>
      <c r="BB14" s="262"/>
      <c r="BC14" s="262"/>
      <c r="BD14" s="262"/>
      <c r="BE14" s="262"/>
      <c r="BF14" s="262"/>
      <c r="BG14" s="262"/>
      <c r="BH14" s="262"/>
      <c r="BI14" s="262"/>
      <c r="BJ14" s="262"/>
      <c r="BK14" s="262"/>
      <c r="BL14" s="262"/>
      <c r="BM14" s="262"/>
      <c r="BN14" s="262"/>
      <c r="BO14" s="262"/>
      <c r="BP14" s="262"/>
      <c r="BQ14" s="262"/>
      <c r="BR14" s="262"/>
      <c r="BS14" s="262"/>
      <c r="BT14" s="262"/>
      <c r="BU14" s="262"/>
      <c r="BV14" s="262"/>
      <c r="BW14" s="263"/>
      <c r="BX14" s="263"/>
      <c r="BY14" s="263"/>
      <c r="BZ14" s="263"/>
      <c r="CA14" s="263"/>
      <c r="CB14" s="263"/>
      <c r="CC14" s="263"/>
      <c r="CD14" s="263"/>
      <c r="CE14" s="263"/>
      <c r="CF14" s="263"/>
      <c r="CG14" s="263"/>
      <c r="CH14" s="249">
        <f>+MAX($D$3,DATOS_[[#This Row],[Fecha Inicio Sit. Contract.]])</f>
        <v>45292</v>
      </c>
      <c r="CI14" s="249">
        <f>+MIN($D$4,DATOS_[[#This Row],[Fecha Fin Sit. Contract.]])</f>
        <v>45657</v>
      </c>
      <c r="CJ14" s="250">
        <f>+DATOS_[[#This Row],[% de jornada]]*IF(DATOS_[[#This Row],[% jornada reducida]]="",1,DATOS_[[#This Row],[% jornada reducida]])</f>
        <v>1</v>
      </c>
      <c r="CK14" s="250">
        <f>+(DATOS_[[#This Row],[F.fin.cal]]-DATOS_[[#This Row],[F.ini.cal]]+1)/($D$4-$D$3+1)</f>
        <v>1</v>
      </c>
      <c r="CL14" s="250" t="str">
        <f>IF(OR(AND(DATOS_[[#This Row],[Fecha Fin Contrato]]&lt;$D$3,DATOS_[[#This Row],[Fecha Fin Contrato]]&lt;&gt;""),DATOS_[[#This Row],[Fecha de Contratación]]&gt;$D$4),"Fuera","Dentro")</f>
        <v>Dentro</v>
      </c>
      <c r="CM14" s="250" t="str" cm="1">
        <f t="array" ref="CM14">IF(MAX(IF(DATOS_[id/cod]=DATOS_[[#This Row],[id/cod]],DATOS_[F.fin.cal]))=DATOS_[[#This Row],[F.fin.cal]],"Sí","NO")</f>
        <v>Sí</v>
      </c>
      <c r="CN14" s="250" t="str">
        <f>IF(AND(DATOS_[[#This Row],[% normaliz]]&lt;&gt;1,DATOS_[[#This Row],[% anualiz]]=1),"Sí","NO")</f>
        <v>NO</v>
      </c>
      <c r="CO14" s="250" t="str">
        <f>IF(AND(DATOS_[[#This Row],[% normaliz]]=1,DATOS_[[#This Row],[% anualiz]]&lt;&gt;1),"Sí","NO")</f>
        <v>NO</v>
      </c>
      <c r="CP14" s="250" t="str">
        <f>IF(AND(DATOS_[[#This Row],[% normaliz]]&lt;&gt;1,DATOS_[[#This Row],[% anualiz]]&lt;&gt;1),"Sí","NO")</f>
        <v>NO</v>
      </c>
      <c r="CQ14" s="250" t="str">
        <f>+IF(DATOS_[[#This Row],[% normaliz]]*DATOS_[[#This Row],[% anualiz]]=1,"NO","Sí")</f>
        <v>NO</v>
      </c>
      <c r="CR14" s="251">
        <f>(DATOS_[[#This Row],[S.BASE]]*(1/DATOS_[[#This Row],[% normaliz]])*(1/DATOS_[[#This Row],[% anualiz]]))*IF(DATOS_[[#This Row],[Check Equiparado]]="Sí",1,0)</f>
        <v>13448.76</v>
      </c>
      <c r="CS14"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8449.84</v>
      </c>
      <c r="CT14" s="251">
        <f>+DATOS_[[#This Row],[SALARIO BASE Eq]]+DATOS_[[#This Row],[Tot COMPL.SAL Eq]]</f>
        <v>21898.6</v>
      </c>
      <c r="CU14" s="251" cm="1">
        <f t="array" ref="CU14">(SUMPRODUCT((RngTipo=$CU$7)*(rngAnualizable="Sí")*(rngNormalizable="Sí")*(DATOS_[[#This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14" s="251">
        <f>+DATOS_[[#This Row],[TOTAL SALARIO Eq]]+DATOS_[[#This Row],[Tot Extrasalarial Eq]]</f>
        <v>21898.6</v>
      </c>
      <c r="CW14" s="252">
        <f>DATOS_[[#This Row],[S.BASE]]</f>
        <v>13448.76</v>
      </c>
      <c r="CX14" s="252">
        <f>+SUM(DATOS_[[#This Row],[Conc.Sal.01]:[Conc.Sal.30]])</f>
        <v>8449.84</v>
      </c>
      <c r="CY14" s="252">
        <f>+DATOS_[[#This Row],[SALARIO BASE Ef]]+DATOS_[[#This Row],[Tot COMPL.SAL Ef]]</f>
        <v>21898.6</v>
      </c>
      <c r="CZ14" s="252">
        <f>+SUM(DATOS_[[#This Row],[C.Extra.01]:[C.Extra.11]])</f>
        <v>0</v>
      </c>
      <c r="DA14" s="252">
        <f>+DATOS_[[#This Row],[TOTAL SALARIO Ef]]+DATOS_[[#This Row],[Tot Extrasalarial Ef]]</f>
        <v>21898.6</v>
      </c>
      <c r="DB14" s="109">
        <f>MIN(IF(DATOS_[[#This Row],[Fecha Fin Contrato]]="",$D$4,DATOS_[[#This Row],[Fecha Fin Contrato]]),$D$4)-MAX(DATOS_[[#This Row],[Fecha de Contratación]],$D$3)+1</f>
        <v>366</v>
      </c>
      <c r="DC14" s="110" t="str">
        <f>IF(COUNTIFS(DATOS_[id/cod],DATOS_[[#This Row],[id/cod]])&gt;1,DATOS_[[#This Row],[id/cod]],"")</f>
        <v/>
      </c>
      <c r="DD14" s="108">
        <f>(Inicio!$G$10-DATOS_[[#This Row],[Fecha Nacimiento]])/365.25</f>
        <v>58.92950034223135</v>
      </c>
      <c r="DE14" s="108">
        <f>(Inicio!$G$10-DATOS_[[#This Row],[Fecha de Antigüedad]])/365.25</f>
        <v>30.699520876112253</v>
      </c>
      <c r="DF14" s="108" t="str">
        <f>+VLOOKUP(DATOS_[[#This Row],[Clave de Contrato]],TblTiposContrato13[],3,FALSE)</f>
        <v>Completa</v>
      </c>
      <c r="DG14" s="108" t="str">
        <f>+VLOOKUP(DATOS_[[#This Row],[Clave de Contrato]],TblTiposContrato13[],4,FALSE)</f>
        <v>Indefinido</v>
      </c>
      <c r="DH14" s="108" t="str">
        <f>VLOOKUP(DATOS_[[#This Row],[Edad]],CONTRATOS!TblRngEdad,2,TRUE)</f>
        <v>55 a 60</v>
      </c>
      <c r="DI14" s="108" t="str">
        <f>VLOOKUP(DATOS_[[#This Row],[Antigüedad]],TblRngAntg14[],2,TRUE)</f>
        <v>más de 15</v>
      </c>
    </row>
    <row r="15" spans="1:113" ht="12.9" customHeight="1" x14ac:dyDescent="0.25">
      <c r="A15" s="303" t="s">
        <v>363</v>
      </c>
      <c r="B15" s="265">
        <v>7</v>
      </c>
      <c r="C15" s="264" t="s">
        <v>337</v>
      </c>
      <c r="D15" s="243">
        <v>23863</v>
      </c>
      <c r="E15" s="243" t="s">
        <v>364</v>
      </c>
      <c r="F15" s="245"/>
      <c r="G15" s="245"/>
      <c r="H15" s="266">
        <v>34835</v>
      </c>
      <c r="I15" s="268"/>
      <c r="J15" s="260">
        <v>34835</v>
      </c>
      <c r="K15" s="267"/>
      <c r="L15" s="267"/>
      <c r="M15" s="244">
        <v>1</v>
      </c>
      <c r="N15" s="244"/>
      <c r="O15" s="244"/>
      <c r="P15" s="245"/>
      <c r="Q15" s="242" t="s">
        <v>357</v>
      </c>
      <c r="R15" s="242" t="s">
        <v>365</v>
      </c>
      <c r="S15" s="242" t="s">
        <v>366</v>
      </c>
      <c r="T15" s="242" t="s">
        <v>341</v>
      </c>
      <c r="U15" s="242" t="s">
        <v>367</v>
      </c>
      <c r="V15" s="242"/>
      <c r="W15" s="242"/>
      <c r="X15" s="246"/>
      <c r="Y15" s="271">
        <v>14000425011981</v>
      </c>
      <c r="Z15" s="247"/>
      <c r="AA15" s="279" t="s">
        <v>359</v>
      </c>
      <c r="AB15" s="248"/>
      <c r="AC15" s="245">
        <v>5</v>
      </c>
      <c r="AD15" s="261"/>
      <c r="AE15" s="262"/>
      <c r="AF15" s="262"/>
      <c r="AG15" s="262"/>
      <c r="AH15" s="262"/>
      <c r="AI15" s="262"/>
      <c r="AJ15" s="262"/>
      <c r="AK15" s="262"/>
      <c r="AL15" s="262"/>
      <c r="AM15" s="262"/>
      <c r="AN15" s="262"/>
      <c r="AO15" s="262"/>
      <c r="AP15" s="262"/>
      <c r="AQ15" s="262"/>
      <c r="AR15" s="262"/>
      <c r="AS15" s="262"/>
      <c r="AT15" s="262"/>
      <c r="AU15" s="262"/>
      <c r="AV15" s="262"/>
      <c r="AW15" s="262"/>
      <c r="AX15" s="262"/>
      <c r="AY15" s="262"/>
      <c r="AZ15" s="262"/>
      <c r="BA15" s="262"/>
      <c r="BB15" s="262"/>
      <c r="BC15" s="262"/>
      <c r="BD15" s="262"/>
      <c r="BE15" s="262"/>
      <c r="BF15" s="262"/>
      <c r="BG15" s="262"/>
      <c r="BH15" s="262"/>
      <c r="BI15" s="262"/>
      <c r="BJ15" s="262"/>
      <c r="BK15" s="262"/>
      <c r="BL15" s="262"/>
      <c r="BM15" s="262"/>
      <c r="BN15" s="262"/>
      <c r="BO15" s="262"/>
      <c r="BP15" s="262"/>
      <c r="BQ15" s="262"/>
      <c r="BR15" s="262"/>
      <c r="BS15" s="262"/>
      <c r="BT15" s="262"/>
      <c r="BU15" s="262"/>
      <c r="BV15" s="262"/>
      <c r="BW15" s="263"/>
      <c r="BX15" s="263"/>
      <c r="BY15" s="263"/>
      <c r="BZ15" s="263"/>
      <c r="CA15" s="263"/>
      <c r="CB15" s="263"/>
      <c r="CC15" s="263"/>
      <c r="CD15" s="263"/>
      <c r="CE15" s="263"/>
      <c r="CF15" s="263"/>
      <c r="CG15" s="263"/>
      <c r="CH15" s="249">
        <f>+MAX($D$3,DATOS_[[#This Row],[Fecha Inicio Sit. Contract.]])</f>
        <v>45292</v>
      </c>
      <c r="CI15" s="249">
        <f>+MIN($D$4,DATOS_[[#This Row],[Fecha Fin Sit. Contract.]])</f>
        <v>45657</v>
      </c>
      <c r="CJ15" s="250">
        <f>+DATOS_[[#This Row],[% de jornada]]*IF(DATOS_[[#This Row],[% jornada reducida]]="",1,DATOS_[[#This Row],[% jornada reducida]])</f>
        <v>1</v>
      </c>
      <c r="CK15" s="250">
        <f>+(DATOS_[[#This Row],[F.fin.cal]]-DATOS_[[#This Row],[F.ini.cal]]+1)/($D$4-$D$3+1)</f>
        <v>1</v>
      </c>
      <c r="CL15" s="250" t="str">
        <f>IF(OR(AND(DATOS_[[#This Row],[Fecha Fin Contrato]]&lt;$D$3,DATOS_[[#This Row],[Fecha Fin Contrato]]&lt;&gt;""),DATOS_[[#This Row],[Fecha de Contratación]]&gt;$D$4),"Fuera","Dentro")</f>
        <v>Dentro</v>
      </c>
      <c r="CM15" s="250" t="str" cm="1">
        <f t="array" ref="CM15">IF(MAX(IF(DATOS_[id/cod]=DATOS_[[#This Row],[id/cod]],DATOS_[F.fin.cal]))=DATOS_[[#This Row],[F.fin.cal]],"Sí","NO")</f>
        <v>Sí</v>
      </c>
      <c r="CN15" s="250" t="str">
        <f>IF(AND(DATOS_[[#This Row],[% normaliz]]&lt;&gt;1,DATOS_[[#This Row],[% anualiz]]=1),"Sí","NO")</f>
        <v>NO</v>
      </c>
      <c r="CO15" s="250" t="str">
        <f>IF(AND(DATOS_[[#This Row],[% normaliz]]=1,DATOS_[[#This Row],[% anualiz]]&lt;&gt;1),"Sí","NO")</f>
        <v>NO</v>
      </c>
      <c r="CP15" s="250" t="str">
        <f>IF(AND(DATOS_[[#This Row],[% normaliz]]&lt;&gt;1,DATOS_[[#This Row],[% anualiz]]&lt;&gt;1),"Sí","NO")</f>
        <v>NO</v>
      </c>
      <c r="CQ15" s="250" t="str">
        <f>+IF(DATOS_[[#This Row],[% normaliz]]*DATOS_[[#This Row],[% anualiz]]=1,"NO","Sí")</f>
        <v>NO</v>
      </c>
      <c r="CR15" s="251">
        <f>(DATOS_[[#This Row],[S.BASE]]*(1/DATOS_[[#This Row],[% normaliz]])*(1/DATOS_[[#This Row],[% anualiz]]))*IF(DATOS_[[#This Row],[Check Equiparado]]="Sí",1,0)</f>
        <v>0</v>
      </c>
      <c r="CS15"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15" s="251">
        <f>+DATOS_[[#This Row],[SALARIO BASE Eq]]+DATOS_[[#This Row],[Tot COMPL.SAL Eq]]</f>
        <v>0</v>
      </c>
      <c r="CU15" s="251" cm="1">
        <f t="array" ref="CU15">(SUMPRODUCT((RngTipo=$CU$7)*(rngAnualizable="Sí")*(rngNormalizable="Sí")*(DATOS_[[#This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15" s="251">
        <f>+DATOS_[[#This Row],[TOTAL SALARIO Eq]]+DATOS_[[#This Row],[Tot Extrasalarial Eq]]</f>
        <v>0</v>
      </c>
      <c r="CW15" s="252">
        <f>DATOS_[[#This Row],[S.BASE]]</f>
        <v>0</v>
      </c>
      <c r="CX15" s="252">
        <f>+SUM(DATOS_[[#This Row],[Conc.Sal.01]:[Conc.Sal.30]])</f>
        <v>0</v>
      </c>
      <c r="CY15" s="252">
        <f>+DATOS_[[#This Row],[SALARIO BASE Ef]]+DATOS_[[#This Row],[Tot COMPL.SAL Ef]]</f>
        <v>0</v>
      </c>
      <c r="CZ15" s="252">
        <f>+SUM(DATOS_[[#This Row],[C.Extra.01]:[C.Extra.11]])</f>
        <v>0</v>
      </c>
      <c r="DA15" s="252">
        <f>+DATOS_[[#This Row],[TOTAL SALARIO Ef]]+DATOS_[[#This Row],[Tot Extrasalarial Ef]]</f>
        <v>0</v>
      </c>
      <c r="DB15" s="109">
        <f>MIN(IF(DATOS_[[#This Row],[Fecha Fin Contrato]]="",$D$4,DATOS_[[#This Row],[Fecha Fin Contrato]]),$D$4)-MAX(DATOS_[[#This Row],[Fecha de Contratación]],$D$3)+1</f>
        <v>366</v>
      </c>
      <c r="DC15" s="110" t="str">
        <f>IF(COUNTIFS(DATOS_[id/cod],DATOS_[[#This Row],[id/cod]])&gt;1,DATOS_[[#This Row],[id/cod]],"")</f>
        <v/>
      </c>
      <c r="DD15" s="108">
        <f>(Inicio!$G$10-DATOS_[[#This Row],[Fecha Nacimiento]])/365.25</f>
        <v>59.668720054757017</v>
      </c>
      <c r="DE15" s="108">
        <f>(Inicio!$G$10-DATOS_[[#This Row],[Fecha de Antigüedad]])/365.25</f>
        <v>29.629021218343599</v>
      </c>
      <c r="DF15" s="108" t="e">
        <f>+VLOOKUP(DATOS_[[#This Row],[Clave de Contrato]],TblTiposContrato13[],3,FALSE)</f>
        <v>#N/A</v>
      </c>
      <c r="DG15" s="108" t="e">
        <f>+VLOOKUP(DATOS_[[#This Row],[Clave de Contrato]],TblTiposContrato13[],4,FALSE)</f>
        <v>#N/A</v>
      </c>
      <c r="DH15" s="108" t="str">
        <f>VLOOKUP(DATOS_[[#This Row],[Edad]],CONTRATOS!TblRngEdad,2,TRUE)</f>
        <v>55 a 60</v>
      </c>
      <c r="DI15" s="108" t="str">
        <f>VLOOKUP(DATOS_[[#This Row],[Antigüedad]],TblRngAntg14[],2,TRUE)</f>
        <v>más de 15</v>
      </c>
    </row>
    <row r="16" spans="1:113" ht="12.9" customHeight="1" x14ac:dyDescent="0.25">
      <c r="A16" s="303" t="s">
        <v>368</v>
      </c>
      <c r="B16" s="265">
        <v>8</v>
      </c>
      <c r="C16" s="264" t="s">
        <v>356</v>
      </c>
      <c r="D16" s="243">
        <v>26394</v>
      </c>
      <c r="E16" s="243" t="s">
        <v>369</v>
      </c>
      <c r="F16" s="245"/>
      <c r="G16" s="245"/>
      <c r="H16" s="266">
        <v>35138</v>
      </c>
      <c r="I16" s="268"/>
      <c r="J16" s="260">
        <v>35138</v>
      </c>
      <c r="K16" s="267"/>
      <c r="L16" s="267"/>
      <c r="M16" s="244">
        <v>1</v>
      </c>
      <c r="N16" s="244"/>
      <c r="O16" s="244"/>
      <c r="P16" s="245">
        <v>100</v>
      </c>
      <c r="Q16" s="242" t="s">
        <v>357</v>
      </c>
      <c r="R16" s="242" t="s">
        <v>370</v>
      </c>
      <c r="S16" s="242" t="s">
        <v>371</v>
      </c>
      <c r="T16" s="242" t="s">
        <v>341</v>
      </c>
      <c r="U16" s="242" t="s">
        <v>367</v>
      </c>
      <c r="V16" s="242"/>
      <c r="W16" s="242" t="s">
        <v>182</v>
      </c>
      <c r="X16" s="246"/>
      <c r="Y16" s="271">
        <v>14000425011981</v>
      </c>
      <c r="Z16" s="247" t="s">
        <v>354</v>
      </c>
      <c r="AA16" s="279" t="s">
        <v>359</v>
      </c>
      <c r="AB16" s="248"/>
      <c r="AC16" s="245">
        <v>5</v>
      </c>
      <c r="AD16" s="261">
        <v>13448.76</v>
      </c>
      <c r="AE16" s="262">
        <v>7380</v>
      </c>
      <c r="AF16" s="262">
        <v>37.44</v>
      </c>
      <c r="AG16" s="262">
        <v>902.4</v>
      </c>
      <c r="AH16" s="262">
        <v>713.4</v>
      </c>
      <c r="AI16" s="262">
        <v>431.76</v>
      </c>
      <c r="AJ16" s="262">
        <v>843.12</v>
      </c>
      <c r="AK16" s="262">
        <v>1318.32</v>
      </c>
      <c r="AL16" s="262">
        <v>0</v>
      </c>
      <c r="AM16" s="262">
        <v>1224</v>
      </c>
      <c r="AN16" s="262">
        <v>1224</v>
      </c>
      <c r="AO16" s="262">
        <v>0</v>
      </c>
      <c r="AP16" s="262">
        <v>65</v>
      </c>
      <c r="AQ16" s="262">
        <v>3766.18</v>
      </c>
      <c r="AR16" s="262"/>
      <c r="AS16" s="262"/>
      <c r="AT16" s="262"/>
      <c r="AU16" s="262"/>
      <c r="AV16" s="262"/>
      <c r="AW16" s="262"/>
      <c r="AX16" s="262"/>
      <c r="AY16" s="262"/>
      <c r="AZ16" s="262"/>
      <c r="BA16" s="262"/>
      <c r="BB16" s="262"/>
      <c r="BC16" s="262"/>
      <c r="BD16" s="262"/>
      <c r="BE16" s="262"/>
      <c r="BF16" s="262"/>
      <c r="BG16" s="262"/>
      <c r="BH16" s="262"/>
      <c r="BI16" s="262"/>
      <c r="BJ16" s="262"/>
      <c r="BK16" s="262"/>
      <c r="BL16" s="262"/>
      <c r="BM16" s="262"/>
      <c r="BN16" s="262"/>
      <c r="BO16" s="262"/>
      <c r="BP16" s="262"/>
      <c r="BQ16" s="262"/>
      <c r="BR16" s="262"/>
      <c r="BS16" s="262"/>
      <c r="BT16" s="262"/>
      <c r="BU16" s="262"/>
      <c r="BV16" s="262"/>
      <c r="BW16" s="263"/>
      <c r="BX16" s="263"/>
      <c r="BY16" s="263"/>
      <c r="BZ16" s="263"/>
      <c r="CA16" s="263"/>
      <c r="CB16" s="263"/>
      <c r="CC16" s="263"/>
      <c r="CD16" s="263"/>
      <c r="CE16" s="263"/>
      <c r="CF16" s="263"/>
      <c r="CG16" s="263"/>
      <c r="CH16" s="249">
        <f>+MAX($D$3,DATOS_[[#This Row],[Fecha Inicio Sit. Contract.]])</f>
        <v>45292</v>
      </c>
      <c r="CI16" s="249">
        <f>+MIN($D$4,DATOS_[[#This Row],[Fecha Fin Sit. Contract.]])</f>
        <v>45657</v>
      </c>
      <c r="CJ16" s="250">
        <f>+DATOS_[[#This Row],[% de jornada]]*IF(DATOS_[[#This Row],[% jornada reducida]]="",1,DATOS_[[#This Row],[% jornada reducida]])</f>
        <v>1</v>
      </c>
      <c r="CK16" s="250">
        <f>+(DATOS_[[#This Row],[F.fin.cal]]-DATOS_[[#This Row],[F.ini.cal]]+1)/($D$4-$D$3+1)</f>
        <v>1</v>
      </c>
      <c r="CL16" s="250" t="str">
        <f>IF(OR(AND(DATOS_[[#This Row],[Fecha Fin Contrato]]&lt;$D$3,DATOS_[[#This Row],[Fecha Fin Contrato]]&lt;&gt;""),DATOS_[[#This Row],[Fecha de Contratación]]&gt;$D$4),"Fuera","Dentro")</f>
        <v>Dentro</v>
      </c>
      <c r="CM16" s="250" t="str" cm="1">
        <f t="array" ref="CM16">IF(MAX(IF(DATOS_[id/cod]=DATOS_[[#This Row],[id/cod]],DATOS_[F.fin.cal]))=DATOS_[[#This Row],[F.fin.cal]],"Sí","NO")</f>
        <v>Sí</v>
      </c>
      <c r="CN16" s="250" t="str">
        <f>IF(AND(DATOS_[[#This Row],[% normaliz]]&lt;&gt;1,DATOS_[[#This Row],[% anualiz]]=1),"Sí","NO")</f>
        <v>NO</v>
      </c>
      <c r="CO16" s="250" t="str">
        <f>IF(AND(DATOS_[[#This Row],[% normaliz]]=1,DATOS_[[#This Row],[% anualiz]]&lt;&gt;1),"Sí","NO")</f>
        <v>NO</v>
      </c>
      <c r="CP16" s="250" t="str">
        <f>IF(AND(DATOS_[[#This Row],[% normaliz]]&lt;&gt;1,DATOS_[[#This Row],[% anualiz]]&lt;&gt;1),"Sí","NO")</f>
        <v>NO</v>
      </c>
      <c r="CQ16" s="250" t="str">
        <f>+IF(DATOS_[[#This Row],[% normaliz]]*DATOS_[[#This Row],[% anualiz]]=1,"NO","Sí")</f>
        <v>NO</v>
      </c>
      <c r="CR16" s="251">
        <f>(DATOS_[[#This Row],[S.BASE]]*(1/DATOS_[[#This Row],[% normaliz]])*(1/DATOS_[[#This Row],[% anualiz]]))*IF(DATOS_[[#This Row],[Check Equiparado]]="Sí",1,0)</f>
        <v>13448.76</v>
      </c>
      <c r="CS16"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17905.62</v>
      </c>
      <c r="CT16" s="251">
        <f>+DATOS_[[#This Row],[SALARIO BASE Eq]]+DATOS_[[#This Row],[Tot COMPL.SAL Eq]]</f>
        <v>31354.379999999997</v>
      </c>
      <c r="CU16" s="251" cm="1">
        <f t="array" ref="CU16">(SUMPRODUCT((RngTipo=$CU$7)*(rngAnualizable="Sí")*(rngNormalizable="Sí")*(DATOS_[[#This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16" s="251">
        <f>+DATOS_[[#This Row],[TOTAL SALARIO Eq]]+DATOS_[[#This Row],[Tot Extrasalarial Eq]]</f>
        <v>31354.379999999997</v>
      </c>
      <c r="CW16" s="252">
        <f>DATOS_[[#This Row],[S.BASE]]</f>
        <v>13448.76</v>
      </c>
      <c r="CX16" s="252">
        <f>+SUM(DATOS_[[#This Row],[Conc.Sal.01]:[Conc.Sal.30]])</f>
        <v>17905.62</v>
      </c>
      <c r="CY16" s="252">
        <f>+DATOS_[[#This Row],[SALARIO BASE Ef]]+DATOS_[[#This Row],[Tot COMPL.SAL Ef]]</f>
        <v>31354.379999999997</v>
      </c>
      <c r="CZ16" s="252">
        <f>+SUM(DATOS_[[#This Row],[C.Extra.01]:[C.Extra.11]])</f>
        <v>0</v>
      </c>
      <c r="DA16" s="252">
        <f>+DATOS_[[#This Row],[TOTAL SALARIO Ef]]+DATOS_[[#This Row],[Tot Extrasalarial Ef]]</f>
        <v>31354.379999999997</v>
      </c>
      <c r="DB16" s="109">
        <f>MIN(IF(DATOS_[[#This Row],[Fecha Fin Contrato]]="",$D$4,DATOS_[[#This Row],[Fecha Fin Contrato]]),$D$4)-MAX(DATOS_[[#This Row],[Fecha de Contratación]],$D$3)+1</f>
        <v>366</v>
      </c>
      <c r="DC16" s="110" t="str">
        <f>IF(COUNTIFS(DATOS_[id/cod],DATOS_[[#This Row],[id/cod]])&gt;1,DATOS_[[#This Row],[id/cod]],"")</f>
        <v/>
      </c>
      <c r="DD16" s="108">
        <f>(Inicio!$G$10-DATOS_[[#This Row],[Fecha Nacimiento]])/365.25</f>
        <v>52.739219712525667</v>
      </c>
      <c r="DE16" s="108">
        <f>(Inicio!$G$10-DATOS_[[#This Row],[Fecha de Antigüedad]])/365.25</f>
        <v>28.799452429842574</v>
      </c>
      <c r="DF16" s="108" t="str">
        <f>+VLOOKUP(DATOS_[[#This Row],[Clave de Contrato]],TblTiposContrato13[],3,FALSE)</f>
        <v>Completa</v>
      </c>
      <c r="DG16" s="108" t="str">
        <f>+VLOOKUP(DATOS_[[#This Row],[Clave de Contrato]],TblTiposContrato13[],4,FALSE)</f>
        <v>Indefinido</v>
      </c>
      <c r="DH16" s="108" t="str">
        <f>VLOOKUP(DATOS_[[#This Row],[Edad]],CONTRATOS!TblRngEdad,2,TRUE)</f>
        <v>50 a 55</v>
      </c>
      <c r="DI16" s="108" t="str">
        <f>VLOOKUP(DATOS_[[#This Row],[Antigüedad]],TblRngAntg14[],2,TRUE)</f>
        <v>más de 15</v>
      </c>
    </row>
    <row r="17" spans="1:113" ht="12.9" customHeight="1" x14ac:dyDescent="0.25">
      <c r="A17" s="303" t="s">
        <v>372</v>
      </c>
      <c r="B17" s="265">
        <v>9</v>
      </c>
      <c r="C17" s="264" t="s">
        <v>337</v>
      </c>
      <c r="D17" s="243">
        <v>24529</v>
      </c>
      <c r="E17" s="243" t="s">
        <v>373</v>
      </c>
      <c r="F17" s="245"/>
      <c r="G17" s="245"/>
      <c r="H17" s="266">
        <v>35196</v>
      </c>
      <c r="I17" s="268"/>
      <c r="J17" s="260">
        <v>35196</v>
      </c>
      <c r="K17" s="267"/>
      <c r="L17" s="267"/>
      <c r="M17" s="244">
        <v>1</v>
      </c>
      <c r="N17" s="244"/>
      <c r="O17" s="244"/>
      <c r="P17" s="245"/>
      <c r="Q17" s="242" t="s">
        <v>339</v>
      </c>
      <c r="R17" s="242" t="s">
        <v>339</v>
      </c>
      <c r="S17" s="242" t="s">
        <v>349</v>
      </c>
      <c r="T17" s="242" t="s">
        <v>341</v>
      </c>
      <c r="U17" s="242" t="s">
        <v>342</v>
      </c>
      <c r="V17" s="242"/>
      <c r="W17" s="242"/>
      <c r="X17" s="246"/>
      <c r="Y17" s="271">
        <v>14000425011981</v>
      </c>
      <c r="Z17" s="247"/>
      <c r="AA17" s="279" t="s">
        <v>343</v>
      </c>
      <c r="AB17" s="248"/>
      <c r="AC17" s="245">
        <v>8</v>
      </c>
      <c r="AD17" s="261"/>
      <c r="AE17" s="262"/>
      <c r="AF17" s="262"/>
      <c r="AG17" s="262"/>
      <c r="AH17" s="262"/>
      <c r="AI17" s="262"/>
      <c r="AJ17" s="262"/>
      <c r="AK17" s="262"/>
      <c r="AL17" s="262"/>
      <c r="AM17" s="262"/>
      <c r="AN17" s="262"/>
      <c r="AO17" s="262"/>
      <c r="AP17" s="262"/>
      <c r="AQ17" s="262"/>
      <c r="AR17" s="262"/>
      <c r="AS17" s="262"/>
      <c r="AT17" s="262"/>
      <c r="AU17" s="262"/>
      <c r="AV17" s="262"/>
      <c r="AW17" s="262"/>
      <c r="AX17" s="262"/>
      <c r="AY17" s="262"/>
      <c r="AZ17" s="262"/>
      <c r="BA17" s="262"/>
      <c r="BB17" s="262"/>
      <c r="BC17" s="262"/>
      <c r="BD17" s="262"/>
      <c r="BE17" s="262"/>
      <c r="BF17" s="262"/>
      <c r="BG17" s="262"/>
      <c r="BH17" s="262"/>
      <c r="BI17" s="262"/>
      <c r="BJ17" s="262"/>
      <c r="BK17" s="262"/>
      <c r="BL17" s="262"/>
      <c r="BM17" s="262"/>
      <c r="BN17" s="262"/>
      <c r="BO17" s="262"/>
      <c r="BP17" s="262"/>
      <c r="BQ17" s="262"/>
      <c r="BR17" s="262"/>
      <c r="BS17" s="262"/>
      <c r="BT17" s="262"/>
      <c r="BU17" s="262"/>
      <c r="BV17" s="262"/>
      <c r="BW17" s="263"/>
      <c r="BX17" s="263"/>
      <c r="BY17" s="263"/>
      <c r="BZ17" s="263"/>
      <c r="CA17" s="263"/>
      <c r="CB17" s="263"/>
      <c r="CC17" s="263"/>
      <c r="CD17" s="263"/>
      <c r="CE17" s="263"/>
      <c r="CF17" s="263"/>
      <c r="CG17" s="263"/>
      <c r="CH17" s="249">
        <f>+MAX($D$3,DATOS_[[#This Row],[Fecha Inicio Sit. Contract.]])</f>
        <v>45292</v>
      </c>
      <c r="CI17" s="249">
        <f>+MIN($D$4,DATOS_[[#This Row],[Fecha Fin Sit. Contract.]])</f>
        <v>45657</v>
      </c>
      <c r="CJ17" s="250">
        <f>+DATOS_[[#This Row],[% de jornada]]*IF(DATOS_[[#This Row],[% jornada reducida]]="",1,DATOS_[[#This Row],[% jornada reducida]])</f>
        <v>1</v>
      </c>
      <c r="CK17" s="250">
        <f>+(DATOS_[[#This Row],[F.fin.cal]]-DATOS_[[#This Row],[F.ini.cal]]+1)/($D$4-$D$3+1)</f>
        <v>1</v>
      </c>
      <c r="CL17" s="250" t="str">
        <f>IF(OR(AND(DATOS_[[#This Row],[Fecha Fin Contrato]]&lt;$D$3,DATOS_[[#This Row],[Fecha Fin Contrato]]&lt;&gt;""),DATOS_[[#This Row],[Fecha de Contratación]]&gt;$D$4),"Fuera","Dentro")</f>
        <v>Dentro</v>
      </c>
      <c r="CM17" s="250" t="str" cm="1">
        <f t="array" ref="CM17">IF(MAX(IF(DATOS_[id/cod]=DATOS_[[#This Row],[id/cod]],DATOS_[F.fin.cal]))=DATOS_[[#This Row],[F.fin.cal]],"Sí","NO")</f>
        <v>Sí</v>
      </c>
      <c r="CN17" s="250" t="str">
        <f>IF(AND(DATOS_[[#This Row],[% normaliz]]&lt;&gt;1,DATOS_[[#This Row],[% anualiz]]=1),"Sí","NO")</f>
        <v>NO</v>
      </c>
      <c r="CO17" s="250" t="str">
        <f>IF(AND(DATOS_[[#This Row],[% normaliz]]=1,DATOS_[[#This Row],[% anualiz]]&lt;&gt;1),"Sí","NO")</f>
        <v>NO</v>
      </c>
      <c r="CP17" s="250" t="str">
        <f>IF(AND(DATOS_[[#This Row],[% normaliz]]&lt;&gt;1,DATOS_[[#This Row],[% anualiz]]&lt;&gt;1),"Sí","NO")</f>
        <v>NO</v>
      </c>
      <c r="CQ17" s="250" t="str">
        <f>+IF(DATOS_[[#This Row],[% normaliz]]*DATOS_[[#This Row],[% anualiz]]=1,"NO","Sí")</f>
        <v>NO</v>
      </c>
      <c r="CR17" s="251">
        <f>(DATOS_[[#This Row],[S.BASE]]*(1/DATOS_[[#This Row],[% normaliz]])*(1/DATOS_[[#This Row],[% anualiz]]))*IF(DATOS_[[#This Row],[Check Equiparado]]="Sí",1,0)</f>
        <v>0</v>
      </c>
      <c r="CS17"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17" s="251">
        <f>+DATOS_[[#This Row],[SALARIO BASE Eq]]+DATOS_[[#This Row],[Tot COMPL.SAL Eq]]</f>
        <v>0</v>
      </c>
      <c r="CU17" s="251" cm="1">
        <f t="array" ref="CU17">(SUMPRODUCT((RngTipo=$CU$7)*(rngAnualizable="Sí")*(rngNormalizable="Sí")*(DATOS_[[#This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17" s="251">
        <f>+DATOS_[[#This Row],[TOTAL SALARIO Eq]]+DATOS_[[#This Row],[Tot Extrasalarial Eq]]</f>
        <v>0</v>
      </c>
      <c r="CW17" s="252">
        <f>DATOS_[[#This Row],[S.BASE]]</f>
        <v>0</v>
      </c>
      <c r="CX17" s="252">
        <f>+SUM(DATOS_[[#This Row],[Conc.Sal.01]:[Conc.Sal.30]])</f>
        <v>0</v>
      </c>
      <c r="CY17" s="252">
        <f>+DATOS_[[#This Row],[SALARIO BASE Ef]]+DATOS_[[#This Row],[Tot COMPL.SAL Ef]]</f>
        <v>0</v>
      </c>
      <c r="CZ17" s="252">
        <f>+SUM(DATOS_[[#This Row],[C.Extra.01]:[C.Extra.11]])</f>
        <v>0</v>
      </c>
      <c r="DA17" s="252">
        <f>+DATOS_[[#This Row],[TOTAL SALARIO Ef]]+DATOS_[[#This Row],[Tot Extrasalarial Ef]]</f>
        <v>0</v>
      </c>
      <c r="DB17" s="109">
        <f>MIN(IF(DATOS_[[#This Row],[Fecha Fin Contrato]]="",$D$4,DATOS_[[#This Row],[Fecha Fin Contrato]]),$D$4)-MAX(DATOS_[[#This Row],[Fecha de Contratación]],$D$3)+1</f>
        <v>366</v>
      </c>
      <c r="DC17" s="110" t="str">
        <f>IF(COUNTIFS(DATOS_[id/cod],DATOS_[[#This Row],[id/cod]])&gt;1,DATOS_[[#This Row],[id/cod]],"")</f>
        <v/>
      </c>
      <c r="DD17" s="108">
        <f>(Inicio!$G$10-DATOS_[[#This Row],[Fecha Nacimiento]])/365.25</f>
        <v>57.845311430527033</v>
      </c>
      <c r="DE17" s="108">
        <f>(Inicio!$G$10-DATOS_[[#This Row],[Fecha de Antigüedad]])/365.25</f>
        <v>28.640657084188913</v>
      </c>
      <c r="DF17" s="108" t="e">
        <f>+VLOOKUP(DATOS_[[#This Row],[Clave de Contrato]],TblTiposContrato13[],3,FALSE)</f>
        <v>#N/A</v>
      </c>
      <c r="DG17" s="108" t="e">
        <f>+VLOOKUP(DATOS_[[#This Row],[Clave de Contrato]],TblTiposContrato13[],4,FALSE)</f>
        <v>#N/A</v>
      </c>
      <c r="DH17" s="108" t="str">
        <f>VLOOKUP(DATOS_[[#This Row],[Edad]],CONTRATOS!TblRngEdad,2,TRUE)</f>
        <v>55 a 60</v>
      </c>
      <c r="DI17" s="108" t="str">
        <f>VLOOKUP(DATOS_[[#This Row],[Antigüedad]],TblRngAntg14[],2,TRUE)</f>
        <v>más de 15</v>
      </c>
    </row>
    <row r="18" spans="1:113" ht="12.9" customHeight="1" x14ac:dyDescent="0.25">
      <c r="A18" s="303" t="s">
        <v>374</v>
      </c>
      <c r="B18" s="265">
        <v>10</v>
      </c>
      <c r="C18" s="264" t="s">
        <v>337</v>
      </c>
      <c r="D18" s="243">
        <v>25774</v>
      </c>
      <c r="E18" s="243" t="s">
        <v>361</v>
      </c>
      <c r="F18" s="245"/>
      <c r="G18" s="245"/>
      <c r="H18" s="266">
        <v>35432</v>
      </c>
      <c r="I18" s="268"/>
      <c r="J18" s="260">
        <v>35432</v>
      </c>
      <c r="K18" s="267"/>
      <c r="L18" s="267"/>
      <c r="M18" s="244">
        <v>1</v>
      </c>
      <c r="N18" s="244"/>
      <c r="O18" s="244"/>
      <c r="P18" s="245"/>
      <c r="Q18" s="242" t="s">
        <v>375</v>
      </c>
      <c r="R18" s="242" t="s">
        <v>375</v>
      </c>
      <c r="S18" s="242" t="s">
        <v>376</v>
      </c>
      <c r="T18" s="242" t="s">
        <v>341</v>
      </c>
      <c r="U18" s="242" t="s">
        <v>342</v>
      </c>
      <c r="V18" s="242"/>
      <c r="W18" s="242"/>
      <c r="X18" s="246"/>
      <c r="Y18" s="271">
        <v>14000425011981</v>
      </c>
      <c r="Z18" s="247"/>
      <c r="AA18" s="279" t="s">
        <v>359</v>
      </c>
      <c r="AB18" s="248"/>
      <c r="AC18" s="245">
        <v>8</v>
      </c>
      <c r="AD18" s="261"/>
      <c r="AE18" s="262"/>
      <c r="AF18" s="262"/>
      <c r="AG18" s="262"/>
      <c r="AH18" s="262"/>
      <c r="AI18" s="262"/>
      <c r="AJ18" s="262"/>
      <c r="AK18" s="262"/>
      <c r="AL18" s="262"/>
      <c r="AM18" s="262"/>
      <c r="AN18" s="262"/>
      <c r="AO18" s="262"/>
      <c r="AP18" s="262"/>
      <c r="AQ18" s="262"/>
      <c r="AR18" s="262"/>
      <c r="AS18" s="262"/>
      <c r="AT18" s="262"/>
      <c r="AU18" s="262"/>
      <c r="AV18" s="262"/>
      <c r="AW18" s="262"/>
      <c r="AX18" s="262"/>
      <c r="AY18" s="262"/>
      <c r="AZ18" s="262"/>
      <c r="BA18" s="262"/>
      <c r="BB18" s="262"/>
      <c r="BC18" s="262"/>
      <c r="BD18" s="262"/>
      <c r="BE18" s="262"/>
      <c r="BF18" s="262"/>
      <c r="BG18" s="262"/>
      <c r="BH18" s="262"/>
      <c r="BI18" s="262"/>
      <c r="BJ18" s="262"/>
      <c r="BK18" s="262"/>
      <c r="BL18" s="262"/>
      <c r="BM18" s="262"/>
      <c r="BN18" s="262"/>
      <c r="BO18" s="262"/>
      <c r="BP18" s="262"/>
      <c r="BQ18" s="262"/>
      <c r="BR18" s="262"/>
      <c r="BS18" s="262"/>
      <c r="BT18" s="262"/>
      <c r="BU18" s="262"/>
      <c r="BV18" s="262"/>
      <c r="BW18" s="263"/>
      <c r="BX18" s="263"/>
      <c r="BY18" s="263"/>
      <c r="BZ18" s="263"/>
      <c r="CA18" s="263"/>
      <c r="CB18" s="263"/>
      <c r="CC18" s="263"/>
      <c r="CD18" s="263"/>
      <c r="CE18" s="263"/>
      <c r="CF18" s="263"/>
      <c r="CG18" s="263"/>
      <c r="CH18" s="249">
        <f>+MAX($D$3,DATOS_[[#This Row],[Fecha Inicio Sit. Contract.]])</f>
        <v>45292</v>
      </c>
      <c r="CI18" s="249">
        <f>+MIN($D$4,DATOS_[[#This Row],[Fecha Fin Sit. Contract.]])</f>
        <v>45657</v>
      </c>
      <c r="CJ18" s="250">
        <f>+DATOS_[[#This Row],[% de jornada]]*IF(DATOS_[[#This Row],[% jornada reducida]]="",1,DATOS_[[#This Row],[% jornada reducida]])</f>
        <v>1</v>
      </c>
      <c r="CK18" s="250">
        <f>+(DATOS_[[#This Row],[F.fin.cal]]-DATOS_[[#This Row],[F.ini.cal]]+1)/($D$4-$D$3+1)</f>
        <v>1</v>
      </c>
      <c r="CL18" s="250" t="str">
        <f>IF(OR(AND(DATOS_[[#This Row],[Fecha Fin Contrato]]&lt;$D$3,DATOS_[[#This Row],[Fecha Fin Contrato]]&lt;&gt;""),DATOS_[[#This Row],[Fecha de Contratación]]&gt;$D$4),"Fuera","Dentro")</f>
        <v>Dentro</v>
      </c>
      <c r="CM18" s="250" t="str" cm="1">
        <f t="array" ref="CM18">IF(MAX(IF(DATOS_[id/cod]=DATOS_[[#This Row],[id/cod]],DATOS_[F.fin.cal]))=DATOS_[[#This Row],[F.fin.cal]],"Sí","NO")</f>
        <v>Sí</v>
      </c>
      <c r="CN18" s="250" t="str">
        <f>IF(AND(DATOS_[[#This Row],[% normaliz]]&lt;&gt;1,DATOS_[[#This Row],[% anualiz]]=1),"Sí","NO")</f>
        <v>NO</v>
      </c>
      <c r="CO18" s="250" t="str">
        <f>IF(AND(DATOS_[[#This Row],[% normaliz]]=1,DATOS_[[#This Row],[% anualiz]]&lt;&gt;1),"Sí","NO")</f>
        <v>NO</v>
      </c>
      <c r="CP18" s="250" t="str">
        <f>IF(AND(DATOS_[[#This Row],[% normaliz]]&lt;&gt;1,DATOS_[[#This Row],[% anualiz]]&lt;&gt;1),"Sí","NO")</f>
        <v>NO</v>
      </c>
      <c r="CQ18" s="250" t="str">
        <f>+IF(DATOS_[[#This Row],[% normaliz]]*DATOS_[[#This Row],[% anualiz]]=1,"NO","Sí")</f>
        <v>NO</v>
      </c>
      <c r="CR18" s="251">
        <f>(DATOS_[[#This Row],[S.BASE]]*(1/DATOS_[[#This Row],[% normaliz]])*(1/DATOS_[[#This Row],[% anualiz]]))*IF(DATOS_[[#This Row],[Check Equiparado]]="Sí",1,0)</f>
        <v>0</v>
      </c>
      <c r="CS18"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18" s="251">
        <f>+DATOS_[[#This Row],[SALARIO BASE Eq]]+DATOS_[[#This Row],[Tot COMPL.SAL Eq]]</f>
        <v>0</v>
      </c>
      <c r="CU18" s="251" cm="1">
        <f t="array" ref="CU18">(SUMPRODUCT((RngTipo=$CU$7)*(rngAnualizable="Sí")*(rngNormalizable="Sí")*(DATOS_[[#This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18" s="251">
        <f>+DATOS_[[#This Row],[TOTAL SALARIO Eq]]+DATOS_[[#This Row],[Tot Extrasalarial Eq]]</f>
        <v>0</v>
      </c>
      <c r="CW18" s="252">
        <f>DATOS_[[#This Row],[S.BASE]]</f>
        <v>0</v>
      </c>
      <c r="CX18" s="252">
        <f>+SUM(DATOS_[[#This Row],[Conc.Sal.01]:[Conc.Sal.30]])</f>
        <v>0</v>
      </c>
      <c r="CY18" s="252">
        <f>+DATOS_[[#This Row],[SALARIO BASE Ef]]+DATOS_[[#This Row],[Tot COMPL.SAL Ef]]</f>
        <v>0</v>
      </c>
      <c r="CZ18" s="252">
        <f>+SUM(DATOS_[[#This Row],[C.Extra.01]:[C.Extra.11]])</f>
        <v>0</v>
      </c>
      <c r="DA18" s="252">
        <f>+DATOS_[[#This Row],[TOTAL SALARIO Ef]]+DATOS_[[#This Row],[Tot Extrasalarial Ef]]</f>
        <v>0</v>
      </c>
      <c r="DB18" s="109">
        <f>MIN(IF(DATOS_[[#This Row],[Fecha Fin Contrato]]="",$D$4,DATOS_[[#This Row],[Fecha Fin Contrato]]),$D$4)-MAX(DATOS_[[#This Row],[Fecha de Contratación]],$D$3)+1</f>
        <v>366</v>
      </c>
      <c r="DC18" s="110" t="str">
        <f>IF(COUNTIFS(DATOS_[id/cod],DATOS_[[#This Row],[id/cod]])&gt;1,DATOS_[[#This Row],[id/cod]],"")</f>
        <v/>
      </c>
      <c r="DD18" s="108">
        <f>(Inicio!$G$10-DATOS_[[#This Row],[Fecha Nacimiento]])/365.25</f>
        <v>54.436687200547567</v>
      </c>
      <c r="DE18" s="108">
        <f>(Inicio!$G$10-DATOS_[[#This Row],[Fecha de Antigüedad]])/365.25</f>
        <v>27.994524298425734</v>
      </c>
      <c r="DF18" s="108" t="e">
        <f>+VLOOKUP(DATOS_[[#This Row],[Clave de Contrato]],TblTiposContrato13[],3,FALSE)</f>
        <v>#N/A</v>
      </c>
      <c r="DG18" s="108" t="e">
        <f>+VLOOKUP(DATOS_[[#This Row],[Clave de Contrato]],TblTiposContrato13[],4,FALSE)</f>
        <v>#N/A</v>
      </c>
      <c r="DH18" s="108" t="str">
        <f>VLOOKUP(DATOS_[[#This Row],[Edad]],CONTRATOS!TblRngEdad,2,TRUE)</f>
        <v>50 a 55</v>
      </c>
      <c r="DI18" s="108" t="str">
        <f>VLOOKUP(DATOS_[[#This Row],[Antigüedad]],TblRngAntg14[],2,TRUE)</f>
        <v>más de 15</v>
      </c>
    </row>
    <row r="19" spans="1:113" ht="12.9" customHeight="1" x14ac:dyDescent="0.25">
      <c r="A19" s="303" t="s">
        <v>377</v>
      </c>
      <c r="B19" s="265">
        <v>11</v>
      </c>
      <c r="C19" s="264" t="s">
        <v>356</v>
      </c>
      <c r="D19" s="243">
        <v>21815</v>
      </c>
      <c r="E19" s="243" t="s">
        <v>378</v>
      </c>
      <c r="F19" s="245"/>
      <c r="G19" s="245"/>
      <c r="H19" s="266">
        <v>36391</v>
      </c>
      <c r="I19" s="268"/>
      <c r="J19" s="260">
        <v>36391</v>
      </c>
      <c r="K19" s="267"/>
      <c r="L19" s="267"/>
      <c r="M19" s="244">
        <v>0.75</v>
      </c>
      <c r="N19" s="244"/>
      <c r="O19" s="244"/>
      <c r="P19" s="245">
        <v>200</v>
      </c>
      <c r="Q19" s="242" t="s">
        <v>379</v>
      </c>
      <c r="R19" s="242" t="s">
        <v>379</v>
      </c>
      <c r="S19" s="242" t="s">
        <v>380</v>
      </c>
      <c r="T19" s="242" t="s">
        <v>381</v>
      </c>
      <c r="U19" s="242" t="s">
        <v>342</v>
      </c>
      <c r="V19" s="242"/>
      <c r="W19" s="242" t="s">
        <v>192</v>
      </c>
      <c r="X19" s="246"/>
      <c r="Y19" s="271">
        <v>14000425011981</v>
      </c>
      <c r="Z19" s="247" t="s">
        <v>382</v>
      </c>
      <c r="AA19" s="279" t="s">
        <v>383</v>
      </c>
      <c r="AB19" s="248"/>
      <c r="AC19" s="245">
        <v>10</v>
      </c>
      <c r="AD19" s="261">
        <v>5367.89</v>
      </c>
      <c r="AE19" s="262">
        <v>17.97</v>
      </c>
      <c r="AF19" s="262">
        <v>500.43</v>
      </c>
      <c r="AG19" s="262">
        <v>348.79</v>
      </c>
      <c r="AH19" s="262">
        <v>715.04</v>
      </c>
      <c r="AI19" s="262">
        <v>0</v>
      </c>
      <c r="AJ19" s="262">
        <v>412.19</v>
      </c>
      <c r="AK19" s="262">
        <v>523.78</v>
      </c>
      <c r="AL19" s="262">
        <v>98.5</v>
      </c>
      <c r="AM19" s="262">
        <v>95.04</v>
      </c>
      <c r="AN19" s="262">
        <v>1902.8</v>
      </c>
      <c r="AO19" s="262">
        <v>680.43</v>
      </c>
      <c r="AP19" s="262">
        <v>0</v>
      </c>
      <c r="AQ19" s="262">
        <v>0</v>
      </c>
      <c r="AR19" s="262">
        <v>0</v>
      </c>
      <c r="AS19" s="262">
        <v>0</v>
      </c>
      <c r="AT19" s="262">
        <v>2225.9299999999998</v>
      </c>
      <c r="AU19" s="262">
        <v>389.64</v>
      </c>
      <c r="AV19" s="262">
        <v>1095.92</v>
      </c>
      <c r="AW19" s="262">
        <v>4117.4399999999996</v>
      </c>
      <c r="AX19" s="262">
        <v>0</v>
      </c>
      <c r="AY19" s="262">
        <v>0</v>
      </c>
      <c r="AZ19" s="262"/>
      <c r="BA19" s="262"/>
      <c r="BB19" s="262"/>
      <c r="BC19" s="262"/>
      <c r="BD19" s="262"/>
      <c r="BE19" s="262"/>
      <c r="BF19" s="262"/>
      <c r="BG19" s="262"/>
      <c r="BH19" s="262"/>
      <c r="BI19" s="262"/>
      <c r="BJ19" s="262"/>
      <c r="BK19" s="262"/>
      <c r="BL19" s="262"/>
      <c r="BM19" s="262"/>
      <c r="BN19" s="262"/>
      <c r="BO19" s="262"/>
      <c r="BP19" s="262"/>
      <c r="BQ19" s="262"/>
      <c r="BR19" s="262"/>
      <c r="BS19" s="262"/>
      <c r="BT19" s="262"/>
      <c r="BU19" s="262"/>
      <c r="BV19" s="262"/>
      <c r="BW19" s="263"/>
      <c r="BX19" s="263"/>
      <c r="BY19" s="263"/>
      <c r="BZ19" s="263"/>
      <c r="CA19" s="263"/>
      <c r="CB19" s="263"/>
      <c r="CC19" s="263"/>
      <c r="CD19" s="263"/>
      <c r="CE19" s="263"/>
      <c r="CF19" s="263"/>
      <c r="CG19" s="263"/>
      <c r="CH19" s="249">
        <f>+MAX($D$3,DATOS_[[#This Row],[Fecha Inicio Sit. Contract.]])</f>
        <v>45292</v>
      </c>
      <c r="CI19" s="249">
        <f>+MIN($D$4,DATOS_[[#This Row],[Fecha Fin Sit. Contract.]])</f>
        <v>45657</v>
      </c>
      <c r="CJ19" s="250">
        <f>+DATOS_[[#This Row],[% de jornada]]*IF(DATOS_[[#This Row],[% jornada reducida]]="",1,DATOS_[[#This Row],[% jornada reducida]])</f>
        <v>0.75</v>
      </c>
      <c r="CK19" s="250">
        <f>+(DATOS_[[#This Row],[F.fin.cal]]-DATOS_[[#This Row],[F.ini.cal]]+1)/($D$4-$D$3+1)</f>
        <v>1</v>
      </c>
      <c r="CL19" s="250" t="str">
        <f>IF(OR(AND(DATOS_[[#This Row],[Fecha Fin Contrato]]&lt;$D$3,DATOS_[[#This Row],[Fecha Fin Contrato]]&lt;&gt;""),DATOS_[[#This Row],[Fecha de Contratación]]&gt;$D$4),"Fuera","Dentro")</f>
        <v>Dentro</v>
      </c>
      <c r="CM19" s="250" t="str" cm="1">
        <f t="array" ref="CM19">IF(MAX(IF(DATOS_[id/cod]=DATOS_[[#This Row],[id/cod]],DATOS_[F.fin.cal]))=DATOS_[[#This Row],[F.fin.cal]],"Sí","NO")</f>
        <v>Sí</v>
      </c>
      <c r="CN19" s="250" t="str">
        <f>IF(AND(DATOS_[[#This Row],[% normaliz]]&lt;&gt;1,DATOS_[[#This Row],[% anualiz]]=1),"Sí","NO")</f>
        <v>Sí</v>
      </c>
      <c r="CO19" s="250" t="str">
        <f>IF(AND(DATOS_[[#This Row],[% normaliz]]=1,DATOS_[[#This Row],[% anualiz]]&lt;&gt;1),"Sí","NO")</f>
        <v>NO</v>
      </c>
      <c r="CP19" s="250" t="str">
        <f>IF(AND(DATOS_[[#This Row],[% normaliz]]&lt;&gt;1,DATOS_[[#This Row],[% anualiz]]&lt;&gt;1),"Sí","NO")</f>
        <v>NO</v>
      </c>
      <c r="CQ19" s="250" t="str">
        <f>+IF(DATOS_[[#This Row],[% normaliz]]*DATOS_[[#This Row],[% anualiz]]=1,"NO","Sí")</f>
        <v>Sí</v>
      </c>
      <c r="CR19" s="251">
        <f>(DATOS_[[#This Row],[S.BASE]]*(1/DATOS_[[#This Row],[% normaliz]])*(1/DATOS_[[#This Row],[% anualiz]]))*IF(DATOS_[[#This Row],[Check Equiparado]]="Sí",1,0)</f>
        <v>7157.1866666666665</v>
      </c>
      <c r="CS19"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13069.399999999998</v>
      </c>
      <c r="CT19" s="251">
        <f>+DATOS_[[#This Row],[SALARIO BASE Eq]]+DATOS_[[#This Row],[Tot COMPL.SAL Eq]]</f>
        <v>20226.586666666662</v>
      </c>
      <c r="CU19" s="251" cm="1">
        <f t="array" ref="CU19">(SUMPRODUCT((RngTipo=$CU$7)*(rngAnualizable="Sí")*(rngNormalizable="Sí")*(DATOS_[[#This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4429.1333333333332</v>
      </c>
      <c r="CV19" s="251">
        <f>+DATOS_[[#This Row],[TOTAL SALARIO Eq]]+DATOS_[[#This Row],[Tot Extrasalarial Eq]]</f>
        <v>24655.719999999994</v>
      </c>
      <c r="CW19" s="252">
        <f>DATOS_[[#This Row],[S.BASE]]</f>
        <v>5367.89</v>
      </c>
      <c r="CX19" s="252">
        <f>+SUM(DATOS_[[#This Row],[Conc.Sal.01]:[Conc.Sal.30]])</f>
        <v>13123.899999999998</v>
      </c>
      <c r="CY19" s="252">
        <f>+DATOS_[[#This Row],[SALARIO BASE Ef]]+DATOS_[[#This Row],[Tot COMPL.SAL Ef]]</f>
        <v>18491.789999999997</v>
      </c>
      <c r="CZ19" s="252">
        <f>+SUM(DATOS_[[#This Row],[C.Extra.01]:[C.Extra.11]])</f>
        <v>0</v>
      </c>
      <c r="DA19" s="252">
        <f>+DATOS_[[#This Row],[TOTAL SALARIO Ef]]+DATOS_[[#This Row],[Tot Extrasalarial Ef]]</f>
        <v>18491.789999999997</v>
      </c>
      <c r="DB19" s="109">
        <f>MIN(IF(DATOS_[[#This Row],[Fecha Fin Contrato]]="",$D$4,DATOS_[[#This Row],[Fecha Fin Contrato]]),$D$4)-MAX(DATOS_[[#This Row],[Fecha de Contratación]],$D$3)+1</f>
        <v>366</v>
      </c>
      <c r="DC19" s="110" t="str">
        <f>IF(COUNTIFS(DATOS_[id/cod],DATOS_[[#This Row],[id/cod]])&gt;1,DATOS_[[#This Row],[id/cod]],"")</f>
        <v/>
      </c>
      <c r="DD19" s="108">
        <f>(Inicio!$G$10-DATOS_[[#This Row],[Fecha Nacimiento]])/365.25</f>
        <v>65.275838466803563</v>
      </c>
      <c r="DE19" s="108">
        <f>(Inicio!$G$10-DATOS_[[#This Row],[Fecha de Antigüedad]])/365.25</f>
        <v>25.368925393566052</v>
      </c>
      <c r="DF19" s="108" t="str">
        <f>+VLOOKUP(DATOS_[[#This Row],[Clave de Contrato]],TblTiposContrato13[],3,FALSE)</f>
        <v>Parcial</v>
      </c>
      <c r="DG19" s="108" t="str">
        <f>+VLOOKUP(DATOS_[[#This Row],[Clave de Contrato]],TblTiposContrato13[],4,FALSE)</f>
        <v>Indefinido</v>
      </c>
      <c r="DH19" s="108" t="str">
        <f>VLOOKUP(DATOS_[[#This Row],[Edad]],CONTRATOS!TblRngEdad,2,TRUE)</f>
        <v>60 en adelante</v>
      </c>
      <c r="DI19" s="108" t="str">
        <f>VLOOKUP(DATOS_[[#This Row],[Antigüedad]],TblRngAntg14[],2,TRUE)</f>
        <v>más de 15</v>
      </c>
    </row>
    <row r="20" spans="1:113" ht="12.9" customHeight="1" x14ac:dyDescent="0.25">
      <c r="A20" s="303" t="s">
        <v>384</v>
      </c>
      <c r="B20" s="265">
        <v>12</v>
      </c>
      <c r="C20" s="264" t="s">
        <v>356</v>
      </c>
      <c r="D20" s="243">
        <v>25872</v>
      </c>
      <c r="E20" s="243" t="s">
        <v>373</v>
      </c>
      <c r="F20" s="245"/>
      <c r="G20" s="245"/>
      <c r="H20" s="266">
        <v>36571</v>
      </c>
      <c r="I20" s="268"/>
      <c r="J20" s="260">
        <v>36571</v>
      </c>
      <c r="K20" s="267"/>
      <c r="L20" s="267"/>
      <c r="M20" s="244">
        <v>0.75</v>
      </c>
      <c r="N20" s="244"/>
      <c r="O20" s="244"/>
      <c r="P20" s="245">
        <v>100</v>
      </c>
      <c r="Q20" s="242" t="s">
        <v>379</v>
      </c>
      <c r="R20" s="242" t="s">
        <v>379</v>
      </c>
      <c r="S20" s="242" t="s">
        <v>385</v>
      </c>
      <c r="T20" s="242" t="s">
        <v>381</v>
      </c>
      <c r="U20" s="242" t="s">
        <v>342</v>
      </c>
      <c r="V20" s="242"/>
      <c r="W20" s="242" t="s">
        <v>192</v>
      </c>
      <c r="X20" s="246"/>
      <c r="Y20" s="271">
        <v>14000425011981</v>
      </c>
      <c r="Z20" s="247" t="s">
        <v>382</v>
      </c>
      <c r="AA20" s="279" t="s">
        <v>383</v>
      </c>
      <c r="AB20" s="248"/>
      <c r="AC20" s="245">
        <v>10</v>
      </c>
      <c r="AD20" s="261">
        <v>8377.56</v>
      </c>
      <c r="AE20" s="262">
        <v>37.44</v>
      </c>
      <c r="AF20" s="262">
        <v>854.16</v>
      </c>
      <c r="AG20" s="262">
        <v>543.96</v>
      </c>
      <c r="AH20" s="262">
        <v>1158.57</v>
      </c>
      <c r="AI20" s="262">
        <v>95.22</v>
      </c>
      <c r="AJ20" s="262">
        <v>843.12</v>
      </c>
      <c r="AK20" s="262">
        <v>820.68</v>
      </c>
      <c r="AL20" s="262">
        <v>0</v>
      </c>
      <c r="AM20" s="262">
        <v>0</v>
      </c>
      <c r="AN20" s="262">
        <v>0</v>
      </c>
      <c r="AO20" s="262">
        <v>0</v>
      </c>
      <c r="AP20" s="262">
        <v>300</v>
      </c>
      <c r="AQ20" s="262">
        <v>0</v>
      </c>
      <c r="AR20" s="262">
        <v>374</v>
      </c>
      <c r="AS20" s="262">
        <v>0</v>
      </c>
      <c r="AT20" s="262">
        <v>2443.1</v>
      </c>
      <c r="AU20" s="262">
        <v>0</v>
      </c>
      <c r="AV20" s="262">
        <v>0</v>
      </c>
      <c r="AW20" s="262">
        <v>0</v>
      </c>
      <c r="AX20" s="262">
        <v>0</v>
      </c>
      <c r="AY20" s="262">
        <v>65</v>
      </c>
      <c r="AZ20" s="262"/>
      <c r="BA20" s="262"/>
      <c r="BB20" s="262"/>
      <c r="BC20" s="262"/>
      <c r="BD20" s="262"/>
      <c r="BE20" s="262"/>
      <c r="BF20" s="262"/>
      <c r="BG20" s="262"/>
      <c r="BH20" s="262"/>
      <c r="BI20" s="262"/>
      <c r="BJ20" s="262"/>
      <c r="BK20" s="262"/>
      <c r="BL20" s="262"/>
      <c r="BM20" s="262"/>
      <c r="BN20" s="262"/>
      <c r="BO20" s="262"/>
      <c r="BP20" s="262"/>
      <c r="BQ20" s="262"/>
      <c r="BR20" s="262"/>
      <c r="BS20" s="262"/>
      <c r="BT20" s="262"/>
      <c r="BU20" s="262"/>
      <c r="BV20" s="262"/>
      <c r="BW20" s="263"/>
      <c r="BX20" s="263"/>
      <c r="BY20" s="263"/>
      <c r="BZ20" s="263"/>
      <c r="CA20" s="263"/>
      <c r="CB20" s="263"/>
      <c r="CC20" s="263"/>
      <c r="CD20" s="263"/>
      <c r="CE20" s="263"/>
      <c r="CF20" s="263"/>
      <c r="CG20" s="263"/>
      <c r="CH20" s="249">
        <f>+MAX($D$3,DATOS_[[#This Row],[Fecha Inicio Sit. Contract.]])</f>
        <v>45292</v>
      </c>
      <c r="CI20" s="249">
        <f>+MIN($D$4,DATOS_[[#This Row],[Fecha Fin Sit. Contract.]])</f>
        <v>45657</v>
      </c>
      <c r="CJ20" s="250">
        <f>+DATOS_[[#This Row],[% de jornada]]*IF(DATOS_[[#This Row],[% jornada reducida]]="",1,DATOS_[[#This Row],[% jornada reducida]])</f>
        <v>0.75</v>
      </c>
      <c r="CK20" s="250">
        <f>+(DATOS_[[#This Row],[F.fin.cal]]-DATOS_[[#This Row],[F.ini.cal]]+1)/($D$4-$D$3+1)</f>
        <v>1</v>
      </c>
      <c r="CL20" s="250" t="str">
        <f>IF(OR(AND(DATOS_[[#This Row],[Fecha Fin Contrato]]&lt;$D$3,DATOS_[[#This Row],[Fecha Fin Contrato]]&lt;&gt;""),DATOS_[[#This Row],[Fecha de Contratación]]&gt;$D$4),"Fuera","Dentro")</f>
        <v>Dentro</v>
      </c>
      <c r="CM20" s="250" t="str" cm="1">
        <f t="array" ref="CM20">IF(MAX(IF(DATOS_[id/cod]=DATOS_[[#This Row],[id/cod]],DATOS_[F.fin.cal]))=DATOS_[[#This Row],[F.fin.cal]],"Sí","NO")</f>
        <v>Sí</v>
      </c>
      <c r="CN20" s="250" t="str">
        <f>IF(AND(DATOS_[[#This Row],[% normaliz]]&lt;&gt;1,DATOS_[[#This Row],[% anualiz]]=1),"Sí","NO")</f>
        <v>Sí</v>
      </c>
      <c r="CO20" s="250" t="str">
        <f>IF(AND(DATOS_[[#This Row],[% normaliz]]=1,DATOS_[[#This Row],[% anualiz]]&lt;&gt;1),"Sí","NO")</f>
        <v>NO</v>
      </c>
      <c r="CP20" s="250" t="str">
        <f>IF(AND(DATOS_[[#This Row],[% normaliz]]&lt;&gt;1,DATOS_[[#This Row],[% anualiz]]&lt;&gt;1),"Sí","NO")</f>
        <v>NO</v>
      </c>
      <c r="CQ20" s="250" t="str">
        <f>+IF(DATOS_[[#This Row],[% normaliz]]*DATOS_[[#This Row],[% anualiz]]=1,"NO","Sí")</f>
        <v>Sí</v>
      </c>
      <c r="CR20" s="251">
        <f>(DATOS_[[#This Row],[S.BASE]]*(1/DATOS_[[#This Row],[% normaliz]])*(1/DATOS_[[#This Row],[% anualiz]]))*IF(DATOS_[[#This Row],[Check Equiparado]]="Sí",1,0)</f>
        <v>11170.079999999998</v>
      </c>
      <c r="CS20"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6789.5333333333328</v>
      </c>
      <c r="CT20" s="251">
        <f>+DATOS_[[#This Row],[SALARIO BASE Eq]]+DATOS_[[#This Row],[Tot COMPL.SAL Eq]]</f>
        <v>17959.613333333331</v>
      </c>
      <c r="CU20" s="251" cm="1">
        <f t="array" ref="CU20">(SUMPRODUCT((RngTipo=$CU$7)*(rngAnualizable="Sí")*(rngNormalizable="Sí")*(DATOS_[[#This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3257.4666666666662</v>
      </c>
      <c r="CV20" s="251">
        <f>+DATOS_[[#This Row],[TOTAL SALARIO Eq]]+DATOS_[[#This Row],[Tot Extrasalarial Eq]]</f>
        <v>21217.079999999998</v>
      </c>
      <c r="CW20" s="252">
        <f>DATOS_[[#This Row],[S.BASE]]</f>
        <v>8377.56</v>
      </c>
      <c r="CX20" s="252">
        <f>+SUM(DATOS_[[#This Row],[Conc.Sal.01]:[Conc.Sal.30]])</f>
        <v>7535.25</v>
      </c>
      <c r="CY20" s="252">
        <f>+DATOS_[[#This Row],[SALARIO BASE Ef]]+DATOS_[[#This Row],[Tot COMPL.SAL Ef]]</f>
        <v>15912.81</v>
      </c>
      <c r="CZ20" s="252">
        <f>+SUM(DATOS_[[#This Row],[C.Extra.01]:[C.Extra.11]])</f>
        <v>0</v>
      </c>
      <c r="DA20" s="252">
        <f>+DATOS_[[#This Row],[TOTAL SALARIO Ef]]+DATOS_[[#This Row],[Tot Extrasalarial Ef]]</f>
        <v>15912.81</v>
      </c>
      <c r="DB20" s="109">
        <f>MIN(IF(DATOS_[[#This Row],[Fecha Fin Contrato]]="",$D$4,DATOS_[[#This Row],[Fecha Fin Contrato]]),$D$4)-MAX(DATOS_[[#This Row],[Fecha de Contratación]],$D$3)+1</f>
        <v>366</v>
      </c>
      <c r="DC20" s="110" t="str">
        <f>IF(COUNTIFS(DATOS_[id/cod],DATOS_[[#This Row],[id/cod]])&gt;1,DATOS_[[#This Row],[id/cod]],"")</f>
        <v/>
      </c>
      <c r="DD20" s="108">
        <f>(Inicio!$G$10-DATOS_[[#This Row],[Fecha Nacimiento]])/365.25</f>
        <v>54.168377823408626</v>
      </c>
      <c r="DE20" s="108">
        <f>(Inicio!$G$10-DATOS_[[#This Row],[Fecha de Antigüedad]])/365.25</f>
        <v>24.876112251882272</v>
      </c>
      <c r="DF20" s="108" t="str">
        <f>+VLOOKUP(DATOS_[[#This Row],[Clave de Contrato]],TblTiposContrato13[],3,FALSE)</f>
        <v>Completa</v>
      </c>
      <c r="DG20" s="108" t="str">
        <f>+VLOOKUP(DATOS_[[#This Row],[Clave de Contrato]],TblTiposContrato13[],4,FALSE)</f>
        <v>Indefinido</v>
      </c>
      <c r="DH20" s="108" t="str">
        <f>VLOOKUP(DATOS_[[#This Row],[Edad]],CONTRATOS!TblRngEdad,2,TRUE)</f>
        <v>50 a 55</v>
      </c>
      <c r="DI20" s="108" t="str">
        <f>VLOOKUP(DATOS_[[#This Row],[Antigüedad]],TblRngAntg14[],2,TRUE)</f>
        <v>más de 15</v>
      </c>
    </row>
    <row r="21" spans="1:113" ht="12.9" customHeight="1" x14ac:dyDescent="0.25">
      <c r="A21" s="303" t="s">
        <v>386</v>
      </c>
      <c r="B21" s="265">
        <v>13</v>
      </c>
      <c r="C21" s="264" t="s">
        <v>337</v>
      </c>
      <c r="D21" s="243">
        <v>27239</v>
      </c>
      <c r="E21" s="243" t="s">
        <v>351</v>
      </c>
      <c r="F21" s="245"/>
      <c r="G21" s="245"/>
      <c r="H21" s="266">
        <v>36571</v>
      </c>
      <c r="I21" s="268"/>
      <c r="J21" s="260">
        <v>36571</v>
      </c>
      <c r="K21" s="267"/>
      <c r="L21" s="267"/>
      <c r="M21" s="244">
        <v>1</v>
      </c>
      <c r="N21" s="244"/>
      <c r="O21" s="244"/>
      <c r="P21" s="245"/>
      <c r="Q21" s="242" t="s">
        <v>339</v>
      </c>
      <c r="R21" s="242" t="s">
        <v>339</v>
      </c>
      <c r="S21" s="242" t="s">
        <v>376</v>
      </c>
      <c r="T21" s="242" t="s">
        <v>341</v>
      </c>
      <c r="U21" s="242" t="s">
        <v>342</v>
      </c>
      <c r="V21" s="242"/>
      <c r="W21" s="242"/>
      <c r="X21" s="246"/>
      <c r="Y21" s="271">
        <v>14000425011981</v>
      </c>
      <c r="Z21" s="247"/>
      <c r="AA21" s="279" t="s">
        <v>343</v>
      </c>
      <c r="AB21" s="248"/>
      <c r="AC21" s="245">
        <v>8</v>
      </c>
      <c r="AD21" s="261"/>
      <c r="AE21" s="262"/>
      <c r="AF21" s="262"/>
      <c r="AG21" s="262"/>
      <c r="AH21" s="262"/>
      <c r="AI21" s="262"/>
      <c r="AJ21" s="262"/>
      <c r="AK21" s="262"/>
      <c r="AL21" s="262"/>
      <c r="AM21" s="262"/>
      <c r="AN21" s="262"/>
      <c r="AO21" s="262"/>
      <c r="AP21" s="262"/>
      <c r="AQ21" s="262"/>
      <c r="AR21" s="262"/>
      <c r="AS21" s="262"/>
      <c r="AT21" s="262"/>
      <c r="AU21" s="262"/>
      <c r="AV21" s="262"/>
      <c r="AW21" s="262"/>
      <c r="AX21" s="262"/>
      <c r="AY21" s="262"/>
      <c r="AZ21" s="262"/>
      <c r="BA21" s="262"/>
      <c r="BB21" s="262"/>
      <c r="BC21" s="262"/>
      <c r="BD21" s="262"/>
      <c r="BE21" s="262"/>
      <c r="BF21" s="262"/>
      <c r="BG21" s="262"/>
      <c r="BH21" s="262"/>
      <c r="BI21" s="262"/>
      <c r="BJ21" s="262"/>
      <c r="BK21" s="262"/>
      <c r="BL21" s="262"/>
      <c r="BM21" s="262"/>
      <c r="BN21" s="262"/>
      <c r="BO21" s="262"/>
      <c r="BP21" s="262"/>
      <c r="BQ21" s="262"/>
      <c r="BR21" s="262"/>
      <c r="BS21" s="262"/>
      <c r="BT21" s="262"/>
      <c r="BU21" s="262"/>
      <c r="BV21" s="262"/>
      <c r="BW21" s="263"/>
      <c r="BX21" s="263"/>
      <c r="BY21" s="263"/>
      <c r="BZ21" s="263"/>
      <c r="CA21" s="263"/>
      <c r="CB21" s="263"/>
      <c r="CC21" s="263"/>
      <c r="CD21" s="263"/>
      <c r="CE21" s="263"/>
      <c r="CF21" s="263"/>
      <c r="CG21" s="263"/>
      <c r="CH21" s="249">
        <f>+MAX($D$3,DATOS_[[#This Row],[Fecha Inicio Sit. Contract.]])</f>
        <v>45292</v>
      </c>
      <c r="CI21" s="249">
        <f>+MIN($D$4,DATOS_[[#This Row],[Fecha Fin Sit. Contract.]])</f>
        <v>45657</v>
      </c>
      <c r="CJ21" s="250">
        <f>+DATOS_[[#This Row],[% de jornada]]*IF(DATOS_[[#This Row],[% jornada reducida]]="",1,DATOS_[[#This Row],[% jornada reducida]])</f>
        <v>1</v>
      </c>
      <c r="CK21" s="250">
        <f>+(DATOS_[[#This Row],[F.fin.cal]]-DATOS_[[#This Row],[F.ini.cal]]+1)/($D$4-$D$3+1)</f>
        <v>1</v>
      </c>
      <c r="CL21" s="250" t="str">
        <f>IF(OR(AND(DATOS_[[#This Row],[Fecha Fin Contrato]]&lt;$D$3,DATOS_[[#This Row],[Fecha Fin Contrato]]&lt;&gt;""),DATOS_[[#This Row],[Fecha de Contratación]]&gt;$D$4),"Fuera","Dentro")</f>
        <v>Dentro</v>
      </c>
      <c r="CM21" s="250" t="str" cm="1">
        <f t="array" ref="CM21">IF(MAX(IF(DATOS_[id/cod]=DATOS_[[#This Row],[id/cod]],DATOS_[F.fin.cal]))=DATOS_[[#This Row],[F.fin.cal]],"Sí","NO")</f>
        <v>Sí</v>
      </c>
      <c r="CN21" s="250" t="str">
        <f>IF(AND(DATOS_[[#This Row],[% normaliz]]&lt;&gt;1,DATOS_[[#This Row],[% anualiz]]=1),"Sí","NO")</f>
        <v>NO</v>
      </c>
      <c r="CO21" s="250" t="str">
        <f>IF(AND(DATOS_[[#This Row],[% normaliz]]=1,DATOS_[[#This Row],[% anualiz]]&lt;&gt;1),"Sí","NO")</f>
        <v>NO</v>
      </c>
      <c r="CP21" s="250" t="str">
        <f>IF(AND(DATOS_[[#This Row],[% normaliz]]&lt;&gt;1,DATOS_[[#This Row],[% anualiz]]&lt;&gt;1),"Sí","NO")</f>
        <v>NO</v>
      </c>
      <c r="CQ21" s="250" t="str">
        <f>+IF(DATOS_[[#This Row],[% normaliz]]*DATOS_[[#This Row],[% anualiz]]=1,"NO","Sí")</f>
        <v>NO</v>
      </c>
      <c r="CR21" s="251">
        <f>(DATOS_[[#This Row],[S.BASE]]*(1/DATOS_[[#This Row],[% normaliz]])*(1/DATOS_[[#This Row],[% anualiz]]))*IF(DATOS_[[#This Row],[Check Equiparado]]="Sí",1,0)</f>
        <v>0</v>
      </c>
      <c r="CS21"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21" s="251">
        <f>+DATOS_[[#This Row],[SALARIO BASE Eq]]+DATOS_[[#This Row],[Tot COMPL.SAL Eq]]</f>
        <v>0</v>
      </c>
      <c r="CU21" s="251" cm="1">
        <f t="array" ref="CU21">(SUMPRODUCT((RngTipo=$CU$7)*(rngAnualizable="Sí")*(rngNormalizable="Sí")*(DATOS_[[#This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21" s="251">
        <f>+DATOS_[[#This Row],[TOTAL SALARIO Eq]]+DATOS_[[#This Row],[Tot Extrasalarial Eq]]</f>
        <v>0</v>
      </c>
      <c r="CW21" s="252">
        <f>DATOS_[[#This Row],[S.BASE]]</f>
        <v>0</v>
      </c>
      <c r="CX21" s="252">
        <f>+SUM(DATOS_[[#This Row],[Conc.Sal.01]:[Conc.Sal.30]])</f>
        <v>0</v>
      </c>
      <c r="CY21" s="252">
        <f>+DATOS_[[#This Row],[SALARIO BASE Ef]]+DATOS_[[#This Row],[Tot COMPL.SAL Ef]]</f>
        <v>0</v>
      </c>
      <c r="CZ21" s="252">
        <f>+SUM(DATOS_[[#This Row],[C.Extra.01]:[C.Extra.11]])</f>
        <v>0</v>
      </c>
      <c r="DA21" s="252">
        <f>+DATOS_[[#This Row],[TOTAL SALARIO Ef]]+DATOS_[[#This Row],[Tot Extrasalarial Ef]]</f>
        <v>0</v>
      </c>
      <c r="DB21" s="109">
        <f>MIN(IF(DATOS_[[#This Row],[Fecha Fin Contrato]]="",$D$4,DATOS_[[#This Row],[Fecha Fin Contrato]]),$D$4)-MAX(DATOS_[[#This Row],[Fecha de Contratación]],$D$3)+1</f>
        <v>366</v>
      </c>
      <c r="DC21" s="110" t="str">
        <f>IF(COUNTIFS(DATOS_[id/cod],DATOS_[[#This Row],[id/cod]])&gt;1,DATOS_[[#This Row],[id/cod]],"")</f>
        <v/>
      </c>
      <c r="DD21" s="108">
        <f>(Inicio!$G$10-DATOS_[[#This Row],[Fecha Nacimiento]])/365.25</f>
        <v>50.425735797399042</v>
      </c>
      <c r="DE21" s="108">
        <f>(Inicio!$G$10-DATOS_[[#This Row],[Fecha de Antigüedad]])/365.25</f>
        <v>24.876112251882272</v>
      </c>
      <c r="DF21" s="108" t="e">
        <f>+VLOOKUP(DATOS_[[#This Row],[Clave de Contrato]],TblTiposContrato13[],3,FALSE)</f>
        <v>#N/A</v>
      </c>
      <c r="DG21" s="108" t="e">
        <f>+VLOOKUP(DATOS_[[#This Row],[Clave de Contrato]],TblTiposContrato13[],4,FALSE)</f>
        <v>#N/A</v>
      </c>
      <c r="DH21" s="108" t="str">
        <f>VLOOKUP(DATOS_[[#This Row],[Edad]],CONTRATOS!TblRngEdad,2,TRUE)</f>
        <v>50 a 55</v>
      </c>
      <c r="DI21" s="108" t="str">
        <f>VLOOKUP(DATOS_[[#This Row],[Antigüedad]],TblRngAntg14[],2,TRUE)</f>
        <v>más de 15</v>
      </c>
    </row>
    <row r="22" spans="1:113" ht="12.9" customHeight="1" x14ac:dyDescent="0.25">
      <c r="A22" s="303" t="s">
        <v>387</v>
      </c>
      <c r="B22" s="265">
        <v>14</v>
      </c>
      <c r="C22" s="264" t="s">
        <v>337</v>
      </c>
      <c r="D22" s="243">
        <v>28650</v>
      </c>
      <c r="E22" s="243" t="s">
        <v>338</v>
      </c>
      <c r="F22" s="245"/>
      <c r="G22" s="245"/>
      <c r="H22" s="266">
        <v>36743</v>
      </c>
      <c r="I22" s="268"/>
      <c r="J22" s="260">
        <v>36743</v>
      </c>
      <c r="K22" s="267"/>
      <c r="L22" s="267"/>
      <c r="M22" s="244">
        <v>1</v>
      </c>
      <c r="N22" s="244"/>
      <c r="O22" s="244"/>
      <c r="P22" s="245"/>
      <c r="Q22" s="242" t="s">
        <v>339</v>
      </c>
      <c r="R22" s="242" t="s">
        <v>339</v>
      </c>
      <c r="S22" s="242" t="s">
        <v>388</v>
      </c>
      <c r="T22" s="242" t="s">
        <v>341</v>
      </c>
      <c r="U22" s="242" t="s">
        <v>342</v>
      </c>
      <c r="V22" s="242"/>
      <c r="W22" s="242"/>
      <c r="X22" s="246"/>
      <c r="Y22" s="271">
        <v>14000425011981</v>
      </c>
      <c r="Z22" s="247"/>
      <c r="AA22" s="279" t="s">
        <v>343</v>
      </c>
      <c r="AB22" s="248"/>
      <c r="AC22" s="245">
        <v>8</v>
      </c>
      <c r="AD22" s="261"/>
      <c r="AE22" s="262"/>
      <c r="AF22" s="262"/>
      <c r="AG22" s="262"/>
      <c r="AH22" s="262"/>
      <c r="AI22" s="262"/>
      <c r="AJ22" s="262"/>
      <c r="AK22" s="262"/>
      <c r="AL22" s="262"/>
      <c r="AM22" s="262"/>
      <c r="AN22" s="262"/>
      <c r="AO22" s="262"/>
      <c r="AP22" s="262"/>
      <c r="AQ22" s="262"/>
      <c r="AR22" s="262"/>
      <c r="AS22" s="262"/>
      <c r="AT22" s="262"/>
      <c r="AU22" s="262"/>
      <c r="AV22" s="262"/>
      <c r="AW22" s="262"/>
      <c r="AX22" s="262"/>
      <c r="AY22" s="262"/>
      <c r="AZ22" s="262"/>
      <c r="BA22" s="262"/>
      <c r="BB22" s="262"/>
      <c r="BC22" s="262"/>
      <c r="BD22" s="262"/>
      <c r="BE22" s="262"/>
      <c r="BF22" s="262"/>
      <c r="BG22" s="262"/>
      <c r="BH22" s="262"/>
      <c r="BI22" s="262"/>
      <c r="BJ22" s="262"/>
      <c r="BK22" s="262"/>
      <c r="BL22" s="262"/>
      <c r="BM22" s="262"/>
      <c r="BN22" s="262"/>
      <c r="BO22" s="262"/>
      <c r="BP22" s="262"/>
      <c r="BQ22" s="262"/>
      <c r="BR22" s="262"/>
      <c r="BS22" s="262"/>
      <c r="BT22" s="262"/>
      <c r="BU22" s="262"/>
      <c r="BV22" s="262"/>
      <c r="BW22" s="263"/>
      <c r="BX22" s="263"/>
      <c r="BY22" s="263"/>
      <c r="BZ22" s="263"/>
      <c r="CA22" s="263"/>
      <c r="CB22" s="263"/>
      <c r="CC22" s="263"/>
      <c r="CD22" s="263"/>
      <c r="CE22" s="263"/>
      <c r="CF22" s="263"/>
      <c r="CG22" s="263"/>
      <c r="CH22" s="249">
        <f>+MAX($D$3,DATOS_[[#This Row],[Fecha Inicio Sit. Contract.]])</f>
        <v>45292</v>
      </c>
      <c r="CI22" s="249">
        <f>+MIN($D$4,DATOS_[[#This Row],[Fecha Fin Sit. Contract.]])</f>
        <v>45657</v>
      </c>
      <c r="CJ22" s="250">
        <f>+DATOS_[[#This Row],[% de jornada]]*IF(DATOS_[[#This Row],[% jornada reducida]]="",1,DATOS_[[#This Row],[% jornada reducida]])</f>
        <v>1</v>
      </c>
      <c r="CK22" s="250">
        <f>+(DATOS_[[#This Row],[F.fin.cal]]-DATOS_[[#This Row],[F.ini.cal]]+1)/($D$4-$D$3+1)</f>
        <v>1</v>
      </c>
      <c r="CL22" s="250" t="str">
        <f>IF(OR(AND(DATOS_[[#This Row],[Fecha Fin Contrato]]&lt;$D$3,DATOS_[[#This Row],[Fecha Fin Contrato]]&lt;&gt;""),DATOS_[[#This Row],[Fecha de Contratación]]&gt;$D$4),"Fuera","Dentro")</f>
        <v>Dentro</v>
      </c>
      <c r="CM22" s="250" t="str" cm="1">
        <f t="array" ref="CM22">IF(MAX(IF(DATOS_[id/cod]=DATOS_[[#This Row],[id/cod]],DATOS_[F.fin.cal]))=DATOS_[[#This Row],[F.fin.cal]],"Sí","NO")</f>
        <v>Sí</v>
      </c>
      <c r="CN22" s="250" t="str">
        <f>IF(AND(DATOS_[[#This Row],[% normaliz]]&lt;&gt;1,DATOS_[[#This Row],[% anualiz]]=1),"Sí","NO")</f>
        <v>NO</v>
      </c>
      <c r="CO22" s="250" t="str">
        <f>IF(AND(DATOS_[[#This Row],[% normaliz]]=1,DATOS_[[#This Row],[% anualiz]]&lt;&gt;1),"Sí","NO")</f>
        <v>NO</v>
      </c>
      <c r="CP22" s="250" t="str">
        <f>IF(AND(DATOS_[[#This Row],[% normaliz]]&lt;&gt;1,DATOS_[[#This Row],[% anualiz]]&lt;&gt;1),"Sí","NO")</f>
        <v>NO</v>
      </c>
      <c r="CQ22" s="250" t="str">
        <f>+IF(DATOS_[[#This Row],[% normaliz]]*DATOS_[[#This Row],[% anualiz]]=1,"NO","Sí")</f>
        <v>NO</v>
      </c>
      <c r="CR22" s="251">
        <f>(DATOS_[[#This Row],[S.BASE]]*(1/DATOS_[[#This Row],[% normaliz]])*(1/DATOS_[[#This Row],[% anualiz]]))*IF(DATOS_[[#This Row],[Check Equiparado]]="Sí",1,0)</f>
        <v>0</v>
      </c>
      <c r="CS22"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22" s="251">
        <f>+DATOS_[[#This Row],[SALARIO BASE Eq]]+DATOS_[[#This Row],[Tot COMPL.SAL Eq]]</f>
        <v>0</v>
      </c>
      <c r="CU22" s="251" cm="1">
        <f t="array" ref="CU22">(SUMPRODUCT((RngTipo=$CU$7)*(rngAnualizable="Sí")*(rngNormalizable="Sí")*(DATOS_[[#This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22" s="251">
        <f>+DATOS_[[#This Row],[TOTAL SALARIO Eq]]+DATOS_[[#This Row],[Tot Extrasalarial Eq]]</f>
        <v>0</v>
      </c>
      <c r="CW22" s="252">
        <f>DATOS_[[#This Row],[S.BASE]]</f>
        <v>0</v>
      </c>
      <c r="CX22" s="252">
        <f>+SUM(DATOS_[[#This Row],[Conc.Sal.01]:[Conc.Sal.30]])</f>
        <v>0</v>
      </c>
      <c r="CY22" s="252">
        <f>+DATOS_[[#This Row],[SALARIO BASE Ef]]+DATOS_[[#This Row],[Tot COMPL.SAL Ef]]</f>
        <v>0</v>
      </c>
      <c r="CZ22" s="252">
        <f>+SUM(DATOS_[[#This Row],[C.Extra.01]:[C.Extra.11]])</f>
        <v>0</v>
      </c>
      <c r="DA22" s="252">
        <f>+DATOS_[[#This Row],[TOTAL SALARIO Ef]]+DATOS_[[#This Row],[Tot Extrasalarial Ef]]</f>
        <v>0</v>
      </c>
      <c r="DB22" s="109">
        <f>MIN(IF(DATOS_[[#This Row],[Fecha Fin Contrato]]="",$D$4,DATOS_[[#This Row],[Fecha Fin Contrato]]),$D$4)-MAX(DATOS_[[#This Row],[Fecha de Contratación]],$D$3)+1</f>
        <v>366</v>
      </c>
      <c r="DC22" s="110" t="str">
        <f>IF(COUNTIFS(DATOS_[id/cod],DATOS_[[#This Row],[id/cod]])&gt;1,DATOS_[[#This Row],[id/cod]],"")</f>
        <v/>
      </c>
      <c r="DD22" s="108">
        <f>(Inicio!$G$10-DATOS_[[#This Row],[Fecha Nacimiento]])/365.25</f>
        <v>46.562628336755644</v>
      </c>
      <c r="DE22" s="108">
        <f>(Inicio!$G$10-DATOS_[[#This Row],[Fecha de Antigüedad]])/365.25</f>
        <v>24.40520191649555</v>
      </c>
      <c r="DF22" s="108" t="e">
        <f>+VLOOKUP(DATOS_[[#This Row],[Clave de Contrato]],TblTiposContrato13[],3,FALSE)</f>
        <v>#N/A</v>
      </c>
      <c r="DG22" s="108" t="e">
        <f>+VLOOKUP(DATOS_[[#This Row],[Clave de Contrato]],TblTiposContrato13[],4,FALSE)</f>
        <v>#N/A</v>
      </c>
      <c r="DH22" s="108" t="str">
        <f>VLOOKUP(DATOS_[[#This Row],[Edad]],CONTRATOS!TblRngEdad,2,TRUE)</f>
        <v>45 a 50</v>
      </c>
      <c r="DI22" s="108" t="str">
        <f>VLOOKUP(DATOS_[[#This Row],[Antigüedad]],TblRngAntg14[],2,TRUE)</f>
        <v>más de 15</v>
      </c>
    </row>
    <row r="23" spans="1:113" ht="12.9" customHeight="1" x14ac:dyDescent="0.25">
      <c r="A23" s="303" t="s">
        <v>389</v>
      </c>
      <c r="B23" s="265">
        <v>15</v>
      </c>
      <c r="C23" s="264" t="s">
        <v>337</v>
      </c>
      <c r="D23" s="243">
        <v>36924</v>
      </c>
      <c r="E23" s="243" t="s">
        <v>338</v>
      </c>
      <c r="F23" s="245"/>
      <c r="G23" s="245"/>
      <c r="H23" s="266">
        <v>36924</v>
      </c>
      <c r="I23" s="268"/>
      <c r="J23" s="260">
        <v>36924</v>
      </c>
      <c r="K23" s="267"/>
      <c r="L23" s="267"/>
      <c r="M23" s="244">
        <v>1</v>
      </c>
      <c r="N23" s="244"/>
      <c r="O23" s="244"/>
      <c r="P23" s="245"/>
      <c r="Q23" s="242" t="s">
        <v>339</v>
      </c>
      <c r="R23" s="242" t="s">
        <v>339</v>
      </c>
      <c r="S23" s="242" t="s">
        <v>340</v>
      </c>
      <c r="T23" s="242" t="s">
        <v>341</v>
      </c>
      <c r="U23" s="242" t="s">
        <v>342</v>
      </c>
      <c r="V23" s="242"/>
      <c r="W23" s="242"/>
      <c r="X23" s="246"/>
      <c r="Y23" s="271">
        <v>14000425011981</v>
      </c>
      <c r="Z23" s="247"/>
      <c r="AA23" s="279" t="s">
        <v>343</v>
      </c>
      <c r="AB23" s="248"/>
      <c r="AC23" s="245">
        <v>8</v>
      </c>
      <c r="AD23" s="261"/>
      <c r="AE23" s="262"/>
      <c r="AF23" s="262"/>
      <c r="AG23" s="262"/>
      <c r="AH23" s="262"/>
      <c r="AI23" s="262"/>
      <c r="AJ23" s="262"/>
      <c r="AK23" s="262"/>
      <c r="AL23" s="262"/>
      <c r="AM23" s="262"/>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c r="BL23" s="262"/>
      <c r="BM23" s="262"/>
      <c r="BN23" s="262"/>
      <c r="BO23" s="262"/>
      <c r="BP23" s="262"/>
      <c r="BQ23" s="262"/>
      <c r="BR23" s="262"/>
      <c r="BS23" s="262"/>
      <c r="BT23" s="262"/>
      <c r="BU23" s="262"/>
      <c r="BV23" s="262"/>
      <c r="BW23" s="263"/>
      <c r="BX23" s="263"/>
      <c r="BY23" s="263"/>
      <c r="BZ23" s="263"/>
      <c r="CA23" s="263"/>
      <c r="CB23" s="263"/>
      <c r="CC23" s="263"/>
      <c r="CD23" s="263"/>
      <c r="CE23" s="263"/>
      <c r="CF23" s="263"/>
      <c r="CG23" s="263"/>
      <c r="CH23" s="249">
        <f>+MAX($D$3,DATOS_[[#This Row],[Fecha Inicio Sit. Contract.]])</f>
        <v>45292</v>
      </c>
      <c r="CI23" s="249">
        <f>+MIN($D$4,DATOS_[[#This Row],[Fecha Fin Sit. Contract.]])</f>
        <v>45657</v>
      </c>
      <c r="CJ23" s="250">
        <f>+DATOS_[[#This Row],[% de jornada]]*IF(DATOS_[[#This Row],[% jornada reducida]]="",1,DATOS_[[#This Row],[% jornada reducida]])</f>
        <v>1</v>
      </c>
      <c r="CK23" s="250">
        <f>+(DATOS_[[#This Row],[F.fin.cal]]-DATOS_[[#This Row],[F.ini.cal]]+1)/($D$4-$D$3+1)</f>
        <v>1</v>
      </c>
      <c r="CL23" s="250" t="str">
        <f>IF(OR(AND(DATOS_[[#This Row],[Fecha Fin Contrato]]&lt;$D$3,DATOS_[[#This Row],[Fecha Fin Contrato]]&lt;&gt;""),DATOS_[[#This Row],[Fecha de Contratación]]&gt;$D$4),"Fuera","Dentro")</f>
        <v>Dentro</v>
      </c>
      <c r="CM23" s="250" t="str" cm="1">
        <f t="array" ref="CM23">IF(MAX(IF(DATOS_[id/cod]=DATOS_[[#This Row],[id/cod]],DATOS_[F.fin.cal]))=DATOS_[[#This Row],[F.fin.cal]],"Sí","NO")</f>
        <v>Sí</v>
      </c>
      <c r="CN23" s="250" t="str">
        <f>IF(AND(DATOS_[[#This Row],[% normaliz]]&lt;&gt;1,DATOS_[[#This Row],[% anualiz]]=1),"Sí","NO")</f>
        <v>NO</v>
      </c>
      <c r="CO23" s="250" t="str">
        <f>IF(AND(DATOS_[[#This Row],[% normaliz]]=1,DATOS_[[#This Row],[% anualiz]]&lt;&gt;1),"Sí","NO")</f>
        <v>NO</v>
      </c>
      <c r="CP23" s="250" t="str">
        <f>IF(AND(DATOS_[[#This Row],[% normaliz]]&lt;&gt;1,DATOS_[[#This Row],[% anualiz]]&lt;&gt;1),"Sí","NO")</f>
        <v>NO</v>
      </c>
      <c r="CQ23" s="250" t="str">
        <f>+IF(DATOS_[[#This Row],[% normaliz]]*DATOS_[[#This Row],[% anualiz]]=1,"NO","Sí")</f>
        <v>NO</v>
      </c>
      <c r="CR23" s="251">
        <f>(DATOS_[[#This Row],[S.BASE]]*(1/DATOS_[[#This Row],[% normaliz]])*(1/DATOS_[[#This Row],[% anualiz]]))*IF(DATOS_[[#This Row],[Check Equiparado]]="Sí",1,0)</f>
        <v>0</v>
      </c>
      <c r="CS23"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23" s="251">
        <f>+DATOS_[[#This Row],[SALARIO BASE Eq]]+DATOS_[[#This Row],[Tot COMPL.SAL Eq]]</f>
        <v>0</v>
      </c>
      <c r="CU23" s="251" cm="1">
        <f t="array" ref="CU23">(SUMPRODUCT((RngTipo=$CU$7)*(rngAnualizable="Sí")*(rngNormalizable="Sí")*(DATOS_[[#This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23" s="251">
        <f>+DATOS_[[#This Row],[TOTAL SALARIO Eq]]+DATOS_[[#This Row],[Tot Extrasalarial Eq]]</f>
        <v>0</v>
      </c>
      <c r="CW23" s="252">
        <f>DATOS_[[#This Row],[S.BASE]]</f>
        <v>0</v>
      </c>
      <c r="CX23" s="252">
        <f>+SUM(DATOS_[[#This Row],[Conc.Sal.01]:[Conc.Sal.30]])</f>
        <v>0</v>
      </c>
      <c r="CY23" s="252">
        <f>+DATOS_[[#This Row],[SALARIO BASE Ef]]+DATOS_[[#This Row],[Tot COMPL.SAL Ef]]</f>
        <v>0</v>
      </c>
      <c r="CZ23" s="252">
        <f>+SUM(DATOS_[[#This Row],[C.Extra.01]:[C.Extra.11]])</f>
        <v>0</v>
      </c>
      <c r="DA23" s="252">
        <f>+DATOS_[[#This Row],[TOTAL SALARIO Ef]]+DATOS_[[#This Row],[Tot Extrasalarial Ef]]</f>
        <v>0</v>
      </c>
      <c r="DB23" s="109">
        <f>MIN(IF(DATOS_[[#This Row],[Fecha Fin Contrato]]="",$D$4,DATOS_[[#This Row],[Fecha Fin Contrato]]),$D$4)-MAX(DATOS_[[#This Row],[Fecha de Contratación]],$D$3)+1</f>
        <v>366</v>
      </c>
      <c r="DC23" s="110" t="str">
        <f>IF(COUNTIFS(DATOS_[id/cod],DATOS_[[#This Row],[id/cod]])&gt;1,DATOS_[[#This Row],[id/cod]],"")</f>
        <v/>
      </c>
      <c r="DD23" s="108">
        <f>(Inicio!$G$10-DATOS_[[#This Row],[Fecha Nacimiento]])/365.25</f>
        <v>23.909650924024639</v>
      </c>
      <c r="DE23" s="108">
        <f>(Inicio!$G$10-DATOS_[[#This Row],[Fecha de Antigüedad]])/365.25</f>
        <v>23.909650924024639</v>
      </c>
      <c r="DF23" s="108" t="e">
        <f>+VLOOKUP(DATOS_[[#This Row],[Clave de Contrato]],TblTiposContrato13[],3,FALSE)</f>
        <v>#N/A</v>
      </c>
      <c r="DG23" s="108" t="e">
        <f>+VLOOKUP(DATOS_[[#This Row],[Clave de Contrato]],TblTiposContrato13[],4,FALSE)</f>
        <v>#N/A</v>
      </c>
      <c r="DH23" s="108" t="str">
        <f>VLOOKUP(DATOS_[[#This Row],[Edad]],CONTRATOS!TblRngEdad,2,TRUE)</f>
        <v>20 a 25</v>
      </c>
      <c r="DI23" s="108" t="str">
        <f>VLOOKUP(DATOS_[[#This Row],[Antigüedad]],TblRngAntg14[],2,TRUE)</f>
        <v>más de 15</v>
      </c>
    </row>
    <row r="24" spans="1:113" ht="12.9" customHeight="1" x14ac:dyDescent="0.25">
      <c r="A24" s="303" t="s">
        <v>390</v>
      </c>
      <c r="B24" s="265">
        <v>16</v>
      </c>
      <c r="C24" s="264" t="s">
        <v>337</v>
      </c>
      <c r="D24" s="243">
        <v>23620</v>
      </c>
      <c r="E24" s="243" t="s">
        <v>338</v>
      </c>
      <c r="F24" s="245"/>
      <c r="G24" s="245"/>
      <c r="H24" s="266">
        <v>37165</v>
      </c>
      <c r="I24" s="268"/>
      <c r="J24" s="260">
        <v>37165</v>
      </c>
      <c r="K24" s="267"/>
      <c r="L24" s="267"/>
      <c r="M24" s="244">
        <v>1</v>
      </c>
      <c r="N24" s="244"/>
      <c r="O24" s="244"/>
      <c r="P24" s="245"/>
      <c r="Q24" s="242" t="s">
        <v>339</v>
      </c>
      <c r="R24" s="242" t="s">
        <v>339</v>
      </c>
      <c r="S24" s="242" t="s">
        <v>391</v>
      </c>
      <c r="T24" s="242" t="s">
        <v>341</v>
      </c>
      <c r="U24" s="242" t="s">
        <v>342</v>
      </c>
      <c r="V24" s="242"/>
      <c r="W24" s="242"/>
      <c r="X24" s="246"/>
      <c r="Y24" s="271">
        <v>14000425011981</v>
      </c>
      <c r="Z24" s="247"/>
      <c r="AA24" s="279" t="s">
        <v>343</v>
      </c>
      <c r="AB24" s="248"/>
      <c r="AC24" s="245">
        <v>8</v>
      </c>
      <c r="AD24" s="261"/>
      <c r="AE24" s="262"/>
      <c r="AF24" s="262"/>
      <c r="AG24" s="262"/>
      <c r="AH24" s="262"/>
      <c r="AI24" s="262"/>
      <c r="AJ24" s="262"/>
      <c r="AK24" s="262"/>
      <c r="AL24" s="262"/>
      <c r="AM24" s="262"/>
      <c r="AN24" s="262"/>
      <c r="AO24" s="262"/>
      <c r="AP24" s="262"/>
      <c r="AQ24" s="262"/>
      <c r="AR24" s="262"/>
      <c r="AS24" s="262"/>
      <c r="AT24" s="262"/>
      <c r="AU24" s="262"/>
      <c r="AV24" s="262"/>
      <c r="AW24" s="262"/>
      <c r="AX24" s="262"/>
      <c r="AY24" s="262"/>
      <c r="AZ24" s="262"/>
      <c r="BA24" s="262"/>
      <c r="BB24" s="262"/>
      <c r="BC24" s="262"/>
      <c r="BD24" s="262"/>
      <c r="BE24" s="262"/>
      <c r="BF24" s="262"/>
      <c r="BG24" s="262"/>
      <c r="BH24" s="262"/>
      <c r="BI24" s="262"/>
      <c r="BJ24" s="262"/>
      <c r="BK24" s="262"/>
      <c r="BL24" s="262"/>
      <c r="BM24" s="262"/>
      <c r="BN24" s="262"/>
      <c r="BO24" s="262"/>
      <c r="BP24" s="262"/>
      <c r="BQ24" s="262"/>
      <c r="BR24" s="262"/>
      <c r="BS24" s="262"/>
      <c r="BT24" s="262"/>
      <c r="BU24" s="262"/>
      <c r="BV24" s="262"/>
      <c r="BW24" s="263"/>
      <c r="BX24" s="263"/>
      <c r="BY24" s="263"/>
      <c r="BZ24" s="263"/>
      <c r="CA24" s="263"/>
      <c r="CB24" s="263"/>
      <c r="CC24" s="263"/>
      <c r="CD24" s="263"/>
      <c r="CE24" s="263"/>
      <c r="CF24" s="263"/>
      <c r="CG24" s="263"/>
      <c r="CH24" s="249">
        <f>+MAX($D$3,DATOS_[[#This Row],[Fecha Inicio Sit. Contract.]])</f>
        <v>45292</v>
      </c>
      <c r="CI24" s="249">
        <f>+MIN($D$4,DATOS_[[#This Row],[Fecha Fin Sit. Contract.]])</f>
        <v>45657</v>
      </c>
      <c r="CJ24" s="250">
        <f>+DATOS_[[#This Row],[% de jornada]]*IF(DATOS_[[#This Row],[% jornada reducida]]="",1,DATOS_[[#This Row],[% jornada reducida]])</f>
        <v>1</v>
      </c>
      <c r="CK24" s="250">
        <f>+(DATOS_[[#This Row],[F.fin.cal]]-DATOS_[[#This Row],[F.ini.cal]]+1)/($D$4-$D$3+1)</f>
        <v>1</v>
      </c>
      <c r="CL24" s="250" t="str">
        <f>IF(OR(AND(DATOS_[[#This Row],[Fecha Fin Contrato]]&lt;$D$3,DATOS_[[#This Row],[Fecha Fin Contrato]]&lt;&gt;""),DATOS_[[#This Row],[Fecha de Contratación]]&gt;$D$4),"Fuera","Dentro")</f>
        <v>Dentro</v>
      </c>
      <c r="CM24" s="250" t="str" cm="1">
        <f t="array" ref="CM24">IF(MAX(IF(DATOS_[id/cod]=DATOS_[[#This Row],[id/cod]],DATOS_[F.fin.cal]))=DATOS_[[#This Row],[F.fin.cal]],"Sí","NO")</f>
        <v>Sí</v>
      </c>
      <c r="CN24" s="250" t="str">
        <f>IF(AND(DATOS_[[#This Row],[% normaliz]]&lt;&gt;1,DATOS_[[#This Row],[% anualiz]]=1),"Sí","NO")</f>
        <v>NO</v>
      </c>
      <c r="CO24" s="250" t="str">
        <f>IF(AND(DATOS_[[#This Row],[% normaliz]]=1,DATOS_[[#This Row],[% anualiz]]&lt;&gt;1),"Sí","NO")</f>
        <v>NO</v>
      </c>
      <c r="CP24" s="250" t="str">
        <f>IF(AND(DATOS_[[#This Row],[% normaliz]]&lt;&gt;1,DATOS_[[#This Row],[% anualiz]]&lt;&gt;1),"Sí","NO")</f>
        <v>NO</v>
      </c>
      <c r="CQ24" s="250" t="str">
        <f>+IF(DATOS_[[#This Row],[% normaliz]]*DATOS_[[#This Row],[% anualiz]]=1,"NO","Sí")</f>
        <v>NO</v>
      </c>
      <c r="CR24" s="251">
        <f>(DATOS_[[#This Row],[S.BASE]]*(1/DATOS_[[#This Row],[% normaliz]])*(1/DATOS_[[#This Row],[% anualiz]]))*IF(DATOS_[[#This Row],[Check Equiparado]]="Sí",1,0)</f>
        <v>0</v>
      </c>
      <c r="CS24"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24" s="251">
        <f>+DATOS_[[#This Row],[SALARIO BASE Eq]]+DATOS_[[#This Row],[Tot COMPL.SAL Eq]]</f>
        <v>0</v>
      </c>
      <c r="CU24" s="251" cm="1">
        <f t="array" ref="CU24">(SUMPRODUCT((RngTipo=$CU$7)*(rngAnualizable="Sí")*(rngNormalizable="Sí")*(DATOS_[[#This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24" s="251">
        <f>+DATOS_[[#This Row],[TOTAL SALARIO Eq]]+DATOS_[[#This Row],[Tot Extrasalarial Eq]]</f>
        <v>0</v>
      </c>
      <c r="CW24" s="252">
        <f>DATOS_[[#This Row],[S.BASE]]</f>
        <v>0</v>
      </c>
      <c r="CX24" s="252">
        <f>+SUM(DATOS_[[#This Row],[Conc.Sal.01]:[Conc.Sal.30]])</f>
        <v>0</v>
      </c>
      <c r="CY24" s="252">
        <f>+DATOS_[[#This Row],[SALARIO BASE Ef]]+DATOS_[[#This Row],[Tot COMPL.SAL Ef]]</f>
        <v>0</v>
      </c>
      <c r="CZ24" s="252">
        <f>+SUM(DATOS_[[#This Row],[C.Extra.01]:[C.Extra.11]])</f>
        <v>0</v>
      </c>
      <c r="DA24" s="252">
        <f>+DATOS_[[#This Row],[TOTAL SALARIO Ef]]+DATOS_[[#This Row],[Tot Extrasalarial Ef]]</f>
        <v>0</v>
      </c>
      <c r="DB24" s="109">
        <f>MIN(IF(DATOS_[[#This Row],[Fecha Fin Contrato]]="",$D$4,DATOS_[[#This Row],[Fecha Fin Contrato]]),$D$4)-MAX(DATOS_[[#This Row],[Fecha de Contratación]],$D$3)+1</f>
        <v>366</v>
      </c>
      <c r="DC24" s="110" t="str">
        <f>IF(COUNTIFS(DATOS_[id/cod],DATOS_[[#This Row],[id/cod]])&gt;1,DATOS_[[#This Row],[id/cod]],"")</f>
        <v/>
      </c>
      <c r="DD24" s="108">
        <f>(Inicio!$G$10-DATOS_[[#This Row],[Fecha Nacimiento]])/365.25</f>
        <v>60.334017796030118</v>
      </c>
      <c r="DE24" s="108">
        <f>(Inicio!$G$10-DATOS_[[#This Row],[Fecha de Antigüedad]])/365.25</f>
        <v>23.249828884325805</v>
      </c>
      <c r="DF24" s="108" t="e">
        <f>+VLOOKUP(DATOS_[[#This Row],[Clave de Contrato]],TblTiposContrato13[],3,FALSE)</f>
        <v>#N/A</v>
      </c>
      <c r="DG24" s="108" t="e">
        <f>+VLOOKUP(DATOS_[[#This Row],[Clave de Contrato]],TblTiposContrato13[],4,FALSE)</f>
        <v>#N/A</v>
      </c>
      <c r="DH24" s="108" t="str">
        <f>VLOOKUP(DATOS_[[#This Row],[Edad]],CONTRATOS!TblRngEdad,2,TRUE)</f>
        <v>60 en adelante</v>
      </c>
      <c r="DI24" s="108" t="str">
        <f>VLOOKUP(DATOS_[[#This Row],[Antigüedad]],TblRngAntg14[],2,TRUE)</f>
        <v>más de 15</v>
      </c>
    </row>
    <row r="25" spans="1:113" ht="12.9" customHeight="1" x14ac:dyDescent="0.25">
      <c r="A25" s="303" t="s">
        <v>392</v>
      </c>
      <c r="B25" s="265">
        <v>17</v>
      </c>
      <c r="C25" s="264" t="s">
        <v>337</v>
      </c>
      <c r="D25" s="243">
        <v>23031</v>
      </c>
      <c r="E25" s="243" t="s">
        <v>373</v>
      </c>
      <c r="F25" s="245"/>
      <c r="G25" s="245"/>
      <c r="H25" s="266">
        <v>37462</v>
      </c>
      <c r="I25" s="268"/>
      <c r="J25" s="260">
        <v>37462</v>
      </c>
      <c r="K25" s="267"/>
      <c r="L25" s="267"/>
      <c r="M25" s="244">
        <v>1</v>
      </c>
      <c r="N25" s="244"/>
      <c r="O25" s="244"/>
      <c r="P25" s="245"/>
      <c r="Q25" s="242" t="s">
        <v>339</v>
      </c>
      <c r="R25" s="242" t="s">
        <v>339</v>
      </c>
      <c r="S25" s="242" t="s">
        <v>340</v>
      </c>
      <c r="T25" s="242" t="s">
        <v>341</v>
      </c>
      <c r="U25" s="242" t="s">
        <v>342</v>
      </c>
      <c r="V25" s="242"/>
      <c r="W25" s="242"/>
      <c r="X25" s="246"/>
      <c r="Y25" s="271">
        <v>14000425011981</v>
      </c>
      <c r="Z25" s="247"/>
      <c r="AA25" s="279" t="s">
        <v>343</v>
      </c>
      <c r="AB25" s="248"/>
      <c r="AC25" s="245">
        <v>8</v>
      </c>
      <c r="AD25" s="261"/>
      <c r="AE25" s="262"/>
      <c r="AF25" s="262"/>
      <c r="AG25" s="262"/>
      <c r="AH25" s="262"/>
      <c r="AI25" s="262"/>
      <c r="AJ25" s="262"/>
      <c r="AK25" s="262"/>
      <c r="AL25" s="262"/>
      <c r="AM25" s="262"/>
      <c r="AN25" s="262"/>
      <c r="AO25" s="262"/>
      <c r="AP25" s="262"/>
      <c r="AQ25" s="262"/>
      <c r="AR25" s="262"/>
      <c r="AS25" s="262"/>
      <c r="AT25" s="262"/>
      <c r="AU25" s="262"/>
      <c r="AV25" s="262"/>
      <c r="AW25" s="262"/>
      <c r="AX25" s="262"/>
      <c r="AY25" s="262"/>
      <c r="AZ25" s="262"/>
      <c r="BA25" s="262"/>
      <c r="BB25" s="262"/>
      <c r="BC25" s="262"/>
      <c r="BD25" s="262"/>
      <c r="BE25" s="262"/>
      <c r="BF25" s="262"/>
      <c r="BG25" s="262"/>
      <c r="BH25" s="262"/>
      <c r="BI25" s="262"/>
      <c r="BJ25" s="262"/>
      <c r="BK25" s="262"/>
      <c r="BL25" s="262"/>
      <c r="BM25" s="262"/>
      <c r="BN25" s="262"/>
      <c r="BO25" s="262"/>
      <c r="BP25" s="262"/>
      <c r="BQ25" s="262"/>
      <c r="BR25" s="262"/>
      <c r="BS25" s="262"/>
      <c r="BT25" s="262"/>
      <c r="BU25" s="262"/>
      <c r="BV25" s="262"/>
      <c r="BW25" s="263"/>
      <c r="BX25" s="263"/>
      <c r="BY25" s="263"/>
      <c r="BZ25" s="263"/>
      <c r="CA25" s="263"/>
      <c r="CB25" s="263"/>
      <c r="CC25" s="263"/>
      <c r="CD25" s="263"/>
      <c r="CE25" s="263"/>
      <c r="CF25" s="263"/>
      <c r="CG25" s="263"/>
      <c r="CH25" s="249">
        <f>+MAX($D$3,DATOS_[[#This Row],[Fecha Inicio Sit. Contract.]])</f>
        <v>45292</v>
      </c>
      <c r="CI25" s="249">
        <f>+MIN($D$4,DATOS_[[#This Row],[Fecha Fin Sit. Contract.]])</f>
        <v>45657</v>
      </c>
      <c r="CJ25" s="250">
        <f>+DATOS_[[#This Row],[% de jornada]]*IF(DATOS_[[#This Row],[% jornada reducida]]="",1,DATOS_[[#This Row],[% jornada reducida]])</f>
        <v>1</v>
      </c>
      <c r="CK25" s="250">
        <f>+(DATOS_[[#This Row],[F.fin.cal]]-DATOS_[[#This Row],[F.ini.cal]]+1)/($D$4-$D$3+1)</f>
        <v>1</v>
      </c>
      <c r="CL25" s="250" t="str">
        <f>IF(OR(AND(DATOS_[[#This Row],[Fecha Fin Contrato]]&lt;$D$3,DATOS_[[#This Row],[Fecha Fin Contrato]]&lt;&gt;""),DATOS_[[#This Row],[Fecha de Contratación]]&gt;$D$4),"Fuera","Dentro")</f>
        <v>Dentro</v>
      </c>
      <c r="CM25" s="250" t="str" cm="1">
        <f t="array" ref="CM25">IF(MAX(IF(DATOS_[id/cod]=DATOS_[[#This Row],[id/cod]],DATOS_[F.fin.cal]))=DATOS_[[#This Row],[F.fin.cal]],"Sí","NO")</f>
        <v>Sí</v>
      </c>
      <c r="CN25" s="250" t="str">
        <f>IF(AND(DATOS_[[#This Row],[% normaliz]]&lt;&gt;1,DATOS_[[#This Row],[% anualiz]]=1),"Sí","NO")</f>
        <v>NO</v>
      </c>
      <c r="CO25" s="250" t="str">
        <f>IF(AND(DATOS_[[#This Row],[% normaliz]]=1,DATOS_[[#This Row],[% anualiz]]&lt;&gt;1),"Sí","NO")</f>
        <v>NO</v>
      </c>
      <c r="CP25" s="250" t="str">
        <f>IF(AND(DATOS_[[#This Row],[% normaliz]]&lt;&gt;1,DATOS_[[#This Row],[% anualiz]]&lt;&gt;1),"Sí","NO")</f>
        <v>NO</v>
      </c>
      <c r="CQ25" s="250" t="str">
        <f>+IF(DATOS_[[#This Row],[% normaliz]]*DATOS_[[#This Row],[% anualiz]]=1,"NO","Sí")</f>
        <v>NO</v>
      </c>
      <c r="CR25" s="251">
        <f>(DATOS_[[#This Row],[S.BASE]]*(1/DATOS_[[#This Row],[% normaliz]])*(1/DATOS_[[#This Row],[% anualiz]]))*IF(DATOS_[[#This Row],[Check Equiparado]]="Sí",1,0)</f>
        <v>0</v>
      </c>
      <c r="CS25"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25" s="251">
        <f>+DATOS_[[#This Row],[SALARIO BASE Eq]]+DATOS_[[#This Row],[Tot COMPL.SAL Eq]]</f>
        <v>0</v>
      </c>
      <c r="CU25" s="251" cm="1">
        <f t="array" ref="CU25">(SUMPRODUCT((RngTipo=$CU$7)*(rngAnualizable="Sí")*(rngNormalizable="Sí")*(DATOS_[[#This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25" s="251">
        <f>+DATOS_[[#This Row],[TOTAL SALARIO Eq]]+DATOS_[[#This Row],[Tot Extrasalarial Eq]]</f>
        <v>0</v>
      </c>
      <c r="CW25" s="252">
        <f>DATOS_[[#This Row],[S.BASE]]</f>
        <v>0</v>
      </c>
      <c r="CX25" s="252">
        <f>+SUM(DATOS_[[#This Row],[Conc.Sal.01]:[Conc.Sal.30]])</f>
        <v>0</v>
      </c>
      <c r="CY25" s="252">
        <f>+DATOS_[[#This Row],[SALARIO BASE Ef]]+DATOS_[[#This Row],[Tot COMPL.SAL Ef]]</f>
        <v>0</v>
      </c>
      <c r="CZ25" s="252">
        <f>+SUM(DATOS_[[#This Row],[C.Extra.01]:[C.Extra.11]])</f>
        <v>0</v>
      </c>
      <c r="DA25" s="252">
        <f>+DATOS_[[#This Row],[TOTAL SALARIO Ef]]+DATOS_[[#This Row],[Tot Extrasalarial Ef]]</f>
        <v>0</v>
      </c>
      <c r="DB25" s="109">
        <f>MIN(IF(DATOS_[[#This Row],[Fecha Fin Contrato]]="",$D$4,DATOS_[[#This Row],[Fecha Fin Contrato]]),$D$4)-MAX(DATOS_[[#This Row],[Fecha de Contratación]],$D$3)+1</f>
        <v>366</v>
      </c>
      <c r="DC25" s="110" t="str">
        <f>IF(COUNTIFS(DATOS_[id/cod],DATOS_[[#This Row],[id/cod]])&gt;1,DATOS_[[#This Row],[id/cod]],"")</f>
        <v/>
      </c>
      <c r="DD25" s="108">
        <f>(Inicio!$G$10-DATOS_[[#This Row],[Fecha Nacimiento]])/365.25</f>
        <v>61.946611909650926</v>
      </c>
      <c r="DE25" s="108">
        <f>(Inicio!$G$10-DATOS_[[#This Row],[Fecha de Antigüedad]])/365.25</f>
        <v>22.436687200547571</v>
      </c>
      <c r="DF25" s="108" t="e">
        <f>+VLOOKUP(DATOS_[[#This Row],[Clave de Contrato]],TblTiposContrato13[],3,FALSE)</f>
        <v>#N/A</v>
      </c>
      <c r="DG25" s="108" t="e">
        <f>+VLOOKUP(DATOS_[[#This Row],[Clave de Contrato]],TblTiposContrato13[],4,FALSE)</f>
        <v>#N/A</v>
      </c>
      <c r="DH25" s="108" t="str">
        <f>VLOOKUP(DATOS_[[#This Row],[Edad]],CONTRATOS!TblRngEdad,2,TRUE)</f>
        <v>60 en adelante</v>
      </c>
      <c r="DI25" s="108" t="str">
        <f>VLOOKUP(DATOS_[[#This Row],[Antigüedad]],TblRngAntg14[],2,TRUE)</f>
        <v>más de 15</v>
      </c>
    </row>
    <row r="26" spans="1:113" s="338" customFormat="1" ht="12.9" customHeight="1" x14ac:dyDescent="0.25">
      <c r="A26" s="315" t="s">
        <v>393</v>
      </c>
      <c r="B26" s="316">
        <v>18</v>
      </c>
      <c r="C26" s="317" t="s">
        <v>394</v>
      </c>
      <c r="D26" s="318">
        <v>29521</v>
      </c>
      <c r="E26" s="318" t="s">
        <v>338</v>
      </c>
      <c r="F26" s="319"/>
      <c r="G26" s="319"/>
      <c r="H26" s="320">
        <v>45644</v>
      </c>
      <c r="I26" s="321"/>
      <c r="J26" s="322">
        <v>37573</v>
      </c>
      <c r="K26" s="323"/>
      <c r="L26" s="323"/>
      <c r="M26" s="324">
        <v>1</v>
      </c>
      <c r="N26" s="324"/>
      <c r="O26" s="324"/>
      <c r="P26" s="319">
        <v>100</v>
      </c>
      <c r="Q26" s="325" t="s">
        <v>357</v>
      </c>
      <c r="R26" s="325" t="s">
        <v>357</v>
      </c>
      <c r="S26" s="325" t="s">
        <v>395</v>
      </c>
      <c r="T26" s="325" t="s">
        <v>341</v>
      </c>
      <c r="U26" s="325" t="s">
        <v>367</v>
      </c>
      <c r="V26" s="325"/>
      <c r="W26" s="325"/>
      <c r="X26" s="326"/>
      <c r="Y26" s="327">
        <v>14000425011981</v>
      </c>
      <c r="Z26" s="328"/>
      <c r="AA26" s="329" t="s">
        <v>359</v>
      </c>
      <c r="AB26" s="330"/>
      <c r="AC26" s="319">
        <v>5</v>
      </c>
      <c r="AD26" s="331"/>
      <c r="AE26" s="331"/>
      <c r="AF26" s="331"/>
      <c r="AG26" s="331"/>
      <c r="AH26" s="331"/>
      <c r="AI26" s="331"/>
      <c r="AJ26" s="331"/>
      <c r="AK26" s="331"/>
      <c r="AL26" s="331"/>
      <c r="AM26" s="331"/>
      <c r="AN26" s="331"/>
      <c r="AO26" s="331"/>
      <c r="AP26" s="331"/>
      <c r="AQ26" s="331"/>
      <c r="AR26" s="331"/>
      <c r="AS26" s="331"/>
      <c r="AT26" s="331"/>
      <c r="AU26" s="331"/>
      <c r="AV26" s="331"/>
      <c r="AW26" s="331"/>
      <c r="AX26" s="331"/>
      <c r="AY26" s="331"/>
      <c r="AZ26" s="331"/>
      <c r="BA26" s="331"/>
      <c r="BB26" s="331"/>
      <c r="BC26" s="331"/>
      <c r="BD26" s="331"/>
      <c r="BE26" s="331"/>
      <c r="BF26" s="331"/>
      <c r="BG26" s="331"/>
      <c r="BH26" s="331"/>
      <c r="BI26" s="331"/>
      <c r="BJ26" s="331"/>
      <c r="BK26" s="331"/>
      <c r="BL26" s="331"/>
      <c r="BM26" s="331"/>
      <c r="BN26" s="331"/>
      <c r="BO26" s="331"/>
      <c r="BP26" s="331"/>
      <c r="BQ26" s="331"/>
      <c r="BR26" s="331"/>
      <c r="BS26" s="331"/>
      <c r="BT26" s="331"/>
      <c r="BU26" s="331"/>
      <c r="BV26" s="331"/>
      <c r="BW26" s="331"/>
      <c r="BX26" s="331"/>
      <c r="BY26" s="331"/>
      <c r="BZ26" s="331"/>
      <c r="CA26" s="331"/>
      <c r="CB26" s="331"/>
      <c r="CC26" s="331"/>
      <c r="CD26" s="331"/>
      <c r="CE26" s="331"/>
      <c r="CF26" s="331"/>
      <c r="CG26" s="331"/>
      <c r="CH26" s="332">
        <f>+MAX($D$3,DATOS_[[#This Row],[Fecha Inicio Sit. Contract.]])</f>
        <v>45292</v>
      </c>
      <c r="CI26" s="332">
        <f>+MIN($D$4,DATOS_[[#This Row],[Fecha Fin Sit. Contract.]])</f>
        <v>45657</v>
      </c>
      <c r="CJ26" s="333">
        <f>+DATOS_[[#This Row],[% de jornada]]*IF(DATOS_[[#This Row],[% jornada reducida]]="",1,DATOS_[[#This Row],[% jornada reducida]])</f>
        <v>1</v>
      </c>
      <c r="CK26" s="333">
        <f>+(DATOS_[[#This Row],[F.fin.cal]]-DATOS_[[#This Row],[F.ini.cal]]+1)/($D$4-$D$3+1)</f>
        <v>1</v>
      </c>
      <c r="CL26" s="333" t="str">
        <f>IF(OR(AND(DATOS_[[#This Row],[Fecha Fin Contrato]]&lt;$D$3,DATOS_[[#This Row],[Fecha Fin Contrato]]&lt;&gt;""),DATOS_[[#This Row],[Fecha de Contratación]]&gt;$D$4),"Fuera","Dentro")</f>
        <v>Dentro</v>
      </c>
      <c r="CM26" s="333" t="str" cm="1">
        <f t="array" ref="CM26">IF(MAX(IF(DATOS_[id/cod]=DATOS_[[#This Row],[id/cod]],DATOS_[F.fin.cal]))=DATOS_[[#This Row],[F.fin.cal]],"Sí","NO")</f>
        <v>Sí</v>
      </c>
      <c r="CN26" s="333" t="str">
        <f>IF(AND(DATOS_[[#This Row],[% normaliz]]&lt;&gt;1,DATOS_[[#This Row],[% anualiz]]=1),"Sí","NO")</f>
        <v>NO</v>
      </c>
      <c r="CO26" s="333" t="str">
        <f>IF(AND(DATOS_[[#This Row],[% normaliz]]=1,DATOS_[[#This Row],[% anualiz]]&lt;&gt;1),"Sí","NO")</f>
        <v>NO</v>
      </c>
      <c r="CP26" s="333" t="str">
        <f>IF(AND(DATOS_[[#This Row],[% normaliz]]&lt;&gt;1,DATOS_[[#This Row],[% anualiz]]&lt;&gt;1),"Sí","NO")</f>
        <v>NO</v>
      </c>
      <c r="CQ26" s="333" t="str">
        <f>+IF(DATOS_[[#This Row],[% normaliz]]*DATOS_[[#This Row],[% anualiz]]=1,"NO","Sí")</f>
        <v>NO</v>
      </c>
      <c r="CR26" s="334">
        <f>(DATOS_[[#This Row],[S.BASE]]*(1/DATOS_[[#This Row],[% normaliz]])*(1/DATOS_[[#This Row],[% anualiz]]))*IF(DATOS_[[#This Row],[Check Equiparado]]="Sí",1,0)</f>
        <v>0</v>
      </c>
      <c r="CS26" s="334">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26" s="334">
        <f>+DATOS_[[#This Row],[SALARIO BASE Eq]]+DATOS_[[#This Row],[Tot COMPL.SAL Eq]]</f>
        <v>0</v>
      </c>
      <c r="CU26" s="334" cm="1">
        <f t="array" ref="CU26">(SUMPRODUCT((RngTipo=$CU$7)*(rngAnualizable="Sí")*(rngNormalizable="Sí")*(DATOS_[[#This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26" s="334">
        <f>+DATOS_[[#This Row],[TOTAL SALARIO Eq]]+DATOS_[[#This Row],[Tot Extrasalarial Eq]]</f>
        <v>0</v>
      </c>
      <c r="CW26" s="335">
        <f>DATOS_[[#This Row],[S.BASE]]</f>
        <v>0</v>
      </c>
      <c r="CX26" s="335">
        <f>+SUM(DATOS_[[#This Row],[Conc.Sal.01]:[Conc.Sal.30]])</f>
        <v>0</v>
      </c>
      <c r="CY26" s="335">
        <f>+DATOS_[[#This Row],[SALARIO BASE Ef]]+DATOS_[[#This Row],[Tot COMPL.SAL Ef]]</f>
        <v>0</v>
      </c>
      <c r="CZ26" s="335">
        <f>+SUM(DATOS_[[#This Row],[C.Extra.01]:[C.Extra.11]])</f>
        <v>0</v>
      </c>
      <c r="DA26" s="335">
        <f>+DATOS_[[#This Row],[TOTAL SALARIO Ef]]+DATOS_[[#This Row],[Tot Extrasalarial Ef]]</f>
        <v>0</v>
      </c>
      <c r="DB26" s="336">
        <f>MIN(IF(DATOS_[[#This Row],[Fecha Fin Contrato]]="",$D$4,DATOS_[[#This Row],[Fecha Fin Contrato]]),$D$4)-MAX(DATOS_[[#This Row],[Fecha de Contratación]],$D$3)+1</f>
        <v>14</v>
      </c>
      <c r="DC26" s="337">
        <f>IF(COUNTIFS(DATOS_[id/cod],DATOS_[[#This Row],[id/cod]])&gt;1,DATOS_[[#This Row],[id/cod]],"")</f>
        <v>18</v>
      </c>
      <c r="DD26" s="337">
        <f>(Inicio!$G$10-DATOS_[[#This Row],[Fecha Nacimiento]])/365.25</f>
        <v>44.177960301163587</v>
      </c>
      <c r="DE26" s="337">
        <f>(Inicio!$G$10-DATOS_[[#This Row],[Fecha de Antigüedad]])/365.25</f>
        <v>22.132785763175907</v>
      </c>
      <c r="DF26" s="337" t="str">
        <f>+VLOOKUP(DATOS_[[#This Row],[Clave de Contrato]],TblTiposContrato13[],3,FALSE)</f>
        <v>Completa</v>
      </c>
      <c r="DG26" s="337" t="str">
        <f>+VLOOKUP(DATOS_[[#This Row],[Clave de Contrato]],TblTiposContrato13[],4,FALSE)</f>
        <v>Indefinido</v>
      </c>
      <c r="DH26" s="337" t="str">
        <f>VLOOKUP(DATOS_[[#This Row],[Edad]],CONTRATOS!TblRngEdad,2,TRUE)</f>
        <v>40 a 45</v>
      </c>
      <c r="DI26" s="337" t="str">
        <f>VLOOKUP(DATOS_[[#This Row],[Antigüedad]],TblRngAntg14[],2,TRUE)</f>
        <v>más de 15</v>
      </c>
    </row>
    <row r="27" spans="1:113" s="338" customFormat="1" ht="12.9" customHeight="1" x14ac:dyDescent="0.25">
      <c r="A27" s="315" t="s">
        <v>393</v>
      </c>
      <c r="B27" s="316">
        <v>18</v>
      </c>
      <c r="C27" s="317" t="s">
        <v>394</v>
      </c>
      <c r="D27" s="318">
        <v>29521</v>
      </c>
      <c r="E27" s="318" t="s">
        <v>338</v>
      </c>
      <c r="F27" s="319"/>
      <c r="G27" s="319"/>
      <c r="H27" s="339">
        <v>39203</v>
      </c>
      <c r="I27" s="321"/>
      <c r="J27" s="322">
        <v>37573</v>
      </c>
      <c r="K27" s="323"/>
      <c r="L27" s="323"/>
      <c r="M27" s="324">
        <v>1</v>
      </c>
      <c r="N27" s="324"/>
      <c r="O27" s="324"/>
      <c r="P27" s="319">
        <v>100</v>
      </c>
      <c r="Q27" s="325" t="s">
        <v>357</v>
      </c>
      <c r="R27" s="325" t="s">
        <v>357</v>
      </c>
      <c r="S27" s="325" t="s">
        <v>395</v>
      </c>
      <c r="T27" s="325" t="s">
        <v>341</v>
      </c>
      <c r="U27" s="325" t="s">
        <v>367</v>
      </c>
      <c r="V27" s="325"/>
      <c r="W27" s="325"/>
      <c r="X27" s="326"/>
      <c r="Y27" s="327">
        <v>14000425011981</v>
      </c>
      <c r="Z27" s="328"/>
      <c r="AA27" s="329" t="s">
        <v>359</v>
      </c>
      <c r="AB27" s="330"/>
      <c r="AC27" s="319">
        <v>5</v>
      </c>
      <c r="AD27" s="331"/>
      <c r="AE27" s="331"/>
      <c r="AF27" s="331"/>
      <c r="AG27" s="331"/>
      <c r="AH27" s="331"/>
      <c r="AI27" s="331"/>
      <c r="AJ27" s="331"/>
      <c r="AK27" s="331"/>
      <c r="AL27" s="331"/>
      <c r="AM27" s="331"/>
      <c r="AN27" s="331"/>
      <c r="AO27" s="331"/>
      <c r="AP27" s="331"/>
      <c r="AQ27" s="331"/>
      <c r="AR27" s="331"/>
      <c r="AS27" s="331"/>
      <c r="AT27" s="331"/>
      <c r="AU27" s="331"/>
      <c r="AV27" s="331"/>
      <c r="AW27" s="331"/>
      <c r="AX27" s="331"/>
      <c r="AY27" s="331"/>
      <c r="AZ27" s="331"/>
      <c r="BA27" s="331"/>
      <c r="BB27" s="331"/>
      <c r="BC27" s="331"/>
      <c r="BD27" s="331"/>
      <c r="BE27" s="331"/>
      <c r="BF27" s="331"/>
      <c r="BG27" s="331"/>
      <c r="BH27" s="331"/>
      <c r="BI27" s="331"/>
      <c r="BJ27" s="331"/>
      <c r="BK27" s="331"/>
      <c r="BL27" s="331"/>
      <c r="BM27" s="331"/>
      <c r="BN27" s="331"/>
      <c r="BO27" s="331"/>
      <c r="BP27" s="331"/>
      <c r="BQ27" s="331"/>
      <c r="BR27" s="331"/>
      <c r="BS27" s="331"/>
      <c r="BT27" s="331"/>
      <c r="BU27" s="331"/>
      <c r="BV27" s="331"/>
      <c r="BW27" s="331"/>
      <c r="BX27" s="331"/>
      <c r="BY27" s="331"/>
      <c r="BZ27" s="331"/>
      <c r="CA27" s="331"/>
      <c r="CB27" s="331"/>
      <c r="CC27" s="331"/>
      <c r="CD27" s="331"/>
      <c r="CE27" s="331"/>
      <c r="CF27" s="331"/>
      <c r="CG27" s="331"/>
      <c r="CH27" s="332">
        <f>+MAX($D$3,DATOS_[[#This Row],[Fecha Inicio Sit. Contract.]])</f>
        <v>45292</v>
      </c>
      <c r="CI27" s="332">
        <f>+MIN($D$4,DATOS_[[#This Row],[Fecha Fin Sit. Contract.]])</f>
        <v>45657</v>
      </c>
      <c r="CJ27" s="333">
        <f>+DATOS_[[#This Row],[% de jornada]]*IF(DATOS_[[#This Row],[% jornada reducida]]="",1,DATOS_[[#This Row],[% jornada reducida]])</f>
        <v>1</v>
      </c>
      <c r="CK27" s="333">
        <f>+(DATOS_[[#This Row],[F.fin.cal]]-DATOS_[[#This Row],[F.ini.cal]]+1)/($D$4-$D$3+1)</f>
        <v>1</v>
      </c>
      <c r="CL27" s="333" t="str">
        <f>IF(OR(AND(DATOS_[[#This Row],[Fecha Fin Contrato]]&lt;$D$3,DATOS_[[#This Row],[Fecha Fin Contrato]]&lt;&gt;""),DATOS_[[#This Row],[Fecha de Contratación]]&gt;$D$4),"Fuera","Dentro")</f>
        <v>Dentro</v>
      </c>
      <c r="CM27" s="333" t="str" cm="1">
        <f t="array" ref="CM27">IF(MAX(IF(DATOS_[id/cod]=DATOS_[[#This Row],[id/cod]],DATOS_[F.fin.cal]))=DATOS_[[#This Row],[F.fin.cal]],"Sí","NO")</f>
        <v>Sí</v>
      </c>
      <c r="CN27" s="333" t="str">
        <f>IF(AND(DATOS_[[#This Row],[% normaliz]]&lt;&gt;1,DATOS_[[#This Row],[% anualiz]]=1),"Sí","NO")</f>
        <v>NO</v>
      </c>
      <c r="CO27" s="333" t="str">
        <f>IF(AND(DATOS_[[#This Row],[% normaliz]]=1,DATOS_[[#This Row],[% anualiz]]&lt;&gt;1),"Sí","NO")</f>
        <v>NO</v>
      </c>
      <c r="CP27" s="333" t="str">
        <f>IF(AND(DATOS_[[#This Row],[% normaliz]]&lt;&gt;1,DATOS_[[#This Row],[% anualiz]]&lt;&gt;1),"Sí","NO")</f>
        <v>NO</v>
      </c>
      <c r="CQ27" s="333" t="str">
        <f>+IF(DATOS_[[#This Row],[% normaliz]]*DATOS_[[#This Row],[% anualiz]]=1,"NO","Sí")</f>
        <v>NO</v>
      </c>
      <c r="CR27" s="334">
        <f>(DATOS_[[#This Row],[S.BASE]]*(1/DATOS_[[#This Row],[% normaliz]])*(1/DATOS_[[#This Row],[% anualiz]]))*IF(DATOS_[[#This Row],[Check Equiparado]]="Sí",1,0)</f>
        <v>0</v>
      </c>
      <c r="CS27" s="334">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27" s="334">
        <f>+DATOS_[[#This Row],[SALARIO BASE Eq]]+DATOS_[[#This Row],[Tot COMPL.SAL Eq]]</f>
        <v>0</v>
      </c>
      <c r="CU27" s="334" cm="1">
        <f t="array" ref="CU27">(SUMPRODUCT((RngTipo=$CU$7)*(rngAnualizable="Sí")*(rngNormalizable="Sí")*(DATOS_[[#This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27" s="334">
        <f>+DATOS_[[#This Row],[TOTAL SALARIO Eq]]+DATOS_[[#This Row],[Tot Extrasalarial Eq]]</f>
        <v>0</v>
      </c>
      <c r="CW27" s="335">
        <f>DATOS_[[#This Row],[S.BASE]]</f>
        <v>0</v>
      </c>
      <c r="CX27" s="335">
        <f>+SUM(DATOS_[[#This Row],[Conc.Sal.01]:[Conc.Sal.30]])</f>
        <v>0</v>
      </c>
      <c r="CY27" s="335">
        <f>+DATOS_[[#This Row],[SALARIO BASE Ef]]+DATOS_[[#This Row],[Tot COMPL.SAL Ef]]</f>
        <v>0</v>
      </c>
      <c r="CZ27" s="335">
        <f>+SUM(DATOS_[[#This Row],[C.Extra.01]:[C.Extra.11]])</f>
        <v>0</v>
      </c>
      <c r="DA27" s="335">
        <f>+DATOS_[[#This Row],[TOTAL SALARIO Ef]]+DATOS_[[#This Row],[Tot Extrasalarial Ef]]</f>
        <v>0</v>
      </c>
      <c r="DB27" s="336">
        <f>MIN(IF(DATOS_[[#This Row],[Fecha Fin Contrato]]="",$D$4,DATOS_[[#This Row],[Fecha Fin Contrato]]),$D$4)-MAX(DATOS_[[#This Row],[Fecha de Contratación]],$D$3)+1</f>
        <v>366</v>
      </c>
      <c r="DC27" s="337">
        <f>IF(COUNTIFS(DATOS_[id/cod],DATOS_[[#This Row],[id/cod]])&gt;1,DATOS_[[#This Row],[id/cod]],"")</f>
        <v>18</v>
      </c>
      <c r="DD27" s="337">
        <f>(Inicio!$G$10-DATOS_[[#This Row],[Fecha Nacimiento]])/365.25</f>
        <v>44.177960301163587</v>
      </c>
      <c r="DE27" s="337">
        <f>(Inicio!$G$10-DATOS_[[#This Row],[Fecha de Antigüedad]])/365.25</f>
        <v>22.132785763175907</v>
      </c>
      <c r="DF27" s="337" t="str">
        <f>+VLOOKUP(DATOS_[[#This Row],[Clave de Contrato]],TblTiposContrato13[],3,FALSE)</f>
        <v>Completa</v>
      </c>
      <c r="DG27" s="337" t="str">
        <f>+VLOOKUP(DATOS_[[#This Row],[Clave de Contrato]],TblTiposContrato13[],4,FALSE)</f>
        <v>Indefinido</v>
      </c>
      <c r="DH27" s="337" t="str">
        <f>VLOOKUP(DATOS_[[#This Row],[Edad]],CONTRATOS!TblRngEdad,2,TRUE)</f>
        <v>40 a 45</v>
      </c>
      <c r="DI27" s="337" t="str">
        <f>VLOOKUP(DATOS_[[#This Row],[Antigüedad]],TblRngAntg14[],2,TRUE)</f>
        <v>más de 15</v>
      </c>
    </row>
    <row r="28" spans="1:113" s="338" customFormat="1" ht="12.9" customHeight="1" x14ac:dyDescent="0.25">
      <c r="A28" s="315" t="s">
        <v>393</v>
      </c>
      <c r="B28" s="316">
        <v>18</v>
      </c>
      <c r="C28" s="317" t="s">
        <v>394</v>
      </c>
      <c r="D28" s="318">
        <v>29521</v>
      </c>
      <c r="E28" s="318" t="s">
        <v>338</v>
      </c>
      <c r="F28" s="319"/>
      <c r="G28" s="319"/>
      <c r="H28" s="320">
        <v>45587</v>
      </c>
      <c r="I28" s="321"/>
      <c r="J28" s="322">
        <v>37573</v>
      </c>
      <c r="K28" s="323"/>
      <c r="L28" s="323"/>
      <c r="M28" s="324">
        <v>1</v>
      </c>
      <c r="N28" s="324"/>
      <c r="O28" s="324"/>
      <c r="P28" s="319">
        <v>100</v>
      </c>
      <c r="Q28" s="325" t="s">
        <v>357</v>
      </c>
      <c r="R28" s="325" t="s">
        <v>357</v>
      </c>
      <c r="S28" s="325" t="s">
        <v>395</v>
      </c>
      <c r="T28" s="325" t="s">
        <v>341</v>
      </c>
      <c r="U28" s="325" t="s">
        <v>367</v>
      </c>
      <c r="V28" s="325"/>
      <c r="W28" s="325"/>
      <c r="X28" s="326"/>
      <c r="Y28" s="327">
        <v>14000425011981</v>
      </c>
      <c r="Z28" s="328"/>
      <c r="AA28" s="329" t="s">
        <v>359</v>
      </c>
      <c r="AB28" s="330"/>
      <c r="AC28" s="319">
        <v>5</v>
      </c>
      <c r="AD28" s="331"/>
      <c r="AE28" s="331"/>
      <c r="AF28" s="331"/>
      <c r="AG28" s="331"/>
      <c r="AH28" s="331"/>
      <c r="AI28" s="331"/>
      <c r="AJ28" s="331"/>
      <c r="AK28" s="331"/>
      <c r="AL28" s="331"/>
      <c r="AM28" s="331"/>
      <c r="AN28" s="331"/>
      <c r="AO28" s="331"/>
      <c r="AP28" s="331"/>
      <c r="AQ28" s="331"/>
      <c r="AR28" s="331"/>
      <c r="AS28" s="331"/>
      <c r="AT28" s="331"/>
      <c r="AU28" s="331"/>
      <c r="AV28" s="331"/>
      <c r="AW28" s="331"/>
      <c r="AX28" s="331"/>
      <c r="AY28" s="331"/>
      <c r="AZ28" s="331"/>
      <c r="BA28" s="331"/>
      <c r="BB28" s="331"/>
      <c r="BC28" s="331"/>
      <c r="BD28" s="331"/>
      <c r="BE28" s="331"/>
      <c r="BF28" s="331"/>
      <c r="BG28" s="331"/>
      <c r="BH28" s="331"/>
      <c r="BI28" s="340"/>
      <c r="BJ28" s="340"/>
      <c r="BK28" s="340"/>
      <c r="BL28" s="340"/>
      <c r="BM28" s="340"/>
      <c r="BN28" s="340"/>
      <c r="BO28" s="340"/>
      <c r="BP28" s="340"/>
      <c r="BQ28" s="340"/>
      <c r="BR28" s="340"/>
      <c r="BS28" s="340"/>
      <c r="BT28" s="340"/>
      <c r="BU28" s="340"/>
      <c r="BV28" s="340"/>
      <c r="BW28" s="331"/>
      <c r="BX28" s="340"/>
      <c r="BY28" s="340"/>
      <c r="BZ28" s="340"/>
      <c r="CA28" s="340"/>
      <c r="CB28" s="331"/>
      <c r="CC28" s="331"/>
      <c r="CD28" s="331"/>
      <c r="CE28" s="340"/>
      <c r="CF28" s="340"/>
      <c r="CG28" s="331"/>
      <c r="CH28" s="332">
        <f>+MAX($D$3,DATOS_[[#This Row],[Fecha Inicio Sit. Contract.]])</f>
        <v>45292</v>
      </c>
      <c r="CI28" s="332">
        <f>+MIN($D$4,DATOS_[[#This Row],[Fecha Fin Sit. Contract.]])</f>
        <v>45657</v>
      </c>
      <c r="CJ28" s="333">
        <f>+DATOS_[[#This Row],[% de jornada]]*IF(DATOS_[[#This Row],[% jornada reducida]]="",1,DATOS_[[#This Row],[% jornada reducida]])</f>
        <v>1</v>
      </c>
      <c r="CK28" s="333">
        <f>+(DATOS_[[#This Row],[F.fin.cal]]-DATOS_[[#This Row],[F.ini.cal]]+1)/($D$4-$D$3+1)</f>
        <v>1</v>
      </c>
      <c r="CL28" s="333" t="str">
        <f>IF(OR(AND(DATOS_[[#This Row],[Fecha Fin Contrato]]&lt;$D$3,DATOS_[[#This Row],[Fecha Fin Contrato]]&lt;&gt;""),DATOS_[[#This Row],[Fecha de Contratación]]&gt;$D$4),"Fuera","Dentro")</f>
        <v>Dentro</v>
      </c>
      <c r="CM28" s="333" t="str" cm="1">
        <f t="array" ref="CM28">IF(MAX(IF(DATOS_[id/cod]=DATOS_[[#This Row],[id/cod]],DATOS_[F.fin.cal]))=DATOS_[[#This Row],[F.fin.cal]],"Sí","NO")</f>
        <v>Sí</v>
      </c>
      <c r="CN28" s="333" t="str">
        <f>IF(AND(DATOS_[[#This Row],[% normaliz]]&lt;&gt;1,DATOS_[[#This Row],[% anualiz]]=1),"Sí","NO")</f>
        <v>NO</v>
      </c>
      <c r="CO28" s="333" t="str">
        <f>IF(AND(DATOS_[[#This Row],[% normaliz]]=1,DATOS_[[#This Row],[% anualiz]]&lt;&gt;1),"Sí","NO")</f>
        <v>NO</v>
      </c>
      <c r="CP28" s="333" t="str">
        <f>IF(AND(DATOS_[[#This Row],[% normaliz]]&lt;&gt;1,DATOS_[[#This Row],[% anualiz]]&lt;&gt;1),"Sí","NO")</f>
        <v>NO</v>
      </c>
      <c r="CQ28" s="333" t="str">
        <f>+IF(DATOS_[[#This Row],[% normaliz]]*DATOS_[[#This Row],[% anualiz]]=1,"NO","Sí")</f>
        <v>NO</v>
      </c>
      <c r="CR28" s="334">
        <f>(DATOS_[[#This Row],[S.BASE]]*(1/DATOS_[[#This Row],[% normaliz]])*(1/DATOS_[[#This Row],[% anualiz]]))*IF(DATOS_[[#This Row],[Check Equiparado]]="Sí",1,0)</f>
        <v>0</v>
      </c>
      <c r="CS28" s="334">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28" s="334">
        <f>+DATOS_[[#This Row],[SALARIO BASE Eq]]+DATOS_[[#This Row],[Tot COMPL.SAL Eq]]</f>
        <v>0</v>
      </c>
      <c r="CU28" s="334" cm="1">
        <f t="array" ref="CU28">(SUMPRODUCT((RngTipo=$CU$7)*(rngAnualizable="Sí")*(rngNormalizable="Sí")*(DATOS_[[#This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28" s="334">
        <f>+DATOS_[[#This Row],[TOTAL SALARIO Eq]]+DATOS_[[#This Row],[Tot Extrasalarial Eq]]</f>
        <v>0</v>
      </c>
      <c r="CW28" s="335">
        <f>DATOS_[[#This Row],[S.BASE]]</f>
        <v>0</v>
      </c>
      <c r="CX28" s="335">
        <f>+SUM(DATOS_[[#This Row],[Conc.Sal.01]:[Conc.Sal.30]])</f>
        <v>0</v>
      </c>
      <c r="CY28" s="335">
        <f>+DATOS_[[#This Row],[SALARIO BASE Ef]]+DATOS_[[#This Row],[Tot COMPL.SAL Ef]]</f>
        <v>0</v>
      </c>
      <c r="CZ28" s="335">
        <f>+SUM(DATOS_[[#This Row],[C.Extra.01]:[C.Extra.11]])</f>
        <v>0</v>
      </c>
      <c r="DA28" s="335">
        <f>+DATOS_[[#This Row],[TOTAL SALARIO Ef]]+DATOS_[[#This Row],[Tot Extrasalarial Ef]]</f>
        <v>0</v>
      </c>
      <c r="DB28" s="336">
        <f>MIN(IF(DATOS_[[#This Row],[Fecha Fin Contrato]]="",$D$4,DATOS_[[#This Row],[Fecha Fin Contrato]]),$D$4)-MAX(DATOS_[[#This Row],[Fecha de Contratación]],$D$3)+1</f>
        <v>71</v>
      </c>
      <c r="DC28" s="337">
        <f>IF(COUNTIFS(DATOS_[id/cod],DATOS_[[#This Row],[id/cod]])&gt;1,DATOS_[[#This Row],[id/cod]],"")</f>
        <v>18</v>
      </c>
      <c r="DD28" s="337">
        <f>(Inicio!$G$10-DATOS_[[#This Row],[Fecha Nacimiento]])/365.25</f>
        <v>44.177960301163587</v>
      </c>
      <c r="DE28" s="337">
        <f>(Inicio!$G$10-DATOS_[[#This Row],[Fecha de Antigüedad]])/365.25</f>
        <v>22.132785763175907</v>
      </c>
      <c r="DF28" s="337" t="str">
        <f>+VLOOKUP(DATOS_[[#This Row],[Clave de Contrato]],TblTiposContrato13[],3,FALSE)</f>
        <v>Completa</v>
      </c>
      <c r="DG28" s="337" t="str">
        <f>+VLOOKUP(DATOS_[[#This Row],[Clave de Contrato]],TblTiposContrato13[],4,FALSE)</f>
        <v>Indefinido</v>
      </c>
      <c r="DH28" s="337" t="str">
        <f>VLOOKUP(DATOS_[[#This Row],[Edad]],CONTRATOS!TblRngEdad,2,TRUE)</f>
        <v>40 a 45</v>
      </c>
      <c r="DI28" s="337" t="str">
        <f>VLOOKUP(DATOS_[[#This Row],[Antigüedad]],TblRngAntg14[],2,TRUE)</f>
        <v>más de 15</v>
      </c>
    </row>
    <row r="29" spans="1:113" ht="12.9" customHeight="1" x14ac:dyDescent="0.25">
      <c r="A29" s="303" t="s">
        <v>396</v>
      </c>
      <c r="B29" s="265">
        <v>19</v>
      </c>
      <c r="C29" s="264" t="s">
        <v>337</v>
      </c>
      <c r="D29" s="243">
        <v>27489</v>
      </c>
      <c r="E29" s="243" t="s">
        <v>361</v>
      </c>
      <c r="F29" s="245"/>
      <c r="G29" s="245"/>
      <c r="H29" s="266">
        <v>37679</v>
      </c>
      <c r="I29" s="268"/>
      <c r="J29" s="260">
        <v>37679</v>
      </c>
      <c r="K29" s="267"/>
      <c r="L29" s="267"/>
      <c r="M29" s="244">
        <v>1</v>
      </c>
      <c r="N29" s="244"/>
      <c r="O29" s="244"/>
      <c r="P29" s="245">
        <v>189</v>
      </c>
      <c r="Q29" s="242" t="s">
        <v>339</v>
      </c>
      <c r="R29" s="242" t="s">
        <v>339</v>
      </c>
      <c r="S29" s="242" t="s">
        <v>340</v>
      </c>
      <c r="T29" s="242" t="s">
        <v>341</v>
      </c>
      <c r="U29" s="242" t="s">
        <v>342</v>
      </c>
      <c r="V29" s="242"/>
      <c r="W29" s="242" t="s">
        <v>182</v>
      </c>
      <c r="X29" s="246"/>
      <c r="Y29" s="271">
        <v>14000425011981</v>
      </c>
      <c r="Z29" s="247" t="s">
        <v>397</v>
      </c>
      <c r="AA29" s="279" t="s">
        <v>343</v>
      </c>
      <c r="AB29" s="248"/>
      <c r="AC29" s="245">
        <v>5</v>
      </c>
      <c r="AD29" s="261">
        <v>12879.24</v>
      </c>
      <c r="AE29" s="262">
        <v>2660</v>
      </c>
      <c r="AF29" s="262">
        <v>37.44</v>
      </c>
      <c r="AG29" s="262">
        <v>902.4</v>
      </c>
      <c r="AH29" s="262">
        <v>713.4</v>
      </c>
      <c r="AI29" s="262">
        <v>611.70000000000005</v>
      </c>
      <c r="AJ29" s="262">
        <v>720</v>
      </c>
      <c r="AK29" s="262">
        <v>543.24</v>
      </c>
      <c r="AL29" s="262">
        <v>843.12</v>
      </c>
      <c r="AM29" s="262">
        <v>1262.52</v>
      </c>
      <c r="AN29" s="262">
        <v>65</v>
      </c>
      <c r="AO29" s="262">
        <v>107.32</v>
      </c>
      <c r="AP29" s="262">
        <v>3603.65</v>
      </c>
      <c r="AQ29" s="262"/>
      <c r="AR29" s="262"/>
      <c r="AS29" s="262"/>
      <c r="AT29" s="262"/>
      <c r="AU29" s="262"/>
      <c r="AV29" s="262"/>
      <c r="AW29" s="262"/>
      <c r="AX29" s="262"/>
      <c r="AY29" s="262"/>
      <c r="AZ29" s="262"/>
      <c r="BA29" s="262"/>
      <c r="BB29" s="262"/>
      <c r="BC29" s="262"/>
      <c r="BD29" s="262"/>
      <c r="BE29" s="262"/>
      <c r="BF29" s="262"/>
      <c r="BG29" s="262"/>
      <c r="BH29" s="262"/>
      <c r="BI29" s="262"/>
      <c r="BJ29" s="262"/>
      <c r="BK29" s="262"/>
      <c r="BL29" s="262"/>
      <c r="BM29" s="262"/>
      <c r="BN29" s="262"/>
      <c r="BO29" s="262"/>
      <c r="BP29" s="262"/>
      <c r="BQ29" s="262"/>
      <c r="BR29" s="262"/>
      <c r="BS29" s="262"/>
      <c r="BT29" s="262"/>
      <c r="BU29" s="262"/>
      <c r="BV29" s="262"/>
      <c r="BW29" s="263"/>
      <c r="BX29" s="263"/>
      <c r="BY29" s="263"/>
      <c r="BZ29" s="263"/>
      <c r="CA29" s="263"/>
      <c r="CB29" s="263"/>
      <c r="CC29" s="263"/>
      <c r="CD29" s="263"/>
      <c r="CE29" s="263"/>
      <c r="CF29" s="263"/>
      <c r="CG29" s="263"/>
      <c r="CH29" s="249">
        <f>+MAX($D$3,DATOS_[[#This Row],[Fecha Inicio Sit. Contract.]])</f>
        <v>45292</v>
      </c>
      <c r="CI29" s="249">
        <f>+MIN($D$4,DATOS_[[#This Row],[Fecha Fin Sit. Contract.]])</f>
        <v>45657</v>
      </c>
      <c r="CJ29" s="250">
        <f>+DATOS_[[#This Row],[% de jornada]]*IF(DATOS_[[#This Row],[% jornada reducida]]="",1,DATOS_[[#This Row],[% jornada reducida]])</f>
        <v>1</v>
      </c>
      <c r="CK29" s="250">
        <f>+(DATOS_[[#This Row],[F.fin.cal]]-DATOS_[[#This Row],[F.ini.cal]]+1)/($D$4-$D$3+1)</f>
        <v>1</v>
      </c>
      <c r="CL29" s="250" t="str">
        <f>IF(OR(AND(DATOS_[[#This Row],[Fecha Fin Contrato]]&lt;$D$3,DATOS_[[#This Row],[Fecha Fin Contrato]]&lt;&gt;""),DATOS_[[#This Row],[Fecha de Contratación]]&gt;$D$4),"Fuera","Dentro")</f>
        <v>Dentro</v>
      </c>
      <c r="CM29" s="250" t="str" cm="1">
        <f t="array" ref="CM29">IF(MAX(IF(DATOS_[id/cod]=DATOS_[[#This Row],[id/cod]],DATOS_[F.fin.cal]))=DATOS_[[#This Row],[F.fin.cal]],"Sí","NO")</f>
        <v>Sí</v>
      </c>
      <c r="CN29" s="250" t="str">
        <f>IF(AND(DATOS_[[#This Row],[% normaliz]]&lt;&gt;1,DATOS_[[#This Row],[% anualiz]]=1),"Sí","NO")</f>
        <v>NO</v>
      </c>
      <c r="CO29" s="250" t="str">
        <f>IF(AND(DATOS_[[#This Row],[% normaliz]]=1,DATOS_[[#This Row],[% anualiz]]&lt;&gt;1),"Sí","NO")</f>
        <v>NO</v>
      </c>
      <c r="CP29" s="250" t="str">
        <f>IF(AND(DATOS_[[#This Row],[% normaliz]]&lt;&gt;1,DATOS_[[#This Row],[% anualiz]]&lt;&gt;1),"Sí","NO")</f>
        <v>NO</v>
      </c>
      <c r="CQ29" s="250" t="str">
        <f>+IF(DATOS_[[#This Row],[% normaliz]]*DATOS_[[#This Row],[% anualiz]]=1,"NO","Sí")</f>
        <v>NO</v>
      </c>
      <c r="CR29" s="251">
        <f>(DATOS_[[#This Row],[S.BASE]]*(1/DATOS_[[#This Row],[% normaliz]])*(1/DATOS_[[#This Row],[% anualiz]]))*IF(DATOS_[[#This Row],[Check Equiparado]]="Sí",1,0)</f>
        <v>12879.24</v>
      </c>
      <c r="CS29"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12069.789999999999</v>
      </c>
      <c r="CT29" s="251">
        <f>+DATOS_[[#This Row],[SALARIO BASE Eq]]+DATOS_[[#This Row],[Tot COMPL.SAL Eq]]</f>
        <v>24949.03</v>
      </c>
      <c r="CU29" s="251" cm="1">
        <f t="array" ref="CU29">(SUMPRODUCT((RngTipo=$CU$7)*(rngAnualizable="Sí")*(rngNormalizable="Sí")*(DATOS_[[#This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29" s="251">
        <f>+DATOS_[[#This Row],[TOTAL SALARIO Eq]]+DATOS_[[#This Row],[Tot Extrasalarial Eq]]</f>
        <v>24949.03</v>
      </c>
      <c r="CW29" s="252">
        <f>DATOS_[[#This Row],[S.BASE]]</f>
        <v>12879.24</v>
      </c>
      <c r="CX29" s="252">
        <f>+SUM(DATOS_[[#This Row],[Conc.Sal.01]:[Conc.Sal.30]])</f>
        <v>12069.789999999999</v>
      </c>
      <c r="CY29" s="252">
        <f>+DATOS_[[#This Row],[SALARIO BASE Ef]]+DATOS_[[#This Row],[Tot COMPL.SAL Ef]]</f>
        <v>24949.03</v>
      </c>
      <c r="CZ29" s="252">
        <f>+SUM(DATOS_[[#This Row],[C.Extra.01]:[C.Extra.11]])</f>
        <v>0</v>
      </c>
      <c r="DA29" s="252">
        <f>+DATOS_[[#This Row],[TOTAL SALARIO Ef]]+DATOS_[[#This Row],[Tot Extrasalarial Ef]]</f>
        <v>24949.03</v>
      </c>
      <c r="DB29" s="109">
        <f>MIN(IF(DATOS_[[#This Row],[Fecha Fin Contrato]]="",$D$4,DATOS_[[#This Row],[Fecha Fin Contrato]]),$D$4)-MAX(DATOS_[[#This Row],[Fecha de Contratación]],$D$3)+1</f>
        <v>366</v>
      </c>
      <c r="DC29" s="110" t="str">
        <f>IF(COUNTIFS(DATOS_[id/cod],DATOS_[[#This Row],[id/cod]])&gt;1,DATOS_[[#This Row],[id/cod]],"")</f>
        <v/>
      </c>
      <c r="DD29" s="108">
        <f>(Inicio!$G$10-DATOS_[[#This Row],[Fecha Nacimiento]])/365.25</f>
        <v>49.741273100616013</v>
      </c>
      <c r="DE29" s="108">
        <f>(Inicio!$G$10-DATOS_[[#This Row],[Fecha de Antigüedad]])/365.25</f>
        <v>21.842573579739906</v>
      </c>
      <c r="DF29" s="108" t="str">
        <f>+VLOOKUP(DATOS_[[#This Row],[Clave de Contrato]],TblTiposContrato13[],3,FALSE)</f>
        <v>Completa</v>
      </c>
      <c r="DG29" s="108" t="str">
        <f>+VLOOKUP(DATOS_[[#This Row],[Clave de Contrato]],TblTiposContrato13[],4,FALSE)</f>
        <v>Indefinido</v>
      </c>
      <c r="DH29" s="108" t="str">
        <f>VLOOKUP(DATOS_[[#This Row],[Edad]],CONTRATOS!TblRngEdad,2,TRUE)</f>
        <v>45 a 50</v>
      </c>
      <c r="DI29" s="108" t="str">
        <f>VLOOKUP(DATOS_[[#This Row],[Antigüedad]],TblRngAntg14[],2,TRUE)</f>
        <v>más de 15</v>
      </c>
    </row>
    <row r="30" spans="1:113" ht="12.9" customHeight="1" x14ac:dyDescent="0.25">
      <c r="A30" s="303" t="s">
        <v>398</v>
      </c>
      <c r="B30" s="265">
        <v>20</v>
      </c>
      <c r="C30" s="264" t="s">
        <v>356</v>
      </c>
      <c r="D30" s="243">
        <v>28802</v>
      </c>
      <c r="E30" s="243" t="s">
        <v>351</v>
      </c>
      <c r="F30" s="245"/>
      <c r="G30" s="245"/>
      <c r="H30" s="266">
        <v>37776</v>
      </c>
      <c r="I30" s="268"/>
      <c r="J30" s="260">
        <v>37776</v>
      </c>
      <c r="K30" s="267"/>
      <c r="L30" s="267"/>
      <c r="M30" s="244">
        <v>1</v>
      </c>
      <c r="N30" s="244"/>
      <c r="O30" s="244"/>
      <c r="P30" s="245"/>
      <c r="Q30" s="242" t="s">
        <v>375</v>
      </c>
      <c r="R30" s="242" t="s">
        <v>375</v>
      </c>
      <c r="S30" s="242" t="s">
        <v>399</v>
      </c>
      <c r="T30" s="242" t="s">
        <v>341</v>
      </c>
      <c r="U30" s="242" t="s">
        <v>342</v>
      </c>
      <c r="V30" s="242"/>
      <c r="W30" s="242"/>
      <c r="X30" s="246"/>
      <c r="Y30" s="271">
        <v>14000425011981</v>
      </c>
      <c r="Z30" s="247"/>
      <c r="AA30" s="279" t="s">
        <v>359</v>
      </c>
      <c r="AB30" s="248"/>
      <c r="AC30" s="245">
        <v>7</v>
      </c>
      <c r="AD30" s="261"/>
      <c r="AE30" s="262"/>
      <c r="AF30" s="262"/>
      <c r="AG30" s="262"/>
      <c r="AH30" s="262"/>
      <c r="AI30" s="262"/>
      <c r="AJ30" s="262"/>
      <c r="AK30" s="262"/>
      <c r="AL30" s="262"/>
      <c r="AM30" s="262"/>
      <c r="AN30" s="262"/>
      <c r="AO30" s="262"/>
      <c r="AP30" s="262"/>
      <c r="AQ30" s="262"/>
      <c r="AR30" s="262"/>
      <c r="AS30" s="262"/>
      <c r="AT30" s="262"/>
      <c r="AU30" s="262"/>
      <c r="AV30" s="262"/>
      <c r="AW30" s="262"/>
      <c r="AX30" s="262"/>
      <c r="AY30" s="262"/>
      <c r="AZ30" s="262"/>
      <c r="BA30" s="262"/>
      <c r="BB30" s="262"/>
      <c r="BC30" s="262"/>
      <c r="BD30" s="262"/>
      <c r="BE30" s="262"/>
      <c r="BF30" s="262"/>
      <c r="BG30" s="262"/>
      <c r="BH30" s="262"/>
      <c r="BI30" s="262"/>
      <c r="BJ30" s="262"/>
      <c r="BK30" s="262"/>
      <c r="BL30" s="262"/>
      <c r="BM30" s="262"/>
      <c r="BN30" s="262"/>
      <c r="BO30" s="262"/>
      <c r="BP30" s="262"/>
      <c r="BQ30" s="262"/>
      <c r="BR30" s="262"/>
      <c r="BS30" s="262"/>
      <c r="BT30" s="262"/>
      <c r="BU30" s="262"/>
      <c r="BV30" s="262"/>
      <c r="BW30" s="263"/>
      <c r="BX30" s="263"/>
      <c r="BY30" s="263"/>
      <c r="BZ30" s="263"/>
      <c r="CA30" s="263"/>
      <c r="CB30" s="263"/>
      <c r="CC30" s="263"/>
      <c r="CD30" s="263"/>
      <c r="CE30" s="263"/>
      <c r="CF30" s="263"/>
      <c r="CG30" s="263"/>
      <c r="CH30" s="249">
        <f>+MAX($D$3,DATOS_[[#This Row],[Fecha Inicio Sit. Contract.]])</f>
        <v>45292</v>
      </c>
      <c r="CI30" s="249">
        <f>+MIN($D$4,DATOS_[[#This Row],[Fecha Fin Sit. Contract.]])</f>
        <v>45657</v>
      </c>
      <c r="CJ30" s="250">
        <f>+DATOS_[[#This Row],[% de jornada]]*IF(DATOS_[[#This Row],[% jornada reducida]]="",1,DATOS_[[#This Row],[% jornada reducida]])</f>
        <v>1</v>
      </c>
      <c r="CK30" s="250">
        <f>+(DATOS_[[#This Row],[F.fin.cal]]-DATOS_[[#This Row],[F.ini.cal]]+1)/($D$4-$D$3+1)</f>
        <v>1</v>
      </c>
      <c r="CL30" s="250" t="str">
        <f>IF(OR(AND(DATOS_[[#This Row],[Fecha Fin Contrato]]&lt;$D$3,DATOS_[[#This Row],[Fecha Fin Contrato]]&lt;&gt;""),DATOS_[[#This Row],[Fecha de Contratación]]&gt;$D$4),"Fuera","Dentro")</f>
        <v>Dentro</v>
      </c>
      <c r="CM30" s="250" t="str" cm="1">
        <f t="array" ref="CM30">IF(MAX(IF(DATOS_[id/cod]=DATOS_[[#This Row],[id/cod]],DATOS_[F.fin.cal]))=DATOS_[[#This Row],[F.fin.cal]],"Sí","NO")</f>
        <v>Sí</v>
      </c>
      <c r="CN30" s="250" t="str">
        <f>IF(AND(DATOS_[[#This Row],[% normaliz]]&lt;&gt;1,DATOS_[[#This Row],[% anualiz]]=1),"Sí","NO")</f>
        <v>NO</v>
      </c>
      <c r="CO30" s="250" t="str">
        <f>IF(AND(DATOS_[[#This Row],[% normaliz]]=1,DATOS_[[#This Row],[% anualiz]]&lt;&gt;1),"Sí","NO")</f>
        <v>NO</v>
      </c>
      <c r="CP30" s="250" t="str">
        <f>IF(AND(DATOS_[[#This Row],[% normaliz]]&lt;&gt;1,DATOS_[[#This Row],[% anualiz]]&lt;&gt;1),"Sí","NO")</f>
        <v>NO</v>
      </c>
      <c r="CQ30" s="250" t="str">
        <f>+IF(DATOS_[[#This Row],[% normaliz]]*DATOS_[[#This Row],[% anualiz]]=1,"NO","Sí")</f>
        <v>NO</v>
      </c>
      <c r="CR30" s="251">
        <f>(DATOS_[[#This Row],[S.BASE]]*(1/DATOS_[[#This Row],[% normaliz]])*(1/DATOS_[[#This Row],[% anualiz]]))*IF(DATOS_[[#This Row],[Check Equiparado]]="Sí",1,0)</f>
        <v>0</v>
      </c>
      <c r="CS30"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30" s="251">
        <f>+DATOS_[[#This Row],[SALARIO BASE Eq]]+DATOS_[[#This Row],[Tot COMPL.SAL Eq]]</f>
        <v>0</v>
      </c>
      <c r="CU30" s="251" cm="1">
        <f t="array" ref="CU30">(SUMPRODUCT((RngTipo=$CU$7)*(rngAnualizable="Sí")*(rngNormalizable="Sí")*(DATOS_[[#This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30" s="251">
        <f>+DATOS_[[#This Row],[TOTAL SALARIO Eq]]+DATOS_[[#This Row],[Tot Extrasalarial Eq]]</f>
        <v>0</v>
      </c>
      <c r="CW30" s="252">
        <f>DATOS_[[#This Row],[S.BASE]]</f>
        <v>0</v>
      </c>
      <c r="CX30" s="252">
        <f>+SUM(DATOS_[[#This Row],[Conc.Sal.01]:[Conc.Sal.30]])</f>
        <v>0</v>
      </c>
      <c r="CY30" s="252">
        <f>+DATOS_[[#This Row],[SALARIO BASE Ef]]+DATOS_[[#This Row],[Tot COMPL.SAL Ef]]</f>
        <v>0</v>
      </c>
      <c r="CZ30" s="252">
        <f>+SUM(DATOS_[[#This Row],[C.Extra.01]:[C.Extra.11]])</f>
        <v>0</v>
      </c>
      <c r="DA30" s="252">
        <f>+DATOS_[[#This Row],[TOTAL SALARIO Ef]]+DATOS_[[#This Row],[Tot Extrasalarial Ef]]</f>
        <v>0</v>
      </c>
      <c r="DB30" s="109">
        <f>MIN(IF(DATOS_[[#This Row],[Fecha Fin Contrato]]="",$D$4,DATOS_[[#This Row],[Fecha Fin Contrato]]),$D$4)-MAX(DATOS_[[#This Row],[Fecha de Contratación]],$D$3)+1</f>
        <v>366</v>
      </c>
      <c r="DC30" s="110" t="str">
        <f>IF(COUNTIFS(DATOS_[id/cod],DATOS_[[#This Row],[id/cod]])&gt;1,DATOS_[[#This Row],[id/cod]],"")</f>
        <v/>
      </c>
      <c r="DD30" s="108">
        <f>(Inicio!$G$10-DATOS_[[#This Row],[Fecha Nacimiento]])/365.25</f>
        <v>46.14647501711157</v>
      </c>
      <c r="DE30" s="108">
        <f>(Inicio!$G$10-DATOS_[[#This Row],[Fecha de Antigüedad]])/365.25</f>
        <v>21.577002053388089</v>
      </c>
      <c r="DF30" s="108" t="e">
        <f>+VLOOKUP(DATOS_[[#This Row],[Clave de Contrato]],TblTiposContrato13[],3,FALSE)</f>
        <v>#N/A</v>
      </c>
      <c r="DG30" s="108" t="e">
        <f>+VLOOKUP(DATOS_[[#This Row],[Clave de Contrato]],TblTiposContrato13[],4,FALSE)</f>
        <v>#N/A</v>
      </c>
      <c r="DH30" s="108" t="str">
        <f>VLOOKUP(DATOS_[[#This Row],[Edad]],CONTRATOS!TblRngEdad,2,TRUE)</f>
        <v>45 a 50</v>
      </c>
      <c r="DI30" s="108" t="str">
        <f>VLOOKUP(DATOS_[[#This Row],[Antigüedad]],TblRngAntg14[],2,TRUE)</f>
        <v>más de 15</v>
      </c>
    </row>
    <row r="31" spans="1:113" ht="12.9" customHeight="1" x14ac:dyDescent="0.25">
      <c r="A31" s="303" t="s">
        <v>400</v>
      </c>
      <c r="B31" s="265">
        <v>21</v>
      </c>
      <c r="C31" s="264" t="s">
        <v>356</v>
      </c>
      <c r="D31" s="243">
        <v>28440</v>
      </c>
      <c r="E31" s="243" t="s">
        <v>373</v>
      </c>
      <c r="F31" s="245"/>
      <c r="G31" s="245"/>
      <c r="H31" s="266">
        <v>37823</v>
      </c>
      <c r="I31" s="268"/>
      <c r="J31" s="260">
        <v>37823</v>
      </c>
      <c r="K31" s="267"/>
      <c r="L31" s="267"/>
      <c r="M31" s="244">
        <v>1</v>
      </c>
      <c r="N31" s="244"/>
      <c r="O31" s="244"/>
      <c r="P31" s="245"/>
      <c r="Q31" s="242" t="s">
        <v>391</v>
      </c>
      <c r="R31" s="242" t="s">
        <v>401</v>
      </c>
      <c r="S31" s="242" t="s">
        <v>391</v>
      </c>
      <c r="T31" s="242" t="s">
        <v>341</v>
      </c>
      <c r="U31" s="242" t="s">
        <v>342</v>
      </c>
      <c r="V31" s="242"/>
      <c r="W31" s="242"/>
      <c r="X31" s="246"/>
      <c r="Y31" s="271">
        <v>14000425011981</v>
      </c>
      <c r="Z31" s="247"/>
      <c r="AA31" s="279" t="s">
        <v>343</v>
      </c>
      <c r="AB31" s="248"/>
      <c r="AC31" s="245">
        <v>7</v>
      </c>
      <c r="AD31" s="261"/>
      <c r="AE31" s="262"/>
      <c r="AF31" s="262"/>
      <c r="AG31" s="262"/>
      <c r="AH31" s="262"/>
      <c r="AI31" s="262"/>
      <c r="AJ31" s="262"/>
      <c r="AK31" s="262"/>
      <c r="AL31" s="262"/>
      <c r="AM31" s="262"/>
      <c r="AN31" s="262"/>
      <c r="AO31" s="262"/>
      <c r="AP31" s="262"/>
      <c r="AQ31" s="262"/>
      <c r="AR31" s="262"/>
      <c r="AS31" s="262"/>
      <c r="AT31" s="262"/>
      <c r="AU31" s="262"/>
      <c r="AV31" s="262"/>
      <c r="AW31" s="262"/>
      <c r="AX31" s="262"/>
      <c r="AY31" s="262"/>
      <c r="AZ31" s="262"/>
      <c r="BA31" s="262"/>
      <c r="BB31" s="262"/>
      <c r="BC31" s="262"/>
      <c r="BD31" s="262"/>
      <c r="BE31" s="262"/>
      <c r="BF31" s="262"/>
      <c r="BG31" s="262"/>
      <c r="BH31" s="262"/>
      <c r="BI31" s="262"/>
      <c r="BJ31" s="262"/>
      <c r="BK31" s="262"/>
      <c r="BL31" s="262"/>
      <c r="BM31" s="262"/>
      <c r="BN31" s="262"/>
      <c r="BO31" s="262"/>
      <c r="BP31" s="262"/>
      <c r="BQ31" s="262"/>
      <c r="BR31" s="262"/>
      <c r="BS31" s="262"/>
      <c r="BT31" s="262"/>
      <c r="BU31" s="262"/>
      <c r="BV31" s="262"/>
      <c r="BW31" s="263"/>
      <c r="BX31" s="263"/>
      <c r="BY31" s="263"/>
      <c r="BZ31" s="263"/>
      <c r="CA31" s="263"/>
      <c r="CB31" s="263"/>
      <c r="CC31" s="263"/>
      <c r="CD31" s="263"/>
      <c r="CE31" s="263"/>
      <c r="CF31" s="263"/>
      <c r="CG31" s="263"/>
      <c r="CH31" s="249">
        <f>+MAX($D$3,DATOS_[[#This Row],[Fecha Inicio Sit. Contract.]])</f>
        <v>45292</v>
      </c>
      <c r="CI31" s="249">
        <f>+MIN($D$4,DATOS_[[#This Row],[Fecha Fin Sit. Contract.]])</f>
        <v>45657</v>
      </c>
      <c r="CJ31" s="250">
        <f>+DATOS_[[#This Row],[% de jornada]]*IF(DATOS_[[#This Row],[% jornada reducida]]="",1,DATOS_[[#This Row],[% jornada reducida]])</f>
        <v>1</v>
      </c>
      <c r="CK31" s="250">
        <f>+(DATOS_[[#This Row],[F.fin.cal]]-DATOS_[[#This Row],[F.ini.cal]]+1)/($D$4-$D$3+1)</f>
        <v>1</v>
      </c>
      <c r="CL31" s="250" t="str">
        <f>IF(OR(AND(DATOS_[[#This Row],[Fecha Fin Contrato]]&lt;$D$3,DATOS_[[#This Row],[Fecha Fin Contrato]]&lt;&gt;""),DATOS_[[#This Row],[Fecha de Contratación]]&gt;$D$4),"Fuera","Dentro")</f>
        <v>Dentro</v>
      </c>
      <c r="CM31" s="250" t="str" cm="1">
        <f t="array" ref="CM31">IF(MAX(IF(DATOS_[id/cod]=DATOS_[[#This Row],[id/cod]],DATOS_[F.fin.cal]))=DATOS_[[#This Row],[F.fin.cal]],"Sí","NO")</f>
        <v>Sí</v>
      </c>
      <c r="CN31" s="250" t="str">
        <f>IF(AND(DATOS_[[#This Row],[% normaliz]]&lt;&gt;1,DATOS_[[#This Row],[% anualiz]]=1),"Sí","NO")</f>
        <v>NO</v>
      </c>
      <c r="CO31" s="250" t="str">
        <f>IF(AND(DATOS_[[#This Row],[% normaliz]]=1,DATOS_[[#This Row],[% anualiz]]&lt;&gt;1),"Sí","NO")</f>
        <v>NO</v>
      </c>
      <c r="CP31" s="250" t="str">
        <f>IF(AND(DATOS_[[#This Row],[% normaliz]]&lt;&gt;1,DATOS_[[#This Row],[% anualiz]]&lt;&gt;1),"Sí","NO")</f>
        <v>NO</v>
      </c>
      <c r="CQ31" s="250" t="str">
        <f>+IF(DATOS_[[#This Row],[% normaliz]]*DATOS_[[#This Row],[% anualiz]]=1,"NO","Sí")</f>
        <v>NO</v>
      </c>
      <c r="CR31" s="251">
        <f>(DATOS_[[#This Row],[S.BASE]]*(1/DATOS_[[#This Row],[% normaliz]])*(1/DATOS_[[#This Row],[% anualiz]]))*IF(DATOS_[[#This Row],[Check Equiparado]]="Sí",1,0)</f>
        <v>0</v>
      </c>
      <c r="CS31"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31" s="251">
        <f>+DATOS_[[#This Row],[SALARIO BASE Eq]]+DATOS_[[#This Row],[Tot COMPL.SAL Eq]]</f>
        <v>0</v>
      </c>
      <c r="CU31" s="251" cm="1">
        <f t="array" ref="CU31">(SUMPRODUCT((RngTipo=$CU$7)*(rngAnualizable="Sí")*(rngNormalizable="Sí")*(DATOS_[[#This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31" s="251">
        <f>+DATOS_[[#This Row],[TOTAL SALARIO Eq]]+DATOS_[[#This Row],[Tot Extrasalarial Eq]]</f>
        <v>0</v>
      </c>
      <c r="CW31" s="252">
        <f>DATOS_[[#This Row],[S.BASE]]</f>
        <v>0</v>
      </c>
      <c r="CX31" s="252">
        <f>+SUM(DATOS_[[#This Row],[Conc.Sal.01]:[Conc.Sal.30]])</f>
        <v>0</v>
      </c>
      <c r="CY31" s="252">
        <f>+DATOS_[[#This Row],[SALARIO BASE Ef]]+DATOS_[[#This Row],[Tot COMPL.SAL Ef]]</f>
        <v>0</v>
      </c>
      <c r="CZ31" s="252">
        <f>+SUM(DATOS_[[#This Row],[C.Extra.01]:[C.Extra.11]])</f>
        <v>0</v>
      </c>
      <c r="DA31" s="252">
        <f>+DATOS_[[#This Row],[TOTAL SALARIO Ef]]+DATOS_[[#This Row],[Tot Extrasalarial Ef]]</f>
        <v>0</v>
      </c>
      <c r="DB31" s="109">
        <f>MIN(IF(DATOS_[[#This Row],[Fecha Fin Contrato]]="",$D$4,DATOS_[[#This Row],[Fecha Fin Contrato]]),$D$4)-MAX(DATOS_[[#This Row],[Fecha de Contratación]],$D$3)+1</f>
        <v>366</v>
      </c>
      <c r="DC31" s="110" t="str">
        <f>IF(COUNTIFS(DATOS_[id/cod],DATOS_[[#This Row],[id/cod]])&gt;1,DATOS_[[#This Row],[id/cod]],"")</f>
        <v/>
      </c>
      <c r="DD31" s="108">
        <f>(Inicio!$G$10-DATOS_[[#This Row],[Fecha Nacimiento]])/365.25</f>
        <v>47.137577002053391</v>
      </c>
      <c r="DE31" s="108">
        <f>(Inicio!$G$10-DATOS_[[#This Row],[Fecha de Antigüedad]])/365.25</f>
        <v>21.448323066392881</v>
      </c>
      <c r="DF31" s="108" t="e">
        <f>+VLOOKUP(DATOS_[[#This Row],[Clave de Contrato]],TblTiposContrato13[],3,FALSE)</f>
        <v>#N/A</v>
      </c>
      <c r="DG31" s="108" t="e">
        <f>+VLOOKUP(DATOS_[[#This Row],[Clave de Contrato]],TblTiposContrato13[],4,FALSE)</f>
        <v>#N/A</v>
      </c>
      <c r="DH31" s="108" t="str">
        <f>VLOOKUP(DATOS_[[#This Row],[Edad]],CONTRATOS!TblRngEdad,2,TRUE)</f>
        <v>45 a 50</v>
      </c>
      <c r="DI31" s="108" t="str">
        <f>VLOOKUP(DATOS_[[#This Row],[Antigüedad]],TblRngAntg14[],2,TRUE)</f>
        <v>más de 15</v>
      </c>
    </row>
    <row r="32" spans="1:113" ht="12.9" customHeight="1" x14ac:dyDescent="0.25">
      <c r="A32" s="303" t="s">
        <v>402</v>
      </c>
      <c r="B32" s="265">
        <v>22</v>
      </c>
      <c r="C32" s="264" t="s">
        <v>356</v>
      </c>
      <c r="D32" s="243">
        <v>28836</v>
      </c>
      <c r="E32" s="243" t="s">
        <v>338</v>
      </c>
      <c r="F32" s="245"/>
      <c r="G32" s="245"/>
      <c r="H32" s="266">
        <v>37891</v>
      </c>
      <c r="I32" s="268"/>
      <c r="J32" s="260">
        <v>37891</v>
      </c>
      <c r="K32" s="267"/>
      <c r="L32" s="267"/>
      <c r="M32" s="244">
        <v>1</v>
      </c>
      <c r="N32" s="244"/>
      <c r="O32" s="244"/>
      <c r="P32" s="245">
        <v>189</v>
      </c>
      <c r="Q32" s="242" t="s">
        <v>403</v>
      </c>
      <c r="R32" s="242" t="s">
        <v>403</v>
      </c>
      <c r="S32" s="242" t="s">
        <v>404</v>
      </c>
      <c r="T32" s="242" t="s">
        <v>341</v>
      </c>
      <c r="U32" s="242" t="s">
        <v>342</v>
      </c>
      <c r="V32" s="242"/>
      <c r="W32" s="242" t="s">
        <v>188</v>
      </c>
      <c r="X32" s="246"/>
      <c r="Y32" s="271">
        <v>14000425011981</v>
      </c>
      <c r="Z32" s="247" t="s">
        <v>405</v>
      </c>
      <c r="AA32" s="279" t="s">
        <v>343</v>
      </c>
      <c r="AB32" s="248"/>
      <c r="AC32" s="245">
        <v>7</v>
      </c>
      <c r="AD32" s="261">
        <v>11549.76</v>
      </c>
      <c r="AE32" s="262">
        <v>160</v>
      </c>
      <c r="AF32" s="262">
        <v>37.44</v>
      </c>
      <c r="AG32" s="262">
        <v>1205.4000000000001</v>
      </c>
      <c r="AH32" s="262">
        <v>1673.4</v>
      </c>
      <c r="AI32" s="262">
        <v>215.7</v>
      </c>
      <c r="AJ32" s="262">
        <v>1925.36</v>
      </c>
      <c r="AK32" s="262">
        <v>131.5</v>
      </c>
      <c r="AL32" s="262">
        <v>348.84</v>
      </c>
      <c r="AM32" s="262">
        <v>231.22</v>
      </c>
      <c r="AN32" s="262">
        <v>818.1</v>
      </c>
      <c r="AO32" s="262">
        <v>843.12</v>
      </c>
      <c r="AP32" s="262">
        <v>1132.2</v>
      </c>
      <c r="AQ32" s="262">
        <v>0</v>
      </c>
      <c r="AR32" s="262">
        <v>0</v>
      </c>
      <c r="AS32" s="262">
        <v>0</v>
      </c>
      <c r="AT32" s="262">
        <v>3607.16</v>
      </c>
      <c r="AU32" s="262">
        <v>0</v>
      </c>
      <c r="AV32" s="262">
        <v>0</v>
      </c>
      <c r="AW32" s="262">
        <v>0</v>
      </c>
      <c r="AX32" s="262">
        <v>300</v>
      </c>
      <c r="AY32" s="262">
        <v>0</v>
      </c>
      <c r="AZ32" s="262">
        <v>0</v>
      </c>
      <c r="BA32" s="262">
        <v>65</v>
      </c>
      <c r="BB32" s="262"/>
      <c r="BC32" s="262"/>
      <c r="BD32" s="262"/>
      <c r="BE32" s="262"/>
      <c r="BF32" s="262"/>
      <c r="BG32" s="262"/>
      <c r="BH32" s="262"/>
      <c r="BI32" s="262"/>
      <c r="BJ32" s="262"/>
      <c r="BK32" s="262"/>
      <c r="BL32" s="262"/>
      <c r="BM32" s="262"/>
      <c r="BN32" s="262"/>
      <c r="BO32" s="262"/>
      <c r="BP32" s="262"/>
      <c r="BQ32" s="262"/>
      <c r="BR32" s="262"/>
      <c r="BS32" s="262"/>
      <c r="BT32" s="262"/>
      <c r="BU32" s="262"/>
      <c r="BV32" s="262"/>
      <c r="BW32" s="263"/>
      <c r="BX32" s="263"/>
      <c r="BY32" s="263"/>
      <c r="BZ32" s="263"/>
      <c r="CA32" s="263"/>
      <c r="CB32" s="263"/>
      <c r="CC32" s="263"/>
      <c r="CD32" s="263"/>
      <c r="CE32" s="263"/>
      <c r="CF32" s="263"/>
      <c r="CG32" s="263"/>
      <c r="CH32" s="249">
        <f>+MAX($D$3,DATOS_[[#This Row],[Fecha Inicio Sit. Contract.]])</f>
        <v>45292</v>
      </c>
      <c r="CI32" s="249">
        <f>+MIN($D$4,DATOS_[[#This Row],[Fecha Fin Sit. Contract.]])</f>
        <v>45657</v>
      </c>
      <c r="CJ32" s="250">
        <f>+DATOS_[[#This Row],[% de jornada]]*IF(DATOS_[[#This Row],[% jornada reducida]]="",1,DATOS_[[#This Row],[% jornada reducida]])</f>
        <v>1</v>
      </c>
      <c r="CK32" s="250">
        <f>+(DATOS_[[#This Row],[F.fin.cal]]-DATOS_[[#This Row],[F.ini.cal]]+1)/($D$4-$D$3+1)</f>
        <v>1</v>
      </c>
      <c r="CL32" s="250" t="str">
        <f>IF(OR(AND(DATOS_[[#This Row],[Fecha Fin Contrato]]&lt;$D$3,DATOS_[[#This Row],[Fecha Fin Contrato]]&lt;&gt;""),DATOS_[[#This Row],[Fecha de Contratación]]&gt;$D$4),"Fuera","Dentro")</f>
        <v>Dentro</v>
      </c>
      <c r="CM32" s="250" t="str" cm="1">
        <f t="array" ref="CM32">IF(MAX(IF(DATOS_[id/cod]=DATOS_[[#This Row],[id/cod]],DATOS_[F.fin.cal]))=DATOS_[[#This Row],[F.fin.cal]],"Sí","NO")</f>
        <v>Sí</v>
      </c>
      <c r="CN32" s="250" t="str">
        <f>IF(AND(DATOS_[[#This Row],[% normaliz]]&lt;&gt;1,DATOS_[[#This Row],[% anualiz]]=1),"Sí","NO")</f>
        <v>NO</v>
      </c>
      <c r="CO32" s="250" t="str">
        <f>IF(AND(DATOS_[[#This Row],[% normaliz]]=1,DATOS_[[#This Row],[% anualiz]]&lt;&gt;1),"Sí","NO")</f>
        <v>NO</v>
      </c>
      <c r="CP32" s="250" t="str">
        <f>IF(AND(DATOS_[[#This Row],[% normaliz]]&lt;&gt;1,DATOS_[[#This Row],[% anualiz]]&lt;&gt;1),"Sí","NO")</f>
        <v>NO</v>
      </c>
      <c r="CQ32" s="250" t="str">
        <f>+IF(DATOS_[[#This Row],[% normaliz]]*DATOS_[[#This Row],[% anualiz]]=1,"NO","Sí")</f>
        <v>NO</v>
      </c>
      <c r="CR32" s="251">
        <f>(DATOS_[[#This Row],[S.BASE]]*(1/DATOS_[[#This Row],[% normaliz]])*(1/DATOS_[[#This Row],[% anualiz]]))*IF(DATOS_[[#This Row],[Check Equiparado]]="Sí",1,0)</f>
        <v>11549.76</v>
      </c>
      <c r="CS32"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9022.2800000000007</v>
      </c>
      <c r="CT32" s="251">
        <f>+DATOS_[[#This Row],[SALARIO BASE Eq]]+DATOS_[[#This Row],[Tot COMPL.SAL Eq]]</f>
        <v>20572.04</v>
      </c>
      <c r="CU32" s="251" cm="1">
        <f t="array" ref="CU32">(SUMPRODUCT((RngTipo=$CU$7)*(rngAnualizable="Sí")*(rngNormalizable="Sí")*(DATOS_[[#This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3607.16</v>
      </c>
      <c r="CV32" s="251">
        <f>+DATOS_[[#This Row],[TOTAL SALARIO Eq]]+DATOS_[[#This Row],[Tot Extrasalarial Eq]]</f>
        <v>24179.200000000001</v>
      </c>
      <c r="CW32" s="252">
        <f>DATOS_[[#This Row],[S.BASE]]</f>
        <v>11549.76</v>
      </c>
      <c r="CX32" s="252">
        <f>+SUM(DATOS_[[#This Row],[Conc.Sal.01]:[Conc.Sal.30]])</f>
        <v>12694.44</v>
      </c>
      <c r="CY32" s="252">
        <f>+DATOS_[[#This Row],[SALARIO BASE Ef]]+DATOS_[[#This Row],[Tot COMPL.SAL Ef]]</f>
        <v>24244.2</v>
      </c>
      <c r="CZ32" s="252">
        <f>+SUM(DATOS_[[#This Row],[C.Extra.01]:[C.Extra.11]])</f>
        <v>0</v>
      </c>
      <c r="DA32" s="252">
        <f>+DATOS_[[#This Row],[TOTAL SALARIO Ef]]+DATOS_[[#This Row],[Tot Extrasalarial Ef]]</f>
        <v>24244.2</v>
      </c>
      <c r="DB32" s="109">
        <f>MIN(IF(DATOS_[[#This Row],[Fecha Fin Contrato]]="",$D$4,DATOS_[[#This Row],[Fecha Fin Contrato]]),$D$4)-MAX(DATOS_[[#This Row],[Fecha de Contratación]],$D$3)+1</f>
        <v>366</v>
      </c>
      <c r="DC32" s="110" t="str">
        <f>IF(COUNTIFS(DATOS_[id/cod],DATOS_[[#This Row],[id/cod]])&gt;1,DATOS_[[#This Row],[id/cod]],"")</f>
        <v/>
      </c>
      <c r="DD32" s="108">
        <f>(Inicio!$G$10-DATOS_[[#This Row],[Fecha Nacimiento]])/365.25</f>
        <v>46.053388090349074</v>
      </c>
      <c r="DE32" s="108">
        <f>(Inicio!$G$10-DATOS_[[#This Row],[Fecha de Antigüedad]])/365.25</f>
        <v>21.2621492128679</v>
      </c>
      <c r="DF32" s="108" t="str">
        <f>+VLOOKUP(DATOS_[[#This Row],[Clave de Contrato]],TblTiposContrato13[],3,FALSE)</f>
        <v>Completa</v>
      </c>
      <c r="DG32" s="108" t="str">
        <f>+VLOOKUP(DATOS_[[#This Row],[Clave de Contrato]],TblTiposContrato13[],4,FALSE)</f>
        <v>Indefinido</v>
      </c>
      <c r="DH32" s="108" t="str">
        <f>VLOOKUP(DATOS_[[#This Row],[Edad]],CONTRATOS!TblRngEdad,2,TRUE)</f>
        <v>45 a 50</v>
      </c>
      <c r="DI32" s="108" t="str">
        <f>VLOOKUP(DATOS_[[#This Row],[Antigüedad]],TblRngAntg14[],2,TRUE)</f>
        <v>más de 15</v>
      </c>
    </row>
    <row r="33" spans="1:113" ht="12.9" customHeight="1" x14ac:dyDescent="0.25">
      <c r="A33" s="303" t="s">
        <v>406</v>
      </c>
      <c r="B33" s="265">
        <v>23</v>
      </c>
      <c r="C33" s="264" t="s">
        <v>356</v>
      </c>
      <c r="D33" s="243">
        <v>27060</v>
      </c>
      <c r="E33" s="243" t="s">
        <v>338</v>
      </c>
      <c r="F33" s="245"/>
      <c r="G33" s="245"/>
      <c r="H33" s="266">
        <v>38021</v>
      </c>
      <c r="I33" s="268"/>
      <c r="J33" s="260">
        <v>38021</v>
      </c>
      <c r="K33" s="267"/>
      <c r="L33" s="267"/>
      <c r="M33" s="244">
        <v>1</v>
      </c>
      <c r="N33" s="244"/>
      <c r="O33" s="244"/>
      <c r="P33" s="245">
        <v>100</v>
      </c>
      <c r="Q33" s="242" t="s">
        <v>403</v>
      </c>
      <c r="R33" s="242" t="s">
        <v>403</v>
      </c>
      <c r="S33" s="242" t="s">
        <v>404</v>
      </c>
      <c r="T33" s="242" t="s">
        <v>341</v>
      </c>
      <c r="U33" s="242" t="s">
        <v>342</v>
      </c>
      <c r="V33" s="242"/>
      <c r="W33" s="242" t="s">
        <v>188</v>
      </c>
      <c r="X33" s="246"/>
      <c r="Y33" s="271">
        <v>14000425011981</v>
      </c>
      <c r="Z33" s="247" t="s">
        <v>407</v>
      </c>
      <c r="AA33" s="279" t="s">
        <v>343</v>
      </c>
      <c r="AB33" s="248"/>
      <c r="AC33" s="245">
        <v>7</v>
      </c>
      <c r="AD33" s="261">
        <v>12771.91</v>
      </c>
      <c r="AE33" s="262">
        <v>719</v>
      </c>
      <c r="AF33" s="262">
        <v>37.15</v>
      </c>
      <c r="AG33" s="262">
        <v>894.88</v>
      </c>
      <c r="AH33" s="262">
        <v>1564.26</v>
      </c>
      <c r="AI33" s="262">
        <v>267.60000000000002</v>
      </c>
      <c r="AJ33" s="262">
        <v>1624.09</v>
      </c>
      <c r="AK33" s="262">
        <v>720</v>
      </c>
      <c r="AL33" s="262">
        <v>129.18</v>
      </c>
      <c r="AM33" s="262">
        <v>836.09</v>
      </c>
      <c r="AN33" s="262">
        <v>1252</v>
      </c>
      <c r="AO33" s="262">
        <v>0</v>
      </c>
      <c r="AP33" s="262">
        <v>0</v>
      </c>
      <c r="AQ33" s="262">
        <v>450</v>
      </c>
      <c r="AR33" s="262">
        <v>612</v>
      </c>
      <c r="AS33" s="262">
        <v>612</v>
      </c>
      <c r="AT33" s="262">
        <v>0</v>
      </c>
      <c r="AU33" s="262">
        <v>0</v>
      </c>
      <c r="AV33" s="262">
        <v>0</v>
      </c>
      <c r="AW33" s="262">
        <v>65</v>
      </c>
      <c r="AX33" s="262">
        <v>107.32</v>
      </c>
      <c r="AY33" s="262">
        <v>3813.1</v>
      </c>
      <c r="AZ33" s="262"/>
      <c r="BA33" s="262"/>
      <c r="BB33" s="262"/>
      <c r="BC33" s="262"/>
      <c r="BD33" s="262"/>
      <c r="BE33" s="262"/>
      <c r="BF33" s="262"/>
      <c r="BG33" s="262"/>
      <c r="BH33" s="262"/>
      <c r="BI33" s="262"/>
      <c r="BJ33" s="262"/>
      <c r="BK33" s="262"/>
      <c r="BL33" s="262"/>
      <c r="BM33" s="262"/>
      <c r="BN33" s="262"/>
      <c r="BO33" s="262"/>
      <c r="BP33" s="262"/>
      <c r="BQ33" s="262"/>
      <c r="BR33" s="262"/>
      <c r="BS33" s="262"/>
      <c r="BT33" s="262"/>
      <c r="BU33" s="262"/>
      <c r="BV33" s="262"/>
      <c r="BW33" s="263"/>
      <c r="BX33" s="263"/>
      <c r="BY33" s="263"/>
      <c r="BZ33" s="263"/>
      <c r="CA33" s="263"/>
      <c r="CB33" s="263"/>
      <c r="CC33" s="263"/>
      <c r="CD33" s="263"/>
      <c r="CE33" s="263"/>
      <c r="CF33" s="263"/>
      <c r="CG33" s="263"/>
      <c r="CH33" s="249">
        <f>+MAX($D$3,DATOS_[[#This Row],[Fecha Inicio Sit. Contract.]])</f>
        <v>45292</v>
      </c>
      <c r="CI33" s="249">
        <f>+MIN($D$4,DATOS_[[#This Row],[Fecha Fin Sit. Contract.]])</f>
        <v>45657</v>
      </c>
      <c r="CJ33" s="250">
        <f>+DATOS_[[#This Row],[% de jornada]]*IF(DATOS_[[#This Row],[% jornada reducida]]="",1,DATOS_[[#This Row],[% jornada reducida]])</f>
        <v>1</v>
      </c>
      <c r="CK33" s="250">
        <f>+(DATOS_[[#This Row],[F.fin.cal]]-DATOS_[[#This Row],[F.ini.cal]]+1)/($D$4-$D$3+1)</f>
        <v>1</v>
      </c>
      <c r="CL33" s="250" t="str">
        <f>IF(OR(AND(DATOS_[[#This Row],[Fecha Fin Contrato]]&lt;$D$3,DATOS_[[#This Row],[Fecha Fin Contrato]]&lt;&gt;""),DATOS_[[#This Row],[Fecha de Contratación]]&gt;$D$4),"Fuera","Dentro")</f>
        <v>Dentro</v>
      </c>
      <c r="CM33" s="250" t="str" cm="1">
        <f t="array" ref="CM33">IF(MAX(IF(DATOS_[id/cod]=DATOS_[[#This Row],[id/cod]],DATOS_[F.fin.cal]))=DATOS_[[#This Row],[F.fin.cal]],"Sí","NO")</f>
        <v>Sí</v>
      </c>
      <c r="CN33" s="250" t="str">
        <f>IF(AND(DATOS_[[#This Row],[% normaliz]]&lt;&gt;1,DATOS_[[#This Row],[% anualiz]]=1),"Sí","NO")</f>
        <v>NO</v>
      </c>
      <c r="CO33" s="250" t="str">
        <f>IF(AND(DATOS_[[#This Row],[% normaliz]]=1,DATOS_[[#This Row],[% anualiz]]&lt;&gt;1),"Sí","NO")</f>
        <v>NO</v>
      </c>
      <c r="CP33" s="250" t="str">
        <f>IF(AND(DATOS_[[#This Row],[% normaliz]]&lt;&gt;1,DATOS_[[#This Row],[% anualiz]]&lt;&gt;1),"Sí","NO")</f>
        <v>NO</v>
      </c>
      <c r="CQ33" s="250" t="str">
        <f>+IF(DATOS_[[#This Row],[% normaliz]]*DATOS_[[#This Row],[% anualiz]]=1,"NO","Sí")</f>
        <v>NO</v>
      </c>
      <c r="CR33" s="251">
        <f>(DATOS_[[#This Row],[S.BASE]]*(1/DATOS_[[#This Row],[% normaliz]])*(1/DATOS_[[#This Row],[% anualiz]]))*IF(DATOS_[[#This Row],[Check Equiparado]]="Sí",1,0)</f>
        <v>12771.91</v>
      </c>
      <c r="CS33"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13091.67</v>
      </c>
      <c r="CT33" s="251">
        <f>+DATOS_[[#This Row],[SALARIO BASE Eq]]+DATOS_[[#This Row],[Tot COMPL.SAL Eq]]</f>
        <v>25863.58</v>
      </c>
      <c r="CU33" s="251" cm="1">
        <f t="array" ref="CU33">(SUMPRODUCT((RngTipo=$CU$7)*(rngAnualizable="Sí")*(rngNormalizable="Sí")*(DATOS_[[#This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612</v>
      </c>
      <c r="CV33" s="251">
        <f>+DATOS_[[#This Row],[TOTAL SALARIO Eq]]+DATOS_[[#This Row],[Tot Extrasalarial Eq]]</f>
        <v>26475.58</v>
      </c>
      <c r="CW33" s="252">
        <f>DATOS_[[#This Row],[S.BASE]]</f>
        <v>12771.91</v>
      </c>
      <c r="CX33" s="252">
        <f>+SUM(DATOS_[[#This Row],[Conc.Sal.01]:[Conc.Sal.30]])</f>
        <v>13703.67</v>
      </c>
      <c r="CY33" s="252">
        <f>+DATOS_[[#This Row],[SALARIO BASE Ef]]+DATOS_[[#This Row],[Tot COMPL.SAL Ef]]</f>
        <v>26475.58</v>
      </c>
      <c r="CZ33" s="252">
        <f>+SUM(DATOS_[[#This Row],[C.Extra.01]:[C.Extra.11]])</f>
        <v>0</v>
      </c>
      <c r="DA33" s="252">
        <f>+DATOS_[[#This Row],[TOTAL SALARIO Ef]]+DATOS_[[#This Row],[Tot Extrasalarial Ef]]</f>
        <v>26475.58</v>
      </c>
      <c r="DB33" s="109">
        <f>MIN(IF(DATOS_[[#This Row],[Fecha Fin Contrato]]="",$D$4,DATOS_[[#This Row],[Fecha Fin Contrato]]),$D$4)-MAX(DATOS_[[#This Row],[Fecha de Contratación]],$D$3)+1</f>
        <v>366</v>
      </c>
      <c r="DC33" s="110" t="str">
        <f>IF(COUNTIFS(DATOS_[id/cod],DATOS_[[#This Row],[id/cod]])&gt;1,DATOS_[[#This Row],[id/cod]],"")</f>
        <v/>
      </c>
      <c r="DD33" s="108">
        <f>(Inicio!$G$10-DATOS_[[#This Row],[Fecha Nacimiento]])/365.25</f>
        <v>50.91581108829569</v>
      </c>
      <c r="DE33" s="108">
        <f>(Inicio!$G$10-DATOS_[[#This Row],[Fecha de Antigüedad]])/365.25</f>
        <v>20.906228610540726</v>
      </c>
      <c r="DF33" s="108" t="str">
        <f>+VLOOKUP(DATOS_[[#This Row],[Clave de Contrato]],TblTiposContrato13[],3,FALSE)</f>
        <v>Completa</v>
      </c>
      <c r="DG33" s="108" t="str">
        <f>+VLOOKUP(DATOS_[[#This Row],[Clave de Contrato]],TblTiposContrato13[],4,FALSE)</f>
        <v>Indefinido</v>
      </c>
      <c r="DH33" s="108" t="str">
        <f>VLOOKUP(DATOS_[[#This Row],[Edad]],CONTRATOS!TblRngEdad,2,TRUE)</f>
        <v>50 a 55</v>
      </c>
      <c r="DI33" s="108" t="str">
        <f>VLOOKUP(DATOS_[[#This Row],[Antigüedad]],TblRngAntg14[],2,TRUE)</f>
        <v>más de 15</v>
      </c>
    </row>
    <row r="34" spans="1:113" ht="12.9" customHeight="1" x14ac:dyDescent="0.25">
      <c r="A34" s="303" t="s">
        <v>408</v>
      </c>
      <c r="B34" s="265">
        <v>24</v>
      </c>
      <c r="C34" s="264" t="s">
        <v>337</v>
      </c>
      <c r="D34" s="243">
        <v>23609</v>
      </c>
      <c r="E34" s="243" t="s">
        <v>409</v>
      </c>
      <c r="F34" s="245"/>
      <c r="G34" s="245"/>
      <c r="H34" s="266">
        <v>38247</v>
      </c>
      <c r="I34" s="268"/>
      <c r="J34" s="260">
        <v>38247</v>
      </c>
      <c r="K34" s="267"/>
      <c r="L34" s="267"/>
      <c r="M34" s="244">
        <v>1</v>
      </c>
      <c r="N34" s="244"/>
      <c r="O34" s="244"/>
      <c r="P34" s="245">
        <v>100</v>
      </c>
      <c r="Q34" s="242" t="s">
        <v>339</v>
      </c>
      <c r="R34" s="242" t="s">
        <v>340</v>
      </c>
      <c r="S34" s="242" t="s">
        <v>340</v>
      </c>
      <c r="T34" s="242" t="s">
        <v>341</v>
      </c>
      <c r="U34" s="242" t="s">
        <v>342</v>
      </c>
      <c r="V34" s="242"/>
      <c r="W34" s="242" t="s">
        <v>188</v>
      </c>
      <c r="X34" s="246"/>
      <c r="Y34" s="271">
        <v>14000425011981</v>
      </c>
      <c r="Z34" s="247" t="s">
        <v>407</v>
      </c>
      <c r="AA34" s="279" t="s">
        <v>343</v>
      </c>
      <c r="AB34" s="248"/>
      <c r="AC34" s="245">
        <v>7</v>
      </c>
      <c r="AD34" s="261">
        <v>12879.24</v>
      </c>
      <c r="AE34" s="262">
        <v>658</v>
      </c>
      <c r="AF34" s="262">
        <v>37.44</v>
      </c>
      <c r="AG34" s="262">
        <v>902.4</v>
      </c>
      <c r="AH34" s="262">
        <v>1673.4</v>
      </c>
      <c r="AI34" s="262">
        <v>178.2</v>
      </c>
      <c r="AJ34" s="262">
        <v>1676.48</v>
      </c>
      <c r="AK34" s="262">
        <v>720</v>
      </c>
      <c r="AL34" s="262">
        <v>137.79</v>
      </c>
      <c r="AM34" s="262">
        <v>843.12</v>
      </c>
      <c r="AN34" s="262">
        <v>1132.2</v>
      </c>
      <c r="AO34" s="262">
        <v>131.5</v>
      </c>
      <c r="AP34" s="262">
        <v>194.4</v>
      </c>
      <c r="AQ34" s="262">
        <v>550</v>
      </c>
      <c r="AR34" s="262">
        <v>0</v>
      </c>
      <c r="AS34" s="262">
        <v>0</v>
      </c>
      <c r="AT34" s="262">
        <v>0</v>
      </c>
      <c r="AU34" s="262">
        <v>0</v>
      </c>
      <c r="AV34" s="262">
        <v>0</v>
      </c>
      <c r="AW34" s="262">
        <v>65</v>
      </c>
      <c r="AX34" s="262">
        <v>107.32</v>
      </c>
      <c r="AY34" s="262">
        <v>3863.78</v>
      </c>
      <c r="AZ34" s="262"/>
      <c r="BA34" s="262"/>
      <c r="BB34" s="262"/>
      <c r="BC34" s="262"/>
      <c r="BD34" s="262"/>
      <c r="BE34" s="262"/>
      <c r="BF34" s="262"/>
      <c r="BG34" s="262"/>
      <c r="BH34" s="262"/>
      <c r="BI34" s="262"/>
      <c r="BJ34" s="262"/>
      <c r="BK34" s="262"/>
      <c r="BL34" s="262"/>
      <c r="BM34" s="262"/>
      <c r="BN34" s="262"/>
      <c r="BO34" s="262"/>
      <c r="BP34" s="262"/>
      <c r="BQ34" s="262"/>
      <c r="BR34" s="262"/>
      <c r="BS34" s="262"/>
      <c r="BT34" s="262"/>
      <c r="BU34" s="262"/>
      <c r="BV34" s="262"/>
      <c r="BW34" s="263"/>
      <c r="BX34" s="263"/>
      <c r="BY34" s="263"/>
      <c r="BZ34" s="263"/>
      <c r="CA34" s="263"/>
      <c r="CB34" s="263"/>
      <c r="CC34" s="263"/>
      <c r="CD34" s="263"/>
      <c r="CE34" s="263"/>
      <c r="CF34" s="263"/>
      <c r="CG34" s="263"/>
      <c r="CH34" s="249">
        <f>+MAX($D$3,DATOS_[[#This Row],[Fecha Inicio Sit. Contract.]])</f>
        <v>45292</v>
      </c>
      <c r="CI34" s="249">
        <f>+MIN($D$4,DATOS_[[#This Row],[Fecha Fin Sit. Contract.]])</f>
        <v>45657</v>
      </c>
      <c r="CJ34" s="250">
        <f>+DATOS_[[#This Row],[% de jornada]]*IF(DATOS_[[#This Row],[% jornada reducida]]="",1,DATOS_[[#This Row],[% jornada reducida]])</f>
        <v>1</v>
      </c>
      <c r="CK34" s="250">
        <f>+(DATOS_[[#This Row],[F.fin.cal]]-DATOS_[[#This Row],[F.ini.cal]]+1)/($D$4-$D$3+1)</f>
        <v>1</v>
      </c>
      <c r="CL34" s="250" t="str">
        <f>IF(OR(AND(DATOS_[[#This Row],[Fecha Fin Contrato]]&lt;$D$3,DATOS_[[#This Row],[Fecha Fin Contrato]]&lt;&gt;""),DATOS_[[#This Row],[Fecha de Contratación]]&gt;$D$4),"Fuera","Dentro")</f>
        <v>Dentro</v>
      </c>
      <c r="CM34" s="250" t="str" cm="1">
        <f t="array" ref="CM34">IF(MAX(IF(DATOS_[id/cod]=DATOS_[[#This Row],[id/cod]],DATOS_[F.fin.cal]))=DATOS_[[#This Row],[F.fin.cal]],"Sí","NO")</f>
        <v>Sí</v>
      </c>
      <c r="CN34" s="250" t="str">
        <f>IF(AND(DATOS_[[#This Row],[% normaliz]]&lt;&gt;1,DATOS_[[#This Row],[% anualiz]]=1),"Sí","NO")</f>
        <v>NO</v>
      </c>
      <c r="CO34" s="250" t="str">
        <f>IF(AND(DATOS_[[#This Row],[% normaliz]]=1,DATOS_[[#This Row],[% anualiz]]&lt;&gt;1),"Sí","NO")</f>
        <v>NO</v>
      </c>
      <c r="CP34" s="250" t="str">
        <f>IF(AND(DATOS_[[#This Row],[% normaliz]]&lt;&gt;1,DATOS_[[#This Row],[% anualiz]]&lt;&gt;1),"Sí","NO")</f>
        <v>NO</v>
      </c>
      <c r="CQ34" s="250" t="str">
        <f>+IF(DATOS_[[#This Row],[% normaliz]]*DATOS_[[#This Row],[% anualiz]]=1,"NO","Sí")</f>
        <v>NO</v>
      </c>
      <c r="CR34" s="251">
        <f>(DATOS_[[#This Row],[S.BASE]]*(1/DATOS_[[#This Row],[% normaliz]])*(1/DATOS_[[#This Row],[% anualiz]]))*IF(DATOS_[[#This Row],[Check Equiparado]]="Sí",1,0)</f>
        <v>12879.24</v>
      </c>
      <c r="CS34"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12871.03</v>
      </c>
      <c r="CT34" s="251">
        <f>+DATOS_[[#This Row],[SALARIO BASE Eq]]+DATOS_[[#This Row],[Tot COMPL.SAL Eq]]</f>
        <v>25750.27</v>
      </c>
      <c r="CU34" s="251" cm="1">
        <f t="array" ref="CU34">(SUMPRODUCT((RngTipo=$CU$7)*(rngAnualizable="Sí")*(rngNormalizable="Sí")*(DATOS_[[#This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34" s="251">
        <f>+DATOS_[[#This Row],[TOTAL SALARIO Eq]]+DATOS_[[#This Row],[Tot Extrasalarial Eq]]</f>
        <v>25750.27</v>
      </c>
      <c r="CW34" s="252">
        <f>DATOS_[[#This Row],[S.BASE]]</f>
        <v>12879.24</v>
      </c>
      <c r="CX34" s="252">
        <f>+SUM(DATOS_[[#This Row],[Conc.Sal.01]:[Conc.Sal.30]])</f>
        <v>12871.03</v>
      </c>
      <c r="CY34" s="252">
        <f>+DATOS_[[#This Row],[SALARIO BASE Ef]]+DATOS_[[#This Row],[Tot COMPL.SAL Ef]]</f>
        <v>25750.27</v>
      </c>
      <c r="CZ34" s="252">
        <f>+SUM(DATOS_[[#This Row],[C.Extra.01]:[C.Extra.11]])</f>
        <v>0</v>
      </c>
      <c r="DA34" s="252">
        <f>+DATOS_[[#This Row],[TOTAL SALARIO Ef]]+DATOS_[[#This Row],[Tot Extrasalarial Ef]]</f>
        <v>25750.27</v>
      </c>
      <c r="DB34" s="109">
        <f>MIN(IF(DATOS_[[#This Row],[Fecha Fin Contrato]]="",$D$4,DATOS_[[#This Row],[Fecha Fin Contrato]]),$D$4)-MAX(DATOS_[[#This Row],[Fecha de Contratación]],$D$3)+1</f>
        <v>366</v>
      </c>
      <c r="DC34" s="110" t="str">
        <f>IF(COUNTIFS(DATOS_[id/cod],DATOS_[[#This Row],[id/cod]])&gt;1,DATOS_[[#This Row],[id/cod]],"")</f>
        <v/>
      </c>
      <c r="DD34" s="108">
        <f>(Inicio!$G$10-DATOS_[[#This Row],[Fecha Nacimiento]])/365.25</f>
        <v>60.364134154688571</v>
      </c>
      <c r="DE34" s="108">
        <f>(Inicio!$G$10-DATOS_[[#This Row],[Fecha de Antigüedad]])/365.25</f>
        <v>20.28747433264887</v>
      </c>
      <c r="DF34" s="108" t="str">
        <f>+VLOOKUP(DATOS_[[#This Row],[Clave de Contrato]],TblTiposContrato13[],3,FALSE)</f>
        <v>Completa</v>
      </c>
      <c r="DG34" s="108" t="str">
        <f>+VLOOKUP(DATOS_[[#This Row],[Clave de Contrato]],TblTiposContrato13[],4,FALSE)</f>
        <v>Indefinido</v>
      </c>
      <c r="DH34" s="108" t="str">
        <f>VLOOKUP(DATOS_[[#This Row],[Edad]],CONTRATOS!TblRngEdad,2,TRUE)</f>
        <v>60 en adelante</v>
      </c>
      <c r="DI34" s="108" t="str">
        <f>VLOOKUP(DATOS_[[#This Row],[Antigüedad]],TblRngAntg14[],2,TRUE)</f>
        <v>más de 15</v>
      </c>
    </row>
    <row r="35" spans="1:113" ht="12.9" customHeight="1" x14ac:dyDescent="0.25">
      <c r="A35" s="303" t="s">
        <v>410</v>
      </c>
      <c r="B35" s="265">
        <v>25</v>
      </c>
      <c r="C35" s="264" t="s">
        <v>337</v>
      </c>
      <c r="D35" s="243">
        <v>23271</v>
      </c>
      <c r="E35" s="243" t="s">
        <v>373</v>
      </c>
      <c r="F35" s="245"/>
      <c r="G35" s="245"/>
      <c r="H35" s="266">
        <v>38672</v>
      </c>
      <c r="I35" s="268"/>
      <c r="J35" s="260">
        <v>38672</v>
      </c>
      <c r="K35" s="267"/>
      <c r="L35" s="267"/>
      <c r="M35" s="244">
        <v>1</v>
      </c>
      <c r="N35" s="244"/>
      <c r="O35" s="244"/>
      <c r="P35" s="245">
        <v>100</v>
      </c>
      <c r="Q35" s="242" t="s">
        <v>339</v>
      </c>
      <c r="R35" s="242" t="s">
        <v>340</v>
      </c>
      <c r="S35" s="242" t="s">
        <v>340</v>
      </c>
      <c r="T35" s="242" t="s">
        <v>341</v>
      </c>
      <c r="U35" s="242" t="s">
        <v>342</v>
      </c>
      <c r="V35" s="242"/>
      <c r="W35" s="242"/>
      <c r="X35" s="246"/>
      <c r="Y35" s="271">
        <v>14000425011981</v>
      </c>
      <c r="Z35" s="247"/>
      <c r="AA35" s="279" t="s">
        <v>343</v>
      </c>
      <c r="AB35" s="248"/>
      <c r="AC35" s="245">
        <v>7</v>
      </c>
      <c r="AD35" s="261"/>
      <c r="AE35" s="262"/>
      <c r="AF35" s="262"/>
      <c r="AG35" s="262"/>
      <c r="AH35" s="262"/>
      <c r="AI35" s="262"/>
      <c r="AJ35" s="262"/>
      <c r="AK35" s="262"/>
      <c r="AL35" s="262"/>
      <c r="AM35" s="262"/>
      <c r="AN35" s="262"/>
      <c r="AO35" s="262"/>
      <c r="AP35" s="262"/>
      <c r="AQ35" s="262"/>
      <c r="AR35" s="262"/>
      <c r="AS35" s="262"/>
      <c r="AT35" s="262"/>
      <c r="AU35" s="262"/>
      <c r="AV35" s="262"/>
      <c r="AW35" s="262"/>
      <c r="AX35" s="262"/>
      <c r="AY35" s="262"/>
      <c r="AZ35" s="262"/>
      <c r="BA35" s="262"/>
      <c r="BB35" s="262"/>
      <c r="BC35" s="262"/>
      <c r="BD35" s="262"/>
      <c r="BE35" s="262"/>
      <c r="BF35" s="262"/>
      <c r="BG35" s="262"/>
      <c r="BH35" s="262"/>
      <c r="BI35" s="262"/>
      <c r="BJ35" s="262"/>
      <c r="BK35" s="262"/>
      <c r="BL35" s="262"/>
      <c r="BM35" s="262"/>
      <c r="BN35" s="262"/>
      <c r="BO35" s="262"/>
      <c r="BP35" s="262"/>
      <c r="BQ35" s="262"/>
      <c r="BR35" s="262"/>
      <c r="BS35" s="262"/>
      <c r="BT35" s="262"/>
      <c r="BU35" s="262"/>
      <c r="BV35" s="262"/>
      <c r="BW35" s="263"/>
      <c r="BX35" s="263"/>
      <c r="BY35" s="263"/>
      <c r="BZ35" s="263"/>
      <c r="CA35" s="263"/>
      <c r="CB35" s="263"/>
      <c r="CC35" s="263"/>
      <c r="CD35" s="263"/>
      <c r="CE35" s="263"/>
      <c r="CF35" s="263"/>
      <c r="CG35" s="263"/>
      <c r="CH35" s="249">
        <f>+MAX($D$3,DATOS_[[#This Row],[Fecha Inicio Sit. Contract.]])</f>
        <v>45292</v>
      </c>
      <c r="CI35" s="249">
        <f>+MIN($D$4,DATOS_[[#This Row],[Fecha Fin Sit. Contract.]])</f>
        <v>45657</v>
      </c>
      <c r="CJ35" s="250">
        <f>+DATOS_[[#This Row],[% de jornada]]*IF(DATOS_[[#This Row],[% jornada reducida]]="",1,DATOS_[[#This Row],[% jornada reducida]])</f>
        <v>1</v>
      </c>
      <c r="CK35" s="250">
        <f>+(DATOS_[[#This Row],[F.fin.cal]]-DATOS_[[#This Row],[F.ini.cal]]+1)/($D$4-$D$3+1)</f>
        <v>1</v>
      </c>
      <c r="CL35" s="250" t="str">
        <f>IF(OR(AND(DATOS_[[#This Row],[Fecha Fin Contrato]]&lt;$D$3,DATOS_[[#This Row],[Fecha Fin Contrato]]&lt;&gt;""),DATOS_[[#This Row],[Fecha de Contratación]]&gt;$D$4),"Fuera","Dentro")</f>
        <v>Dentro</v>
      </c>
      <c r="CM35" s="250" t="str" cm="1">
        <f t="array" ref="CM35">IF(MAX(IF(DATOS_[id/cod]=DATOS_[[#This Row],[id/cod]],DATOS_[F.fin.cal]))=DATOS_[[#This Row],[F.fin.cal]],"Sí","NO")</f>
        <v>Sí</v>
      </c>
      <c r="CN35" s="250" t="str">
        <f>IF(AND(DATOS_[[#This Row],[% normaliz]]&lt;&gt;1,DATOS_[[#This Row],[% anualiz]]=1),"Sí","NO")</f>
        <v>NO</v>
      </c>
      <c r="CO35" s="250" t="str">
        <f>IF(AND(DATOS_[[#This Row],[% normaliz]]=1,DATOS_[[#This Row],[% anualiz]]&lt;&gt;1),"Sí","NO")</f>
        <v>NO</v>
      </c>
      <c r="CP35" s="250" t="str">
        <f>IF(AND(DATOS_[[#This Row],[% normaliz]]&lt;&gt;1,DATOS_[[#This Row],[% anualiz]]&lt;&gt;1),"Sí","NO")</f>
        <v>NO</v>
      </c>
      <c r="CQ35" s="250" t="str">
        <f>+IF(DATOS_[[#This Row],[% normaliz]]*DATOS_[[#This Row],[% anualiz]]=1,"NO","Sí")</f>
        <v>NO</v>
      </c>
      <c r="CR35" s="251">
        <f>(DATOS_[[#This Row],[S.BASE]]*(1/DATOS_[[#This Row],[% normaliz]])*(1/DATOS_[[#This Row],[% anualiz]]))*IF(DATOS_[[#This Row],[Check Equiparado]]="Sí",1,0)</f>
        <v>0</v>
      </c>
      <c r="CS35"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35" s="251">
        <f>+DATOS_[[#This Row],[SALARIO BASE Eq]]+DATOS_[[#This Row],[Tot COMPL.SAL Eq]]</f>
        <v>0</v>
      </c>
      <c r="CU35" s="251" cm="1">
        <f t="array" ref="CU35">(SUMPRODUCT((RngTipo=$CU$7)*(rngAnualizable="Sí")*(rngNormalizable="Sí")*(DATOS_[[#This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35" s="251">
        <f>+DATOS_[[#This Row],[TOTAL SALARIO Eq]]+DATOS_[[#This Row],[Tot Extrasalarial Eq]]</f>
        <v>0</v>
      </c>
      <c r="CW35" s="252">
        <f>DATOS_[[#This Row],[S.BASE]]</f>
        <v>0</v>
      </c>
      <c r="CX35" s="252">
        <f>+SUM(DATOS_[[#This Row],[Conc.Sal.01]:[Conc.Sal.30]])</f>
        <v>0</v>
      </c>
      <c r="CY35" s="252">
        <f>+DATOS_[[#This Row],[SALARIO BASE Ef]]+DATOS_[[#This Row],[Tot COMPL.SAL Ef]]</f>
        <v>0</v>
      </c>
      <c r="CZ35" s="252">
        <f>+SUM(DATOS_[[#This Row],[C.Extra.01]:[C.Extra.11]])</f>
        <v>0</v>
      </c>
      <c r="DA35" s="252">
        <f>+DATOS_[[#This Row],[TOTAL SALARIO Ef]]+DATOS_[[#This Row],[Tot Extrasalarial Ef]]</f>
        <v>0</v>
      </c>
      <c r="DB35" s="109">
        <f>MIN(IF(DATOS_[[#This Row],[Fecha Fin Contrato]]="",$D$4,DATOS_[[#This Row],[Fecha Fin Contrato]]),$D$4)-MAX(DATOS_[[#This Row],[Fecha de Contratación]],$D$3)+1</f>
        <v>366</v>
      </c>
      <c r="DC35" s="110" t="str">
        <f>IF(COUNTIFS(DATOS_[id/cod],DATOS_[[#This Row],[id/cod]])&gt;1,DATOS_[[#This Row],[id/cod]],"")</f>
        <v/>
      </c>
      <c r="DD35" s="108">
        <f>(Inicio!$G$10-DATOS_[[#This Row],[Fecha Nacimiento]])/365.25</f>
        <v>61.289527720739223</v>
      </c>
      <c r="DE35" s="108">
        <f>(Inicio!$G$10-DATOS_[[#This Row],[Fecha de Antigüedad]])/365.25</f>
        <v>19.123887748117728</v>
      </c>
      <c r="DF35" s="108" t="str">
        <f>+VLOOKUP(DATOS_[[#This Row],[Clave de Contrato]],TblTiposContrato13[],3,FALSE)</f>
        <v>Completa</v>
      </c>
      <c r="DG35" s="108" t="str">
        <f>+VLOOKUP(DATOS_[[#This Row],[Clave de Contrato]],TblTiposContrato13[],4,FALSE)</f>
        <v>Indefinido</v>
      </c>
      <c r="DH35" s="108" t="str">
        <f>VLOOKUP(DATOS_[[#This Row],[Edad]],CONTRATOS!TblRngEdad,2,TRUE)</f>
        <v>60 en adelante</v>
      </c>
      <c r="DI35" s="108" t="str">
        <f>VLOOKUP(DATOS_[[#This Row],[Antigüedad]],TblRngAntg14[],2,TRUE)</f>
        <v>más de 15</v>
      </c>
    </row>
    <row r="36" spans="1:113" ht="12.9" customHeight="1" x14ac:dyDescent="0.25">
      <c r="A36" s="303" t="s">
        <v>411</v>
      </c>
      <c r="B36" s="265">
        <v>26</v>
      </c>
      <c r="C36" s="264" t="s">
        <v>337</v>
      </c>
      <c r="D36" s="243">
        <v>22511</v>
      </c>
      <c r="E36" s="243" t="s">
        <v>373</v>
      </c>
      <c r="F36" s="245"/>
      <c r="G36" s="245"/>
      <c r="H36" s="266">
        <v>39428</v>
      </c>
      <c r="I36" s="268"/>
      <c r="J36" s="260">
        <v>39428</v>
      </c>
      <c r="K36" s="267"/>
      <c r="L36" s="267"/>
      <c r="M36" s="244">
        <v>1</v>
      </c>
      <c r="N36" s="244"/>
      <c r="O36" s="244"/>
      <c r="P36" s="245">
        <v>100</v>
      </c>
      <c r="Q36" s="242" t="s">
        <v>339</v>
      </c>
      <c r="R36" s="242" t="s">
        <v>340</v>
      </c>
      <c r="S36" s="242" t="s">
        <v>340</v>
      </c>
      <c r="T36" s="242" t="s">
        <v>341</v>
      </c>
      <c r="U36" s="242" t="s">
        <v>342</v>
      </c>
      <c r="V36" s="242"/>
      <c r="W36" s="242"/>
      <c r="X36" s="246"/>
      <c r="Y36" s="271">
        <v>14000425011981</v>
      </c>
      <c r="Z36" s="247"/>
      <c r="AA36" s="279" t="s">
        <v>343</v>
      </c>
      <c r="AB36" s="248"/>
      <c r="AC36" s="245">
        <v>7</v>
      </c>
      <c r="AD36" s="261"/>
      <c r="AE36" s="262"/>
      <c r="AF36" s="262"/>
      <c r="AG36" s="262"/>
      <c r="AH36" s="262"/>
      <c r="AI36" s="262"/>
      <c r="AJ36" s="262"/>
      <c r="AK36" s="262"/>
      <c r="AL36" s="262"/>
      <c r="AM36" s="262"/>
      <c r="AN36" s="262"/>
      <c r="AO36" s="262"/>
      <c r="AP36" s="262"/>
      <c r="AQ36" s="262"/>
      <c r="AR36" s="262"/>
      <c r="AS36" s="262"/>
      <c r="AT36" s="262"/>
      <c r="AU36" s="262"/>
      <c r="AV36" s="262"/>
      <c r="AW36" s="262"/>
      <c r="AX36" s="262"/>
      <c r="AY36" s="262"/>
      <c r="AZ36" s="262"/>
      <c r="BA36" s="262"/>
      <c r="BB36" s="262"/>
      <c r="BC36" s="262"/>
      <c r="BD36" s="262"/>
      <c r="BE36" s="262"/>
      <c r="BF36" s="262"/>
      <c r="BG36" s="262"/>
      <c r="BH36" s="262"/>
      <c r="BI36" s="262"/>
      <c r="BJ36" s="262"/>
      <c r="BK36" s="262"/>
      <c r="BL36" s="262"/>
      <c r="BM36" s="262"/>
      <c r="BN36" s="262"/>
      <c r="BO36" s="262"/>
      <c r="BP36" s="262"/>
      <c r="BQ36" s="262"/>
      <c r="BR36" s="262"/>
      <c r="BS36" s="262"/>
      <c r="BT36" s="262"/>
      <c r="BU36" s="262"/>
      <c r="BV36" s="262"/>
      <c r="BW36" s="263"/>
      <c r="BX36" s="263"/>
      <c r="BY36" s="263"/>
      <c r="BZ36" s="263"/>
      <c r="CA36" s="263"/>
      <c r="CB36" s="263"/>
      <c r="CC36" s="263"/>
      <c r="CD36" s="263"/>
      <c r="CE36" s="263"/>
      <c r="CF36" s="263"/>
      <c r="CG36" s="263"/>
      <c r="CH36" s="249">
        <f>+MAX($D$3,DATOS_[[#This Row],[Fecha Inicio Sit. Contract.]])</f>
        <v>45292</v>
      </c>
      <c r="CI36" s="249">
        <f>+MIN($D$4,DATOS_[[#This Row],[Fecha Fin Sit. Contract.]])</f>
        <v>45657</v>
      </c>
      <c r="CJ36" s="250">
        <f>+DATOS_[[#This Row],[% de jornada]]*IF(DATOS_[[#This Row],[% jornada reducida]]="",1,DATOS_[[#This Row],[% jornada reducida]])</f>
        <v>1</v>
      </c>
      <c r="CK36" s="250">
        <f>+(DATOS_[[#This Row],[F.fin.cal]]-DATOS_[[#This Row],[F.ini.cal]]+1)/($D$4-$D$3+1)</f>
        <v>1</v>
      </c>
      <c r="CL36" s="250" t="str">
        <f>IF(OR(AND(DATOS_[[#This Row],[Fecha Fin Contrato]]&lt;$D$3,DATOS_[[#This Row],[Fecha Fin Contrato]]&lt;&gt;""),DATOS_[[#This Row],[Fecha de Contratación]]&gt;$D$4),"Fuera","Dentro")</f>
        <v>Dentro</v>
      </c>
      <c r="CM36" s="250" t="str" cm="1">
        <f t="array" ref="CM36">IF(MAX(IF(DATOS_[id/cod]=DATOS_[[#This Row],[id/cod]],DATOS_[F.fin.cal]))=DATOS_[[#This Row],[F.fin.cal]],"Sí","NO")</f>
        <v>Sí</v>
      </c>
      <c r="CN36" s="250" t="str">
        <f>IF(AND(DATOS_[[#This Row],[% normaliz]]&lt;&gt;1,DATOS_[[#This Row],[% anualiz]]=1),"Sí","NO")</f>
        <v>NO</v>
      </c>
      <c r="CO36" s="250" t="str">
        <f>IF(AND(DATOS_[[#This Row],[% normaliz]]=1,DATOS_[[#This Row],[% anualiz]]&lt;&gt;1),"Sí","NO")</f>
        <v>NO</v>
      </c>
      <c r="CP36" s="250" t="str">
        <f>IF(AND(DATOS_[[#This Row],[% normaliz]]&lt;&gt;1,DATOS_[[#This Row],[% anualiz]]&lt;&gt;1),"Sí","NO")</f>
        <v>NO</v>
      </c>
      <c r="CQ36" s="250" t="str">
        <f>+IF(DATOS_[[#This Row],[% normaliz]]*DATOS_[[#This Row],[% anualiz]]=1,"NO","Sí")</f>
        <v>NO</v>
      </c>
      <c r="CR36" s="251">
        <f>(DATOS_[[#This Row],[S.BASE]]*(1/DATOS_[[#This Row],[% normaliz]])*(1/DATOS_[[#This Row],[% anualiz]]))*IF(DATOS_[[#This Row],[Check Equiparado]]="Sí",1,0)</f>
        <v>0</v>
      </c>
      <c r="CS36"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36" s="251">
        <f>+DATOS_[[#This Row],[SALARIO BASE Eq]]+DATOS_[[#This Row],[Tot COMPL.SAL Eq]]</f>
        <v>0</v>
      </c>
      <c r="CU36" s="251" cm="1">
        <f t="array" ref="CU36">(SUMPRODUCT((RngTipo=$CU$7)*(rngAnualizable="Sí")*(rngNormalizable="Sí")*(DATOS_[[#This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36" s="251">
        <f>+DATOS_[[#This Row],[TOTAL SALARIO Eq]]+DATOS_[[#This Row],[Tot Extrasalarial Eq]]</f>
        <v>0</v>
      </c>
      <c r="CW36" s="252">
        <f>DATOS_[[#This Row],[S.BASE]]</f>
        <v>0</v>
      </c>
      <c r="CX36" s="252">
        <f>+SUM(DATOS_[[#This Row],[Conc.Sal.01]:[Conc.Sal.30]])</f>
        <v>0</v>
      </c>
      <c r="CY36" s="252">
        <f>+DATOS_[[#This Row],[SALARIO BASE Ef]]+DATOS_[[#This Row],[Tot COMPL.SAL Ef]]</f>
        <v>0</v>
      </c>
      <c r="CZ36" s="252">
        <f>+SUM(DATOS_[[#This Row],[C.Extra.01]:[C.Extra.11]])</f>
        <v>0</v>
      </c>
      <c r="DA36" s="252">
        <f>+DATOS_[[#This Row],[TOTAL SALARIO Ef]]+DATOS_[[#This Row],[Tot Extrasalarial Ef]]</f>
        <v>0</v>
      </c>
      <c r="DB36" s="109">
        <f>MIN(IF(DATOS_[[#This Row],[Fecha Fin Contrato]]="",$D$4,DATOS_[[#This Row],[Fecha Fin Contrato]]),$D$4)-MAX(DATOS_[[#This Row],[Fecha de Contratación]],$D$3)+1</f>
        <v>366</v>
      </c>
      <c r="DC36" s="110" t="str">
        <f>IF(COUNTIFS(DATOS_[id/cod],DATOS_[[#This Row],[id/cod]])&gt;1,DATOS_[[#This Row],[id/cod]],"")</f>
        <v/>
      </c>
      <c r="DD36" s="108">
        <f>(Inicio!$G$10-DATOS_[[#This Row],[Fecha Nacimiento]])/365.25</f>
        <v>63.370294318959616</v>
      </c>
      <c r="DE36" s="108">
        <f>(Inicio!$G$10-DATOS_[[#This Row],[Fecha de Antigüedad]])/365.25</f>
        <v>17.054072553045859</v>
      </c>
      <c r="DF36" s="108" t="str">
        <f>+VLOOKUP(DATOS_[[#This Row],[Clave de Contrato]],TblTiposContrato13[],3,FALSE)</f>
        <v>Completa</v>
      </c>
      <c r="DG36" s="108" t="str">
        <f>+VLOOKUP(DATOS_[[#This Row],[Clave de Contrato]],TblTiposContrato13[],4,FALSE)</f>
        <v>Indefinido</v>
      </c>
      <c r="DH36" s="108" t="str">
        <f>VLOOKUP(DATOS_[[#This Row],[Edad]],CONTRATOS!TblRngEdad,2,TRUE)</f>
        <v>60 en adelante</v>
      </c>
      <c r="DI36" s="108" t="str">
        <f>VLOOKUP(DATOS_[[#This Row],[Antigüedad]],TblRngAntg14[],2,TRUE)</f>
        <v>más de 15</v>
      </c>
    </row>
    <row r="37" spans="1:113" ht="12.9" customHeight="1" x14ac:dyDescent="0.25">
      <c r="A37" s="303" t="s">
        <v>412</v>
      </c>
      <c r="B37" s="265">
        <v>27</v>
      </c>
      <c r="C37" s="264" t="s">
        <v>337</v>
      </c>
      <c r="D37" s="243">
        <v>30237</v>
      </c>
      <c r="E37" s="243" t="s">
        <v>351</v>
      </c>
      <c r="F37" s="245"/>
      <c r="G37" s="245"/>
      <c r="H37" s="266">
        <v>39496</v>
      </c>
      <c r="I37" s="268"/>
      <c r="J37" s="260">
        <v>39496</v>
      </c>
      <c r="K37" s="267"/>
      <c r="L37" s="267"/>
      <c r="M37" s="244">
        <v>1</v>
      </c>
      <c r="N37" s="244"/>
      <c r="O37" s="244"/>
      <c r="P37" s="245">
        <v>100</v>
      </c>
      <c r="Q37" s="242" t="s">
        <v>375</v>
      </c>
      <c r="R37" s="242" t="s">
        <v>375</v>
      </c>
      <c r="S37" s="242" t="s">
        <v>376</v>
      </c>
      <c r="T37" s="242" t="s">
        <v>341</v>
      </c>
      <c r="U37" s="242" t="s">
        <v>342</v>
      </c>
      <c r="V37" s="242"/>
      <c r="W37" s="242"/>
      <c r="X37" s="246"/>
      <c r="Y37" s="271">
        <v>14000425011981</v>
      </c>
      <c r="Z37" s="247"/>
      <c r="AA37" s="279" t="s">
        <v>343</v>
      </c>
      <c r="AB37" s="248"/>
      <c r="AC37" s="245">
        <v>7</v>
      </c>
      <c r="AD37" s="261"/>
      <c r="AE37" s="262"/>
      <c r="AF37" s="262"/>
      <c r="AG37" s="262"/>
      <c r="AH37" s="262"/>
      <c r="AI37" s="262"/>
      <c r="AJ37" s="262"/>
      <c r="AK37" s="262"/>
      <c r="AL37" s="262"/>
      <c r="AM37" s="262"/>
      <c r="AN37" s="262"/>
      <c r="AO37" s="262"/>
      <c r="AP37" s="262"/>
      <c r="AQ37" s="262"/>
      <c r="AR37" s="262"/>
      <c r="AS37" s="262"/>
      <c r="AT37" s="262"/>
      <c r="AU37" s="262"/>
      <c r="AV37" s="262"/>
      <c r="AW37" s="262"/>
      <c r="AX37" s="262"/>
      <c r="AY37" s="262"/>
      <c r="AZ37" s="262"/>
      <c r="BA37" s="262"/>
      <c r="BB37" s="262"/>
      <c r="BC37" s="262"/>
      <c r="BD37" s="262"/>
      <c r="BE37" s="262"/>
      <c r="BF37" s="262"/>
      <c r="BG37" s="262"/>
      <c r="BH37" s="262"/>
      <c r="BI37" s="262"/>
      <c r="BJ37" s="262"/>
      <c r="BK37" s="262"/>
      <c r="BL37" s="262"/>
      <c r="BM37" s="262"/>
      <c r="BN37" s="262"/>
      <c r="BO37" s="262"/>
      <c r="BP37" s="262"/>
      <c r="BQ37" s="262"/>
      <c r="BR37" s="262"/>
      <c r="BS37" s="262"/>
      <c r="BT37" s="262"/>
      <c r="BU37" s="262"/>
      <c r="BV37" s="262"/>
      <c r="BW37" s="263"/>
      <c r="BX37" s="263"/>
      <c r="BY37" s="263"/>
      <c r="BZ37" s="263"/>
      <c r="CA37" s="263"/>
      <c r="CB37" s="263"/>
      <c r="CC37" s="263"/>
      <c r="CD37" s="263"/>
      <c r="CE37" s="263"/>
      <c r="CF37" s="263"/>
      <c r="CG37" s="263"/>
      <c r="CH37" s="249">
        <f>+MAX($D$3,DATOS_[[#This Row],[Fecha Inicio Sit. Contract.]])</f>
        <v>45292</v>
      </c>
      <c r="CI37" s="249">
        <f>+MIN($D$4,DATOS_[[#This Row],[Fecha Fin Sit. Contract.]])</f>
        <v>45657</v>
      </c>
      <c r="CJ37" s="250">
        <f>+DATOS_[[#This Row],[% de jornada]]*IF(DATOS_[[#This Row],[% jornada reducida]]="",1,DATOS_[[#This Row],[% jornada reducida]])</f>
        <v>1</v>
      </c>
      <c r="CK37" s="250">
        <f>+(DATOS_[[#This Row],[F.fin.cal]]-DATOS_[[#This Row],[F.ini.cal]]+1)/($D$4-$D$3+1)</f>
        <v>1</v>
      </c>
      <c r="CL37" s="250" t="str">
        <f>IF(OR(AND(DATOS_[[#This Row],[Fecha Fin Contrato]]&lt;$D$3,DATOS_[[#This Row],[Fecha Fin Contrato]]&lt;&gt;""),DATOS_[[#This Row],[Fecha de Contratación]]&gt;$D$4),"Fuera","Dentro")</f>
        <v>Dentro</v>
      </c>
      <c r="CM37" s="250" t="str" cm="1">
        <f t="array" ref="CM37">IF(MAX(IF(DATOS_[id/cod]=DATOS_[[#This Row],[id/cod]],DATOS_[F.fin.cal]))=DATOS_[[#This Row],[F.fin.cal]],"Sí","NO")</f>
        <v>Sí</v>
      </c>
      <c r="CN37" s="250" t="str">
        <f>IF(AND(DATOS_[[#This Row],[% normaliz]]&lt;&gt;1,DATOS_[[#This Row],[% anualiz]]=1),"Sí","NO")</f>
        <v>NO</v>
      </c>
      <c r="CO37" s="250" t="str">
        <f>IF(AND(DATOS_[[#This Row],[% normaliz]]=1,DATOS_[[#This Row],[% anualiz]]&lt;&gt;1),"Sí","NO")</f>
        <v>NO</v>
      </c>
      <c r="CP37" s="250" t="str">
        <f>IF(AND(DATOS_[[#This Row],[% normaliz]]&lt;&gt;1,DATOS_[[#This Row],[% anualiz]]&lt;&gt;1),"Sí","NO")</f>
        <v>NO</v>
      </c>
      <c r="CQ37" s="250" t="str">
        <f>+IF(DATOS_[[#This Row],[% normaliz]]*DATOS_[[#This Row],[% anualiz]]=1,"NO","Sí")</f>
        <v>NO</v>
      </c>
      <c r="CR37" s="251">
        <f>(DATOS_[[#This Row],[S.BASE]]*(1/DATOS_[[#This Row],[% normaliz]])*(1/DATOS_[[#This Row],[% anualiz]]))*IF(DATOS_[[#This Row],[Check Equiparado]]="Sí",1,0)</f>
        <v>0</v>
      </c>
      <c r="CS37"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37" s="251">
        <f>+DATOS_[[#This Row],[SALARIO BASE Eq]]+DATOS_[[#This Row],[Tot COMPL.SAL Eq]]</f>
        <v>0</v>
      </c>
      <c r="CU37" s="251" cm="1">
        <f t="array" ref="CU37">(SUMPRODUCT((RngTipo=$CU$7)*(rngAnualizable="Sí")*(rngNormalizable="Sí")*(DATOS_[[#This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37" s="251">
        <f>+DATOS_[[#This Row],[TOTAL SALARIO Eq]]+DATOS_[[#This Row],[Tot Extrasalarial Eq]]</f>
        <v>0</v>
      </c>
      <c r="CW37" s="252">
        <f>DATOS_[[#This Row],[S.BASE]]</f>
        <v>0</v>
      </c>
      <c r="CX37" s="252">
        <f>+SUM(DATOS_[[#This Row],[Conc.Sal.01]:[Conc.Sal.30]])</f>
        <v>0</v>
      </c>
      <c r="CY37" s="252">
        <f>+DATOS_[[#This Row],[SALARIO BASE Ef]]+DATOS_[[#This Row],[Tot COMPL.SAL Ef]]</f>
        <v>0</v>
      </c>
      <c r="CZ37" s="252">
        <f>+SUM(DATOS_[[#This Row],[C.Extra.01]:[C.Extra.11]])</f>
        <v>0</v>
      </c>
      <c r="DA37" s="252">
        <f>+DATOS_[[#This Row],[TOTAL SALARIO Ef]]+DATOS_[[#This Row],[Tot Extrasalarial Ef]]</f>
        <v>0</v>
      </c>
      <c r="DB37" s="109">
        <f>MIN(IF(DATOS_[[#This Row],[Fecha Fin Contrato]]="",$D$4,DATOS_[[#This Row],[Fecha Fin Contrato]]),$D$4)-MAX(DATOS_[[#This Row],[Fecha de Contratación]],$D$3)+1</f>
        <v>366</v>
      </c>
      <c r="DC37" s="110" t="str">
        <f>IF(COUNTIFS(DATOS_[id/cod],DATOS_[[#This Row],[id/cod]])&gt;1,DATOS_[[#This Row],[id/cod]],"")</f>
        <v/>
      </c>
      <c r="DD37" s="108">
        <f>(Inicio!$G$10-DATOS_[[#This Row],[Fecha Nacimiento]])/365.25</f>
        <v>42.217659137577002</v>
      </c>
      <c r="DE37" s="108">
        <f>(Inicio!$G$10-DATOS_[[#This Row],[Fecha de Antigüedad]])/365.25</f>
        <v>16.867898699520875</v>
      </c>
      <c r="DF37" s="108" t="str">
        <f>+VLOOKUP(DATOS_[[#This Row],[Clave de Contrato]],TblTiposContrato13[],3,FALSE)</f>
        <v>Completa</v>
      </c>
      <c r="DG37" s="108" t="str">
        <f>+VLOOKUP(DATOS_[[#This Row],[Clave de Contrato]],TblTiposContrato13[],4,FALSE)</f>
        <v>Indefinido</v>
      </c>
      <c r="DH37" s="108" t="str">
        <f>VLOOKUP(DATOS_[[#This Row],[Edad]],CONTRATOS!TblRngEdad,2,TRUE)</f>
        <v>40 a 45</v>
      </c>
      <c r="DI37" s="108" t="str">
        <f>VLOOKUP(DATOS_[[#This Row],[Antigüedad]],TblRngAntg14[],2,TRUE)</f>
        <v>más de 15</v>
      </c>
    </row>
    <row r="38" spans="1:113" ht="12.9" customHeight="1" x14ac:dyDescent="0.25">
      <c r="A38" s="303" t="s">
        <v>413</v>
      </c>
      <c r="B38" s="265">
        <v>28</v>
      </c>
      <c r="C38" s="264" t="s">
        <v>356</v>
      </c>
      <c r="D38" s="243">
        <v>32442</v>
      </c>
      <c r="E38" s="243" t="s">
        <v>414</v>
      </c>
      <c r="F38" s="245"/>
      <c r="G38" s="245"/>
      <c r="H38" s="266">
        <v>39651</v>
      </c>
      <c r="I38" s="268"/>
      <c r="J38" s="260">
        <v>39651</v>
      </c>
      <c r="K38" s="267"/>
      <c r="L38" s="267"/>
      <c r="M38" s="244">
        <v>1</v>
      </c>
      <c r="N38" s="244"/>
      <c r="O38" s="244"/>
      <c r="P38" s="245">
        <v>100</v>
      </c>
      <c r="Q38" s="242" t="s">
        <v>357</v>
      </c>
      <c r="R38" s="242" t="s">
        <v>415</v>
      </c>
      <c r="S38" s="242" t="s">
        <v>416</v>
      </c>
      <c r="T38" s="242" t="s">
        <v>341</v>
      </c>
      <c r="U38" s="242" t="s">
        <v>367</v>
      </c>
      <c r="V38" s="242"/>
      <c r="W38" s="242"/>
      <c r="X38" s="246"/>
      <c r="Y38" s="271">
        <v>14000425011981</v>
      </c>
      <c r="Z38" s="247"/>
      <c r="AA38" s="279" t="s">
        <v>343</v>
      </c>
      <c r="AB38" s="248"/>
      <c r="AC38" s="245">
        <v>7</v>
      </c>
      <c r="AD38" s="261"/>
      <c r="AE38" s="262"/>
      <c r="AF38" s="262"/>
      <c r="AG38" s="262"/>
      <c r="AH38" s="262"/>
      <c r="AI38" s="262"/>
      <c r="AJ38" s="262"/>
      <c r="AK38" s="262"/>
      <c r="AL38" s="262"/>
      <c r="AM38" s="262"/>
      <c r="AN38" s="262"/>
      <c r="AO38" s="262"/>
      <c r="AP38" s="262"/>
      <c r="AQ38" s="262"/>
      <c r="AR38" s="262"/>
      <c r="AS38" s="262"/>
      <c r="AT38" s="262"/>
      <c r="AU38" s="262"/>
      <c r="AV38" s="262"/>
      <c r="AW38" s="262"/>
      <c r="AX38" s="262"/>
      <c r="AY38" s="262"/>
      <c r="AZ38" s="262"/>
      <c r="BA38" s="262"/>
      <c r="BB38" s="262"/>
      <c r="BC38" s="262"/>
      <c r="BD38" s="262"/>
      <c r="BE38" s="262"/>
      <c r="BF38" s="262"/>
      <c r="BG38" s="262"/>
      <c r="BH38" s="262"/>
      <c r="BI38" s="262"/>
      <c r="BJ38" s="262"/>
      <c r="BK38" s="262"/>
      <c r="BL38" s="262"/>
      <c r="BM38" s="262"/>
      <c r="BN38" s="262"/>
      <c r="BO38" s="262"/>
      <c r="BP38" s="262"/>
      <c r="BQ38" s="262"/>
      <c r="BR38" s="262"/>
      <c r="BS38" s="262"/>
      <c r="BT38" s="262"/>
      <c r="BU38" s="262"/>
      <c r="BV38" s="262"/>
      <c r="BW38" s="263"/>
      <c r="BX38" s="263"/>
      <c r="BY38" s="263"/>
      <c r="BZ38" s="263"/>
      <c r="CA38" s="263"/>
      <c r="CB38" s="263"/>
      <c r="CC38" s="263"/>
      <c r="CD38" s="263"/>
      <c r="CE38" s="263"/>
      <c r="CF38" s="263"/>
      <c r="CG38" s="263"/>
      <c r="CH38" s="249">
        <f>+MAX($D$3,DATOS_[[#This Row],[Fecha Inicio Sit. Contract.]])</f>
        <v>45292</v>
      </c>
      <c r="CI38" s="249">
        <f>+MIN($D$4,DATOS_[[#This Row],[Fecha Fin Sit. Contract.]])</f>
        <v>45657</v>
      </c>
      <c r="CJ38" s="250">
        <f>+DATOS_[[#This Row],[% de jornada]]*IF(DATOS_[[#This Row],[% jornada reducida]]="",1,DATOS_[[#This Row],[% jornada reducida]])</f>
        <v>1</v>
      </c>
      <c r="CK38" s="250">
        <f>+(DATOS_[[#This Row],[F.fin.cal]]-DATOS_[[#This Row],[F.ini.cal]]+1)/($D$4-$D$3+1)</f>
        <v>1</v>
      </c>
      <c r="CL38" s="250" t="str">
        <f>IF(OR(AND(DATOS_[[#This Row],[Fecha Fin Contrato]]&lt;$D$3,DATOS_[[#This Row],[Fecha Fin Contrato]]&lt;&gt;""),DATOS_[[#This Row],[Fecha de Contratación]]&gt;$D$4),"Fuera","Dentro")</f>
        <v>Dentro</v>
      </c>
      <c r="CM38" s="250" t="str" cm="1">
        <f t="array" ref="CM38">IF(MAX(IF(DATOS_[id/cod]=DATOS_[[#This Row],[id/cod]],DATOS_[F.fin.cal]))=DATOS_[[#This Row],[F.fin.cal]],"Sí","NO")</f>
        <v>Sí</v>
      </c>
      <c r="CN38" s="250" t="str">
        <f>IF(AND(DATOS_[[#This Row],[% normaliz]]&lt;&gt;1,DATOS_[[#This Row],[% anualiz]]=1),"Sí","NO")</f>
        <v>NO</v>
      </c>
      <c r="CO38" s="250" t="str">
        <f>IF(AND(DATOS_[[#This Row],[% normaliz]]=1,DATOS_[[#This Row],[% anualiz]]&lt;&gt;1),"Sí","NO")</f>
        <v>NO</v>
      </c>
      <c r="CP38" s="250" t="str">
        <f>IF(AND(DATOS_[[#This Row],[% normaliz]]&lt;&gt;1,DATOS_[[#This Row],[% anualiz]]&lt;&gt;1),"Sí","NO")</f>
        <v>NO</v>
      </c>
      <c r="CQ38" s="250" t="str">
        <f>+IF(DATOS_[[#This Row],[% normaliz]]*DATOS_[[#This Row],[% anualiz]]=1,"NO","Sí")</f>
        <v>NO</v>
      </c>
      <c r="CR38" s="251">
        <f>(DATOS_[[#This Row],[S.BASE]]*(1/DATOS_[[#This Row],[% normaliz]])*(1/DATOS_[[#This Row],[% anualiz]]))*IF(DATOS_[[#This Row],[Check Equiparado]]="Sí",1,0)</f>
        <v>0</v>
      </c>
      <c r="CS38"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38" s="251">
        <f>+DATOS_[[#This Row],[SALARIO BASE Eq]]+DATOS_[[#This Row],[Tot COMPL.SAL Eq]]</f>
        <v>0</v>
      </c>
      <c r="CU38" s="251" cm="1">
        <f t="array" ref="CU38">(SUMPRODUCT((RngTipo=$CU$7)*(rngAnualizable="Sí")*(rngNormalizable="Sí")*(DATOS_[[#This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38" s="251">
        <f>+DATOS_[[#This Row],[TOTAL SALARIO Eq]]+DATOS_[[#This Row],[Tot Extrasalarial Eq]]</f>
        <v>0</v>
      </c>
      <c r="CW38" s="252">
        <f>DATOS_[[#This Row],[S.BASE]]</f>
        <v>0</v>
      </c>
      <c r="CX38" s="252">
        <f>+SUM(DATOS_[[#This Row],[Conc.Sal.01]:[Conc.Sal.30]])</f>
        <v>0</v>
      </c>
      <c r="CY38" s="252">
        <f>+DATOS_[[#This Row],[SALARIO BASE Ef]]+DATOS_[[#This Row],[Tot COMPL.SAL Ef]]</f>
        <v>0</v>
      </c>
      <c r="CZ38" s="252">
        <f>+SUM(DATOS_[[#This Row],[C.Extra.01]:[C.Extra.11]])</f>
        <v>0</v>
      </c>
      <c r="DA38" s="252">
        <f>+DATOS_[[#This Row],[TOTAL SALARIO Ef]]+DATOS_[[#This Row],[Tot Extrasalarial Ef]]</f>
        <v>0</v>
      </c>
      <c r="DB38" s="109">
        <f>MIN(IF(DATOS_[[#This Row],[Fecha Fin Contrato]]="",$D$4,DATOS_[[#This Row],[Fecha Fin Contrato]]),$D$4)-MAX(DATOS_[[#This Row],[Fecha de Contratación]],$D$3)+1</f>
        <v>366</v>
      </c>
      <c r="DC38" s="110" t="str">
        <f>IF(COUNTIFS(DATOS_[id/cod],DATOS_[[#This Row],[id/cod]])&gt;1,DATOS_[[#This Row],[id/cod]],"")</f>
        <v/>
      </c>
      <c r="DD38" s="108">
        <f>(Inicio!$G$10-DATOS_[[#This Row],[Fecha Nacimiento]])/365.25</f>
        <v>36.180698151950722</v>
      </c>
      <c r="DE38" s="108">
        <f>(Inicio!$G$10-DATOS_[[#This Row],[Fecha de Antigüedad]])/365.25</f>
        <v>16.4435318275154</v>
      </c>
      <c r="DF38" s="108" t="str">
        <f>+VLOOKUP(DATOS_[[#This Row],[Clave de Contrato]],TblTiposContrato13[],3,FALSE)</f>
        <v>Completa</v>
      </c>
      <c r="DG38" s="108" t="str">
        <f>+VLOOKUP(DATOS_[[#This Row],[Clave de Contrato]],TblTiposContrato13[],4,FALSE)</f>
        <v>Indefinido</v>
      </c>
      <c r="DH38" s="108" t="str">
        <f>VLOOKUP(DATOS_[[#This Row],[Edad]],CONTRATOS!TblRngEdad,2,TRUE)</f>
        <v>35 a 40</v>
      </c>
      <c r="DI38" s="108" t="str">
        <f>VLOOKUP(DATOS_[[#This Row],[Antigüedad]],TblRngAntg14[],2,TRUE)</f>
        <v>más de 15</v>
      </c>
    </row>
    <row r="39" spans="1:113" ht="12.9" customHeight="1" x14ac:dyDescent="0.25">
      <c r="A39" s="303" t="s">
        <v>417</v>
      </c>
      <c r="B39" s="265">
        <v>29</v>
      </c>
      <c r="C39" s="264" t="s">
        <v>337</v>
      </c>
      <c r="D39" s="243">
        <v>39762</v>
      </c>
      <c r="E39" s="243" t="s">
        <v>361</v>
      </c>
      <c r="F39" s="245"/>
      <c r="G39" s="245"/>
      <c r="H39" s="266">
        <v>39762</v>
      </c>
      <c r="I39" s="268"/>
      <c r="J39" s="260">
        <v>39762</v>
      </c>
      <c r="K39" s="267"/>
      <c r="L39" s="267"/>
      <c r="M39" s="244">
        <v>1</v>
      </c>
      <c r="N39" s="244"/>
      <c r="O39" s="244"/>
      <c r="P39" s="245">
        <v>100</v>
      </c>
      <c r="Q39" s="242" t="s">
        <v>375</v>
      </c>
      <c r="R39" s="242" t="s">
        <v>375</v>
      </c>
      <c r="S39" s="242" t="s">
        <v>376</v>
      </c>
      <c r="T39" s="242" t="s">
        <v>341</v>
      </c>
      <c r="U39" s="242" t="s">
        <v>342</v>
      </c>
      <c r="V39" s="242"/>
      <c r="W39" s="242"/>
      <c r="X39" s="246"/>
      <c r="Y39" s="271">
        <v>14000425011981</v>
      </c>
      <c r="Z39" s="247"/>
      <c r="AA39" s="279" t="s">
        <v>343</v>
      </c>
      <c r="AB39" s="248"/>
      <c r="AC39" s="245">
        <v>7</v>
      </c>
      <c r="AD39" s="261"/>
      <c r="AE39" s="262"/>
      <c r="AF39" s="262"/>
      <c r="AG39" s="262"/>
      <c r="AH39" s="262"/>
      <c r="AI39" s="262"/>
      <c r="AJ39" s="262"/>
      <c r="AK39" s="262"/>
      <c r="AL39" s="262"/>
      <c r="AM39" s="262"/>
      <c r="AN39" s="262"/>
      <c r="AO39" s="262"/>
      <c r="AP39" s="262"/>
      <c r="AQ39" s="262"/>
      <c r="AR39" s="262"/>
      <c r="AS39" s="262"/>
      <c r="AT39" s="262"/>
      <c r="AU39" s="262"/>
      <c r="AV39" s="262"/>
      <c r="AW39" s="262"/>
      <c r="AX39" s="262"/>
      <c r="AY39" s="262"/>
      <c r="AZ39" s="262"/>
      <c r="BA39" s="262"/>
      <c r="BB39" s="262"/>
      <c r="BC39" s="262"/>
      <c r="BD39" s="262"/>
      <c r="BE39" s="262"/>
      <c r="BF39" s="262"/>
      <c r="BG39" s="262"/>
      <c r="BH39" s="262"/>
      <c r="BI39" s="262"/>
      <c r="BJ39" s="262"/>
      <c r="BK39" s="262"/>
      <c r="BL39" s="262"/>
      <c r="BM39" s="262"/>
      <c r="BN39" s="262"/>
      <c r="BO39" s="262"/>
      <c r="BP39" s="262"/>
      <c r="BQ39" s="262"/>
      <c r="BR39" s="262"/>
      <c r="BS39" s="262"/>
      <c r="BT39" s="262"/>
      <c r="BU39" s="262"/>
      <c r="BV39" s="262"/>
      <c r="BW39" s="263"/>
      <c r="BX39" s="263"/>
      <c r="BY39" s="263"/>
      <c r="BZ39" s="263"/>
      <c r="CA39" s="263"/>
      <c r="CB39" s="263"/>
      <c r="CC39" s="263"/>
      <c r="CD39" s="263"/>
      <c r="CE39" s="263"/>
      <c r="CF39" s="263"/>
      <c r="CG39" s="263"/>
      <c r="CH39" s="249">
        <f>+MAX($D$3,DATOS_[[#This Row],[Fecha Inicio Sit. Contract.]])</f>
        <v>45292</v>
      </c>
      <c r="CI39" s="249">
        <f>+MIN($D$4,DATOS_[[#This Row],[Fecha Fin Sit. Contract.]])</f>
        <v>45657</v>
      </c>
      <c r="CJ39" s="250">
        <f>+DATOS_[[#This Row],[% de jornada]]*IF(DATOS_[[#This Row],[% jornada reducida]]="",1,DATOS_[[#This Row],[% jornada reducida]])</f>
        <v>1</v>
      </c>
      <c r="CK39" s="250">
        <f>+(DATOS_[[#This Row],[F.fin.cal]]-DATOS_[[#This Row],[F.ini.cal]]+1)/($D$4-$D$3+1)</f>
        <v>1</v>
      </c>
      <c r="CL39" s="250" t="str">
        <f>IF(OR(AND(DATOS_[[#This Row],[Fecha Fin Contrato]]&lt;$D$3,DATOS_[[#This Row],[Fecha Fin Contrato]]&lt;&gt;""),DATOS_[[#This Row],[Fecha de Contratación]]&gt;$D$4),"Fuera","Dentro")</f>
        <v>Dentro</v>
      </c>
      <c r="CM39" s="250" t="str" cm="1">
        <f t="array" ref="CM39">IF(MAX(IF(DATOS_[id/cod]=DATOS_[[#This Row],[id/cod]],DATOS_[F.fin.cal]))=DATOS_[[#This Row],[F.fin.cal]],"Sí","NO")</f>
        <v>Sí</v>
      </c>
      <c r="CN39" s="250" t="str">
        <f>IF(AND(DATOS_[[#This Row],[% normaliz]]&lt;&gt;1,DATOS_[[#This Row],[% anualiz]]=1),"Sí","NO")</f>
        <v>NO</v>
      </c>
      <c r="CO39" s="250" t="str">
        <f>IF(AND(DATOS_[[#This Row],[% normaliz]]=1,DATOS_[[#This Row],[% anualiz]]&lt;&gt;1),"Sí","NO")</f>
        <v>NO</v>
      </c>
      <c r="CP39" s="250" t="str">
        <f>IF(AND(DATOS_[[#This Row],[% normaliz]]&lt;&gt;1,DATOS_[[#This Row],[% anualiz]]&lt;&gt;1),"Sí","NO")</f>
        <v>NO</v>
      </c>
      <c r="CQ39" s="250" t="str">
        <f>+IF(DATOS_[[#This Row],[% normaliz]]*DATOS_[[#This Row],[% anualiz]]=1,"NO","Sí")</f>
        <v>NO</v>
      </c>
      <c r="CR39" s="251">
        <f>(DATOS_[[#This Row],[S.BASE]]*(1/DATOS_[[#This Row],[% normaliz]])*(1/DATOS_[[#This Row],[% anualiz]]))*IF(DATOS_[[#This Row],[Check Equiparado]]="Sí",1,0)</f>
        <v>0</v>
      </c>
      <c r="CS39"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39" s="251">
        <f>+DATOS_[[#This Row],[SALARIO BASE Eq]]+DATOS_[[#This Row],[Tot COMPL.SAL Eq]]</f>
        <v>0</v>
      </c>
      <c r="CU39" s="251" cm="1">
        <f t="array" ref="CU39">(SUMPRODUCT((RngTipo=$CU$7)*(rngAnualizable="Sí")*(rngNormalizable="Sí")*(DATOS_[[#This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39" s="251">
        <f>+DATOS_[[#This Row],[TOTAL SALARIO Eq]]+DATOS_[[#This Row],[Tot Extrasalarial Eq]]</f>
        <v>0</v>
      </c>
      <c r="CW39" s="252">
        <f>DATOS_[[#This Row],[S.BASE]]</f>
        <v>0</v>
      </c>
      <c r="CX39" s="252">
        <f>+SUM(DATOS_[[#This Row],[Conc.Sal.01]:[Conc.Sal.30]])</f>
        <v>0</v>
      </c>
      <c r="CY39" s="252">
        <f>+DATOS_[[#This Row],[SALARIO BASE Ef]]+DATOS_[[#This Row],[Tot COMPL.SAL Ef]]</f>
        <v>0</v>
      </c>
      <c r="CZ39" s="252">
        <f>+SUM(DATOS_[[#This Row],[C.Extra.01]:[C.Extra.11]])</f>
        <v>0</v>
      </c>
      <c r="DA39" s="252">
        <f>+DATOS_[[#This Row],[TOTAL SALARIO Ef]]+DATOS_[[#This Row],[Tot Extrasalarial Ef]]</f>
        <v>0</v>
      </c>
      <c r="DB39" s="109">
        <f>MIN(IF(DATOS_[[#This Row],[Fecha Fin Contrato]]="",$D$4,DATOS_[[#This Row],[Fecha Fin Contrato]]),$D$4)-MAX(DATOS_[[#This Row],[Fecha de Contratación]],$D$3)+1</f>
        <v>366</v>
      </c>
      <c r="DC39" s="110" t="str">
        <f>IF(COUNTIFS(DATOS_[id/cod],DATOS_[[#This Row],[id/cod]])&gt;1,DATOS_[[#This Row],[id/cod]],"")</f>
        <v/>
      </c>
      <c r="DD39" s="108">
        <f>(Inicio!$G$10-DATOS_[[#This Row],[Fecha Nacimiento]])/365.25</f>
        <v>16.139630390143736</v>
      </c>
      <c r="DE39" s="108">
        <f>(Inicio!$G$10-DATOS_[[#This Row],[Fecha de Antigüedad]])/365.25</f>
        <v>16.139630390143736</v>
      </c>
      <c r="DF39" s="108" t="str">
        <f>+VLOOKUP(DATOS_[[#This Row],[Clave de Contrato]],TblTiposContrato13[],3,FALSE)</f>
        <v>Completa</v>
      </c>
      <c r="DG39" s="108" t="str">
        <f>+VLOOKUP(DATOS_[[#This Row],[Clave de Contrato]],TblTiposContrato13[],4,FALSE)</f>
        <v>Indefinido</v>
      </c>
      <c r="DH39" s="108" t="str">
        <f>VLOOKUP(DATOS_[[#This Row],[Edad]],CONTRATOS!TblRngEdad,2,TRUE)</f>
        <v>20  o menos</v>
      </c>
      <c r="DI39" s="108" t="str">
        <f>VLOOKUP(DATOS_[[#This Row],[Antigüedad]],TblRngAntg14[],2,TRUE)</f>
        <v>más de 15</v>
      </c>
    </row>
    <row r="40" spans="1:113" ht="12.9" customHeight="1" x14ac:dyDescent="0.25">
      <c r="A40" s="303" t="s">
        <v>418</v>
      </c>
      <c r="B40" s="265">
        <v>30</v>
      </c>
      <c r="C40" s="264" t="s">
        <v>337</v>
      </c>
      <c r="D40" s="243">
        <v>31299</v>
      </c>
      <c r="E40" s="243" t="s">
        <v>351</v>
      </c>
      <c r="F40" s="245"/>
      <c r="G40" s="245"/>
      <c r="H40" s="266">
        <v>39762</v>
      </c>
      <c r="I40" s="268"/>
      <c r="J40" s="260">
        <v>39762</v>
      </c>
      <c r="K40" s="267"/>
      <c r="L40" s="267"/>
      <c r="M40" s="244">
        <v>1</v>
      </c>
      <c r="N40" s="244"/>
      <c r="O40" s="244"/>
      <c r="P40" s="245">
        <v>100</v>
      </c>
      <c r="Q40" s="242" t="s">
        <v>375</v>
      </c>
      <c r="R40" s="242" t="s">
        <v>375</v>
      </c>
      <c r="S40" s="242" t="s">
        <v>376</v>
      </c>
      <c r="T40" s="242" t="s">
        <v>341</v>
      </c>
      <c r="U40" s="242" t="s">
        <v>342</v>
      </c>
      <c r="V40" s="242"/>
      <c r="W40" s="242"/>
      <c r="X40" s="246"/>
      <c r="Y40" s="271">
        <v>14000425011981</v>
      </c>
      <c r="Z40" s="247"/>
      <c r="AA40" s="279" t="s">
        <v>343</v>
      </c>
      <c r="AB40" s="248"/>
      <c r="AC40" s="245">
        <v>7</v>
      </c>
      <c r="AD40" s="261"/>
      <c r="AE40" s="262"/>
      <c r="AF40" s="262"/>
      <c r="AG40" s="262"/>
      <c r="AH40" s="262"/>
      <c r="AI40" s="262"/>
      <c r="AJ40" s="262"/>
      <c r="AK40" s="262"/>
      <c r="AL40" s="262"/>
      <c r="AM40" s="262"/>
      <c r="AN40" s="262"/>
      <c r="AO40" s="262"/>
      <c r="AP40" s="262"/>
      <c r="AQ40" s="262"/>
      <c r="AR40" s="262"/>
      <c r="AS40" s="262"/>
      <c r="AT40" s="262"/>
      <c r="AU40" s="262"/>
      <c r="AV40" s="262"/>
      <c r="AW40" s="262"/>
      <c r="AX40" s="262"/>
      <c r="AY40" s="262"/>
      <c r="AZ40" s="262"/>
      <c r="BA40" s="262"/>
      <c r="BB40" s="262"/>
      <c r="BC40" s="262"/>
      <c r="BD40" s="262"/>
      <c r="BE40" s="262"/>
      <c r="BF40" s="262"/>
      <c r="BG40" s="262"/>
      <c r="BH40" s="262"/>
      <c r="BI40" s="262"/>
      <c r="BJ40" s="262"/>
      <c r="BK40" s="262"/>
      <c r="BL40" s="262"/>
      <c r="BM40" s="262"/>
      <c r="BN40" s="262"/>
      <c r="BO40" s="262"/>
      <c r="BP40" s="262"/>
      <c r="BQ40" s="262"/>
      <c r="BR40" s="262"/>
      <c r="BS40" s="262"/>
      <c r="BT40" s="262"/>
      <c r="BU40" s="262"/>
      <c r="BV40" s="262"/>
      <c r="BW40" s="263"/>
      <c r="BX40" s="263"/>
      <c r="BY40" s="263"/>
      <c r="BZ40" s="263"/>
      <c r="CA40" s="263"/>
      <c r="CB40" s="263"/>
      <c r="CC40" s="263"/>
      <c r="CD40" s="263"/>
      <c r="CE40" s="263"/>
      <c r="CF40" s="263"/>
      <c r="CG40" s="263"/>
      <c r="CH40" s="249">
        <f>+MAX($D$3,DATOS_[[#This Row],[Fecha Inicio Sit. Contract.]])</f>
        <v>45292</v>
      </c>
      <c r="CI40" s="249">
        <f>+MIN($D$4,DATOS_[[#This Row],[Fecha Fin Sit. Contract.]])</f>
        <v>45657</v>
      </c>
      <c r="CJ40" s="250">
        <f>+DATOS_[[#This Row],[% de jornada]]*IF(DATOS_[[#This Row],[% jornada reducida]]="",1,DATOS_[[#This Row],[% jornada reducida]])</f>
        <v>1</v>
      </c>
      <c r="CK40" s="250">
        <f>+(DATOS_[[#This Row],[F.fin.cal]]-DATOS_[[#This Row],[F.ini.cal]]+1)/($D$4-$D$3+1)</f>
        <v>1</v>
      </c>
      <c r="CL40" s="250" t="str">
        <f>IF(OR(AND(DATOS_[[#This Row],[Fecha Fin Contrato]]&lt;$D$3,DATOS_[[#This Row],[Fecha Fin Contrato]]&lt;&gt;""),DATOS_[[#This Row],[Fecha de Contratación]]&gt;$D$4),"Fuera","Dentro")</f>
        <v>Dentro</v>
      </c>
      <c r="CM40" s="250" t="str" cm="1">
        <f t="array" ref="CM40">IF(MAX(IF(DATOS_[id/cod]=DATOS_[[#This Row],[id/cod]],DATOS_[F.fin.cal]))=DATOS_[[#This Row],[F.fin.cal]],"Sí","NO")</f>
        <v>Sí</v>
      </c>
      <c r="CN40" s="250" t="str">
        <f>IF(AND(DATOS_[[#This Row],[% normaliz]]&lt;&gt;1,DATOS_[[#This Row],[% anualiz]]=1),"Sí","NO")</f>
        <v>NO</v>
      </c>
      <c r="CO40" s="250" t="str">
        <f>IF(AND(DATOS_[[#This Row],[% normaliz]]=1,DATOS_[[#This Row],[% anualiz]]&lt;&gt;1),"Sí","NO")</f>
        <v>NO</v>
      </c>
      <c r="CP40" s="250" t="str">
        <f>IF(AND(DATOS_[[#This Row],[% normaliz]]&lt;&gt;1,DATOS_[[#This Row],[% anualiz]]&lt;&gt;1),"Sí","NO")</f>
        <v>NO</v>
      </c>
      <c r="CQ40" s="250" t="str">
        <f>+IF(DATOS_[[#This Row],[% normaliz]]*DATOS_[[#This Row],[% anualiz]]=1,"NO","Sí")</f>
        <v>NO</v>
      </c>
      <c r="CR40" s="251">
        <f>(DATOS_[[#This Row],[S.BASE]]*(1/DATOS_[[#This Row],[% normaliz]])*(1/DATOS_[[#This Row],[% anualiz]]))*IF(DATOS_[[#This Row],[Check Equiparado]]="Sí",1,0)</f>
        <v>0</v>
      </c>
      <c r="CS40"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40" s="251">
        <f>+DATOS_[[#This Row],[SALARIO BASE Eq]]+DATOS_[[#This Row],[Tot COMPL.SAL Eq]]</f>
        <v>0</v>
      </c>
      <c r="CU40" s="251" cm="1">
        <f t="array" ref="CU40">(SUMPRODUCT((RngTipo=$CU$7)*(rngAnualizable="Sí")*(rngNormalizable="Sí")*(DATOS_[[#This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40" s="251">
        <f>+DATOS_[[#This Row],[TOTAL SALARIO Eq]]+DATOS_[[#This Row],[Tot Extrasalarial Eq]]</f>
        <v>0</v>
      </c>
      <c r="CW40" s="252">
        <f>DATOS_[[#This Row],[S.BASE]]</f>
        <v>0</v>
      </c>
      <c r="CX40" s="252">
        <f>+SUM(DATOS_[[#This Row],[Conc.Sal.01]:[Conc.Sal.30]])</f>
        <v>0</v>
      </c>
      <c r="CY40" s="252">
        <f>+DATOS_[[#This Row],[SALARIO BASE Ef]]+DATOS_[[#This Row],[Tot COMPL.SAL Ef]]</f>
        <v>0</v>
      </c>
      <c r="CZ40" s="252">
        <f>+SUM(DATOS_[[#This Row],[C.Extra.01]:[C.Extra.11]])</f>
        <v>0</v>
      </c>
      <c r="DA40" s="252">
        <f>+DATOS_[[#This Row],[TOTAL SALARIO Ef]]+DATOS_[[#This Row],[Tot Extrasalarial Ef]]</f>
        <v>0</v>
      </c>
      <c r="DB40" s="109">
        <f>MIN(IF(DATOS_[[#This Row],[Fecha Fin Contrato]]="",$D$4,DATOS_[[#This Row],[Fecha Fin Contrato]]),$D$4)-MAX(DATOS_[[#This Row],[Fecha de Contratación]],$D$3)+1</f>
        <v>366</v>
      </c>
      <c r="DC40" s="110" t="str">
        <f>IF(COUNTIFS(DATOS_[id/cod],DATOS_[[#This Row],[id/cod]])&gt;1,DATOS_[[#This Row],[id/cod]],"")</f>
        <v/>
      </c>
      <c r="DD40" s="108">
        <f>(Inicio!$G$10-DATOS_[[#This Row],[Fecha Nacimiento]])/365.25</f>
        <v>39.310061601642708</v>
      </c>
      <c r="DE40" s="108">
        <f>(Inicio!$G$10-DATOS_[[#This Row],[Fecha de Antigüedad]])/365.25</f>
        <v>16.139630390143736</v>
      </c>
      <c r="DF40" s="108" t="str">
        <f>+VLOOKUP(DATOS_[[#This Row],[Clave de Contrato]],TblTiposContrato13[],3,FALSE)</f>
        <v>Completa</v>
      </c>
      <c r="DG40" s="108" t="str">
        <f>+VLOOKUP(DATOS_[[#This Row],[Clave de Contrato]],TblTiposContrato13[],4,FALSE)</f>
        <v>Indefinido</v>
      </c>
      <c r="DH40" s="108" t="str">
        <f>VLOOKUP(DATOS_[[#This Row],[Edad]],CONTRATOS!TblRngEdad,2,TRUE)</f>
        <v>35 a 40</v>
      </c>
      <c r="DI40" s="108" t="str">
        <f>VLOOKUP(DATOS_[[#This Row],[Antigüedad]],TblRngAntg14[],2,TRUE)</f>
        <v>más de 15</v>
      </c>
    </row>
    <row r="41" spans="1:113" ht="12.9" customHeight="1" x14ac:dyDescent="0.25">
      <c r="A41" s="303" t="s">
        <v>419</v>
      </c>
      <c r="B41" s="265">
        <v>31</v>
      </c>
      <c r="C41" s="264" t="s">
        <v>337</v>
      </c>
      <c r="D41" s="243">
        <v>28145</v>
      </c>
      <c r="E41" s="243" t="s">
        <v>351</v>
      </c>
      <c r="F41" s="245"/>
      <c r="G41" s="245"/>
      <c r="H41" s="266">
        <v>39979</v>
      </c>
      <c r="I41" s="268"/>
      <c r="J41" s="260">
        <v>39979</v>
      </c>
      <c r="K41" s="267"/>
      <c r="L41" s="267"/>
      <c r="M41" s="244">
        <v>1</v>
      </c>
      <c r="N41" s="244"/>
      <c r="O41" s="244"/>
      <c r="P41" s="245">
        <v>100</v>
      </c>
      <c r="Q41" s="242" t="s">
        <v>339</v>
      </c>
      <c r="R41" s="242" t="s">
        <v>339</v>
      </c>
      <c r="S41" s="242" t="s">
        <v>340</v>
      </c>
      <c r="T41" s="242" t="s">
        <v>341</v>
      </c>
      <c r="U41" s="242" t="s">
        <v>342</v>
      </c>
      <c r="V41" s="242"/>
      <c r="W41" s="242"/>
      <c r="X41" s="246"/>
      <c r="Y41" s="271">
        <v>14000425011981</v>
      </c>
      <c r="Z41" s="247"/>
      <c r="AA41" s="279" t="s">
        <v>343</v>
      </c>
      <c r="AB41" s="248"/>
      <c r="AC41" s="245">
        <v>7</v>
      </c>
      <c r="AD41" s="261"/>
      <c r="AE41" s="262"/>
      <c r="AF41" s="262"/>
      <c r="AG41" s="262"/>
      <c r="AH41" s="262"/>
      <c r="AI41" s="262"/>
      <c r="AJ41" s="262"/>
      <c r="AK41" s="262"/>
      <c r="AL41" s="262"/>
      <c r="AM41" s="262"/>
      <c r="AN41" s="262"/>
      <c r="AO41" s="262"/>
      <c r="AP41" s="262"/>
      <c r="AQ41" s="262"/>
      <c r="AR41" s="262"/>
      <c r="AS41" s="262"/>
      <c r="AT41" s="262"/>
      <c r="AU41" s="262"/>
      <c r="AV41" s="262"/>
      <c r="AW41" s="262"/>
      <c r="AX41" s="262"/>
      <c r="AY41" s="262"/>
      <c r="AZ41" s="262"/>
      <c r="BA41" s="262"/>
      <c r="BB41" s="262"/>
      <c r="BC41" s="262"/>
      <c r="BD41" s="262"/>
      <c r="BE41" s="262"/>
      <c r="BF41" s="262"/>
      <c r="BG41" s="262"/>
      <c r="BH41" s="262"/>
      <c r="BI41" s="262"/>
      <c r="BJ41" s="262"/>
      <c r="BK41" s="262"/>
      <c r="BL41" s="262"/>
      <c r="BM41" s="262"/>
      <c r="BN41" s="262"/>
      <c r="BO41" s="262"/>
      <c r="BP41" s="262"/>
      <c r="BQ41" s="262"/>
      <c r="BR41" s="262"/>
      <c r="BS41" s="262"/>
      <c r="BT41" s="262"/>
      <c r="BU41" s="262"/>
      <c r="BV41" s="262"/>
      <c r="BW41" s="263"/>
      <c r="BX41" s="263"/>
      <c r="BY41" s="263"/>
      <c r="BZ41" s="263"/>
      <c r="CA41" s="263"/>
      <c r="CB41" s="263"/>
      <c r="CC41" s="263"/>
      <c r="CD41" s="263"/>
      <c r="CE41" s="263"/>
      <c r="CF41" s="263"/>
      <c r="CG41" s="263"/>
      <c r="CH41" s="249">
        <f>+MAX($D$3,DATOS_[[#This Row],[Fecha Inicio Sit. Contract.]])</f>
        <v>45292</v>
      </c>
      <c r="CI41" s="249">
        <f>+MIN($D$4,DATOS_[[#This Row],[Fecha Fin Sit. Contract.]])</f>
        <v>45657</v>
      </c>
      <c r="CJ41" s="250">
        <f>+DATOS_[[#This Row],[% de jornada]]*IF(DATOS_[[#This Row],[% jornada reducida]]="",1,DATOS_[[#This Row],[% jornada reducida]])</f>
        <v>1</v>
      </c>
      <c r="CK41" s="250">
        <f>+(DATOS_[[#This Row],[F.fin.cal]]-DATOS_[[#This Row],[F.ini.cal]]+1)/($D$4-$D$3+1)</f>
        <v>1</v>
      </c>
      <c r="CL41" s="250" t="str">
        <f>IF(OR(AND(DATOS_[[#This Row],[Fecha Fin Contrato]]&lt;$D$3,DATOS_[[#This Row],[Fecha Fin Contrato]]&lt;&gt;""),DATOS_[[#This Row],[Fecha de Contratación]]&gt;$D$4),"Fuera","Dentro")</f>
        <v>Dentro</v>
      </c>
      <c r="CM41" s="250" t="str" cm="1">
        <f t="array" ref="CM41">IF(MAX(IF(DATOS_[id/cod]=DATOS_[[#This Row],[id/cod]],DATOS_[F.fin.cal]))=DATOS_[[#This Row],[F.fin.cal]],"Sí","NO")</f>
        <v>Sí</v>
      </c>
      <c r="CN41" s="250" t="str">
        <f>IF(AND(DATOS_[[#This Row],[% normaliz]]&lt;&gt;1,DATOS_[[#This Row],[% anualiz]]=1),"Sí","NO")</f>
        <v>NO</v>
      </c>
      <c r="CO41" s="250" t="str">
        <f>IF(AND(DATOS_[[#This Row],[% normaliz]]=1,DATOS_[[#This Row],[% anualiz]]&lt;&gt;1),"Sí","NO")</f>
        <v>NO</v>
      </c>
      <c r="CP41" s="250" t="str">
        <f>IF(AND(DATOS_[[#This Row],[% normaliz]]&lt;&gt;1,DATOS_[[#This Row],[% anualiz]]&lt;&gt;1),"Sí","NO")</f>
        <v>NO</v>
      </c>
      <c r="CQ41" s="250" t="str">
        <f>+IF(DATOS_[[#This Row],[% normaliz]]*DATOS_[[#This Row],[% anualiz]]=1,"NO","Sí")</f>
        <v>NO</v>
      </c>
      <c r="CR41" s="251">
        <f>(DATOS_[[#This Row],[S.BASE]]*(1/DATOS_[[#This Row],[% normaliz]])*(1/DATOS_[[#This Row],[% anualiz]]))*IF(DATOS_[[#This Row],[Check Equiparado]]="Sí",1,0)</f>
        <v>0</v>
      </c>
      <c r="CS41"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41" s="251">
        <f>+DATOS_[[#This Row],[SALARIO BASE Eq]]+DATOS_[[#This Row],[Tot COMPL.SAL Eq]]</f>
        <v>0</v>
      </c>
      <c r="CU41" s="251" cm="1">
        <f t="array" ref="CU41">(SUMPRODUCT((RngTipo=$CU$7)*(rngAnualizable="Sí")*(rngNormalizable="Sí")*(DATOS_[[#This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41" s="251">
        <f>+DATOS_[[#This Row],[TOTAL SALARIO Eq]]+DATOS_[[#This Row],[Tot Extrasalarial Eq]]</f>
        <v>0</v>
      </c>
      <c r="CW41" s="252">
        <f>DATOS_[[#This Row],[S.BASE]]</f>
        <v>0</v>
      </c>
      <c r="CX41" s="252">
        <f>+SUM(DATOS_[[#This Row],[Conc.Sal.01]:[Conc.Sal.30]])</f>
        <v>0</v>
      </c>
      <c r="CY41" s="252">
        <f>+DATOS_[[#This Row],[SALARIO BASE Ef]]+DATOS_[[#This Row],[Tot COMPL.SAL Ef]]</f>
        <v>0</v>
      </c>
      <c r="CZ41" s="252">
        <f>+SUM(DATOS_[[#This Row],[C.Extra.01]:[C.Extra.11]])</f>
        <v>0</v>
      </c>
      <c r="DA41" s="252">
        <f>+DATOS_[[#This Row],[TOTAL SALARIO Ef]]+DATOS_[[#This Row],[Tot Extrasalarial Ef]]</f>
        <v>0</v>
      </c>
      <c r="DB41" s="109">
        <f>MIN(IF(DATOS_[[#This Row],[Fecha Fin Contrato]]="",$D$4,DATOS_[[#This Row],[Fecha Fin Contrato]]),$D$4)-MAX(DATOS_[[#This Row],[Fecha de Contratación]],$D$3)+1</f>
        <v>366</v>
      </c>
      <c r="DC41" s="110" t="str">
        <f>IF(COUNTIFS(DATOS_[id/cod],DATOS_[[#This Row],[id/cod]])&gt;1,DATOS_[[#This Row],[id/cod]],"")</f>
        <v/>
      </c>
      <c r="DD41" s="108">
        <f>(Inicio!$G$10-DATOS_[[#This Row],[Fecha Nacimiento]])/365.25</f>
        <v>47.945242984257355</v>
      </c>
      <c r="DE41" s="108">
        <f>(Inicio!$G$10-DATOS_[[#This Row],[Fecha de Antigüedad]])/365.25</f>
        <v>15.545516769336071</v>
      </c>
      <c r="DF41" s="108" t="str">
        <f>+VLOOKUP(DATOS_[[#This Row],[Clave de Contrato]],TblTiposContrato13[],3,FALSE)</f>
        <v>Completa</v>
      </c>
      <c r="DG41" s="108" t="str">
        <f>+VLOOKUP(DATOS_[[#This Row],[Clave de Contrato]],TblTiposContrato13[],4,FALSE)</f>
        <v>Indefinido</v>
      </c>
      <c r="DH41" s="108" t="str">
        <f>VLOOKUP(DATOS_[[#This Row],[Edad]],CONTRATOS!TblRngEdad,2,TRUE)</f>
        <v>45 a 50</v>
      </c>
      <c r="DI41" s="108" t="str">
        <f>VLOOKUP(DATOS_[[#This Row],[Antigüedad]],TblRngAntg14[],2,TRUE)</f>
        <v>más de 15</v>
      </c>
    </row>
    <row r="42" spans="1:113" ht="12.9" customHeight="1" x14ac:dyDescent="0.25">
      <c r="A42" s="303" t="s">
        <v>420</v>
      </c>
      <c r="B42" s="265">
        <v>32</v>
      </c>
      <c r="C42" s="264" t="s">
        <v>356</v>
      </c>
      <c r="D42" s="243">
        <v>22280</v>
      </c>
      <c r="E42" s="243" t="s">
        <v>348</v>
      </c>
      <c r="F42" s="245"/>
      <c r="G42" s="245"/>
      <c r="H42" s="266">
        <v>40305</v>
      </c>
      <c r="I42" s="268"/>
      <c r="J42" s="260">
        <v>40305</v>
      </c>
      <c r="K42" s="267"/>
      <c r="L42" s="267"/>
      <c r="M42" s="244">
        <v>0.75</v>
      </c>
      <c r="N42" s="244"/>
      <c r="O42" s="244"/>
      <c r="P42" s="245">
        <v>100</v>
      </c>
      <c r="Q42" s="242" t="s">
        <v>379</v>
      </c>
      <c r="R42" s="242" t="s">
        <v>379</v>
      </c>
      <c r="S42" s="242" t="s">
        <v>379</v>
      </c>
      <c r="T42" s="242" t="s">
        <v>381</v>
      </c>
      <c r="U42" s="242" t="s">
        <v>342</v>
      </c>
      <c r="V42" s="242"/>
      <c r="W42" s="242"/>
      <c r="X42" s="246"/>
      <c r="Y42" s="271">
        <v>14000425011981</v>
      </c>
      <c r="Z42" s="247"/>
      <c r="AA42" s="279" t="s">
        <v>343</v>
      </c>
      <c r="AB42" s="248"/>
      <c r="AC42" s="245"/>
      <c r="AD42" s="261"/>
      <c r="AE42" s="262"/>
      <c r="AF42" s="262"/>
      <c r="AG42" s="262"/>
      <c r="AH42" s="262"/>
      <c r="AI42" s="262"/>
      <c r="AJ42" s="262"/>
      <c r="AK42" s="262"/>
      <c r="AL42" s="262"/>
      <c r="AM42" s="262"/>
      <c r="AN42" s="262"/>
      <c r="AO42" s="262"/>
      <c r="AP42" s="262"/>
      <c r="AQ42" s="262"/>
      <c r="AR42" s="262"/>
      <c r="AS42" s="262"/>
      <c r="AT42" s="262"/>
      <c r="AU42" s="262"/>
      <c r="AV42" s="262"/>
      <c r="AW42" s="262"/>
      <c r="AX42" s="262"/>
      <c r="AY42" s="262"/>
      <c r="AZ42" s="262"/>
      <c r="BA42" s="262"/>
      <c r="BB42" s="262"/>
      <c r="BC42" s="262"/>
      <c r="BD42" s="262"/>
      <c r="BE42" s="262"/>
      <c r="BF42" s="262"/>
      <c r="BG42" s="262"/>
      <c r="BH42" s="262"/>
      <c r="BI42" s="262"/>
      <c r="BJ42" s="262"/>
      <c r="BK42" s="262"/>
      <c r="BL42" s="262"/>
      <c r="BM42" s="262"/>
      <c r="BN42" s="262"/>
      <c r="BO42" s="262"/>
      <c r="BP42" s="262"/>
      <c r="BQ42" s="262"/>
      <c r="BR42" s="262"/>
      <c r="BS42" s="262"/>
      <c r="BT42" s="262"/>
      <c r="BU42" s="262"/>
      <c r="BV42" s="262"/>
      <c r="BW42" s="263"/>
      <c r="BX42" s="263"/>
      <c r="BY42" s="263"/>
      <c r="BZ42" s="263"/>
      <c r="CA42" s="263"/>
      <c r="CB42" s="263"/>
      <c r="CC42" s="263"/>
      <c r="CD42" s="263"/>
      <c r="CE42" s="263"/>
      <c r="CF42" s="263"/>
      <c r="CG42" s="263"/>
      <c r="CH42" s="249">
        <f>+MAX($D$3,DATOS_[[#This Row],[Fecha Inicio Sit. Contract.]])</f>
        <v>45292</v>
      </c>
      <c r="CI42" s="249">
        <f>+MIN($D$4,DATOS_[[#This Row],[Fecha Fin Sit. Contract.]])</f>
        <v>45657</v>
      </c>
      <c r="CJ42" s="250">
        <f>+DATOS_[[#This Row],[% de jornada]]*IF(DATOS_[[#This Row],[% jornada reducida]]="",1,DATOS_[[#This Row],[% jornada reducida]])</f>
        <v>0.75</v>
      </c>
      <c r="CK42" s="250">
        <f>+(DATOS_[[#This Row],[F.fin.cal]]-DATOS_[[#This Row],[F.ini.cal]]+1)/($D$4-$D$3+1)</f>
        <v>1</v>
      </c>
      <c r="CL42" s="250" t="str">
        <f>IF(OR(AND(DATOS_[[#This Row],[Fecha Fin Contrato]]&lt;$D$3,DATOS_[[#This Row],[Fecha Fin Contrato]]&lt;&gt;""),DATOS_[[#This Row],[Fecha de Contratación]]&gt;$D$4),"Fuera","Dentro")</f>
        <v>Dentro</v>
      </c>
      <c r="CM42" s="250" t="str" cm="1">
        <f t="array" ref="CM42">IF(MAX(IF(DATOS_[id/cod]=DATOS_[[#This Row],[id/cod]],DATOS_[F.fin.cal]))=DATOS_[[#This Row],[F.fin.cal]],"Sí","NO")</f>
        <v>Sí</v>
      </c>
      <c r="CN42" s="250" t="str">
        <f>IF(AND(DATOS_[[#This Row],[% normaliz]]&lt;&gt;1,DATOS_[[#This Row],[% anualiz]]=1),"Sí","NO")</f>
        <v>Sí</v>
      </c>
      <c r="CO42" s="250" t="str">
        <f>IF(AND(DATOS_[[#This Row],[% normaliz]]=1,DATOS_[[#This Row],[% anualiz]]&lt;&gt;1),"Sí","NO")</f>
        <v>NO</v>
      </c>
      <c r="CP42" s="250" t="str">
        <f>IF(AND(DATOS_[[#This Row],[% normaliz]]&lt;&gt;1,DATOS_[[#This Row],[% anualiz]]&lt;&gt;1),"Sí","NO")</f>
        <v>NO</v>
      </c>
      <c r="CQ42" s="250" t="str">
        <f>+IF(DATOS_[[#This Row],[% normaliz]]*DATOS_[[#This Row],[% anualiz]]=1,"NO","Sí")</f>
        <v>Sí</v>
      </c>
      <c r="CR42" s="251">
        <f>(DATOS_[[#This Row],[S.BASE]]*(1/DATOS_[[#This Row],[% normaliz]])*(1/DATOS_[[#This Row],[% anualiz]]))*IF(DATOS_[[#This Row],[Check Equiparado]]="Sí",1,0)</f>
        <v>0</v>
      </c>
      <c r="CS42"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42" s="251">
        <f>+DATOS_[[#This Row],[SALARIO BASE Eq]]+DATOS_[[#This Row],[Tot COMPL.SAL Eq]]</f>
        <v>0</v>
      </c>
      <c r="CU42" s="251" cm="1">
        <f t="array" ref="CU42">(SUMPRODUCT((RngTipo=$CU$7)*(rngAnualizable="Sí")*(rngNormalizable="Sí")*(DATOS_[[#This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42" s="251">
        <f>+DATOS_[[#This Row],[TOTAL SALARIO Eq]]+DATOS_[[#This Row],[Tot Extrasalarial Eq]]</f>
        <v>0</v>
      </c>
      <c r="CW42" s="252">
        <f>DATOS_[[#This Row],[S.BASE]]</f>
        <v>0</v>
      </c>
      <c r="CX42" s="252">
        <f>+SUM(DATOS_[[#This Row],[Conc.Sal.01]:[Conc.Sal.30]])</f>
        <v>0</v>
      </c>
      <c r="CY42" s="252">
        <f>+DATOS_[[#This Row],[SALARIO BASE Ef]]+DATOS_[[#This Row],[Tot COMPL.SAL Ef]]</f>
        <v>0</v>
      </c>
      <c r="CZ42" s="252">
        <f>+SUM(DATOS_[[#This Row],[C.Extra.01]:[C.Extra.11]])</f>
        <v>0</v>
      </c>
      <c r="DA42" s="252">
        <f>+DATOS_[[#This Row],[TOTAL SALARIO Ef]]+DATOS_[[#This Row],[Tot Extrasalarial Ef]]</f>
        <v>0</v>
      </c>
      <c r="DB42" s="109">
        <f>MIN(IF(DATOS_[[#This Row],[Fecha Fin Contrato]]="",$D$4,DATOS_[[#This Row],[Fecha Fin Contrato]]),$D$4)-MAX(DATOS_[[#This Row],[Fecha de Contratación]],$D$3)+1</f>
        <v>366</v>
      </c>
      <c r="DC42" s="110" t="str">
        <f>IF(COUNTIFS(DATOS_[id/cod],DATOS_[[#This Row],[id/cod]])&gt;1,DATOS_[[#This Row],[id/cod]],"")</f>
        <v/>
      </c>
      <c r="DD42" s="108">
        <f>(Inicio!$G$10-DATOS_[[#This Row],[Fecha Nacimiento]])/365.25</f>
        <v>64.002737850787128</v>
      </c>
      <c r="DE42" s="108">
        <f>(Inicio!$G$10-DATOS_[[#This Row],[Fecha de Antigüedad]])/365.25</f>
        <v>14.652977412731007</v>
      </c>
      <c r="DF42" s="108" t="str">
        <f>+VLOOKUP(DATOS_[[#This Row],[Clave de Contrato]],TblTiposContrato13[],3,FALSE)</f>
        <v>Completa</v>
      </c>
      <c r="DG42" s="108" t="str">
        <f>+VLOOKUP(DATOS_[[#This Row],[Clave de Contrato]],TblTiposContrato13[],4,FALSE)</f>
        <v>Indefinido</v>
      </c>
      <c r="DH42" s="108" t="str">
        <f>VLOOKUP(DATOS_[[#This Row],[Edad]],CONTRATOS!TblRngEdad,2,TRUE)</f>
        <v>60 en adelante</v>
      </c>
      <c r="DI42" s="108" t="str">
        <f>VLOOKUP(DATOS_[[#This Row],[Antigüedad]],TblRngAntg14[],2,TRUE)</f>
        <v>de 10 a 15  años</v>
      </c>
    </row>
    <row r="43" spans="1:113" ht="12.9" customHeight="1" x14ac:dyDescent="0.25">
      <c r="A43" s="303" t="s">
        <v>421</v>
      </c>
      <c r="B43" s="265">
        <v>33</v>
      </c>
      <c r="C43" s="264" t="s">
        <v>337</v>
      </c>
      <c r="D43" s="243">
        <v>31301</v>
      </c>
      <c r="E43" s="243" t="s">
        <v>351</v>
      </c>
      <c r="F43" s="245"/>
      <c r="G43" s="245"/>
      <c r="H43" s="266">
        <v>40324</v>
      </c>
      <c r="I43" s="268"/>
      <c r="J43" s="260">
        <v>40324</v>
      </c>
      <c r="K43" s="267"/>
      <c r="L43" s="267"/>
      <c r="M43" s="244">
        <v>1</v>
      </c>
      <c r="N43" s="244"/>
      <c r="O43" s="244"/>
      <c r="P43" s="245">
        <v>100</v>
      </c>
      <c r="Q43" s="242" t="s">
        <v>375</v>
      </c>
      <c r="R43" s="242" t="s">
        <v>375</v>
      </c>
      <c r="S43" s="242" t="s">
        <v>376</v>
      </c>
      <c r="T43" s="242" t="s">
        <v>341</v>
      </c>
      <c r="U43" s="242" t="s">
        <v>342</v>
      </c>
      <c r="V43" s="242"/>
      <c r="W43" s="242" t="s">
        <v>192</v>
      </c>
      <c r="X43" s="246"/>
      <c r="Y43" s="271">
        <v>14000425011981</v>
      </c>
      <c r="Z43" s="247" t="s">
        <v>382</v>
      </c>
      <c r="AA43" s="279" t="s">
        <v>343</v>
      </c>
      <c r="AB43" s="248"/>
      <c r="AC43" s="245">
        <v>10</v>
      </c>
      <c r="AD43" s="261">
        <v>6437.1200000000008</v>
      </c>
      <c r="AE43" s="262">
        <v>37.440000000000005</v>
      </c>
      <c r="AF43" s="262">
        <v>654.05999999999995</v>
      </c>
      <c r="AG43" s="262">
        <v>457.28999999999996</v>
      </c>
      <c r="AH43" s="262">
        <v>1005.52</v>
      </c>
      <c r="AI43" s="262">
        <v>82.64</v>
      </c>
      <c r="AJ43" s="262">
        <v>639.37</v>
      </c>
      <c r="AK43" s="262">
        <v>0</v>
      </c>
      <c r="AL43" s="262">
        <v>0</v>
      </c>
      <c r="AM43" s="262">
        <v>0</v>
      </c>
      <c r="AN43" s="262">
        <v>0</v>
      </c>
      <c r="AO43" s="262">
        <v>522.65</v>
      </c>
      <c r="AP43" s="262">
        <v>300</v>
      </c>
      <c r="AQ43" s="262">
        <v>0</v>
      </c>
      <c r="AR43" s="262">
        <v>61</v>
      </c>
      <c r="AS43" s="262">
        <v>0</v>
      </c>
      <c r="AT43" s="262">
        <v>2122.63</v>
      </c>
      <c r="AU43" s="262">
        <v>279</v>
      </c>
      <c r="AV43" s="262">
        <v>2150.4499999999998</v>
      </c>
      <c r="AW43" s="262">
        <v>0</v>
      </c>
      <c r="AX43" s="262">
        <v>0</v>
      </c>
      <c r="AY43" s="262">
        <v>65</v>
      </c>
      <c r="AZ43" s="262"/>
      <c r="BA43" s="262"/>
      <c r="BB43" s="262"/>
      <c r="BC43" s="262"/>
      <c r="BD43" s="262"/>
      <c r="BE43" s="262"/>
      <c r="BF43" s="262"/>
      <c r="BG43" s="262"/>
      <c r="BH43" s="262"/>
      <c r="BI43" s="262"/>
      <c r="BJ43" s="262"/>
      <c r="BK43" s="262"/>
      <c r="BL43" s="262"/>
      <c r="BM43" s="262"/>
      <c r="BN43" s="262"/>
      <c r="BO43" s="262"/>
      <c r="BP43" s="262"/>
      <c r="BQ43" s="262"/>
      <c r="BR43" s="262"/>
      <c r="BS43" s="262"/>
      <c r="BT43" s="262"/>
      <c r="BU43" s="262"/>
      <c r="BV43" s="262"/>
      <c r="BW43" s="263"/>
      <c r="BX43" s="263"/>
      <c r="BY43" s="263"/>
      <c r="BZ43" s="263"/>
      <c r="CA43" s="263"/>
      <c r="CB43" s="263"/>
      <c r="CC43" s="263"/>
      <c r="CD43" s="263"/>
      <c r="CE43" s="263"/>
      <c r="CF43" s="263"/>
      <c r="CG43" s="263"/>
      <c r="CH43" s="249">
        <f>+MAX($D$3,DATOS_[[#This Row],[Fecha Inicio Sit. Contract.]])</f>
        <v>45292</v>
      </c>
      <c r="CI43" s="249">
        <f>+MIN($D$4,DATOS_[[#This Row],[Fecha Fin Sit. Contract.]])</f>
        <v>45657</v>
      </c>
      <c r="CJ43" s="250">
        <f>+DATOS_[[#This Row],[% de jornada]]*IF(DATOS_[[#This Row],[% jornada reducida]]="",1,DATOS_[[#This Row],[% jornada reducida]])</f>
        <v>1</v>
      </c>
      <c r="CK43" s="250">
        <f>+(DATOS_[[#This Row],[F.fin.cal]]-DATOS_[[#This Row],[F.ini.cal]]+1)/($D$4-$D$3+1)</f>
        <v>1</v>
      </c>
      <c r="CL43" s="250" t="str">
        <f>IF(OR(AND(DATOS_[[#This Row],[Fecha Fin Contrato]]&lt;$D$3,DATOS_[[#This Row],[Fecha Fin Contrato]]&lt;&gt;""),DATOS_[[#This Row],[Fecha de Contratación]]&gt;$D$4),"Fuera","Dentro")</f>
        <v>Dentro</v>
      </c>
      <c r="CM43" s="250" t="str" cm="1">
        <f t="array" ref="CM43">IF(MAX(IF(DATOS_[id/cod]=DATOS_[[#This Row],[id/cod]],DATOS_[F.fin.cal]))=DATOS_[[#This Row],[F.fin.cal]],"Sí","NO")</f>
        <v>Sí</v>
      </c>
      <c r="CN43" s="250" t="str">
        <f>IF(AND(DATOS_[[#This Row],[% normaliz]]&lt;&gt;1,DATOS_[[#This Row],[% anualiz]]=1),"Sí","NO")</f>
        <v>NO</v>
      </c>
      <c r="CO43" s="250" t="str">
        <f>IF(AND(DATOS_[[#This Row],[% normaliz]]=1,DATOS_[[#This Row],[% anualiz]]&lt;&gt;1),"Sí","NO")</f>
        <v>NO</v>
      </c>
      <c r="CP43" s="250" t="str">
        <f>IF(AND(DATOS_[[#This Row],[% normaliz]]&lt;&gt;1,DATOS_[[#This Row],[% anualiz]]&lt;&gt;1),"Sí","NO")</f>
        <v>NO</v>
      </c>
      <c r="CQ43" s="250" t="str">
        <f>+IF(DATOS_[[#This Row],[% normaliz]]*DATOS_[[#This Row],[% anualiz]]=1,"NO","Sí")</f>
        <v>NO</v>
      </c>
      <c r="CR43" s="251">
        <f>(DATOS_[[#This Row],[S.BASE]]*(1/DATOS_[[#This Row],[% normaliz]])*(1/DATOS_[[#This Row],[% anualiz]]))*IF(DATOS_[[#This Row],[Check Equiparado]]="Sí",1,0)</f>
        <v>6437.1200000000008</v>
      </c>
      <c r="CS43"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4103.9699999999993</v>
      </c>
      <c r="CT43" s="251">
        <f>+DATOS_[[#This Row],[SALARIO BASE Eq]]+DATOS_[[#This Row],[Tot COMPL.SAL Eq]]</f>
        <v>10541.09</v>
      </c>
      <c r="CU43" s="251" cm="1">
        <f t="array" ref="CU43">(SUMPRODUCT((RngTipo=$CU$7)*(rngAnualizable="Sí")*(rngNormalizable="Sí")*(DATOS_[[#This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4273.08</v>
      </c>
      <c r="CV43" s="251">
        <f>+DATOS_[[#This Row],[TOTAL SALARIO Eq]]+DATOS_[[#This Row],[Tot Extrasalarial Eq]]</f>
        <v>14814.17</v>
      </c>
      <c r="CW43" s="252">
        <f>DATOS_[[#This Row],[S.BASE]]</f>
        <v>6437.1200000000008</v>
      </c>
      <c r="CX43" s="252">
        <f>+SUM(DATOS_[[#This Row],[Conc.Sal.01]:[Conc.Sal.30]])</f>
        <v>8377.0499999999993</v>
      </c>
      <c r="CY43" s="252">
        <f>+DATOS_[[#This Row],[SALARIO BASE Ef]]+DATOS_[[#This Row],[Tot COMPL.SAL Ef]]</f>
        <v>14814.17</v>
      </c>
      <c r="CZ43" s="252">
        <f>+SUM(DATOS_[[#This Row],[C.Extra.01]:[C.Extra.11]])</f>
        <v>0</v>
      </c>
      <c r="DA43" s="252">
        <f>+DATOS_[[#This Row],[TOTAL SALARIO Ef]]+DATOS_[[#This Row],[Tot Extrasalarial Ef]]</f>
        <v>14814.17</v>
      </c>
      <c r="DB43" s="109">
        <f>MIN(IF(DATOS_[[#This Row],[Fecha Fin Contrato]]="",$D$4,DATOS_[[#This Row],[Fecha Fin Contrato]]),$D$4)-MAX(DATOS_[[#This Row],[Fecha de Contratación]],$D$3)+1</f>
        <v>366</v>
      </c>
      <c r="DC43" s="110" t="str">
        <f>IF(COUNTIFS(DATOS_[id/cod],DATOS_[[#This Row],[id/cod]])&gt;1,DATOS_[[#This Row],[id/cod]],"")</f>
        <v/>
      </c>
      <c r="DD43" s="108">
        <f>(Inicio!$G$10-DATOS_[[#This Row],[Fecha Nacimiento]])/365.25</f>
        <v>39.304585900068446</v>
      </c>
      <c r="DE43" s="108">
        <f>(Inicio!$G$10-DATOS_[[#This Row],[Fecha de Antigüedad]])/365.25</f>
        <v>14.600958247775496</v>
      </c>
      <c r="DF43" s="108" t="str">
        <f>+VLOOKUP(DATOS_[[#This Row],[Clave de Contrato]],TblTiposContrato13[],3,FALSE)</f>
        <v>Completa</v>
      </c>
      <c r="DG43" s="108" t="str">
        <f>+VLOOKUP(DATOS_[[#This Row],[Clave de Contrato]],TblTiposContrato13[],4,FALSE)</f>
        <v>Indefinido</v>
      </c>
      <c r="DH43" s="108" t="str">
        <f>VLOOKUP(DATOS_[[#This Row],[Edad]],CONTRATOS!TblRngEdad,2,TRUE)</f>
        <v>35 a 40</v>
      </c>
      <c r="DI43" s="108" t="str">
        <f>VLOOKUP(DATOS_[[#This Row],[Antigüedad]],TblRngAntg14[],2,TRUE)</f>
        <v>de 10 a 15  años</v>
      </c>
    </row>
    <row r="44" spans="1:113" ht="12.9" customHeight="1" x14ac:dyDescent="0.25">
      <c r="A44" s="303" t="s">
        <v>422</v>
      </c>
      <c r="B44" s="265">
        <v>34</v>
      </c>
      <c r="C44" s="264" t="s">
        <v>356</v>
      </c>
      <c r="D44" s="243">
        <v>25554</v>
      </c>
      <c r="E44" s="243" t="s">
        <v>348</v>
      </c>
      <c r="F44" s="245"/>
      <c r="G44" s="245"/>
      <c r="H44" s="266">
        <v>40391</v>
      </c>
      <c r="I44" s="268"/>
      <c r="J44" s="260">
        <v>40391</v>
      </c>
      <c r="K44" s="267"/>
      <c r="L44" s="267"/>
      <c r="M44" s="244">
        <v>1</v>
      </c>
      <c r="N44" s="244"/>
      <c r="O44" s="244"/>
      <c r="P44" s="245">
        <v>100</v>
      </c>
      <c r="Q44" s="242" t="s">
        <v>379</v>
      </c>
      <c r="R44" s="242" t="s">
        <v>379</v>
      </c>
      <c r="S44" s="242" t="s">
        <v>385</v>
      </c>
      <c r="T44" s="242" t="s">
        <v>341</v>
      </c>
      <c r="U44" s="242" t="s">
        <v>342</v>
      </c>
      <c r="V44" s="242"/>
      <c r="W44" s="242"/>
      <c r="X44" s="246"/>
      <c r="Y44" s="271">
        <v>14000425011981</v>
      </c>
      <c r="Z44" s="247"/>
      <c r="AA44" s="279" t="s">
        <v>343</v>
      </c>
      <c r="AB44" s="248"/>
      <c r="AC44" s="245"/>
      <c r="AD44" s="261"/>
      <c r="AE44" s="262"/>
      <c r="AF44" s="262"/>
      <c r="AG44" s="262"/>
      <c r="AH44" s="262"/>
      <c r="AI44" s="262"/>
      <c r="AJ44" s="262"/>
      <c r="AK44" s="262"/>
      <c r="AL44" s="262"/>
      <c r="AM44" s="262"/>
      <c r="AN44" s="262"/>
      <c r="AO44" s="262"/>
      <c r="AP44" s="262"/>
      <c r="AQ44" s="262"/>
      <c r="AR44" s="262"/>
      <c r="AS44" s="262"/>
      <c r="AT44" s="262"/>
      <c r="AU44" s="262"/>
      <c r="AV44" s="262"/>
      <c r="AW44" s="262"/>
      <c r="AX44" s="262"/>
      <c r="AY44" s="262"/>
      <c r="AZ44" s="262"/>
      <c r="BA44" s="262"/>
      <c r="BB44" s="262"/>
      <c r="BC44" s="262"/>
      <c r="BD44" s="262"/>
      <c r="BE44" s="262"/>
      <c r="BF44" s="262"/>
      <c r="BG44" s="262"/>
      <c r="BH44" s="262"/>
      <c r="BI44" s="262"/>
      <c r="BJ44" s="262"/>
      <c r="BK44" s="262"/>
      <c r="BL44" s="262"/>
      <c r="BM44" s="262"/>
      <c r="BN44" s="262"/>
      <c r="BO44" s="262"/>
      <c r="BP44" s="262"/>
      <c r="BQ44" s="262"/>
      <c r="BR44" s="262"/>
      <c r="BS44" s="262"/>
      <c r="BT44" s="262"/>
      <c r="BU44" s="262"/>
      <c r="BV44" s="262"/>
      <c r="BW44" s="263"/>
      <c r="BX44" s="263"/>
      <c r="BY44" s="263"/>
      <c r="BZ44" s="263"/>
      <c r="CA44" s="263"/>
      <c r="CB44" s="263"/>
      <c r="CC44" s="263"/>
      <c r="CD44" s="263"/>
      <c r="CE44" s="263"/>
      <c r="CF44" s="263"/>
      <c r="CG44" s="263"/>
      <c r="CH44" s="249">
        <f>+MAX($D$3,DATOS_[[#This Row],[Fecha Inicio Sit. Contract.]])</f>
        <v>45292</v>
      </c>
      <c r="CI44" s="249">
        <f>+MIN($D$4,DATOS_[[#This Row],[Fecha Fin Sit. Contract.]])</f>
        <v>45657</v>
      </c>
      <c r="CJ44" s="250">
        <f>+DATOS_[[#This Row],[% de jornada]]*IF(DATOS_[[#This Row],[% jornada reducida]]="",1,DATOS_[[#This Row],[% jornada reducida]])</f>
        <v>1</v>
      </c>
      <c r="CK44" s="250">
        <f>+(DATOS_[[#This Row],[F.fin.cal]]-DATOS_[[#This Row],[F.ini.cal]]+1)/($D$4-$D$3+1)</f>
        <v>1</v>
      </c>
      <c r="CL44" s="250" t="str">
        <f>IF(OR(AND(DATOS_[[#This Row],[Fecha Fin Contrato]]&lt;$D$3,DATOS_[[#This Row],[Fecha Fin Contrato]]&lt;&gt;""),DATOS_[[#This Row],[Fecha de Contratación]]&gt;$D$4),"Fuera","Dentro")</f>
        <v>Dentro</v>
      </c>
      <c r="CM44" s="250" t="str" cm="1">
        <f t="array" ref="CM44">IF(MAX(IF(DATOS_[id/cod]=DATOS_[[#This Row],[id/cod]],DATOS_[F.fin.cal]))=DATOS_[[#This Row],[F.fin.cal]],"Sí","NO")</f>
        <v>Sí</v>
      </c>
      <c r="CN44" s="250" t="str">
        <f>IF(AND(DATOS_[[#This Row],[% normaliz]]&lt;&gt;1,DATOS_[[#This Row],[% anualiz]]=1),"Sí","NO")</f>
        <v>NO</v>
      </c>
      <c r="CO44" s="250" t="str">
        <f>IF(AND(DATOS_[[#This Row],[% normaliz]]=1,DATOS_[[#This Row],[% anualiz]]&lt;&gt;1),"Sí","NO")</f>
        <v>NO</v>
      </c>
      <c r="CP44" s="250" t="str">
        <f>IF(AND(DATOS_[[#This Row],[% normaliz]]&lt;&gt;1,DATOS_[[#This Row],[% anualiz]]&lt;&gt;1),"Sí","NO")</f>
        <v>NO</v>
      </c>
      <c r="CQ44" s="250" t="str">
        <f>+IF(DATOS_[[#This Row],[% normaliz]]*DATOS_[[#This Row],[% anualiz]]=1,"NO","Sí")</f>
        <v>NO</v>
      </c>
      <c r="CR44" s="251">
        <f>(DATOS_[[#This Row],[S.BASE]]*(1/DATOS_[[#This Row],[% normaliz]])*(1/DATOS_[[#This Row],[% anualiz]]))*IF(DATOS_[[#This Row],[Check Equiparado]]="Sí",1,0)</f>
        <v>0</v>
      </c>
      <c r="CS44"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44" s="251">
        <f>+DATOS_[[#This Row],[SALARIO BASE Eq]]+DATOS_[[#This Row],[Tot COMPL.SAL Eq]]</f>
        <v>0</v>
      </c>
      <c r="CU44" s="251" cm="1">
        <f t="array" ref="CU44">(SUMPRODUCT((RngTipo=$CU$7)*(rngAnualizable="Sí")*(rngNormalizable="Sí")*(DATOS_[[#This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44" s="251">
        <f>+DATOS_[[#This Row],[TOTAL SALARIO Eq]]+DATOS_[[#This Row],[Tot Extrasalarial Eq]]</f>
        <v>0</v>
      </c>
      <c r="CW44" s="252">
        <f>DATOS_[[#This Row],[S.BASE]]</f>
        <v>0</v>
      </c>
      <c r="CX44" s="252">
        <f>+SUM(DATOS_[[#This Row],[Conc.Sal.01]:[Conc.Sal.30]])</f>
        <v>0</v>
      </c>
      <c r="CY44" s="252">
        <f>+DATOS_[[#This Row],[SALARIO BASE Ef]]+DATOS_[[#This Row],[Tot COMPL.SAL Ef]]</f>
        <v>0</v>
      </c>
      <c r="CZ44" s="252">
        <f>+SUM(DATOS_[[#This Row],[C.Extra.01]:[C.Extra.11]])</f>
        <v>0</v>
      </c>
      <c r="DA44" s="252">
        <f>+DATOS_[[#This Row],[TOTAL SALARIO Ef]]+DATOS_[[#This Row],[Tot Extrasalarial Ef]]</f>
        <v>0</v>
      </c>
      <c r="DB44" s="109">
        <f>MIN(IF(DATOS_[[#This Row],[Fecha Fin Contrato]]="",$D$4,DATOS_[[#This Row],[Fecha Fin Contrato]]),$D$4)-MAX(DATOS_[[#This Row],[Fecha de Contratación]],$D$3)+1</f>
        <v>366</v>
      </c>
      <c r="DC44" s="110" t="str">
        <f>IF(COUNTIFS(DATOS_[id/cod],DATOS_[[#This Row],[id/cod]])&gt;1,DATOS_[[#This Row],[id/cod]],"")</f>
        <v/>
      </c>
      <c r="DD44" s="108">
        <f>(Inicio!$G$10-DATOS_[[#This Row],[Fecha Nacimiento]])/365.25</f>
        <v>55.039014373716633</v>
      </c>
      <c r="DE44" s="108">
        <f>(Inicio!$G$10-DATOS_[[#This Row],[Fecha de Antigüedad]])/365.25</f>
        <v>14.417522245037645</v>
      </c>
      <c r="DF44" s="108" t="str">
        <f>+VLOOKUP(DATOS_[[#This Row],[Clave de Contrato]],TblTiposContrato13[],3,FALSE)</f>
        <v>Completa</v>
      </c>
      <c r="DG44" s="108" t="str">
        <f>+VLOOKUP(DATOS_[[#This Row],[Clave de Contrato]],TblTiposContrato13[],4,FALSE)</f>
        <v>Indefinido</v>
      </c>
      <c r="DH44" s="108" t="str">
        <f>VLOOKUP(DATOS_[[#This Row],[Edad]],CONTRATOS!TblRngEdad,2,TRUE)</f>
        <v>55 a 60</v>
      </c>
      <c r="DI44" s="108" t="str">
        <f>VLOOKUP(DATOS_[[#This Row],[Antigüedad]],TblRngAntg14[],2,TRUE)</f>
        <v>de 10 a 15  años</v>
      </c>
    </row>
    <row r="45" spans="1:113" ht="12.9" customHeight="1" x14ac:dyDescent="0.25">
      <c r="A45" s="303" t="s">
        <v>423</v>
      </c>
      <c r="B45" s="265">
        <v>35</v>
      </c>
      <c r="C45" s="264" t="s">
        <v>356</v>
      </c>
      <c r="D45" s="243">
        <v>40391</v>
      </c>
      <c r="E45" s="243" t="s">
        <v>348</v>
      </c>
      <c r="F45" s="245"/>
      <c r="G45" s="245"/>
      <c r="H45" s="266">
        <v>40391</v>
      </c>
      <c r="I45" s="268"/>
      <c r="J45" s="260">
        <v>40391</v>
      </c>
      <c r="K45" s="267"/>
      <c r="L45" s="267"/>
      <c r="M45" s="244">
        <v>0.75</v>
      </c>
      <c r="N45" s="244"/>
      <c r="O45" s="244"/>
      <c r="P45" s="245">
        <v>100</v>
      </c>
      <c r="Q45" s="242" t="s">
        <v>379</v>
      </c>
      <c r="R45" s="242" t="s">
        <v>379</v>
      </c>
      <c r="S45" s="242" t="s">
        <v>385</v>
      </c>
      <c r="T45" s="242" t="s">
        <v>424</v>
      </c>
      <c r="U45" s="242" t="s">
        <v>342</v>
      </c>
      <c r="V45" s="242"/>
      <c r="W45" s="242" t="s">
        <v>192</v>
      </c>
      <c r="X45" s="246"/>
      <c r="Y45" s="271">
        <v>14000425011981</v>
      </c>
      <c r="Z45" s="247" t="s">
        <v>382</v>
      </c>
      <c r="AA45" s="279" t="s">
        <v>343</v>
      </c>
      <c r="AB45" s="248"/>
      <c r="AC45" s="245">
        <v>10</v>
      </c>
      <c r="AD45" s="261">
        <v>4086.91</v>
      </c>
      <c r="AE45" s="262">
        <v>13.26</v>
      </c>
      <c r="AF45" s="262">
        <v>381.01</v>
      </c>
      <c r="AG45" s="262">
        <v>265.54000000000002</v>
      </c>
      <c r="AH45" s="262">
        <v>849.11</v>
      </c>
      <c r="AI45" s="262">
        <v>125.62</v>
      </c>
      <c r="AJ45" s="262">
        <v>313.83</v>
      </c>
      <c r="AK45" s="262">
        <v>0</v>
      </c>
      <c r="AL45" s="262">
        <v>0</v>
      </c>
      <c r="AM45" s="262">
        <v>72.36</v>
      </c>
      <c r="AN45" s="262">
        <v>0</v>
      </c>
      <c r="AO45" s="262">
        <v>1654.35</v>
      </c>
      <c r="AP45" s="262">
        <v>0</v>
      </c>
      <c r="AQ45" s="262">
        <v>0</v>
      </c>
      <c r="AR45" s="262">
        <v>200</v>
      </c>
      <c r="AS45" s="262">
        <v>0</v>
      </c>
      <c r="AT45" s="262">
        <v>2170.2600000000002</v>
      </c>
      <c r="AU45" s="262">
        <v>393</v>
      </c>
      <c r="AV45" s="262">
        <v>8802.09</v>
      </c>
      <c r="AW45" s="262">
        <v>0</v>
      </c>
      <c r="AX45" s="262">
        <v>0</v>
      </c>
      <c r="AY45" s="262">
        <v>65</v>
      </c>
      <c r="AZ45" s="262"/>
      <c r="BA45" s="262"/>
      <c r="BB45" s="262"/>
      <c r="BC45" s="262"/>
      <c r="BD45" s="262"/>
      <c r="BE45" s="262"/>
      <c r="BF45" s="262"/>
      <c r="BG45" s="262"/>
      <c r="BH45" s="262"/>
      <c r="BI45" s="262"/>
      <c r="BJ45" s="262"/>
      <c r="BK45" s="262"/>
      <c r="BL45" s="262"/>
      <c r="BM45" s="262"/>
      <c r="BN45" s="262"/>
      <c r="BO45" s="262"/>
      <c r="BP45" s="262"/>
      <c r="BQ45" s="262"/>
      <c r="BR45" s="262"/>
      <c r="BS45" s="262"/>
      <c r="BT45" s="262"/>
      <c r="BU45" s="262"/>
      <c r="BV45" s="262"/>
      <c r="BW45" s="263"/>
      <c r="BX45" s="263"/>
      <c r="BY45" s="263"/>
      <c r="BZ45" s="263"/>
      <c r="CA45" s="263"/>
      <c r="CB45" s="263"/>
      <c r="CC45" s="263"/>
      <c r="CD45" s="263"/>
      <c r="CE45" s="263"/>
      <c r="CF45" s="263"/>
      <c r="CG45" s="263"/>
      <c r="CH45" s="249">
        <f>+MAX($D$3,DATOS_[[#This Row],[Fecha Inicio Sit. Contract.]])</f>
        <v>45292</v>
      </c>
      <c r="CI45" s="249">
        <f>+MIN($D$4,DATOS_[[#This Row],[Fecha Fin Sit. Contract.]])</f>
        <v>45657</v>
      </c>
      <c r="CJ45" s="250">
        <f>+DATOS_[[#This Row],[% de jornada]]*IF(DATOS_[[#This Row],[% jornada reducida]]="",1,DATOS_[[#This Row],[% jornada reducida]])</f>
        <v>0.75</v>
      </c>
      <c r="CK45" s="250">
        <f>+(DATOS_[[#This Row],[F.fin.cal]]-DATOS_[[#This Row],[F.ini.cal]]+1)/($D$4-$D$3+1)</f>
        <v>1</v>
      </c>
      <c r="CL45" s="250" t="str">
        <f>IF(OR(AND(DATOS_[[#This Row],[Fecha Fin Contrato]]&lt;$D$3,DATOS_[[#This Row],[Fecha Fin Contrato]]&lt;&gt;""),DATOS_[[#This Row],[Fecha de Contratación]]&gt;$D$4),"Fuera","Dentro")</f>
        <v>Dentro</v>
      </c>
      <c r="CM45" s="250" t="str" cm="1">
        <f t="array" ref="CM45">IF(MAX(IF(DATOS_[id/cod]=DATOS_[[#This Row],[id/cod]],DATOS_[F.fin.cal]))=DATOS_[[#This Row],[F.fin.cal]],"Sí","NO")</f>
        <v>Sí</v>
      </c>
      <c r="CN45" s="250" t="str">
        <f>IF(AND(DATOS_[[#This Row],[% normaliz]]&lt;&gt;1,DATOS_[[#This Row],[% anualiz]]=1),"Sí","NO")</f>
        <v>Sí</v>
      </c>
      <c r="CO45" s="250" t="str">
        <f>IF(AND(DATOS_[[#This Row],[% normaliz]]=1,DATOS_[[#This Row],[% anualiz]]&lt;&gt;1),"Sí","NO")</f>
        <v>NO</v>
      </c>
      <c r="CP45" s="250" t="str">
        <f>IF(AND(DATOS_[[#This Row],[% normaliz]]&lt;&gt;1,DATOS_[[#This Row],[% anualiz]]&lt;&gt;1),"Sí","NO")</f>
        <v>NO</v>
      </c>
      <c r="CQ45" s="250" t="str">
        <f>+IF(DATOS_[[#This Row],[% normaliz]]*DATOS_[[#This Row],[% anualiz]]=1,"NO","Sí")</f>
        <v>Sí</v>
      </c>
      <c r="CR45" s="251">
        <f>(DATOS_[[#This Row],[S.BASE]]*(1/DATOS_[[#This Row],[% normaliz]])*(1/DATOS_[[#This Row],[% anualiz]]))*IF(DATOS_[[#This Row],[Check Equiparado]]="Sí",1,0)</f>
        <v>5449.2133333333331</v>
      </c>
      <c r="CS45"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5777.44</v>
      </c>
      <c r="CT45" s="251">
        <f>+DATOS_[[#This Row],[SALARIO BASE Eq]]+DATOS_[[#This Row],[Tot COMPL.SAL Eq]]</f>
        <v>11226.653333333332</v>
      </c>
      <c r="CU45" s="251" cm="1">
        <f t="array" ref="CU45">(SUMPRODUCT((RngTipo=$CU$7)*(rngAnualizable="Sí")*(rngNormalizable="Sí")*(DATOS_[[#This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14629.8</v>
      </c>
      <c r="CV45" s="251">
        <f>+DATOS_[[#This Row],[TOTAL SALARIO Eq]]+DATOS_[[#This Row],[Tot Extrasalarial Eq]]</f>
        <v>25856.453333333331</v>
      </c>
      <c r="CW45" s="252">
        <f>DATOS_[[#This Row],[S.BASE]]</f>
        <v>4086.91</v>
      </c>
      <c r="CX45" s="252">
        <f>+SUM(DATOS_[[#This Row],[Conc.Sal.01]:[Conc.Sal.30]])</f>
        <v>15305.43</v>
      </c>
      <c r="CY45" s="252">
        <f>+DATOS_[[#This Row],[SALARIO BASE Ef]]+DATOS_[[#This Row],[Tot COMPL.SAL Ef]]</f>
        <v>19392.34</v>
      </c>
      <c r="CZ45" s="252">
        <f>+SUM(DATOS_[[#This Row],[C.Extra.01]:[C.Extra.11]])</f>
        <v>0</v>
      </c>
      <c r="DA45" s="252">
        <f>+DATOS_[[#This Row],[TOTAL SALARIO Ef]]+DATOS_[[#This Row],[Tot Extrasalarial Ef]]</f>
        <v>19392.34</v>
      </c>
      <c r="DB45" s="109">
        <f>MIN(IF(DATOS_[[#This Row],[Fecha Fin Contrato]]="",$D$4,DATOS_[[#This Row],[Fecha Fin Contrato]]),$D$4)-MAX(DATOS_[[#This Row],[Fecha de Contratación]],$D$3)+1</f>
        <v>366</v>
      </c>
      <c r="DC45" s="110" t="str">
        <f>IF(COUNTIFS(DATOS_[id/cod],DATOS_[[#This Row],[id/cod]])&gt;1,DATOS_[[#This Row],[id/cod]],"")</f>
        <v/>
      </c>
      <c r="DD45" s="108">
        <f>(Inicio!$G$10-DATOS_[[#This Row],[Fecha Nacimiento]])/365.25</f>
        <v>14.417522245037645</v>
      </c>
      <c r="DE45" s="108">
        <f>(Inicio!$G$10-DATOS_[[#This Row],[Fecha de Antigüedad]])/365.25</f>
        <v>14.417522245037645</v>
      </c>
      <c r="DF45" s="108" t="str">
        <f>+VLOOKUP(DATOS_[[#This Row],[Clave de Contrato]],TblTiposContrato13[],3,FALSE)</f>
        <v>Completa</v>
      </c>
      <c r="DG45" s="108" t="str">
        <f>+VLOOKUP(DATOS_[[#This Row],[Clave de Contrato]],TblTiposContrato13[],4,FALSE)</f>
        <v>Indefinido</v>
      </c>
      <c r="DH45" s="108" t="str">
        <f>VLOOKUP(DATOS_[[#This Row],[Edad]],CONTRATOS!TblRngEdad,2,TRUE)</f>
        <v>20  o menos</v>
      </c>
      <c r="DI45" s="108" t="str">
        <f>VLOOKUP(DATOS_[[#This Row],[Antigüedad]],TblRngAntg14[],2,TRUE)</f>
        <v>de 10 a 15  años</v>
      </c>
    </row>
    <row r="46" spans="1:113" ht="12.9" customHeight="1" x14ac:dyDescent="0.25">
      <c r="A46" s="303" t="s">
        <v>425</v>
      </c>
      <c r="B46" s="265">
        <v>36</v>
      </c>
      <c r="C46" s="264" t="s">
        <v>356</v>
      </c>
      <c r="D46" s="243">
        <v>22830</v>
      </c>
      <c r="E46" s="243" t="s">
        <v>378</v>
      </c>
      <c r="F46" s="245"/>
      <c r="G46" s="245"/>
      <c r="H46" s="266">
        <v>40399</v>
      </c>
      <c r="I46" s="268"/>
      <c r="J46" s="260">
        <v>40399</v>
      </c>
      <c r="K46" s="267"/>
      <c r="L46" s="267"/>
      <c r="M46" s="244">
        <v>1</v>
      </c>
      <c r="N46" s="244"/>
      <c r="O46" s="244"/>
      <c r="P46" s="245">
        <v>100</v>
      </c>
      <c r="Q46" s="242" t="s">
        <v>379</v>
      </c>
      <c r="R46" s="242" t="s">
        <v>379</v>
      </c>
      <c r="S46" s="242" t="s">
        <v>385</v>
      </c>
      <c r="T46" s="242" t="s">
        <v>341</v>
      </c>
      <c r="U46" s="242" t="s">
        <v>342</v>
      </c>
      <c r="V46" s="242"/>
      <c r="W46" s="242" t="s">
        <v>192</v>
      </c>
      <c r="X46" s="246"/>
      <c r="Y46" s="271">
        <v>14000425011981</v>
      </c>
      <c r="Z46" s="247" t="s">
        <v>382</v>
      </c>
      <c r="AA46" s="279" t="s">
        <v>343</v>
      </c>
      <c r="AB46" s="248"/>
      <c r="AC46" s="245">
        <v>10</v>
      </c>
      <c r="AD46" s="261">
        <v>10735.77</v>
      </c>
      <c r="AE46" s="262">
        <v>36.659999999999997</v>
      </c>
      <c r="AF46" s="262">
        <v>1000.85</v>
      </c>
      <c r="AG46" s="262">
        <v>697.55</v>
      </c>
      <c r="AH46" s="262">
        <v>1698.22</v>
      </c>
      <c r="AI46" s="262">
        <v>143.25</v>
      </c>
      <c r="AJ46" s="262">
        <v>824.38</v>
      </c>
      <c r="AK46" s="262">
        <v>0</v>
      </c>
      <c r="AL46" s="262">
        <v>0</v>
      </c>
      <c r="AM46" s="262">
        <v>0</v>
      </c>
      <c r="AN46" s="262">
        <v>308.83999999999997</v>
      </c>
      <c r="AO46" s="262">
        <v>85.81</v>
      </c>
      <c r="AP46" s="262">
        <v>300</v>
      </c>
      <c r="AQ46" s="262">
        <v>0</v>
      </c>
      <c r="AR46" s="262">
        <v>685</v>
      </c>
      <c r="AS46" s="262">
        <v>0</v>
      </c>
      <c r="AT46" s="262">
        <v>3107.26</v>
      </c>
      <c r="AU46" s="262">
        <v>0</v>
      </c>
      <c r="AV46" s="262">
        <v>0</v>
      </c>
      <c r="AW46" s="262">
        <v>0</v>
      </c>
      <c r="AX46" s="262">
        <v>0</v>
      </c>
      <c r="AY46" s="262">
        <v>65</v>
      </c>
      <c r="AZ46" s="262"/>
      <c r="BA46" s="262"/>
      <c r="BB46" s="262"/>
      <c r="BC46" s="262"/>
      <c r="BD46" s="262"/>
      <c r="BE46" s="262"/>
      <c r="BF46" s="262"/>
      <c r="BG46" s="262"/>
      <c r="BH46" s="262"/>
      <c r="BI46" s="262"/>
      <c r="BJ46" s="262"/>
      <c r="BK46" s="262"/>
      <c r="BL46" s="262"/>
      <c r="BM46" s="262"/>
      <c r="BN46" s="262"/>
      <c r="BO46" s="262"/>
      <c r="BP46" s="262"/>
      <c r="BQ46" s="262"/>
      <c r="BR46" s="262"/>
      <c r="BS46" s="262"/>
      <c r="BT46" s="262"/>
      <c r="BU46" s="262"/>
      <c r="BV46" s="262"/>
      <c r="BW46" s="263"/>
      <c r="BX46" s="263"/>
      <c r="BY46" s="263"/>
      <c r="BZ46" s="263"/>
      <c r="CA46" s="263"/>
      <c r="CB46" s="263"/>
      <c r="CC46" s="263"/>
      <c r="CD46" s="263"/>
      <c r="CE46" s="263"/>
      <c r="CF46" s="263"/>
      <c r="CG46" s="263"/>
      <c r="CH46" s="249">
        <f>+MAX($D$3,DATOS_[[#This Row],[Fecha Inicio Sit. Contract.]])</f>
        <v>45292</v>
      </c>
      <c r="CI46" s="249">
        <f>+MIN($D$4,DATOS_[[#This Row],[Fecha Fin Sit. Contract.]])</f>
        <v>45657</v>
      </c>
      <c r="CJ46" s="250">
        <f>+DATOS_[[#This Row],[% de jornada]]*IF(DATOS_[[#This Row],[% jornada reducida]]="",1,DATOS_[[#This Row],[% jornada reducida]])</f>
        <v>1</v>
      </c>
      <c r="CK46" s="250">
        <f>+(DATOS_[[#This Row],[F.fin.cal]]-DATOS_[[#This Row],[F.ini.cal]]+1)/($D$4-$D$3+1)</f>
        <v>1</v>
      </c>
      <c r="CL46" s="250" t="str">
        <f>IF(OR(AND(DATOS_[[#This Row],[Fecha Fin Contrato]]&lt;$D$3,DATOS_[[#This Row],[Fecha Fin Contrato]]&lt;&gt;""),DATOS_[[#This Row],[Fecha de Contratación]]&gt;$D$4),"Fuera","Dentro")</f>
        <v>Dentro</v>
      </c>
      <c r="CM46" s="250" t="str" cm="1">
        <f t="array" ref="CM46">IF(MAX(IF(DATOS_[id/cod]=DATOS_[[#This Row],[id/cod]],DATOS_[F.fin.cal]))=DATOS_[[#This Row],[F.fin.cal]],"Sí","NO")</f>
        <v>Sí</v>
      </c>
      <c r="CN46" s="250" t="str">
        <f>IF(AND(DATOS_[[#This Row],[% normaliz]]&lt;&gt;1,DATOS_[[#This Row],[% anualiz]]=1),"Sí","NO")</f>
        <v>NO</v>
      </c>
      <c r="CO46" s="250" t="str">
        <f>IF(AND(DATOS_[[#This Row],[% normaliz]]=1,DATOS_[[#This Row],[% anualiz]]&lt;&gt;1),"Sí","NO")</f>
        <v>NO</v>
      </c>
      <c r="CP46" s="250" t="str">
        <f>IF(AND(DATOS_[[#This Row],[% normaliz]]&lt;&gt;1,DATOS_[[#This Row],[% anualiz]]&lt;&gt;1),"Sí","NO")</f>
        <v>NO</v>
      </c>
      <c r="CQ46" s="250" t="str">
        <f>+IF(DATOS_[[#This Row],[% normaliz]]*DATOS_[[#This Row],[% anualiz]]=1,"NO","Sí")</f>
        <v>NO</v>
      </c>
      <c r="CR46" s="251">
        <f>(DATOS_[[#This Row],[S.BASE]]*(1/DATOS_[[#This Row],[% normaliz]])*(1/DATOS_[[#This Row],[% anualiz]]))*IF(DATOS_[[#This Row],[Check Equiparado]]="Sí",1,0)</f>
        <v>10735.77</v>
      </c>
      <c r="CS46"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5845.56</v>
      </c>
      <c r="CT46" s="251">
        <f>+DATOS_[[#This Row],[SALARIO BASE Eq]]+DATOS_[[#This Row],[Tot COMPL.SAL Eq]]</f>
        <v>16581.330000000002</v>
      </c>
      <c r="CU46" s="251" cm="1">
        <f t="array" ref="CU46">(SUMPRODUCT((RngTipo=$CU$7)*(rngAnualizable="Sí")*(rngNormalizable="Sí")*(DATOS_[[#This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3107.26</v>
      </c>
      <c r="CV46" s="251">
        <f>+DATOS_[[#This Row],[TOTAL SALARIO Eq]]+DATOS_[[#This Row],[Tot Extrasalarial Eq]]</f>
        <v>19688.590000000004</v>
      </c>
      <c r="CW46" s="252">
        <f>DATOS_[[#This Row],[S.BASE]]</f>
        <v>10735.77</v>
      </c>
      <c r="CX46" s="252">
        <f>+SUM(DATOS_[[#This Row],[Conc.Sal.01]:[Conc.Sal.30]])</f>
        <v>8952.82</v>
      </c>
      <c r="CY46" s="252">
        <f>+DATOS_[[#This Row],[SALARIO BASE Ef]]+DATOS_[[#This Row],[Tot COMPL.SAL Ef]]</f>
        <v>19688.59</v>
      </c>
      <c r="CZ46" s="252">
        <f>+SUM(DATOS_[[#This Row],[C.Extra.01]:[C.Extra.11]])</f>
        <v>0</v>
      </c>
      <c r="DA46" s="252">
        <f>+DATOS_[[#This Row],[TOTAL SALARIO Ef]]+DATOS_[[#This Row],[Tot Extrasalarial Ef]]</f>
        <v>19688.59</v>
      </c>
      <c r="DB46" s="109">
        <f>MIN(IF(DATOS_[[#This Row],[Fecha Fin Contrato]]="",$D$4,DATOS_[[#This Row],[Fecha Fin Contrato]]),$D$4)-MAX(DATOS_[[#This Row],[Fecha de Contratación]],$D$3)+1</f>
        <v>366</v>
      </c>
      <c r="DC46" s="110" t="str">
        <f>IF(COUNTIFS(DATOS_[id/cod],DATOS_[[#This Row],[id/cod]])&gt;1,DATOS_[[#This Row],[id/cod]],"")</f>
        <v/>
      </c>
      <c r="DD46" s="108">
        <f>(Inicio!$G$10-DATOS_[[#This Row],[Fecha Nacimiento]])/365.25</f>
        <v>62.496919917864474</v>
      </c>
      <c r="DE46" s="108">
        <f>(Inicio!$G$10-DATOS_[[#This Row],[Fecha de Antigüedad]])/365.25</f>
        <v>14.395619438740589</v>
      </c>
      <c r="DF46" s="108" t="str">
        <f>+VLOOKUP(DATOS_[[#This Row],[Clave de Contrato]],TblTiposContrato13[],3,FALSE)</f>
        <v>Completa</v>
      </c>
      <c r="DG46" s="108" t="str">
        <f>+VLOOKUP(DATOS_[[#This Row],[Clave de Contrato]],TblTiposContrato13[],4,FALSE)</f>
        <v>Indefinido</v>
      </c>
      <c r="DH46" s="108" t="str">
        <f>VLOOKUP(DATOS_[[#This Row],[Edad]],CONTRATOS!TblRngEdad,2,TRUE)</f>
        <v>60 en adelante</v>
      </c>
      <c r="DI46" s="108" t="str">
        <f>VLOOKUP(DATOS_[[#This Row],[Antigüedad]],TblRngAntg14[],2,TRUE)</f>
        <v>de 10 a 15  años</v>
      </c>
    </row>
    <row r="47" spans="1:113" ht="12.9" customHeight="1" x14ac:dyDescent="0.25">
      <c r="A47" s="303" t="s">
        <v>426</v>
      </c>
      <c r="B47" s="265">
        <v>37</v>
      </c>
      <c r="C47" s="264" t="s">
        <v>337</v>
      </c>
      <c r="D47" s="243">
        <v>27486</v>
      </c>
      <c r="E47" s="243" t="s">
        <v>351</v>
      </c>
      <c r="F47" s="245"/>
      <c r="G47" s="245"/>
      <c r="H47" s="266">
        <v>40616</v>
      </c>
      <c r="I47" s="268"/>
      <c r="J47" s="260">
        <v>40616</v>
      </c>
      <c r="K47" s="267"/>
      <c r="L47" s="267"/>
      <c r="M47" s="244">
        <v>1</v>
      </c>
      <c r="N47" s="244"/>
      <c r="O47" s="244"/>
      <c r="P47" s="245">
        <v>100</v>
      </c>
      <c r="Q47" s="242" t="s">
        <v>339</v>
      </c>
      <c r="R47" s="242" t="s">
        <v>339</v>
      </c>
      <c r="S47" s="242" t="s">
        <v>340</v>
      </c>
      <c r="T47" s="242" t="s">
        <v>341</v>
      </c>
      <c r="U47" s="242" t="s">
        <v>342</v>
      </c>
      <c r="V47" s="242"/>
      <c r="W47" s="242" t="s">
        <v>192</v>
      </c>
      <c r="X47" s="246"/>
      <c r="Y47" s="271">
        <v>14000425011981</v>
      </c>
      <c r="Z47" s="247" t="s">
        <v>382</v>
      </c>
      <c r="AA47" s="279" t="s">
        <v>343</v>
      </c>
      <c r="AB47" s="248"/>
      <c r="AC47" s="245">
        <v>10</v>
      </c>
      <c r="AD47" s="261">
        <v>10735.77</v>
      </c>
      <c r="AE47" s="262">
        <v>36.58</v>
      </c>
      <c r="AF47" s="262">
        <v>1000.85</v>
      </c>
      <c r="AG47" s="262">
        <v>697.55</v>
      </c>
      <c r="AH47" s="262">
        <v>1966.36</v>
      </c>
      <c r="AI47" s="262">
        <v>154.27000000000001</v>
      </c>
      <c r="AJ47" s="262">
        <v>824.38</v>
      </c>
      <c r="AK47" s="262">
        <v>1047.55</v>
      </c>
      <c r="AL47" s="262">
        <v>0</v>
      </c>
      <c r="AM47" s="262">
        <v>0</v>
      </c>
      <c r="AN47" s="262">
        <v>0</v>
      </c>
      <c r="AO47" s="262">
        <v>177.29</v>
      </c>
      <c r="AP47" s="262">
        <v>300</v>
      </c>
      <c r="AQ47" s="262">
        <v>0</v>
      </c>
      <c r="AR47" s="262">
        <v>1247</v>
      </c>
      <c r="AS47" s="262">
        <v>0</v>
      </c>
      <c r="AT47" s="262">
        <v>3143.45</v>
      </c>
      <c r="AU47" s="262">
        <v>157.69999999999999</v>
      </c>
      <c r="AV47" s="262">
        <v>0</v>
      </c>
      <c r="AW47" s="262">
        <v>0</v>
      </c>
      <c r="AX47" s="262">
        <v>0</v>
      </c>
      <c r="AY47" s="262">
        <v>65</v>
      </c>
      <c r="AZ47" s="262"/>
      <c r="BA47" s="262"/>
      <c r="BB47" s="262"/>
      <c r="BC47" s="262"/>
      <c r="BD47" s="262"/>
      <c r="BE47" s="262"/>
      <c r="BF47" s="262"/>
      <c r="BG47" s="262"/>
      <c r="BH47" s="262"/>
      <c r="BI47" s="262"/>
      <c r="BJ47" s="262"/>
      <c r="BK47" s="262"/>
      <c r="BL47" s="262"/>
      <c r="BM47" s="262"/>
      <c r="BN47" s="262"/>
      <c r="BO47" s="262"/>
      <c r="BP47" s="262"/>
      <c r="BQ47" s="262"/>
      <c r="BR47" s="262"/>
      <c r="BS47" s="262"/>
      <c r="BT47" s="262"/>
      <c r="BU47" s="262"/>
      <c r="BV47" s="262"/>
      <c r="BW47" s="263"/>
      <c r="BX47" s="263"/>
      <c r="BY47" s="263"/>
      <c r="BZ47" s="263"/>
      <c r="CA47" s="263"/>
      <c r="CB47" s="263"/>
      <c r="CC47" s="263"/>
      <c r="CD47" s="263"/>
      <c r="CE47" s="263"/>
      <c r="CF47" s="263"/>
      <c r="CG47" s="263"/>
      <c r="CH47" s="249">
        <f>+MAX($D$3,DATOS_[[#This Row],[Fecha Inicio Sit. Contract.]])</f>
        <v>45292</v>
      </c>
      <c r="CI47" s="249">
        <f>+MIN($D$4,DATOS_[[#This Row],[Fecha Fin Sit. Contract.]])</f>
        <v>45657</v>
      </c>
      <c r="CJ47" s="250">
        <f>+DATOS_[[#This Row],[% de jornada]]*IF(DATOS_[[#This Row],[% jornada reducida]]="",1,DATOS_[[#This Row],[% jornada reducida]])</f>
        <v>1</v>
      </c>
      <c r="CK47" s="250">
        <f>+(DATOS_[[#This Row],[F.fin.cal]]-DATOS_[[#This Row],[F.ini.cal]]+1)/($D$4-$D$3+1)</f>
        <v>1</v>
      </c>
      <c r="CL47" s="250" t="str">
        <f>IF(OR(AND(DATOS_[[#This Row],[Fecha Fin Contrato]]&lt;$D$3,DATOS_[[#This Row],[Fecha Fin Contrato]]&lt;&gt;""),DATOS_[[#This Row],[Fecha de Contratación]]&gt;$D$4),"Fuera","Dentro")</f>
        <v>Dentro</v>
      </c>
      <c r="CM47" s="250" t="str" cm="1">
        <f t="array" ref="CM47">IF(MAX(IF(DATOS_[id/cod]=DATOS_[[#This Row],[id/cod]],DATOS_[F.fin.cal]))=DATOS_[[#This Row],[F.fin.cal]],"Sí","NO")</f>
        <v>Sí</v>
      </c>
      <c r="CN47" s="250" t="str">
        <f>IF(AND(DATOS_[[#This Row],[% normaliz]]&lt;&gt;1,DATOS_[[#This Row],[% anualiz]]=1),"Sí","NO")</f>
        <v>NO</v>
      </c>
      <c r="CO47" s="250" t="str">
        <f>IF(AND(DATOS_[[#This Row],[% normaliz]]=1,DATOS_[[#This Row],[% anualiz]]&lt;&gt;1),"Sí","NO")</f>
        <v>NO</v>
      </c>
      <c r="CP47" s="250" t="str">
        <f>IF(AND(DATOS_[[#This Row],[% normaliz]]&lt;&gt;1,DATOS_[[#This Row],[% anualiz]]&lt;&gt;1),"Sí","NO")</f>
        <v>NO</v>
      </c>
      <c r="CQ47" s="250" t="str">
        <f>+IF(DATOS_[[#This Row],[% normaliz]]*DATOS_[[#This Row],[% anualiz]]=1,"NO","Sí")</f>
        <v>NO</v>
      </c>
      <c r="CR47" s="251">
        <f>(DATOS_[[#This Row],[S.BASE]]*(1/DATOS_[[#This Row],[% normaliz]])*(1/DATOS_[[#This Row],[% anualiz]]))*IF(DATOS_[[#This Row],[Check Equiparado]]="Sí",1,0)</f>
        <v>10735.77</v>
      </c>
      <c r="CS47"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7674.53</v>
      </c>
      <c r="CT47" s="251">
        <f>+DATOS_[[#This Row],[SALARIO BASE Eq]]+DATOS_[[#This Row],[Tot COMPL.SAL Eq]]</f>
        <v>18410.3</v>
      </c>
      <c r="CU47" s="251" cm="1">
        <f t="array" ref="CU47">(SUMPRODUCT((RngTipo=$CU$7)*(rngAnualizable="Sí")*(rngNormalizable="Sí")*(DATOS_[[#This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3143.45</v>
      </c>
      <c r="CV47" s="251">
        <f>+DATOS_[[#This Row],[TOTAL SALARIO Eq]]+DATOS_[[#This Row],[Tot Extrasalarial Eq]]</f>
        <v>21553.75</v>
      </c>
      <c r="CW47" s="252">
        <f>DATOS_[[#This Row],[S.BASE]]</f>
        <v>10735.77</v>
      </c>
      <c r="CX47" s="252">
        <f>+SUM(DATOS_[[#This Row],[Conc.Sal.01]:[Conc.Sal.30]])</f>
        <v>10817.98</v>
      </c>
      <c r="CY47" s="252">
        <f>+DATOS_[[#This Row],[SALARIO BASE Ef]]+DATOS_[[#This Row],[Tot COMPL.SAL Ef]]</f>
        <v>21553.75</v>
      </c>
      <c r="CZ47" s="252">
        <f>+SUM(DATOS_[[#This Row],[C.Extra.01]:[C.Extra.11]])</f>
        <v>0</v>
      </c>
      <c r="DA47" s="252">
        <f>+DATOS_[[#This Row],[TOTAL SALARIO Ef]]+DATOS_[[#This Row],[Tot Extrasalarial Ef]]</f>
        <v>21553.75</v>
      </c>
      <c r="DB47" s="109">
        <f>MIN(IF(DATOS_[[#This Row],[Fecha Fin Contrato]]="",$D$4,DATOS_[[#This Row],[Fecha Fin Contrato]]),$D$4)-MAX(DATOS_[[#This Row],[Fecha de Contratación]],$D$3)+1</f>
        <v>366</v>
      </c>
      <c r="DC47" s="110" t="str">
        <f>IF(COUNTIFS(DATOS_[id/cod],DATOS_[[#This Row],[id/cod]])&gt;1,DATOS_[[#This Row],[id/cod]],"")</f>
        <v/>
      </c>
      <c r="DD47" s="108">
        <f>(Inicio!$G$10-DATOS_[[#This Row],[Fecha Nacimiento]])/365.25</f>
        <v>49.74948665297741</v>
      </c>
      <c r="DE47" s="108">
        <f>(Inicio!$G$10-DATOS_[[#This Row],[Fecha de Antigüedad]])/365.25</f>
        <v>13.801505817932922</v>
      </c>
      <c r="DF47" s="108" t="str">
        <f>+VLOOKUP(DATOS_[[#This Row],[Clave de Contrato]],TblTiposContrato13[],3,FALSE)</f>
        <v>Completa</v>
      </c>
      <c r="DG47" s="108" t="str">
        <f>+VLOOKUP(DATOS_[[#This Row],[Clave de Contrato]],TblTiposContrato13[],4,FALSE)</f>
        <v>Indefinido</v>
      </c>
      <c r="DH47" s="108" t="str">
        <f>VLOOKUP(DATOS_[[#This Row],[Edad]],CONTRATOS!TblRngEdad,2,TRUE)</f>
        <v>45 a 50</v>
      </c>
      <c r="DI47" s="108" t="str">
        <f>VLOOKUP(DATOS_[[#This Row],[Antigüedad]],TblRngAntg14[],2,TRUE)</f>
        <v>de 10 a 15  años</v>
      </c>
    </row>
    <row r="48" spans="1:113" ht="12.9" customHeight="1" x14ac:dyDescent="0.25">
      <c r="A48" s="303" t="s">
        <v>427</v>
      </c>
      <c r="B48" s="265">
        <v>38</v>
      </c>
      <c r="C48" s="264" t="s">
        <v>337</v>
      </c>
      <c r="D48" s="243">
        <v>24752</v>
      </c>
      <c r="E48" s="243" t="s">
        <v>373</v>
      </c>
      <c r="F48" s="245"/>
      <c r="G48" s="245"/>
      <c r="H48" s="266">
        <v>40700</v>
      </c>
      <c r="I48" s="268"/>
      <c r="J48" s="260">
        <v>40700</v>
      </c>
      <c r="K48" s="267"/>
      <c r="L48" s="267"/>
      <c r="M48" s="244">
        <v>1</v>
      </c>
      <c r="N48" s="244"/>
      <c r="O48" s="244"/>
      <c r="P48" s="245">
        <v>100</v>
      </c>
      <c r="Q48" s="242" t="s">
        <v>339</v>
      </c>
      <c r="R48" s="242" t="s">
        <v>339</v>
      </c>
      <c r="S48" s="242" t="s">
        <v>340</v>
      </c>
      <c r="T48" s="242" t="s">
        <v>341</v>
      </c>
      <c r="U48" s="242" t="s">
        <v>342</v>
      </c>
      <c r="V48" s="242"/>
      <c r="W48" s="242"/>
      <c r="X48" s="246"/>
      <c r="Y48" s="271">
        <v>14000425011981</v>
      </c>
      <c r="Z48" s="247"/>
      <c r="AA48" s="279" t="s">
        <v>343</v>
      </c>
      <c r="AB48" s="248"/>
      <c r="AC48" s="245">
        <v>7</v>
      </c>
      <c r="AD48" s="261"/>
      <c r="AE48" s="262"/>
      <c r="AF48" s="262"/>
      <c r="AG48" s="262"/>
      <c r="AH48" s="262"/>
      <c r="AI48" s="262"/>
      <c r="AJ48" s="262"/>
      <c r="AK48" s="262"/>
      <c r="AL48" s="262"/>
      <c r="AM48" s="262"/>
      <c r="AN48" s="262"/>
      <c r="AO48" s="262"/>
      <c r="AP48" s="262"/>
      <c r="AQ48" s="262"/>
      <c r="AR48" s="262"/>
      <c r="AS48" s="262"/>
      <c r="AT48" s="262"/>
      <c r="AU48" s="262"/>
      <c r="AV48" s="262"/>
      <c r="AW48" s="262"/>
      <c r="AX48" s="262"/>
      <c r="AY48" s="262"/>
      <c r="AZ48" s="262"/>
      <c r="BA48" s="262"/>
      <c r="BB48" s="262"/>
      <c r="BC48" s="262"/>
      <c r="BD48" s="262"/>
      <c r="BE48" s="262"/>
      <c r="BF48" s="262"/>
      <c r="BG48" s="262"/>
      <c r="BH48" s="262"/>
      <c r="BI48" s="262"/>
      <c r="BJ48" s="262"/>
      <c r="BK48" s="262"/>
      <c r="BL48" s="262"/>
      <c r="BM48" s="262"/>
      <c r="BN48" s="262"/>
      <c r="BO48" s="262"/>
      <c r="BP48" s="262"/>
      <c r="BQ48" s="262"/>
      <c r="BR48" s="262"/>
      <c r="BS48" s="262"/>
      <c r="BT48" s="262"/>
      <c r="BU48" s="262"/>
      <c r="BV48" s="262"/>
      <c r="BW48" s="263"/>
      <c r="BX48" s="263"/>
      <c r="BY48" s="263"/>
      <c r="BZ48" s="263"/>
      <c r="CA48" s="263"/>
      <c r="CB48" s="263"/>
      <c r="CC48" s="263"/>
      <c r="CD48" s="263"/>
      <c r="CE48" s="263"/>
      <c r="CF48" s="263"/>
      <c r="CG48" s="263"/>
      <c r="CH48" s="249">
        <f>+MAX($D$3,DATOS_[[#This Row],[Fecha Inicio Sit. Contract.]])</f>
        <v>45292</v>
      </c>
      <c r="CI48" s="249">
        <f>+MIN($D$4,DATOS_[[#This Row],[Fecha Fin Sit. Contract.]])</f>
        <v>45657</v>
      </c>
      <c r="CJ48" s="250">
        <f>+DATOS_[[#This Row],[% de jornada]]*IF(DATOS_[[#This Row],[% jornada reducida]]="",1,DATOS_[[#This Row],[% jornada reducida]])</f>
        <v>1</v>
      </c>
      <c r="CK48" s="250">
        <f>+(DATOS_[[#This Row],[F.fin.cal]]-DATOS_[[#This Row],[F.ini.cal]]+1)/($D$4-$D$3+1)</f>
        <v>1</v>
      </c>
      <c r="CL48" s="250" t="str">
        <f>IF(OR(AND(DATOS_[[#This Row],[Fecha Fin Contrato]]&lt;$D$3,DATOS_[[#This Row],[Fecha Fin Contrato]]&lt;&gt;""),DATOS_[[#This Row],[Fecha de Contratación]]&gt;$D$4),"Fuera","Dentro")</f>
        <v>Dentro</v>
      </c>
      <c r="CM48" s="250" t="str" cm="1">
        <f t="array" ref="CM48">IF(MAX(IF(DATOS_[id/cod]=DATOS_[[#This Row],[id/cod]],DATOS_[F.fin.cal]))=DATOS_[[#This Row],[F.fin.cal]],"Sí","NO")</f>
        <v>Sí</v>
      </c>
      <c r="CN48" s="250" t="str">
        <f>IF(AND(DATOS_[[#This Row],[% normaliz]]&lt;&gt;1,DATOS_[[#This Row],[% anualiz]]=1),"Sí","NO")</f>
        <v>NO</v>
      </c>
      <c r="CO48" s="250" t="str">
        <f>IF(AND(DATOS_[[#This Row],[% normaliz]]=1,DATOS_[[#This Row],[% anualiz]]&lt;&gt;1),"Sí","NO")</f>
        <v>NO</v>
      </c>
      <c r="CP48" s="250" t="str">
        <f>IF(AND(DATOS_[[#This Row],[% normaliz]]&lt;&gt;1,DATOS_[[#This Row],[% anualiz]]&lt;&gt;1),"Sí","NO")</f>
        <v>NO</v>
      </c>
      <c r="CQ48" s="250" t="str">
        <f>+IF(DATOS_[[#This Row],[% normaliz]]*DATOS_[[#This Row],[% anualiz]]=1,"NO","Sí")</f>
        <v>NO</v>
      </c>
      <c r="CR48" s="251">
        <f>(DATOS_[[#This Row],[S.BASE]]*(1/DATOS_[[#This Row],[% normaliz]])*(1/DATOS_[[#This Row],[% anualiz]]))*IF(DATOS_[[#This Row],[Check Equiparado]]="Sí",1,0)</f>
        <v>0</v>
      </c>
      <c r="CS48"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48" s="251">
        <f>+DATOS_[[#This Row],[SALARIO BASE Eq]]+DATOS_[[#This Row],[Tot COMPL.SAL Eq]]</f>
        <v>0</v>
      </c>
      <c r="CU48" s="251" cm="1">
        <f t="array" ref="CU48">(SUMPRODUCT((RngTipo=$CU$7)*(rngAnualizable="Sí")*(rngNormalizable="Sí")*(DATOS_[[#This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48" s="251">
        <f>+DATOS_[[#This Row],[TOTAL SALARIO Eq]]+DATOS_[[#This Row],[Tot Extrasalarial Eq]]</f>
        <v>0</v>
      </c>
      <c r="CW48" s="252">
        <f>DATOS_[[#This Row],[S.BASE]]</f>
        <v>0</v>
      </c>
      <c r="CX48" s="252">
        <f>+SUM(DATOS_[[#This Row],[Conc.Sal.01]:[Conc.Sal.30]])</f>
        <v>0</v>
      </c>
      <c r="CY48" s="252">
        <f>+DATOS_[[#This Row],[SALARIO BASE Ef]]+DATOS_[[#This Row],[Tot COMPL.SAL Ef]]</f>
        <v>0</v>
      </c>
      <c r="CZ48" s="252">
        <f>+SUM(DATOS_[[#This Row],[C.Extra.01]:[C.Extra.11]])</f>
        <v>0</v>
      </c>
      <c r="DA48" s="252">
        <f>+DATOS_[[#This Row],[TOTAL SALARIO Ef]]+DATOS_[[#This Row],[Tot Extrasalarial Ef]]</f>
        <v>0</v>
      </c>
      <c r="DB48" s="109">
        <f>MIN(IF(DATOS_[[#This Row],[Fecha Fin Contrato]]="",$D$4,DATOS_[[#This Row],[Fecha Fin Contrato]]),$D$4)-MAX(DATOS_[[#This Row],[Fecha de Contratación]],$D$3)+1</f>
        <v>366</v>
      </c>
      <c r="DC48" s="110" t="str">
        <f>IF(COUNTIFS(DATOS_[id/cod],DATOS_[[#This Row],[id/cod]])&gt;1,DATOS_[[#This Row],[id/cod]],"")</f>
        <v/>
      </c>
      <c r="DD48" s="108">
        <f>(Inicio!$G$10-DATOS_[[#This Row],[Fecha Nacimiento]])/365.25</f>
        <v>57.234770704996578</v>
      </c>
      <c r="DE48" s="108">
        <f>(Inicio!$G$10-DATOS_[[#This Row],[Fecha de Antigüedad]])/365.25</f>
        <v>13.571526351813826</v>
      </c>
      <c r="DF48" s="108" t="str">
        <f>+VLOOKUP(DATOS_[[#This Row],[Clave de Contrato]],TblTiposContrato13[],3,FALSE)</f>
        <v>Completa</v>
      </c>
      <c r="DG48" s="108" t="str">
        <f>+VLOOKUP(DATOS_[[#This Row],[Clave de Contrato]],TblTiposContrato13[],4,FALSE)</f>
        <v>Indefinido</v>
      </c>
      <c r="DH48" s="108" t="str">
        <f>VLOOKUP(DATOS_[[#This Row],[Edad]],CONTRATOS!TblRngEdad,2,TRUE)</f>
        <v>55 a 60</v>
      </c>
      <c r="DI48" s="108" t="str">
        <f>VLOOKUP(DATOS_[[#This Row],[Antigüedad]],TblRngAntg14[],2,TRUE)</f>
        <v>de 10 a 15  años</v>
      </c>
    </row>
    <row r="49" spans="1:113" ht="12.9" customHeight="1" x14ac:dyDescent="0.25">
      <c r="A49" s="303" t="s">
        <v>428</v>
      </c>
      <c r="B49" s="265">
        <v>39</v>
      </c>
      <c r="C49" s="264" t="s">
        <v>337</v>
      </c>
      <c r="D49" s="243">
        <v>25710</v>
      </c>
      <c r="E49" s="243" t="s">
        <v>351</v>
      </c>
      <c r="F49" s="245"/>
      <c r="G49" s="245"/>
      <c r="H49" s="266">
        <v>41085</v>
      </c>
      <c r="I49" s="268"/>
      <c r="J49" s="260">
        <v>41085</v>
      </c>
      <c r="K49" s="267"/>
      <c r="L49" s="267"/>
      <c r="M49" s="244">
        <v>1</v>
      </c>
      <c r="N49" s="244"/>
      <c r="O49" s="244"/>
      <c r="P49" s="245">
        <v>100</v>
      </c>
      <c r="Q49" s="242" t="s">
        <v>375</v>
      </c>
      <c r="R49" s="242" t="s">
        <v>375</v>
      </c>
      <c r="S49" s="242" t="s">
        <v>340</v>
      </c>
      <c r="T49" s="242" t="s">
        <v>341</v>
      </c>
      <c r="U49" s="242" t="s">
        <v>342</v>
      </c>
      <c r="V49" s="242"/>
      <c r="W49" s="242"/>
      <c r="X49" s="246"/>
      <c r="Y49" s="271">
        <v>14000425011981</v>
      </c>
      <c r="Z49" s="247"/>
      <c r="AA49" s="279" t="s">
        <v>343</v>
      </c>
      <c r="AB49" s="248"/>
      <c r="AC49" s="245">
        <v>7</v>
      </c>
      <c r="AD49" s="261"/>
      <c r="AE49" s="262"/>
      <c r="AF49" s="262"/>
      <c r="AG49" s="262"/>
      <c r="AH49" s="262"/>
      <c r="AI49" s="262"/>
      <c r="AJ49" s="262"/>
      <c r="AK49" s="262"/>
      <c r="AL49" s="262"/>
      <c r="AM49" s="262"/>
      <c r="AN49" s="262"/>
      <c r="AO49" s="262"/>
      <c r="AP49" s="262"/>
      <c r="AQ49" s="262"/>
      <c r="AR49" s="262"/>
      <c r="AS49" s="262"/>
      <c r="AT49" s="262"/>
      <c r="AU49" s="262"/>
      <c r="AV49" s="262"/>
      <c r="AW49" s="262"/>
      <c r="AX49" s="262"/>
      <c r="AY49" s="262"/>
      <c r="AZ49" s="262"/>
      <c r="BA49" s="262"/>
      <c r="BB49" s="262"/>
      <c r="BC49" s="262"/>
      <c r="BD49" s="262"/>
      <c r="BE49" s="262"/>
      <c r="BF49" s="262"/>
      <c r="BG49" s="262"/>
      <c r="BH49" s="262"/>
      <c r="BI49" s="262"/>
      <c r="BJ49" s="262"/>
      <c r="BK49" s="262"/>
      <c r="BL49" s="262"/>
      <c r="BM49" s="262"/>
      <c r="BN49" s="262"/>
      <c r="BO49" s="262"/>
      <c r="BP49" s="262"/>
      <c r="BQ49" s="262"/>
      <c r="BR49" s="262"/>
      <c r="BS49" s="262"/>
      <c r="BT49" s="262"/>
      <c r="BU49" s="262"/>
      <c r="BV49" s="262"/>
      <c r="BW49" s="263"/>
      <c r="BX49" s="263"/>
      <c r="BY49" s="263"/>
      <c r="BZ49" s="263"/>
      <c r="CA49" s="263"/>
      <c r="CB49" s="263"/>
      <c r="CC49" s="263"/>
      <c r="CD49" s="263"/>
      <c r="CE49" s="263"/>
      <c r="CF49" s="263"/>
      <c r="CG49" s="263"/>
      <c r="CH49" s="249">
        <f>+MAX($D$3,DATOS_[[#This Row],[Fecha Inicio Sit. Contract.]])</f>
        <v>45292</v>
      </c>
      <c r="CI49" s="249">
        <f>+MIN($D$4,DATOS_[[#This Row],[Fecha Fin Sit. Contract.]])</f>
        <v>45657</v>
      </c>
      <c r="CJ49" s="250">
        <f>+DATOS_[[#This Row],[% de jornada]]*IF(DATOS_[[#This Row],[% jornada reducida]]="",1,DATOS_[[#This Row],[% jornada reducida]])</f>
        <v>1</v>
      </c>
      <c r="CK49" s="250">
        <f>+(DATOS_[[#This Row],[F.fin.cal]]-DATOS_[[#This Row],[F.ini.cal]]+1)/($D$4-$D$3+1)</f>
        <v>1</v>
      </c>
      <c r="CL49" s="250" t="str">
        <f>IF(OR(AND(DATOS_[[#This Row],[Fecha Fin Contrato]]&lt;$D$3,DATOS_[[#This Row],[Fecha Fin Contrato]]&lt;&gt;""),DATOS_[[#This Row],[Fecha de Contratación]]&gt;$D$4),"Fuera","Dentro")</f>
        <v>Dentro</v>
      </c>
      <c r="CM49" s="250" t="str" cm="1">
        <f t="array" ref="CM49">IF(MAX(IF(DATOS_[id/cod]=DATOS_[[#This Row],[id/cod]],DATOS_[F.fin.cal]))=DATOS_[[#This Row],[F.fin.cal]],"Sí","NO")</f>
        <v>Sí</v>
      </c>
      <c r="CN49" s="250" t="str">
        <f>IF(AND(DATOS_[[#This Row],[% normaliz]]&lt;&gt;1,DATOS_[[#This Row],[% anualiz]]=1),"Sí","NO")</f>
        <v>NO</v>
      </c>
      <c r="CO49" s="250" t="str">
        <f>IF(AND(DATOS_[[#This Row],[% normaliz]]=1,DATOS_[[#This Row],[% anualiz]]&lt;&gt;1),"Sí","NO")</f>
        <v>NO</v>
      </c>
      <c r="CP49" s="250" t="str">
        <f>IF(AND(DATOS_[[#This Row],[% normaliz]]&lt;&gt;1,DATOS_[[#This Row],[% anualiz]]&lt;&gt;1),"Sí","NO")</f>
        <v>NO</v>
      </c>
      <c r="CQ49" s="250" t="str">
        <f>+IF(DATOS_[[#This Row],[% normaliz]]*DATOS_[[#This Row],[% anualiz]]=1,"NO","Sí")</f>
        <v>NO</v>
      </c>
      <c r="CR49" s="251">
        <f>(DATOS_[[#This Row],[S.BASE]]*(1/DATOS_[[#This Row],[% normaliz]])*(1/DATOS_[[#This Row],[% anualiz]]))*IF(DATOS_[[#This Row],[Check Equiparado]]="Sí",1,0)</f>
        <v>0</v>
      </c>
      <c r="CS49"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49" s="251">
        <f>+DATOS_[[#This Row],[SALARIO BASE Eq]]+DATOS_[[#This Row],[Tot COMPL.SAL Eq]]</f>
        <v>0</v>
      </c>
      <c r="CU49" s="251" cm="1">
        <f t="array" ref="CU49">(SUMPRODUCT((RngTipo=$CU$7)*(rngAnualizable="Sí")*(rngNormalizable="Sí")*(DATOS_[[#This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49" s="251">
        <f>+DATOS_[[#This Row],[TOTAL SALARIO Eq]]+DATOS_[[#This Row],[Tot Extrasalarial Eq]]</f>
        <v>0</v>
      </c>
      <c r="CW49" s="252">
        <f>DATOS_[[#This Row],[S.BASE]]</f>
        <v>0</v>
      </c>
      <c r="CX49" s="252">
        <f>+SUM(DATOS_[[#This Row],[Conc.Sal.01]:[Conc.Sal.30]])</f>
        <v>0</v>
      </c>
      <c r="CY49" s="252">
        <f>+DATOS_[[#This Row],[SALARIO BASE Ef]]+DATOS_[[#This Row],[Tot COMPL.SAL Ef]]</f>
        <v>0</v>
      </c>
      <c r="CZ49" s="252">
        <f>+SUM(DATOS_[[#This Row],[C.Extra.01]:[C.Extra.11]])</f>
        <v>0</v>
      </c>
      <c r="DA49" s="252">
        <f>+DATOS_[[#This Row],[TOTAL SALARIO Ef]]+DATOS_[[#This Row],[Tot Extrasalarial Ef]]</f>
        <v>0</v>
      </c>
      <c r="DB49" s="109">
        <f>MIN(IF(DATOS_[[#This Row],[Fecha Fin Contrato]]="",$D$4,DATOS_[[#This Row],[Fecha Fin Contrato]]),$D$4)-MAX(DATOS_[[#This Row],[Fecha de Contratación]],$D$3)+1</f>
        <v>366</v>
      </c>
      <c r="DC49" s="110" t="str">
        <f>IF(COUNTIFS(DATOS_[id/cod],DATOS_[[#This Row],[id/cod]])&gt;1,DATOS_[[#This Row],[id/cod]],"")</f>
        <v/>
      </c>
      <c r="DD49" s="108">
        <f>(Inicio!$G$10-DATOS_[[#This Row],[Fecha Nacimiento]])/365.25</f>
        <v>54.611909650924026</v>
      </c>
      <c r="DE49" s="108">
        <f>(Inicio!$G$10-DATOS_[[#This Row],[Fecha de Antigüedad]])/365.25</f>
        <v>12.517453798767967</v>
      </c>
      <c r="DF49" s="108" t="str">
        <f>+VLOOKUP(DATOS_[[#This Row],[Clave de Contrato]],TblTiposContrato13[],3,FALSE)</f>
        <v>Completa</v>
      </c>
      <c r="DG49" s="108" t="str">
        <f>+VLOOKUP(DATOS_[[#This Row],[Clave de Contrato]],TblTiposContrato13[],4,FALSE)</f>
        <v>Indefinido</v>
      </c>
      <c r="DH49" s="108" t="str">
        <f>VLOOKUP(DATOS_[[#This Row],[Edad]],CONTRATOS!TblRngEdad,2,TRUE)</f>
        <v>50 a 55</v>
      </c>
      <c r="DI49" s="108" t="str">
        <f>VLOOKUP(DATOS_[[#This Row],[Antigüedad]],TblRngAntg14[],2,TRUE)</f>
        <v>de 10 a 15  años</v>
      </c>
    </row>
    <row r="50" spans="1:113" ht="12.9" customHeight="1" x14ac:dyDescent="0.25">
      <c r="A50" s="303" t="s">
        <v>429</v>
      </c>
      <c r="B50" s="265">
        <v>40</v>
      </c>
      <c r="C50" s="264" t="s">
        <v>337</v>
      </c>
      <c r="D50" s="243">
        <v>30506</v>
      </c>
      <c r="E50" s="243" t="s">
        <v>351</v>
      </c>
      <c r="F50" s="245"/>
      <c r="G50" s="245"/>
      <c r="H50" s="266">
        <v>41323</v>
      </c>
      <c r="I50" s="268"/>
      <c r="J50" s="260">
        <v>41323</v>
      </c>
      <c r="K50" s="267"/>
      <c r="L50" s="267"/>
      <c r="M50" s="244">
        <v>1</v>
      </c>
      <c r="N50" s="244"/>
      <c r="O50" s="244"/>
      <c r="P50" s="245">
        <v>100</v>
      </c>
      <c r="Q50" s="242" t="s">
        <v>339</v>
      </c>
      <c r="R50" s="242" t="s">
        <v>339</v>
      </c>
      <c r="S50" s="242" t="s">
        <v>340</v>
      </c>
      <c r="T50" s="242" t="s">
        <v>341</v>
      </c>
      <c r="U50" s="242" t="s">
        <v>342</v>
      </c>
      <c r="V50" s="242"/>
      <c r="W50" s="242"/>
      <c r="X50" s="246"/>
      <c r="Y50" s="271">
        <v>14000425011981</v>
      </c>
      <c r="Z50" s="247"/>
      <c r="AA50" s="279" t="s">
        <v>343</v>
      </c>
      <c r="AB50" s="248"/>
      <c r="AC50" s="245">
        <v>7</v>
      </c>
      <c r="AD50" s="261"/>
      <c r="AE50" s="262"/>
      <c r="AF50" s="262"/>
      <c r="AG50" s="262"/>
      <c r="AH50" s="262"/>
      <c r="AI50" s="262"/>
      <c r="AJ50" s="262"/>
      <c r="AK50" s="262"/>
      <c r="AL50" s="262"/>
      <c r="AM50" s="262"/>
      <c r="AN50" s="262"/>
      <c r="AO50" s="262"/>
      <c r="AP50" s="262"/>
      <c r="AQ50" s="262"/>
      <c r="AR50" s="262"/>
      <c r="AS50" s="262"/>
      <c r="AT50" s="262"/>
      <c r="AU50" s="262"/>
      <c r="AV50" s="262"/>
      <c r="AW50" s="262"/>
      <c r="AX50" s="262"/>
      <c r="AY50" s="262"/>
      <c r="AZ50" s="262"/>
      <c r="BA50" s="262"/>
      <c r="BB50" s="262"/>
      <c r="BC50" s="262"/>
      <c r="BD50" s="262"/>
      <c r="BE50" s="262"/>
      <c r="BF50" s="262"/>
      <c r="BG50" s="262"/>
      <c r="BH50" s="262"/>
      <c r="BI50" s="262"/>
      <c r="BJ50" s="262"/>
      <c r="BK50" s="262"/>
      <c r="BL50" s="262"/>
      <c r="BM50" s="262"/>
      <c r="BN50" s="262"/>
      <c r="BO50" s="262"/>
      <c r="BP50" s="262"/>
      <c r="BQ50" s="262"/>
      <c r="BR50" s="262"/>
      <c r="BS50" s="262"/>
      <c r="BT50" s="262"/>
      <c r="BU50" s="262"/>
      <c r="BV50" s="262"/>
      <c r="BW50" s="263"/>
      <c r="BX50" s="263"/>
      <c r="BY50" s="263"/>
      <c r="BZ50" s="263"/>
      <c r="CA50" s="263"/>
      <c r="CB50" s="263"/>
      <c r="CC50" s="263"/>
      <c r="CD50" s="263"/>
      <c r="CE50" s="263"/>
      <c r="CF50" s="263"/>
      <c r="CG50" s="263"/>
      <c r="CH50" s="249">
        <f>+MAX($D$3,DATOS_[[#This Row],[Fecha Inicio Sit. Contract.]])</f>
        <v>45292</v>
      </c>
      <c r="CI50" s="249">
        <f>+MIN($D$4,DATOS_[[#This Row],[Fecha Fin Sit. Contract.]])</f>
        <v>45657</v>
      </c>
      <c r="CJ50" s="250">
        <f>+DATOS_[[#This Row],[% de jornada]]*IF(DATOS_[[#This Row],[% jornada reducida]]="",1,DATOS_[[#This Row],[% jornada reducida]])</f>
        <v>1</v>
      </c>
      <c r="CK50" s="250">
        <f>+(DATOS_[[#This Row],[F.fin.cal]]-DATOS_[[#This Row],[F.ini.cal]]+1)/($D$4-$D$3+1)</f>
        <v>1</v>
      </c>
      <c r="CL50" s="250" t="str">
        <f>IF(OR(AND(DATOS_[[#This Row],[Fecha Fin Contrato]]&lt;$D$3,DATOS_[[#This Row],[Fecha Fin Contrato]]&lt;&gt;""),DATOS_[[#This Row],[Fecha de Contratación]]&gt;$D$4),"Fuera","Dentro")</f>
        <v>Dentro</v>
      </c>
      <c r="CM50" s="250" t="str" cm="1">
        <f t="array" ref="CM50">IF(MAX(IF(DATOS_[id/cod]=DATOS_[[#This Row],[id/cod]],DATOS_[F.fin.cal]))=DATOS_[[#This Row],[F.fin.cal]],"Sí","NO")</f>
        <v>Sí</v>
      </c>
      <c r="CN50" s="250" t="str">
        <f>IF(AND(DATOS_[[#This Row],[% normaliz]]&lt;&gt;1,DATOS_[[#This Row],[% anualiz]]=1),"Sí","NO")</f>
        <v>NO</v>
      </c>
      <c r="CO50" s="250" t="str">
        <f>IF(AND(DATOS_[[#This Row],[% normaliz]]=1,DATOS_[[#This Row],[% anualiz]]&lt;&gt;1),"Sí","NO")</f>
        <v>NO</v>
      </c>
      <c r="CP50" s="250" t="str">
        <f>IF(AND(DATOS_[[#This Row],[% normaliz]]&lt;&gt;1,DATOS_[[#This Row],[% anualiz]]&lt;&gt;1),"Sí","NO")</f>
        <v>NO</v>
      </c>
      <c r="CQ50" s="250" t="str">
        <f>+IF(DATOS_[[#This Row],[% normaliz]]*DATOS_[[#This Row],[% anualiz]]=1,"NO","Sí")</f>
        <v>NO</v>
      </c>
      <c r="CR50" s="251">
        <f>(DATOS_[[#This Row],[S.BASE]]*(1/DATOS_[[#This Row],[% normaliz]])*(1/DATOS_[[#This Row],[% anualiz]]))*IF(DATOS_[[#This Row],[Check Equiparado]]="Sí",1,0)</f>
        <v>0</v>
      </c>
      <c r="CS50"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50" s="251">
        <f>+DATOS_[[#This Row],[SALARIO BASE Eq]]+DATOS_[[#This Row],[Tot COMPL.SAL Eq]]</f>
        <v>0</v>
      </c>
      <c r="CU50" s="251" cm="1">
        <f t="array" ref="CU50">(SUMPRODUCT((RngTipo=$CU$7)*(rngAnualizable="Sí")*(rngNormalizable="Sí")*(DATOS_[[#This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50" s="251">
        <f>+DATOS_[[#This Row],[TOTAL SALARIO Eq]]+DATOS_[[#This Row],[Tot Extrasalarial Eq]]</f>
        <v>0</v>
      </c>
      <c r="CW50" s="252">
        <f>DATOS_[[#This Row],[S.BASE]]</f>
        <v>0</v>
      </c>
      <c r="CX50" s="252">
        <f>+SUM(DATOS_[[#This Row],[Conc.Sal.01]:[Conc.Sal.30]])</f>
        <v>0</v>
      </c>
      <c r="CY50" s="252">
        <f>+DATOS_[[#This Row],[SALARIO BASE Ef]]+DATOS_[[#This Row],[Tot COMPL.SAL Ef]]</f>
        <v>0</v>
      </c>
      <c r="CZ50" s="252">
        <f>+SUM(DATOS_[[#This Row],[C.Extra.01]:[C.Extra.11]])</f>
        <v>0</v>
      </c>
      <c r="DA50" s="252">
        <f>+DATOS_[[#This Row],[TOTAL SALARIO Ef]]+DATOS_[[#This Row],[Tot Extrasalarial Ef]]</f>
        <v>0</v>
      </c>
      <c r="DB50" s="109">
        <f>MIN(IF(DATOS_[[#This Row],[Fecha Fin Contrato]]="",$D$4,DATOS_[[#This Row],[Fecha Fin Contrato]]),$D$4)-MAX(DATOS_[[#This Row],[Fecha de Contratación]],$D$3)+1</f>
        <v>366</v>
      </c>
      <c r="DC50" s="110" t="str">
        <f>IF(COUNTIFS(DATOS_[id/cod],DATOS_[[#This Row],[id/cod]])&gt;1,DATOS_[[#This Row],[id/cod]],"")</f>
        <v/>
      </c>
      <c r="DD50" s="108">
        <f>(Inicio!$G$10-DATOS_[[#This Row],[Fecha Nacimiento]])/365.25</f>
        <v>41.481177275838469</v>
      </c>
      <c r="DE50" s="108">
        <f>(Inicio!$G$10-DATOS_[[#This Row],[Fecha de Antigüedad]])/365.25</f>
        <v>11.865845311430528</v>
      </c>
      <c r="DF50" s="108" t="str">
        <f>+VLOOKUP(DATOS_[[#This Row],[Clave de Contrato]],TblTiposContrato13[],3,FALSE)</f>
        <v>Completa</v>
      </c>
      <c r="DG50" s="108" t="str">
        <f>+VLOOKUP(DATOS_[[#This Row],[Clave de Contrato]],TblTiposContrato13[],4,FALSE)</f>
        <v>Indefinido</v>
      </c>
      <c r="DH50" s="108" t="str">
        <f>VLOOKUP(DATOS_[[#This Row],[Edad]],CONTRATOS!TblRngEdad,2,TRUE)</f>
        <v>40 a 45</v>
      </c>
      <c r="DI50" s="108" t="str">
        <f>VLOOKUP(DATOS_[[#This Row],[Antigüedad]],TblRngAntg14[],2,TRUE)</f>
        <v>de 10 a 15  años</v>
      </c>
    </row>
    <row r="51" spans="1:113" ht="12.9" customHeight="1" x14ac:dyDescent="0.25">
      <c r="A51" s="303" t="s">
        <v>430</v>
      </c>
      <c r="B51" s="265">
        <v>41</v>
      </c>
      <c r="C51" s="264" t="s">
        <v>356</v>
      </c>
      <c r="D51" s="243">
        <v>30762</v>
      </c>
      <c r="E51" s="243" t="s">
        <v>338</v>
      </c>
      <c r="F51" s="245"/>
      <c r="G51" s="245"/>
      <c r="H51" s="266">
        <v>41468</v>
      </c>
      <c r="I51" s="268"/>
      <c r="J51" s="260">
        <v>41468</v>
      </c>
      <c r="K51" s="267"/>
      <c r="L51" s="267"/>
      <c r="M51" s="244">
        <v>1</v>
      </c>
      <c r="N51" s="244"/>
      <c r="O51" s="244"/>
      <c r="P51" s="245">
        <v>100</v>
      </c>
      <c r="Q51" s="242" t="s">
        <v>375</v>
      </c>
      <c r="R51" s="242" t="s">
        <v>399</v>
      </c>
      <c r="S51" s="242" t="s">
        <v>431</v>
      </c>
      <c r="T51" s="242"/>
      <c r="U51" s="242"/>
      <c r="V51" s="242"/>
      <c r="W51" s="242"/>
      <c r="X51" s="246"/>
      <c r="Y51" s="271">
        <v>14000425011981</v>
      </c>
      <c r="Z51" s="247"/>
      <c r="AA51" s="279" t="s">
        <v>343</v>
      </c>
      <c r="AB51" s="248"/>
      <c r="AC51" s="245">
        <v>7</v>
      </c>
      <c r="AD51" s="261"/>
      <c r="AE51" s="262"/>
      <c r="AF51" s="262"/>
      <c r="AG51" s="262"/>
      <c r="AH51" s="262"/>
      <c r="AI51" s="262"/>
      <c r="AJ51" s="262"/>
      <c r="AK51" s="262"/>
      <c r="AL51" s="262"/>
      <c r="AM51" s="262"/>
      <c r="AN51" s="262"/>
      <c r="AO51" s="262"/>
      <c r="AP51" s="262"/>
      <c r="AQ51" s="262"/>
      <c r="AR51" s="262"/>
      <c r="AS51" s="262"/>
      <c r="AT51" s="262"/>
      <c r="AU51" s="262"/>
      <c r="AV51" s="262"/>
      <c r="AW51" s="262"/>
      <c r="AX51" s="262"/>
      <c r="AY51" s="262"/>
      <c r="AZ51" s="262"/>
      <c r="BA51" s="262"/>
      <c r="BB51" s="262"/>
      <c r="BC51" s="262"/>
      <c r="BD51" s="262"/>
      <c r="BE51" s="262"/>
      <c r="BF51" s="262"/>
      <c r="BG51" s="262"/>
      <c r="BH51" s="262"/>
      <c r="BI51" s="262"/>
      <c r="BJ51" s="262"/>
      <c r="BK51" s="262"/>
      <c r="BL51" s="262"/>
      <c r="BM51" s="262"/>
      <c r="BN51" s="262"/>
      <c r="BO51" s="262"/>
      <c r="BP51" s="262"/>
      <c r="BQ51" s="262"/>
      <c r="BR51" s="262"/>
      <c r="BS51" s="262"/>
      <c r="BT51" s="262"/>
      <c r="BU51" s="262"/>
      <c r="BV51" s="262"/>
      <c r="BW51" s="263"/>
      <c r="BX51" s="263"/>
      <c r="BY51" s="263"/>
      <c r="BZ51" s="263"/>
      <c r="CA51" s="263"/>
      <c r="CB51" s="263"/>
      <c r="CC51" s="263"/>
      <c r="CD51" s="263"/>
      <c r="CE51" s="263"/>
      <c r="CF51" s="263"/>
      <c r="CG51" s="263"/>
      <c r="CH51" s="249">
        <f>+MAX($D$3,DATOS_[[#This Row],[Fecha Inicio Sit. Contract.]])</f>
        <v>45292</v>
      </c>
      <c r="CI51" s="249">
        <f>+MIN($D$4,DATOS_[[#This Row],[Fecha Fin Sit. Contract.]])</f>
        <v>45657</v>
      </c>
      <c r="CJ51" s="250">
        <f>+DATOS_[[#This Row],[% de jornada]]*IF(DATOS_[[#This Row],[% jornada reducida]]="",1,DATOS_[[#This Row],[% jornada reducida]])</f>
        <v>1</v>
      </c>
      <c r="CK51" s="250">
        <f>+(DATOS_[[#This Row],[F.fin.cal]]-DATOS_[[#This Row],[F.ini.cal]]+1)/($D$4-$D$3+1)</f>
        <v>1</v>
      </c>
      <c r="CL51" s="250" t="str">
        <f>IF(OR(AND(DATOS_[[#This Row],[Fecha Fin Contrato]]&lt;$D$3,DATOS_[[#This Row],[Fecha Fin Contrato]]&lt;&gt;""),DATOS_[[#This Row],[Fecha de Contratación]]&gt;$D$4),"Fuera","Dentro")</f>
        <v>Dentro</v>
      </c>
      <c r="CM51" s="250" t="str" cm="1">
        <f t="array" ref="CM51">IF(MAX(IF(DATOS_[id/cod]=DATOS_[[#This Row],[id/cod]],DATOS_[F.fin.cal]))=DATOS_[[#This Row],[F.fin.cal]],"Sí","NO")</f>
        <v>Sí</v>
      </c>
      <c r="CN51" s="250" t="str">
        <f>IF(AND(DATOS_[[#This Row],[% normaliz]]&lt;&gt;1,DATOS_[[#This Row],[% anualiz]]=1),"Sí","NO")</f>
        <v>NO</v>
      </c>
      <c r="CO51" s="250" t="str">
        <f>IF(AND(DATOS_[[#This Row],[% normaliz]]=1,DATOS_[[#This Row],[% anualiz]]&lt;&gt;1),"Sí","NO")</f>
        <v>NO</v>
      </c>
      <c r="CP51" s="250" t="str">
        <f>IF(AND(DATOS_[[#This Row],[% normaliz]]&lt;&gt;1,DATOS_[[#This Row],[% anualiz]]&lt;&gt;1),"Sí","NO")</f>
        <v>NO</v>
      </c>
      <c r="CQ51" s="250" t="str">
        <f>+IF(DATOS_[[#This Row],[% normaliz]]*DATOS_[[#This Row],[% anualiz]]=1,"NO","Sí")</f>
        <v>NO</v>
      </c>
      <c r="CR51" s="251">
        <f>(DATOS_[[#This Row],[S.BASE]]*(1/DATOS_[[#This Row],[% normaliz]])*(1/DATOS_[[#This Row],[% anualiz]]))*IF(DATOS_[[#This Row],[Check Equiparado]]="Sí",1,0)</f>
        <v>0</v>
      </c>
      <c r="CS51"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51" s="251">
        <f>+DATOS_[[#This Row],[SALARIO BASE Eq]]+DATOS_[[#This Row],[Tot COMPL.SAL Eq]]</f>
        <v>0</v>
      </c>
      <c r="CU51" s="251" cm="1">
        <f t="array" ref="CU51">(SUMPRODUCT((RngTipo=$CU$7)*(rngAnualizable="Sí")*(rngNormalizable="Sí")*(DATOS_[[#This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51" s="251">
        <f>+DATOS_[[#This Row],[TOTAL SALARIO Eq]]+DATOS_[[#This Row],[Tot Extrasalarial Eq]]</f>
        <v>0</v>
      </c>
      <c r="CW51" s="252">
        <f>DATOS_[[#This Row],[S.BASE]]</f>
        <v>0</v>
      </c>
      <c r="CX51" s="252">
        <f>+SUM(DATOS_[[#This Row],[Conc.Sal.01]:[Conc.Sal.30]])</f>
        <v>0</v>
      </c>
      <c r="CY51" s="252">
        <f>+DATOS_[[#This Row],[SALARIO BASE Ef]]+DATOS_[[#This Row],[Tot COMPL.SAL Ef]]</f>
        <v>0</v>
      </c>
      <c r="CZ51" s="252">
        <f>+SUM(DATOS_[[#This Row],[C.Extra.01]:[C.Extra.11]])</f>
        <v>0</v>
      </c>
      <c r="DA51" s="252">
        <f>+DATOS_[[#This Row],[TOTAL SALARIO Ef]]+DATOS_[[#This Row],[Tot Extrasalarial Ef]]</f>
        <v>0</v>
      </c>
      <c r="DB51" s="109">
        <f>MIN(IF(DATOS_[[#This Row],[Fecha Fin Contrato]]="",$D$4,DATOS_[[#This Row],[Fecha Fin Contrato]]),$D$4)-MAX(DATOS_[[#This Row],[Fecha de Contratación]],$D$3)+1</f>
        <v>366</v>
      </c>
      <c r="DC51" s="110" t="str">
        <f>IF(COUNTIFS(DATOS_[id/cod],DATOS_[[#This Row],[id/cod]])&gt;1,DATOS_[[#This Row],[id/cod]],"")</f>
        <v/>
      </c>
      <c r="DD51" s="108">
        <f>(Inicio!$G$10-DATOS_[[#This Row],[Fecha Nacimiento]])/365.25</f>
        <v>40.780287474332646</v>
      </c>
      <c r="DE51" s="108">
        <f>(Inicio!$G$10-DATOS_[[#This Row],[Fecha de Antigüedad]])/365.25</f>
        <v>11.468856947296372</v>
      </c>
      <c r="DF51" s="108" t="str">
        <f>+VLOOKUP(DATOS_[[#This Row],[Clave de Contrato]],TblTiposContrato13[],3,FALSE)</f>
        <v>Completa</v>
      </c>
      <c r="DG51" s="108" t="str">
        <f>+VLOOKUP(DATOS_[[#This Row],[Clave de Contrato]],TblTiposContrato13[],4,FALSE)</f>
        <v>Indefinido</v>
      </c>
      <c r="DH51" s="108" t="str">
        <f>VLOOKUP(DATOS_[[#This Row],[Edad]],CONTRATOS!TblRngEdad,2,TRUE)</f>
        <v>40 a 45</v>
      </c>
      <c r="DI51" s="108" t="str">
        <f>VLOOKUP(DATOS_[[#This Row],[Antigüedad]],TblRngAntg14[],2,TRUE)</f>
        <v>de 10 a 15  años</v>
      </c>
    </row>
    <row r="52" spans="1:113" x14ac:dyDescent="0.25">
      <c r="A52" s="303" t="s">
        <v>432</v>
      </c>
      <c r="B52" s="265">
        <v>42</v>
      </c>
      <c r="C52" s="264" t="s">
        <v>337</v>
      </c>
      <c r="D52" s="243">
        <v>27626</v>
      </c>
      <c r="E52" s="243" t="s">
        <v>351</v>
      </c>
      <c r="F52" s="245"/>
      <c r="G52" s="245"/>
      <c r="H52" s="266">
        <v>41557</v>
      </c>
      <c r="I52" s="268"/>
      <c r="J52" s="260">
        <v>41557</v>
      </c>
      <c r="K52" s="267"/>
      <c r="L52" s="267"/>
      <c r="M52" s="244">
        <v>1</v>
      </c>
      <c r="N52" s="244"/>
      <c r="O52" s="244"/>
      <c r="P52" s="245">
        <v>100</v>
      </c>
      <c r="Q52" s="242" t="s">
        <v>339</v>
      </c>
      <c r="R52" s="242" t="s">
        <v>339</v>
      </c>
      <c r="S52" s="242" t="s">
        <v>340</v>
      </c>
      <c r="T52" s="242" t="s">
        <v>341</v>
      </c>
      <c r="U52" s="242" t="s">
        <v>342</v>
      </c>
      <c r="V52" s="242"/>
      <c r="W52" s="242"/>
      <c r="X52" s="246"/>
      <c r="Y52" s="271">
        <v>14000425011981</v>
      </c>
      <c r="Z52" s="247"/>
      <c r="AA52" s="279" t="s">
        <v>343</v>
      </c>
      <c r="AB52" s="248"/>
      <c r="AC52" s="245">
        <v>7</v>
      </c>
      <c r="AD52" s="261"/>
      <c r="AE52" s="262"/>
      <c r="AF52" s="262"/>
      <c r="AG52" s="262"/>
      <c r="AH52" s="262"/>
      <c r="AI52" s="262"/>
      <c r="AJ52" s="262"/>
      <c r="AK52" s="262"/>
      <c r="AL52" s="262"/>
      <c r="AM52" s="262"/>
      <c r="AN52" s="262"/>
      <c r="AO52" s="262"/>
      <c r="AP52" s="262"/>
      <c r="AQ52" s="262"/>
      <c r="AR52" s="262"/>
      <c r="AS52" s="262"/>
      <c r="AT52" s="262"/>
      <c r="AU52" s="262"/>
      <c r="AV52" s="262"/>
      <c r="AW52" s="262"/>
      <c r="AX52" s="262"/>
      <c r="AY52" s="262"/>
      <c r="AZ52" s="262"/>
      <c r="BA52" s="262"/>
      <c r="BB52" s="262"/>
      <c r="BC52" s="262"/>
      <c r="BD52" s="262"/>
      <c r="BE52" s="262"/>
      <c r="BF52" s="262"/>
      <c r="BG52" s="262"/>
      <c r="BH52" s="262"/>
      <c r="BI52" s="262"/>
      <c r="BJ52" s="262"/>
      <c r="BK52" s="262"/>
      <c r="BL52" s="262"/>
      <c r="BM52" s="262"/>
      <c r="BN52" s="262"/>
      <c r="BO52" s="262"/>
      <c r="BP52" s="262"/>
      <c r="BQ52" s="262"/>
      <c r="BR52" s="262"/>
      <c r="BS52" s="262"/>
      <c r="BT52" s="262"/>
      <c r="BU52" s="262"/>
      <c r="BV52" s="262"/>
      <c r="BW52" s="263"/>
      <c r="BX52" s="263"/>
      <c r="BY52" s="263"/>
      <c r="BZ52" s="263"/>
      <c r="CA52" s="263"/>
      <c r="CB52" s="263"/>
      <c r="CC52" s="263"/>
      <c r="CD52" s="263"/>
      <c r="CE52" s="263"/>
      <c r="CF52" s="263"/>
      <c r="CG52" s="263"/>
      <c r="CH52" s="249">
        <f>+MAX($D$3,DATOS_[[#This Row],[Fecha Inicio Sit. Contract.]])</f>
        <v>45292</v>
      </c>
      <c r="CI52" s="249">
        <f>+MIN($D$4,DATOS_[[#This Row],[Fecha Fin Sit. Contract.]])</f>
        <v>45657</v>
      </c>
      <c r="CJ52" s="250">
        <f>+DATOS_[[#This Row],[% de jornada]]*IF(DATOS_[[#This Row],[% jornada reducida]]="",1,DATOS_[[#This Row],[% jornada reducida]])</f>
        <v>1</v>
      </c>
      <c r="CK52" s="250">
        <f>+(DATOS_[[#This Row],[F.fin.cal]]-DATOS_[[#This Row],[F.ini.cal]]+1)/($D$4-$D$3+1)</f>
        <v>1</v>
      </c>
      <c r="CL52" s="250" t="str">
        <f>IF(OR(AND(DATOS_[[#This Row],[Fecha Fin Contrato]]&lt;$D$3,DATOS_[[#This Row],[Fecha Fin Contrato]]&lt;&gt;""),DATOS_[[#This Row],[Fecha de Contratación]]&gt;$D$4),"Fuera","Dentro")</f>
        <v>Dentro</v>
      </c>
      <c r="CM52" s="250" t="str" cm="1">
        <f t="array" ref="CM52">IF(MAX(IF(DATOS_[id/cod]=DATOS_[[#This Row],[id/cod]],DATOS_[F.fin.cal]))=DATOS_[[#This Row],[F.fin.cal]],"Sí","NO")</f>
        <v>Sí</v>
      </c>
      <c r="CN52" s="250" t="str">
        <f>IF(AND(DATOS_[[#This Row],[% normaliz]]&lt;&gt;1,DATOS_[[#This Row],[% anualiz]]=1),"Sí","NO")</f>
        <v>NO</v>
      </c>
      <c r="CO52" s="250" t="str">
        <f>IF(AND(DATOS_[[#This Row],[% normaliz]]=1,DATOS_[[#This Row],[% anualiz]]&lt;&gt;1),"Sí","NO")</f>
        <v>NO</v>
      </c>
      <c r="CP52" s="250" t="str">
        <f>IF(AND(DATOS_[[#This Row],[% normaliz]]&lt;&gt;1,DATOS_[[#This Row],[% anualiz]]&lt;&gt;1),"Sí","NO")</f>
        <v>NO</v>
      </c>
      <c r="CQ52" s="250" t="str">
        <f>+IF(DATOS_[[#This Row],[% normaliz]]*DATOS_[[#This Row],[% anualiz]]=1,"NO","Sí")</f>
        <v>NO</v>
      </c>
      <c r="CR52" s="251">
        <f>(DATOS_[[#This Row],[S.BASE]]*(1/DATOS_[[#This Row],[% normaliz]])*(1/DATOS_[[#This Row],[% anualiz]]))*IF(DATOS_[[#This Row],[Check Equiparado]]="Sí",1,0)</f>
        <v>0</v>
      </c>
      <c r="CS52"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52" s="251">
        <f>+DATOS_[[#This Row],[SALARIO BASE Eq]]+DATOS_[[#This Row],[Tot COMPL.SAL Eq]]</f>
        <v>0</v>
      </c>
      <c r="CU52" s="251" cm="1">
        <f t="array" ref="CU52">(SUMPRODUCT((RngTipo=$CU$7)*(rngAnualizable="Sí")*(rngNormalizable="Sí")*(DATOS_[[#This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52" s="251">
        <f>+DATOS_[[#This Row],[TOTAL SALARIO Eq]]+DATOS_[[#This Row],[Tot Extrasalarial Eq]]</f>
        <v>0</v>
      </c>
      <c r="CW52" s="252">
        <f>DATOS_[[#This Row],[S.BASE]]</f>
        <v>0</v>
      </c>
      <c r="CX52" s="252">
        <f>+SUM(DATOS_[[#This Row],[Conc.Sal.01]:[Conc.Sal.30]])</f>
        <v>0</v>
      </c>
      <c r="CY52" s="252">
        <f>+DATOS_[[#This Row],[SALARIO BASE Ef]]+DATOS_[[#This Row],[Tot COMPL.SAL Ef]]</f>
        <v>0</v>
      </c>
      <c r="CZ52" s="252">
        <f>+SUM(DATOS_[[#This Row],[C.Extra.01]:[C.Extra.11]])</f>
        <v>0</v>
      </c>
      <c r="DA52" s="252">
        <f>+DATOS_[[#This Row],[TOTAL SALARIO Ef]]+DATOS_[[#This Row],[Tot Extrasalarial Ef]]</f>
        <v>0</v>
      </c>
      <c r="DB52" s="109">
        <f>MIN(IF(DATOS_[[#This Row],[Fecha Fin Contrato]]="",$D$4,DATOS_[[#This Row],[Fecha Fin Contrato]]),$D$4)-MAX(DATOS_[[#This Row],[Fecha de Contratación]],$D$3)+1</f>
        <v>366</v>
      </c>
      <c r="DC52" s="110" t="str">
        <f>IF(COUNTIFS(DATOS_[id/cod],DATOS_[[#This Row],[id/cod]])&gt;1,DATOS_[[#This Row],[id/cod]],"")</f>
        <v/>
      </c>
      <c r="DD52" s="108">
        <f>(Inicio!$G$10-DATOS_[[#This Row],[Fecha Nacimiento]])/365.25</f>
        <v>49.366187542778917</v>
      </c>
      <c r="DE52" s="108">
        <f>(Inicio!$G$10-DATOS_[[#This Row],[Fecha de Antigüedad]])/365.25</f>
        <v>11.225188227241615</v>
      </c>
      <c r="DF52" s="108" t="str">
        <f>+VLOOKUP(DATOS_[[#This Row],[Clave de Contrato]],TblTiposContrato13[],3,FALSE)</f>
        <v>Completa</v>
      </c>
      <c r="DG52" s="108" t="str">
        <f>+VLOOKUP(DATOS_[[#This Row],[Clave de Contrato]],TblTiposContrato13[],4,FALSE)</f>
        <v>Indefinido</v>
      </c>
      <c r="DH52" s="108" t="str">
        <f>VLOOKUP(DATOS_[[#This Row],[Edad]],CONTRATOS!TblRngEdad,2,TRUE)</f>
        <v>45 a 50</v>
      </c>
      <c r="DI52" s="108" t="str">
        <f>VLOOKUP(DATOS_[[#This Row],[Antigüedad]],TblRngAntg14[],2,TRUE)</f>
        <v>de 10 a 15  años</v>
      </c>
    </row>
    <row r="53" spans="1:113" x14ac:dyDescent="0.25">
      <c r="A53" s="303" t="s">
        <v>433</v>
      </c>
      <c r="B53" s="265">
        <v>43</v>
      </c>
      <c r="C53" s="264" t="s">
        <v>337</v>
      </c>
      <c r="D53" s="243">
        <v>24906</v>
      </c>
      <c r="E53" s="243" t="s">
        <v>338</v>
      </c>
      <c r="F53" s="245"/>
      <c r="G53" s="245"/>
      <c r="H53" s="266">
        <v>41768</v>
      </c>
      <c r="I53" s="268"/>
      <c r="J53" s="260">
        <v>41768</v>
      </c>
      <c r="K53" s="267"/>
      <c r="L53" s="267"/>
      <c r="M53" s="244">
        <v>1</v>
      </c>
      <c r="N53" s="244"/>
      <c r="O53" s="244"/>
      <c r="P53" s="245">
        <v>100</v>
      </c>
      <c r="Q53" s="242" t="s">
        <v>339</v>
      </c>
      <c r="R53" s="242" t="s">
        <v>339</v>
      </c>
      <c r="S53" s="242" t="s">
        <v>340</v>
      </c>
      <c r="T53" s="242" t="s">
        <v>341</v>
      </c>
      <c r="U53" s="242" t="s">
        <v>342</v>
      </c>
      <c r="V53" s="242"/>
      <c r="W53" s="242"/>
      <c r="X53" s="246"/>
      <c r="Y53" s="271">
        <v>14000425011981</v>
      </c>
      <c r="Z53" s="247"/>
      <c r="AA53" s="279" t="s">
        <v>343</v>
      </c>
      <c r="AB53" s="248"/>
      <c r="AC53" s="245">
        <v>7</v>
      </c>
      <c r="AD53" s="261"/>
      <c r="AE53" s="262"/>
      <c r="AF53" s="262"/>
      <c r="AG53" s="262"/>
      <c r="AH53" s="262"/>
      <c r="AI53" s="262"/>
      <c r="AJ53" s="262"/>
      <c r="AK53" s="262"/>
      <c r="AL53" s="262"/>
      <c r="AM53" s="262"/>
      <c r="AN53" s="262"/>
      <c r="AO53" s="262"/>
      <c r="AP53" s="262"/>
      <c r="AQ53" s="262"/>
      <c r="AR53" s="262"/>
      <c r="AS53" s="262"/>
      <c r="AT53" s="262"/>
      <c r="AU53" s="262"/>
      <c r="AV53" s="262"/>
      <c r="AW53" s="262"/>
      <c r="AX53" s="262"/>
      <c r="AY53" s="262"/>
      <c r="AZ53" s="262"/>
      <c r="BA53" s="262"/>
      <c r="BB53" s="262"/>
      <c r="BC53" s="262"/>
      <c r="BD53" s="262"/>
      <c r="BE53" s="262"/>
      <c r="BF53" s="262"/>
      <c r="BG53" s="262"/>
      <c r="BH53" s="262"/>
      <c r="BI53" s="262"/>
      <c r="BJ53" s="262"/>
      <c r="BK53" s="262"/>
      <c r="BL53" s="262"/>
      <c r="BM53" s="262"/>
      <c r="BN53" s="262"/>
      <c r="BO53" s="262"/>
      <c r="BP53" s="262"/>
      <c r="BQ53" s="262"/>
      <c r="BR53" s="262"/>
      <c r="BS53" s="262"/>
      <c r="BT53" s="262"/>
      <c r="BU53" s="262"/>
      <c r="BV53" s="262"/>
      <c r="BW53" s="263"/>
      <c r="BX53" s="263"/>
      <c r="BY53" s="263"/>
      <c r="BZ53" s="263"/>
      <c r="CA53" s="263"/>
      <c r="CB53" s="263"/>
      <c r="CC53" s="263"/>
      <c r="CD53" s="263"/>
      <c r="CE53" s="263"/>
      <c r="CF53" s="263"/>
      <c r="CG53" s="263"/>
      <c r="CH53" s="249">
        <f>+MAX($D$3,DATOS_[[#This Row],[Fecha Inicio Sit. Contract.]])</f>
        <v>45292</v>
      </c>
      <c r="CI53" s="249">
        <f>+MIN($D$4,DATOS_[[#This Row],[Fecha Fin Sit. Contract.]])</f>
        <v>45657</v>
      </c>
      <c r="CJ53" s="250">
        <f>+DATOS_[[#This Row],[% de jornada]]*IF(DATOS_[[#This Row],[% jornada reducida]]="",1,DATOS_[[#This Row],[% jornada reducida]])</f>
        <v>1</v>
      </c>
      <c r="CK53" s="250">
        <f>+(DATOS_[[#This Row],[F.fin.cal]]-DATOS_[[#This Row],[F.ini.cal]]+1)/($D$4-$D$3+1)</f>
        <v>1</v>
      </c>
      <c r="CL53" s="250" t="str">
        <f>IF(OR(AND(DATOS_[[#This Row],[Fecha Fin Contrato]]&lt;$D$3,DATOS_[[#This Row],[Fecha Fin Contrato]]&lt;&gt;""),DATOS_[[#This Row],[Fecha de Contratación]]&gt;$D$4),"Fuera","Dentro")</f>
        <v>Dentro</v>
      </c>
      <c r="CM53" s="250" t="str" cm="1">
        <f t="array" ref="CM53">IF(MAX(IF(DATOS_[id/cod]=DATOS_[[#This Row],[id/cod]],DATOS_[F.fin.cal]))=DATOS_[[#This Row],[F.fin.cal]],"Sí","NO")</f>
        <v>Sí</v>
      </c>
      <c r="CN53" s="250" t="str">
        <f>IF(AND(DATOS_[[#This Row],[% normaliz]]&lt;&gt;1,DATOS_[[#This Row],[% anualiz]]=1),"Sí","NO")</f>
        <v>NO</v>
      </c>
      <c r="CO53" s="250" t="str">
        <f>IF(AND(DATOS_[[#This Row],[% normaliz]]=1,DATOS_[[#This Row],[% anualiz]]&lt;&gt;1),"Sí","NO")</f>
        <v>NO</v>
      </c>
      <c r="CP53" s="250" t="str">
        <f>IF(AND(DATOS_[[#This Row],[% normaliz]]&lt;&gt;1,DATOS_[[#This Row],[% anualiz]]&lt;&gt;1),"Sí","NO")</f>
        <v>NO</v>
      </c>
      <c r="CQ53" s="250" t="str">
        <f>+IF(DATOS_[[#This Row],[% normaliz]]*DATOS_[[#This Row],[% anualiz]]=1,"NO","Sí")</f>
        <v>NO</v>
      </c>
      <c r="CR53" s="251">
        <f>(DATOS_[[#This Row],[S.BASE]]*(1/DATOS_[[#This Row],[% normaliz]])*(1/DATOS_[[#This Row],[% anualiz]]))*IF(DATOS_[[#This Row],[Check Equiparado]]="Sí",1,0)</f>
        <v>0</v>
      </c>
      <c r="CS53"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53" s="251">
        <f>+DATOS_[[#This Row],[SALARIO BASE Eq]]+DATOS_[[#This Row],[Tot COMPL.SAL Eq]]</f>
        <v>0</v>
      </c>
      <c r="CU53" s="251" cm="1">
        <f t="array" ref="CU53">(SUMPRODUCT((RngTipo=$CU$7)*(rngAnualizable="Sí")*(rngNormalizable="Sí")*(DATOS_[[#This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53" s="251">
        <f>+DATOS_[[#This Row],[TOTAL SALARIO Eq]]+DATOS_[[#This Row],[Tot Extrasalarial Eq]]</f>
        <v>0</v>
      </c>
      <c r="CW53" s="252">
        <f>DATOS_[[#This Row],[S.BASE]]</f>
        <v>0</v>
      </c>
      <c r="CX53" s="252">
        <f>+SUM(DATOS_[[#This Row],[Conc.Sal.01]:[Conc.Sal.30]])</f>
        <v>0</v>
      </c>
      <c r="CY53" s="252">
        <f>+DATOS_[[#This Row],[SALARIO BASE Ef]]+DATOS_[[#This Row],[Tot COMPL.SAL Ef]]</f>
        <v>0</v>
      </c>
      <c r="CZ53" s="252">
        <f>+SUM(DATOS_[[#This Row],[C.Extra.01]:[C.Extra.11]])</f>
        <v>0</v>
      </c>
      <c r="DA53" s="252">
        <f>+DATOS_[[#This Row],[TOTAL SALARIO Ef]]+DATOS_[[#This Row],[Tot Extrasalarial Ef]]</f>
        <v>0</v>
      </c>
      <c r="DB53" s="109">
        <f>MIN(IF(DATOS_[[#This Row],[Fecha Fin Contrato]]="",$D$4,DATOS_[[#This Row],[Fecha Fin Contrato]]),$D$4)-MAX(DATOS_[[#This Row],[Fecha de Contratación]],$D$3)+1</f>
        <v>366</v>
      </c>
      <c r="DC53" s="110" t="str">
        <f>IF(COUNTIFS(DATOS_[id/cod],DATOS_[[#This Row],[id/cod]])&gt;1,DATOS_[[#This Row],[id/cod]],"")</f>
        <v/>
      </c>
      <c r="DD53" s="108">
        <f>(Inicio!$G$10-DATOS_[[#This Row],[Fecha Nacimiento]])/365.25</f>
        <v>56.813141683778234</v>
      </c>
      <c r="DE53" s="108">
        <f>(Inicio!$G$10-DATOS_[[#This Row],[Fecha de Antigüedad]])/365.25</f>
        <v>10.647501711156742</v>
      </c>
      <c r="DF53" s="108" t="str">
        <f>+VLOOKUP(DATOS_[[#This Row],[Clave de Contrato]],TblTiposContrato13[],3,FALSE)</f>
        <v>Completa</v>
      </c>
      <c r="DG53" s="108" t="str">
        <f>+VLOOKUP(DATOS_[[#This Row],[Clave de Contrato]],TblTiposContrato13[],4,FALSE)</f>
        <v>Indefinido</v>
      </c>
      <c r="DH53" s="108" t="str">
        <f>VLOOKUP(DATOS_[[#This Row],[Edad]],CONTRATOS!TblRngEdad,2,TRUE)</f>
        <v>55 a 60</v>
      </c>
      <c r="DI53" s="108" t="str">
        <f>VLOOKUP(DATOS_[[#This Row],[Antigüedad]],TblRngAntg14[],2,TRUE)</f>
        <v>de 10 a 15  años</v>
      </c>
    </row>
    <row r="54" spans="1:113" x14ac:dyDescent="0.25">
      <c r="A54" s="303" t="s">
        <v>434</v>
      </c>
      <c r="B54" s="265">
        <v>44</v>
      </c>
      <c r="C54" s="264" t="s">
        <v>356</v>
      </c>
      <c r="D54" s="243">
        <v>28755</v>
      </c>
      <c r="E54" s="243" t="s">
        <v>351</v>
      </c>
      <c r="F54" s="245"/>
      <c r="G54" s="245"/>
      <c r="H54" s="266">
        <v>42136</v>
      </c>
      <c r="I54" s="268"/>
      <c r="J54" s="260">
        <v>42136</v>
      </c>
      <c r="K54" s="267"/>
      <c r="L54" s="267"/>
      <c r="M54" s="244">
        <v>1</v>
      </c>
      <c r="N54" s="244"/>
      <c r="O54" s="244"/>
      <c r="P54" s="245">
        <v>100</v>
      </c>
      <c r="Q54" s="242" t="s">
        <v>391</v>
      </c>
      <c r="R54" s="242" t="s">
        <v>401</v>
      </c>
      <c r="S54" s="242" t="s">
        <v>391</v>
      </c>
      <c r="T54" s="242" t="s">
        <v>341</v>
      </c>
      <c r="U54" s="242" t="s">
        <v>342</v>
      </c>
      <c r="V54" s="242"/>
      <c r="W54" s="242"/>
      <c r="X54" s="246"/>
      <c r="Y54" s="271">
        <v>14000425011981</v>
      </c>
      <c r="Z54" s="247"/>
      <c r="AA54" s="279" t="s">
        <v>343</v>
      </c>
      <c r="AB54" s="248"/>
      <c r="AC54" s="245">
        <v>7</v>
      </c>
      <c r="AD54" s="261"/>
      <c r="AE54" s="262"/>
      <c r="AF54" s="262"/>
      <c r="AG54" s="262"/>
      <c r="AH54" s="262"/>
      <c r="AI54" s="262"/>
      <c r="AJ54" s="262"/>
      <c r="AK54" s="262"/>
      <c r="AL54" s="262"/>
      <c r="AM54" s="262"/>
      <c r="AN54" s="262"/>
      <c r="AO54" s="262"/>
      <c r="AP54" s="262"/>
      <c r="AQ54" s="262"/>
      <c r="AR54" s="262"/>
      <c r="AS54" s="262"/>
      <c r="AT54" s="262"/>
      <c r="AU54" s="262"/>
      <c r="AV54" s="262"/>
      <c r="AW54" s="262"/>
      <c r="AX54" s="262"/>
      <c r="AY54" s="262"/>
      <c r="AZ54" s="262"/>
      <c r="BA54" s="262"/>
      <c r="BB54" s="262"/>
      <c r="BC54" s="262"/>
      <c r="BD54" s="262"/>
      <c r="BE54" s="262"/>
      <c r="BF54" s="262"/>
      <c r="BG54" s="262"/>
      <c r="BH54" s="262"/>
      <c r="BI54" s="262"/>
      <c r="BJ54" s="262"/>
      <c r="BK54" s="262"/>
      <c r="BL54" s="262"/>
      <c r="BM54" s="262"/>
      <c r="BN54" s="262"/>
      <c r="BO54" s="262"/>
      <c r="BP54" s="262"/>
      <c r="BQ54" s="262"/>
      <c r="BR54" s="262"/>
      <c r="BS54" s="262"/>
      <c r="BT54" s="262"/>
      <c r="BU54" s="262"/>
      <c r="BV54" s="262"/>
      <c r="BW54" s="263"/>
      <c r="BX54" s="263"/>
      <c r="BY54" s="263"/>
      <c r="BZ54" s="263"/>
      <c r="CA54" s="263"/>
      <c r="CB54" s="263"/>
      <c r="CC54" s="263"/>
      <c r="CD54" s="263"/>
      <c r="CE54" s="263"/>
      <c r="CF54" s="263"/>
      <c r="CG54" s="263"/>
      <c r="CH54" s="249">
        <f>+MAX($D$3,DATOS_[[#This Row],[Fecha Inicio Sit. Contract.]])</f>
        <v>45292</v>
      </c>
      <c r="CI54" s="249">
        <f>+MIN($D$4,DATOS_[[#This Row],[Fecha Fin Sit. Contract.]])</f>
        <v>45657</v>
      </c>
      <c r="CJ54" s="250">
        <f>+DATOS_[[#This Row],[% de jornada]]*IF(DATOS_[[#This Row],[% jornada reducida]]="",1,DATOS_[[#This Row],[% jornada reducida]])</f>
        <v>1</v>
      </c>
      <c r="CK54" s="250">
        <f>+(DATOS_[[#This Row],[F.fin.cal]]-DATOS_[[#This Row],[F.ini.cal]]+1)/($D$4-$D$3+1)</f>
        <v>1</v>
      </c>
      <c r="CL54" s="250" t="str">
        <f>IF(OR(AND(DATOS_[[#This Row],[Fecha Fin Contrato]]&lt;$D$3,DATOS_[[#This Row],[Fecha Fin Contrato]]&lt;&gt;""),DATOS_[[#This Row],[Fecha de Contratación]]&gt;$D$4),"Fuera","Dentro")</f>
        <v>Dentro</v>
      </c>
      <c r="CM54" s="250" t="str" cm="1">
        <f t="array" ref="CM54">IF(MAX(IF(DATOS_[id/cod]=DATOS_[[#This Row],[id/cod]],DATOS_[F.fin.cal]))=DATOS_[[#This Row],[F.fin.cal]],"Sí","NO")</f>
        <v>Sí</v>
      </c>
      <c r="CN54" s="250" t="str">
        <f>IF(AND(DATOS_[[#This Row],[% normaliz]]&lt;&gt;1,DATOS_[[#This Row],[% anualiz]]=1),"Sí","NO")</f>
        <v>NO</v>
      </c>
      <c r="CO54" s="250" t="str">
        <f>IF(AND(DATOS_[[#This Row],[% normaliz]]=1,DATOS_[[#This Row],[% anualiz]]&lt;&gt;1),"Sí","NO")</f>
        <v>NO</v>
      </c>
      <c r="CP54" s="250" t="str">
        <f>IF(AND(DATOS_[[#This Row],[% normaliz]]&lt;&gt;1,DATOS_[[#This Row],[% anualiz]]&lt;&gt;1),"Sí","NO")</f>
        <v>NO</v>
      </c>
      <c r="CQ54" s="250" t="str">
        <f>+IF(DATOS_[[#This Row],[% normaliz]]*DATOS_[[#This Row],[% anualiz]]=1,"NO","Sí")</f>
        <v>NO</v>
      </c>
      <c r="CR54" s="251">
        <f>(DATOS_[[#This Row],[S.BASE]]*(1/DATOS_[[#This Row],[% normaliz]])*(1/DATOS_[[#This Row],[% anualiz]]))*IF(DATOS_[[#This Row],[Check Equiparado]]="Sí",1,0)</f>
        <v>0</v>
      </c>
      <c r="CS54"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54" s="251">
        <f>+DATOS_[[#This Row],[SALARIO BASE Eq]]+DATOS_[[#This Row],[Tot COMPL.SAL Eq]]</f>
        <v>0</v>
      </c>
      <c r="CU54" s="251" cm="1">
        <f t="array" ref="CU54">(SUMPRODUCT((RngTipo=$CU$7)*(rngAnualizable="Sí")*(rngNormalizable="Sí")*(DATOS_[[#This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54" s="251">
        <f>+DATOS_[[#This Row],[TOTAL SALARIO Eq]]+DATOS_[[#This Row],[Tot Extrasalarial Eq]]</f>
        <v>0</v>
      </c>
      <c r="CW54" s="252">
        <f>DATOS_[[#This Row],[S.BASE]]</f>
        <v>0</v>
      </c>
      <c r="CX54" s="252">
        <f>+SUM(DATOS_[[#This Row],[Conc.Sal.01]:[Conc.Sal.30]])</f>
        <v>0</v>
      </c>
      <c r="CY54" s="252">
        <f>+DATOS_[[#This Row],[SALARIO BASE Ef]]+DATOS_[[#This Row],[Tot COMPL.SAL Ef]]</f>
        <v>0</v>
      </c>
      <c r="CZ54" s="252">
        <f>+SUM(DATOS_[[#This Row],[C.Extra.01]:[C.Extra.11]])</f>
        <v>0</v>
      </c>
      <c r="DA54" s="252">
        <f>+DATOS_[[#This Row],[TOTAL SALARIO Ef]]+DATOS_[[#This Row],[Tot Extrasalarial Ef]]</f>
        <v>0</v>
      </c>
      <c r="DB54" s="109">
        <f>MIN(IF(DATOS_[[#This Row],[Fecha Fin Contrato]]="",$D$4,DATOS_[[#This Row],[Fecha Fin Contrato]]),$D$4)-MAX(DATOS_[[#This Row],[Fecha de Contratación]],$D$3)+1</f>
        <v>366</v>
      </c>
      <c r="DC54" s="110" t="str">
        <f>IF(COUNTIFS(DATOS_[id/cod],DATOS_[[#This Row],[id/cod]])&gt;1,DATOS_[[#This Row],[id/cod]],"")</f>
        <v/>
      </c>
      <c r="DD54" s="108">
        <f>(Inicio!$G$10-DATOS_[[#This Row],[Fecha Nacimiento]])/365.25</f>
        <v>46.275154004106774</v>
      </c>
      <c r="DE54" s="108">
        <f>(Inicio!$G$10-DATOS_[[#This Row],[Fecha de Antigüedad]])/365.25</f>
        <v>9.6399726214921291</v>
      </c>
      <c r="DF54" s="108" t="str">
        <f>+VLOOKUP(DATOS_[[#This Row],[Clave de Contrato]],TblTiposContrato13[],3,FALSE)</f>
        <v>Completa</v>
      </c>
      <c r="DG54" s="108" t="str">
        <f>+VLOOKUP(DATOS_[[#This Row],[Clave de Contrato]],TblTiposContrato13[],4,FALSE)</f>
        <v>Indefinido</v>
      </c>
      <c r="DH54" s="108" t="str">
        <f>VLOOKUP(DATOS_[[#This Row],[Edad]],CONTRATOS!TblRngEdad,2,TRUE)</f>
        <v>45 a 50</v>
      </c>
      <c r="DI54" s="108" t="str">
        <f>VLOOKUP(DATOS_[[#This Row],[Antigüedad]],TblRngAntg14[],2,TRUE)</f>
        <v>5 a 10  años</v>
      </c>
    </row>
    <row r="55" spans="1:113" x14ac:dyDescent="0.25">
      <c r="A55" s="303" t="s">
        <v>435</v>
      </c>
      <c r="B55" s="265">
        <v>45</v>
      </c>
      <c r="C55" s="264" t="s">
        <v>356</v>
      </c>
      <c r="D55" s="243">
        <v>28998</v>
      </c>
      <c r="E55" s="243" t="s">
        <v>351</v>
      </c>
      <c r="F55" s="245"/>
      <c r="G55" s="245"/>
      <c r="H55" s="266">
        <v>42716</v>
      </c>
      <c r="I55" s="268"/>
      <c r="J55" s="260">
        <v>42716</v>
      </c>
      <c r="K55" s="267"/>
      <c r="L55" s="267"/>
      <c r="M55" s="244">
        <v>1</v>
      </c>
      <c r="N55" s="244"/>
      <c r="O55" s="244"/>
      <c r="P55" s="245">
        <v>100</v>
      </c>
      <c r="Q55" s="242" t="s">
        <v>391</v>
      </c>
      <c r="R55" s="242" t="s">
        <v>401</v>
      </c>
      <c r="S55" s="242" t="s">
        <v>391</v>
      </c>
      <c r="T55" s="242" t="s">
        <v>341</v>
      </c>
      <c r="U55" s="242" t="s">
        <v>342</v>
      </c>
      <c r="V55" s="242"/>
      <c r="W55" s="242"/>
      <c r="X55" s="246"/>
      <c r="Y55" s="271">
        <v>14000425011981</v>
      </c>
      <c r="Z55" s="247"/>
      <c r="AA55" s="279" t="s">
        <v>343</v>
      </c>
      <c r="AB55" s="248"/>
      <c r="AC55" s="245">
        <v>7</v>
      </c>
      <c r="AD55" s="261"/>
      <c r="AE55" s="262"/>
      <c r="AF55" s="262"/>
      <c r="AG55" s="262"/>
      <c r="AH55" s="262"/>
      <c r="AI55" s="262"/>
      <c r="AJ55" s="262"/>
      <c r="AK55" s="262"/>
      <c r="AL55" s="262"/>
      <c r="AM55" s="262"/>
      <c r="AN55" s="262"/>
      <c r="AO55" s="262"/>
      <c r="AP55" s="262"/>
      <c r="AQ55" s="262"/>
      <c r="AR55" s="262"/>
      <c r="AS55" s="262"/>
      <c r="AT55" s="262"/>
      <c r="AU55" s="262"/>
      <c r="AV55" s="262"/>
      <c r="AW55" s="262"/>
      <c r="AX55" s="262"/>
      <c r="AY55" s="262"/>
      <c r="AZ55" s="262"/>
      <c r="BA55" s="262"/>
      <c r="BB55" s="262"/>
      <c r="BC55" s="262"/>
      <c r="BD55" s="262"/>
      <c r="BE55" s="262"/>
      <c r="BF55" s="262"/>
      <c r="BG55" s="262"/>
      <c r="BH55" s="262"/>
      <c r="BI55" s="262"/>
      <c r="BJ55" s="262"/>
      <c r="BK55" s="262"/>
      <c r="BL55" s="262"/>
      <c r="BM55" s="262"/>
      <c r="BN55" s="262"/>
      <c r="BO55" s="262"/>
      <c r="BP55" s="262"/>
      <c r="BQ55" s="262"/>
      <c r="BR55" s="262"/>
      <c r="BS55" s="262"/>
      <c r="BT55" s="262"/>
      <c r="BU55" s="262"/>
      <c r="BV55" s="262"/>
      <c r="BW55" s="263"/>
      <c r="BX55" s="263"/>
      <c r="BY55" s="263"/>
      <c r="BZ55" s="263"/>
      <c r="CA55" s="263"/>
      <c r="CB55" s="263"/>
      <c r="CC55" s="263"/>
      <c r="CD55" s="263"/>
      <c r="CE55" s="263"/>
      <c r="CF55" s="263"/>
      <c r="CG55" s="263"/>
      <c r="CH55" s="249">
        <f>+MAX($D$3,DATOS_[[#This Row],[Fecha Inicio Sit. Contract.]])</f>
        <v>45292</v>
      </c>
      <c r="CI55" s="249">
        <f>+MIN($D$4,DATOS_[[#This Row],[Fecha Fin Sit. Contract.]])</f>
        <v>45657</v>
      </c>
      <c r="CJ55" s="250">
        <f>+DATOS_[[#This Row],[% de jornada]]*IF(DATOS_[[#This Row],[% jornada reducida]]="",1,DATOS_[[#This Row],[% jornada reducida]])</f>
        <v>1</v>
      </c>
      <c r="CK55" s="250">
        <f>+(DATOS_[[#This Row],[F.fin.cal]]-DATOS_[[#This Row],[F.ini.cal]]+1)/($D$4-$D$3+1)</f>
        <v>1</v>
      </c>
      <c r="CL55" s="250" t="str">
        <f>IF(OR(AND(DATOS_[[#This Row],[Fecha Fin Contrato]]&lt;$D$3,DATOS_[[#This Row],[Fecha Fin Contrato]]&lt;&gt;""),DATOS_[[#This Row],[Fecha de Contratación]]&gt;$D$4),"Fuera","Dentro")</f>
        <v>Dentro</v>
      </c>
      <c r="CM55" s="250" t="str" cm="1">
        <f t="array" ref="CM55">IF(MAX(IF(DATOS_[id/cod]=DATOS_[[#This Row],[id/cod]],DATOS_[F.fin.cal]))=DATOS_[[#This Row],[F.fin.cal]],"Sí","NO")</f>
        <v>Sí</v>
      </c>
      <c r="CN55" s="250" t="str">
        <f>IF(AND(DATOS_[[#This Row],[% normaliz]]&lt;&gt;1,DATOS_[[#This Row],[% anualiz]]=1),"Sí","NO")</f>
        <v>NO</v>
      </c>
      <c r="CO55" s="250" t="str">
        <f>IF(AND(DATOS_[[#This Row],[% normaliz]]=1,DATOS_[[#This Row],[% anualiz]]&lt;&gt;1),"Sí","NO")</f>
        <v>NO</v>
      </c>
      <c r="CP55" s="250" t="str">
        <f>IF(AND(DATOS_[[#This Row],[% normaliz]]&lt;&gt;1,DATOS_[[#This Row],[% anualiz]]&lt;&gt;1),"Sí","NO")</f>
        <v>NO</v>
      </c>
      <c r="CQ55" s="250" t="str">
        <f>+IF(DATOS_[[#This Row],[% normaliz]]*DATOS_[[#This Row],[% anualiz]]=1,"NO","Sí")</f>
        <v>NO</v>
      </c>
      <c r="CR55" s="251">
        <f>(DATOS_[[#This Row],[S.BASE]]*(1/DATOS_[[#This Row],[% normaliz]])*(1/DATOS_[[#This Row],[% anualiz]]))*IF(DATOS_[[#This Row],[Check Equiparado]]="Sí",1,0)</f>
        <v>0</v>
      </c>
      <c r="CS55"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55" s="251">
        <f>+DATOS_[[#This Row],[SALARIO BASE Eq]]+DATOS_[[#This Row],[Tot COMPL.SAL Eq]]</f>
        <v>0</v>
      </c>
      <c r="CU55" s="251" cm="1">
        <f t="array" ref="CU55">(SUMPRODUCT((RngTipo=$CU$7)*(rngAnualizable="Sí")*(rngNormalizable="Sí")*(DATOS_[[#This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55" s="251">
        <f>+DATOS_[[#This Row],[TOTAL SALARIO Eq]]+DATOS_[[#This Row],[Tot Extrasalarial Eq]]</f>
        <v>0</v>
      </c>
      <c r="CW55" s="252">
        <f>DATOS_[[#This Row],[S.BASE]]</f>
        <v>0</v>
      </c>
      <c r="CX55" s="252">
        <f>+SUM(DATOS_[[#This Row],[Conc.Sal.01]:[Conc.Sal.30]])</f>
        <v>0</v>
      </c>
      <c r="CY55" s="252">
        <f>+DATOS_[[#This Row],[SALARIO BASE Ef]]+DATOS_[[#This Row],[Tot COMPL.SAL Ef]]</f>
        <v>0</v>
      </c>
      <c r="CZ55" s="252">
        <f>+SUM(DATOS_[[#This Row],[C.Extra.01]:[C.Extra.11]])</f>
        <v>0</v>
      </c>
      <c r="DA55" s="252">
        <f>+DATOS_[[#This Row],[TOTAL SALARIO Ef]]+DATOS_[[#This Row],[Tot Extrasalarial Ef]]</f>
        <v>0</v>
      </c>
      <c r="DB55" s="109">
        <f>MIN(IF(DATOS_[[#This Row],[Fecha Fin Contrato]]="",$D$4,DATOS_[[#This Row],[Fecha Fin Contrato]]),$D$4)-MAX(DATOS_[[#This Row],[Fecha de Contratación]],$D$3)+1</f>
        <v>366</v>
      </c>
      <c r="DC55" s="110" t="str">
        <f>IF(COUNTIFS(DATOS_[id/cod],DATOS_[[#This Row],[id/cod]])&gt;1,DATOS_[[#This Row],[id/cod]],"")</f>
        <v/>
      </c>
      <c r="DD55" s="108">
        <f>(Inicio!$G$10-DATOS_[[#This Row],[Fecha Nacimiento]])/365.25</f>
        <v>45.609856262833674</v>
      </c>
      <c r="DE55" s="108">
        <f>(Inicio!$G$10-DATOS_[[#This Row],[Fecha de Antigüedad]])/365.25</f>
        <v>8.0520191649555102</v>
      </c>
      <c r="DF55" s="108" t="str">
        <f>+VLOOKUP(DATOS_[[#This Row],[Clave de Contrato]],TblTiposContrato13[],3,FALSE)</f>
        <v>Completa</v>
      </c>
      <c r="DG55" s="108" t="str">
        <f>+VLOOKUP(DATOS_[[#This Row],[Clave de Contrato]],TblTiposContrato13[],4,FALSE)</f>
        <v>Indefinido</v>
      </c>
      <c r="DH55" s="108" t="str">
        <f>VLOOKUP(DATOS_[[#This Row],[Edad]],CONTRATOS!TblRngEdad,2,TRUE)</f>
        <v>45 a 50</v>
      </c>
      <c r="DI55" s="108" t="str">
        <f>VLOOKUP(DATOS_[[#This Row],[Antigüedad]],TblRngAntg14[],2,TRUE)</f>
        <v>5 a 10  años</v>
      </c>
    </row>
    <row r="56" spans="1:113" x14ac:dyDescent="0.25">
      <c r="A56" s="303" t="s">
        <v>436</v>
      </c>
      <c r="B56" s="265">
        <v>46</v>
      </c>
      <c r="C56" s="264" t="s">
        <v>356</v>
      </c>
      <c r="D56" s="243">
        <v>29879</v>
      </c>
      <c r="E56" s="243" t="s">
        <v>437</v>
      </c>
      <c r="F56" s="245"/>
      <c r="G56" s="245"/>
      <c r="H56" s="266">
        <v>42891</v>
      </c>
      <c r="I56" s="268"/>
      <c r="J56" s="260">
        <v>42891</v>
      </c>
      <c r="K56" s="267"/>
      <c r="L56" s="267"/>
      <c r="M56" s="244">
        <v>0.33800000000000002</v>
      </c>
      <c r="N56" s="244"/>
      <c r="O56" s="244"/>
      <c r="P56" s="245">
        <v>100</v>
      </c>
      <c r="Q56" s="242" t="s">
        <v>403</v>
      </c>
      <c r="R56" s="242" t="s">
        <v>403</v>
      </c>
      <c r="S56" s="242" t="s">
        <v>404</v>
      </c>
      <c r="T56" s="242" t="s">
        <v>341</v>
      </c>
      <c r="U56" s="242" t="s">
        <v>342</v>
      </c>
      <c r="V56" s="242"/>
      <c r="W56" s="242" t="s">
        <v>192</v>
      </c>
      <c r="X56" s="246"/>
      <c r="Y56" s="271">
        <v>14000425011981</v>
      </c>
      <c r="Z56" s="247" t="s">
        <v>382</v>
      </c>
      <c r="AA56" s="279" t="s">
        <v>343</v>
      </c>
      <c r="AB56" s="248"/>
      <c r="AC56" s="245">
        <v>10</v>
      </c>
      <c r="AD56" s="261">
        <v>247.41</v>
      </c>
      <c r="AE56" s="262">
        <v>2.94</v>
      </c>
      <c r="AF56" s="262">
        <v>45.91</v>
      </c>
      <c r="AG56" s="262">
        <v>20.059999999999999</v>
      </c>
      <c r="AH56" s="262">
        <v>0</v>
      </c>
      <c r="AI56" s="262">
        <v>0</v>
      </c>
      <c r="AJ56" s="262">
        <v>56.21</v>
      </c>
      <c r="AK56" s="262">
        <v>0</v>
      </c>
      <c r="AL56" s="262">
        <v>0</v>
      </c>
      <c r="AM56" s="262">
        <v>0</v>
      </c>
      <c r="AN56" s="262">
        <v>0</v>
      </c>
      <c r="AO56" s="262">
        <v>0</v>
      </c>
      <c r="AP56" s="262">
        <v>0</v>
      </c>
      <c r="AQ56" s="262">
        <v>0</v>
      </c>
      <c r="AR56" s="262">
        <v>0</v>
      </c>
      <c r="AS56" s="262">
        <v>24.64</v>
      </c>
      <c r="AT56" s="262">
        <v>449.46</v>
      </c>
      <c r="AU56" s="262">
        <v>0</v>
      </c>
      <c r="AV56" s="262">
        <v>0</v>
      </c>
      <c r="AW56" s="262">
        <v>0</v>
      </c>
      <c r="AX56" s="262">
        <v>0</v>
      </c>
      <c r="AY56" s="262">
        <v>0</v>
      </c>
      <c r="AZ56" s="262"/>
      <c r="BA56" s="262"/>
      <c r="BB56" s="262"/>
      <c r="BC56" s="262"/>
      <c r="BD56" s="262"/>
      <c r="BE56" s="262"/>
      <c r="BF56" s="262"/>
      <c r="BG56" s="262"/>
      <c r="BH56" s="262"/>
      <c r="BI56" s="262"/>
      <c r="BJ56" s="262"/>
      <c r="BK56" s="262"/>
      <c r="BL56" s="262"/>
      <c r="BM56" s="262"/>
      <c r="BN56" s="262"/>
      <c r="BO56" s="262"/>
      <c r="BP56" s="262"/>
      <c r="BQ56" s="262"/>
      <c r="BR56" s="262"/>
      <c r="BS56" s="262"/>
      <c r="BT56" s="262"/>
      <c r="BU56" s="262"/>
      <c r="BV56" s="262"/>
      <c r="BW56" s="263"/>
      <c r="BX56" s="263"/>
      <c r="BY56" s="263"/>
      <c r="BZ56" s="263"/>
      <c r="CA56" s="263"/>
      <c r="CB56" s="263"/>
      <c r="CC56" s="263"/>
      <c r="CD56" s="263"/>
      <c r="CE56" s="263"/>
      <c r="CF56" s="263"/>
      <c r="CG56" s="263"/>
      <c r="CH56" s="249">
        <f>+MAX($D$3,DATOS_[[#This Row],[Fecha Inicio Sit. Contract.]])</f>
        <v>45292</v>
      </c>
      <c r="CI56" s="249">
        <f>+MIN($D$4,DATOS_[[#This Row],[Fecha Fin Sit. Contract.]])</f>
        <v>45657</v>
      </c>
      <c r="CJ56" s="250">
        <f>+DATOS_[[#This Row],[% de jornada]]*IF(DATOS_[[#This Row],[% jornada reducida]]="",1,DATOS_[[#This Row],[% jornada reducida]])</f>
        <v>0.33800000000000002</v>
      </c>
      <c r="CK56" s="250">
        <f>+(DATOS_[[#This Row],[F.fin.cal]]-DATOS_[[#This Row],[F.ini.cal]]+1)/($D$4-$D$3+1)</f>
        <v>1</v>
      </c>
      <c r="CL56" s="250" t="str">
        <f>IF(OR(AND(DATOS_[[#This Row],[Fecha Fin Contrato]]&lt;$D$3,DATOS_[[#This Row],[Fecha Fin Contrato]]&lt;&gt;""),DATOS_[[#This Row],[Fecha de Contratación]]&gt;$D$4),"Fuera","Dentro")</f>
        <v>Dentro</v>
      </c>
      <c r="CM56" s="250" t="str" cm="1">
        <f t="array" ref="CM56">IF(MAX(IF(DATOS_[id/cod]=DATOS_[[#This Row],[id/cod]],DATOS_[F.fin.cal]))=DATOS_[[#This Row],[F.fin.cal]],"Sí","NO")</f>
        <v>Sí</v>
      </c>
      <c r="CN56" s="250" t="str">
        <f>IF(AND(DATOS_[[#This Row],[% normaliz]]&lt;&gt;1,DATOS_[[#This Row],[% anualiz]]=1),"Sí","NO")</f>
        <v>Sí</v>
      </c>
      <c r="CO56" s="250" t="str">
        <f>IF(AND(DATOS_[[#This Row],[% normaliz]]=1,DATOS_[[#This Row],[% anualiz]]&lt;&gt;1),"Sí","NO")</f>
        <v>NO</v>
      </c>
      <c r="CP56" s="250" t="str">
        <f>IF(AND(DATOS_[[#This Row],[% normaliz]]&lt;&gt;1,DATOS_[[#This Row],[% anualiz]]&lt;&gt;1),"Sí","NO")</f>
        <v>NO</v>
      </c>
      <c r="CQ56" s="250" t="str">
        <f>+IF(DATOS_[[#This Row],[% normaliz]]*DATOS_[[#This Row],[% anualiz]]=1,"NO","Sí")</f>
        <v>Sí</v>
      </c>
      <c r="CR56" s="251">
        <f>(DATOS_[[#This Row],[S.BASE]]*(1/DATOS_[[#This Row],[% normaliz]])*(1/DATOS_[[#This Row],[% anualiz]]))*IF(DATOS_[[#This Row],[Check Equiparado]]="Sí",1,0)</f>
        <v>731.98224852071007</v>
      </c>
      <c r="CS56"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370.17751479289944</v>
      </c>
      <c r="CT56" s="251">
        <f>+DATOS_[[#This Row],[SALARIO BASE Eq]]+DATOS_[[#This Row],[Tot COMPL.SAL Eq]]</f>
        <v>1102.1597633136096</v>
      </c>
      <c r="CU56" s="251" cm="1">
        <f t="array" ref="CU56">(SUMPRODUCT((RngTipo=$CU$7)*(rngAnualizable="Sí")*(rngNormalizable="Sí")*(DATOS_[[#This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1402.6627218934909</v>
      </c>
      <c r="CV56" s="251">
        <f>+DATOS_[[#This Row],[TOTAL SALARIO Eq]]+DATOS_[[#This Row],[Tot Extrasalarial Eq]]</f>
        <v>2504.8224852071007</v>
      </c>
      <c r="CW56" s="252">
        <f>DATOS_[[#This Row],[S.BASE]]</f>
        <v>247.41</v>
      </c>
      <c r="CX56" s="252">
        <f>+SUM(DATOS_[[#This Row],[Conc.Sal.01]:[Conc.Sal.30]])</f>
        <v>599.22</v>
      </c>
      <c r="CY56" s="252">
        <f>+DATOS_[[#This Row],[SALARIO BASE Ef]]+DATOS_[[#This Row],[Tot COMPL.SAL Ef]]</f>
        <v>846.63</v>
      </c>
      <c r="CZ56" s="252">
        <f>+SUM(DATOS_[[#This Row],[C.Extra.01]:[C.Extra.11]])</f>
        <v>0</v>
      </c>
      <c r="DA56" s="252">
        <f>+DATOS_[[#This Row],[TOTAL SALARIO Ef]]+DATOS_[[#This Row],[Tot Extrasalarial Ef]]</f>
        <v>846.63</v>
      </c>
      <c r="DB56" s="109">
        <f>MIN(IF(DATOS_[[#This Row],[Fecha Fin Contrato]]="",$D$4,DATOS_[[#This Row],[Fecha Fin Contrato]]),$D$4)-MAX(DATOS_[[#This Row],[Fecha de Contratación]],$D$3)+1</f>
        <v>366</v>
      </c>
      <c r="DC56" s="110" t="str">
        <f>IF(COUNTIFS(DATOS_[id/cod],DATOS_[[#This Row],[id/cod]])&gt;1,DATOS_[[#This Row],[id/cod]],"")</f>
        <v/>
      </c>
      <c r="DD56" s="108">
        <f>(Inicio!$G$10-DATOS_[[#This Row],[Fecha Nacimiento]])/365.25</f>
        <v>43.197809719370291</v>
      </c>
      <c r="DE56" s="108">
        <f>(Inicio!$G$10-DATOS_[[#This Row],[Fecha de Antigüedad]])/365.25</f>
        <v>7.5728952772073921</v>
      </c>
      <c r="DF56" s="108" t="str">
        <f>+VLOOKUP(DATOS_[[#This Row],[Clave de Contrato]],TblTiposContrato13[],3,FALSE)</f>
        <v>Completa</v>
      </c>
      <c r="DG56" s="108" t="str">
        <f>+VLOOKUP(DATOS_[[#This Row],[Clave de Contrato]],TblTiposContrato13[],4,FALSE)</f>
        <v>Indefinido</v>
      </c>
      <c r="DH56" s="108" t="str">
        <f>VLOOKUP(DATOS_[[#This Row],[Edad]],CONTRATOS!TblRngEdad,2,TRUE)</f>
        <v>40 a 45</v>
      </c>
      <c r="DI56" s="108" t="str">
        <f>VLOOKUP(DATOS_[[#This Row],[Antigüedad]],TblRngAntg14[],2,TRUE)</f>
        <v>5 a 10  años</v>
      </c>
    </row>
    <row r="57" spans="1:113" x14ac:dyDescent="0.25">
      <c r="A57" s="303" t="s">
        <v>438</v>
      </c>
      <c r="B57" s="265">
        <v>47</v>
      </c>
      <c r="C57" s="264" t="s">
        <v>337</v>
      </c>
      <c r="D57" s="243">
        <v>28531</v>
      </c>
      <c r="E57" s="243" t="s">
        <v>361</v>
      </c>
      <c r="F57" s="245"/>
      <c r="G57" s="245"/>
      <c r="H57" s="266">
        <v>42927</v>
      </c>
      <c r="I57" s="268"/>
      <c r="J57" s="260">
        <v>42927</v>
      </c>
      <c r="K57" s="267"/>
      <c r="L57" s="267"/>
      <c r="M57" s="244">
        <v>1</v>
      </c>
      <c r="N57" s="244"/>
      <c r="O57" s="244"/>
      <c r="P57" s="245">
        <v>100</v>
      </c>
      <c r="Q57" s="242" t="s">
        <v>375</v>
      </c>
      <c r="R57" s="242" t="s">
        <v>375</v>
      </c>
      <c r="S57" s="242" t="s">
        <v>439</v>
      </c>
      <c r="T57" s="242" t="s">
        <v>341</v>
      </c>
      <c r="U57" s="242" t="s">
        <v>342</v>
      </c>
      <c r="V57" s="242"/>
      <c r="W57" s="242" t="s">
        <v>188</v>
      </c>
      <c r="X57" s="246"/>
      <c r="Y57" s="271">
        <v>14000425011981</v>
      </c>
      <c r="Z57" s="247" t="s">
        <v>405</v>
      </c>
      <c r="AA57" s="279" t="s">
        <v>343</v>
      </c>
      <c r="AB57" s="248"/>
      <c r="AC57" s="245">
        <v>7</v>
      </c>
      <c r="AD57" s="261">
        <v>7475.26</v>
      </c>
      <c r="AE57" s="262">
        <v>0</v>
      </c>
      <c r="AF57" s="262">
        <v>23.85</v>
      </c>
      <c r="AG57" s="262">
        <v>780.17</v>
      </c>
      <c r="AH57" s="262">
        <v>461.74</v>
      </c>
      <c r="AI57" s="262">
        <v>162</v>
      </c>
      <c r="AJ57" s="262">
        <v>1220.96</v>
      </c>
      <c r="AK57" s="262">
        <v>0</v>
      </c>
      <c r="AL57" s="262">
        <v>0</v>
      </c>
      <c r="AM57" s="262">
        <v>174.4</v>
      </c>
      <c r="AN57" s="262">
        <v>404</v>
      </c>
      <c r="AO57" s="262">
        <v>545.69000000000005</v>
      </c>
      <c r="AP57" s="262">
        <v>0</v>
      </c>
      <c r="AQ57" s="262">
        <v>0</v>
      </c>
      <c r="AR57" s="262">
        <v>0</v>
      </c>
      <c r="AS57" s="262">
        <v>0</v>
      </c>
      <c r="AT57" s="262">
        <v>1769.63</v>
      </c>
      <c r="AU57" s="262">
        <v>657.08</v>
      </c>
      <c r="AV57" s="262">
        <v>427.56</v>
      </c>
      <c r="AW57" s="262">
        <v>1647.97</v>
      </c>
      <c r="AX57" s="262">
        <v>0</v>
      </c>
      <c r="AY57" s="262">
        <v>-74.819999999999993</v>
      </c>
      <c r="AZ57" s="262">
        <v>0</v>
      </c>
      <c r="BA57" s="262">
        <v>0</v>
      </c>
      <c r="BB57" s="262"/>
      <c r="BC57" s="262"/>
      <c r="BD57" s="262"/>
      <c r="BE57" s="262"/>
      <c r="BF57" s="262"/>
      <c r="BG57" s="262"/>
      <c r="BH57" s="262"/>
      <c r="BI57" s="262"/>
      <c r="BJ57" s="262"/>
      <c r="BK57" s="262"/>
      <c r="BL57" s="262"/>
      <c r="BM57" s="262"/>
      <c r="BN57" s="262"/>
      <c r="BO57" s="262"/>
      <c r="BP57" s="262"/>
      <c r="BQ57" s="262"/>
      <c r="BR57" s="262"/>
      <c r="BS57" s="262"/>
      <c r="BT57" s="262"/>
      <c r="BU57" s="262"/>
      <c r="BV57" s="262"/>
      <c r="BW57" s="263"/>
      <c r="BX57" s="263"/>
      <c r="BY57" s="263"/>
      <c r="BZ57" s="263"/>
      <c r="CA57" s="263"/>
      <c r="CB57" s="263"/>
      <c r="CC57" s="263"/>
      <c r="CD57" s="263"/>
      <c r="CE57" s="263"/>
      <c r="CF57" s="263"/>
      <c r="CG57" s="263"/>
      <c r="CH57" s="249">
        <f>+MAX($D$3,DATOS_[[#This Row],[Fecha Inicio Sit. Contract.]])</f>
        <v>45292</v>
      </c>
      <c r="CI57" s="249">
        <f>+MIN($D$4,DATOS_[[#This Row],[Fecha Fin Sit. Contract.]])</f>
        <v>45657</v>
      </c>
      <c r="CJ57" s="250">
        <f>+DATOS_[[#This Row],[% de jornada]]*IF(DATOS_[[#This Row],[% jornada reducida]]="",1,DATOS_[[#This Row],[% jornada reducida]])</f>
        <v>1</v>
      </c>
      <c r="CK57" s="250">
        <f>+(DATOS_[[#This Row],[F.fin.cal]]-DATOS_[[#This Row],[F.ini.cal]]+1)/($D$4-$D$3+1)</f>
        <v>1</v>
      </c>
      <c r="CL57" s="250" t="str">
        <f>IF(OR(AND(DATOS_[[#This Row],[Fecha Fin Contrato]]&lt;$D$3,DATOS_[[#This Row],[Fecha Fin Contrato]]&lt;&gt;""),DATOS_[[#This Row],[Fecha de Contratación]]&gt;$D$4),"Fuera","Dentro")</f>
        <v>Dentro</v>
      </c>
      <c r="CM57" s="250" t="str" cm="1">
        <f t="array" ref="CM57">IF(MAX(IF(DATOS_[id/cod]=DATOS_[[#This Row],[id/cod]],DATOS_[F.fin.cal]))=DATOS_[[#This Row],[F.fin.cal]],"Sí","NO")</f>
        <v>Sí</v>
      </c>
      <c r="CN57" s="250" t="str">
        <f>IF(AND(DATOS_[[#This Row],[% normaliz]]&lt;&gt;1,DATOS_[[#This Row],[% anualiz]]=1),"Sí","NO")</f>
        <v>NO</v>
      </c>
      <c r="CO57" s="250" t="str">
        <f>IF(AND(DATOS_[[#This Row],[% normaliz]]=1,DATOS_[[#This Row],[% anualiz]]&lt;&gt;1),"Sí","NO")</f>
        <v>NO</v>
      </c>
      <c r="CP57" s="250" t="str">
        <f>IF(AND(DATOS_[[#This Row],[% normaliz]]&lt;&gt;1,DATOS_[[#This Row],[% anualiz]]&lt;&gt;1),"Sí","NO")</f>
        <v>NO</v>
      </c>
      <c r="CQ57" s="250" t="str">
        <f>+IF(DATOS_[[#This Row],[% normaliz]]*DATOS_[[#This Row],[% anualiz]]=1,"NO","Sí")</f>
        <v>NO</v>
      </c>
      <c r="CR57" s="251">
        <f>(DATOS_[[#This Row],[S.BASE]]*(1/DATOS_[[#This Row],[% normaliz]])*(1/DATOS_[[#This Row],[% anualiz]]))*IF(DATOS_[[#This Row],[Check Equiparado]]="Sí",1,0)</f>
        <v>7475.26</v>
      </c>
      <c r="CS57"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6003.0400000000009</v>
      </c>
      <c r="CT57" s="251">
        <f>+DATOS_[[#This Row],[SALARIO BASE Eq]]+DATOS_[[#This Row],[Tot COMPL.SAL Eq]]</f>
        <v>13478.300000000001</v>
      </c>
      <c r="CU57" s="251" cm="1">
        <f t="array" ref="CU57">(SUMPRODUCT((RngTipo=$CU$7)*(rngAnualizable="Sí")*(rngNormalizable="Sí")*(DATOS_[[#This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2197.19</v>
      </c>
      <c r="CV57" s="251">
        <f>+DATOS_[[#This Row],[TOTAL SALARIO Eq]]+DATOS_[[#This Row],[Tot Extrasalarial Eq]]</f>
        <v>15675.490000000002</v>
      </c>
      <c r="CW57" s="252">
        <f>DATOS_[[#This Row],[S.BASE]]</f>
        <v>7475.26</v>
      </c>
      <c r="CX57" s="252">
        <f>+SUM(DATOS_[[#This Row],[Conc.Sal.01]:[Conc.Sal.30]])</f>
        <v>8200.2300000000014</v>
      </c>
      <c r="CY57" s="252">
        <f>+DATOS_[[#This Row],[SALARIO BASE Ef]]+DATOS_[[#This Row],[Tot COMPL.SAL Ef]]</f>
        <v>15675.490000000002</v>
      </c>
      <c r="CZ57" s="252">
        <f>+SUM(DATOS_[[#This Row],[C.Extra.01]:[C.Extra.11]])</f>
        <v>0</v>
      </c>
      <c r="DA57" s="252">
        <f>+DATOS_[[#This Row],[TOTAL SALARIO Ef]]+DATOS_[[#This Row],[Tot Extrasalarial Ef]]</f>
        <v>15675.490000000002</v>
      </c>
      <c r="DB57" s="109">
        <f>MIN(IF(DATOS_[[#This Row],[Fecha Fin Contrato]]="",$D$4,DATOS_[[#This Row],[Fecha Fin Contrato]]),$D$4)-MAX(DATOS_[[#This Row],[Fecha de Contratación]],$D$3)+1</f>
        <v>366</v>
      </c>
      <c r="DC57" s="110" t="str">
        <f>IF(COUNTIFS(DATOS_[id/cod],DATOS_[[#This Row],[id/cod]])&gt;1,DATOS_[[#This Row],[id/cod]],"")</f>
        <v/>
      </c>
      <c r="DD57" s="108">
        <f>(Inicio!$G$10-DATOS_[[#This Row],[Fecha Nacimiento]])/365.25</f>
        <v>46.888432580424364</v>
      </c>
      <c r="DE57" s="108">
        <f>(Inicio!$G$10-DATOS_[[#This Row],[Fecha de Antigüedad]])/365.25</f>
        <v>7.4743326488706368</v>
      </c>
      <c r="DF57" s="108" t="str">
        <f>+VLOOKUP(DATOS_[[#This Row],[Clave de Contrato]],TblTiposContrato13[],3,FALSE)</f>
        <v>Completa</v>
      </c>
      <c r="DG57" s="108" t="str">
        <f>+VLOOKUP(DATOS_[[#This Row],[Clave de Contrato]],TblTiposContrato13[],4,FALSE)</f>
        <v>Indefinido</v>
      </c>
      <c r="DH57" s="108" t="str">
        <f>VLOOKUP(DATOS_[[#This Row],[Edad]],CONTRATOS!TblRngEdad,2,TRUE)</f>
        <v>45 a 50</v>
      </c>
      <c r="DI57" s="108" t="str">
        <f>VLOOKUP(DATOS_[[#This Row],[Antigüedad]],TblRngAntg14[],2,TRUE)</f>
        <v>5 a 10  años</v>
      </c>
    </row>
    <row r="58" spans="1:113" x14ac:dyDescent="0.25">
      <c r="A58" s="303" t="s">
        <v>440</v>
      </c>
      <c r="B58" s="265">
        <v>48</v>
      </c>
      <c r="C58" s="264" t="s">
        <v>356</v>
      </c>
      <c r="D58" s="243">
        <v>27581</v>
      </c>
      <c r="E58" s="243" t="s">
        <v>351</v>
      </c>
      <c r="F58" s="245"/>
      <c r="G58" s="245"/>
      <c r="H58" s="266">
        <v>42936</v>
      </c>
      <c r="I58" s="268"/>
      <c r="J58" s="260">
        <v>42936</v>
      </c>
      <c r="K58" s="267"/>
      <c r="L58" s="267"/>
      <c r="M58" s="244">
        <v>0.26250000000000001</v>
      </c>
      <c r="N58" s="244"/>
      <c r="O58" s="244"/>
      <c r="P58" s="245">
        <v>100</v>
      </c>
      <c r="Q58" s="242" t="s">
        <v>379</v>
      </c>
      <c r="R58" s="242" t="s">
        <v>379</v>
      </c>
      <c r="S58" s="242" t="s">
        <v>441</v>
      </c>
      <c r="T58" s="242" t="s">
        <v>341</v>
      </c>
      <c r="U58" s="242" t="s">
        <v>367</v>
      </c>
      <c r="V58" s="242"/>
      <c r="W58" s="242" t="s">
        <v>188</v>
      </c>
      <c r="X58" s="246"/>
      <c r="Y58" s="271">
        <v>14000425011981</v>
      </c>
      <c r="Z58" s="247" t="s">
        <v>405</v>
      </c>
      <c r="AA58" s="279" t="s">
        <v>343</v>
      </c>
      <c r="AB58" s="248"/>
      <c r="AC58" s="245"/>
      <c r="AD58" s="261">
        <v>11549.76</v>
      </c>
      <c r="AE58" s="262">
        <v>62</v>
      </c>
      <c r="AF58" s="262">
        <v>37.44</v>
      </c>
      <c r="AG58" s="262">
        <v>1205.4000000000001</v>
      </c>
      <c r="AH58" s="262">
        <v>713.4</v>
      </c>
      <c r="AI58" s="262">
        <v>120.1</v>
      </c>
      <c r="AJ58" s="262">
        <v>1972.32</v>
      </c>
      <c r="AK58" s="262">
        <v>0</v>
      </c>
      <c r="AL58" s="262">
        <v>426.96</v>
      </c>
      <c r="AM58" s="262">
        <v>211.2</v>
      </c>
      <c r="AN58" s="262">
        <v>787.8</v>
      </c>
      <c r="AO58" s="262">
        <v>843.12</v>
      </c>
      <c r="AP58" s="262">
        <v>0</v>
      </c>
      <c r="AQ58" s="262">
        <v>0</v>
      </c>
      <c r="AR58" s="262">
        <v>0</v>
      </c>
      <c r="AS58" s="262">
        <v>0</v>
      </c>
      <c r="AT58" s="262">
        <v>3367.16</v>
      </c>
      <c r="AU58" s="262">
        <v>0</v>
      </c>
      <c r="AV58" s="262">
        <v>0</v>
      </c>
      <c r="AW58" s="262">
        <v>0</v>
      </c>
      <c r="AX58" s="262">
        <v>300</v>
      </c>
      <c r="AY58" s="262">
        <v>0</v>
      </c>
      <c r="AZ58" s="262">
        <v>0</v>
      </c>
      <c r="BA58" s="262">
        <v>65</v>
      </c>
      <c r="BB58" s="262"/>
      <c r="BC58" s="262"/>
      <c r="BD58" s="262"/>
      <c r="BE58" s="262"/>
      <c r="BF58" s="262"/>
      <c r="BG58" s="262"/>
      <c r="BH58" s="262"/>
      <c r="BI58" s="262"/>
      <c r="BJ58" s="262"/>
      <c r="BK58" s="262"/>
      <c r="BL58" s="262"/>
      <c r="BM58" s="262"/>
      <c r="BN58" s="262"/>
      <c r="BO58" s="262"/>
      <c r="BP58" s="262"/>
      <c r="BQ58" s="262"/>
      <c r="BR58" s="262"/>
      <c r="BS58" s="262"/>
      <c r="BT58" s="262"/>
      <c r="BU58" s="262"/>
      <c r="BV58" s="262"/>
      <c r="BW58" s="263"/>
      <c r="BX58" s="263"/>
      <c r="BY58" s="263"/>
      <c r="BZ58" s="263"/>
      <c r="CA58" s="263"/>
      <c r="CB58" s="263"/>
      <c r="CC58" s="263"/>
      <c r="CD58" s="263"/>
      <c r="CE58" s="263"/>
      <c r="CF58" s="263"/>
      <c r="CG58" s="263"/>
      <c r="CH58" s="249">
        <f>+MAX($D$3,DATOS_[[#This Row],[Fecha Inicio Sit. Contract.]])</f>
        <v>45292</v>
      </c>
      <c r="CI58" s="249">
        <f>+MIN($D$4,DATOS_[[#This Row],[Fecha Fin Sit. Contract.]])</f>
        <v>45657</v>
      </c>
      <c r="CJ58" s="250">
        <f>+DATOS_[[#This Row],[% de jornada]]*IF(DATOS_[[#This Row],[% jornada reducida]]="",1,DATOS_[[#This Row],[% jornada reducida]])</f>
        <v>0.26250000000000001</v>
      </c>
      <c r="CK58" s="250">
        <f>+(DATOS_[[#This Row],[F.fin.cal]]-DATOS_[[#This Row],[F.ini.cal]]+1)/($D$4-$D$3+1)</f>
        <v>1</v>
      </c>
      <c r="CL58" s="250" t="str">
        <f>IF(OR(AND(DATOS_[[#This Row],[Fecha Fin Contrato]]&lt;$D$3,DATOS_[[#This Row],[Fecha Fin Contrato]]&lt;&gt;""),DATOS_[[#This Row],[Fecha de Contratación]]&gt;$D$4),"Fuera","Dentro")</f>
        <v>Dentro</v>
      </c>
      <c r="CM58" s="250" t="str" cm="1">
        <f t="array" ref="CM58">IF(MAX(IF(DATOS_[id/cod]=DATOS_[[#This Row],[id/cod]],DATOS_[F.fin.cal]))=DATOS_[[#This Row],[F.fin.cal]],"Sí","NO")</f>
        <v>Sí</v>
      </c>
      <c r="CN58" s="250" t="str">
        <f>IF(AND(DATOS_[[#This Row],[% normaliz]]&lt;&gt;1,DATOS_[[#This Row],[% anualiz]]=1),"Sí","NO")</f>
        <v>Sí</v>
      </c>
      <c r="CO58" s="250" t="str">
        <f>IF(AND(DATOS_[[#This Row],[% normaliz]]=1,DATOS_[[#This Row],[% anualiz]]&lt;&gt;1),"Sí","NO")</f>
        <v>NO</v>
      </c>
      <c r="CP58" s="250" t="str">
        <f>IF(AND(DATOS_[[#This Row],[% normaliz]]&lt;&gt;1,DATOS_[[#This Row],[% anualiz]]&lt;&gt;1),"Sí","NO")</f>
        <v>NO</v>
      </c>
      <c r="CQ58" s="250" t="str">
        <f>+IF(DATOS_[[#This Row],[% normaliz]]*DATOS_[[#This Row],[% anualiz]]=1,"NO","Sí")</f>
        <v>Sí</v>
      </c>
      <c r="CR58" s="251">
        <f>(DATOS_[[#This Row],[S.BASE]]*(1/DATOS_[[#This Row],[% normaliz]])*(1/DATOS_[[#This Row],[% anualiz]]))*IF(DATOS_[[#This Row],[Check Equiparado]]="Sí",1,0)</f>
        <v>43999.085714285713</v>
      </c>
      <c r="CS58"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25446.62857142857</v>
      </c>
      <c r="CT58" s="251">
        <f>+DATOS_[[#This Row],[SALARIO BASE Eq]]+DATOS_[[#This Row],[Tot COMPL.SAL Eq]]</f>
        <v>69445.71428571429</v>
      </c>
      <c r="CU58" s="251" cm="1">
        <f t="array" ref="CU58">(SUMPRODUCT((RngTipo=$CU$7)*(rngAnualizable="Sí")*(rngNormalizable="Sí")*(DATOS_[[#This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12827.27619047619</v>
      </c>
      <c r="CV58" s="251">
        <f>+DATOS_[[#This Row],[TOTAL SALARIO Eq]]+DATOS_[[#This Row],[Tot Extrasalarial Eq]]</f>
        <v>82272.990476190476</v>
      </c>
      <c r="CW58" s="252">
        <f>DATOS_[[#This Row],[S.BASE]]</f>
        <v>11549.76</v>
      </c>
      <c r="CX58" s="252">
        <f>+SUM(DATOS_[[#This Row],[Conc.Sal.01]:[Conc.Sal.30]])</f>
        <v>10111.9</v>
      </c>
      <c r="CY58" s="252">
        <f>+DATOS_[[#This Row],[SALARIO BASE Ef]]+DATOS_[[#This Row],[Tot COMPL.SAL Ef]]</f>
        <v>21661.66</v>
      </c>
      <c r="CZ58" s="252">
        <f>+SUM(DATOS_[[#This Row],[C.Extra.01]:[C.Extra.11]])</f>
        <v>0</v>
      </c>
      <c r="DA58" s="252">
        <f>+DATOS_[[#This Row],[TOTAL SALARIO Ef]]+DATOS_[[#This Row],[Tot Extrasalarial Ef]]</f>
        <v>21661.66</v>
      </c>
      <c r="DB58" s="109">
        <f>MIN(IF(DATOS_[[#This Row],[Fecha Fin Contrato]]="",$D$4,DATOS_[[#This Row],[Fecha Fin Contrato]]),$D$4)-MAX(DATOS_[[#This Row],[Fecha de Contratación]],$D$3)+1</f>
        <v>366</v>
      </c>
      <c r="DC58" s="110" t="str">
        <f>IF(COUNTIFS(DATOS_[id/cod],DATOS_[[#This Row],[id/cod]])&gt;1,DATOS_[[#This Row],[id/cod]],"")</f>
        <v/>
      </c>
      <c r="DD58" s="108">
        <f>(Inicio!$G$10-DATOS_[[#This Row],[Fecha Nacimiento]])/365.25</f>
        <v>49.489390828199866</v>
      </c>
      <c r="DE58" s="108">
        <f>(Inicio!$G$10-DATOS_[[#This Row],[Fecha de Antigüedad]])/365.25</f>
        <v>7.4496919917864473</v>
      </c>
      <c r="DF58" s="108" t="str">
        <f>+VLOOKUP(DATOS_[[#This Row],[Clave de Contrato]],TblTiposContrato13[],3,FALSE)</f>
        <v>Completa</v>
      </c>
      <c r="DG58" s="108" t="str">
        <f>+VLOOKUP(DATOS_[[#This Row],[Clave de Contrato]],TblTiposContrato13[],4,FALSE)</f>
        <v>Indefinido</v>
      </c>
      <c r="DH58" s="108" t="str">
        <f>VLOOKUP(DATOS_[[#This Row],[Edad]],CONTRATOS!TblRngEdad,2,TRUE)</f>
        <v>45 a 50</v>
      </c>
      <c r="DI58" s="108" t="str">
        <f>VLOOKUP(DATOS_[[#This Row],[Antigüedad]],TblRngAntg14[],2,TRUE)</f>
        <v>5 a 10  años</v>
      </c>
    </row>
    <row r="59" spans="1:113" x14ac:dyDescent="0.25">
      <c r="A59" s="303" t="s">
        <v>442</v>
      </c>
      <c r="B59" s="265">
        <v>49</v>
      </c>
      <c r="C59" s="264" t="s">
        <v>337</v>
      </c>
      <c r="D59" s="243">
        <v>28517</v>
      </c>
      <c r="E59" s="243" t="s">
        <v>373</v>
      </c>
      <c r="F59" s="245"/>
      <c r="G59" s="245"/>
      <c r="H59" s="266">
        <v>43087</v>
      </c>
      <c r="I59" s="268"/>
      <c r="J59" s="260">
        <v>43087</v>
      </c>
      <c r="K59" s="267"/>
      <c r="L59" s="267"/>
      <c r="M59" s="244">
        <v>1</v>
      </c>
      <c r="N59" s="244"/>
      <c r="O59" s="244"/>
      <c r="P59" s="245">
        <v>189</v>
      </c>
      <c r="Q59" s="242" t="s">
        <v>339</v>
      </c>
      <c r="R59" s="242" t="s">
        <v>339</v>
      </c>
      <c r="S59" s="242" t="s">
        <v>340</v>
      </c>
      <c r="T59" s="242" t="s">
        <v>341</v>
      </c>
      <c r="U59" s="242"/>
      <c r="V59" s="242"/>
      <c r="W59" s="242" t="s">
        <v>188</v>
      </c>
      <c r="X59" s="246"/>
      <c r="Y59" s="271">
        <v>14000425011981</v>
      </c>
      <c r="Z59" s="247" t="s">
        <v>407</v>
      </c>
      <c r="AA59" s="279" t="s">
        <v>343</v>
      </c>
      <c r="AB59" s="248"/>
      <c r="AC59" s="245">
        <v>7</v>
      </c>
      <c r="AD59" s="261">
        <v>12879.24</v>
      </c>
      <c r="AE59" s="262">
        <v>903</v>
      </c>
      <c r="AF59" s="262">
        <v>37.44</v>
      </c>
      <c r="AG59" s="262">
        <v>902.4</v>
      </c>
      <c r="AH59" s="262">
        <v>1673.4</v>
      </c>
      <c r="AI59" s="262">
        <v>309.3</v>
      </c>
      <c r="AJ59" s="262">
        <v>1781.26</v>
      </c>
      <c r="AK59" s="262">
        <v>720</v>
      </c>
      <c r="AL59" s="262">
        <v>145.51</v>
      </c>
      <c r="AM59" s="262">
        <v>843.12</v>
      </c>
      <c r="AN59" s="262">
        <v>0</v>
      </c>
      <c r="AO59" s="262">
        <v>131.5</v>
      </c>
      <c r="AP59" s="262">
        <v>310.68</v>
      </c>
      <c r="AQ59" s="262">
        <v>300</v>
      </c>
      <c r="AR59" s="262">
        <v>0</v>
      </c>
      <c r="AS59" s="262">
        <v>1836</v>
      </c>
      <c r="AT59" s="262">
        <v>1836</v>
      </c>
      <c r="AU59" s="262">
        <v>0</v>
      </c>
      <c r="AV59" s="262">
        <v>0</v>
      </c>
      <c r="AW59" s="262">
        <v>65</v>
      </c>
      <c r="AX59" s="262">
        <v>107.32</v>
      </c>
      <c r="AY59" s="262">
        <v>3845.53</v>
      </c>
      <c r="AZ59" s="262"/>
      <c r="BA59" s="262"/>
      <c r="BB59" s="262"/>
      <c r="BC59" s="262"/>
      <c r="BD59" s="262"/>
      <c r="BE59" s="262"/>
      <c r="BF59" s="262"/>
      <c r="BG59" s="262"/>
      <c r="BH59" s="262"/>
      <c r="BI59" s="262"/>
      <c r="BJ59" s="262"/>
      <c r="BK59" s="262"/>
      <c r="BL59" s="262"/>
      <c r="BM59" s="262"/>
      <c r="BN59" s="262"/>
      <c r="BO59" s="262"/>
      <c r="BP59" s="262"/>
      <c r="BQ59" s="262"/>
      <c r="BR59" s="262"/>
      <c r="BS59" s="262"/>
      <c r="BT59" s="262"/>
      <c r="BU59" s="262"/>
      <c r="BV59" s="262"/>
      <c r="BW59" s="263"/>
      <c r="BX59" s="263"/>
      <c r="BY59" s="263"/>
      <c r="BZ59" s="263"/>
      <c r="CA59" s="263"/>
      <c r="CB59" s="263"/>
      <c r="CC59" s="263"/>
      <c r="CD59" s="263"/>
      <c r="CE59" s="263"/>
      <c r="CF59" s="263"/>
      <c r="CG59" s="263"/>
      <c r="CH59" s="249">
        <f>+MAX($D$3,DATOS_[[#This Row],[Fecha Inicio Sit. Contract.]])</f>
        <v>45292</v>
      </c>
      <c r="CI59" s="249">
        <f>+MIN($D$4,DATOS_[[#This Row],[Fecha Fin Sit. Contract.]])</f>
        <v>45657</v>
      </c>
      <c r="CJ59" s="250">
        <f>+DATOS_[[#This Row],[% de jornada]]*IF(DATOS_[[#This Row],[% jornada reducida]]="",1,DATOS_[[#This Row],[% jornada reducida]])</f>
        <v>1</v>
      </c>
      <c r="CK59" s="250">
        <f>+(DATOS_[[#This Row],[F.fin.cal]]-DATOS_[[#This Row],[F.ini.cal]]+1)/($D$4-$D$3+1)</f>
        <v>1</v>
      </c>
      <c r="CL59" s="250" t="str">
        <f>IF(OR(AND(DATOS_[[#This Row],[Fecha Fin Contrato]]&lt;$D$3,DATOS_[[#This Row],[Fecha Fin Contrato]]&lt;&gt;""),DATOS_[[#This Row],[Fecha de Contratación]]&gt;$D$4),"Fuera","Dentro")</f>
        <v>Dentro</v>
      </c>
      <c r="CM59" s="250" t="str" cm="1">
        <f t="array" ref="CM59">IF(MAX(IF(DATOS_[id/cod]=DATOS_[[#This Row],[id/cod]],DATOS_[F.fin.cal]))=DATOS_[[#This Row],[F.fin.cal]],"Sí","NO")</f>
        <v>Sí</v>
      </c>
      <c r="CN59" s="250" t="str">
        <f>IF(AND(DATOS_[[#This Row],[% normaliz]]&lt;&gt;1,DATOS_[[#This Row],[% anualiz]]=1),"Sí","NO")</f>
        <v>NO</v>
      </c>
      <c r="CO59" s="250" t="str">
        <f>IF(AND(DATOS_[[#This Row],[% normaliz]]=1,DATOS_[[#This Row],[% anualiz]]&lt;&gt;1),"Sí","NO")</f>
        <v>NO</v>
      </c>
      <c r="CP59" s="250" t="str">
        <f>IF(AND(DATOS_[[#This Row],[% normaliz]]&lt;&gt;1,DATOS_[[#This Row],[% anualiz]]&lt;&gt;1),"Sí","NO")</f>
        <v>NO</v>
      </c>
      <c r="CQ59" s="250" t="str">
        <f>+IF(DATOS_[[#This Row],[% normaliz]]*DATOS_[[#This Row],[% anualiz]]=1,"NO","Sí")</f>
        <v>NO</v>
      </c>
      <c r="CR59" s="251">
        <f>(DATOS_[[#This Row],[S.BASE]]*(1/DATOS_[[#This Row],[% normaliz]])*(1/DATOS_[[#This Row],[% anualiz]]))*IF(DATOS_[[#This Row],[Check Equiparado]]="Sí",1,0)</f>
        <v>12879.24</v>
      </c>
      <c r="CS59"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12075.460000000001</v>
      </c>
      <c r="CT59" s="251">
        <f>+DATOS_[[#This Row],[SALARIO BASE Eq]]+DATOS_[[#This Row],[Tot COMPL.SAL Eq]]</f>
        <v>24954.7</v>
      </c>
      <c r="CU59" s="251" cm="1">
        <f t="array" ref="CU59">(SUMPRODUCT((RngTipo=$CU$7)*(rngAnualizable="Sí")*(rngNormalizable="Sí")*(DATOS_[[#This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3672</v>
      </c>
      <c r="CV59" s="251">
        <f>+DATOS_[[#This Row],[TOTAL SALARIO Eq]]+DATOS_[[#This Row],[Tot Extrasalarial Eq]]</f>
        <v>28626.7</v>
      </c>
      <c r="CW59" s="252">
        <f>DATOS_[[#This Row],[S.BASE]]</f>
        <v>12879.24</v>
      </c>
      <c r="CX59" s="252">
        <f>+SUM(DATOS_[[#This Row],[Conc.Sal.01]:[Conc.Sal.30]])</f>
        <v>15747.460000000001</v>
      </c>
      <c r="CY59" s="252">
        <f>+DATOS_[[#This Row],[SALARIO BASE Ef]]+DATOS_[[#This Row],[Tot COMPL.SAL Ef]]</f>
        <v>28626.7</v>
      </c>
      <c r="CZ59" s="252">
        <f>+SUM(DATOS_[[#This Row],[C.Extra.01]:[C.Extra.11]])</f>
        <v>0</v>
      </c>
      <c r="DA59" s="252">
        <f>+DATOS_[[#This Row],[TOTAL SALARIO Ef]]+DATOS_[[#This Row],[Tot Extrasalarial Ef]]</f>
        <v>28626.7</v>
      </c>
      <c r="DB59" s="109">
        <f>MIN(IF(DATOS_[[#This Row],[Fecha Fin Contrato]]="",$D$4,DATOS_[[#This Row],[Fecha Fin Contrato]]),$D$4)-MAX(DATOS_[[#This Row],[Fecha de Contratación]],$D$3)+1</f>
        <v>366</v>
      </c>
      <c r="DC59" s="110" t="str">
        <f>IF(COUNTIFS(DATOS_[id/cod],DATOS_[[#This Row],[id/cod]])&gt;1,DATOS_[[#This Row],[id/cod]],"")</f>
        <v/>
      </c>
      <c r="DD59" s="108">
        <f>(Inicio!$G$10-DATOS_[[#This Row],[Fecha Nacimiento]])/365.25</f>
        <v>46.926762491444215</v>
      </c>
      <c r="DE59" s="108">
        <f>(Inicio!$G$10-DATOS_[[#This Row],[Fecha de Antigüedad]])/365.25</f>
        <v>7.0362765229295006</v>
      </c>
      <c r="DF59" s="108" t="str">
        <f>+VLOOKUP(DATOS_[[#This Row],[Clave de Contrato]],TblTiposContrato13[],3,FALSE)</f>
        <v>Completa</v>
      </c>
      <c r="DG59" s="108" t="str">
        <f>+VLOOKUP(DATOS_[[#This Row],[Clave de Contrato]],TblTiposContrato13[],4,FALSE)</f>
        <v>Indefinido</v>
      </c>
      <c r="DH59" s="108" t="str">
        <f>VLOOKUP(DATOS_[[#This Row],[Edad]],CONTRATOS!TblRngEdad,2,TRUE)</f>
        <v>45 a 50</v>
      </c>
      <c r="DI59" s="108" t="str">
        <f>VLOOKUP(DATOS_[[#This Row],[Antigüedad]],TblRngAntg14[],2,TRUE)</f>
        <v>5 a 10  años</v>
      </c>
    </row>
    <row r="60" spans="1:113" x14ac:dyDescent="0.25">
      <c r="A60" s="303" t="s">
        <v>443</v>
      </c>
      <c r="B60" s="265">
        <v>50</v>
      </c>
      <c r="C60" s="264" t="s">
        <v>337</v>
      </c>
      <c r="D60" s="243">
        <v>22841</v>
      </c>
      <c r="E60" s="243" t="s">
        <v>338</v>
      </c>
      <c r="F60" s="245"/>
      <c r="G60" s="245"/>
      <c r="H60" s="266">
        <v>43101</v>
      </c>
      <c r="I60" s="268"/>
      <c r="J60" s="260">
        <v>43101</v>
      </c>
      <c r="K60" s="267"/>
      <c r="L60" s="267"/>
      <c r="M60" s="244">
        <v>1</v>
      </c>
      <c r="N60" s="244"/>
      <c r="O60" s="244"/>
      <c r="P60" s="245">
        <v>100</v>
      </c>
      <c r="Q60" s="242" t="s">
        <v>352</v>
      </c>
      <c r="R60" s="242" t="s">
        <v>352</v>
      </c>
      <c r="S60" s="242" t="s">
        <v>352</v>
      </c>
      <c r="T60" s="242" t="s">
        <v>341</v>
      </c>
      <c r="U60" s="242" t="s">
        <v>367</v>
      </c>
      <c r="V60" s="242"/>
      <c r="W60" s="242"/>
      <c r="X60" s="246"/>
      <c r="Y60" s="271">
        <v>14000425011981</v>
      </c>
      <c r="Z60" s="247"/>
      <c r="AA60" s="279" t="s">
        <v>343</v>
      </c>
      <c r="AB60" s="248"/>
      <c r="AC60" s="245">
        <v>7</v>
      </c>
      <c r="AD60" s="261"/>
      <c r="AE60" s="262"/>
      <c r="AF60" s="262"/>
      <c r="AG60" s="262"/>
      <c r="AH60" s="262"/>
      <c r="AI60" s="262"/>
      <c r="AJ60" s="262"/>
      <c r="AK60" s="262"/>
      <c r="AL60" s="262"/>
      <c r="AM60" s="262"/>
      <c r="AN60" s="262"/>
      <c r="AO60" s="262"/>
      <c r="AP60" s="262"/>
      <c r="AQ60" s="262"/>
      <c r="AR60" s="262"/>
      <c r="AS60" s="262"/>
      <c r="AT60" s="262"/>
      <c r="AU60" s="262"/>
      <c r="AV60" s="262"/>
      <c r="AW60" s="262"/>
      <c r="AX60" s="262"/>
      <c r="AY60" s="262"/>
      <c r="AZ60" s="262"/>
      <c r="BA60" s="262"/>
      <c r="BB60" s="262"/>
      <c r="BC60" s="262"/>
      <c r="BD60" s="262"/>
      <c r="BE60" s="262"/>
      <c r="BF60" s="262"/>
      <c r="BG60" s="262"/>
      <c r="BH60" s="262"/>
      <c r="BI60" s="262"/>
      <c r="BJ60" s="262"/>
      <c r="BK60" s="262"/>
      <c r="BL60" s="262"/>
      <c r="BM60" s="262"/>
      <c r="BN60" s="262"/>
      <c r="BO60" s="262"/>
      <c r="BP60" s="262"/>
      <c r="BQ60" s="262"/>
      <c r="BR60" s="262"/>
      <c r="BS60" s="262"/>
      <c r="BT60" s="262"/>
      <c r="BU60" s="262"/>
      <c r="BV60" s="262"/>
      <c r="BW60" s="263"/>
      <c r="BX60" s="263"/>
      <c r="BY60" s="263"/>
      <c r="BZ60" s="263"/>
      <c r="CA60" s="263"/>
      <c r="CB60" s="263"/>
      <c r="CC60" s="263"/>
      <c r="CD60" s="263"/>
      <c r="CE60" s="263"/>
      <c r="CF60" s="263"/>
      <c r="CG60" s="263"/>
      <c r="CH60" s="249">
        <f>+MAX($D$3,DATOS_[[#This Row],[Fecha Inicio Sit. Contract.]])</f>
        <v>45292</v>
      </c>
      <c r="CI60" s="249">
        <f>+MIN($D$4,DATOS_[[#This Row],[Fecha Fin Sit. Contract.]])</f>
        <v>45657</v>
      </c>
      <c r="CJ60" s="250">
        <f>+DATOS_[[#This Row],[% de jornada]]*IF(DATOS_[[#This Row],[% jornada reducida]]="",1,DATOS_[[#This Row],[% jornada reducida]])</f>
        <v>1</v>
      </c>
      <c r="CK60" s="250">
        <f>+(DATOS_[[#This Row],[F.fin.cal]]-DATOS_[[#This Row],[F.ini.cal]]+1)/($D$4-$D$3+1)</f>
        <v>1</v>
      </c>
      <c r="CL60" s="250" t="str">
        <f>IF(OR(AND(DATOS_[[#This Row],[Fecha Fin Contrato]]&lt;$D$3,DATOS_[[#This Row],[Fecha Fin Contrato]]&lt;&gt;""),DATOS_[[#This Row],[Fecha de Contratación]]&gt;$D$4),"Fuera","Dentro")</f>
        <v>Dentro</v>
      </c>
      <c r="CM60" s="250" t="str" cm="1">
        <f t="array" ref="CM60">IF(MAX(IF(DATOS_[id/cod]=DATOS_[[#This Row],[id/cod]],DATOS_[F.fin.cal]))=DATOS_[[#This Row],[F.fin.cal]],"Sí","NO")</f>
        <v>Sí</v>
      </c>
      <c r="CN60" s="250" t="str">
        <f>IF(AND(DATOS_[[#This Row],[% normaliz]]&lt;&gt;1,DATOS_[[#This Row],[% anualiz]]=1),"Sí","NO")</f>
        <v>NO</v>
      </c>
      <c r="CO60" s="250" t="str">
        <f>IF(AND(DATOS_[[#This Row],[% normaliz]]=1,DATOS_[[#This Row],[% anualiz]]&lt;&gt;1),"Sí","NO")</f>
        <v>NO</v>
      </c>
      <c r="CP60" s="250" t="str">
        <f>IF(AND(DATOS_[[#This Row],[% normaliz]]&lt;&gt;1,DATOS_[[#This Row],[% anualiz]]&lt;&gt;1),"Sí","NO")</f>
        <v>NO</v>
      </c>
      <c r="CQ60" s="250" t="str">
        <f>+IF(DATOS_[[#This Row],[% normaliz]]*DATOS_[[#This Row],[% anualiz]]=1,"NO","Sí")</f>
        <v>NO</v>
      </c>
      <c r="CR60" s="251">
        <f>(DATOS_[[#This Row],[S.BASE]]*(1/DATOS_[[#This Row],[% normaliz]])*(1/DATOS_[[#This Row],[% anualiz]]))*IF(DATOS_[[#This Row],[Check Equiparado]]="Sí",1,0)</f>
        <v>0</v>
      </c>
      <c r="CS60"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60" s="251">
        <f>+DATOS_[[#This Row],[SALARIO BASE Eq]]+DATOS_[[#This Row],[Tot COMPL.SAL Eq]]</f>
        <v>0</v>
      </c>
      <c r="CU60" s="251" cm="1">
        <f t="array" ref="CU60">(SUMPRODUCT((RngTipo=$CU$7)*(rngAnualizable="Sí")*(rngNormalizable="Sí")*(DATOS_[[#This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60" s="251">
        <f>+DATOS_[[#This Row],[TOTAL SALARIO Eq]]+DATOS_[[#This Row],[Tot Extrasalarial Eq]]</f>
        <v>0</v>
      </c>
      <c r="CW60" s="252">
        <f>DATOS_[[#This Row],[S.BASE]]</f>
        <v>0</v>
      </c>
      <c r="CX60" s="252">
        <f>+SUM(DATOS_[[#This Row],[Conc.Sal.01]:[Conc.Sal.30]])</f>
        <v>0</v>
      </c>
      <c r="CY60" s="252">
        <f>+DATOS_[[#This Row],[SALARIO BASE Ef]]+DATOS_[[#This Row],[Tot COMPL.SAL Ef]]</f>
        <v>0</v>
      </c>
      <c r="CZ60" s="252">
        <f>+SUM(DATOS_[[#This Row],[C.Extra.01]:[C.Extra.11]])</f>
        <v>0</v>
      </c>
      <c r="DA60" s="252">
        <f>+DATOS_[[#This Row],[TOTAL SALARIO Ef]]+DATOS_[[#This Row],[Tot Extrasalarial Ef]]</f>
        <v>0</v>
      </c>
      <c r="DB60" s="109">
        <f>MIN(IF(DATOS_[[#This Row],[Fecha Fin Contrato]]="",$D$4,DATOS_[[#This Row],[Fecha Fin Contrato]]),$D$4)-MAX(DATOS_[[#This Row],[Fecha de Contratación]],$D$3)+1</f>
        <v>366</v>
      </c>
      <c r="DC60" s="110" t="str">
        <f>IF(COUNTIFS(DATOS_[id/cod],DATOS_[[#This Row],[id/cod]])&gt;1,DATOS_[[#This Row],[id/cod]],"")</f>
        <v/>
      </c>
      <c r="DD60" s="108">
        <f>(Inicio!$G$10-DATOS_[[#This Row],[Fecha Nacimiento]])/365.25</f>
        <v>62.466803559206021</v>
      </c>
      <c r="DE60" s="108">
        <f>(Inicio!$G$10-DATOS_[[#This Row],[Fecha de Antigüedad]])/365.25</f>
        <v>6.9979466119096507</v>
      </c>
      <c r="DF60" s="108" t="str">
        <f>+VLOOKUP(DATOS_[[#This Row],[Clave de Contrato]],TblTiposContrato13[],3,FALSE)</f>
        <v>Completa</v>
      </c>
      <c r="DG60" s="108" t="str">
        <f>+VLOOKUP(DATOS_[[#This Row],[Clave de Contrato]],TblTiposContrato13[],4,FALSE)</f>
        <v>Indefinido</v>
      </c>
      <c r="DH60" s="108" t="str">
        <f>VLOOKUP(DATOS_[[#This Row],[Edad]],CONTRATOS!TblRngEdad,2,TRUE)</f>
        <v>60 en adelante</v>
      </c>
      <c r="DI60" s="108" t="str">
        <f>VLOOKUP(DATOS_[[#This Row],[Antigüedad]],TblRngAntg14[],2,TRUE)</f>
        <v>5 a 10  años</v>
      </c>
    </row>
    <row r="61" spans="1:113" x14ac:dyDescent="0.25">
      <c r="A61" s="303" t="s">
        <v>444</v>
      </c>
      <c r="B61" s="265">
        <v>51</v>
      </c>
      <c r="C61" s="264" t="s">
        <v>337</v>
      </c>
      <c r="D61" s="243">
        <v>28864</v>
      </c>
      <c r="E61" s="243" t="s">
        <v>351</v>
      </c>
      <c r="F61" s="245"/>
      <c r="G61" s="245"/>
      <c r="H61" s="266">
        <v>43169</v>
      </c>
      <c r="I61" s="268"/>
      <c r="J61" s="260">
        <v>43169</v>
      </c>
      <c r="K61" s="267"/>
      <c r="L61" s="267"/>
      <c r="M61" s="244">
        <v>0.26300000000000001</v>
      </c>
      <c r="N61" s="244"/>
      <c r="O61" s="244"/>
      <c r="P61" s="245">
        <v>289</v>
      </c>
      <c r="Q61" s="242" t="s">
        <v>375</v>
      </c>
      <c r="R61" s="242" t="s">
        <v>375</v>
      </c>
      <c r="S61" s="242" t="s">
        <v>445</v>
      </c>
      <c r="T61" s="242" t="s">
        <v>341</v>
      </c>
      <c r="U61" s="242" t="s">
        <v>342</v>
      </c>
      <c r="V61" s="242"/>
      <c r="W61" s="242" t="s">
        <v>192</v>
      </c>
      <c r="X61" s="246"/>
      <c r="Y61" s="271">
        <v>14000425011981</v>
      </c>
      <c r="Z61" s="247" t="s">
        <v>382</v>
      </c>
      <c r="AA61" s="279" t="s">
        <v>343</v>
      </c>
      <c r="AB61" s="248"/>
      <c r="AC61" s="245">
        <v>10</v>
      </c>
      <c r="AD61" s="261">
        <v>2887.68</v>
      </c>
      <c r="AE61" s="262">
        <v>37.44</v>
      </c>
      <c r="AF61" s="262">
        <v>497.4</v>
      </c>
      <c r="AG61" s="262">
        <v>187.2</v>
      </c>
      <c r="AH61" s="262">
        <v>0</v>
      </c>
      <c r="AI61" s="262">
        <v>0</v>
      </c>
      <c r="AJ61" s="262">
        <v>843.12</v>
      </c>
      <c r="AK61" s="262">
        <v>0</v>
      </c>
      <c r="AL61" s="262">
        <v>0</v>
      </c>
      <c r="AM61" s="262">
        <v>0</v>
      </c>
      <c r="AN61" s="262">
        <v>0</v>
      </c>
      <c r="AO61" s="262">
        <v>0</v>
      </c>
      <c r="AP61" s="262">
        <v>1499.04</v>
      </c>
      <c r="AQ61" s="262">
        <v>893.04</v>
      </c>
      <c r="AR61" s="262">
        <v>0</v>
      </c>
      <c r="AS61" s="262">
        <v>0</v>
      </c>
      <c r="AT61" s="262">
        <v>0</v>
      </c>
      <c r="AU61" s="262">
        <v>0</v>
      </c>
      <c r="AV61" s="262">
        <v>0</v>
      </c>
      <c r="AW61" s="262">
        <v>0</v>
      </c>
      <c r="AX61" s="262">
        <v>0</v>
      </c>
      <c r="AY61" s="262">
        <v>65</v>
      </c>
      <c r="AZ61" s="262"/>
      <c r="BA61" s="262"/>
      <c r="BB61" s="262"/>
      <c r="BC61" s="262"/>
      <c r="BD61" s="262"/>
      <c r="BE61" s="262"/>
      <c r="BF61" s="262"/>
      <c r="BG61" s="262"/>
      <c r="BH61" s="262"/>
      <c r="BI61" s="262"/>
      <c r="BJ61" s="262"/>
      <c r="BK61" s="262"/>
      <c r="BL61" s="262"/>
      <c r="BM61" s="262"/>
      <c r="BN61" s="262"/>
      <c r="BO61" s="262"/>
      <c r="BP61" s="262"/>
      <c r="BQ61" s="262"/>
      <c r="BR61" s="262"/>
      <c r="BS61" s="262"/>
      <c r="BT61" s="262"/>
      <c r="BU61" s="262"/>
      <c r="BV61" s="262"/>
      <c r="BW61" s="263"/>
      <c r="BX61" s="263"/>
      <c r="BY61" s="263"/>
      <c r="BZ61" s="263"/>
      <c r="CA61" s="263"/>
      <c r="CB61" s="263"/>
      <c r="CC61" s="263"/>
      <c r="CD61" s="263"/>
      <c r="CE61" s="263"/>
      <c r="CF61" s="263"/>
      <c r="CG61" s="263"/>
      <c r="CH61" s="249">
        <f>+MAX($D$3,DATOS_[[#This Row],[Fecha Inicio Sit. Contract.]])</f>
        <v>45292</v>
      </c>
      <c r="CI61" s="249">
        <f>+MIN($D$4,DATOS_[[#This Row],[Fecha Fin Sit. Contract.]])</f>
        <v>45657</v>
      </c>
      <c r="CJ61" s="250">
        <f>+DATOS_[[#This Row],[% de jornada]]*IF(DATOS_[[#This Row],[% jornada reducida]]="",1,DATOS_[[#This Row],[% jornada reducida]])</f>
        <v>0.26300000000000001</v>
      </c>
      <c r="CK61" s="250">
        <f>+(DATOS_[[#This Row],[F.fin.cal]]-DATOS_[[#This Row],[F.ini.cal]]+1)/($D$4-$D$3+1)</f>
        <v>1</v>
      </c>
      <c r="CL61" s="250" t="str">
        <f>IF(OR(AND(DATOS_[[#This Row],[Fecha Fin Contrato]]&lt;$D$3,DATOS_[[#This Row],[Fecha Fin Contrato]]&lt;&gt;""),DATOS_[[#This Row],[Fecha de Contratación]]&gt;$D$4),"Fuera","Dentro")</f>
        <v>Dentro</v>
      </c>
      <c r="CM61" s="250" t="str" cm="1">
        <f t="array" ref="CM61">IF(MAX(IF(DATOS_[id/cod]=DATOS_[[#This Row],[id/cod]],DATOS_[F.fin.cal]))=DATOS_[[#This Row],[F.fin.cal]],"Sí","NO")</f>
        <v>Sí</v>
      </c>
      <c r="CN61" s="250" t="str">
        <f>IF(AND(DATOS_[[#This Row],[% normaliz]]&lt;&gt;1,DATOS_[[#This Row],[% anualiz]]=1),"Sí","NO")</f>
        <v>Sí</v>
      </c>
      <c r="CO61" s="250" t="str">
        <f>IF(AND(DATOS_[[#This Row],[% normaliz]]=1,DATOS_[[#This Row],[% anualiz]]&lt;&gt;1),"Sí","NO")</f>
        <v>NO</v>
      </c>
      <c r="CP61" s="250" t="str">
        <f>IF(AND(DATOS_[[#This Row],[% normaliz]]&lt;&gt;1,DATOS_[[#This Row],[% anualiz]]&lt;&gt;1),"Sí","NO")</f>
        <v>NO</v>
      </c>
      <c r="CQ61" s="250" t="str">
        <f>+IF(DATOS_[[#This Row],[% normaliz]]*DATOS_[[#This Row],[% anualiz]]=1,"NO","Sí")</f>
        <v>Sí</v>
      </c>
      <c r="CR61" s="251">
        <f>(DATOS_[[#This Row],[S.BASE]]*(1/DATOS_[[#This Row],[% normaliz]])*(1/DATOS_[[#This Row],[% anualiz]]))*IF(DATOS_[[#This Row],[Check Equiparado]]="Sí",1,0)</f>
        <v>10979.771863117869</v>
      </c>
      <c r="CS61"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15293.688212927755</v>
      </c>
      <c r="CT61" s="251">
        <f>+DATOS_[[#This Row],[SALARIO BASE Eq]]+DATOS_[[#This Row],[Tot COMPL.SAL Eq]]</f>
        <v>26273.460076045623</v>
      </c>
      <c r="CU61" s="251" cm="1">
        <f t="array" ref="CU61">(SUMPRODUCT((RngTipo=$CU$7)*(rngAnualizable="Sí")*(rngNormalizable="Sí")*(DATOS_[[#This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61" s="251">
        <f>+DATOS_[[#This Row],[TOTAL SALARIO Eq]]+DATOS_[[#This Row],[Tot Extrasalarial Eq]]</f>
        <v>26273.460076045623</v>
      </c>
      <c r="CW61" s="252">
        <f>DATOS_[[#This Row],[S.BASE]]</f>
        <v>2887.68</v>
      </c>
      <c r="CX61" s="252">
        <f>+SUM(DATOS_[[#This Row],[Conc.Sal.01]:[Conc.Sal.30]])</f>
        <v>4022.24</v>
      </c>
      <c r="CY61" s="252">
        <f>+DATOS_[[#This Row],[SALARIO BASE Ef]]+DATOS_[[#This Row],[Tot COMPL.SAL Ef]]</f>
        <v>6909.92</v>
      </c>
      <c r="CZ61" s="252">
        <f>+SUM(DATOS_[[#This Row],[C.Extra.01]:[C.Extra.11]])</f>
        <v>0</v>
      </c>
      <c r="DA61" s="252">
        <f>+DATOS_[[#This Row],[TOTAL SALARIO Ef]]+DATOS_[[#This Row],[Tot Extrasalarial Ef]]</f>
        <v>6909.92</v>
      </c>
      <c r="DB61" s="109">
        <f>MIN(IF(DATOS_[[#This Row],[Fecha Fin Contrato]]="",$D$4,DATOS_[[#This Row],[Fecha Fin Contrato]]),$D$4)-MAX(DATOS_[[#This Row],[Fecha de Contratación]],$D$3)+1</f>
        <v>366</v>
      </c>
      <c r="DC61" s="110" t="str">
        <f>IF(COUNTIFS(DATOS_[id/cod],DATOS_[[#This Row],[id/cod]])&gt;1,DATOS_[[#This Row],[id/cod]],"")</f>
        <v/>
      </c>
      <c r="DD61" s="108">
        <f>(Inicio!$G$10-DATOS_[[#This Row],[Fecha Nacimiento]])/365.25</f>
        <v>45.97672826830938</v>
      </c>
      <c r="DE61" s="108">
        <f>(Inicio!$G$10-DATOS_[[#This Row],[Fecha de Antigüedad]])/365.25</f>
        <v>6.8117727583846683</v>
      </c>
      <c r="DF61" s="108" t="str">
        <f>+VLOOKUP(DATOS_[[#This Row],[Clave de Contrato]],TblTiposContrato13[],3,FALSE)</f>
        <v>Parcial</v>
      </c>
      <c r="DG61" s="108" t="str">
        <f>+VLOOKUP(DATOS_[[#This Row],[Clave de Contrato]],TblTiposContrato13[],4,FALSE)</f>
        <v>Indefinido</v>
      </c>
      <c r="DH61" s="108" t="str">
        <f>VLOOKUP(DATOS_[[#This Row],[Edad]],CONTRATOS!TblRngEdad,2,TRUE)</f>
        <v>45 a 50</v>
      </c>
      <c r="DI61" s="108" t="str">
        <f>VLOOKUP(DATOS_[[#This Row],[Antigüedad]],TblRngAntg14[],2,TRUE)</f>
        <v>5 a 10  años</v>
      </c>
    </row>
    <row r="62" spans="1:113" x14ac:dyDescent="0.25">
      <c r="A62" s="303" t="s">
        <v>446</v>
      </c>
      <c r="B62" s="265">
        <v>52</v>
      </c>
      <c r="C62" s="264" t="s">
        <v>337</v>
      </c>
      <c r="D62" s="243">
        <v>30996</v>
      </c>
      <c r="E62" s="243" t="s">
        <v>373</v>
      </c>
      <c r="F62" s="245"/>
      <c r="G62" s="245"/>
      <c r="H62" s="266">
        <v>43241</v>
      </c>
      <c r="I62" s="268"/>
      <c r="J62" s="260">
        <v>43241</v>
      </c>
      <c r="K62" s="267"/>
      <c r="L62" s="267"/>
      <c r="M62" s="244">
        <v>1</v>
      </c>
      <c r="N62" s="244"/>
      <c r="O62" s="244"/>
      <c r="P62" s="245">
        <v>100</v>
      </c>
      <c r="Q62" s="242" t="s">
        <v>339</v>
      </c>
      <c r="R62" s="242" t="s">
        <v>339</v>
      </c>
      <c r="S62" s="242" t="s">
        <v>447</v>
      </c>
      <c r="T62" s="242" t="s">
        <v>341</v>
      </c>
      <c r="U62" s="242" t="s">
        <v>367</v>
      </c>
      <c r="V62" s="242"/>
      <c r="W62" s="242"/>
      <c r="X62" s="246"/>
      <c r="Y62" s="271">
        <v>14000425011981</v>
      </c>
      <c r="Z62" s="247"/>
      <c r="AA62" s="279" t="s">
        <v>343</v>
      </c>
      <c r="AB62" s="248"/>
      <c r="AC62" s="245">
        <v>7</v>
      </c>
      <c r="AD62" s="261"/>
      <c r="AE62" s="262"/>
      <c r="AF62" s="262"/>
      <c r="AG62" s="262"/>
      <c r="AH62" s="262"/>
      <c r="AI62" s="262"/>
      <c r="AJ62" s="262"/>
      <c r="AK62" s="262"/>
      <c r="AL62" s="262"/>
      <c r="AM62" s="262"/>
      <c r="AN62" s="262"/>
      <c r="AO62" s="262"/>
      <c r="AP62" s="262"/>
      <c r="AQ62" s="262"/>
      <c r="AR62" s="262"/>
      <c r="AS62" s="262"/>
      <c r="AT62" s="262"/>
      <c r="AU62" s="262"/>
      <c r="AV62" s="262"/>
      <c r="AW62" s="262"/>
      <c r="AX62" s="262"/>
      <c r="AY62" s="262"/>
      <c r="AZ62" s="262"/>
      <c r="BA62" s="262"/>
      <c r="BB62" s="262"/>
      <c r="BC62" s="262"/>
      <c r="BD62" s="262"/>
      <c r="BE62" s="262"/>
      <c r="BF62" s="262"/>
      <c r="BG62" s="262"/>
      <c r="BH62" s="262"/>
      <c r="BI62" s="262"/>
      <c r="BJ62" s="262"/>
      <c r="BK62" s="262"/>
      <c r="BL62" s="262"/>
      <c r="BM62" s="262"/>
      <c r="BN62" s="262"/>
      <c r="BO62" s="262"/>
      <c r="BP62" s="262"/>
      <c r="BQ62" s="262"/>
      <c r="BR62" s="262"/>
      <c r="BS62" s="262"/>
      <c r="BT62" s="262"/>
      <c r="BU62" s="262"/>
      <c r="BV62" s="262"/>
      <c r="BW62" s="263"/>
      <c r="BX62" s="263"/>
      <c r="BY62" s="263"/>
      <c r="BZ62" s="263"/>
      <c r="CA62" s="263"/>
      <c r="CB62" s="263"/>
      <c r="CC62" s="263"/>
      <c r="CD62" s="263"/>
      <c r="CE62" s="263"/>
      <c r="CF62" s="263"/>
      <c r="CG62" s="263"/>
      <c r="CH62" s="249">
        <f>+MAX($D$3,DATOS_[[#This Row],[Fecha Inicio Sit. Contract.]])</f>
        <v>45292</v>
      </c>
      <c r="CI62" s="249">
        <f>+MIN($D$4,DATOS_[[#This Row],[Fecha Fin Sit. Contract.]])</f>
        <v>45657</v>
      </c>
      <c r="CJ62" s="250">
        <f>+DATOS_[[#This Row],[% de jornada]]*IF(DATOS_[[#This Row],[% jornada reducida]]="",1,DATOS_[[#This Row],[% jornada reducida]])</f>
        <v>1</v>
      </c>
      <c r="CK62" s="250">
        <f>+(DATOS_[[#This Row],[F.fin.cal]]-DATOS_[[#This Row],[F.ini.cal]]+1)/($D$4-$D$3+1)</f>
        <v>1</v>
      </c>
      <c r="CL62" s="250" t="str">
        <f>IF(OR(AND(DATOS_[[#This Row],[Fecha Fin Contrato]]&lt;$D$3,DATOS_[[#This Row],[Fecha Fin Contrato]]&lt;&gt;""),DATOS_[[#This Row],[Fecha de Contratación]]&gt;$D$4),"Fuera","Dentro")</f>
        <v>Dentro</v>
      </c>
      <c r="CM62" s="250" t="str" cm="1">
        <f t="array" ref="CM62">IF(MAX(IF(DATOS_[id/cod]=DATOS_[[#This Row],[id/cod]],DATOS_[F.fin.cal]))=DATOS_[[#This Row],[F.fin.cal]],"Sí","NO")</f>
        <v>Sí</v>
      </c>
      <c r="CN62" s="250" t="str">
        <f>IF(AND(DATOS_[[#This Row],[% normaliz]]&lt;&gt;1,DATOS_[[#This Row],[% anualiz]]=1),"Sí","NO")</f>
        <v>NO</v>
      </c>
      <c r="CO62" s="250" t="str">
        <f>IF(AND(DATOS_[[#This Row],[% normaliz]]=1,DATOS_[[#This Row],[% anualiz]]&lt;&gt;1),"Sí","NO")</f>
        <v>NO</v>
      </c>
      <c r="CP62" s="250" t="str">
        <f>IF(AND(DATOS_[[#This Row],[% normaliz]]&lt;&gt;1,DATOS_[[#This Row],[% anualiz]]&lt;&gt;1),"Sí","NO")</f>
        <v>NO</v>
      </c>
      <c r="CQ62" s="250" t="str">
        <f>+IF(DATOS_[[#This Row],[% normaliz]]*DATOS_[[#This Row],[% anualiz]]=1,"NO","Sí")</f>
        <v>NO</v>
      </c>
      <c r="CR62" s="251">
        <f>(DATOS_[[#This Row],[S.BASE]]*(1/DATOS_[[#This Row],[% normaliz]])*(1/DATOS_[[#This Row],[% anualiz]]))*IF(DATOS_[[#This Row],[Check Equiparado]]="Sí",1,0)</f>
        <v>0</v>
      </c>
      <c r="CS62"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62" s="251">
        <f>+DATOS_[[#This Row],[SALARIO BASE Eq]]+DATOS_[[#This Row],[Tot COMPL.SAL Eq]]</f>
        <v>0</v>
      </c>
      <c r="CU62" s="251" cm="1">
        <f t="array" ref="CU62">(SUMPRODUCT((RngTipo=$CU$7)*(rngAnualizable="Sí")*(rngNormalizable="Sí")*(DATOS_[[#This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62" s="251">
        <f>+DATOS_[[#This Row],[TOTAL SALARIO Eq]]+DATOS_[[#This Row],[Tot Extrasalarial Eq]]</f>
        <v>0</v>
      </c>
      <c r="CW62" s="252">
        <f>DATOS_[[#This Row],[S.BASE]]</f>
        <v>0</v>
      </c>
      <c r="CX62" s="252">
        <f>+SUM(DATOS_[[#This Row],[Conc.Sal.01]:[Conc.Sal.30]])</f>
        <v>0</v>
      </c>
      <c r="CY62" s="252">
        <f>+DATOS_[[#This Row],[SALARIO BASE Ef]]+DATOS_[[#This Row],[Tot COMPL.SAL Ef]]</f>
        <v>0</v>
      </c>
      <c r="CZ62" s="252">
        <f>+SUM(DATOS_[[#This Row],[C.Extra.01]:[C.Extra.11]])</f>
        <v>0</v>
      </c>
      <c r="DA62" s="252">
        <f>+DATOS_[[#This Row],[TOTAL SALARIO Ef]]+DATOS_[[#This Row],[Tot Extrasalarial Ef]]</f>
        <v>0</v>
      </c>
      <c r="DB62" s="109">
        <f>MIN(IF(DATOS_[[#This Row],[Fecha Fin Contrato]]="",$D$4,DATOS_[[#This Row],[Fecha Fin Contrato]]),$D$4)-MAX(DATOS_[[#This Row],[Fecha de Contratación]],$D$3)+1</f>
        <v>366</v>
      </c>
      <c r="DC62" s="110" t="str">
        <f>IF(COUNTIFS(DATOS_[id/cod],DATOS_[[#This Row],[id/cod]])&gt;1,DATOS_[[#This Row],[id/cod]],"")</f>
        <v/>
      </c>
      <c r="DD62" s="108">
        <f>(Inicio!$G$10-DATOS_[[#This Row],[Fecha Nacimiento]])/365.25</f>
        <v>40.139630390143736</v>
      </c>
      <c r="DE62" s="108">
        <f>(Inicio!$G$10-DATOS_[[#This Row],[Fecha de Antigüedad]])/365.25</f>
        <v>6.6146475017111568</v>
      </c>
      <c r="DF62" s="108" t="str">
        <f>+VLOOKUP(DATOS_[[#This Row],[Clave de Contrato]],TblTiposContrato13[],3,FALSE)</f>
        <v>Completa</v>
      </c>
      <c r="DG62" s="108" t="str">
        <f>+VLOOKUP(DATOS_[[#This Row],[Clave de Contrato]],TblTiposContrato13[],4,FALSE)</f>
        <v>Indefinido</v>
      </c>
      <c r="DH62" s="108" t="str">
        <f>VLOOKUP(DATOS_[[#This Row],[Edad]],CONTRATOS!TblRngEdad,2,TRUE)</f>
        <v>40 a 45</v>
      </c>
      <c r="DI62" s="108" t="str">
        <f>VLOOKUP(DATOS_[[#This Row],[Antigüedad]],TblRngAntg14[],2,TRUE)</f>
        <v>5 a 10  años</v>
      </c>
    </row>
    <row r="63" spans="1:113" x14ac:dyDescent="0.25">
      <c r="A63" s="303" t="s">
        <v>448</v>
      </c>
      <c r="B63" s="265">
        <v>53</v>
      </c>
      <c r="C63" s="264" t="s">
        <v>337</v>
      </c>
      <c r="D63" s="243">
        <v>26756</v>
      </c>
      <c r="E63" s="243" t="s">
        <v>449</v>
      </c>
      <c r="F63" s="245"/>
      <c r="G63" s="245"/>
      <c r="H63" s="266">
        <v>43255</v>
      </c>
      <c r="I63" s="268"/>
      <c r="J63" s="260">
        <v>43255</v>
      </c>
      <c r="K63" s="267"/>
      <c r="L63" s="267"/>
      <c r="M63" s="244">
        <v>1</v>
      </c>
      <c r="N63" s="244"/>
      <c r="O63" s="244"/>
      <c r="P63" s="245">
        <v>100</v>
      </c>
      <c r="Q63" s="242" t="s">
        <v>357</v>
      </c>
      <c r="R63" s="242" t="s">
        <v>357</v>
      </c>
      <c r="S63" s="242" t="s">
        <v>450</v>
      </c>
      <c r="T63" s="242" t="s">
        <v>341</v>
      </c>
      <c r="U63" s="242" t="s">
        <v>342</v>
      </c>
      <c r="V63" s="242"/>
      <c r="W63" s="242" t="s">
        <v>185</v>
      </c>
      <c r="X63" s="246"/>
      <c r="Y63" s="271">
        <v>14000425011981</v>
      </c>
      <c r="Z63" s="247" t="s">
        <v>451</v>
      </c>
      <c r="AA63" s="279" t="s">
        <v>343</v>
      </c>
      <c r="AB63" s="248"/>
      <c r="AC63" s="245">
        <v>7</v>
      </c>
      <c r="AD63" s="261">
        <v>11415.48</v>
      </c>
      <c r="AE63" s="262">
        <v>9507.42</v>
      </c>
      <c r="AF63" s="262">
        <v>37.44</v>
      </c>
      <c r="AG63" s="262">
        <v>1023.6</v>
      </c>
      <c r="AH63" s="262">
        <v>713.4</v>
      </c>
      <c r="AI63" s="262">
        <v>843.12</v>
      </c>
      <c r="AJ63" s="262">
        <v>65</v>
      </c>
      <c r="AK63" s="262">
        <v>3288.14</v>
      </c>
      <c r="AL63" s="262"/>
      <c r="AM63" s="262"/>
      <c r="AN63" s="262"/>
      <c r="AO63" s="262"/>
      <c r="AP63" s="262"/>
      <c r="AQ63" s="262"/>
      <c r="AR63" s="262"/>
      <c r="AS63" s="262"/>
      <c r="AT63" s="262"/>
      <c r="AU63" s="262"/>
      <c r="AV63" s="262"/>
      <c r="AW63" s="262"/>
      <c r="AX63" s="262"/>
      <c r="AY63" s="262"/>
      <c r="AZ63" s="262"/>
      <c r="BA63" s="262"/>
      <c r="BB63" s="262"/>
      <c r="BC63" s="262"/>
      <c r="BD63" s="262"/>
      <c r="BE63" s="262"/>
      <c r="BF63" s="262"/>
      <c r="BG63" s="262"/>
      <c r="BH63" s="262"/>
      <c r="BI63" s="262"/>
      <c r="BJ63" s="262"/>
      <c r="BK63" s="262"/>
      <c r="BL63" s="262"/>
      <c r="BM63" s="262"/>
      <c r="BN63" s="262"/>
      <c r="BO63" s="262"/>
      <c r="BP63" s="262"/>
      <c r="BQ63" s="262"/>
      <c r="BR63" s="262"/>
      <c r="BS63" s="262"/>
      <c r="BT63" s="262"/>
      <c r="BU63" s="262"/>
      <c r="BV63" s="262"/>
      <c r="BW63" s="263"/>
      <c r="BX63" s="263"/>
      <c r="BY63" s="263"/>
      <c r="BZ63" s="263"/>
      <c r="CA63" s="263"/>
      <c r="CB63" s="263"/>
      <c r="CC63" s="263"/>
      <c r="CD63" s="263"/>
      <c r="CE63" s="263"/>
      <c r="CF63" s="263"/>
      <c r="CG63" s="263"/>
      <c r="CH63" s="249">
        <f>+MAX($D$3,DATOS_[[#This Row],[Fecha Inicio Sit. Contract.]])</f>
        <v>45292</v>
      </c>
      <c r="CI63" s="249">
        <f>+MIN($D$4,DATOS_[[#This Row],[Fecha Fin Sit. Contract.]])</f>
        <v>45657</v>
      </c>
      <c r="CJ63" s="250">
        <f>+DATOS_[[#This Row],[% de jornada]]*IF(DATOS_[[#This Row],[% jornada reducida]]="",1,DATOS_[[#This Row],[% jornada reducida]])</f>
        <v>1</v>
      </c>
      <c r="CK63" s="250">
        <f>+(DATOS_[[#This Row],[F.fin.cal]]-DATOS_[[#This Row],[F.ini.cal]]+1)/($D$4-$D$3+1)</f>
        <v>1</v>
      </c>
      <c r="CL63" s="250" t="str">
        <f>IF(OR(AND(DATOS_[[#This Row],[Fecha Fin Contrato]]&lt;$D$3,DATOS_[[#This Row],[Fecha Fin Contrato]]&lt;&gt;""),DATOS_[[#This Row],[Fecha de Contratación]]&gt;$D$4),"Fuera","Dentro")</f>
        <v>Dentro</v>
      </c>
      <c r="CM63" s="250" t="str" cm="1">
        <f t="array" ref="CM63">IF(MAX(IF(DATOS_[id/cod]=DATOS_[[#This Row],[id/cod]],DATOS_[F.fin.cal]))=DATOS_[[#This Row],[F.fin.cal]],"Sí","NO")</f>
        <v>Sí</v>
      </c>
      <c r="CN63" s="250" t="str">
        <f>IF(AND(DATOS_[[#This Row],[% normaliz]]&lt;&gt;1,DATOS_[[#This Row],[% anualiz]]=1),"Sí","NO")</f>
        <v>NO</v>
      </c>
      <c r="CO63" s="250" t="str">
        <f>IF(AND(DATOS_[[#This Row],[% normaliz]]=1,DATOS_[[#This Row],[% anualiz]]&lt;&gt;1),"Sí","NO")</f>
        <v>NO</v>
      </c>
      <c r="CP63" s="250" t="str">
        <f>IF(AND(DATOS_[[#This Row],[% normaliz]]&lt;&gt;1,DATOS_[[#This Row],[% anualiz]]&lt;&gt;1),"Sí","NO")</f>
        <v>NO</v>
      </c>
      <c r="CQ63" s="250" t="str">
        <f>+IF(DATOS_[[#This Row],[% normaliz]]*DATOS_[[#This Row],[% anualiz]]=1,"NO","Sí")</f>
        <v>NO</v>
      </c>
      <c r="CR63" s="251">
        <f>(DATOS_[[#This Row],[S.BASE]]*(1/DATOS_[[#This Row],[% normaliz]])*(1/DATOS_[[#This Row],[% anualiz]]))*IF(DATOS_[[#This Row],[Check Equiparado]]="Sí",1,0)</f>
        <v>11415.48</v>
      </c>
      <c r="CS63"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15478.12</v>
      </c>
      <c r="CT63" s="251">
        <f>+DATOS_[[#This Row],[SALARIO BASE Eq]]+DATOS_[[#This Row],[Tot COMPL.SAL Eq]]</f>
        <v>26893.599999999999</v>
      </c>
      <c r="CU63" s="251" cm="1">
        <f t="array" ref="CU63">(SUMPRODUCT((RngTipo=$CU$7)*(rngAnualizable="Sí")*(rngNormalizable="Sí")*(DATOS_[[#This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63" s="251">
        <f>+DATOS_[[#This Row],[TOTAL SALARIO Eq]]+DATOS_[[#This Row],[Tot Extrasalarial Eq]]</f>
        <v>26893.599999999999</v>
      </c>
      <c r="CW63" s="252">
        <f>DATOS_[[#This Row],[S.BASE]]</f>
        <v>11415.48</v>
      </c>
      <c r="CX63" s="252">
        <f>+SUM(DATOS_[[#This Row],[Conc.Sal.01]:[Conc.Sal.30]])</f>
        <v>15478.12</v>
      </c>
      <c r="CY63" s="252">
        <f>+DATOS_[[#This Row],[SALARIO BASE Ef]]+DATOS_[[#This Row],[Tot COMPL.SAL Ef]]</f>
        <v>26893.599999999999</v>
      </c>
      <c r="CZ63" s="252">
        <f>+SUM(DATOS_[[#This Row],[C.Extra.01]:[C.Extra.11]])</f>
        <v>0</v>
      </c>
      <c r="DA63" s="252">
        <f>+DATOS_[[#This Row],[TOTAL SALARIO Ef]]+DATOS_[[#This Row],[Tot Extrasalarial Ef]]</f>
        <v>26893.599999999999</v>
      </c>
      <c r="DB63" s="109">
        <f>MIN(IF(DATOS_[[#This Row],[Fecha Fin Contrato]]="",$D$4,DATOS_[[#This Row],[Fecha Fin Contrato]]),$D$4)-MAX(DATOS_[[#This Row],[Fecha de Contratación]],$D$3)+1</f>
        <v>366</v>
      </c>
      <c r="DC63" s="110" t="str">
        <f>IF(COUNTIFS(DATOS_[id/cod],DATOS_[[#This Row],[id/cod]])&gt;1,DATOS_[[#This Row],[id/cod]],"")</f>
        <v/>
      </c>
      <c r="DD63" s="108">
        <f>(Inicio!$G$10-DATOS_[[#This Row],[Fecha Nacimiento]])/365.25</f>
        <v>51.748117727583846</v>
      </c>
      <c r="DE63" s="108">
        <f>(Inicio!$G$10-DATOS_[[#This Row],[Fecha de Antigüedad]])/365.25</f>
        <v>6.5763175906913069</v>
      </c>
      <c r="DF63" s="108" t="str">
        <f>+VLOOKUP(DATOS_[[#This Row],[Clave de Contrato]],TblTiposContrato13[],3,FALSE)</f>
        <v>Completa</v>
      </c>
      <c r="DG63" s="108" t="str">
        <f>+VLOOKUP(DATOS_[[#This Row],[Clave de Contrato]],TblTiposContrato13[],4,FALSE)</f>
        <v>Indefinido</v>
      </c>
      <c r="DH63" s="108" t="str">
        <f>VLOOKUP(DATOS_[[#This Row],[Edad]],CONTRATOS!TblRngEdad,2,TRUE)</f>
        <v>50 a 55</v>
      </c>
      <c r="DI63" s="108" t="str">
        <f>VLOOKUP(DATOS_[[#This Row],[Antigüedad]],TblRngAntg14[],2,TRUE)</f>
        <v>5 a 10  años</v>
      </c>
    </row>
    <row r="64" spans="1:113" x14ac:dyDescent="0.25">
      <c r="A64" s="303" t="s">
        <v>452</v>
      </c>
      <c r="B64" s="265">
        <v>54</v>
      </c>
      <c r="C64" s="264" t="s">
        <v>337</v>
      </c>
      <c r="D64" s="243">
        <v>27080</v>
      </c>
      <c r="E64" s="243" t="s">
        <v>351</v>
      </c>
      <c r="F64" s="245"/>
      <c r="G64" s="245"/>
      <c r="H64" s="266">
        <v>43269</v>
      </c>
      <c r="I64" s="268"/>
      <c r="J64" s="260">
        <v>43269</v>
      </c>
      <c r="K64" s="267"/>
      <c r="L64" s="267"/>
      <c r="M64" s="244">
        <v>1</v>
      </c>
      <c r="N64" s="244"/>
      <c r="O64" s="244"/>
      <c r="P64" s="245">
        <v>100</v>
      </c>
      <c r="Q64" s="242" t="s">
        <v>339</v>
      </c>
      <c r="R64" s="242" t="s">
        <v>339</v>
      </c>
      <c r="S64" s="242" t="s">
        <v>340</v>
      </c>
      <c r="T64" s="242" t="s">
        <v>341</v>
      </c>
      <c r="U64" s="242" t="s">
        <v>342</v>
      </c>
      <c r="V64" s="242"/>
      <c r="W64" s="242"/>
      <c r="X64" s="246"/>
      <c r="Y64" s="271">
        <v>14000425011981</v>
      </c>
      <c r="Z64" s="247"/>
      <c r="AA64" s="279" t="s">
        <v>343</v>
      </c>
      <c r="AB64" s="248"/>
      <c r="AC64" s="245">
        <v>7</v>
      </c>
      <c r="AD64" s="261"/>
      <c r="AE64" s="262"/>
      <c r="AF64" s="262"/>
      <c r="AG64" s="262"/>
      <c r="AH64" s="262"/>
      <c r="AI64" s="262"/>
      <c r="AJ64" s="262"/>
      <c r="AK64" s="262"/>
      <c r="AL64" s="262"/>
      <c r="AM64" s="262"/>
      <c r="AN64" s="262"/>
      <c r="AO64" s="262"/>
      <c r="AP64" s="262"/>
      <c r="AQ64" s="262"/>
      <c r="AR64" s="262"/>
      <c r="AS64" s="262"/>
      <c r="AT64" s="262"/>
      <c r="AU64" s="262"/>
      <c r="AV64" s="262"/>
      <c r="AW64" s="262"/>
      <c r="AX64" s="262"/>
      <c r="AY64" s="262"/>
      <c r="AZ64" s="262"/>
      <c r="BA64" s="262"/>
      <c r="BB64" s="262"/>
      <c r="BC64" s="262"/>
      <c r="BD64" s="262"/>
      <c r="BE64" s="262"/>
      <c r="BF64" s="262"/>
      <c r="BG64" s="262"/>
      <c r="BH64" s="262"/>
      <c r="BI64" s="262"/>
      <c r="BJ64" s="262"/>
      <c r="BK64" s="262"/>
      <c r="BL64" s="262"/>
      <c r="BM64" s="262"/>
      <c r="BN64" s="262"/>
      <c r="BO64" s="262"/>
      <c r="BP64" s="262"/>
      <c r="BQ64" s="262"/>
      <c r="BR64" s="262"/>
      <c r="BS64" s="262"/>
      <c r="BT64" s="262"/>
      <c r="BU64" s="262"/>
      <c r="BV64" s="262"/>
      <c r="BW64" s="263"/>
      <c r="BX64" s="263"/>
      <c r="BY64" s="263"/>
      <c r="BZ64" s="263"/>
      <c r="CA64" s="263"/>
      <c r="CB64" s="263"/>
      <c r="CC64" s="263"/>
      <c r="CD64" s="263"/>
      <c r="CE64" s="263"/>
      <c r="CF64" s="263"/>
      <c r="CG64" s="263"/>
      <c r="CH64" s="249">
        <f>+MAX($D$3,DATOS_[[#This Row],[Fecha Inicio Sit. Contract.]])</f>
        <v>45292</v>
      </c>
      <c r="CI64" s="249">
        <f>+MIN($D$4,DATOS_[[#This Row],[Fecha Fin Sit. Contract.]])</f>
        <v>45657</v>
      </c>
      <c r="CJ64" s="250">
        <f>+DATOS_[[#This Row],[% de jornada]]*IF(DATOS_[[#This Row],[% jornada reducida]]="",1,DATOS_[[#This Row],[% jornada reducida]])</f>
        <v>1</v>
      </c>
      <c r="CK64" s="250">
        <f>+(DATOS_[[#This Row],[F.fin.cal]]-DATOS_[[#This Row],[F.ini.cal]]+1)/($D$4-$D$3+1)</f>
        <v>1</v>
      </c>
      <c r="CL64" s="250" t="str">
        <f>IF(OR(AND(DATOS_[[#This Row],[Fecha Fin Contrato]]&lt;$D$3,DATOS_[[#This Row],[Fecha Fin Contrato]]&lt;&gt;""),DATOS_[[#This Row],[Fecha de Contratación]]&gt;$D$4),"Fuera","Dentro")</f>
        <v>Dentro</v>
      </c>
      <c r="CM64" s="250" t="str" cm="1">
        <f t="array" ref="CM64">IF(MAX(IF(DATOS_[id/cod]=DATOS_[[#This Row],[id/cod]],DATOS_[F.fin.cal]))=DATOS_[[#This Row],[F.fin.cal]],"Sí","NO")</f>
        <v>Sí</v>
      </c>
      <c r="CN64" s="250" t="str">
        <f>IF(AND(DATOS_[[#This Row],[% normaliz]]&lt;&gt;1,DATOS_[[#This Row],[% anualiz]]=1),"Sí","NO")</f>
        <v>NO</v>
      </c>
      <c r="CO64" s="250" t="str">
        <f>IF(AND(DATOS_[[#This Row],[% normaliz]]=1,DATOS_[[#This Row],[% anualiz]]&lt;&gt;1),"Sí","NO")</f>
        <v>NO</v>
      </c>
      <c r="CP64" s="250" t="str">
        <f>IF(AND(DATOS_[[#This Row],[% normaliz]]&lt;&gt;1,DATOS_[[#This Row],[% anualiz]]&lt;&gt;1),"Sí","NO")</f>
        <v>NO</v>
      </c>
      <c r="CQ64" s="250" t="str">
        <f>+IF(DATOS_[[#This Row],[% normaliz]]*DATOS_[[#This Row],[% anualiz]]=1,"NO","Sí")</f>
        <v>NO</v>
      </c>
      <c r="CR64" s="251">
        <f>(DATOS_[[#This Row],[S.BASE]]*(1/DATOS_[[#This Row],[% normaliz]])*(1/DATOS_[[#This Row],[% anualiz]]))*IF(DATOS_[[#This Row],[Check Equiparado]]="Sí",1,0)</f>
        <v>0</v>
      </c>
      <c r="CS64"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64" s="251">
        <f>+DATOS_[[#This Row],[SALARIO BASE Eq]]+DATOS_[[#This Row],[Tot COMPL.SAL Eq]]</f>
        <v>0</v>
      </c>
      <c r="CU64" s="251" cm="1">
        <f t="array" ref="CU64">(SUMPRODUCT((RngTipo=$CU$7)*(rngAnualizable="Sí")*(rngNormalizable="Sí")*(DATOS_[[#This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64" s="251">
        <f>+DATOS_[[#This Row],[TOTAL SALARIO Eq]]+DATOS_[[#This Row],[Tot Extrasalarial Eq]]</f>
        <v>0</v>
      </c>
      <c r="CW64" s="252">
        <f>DATOS_[[#This Row],[S.BASE]]</f>
        <v>0</v>
      </c>
      <c r="CX64" s="252">
        <f>+SUM(DATOS_[[#This Row],[Conc.Sal.01]:[Conc.Sal.30]])</f>
        <v>0</v>
      </c>
      <c r="CY64" s="252">
        <f>+DATOS_[[#This Row],[SALARIO BASE Ef]]+DATOS_[[#This Row],[Tot COMPL.SAL Ef]]</f>
        <v>0</v>
      </c>
      <c r="CZ64" s="252">
        <f>+SUM(DATOS_[[#This Row],[C.Extra.01]:[C.Extra.11]])</f>
        <v>0</v>
      </c>
      <c r="DA64" s="252">
        <f>+DATOS_[[#This Row],[TOTAL SALARIO Ef]]+DATOS_[[#This Row],[Tot Extrasalarial Ef]]</f>
        <v>0</v>
      </c>
      <c r="DB64" s="109">
        <f>MIN(IF(DATOS_[[#This Row],[Fecha Fin Contrato]]="",$D$4,DATOS_[[#This Row],[Fecha Fin Contrato]]),$D$4)-MAX(DATOS_[[#This Row],[Fecha de Contratación]],$D$3)+1</f>
        <v>366</v>
      </c>
      <c r="DC64" s="110" t="str">
        <f>IF(COUNTIFS(DATOS_[id/cod],DATOS_[[#This Row],[id/cod]])&gt;1,DATOS_[[#This Row],[id/cod]],"")</f>
        <v/>
      </c>
      <c r="DD64" s="108">
        <f>(Inicio!$G$10-DATOS_[[#This Row],[Fecha Nacimiento]])/365.25</f>
        <v>50.861054072553046</v>
      </c>
      <c r="DE64" s="108">
        <f>(Inicio!$G$10-DATOS_[[#This Row],[Fecha de Antigüedad]])/365.25</f>
        <v>6.537987679671458</v>
      </c>
      <c r="DF64" s="108" t="str">
        <f>+VLOOKUP(DATOS_[[#This Row],[Clave de Contrato]],TblTiposContrato13[],3,FALSE)</f>
        <v>Completa</v>
      </c>
      <c r="DG64" s="108" t="str">
        <f>+VLOOKUP(DATOS_[[#This Row],[Clave de Contrato]],TblTiposContrato13[],4,FALSE)</f>
        <v>Indefinido</v>
      </c>
      <c r="DH64" s="108" t="str">
        <f>VLOOKUP(DATOS_[[#This Row],[Edad]],CONTRATOS!TblRngEdad,2,TRUE)</f>
        <v>50 a 55</v>
      </c>
      <c r="DI64" s="108" t="str">
        <f>VLOOKUP(DATOS_[[#This Row],[Antigüedad]],TblRngAntg14[],2,TRUE)</f>
        <v>5 a 10  años</v>
      </c>
    </row>
    <row r="65" spans="1:113" x14ac:dyDescent="0.25">
      <c r="A65" s="303" t="s">
        <v>453</v>
      </c>
      <c r="B65" s="265">
        <v>55</v>
      </c>
      <c r="C65" s="264" t="s">
        <v>337</v>
      </c>
      <c r="D65" s="243">
        <v>35341</v>
      </c>
      <c r="E65" s="243" t="s">
        <v>361</v>
      </c>
      <c r="F65" s="245"/>
      <c r="G65" s="245"/>
      <c r="H65" s="266">
        <v>42935</v>
      </c>
      <c r="I65" s="268"/>
      <c r="J65" s="260">
        <v>42935</v>
      </c>
      <c r="K65" s="267"/>
      <c r="L65" s="267"/>
      <c r="M65" s="244">
        <v>1</v>
      </c>
      <c r="N65" s="244"/>
      <c r="O65" s="244"/>
      <c r="P65" s="245">
        <v>100</v>
      </c>
      <c r="Q65" s="242" t="s">
        <v>339</v>
      </c>
      <c r="R65" s="242" t="s">
        <v>339</v>
      </c>
      <c r="S65" s="242" t="s">
        <v>340</v>
      </c>
      <c r="T65" s="242" t="s">
        <v>341</v>
      </c>
      <c r="U65" s="242" t="s">
        <v>342</v>
      </c>
      <c r="V65" s="242"/>
      <c r="W65" s="242"/>
      <c r="X65" s="246"/>
      <c r="Y65" s="271">
        <v>14000425011981</v>
      </c>
      <c r="Z65" s="247"/>
      <c r="AA65" s="279" t="s">
        <v>343</v>
      </c>
      <c r="AB65" s="248"/>
      <c r="AC65" s="245">
        <v>7</v>
      </c>
      <c r="AD65" s="261"/>
      <c r="AE65" s="262"/>
      <c r="AF65" s="262"/>
      <c r="AG65" s="262"/>
      <c r="AH65" s="262"/>
      <c r="AI65" s="262"/>
      <c r="AJ65" s="262"/>
      <c r="AK65" s="262"/>
      <c r="AL65" s="262"/>
      <c r="AM65" s="262"/>
      <c r="AN65" s="262"/>
      <c r="AO65" s="262"/>
      <c r="AP65" s="262"/>
      <c r="AQ65" s="262"/>
      <c r="AR65" s="262"/>
      <c r="AS65" s="262"/>
      <c r="AT65" s="262"/>
      <c r="AU65" s="262"/>
      <c r="AV65" s="262"/>
      <c r="AW65" s="262"/>
      <c r="AX65" s="262"/>
      <c r="AY65" s="262"/>
      <c r="AZ65" s="262"/>
      <c r="BA65" s="262"/>
      <c r="BB65" s="262"/>
      <c r="BC65" s="262"/>
      <c r="BD65" s="262"/>
      <c r="BE65" s="262"/>
      <c r="BF65" s="262"/>
      <c r="BG65" s="262"/>
      <c r="BH65" s="262"/>
      <c r="BI65" s="262"/>
      <c r="BJ65" s="262"/>
      <c r="BK65" s="262"/>
      <c r="BL65" s="262"/>
      <c r="BM65" s="262"/>
      <c r="BN65" s="262"/>
      <c r="BO65" s="262"/>
      <c r="BP65" s="262"/>
      <c r="BQ65" s="262"/>
      <c r="BR65" s="262"/>
      <c r="BS65" s="262"/>
      <c r="BT65" s="262"/>
      <c r="BU65" s="262"/>
      <c r="BV65" s="262"/>
      <c r="BW65" s="263"/>
      <c r="BX65" s="263"/>
      <c r="BY65" s="263"/>
      <c r="BZ65" s="263"/>
      <c r="CA65" s="263"/>
      <c r="CB65" s="263"/>
      <c r="CC65" s="263"/>
      <c r="CD65" s="263"/>
      <c r="CE65" s="263"/>
      <c r="CF65" s="263"/>
      <c r="CG65" s="263"/>
      <c r="CH65" s="249">
        <f>+MAX($D$3,DATOS_[[#This Row],[Fecha Inicio Sit. Contract.]])</f>
        <v>45292</v>
      </c>
      <c r="CI65" s="249">
        <f>+MIN($D$4,DATOS_[[#This Row],[Fecha Fin Sit. Contract.]])</f>
        <v>45657</v>
      </c>
      <c r="CJ65" s="250">
        <f>+DATOS_[[#This Row],[% de jornada]]*IF(DATOS_[[#This Row],[% jornada reducida]]="",1,DATOS_[[#This Row],[% jornada reducida]])</f>
        <v>1</v>
      </c>
      <c r="CK65" s="250">
        <f>+(DATOS_[[#This Row],[F.fin.cal]]-DATOS_[[#This Row],[F.ini.cal]]+1)/($D$4-$D$3+1)</f>
        <v>1</v>
      </c>
      <c r="CL65" s="250" t="str">
        <f>IF(OR(AND(DATOS_[[#This Row],[Fecha Fin Contrato]]&lt;$D$3,DATOS_[[#This Row],[Fecha Fin Contrato]]&lt;&gt;""),DATOS_[[#This Row],[Fecha de Contratación]]&gt;$D$4),"Fuera","Dentro")</f>
        <v>Dentro</v>
      </c>
      <c r="CM65" s="250" t="str" cm="1">
        <f t="array" ref="CM65">IF(MAX(IF(DATOS_[id/cod]=DATOS_[[#This Row],[id/cod]],DATOS_[F.fin.cal]))=DATOS_[[#This Row],[F.fin.cal]],"Sí","NO")</f>
        <v>Sí</v>
      </c>
      <c r="CN65" s="250" t="str">
        <f>IF(AND(DATOS_[[#This Row],[% normaliz]]&lt;&gt;1,DATOS_[[#This Row],[% anualiz]]=1),"Sí","NO")</f>
        <v>NO</v>
      </c>
      <c r="CO65" s="250" t="str">
        <f>IF(AND(DATOS_[[#This Row],[% normaliz]]=1,DATOS_[[#This Row],[% anualiz]]&lt;&gt;1),"Sí","NO")</f>
        <v>NO</v>
      </c>
      <c r="CP65" s="250" t="str">
        <f>IF(AND(DATOS_[[#This Row],[% normaliz]]&lt;&gt;1,DATOS_[[#This Row],[% anualiz]]&lt;&gt;1),"Sí","NO")</f>
        <v>NO</v>
      </c>
      <c r="CQ65" s="250" t="str">
        <f>+IF(DATOS_[[#This Row],[% normaliz]]*DATOS_[[#This Row],[% anualiz]]=1,"NO","Sí")</f>
        <v>NO</v>
      </c>
      <c r="CR65" s="251">
        <f>(DATOS_[[#This Row],[S.BASE]]*(1/DATOS_[[#This Row],[% normaliz]])*(1/DATOS_[[#This Row],[% anualiz]]))*IF(DATOS_[[#This Row],[Check Equiparado]]="Sí",1,0)</f>
        <v>0</v>
      </c>
      <c r="CS65"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65" s="251">
        <f>+DATOS_[[#This Row],[SALARIO BASE Eq]]+DATOS_[[#This Row],[Tot COMPL.SAL Eq]]</f>
        <v>0</v>
      </c>
      <c r="CU65" s="251" cm="1">
        <f t="array" ref="CU65">(SUMPRODUCT((RngTipo=$CU$7)*(rngAnualizable="Sí")*(rngNormalizable="Sí")*(DATOS_[[#This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65" s="251">
        <f>+DATOS_[[#This Row],[TOTAL SALARIO Eq]]+DATOS_[[#This Row],[Tot Extrasalarial Eq]]</f>
        <v>0</v>
      </c>
      <c r="CW65" s="252">
        <f>DATOS_[[#This Row],[S.BASE]]</f>
        <v>0</v>
      </c>
      <c r="CX65" s="252">
        <f>+SUM(DATOS_[[#This Row],[Conc.Sal.01]:[Conc.Sal.30]])</f>
        <v>0</v>
      </c>
      <c r="CY65" s="252">
        <f>+DATOS_[[#This Row],[SALARIO BASE Ef]]+DATOS_[[#This Row],[Tot COMPL.SAL Ef]]</f>
        <v>0</v>
      </c>
      <c r="CZ65" s="252">
        <f>+SUM(DATOS_[[#This Row],[C.Extra.01]:[C.Extra.11]])</f>
        <v>0</v>
      </c>
      <c r="DA65" s="252">
        <f>+DATOS_[[#This Row],[TOTAL SALARIO Ef]]+DATOS_[[#This Row],[Tot Extrasalarial Ef]]</f>
        <v>0</v>
      </c>
      <c r="DB65" s="109">
        <f>MIN(IF(DATOS_[[#This Row],[Fecha Fin Contrato]]="",$D$4,DATOS_[[#This Row],[Fecha Fin Contrato]]),$D$4)-MAX(DATOS_[[#This Row],[Fecha de Contratación]],$D$3)+1</f>
        <v>366</v>
      </c>
      <c r="DC65" s="110" t="str">
        <f>IF(COUNTIFS(DATOS_[id/cod],DATOS_[[#This Row],[id/cod]])&gt;1,DATOS_[[#This Row],[id/cod]],"")</f>
        <v/>
      </c>
      <c r="DD65" s="108">
        <f>(Inicio!$G$10-DATOS_[[#This Row],[Fecha Nacimiento]])/365.25</f>
        <v>28.243668720054757</v>
      </c>
      <c r="DE65" s="108">
        <f>(Inicio!$G$10-DATOS_[[#This Row],[Fecha de Antigüedad]])/365.25</f>
        <v>7.4524298425735793</v>
      </c>
      <c r="DF65" s="108" t="str">
        <f>+VLOOKUP(DATOS_[[#This Row],[Clave de Contrato]],TblTiposContrato13[],3,FALSE)</f>
        <v>Completa</v>
      </c>
      <c r="DG65" s="108" t="str">
        <f>+VLOOKUP(DATOS_[[#This Row],[Clave de Contrato]],TblTiposContrato13[],4,FALSE)</f>
        <v>Indefinido</v>
      </c>
      <c r="DH65" s="108" t="str">
        <f>VLOOKUP(DATOS_[[#This Row],[Edad]],CONTRATOS!TblRngEdad,2,TRUE)</f>
        <v>25 a 30</v>
      </c>
      <c r="DI65" s="108" t="str">
        <f>VLOOKUP(DATOS_[[#This Row],[Antigüedad]],TblRngAntg14[],2,TRUE)</f>
        <v>5 a 10  años</v>
      </c>
    </row>
    <row r="66" spans="1:113" x14ac:dyDescent="0.25">
      <c r="A66" s="303" t="s">
        <v>454</v>
      </c>
      <c r="B66" s="265">
        <v>56</v>
      </c>
      <c r="C66" s="264" t="s">
        <v>337</v>
      </c>
      <c r="D66" s="243">
        <v>34389</v>
      </c>
      <c r="E66" s="243" t="s">
        <v>351</v>
      </c>
      <c r="F66" s="245"/>
      <c r="G66" s="245"/>
      <c r="H66" s="266">
        <v>43500</v>
      </c>
      <c r="I66" s="268"/>
      <c r="J66" s="260">
        <v>43500</v>
      </c>
      <c r="K66" s="267"/>
      <c r="L66" s="267"/>
      <c r="M66" s="244">
        <v>1</v>
      </c>
      <c r="N66" s="244"/>
      <c r="O66" s="244"/>
      <c r="P66" s="245">
        <v>100</v>
      </c>
      <c r="Q66" s="242" t="s">
        <v>357</v>
      </c>
      <c r="R66" s="242" t="s">
        <v>357</v>
      </c>
      <c r="S66" s="242" t="s">
        <v>455</v>
      </c>
      <c r="T66" s="242" t="s">
        <v>341</v>
      </c>
      <c r="U66" s="242" t="s">
        <v>342</v>
      </c>
      <c r="V66" s="242"/>
      <c r="W66" s="242"/>
      <c r="X66" s="246"/>
      <c r="Y66" s="271">
        <v>14000425011981</v>
      </c>
      <c r="Z66" s="247"/>
      <c r="AA66" s="279" t="s">
        <v>343</v>
      </c>
      <c r="AB66" s="248"/>
      <c r="AC66" s="245">
        <v>7</v>
      </c>
      <c r="AD66" s="261"/>
      <c r="AE66" s="262"/>
      <c r="AF66" s="262"/>
      <c r="AG66" s="262"/>
      <c r="AH66" s="262"/>
      <c r="AI66" s="262"/>
      <c r="AJ66" s="262"/>
      <c r="AK66" s="262"/>
      <c r="AL66" s="262"/>
      <c r="AM66" s="262"/>
      <c r="AN66" s="262"/>
      <c r="AO66" s="262"/>
      <c r="AP66" s="262"/>
      <c r="AQ66" s="262"/>
      <c r="AR66" s="262"/>
      <c r="AS66" s="262"/>
      <c r="AT66" s="262"/>
      <c r="AU66" s="262"/>
      <c r="AV66" s="262"/>
      <c r="AW66" s="262"/>
      <c r="AX66" s="262"/>
      <c r="AY66" s="262"/>
      <c r="AZ66" s="262"/>
      <c r="BA66" s="262"/>
      <c r="BB66" s="262"/>
      <c r="BC66" s="262"/>
      <c r="BD66" s="262"/>
      <c r="BE66" s="262"/>
      <c r="BF66" s="262"/>
      <c r="BG66" s="262"/>
      <c r="BH66" s="262"/>
      <c r="BI66" s="262"/>
      <c r="BJ66" s="262"/>
      <c r="BK66" s="262"/>
      <c r="BL66" s="262"/>
      <c r="BM66" s="262"/>
      <c r="BN66" s="262"/>
      <c r="BO66" s="262"/>
      <c r="BP66" s="262"/>
      <c r="BQ66" s="262"/>
      <c r="BR66" s="262"/>
      <c r="BS66" s="262"/>
      <c r="BT66" s="262"/>
      <c r="BU66" s="262"/>
      <c r="BV66" s="262"/>
      <c r="BW66" s="263"/>
      <c r="BX66" s="263"/>
      <c r="BY66" s="263"/>
      <c r="BZ66" s="263"/>
      <c r="CA66" s="263"/>
      <c r="CB66" s="263"/>
      <c r="CC66" s="263"/>
      <c r="CD66" s="263"/>
      <c r="CE66" s="263"/>
      <c r="CF66" s="263"/>
      <c r="CG66" s="263"/>
      <c r="CH66" s="249">
        <f>+MAX($D$3,DATOS_[[#This Row],[Fecha Inicio Sit. Contract.]])</f>
        <v>45292</v>
      </c>
      <c r="CI66" s="249">
        <f>+MIN($D$4,DATOS_[[#This Row],[Fecha Fin Sit. Contract.]])</f>
        <v>45657</v>
      </c>
      <c r="CJ66" s="250">
        <f>+DATOS_[[#This Row],[% de jornada]]*IF(DATOS_[[#This Row],[% jornada reducida]]="",1,DATOS_[[#This Row],[% jornada reducida]])</f>
        <v>1</v>
      </c>
      <c r="CK66" s="250">
        <f>+(DATOS_[[#This Row],[F.fin.cal]]-DATOS_[[#This Row],[F.ini.cal]]+1)/($D$4-$D$3+1)</f>
        <v>1</v>
      </c>
      <c r="CL66" s="250" t="str">
        <f>IF(OR(AND(DATOS_[[#This Row],[Fecha Fin Contrato]]&lt;$D$3,DATOS_[[#This Row],[Fecha Fin Contrato]]&lt;&gt;""),DATOS_[[#This Row],[Fecha de Contratación]]&gt;$D$4),"Fuera","Dentro")</f>
        <v>Dentro</v>
      </c>
      <c r="CM66" s="250" t="str" cm="1">
        <f t="array" ref="CM66">IF(MAX(IF(DATOS_[id/cod]=DATOS_[[#This Row],[id/cod]],DATOS_[F.fin.cal]))=DATOS_[[#This Row],[F.fin.cal]],"Sí","NO")</f>
        <v>Sí</v>
      </c>
      <c r="CN66" s="250" t="str">
        <f>IF(AND(DATOS_[[#This Row],[% normaliz]]&lt;&gt;1,DATOS_[[#This Row],[% anualiz]]=1),"Sí","NO")</f>
        <v>NO</v>
      </c>
      <c r="CO66" s="250" t="str">
        <f>IF(AND(DATOS_[[#This Row],[% normaliz]]=1,DATOS_[[#This Row],[% anualiz]]&lt;&gt;1),"Sí","NO")</f>
        <v>NO</v>
      </c>
      <c r="CP66" s="250" t="str">
        <f>IF(AND(DATOS_[[#This Row],[% normaliz]]&lt;&gt;1,DATOS_[[#This Row],[% anualiz]]&lt;&gt;1),"Sí","NO")</f>
        <v>NO</v>
      </c>
      <c r="CQ66" s="250" t="str">
        <f>+IF(DATOS_[[#This Row],[% normaliz]]*DATOS_[[#This Row],[% anualiz]]=1,"NO","Sí")</f>
        <v>NO</v>
      </c>
      <c r="CR66" s="251">
        <f>(DATOS_[[#This Row],[S.BASE]]*(1/DATOS_[[#This Row],[% normaliz]])*(1/DATOS_[[#This Row],[% anualiz]]))*IF(DATOS_[[#This Row],[Check Equiparado]]="Sí",1,0)</f>
        <v>0</v>
      </c>
      <c r="CS66"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66" s="251">
        <f>+DATOS_[[#This Row],[SALARIO BASE Eq]]+DATOS_[[#This Row],[Tot COMPL.SAL Eq]]</f>
        <v>0</v>
      </c>
      <c r="CU66" s="251" cm="1">
        <f t="array" ref="CU66">(SUMPRODUCT((RngTipo=$CU$7)*(rngAnualizable="Sí")*(rngNormalizable="Sí")*(DATOS_[[#This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66" s="251">
        <f>+DATOS_[[#This Row],[TOTAL SALARIO Eq]]+DATOS_[[#This Row],[Tot Extrasalarial Eq]]</f>
        <v>0</v>
      </c>
      <c r="CW66" s="252">
        <f>DATOS_[[#This Row],[S.BASE]]</f>
        <v>0</v>
      </c>
      <c r="CX66" s="252">
        <f>+SUM(DATOS_[[#This Row],[Conc.Sal.01]:[Conc.Sal.30]])</f>
        <v>0</v>
      </c>
      <c r="CY66" s="252">
        <f>+DATOS_[[#This Row],[SALARIO BASE Ef]]+DATOS_[[#This Row],[Tot COMPL.SAL Ef]]</f>
        <v>0</v>
      </c>
      <c r="CZ66" s="252">
        <f>+SUM(DATOS_[[#This Row],[C.Extra.01]:[C.Extra.11]])</f>
        <v>0</v>
      </c>
      <c r="DA66" s="252">
        <f>+DATOS_[[#This Row],[TOTAL SALARIO Ef]]+DATOS_[[#This Row],[Tot Extrasalarial Ef]]</f>
        <v>0</v>
      </c>
      <c r="DB66" s="109">
        <f>MIN(IF(DATOS_[[#This Row],[Fecha Fin Contrato]]="",$D$4,DATOS_[[#This Row],[Fecha Fin Contrato]]),$D$4)-MAX(DATOS_[[#This Row],[Fecha de Contratación]],$D$3)+1</f>
        <v>366</v>
      </c>
      <c r="DC66" s="110" t="str">
        <f>IF(COUNTIFS(DATOS_[id/cod],DATOS_[[#This Row],[id/cod]])&gt;1,DATOS_[[#This Row],[id/cod]],"")</f>
        <v/>
      </c>
      <c r="DD66" s="108">
        <f>(Inicio!$G$10-DATOS_[[#This Row],[Fecha Nacimiento]])/365.25</f>
        <v>30.850102669404517</v>
      </c>
      <c r="DE66" s="108">
        <f>(Inicio!$G$10-DATOS_[[#This Row],[Fecha de Antigüedad]])/365.25</f>
        <v>5.9055441478439423</v>
      </c>
      <c r="DF66" s="108" t="str">
        <f>+VLOOKUP(DATOS_[[#This Row],[Clave de Contrato]],TblTiposContrato13[],3,FALSE)</f>
        <v>Completa</v>
      </c>
      <c r="DG66" s="108" t="str">
        <f>+VLOOKUP(DATOS_[[#This Row],[Clave de Contrato]],TblTiposContrato13[],4,FALSE)</f>
        <v>Indefinido</v>
      </c>
      <c r="DH66" s="108" t="str">
        <f>VLOOKUP(DATOS_[[#This Row],[Edad]],CONTRATOS!TblRngEdad,2,TRUE)</f>
        <v>30 a 35</v>
      </c>
      <c r="DI66" s="108" t="str">
        <f>VLOOKUP(DATOS_[[#This Row],[Antigüedad]],TblRngAntg14[],2,TRUE)</f>
        <v>5 a 10  años</v>
      </c>
    </row>
    <row r="67" spans="1:113" x14ac:dyDescent="0.25">
      <c r="A67" s="303" t="s">
        <v>456</v>
      </c>
      <c r="B67" s="265">
        <v>57</v>
      </c>
      <c r="C67" s="264" t="s">
        <v>337</v>
      </c>
      <c r="D67" s="243">
        <v>30306</v>
      </c>
      <c r="E67" s="243" t="s">
        <v>449</v>
      </c>
      <c r="F67" s="245"/>
      <c r="G67" s="245"/>
      <c r="H67" s="266">
        <v>43529</v>
      </c>
      <c r="I67" s="268"/>
      <c r="J67" s="260">
        <v>43529</v>
      </c>
      <c r="K67" s="267"/>
      <c r="L67" s="267"/>
      <c r="M67" s="244">
        <v>1</v>
      </c>
      <c r="N67" s="244"/>
      <c r="O67" s="244"/>
      <c r="P67" s="245">
        <v>100</v>
      </c>
      <c r="Q67" s="242" t="s">
        <v>339</v>
      </c>
      <c r="R67" s="242" t="s">
        <v>339</v>
      </c>
      <c r="S67" s="242" t="s">
        <v>445</v>
      </c>
      <c r="T67" s="242" t="s">
        <v>341</v>
      </c>
      <c r="U67" s="242" t="s">
        <v>342</v>
      </c>
      <c r="V67" s="242"/>
      <c r="W67" s="242"/>
      <c r="X67" s="246"/>
      <c r="Y67" s="271">
        <v>14000425011981</v>
      </c>
      <c r="Z67" s="247"/>
      <c r="AA67" s="279" t="s">
        <v>343</v>
      </c>
      <c r="AB67" s="248"/>
      <c r="AC67" s="245">
        <v>7</v>
      </c>
      <c r="AD67" s="261"/>
      <c r="AE67" s="262"/>
      <c r="AF67" s="262"/>
      <c r="AG67" s="262"/>
      <c r="AH67" s="262"/>
      <c r="AI67" s="262"/>
      <c r="AJ67" s="262"/>
      <c r="AK67" s="262"/>
      <c r="AL67" s="262"/>
      <c r="AM67" s="262"/>
      <c r="AN67" s="262"/>
      <c r="AO67" s="262"/>
      <c r="AP67" s="262"/>
      <c r="AQ67" s="262"/>
      <c r="AR67" s="262"/>
      <c r="AS67" s="262"/>
      <c r="AT67" s="262"/>
      <c r="AU67" s="262"/>
      <c r="AV67" s="262"/>
      <c r="AW67" s="262"/>
      <c r="AX67" s="262"/>
      <c r="AY67" s="262"/>
      <c r="AZ67" s="262"/>
      <c r="BA67" s="262"/>
      <c r="BB67" s="262"/>
      <c r="BC67" s="262"/>
      <c r="BD67" s="262"/>
      <c r="BE67" s="262"/>
      <c r="BF67" s="262"/>
      <c r="BG67" s="262"/>
      <c r="BH67" s="262"/>
      <c r="BI67" s="262"/>
      <c r="BJ67" s="262"/>
      <c r="BK67" s="262"/>
      <c r="BL67" s="262"/>
      <c r="BM67" s="262"/>
      <c r="BN67" s="262"/>
      <c r="BO67" s="262"/>
      <c r="BP67" s="262"/>
      <c r="BQ67" s="262"/>
      <c r="BR67" s="262"/>
      <c r="BS67" s="262"/>
      <c r="BT67" s="262"/>
      <c r="BU67" s="262"/>
      <c r="BV67" s="262"/>
      <c r="BW67" s="263"/>
      <c r="BX67" s="263"/>
      <c r="BY67" s="263"/>
      <c r="BZ67" s="263"/>
      <c r="CA67" s="263"/>
      <c r="CB67" s="263"/>
      <c r="CC67" s="263"/>
      <c r="CD67" s="263"/>
      <c r="CE67" s="263"/>
      <c r="CF67" s="263"/>
      <c r="CG67" s="263"/>
      <c r="CH67" s="249">
        <f>+MAX($D$3,DATOS_[[#This Row],[Fecha Inicio Sit. Contract.]])</f>
        <v>45292</v>
      </c>
      <c r="CI67" s="249">
        <f>+MIN($D$4,DATOS_[[#This Row],[Fecha Fin Sit. Contract.]])</f>
        <v>45657</v>
      </c>
      <c r="CJ67" s="250">
        <f>+DATOS_[[#This Row],[% de jornada]]*IF(DATOS_[[#This Row],[% jornada reducida]]="",1,DATOS_[[#This Row],[% jornada reducida]])</f>
        <v>1</v>
      </c>
      <c r="CK67" s="250">
        <f>+(DATOS_[[#This Row],[F.fin.cal]]-DATOS_[[#This Row],[F.ini.cal]]+1)/($D$4-$D$3+1)</f>
        <v>1</v>
      </c>
      <c r="CL67" s="250" t="str">
        <f>IF(OR(AND(DATOS_[[#This Row],[Fecha Fin Contrato]]&lt;$D$3,DATOS_[[#This Row],[Fecha Fin Contrato]]&lt;&gt;""),DATOS_[[#This Row],[Fecha de Contratación]]&gt;$D$4),"Fuera","Dentro")</f>
        <v>Dentro</v>
      </c>
      <c r="CM67" s="250" t="str" cm="1">
        <f t="array" ref="CM67">IF(MAX(IF(DATOS_[id/cod]=DATOS_[[#This Row],[id/cod]],DATOS_[F.fin.cal]))=DATOS_[[#This Row],[F.fin.cal]],"Sí","NO")</f>
        <v>Sí</v>
      </c>
      <c r="CN67" s="250" t="str">
        <f>IF(AND(DATOS_[[#This Row],[% normaliz]]&lt;&gt;1,DATOS_[[#This Row],[% anualiz]]=1),"Sí","NO")</f>
        <v>NO</v>
      </c>
      <c r="CO67" s="250" t="str">
        <f>IF(AND(DATOS_[[#This Row],[% normaliz]]=1,DATOS_[[#This Row],[% anualiz]]&lt;&gt;1),"Sí","NO")</f>
        <v>NO</v>
      </c>
      <c r="CP67" s="250" t="str">
        <f>IF(AND(DATOS_[[#This Row],[% normaliz]]&lt;&gt;1,DATOS_[[#This Row],[% anualiz]]&lt;&gt;1),"Sí","NO")</f>
        <v>NO</v>
      </c>
      <c r="CQ67" s="250" t="str">
        <f>+IF(DATOS_[[#This Row],[% normaliz]]*DATOS_[[#This Row],[% anualiz]]=1,"NO","Sí")</f>
        <v>NO</v>
      </c>
      <c r="CR67" s="251">
        <f>(DATOS_[[#This Row],[S.BASE]]*(1/DATOS_[[#This Row],[% normaliz]])*(1/DATOS_[[#This Row],[% anualiz]]))*IF(DATOS_[[#This Row],[Check Equiparado]]="Sí",1,0)</f>
        <v>0</v>
      </c>
      <c r="CS67"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67" s="251">
        <f>+DATOS_[[#This Row],[SALARIO BASE Eq]]+DATOS_[[#This Row],[Tot COMPL.SAL Eq]]</f>
        <v>0</v>
      </c>
      <c r="CU67" s="251" cm="1">
        <f t="array" ref="CU67">(SUMPRODUCT((RngTipo=$CU$7)*(rngAnualizable="Sí")*(rngNormalizable="Sí")*(DATOS_[[#This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67" s="251">
        <f>+DATOS_[[#This Row],[TOTAL SALARIO Eq]]+DATOS_[[#This Row],[Tot Extrasalarial Eq]]</f>
        <v>0</v>
      </c>
      <c r="CW67" s="252">
        <f>DATOS_[[#This Row],[S.BASE]]</f>
        <v>0</v>
      </c>
      <c r="CX67" s="252">
        <f>+SUM(DATOS_[[#This Row],[Conc.Sal.01]:[Conc.Sal.30]])</f>
        <v>0</v>
      </c>
      <c r="CY67" s="252">
        <f>+DATOS_[[#This Row],[SALARIO BASE Ef]]+DATOS_[[#This Row],[Tot COMPL.SAL Ef]]</f>
        <v>0</v>
      </c>
      <c r="CZ67" s="252">
        <f>+SUM(DATOS_[[#This Row],[C.Extra.01]:[C.Extra.11]])</f>
        <v>0</v>
      </c>
      <c r="DA67" s="252">
        <f>+DATOS_[[#This Row],[TOTAL SALARIO Ef]]+DATOS_[[#This Row],[Tot Extrasalarial Ef]]</f>
        <v>0</v>
      </c>
      <c r="DB67" s="109">
        <f>MIN(IF(DATOS_[[#This Row],[Fecha Fin Contrato]]="",$D$4,DATOS_[[#This Row],[Fecha Fin Contrato]]),$D$4)-MAX(DATOS_[[#This Row],[Fecha de Contratación]],$D$3)+1</f>
        <v>366</v>
      </c>
      <c r="DC67" s="110" t="str">
        <f>IF(COUNTIFS(DATOS_[id/cod],DATOS_[[#This Row],[id/cod]])&gt;1,DATOS_[[#This Row],[id/cod]],"")</f>
        <v/>
      </c>
      <c r="DD67" s="108">
        <f>(Inicio!$G$10-DATOS_[[#This Row],[Fecha Nacimiento]])/365.25</f>
        <v>42.02874743326489</v>
      </c>
      <c r="DE67" s="108">
        <f>(Inicio!$G$10-DATOS_[[#This Row],[Fecha de Antigüedad]])/365.25</f>
        <v>5.8261464750171115</v>
      </c>
      <c r="DF67" s="108" t="str">
        <f>+VLOOKUP(DATOS_[[#This Row],[Clave de Contrato]],TblTiposContrato13[],3,FALSE)</f>
        <v>Completa</v>
      </c>
      <c r="DG67" s="108" t="str">
        <f>+VLOOKUP(DATOS_[[#This Row],[Clave de Contrato]],TblTiposContrato13[],4,FALSE)</f>
        <v>Indefinido</v>
      </c>
      <c r="DH67" s="108" t="str">
        <f>VLOOKUP(DATOS_[[#This Row],[Edad]],CONTRATOS!TblRngEdad,2,TRUE)</f>
        <v>40 a 45</v>
      </c>
      <c r="DI67" s="108" t="str">
        <f>VLOOKUP(DATOS_[[#This Row],[Antigüedad]],TblRngAntg14[],2,TRUE)</f>
        <v>5 a 10  años</v>
      </c>
    </row>
    <row r="68" spans="1:113" x14ac:dyDescent="0.25">
      <c r="A68" s="303" t="s">
        <v>457</v>
      </c>
      <c r="B68" s="265">
        <v>58</v>
      </c>
      <c r="C68" s="264" t="s">
        <v>337</v>
      </c>
      <c r="D68" s="243">
        <v>27809</v>
      </c>
      <c r="E68" s="243" t="s">
        <v>338</v>
      </c>
      <c r="F68" s="245"/>
      <c r="G68" s="245"/>
      <c r="H68" s="266">
        <v>44205</v>
      </c>
      <c r="I68" s="268"/>
      <c r="J68" s="260">
        <v>43693</v>
      </c>
      <c r="K68" s="267"/>
      <c r="L68" s="267"/>
      <c r="M68" s="244">
        <v>1</v>
      </c>
      <c r="N68" s="244"/>
      <c r="O68" s="244"/>
      <c r="P68" s="245">
        <v>100</v>
      </c>
      <c r="Q68" s="242" t="s">
        <v>339</v>
      </c>
      <c r="R68" s="242" t="s">
        <v>339</v>
      </c>
      <c r="S68" s="242" t="s">
        <v>445</v>
      </c>
      <c r="T68" s="242" t="s">
        <v>341</v>
      </c>
      <c r="U68" s="242" t="s">
        <v>342</v>
      </c>
      <c r="V68" s="242"/>
      <c r="W68" s="242"/>
      <c r="X68" s="246"/>
      <c r="Y68" s="271">
        <v>14000425011981</v>
      </c>
      <c r="Z68" s="247"/>
      <c r="AA68" s="279" t="s">
        <v>343</v>
      </c>
      <c r="AB68" s="248"/>
      <c r="AC68" s="245">
        <v>7</v>
      </c>
      <c r="AD68" s="261"/>
      <c r="AE68" s="262"/>
      <c r="AF68" s="262"/>
      <c r="AG68" s="262"/>
      <c r="AH68" s="262"/>
      <c r="AI68" s="262"/>
      <c r="AJ68" s="262"/>
      <c r="AK68" s="262"/>
      <c r="AL68" s="262"/>
      <c r="AM68" s="262"/>
      <c r="AN68" s="262"/>
      <c r="AO68" s="262"/>
      <c r="AP68" s="262"/>
      <c r="AQ68" s="262"/>
      <c r="AR68" s="262"/>
      <c r="AS68" s="262"/>
      <c r="AT68" s="262"/>
      <c r="AU68" s="262"/>
      <c r="AV68" s="262"/>
      <c r="AW68" s="262"/>
      <c r="AX68" s="262"/>
      <c r="AY68" s="262"/>
      <c r="AZ68" s="262"/>
      <c r="BA68" s="262"/>
      <c r="BB68" s="262"/>
      <c r="BC68" s="262"/>
      <c r="BD68" s="262"/>
      <c r="BE68" s="262"/>
      <c r="BF68" s="262"/>
      <c r="BG68" s="262"/>
      <c r="BH68" s="262"/>
      <c r="BI68" s="262"/>
      <c r="BJ68" s="262"/>
      <c r="BK68" s="262"/>
      <c r="BL68" s="262"/>
      <c r="BM68" s="262"/>
      <c r="BN68" s="262"/>
      <c r="BO68" s="262"/>
      <c r="BP68" s="262"/>
      <c r="BQ68" s="262"/>
      <c r="BR68" s="262"/>
      <c r="BS68" s="262"/>
      <c r="BT68" s="262"/>
      <c r="BU68" s="262"/>
      <c r="BV68" s="262"/>
      <c r="BW68" s="263"/>
      <c r="BX68" s="263"/>
      <c r="BY68" s="263"/>
      <c r="BZ68" s="263"/>
      <c r="CA68" s="263"/>
      <c r="CB68" s="263"/>
      <c r="CC68" s="263"/>
      <c r="CD68" s="263"/>
      <c r="CE68" s="263"/>
      <c r="CF68" s="263"/>
      <c r="CG68" s="263"/>
      <c r="CH68" s="249">
        <f>+MAX($D$3,DATOS_[[#This Row],[Fecha Inicio Sit. Contract.]])</f>
        <v>45292</v>
      </c>
      <c r="CI68" s="249">
        <f>+MIN($D$4,DATOS_[[#This Row],[Fecha Fin Sit. Contract.]])</f>
        <v>45657</v>
      </c>
      <c r="CJ68" s="250">
        <f>+DATOS_[[#This Row],[% de jornada]]*IF(DATOS_[[#This Row],[% jornada reducida]]="",1,DATOS_[[#This Row],[% jornada reducida]])</f>
        <v>1</v>
      </c>
      <c r="CK68" s="250">
        <f>+(DATOS_[[#This Row],[F.fin.cal]]-DATOS_[[#This Row],[F.ini.cal]]+1)/($D$4-$D$3+1)</f>
        <v>1</v>
      </c>
      <c r="CL68" s="250" t="str">
        <f>IF(OR(AND(DATOS_[[#This Row],[Fecha Fin Contrato]]&lt;$D$3,DATOS_[[#This Row],[Fecha Fin Contrato]]&lt;&gt;""),DATOS_[[#This Row],[Fecha de Contratación]]&gt;$D$4),"Fuera","Dentro")</f>
        <v>Dentro</v>
      </c>
      <c r="CM68" s="250" t="str" cm="1">
        <f t="array" ref="CM68">IF(MAX(IF(DATOS_[id/cod]=DATOS_[[#This Row],[id/cod]],DATOS_[F.fin.cal]))=DATOS_[[#This Row],[F.fin.cal]],"Sí","NO")</f>
        <v>Sí</v>
      </c>
      <c r="CN68" s="250" t="str">
        <f>IF(AND(DATOS_[[#This Row],[% normaliz]]&lt;&gt;1,DATOS_[[#This Row],[% anualiz]]=1),"Sí","NO")</f>
        <v>NO</v>
      </c>
      <c r="CO68" s="250" t="str">
        <f>IF(AND(DATOS_[[#This Row],[% normaliz]]=1,DATOS_[[#This Row],[% anualiz]]&lt;&gt;1),"Sí","NO")</f>
        <v>NO</v>
      </c>
      <c r="CP68" s="250" t="str">
        <f>IF(AND(DATOS_[[#This Row],[% normaliz]]&lt;&gt;1,DATOS_[[#This Row],[% anualiz]]&lt;&gt;1),"Sí","NO")</f>
        <v>NO</v>
      </c>
      <c r="CQ68" s="250" t="str">
        <f>+IF(DATOS_[[#This Row],[% normaliz]]*DATOS_[[#This Row],[% anualiz]]=1,"NO","Sí")</f>
        <v>NO</v>
      </c>
      <c r="CR68" s="251">
        <f>(DATOS_[[#This Row],[S.BASE]]*(1/DATOS_[[#This Row],[% normaliz]])*(1/DATOS_[[#This Row],[% anualiz]]))*IF(DATOS_[[#This Row],[Check Equiparado]]="Sí",1,0)</f>
        <v>0</v>
      </c>
      <c r="CS68"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68" s="251">
        <f>+DATOS_[[#This Row],[SALARIO BASE Eq]]+DATOS_[[#This Row],[Tot COMPL.SAL Eq]]</f>
        <v>0</v>
      </c>
      <c r="CU68" s="251" cm="1">
        <f t="array" ref="CU68">(SUMPRODUCT((RngTipo=$CU$7)*(rngAnualizable="Sí")*(rngNormalizable="Sí")*(DATOS_[[#This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68" s="251">
        <f>+DATOS_[[#This Row],[TOTAL SALARIO Eq]]+DATOS_[[#This Row],[Tot Extrasalarial Eq]]</f>
        <v>0</v>
      </c>
      <c r="CW68" s="252">
        <f>DATOS_[[#This Row],[S.BASE]]</f>
        <v>0</v>
      </c>
      <c r="CX68" s="252">
        <f>+SUM(DATOS_[[#This Row],[Conc.Sal.01]:[Conc.Sal.30]])</f>
        <v>0</v>
      </c>
      <c r="CY68" s="252">
        <f>+DATOS_[[#This Row],[SALARIO BASE Ef]]+DATOS_[[#This Row],[Tot COMPL.SAL Ef]]</f>
        <v>0</v>
      </c>
      <c r="CZ68" s="252">
        <f>+SUM(DATOS_[[#This Row],[C.Extra.01]:[C.Extra.11]])</f>
        <v>0</v>
      </c>
      <c r="DA68" s="252">
        <f>+DATOS_[[#This Row],[TOTAL SALARIO Ef]]+DATOS_[[#This Row],[Tot Extrasalarial Ef]]</f>
        <v>0</v>
      </c>
      <c r="DB68" s="109">
        <f>MIN(IF(DATOS_[[#This Row],[Fecha Fin Contrato]]="",$D$4,DATOS_[[#This Row],[Fecha Fin Contrato]]),$D$4)-MAX(DATOS_[[#This Row],[Fecha de Contratación]],$D$3)+1</f>
        <v>366</v>
      </c>
      <c r="DC68" s="110" t="str">
        <f>IF(COUNTIFS(DATOS_[id/cod],DATOS_[[#This Row],[id/cod]])&gt;1,DATOS_[[#This Row],[id/cod]],"")</f>
        <v/>
      </c>
      <c r="DD68" s="108">
        <f>(Inicio!$G$10-DATOS_[[#This Row],[Fecha Nacimiento]])/365.25</f>
        <v>48.865160848733744</v>
      </c>
      <c r="DE68" s="108">
        <f>(Inicio!$G$10-DATOS_[[#This Row],[Fecha de Antigüedad]])/365.25</f>
        <v>5.377138945927447</v>
      </c>
      <c r="DF68" s="108" t="str">
        <f>+VLOOKUP(DATOS_[[#This Row],[Clave de Contrato]],TblTiposContrato13[],3,FALSE)</f>
        <v>Completa</v>
      </c>
      <c r="DG68" s="108" t="str">
        <f>+VLOOKUP(DATOS_[[#This Row],[Clave de Contrato]],TblTiposContrato13[],4,FALSE)</f>
        <v>Indefinido</v>
      </c>
      <c r="DH68" s="108" t="str">
        <f>VLOOKUP(DATOS_[[#This Row],[Edad]],CONTRATOS!TblRngEdad,2,TRUE)</f>
        <v>45 a 50</v>
      </c>
      <c r="DI68" s="108" t="str">
        <f>VLOOKUP(DATOS_[[#This Row],[Antigüedad]],TblRngAntg14[],2,TRUE)</f>
        <v>5 a 10  años</v>
      </c>
    </row>
    <row r="69" spans="1:113" x14ac:dyDescent="0.25">
      <c r="A69" s="303" t="s">
        <v>458</v>
      </c>
      <c r="B69" s="265">
        <v>59</v>
      </c>
      <c r="C69" s="264" t="s">
        <v>337</v>
      </c>
      <c r="D69" s="243">
        <v>33483</v>
      </c>
      <c r="E69" s="243" t="s">
        <v>338</v>
      </c>
      <c r="F69" s="245"/>
      <c r="G69" s="245"/>
      <c r="H69" s="266">
        <v>44013</v>
      </c>
      <c r="I69" s="268"/>
      <c r="J69" s="260">
        <v>43711</v>
      </c>
      <c r="K69" s="267"/>
      <c r="L69" s="267"/>
      <c r="M69" s="244">
        <v>1</v>
      </c>
      <c r="N69" s="244"/>
      <c r="O69" s="244"/>
      <c r="P69" s="245">
        <v>100</v>
      </c>
      <c r="Q69" s="242" t="s">
        <v>339</v>
      </c>
      <c r="R69" s="242" t="s">
        <v>339</v>
      </c>
      <c r="S69" s="242" t="s">
        <v>445</v>
      </c>
      <c r="T69" s="242" t="s">
        <v>341</v>
      </c>
      <c r="U69" s="242" t="s">
        <v>342</v>
      </c>
      <c r="V69" s="242"/>
      <c r="W69" s="242" t="s">
        <v>182</v>
      </c>
      <c r="X69" s="246"/>
      <c r="Y69" s="271">
        <v>14000425011981</v>
      </c>
      <c r="Z69" s="247" t="s">
        <v>354</v>
      </c>
      <c r="AA69" s="279" t="s">
        <v>343</v>
      </c>
      <c r="AB69" s="248"/>
      <c r="AC69" s="245">
        <v>7</v>
      </c>
      <c r="AD69" s="261">
        <v>13448.76</v>
      </c>
      <c r="AE69" s="262">
        <v>12853.3</v>
      </c>
      <c r="AF69" s="262">
        <v>37.44</v>
      </c>
      <c r="AG69" s="262">
        <v>902.4</v>
      </c>
      <c r="AH69" s="262">
        <v>713.4</v>
      </c>
      <c r="AI69" s="262">
        <v>0</v>
      </c>
      <c r="AJ69" s="262">
        <v>843.12</v>
      </c>
      <c r="AK69" s="262">
        <v>0</v>
      </c>
      <c r="AL69" s="262">
        <v>0</v>
      </c>
      <c r="AM69" s="262">
        <v>0</v>
      </c>
      <c r="AN69" s="262">
        <v>0</v>
      </c>
      <c r="AO69" s="262">
        <v>0</v>
      </c>
      <c r="AP69" s="262">
        <v>65</v>
      </c>
      <c r="AQ69" s="262">
        <v>3766.18</v>
      </c>
      <c r="AR69" s="262"/>
      <c r="AS69" s="262"/>
      <c r="AT69" s="262"/>
      <c r="AU69" s="262"/>
      <c r="AV69" s="262"/>
      <c r="AW69" s="262"/>
      <c r="AX69" s="262"/>
      <c r="AY69" s="262"/>
      <c r="AZ69" s="262"/>
      <c r="BA69" s="262"/>
      <c r="BB69" s="262"/>
      <c r="BC69" s="262"/>
      <c r="BD69" s="262"/>
      <c r="BE69" s="262"/>
      <c r="BF69" s="262"/>
      <c r="BG69" s="262"/>
      <c r="BH69" s="262"/>
      <c r="BI69" s="262"/>
      <c r="BJ69" s="262"/>
      <c r="BK69" s="262"/>
      <c r="BL69" s="262"/>
      <c r="BM69" s="262"/>
      <c r="BN69" s="262"/>
      <c r="BO69" s="262"/>
      <c r="BP69" s="262"/>
      <c r="BQ69" s="262"/>
      <c r="BR69" s="262"/>
      <c r="BS69" s="262"/>
      <c r="BT69" s="262"/>
      <c r="BU69" s="262"/>
      <c r="BV69" s="262"/>
      <c r="BW69" s="263"/>
      <c r="BX69" s="263"/>
      <c r="BY69" s="263"/>
      <c r="BZ69" s="263"/>
      <c r="CA69" s="263"/>
      <c r="CB69" s="263"/>
      <c r="CC69" s="263"/>
      <c r="CD69" s="263"/>
      <c r="CE69" s="263"/>
      <c r="CF69" s="263"/>
      <c r="CG69" s="263"/>
      <c r="CH69" s="249">
        <f>+MAX($D$3,DATOS_[[#This Row],[Fecha Inicio Sit. Contract.]])</f>
        <v>45292</v>
      </c>
      <c r="CI69" s="249">
        <f>+MIN($D$4,DATOS_[[#This Row],[Fecha Fin Sit. Contract.]])</f>
        <v>45657</v>
      </c>
      <c r="CJ69" s="250">
        <f>+DATOS_[[#This Row],[% de jornada]]*IF(DATOS_[[#This Row],[% jornada reducida]]="",1,DATOS_[[#This Row],[% jornada reducida]])</f>
        <v>1</v>
      </c>
      <c r="CK69" s="250">
        <f>+(DATOS_[[#This Row],[F.fin.cal]]-DATOS_[[#This Row],[F.ini.cal]]+1)/($D$4-$D$3+1)</f>
        <v>1</v>
      </c>
      <c r="CL69" s="250" t="str">
        <f>IF(OR(AND(DATOS_[[#This Row],[Fecha Fin Contrato]]&lt;$D$3,DATOS_[[#This Row],[Fecha Fin Contrato]]&lt;&gt;""),DATOS_[[#This Row],[Fecha de Contratación]]&gt;$D$4),"Fuera","Dentro")</f>
        <v>Dentro</v>
      </c>
      <c r="CM69" s="250" t="str" cm="1">
        <f t="array" ref="CM69">IF(MAX(IF(DATOS_[id/cod]=DATOS_[[#This Row],[id/cod]],DATOS_[F.fin.cal]))=DATOS_[[#This Row],[F.fin.cal]],"Sí","NO")</f>
        <v>Sí</v>
      </c>
      <c r="CN69" s="250" t="str">
        <f>IF(AND(DATOS_[[#This Row],[% normaliz]]&lt;&gt;1,DATOS_[[#This Row],[% anualiz]]=1),"Sí","NO")</f>
        <v>NO</v>
      </c>
      <c r="CO69" s="250" t="str">
        <f>IF(AND(DATOS_[[#This Row],[% normaliz]]=1,DATOS_[[#This Row],[% anualiz]]&lt;&gt;1),"Sí","NO")</f>
        <v>NO</v>
      </c>
      <c r="CP69" s="250" t="str">
        <f>IF(AND(DATOS_[[#This Row],[% normaliz]]&lt;&gt;1,DATOS_[[#This Row],[% anualiz]]&lt;&gt;1),"Sí","NO")</f>
        <v>NO</v>
      </c>
      <c r="CQ69" s="250" t="str">
        <f>+IF(DATOS_[[#This Row],[% normaliz]]*DATOS_[[#This Row],[% anualiz]]=1,"NO","Sí")</f>
        <v>NO</v>
      </c>
      <c r="CR69" s="251">
        <f>(DATOS_[[#This Row],[S.BASE]]*(1/DATOS_[[#This Row],[% normaliz]])*(1/DATOS_[[#This Row],[% anualiz]]))*IF(DATOS_[[#This Row],[Check Equiparado]]="Sí",1,0)</f>
        <v>13448.76</v>
      </c>
      <c r="CS69"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19180.84</v>
      </c>
      <c r="CT69" s="251">
        <f>+DATOS_[[#This Row],[SALARIO BASE Eq]]+DATOS_[[#This Row],[Tot COMPL.SAL Eq]]</f>
        <v>32629.599999999999</v>
      </c>
      <c r="CU69" s="251" cm="1">
        <f t="array" ref="CU69">(SUMPRODUCT((RngTipo=$CU$7)*(rngAnualizable="Sí")*(rngNormalizable="Sí")*(DATOS_[[#This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69" s="251">
        <f>+DATOS_[[#This Row],[TOTAL SALARIO Eq]]+DATOS_[[#This Row],[Tot Extrasalarial Eq]]</f>
        <v>32629.599999999999</v>
      </c>
      <c r="CW69" s="252">
        <f>DATOS_[[#This Row],[S.BASE]]</f>
        <v>13448.76</v>
      </c>
      <c r="CX69" s="252">
        <f>+SUM(DATOS_[[#This Row],[Conc.Sal.01]:[Conc.Sal.30]])</f>
        <v>19180.84</v>
      </c>
      <c r="CY69" s="252">
        <f>+DATOS_[[#This Row],[SALARIO BASE Ef]]+DATOS_[[#This Row],[Tot COMPL.SAL Ef]]</f>
        <v>32629.599999999999</v>
      </c>
      <c r="CZ69" s="252">
        <f>+SUM(DATOS_[[#This Row],[C.Extra.01]:[C.Extra.11]])</f>
        <v>0</v>
      </c>
      <c r="DA69" s="252">
        <f>+DATOS_[[#This Row],[TOTAL SALARIO Ef]]+DATOS_[[#This Row],[Tot Extrasalarial Ef]]</f>
        <v>32629.599999999999</v>
      </c>
      <c r="DB69" s="109">
        <f>MIN(IF(DATOS_[[#This Row],[Fecha Fin Contrato]]="",$D$4,DATOS_[[#This Row],[Fecha Fin Contrato]]),$D$4)-MAX(DATOS_[[#This Row],[Fecha de Contratación]],$D$3)+1</f>
        <v>366</v>
      </c>
      <c r="DC69" s="110" t="str">
        <f>IF(COUNTIFS(DATOS_[id/cod],DATOS_[[#This Row],[id/cod]])&gt;1,DATOS_[[#This Row],[id/cod]],"")</f>
        <v/>
      </c>
      <c r="DD69" s="108">
        <f>(Inicio!$G$10-DATOS_[[#This Row],[Fecha Nacimiento]])/365.25</f>
        <v>33.330595482546201</v>
      </c>
      <c r="DE69" s="108">
        <f>(Inicio!$G$10-DATOS_[[#This Row],[Fecha de Antigüedad]])/365.25</f>
        <v>5.3278576317590689</v>
      </c>
      <c r="DF69" s="108" t="str">
        <f>+VLOOKUP(DATOS_[[#This Row],[Clave de Contrato]],TblTiposContrato13[],3,FALSE)</f>
        <v>Completa</v>
      </c>
      <c r="DG69" s="108" t="str">
        <f>+VLOOKUP(DATOS_[[#This Row],[Clave de Contrato]],TblTiposContrato13[],4,FALSE)</f>
        <v>Indefinido</v>
      </c>
      <c r="DH69" s="108" t="str">
        <f>VLOOKUP(DATOS_[[#This Row],[Edad]],CONTRATOS!TblRngEdad,2,TRUE)</f>
        <v>30 a 35</v>
      </c>
      <c r="DI69" s="108" t="str">
        <f>VLOOKUP(DATOS_[[#This Row],[Antigüedad]],TblRngAntg14[],2,TRUE)</f>
        <v>5 a 10  años</v>
      </c>
    </row>
    <row r="70" spans="1:113" x14ac:dyDescent="0.25">
      <c r="A70" s="303" t="s">
        <v>459</v>
      </c>
      <c r="B70" s="265">
        <v>60</v>
      </c>
      <c r="C70" s="264" t="s">
        <v>337</v>
      </c>
      <c r="D70" s="243">
        <v>29684</v>
      </c>
      <c r="E70" s="243" t="s">
        <v>338</v>
      </c>
      <c r="F70" s="245"/>
      <c r="G70" s="245"/>
      <c r="H70" s="266">
        <v>44137</v>
      </c>
      <c r="I70" s="268"/>
      <c r="J70" s="260">
        <v>43754</v>
      </c>
      <c r="K70" s="267"/>
      <c r="L70" s="267"/>
      <c r="M70" s="244">
        <v>1</v>
      </c>
      <c r="N70" s="244"/>
      <c r="O70" s="244"/>
      <c r="P70" s="245">
        <v>100</v>
      </c>
      <c r="Q70" s="242" t="s">
        <v>339</v>
      </c>
      <c r="R70" s="242" t="s">
        <v>339</v>
      </c>
      <c r="S70" s="242" t="s">
        <v>340</v>
      </c>
      <c r="T70" s="242" t="s">
        <v>341</v>
      </c>
      <c r="U70" s="242" t="s">
        <v>342</v>
      </c>
      <c r="V70" s="242"/>
      <c r="W70" s="242"/>
      <c r="X70" s="246"/>
      <c r="Y70" s="271">
        <v>14000425011981</v>
      </c>
      <c r="Z70" s="247"/>
      <c r="AA70" s="279" t="s">
        <v>343</v>
      </c>
      <c r="AB70" s="248"/>
      <c r="AC70" s="245">
        <v>7</v>
      </c>
      <c r="AD70" s="261"/>
      <c r="AE70" s="262"/>
      <c r="AF70" s="262"/>
      <c r="AG70" s="262"/>
      <c r="AH70" s="262"/>
      <c r="AI70" s="262"/>
      <c r="AJ70" s="262"/>
      <c r="AK70" s="262"/>
      <c r="AL70" s="262"/>
      <c r="AM70" s="262"/>
      <c r="AN70" s="262"/>
      <c r="AO70" s="262"/>
      <c r="AP70" s="262"/>
      <c r="AQ70" s="262"/>
      <c r="AR70" s="262"/>
      <c r="AS70" s="262"/>
      <c r="AT70" s="262"/>
      <c r="AU70" s="262"/>
      <c r="AV70" s="262"/>
      <c r="AW70" s="262"/>
      <c r="AX70" s="262"/>
      <c r="AY70" s="262"/>
      <c r="AZ70" s="262"/>
      <c r="BA70" s="262"/>
      <c r="BB70" s="262"/>
      <c r="BC70" s="262"/>
      <c r="BD70" s="262"/>
      <c r="BE70" s="262"/>
      <c r="BF70" s="262"/>
      <c r="BG70" s="262"/>
      <c r="BH70" s="262"/>
      <c r="BI70" s="262"/>
      <c r="BJ70" s="262"/>
      <c r="BK70" s="262"/>
      <c r="BL70" s="262"/>
      <c r="BM70" s="262"/>
      <c r="BN70" s="262"/>
      <c r="BO70" s="262"/>
      <c r="BP70" s="262"/>
      <c r="BQ70" s="262"/>
      <c r="BR70" s="262"/>
      <c r="BS70" s="262"/>
      <c r="BT70" s="262"/>
      <c r="BU70" s="262"/>
      <c r="BV70" s="262"/>
      <c r="BW70" s="263"/>
      <c r="BX70" s="263"/>
      <c r="BY70" s="263"/>
      <c r="BZ70" s="263"/>
      <c r="CA70" s="263"/>
      <c r="CB70" s="263"/>
      <c r="CC70" s="263"/>
      <c r="CD70" s="263"/>
      <c r="CE70" s="263"/>
      <c r="CF70" s="263"/>
      <c r="CG70" s="263"/>
      <c r="CH70" s="249">
        <f>+MAX($D$3,DATOS_[[#This Row],[Fecha Inicio Sit. Contract.]])</f>
        <v>45292</v>
      </c>
      <c r="CI70" s="249">
        <f>+MIN($D$4,DATOS_[[#This Row],[Fecha Fin Sit. Contract.]])</f>
        <v>45657</v>
      </c>
      <c r="CJ70" s="250">
        <f>+DATOS_[[#This Row],[% de jornada]]*IF(DATOS_[[#This Row],[% jornada reducida]]="",1,DATOS_[[#This Row],[% jornada reducida]])</f>
        <v>1</v>
      </c>
      <c r="CK70" s="250">
        <f>+(DATOS_[[#This Row],[F.fin.cal]]-DATOS_[[#This Row],[F.ini.cal]]+1)/($D$4-$D$3+1)</f>
        <v>1</v>
      </c>
      <c r="CL70" s="250" t="str">
        <f>IF(OR(AND(DATOS_[[#This Row],[Fecha Fin Contrato]]&lt;$D$3,DATOS_[[#This Row],[Fecha Fin Contrato]]&lt;&gt;""),DATOS_[[#This Row],[Fecha de Contratación]]&gt;$D$4),"Fuera","Dentro")</f>
        <v>Dentro</v>
      </c>
      <c r="CM70" s="250" t="str" cm="1">
        <f t="array" ref="CM70">IF(MAX(IF(DATOS_[id/cod]=DATOS_[[#This Row],[id/cod]],DATOS_[F.fin.cal]))=DATOS_[[#This Row],[F.fin.cal]],"Sí","NO")</f>
        <v>Sí</v>
      </c>
      <c r="CN70" s="250" t="str">
        <f>IF(AND(DATOS_[[#This Row],[% normaliz]]&lt;&gt;1,DATOS_[[#This Row],[% anualiz]]=1),"Sí","NO")</f>
        <v>NO</v>
      </c>
      <c r="CO70" s="250" t="str">
        <f>IF(AND(DATOS_[[#This Row],[% normaliz]]=1,DATOS_[[#This Row],[% anualiz]]&lt;&gt;1),"Sí","NO")</f>
        <v>NO</v>
      </c>
      <c r="CP70" s="250" t="str">
        <f>IF(AND(DATOS_[[#This Row],[% normaliz]]&lt;&gt;1,DATOS_[[#This Row],[% anualiz]]&lt;&gt;1),"Sí","NO")</f>
        <v>NO</v>
      </c>
      <c r="CQ70" s="250" t="str">
        <f>+IF(DATOS_[[#This Row],[% normaliz]]*DATOS_[[#This Row],[% anualiz]]=1,"NO","Sí")</f>
        <v>NO</v>
      </c>
      <c r="CR70" s="251">
        <f>(DATOS_[[#This Row],[S.BASE]]*(1/DATOS_[[#This Row],[% normaliz]])*(1/DATOS_[[#This Row],[% anualiz]]))*IF(DATOS_[[#This Row],[Check Equiparado]]="Sí",1,0)</f>
        <v>0</v>
      </c>
      <c r="CS70"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70" s="251">
        <f>+DATOS_[[#This Row],[SALARIO BASE Eq]]+DATOS_[[#This Row],[Tot COMPL.SAL Eq]]</f>
        <v>0</v>
      </c>
      <c r="CU70" s="251" cm="1">
        <f t="array" ref="CU70">(SUMPRODUCT((RngTipo=$CU$7)*(rngAnualizable="Sí")*(rngNormalizable="Sí")*(DATOS_[[#This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70" s="251">
        <f>+DATOS_[[#This Row],[TOTAL SALARIO Eq]]+DATOS_[[#This Row],[Tot Extrasalarial Eq]]</f>
        <v>0</v>
      </c>
      <c r="CW70" s="252">
        <f>DATOS_[[#This Row],[S.BASE]]</f>
        <v>0</v>
      </c>
      <c r="CX70" s="252">
        <f>+SUM(DATOS_[[#This Row],[Conc.Sal.01]:[Conc.Sal.30]])</f>
        <v>0</v>
      </c>
      <c r="CY70" s="252">
        <f>+DATOS_[[#This Row],[SALARIO BASE Ef]]+DATOS_[[#This Row],[Tot COMPL.SAL Ef]]</f>
        <v>0</v>
      </c>
      <c r="CZ70" s="252">
        <f>+SUM(DATOS_[[#This Row],[C.Extra.01]:[C.Extra.11]])</f>
        <v>0</v>
      </c>
      <c r="DA70" s="252">
        <f>+DATOS_[[#This Row],[TOTAL SALARIO Ef]]+DATOS_[[#This Row],[Tot Extrasalarial Ef]]</f>
        <v>0</v>
      </c>
      <c r="DB70" s="109">
        <f>MIN(IF(DATOS_[[#This Row],[Fecha Fin Contrato]]="",$D$4,DATOS_[[#This Row],[Fecha Fin Contrato]]),$D$4)-MAX(DATOS_[[#This Row],[Fecha de Contratación]],$D$3)+1</f>
        <v>366</v>
      </c>
      <c r="DC70" s="110" t="str">
        <f>IF(COUNTIFS(DATOS_[id/cod],DATOS_[[#This Row],[id/cod]])&gt;1,DATOS_[[#This Row],[id/cod]],"")</f>
        <v/>
      </c>
      <c r="DD70" s="108">
        <f>(Inicio!$G$10-DATOS_[[#This Row],[Fecha Nacimiento]])/365.25</f>
        <v>43.731690622861052</v>
      </c>
      <c r="DE70" s="108">
        <f>(Inicio!$G$10-DATOS_[[#This Row],[Fecha de Antigüedad]])/365.25</f>
        <v>5.2101300479123891</v>
      </c>
      <c r="DF70" s="108" t="str">
        <f>+VLOOKUP(DATOS_[[#This Row],[Clave de Contrato]],TblTiposContrato13[],3,FALSE)</f>
        <v>Completa</v>
      </c>
      <c r="DG70" s="108" t="str">
        <f>+VLOOKUP(DATOS_[[#This Row],[Clave de Contrato]],TblTiposContrato13[],4,FALSE)</f>
        <v>Indefinido</v>
      </c>
      <c r="DH70" s="108" t="str">
        <f>VLOOKUP(DATOS_[[#This Row],[Edad]],CONTRATOS!TblRngEdad,2,TRUE)</f>
        <v>40 a 45</v>
      </c>
      <c r="DI70" s="108" t="str">
        <f>VLOOKUP(DATOS_[[#This Row],[Antigüedad]],TblRngAntg14[],2,TRUE)</f>
        <v>5 a 10  años</v>
      </c>
    </row>
    <row r="71" spans="1:113" x14ac:dyDescent="0.25">
      <c r="A71" s="303" t="s">
        <v>460</v>
      </c>
      <c r="B71" s="265">
        <v>61</v>
      </c>
      <c r="C71" s="264" t="s">
        <v>356</v>
      </c>
      <c r="D71" s="243">
        <v>32531</v>
      </c>
      <c r="E71" s="243" t="s">
        <v>338</v>
      </c>
      <c r="F71" s="245"/>
      <c r="G71" s="245"/>
      <c r="H71" s="266">
        <v>44056</v>
      </c>
      <c r="I71" s="268"/>
      <c r="J71" s="260">
        <v>43759</v>
      </c>
      <c r="K71" s="267"/>
      <c r="L71" s="267"/>
      <c r="M71" s="244">
        <v>1</v>
      </c>
      <c r="N71" s="244"/>
      <c r="O71" s="244"/>
      <c r="P71" s="245">
        <v>100</v>
      </c>
      <c r="Q71" s="242" t="s">
        <v>391</v>
      </c>
      <c r="R71" s="242" t="s">
        <v>391</v>
      </c>
      <c r="S71" s="242" t="s">
        <v>391</v>
      </c>
      <c r="T71" s="242" t="s">
        <v>341</v>
      </c>
      <c r="U71" s="242" t="s">
        <v>342</v>
      </c>
      <c r="V71" s="242"/>
      <c r="W71" s="242"/>
      <c r="X71" s="246"/>
      <c r="Y71" s="271">
        <v>14000425011981</v>
      </c>
      <c r="Z71" s="247"/>
      <c r="AA71" s="279" t="s">
        <v>343</v>
      </c>
      <c r="AB71" s="248"/>
      <c r="AC71" s="245">
        <v>7</v>
      </c>
      <c r="AD71" s="261"/>
      <c r="AE71" s="262"/>
      <c r="AF71" s="262"/>
      <c r="AG71" s="262"/>
      <c r="AH71" s="262"/>
      <c r="AI71" s="262"/>
      <c r="AJ71" s="262"/>
      <c r="AK71" s="262"/>
      <c r="AL71" s="262"/>
      <c r="AM71" s="262"/>
      <c r="AN71" s="262"/>
      <c r="AO71" s="262"/>
      <c r="AP71" s="262"/>
      <c r="AQ71" s="262"/>
      <c r="AR71" s="262"/>
      <c r="AS71" s="262"/>
      <c r="AT71" s="262"/>
      <c r="AU71" s="262"/>
      <c r="AV71" s="262"/>
      <c r="AW71" s="262"/>
      <c r="AX71" s="262"/>
      <c r="AY71" s="262"/>
      <c r="AZ71" s="262"/>
      <c r="BA71" s="262"/>
      <c r="BB71" s="262"/>
      <c r="BC71" s="262"/>
      <c r="BD71" s="262"/>
      <c r="BE71" s="262"/>
      <c r="BF71" s="262"/>
      <c r="BG71" s="262"/>
      <c r="BH71" s="262"/>
      <c r="BI71" s="262"/>
      <c r="BJ71" s="262"/>
      <c r="BK71" s="262"/>
      <c r="BL71" s="262"/>
      <c r="BM71" s="262"/>
      <c r="BN71" s="262"/>
      <c r="BO71" s="262"/>
      <c r="BP71" s="262"/>
      <c r="BQ71" s="262"/>
      <c r="BR71" s="262"/>
      <c r="BS71" s="262"/>
      <c r="BT71" s="262"/>
      <c r="BU71" s="262"/>
      <c r="BV71" s="262"/>
      <c r="BW71" s="263"/>
      <c r="BX71" s="263"/>
      <c r="BY71" s="263"/>
      <c r="BZ71" s="263"/>
      <c r="CA71" s="263"/>
      <c r="CB71" s="263"/>
      <c r="CC71" s="263"/>
      <c r="CD71" s="263"/>
      <c r="CE71" s="263"/>
      <c r="CF71" s="263"/>
      <c r="CG71" s="263"/>
      <c r="CH71" s="249">
        <f>+MAX($D$3,DATOS_[[#This Row],[Fecha Inicio Sit. Contract.]])</f>
        <v>45292</v>
      </c>
      <c r="CI71" s="249">
        <f>+MIN($D$4,DATOS_[[#This Row],[Fecha Fin Sit. Contract.]])</f>
        <v>45657</v>
      </c>
      <c r="CJ71" s="250">
        <f>+DATOS_[[#This Row],[% de jornada]]*IF(DATOS_[[#This Row],[% jornada reducida]]="",1,DATOS_[[#This Row],[% jornada reducida]])</f>
        <v>1</v>
      </c>
      <c r="CK71" s="250">
        <f>+(DATOS_[[#This Row],[F.fin.cal]]-DATOS_[[#This Row],[F.ini.cal]]+1)/($D$4-$D$3+1)</f>
        <v>1</v>
      </c>
      <c r="CL71" s="250" t="str">
        <f>IF(OR(AND(DATOS_[[#This Row],[Fecha Fin Contrato]]&lt;$D$3,DATOS_[[#This Row],[Fecha Fin Contrato]]&lt;&gt;""),DATOS_[[#This Row],[Fecha de Contratación]]&gt;$D$4),"Fuera","Dentro")</f>
        <v>Dentro</v>
      </c>
      <c r="CM71" s="250" t="str" cm="1">
        <f t="array" ref="CM71">IF(MAX(IF(DATOS_[id/cod]=DATOS_[[#This Row],[id/cod]],DATOS_[F.fin.cal]))=DATOS_[[#This Row],[F.fin.cal]],"Sí","NO")</f>
        <v>Sí</v>
      </c>
      <c r="CN71" s="250" t="str">
        <f>IF(AND(DATOS_[[#This Row],[% normaliz]]&lt;&gt;1,DATOS_[[#This Row],[% anualiz]]=1),"Sí","NO")</f>
        <v>NO</v>
      </c>
      <c r="CO71" s="250" t="str">
        <f>IF(AND(DATOS_[[#This Row],[% normaliz]]=1,DATOS_[[#This Row],[% anualiz]]&lt;&gt;1),"Sí","NO")</f>
        <v>NO</v>
      </c>
      <c r="CP71" s="250" t="str">
        <f>IF(AND(DATOS_[[#This Row],[% normaliz]]&lt;&gt;1,DATOS_[[#This Row],[% anualiz]]&lt;&gt;1),"Sí","NO")</f>
        <v>NO</v>
      </c>
      <c r="CQ71" s="250" t="str">
        <f>+IF(DATOS_[[#This Row],[% normaliz]]*DATOS_[[#This Row],[% anualiz]]=1,"NO","Sí")</f>
        <v>NO</v>
      </c>
      <c r="CR71" s="251">
        <f>(DATOS_[[#This Row],[S.BASE]]*(1/DATOS_[[#This Row],[% normaliz]])*(1/DATOS_[[#This Row],[% anualiz]]))*IF(DATOS_[[#This Row],[Check Equiparado]]="Sí",1,0)</f>
        <v>0</v>
      </c>
      <c r="CS71"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71" s="251">
        <f>+DATOS_[[#This Row],[SALARIO BASE Eq]]+DATOS_[[#This Row],[Tot COMPL.SAL Eq]]</f>
        <v>0</v>
      </c>
      <c r="CU71" s="251" cm="1">
        <f t="array" ref="CU71">(SUMPRODUCT((RngTipo=$CU$7)*(rngAnualizable="Sí")*(rngNormalizable="Sí")*(DATOS_[[#This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71" s="251">
        <f>+DATOS_[[#This Row],[TOTAL SALARIO Eq]]+DATOS_[[#This Row],[Tot Extrasalarial Eq]]</f>
        <v>0</v>
      </c>
      <c r="CW71" s="252">
        <f>DATOS_[[#This Row],[S.BASE]]</f>
        <v>0</v>
      </c>
      <c r="CX71" s="252">
        <f>+SUM(DATOS_[[#This Row],[Conc.Sal.01]:[Conc.Sal.30]])</f>
        <v>0</v>
      </c>
      <c r="CY71" s="252">
        <f>+DATOS_[[#This Row],[SALARIO BASE Ef]]+DATOS_[[#This Row],[Tot COMPL.SAL Ef]]</f>
        <v>0</v>
      </c>
      <c r="CZ71" s="252">
        <f>+SUM(DATOS_[[#This Row],[C.Extra.01]:[C.Extra.11]])</f>
        <v>0</v>
      </c>
      <c r="DA71" s="252">
        <f>+DATOS_[[#This Row],[TOTAL SALARIO Ef]]+DATOS_[[#This Row],[Tot Extrasalarial Ef]]</f>
        <v>0</v>
      </c>
      <c r="DB71" s="109">
        <f>MIN(IF(DATOS_[[#This Row],[Fecha Fin Contrato]]="",$D$4,DATOS_[[#This Row],[Fecha Fin Contrato]]),$D$4)-MAX(DATOS_[[#This Row],[Fecha de Contratación]],$D$3)+1</f>
        <v>366</v>
      </c>
      <c r="DC71" s="110" t="str">
        <f>IF(COUNTIFS(DATOS_[id/cod],DATOS_[[#This Row],[id/cod]])&gt;1,DATOS_[[#This Row],[id/cod]],"")</f>
        <v/>
      </c>
      <c r="DD71" s="108">
        <f>(Inicio!$G$10-DATOS_[[#This Row],[Fecha Nacimiento]])/365.25</f>
        <v>35.937029431895965</v>
      </c>
      <c r="DE71" s="108">
        <f>(Inicio!$G$10-DATOS_[[#This Row],[Fecha de Antigüedad]])/365.25</f>
        <v>5.1964407939767279</v>
      </c>
      <c r="DF71" s="108" t="str">
        <f>+VLOOKUP(DATOS_[[#This Row],[Clave de Contrato]],TblTiposContrato13[],3,FALSE)</f>
        <v>Completa</v>
      </c>
      <c r="DG71" s="108" t="str">
        <f>+VLOOKUP(DATOS_[[#This Row],[Clave de Contrato]],TblTiposContrato13[],4,FALSE)</f>
        <v>Indefinido</v>
      </c>
      <c r="DH71" s="108" t="str">
        <f>VLOOKUP(DATOS_[[#This Row],[Edad]],CONTRATOS!TblRngEdad,2,TRUE)</f>
        <v>35 a 40</v>
      </c>
      <c r="DI71" s="108" t="str">
        <f>VLOOKUP(DATOS_[[#This Row],[Antigüedad]],TblRngAntg14[],2,TRUE)</f>
        <v>5 a 10  años</v>
      </c>
    </row>
    <row r="72" spans="1:113" x14ac:dyDescent="0.25">
      <c r="A72" s="303" t="s">
        <v>461</v>
      </c>
      <c r="B72" s="265">
        <v>62</v>
      </c>
      <c r="C72" s="264" t="s">
        <v>356</v>
      </c>
      <c r="D72" s="243">
        <v>29719</v>
      </c>
      <c r="E72" s="243" t="s">
        <v>338</v>
      </c>
      <c r="F72" s="245"/>
      <c r="G72" s="245"/>
      <c r="H72" s="266">
        <v>43880</v>
      </c>
      <c r="I72" s="268"/>
      <c r="J72" s="260">
        <v>43759</v>
      </c>
      <c r="K72" s="267"/>
      <c r="L72" s="267"/>
      <c r="M72" s="244">
        <v>1</v>
      </c>
      <c r="N72" s="244"/>
      <c r="O72" s="244"/>
      <c r="P72" s="245">
        <v>100</v>
      </c>
      <c r="Q72" s="242" t="s">
        <v>391</v>
      </c>
      <c r="R72" s="242" t="s">
        <v>391</v>
      </c>
      <c r="S72" s="242" t="s">
        <v>391</v>
      </c>
      <c r="T72" s="242" t="s">
        <v>341</v>
      </c>
      <c r="U72" s="242" t="s">
        <v>342</v>
      </c>
      <c r="V72" s="242"/>
      <c r="W72" s="242"/>
      <c r="X72" s="246"/>
      <c r="Y72" s="271">
        <v>14000425011981</v>
      </c>
      <c r="Z72" s="247"/>
      <c r="AA72" s="279" t="s">
        <v>343</v>
      </c>
      <c r="AB72" s="248"/>
      <c r="AC72" s="245">
        <v>7</v>
      </c>
      <c r="AD72" s="261"/>
      <c r="AE72" s="262"/>
      <c r="AF72" s="262"/>
      <c r="AG72" s="262"/>
      <c r="AH72" s="262"/>
      <c r="AI72" s="262"/>
      <c r="AJ72" s="262"/>
      <c r="AK72" s="262"/>
      <c r="AL72" s="262"/>
      <c r="AM72" s="262"/>
      <c r="AN72" s="262"/>
      <c r="AO72" s="262"/>
      <c r="AP72" s="262"/>
      <c r="AQ72" s="262"/>
      <c r="AR72" s="262"/>
      <c r="AS72" s="262"/>
      <c r="AT72" s="262"/>
      <c r="AU72" s="262"/>
      <c r="AV72" s="262"/>
      <c r="AW72" s="262"/>
      <c r="AX72" s="262"/>
      <c r="AY72" s="262"/>
      <c r="AZ72" s="262"/>
      <c r="BA72" s="262"/>
      <c r="BB72" s="262"/>
      <c r="BC72" s="262"/>
      <c r="BD72" s="262"/>
      <c r="BE72" s="262"/>
      <c r="BF72" s="262"/>
      <c r="BG72" s="262"/>
      <c r="BH72" s="262"/>
      <c r="BI72" s="262"/>
      <c r="BJ72" s="262"/>
      <c r="BK72" s="262"/>
      <c r="BL72" s="262"/>
      <c r="BM72" s="262"/>
      <c r="BN72" s="262"/>
      <c r="BO72" s="262"/>
      <c r="BP72" s="262"/>
      <c r="BQ72" s="262"/>
      <c r="BR72" s="262"/>
      <c r="BS72" s="262"/>
      <c r="BT72" s="262"/>
      <c r="BU72" s="262"/>
      <c r="BV72" s="262"/>
      <c r="BW72" s="263"/>
      <c r="BX72" s="263"/>
      <c r="BY72" s="263"/>
      <c r="BZ72" s="263"/>
      <c r="CA72" s="263"/>
      <c r="CB72" s="263"/>
      <c r="CC72" s="263"/>
      <c r="CD72" s="263"/>
      <c r="CE72" s="263"/>
      <c r="CF72" s="263"/>
      <c r="CG72" s="263"/>
      <c r="CH72" s="249">
        <f>+MAX($D$3,DATOS_[[#This Row],[Fecha Inicio Sit. Contract.]])</f>
        <v>45292</v>
      </c>
      <c r="CI72" s="249">
        <f>+MIN($D$4,DATOS_[[#This Row],[Fecha Fin Sit. Contract.]])</f>
        <v>45657</v>
      </c>
      <c r="CJ72" s="250">
        <f>+DATOS_[[#This Row],[% de jornada]]*IF(DATOS_[[#This Row],[% jornada reducida]]="",1,DATOS_[[#This Row],[% jornada reducida]])</f>
        <v>1</v>
      </c>
      <c r="CK72" s="250">
        <f>+(DATOS_[[#This Row],[F.fin.cal]]-DATOS_[[#This Row],[F.ini.cal]]+1)/($D$4-$D$3+1)</f>
        <v>1</v>
      </c>
      <c r="CL72" s="250" t="str">
        <f>IF(OR(AND(DATOS_[[#This Row],[Fecha Fin Contrato]]&lt;$D$3,DATOS_[[#This Row],[Fecha Fin Contrato]]&lt;&gt;""),DATOS_[[#This Row],[Fecha de Contratación]]&gt;$D$4),"Fuera","Dentro")</f>
        <v>Dentro</v>
      </c>
      <c r="CM72" s="250" t="str" cm="1">
        <f t="array" ref="CM72">IF(MAX(IF(DATOS_[id/cod]=DATOS_[[#This Row],[id/cod]],DATOS_[F.fin.cal]))=DATOS_[[#This Row],[F.fin.cal]],"Sí","NO")</f>
        <v>Sí</v>
      </c>
      <c r="CN72" s="250" t="str">
        <f>IF(AND(DATOS_[[#This Row],[% normaliz]]&lt;&gt;1,DATOS_[[#This Row],[% anualiz]]=1),"Sí","NO")</f>
        <v>NO</v>
      </c>
      <c r="CO72" s="250" t="str">
        <f>IF(AND(DATOS_[[#This Row],[% normaliz]]=1,DATOS_[[#This Row],[% anualiz]]&lt;&gt;1),"Sí","NO")</f>
        <v>NO</v>
      </c>
      <c r="CP72" s="250" t="str">
        <f>IF(AND(DATOS_[[#This Row],[% normaliz]]&lt;&gt;1,DATOS_[[#This Row],[% anualiz]]&lt;&gt;1),"Sí","NO")</f>
        <v>NO</v>
      </c>
      <c r="CQ72" s="250" t="str">
        <f>+IF(DATOS_[[#This Row],[% normaliz]]*DATOS_[[#This Row],[% anualiz]]=1,"NO","Sí")</f>
        <v>NO</v>
      </c>
      <c r="CR72" s="251">
        <f>(DATOS_[[#This Row],[S.BASE]]*(1/DATOS_[[#This Row],[% normaliz]])*(1/DATOS_[[#This Row],[% anualiz]]))*IF(DATOS_[[#This Row],[Check Equiparado]]="Sí",1,0)</f>
        <v>0</v>
      </c>
      <c r="CS72"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72" s="251">
        <f>+DATOS_[[#This Row],[SALARIO BASE Eq]]+DATOS_[[#This Row],[Tot COMPL.SAL Eq]]</f>
        <v>0</v>
      </c>
      <c r="CU72" s="251" cm="1">
        <f t="array" ref="CU72">(SUMPRODUCT((RngTipo=$CU$7)*(rngAnualizable="Sí")*(rngNormalizable="Sí")*(DATOS_[[#This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72" s="251">
        <f>+DATOS_[[#This Row],[TOTAL SALARIO Eq]]+DATOS_[[#This Row],[Tot Extrasalarial Eq]]</f>
        <v>0</v>
      </c>
      <c r="CW72" s="252">
        <f>DATOS_[[#This Row],[S.BASE]]</f>
        <v>0</v>
      </c>
      <c r="CX72" s="252">
        <f>+SUM(DATOS_[[#This Row],[Conc.Sal.01]:[Conc.Sal.30]])</f>
        <v>0</v>
      </c>
      <c r="CY72" s="252">
        <f>+DATOS_[[#This Row],[SALARIO BASE Ef]]+DATOS_[[#This Row],[Tot COMPL.SAL Ef]]</f>
        <v>0</v>
      </c>
      <c r="CZ72" s="252">
        <f>+SUM(DATOS_[[#This Row],[C.Extra.01]:[C.Extra.11]])</f>
        <v>0</v>
      </c>
      <c r="DA72" s="252">
        <f>+DATOS_[[#This Row],[TOTAL SALARIO Ef]]+DATOS_[[#This Row],[Tot Extrasalarial Ef]]</f>
        <v>0</v>
      </c>
      <c r="DB72" s="109">
        <f>MIN(IF(DATOS_[[#This Row],[Fecha Fin Contrato]]="",$D$4,DATOS_[[#This Row],[Fecha Fin Contrato]]),$D$4)-MAX(DATOS_[[#This Row],[Fecha de Contratación]],$D$3)+1</f>
        <v>366</v>
      </c>
      <c r="DC72" s="110" t="str">
        <f>IF(COUNTIFS(DATOS_[id/cod],DATOS_[[#This Row],[id/cod]])&gt;1,DATOS_[[#This Row],[id/cod]],"")</f>
        <v/>
      </c>
      <c r="DD72" s="108">
        <f>(Inicio!$G$10-DATOS_[[#This Row],[Fecha Nacimiento]])/365.25</f>
        <v>43.635865845311429</v>
      </c>
      <c r="DE72" s="108">
        <f>(Inicio!$G$10-DATOS_[[#This Row],[Fecha de Antigüedad]])/365.25</f>
        <v>5.1964407939767279</v>
      </c>
      <c r="DF72" s="108" t="str">
        <f>+VLOOKUP(DATOS_[[#This Row],[Clave de Contrato]],TblTiposContrato13[],3,FALSE)</f>
        <v>Completa</v>
      </c>
      <c r="DG72" s="108" t="str">
        <f>+VLOOKUP(DATOS_[[#This Row],[Clave de Contrato]],TblTiposContrato13[],4,FALSE)</f>
        <v>Indefinido</v>
      </c>
      <c r="DH72" s="108" t="str">
        <f>VLOOKUP(DATOS_[[#This Row],[Edad]],CONTRATOS!TblRngEdad,2,TRUE)</f>
        <v>40 a 45</v>
      </c>
      <c r="DI72" s="108" t="str">
        <f>VLOOKUP(DATOS_[[#This Row],[Antigüedad]],TblRngAntg14[],2,TRUE)</f>
        <v>5 a 10  años</v>
      </c>
    </row>
    <row r="73" spans="1:113" x14ac:dyDescent="0.25">
      <c r="A73" s="303" t="s">
        <v>462</v>
      </c>
      <c r="B73" s="265">
        <v>63</v>
      </c>
      <c r="C73" s="264" t="s">
        <v>337</v>
      </c>
      <c r="D73" s="243">
        <v>36128</v>
      </c>
      <c r="E73" s="243" t="s">
        <v>338</v>
      </c>
      <c r="F73" s="245"/>
      <c r="G73" s="245"/>
      <c r="H73" s="266">
        <v>43972</v>
      </c>
      <c r="I73" s="268"/>
      <c r="J73" s="260">
        <v>43770</v>
      </c>
      <c r="K73" s="267"/>
      <c r="L73" s="267"/>
      <c r="M73" s="244">
        <v>1</v>
      </c>
      <c r="N73" s="244"/>
      <c r="O73" s="244"/>
      <c r="P73" s="245">
        <v>100</v>
      </c>
      <c r="Q73" s="242" t="s">
        <v>339</v>
      </c>
      <c r="R73" s="242" t="s">
        <v>340</v>
      </c>
      <c r="S73" s="242" t="s">
        <v>445</v>
      </c>
      <c r="T73" s="242" t="s">
        <v>341</v>
      </c>
      <c r="U73" s="242" t="s">
        <v>342</v>
      </c>
      <c r="V73" s="242"/>
      <c r="W73" s="242"/>
      <c r="X73" s="246"/>
      <c r="Y73" s="271">
        <v>14000425011981</v>
      </c>
      <c r="Z73" s="247"/>
      <c r="AA73" s="279" t="s">
        <v>343</v>
      </c>
      <c r="AB73" s="248"/>
      <c r="AC73" s="245">
        <v>7</v>
      </c>
      <c r="AD73" s="261"/>
      <c r="AE73" s="262"/>
      <c r="AF73" s="262"/>
      <c r="AG73" s="262"/>
      <c r="AH73" s="262"/>
      <c r="AI73" s="262"/>
      <c r="AJ73" s="262"/>
      <c r="AK73" s="262"/>
      <c r="AL73" s="262"/>
      <c r="AM73" s="262"/>
      <c r="AN73" s="262"/>
      <c r="AO73" s="262"/>
      <c r="AP73" s="262"/>
      <c r="AQ73" s="262"/>
      <c r="AR73" s="262"/>
      <c r="AS73" s="262"/>
      <c r="AT73" s="262"/>
      <c r="AU73" s="262"/>
      <c r="AV73" s="262"/>
      <c r="AW73" s="262"/>
      <c r="AX73" s="262"/>
      <c r="AY73" s="262"/>
      <c r="AZ73" s="262"/>
      <c r="BA73" s="262"/>
      <c r="BB73" s="262"/>
      <c r="BC73" s="262"/>
      <c r="BD73" s="262"/>
      <c r="BE73" s="262"/>
      <c r="BF73" s="262"/>
      <c r="BG73" s="262"/>
      <c r="BH73" s="262"/>
      <c r="BI73" s="262"/>
      <c r="BJ73" s="262"/>
      <c r="BK73" s="262"/>
      <c r="BL73" s="262"/>
      <c r="BM73" s="262"/>
      <c r="BN73" s="262"/>
      <c r="BO73" s="262"/>
      <c r="BP73" s="262"/>
      <c r="BQ73" s="262"/>
      <c r="BR73" s="262"/>
      <c r="BS73" s="262"/>
      <c r="BT73" s="262"/>
      <c r="BU73" s="262"/>
      <c r="BV73" s="262"/>
      <c r="BW73" s="263"/>
      <c r="BX73" s="263"/>
      <c r="BY73" s="263"/>
      <c r="BZ73" s="263"/>
      <c r="CA73" s="263"/>
      <c r="CB73" s="263"/>
      <c r="CC73" s="263"/>
      <c r="CD73" s="263"/>
      <c r="CE73" s="263"/>
      <c r="CF73" s="263"/>
      <c r="CG73" s="263"/>
      <c r="CH73" s="249">
        <f>+MAX($D$3,DATOS_[[#This Row],[Fecha Inicio Sit. Contract.]])</f>
        <v>45292</v>
      </c>
      <c r="CI73" s="249">
        <f>+MIN($D$4,DATOS_[[#This Row],[Fecha Fin Sit. Contract.]])</f>
        <v>45657</v>
      </c>
      <c r="CJ73" s="250">
        <f>+DATOS_[[#This Row],[% de jornada]]*IF(DATOS_[[#This Row],[% jornada reducida]]="",1,DATOS_[[#This Row],[% jornada reducida]])</f>
        <v>1</v>
      </c>
      <c r="CK73" s="250">
        <f>+(DATOS_[[#This Row],[F.fin.cal]]-DATOS_[[#This Row],[F.ini.cal]]+1)/($D$4-$D$3+1)</f>
        <v>1</v>
      </c>
      <c r="CL73" s="250" t="str">
        <f>IF(OR(AND(DATOS_[[#This Row],[Fecha Fin Contrato]]&lt;$D$3,DATOS_[[#This Row],[Fecha Fin Contrato]]&lt;&gt;""),DATOS_[[#This Row],[Fecha de Contratación]]&gt;$D$4),"Fuera","Dentro")</f>
        <v>Dentro</v>
      </c>
      <c r="CM73" s="250" t="str" cm="1">
        <f t="array" ref="CM73">IF(MAX(IF(DATOS_[id/cod]=DATOS_[[#This Row],[id/cod]],DATOS_[F.fin.cal]))=DATOS_[[#This Row],[F.fin.cal]],"Sí","NO")</f>
        <v>Sí</v>
      </c>
      <c r="CN73" s="250" t="str">
        <f>IF(AND(DATOS_[[#This Row],[% normaliz]]&lt;&gt;1,DATOS_[[#This Row],[% anualiz]]=1),"Sí","NO")</f>
        <v>NO</v>
      </c>
      <c r="CO73" s="250" t="str">
        <f>IF(AND(DATOS_[[#This Row],[% normaliz]]=1,DATOS_[[#This Row],[% anualiz]]&lt;&gt;1),"Sí","NO")</f>
        <v>NO</v>
      </c>
      <c r="CP73" s="250" t="str">
        <f>IF(AND(DATOS_[[#This Row],[% normaliz]]&lt;&gt;1,DATOS_[[#This Row],[% anualiz]]&lt;&gt;1),"Sí","NO")</f>
        <v>NO</v>
      </c>
      <c r="CQ73" s="250" t="str">
        <f>+IF(DATOS_[[#This Row],[% normaliz]]*DATOS_[[#This Row],[% anualiz]]=1,"NO","Sí")</f>
        <v>NO</v>
      </c>
      <c r="CR73" s="251">
        <f>(DATOS_[[#This Row],[S.BASE]]*(1/DATOS_[[#This Row],[% normaliz]])*(1/DATOS_[[#This Row],[% anualiz]]))*IF(DATOS_[[#This Row],[Check Equiparado]]="Sí",1,0)</f>
        <v>0</v>
      </c>
      <c r="CS73"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73" s="251">
        <f>+DATOS_[[#This Row],[SALARIO BASE Eq]]+DATOS_[[#This Row],[Tot COMPL.SAL Eq]]</f>
        <v>0</v>
      </c>
      <c r="CU73" s="251" cm="1">
        <f t="array" ref="CU73">(SUMPRODUCT((RngTipo=$CU$7)*(rngAnualizable="Sí")*(rngNormalizable="Sí")*(DATOS_[[#This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73" s="251">
        <f>+DATOS_[[#This Row],[TOTAL SALARIO Eq]]+DATOS_[[#This Row],[Tot Extrasalarial Eq]]</f>
        <v>0</v>
      </c>
      <c r="CW73" s="252">
        <f>DATOS_[[#This Row],[S.BASE]]</f>
        <v>0</v>
      </c>
      <c r="CX73" s="252">
        <f>+SUM(DATOS_[[#This Row],[Conc.Sal.01]:[Conc.Sal.30]])</f>
        <v>0</v>
      </c>
      <c r="CY73" s="252">
        <f>+DATOS_[[#This Row],[SALARIO BASE Ef]]+DATOS_[[#This Row],[Tot COMPL.SAL Ef]]</f>
        <v>0</v>
      </c>
      <c r="CZ73" s="252">
        <f>+SUM(DATOS_[[#This Row],[C.Extra.01]:[C.Extra.11]])</f>
        <v>0</v>
      </c>
      <c r="DA73" s="252">
        <f>+DATOS_[[#This Row],[TOTAL SALARIO Ef]]+DATOS_[[#This Row],[Tot Extrasalarial Ef]]</f>
        <v>0</v>
      </c>
      <c r="DB73" s="109">
        <f>MIN(IF(DATOS_[[#This Row],[Fecha Fin Contrato]]="",$D$4,DATOS_[[#This Row],[Fecha Fin Contrato]]),$D$4)-MAX(DATOS_[[#This Row],[Fecha de Contratación]],$D$3)+1</f>
        <v>366</v>
      </c>
      <c r="DC73" s="110" t="str">
        <f>IF(COUNTIFS(DATOS_[id/cod],DATOS_[[#This Row],[id/cod]])&gt;1,DATOS_[[#This Row],[id/cod]],"")</f>
        <v/>
      </c>
      <c r="DD73" s="108">
        <f>(Inicio!$G$10-DATOS_[[#This Row],[Fecha Nacimiento]])/365.25</f>
        <v>26.088980150581794</v>
      </c>
      <c r="DE73" s="108">
        <f>(Inicio!$G$10-DATOS_[[#This Row],[Fecha de Antigüedad]])/365.25</f>
        <v>5.1663244353182751</v>
      </c>
      <c r="DF73" s="108" t="str">
        <f>+VLOOKUP(DATOS_[[#This Row],[Clave de Contrato]],TblTiposContrato13[],3,FALSE)</f>
        <v>Completa</v>
      </c>
      <c r="DG73" s="108" t="str">
        <f>+VLOOKUP(DATOS_[[#This Row],[Clave de Contrato]],TblTiposContrato13[],4,FALSE)</f>
        <v>Indefinido</v>
      </c>
      <c r="DH73" s="108" t="str">
        <f>VLOOKUP(DATOS_[[#This Row],[Edad]],CONTRATOS!TblRngEdad,2,TRUE)</f>
        <v>25 a 30</v>
      </c>
      <c r="DI73" s="108" t="str">
        <f>VLOOKUP(DATOS_[[#This Row],[Antigüedad]],TblRngAntg14[],2,TRUE)</f>
        <v>5 a 10  años</v>
      </c>
    </row>
    <row r="74" spans="1:113" x14ac:dyDescent="0.25">
      <c r="A74" s="303" t="s">
        <v>463</v>
      </c>
      <c r="B74" s="265">
        <v>64</v>
      </c>
      <c r="C74" s="264" t="s">
        <v>337</v>
      </c>
      <c r="D74" s="243">
        <v>30752</v>
      </c>
      <c r="E74" s="243" t="s">
        <v>338</v>
      </c>
      <c r="F74" s="245"/>
      <c r="G74" s="245"/>
      <c r="H74" s="266">
        <v>44023</v>
      </c>
      <c r="I74" s="268"/>
      <c r="J74" s="260">
        <v>43796</v>
      </c>
      <c r="K74" s="267"/>
      <c r="L74" s="267"/>
      <c r="M74" s="244">
        <v>1</v>
      </c>
      <c r="N74" s="244"/>
      <c r="O74" s="244"/>
      <c r="P74" s="245">
        <v>100</v>
      </c>
      <c r="Q74" s="242" t="s">
        <v>339</v>
      </c>
      <c r="R74" s="242" t="s">
        <v>340</v>
      </c>
      <c r="S74" s="242" t="s">
        <v>445</v>
      </c>
      <c r="T74" s="242" t="s">
        <v>341</v>
      </c>
      <c r="U74" s="242" t="s">
        <v>342</v>
      </c>
      <c r="V74" s="242"/>
      <c r="W74" s="242" t="s">
        <v>188</v>
      </c>
      <c r="X74" s="246"/>
      <c r="Y74" s="271">
        <v>14000425011981</v>
      </c>
      <c r="Z74" s="247" t="s">
        <v>405</v>
      </c>
      <c r="AA74" s="279" t="s">
        <v>343</v>
      </c>
      <c r="AB74" s="248"/>
      <c r="AC74" s="245">
        <v>7</v>
      </c>
      <c r="AD74" s="261">
        <v>11549.76</v>
      </c>
      <c r="AE74" s="262">
        <v>0</v>
      </c>
      <c r="AF74" s="262">
        <v>37.44</v>
      </c>
      <c r="AG74" s="262">
        <v>1205.4000000000001</v>
      </c>
      <c r="AH74" s="262">
        <v>713.4</v>
      </c>
      <c r="AI74" s="262">
        <v>125.1</v>
      </c>
      <c r="AJ74" s="262">
        <v>1925.36</v>
      </c>
      <c r="AK74" s="262">
        <v>0</v>
      </c>
      <c r="AL74" s="262">
        <v>116.28</v>
      </c>
      <c r="AM74" s="262">
        <v>0</v>
      </c>
      <c r="AN74" s="262">
        <v>838.3</v>
      </c>
      <c r="AO74" s="262">
        <v>843.12</v>
      </c>
      <c r="AP74" s="262">
        <v>0</v>
      </c>
      <c r="AQ74" s="262">
        <v>0</v>
      </c>
      <c r="AR74" s="262">
        <v>0</v>
      </c>
      <c r="AS74" s="262">
        <v>0</v>
      </c>
      <c r="AT74" s="262">
        <v>3020.62</v>
      </c>
      <c r="AU74" s="262">
        <v>0</v>
      </c>
      <c r="AV74" s="262">
        <v>0</v>
      </c>
      <c r="AW74" s="262">
        <v>0</v>
      </c>
      <c r="AX74" s="262">
        <v>300</v>
      </c>
      <c r="AY74" s="262">
        <v>0</v>
      </c>
      <c r="AZ74" s="262">
        <v>0</v>
      </c>
      <c r="BA74" s="262">
        <v>65</v>
      </c>
      <c r="BB74" s="262"/>
      <c r="BC74" s="262"/>
      <c r="BD74" s="262"/>
      <c r="BE74" s="262"/>
      <c r="BF74" s="262"/>
      <c r="BG74" s="262"/>
      <c r="BH74" s="262"/>
      <c r="BI74" s="262"/>
      <c r="BJ74" s="262"/>
      <c r="BK74" s="262"/>
      <c r="BL74" s="262"/>
      <c r="BM74" s="262"/>
      <c r="BN74" s="262"/>
      <c r="BO74" s="262"/>
      <c r="BP74" s="262"/>
      <c r="BQ74" s="262"/>
      <c r="BR74" s="262"/>
      <c r="BS74" s="262"/>
      <c r="BT74" s="262"/>
      <c r="BU74" s="262"/>
      <c r="BV74" s="262"/>
      <c r="BW74" s="263"/>
      <c r="BX74" s="263"/>
      <c r="BY74" s="263"/>
      <c r="BZ74" s="263"/>
      <c r="CA74" s="263"/>
      <c r="CB74" s="263"/>
      <c r="CC74" s="263"/>
      <c r="CD74" s="263"/>
      <c r="CE74" s="263"/>
      <c r="CF74" s="263"/>
      <c r="CG74" s="263"/>
      <c r="CH74" s="249">
        <f>+MAX($D$3,DATOS_[[#This Row],[Fecha Inicio Sit. Contract.]])</f>
        <v>45292</v>
      </c>
      <c r="CI74" s="249">
        <f>+MIN($D$4,DATOS_[[#This Row],[Fecha Fin Sit. Contract.]])</f>
        <v>45657</v>
      </c>
      <c r="CJ74" s="250">
        <f>+DATOS_[[#This Row],[% de jornada]]*IF(DATOS_[[#This Row],[% jornada reducida]]="",1,DATOS_[[#This Row],[% jornada reducida]])</f>
        <v>1</v>
      </c>
      <c r="CK74" s="250">
        <f>+(DATOS_[[#This Row],[F.fin.cal]]-DATOS_[[#This Row],[F.ini.cal]]+1)/($D$4-$D$3+1)</f>
        <v>1</v>
      </c>
      <c r="CL74" s="250" t="str">
        <f>IF(OR(AND(DATOS_[[#This Row],[Fecha Fin Contrato]]&lt;$D$3,DATOS_[[#This Row],[Fecha Fin Contrato]]&lt;&gt;""),DATOS_[[#This Row],[Fecha de Contratación]]&gt;$D$4),"Fuera","Dentro")</f>
        <v>Dentro</v>
      </c>
      <c r="CM74" s="250" t="str" cm="1">
        <f t="array" ref="CM74">IF(MAX(IF(DATOS_[id/cod]=DATOS_[[#This Row],[id/cod]],DATOS_[F.fin.cal]))=DATOS_[[#This Row],[F.fin.cal]],"Sí","NO")</f>
        <v>Sí</v>
      </c>
      <c r="CN74" s="250" t="str">
        <f>IF(AND(DATOS_[[#This Row],[% normaliz]]&lt;&gt;1,DATOS_[[#This Row],[% anualiz]]=1),"Sí","NO")</f>
        <v>NO</v>
      </c>
      <c r="CO74" s="250" t="str">
        <f>IF(AND(DATOS_[[#This Row],[% normaliz]]=1,DATOS_[[#This Row],[% anualiz]]&lt;&gt;1),"Sí","NO")</f>
        <v>NO</v>
      </c>
      <c r="CP74" s="250" t="str">
        <f>IF(AND(DATOS_[[#This Row],[% normaliz]]&lt;&gt;1,DATOS_[[#This Row],[% anualiz]]&lt;&gt;1),"Sí","NO")</f>
        <v>NO</v>
      </c>
      <c r="CQ74" s="250" t="str">
        <f>+IF(DATOS_[[#This Row],[% normaliz]]*DATOS_[[#This Row],[% anualiz]]=1,"NO","Sí")</f>
        <v>NO</v>
      </c>
      <c r="CR74" s="251">
        <f>(DATOS_[[#This Row],[S.BASE]]*(1/DATOS_[[#This Row],[% normaliz]])*(1/DATOS_[[#This Row],[% anualiz]]))*IF(DATOS_[[#This Row],[Check Equiparado]]="Sí",1,0)</f>
        <v>11549.76</v>
      </c>
      <c r="CS74"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6104.4</v>
      </c>
      <c r="CT74" s="251">
        <f>+DATOS_[[#This Row],[SALARIO BASE Eq]]+DATOS_[[#This Row],[Tot COMPL.SAL Eq]]</f>
        <v>17654.16</v>
      </c>
      <c r="CU74" s="251" cm="1">
        <f t="array" ref="CU74">(SUMPRODUCT((RngTipo=$CU$7)*(rngAnualizable="Sí")*(rngNormalizable="Sí")*(DATOS_[[#This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3020.62</v>
      </c>
      <c r="CV74" s="251">
        <f>+DATOS_[[#This Row],[TOTAL SALARIO Eq]]+DATOS_[[#This Row],[Tot Extrasalarial Eq]]</f>
        <v>20674.78</v>
      </c>
      <c r="CW74" s="252">
        <f>DATOS_[[#This Row],[S.BASE]]</f>
        <v>11549.76</v>
      </c>
      <c r="CX74" s="252">
        <f>+SUM(DATOS_[[#This Row],[Conc.Sal.01]:[Conc.Sal.30]])</f>
        <v>9190.02</v>
      </c>
      <c r="CY74" s="252">
        <f>+DATOS_[[#This Row],[SALARIO BASE Ef]]+DATOS_[[#This Row],[Tot COMPL.SAL Ef]]</f>
        <v>20739.78</v>
      </c>
      <c r="CZ74" s="252">
        <f>+SUM(DATOS_[[#This Row],[C.Extra.01]:[C.Extra.11]])</f>
        <v>0</v>
      </c>
      <c r="DA74" s="252">
        <f>+DATOS_[[#This Row],[TOTAL SALARIO Ef]]+DATOS_[[#This Row],[Tot Extrasalarial Ef]]</f>
        <v>20739.78</v>
      </c>
      <c r="DB74" s="109">
        <f>MIN(IF(DATOS_[[#This Row],[Fecha Fin Contrato]]="",$D$4,DATOS_[[#This Row],[Fecha Fin Contrato]]),$D$4)-MAX(DATOS_[[#This Row],[Fecha de Contratación]],$D$3)+1</f>
        <v>366</v>
      </c>
      <c r="DC74" s="110" t="str">
        <f>IF(COUNTIFS(DATOS_[id/cod],DATOS_[[#This Row],[id/cod]])&gt;1,DATOS_[[#This Row],[id/cod]],"")</f>
        <v/>
      </c>
      <c r="DD74" s="108">
        <f>(Inicio!$G$10-DATOS_[[#This Row],[Fecha Nacimiento]])/365.25</f>
        <v>40.807665982203972</v>
      </c>
      <c r="DE74" s="108">
        <f>(Inicio!$G$10-DATOS_[[#This Row],[Fecha de Antigüedad]])/365.25</f>
        <v>5.0951403148528405</v>
      </c>
      <c r="DF74" s="108" t="str">
        <f>+VLOOKUP(DATOS_[[#This Row],[Clave de Contrato]],TblTiposContrato13[],3,FALSE)</f>
        <v>Completa</v>
      </c>
      <c r="DG74" s="108" t="str">
        <f>+VLOOKUP(DATOS_[[#This Row],[Clave de Contrato]],TblTiposContrato13[],4,FALSE)</f>
        <v>Indefinido</v>
      </c>
      <c r="DH74" s="108" t="str">
        <f>VLOOKUP(DATOS_[[#This Row],[Edad]],CONTRATOS!TblRngEdad,2,TRUE)</f>
        <v>40 a 45</v>
      </c>
      <c r="DI74" s="108" t="str">
        <f>VLOOKUP(DATOS_[[#This Row],[Antigüedad]],TblRngAntg14[],2,TRUE)</f>
        <v>5 a 10  años</v>
      </c>
    </row>
    <row r="75" spans="1:113" x14ac:dyDescent="0.25">
      <c r="A75" s="303" t="s">
        <v>464</v>
      </c>
      <c r="B75" s="265">
        <v>65</v>
      </c>
      <c r="C75" s="264" t="s">
        <v>337</v>
      </c>
      <c r="D75" s="243">
        <v>29715</v>
      </c>
      <c r="E75" s="243" t="s">
        <v>338</v>
      </c>
      <c r="F75" s="245"/>
      <c r="G75" s="245"/>
      <c r="H75" s="266">
        <v>44124</v>
      </c>
      <c r="I75" s="268"/>
      <c r="J75" s="260">
        <v>43801</v>
      </c>
      <c r="K75" s="267"/>
      <c r="L75" s="267"/>
      <c r="M75" s="244">
        <v>1</v>
      </c>
      <c r="N75" s="244"/>
      <c r="O75" s="244"/>
      <c r="P75" s="245">
        <v>100</v>
      </c>
      <c r="Q75" s="242" t="s">
        <v>339</v>
      </c>
      <c r="R75" s="242" t="s">
        <v>340</v>
      </c>
      <c r="S75" s="242" t="s">
        <v>445</v>
      </c>
      <c r="T75" s="242" t="s">
        <v>341</v>
      </c>
      <c r="U75" s="242" t="s">
        <v>342</v>
      </c>
      <c r="V75" s="242"/>
      <c r="W75" s="242" t="s">
        <v>188</v>
      </c>
      <c r="X75" s="246"/>
      <c r="Y75" s="271">
        <v>14000425011981</v>
      </c>
      <c r="Z75" s="247" t="s">
        <v>405</v>
      </c>
      <c r="AA75" s="279" t="s">
        <v>343</v>
      </c>
      <c r="AB75" s="248"/>
      <c r="AC75" s="245">
        <v>7</v>
      </c>
      <c r="AD75" s="261">
        <v>11549.76</v>
      </c>
      <c r="AE75" s="262">
        <v>0</v>
      </c>
      <c r="AF75" s="262">
        <v>37.44</v>
      </c>
      <c r="AG75" s="262">
        <v>1205.4000000000001</v>
      </c>
      <c r="AH75" s="262">
        <v>713.4</v>
      </c>
      <c r="AI75" s="262">
        <v>212.4</v>
      </c>
      <c r="AJ75" s="262">
        <v>1831.44</v>
      </c>
      <c r="AK75" s="262">
        <v>0</v>
      </c>
      <c r="AL75" s="262">
        <v>232.56</v>
      </c>
      <c r="AM75" s="262">
        <v>217.44</v>
      </c>
      <c r="AN75" s="262">
        <v>818.1</v>
      </c>
      <c r="AO75" s="262">
        <v>843.12</v>
      </c>
      <c r="AP75" s="262">
        <v>0</v>
      </c>
      <c r="AQ75" s="262">
        <v>0</v>
      </c>
      <c r="AR75" s="262">
        <v>0</v>
      </c>
      <c r="AS75" s="262">
        <v>0</v>
      </c>
      <c r="AT75" s="262">
        <v>3348.45</v>
      </c>
      <c r="AU75" s="262">
        <v>0</v>
      </c>
      <c r="AV75" s="262">
        <v>0</v>
      </c>
      <c r="AW75" s="262">
        <v>0</v>
      </c>
      <c r="AX75" s="262">
        <v>300</v>
      </c>
      <c r="AY75" s="262">
        <v>0</v>
      </c>
      <c r="AZ75" s="262">
        <v>0</v>
      </c>
      <c r="BA75" s="262">
        <v>65</v>
      </c>
      <c r="BB75" s="262"/>
      <c r="BC75" s="262"/>
      <c r="BD75" s="262"/>
      <c r="BE75" s="262"/>
      <c r="BF75" s="262"/>
      <c r="BG75" s="262"/>
      <c r="BH75" s="262"/>
      <c r="BI75" s="262"/>
      <c r="BJ75" s="262"/>
      <c r="BK75" s="262"/>
      <c r="BL75" s="262"/>
      <c r="BM75" s="262"/>
      <c r="BN75" s="262"/>
      <c r="BO75" s="262"/>
      <c r="BP75" s="262"/>
      <c r="BQ75" s="262"/>
      <c r="BR75" s="262"/>
      <c r="BS75" s="262"/>
      <c r="BT75" s="262"/>
      <c r="BU75" s="262"/>
      <c r="BV75" s="262"/>
      <c r="BW75" s="263"/>
      <c r="BX75" s="263"/>
      <c r="BY75" s="263"/>
      <c r="BZ75" s="263"/>
      <c r="CA75" s="263"/>
      <c r="CB75" s="263"/>
      <c r="CC75" s="263"/>
      <c r="CD75" s="263"/>
      <c r="CE75" s="263"/>
      <c r="CF75" s="263"/>
      <c r="CG75" s="263"/>
      <c r="CH75" s="249">
        <f>+MAX($D$3,DATOS_[[#This Row],[Fecha Inicio Sit. Contract.]])</f>
        <v>45292</v>
      </c>
      <c r="CI75" s="249">
        <f>+MIN($D$4,DATOS_[[#This Row],[Fecha Fin Sit. Contract.]])</f>
        <v>45657</v>
      </c>
      <c r="CJ75" s="250">
        <f>+DATOS_[[#This Row],[% de jornada]]*IF(DATOS_[[#This Row],[% jornada reducida]]="",1,DATOS_[[#This Row],[% jornada reducida]])</f>
        <v>1</v>
      </c>
      <c r="CK75" s="250">
        <f>+(DATOS_[[#This Row],[F.fin.cal]]-DATOS_[[#This Row],[F.ini.cal]]+1)/($D$4-$D$3+1)</f>
        <v>1</v>
      </c>
      <c r="CL75" s="250" t="str">
        <f>IF(OR(AND(DATOS_[[#This Row],[Fecha Fin Contrato]]&lt;$D$3,DATOS_[[#This Row],[Fecha Fin Contrato]]&lt;&gt;""),DATOS_[[#This Row],[Fecha de Contratación]]&gt;$D$4),"Fuera","Dentro")</f>
        <v>Dentro</v>
      </c>
      <c r="CM75" s="250" t="str" cm="1">
        <f t="array" ref="CM75">IF(MAX(IF(DATOS_[id/cod]=DATOS_[[#This Row],[id/cod]],DATOS_[F.fin.cal]))=DATOS_[[#This Row],[F.fin.cal]],"Sí","NO")</f>
        <v>Sí</v>
      </c>
      <c r="CN75" s="250" t="str">
        <f>IF(AND(DATOS_[[#This Row],[% normaliz]]&lt;&gt;1,DATOS_[[#This Row],[% anualiz]]=1),"Sí","NO")</f>
        <v>NO</v>
      </c>
      <c r="CO75" s="250" t="str">
        <f>IF(AND(DATOS_[[#This Row],[% normaliz]]=1,DATOS_[[#This Row],[% anualiz]]&lt;&gt;1),"Sí","NO")</f>
        <v>NO</v>
      </c>
      <c r="CP75" s="250" t="str">
        <f>IF(AND(DATOS_[[#This Row],[% normaliz]]&lt;&gt;1,DATOS_[[#This Row],[% anualiz]]&lt;&gt;1),"Sí","NO")</f>
        <v>NO</v>
      </c>
      <c r="CQ75" s="250" t="str">
        <f>+IF(DATOS_[[#This Row],[% normaliz]]*DATOS_[[#This Row],[% anualiz]]=1,"NO","Sí")</f>
        <v>NO</v>
      </c>
      <c r="CR75" s="251">
        <f>(DATOS_[[#This Row],[S.BASE]]*(1/DATOS_[[#This Row],[% normaliz]])*(1/DATOS_[[#This Row],[% anualiz]]))*IF(DATOS_[[#This Row],[Check Equiparado]]="Sí",1,0)</f>
        <v>11549.76</v>
      </c>
      <c r="CS75"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6411.3</v>
      </c>
      <c r="CT75" s="251">
        <f>+DATOS_[[#This Row],[SALARIO BASE Eq]]+DATOS_[[#This Row],[Tot COMPL.SAL Eq]]</f>
        <v>17961.060000000001</v>
      </c>
      <c r="CU75" s="251" cm="1">
        <f t="array" ref="CU75">(SUMPRODUCT((RngTipo=$CU$7)*(rngAnualizable="Sí")*(rngNormalizable="Sí")*(DATOS_[[#This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3348.45</v>
      </c>
      <c r="CV75" s="251">
        <f>+DATOS_[[#This Row],[TOTAL SALARIO Eq]]+DATOS_[[#This Row],[Tot Extrasalarial Eq]]</f>
        <v>21309.510000000002</v>
      </c>
      <c r="CW75" s="252">
        <f>DATOS_[[#This Row],[S.BASE]]</f>
        <v>11549.76</v>
      </c>
      <c r="CX75" s="252">
        <f>+SUM(DATOS_[[#This Row],[Conc.Sal.01]:[Conc.Sal.30]])</f>
        <v>9824.75</v>
      </c>
      <c r="CY75" s="252">
        <f>+DATOS_[[#This Row],[SALARIO BASE Ef]]+DATOS_[[#This Row],[Tot COMPL.SAL Ef]]</f>
        <v>21374.510000000002</v>
      </c>
      <c r="CZ75" s="252">
        <f>+SUM(DATOS_[[#This Row],[C.Extra.01]:[C.Extra.11]])</f>
        <v>0</v>
      </c>
      <c r="DA75" s="252">
        <f>+DATOS_[[#This Row],[TOTAL SALARIO Ef]]+DATOS_[[#This Row],[Tot Extrasalarial Ef]]</f>
        <v>21374.510000000002</v>
      </c>
      <c r="DB75" s="109">
        <f>MIN(IF(DATOS_[[#This Row],[Fecha Fin Contrato]]="",$D$4,DATOS_[[#This Row],[Fecha Fin Contrato]]),$D$4)-MAX(DATOS_[[#This Row],[Fecha de Contratación]],$D$3)+1</f>
        <v>366</v>
      </c>
      <c r="DC75" s="110" t="str">
        <f>IF(COUNTIFS(DATOS_[id/cod],DATOS_[[#This Row],[id/cod]])&gt;1,DATOS_[[#This Row],[id/cod]],"")</f>
        <v/>
      </c>
      <c r="DD75" s="108">
        <f>(Inicio!$G$10-DATOS_[[#This Row],[Fecha Nacimiento]])/365.25</f>
        <v>43.646817248459961</v>
      </c>
      <c r="DE75" s="108">
        <f>(Inicio!$G$10-DATOS_[[#This Row],[Fecha de Antigüedad]])/365.25</f>
        <v>5.0814510609171801</v>
      </c>
      <c r="DF75" s="108" t="str">
        <f>+VLOOKUP(DATOS_[[#This Row],[Clave de Contrato]],TblTiposContrato13[],3,FALSE)</f>
        <v>Completa</v>
      </c>
      <c r="DG75" s="108" t="str">
        <f>+VLOOKUP(DATOS_[[#This Row],[Clave de Contrato]],TblTiposContrato13[],4,FALSE)</f>
        <v>Indefinido</v>
      </c>
      <c r="DH75" s="108" t="str">
        <f>VLOOKUP(DATOS_[[#This Row],[Edad]],CONTRATOS!TblRngEdad,2,TRUE)</f>
        <v>40 a 45</v>
      </c>
      <c r="DI75" s="108" t="str">
        <f>VLOOKUP(DATOS_[[#This Row],[Antigüedad]],TblRngAntg14[],2,TRUE)</f>
        <v>5 a 10  años</v>
      </c>
    </row>
    <row r="76" spans="1:113" x14ac:dyDescent="0.25">
      <c r="A76" s="303" t="s">
        <v>465</v>
      </c>
      <c r="B76" s="265">
        <v>66</v>
      </c>
      <c r="C76" s="264" t="s">
        <v>356</v>
      </c>
      <c r="D76" s="243">
        <v>33416</v>
      </c>
      <c r="E76" s="243" t="s">
        <v>351</v>
      </c>
      <c r="F76" s="245"/>
      <c r="G76" s="245"/>
      <c r="H76" s="266">
        <v>44295</v>
      </c>
      <c r="I76" s="268"/>
      <c r="J76" s="260">
        <v>43966</v>
      </c>
      <c r="K76" s="267"/>
      <c r="L76" s="267"/>
      <c r="M76" s="244">
        <v>1</v>
      </c>
      <c r="N76" s="244"/>
      <c r="O76" s="244"/>
      <c r="P76" s="245">
        <v>100</v>
      </c>
      <c r="Q76" s="242" t="s">
        <v>403</v>
      </c>
      <c r="R76" s="242" t="s">
        <v>403</v>
      </c>
      <c r="S76" s="242" t="s">
        <v>404</v>
      </c>
      <c r="T76" s="242" t="s">
        <v>341</v>
      </c>
      <c r="U76" s="242" t="s">
        <v>342</v>
      </c>
      <c r="V76" s="242"/>
      <c r="W76" s="242"/>
      <c r="X76" s="246"/>
      <c r="Y76" s="271">
        <v>14000425011981</v>
      </c>
      <c r="Z76" s="247"/>
      <c r="AA76" s="279" t="s">
        <v>343</v>
      </c>
      <c r="AB76" s="248"/>
      <c r="AC76" s="245">
        <v>7</v>
      </c>
      <c r="AD76" s="261"/>
      <c r="AE76" s="262"/>
      <c r="AF76" s="262"/>
      <c r="AG76" s="262"/>
      <c r="AH76" s="262"/>
      <c r="AI76" s="262"/>
      <c r="AJ76" s="262"/>
      <c r="AK76" s="262"/>
      <c r="AL76" s="262"/>
      <c r="AM76" s="262"/>
      <c r="AN76" s="262"/>
      <c r="AO76" s="262"/>
      <c r="AP76" s="262"/>
      <c r="AQ76" s="262"/>
      <c r="AR76" s="262"/>
      <c r="AS76" s="262"/>
      <c r="AT76" s="262"/>
      <c r="AU76" s="262"/>
      <c r="AV76" s="262"/>
      <c r="AW76" s="262"/>
      <c r="AX76" s="262"/>
      <c r="AY76" s="262"/>
      <c r="AZ76" s="262"/>
      <c r="BA76" s="262"/>
      <c r="BB76" s="262"/>
      <c r="BC76" s="262"/>
      <c r="BD76" s="262"/>
      <c r="BE76" s="262"/>
      <c r="BF76" s="262"/>
      <c r="BG76" s="262"/>
      <c r="BH76" s="262"/>
      <c r="BI76" s="262"/>
      <c r="BJ76" s="262"/>
      <c r="BK76" s="262"/>
      <c r="BL76" s="262"/>
      <c r="BM76" s="262"/>
      <c r="BN76" s="262"/>
      <c r="BO76" s="262"/>
      <c r="BP76" s="262"/>
      <c r="BQ76" s="262"/>
      <c r="BR76" s="262"/>
      <c r="BS76" s="262"/>
      <c r="BT76" s="262"/>
      <c r="BU76" s="262"/>
      <c r="BV76" s="262"/>
      <c r="BW76" s="263"/>
      <c r="BX76" s="263"/>
      <c r="BY76" s="263"/>
      <c r="BZ76" s="263"/>
      <c r="CA76" s="263"/>
      <c r="CB76" s="263"/>
      <c r="CC76" s="263"/>
      <c r="CD76" s="263"/>
      <c r="CE76" s="263"/>
      <c r="CF76" s="263"/>
      <c r="CG76" s="263"/>
      <c r="CH76" s="249">
        <f>+MAX($D$3,DATOS_[[#This Row],[Fecha Inicio Sit. Contract.]])</f>
        <v>45292</v>
      </c>
      <c r="CI76" s="249">
        <f>+MIN($D$4,DATOS_[[#This Row],[Fecha Fin Sit. Contract.]])</f>
        <v>45657</v>
      </c>
      <c r="CJ76" s="250">
        <f>+DATOS_[[#This Row],[% de jornada]]*IF(DATOS_[[#This Row],[% jornada reducida]]="",1,DATOS_[[#This Row],[% jornada reducida]])</f>
        <v>1</v>
      </c>
      <c r="CK76" s="250">
        <f>+(DATOS_[[#This Row],[F.fin.cal]]-DATOS_[[#This Row],[F.ini.cal]]+1)/($D$4-$D$3+1)</f>
        <v>1</v>
      </c>
      <c r="CL76" s="250" t="str">
        <f>IF(OR(AND(DATOS_[[#This Row],[Fecha Fin Contrato]]&lt;$D$3,DATOS_[[#This Row],[Fecha Fin Contrato]]&lt;&gt;""),DATOS_[[#This Row],[Fecha de Contratación]]&gt;$D$4),"Fuera","Dentro")</f>
        <v>Dentro</v>
      </c>
      <c r="CM76" s="250" t="str" cm="1">
        <f t="array" ref="CM76">IF(MAX(IF(DATOS_[id/cod]=DATOS_[[#This Row],[id/cod]],DATOS_[F.fin.cal]))=DATOS_[[#This Row],[F.fin.cal]],"Sí","NO")</f>
        <v>Sí</v>
      </c>
      <c r="CN76" s="250" t="str">
        <f>IF(AND(DATOS_[[#This Row],[% normaliz]]&lt;&gt;1,DATOS_[[#This Row],[% anualiz]]=1),"Sí","NO")</f>
        <v>NO</v>
      </c>
      <c r="CO76" s="250" t="str">
        <f>IF(AND(DATOS_[[#This Row],[% normaliz]]=1,DATOS_[[#This Row],[% anualiz]]&lt;&gt;1),"Sí","NO")</f>
        <v>NO</v>
      </c>
      <c r="CP76" s="250" t="str">
        <f>IF(AND(DATOS_[[#This Row],[% normaliz]]&lt;&gt;1,DATOS_[[#This Row],[% anualiz]]&lt;&gt;1),"Sí","NO")</f>
        <v>NO</v>
      </c>
      <c r="CQ76" s="250" t="str">
        <f>+IF(DATOS_[[#This Row],[% normaliz]]*DATOS_[[#This Row],[% anualiz]]=1,"NO","Sí")</f>
        <v>NO</v>
      </c>
      <c r="CR76" s="251">
        <f>(DATOS_[[#This Row],[S.BASE]]*(1/DATOS_[[#This Row],[% normaliz]])*(1/DATOS_[[#This Row],[% anualiz]]))*IF(DATOS_[[#This Row],[Check Equiparado]]="Sí",1,0)</f>
        <v>0</v>
      </c>
      <c r="CS76"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76" s="251">
        <f>+DATOS_[[#This Row],[SALARIO BASE Eq]]+DATOS_[[#This Row],[Tot COMPL.SAL Eq]]</f>
        <v>0</v>
      </c>
      <c r="CU76" s="251" cm="1">
        <f t="array" ref="CU76">(SUMPRODUCT((RngTipo=$CU$7)*(rngAnualizable="Sí")*(rngNormalizable="Sí")*(DATOS_[[#This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76" s="251">
        <f>+DATOS_[[#This Row],[TOTAL SALARIO Eq]]+DATOS_[[#This Row],[Tot Extrasalarial Eq]]</f>
        <v>0</v>
      </c>
      <c r="CW76" s="252">
        <f>DATOS_[[#This Row],[S.BASE]]</f>
        <v>0</v>
      </c>
      <c r="CX76" s="252">
        <f>+SUM(DATOS_[[#This Row],[Conc.Sal.01]:[Conc.Sal.30]])</f>
        <v>0</v>
      </c>
      <c r="CY76" s="252">
        <f>+DATOS_[[#This Row],[SALARIO BASE Ef]]+DATOS_[[#This Row],[Tot COMPL.SAL Ef]]</f>
        <v>0</v>
      </c>
      <c r="CZ76" s="252">
        <f>+SUM(DATOS_[[#This Row],[C.Extra.01]:[C.Extra.11]])</f>
        <v>0</v>
      </c>
      <c r="DA76" s="252">
        <f>+DATOS_[[#This Row],[TOTAL SALARIO Ef]]+DATOS_[[#This Row],[Tot Extrasalarial Ef]]</f>
        <v>0</v>
      </c>
      <c r="DB76" s="109">
        <f>MIN(IF(DATOS_[[#This Row],[Fecha Fin Contrato]]="",$D$4,DATOS_[[#This Row],[Fecha Fin Contrato]]),$D$4)-MAX(DATOS_[[#This Row],[Fecha de Contratación]],$D$3)+1</f>
        <v>366</v>
      </c>
      <c r="DC76" s="110" t="str">
        <f>IF(COUNTIFS(DATOS_[id/cod],DATOS_[[#This Row],[id/cod]])&gt;1,DATOS_[[#This Row],[id/cod]],"")</f>
        <v/>
      </c>
      <c r="DD76" s="108">
        <f>(Inicio!$G$10-DATOS_[[#This Row],[Fecha Nacimiento]])/365.25</f>
        <v>33.51403148528405</v>
      </c>
      <c r="DE76" s="108">
        <f>(Inicio!$G$10-DATOS_[[#This Row],[Fecha de Antigüedad]])/365.25</f>
        <v>4.6297056810403836</v>
      </c>
      <c r="DF76" s="108" t="str">
        <f>+VLOOKUP(DATOS_[[#This Row],[Clave de Contrato]],TblTiposContrato13[],3,FALSE)</f>
        <v>Completa</v>
      </c>
      <c r="DG76" s="108" t="str">
        <f>+VLOOKUP(DATOS_[[#This Row],[Clave de Contrato]],TblTiposContrato13[],4,FALSE)</f>
        <v>Indefinido</v>
      </c>
      <c r="DH76" s="108" t="str">
        <f>VLOOKUP(DATOS_[[#This Row],[Edad]],CONTRATOS!TblRngEdad,2,TRUE)</f>
        <v>30 a 35</v>
      </c>
      <c r="DI76" s="108" t="str">
        <f>VLOOKUP(DATOS_[[#This Row],[Antigüedad]],TblRngAntg14[],2,TRUE)</f>
        <v>3 a 5  años</v>
      </c>
    </row>
    <row r="77" spans="1:113" x14ac:dyDescent="0.25">
      <c r="A77" s="303" t="s">
        <v>466</v>
      </c>
      <c r="B77" s="265">
        <v>67</v>
      </c>
      <c r="C77" s="264" t="s">
        <v>356</v>
      </c>
      <c r="D77" s="243">
        <v>32730</v>
      </c>
      <c r="E77" s="243" t="s">
        <v>414</v>
      </c>
      <c r="F77" s="245"/>
      <c r="G77" s="245"/>
      <c r="H77" s="266">
        <v>44090</v>
      </c>
      <c r="I77" s="268"/>
      <c r="J77" s="260">
        <v>44090</v>
      </c>
      <c r="K77" s="267"/>
      <c r="L77" s="267"/>
      <c r="M77" s="244">
        <v>1</v>
      </c>
      <c r="N77" s="244"/>
      <c r="O77" s="244"/>
      <c r="P77" s="245">
        <v>100</v>
      </c>
      <c r="Q77" s="242" t="s">
        <v>391</v>
      </c>
      <c r="R77" s="242" t="s">
        <v>401</v>
      </c>
      <c r="S77" s="242" t="s">
        <v>391</v>
      </c>
      <c r="T77" s="242" t="s">
        <v>341</v>
      </c>
      <c r="U77" s="242" t="s">
        <v>342</v>
      </c>
      <c r="V77" s="242"/>
      <c r="W77" s="242"/>
      <c r="X77" s="246"/>
      <c r="Y77" s="271">
        <v>14000425011981</v>
      </c>
      <c r="Z77" s="247"/>
      <c r="AA77" s="279" t="s">
        <v>343</v>
      </c>
      <c r="AB77" s="248"/>
      <c r="AC77" s="245">
        <v>7</v>
      </c>
      <c r="AD77" s="261"/>
      <c r="AE77" s="262"/>
      <c r="AF77" s="262"/>
      <c r="AG77" s="262"/>
      <c r="AH77" s="262"/>
      <c r="AI77" s="262"/>
      <c r="AJ77" s="262"/>
      <c r="AK77" s="262"/>
      <c r="AL77" s="262"/>
      <c r="AM77" s="262"/>
      <c r="AN77" s="262"/>
      <c r="AO77" s="262"/>
      <c r="AP77" s="262"/>
      <c r="AQ77" s="262"/>
      <c r="AR77" s="262"/>
      <c r="AS77" s="262"/>
      <c r="AT77" s="262"/>
      <c r="AU77" s="262"/>
      <c r="AV77" s="262"/>
      <c r="AW77" s="262"/>
      <c r="AX77" s="262"/>
      <c r="AY77" s="262"/>
      <c r="AZ77" s="262"/>
      <c r="BA77" s="262"/>
      <c r="BB77" s="262"/>
      <c r="BC77" s="262"/>
      <c r="BD77" s="262"/>
      <c r="BE77" s="262"/>
      <c r="BF77" s="262"/>
      <c r="BG77" s="262"/>
      <c r="BH77" s="262"/>
      <c r="BI77" s="262"/>
      <c r="BJ77" s="262"/>
      <c r="BK77" s="262"/>
      <c r="BL77" s="262"/>
      <c r="BM77" s="262"/>
      <c r="BN77" s="262"/>
      <c r="BO77" s="262"/>
      <c r="BP77" s="262"/>
      <c r="BQ77" s="262"/>
      <c r="BR77" s="262"/>
      <c r="BS77" s="262"/>
      <c r="BT77" s="262"/>
      <c r="BU77" s="262"/>
      <c r="BV77" s="262"/>
      <c r="BW77" s="263"/>
      <c r="BX77" s="263"/>
      <c r="BY77" s="263"/>
      <c r="BZ77" s="263"/>
      <c r="CA77" s="263"/>
      <c r="CB77" s="263"/>
      <c r="CC77" s="263"/>
      <c r="CD77" s="263"/>
      <c r="CE77" s="263"/>
      <c r="CF77" s="263"/>
      <c r="CG77" s="263"/>
      <c r="CH77" s="249">
        <f>+MAX($D$3,DATOS_[[#This Row],[Fecha Inicio Sit. Contract.]])</f>
        <v>45292</v>
      </c>
      <c r="CI77" s="249">
        <f>+MIN($D$4,DATOS_[[#This Row],[Fecha Fin Sit. Contract.]])</f>
        <v>45657</v>
      </c>
      <c r="CJ77" s="250">
        <f>+DATOS_[[#This Row],[% de jornada]]*IF(DATOS_[[#This Row],[% jornada reducida]]="",1,DATOS_[[#This Row],[% jornada reducida]])</f>
        <v>1</v>
      </c>
      <c r="CK77" s="250">
        <f>+(DATOS_[[#This Row],[F.fin.cal]]-DATOS_[[#This Row],[F.ini.cal]]+1)/($D$4-$D$3+1)</f>
        <v>1</v>
      </c>
      <c r="CL77" s="250" t="str">
        <f>IF(OR(AND(DATOS_[[#This Row],[Fecha Fin Contrato]]&lt;$D$3,DATOS_[[#This Row],[Fecha Fin Contrato]]&lt;&gt;""),DATOS_[[#This Row],[Fecha de Contratación]]&gt;$D$4),"Fuera","Dentro")</f>
        <v>Dentro</v>
      </c>
      <c r="CM77" s="250" t="str" cm="1">
        <f t="array" ref="CM77">IF(MAX(IF(DATOS_[id/cod]=DATOS_[[#This Row],[id/cod]],DATOS_[F.fin.cal]))=DATOS_[[#This Row],[F.fin.cal]],"Sí","NO")</f>
        <v>Sí</v>
      </c>
      <c r="CN77" s="250" t="str">
        <f>IF(AND(DATOS_[[#This Row],[% normaliz]]&lt;&gt;1,DATOS_[[#This Row],[% anualiz]]=1),"Sí","NO")</f>
        <v>NO</v>
      </c>
      <c r="CO77" s="250" t="str">
        <f>IF(AND(DATOS_[[#This Row],[% normaliz]]=1,DATOS_[[#This Row],[% anualiz]]&lt;&gt;1),"Sí","NO")</f>
        <v>NO</v>
      </c>
      <c r="CP77" s="250" t="str">
        <f>IF(AND(DATOS_[[#This Row],[% normaliz]]&lt;&gt;1,DATOS_[[#This Row],[% anualiz]]&lt;&gt;1),"Sí","NO")</f>
        <v>NO</v>
      </c>
      <c r="CQ77" s="250" t="str">
        <f>+IF(DATOS_[[#This Row],[% normaliz]]*DATOS_[[#This Row],[% anualiz]]=1,"NO","Sí")</f>
        <v>NO</v>
      </c>
      <c r="CR77" s="251">
        <f>(DATOS_[[#This Row],[S.BASE]]*(1/DATOS_[[#This Row],[% normaliz]])*(1/DATOS_[[#This Row],[% anualiz]]))*IF(DATOS_[[#This Row],[Check Equiparado]]="Sí",1,0)</f>
        <v>0</v>
      </c>
      <c r="CS77"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77" s="251">
        <f>+DATOS_[[#This Row],[SALARIO BASE Eq]]+DATOS_[[#This Row],[Tot COMPL.SAL Eq]]</f>
        <v>0</v>
      </c>
      <c r="CU77" s="251" cm="1">
        <f t="array" ref="CU77">(SUMPRODUCT((RngTipo=$CU$7)*(rngAnualizable="Sí")*(rngNormalizable="Sí")*(DATOS_[[#This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77" s="251">
        <f>+DATOS_[[#This Row],[TOTAL SALARIO Eq]]+DATOS_[[#This Row],[Tot Extrasalarial Eq]]</f>
        <v>0</v>
      </c>
      <c r="CW77" s="252">
        <f>DATOS_[[#This Row],[S.BASE]]</f>
        <v>0</v>
      </c>
      <c r="CX77" s="252">
        <f>+SUM(DATOS_[[#This Row],[Conc.Sal.01]:[Conc.Sal.30]])</f>
        <v>0</v>
      </c>
      <c r="CY77" s="252">
        <f>+DATOS_[[#This Row],[SALARIO BASE Ef]]+DATOS_[[#This Row],[Tot COMPL.SAL Ef]]</f>
        <v>0</v>
      </c>
      <c r="CZ77" s="252">
        <f>+SUM(DATOS_[[#This Row],[C.Extra.01]:[C.Extra.11]])</f>
        <v>0</v>
      </c>
      <c r="DA77" s="252">
        <f>+DATOS_[[#This Row],[TOTAL SALARIO Ef]]+DATOS_[[#This Row],[Tot Extrasalarial Ef]]</f>
        <v>0</v>
      </c>
      <c r="DB77" s="109">
        <f>MIN(IF(DATOS_[[#This Row],[Fecha Fin Contrato]]="",$D$4,DATOS_[[#This Row],[Fecha Fin Contrato]]),$D$4)-MAX(DATOS_[[#This Row],[Fecha de Contratación]],$D$3)+1</f>
        <v>366</v>
      </c>
      <c r="DC77" s="110" t="str">
        <f>IF(COUNTIFS(DATOS_[id/cod],DATOS_[[#This Row],[id/cod]])&gt;1,DATOS_[[#This Row],[id/cod]],"")</f>
        <v/>
      </c>
      <c r="DD77" s="108">
        <f>(Inicio!$G$10-DATOS_[[#This Row],[Fecha Nacimiento]])/365.25</f>
        <v>35.392197125256672</v>
      </c>
      <c r="DE77" s="108">
        <f>(Inicio!$G$10-DATOS_[[#This Row],[Fecha de Antigüedad]])/365.25</f>
        <v>4.2902121834360027</v>
      </c>
      <c r="DF77" s="108" t="str">
        <f>+VLOOKUP(DATOS_[[#This Row],[Clave de Contrato]],TblTiposContrato13[],3,FALSE)</f>
        <v>Completa</v>
      </c>
      <c r="DG77" s="108" t="str">
        <f>+VLOOKUP(DATOS_[[#This Row],[Clave de Contrato]],TblTiposContrato13[],4,FALSE)</f>
        <v>Indefinido</v>
      </c>
      <c r="DH77" s="108" t="str">
        <f>VLOOKUP(DATOS_[[#This Row],[Edad]],CONTRATOS!TblRngEdad,2,TRUE)</f>
        <v>35 a 40</v>
      </c>
      <c r="DI77" s="108" t="str">
        <f>VLOOKUP(DATOS_[[#This Row],[Antigüedad]],TblRngAntg14[],2,TRUE)</f>
        <v>3 a 5  años</v>
      </c>
    </row>
    <row r="78" spans="1:113" x14ac:dyDescent="0.25">
      <c r="A78" s="303" t="s">
        <v>467</v>
      </c>
      <c r="B78" s="265">
        <v>68</v>
      </c>
      <c r="C78" s="264" t="s">
        <v>337</v>
      </c>
      <c r="D78" s="243">
        <v>33947</v>
      </c>
      <c r="E78" s="243" t="s">
        <v>351</v>
      </c>
      <c r="F78" s="245"/>
      <c r="G78" s="245"/>
      <c r="H78" s="266">
        <v>44260</v>
      </c>
      <c r="I78" s="268"/>
      <c r="J78" s="260">
        <v>11387</v>
      </c>
      <c r="K78" s="267"/>
      <c r="L78" s="267"/>
      <c r="M78" s="244">
        <v>1</v>
      </c>
      <c r="N78" s="244"/>
      <c r="O78" s="244"/>
      <c r="P78" s="245">
        <v>100</v>
      </c>
      <c r="Q78" s="242" t="s">
        <v>375</v>
      </c>
      <c r="R78" s="242" t="s">
        <v>375</v>
      </c>
      <c r="S78" s="242" t="s">
        <v>468</v>
      </c>
      <c r="T78" s="242" t="s">
        <v>341</v>
      </c>
      <c r="U78" s="242" t="s">
        <v>367</v>
      </c>
      <c r="V78" s="242"/>
      <c r="W78" s="242"/>
      <c r="X78" s="246"/>
      <c r="Y78" s="271">
        <v>14000425011981</v>
      </c>
      <c r="Z78" s="247"/>
      <c r="AA78" s="279" t="s">
        <v>343</v>
      </c>
      <c r="AB78" s="248"/>
      <c r="AC78" s="245">
        <v>7</v>
      </c>
      <c r="AD78" s="261"/>
      <c r="AE78" s="262"/>
      <c r="AF78" s="262"/>
      <c r="AG78" s="262"/>
      <c r="AH78" s="262"/>
      <c r="AI78" s="262"/>
      <c r="AJ78" s="262"/>
      <c r="AK78" s="262"/>
      <c r="AL78" s="262"/>
      <c r="AM78" s="262"/>
      <c r="AN78" s="262"/>
      <c r="AO78" s="262"/>
      <c r="AP78" s="262"/>
      <c r="AQ78" s="262"/>
      <c r="AR78" s="262"/>
      <c r="AS78" s="262"/>
      <c r="AT78" s="262"/>
      <c r="AU78" s="262"/>
      <c r="AV78" s="262"/>
      <c r="AW78" s="262"/>
      <c r="AX78" s="262"/>
      <c r="AY78" s="262"/>
      <c r="AZ78" s="262"/>
      <c r="BA78" s="262"/>
      <c r="BB78" s="262"/>
      <c r="BC78" s="262"/>
      <c r="BD78" s="262"/>
      <c r="BE78" s="262"/>
      <c r="BF78" s="262"/>
      <c r="BG78" s="262"/>
      <c r="BH78" s="262"/>
      <c r="BI78" s="262"/>
      <c r="BJ78" s="262"/>
      <c r="BK78" s="262"/>
      <c r="BL78" s="262"/>
      <c r="BM78" s="262"/>
      <c r="BN78" s="262"/>
      <c r="BO78" s="262"/>
      <c r="BP78" s="262"/>
      <c r="BQ78" s="262"/>
      <c r="BR78" s="262"/>
      <c r="BS78" s="262"/>
      <c r="BT78" s="262"/>
      <c r="BU78" s="262"/>
      <c r="BV78" s="262"/>
      <c r="BW78" s="263"/>
      <c r="BX78" s="263"/>
      <c r="BY78" s="263"/>
      <c r="BZ78" s="263"/>
      <c r="CA78" s="263"/>
      <c r="CB78" s="263"/>
      <c r="CC78" s="263"/>
      <c r="CD78" s="263"/>
      <c r="CE78" s="263"/>
      <c r="CF78" s="263"/>
      <c r="CG78" s="263"/>
      <c r="CH78" s="249">
        <f>+MAX($D$3,DATOS_[[#This Row],[Fecha Inicio Sit. Contract.]])</f>
        <v>45292</v>
      </c>
      <c r="CI78" s="249">
        <f>+MIN($D$4,DATOS_[[#This Row],[Fecha Fin Sit. Contract.]])</f>
        <v>45657</v>
      </c>
      <c r="CJ78" s="250">
        <f>+DATOS_[[#This Row],[% de jornada]]*IF(DATOS_[[#This Row],[% jornada reducida]]="",1,DATOS_[[#This Row],[% jornada reducida]])</f>
        <v>1</v>
      </c>
      <c r="CK78" s="250">
        <f>+(DATOS_[[#This Row],[F.fin.cal]]-DATOS_[[#This Row],[F.ini.cal]]+1)/($D$4-$D$3+1)</f>
        <v>1</v>
      </c>
      <c r="CL78" s="250" t="str">
        <f>IF(OR(AND(DATOS_[[#This Row],[Fecha Fin Contrato]]&lt;$D$3,DATOS_[[#This Row],[Fecha Fin Contrato]]&lt;&gt;""),DATOS_[[#This Row],[Fecha de Contratación]]&gt;$D$4),"Fuera","Dentro")</f>
        <v>Dentro</v>
      </c>
      <c r="CM78" s="250" t="str" cm="1">
        <f t="array" ref="CM78">IF(MAX(IF(DATOS_[id/cod]=DATOS_[[#This Row],[id/cod]],DATOS_[F.fin.cal]))=DATOS_[[#This Row],[F.fin.cal]],"Sí","NO")</f>
        <v>Sí</v>
      </c>
      <c r="CN78" s="250" t="str">
        <f>IF(AND(DATOS_[[#This Row],[% normaliz]]&lt;&gt;1,DATOS_[[#This Row],[% anualiz]]=1),"Sí","NO")</f>
        <v>NO</v>
      </c>
      <c r="CO78" s="250" t="str">
        <f>IF(AND(DATOS_[[#This Row],[% normaliz]]=1,DATOS_[[#This Row],[% anualiz]]&lt;&gt;1),"Sí","NO")</f>
        <v>NO</v>
      </c>
      <c r="CP78" s="250" t="str">
        <f>IF(AND(DATOS_[[#This Row],[% normaliz]]&lt;&gt;1,DATOS_[[#This Row],[% anualiz]]&lt;&gt;1),"Sí","NO")</f>
        <v>NO</v>
      </c>
      <c r="CQ78" s="250" t="str">
        <f>+IF(DATOS_[[#This Row],[% normaliz]]*DATOS_[[#This Row],[% anualiz]]=1,"NO","Sí")</f>
        <v>NO</v>
      </c>
      <c r="CR78" s="251">
        <f>(DATOS_[[#This Row],[S.BASE]]*(1/DATOS_[[#This Row],[% normaliz]])*(1/DATOS_[[#This Row],[% anualiz]]))*IF(DATOS_[[#This Row],[Check Equiparado]]="Sí",1,0)</f>
        <v>0</v>
      </c>
      <c r="CS78"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78" s="251">
        <f>+DATOS_[[#This Row],[SALARIO BASE Eq]]+DATOS_[[#This Row],[Tot COMPL.SAL Eq]]</f>
        <v>0</v>
      </c>
      <c r="CU78" s="251" cm="1">
        <f t="array" ref="CU78">(SUMPRODUCT((RngTipo=$CU$7)*(rngAnualizable="Sí")*(rngNormalizable="Sí")*(DATOS_[[#This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78" s="251">
        <f>+DATOS_[[#This Row],[TOTAL SALARIO Eq]]+DATOS_[[#This Row],[Tot Extrasalarial Eq]]</f>
        <v>0</v>
      </c>
      <c r="CW78" s="252">
        <f>DATOS_[[#This Row],[S.BASE]]</f>
        <v>0</v>
      </c>
      <c r="CX78" s="252">
        <f>+SUM(DATOS_[[#This Row],[Conc.Sal.01]:[Conc.Sal.30]])</f>
        <v>0</v>
      </c>
      <c r="CY78" s="252">
        <f>+DATOS_[[#This Row],[SALARIO BASE Ef]]+DATOS_[[#This Row],[Tot COMPL.SAL Ef]]</f>
        <v>0</v>
      </c>
      <c r="CZ78" s="252">
        <f>+SUM(DATOS_[[#This Row],[C.Extra.01]:[C.Extra.11]])</f>
        <v>0</v>
      </c>
      <c r="DA78" s="252">
        <f>+DATOS_[[#This Row],[TOTAL SALARIO Ef]]+DATOS_[[#This Row],[Tot Extrasalarial Ef]]</f>
        <v>0</v>
      </c>
      <c r="DB78" s="109">
        <f>MIN(IF(DATOS_[[#This Row],[Fecha Fin Contrato]]="",$D$4,DATOS_[[#This Row],[Fecha Fin Contrato]]),$D$4)-MAX(DATOS_[[#This Row],[Fecha de Contratación]],$D$3)+1</f>
        <v>366</v>
      </c>
      <c r="DC78" s="110" t="str">
        <f>IF(COUNTIFS(DATOS_[id/cod],DATOS_[[#This Row],[id/cod]])&gt;1,DATOS_[[#This Row],[id/cod]],"")</f>
        <v/>
      </c>
      <c r="DD78" s="108">
        <f>(Inicio!$G$10-DATOS_[[#This Row],[Fecha Nacimiento]])/365.25</f>
        <v>32.060232717316907</v>
      </c>
      <c r="DE78" s="108">
        <f>(Inicio!$G$10-DATOS_[[#This Row],[Fecha de Antigüedad]])/365.25</f>
        <v>93.826146475017111</v>
      </c>
      <c r="DF78" s="108" t="str">
        <f>+VLOOKUP(DATOS_[[#This Row],[Clave de Contrato]],TblTiposContrato13[],3,FALSE)</f>
        <v>Completa</v>
      </c>
      <c r="DG78" s="108" t="str">
        <f>+VLOOKUP(DATOS_[[#This Row],[Clave de Contrato]],TblTiposContrato13[],4,FALSE)</f>
        <v>Indefinido</v>
      </c>
      <c r="DH78" s="108" t="str">
        <f>VLOOKUP(DATOS_[[#This Row],[Edad]],CONTRATOS!TblRngEdad,2,TRUE)</f>
        <v>30 a 35</v>
      </c>
      <c r="DI78" s="108" t="str">
        <f>VLOOKUP(DATOS_[[#This Row],[Antigüedad]],TblRngAntg14[],2,TRUE)</f>
        <v>más de 15</v>
      </c>
    </row>
    <row r="79" spans="1:113" x14ac:dyDescent="0.25">
      <c r="A79" s="303" t="s">
        <v>469</v>
      </c>
      <c r="B79" s="265">
        <v>69</v>
      </c>
      <c r="C79" s="264" t="s">
        <v>356</v>
      </c>
      <c r="D79" s="243">
        <v>33628</v>
      </c>
      <c r="E79" s="243" t="s">
        <v>470</v>
      </c>
      <c r="F79" s="245"/>
      <c r="G79" s="245"/>
      <c r="H79" s="266">
        <v>44280</v>
      </c>
      <c r="I79" s="268"/>
      <c r="J79" s="260">
        <v>44280</v>
      </c>
      <c r="K79" s="267"/>
      <c r="L79" s="267"/>
      <c r="M79" s="244">
        <v>1</v>
      </c>
      <c r="N79" s="244"/>
      <c r="O79" s="244"/>
      <c r="P79" s="245">
        <v>189</v>
      </c>
      <c r="Q79" s="242" t="s">
        <v>357</v>
      </c>
      <c r="R79" s="242" t="s">
        <v>357</v>
      </c>
      <c r="S79" s="242" t="s">
        <v>471</v>
      </c>
      <c r="T79" s="242" t="s">
        <v>341</v>
      </c>
      <c r="U79" s="242" t="s">
        <v>367</v>
      </c>
      <c r="V79" s="242"/>
      <c r="W79" s="242" t="s">
        <v>188</v>
      </c>
      <c r="X79" s="246"/>
      <c r="Y79" s="271">
        <v>14000425011981</v>
      </c>
      <c r="Z79" s="247" t="s">
        <v>407</v>
      </c>
      <c r="AA79" s="279" t="s">
        <v>343</v>
      </c>
      <c r="AB79" s="248"/>
      <c r="AC79" s="245">
        <v>7</v>
      </c>
      <c r="AD79" s="261">
        <v>12771.91</v>
      </c>
      <c r="AE79" s="262">
        <v>153</v>
      </c>
      <c r="AF79" s="262">
        <v>37.119999999999997</v>
      </c>
      <c r="AG79" s="262">
        <v>894.88</v>
      </c>
      <c r="AH79" s="262">
        <v>707.46</v>
      </c>
      <c r="AI79" s="262">
        <v>458.1</v>
      </c>
      <c r="AJ79" s="262">
        <v>1781.26</v>
      </c>
      <c r="AK79" s="262">
        <v>720</v>
      </c>
      <c r="AL79" s="262">
        <v>150.71</v>
      </c>
      <c r="AM79" s="262">
        <v>836.1</v>
      </c>
      <c r="AN79" s="262">
        <v>0</v>
      </c>
      <c r="AO79" s="262">
        <v>0</v>
      </c>
      <c r="AP79" s="262">
        <v>0</v>
      </c>
      <c r="AQ79" s="262">
        <v>300</v>
      </c>
      <c r="AR79" s="262">
        <v>0</v>
      </c>
      <c r="AS79" s="262">
        <v>0</v>
      </c>
      <c r="AT79" s="262">
        <v>0</v>
      </c>
      <c r="AU79" s="262">
        <v>201.52</v>
      </c>
      <c r="AV79" s="262">
        <v>36.19</v>
      </c>
      <c r="AW79" s="262">
        <v>65</v>
      </c>
      <c r="AX79" s="262">
        <v>107.32</v>
      </c>
      <c r="AY79" s="262">
        <v>3591.05</v>
      </c>
      <c r="AZ79" s="262"/>
      <c r="BA79" s="262"/>
      <c r="BB79" s="262"/>
      <c r="BC79" s="262"/>
      <c r="BD79" s="262"/>
      <c r="BE79" s="262"/>
      <c r="BF79" s="262"/>
      <c r="BG79" s="262"/>
      <c r="BH79" s="262"/>
      <c r="BI79" s="262"/>
      <c r="BJ79" s="262"/>
      <c r="BK79" s="262"/>
      <c r="BL79" s="262"/>
      <c r="BM79" s="262"/>
      <c r="BN79" s="262"/>
      <c r="BO79" s="262"/>
      <c r="BP79" s="262"/>
      <c r="BQ79" s="262"/>
      <c r="BR79" s="262"/>
      <c r="BS79" s="262"/>
      <c r="BT79" s="262"/>
      <c r="BU79" s="262"/>
      <c r="BV79" s="262"/>
      <c r="BW79" s="263"/>
      <c r="BX79" s="263"/>
      <c r="BY79" s="263"/>
      <c r="BZ79" s="263"/>
      <c r="CA79" s="263"/>
      <c r="CB79" s="263"/>
      <c r="CC79" s="263"/>
      <c r="CD79" s="263"/>
      <c r="CE79" s="263"/>
      <c r="CF79" s="263"/>
      <c r="CG79" s="263"/>
      <c r="CH79" s="249">
        <f>+MAX($D$3,DATOS_[[#This Row],[Fecha Inicio Sit. Contract.]])</f>
        <v>45292</v>
      </c>
      <c r="CI79" s="249">
        <f>+MIN($D$4,DATOS_[[#This Row],[Fecha Fin Sit. Contract.]])</f>
        <v>45657</v>
      </c>
      <c r="CJ79" s="250">
        <f>+DATOS_[[#This Row],[% de jornada]]*IF(DATOS_[[#This Row],[% jornada reducida]]="",1,DATOS_[[#This Row],[% jornada reducida]])</f>
        <v>1</v>
      </c>
      <c r="CK79" s="250">
        <f>+(DATOS_[[#This Row],[F.fin.cal]]-DATOS_[[#This Row],[F.ini.cal]]+1)/($D$4-$D$3+1)</f>
        <v>1</v>
      </c>
      <c r="CL79" s="250" t="str">
        <f>IF(OR(AND(DATOS_[[#This Row],[Fecha Fin Contrato]]&lt;$D$3,DATOS_[[#This Row],[Fecha Fin Contrato]]&lt;&gt;""),DATOS_[[#This Row],[Fecha de Contratación]]&gt;$D$4),"Fuera","Dentro")</f>
        <v>Dentro</v>
      </c>
      <c r="CM79" s="250" t="str" cm="1">
        <f t="array" ref="CM79">IF(MAX(IF(DATOS_[id/cod]=DATOS_[[#This Row],[id/cod]],DATOS_[F.fin.cal]))=DATOS_[[#This Row],[F.fin.cal]],"Sí","NO")</f>
        <v>Sí</v>
      </c>
      <c r="CN79" s="250" t="str">
        <f>IF(AND(DATOS_[[#This Row],[% normaliz]]&lt;&gt;1,DATOS_[[#This Row],[% anualiz]]=1),"Sí","NO")</f>
        <v>NO</v>
      </c>
      <c r="CO79" s="250" t="str">
        <f>IF(AND(DATOS_[[#This Row],[% normaliz]]=1,DATOS_[[#This Row],[% anualiz]]&lt;&gt;1),"Sí","NO")</f>
        <v>NO</v>
      </c>
      <c r="CP79" s="250" t="str">
        <f>IF(AND(DATOS_[[#This Row],[% normaliz]]&lt;&gt;1,DATOS_[[#This Row],[% anualiz]]&lt;&gt;1),"Sí","NO")</f>
        <v>NO</v>
      </c>
      <c r="CQ79" s="250" t="str">
        <f>+IF(DATOS_[[#This Row],[% normaliz]]*DATOS_[[#This Row],[% anualiz]]=1,"NO","Sí")</f>
        <v>NO</v>
      </c>
      <c r="CR79" s="251">
        <f>(DATOS_[[#This Row],[S.BASE]]*(1/DATOS_[[#This Row],[% normaliz]])*(1/DATOS_[[#This Row],[% anualiz]]))*IF(DATOS_[[#This Row],[Check Equiparado]]="Sí",1,0)</f>
        <v>12771.91</v>
      </c>
      <c r="CS79"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10003.52</v>
      </c>
      <c r="CT79" s="251">
        <f>+DATOS_[[#This Row],[SALARIO BASE Eq]]+DATOS_[[#This Row],[Tot COMPL.SAL Eq]]</f>
        <v>22775.43</v>
      </c>
      <c r="CU79" s="251" cm="1">
        <f t="array" ref="CU79">(SUMPRODUCT((RngTipo=$CU$7)*(rngAnualizable="Sí")*(rngNormalizable="Sí")*(DATOS_[[#This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36.19</v>
      </c>
      <c r="CV79" s="251">
        <f>+DATOS_[[#This Row],[TOTAL SALARIO Eq]]+DATOS_[[#This Row],[Tot Extrasalarial Eq]]</f>
        <v>22811.62</v>
      </c>
      <c r="CW79" s="252">
        <f>DATOS_[[#This Row],[S.BASE]]</f>
        <v>12771.91</v>
      </c>
      <c r="CX79" s="252">
        <f>+SUM(DATOS_[[#This Row],[Conc.Sal.01]:[Conc.Sal.30]])</f>
        <v>10039.709999999999</v>
      </c>
      <c r="CY79" s="252">
        <f>+DATOS_[[#This Row],[SALARIO BASE Ef]]+DATOS_[[#This Row],[Tot COMPL.SAL Ef]]</f>
        <v>22811.62</v>
      </c>
      <c r="CZ79" s="252">
        <f>+SUM(DATOS_[[#This Row],[C.Extra.01]:[C.Extra.11]])</f>
        <v>0</v>
      </c>
      <c r="DA79" s="252">
        <f>+DATOS_[[#This Row],[TOTAL SALARIO Ef]]+DATOS_[[#This Row],[Tot Extrasalarial Ef]]</f>
        <v>22811.62</v>
      </c>
      <c r="DB79" s="109">
        <f>MIN(IF(DATOS_[[#This Row],[Fecha Fin Contrato]]="",$D$4,DATOS_[[#This Row],[Fecha Fin Contrato]]),$D$4)-MAX(DATOS_[[#This Row],[Fecha de Contratación]],$D$3)+1</f>
        <v>366</v>
      </c>
      <c r="DC79" s="110" t="str">
        <f>IF(COUNTIFS(DATOS_[id/cod],DATOS_[[#This Row],[id/cod]])&gt;1,DATOS_[[#This Row],[id/cod]],"")</f>
        <v/>
      </c>
      <c r="DD79" s="108">
        <f>(Inicio!$G$10-DATOS_[[#This Row],[Fecha Nacimiento]])/365.25</f>
        <v>32.933607118412048</v>
      </c>
      <c r="DE79" s="108">
        <f>(Inicio!$G$10-DATOS_[[#This Row],[Fecha de Antigüedad]])/365.25</f>
        <v>3.7700205338809036</v>
      </c>
      <c r="DF79" s="108" t="str">
        <f>+VLOOKUP(DATOS_[[#This Row],[Clave de Contrato]],TblTiposContrato13[],3,FALSE)</f>
        <v>Completa</v>
      </c>
      <c r="DG79" s="108" t="str">
        <f>+VLOOKUP(DATOS_[[#This Row],[Clave de Contrato]],TblTiposContrato13[],4,FALSE)</f>
        <v>Indefinido</v>
      </c>
      <c r="DH79" s="108" t="str">
        <f>VLOOKUP(DATOS_[[#This Row],[Edad]],CONTRATOS!TblRngEdad,2,TRUE)</f>
        <v>30 a 35</v>
      </c>
      <c r="DI79" s="108" t="str">
        <f>VLOOKUP(DATOS_[[#This Row],[Antigüedad]],TblRngAntg14[],2,TRUE)</f>
        <v>3 a 5  años</v>
      </c>
    </row>
    <row r="80" spans="1:113" x14ac:dyDescent="0.25">
      <c r="A80" s="303" t="s">
        <v>472</v>
      </c>
      <c r="B80" s="265">
        <v>70</v>
      </c>
      <c r="C80" s="264" t="s">
        <v>337</v>
      </c>
      <c r="D80" s="243">
        <v>32730</v>
      </c>
      <c r="E80" s="243" t="s">
        <v>373</v>
      </c>
      <c r="F80" s="245"/>
      <c r="G80" s="245"/>
      <c r="H80" s="266">
        <v>44334</v>
      </c>
      <c r="I80" s="268"/>
      <c r="J80" s="260">
        <v>44334</v>
      </c>
      <c r="K80" s="267"/>
      <c r="L80" s="267"/>
      <c r="M80" s="244">
        <v>1</v>
      </c>
      <c r="N80" s="244"/>
      <c r="O80" s="244"/>
      <c r="P80" s="245">
        <v>100</v>
      </c>
      <c r="Q80" s="242" t="s">
        <v>339</v>
      </c>
      <c r="R80" s="242" t="s">
        <v>339</v>
      </c>
      <c r="S80" s="242" t="s">
        <v>340</v>
      </c>
      <c r="T80" s="242" t="s">
        <v>341</v>
      </c>
      <c r="U80" s="242" t="s">
        <v>342</v>
      </c>
      <c r="V80" s="242"/>
      <c r="W80" s="242" t="s">
        <v>188</v>
      </c>
      <c r="X80" s="246"/>
      <c r="Y80" s="271">
        <v>14000425011981</v>
      </c>
      <c r="Z80" s="247" t="s">
        <v>405</v>
      </c>
      <c r="AA80" s="279" t="s">
        <v>343</v>
      </c>
      <c r="AB80" s="248"/>
      <c r="AC80" s="245">
        <v>7</v>
      </c>
      <c r="AD80" s="261">
        <v>10458.94</v>
      </c>
      <c r="AE80" s="262">
        <v>0</v>
      </c>
      <c r="AF80" s="262">
        <v>33.81</v>
      </c>
      <c r="AG80" s="262">
        <v>1091.55</v>
      </c>
      <c r="AH80" s="262">
        <v>646.03</v>
      </c>
      <c r="AI80" s="262">
        <v>126</v>
      </c>
      <c r="AJ80" s="262">
        <v>1361.84</v>
      </c>
      <c r="AK80" s="262">
        <v>0</v>
      </c>
      <c r="AL80" s="262">
        <v>0</v>
      </c>
      <c r="AM80" s="262">
        <v>130.88</v>
      </c>
      <c r="AN80" s="262">
        <v>414.1</v>
      </c>
      <c r="AO80" s="262">
        <v>763.5</v>
      </c>
      <c r="AP80" s="262">
        <v>0</v>
      </c>
      <c r="AQ80" s="262">
        <v>608.6</v>
      </c>
      <c r="AR80" s="262">
        <v>608.6</v>
      </c>
      <c r="AS80" s="262">
        <v>0</v>
      </c>
      <c r="AT80" s="262">
        <v>2917.27</v>
      </c>
      <c r="AU80" s="262">
        <v>430.14</v>
      </c>
      <c r="AV80" s="262">
        <v>410.16</v>
      </c>
      <c r="AW80" s="262">
        <v>726.39</v>
      </c>
      <c r="AX80" s="262">
        <v>238.06</v>
      </c>
      <c r="AY80" s="262">
        <v>0</v>
      </c>
      <c r="AZ80" s="262">
        <v>0</v>
      </c>
      <c r="BA80" s="262">
        <v>65</v>
      </c>
      <c r="BB80" s="262"/>
      <c r="BC80" s="262"/>
      <c r="BD80" s="262"/>
      <c r="BE80" s="262"/>
      <c r="BF80" s="262"/>
      <c r="BG80" s="262"/>
      <c r="BH80" s="262"/>
      <c r="BI80" s="262"/>
      <c r="BJ80" s="262"/>
      <c r="BK80" s="262"/>
      <c r="BL80" s="262"/>
      <c r="BM80" s="262"/>
      <c r="BN80" s="262"/>
      <c r="BO80" s="262"/>
      <c r="BP80" s="262"/>
      <c r="BQ80" s="262"/>
      <c r="BR80" s="262"/>
      <c r="BS80" s="262"/>
      <c r="BT80" s="262"/>
      <c r="BU80" s="262"/>
      <c r="BV80" s="262"/>
      <c r="BW80" s="263"/>
      <c r="BX80" s="263"/>
      <c r="BY80" s="263"/>
      <c r="BZ80" s="263"/>
      <c r="CA80" s="263"/>
      <c r="CB80" s="263"/>
      <c r="CC80" s="263"/>
      <c r="CD80" s="263"/>
      <c r="CE80" s="263"/>
      <c r="CF80" s="263"/>
      <c r="CG80" s="263"/>
      <c r="CH80" s="249">
        <f>+MAX($D$3,DATOS_[[#This Row],[Fecha Inicio Sit. Contract.]])</f>
        <v>45292</v>
      </c>
      <c r="CI80" s="249">
        <f>+MIN($D$4,DATOS_[[#This Row],[Fecha Fin Sit. Contract.]])</f>
        <v>45657</v>
      </c>
      <c r="CJ80" s="250">
        <f>+DATOS_[[#This Row],[% de jornada]]*IF(DATOS_[[#This Row],[% jornada reducida]]="",1,DATOS_[[#This Row],[% jornada reducida]])</f>
        <v>1</v>
      </c>
      <c r="CK80" s="250">
        <f>+(DATOS_[[#This Row],[F.fin.cal]]-DATOS_[[#This Row],[F.ini.cal]]+1)/($D$4-$D$3+1)</f>
        <v>1</v>
      </c>
      <c r="CL80" s="250" t="str">
        <f>IF(OR(AND(DATOS_[[#This Row],[Fecha Fin Contrato]]&lt;$D$3,DATOS_[[#This Row],[Fecha Fin Contrato]]&lt;&gt;""),DATOS_[[#This Row],[Fecha de Contratación]]&gt;$D$4),"Fuera","Dentro")</f>
        <v>Dentro</v>
      </c>
      <c r="CM80" s="250" t="str" cm="1">
        <f t="array" ref="CM80">IF(MAX(IF(DATOS_[id/cod]=DATOS_[[#This Row],[id/cod]],DATOS_[F.fin.cal]))=DATOS_[[#This Row],[F.fin.cal]],"Sí","NO")</f>
        <v>Sí</v>
      </c>
      <c r="CN80" s="250" t="str">
        <f>IF(AND(DATOS_[[#This Row],[% normaliz]]&lt;&gt;1,DATOS_[[#This Row],[% anualiz]]=1),"Sí","NO")</f>
        <v>NO</v>
      </c>
      <c r="CO80" s="250" t="str">
        <f>IF(AND(DATOS_[[#This Row],[% normaliz]]=1,DATOS_[[#This Row],[% anualiz]]&lt;&gt;1),"Sí","NO")</f>
        <v>NO</v>
      </c>
      <c r="CP80" s="250" t="str">
        <f>IF(AND(DATOS_[[#This Row],[% normaliz]]&lt;&gt;1,DATOS_[[#This Row],[% anualiz]]&lt;&gt;1),"Sí","NO")</f>
        <v>NO</v>
      </c>
      <c r="CQ80" s="250" t="str">
        <f>+IF(DATOS_[[#This Row],[% normaliz]]*DATOS_[[#This Row],[% anualiz]]=1,"NO","Sí")</f>
        <v>NO</v>
      </c>
      <c r="CR80" s="251">
        <f>(DATOS_[[#This Row],[S.BASE]]*(1/DATOS_[[#This Row],[% normaliz]])*(1/DATOS_[[#This Row],[% anualiz]]))*IF(DATOS_[[#This Row],[Check Equiparado]]="Sí",1,0)</f>
        <v>10458.94</v>
      </c>
      <c r="CS80"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7179.5000000000009</v>
      </c>
      <c r="CT80" s="251">
        <f>+DATOS_[[#This Row],[SALARIO BASE Eq]]+DATOS_[[#This Row],[Tot COMPL.SAL Eq]]</f>
        <v>17638.440000000002</v>
      </c>
      <c r="CU80" s="251" cm="1">
        <f t="array" ref="CU80">(SUMPRODUCT((RngTipo=$CU$7)*(rngAnualizable="Sí")*(rngNormalizable="Sí")*(DATOS_[[#This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3327.43</v>
      </c>
      <c r="CV80" s="251">
        <f>+DATOS_[[#This Row],[TOTAL SALARIO Eq]]+DATOS_[[#This Row],[Tot Extrasalarial Eq]]</f>
        <v>20965.870000000003</v>
      </c>
      <c r="CW80" s="252">
        <f>DATOS_[[#This Row],[S.BASE]]</f>
        <v>10458.94</v>
      </c>
      <c r="CX80" s="252">
        <f>+SUM(DATOS_[[#This Row],[Conc.Sal.01]:[Conc.Sal.30]])</f>
        <v>10571.929999999998</v>
      </c>
      <c r="CY80" s="252">
        <f>+DATOS_[[#This Row],[SALARIO BASE Ef]]+DATOS_[[#This Row],[Tot COMPL.SAL Ef]]</f>
        <v>21030.87</v>
      </c>
      <c r="CZ80" s="252">
        <f>+SUM(DATOS_[[#This Row],[C.Extra.01]:[C.Extra.11]])</f>
        <v>0</v>
      </c>
      <c r="DA80" s="252">
        <f>+DATOS_[[#This Row],[TOTAL SALARIO Ef]]+DATOS_[[#This Row],[Tot Extrasalarial Ef]]</f>
        <v>21030.87</v>
      </c>
      <c r="DB80" s="109">
        <f>MIN(IF(DATOS_[[#This Row],[Fecha Fin Contrato]]="",$D$4,DATOS_[[#This Row],[Fecha Fin Contrato]]),$D$4)-MAX(DATOS_[[#This Row],[Fecha de Contratación]],$D$3)+1</f>
        <v>366</v>
      </c>
      <c r="DC80" s="110" t="str">
        <f>IF(COUNTIFS(DATOS_[id/cod],DATOS_[[#This Row],[id/cod]])&gt;1,DATOS_[[#This Row],[id/cod]],"")</f>
        <v/>
      </c>
      <c r="DD80" s="108">
        <f>(Inicio!$G$10-DATOS_[[#This Row],[Fecha Nacimiento]])/365.25</f>
        <v>35.392197125256672</v>
      </c>
      <c r="DE80" s="108">
        <f>(Inicio!$G$10-DATOS_[[#This Row],[Fecha de Antigüedad]])/365.25</f>
        <v>3.6221765913757702</v>
      </c>
      <c r="DF80" s="108" t="str">
        <f>+VLOOKUP(DATOS_[[#This Row],[Clave de Contrato]],TblTiposContrato13[],3,FALSE)</f>
        <v>Completa</v>
      </c>
      <c r="DG80" s="108" t="str">
        <f>+VLOOKUP(DATOS_[[#This Row],[Clave de Contrato]],TblTiposContrato13[],4,FALSE)</f>
        <v>Indefinido</v>
      </c>
      <c r="DH80" s="108" t="str">
        <f>VLOOKUP(DATOS_[[#This Row],[Edad]],CONTRATOS!TblRngEdad,2,TRUE)</f>
        <v>35 a 40</v>
      </c>
      <c r="DI80" s="108" t="str">
        <f>VLOOKUP(DATOS_[[#This Row],[Antigüedad]],TblRngAntg14[],2,TRUE)</f>
        <v>3 a 5  años</v>
      </c>
    </row>
    <row r="81" spans="1:113" x14ac:dyDescent="0.25">
      <c r="A81" s="303" t="s">
        <v>473</v>
      </c>
      <c r="B81" s="265">
        <v>71</v>
      </c>
      <c r="C81" s="264" t="s">
        <v>337</v>
      </c>
      <c r="D81" s="243">
        <v>33182</v>
      </c>
      <c r="E81" s="243" t="s">
        <v>474</v>
      </c>
      <c r="F81" s="245"/>
      <c r="G81" s="245"/>
      <c r="H81" s="266">
        <v>44669</v>
      </c>
      <c r="I81" s="268"/>
      <c r="J81" s="260">
        <v>44375</v>
      </c>
      <c r="K81" s="267"/>
      <c r="L81" s="267"/>
      <c r="M81" s="244">
        <v>1</v>
      </c>
      <c r="N81" s="244"/>
      <c r="O81" s="244"/>
      <c r="P81" s="245">
        <v>100</v>
      </c>
      <c r="Q81" s="242" t="s">
        <v>339</v>
      </c>
      <c r="R81" s="242" t="s">
        <v>339</v>
      </c>
      <c r="S81" s="242" t="s">
        <v>340</v>
      </c>
      <c r="T81" s="242" t="s">
        <v>341</v>
      </c>
      <c r="U81" s="242" t="s">
        <v>342</v>
      </c>
      <c r="V81" s="242"/>
      <c r="W81" s="242"/>
      <c r="X81" s="246"/>
      <c r="Y81" s="271">
        <v>14000425011981</v>
      </c>
      <c r="Z81" s="247"/>
      <c r="AA81" s="279" t="s">
        <v>343</v>
      </c>
      <c r="AB81" s="248"/>
      <c r="AC81" s="245">
        <v>7</v>
      </c>
      <c r="AD81" s="261"/>
      <c r="AE81" s="262"/>
      <c r="AF81" s="262"/>
      <c r="AG81" s="262"/>
      <c r="AH81" s="262"/>
      <c r="AI81" s="262"/>
      <c r="AJ81" s="262"/>
      <c r="AK81" s="262"/>
      <c r="AL81" s="262"/>
      <c r="AM81" s="262"/>
      <c r="AN81" s="262"/>
      <c r="AO81" s="262"/>
      <c r="AP81" s="262"/>
      <c r="AQ81" s="262"/>
      <c r="AR81" s="262"/>
      <c r="AS81" s="262"/>
      <c r="AT81" s="262"/>
      <c r="AU81" s="262"/>
      <c r="AV81" s="262"/>
      <c r="AW81" s="262"/>
      <c r="AX81" s="262"/>
      <c r="AY81" s="262"/>
      <c r="AZ81" s="262"/>
      <c r="BA81" s="262"/>
      <c r="BB81" s="262"/>
      <c r="BC81" s="262"/>
      <c r="BD81" s="262"/>
      <c r="BE81" s="262"/>
      <c r="BF81" s="262"/>
      <c r="BG81" s="262"/>
      <c r="BH81" s="262"/>
      <c r="BI81" s="262"/>
      <c r="BJ81" s="262"/>
      <c r="BK81" s="262"/>
      <c r="BL81" s="262"/>
      <c r="BM81" s="262"/>
      <c r="BN81" s="262"/>
      <c r="BO81" s="262"/>
      <c r="BP81" s="262"/>
      <c r="BQ81" s="262"/>
      <c r="BR81" s="262"/>
      <c r="BS81" s="262"/>
      <c r="BT81" s="262"/>
      <c r="BU81" s="262"/>
      <c r="BV81" s="262"/>
      <c r="BW81" s="263"/>
      <c r="BX81" s="263"/>
      <c r="BY81" s="263"/>
      <c r="BZ81" s="263"/>
      <c r="CA81" s="263"/>
      <c r="CB81" s="263"/>
      <c r="CC81" s="263"/>
      <c r="CD81" s="263"/>
      <c r="CE81" s="263"/>
      <c r="CF81" s="263"/>
      <c r="CG81" s="263"/>
      <c r="CH81" s="249">
        <f>+MAX($D$3,DATOS_[[#This Row],[Fecha Inicio Sit. Contract.]])</f>
        <v>45292</v>
      </c>
      <c r="CI81" s="249">
        <f>+MIN($D$4,DATOS_[[#This Row],[Fecha Fin Sit. Contract.]])</f>
        <v>45657</v>
      </c>
      <c r="CJ81" s="250">
        <f>+DATOS_[[#This Row],[% de jornada]]*IF(DATOS_[[#This Row],[% jornada reducida]]="",1,DATOS_[[#This Row],[% jornada reducida]])</f>
        <v>1</v>
      </c>
      <c r="CK81" s="250">
        <f>+(DATOS_[[#This Row],[F.fin.cal]]-DATOS_[[#This Row],[F.ini.cal]]+1)/($D$4-$D$3+1)</f>
        <v>1</v>
      </c>
      <c r="CL81" s="250" t="str">
        <f>IF(OR(AND(DATOS_[[#This Row],[Fecha Fin Contrato]]&lt;$D$3,DATOS_[[#This Row],[Fecha Fin Contrato]]&lt;&gt;""),DATOS_[[#This Row],[Fecha de Contratación]]&gt;$D$4),"Fuera","Dentro")</f>
        <v>Dentro</v>
      </c>
      <c r="CM81" s="250" t="str" cm="1">
        <f t="array" ref="CM81">IF(MAX(IF(DATOS_[id/cod]=DATOS_[[#This Row],[id/cod]],DATOS_[F.fin.cal]))=DATOS_[[#This Row],[F.fin.cal]],"Sí","NO")</f>
        <v>Sí</v>
      </c>
      <c r="CN81" s="250" t="str">
        <f>IF(AND(DATOS_[[#This Row],[% normaliz]]&lt;&gt;1,DATOS_[[#This Row],[% anualiz]]=1),"Sí","NO")</f>
        <v>NO</v>
      </c>
      <c r="CO81" s="250" t="str">
        <f>IF(AND(DATOS_[[#This Row],[% normaliz]]=1,DATOS_[[#This Row],[% anualiz]]&lt;&gt;1),"Sí","NO")</f>
        <v>NO</v>
      </c>
      <c r="CP81" s="250" t="str">
        <f>IF(AND(DATOS_[[#This Row],[% normaliz]]&lt;&gt;1,DATOS_[[#This Row],[% anualiz]]&lt;&gt;1),"Sí","NO")</f>
        <v>NO</v>
      </c>
      <c r="CQ81" s="250" t="str">
        <f>+IF(DATOS_[[#This Row],[% normaliz]]*DATOS_[[#This Row],[% anualiz]]=1,"NO","Sí")</f>
        <v>NO</v>
      </c>
      <c r="CR81" s="251">
        <f>(DATOS_[[#This Row],[S.BASE]]*(1/DATOS_[[#This Row],[% normaliz]])*(1/DATOS_[[#This Row],[% anualiz]]))*IF(DATOS_[[#This Row],[Check Equiparado]]="Sí",1,0)</f>
        <v>0</v>
      </c>
      <c r="CS81"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81" s="251">
        <f>+DATOS_[[#This Row],[SALARIO BASE Eq]]+DATOS_[[#This Row],[Tot COMPL.SAL Eq]]</f>
        <v>0</v>
      </c>
      <c r="CU81" s="251" cm="1">
        <f t="array" ref="CU81">(SUMPRODUCT((RngTipo=$CU$7)*(rngAnualizable="Sí")*(rngNormalizable="Sí")*(DATOS_[[#This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81" s="251">
        <f>+DATOS_[[#This Row],[TOTAL SALARIO Eq]]+DATOS_[[#This Row],[Tot Extrasalarial Eq]]</f>
        <v>0</v>
      </c>
      <c r="CW81" s="252">
        <f>DATOS_[[#This Row],[S.BASE]]</f>
        <v>0</v>
      </c>
      <c r="CX81" s="252">
        <f>+SUM(DATOS_[[#This Row],[Conc.Sal.01]:[Conc.Sal.30]])</f>
        <v>0</v>
      </c>
      <c r="CY81" s="252">
        <f>+DATOS_[[#This Row],[SALARIO BASE Ef]]+DATOS_[[#This Row],[Tot COMPL.SAL Ef]]</f>
        <v>0</v>
      </c>
      <c r="CZ81" s="252">
        <f>+SUM(DATOS_[[#This Row],[C.Extra.01]:[C.Extra.11]])</f>
        <v>0</v>
      </c>
      <c r="DA81" s="252">
        <f>+DATOS_[[#This Row],[TOTAL SALARIO Ef]]+DATOS_[[#This Row],[Tot Extrasalarial Ef]]</f>
        <v>0</v>
      </c>
      <c r="DB81" s="109">
        <f>MIN(IF(DATOS_[[#This Row],[Fecha Fin Contrato]]="",$D$4,DATOS_[[#This Row],[Fecha Fin Contrato]]),$D$4)-MAX(DATOS_[[#This Row],[Fecha de Contratación]],$D$3)+1</f>
        <v>366</v>
      </c>
      <c r="DC81" s="110" t="str">
        <f>IF(COUNTIFS(DATOS_[id/cod],DATOS_[[#This Row],[id/cod]])&gt;1,DATOS_[[#This Row],[id/cod]],"")</f>
        <v/>
      </c>
      <c r="DD81" s="108">
        <f>(Inicio!$G$10-DATOS_[[#This Row],[Fecha Nacimiento]])/365.25</f>
        <v>34.154688569472967</v>
      </c>
      <c r="DE81" s="108">
        <f>(Inicio!$G$10-DATOS_[[#This Row],[Fecha de Antigüedad]])/365.25</f>
        <v>3.5099247091033541</v>
      </c>
      <c r="DF81" s="108" t="str">
        <f>+VLOOKUP(DATOS_[[#This Row],[Clave de Contrato]],TblTiposContrato13[],3,FALSE)</f>
        <v>Completa</v>
      </c>
      <c r="DG81" s="108" t="str">
        <f>+VLOOKUP(DATOS_[[#This Row],[Clave de Contrato]],TblTiposContrato13[],4,FALSE)</f>
        <v>Indefinido</v>
      </c>
      <c r="DH81" s="108" t="str">
        <f>VLOOKUP(DATOS_[[#This Row],[Edad]],CONTRATOS!TblRngEdad,2,TRUE)</f>
        <v>30 a 35</v>
      </c>
      <c r="DI81" s="108" t="str">
        <f>VLOOKUP(DATOS_[[#This Row],[Antigüedad]],TblRngAntg14[],2,TRUE)</f>
        <v>3 a 5  años</v>
      </c>
    </row>
    <row r="82" spans="1:113" x14ac:dyDescent="0.25">
      <c r="A82" s="303" t="s">
        <v>475</v>
      </c>
      <c r="B82" s="265">
        <v>72</v>
      </c>
      <c r="C82" s="264" t="s">
        <v>356</v>
      </c>
      <c r="D82" s="243">
        <v>30048</v>
      </c>
      <c r="E82" s="243" t="s">
        <v>373</v>
      </c>
      <c r="F82" s="245"/>
      <c r="G82" s="245"/>
      <c r="H82" s="266">
        <v>44461</v>
      </c>
      <c r="I82" s="268"/>
      <c r="J82" s="260">
        <v>44461</v>
      </c>
      <c r="K82" s="267"/>
      <c r="L82" s="267"/>
      <c r="M82" s="244">
        <v>1</v>
      </c>
      <c r="N82" s="244"/>
      <c r="O82" s="244"/>
      <c r="P82" s="245">
        <v>100</v>
      </c>
      <c r="Q82" s="242" t="s">
        <v>379</v>
      </c>
      <c r="R82" s="242" t="s">
        <v>379</v>
      </c>
      <c r="S82" s="242" t="s">
        <v>385</v>
      </c>
      <c r="T82" s="242" t="s">
        <v>341</v>
      </c>
      <c r="U82" s="242" t="s">
        <v>367</v>
      </c>
      <c r="V82" s="242"/>
      <c r="W82" s="242"/>
      <c r="X82" s="246"/>
      <c r="Y82" s="271">
        <v>14000425011981</v>
      </c>
      <c r="Z82" s="247"/>
      <c r="AA82" s="279" t="s">
        <v>343</v>
      </c>
      <c r="AB82" s="248"/>
      <c r="AC82" s="245"/>
      <c r="AD82" s="261"/>
      <c r="AE82" s="262"/>
      <c r="AF82" s="262"/>
      <c r="AG82" s="262"/>
      <c r="AH82" s="262"/>
      <c r="AI82" s="262"/>
      <c r="AJ82" s="262"/>
      <c r="AK82" s="262"/>
      <c r="AL82" s="262"/>
      <c r="AM82" s="262"/>
      <c r="AN82" s="262"/>
      <c r="AO82" s="262"/>
      <c r="AP82" s="262"/>
      <c r="AQ82" s="262"/>
      <c r="AR82" s="262"/>
      <c r="AS82" s="262"/>
      <c r="AT82" s="262"/>
      <c r="AU82" s="262"/>
      <c r="AV82" s="262"/>
      <c r="AW82" s="262"/>
      <c r="AX82" s="262"/>
      <c r="AY82" s="262"/>
      <c r="AZ82" s="262"/>
      <c r="BA82" s="262"/>
      <c r="BB82" s="262"/>
      <c r="BC82" s="262"/>
      <c r="BD82" s="262"/>
      <c r="BE82" s="262"/>
      <c r="BF82" s="262"/>
      <c r="BG82" s="262"/>
      <c r="BH82" s="262"/>
      <c r="BI82" s="262"/>
      <c r="BJ82" s="262"/>
      <c r="BK82" s="262"/>
      <c r="BL82" s="262"/>
      <c r="BM82" s="262"/>
      <c r="BN82" s="262"/>
      <c r="BO82" s="262"/>
      <c r="BP82" s="262"/>
      <c r="BQ82" s="262"/>
      <c r="BR82" s="262"/>
      <c r="BS82" s="262"/>
      <c r="BT82" s="262"/>
      <c r="BU82" s="262"/>
      <c r="BV82" s="262"/>
      <c r="BW82" s="263"/>
      <c r="BX82" s="263"/>
      <c r="BY82" s="263"/>
      <c r="BZ82" s="263"/>
      <c r="CA82" s="263"/>
      <c r="CB82" s="263"/>
      <c r="CC82" s="263"/>
      <c r="CD82" s="263"/>
      <c r="CE82" s="263"/>
      <c r="CF82" s="263"/>
      <c r="CG82" s="263"/>
      <c r="CH82" s="249">
        <f>+MAX($D$3,DATOS_[[#This Row],[Fecha Inicio Sit. Contract.]])</f>
        <v>45292</v>
      </c>
      <c r="CI82" s="249">
        <f>+MIN($D$4,DATOS_[[#This Row],[Fecha Fin Sit. Contract.]])</f>
        <v>45657</v>
      </c>
      <c r="CJ82" s="250">
        <f>+DATOS_[[#This Row],[% de jornada]]*IF(DATOS_[[#This Row],[% jornada reducida]]="",1,DATOS_[[#This Row],[% jornada reducida]])</f>
        <v>1</v>
      </c>
      <c r="CK82" s="250">
        <f>+(DATOS_[[#This Row],[F.fin.cal]]-DATOS_[[#This Row],[F.ini.cal]]+1)/($D$4-$D$3+1)</f>
        <v>1</v>
      </c>
      <c r="CL82" s="250" t="str">
        <f>IF(OR(AND(DATOS_[[#This Row],[Fecha Fin Contrato]]&lt;$D$3,DATOS_[[#This Row],[Fecha Fin Contrato]]&lt;&gt;""),DATOS_[[#This Row],[Fecha de Contratación]]&gt;$D$4),"Fuera","Dentro")</f>
        <v>Dentro</v>
      </c>
      <c r="CM82" s="250" t="str" cm="1">
        <f t="array" ref="CM82">IF(MAX(IF(DATOS_[id/cod]=DATOS_[[#This Row],[id/cod]],DATOS_[F.fin.cal]))=DATOS_[[#This Row],[F.fin.cal]],"Sí","NO")</f>
        <v>Sí</v>
      </c>
      <c r="CN82" s="250" t="str">
        <f>IF(AND(DATOS_[[#This Row],[% normaliz]]&lt;&gt;1,DATOS_[[#This Row],[% anualiz]]=1),"Sí","NO")</f>
        <v>NO</v>
      </c>
      <c r="CO82" s="250" t="str">
        <f>IF(AND(DATOS_[[#This Row],[% normaliz]]=1,DATOS_[[#This Row],[% anualiz]]&lt;&gt;1),"Sí","NO")</f>
        <v>NO</v>
      </c>
      <c r="CP82" s="250" t="str">
        <f>IF(AND(DATOS_[[#This Row],[% normaliz]]&lt;&gt;1,DATOS_[[#This Row],[% anualiz]]&lt;&gt;1),"Sí","NO")</f>
        <v>NO</v>
      </c>
      <c r="CQ82" s="250" t="str">
        <f>+IF(DATOS_[[#This Row],[% normaliz]]*DATOS_[[#This Row],[% anualiz]]=1,"NO","Sí")</f>
        <v>NO</v>
      </c>
      <c r="CR82" s="251">
        <f>(DATOS_[[#This Row],[S.BASE]]*(1/DATOS_[[#This Row],[% normaliz]])*(1/DATOS_[[#This Row],[% anualiz]]))*IF(DATOS_[[#This Row],[Check Equiparado]]="Sí",1,0)</f>
        <v>0</v>
      </c>
      <c r="CS82"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82" s="251">
        <f>+DATOS_[[#This Row],[SALARIO BASE Eq]]+DATOS_[[#This Row],[Tot COMPL.SAL Eq]]</f>
        <v>0</v>
      </c>
      <c r="CU82" s="251" cm="1">
        <f t="array" ref="CU82">(SUMPRODUCT((RngTipo=$CU$7)*(rngAnualizable="Sí")*(rngNormalizable="Sí")*(DATOS_[[#This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82" s="251">
        <f>+DATOS_[[#This Row],[TOTAL SALARIO Eq]]+DATOS_[[#This Row],[Tot Extrasalarial Eq]]</f>
        <v>0</v>
      </c>
      <c r="CW82" s="252">
        <f>DATOS_[[#This Row],[S.BASE]]</f>
        <v>0</v>
      </c>
      <c r="CX82" s="252">
        <f>+SUM(DATOS_[[#This Row],[Conc.Sal.01]:[Conc.Sal.30]])</f>
        <v>0</v>
      </c>
      <c r="CY82" s="252">
        <f>+DATOS_[[#This Row],[SALARIO BASE Ef]]+DATOS_[[#This Row],[Tot COMPL.SAL Ef]]</f>
        <v>0</v>
      </c>
      <c r="CZ82" s="252">
        <f>+SUM(DATOS_[[#This Row],[C.Extra.01]:[C.Extra.11]])</f>
        <v>0</v>
      </c>
      <c r="DA82" s="252">
        <f>+DATOS_[[#This Row],[TOTAL SALARIO Ef]]+DATOS_[[#This Row],[Tot Extrasalarial Ef]]</f>
        <v>0</v>
      </c>
      <c r="DB82" s="109">
        <f>MIN(IF(DATOS_[[#This Row],[Fecha Fin Contrato]]="",$D$4,DATOS_[[#This Row],[Fecha Fin Contrato]]),$D$4)-MAX(DATOS_[[#This Row],[Fecha de Contratación]],$D$3)+1</f>
        <v>366</v>
      </c>
      <c r="DC82" s="110" t="str">
        <f>IF(COUNTIFS(DATOS_[id/cod],DATOS_[[#This Row],[id/cod]])&gt;1,DATOS_[[#This Row],[id/cod]],"")</f>
        <v/>
      </c>
      <c r="DD82" s="108">
        <f>(Inicio!$G$10-DATOS_[[#This Row],[Fecha Nacimiento]])/365.25</f>
        <v>42.735112936344969</v>
      </c>
      <c r="DE82" s="108">
        <f>(Inicio!$G$10-DATOS_[[#This Row],[Fecha de Antigüedad]])/365.25</f>
        <v>3.2744695414099931</v>
      </c>
      <c r="DF82" s="108" t="str">
        <f>+VLOOKUP(DATOS_[[#This Row],[Clave de Contrato]],TblTiposContrato13[],3,FALSE)</f>
        <v>Completa</v>
      </c>
      <c r="DG82" s="108" t="str">
        <f>+VLOOKUP(DATOS_[[#This Row],[Clave de Contrato]],TblTiposContrato13[],4,FALSE)</f>
        <v>Indefinido</v>
      </c>
      <c r="DH82" s="108" t="str">
        <f>VLOOKUP(DATOS_[[#This Row],[Edad]],CONTRATOS!TblRngEdad,2,TRUE)</f>
        <v>40 a 45</v>
      </c>
      <c r="DI82" s="108" t="str">
        <f>VLOOKUP(DATOS_[[#This Row],[Antigüedad]],TblRngAntg14[],2,TRUE)</f>
        <v>3 a 5  años</v>
      </c>
    </row>
    <row r="83" spans="1:113" x14ac:dyDescent="0.25">
      <c r="A83" s="303" t="s">
        <v>476</v>
      </c>
      <c r="B83" s="265">
        <v>73</v>
      </c>
      <c r="C83" s="264" t="s">
        <v>356</v>
      </c>
      <c r="D83" s="243">
        <v>33485</v>
      </c>
      <c r="E83" s="243" t="s">
        <v>351</v>
      </c>
      <c r="F83" s="245"/>
      <c r="G83" s="245"/>
      <c r="H83" s="266">
        <v>44515</v>
      </c>
      <c r="I83" s="268"/>
      <c r="J83" s="260">
        <v>44515</v>
      </c>
      <c r="K83" s="267"/>
      <c r="L83" s="267"/>
      <c r="M83" s="244">
        <v>1</v>
      </c>
      <c r="N83" s="244"/>
      <c r="O83" s="244"/>
      <c r="P83" s="245">
        <v>100</v>
      </c>
      <c r="Q83" s="242" t="s">
        <v>357</v>
      </c>
      <c r="R83" s="242" t="s">
        <v>357</v>
      </c>
      <c r="S83" s="242" t="s">
        <v>477</v>
      </c>
      <c r="T83" s="242" t="s">
        <v>341</v>
      </c>
      <c r="U83" s="242" t="s">
        <v>367</v>
      </c>
      <c r="V83" s="242"/>
      <c r="W83" s="242"/>
      <c r="X83" s="246"/>
      <c r="Y83" s="271">
        <v>14000425011981</v>
      </c>
      <c r="Z83" s="247"/>
      <c r="AA83" s="279" t="s">
        <v>343</v>
      </c>
      <c r="AB83" s="248"/>
      <c r="AC83" s="245">
        <v>7</v>
      </c>
      <c r="AD83" s="261"/>
      <c r="AE83" s="262"/>
      <c r="AF83" s="262"/>
      <c r="AG83" s="262"/>
      <c r="AH83" s="262"/>
      <c r="AI83" s="262"/>
      <c r="AJ83" s="262"/>
      <c r="AK83" s="262"/>
      <c r="AL83" s="262"/>
      <c r="AM83" s="262"/>
      <c r="AN83" s="262"/>
      <c r="AO83" s="262"/>
      <c r="AP83" s="262"/>
      <c r="AQ83" s="262"/>
      <c r="AR83" s="262"/>
      <c r="AS83" s="262"/>
      <c r="AT83" s="262"/>
      <c r="AU83" s="262"/>
      <c r="AV83" s="262"/>
      <c r="AW83" s="262"/>
      <c r="AX83" s="262"/>
      <c r="AY83" s="262"/>
      <c r="AZ83" s="262"/>
      <c r="BA83" s="262"/>
      <c r="BB83" s="262"/>
      <c r="BC83" s="262"/>
      <c r="BD83" s="262"/>
      <c r="BE83" s="262"/>
      <c r="BF83" s="262"/>
      <c r="BG83" s="262"/>
      <c r="BH83" s="262"/>
      <c r="BI83" s="262"/>
      <c r="BJ83" s="262"/>
      <c r="BK83" s="262"/>
      <c r="BL83" s="262"/>
      <c r="BM83" s="262"/>
      <c r="BN83" s="262"/>
      <c r="BO83" s="262"/>
      <c r="BP83" s="262"/>
      <c r="BQ83" s="262"/>
      <c r="BR83" s="262"/>
      <c r="BS83" s="262"/>
      <c r="BT83" s="262"/>
      <c r="BU83" s="262"/>
      <c r="BV83" s="262"/>
      <c r="BW83" s="263"/>
      <c r="BX83" s="263"/>
      <c r="BY83" s="263"/>
      <c r="BZ83" s="263"/>
      <c r="CA83" s="263"/>
      <c r="CB83" s="263"/>
      <c r="CC83" s="263"/>
      <c r="CD83" s="263"/>
      <c r="CE83" s="263"/>
      <c r="CF83" s="263"/>
      <c r="CG83" s="263"/>
      <c r="CH83" s="249">
        <f>+MAX($D$3,DATOS_[[#This Row],[Fecha Inicio Sit. Contract.]])</f>
        <v>45292</v>
      </c>
      <c r="CI83" s="249">
        <f>+MIN($D$4,DATOS_[[#This Row],[Fecha Fin Sit. Contract.]])</f>
        <v>45657</v>
      </c>
      <c r="CJ83" s="250">
        <f>+DATOS_[[#This Row],[% de jornada]]*IF(DATOS_[[#This Row],[% jornada reducida]]="",1,DATOS_[[#This Row],[% jornada reducida]])</f>
        <v>1</v>
      </c>
      <c r="CK83" s="250">
        <f>+(DATOS_[[#This Row],[F.fin.cal]]-DATOS_[[#This Row],[F.ini.cal]]+1)/($D$4-$D$3+1)</f>
        <v>1</v>
      </c>
      <c r="CL83" s="250" t="str">
        <f>IF(OR(AND(DATOS_[[#This Row],[Fecha Fin Contrato]]&lt;$D$3,DATOS_[[#This Row],[Fecha Fin Contrato]]&lt;&gt;""),DATOS_[[#This Row],[Fecha de Contratación]]&gt;$D$4),"Fuera","Dentro")</f>
        <v>Dentro</v>
      </c>
      <c r="CM83" s="250" t="str" cm="1">
        <f t="array" ref="CM83">IF(MAX(IF(DATOS_[id/cod]=DATOS_[[#This Row],[id/cod]],DATOS_[F.fin.cal]))=DATOS_[[#This Row],[F.fin.cal]],"Sí","NO")</f>
        <v>Sí</v>
      </c>
      <c r="CN83" s="250" t="str">
        <f>IF(AND(DATOS_[[#This Row],[% normaliz]]&lt;&gt;1,DATOS_[[#This Row],[% anualiz]]=1),"Sí","NO")</f>
        <v>NO</v>
      </c>
      <c r="CO83" s="250" t="str">
        <f>IF(AND(DATOS_[[#This Row],[% normaliz]]=1,DATOS_[[#This Row],[% anualiz]]&lt;&gt;1),"Sí","NO")</f>
        <v>NO</v>
      </c>
      <c r="CP83" s="250" t="str">
        <f>IF(AND(DATOS_[[#This Row],[% normaliz]]&lt;&gt;1,DATOS_[[#This Row],[% anualiz]]&lt;&gt;1),"Sí","NO")</f>
        <v>NO</v>
      </c>
      <c r="CQ83" s="250" t="str">
        <f>+IF(DATOS_[[#This Row],[% normaliz]]*DATOS_[[#This Row],[% anualiz]]=1,"NO","Sí")</f>
        <v>NO</v>
      </c>
      <c r="CR83" s="251">
        <f>(DATOS_[[#This Row],[S.BASE]]*(1/DATOS_[[#This Row],[% normaliz]])*(1/DATOS_[[#This Row],[% anualiz]]))*IF(DATOS_[[#This Row],[Check Equiparado]]="Sí",1,0)</f>
        <v>0</v>
      </c>
      <c r="CS83"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83" s="251">
        <f>+DATOS_[[#This Row],[SALARIO BASE Eq]]+DATOS_[[#This Row],[Tot COMPL.SAL Eq]]</f>
        <v>0</v>
      </c>
      <c r="CU83" s="251" cm="1">
        <f t="array" ref="CU83">(SUMPRODUCT((RngTipo=$CU$7)*(rngAnualizable="Sí")*(rngNormalizable="Sí")*(DATOS_[[#This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83" s="251">
        <f>+DATOS_[[#This Row],[TOTAL SALARIO Eq]]+DATOS_[[#This Row],[Tot Extrasalarial Eq]]</f>
        <v>0</v>
      </c>
      <c r="CW83" s="252">
        <f>DATOS_[[#This Row],[S.BASE]]</f>
        <v>0</v>
      </c>
      <c r="CX83" s="252">
        <f>+SUM(DATOS_[[#This Row],[Conc.Sal.01]:[Conc.Sal.30]])</f>
        <v>0</v>
      </c>
      <c r="CY83" s="252">
        <f>+DATOS_[[#This Row],[SALARIO BASE Ef]]+DATOS_[[#This Row],[Tot COMPL.SAL Ef]]</f>
        <v>0</v>
      </c>
      <c r="CZ83" s="252">
        <f>+SUM(DATOS_[[#This Row],[C.Extra.01]:[C.Extra.11]])</f>
        <v>0</v>
      </c>
      <c r="DA83" s="252">
        <f>+DATOS_[[#This Row],[TOTAL SALARIO Ef]]+DATOS_[[#This Row],[Tot Extrasalarial Ef]]</f>
        <v>0</v>
      </c>
      <c r="DB83" s="109">
        <f>MIN(IF(DATOS_[[#This Row],[Fecha Fin Contrato]]="",$D$4,DATOS_[[#This Row],[Fecha Fin Contrato]]),$D$4)-MAX(DATOS_[[#This Row],[Fecha de Contratación]],$D$3)+1</f>
        <v>366</v>
      </c>
      <c r="DC83" s="110" t="str">
        <f>IF(COUNTIFS(DATOS_[id/cod],DATOS_[[#This Row],[id/cod]])&gt;1,DATOS_[[#This Row],[id/cod]],"")</f>
        <v/>
      </c>
      <c r="DD83" s="108">
        <f>(Inicio!$G$10-DATOS_[[#This Row],[Fecha Nacimiento]])/365.25</f>
        <v>33.325119780971939</v>
      </c>
      <c r="DE83" s="108">
        <f>(Inicio!$G$10-DATOS_[[#This Row],[Fecha de Antigüedad]])/365.25</f>
        <v>3.1266255989048597</v>
      </c>
      <c r="DF83" s="108" t="str">
        <f>+VLOOKUP(DATOS_[[#This Row],[Clave de Contrato]],TblTiposContrato13[],3,FALSE)</f>
        <v>Completa</v>
      </c>
      <c r="DG83" s="108" t="str">
        <f>+VLOOKUP(DATOS_[[#This Row],[Clave de Contrato]],TblTiposContrato13[],4,FALSE)</f>
        <v>Indefinido</v>
      </c>
      <c r="DH83" s="108" t="str">
        <f>VLOOKUP(DATOS_[[#This Row],[Edad]],CONTRATOS!TblRngEdad,2,TRUE)</f>
        <v>30 a 35</v>
      </c>
      <c r="DI83" s="108" t="str">
        <f>VLOOKUP(DATOS_[[#This Row],[Antigüedad]],TblRngAntg14[],2,TRUE)</f>
        <v>3 a 5  años</v>
      </c>
    </row>
    <row r="84" spans="1:113" x14ac:dyDescent="0.25">
      <c r="A84" s="303" t="s">
        <v>478</v>
      </c>
      <c r="B84" s="265">
        <v>74</v>
      </c>
      <c r="C84" s="264" t="s">
        <v>356</v>
      </c>
      <c r="D84" s="243">
        <v>29234</v>
      </c>
      <c r="E84" s="243" t="s">
        <v>338</v>
      </c>
      <c r="F84" s="245"/>
      <c r="G84" s="245"/>
      <c r="H84" s="266">
        <v>44609</v>
      </c>
      <c r="I84" s="268"/>
      <c r="J84" s="260">
        <v>44609</v>
      </c>
      <c r="K84" s="267"/>
      <c r="L84" s="267"/>
      <c r="M84" s="244">
        <v>1</v>
      </c>
      <c r="N84" s="244"/>
      <c r="O84" s="244"/>
      <c r="P84" s="245">
        <v>100</v>
      </c>
      <c r="Q84" s="242" t="s">
        <v>375</v>
      </c>
      <c r="R84" s="242" t="s">
        <v>375</v>
      </c>
      <c r="S84" s="242" t="s">
        <v>479</v>
      </c>
      <c r="T84" s="242" t="s">
        <v>341</v>
      </c>
      <c r="U84" s="242" t="s">
        <v>367</v>
      </c>
      <c r="V84" s="242"/>
      <c r="W84" s="242"/>
      <c r="X84" s="246"/>
      <c r="Y84" s="271">
        <v>14000425011981</v>
      </c>
      <c r="Z84" s="247"/>
      <c r="AA84" s="279" t="s">
        <v>343</v>
      </c>
      <c r="AB84" s="248"/>
      <c r="AC84" s="245">
        <v>7</v>
      </c>
      <c r="AD84" s="261"/>
      <c r="AE84" s="262"/>
      <c r="AF84" s="262"/>
      <c r="AG84" s="262"/>
      <c r="AH84" s="262"/>
      <c r="AI84" s="262"/>
      <c r="AJ84" s="262"/>
      <c r="AK84" s="262"/>
      <c r="AL84" s="262"/>
      <c r="AM84" s="262"/>
      <c r="AN84" s="262"/>
      <c r="AO84" s="262"/>
      <c r="AP84" s="262"/>
      <c r="AQ84" s="262"/>
      <c r="AR84" s="262"/>
      <c r="AS84" s="262"/>
      <c r="AT84" s="262"/>
      <c r="AU84" s="262"/>
      <c r="AV84" s="262"/>
      <c r="AW84" s="262"/>
      <c r="AX84" s="262"/>
      <c r="AY84" s="262"/>
      <c r="AZ84" s="262"/>
      <c r="BA84" s="262"/>
      <c r="BB84" s="262"/>
      <c r="BC84" s="262"/>
      <c r="BD84" s="262"/>
      <c r="BE84" s="262"/>
      <c r="BF84" s="262"/>
      <c r="BG84" s="262"/>
      <c r="BH84" s="262"/>
      <c r="BI84" s="262"/>
      <c r="BJ84" s="262"/>
      <c r="BK84" s="262"/>
      <c r="BL84" s="262"/>
      <c r="BM84" s="262"/>
      <c r="BN84" s="262"/>
      <c r="BO84" s="262"/>
      <c r="BP84" s="262"/>
      <c r="BQ84" s="262"/>
      <c r="BR84" s="262"/>
      <c r="BS84" s="262"/>
      <c r="BT84" s="262"/>
      <c r="BU84" s="262"/>
      <c r="BV84" s="262"/>
      <c r="BW84" s="263"/>
      <c r="BX84" s="263"/>
      <c r="BY84" s="263"/>
      <c r="BZ84" s="263"/>
      <c r="CA84" s="263"/>
      <c r="CB84" s="263"/>
      <c r="CC84" s="263"/>
      <c r="CD84" s="263"/>
      <c r="CE84" s="263"/>
      <c r="CF84" s="263"/>
      <c r="CG84" s="263"/>
      <c r="CH84" s="249">
        <f>+MAX($D$3,DATOS_[[#This Row],[Fecha Inicio Sit. Contract.]])</f>
        <v>45292</v>
      </c>
      <c r="CI84" s="249">
        <f>+MIN($D$4,DATOS_[[#This Row],[Fecha Fin Sit. Contract.]])</f>
        <v>45657</v>
      </c>
      <c r="CJ84" s="250">
        <f>+DATOS_[[#This Row],[% de jornada]]*IF(DATOS_[[#This Row],[% jornada reducida]]="",1,DATOS_[[#This Row],[% jornada reducida]])</f>
        <v>1</v>
      </c>
      <c r="CK84" s="250">
        <f>+(DATOS_[[#This Row],[F.fin.cal]]-DATOS_[[#This Row],[F.ini.cal]]+1)/($D$4-$D$3+1)</f>
        <v>1</v>
      </c>
      <c r="CL84" s="250" t="str">
        <f>IF(OR(AND(DATOS_[[#This Row],[Fecha Fin Contrato]]&lt;$D$3,DATOS_[[#This Row],[Fecha Fin Contrato]]&lt;&gt;""),DATOS_[[#This Row],[Fecha de Contratación]]&gt;$D$4),"Fuera","Dentro")</f>
        <v>Dentro</v>
      </c>
      <c r="CM84" s="250" t="str" cm="1">
        <f t="array" ref="CM84">IF(MAX(IF(DATOS_[id/cod]=DATOS_[[#This Row],[id/cod]],DATOS_[F.fin.cal]))=DATOS_[[#This Row],[F.fin.cal]],"Sí","NO")</f>
        <v>Sí</v>
      </c>
      <c r="CN84" s="250" t="str">
        <f>IF(AND(DATOS_[[#This Row],[% normaliz]]&lt;&gt;1,DATOS_[[#This Row],[% anualiz]]=1),"Sí","NO")</f>
        <v>NO</v>
      </c>
      <c r="CO84" s="250" t="str">
        <f>IF(AND(DATOS_[[#This Row],[% normaliz]]=1,DATOS_[[#This Row],[% anualiz]]&lt;&gt;1),"Sí","NO")</f>
        <v>NO</v>
      </c>
      <c r="CP84" s="250" t="str">
        <f>IF(AND(DATOS_[[#This Row],[% normaliz]]&lt;&gt;1,DATOS_[[#This Row],[% anualiz]]&lt;&gt;1),"Sí","NO")</f>
        <v>NO</v>
      </c>
      <c r="CQ84" s="250" t="str">
        <f>+IF(DATOS_[[#This Row],[% normaliz]]*DATOS_[[#This Row],[% anualiz]]=1,"NO","Sí")</f>
        <v>NO</v>
      </c>
      <c r="CR84" s="251">
        <f>(DATOS_[[#This Row],[S.BASE]]*(1/DATOS_[[#This Row],[% normaliz]])*(1/DATOS_[[#This Row],[% anualiz]]))*IF(DATOS_[[#This Row],[Check Equiparado]]="Sí",1,0)</f>
        <v>0</v>
      </c>
      <c r="CS84"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84" s="251">
        <f>+DATOS_[[#This Row],[SALARIO BASE Eq]]+DATOS_[[#This Row],[Tot COMPL.SAL Eq]]</f>
        <v>0</v>
      </c>
      <c r="CU84" s="251" cm="1">
        <f t="array" ref="CU84">(SUMPRODUCT((RngTipo=$CU$7)*(rngAnualizable="Sí")*(rngNormalizable="Sí")*(DATOS_[[#This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84" s="251">
        <f>+DATOS_[[#This Row],[TOTAL SALARIO Eq]]+DATOS_[[#This Row],[Tot Extrasalarial Eq]]</f>
        <v>0</v>
      </c>
      <c r="CW84" s="252">
        <f>DATOS_[[#This Row],[S.BASE]]</f>
        <v>0</v>
      </c>
      <c r="CX84" s="252">
        <f>+SUM(DATOS_[[#This Row],[Conc.Sal.01]:[Conc.Sal.30]])</f>
        <v>0</v>
      </c>
      <c r="CY84" s="252">
        <f>+DATOS_[[#This Row],[SALARIO BASE Ef]]+DATOS_[[#This Row],[Tot COMPL.SAL Ef]]</f>
        <v>0</v>
      </c>
      <c r="CZ84" s="252">
        <f>+SUM(DATOS_[[#This Row],[C.Extra.01]:[C.Extra.11]])</f>
        <v>0</v>
      </c>
      <c r="DA84" s="252">
        <f>+DATOS_[[#This Row],[TOTAL SALARIO Ef]]+DATOS_[[#This Row],[Tot Extrasalarial Ef]]</f>
        <v>0</v>
      </c>
      <c r="DB84" s="109">
        <f>MIN(IF(DATOS_[[#This Row],[Fecha Fin Contrato]]="",$D$4,DATOS_[[#This Row],[Fecha Fin Contrato]]),$D$4)-MAX(DATOS_[[#This Row],[Fecha de Contratación]],$D$3)+1</f>
        <v>366</v>
      </c>
      <c r="DC84" s="110" t="str">
        <f>IF(COUNTIFS(DATOS_[id/cod],DATOS_[[#This Row],[id/cod]])&gt;1,DATOS_[[#This Row],[id/cod]],"")</f>
        <v/>
      </c>
      <c r="DD84" s="108">
        <f>(Inicio!$G$10-DATOS_[[#This Row],[Fecha Nacimiento]])/365.25</f>
        <v>44.963723477070502</v>
      </c>
      <c r="DE84" s="108">
        <f>(Inicio!$G$10-DATOS_[[#This Row],[Fecha de Antigüedad]])/365.25</f>
        <v>2.8692676249144422</v>
      </c>
      <c r="DF84" s="108" t="str">
        <f>+VLOOKUP(DATOS_[[#This Row],[Clave de Contrato]],TblTiposContrato13[],3,FALSE)</f>
        <v>Completa</v>
      </c>
      <c r="DG84" s="108" t="str">
        <f>+VLOOKUP(DATOS_[[#This Row],[Clave de Contrato]],TblTiposContrato13[],4,FALSE)</f>
        <v>Indefinido</v>
      </c>
      <c r="DH84" s="108" t="str">
        <f>VLOOKUP(DATOS_[[#This Row],[Edad]],CONTRATOS!TblRngEdad,2,TRUE)</f>
        <v>40 a 45</v>
      </c>
      <c r="DI84" s="108" t="str">
        <f>VLOOKUP(DATOS_[[#This Row],[Antigüedad]],TblRngAntg14[],2,TRUE)</f>
        <v>1 a 3  años</v>
      </c>
    </row>
    <row r="85" spans="1:113" x14ac:dyDescent="0.25">
      <c r="A85" s="303" t="s">
        <v>480</v>
      </c>
      <c r="B85" s="265">
        <v>75</v>
      </c>
      <c r="C85" s="264" t="s">
        <v>356</v>
      </c>
      <c r="D85" s="243">
        <v>27405</v>
      </c>
      <c r="E85" s="243" t="s">
        <v>373</v>
      </c>
      <c r="F85" s="245"/>
      <c r="G85" s="245"/>
      <c r="H85" s="266">
        <v>44627</v>
      </c>
      <c r="I85" s="268"/>
      <c r="J85" s="260">
        <v>44627</v>
      </c>
      <c r="K85" s="267"/>
      <c r="L85" s="267"/>
      <c r="M85" s="244">
        <v>0.26250000000000001</v>
      </c>
      <c r="N85" s="244"/>
      <c r="O85" s="244"/>
      <c r="P85" s="245">
        <v>100</v>
      </c>
      <c r="Q85" s="242" t="s">
        <v>379</v>
      </c>
      <c r="R85" s="242" t="s">
        <v>379</v>
      </c>
      <c r="S85" s="242" t="s">
        <v>441</v>
      </c>
      <c r="T85" s="242" t="s">
        <v>341</v>
      </c>
      <c r="U85" s="242" t="s">
        <v>367</v>
      </c>
      <c r="V85" s="242"/>
      <c r="W85" s="242"/>
      <c r="X85" s="246"/>
      <c r="Y85" s="271">
        <v>14000425011981</v>
      </c>
      <c r="Z85" s="247"/>
      <c r="AA85" s="279" t="s">
        <v>343</v>
      </c>
      <c r="AB85" s="248"/>
      <c r="AC85" s="245"/>
      <c r="AD85" s="261"/>
      <c r="AE85" s="262"/>
      <c r="AF85" s="262"/>
      <c r="AG85" s="262"/>
      <c r="AH85" s="262"/>
      <c r="AI85" s="262"/>
      <c r="AJ85" s="262"/>
      <c r="AK85" s="262"/>
      <c r="AL85" s="262"/>
      <c r="AM85" s="262"/>
      <c r="AN85" s="262"/>
      <c r="AO85" s="262"/>
      <c r="AP85" s="262"/>
      <c r="AQ85" s="262"/>
      <c r="AR85" s="262"/>
      <c r="AS85" s="262"/>
      <c r="AT85" s="262"/>
      <c r="AU85" s="262"/>
      <c r="AV85" s="262"/>
      <c r="AW85" s="262"/>
      <c r="AX85" s="262"/>
      <c r="AY85" s="262"/>
      <c r="AZ85" s="262"/>
      <c r="BA85" s="262"/>
      <c r="BB85" s="262"/>
      <c r="BC85" s="262"/>
      <c r="BD85" s="262"/>
      <c r="BE85" s="262"/>
      <c r="BF85" s="262"/>
      <c r="BG85" s="262"/>
      <c r="BH85" s="262"/>
      <c r="BI85" s="262"/>
      <c r="BJ85" s="262"/>
      <c r="BK85" s="262"/>
      <c r="BL85" s="262"/>
      <c r="BM85" s="262"/>
      <c r="BN85" s="262"/>
      <c r="BO85" s="262"/>
      <c r="BP85" s="262"/>
      <c r="BQ85" s="262"/>
      <c r="BR85" s="262"/>
      <c r="BS85" s="262"/>
      <c r="BT85" s="262"/>
      <c r="BU85" s="262"/>
      <c r="BV85" s="262"/>
      <c r="BW85" s="263"/>
      <c r="BX85" s="263"/>
      <c r="BY85" s="263"/>
      <c r="BZ85" s="263"/>
      <c r="CA85" s="263"/>
      <c r="CB85" s="263"/>
      <c r="CC85" s="263"/>
      <c r="CD85" s="263"/>
      <c r="CE85" s="263"/>
      <c r="CF85" s="263"/>
      <c r="CG85" s="263"/>
      <c r="CH85" s="249">
        <f>+MAX($D$3,DATOS_[[#This Row],[Fecha Inicio Sit. Contract.]])</f>
        <v>45292</v>
      </c>
      <c r="CI85" s="249">
        <f>+MIN($D$4,DATOS_[[#This Row],[Fecha Fin Sit. Contract.]])</f>
        <v>45657</v>
      </c>
      <c r="CJ85" s="250">
        <f>+DATOS_[[#This Row],[% de jornada]]*IF(DATOS_[[#This Row],[% jornada reducida]]="",1,DATOS_[[#This Row],[% jornada reducida]])</f>
        <v>0.26250000000000001</v>
      </c>
      <c r="CK85" s="250">
        <f>+(DATOS_[[#This Row],[F.fin.cal]]-DATOS_[[#This Row],[F.ini.cal]]+1)/($D$4-$D$3+1)</f>
        <v>1</v>
      </c>
      <c r="CL85" s="250" t="str">
        <f>IF(OR(AND(DATOS_[[#This Row],[Fecha Fin Contrato]]&lt;$D$3,DATOS_[[#This Row],[Fecha Fin Contrato]]&lt;&gt;""),DATOS_[[#This Row],[Fecha de Contratación]]&gt;$D$4),"Fuera","Dentro")</f>
        <v>Dentro</v>
      </c>
      <c r="CM85" s="250" t="str" cm="1">
        <f t="array" ref="CM85">IF(MAX(IF(DATOS_[id/cod]=DATOS_[[#This Row],[id/cod]],DATOS_[F.fin.cal]))=DATOS_[[#This Row],[F.fin.cal]],"Sí","NO")</f>
        <v>Sí</v>
      </c>
      <c r="CN85" s="250" t="str">
        <f>IF(AND(DATOS_[[#This Row],[% normaliz]]&lt;&gt;1,DATOS_[[#This Row],[% anualiz]]=1),"Sí","NO")</f>
        <v>Sí</v>
      </c>
      <c r="CO85" s="250" t="str">
        <f>IF(AND(DATOS_[[#This Row],[% normaliz]]=1,DATOS_[[#This Row],[% anualiz]]&lt;&gt;1),"Sí","NO")</f>
        <v>NO</v>
      </c>
      <c r="CP85" s="250" t="str">
        <f>IF(AND(DATOS_[[#This Row],[% normaliz]]&lt;&gt;1,DATOS_[[#This Row],[% anualiz]]&lt;&gt;1),"Sí","NO")</f>
        <v>NO</v>
      </c>
      <c r="CQ85" s="250" t="str">
        <f>+IF(DATOS_[[#This Row],[% normaliz]]*DATOS_[[#This Row],[% anualiz]]=1,"NO","Sí")</f>
        <v>Sí</v>
      </c>
      <c r="CR85" s="251">
        <f>(DATOS_[[#This Row],[S.BASE]]*(1/DATOS_[[#This Row],[% normaliz]])*(1/DATOS_[[#This Row],[% anualiz]]))*IF(DATOS_[[#This Row],[Check Equiparado]]="Sí",1,0)</f>
        <v>0</v>
      </c>
      <c r="CS85"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85" s="251">
        <f>+DATOS_[[#This Row],[SALARIO BASE Eq]]+DATOS_[[#This Row],[Tot COMPL.SAL Eq]]</f>
        <v>0</v>
      </c>
      <c r="CU85" s="251" cm="1">
        <f t="array" ref="CU85">(SUMPRODUCT((RngTipo=$CU$7)*(rngAnualizable="Sí")*(rngNormalizable="Sí")*(DATOS_[[#This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85" s="251">
        <f>+DATOS_[[#This Row],[TOTAL SALARIO Eq]]+DATOS_[[#This Row],[Tot Extrasalarial Eq]]</f>
        <v>0</v>
      </c>
      <c r="CW85" s="252">
        <f>DATOS_[[#This Row],[S.BASE]]</f>
        <v>0</v>
      </c>
      <c r="CX85" s="252">
        <f>+SUM(DATOS_[[#This Row],[Conc.Sal.01]:[Conc.Sal.30]])</f>
        <v>0</v>
      </c>
      <c r="CY85" s="252">
        <f>+DATOS_[[#This Row],[SALARIO BASE Ef]]+DATOS_[[#This Row],[Tot COMPL.SAL Ef]]</f>
        <v>0</v>
      </c>
      <c r="CZ85" s="252">
        <f>+SUM(DATOS_[[#This Row],[C.Extra.01]:[C.Extra.11]])</f>
        <v>0</v>
      </c>
      <c r="DA85" s="252">
        <f>+DATOS_[[#This Row],[TOTAL SALARIO Ef]]+DATOS_[[#This Row],[Tot Extrasalarial Ef]]</f>
        <v>0</v>
      </c>
      <c r="DB85" s="109">
        <f>MIN(IF(DATOS_[[#This Row],[Fecha Fin Contrato]]="",$D$4,DATOS_[[#This Row],[Fecha Fin Contrato]]),$D$4)-MAX(DATOS_[[#This Row],[Fecha de Contratación]],$D$3)+1</f>
        <v>366</v>
      </c>
      <c r="DC85" s="110" t="str">
        <f>IF(COUNTIFS(DATOS_[id/cod],DATOS_[[#This Row],[id/cod]])&gt;1,DATOS_[[#This Row],[id/cod]],"")</f>
        <v/>
      </c>
      <c r="DD85" s="108">
        <f>(Inicio!$G$10-DATOS_[[#This Row],[Fecha Nacimiento]])/365.25</f>
        <v>49.97125256673511</v>
      </c>
      <c r="DE85" s="108">
        <f>(Inicio!$G$10-DATOS_[[#This Row],[Fecha de Antigüedad]])/365.25</f>
        <v>2.8199863107460645</v>
      </c>
      <c r="DF85" s="108" t="str">
        <f>+VLOOKUP(DATOS_[[#This Row],[Clave de Contrato]],TblTiposContrato13[],3,FALSE)</f>
        <v>Completa</v>
      </c>
      <c r="DG85" s="108" t="str">
        <f>+VLOOKUP(DATOS_[[#This Row],[Clave de Contrato]],TblTiposContrato13[],4,FALSE)</f>
        <v>Indefinido</v>
      </c>
      <c r="DH85" s="108" t="str">
        <f>VLOOKUP(DATOS_[[#This Row],[Edad]],CONTRATOS!TblRngEdad,2,TRUE)</f>
        <v>45 a 50</v>
      </c>
      <c r="DI85" s="108" t="str">
        <f>VLOOKUP(DATOS_[[#This Row],[Antigüedad]],TblRngAntg14[],2,TRUE)</f>
        <v>1 a 3  años</v>
      </c>
    </row>
    <row r="86" spans="1:113" x14ac:dyDescent="0.25">
      <c r="A86" s="303" t="s">
        <v>481</v>
      </c>
      <c r="B86" s="265">
        <v>76</v>
      </c>
      <c r="C86" s="264" t="s">
        <v>356</v>
      </c>
      <c r="D86" s="243">
        <v>36087</v>
      </c>
      <c r="E86" s="243" t="s">
        <v>351</v>
      </c>
      <c r="F86" s="245"/>
      <c r="G86" s="245"/>
      <c r="H86" s="266">
        <v>44771</v>
      </c>
      <c r="I86" s="268"/>
      <c r="J86" s="260">
        <v>44771</v>
      </c>
      <c r="K86" s="267"/>
      <c r="L86" s="267"/>
      <c r="M86" s="244">
        <v>0.75</v>
      </c>
      <c r="N86" s="244"/>
      <c r="O86" s="244"/>
      <c r="P86" s="245">
        <v>189</v>
      </c>
      <c r="Q86" s="242" t="s">
        <v>391</v>
      </c>
      <c r="R86" s="242" t="s">
        <v>401</v>
      </c>
      <c r="S86" s="242" t="s">
        <v>391</v>
      </c>
      <c r="T86" s="242" t="s">
        <v>341</v>
      </c>
      <c r="U86" s="242" t="s">
        <v>367</v>
      </c>
      <c r="V86" s="242"/>
      <c r="W86" s="242" t="s">
        <v>192</v>
      </c>
      <c r="X86" s="246"/>
      <c r="Y86" s="271">
        <v>14000425011981</v>
      </c>
      <c r="Z86" s="247" t="s">
        <v>382</v>
      </c>
      <c r="AA86" s="279" t="s">
        <v>343</v>
      </c>
      <c r="AB86" s="248"/>
      <c r="AC86" s="245">
        <v>10</v>
      </c>
      <c r="AD86" s="261">
        <v>6126.6</v>
      </c>
      <c r="AE86" s="262">
        <v>34.5</v>
      </c>
      <c r="AF86" s="262">
        <v>659.95999999999992</v>
      </c>
      <c r="AG86" s="262">
        <v>0</v>
      </c>
      <c r="AH86" s="262">
        <v>960.84</v>
      </c>
      <c r="AI86" s="262">
        <v>0</v>
      </c>
      <c r="AJ86" s="262">
        <v>711.97</v>
      </c>
      <c r="AK86" s="262">
        <v>0</v>
      </c>
      <c r="AL86" s="262">
        <v>0</v>
      </c>
      <c r="AM86" s="262">
        <v>0</v>
      </c>
      <c r="AN86" s="262">
        <v>0</v>
      </c>
      <c r="AO86" s="262">
        <v>0</v>
      </c>
      <c r="AP86" s="262">
        <v>300</v>
      </c>
      <c r="AQ86" s="262">
        <v>0</v>
      </c>
      <c r="AR86" s="262">
        <v>283</v>
      </c>
      <c r="AS86" s="262">
        <v>0</v>
      </c>
      <c r="AT86" s="262">
        <v>1849.43</v>
      </c>
      <c r="AU86" s="262">
        <v>0</v>
      </c>
      <c r="AV86" s="262">
        <v>0</v>
      </c>
      <c r="AW86" s="262">
        <v>0</v>
      </c>
      <c r="AX86" s="262">
        <v>0</v>
      </c>
      <c r="AY86" s="262">
        <v>65</v>
      </c>
      <c r="AZ86" s="262"/>
      <c r="BA86" s="262"/>
      <c r="BB86" s="262"/>
      <c r="BC86" s="262"/>
      <c r="BD86" s="262"/>
      <c r="BE86" s="262"/>
      <c r="BF86" s="262"/>
      <c r="BG86" s="262"/>
      <c r="BH86" s="262"/>
      <c r="BI86" s="262"/>
      <c r="BJ86" s="262"/>
      <c r="BK86" s="262"/>
      <c r="BL86" s="262"/>
      <c r="BM86" s="262"/>
      <c r="BN86" s="262"/>
      <c r="BO86" s="262"/>
      <c r="BP86" s="262"/>
      <c r="BQ86" s="262"/>
      <c r="BR86" s="262"/>
      <c r="BS86" s="262"/>
      <c r="BT86" s="262"/>
      <c r="BU86" s="262"/>
      <c r="BV86" s="262"/>
      <c r="BW86" s="263"/>
      <c r="BX86" s="263"/>
      <c r="BY86" s="263"/>
      <c r="BZ86" s="263"/>
      <c r="CA86" s="263"/>
      <c r="CB86" s="263"/>
      <c r="CC86" s="263"/>
      <c r="CD86" s="263"/>
      <c r="CE86" s="263"/>
      <c r="CF86" s="263"/>
      <c r="CG86" s="263"/>
      <c r="CH86" s="249">
        <f>+MAX($D$3,DATOS_[[#This Row],[Fecha Inicio Sit. Contract.]])</f>
        <v>45292</v>
      </c>
      <c r="CI86" s="249">
        <f>+MIN($D$4,DATOS_[[#This Row],[Fecha Fin Sit. Contract.]])</f>
        <v>45657</v>
      </c>
      <c r="CJ86" s="250">
        <f>+DATOS_[[#This Row],[% de jornada]]*IF(DATOS_[[#This Row],[% jornada reducida]]="",1,DATOS_[[#This Row],[% jornada reducida]])</f>
        <v>0.75</v>
      </c>
      <c r="CK86" s="250">
        <f>+(DATOS_[[#This Row],[F.fin.cal]]-DATOS_[[#This Row],[F.ini.cal]]+1)/($D$4-$D$3+1)</f>
        <v>1</v>
      </c>
      <c r="CL86" s="250" t="str">
        <f>IF(OR(AND(DATOS_[[#This Row],[Fecha Fin Contrato]]&lt;$D$3,DATOS_[[#This Row],[Fecha Fin Contrato]]&lt;&gt;""),DATOS_[[#This Row],[Fecha de Contratación]]&gt;$D$4),"Fuera","Dentro")</f>
        <v>Dentro</v>
      </c>
      <c r="CM86" s="250" t="str" cm="1">
        <f t="array" ref="CM86">IF(MAX(IF(DATOS_[id/cod]=DATOS_[[#This Row],[id/cod]],DATOS_[F.fin.cal]))=DATOS_[[#This Row],[F.fin.cal]],"Sí","NO")</f>
        <v>Sí</v>
      </c>
      <c r="CN86" s="250" t="str">
        <f>IF(AND(DATOS_[[#This Row],[% normaliz]]&lt;&gt;1,DATOS_[[#This Row],[% anualiz]]=1),"Sí","NO")</f>
        <v>Sí</v>
      </c>
      <c r="CO86" s="250" t="str">
        <f>IF(AND(DATOS_[[#This Row],[% normaliz]]=1,DATOS_[[#This Row],[% anualiz]]&lt;&gt;1),"Sí","NO")</f>
        <v>NO</v>
      </c>
      <c r="CP86" s="250" t="str">
        <f>IF(AND(DATOS_[[#This Row],[% normaliz]]&lt;&gt;1,DATOS_[[#This Row],[% anualiz]]&lt;&gt;1),"Sí","NO")</f>
        <v>NO</v>
      </c>
      <c r="CQ86" s="250" t="str">
        <f>+IF(DATOS_[[#This Row],[% normaliz]]*DATOS_[[#This Row],[% anualiz]]=1,"NO","Sí")</f>
        <v>Sí</v>
      </c>
      <c r="CR86" s="251">
        <f>(DATOS_[[#This Row],[S.BASE]]*(1/DATOS_[[#This Row],[% normaliz]])*(1/DATOS_[[#This Row],[% anualiz]]))*IF(DATOS_[[#This Row],[Check Equiparado]]="Sí",1,0)</f>
        <v>8168.8</v>
      </c>
      <c r="CS86"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4020.3599999999997</v>
      </c>
      <c r="CT86" s="251">
        <f>+DATOS_[[#This Row],[SALARIO BASE Eq]]+DATOS_[[#This Row],[Tot COMPL.SAL Eq]]</f>
        <v>12189.16</v>
      </c>
      <c r="CU86" s="251" cm="1">
        <f t="array" ref="CU86">(SUMPRODUCT((RngTipo=$CU$7)*(rngAnualizable="Sí")*(rngNormalizable="Sí")*(DATOS_[[#This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2465.9066666666668</v>
      </c>
      <c r="CV86" s="251">
        <f>+DATOS_[[#This Row],[TOTAL SALARIO Eq]]+DATOS_[[#This Row],[Tot Extrasalarial Eq]]</f>
        <v>14655.066666666666</v>
      </c>
      <c r="CW86" s="252">
        <f>DATOS_[[#This Row],[S.BASE]]</f>
        <v>6126.6</v>
      </c>
      <c r="CX86" s="252">
        <f>+SUM(DATOS_[[#This Row],[Conc.Sal.01]:[Conc.Sal.30]])</f>
        <v>4864.7</v>
      </c>
      <c r="CY86" s="252">
        <f>+DATOS_[[#This Row],[SALARIO BASE Ef]]+DATOS_[[#This Row],[Tot COMPL.SAL Ef]]</f>
        <v>10991.3</v>
      </c>
      <c r="CZ86" s="252">
        <f>+SUM(DATOS_[[#This Row],[C.Extra.01]:[C.Extra.11]])</f>
        <v>0</v>
      </c>
      <c r="DA86" s="252">
        <f>+DATOS_[[#This Row],[TOTAL SALARIO Ef]]+DATOS_[[#This Row],[Tot Extrasalarial Ef]]</f>
        <v>10991.3</v>
      </c>
      <c r="DB86" s="109">
        <f>MIN(IF(DATOS_[[#This Row],[Fecha Fin Contrato]]="",$D$4,DATOS_[[#This Row],[Fecha Fin Contrato]]),$D$4)-MAX(DATOS_[[#This Row],[Fecha de Contratación]],$D$3)+1</f>
        <v>366</v>
      </c>
      <c r="DC86" s="110" t="str">
        <f>IF(COUNTIFS(DATOS_[id/cod],DATOS_[[#This Row],[id/cod]])&gt;1,DATOS_[[#This Row],[id/cod]],"")</f>
        <v/>
      </c>
      <c r="DD86" s="108">
        <f>(Inicio!$G$10-DATOS_[[#This Row],[Fecha Nacimiento]])/365.25</f>
        <v>26.201232032854211</v>
      </c>
      <c r="DE86" s="108">
        <f>(Inicio!$G$10-DATOS_[[#This Row],[Fecha de Antigüedad]])/365.25</f>
        <v>2.4257357973990419</v>
      </c>
      <c r="DF86" s="108" t="str">
        <f>+VLOOKUP(DATOS_[[#This Row],[Clave de Contrato]],TblTiposContrato13[],3,FALSE)</f>
        <v>Completa</v>
      </c>
      <c r="DG86" s="108" t="str">
        <f>+VLOOKUP(DATOS_[[#This Row],[Clave de Contrato]],TblTiposContrato13[],4,FALSE)</f>
        <v>Indefinido</v>
      </c>
      <c r="DH86" s="108" t="str">
        <f>VLOOKUP(DATOS_[[#This Row],[Edad]],CONTRATOS!TblRngEdad,2,TRUE)</f>
        <v>25 a 30</v>
      </c>
      <c r="DI86" s="108" t="str">
        <f>VLOOKUP(DATOS_[[#This Row],[Antigüedad]],TblRngAntg14[],2,TRUE)</f>
        <v>1 a 3  años</v>
      </c>
    </row>
    <row r="87" spans="1:113" x14ac:dyDescent="0.25">
      <c r="A87" s="303" t="s">
        <v>482</v>
      </c>
      <c r="B87" s="265">
        <v>77</v>
      </c>
      <c r="C87" s="264" t="s">
        <v>337</v>
      </c>
      <c r="D87" s="243">
        <v>28911</v>
      </c>
      <c r="E87" s="243" t="s">
        <v>373</v>
      </c>
      <c r="F87" s="245"/>
      <c r="G87" s="245"/>
      <c r="H87" s="266">
        <v>44931</v>
      </c>
      <c r="I87" s="268"/>
      <c r="J87" s="260">
        <v>44566</v>
      </c>
      <c r="K87" s="267"/>
      <c r="L87" s="267"/>
      <c r="M87" s="244">
        <v>1</v>
      </c>
      <c r="N87" s="244"/>
      <c r="O87" s="244"/>
      <c r="P87" s="245">
        <v>189</v>
      </c>
      <c r="Q87" s="242" t="s">
        <v>375</v>
      </c>
      <c r="R87" s="242" t="s">
        <v>375</v>
      </c>
      <c r="S87" s="242" t="s">
        <v>483</v>
      </c>
      <c r="T87" s="242" t="s">
        <v>341</v>
      </c>
      <c r="U87" s="242" t="s">
        <v>367</v>
      </c>
      <c r="V87" s="242"/>
      <c r="W87" s="242" t="s">
        <v>188</v>
      </c>
      <c r="X87" s="246"/>
      <c r="Y87" s="271">
        <v>14000425011981</v>
      </c>
      <c r="Z87" s="302" t="s">
        <v>407</v>
      </c>
      <c r="AA87" s="279" t="s">
        <v>343</v>
      </c>
      <c r="AB87" s="248"/>
      <c r="AC87" s="245">
        <v>7</v>
      </c>
      <c r="AD87" s="261">
        <v>12879.24</v>
      </c>
      <c r="AE87" s="262">
        <v>0</v>
      </c>
      <c r="AF87" s="262">
        <v>37.44</v>
      </c>
      <c r="AG87" s="262">
        <v>902.4</v>
      </c>
      <c r="AH87" s="262">
        <v>0</v>
      </c>
      <c r="AI87" s="262">
        <v>0</v>
      </c>
      <c r="AJ87" s="262">
        <v>0</v>
      </c>
      <c r="AK87" s="262">
        <v>0</v>
      </c>
      <c r="AL87" s="262">
        <v>0</v>
      </c>
      <c r="AM87" s="262">
        <v>843.12</v>
      </c>
      <c r="AN87" s="262">
        <v>0</v>
      </c>
      <c r="AO87" s="262">
        <v>0</v>
      </c>
      <c r="AP87" s="262">
        <v>0</v>
      </c>
      <c r="AQ87" s="262">
        <v>5466.81</v>
      </c>
      <c r="AR87" s="262">
        <v>0</v>
      </c>
      <c r="AS87" s="262">
        <v>0</v>
      </c>
      <c r="AT87" s="262">
        <v>0</v>
      </c>
      <c r="AU87" s="262">
        <v>0</v>
      </c>
      <c r="AV87" s="262">
        <v>0</v>
      </c>
      <c r="AW87" s="262">
        <v>65</v>
      </c>
      <c r="AX87" s="262">
        <v>0</v>
      </c>
      <c r="AY87" s="262">
        <v>3445.41</v>
      </c>
      <c r="AZ87" s="262"/>
      <c r="BA87" s="262"/>
      <c r="BB87" s="262"/>
      <c r="BC87" s="262"/>
      <c r="BD87" s="262"/>
      <c r="BE87" s="262"/>
      <c r="BF87" s="262"/>
      <c r="BG87" s="262"/>
      <c r="BH87" s="262"/>
      <c r="BI87" s="262"/>
      <c r="BJ87" s="262"/>
      <c r="BK87" s="262"/>
      <c r="BL87" s="262"/>
      <c r="BM87" s="262"/>
      <c r="BN87" s="262"/>
      <c r="BO87" s="262"/>
      <c r="BP87" s="262"/>
      <c r="BQ87" s="262"/>
      <c r="BR87" s="262"/>
      <c r="BS87" s="262"/>
      <c r="BT87" s="262"/>
      <c r="BU87" s="262"/>
      <c r="BV87" s="262"/>
      <c r="BW87" s="263"/>
      <c r="BX87" s="263"/>
      <c r="BY87" s="263"/>
      <c r="BZ87" s="263"/>
      <c r="CA87" s="263"/>
      <c r="CB87" s="263"/>
      <c r="CC87" s="263"/>
      <c r="CD87" s="263"/>
      <c r="CE87" s="263"/>
      <c r="CF87" s="263"/>
      <c r="CG87" s="263"/>
      <c r="CH87" s="249">
        <f>+MAX($D$3,DATOS_[[#This Row],[Fecha Inicio Sit. Contract.]])</f>
        <v>45292</v>
      </c>
      <c r="CI87" s="249">
        <f>+MIN($D$4,DATOS_[[#This Row],[Fecha Fin Sit. Contract.]])</f>
        <v>45657</v>
      </c>
      <c r="CJ87" s="250">
        <f>+DATOS_[[#This Row],[% de jornada]]*IF(DATOS_[[#This Row],[% jornada reducida]]="",1,DATOS_[[#This Row],[% jornada reducida]])</f>
        <v>1</v>
      </c>
      <c r="CK87" s="250">
        <f>+(DATOS_[[#This Row],[F.fin.cal]]-DATOS_[[#This Row],[F.ini.cal]]+1)/($D$4-$D$3+1)</f>
        <v>1</v>
      </c>
      <c r="CL87" s="250" t="str">
        <f>IF(OR(AND(DATOS_[[#This Row],[Fecha Fin Contrato]]&lt;$D$3,DATOS_[[#This Row],[Fecha Fin Contrato]]&lt;&gt;""),DATOS_[[#This Row],[Fecha de Contratación]]&gt;$D$4),"Fuera","Dentro")</f>
        <v>Dentro</v>
      </c>
      <c r="CM87" s="250" t="str" cm="1">
        <f t="array" ref="CM87">IF(MAX(IF(DATOS_[id/cod]=DATOS_[[#This Row],[id/cod]],DATOS_[F.fin.cal]))=DATOS_[[#This Row],[F.fin.cal]],"Sí","NO")</f>
        <v>Sí</v>
      </c>
      <c r="CN87" s="250" t="str">
        <f>IF(AND(DATOS_[[#This Row],[% normaliz]]&lt;&gt;1,DATOS_[[#This Row],[% anualiz]]=1),"Sí","NO")</f>
        <v>NO</v>
      </c>
      <c r="CO87" s="250" t="str">
        <f>IF(AND(DATOS_[[#This Row],[% normaliz]]=1,DATOS_[[#This Row],[% anualiz]]&lt;&gt;1),"Sí","NO")</f>
        <v>NO</v>
      </c>
      <c r="CP87" s="250" t="str">
        <f>IF(AND(DATOS_[[#This Row],[% normaliz]]&lt;&gt;1,DATOS_[[#This Row],[% anualiz]]&lt;&gt;1),"Sí","NO")</f>
        <v>NO</v>
      </c>
      <c r="CQ87" s="250" t="str">
        <f>+IF(DATOS_[[#This Row],[% normaliz]]*DATOS_[[#This Row],[% anualiz]]=1,"NO","Sí")</f>
        <v>NO</v>
      </c>
      <c r="CR87" s="251">
        <f>(DATOS_[[#This Row],[S.BASE]]*(1/DATOS_[[#This Row],[% normaliz]])*(1/DATOS_[[#This Row],[% anualiz]]))*IF(DATOS_[[#This Row],[Check Equiparado]]="Sí",1,0)</f>
        <v>12879.24</v>
      </c>
      <c r="CS87"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10760.18</v>
      </c>
      <c r="CT87" s="251">
        <f>+DATOS_[[#This Row],[SALARIO BASE Eq]]+DATOS_[[#This Row],[Tot COMPL.SAL Eq]]</f>
        <v>23639.42</v>
      </c>
      <c r="CU87" s="251" cm="1">
        <f t="array" ref="CU87">(SUMPRODUCT((RngTipo=$CU$7)*(rngAnualizable="Sí")*(rngNormalizable="Sí")*(DATOS_[[#This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87" s="251">
        <f>+DATOS_[[#This Row],[TOTAL SALARIO Eq]]+DATOS_[[#This Row],[Tot Extrasalarial Eq]]</f>
        <v>23639.42</v>
      </c>
      <c r="CW87" s="252">
        <f>DATOS_[[#This Row],[S.BASE]]</f>
        <v>12879.24</v>
      </c>
      <c r="CX87" s="252">
        <f>+SUM(DATOS_[[#This Row],[Conc.Sal.01]:[Conc.Sal.30]])</f>
        <v>10760.18</v>
      </c>
      <c r="CY87" s="252">
        <f>+DATOS_[[#This Row],[SALARIO BASE Ef]]+DATOS_[[#This Row],[Tot COMPL.SAL Ef]]</f>
        <v>23639.42</v>
      </c>
      <c r="CZ87" s="252">
        <f>+SUM(DATOS_[[#This Row],[C.Extra.01]:[C.Extra.11]])</f>
        <v>0</v>
      </c>
      <c r="DA87" s="252">
        <f>+DATOS_[[#This Row],[TOTAL SALARIO Ef]]+DATOS_[[#This Row],[Tot Extrasalarial Ef]]</f>
        <v>23639.42</v>
      </c>
      <c r="DB87" s="109">
        <f>MIN(IF(DATOS_[[#This Row],[Fecha Fin Contrato]]="",$D$4,DATOS_[[#This Row],[Fecha Fin Contrato]]),$D$4)-MAX(DATOS_[[#This Row],[Fecha de Contratación]],$D$3)+1</f>
        <v>366</v>
      </c>
      <c r="DC87" s="110" t="str">
        <f>IF(COUNTIFS(DATOS_[id/cod],DATOS_[[#This Row],[id/cod]])&gt;1,DATOS_[[#This Row],[id/cod]],"")</f>
        <v/>
      </c>
      <c r="DD87" s="108">
        <f>(Inicio!$G$10-DATOS_[[#This Row],[Fecha Nacimiento]])/365.25</f>
        <v>45.848049281314168</v>
      </c>
      <c r="DE87" s="108">
        <f>(Inicio!$G$10-DATOS_[[#This Row],[Fecha de Antigüedad]])/365.25</f>
        <v>2.9869952087611225</v>
      </c>
      <c r="DF87" s="108" t="str">
        <f>+VLOOKUP(DATOS_[[#This Row],[Clave de Contrato]],TblTiposContrato13[],3,FALSE)</f>
        <v>Completa</v>
      </c>
      <c r="DG87" s="108" t="str">
        <f>+VLOOKUP(DATOS_[[#This Row],[Clave de Contrato]],TblTiposContrato13[],4,FALSE)</f>
        <v>Indefinido</v>
      </c>
      <c r="DH87" s="108" t="str">
        <f>VLOOKUP(DATOS_[[#This Row],[Edad]],CONTRATOS!TblRngEdad,2,TRUE)</f>
        <v>45 a 50</v>
      </c>
      <c r="DI87" s="108" t="str">
        <f>VLOOKUP(DATOS_[[#This Row],[Antigüedad]],TblRngAntg14[],2,TRUE)</f>
        <v>1 a 3  años</v>
      </c>
    </row>
    <row r="88" spans="1:113" x14ac:dyDescent="0.25">
      <c r="A88" s="303" t="s">
        <v>484</v>
      </c>
      <c r="B88" s="265">
        <v>78</v>
      </c>
      <c r="C88" s="264" t="s">
        <v>356</v>
      </c>
      <c r="D88" s="243">
        <v>33989</v>
      </c>
      <c r="E88" s="243" t="s">
        <v>414</v>
      </c>
      <c r="F88" s="245"/>
      <c r="G88" s="245"/>
      <c r="H88" s="266">
        <v>45005</v>
      </c>
      <c r="I88" s="268"/>
      <c r="J88" s="260">
        <v>45005</v>
      </c>
      <c r="K88" s="267"/>
      <c r="L88" s="267"/>
      <c r="M88" s="244">
        <v>1</v>
      </c>
      <c r="N88" s="244"/>
      <c r="O88" s="244"/>
      <c r="P88" s="245"/>
      <c r="Q88" s="242" t="s">
        <v>339</v>
      </c>
      <c r="R88" s="242" t="s">
        <v>339</v>
      </c>
      <c r="S88" s="242" t="s">
        <v>445</v>
      </c>
      <c r="T88" s="242" t="s">
        <v>341</v>
      </c>
      <c r="U88" s="242" t="s">
        <v>342</v>
      </c>
      <c r="V88" s="242"/>
      <c r="W88" s="242"/>
      <c r="X88" s="246"/>
      <c r="Y88" s="271">
        <v>14000425011981</v>
      </c>
      <c r="Z88" s="247"/>
      <c r="AA88" s="279" t="s">
        <v>343</v>
      </c>
      <c r="AB88" s="248"/>
      <c r="AC88" s="245">
        <v>7</v>
      </c>
      <c r="AD88" s="261"/>
      <c r="AE88" s="262"/>
      <c r="AF88" s="262"/>
      <c r="AG88" s="262"/>
      <c r="AH88" s="262"/>
      <c r="AI88" s="262"/>
      <c r="AJ88" s="262"/>
      <c r="AK88" s="262"/>
      <c r="AL88" s="262"/>
      <c r="AM88" s="262"/>
      <c r="AN88" s="262"/>
      <c r="AO88" s="262"/>
      <c r="AP88" s="262"/>
      <c r="AQ88" s="262"/>
      <c r="AR88" s="262"/>
      <c r="AS88" s="262"/>
      <c r="AT88" s="262"/>
      <c r="AU88" s="262"/>
      <c r="AV88" s="262"/>
      <c r="AW88" s="262"/>
      <c r="AX88" s="262"/>
      <c r="AY88" s="262"/>
      <c r="AZ88" s="262"/>
      <c r="BA88" s="262"/>
      <c r="BB88" s="262"/>
      <c r="BC88" s="262"/>
      <c r="BD88" s="262"/>
      <c r="BE88" s="262"/>
      <c r="BF88" s="262"/>
      <c r="BG88" s="262"/>
      <c r="BH88" s="262"/>
      <c r="BI88" s="262"/>
      <c r="BJ88" s="262"/>
      <c r="BK88" s="262"/>
      <c r="BL88" s="262"/>
      <c r="BM88" s="262"/>
      <c r="BN88" s="262"/>
      <c r="BO88" s="262"/>
      <c r="BP88" s="262"/>
      <c r="BQ88" s="262"/>
      <c r="BR88" s="262"/>
      <c r="BS88" s="262"/>
      <c r="BT88" s="262"/>
      <c r="BU88" s="262"/>
      <c r="BV88" s="262"/>
      <c r="BW88" s="263"/>
      <c r="BX88" s="263"/>
      <c r="BY88" s="263"/>
      <c r="BZ88" s="263"/>
      <c r="CA88" s="263"/>
      <c r="CB88" s="263"/>
      <c r="CC88" s="263"/>
      <c r="CD88" s="263"/>
      <c r="CE88" s="263"/>
      <c r="CF88" s="263"/>
      <c r="CG88" s="263"/>
      <c r="CH88" s="249">
        <f>+MAX($D$3,DATOS_[[#This Row],[Fecha Inicio Sit. Contract.]])</f>
        <v>45292</v>
      </c>
      <c r="CI88" s="249">
        <f>+MIN($D$4,DATOS_[[#This Row],[Fecha Fin Sit. Contract.]])</f>
        <v>45657</v>
      </c>
      <c r="CJ88" s="250">
        <f>+DATOS_[[#This Row],[% de jornada]]*IF(DATOS_[[#This Row],[% jornada reducida]]="",1,DATOS_[[#This Row],[% jornada reducida]])</f>
        <v>1</v>
      </c>
      <c r="CK88" s="250">
        <f>+(DATOS_[[#This Row],[F.fin.cal]]-DATOS_[[#This Row],[F.ini.cal]]+1)/($D$4-$D$3+1)</f>
        <v>1</v>
      </c>
      <c r="CL88" s="250" t="str">
        <f>IF(OR(AND(DATOS_[[#This Row],[Fecha Fin Contrato]]&lt;$D$3,DATOS_[[#This Row],[Fecha Fin Contrato]]&lt;&gt;""),DATOS_[[#This Row],[Fecha de Contratación]]&gt;$D$4),"Fuera","Dentro")</f>
        <v>Dentro</v>
      </c>
      <c r="CM88" s="250" t="str" cm="1">
        <f t="array" ref="CM88">IF(MAX(IF(DATOS_[id/cod]=DATOS_[[#This Row],[id/cod]],DATOS_[F.fin.cal]))=DATOS_[[#This Row],[F.fin.cal]],"Sí","NO")</f>
        <v>Sí</v>
      </c>
      <c r="CN88" s="250" t="str">
        <f>IF(AND(DATOS_[[#This Row],[% normaliz]]&lt;&gt;1,DATOS_[[#This Row],[% anualiz]]=1),"Sí","NO")</f>
        <v>NO</v>
      </c>
      <c r="CO88" s="250" t="str">
        <f>IF(AND(DATOS_[[#This Row],[% normaliz]]=1,DATOS_[[#This Row],[% anualiz]]&lt;&gt;1),"Sí","NO")</f>
        <v>NO</v>
      </c>
      <c r="CP88" s="250" t="str">
        <f>IF(AND(DATOS_[[#This Row],[% normaliz]]&lt;&gt;1,DATOS_[[#This Row],[% anualiz]]&lt;&gt;1),"Sí","NO")</f>
        <v>NO</v>
      </c>
      <c r="CQ88" s="250" t="str">
        <f>+IF(DATOS_[[#This Row],[% normaliz]]*DATOS_[[#This Row],[% anualiz]]=1,"NO","Sí")</f>
        <v>NO</v>
      </c>
      <c r="CR88" s="251">
        <f>(DATOS_[[#This Row],[S.BASE]]*(1/DATOS_[[#This Row],[% normaliz]])*(1/DATOS_[[#This Row],[% anualiz]]))*IF(DATOS_[[#This Row],[Check Equiparado]]="Sí",1,0)</f>
        <v>0</v>
      </c>
      <c r="CS88"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88" s="251">
        <f>+DATOS_[[#This Row],[SALARIO BASE Eq]]+DATOS_[[#This Row],[Tot COMPL.SAL Eq]]</f>
        <v>0</v>
      </c>
      <c r="CU88" s="251" cm="1">
        <f t="array" ref="CU88">(SUMPRODUCT((RngTipo=$CU$7)*(rngAnualizable="Sí")*(rngNormalizable="Sí")*(DATOS_[[#This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88" s="251">
        <f>+DATOS_[[#This Row],[TOTAL SALARIO Eq]]+DATOS_[[#This Row],[Tot Extrasalarial Eq]]</f>
        <v>0</v>
      </c>
      <c r="CW88" s="252">
        <f>DATOS_[[#This Row],[S.BASE]]</f>
        <v>0</v>
      </c>
      <c r="CX88" s="252">
        <f>+SUM(DATOS_[[#This Row],[Conc.Sal.01]:[Conc.Sal.30]])</f>
        <v>0</v>
      </c>
      <c r="CY88" s="252">
        <f>+DATOS_[[#This Row],[SALARIO BASE Ef]]+DATOS_[[#This Row],[Tot COMPL.SAL Ef]]</f>
        <v>0</v>
      </c>
      <c r="CZ88" s="252">
        <f>+SUM(DATOS_[[#This Row],[C.Extra.01]:[C.Extra.11]])</f>
        <v>0</v>
      </c>
      <c r="DA88" s="252">
        <f>+DATOS_[[#This Row],[TOTAL SALARIO Ef]]+DATOS_[[#This Row],[Tot Extrasalarial Ef]]</f>
        <v>0</v>
      </c>
      <c r="DB88" s="109">
        <f>MIN(IF(DATOS_[[#This Row],[Fecha Fin Contrato]]="",$D$4,DATOS_[[#This Row],[Fecha Fin Contrato]]),$D$4)-MAX(DATOS_[[#This Row],[Fecha de Contratación]],$D$3)+1</f>
        <v>366</v>
      </c>
      <c r="DC88" s="110" t="str">
        <f>IF(COUNTIFS(DATOS_[id/cod],DATOS_[[#This Row],[id/cod]])&gt;1,DATOS_[[#This Row],[id/cod]],"")</f>
        <v/>
      </c>
      <c r="DD88" s="108">
        <f>(Inicio!$G$10-DATOS_[[#This Row],[Fecha Nacimiento]])/365.25</f>
        <v>31.945242984257359</v>
      </c>
      <c r="DE88" s="108">
        <f>(Inicio!$G$10-DATOS_[[#This Row],[Fecha de Antigüedad]])/365.25</f>
        <v>1.78507871321013</v>
      </c>
      <c r="DF88" s="108" t="e">
        <f>+VLOOKUP(DATOS_[[#This Row],[Clave de Contrato]],TblTiposContrato13[],3,FALSE)</f>
        <v>#N/A</v>
      </c>
      <c r="DG88" s="108" t="e">
        <f>+VLOOKUP(DATOS_[[#This Row],[Clave de Contrato]],TblTiposContrato13[],4,FALSE)</f>
        <v>#N/A</v>
      </c>
      <c r="DH88" s="108" t="str">
        <f>VLOOKUP(DATOS_[[#This Row],[Edad]],CONTRATOS!TblRngEdad,2,TRUE)</f>
        <v>30 a 35</v>
      </c>
      <c r="DI88" s="108" t="str">
        <f>VLOOKUP(DATOS_[[#This Row],[Antigüedad]],TblRngAntg14[],2,TRUE)</f>
        <v>1 a 3  años</v>
      </c>
    </row>
    <row r="89" spans="1:113" x14ac:dyDescent="0.25">
      <c r="A89" s="303" t="s">
        <v>485</v>
      </c>
      <c r="B89" s="265">
        <v>79</v>
      </c>
      <c r="C89" s="264" t="s">
        <v>356</v>
      </c>
      <c r="D89" s="243">
        <v>31654</v>
      </c>
      <c r="E89" s="243" t="s">
        <v>351</v>
      </c>
      <c r="F89" s="245"/>
      <c r="G89" s="245"/>
      <c r="H89" s="266">
        <v>45005</v>
      </c>
      <c r="I89" s="268"/>
      <c r="J89" s="260">
        <v>45005</v>
      </c>
      <c r="K89" s="267"/>
      <c r="L89" s="267"/>
      <c r="M89" s="244">
        <v>1</v>
      </c>
      <c r="N89" s="244"/>
      <c r="O89" s="244"/>
      <c r="P89" s="245"/>
      <c r="Q89" s="242" t="s">
        <v>339</v>
      </c>
      <c r="R89" s="242" t="s">
        <v>339</v>
      </c>
      <c r="S89" s="242" t="s">
        <v>445</v>
      </c>
      <c r="T89" s="242" t="s">
        <v>341</v>
      </c>
      <c r="U89" s="242" t="s">
        <v>342</v>
      </c>
      <c r="V89" s="242"/>
      <c r="W89" s="242"/>
      <c r="X89" s="246"/>
      <c r="Y89" s="271">
        <v>14000425011981</v>
      </c>
      <c r="Z89" s="247"/>
      <c r="AA89" s="279" t="s">
        <v>343</v>
      </c>
      <c r="AB89" s="248"/>
      <c r="AC89" s="245">
        <v>7</v>
      </c>
      <c r="AD89" s="261"/>
      <c r="AE89" s="262"/>
      <c r="AF89" s="262"/>
      <c r="AG89" s="262"/>
      <c r="AH89" s="262"/>
      <c r="AI89" s="262"/>
      <c r="AJ89" s="262"/>
      <c r="AK89" s="262"/>
      <c r="AL89" s="262"/>
      <c r="AM89" s="262"/>
      <c r="AN89" s="262"/>
      <c r="AO89" s="262"/>
      <c r="AP89" s="262"/>
      <c r="AQ89" s="262"/>
      <c r="AR89" s="262"/>
      <c r="AS89" s="262"/>
      <c r="AT89" s="262"/>
      <c r="AU89" s="262"/>
      <c r="AV89" s="262"/>
      <c r="AW89" s="262"/>
      <c r="AX89" s="262"/>
      <c r="AY89" s="262"/>
      <c r="AZ89" s="262"/>
      <c r="BA89" s="262"/>
      <c r="BB89" s="262"/>
      <c r="BC89" s="262"/>
      <c r="BD89" s="262"/>
      <c r="BE89" s="262"/>
      <c r="BF89" s="262"/>
      <c r="BG89" s="262"/>
      <c r="BH89" s="262"/>
      <c r="BI89" s="262"/>
      <c r="BJ89" s="262"/>
      <c r="BK89" s="262"/>
      <c r="BL89" s="262"/>
      <c r="BM89" s="262"/>
      <c r="BN89" s="262"/>
      <c r="BO89" s="262"/>
      <c r="BP89" s="262"/>
      <c r="BQ89" s="262"/>
      <c r="BR89" s="262"/>
      <c r="BS89" s="262"/>
      <c r="BT89" s="262"/>
      <c r="BU89" s="262"/>
      <c r="BV89" s="262"/>
      <c r="BW89" s="263"/>
      <c r="BX89" s="263"/>
      <c r="BY89" s="263"/>
      <c r="BZ89" s="263"/>
      <c r="CA89" s="263"/>
      <c r="CB89" s="263"/>
      <c r="CC89" s="263"/>
      <c r="CD89" s="263"/>
      <c r="CE89" s="263"/>
      <c r="CF89" s="263"/>
      <c r="CG89" s="263"/>
      <c r="CH89" s="249">
        <f>+MAX($D$3,DATOS_[[#This Row],[Fecha Inicio Sit. Contract.]])</f>
        <v>45292</v>
      </c>
      <c r="CI89" s="249">
        <f>+MIN($D$4,DATOS_[[#This Row],[Fecha Fin Sit. Contract.]])</f>
        <v>45657</v>
      </c>
      <c r="CJ89" s="250">
        <f>+DATOS_[[#This Row],[% de jornada]]*IF(DATOS_[[#This Row],[% jornada reducida]]="",1,DATOS_[[#This Row],[% jornada reducida]])</f>
        <v>1</v>
      </c>
      <c r="CK89" s="250">
        <f>+(DATOS_[[#This Row],[F.fin.cal]]-DATOS_[[#This Row],[F.ini.cal]]+1)/($D$4-$D$3+1)</f>
        <v>1</v>
      </c>
      <c r="CL89" s="250" t="str">
        <f>IF(OR(AND(DATOS_[[#This Row],[Fecha Fin Contrato]]&lt;$D$3,DATOS_[[#This Row],[Fecha Fin Contrato]]&lt;&gt;""),DATOS_[[#This Row],[Fecha de Contratación]]&gt;$D$4),"Fuera","Dentro")</f>
        <v>Dentro</v>
      </c>
      <c r="CM89" s="250" t="str" cm="1">
        <f t="array" ref="CM89">IF(MAX(IF(DATOS_[id/cod]=DATOS_[[#This Row],[id/cod]],DATOS_[F.fin.cal]))=DATOS_[[#This Row],[F.fin.cal]],"Sí","NO")</f>
        <v>Sí</v>
      </c>
      <c r="CN89" s="250" t="str">
        <f>IF(AND(DATOS_[[#This Row],[% normaliz]]&lt;&gt;1,DATOS_[[#This Row],[% anualiz]]=1),"Sí","NO")</f>
        <v>NO</v>
      </c>
      <c r="CO89" s="250" t="str">
        <f>IF(AND(DATOS_[[#This Row],[% normaliz]]=1,DATOS_[[#This Row],[% anualiz]]&lt;&gt;1),"Sí","NO")</f>
        <v>NO</v>
      </c>
      <c r="CP89" s="250" t="str">
        <f>IF(AND(DATOS_[[#This Row],[% normaliz]]&lt;&gt;1,DATOS_[[#This Row],[% anualiz]]&lt;&gt;1),"Sí","NO")</f>
        <v>NO</v>
      </c>
      <c r="CQ89" s="250" t="str">
        <f>+IF(DATOS_[[#This Row],[% normaliz]]*DATOS_[[#This Row],[% anualiz]]=1,"NO","Sí")</f>
        <v>NO</v>
      </c>
      <c r="CR89" s="251">
        <f>(DATOS_[[#This Row],[S.BASE]]*(1/DATOS_[[#This Row],[% normaliz]])*(1/DATOS_[[#This Row],[% anualiz]]))*IF(DATOS_[[#This Row],[Check Equiparado]]="Sí",1,0)</f>
        <v>0</v>
      </c>
      <c r="CS89"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89" s="251">
        <f>+DATOS_[[#This Row],[SALARIO BASE Eq]]+DATOS_[[#This Row],[Tot COMPL.SAL Eq]]</f>
        <v>0</v>
      </c>
      <c r="CU89" s="251" cm="1">
        <f t="array" ref="CU89">(SUMPRODUCT((RngTipo=$CU$7)*(rngAnualizable="Sí")*(rngNormalizable="Sí")*(DATOS_[[#This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89" s="251">
        <f>+DATOS_[[#This Row],[TOTAL SALARIO Eq]]+DATOS_[[#This Row],[Tot Extrasalarial Eq]]</f>
        <v>0</v>
      </c>
      <c r="CW89" s="252">
        <f>DATOS_[[#This Row],[S.BASE]]</f>
        <v>0</v>
      </c>
      <c r="CX89" s="252">
        <f>+SUM(DATOS_[[#This Row],[Conc.Sal.01]:[Conc.Sal.30]])</f>
        <v>0</v>
      </c>
      <c r="CY89" s="252">
        <f>+DATOS_[[#This Row],[SALARIO BASE Ef]]+DATOS_[[#This Row],[Tot COMPL.SAL Ef]]</f>
        <v>0</v>
      </c>
      <c r="CZ89" s="252">
        <f>+SUM(DATOS_[[#This Row],[C.Extra.01]:[C.Extra.11]])</f>
        <v>0</v>
      </c>
      <c r="DA89" s="252">
        <f>+DATOS_[[#This Row],[TOTAL SALARIO Ef]]+DATOS_[[#This Row],[Tot Extrasalarial Ef]]</f>
        <v>0</v>
      </c>
      <c r="DB89" s="109">
        <f>MIN(IF(DATOS_[[#This Row],[Fecha Fin Contrato]]="",$D$4,DATOS_[[#This Row],[Fecha Fin Contrato]]),$D$4)-MAX(DATOS_[[#This Row],[Fecha de Contratación]],$D$3)+1</f>
        <v>366</v>
      </c>
      <c r="DC89" s="110" t="str">
        <f>IF(COUNTIFS(DATOS_[id/cod],DATOS_[[#This Row],[id/cod]])&gt;1,DATOS_[[#This Row],[id/cod]],"")</f>
        <v/>
      </c>
      <c r="DD89" s="108">
        <f>(Inicio!$G$10-DATOS_[[#This Row],[Fecha Nacimiento]])/365.25</f>
        <v>38.338124572210816</v>
      </c>
      <c r="DE89" s="108">
        <f>(Inicio!$G$10-DATOS_[[#This Row],[Fecha de Antigüedad]])/365.25</f>
        <v>1.78507871321013</v>
      </c>
      <c r="DF89" s="108" t="e">
        <f>+VLOOKUP(DATOS_[[#This Row],[Clave de Contrato]],TblTiposContrato13[],3,FALSE)</f>
        <v>#N/A</v>
      </c>
      <c r="DG89" s="108" t="e">
        <f>+VLOOKUP(DATOS_[[#This Row],[Clave de Contrato]],TblTiposContrato13[],4,FALSE)</f>
        <v>#N/A</v>
      </c>
      <c r="DH89" s="108" t="str">
        <f>VLOOKUP(DATOS_[[#This Row],[Edad]],CONTRATOS!TblRngEdad,2,TRUE)</f>
        <v>35 a 40</v>
      </c>
      <c r="DI89" s="108" t="str">
        <f>VLOOKUP(DATOS_[[#This Row],[Antigüedad]],TblRngAntg14[],2,TRUE)</f>
        <v>1 a 3  años</v>
      </c>
    </row>
    <row r="90" spans="1:113" x14ac:dyDescent="0.25">
      <c r="A90" s="303" t="s">
        <v>486</v>
      </c>
      <c r="B90" s="265">
        <v>80</v>
      </c>
      <c r="C90" s="264" t="s">
        <v>356</v>
      </c>
      <c r="D90" s="243">
        <v>30634</v>
      </c>
      <c r="E90" s="243" t="s">
        <v>361</v>
      </c>
      <c r="F90" s="245"/>
      <c r="G90" s="245"/>
      <c r="H90" s="266">
        <v>45006</v>
      </c>
      <c r="I90" s="268"/>
      <c r="J90" s="260">
        <v>45006</v>
      </c>
      <c r="K90" s="267"/>
      <c r="L90" s="267"/>
      <c r="M90" s="244">
        <v>1</v>
      </c>
      <c r="N90" s="244"/>
      <c r="O90" s="244"/>
      <c r="P90" s="245"/>
      <c r="Q90" s="242" t="s">
        <v>375</v>
      </c>
      <c r="R90" s="242" t="s">
        <v>375</v>
      </c>
      <c r="S90" s="242" t="s">
        <v>487</v>
      </c>
      <c r="T90" s="242" t="s">
        <v>341</v>
      </c>
      <c r="U90" s="242" t="s">
        <v>367</v>
      </c>
      <c r="V90" s="242"/>
      <c r="W90" s="242"/>
      <c r="X90" s="246"/>
      <c r="Y90" s="271">
        <v>14000425011981</v>
      </c>
      <c r="Z90" s="247"/>
      <c r="AA90" s="279" t="s">
        <v>343</v>
      </c>
      <c r="AB90" s="248"/>
      <c r="AC90" s="245">
        <v>7</v>
      </c>
      <c r="AD90" s="261"/>
      <c r="AE90" s="262"/>
      <c r="AF90" s="262"/>
      <c r="AG90" s="262"/>
      <c r="AH90" s="262"/>
      <c r="AI90" s="262"/>
      <c r="AJ90" s="262"/>
      <c r="AK90" s="262"/>
      <c r="AL90" s="262"/>
      <c r="AM90" s="262"/>
      <c r="AN90" s="262"/>
      <c r="AO90" s="262"/>
      <c r="AP90" s="262"/>
      <c r="AQ90" s="262"/>
      <c r="AR90" s="262"/>
      <c r="AS90" s="262"/>
      <c r="AT90" s="262"/>
      <c r="AU90" s="262"/>
      <c r="AV90" s="262"/>
      <c r="AW90" s="262"/>
      <c r="AX90" s="262"/>
      <c r="AY90" s="262"/>
      <c r="AZ90" s="262"/>
      <c r="BA90" s="262"/>
      <c r="BB90" s="262"/>
      <c r="BC90" s="262"/>
      <c r="BD90" s="262"/>
      <c r="BE90" s="262"/>
      <c r="BF90" s="262"/>
      <c r="BG90" s="262"/>
      <c r="BH90" s="262"/>
      <c r="BI90" s="262"/>
      <c r="BJ90" s="262"/>
      <c r="BK90" s="262"/>
      <c r="BL90" s="262"/>
      <c r="BM90" s="262"/>
      <c r="BN90" s="262"/>
      <c r="BO90" s="262"/>
      <c r="BP90" s="262"/>
      <c r="BQ90" s="262"/>
      <c r="BR90" s="262"/>
      <c r="BS90" s="262"/>
      <c r="BT90" s="262"/>
      <c r="BU90" s="262"/>
      <c r="BV90" s="262"/>
      <c r="BW90" s="263"/>
      <c r="BX90" s="263"/>
      <c r="BY90" s="263"/>
      <c r="BZ90" s="263"/>
      <c r="CA90" s="263"/>
      <c r="CB90" s="263"/>
      <c r="CC90" s="263"/>
      <c r="CD90" s="263"/>
      <c r="CE90" s="263"/>
      <c r="CF90" s="263"/>
      <c r="CG90" s="263"/>
      <c r="CH90" s="249">
        <f>+MAX($D$3,DATOS_[[#This Row],[Fecha Inicio Sit. Contract.]])</f>
        <v>45292</v>
      </c>
      <c r="CI90" s="249">
        <f>+MIN($D$4,DATOS_[[#This Row],[Fecha Fin Sit. Contract.]])</f>
        <v>45657</v>
      </c>
      <c r="CJ90" s="250">
        <f>+DATOS_[[#This Row],[% de jornada]]*IF(DATOS_[[#This Row],[% jornada reducida]]="",1,DATOS_[[#This Row],[% jornada reducida]])</f>
        <v>1</v>
      </c>
      <c r="CK90" s="250">
        <f>+(DATOS_[[#This Row],[F.fin.cal]]-DATOS_[[#This Row],[F.ini.cal]]+1)/($D$4-$D$3+1)</f>
        <v>1</v>
      </c>
      <c r="CL90" s="250" t="str">
        <f>IF(OR(AND(DATOS_[[#This Row],[Fecha Fin Contrato]]&lt;$D$3,DATOS_[[#This Row],[Fecha Fin Contrato]]&lt;&gt;""),DATOS_[[#This Row],[Fecha de Contratación]]&gt;$D$4),"Fuera","Dentro")</f>
        <v>Dentro</v>
      </c>
      <c r="CM90" s="250" t="str" cm="1">
        <f t="array" ref="CM90">IF(MAX(IF(DATOS_[id/cod]=DATOS_[[#This Row],[id/cod]],DATOS_[F.fin.cal]))=DATOS_[[#This Row],[F.fin.cal]],"Sí","NO")</f>
        <v>Sí</v>
      </c>
      <c r="CN90" s="250" t="str">
        <f>IF(AND(DATOS_[[#This Row],[% normaliz]]&lt;&gt;1,DATOS_[[#This Row],[% anualiz]]=1),"Sí","NO")</f>
        <v>NO</v>
      </c>
      <c r="CO90" s="250" t="str">
        <f>IF(AND(DATOS_[[#This Row],[% normaliz]]=1,DATOS_[[#This Row],[% anualiz]]&lt;&gt;1),"Sí","NO")</f>
        <v>NO</v>
      </c>
      <c r="CP90" s="250" t="str">
        <f>IF(AND(DATOS_[[#This Row],[% normaliz]]&lt;&gt;1,DATOS_[[#This Row],[% anualiz]]&lt;&gt;1),"Sí","NO")</f>
        <v>NO</v>
      </c>
      <c r="CQ90" s="250" t="str">
        <f>+IF(DATOS_[[#This Row],[% normaliz]]*DATOS_[[#This Row],[% anualiz]]=1,"NO","Sí")</f>
        <v>NO</v>
      </c>
      <c r="CR90" s="251">
        <f>(DATOS_[[#This Row],[S.BASE]]*(1/DATOS_[[#This Row],[% normaliz]])*(1/DATOS_[[#This Row],[% anualiz]]))*IF(DATOS_[[#This Row],[Check Equiparado]]="Sí",1,0)</f>
        <v>0</v>
      </c>
      <c r="CS90"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90" s="251">
        <f>+DATOS_[[#This Row],[SALARIO BASE Eq]]+DATOS_[[#This Row],[Tot COMPL.SAL Eq]]</f>
        <v>0</v>
      </c>
      <c r="CU90" s="251" cm="1">
        <f t="array" ref="CU90">(SUMPRODUCT((RngTipo=$CU$7)*(rngAnualizable="Sí")*(rngNormalizable="Sí")*(DATOS_[[#This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90" s="251">
        <f>+DATOS_[[#This Row],[TOTAL SALARIO Eq]]+DATOS_[[#This Row],[Tot Extrasalarial Eq]]</f>
        <v>0</v>
      </c>
      <c r="CW90" s="252">
        <f>DATOS_[[#This Row],[S.BASE]]</f>
        <v>0</v>
      </c>
      <c r="CX90" s="252">
        <f>+SUM(DATOS_[[#This Row],[Conc.Sal.01]:[Conc.Sal.30]])</f>
        <v>0</v>
      </c>
      <c r="CY90" s="252">
        <f>+DATOS_[[#This Row],[SALARIO BASE Ef]]+DATOS_[[#This Row],[Tot COMPL.SAL Ef]]</f>
        <v>0</v>
      </c>
      <c r="CZ90" s="252">
        <f>+SUM(DATOS_[[#This Row],[C.Extra.01]:[C.Extra.11]])</f>
        <v>0</v>
      </c>
      <c r="DA90" s="252">
        <f>+DATOS_[[#This Row],[TOTAL SALARIO Ef]]+DATOS_[[#This Row],[Tot Extrasalarial Ef]]</f>
        <v>0</v>
      </c>
      <c r="DB90" s="109">
        <f>MIN(IF(DATOS_[[#This Row],[Fecha Fin Contrato]]="",$D$4,DATOS_[[#This Row],[Fecha Fin Contrato]]),$D$4)-MAX(DATOS_[[#This Row],[Fecha de Contratación]],$D$3)+1</f>
        <v>366</v>
      </c>
      <c r="DC90" s="110" t="str">
        <f>IF(COUNTIFS(DATOS_[id/cod],DATOS_[[#This Row],[id/cod]])&gt;1,DATOS_[[#This Row],[id/cod]],"")</f>
        <v/>
      </c>
      <c r="DD90" s="108">
        <f>(Inicio!$G$10-DATOS_[[#This Row],[Fecha Nacimiento]])/365.25</f>
        <v>41.130732375085557</v>
      </c>
      <c r="DE90" s="108">
        <f>(Inicio!$G$10-DATOS_[[#This Row],[Fecha de Antigüedad]])/365.25</f>
        <v>1.7823408624229979</v>
      </c>
      <c r="DF90" s="108" t="e">
        <f>+VLOOKUP(DATOS_[[#This Row],[Clave de Contrato]],TblTiposContrato13[],3,FALSE)</f>
        <v>#N/A</v>
      </c>
      <c r="DG90" s="108" t="e">
        <f>+VLOOKUP(DATOS_[[#This Row],[Clave de Contrato]],TblTiposContrato13[],4,FALSE)</f>
        <v>#N/A</v>
      </c>
      <c r="DH90" s="108" t="str">
        <f>VLOOKUP(DATOS_[[#This Row],[Edad]],CONTRATOS!TblRngEdad,2,TRUE)</f>
        <v>40 a 45</v>
      </c>
      <c r="DI90" s="108" t="str">
        <f>VLOOKUP(DATOS_[[#This Row],[Antigüedad]],TblRngAntg14[],2,TRUE)</f>
        <v>1 a 3  años</v>
      </c>
    </row>
    <row r="91" spans="1:113" x14ac:dyDescent="0.25">
      <c r="A91" s="303" t="s">
        <v>488</v>
      </c>
      <c r="B91" s="265">
        <v>81</v>
      </c>
      <c r="C91" s="264" t="s">
        <v>356</v>
      </c>
      <c r="D91" s="243">
        <v>29347</v>
      </c>
      <c r="E91" s="243" t="s">
        <v>351</v>
      </c>
      <c r="F91" s="245"/>
      <c r="G91" s="245"/>
      <c r="H91" s="266">
        <v>45017</v>
      </c>
      <c r="I91" s="268"/>
      <c r="J91" s="260">
        <v>45017</v>
      </c>
      <c r="K91" s="267"/>
      <c r="L91" s="267">
        <v>44948</v>
      </c>
      <c r="M91" s="244">
        <v>1</v>
      </c>
      <c r="N91" s="244"/>
      <c r="O91" s="244"/>
      <c r="P91" s="245"/>
      <c r="Q91" s="242" t="s">
        <v>375</v>
      </c>
      <c r="R91" s="242" t="s">
        <v>375</v>
      </c>
      <c r="S91" s="242" t="s">
        <v>489</v>
      </c>
      <c r="T91" s="242" t="s">
        <v>341</v>
      </c>
      <c r="U91" s="242" t="s">
        <v>367</v>
      </c>
      <c r="V91" s="242"/>
      <c r="W91" s="242"/>
      <c r="X91" s="246"/>
      <c r="Y91" s="271">
        <v>14000425011981</v>
      </c>
      <c r="Z91" s="247"/>
      <c r="AA91" s="279" t="s">
        <v>343</v>
      </c>
      <c r="AB91" s="248"/>
      <c r="AC91" s="245">
        <v>7</v>
      </c>
      <c r="AD91" s="261"/>
      <c r="AE91" s="262"/>
      <c r="AF91" s="262"/>
      <c r="AG91" s="262"/>
      <c r="AH91" s="262"/>
      <c r="AI91" s="262"/>
      <c r="AJ91" s="262"/>
      <c r="AK91" s="277"/>
      <c r="AL91" s="277"/>
      <c r="AM91" s="262"/>
      <c r="AN91" s="262"/>
      <c r="AO91" s="277"/>
      <c r="AP91" s="277"/>
      <c r="AQ91" s="277"/>
      <c r="AR91" s="277"/>
      <c r="AS91" s="277"/>
      <c r="AT91" s="277"/>
      <c r="AU91" s="277"/>
      <c r="AV91" s="277"/>
      <c r="AW91" s="277"/>
      <c r="AX91" s="277"/>
      <c r="AY91" s="277"/>
      <c r="AZ91" s="277"/>
      <c r="BA91" s="277"/>
      <c r="BB91" s="277"/>
      <c r="BC91" s="261"/>
      <c r="BD91" s="261"/>
      <c r="BE91" s="261"/>
      <c r="BF91" s="261"/>
      <c r="BG91" s="261"/>
      <c r="BH91" s="261"/>
      <c r="BI91" s="261"/>
      <c r="BJ91" s="261"/>
      <c r="BK91" s="261"/>
      <c r="BL91" s="261"/>
      <c r="BM91" s="261"/>
      <c r="BN91" s="261"/>
      <c r="BO91" s="261"/>
      <c r="BP91" s="261"/>
      <c r="BQ91" s="261"/>
      <c r="BR91" s="261"/>
      <c r="BS91" s="261"/>
      <c r="BT91" s="261"/>
      <c r="BU91" s="261"/>
      <c r="BV91" s="261"/>
      <c r="BW91" s="263"/>
      <c r="BX91" s="263"/>
      <c r="BY91" s="263"/>
      <c r="BZ91" s="263"/>
      <c r="CA91" s="263"/>
      <c r="CB91" s="263"/>
      <c r="CC91" s="263"/>
      <c r="CD91" s="278"/>
      <c r="CE91" s="278"/>
      <c r="CF91" s="278"/>
      <c r="CG91" s="263"/>
      <c r="CH91" s="249">
        <f>+MAX($D$3,DATOS_[[#This Row],[Fecha Inicio Sit. Contract.]])</f>
        <v>45292</v>
      </c>
      <c r="CI91" s="249">
        <f>+MIN($D$4,DATOS_[[#This Row],[Fecha Fin Sit. Contract.]])</f>
        <v>44948</v>
      </c>
      <c r="CJ91" s="250">
        <f>+DATOS_[[#This Row],[% de jornada]]*IF(DATOS_[[#This Row],[% jornada reducida]]="",1,DATOS_[[#This Row],[% jornada reducida]])</f>
        <v>1</v>
      </c>
      <c r="CK91" s="250">
        <f>+(DATOS_[[#This Row],[F.fin.cal]]-DATOS_[[#This Row],[F.ini.cal]]+1)/($D$4-$D$3+1)</f>
        <v>-0.93715846994535523</v>
      </c>
      <c r="CL91" s="250" t="str">
        <f>IF(OR(AND(DATOS_[[#This Row],[Fecha Fin Contrato]]&lt;$D$3,DATOS_[[#This Row],[Fecha Fin Contrato]]&lt;&gt;""),DATOS_[[#This Row],[Fecha de Contratación]]&gt;$D$4),"Fuera","Dentro")</f>
        <v>Dentro</v>
      </c>
      <c r="CM91" s="250" t="str" cm="1">
        <f t="array" ref="CM91">IF(MAX(IF(DATOS_[id/cod]=DATOS_[[#This Row],[id/cod]],DATOS_[F.fin.cal]))=DATOS_[[#This Row],[F.fin.cal]],"Sí","NO")</f>
        <v>Sí</v>
      </c>
      <c r="CN91" s="250" t="str">
        <f>IF(AND(DATOS_[[#This Row],[% normaliz]]&lt;&gt;1,DATOS_[[#This Row],[% anualiz]]=1),"Sí","NO")</f>
        <v>NO</v>
      </c>
      <c r="CO91" s="250" t="str">
        <f>IF(AND(DATOS_[[#This Row],[% normaliz]]=1,DATOS_[[#This Row],[% anualiz]]&lt;&gt;1),"Sí","NO")</f>
        <v>Sí</v>
      </c>
      <c r="CP91" s="250" t="str">
        <f>IF(AND(DATOS_[[#This Row],[% normaliz]]&lt;&gt;1,DATOS_[[#This Row],[% anualiz]]&lt;&gt;1),"Sí","NO")</f>
        <v>NO</v>
      </c>
      <c r="CQ91" s="250" t="str">
        <f>+IF(DATOS_[[#This Row],[% normaliz]]*DATOS_[[#This Row],[% anualiz]]=1,"NO","Sí")</f>
        <v>Sí</v>
      </c>
      <c r="CR91" s="251">
        <f>(DATOS_[[#This Row],[S.BASE]]*(1/DATOS_[[#This Row],[% normaliz]])*(1/DATOS_[[#This Row],[% anualiz]]))*IF(DATOS_[[#This Row],[Check Equiparado]]="Sí",1,0)</f>
        <v>0</v>
      </c>
      <c r="CS91"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91" s="251">
        <f>+DATOS_[[#This Row],[SALARIO BASE Eq]]+DATOS_[[#This Row],[Tot COMPL.SAL Eq]]</f>
        <v>0</v>
      </c>
      <c r="CU91" s="251" cm="1">
        <f t="array" ref="CU91">(SUMPRODUCT((RngTipo=$CU$7)*(rngAnualizable="Sí")*(rngNormalizable="Sí")*(DATOS_[[#This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91" s="251">
        <f>+DATOS_[[#This Row],[TOTAL SALARIO Eq]]+DATOS_[[#This Row],[Tot Extrasalarial Eq]]</f>
        <v>0</v>
      </c>
      <c r="CW91" s="252">
        <f>DATOS_[[#This Row],[S.BASE]]</f>
        <v>0</v>
      </c>
      <c r="CX91" s="252">
        <f>+SUM(DATOS_[[#This Row],[Conc.Sal.01]:[Conc.Sal.30]])</f>
        <v>0</v>
      </c>
      <c r="CY91" s="252">
        <f>+DATOS_[[#This Row],[SALARIO BASE Ef]]+DATOS_[[#This Row],[Tot COMPL.SAL Ef]]</f>
        <v>0</v>
      </c>
      <c r="CZ91" s="252">
        <f>+SUM(DATOS_[[#This Row],[C.Extra.01]:[C.Extra.11]])</f>
        <v>0</v>
      </c>
      <c r="DA91" s="252">
        <f>+DATOS_[[#This Row],[TOTAL SALARIO Ef]]+DATOS_[[#This Row],[Tot Extrasalarial Ef]]</f>
        <v>0</v>
      </c>
      <c r="DB91" s="109">
        <f>MIN(IF(DATOS_[[#This Row],[Fecha Fin Contrato]]="",$D$4,DATOS_[[#This Row],[Fecha Fin Contrato]]),$D$4)-MAX(DATOS_[[#This Row],[Fecha de Contratación]],$D$3)+1</f>
        <v>366</v>
      </c>
      <c r="DC91" s="110" t="str">
        <f>IF(COUNTIFS(DATOS_[id/cod],DATOS_[[#This Row],[id/cod]])&gt;1,DATOS_[[#This Row],[id/cod]],"")</f>
        <v/>
      </c>
      <c r="DD91" s="108">
        <f>(Inicio!$G$10-DATOS_[[#This Row],[Fecha Nacimiento]])/365.25</f>
        <v>44.654346338124569</v>
      </c>
      <c r="DE91" s="108">
        <f>(Inicio!$G$10-DATOS_[[#This Row],[Fecha de Antigüedad]])/365.25</f>
        <v>1.7522245037645447</v>
      </c>
      <c r="DF91" s="108" t="e">
        <f>+VLOOKUP(DATOS_[[#This Row],[Clave de Contrato]],TblTiposContrato13[],3,FALSE)</f>
        <v>#N/A</v>
      </c>
      <c r="DG91" s="108" t="e">
        <f>+VLOOKUP(DATOS_[[#This Row],[Clave de Contrato]],TblTiposContrato13[],4,FALSE)</f>
        <v>#N/A</v>
      </c>
      <c r="DH91" s="108" t="str">
        <f>VLOOKUP(DATOS_[[#This Row],[Edad]],CONTRATOS!TblRngEdad,2,TRUE)</f>
        <v>40 a 45</v>
      </c>
      <c r="DI91" s="108" t="str">
        <f>VLOOKUP(DATOS_[[#This Row],[Antigüedad]],TblRngAntg14[],2,TRUE)</f>
        <v>1 a 3  años</v>
      </c>
    </row>
    <row r="92" spans="1:113" x14ac:dyDescent="0.25">
      <c r="A92" s="303" t="s">
        <v>490</v>
      </c>
      <c r="B92" s="265">
        <v>82</v>
      </c>
      <c r="C92" s="264" t="s">
        <v>356</v>
      </c>
      <c r="D92" s="243">
        <v>23679</v>
      </c>
      <c r="E92" s="243" t="s">
        <v>373</v>
      </c>
      <c r="F92" s="245"/>
      <c r="G92" s="245"/>
      <c r="H92" s="266">
        <v>45084</v>
      </c>
      <c r="I92" s="268"/>
      <c r="J92" s="260">
        <v>45084</v>
      </c>
      <c r="K92" s="267"/>
      <c r="L92" s="267"/>
      <c r="M92" s="244">
        <v>1</v>
      </c>
      <c r="N92" s="244"/>
      <c r="O92" s="244"/>
      <c r="P92" s="245">
        <v>189</v>
      </c>
      <c r="Q92" s="242" t="s">
        <v>375</v>
      </c>
      <c r="R92" s="242" t="s">
        <v>375</v>
      </c>
      <c r="S92" s="242" t="s">
        <v>491</v>
      </c>
      <c r="T92" s="242" t="s">
        <v>341</v>
      </c>
      <c r="U92" s="242" t="s">
        <v>367</v>
      </c>
      <c r="V92" s="242"/>
      <c r="W92" s="242" t="s">
        <v>188</v>
      </c>
      <c r="X92" s="246"/>
      <c r="Y92" s="271">
        <v>14000425011981</v>
      </c>
      <c r="Z92" s="247" t="s">
        <v>405</v>
      </c>
      <c r="AA92" s="279" t="s">
        <v>343</v>
      </c>
      <c r="AB92" s="248"/>
      <c r="AC92" s="245">
        <v>7</v>
      </c>
      <c r="AD92" s="261">
        <v>11485.59</v>
      </c>
      <c r="AE92" s="262">
        <v>0</v>
      </c>
      <c r="AF92" s="262">
        <v>37.24</v>
      </c>
      <c r="AG92" s="262">
        <v>1198.7</v>
      </c>
      <c r="AH92" s="262">
        <v>0</v>
      </c>
      <c r="AI92" s="262">
        <v>332.8</v>
      </c>
      <c r="AJ92" s="262">
        <v>1784.48</v>
      </c>
      <c r="AK92" s="262">
        <v>0</v>
      </c>
      <c r="AL92" s="262">
        <v>0</v>
      </c>
      <c r="AM92" s="262">
        <v>143.31</v>
      </c>
      <c r="AN92" s="262">
        <v>797.9</v>
      </c>
      <c r="AO92" s="262">
        <v>838.44</v>
      </c>
      <c r="AP92" s="262">
        <v>0</v>
      </c>
      <c r="AQ92" s="262">
        <v>0</v>
      </c>
      <c r="AR92" s="262">
        <v>0</v>
      </c>
      <c r="AS92" s="262">
        <v>0</v>
      </c>
      <c r="AT92" s="262">
        <v>3170.08</v>
      </c>
      <c r="AU92" s="262">
        <v>0</v>
      </c>
      <c r="AV92" s="262">
        <v>0</v>
      </c>
      <c r="AW92" s="262">
        <v>0</v>
      </c>
      <c r="AX92" s="262">
        <v>300</v>
      </c>
      <c r="AY92" s="262">
        <v>0</v>
      </c>
      <c r="AZ92" s="262">
        <v>0</v>
      </c>
      <c r="BA92" s="262">
        <v>65</v>
      </c>
      <c r="BB92" s="262"/>
      <c r="BC92" s="262"/>
      <c r="BD92" s="262"/>
      <c r="BE92" s="262"/>
      <c r="BF92" s="262"/>
      <c r="BG92" s="262"/>
      <c r="BH92" s="262"/>
      <c r="BI92" s="262"/>
      <c r="BJ92" s="262"/>
      <c r="BK92" s="262"/>
      <c r="BL92" s="262"/>
      <c r="BM92" s="262"/>
      <c r="BN92" s="262"/>
      <c r="BO92" s="262"/>
      <c r="BP92" s="262"/>
      <c r="BQ92" s="262"/>
      <c r="BR92" s="262"/>
      <c r="BS92" s="262"/>
      <c r="BT92" s="262"/>
      <c r="BU92" s="262"/>
      <c r="BV92" s="262"/>
      <c r="BW92" s="263"/>
      <c r="BX92" s="263"/>
      <c r="BY92" s="263"/>
      <c r="BZ92" s="263"/>
      <c r="CA92" s="263"/>
      <c r="CB92" s="263"/>
      <c r="CC92" s="263"/>
      <c r="CD92" s="263"/>
      <c r="CE92" s="263"/>
      <c r="CF92" s="263"/>
      <c r="CG92" s="263"/>
      <c r="CH92" s="249">
        <f>+MAX($D$3,DATOS_[[#This Row],[Fecha Inicio Sit. Contract.]])</f>
        <v>45292</v>
      </c>
      <c r="CI92" s="249">
        <f>+MIN($D$4,DATOS_[[#This Row],[Fecha Fin Sit. Contract.]])</f>
        <v>45657</v>
      </c>
      <c r="CJ92" s="250">
        <f>+DATOS_[[#This Row],[% de jornada]]*IF(DATOS_[[#This Row],[% jornada reducida]]="",1,DATOS_[[#This Row],[% jornada reducida]])</f>
        <v>1</v>
      </c>
      <c r="CK92" s="250">
        <f>+(DATOS_[[#This Row],[F.fin.cal]]-DATOS_[[#This Row],[F.ini.cal]]+1)/($D$4-$D$3+1)</f>
        <v>1</v>
      </c>
      <c r="CL92" s="250" t="str">
        <f>IF(OR(AND(DATOS_[[#This Row],[Fecha Fin Contrato]]&lt;$D$3,DATOS_[[#This Row],[Fecha Fin Contrato]]&lt;&gt;""),DATOS_[[#This Row],[Fecha de Contratación]]&gt;$D$4),"Fuera","Dentro")</f>
        <v>Dentro</v>
      </c>
      <c r="CM92" s="250" t="str" cm="1">
        <f t="array" ref="CM92">IF(MAX(IF(DATOS_[id/cod]=DATOS_[[#This Row],[id/cod]],DATOS_[F.fin.cal]))=DATOS_[[#This Row],[F.fin.cal]],"Sí","NO")</f>
        <v>Sí</v>
      </c>
      <c r="CN92" s="250" t="str">
        <f>IF(AND(DATOS_[[#This Row],[% normaliz]]&lt;&gt;1,DATOS_[[#This Row],[% anualiz]]=1),"Sí","NO")</f>
        <v>NO</v>
      </c>
      <c r="CO92" s="250" t="str">
        <f>IF(AND(DATOS_[[#This Row],[% normaliz]]=1,DATOS_[[#This Row],[% anualiz]]&lt;&gt;1),"Sí","NO")</f>
        <v>NO</v>
      </c>
      <c r="CP92" s="250" t="str">
        <f>IF(AND(DATOS_[[#This Row],[% normaliz]]&lt;&gt;1,DATOS_[[#This Row],[% anualiz]]&lt;&gt;1),"Sí","NO")</f>
        <v>NO</v>
      </c>
      <c r="CQ92" s="250" t="str">
        <f>+IF(DATOS_[[#This Row],[% normaliz]]*DATOS_[[#This Row],[% anualiz]]=1,"NO","Sí")</f>
        <v>NO</v>
      </c>
      <c r="CR92" s="251">
        <f>(DATOS_[[#This Row],[S.BASE]]*(1/DATOS_[[#This Row],[% normaliz]])*(1/DATOS_[[#This Row],[% anualiz]]))*IF(DATOS_[[#This Row],[Check Equiparado]]="Sí",1,0)</f>
        <v>11485.59</v>
      </c>
      <c r="CS92"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5432.8700000000008</v>
      </c>
      <c r="CT92" s="251">
        <f>+DATOS_[[#This Row],[SALARIO BASE Eq]]+DATOS_[[#This Row],[Tot COMPL.SAL Eq]]</f>
        <v>16918.46</v>
      </c>
      <c r="CU92" s="251" cm="1">
        <f t="array" ref="CU92">(SUMPRODUCT((RngTipo=$CU$7)*(rngAnualizable="Sí")*(rngNormalizable="Sí")*(DATOS_[[#This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3170.08</v>
      </c>
      <c r="CV92" s="251">
        <f>+DATOS_[[#This Row],[TOTAL SALARIO Eq]]+DATOS_[[#This Row],[Tot Extrasalarial Eq]]</f>
        <v>20088.54</v>
      </c>
      <c r="CW92" s="252">
        <f>DATOS_[[#This Row],[S.BASE]]</f>
        <v>11485.59</v>
      </c>
      <c r="CX92" s="252">
        <f>+SUM(DATOS_[[#This Row],[Conc.Sal.01]:[Conc.Sal.30]])</f>
        <v>8667.9500000000007</v>
      </c>
      <c r="CY92" s="252">
        <f>+DATOS_[[#This Row],[SALARIO BASE Ef]]+DATOS_[[#This Row],[Tot COMPL.SAL Ef]]</f>
        <v>20153.54</v>
      </c>
      <c r="CZ92" s="252">
        <f>+SUM(DATOS_[[#This Row],[C.Extra.01]:[C.Extra.11]])</f>
        <v>0</v>
      </c>
      <c r="DA92" s="252">
        <f>+DATOS_[[#This Row],[TOTAL SALARIO Ef]]+DATOS_[[#This Row],[Tot Extrasalarial Ef]]</f>
        <v>20153.54</v>
      </c>
      <c r="DB92" s="109">
        <f>MIN(IF(DATOS_[[#This Row],[Fecha Fin Contrato]]="",$D$4,DATOS_[[#This Row],[Fecha Fin Contrato]]),$D$4)-MAX(DATOS_[[#This Row],[Fecha de Contratación]],$D$3)+1</f>
        <v>366</v>
      </c>
      <c r="DC92" s="110" t="str">
        <f>IF(COUNTIFS(DATOS_[id/cod],DATOS_[[#This Row],[id/cod]])&gt;1,DATOS_[[#This Row],[id/cod]],"")</f>
        <v/>
      </c>
      <c r="DD92" s="108">
        <f>(Inicio!$G$10-DATOS_[[#This Row],[Fecha Nacimiento]])/365.25</f>
        <v>60.172484599589325</v>
      </c>
      <c r="DE92" s="108">
        <f>(Inicio!$G$10-DATOS_[[#This Row],[Fecha de Antigüedad]])/365.25</f>
        <v>1.568788501026694</v>
      </c>
      <c r="DF92" s="108" t="str">
        <f>+VLOOKUP(DATOS_[[#This Row],[Clave de Contrato]],TblTiposContrato13[],3,FALSE)</f>
        <v>Completa</v>
      </c>
      <c r="DG92" s="108" t="str">
        <f>+VLOOKUP(DATOS_[[#This Row],[Clave de Contrato]],TblTiposContrato13[],4,FALSE)</f>
        <v>Indefinido</v>
      </c>
      <c r="DH92" s="108" t="str">
        <f>VLOOKUP(DATOS_[[#This Row],[Edad]],CONTRATOS!TblRngEdad,2,TRUE)</f>
        <v>60 en adelante</v>
      </c>
      <c r="DI92" s="108" t="str">
        <f>VLOOKUP(DATOS_[[#This Row],[Antigüedad]],TblRngAntg14[],2,TRUE)</f>
        <v>1 a 3  años</v>
      </c>
    </row>
    <row r="93" spans="1:113" x14ac:dyDescent="0.25">
      <c r="A93" s="303" t="s">
        <v>492</v>
      </c>
      <c r="B93" s="265">
        <v>83</v>
      </c>
      <c r="C93" s="264" t="s">
        <v>337</v>
      </c>
      <c r="D93" s="243">
        <v>34833</v>
      </c>
      <c r="E93" s="243" t="s">
        <v>338</v>
      </c>
      <c r="F93" s="245"/>
      <c r="G93" s="245"/>
      <c r="H93" s="266">
        <v>45134</v>
      </c>
      <c r="I93" s="268"/>
      <c r="J93" s="260">
        <v>45134</v>
      </c>
      <c r="K93" s="267"/>
      <c r="L93" s="267"/>
      <c r="M93" s="244">
        <v>1</v>
      </c>
      <c r="N93" s="244"/>
      <c r="O93" s="244"/>
      <c r="P93" s="245"/>
      <c r="Q93" s="242" t="s">
        <v>375</v>
      </c>
      <c r="R93" s="242" t="s">
        <v>375</v>
      </c>
      <c r="S93" s="242" t="s">
        <v>493</v>
      </c>
      <c r="T93" s="242" t="s">
        <v>341</v>
      </c>
      <c r="U93" s="242" t="s">
        <v>367</v>
      </c>
      <c r="V93" s="242"/>
      <c r="W93" s="242"/>
      <c r="X93" s="246"/>
      <c r="Y93" s="271">
        <v>14000425011981</v>
      </c>
      <c r="Z93" s="247"/>
      <c r="AA93" s="279" t="s">
        <v>343</v>
      </c>
      <c r="AB93" s="248"/>
      <c r="AC93" s="245">
        <v>7</v>
      </c>
      <c r="AD93" s="261"/>
      <c r="AE93" s="262"/>
      <c r="AF93" s="262"/>
      <c r="AG93" s="262"/>
      <c r="AH93" s="262"/>
      <c r="AI93" s="262"/>
      <c r="AJ93" s="262"/>
      <c r="AK93" s="262"/>
      <c r="AL93" s="262"/>
      <c r="AM93" s="262"/>
      <c r="AN93" s="262"/>
      <c r="AO93" s="262"/>
      <c r="AP93" s="262"/>
      <c r="AQ93" s="262"/>
      <c r="AR93" s="262"/>
      <c r="AS93" s="262"/>
      <c r="AT93" s="262"/>
      <c r="AU93" s="262"/>
      <c r="AV93" s="262"/>
      <c r="AW93" s="262"/>
      <c r="AX93" s="262"/>
      <c r="AY93" s="262"/>
      <c r="AZ93" s="262"/>
      <c r="BA93" s="262"/>
      <c r="BB93" s="262"/>
      <c r="BC93" s="262"/>
      <c r="BD93" s="262"/>
      <c r="BE93" s="262"/>
      <c r="BF93" s="262"/>
      <c r="BG93" s="262"/>
      <c r="BH93" s="262"/>
      <c r="BI93" s="262"/>
      <c r="BJ93" s="262"/>
      <c r="BK93" s="262"/>
      <c r="BL93" s="262"/>
      <c r="BM93" s="262"/>
      <c r="BN93" s="262"/>
      <c r="BO93" s="262"/>
      <c r="BP93" s="262"/>
      <c r="BQ93" s="262"/>
      <c r="BR93" s="262"/>
      <c r="BS93" s="262"/>
      <c r="BT93" s="262"/>
      <c r="BU93" s="262"/>
      <c r="BV93" s="262"/>
      <c r="BW93" s="263"/>
      <c r="BX93" s="263"/>
      <c r="BY93" s="263"/>
      <c r="BZ93" s="263"/>
      <c r="CA93" s="263"/>
      <c r="CB93" s="263"/>
      <c r="CC93" s="263"/>
      <c r="CD93" s="263"/>
      <c r="CE93" s="263"/>
      <c r="CF93" s="263"/>
      <c r="CG93" s="263"/>
      <c r="CH93" s="249">
        <f>+MAX($D$3,DATOS_[[#This Row],[Fecha Inicio Sit. Contract.]])</f>
        <v>45292</v>
      </c>
      <c r="CI93" s="249">
        <f>+MIN($D$4,DATOS_[[#This Row],[Fecha Fin Sit. Contract.]])</f>
        <v>45657</v>
      </c>
      <c r="CJ93" s="250">
        <f>+DATOS_[[#This Row],[% de jornada]]*IF(DATOS_[[#This Row],[% jornada reducida]]="",1,DATOS_[[#This Row],[% jornada reducida]])</f>
        <v>1</v>
      </c>
      <c r="CK93" s="250">
        <f>+(DATOS_[[#This Row],[F.fin.cal]]-DATOS_[[#This Row],[F.ini.cal]]+1)/($D$4-$D$3+1)</f>
        <v>1</v>
      </c>
      <c r="CL93" s="250" t="str">
        <f>IF(OR(AND(DATOS_[[#This Row],[Fecha Fin Contrato]]&lt;$D$3,DATOS_[[#This Row],[Fecha Fin Contrato]]&lt;&gt;""),DATOS_[[#This Row],[Fecha de Contratación]]&gt;$D$4),"Fuera","Dentro")</f>
        <v>Dentro</v>
      </c>
      <c r="CM93" s="250" t="str" cm="1">
        <f t="array" ref="CM93">IF(MAX(IF(DATOS_[id/cod]=DATOS_[[#This Row],[id/cod]],DATOS_[F.fin.cal]))=DATOS_[[#This Row],[F.fin.cal]],"Sí","NO")</f>
        <v>Sí</v>
      </c>
      <c r="CN93" s="250" t="str">
        <f>IF(AND(DATOS_[[#This Row],[% normaliz]]&lt;&gt;1,DATOS_[[#This Row],[% anualiz]]=1),"Sí","NO")</f>
        <v>NO</v>
      </c>
      <c r="CO93" s="250" t="str">
        <f>IF(AND(DATOS_[[#This Row],[% normaliz]]=1,DATOS_[[#This Row],[% anualiz]]&lt;&gt;1),"Sí","NO")</f>
        <v>NO</v>
      </c>
      <c r="CP93" s="250" t="str">
        <f>IF(AND(DATOS_[[#This Row],[% normaliz]]&lt;&gt;1,DATOS_[[#This Row],[% anualiz]]&lt;&gt;1),"Sí","NO")</f>
        <v>NO</v>
      </c>
      <c r="CQ93" s="250" t="str">
        <f>+IF(DATOS_[[#This Row],[% normaliz]]*DATOS_[[#This Row],[% anualiz]]=1,"NO","Sí")</f>
        <v>NO</v>
      </c>
      <c r="CR93" s="251">
        <f>(DATOS_[[#This Row],[S.BASE]]*(1/DATOS_[[#This Row],[% normaliz]])*(1/DATOS_[[#This Row],[% anualiz]]))*IF(DATOS_[[#This Row],[Check Equiparado]]="Sí",1,0)</f>
        <v>0</v>
      </c>
      <c r="CS93"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93" s="251">
        <f>+DATOS_[[#This Row],[SALARIO BASE Eq]]+DATOS_[[#This Row],[Tot COMPL.SAL Eq]]</f>
        <v>0</v>
      </c>
      <c r="CU93" s="251" cm="1">
        <f t="array" ref="CU93">(SUMPRODUCT((RngTipo=$CU$7)*(rngAnualizable="Sí")*(rngNormalizable="Sí")*(DATOS_[[#This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93" s="251">
        <f>+DATOS_[[#This Row],[TOTAL SALARIO Eq]]+DATOS_[[#This Row],[Tot Extrasalarial Eq]]</f>
        <v>0</v>
      </c>
      <c r="CW93" s="252">
        <f>DATOS_[[#This Row],[S.BASE]]</f>
        <v>0</v>
      </c>
      <c r="CX93" s="252">
        <f>+SUM(DATOS_[[#This Row],[Conc.Sal.01]:[Conc.Sal.30]])</f>
        <v>0</v>
      </c>
      <c r="CY93" s="252">
        <f>+DATOS_[[#This Row],[SALARIO BASE Ef]]+DATOS_[[#This Row],[Tot COMPL.SAL Ef]]</f>
        <v>0</v>
      </c>
      <c r="CZ93" s="252">
        <f>+SUM(DATOS_[[#This Row],[C.Extra.01]:[C.Extra.11]])</f>
        <v>0</v>
      </c>
      <c r="DA93" s="252">
        <f>+DATOS_[[#This Row],[TOTAL SALARIO Ef]]+DATOS_[[#This Row],[Tot Extrasalarial Ef]]</f>
        <v>0</v>
      </c>
      <c r="DB93" s="109">
        <f>MIN(IF(DATOS_[[#This Row],[Fecha Fin Contrato]]="",$D$4,DATOS_[[#This Row],[Fecha Fin Contrato]]),$D$4)-MAX(DATOS_[[#This Row],[Fecha de Contratación]],$D$3)+1</f>
        <v>366</v>
      </c>
      <c r="DC93" s="110" t="str">
        <f>IF(COUNTIFS(DATOS_[id/cod],DATOS_[[#This Row],[id/cod]])&gt;1,DATOS_[[#This Row],[id/cod]],"")</f>
        <v/>
      </c>
      <c r="DD93" s="108">
        <f>(Inicio!$G$10-DATOS_[[#This Row],[Fecha Nacimiento]])/365.25</f>
        <v>29.634496919917865</v>
      </c>
      <c r="DE93" s="108">
        <f>(Inicio!$G$10-DATOS_[[#This Row],[Fecha de Antigüedad]])/365.25</f>
        <v>1.431895961670089</v>
      </c>
      <c r="DF93" s="108" t="e">
        <f>+VLOOKUP(DATOS_[[#This Row],[Clave de Contrato]],TblTiposContrato13[],3,FALSE)</f>
        <v>#N/A</v>
      </c>
      <c r="DG93" s="108" t="e">
        <f>+VLOOKUP(DATOS_[[#This Row],[Clave de Contrato]],TblTiposContrato13[],4,FALSE)</f>
        <v>#N/A</v>
      </c>
      <c r="DH93" s="108" t="str">
        <f>VLOOKUP(DATOS_[[#This Row],[Edad]],CONTRATOS!TblRngEdad,2,TRUE)</f>
        <v>25 a 30</v>
      </c>
      <c r="DI93" s="108" t="str">
        <f>VLOOKUP(DATOS_[[#This Row],[Antigüedad]],TblRngAntg14[],2,TRUE)</f>
        <v>1 a 3  años</v>
      </c>
    </row>
    <row r="94" spans="1:113" x14ac:dyDescent="0.25">
      <c r="A94" s="303" t="s">
        <v>494</v>
      </c>
      <c r="B94" s="265">
        <v>84</v>
      </c>
      <c r="C94" s="264" t="s">
        <v>337</v>
      </c>
      <c r="D94" s="243">
        <v>36203</v>
      </c>
      <c r="E94" s="243" t="s">
        <v>351</v>
      </c>
      <c r="F94" s="245"/>
      <c r="G94" s="245"/>
      <c r="H94" s="266">
        <v>45236</v>
      </c>
      <c r="I94" s="268"/>
      <c r="J94" s="260">
        <v>45236</v>
      </c>
      <c r="K94" s="267"/>
      <c r="L94" s="267">
        <v>45005</v>
      </c>
      <c r="M94" s="244">
        <v>1</v>
      </c>
      <c r="N94" s="244"/>
      <c r="O94" s="244"/>
      <c r="P94" s="245"/>
      <c r="Q94" s="242" t="s">
        <v>352</v>
      </c>
      <c r="R94" s="242" t="s">
        <v>352</v>
      </c>
      <c r="S94" s="242" t="s">
        <v>352</v>
      </c>
      <c r="T94" s="242" t="s">
        <v>341</v>
      </c>
      <c r="U94" s="242" t="s">
        <v>367</v>
      </c>
      <c r="V94" s="242"/>
      <c r="W94" s="242"/>
      <c r="X94" s="246"/>
      <c r="Y94" s="271">
        <v>14000425011981</v>
      </c>
      <c r="Z94" s="247"/>
      <c r="AA94" s="279" t="s">
        <v>343</v>
      </c>
      <c r="AB94" s="248"/>
      <c r="AC94" s="245">
        <v>7</v>
      </c>
      <c r="AD94" s="261"/>
      <c r="AE94" s="262"/>
      <c r="AF94" s="262"/>
      <c r="AG94" s="262"/>
      <c r="AH94" s="262"/>
      <c r="AI94" s="262"/>
      <c r="AJ94" s="262"/>
      <c r="AK94" s="262"/>
      <c r="AL94" s="262"/>
      <c r="AM94" s="262"/>
      <c r="AN94" s="262"/>
      <c r="AO94" s="262"/>
      <c r="AP94" s="262"/>
      <c r="AQ94" s="262"/>
      <c r="AR94" s="262"/>
      <c r="AS94" s="262"/>
      <c r="AT94" s="262"/>
      <c r="AU94" s="262"/>
      <c r="AV94" s="262"/>
      <c r="AW94" s="262"/>
      <c r="AX94" s="262"/>
      <c r="AY94" s="262"/>
      <c r="AZ94" s="262"/>
      <c r="BA94" s="262"/>
      <c r="BB94" s="262"/>
      <c r="BC94" s="262"/>
      <c r="BD94" s="262"/>
      <c r="BE94" s="262"/>
      <c r="BF94" s="262"/>
      <c r="BG94" s="262"/>
      <c r="BH94" s="262"/>
      <c r="BI94" s="262"/>
      <c r="BJ94" s="262"/>
      <c r="BK94" s="262"/>
      <c r="BL94" s="262"/>
      <c r="BM94" s="262"/>
      <c r="BN94" s="262"/>
      <c r="BO94" s="262"/>
      <c r="BP94" s="262"/>
      <c r="BQ94" s="262"/>
      <c r="BR94" s="262"/>
      <c r="BS94" s="262"/>
      <c r="BT94" s="262"/>
      <c r="BU94" s="262"/>
      <c r="BV94" s="262"/>
      <c r="BW94" s="263"/>
      <c r="BX94" s="263"/>
      <c r="BY94" s="263"/>
      <c r="BZ94" s="263"/>
      <c r="CA94" s="263"/>
      <c r="CB94" s="263"/>
      <c r="CC94" s="263"/>
      <c r="CD94" s="263"/>
      <c r="CE94" s="263"/>
      <c r="CF94" s="263"/>
      <c r="CG94" s="263"/>
      <c r="CH94" s="249">
        <f>+MAX($D$3,DATOS_[[#This Row],[Fecha Inicio Sit. Contract.]])</f>
        <v>45292</v>
      </c>
      <c r="CI94" s="249">
        <f>+MIN($D$4,DATOS_[[#This Row],[Fecha Fin Sit. Contract.]])</f>
        <v>45005</v>
      </c>
      <c r="CJ94" s="250">
        <f>+DATOS_[[#This Row],[% de jornada]]*IF(DATOS_[[#This Row],[% jornada reducida]]="",1,DATOS_[[#This Row],[% jornada reducida]])</f>
        <v>1</v>
      </c>
      <c r="CK94" s="250">
        <f>+(DATOS_[[#This Row],[F.fin.cal]]-DATOS_[[#This Row],[F.ini.cal]]+1)/($D$4-$D$3+1)</f>
        <v>-0.78142076502732238</v>
      </c>
      <c r="CL94" s="250" t="str">
        <f>IF(OR(AND(DATOS_[[#This Row],[Fecha Fin Contrato]]&lt;$D$3,DATOS_[[#This Row],[Fecha Fin Contrato]]&lt;&gt;""),DATOS_[[#This Row],[Fecha de Contratación]]&gt;$D$4),"Fuera","Dentro")</f>
        <v>Dentro</v>
      </c>
      <c r="CM94" s="250" t="str" cm="1">
        <f t="array" ref="CM94">IF(MAX(IF(DATOS_[id/cod]=DATOS_[[#This Row],[id/cod]],DATOS_[F.fin.cal]))=DATOS_[[#This Row],[F.fin.cal]],"Sí","NO")</f>
        <v>Sí</v>
      </c>
      <c r="CN94" s="250" t="str">
        <f>IF(AND(DATOS_[[#This Row],[% normaliz]]&lt;&gt;1,DATOS_[[#This Row],[% anualiz]]=1),"Sí","NO")</f>
        <v>NO</v>
      </c>
      <c r="CO94" s="250" t="str">
        <f>IF(AND(DATOS_[[#This Row],[% normaliz]]=1,DATOS_[[#This Row],[% anualiz]]&lt;&gt;1),"Sí","NO")</f>
        <v>Sí</v>
      </c>
      <c r="CP94" s="250" t="str">
        <f>IF(AND(DATOS_[[#This Row],[% normaliz]]&lt;&gt;1,DATOS_[[#This Row],[% anualiz]]&lt;&gt;1),"Sí","NO")</f>
        <v>NO</v>
      </c>
      <c r="CQ94" s="250" t="str">
        <f>+IF(DATOS_[[#This Row],[% normaliz]]*DATOS_[[#This Row],[% anualiz]]=1,"NO","Sí")</f>
        <v>Sí</v>
      </c>
      <c r="CR94" s="251">
        <f>(DATOS_[[#This Row],[S.BASE]]*(1/DATOS_[[#This Row],[% normaliz]])*(1/DATOS_[[#This Row],[% anualiz]]))*IF(DATOS_[[#This Row],[Check Equiparado]]="Sí",1,0)</f>
        <v>0</v>
      </c>
      <c r="CS94"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94" s="251">
        <f>+DATOS_[[#This Row],[SALARIO BASE Eq]]+DATOS_[[#This Row],[Tot COMPL.SAL Eq]]</f>
        <v>0</v>
      </c>
      <c r="CU94" s="251" cm="1">
        <f t="array" ref="CU94">(SUMPRODUCT((RngTipo=$CU$7)*(rngAnualizable="Sí")*(rngNormalizable="Sí")*(DATOS_[[#This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94" s="251">
        <f>+DATOS_[[#This Row],[TOTAL SALARIO Eq]]+DATOS_[[#This Row],[Tot Extrasalarial Eq]]</f>
        <v>0</v>
      </c>
      <c r="CW94" s="252">
        <f>DATOS_[[#This Row],[S.BASE]]</f>
        <v>0</v>
      </c>
      <c r="CX94" s="252">
        <f>+SUM(DATOS_[[#This Row],[Conc.Sal.01]:[Conc.Sal.30]])</f>
        <v>0</v>
      </c>
      <c r="CY94" s="252">
        <f>+DATOS_[[#This Row],[SALARIO BASE Ef]]+DATOS_[[#This Row],[Tot COMPL.SAL Ef]]</f>
        <v>0</v>
      </c>
      <c r="CZ94" s="252">
        <f>+SUM(DATOS_[[#This Row],[C.Extra.01]:[C.Extra.11]])</f>
        <v>0</v>
      </c>
      <c r="DA94" s="252">
        <f>+DATOS_[[#This Row],[TOTAL SALARIO Ef]]+DATOS_[[#This Row],[Tot Extrasalarial Ef]]</f>
        <v>0</v>
      </c>
      <c r="DB94" s="109">
        <f>MIN(IF(DATOS_[[#This Row],[Fecha Fin Contrato]]="",$D$4,DATOS_[[#This Row],[Fecha Fin Contrato]]),$D$4)-MAX(DATOS_[[#This Row],[Fecha de Contratación]],$D$3)+1</f>
        <v>366</v>
      </c>
      <c r="DC94" s="110" t="str">
        <f>IF(COUNTIFS(DATOS_[id/cod],DATOS_[[#This Row],[id/cod]])&gt;1,DATOS_[[#This Row],[id/cod]],"")</f>
        <v/>
      </c>
      <c r="DD94" s="108">
        <f>(Inicio!$G$10-DATOS_[[#This Row],[Fecha Nacimiento]])/365.25</f>
        <v>25.883641341546884</v>
      </c>
      <c r="DE94" s="108">
        <f>(Inicio!$G$10-DATOS_[[#This Row],[Fecha de Antigüedad]])/365.25</f>
        <v>1.1526351813826146</v>
      </c>
      <c r="DF94" s="108" t="e">
        <f>+VLOOKUP(DATOS_[[#This Row],[Clave de Contrato]],TblTiposContrato13[],3,FALSE)</f>
        <v>#N/A</v>
      </c>
      <c r="DG94" s="108" t="e">
        <f>+VLOOKUP(DATOS_[[#This Row],[Clave de Contrato]],TblTiposContrato13[],4,FALSE)</f>
        <v>#N/A</v>
      </c>
      <c r="DH94" s="108" t="str">
        <f>VLOOKUP(DATOS_[[#This Row],[Edad]],CONTRATOS!TblRngEdad,2,TRUE)</f>
        <v>25 a 30</v>
      </c>
      <c r="DI94" s="108" t="str">
        <f>VLOOKUP(DATOS_[[#This Row],[Antigüedad]],TblRngAntg14[],2,TRUE)</f>
        <v>1 a 3  años</v>
      </c>
    </row>
    <row r="95" spans="1:113" x14ac:dyDescent="0.25">
      <c r="A95" s="303" t="s">
        <v>495</v>
      </c>
      <c r="B95" s="265">
        <v>85</v>
      </c>
      <c r="C95" s="264" t="s">
        <v>356</v>
      </c>
      <c r="D95" s="243">
        <v>27372</v>
      </c>
      <c r="E95" s="243" t="s">
        <v>373</v>
      </c>
      <c r="F95" s="245"/>
      <c r="G95" s="245"/>
      <c r="H95" s="266">
        <v>45257</v>
      </c>
      <c r="I95" s="268"/>
      <c r="J95" s="260">
        <v>45257</v>
      </c>
      <c r="K95" s="267"/>
      <c r="L95" s="267"/>
      <c r="M95" s="244">
        <v>1</v>
      </c>
      <c r="N95" s="244"/>
      <c r="O95" s="244"/>
      <c r="P95" s="245"/>
      <c r="Q95" s="242" t="s">
        <v>496</v>
      </c>
      <c r="R95" s="242" t="s">
        <v>497</v>
      </c>
      <c r="S95" s="242" t="s">
        <v>496</v>
      </c>
      <c r="T95" s="242" t="s">
        <v>341</v>
      </c>
      <c r="U95" s="242" t="s">
        <v>367</v>
      </c>
      <c r="V95" s="242"/>
      <c r="W95" s="242"/>
      <c r="X95" s="246"/>
      <c r="Y95" s="271">
        <v>14000425011981</v>
      </c>
      <c r="Z95" s="247"/>
      <c r="AA95" s="279" t="s">
        <v>343</v>
      </c>
      <c r="AB95" s="248"/>
      <c r="AC95" s="245">
        <v>7</v>
      </c>
      <c r="AD95" s="261"/>
      <c r="AE95" s="262"/>
      <c r="AF95" s="262"/>
      <c r="AG95" s="262"/>
      <c r="AH95" s="262"/>
      <c r="AI95" s="262"/>
      <c r="AJ95" s="262"/>
      <c r="AK95" s="262"/>
      <c r="AL95" s="262"/>
      <c r="AM95" s="262"/>
      <c r="AN95" s="262"/>
      <c r="AO95" s="262"/>
      <c r="AP95" s="262"/>
      <c r="AQ95" s="262"/>
      <c r="AR95" s="262"/>
      <c r="AS95" s="262"/>
      <c r="AT95" s="262"/>
      <c r="AU95" s="262"/>
      <c r="AV95" s="262"/>
      <c r="AW95" s="262"/>
      <c r="AX95" s="262"/>
      <c r="AY95" s="262"/>
      <c r="AZ95" s="262"/>
      <c r="BA95" s="262"/>
      <c r="BB95" s="262"/>
      <c r="BC95" s="262"/>
      <c r="BD95" s="262"/>
      <c r="BE95" s="262"/>
      <c r="BF95" s="262"/>
      <c r="BG95" s="262"/>
      <c r="BH95" s="262"/>
      <c r="BI95" s="262"/>
      <c r="BJ95" s="262"/>
      <c r="BK95" s="262"/>
      <c r="BL95" s="262"/>
      <c r="BM95" s="262"/>
      <c r="BN95" s="262"/>
      <c r="BO95" s="262"/>
      <c r="BP95" s="262"/>
      <c r="BQ95" s="262"/>
      <c r="BR95" s="262"/>
      <c r="BS95" s="262"/>
      <c r="BT95" s="262"/>
      <c r="BU95" s="262"/>
      <c r="BV95" s="262"/>
      <c r="BW95" s="263"/>
      <c r="BX95" s="263"/>
      <c r="BY95" s="263"/>
      <c r="BZ95" s="263"/>
      <c r="CA95" s="263"/>
      <c r="CB95" s="263"/>
      <c r="CC95" s="263"/>
      <c r="CD95" s="263"/>
      <c r="CE95" s="263"/>
      <c r="CF95" s="263"/>
      <c r="CG95" s="263"/>
      <c r="CH95" s="249">
        <f>+MAX($D$3,DATOS_[[#This Row],[Fecha Inicio Sit. Contract.]])</f>
        <v>45292</v>
      </c>
      <c r="CI95" s="249">
        <f>+MIN($D$4,DATOS_[[#This Row],[Fecha Fin Sit. Contract.]])</f>
        <v>45657</v>
      </c>
      <c r="CJ95" s="250">
        <f>+DATOS_[[#This Row],[% de jornada]]*IF(DATOS_[[#This Row],[% jornada reducida]]="",1,DATOS_[[#This Row],[% jornada reducida]])</f>
        <v>1</v>
      </c>
      <c r="CK95" s="250">
        <f>+(DATOS_[[#This Row],[F.fin.cal]]-DATOS_[[#This Row],[F.ini.cal]]+1)/($D$4-$D$3+1)</f>
        <v>1</v>
      </c>
      <c r="CL95" s="250" t="str">
        <f>IF(OR(AND(DATOS_[[#This Row],[Fecha Fin Contrato]]&lt;$D$3,DATOS_[[#This Row],[Fecha Fin Contrato]]&lt;&gt;""),DATOS_[[#This Row],[Fecha de Contratación]]&gt;$D$4),"Fuera","Dentro")</f>
        <v>Dentro</v>
      </c>
      <c r="CM95" s="250" t="str" cm="1">
        <f t="array" ref="CM95">IF(MAX(IF(DATOS_[id/cod]=DATOS_[[#This Row],[id/cod]],DATOS_[F.fin.cal]))=DATOS_[[#This Row],[F.fin.cal]],"Sí","NO")</f>
        <v>Sí</v>
      </c>
      <c r="CN95" s="250" t="str">
        <f>IF(AND(DATOS_[[#This Row],[% normaliz]]&lt;&gt;1,DATOS_[[#This Row],[% anualiz]]=1),"Sí","NO")</f>
        <v>NO</v>
      </c>
      <c r="CO95" s="250" t="str">
        <f>IF(AND(DATOS_[[#This Row],[% normaliz]]=1,DATOS_[[#This Row],[% anualiz]]&lt;&gt;1),"Sí","NO")</f>
        <v>NO</v>
      </c>
      <c r="CP95" s="250" t="str">
        <f>IF(AND(DATOS_[[#This Row],[% normaliz]]&lt;&gt;1,DATOS_[[#This Row],[% anualiz]]&lt;&gt;1),"Sí","NO")</f>
        <v>NO</v>
      </c>
      <c r="CQ95" s="250" t="str">
        <f>+IF(DATOS_[[#This Row],[% normaliz]]*DATOS_[[#This Row],[% anualiz]]=1,"NO","Sí")</f>
        <v>NO</v>
      </c>
      <c r="CR95" s="251">
        <f>(DATOS_[[#This Row],[S.BASE]]*(1/DATOS_[[#This Row],[% normaliz]])*(1/DATOS_[[#This Row],[% anualiz]]))*IF(DATOS_[[#This Row],[Check Equiparado]]="Sí",1,0)</f>
        <v>0</v>
      </c>
      <c r="CS95"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95" s="251">
        <f>+DATOS_[[#This Row],[SALARIO BASE Eq]]+DATOS_[[#This Row],[Tot COMPL.SAL Eq]]</f>
        <v>0</v>
      </c>
      <c r="CU95" s="251" cm="1">
        <f t="array" ref="CU95">(SUMPRODUCT((RngTipo=$CU$7)*(rngAnualizable="Sí")*(rngNormalizable="Sí")*(DATOS_[[#This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95" s="251">
        <f>+DATOS_[[#This Row],[TOTAL SALARIO Eq]]+DATOS_[[#This Row],[Tot Extrasalarial Eq]]</f>
        <v>0</v>
      </c>
      <c r="CW95" s="252">
        <f>DATOS_[[#This Row],[S.BASE]]</f>
        <v>0</v>
      </c>
      <c r="CX95" s="252">
        <f>+SUM(DATOS_[[#This Row],[Conc.Sal.01]:[Conc.Sal.30]])</f>
        <v>0</v>
      </c>
      <c r="CY95" s="252">
        <f>+DATOS_[[#This Row],[SALARIO BASE Ef]]+DATOS_[[#This Row],[Tot COMPL.SAL Ef]]</f>
        <v>0</v>
      </c>
      <c r="CZ95" s="252">
        <f>+SUM(DATOS_[[#This Row],[C.Extra.01]:[C.Extra.11]])</f>
        <v>0</v>
      </c>
      <c r="DA95" s="252">
        <f>+DATOS_[[#This Row],[TOTAL SALARIO Ef]]+DATOS_[[#This Row],[Tot Extrasalarial Ef]]</f>
        <v>0</v>
      </c>
      <c r="DB95" s="109">
        <f>MIN(IF(DATOS_[[#This Row],[Fecha Fin Contrato]]="",$D$4,DATOS_[[#This Row],[Fecha Fin Contrato]]),$D$4)-MAX(DATOS_[[#This Row],[Fecha de Contratación]],$D$3)+1</f>
        <v>366</v>
      </c>
      <c r="DC95" s="110" t="str">
        <f>IF(COUNTIFS(DATOS_[id/cod],DATOS_[[#This Row],[id/cod]])&gt;1,DATOS_[[#This Row],[id/cod]],"")</f>
        <v/>
      </c>
      <c r="DD95" s="108">
        <f>(Inicio!$G$10-DATOS_[[#This Row],[Fecha Nacimiento]])/365.25</f>
        <v>50.061601642710471</v>
      </c>
      <c r="DE95" s="108">
        <f>(Inicio!$G$10-DATOS_[[#This Row],[Fecha de Antigüedad]])/365.25</f>
        <v>1.0951403148528405</v>
      </c>
      <c r="DF95" s="108" t="e">
        <f>+VLOOKUP(DATOS_[[#This Row],[Clave de Contrato]],TblTiposContrato13[],3,FALSE)</f>
        <v>#N/A</v>
      </c>
      <c r="DG95" s="108" t="e">
        <f>+VLOOKUP(DATOS_[[#This Row],[Clave de Contrato]],TblTiposContrato13[],4,FALSE)</f>
        <v>#N/A</v>
      </c>
      <c r="DH95" s="108" t="str">
        <f>VLOOKUP(DATOS_[[#This Row],[Edad]],CONTRATOS!TblRngEdad,2,TRUE)</f>
        <v>50 a 55</v>
      </c>
      <c r="DI95" s="108" t="str">
        <f>VLOOKUP(DATOS_[[#This Row],[Antigüedad]],TblRngAntg14[],2,TRUE)</f>
        <v>1 a 3  años</v>
      </c>
    </row>
    <row r="96" spans="1:113" x14ac:dyDescent="0.25">
      <c r="A96" s="303" t="s">
        <v>498</v>
      </c>
      <c r="B96" s="265">
        <v>86</v>
      </c>
      <c r="C96" s="264" t="s">
        <v>337</v>
      </c>
      <c r="D96" s="243">
        <v>32964</v>
      </c>
      <c r="E96" s="243" t="s">
        <v>373</v>
      </c>
      <c r="F96" s="245"/>
      <c r="G96" s="245"/>
      <c r="H96" s="266">
        <v>45261</v>
      </c>
      <c r="I96" s="268"/>
      <c r="J96" s="260">
        <v>45261</v>
      </c>
      <c r="K96" s="267"/>
      <c r="L96" s="267"/>
      <c r="M96" s="244">
        <v>1</v>
      </c>
      <c r="N96" s="244"/>
      <c r="O96" s="244"/>
      <c r="P96" s="245"/>
      <c r="Q96" s="242" t="s">
        <v>339</v>
      </c>
      <c r="R96" s="242" t="s">
        <v>339</v>
      </c>
      <c r="S96" s="242" t="s">
        <v>340</v>
      </c>
      <c r="T96" s="242" t="s">
        <v>341</v>
      </c>
      <c r="U96" s="242" t="s">
        <v>342</v>
      </c>
      <c r="V96" s="242"/>
      <c r="W96" s="242"/>
      <c r="X96" s="246"/>
      <c r="Y96" s="271">
        <v>14000425011981</v>
      </c>
      <c r="Z96" s="247"/>
      <c r="AA96" s="279" t="s">
        <v>343</v>
      </c>
      <c r="AB96" s="248"/>
      <c r="AC96" s="245">
        <v>7</v>
      </c>
      <c r="AD96" s="261"/>
      <c r="AE96" s="262"/>
      <c r="AF96" s="262"/>
      <c r="AG96" s="262"/>
      <c r="AH96" s="262"/>
      <c r="AI96" s="262"/>
      <c r="AJ96" s="262"/>
      <c r="AK96" s="262"/>
      <c r="AL96" s="262"/>
      <c r="AM96" s="262"/>
      <c r="AN96" s="262"/>
      <c r="AO96" s="262"/>
      <c r="AP96" s="262"/>
      <c r="AQ96" s="262"/>
      <c r="AR96" s="262"/>
      <c r="AS96" s="262"/>
      <c r="AT96" s="262"/>
      <c r="AU96" s="262"/>
      <c r="AV96" s="262"/>
      <c r="AW96" s="262"/>
      <c r="AX96" s="262"/>
      <c r="AY96" s="262"/>
      <c r="AZ96" s="262"/>
      <c r="BA96" s="262"/>
      <c r="BB96" s="262"/>
      <c r="BC96" s="262"/>
      <c r="BD96" s="262"/>
      <c r="BE96" s="262"/>
      <c r="BF96" s="262"/>
      <c r="BG96" s="262"/>
      <c r="BH96" s="262"/>
      <c r="BI96" s="262"/>
      <c r="BJ96" s="262"/>
      <c r="BK96" s="262"/>
      <c r="BL96" s="262"/>
      <c r="BM96" s="262"/>
      <c r="BN96" s="262"/>
      <c r="BO96" s="262"/>
      <c r="BP96" s="262"/>
      <c r="BQ96" s="262"/>
      <c r="BR96" s="262"/>
      <c r="BS96" s="262"/>
      <c r="BT96" s="262"/>
      <c r="BU96" s="262"/>
      <c r="BV96" s="262"/>
      <c r="BW96" s="263"/>
      <c r="BX96" s="263"/>
      <c r="BY96" s="263"/>
      <c r="BZ96" s="263"/>
      <c r="CA96" s="263"/>
      <c r="CB96" s="263"/>
      <c r="CC96" s="263"/>
      <c r="CD96" s="263"/>
      <c r="CE96" s="263"/>
      <c r="CF96" s="263"/>
      <c r="CG96" s="263"/>
      <c r="CH96" s="249">
        <f>+MAX($D$3,DATOS_[[#This Row],[Fecha Inicio Sit. Contract.]])</f>
        <v>45292</v>
      </c>
      <c r="CI96" s="249">
        <f>+MIN($D$4,DATOS_[[#This Row],[Fecha Fin Sit. Contract.]])</f>
        <v>45657</v>
      </c>
      <c r="CJ96" s="250">
        <f>+DATOS_[[#This Row],[% de jornada]]*IF(DATOS_[[#This Row],[% jornada reducida]]="",1,DATOS_[[#This Row],[% jornada reducida]])</f>
        <v>1</v>
      </c>
      <c r="CK96" s="250">
        <f>+(DATOS_[[#This Row],[F.fin.cal]]-DATOS_[[#This Row],[F.ini.cal]]+1)/($D$4-$D$3+1)</f>
        <v>1</v>
      </c>
      <c r="CL96" s="250" t="str">
        <f>IF(OR(AND(DATOS_[[#This Row],[Fecha Fin Contrato]]&lt;$D$3,DATOS_[[#This Row],[Fecha Fin Contrato]]&lt;&gt;""),DATOS_[[#This Row],[Fecha de Contratación]]&gt;$D$4),"Fuera","Dentro")</f>
        <v>Dentro</v>
      </c>
      <c r="CM96" s="250" t="str" cm="1">
        <f t="array" ref="CM96">IF(MAX(IF(DATOS_[id/cod]=DATOS_[[#This Row],[id/cod]],DATOS_[F.fin.cal]))=DATOS_[[#This Row],[F.fin.cal]],"Sí","NO")</f>
        <v>Sí</v>
      </c>
      <c r="CN96" s="250" t="str">
        <f>IF(AND(DATOS_[[#This Row],[% normaliz]]&lt;&gt;1,DATOS_[[#This Row],[% anualiz]]=1),"Sí","NO")</f>
        <v>NO</v>
      </c>
      <c r="CO96" s="250" t="str">
        <f>IF(AND(DATOS_[[#This Row],[% normaliz]]=1,DATOS_[[#This Row],[% anualiz]]&lt;&gt;1),"Sí","NO")</f>
        <v>NO</v>
      </c>
      <c r="CP96" s="250" t="str">
        <f>IF(AND(DATOS_[[#This Row],[% normaliz]]&lt;&gt;1,DATOS_[[#This Row],[% anualiz]]&lt;&gt;1),"Sí","NO")</f>
        <v>NO</v>
      </c>
      <c r="CQ96" s="250" t="str">
        <f>+IF(DATOS_[[#This Row],[% normaliz]]*DATOS_[[#This Row],[% anualiz]]=1,"NO","Sí")</f>
        <v>NO</v>
      </c>
      <c r="CR96" s="251">
        <f>(DATOS_[[#This Row],[S.BASE]]*(1/DATOS_[[#This Row],[% normaliz]])*(1/DATOS_[[#This Row],[% anualiz]]))*IF(DATOS_[[#This Row],[Check Equiparado]]="Sí",1,0)</f>
        <v>0</v>
      </c>
      <c r="CS96"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96" s="251">
        <f>+DATOS_[[#This Row],[SALARIO BASE Eq]]+DATOS_[[#This Row],[Tot COMPL.SAL Eq]]</f>
        <v>0</v>
      </c>
      <c r="CU96" s="251" cm="1">
        <f t="array" ref="CU96">(SUMPRODUCT((RngTipo=$CU$7)*(rngAnualizable="Sí")*(rngNormalizable="Sí")*(DATOS_[[#This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96" s="251">
        <f>+DATOS_[[#This Row],[TOTAL SALARIO Eq]]+DATOS_[[#This Row],[Tot Extrasalarial Eq]]</f>
        <v>0</v>
      </c>
      <c r="CW96" s="252">
        <f>DATOS_[[#This Row],[S.BASE]]</f>
        <v>0</v>
      </c>
      <c r="CX96" s="252">
        <f>+SUM(DATOS_[[#This Row],[Conc.Sal.01]:[Conc.Sal.30]])</f>
        <v>0</v>
      </c>
      <c r="CY96" s="252">
        <f>+DATOS_[[#This Row],[SALARIO BASE Ef]]+DATOS_[[#This Row],[Tot COMPL.SAL Ef]]</f>
        <v>0</v>
      </c>
      <c r="CZ96" s="252">
        <f>+SUM(DATOS_[[#This Row],[C.Extra.01]:[C.Extra.11]])</f>
        <v>0</v>
      </c>
      <c r="DA96" s="252">
        <f>+DATOS_[[#This Row],[TOTAL SALARIO Ef]]+DATOS_[[#This Row],[Tot Extrasalarial Ef]]</f>
        <v>0</v>
      </c>
      <c r="DB96" s="109">
        <f>MIN(IF(DATOS_[[#This Row],[Fecha Fin Contrato]]="",$D$4,DATOS_[[#This Row],[Fecha Fin Contrato]]),$D$4)-MAX(DATOS_[[#This Row],[Fecha de Contratación]],$D$3)+1</f>
        <v>366</v>
      </c>
      <c r="DC96" s="110" t="str">
        <f>IF(COUNTIFS(DATOS_[id/cod],DATOS_[[#This Row],[id/cod]])&gt;1,DATOS_[[#This Row],[id/cod]],"")</f>
        <v/>
      </c>
      <c r="DD96" s="108">
        <f>(Inicio!$G$10-DATOS_[[#This Row],[Fecha Nacimiento]])/365.25</f>
        <v>34.751540041067763</v>
      </c>
      <c r="DE96" s="108">
        <f>(Inicio!$G$10-DATOS_[[#This Row],[Fecha de Antigüedad]])/365.25</f>
        <v>1.0841889117043122</v>
      </c>
      <c r="DF96" s="108" t="e">
        <f>+VLOOKUP(DATOS_[[#This Row],[Clave de Contrato]],TblTiposContrato13[],3,FALSE)</f>
        <v>#N/A</v>
      </c>
      <c r="DG96" s="108" t="e">
        <f>+VLOOKUP(DATOS_[[#This Row],[Clave de Contrato]],TblTiposContrato13[],4,FALSE)</f>
        <v>#N/A</v>
      </c>
      <c r="DH96" s="108" t="str">
        <f>VLOOKUP(DATOS_[[#This Row],[Edad]],CONTRATOS!TblRngEdad,2,TRUE)</f>
        <v>30 a 35</v>
      </c>
      <c r="DI96" s="108" t="str">
        <f>VLOOKUP(DATOS_[[#This Row],[Antigüedad]],TblRngAntg14[],2,TRUE)</f>
        <v>1 a 3  años</v>
      </c>
    </row>
    <row r="97" spans="1:113" x14ac:dyDescent="0.25">
      <c r="A97" s="303" t="s">
        <v>499</v>
      </c>
      <c r="B97" s="265">
        <v>87</v>
      </c>
      <c r="C97" s="264" t="s">
        <v>337</v>
      </c>
      <c r="D97" s="243">
        <v>35229</v>
      </c>
      <c r="E97" s="243" t="s">
        <v>351</v>
      </c>
      <c r="F97" s="245"/>
      <c r="G97" s="245"/>
      <c r="H97" s="266">
        <v>45104</v>
      </c>
      <c r="I97" s="268"/>
      <c r="J97" s="260">
        <v>45104</v>
      </c>
      <c r="K97" s="267">
        <v>44931</v>
      </c>
      <c r="L97" s="267"/>
      <c r="M97" s="244">
        <v>1</v>
      </c>
      <c r="N97" s="244"/>
      <c r="O97" s="244"/>
      <c r="P97" s="245"/>
      <c r="Q97" s="242" t="s">
        <v>339</v>
      </c>
      <c r="R97" s="242" t="s">
        <v>339</v>
      </c>
      <c r="S97" s="242" t="s">
        <v>340</v>
      </c>
      <c r="T97" s="242" t="s">
        <v>341</v>
      </c>
      <c r="U97" s="242" t="s">
        <v>342</v>
      </c>
      <c r="V97" s="242"/>
      <c r="W97" s="242"/>
      <c r="X97" s="246"/>
      <c r="Y97" s="271">
        <v>14000425011981</v>
      </c>
      <c r="Z97" s="247"/>
      <c r="AA97" s="279" t="s">
        <v>343</v>
      </c>
      <c r="AB97" s="248"/>
      <c r="AC97" s="245">
        <v>7</v>
      </c>
      <c r="AD97" s="261"/>
      <c r="AE97" s="262"/>
      <c r="AF97" s="262"/>
      <c r="AG97" s="262"/>
      <c r="AH97" s="262"/>
      <c r="AI97" s="262"/>
      <c r="AJ97" s="262"/>
      <c r="AK97" s="262"/>
      <c r="AL97" s="262"/>
      <c r="AM97" s="262"/>
      <c r="AN97" s="262"/>
      <c r="AO97" s="262"/>
      <c r="AP97" s="262"/>
      <c r="AQ97" s="262"/>
      <c r="AR97" s="262"/>
      <c r="AS97" s="262"/>
      <c r="AT97" s="262"/>
      <c r="AU97" s="262"/>
      <c r="AV97" s="262"/>
      <c r="AW97" s="262"/>
      <c r="AX97" s="262"/>
      <c r="AY97" s="262"/>
      <c r="AZ97" s="262"/>
      <c r="BA97" s="262"/>
      <c r="BB97" s="262"/>
      <c r="BC97" s="262"/>
      <c r="BD97" s="262"/>
      <c r="BE97" s="262"/>
      <c r="BF97" s="262"/>
      <c r="BG97" s="262"/>
      <c r="BH97" s="262"/>
      <c r="BI97" s="262"/>
      <c r="BJ97" s="262"/>
      <c r="BK97" s="262"/>
      <c r="BL97" s="262"/>
      <c r="BM97" s="262"/>
      <c r="BN97" s="262"/>
      <c r="BO97" s="262"/>
      <c r="BP97" s="262"/>
      <c r="BQ97" s="262"/>
      <c r="BR97" s="262"/>
      <c r="BS97" s="262"/>
      <c r="BT97" s="262"/>
      <c r="BU97" s="262"/>
      <c r="BV97" s="262"/>
      <c r="BW97" s="263"/>
      <c r="BX97" s="263"/>
      <c r="BY97" s="263"/>
      <c r="BZ97" s="263"/>
      <c r="CA97" s="263"/>
      <c r="CB97" s="263"/>
      <c r="CC97" s="263"/>
      <c r="CD97" s="263"/>
      <c r="CE97" s="263"/>
      <c r="CF97" s="263"/>
      <c r="CG97" s="263"/>
      <c r="CH97" s="249">
        <f>+MAX($D$3,DATOS_[[#This Row],[Fecha Inicio Sit. Contract.]])</f>
        <v>45292</v>
      </c>
      <c r="CI97" s="249">
        <f>+MIN($D$4,DATOS_[[#This Row],[Fecha Fin Sit. Contract.]])</f>
        <v>45657</v>
      </c>
      <c r="CJ97" s="250">
        <f>+DATOS_[[#This Row],[% de jornada]]*IF(DATOS_[[#This Row],[% jornada reducida]]="",1,DATOS_[[#This Row],[% jornada reducida]])</f>
        <v>1</v>
      </c>
      <c r="CK97" s="250">
        <f>+(DATOS_[[#This Row],[F.fin.cal]]-DATOS_[[#This Row],[F.ini.cal]]+1)/($D$4-$D$3+1)</f>
        <v>1</v>
      </c>
      <c r="CL97" s="250" t="str">
        <f>IF(OR(AND(DATOS_[[#This Row],[Fecha Fin Contrato]]&lt;$D$3,DATOS_[[#This Row],[Fecha Fin Contrato]]&lt;&gt;""),DATOS_[[#This Row],[Fecha de Contratación]]&gt;$D$4),"Fuera","Dentro")</f>
        <v>Dentro</v>
      </c>
      <c r="CM97" s="250" t="str" cm="1">
        <f t="array" ref="CM97">IF(MAX(IF(DATOS_[id/cod]=DATOS_[[#This Row],[id/cod]],DATOS_[F.fin.cal]))=DATOS_[[#This Row],[F.fin.cal]],"Sí","NO")</f>
        <v>Sí</v>
      </c>
      <c r="CN97" s="250" t="str">
        <f>IF(AND(DATOS_[[#This Row],[% normaliz]]&lt;&gt;1,DATOS_[[#This Row],[% anualiz]]=1),"Sí","NO")</f>
        <v>NO</v>
      </c>
      <c r="CO97" s="250" t="str">
        <f>IF(AND(DATOS_[[#This Row],[% normaliz]]=1,DATOS_[[#This Row],[% anualiz]]&lt;&gt;1),"Sí","NO")</f>
        <v>NO</v>
      </c>
      <c r="CP97" s="250" t="str">
        <f>IF(AND(DATOS_[[#This Row],[% normaliz]]&lt;&gt;1,DATOS_[[#This Row],[% anualiz]]&lt;&gt;1),"Sí","NO")</f>
        <v>NO</v>
      </c>
      <c r="CQ97" s="250" t="str">
        <f>+IF(DATOS_[[#This Row],[% normaliz]]*DATOS_[[#This Row],[% anualiz]]=1,"NO","Sí")</f>
        <v>NO</v>
      </c>
      <c r="CR97" s="251">
        <f>(DATOS_[[#This Row],[S.BASE]]*(1/DATOS_[[#This Row],[% normaliz]])*(1/DATOS_[[#This Row],[% anualiz]]))*IF(DATOS_[[#This Row],[Check Equiparado]]="Sí",1,0)</f>
        <v>0</v>
      </c>
      <c r="CS97"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97" s="251">
        <f>+DATOS_[[#This Row],[SALARIO BASE Eq]]+DATOS_[[#This Row],[Tot COMPL.SAL Eq]]</f>
        <v>0</v>
      </c>
      <c r="CU97" s="251" cm="1">
        <f t="array" ref="CU97">(SUMPRODUCT((RngTipo=$CU$7)*(rngAnualizable="Sí")*(rngNormalizable="Sí")*(DATOS_[[#This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97" s="251">
        <f>+DATOS_[[#This Row],[TOTAL SALARIO Eq]]+DATOS_[[#This Row],[Tot Extrasalarial Eq]]</f>
        <v>0</v>
      </c>
      <c r="CW97" s="252">
        <f>DATOS_[[#This Row],[S.BASE]]</f>
        <v>0</v>
      </c>
      <c r="CX97" s="252">
        <f>+SUM(DATOS_[[#This Row],[Conc.Sal.01]:[Conc.Sal.30]])</f>
        <v>0</v>
      </c>
      <c r="CY97" s="252">
        <f>+DATOS_[[#This Row],[SALARIO BASE Ef]]+DATOS_[[#This Row],[Tot COMPL.SAL Ef]]</f>
        <v>0</v>
      </c>
      <c r="CZ97" s="252">
        <f>+SUM(DATOS_[[#This Row],[C.Extra.01]:[C.Extra.11]])</f>
        <v>0</v>
      </c>
      <c r="DA97" s="252">
        <f>+DATOS_[[#This Row],[TOTAL SALARIO Ef]]+DATOS_[[#This Row],[Tot Extrasalarial Ef]]</f>
        <v>0</v>
      </c>
      <c r="DB97" s="109">
        <f>MIN(IF(DATOS_[[#This Row],[Fecha Fin Contrato]]="",$D$4,DATOS_[[#This Row],[Fecha Fin Contrato]]),$D$4)-MAX(DATOS_[[#This Row],[Fecha de Contratación]],$D$3)+1</f>
        <v>366</v>
      </c>
      <c r="DC97" s="110" t="str">
        <f>IF(COUNTIFS(DATOS_[id/cod],DATOS_[[#This Row],[id/cod]])&gt;1,DATOS_[[#This Row],[id/cod]],"")</f>
        <v/>
      </c>
      <c r="DD97" s="108">
        <f>(Inicio!$G$10-DATOS_[[#This Row],[Fecha Nacimiento]])/365.25</f>
        <v>28.550308008213552</v>
      </c>
      <c r="DE97" s="108">
        <f>(Inicio!$G$10-DATOS_[[#This Row],[Fecha de Antigüedad]])/365.25</f>
        <v>1.514031485284052</v>
      </c>
      <c r="DF97" s="108" t="e">
        <f>+VLOOKUP(DATOS_[[#This Row],[Clave de Contrato]],TblTiposContrato13[],3,FALSE)</f>
        <v>#N/A</v>
      </c>
      <c r="DG97" s="108" t="e">
        <f>+VLOOKUP(DATOS_[[#This Row],[Clave de Contrato]],TblTiposContrato13[],4,FALSE)</f>
        <v>#N/A</v>
      </c>
      <c r="DH97" s="108" t="str">
        <f>VLOOKUP(DATOS_[[#This Row],[Edad]],CONTRATOS!TblRngEdad,2,TRUE)</f>
        <v>25 a 30</v>
      </c>
      <c r="DI97" s="108" t="str">
        <f>VLOOKUP(DATOS_[[#This Row],[Antigüedad]],TblRngAntg14[],2,TRUE)</f>
        <v>1 a 3  años</v>
      </c>
    </row>
    <row r="98" spans="1:113" x14ac:dyDescent="0.25">
      <c r="A98" s="303" t="s">
        <v>500</v>
      </c>
      <c r="B98" s="265">
        <v>88</v>
      </c>
      <c r="C98" s="264" t="s">
        <v>337</v>
      </c>
      <c r="D98" s="243">
        <v>32888</v>
      </c>
      <c r="E98" s="243" t="s">
        <v>414</v>
      </c>
      <c r="F98" s="245"/>
      <c r="G98" s="245"/>
      <c r="H98" s="266">
        <v>45290</v>
      </c>
      <c r="I98" s="268"/>
      <c r="J98" s="260">
        <v>45290</v>
      </c>
      <c r="K98" s="267">
        <v>45005</v>
      </c>
      <c r="L98" s="267"/>
      <c r="M98" s="244">
        <v>1</v>
      </c>
      <c r="N98" s="244"/>
      <c r="O98" s="244"/>
      <c r="P98" s="245"/>
      <c r="Q98" s="242" t="s">
        <v>339</v>
      </c>
      <c r="R98" s="242" t="s">
        <v>339</v>
      </c>
      <c r="S98" s="242" t="s">
        <v>340</v>
      </c>
      <c r="T98" s="242" t="s">
        <v>341</v>
      </c>
      <c r="U98" s="242" t="s">
        <v>342</v>
      </c>
      <c r="V98" s="242"/>
      <c r="W98" s="242"/>
      <c r="X98" s="246"/>
      <c r="Y98" s="271">
        <v>14000425011981</v>
      </c>
      <c r="Z98" s="247"/>
      <c r="AA98" s="279" t="s">
        <v>343</v>
      </c>
      <c r="AB98" s="248"/>
      <c r="AC98" s="245">
        <v>7</v>
      </c>
      <c r="AD98" s="261"/>
      <c r="AE98" s="262"/>
      <c r="AF98" s="262"/>
      <c r="AG98" s="262"/>
      <c r="AH98" s="262"/>
      <c r="AI98" s="262"/>
      <c r="AJ98" s="262"/>
      <c r="AK98" s="262"/>
      <c r="AL98" s="262"/>
      <c r="AM98" s="262"/>
      <c r="AN98" s="262"/>
      <c r="AO98" s="262"/>
      <c r="AP98" s="262"/>
      <c r="AQ98" s="262"/>
      <c r="AR98" s="262"/>
      <c r="AS98" s="262"/>
      <c r="AT98" s="262"/>
      <c r="AU98" s="262"/>
      <c r="AV98" s="262"/>
      <c r="AW98" s="262"/>
      <c r="AX98" s="262"/>
      <c r="AY98" s="262"/>
      <c r="AZ98" s="262"/>
      <c r="BA98" s="262"/>
      <c r="BB98" s="262"/>
      <c r="BC98" s="262"/>
      <c r="BD98" s="262"/>
      <c r="BE98" s="262"/>
      <c r="BF98" s="262"/>
      <c r="BG98" s="262"/>
      <c r="BH98" s="262"/>
      <c r="BI98" s="262"/>
      <c r="BJ98" s="262"/>
      <c r="BK98" s="262"/>
      <c r="BL98" s="262"/>
      <c r="BM98" s="262"/>
      <c r="BN98" s="262"/>
      <c r="BO98" s="262"/>
      <c r="BP98" s="262"/>
      <c r="BQ98" s="262"/>
      <c r="BR98" s="262"/>
      <c r="BS98" s="262"/>
      <c r="BT98" s="262"/>
      <c r="BU98" s="262"/>
      <c r="BV98" s="262"/>
      <c r="BW98" s="263"/>
      <c r="BX98" s="263"/>
      <c r="BY98" s="263"/>
      <c r="BZ98" s="263"/>
      <c r="CA98" s="263"/>
      <c r="CB98" s="263"/>
      <c r="CC98" s="263"/>
      <c r="CD98" s="263"/>
      <c r="CE98" s="263"/>
      <c r="CF98" s="263"/>
      <c r="CG98" s="263"/>
      <c r="CH98" s="249">
        <f>+MAX($D$3,DATOS_[[#This Row],[Fecha Inicio Sit. Contract.]])</f>
        <v>45292</v>
      </c>
      <c r="CI98" s="249">
        <f>+MIN($D$4,DATOS_[[#This Row],[Fecha Fin Sit. Contract.]])</f>
        <v>45657</v>
      </c>
      <c r="CJ98" s="250">
        <f>+DATOS_[[#This Row],[% de jornada]]*IF(DATOS_[[#This Row],[% jornada reducida]]="",1,DATOS_[[#This Row],[% jornada reducida]])</f>
        <v>1</v>
      </c>
      <c r="CK98" s="250">
        <f>+(DATOS_[[#This Row],[F.fin.cal]]-DATOS_[[#This Row],[F.ini.cal]]+1)/($D$4-$D$3+1)</f>
        <v>1</v>
      </c>
      <c r="CL98" s="250" t="str">
        <f>IF(OR(AND(DATOS_[[#This Row],[Fecha Fin Contrato]]&lt;$D$3,DATOS_[[#This Row],[Fecha Fin Contrato]]&lt;&gt;""),DATOS_[[#This Row],[Fecha de Contratación]]&gt;$D$4),"Fuera","Dentro")</f>
        <v>Dentro</v>
      </c>
      <c r="CM98" s="250" t="str" cm="1">
        <f t="array" ref="CM98">IF(MAX(IF(DATOS_[id/cod]=DATOS_[[#This Row],[id/cod]],DATOS_[F.fin.cal]))=DATOS_[[#This Row],[F.fin.cal]],"Sí","NO")</f>
        <v>Sí</v>
      </c>
      <c r="CN98" s="250" t="str">
        <f>IF(AND(DATOS_[[#This Row],[% normaliz]]&lt;&gt;1,DATOS_[[#This Row],[% anualiz]]=1),"Sí","NO")</f>
        <v>NO</v>
      </c>
      <c r="CO98" s="250" t="str">
        <f>IF(AND(DATOS_[[#This Row],[% normaliz]]=1,DATOS_[[#This Row],[% anualiz]]&lt;&gt;1),"Sí","NO")</f>
        <v>NO</v>
      </c>
      <c r="CP98" s="250" t="str">
        <f>IF(AND(DATOS_[[#This Row],[% normaliz]]&lt;&gt;1,DATOS_[[#This Row],[% anualiz]]&lt;&gt;1),"Sí","NO")</f>
        <v>NO</v>
      </c>
      <c r="CQ98" s="250" t="str">
        <f>+IF(DATOS_[[#This Row],[% normaliz]]*DATOS_[[#This Row],[% anualiz]]=1,"NO","Sí")</f>
        <v>NO</v>
      </c>
      <c r="CR98" s="251">
        <f>(DATOS_[[#This Row],[S.BASE]]*(1/DATOS_[[#This Row],[% normaliz]])*(1/DATOS_[[#This Row],[% anualiz]]))*IF(DATOS_[[#This Row],[Check Equiparado]]="Sí",1,0)</f>
        <v>0</v>
      </c>
      <c r="CS98"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98" s="251">
        <f>+DATOS_[[#This Row],[SALARIO BASE Eq]]+DATOS_[[#This Row],[Tot COMPL.SAL Eq]]</f>
        <v>0</v>
      </c>
      <c r="CU98" s="251" cm="1">
        <f t="array" ref="CU98">(SUMPRODUCT((RngTipo=$CU$7)*(rngAnualizable="Sí")*(rngNormalizable="Sí")*(DATOS_[[#This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98" s="251">
        <f>+DATOS_[[#This Row],[TOTAL SALARIO Eq]]+DATOS_[[#This Row],[Tot Extrasalarial Eq]]</f>
        <v>0</v>
      </c>
      <c r="CW98" s="252">
        <f>DATOS_[[#This Row],[S.BASE]]</f>
        <v>0</v>
      </c>
      <c r="CX98" s="252">
        <f>+SUM(DATOS_[[#This Row],[Conc.Sal.01]:[Conc.Sal.30]])</f>
        <v>0</v>
      </c>
      <c r="CY98" s="252">
        <f>+DATOS_[[#This Row],[SALARIO BASE Ef]]+DATOS_[[#This Row],[Tot COMPL.SAL Ef]]</f>
        <v>0</v>
      </c>
      <c r="CZ98" s="252">
        <f>+SUM(DATOS_[[#This Row],[C.Extra.01]:[C.Extra.11]])</f>
        <v>0</v>
      </c>
      <c r="DA98" s="252">
        <f>+DATOS_[[#This Row],[TOTAL SALARIO Ef]]+DATOS_[[#This Row],[Tot Extrasalarial Ef]]</f>
        <v>0</v>
      </c>
      <c r="DB98" s="109">
        <f>MIN(IF(DATOS_[[#This Row],[Fecha Fin Contrato]]="",$D$4,DATOS_[[#This Row],[Fecha Fin Contrato]]),$D$4)-MAX(DATOS_[[#This Row],[Fecha de Contratación]],$D$3)+1</f>
        <v>366</v>
      </c>
      <c r="DC98" s="110" t="str">
        <f>IF(COUNTIFS(DATOS_[id/cod],DATOS_[[#This Row],[id/cod]])&gt;1,DATOS_[[#This Row],[id/cod]],"")</f>
        <v/>
      </c>
      <c r="DD98" s="108">
        <f>(Inicio!$G$10-DATOS_[[#This Row],[Fecha Nacimiento]])/365.25</f>
        <v>34.959616700889804</v>
      </c>
      <c r="DE98" s="108">
        <f>(Inicio!$G$10-DATOS_[[#This Row],[Fecha de Antigüedad]])/365.25</f>
        <v>1.0047912388774811</v>
      </c>
      <c r="DF98" s="108" t="e">
        <f>+VLOOKUP(DATOS_[[#This Row],[Clave de Contrato]],TblTiposContrato13[],3,FALSE)</f>
        <v>#N/A</v>
      </c>
      <c r="DG98" s="108" t="e">
        <f>+VLOOKUP(DATOS_[[#This Row],[Clave de Contrato]],TblTiposContrato13[],4,FALSE)</f>
        <v>#N/A</v>
      </c>
      <c r="DH98" s="108" t="str">
        <f>VLOOKUP(DATOS_[[#This Row],[Edad]],CONTRATOS!TblRngEdad,2,TRUE)</f>
        <v>30 a 35</v>
      </c>
      <c r="DI98" s="108" t="str">
        <f>VLOOKUP(DATOS_[[#This Row],[Antigüedad]],TblRngAntg14[],2,TRUE)</f>
        <v>1 a 3  años</v>
      </c>
    </row>
    <row r="99" spans="1:113" x14ac:dyDescent="0.25">
      <c r="A99" s="303" t="s">
        <v>501</v>
      </c>
      <c r="B99" s="265">
        <v>89</v>
      </c>
      <c r="C99" s="264" t="s">
        <v>356</v>
      </c>
      <c r="D99" s="243">
        <v>37854</v>
      </c>
      <c r="E99" s="243" t="s">
        <v>351</v>
      </c>
      <c r="F99" s="245"/>
      <c r="G99" s="245"/>
      <c r="H99" s="266">
        <v>45308</v>
      </c>
      <c r="I99" s="268"/>
      <c r="J99" s="260">
        <v>45308</v>
      </c>
      <c r="K99" s="267">
        <v>45005</v>
      </c>
      <c r="L99" s="267"/>
      <c r="M99" s="244">
        <v>1</v>
      </c>
      <c r="N99" s="244"/>
      <c r="O99" s="244"/>
      <c r="P99" s="245"/>
      <c r="Q99" s="242" t="s">
        <v>339</v>
      </c>
      <c r="R99" s="242" t="s">
        <v>339</v>
      </c>
      <c r="S99" s="242" t="s">
        <v>445</v>
      </c>
      <c r="T99" s="242" t="s">
        <v>341</v>
      </c>
      <c r="U99" s="242" t="s">
        <v>342</v>
      </c>
      <c r="V99" s="242"/>
      <c r="W99" s="242"/>
      <c r="X99" s="246"/>
      <c r="Y99" s="271">
        <v>14000425011981</v>
      </c>
      <c r="Z99" s="247"/>
      <c r="AA99" s="279" t="s">
        <v>343</v>
      </c>
      <c r="AB99" s="248"/>
      <c r="AC99" s="245">
        <v>7</v>
      </c>
      <c r="AD99" s="261"/>
      <c r="AE99" s="262"/>
      <c r="AF99" s="262"/>
      <c r="AG99" s="262"/>
      <c r="AH99" s="262"/>
      <c r="AI99" s="262"/>
      <c r="AJ99" s="262"/>
      <c r="AK99" s="262"/>
      <c r="AL99" s="262"/>
      <c r="AM99" s="262"/>
      <c r="AN99" s="262"/>
      <c r="AO99" s="262"/>
      <c r="AP99" s="262"/>
      <c r="AQ99" s="262"/>
      <c r="AR99" s="262"/>
      <c r="AS99" s="262"/>
      <c r="AT99" s="262"/>
      <c r="AU99" s="262"/>
      <c r="AV99" s="262"/>
      <c r="AW99" s="262"/>
      <c r="AX99" s="262"/>
      <c r="AY99" s="262"/>
      <c r="AZ99" s="262"/>
      <c r="BA99" s="262"/>
      <c r="BB99" s="262"/>
      <c r="BC99" s="262"/>
      <c r="BD99" s="262"/>
      <c r="BE99" s="262"/>
      <c r="BF99" s="262"/>
      <c r="BG99" s="262"/>
      <c r="BH99" s="262"/>
      <c r="BI99" s="262"/>
      <c r="BJ99" s="262"/>
      <c r="BK99" s="262"/>
      <c r="BL99" s="262"/>
      <c r="BM99" s="262"/>
      <c r="BN99" s="262"/>
      <c r="BO99" s="262"/>
      <c r="BP99" s="262"/>
      <c r="BQ99" s="262"/>
      <c r="BR99" s="262"/>
      <c r="BS99" s="262"/>
      <c r="BT99" s="262"/>
      <c r="BU99" s="262"/>
      <c r="BV99" s="262"/>
      <c r="BW99" s="263"/>
      <c r="BX99" s="263"/>
      <c r="BY99" s="263"/>
      <c r="BZ99" s="263"/>
      <c r="CA99" s="263"/>
      <c r="CB99" s="263"/>
      <c r="CC99" s="263"/>
      <c r="CD99" s="263"/>
      <c r="CE99" s="263"/>
      <c r="CF99" s="263"/>
      <c r="CG99" s="263"/>
      <c r="CH99" s="249">
        <f>+MAX($D$3,DATOS_[[#This Row],[Fecha Inicio Sit. Contract.]])</f>
        <v>45292</v>
      </c>
      <c r="CI99" s="249">
        <f>+MIN($D$4,DATOS_[[#This Row],[Fecha Fin Sit. Contract.]])</f>
        <v>45657</v>
      </c>
      <c r="CJ99" s="250">
        <f>+DATOS_[[#This Row],[% de jornada]]*IF(DATOS_[[#This Row],[% jornada reducida]]="",1,DATOS_[[#This Row],[% jornada reducida]])</f>
        <v>1</v>
      </c>
      <c r="CK99" s="250">
        <f>+(DATOS_[[#This Row],[F.fin.cal]]-DATOS_[[#This Row],[F.ini.cal]]+1)/($D$4-$D$3+1)</f>
        <v>1</v>
      </c>
      <c r="CL99" s="250" t="str">
        <f>IF(OR(AND(DATOS_[[#This Row],[Fecha Fin Contrato]]&lt;$D$3,DATOS_[[#This Row],[Fecha Fin Contrato]]&lt;&gt;""),DATOS_[[#This Row],[Fecha de Contratación]]&gt;$D$4),"Fuera","Dentro")</f>
        <v>Dentro</v>
      </c>
      <c r="CM99" s="250" t="str" cm="1">
        <f t="array" ref="CM99">IF(MAX(IF(DATOS_[id/cod]=DATOS_[[#This Row],[id/cod]],DATOS_[F.fin.cal]))=DATOS_[[#This Row],[F.fin.cal]],"Sí","NO")</f>
        <v>Sí</v>
      </c>
      <c r="CN99" s="250" t="str">
        <f>IF(AND(DATOS_[[#This Row],[% normaliz]]&lt;&gt;1,DATOS_[[#This Row],[% anualiz]]=1),"Sí","NO")</f>
        <v>NO</v>
      </c>
      <c r="CO99" s="250" t="str">
        <f>IF(AND(DATOS_[[#This Row],[% normaliz]]=1,DATOS_[[#This Row],[% anualiz]]&lt;&gt;1),"Sí","NO")</f>
        <v>NO</v>
      </c>
      <c r="CP99" s="250" t="str">
        <f>IF(AND(DATOS_[[#This Row],[% normaliz]]&lt;&gt;1,DATOS_[[#This Row],[% anualiz]]&lt;&gt;1),"Sí","NO")</f>
        <v>NO</v>
      </c>
      <c r="CQ99" s="250" t="str">
        <f>+IF(DATOS_[[#This Row],[% normaliz]]*DATOS_[[#This Row],[% anualiz]]=1,"NO","Sí")</f>
        <v>NO</v>
      </c>
      <c r="CR99" s="251">
        <f>(DATOS_[[#This Row],[S.BASE]]*(1/DATOS_[[#This Row],[% normaliz]])*(1/DATOS_[[#This Row],[% anualiz]]))*IF(DATOS_[[#This Row],[Check Equiparado]]="Sí",1,0)</f>
        <v>0</v>
      </c>
      <c r="CS99"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99" s="251">
        <f>+DATOS_[[#This Row],[SALARIO BASE Eq]]+DATOS_[[#This Row],[Tot COMPL.SAL Eq]]</f>
        <v>0</v>
      </c>
      <c r="CU99" s="251" cm="1">
        <f t="array" ref="CU99">(SUMPRODUCT((RngTipo=$CU$7)*(rngAnualizable="Sí")*(rngNormalizable="Sí")*(DATOS_[[#This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99" s="251">
        <f>+DATOS_[[#This Row],[TOTAL SALARIO Eq]]+DATOS_[[#This Row],[Tot Extrasalarial Eq]]</f>
        <v>0</v>
      </c>
      <c r="CW99" s="252">
        <f>DATOS_[[#This Row],[S.BASE]]</f>
        <v>0</v>
      </c>
      <c r="CX99" s="252">
        <f>+SUM(DATOS_[[#This Row],[Conc.Sal.01]:[Conc.Sal.30]])</f>
        <v>0</v>
      </c>
      <c r="CY99" s="252">
        <f>+DATOS_[[#This Row],[SALARIO BASE Ef]]+DATOS_[[#This Row],[Tot COMPL.SAL Ef]]</f>
        <v>0</v>
      </c>
      <c r="CZ99" s="252">
        <f>+SUM(DATOS_[[#This Row],[C.Extra.01]:[C.Extra.11]])</f>
        <v>0</v>
      </c>
      <c r="DA99" s="252">
        <f>+DATOS_[[#This Row],[TOTAL SALARIO Ef]]+DATOS_[[#This Row],[Tot Extrasalarial Ef]]</f>
        <v>0</v>
      </c>
      <c r="DB99" s="109">
        <f>MIN(IF(DATOS_[[#This Row],[Fecha Fin Contrato]]="",$D$4,DATOS_[[#This Row],[Fecha Fin Contrato]]),$D$4)-MAX(DATOS_[[#This Row],[Fecha de Contratación]],$D$3)+1</f>
        <v>350</v>
      </c>
      <c r="DC99" s="110" t="str">
        <f>IF(COUNTIFS(DATOS_[id/cod],DATOS_[[#This Row],[id/cod]])&gt;1,DATOS_[[#This Row],[id/cod]],"")</f>
        <v/>
      </c>
      <c r="DD99" s="108">
        <f>(Inicio!$G$10-DATOS_[[#This Row],[Fecha Nacimiento]])/365.25</f>
        <v>21.363449691991786</v>
      </c>
      <c r="DE99" s="108">
        <f>(Inicio!$G$10-DATOS_[[#This Row],[Fecha de Antigüedad]])/365.25</f>
        <v>0.95550992470910334</v>
      </c>
      <c r="DF99" s="108" t="e">
        <f>+VLOOKUP(DATOS_[[#This Row],[Clave de Contrato]],TblTiposContrato13[],3,FALSE)</f>
        <v>#N/A</v>
      </c>
      <c r="DG99" s="108" t="e">
        <f>+VLOOKUP(DATOS_[[#This Row],[Clave de Contrato]],TblTiposContrato13[],4,FALSE)</f>
        <v>#N/A</v>
      </c>
      <c r="DH99" s="108" t="str">
        <f>VLOOKUP(DATOS_[[#This Row],[Edad]],CONTRATOS!TblRngEdad,2,TRUE)</f>
        <v>20 a 25</v>
      </c>
      <c r="DI99" s="108" t="str">
        <f>VLOOKUP(DATOS_[[#This Row],[Antigüedad]],TblRngAntg14[],2,TRUE)</f>
        <v>0 a 1 años</v>
      </c>
    </row>
    <row r="100" spans="1:113" x14ac:dyDescent="0.25">
      <c r="A100" s="303" t="s">
        <v>502</v>
      </c>
      <c r="B100" s="265">
        <v>90</v>
      </c>
      <c r="C100" s="264" t="s">
        <v>356</v>
      </c>
      <c r="D100" s="243">
        <v>33979</v>
      </c>
      <c r="E100" s="243" t="s">
        <v>373</v>
      </c>
      <c r="F100" s="245"/>
      <c r="G100" s="245"/>
      <c r="H100" s="266">
        <v>45316</v>
      </c>
      <c r="I100" s="268"/>
      <c r="J100" s="260">
        <v>45316</v>
      </c>
      <c r="K100" s="267"/>
      <c r="L100" s="267"/>
      <c r="M100" s="244">
        <v>0.33800000000000002</v>
      </c>
      <c r="N100" s="244"/>
      <c r="O100" s="244"/>
      <c r="P100" s="245">
        <v>200</v>
      </c>
      <c r="Q100" s="242" t="s">
        <v>379</v>
      </c>
      <c r="R100" s="242" t="s">
        <v>379</v>
      </c>
      <c r="S100" s="242" t="s">
        <v>503</v>
      </c>
      <c r="T100" s="242" t="s">
        <v>341</v>
      </c>
      <c r="U100" s="242" t="s">
        <v>367</v>
      </c>
      <c r="V100" s="242"/>
      <c r="W100" s="242" t="s">
        <v>192</v>
      </c>
      <c r="X100" s="246"/>
      <c r="Y100" s="271">
        <v>14000425011981</v>
      </c>
      <c r="Z100" s="247" t="s">
        <v>382</v>
      </c>
      <c r="AA100" s="279" t="s">
        <v>343</v>
      </c>
      <c r="AB100" s="248"/>
      <c r="AC100" s="245">
        <v>10</v>
      </c>
      <c r="AD100" s="261">
        <v>3474.02</v>
      </c>
      <c r="AE100" s="262">
        <v>35.19</v>
      </c>
      <c r="AF100" s="262">
        <v>515.72</v>
      </c>
      <c r="AG100" s="262">
        <v>0</v>
      </c>
      <c r="AH100" s="262">
        <v>0</v>
      </c>
      <c r="AI100" s="262">
        <v>0</v>
      </c>
      <c r="AJ100" s="262">
        <v>789.25</v>
      </c>
      <c r="AK100" s="262">
        <v>0</v>
      </c>
      <c r="AL100" s="262">
        <v>0</v>
      </c>
      <c r="AM100" s="262">
        <v>0</v>
      </c>
      <c r="AN100" s="262">
        <v>0</v>
      </c>
      <c r="AO100" s="262">
        <v>0</v>
      </c>
      <c r="AP100" s="262">
        <v>300</v>
      </c>
      <c r="AQ100" s="262">
        <v>0</v>
      </c>
      <c r="AR100" s="262">
        <v>0</v>
      </c>
      <c r="AS100" s="262">
        <v>0</v>
      </c>
      <c r="AT100" s="262">
        <v>641.97</v>
      </c>
      <c r="AU100" s="262">
        <v>0</v>
      </c>
      <c r="AV100" s="262">
        <v>0</v>
      </c>
      <c r="AW100" s="262">
        <v>0</v>
      </c>
      <c r="AX100" s="262">
        <v>0</v>
      </c>
      <c r="AY100" s="262">
        <v>65</v>
      </c>
      <c r="AZ100" s="262"/>
      <c r="BA100" s="262"/>
      <c r="BB100" s="262"/>
      <c r="BC100" s="262"/>
      <c r="BD100" s="262"/>
      <c r="BE100" s="262"/>
      <c r="BF100" s="262"/>
      <c r="BG100" s="262"/>
      <c r="BH100" s="262"/>
      <c r="BI100" s="262"/>
      <c r="BJ100" s="262"/>
      <c r="BK100" s="262"/>
      <c r="BL100" s="262"/>
      <c r="BM100" s="262"/>
      <c r="BN100" s="262"/>
      <c r="BO100" s="262"/>
      <c r="BP100" s="262"/>
      <c r="BQ100" s="262"/>
      <c r="BR100" s="262"/>
      <c r="BS100" s="262"/>
      <c r="BT100" s="262"/>
      <c r="BU100" s="262"/>
      <c r="BV100" s="262"/>
      <c r="BW100" s="263"/>
      <c r="BX100" s="263"/>
      <c r="BY100" s="263"/>
      <c r="BZ100" s="263"/>
      <c r="CA100" s="263"/>
      <c r="CB100" s="263"/>
      <c r="CC100" s="263"/>
      <c r="CD100" s="263"/>
      <c r="CE100" s="263"/>
      <c r="CF100" s="263"/>
      <c r="CG100" s="263"/>
      <c r="CH100" s="249">
        <f>+MAX($D$3,DATOS_[[#This Row],[Fecha Inicio Sit. Contract.]])</f>
        <v>45292</v>
      </c>
      <c r="CI100" s="249">
        <f>+MIN($D$4,DATOS_[[#This Row],[Fecha Fin Sit. Contract.]])</f>
        <v>45657</v>
      </c>
      <c r="CJ100" s="250">
        <f>+DATOS_[[#This Row],[% de jornada]]*IF(DATOS_[[#This Row],[% jornada reducida]]="",1,DATOS_[[#This Row],[% jornada reducida]])</f>
        <v>0.33800000000000002</v>
      </c>
      <c r="CK100" s="250">
        <f>+(DATOS_[[#This Row],[F.fin.cal]]-DATOS_[[#This Row],[F.ini.cal]]+1)/($D$4-$D$3+1)</f>
        <v>1</v>
      </c>
      <c r="CL100" s="250" t="str">
        <f>IF(OR(AND(DATOS_[[#This Row],[Fecha Fin Contrato]]&lt;$D$3,DATOS_[[#This Row],[Fecha Fin Contrato]]&lt;&gt;""),DATOS_[[#This Row],[Fecha de Contratación]]&gt;$D$4),"Fuera","Dentro")</f>
        <v>Dentro</v>
      </c>
      <c r="CM100" s="250" t="str" cm="1">
        <f t="array" ref="CM100">IF(MAX(IF(DATOS_[id/cod]=DATOS_[[#This Row],[id/cod]],DATOS_[F.fin.cal]))=DATOS_[[#This Row],[F.fin.cal]],"Sí","NO")</f>
        <v>Sí</v>
      </c>
      <c r="CN100" s="250" t="str">
        <f>IF(AND(DATOS_[[#This Row],[% normaliz]]&lt;&gt;1,DATOS_[[#This Row],[% anualiz]]=1),"Sí","NO")</f>
        <v>Sí</v>
      </c>
      <c r="CO100" s="250" t="str">
        <f>IF(AND(DATOS_[[#This Row],[% normaliz]]=1,DATOS_[[#This Row],[% anualiz]]&lt;&gt;1),"Sí","NO")</f>
        <v>NO</v>
      </c>
      <c r="CP100" s="250" t="str">
        <f>IF(AND(DATOS_[[#This Row],[% normaliz]]&lt;&gt;1,DATOS_[[#This Row],[% anualiz]]&lt;&gt;1),"Sí","NO")</f>
        <v>NO</v>
      </c>
      <c r="CQ100" s="250" t="str">
        <f>+IF(DATOS_[[#This Row],[% normaliz]]*DATOS_[[#This Row],[% anualiz]]=1,"NO","Sí")</f>
        <v>Sí</v>
      </c>
      <c r="CR100" s="251">
        <f>(DATOS_[[#This Row],[S.BASE]]*(1/DATOS_[[#This Row],[% normaliz]])*(1/DATOS_[[#This Row],[% anualiz]]))*IF(DATOS_[[#This Row],[Check Equiparado]]="Sí",1,0)</f>
        <v>10278.165680473372</v>
      </c>
      <c r="CS100"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5044.8520710059174</v>
      </c>
      <c r="CT100" s="251">
        <f>+DATOS_[[#This Row],[SALARIO BASE Eq]]+DATOS_[[#This Row],[Tot COMPL.SAL Eq]]</f>
        <v>15323.017751479289</v>
      </c>
      <c r="CU100" s="251" cm="1">
        <f t="array" ref="CU100">(SUMPRODUCT((RngTipo=$CU$7)*(rngAnualizable="Sí")*(rngNormalizable="Sí")*(DATOS_[[#This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1899.3195266272189</v>
      </c>
      <c r="CV100" s="251">
        <f>+DATOS_[[#This Row],[TOTAL SALARIO Eq]]+DATOS_[[#This Row],[Tot Extrasalarial Eq]]</f>
        <v>17222.337278106508</v>
      </c>
      <c r="CW100" s="252">
        <f>DATOS_[[#This Row],[S.BASE]]</f>
        <v>3474.02</v>
      </c>
      <c r="CX100" s="252">
        <f>+SUM(DATOS_[[#This Row],[Conc.Sal.01]:[Conc.Sal.30]])</f>
        <v>2347.13</v>
      </c>
      <c r="CY100" s="252">
        <f>+DATOS_[[#This Row],[SALARIO BASE Ef]]+DATOS_[[#This Row],[Tot COMPL.SAL Ef]]</f>
        <v>5821.15</v>
      </c>
      <c r="CZ100" s="252">
        <f>+SUM(DATOS_[[#This Row],[C.Extra.01]:[C.Extra.11]])</f>
        <v>0</v>
      </c>
      <c r="DA100" s="252">
        <f>+DATOS_[[#This Row],[TOTAL SALARIO Ef]]+DATOS_[[#This Row],[Tot Extrasalarial Ef]]</f>
        <v>5821.15</v>
      </c>
      <c r="DB100" s="109">
        <f>MIN(IF(DATOS_[[#This Row],[Fecha Fin Contrato]]="",$D$4,DATOS_[[#This Row],[Fecha Fin Contrato]]),$D$4)-MAX(DATOS_[[#This Row],[Fecha de Contratación]],$D$3)+1</f>
        <v>342</v>
      </c>
      <c r="DC100" s="110" t="str">
        <f>IF(COUNTIFS(DATOS_[id/cod],DATOS_[[#This Row],[id/cod]])&gt;1,DATOS_[[#This Row],[id/cod]],"")</f>
        <v/>
      </c>
      <c r="DD100" s="108">
        <f>(Inicio!$G$10-DATOS_[[#This Row],[Fecha Nacimiento]])/365.25</f>
        <v>31.972621492128678</v>
      </c>
      <c r="DE100" s="108">
        <f>(Inicio!$G$10-DATOS_[[#This Row],[Fecha de Antigüedad]])/365.25</f>
        <v>0.93360711841204658</v>
      </c>
      <c r="DF100" s="108" t="str">
        <f>+VLOOKUP(DATOS_[[#This Row],[Clave de Contrato]],TblTiposContrato13[],3,FALSE)</f>
        <v>Parcial</v>
      </c>
      <c r="DG100" s="108" t="str">
        <f>+VLOOKUP(DATOS_[[#This Row],[Clave de Contrato]],TblTiposContrato13[],4,FALSE)</f>
        <v>Indefinido</v>
      </c>
      <c r="DH100" s="108" t="str">
        <f>VLOOKUP(DATOS_[[#This Row],[Edad]],CONTRATOS!TblRngEdad,2,TRUE)</f>
        <v>30 a 35</v>
      </c>
      <c r="DI100" s="108" t="str">
        <f>VLOOKUP(DATOS_[[#This Row],[Antigüedad]],TblRngAntg14[],2,TRUE)</f>
        <v>0 a 1 años</v>
      </c>
    </row>
    <row r="101" spans="1:113" x14ac:dyDescent="0.25">
      <c r="A101" s="303" t="s">
        <v>504</v>
      </c>
      <c r="B101" s="265">
        <v>91</v>
      </c>
      <c r="C101" s="264" t="s">
        <v>356</v>
      </c>
      <c r="D101" s="243">
        <v>31523</v>
      </c>
      <c r="E101" s="243" t="s">
        <v>351</v>
      </c>
      <c r="F101" s="245"/>
      <c r="G101" s="245"/>
      <c r="H101" s="266">
        <v>45317</v>
      </c>
      <c r="I101" s="268"/>
      <c r="J101" s="260">
        <v>45316</v>
      </c>
      <c r="K101" s="267"/>
      <c r="L101" s="267"/>
      <c r="M101" s="244">
        <v>1</v>
      </c>
      <c r="N101" s="244"/>
      <c r="O101" s="244"/>
      <c r="P101" s="245"/>
      <c r="Q101" s="242" t="s">
        <v>339</v>
      </c>
      <c r="R101" s="242" t="s">
        <v>339</v>
      </c>
      <c r="S101" s="242" t="s">
        <v>340</v>
      </c>
      <c r="T101" s="242" t="s">
        <v>341</v>
      </c>
      <c r="U101" s="242" t="s">
        <v>342</v>
      </c>
      <c r="V101" s="242"/>
      <c r="W101" s="242"/>
      <c r="X101" s="246"/>
      <c r="Y101" s="271">
        <v>14000425011981</v>
      </c>
      <c r="Z101" s="247"/>
      <c r="AA101" s="279" t="s">
        <v>343</v>
      </c>
      <c r="AB101" s="248"/>
      <c r="AC101" s="245">
        <v>7</v>
      </c>
      <c r="AD101" s="261"/>
      <c r="AE101" s="262"/>
      <c r="AF101" s="262"/>
      <c r="AG101" s="262"/>
      <c r="AH101" s="262"/>
      <c r="AI101" s="262"/>
      <c r="AJ101" s="262"/>
      <c r="AK101" s="262"/>
      <c r="AL101" s="262"/>
      <c r="AM101" s="262"/>
      <c r="AN101" s="262"/>
      <c r="AO101" s="262"/>
      <c r="AP101" s="262"/>
      <c r="AQ101" s="262"/>
      <c r="AR101" s="262"/>
      <c r="AS101" s="262"/>
      <c r="AT101" s="262"/>
      <c r="AU101" s="262"/>
      <c r="AV101" s="262"/>
      <c r="AW101" s="262"/>
      <c r="AX101" s="262"/>
      <c r="AY101" s="262"/>
      <c r="AZ101" s="262"/>
      <c r="BA101" s="262"/>
      <c r="BB101" s="262"/>
      <c r="BC101" s="262"/>
      <c r="BD101" s="262"/>
      <c r="BE101" s="262"/>
      <c r="BF101" s="262"/>
      <c r="BG101" s="262"/>
      <c r="BH101" s="262"/>
      <c r="BI101" s="262"/>
      <c r="BJ101" s="262"/>
      <c r="BK101" s="262"/>
      <c r="BL101" s="262"/>
      <c r="BM101" s="262"/>
      <c r="BN101" s="262"/>
      <c r="BO101" s="262"/>
      <c r="BP101" s="262"/>
      <c r="BQ101" s="262"/>
      <c r="BR101" s="262"/>
      <c r="BS101" s="262"/>
      <c r="BT101" s="262"/>
      <c r="BU101" s="262"/>
      <c r="BV101" s="262"/>
      <c r="BW101" s="263"/>
      <c r="BX101" s="263"/>
      <c r="BY101" s="263"/>
      <c r="BZ101" s="263"/>
      <c r="CA101" s="263"/>
      <c r="CB101" s="263"/>
      <c r="CC101" s="263"/>
      <c r="CD101" s="263"/>
      <c r="CE101" s="263"/>
      <c r="CF101" s="263"/>
      <c r="CG101" s="263"/>
      <c r="CH101" s="249">
        <f>+MAX($D$3,DATOS_[[#This Row],[Fecha Inicio Sit. Contract.]])</f>
        <v>45292</v>
      </c>
      <c r="CI101" s="249">
        <f>+MIN($D$4,DATOS_[[#This Row],[Fecha Fin Sit. Contract.]])</f>
        <v>45657</v>
      </c>
      <c r="CJ101" s="250">
        <f>+DATOS_[[#This Row],[% de jornada]]*IF(DATOS_[[#This Row],[% jornada reducida]]="",1,DATOS_[[#This Row],[% jornada reducida]])</f>
        <v>1</v>
      </c>
      <c r="CK101" s="250">
        <f>+(DATOS_[[#This Row],[F.fin.cal]]-DATOS_[[#This Row],[F.ini.cal]]+1)/($D$4-$D$3+1)</f>
        <v>1</v>
      </c>
      <c r="CL101" s="250" t="str">
        <f>IF(OR(AND(DATOS_[[#This Row],[Fecha Fin Contrato]]&lt;$D$3,DATOS_[[#This Row],[Fecha Fin Contrato]]&lt;&gt;""),DATOS_[[#This Row],[Fecha de Contratación]]&gt;$D$4),"Fuera","Dentro")</f>
        <v>Dentro</v>
      </c>
      <c r="CM101" s="250" t="str" cm="1">
        <f t="array" ref="CM101">IF(MAX(IF(DATOS_[id/cod]=DATOS_[[#This Row],[id/cod]],DATOS_[F.fin.cal]))=DATOS_[[#This Row],[F.fin.cal]],"Sí","NO")</f>
        <v>Sí</v>
      </c>
      <c r="CN101" s="250" t="str">
        <f>IF(AND(DATOS_[[#This Row],[% normaliz]]&lt;&gt;1,DATOS_[[#This Row],[% anualiz]]=1),"Sí","NO")</f>
        <v>NO</v>
      </c>
      <c r="CO101" s="250" t="str">
        <f>IF(AND(DATOS_[[#This Row],[% normaliz]]=1,DATOS_[[#This Row],[% anualiz]]&lt;&gt;1),"Sí","NO")</f>
        <v>NO</v>
      </c>
      <c r="CP101" s="250" t="str">
        <f>IF(AND(DATOS_[[#This Row],[% normaliz]]&lt;&gt;1,DATOS_[[#This Row],[% anualiz]]&lt;&gt;1),"Sí","NO")</f>
        <v>NO</v>
      </c>
      <c r="CQ101" s="250" t="str">
        <f>+IF(DATOS_[[#This Row],[% normaliz]]*DATOS_[[#This Row],[% anualiz]]=1,"NO","Sí")</f>
        <v>NO</v>
      </c>
      <c r="CR101" s="251">
        <f>(DATOS_[[#This Row],[S.BASE]]*(1/DATOS_[[#This Row],[% normaliz]])*(1/DATOS_[[#This Row],[% anualiz]]))*IF(DATOS_[[#This Row],[Check Equiparado]]="Sí",1,0)</f>
        <v>0</v>
      </c>
      <c r="CS101"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101" s="251">
        <f>+DATOS_[[#This Row],[SALARIO BASE Eq]]+DATOS_[[#This Row],[Tot COMPL.SAL Eq]]</f>
        <v>0</v>
      </c>
      <c r="CU101" s="251" cm="1">
        <f t="array" ref="CU101">(SUMPRODUCT((RngTipo=$CU$7)*(rngAnualizable="Sí")*(rngNormalizable="Sí")*(DATOS_[[#This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101" s="251">
        <f>+DATOS_[[#This Row],[TOTAL SALARIO Eq]]+DATOS_[[#This Row],[Tot Extrasalarial Eq]]</f>
        <v>0</v>
      </c>
      <c r="CW101" s="252">
        <f>DATOS_[[#This Row],[S.BASE]]</f>
        <v>0</v>
      </c>
      <c r="CX101" s="252">
        <f>+SUM(DATOS_[[#This Row],[Conc.Sal.01]:[Conc.Sal.30]])</f>
        <v>0</v>
      </c>
      <c r="CY101" s="252">
        <f>+DATOS_[[#This Row],[SALARIO BASE Ef]]+DATOS_[[#This Row],[Tot COMPL.SAL Ef]]</f>
        <v>0</v>
      </c>
      <c r="CZ101" s="252">
        <f>+SUM(DATOS_[[#This Row],[C.Extra.01]:[C.Extra.11]])</f>
        <v>0</v>
      </c>
      <c r="DA101" s="252">
        <f>+DATOS_[[#This Row],[TOTAL SALARIO Ef]]+DATOS_[[#This Row],[Tot Extrasalarial Ef]]</f>
        <v>0</v>
      </c>
      <c r="DB101" s="109">
        <f>MIN(IF(DATOS_[[#This Row],[Fecha Fin Contrato]]="",$D$4,DATOS_[[#This Row],[Fecha Fin Contrato]]),$D$4)-MAX(DATOS_[[#This Row],[Fecha de Contratación]],$D$3)+1</f>
        <v>341</v>
      </c>
      <c r="DC101" s="110" t="str">
        <f>IF(COUNTIFS(DATOS_[id/cod],DATOS_[[#This Row],[id/cod]])&gt;1,DATOS_[[#This Row],[id/cod]],"")</f>
        <v/>
      </c>
      <c r="DD101" s="108">
        <f>(Inicio!$G$10-DATOS_[[#This Row],[Fecha Nacimiento]])/365.25</f>
        <v>38.696783025325118</v>
      </c>
      <c r="DE101" s="108">
        <f>(Inicio!$G$10-DATOS_[[#This Row],[Fecha de Antigüedad]])/365.25</f>
        <v>0.93360711841204658</v>
      </c>
      <c r="DF101" s="108" t="e">
        <f>+VLOOKUP(DATOS_[[#This Row],[Clave de Contrato]],TblTiposContrato13[],3,FALSE)</f>
        <v>#N/A</v>
      </c>
      <c r="DG101" s="108" t="e">
        <f>+VLOOKUP(DATOS_[[#This Row],[Clave de Contrato]],TblTiposContrato13[],4,FALSE)</f>
        <v>#N/A</v>
      </c>
      <c r="DH101" s="108" t="str">
        <f>VLOOKUP(DATOS_[[#This Row],[Edad]],CONTRATOS!TblRngEdad,2,TRUE)</f>
        <v>35 a 40</v>
      </c>
      <c r="DI101" s="108" t="str">
        <f>VLOOKUP(DATOS_[[#This Row],[Antigüedad]],TblRngAntg14[],2,TRUE)</f>
        <v>0 a 1 años</v>
      </c>
    </row>
    <row r="102" spans="1:113" x14ac:dyDescent="0.25">
      <c r="A102" s="303" t="s">
        <v>505</v>
      </c>
      <c r="B102" s="265">
        <v>92</v>
      </c>
      <c r="C102" s="264" t="s">
        <v>337</v>
      </c>
      <c r="D102" s="243">
        <v>35867</v>
      </c>
      <c r="E102" s="243" t="s">
        <v>338</v>
      </c>
      <c r="F102" s="245"/>
      <c r="G102" s="245"/>
      <c r="H102" s="266">
        <v>45341</v>
      </c>
      <c r="I102" s="268"/>
      <c r="J102" s="260">
        <v>45316</v>
      </c>
      <c r="K102" s="267"/>
      <c r="L102" s="267"/>
      <c r="M102" s="244">
        <v>1</v>
      </c>
      <c r="N102" s="244"/>
      <c r="O102" s="244"/>
      <c r="P102" s="245"/>
      <c r="Q102" s="242" t="s">
        <v>339</v>
      </c>
      <c r="R102" s="242" t="s">
        <v>339</v>
      </c>
      <c r="S102" s="242" t="s">
        <v>445</v>
      </c>
      <c r="T102" s="242" t="s">
        <v>341</v>
      </c>
      <c r="U102" s="242" t="s">
        <v>342</v>
      </c>
      <c r="V102" s="242"/>
      <c r="W102" s="242"/>
      <c r="X102" s="246"/>
      <c r="Y102" s="271">
        <v>14000425011981</v>
      </c>
      <c r="Z102" s="247"/>
      <c r="AA102" s="279" t="s">
        <v>343</v>
      </c>
      <c r="AB102" s="248"/>
      <c r="AC102" s="245">
        <v>7</v>
      </c>
      <c r="AD102" s="261"/>
      <c r="AE102" s="262"/>
      <c r="AF102" s="262"/>
      <c r="AG102" s="262"/>
      <c r="AH102" s="262"/>
      <c r="AI102" s="262"/>
      <c r="AJ102" s="262"/>
      <c r="AK102" s="262"/>
      <c r="AL102" s="262"/>
      <c r="AM102" s="262"/>
      <c r="AN102" s="262"/>
      <c r="AO102" s="262"/>
      <c r="AP102" s="262"/>
      <c r="AQ102" s="262"/>
      <c r="AR102" s="262"/>
      <c r="AS102" s="262"/>
      <c r="AT102" s="262"/>
      <c r="AU102" s="262"/>
      <c r="AV102" s="262"/>
      <c r="AW102" s="262"/>
      <c r="AX102" s="262"/>
      <c r="AY102" s="262"/>
      <c r="AZ102" s="262"/>
      <c r="BA102" s="262"/>
      <c r="BB102" s="262"/>
      <c r="BC102" s="262"/>
      <c r="BD102" s="262"/>
      <c r="BE102" s="262"/>
      <c r="BF102" s="262"/>
      <c r="BG102" s="262"/>
      <c r="BH102" s="262"/>
      <c r="BI102" s="262"/>
      <c r="BJ102" s="262"/>
      <c r="BK102" s="262"/>
      <c r="BL102" s="262"/>
      <c r="BM102" s="262"/>
      <c r="BN102" s="262"/>
      <c r="BO102" s="262"/>
      <c r="BP102" s="262"/>
      <c r="BQ102" s="262"/>
      <c r="BR102" s="262"/>
      <c r="BS102" s="262"/>
      <c r="BT102" s="262"/>
      <c r="BU102" s="262"/>
      <c r="BV102" s="262"/>
      <c r="BW102" s="263"/>
      <c r="BX102" s="263"/>
      <c r="BY102" s="263"/>
      <c r="BZ102" s="263"/>
      <c r="CA102" s="263"/>
      <c r="CB102" s="263"/>
      <c r="CC102" s="263"/>
      <c r="CD102" s="263"/>
      <c r="CE102" s="263"/>
      <c r="CF102" s="263"/>
      <c r="CG102" s="263"/>
      <c r="CH102" s="249">
        <f>+MAX($D$3,DATOS_[[#This Row],[Fecha Inicio Sit. Contract.]])</f>
        <v>45292</v>
      </c>
      <c r="CI102" s="249">
        <f>+MIN($D$4,DATOS_[[#This Row],[Fecha Fin Sit. Contract.]])</f>
        <v>45657</v>
      </c>
      <c r="CJ102" s="250">
        <f>+DATOS_[[#This Row],[% de jornada]]*IF(DATOS_[[#This Row],[% jornada reducida]]="",1,DATOS_[[#This Row],[% jornada reducida]])</f>
        <v>1</v>
      </c>
      <c r="CK102" s="250">
        <f>+(DATOS_[[#This Row],[F.fin.cal]]-DATOS_[[#This Row],[F.ini.cal]]+1)/($D$4-$D$3+1)</f>
        <v>1</v>
      </c>
      <c r="CL102" s="250" t="str">
        <f>IF(OR(AND(DATOS_[[#This Row],[Fecha Fin Contrato]]&lt;$D$3,DATOS_[[#This Row],[Fecha Fin Contrato]]&lt;&gt;""),DATOS_[[#This Row],[Fecha de Contratación]]&gt;$D$4),"Fuera","Dentro")</f>
        <v>Dentro</v>
      </c>
      <c r="CM102" s="250" t="str" cm="1">
        <f t="array" ref="CM102">IF(MAX(IF(DATOS_[id/cod]=DATOS_[[#This Row],[id/cod]],DATOS_[F.fin.cal]))=DATOS_[[#This Row],[F.fin.cal]],"Sí","NO")</f>
        <v>Sí</v>
      </c>
      <c r="CN102" s="250" t="str">
        <f>IF(AND(DATOS_[[#This Row],[% normaliz]]&lt;&gt;1,DATOS_[[#This Row],[% anualiz]]=1),"Sí","NO")</f>
        <v>NO</v>
      </c>
      <c r="CO102" s="250" t="str">
        <f>IF(AND(DATOS_[[#This Row],[% normaliz]]=1,DATOS_[[#This Row],[% anualiz]]&lt;&gt;1),"Sí","NO")</f>
        <v>NO</v>
      </c>
      <c r="CP102" s="250" t="str">
        <f>IF(AND(DATOS_[[#This Row],[% normaliz]]&lt;&gt;1,DATOS_[[#This Row],[% anualiz]]&lt;&gt;1),"Sí","NO")</f>
        <v>NO</v>
      </c>
      <c r="CQ102" s="250" t="str">
        <f>+IF(DATOS_[[#This Row],[% normaliz]]*DATOS_[[#This Row],[% anualiz]]=1,"NO","Sí")</f>
        <v>NO</v>
      </c>
      <c r="CR102" s="251">
        <f>(DATOS_[[#This Row],[S.BASE]]*(1/DATOS_[[#This Row],[% normaliz]])*(1/DATOS_[[#This Row],[% anualiz]]))*IF(DATOS_[[#This Row],[Check Equiparado]]="Sí",1,0)</f>
        <v>0</v>
      </c>
      <c r="CS102"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102" s="251">
        <f>+DATOS_[[#This Row],[SALARIO BASE Eq]]+DATOS_[[#This Row],[Tot COMPL.SAL Eq]]</f>
        <v>0</v>
      </c>
      <c r="CU102" s="251" cm="1">
        <f t="array" ref="CU102">(SUMPRODUCT((RngTipo=$CU$7)*(rngAnualizable="Sí")*(rngNormalizable="Sí")*(DATOS_[[#This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102" s="251">
        <f>+DATOS_[[#This Row],[TOTAL SALARIO Eq]]+DATOS_[[#This Row],[Tot Extrasalarial Eq]]</f>
        <v>0</v>
      </c>
      <c r="CW102" s="252">
        <f>DATOS_[[#This Row],[S.BASE]]</f>
        <v>0</v>
      </c>
      <c r="CX102" s="252">
        <f>+SUM(DATOS_[[#This Row],[Conc.Sal.01]:[Conc.Sal.30]])</f>
        <v>0</v>
      </c>
      <c r="CY102" s="252">
        <f>+DATOS_[[#This Row],[SALARIO BASE Ef]]+DATOS_[[#This Row],[Tot COMPL.SAL Ef]]</f>
        <v>0</v>
      </c>
      <c r="CZ102" s="252">
        <f>+SUM(DATOS_[[#This Row],[C.Extra.01]:[C.Extra.11]])</f>
        <v>0</v>
      </c>
      <c r="DA102" s="252">
        <f>+DATOS_[[#This Row],[TOTAL SALARIO Ef]]+DATOS_[[#This Row],[Tot Extrasalarial Ef]]</f>
        <v>0</v>
      </c>
      <c r="DB102" s="109">
        <f>MIN(IF(DATOS_[[#This Row],[Fecha Fin Contrato]]="",$D$4,DATOS_[[#This Row],[Fecha Fin Contrato]]),$D$4)-MAX(DATOS_[[#This Row],[Fecha de Contratación]],$D$3)+1</f>
        <v>317</v>
      </c>
      <c r="DC102" s="110">
        <f>IF(COUNTIFS(DATOS_[id/cod],DATOS_[[#This Row],[id/cod]])&gt;1,DATOS_[[#This Row],[id/cod]],"")</f>
        <v>92</v>
      </c>
      <c r="DD102" s="108">
        <f>(Inicio!$G$10-DATOS_[[#This Row],[Fecha Nacimiento]])/365.25</f>
        <v>26.803559206023273</v>
      </c>
      <c r="DE102" s="108">
        <f>(Inicio!$G$10-DATOS_[[#This Row],[Fecha de Antigüedad]])/365.25</f>
        <v>0.93360711841204658</v>
      </c>
      <c r="DF102" s="108" t="e">
        <f>+VLOOKUP(DATOS_[[#This Row],[Clave de Contrato]],TblTiposContrato13[],3,FALSE)</f>
        <v>#N/A</v>
      </c>
      <c r="DG102" s="108" t="e">
        <f>+VLOOKUP(DATOS_[[#This Row],[Clave de Contrato]],TblTiposContrato13[],4,FALSE)</f>
        <v>#N/A</v>
      </c>
      <c r="DH102" s="108" t="str">
        <f>VLOOKUP(DATOS_[[#This Row],[Edad]],CONTRATOS!TblRngEdad,2,TRUE)</f>
        <v>25 a 30</v>
      </c>
      <c r="DI102" s="108" t="str">
        <f>VLOOKUP(DATOS_[[#This Row],[Antigüedad]],TblRngAntg14[],2,TRUE)</f>
        <v>0 a 1 años</v>
      </c>
    </row>
    <row r="103" spans="1:113" x14ac:dyDescent="0.25">
      <c r="A103" s="303" t="s">
        <v>506</v>
      </c>
      <c r="B103" s="265">
        <v>93</v>
      </c>
      <c r="C103" s="264" t="s">
        <v>337</v>
      </c>
      <c r="D103" s="243">
        <v>26189</v>
      </c>
      <c r="E103" s="243" t="s">
        <v>338</v>
      </c>
      <c r="F103" s="245"/>
      <c r="G103" s="245"/>
      <c r="H103" s="266">
        <v>45351</v>
      </c>
      <c r="I103" s="268"/>
      <c r="J103" s="260">
        <v>45316</v>
      </c>
      <c r="K103" s="267"/>
      <c r="L103" s="267"/>
      <c r="M103" s="244">
        <v>1</v>
      </c>
      <c r="N103" s="244"/>
      <c r="O103" s="244"/>
      <c r="P103" s="245"/>
      <c r="Q103" s="242" t="s">
        <v>375</v>
      </c>
      <c r="R103" s="242" t="s">
        <v>375</v>
      </c>
      <c r="S103" s="242" t="s">
        <v>507</v>
      </c>
      <c r="T103" s="242" t="s">
        <v>341</v>
      </c>
      <c r="U103" s="242" t="s">
        <v>367</v>
      </c>
      <c r="V103" s="242"/>
      <c r="W103" s="242"/>
      <c r="X103" s="246"/>
      <c r="Y103" s="271">
        <v>14000425011981</v>
      </c>
      <c r="Z103" s="247"/>
      <c r="AA103" s="279" t="s">
        <v>343</v>
      </c>
      <c r="AB103" s="248"/>
      <c r="AC103" s="245">
        <v>7</v>
      </c>
      <c r="AD103" s="261"/>
      <c r="AE103" s="262"/>
      <c r="AF103" s="262"/>
      <c r="AG103" s="262"/>
      <c r="AH103" s="262"/>
      <c r="AI103" s="262"/>
      <c r="AJ103" s="262"/>
      <c r="AK103" s="262"/>
      <c r="AL103" s="262"/>
      <c r="AM103" s="262"/>
      <c r="AN103" s="262"/>
      <c r="AO103" s="262"/>
      <c r="AP103" s="262"/>
      <c r="AQ103" s="262"/>
      <c r="AR103" s="262"/>
      <c r="AS103" s="262"/>
      <c r="AT103" s="262"/>
      <c r="AU103" s="262"/>
      <c r="AV103" s="262"/>
      <c r="AW103" s="262"/>
      <c r="AX103" s="262"/>
      <c r="AY103" s="262"/>
      <c r="AZ103" s="262"/>
      <c r="BA103" s="262"/>
      <c r="BB103" s="262"/>
      <c r="BC103" s="262"/>
      <c r="BD103" s="262"/>
      <c r="BE103" s="262"/>
      <c r="BF103" s="262"/>
      <c r="BG103" s="262"/>
      <c r="BH103" s="262"/>
      <c r="BI103" s="262"/>
      <c r="BJ103" s="262"/>
      <c r="BK103" s="262"/>
      <c r="BL103" s="262"/>
      <c r="BM103" s="262"/>
      <c r="BN103" s="262"/>
      <c r="BO103" s="262"/>
      <c r="BP103" s="262"/>
      <c r="BQ103" s="262"/>
      <c r="BR103" s="262"/>
      <c r="BS103" s="262"/>
      <c r="BT103" s="262"/>
      <c r="BU103" s="262"/>
      <c r="BV103" s="262"/>
      <c r="BW103" s="263"/>
      <c r="BX103" s="263"/>
      <c r="BY103" s="263"/>
      <c r="BZ103" s="263"/>
      <c r="CA103" s="263"/>
      <c r="CB103" s="263"/>
      <c r="CC103" s="263"/>
      <c r="CD103" s="263"/>
      <c r="CE103" s="263"/>
      <c r="CF103" s="263"/>
      <c r="CG103" s="263"/>
      <c r="CH103" s="249">
        <f>+MAX($D$3,DATOS_[[#This Row],[Fecha Inicio Sit. Contract.]])</f>
        <v>45292</v>
      </c>
      <c r="CI103" s="249">
        <f>+MIN($D$4,DATOS_[[#This Row],[Fecha Fin Sit. Contract.]])</f>
        <v>45657</v>
      </c>
      <c r="CJ103" s="250">
        <f>+DATOS_[[#This Row],[% de jornada]]*IF(DATOS_[[#This Row],[% jornada reducida]]="",1,DATOS_[[#This Row],[% jornada reducida]])</f>
        <v>1</v>
      </c>
      <c r="CK103" s="250">
        <f>+(DATOS_[[#This Row],[F.fin.cal]]-DATOS_[[#This Row],[F.ini.cal]]+1)/($D$4-$D$3+1)</f>
        <v>1</v>
      </c>
      <c r="CL103" s="250" t="str">
        <f>IF(OR(AND(DATOS_[[#This Row],[Fecha Fin Contrato]]&lt;$D$3,DATOS_[[#This Row],[Fecha Fin Contrato]]&lt;&gt;""),DATOS_[[#This Row],[Fecha de Contratación]]&gt;$D$4),"Fuera","Dentro")</f>
        <v>Dentro</v>
      </c>
      <c r="CM103" s="250" t="str" cm="1">
        <f t="array" ref="CM103">IF(MAX(IF(DATOS_[id/cod]=DATOS_[[#This Row],[id/cod]],DATOS_[F.fin.cal]))=DATOS_[[#This Row],[F.fin.cal]],"Sí","NO")</f>
        <v>Sí</v>
      </c>
      <c r="CN103" s="250" t="str">
        <f>IF(AND(DATOS_[[#This Row],[% normaliz]]&lt;&gt;1,DATOS_[[#This Row],[% anualiz]]=1),"Sí","NO")</f>
        <v>NO</v>
      </c>
      <c r="CO103" s="250" t="str">
        <f>IF(AND(DATOS_[[#This Row],[% normaliz]]=1,DATOS_[[#This Row],[% anualiz]]&lt;&gt;1),"Sí","NO")</f>
        <v>NO</v>
      </c>
      <c r="CP103" s="250" t="str">
        <f>IF(AND(DATOS_[[#This Row],[% normaliz]]&lt;&gt;1,DATOS_[[#This Row],[% anualiz]]&lt;&gt;1),"Sí","NO")</f>
        <v>NO</v>
      </c>
      <c r="CQ103" s="250" t="str">
        <f>+IF(DATOS_[[#This Row],[% normaliz]]*DATOS_[[#This Row],[% anualiz]]=1,"NO","Sí")</f>
        <v>NO</v>
      </c>
      <c r="CR103" s="251">
        <f>(DATOS_[[#This Row],[S.BASE]]*(1/DATOS_[[#This Row],[% normaliz]])*(1/DATOS_[[#This Row],[% anualiz]]))*IF(DATOS_[[#This Row],[Check Equiparado]]="Sí",1,0)</f>
        <v>0</v>
      </c>
      <c r="CS103"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103" s="251">
        <f>+DATOS_[[#This Row],[SALARIO BASE Eq]]+DATOS_[[#This Row],[Tot COMPL.SAL Eq]]</f>
        <v>0</v>
      </c>
      <c r="CU103" s="251" cm="1">
        <f t="array" ref="CU103">(SUMPRODUCT((RngTipo=$CU$7)*(rngAnualizable="Sí")*(rngNormalizable="Sí")*(DATOS_[[#This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103" s="251">
        <f>+DATOS_[[#This Row],[TOTAL SALARIO Eq]]+DATOS_[[#This Row],[Tot Extrasalarial Eq]]</f>
        <v>0</v>
      </c>
      <c r="CW103" s="252">
        <f>DATOS_[[#This Row],[S.BASE]]</f>
        <v>0</v>
      </c>
      <c r="CX103" s="252">
        <f>+SUM(DATOS_[[#This Row],[Conc.Sal.01]:[Conc.Sal.30]])</f>
        <v>0</v>
      </c>
      <c r="CY103" s="252">
        <f>+DATOS_[[#This Row],[SALARIO BASE Ef]]+DATOS_[[#This Row],[Tot COMPL.SAL Ef]]</f>
        <v>0</v>
      </c>
      <c r="CZ103" s="252">
        <f>+SUM(DATOS_[[#This Row],[C.Extra.01]:[C.Extra.11]])</f>
        <v>0</v>
      </c>
      <c r="DA103" s="252">
        <f>+DATOS_[[#This Row],[TOTAL SALARIO Ef]]+DATOS_[[#This Row],[Tot Extrasalarial Ef]]</f>
        <v>0</v>
      </c>
      <c r="DB103" s="109">
        <f>MIN(IF(DATOS_[[#This Row],[Fecha Fin Contrato]]="",$D$4,DATOS_[[#This Row],[Fecha Fin Contrato]]),$D$4)-MAX(DATOS_[[#This Row],[Fecha de Contratación]],$D$3)+1</f>
        <v>307</v>
      </c>
      <c r="DC103" s="110">
        <f>IF(COUNTIFS(DATOS_[id/cod],DATOS_[[#This Row],[id/cod]])&gt;1,DATOS_[[#This Row],[id/cod]],"")</f>
        <v>93</v>
      </c>
      <c r="DD103" s="108">
        <f>(Inicio!$G$10-DATOS_[[#This Row],[Fecha Nacimiento]])/365.25</f>
        <v>53.300479123887747</v>
      </c>
      <c r="DE103" s="108">
        <f>(Inicio!$G$10-DATOS_[[#This Row],[Fecha de Antigüedad]])/365.25</f>
        <v>0.93360711841204658</v>
      </c>
      <c r="DF103" s="108" t="e">
        <f>+VLOOKUP(DATOS_[[#This Row],[Clave de Contrato]],TblTiposContrato13[],3,FALSE)</f>
        <v>#N/A</v>
      </c>
      <c r="DG103" s="108" t="e">
        <f>+VLOOKUP(DATOS_[[#This Row],[Clave de Contrato]],TblTiposContrato13[],4,FALSE)</f>
        <v>#N/A</v>
      </c>
      <c r="DH103" s="108" t="str">
        <f>VLOOKUP(DATOS_[[#This Row],[Edad]],CONTRATOS!TblRngEdad,2,TRUE)</f>
        <v>50 a 55</v>
      </c>
      <c r="DI103" s="108" t="str">
        <f>VLOOKUP(DATOS_[[#This Row],[Antigüedad]],TblRngAntg14[],2,TRUE)</f>
        <v>0 a 1 años</v>
      </c>
    </row>
    <row r="104" spans="1:113" x14ac:dyDescent="0.25">
      <c r="A104" s="303" t="s">
        <v>508</v>
      </c>
      <c r="B104" s="265">
        <v>94</v>
      </c>
      <c r="C104" s="264" t="s">
        <v>337</v>
      </c>
      <c r="D104" s="243">
        <v>29481</v>
      </c>
      <c r="E104" s="243" t="s">
        <v>373</v>
      </c>
      <c r="F104" s="245"/>
      <c r="G104" s="245"/>
      <c r="H104" s="266">
        <v>45355</v>
      </c>
      <c r="I104" s="268"/>
      <c r="J104" s="260">
        <v>45316</v>
      </c>
      <c r="K104" s="267"/>
      <c r="L104" s="267"/>
      <c r="M104" s="244">
        <v>1</v>
      </c>
      <c r="N104" s="244"/>
      <c r="O104" s="244"/>
      <c r="P104" s="245"/>
      <c r="Q104" s="242" t="s">
        <v>375</v>
      </c>
      <c r="R104" s="242" t="s">
        <v>375</v>
      </c>
      <c r="S104" s="242" t="s">
        <v>509</v>
      </c>
      <c r="T104" s="242" t="s">
        <v>341</v>
      </c>
      <c r="U104" s="242" t="s">
        <v>367</v>
      </c>
      <c r="V104" s="242"/>
      <c r="W104" s="242"/>
      <c r="X104" s="246"/>
      <c r="Y104" s="271">
        <v>14000425011981</v>
      </c>
      <c r="Z104" s="247"/>
      <c r="AA104" s="279" t="s">
        <v>343</v>
      </c>
      <c r="AB104" s="248"/>
      <c r="AC104" s="245">
        <v>7</v>
      </c>
      <c r="AD104" s="261"/>
      <c r="AE104" s="262"/>
      <c r="AF104" s="262"/>
      <c r="AG104" s="262"/>
      <c r="AH104" s="262"/>
      <c r="AI104" s="262"/>
      <c r="AJ104" s="262"/>
      <c r="AK104" s="262"/>
      <c r="AL104" s="262"/>
      <c r="AM104" s="262"/>
      <c r="AN104" s="262"/>
      <c r="AO104" s="262"/>
      <c r="AP104" s="262"/>
      <c r="AQ104" s="262"/>
      <c r="AR104" s="262"/>
      <c r="AS104" s="262"/>
      <c r="AT104" s="262"/>
      <c r="AU104" s="262"/>
      <c r="AV104" s="262"/>
      <c r="AW104" s="262"/>
      <c r="AX104" s="262"/>
      <c r="AY104" s="262"/>
      <c r="AZ104" s="262"/>
      <c r="BA104" s="262"/>
      <c r="BB104" s="262"/>
      <c r="BC104" s="262"/>
      <c r="BD104" s="262"/>
      <c r="BE104" s="262"/>
      <c r="BF104" s="262"/>
      <c r="BG104" s="262"/>
      <c r="BH104" s="262"/>
      <c r="BI104" s="262"/>
      <c r="BJ104" s="262"/>
      <c r="BK104" s="262"/>
      <c r="BL104" s="262"/>
      <c r="BM104" s="262"/>
      <c r="BN104" s="262"/>
      <c r="BO104" s="262"/>
      <c r="BP104" s="262"/>
      <c r="BQ104" s="262"/>
      <c r="BR104" s="262"/>
      <c r="BS104" s="262"/>
      <c r="BT104" s="262"/>
      <c r="BU104" s="262"/>
      <c r="BV104" s="262"/>
      <c r="BW104" s="263"/>
      <c r="BX104" s="263"/>
      <c r="BY104" s="263"/>
      <c r="BZ104" s="263"/>
      <c r="CA104" s="263"/>
      <c r="CB104" s="263"/>
      <c r="CC104" s="263"/>
      <c r="CD104" s="263"/>
      <c r="CE104" s="263"/>
      <c r="CF104" s="263"/>
      <c r="CG104" s="263"/>
      <c r="CH104" s="249">
        <f>+MAX($D$3,DATOS_[[#This Row],[Fecha Inicio Sit. Contract.]])</f>
        <v>45292</v>
      </c>
      <c r="CI104" s="249">
        <f>+MIN($D$4,DATOS_[[#This Row],[Fecha Fin Sit. Contract.]])</f>
        <v>45657</v>
      </c>
      <c r="CJ104" s="250">
        <f>+DATOS_[[#This Row],[% de jornada]]*IF(DATOS_[[#This Row],[% jornada reducida]]="",1,DATOS_[[#This Row],[% jornada reducida]])</f>
        <v>1</v>
      </c>
      <c r="CK104" s="250">
        <f>+(DATOS_[[#This Row],[F.fin.cal]]-DATOS_[[#This Row],[F.ini.cal]]+1)/($D$4-$D$3+1)</f>
        <v>1</v>
      </c>
      <c r="CL104" s="250" t="str">
        <f>IF(OR(AND(DATOS_[[#This Row],[Fecha Fin Contrato]]&lt;$D$3,DATOS_[[#This Row],[Fecha Fin Contrato]]&lt;&gt;""),DATOS_[[#This Row],[Fecha de Contratación]]&gt;$D$4),"Fuera","Dentro")</f>
        <v>Dentro</v>
      </c>
      <c r="CM104" s="250" t="str" cm="1">
        <f t="array" ref="CM104">IF(MAX(IF(DATOS_[id/cod]=DATOS_[[#This Row],[id/cod]],DATOS_[F.fin.cal]))=DATOS_[[#This Row],[F.fin.cal]],"Sí","NO")</f>
        <v>Sí</v>
      </c>
      <c r="CN104" s="250" t="str">
        <f>IF(AND(DATOS_[[#This Row],[% normaliz]]&lt;&gt;1,DATOS_[[#This Row],[% anualiz]]=1),"Sí","NO")</f>
        <v>NO</v>
      </c>
      <c r="CO104" s="250" t="str">
        <f>IF(AND(DATOS_[[#This Row],[% normaliz]]=1,DATOS_[[#This Row],[% anualiz]]&lt;&gt;1),"Sí","NO")</f>
        <v>NO</v>
      </c>
      <c r="CP104" s="250" t="str">
        <f>IF(AND(DATOS_[[#This Row],[% normaliz]]&lt;&gt;1,DATOS_[[#This Row],[% anualiz]]&lt;&gt;1),"Sí","NO")</f>
        <v>NO</v>
      </c>
      <c r="CQ104" s="250" t="str">
        <f>+IF(DATOS_[[#This Row],[% normaliz]]*DATOS_[[#This Row],[% anualiz]]=1,"NO","Sí")</f>
        <v>NO</v>
      </c>
      <c r="CR104" s="251">
        <f>(DATOS_[[#This Row],[S.BASE]]*(1/DATOS_[[#This Row],[% normaliz]])*(1/DATOS_[[#This Row],[% anualiz]]))*IF(DATOS_[[#This Row],[Check Equiparado]]="Sí",1,0)</f>
        <v>0</v>
      </c>
      <c r="CS104"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104" s="251">
        <f>+DATOS_[[#This Row],[SALARIO BASE Eq]]+DATOS_[[#This Row],[Tot COMPL.SAL Eq]]</f>
        <v>0</v>
      </c>
      <c r="CU104" s="251" cm="1">
        <f t="array" ref="CU104">(SUMPRODUCT((RngTipo=$CU$7)*(rngAnualizable="Sí")*(rngNormalizable="Sí")*(DATOS_[[#This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104" s="251">
        <f>+DATOS_[[#This Row],[TOTAL SALARIO Eq]]+DATOS_[[#This Row],[Tot Extrasalarial Eq]]</f>
        <v>0</v>
      </c>
      <c r="CW104" s="252">
        <f>DATOS_[[#This Row],[S.BASE]]</f>
        <v>0</v>
      </c>
      <c r="CX104" s="252">
        <f>+SUM(DATOS_[[#This Row],[Conc.Sal.01]:[Conc.Sal.30]])</f>
        <v>0</v>
      </c>
      <c r="CY104" s="252">
        <f>+DATOS_[[#This Row],[SALARIO BASE Ef]]+DATOS_[[#This Row],[Tot COMPL.SAL Ef]]</f>
        <v>0</v>
      </c>
      <c r="CZ104" s="252">
        <f>+SUM(DATOS_[[#This Row],[C.Extra.01]:[C.Extra.11]])</f>
        <v>0</v>
      </c>
      <c r="DA104" s="252">
        <f>+DATOS_[[#This Row],[TOTAL SALARIO Ef]]+DATOS_[[#This Row],[Tot Extrasalarial Ef]]</f>
        <v>0</v>
      </c>
      <c r="DB104" s="109">
        <f>MIN(IF(DATOS_[[#This Row],[Fecha Fin Contrato]]="",$D$4,DATOS_[[#This Row],[Fecha Fin Contrato]]),$D$4)-MAX(DATOS_[[#This Row],[Fecha de Contratación]],$D$3)+1</f>
        <v>303</v>
      </c>
      <c r="DC104" s="110" t="str">
        <f>IF(COUNTIFS(DATOS_[id/cod],DATOS_[[#This Row],[id/cod]])&gt;1,DATOS_[[#This Row],[id/cod]],"")</f>
        <v/>
      </c>
      <c r="DD104" s="108">
        <f>(Inicio!$G$10-DATOS_[[#This Row],[Fecha Nacimiento]])/365.25</f>
        <v>44.28747433264887</v>
      </c>
      <c r="DE104" s="108">
        <f>(Inicio!$G$10-DATOS_[[#This Row],[Fecha de Antigüedad]])/365.25</f>
        <v>0.93360711841204658</v>
      </c>
      <c r="DF104" s="108" t="e">
        <f>+VLOOKUP(DATOS_[[#This Row],[Clave de Contrato]],TblTiposContrato13[],3,FALSE)</f>
        <v>#N/A</v>
      </c>
      <c r="DG104" s="108" t="e">
        <f>+VLOOKUP(DATOS_[[#This Row],[Clave de Contrato]],TblTiposContrato13[],4,FALSE)</f>
        <v>#N/A</v>
      </c>
      <c r="DH104" s="108" t="str">
        <f>VLOOKUP(DATOS_[[#This Row],[Edad]],CONTRATOS!TblRngEdad,2,TRUE)</f>
        <v>40 a 45</v>
      </c>
      <c r="DI104" s="108" t="str">
        <f>VLOOKUP(DATOS_[[#This Row],[Antigüedad]],TblRngAntg14[],2,TRUE)</f>
        <v>0 a 1 años</v>
      </c>
    </row>
    <row r="105" spans="1:113" x14ac:dyDescent="0.25">
      <c r="A105" s="303" t="s">
        <v>510</v>
      </c>
      <c r="B105" s="265">
        <v>95</v>
      </c>
      <c r="C105" s="264" t="s">
        <v>337</v>
      </c>
      <c r="D105" s="243">
        <v>33155</v>
      </c>
      <c r="E105" s="243" t="s">
        <v>373</v>
      </c>
      <c r="F105" s="245"/>
      <c r="G105" s="245"/>
      <c r="H105" s="266">
        <v>45390</v>
      </c>
      <c r="I105" s="268"/>
      <c r="J105" s="260">
        <v>45316</v>
      </c>
      <c r="K105" s="267"/>
      <c r="L105" s="267"/>
      <c r="M105" s="244">
        <v>1</v>
      </c>
      <c r="N105" s="280"/>
      <c r="O105" s="244"/>
      <c r="P105" s="245"/>
      <c r="Q105" s="242" t="s">
        <v>375</v>
      </c>
      <c r="R105" s="242" t="s">
        <v>375</v>
      </c>
      <c r="S105" s="242" t="s">
        <v>483</v>
      </c>
      <c r="T105" s="242" t="s">
        <v>341</v>
      </c>
      <c r="U105" s="242" t="s">
        <v>367</v>
      </c>
      <c r="V105" s="242"/>
      <c r="W105" s="242"/>
      <c r="X105" s="246"/>
      <c r="Y105" s="271">
        <v>14000425011981</v>
      </c>
      <c r="Z105" s="247"/>
      <c r="AA105" s="279" t="s">
        <v>343</v>
      </c>
      <c r="AB105" s="248"/>
      <c r="AC105" s="245">
        <v>7</v>
      </c>
      <c r="AD105" s="261"/>
      <c r="AE105" s="262"/>
      <c r="AF105" s="262"/>
      <c r="AG105" s="262"/>
      <c r="AH105" s="262"/>
      <c r="AI105" s="262"/>
      <c r="AJ105" s="262"/>
      <c r="AK105" s="262"/>
      <c r="AL105" s="262"/>
      <c r="AM105" s="262"/>
      <c r="AN105" s="262"/>
      <c r="AO105" s="262"/>
      <c r="AP105" s="262"/>
      <c r="AQ105" s="262"/>
      <c r="AR105" s="262"/>
      <c r="AS105" s="262"/>
      <c r="AT105" s="262"/>
      <c r="AU105" s="262"/>
      <c r="AV105" s="262"/>
      <c r="AW105" s="262"/>
      <c r="AX105" s="262"/>
      <c r="AY105" s="262"/>
      <c r="AZ105" s="262"/>
      <c r="BA105" s="262"/>
      <c r="BB105" s="262"/>
      <c r="BC105" s="262"/>
      <c r="BD105" s="262"/>
      <c r="BE105" s="262"/>
      <c r="BF105" s="262"/>
      <c r="BG105" s="262"/>
      <c r="BH105" s="262"/>
      <c r="BI105" s="262"/>
      <c r="BJ105" s="262"/>
      <c r="BK105" s="262"/>
      <c r="BL105" s="262"/>
      <c r="BM105" s="262"/>
      <c r="BN105" s="262"/>
      <c r="BO105" s="262"/>
      <c r="BP105" s="262"/>
      <c r="BQ105" s="262"/>
      <c r="BR105" s="262"/>
      <c r="BS105" s="262"/>
      <c r="BT105" s="262"/>
      <c r="BU105" s="262"/>
      <c r="BV105" s="262"/>
      <c r="BW105" s="263"/>
      <c r="BX105" s="263"/>
      <c r="BY105" s="263"/>
      <c r="BZ105" s="263"/>
      <c r="CA105" s="263"/>
      <c r="CB105" s="263"/>
      <c r="CC105" s="263"/>
      <c r="CD105" s="263"/>
      <c r="CE105" s="263"/>
      <c r="CF105" s="263"/>
      <c r="CG105" s="263"/>
      <c r="CH105" s="249">
        <f>+MAX($D$3,DATOS_[[#This Row],[Fecha Inicio Sit. Contract.]])</f>
        <v>45292</v>
      </c>
      <c r="CI105" s="249">
        <f>+MIN($D$4,DATOS_[[#This Row],[Fecha Fin Sit. Contract.]])</f>
        <v>45657</v>
      </c>
      <c r="CJ105" s="250">
        <f>+DATOS_[[#This Row],[% de jornada]]*IF(DATOS_[[#This Row],[% jornada reducida]]="",1,DATOS_[[#This Row],[% jornada reducida]])</f>
        <v>1</v>
      </c>
      <c r="CK105" s="250">
        <f>+(DATOS_[[#This Row],[F.fin.cal]]-DATOS_[[#This Row],[F.ini.cal]]+1)/($D$4-$D$3+1)</f>
        <v>1</v>
      </c>
      <c r="CL105" s="250" t="str">
        <f>IF(OR(AND(DATOS_[[#This Row],[Fecha Fin Contrato]]&lt;$D$3,DATOS_[[#This Row],[Fecha Fin Contrato]]&lt;&gt;""),DATOS_[[#This Row],[Fecha de Contratación]]&gt;$D$4),"Fuera","Dentro")</f>
        <v>Dentro</v>
      </c>
      <c r="CM105" s="250" t="str" cm="1">
        <f t="array" ref="CM105">IF(MAX(IF(DATOS_[id/cod]=DATOS_[[#This Row],[id/cod]],DATOS_[F.fin.cal]))=DATOS_[[#This Row],[F.fin.cal]],"Sí","NO")</f>
        <v>Sí</v>
      </c>
      <c r="CN105" s="250" t="str">
        <f>IF(AND(DATOS_[[#This Row],[% normaliz]]&lt;&gt;1,DATOS_[[#This Row],[% anualiz]]=1),"Sí","NO")</f>
        <v>NO</v>
      </c>
      <c r="CO105" s="250" t="str">
        <f>IF(AND(DATOS_[[#This Row],[% normaliz]]=1,DATOS_[[#This Row],[% anualiz]]&lt;&gt;1),"Sí","NO")</f>
        <v>NO</v>
      </c>
      <c r="CP105" s="250" t="str">
        <f>IF(AND(DATOS_[[#This Row],[% normaliz]]&lt;&gt;1,DATOS_[[#This Row],[% anualiz]]&lt;&gt;1),"Sí","NO")</f>
        <v>NO</v>
      </c>
      <c r="CQ105" s="250" t="str">
        <f>+IF(DATOS_[[#This Row],[% normaliz]]*DATOS_[[#This Row],[% anualiz]]=1,"NO","Sí")</f>
        <v>NO</v>
      </c>
      <c r="CR105" s="251">
        <f>(DATOS_[[#This Row],[S.BASE]]*(1/DATOS_[[#This Row],[% normaliz]])*(1/DATOS_[[#This Row],[% anualiz]]))*IF(DATOS_[[#This Row],[Check Equiparado]]="Sí",1,0)</f>
        <v>0</v>
      </c>
      <c r="CS105"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105" s="251">
        <f>+DATOS_[[#This Row],[SALARIO BASE Eq]]+DATOS_[[#This Row],[Tot COMPL.SAL Eq]]</f>
        <v>0</v>
      </c>
      <c r="CU105" s="251" cm="1">
        <f t="array" ref="CU105">(SUMPRODUCT((RngTipo=$CU$7)*(rngAnualizable="Sí")*(rngNormalizable="Sí")*(DATOS_[[#This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105" s="251">
        <f>+DATOS_[[#This Row],[TOTAL SALARIO Eq]]+DATOS_[[#This Row],[Tot Extrasalarial Eq]]</f>
        <v>0</v>
      </c>
      <c r="CW105" s="252">
        <f>DATOS_[[#This Row],[S.BASE]]</f>
        <v>0</v>
      </c>
      <c r="CX105" s="252">
        <f>+SUM(DATOS_[[#This Row],[Conc.Sal.01]:[Conc.Sal.30]])</f>
        <v>0</v>
      </c>
      <c r="CY105" s="252">
        <f>+DATOS_[[#This Row],[SALARIO BASE Ef]]+DATOS_[[#This Row],[Tot COMPL.SAL Ef]]</f>
        <v>0</v>
      </c>
      <c r="CZ105" s="252">
        <f>+SUM(DATOS_[[#This Row],[C.Extra.01]:[C.Extra.11]])</f>
        <v>0</v>
      </c>
      <c r="DA105" s="252">
        <f>+DATOS_[[#This Row],[TOTAL SALARIO Ef]]+DATOS_[[#This Row],[Tot Extrasalarial Ef]]</f>
        <v>0</v>
      </c>
      <c r="DB105" s="109">
        <f>MIN(IF(DATOS_[[#This Row],[Fecha Fin Contrato]]="",$D$4,DATOS_[[#This Row],[Fecha Fin Contrato]]),$D$4)-MAX(DATOS_[[#This Row],[Fecha de Contratación]],$D$3)+1</f>
        <v>268</v>
      </c>
      <c r="DC105" s="110" t="str">
        <f>IF(COUNTIFS(DATOS_[id/cod],DATOS_[[#This Row],[id/cod]])&gt;1,DATOS_[[#This Row],[id/cod]],"")</f>
        <v/>
      </c>
      <c r="DD105" s="108">
        <f>(Inicio!$G$10-DATOS_[[#This Row],[Fecha Nacimiento]])/365.25</f>
        <v>34.228610540725533</v>
      </c>
      <c r="DE105" s="108">
        <f>(Inicio!$G$10-DATOS_[[#This Row],[Fecha de Antigüedad]])/365.25</f>
        <v>0.93360711841204658</v>
      </c>
      <c r="DF105" s="108" t="e">
        <f>+VLOOKUP(DATOS_[[#This Row],[Clave de Contrato]],TblTiposContrato13[],3,FALSE)</f>
        <v>#N/A</v>
      </c>
      <c r="DG105" s="108" t="e">
        <f>+VLOOKUP(DATOS_[[#This Row],[Clave de Contrato]],TblTiposContrato13[],4,FALSE)</f>
        <v>#N/A</v>
      </c>
      <c r="DH105" s="108" t="str">
        <f>VLOOKUP(DATOS_[[#This Row],[Edad]],CONTRATOS!TblRngEdad,2,TRUE)</f>
        <v>30 a 35</v>
      </c>
      <c r="DI105" s="108" t="str">
        <f>VLOOKUP(DATOS_[[#This Row],[Antigüedad]],TblRngAntg14[],2,TRUE)</f>
        <v>0 a 1 años</v>
      </c>
    </row>
    <row r="106" spans="1:113" x14ac:dyDescent="0.25">
      <c r="A106" s="303" t="s">
        <v>511</v>
      </c>
      <c r="B106" s="265">
        <v>96</v>
      </c>
      <c r="C106" s="264" t="s">
        <v>337</v>
      </c>
      <c r="D106" s="243">
        <v>34889</v>
      </c>
      <c r="E106" s="243" t="s">
        <v>338</v>
      </c>
      <c r="F106" s="245"/>
      <c r="G106" s="245"/>
      <c r="H106" s="266">
        <v>45404</v>
      </c>
      <c r="I106" s="268"/>
      <c r="J106" s="260">
        <v>45316</v>
      </c>
      <c r="K106" s="267"/>
      <c r="L106" s="267"/>
      <c r="M106" s="244">
        <v>1</v>
      </c>
      <c r="N106" s="244"/>
      <c r="O106" s="244"/>
      <c r="P106" s="245"/>
      <c r="Q106" s="242" t="s">
        <v>339</v>
      </c>
      <c r="R106" s="242" t="s">
        <v>339</v>
      </c>
      <c r="S106" s="242" t="s">
        <v>340</v>
      </c>
      <c r="T106" s="242" t="s">
        <v>341</v>
      </c>
      <c r="U106" s="242" t="s">
        <v>342</v>
      </c>
      <c r="V106" s="242"/>
      <c r="W106" s="242"/>
      <c r="X106" s="246"/>
      <c r="Y106" s="271">
        <v>14000425011981</v>
      </c>
      <c r="Z106" s="247"/>
      <c r="AA106" s="279" t="s">
        <v>343</v>
      </c>
      <c r="AB106" s="248"/>
      <c r="AC106" s="245">
        <v>7</v>
      </c>
      <c r="AD106" s="261"/>
      <c r="AE106" s="262"/>
      <c r="AF106" s="262"/>
      <c r="AG106" s="262"/>
      <c r="AH106" s="262"/>
      <c r="AI106" s="262"/>
      <c r="AJ106" s="262"/>
      <c r="AK106" s="262"/>
      <c r="AL106" s="262"/>
      <c r="AM106" s="262"/>
      <c r="AN106" s="262"/>
      <c r="AO106" s="262"/>
      <c r="AP106" s="262"/>
      <c r="AQ106" s="262"/>
      <c r="AR106" s="262"/>
      <c r="AS106" s="262"/>
      <c r="AT106" s="262"/>
      <c r="AU106" s="262"/>
      <c r="AV106" s="262"/>
      <c r="AW106" s="262"/>
      <c r="AX106" s="262"/>
      <c r="AY106" s="262"/>
      <c r="AZ106" s="262"/>
      <c r="BA106" s="262"/>
      <c r="BB106" s="262"/>
      <c r="BC106" s="262"/>
      <c r="BD106" s="262"/>
      <c r="BE106" s="262"/>
      <c r="BF106" s="262"/>
      <c r="BG106" s="262"/>
      <c r="BH106" s="262"/>
      <c r="BI106" s="262"/>
      <c r="BJ106" s="262"/>
      <c r="BK106" s="262"/>
      <c r="BL106" s="262"/>
      <c r="BM106" s="262"/>
      <c r="BN106" s="262"/>
      <c r="BO106" s="262"/>
      <c r="BP106" s="262"/>
      <c r="BQ106" s="262"/>
      <c r="BR106" s="262"/>
      <c r="BS106" s="262"/>
      <c r="BT106" s="262"/>
      <c r="BU106" s="262"/>
      <c r="BV106" s="262"/>
      <c r="BW106" s="263"/>
      <c r="BX106" s="263"/>
      <c r="BY106" s="263"/>
      <c r="BZ106" s="263"/>
      <c r="CA106" s="263"/>
      <c r="CB106" s="263"/>
      <c r="CC106" s="263"/>
      <c r="CD106" s="263"/>
      <c r="CE106" s="263"/>
      <c r="CF106" s="263"/>
      <c r="CG106" s="263"/>
      <c r="CH106" s="249">
        <f>+MAX($D$3,DATOS_[[#This Row],[Fecha Inicio Sit. Contract.]])</f>
        <v>45292</v>
      </c>
      <c r="CI106" s="249">
        <f>+MIN($D$4,DATOS_[[#This Row],[Fecha Fin Sit. Contract.]])</f>
        <v>45657</v>
      </c>
      <c r="CJ106" s="250">
        <f>+DATOS_[[#This Row],[% de jornada]]*IF(DATOS_[[#This Row],[% jornada reducida]]="",1,DATOS_[[#This Row],[% jornada reducida]])</f>
        <v>1</v>
      </c>
      <c r="CK106" s="250">
        <f>+(DATOS_[[#This Row],[F.fin.cal]]-DATOS_[[#This Row],[F.ini.cal]]+1)/($D$4-$D$3+1)</f>
        <v>1</v>
      </c>
      <c r="CL106" s="250" t="str">
        <f>IF(OR(AND(DATOS_[[#This Row],[Fecha Fin Contrato]]&lt;$D$3,DATOS_[[#This Row],[Fecha Fin Contrato]]&lt;&gt;""),DATOS_[[#This Row],[Fecha de Contratación]]&gt;$D$4),"Fuera","Dentro")</f>
        <v>Dentro</v>
      </c>
      <c r="CM106" s="250" t="str" cm="1">
        <f t="array" ref="CM106">IF(MAX(IF(DATOS_[id/cod]=DATOS_[[#This Row],[id/cod]],DATOS_[F.fin.cal]))=DATOS_[[#This Row],[F.fin.cal]],"Sí","NO")</f>
        <v>Sí</v>
      </c>
      <c r="CN106" s="250" t="str">
        <f>IF(AND(DATOS_[[#This Row],[% normaliz]]&lt;&gt;1,DATOS_[[#This Row],[% anualiz]]=1),"Sí","NO")</f>
        <v>NO</v>
      </c>
      <c r="CO106" s="250" t="str">
        <f>IF(AND(DATOS_[[#This Row],[% normaliz]]=1,DATOS_[[#This Row],[% anualiz]]&lt;&gt;1),"Sí","NO")</f>
        <v>NO</v>
      </c>
      <c r="CP106" s="250" t="str">
        <f>IF(AND(DATOS_[[#This Row],[% normaliz]]&lt;&gt;1,DATOS_[[#This Row],[% anualiz]]&lt;&gt;1),"Sí","NO")</f>
        <v>NO</v>
      </c>
      <c r="CQ106" s="250" t="str">
        <f>+IF(DATOS_[[#This Row],[% normaliz]]*DATOS_[[#This Row],[% anualiz]]=1,"NO","Sí")</f>
        <v>NO</v>
      </c>
      <c r="CR106" s="251">
        <f>(DATOS_[[#This Row],[S.BASE]]*(1/DATOS_[[#This Row],[% normaliz]])*(1/DATOS_[[#This Row],[% anualiz]]))*IF(DATOS_[[#This Row],[Check Equiparado]]="Sí",1,0)</f>
        <v>0</v>
      </c>
      <c r="CS106"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106" s="251">
        <f>+DATOS_[[#This Row],[SALARIO BASE Eq]]+DATOS_[[#This Row],[Tot COMPL.SAL Eq]]</f>
        <v>0</v>
      </c>
      <c r="CU106" s="251" cm="1">
        <f t="array" ref="CU106">(SUMPRODUCT((RngTipo=$CU$7)*(rngAnualizable="Sí")*(rngNormalizable="Sí")*(DATOS_[[#This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106" s="251">
        <f>+DATOS_[[#This Row],[TOTAL SALARIO Eq]]+DATOS_[[#This Row],[Tot Extrasalarial Eq]]</f>
        <v>0</v>
      </c>
      <c r="CW106" s="252">
        <f>DATOS_[[#This Row],[S.BASE]]</f>
        <v>0</v>
      </c>
      <c r="CX106" s="252">
        <f>+SUM(DATOS_[[#This Row],[Conc.Sal.01]:[Conc.Sal.30]])</f>
        <v>0</v>
      </c>
      <c r="CY106" s="252">
        <f>+DATOS_[[#This Row],[SALARIO BASE Ef]]+DATOS_[[#This Row],[Tot COMPL.SAL Ef]]</f>
        <v>0</v>
      </c>
      <c r="CZ106" s="252">
        <f>+SUM(DATOS_[[#This Row],[C.Extra.01]:[C.Extra.11]])</f>
        <v>0</v>
      </c>
      <c r="DA106" s="252">
        <f>+DATOS_[[#This Row],[TOTAL SALARIO Ef]]+DATOS_[[#This Row],[Tot Extrasalarial Ef]]</f>
        <v>0</v>
      </c>
      <c r="DB106" s="109">
        <f>MIN(IF(DATOS_[[#This Row],[Fecha Fin Contrato]]="",$D$4,DATOS_[[#This Row],[Fecha Fin Contrato]]),$D$4)-MAX(DATOS_[[#This Row],[Fecha de Contratación]],$D$3)+1</f>
        <v>254</v>
      </c>
      <c r="DC106" s="110" t="str">
        <f>IF(COUNTIFS(DATOS_[id/cod],DATOS_[[#This Row],[id/cod]])&gt;1,DATOS_[[#This Row],[id/cod]],"")</f>
        <v/>
      </c>
      <c r="DD106" s="108">
        <f>(Inicio!$G$10-DATOS_[[#This Row],[Fecha Nacimiento]])/365.25</f>
        <v>29.481177275838466</v>
      </c>
      <c r="DE106" s="108">
        <f>(Inicio!$G$10-DATOS_[[#This Row],[Fecha de Antigüedad]])/365.25</f>
        <v>0.93360711841204658</v>
      </c>
      <c r="DF106" s="108" t="e">
        <f>+VLOOKUP(DATOS_[[#This Row],[Clave de Contrato]],TblTiposContrato13[],3,FALSE)</f>
        <v>#N/A</v>
      </c>
      <c r="DG106" s="108" t="e">
        <f>+VLOOKUP(DATOS_[[#This Row],[Clave de Contrato]],TblTiposContrato13[],4,FALSE)</f>
        <v>#N/A</v>
      </c>
      <c r="DH106" s="108" t="str">
        <f>VLOOKUP(DATOS_[[#This Row],[Edad]],CONTRATOS!TblRngEdad,2,TRUE)</f>
        <v>25 a 30</v>
      </c>
      <c r="DI106" s="108" t="str">
        <f>VLOOKUP(DATOS_[[#This Row],[Antigüedad]],TblRngAntg14[],2,TRUE)</f>
        <v>0 a 1 años</v>
      </c>
    </row>
    <row r="107" spans="1:113" x14ac:dyDescent="0.25">
      <c r="A107" s="303" t="s">
        <v>512</v>
      </c>
      <c r="B107" s="265">
        <v>97</v>
      </c>
      <c r="C107" s="264" t="s">
        <v>356</v>
      </c>
      <c r="D107" s="243">
        <v>28796</v>
      </c>
      <c r="E107" s="243" t="s">
        <v>513</v>
      </c>
      <c r="F107" s="245"/>
      <c r="G107" s="245"/>
      <c r="H107" s="266">
        <v>45481</v>
      </c>
      <c r="I107" s="268"/>
      <c r="J107" s="260">
        <v>45316</v>
      </c>
      <c r="K107" s="267"/>
      <c r="L107" s="267"/>
      <c r="M107" s="244">
        <v>1</v>
      </c>
      <c r="N107" s="244"/>
      <c r="O107" s="244"/>
      <c r="P107" s="245"/>
      <c r="Q107" s="242" t="s">
        <v>339</v>
      </c>
      <c r="R107" s="242" t="s">
        <v>339</v>
      </c>
      <c r="S107" s="242" t="s">
        <v>445</v>
      </c>
      <c r="T107" s="242" t="s">
        <v>341</v>
      </c>
      <c r="U107" s="242" t="s">
        <v>342</v>
      </c>
      <c r="V107" s="242"/>
      <c r="W107" s="242"/>
      <c r="X107" s="246"/>
      <c r="Y107" s="271">
        <v>14000425011981</v>
      </c>
      <c r="Z107" s="247"/>
      <c r="AA107" s="279" t="s">
        <v>343</v>
      </c>
      <c r="AB107" s="248"/>
      <c r="AC107" s="245">
        <v>7</v>
      </c>
      <c r="AD107" s="261"/>
      <c r="AE107" s="262"/>
      <c r="AF107" s="262"/>
      <c r="AG107" s="262"/>
      <c r="AH107" s="262"/>
      <c r="AI107" s="262"/>
      <c r="AJ107" s="262"/>
      <c r="AK107" s="262"/>
      <c r="AL107" s="262"/>
      <c r="AM107" s="262"/>
      <c r="AN107" s="262"/>
      <c r="AO107" s="262"/>
      <c r="AP107" s="262"/>
      <c r="AQ107" s="262"/>
      <c r="AR107" s="262"/>
      <c r="AS107" s="262"/>
      <c r="AT107" s="262"/>
      <c r="AU107" s="262"/>
      <c r="AV107" s="262"/>
      <c r="AW107" s="262"/>
      <c r="AX107" s="262"/>
      <c r="AY107" s="262"/>
      <c r="AZ107" s="262"/>
      <c r="BA107" s="262"/>
      <c r="BB107" s="262"/>
      <c r="BC107" s="262"/>
      <c r="BD107" s="262"/>
      <c r="BE107" s="262"/>
      <c r="BF107" s="262"/>
      <c r="BG107" s="262"/>
      <c r="BH107" s="262"/>
      <c r="BI107" s="262"/>
      <c r="BJ107" s="262"/>
      <c r="BK107" s="262"/>
      <c r="BL107" s="262"/>
      <c r="BM107" s="262"/>
      <c r="BN107" s="262"/>
      <c r="BO107" s="262"/>
      <c r="BP107" s="262"/>
      <c r="BQ107" s="262"/>
      <c r="BR107" s="262"/>
      <c r="BS107" s="262"/>
      <c r="BT107" s="262"/>
      <c r="BU107" s="262"/>
      <c r="BV107" s="262"/>
      <c r="BW107" s="263"/>
      <c r="BX107" s="263"/>
      <c r="BY107" s="263"/>
      <c r="BZ107" s="263"/>
      <c r="CA107" s="263"/>
      <c r="CB107" s="263"/>
      <c r="CC107" s="263"/>
      <c r="CD107" s="263"/>
      <c r="CE107" s="263"/>
      <c r="CF107" s="263"/>
      <c r="CG107" s="263"/>
      <c r="CH107" s="249">
        <f>+MAX($D$3,DATOS_[[#This Row],[Fecha Inicio Sit. Contract.]])</f>
        <v>45292</v>
      </c>
      <c r="CI107" s="249">
        <f>+MIN($D$4,DATOS_[[#This Row],[Fecha Fin Sit. Contract.]])</f>
        <v>45657</v>
      </c>
      <c r="CJ107" s="250">
        <f>+DATOS_[[#This Row],[% de jornada]]*IF(DATOS_[[#This Row],[% jornada reducida]]="",1,DATOS_[[#This Row],[% jornada reducida]])</f>
        <v>1</v>
      </c>
      <c r="CK107" s="250">
        <f>+(DATOS_[[#This Row],[F.fin.cal]]-DATOS_[[#This Row],[F.ini.cal]]+1)/($D$4-$D$3+1)</f>
        <v>1</v>
      </c>
      <c r="CL107" s="250" t="str">
        <f>IF(OR(AND(DATOS_[[#This Row],[Fecha Fin Contrato]]&lt;$D$3,DATOS_[[#This Row],[Fecha Fin Contrato]]&lt;&gt;""),DATOS_[[#This Row],[Fecha de Contratación]]&gt;$D$4),"Fuera","Dentro")</f>
        <v>Dentro</v>
      </c>
      <c r="CM107" s="250" t="str" cm="1">
        <f t="array" ref="CM107">IF(MAX(IF(DATOS_[id/cod]=DATOS_[[#This Row],[id/cod]],DATOS_[F.fin.cal]))=DATOS_[[#This Row],[F.fin.cal]],"Sí","NO")</f>
        <v>Sí</v>
      </c>
      <c r="CN107" s="250" t="str">
        <f>IF(AND(DATOS_[[#This Row],[% normaliz]]&lt;&gt;1,DATOS_[[#This Row],[% anualiz]]=1),"Sí","NO")</f>
        <v>NO</v>
      </c>
      <c r="CO107" s="250" t="str">
        <f>IF(AND(DATOS_[[#This Row],[% normaliz]]=1,DATOS_[[#This Row],[% anualiz]]&lt;&gt;1),"Sí","NO")</f>
        <v>NO</v>
      </c>
      <c r="CP107" s="250" t="str">
        <f>IF(AND(DATOS_[[#This Row],[% normaliz]]&lt;&gt;1,DATOS_[[#This Row],[% anualiz]]&lt;&gt;1),"Sí","NO")</f>
        <v>NO</v>
      </c>
      <c r="CQ107" s="250" t="str">
        <f>+IF(DATOS_[[#This Row],[% normaliz]]*DATOS_[[#This Row],[% anualiz]]=1,"NO","Sí")</f>
        <v>NO</v>
      </c>
      <c r="CR107" s="251">
        <f>(DATOS_[[#This Row],[S.BASE]]*(1/DATOS_[[#This Row],[% normaliz]])*(1/DATOS_[[#This Row],[% anualiz]]))*IF(DATOS_[[#This Row],[Check Equiparado]]="Sí",1,0)</f>
        <v>0</v>
      </c>
      <c r="CS107"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107" s="251">
        <f>+DATOS_[[#This Row],[SALARIO BASE Eq]]+DATOS_[[#This Row],[Tot COMPL.SAL Eq]]</f>
        <v>0</v>
      </c>
      <c r="CU107" s="251" cm="1">
        <f t="array" ref="CU107">(SUMPRODUCT((RngTipo=$CU$7)*(rngAnualizable="Sí")*(rngNormalizable="Sí")*(DATOS_[[#This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107" s="251">
        <f>+DATOS_[[#This Row],[TOTAL SALARIO Eq]]+DATOS_[[#This Row],[Tot Extrasalarial Eq]]</f>
        <v>0</v>
      </c>
      <c r="CW107" s="252">
        <f>DATOS_[[#This Row],[S.BASE]]</f>
        <v>0</v>
      </c>
      <c r="CX107" s="252">
        <f>+SUM(DATOS_[[#This Row],[Conc.Sal.01]:[Conc.Sal.30]])</f>
        <v>0</v>
      </c>
      <c r="CY107" s="252">
        <f>+DATOS_[[#This Row],[SALARIO BASE Ef]]+DATOS_[[#This Row],[Tot COMPL.SAL Ef]]</f>
        <v>0</v>
      </c>
      <c r="CZ107" s="252">
        <f>+SUM(DATOS_[[#This Row],[C.Extra.01]:[C.Extra.11]])</f>
        <v>0</v>
      </c>
      <c r="DA107" s="252">
        <f>+DATOS_[[#This Row],[TOTAL SALARIO Ef]]+DATOS_[[#This Row],[Tot Extrasalarial Ef]]</f>
        <v>0</v>
      </c>
      <c r="DB107" s="109">
        <f>MIN(IF(DATOS_[[#This Row],[Fecha Fin Contrato]]="",$D$4,DATOS_[[#This Row],[Fecha Fin Contrato]]),$D$4)-MAX(DATOS_[[#This Row],[Fecha de Contratación]],$D$3)+1</f>
        <v>177</v>
      </c>
      <c r="DC107" s="110" t="str">
        <f>IF(COUNTIFS(DATOS_[id/cod],DATOS_[[#This Row],[id/cod]])&gt;1,DATOS_[[#This Row],[id/cod]],"")</f>
        <v/>
      </c>
      <c r="DD107" s="108">
        <f>(Inicio!$G$10-DATOS_[[#This Row],[Fecha Nacimiento]])/365.25</f>
        <v>46.162902121834357</v>
      </c>
      <c r="DE107" s="108">
        <f>(Inicio!$G$10-DATOS_[[#This Row],[Fecha de Antigüedad]])/365.25</f>
        <v>0.93360711841204658</v>
      </c>
      <c r="DF107" s="108" t="e">
        <f>+VLOOKUP(DATOS_[[#This Row],[Clave de Contrato]],TblTiposContrato13[],3,FALSE)</f>
        <v>#N/A</v>
      </c>
      <c r="DG107" s="108" t="e">
        <f>+VLOOKUP(DATOS_[[#This Row],[Clave de Contrato]],TblTiposContrato13[],4,FALSE)</f>
        <v>#N/A</v>
      </c>
      <c r="DH107" s="108" t="str">
        <f>VLOOKUP(DATOS_[[#This Row],[Edad]],CONTRATOS!TblRngEdad,2,TRUE)</f>
        <v>45 a 50</v>
      </c>
      <c r="DI107" s="108" t="str">
        <f>VLOOKUP(DATOS_[[#This Row],[Antigüedad]],TblRngAntg14[],2,TRUE)</f>
        <v>0 a 1 años</v>
      </c>
    </row>
    <row r="108" spans="1:113" x14ac:dyDescent="0.25">
      <c r="A108" s="303" t="s">
        <v>514</v>
      </c>
      <c r="B108" s="265">
        <v>98</v>
      </c>
      <c r="C108" s="264" t="s">
        <v>337</v>
      </c>
      <c r="D108" s="243">
        <v>33730</v>
      </c>
      <c r="E108" s="243" t="s">
        <v>414</v>
      </c>
      <c r="F108" s="245"/>
      <c r="G108" s="245"/>
      <c r="H108" s="266">
        <v>45481</v>
      </c>
      <c r="I108" s="268"/>
      <c r="J108" s="260">
        <v>45316</v>
      </c>
      <c r="K108" s="267"/>
      <c r="L108" s="267"/>
      <c r="M108" s="244">
        <v>1</v>
      </c>
      <c r="N108" s="244"/>
      <c r="O108" s="244"/>
      <c r="P108" s="245"/>
      <c r="Q108" s="242" t="s">
        <v>339</v>
      </c>
      <c r="R108" s="242" t="s">
        <v>339</v>
      </c>
      <c r="S108" s="242" t="s">
        <v>445</v>
      </c>
      <c r="T108" s="242" t="s">
        <v>341</v>
      </c>
      <c r="U108" s="242" t="s">
        <v>342</v>
      </c>
      <c r="V108" s="242"/>
      <c r="W108" s="242"/>
      <c r="X108" s="246"/>
      <c r="Y108" s="271">
        <v>14000425011981</v>
      </c>
      <c r="Z108" s="247"/>
      <c r="AA108" s="279" t="s">
        <v>343</v>
      </c>
      <c r="AB108" s="248"/>
      <c r="AC108" s="245">
        <v>7</v>
      </c>
      <c r="AD108" s="261"/>
      <c r="AE108" s="262"/>
      <c r="AF108" s="262"/>
      <c r="AG108" s="262"/>
      <c r="AH108" s="262"/>
      <c r="AI108" s="262"/>
      <c r="AJ108" s="262"/>
      <c r="AK108" s="262"/>
      <c r="AL108" s="262"/>
      <c r="AM108" s="262"/>
      <c r="AN108" s="262"/>
      <c r="AO108" s="262"/>
      <c r="AP108" s="262"/>
      <c r="AQ108" s="262"/>
      <c r="AR108" s="262"/>
      <c r="AS108" s="262"/>
      <c r="AT108" s="262"/>
      <c r="AU108" s="262"/>
      <c r="AV108" s="262"/>
      <c r="AW108" s="262"/>
      <c r="AX108" s="262"/>
      <c r="AY108" s="262"/>
      <c r="AZ108" s="262"/>
      <c r="BA108" s="262"/>
      <c r="BB108" s="262"/>
      <c r="BC108" s="262"/>
      <c r="BD108" s="262"/>
      <c r="BE108" s="262"/>
      <c r="BF108" s="262"/>
      <c r="BG108" s="262"/>
      <c r="BH108" s="262"/>
      <c r="BI108" s="262"/>
      <c r="BJ108" s="262"/>
      <c r="BK108" s="262"/>
      <c r="BL108" s="262"/>
      <c r="BM108" s="262"/>
      <c r="BN108" s="262"/>
      <c r="BO108" s="262"/>
      <c r="BP108" s="262"/>
      <c r="BQ108" s="262"/>
      <c r="BR108" s="262"/>
      <c r="BS108" s="262"/>
      <c r="BT108" s="262"/>
      <c r="BU108" s="262"/>
      <c r="BV108" s="262"/>
      <c r="BW108" s="263"/>
      <c r="BX108" s="263"/>
      <c r="BY108" s="263"/>
      <c r="BZ108" s="263"/>
      <c r="CA108" s="263"/>
      <c r="CB108" s="263"/>
      <c r="CC108" s="263"/>
      <c r="CD108" s="263"/>
      <c r="CE108" s="263"/>
      <c r="CF108" s="263"/>
      <c r="CG108" s="263"/>
      <c r="CH108" s="249">
        <f>+MAX($D$3,DATOS_[[#This Row],[Fecha Inicio Sit. Contract.]])</f>
        <v>45292</v>
      </c>
      <c r="CI108" s="249">
        <f>+MIN($D$4,DATOS_[[#This Row],[Fecha Fin Sit. Contract.]])</f>
        <v>45657</v>
      </c>
      <c r="CJ108" s="250">
        <f>+DATOS_[[#This Row],[% de jornada]]*IF(DATOS_[[#This Row],[% jornada reducida]]="",1,DATOS_[[#This Row],[% jornada reducida]])</f>
        <v>1</v>
      </c>
      <c r="CK108" s="250">
        <f>+(DATOS_[[#This Row],[F.fin.cal]]-DATOS_[[#This Row],[F.ini.cal]]+1)/($D$4-$D$3+1)</f>
        <v>1</v>
      </c>
      <c r="CL108" s="250" t="str">
        <f>IF(OR(AND(DATOS_[[#This Row],[Fecha Fin Contrato]]&lt;$D$3,DATOS_[[#This Row],[Fecha Fin Contrato]]&lt;&gt;""),DATOS_[[#This Row],[Fecha de Contratación]]&gt;$D$4),"Fuera","Dentro")</f>
        <v>Dentro</v>
      </c>
      <c r="CM108" s="250" t="str" cm="1">
        <f t="array" ref="CM108">IF(MAX(IF(DATOS_[id/cod]=DATOS_[[#This Row],[id/cod]],DATOS_[F.fin.cal]))=DATOS_[[#This Row],[F.fin.cal]],"Sí","NO")</f>
        <v>Sí</v>
      </c>
      <c r="CN108" s="250" t="str">
        <f>IF(AND(DATOS_[[#This Row],[% normaliz]]&lt;&gt;1,DATOS_[[#This Row],[% anualiz]]=1),"Sí","NO")</f>
        <v>NO</v>
      </c>
      <c r="CO108" s="250" t="str">
        <f>IF(AND(DATOS_[[#This Row],[% normaliz]]=1,DATOS_[[#This Row],[% anualiz]]&lt;&gt;1),"Sí","NO")</f>
        <v>NO</v>
      </c>
      <c r="CP108" s="250" t="str">
        <f>IF(AND(DATOS_[[#This Row],[% normaliz]]&lt;&gt;1,DATOS_[[#This Row],[% anualiz]]&lt;&gt;1),"Sí","NO")</f>
        <v>NO</v>
      </c>
      <c r="CQ108" s="250" t="str">
        <f>+IF(DATOS_[[#This Row],[% normaliz]]*DATOS_[[#This Row],[% anualiz]]=1,"NO","Sí")</f>
        <v>NO</v>
      </c>
      <c r="CR108" s="251">
        <f>(DATOS_[[#This Row],[S.BASE]]*(1/DATOS_[[#This Row],[% normaliz]])*(1/DATOS_[[#This Row],[% anualiz]]))*IF(DATOS_[[#This Row],[Check Equiparado]]="Sí",1,0)</f>
        <v>0</v>
      </c>
      <c r="CS108"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108" s="251">
        <f>+DATOS_[[#This Row],[SALARIO BASE Eq]]+DATOS_[[#This Row],[Tot COMPL.SAL Eq]]</f>
        <v>0</v>
      </c>
      <c r="CU108" s="251" cm="1">
        <f t="array" ref="CU108">(SUMPRODUCT((RngTipo=$CU$7)*(rngAnualizable="Sí")*(rngNormalizable="Sí")*(DATOS_[[#This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108" s="251">
        <f>+DATOS_[[#This Row],[TOTAL SALARIO Eq]]+DATOS_[[#This Row],[Tot Extrasalarial Eq]]</f>
        <v>0</v>
      </c>
      <c r="CW108" s="252">
        <f>DATOS_[[#This Row],[S.BASE]]</f>
        <v>0</v>
      </c>
      <c r="CX108" s="252">
        <f>+SUM(DATOS_[[#This Row],[Conc.Sal.01]:[Conc.Sal.30]])</f>
        <v>0</v>
      </c>
      <c r="CY108" s="252">
        <f>+DATOS_[[#This Row],[SALARIO BASE Ef]]+DATOS_[[#This Row],[Tot COMPL.SAL Ef]]</f>
        <v>0</v>
      </c>
      <c r="CZ108" s="252">
        <f>+SUM(DATOS_[[#This Row],[C.Extra.01]:[C.Extra.11]])</f>
        <v>0</v>
      </c>
      <c r="DA108" s="252">
        <f>+DATOS_[[#This Row],[TOTAL SALARIO Ef]]+DATOS_[[#This Row],[Tot Extrasalarial Ef]]</f>
        <v>0</v>
      </c>
      <c r="DB108" s="109">
        <f>MIN(IF(DATOS_[[#This Row],[Fecha Fin Contrato]]="",$D$4,DATOS_[[#This Row],[Fecha Fin Contrato]]),$D$4)-MAX(DATOS_[[#This Row],[Fecha de Contratación]],$D$3)+1</f>
        <v>177</v>
      </c>
      <c r="DC108" s="110" t="str">
        <f>IF(COUNTIFS(DATOS_[id/cod],DATOS_[[#This Row],[id/cod]])&gt;1,DATOS_[[#This Row],[id/cod]],"")</f>
        <v/>
      </c>
      <c r="DD108" s="108">
        <f>(Inicio!$G$10-DATOS_[[#This Row],[Fecha Nacimiento]])/365.25</f>
        <v>32.654346338124569</v>
      </c>
      <c r="DE108" s="108">
        <f>(Inicio!$G$10-DATOS_[[#This Row],[Fecha de Antigüedad]])/365.25</f>
        <v>0.93360711841204658</v>
      </c>
      <c r="DF108" s="108" t="e">
        <f>+VLOOKUP(DATOS_[[#This Row],[Clave de Contrato]],TblTiposContrato13[],3,FALSE)</f>
        <v>#N/A</v>
      </c>
      <c r="DG108" s="108" t="e">
        <f>+VLOOKUP(DATOS_[[#This Row],[Clave de Contrato]],TblTiposContrato13[],4,FALSE)</f>
        <v>#N/A</v>
      </c>
      <c r="DH108" s="108" t="str">
        <f>VLOOKUP(DATOS_[[#This Row],[Edad]],CONTRATOS!TblRngEdad,2,TRUE)</f>
        <v>30 a 35</v>
      </c>
      <c r="DI108" s="108" t="str">
        <f>VLOOKUP(DATOS_[[#This Row],[Antigüedad]],TblRngAntg14[],2,TRUE)</f>
        <v>0 a 1 años</v>
      </c>
    </row>
    <row r="109" spans="1:113" x14ac:dyDescent="0.25">
      <c r="A109" s="303" t="s">
        <v>515</v>
      </c>
      <c r="B109" s="265">
        <v>132</v>
      </c>
      <c r="C109" s="264" t="s">
        <v>356</v>
      </c>
      <c r="D109" s="243">
        <v>28464</v>
      </c>
      <c r="E109" s="243" t="s">
        <v>361</v>
      </c>
      <c r="F109" s="245"/>
      <c r="G109" s="245"/>
      <c r="H109" s="266">
        <v>45482</v>
      </c>
      <c r="I109" s="268"/>
      <c r="J109" s="260">
        <v>45316</v>
      </c>
      <c r="K109" s="267">
        <v>45572</v>
      </c>
      <c r="L109" s="267"/>
      <c r="M109" s="244">
        <v>0.75</v>
      </c>
      <c r="N109" s="244"/>
      <c r="O109" s="244"/>
      <c r="P109" s="245">
        <v>300</v>
      </c>
      <c r="Q109" s="242" t="s">
        <v>379</v>
      </c>
      <c r="R109" s="242" t="s">
        <v>379</v>
      </c>
      <c r="S109" s="242" t="s">
        <v>385</v>
      </c>
      <c r="T109" s="242" t="s">
        <v>341</v>
      </c>
      <c r="U109" s="242" t="s">
        <v>367</v>
      </c>
      <c r="V109" s="242"/>
      <c r="W109" s="242" t="s">
        <v>192</v>
      </c>
      <c r="X109" s="246"/>
      <c r="Y109" s="271">
        <v>14000425011981</v>
      </c>
      <c r="Z109" s="247" t="s">
        <v>382</v>
      </c>
      <c r="AA109" s="279" t="s">
        <v>343</v>
      </c>
      <c r="AB109" s="248"/>
      <c r="AC109" s="245">
        <v>10</v>
      </c>
      <c r="AD109" s="261">
        <v>1967.22</v>
      </c>
      <c r="AE109" s="262">
        <v>9.1999999999999993</v>
      </c>
      <c r="AF109" s="262">
        <v>201.9</v>
      </c>
      <c r="AG109" s="262">
        <v>0</v>
      </c>
      <c r="AH109" s="262">
        <v>368.71</v>
      </c>
      <c r="AI109" s="262">
        <v>0</v>
      </c>
      <c r="AJ109" s="262">
        <v>201.42</v>
      </c>
      <c r="AK109" s="262">
        <v>0</v>
      </c>
      <c r="AL109" s="262">
        <v>0</v>
      </c>
      <c r="AM109" s="262">
        <v>0</v>
      </c>
      <c r="AN109" s="262">
        <v>0</v>
      </c>
      <c r="AO109" s="262">
        <v>0</v>
      </c>
      <c r="AP109" s="262">
        <v>0</v>
      </c>
      <c r="AQ109" s="262">
        <v>0</v>
      </c>
      <c r="AR109" s="262">
        <v>57.68</v>
      </c>
      <c r="AS109" s="262">
        <v>179.82</v>
      </c>
      <c r="AT109" s="262">
        <v>542.92999999999995</v>
      </c>
      <c r="AU109" s="262">
        <v>0</v>
      </c>
      <c r="AV109" s="262">
        <v>0</v>
      </c>
      <c r="AW109" s="262">
        <v>0</v>
      </c>
      <c r="AX109" s="262">
        <v>0</v>
      </c>
      <c r="AY109" s="262">
        <v>0</v>
      </c>
      <c r="AZ109" s="262"/>
      <c r="BA109" s="262"/>
      <c r="BB109" s="262"/>
      <c r="BC109" s="262"/>
      <c r="BD109" s="262"/>
      <c r="BE109" s="262"/>
      <c r="BF109" s="262"/>
      <c r="BG109" s="262"/>
      <c r="BH109" s="262"/>
      <c r="BI109" s="262"/>
      <c r="BJ109" s="262"/>
      <c r="BK109" s="262"/>
      <c r="BL109" s="262"/>
      <c r="BM109" s="262"/>
      <c r="BN109" s="262"/>
      <c r="BO109" s="262"/>
      <c r="BP109" s="262"/>
      <c r="BQ109" s="262"/>
      <c r="BR109" s="262"/>
      <c r="BS109" s="262"/>
      <c r="BT109" s="262"/>
      <c r="BU109" s="262"/>
      <c r="BV109" s="262"/>
      <c r="BW109" s="263"/>
      <c r="BX109" s="263"/>
      <c r="BY109" s="263"/>
      <c r="BZ109" s="263"/>
      <c r="CA109" s="263"/>
      <c r="CB109" s="263"/>
      <c r="CC109" s="263"/>
      <c r="CD109" s="263"/>
      <c r="CE109" s="263"/>
      <c r="CF109" s="263"/>
      <c r="CG109" s="263"/>
      <c r="CH109" s="249">
        <f>+MAX($D$3,DATOS_[[#This Row],[Fecha Inicio Sit. Contract.]])</f>
        <v>45572</v>
      </c>
      <c r="CI109" s="249">
        <f>+MIN($D$4,DATOS_[[#This Row],[Fecha Fin Sit. Contract.]])</f>
        <v>45657</v>
      </c>
      <c r="CJ109" s="250">
        <f>+DATOS_[[#This Row],[% de jornada]]*IF(DATOS_[[#This Row],[% jornada reducida]]="",1,DATOS_[[#This Row],[% jornada reducida]])</f>
        <v>0.75</v>
      </c>
      <c r="CK109" s="250">
        <f>+(DATOS_[[#This Row],[F.fin.cal]]-DATOS_[[#This Row],[F.ini.cal]]+1)/($D$4-$D$3+1)</f>
        <v>0.23497267759562843</v>
      </c>
      <c r="CL109" s="250" t="str">
        <f>IF(OR(AND(DATOS_[[#This Row],[Fecha Fin Contrato]]&lt;$D$3,DATOS_[[#This Row],[Fecha Fin Contrato]]&lt;&gt;""),DATOS_[[#This Row],[Fecha de Contratación]]&gt;$D$4),"Fuera","Dentro")</f>
        <v>Dentro</v>
      </c>
      <c r="CM109" s="250" t="str" cm="1">
        <f t="array" ref="CM109">IF(MAX(IF(DATOS_[id/cod]=DATOS_[[#This Row],[id/cod]],DATOS_[F.fin.cal]))=DATOS_[[#This Row],[F.fin.cal]],"Sí","NO")</f>
        <v>Sí</v>
      </c>
      <c r="CN109" s="250" t="str">
        <f>IF(AND(DATOS_[[#This Row],[% normaliz]]&lt;&gt;1,DATOS_[[#This Row],[% anualiz]]=1),"Sí","NO")</f>
        <v>NO</v>
      </c>
      <c r="CO109" s="250" t="str">
        <f>IF(AND(DATOS_[[#This Row],[% normaliz]]=1,DATOS_[[#This Row],[% anualiz]]&lt;&gt;1),"Sí","NO")</f>
        <v>NO</v>
      </c>
      <c r="CP109" s="250" t="str">
        <f>IF(AND(DATOS_[[#This Row],[% normaliz]]&lt;&gt;1,DATOS_[[#This Row],[% anualiz]]&lt;&gt;1),"Sí","NO")</f>
        <v>Sí</v>
      </c>
      <c r="CQ109" s="250" t="str">
        <f>+IF(DATOS_[[#This Row],[% normaliz]]*DATOS_[[#This Row],[% anualiz]]=1,"NO","Sí")</f>
        <v>Sí</v>
      </c>
      <c r="CR109" s="251">
        <f>(DATOS_[[#This Row],[S.BASE]]*(1/DATOS_[[#This Row],[% normaliz]])*(1/DATOS_[[#This Row],[% anualiz]]))*IF(DATOS_[[#This Row],[Check Equiparado]]="Sí",1,0)</f>
        <v>11162.829767441859</v>
      </c>
      <c r="CS109"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4760.3265116279053</v>
      </c>
      <c r="CT109" s="251">
        <f>+DATOS_[[#This Row],[SALARIO BASE Eq]]+DATOS_[[#This Row],[Tot COMPL.SAL Eq]]</f>
        <v>15923.156279069764</v>
      </c>
      <c r="CU109" s="251" cm="1">
        <f t="array" ref="CU109">(SUMPRODUCT((RngTipo=$CU$7)*(rngAnualizable="Sí")*(rngNormalizable="Sí")*(DATOS_[[#This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4101.186046511627</v>
      </c>
      <c r="CV109" s="251">
        <f>+DATOS_[[#This Row],[TOTAL SALARIO Eq]]+DATOS_[[#This Row],[Tot Extrasalarial Eq]]</f>
        <v>20024.34232558139</v>
      </c>
      <c r="CW109" s="252">
        <f>DATOS_[[#This Row],[S.BASE]]</f>
        <v>1967.22</v>
      </c>
      <c r="CX109" s="252">
        <f>+SUM(DATOS_[[#This Row],[Conc.Sal.01]:[Conc.Sal.30]])</f>
        <v>1561.6599999999999</v>
      </c>
      <c r="CY109" s="252">
        <f>+DATOS_[[#This Row],[SALARIO BASE Ef]]+DATOS_[[#This Row],[Tot COMPL.SAL Ef]]</f>
        <v>3528.88</v>
      </c>
      <c r="CZ109" s="252">
        <f>+SUM(DATOS_[[#This Row],[C.Extra.01]:[C.Extra.11]])</f>
        <v>0</v>
      </c>
      <c r="DA109" s="252">
        <f>+DATOS_[[#This Row],[TOTAL SALARIO Ef]]+DATOS_[[#This Row],[Tot Extrasalarial Ef]]</f>
        <v>3528.88</v>
      </c>
      <c r="DB109" s="109">
        <f>MIN(IF(DATOS_[[#This Row],[Fecha Fin Contrato]]="",$D$4,DATOS_[[#This Row],[Fecha Fin Contrato]]),$D$4)-MAX(DATOS_[[#This Row],[Fecha de Contratación]],$D$3)+1</f>
        <v>176</v>
      </c>
      <c r="DC109" s="110" t="str">
        <f>IF(COUNTIFS(DATOS_[id/cod],DATOS_[[#This Row],[id/cod]])&gt;1,DATOS_[[#This Row],[id/cod]],"")</f>
        <v/>
      </c>
      <c r="DD109" s="108">
        <f>(Inicio!$G$10-DATOS_[[#This Row],[Fecha Nacimiento]])/365.25</f>
        <v>47.071868583162221</v>
      </c>
      <c r="DE109" s="108">
        <f>(Inicio!$G$10-DATOS_[[#This Row],[Fecha de Antigüedad]])/365.25</f>
        <v>0.93360711841204658</v>
      </c>
      <c r="DF109" s="108" t="str">
        <f>+VLOOKUP(DATOS_[[#This Row],[Clave de Contrato]],TblTiposContrato13[],3,FALSE)</f>
        <v>N.D</v>
      </c>
      <c r="DG109" s="108" t="str">
        <f>+VLOOKUP(DATOS_[[#This Row],[Clave de Contrato]],TblTiposContrato13[],4,FALSE)</f>
        <v>Fijo discontinuo</v>
      </c>
      <c r="DH109" s="108" t="str">
        <f>VLOOKUP(DATOS_[[#This Row],[Edad]],CONTRATOS!TblRngEdad,2,TRUE)</f>
        <v>45 a 50</v>
      </c>
      <c r="DI109" s="108" t="str">
        <f>VLOOKUP(DATOS_[[#This Row],[Antigüedad]],TblRngAntg14[],2,TRUE)</f>
        <v>0 a 1 años</v>
      </c>
    </row>
    <row r="110" spans="1:113" x14ac:dyDescent="0.25">
      <c r="A110" s="303" t="s">
        <v>516</v>
      </c>
      <c r="B110" s="265">
        <v>100</v>
      </c>
      <c r="C110" s="264" t="s">
        <v>356</v>
      </c>
      <c r="D110" s="243">
        <v>31582</v>
      </c>
      <c r="E110" s="243" t="s">
        <v>517</v>
      </c>
      <c r="F110" s="245"/>
      <c r="G110" s="245"/>
      <c r="H110" s="266">
        <v>45488</v>
      </c>
      <c r="I110" s="268">
        <v>45627</v>
      </c>
      <c r="J110" s="260">
        <v>45316</v>
      </c>
      <c r="K110" s="267">
        <v>45488</v>
      </c>
      <c r="L110" s="267">
        <v>45627</v>
      </c>
      <c r="M110" s="244">
        <v>0.75</v>
      </c>
      <c r="N110" s="244"/>
      <c r="O110" s="244"/>
      <c r="P110" s="245">
        <v>300</v>
      </c>
      <c r="Q110" s="242" t="s">
        <v>379</v>
      </c>
      <c r="R110" s="242" t="s">
        <v>379</v>
      </c>
      <c r="S110" s="242" t="s">
        <v>385</v>
      </c>
      <c r="T110" s="242" t="s">
        <v>341</v>
      </c>
      <c r="U110" s="242" t="s">
        <v>367</v>
      </c>
      <c r="V110" s="242"/>
      <c r="W110" s="242" t="s">
        <v>192</v>
      </c>
      <c r="X110" s="246"/>
      <c r="Y110" s="271">
        <v>14000425011981</v>
      </c>
      <c r="Z110" s="247" t="s">
        <v>382</v>
      </c>
      <c r="AA110" s="279" t="s">
        <v>343</v>
      </c>
      <c r="AB110" s="248"/>
      <c r="AC110" s="245">
        <v>10</v>
      </c>
      <c r="AD110" s="261">
        <v>2699.21</v>
      </c>
      <c r="AE110" s="262">
        <v>12.63</v>
      </c>
      <c r="AF110" s="262">
        <v>277.07</v>
      </c>
      <c r="AG110" s="262">
        <v>0</v>
      </c>
      <c r="AH110" s="262">
        <v>402.23</v>
      </c>
      <c r="AI110" s="262">
        <v>0</v>
      </c>
      <c r="AJ110" s="262">
        <v>276.35000000000002</v>
      </c>
      <c r="AK110" s="262">
        <v>0</v>
      </c>
      <c r="AL110" s="262">
        <v>0</v>
      </c>
      <c r="AM110" s="262">
        <v>0</v>
      </c>
      <c r="AN110" s="262">
        <v>0</v>
      </c>
      <c r="AO110" s="262">
        <v>0</v>
      </c>
      <c r="AP110" s="262">
        <v>0</v>
      </c>
      <c r="AQ110" s="262">
        <v>0</v>
      </c>
      <c r="AR110" s="262">
        <v>156.68</v>
      </c>
      <c r="AS110" s="262">
        <v>252.2</v>
      </c>
      <c r="AT110" s="262">
        <v>897.22</v>
      </c>
      <c r="AU110" s="262">
        <v>0</v>
      </c>
      <c r="AV110" s="262">
        <v>0</v>
      </c>
      <c r="AW110" s="262">
        <v>0</v>
      </c>
      <c r="AX110" s="262">
        <v>0</v>
      </c>
      <c r="AY110" s="262">
        <v>0</v>
      </c>
      <c r="AZ110" s="262"/>
      <c r="BA110" s="262"/>
      <c r="BB110" s="262"/>
      <c r="BC110" s="262"/>
      <c r="BD110" s="262"/>
      <c r="BE110" s="262"/>
      <c r="BF110" s="262"/>
      <c r="BG110" s="262"/>
      <c r="BH110" s="262"/>
      <c r="BI110" s="262"/>
      <c r="BJ110" s="262"/>
      <c r="BK110" s="262"/>
      <c r="BL110" s="262"/>
      <c r="BM110" s="262"/>
      <c r="BN110" s="262"/>
      <c r="BO110" s="262"/>
      <c r="BP110" s="262"/>
      <c r="BQ110" s="262"/>
      <c r="BR110" s="262"/>
      <c r="BS110" s="262"/>
      <c r="BT110" s="262"/>
      <c r="BU110" s="262"/>
      <c r="BV110" s="262"/>
      <c r="BW110" s="263"/>
      <c r="BX110" s="263"/>
      <c r="BY110" s="263"/>
      <c r="BZ110" s="263"/>
      <c r="CA110" s="263"/>
      <c r="CB110" s="263"/>
      <c r="CC110" s="263"/>
      <c r="CD110" s="263"/>
      <c r="CE110" s="263"/>
      <c r="CF110" s="263"/>
      <c r="CG110" s="263"/>
      <c r="CH110" s="249">
        <f>+MAX($D$3,DATOS_[[#This Row],[Fecha Inicio Sit. Contract.]])</f>
        <v>45488</v>
      </c>
      <c r="CI110" s="249">
        <f>+MIN($D$4,DATOS_[[#This Row],[Fecha Fin Sit. Contract.]])</f>
        <v>45627</v>
      </c>
      <c r="CJ110" s="250">
        <f>+DATOS_[[#This Row],[% de jornada]]*IF(DATOS_[[#This Row],[% jornada reducida]]="",1,DATOS_[[#This Row],[% jornada reducida]])</f>
        <v>0.75</v>
      </c>
      <c r="CK110" s="250">
        <f>+(DATOS_[[#This Row],[F.fin.cal]]-DATOS_[[#This Row],[F.ini.cal]]+1)/($D$4-$D$3+1)</f>
        <v>0.38251366120218577</v>
      </c>
      <c r="CL110" s="250" t="str">
        <f>IF(OR(AND(DATOS_[[#This Row],[Fecha Fin Contrato]]&lt;$D$3,DATOS_[[#This Row],[Fecha Fin Contrato]]&lt;&gt;""),DATOS_[[#This Row],[Fecha de Contratación]]&gt;$D$4),"Fuera","Dentro")</f>
        <v>Dentro</v>
      </c>
      <c r="CM110" s="250" t="str" cm="1">
        <f t="array" ref="CM110">IF(MAX(IF(DATOS_[id/cod]=DATOS_[[#This Row],[id/cod]],DATOS_[F.fin.cal]))=DATOS_[[#This Row],[F.fin.cal]],"Sí","NO")</f>
        <v>Sí</v>
      </c>
      <c r="CN110" s="250" t="str">
        <f>IF(AND(DATOS_[[#This Row],[% normaliz]]&lt;&gt;1,DATOS_[[#This Row],[% anualiz]]=1),"Sí","NO")</f>
        <v>NO</v>
      </c>
      <c r="CO110" s="250" t="str">
        <f>IF(AND(DATOS_[[#This Row],[% normaliz]]=1,DATOS_[[#This Row],[% anualiz]]&lt;&gt;1),"Sí","NO")</f>
        <v>NO</v>
      </c>
      <c r="CP110" s="250" t="str">
        <f>IF(AND(DATOS_[[#This Row],[% normaliz]]&lt;&gt;1,DATOS_[[#This Row],[% anualiz]]&lt;&gt;1),"Sí","NO")</f>
        <v>Sí</v>
      </c>
      <c r="CQ110" s="250" t="str">
        <f>+IF(DATOS_[[#This Row],[% normaliz]]*DATOS_[[#This Row],[% anualiz]]=1,"NO","Sí")</f>
        <v>Sí</v>
      </c>
      <c r="CR110" s="251">
        <f>(DATOS_[[#This Row],[S.BASE]]*(1/DATOS_[[#This Row],[% normaliz]])*(1/DATOS_[[#This Row],[% anualiz]]))*IF(DATOS_[[#This Row],[Check Equiparado]]="Sí",1,0)</f>
        <v>9408.6748571428579</v>
      </c>
      <c r="CS110"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3921.2891428571429</v>
      </c>
      <c r="CT110" s="251">
        <f>+DATOS_[[#This Row],[SALARIO BASE Eq]]+DATOS_[[#This Row],[Tot COMPL.SAL Eq]]</f>
        <v>13329.964</v>
      </c>
      <c r="CU110" s="251" cm="1">
        <f t="array" ref="CU110">(SUMPRODUCT((RngTipo=$CU$7)*(rngAnualizable="Sí")*(rngNormalizable="Sí")*(DATOS_[[#This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4006.5497142857148</v>
      </c>
      <c r="CV110" s="251">
        <f>+DATOS_[[#This Row],[TOTAL SALARIO Eq]]+DATOS_[[#This Row],[Tot Extrasalarial Eq]]</f>
        <v>17336.513714285713</v>
      </c>
      <c r="CW110" s="252">
        <f>DATOS_[[#This Row],[S.BASE]]</f>
        <v>2699.21</v>
      </c>
      <c r="CX110" s="252">
        <f>+SUM(DATOS_[[#This Row],[Conc.Sal.01]:[Conc.Sal.30]])</f>
        <v>2274.38</v>
      </c>
      <c r="CY110" s="252">
        <f>+DATOS_[[#This Row],[SALARIO BASE Ef]]+DATOS_[[#This Row],[Tot COMPL.SAL Ef]]</f>
        <v>4973.59</v>
      </c>
      <c r="CZ110" s="252">
        <f>+SUM(DATOS_[[#This Row],[C.Extra.01]:[C.Extra.11]])</f>
        <v>0</v>
      </c>
      <c r="DA110" s="252">
        <f>+DATOS_[[#This Row],[TOTAL SALARIO Ef]]+DATOS_[[#This Row],[Tot Extrasalarial Ef]]</f>
        <v>4973.59</v>
      </c>
      <c r="DB110" s="109">
        <f>MIN(IF(DATOS_[[#This Row],[Fecha Fin Contrato]]="",$D$4,DATOS_[[#This Row],[Fecha Fin Contrato]]),$D$4)-MAX(DATOS_[[#This Row],[Fecha de Contratación]],$D$3)+1</f>
        <v>140</v>
      </c>
      <c r="DC110" s="110" t="str">
        <f>IF(COUNTIFS(DATOS_[id/cod],DATOS_[[#This Row],[id/cod]])&gt;1,DATOS_[[#This Row],[id/cod]],"")</f>
        <v/>
      </c>
      <c r="DD110" s="108">
        <f>(Inicio!$G$10-DATOS_[[#This Row],[Fecha Nacimiento]])/365.25</f>
        <v>38.535249828884325</v>
      </c>
      <c r="DE110" s="108">
        <f>(Inicio!$G$10-DATOS_[[#This Row],[Fecha de Antigüedad]])/365.25</f>
        <v>0.93360711841204658</v>
      </c>
      <c r="DF110" s="108" t="str">
        <f>+VLOOKUP(DATOS_[[#This Row],[Clave de Contrato]],TblTiposContrato13[],3,FALSE)</f>
        <v>N.D</v>
      </c>
      <c r="DG110" s="108" t="str">
        <f>+VLOOKUP(DATOS_[[#This Row],[Clave de Contrato]],TblTiposContrato13[],4,FALSE)</f>
        <v>Fijo discontinuo</v>
      </c>
      <c r="DH110" s="108" t="str">
        <f>VLOOKUP(DATOS_[[#This Row],[Edad]],CONTRATOS!TblRngEdad,2,TRUE)</f>
        <v>35 a 40</v>
      </c>
      <c r="DI110" s="108" t="str">
        <f>VLOOKUP(DATOS_[[#This Row],[Antigüedad]],TblRngAntg14[],2,TRUE)</f>
        <v>0 a 1 años</v>
      </c>
    </row>
    <row r="111" spans="1:113" x14ac:dyDescent="0.25">
      <c r="A111" s="303" t="s">
        <v>518</v>
      </c>
      <c r="B111" s="265">
        <v>101</v>
      </c>
      <c r="C111" s="264" t="s">
        <v>356</v>
      </c>
      <c r="D111" s="243">
        <v>30957</v>
      </c>
      <c r="E111" s="243" t="s">
        <v>373</v>
      </c>
      <c r="F111" s="245"/>
      <c r="G111" s="245"/>
      <c r="H111" s="266">
        <v>45316</v>
      </c>
      <c r="I111" s="268">
        <v>45316</v>
      </c>
      <c r="J111" s="260">
        <v>45316</v>
      </c>
      <c r="K111" s="267">
        <v>45316</v>
      </c>
      <c r="L111" s="267">
        <v>45316</v>
      </c>
      <c r="M111" s="244">
        <v>0.33800000000000002</v>
      </c>
      <c r="N111" s="244"/>
      <c r="O111" s="244"/>
      <c r="P111" s="245">
        <v>200</v>
      </c>
      <c r="Q111" s="242" t="s">
        <v>379</v>
      </c>
      <c r="R111" s="242" t="s">
        <v>379</v>
      </c>
      <c r="S111" s="242" t="s">
        <v>519</v>
      </c>
      <c r="T111" s="242" t="s">
        <v>341</v>
      </c>
      <c r="U111" s="242" t="s">
        <v>367</v>
      </c>
      <c r="V111" s="242"/>
      <c r="W111" s="242" t="s">
        <v>192</v>
      </c>
      <c r="X111" s="246"/>
      <c r="Y111" s="271">
        <v>14000425011981</v>
      </c>
      <c r="Z111" s="247" t="s">
        <v>382</v>
      </c>
      <c r="AA111" s="279" t="s">
        <v>343</v>
      </c>
      <c r="AB111" s="248"/>
      <c r="AC111" s="245">
        <v>10</v>
      </c>
      <c r="AD111" s="261">
        <v>3.81</v>
      </c>
      <c r="AE111" s="262">
        <v>0</v>
      </c>
      <c r="AF111" s="262">
        <v>0.36</v>
      </c>
      <c r="AG111" s="262">
        <v>0</v>
      </c>
      <c r="AH111" s="262">
        <v>0</v>
      </c>
      <c r="AI111" s="262">
        <v>0</v>
      </c>
      <c r="AJ111" s="262">
        <v>2.34</v>
      </c>
      <c r="AK111" s="262">
        <v>0</v>
      </c>
      <c r="AL111" s="262">
        <v>0</v>
      </c>
      <c r="AM111" s="262">
        <v>0</v>
      </c>
      <c r="AN111" s="262">
        <v>0</v>
      </c>
      <c r="AO111" s="262">
        <v>0</v>
      </c>
      <c r="AP111" s="262">
        <v>35.31</v>
      </c>
      <c r="AQ111" s="262">
        <v>0</v>
      </c>
      <c r="AR111" s="262">
        <v>0</v>
      </c>
      <c r="AS111" s="262">
        <v>0</v>
      </c>
      <c r="AT111" s="262">
        <v>0.94</v>
      </c>
      <c r="AU111" s="262">
        <v>0</v>
      </c>
      <c r="AV111" s="262">
        <v>0</v>
      </c>
      <c r="AW111" s="262">
        <v>0</v>
      </c>
      <c r="AX111" s="262">
        <v>0</v>
      </c>
      <c r="AY111" s="262">
        <v>0</v>
      </c>
      <c r="AZ111" s="262"/>
      <c r="BA111" s="262"/>
      <c r="BB111" s="262"/>
      <c r="BC111" s="262"/>
      <c r="BD111" s="262"/>
      <c r="BE111" s="262"/>
      <c r="BF111" s="262"/>
      <c r="BG111" s="262"/>
      <c r="BH111" s="262"/>
      <c r="BI111" s="262"/>
      <c r="BJ111" s="262"/>
      <c r="BK111" s="262"/>
      <c r="BL111" s="262"/>
      <c r="BM111" s="262"/>
      <c r="BN111" s="262"/>
      <c r="BO111" s="262"/>
      <c r="BP111" s="262"/>
      <c r="BQ111" s="262"/>
      <c r="BR111" s="262"/>
      <c r="BS111" s="262"/>
      <c r="BT111" s="262"/>
      <c r="BU111" s="262"/>
      <c r="BV111" s="262"/>
      <c r="BW111" s="263"/>
      <c r="BX111" s="263"/>
      <c r="BY111" s="263"/>
      <c r="BZ111" s="263"/>
      <c r="CA111" s="263"/>
      <c r="CB111" s="263"/>
      <c r="CC111" s="263"/>
      <c r="CD111" s="263"/>
      <c r="CE111" s="263"/>
      <c r="CF111" s="263"/>
      <c r="CG111" s="263"/>
      <c r="CH111" s="249">
        <f>+MAX($D$3,DATOS_[[#This Row],[Fecha Inicio Sit. Contract.]])</f>
        <v>45316</v>
      </c>
      <c r="CI111" s="249">
        <f>+MIN($D$4,DATOS_[[#This Row],[Fecha Fin Sit. Contract.]])</f>
        <v>45316</v>
      </c>
      <c r="CJ111" s="250">
        <f>+DATOS_[[#This Row],[% de jornada]]*IF(DATOS_[[#This Row],[% jornada reducida]]="",1,DATOS_[[#This Row],[% jornada reducida]])</f>
        <v>0.33800000000000002</v>
      </c>
      <c r="CK111" s="250">
        <f>+(DATOS_[[#This Row],[F.fin.cal]]-DATOS_[[#This Row],[F.ini.cal]]+1)/($D$4-$D$3+1)</f>
        <v>2.7322404371584699E-3</v>
      </c>
      <c r="CL111" s="250" t="str">
        <f>IF(OR(AND(DATOS_[[#This Row],[Fecha Fin Contrato]]&lt;$D$3,DATOS_[[#This Row],[Fecha Fin Contrato]]&lt;&gt;""),DATOS_[[#This Row],[Fecha de Contratación]]&gt;$D$4),"Fuera","Dentro")</f>
        <v>Dentro</v>
      </c>
      <c r="CM111" s="250" t="str" cm="1">
        <f t="array" ref="CM111">IF(MAX(IF(DATOS_[id/cod]=DATOS_[[#This Row],[id/cod]],DATOS_[F.fin.cal]))=DATOS_[[#This Row],[F.fin.cal]],"Sí","NO")</f>
        <v>NO</v>
      </c>
      <c r="CN111" s="250" t="str">
        <f>IF(AND(DATOS_[[#This Row],[% normaliz]]&lt;&gt;1,DATOS_[[#This Row],[% anualiz]]=1),"Sí","NO")</f>
        <v>NO</v>
      </c>
      <c r="CO111" s="250" t="str">
        <f>IF(AND(DATOS_[[#This Row],[% normaliz]]=1,DATOS_[[#This Row],[% anualiz]]&lt;&gt;1),"Sí","NO")</f>
        <v>NO</v>
      </c>
      <c r="CP111" s="250" t="str">
        <f>IF(AND(DATOS_[[#This Row],[% normaliz]]&lt;&gt;1,DATOS_[[#This Row],[% anualiz]]&lt;&gt;1),"Sí","NO")</f>
        <v>Sí</v>
      </c>
      <c r="CQ111" s="250" t="str">
        <f>+IF(DATOS_[[#This Row],[% normaliz]]*DATOS_[[#This Row],[% anualiz]]=1,"NO","Sí")</f>
        <v>Sí</v>
      </c>
      <c r="CR111" s="251">
        <f>(DATOS_[[#This Row],[S.BASE]]*(1/DATOS_[[#This Row],[% normaliz]])*(1/DATOS_[[#This Row],[% anualiz]]))*IF(DATOS_[[#This Row],[Check Equiparado]]="Sí",1,0)</f>
        <v>0</v>
      </c>
      <c r="CS111" s="251">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0</v>
      </c>
      <c r="CT111" s="251">
        <f>+DATOS_[[#This Row],[SALARIO BASE Eq]]+DATOS_[[#This Row],[Tot COMPL.SAL Eq]]</f>
        <v>0</v>
      </c>
      <c r="CU111" s="251" cm="1">
        <f t="array" ref="CU111">(SUMPRODUCT((RngTipo=$CU$7)*(rngAnualizable="Sí")*(rngNormalizable="Sí")*(DATOS_[[#This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111" s="251">
        <f>+DATOS_[[#This Row],[TOTAL SALARIO Eq]]+DATOS_[[#This Row],[Tot Extrasalarial Eq]]</f>
        <v>0</v>
      </c>
      <c r="CW111" s="252">
        <f>DATOS_[[#This Row],[S.BASE]]</f>
        <v>3.81</v>
      </c>
      <c r="CX111" s="252">
        <f>+SUM(DATOS_[[#This Row],[Conc.Sal.01]:[Conc.Sal.30]])</f>
        <v>38.950000000000003</v>
      </c>
      <c r="CY111" s="252">
        <f>+DATOS_[[#This Row],[SALARIO BASE Ef]]+DATOS_[[#This Row],[Tot COMPL.SAL Ef]]</f>
        <v>42.760000000000005</v>
      </c>
      <c r="CZ111" s="252">
        <f>+SUM(DATOS_[[#This Row],[C.Extra.01]:[C.Extra.11]])</f>
        <v>0</v>
      </c>
      <c r="DA111" s="252">
        <f>+DATOS_[[#This Row],[TOTAL SALARIO Ef]]+DATOS_[[#This Row],[Tot Extrasalarial Ef]]</f>
        <v>42.760000000000005</v>
      </c>
      <c r="DB111" s="109">
        <f>MIN(IF(DATOS_[[#This Row],[Fecha Fin Contrato]]="",$D$4,DATOS_[[#This Row],[Fecha Fin Contrato]]),$D$4)-MAX(DATOS_[[#This Row],[Fecha de Contratación]],$D$3)+1</f>
        <v>1</v>
      </c>
      <c r="DC111" s="110">
        <f>IF(COUNTIFS(DATOS_[id/cod],DATOS_[[#This Row],[id/cod]])&gt;1,DATOS_[[#This Row],[id/cod]],"")</f>
        <v>101</v>
      </c>
      <c r="DD111" s="108">
        <f>(Inicio!$G$10-DATOS_[[#This Row],[Fecha Nacimiento]])/365.25</f>
        <v>40.246406570841891</v>
      </c>
      <c r="DE111" s="108">
        <f>(Inicio!$G$10-DATOS_[[#This Row],[Fecha de Antigüedad]])/365.25</f>
        <v>0.93360711841204658</v>
      </c>
      <c r="DF111" s="108" t="str">
        <f>+VLOOKUP(DATOS_[[#This Row],[Clave de Contrato]],TblTiposContrato13[],3,FALSE)</f>
        <v>Parcial</v>
      </c>
      <c r="DG111" s="108" t="str">
        <f>+VLOOKUP(DATOS_[[#This Row],[Clave de Contrato]],TblTiposContrato13[],4,FALSE)</f>
        <v>Indefinido</v>
      </c>
      <c r="DH111" s="108" t="str">
        <f>VLOOKUP(DATOS_[[#This Row],[Edad]],CONTRATOS!TblRngEdad,2,TRUE)</f>
        <v>40 a 45</v>
      </c>
      <c r="DI111" s="108" t="str">
        <f>VLOOKUP(DATOS_[[#This Row],[Antigüedad]],TblRngAntg14[],2,TRUE)</f>
        <v>0 a 1 años</v>
      </c>
    </row>
    <row r="112" spans="1:113" x14ac:dyDescent="0.25">
      <c r="A112" s="303" t="s">
        <v>520</v>
      </c>
      <c r="B112" s="281">
        <v>122</v>
      </c>
      <c r="C112" s="282" t="s">
        <v>521</v>
      </c>
      <c r="D112" s="283"/>
      <c r="E112" s="283"/>
      <c r="F112" s="284"/>
      <c r="G112" s="284"/>
      <c r="H112" s="285">
        <v>45352</v>
      </c>
      <c r="I112" s="286">
        <v>45371</v>
      </c>
      <c r="J112" s="260">
        <v>45316</v>
      </c>
      <c r="K112" s="287">
        <v>45352</v>
      </c>
      <c r="L112" s="287">
        <v>45371</v>
      </c>
      <c r="M112" s="244">
        <v>1</v>
      </c>
      <c r="N112" s="288"/>
      <c r="O112" s="288"/>
      <c r="P112" s="284">
        <v>300</v>
      </c>
      <c r="Q112" s="289"/>
      <c r="R112" s="289"/>
      <c r="S112" s="289"/>
      <c r="T112" s="289"/>
      <c r="U112" s="289"/>
      <c r="V112" s="289"/>
      <c r="W112" s="242" t="s">
        <v>188</v>
      </c>
      <c r="X112" s="290"/>
      <c r="Y112" s="271">
        <v>14000425011981</v>
      </c>
      <c r="Z112" s="247" t="s">
        <v>405</v>
      </c>
      <c r="AA112" s="279" t="s">
        <v>343</v>
      </c>
      <c r="AB112" s="294"/>
      <c r="AC112" s="245">
        <v>7</v>
      </c>
      <c r="AD112" s="295">
        <v>577.49</v>
      </c>
      <c r="AE112" s="296">
        <v>0</v>
      </c>
      <c r="AF112" s="296">
        <v>1.76</v>
      </c>
      <c r="AG112" s="296">
        <v>60.27</v>
      </c>
      <c r="AH112" s="296">
        <v>0</v>
      </c>
      <c r="AI112" s="296">
        <v>0</v>
      </c>
      <c r="AJ112" s="296">
        <v>93.92</v>
      </c>
      <c r="AK112" s="296">
        <v>0</v>
      </c>
      <c r="AL112" s="296">
        <v>0</v>
      </c>
      <c r="AM112" s="296">
        <v>0</v>
      </c>
      <c r="AN112" s="296">
        <v>0</v>
      </c>
      <c r="AO112" s="296">
        <v>42.16</v>
      </c>
      <c r="AP112" s="296">
        <v>0</v>
      </c>
      <c r="AQ112" s="296">
        <v>0</v>
      </c>
      <c r="AR112" s="296">
        <v>0</v>
      </c>
      <c r="AS112" s="296">
        <v>52.44</v>
      </c>
      <c r="AT112" s="296">
        <v>159.44</v>
      </c>
      <c r="AU112" s="296">
        <v>0</v>
      </c>
      <c r="AV112" s="296">
        <v>0</v>
      </c>
      <c r="AW112" s="296">
        <v>0</v>
      </c>
      <c r="AX112" s="296">
        <v>0</v>
      </c>
      <c r="AY112" s="296">
        <v>0</v>
      </c>
      <c r="AZ112" s="296">
        <v>0</v>
      </c>
      <c r="BA112" s="296">
        <v>0</v>
      </c>
      <c r="BB112" s="296"/>
      <c r="BC112" s="296"/>
      <c r="BD112" s="296"/>
      <c r="BE112" s="296"/>
      <c r="BF112" s="296"/>
      <c r="BG112" s="296"/>
      <c r="BH112" s="296"/>
      <c r="BI112" s="296"/>
      <c r="BJ112" s="296"/>
      <c r="BK112" s="296"/>
      <c r="BL112" s="296"/>
      <c r="BM112" s="296"/>
      <c r="BN112" s="296"/>
      <c r="BO112" s="296"/>
      <c r="BP112" s="296"/>
      <c r="BQ112" s="296"/>
      <c r="BR112" s="296"/>
      <c r="BS112" s="296"/>
      <c r="BT112" s="296"/>
      <c r="BU112" s="296"/>
      <c r="BV112" s="296"/>
      <c r="BW112" s="297"/>
      <c r="BX112" s="297"/>
      <c r="BY112" s="297"/>
      <c r="BZ112" s="297"/>
      <c r="CA112" s="297"/>
      <c r="CB112" s="297"/>
      <c r="CC112" s="297"/>
      <c r="CD112" s="297"/>
      <c r="CE112" s="297"/>
      <c r="CF112" s="297"/>
      <c r="CG112" s="297"/>
      <c r="CH112" s="298">
        <f>+MAX($D$3,DATOS_[[#This Row],[Fecha Inicio Sit. Contract.]])</f>
        <v>45352</v>
      </c>
      <c r="CI112" s="298">
        <f>+MIN($D$4,DATOS_[[#This Row],[Fecha Fin Sit. Contract.]])</f>
        <v>45371</v>
      </c>
      <c r="CJ112" s="299">
        <f>+DATOS_[[#This Row],[% de jornada]]*IF(DATOS_[[#This Row],[% jornada reducida]]="",1,DATOS_[[#This Row],[% jornada reducida]])</f>
        <v>1</v>
      </c>
      <c r="CK112" s="299">
        <f>+(DATOS_[[#This Row],[F.fin.cal]]-DATOS_[[#This Row],[F.ini.cal]]+1)/($D$4-$D$3+1)</f>
        <v>5.4644808743169397E-2</v>
      </c>
      <c r="CL112" s="299" t="str">
        <f>IF(OR(AND(DATOS_[[#This Row],[Fecha Fin Contrato]]&lt;$D$3,DATOS_[[#This Row],[Fecha Fin Contrato]]&lt;&gt;""),DATOS_[[#This Row],[Fecha de Contratación]]&gt;$D$4),"Fuera","Dentro")</f>
        <v>Dentro</v>
      </c>
      <c r="CM112" s="299" t="str" cm="1">
        <f t="array" ref="CM112">IF(MAX(IF(DATOS_[id/cod]=DATOS_[[#This Row],[id/cod]],DATOS_[F.fin.cal]))=DATOS_[[#This Row],[F.fin.cal]],"Sí","NO")</f>
        <v>Sí</v>
      </c>
      <c r="CN112" s="299" t="str">
        <f>IF(AND(DATOS_[[#This Row],[% normaliz]]&lt;&gt;1,DATOS_[[#This Row],[% anualiz]]=1),"Sí","NO")</f>
        <v>NO</v>
      </c>
      <c r="CO112" s="299" t="str">
        <f>IF(AND(DATOS_[[#This Row],[% normaliz]]=1,DATOS_[[#This Row],[% anualiz]]&lt;&gt;1),"Sí","NO")</f>
        <v>Sí</v>
      </c>
      <c r="CP112" s="299" t="str">
        <f>IF(AND(DATOS_[[#This Row],[% normaliz]]&lt;&gt;1,DATOS_[[#This Row],[% anualiz]]&lt;&gt;1),"Sí","NO")</f>
        <v>NO</v>
      </c>
      <c r="CQ112" s="299" t="str">
        <f>+IF(DATOS_[[#This Row],[% normaliz]]*DATOS_[[#This Row],[% anualiz]]=1,"NO","Sí")</f>
        <v>Sí</v>
      </c>
      <c r="CR112" s="300">
        <f>(DATOS_[[#This Row],[S.BASE]]*(1/DATOS_[[#This Row],[% normaliz]])*(1/DATOS_[[#This Row],[% anualiz]]))*IF(DATOS_[[#This Row],[Check Equiparado]]="Sí",1,0)</f>
        <v>10568.067000000001</v>
      </c>
      <c r="CS112" s="300">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3625.413</v>
      </c>
      <c r="CT112" s="300">
        <f>+DATOS_[[#This Row],[SALARIO BASE Eq]]+DATOS_[[#This Row],[Tot COMPL.SAL Eq]]</f>
        <v>14193.480000000001</v>
      </c>
      <c r="CU112" s="300" cm="1">
        <f t="array" ref="CU112">(SUMPRODUCT((RngTipo=$CU$7)*(rngAnualizable="Sí")*(rngNormalizable="Sí")*(DATOS_[[#This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3877.404</v>
      </c>
      <c r="CV112" s="300">
        <f>+DATOS_[[#This Row],[TOTAL SALARIO Eq]]+DATOS_[[#This Row],[Tot Extrasalarial Eq]]</f>
        <v>18070.884000000002</v>
      </c>
      <c r="CW112" s="301">
        <f>DATOS_[[#This Row],[S.BASE]]</f>
        <v>577.49</v>
      </c>
      <c r="CX112" s="301">
        <f>+SUM(DATOS_[[#This Row],[Conc.Sal.01]:[Conc.Sal.30]])</f>
        <v>409.99</v>
      </c>
      <c r="CY112" s="301">
        <f>+DATOS_[[#This Row],[SALARIO BASE Ef]]+DATOS_[[#This Row],[Tot COMPL.SAL Ef]]</f>
        <v>987.48</v>
      </c>
      <c r="CZ112" s="301">
        <f>+SUM(DATOS_[[#This Row],[C.Extra.01]:[C.Extra.11]])</f>
        <v>0</v>
      </c>
      <c r="DA112" s="301">
        <f>+DATOS_[[#This Row],[TOTAL SALARIO Ef]]+DATOS_[[#This Row],[Tot Extrasalarial Ef]]</f>
        <v>987.48</v>
      </c>
      <c r="DB112" s="109">
        <f>MIN(IF(DATOS_[[#This Row],[Fecha Fin Contrato]]="",$D$4,DATOS_[[#This Row],[Fecha Fin Contrato]]),$D$4)-MAX(DATOS_[[#This Row],[Fecha de Contratación]],$D$3)+1</f>
        <v>20</v>
      </c>
      <c r="DC112" s="110" t="str">
        <f>IF(COUNTIFS(DATOS_[id/cod],DATOS_[[#This Row],[id/cod]])&gt;1,DATOS_[[#This Row],[id/cod]],"")</f>
        <v/>
      </c>
      <c r="DD112" s="108">
        <f>(Inicio!$G$10-DATOS_[[#This Row],[Fecha Nacimiento]])/365.25</f>
        <v>125.00205338809035</v>
      </c>
      <c r="DE112" s="108">
        <f>(Inicio!$G$10-DATOS_[[#This Row],[Fecha de Antigüedad]])/365.25</f>
        <v>0.93360711841204658</v>
      </c>
      <c r="DF112" s="108" t="str">
        <f>+VLOOKUP(DATOS_[[#This Row],[Clave de Contrato]],TblTiposContrato13[],3,FALSE)</f>
        <v>N.D</v>
      </c>
      <c r="DG112" s="108" t="str">
        <f>+VLOOKUP(DATOS_[[#This Row],[Clave de Contrato]],TblTiposContrato13[],4,FALSE)</f>
        <v>Fijo discontinuo</v>
      </c>
      <c r="DH112" s="108" t="str">
        <f>VLOOKUP(DATOS_[[#This Row],[Edad]],CONTRATOS!TblRngEdad,2,TRUE)</f>
        <v>60 en adelante</v>
      </c>
      <c r="DI112" s="108" t="str">
        <f>VLOOKUP(DATOS_[[#This Row],[Antigüedad]],TblRngAntg14[],2,TRUE)</f>
        <v>0 a 1 años</v>
      </c>
    </row>
    <row r="113" spans="1:113" x14ac:dyDescent="0.25">
      <c r="A113" s="303" t="s">
        <v>522</v>
      </c>
      <c r="B113" s="281">
        <v>137</v>
      </c>
      <c r="C113" s="282" t="s">
        <v>521</v>
      </c>
      <c r="D113" s="283"/>
      <c r="E113" s="283"/>
      <c r="F113" s="284"/>
      <c r="G113" s="284"/>
      <c r="H113" s="285">
        <v>45586</v>
      </c>
      <c r="I113" s="286">
        <v>45626</v>
      </c>
      <c r="J113" s="260">
        <v>45316</v>
      </c>
      <c r="K113" s="287">
        <v>45586</v>
      </c>
      <c r="L113" s="287">
        <v>45626</v>
      </c>
      <c r="M113" s="244">
        <v>1</v>
      </c>
      <c r="N113" s="288"/>
      <c r="O113" s="288"/>
      <c r="P113" s="284">
        <v>300</v>
      </c>
      <c r="Q113" s="289"/>
      <c r="R113" s="289"/>
      <c r="S113" s="289"/>
      <c r="T113" s="289"/>
      <c r="U113" s="289"/>
      <c r="V113" s="289"/>
      <c r="W113" s="242" t="s">
        <v>188</v>
      </c>
      <c r="X113" s="290"/>
      <c r="Y113" s="271">
        <v>14000425011981</v>
      </c>
      <c r="Z113" s="247" t="s">
        <v>405</v>
      </c>
      <c r="AA113" s="279" t="s">
        <v>343</v>
      </c>
      <c r="AB113" s="294"/>
      <c r="AC113" s="245">
        <v>7</v>
      </c>
      <c r="AD113" s="295">
        <v>1187.06</v>
      </c>
      <c r="AE113" s="296">
        <v>0</v>
      </c>
      <c r="AF113" s="296">
        <v>2.78</v>
      </c>
      <c r="AG113" s="296">
        <v>123.89</v>
      </c>
      <c r="AH113" s="296">
        <v>0</v>
      </c>
      <c r="AI113" s="296">
        <v>0</v>
      </c>
      <c r="AJ113" s="296">
        <v>234.8</v>
      </c>
      <c r="AK113" s="296">
        <v>0</v>
      </c>
      <c r="AL113" s="296">
        <v>0</v>
      </c>
      <c r="AM113" s="296">
        <v>0</v>
      </c>
      <c r="AN113" s="296">
        <v>30.3</v>
      </c>
      <c r="AO113" s="296">
        <v>86.65</v>
      </c>
      <c r="AP113" s="296">
        <v>0</v>
      </c>
      <c r="AQ113" s="296">
        <v>0</v>
      </c>
      <c r="AR113" s="296">
        <v>0</v>
      </c>
      <c r="AS113" s="296">
        <v>107.35</v>
      </c>
      <c r="AT113" s="296">
        <v>326.86</v>
      </c>
      <c r="AU113" s="296">
        <v>0</v>
      </c>
      <c r="AV113" s="296">
        <v>0</v>
      </c>
      <c r="AW113" s="296">
        <v>0</v>
      </c>
      <c r="AX113" s="296">
        <v>0</v>
      </c>
      <c r="AY113" s="296">
        <v>0</v>
      </c>
      <c r="AZ113" s="296">
        <v>0</v>
      </c>
      <c r="BA113" s="296">
        <v>0</v>
      </c>
      <c r="BB113" s="296"/>
      <c r="BC113" s="296"/>
      <c r="BD113" s="296"/>
      <c r="BE113" s="296"/>
      <c r="BF113" s="296"/>
      <c r="BG113" s="296"/>
      <c r="BH113" s="296"/>
      <c r="BI113" s="296"/>
      <c r="BJ113" s="296"/>
      <c r="BK113" s="296"/>
      <c r="BL113" s="296"/>
      <c r="BM113" s="296"/>
      <c r="BN113" s="296"/>
      <c r="BO113" s="296"/>
      <c r="BP113" s="296"/>
      <c r="BQ113" s="296"/>
      <c r="BR113" s="296"/>
      <c r="BS113" s="296"/>
      <c r="BT113" s="296"/>
      <c r="BU113" s="296"/>
      <c r="BV113" s="296"/>
      <c r="BW113" s="297"/>
      <c r="BX113" s="297"/>
      <c r="BY113" s="297"/>
      <c r="BZ113" s="297"/>
      <c r="CA113" s="297"/>
      <c r="CB113" s="297"/>
      <c r="CC113" s="297"/>
      <c r="CD113" s="297"/>
      <c r="CE113" s="297"/>
      <c r="CF113" s="297"/>
      <c r="CG113" s="297"/>
      <c r="CH113" s="298">
        <f>+MAX($D$3,DATOS_[[#This Row],[Fecha Inicio Sit. Contract.]])</f>
        <v>45586</v>
      </c>
      <c r="CI113" s="298">
        <f>+MIN($D$4,DATOS_[[#This Row],[Fecha Fin Sit. Contract.]])</f>
        <v>45626</v>
      </c>
      <c r="CJ113" s="299">
        <f>+DATOS_[[#This Row],[% de jornada]]*IF(DATOS_[[#This Row],[% jornada reducida]]="",1,DATOS_[[#This Row],[% jornada reducida]])</f>
        <v>1</v>
      </c>
      <c r="CK113" s="299">
        <f>+(DATOS_[[#This Row],[F.fin.cal]]-DATOS_[[#This Row],[F.ini.cal]]+1)/($D$4-$D$3+1)</f>
        <v>0.11202185792349727</v>
      </c>
      <c r="CL113" s="299" t="str">
        <f>IF(OR(AND(DATOS_[[#This Row],[Fecha Fin Contrato]]&lt;$D$3,DATOS_[[#This Row],[Fecha Fin Contrato]]&lt;&gt;""),DATOS_[[#This Row],[Fecha de Contratación]]&gt;$D$4),"Fuera","Dentro")</f>
        <v>Dentro</v>
      </c>
      <c r="CM113" s="299" t="str" cm="1">
        <f t="array" ref="CM113">IF(MAX(IF(DATOS_[id/cod]=DATOS_[[#This Row],[id/cod]],DATOS_[F.fin.cal]))=DATOS_[[#This Row],[F.fin.cal]],"Sí","NO")</f>
        <v>Sí</v>
      </c>
      <c r="CN113" s="299" t="str">
        <f>IF(AND(DATOS_[[#This Row],[% normaliz]]&lt;&gt;1,DATOS_[[#This Row],[% anualiz]]=1),"Sí","NO")</f>
        <v>NO</v>
      </c>
      <c r="CO113" s="299" t="str">
        <f>IF(AND(DATOS_[[#This Row],[% normaliz]]=1,DATOS_[[#This Row],[% anualiz]]&lt;&gt;1),"Sí","NO")</f>
        <v>Sí</v>
      </c>
      <c r="CP113" s="299" t="str">
        <f>IF(AND(DATOS_[[#This Row],[% normaliz]]&lt;&gt;1,DATOS_[[#This Row],[% anualiz]]&lt;&gt;1),"Sí","NO")</f>
        <v>NO</v>
      </c>
      <c r="CQ113" s="299" t="str">
        <f>+IF(DATOS_[[#This Row],[% normaliz]]*DATOS_[[#This Row],[% anualiz]]=1,"NO","Sí")</f>
        <v>Sí</v>
      </c>
      <c r="CR113" s="300">
        <f>(DATOS_[[#This Row],[S.BASE]]*(1/DATOS_[[#This Row],[% normaliz]])*(1/DATOS_[[#This Row],[% anualiz]]))*IF(DATOS_[[#This Row],[Check Equiparado]]="Sí",1,0)</f>
        <v>10596.681951219512</v>
      </c>
      <c r="CS113" s="300">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4270.7736585365865</v>
      </c>
      <c r="CT113" s="300">
        <f>+DATOS_[[#This Row],[SALARIO BASE Eq]]+DATOS_[[#This Row],[Tot COMPL.SAL Eq]]</f>
        <v>14867.4556097561</v>
      </c>
      <c r="CU113" s="300" cm="1">
        <f t="array" ref="CU113">(SUMPRODUCT((RngTipo=$CU$7)*(rngAnualizable="Sí")*(rngNormalizable="Sí")*(DATOS_[[#This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3876.1185365853667</v>
      </c>
      <c r="CV113" s="300">
        <f>+DATOS_[[#This Row],[TOTAL SALARIO Eq]]+DATOS_[[#This Row],[Tot Extrasalarial Eq]]</f>
        <v>18743.574146341467</v>
      </c>
      <c r="CW113" s="301">
        <f>DATOS_[[#This Row],[S.BASE]]</f>
        <v>1187.06</v>
      </c>
      <c r="CX113" s="301">
        <f>+SUM(DATOS_[[#This Row],[Conc.Sal.01]:[Conc.Sal.30]])</f>
        <v>912.63000000000011</v>
      </c>
      <c r="CY113" s="301">
        <f>+DATOS_[[#This Row],[SALARIO BASE Ef]]+DATOS_[[#This Row],[Tot COMPL.SAL Ef]]</f>
        <v>2099.69</v>
      </c>
      <c r="CZ113" s="301">
        <f>+SUM(DATOS_[[#This Row],[C.Extra.01]:[C.Extra.11]])</f>
        <v>0</v>
      </c>
      <c r="DA113" s="301">
        <f>+DATOS_[[#This Row],[TOTAL SALARIO Ef]]+DATOS_[[#This Row],[Tot Extrasalarial Ef]]</f>
        <v>2099.69</v>
      </c>
      <c r="DB113" s="109">
        <f>MIN(IF(DATOS_[[#This Row],[Fecha Fin Contrato]]="",$D$4,DATOS_[[#This Row],[Fecha Fin Contrato]]),$D$4)-MAX(DATOS_[[#This Row],[Fecha de Contratación]],$D$3)+1</f>
        <v>41</v>
      </c>
      <c r="DC113" s="110" t="str">
        <f>IF(COUNTIFS(DATOS_[id/cod],DATOS_[[#This Row],[id/cod]])&gt;1,DATOS_[[#This Row],[id/cod]],"")</f>
        <v/>
      </c>
      <c r="DD113" s="108">
        <f>(Inicio!$G$10-DATOS_[[#This Row],[Fecha Nacimiento]])/365.25</f>
        <v>125.00205338809035</v>
      </c>
      <c r="DE113" s="108">
        <f>(Inicio!$G$10-DATOS_[[#This Row],[Fecha de Antigüedad]])/365.25</f>
        <v>0.93360711841204658</v>
      </c>
      <c r="DF113" s="108" t="str">
        <f>+VLOOKUP(DATOS_[[#This Row],[Clave de Contrato]],TblTiposContrato13[],3,FALSE)</f>
        <v>N.D</v>
      </c>
      <c r="DG113" s="108" t="str">
        <f>+VLOOKUP(DATOS_[[#This Row],[Clave de Contrato]],TblTiposContrato13[],4,FALSE)</f>
        <v>Fijo discontinuo</v>
      </c>
      <c r="DH113" s="108" t="str">
        <f>VLOOKUP(DATOS_[[#This Row],[Edad]],CONTRATOS!TblRngEdad,2,TRUE)</f>
        <v>60 en adelante</v>
      </c>
      <c r="DI113" s="108" t="str">
        <f>VLOOKUP(DATOS_[[#This Row],[Antigüedad]],TblRngAntg14[],2,TRUE)</f>
        <v>0 a 1 años</v>
      </c>
    </row>
    <row r="114" spans="1:113" x14ac:dyDescent="0.25">
      <c r="A114" s="303" t="s">
        <v>523</v>
      </c>
      <c r="B114" s="281">
        <v>138</v>
      </c>
      <c r="C114" s="282" t="s">
        <v>521</v>
      </c>
      <c r="D114" s="283"/>
      <c r="E114" s="283"/>
      <c r="F114" s="284"/>
      <c r="G114" s="284"/>
      <c r="H114" s="285">
        <v>45586</v>
      </c>
      <c r="I114" s="286">
        <v>45593</v>
      </c>
      <c r="J114" s="260">
        <v>45316</v>
      </c>
      <c r="K114" s="287">
        <v>45586</v>
      </c>
      <c r="L114" s="287">
        <v>45593</v>
      </c>
      <c r="M114" s="244">
        <v>1</v>
      </c>
      <c r="N114" s="288"/>
      <c r="O114" s="288"/>
      <c r="P114" s="284">
        <v>300</v>
      </c>
      <c r="Q114" s="289"/>
      <c r="R114" s="289"/>
      <c r="S114" s="289"/>
      <c r="T114" s="289"/>
      <c r="U114" s="289"/>
      <c r="V114" s="289"/>
      <c r="W114" s="242" t="s">
        <v>188</v>
      </c>
      <c r="X114" s="290"/>
      <c r="Y114" s="271">
        <v>14000425011981</v>
      </c>
      <c r="Z114" s="247" t="s">
        <v>405</v>
      </c>
      <c r="AA114" s="279" t="s">
        <v>343</v>
      </c>
      <c r="AB114" s="294"/>
      <c r="AC114" s="245">
        <v>7</v>
      </c>
      <c r="AD114" s="295">
        <v>256.66000000000003</v>
      </c>
      <c r="AE114" s="296">
        <v>0</v>
      </c>
      <c r="AF114" s="296">
        <v>0</v>
      </c>
      <c r="AG114" s="296">
        <v>26.79</v>
      </c>
      <c r="AH114" s="296">
        <v>0</v>
      </c>
      <c r="AI114" s="296">
        <v>0</v>
      </c>
      <c r="AJ114" s="296">
        <v>0</v>
      </c>
      <c r="AK114" s="296">
        <v>0</v>
      </c>
      <c r="AL114" s="296">
        <v>0</v>
      </c>
      <c r="AM114" s="296">
        <v>0</v>
      </c>
      <c r="AN114" s="296">
        <v>0</v>
      </c>
      <c r="AO114" s="296">
        <v>18.739999999999998</v>
      </c>
      <c r="AP114" s="296">
        <v>0</v>
      </c>
      <c r="AQ114" s="296">
        <v>0</v>
      </c>
      <c r="AR114" s="296">
        <v>0</v>
      </c>
      <c r="AS114" s="296">
        <v>0</v>
      </c>
      <c r="AT114" s="296">
        <v>71.760000000000005</v>
      </c>
      <c r="AU114" s="296">
        <v>0</v>
      </c>
      <c r="AV114" s="296">
        <v>0</v>
      </c>
      <c r="AW114" s="296">
        <v>0</v>
      </c>
      <c r="AX114" s="296">
        <v>0</v>
      </c>
      <c r="AY114" s="296">
        <v>0</v>
      </c>
      <c r="AZ114" s="296">
        <v>0</v>
      </c>
      <c r="BA114" s="296">
        <v>0</v>
      </c>
      <c r="BB114" s="296"/>
      <c r="BC114" s="296"/>
      <c r="BD114" s="296"/>
      <c r="BE114" s="296"/>
      <c r="BF114" s="296"/>
      <c r="BG114" s="296"/>
      <c r="BH114" s="296"/>
      <c r="BI114" s="296"/>
      <c r="BJ114" s="296"/>
      <c r="BK114" s="296"/>
      <c r="BL114" s="296"/>
      <c r="BM114" s="296"/>
      <c r="BN114" s="296"/>
      <c r="BO114" s="296"/>
      <c r="BP114" s="296"/>
      <c r="BQ114" s="296"/>
      <c r="BR114" s="296"/>
      <c r="BS114" s="296"/>
      <c r="BT114" s="296"/>
      <c r="BU114" s="296"/>
      <c r="BV114" s="296"/>
      <c r="BW114" s="297"/>
      <c r="BX114" s="297"/>
      <c r="BY114" s="297"/>
      <c r="BZ114" s="297"/>
      <c r="CA114" s="297"/>
      <c r="CB114" s="297"/>
      <c r="CC114" s="297"/>
      <c r="CD114" s="297"/>
      <c r="CE114" s="297"/>
      <c r="CF114" s="297"/>
      <c r="CG114" s="297"/>
      <c r="CH114" s="298">
        <f>+MAX($D$3,DATOS_[[#This Row],[Fecha Inicio Sit. Contract.]])</f>
        <v>45586</v>
      </c>
      <c r="CI114" s="298">
        <f>+MIN($D$4,DATOS_[[#This Row],[Fecha Fin Sit. Contract.]])</f>
        <v>45593</v>
      </c>
      <c r="CJ114" s="299">
        <f>+DATOS_[[#This Row],[% de jornada]]*IF(DATOS_[[#This Row],[% jornada reducida]]="",1,DATOS_[[#This Row],[% jornada reducida]])</f>
        <v>1</v>
      </c>
      <c r="CK114" s="299">
        <f>+(DATOS_[[#This Row],[F.fin.cal]]-DATOS_[[#This Row],[F.ini.cal]]+1)/($D$4-$D$3+1)</f>
        <v>2.185792349726776E-2</v>
      </c>
      <c r="CL114" s="299" t="str">
        <f>IF(OR(AND(DATOS_[[#This Row],[Fecha Fin Contrato]]&lt;$D$3,DATOS_[[#This Row],[Fecha Fin Contrato]]&lt;&gt;""),DATOS_[[#This Row],[Fecha de Contratación]]&gt;$D$4),"Fuera","Dentro")</f>
        <v>Dentro</v>
      </c>
      <c r="CM114" s="299" t="str" cm="1">
        <f t="array" ref="CM114">IF(MAX(IF(DATOS_[id/cod]=DATOS_[[#This Row],[id/cod]],DATOS_[F.fin.cal]))=DATOS_[[#This Row],[F.fin.cal]],"Sí","NO")</f>
        <v>Sí</v>
      </c>
      <c r="CN114" s="299" t="str">
        <f>IF(AND(DATOS_[[#This Row],[% normaliz]]&lt;&gt;1,DATOS_[[#This Row],[% anualiz]]=1),"Sí","NO")</f>
        <v>NO</v>
      </c>
      <c r="CO114" s="299" t="str">
        <f>IF(AND(DATOS_[[#This Row],[% normaliz]]=1,DATOS_[[#This Row],[% anualiz]]&lt;&gt;1),"Sí","NO")</f>
        <v>Sí</v>
      </c>
      <c r="CP114" s="299" t="str">
        <f>IF(AND(DATOS_[[#This Row],[% normaliz]]&lt;&gt;1,DATOS_[[#This Row],[% anualiz]]&lt;&gt;1),"Sí","NO")</f>
        <v>NO</v>
      </c>
      <c r="CQ114" s="299" t="str">
        <f>+IF(DATOS_[[#This Row],[% normaliz]]*DATOS_[[#This Row],[% anualiz]]=1,"NO","Sí")</f>
        <v>Sí</v>
      </c>
      <c r="CR114" s="300">
        <f>(DATOS_[[#This Row],[S.BASE]]*(1/DATOS_[[#This Row],[% normaliz]])*(1/DATOS_[[#This Row],[% anualiz]]))*IF(DATOS_[[#This Row],[Check Equiparado]]="Sí",1,0)</f>
        <v>11742.195000000002</v>
      </c>
      <c r="CS114" s="300">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2082.9974999999999</v>
      </c>
      <c r="CT114" s="300">
        <f>+DATOS_[[#This Row],[SALARIO BASE Eq]]+DATOS_[[#This Row],[Tot COMPL.SAL Eq]]</f>
        <v>13825.192500000001</v>
      </c>
      <c r="CU114" s="300" cm="1">
        <f t="array" ref="CU114">(SUMPRODUCT((RngTipo=$CU$7)*(rngAnualizable="Sí")*(rngNormalizable="Sí")*(DATOS_[[#This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3283.0200000000004</v>
      </c>
      <c r="CV114" s="300">
        <f>+DATOS_[[#This Row],[TOTAL SALARIO Eq]]+DATOS_[[#This Row],[Tot Extrasalarial Eq]]</f>
        <v>17108.212500000001</v>
      </c>
      <c r="CW114" s="301">
        <f>DATOS_[[#This Row],[S.BASE]]</f>
        <v>256.66000000000003</v>
      </c>
      <c r="CX114" s="301">
        <f>+SUM(DATOS_[[#This Row],[Conc.Sal.01]:[Conc.Sal.30]])</f>
        <v>117.29</v>
      </c>
      <c r="CY114" s="301">
        <f>+DATOS_[[#This Row],[SALARIO BASE Ef]]+DATOS_[[#This Row],[Tot COMPL.SAL Ef]]</f>
        <v>373.95000000000005</v>
      </c>
      <c r="CZ114" s="301">
        <f>+SUM(DATOS_[[#This Row],[C.Extra.01]:[C.Extra.11]])</f>
        <v>0</v>
      </c>
      <c r="DA114" s="301">
        <f>+DATOS_[[#This Row],[TOTAL SALARIO Ef]]+DATOS_[[#This Row],[Tot Extrasalarial Ef]]</f>
        <v>373.95000000000005</v>
      </c>
      <c r="DB114" s="109">
        <f>MIN(IF(DATOS_[[#This Row],[Fecha Fin Contrato]]="",$D$4,DATOS_[[#This Row],[Fecha Fin Contrato]]),$D$4)-MAX(DATOS_[[#This Row],[Fecha de Contratación]],$D$3)+1</f>
        <v>8</v>
      </c>
      <c r="DC114" s="110" t="str">
        <f>IF(COUNTIFS(DATOS_[id/cod],DATOS_[[#This Row],[id/cod]])&gt;1,DATOS_[[#This Row],[id/cod]],"")</f>
        <v/>
      </c>
      <c r="DD114" s="108">
        <f>(Inicio!$G$10-DATOS_[[#This Row],[Fecha Nacimiento]])/365.25</f>
        <v>125.00205338809035</v>
      </c>
      <c r="DE114" s="108">
        <f>(Inicio!$G$10-DATOS_[[#This Row],[Fecha de Antigüedad]])/365.25</f>
        <v>0.93360711841204658</v>
      </c>
      <c r="DF114" s="108" t="str">
        <f>+VLOOKUP(DATOS_[[#This Row],[Clave de Contrato]],TblTiposContrato13[],3,FALSE)</f>
        <v>N.D</v>
      </c>
      <c r="DG114" s="108" t="str">
        <f>+VLOOKUP(DATOS_[[#This Row],[Clave de Contrato]],TblTiposContrato13[],4,FALSE)</f>
        <v>Fijo discontinuo</v>
      </c>
      <c r="DH114" s="108" t="str">
        <f>VLOOKUP(DATOS_[[#This Row],[Edad]],CONTRATOS!TblRngEdad,2,TRUE)</f>
        <v>60 en adelante</v>
      </c>
      <c r="DI114" s="108" t="str">
        <f>VLOOKUP(DATOS_[[#This Row],[Antigüedad]],TblRngAntg14[],2,TRUE)</f>
        <v>0 a 1 años</v>
      </c>
    </row>
    <row r="115" spans="1:113" x14ac:dyDescent="0.25">
      <c r="A115" s="303" t="s">
        <v>524</v>
      </c>
      <c r="B115" s="281">
        <v>139</v>
      </c>
      <c r="C115" s="282" t="s">
        <v>521</v>
      </c>
      <c r="D115" s="283"/>
      <c r="E115" s="283"/>
      <c r="F115" s="284"/>
      <c r="G115" s="284"/>
      <c r="H115" s="285">
        <v>45603</v>
      </c>
      <c r="I115" s="286">
        <v>45615</v>
      </c>
      <c r="J115" s="260">
        <v>45316</v>
      </c>
      <c r="K115" s="287">
        <v>45603</v>
      </c>
      <c r="L115" s="287">
        <v>45615</v>
      </c>
      <c r="M115" s="244">
        <v>1</v>
      </c>
      <c r="N115" s="288"/>
      <c r="O115" s="288"/>
      <c r="P115" s="284">
        <v>300</v>
      </c>
      <c r="Q115" s="289"/>
      <c r="R115" s="289"/>
      <c r="S115" s="289"/>
      <c r="T115" s="289"/>
      <c r="U115" s="289"/>
      <c r="V115" s="289"/>
      <c r="W115" s="242" t="s">
        <v>188</v>
      </c>
      <c r="X115" s="290"/>
      <c r="Y115" s="271">
        <v>14000425011981</v>
      </c>
      <c r="Z115" s="247" t="s">
        <v>405</v>
      </c>
      <c r="AA115" s="279" t="s">
        <v>343</v>
      </c>
      <c r="AB115" s="294"/>
      <c r="AC115" s="245">
        <v>7</v>
      </c>
      <c r="AD115" s="295">
        <v>417.07</v>
      </c>
      <c r="AE115" s="296">
        <v>0</v>
      </c>
      <c r="AF115" s="296">
        <v>1.39</v>
      </c>
      <c r="AG115" s="296">
        <v>43.53</v>
      </c>
      <c r="AH115" s="296">
        <v>0</v>
      </c>
      <c r="AI115" s="296">
        <v>0</v>
      </c>
      <c r="AJ115" s="296">
        <v>0</v>
      </c>
      <c r="AK115" s="296">
        <v>0</v>
      </c>
      <c r="AL115" s="296">
        <v>0</v>
      </c>
      <c r="AM115" s="296">
        <v>0</v>
      </c>
      <c r="AN115" s="296">
        <v>0</v>
      </c>
      <c r="AO115" s="296">
        <v>30.45</v>
      </c>
      <c r="AP115" s="296">
        <v>0</v>
      </c>
      <c r="AQ115" s="296">
        <v>0</v>
      </c>
      <c r="AR115" s="296">
        <v>0</v>
      </c>
      <c r="AS115" s="296">
        <v>0</v>
      </c>
      <c r="AT115" s="296">
        <v>114.26</v>
      </c>
      <c r="AU115" s="296">
        <v>0</v>
      </c>
      <c r="AV115" s="296">
        <v>0</v>
      </c>
      <c r="AW115" s="296">
        <v>0</v>
      </c>
      <c r="AX115" s="296">
        <v>0</v>
      </c>
      <c r="AY115" s="296">
        <v>0</v>
      </c>
      <c r="AZ115" s="296">
        <v>111.33</v>
      </c>
      <c r="BA115" s="296">
        <v>0</v>
      </c>
      <c r="BB115" s="296"/>
      <c r="BC115" s="296"/>
      <c r="BD115" s="296"/>
      <c r="BE115" s="296"/>
      <c r="BF115" s="296"/>
      <c r="BG115" s="296"/>
      <c r="BH115" s="296"/>
      <c r="BI115" s="296"/>
      <c r="BJ115" s="296"/>
      <c r="BK115" s="296"/>
      <c r="BL115" s="296"/>
      <c r="BM115" s="296"/>
      <c r="BN115" s="296"/>
      <c r="BO115" s="296"/>
      <c r="BP115" s="296"/>
      <c r="BQ115" s="296"/>
      <c r="BR115" s="296"/>
      <c r="BS115" s="296"/>
      <c r="BT115" s="296"/>
      <c r="BU115" s="296"/>
      <c r="BV115" s="296"/>
      <c r="BW115" s="297"/>
      <c r="BX115" s="297"/>
      <c r="BY115" s="297"/>
      <c r="BZ115" s="297"/>
      <c r="CA115" s="297"/>
      <c r="CB115" s="297"/>
      <c r="CC115" s="297"/>
      <c r="CD115" s="297"/>
      <c r="CE115" s="297"/>
      <c r="CF115" s="297"/>
      <c r="CG115" s="297"/>
      <c r="CH115" s="298">
        <f>+MAX($D$3,DATOS_[[#This Row],[Fecha Inicio Sit. Contract.]])</f>
        <v>45603</v>
      </c>
      <c r="CI115" s="298">
        <f>+MIN($D$4,DATOS_[[#This Row],[Fecha Fin Sit. Contract.]])</f>
        <v>45615</v>
      </c>
      <c r="CJ115" s="299">
        <f>+DATOS_[[#This Row],[% de jornada]]*IF(DATOS_[[#This Row],[% jornada reducida]]="",1,DATOS_[[#This Row],[% jornada reducida]])</f>
        <v>1</v>
      </c>
      <c r="CK115" s="299">
        <f>+(DATOS_[[#This Row],[F.fin.cal]]-DATOS_[[#This Row],[F.ini.cal]]+1)/($D$4-$D$3+1)</f>
        <v>3.5519125683060107E-2</v>
      </c>
      <c r="CL115" s="299" t="str">
        <f>IF(OR(AND(DATOS_[[#This Row],[Fecha Fin Contrato]]&lt;$D$3,DATOS_[[#This Row],[Fecha Fin Contrato]]&lt;&gt;""),DATOS_[[#This Row],[Fecha de Contratación]]&gt;$D$4),"Fuera","Dentro")</f>
        <v>Dentro</v>
      </c>
      <c r="CM115" s="299" t="str" cm="1">
        <f t="array" ref="CM115">IF(MAX(IF(DATOS_[id/cod]=DATOS_[[#This Row],[id/cod]],DATOS_[F.fin.cal]))=DATOS_[[#This Row],[F.fin.cal]],"Sí","NO")</f>
        <v>Sí</v>
      </c>
      <c r="CN115" s="299" t="str">
        <f>IF(AND(DATOS_[[#This Row],[% normaliz]]&lt;&gt;1,DATOS_[[#This Row],[% anualiz]]=1),"Sí","NO")</f>
        <v>NO</v>
      </c>
      <c r="CO115" s="299" t="str">
        <f>IF(AND(DATOS_[[#This Row],[% normaliz]]=1,DATOS_[[#This Row],[% anualiz]]&lt;&gt;1),"Sí","NO")</f>
        <v>Sí</v>
      </c>
      <c r="CP115" s="299" t="str">
        <f>IF(AND(DATOS_[[#This Row],[% normaliz]]&lt;&gt;1,DATOS_[[#This Row],[% anualiz]]&lt;&gt;1),"Sí","NO")</f>
        <v>NO</v>
      </c>
      <c r="CQ115" s="299" t="str">
        <f>+IF(DATOS_[[#This Row],[% normaliz]]*DATOS_[[#This Row],[% anualiz]]=1,"NO","Sí")</f>
        <v>Sí</v>
      </c>
      <c r="CR115" s="300">
        <f>(DATOS_[[#This Row],[S.BASE]]*(1/DATOS_[[#This Row],[% normaliz]])*(1/DATOS_[[#This Row],[% anualiz]]))*IF(DATOS_[[#This Row],[Check Equiparado]]="Sí",1,0)</f>
        <v>11742.124615384617</v>
      </c>
      <c r="CS115" s="300">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2121.9553846153849</v>
      </c>
      <c r="CT115" s="300">
        <f>+DATOS_[[#This Row],[SALARIO BASE Eq]]+DATOS_[[#This Row],[Tot COMPL.SAL Eq]]</f>
        <v>13864.080000000002</v>
      </c>
      <c r="CU115" s="300" cm="1">
        <f t="array" ref="CU115">(SUMPRODUCT((RngTipo=$CU$7)*(rngAnualizable="Sí")*(rngNormalizable="Sí")*(DATOS_[[#This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3216.8584615384621</v>
      </c>
      <c r="CV115" s="300">
        <f>+DATOS_[[#This Row],[TOTAL SALARIO Eq]]+DATOS_[[#This Row],[Tot Extrasalarial Eq]]</f>
        <v>17080.938461538462</v>
      </c>
      <c r="CW115" s="301">
        <f>DATOS_[[#This Row],[S.BASE]]</f>
        <v>417.07</v>
      </c>
      <c r="CX115" s="301">
        <f>+SUM(DATOS_[[#This Row],[Conc.Sal.01]:[Conc.Sal.30]])</f>
        <v>300.95999999999998</v>
      </c>
      <c r="CY115" s="301">
        <f>+DATOS_[[#This Row],[SALARIO BASE Ef]]+DATOS_[[#This Row],[Tot COMPL.SAL Ef]]</f>
        <v>718.03</v>
      </c>
      <c r="CZ115" s="301">
        <f>+SUM(DATOS_[[#This Row],[C.Extra.01]:[C.Extra.11]])</f>
        <v>0</v>
      </c>
      <c r="DA115" s="301">
        <f>+DATOS_[[#This Row],[TOTAL SALARIO Ef]]+DATOS_[[#This Row],[Tot Extrasalarial Ef]]</f>
        <v>718.03</v>
      </c>
      <c r="DB115" s="109">
        <f>MIN(IF(DATOS_[[#This Row],[Fecha Fin Contrato]]="",$D$4,DATOS_[[#This Row],[Fecha Fin Contrato]]),$D$4)-MAX(DATOS_[[#This Row],[Fecha de Contratación]],$D$3)+1</f>
        <v>13</v>
      </c>
      <c r="DC115" s="110" t="str">
        <f>IF(COUNTIFS(DATOS_[id/cod],DATOS_[[#This Row],[id/cod]])&gt;1,DATOS_[[#This Row],[id/cod]],"")</f>
        <v/>
      </c>
      <c r="DD115" s="108">
        <f>(Inicio!$G$10-DATOS_[[#This Row],[Fecha Nacimiento]])/365.25</f>
        <v>125.00205338809035</v>
      </c>
      <c r="DE115" s="108">
        <f>(Inicio!$G$10-DATOS_[[#This Row],[Fecha de Antigüedad]])/365.25</f>
        <v>0.93360711841204658</v>
      </c>
      <c r="DF115" s="108" t="str">
        <f>+VLOOKUP(DATOS_[[#This Row],[Clave de Contrato]],TblTiposContrato13[],3,FALSE)</f>
        <v>N.D</v>
      </c>
      <c r="DG115" s="108" t="str">
        <f>+VLOOKUP(DATOS_[[#This Row],[Clave de Contrato]],TblTiposContrato13[],4,FALSE)</f>
        <v>Fijo discontinuo</v>
      </c>
      <c r="DH115" s="108" t="str">
        <f>VLOOKUP(DATOS_[[#This Row],[Edad]],CONTRATOS!TblRngEdad,2,TRUE)</f>
        <v>60 en adelante</v>
      </c>
      <c r="DI115" s="108" t="str">
        <f>VLOOKUP(DATOS_[[#This Row],[Antigüedad]],TblRngAntg14[],2,TRUE)</f>
        <v>0 a 1 años</v>
      </c>
    </row>
    <row r="116" spans="1:113" x14ac:dyDescent="0.25">
      <c r="A116" s="303" t="s">
        <v>525</v>
      </c>
      <c r="B116" s="281">
        <v>141</v>
      </c>
      <c r="C116" s="282" t="s">
        <v>521</v>
      </c>
      <c r="D116" s="283"/>
      <c r="E116" s="283"/>
      <c r="F116" s="284"/>
      <c r="G116" s="284"/>
      <c r="H116" s="285">
        <v>45621</v>
      </c>
      <c r="I116" s="286">
        <v>45621</v>
      </c>
      <c r="J116" s="260">
        <v>45316</v>
      </c>
      <c r="K116" s="287">
        <v>45621</v>
      </c>
      <c r="L116" s="287">
        <v>45621</v>
      </c>
      <c r="M116" s="244">
        <v>1</v>
      </c>
      <c r="N116" s="288"/>
      <c r="O116" s="288"/>
      <c r="P116" s="284">
        <v>300</v>
      </c>
      <c r="Q116" s="289"/>
      <c r="R116" s="289"/>
      <c r="S116" s="289"/>
      <c r="T116" s="289"/>
      <c r="U116" s="289"/>
      <c r="V116" s="289"/>
      <c r="W116" s="242" t="s">
        <v>188</v>
      </c>
      <c r="X116" s="290"/>
      <c r="Y116" s="271">
        <v>14000425011981</v>
      </c>
      <c r="Z116" s="247" t="s">
        <v>405</v>
      </c>
      <c r="AA116" s="279" t="s">
        <v>343</v>
      </c>
      <c r="AB116" s="294"/>
      <c r="AC116" s="245">
        <v>7</v>
      </c>
      <c r="AD116" s="295">
        <v>32.08</v>
      </c>
      <c r="AE116" s="296">
        <v>0</v>
      </c>
      <c r="AF116" s="296">
        <v>0.11</v>
      </c>
      <c r="AG116" s="296">
        <v>3.35</v>
      </c>
      <c r="AH116" s="296">
        <v>0</v>
      </c>
      <c r="AI116" s="296">
        <v>0</v>
      </c>
      <c r="AJ116" s="296">
        <v>0</v>
      </c>
      <c r="AK116" s="296">
        <v>0</v>
      </c>
      <c r="AL116" s="296">
        <v>0</v>
      </c>
      <c r="AM116" s="296">
        <v>0</v>
      </c>
      <c r="AN116" s="296">
        <v>0</v>
      </c>
      <c r="AO116" s="296">
        <v>2.34</v>
      </c>
      <c r="AP116" s="296">
        <v>0</v>
      </c>
      <c r="AQ116" s="296">
        <v>0</v>
      </c>
      <c r="AR116" s="296">
        <v>0</v>
      </c>
      <c r="AS116" s="296">
        <v>0</v>
      </c>
      <c r="AT116" s="296">
        <v>7.98</v>
      </c>
      <c r="AU116" s="296">
        <v>0</v>
      </c>
      <c r="AV116" s="296">
        <v>0</v>
      </c>
      <c r="AW116" s="296">
        <v>0</v>
      </c>
      <c r="AX116" s="296">
        <v>0</v>
      </c>
      <c r="AY116" s="296">
        <v>0</v>
      </c>
      <c r="AZ116" s="296">
        <v>0</v>
      </c>
      <c r="BA116" s="296">
        <v>0</v>
      </c>
      <c r="BB116" s="296"/>
      <c r="BC116" s="296"/>
      <c r="BD116" s="296"/>
      <c r="BE116" s="296"/>
      <c r="BF116" s="296"/>
      <c r="BG116" s="296"/>
      <c r="BH116" s="296"/>
      <c r="BI116" s="296"/>
      <c r="BJ116" s="296"/>
      <c r="BK116" s="296"/>
      <c r="BL116" s="296"/>
      <c r="BM116" s="296"/>
      <c r="BN116" s="296"/>
      <c r="BO116" s="296"/>
      <c r="BP116" s="296"/>
      <c r="BQ116" s="296"/>
      <c r="BR116" s="296"/>
      <c r="BS116" s="296"/>
      <c r="BT116" s="296"/>
      <c r="BU116" s="296"/>
      <c r="BV116" s="296"/>
      <c r="BW116" s="297"/>
      <c r="BX116" s="297"/>
      <c r="BY116" s="297"/>
      <c r="BZ116" s="297"/>
      <c r="CA116" s="297"/>
      <c r="CB116" s="297"/>
      <c r="CC116" s="297"/>
      <c r="CD116" s="297"/>
      <c r="CE116" s="297"/>
      <c r="CF116" s="297"/>
      <c r="CG116" s="297"/>
      <c r="CH116" s="298">
        <f>+MAX($D$3,DATOS_[[#This Row],[Fecha Inicio Sit. Contract.]])</f>
        <v>45621</v>
      </c>
      <c r="CI116" s="298">
        <f>+MIN($D$4,DATOS_[[#This Row],[Fecha Fin Sit. Contract.]])</f>
        <v>45621</v>
      </c>
      <c r="CJ116" s="299">
        <f>+DATOS_[[#This Row],[% de jornada]]*IF(DATOS_[[#This Row],[% jornada reducida]]="",1,DATOS_[[#This Row],[% jornada reducida]])</f>
        <v>1</v>
      </c>
      <c r="CK116" s="299">
        <f>+(DATOS_[[#This Row],[F.fin.cal]]-DATOS_[[#This Row],[F.ini.cal]]+1)/($D$4-$D$3+1)</f>
        <v>2.7322404371584699E-3</v>
      </c>
      <c r="CL116" s="299" t="str">
        <f>IF(OR(AND(DATOS_[[#This Row],[Fecha Fin Contrato]]&lt;$D$3,DATOS_[[#This Row],[Fecha Fin Contrato]]&lt;&gt;""),DATOS_[[#This Row],[Fecha de Contratación]]&gt;$D$4),"Fuera","Dentro")</f>
        <v>Dentro</v>
      </c>
      <c r="CM116" s="299" t="str" cm="1">
        <f t="array" ref="CM116">IF(MAX(IF(DATOS_[id/cod]=DATOS_[[#This Row],[id/cod]],DATOS_[F.fin.cal]))=DATOS_[[#This Row],[F.fin.cal]],"Sí","NO")</f>
        <v>Sí</v>
      </c>
      <c r="CN116" s="299" t="str">
        <f>IF(AND(DATOS_[[#This Row],[% normaliz]]&lt;&gt;1,DATOS_[[#This Row],[% anualiz]]=1),"Sí","NO")</f>
        <v>NO</v>
      </c>
      <c r="CO116" s="299" t="str">
        <f>IF(AND(DATOS_[[#This Row],[% normaliz]]=1,DATOS_[[#This Row],[% anualiz]]&lt;&gt;1),"Sí","NO")</f>
        <v>Sí</v>
      </c>
      <c r="CP116" s="299" t="str">
        <f>IF(AND(DATOS_[[#This Row],[% normaliz]]&lt;&gt;1,DATOS_[[#This Row],[% anualiz]]&lt;&gt;1),"Sí","NO")</f>
        <v>NO</v>
      </c>
      <c r="CQ116" s="299" t="str">
        <f>+IF(DATOS_[[#This Row],[% normaliz]]*DATOS_[[#This Row],[% anualiz]]=1,"NO","Sí")</f>
        <v>Sí</v>
      </c>
      <c r="CR116" s="300">
        <f>(DATOS_[[#This Row],[S.BASE]]*(1/DATOS_[[#This Row],[% normaliz]])*(1/DATOS_[[#This Row],[% anualiz]]))*IF(DATOS_[[#This Row],[Check Equiparado]]="Sí",1,0)</f>
        <v>11741.279999999999</v>
      </c>
      <c r="CS116" s="300">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2122.7999999999997</v>
      </c>
      <c r="CT116" s="300">
        <f>+DATOS_[[#This Row],[SALARIO BASE Eq]]+DATOS_[[#This Row],[Tot COMPL.SAL Eq]]</f>
        <v>13864.079999999998</v>
      </c>
      <c r="CU116" s="300" cm="1">
        <f t="array" ref="CU116">(SUMPRODUCT((RngTipo=$CU$7)*(rngAnualizable="Sí")*(rngNormalizable="Sí")*(DATOS_[[#This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2920.6800000000003</v>
      </c>
      <c r="CV116" s="300">
        <f>+DATOS_[[#This Row],[TOTAL SALARIO Eq]]+DATOS_[[#This Row],[Tot Extrasalarial Eq]]</f>
        <v>16784.759999999998</v>
      </c>
      <c r="CW116" s="301">
        <f>DATOS_[[#This Row],[S.BASE]]</f>
        <v>32.08</v>
      </c>
      <c r="CX116" s="301">
        <f>+SUM(DATOS_[[#This Row],[Conc.Sal.01]:[Conc.Sal.30]])</f>
        <v>13.780000000000001</v>
      </c>
      <c r="CY116" s="301">
        <f>+DATOS_[[#This Row],[SALARIO BASE Ef]]+DATOS_[[#This Row],[Tot COMPL.SAL Ef]]</f>
        <v>45.86</v>
      </c>
      <c r="CZ116" s="301">
        <f>+SUM(DATOS_[[#This Row],[C.Extra.01]:[C.Extra.11]])</f>
        <v>0</v>
      </c>
      <c r="DA116" s="301">
        <f>+DATOS_[[#This Row],[TOTAL SALARIO Ef]]+DATOS_[[#This Row],[Tot Extrasalarial Ef]]</f>
        <v>45.86</v>
      </c>
      <c r="DB116" s="109">
        <f>MIN(IF(DATOS_[[#This Row],[Fecha Fin Contrato]]="",$D$4,DATOS_[[#This Row],[Fecha Fin Contrato]]),$D$4)-MAX(DATOS_[[#This Row],[Fecha de Contratación]],$D$3)+1</f>
        <v>1</v>
      </c>
      <c r="DC116" s="110" t="str">
        <f>IF(COUNTIFS(DATOS_[id/cod],DATOS_[[#This Row],[id/cod]])&gt;1,DATOS_[[#This Row],[id/cod]],"")</f>
        <v/>
      </c>
      <c r="DD116" s="108">
        <f>(Inicio!$G$10-DATOS_[[#This Row],[Fecha Nacimiento]])/365.25</f>
        <v>125.00205338809035</v>
      </c>
      <c r="DE116" s="108">
        <f>(Inicio!$G$10-DATOS_[[#This Row],[Fecha de Antigüedad]])/365.25</f>
        <v>0.93360711841204658</v>
      </c>
      <c r="DF116" s="108" t="str">
        <f>+VLOOKUP(DATOS_[[#This Row],[Clave de Contrato]],TblTiposContrato13[],3,FALSE)</f>
        <v>N.D</v>
      </c>
      <c r="DG116" s="108" t="str">
        <f>+VLOOKUP(DATOS_[[#This Row],[Clave de Contrato]],TblTiposContrato13[],4,FALSE)</f>
        <v>Fijo discontinuo</v>
      </c>
      <c r="DH116" s="108" t="str">
        <f>VLOOKUP(DATOS_[[#This Row],[Edad]],CONTRATOS!TblRngEdad,2,TRUE)</f>
        <v>60 en adelante</v>
      </c>
      <c r="DI116" s="108" t="str">
        <f>VLOOKUP(DATOS_[[#This Row],[Antigüedad]],TblRngAntg14[],2,TRUE)</f>
        <v>0 a 1 años</v>
      </c>
    </row>
    <row r="117" spans="1:113" x14ac:dyDescent="0.25">
      <c r="A117" s="303" t="s">
        <v>526</v>
      </c>
      <c r="B117" s="281">
        <v>142</v>
      </c>
      <c r="C117" s="282" t="s">
        <v>521</v>
      </c>
      <c r="D117" s="283"/>
      <c r="E117" s="283"/>
      <c r="F117" s="284"/>
      <c r="G117" s="284"/>
      <c r="H117" s="285">
        <v>45621</v>
      </c>
      <c r="I117" s="286"/>
      <c r="J117" s="260">
        <v>45316</v>
      </c>
      <c r="K117" s="287">
        <v>45621</v>
      </c>
      <c r="L117" s="287"/>
      <c r="M117" s="244">
        <v>1</v>
      </c>
      <c r="N117" s="288"/>
      <c r="O117" s="288"/>
      <c r="P117" s="284">
        <v>300</v>
      </c>
      <c r="Q117" s="289"/>
      <c r="R117" s="289"/>
      <c r="S117" s="289"/>
      <c r="T117" s="289"/>
      <c r="U117" s="289"/>
      <c r="V117" s="289"/>
      <c r="W117" s="242" t="s">
        <v>188</v>
      </c>
      <c r="X117" s="290"/>
      <c r="Y117" s="271">
        <v>14000425011981</v>
      </c>
      <c r="Z117" s="247" t="s">
        <v>405</v>
      </c>
      <c r="AA117" s="279" t="s">
        <v>343</v>
      </c>
      <c r="AB117" s="294"/>
      <c r="AC117" s="245">
        <v>7</v>
      </c>
      <c r="AD117" s="295">
        <v>1154.98</v>
      </c>
      <c r="AE117" s="296">
        <v>0</v>
      </c>
      <c r="AF117" s="296">
        <v>3.85</v>
      </c>
      <c r="AG117" s="296">
        <v>120.54</v>
      </c>
      <c r="AH117" s="296">
        <v>0</v>
      </c>
      <c r="AI117" s="296">
        <v>0</v>
      </c>
      <c r="AJ117" s="296">
        <v>93.92</v>
      </c>
      <c r="AK117" s="296">
        <v>0</v>
      </c>
      <c r="AL117" s="296">
        <v>0</v>
      </c>
      <c r="AM117" s="296">
        <v>0</v>
      </c>
      <c r="AN117" s="296">
        <v>0</v>
      </c>
      <c r="AO117" s="296">
        <v>84.31</v>
      </c>
      <c r="AP117" s="296">
        <v>0</v>
      </c>
      <c r="AQ117" s="296">
        <v>0</v>
      </c>
      <c r="AR117" s="296">
        <v>0</v>
      </c>
      <c r="AS117" s="296">
        <v>0</v>
      </c>
      <c r="AT117" s="296">
        <v>106.29</v>
      </c>
      <c r="AU117" s="296">
        <v>0</v>
      </c>
      <c r="AV117" s="296">
        <v>0</v>
      </c>
      <c r="AW117" s="296">
        <v>0</v>
      </c>
      <c r="AX117" s="296">
        <v>300</v>
      </c>
      <c r="AY117" s="296">
        <v>0</v>
      </c>
      <c r="AZ117" s="296">
        <v>0</v>
      </c>
      <c r="BA117" s="296">
        <v>65</v>
      </c>
      <c r="BB117" s="296"/>
      <c r="BC117" s="296"/>
      <c r="BD117" s="296"/>
      <c r="BE117" s="296"/>
      <c r="BF117" s="296"/>
      <c r="BG117" s="296"/>
      <c r="BH117" s="296"/>
      <c r="BI117" s="296"/>
      <c r="BJ117" s="296"/>
      <c r="BK117" s="296"/>
      <c r="BL117" s="296"/>
      <c r="BM117" s="296"/>
      <c r="BN117" s="296"/>
      <c r="BO117" s="296"/>
      <c r="BP117" s="296"/>
      <c r="BQ117" s="296"/>
      <c r="BR117" s="296"/>
      <c r="BS117" s="296"/>
      <c r="BT117" s="296"/>
      <c r="BU117" s="296"/>
      <c r="BV117" s="296"/>
      <c r="BW117" s="297"/>
      <c r="BX117" s="297"/>
      <c r="BY117" s="297"/>
      <c r="BZ117" s="297"/>
      <c r="CA117" s="297"/>
      <c r="CB117" s="297"/>
      <c r="CC117" s="297"/>
      <c r="CD117" s="297"/>
      <c r="CE117" s="297"/>
      <c r="CF117" s="297"/>
      <c r="CG117" s="297"/>
      <c r="CH117" s="298">
        <f>+MAX($D$3,DATOS_[[#This Row],[Fecha Inicio Sit. Contract.]])</f>
        <v>45621</v>
      </c>
      <c r="CI117" s="298">
        <f>+MIN($D$4,DATOS_[[#This Row],[Fecha Fin Sit. Contract.]])</f>
        <v>45657</v>
      </c>
      <c r="CJ117" s="299">
        <f>+DATOS_[[#This Row],[% de jornada]]*IF(DATOS_[[#This Row],[% jornada reducida]]="",1,DATOS_[[#This Row],[% jornada reducida]])</f>
        <v>1</v>
      </c>
      <c r="CK117" s="299">
        <f>+(DATOS_[[#This Row],[F.fin.cal]]-DATOS_[[#This Row],[F.ini.cal]]+1)/($D$4-$D$3+1)</f>
        <v>0.10109289617486339</v>
      </c>
      <c r="CL117" s="299" t="str">
        <f>IF(OR(AND(DATOS_[[#This Row],[Fecha Fin Contrato]]&lt;$D$3,DATOS_[[#This Row],[Fecha Fin Contrato]]&lt;&gt;""),DATOS_[[#This Row],[Fecha de Contratación]]&gt;$D$4),"Fuera","Dentro")</f>
        <v>Dentro</v>
      </c>
      <c r="CM117" s="299" t="str" cm="1">
        <f t="array" ref="CM117">IF(MAX(IF(DATOS_[id/cod]=DATOS_[[#This Row],[id/cod]],DATOS_[F.fin.cal]))=DATOS_[[#This Row],[F.fin.cal]],"Sí","NO")</f>
        <v>Sí</v>
      </c>
      <c r="CN117" s="299" t="str">
        <f>IF(AND(DATOS_[[#This Row],[% normaliz]]&lt;&gt;1,DATOS_[[#This Row],[% anualiz]]=1),"Sí","NO")</f>
        <v>NO</v>
      </c>
      <c r="CO117" s="299" t="str">
        <f>IF(AND(DATOS_[[#This Row],[% normaliz]]=1,DATOS_[[#This Row],[% anualiz]]&lt;&gt;1),"Sí","NO")</f>
        <v>Sí</v>
      </c>
      <c r="CP117" s="299" t="str">
        <f>IF(AND(DATOS_[[#This Row],[% normaliz]]&lt;&gt;1,DATOS_[[#This Row],[% anualiz]]&lt;&gt;1),"Sí","NO")</f>
        <v>NO</v>
      </c>
      <c r="CQ117" s="299" t="str">
        <f>+IF(DATOS_[[#This Row],[% normaliz]]*DATOS_[[#This Row],[% anualiz]]=1,"NO","Sí")</f>
        <v>Sí</v>
      </c>
      <c r="CR117" s="300">
        <f>(DATOS_[[#This Row],[S.BASE]]*(1/DATOS_[[#This Row],[% normaliz]])*(1/DATOS_[[#This Row],[% anualiz]]))*IF(DATOS_[[#This Row],[Check Equiparado]]="Sí",1,0)</f>
        <v>11424.937297297296</v>
      </c>
      <c r="CS117" s="300">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5961.0518918918915</v>
      </c>
      <c r="CT117" s="300">
        <f>+DATOS_[[#This Row],[SALARIO BASE Eq]]+DATOS_[[#This Row],[Tot COMPL.SAL Eq]]</f>
        <v>17385.989189189189</v>
      </c>
      <c r="CU117" s="300" cm="1">
        <f t="array" ref="CU117">(SUMPRODUCT((RngTipo=$CU$7)*(rngAnualizable="Sí")*(rngNormalizable="Sí")*(DATOS_[[#This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1051.4091891891892</v>
      </c>
      <c r="CV117" s="300">
        <f>+DATOS_[[#This Row],[TOTAL SALARIO Eq]]+DATOS_[[#This Row],[Tot Extrasalarial Eq]]</f>
        <v>18437.398378378377</v>
      </c>
      <c r="CW117" s="301">
        <f>DATOS_[[#This Row],[S.BASE]]</f>
        <v>1154.98</v>
      </c>
      <c r="CX117" s="301">
        <f>+SUM(DATOS_[[#This Row],[Conc.Sal.01]:[Conc.Sal.30]])</f>
        <v>773.91000000000008</v>
      </c>
      <c r="CY117" s="301">
        <f>+DATOS_[[#This Row],[SALARIO BASE Ef]]+DATOS_[[#This Row],[Tot COMPL.SAL Ef]]</f>
        <v>1928.89</v>
      </c>
      <c r="CZ117" s="301">
        <f>+SUM(DATOS_[[#This Row],[C.Extra.01]:[C.Extra.11]])</f>
        <v>0</v>
      </c>
      <c r="DA117" s="301">
        <f>+DATOS_[[#This Row],[TOTAL SALARIO Ef]]+DATOS_[[#This Row],[Tot Extrasalarial Ef]]</f>
        <v>1928.89</v>
      </c>
      <c r="DB117" s="109">
        <f>MIN(IF(DATOS_[[#This Row],[Fecha Fin Contrato]]="",$D$4,DATOS_[[#This Row],[Fecha Fin Contrato]]),$D$4)-MAX(DATOS_[[#This Row],[Fecha de Contratación]],$D$3)+1</f>
        <v>37</v>
      </c>
      <c r="DC117" s="110" t="str">
        <f>IF(COUNTIFS(DATOS_[id/cod],DATOS_[[#This Row],[id/cod]])&gt;1,DATOS_[[#This Row],[id/cod]],"")</f>
        <v/>
      </c>
      <c r="DD117" s="108">
        <f>(Inicio!$G$10-DATOS_[[#This Row],[Fecha Nacimiento]])/365.25</f>
        <v>125.00205338809035</v>
      </c>
      <c r="DE117" s="108">
        <f>(Inicio!$G$10-DATOS_[[#This Row],[Fecha de Antigüedad]])/365.25</f>
        <v>0.93360711841204658</v>
      </c>
      <c r="DF117" s="108" t="str">
        <f>+VLOOKUP(DATOS_[[#This Row],[Clave de Contrato]],TblTiposContrato13[],3,FALSE)</f>
        <v>N.D</v>
      </c>
      <c r="DG117" s="108" t="str">
        <f>+VLOOKUP(DATOS_[[#This Row],[Clave de Contrato]],TblTiposContrato13[],4,FALSE)</f>
        <v>Fijo discontinuo</v>
      </c>
      <c r="DH117" s="108" t="str">
        <f>VLOOKUP(DATOS_[[#This Row],[Edad]],CONTRATOS!TblRngEdad,2,TRUE)</f>
        <v>60 en adelante</v>
      </c>
      <c r="DI117" s="108" t="str">
        <f>VLOOKUP(DATOS_[[#This Row],[Antigüedad]],TblRngAntg14[],2,TRUE)</f>
        <v>0 a 1 años</v>
      </c>
    </row>
    <row r="118" spans="1:113" x14ac:dyDescent="0.25">
      <c r="A118" s="303" t="s">
        <v>527</v>
      </c>
      <c r="B118" s="281">
        <v>143</v>
      </c>
      <c r="C118" s="282" t="s">
        <v>521</v>
      </c>
      <c r="D118" s="283"/>
      <c r="E118" s="283"/>
      <c r="F118" s="284"/>
      <c r="G118" s="284"/>
      <c r="H118" s="285">
        <v>45637</v>
      </c>
      <c r="I118" s="286"/>
      <c r="J118" s="260">
        <v>45316</v>
      </c>
      <c r="K118" s="287">
        <v>45637</v>
      </c>
      <c r="L118" s="287"/>
      <c r="M118" s="244">
        <v>1</v>
      </c>
      <c r="N118" s="288"/>
      <c r="O118" s="288"/>
      <c r="P118" s="284">
        <v>300</v>
      </c>
      <c r="Q118" s="289"/>
      <c r="R118" s="289"/>
      <c r="S118" s="289"/>
      <c r="T118" s="289"/>
      <c r="U118" s="289"/>
      <c r="V118" s="289"/>
      <c r="W118" s="242" t="s">
        <v>188</v>
      </c>
      <c r="X118" s="290"/>
      <c r="Y118" s="271">
        <v>14000425011981</v>
      </c>
      <c r="Z118" s="247" t="s">
        <v>405</v>
      </c>
      <c r="AA118" s="279" t="s">
        <v>343</v>
      </c>
      <c r="AB118" s="294"/>
      <c r="AC118" s="245">
        <v>7</v>
      </c>
      <c r="AD118" s="295">
        <v>673.74</v>
      </c>
      <c r="AE118" s="296">
        <v>0</v>
      </c>
      <c r="AF118" s="296">
        <v>0</v>
      </c>
      <c r="AG118" s="296">
        <v>70.319999999999993</v>
      </c>
      <c r="AH118" s="296">
        <v>0</v>
      </c>
      <c r="AI118" s="296">
        <v>0</v>
      </c>
      <c r="AJ118" s="296">
        <v>0</v>
      </c>
      <c r="AK118" s="296">
        <v>0</v>
      </c>
      <c r="AL118" s="296">
        <v>0</v>
      </c>
      <c r="AM118" s="296">
        <v>0</v>
      </c>
      <c r="AN118" s="296">
        <v>0</v>
      </c>
      <c r="AO118" s="296">
        <v>49.18</v>
      </c>
      <c r="AP118" s="296">
        <v>0</v>
      </c>
      <c r="AQ118" s="296">
        <v>0</v>
      </c>
      <c r="AR118" s="296">
        <v>0</v>
      </c>
      <c r="AS118" s="296">
        <v>0</v>
      </c>
      <c r="AT118" s="296">
        <v>0</v>
      </c>
      <c r="AU118" s="296">
        <v>0</v>
      </c>
      <c r="AV118" s="296">
        <v>0</v>
      </c>
      <c r="AW118" s="296">
        <v>0</v>
      </c>
      <c r="AX118" s="296">
        <v>300</v>
      </c>
      <c r="AY118" s="296">
        <v>0</v>
      </c>
      <c r="AZ118" s="296">
        <v>0</v>
      </c>
      <c r="BA118" s="296">
        <v>65</v>
      </c>
      <c r="BB118" s="296"/>
      <c r="BC118" s="296"/>
      <c r="BD118" s="296"/>
      <c r="BE118" s="296"/>
      <c r="BF118" s="296"/>
      <c r="BG118" s="296"/>
      <c r="BH118" s="296"/>
      <c r="BI118" s="296"/>
      <c r="BJ118" s="296"/>
      <c r="BK118" s="296"/>
      <c r="BL118" s="296"/>
      <c r="BM118" s="296"/>
      <c r="BN118" s="296"/>
      <c r="BO118" s="296"/>
      <c r="BP118" s="296"/>
      <c r="BQ118" s="296"/>
      <c r="BR118" s="296"/>
      <c r="BS118" s="296"/>
      <c r="BT118" s="296"/>
      <c r="BU118" s="296"/>
      <c r="BV118" s="296"/>
      <c r="BW118" s="297"/>
      <c r="BX118" s="297"/>
      <c r="BY118" s="297"/>
      <c r="BZ118" s="297"/>
      <c r="CA118" s="297"/>
      <c r="CB118" s="297"/>
      <c r="CC118" s="297"/>
      <c r="CD118" s="297"/>
      <c r="CE118" s="297"/>
      <c r="CF118" s="297"/>
      <c r="CG118" s="297"/>
      <c r="CH118" s="298">
        <f>+MAX($D$3,DATOS_[[#This Row],[Fecha Inicio Sit. Contract.]])</f>
        <v>45637</v>
      </c>
      <c r="CI118" s="298">
        <f>+MIN($D$4,DATOS_[[#This Row],[Fecha Fin Sit. Contract.]])</f>
        <v>45657</v>
      </c>
      <c r="CJ118" s="299">
        <f>+DATOS_[[#This Row],[% de jornada]]*IF(DATOS_[[#This Row],[% jornada reducida]]="",1,DATOS_[[#This Row],[% jornada reducida]])</f>
        <v>1</v>
      </c>
      <c r="CK118" s="299">
        <f>+(DATOS_[[#This Row],[F.fin.cal]]-DATOS_[[#This Row],[F.ini.cal]]+1)/($D$4-$D$3+1)</f>
        <v>5.737704918032787E-2</v>
      </c>
      <c r="CL118" s="299" t="str">
        <f>IF(OR(AND(DATOS_[[#This Row],[Fecha Fin Contrato]]&lt;$D$3,DATOS_[[#This Row],[Fecha Fin Contrato]]&lt;&gt;""),DATOS_[[#This Row],[Fecha de Contratación]]&gt;$D$4),"Fuera","Dentro")</f>
        <v>Dentro</v>
      </c>
      <c r="CM118" s="299" t="str" cm="1">
        <f t="array" ref="CM118">IF(MAX(IF(DATOS_[id/cod]=DATOS_[[#This Row],[id/cod]],DATOS_[F.fin.cal]))=DATOS_[[#This Row],[F.fin.cal]],"Sí","NO")</f>
        <v>Sí</v>
      </c>
      <c r="CN118" s="299" t="str">
        <f>IF(AND(DATOS_[[#This Row],[% normaliz]]&lt;&gt;1,DATOS_[[#This Row],[% anualiz]]=1),"Sí","NO")</f>
        <v>NO</v>
      </c>
      <c r="CO118" s="299" t="str">
        <f>IF(AND(DATOS_[[#This Row],[% normaliz]]=1,DATOS_[[#This Row],[% anualiz]]&lt;&gt;1),"Sí","NO")</f>
        <v>Sí</v>
      </c>
      <c r="CP118" s="299" t="str">
        <f>IF(AND(DATOS_[[#This Row],[% normaliz]]&lt;&gt;1,DATOS_[[#This Row],[% anualiz]]&lt;&gt;1),"Sí","NO")</f>
        <v>NO</v>
      </c>
      <c r="CQ118" s="299" t="str">
        <f>+IF(DATOS_[[#This Row],[% normaliz]]*DATOS_[[#This Row],[% anualiz]]=1,"NO","Sí")</f>
        <v>Sí</v>
      </c>
      <c r="CR118" s="300">
        <f>(DATOS_[[#This Row],[S.BASE]]*(1/DATOS_[[#This Row],[% normaliz]])*(1/DATOS_[[#This Row],[% anualiz]]))*IF(DATOS_[[#This Row],[Check Equiparado]]="Sí",1,0)</f>
        <v>11742.325714285713</v>
      </c>
      <c r="CS118" s="300">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7311.2857142857138</v>
      </c>
      <c r="CT118" s="300">
        <f>+DATOS_[[#This Row],[SALARIO BASE Eq]]+DATOS_[[#This Row],[Tot COMPL.SAL Eq]]</f>
        <v>19053.611428571428</v>
      </c>
      <c r="CU118" s="300" cm="1">
        <f t="array" ref="CU118">(SUMPRODUCT((RngTipo=$CU$7)*(rngAnualizable="Sí")*(rngNormalizable="Sí")*(DATOS_[[#This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118" s="300">
        <f>+DATOS_[[#This Row],[TOTAL SALARIO Eq]]+DATOS_[[#This Row],[Tot Extrasalarial Eq]]</f>
        <v>19053.611428571428</v>
      </c>
      <c r="CW118" s="301">
        <f>DATOS_[[#This Row],[S.BASE]]</f>
        <v>673.74</v>
      </c>
      <c r="CX118" s="301">
        <f>+SUM(DATOS_[[#This Row],[Conc.Sal.01]:[Conc.Sal.30]])</f>
        <v>484.5</v>
      </c>
      <c r="CY118" s="301">
        <f>+DATOS_[[#This Row],[SALARIO BASE Ef]]+DATOS_[[#This Row],[Tot COMPL.SAL Ef]]</f>
        <v>1158.24</v>
      </c>
      <c r="CZ118" s="301">
        <f>+SUM(DATOS_[[#This Row],[C.Extra.01]:[C.Extra.11]])</f>
        <v>0</v>
      </c>
      <c r="DA118" s="301">
        <f>+DATOS_[[#This Row],[TOTAL SALARIO Ef]]+DATOS_[[#This Row],[Tot Extrasalarial Ef]]</f>
        <v>1158.24</v>
      </c>
      <c r="DB118" s="109">
        <f>MIN(IF(DATOS_[[#This Row],[Fecha Fin Contrato]]="",$D$4,DATOS_[[#This Row],[Fecha Fin Contrato]]),$D$4)-MAX(DATOS_[[#This Row],[Fecha de Contratación]],$D$3)+1</f>
        <v>21</v>
      </c>
      <c r="DC118" s="110" t="str">
        <f>IF(COUNTIFS(DATOS_[id/cod],DATOS_[[#This Row],[id/cod]])&gt;1,DATOS_[[#This Row],[id/cod]],"")</f>
        <v/>
      </c>
      <c r="DD118" s="108">
        <f>(Inicio!$G$10-DATOS_[[#This Row],[Fecha Nacimiento]])/365.25</f>
        <v>125.00205338809035</v>
      </c>
      <c r="DE118" s="108">
        <f>(Inicio!$G$10-DATOS_[[#This Row],[Fecha de Antigüedad]])/365.25</f>
        <v>0.93360711841204658</v>
      </c>
      <c r="DF118" s="108" t="str">
        <f>+VLOOKUP(DATOS_[[#This Row],[Clave de Contrato]],TblTiposContrato13[],3,FALSE)</f>
        <v>N.D</v>
      </c>
      <c r="DG118" s="108" t="str">
        <f>+VLOOKUP(DATOS_[[#This Row],[Clave de Contrato]],TblTiposContrato13[],4,FALSE)</f>
        <v>Fijo discontinuo</v>
      </c>
      <c r="DH118" s="108" t="str">
        <f>VLOOKUP(DATOS_[[#This Row],[Edad]],CONTRATOS!TblRngEdad,2,TRUE)</f>
        <v>60 en adelante</v>
      </c>
      <c r="DI118" s="108" t="str">
        <f>VLOOKUP(DATOS_[[#This Row],[Antigüedad]],TblRngAntg14[],2,TRUE)</f>
        <v>0 a 1 años</v>
      </c>
    </row>
    <row r="119" spans="1:113" x14ac:dyDescent="0.25">
      <c r="A119" s="303" t="s">
        <v>528</v>
      </c>
      <c r="B119" s="281">
        <v>144</v>
      </c>
      <c r="C119" s="282" t="s">
        <v>521</v>
      </c>
      <c r="D119" s="283"/>
      <c r="E119" s="283"/>
      <c r="F119" s="284"/>
      <c r="G119" s="284"/>
      <c r="H119" s="285">
        <v>45637</v>
      </c>
      <c r="I119" s="286"/>
      <c r="J119" s="260">
        <v>45316</v>
      </c>
      <c r="K119" s="287">
        <v>45637</v>
      </c>
      <c r="L119" s="287"/>
      <c r="M119" s="244">
        <v>1</v>
      </c>
      <c r="N119" s="288"/>
      <c r="O119" s="288"/>
      <c r="P119" s="284">
        <v>300</v>
      </c>
      <c r="Q119" s="289"/>
      <c r="R119" s="289"/>
      <c r="S119" s="289"/>
      <c r="T119" s="289"/>
      <c r="U119" s="289"/>
      <c r="V119" s="289"/>
      <c r="W119" s="242" t="s">
        <v>188</v>
      </c>
      <c r="X119" s="290"/>
      <c r="Y119" s="271">
        <v>14000425011981</v>
      </c>
      <c r="Z119" s="247" t="s">
        <v>405</v>
      </c>
      <c r="AA119" s="279" t="s">
        <v>343</v>
      </c>
      <c r="AB119" s="294"/>
      <c r="AC119" s="245">
        <v>7</v>
      </c>
      <c r="AD119" s="295">
        <v>673.74</v>
      </c>
      <c r="AE119" s="296">
        <v>0</v>
      </c>
      <c r="AF119" s="296">
        <v>0</v>
      </c>
      <c r="AG119" s="296">
        <v>70.319999999999993</v>
      </c>
      <c r="AH119" s="296">
        <v>0</v>
      </c>
      <c r="AI119" s="296">
        <v>0</v>
      </c>
      <c r="AJ119" s="296">
        <v>0</v>
      </c>
      <c r="AK119" s="296">
        <v>0</v>
      </c>
      <c r="AL119" s="296">
        <v>0</v>
      </c>
      <c r="AM119" s="296">
        <v>0</v>
      </c>
      <c r="AN119" s="296">
        <v>0</v>
      </c>
      <c r="AO119" s="296">
        <v>49.18</v>
      </c>
      <c r="AP119" s="296">
        <v>0</v>
      </c>
      <c r="AQ119" s="296">
        <v>0</v>
      </c>
      <c r="AR119" s="296">
        <v>0</v>
      </c>
      <c r="AS119" s="296">
        <v>0</v>
      </c>
      <c r="AT119" s="296">
        <v>0</v>
      </c>
      <c r="AU119" s="296">
        <v>0</v>
      </c>
      <c r="AV119" s="296">
        <v>0</v>
      </c>
      <c r="AW119" s="296">
        <v>0</v>
      </c>
      <c r="AX119" s="296">
        <v>300</v>
      </c>
      <c r="AY119" s="296">
        <v>0</v>
      </c>
      <c r="AZ119" s="296">
        <v>0</v>
      </c>
      <c r="BA119" s="296">
        <v>65</v>
      </c>
      <c r="BB119" s="296"/>
      <c r="BC119" s="296"/>
      <c r="BD119" s="296"/>
      <c r="BE119" s="296"/>
      <c r="BF119" s="296"/>
      <c r="BG119" s="296"/>
      <c r="BH119" s="296"/>
      <c r="BI119" s="296"/>
      <c r="BJ119" s="296"/>
      <c r="BK119" s="296"/>
      <c r="BL119" s="296"/>
      <c r="BM119" s="296"/>
      <c r="BN119" s="296"/>
      <c r="BO119" s="296"/>
      <c r="BP119" s="296"/>
      <c r="BQ119" s="296"/>
      <c r="BR119" s="296"/>
      <c r="BS119" s="296"/>
      <c r="BT119" s="296"/>
      <c r="BU119" s="296"/>
      <c r="BV119" s="296"/>
      <c r="BW119" s="297"/>
      <c r="BX119" s="297"/>
      <c r="BY119" s="297"/>
      <c r="BZ119" s="297"/>
      <c r="CA119" s="297"/>
      <c r="CB119" s="297"/>
      <c r="CC119" s="297"/>
      <c r="CD119" s="297"/>
      <c r="CE119" s="297"/>
      <c r="CF119" s="297"/>
      <c r="CG119" s="297"/>
      <c r="CH119" s="298">
        <f>+MAX($D$3,DATOS_[[#This Row],[Fecha Inicio Sit. Contract.]])</f>
        <v>45637</v>
      </c>
      <c r="CI119" s="298">
        <f>+MIN($D$4,DATOS_[[#This Row],[Fecha Fin Sit. Contract.]])</f>
        <v>45657</v>
      </c>
      <c r="CJ119" s="299">
        <f>+DATOS_[[#This Row],[% de jornada]]*IF(DATOS_[[#This Row],[% jornada reducida]]="",1,DATOS_[[#This Row],[% jornada reducida]])</f>
        <v>1</v>
      </c>
      <c r="CK119" s="299">
        <f>+(DATOS_[[#This Row],[F.fin.cal]]-DATOS_[[#This Row],[F.ini.cal]]+1)/($D$4-$D$3+1)</f>
        <v>5.737704918032787E-2</v>
      </c>
      <c r="CL119" s="299" t="str">
        <f>IF(OR(AND(DATOS_[[#This Row],[Fecha Fin Contrato]]&lt;$D$3,DATOS_[[#This Row],[Fecha Fin Contrato]]&lt;&gt;""),DATOS_[[#This Row],[Fecha de Contratación]]&gt;$D$4),"Fuera","Dentro")</f>
        <v>Dentro</v>
      </c>
      <c r="CM119" s="299" t="str" cm="1">
        <f t="array" ref="CM119">IF(MAX(IF(DATOS_[id/cod]=DATOS_[[#This Row],[id/cod]],DATOS_[F.fin.cal]))=DATOS_[[#This Row],[F.fin.cal]],"Sí","NO")</f>
        <v>Sí</v>
      </c>
      <c r="CN119" s="299" t="str">
        <f>IF(AND(DATOS_[[#This Row],[% normaliz]]&lt;&gt;1,DATOS_[[#This Row],[% anualiz]]=1),"Sí","NO")</f>
        <v>NO</v>
      </c>
      <c r="CO119" s="299" t="str">
        <f>IF(AND(DATOS_[[#This Row],[% normaliz]]=1,DATOS_[[#This Row],[% anualiz]]&lt;&gt;1),"Sí","NO")</f>
        <v>Sí</v>
      </c>
      <c r="CP119" s="299" t="str">
        <f>IF(AND(DATOS_[[#This Row],[% normaliz]]&lt;&gt;1,DATOS_[[#This Row],[% anualiz]]&lt;&gt;1),"Sí","NO")</f>
        <v>NO</v>
      </c>
      <c r="CQ119" s="299" t="str">
        <f>+IF(DATOS_[[#This Row],[% normaliz]]*DATOS_[[#This Row],[% anualiz]]=1,"NO","Sí")</f>
        <v>Sí</v>
      </c>
      <c r="CR119" s="300">
        <f>(DATOS_[[#This Row],[S.BASE]]*(1/DATOS_[[#This Row],[% normaliz]])*(1/DATOS_[[#This Row],[% anualiz]]))*IF(DATOS_[[#This Row],[Check Equiparado]]="Sí",1,0)</f>
        <v>11742.325714285713</v>
      </c>
      <c r="CS119" s="300">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7311.2857142857138</v>
      </c>
      <c r="CT119" s="300">
        <f>+DATOS_[[#This Row],[SALARIO BASE Eq]]+DATOS_[[#This Row],[Tot COMPL.SAL Eq]]</f>
        <v>19053.611428571428</v>
      </c>
      <c r="CU119" s="300" cm="1">
        <f t="array" ref="CU119">(SUMPRODUCT((RngTipo=$CU$7)*(rngAnualizable="Sí")*(rngNormalizable="Sí")*(DATOS_[[#This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0</v>
      </c>
      <c r="CV119" s="300">
        <f>+DATOS_[[#This Row],[TOTAL SALARIO Eq]]+DATOS_[[#This Row],[Tot Extrasalarial Eq]]</f>
        <v>19053.611428571428</v>
      </c>
      <c r="CW119" s="301">
        <f>DATOS_[[#This Row],[S.BASE]]</f>
        <v>673.74</v>
      </c>
      <c r="CX119" s="301">
        <f>+SUM(DATOS_[[#This Row],[Conc.Sal.01]:[Conc.Sal.30]])</f>
        <v>484.5</v>
      </c>
      <c r="CY119" s="301">
        <f>+DATOS_[[#This Row],[SALARIO BASE Ef]]+DATOS_[[#This Row],[Tot COMPL.SAL Ef]]</f>
        <v>1158.24</v>
      </c>
      <c r="CZ119" s="301">
        <f>+SUM(DATOS_[[#This Row],[C.Extra.01]:[C.Extra.11]])</f>
        <v>0</v>
      </c>
      <c r="DA119" s="301">
        <f>+DATOS_[[#This Row],[TOTAL SALARIO Ef]]+DATOS_[[#This Row],[Tot Extrasalarial Ef]]</f>
        <v>1158.24</v>
      </c>
      <c r="DB119" s="109">
        <f>MIN(IF(DATOS_[[#This Row],[Fecha Fin Contrato]]="",$D$4,DATOS_[[#This Row],[Fecha Fin Contrato]]),$D$4)-MAX(DATOS_[[#This Row],[Fecha de Contratación]],$D$3)+1</f>
        <v>21</v>
      </c>
      <c r="DC119" s="110" t="str">
        <f>IF(COUNTIFS(DATOS_[id/cod],DATOS_[[#This Row],[id/cod]])&gt;1,DATOS_[[#This Row],[id/cod]],"")</f>
        <v/>
      </c>
      <c r="DD119" s="108">
        <f>(Inicio!$G$10-DATOS_[[#This Row],[Fecha Nacimiento]])/365.25</f>
        <v>125.00205338809035</v>
      </c>
      <c r="DE119" s="108">
        <f>(Inicio!$G$10-DATOS_[[#This Row],[Fecha de Antigüedad]])/365.25</f>
        <v>0.93360711841204658</v>
      </c>
      <c r="DF119" s="108" t="str">
        <f>+VLOOKUP(DATOS_[[#This Row],[Clave de Contrato]],TblTiposContrato13[],3,FALSE)</f>
        <v>N.D</v>
      </c>
      <c r="DG119" s="108" t="str">
        <f>+VLOOKUP(DATOS_[[#This Row],[Clave de Contrato]],TblTiposContrato13[],4,FALSE)</f>
        <v>Fijo discontinuo</v>
      </c>
      <c r="DH119" s="108" t="str">
        <f>VLOOKUP(DATOS_[[#This Row],[Edad]],CONTRATOS!TblRngEdad,2,TRUE)</f>
        <v>60 en adelante</v>
      </c>
      <c r="DI119" s="108" t="str">
        <f>VLOOKUP(DATOS_[[#This Row],[Antigüedad]],TblRngAntg14[],2,TRUE)</f>
        <v>0 a 1 años</v>
      </c>
    </row>
    <row r="120" spans="1:113" x14ac:dyDescent="0.25">
      <c r="A120" s="303" t="s">
        <v>529</v>
      </c>
      <c r="B120" s="281">
        <v>110</v>
      </c>
      <c r="C120" s="282" t="s">
        <v>394</v>
      </c>
      <c r="D120" s="283"/>
      <c r="E120" s="283"/>
      <c r="F120" s="284"/>
      <c r="G120" s="284"/>
      <c r="H120" s="285">
        <v>45236</v>
      </c>
      <c r="I120" s="286"/>
      <c r="J120" s="260">
        <v>45316</v>
      </c>
      <c r="K120" s="287">
        <v>45236</v>
      </c>
      <c r="L120" s="287"/>
      <c r="M120" s="288"/>
      <c r="N120" s="288"/>
      <c r="O120" s="288"/>
      <c r="P120" s="284">
        <v>100</v>
      </c>
      <c r="Q120" s="289"/>
      <c r="R120" s="289"/>
      <c r="S120" s="289"/>
      <c r="T120" s="289"/>
      <c r="U120" s="289"/>
      <c r="V120" s="289"/>
      <c r="W120" s="289" t="s">
        <v>185</v>
      </c>
      <c r="X120" s="290"/>
      <c r="Y120" s="271">
        <v>14000425011981</v>
      </c>
      <c r="Z120" s="292" t="s">
        <v>530</v>
      </c>
      <c r="AA120" s="293"/>
      <c r="AB120" s="294"/>
      <c r="AC120" s="284">
        <v>9</v>
      </c>
      <c r="AD120" s="295">
        <v>11415.48</v>
      </c>
      <c r="AE120" s="296">
        <v>6293.47</v>
      </c>
      <c r="AF120" s="296">
        <v>37.44</v>
      </c>
      <c r="AG120" s="296">
        <v>1023.6</v>
      </c>
      <c r="AH120" s="296">
        <v>843.12</v>
      </c>
      <c r="AI120" s="296">
        <v>65</v>
      </c>
      <c r="AJ120" s="296">
        <v>2389.36</v>
      </c>
      <c r="AK120" s="296"/>
      <c r="AL120" s="296"/>
      <c r="AM120" s="296"/>
      <c r="AN120" s="296"/>
      <c r="AO120" s="296"/>
      <c r="AP120" s="296"/>
      <c r="AQ120" s="296"/>
      <c r="AR120" s="296"/>
      <c r="AS120" s="296"/>
      <c r="AT120" s="296"/>
      <c r="AU120" s="296"/>
      <c r="AV120" s="296"/>
      <c r="AW120" s="296"/>
      <c r="AX120" s="296"/>
      <c r="AY120" s="296"/>
      <c r="AZ120" s="296"/>
      <c r="BA120" s="296"/>
      <c r="BB120" s="296"/>
      <c r="BC120" s="296"/>
      <c r="BD120" s="296"/>
      <c r="BE120" s="296"/>
      <c r="BF120" s="296"/>
      <c r="BG120" s="296"/>
      <c r="BH120" s="296"/>
      <c r="BI120" s="296"/>
      <c r="BJ120" s="296"/>
      <c r="BK120" s="296"/>
      <c r="BL120" s="296"/>
      <c r="BM120" s="296"/>
      <c r="BN120" s="296"/>
      <c r="BO120" s="296"/>
      <c r="BP120" s="296"/>
      <c r="BQ120" s="296"/>
      <c r="BR120" s="296"/>
      <c r="BS120" s="296"/>
      <c r="BT120" s="296"/>
      <c r="BU120" s="296"/>
      <c r="BV120" s="296"/>
      <c r="BW120" s="297"/>
      <c r="BX120" s="297"/>
      <c r="BY120" s="297"/>
      <c r="BZ120" s="297"/>
      <c r="CA120" s="297"/>
      <c r="CB120" s="297"/>
      <c r="CC120" s="297"/>
      <c r="CD120" s="297"/>
      <c r="CE120" s="297"/>
      <c r="CF120" s="297"/>
      <c r="CG120" s="297"/>
      <c r="CH120" s="298">
        <f>+MAX($D$3,DATOS_[[#This Row],[Fecha Inicio Sit. Contract.]])</f>
        <v>45292</v>
      </c>
      <c r="CI120" s="298">
        <f>+MIN($D$4,DATOS_[[#This Row],[Fecha Fin Sit. Contract.]])</f>
        <v>45657</v>
      </c>
      <c r="CJ120" s="299">
        <f>+DATOS_[[#This Row],[% de jornada]]*IF(DATOS_[[#This Row],[% jornada reducida]]="",1,DATOS_[[#This Row],[% jornada reducida]])</f>
        <v>0</v>
      </c>
      <c r="CK120" s="299">
        <f>+(DATOS_[[#This Row],[F.fin.cal]]-DATOS_[[#This Row],[F.ini.cal]]+1)/($D$4-$D$3+1)</f>
        <v>1</v>
      </c>
      <c r="CL120" s="299" t="str">
        <f>IF(OR(AND(DATOS_[[#This Row],[Fecha Fin Contrato]]&lt;$D$3,DATOS_[[#This Row],[Fecha Fin Contrato]]&lt;&gt;""),DATOS_[[#This Row],[Fecha de Contratación]]&gt;$D$4),"Fuera","Dentro")</f>
        <v>Dentro</v>
      </c>
      <c r="CM120" s="299" t="str" cm="1">
        <f t="array" ref="CM120">IF(MAX(IF(DATOS_[id/cod]=DATOS_[[#This Row],[id/cod]],DATOS_[F.fin.cal]))=DATOS_[[#This Row],[F.fin.cal]],"Sí","NO")</f>
        <v>Sí</v>
      </c>
      <c r="CN120" s="299" t="str">
        <f>IF(AND(DATOS_[[#This Row],[% normaliz]]&lt;&gt;1,DATOS_[[#This Row],[% anualiz]]=1),"Sí","NO")</f>
        <v>Sí</v>
      </c>
      <c r="CO120" s="299" t="str">
        <f>IF(AND(DATOS_[[#This Row],[% normaliz]]=1,DATOS_[[#This Row],[% anualiz]]&lt;&gt;1),"Sí","NO")</f>
        <v>NO</v>
      </c>
      <c r="CP120" s="299" t="str">
        <f>IF(AND(DATOS_[[#This Row],[% normaliz]]&lt;&gt;1,DATOS_[[#This Row],[% anualiz]]&lt;&gt;1),"Sí","NO")</f>
        <v>NO</v>
      </c>
      <c r="CQ120" s="299" t="str">
        <f>+IF(DATOS_[[#This Row],[% normaliz]]*DATOS_[[#This Row],[% anualiz]]=1,"NO","Sí")</f>
        <v>Sí</v>
      </c>
      <c r="CR120" s="300" t="e">
        <f>(DATOS_[[#This Row],[S.BASE]]*(1/DATOS_[[#This Row],[% normaliz]])*(1/DATOS_[[#This Row],[% anualiz]]))*IF(DATOS_[[#This Row],[Check Equiparado]]="Sí",1,0)</f>
        <v>#DIV/0!</v>
      </c>
      <c r="CS120" s="300" t="e">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#DIV/0!</v>
      </c>
      <c r="CT120" s="300" t="e">
        <f>+DATOS_[[#This Row],[SALARIO BASE Eq]]+DATOS_[[#This Row],[Tot COMPL.SAL Eq]]</f>
        <v>#DIV/0!</v>
      </c>
      <c r="CU120" s="300" t="e" cm="1">
        <f t="array" ref="CU120">(SUMPRODUCT((RngTipo=$CU$7)*(rngAnualizable="Sí")*(rngNormalizable="Sí")*(DATOS_[[#This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#DIV/0!</v>
      </c>
      <c r="CV120" s="300" t="e">
        <f>+DATOS_[[#This Row],[TOTAL SALARIO Eq]]+DATOS_[[#This Row],[Tot Extrasalarial Eq]]</f>
        <v>#DIV/0!</v>
      </c>
      <c r="CW120" s="301">
        <f>DATOS_[[#This Row],[S.BASE]]</f>
        <v>11415.48</v>
      </c>
      <c r="CX120" s="301">
        <f>+SUM(DATOS_[[#This Row],[Conc.Sal.01]:[Conc.Sal.30]])</f>
        <v>10651.990000000002</v>
      </c>
      <c r="CY120" s="301">
        <f>+DATOS_[[#This Row],[SALARIO BASE Ef]]+DATOS_[[#This Row],[Tot COMPL.SAL Ef]]</f>
        <v>22067.47</v>
      </c>
      <c r="CZ120" s="301">
        <f>+SUM(DATOS_[[#This Row],[C.Extra.01]:[C.Extra.11]])</f>
        <v>0</v>
      </c>
      <c r="DA120" s="301">
        <f>+DATOS_[[#This Row],[TOTAL SALARIO Ef]]+DATOS_[[#This Row],[Tot Extrasalarial Ef]]</f>
        <v>22067.47</v>
      </c>
      <c r="DB120" s="109">
        <f>MIN(IF(DATOS_[[#This Row],[Fecha Fin Contrato]]="",$D$4,DATOS_[[#This Row],[Fecha Fin Contrato]]),$D$4)-MAX(DATOS_[[#This Row],[Fecha de Contratación]],$D$3)+1</f>
        <v>366</v>
      </c>
      <c r="DC120" s="110" t="str">
        <f>IF(COUNTIFS(DATOS_[id/cod],DATOS_[[#This Row],[id/cod]])&gt;1,DATOS_[[#This Row],[id/cod]],"")</f>
        <v/>
      </c>
      <c r="DD120" s="108">
        <f>(Inicio!$G$10-DATOS_[[#This Row],[Fecha Nacimiento]])/365.25</f>
        <v>125.00205338809035</v>
      </c>
      <c r="DE120" s="108">
        <f>(Inicio!$G$10-DATOS_[[#This Row],[Fecha de Antigüedad]])/365.25</f>
        <v>0.93360711841204658</v>
      </c>
      <c r="DF120" s="108" t="str">
        <f>+VLOOKUP(DATOS_[[#This Row],[Clave de Contrato]],TblTiposContrato13[],3,FALSE)</f>
        <v>Completa</v>
      </c>
      <c r="DG120" s="108" t="str">
        <f>+VLOOKUP(DATOS_[[#This Row],[Clave de Contrato]],TblTiposContrato13[],4,FALSE)</f>
        <v>Indefinido</v>
      </c>
      <c r="DH120" s="108" t="str">
        <f>VLOOKUP(DATOS_[[#This Row],[Edad]],CONTRATOS!TblRngEdad,2,TRUE)</f>
        <v>60 en adelante</v>
      </c>
      <c r="DI120" s="108" t="str">
        <f>VLOOKUP(DATOS_[[#This Row],[Antigüedad]],TblRngAntg14[],2,TRUE)</f>
        <v>0 a 1 años</v>
      </c>
    </row>
    <row r="121" spans="1:113" x14ac:dyDescent="0.25">
      <c r="A121" s="303" t="s">
        <v>531</v>
      </c>
      <c r="B121" s="281">
        <v>92</v>
      </c>
      <c r="C121" s="282" t="s">
        <v>521</v>
      </c>
      <c r="D121" s="283"/>
      <c r="E121" s="283"/>
      <c r="F121" s="284"/>
      <c r="G121" s="284"/>
      <c r="H121" s="285"/>
      <c r="I121" s="286"/>
      <c r="J121" s="260">
        <v>45316</v>
      </c>
      <c r="K121" s="287"/>
      <c r="L121" s="287"/>
      <c r="M121" s="288"/>
      <c r="N121" s="288"/>
      <c r="O121" s="288"/>
      <c r="P121" s="284"/>
      <c r="Q121" s="289"/>
      <c r="R121" s="289"/>
      <c r="S121" s="289"/>
      <c r="T121" s="289"/>
      <c r="U121" s="289"/>
      <c r="V121" s="289"/>
      <c r="W121" s="289"/>
      <c r="X121" s="290"/>
      <c r="Y121" s="291"/>
      <c r="Z121" s="292"/>
      <c r="AA121" s="293"/>
      <c r="AB121" s="294"/>
      <c r="AC121" s="284"/>
      <c r="AD121" s="295"/>
      <c r="AE121" s="296"/>
      <c r="AF121" s="296"/>
      <c r="AG121" s="296"/>
      <c r="AH121" s="296"/>
      <c r="AI121" s="296"/>
      <c r="AJ121" s="296"/>
      <c r="AK121" s="296"/>
      <c r="AL121" s="296"/>
      <c r="AM121" s="296"/>
      <c r="AN121" s="296"/>
      <c r="AO121" s="296"/>
      <c r="AP121" s="296"/>
      <c r="AQ121" s="296"/>
      <c r="AR121" s="296"/>
      <c r="AS121" s="296"/>
      <c r="AT121" s="296"/>
      <c r="AU121" s="296"/>
      <c r="AV121" s="296"/>
      <c r="AW121" s="296"/>
      <c r="AX121" s="296"/>
      <c r="AY121" s="296"/>
      <c r="AZ121" s="296"/>
      <c r="BA121" s="296"/>
      <c r="BB121" s="296"/>
      <c r="BC121" s="296"/>
      <c r="BD121" s="296"/>
      <c r="BE121" s="296"/>
      <c r="BF121" s="296"/>
      <c r="BG121" s="296"/>
      <c r="BH121" s="296"/>
      <c r="BI121" s="296"/>
      <c r="BJ121" s="296"/>
      <c r="BK121" s="296"/>
      <c r="BL121" s="296"/>
      <c r="BM121" s="296"/>
      <c r="BN121" s="296"/>
      <c r="BO121" s="296"/>
      <c r="BP121" s="296"/>
      <c r="BQ121" s="296"/>
      <c r="BR121" s="296"/>
      <c r="BS121" s="296"/>
      <c r="BT121" s="296"/>
      <c r="BU121" s="296"/>
      <c r="BV121" s="296"/>
      <c r="BW121" s="297"/>
      <c r="BX121" s="297"/>
      <c r="BY121" s="297"/>
      <c r="BZ121" s="297"/>
      <c r="CA121" s="297"/>
      <c r="CB121" s="297"/>
      <c r="CC121" s="297"/>
      <c r="CD121" s="297"/>
      <c r="CE121" s="297"/>
      <c r="CF121" s="297"/>
      <c r="CG121" s="297"/>
      <c r="CH121" s="298">
        <f>+MAX($D$3,DATOS_[[#This Row],[Fecha Inicio Sit. Contract.]])</f>
        <v>45292</v>
      </c>
      <c r="CI121" s="298">
        <f>+MIN($D$4,DATOS_[[#This Row],[Fecha Fin Sit. Contract.]])</f>
        <v>45657</v>
      </c>
      <c r="CJ121" s="299">
        <f>+DATOS_[[#This Row],[% de jornada]]*IF(DATOS_[[#This Row],[% jornada reducida]]="",1,DATOS_[[#This Row],[% jornada reducida]])</f>
        <v>0</v>
      </c>
      <c r="CK121" s="299">
        <f>+(DATOS_[[#This Row],[F.fin.cal]]-DATOS_[[#This Row],[F.ini.cal]]+1)/($D$4-$D$3+1)</f>
        <v>1</v>
      </c>
      <c r="CL121" s="299" t="str">
        <f>IF(OR(AND(DATOS_[[#This Row],[Fecha Fin Contrato]]&lt;$D$3,DATOS_[[#This Row],[Fecha Fin Contrato]]&lt;&gt;""),DATOS_[[#This Row],[Fecha de Contratación]]&gt;$D$4),"Fuera","Dentro")</f>
        <v>Dentro</v>
      </c>
      <c r="CM121" s="299" t="str" cm="1">
        <f t="array" ref="CM121">IF(MAX(IF(DATOS_[id/cod]=DATOS_[[#This Row],[id/cod]],DATOS_[F.fin.cal]))=DATOS_[[#This Row],[F.fin.cal]],"Sí","NO")</f>
        <v>Sí</v>
      </c>
      <c r="CN121" s="299" t="str">
        <f>IF(AND(DATOS_[[#This Row],[% normaliz]]&lt;&gt;1,DATOS_[[#This Row],[% anualiz]]=1),"Sí","NO")</f>
        <v>Sí</v>
      </c>
      <c r="CO121" s="299" t="str">
        <f>IF(AND(DATOS_[[#This Row],[% normaliz]]=1,DATOS_[[#This Row],[% anualiz]]&lt;&gt;1),"Sí","NO")</f>
        <v>NO</v>
      </c>
      <c r="CP121" s="299" t="str">
        <f>IF(AND(DATOS_[[#This Row],[% normaliz]]&lt;&gt;1,DATOS_[[#This Row],[% anualiz]]&lt;&gt;1),"Sí","NO")</f>
        <v>NO</v>
      </c>
      <c r="CQ121" s="299" t="str">
        <f>+IF(DATOS_[[#This Row],[% normaliz]]*DATOS_[[#This Row],[% anualiz]]=1,"NO","Sí")</f>
        <v>Sí</v>
      </c>
      <c r="CR121" s="300" t="e">
        <f>(DATOS_[[#This Row],[S.BASE]]*(1/DATOS_[[#This Row],[% normaliz]])*(1/DATOS_[[#This Row],[% anualiz]]))*IF(DATOS_[[#This Row],[Check Equiparado]]="Sí",1,0)</f>
        <v>#DIV/0!</v>
      </c>
      <c r="CS121" s="300" t="e">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#DIV/0!</v>
      </c>
      <c r="CT121" s="300" t="e">
        <f>+DATOS_[[#This Row],[SALARIO BASE Eq]]+DATOS_[[#This Row],[Tot COMPL.SAL Eq]]</f>
        <v>#DIV/0!</v>
      </c>
      <c r="CU121" s="300" t="e" cm="1">
        <f t="array" ref="CU121">(SUMPRODUCT((RngTipo=$CU$7)*(rngAnualizable="Sí")*(rngNormalizable="Sí")*(DATOS_[[#This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#DIV/0!</v>
      </c>
      <c r="CV121" s="300" t="e">
        <f>+DATOS_[[#This Row],[TOTAL SALARIO Eq]]+DATOS_[[#This Row],[Tot Extrasalarial Eq]]</f>
        <v>#DIV/0!</v>
      </c>
      <c r="CW121" s="301">
        <f>DATOS_[[#This Row],[S.BASE]]</f>
        <v>0</v>
      </c>
      <c r="CX121" s="301">
        <f>+SUM(DATOS_[[#This Row],[Conc.Sal.01]:[Conc.Sal.30]])</f>
        <v>0</v>
      </c>
      <c r="CY121" s="301">
        <f>+DATOS_[[#This Row],[SALARIO BASE Ef]]+DATOS_[[#This Row],[Tot COMPL.SAL Ef]]</f>
        <v>0</v>
      </c>
      <c r="CZ121" s="301">
        <f>+SUM(DATOS_[[#This Row],[C.Extra.01]:[C.Extra.11]])</f>
        <v>0</v>
      </c>
      <c r="DA121" s="301">
        <f>+DATOS_[[#This Row],[TOTAL SALARIO Ef]]+DATOS_[[#This Row],[Tot Extrasalarial Ef]]</f>
        <v>0</v>
      </c>
      <c r="DB121" s="109">
        <f>MIN(IF(DATOS_[[#This Row],[Fecha Fin Contrato]]="",$D$4,DATOS_[[#This Row],[Fecha Fin Contrato]]),$D$4)-MAX(DATOS_[[#This Row],[Fecha de Contratación]],$D$3)+1</f>
        <v>366</v>
      </c>
      <c r="DC121" s="110">
        <f>IF(COUNTIFS(DATOS_[id/cod],DATOS_[[#This Row],[id/cod]])&gt;1,DATOS_[[#This Row],[id/cod]],"")</f>
        <v>92</v>
      </c>
      <c r="DD121" s="108">
        <f>(Inicio!$G$10-DATOS_[[#This Row],[Fecha Nacimiento]])/365.25</f>
        <v>125.00205338809035</v>
      </c>
      <c r="DE121" s="108">
        <f>(Inicio!$G$10-DATOS_[[#This Row],[Fecha de Antigüedad]])/365.25</f>
        <v>0.93360711841204658</v>
      </c>
      <c r="DF121" s="108" t="e">
        <f>+VLOOKUP(DATOS_[[#This Row],[Clave de Contrato]],TblTiposContrato13[],3,FALSE)</f>
        <v>#N/A</v>
      </c>
      <c r="DG121" s="108" t="e">
        <f>+VLOOKUP(DATOS_[[#This Row],[Clave de Contrato]],TblTiposContrato13[],4,FALSE)</f>
        <v>#N/A</v>
      </c>
      <c r="DH121" s="108" t="str">
        <f>VLOOKUP(DATOS_[[#This Row],[Edad]],CONTRATOS!TblRngEdad,2,TRUE)</f>
        <v>60 en adelante</v>
      </c>
      <c r="DI121" s="108" t="str">
        <f>VLOOKUP(DATOS_[[#This Row],[Antigüedad]],TblRngAntg14[],2,TRUE)</f>
        <v>0 a 1 años</v>
      </c>
    </row>
    <row r="122" spans="1:113" x14ac:dyDescent="0.25">
      <c r="A122" s="303" t="s">
        <v>532</v>
      </c>
      <c r="B122" s="281">
        <v>93</v>
      </c>
      <c r="C122" s="282" t="s">
        <v>521</v>
      </c>
      <c r="D122" s="283"/>
      <c r="E122" s="283"/>
      <c r="F122" s="284"/>
      <c r="G122" s="284"/>
      <c r="H122" s="285"/>
      <c r="I122" s="286"/>
      <c r="J122" s="260">
        <v>45316</v>
      </c>
      <c r="K122" s="287"/>
      <c r="L122" s="287"/>
      <c r="M122" s="288"/>
      <c r="N122" s="288"/>
      <c r="O122" s="288"/>
      <c r="P122" s="284"/>
      <c r="Q122" s="289"/>
      <c r="R122" s="289"/>
      <c r="S122" s="289"/>
      <c r="T122" s="289"/>
      <c r="U122" s="289"/>
      <c r="V122" s="289"/>
      <c r="W122" s="289"/>
      <c r="X122" s="290"/>
      <c r="Y122" s="291"/>
      <c r="Z122" s="292"/>
      <c r="AA122" s="293"/>
      <c r="AB122" s="294"/>
      <c r="AC122" s="284"/>
      <c r="AD122" s="295"/>
      <c r="AE122" s="296"/>
      <c r="AF122" s="296"/>
      <c r="AG122" s="296"/>
      <c r="AH122" s="296"/>
      <c r="AI122" s="296"/>
      <c r="AJ122" s="296"/>
      <c r="AK122" s="296"/>
      <c r="AL122" s="296"/>
      <c r="AM122" s="296"/>
      <c r="AN122" s="296"/>
      <c r="AO122" s="296"/>
      <c r="AP122" s="296"/>
      <c r="AQ122" s="296"/>
      <c r="AR122" s="296"/>
      <c r="AS122" s="296"/>
      <c r="AT122" s="296"/>
      <c r="AU122" s="296"/>
      <c r="AV122" s="296"/>
      <c r="AW122" s="296"/>
      <c r="AX122" s="296"/>
      <c r="AY122" s="296"/>
      <c r="AZ122" s="296"/>
      <c r="BA122" s="296"/>
      <c r="BB122" s="296"/>
      <c r="BC122" s="296"/>
      <c r="BD122" s="296"/>
      <c r="BE122" s="296"/>
      <c r="BF122" s="296"/>
      <c r="BG122" s="296"/>
      <c r="BH122" s="296"/>
      <c r="BI122" s="296"/>
      <c r="BJ122" s="296"/>
      <c r="BK122" s="296"/>
      <c r="BL122" s="296"/>
      <c r="BM122" s="296"/>
      <c r="BN122" s="296"/>
      <c r="BO122" s="296"/>
      <c r="BP122" s="296"/>
      <c r="BQ122" s="296"/>
      <c r="BR122" s="296"/>
      <c r="BS122" s="296"/>
      <c r="BT122" s="296"/>
      <c r="BU122" s="296"/>
      <c r="BV122" s="296"/>
      <c r="BW122" s="297"/>
      <c r="BX122" s="297"/>
      <c r="BY122" s="297"/>
      <c r="BZ122" s="297"/>
      <c r="CA122" s="297"/>
      <c r="CB122" s="297"/>
      <c r="CC122" s="297"/>
      <c r="CD122" s="297"/>
      <c r="CE122" s="297"/>
      <c r="CF122" s="297"/>
      <c r="CG122" s="297"/>
      <c r="CH122" s="298">
        <f>+MAX($D$3,DATOS_[[#This Row],[Fecha Inicio Sit. Contract.]])</f>
        <v>45292</v>
      </c>
      <c r="CI122" s="298">
        <f>+MIN($D$4,DATOS_[[#This Row],[Fecha Fin Sit. Contract.]])</f>
        <v>45657</v>
      </c>
      <c r="CJ122" s="299">
        <f>+DATOS_[[#This Row],[% de jornada]]*IF(DATOS_[[#This Row],[% jornada reducida]]="",1,DATOS_[[#This Row],[% jornada reducida]])</f>
        <v>0</v>
      </c>
      <c r="CK122" s="299">
        <f>+(DATOS_[[#This Row],[F.fin.cal]]-DATOS_[[#This Row],[F.ini.cal]]+1)/($D$4-$D$3+1)</f>
        <v>1</v>
      </c>
      <c r="CL122" s="299" t="str">
        <f>IF(OR(AND(DATOS_[[#This Row],[Fecha Fin Contrato]]&lt;$D$3,DATOS_[[#This Row],[Fecha Fin Contrato]]&lt;&gt;""),DATOS_[[#This Row],[Fecha de Contratación]]&gt;$D$4),"Fuera","Dentro")</f>
        <v>Dentro</v>
      </c>
      <c r="CM122" s="299" t="str" cm="1">
        <f t="array" ref="CM122">IF(MAX(IF(DATOS_[id/cod]=DATOS_[[#This Row],[id/cod]],DATOS_[F.fin.cal]))=DATOS_[[#This Row],[F.fin.cal]],"Sí","NO")</f>
        <v>Sí</v>
      </c>
      <c r="CN122" s="299" t="str">
        <f>IF(AND(DATOS_[[#This Row],[% normaliz]]&lt;&gt;1,DATOS_[[#This Row],[% anualiz]]=1),"Sí","NO")</f>
        <v>Sí</v>
      </c>
      <c r="CO122" s="299" t="str">
        <f>IF(AND(DATOS_[[#This Row],[% normaliz]]=1,DATOS_[[#This Row],[% anualiz]]&lt;&gt;1),"Sí","NO")</f>
        <v>NO</v>
      </c>
      <c r="CP122" s="299" t="str">
        <f>IF(AND(DATOS_[[#This Row],[% normaliz]]&lt;&gt;1,DATOS_[[#This Row],[% anualiz]]&lt;&gt;1),"Sí","NO")</f>
        <v>NO</v>
      </c>
      <c r="CQ122" s="299" t="str">
        <f>+IF(DATOS_[[#This Row],[% normaliz]]*DATOS_[[#This Row],[% anualiz]]=1,"NO","Sí")</f>
        <v>Sí</v>
      </c>
      <c r="CR122" s="300" t="e">
        <f>(DATOS_[[#This Row],[S.BASE]]*(1/DATOS_[[#This Row],[% normaliz]])*(1/DATOS_[[#This Row],[% anualiz]]))*IF(DATOS_[[#This Row],[Check Equiparado]]="Sí",1,0)</f>
        <v>#DIV/0!</v>
      </c>
      <c r="CS122" s="300" t="e">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#DIV/0!</v>
      </c>
      <c r="CT122" s="300" t="e">
        <f>+DATOS_[[#This Row],[SALARIO BASE Eq]]+DATOS_[[#This Row],[Tot COMPL.SAL Eq]]</f>
        <v>#DIV/0!</v>
      </c>
      <c r="CU122" s="300" t="e" cm="1">
        <f t="array" ref="CU122">(SUMPRODUCT((RngTipo=$CU$7)*(rngAnualizable="Sí")*(rngNormalizable="Sí")*(DATOS_[[#This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#DIV/0!</v>
      </c>
      <c r="CV122" s="300" t="e">
        <f>+DATOS_[[#This Row],[TOTAL SALARIO Eq]]+DATOS_[[#This Row],[Tot Extrasalarial Eq]]</f>
        <v>#DIV/0!</v>
      </c>
      <c r="CW122" s="301">
        <f>DATOS_[[#This Row],[S.BASE]]</f>
        <v>0</v>
      </c>
      <c r="CX122" s="301">
        <f>+SUM(DATOS_[[#This Row],[Conc.Sal.01]:[Conc.Sal.30]])</f>
        <v>0</v>
      </c>
      <c r="CY122" s="301">
        <f>+DATOS_[[#This Row],[SALARIO BASE Ef]]+DATOS_[[#This Row],[Tot COMPL.SAL Ef]]</f>
        <v>0</v>
      </c>
      <c r="CZ122" s="301">
        <f>+SUM(DATOS_[[#This Row],[C.Extra.01]:[C.Extra.11]])</f>
        <v>0</v>
      </c>
      <c r="DA122" s="301">
        <f>+DATOS_[[#This Row],[TOTAL SALARIO Ef]]+DATOS_[[#This Row],[Tot Extrasalarial Ef]]</f>
        <v>0</v>
      </c>
      <c r="DB122" s="109">
        <f>MIN(IF(DATOS_[[#This Row],[Fecha Fin Contrato]]="",$D$4,DATOS_[[#This Row],[Fecha Fin Contrato]]),$D$4)-MAX(DATOS_[[#This Row],[Fecha de Contratación]],$D$3)+1</f>
        <v>366</v>
      </c>
      <c r="DC122" s="110">
        <f>IF(COUNTIFS(DATOS_[id/cod],DATOS_[[#This Row],[id/cod]])&gt;1,DATOS_[[#This Row],[id/cod]],"")</f>
        <v>93</v>
      </c>
      <c r="DD122" s="108">
        <f>(Inicio!$G$10-DATOS_[[#This Row],[Fecha Nacimiento]])/365.25</f>
        <v>125.00205338809035</v>
      </c>
      <c r="DE122" s="108">
        <f>(Inicio!$G$10-DATOS_[[#This Row],[Fecha de Antigüedad]])/365.25</f>
        <v>0.93360711841204658</v>
      </c>
      <c r="DF122" s="108" t="e">
        <f>+VLOOKUP(DATOS_[[#This Row],[Clave de Contrato]],TblTiposContrato13[],3,FALSE)</f>
        <v>#N/A</v>
      </c>
      <c r="DG122" s="108" t="e">
        <f>+VLOOKUP(DATOS_[[#This Row],[Clave de Contrato]],TblTiposContrato13[],4,FALSE)</f>
        <v>#N/A</v>
      </c>
      <c r="DH122" s="108" t="str">
        <f>VLOOKUP(DATOS_[[#This Row],[Edad]],CONTRATOS!TblRngEdad,2,TRUE)</f>
        <v>60 en adelante</v>
      </c>
      <c r="DI122" s="108" t="str">
        <f>VLOOKUP(DATOS_[[#This Row],[Antigüedad]],TblRngAntg14[],2,TRUE)</f>
        <v>0 a 1 años</v>
      </c>
    </row>
    <row r="123" spans="1:113" x14ac:dyDescent="0.25">
      <c r="A123" s="303" t="s">
        <v>533</v>
      </c>
      <c r="B123" s="281">
        <v>101</v>
      </c>
      <c r="C123" s="282" t="s">
        <v>521</v>
      </c>
      <c r="D123" s="283"/>
      <c r="E123" s="283"/>
      <c r="F123" s="284"/>
      <c r="G123" s="284"/>
      <c r="H123" s="285"/>
      <c r="I123" s="286"/>
      <c r="J123" s="260">
        <v>45316</v>
      </c>
      <c r="K123" s="287"/>
      <c r="L123" s="287"/>
      <c r="M123" s="288"/>
      <c r="N123" s="288"/>
      <c r="O123" s="288"/>
      <c r="P123" s="284"/>
      <c r="Q123" s="289"/>
      <c r="R123" s="289"/>
      <c r="S123" s="289"/>
      <c r="T123" s="289"/>
      <c r="U123" s="289"/>
      <c r="V123" s="289"/>
      <c r="W123" s="289"/>
      <c r="X123" s="290"/>
      <c r="Y123" s="291"/>
      <c r="Z123" s="292"/>
      <c r="AA123" s="293"/>
      <c r="AB123" s="294"/>
      <c r="AC123" s="284"/>
      <c r="AD123" s="295"/>
      <c r="AE123" s="296"/>
      <c r="AF123" s="296"/>
      <c r="AG123" s="296"/>
      <c r="AH123" s="296"/>
      <c r="AI123" s="296"/>
      <c r="AJ123" s="296"/>
      <c r="AK123" s="296"/>
      <c r="AL123" s="296"/>
      <c r="AM123" s="296"/>
      <c r="AN123" s="296"/>
      <c r="AO123" s="296"/>
      <c r="AP123" s="296"/>
      <c r="AQ123" s="296"/>
      <c r="AR123" s="296"/>
      <c r="AS123" s="296"/>
      <c r="AT123" s="296"/>
      <c r="AU123" s="296"/>
      <c r="AV123" s="296"/>
      <c r="AW123" s="296"/>
      <c r="AX123" s="296"/>
      <c r="AY123" s="296"/>
      <c r="AZ123" s="296"/>
      <c r="BA123" s="296"/>
      <c r="BB123" s="296"/>
      <c r="BC123" s="296"/>
      <c r="BD123" s="296"/>
      <c r="BE123" s="296"/>
      <c r="BF123" s="296"/>
      <c r="BG123" s="296"/>
      <c r="BH123" s="296"/>
      <c r="BI123" s="296"/>
      <c r="BJ123" s="296"/>
      <c r="BK123" s="296"/>
      <c r="BL123" s="296"/>
      <c r="BM123" s="296"/>
      <c r="BN123" s="296"/>
      <c r="BO123" s="296"/>
      <c r="BP123" s="296"/>
      <c r="BQ123" s="296"/>
      <c r="BR123" s="296"/>
      <c r="BS123" s="296"/>
      <c r="BT123" s="296"/>
      <c r="BU123" s="296"/>
      <c r="BV123" s="296"/>
      <c r="BW123" s="297"/>
      <c r="BX123" s="297"/>
      <c r="BY123" s="297"/>
      <c r="BZ123" s="297"/>
      <c r="CA123" s="297"/>
      <c r="CB123" s="297"/>
      <c r="CC123" s="297"/>
      <c r="CD123" s="297"/>
      <c r="CE123" s="297"/>
      <c r="CF123" s="297"/>
      <c r="CG123" s="297"/>
      <c r="CH123" s="298">
        <f>+MAX($D$3,DATOS_[[#This Row],[Fecha Inicio Sit. Contract.]])</f>
        <v>45292</v>
      </c>
      <c r="CI123" s="298">
        <f>+MIN($D$4,DATOS_[[#This Row],[Fecha Fin Sit. Contract.]])</f>
        <v>45657</v>
      </c>
      <c r="CJ123" s="299">
        <f>+DATOS_[[#This Row],[% de jornada]]*IF(DATOS_[[#This Row],[% jornada reducida]]="",1,DATOS_[[#This Row],[% jornada reducida]])</f>
        <v>0</v>
      </c>
      <c r="CK123" s="299">
        <f>+(DATOS_[[#This Row],[F.fin.cal]]-DATOS_[[#This Row],[F.ini.cal]]+1)/($D$4-$D$3+1)</f>
        <v>1</v>
      </c>
      <c r="CL123" s="299" t="str">
        <f>IF(OR(AND(DATOS_[[#This Row],[Fecha Fin Contrato]]&lt;$D$3,DATOS_[[#This Row],[Fecha Fin Contrato]]&lt;&gt;""),DATOS_[[#This Row],[Fecha de Contratación]]&gt;$D$4),"Fuera","Dentro")</f>
        <v>Dentro</v>
      </c>
      <c r="CM123" s="299" t="str" cm="1">
        <f t="array" ref="CM123">IF(MAX(IF(DATOS_[id/cod]=DATOS_[[#This Row],[id/cod]],DATOS_[F.fin.cal]))=DATOS_[[#This Row],[F.fin.cal]],"Sí","NO")</f>
        <v>Sí</v>
      </c>
      <c r="CN123" s="299" t="str">
        <f>IF(AND(DATOS_[[#This Row],[% normaliz]]&lt;&gt;1,DATOS_[[#This Row],[% anualiz]]=1),"Sí","NO")</f>
        <v>Sí</v>
      </c>
      <c r="CO123" s="299" t="str">
        <f>IF(AND(DATOS_[[#This Row],[% normaliz]]=1,DATOS_[[#This Row],[% anualiz]]&lt;&gt;1),"Sí","NO")</f>
        <v>NO</v>
      </c>
      <c r="CP123" s="299" t="str">
        <f>IF(AND(DATOS_[[#This Row],[% normaliz]]&lt;&gt;1,DATOS_[[#This Row],[% anualiz]]&lt;&gt;1),"Sí","NO")</f>
        <v>NO</v>
      </c>
      <c r="CQ123" s="299" t="str">
        <f>+IF(DATOS_[[#This Row],[% normaliz]]*DATOS_[[#This Row],[% anualiz]]=1,"NO","Sí")</f>
        <v>Sí</v>
      </c>
      <c r="CR123" s="300" t="e">
        <f>(DATOS_[[#This Row],[S.BASE]]*(1/DATOS_[[#This Row],[% normaliz]])*(1/DATOS_[[#This Row],[% anualiz]]))*IF(DATOS_[[#This Row],[Check Equiparado]]="Sí",1,0)</f>
        <v>#DIV/0!</v>
      </c>
      <c r="CS123" s="300" t="e">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#DIV/0!</v>
      </c>
      <c r="CT123" s="300" t="e">
        <f>+DATOS_[[#This Row],[SALARIO BASE Eq]]+DATOS_[[#This Row],[Tot COMPL.SAL Eq]]</f>
        <v>#DIV/0!</v>
      </c>
      <c r="CU123" s="300" t="e" cm="1">
        <f t="array" ref="CU123">(SUMPRODUCT((RngTipo=$CU$7)*(rngAnualizable="Sí")*(rngNormalizable="Sí")*(DATOS_[[#This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#DIV/0!</v>
      </c>
      <c r="CV123" s="300" t="e">
        <f>+DATOS_[[#This Row],[TOTAL SALARIO Eq]]+DATOS_[[#This Row],[Tot Extrasalarial Eq]]</f>
        <v>#DIV/0!</v>
      </c>
      <c r="CW123" s="301">
        <f>DATOS_[[#This Row],[S.BASE]]</f>
        <v>0</v>
      </c>
      <c r="CX123" s="301">
        <f>+SUM(DATOS_[[#This Row],[Conc.Sal.01]:[Conc.Sal.30]])</f>
        <v>0</v>
      </c>
      <c r="CY123" s="301">
        <f>+DATOS_[[#This Row],[SALARIO BASE Ef]]+DATOS_[[#This Row],[Tot COMPL.SAL Ef]]</f>
        <v>0</v>
      </c>
      <c r="CZ123" s="301">
        <f>+SUM(DATOS_[[#This Row],[C.Extra.01]:[C.Extra.11]])</f>
        <v>0</v>
      </c>
      <c r="DA123" s="301">
        <f>+DATOS_[[#This Row],[TOTAL SALARIO Ef]]+DATOS_[[#This Row],[Tot Extrasalarial Ef]]</f>
        <v>0</v>
      </c>
      <c r="DB123" s="109">
        <f>MIN(IF(DATOS_[[#This Row],[Fecha Fin Contrato]]="",$D$4,DATOS_[[#This Row],[Fecha Fin Contrato]]),$D$4)-MAX(DATOS_[[#This Row],[Fecha de Contratación]],$D$3)+1</f>
        <v>366</v>
      </c>
      <c r="DC123" s="110">
        <f>IF(COUNTIFS(DATOS_[id/cod],DATOS_[[#This Row],[id/cod]])&gt;1,DATOS_[[#This Row],[id/cod]],"")</f>
        <v>101</v>
      </c>
      <c r="DD123" s="108">
        <f>(Inicio!$G$10-DATOS_[[#This Row],[Fecha Nacimiento]])/365.25</f>
        <v>125.00205338809035</v>
      </c>
      <c r="DE123" s="108">
        <f>(Inicio!$G$10-DATOS_[[#This Row],[Fecha de Antigüedad]])/365.25</f>
        <v>0.93360711841204658</v>
      </c>
      <c r="DF123" s="108" t="e">
        <f>+VLOOKUP(DATOS_[[#This Row],[Clave de Contrato]],TblTiposContrato13[],3,FALSE)</f>
        <v>#N/A</v>
      </c>
      <c r="DG123" s="108" t="e">
        <f>+VLOOKUP(DATOS_[[#This Row],[Clave de Contrato]],TblTiposContrato13[],4,FALSE)</f>
        <v>#N/A</v>
      </c>
      <c r="DH123" s="108" t="str">
        <f>VLOOKUP(DATOS_[[#This Row],[Edad]],CONTRATOS!TblRngEdad,2,TRUE)</f>
        <v>60 en adelante</v>
      </c>
      <c r="DI123" s="108" t="str">
        <f>VLOOKUP(DATOS_[[#This Row],[Antigüedad]],TblRngAntg14[],2,TRUE)</f>
        <v>0 a 1 años</v>
      </c>
    </row>
    <row r="124" spans="1:113" x14ac:dyDescent="0.25">
      <c r="A124" s="303" t="s">
        <v>518</v>
      </c>
      <c r="B124" s="281">
        <v>101</v>
      </c>
      <c r="C124" s="282" t="s">
        <v>521</v>
      </c>
      <c r="D124" s="243">
        <v>30957</v>
      </c>
      <c r="E124" s="243" t="s">
        <v>373</v>
      </c>
      <c r="F124" s="245"/>
      <c r="G124" s="245"/>
      <c r="H124" s="266">
        <v>45504</v>
      </c>
      <c r="I124" s="286"/>
      <c r="J124" s="260">
        <v>45316</v>
      </c>
      <c r="K124" s="287">
        <v>45504</v>
      </c>
      <c r="L124" s="287"/>
      <c r="M124" s="288">
        <v>0.125</v>
      </c>
      <c r="N124" s="288"/>
      <c r="O124" s="288"/>
      <c r="P124" s="284">
        <v>300</v>
      </c>
      <c r="Q124" s="242" t="s">
        <v>379</v>
      </c>
      <c r="R124" s="242" t="s">
        <v>379</v>
      </c>
      <c r="S124" s="289" t="s">
        <v>519</v>
      </c>
      <c r="T124" s="289" t="s">
        <v>341</v>
      </c>
      <c r="U124" s="289" t="s">
        <v>367</v>
      </c>
      <c r="V124" s="289"/>
      <c r="W124" s="289" t="s">
        <v>192</v>
      </c>
      <c r="X124" s="290"/>
      <c r="Y124" s="291">
        <v>14000425011981</v>
      </c>
      <c r="Z124" s="247" t="s">
        <v>382</v>
      </c>
      <c r="AA124" s="279" t="s">
        <v>343</v>
      </c>
      <c r="AB124" s="294"/>
      <c r="AC124" s="284">
        <v>10</v>
      </c>
      <c r="AD124" s="295">
        <v>1556.61</v>
      </c>
      <c r="AE124" s="296">
        <v>16.16</v>
      </c>
      <c r="AF124" s="296">
        <v>231.08</v>
      </c>
      <c r="AG124" s="296">
        <v>0</v>
      </c>
      <c r="AH124" s="296">
        <v>0</v>
      </c>
      <c r="AI124" s="296">
        <v>0</v>
      </c>
      <c r="AJ124" s="296">
        <v>353.64</v>
      </c>
      <c r="AK124" s="296">
        <v>0</v>
      </c>
      <c r="AL124" s="296">
        <v>0</v>
      </c>
      <c r="AM124" s="296">
        <v>0</v>
      </c>
      <c r="AN124" s="296">
        <v>0</v>
      </c>
      <c r="AO124" s="296">
        <v>0</v>
      </c>
      <c r="AP124" s="296">
        <v>300</v>
      </c>
      <c r="AQ124" s="296">
        <v>0</v>
      </c>
      <c r="AR124" s="296">
        <v>0</v>
      </c>
      <c r="AS124" s="296">
        <v>0</v>
      </c>
      <c r="AT124" s="296">
        <v>178.92</v>
      </c>
      <c r="AU124" s="296">
        <v>0</v>
      </c>
      <c r="AV124" s="296">
        <v>0</v>
      </c>
      <c r="AW124" s="296">
        <v>0</v>
      </c>
      <c r="AX124" s="296">
        <v>300</v>
      </c>
      <c r="AY124" s="296">
        <v>65</v>
      </c>
      <c r="AZ124" s="296"/>
      <c r="BA124" s="296"/>
      <c r="BB124" s="296"/>
      <c r="BC124" s="296"/>
      <c r="BD124" s="296"/>
      <c r="BE124" s="296"/>
      <c r="BF124" s="296"/>
      <c r="BG124" s="296"/>
      <c r="BH124" s="296"/>
      <c r="BI124" s="296"/>
      <c r="BJ124" s="296"/>
      <c r="BK124" s="296"/>
      <c r="BL124" s="296"/>
      <c r="BM124" s="296"/>
      <c r="BN124" s="296"/>
      <c r="BO124" s="296"/>
      <c r="BP124" s="296"/>
      <c r="BQ124" s="296"/>
      <c r="BR124" s="296"/>
      <c r="BS124" s="296"/>
      <c r="BT124" s="296"/>
      <c r="BU124" s="296"/>
      <c r="BV124" s="296"/>
      <c r="BW124" s="297"/>
      <c r="BX124" s="297"/>
      <c r="BY124" s="297"/>
      <c r="BZ124" s="297"/>
      <c r="CA124" s="297"/>
      <c r="CB124" s="297"/>
      <c r="CC124" s="297"/>
      <c r="CD124" s="297"/>
      <c r="CE124" s="297"/>
      <c r="CF124" s="297"/>
      <c r="CG124" s="297"/>
      <c r="CH124" s="298">
        <f>+MAX($D$3,DATOS_[[#This Row],[Fecha Inicio Sit. Contract.]])</f>
        <v>45504</v>
      </c>
      <c r="CI124" s="298">
        <f>+MIN($D$4,DATOS_[[#This Row],[Fecha Fin Sit. Contract.]])</f>
        <v>45657</v>
      </c>
      <c r="CJ124" s="299">
        <f>+DATOS_[[#This Row],[% de jornada]]*IF(DATOS_[[#This Row],[% jornada reducida]]="",1,DATOS_[[#This Row],[% jornada reducida]])</f>
        <v>0.125</v>
      </c>
      <c r="CK124" s="299">
        <f>+(DATOS_[[#This Row],[F.fin.cal]]-DATOS_[[#This Row],[F.ini.cal]]+1)/($D$4-$D$3+1)</f>
        <v>0.42076502732240439</v>
      </c>
      <c r="CL124" s="299" t="str">
        <f>IF(OR(AND(DATOS_[[#This Row],[Fecha Fin Contrato]]&lt;$D$3,DATOS_[[#This Row],[Fecha Fin Contrato]]&lt;&gt;""),DATOS_[[#This Row],[Fecha de Contratación]]&gt;$D$4),"Fuera","Dentro")</f>
        <v>Dentro</v>
      </c>
      <c r="CM124" s="299" t="str" cm="1">
        <f t="array" ref="CM124">IF(MAX(IF(DATOS_[id/cod]=DATOS_[[#This Row],[id/cod]],DATOS_[F.fin.cal]))=DATOS_[[#This Row],[F.fin.cal]],"Sí","NO")</f>
        <v>Sí</v>
      </c>
      <c r="CN124" s="299" t="str">
        <f>IF(AND(DATOS_[[#This Row],[% normaliz]]&lt;&gt;1,DATOS_[[#This Row],[% anualiz]]=1),"Sí","NO")</f>
        <v>NO</v>
      </c>
      <c r="CO124" s="299" t="str">
        <f>IF(AND(DATOS_[[#This Row],[% normaliz]]=1,DATOS_[[#This Row],[% anualiz]]&lt;&gt;1),"Sí","NO")</f>
        <v>NO</v>
      </c>
      <c r="CP124" s="299" t="str">
        <f>IF(AND(DATOS_[[#This Row],[% normaliz]]&lt;&gt;1,DATOS_[[#This Row],[% anualiz]]&lt;&gt;1),"Sí","NO")</f>
        <v>Sí</v>
      </c>
      <c r="CQ124" s="299" t="str">
        <f>+IF(DATOS_[[#This Row],[% normaliz]]*DATOS_[[#This Row],[% anualiz]]=1,"NO","Sí")</f>
        <v>Sí</v>
      </c>
      <c r="CR124" s="300">
        <f>(DATOS_[[#This Row],[S.BASE]]*(1/DATOS_[[#This Row],[% normaliz]])*(1/DATOS_[[#This Row],[% anualiz]]))*IF(DATOS_[[#This Row],[Check Equiparado]]="Sí",1,0)</f>
        <v>29595.805714285711</v>
      </c>
      <c r="CS124" s="300">
        <f>(SUMPRODUCT((RngTipo=$CS$7)*(rngAnualizable="Sí")*(rngNormalizable="Sí")*(DATOS_[[#This Row],[Conc.Sal.01]:[C.Extra.11]]))*(1/DATOS_[[#This Row],[% anualiz]])*(1/DATOS_[[#This Row],[% normaliz]])
+SUMPRODUCT((RngTipo=$CS$7)*(rngAnualizable="Sí")*(rngNormalizable="No")*(DATOS_[[#This Row],[Conc.Sal.01]:[C.Extra.11]]))*(1/DATOS_[[#This Row],[% anualiz]])
+SUMPRODUCT((RngTipo=$CS$7)*(rngAnualizable="No")*(rngNormalizable="Sí")*(DATOS_[[#This Row],[Conc.Sal.01]:[C.Extra.11]]))*(1/DATOS_[[#This Row],[% normaliz]])
+SUMPRODUCT((RngTipo=$CS$7)*(rngAnualizable="No")*(rngNormalizable="No")*(DATOS_[[#This Row],[Conc.Sal.01]:[C.Extra.11]])))
*IF(DATOS_[[#This Row],[Check Equiparado]]="Sí",1,0)</f>
        <v>24068.16</v>
      </c>
      <c r="CT124" s="300">
        <f>+DATOS_[[#This Row],[SALARIO BASE Eq]]+DATOS_[[#This Row],[Tot COMPL.SAL Eq]]</f>
        <v>53663.96571428571</v>
      </c>
      <c r="CU124" s="300" cm="1">
        <f t="array" ref="CU124">(SUMPRODUCT((RngTipo=$CU$7)*(rngAnualizable="Sí")*(rngNormalizable="Sí")*(DATOS_[[#This Row],[Conc.Sal.01]:[C.Extra.11]]))*(1/DATOS_[[#This Row],[% anualiz]])*(1/DATOS_[[#This Row],[% normaliz]])
+SUMPRODUCT((RngTipo=$CU$7)*(rngAnualizable="Sí")*(rngNormalizable="No")*(DATOS_[[#This Row],[Conc.Sal.01]:[C.Extra.11]]))*(1/DATOS_[[#This Row],[% anualiz]])
+SUMPRODUCT((RngTipo=$CU$7)*(rngAnualizable="No")*(rngNormalizable="Sí")*(DATOS_[[#This Row],[Conc.Sal.01]:[C.Extra.11]]))*(1/DATOS_[[#This Row],[% normaliz]])
+SUMPRODUCT((RngTipo=$CU$7)*(rngAnualizable="No")*(rngNormalizable="No")*(DATOS_[[#This Row],[Conc.Sal.01]:[C.Extra.11]])))
*IF(DATOS_[[#This Row],[Check Equiparado]]="Sí",1,0)</f>
        <v>3401.8036363636356</v>
      </c>
      <c r="CV124" s="300">
        <f>+DATOS_[[#This Row],[TOTAL SALARIO Eq]]+DATOS_[[#This Row],[Tot Extrasalarial Eq]]</f>
        <v>57065.769350649345</v>
      </c>
      <c r="CW124" s="301">
        <f>DATOS_[[#This Row],[S.BASE]]</f>
        <v>1556.61</v>
      </c>
      <c r="CX124" s="301">
        <f>+SUM(DATOS_[[#This Row],[Conc.Sal.01]:[Conc.Sal.30]])</f>
        <v>1444.8</v>
      </c>
      <c r="CY124" s="301">
        <f>+DATOS_[[#This Row],[SALARIO BASE Ef]]+DATOS_[[#This Row],[Tot COMPL.SAL Ef]]</f>
        <v>3001.41</v>
      </c>
      <c r="CZ124" s="301">
        <f>+SUM(DATOS_[[#This Row],[C.Extra.01]:[C.Extra.11]])</f>
        <v>0</v>
      </c>
      <c r="DA124" s="301">
        <f>+DATOS_[[#This Row],[TOTAL SALARIO Ef]]+DATOS_[[#This Row],[Tot Extrasalarial Ef]]</f>
        <v>3001.41</v>
      </c>
      <c r="DB124" s="109">
        <f>MIN(IF(DATOS_[[#This Row],[Fecha Fin Contrato]]="",$D$4,DATOS_[[#This Row],[Fecha Fin Contrato]]),$D$4)-MAX(DATOS_[[#This Row],[Fecha de Contratación]],$D$3)+1</f>
        <v>154</v>
      </c>
      <c r="DC124" s="110">
        <f>IF(COUNTIFS(DATOS_[id/cod],DATOS_[[#This Row],[id/cod]])&gt;1,DATOS_[[#This Row],[id/cod]],"")</f>
        <v>101</v>
      </c>
      <c r="DD124" s="108">
        <f>(Inicio!$G$10-DATOS_[[#This Row],[Fecha Nacimiento]])/365.25</f>
        <v>40.246406570841891</v>
      </c>
      <c r="DE124" s="108">
        <f>(Inicio!$G$10-DATOS_[[#This Row],[Fecha de Antigüedad]])/365.25</f>
        <v>0.93360711841204658</v>
      </c>
      <c r="DF124" s="108" t="str">
        <f>+VLOOKUP(DATOS_[[#This Row],[Clave de Contrato]],TblTiposContrato13[],3,FALSE)</f>
        <v>N.D</v>
      </c>
      <c r="DG124" s="108" t="str">
        <f>+VLOOKUP(DATOS_[[#This Row],[Clave de Contrato]],TblTiposContrato13[],4,FALSE)</f>
        <v>Fijo discontinuo</v>
      </c>
      <c r="DH124" s="108" t="str">
        <f>VLOOKUP(DATOS_[[#This Row],[Edad]],CONTRATOS!TblRngEdad,2,TRUE)</f>
        <v>40 a 45</v>
      </c>
      <c r="DI124" s="108" t="str">
        <f>VLOOKUP(DATOS_[[#This Row],[Antigüedad]],TblRngAntg14[],2,TRUE)</f>
        <v>0 a 1 años</v>
      </c>
    </row>
    <row r="130" spans="2:2" x14ac:dyDescent="0.25">
      <c r="B130" s="276"/>
    </row>
  </sheetData>
  <autoFilter ref="A8:A124" xr:uid="{00000000-0001-0000-0300-000000000000}"/>
  <phoneticPr fontId="5" type="noConversion"/>
  <conditionalFormatting sqref="A9:A18">
    <cfRule type="duplicateValues" dxfId="116" priority="48"/>
  </conditionalFormatting>
  <conditionalFormatting sqref="A19:A124">
    <cfRule type="duplicateValues" dxfId="115" priority="1"/>
  </conditionalFormatting>
  <conditionalFormatting sqref="B9:B124">
    <cfRule type="duplicateValues" dxfId="0" priority="50"/>
  </conditionalFormatting>
  <dataValidations count="3">
    <dataValidation type="list" allowBlank="1" showInputMessage="1" showErrorMessage="1" sqref="W9:W124" xr:uid="{00000000-0002-0000-0300-000000000000}">
      <formula1>AGR_CL_EMP</formula1>
    </dataValidation>
    <dataValidation type="list" allowBlank="1" showInputMessage="1" showErrorMessage="1" sqref="C9:C124" xr:uid="{00000000-0002-0000-0300-000001000000}">
      <formula1>"Mujer,Hombre"</formula1>
    </dataValidation>
    <dataValidation type="list" allowBlank="1" showInputMessage="1" showErrorMessage="1" sqref="X9:X124" xr:uid="{00000000-0002-0000-0300-000002000000}">
      <formula1>AGR_VAL_PTO</formula1>
    </dataValidation>
  </dataValidations>
  <hyperlinks>
    <hyperlink ref="B8" r:id="rId1" xr:uid="{F49BC337-74AD-F040-92F3-F9D42772CFE5}"/>
  </hyperlinks>
  <pageMargins left="0.25" right="0.25" top="0.75" bottom="0.75" header="0.3" footer="0.3"/>
  <pageSetup paperSize="9" scale="19" fitToHeight="0" orientation="landscape" r:id="rId2"/>
  <ignoredErrors>
    <ignoredError sqref="CI9 CS9 CU9:CZ9 CU10 CU29:CU100 CX29:CX100 CX19:CX26 CU19:CU26" emptyCellReference="1"/>
  </ignoredErrors>
  <drawing r:id="rId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tabColor theme="1" tint="0.499984740745262"/>
    <pageSetUpPr fitToPage="1"/>
  </sheetPr>
  <dimension ref="B2:O142"/>
  <sheetViews>
    <sheetView showGridLines="0" topLeftCell="A8" zoomScale="80" zoomScaleNormal="80" workbookViewId="0">
      <selection activeCell="C12" sqref="C12"/>
    </sheetView>
  </sheetViews>
  <sheetFormatPr baseColWidth="10" defaultColWidth="9.33203125" defaultRowHeight="13.8" x14ac:dyDescent="0.25"/>
  <cols>
    <col min="1" max="2" width="9.33203125" style="1"/>
    <col min="3" max="3" width="65.33203125" style="1" customWidth="1"/>
    <col min="4" max="4" width="12" style="1" customWidth="1"/>
    <col min="5" max="10" width="14.44140625" style="1" customWidth="1"/>
    <col min="11" max="14" width="16.109375" style="1" customWidth="1"/>
    <col min="15" max="21" width="9.44140625" style="1" customWidth="1"/>
    <col min="22" max="16384" width="9.33203125" style="1"/>
  </cols>
  <sheetData>
    <row r="2" spans="3:15" ht="21.6" customHeight="1" x14ac:dyDescent="0.25"/>
    <row r="8" spans="3:15" ht="17.399999999999999" x14ac:dyDescent="0.3">
      <c r="C8" s="126" t="s">
        <v>534</v>
      </c>
      <c r="D8" s="127"/>
      <c r="E8" s="127"/>
      <c r="F8" s="127"/>
      <c r="G8" s="127"/>
      <c r="H8" s="127"/>
      <c r="I8" s="127"/>
      <c r="J8" s="127"/>
    </row>
    <row r="10" spans="3:15" ht="14.4" x14ac:dyDescent="0.3">
      <c r="C10" s="128" t="s">
        <v>535</v>
      </c>
      <c r="D10" s="128" t="s">
        <v>21</v>
      </c>
      <c r="F10"/>
      <c r="G10"/>
      <c r="H10"/>
      <c r="I10"/>
      <c r="J10"/>
      <c r="K10"/>
      <c r="L10"/>
      <c r="M10"/>
      <c r="N10"/>
      <c r="O10"/>
    </row>
    <row r="11" spans="3:15" ht="14.4" x14ac:dyDescent="0.3">
      <c r="C11" s="128" t="s">
        <v>65</v>
      </c>
      <c r="D11" s="1" t="s">
        <v>337</v>
      </c>
      <c r="E11" s="1" t="s">
        <v>356</v>
      </c>
      <c r="F11"/>
      <c r="G11"/>
      <c r="H11"/>
      <c r="I11"/>
      <c r="J11"/>
      <c r="K11"/>
      <c r="L11"/>
      <c r="M11"/>
      <c r="N11"/>
      <c r="O11"/>
    </row>
    <row r="12" spans="3:15" ht="14.4" x14ac:dyDescent="0.3">
      <c r="C12" s="1" t="s">
        <v>477</v>
      </c>
      <c r="E12" s="1">
        <v>1</v>
      </c>
      <c r="F12"/>
      <c r="G12"/>
      <c r="H12"/>
      <c r="I12"/>
      <c r="J12"/>
      <c r="K12"/>
      <c r="L12"/>
      <c r="M12"/>
      <c r="N12"/>
      <c r="O12"/>
    </row>
    <row r="13" spans="3:15" ht="14.4" x14ac:dyDescent="0.3">
      <c r="C13" s="1" t="s">
        <v>376</v>
      </c>
      <c r="D13" s="1">
        <v>6</v>
      </c>
      <c r="F13"/>
      <c r="G13"/>
      <c r="H13"/>
      <c r="I13"/>
      <c r="J13"/>
      <c r="K13"/>
      <c r="L13"/>
      <c r="M13"/>
      <c r="N13"/>
      <c r="O13"/>
    </row>
    <row r="14" spans="3:15" ht="14.4" x14ac:dyDescent="0.3">
      <c r="C14" s="1" t="s">
        <v>493</v>
      </c>
      <c r="D14" s="1">
        <v>1</v>
      </c>
      <c r="F14"/>
      <c r="G14"/>
      <c r="H14"/>
      <c r="I14"/>
      <c r="J14"/>
      <c r="K14"/>
      <c r="L14"/>
      <c r="M14"/>
      <c r="N14"/>
      <c r="O14"/>
    </row>
    <row r="15" spans="3:15" ht="14.4" x14ac:dyDescent="0.3">
      <c r="C15" s="1" t="s">
        <v>483</v>
      </c>
      <c r="D15" s="1">
        <v>2</v>
      </c>
      <c r="F15"/>
      <c r="G15"/>
      <c r="H15"/>
      <c r="I15"/>
      <c r="J15"/>
      <c r="K15"/>
      <c r="L15"/>
      <c r="M15"/>
      <c r="N15"/>
      <c r="O15"/>
    </row>
    <row r="16" spans="3:15" ht="14.4" x14ac:dyDescent="0.3">
      <c r="C16" s="1" t="s">
        <v>509</v>
      </c>
      <c r="D16" s="1">
        <v>1</v>
      </c>
      <c r="F16"/>
      <c r="G16"/>
      <c r="H16"/>
      <c r="I16"/>
      <c r="J16"/>
      <c r="K16"/>
      <c r="L16"/>
      <c r="M16"/>
      <c r="N16"/>
      <c r="O16"/>
    </row>
    <row r="17" spans="3:12" ht="14.4" x14ac:dyDescent="0.3">
      <c r="C17" s="1" t="s">
        <v>507</v>
      </c>
      <c r="D17" s="1">
        <v>1</v>
      </c>
      <c r="F17"/>
      <c r="G17"/>
      <c r="H17"/>
      <c r="I17"/>
      <c r="J17"/>
      <c r="K17"/>
      <c r="L17"/>
    </row>
    <row r="18" spans="3:12" ht="14.4" x14ac:dyDescent="0.3">
      <c r="C18" s="1" t="s">
        <v>491</v>
      </c>
      <c r="E18" s="1">
        <v>1</v>
      </c>
      <c r="F18"/>
      <c r="G18"/>
      <c r="H18"/>
      <c r="I18"/>
      <c r="J18"/>
      <c r="K18"/>
      <c r="L18"/>
    </row>
    <row r="19" spans="3:12" ht="14.4" x14ac:dyDescent="0.3">
      <c r="C19" s="1" t="s">
        <v>468</v>
      </c>
      <c r="D19" s="1">
        <v>1</v>
      </c>
      <c r="F19"/>
      <c r="G19"/>
      <c r="H19"/>
      <c r="I19"/>
      <c r="J19"/>
      <c r="K19"/>
      <c r="L19"/>
    </row>
    <row r="20" spans="3:12" ht="14.4" x14ac:dyDescent="0.3">
      <c r="C20" s="1" t="s">
        <v>439</v>
      </c>
      <c r="D20" s="1">
        <v>1</v>
      </c>
      <c r="F20"/>
      <c r="G20"/>
      <c r="H20"/>
      <c r="I20"/>
      <c r="J20"/>
      <c r="K20"/>
      <c r="L20"/>
    </row>
    <row r="21" spans="3:12" ht="14.4" x14ac:dyDescent="0.3">
      <c r="C21" s="1" t="s">
        <v>447</v>
      </c>
      <c r="D21" s="1">
        <v>1</v>
      </c>
      <c r="F21"/>
      <c r="G21"/>
      <c r="H21"/>
      <c r="I21"/>
      <c r="J21"/>
      <c r="K21"/>
      <c r="L21"/>
    </row>
    <row r="22" spans="3:12" ht="14.4" x14ac:dyDescent="0.3">
      <c r="C22" s="1" t="s">
        <v>399</v>
      </c>
      <c r="E22" s="1">
        <v>1</v>
      </c>
      <c r="F22"/>
      <c r="G22"/>
      <c r="H22"/>
      <c r="I22"/>
      <c r="J22"/>
      <c r="K22"/>
      <c r="L22"/>
    </row>
    <row r="23" spans="3:12" ht="14.4" x14ac:dyDescent="0.3">
      <c r="C23" s="1" t="s">
        <v>487</v>
      </c>
      <c r="E23" s="1">
        <v>1</v>
      </c>
      <c r="F23"/>
      <c r="G23"/>
      <c r="H23"/>
      <c r="I23"/>
      <c r="J23"/>
      <c r="K23"/>
      <c r="L23"/>
    </row>
    <row r="24" spans="3:12" ht="14.4" x14ac:dyDescent="0.3">
      <c r="C24" s="1" t="s">
        <v>489</v>
      </c>
      <c r="E24" s="1">
        <v>1</v>
      </c>
      <c r="F24"/>
      <c r="G24"/>
      <c r="H24"/>
      <c r="I24"/>
      <c r="J24"/>
      <c r="K24"/>
      <c r="L24"/>
    </row>
    <row r="25" spans="3:12" ht="14.4" x14ac:dyDescent="0.3">
      <c r="C25" s="1" t="s">
        <v>479</v>
      </c>
      <c r="E25" s="1">
        <v>1</v>
      </c>
      <c r="F25"/>
      <c r="G25"/>
      <c r="H25"/>
      <c r="I25"/>
      <c r="J25"/>
      <c r="K25"/>
      <c r="L25"/>
    </row>
    <row r="26" spans="3:12" ht="14.4" x14ac:dyDescent="0.3">
      <c r="C26" s="1" t="s">
        <v>431</v>
      </c>
      <c r="E26" s="1">
        <v>1</v>
      </c>
      <c r="F26"/>
      <c r="G26"/>
      <c r="H26"/>
      <c r="I26"/>
      <c r="J26"/>
      <c r="K26"/>
    </row>
    <row r="27" spans="3:12" ht="14.4" x14ac:dyDescent="0.3">
      <c r="C27" s="1" t="s">
        <v>340</v>
      </c>
      <c r="D27" s="1">
        <v>24</v>
      </c>
      <c r="E27" s="1">
        <v>1</v>
      </c>
      <c r="F27"/>
      <c r="G27"/>
    </row>
    <row r="28" spans="3:12" ht="14.4" x14ac:dyDescent="0.3">
      <c r="C28" s="1" t="s">
        <v>388</v>
      </c>
      <c r="D28" s="1">
        <v>1</v>
      </c>
      <c r="F28"/>
      <c r="G28"/>
    </row>
    <row r="29" spans="3:12" ht="14.4" x14ac:dyDescent="0.3">
      <c r="C29" s="1" t="s">
        <v>496</v>
      </c>
      <c r="E29" s="1">
        <v>1</v>
      </c>
      <c r="F29"/>
    </row>
    <row r="30" spans="3:12" ht="14.4" x14ac:dyDescent="0.3">
      <c r="C30" s="1" t="s">
        <v>358</v>
      </c>
      <c r="E30" s="1">
        <v>1</v>
      </c>
      <c r="F30"/>
      <c r="G30"/>
    </row>
    <row r="31" spans="3:12" ht="14.4" x14ac:dyDescent="0.3">
      <c r="C31" s="1" t="s">
        <v>353</v>
      </c>
      <c r="D31" s="1">
        <v>1</v>
      </c>
      <c r="F31"/>
      <c r="G31"/>
    </row>
    <row r="32" spans="3:12" ht="14.4" x14ac:dyDescent="0.3">
      <c r="C32" s="1" t="s">
        <v>346</v>
      </c>
      <c r="D32" s="1">
        <v>1</v>
      </c>
      <c r="F32"/>
      <c r="G32"/>
    </row>
    <row r="33" spans="3:7" ht="14.4" x14ac:dyDescent="0.3">
      <c r="C33" s="1" t="s">
        <v>362</v>
      </c>
      <c r="E33" s="1">
        <v>1</v>
      </c>
      <c r="F33"/>
      <c r="G33"/>
    </row>
    <row r="34" spans="3:7" ht="14.4" x14ac:dyDescent="0.3">
      <c r="C34" s="1" t="s">
        <v>416</v>
      </c>
      <c r="E34" s="1">
        <v>1</v>
      </c>
      <c r="F34"/>
      <c r="G34"/>
    </row>
    <row r="35" spans="3:7" x14ac:dyDescent="0.25">
      <c r="C35" s="1" t="s">
        <v>471</v>
      </c>
      <c r="E35" s="1">
        <v>1</v>
      </c>
    </row>
    <row r="36" spans="3:7" x14ac:dyDescent="0.25">
      <c r="C36" s="1" t="s">
        <v>455</v>
      </c>
      <c r="D36" s="1">
        <v>1</v>
      </c>
    </row>
    <row r="37" spans="3:7" x14ac:dyDescent="0.25">
      <c r="C37" s="1" t="s">
        <v>450</v>
      </c>
      <c r="D37" s="1">
        <v>1</v>
      </c>
    </row>
    <row r="38" spans="3:7" x14ac:dyDescent="0.25">
      <c r="C38" s="1" t="s">
        <v>385</v>
      </c>
      <c r="E38" s="1">
        <v>7</v>
      </c>
    </row>
    <row r="39" spans="3:7" x14ac:dyDescent="0.25">
      <c r="C39" s="1" t="s">
        <v>380</v>
      </c>
      <c r="E39" s="1">
        <v>1</v>
      </c>
    </row>
    <row r="40" spans="3:7" x14ac:dyDescent="0.25">
      <c r="C40" s="1" t="s">
        <v>503</v>
      </c>
      <c r="E40" s="1">
        <v>1</v>
      </c>
    </row>
    <row r="41" spans="3:7" x14ac:dyDescent="0.25">
      <c r="C41" s="1" t="s">
        <v>519</v>
      </c>
      <c r="E41" s="1">
        <v>1</v>
      </c>
    </row>
    <row r="42" spans="3:7" x14ac:dyDescent="0.25">
      <c r="C42" s="1" t="s">
        <v>441</v>
      </c>
      <c r="E42" s="1">
        <v>2</v>
      </c>
    </row>
    <row r="43" spans="3:7" x14ac:dyDescent="0.25">
      <c r="C43" s="1" t="s">
        <v>379</v>
      </c>
      <c r="E43" s="1">
        <v>1</v>
      </c>
    </row>
    <row r="44" spans="3:7" x14ac:dyDescent="0.25">
      <c r="C44" s="1" t="s">
        <v>404</v>
      </c>
      <c r="E44" s="1">
        <v>4</v>
      </c>
    </row>
    <row r="45" spans="3:7" x14ac:dyDescent="0.25">
      <c r="C45" s="1" t="s">
        <v>352</v>
      </c>
      <c r="D45" s="1">
        <v>2</v>
      </c>
    </row>
    <row r="46" spans="3:7" x14ac:dyDescent="0.25">
      <c r="C46" s="1" t="s">
        <v>349</v>
      </c>
      <c r="D46" s="1">
        <v>2</v>
      </c>
    </row>
    <row r="47" spans="3:7" x14ac:dyDescent="0.25">
      <c r="C47" s="1" t="s">
        <v>371</v>
      </c>
      <c r="E47" s="1">
        <v>1</v>
      </c>
    </row>
    <row r="48" spans="3:7" x14ac:dyDescent="0.25">
      <c r="C48" s="1" t="s">
        <v>445</v>
      </c>
      <c r="D48" s="1">
        <v>9</v>
      </c>
      <c r="E48" s="1">
        <v>4</v>
      </c>
    </row>
    <row r="49" spans="3:5" x14ac:dyDescent="0.25">
      <c r="C49" s="1" t="s">
        <v>391</v>
      </c>
      <c r="D49" s="1">
        <v>1</v>
      </c>
      <c r="E49" s="1">
        <v>7</v>
      </c>
    </row>
    <row r="50" spans="3:5" x14ac:dyDescent="0.25">
      <c r="C50" s="1" t="s">
        <v>395</v>
      </c>
      <c r="E50" s="1">
        <v>1</v>
      </c>
    </row>
    <row r="51" spans="3:5" x14ac:dyDescent="0.25">
      <c r="C51" s="1" t="s">
        <v>366</v>
      </c>
      <c r="D51" s="1">
        <v>1</v>
      </c>
    </row>
    <row r="99" spans="2:15" ht="17.399999999999999" x14ac:dyDescent="0.3">
      <c r="B99" s="129" t="s">
        <v>536</v>
      </c>
      <c r="C99" s="130"/>
      <c r="D99" s="130"/>
      <c r="E99" s="130"/>
      <c r="F99" s="130"/>
      <c r="G99" s="130"/>
      <c r="H99" s="130"/>
      <c r="I99" s="130"/>
      <c r="J99" s="130"/>
      <c r="K99" s="130"/>
      <c r="L99" s="130"/>
    </row>
    <row r="101" spans="2:15" ht="28.2" x14ac:dyDescent="0.3">
      <c r="C101" s="128" t="s">
        <v>537</v>
      </c>
      <c r="E101" s="131" t="s">
        <v>79</v>
      </c>
      <c r="F101"/>
      <c r="G101"/>
      <c r="H101"/>
      <c r="I101"/>
      <c r="J101"/>
      <c r="K101"/>
      <c r="L101"/>
      <c r="M101"/>
      <c r="N101"/>
      <c r="O101"/>
    </row>
    <row r="102" spans="2:15" ht="14.4" x14ac:dyDescent="0.3">
      <c r="C102" s="128" t="s">
        <v>73</v>
      </c>
      <c r="D102" s="128" t="s">
        <v>65</v>
      </c>
      <c r="E102" s="1" t="s">
        <v>538</v>
      </c>
      <c r="F102"/>
      <c r="G102"/>
      <c r="H102"/>
      <c r="I102"/>
      <c r="J102"/>
      <c r="K102"/>
      <c r="L102"/>
      <c r="M102"/>
      <c r="N102"/>
      <c r="O102"/>
    </row>
    <row r="103" spans="2:15" ht="14.4" x14ac:dyDescent="0.3">
      <c r="C103" s="1" t="s">
        <v>538</v>
      </c>
      <c r="D103" s="1" t="s">
        <v>352</v>
      </c>
      <c r="E103" s="1">
        <v>2</v>
      </c>
      <c r="F103"/>
      <c r="G103"/>
      <c r="H103"/>
      <c r="I103"/>
      <c r="J103"/>
      <c r="K103"/>
      <c r="L103"/>
      <c r="M103"/>
      <c r="N103"/>
      <c r="O103"/>
    </row>
    <row r="104" spans="2:15" ht="14.4" x14ac:dyDescent="0.3">
      <c r="C104" s="1" t="s">
        <v>538</v>
      </c>
      <c r="D104" s="1" t="s">
        <v>385</v>
      </c>
      <c r="E104" s="1">
        <v>7</v>
      </c>
      <c r="F104"/>
      <c r="G104"/>
      <c r="H104"/>
      <c r="I104"/>
      <c r="J104"/>
      <c r="K104"/>
      <c r="L104"/>
      <c r="M104"/>
      <c r="N104"/>
      <c r="O104"/>
    </row>
    <row r="105" spans="2:15" ht="14.4" x14ac:dyDescent="0.3">
      <c r="C105" s="1" t="s">
        <v>538</v>
      </c>
      <c r="D105" s="1" t="s">
        <v>416</v>
      </c>
      <c r="E105" s="1">
        <v>1</v>
      </c>
      <c r="F105"/>
      <c r="G105"/>
      <c r="H105"/>
      <c r="I105"/>
      <c r="J105"/>
      <c r="K105"/>
      <c r="L105"/>
      <c r="M105"/>
      <c r="N105"/>
      <c r="O105"/>
    </row>
    <row r="106" spans="2:15" ht="14.4" x14ac:dyDescent="0.3">
      <c r="C106" s="1" t="s">
        <v>538</v>
      </c>
      <c r="D106" s="1" t="s">
        <v>450</v>
      </c>
      <c r="E106" s="1">
        <v>1</v>
      </c>
      <c r="F106"/>
      <c r="G106"/>
      <c r="H106"/>
      <c r="I106"/>
      <c r="J106"/>
      <c r="K106"/>
      <c r="L106"/>
      <c r="M106"/>
      <c r="N106"/>
      <c r="O106"/>
    </row>
    <row r="107" spans="2:15" ht="14.4" x14ac:dyDescent="0.3">
      <c r="C107" s="1" t="s">
        <v>538</v>
      </c>
      <c r="D107" s="1" t="s">
        <v>340</v>
      </c>
      <c r="E107" s="1">
        <v>25</v>
      </c>
      <c r="F107"/>
      <c r="G107"/>
      <c r="H107"/>
      <c r="I107"/>
      <c r="J107"/>
      <c r="K107"/>
      <c r="L107"/>
      <c r="M107"/>
      <c r="N107"/>
      <c r="O107"/>
    </row>
    <row r="108" spans="2:15" ht="14.4" x14ac:dyDescent="0.3">
      <c r="C108" s="1" t="s">
        <v>538</v>
      </c>
      <c r="D108" s="1" t="s">
        <v>346</v>
      </c>
      <c r="E108" s="1">
        <v>1</v>
      </c>
      <c r="F108"/>
      <c r="G108"/>
      <c r="H108"/>
      <c r="I108"/>
      <c r="J108"/>
      <c r="K108"/>
      <c r="L108"/>
      <c r="M108"/>
      <c r="N108"/>
      <c r="O108"/>
    </row>
    <row r="109" spans="2:15" ht="14.4" x14ac:dyDescent="0.3">
      <c r="C109" s="1" t="s">
        <v>538</v>
      </c>
      <c r="D109" s="1" t="s">
        <v>349</v>
      </c>
      <c r="E109" s="1">
        <v>2</v>
      </c>
      <c r="F109"/>
      <c r="G109"/>
      <c r="H109"/>
      <c r="I109"/>
      <c r="J109"/>
      <c r="K109"/>
      <c r="L109"/>
      <c r="M109"/>
      <c r="N109"/>
      <c r="O109"/>
    </row>
    <row r="110" spans="2:15" ht="14.4" x14ac:dyDescent="0.3">
      <c r="C110" s="1" t="s">
        <v>538</v>
      </c>
      <c r="D110" s="1" t="s">
        <v>353</v>
      </c>
      <c r="E110" s="1">
        <v>1</v>
      </c>
      <c r="F110"/>
      <c r="G110"/>
      <c r="H110"/>
      <c r="I110"/>
      <c r="J110"/>
      <c r="K110"/>
      <c r="L110"/>
      <c r="M110"/>
      <c r="N110"/>
      <c r="O110"/>
    </row>
    <row r="111" spans="2:15" ht="14.4" x14ac:dyDescent="0.3">
      <c r="C111" s="1" t="s">
        <v>538</v>
      </c>
      <c r="D111" s="1" t="s">
        <v>358</v>
      </c>
      <c r="E111" s="1">
        <v>1</v>
      </c>
      <c r="F111"/>
      <c r="G111"/>
      <c r="H111"/>
      <c r="I111"/>
      <c r="J111"/>
      <c r="K111"/>
      <c r="L111"/>
      <c r="M111"/>
      <c r="N111"/>
      <c r="O111"/>
    </row>
    <row r="112" spans="2:15" ht="14.4" x14ac:dyDescent="0.3">
      <c r="C112" s="1" t="s">
        <v>538</v>
      </c>
      <c r="D112" s="1" t="s">
        <v>362</v>
      </c>
      <c r="E112" s="1">
        <v>1</v>
      </c>
      <c r="F112"/>
      <c r="G112"/>
      <c r="H112"/>
      <c r="I112"/>
      <c r="J112"/>
      <c r="K112"/>
      <c r="L112"/>
      <c r="M112"/>
      <c r="N112"/>
      <c r="O112"/>
    </row>
    <row r="113" spans="3:15" ht="14.4" x14ac:dyDescent="0.3">
      <c r="C113" s="1" t="s">
        <v>538</v>
      </c>
      <c r="D113" s="1" t="s">
        <v>366</v>
      </c>
      <c r="E113" s="1">
        <v>1</v>
      </c>
      <c r="F113"/>
      <c r="G113"/>
      <c r="H113"/>
      <c r="I113"/>
      <c r="J113"/>
      <c r="K113"/>
      <c r="L113"/>
      <c r="M113"/>
      <c r="N113"/>
      <c r="O113"/>
    </row>
    <row r="114" spans="3:15" ht="14.4" x14ac:dyDescent="0.3">
      <c r="C114" s="1" t="s">
        <v>538</v>
      </c>
      <c r="D114" s="1" t="s">
        <v>371</v>
      </c>
      <c r="E114" s="1">
        <v>1</v>
      </c>
      <c r="F114"/>
      <c r="G114"/>
      <c r="H114"/>
      <c r="I114"/>
      <c r="J114"/>
      <c r="K114"/>
      <c r="L114"/>
      <c r="M114"/>
      <c r="N114"/>
      <c r="O114"/>
    </row>
    <row r="115" spans="3:15" ht="14.4" x14ac:dyDescent="0.3">
      <c r="C115" s="1" t="s">
        <v>538</v>
      </c>
      <c r="D115" s="1" t="s">
        <v>376</v>
      </c>
      <c r="E115" s="1">
        <v>6</v>
      </c>
      <c r="F115"/>
      <c r="G115"/>
      <c r="H115"/>
      <c r="I115"/>
      <c r="J115"/>
      <c r="K115"/>
    </row>
    <row r="116" spans="3:15" ht="14.4" x14ac:dyDescent="0.3">
      <c r="C116" s="1" t="s">
        <v>538</v>
      </c>
      <c r="D116" s="1" t="s">
        <v>380</v>
      </c>
      <c r="E116" s="1">
        <v>1</v>
      </c>
      <c r="F116"/>
      <c r="G116"/>
      <c r="H116"/>
      <c r="I116"/>
      <c r="J116"/>
      <c r="K116"/>
    </row>
    <row r="117" spans="3:15" ht="14.4" x14ac:dyDescent="0.3">
      <c r="C117" s="1" t="s">
        <v>538</v>
      </c>
      <c r="D117" s="1" t="s">
        <v>388</v>
      </c>
      <c r="E117" s="1">
        <v>1</v>
      </c>
      <c r="F117"/>
      <c r="G117"/>
      <c r="H117"/>
      <c r="I117"/>
      <c r="J117"/>
      <c r="K117"/>
    </row>
    <row r="118" spans="3:15" ht="14.4" x14ac:dyDescent="0.3">
      <c r="C118" s="1" t="s">
        <v>538</v>
      </c>
      <c r="D118" s="1" t="s">
        <v>391</v>
      </c>
      <c r="E118" s="1">
        <v>8</v>
      </c>
      <c r="F118"/>
      <c r="G118"/>
      <c r="H118"/>
      <c r="I118"/>
      <c r="J118"/>
      <c r="K118"/>
    </row>
    <row r="119" spans="3:15" ht="14.4" x14ac:dyDescent="0.3">
      <c r="C119" s="1" t="s">
        <v>538</v>
      </c>
      <c r="D119" s="1" t="s">
        <v>395</v>
      </c>
      <c r="E119" s="1">
        <v>1</v>
      </c>
      <c r="F119"/>
      <c r="G119"/>
      <c r="H119"/>
      <c r="I119"/>
      <c r="J119"/>
      <c r="K119"/>
    </row>
    <row r="120" spans="3:15" ht="14.4" x14ac:dyDescent="0.3">
      <c r="C120" s="1" t="s">
        <v>538</v>
      </c>
      <c r="D120" s="1" t="s">
        <v>399</v>
      </c>
      <c r="E120" s="1">
        <v>1</v>
      </c>
      <c r="F120"/>
      <c r="G120"/>
      <c r="H120"/>
      <c r="I120"/>
      <c r="J120"/>
      <c r="K120"/>
    </row>
    <row r="121" spans="3:15" ht="14.4" x14ac:dyDescent="0.3">
      <c r="C121" s="1" t="s">
        <v>538</v>
      </c>
      <c r="D121" s="1" t="s">
        <v>404</v>
      </c>
      <c r="E121" s="1">
        <v>4</v>
      </c>
      <c r="F121"/>
      <c r="G121"/>
      <c r="H121"/>
      <c r="I121"/>
      <c r="J121"/>
      <c r="K121"/>
    </row>
    <row r="122" spans="3:15" ht="14.4" x14ac:dyDescent="0.3">
      <c r="C122" s="1" t="s">
        <v>538</v>
      </c>
      <c r="D122" s="1" t="s">
        <v>379</v>
      </c>
      <c r="E122" s="1">
        <v>1</v>
      </c>
      <c r="F122"/>
      <c r="G122"/>
      <c r="H122"/>
      <c r="I122"/>
      <c r="J122"/>
      <c r="K122"/>
    </row>
    <row r="123" spans="3:15" ht="14.4" x14ac:dyDescent="0.3">
      <c r="C123" s="1" t="s">
        <v>538</v>
      </c>
      <c r="D123" s="1" t="s">
        <v>431</v>
      </c>
      <c r="E123" s="1">
        <v>1</v>
      </c>
      <c r="F123"/>
      <c r="G123"/>
      <c r="H123"/>
      <c r="I123"/>
      <c r="J123"/>
      <c r="K123"/>
    </row>
    <row r="124" spans="3:15" ht="14.4" x14ac:dyDescent="0.3">
      <c r="C124" s="1" t="s">
        <v>538</v>
      </c>
      <c r="D124" s="1" t="s">
        <v>439</v>
      </c>
      <c r="E124" s="1">
        <v>1</v>
      </c>
      <c r="F124"/>
      <c r="G124"/>
      <c r="H124"/>
      <c r="I124"/>
      <c r="J124"/>
      <c r="K124"/>
    </row>
    <row r="125" spans="3:15" ht="14.4" x14ac:dyDescent="0.3">
      <c r="C125" s="1" t="s">
        <v>538</v>
      </c>
      <c r="D125" s="1" t="s">
        <v>441</v>
      </c>
      <c r="E125" s="1">
        <v>2</v>
      </c>
      <c r="F125"/>
      <c r="G125"/>
      <c r="H125"/>
      <c r="I125"/>
      <c r="J125"/>
      <c r="K125"/>
    </row>
    <row r="126" spans="3:15" ht="14.4" x14ac:dyDescent="0.3">
      <c r="C126" s="1" t="s">
        <v>538</v>
      </c>
      <c r="D126" s="1" t="s">
        <v>445</v>
      </c>
      <c r="E126" s="1">
        <v>13</v>
      </c>
      <c r="F126"/>
      <c r="G126"/>
      <c r="H126"/>
      <c r="I126"/>
      <c r="J126"/>
      <c r="K126"/>
    </row>
    <row r="127" spans="3:15" ht="14.4" x14ac:dyDescent="0.3">
      <c r="C127" s="1" t="s">
        <v>538</v>
      </c>
      <c r="D127" s="1" t="s">
        <v>447</v>
      </c>
      <c r="E127" s="1">
        <v>1</v>
      </c>
      <c r="F127"/>
      <c r="G127"/>
      <c r="H127"/>
      <c r="I127"/>
      <c r="J127"/>
    </row>
    <row r="128" spans="3:15" ht="14.4" x14ac:dyDescent="0.3">
      <c r="C128" s="1" t="s">
        <v>538</v>
      </c>
      <c r="D128" s="1" t="s">
        <v>455</v>
      </c>
      <c r="E128" s="1">
        <v>1</v>
      </c>
      <c r="F128"/>
      <c r="G128"/>
      <c r="H128"/>
      <c r="I128"/>
      <c r="J128"/>
    </row>
    <row r="129" spans="3:10" ht="14.4" x14ac:dyDescent="0.3">
      <c r="C129" s="1" t="s">
        <v>538</v>
      </c>
      <c r="D129" s="1" t="s">
        <v>468</v>
      </c>
      <c r="E129" s="1">
        <v>1</v>
      </c>
      <c r="F129"/>
      <c r="G129"/>
      <c r="H129"/>
      <c r="I129"/>
      <c r="J129"/>
    </row>
    <row r="130" spans="3:10" x14ac:dyDescent="0.25">
      <c r="C130" s="1" t="s">
        <v>538</v>
      </c>
      <c r="D130" s="1" t="s">
        <v>471</v>
      </c>
      <c r="E130" s="1">
        <v>1</v>
      </c>
    </row>
    <row r="131" spans="3:10" x14ac:dyDescent="0.25">
      <c r="C131" s="1" t="s">
        <v>538</v>
      </c>
      <c r="D131" s="1" t="s">
        <v>477</v>
      </c>
      <c r="E131" s="1">
        <v>1</v>
      </c>
    </row>
    <row r="132" spans="3:10" x14ac:dyDescent="0.25">
      <c r="C132" s="1" t="s">
        <v>538</v>
      </c>
      <c r="D132" s="1" t="s">
        <v>479</v>
      </c>
      <c r="E132" s="1">
        <v>1</v>
      </c>
    </row>
    <row r="133" spans="3:10" x14ac:dyDescent="0.25">
      <c r="C133" s="1" t="s">
        <v>538</v>
      </c>
      <c r="D133" s="1" t="s">
        <v>483</v>
      </c>
      <c r="E133" s="1">
        <v>2</v>
      </c>
    </row>
    <row r="134" spans="3:10" x14ac:dyDescent="0.25">
      <c r="C134" s="1" t="s">
        <v>538</v>
      </c>
      <c r="D134" s="1" t="s">
        <v>487</v>
      </c>
      <c r="E134" s="1">
        <v>1</v>
      </c>
    </row>
    <row r="135" spans="3:10" x14ac:dyDescent="0.25">
      <c r="C135" s="1" t="s">
        <v>538</v>
      </c>
      <c r="D135" s="1" t="s">
        <v>489</v>
      </c>
      <c r="E135" s="1">
        <v>1</v>
      </c>
    </row>
    <row r="136" spans="3:10" x14ac:dyDescent="0.25">
      <c r="C136" s="1" t="s">
        <v>538</v>
      </c>
      <c r="D136" s="1" t="s">
        <v>491</v>
      </c>
      <c r="E136" s="1">
        <v>1</v>
      </c>
    </row>
    <row r="137" spans="3:10" x14ac:dyDescent="0.25">
      <c r="C137" s="1" t="s">
        <v>538</v>
      </c>
      <c r="D137" s="1" t="s">
        <v>493</v>
      </c>
      <c r="E137" s="1">
        <v>1</v>
      </c>
    </row>
    <row r="138" spans="3:10" x14ac:dyDescent="0.25">
      <c r="C138" s="1" t="s">
        <v>538</v>
      </c>
      <c r="D138" s="1" t="s">
        <v>503</v>
      </c>
      <c r="E138" s="1">
        <v>1</v>
      </c>
    </row>
    <row r="139" spans="3:10" x14ac:dyDescent="0.25">
      <c r="C139" s="1" t="s">
        <v>538</v>
      </c>
      <c r="D139" s="1" t="s">
        <v>507</v>
      </c>
      <c r="E139" s="1">
        <v>1</v>
      </c>
    </row>
    <row r="140" spans="3:10" x14ac:dyDescent="0.25">
      <c r="C140" s="1" t="s">
        <v>538</v>
      </c>
      <c r="D140" s="1" t="s">
        <v>509</v>
      </c>
      <c r="E140" s="1">
        <v>1</v>
      </c>
    </row>
    <row r="141" spans="3:10" x14ac:dyDescent="0.25">
      <c r="C141" s="1" t="s">
        <v>538</v>
      </c>
      <c r="D141" s="1" t="s">
        <v>519</v>
      </c>
      <c r="E141" s="1">
        <v>1</v>
      </c>
    </row>
    <row r="142" spans="3:10" x14ac:dyDescent="0.25">
      <c r="C142" s="1" t="s">
        <v>538</v>
      </c>
      <c r="D142" s="1" t="s">
        <v>496</v>
      </c>
      <c r="E142" s="1">
        <v>1</v>
      </c>
    </row>
  </sheetData>
  <pageMargins left="0.7" right="0.7" top="0.75" bottom="0.75" header="0.3" footer="0.3"/>
  <pageSetup paperSize="9" scale="59" fitToHeight="0" orientation="portrait" r:id="rId3"/>
  <rowBreaks count="1" manualBreakCount="1">
    <brk id="97" max="19" man="1"/>
  </rowBreaks>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tabColor theme="1" tint="0.34998626667073579"/>
    <pageSetUpPr fitToPage="1"/>
  </sheetPr>
  <dimension ref="A2:Q47"/>
  <sheetViews>
    <sheetView showGridLines="0" zoomScale="80" zoomScaleNormal="80" workbookViewId="0">
      <selection activeCell="F55" sqref="F55"/>
    </sheetView>
  </sheetViews>
  <sheetFormatPr baseColWidth="10" defaultColWidth="11.44140625" defaultRowHeight="13.8" x14ac:dyDescent="0.25"/>
  <cols>
    <col min="1" max="1" width="8.6640625" style="1" customWidth="1"/>
    <col min="2" max="2" width="4.33203125" style="1" hidden="1" customWidth="1"/>
    <col min="3" max="3" width="3.88671875" style="1" hidden="1" customWidth="1"/>
    <col min="4" max="4" width="5.109375" style="1" customWidth="1"/>
    <col min="5" max="5" width="99.44140625" style="1" bestFit="1" customWidth="1"/>
    <col min="6" max="6" width="11.88671875" style="1" bestFit="1" customWidth="1"/>
    <col min="7" max="7" width="13.109375" style="1" bestFit="1" customWidth="1"/>
    <col min="8" max="8" width="5.109375" style="1" customWidth="1"/>
    <col min="9" max="9" width="4" style="1" customWidth="1"/>
    <col min="10" max="10" width="7.88671875" style="1" hidden="1" customWidth="1"/>
    <col min="11" max="11" width="15" style="1" hidden="1" customWidth="1"/>
    <col min="12" max="12" width="0" style="1" hidden="1" customWidth="1"/>
    <col min="13" max="13" width="12.44140625" style="1" hidden="1" customWidth="1"/>
    <col min="14" max="14" width="13.109375" style="1" hidden="1" customWidth="1"/>
    <col min="15" max="15" width="0" style="1" hidden="1" customWidth="1"/>
    <col min="16" max="16" width="11.44140625" style="1"/>
    <col min="17" max="17" width="50.109375" style="1" bestFit="1" customWidth="1"/>
    <col min="18" max="16384" width="11.44140625" style="1"/>
  </cols>
  <sheetData>
    <row r="2" spans="1:17" x14ac:dyDescent="0.25">
      <c r="D2" s="111" t="s">
        <v>539</v>
      </c>
      <c r="E2" s="112"/>
      <c r="F2" s="112"/>
      <c r="G2" s="112"/>
      <c r="J2" s="312" t="s">
        <v>540</v>
      </c>
      <c r="K2" s="313"/>
      <c r="M2" s="312" t="s">
        <v>541</v>
      </c>
      <c r="N2" s="313"/>
      <c r="P2" s="314" t="s">
        <v>542</v>
      </c>
      <c r="Q2" s="314"/>
    </row>
    <row r="3" spans="1:17" x14ac:dyDescent="0.25">
      <c r="P3" s="113"/>
      <c r="Q3" s="113"/>
    </row>
    <row r="4" spans="1:17" s="66" customFormat="1" ht="22.8" x14ac:dyDescent="0.25">
      <c r="A4" s="1"/>
      <c r="B4" s="1"/>
      <c r="D4" s="114" t="s">
        <v>171</v>
      </c>
      <c r="E4" s="115" t="s">
        <v>12</v>
      </c>
      <c r="F4" s="115" t="s">
        <v>332</v>
      </c>
      <c r="G4" s="115" t="s">
        <v>333</v>
      </c>
      <c r="J4" s="116" t="s">
        <v>543</v>
      </c>
      <c r="K4" s="117" t="s">
        <v>544</v>
      </c>
      <c r="M4" s="118" t="s">
        <v>543</v>
      </c>
      <c r="N4" s="119" t="s">
        <v>544</v>
      </c>
      <c r="P4" s="120" t="s">
        <v>171</v>
      </c>
      <c r="Q4" s="121" t="s">
        <v>12</v>
      </c>
    </row>
    <row r="5" spans="1:17" x14ac:dyDescent="0.25">
      <c r="D5" s="122">
        <v>100</v>
      </c>
      <c r="E5" s="123" t="s">
        <v>545</v>
      </c>
      <c r="F5" s="123" t="s">
        <v>546</v>
      </c>
      <c r="G5" s="123" t="s">
        <v>547</v>
      </c>
      <c r="J5" s="124">
        <v>0</v>
      </c>
      <c r="K5" s="125" t="s">
        <v>548</v>
      </c>
      <c r="M5" s="124">
        <v>0</v>
      </c>
      <c r="N5" s="125" t="s">
        <v>549</v>
      </c>
      <c r="P5" s="125"/>
      <c r="Q5" s="125" t="s">
        <v>550</v>
      </c>
    </row>
    <row r="6" spans="1:17" x14ac:dyDescent="0.25">
      <c r="D6" s="122">
        <v>109</v>
      </c>
      <c r="E6" s="123" t="s">
        <v>551</v>
      </c>
      <c r="F6" s="123" t="s">
        <v>546</v>
      </c>
      <c r="G6" s="123" t="s">
        <v>547</v>
      </c>
      <c r="J6" s="124">
        <v>1</v>
      </c>
      <c r="K6" s="125" t="s">
        <v>552</v>
      </c>
      <c r="M6" s="124">
        <v>20</v>
      </c>
      <c r="N6" s="125" t="s">
        <v>553</v>
      </c>
      <c r="P6" s="125" t="s">
        <v>554</v>
      </c>
      <c r="Q6" s="125" t="s">
        <v>555</v>
      </c>
    </row>
    <row r="7" spans="1:17" x14ac:dyDescent="0.25">
      <c r="D7" s="122">
        <v>130</v>
      </c>
      <c r="E7" s="123" t="s">
        <v>556</v>
      </c>
      <c r="F7" s="123" t="s">
        <v>546</v>
      </c>
      <c r="G7" s="123" t="s">
        <v>547</v>
      </c>
      <c r="J7" s="124">
        <v>3</v>
      </c>
      <c r="K7" s="125" t="s">
        <v>557</v>
      </c>
      <c r="M7" s="124">
        <v>25</v>
      </c>
      <c r="N7" s="125" t="s">
        <v>558</v>
      </c>
      <c r="P7" s="125" t="s">
        <v>559</v>
      </c>
      <c r="Q7" s="125" t="s">
        <v>560</v>
      </c>
    </row>
    <row r="8" spans="1:17" x14ac:dyDescent="0.25">
      <c r="D8" s="122">
        <v>139</v>
      </c>
      <c r="E8" s="123" t="s">
        <v>561</v>
      </c>
      <c r="F8" s="123" t="s">
        <v>546</v>
      </c>
      <c r="G8" s="123" t="s">
        <v>547</v>
      </c>
      <c r="J8" s="124">
        <v>5</v>
      </c>
      <c r="K8" s="125" t="s">
        <v>562</v>
      </c>
      <c r="M8" s="124">
        <v>30</v>
      </c>
      <c r="N8" s="125" t="s">
        <v>563</v>
      </c>
      <c r="P8" s="125" t="s">
        <v>564</v>
      </c>
      <c r="Q8" s="125" t="s">
        <v>565</v>
      </c>
    </row>
    <row r="9" spans="1:17" x14ac:dyDescent="0.25">
      <c r="D9" s="122">
        <v>150</v>
      </c>
      <c r="E9" s="123" t="s">
        <v>566</v>
      </c>
      <c r="F9" s="123" t="s">
        <v>546</v>
      </c>
      <c r="G9" s="123" t="s">
        <v>547</v>
      </c>
      <c r="J9" s="124">
        <v>10</v>
      </c>
      <c r="K9" s="125" t="s">
        <v>567</v>
      </c>
      <c r="M9" s="124">
        <v>35</v>
      </c>
      <c r="N9" s="125" t="s">
        <v>568</v>
      </c>
      <c r="P9" s="125" t="s">
        <v>569</v>
      </c>
      <c r="Q9" s="125" t="s">
        <v>570</v>
      </c>
    </row>
    <row r="10" spans="1:17" x14ac:dyDescent="0.25">
      <c r="D10" s="122">
        <v>189</v>
      </c>
      <c r="E10" s="123" t="s">
        <v>571</v>
      </c>
      <c r="F10" s="123" t="s">
        <v>546</v>
      </c>
      <c r="G10" s="123" t="s">
        <v>547</v>
      </c>
      <c r="J10" s="124">
        <v>15</v>
      </c>
      <c r="K10" s="125" t="s">
        <v>572</v>
      </c>
      <c r="M10" s="124">
        <v>40</v>
      </c>
      <c r="N10" s="125" t="s">
        <v>573</v>
      </c>
    </row>
    <row r="11" spans="1:17" x14ac:dyDescent="0.25">
      <c r="D11" s="122">
        <v>200</v>
      </c>
      <c r="E11" s="123" t="s">
        <v>574</v>
      </c>
      <c r="F11" s="123" t="s">
        <v>575</v>
      </c>
      <c r="G11" s="123" t="s">
        <v>547</v>
      </c>
      <c r="M11" s="124">
        <v>45</v>
      </c>
      <c r="N11" s="125" t="s">
        <v>576</v>
      </c>
    </row>
    <row r="12" spans="1:17" x14ac:dyDescent="0.25">
      <c r="D12" s="122">
        <v>209</v>
      </c>
      <c r="E12" s="123" t="s">
        <v>577</v>
      </c>
      <c r="F12" s="123" t="s">
        <v>575</v>
      </c>
      <c r="G12" s="123" t="s">
        <v>547</v>
      </c>
      <c r="M12" s="124">
        <v>50</v>
      </c>
      <c r="N12" s="125" t="s">
        <v>578</v>
      </c>
    </row>
    <row r="13" spans="1:17" x14ac:dyDescent="0.25">
      <c r="D13" s="122">
        <v>230</v>
      </c>
      <c r="E13" s="123" t="s">
        <v>579</v>
      </c>
      <c r="F13" s="123" t="s">
        <v>575</v>
      </c>
      <c r="G13" s="123" t="s">
        <v>547</v>
      </c>
      <c r="M13" s="124">
        <v>55</v>
      </c>
      <c r="N13" s="125" t="s">
        <v>580</v>
      </c>
    </row>
    <row r="14" spans="1:17" x14ac:dyDescent="0.25">
      <c r="D14" s="122">
        <v>239</v>
      </c>
      <c r="E14" s="123" t="s">
        <v>581</v>
      </c>
      <c r="F14" s="123" t="s">
        <v>575</v>
      </c>
      <c r="G14" s="123" t="s">
        <v>547</v>
      </c>
      <c r="M14" s="124">
        <v>60</v>
      </c>
      <c r="N14" s="125" t="s">
        <v>582</v>
      </c>
    </row>
    <row r="15" spans="1:17" x14ac:dyDescent="0.25">
      <c r="D15" s="122">
        <v>250</v>
      </c>
      <c r="E15" s="123" t="s">
        <v>583</v>
      </c>
      <c r="F15" s="123" t="s">
        <v>575</v>
      </c>
      <c r="G15" s="123" t="s">
        <v>547</v>
      </c>
    </row>
    <row r="16" spans="1:17" x14ac:dyDescent="0.25">
      <c r="D16" s="122">
        <v>289</v>
      </c>
      <c r="E16" s="123" t="s">
        <v>584</v>
      </c>
      <c r="F16" s="123" t="s">
        <v>575</v>
      </c>
      <c r="G16" s="123" t="s">
        <v>547</v>
      </c>
    </row>
    <row r="17" spans="1:7" x14ac:dyDescent="0.25">
      <c r="D17" s="122">
        <v>300</v>
      </c>
      <c r="E17" s="123" t="s">
        <v>585</v>
      </c>
      <c r="F17" s="123" t="s">
        <v>586</v>
      </c>
      <c r="G17" s="123" t="s">
        <v>587</v>
      </c>
    </row>
    <row r="18" spans="1:7" x14ac:dyDescent="0.25">
      <c r="D18" s="122">
        <v>309</v>
      </c>
      <c r="E18" s="123" t="s">
        <v>588</v>
      </c>
      <c r="F18" s="123" t="s">
        <v>586</v>
      </c>
      <c r="G18" s="123" t="s">
        <v>587</v>
      </c>
    </row>
    <row r="19" spans="1:7" x14ac:dyDescent="0.25">
      <c r="D19" s="122">
        <v>330</v>
      </c>
      <c r="E19" s="123" t="s">
        <v>589</v>
      </c>
      <c r="F19" s="123" t="s">
        <v>586</v>
      </c>
      <c r="G19" s="123" t="s">
        <v>587</v>
      </c>
    </row>
    <row r="20" spans="1:7" x14ac:dyDescent="0.25">
      <c r="D20" s="122">
        <v>339</v>
      </c>
      <c r="E20" s="123" t="s">
        <v>590</v>
      </c>
      <c r="F20" s="123" t="s">
        <v>586</v>
      </c>
      <c r="G20" s="123" t="s">
        <v>587</v>
      </c>
    </row>
    <row r="21" spans="1:7" x14ac:dyDescent="0.25">
      <c r="D21" s="122">
        <v>350</v>
      </c>
      <c r="E21" s="123" t="s">
        <v>591</v>
      </c>
      <c r="F21" s="123" t="s">
        <v>586</v>
      </c>
      <c r="G21" s="123" t="s">
        <v>587</v>
      </c>
    </row>
    <row r="22" spans="1:7" x14ac:dyDescent="0.25">
      <c r="D22" s="122">
        <v>389</v>
      </c>
      <c r="E22" s="123" t="s">
        <v>592</v>
      </c>
      <c r="F22" s="123" t="s">
        <v>586</v>
      </c>
      <c r="G22" s="123" t="s">
        <v>587</v>
      </c>
    </row>
    <row r="23" spans="1:7" x14ac:dyDescent="0.25">
      <c r="D23" s="122">
        <v>401</v>
      </c>
      <c r="E23" s="123" t="s">
        <v>593</v>
      </c>
      <c r="F23" s="123" t="s">
        <v>546</v>
      </c>
      <c r="G23" s="123" t="s">
        <v>594</v>
      </c>
    </row>
    <row r="24" spans="1:7" x14ac:dyDescent="0.25">
      <c r="D24" s="122">
        <v>402</v>
      </c>
      <c r="E24" s="123" t="s">
        <v>595</v>
      </c>
      <c r="F24" s="123" t="s">
        <v>546</v>
      </c>
      <c r="G24" s="123" t="s">
        <v>594</v>
      </c>
    </row>
    <row r="25" spans="1:7" x14ac:dyDescent="0.25">
      <c r="D25" s="122">
        <v>403</v>
      </c>
      <c r="E25" s="123" t="s">
        <v>596</v>
      </c>
      <c r="F25" s="123" t="s">
        <v>546</v>
      </c>
      <c r="G25" s="123" t="s">
        <v>594</v>
      </c>
    </row>
    <row r="26" spans="1:7" x14ac:dyDescent="0.25">
      <c r="A26" s="66"/>
      <c r="B26" s="66"/>
      <c r="D26" s="122">
        <v>408</v>
      </c>
      <c r="E26" s="123" t="s">
        <v>597</v>
      </c>
      <c r="F26" s="123" t="s">
        <v>546</v>
      </c>
      <c r="G26" s="123" t="s">
        <v>594</v>
      </c>
    </row>
    <row r="27" spans="1:7" x14ac:dyDescent="0.25">
      <c r="D27" s="122">
        <v>410</v>
      </c>
      <c r="E27" s="123" t="s">
        <v>598</v>
      </c>
      <c r="F27" s="123" t="s">
        <v>546</v>
      </c>
      <c r="G27" s="123" t="s">
        <v>594</v>
      </c>
    </row>
    <row r="28" spans="1:7" x14ac:dyDescent="0.25">
      <c r="D28" s="122">
        <v>418</v>
      </c>
      <c r="E28" s="123" t="s">
        <v>599</v>
      </c>
      <c r="F28" s="123" t="s">
        <v>546</v>
      </c>
      <c r="G28" s="123" t="s">
        <v>594</v>
      </c>
    </row>
    <row r="29" spans="1:7" x14ac:dyDescent="0.25">
      <c r="D29" s="122">
        <v>420</v>
      </c>
      <c r="E29" s="123" t="s">
        <v>600</v>
      </c>
      <c r="F29" s="123" t="s">
        <v>546</v>
      </c>
      <c r="G29" s="123" t="s">
        <v>594</v>
      </c>
    </row>
    <row r="30" spans="1:7" x14ac:dyDescent="0.25">
      <c r="D30" s="122">
        <v>421</v>
      </c>
      <c r="E30" s="123" t="s">
        <v>601</v>
      </c>
      <c r="F30" s="123" t="s">
        <v>546</v>
      </c>
      <c r="G30" s="123" t="s">
        <v>594</v>
      </c>
    </row>
    <row r="31" spans="1:7" x14ac:dyDescent="0.25">
      <c r="D31" s="122">
        <v>430</v>
      </c>
      <c r="E31" s="123" t="s">
        <v>602</v>
      </c>
      <c r="F31" s="123" t="s">
        <v>546</v>
      </c>
      <c r="G31" s="123" t="s">
        <v>594</v>
      </c>
    </row>
    <row r="32" spans="1:7" x14ac:dyDescent="0.25">
      <c r="D32" s="122">
        <v>441</v>
      </c>
      <c r="E32" s="123" t="s">
        <v>603</v>
      </c>
      <c r="F32" s="123" t="s">
        <v>546</v>
      </c>
      <c r="G32" s="123" t="s">
        <v>594</v>
      </c>
    </row>
    <row r="33" spans="4:7" x14ac:dyDescent="0.25">
      <c r="D33" s="122">
        <v>450</v>
      </c>
      <c r="E33" s="123" t="s">
        <v>604</v>
      </c>
      <c r="F33" s="123" t="s">
        <v>546</v>
      </c>
      <c r="G33" s="123" t="s">
        <v>594</v>
      </c>
    </row>
    <row r="34" spans="4:7" x14ac:dyDescent="0.25">
      <c r="D34" s="122">
        <v>452</v>
      </c>
      <c r="E34" s="123" t="s">
        <v>605</v>
      </c>
      <c r="F34" s="123" t="s">
        <v>546</v>
      </c>
      <c r="G34" s="123" t="s">
        <v>594</v>
      </c>
    </row>
    <row r="35" spans="4:7" x14ac:dyDescent="0.25">
      <c r="D35" s="122">
        <v>501</v>
      </c>
      <c r="E35" s="123" t="s">
        <v>606</v>
      </c>
      <c r="F35" s="123" t="s">
        <v>575</v>
      </c>
      <c r="G35" s="123" t="s">
        <v>594</v>
      </c>
    </row>
    <row r="36" spans="4:7" x14ac:dyDescent="0.25">
      <c r="D36" s="122">
        <v>502</v>
      </c>
      <c r="E36" s="123" t="s">
        <v>607</v>
      </c>
      <c r="F36" s="123" t="s">
        <v>575</v>
      </c>
      <c r="G36" s="123" t="s">
        <v>594</v>
      </c>
    </row>
    <row r="37" spans="4:7" x14ac:dyDescent="0.25">
      <c r="D37" s="122">
        <v>503</v>
      </c>
      <c r="E37" s="123" t="s">
        <v>608</v>
      </c>
      <c r="F37" s="123" t="s">
        <v>575</v>
      </c>
      <c r="G37" s="123" t="s">
        <v>594</v>
      </c>
    </row>
    <row r="38" spans="4:7" x14ac:dyDescent="0.25">
      <c r="D38" s="122">
        <v>508</v>
      </c>
      <c r="E38" s="123" t="s">
        <v>609</v>
      </c>
      <c r="F38" s="123" t="s">
        <v>575</v>
      </c>
      <c r="G38" s="123" t="s">
        <v>594</v>
      </c>
    </row>
    <row r="39" spans="4:7" x14ac:dyDescent="0.25">
      <c r="D39" s="122">
        <v>510</v>
      </c>
      <c r="E39" s="123" t="s">
        <v>610</v>
      </c>
      <c r="F39" s="123" t="s">
        <v>575</v>
      </c>
      <c r="G39" s="123" t="s">
        <v>594</v>
      </c>
    </row>
    <row r="40" spans="4:7" x14ac:dyDescent="0.25">
      <c r="D40" s="122">
        <v>518</v>
      </c>
      <c r="E40" s="123" t="s">
        <v>611</v>
      </c>
      <c r="F40" s="123" t="s">
        <v>575</v>
      </c>
      <c r="G40" s="123" t="s">
        <v>594</v>
      </c>
    </row>
    <row r="41" spans="4:7" x14ac:dyDescent="0.25">
      <c r="D41" s="122">
        <v>520</v>
      </c>
      <c r="E41" s="123" t="s">
        <v>612</v>
      </c>
      <c r="F41" s="123" t="s">
        <v>575</v>
      </c>
      <c r="G41" s="123" t="s">
        <v>594</v>
      </c>
    </row>
    <row r="42" spans="4:7" x14ac:dyDescent="0.25">
      <c r="D42" s="122">
        <v>530</v>
      </c>
      <c r="E42" s="123" t="s">
        <v>613</v>
      </c>
      <c r="F42" s="123" t="s">
        <v>575</v>
      </c>
      <c r="G42" s="123" t="s">
        <v>594</v>
      </c>
    </row>
    <row r="43" spans="4:7" x14ac:dyDescent="0.25">
      <c r="D43" s="122">
        <v>540</v>
      </c>
      <c r="E43" s="123" t="s">
        <v>614</v>
      </c>
      <c r="F43" s="123" t="s">
        <v>575</v>
      </c>
      <c r="G43" s="123" t="s">
        <v>594</v>
      </c>
    </row>
    <row r="44" spans="4:7" x14ac:dyDescent="0.25">
      <c r="D44" s="122">
        <v>541</v>
      </c>
      <c r="E44" s="123" t="s">
        <v>615</v>
      </c>
      <c r="F44" s="123" t="s">
        <v>575</v>
      </c>
      <c r="G44" s="123" t="s">
        <v>594</v>
      </c>
    </row>
    <row r="45" spans="4:7" x14ac:dyDescent="0.25">
      <c r="D45" s="122">
        <v>550</v>
      </c>
      <c r="E45" s="123" t="s">
        <v>616</v>
      </c>
      <c r="F45" s="123" t="s">
        <v>575</v>
      </c>
      <c r="G45" s="123" t="s">
        <v>594</v>
      </c>
    </row>
    <row r="46" spans="4:7" x14ac:dyDescent="0.25">
      <c r="D46" s="122">
        <v>552</v>
      </c>
      <c r="E46" s="123" t="s">
        <v>617</v>
      </c>
      <c r="F46" s="123" t="s">
        <v>575</v>
      </c>
      <c r="G46" s="123" t="s">
        <v>594</v>
      </c>
    </row>
    <row r="47" spans="4:7" x14ac:dyDescent="0.25">
      <c r="D47" s="122" t="s">
        <v>618</v>
      </c>
      <c r="E47" s="123" t="s">
        <v>619</v>
      </c>
      <c r="F47" s="123"/>
      <c r="G47" s="123"/>
    </row>
  </sheetData>
  <mergeCells count="3">
    <mergeCell ref="J2:K2"/>
    <mergeCell ref="M2:N2"/>
    <mergeCell ref="P2:Q2"/>
  </mergeCells>
  <dataValidations count="1">
    <dataValidation allowBlank="1" sqref="D2" xr:uid="{00000000-0002-0000-0500-000000000000}"/>
  </dataValidations>
  <printOptions verticalCentered="1"/>
  <pageMargins left="0.23622047244094491" right="0.23622047244094491" top="0.74803149606299213" bottom="0.74803149606299213" header="0.31496062992125984" footer="0.31496062992125984"/>
  <pageSetup paperSize="9" scale="70" fitToWidth="0" orientation="landscape" r:id="rId1"/>
  <drawing r:id="rId2"/>
  <tableParts count="4">
    <tablePart r:id="rId3"/>
    <tablePart r:id="rId4"/>
    <tablePart r:id="rId5"/>
    <tablePart r:id="rId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tabColor theme="5" tint="0.39997558519241921"/>
    <pageSetUpPr fitToPage="1"/>
  </sheetPr>
  <dimension ref="A1:AR104"/>
  <sheetViews>
    <sheetView showGridLines="0" zoomScale="70" zoomScaleNormal="70" workbookViewId="0">
      <selection activeCell="H39" sqref="H39"/>
    </sheetView>
  </sheetViews>
  <sheetFormatPr baseColWidth="10" defaultColWidth="7.33203125" defaultRowHeight="13.8" outlineLevelCol="1" x14ac:dyDescent="0.25"/>
  <cols>
    <col min="1" max="1" width="8.88671875" style="132" customWidth="1"/>
    <col min="2" max="2" width="10.44140625" style="132" bestFit="1" customWidth="1"/>
    <col min="3" max="3" width="7.33203125" style="132" customWidth="1"/>
    <col min="4" max="4" width="8.44140625" style="132" customWidth="1"/>
    <col min="5" max="5" width="10.44140625" style="132" customWidth="1"/>
    <col min="6" max="15" width="8.88671875" style="132" customWidth="1"/>
    <col min="16" max="22" width="8.88671875" style="132" customWidth="1" outlineLevel="1"/>
    <col min="23" max="23" width="10.88671875" style="132" customWidth="1" outlineLevel="1"/>
    <col min="24" max="24" width="8.88671875" style="132" customWidth="1" outlineLevel="1"/>
    <col min="25" max="27" width="7.33203125" style="132" customWidth="1" outlineLevel="1"/>
    <col min="28" max="35" width="7.33203125" style="132" hidden="1" customWidth="1" outlineLevel="1"/>
    <col min="36" max="36" width="11.33203125" style="132" customWidth="1"/>
    <col min="37" max="37" width="9.88671875" style="132" customWidth="1"/>
    <col min="38" max="39" width="8.6640625" style="132" customWidth="1"/>
    <col min="40" max="42" width="8.6640625" style="132" hidden="1" customWidth="1"/>
    <col min="43" max="43" width="13.109375" style="132" customWidth="1"/>
    <col min="44" max="44" width="9.88671875" style="132" customWidth="1"/>
    <col min="45" max="16384" width="7.33203125" style="132"/>
  </cols>
  <sheetData>
    <row r="1" spans="1:44" ht="60.9" customHeight="1" x14ac:dyDescent="0.25">
      <c r="E1" s="253" t="s">
        <v>620</v>
      </c>
    </row>
    <row r="2" spans="1:44" ht="14.1" hidden="1" customHeight="1" x14ac:dyDescent="0.25">
      <c r="B2" s="133"/>
      <c r="C2" s="133"/>
      <c r="D2" s="133"/>
      <c r="E2" s="133"/>
      <c r="F2" s="133"/>
      <c r="G2" s="133" t="str">
        <f>+IF(G8="[ocultar]",G8,"")</f>
        <v/>
      </c>
      <c r="H2" s="133" t="str">
        <f t="shared" ref="H2:AP2" si="0">+IF(H8="[ocultar]",H8,"")</f>
        <v/>
      </c>
      <c r="I2" s="133" t="str">
        <f t="shared" si="0"/>
        <v/>
      </c>
      <c r="J2" s="133" t="str">
        <f t="shared" si="0"/>
        <v/>
      </c>
      <c r="K2" s="133" t="str">
        <f t="shared" si="0"/>
        <v/>
      </c>
      <c r="L2" s="133" t="str">
        <f t="shared" si="0"/>
        <v/>
      </c>
      <c r="M2" s="133" t="str">
        <f t="shared" si="0"/>
        <v/>
      </c>
      <c r="N2" s="133" t="str">
        <f t="shared" si="0"/>
        <v/>
      </c>
      <c r="O2" s="133" t="str">
        <f t="shared" si="0"/>
        <v/>
      </c>
      <c r="P2" s="133" t="str">
        <f t="shared" si="0"/>
        <v/>
      </c>
      <c r="Q2" s="133" t="str">
        <f t="shared" si="0"/>
        <v/>
      </c>
      <c r="R2" s="133" t="str">
        <f t="shared" si="0"/>
        <v/>
      </c>
      <c r="S2" s="133" t="str">
        <f t="shared" si="0"/>
        <v/>
      </c>
      <c r="T2" s="133" t="str">
        <f t="shared" si="0"/>
        <v/>
      </c>
      <c r="U2" s="133" t="str">
        <f t="shared" si="0"/>
        <v/>
      </c>
      <c r="V2" s="133" t="str">
        <f t="shared" si="0"/>
        <v/>
      </c>
      <c r="W2" s="133" t="str">
        <f t="shared" si="0"/>
        <v/>
      </c>
      <c r="X2" s="133" t="str">
        <f t="shared" si="0"/>
        <v/>
      </c>
      <c r="Y2" s="133" t="str">
        <f t="shared" si="0"/>
        <v/>
      </c>
      <c r="Z2" s="133" t="str">
        <f t="shared" si="0"/>
        <v/>
      </c>
      <c r="AA2" s="133" t="str">
        <f t="shared" si="0"/>
        <v>[ocultar]</v>
      </c>
      <c r="AB2" s="133" t="str">
        <f t="shared" si="0"/>
        <v>[ocultar]</v>
      </c>
      <c r="AC2" s="133" t="str">
        <f t="shared" si="0"/>
        <v>[ocultar]</v>
      </c>
      <c r="AD2" s="133" t="str">
        <f t="shared" si="0"/>
        <v>[ocultar]</v>
      </c>
      <c r="AE2" s="133" t="str">
        <f t="shared" si="0"/>
        <v>[ocultar]</v>
      </c>
      <c r="AF2" s="133" t="str">
        <f t="shared" si="0"/>
        <v>[ocultar]</v>
      </c>
      <c r="AG2" s="133" t="str">
        <f t="shared" si="0"/>
        <v>[ocultar]</v>
      </c>
      <c r="AH2" s="133" t="str">
        <f t="shared" si="0"/>
        <v>[ocultar]</v>
      </c>
      <c r="AI2" s="133" t="str">
        <f t="shared" si="0"/>
        <v>[ocultar]</v>
      </c>
      <c r="AJ2" s="133" t="str">
        <f t="shared" si="0"/>
        <v/>
      </c>
      <c r="AK2" s="133" t="str">
        <f t="shared" si="0"/>
        <v/>
      </c>
      <c r="AL2" s="133" t="str">
        <f t="shared" si="0"/>
        <v>[ocultar]</v>
      </c>
      <c r="AM2" s="133" t="str">
        <f t="shared" si="0"/>
        <v>[ocultar]</v>
      </c>
      <c r="AN2" s="133" t="str">
        <f t="shared" si="0"/>
        <v>[ocultar]</v>
      </c>
      <c r="AO2" s="133" t="str">
        <f t="shared" si="0"/>
        <v>[ocultar]</v>
      </c>
      <c r="AP2" s="133" t="str">
        <f t="shared" si="0"/>
        <v>[ocultar]</v>
      </c>
      <c r="AQ2" s="133"/>
      <c r="AR2" s="133"/>
    </row>
    <row r="3" spans="1:44" ht="14.1" customHeight="1" x14ac:dyDescent="0.25">
      <c r="B3" s="133"/>
      <c r="C3" s="133"/>
      <c r="D3" s="133"/>
      <c r="E3" s="134" t="str">
        <f>+"Razón Social: "&amp;Inicio!C6&amp;"  -  NIF: "&amp;Inicio!C8</f>
        <v>Razón Social: TANATORIOS DE CORDOBA, SA/Convenio Colectivo de Sector de POMPAS FUNEBRES (14000425011981) de Córdoba  -  NIF: A14087548</v>
      </c>
      <c r="F3" s="135"/>
      <c r="G3" s="133"/>
      <c r="H3" s="133"/>
      <c r="I3" s="133"/>
      <c r="J3" s="133"/>
      <c r="K3" s="133"/>
      <c r="L3" s="133"/>
      <c r="M3" s="133"/>
      <c r="N3" s="133"/>
      <c r="O3" s="133"/>
      <c r="P3" s="133"/>
      <c r="Q3" s="133"/>
      <c r="R3" s="133"/>
      <c r="S3" s="133"/>
      <c r="T3" s="133"/>
      <c r="U3" s="133"/>
      <c r="V3" s="133"/>
      <c r="W3" s="133"/>
      <c r="X3" s="133"/>
      <c r="Y3" s="133"/>
      <c r="Z3" s="133"/>
      <c r="AA3" s="133"/>
      <c r="AB3" s="133"/>
      <c r="AC3" s="133"/>
      <c r="AD3" s="133"/>
      <c r="AE3" s="133"/>
      <c r="AF3" s="133"/>
      <c r="AG3" s="133"/>
      <c r="AH3" s="133"/>
      <c r="AI3" s="133"/>
      <c r="AJ3" s="133"/>
      <c r="AK3" s="133"/>
      <c r="AL3" s="133"/>
      <c r="AM3" s="133"/>
      <c r="AN3" s="133"/>
      <c r="AO3" s="133"/>
      <c r="AP3" s="133"/>
      <c r="AQ3" s="133"/>
      <c r="AR3" s="133"/>
    </row>
    <row r="4" spans="1:44" ht="14.1" customHeight="1" x14ac:dyDescent="0.25">
      <c r="B4" s="133"/>
      <c r="C4" s="133"/>
      <c r="D4" s="133"/>
      <c r="E4" s="136" t="s">
        <v>4</v>
      </c>
      <c r="F4" s="137"/>
      <c r="G4" s="4"/>
      <c r="H4" s="4"/>
      <c r="I4" s="4"/>
      <c r="J4" s="4"/>
      <c r="K4" s="4"/>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row>
    <row r="5" spans="1:44" ht="14.1" customHeight="1" x14ac:dyDescent="0.25">
      <c r="B5" s="133"/>
      <c r="C5" s="133"/>
      <c r="D5" s="133"/>
      <c r="E5" s="138">
        <f>+Inicio!E10</f>
        <v>45292</v>
      </c>
      <c r="F5" s="139" t="str">
        <f>+Inicio!D10</f>
        <v>fecha inicio</v>
      </c>
      <c r="G5" s="133"/>
      <c r="H5" s="133"/>
      <c r="I5" s="133"/>
      <c r="J5" s="133"/>
      <c r="K5" s="133"/>
      <c r="L5" s="133"/>
      <c r="M5" s="133"/>
      <c r="N5" s="133"/>
      <c r="O5" s="133"/>
      <c r="P5" s="133"/>
      <c r="Q5" s="133"/>
      <c r="R5" s="133"/>
      <c r="S5" s="133"/>
      <c r="T5" s="133"/>
      <c r="U5" s="133"/>
      <c r="V5" s="133"/>
      <c r="W5" s="133"/>
      <c r="X5" s="133"/>
      <c r="Y5" s="133"/>
      <c r="Z5" s="133"/>
      <c r="AA5" s="133"/>
      <c r="AB5" s="133"/>
      <c r="AC5" s="133"/>
      <c r="AD5" s="133"/>
      <c r="AE5" s="133"/>
      <c r="AF5" s="133"/>
      <c r="AG5" s="133"/>
      <c r="AH5" s="133"/>
      <c r="AI5" s="133"/>
      <c r="AJ5" s="133"/>
      <c r="AK5" s="133"/>
      <c r="AL5" s="133"/>
      <c r="AM5" s="133"/>
      <c r="AN5" s="133"/>
      <c r="AO5" s="133"/>
      <c r="AP5" s="133"/>
      <c r="AQ5" s="133"/>
      <c r="AR5" s="133"/>
    </row>
    <row r="6" spans="1:44" ht="14.1" customHeight="1" x14ac:dyDescent="0.25">
      <c r="B6" s="133"/>
      <c r="C6" s="133"/>
      <c r="D6" s="133"/>
      <c r="E6" s="138">
        <f>+Inicio!G10</f>
        <v>45657</v>
      </c>
      <c r="F6" s="140" t="s">
        <v>6</v>
      </c>
      <c r="G6" s="141"/>
      <c r="H6" s="141"/>
      <c r="I6" s="133"/>
      <c r="J6" s="133"/>
      <c r="K6" s="141"/>
      <c r="L6" s="133"/>
      <c r="M6" s="133"/>
      <c r="N6" s="133"/>
      <c r="O6" s="133"/>
      <c r="P6" s="133"/>
      <c r="Q6" s="133"/>
      <c r="R6" s="133"/>
      <c r="S6" s="133"/>
      <c r="T6" s="133"/>
      <c r="U6" s="133"/>
      <c r="V6" s="133"/>
      <c r="W6" s="133"/>
      <c r="X6" s="133"/>
      <c r="Y6" s="133"/>
      <c r="Z6" s="133"/>
      <c r="AA6" s="133"/>
      <c r="AB6" s="133"/>
      <c r="AC6" s="133"/>
      <c r="AD6" s="133"/>
      <c r="AE6" s="133"/>
      <c r="AF6" s="133"/>
      <c r="AG6" s="133"/>
      <c r="AH6" s="133"/>
      <c r="AI6" s="133"/>
      <c r="AJ6" s="133"/>
      <c r="AK6" s="133"/>
      <c r="AL6" s="133"/>
      <c r="AM6" s="133"/>
      <c r="AN6" s="133"/>
      <c r="AO6" s="133"/>
      <c r="AP6" s="133"/>
      <c r="AQ6" s="133"/>
      <c r="AR6" s="133"/>
    </row>
    <row r="7" spans="1:44" s="142" customFormat="1" ht="23.1" customHeight="1" x14ac:dyDescent="0.25">
      <c r="B7" s="143"/>
      <c r="C7" s="143"/>
      <c r="D7" s="143"/>
      <c r="E7" s="143"/>
      <c r="F7" s="143"/>
      <c r="G7" s="143"/>
      <c r="H7" s="143"/>
      <c r="I7" s="143"/>
      <c r="J7" s="143"/>
      <c r="K7" s="1"/>
      <c r="L7" s="143"/>
      <c r="M7" s="143"/>
      <c r="N7" s="143"/>
      <c r="O7" s="143"/>
      <c r="P7" s="143"/>
      <c r="Q7" s="143"/>
      <c r="R7" s="143"/>
      <c r="S7" s="143"/>
      <c r="T7" s="143"/>
      <c r="U7" s="143"/>
      <c r="V7" s="143"/>
      <c r="W7" s="143"/>
      <c r="X7" s="143"/>
      <c r="Y7" s="143"/>
      <c r="Z7" s="143"/>
      <c r="AA7" s="143"/>
      <c r="AB7" s="143"/>
      <c r="AC7" s="143"/>
      <c r="AD7" s="143"/>
      <c r="AE7" s="143"/>
      <c r="AF7" s="143"/>
      <c r="AG7" s="143"/>
      <c r="AH7" s="143"/>
      <c r="AI7" s="143"/>
      <c r="AJ7" s="143"/>
      <c r="AK7" s="143"/>
      <c r="AL7" s="143"/>
      <c r="AM7" s="143"/>
      <c r="AN7" s="143"/>
      <c r="AO7" s="143"/>
      <c r="AP7" s="143"/>
      <c r="AQ7" s="143"/>
      <c r="AR7" s="143"/>
    </row>
    <row r="8" spans="1:44" s="144" customFormat="1" ht="46.35" customHeight="1" x14ac:dyDescent="0.3">
      <c r="B8" s="145"/>
      <c r="C8" s="145" t="s">
        <v>621</v>
      </c>
      <c r="D8" s="145" t="s">
        <v>622</v>
      </c>
      <c r="E8" s="146" t="s">
        <v>151</v>
      </c>
      <c r="F8" s="147" t="str">
        <f>+IF(DATOS!AE6="","[ocultar]",DATOS!AE6)</f>
        <v>HORAS EXTRAS</v>
      </c>
      <c r="G8" s="147" t="str">
        <f>+IF(DATOS!AF6="","[ocultar]",DATOS!AF6)</f>
        <v>SEGURO CONVENIO</v>
      </c>
      <c r="H8" s="147" t="str">
        <f>+IF(DATOS!AG6="","[ocultar]",DATOS!AG6)</f>
        <v>PLUS UNIFICADO</v>
      </c>
      <c r="I8" s="147" t="str">
        <f>+IF(DATOS!AH6="","[ocultar]",DATOS!AH6)</f>
        <v>GARANTIA AD PERS</v>
      </c>
      <c r="J8" s="147" t="str">
        <f>+IF(DATOS!AI6="","[ocultar]",DATOS!AI6)</f>
        <v>COMISIONES</v>
      </c>
      <c r="K8" s="147" t="str">
        <f>+IF(DATOS!AJ6="","[ocultar]",DATOS!AJ6)</f>
        <v>DOMINGOS Y FESTIVOS</v>
      </c>
      <c r="L8" s="147" t="str">
        <f>+IF(DATOS!AK6="","[ocultar]",DATOS!AK6)</f>
        <v>LOCOMOCION NO</v>
      </c>
      <c r="M8" s="147" t="str">
        <f>+IF(DATOS!AL6="","[ocultar]",DATOS!AL6)</f>
        <v>PLUS EXTRA VAC</v>
      </c>
      <c r="N8" s="147" t="str">
        <f>+IF(DATOS!AM6="","[ocultar]",DATOS!AM6)</f>
        <v>PLUS DE TRANS</v>
      </c>
      <c r="O8" s="147" t="str">
        <f>+IF(DATOS!AN6="","[ocultar]",DATOS!AN6)</f>
        <v>PLUS ACTIVIDAD</v>
      </c>
      <c r="P8" s="147" t="str">
        <f>+IF(DATOS!AO6="","[ocultar]",DATOS!AO6)</f>
        <v>CUOTA SINDICAL</v>
      </c>
      <c r="Q8" s="147" t="str">
        <f>+IF(DATOS!AP6="","[ocultar]",DATOS!AP6)</f>
        <v>AYUDA FAMILIAR</v>
      </c>
      <c r="R8" s="147" t="str">
        <f>+IF(DATOS!AQ6="","[ocultar]",DATOS!AQ6)</f>
        <v>INCENTIVO</v>
      </c>
      <c r="S8" s="147" t="str">
        <f>+IF(DATOS!AR6="","[ocultar]",DATOS!AR6)</f>
        <v>SEGURO MEDICO</v>
      </c>
      <c r="T8" s="147" t="str">
        <f>+IF(DATOS!AS6="","[ocultar]",DATOS!AS6)</f>
        <v>DES. SEGURO MEDICO</v>
      </c>
      <c r="U8" s="147" t="str">
        <f>+IF(DATOS!AT6="","[ocultar]",DATOS!AT6)</f>
        <v>SEGURO SALUD 2</v>
      </c>
      <c r="V8" s="147" t="str">
        <f>+IF(DATOS!AU6="","[ocultar]",DATOS!AU6)</f>
        <v>COMP. EMPRESA I.T.</v>
      </c>
      <c r="W8" s="147" t="str">
        <f>+IF(DATOS!AV6="","[ocultar]",DATOS!AV6)</f>
        <v>I.T. CUENTA EMPRESA</v>
      </c>
      <c r="X8" s="147" t="str">
        <f>+IF(DATOS!AW6="","[ocultar]",DATOS!AW6)</f>
        <v>SALARIO EN ESPECIE</v>
      </c>
      <c r="Y8" s="147" t="str">
        <f>+IF(DATOS!AX6="","[ocultar]",DATOS!AX6)</f>
        <v>PLUS DE POLIVALENCIA</v>
      </c>
      <c r="Z8" s="147" t="str">
        <f>+IF(DATOS!AY6="","[ocultar]",DATOS!AY6)</f>
        <v>LIQUID  PAGAS EXTRA</v>
      </c>
      <c r="AA8" s="147" t="str">
        <f>+IF(DATOS!AZ6="","[ocultar]",DATOS!AZ6)</f>
        <v>[ocultar]</v>
      </c>
      <c r="AB8" s="147" t="str">
        <f>+IF(DATOS!BA6="","[ocultar]",DATOS!BA6)</f>
        <v>[ocultar]</v>
      </c>
      <c r="AC8" s="147" t="str">
        <f>+IF(DATOS!BB6="","[ocultar]",DATOS!BB6)</f>
        <v>[ocultar]</v>
      </c>
      <c r="AD8" s="147" t="str">
        <f>+IF(DATOS!BC6="","[ocultar]",DATOS!BC6)</f>
        <v>[ocultar]</v>
      </c>
      <c r="AE8" s="147" t="str">
        <f>+IF(DATOS!BD6="","[ocultar]",DATOS!BD6)</f>
        <v>[ocultar]</v>
      </c>
      <c r="AF8" s="147" t="str">
        <f>+IF(DATOS!BE6="","[ocultar]",DATOS!BE6)</f>
        <v>[ocultar]</v>
      </c>
      <c r="AG8" s="147" t="str">
        <f>+IF(DATOS!BF6="","[ocultar]",DATOS!BF6)</f>
        <v>[ocultar]</v>
      </c>
      <c r="AH8" s="147" t="str">
        <f>+IF(DATOS!BG6="","[ocultar]",DATOS!BG6)</f>
        <v>[ocultar]</v>
      </c>
      <c r="AI8" s="147" t="str">
        <f>+IF(DATOS!BH6="","[ocultar]",DATOS!BH6)</f>
        <v>[ocultar]</v>
      </c>
      <c r="AJ8" s="148" t="s">
        <v>153</v>
      </c>
      <c r="AK8" s="149" t="s">
        <v>155</v>
      </c>
      <c r="AL8" s="150" t="str">
        <f>+IF(DATOS!BW6="","[ocultar]",DATOS!BW6)</f>
        <v>[ocultar]</v>
      </c>
      <c r="AM8" s="150" t="str">
        <f>+IF(DATOS!CB6="","[ocultar]",DATOS!CB6)</f>
        <v>[ocultar]</v>
      </c>
      <c r="AN8" s="150" t="str">
        <f>+IF(DATOS!CC6="","[ocultar]",DATOS!CC6)</f>
        <v>[ocultar]</v>
      </c>
      <c r="AO8" s="150" t="str">
        <f>+IF(DATOS!CD6="","[ocultar]",DATOS!CD6)</f>
        <v>[ocultar]</v>
      </c>
      <c r="AP8" s="150" t="str">
        <f>+IF(DATOS!CG6="","[ocultar]",DATOS!CG6)</f>
        <v>[ocultar]</v>
      </c>
      <c r="AQ8" s="151" t="s">
        <v>157</v>
      </c>
      <c r="AR8" s="148" t="s">
        <v>159</v>
      </c>
    </row>
    <row r="9" spans="1:44" s="152" customFormat="1" ht="15.6" thickBot="1" x14ac:dyDescent="0.3">
      <c r="B9" s="153" t="s">
        <v>623</v>
      </c>
      <c r="C9" s="154"/>
      <c r="D9" s="155"/>
      <c r="E9" s="156">
        <f t="shared" ref="E9" si="1">IFERROR((E10-E11)/E10,"")</f>
        <v>-6.1519257360041206E-2</v>
      </c>
      <c r="F9" s="157">
        <f>IFERROR((F10-F11)/F10,"")</f>
        <v>0.45178616499474861</v>
      </c>
      <c r="G9" s="158">
        <f t="shared" ref="G9:AR9" si="2">IFERROR((G10-G11)/G10,"")</f>
        <v>-1.2111349151788404</v>
      </c>
      <c r="H9" s="158">
        <f t="shared" si="2"/>
        <v>7.8635098568371198E-2</v>
      </c>
      <c r="I9" s="158">
        <f t="shared" si="2"/>
        <v>-0.44385002184638556</v>
      </c>
      <c r="J9" s="159">
        <f t="shared" si="2"/>
        <v>-1.9670234892169638E-2</v>
      </c>
      <c r="K9" s="160">
        <f t="shared" si="2"/>
        <v>-0.13863259037711298</v>
      </c>
      <c r="L9" s="160">
        <f t="shared" si="2"/>
        <v>-4.1260012005173971E-2</v>
      </c>
      <c r="M9" s="160">
        <f t="shared" si="2"/>
        <v>0.73889394610106462</v>
      </c>
      <c r="N9" s="160">
        <f t="shared" si="2"/>
        <v>2.8887961804107052E-2</v>
      </c>
      <c r="O9" s="160">
        <f t="shared" si="2"/>
        <v>-1.2269827580119816</v>
      </c>
      <c r="P9" s="160">
        <f t="shared" si="2"/>
        <v>-0.55553460334690596</v>
      </c>
      <c r="Q9" s="160">
        <f t="shared" si="2"/>
        <v>0.48142871143074695</v>
      </c>
      <c r="R9" s="160">
        <f t="shared" si="2"/>
        <v>0.10464478460780466</v>
      </c>
      <c r="S9" s="160">
        <f t="shared" si="2"/>
        <v>-0.4187770782365377</v>
      </c>
      <c r="T9" s="160">
        <f t="shared" si="2"/>
        <v>0.23178508028725897</v>
      </c>
      <c r="U9" s="160">
        <f t="shared" si="2"/>
        <v>-0.60849118343287545</v>
      </c>
      <c r="V9" s="159">
        <f t="shared" si="2"/>
        <v>0.25851653532896646</v>
      </c>
      <c r="W9" s="159">
        <f t="shared" si="2"/>
        <v>-2.8170295978252025</v>
      </c>
      <c r="X9" s="159">
        <f t="shared" si="2"/>
        <v>-0.89801754926143851</v>
      </c>
      <c r="Y9" s="159">
        <f t="shared" si="2"/>
        <v>-1.5245080551245647</v>
      </c>
      <c r="Z9" s="159">
        <f t="shared" si="2"/>
        <v>0.20630436732131646</v>
      </c>
      <c r="AA9" s="159" t="str">
        <f t="shared" si="2"/>
        <v/>
      </c>
      <c r="AB9" s="159">
        <f t="shared" si="2"/>
        <v>-1.2962962962962963</v>
      </c>
      <c r="AC9" s="159" t="str">
        <f t="shared" si="2"/>
        <v/>
      </c>
      <c r="AD9" s="159" t="str">
        <f t="shared" si="2"/>
        <v/>
      </c>
      <c r="AE9" s="159" t="str">
        <f t="shared" si="2"/>
        <v/>
      </c>
      <c r="AF9" s="159" t="str">
        <f t="shared" si="2"/>
        <v/>
      </c>
      <c r="AG9" s="159" t="str">
        <f t="shared" si="2"/>
        <v/>
      </c>
      <c r="AH9" s="159" t="str">
        <f t="shared" si="2"/>
        <v/>
      </c>
      <c r="AI9" s="159" t="str">
        <f t="shared" si="2"/>
        <v/>
      </c>
      <c r="AJ9" s="161">
        <f t="shared" si="2"/>
        <v>-8.5198090484929767E-2</v>
      </c>
      <c r="AK9" s="162">
        <f t="shared" si="2"/>
        <v>-7.3603900658249524E-2</v>
      </c>
      <c r="AL9" s="163" t="str">
        <f t="shared" si="2"/>
        <v/>
      </c>
      <c r="AM9" s="163" t="str">
        <f t="shared" si="2"/>
        <v/>
      </c>
      <c r="AN9" s="163" t="str">
        <f t="shared" si="2"/>
        <v/>
      </c>
      <c r="AO9" s="163" t="str">
        <f t="shared" si="2"/>
        <v/>
      </c>
      <c r="AP9" s="163" t="str">
        <f t="shared" si="2"/>
        <v/>
      </c>
      <c r="AQ9" s="164" t="str">
        <f t="shared" si="2"/>
        <v/>
      </c>
      <c r="AR9" s="165">
        <f t="shared" si="2"/>
        <v>-7.3603900658249524E-2</v>
      </c>
    </row>
    <row r="10" spans="1:44" s="152" customFormat="1" x14ac:dyDescent="0.25">
      <c r="B10" s="166" t="s">
        <v>394</v>
      </c>
      <c r="C10" s="167">
        <f t="array" ref="C10">SUM(IF($B10=DATOS_[Sexo],
IF("Dentro"=DATOS_[Check Periodo Ref.],
1/(COUNTIFS(DATOS_[Sexo],$B10,DATOS_[Check Periodo Ref.],"Dentro",DATOS_[id/cod],DATOS_[id/cod])))))</f>
        <v>60</v>
      </c>
      <c r="D10" s="168">
        <f>COUNTIFS(DATOS_[AGRUP. CLAS. PROF.],"&lt;&gt;",DATOS_[Sexo],$B10,DATOS_[Check Periodo Ref.],"Dentro")</f>
        <v>15</v>
      </c>
      <c r="E10" s="169">
        <f t="array" ref="E10">IFERROR(
AVERAGE(IF(DATOS_[Sexo]=$B10,IF(DATOS_[Check Periodo Ref.]="Dentro",DATOS_[SALARIO BASE Ef],FALSE))),
0)</f>
        <v>2618.3827419354834</v>
      </c>
      <c r="F10" s="170">
        <f t="array" ref="F10">IFERROR(
(AVERAGE((IF(DATOS_[[Sexo]:[Sexo]]=$B10,IF(DATOS_[[Check Periodo Ref.]:[Check Periodo Ref.]]="Dentro",DATOS_[Conc.Sal.01]))))),
0)</f>
        <v>580.26661290322579</v>
      </c>
      <c r="G10" s="170">
        <f t="array" ref="G10">IFERROR(
(AVERAGE((IF(DATOS_[[Sexo]:[Sexo]]=$B10,IF(DATOS_[[Check Periodo Ref.]:[Check Periodo Ref.]]="Dentro",DATOS_[Conc.Sal.02]))))),
0)</f>
        <v>41.683387096774197</v>
      </c>
      <c r="H10" s="170">
        <f t="array" ref="H10">IFERROR(
(AVERAGE((IF(DATOS_[[Sexo]:[Sexo]]=$B10,IF(DATOS_[[Check Periodo Ref.]:[Check Periodo Ref.]]="Dentro",DATOS_[Conc.Sal.03]))))),
0)</f>
        <v>211.06709677419352</v>
      </c>
      <c r="I10" s="170">
        <f t="array" ref="I10">IFERROR(
(AVERAGE((IF(DATOS_[[Sexo]:[Sexo]]=$B10,IF(DATOS_[[Check Periodo Ref.]:[Check Periodo Ref.]]="Dentro",DATOS_[Conc.Sal.04]))))),
0)</f>
        <v>210.50919354838709</v>
      </c>
      <c r="J10" s="170">
        <f t="array" ref="J10">IFERROR(
(AVERAGE((IF(DATOS_[[Sexo]:[Sexo]]=$B10,IF(DATOS_[[Check Periodo Ref.]:[Check Periodo Ref.]]="Dentro",DATOS_[Conc.Sal.05]))))),
0)</f>
        <v>53.172419354838709</v>
      </c>
      <c r="K10" s="170">
        <f t="array" ref="K10">IFERROR(
(AVERAGE((IF(DATOS_[[Sexo]:[Sexo]]=$B10,IF(DATOS_[[Check Periodo Ref.]:[Check Periodo Ref.]]="Dentro",DATOS_[Conc.Sal.06]))))),
0)</f>
        <v>273.62596774193548</v>
      </c>
      <c r="L10" s="170">
        <f t="array" ref="L10">IFERROR(
(AVERAGE((IF(DATOS_[[Sexo]:[Sexo]]=$B10,IF(DATOS_[[Check Periodo Ref.]:[Check Periodo Ref.]]="Dentro",DATOS_[Conc.Sal.07]))))),
0)</f>
        <v>123.91112903225806</v>
      </c>
      <c r="M10" s="170">
        <f t="array" ref="M10">IFERROR(
(AVERAGE((IF(DATOS_[[Sexo]:[Sexo]]=$B10,IF(DATOS_[[Check Periodo Ref.]:[Check Periodo Ref.]]="Dentro",DATOS_[Conc.Sal.08]))))),
0)</f>
        <v>81.859032258064516</v>
      </c>
      <c r="N10" s="170">
        <f t="array" ref="N10">IFERROR(
(AVERAGE((IF(DATOS_[[Sexo]:[Sexo]]=$B10,IF(DATOS_[[Check Periodo Ref.]:[Check Periodo Ref.]]="Dentro",DATOS_[Conc.Sal.09]))))),
0)</f>
        <v>69.590322580645164</v>
      </c>
      <c r="O10" s="170">
        <f t="array" ref="O10">IFERROR(
(AVERAGE((IF(DATOS_[[Sexo]:[Sexo]]=$B10,IF(DATOS_[[Check Periodo Ref.]:[Check Periodo Ref.]]="Dentro",DATOS_[Conc.Sal.10]))))),
0)</f>
        <v>59.220967741935482</v>
      </c>
      <c r="P10" s="170">
        <f t="array" ref="P10">IFERROR(
(AVERAGE((IF(DATOS_[[Sexo]:[Sexo]]=$B10,IF(DATOS_[[Check Periodo Ref.]:[Check Periodo Ref.]]="Dentro",DATOS_[Conc.Sal.11]))))),
0)</f>
        <v>65.575645161290325</v>
      </c>
      <c r="Q10" s="170">
        <f t="array" ref="Q10">IFERROR(
(AVERAGE((IF(DATOS_[[Sexo]:[Sexo]]=$B10,IF(DATOS_[[Check Periodo Ref.]:[Check Periodo Ref.]]="Dentro",DATOS_[Conc.Sal.12]))))),
0)</f>
        <v>102.22209677419356</v>
      </c>
      <c r="R10" s="170">
        <f t="array" ref="R10">IFERROR(
(AVERAGE((IF(DATOS_[[Sexo]:[Sexo]]=$B10,IF(DATOS_[[Check Periodo Ref.]:[Check Periodo Ref.]]="Dentro",DATOS_[Conc.Sal.13]))))),
0)</f>
        <v>186.84887096774196</v>
      </c>
      <c r="S10" s="170">
        <f t="array" ref="S10">IFERROR(
(AVERAGE((IF(DATOS_[[Sexo]:[Sexo]]=$B10,IF(DATOS_[[Check Periodo Ref.]:[Check Periodo Ref.]]="Dentro",DATOS_[Conc.Sal.14]))))),
0)</f>
        <v>30.912903225806449</v>
      </c>
      <c r="T10" s="170">
        <f t="array" ref="T10">IFERROR(
(AVERAGE((IF(DATOS_[[Sexo]:[Sexo]]=$B10,IF(DATOS_[[Check Periodo Ref.]:[Check Periodo Ref.]]="Dentro",DATOS_[Conc.Sal.15]))))),
0)</f>
        <v>29.612903225806452</v>
      </c>
      <c r="U10" s="170">
        <f t="array" ref="U10">IFERROR(
(AVERAGE((IF(DATOS_[[Sexo]:[Sexo]]=$B10,IF(DATOS_[[Check Periodo Ref.]:[Check Periodo Ref.]]="Dentro",DATOS_[Conc.Sal.16]))))),
0)</f>
        <v>292.87177419354839</v>
      </c>
      <c r="V10" s="170">
        <f t="array" ref="V10">IFERROR(
(AVERAGE((IF(DATOS_[[Sexo]:[Sexo]]=$B10,IF(DATOS_[[Check Periodo Ref.]:[Check Periodo Ref.]]="Dentro",DATOS_[Conc.Sal.17]))))),
0)</f>
        <v>24.57935483870968</v>
      </c>
      <c r="W10" s="170">
        <f t="array" ref="W10">IFERROR(
(AVERAGE((IF(DATOS_[[Sexo]:[Sexo]]=$B10,IF(DATOS_[[Check Periodo Ref.]:[Check Periodo Ref.]]="Dentro",DATOS_[Conc.Sal.18]))))),
0)</f>
        <v>48.196290322580637</v>
      </c>
      <c r="X10" s="170">
        <f t="array" ref="X10">IFERROR(
(AVERAGE((IF(DATOS_[[Sexo]:[Sexo]]=$B10,IF(DATOS_[[Check Periodo Ref.]:[Check Periodo Ref.]]="Dentro",DATOS_[Conc.Sal.19]))))),
0)</f>
        <v>41.441290322580649</v>
      </c>
      <c r="Y10" s="170">
        <f t="array" ref="Y10">IFERROR(
(AVERAGE((IF(DATOS_[[Sexo]:[Sexo]]=$B10,IF(DATOS_[[Check Periodo Ref.]:[Check Periodo Ref.]]="Dentro",DATOS_[Conc.Sal.20]))))),
0)</f>
        <v>16.979032258064517</v>
      </c>
      <c r="Z10" s="170">
        <f t="array" ref="Z10">IFERROR(
(AVERAGE((IF(DATOS_[[Sexo]:[Sexo]]=$B10,IF(DATOS_[[Check Periodo Ref.]:[Check Periodo Ref.]]="Dentro",DATOS_[Conc.Sal.21]))))),
0)</f>
        <v>181.8532258064516</v>
      </c>
      <c r="AA10" s="170">
        <f t="array" ref="AA10">IFERROR(
(AVERAGE((IF(DATOS_[[Sexo]:[Sexo]]=$B10,IF(DATOS_[[Check Periodo Ref.]:[Check Periodo Ref.]]="Dentro",DATOS_[Conc.Sal.22]))))),
0)</f>
        <v>0</v>
      </c>
      <c r="AB10" s="170">
        <f t="array" ref="AB10">IFERROR(
(AVERAGE((IF(DATOS_[[Sexo]:[Sexo]]=$B10,IF(DATOS_[[Check Periodo Ref.]:[Check Periodo Ref.]]="Dentro",DATOS_[Conc.Sal.23]))))),
0)</f>
        <v>3.1451612903225805</v>
      </c>
      <c r="AC10" s="170">
        <f t="array" ref="AC10">IFERROR(
(AVERAGE((IF(DATOS_[[Sexo]:[Sexo]]=$B10,IF(DATOS_[[Check Periodo Ref.]:[Check Periodo Ref.]]="Dentro",DATOS_[Conc.Sal.24]))))),
0)</f>
        <v>0</v>
      </c>
      <c r="AD10" s="170">
        <f t="array" ref="AD10">IFERROR(
(AVERAGE((IF(DATOS_[[Sexo]:[Sexo]]=$B10,IF(DATOS_[[Check Periodo Ref.]:[Check Periodo Ref.]]="Dentro",DATOS_[Conc.Sal.25]))))),
0)</f>
        <v>0</v>
      </c>
      <c r="AE10" s="170">
        <f t="array" ref="AE10">IFERROR(
(AVERAGE((IF(DATOS_[[Sexo]:[Sexo]]=$B10,IF(DATOS_[[Check Periodo Ref.]:[Check Periodo Ref.]]="Dentro",DATOS_[Conc.Sal.26]))))),
0)</f>
        <v>0</v>
      </c>
      <c r="AF10" s="170">
        <f t="array" ref="AF10">IFERROR(
(AVERAGE((IF(DATOS_[[Sexo]:[Sexo]]=$B10,IF(DATOS_[[Check Periodo Ref.]:[Check Periodo Ref.]]="Dentro",DATOS_[Conc.Sal.27]))))),
0)</f>
        <v>0</v>
      </c>
      <c r="AG10" s="170">
        <f t="array" ref="AG10">IFERROR(
(AVERAGE((IF(DATOS_[[Sexo]:[Sexo]]=$B10,IF(DATOS_[[Check Periodo Ref.]:[Check Periodo Ref.]]="Dentro",DATOS_[Conc.Sal.28]))))),
0)</f>
        <v>0</v>
      </c>
      <c r="AH10" s="170">
        <f t="array" ref="AH10">IFERROR(
(AVERAGE((IF(DATOS_[[Sexo]:[Sexo]]=$B10,IF(DATOS_[[Check Periodo Ref.]:[Check Periodo Ref.]]="Dentro",DATOS_[Conc.Sal.29]))))),
0)</f>
        <v>0</v>
      </c>
      <c r="AI10" s="170">
        <f t="array" ref="AI10">IFERROR(
(AVERAGE((IF(DATOS_[[Sexo]:[Sexo]]=$B10,IF(DATOS_[[Check Periodo Ref.]:[Check Periodo Ref.]]="Dentro",DATOS_[Conc.Sal.30]))))),
0)</f>
        <v>0</v>
      </c>
      <c r="AJ10" s="171">
        <f t="array" ref="AJ10">IFERROR(
AVERAGE(IF(DATOS_[Sexo]=$B10,IF(DATOS_[Check Periodo Ref.]="Dentro",DATOS_[Tot COMPL.SAL Ef],FALSE))),
0)</f>
        <v>2729.1446774193546</v>
      </c>
      <c r="AK10" s="172">
        <f t="array" ref="AK10">IFERROR(
AVERAGE(IF(DATOS_[Sexo]=$B10,IF(DATOS_[Check Periodo Ref.]="Dentro",DATOS_[TOTAL SALARIO Ef],FALSE))),
0)</f>
        <v>5347.5274193548375</v>
      </c>
      <c r="AL10" s="173">
        <f t="array" ref="AL10">IFERROR(
(AVERAGE((IF(DATOS_[[Sexo]:[Sexo]]=$B10,IF(DATOS_[[Check Periodo Ref.]:[Check Periodo Ref.]]="Dentro",DATOS_[C.Extra.01]))))),
0)</f>
        <v>0</v>
      </c>
      <c r="AM10" s="173">
        <f t="array" ref="AM10">IFERROR(
(AVERAGE((IF(DATOS_[[Sexo]:[Sexo]]=$B10,IF(DATOS_[[Check Periodo Ref.]:[Check Periodo Ref.]]="Dentro",DATOS_[C.Extra.06]))))),
0)</f>
        <v>0</v>
      </c>
      <c r="AN10" s="173">
        <f t="array" ref="AN10">IFERROR(
(AVERAGE((IF(DATOS_[[Sexo]:[Sexo]]=$B10,IF(DATOS_[[Check Periodo Ref.]:[Check Periodo Ref.]]="Dentro",DATOS_[C.Extra.07]))))),
0)</f>
        <v>0</v>
      </c>
      <c r="AO10" s="173">
        <f t="array" ref="AO10">IFERROR(
(AVERAGE((IF(DATOS_[[Sexo]:[Sexo]]=$B10,IF(DATOS_[[Check Periodo Ref.]:[Check Periodo Ref.]]="Dentro",DATOS_[C.Extra.08]))))),
0)</f>
        <v>0</v>
      </c>
      <c r="AP10" s="173">
        <f t="array" ref="AP10">IFERROR(
(AVERAGE((IF(DATOS_[[Sexo]:[Sexo]]=$B10,IF(DATOS_[[Check Periodo Ref.]:[Check Periodo Ref.]]="Dentro",DATOS_[C.Extra.11]))))),
0)</f>
        <v>0</v>
      </c>
      <c r="AQ10" s="174">
        <f t="array" ref="AQ10">IFERROR(
AVERAGE(IF(DATOS_[Sexo]=$B10,IF(DATOS_[Check Periodo Ref.]="Dentro",DATOS_[Tot Extrasalarial Ef],FALSE))),
0)</f>
        <v>0</v>
      </c>
      <c r="AR10" s="175">
        <f t="array" ref="AR10">IFERROR(
AVERAGE(IF(DATOS_[Sexo]=$B10,IF(DATOS_[Check Periodo Ref.]="Dentro",DATOS_[TOTAL Retrib Ef],FALSE))),
0)</f>
        <v>5347.5274193548375</v>
      </c>
    </row>
    <row r="11" spans="1:44" s="152" customFormat="1" x14ac:dyDescent="0.25">
      <c r="B11" s="166" t="s">
        <v>521</v>
      </c>
      <c r="C11" s="167">
        <f t="array" ref="C11">SUM(IF($B11=DATOS_[Sexo],
IF("Dentro"=DATOS_[Check Periodo Ref.],
1/(COUNTIFS(DATOS_[Sexo],$B11,DATOS_[Check Periodo Ref.],"Dentro",DATOS_[id/cod],DATOS_[id/cod])))))</f>
        <v>52.000000000000007</v>
      </c>
      <c r="D11" s="168">
        <f>COUNTIFS(DATOS_[AGRUP. CLAS. PROF.],"&lt;&gt;",DATOS_[Sexo],$B11,DATOS_[Check Periodo Ref.],"Dentro")</f>
        <v>27</v>
      </c>
      <c r="E11" s="169">
        <f t="array" ref="E11">IFERROR(
AVERAGE(IF(DATOS_[Sexo]=$B11,IF(DATOS_[Check Periodo Ref.]="Dentro",DATOS_[SALARIO BASE Ef],FALSE))),
0)</f>
        <v>2779.4637037037028</v>
      </c>
      <c r="F11" s="170">
        <f t="array" ref="F11">IFERROR(
(AVERAGE((IF(DATOS_[[Sexo]:[Sexo]]=$B11,IF(DATOS_[[Check Periodo Ref.]:[Check Periodo Ref.]]="Dentro",DATOS_[Conc.Sal.01]))))),
0)</f>
        <v>318.11018518518512</v>
      </c>
      <c r="G11" s="170">
        <f t="array" ref="G11">IFERROR(
(AVERAGE((IF(DATOS_[[Sexo]:[Sexo]]=$B11,IF(DATOS_[[Check Periodo Ref.]:[Check Periodo Ref.]]="Dentro",DATOS_[Conc.Sal.02]))))),
0)</f>
        <v>92.167592592592584</v>
      </c>
      <c r="H11" s="170">
        <f t="array" ref="H11">IFERROR(
(AVERAGE((IF(DATOS_[[Sexo]:[Sexo]]=$B11,IF(DATOS_[[Check Periodo Ref.]:[Check Periodo Ref.]]="Dentro",DATOS_[Conc.Sal.03]))))),
0)</f>
        <v>194.46981481481487</v>
      </c>
      <c r="I11" s="170">
        <f t="array" ref="I11">IFERROR(
(AVERAGE((IF(DATOS_[[Sexo]:[Sexo]]=$B11,IF(DATOS_[[Check Periodo Ref.]:[Check Periodo Ref.]]="Dentro",DATOS_[Conc.Sal.04]))))),
0)</f>
        <v>303.9437037037037</v>
      </c>
      <c r="J11" s="170">
        <f t="array" ref="J11">IFERROR(
(AVERAGE((IF(DATOS_[[Sexo]:[Sexo]]=$B11,IF(DATOS_[[Check Periodo Ref.]:[Check Periodo Ref.]]="Dentro",DATOS_[Conc.Sal.05]))))),
0)</f>
        <v>54.218333333333334</v>
      </c>
      <c r="K11" s="170">
        <f t="array" ref="K11">IFERROR(
(AVERAGE((IF(DATOS_[[Sexo]:[Sexo]]=$B11,IF(DATOS_[[Check Periodo Ref.]:[Check Periodo Ref.]]="Dentro",DATOS_[Conc.Sal.06]))))),
0)</f>
        <v>311.55944444444435</v>
      </c>
      <c r="L11" s="170">
        <f t="array" ref="L11">IFERROR(
(AVERAGE((IF(DATOS_[[Sexo]:[Sexo]]=$B11,IF(DATOS_[[Check Periodo Ref.]:[Check Periodo Ref.]]="Dentro",DATOS_[Conc.Sal.07]))))),
0)</f>
        <v>129.02370370370369</v>
      </c>
      <c r="M11" s="170">
        <f t="array" ref="M11">IFERROR(
(AVERAGE((IF(DATOS_[[Sexo]:[Sexo]]=$B11,IF(DATOS_[[Check Periodo Ref.]:[Check Periodo Ref.]]="Dentro",DATOS_[Conc.Sal.08]))))),
0)</f>
        <v>21.373888888888889</v>
      </c>
      <c r="N11" s="170">
        <f t="array" ref="N11">IFERROR(
(AVERAGE((IF(DATOS_[[Sexo]:[Sexo]]=$B11,IF(DATOS_[[Check Periodo Ref.]:[Check Periodo Ref.]]="Dentro",DATOS_[Conc.Sal.09]))))),
0)</f>
        <v>67.58</v>
      </c>
      <c r="O11" s="170">
        <f t="array" ref="O11">IFERROR(
(AVERAGE((IF(DATOS_[[Sexo]:[Sexo]]=$B11,IF(DATOS_[[Check Periodo Ref.]:[Check Periodo Ref.]]="Dentro",DATOS_[Conc.Sal.10]))))),
0)</f>
        <v>131.88407407407408</v>
      </c>
      <c r="P11" s="170">
        <f t="array" ref="P11">IFERROR(
(AVERAGE((IF(DATOS_[[Sexo]:[Sexo]]=$B11,IF(DATOS_[[Check Periodo Ref.]:[Check Periodo Ref.]]="Dentro",DATOS_[Conc.Sal.11]))))),
0)</f>
        <v>102.0051851851852</v>
      </c>
      <c r="Q11" s="170">
        <f t="array" ref="Q11">IFERROR(
(AVERAGE((IF(DATOS_[[Sexo]:[Sexo]]=$B11,IF(DATOS_[[Check Periodo Ref.]:[Check Periodo Ref.]]="Dentro",DATOS_[Conc.Sal.12]))))),
0)</f>
        <v>53.009444444444441</v>
      </c>
      <c r="R11" s="170">
        <f t="array" ref="R11">IFERROR(
(AVERAGE((IF(DATOS_[[Sexo]:[Sexo]]=$B11,IF(DATOS_[[Check Periodo Ref.]:[Check Periodo Ref.]]="Dentro",DATOS_[Conc.Sal.13]))))),
0)</f>
        <v>167.29611111111112</v>
      </c>
      <c r="S11" s="170">
        <f t="array" ref="S11">IFERROR(
(AVERAGE((IF(DATOS_[[Sexo]:[Sexo]]=$B11,IF(DATOS_[[Check Periodo Ref.]:[Check Periodo Ref.]]="Dentro",DATOS_[Conc.Sal.14]))))),
0)</f>
        <v>43.858518518518515</v>
      </c>
      <c r="T11" s="170">
        <f t="array" ref="T11">IFERROR(
(AVERAGE((IF(DATOS_[[Sexo]:[Sexo]]=$B11,IF(DATOS_[[Check Periodo Ref.]:[Check Periodo Ref.]]="Dentro",DATOS_[Conc.Sal.15]))))),
0)</f>
        <v>22.749074074074073</v>
      </c>
      <c r="U11" s="170">
        <f t="array" ref="U11">IFERROR(
(AVERAGE((IF(DATOS_[[Sexo]:[Sexo]]=$B11,IF(DATOS_[[Check Periodo Ref.]:[Check Periodo Ref.]]="Dentro",DATOS_[Conc.Sal.16]))))),
0)</f>
        <v>471.08166666666654</v>
      </c>
      <c r="V11" s="170">
        <f t="array" ref="V11">IFERROR(
(AVERAGE((IF(DATOS_[[Sexo]:[Sexo]]=$B11,IF(DATOS_[[Check Periodo Ref.]:[Check Periodo Ref.]]="Dentro",DATOS_[Conc.Sal.17]))))),
0)</f>
        <v>18.225185185185186</v>
      </c>
      <c r="W11" s="170">
        <f t="array" ref="W11">IFERROR(
(AVERAGE((IF(DATOS_[[Sexo]:[Sexo]]=$B11,IF(DATOS_[[Check Periodo Ref.]:[Check Periodo Ref.]]="Dentro",DATOS_[Conc.Sal.18]))))),
0)</f>
        <v>183.96666666666667</v>
      </c>
      <c r="X11" s="170">
        <f t="array" ref="X11">IFERROR(
(AVERAGE((IF(DATOS_[[Sexo]:[Sexo]]=$B11,IF(DATOS_[[Check Periodo Ref.]:[Check Periodo Ref.]]="Dentro",DATOS_[Conc.Sal.19]))))),
0)</f>
        <v>78.65629629629629</v>
      </c>
      <c r="Y11" s="170">
        <f t="array" ref="Y11">IFERROR(
(AVERAGE((IF(DATOS_[[Sexo]:[Sexo]]=$B11,IF(DATOS_[[Check Periodo Ref.]:[Check Periodo Ref.]]="Dentro",DATOS_[Conc.Sal.20]))))),
0)</f>
        <v>42.863703703703699</v>
      </c>
      <c r="Z11" s="170">
        <f t="array" ref="Z11">IFERROR(
(AVERAGE((IF(DATOS_[[Sexo]:[Sexo]]=$B11,IF(DATOS_[[Check Periodo Ref.]:[Check Periodo Ref.]]="Dentro",DATOS_[Conc.Sal.21]))))),
0)</f>
        <v>144.33611111111111</v>
      </c>
      <c r="AA11" s="170">
        <f t="array" ref="AA11">IFERROR(
(AVERAGE((IF(DATOS_[[Sexo]:[Sexo]]=$B11,IF(DATOS_[[Check Periodo Ref.]:[Check Periodo Ref.]]="Dentro",DATOS_[Conc.Sal.22]))))),
0)</f>
        <v>2.0616666666666665</v>
      </c>
      <c r="AB11" s="170">
        <f t="array" ref="AB11">IFERROR(
(AVERAGE((IF(DATOS_[[Sexo]:[Sexo]]=$B11,IF(DATOS_[[Check Periodo Ref.]:[Check Periodo Ref.]]="Dentro",DATOS_[Conc.Sal.23]))))),
0)</f>
        <v>7.2222222222222223</v>
      </c>
      <c r="AC11" s="170">
        <f t="array" ref="AC11">IFERROR(
(AVERAGE((IF(DATOS_[[Sexo]:[Sexo]]=$B11,IF(DATOS_[[Check Periodo Ref.]:[Check Periodo Ref.]]="Dentro",DATOS_[Conc.Sal.24]))))),
0)</f>
        <v>0</v>
      </c>
      <c r="AD11" s="170">
        <f t="array" ref="AD11">IFERROR(
(AVERAGE((IF(DATOS_[[Sexo]:[Sexo]]=$B11,IF(DATOS_[[Check Periodo Ref.]:[Check Periodo Ref.]]="Dentro",DATOS_[Conc.Sal.25]))))),
0)</f>
        <v>0</v>
      </c>
      <c r="AE11" s="170">
        <f t="array" ref="AE11">IFERROR(
(AVERAGE((IF(DATOS_[[Sexo]:[Sexo]]=$B11,IF(DATOS_[[Check Periodo Ref.]:[Check Periodo Ref.]]="Dentro",DATOS_[Conc.Sal.26]))))),
0)</f>
        <v>0</v>
      </c>
      <c r="AF11" s="170">
        <f t="array" ref="AF11">IFERROR(
(AVERAGE((IF(DATOS_[[Sexo]:[Sexo]]=$B11,IF(DATOS_[[Check Periodo Ref.]:[Check Periodo Ref.]]="Dentro",DATOS_[Conc.Sal.27]))))),
0)</f>
        <v>0</v>
      </c>
      <c r="AG11" s="170">
        <f t="array" ref="AG11">IFERROR(
(AVERAGE((IF(DATOS_[[Sexo]:[Sexo]]=$B11,IF(DATOS_[[Check Periodo Ref.]:[Check Periodo Ref.]]="Dentro",DATOS_[Conc.Sal.28]))))),
0)</f>
        <v>0</v>
      </c>
      <c r="AH11" s="170">
        <f t="array" ref="AH11">IFERROR(
(AVERAGE((IF(DATOS_[[Sexo]:[Sexo]]=$B11,IF(DATOS_[[Check Periodo Ref.]:[Check Periodo Ref.]]="Dentro",DATOS_[Conc.Sal.29]))))),
0)</f>
        <v>0</v>
      </c>
      <c r="AI11" s="170">
        <f t="array" ref="AI11">IFERROR(
(AVERAGE((IF(DATOS_[[Sexo]:[Sexo]]=$B11,IF(DATOS_[[Check Periodo Ref.]:[Check Periodo Ref.]]="Dentro",DATOS_[Conc.Sal.30]))))),
0)</f>
        <v>0</v>
      </c>
      <c r="AJ11" s="171">
        <f t="array" ref="AJ11">IFERROR(
AVERAGE(IF(DATOS_[Sexo]=$B11,IF(DATOS_[Check Periodo Ref.]="Dentro",DATOS_[Tot COMPL.SAL Ef],FALSE))),
0)</f>
        <v>2961.6625925925932</v>
      </c>
      <c r="AK11" s="172">
        <f t="array" ref="AK11">IFERROR(
AVERAGE(IF(DATOS_[Sexo]=$B11,IF(DATOS_[Check Periodo Ref.]="Dentro",DATOS_[TOTAL SALARIO Ef],FALSE))),
0)</f>
        <v>5741.1262962962965</v>
      </c>
      <c r="AL11" s="173">
        <f t="array" ref="AL11">IFERROR(
(AVERAGE((IF(DATOS_[[Sexo]:[Sexo]]=$B11,IF(DATOS_[[Check Periodo Ref.]:[Check Periodo Ref.]]="Dentro",DATOS_[C.Extra.01]))))),
0)</f>
        <v>0</v>
      </c>
      <c r="AM11" s="173">
        <f t="array" ref="AM11">IFERROR(
(AVERAGE((IF(DATOS_[[Sexo]:[Sexo]]=$B11,IF(DATOS_[[Check Periodo Ref.]:[Check Periodo Ref.]]="Dentro",DATOS_[C.Extra.06]))))),
0)</f>
        <v>0</v>
      </c>
      <c r="AN11" s="173">
        <f t="array" ref="AN11">IFERROR(
(AVERAGE((IF(DATOS_[[Sexo]:[Sexo]]=$B11,IF(DATOS_[[Check Periodo Ref.]:[Check Periodo Ref.]]="Dentro",DATOS_[C.Extra.07]))))),
0)</f>
        <v>0</v>
      </c>
      <c r="AO11" s="173">
        <f t="array" ref="AO11">IFERROR(
(AVERAGE((IF(DATOS_[[Sexo]:[Sexo]]=$B11,IF(DATOS_[[Check Periodo Ref.]:[Check Periodo Ref.]]="Dentro",DATOS_[C.Extra.08]))))),
0)</f>
        <v>0</v>
      </c>
      <c r="AP11" s="173">
        <f t="array" ref="AP11">IFERROR(
(AVERAGE((IF(DATOS_[[Sexo]:[Sexo]]=$B11,IF(DATOS_[[Check Periodo Ref.]:[Check Periodo Ref.]]="Dentro",DATOS_[C.Extra.11]))))),
0)</f>
        <v>0</v>
      </c>
      <c r="AQ11" s="174">
        <f t="array" ref="AQ11">IFERROR(
AVERAGE(IF(DATOS_[Sexo]=$B11,IF(DATOS_[Check Periodo Ref.]="Dentro",DATOS_[Tot Extrasalarial Ef],FALSE))),
0)</f>
        <v>0</v>
      </c>
      <c r="AR11" s="175">
        <f t="array" ref="AR11">IFERROR(
AVERAGE(IF(DATOS_[Sexo]=$B11,IF(DATOS_[Check Periodo Ref.]="Dentro",DATOS_[TOTAL Retrib Ef],FALSE))),
0)</f>
        <v>5741.1262962962965</v>
      </c>
    </row>
    <row r="12" spans="1:44" s="152" customFormat="1" x14ac:dyDescent="0.25">
      <c r="B12" s="135"/>
      <c r="C12" s="135"/>
      <c r="D12" s="176"/>
      <c r="E12" s="135"/>
      <c r="F12" s="135"/>
      <c r="G12" s="135"/>
      <c r="H12" s="135"/>
      <c r="I12" s="135"/>
      <c r="J12" s="176"/>
      <c r="K12" s="177"/>
      <c r="L12" s="177"/>
      <c r="M12" s="177"/>
      <c r="N12" s="177"/>
      <c r="O12" s="177"/>
      <c r="P12" s="177"/>
      <c r="Q12" s="177"/>
      <c r="R12" s="177"/>
      <c r="S12" s="177"/>
      <c r="T12" s="177"/>
      <c r="U12" s="177"/>
      <c r="V12" s="176"/>
      <c r="W12" s="176"/>
      <c r="X12" s="176"/>
      <c r="Y12" s="176"/>
      <c r="Z12" s="176"/>
      <c r="AA12" s="176"/>
      <c r="AB12" s="176"/>
      <c r="AC12" s="176"/>
      <c r="AD12" s="176"/>
      <c r="AE12" s="176"/>
      <c r="AF12" s="176"/>
      <c r="AG12" s="176"/>
      <c r="AH12" s="176"/>
      <c r="AI12" s="176"/>
      <c r="AJ12" s="135"/>
      <c r="AK12" s="135"/>
      <c r="AL12" s="177"/>
      <c r="AM12" s="177"/>
      <c r="AN12" s="177"/>
      <c r="AO12" s="177"/>
      <c r="AP12" s="177"/>
      <c r="AQ12" s="135"/>
      <c r="AR12" s="135"/>
    </row>
    <row r="13" spans="1:44" s="152" customFormat="1" x14ac:dyDescent="0.25">
      <c r="B13" s="135"/>
      <c r="C13" s="135"/>
      <c r="D13" s="176"/>
      <c r="E13" s="135"/>
      <c r="F13" s="135"/>
      <c r="G13" s="135"/>
      <c r="H13" s="135"/>
      <c r="I13" s="135"/>
      <c r="J13" s="176"/>
      <c r="K13" s="177"/>
      <c r="L13" s="177"/>
      <c r="M13" s="177"/>
      <c r="N13" s="177"/>
      <c r="O13" s="177"/>
      <c r="P13" s="177"/>
      <c r="Q13" s="177"/>
      <c r="R13" s="177"/>
      <c r="S13" s="177"/>
      <c r="T13" s="177"/>
      <c r="U13" s="177"/>
      <c r="V13" s="176"/>
      <c r="W13" s="176"/>
      <c r="X13" s="176"/>
      <c r="Y13" s="176"/>
      <c r="Z13" s="176"/>
      <c r="AA13" s="176"/>
      <c r="AB13" s="176"/>
      <c r="AC13" s="176"/>
      <c r="AD13" s="176"/>
      <c r="AE13" s="176"/>
      <c r="AF13" s="176"/>
      <c r="AG13" s="176"/>
      <c r="AH13" s="176"/>
      <c r="AI13" s="176"/>
      <c r="AJ13" s="135"/>
      <c r="AK13" s="135"/>
      <c r="AL13" s="177"/>
      <c r="AM13" s="177"/>
      <c r="AN13" s="177"/>
      <c r="AO13" s="177"/>
      <c r="AP13" s="177"/>
      <c r="AQ13" s="135"/>
      <c r="AR13" s="135"/>
    </row>
    <row r="14" spans="1:44" s="144" customFormat="1" ht="46.35" customHeight="1" x14ac:dyDescent="0.3">
      <c r="B14" s="145"/>
      <c r="C14" s="145" t="s">
        <v>621</v>
      </c>
      <c r="D14" s="145" t="s">
        <v>622</v>
      </c>
      <c r="E14" s="146" t="s">
        <v>151</v>
      </c>
      <c r="F14" s="147" t="str">
        <f>+F8</f>
        <v>HORAS EXTRAS</v>
      </c>
      <c r="G14" s="147" t="str">
        <f t="shared" ref="G14:AI14" si="3">+G8</f>
        <v>SEGURO CONVENIO</v>
      </c>
      <c r="H14" s="147" t="str">
        <f t="shared" si="3"/>
        <v>PLUS UNIFICADO</v>
      </c>
      <c r="I14" s="147" t="str">
        <f t="shared" si="3"/>
        <v>GARANTIA AD PERS</v>
      </c>
      <c r="J14" s="147" t="str">
        <f t="shared" si="3"/>
        <v>COMISIONES</v>
      </c>
      <c r="K14" s="147" t="str">
        <f t="shared" si="3"/>
        <v>DOMINGOS Y FESTIVOS</v>
      </c>
      <c r="L14" s="147" t="str">
        <f t="shared" si="3"/>
        <v>LOCOMOCION NO</v>
      </c>
      <c r="M14" s="147" t="str">
        <f t="shared" si="3"/>
        <v>PLUS EXTRA VAC</v>
      </c>
      <c r="N14" s="147" t="str">
        <f t="shared" si="3"/>
        <v>PLUS DE TRANS</v>
      </c>
      <c r="O14" s="147" t="str">
        <f t="shared" si="3"/>
        <v>PLUS ACTIVIDAD</v>
      </c>
      <c r="P14" s="147" t="str">
        <f t="shared" si="3"/>
        <v>CUOTA SINDICAL</v>
      </c>
      <c r="Q14" s="147" t="str">
        <f t="shared" si="3"/>
        <v>AYUDA FAMILIAR</v>
      </c>
      <c r="R14" s="147" t="str">
        <f t="shared" si="3"/>
        <v>INCENTIVO</v>
      </c>
      <c r="S14" s="147" t="str">
        <f t="shared" si="3"/>
        <v>SEGURO MEDICO</v>
      </c>
      <c r="T14" s="147" t="str">
        <f t="shared" si="3"/>
        <v>DES. SEGURO MEDICO</v>
      </c>
      <c r="U14" s="147" t="str">
        <f t="shared" si="3"/>
        <v>SEGURO SALUD 2</v>
      </c>
      <c r="V14" s="147" t="str">
        <f t="shared" si="3"/>
        <v>COMP. EMPRESA I.T.</v>
      </c>
      <c r="W14" s="147" t="str">
        <f t="shared" si="3"/>
        <v>I.T. CUENTA EMPRESA</v>
      </c>
      <c r="X14" s="147" t="str">
        <f t="shared" si="3"/>
        <v>SALARIO EN ESPECIE</v>
      </c>
      <c r="Y14" s="147" t="str">
        <f t="shared" si="3"/>
        <v>PLUS DE POLIVALENCIA</v>
      </c>
      <c r="Z14" s="147" t="str">
        <f t="shared" si="3"/>
        <v>LIQUID  PAGAS EXTRA</v>
      </c>
      <c r="AA14" s="147" t="str">
        <f t="shared" si="3"/>
        <v>[ocultar]</v>
      </c>
      <c r="AB14" s="147" t="str">
        <f t="shared" si="3"/>
        <v>[ocultar]</v>
      </c>
      <c r="AC14" s="147" t="str">
        <f t="shared" si="3"/>
        <v>[ocultar]</v>
      </c>
      <c r="AD14" s="147" t="str">
        <f t="shared" si="3"/>
        <v>[ocultar]</v>
      </c>
      <c r="AE14" s="147" t="str">
        <f t="shared" si="3"/>
        <v>[ocultar]</v>
      </c>
      <c r="AF14" s="147" t="str">
        <f t="shared" si="3"/>
        <v>[ocultar]</v>
      </c>
      <c r="AG14" s="147" t="str">
        <f t="shared" si="3"/>
        <v>[ocultar]</v>
      </c>
      <c r="AH14" s="147" t="str">
        <f t="shared" si="3"/>
        <v>[ocultar]</v>
      </c>
      <c r="AI14" s="147" t="str">
        <f t="shared" si="3"/>
        <v>[ocultar]</v>
      </c>
      <c r="AJ14" s="148" t="s">
        <v>153</v>
      </c>
      <c r="AK14" s="149" t="s">
        <v>155</v>
      </c>
      <c r="AL14" s="150" t="str">
        <f>+AL8</f>
        <v>[ocultar]</v>
      </c>
      <c r="AM14" s="150" t="str">
        <f t="shared" ref="AM14:AP14" si="4">+AM8</f>
        <v>[ocultar]</v>
      </c>
      <c r="AN14" s="150" t="str">
        <f t="shared" si="4"/>
        <v>[ocultar]</v>
      </c>
      <c r="AO14" s="150" t="str">
        <f t="shared" si="4"/>
        <v>[ocultar]</v>
      </c>
      <c r="AP14" s="150" t="str">
        <f t="shared" si="4"/>
        <v>[ocultar]</v>
      </c>
      <c r="AQ14" s="151" t="s">
        <v>157</v>
      </c>
      <c r="AR14" s="148" t="s">
        <v>159</v>
      </c>
    </row>
    <row r="15" spans="1:44" s="152" customFormat="1" ht="14.4" thickBot="1" x14ac:dyDescent="0.3">
      <c r="A15" s="152" t="str">
        <f>+A16</f>
        <v>[ocultar]</v>
      </c>
      <c r="B15" s="153" t="s">
        <v>178</v>
      </c>
      <c r="C15" s="154"/>
      <c r="D15" s="155"/>
      <c r="E15" s="156" t="str">
        <f t="shared" ref="E15" si="5">IFERROR((E16-E17)/E16,"")</f>
        <v/>
      </c>
      <c r="F15" s="157" t="str">
        <f>IFERROR((F16-F17)/F16,"")</f>
        <v/>
      </c>
      <c r="G15" s="158" t="str">
        <f t="shared" ref="G15:AR15" si="6">IFERROR((G16-G17)/G16,"")</f>
        <v/>
      </c>
      <c r="H15" s="158" t="str">
        <f t="shared" si="6"/>
        <v/>
      </c>
      <c r="I15" s="158" t="str">
        <f t="shared" si="6"/>
        <v/>
      </c>
      <c r="J15" s="159" t="str">
        <f t="shared" si="6"/>
        <v/>
      </c>
      <c r="K15" s="160" t="str">
        <f t="shared" si="6"/>
        <v/>
      </c>
      <c r="L15" s="160" t="str">
        <f t="shared" si="6"/>
        <v/>
      </c>
      <c r="M15" s="160" t="str">
        <f t="shared" si="6"/>
        <v/>
      </c>
      <c r="N15" s="160" t="str">
        <f t="shared" si="6"/>
        <v/>
      </c>
      <c r="O15" s="160" t="str">
        <f t="shared" si="6"/>
        <v/>
      </c>
      <c r="P15" s="160" t="str">
        <f t="shared" si="6"/>
        <v/>
      </c>
      <c r="Q15" s="160" t="str">
        <f t="shared" si="6"/>
        <v/>
      </c>
      <c r="R15" s="160" t="str">
        <f t="shared" si="6"/>
        <v/>
      </c>
      <c r="S15" s="160" t="str">
        <f t="shared" si="6"/>
        <v/>
      </c>
      <c r="T15" s="160" t="str">
        <f t="shared" si="6"/>
        <v/>
      </c>
      <c r="U15" s="160" t="str">
        <f t="shared" si="6"/>
        <v/>
      </c>
      <c r="V15" s="159" t="str">
        <f t="shared" si="6"/>
        <v/>
      </c>
      <c r="W15" s="159" t="str">
        <f t="shared" si="6"/>
        <v/>
      </c>
      <c r="X15" s="159" t="str">
        <f t="shared" si="6"/>
        <v/>
      </c>
      <c r="Y15" s="159" t="str">
        <f t="shared" si="6"/>
        <v/>
      </c>
      <c r="Z15" s="159" t="str">
        <f t="shared" si="6"/>
        <v/>
      </c>
      <c r="AA15" s="159" t="str">
        <f t="shared" si="6"/>
        <v/>
      </c>
      <c r="AB15" s="159" t="str">
        <f t="shared" si="6"/>
        <v/>
      </c>
      <c r="AC15" s="159" t="str">
        <f t="shared" si="6"/>
        <v/>
      </c>
      <c r="AD15" s="159" t="str">
        <f t="shared" si="6"/>
        <v/>
      </c>
      <c r="AE15" s="159" t="str">
        <f t="shared" si="6"/>
        <v/>
      </c>
      <c r="AF15" s="159" t="str">
        <f t="shared" si="6"/>
        <v/>
      </c>
      <c r="AG15" s="159" t="str">
        <f t="shared" si="6"/>
        <v/>
      </c>
      <c r="AH15" s="159" t="str">
        <f t="shared" si="6"/>
        <v/>
      </c>
      <c r="AI15" s="159" t="str">
        <f t="shared" si="6"/>
        <v/>
      </c>
      <c r="AJ15" s="161" t="str">
        <f t="shared" si="6"/>
        <v/>
      </c>
      <c r="AK15" s="162" t="str">
        <f t="shared" si="6"/>
        <v/>
      </c>
      <c r="AL15" s="163" t="str">
        <f t="shared" si="6"/>
        <v/>
      </c>
      <c r="AM15" s="163" t="str">
        <f t="shared" si="6"/>
        <v/>
      </c>
      <c r="AN15" s="163" t="str">
        <f t="shared" si="6"/>
        <v/>
      </c>
      <c r="AO15" s="163" t="str">
        <f t="shared" si="6"/>
        <v/>
      </c>
      <c r="AP15" s="163" t="str">
        <f t="shared" si="6"/>
        <v/>
      </c>
      <c r="AQ15" s="164" t="str">
        <f t="shared" si="6"/>
        <v/>
      </c>
      <c r="AR15" s="161" t="str">
        <f t="shared" si="6"/>
        <v/>
      </c>
    </row>
    <row r="16" spans="1:44" s="152" customFormat="1" x14ac:dyDescent="0.25">
      <c r="A16" s="152" t="str">
        <f>+IF(C16+C17=0,"[ocultar]","")</f>
        <v>[ocultar]</v>
      </c>
      <c r="B16" s="166" t="s">
        <v>394</v>
      </c>
      <c r="C16" s="167">
        <f t="array" ref="C16">SUM(IF($B16=DATOS_[Sexo],
IF($B15=DATOS_[AGRUP. CLAS. PROF.],
IF("Dentro"=DATOS_[Check Periodo Ref.],
1/(COUNTIFS(DATOS_[Sexo],$B16,DATOS_[AGRUP. CLAS. PROF.],$B15,DATOS_[Check Periodo Ref.],"Dentro",DATOS_[id/cod],DATOS_[id/cod]))))))</f>
        <v>0</v>
      </c>
      <c r="D16" s="168">
        <f>COUNTIFS(DATOS_[AGRUP. CLAS. PROF.],$B15,DATOS_[Sexo],$B16,DATOS_[Check Periodo Ref.],"Dentro")</f>
        <v>0</v>
      </c>
      <c r="E16" s="169">
        <f t="array" ref="E16">IFERROR(
AVERAGE(IF(DATOS_[Sexo]=$B16,IF(DATOS_[AGRUP. CLAS. PROF.]=$B15,IF(DATOS_[Check Periodo Ref.]="Dentro",DATOS_[SALARIO BASE Ef],FALSE)))),
0)</f>
        <v>0</v>
      </c>
      <c r="F16" s="170">
        <f t="array" ref="F16">IFERROR(
AVERAGE((IF(DATOS_[[Sexo]:[Sexo]]=$B16,IF(DATOS_[[AGRUP. CLAS. PROF.]:[AGRUP. CLAS. PROF.]]=$B15,IF(DATOS_[[Check Periodo Ref.]:[Check Periodo Ref.]]="Dentro",DATOS_[Conc.Sal.01]))))),
0)</f>
        <v>0</v>
      </c>
      <c r="G16" s="170">
        <f t="array" ref="G16">IFERROR(
AVERAGE((IF(DATOS_[[Sexo]:[Sexo]]=$B16,IF(DATOS_[[AGRUP. CLAS. PROF.]:[AGRUP. CLAS. PROF.]]=$B15,IF(DATOS_[[Check Periodo Ref.]:[Check Periodo Ref.]]="Dentro",DATOS_[Conc.Sal.02]))))),
0)</f>
        <v>0</v>
      </c>
      <c r="H16" s="170">
        <f t="array" ref="H16">IFERROR(
AVERAGE((IF(DATOS_[[Sexo]:[Sexo]]=$B16,IF(DATOS_[[AGRUP. CLAS. PROF.]:[AGRUP. CLAS. PROF.]]=$B15,IF(DATOS_[[Check Periodo Ref.]:[Check Periodo Ref.]]="Dentro",DATOS_[Conc.Sal.03]))))),
0)</f>
        <v>0</v>
      </c>
      <c r="I16" s="170">
        <f t="array" ref="I16">IFERROR(
AVERAGE((IF(DATOS_[[Sexo]:[Sexo]]=$B16,IF(DATOS_[[AGRUP. CLAS. PROF.]:[AGRUP. CLAS. PROF.]]=$B15,IF(DATOS_[[Check Periodo Ref.]:[Check Periodo Ref.]]="Dentro",DATOS_[Conc.Sal.04]))))),
0)</f>
        <v>0</v>
      </c>
      <c r="J16" s="170">
        <f t="array" ref="J16">IFERROR(
AVERAGE((IF(DATOS_[[Sexo]:[Sexo]]=$B16,IF(DATOS_[[AGRUP. CLAS. PROF.]:[AGRUP. CLAS. PROF.]]=$B15,IF(DATOS_[[Check Periodo Ref.]:[Check Periodo Ref.]]="Dentro",DATOS_[Conc.Sal.05]))))),
0)</f>
        <v>0</v>
      </c>
      <c r="K16" s="170">
        <f t="array" ref="K16">IFERROR(
AVERAGE((IF(DATOS_[[Sexo]:[Sexo]]=$B16,IF(DATOS_[[AGRUP. CLAS. PROF.]:[AGRUP. CLAS. PROF.]]=$B15,IF(DATOS_[[Check Periodo Ref.]:[Check Periodo Ref.]]="Dentro",DATOS_[Conc.Sal.06]))))),
0)</f>
        <v>0</v>
      </c>
      <c r="L16" s="170">
        <f t="array" ref="L16">IFERROR(
AVERAGE((IF(DATOS_[[Sexo]:[Sexo]]=$B16,IF(DATOS_[[AGRUP. CLAS. PROF.]:[AGRUP. CLAS. PROF.]]=$B15,IF(DATOS_[[Check Periodo Ref.]:[Check Periodo Ref.]]="Dentro",DATOS_[Conc.Sal.07]))))),
0)</f>
        <v>0</v>
      </c>
      <c r="M16" s="170">
        <f t="array" ref="M16">IFERROR(
AVERAGE((IF(DATOS_[[Sexo]:[Sexo]]=$B16,IF(DATOS_[[AGRUP. CLAS. PROF.]:[AGRUP. CLAS. PROF.]]=$B15,IF(DATOS_[[Check Periodo Ref.]:[Check Periodo Ref.]]="Dentro",DATOS_[Conc.Sal.08]))))),
0)</f>
        <v>0</v>
      </c>
      <c r="N16" s="170">
        <f t="array" ref="N16">IFERROR(
AVERAGE((IF(DATOS_[[Sexo]:[Sexo]]=$B16,IF(DATOS_[[AGRUP. CLAS. PROF.]:[AGRUP. CLAS. PROF.]]=$B15,IF(DATOS_[[Check Periodo Ref.]:[Check Periodo Ref.]]="Dentro",DATOS_[Conc.Sal.09]))))),
0)</f>
        <v>0</v>
      </c>
      <c r="O16" s="170">
        <f t="array" ref="O16">IFERROR(
AVERAGE((IF(DATOS_[[Sexo]:[Sexo]]=$B16,IF(DATOS_[[AGRUP. CLAS. PROF.]:[AGRUP. CLAS. PROF.]]=$B15,IF(DATOS_[[Check Periodo Ref.]:[Check Periodo Ref.]]="Dentro",DATOS_[Conc.Sal.10]))))),
0)</f>
        <v>0</v>
      </c>
      <c r="P16" s="170">
        <f t="array" ref="P16">IFERROR(
AVERAGE((IF(DATOS_[[Sexo]:[Sexo]]=$B16,IF(DATOS_[[AGRUP. CLAS. PROF.]:[AGRUP. CLAS. PROF.]]=$B15,IF(DATOS_[[Check Periodo Ref.]:[Check Periodo Ref.]]="Dentro",DATOS_[Conc.Sal.11]))))),
0)</f>
        <v>0</v>
      </c>
      <c r="Q16" s="170">
        <f t="array" ref="Q16">IFERROR(
AVERAGE((IF(DATOS_[[Sexo]:[Sexo]]=$B16,IF(DATOS_[[AGRUP. CLAS. PROF.]:[AGRUP. CLAS. PROF.]]=$B15,IF(DATOS_[[Check Periodo Ref.]:[Check Periodo Ref.]]="Dentro",DATOS_[Conc.Sal.12]))))),
0)</f>
        <v>0</v>
      </c>
      <c r="R16" s="170">
        <f t="array" ref="R16">IFERROR(
AVERAGE((IF(DATOS_[[Sexo]:[Sexo]]=$B16,IF(DATOS_[[AGRUP. CLAS. PROF.]:[AGRUP. CLAS. PROF.]]=$B15,IF(DATOS_[[Check Periodo Ref.]:[Check Periodo Ref.]]="Dentro",DATOS_[Conc.Sal.13]))))),
0)</f>
        <v>0</v>
      </c>
      <c r="S16" s="170">
        <f t="array" ref="S16">IFERROR(
AVERAGE((IF(DATOS_[[Sexo]:[Sexo]]=$B16,IF(DATOS_[[AGRUP. CLAS. PROF.]:[AGRUP. CLAS. PROF.]]=$B15,IF(DATOS_[[Check Periodo Ref.]:[Check Periodo Ref.]]="Dentro",DATOS_[Conc.Sal.14]))))),
0)</f>
        <v>0</v>
      </c>
      <c r="T16" s="170">
        <f t="array" ref="T16">IFERROR(
AVERAGE((IF(DATOS_[[Sexo]:[Sexo]]=$B16,IF(DATOS_[[AGRUP. CLAS. PROF.]:[AGRUP. CLAS. PROF.]]=$B15,IF(DATOS_[[Check Periodo Ref.]:[Check Periodo Ref.]]="Dentro",DATOS_[Conc.Sal.15]))))),
0)</f>
        <v>0</v>
      </c>
      <c r="U16" s="170">
        <f t="array" ref="U16">IFERROR(
AVERAGE((IF(DATOS_[[Sexo]:[Sexo]]=$B16,IF(DATOS_[[AGRUP. CLAS. PROF.]:[AGRUP. CLAS. PROF.]]=$B15,IF(DATOS_[[Check Periodo Ref.]:[Check Periodo Ref.]]="Dentro",DATOS_[Conc.Sal.16]))))),
0)</f>
        <v>0</v>
      </c>
      <c r="V16" s="170">
        <f t="array" ref="V16">IFERROR(
AVERAGE((IF(DATOS_[[Sexo]:[Sexo]]=$B16,IF(DATOS_[[AGRUP. CLAS. PROF.]:[AGRUP. CLAS. PROF.]]=$B15,IF(DATOS_[[Check Periodo Ref.]:[Check Periodo Ref.]]="Dentro",DATOS_[Conc.Sal.17]))))),
0)</f>
        <v>0</v>
      </c>
      <c r="W16" s="170">
        <f t="array" ref="W16">IFERROR(
AVERAGE((IF(DATOS_[[Sexo]:[Sexo]]=$B16,IF(DATOS_[[AGRUP. CLAS. PROF.]:[AGRUP. CLAS. PROF.]]=$B15,IF(DATOS_[[Check Periodo Ref.]:[Check Periodo Ref.]]="Dentro",DATOS_[Conc.Sal.18]))))),
0)</f>
        <v>0</v>
      </c>
      <c r="X16" s="170">
        <f t="array" ref="X16">IFERROR(
AVERAGE((IF(DATOS_[[Sexo]:[Sexo]]=$B16,IF(DATOS_[[AGRUP. CLAS. PROF.]:[AGRUP. CLAS. PROF.]]=$B15,IF(DATOS_[[Check Periodo Ref.]:[Check Periodo Ref.]]="Dentro",DATOS_[Conc.Sal.19]))))),
0)</f>
        <v>0</v>
      </c>
      <c r="Y16" s="170">
        <f t="array" ref="Y16">IFERROR(
AVERAGE((IF(DATOS_[[Sexo]:[Sexo]]=$B16,IF(DATOS_[[AGRUP. CLAS. PROF.]:[AGRUP. CLAS. PROF.]]=$B15,IF(DATOS_[[Check Periodo Ref.]:[Check Periodo Ref.]]="Dentro",DATOS_[Conc.Sal.20]))))),
0)</f>
        <v>0</v>
      </c>
      <c r="Z16" s="170">
        <f t="array" ref="Z16">IFERROR(
AVERAGE((IF(DATOS_[[Sexo]:[Sexo]]=$B16,IF(DATOS_[[AGRUP. CLAS. PROF.]:[AGRUP. CLAS. PROF.]]=$B15,IF(DATOS_[[Check Periodo Ref.]:[Check Periodo Ref.]]="Dentro",DATOS_[Conc.Sal.21]))))),
0)</f>
        <v>0</v>
      </c>
      <c r="AA16" s="170">
        <f t="array" ref="AA16">IFERROR(
AVERAGE((IF(DATOS_[[Sexo]:[Sexo]]=$B16,IF(DATOS_[[AGRUP. CLAS. PROF.]:[AGRUP. CLAS. PROF.]]=$B15,IF(DATOS_[[Check Periodo Ref.]:[Check Periodo Ref.]]="Dentro",DATOS_[Conc.Sal.22]))))),
0)</f>
        <v>0</v>
      </c>
      <c r="AB16" s="170">
        <f t="array" ref="AB16">IFERROR(
AVERAGE((IF(DATOS_[[Sexo]:[Sexo]]=$B16,IF(DATOS_[[AGRUP. CLAS. PROF.]:[AGRUP. CLAS. PROF.]]=$B15,IF(DATOS_[[Check Periodo Ref.]:[Check Periodo Ref.]]="Dentro",DATOS_[Conc.Sal.23]))))),
0)</f>
        <v>0</v>
      </c>
      <c r="AC16" s="170">
        <f t="array" ref="AC16">IFERROR(
AVERAGE((IF(DATOS_[[Sexo]:[Sexo]]=$B16,IF(DATOS_[[AGRUP. CLAS. PROF.]:[AGRUP. CLAS. PROF.]]=$B15,IF(DATOS_[[Check Periodo Ref.]:[Check Periodo Ref.]]="Dentro",DATOS_[Conc.Sal.24]))))),
0)</f>
        <v>0</v>
      </c>
      <c r="AD16" s="170">
        <f t="array" ref="AD16">IFERROR(
AVERAGE((IF(DATOS_[[Sexo]:[Sexo]]=$B16,IF(DATOS_[[AGRUP. CLAS. PROF.]:[AGRUP. CLAS. PROF.]]=$B15,IF(DATOS_[[Check Periodo Ref.]:[Check Periodo Ref.]]="Dentro",DATOS_[Conc.Sal.25]))))),
0)</f>
        <v>0</v>
      </c>
      <c r="AE16" s="170">
        <f t="array" ref="AE16">IFERROR(
AVERAGE((IF(DATOS_[[Sexo]:[Sexo]]=$B16,IF(DATOS_[[AGRUP. CLAS. PROF.]:[AGRUP. CLAS. PROF.]]=$B15,IF(DATOS_[[Check Periodo Ref.]:[Check Periodo Ref.]]="Dentro",DATOS_[Conc.Sal.26]))))),
0)</f>
        <v>0</v>
      </c>
      <c r="AF16" s="170">
        <f t="array" ref="AF16">IFERROR(
AVERAGE((IF(DATOS_[[Sexo]:[Sexo]]=$B16,IF(DATOS_[[AGRUP. CLAS. PROF.]:[AGRUP. CLAS. PROF.]]=$B15,IF(DATOS_[[Check Periodo Ref.]:[Check Periodo Ref.]]="Dentro",DATOS_[Conc.Sal.27]))))),
0)</f>
        <v>0</v>
      </c>
      <c r="AG16" s="170">
        <f t="array" ref="AG16">IFERROR(
AVERAGE((IF(DATOS_[[Sexo]:[Sexo]]=$B16,IF(DATOS_[[AGRUP. CLAS. PROF.]:[AGRUP. CLAS. PROF.]]=$B15,IF(DATOS_[[Check Periodo Ref.]:[Check Periodo Ref.]]="Dentro",DATOS_[Conc.Sal.28]))))),
0)</f>
        <v>0</v>
      </c>
      <c r="AH16" s="170">
        <f t="array" ref="AH16">IFERROR(
AVERAGE((IF(DATOS_[[Sexo]:[Sexo]]=$B16,IF(DATOS_[[AGRUP. CLAS. PROF.]:[AGRUP. CLAS. PROF.]]=$B15,IF(DATOS_[[Check Periodo Ref.]:[Check Periodo Ref.]]="Dentro",DATOS_[Conc.Sal.29]))))),
0)</f>
        <v>0</v>
      </c>
      <c r="AI16" s="170">
        <f t="array" ref="AI16">IFERROR(
AVERAGE((IF(DATOS_[[Sexo]:[Sexo]]=$B16,IF(DATOS_[[AGRUP. CLAS. PROF.]:[AGRUP. CLAS. PROF.]]=$B15,IF(DATOS_[[Check Periodo Ref.]:[Check Periodo Ref.]]="Dentro",DATOS_[Conc.Sal.30]))))),
0)</f>
        <v>0</v>
      </c>
      <c r="AJ16" s="171">
        <f t="array" ref="AJ16">IFERROR(
AVERAGE(IF(DATOS_[Sexo]=$B16,IF(DATOS_[AGRUP. CLAS. PROF.]=$B15,IF(DATOS_[Check Periodo Ref.]="Dentro",DATOS_[Tot COMPL.SAL Ef],FALSE)))),
0)</f>
        <v>0</v>
      </c>
      <c r="AK16" s="172">
        <f t="array" ref="AK16">IFERROR(
AVERAGE(IF(DATOS_[Sexo]=$B16,IF(DATOS_[AGRUP. CLAS. PROF.]=$B15,IF(DATOS_[Check Periodo Ref.]="Dentro",DATOS_[TOTAL SALARIO Ef],FALSE)))),
0)</f>
        <v>0</v>
      </c>
      <c r="AL16" s="173">
        <f t="array" ref="AL16">IFERROR(
AVERAGE((IF(DATOS_[[Sexo]:[Sexo]]=$B16,IF(DATOS_[[AGRUP. CLAS. PROF.]:[AGRUP. CLAS. PROF.]]=$B15,IF(DATOS_[[Check Periodo Ref.]:[Check Periodo Ref.]]="Dentro",DATOS_[C.Extra.01]))))),
0)</f>
        <v>0</v>
      </c>
      <c r="AM16" s="173">
        <f t="array" ref="AM16">IFERROR(
AVERAGE((IF(DATOS_[[Sexo]:[Sexo]]=$B16,IF(DATOS_[[AGRUP. CLAS. PROF.]:[AGRUP. CLAS. PROF.]]=$B15,IF(DATOS_[[Check Periodo Ref.]:[Check Periodo Ref.]]="Dentro",DATOS_[C.Extra.06]))))),
0)</f>
        <v>0</v>
      </c>
      <c r="AN16" s="173">
        <f t="array" ref="AN16">IFERROR(
AVERAGE((IF(DATOS_[[Sexo]:[Sexo]]=$B16,IF(DATOS_[[AGRUP. CLAS. PROF.]:[AGRUP. CLAS. PROF.]]=$B15,IF(DATOS_[[Check Periodo Ref.]:[Check Periodo Ref.]]="Dentro",DATOS_[C.Extra.07]))))),
0)</f>
        <v>0</v>
      </c>
      <c r="AO16" s="173">
        <f t="array" ref="AO16">IFERROR(
AVERAGE((IF(DATOS_[[Sexo]:[Sexo]]=$B16,IF(DATOS_[[AGRUP. CLAS. PROF.]:[AGRUP. CLAS. PROF.]]=$B15,IF(DATOS_[[Check Periodo Ref.]:[Check Periodo Ref.]]="Dentro",DATOS_[C.Extra.08]))))),
0)</f>
        <v>0</v>
      </c>
      <c r="AP16" s="173">
        <f t="array" ref="AP16">IFERROR(
AVERAGE((IF(DATOS_[[Sexo]:[Sexo]]=$B16,IF(DATOS_[[AGRUP. CLAS. PROF.]:[AGRUP. CLAS. PROF.]]=$B15,IF(DATOS_[[Check Periodo Ref.]:[Check Periodo Ref.]]="Dentro",DATOS_[C.Extra.11]))))),
0)</f>
        <v>0</v>
      </c>
      <c r="AQ16" s="174">
        <f t="array" ref="AQ16">IFERROR(
AVERAGE(IF(DATOS_[Sexo]=$B16,IF(DATOS_[AGRUP. CLAS. PROF.]=$B15,IF(DATOS_[Check Periodo Ref.]="Dentro",DATOS_[Tot Extrasalarial Ef],FALSE)))),
0)</f>
        <v>0</v>
      </c>
      <c r="AR16" s="171">
        <f t="array" ref="AR16">IFERROR(
AVERAGE(IF(DATOS_[Sexo]=$B16,IF(DATOS_[AGRUP. CLAS. PROF.]=$B15,IF(DATOS_[Check Periodo Ref.]="Dentro",DATOS_[TOTAL Retrib Ef],FALSE)))),
0)</f>
        <v>0</v>
      </c>
    </row>
    <row r="17" spans="1:44" s="152" customFormat="1" x14ac:dyDescent="0.25">
      <c r="A17" s="152" t="str">
        <f>+A16</f>
        <v>[ocultar]</v>
      </c>
      <c r="B17" s="166" t="s">
        <v>521</v>
      </c>
      <c r="C17" s="167">
        <f t="array" ref="C17">SUM(IF($B17=DATOS_[Sexo],
IF($B15=DATOS_[AGRUP. CLAS. PROF.],
IF("Dentro"=DATOS_[Check Periodo Ref.],
1/(COUNTIFS(DATOS_[Sexo],$B17,DATOS_[AGRUP. CLAS. PROF.],$B15,DATOS_[Check Periodo Ref.],"Dentro",DATOS_[id/cod],DATOS_[id/cod]))))))</f>
        <v>0</v>
      </c>
      <c r="D17" s="168">
        <f>COUNTIFS(DATOS_[AGRUP. CLAS. PROF.],$B15,DATOS_[Sexo],$B17,DATOS_[Check Periodo Ref.],"Dentro")</f>
        <v>0</v>
      </c>
      <c r="E17" s="169">
        <f t="array" ref="E17">IFERROR(
AVERAGE(IF(DATOS_[Sexo]=$B17,IF(DATOS_[AGRUP. CLAS. PROF.]=$B15,IF(DATOS_[Check Periodo Ref.]="Dentro",DATOS_[SALARIO BASE Ef],FALSE)))),
0)</f>
        <v>0</v>
      </c>
      <c r="F17" s="170">
        <f t="array" ref="F17">IFERROR(
AVERAGE((IF(DATOS_[[Sexo]:[Sexo]]=$B17,IF(DATOS_[[AGRUP. CLAS. PROF.]:[AGRUP. CLAS. PROF.]]=$B15,IF(DATOS_[[Check Periodo Ref.]:[Check Periodo Ref.]]="Dentro",DATOS_[Conc.Sal.01]))))),
0)</f>
        <v>0</v>
      </c>
      <c r="G17" s="170">
        <f t="array" ref="G17">IFERROR(
AVERAGE((IF(DATOS_[[Sexo]:[Sexo]]=$B17,IF(DATOS_[[AGRUP. CLAS. PROF.]:[AGRUP. CLAS. PROF.]]=$B15,IF(DATOS_[[Check Periodo Ref.]:[Check Periodo Ref.]]="Dentro",DATOS_[Conc.Sal.02]))))),
0)</f>
        <v>0</v>
      </c>
      <c r="H17" s="170">
        <f t="array" ref="H17">IFERROR(
AVERAGE((IF(DATOS_[[Sexo]:[Sexo]]=$B17,IF(DATOS_[[AGRUP. CLAS. PROF.]:[AGRUP. CLAS. PROF.]]=$B15,IF(DATOS_[[Check Periodo Ref.]:[Check Periodo Ref.]]="Dentro",DATOS_[Conc.Sal.03]))))),
0)</f>
        <v>0</v>
      </c>
      <c r="I17" s="170">
        <f t="array" ref="I17">IFERROR(
AVERAGE((IF(DATOS_[[Sexo]:[Sexo]]=$B17,IF(DATOS_[[AGRUP. CLAS. PROF.]:[AGRUP. CLAS. PROF.]]=$B15,IF(DATOS_[[Check Periodo Ref.]:[Check Periodo Ref.]]="Dentro",DATOS_[Conc.Sal.04]))))),
0)</f>
        <v>0</v>
      </c>
      <c r="J17" s="170">
        <f t="array" ref="J17">IFERROR(
AVERAGE((IF(DATOS_[[Sexo]:[Sexo]]=$B17,IF(DATOS_[[AGRUP. CLAS. PROF.]:[AGRUP. CLAS. PROF.]]=$B15,IF(DATOS_[[Check Periodo Ref.]:[Check Periodo Ref.]]="Dentro",DATOS_[Conc.Sal.05]))))),
0)</f>
        <v>0</v>
      </c>
      <c r="K17" s="170">
        <f t="array" ref="K17">IFERROR(
AVERAGE((IF(DATOS_[[Sexo]:[Sexo]]=$B17,IF(DATOS_[[AGRUP. CLAS. PROF.]:[AGRUP. CLAS. PROF.]]=$B15,IF(DATOS_[[Check Periodo Ref.]:[Check Periodo Ref.]]="Dentro",DATOS_[Conc.Sal.06]))))),
0)</f>
        <v>0</v>
      </c>
      <c r="L17" s="170">
        <f t="array" ref="L17">IFERROR(
AVERAGE((IF(DATOS_[[Sexo]:[Sexo]]=$B17,IF(DATOS_[[AGRUP. CLAS. PROF.]:[AGRUP. CLAS. PROF.]]=$B15,IF(DATOS_[[Check Periodo Ref.]:[Check Periodo Ref.]]="Dentro",DATOS_[Conc.Sal.07]))))),
0)</f>
        <v>0</v>
      </c>
      <c r="M17" s="170">
        <f t="array" ref="M17">IFERROR(
AVERAGE((IF(DATOS_[[Sexo]:[Sexo]]=$B17,IF(DATOS_[[AGRUP. CLAS. PROF.]:[AGRUP. CLAS. PROF.]]=$B15,IF(DATOS_[[Check Periodo Ref.]:[Check Periodo Ref.]]="Dentro",DATOS_[Conc.Sal.08]))))),
0)</f>
        <v>0</v>
      </c>
      <c r="N17" s="170">
        <f t="array" ref="N17">IFERROR(
AVERAGE((IF(DATOS_[[Sexo]:[Sexo]]=$B17,IF(DATOS_[[AGRUP. CLAS. PROF.]:[AGRUP. CLAS. PROF.]]=$B15,IF(DATOS_[[Check Periodo Ref.]:[Check Periodo Ref.]]="Dentro",DATOS_[Conc.Sal.09]))))),
0)</f>
        <v>0</v>
      </c>
      <c r="O17" s="170">
        <f t="array" ref="O17">IFERROR(
AVERAGE((IF(DATOS_[[Sexo]:[Sexo]]=$B17,IF(DATOS_[[AGRUP. CLAS. PROF.]:[AGRUP. CLAS. PROF.]]=$B15,IF(DATOS_[[Check Periodo Ref.]:[Check Periodo Ref.]]="Dentro",DATOS_[Conc.Sal.10]))))),
0)</f>
        <v>0</v>
      </c>
      <c r="P17" s="170">
        <f t="array" ref="P17">IFERROR(
AVERAGE((IF(DATOS_[[Sexo]:[Sexo]]=$B17,IF(DATOS_[[AGRUP. CLAS. PROF.]:[AGRUP. CLAS. PROF.]]=$B15,IF(DATOS_[[Check Periodo Ref.]:[Check Periodo Ref.]]="Dentro",DATOS_[Conc.Sal.11]))))),
0)</f>
        <v>0</v>
      </c>
      <c r="Q17" s="170">
        <f t="array" ref="Q17">IFERROR(
AVERAGE((IF(DATOS_[[Sexo]:[Sexo]]=$B17,IF(DATOS_[[AGRUP. CLAS. PROF.]:[AGRUP. CLAS. PROF.]]=$B15,IF(DATOS_[[Check Periodo Ref.]:[Check Periodo Ref.]]="Dentro",DATOS_[Conc.Sal.12]))))),
0)</f>
        <v>0</v>
      </c>
      <c r="R17" s="170">
        <f t="array" ref="R17">IFERROR(
AVERAGE((IF(DATOS_[[Sexo]:[Sexo]]=$B17,IF(DATOS_[[AGRUP. CLAS. PROF.]:[AGRUP. CLAS. PROF.]]=$B15,IF(DATOS_[[Check Periodo Ref.]:[Check Periodo Ref.]]="Dentro",DATOS_[Conc.Sal.13]))))),
0)</f>
        <v>0</v>
      </c>
      <c r="S17" s="170">
        <f t="array" ref="S17">IFERROR(
AVERAGE((IF(DATOS_[[Sexo]:[Sexo]]=$B17,IF(DATOS_[[AGRUP. CLAS. PROF.]:[AGRUP. CLAS. PROF.]]=$B15,IF(DATOS_[[Check Periodo Ref.]:[Check Periodo Ref.]]="Dentro",DATOS_[Conc.Sal.14]))))),
0)</f>
        <v>0</v>
      </c>
      <c r="T17" s="170">
        <f t="array" ref="T17">IFERROR(
AVERAGE((IF(DATOS_[[Sexo]:[Sexo]]=$B17,IF(DATOS_[[AGRUP. CLAS. PROF.]:[AGRUP. CLAS. PROF.]]=$B15,IF(DATOS_[[Check Periodo Ref.]:[Check Periodo Ref.]]="Dentro",DATOS_[Conc.Sal.15]))))),
0)</f>
        <v>0</v>
      </c>
      <c r="U17" s="170">
        <f t="array" ref="U17">IFERROR(
AVERAGE((IF(DATOS_[[Sexo]:[Sexo]]=$B17,IF(DATOS_[[AGRUP. CLAS. PROF.]:[AGRUP. CLAS. PROF.]]=$B15,IF(DATOS_[[Check Periodo Ref.]:[Check Periodo Ref.]]="Dentro",DATOS_[Conc.Sal.16]))))),
0)</f>
        <v>0</v>
      </c>
      <c r="V17" s="170">
        <f t="array" ref="V17">IFERROR(
AVERAGE((IF(DATOS_[[Sexo]:[Sexo]]=$B17,IF(DATOS_[[AGRUP. CLAS. PROF.]:[AGRUP. CLAS. PROF.]]=$B15,IF(DATOS_[[Check Periodo Ref.]:[Check Periodo Ref.]]="Dentro",DATOS_[Conc.Sal.17]))))),
0)</f>
        <v>0</v>
      </c>
      <c r="W17" s="170">
        <f t="array" ref="W17">IFERROR(
AVERAGE((IF(DATOS_[[Sexo]:[Sexo]]=$B17,IF(DATOS_[[AGRUP. CLAS. PROF.]:[AGRUP. CLAS. PROF.]]=$B15,IF(DATOS_[[Check Periodo Ref.]:[Check Periodo Ref.]]="Dentro",DATOS_[Conc.Sal.18]))))),
0)</f>
        <v>0</v>
      </c>
      <c r="X17" s="170">
        <f t="array" ref="X17">IFERROR(
AVERAGE((IF(DATOS_[[Sexo]:[Sexo]]=$B17,IF(DATOS_[[AGRUP. CLAS. PROF.]:[AGRUP. CLAS. PROF.]]=$B15,IF(DATOS_[[Check Periodo Ref.]:[Check Periodo Ref.]]="Dentro",DATOS_[Conc.Sal.19]))))),
0)</f>
        <v>0</v>
      </c>
      <c r="Y17" s="170">
        <f t="array" ref="Y17">IFERROR(
AVERAGE((IF(DATOS_[[Sexo]:[Sexo]]=$B17,IF(DATOS_[[AGRUP. CLAS. PROF.]:[AGRUP. CLAS. PROF.]]=$B15,IF(DATOS_[[Check Periodo Ref.]:[Check Periodo Ref.]]="Dentro",DATOS_[Conc.Sal.20]))))),
0)</f>
        <v>0</v>
      </c>
      <c r="Z17" s="170">
        <f t="array" ref="Z17">IFERROR(
AVERAGE((IF(DATOS_[[Sexo]:[Sexo]]=$B17,IF(DATOS_[[AGRUP. CLAS. PROF.]:[AGRUP. CLAS. PROF.]]=$B15,IF(DATOS_[[Check Periodo Ref.]:[Check Periodo Ref.]]="Dentro",DATOS_[Conc.Sal.21]))))),
0)</f>
        <v>0</v>
      </c>
      <c r="AA17" s="170">
        <f t="array" ref="AA17">IFERROR(
AVERAGE((IF(DATOS_[[Sexo]:[Sexo]]=$B17,IF(DATOS_[[AGRUP. CLAS. PROF.]:[AGRUP. CLAS. PROF.]]=$B15,IF(DATOS_[[Check Periodo Ref.]:[Check Periodo Ref.]]="Dentro",DATOS_[Conc.Sal.22]))))),
0)</f>
        <v>0</v>
      </c>
      <c r="AB17" s="170">
        <f t="array" ref="AB17">IFERROR(
AVERAGE((IF(DATOS_[[Sexo]:[Sexo]]=$B17,IF(DATOS_[[AGRUP. CLAS. PROF.]:[AGRUP. CLAS. PROF.]]=$B15,IF(DATOS_[[Check Periodo Ref.]:[Check Periodo Ref.]]="Dentro",DATOS_[Conc.Sal.23]))))),
0)</f>
        <v>0</v>
      </c>
      <c r="AC17" s="170">
        <f t="array" ref="AC17">IFERROR(
AVERAGE((IF(DATOS_[[Sexo]:[Sexo]]=$B17,IF(DATOS_[[AGRUP. CLAS. PROF.]:[AGRUP. CLAS. PROF.]]=$B15,IF(DATOS_[[Check Periodo Ref.]:[Check Periodo Ref.]]="Dentro",DATOS_[Conc.Sal.24]))))),
0)</f>
        <v>0</v>
      </c>
      <c r="AD17" s="170">
        <f t="array" ref="AD17">IFERROR(
AVERAGE((IF(DATOS_[[Sexo]:[Sexo]]=$B17,IF(DATOS_[[AGRUP. CLAS. PROF.]:[AGRUP. CLAS. PROF.]]=$B15,IF(DATOS_[[Check Periodo Ref.]:[Check Periodo Ref.]]="Dentro",DATOS_[Conc.Sal.25]))))),
0)</f>
        <v>0</v>
      </c>
      <c r="AE17" s="170">
        <f t="array" ref="AE17">IFERROR(
AVERAGE((IF(DATOS_[[Sexo]:[Sexo]]=$B17,IF(DATOS_[[AGRUP. CLAS. PROF.]:[AGRUP. CLAS. PROF.]]=$B15,IF(DATOS_[[Check Periodo Ref.]:[Check Periodo Ref.]]="Dentro",DATOS_[Conc.Sal.26]))))),
0)</f>
        <v>0</v>
      </c>
      <c r="AF17" s="170">
        <f t="array" ref="AF17">IFERROR(
AVERAGE((IF(DATOS_[[Sexo]:[Sexo]]=$B17,IF(DATOS_[[AGRUP. CLAS. PROF.]:[AGRUP. CLAS. PROF.]]=$B15,IF(DATOS_[[Check Periodo Ref.]:[Check Periodo Ref.]]="Dentro",DATOS_[Conc.Sal.27]))))),
0)</f>
        <v>0</v>
      </c>
      <c r="AG17" s="170">
        <f t="array" ref="AG17">IFERROR(
AVERAGE((IF(DATOS_[[Sexo]:[Sexo]]=$B17,IF(DATOS_[[AGRUP. CLAS. PROF.]:[AGRUP. CLAS. PROF.]]=$B15,IF(DATOS_[[Check Periodo Ref.]:[Check Periodo Ref.]]="Dentro",DATOS_[Conc.Sal.28]))))),
0)</f>
        <v>0</v>
      </c>
      <c r="AH17" s="170">
        <f t="array" ref="AH17">IFERROR(
AVERAGE((IF(DATOS_[[Sexo]:[Sexo]]=$B17,IF(DATOS_[[AGRUP. CLAS. PROF.]:[AGRUP. CLAS. PROF.]]=$B15,IF(DATOS_[[Check Periodo Ref.]:[Check Periodo Ref.]]="Dentro",DATOS_[Conc.Sal.29]))))),
0)</f>
        <v>0</v>
      </c>
      <c r="AI17" s="170">
        <f t="array" ref="AI17">IFERROR(
AVERAGE((IF(DATOS_[[Sexo]:[Sexo]]=$B17,IF(DATOS_[[AGRUP. CLAS. PROF.]:[AGRUP. CLAS. PROF.]]=$B15,IF(DATOS_[[Check Periodo Ref.]:[Check Periodo Ref.]]="Dentro",DATOS_[Conc.Sal.30]))))),
0)</f>
        <v>0</v>
      </c>
      <c r="AJ17" s="171">
        <f t="array" ref="AJ17">IFERROR(
AVERAGE(IF(DATOS_[Sexo]=$B17,IF(DATOS_[AGRUP. CLAS. PROF.]=$B15,IF(DATOS_[Check Periodo Ref.]="Dentro",DATOS_[Tot COMPL.SAL Ef],FALSE)))),
0)</f>
        <v>0</v>
      </c>
      <c r="AK17" s="172">
        <f t="array" ref="AK17">IFERROR(
AVERAGE(IF(DATOS_[Sexo]=$B17,IF(DATOS_[AGRUP. CLAS. PROF.]=$B15,IF(DATOS_[Check Periodo Ref.]="Dentro",DATOS_[TOTAL SALARIO Ef],FALSE)))),
0)</f>
        <v>0</v>
      </c>
      <c r="AL17" s="173">
        <f>IFERROR(
AVERAGE((IF(DATOS_[[Sexo]:[Sexo]]=$B17,IF(DATOS_[[AGRUP. CLAS. PROF.]:[AGRUP. CLAS. PROF.]]=$B15,IF(DATOS_[[Check Periodo Ref.]:[Check Periodo Ref.]]="Dentro",DATOS_[C.Extra.01]))))),
0)</f>
        <v>0</v>
      </c>
      <c r="AM17" s="173">
        <f t="array" ref="AM17">IFERROR(
AVERAGE((IF(DATOS_[[Sexo]:[Sexo]]=$B17,IF(DATOS_[[AGRUP. CLAS. PROF.]:[AGRUP. CLAS. PROF.]]=$B15,IF(DATOS_[[Check Periodo Ref.]:[Check Periodo Ref.]]="Dentro",DATOS_[C.Extra.06]))))),
0)</f>
        <v>0</v>
      </c>
      <c r="AN17" s="173">
        <f t="array" ref="AN17">IFERROR(
AVERAGE((IF(DATOS_[[Sexo]:[Sexo]]=$B17,IF(DATOS_[[AGRUP. CLAS. PROF.]:[AGRUP. CLAS. PROF.]]=$B15,IF(DATOS_[[Check Periodo Ref.]:[Check Periodo Ref.]]="Dentro",DATOS_[C.Extra.07]))))),
0)</f>
        <v>0</v>
      </c>
      <c r="AO17" s="173">
        <f t="array" ref="AO17">IFERROR(
AVERAGE((IF(DATOS_[[Sexo]:[Sexo]]=$B17,IF(DATOS_[[AGRUP. CLAS. PROF.]:[AGRUP. CLAS. PROF.]]=$B15,IF(DATOS_[[Check Periodo Ref.]:[Check Periodo Ref.]]="Dentro",DATOS_[C.Extra.08]))))),
0)</f>
        <v>0</v>
      </c>
      <c r="AP17" s="173">
        <f t="array" ref="AP17">IFERROR(
AVERAGE((IF(DATOS_[[Sexo]:[Sexo]]=$B17,IF(DATOS_[[AGRUP. CLAS. PROF.]:[AGRUP. CLAS. PROF.]]=$B15,IF(DATOS_[[Check Periodo Ref.]:[Check Periodo Ref.]]="Dentro",DATOS_[C.Extra.11]))))),
0)</f>
        <v>0</v>
      </c>
      <c r="AQ17" s="174">
        <f t="array" ref="AQ17">IFERROR(
AVERAGE(IF(DATOS_[Sexo]=$B17,IF(DATOS_[AGRUP. CLAS. PROF.]=$B15,IF(DATOS_[Check Periodo Ref.]="Dentro",DATOS_[Tot Extrasalarial Ef],FALSE)))),
0)</f>
        <v>0</v>
      </c>
      <c r="AR17" s="171">
        <f t="array" ref="AR17">IFERROR(
AVERAGE(IF(DATOS_[Sexo]=$B17,IF(DATOS_[AGRUP. CLAS. PROF.]=$B15,IF(DATOS_[Check Periodo Ref.]="Dentro",DATOS_[TOTAL Retrib Ef],FALSE)))),
0)</f>
        <v>0</v>
      </c>
    </row>
    <row r="18" spans="1:44" s="152" customFormat="1" ht="14.4" thickBot="1" x14ac:dyDescent="0.3">
      <c r="A18" s="152" t="str">
        <f t="shared" ref="A18" si="7">+A19</f>
        <v/>
      </c>
      <c r="B18" s="153" t="s">
        <v>182</v>
      </c>
      <c r="C18" s="154"/>
      <c r="D18" s="155"/>
      <c r="E18" s="156">
        <f t="shared" ref="E18:AR18" si="8">IFERROR((E19-E20)/E19,"")</f>
        <v>-1.4317908245920493E-2</v>
      </c>
      <c r="F18" s="157">
        <f t="shared" si="8"/>
        <v>0.14241768171741293</v>
      </c>
      <c r="G18" s="158">
        <f t="shared" si="8"/>
        <v>0</v>
      </c>
      <c r="H18" s="158">
        <f t="shared" si="8"/>
        <v>0</v>
      </c>
      <c r="I18" s="158">
        <f t="shared" si="8"/>
        <v>-1.1204178968884848</v>
      </c>
      <c r="J18" s="159">
        <f t="shared" si="8"/>
        <v>-0.12587372191092364</v>
      </c>
      <c r="K18" s="160">
        <f t="shared" si="8"/>
        <v>-5.1166965888689506E-2</v>
      </c>
      <c r="L18" s="160">
        <f t="shared" si="8"/>
        <v>-1.1246696035242287</v>
      </c>
      <c r="M18" s="160">
        <f t="shared" si="8"/>
        <v>1</v>
      </c>
      <c r="N18" s="160">
        <f t="shared" si="8"/>
        <v>3.051040775591668E-2</v>
      </c>
      <c r="O18" s="160">
        <f t="shared" si="8"/>
        <v>-17.830769230769228</v>
      </c>
      <c r="P18" s="160">
        <f t="shared" si="8"/>
        <v>-0.86358553857622078</v>
      </c>
      <c r="Q18" s="160">
        <f t="shared" si="8"/>
        <v>0.94777228717207018</v>
      </c>
      <c r="R18" s="160">
        <f t="shared" si="8"/>
        <v>-1.1995735732227351</v>
      </c>
      <c r="S18" s="160" t="str">
        <f t="shared" si="8"/>
        <v/>
      </c>
      <c r="T18" s="160" t="str">
        <f t="shared" si="8"/>
        <v/>
      </c>
      <c r="U18" s="160" t="str">
        <f t="shared" si="8"/>
        <v/>
      </c>
      <c r="V18" s="159" t="str">
        <f t="shared" si="8"/>
        <v/>
      </c>
      <c r="W18" s="159" t="str">
        <f t="shared" si="8"/>
        <v/>
      </c>
      <c r="X18" s="159" t="str">
        <f t="shared" si="8"/>
        <v/>
      </c>
      <c r="Y18" s="159" t="str">
        <f t="shared" si="8"/>
        <v/>
      </c>
      <c r="Z18" s="159" t="str">
        <f t="shared" si="8"/>
        <v/>
      </c>
      <c r="AA18" s="159" t="str">
        <f t="shared" si="8"/>
        <v/>
      </c>
      <c r="AB18" s="159" t="str">
        <f t="shared" si="8"/>
        <v/>
      </c>
      <c r="AC18" s="159" t="str">
        <f t="shared" si="8"/>
        <v/>
      </c>
      <c r="AD18" s="159" t="str">
        <f t="shared" si="8"/>
        <v/>
      </c>
      <c r="AE18" s="159" t="str">
        <f t="shared" si="8"/>
        <v/>
      </c>
      <c r="AF18" s="159" t="str">
        <f t="shared" si="8"/>
        <v/>
      </c>
      <c r="AG18" s="159" t="str">
        <f t="shared" si="8"/>
        <v/>
      </c>
      <c r="AH18" s="159" t="str">
        <f t="shared" si="8"/>
        <v/>
      </c>
      <c r="AI18" s="159" t="str">
        <f t="shared" si="8"/>
        <v/>
      </c>
      <c r="AJ18" s="161">
        <f t="shared" si="8"/>
        <v>-1.1062915412684327E-2</v>
      </c>
      <c r="AK18" s="162">
        <f t="shared" si="8"/>
        <v>-1.2632842553268844E-2</v>
      </c>
      <c r="AL18" s="163" t="str">
        <f t="shared" si="8"/>
        <v/>
      </c>
      <c r="AM18" s="163" t="str">
        <f t="shared" si="8"/>
        <v/>
      </c>
      <c r="AN18" s="163" t="str">
        <f t="shared" si="8"/>
        <v/>
      </c>
      <c r="AO18" s="163" t="str">
        <f t="shared" si="8"/>
        <v/>
      </c>
      <c r="AP18" s="163" t="str">
        <f t="shared" si="8"/>
        <v/>
      </c>
      <c r="AQ18" s="164" t="str">
        <f t="shared" si="8"/>
        <v/>
      </c>
      <c r="AR18" s="161">
        <f t="shared" si="8"/>
        <v>-1.2632842553268844E-2</v>
      </c>
    </row>
    <row r="19" spans="1:44" s="152" customFormat="1" x14ac:dyDescent="0.25">
      <c r="A19" s="152" t="str">
        <f t="shared" ref="A19" si="9">+IF(C19+C20=0,"[ocultar]","")</f>
        <v/>
      </c>
      <c r="B19" s="166" t="s">
        <v>394</v>
      </c>
      <c r="C19" s="167">
        <f t="array" ref="C19">SUM(IF($B19=DATOS_[Sexo],
IF($B18=DATOS_[AGRUP. CLAS. PROF.],
IF("Dentro"=DATOS_[Check Periodo Ref.],
1/(COUNTIFS(DATOS_[Sexo],$B19,DATOS_[AGRUP. CLAS. PROF.],$B18,DATOS_[Check Periodo Ref.],"Dentro",DATOS_[id/cod],DATOS_[id/cod]))))))</f>
        <v>3</v>
      </c>
      <c r="D19" s="168">
        <f>COUNTIFS(DATOS_[AGRUP. CLAS. PROF.],$B18,DATOS_[Sexo],$B19,DATOS_[Check Periodo Ref.],"Dentro")</f>
        <v>3</v>
      </c>
      <c r="E19" s="169">
        <f t="array" ref="E19">IFERROR(
AVERAGE(IF(DATOS_[Sexo]=$B19,IF(DATOS_[AGRUP. CLAS. PROF.]=$B18,IF(DATOS_[Check Periodo Ref.]="Dentro",DATOS_[SALARIO BASE Ef],FALSE)))),
0)</f>
        <v>13258.92</v>
      </c>
      <c r="F19" s="170">
        <f t="array" ref="F19">IFERROR(
AVERAGE((IF(DATOS_[[Sexo]:[Sexo]]=$B19,IF(DATOS_[[AGRUP. CLAS. PROF.]:[AGRUP. CLAS. PROF.]]=$B18,IF(DATOS_[[Check Periodo Ref.]:[Check Periodo Ref.]]="Dentro",DATOS_[Conc.Sal.01]))))),
0)</f>
        <v>6167.7266666666665</v>
      </c>
      <c r="G19" s="170">
        <f t="array" ref="G19">IFERROR(
AVERAGE((IF(DATOS_[[Sexo]:[Sexo]]=$B19,IF(DATOS_[[AGRUP. CLAS. PROF.]:[AGRUP. CLAS. PROF.]]=$B18,IF(DATOS_[[Check Periodo Ref.]:[Check Periodo Ref.]]="Dentro",DATOS_[Conc.Sal.02]))))),
0)</f>
        <v>37.44</v>
      </c>
      <c r="H19" s="170">
        <f t="array" ref="H19">IFERROR(
AVERAGE((IF(DATOS_[[Sexo]:[Sexo]]=$B19,IF(DATOS_[[AGRUP. CLAS. PROF.]:[AGRUP. CLAS. PROF.]]=$B18,IF(DATOS_[[Check Periodo Ref.]:[Check Periodo Ref.]]="Dentro",DATOS_[Conc.Sal.03]))))),
0)</f>
        <v>902.4</v>
      </c>
      <c r="I19" s="170">
        <f t="array" ref="I19">IFERROR(
AVERAGE((IF(DATOS_[[Sexo]:[Sexo]]=$B19,IF(DATOS_[[AGRUP. CLAS. PROF.]:[AGRUP. CLAS. PROF.]]=$B18,IF(DATOS_[[Check Periodo Ref.]:[Check Periodo Ref.]]="Dentro",DATOS_[Conc.Sal.04]))))),
0)</f>
        <v>880.6</v>
      </c>
      <c r="J19" s="170">
        <f t="array" ref="J19">IFERROR(
AVERAGE((IF(DATOS_[[Sexo]:[Sexo]]=$B19,IF(DATOS_[[AGRUP. CLAS. PROF.]:[AGRUP. CLAS. PROF.]]=$B18,IF(DATOS_[[Check Periodo Ref.]:[Check Periodo Ref.]]="Dentro",DATOS_[Conc.Sal.05]))))),
0)</f>
        <v>346.22</v>
      </c>
      <c r="K19" s="170">
        <f t="array" ref="K19">IFERROR(
AVERAGE((IF(DATOS_[[Sexo]:[Sexo]]=$B19,IF(DATOS_[[AGRUP. CLAS. PROF.]:[AGRUP. CLAS. PROF.]]=$B18,IF(DATOS_[[Check Periodo Ref.]:[Check Periodo Ref.]]="Dentro",DATOS_[Conc.Sal.06]))))),
0)</f>
        <v>802.07999999999993</v>
      </c>
      <c r="L19" s="170">
        <f t="array" ref="L19">IFERROR(
AVERAGE((IF(DATOS_[[Sexo]:[Sexo]]=$B19,IF(DATOS_[[AGRUP. CLAS. PROF.]:[AGRUP. CLAS. PROF.]]=$B18,IF(DATOS_[[Check Periodo Ref.]:[Check Periodo Ref.]]="Dentro",DATOS_[Conc.Sal.07]))))),
0)</f>
        <v>635.6</v>
      </c>
      <c r="M19" s="170">
        <f t="array" ref="M19">IFERROR(
AVERAGE((IF(DATOS_[[Sexo]:[Sexo]]=$B19,IF(DATOS_[[AGRUP. CLAS. PROF.]:[AGRUP. CLAS. PROF.]]=$B18,IF(DATOS_[[Check Periodo Ref.]:[Check Periodo Ref.]]="Dentro",DATOS_[Conc.Sal.08]))))),
0)</f>
        <v>1481.04</v>
      </c>
      <c r="N19" s="170">
        <f t="array" ref="N19">IFERROR(
AVERAGE((IF(DATOS_[[Sexo]:[Sexo]]=$B19,IF(DATOS_[[AGRUP. CLAS. PROF.]:[AGRUP. CLAS. PROF.]]=$B18,IF(DATOS_[[Check Periodo Ref.]:[Check Periodo Ref.]]="Dentro",DATOS_[Conc.Sal.09]))))),
0)</f>
        <v>420.84</v>
      </c>
      <c r="O19" s="170">
        <f t="array" ref="O19">IFERROR(
AVERAGE((IF(DATOS_[[Sexo]:[Sexo]]=$B19,IF(DATOS_[[AGRUP. CLAS. PROF.]:[AGRUP. CLAS. PROF.]]=$B18,IF(DATOS_[[Check Periodo Ref.]:[Check Periodo Ref.]]="Dentro",DATOS_[Conc.Sal.10]))))),
0)</f>
        <v>21.666666666666668</v>
      </c>
      <c r="P19" s="170">
        <f t="array" ref="P19">IFERROR(
AVERAGE((IF(DATOS_[[Sexo]:[Sexo]]=$B19,IF(DATOS_[[AGRUP. CLAS. PROF.]:[AGRUP. CLAS. PROF.]]=$B18,IF(DATOS_[[Check Periodo Ref.]:[Check Periodo Ref.]]="Dentro",DATOS_[Conc.Sal.11]))))),
0)</f>
        <v>35.773333333333333</v>
      </c>
      <c r="Q19" s="170">
        <f t="array" ref="Q19">IFERROR(
AVERAGE((IF(DATOS_[[Sexo]:[Sexo]]=$B19,IF(DATOS_[[AGRUP. CLAS. PROF.]:[AGRUP. CLAS. PROF.]]=$B18,IF(DATOS_[[Check Periodo Ref.]:[Check Periodo Ref.]]="Dentro",DATOS_[Conc.Sal.12]))))),
0)</f>
        <v>1244.55</v>
      </c>
      <c r="R19" s="170">
        <f t="array" ref="R19">IFERROR(
AVERAGE((IF(DATOS_[[Sexo]:[Sexo]]=$B19,IF(DATOS_[[AGRUP. CLAS. PROF.]:[AGRUP. CLAS. PROF.]]=$B18,IF(DATOS_[[Check Periodo Ref.]:[Check Periodo Ref.]]="Dentro",DATOS_[Conc.Sal.13]))))),
0)</f>
        <v>1255.3933333333332</v>
      </c>
      <c r="S19" s="170">
        <f t="array" ref="S19">IFERROR(
AVERAGE((IF(DATOS_[[Sexo]:[Sexo]]=$B19,IF(DATOS_[[AGRUP. CLAS. PROF.]:[AGRUP. CLAS. PROF.]]=$B18,IF(DATOS_[[Check Periodo Ref.]:[Check Periodo Ref.]]="Dentro",DATOS_[Conc.Sal.14]))))),
0)</f>
        <v>0</v>
      </c>
      <c r="T19" s="170">
        <f t="array" ref="T19">IFERROR(
AVERAGE((IF(DATOS_[[Sexo]:[Sexo]]=$B19,IF(DATOS_[[AGRUP. CLAS. PROF.]:[AGRUP. CLAS. PROF.]]=$B18,IF(DATOS_[[Check Periodo Ref.]:[Check Periodo Ref.]]="Dentro",DATOS_[Conc.Sal.15]))))),
0)</f>
        <v>0</v>
      </c>
      <c r="U19" s="170">
        <f t="array" ref="U19">IFERROR(
AVERAGE((IF(DATOS_[[Sexo]:[Sexo]]=$B19,IF(DATOS_[[AGRUP. CLAS. PROF.]:[AGRUP. CLAS. PROF.]]=$B18,IF(DATOS_[[Check Periodo Ref.]:[Check Periodo Ref.]]="Dentro",DATOS_[Conc.Sal.16]))))),
0)</f>
        <v>0</v>
      </c>
      <c r="V19" s="170">
        <f t="array" ref="V19">IFERROR(
AVERAGE((IF(DATOS_[[Sexo]:[Sexo]]=$B19,IF(DATOS_[[AGRUP. CLAS. PROF.]:[AGRUP. CLAS. PROF.]]=$B18,IF(DATOS_[[Check Periodo Ref.]:[Check Periodo Ref.]]="Dentro",DATOS_[Conc.Sal.17]))))),
0)</f>
        <v>0</v>
      </c>
      <c r="W19" s="170">
        <f t="array" ref="W19">IFERROR(
AVERAGE((IF(DATOS_[[Sexo]:[Sexo]]=$B19,IF(DATOS_[[AGRUP. CLAS. PROF.]:[AGRUP. CLAS. PROF.]]=$B18,IF(DATOS_[[Check Periodo Ref.]:[Check Periodo Ref.]]="Dentro",DATOS_[Conc.Sal.18]))))),
0)</f>
        <v>0</v>
      </c>
      <c r="X19" s="170">
        <f t="array" ref="X19">IFERROR(
AVERAGE((IF(DATOS_[[Sexo]:[Sexo]]=$B19,IF(DATOS_[[AGRUP. CLAS. PROF.]:[AGRUP. CLAS. PROF.]]=$B18,IF(DATOS_[[Check Periodo Ref.]:[Check Periodo Ref.]]="Dentro",DATOS_[Conc.Sal.19]))))),
0)</f>
        <v>0</v>
      </c>
      <c r="Y19" s="170">
        <f t="array" ref="Y19">IFERROR(
AVERAGE((IF(DATOS_[[Sexo]:[Sexo]]=$B19,IF(DATOS_[[AGRUP. CLAS. PROF.]:[AGRUP. CLAS. PROF.]]=$B18,IF(DATOS_[[Check Periodo Ref.]:[Check Periodo Ref.]]="Dentro",DATOS_[Conc.Sal.20]))))),
0)</f>
        <v>0</v>
      </c>
      <c r="Z19" s="170">
        <f t="array" ref="Z19">IFERROR(
AVERAGE((IF(DATOS_[[Sexo]:[Sexo]]=$B19,IF(DATOS_[[AGRUP. CLAS. PROF.]:[AGRUP. CLAS. PROF.]]=$B18,IF(DATOS_[[Check Periodo Ref.]:[Check Periodo Ref.]]="Dentro",DATOS_[Conc.Sal.21]))))),
0)</f>
        <v>0</v>
      </c>
      <c r="AA19" s="170">
        <f t="array" ref="AA19">IFERROR(
AVERAGE((IF(DATOS_[[Sexo]:[Sexo]]=$B19,IF(DATOS_[[AGRUP. CLAS. PROF.]:[AGRUP. CLAS. PROF.]]=$B18,IF(DATOS_[[Check Periodo Ref.]:[Check Periodo Ref.]]="Dentro",DATOS_[Conc.Sal.22]))))),
0)</f>
        <v>0</v>
      </c>
      <c r="AB19" s="170">
        <f t="array" ref="AB19">IFERROR(
AVERAGE((IF(DATOS_[[Sexo]:[Sexo]]=$B19,IF(DATOS_[[AGRUP. CLAS. PROF.]:[AGRUP. CLAS. PROF.]]=$B18,IF(DATOS_[[Check Periodo Ref.]:[Check Periodo Ref.]]="Dentro",DATOS_[Conc.Sal.23]))))),
0)</f>
        <v>0</v>
      </c>
      <c r="AC19" s="170">
        <f t="array" ref="AC19">IFERROR(
AVERAGE((IF(DATOS_[[Sexo]:[Sexo]]=$B19,IF(DATOS_[[AGRUP. CLAS. PROF.]:[AGRUP. CLAS. PROF.]]=$B18,IF(DATOS_[[Check Periodo Ref.]:[Check Periodo Ref.]]="Dentro",DATOS_[Conc.Sal.24]))))),
0)</f>
        <v>0</v>
      </c>
      <c r="AD19" s="170">
        <f t="array" ref="AD19">IFERROR(
AVERAGE((IF(DATOS_[[Sexo]:[Sexo]]=$B19,IF(DATOS_[[AGRUP. CLAS. PROF.]:[AGRUP. CLAS. PROF.]]=$B18,IF(DATOS_[[Check Periodo Ref.]:[Check Periodo Ref.]]="Dentro",DATOS_[Conc.Sal.25]))))),
0)</f>
        <v>0</v>
      </c>
      <c r="AE19" s="170">
        <f t="array" ref="AE19">IFERROR(
AVERAGE((IF(DATOS_[[Sexo]:[Sexo]]=$B19,IF(DATOS_[[AGRUP. CLAS. PROF.]:[AGRUP. CLAS. PROF.]]=$B18,IF(DATOS_[[Check Periodo Ref.]:[Check Periodo Ref.]]="Dentro",DATOS_[Conc.Sal.26]))))),
0)</f>
        <v>0</v>
      </c>
      <c r="AF19" s="170">
        <f t="array" ref="AF19">IFERROR(
AVERAGE((IF(DATOS_[[Sexo]:[Sexo]]=$B19,IF(DATOS_[[AGRUP. CLAS. PROF.]:[AGRUP. CLAS. PROF.]]=$B18,IF(DATOS_[[Check Periodo Ref.]:[Check Periodo Ref.]]="Dentro",DATOS_[Conc.Sal.27]))))),
0)</f>
        <v>0</v>
      </c>
      <c r="AG19" s="170">
        <f t="array" ref="AG19">IFERROR(
AVERAGE((IF(DATOS_[[Sexo]:[Sexo]]=$B19,IF(DATOS_[[AGRUP. CLAS. PROF.]:[AGRUP. CLAS. PROF.]]=$B18,IF(DATOS_[[Check Periodo Ref.]:[Check Periodo Ref.]]="Dentro",DATOS_[Conc.Sal.28]))))),
0)</f>
        <v>0</v>
      </c>
      <c r="AH19" s="170">
        <f t="array" ref="AH19">IFERROR(
AVERAGE((IF(DATOS_[[Sexo]:[Sexo]]=$B19,IF(DATOS_[[AGRUP. CLAS. PROF.]:[AGRUP. CLAS. PROF.]]=$B18,IF(DATOS_[[Check Periodo Ref.]:[Check Periodo Ref.]]="Dentro",DATOS_[Conc.Sal.29]))))),
0)</f>
        <v>0</v>
      </c>
      <c r="AI19" s="170">
        <f t="array" ref="AI19">IFERROR(
AVERAGE((IF(DATOS_[[Sexo]:[Sexo]]=$B19,IF(DATOS_[[AGRUP. CLAS. PROF.]:[AGRUP. CLAS. PROF.]]=$B18,IF(DATOS_[[Check Periodo Ref.]:[Check Periodo Ref.]]="Dentro",DATOS_[Conc.Sal.30]))))),
0)</f>
        <v>0</v>
      </c>
      <c r="AJ19" s="171">
        <f t="array" ref="AJ19">IFERROR(
AVERAGE(IF(DATOS_[Sexo]=$B19,IF(DATOS_[AGRUP. CLAS. PROF.]=$B18,IF(DATOS_[Check Periodo Ref.]="Dentro",DATOS_[Tot COMPL.SAL Ef],FALSE)))),
0)</f>
        <v>14231.330000000002</v>
      </c>
      <c r="AK19" s="172">
        <f t="array" ref="AK19">IFERROR(
AVERAGE(IF(DATOS_[Sexo]=$B19,IF(DATOS_[AGRUP. CLAS. PROF.]=$B18,IF(DATOS_[Check Periodo Ref.]="Dentro",DATOS_[TOTAL SALARIO Ef],FALSE)))),
0)</f>
        <v>27490.25</v>
      </c>
      <c r="AL19" s="173">
        <f t="array" ref="AL19">IFERROR(
AVERAGE((IF(DATOS_[[Sexo]:[Sexo]]=$B19,IF(DATOS_[[AGRUP. CLAS. PROF.]:[AGRUP. CLAS. PROF.]]=$B18,IF(DATOS_[[Check Periodo Ref.]:[Check Periodo Ref.]]="Dentro",DATOS_[C.Extra.01]))))),
0)</f>
        <v>0</v>
      </c>
      <c r="AM19" s="173">
        <f t="array" ref="AM19">IFERROR(
AVERAGE((IF(DATOS_[[Sexo]:[Sexo]]=$B19,IF(DATOS_[[AGRUP. CLAS. PROF.]:[AGRUP. CLAS. PROF.]]=$B18,IF(DATOS_[[Check Periodo Ref.]:[Check Periodo Ref.]]="Dentro",DATOS_[C.Extra.06]))))),
0)</f>
        <v>0</v>
      </c>
      <c r="AN19" s="173">
        <f t="array" ref="AN19">IFERROR(
AVERAGE((IF(DATOS_[[Sexo]:[Sexo]]=$B19,IF(DATOS_[[AGRUP. CLAS. PROF.]:[AGRUP. CLAS. PROF.]]=$B18,IF(DATOS_[[Check Periodo Ref.]:[Check Periodo Ref.]]="Dentro",DATOS_[C.Extra.07]))))),
0)</f>
        <v>0</v>
      </c>
      <c r="AO19" s="173">
        <f t="array" ref="AO19">IFERROR(
AVERAGE((IF(DATOS_[[Sexo]:[Sexo]]=$B19,IF(DATOS_[[AGRUP. CLAS. PROF.]:[AGRUP. CLAS. PROF.]]=$B18,IF(DATOS_[[Check Periodo Ref.]:[Check Periodo Ref.]]="Dentro",DATOS_[C.Extra.08]))))),
0)</f>
        <v>0</v>
      </c>
      <c r="AP19" s="173">
        <f t="array" ref="AP19">IFERROR(
AVERAGE((IF(DATOS_[[Sexo]:[Sexo]]=$B19,IF(DATOS_[[AGRUP. CLAS. PROF.]:[AGRUP. CLAS. PROF.]]=$B18,IF(DATOS_[[Check Periodo Ref.]:[Check Periodo Ref.]]="Dentro",DATOS_[C.Extra.11]))))),
0)</f>
        <v>0</v>
      </c>
      <c r="AQ19" s="174">
        <f t="array" ref="AQ19">IFERROR(
AVERAGE(IF(DATOS_[Sexo]=$B19,IF(DATOS_[AGRUP. CLAS. PROF.]=$B18,IF(DATOS_[Check Periodo Ref.]="Dentro",DATOS_[Tot Extrasalarial Ef],FALSE)))),
0)</f>
        <v>0</v>
      </c>
      <c r="AR19" s="171">
        <f t="array" ref="AR19">IFERROR(
AVERAGE(IF(DATOS_[Sexo]=$B19,IF(DATOS_[AGRUP. CLAS. PROF.]=$B18,IF(DATOS_[Check Periodo Ref.]="Dentro",DATOS_[TOTAL Retrib Ef],FALSE)))),
0)</f>
        <v>27490.25</v>
      </c>
    </row>
    <row r="20" spans="1:44" s="152" customFormat="1" x14ac:dyDescent="0.25">
      <c r="A20" s="152" t="str">
        <f t="shared" ref="A20" si="10">+A19</f>
        <v/>
      </c>
      <c r="B20" s="166" t="s">
        <v>521</v>
      </c>
      <c r="C20" s="167">
        <f t="array" ref="C20">SUM(IF($B20=DATOS_[Sexo],
IF($B18=DATOS_[AGRUP. CLAS. PROF.],
IF("Dentro"=DATOS_[Check Periodo Ref.],
1/(COUNTIFS(DATOS_[Sexo],$B20,DATOS_[AGRUP. CLAS. PROF.],$B18,DATOS_[Check Periodo Ref.],"Dentro",DATOS_[id/cod],DATOS_[id/cod]))))))</f>
        <v>3</v>
      </c>
      <c r="D20" s="168">
        <f>COUNTIFS(DATOS_[AGRUP. CLAS. PROF.],$B18,DATOS_[Sexo],$B20,DATOS_[Check Periodo Ref.],"Dentro")</f>
        <v>3</v>
      </c>
      <c r="E20" s="169">
        <f t="array" ref="E20">IFERROR(
AVERAGE(IF(DATOS_[Sexo]=$B20,IF(DATOS_[AGRUP. CLAS. PROF.]=$B18,IF(DATOS_[Check Periodo Ref.]="Dentro",DATOS_[SALARIO BASE Ef],FALSE)))),
0)</f>
        <v>13448.76</v>
      </c>
      <c r="F20" s="170">
        <f t="array" ref="F20">IFERROR(
AVERAGE((IF(DATOS_[[Sexo]:[Sexo]]=$B20,IF(DATOS_[[AGRUP. CLAS. PROF.]:[AGRUP. CLAS. PROF.]]=$B18,IF(DATOS_[[Check Periodo Ref.]:[Check Periodo Ref.]]="Dentro",DATOS_[Conc.Sal.01]))))),
0)</f>
        <v>5289.333333333333</v>
      </c>
      <c r="G20" s="170">
        <f t="array" ref="G20">IFERROR(
AVERAGE((IF(DATOS_[[Sexo]:[Sexo]]=$B20,IF(DATOS_[[AGRUP. CLAS. PROF.]:[AGRUP. CLAS. PROF.]]=$B18,IF(DATOS_[[Check Periodo Ref.]:[Check Periodo Ref.]]="Dentro",DATOS_[Conc.Sal.02]))))),
0)</f>
        <v>37.44</v>
      </c>
      <c r="H20" s="170">
        <f t="array" ref="H20">IFERROR(
AVERAGE((IF(DATOS_[[Sexo]:[Sexo]]=$B20,IF(DATOS_[[AGRUP. CLAS. PROF.]:[AGRUP. CLAS. PROF.]]=$B18,IF(DATOS_[[Check Periodo Ref.]:[Check Periodo Ref.]]="Dentro",DATOS_[Conc.Sal.03]))))),
0)</f>
        <v>902.4</v>
      </c>
      <c r="I20" s="170">
        <f t="array" ref="I20">IFERROR(
AVERAGE((IF(DATOS_[[Sexo]:[Sexo]]=$B20,IF(DATOS_[[AGRUP. CLAS. PROF.]:[AGRUP. CLAS. PROF.]]=$B18,IF(DATOS_[[Check Periodo Ref.]:[Check Periodo Ref.]]="Dentro",DATOS_[Conc.Sal.04]))))),
0)</f>
        <v>1867.2399999999998</v>
      </c>
      <c r="J20" s="170">
        <f t="array" ref="J20">IFERROR(
AVERAGE((IF(DATOS_[[Sexo]:[Sexo]]=$B20,IF(DATOS_[[AGRUP. CLAS. PROF.]:[AGRUP. CLAS. PROF.]]=$B18,IF(DATOS_[[Check Periodo Ref.]:[Check Periodo Ref.]]="Dentro",DATOS_[Conc.Sal.05]))))),
0)</f>
        <v>389.8</v>
      </c>
      <c r="K20" s="170">
        <f t="array" ref="K20">IFERROR(
AVERAGE((IF(DATOS_[[Sexo]:[Sexo]]=$B20,IF(DATOS_[[AGRUP. CLAS. PROF.]:[AGRUP. CLAS. PROF.]]=$B18,IF(DATOS_[[Check Periodo Ref.]:[Check Periodo Ref.]]="Dentro",DATOS_[Conc.Sal.06]))))),
0)</f>
        <v>843.12</v>
      </c>
      <c r="L20" s="170">
        <f t="array" ref="L20">IFERROR(
AVERAGE((IF(DATOS_[[Sexo]:[Sexo]]=$B20,IF(DATOS_[[AGRUP. CLAS. PROF.]:[AGRUP. CLAS. PROF.]]=$B18,IF(DATOS_[[Check Periodo Ref.]:[Check Periodo Ref.]]="Dentro",DATOS_[Conc.Sal.07]))))),
0)</f>
        <v>1350.4399999999998</v>
      </c>
      <c r="M20" s="170">
        <f t="array" ref="M20">IFERROR(
AVERAGE((IF(DATOS_[[Sexo]:[Sexo]]=$B20,IF(DATOS_[[AGRUP. CLAS. PROF.]:[AGRUP. CLAS. PROF.]]=$B18,IF(DATOS_[[Check Periodo Ref.]:[Check Periodo Ref.]]="Dentro",DATOS_[Conc.Sal.08]))))),
0)</f>
        <v>0</v>
      </c>
      <c r="N20" s="170">
        <f t="array" ref="N20">IFERROR(
AVERAGE((IF(DATOS_[[Sexo]:[Sexo]]=$B20,IF(DATOS_[[AGRUP. CLAS. PROF.]:[AGRUP. CLAS. PROF.]]=$B18,IF(DATOS_[[Check Periodo Ref.]:[Check Periodo Ref.]]="Dentro",DATOS_[Conc.Sal.09]))))),
0)</f>
        <v>408</v>
      </c>
      <c r="O20" s="170">
        <f t="array" ref="O20">IFERROR(
AVERAGE((IF(DATOS_[[Sexo]:[Sexo]]=$B20,IF(DATOS_[[AGRUP. CLAS. PROF.]:[AGRUP. CLAS. PROF.]]=$B18,IF(DATOS_[[Check Periodo Ref.]:[Check Periodo Ref.]]="Dentro",DATOS_[Conc.Sal.10]))))),
0)</f>
        <v>408</v>
      </c>
      <c r="P20" s="170">
        <f t="array" ref="P20">IFERROR(
AVERAGE((IF(DATOS_[[Sexo]:[Sexo]]=$B20,IF(DATOS_[[AGRUP. CLAS. PROF.]:[AGRUP. CLAS. PROF.]]=$B18,IF(DATOS_[[Check Periodo Ref.]:[Check Periodo Ref.]]="Dentro",DATOS_[Conc.Sal.11]))))),
0)</f>
        <v>66.666666666666671</v>
      </c>
      <c r="Q20" s="170">
        <f t="array" ref="Q20">IFERROR(
AVERAGE((IF(DATOS_[[Sexo]:[Sexo]]=$B20,IF(DATOS_[[AGRUP. CLAS. PROF.]:[AGRUP. CLAS. PROF.]]=$B18,IF(DATOS_[[Check Periodo Ref.]:[Check Periodo Ref.]]="Dentro",DATOS_[Conc.Sal.12]))))),
0)</f>
        <v>65</v>
      </c>
      <c r="R20" s="170">
        <f t="array" ref="R20">IFERROR(
AVERAGE((IF(DATOS_[[Sexo]:[Sexo]]=$B20,IF(DATOS_[[AGRUP. CLAS. PROF.]:[AGRUP. CLAS. PROF.]]=$B18,IF(DATOS_[[Check Periodo Ref.]:[Check Periodo Ref.]]="Dentro",DATOS_[Conc.Sal.13]))))),
0)</f>
        <v>2761.33</v>
      </c>
      <c r="S20" s="170">
        <f t="array" ref="S20">IFERROR(
AVERAGE((IF(DATOS_[[Sexo]:[Sexo]]=$B20,IF(DATOS_[[AGRUP. CLAS. PROF.]:[AGRUP. CLAS. PROF.]]=$B18,IF(DATOS_[[Check Periodo Ref.]:[Check Periodo Ref.]]="Dentro",DATOS_[Conc.Sal.14]))))),
0)</f>
        <v>0</v>
      </c>
      <c r="T20" s="170">
        <f t="array" ref="T20">IFERROR(
AVERAGE((IF(DATOS_[[Sexo]:[Sexo]]=$B20,IF(DATOS_[[AGRUP. CLAS. PROF.]:[AGRUP. CLAS. PROF.]]=$B18,IF(DATOS_[[Check Periodo Ref.]:[Check Periodo Ref.]]="Dentro",DATOS_[Conc.Sal.15]))))),
0)</f>
        <v>0</v>
      </c>
      <c r="U20" s="170">
        <f t="array" ref="U20">IFERROR(
AVERAGE((IF(DATOS_[[Sexo]:[Sexo]]=$B20,IF(DATOS_[[AGRUP. CLAS. PROF.]:[AGRUP. CLAS. PROF.]]=$B18,IF(DATOS_[[Check Periodo Ref.]:[Check Periodo Ref.]]="Dentro",DATOS_[Conc.Sal.16]))))),
0)</f>
        <v>0</v>
      </c>
      <c r="V20" s="170">
        <f t="array" ref="V20">IFERROR(
AVERAGE((IF(DATOS_[[Sexo]:[Sexo]]=$B20,IF(DATOS_[[AGRUP. CLAS. PROF.]:[AGRUP. CLAS. PROF.]]=$B18,IF(DATOS_[[Check Periodo Ref.]:[Check Periodo Ref.]]="Dentro",DATOS_[Conc.Sal.17]))))),
0)</f>
        <v>0</v>
      </c>
      <c r="W20" s="170">
        <f t="array" ref="W20">IFERROR(
AVERAGE((IF(DATOS_[[Sexo]:[Sexo]]=$B20,IF(DATOS_[[AGRUP. CLAS. PROF.]:[AGRUP. CLAS. PROF.]]=$B18,IF(DATOS_[[Check Periodo Ref.]:[Check Periodo Ref.]]="Dentro",DATOS_[Conc.Sal.18]))))),
0)</f>
        <v>0</v>
      </c>
      <c r="X20" s="170">
        <f t="array" ref="X20">IFERROR(
AVERAGE((IF(DATOS_[[Sexo]:[Sexo]]=$B20,IF(DATOS_[[AGRUP. CLAS. PROF.]:[AGRUP. CLAS. PROF.]]=$B18,IF(DATOS_[[Check Periodo Ref.]:[Check Periodo Ref.]]="Dentro",DATOS_[Conc.Sal.19]))))),
0)</f>
        <v>0</v>
      </c>
      <c r="Y20" s="170">
        <f t="array" ref="Y20">IFERROR(
AVERAGE((IF(DATOS_[[Sexo]:[Sexo]]=$B20,IF(DATOS_[[AGRUP. CLAS. PROF.]:[AGRUP. CLAS. PROF.]]=$B18,IF(DATOS_[[Check Periodo Ref.]:[Check Periodo Ref.]]="Dentro",DATOS_[Conc.Sal.20]))))),
0)</f>
        <v>0</v>
      </c>
      <c r="Z20" s="170">
        <f t="array" ref="Z20">IFERROR(
AVERAGE((IF(DATOS_[[Sexo]:[Sexo]]=$B20,IF(DATOS_[[AGRUP. CLAS. PROF.]:[AGRUP. CLAS. PROF.]]=$B18,IF(DATOS_[[Check Periodo Ref.]:[Check Periodo Ref.]]="Dentro",DATOS_[Conc.Sal.21]))))),
0)</f>
        <v>0</v>
      </c>
      <c r="AA20" s="170">
        <f t="array" ref="AA20">IFERROR(
AVERAGE((IF(DATOS_[[Sexo]:[Sexo]]=$B20,IF(DATOS_[[AGRUP. CLAS. PROF.]:[AGRUP. CLAS. PROF.]]=$B18,IF(DATOS_[[Check Periodo Ref.]:[Check Periodo Ref.]]="Dentro",DATOS_[Conc.Sal.22]))))),
0)</f>
        <v>0</v>
      </c>
      <c r="AB20" s="170">
        <f t="array" ref="AB20">IFERROR(
AVERAGE((IF(DATOS_[[Sexo]:[Sexo]]=$B20,IF(DATOS_[[AGRUP. CLAS. PROF.]:[AGRUP. CLAS. PROF.]]=$B18,IF(DATOS_[[Check Periodo Ref.]:[Check Periodo Ref.]]="Dentro",DATOS_[Conc.Sal.23]))))),
0)</f>
        <v>0</v>
      </c>
      <c r="AC20" s="170">
        <f t="array" ref="AC20">IFERROR(
AVERAGE((IF(DATOS_[[Sexo]:[Sexo]]=$B20,IF(DATOS_[[AGRUP. CLAS. PROF.]:[AGRUP. CLAS. PROF.]]=$B18,IF(DATOS_[[Check Periodo Ref.]:[Check Periodo Ref.]]="Dentro",DATOS_[Conc.Sal.24]))))),
0)</f>
        <v>0</v>
      </c>
      <c r="AD20" s="170">
        <f t="array" ref="AD20">IFERROR(
AVERAGE((IF(DATOS_[[Sexo]:[Sexo]]=$B20,IF(DATOS_[[AGRUP. CLAS. PROF.]:[AGRUP. CLAS. PROF.]]=$B18,IF(DATOS_[[Check Periodo Ref.]:[Check Periodo Ref.]]="Dentro",DATOS_[Conc.Sal.25]))))),
0)</f>
        <v>0</v>
      </c>
      <c r="AE20" s="170">
        <f t="array" ref="AE20">IFERROR(
AVERAGE((IF(DATOS_[[Sexo]:[Sexo]]=$B20,IF(DATOS_[[AGRUP. CLAS. PROF.]:[AGRUP. CLAS. PROF.]]=$B18,IF(DATOS_[[Check Periodo Ref.]:[Check Periodo Ref.]]="Dentro",DATOS_[Conc.Sal.26]))))),
0)</f>
        <v>0</v>
      </c>
      <c r="AF20" s="170">
        <f t="array" ref="AF20">IFERROR(
AVERAGE((IF(DATOS_[[Sexo]:[Sexo]]=$B20,IF(DATOS_[[AGRUP. CLAS. PROF.]:[AGRUP. CLAS. PROF.]]=$B18,IF(DATOS_[[Check Periodo Ref.]:[Check Periodo Ref.]]="Dentro",DATOS_[Conc.Sal.27]))))),
0)</f>
        <v>0</v>
      </c>
      <c r="AG20" s="170">
        <f t="array" ref="AG20">IFERROR(
AVERAGE((IF(DATOS_[[Sexo]:[Sexo]]=$B20,IF(DATOS_[[AGRUP. CLAS. PROF.]:[AGRUP. CLAS. PROF.]]=$B18,IF(DATOS_[[Check Periodo Ref.]:[Check Periodo Ref.]]="Dentro",DATOS_[Conc.Sal.28]))))),
0)</f>
        <v>0</v>
      </c>
      <c r="AH20" s="170">
        <f t="array" ref="AH20">IFERROR(
AVERAGE((IF(DATOS_[[Sexo]:[Sexo]]=$B20,IF(DATOS_[[AGRUP. CLAS. PROF.]:[AGRUP. CLAS. PROF.]]=$B18,IF(DATOS_[[Check Periodo Ref.]:[Check Periodo Ref.]]="Dentro",DATOS_[Conc.Sal.29]))))),
0)</f>
        <v>0</v>
      </c>
      <c r="AI20" s="170">
        <f t="array" ref="AI20">IFERROR(
AVERAGE((IF(DATOS_[[Sexo]:[Sexo]]=$B20,IF(DATOS_[[AGRUP. CLAS. PROF.]:[AGRUP. CLAS. PROF.]]=$B18,IF(DATOS_[[Check Periodo Ref.]:[Check Periodo Ref.]]="Dentro",DATOS_[Conc.Sal.30]))))),
0)</f>
        <v>0</v>
      </c>
      <c r="AJ20" s="171">
        <f t="array" ref="AJ20">IFERROR(
AVERAGE(IF(DATOS_[Sexo]=$B20,IF(DATOS_[AGRUP. CLAS. PROF.]=$B18,IF(DATOS_[Check Periodo Ref.]="Dentro",DATOS_[Tot COMPL.SAL Ef],FALSE)))),
0)</f>
        <v>14388.769999999999</v>
      </c>
      <c r="AK20" s="172">
        <f t="array" ref="AK20">IFERROR(
AVERAGE(IF(DATOS_[Sexo]=$B20,IF(DATOS_[AGRUP. CLAS. PROF.]=$B18,IF(DATOS_[Check Periodo Ref.]="Dentro",DATOS_[TOTAL SALARIO Ef],FALSE)))),
0)</f>
        <v>27837.53</v>
      </c>
      <c r="AL20" s="173">
        <f t="array" ref="AL20">IFERROR(
AVERAGE((IF(DATOS_[[Sexo]:[Sexo]]=$B20,IF(DATOS_[[AGRUP. CLAS. PROF.]:[AGRUP. CLAS. PROF.]]=$B18,IF(DATOS_[[Check Periodo Ref.]:[Check Periodo Ref.]]="Dentro",DATOS_[C.Extra.01]))))),
0)</f>
        <v>0</v>
      </c>
      <c r="AM20" s="173">
        <f t="array" ref="AM20">IFERROR(
AVERAGE((IF(DATOS_[[Sexo]:[Sexo]]=$B20,IF(DATOS_[[AGRUP. CLAS. PROF.]:[AGRUP. CLAS. PROF.]]=$B18,IF(DATOS_[[Check Periodo Ref.]:[Check Periodo Ref.]]="Dentro",DATOS_[C.Extra.06]))))),
0)</f>
        <v>0</v>
      </c>
      <c r="AN20" s="173">
        <f t="array" ref="AN20">IFERROR(
AVERAGE((IF(DATOS_[[Sexo]:[Sexo]]=$B20,IF(DATOS_[[AGRUP. CLAS. PROF.]:[AGRUP. CLAS. PROF.]]=$B18,IF(DATOS_[[Check Periodo Ref.]:[Check Periodo Ref.]]="Dentro",DATOS_[C.Extra.07]))))),
0)</f>
        <v>0</v>
      </c>
      <c r="AO20" s="173">
        <f t="array" ref="AO20">IFERROR(
AVERAGE((IF(DATOS_[[Sexo]:[Sexo]]=$B20,IF(DATOS_[[AGRUP. CLAS. PROF.]:[AGRUP. CLAS. PROF.]]=$B18,IF(DATOS_[[Check Periodo Ref.]:[Check Periodo Ref.]]="Dentro",DATOS_[C.Extra.08]))))),
0)</f>
        <v>0</v>
      </c>
      <c r="AP20" s="173">
        <f t="array" ref="AP20">IFERROR(
AVERAGE((IF(DATOS_[[Sexo]:[Sexo]]=$B20,IF(DATOS_[[AGRUP. CLAS. PROF.]:[AGRUP. CLAS. PROF.]]=$B18,IF(DATOS_[[Check Periodo Ref.]:[Check Periodo Ref.]]="Dentro",DATOS_[C.Extra.11]))))),
0)</f>
        <v>0</v>
      </c>
      <c r="AQ20" s="174">
        <f t="array" ref="AQ20">IFERROR(
AVERAGE(IF(DATOS_[Sexo]=$B20,IF(DATOS_[AGRUP. CLAS. PROF.]=$B18,IF(DATOS_[Check Periodo Ref.]="Dentro",DATOS_[Tot Extrasalarial Ef],FALSE)))),
0)</f>
        <v>0</v>
      </c>
      <c r="AR20" s="171">
        <f t="array" ref="AR20">IFERROR(
AVERAGE(IF(DATOS_[Sexo]=$B20,IF(DATOS_[AGRUP. CLAS. PROF.]=$B18,IF(DATOS_[Check Periodo Ref.]="Dentro",DATOS_[TOTAL Retrib Ef],FALSE)))),
0)</f>
        <v>27837.53</v>
      </c>
    </row>
    <row r="21" spans="1:44" s="152" customFormat="1" ht="14.4" thickBot="1" x14ac:dyDescent="0.3">
      <c r="A21" s="152" t="str">
        <f t="shared" ref="A21" si="11">+A22</f>
        <v/>
      </c>
      <c r="B21" s="153" t="s">
        <v>185</v>
      </c>
      <c r="C21" s="154"/>
      <c r="D21" s="155"/>
      <c r="E21" s="156">
        <f t="shared" ref="E21:AR21" si="12">IFERROR((E22-E23)/E22,"")</f>
        <v>1</v>
      </c>
      <c r="F21" s="157">
        <f t="shared" si="12"/>
        <v>1</v>
      </c>
      <c r="G21" s="158">
        <f t="shared" si="12"/>
        <v>1</v>
      </c>
      <c r="H21" s="158">
        <f t="shared" si="12"/>
        <v>1</v>
      </c>
      <c r="I21" s="158">
        <f t="shared" si="12"/>
        <v>1</v>
      </c>
      <c r="J21" s="159">
        <f t="shared" si="12"/>
        <v>1</v>
      </c>
      <c r="K21" s="160">
        <f t="shared" si="12"/>
        <v>1</v>
      </c>
      <c r="L21" s="160">
        <f t="shared" si="12"/>
        <v>1</v>
      </c>
      <c r="M21" s="160" t="str">
        <f t="shared" si="12"/>
        <v/>
      </c>
      <c r="N21" s="160" t="str">
        <f t="shared" si="12"/>
        <v/>
      </c>
      <c r="O21" s="160" t="str">
        <f t="shared" si="12"/>
        <v/>
      </c>
      <c r="P21" s="160" t="str">
        <f t="shared" si="12"/>
        <v/>
      </c>
      <c r="Q21" s="160" t="str">
        <f t="shared" si="12"/>
        <v/>
      </c>
      <c r="R21" s="160" t="str">
        <f t="shared" si="12"/>
        <v/>
      </c>
      <c r="S21" s="160" t="str">
        <f t="shared" si="12"/>
        <v/>
      </c>
      <c r="T21" s="160" t="str">
        <f t="shared" si="12"/>
        <v/>
      </c>
      <c r="U21" s="160" t="str">
        <f t="shared" si="12"/>
        <v/>
      </c>
      <c r="V21" s="159" t="str">
        <f t="shared" si="12"/>
        <v/>
      </c>
      <c r="W21" s="159" t="str">
        <f t="shared" si="12"/>
        <v/>
      </c>
      <c r="X21" s="159" t="str">
        <f t="shared" si="12"/>
        <v/>
      </c>
      <c r="Y21" s="159" t="str">
        <f t="shared" si="12"/>
        <v/>
      </c>
      <c r="Z21" s="159" t="str">
        <f t="shared" si="12"/>
        <v/>
      </c>
      <c r="AA21" s="159" t="str">
        <f t="shared" si="12"/>
        <v/>
      </c>
      <c r="AB21" s="159" t="str">
        <f t="shared" si="12"/>
        <v/>
      </c>
      <c r="AC21" s="159" t="str">
        <f t="shared" si="12"/>
        <v/>
      </c>
      <c r="AD21" s="159" t="str">
        <f t="shared" si="12"/>
        <v/>
      </c>
      <c r="AE21" s="159" t="str">
        <f t="shared" si="12"/>
        <v/>
      </c>
      <c r="AF21" s="159" t="str">
        <f t="shared" si="12"/>
        <v/>
      </c>
      <c r="AG21" s="159" t="str">
        <f t="shared" si="12"/>
        <v/>
      </c>
      <c r="AH21" s="159" t="str">
        <f t="shared" si="12"/>
        <v/>
      </c>
      <c r="AI21" s="159" t="str">
        <f t="shared" si="12"/>
        <v/>
      </c>
      <c r="AJ21" s="161">
        <f t="shared" si="12"/>
        <v>1</v>
      </c>
      <c r="AK21" s="162">
        <f t="shared" si="12"/>
        <v>1</v>
      </c>
      <c r="AL21" s="163" t="str">
        <f t="shared" si="12"/>
        <v/>
      </c>
      <c r="AM21" s="163" t="str">
        <f t="shared" si="12"/>
        <v/>
      </c>
      <c r="AN21" s="163" t="str">
        <f t="shared" si="12"/>
        <v/>
      </c>
      <c r="AO21" s="163" t="str">
        <f t="shared" si="12"/>
        <v/>
      </c>
      <c r="AP21" s="163" t="str">
        <f t="shared" si="12"/>
        <v/>
      </c>
      <c r="AQ21" s="164" t="str">
        <f t="shared" si="12"/>
        <v/>
      </c>
      <c r="AR21" s="161">
        <f t="shared" si="12"/>
        <v>1</v>
      </c>
    </row>
    <row r="22" spans="1:44" x14ac:dyDescent="0.25">
      <c r="A22" s="152" t="str">
        <f t="shared" ref="A22" si="13">+IF(C22+C23=0,"[ocultar]","")</f>
        <v/>
      </c>
      <c r="B22" s="166" t="s">
        <v>394</v>
      </c>
      <c r="C22" s="167">
        <f t="array" ref="C22">SUM(IF($B22=DATOS_[Sexo],
IF($B21=DATOS_[AGRUP. CLAS. PROF.],
IF("Dentro"=DATOS_[Check Periodo Ref.],
1/(COUNTIFS(DATOS_[Sexo],$B22,DATOS_[AGRUP. CLAS. PROF.],$B21,DATOS_[Check Periodo Ref.],"Dentro",DATOS_[id/cod],DATOS_[id/cod]))))))</f>
        <v>2</v>
      </c>
      <c r="D22" s="168">
        <f>COUNTIFS(DATOS_[AGRUP. CLAS. PROF.],$B21,DATOS_[Sexo],$B22,DATOS_[Check Periodo Ref.],"Dentro")</f>
        <v>2</v>
      </c>
      <c r="E22" s="169">
        <f t="array" ref="E22">IFERROR(
AVERAGE(IF(DATOS_[Sexo]=$B22,IF(DATOS_[AGRUP. CLAS. PROF.]=$B21,IF(DATOS_[Check Periodo Ref.]="Dentro",DATOS_[SALARIO BASE Ef],FALSE)))),
0)</f>
        <v>11415.48</v>
      </c>
      <c r="F22" s="170">
        <f t="array" ref="F22">IFERROR(
AVERAGE((IF(DATOS_[[Sexo]:[Sexo]]=$B22,IF(DATOS_[[AGRUP. CLAS. PROF.]:[AGRUP. CLAS. PROF.]]=$B21,IF(DATOS_[[Check Periodo Ref.]:[Check Periodo Ref.]]="Dentro",DATOS_[Conc.Sal.01]))))),
0)</f>
        <v>7900.4449999999997</v>
      </c>
      <c r="G22" s="170">
        <f t="array" ref="G22">IFERROR(
AVERAGE((IF(DATOS_[[Sexo]:[Sexo]]=$B22,IF(DATOS_[[AGRUP. CLAS. PROF.]:[AGRUP. CLAS. PROF.]]=$B21,IF(DATOS_[[Check Periodo Ref.]:[Check Periodo Ref.]]="Dentro",DATOS_[Conc.Sal.02]))))),
0)</f>
        <v>37.44</v>
      </c>
      <c r="H22" s="170">
        <f t="array" ref="H22">IFERROR(
AVERAGE((IF(DATOS_[[Sexo]:[Sexo]]=$B22,IF(DATOS_[[AGRUP. CLAS. PROF.]:[AGRUP. CLAS. PROF.]]=$B21,IF(DATOS_[[Check Periodo Ref.]:[Check Periodo Ref.]]="Dentro",DATOS_[Conc.Sal.03]))))),
0)</f>
        <v>1023.6</v>
      </c>
      <c r="I22" s="170">
        <f t="array" ref="I22">IFERROR(
AVERAGE((IF(DATOS_[[Sexo]:[Sexo]]=$B22,IF(DATOS_[[AGRUP. CLAS. PROF.]:[AGRUP. CLAS. PROF.]]=$B21,IF(DATOS_[[Check Periodo Ref.]:[Check Periodo Ref.]]="Dentro",DATOS_[Conc.Sal.04]))))),
0)</f>
        <v>778.26</v>
      </c>
      <c r="J22" s="170">
        <f t="array" ref="J22">IFERROR(
AVERAGE((IF(DATOS_[[Sexo]:[Sexo]]=$B22,IF(DATOS_[[AGRUP. CLAS. PROF.]:[AGRUP. CLAS. PROF.]]=$B21,IF(DATOS_[[Check Periodo Ref.]:[Check Periodo Ref.]]="Dentro",DATOS_[Conc.Sal.05]))))),
0)</f>
        <v>454.06</v>
      </c>
      <c r="K22" s="170">
        <f t="array" ref="K22">IFERROR(
AVERAGE((IF(DATOS_[[Sexo]:[Sexo]]=$B22,IF(DATOS_[[AGRUP. CLAS. PROF.]:[AGRUP. CLAS. PROF.]]=$B21,IF(DATOS_[[Check Periodo Ref.]:[Check Periodo Ref.]]="Dentro",DATOS_[Conc.Sal.06]))))),
0)</f>
        <v>1227.18</v>
      </c>
      <c r="L22" s="170">
        <f t="array" ref="L22">IFERROR(
AVERAGE((IF(DATOS_[[Sexo]:[Sexo]]=$B22,IF(DATOS_[[AGRUP. CLAS. PROF.]:[AGRUP. CLAS. PROF.]]=$B21,IF(DATOS_[[Check Periodo Ref.]:[Check Periodo Ref.]]="Dentro",DATOS_[Conc.Sal.07]))))),
0)</f>
        <v>1644.07</v>
      </c>
      <c r="M22" s="170">
        <f t="array" ref="M22">IFERROR(
AVERAGE((IF(DATOS_[[Sexo]:[Sexo]]=$B22,IF(DATOS_[[AGRUP. CLAS. PROF.]:[AGRUP. CLAS. PROF.]]=$B21,IF(DATOS_[[Check Periodo Ref.]:[Check Periodo Ref.]]="Dentro",DATOS_[Conc.Sal.08]))))),
0)</f>
        <v>0</v>
      </c>
      <c r="N22" s="170">
        <f t="array" ref="N22">IFERROR(
AVERAGE((IF(DATOS_[[Sexo]:[Sexo]]=$B22,IF(DATOS_[[AGRUP. CLAS. PROF.]:[AGRUP. CLAS. PROF.]]=$B21,IF(DATOS_[[Check Periodo Ref.]:[Check Periodo Ref.]]="Dentro",DATOS_[Conc.Sal.09]))))),
0)</f>
        <v>0</v>
      </c>
      <c r="O22" s="170">
        <f t="array" ref="O22">IFERROR(
AVERAGE((IF(DATOS_[[Sexo]:[Sexo]]=$B22,IF(DATOS_[[AGRUP. CLAS. PROF.]:[AGRUP. CLAS. PROF.]]=$B21,IF(DATOS_[[Check Periodo Ref.]:[Check Periodo Ref.]]="Dentro",DATOS_[Conc.Sal.10]))))),
0)</f>
        <v>0</v>
      </c>
      <c r="P22" s="170">
        <f t="array" ref="P22">IFERROR(
AVERAGE((IF(DATOS_[[Sexo]:[Sexo]]=$B22,IF(DATOS_[[AGRUP. CLAS. PROF.]:[AGRUP. CLAS. PROF.]]=$B21,IF(DATOS_[[Check Periodo Ref.]:[Check Periodo Ref.]]="Dentro",DATOS_[Conc.Sal.11]))))),
0)</f>
        <v>0</v>
      </c>
      <c r="Q22" s="170">
        <f t="array" ref="Q22">IFERROR(
AVERAGE((IF(DATOS_[[Sexo]:[Sexo]]=$B22,IF(DATOS_[[AGRUP. CLAS. PROF.]:[AGRUP. CLAS. PROF.]]=$B21,IF(DATOS_[[Check Periodo Ref.]:[Check Periodo Ref.]]="Dentro",DATOS_[Conc.Sal.12]))))),
0)</f>
        <v>0</v>
      </c>
      <c r="R22" s="170">
        <f t="array" ref="R22">IFERROR(
AVERAGE((IF(DATOS_[[Sexo]:[Sexo]]=$B22,IF(DATOS_[[AGRUP. CLAS. PROF.]:[AGRUP. CLAS. PROF.]]=$B21,IF(DATOS_[[Check Periodo Ref.]:[Check Periodo Ref.]]="Dentro",DATOS_[Conc.Sal.13]))))),
0)</f>
        <v>0</v>
      </c>
      <c r="S22" s="170">
        <f t="array" ref="S22">IFERROR(
AVERAGE((IF(DATOS_[[Sexo]:[Sexo]]=$B22,IF(DATOS_[[AGRUP. CLAS. PROF.]:[AGRUP. CLAS. PROF.]]=$B21,IF(DATOS_[[Check Periodo Ref.]:[Check Periodo Ref.]]="Dentro",DATOS_[Conc.Sal.14]))))),
0)</f>
        <v>0</v>
      </c>
      <c r="T22" s="170">
        <f t="array" ref="T22">IFERROR(
AVERAGE((IF(DATOS_[[Sexo]:[Sexo]]=$B22,IF(DATOS_[[AGRUP. CLAS. PROF.]:[AGRUP. CLAS. PROF.]]=$B21,IF(DATOS_[[Check Periodo Ref.]:[Check Periodo Ref.]]="Dentro",DATOS_[Conc.Sal.15]))))),
0)</f>
        <v>0</v>
      </c>
      <c r="U22" s="170">
        <f t="array" ref="U22">IFERROR(
AVERAGE((IF(DATOS_[[Sexo]:[Sexo]]=$B22,IF(DATOS_[[AGRUP. CLAS. PROF.]:[AGRUP. CLAS. PROF.]]=$B21,IF(DATOS_[[Check Periodo Ref.]:[Check Periodo Ref.]]="Dentro",DATOS_[Conc.Sal.16]))))),
0)</f>
        <v>0</v>
      </c>
      <c r="V22" s="170">
        <f t="array" ref="V22">IFERROR(
AVERAGE((IF(DATOS_[[Sexo]:[Sexo]]=$B22,IF(DATOS_[[AGRUP. CLAS. PROF.]:[AGRUP. CLAS. PROF.]]=$B21,IF(DATOS_[[Check Periodo Ref.]:[Check Periodo Ref.]]="Dentro",DATOS_[Conc.Sal.17]))))),
0)</f>
        <v>0</v>
      </c>
      <c r="W22" s="170">
        <f t="array" ref="W22">IFERROR(
AVERAGE((IF(DATOS_[[Sexo]:[Sexo]]=$B22,IF(DATOS_[[AGRUP. CLAS. PROF.]:[AGRUP. CLAS. PROF.]]=$B21,IF(DATOS_[[Check Periodo Ref.]:[Check Periodo Ref.]]="Dentro",DATOS_[Conc.Sal.18]))))),
0)</f>
        <v>0</v>
      </c>
      <c r="X22" s="170">
        <f t="array" ref="X22">IFERROR(
AVERAGE((IF(DATOS_[[Sexo]:[Sexo]]=$B22,IF(DATOS_[[AGRUP. CLAS. PROF.]:[AGRUP. CLAS. PROF.]]=$B21,IF(DATOS_[[Check Periodo Ref.]:[Check Periodo Ref.]]="Dentro",DATOS_[Conc.Sal.19]))))),
0)</f>
        <v>0</v>
      </c>
      <c r="Y22" s="170">
        <f t="array" ref="Y22">IFERROR(
AVERAGE((IF(DATOS_[[Sexo]:[Sexo]]=$B22,IF(DATOS_[[AGRUP. CLAS. PROF.]:[AGRUP. CLAS. PROF.]]=$B21,IF(DATOS_[[Check Periodo Ref.]:[Check Periodo Ref.]]="Dentro",DATOS_[Conc.Sal.20]))))),
0)</f>
        <v>0</v>
      </c>
      <c r="Z22" s="170">
        <f t="array" ref="Z22">IFERROR(
AVERAGE((IF(DATOS_[[Sexo]:[Sexo]]=$B22,IF(DATOS_[[AGRUP. CLAS. PROF.]:[AGRUP. CLAS. PROF.]]=$B21,IF(DATOS_[[Check Periodo Ref.]:[Check Periodo Ref.]]="Dentro",DATOS_[Conc.Sal.21]))))),
0)</f>
        <v>0</v>
      </c>
      <c r="AA22" s="170">
        <f t="array" ref="AA22">IFERROR(
AVERAGE((IF(DATOS_[[Sexo]:[Sexo]]=$B22,IF(DATOS_[[AGRUP. CLAS. PROF.]:[AGRUP. CLAS. PROF.]]=$B21,IF(DATOS_[[Check Periodo Ref.]:[Check Periodo Ref.]]="Dentro",DATOS_[Conc.Sal.22]))))),
0)</f>
        <v>0</v>
      </c>
      <c r="AB22" s="170">
        <f t="array" ref="AB22">IFERROR(
AVERAGE((IF(DATOS_[[Sexo]:[Sexo]]=$B22,IF(DATOS_[[AGRUP. CLAS. PROF.]:[AGRUP. CLAS. PROF.]]=$B21,IF(DATOS_[[Check Periodo Ref.]:[Check Periodo Ref.]]="Dentro",DATOS_[Conc.Sal.23]))))),
0)</f>
        <v>0</v>
      </c>
      <c r="AC22" s="170">
        <f t="array" ref="AC22">IFERROR(
AVERAGE((IF(DATOS_[[Sexo]:[Sexo]]=$B22,IF(DATOS_[[AGRUP. CLAS. PROF.]:[AGRUP. CLAS. PROF.]]=$B21,IF(DATOS_[[Check Periodo Ref.]:[Check Periodo Ref.]]="Dentro",DATOS_[Conc.Sal.24]))))),
0)</f>
        <v>0</v>
      </c>
      <c r="AD22" s="170">
        <f t="array" ref="AD22">IFERROR(
AVERAGE((IF(DATOS_[[Sexo]:[Sexo]]=$B22,IF(DATOS_[[AGRUP. CLAS. PROF.]:[AGRUP. CLAS. PROF.]]=$B21,IF(DATOS_[[Check Periodo Ref.]:[Check Periodo Ref.]]="Dentro",DATOS_[Conc.Sal.25]))))),
0)</f>
        <v>0</v>
      </c>
      <c r="AE22" s="170">
        <f t="array" ref="AE22">IFERROR(
AVERAGE((IF(DATOS_[[Sexo]:[Sexo]]=$B22,IF(DATOS_[[AGRUP. CLAS. PROF.]:[AGRUP. CLAS. PROF.]]=$B21,IF(DATOS_[[Check Periodo Ref.]:[Check Periodo Ref.]]="Dentro",DATOS_[Conc.Sal.26]))))),
0)</f>
        <v>0</v>
      </c>
      <c r="AF22" s="170">
        <f t="array" ref="AF22">IFERROR(
AVERAGE((IF(DATOS_[[Sexo]:[Sexo]]=$B22,IF(DATOS_[[AGRUP. CLAS. PROF.]:[AGRUP. CLAS. PROF.]]=$B21,IF(DATOS_[[Check Periodo Ref.]:[Check Periodo Ref.]]="Dentro",DATOS_[Conc.Sal.27]))))),
0)</f>
        <v>0</v>
      </c>
      <c r="AG22" s="170">
        <f t="array" ref="AG22">IFERROR(
AVERAGE((IF(DATOS_[[Sexo]:[Sexo]]=$B22,IF(DATOS_[[AGRUP. CLAS. PROF.]:[AGRUP. CLAS. PROF.]]=$B21,IF(DATOS_[[Check Periodo Ref.]:[Check Periodo Ref.]]="Dentro",DATOS_[Conc.Sal.28]))))),
0)</f>
        <v>0</v>
      </c>
      <c r="AH22" s="170">
        <f t="array" ref="AH22">IFERROR(
AVERAGE((IF(DATOS_[[Sexo]:[Sexo]]=$B22,IF(DATOS_[[AGRUP. CLAS. PROF.]:[AGRUP. CLAS. PROF.]]=$B21,IF(DATOS_[[Check Periodo Ref.]:[Check Periodo Ref.]]="Dentro",DATOS_[Conc.Sal.29]))))),
0)</f>
        <v>0</v>
      </c>
      <c r="AI22" s="170">
        <f t="array" ref="AI22">IFERROR(
AVERAGE((IF(DATOS_[[Sexo]:[Sexo]]=$B22,IF(DATOS_[[AGRUP. CLAS. PROF.]:[AGRUP. CLAS. PROF.]]=$B21,IF(DATOS_[[Check Periodo Ref.]:[Check Periodo Ref.]]="Dentro",DATOS_[Conc.Sal.30]))))),
0)</f>
        <v>0</v>
      </c>
      <c r="AJ22" s="171">
        <f t="array" ref="AJ22">IFERROR(
AVERAGE(IF(DATOS_[Sexo]=$B22,IF(DATOS_[AGRUP. CLAS. PROF.]=$B21,IF(DATOS_[Check Periodo Ref.]="Dentro",DATOS_[Tot COMPL.SAL Ef],FALSE)))),
0)</f>
        <v>13065.055</v>
      </c>
      <c r="AK22" s="172">
        <f t="array" ref="AK22">IFERROR(
AVERAGE(IF(DATOS_[Sexo]=$B22,IF(DATOS_[AGRUP. CLAS. PROF.]=$B21,IF(DATOS_[Check Periodo Ref.]="Dentro",DATOS_[TOTAL SALARIO Ef],FALSE)))),
0)</f>
        <v>24480.535</v>
      </c>
      <c r="AL22" s="173">
        <f t="array" ref="AL22">IFERROR(
AVERAGE((IF(DATOS_[[Sexo]:[Sexo]]=$B22,IF(DATOS_[[AGRUP. CLAS. PROF.]:[AGRUP. CLAS. PROF.]]=$B21,IF(DATOS_[[Check Periodo Ref.]:[Check Periodo Ref.]]="Dentro",DATOS_[C.Extra.01]))))),
0)</f>
        <v>0</v>
      </c>
      <c r="AM22" s="173">
        <f t="array" ref="AM22">IFERROR(
AVERAGE((IF(DATOS_[[Sexo]:[Sexo]]=$B22,IF(DATOS_[[AGRUP. CLAS. PROF.]:[AGRUP. CLAS. PROF.]]=$B21,IF(DATOS_[[Check Periodo Ref.]:[Check Periodo Ref.]]="Dentro",DATOS_[C.Extra.06]))))),
0)</f>
        <v>0</v>
      </c>
      <c r="AN22" s="173">
        <f t="array" ref="AN22">IFERROR(
AVERAGE((IF(DATOS_[[Sexo]:[Sexo]]=$B22,IF(DATOS_[[AGRUP. CLAS. PROF.]:[AGRUP. CLAS. PROF.]]=$B21,IF(DATOS_[[Check Periodo Ref.]:[Check Periodo Ref.]]="Dentro",DATOS_[C.Extra.07]))))),
0)</f>
        <v>0</v>
      </c>
      <c r="AO22" s="173">
        <f t="array" ref="AO22">IFERROR(
AVERAGE((IF(DATOS_[[Sexo]:[Sexo]]=$B22,IF(DATOS_[[AGRUP. CLAS. PROF.]:[AGRUP. CLAS. PROF.]]=$B21,IF(DATOS_[[Check Periodo Ref.]:[Check Periodo Ref.]]="Dentro",DATOS_[C.Extra.08]))))),
0)</f>
        <v>0</v>
      </c>
      <c r="AP22" s="173">
        <f t="array" ref="AP22">IFERROR(
AVERAGE((IF(DATOS_[[Sexo]:[Sexo]]=$B22,IF(DATOS_[[AGRUP. CLAS. PROF.]:[AGRUP. CLAS. PROF.]]=$B21,IF(DATOS_[[Check Periodo Ref.]:[Check Periodo Ref.]]="Dentro",DATOS_[C.Extra.11]))))),
0)</f>
        <v>0</v>
      </c>
      <c r="AQ22" s="174">
        <f t="array" ref="AQ22">IFERROR(
AVERAGE(IF(DATOS_[Sexo]=$B22,IF(DATOS_[AGRUP. CLAS. PROF.]=$B21,IF(DATOS_[Check Periodo Ref.]="Dentro",DATOS_[Tot Extrasalarial Ef],FALSE)))),
0)</f>
        <v>0</v>
      </c>
      <c r="AR22" s="171">
        <f t="array" ref="AR22">IFERROR(
AVERAGE(IF(DATOS_[Sexo]=$B22,IF(DATOS_[AGRUP. CLAS. PROF.]=$B21,IF(DATOS_[Check Periodo Ref.]="Dentro",DATOS_[TOTAL Retrib Ef],FALSE)))),
0)</f>
        <v>24480.535</v>
      </c>
    </row>
    <row r="23" spans="1:44" x14ac:dyDescent="0.25">
      <c r="A23" s="152" t="str">
        <f t="shared" ref="A23" si="14">+A22</f>
        <v/>
      </c>
      <c r="B23" s="166" t="s">
        <v>521</v>
      </c>
      <c r="C23" s="167">
        <f t="array" ref="C23">SUM(IF($B23=DATOS_[Sexo],
IF($B21=DATOS_[AGRUP. CLAS. PROF.],
IF("Dentro"=DATOS_[Check Periodo Ref.],
1/(COUNTIFS(DATOS_[Sexo],$B23,DATOS_[AGRUP. CLAS. PROF.],$B21,DATOS_[Check Periodo Ref.],"Dentro",DATOS_[id/cod],DATOS_[id/cod]))))))</f>
        <v>0</v>
      </c>
      <c r="D23" s="168">
        <f>COUNTIFS(DATOS_[AGRUP. CLAS. PROF.],$B21,DATOS_[Sexo],$B23,DATOS_[Check Periodo Ref.],"Dentro")</f>
        <v>0</v>
      </c>
      <c r="E23" s="169">
        <f t="array" ref="E23">IFERROR(
AVERAGE(IF(DATOS_[Sexo]=$B23,IF(DATOS_[AGRUP. CLAS. PROF.]=$B21,IF(DATOS_[Check Periodo Ref.]="Dentro",DATOS_[SALARIO BASE Ef],FALSE)))),
0)</f>
        <v>0</v>
      </c>
      <c r="F23" s="170">
        <f t="array" ref="F23">IFERROR(
AVERAGE((IF(DATOS_[[Sexo]:[Sexo]]=$B23,IF(DATOS_[[AGRUP. CLAS. PROF.]:[AGRUP. CLAS. PROF.]]=$B21,IF(DATOS_[[Check Periodo Ref.]:[Check Periodo Ref.]]="Dentro",DATOS_[Conc.Sal.01]))))),
0)</f>
        <v>0</v>
      </c>
      <c r="G23" s="170">
        <f t="array" ref="G23">IFERROR(
AVERAGE((IF(DATOS_[[Sexo]:[Sexo]]=$B23,IF(DATOS_[[AGRUP. CLAS. PROF.]:[AGRUP. CLAS. PROF.]]=$B21,IF(DATOS_[[Check Periodo Ref.]:[Check Periodo Ref.]]="Dentro",DATOS_[Conc.Sal.02]))))),
0)</f>
        <v>0</v>
      </c>
      <c r="H23" s="170">
        <f t="array" ref="H23">IFERROR(
AVERAGE((IF(DATOS_[[Sexo]:[Sexo]]=$B23,IF(DATOS_[[AGRUP. CLAS. PROF.]:[AGRUP. CLAS. PROF.]]=$B21,IF(DATOS_[[Check Periodo Ref.]:[Check Periodo Ref.]]="Dentro",DATOS_[Conc.Sal.03]))))),
0)</f>
        <v>0</v>
      </c>
      <c r="I23" s="170">
        <f t="array" ref="I23">IFERROR(
AVERAGE((IF(DATOS_[[Sexo]:[Sexo]]=$B23,IF(DATOS_[[AGRUP. CLAS. PROF.]:[AGRUP. CLAS. PROF.]]=$B21,IF(DATOS_[[Check Periodo Ref.]:[Check Periodo Ref.]]="Dentro",DATOS_[Conc.Sal.04]))))),
0)</f>
        <v>0</v>
      </c>
      <c r="J23" s="170">
        <f t="array" ref="J23">IFERROR(
AVERAGE((IF(DATOS_[[Sexo]:[Sexo]]=$B23,IF(DATOS_[[AGRUP. CLAS. PROF.]:[AGRUP. CLAS. PROF.]]=$B21,IF(DATOS_[[Check Periodo Ref.]:[Check Periodo Ref.]]="Dentro",DATOS_[Conc.Sal.05]))))),
0)</f>
        <v>0</v>
      </c>
      <c r="K23" s="170">
        <f t="array" ref="K23">IFERROR(
AVERAGE((IF(DATOS_[[Sexo]:[Sexo]]=$B23,IF(DATOS_[[AGRUP. CLAS. PROF.]:[AGRUP. CLAS. PROF.]]=$B21,IF(DATOS_[[Check Periodo Ref.]:[Check Periodo Ref.]]="Dentro",DATOS_[Conc.Sal.06]))))),
0)</f>
        <v>0</v>
      </c>
      <c r="L23" s="170">
        <f t="array" ref="L23">IFERROR(
AVERAGE((IF(DATOS_[[Sexo]:[Sexo]]=$B23,IF(DATOS_[[AGRUP. CLAS. PROF.]:[AGRUP. CLAS. PROF.]]=$B21,IF(DATOS_[[Check Periodo Ref.]:[Check Periodo Ref.]]="Dentro",DATOS_[Conc.Sal.07]))))),
0)</f>
        <v>0</v>
      </c>
      <c r="M23" s="170">
        <f t="array" ref="M23">IFERROR(
AVERAGE((IF(DATOS_[[Sexo]:[Sexo]]=$B23,IF(DATOS_[[AGRUP. CLAS. PROF.]:[AGRUP. CLAS. PROF.]]=$B21,IF(DATOS_[[Check Periodo Ref.]:[Check Periodo Ref.]]="Dentro",DATOS_[Conc.Sal.08]))))),
0)</f>
        <v>0</v>
      </c>
      <c r="N23" s="170">
        <f t="array" ref="N23">IFERROR(
AVERAGE((IF(DATOS_[[Sexo]:[Sexo]]=$B23,IF(DATOS_[[AGRUP. CLAS. PROF.]:[AGRUP. CLAS. PROF.]]=$B21,IF(DATOS_[[Check Periodo Ref.]:[Check Periodo Ref.]]="Dentro",DATOS_[Conc.Sal.09]))))),
0)</f>
        <v>0</v>
      </c>
      <c r="O23" s="170">
        <f t="array" ref="O23">IFERROR(
AVERAGE((IF(DATOS_[[Sexo]:[Sexo]]=$B23,IF(DATOS_[[AGRUP. CLAS. PROF.]:[AGRUP. CLAS. PROF.]]=$B21,IF(DATOS_[[Check Periodo Ref.]:[Check Periodo Ref.]]="Dentro",DATOS_[Conc.Sal.10]))))),
0)</f>
        <v>0</v>
      </c>
      <c r="P23" s="170">
        <f t="array" ref="P23">IFERROR(
AVERAGE((IF(DATOS_[[Sexo]:[Sexo]]=$B23,IF(DATOS_[[AGRUP. CLAS. PROF.]:[AGRUP. CLAS. PROF.]]=$B21,IF(DATOS_[[Check Periodo Ref.]:[Check Periodo Ref.]]="Dentro",DATOS_[Conc.Sal.11]))))),
0)</f>
        <v>0</v>
      </c>
      <c r="Q23" s="170">
        <f t="array" ref="Q23">IFERROR(
AVERAGE((IF(DATOS_[[Sexo]:[Sexo]]=$B23,IF(DATOS_[[AGRUP. CLAS. PROF.]:[AGRUP. CLAS. PROF.]]=$B21,IF(DATOS_[[Check Periodo Ref.]:[Check Periodo Ref.]]="Dentro",DATOS_[Conc.Sal.12]))))),
0)</f>
        <v>0</v>
      </c>
      <c r="R23" s="170">
        <f t="array" ref="R23">IFERROR(
AVERAGE((IF(DATOS_[[Sexo]:[Sexo]]=$B23,IF(DATOS_[[AGRUP. CLAS. PROF.]:[AGRUP. CLAS. PROF.]]=$B21,IF(DATOS_[[Check Periodo Ref.]:[Check Periodo Ref.]]="Dentro",DATOS_[Conc.Sal.13]))))),
0)</f>
        <v>0</v>
      </c>
      <c r="S23" s="170">
        <f t="array" ref="S23">IFERROR(
AVERAGE((IF(DATOS_[[Sexo]:[Sexo]]=$B23,IF(DATOS_[[AGRUP. CLAS. PROF.]:[AGRUP. CLAS. PROF.]]=$B21,IF(DATOS_[[Check Periodo Ref.]:[Check Periodo Ref.]]="Dentro",DATOS_[Conc.Sal.14]))))),
0)</f>
        <v>0</v>
      </c>
      <c r="T23" s="170">
        <f t="array" ref="T23">IFERROR(
AVERAGE((IF(DATOS_[[Sexo]:[Sexo]]=$B23,IF(DATOS_[[AGRUP. CLAS. PROF.]:[AGRUP. CLAS. PROF.]]=$B21,IF(DATOS_[[Check Periodo Ref.]:[Check Periodo Ref.]]="Dentro",DATOS_[Conc.Sal.15]))))),
0)</f>
        <v>0</v>
      </c>
      <c r="U23" s="170">
        <f t="array" ref="U23">IFERROR(
AVERAGE((IF(DATOS_[[Sexo]:[Sexo]]=$B23,IF(DATOS_[[AGRUP. CLAS. PROF.]:[AGRUP. CLAS. PROF.]]=$B21,IF(DATOS_[[Check Periodo Ref.]:[Check Periodo Ref.]]="Dentro",DATOS_[Conc.Sal.16]))))),
0)</f>
        <v>0</v>
      </c>
      <c r="V23" s="170">
        <f t="array" ref="V23">IFERROR(
AVERAGE((IF(DATOS_[[Sexo]:[Sexo]]=$B23,IF(DATOS_[[AGRUP. CLAS. PROF.]:[AGRUP. CLAS. PROF.]]=$B21,IF(DATOS_[[Check Periodo Ref.]:[Check Periodo Ref.]]="Dentro",DATOS_[Conc.Sal.17]))))),
0)</f>
        <v>0</v>
      </c>
      <c r="W23" s="170">
        <f t="array" ref="W23">IFERROR(
AVERAGE((IF(DATOS_[[Sexo]:[Sexo]]=$B23,IF(DATOS_[[AGRUP. CLAS. PROF.]:[AGRUP. CLAS. PROF.]]=$B21,IF(DATOS_[[Check Periodo Ref.]:[Check Periodo Ref.]]="Dentro",DATOS_[Conc.Sal.18]))))),
0)</f>
        <v>0</v>
      </c>
      <c r="X23" s="170">
        <f t="array" ref="X23">IFERROR(
AVERAGE((IF(DATOS_[[Sexo]:[Sexo]]=$B23,IF(DATOS_[[AGRUP. CLAS. PROF.]:[AGRUP. CLAS. PROF.]]=$B21,IF(DATOS_[[Check Periodo Ref.]:[Check Periodo Ref.]]="Dentro",DATOS_[Conc.Sal.19]))))),
0)</f>
        <v>0</v>
      </c>
      <c r="Y23" s="170">
        <f t="array" ref="Y23">IFERROR(
AVERAGE((IF(DATOS_[[Sexo]:[Sexo]]=$B23,IF(DATOS_[[AGRUP. CLAS. PROF.]:[AGRUP. CLAS. PROF.]]=$B21,IF(DATOS_[[Check Periodo Ref.]:[Check Periodo Ref.]]="Dentro",DATOS_[Conc.Sal.20]))))),
0)</f>
        <v>0</v>
      </c>
      <c r="Z23" s="170">
        <f t="array" ref="Z23">IFERROR(
AVERAGE((IF(DATOS_[[Sexo]:[Sexo]]=$B23,IF(DATOS_[[AGRUP. CLAS. PROF.]:[AGRUP. CLAS. PROF.]]=$B21,IF(DATOS_[[Check Periodo Ref.]:[Check Periodo Ref.]]="Dentro",DATOS_[Conc.Sal.21]))))),
0)</f>
        <v>0</v>
      </c>
      <c r="AA23" s="170">
        <f t="array" ref="AA23">IFERROR(
AVERAGE((IF(DATOS_[[Sexo]:[Sexo]]=$B23,IF(DATOS_[[AGRUP. CLAS. PROF.]:[AGRUP. CLAS. PROF.]]=$B21,IF(DATOS_[[Check Periodo Ref.]:[Check Periodo Ref.]]="Dentro",DATOS_[Conc.Sal.22]))))),
0)</f>
        <v>0</v>
      </c>
      <c r="AB23" s="170">
        <f t="array" ref="AB23">IFERROR(
AVERAGE((IF(DATOS_[[Sexo]:[Sexo]]=$B23,IF(DATOS_[[AGRUP. CLAS. PROF.]:[AGRUP. CLAS. PROF.]]=$B21,IF(DATOS_[[Check Periodo Ref.]:[Check Periodo Ref.]]="Dentro",DATOS_[Conc.Sal.23]))))),
0)</f>
        <v>0</v>
      </c>
      <c r="AC23" s="170">
        <f t="array" ref="AC23">IFERROR(
AVERAGE((IF(DATOS_[[Sexo]:[Sexo]]=$B23,IF(DATOS_[[AGRUP. CLAS. PROF.]:[AGRUP. CLAS. PROF.]]=$B21,IF(DATOS_[[Check Periodo Ref.]:[Check Periodo Ref.]]="Dentro",DATOS_[Conc.Sal.24]))))),
0)</f>
        <v>0</v>
      </c>
      <c r="AD23" s="170">
        <f t="array" ref="AD23">IFERROR(
AVERAGE((IF(DATOS_[[Sexo]:[Sexo]]=$B23,IF(DATOS_[[AGRUP. CLAS. PROF.]:[AGRUP. CLAS. PROF.]]=$B21,IF(DATOS_[[Check Periodo Ref.]:[Check Periodo Ref.]]="Dentro",DATOS_[Conc.Sal.25]))))),
0)</f>
        <v>0</v>
      </c>
      <c r="AE23" s="170">
        <f t="array" ref="AE23">IFERROR(
AVERAGE((IF(DATOS_[[Sexo]:[Sexo]]=$B23,IF(DATOS_[[AGRUP. CLAS. PROF.]:[AGRUP. CLAS. PROF.]]=$B21,IF(DATOS_[[Check Periodo Ref.]:[Check Periodo Ref.]]="Dentro",DATOS_[Conc.Sal.26]))))),
0)</f>
        <v>0</v>
      </c>
      <c r="AF23" s="170">
        <f t="array" ref="AF23">IFERROR(
AVERAGE((IF(DATOS_[[Sexo]:[Sexo]]=$B23,IF(DATOS_[[AGRUP. CLAS. PROF.]:[AGRUP. CLAS. PROF.]]=$B21,IF(DATOS_[[Check Periodo Ref.]:[Check Periodo Ref.]]="Dentro",DATOS_[Conc.Sal.27]))))),
0)</f>
        <v>0</v>
      </c>
      <c r="AG23" s="170">
        <f t="array" ref="AG23">IFERROR(
AVERAGE((IF(DATOS_[[Sexo]:[Sexo]]=$B23,IF(DATOS_[[AGRUP. CLAS. PROF.]:[AGRUP. CLAS. PROF.]]=$B21,IF(DATOS_[[Check Periodo Ref.]:[Check Periodo Ref.]]="Dentro",DATOS_[Conc.Sal.28]))))),
0)</f>
        <v>0</v>
      </c>
      <c r="AH23" s="170">
        <f t="array" ref="AH23">IFERROR(
AVERAGE((IF(DATOS_[[Sexo]:[Sexo]]=$B23,IF(DATOS_[[AGRUP. CLAS. PROF.]:[AGRUP. CLAS. PROF.]]=$B21,IF(DATOS_[[Check Periodo Ref.]:[Check Periodo Ref.]]="Dentro",DATOS_[Conc.Sal.29]))))),
0)</f>
        <v>0</v>
      </c>
      <c r="AI23" s="170">
        <f t="array" ref="AI23">IFERROR(
AVERAGE((IF(DATOS_[[Sexo]:[Sexo]]=$B23,IF(DATOS_[[AGRUP. CLAS. PROF.]:[AGRUP. CLAS. PROF.]]=$B21,IF(DATOS_[[Check Periodo Ref.]:[Check Periodo Ref.]]="Dentro",DATOS_[Conc.Sal.30]))))),
0)</f>
        <v>0</v>
      </c>
      <c r="AJ23" s="171">
        <f t="array" ref="AJ23">IFERROR(
AVERAGE(IF(DATOS_[Sexo]=$B23,IF(DATOS_[AGRUP. CLAS. PROF.]=$B21,IF(DATOS_[Check Periodo Ref.]="Dentro",DATOS_[Tot COMPL.SAL Ef],FALSE)))),
0)</f>
        <v>0</v>
      </c>
      <c r="AK23" s="172">
        <f t="array" ref="AK23">IFERROR(
AVERAGE(IF(DATOS_[Sexo]=$B23,IF(DATOS_[AGRUP. CLAS. PROF.]=$B21,IF(DATOS_[Check Periodo Ref.]="Dentro",DATOS_[TOTAL SALARIO Ef],FALSE)))),
0)</f>
        <v>0</v>
      </c>
      <c r="AL23" s="173">
        <f t="array" ref="AL23">IFERROR(
AVERAGE((IF(DATOS_[[Sexo]:[Sexo]]=$B23,IF(DATOS_[[AGRUP. CLAS. PROF.]:[AGRUP. CLAS. PROF.]]=$B21,IF(DATOS_[[Check Periodo Ref.]:[Check Periodo Ref.]]="Dentro",DATOS_[C.Extra.01]))))),
0)</f>
        <v>0</v>
      </c>
      <c r="AM23" s="173">
        <f t="array" ref="AM23">IFERROR(
AVERAGE((IF(DATOS_[[Sexo]:[Sexo]]=$B23,IF(DATOS_[[AGRUP. CLAS. PROF.]:[AGRUP. CLAS. PROF.]]=$B21,IF(DATOS_[[Check Periodo Ref.]:[Check Periodo Ref.]]="Dentro",DATOS_[C.Extra.06]))))),
0)</f>
        <v>0</v>
      </c>
      <c r="AN23" s="173">
        <f t="array" ref="AN23">IFERROR(
AVERAGE((IF(DATOS_[[Sexo]:[Sexo]]=$B23,IF(DATOS_[[AGRUP. CLAS. PROF.]:[AGRUP. CLAS. PROF.]]=$B21,IF(DATOS_[[Check Periodo Ref.]:[Check Periodo Ref.]]="Dentro",DATOS_[C.Extra.07]))))),
0)</f>
        <v>0</v>
      </c>
      <c r="AO23" s="173">
        <f t="array" ref="AO23">IFERROR(
AVERAGE((IF(DATOS_[[Sexo]:[Sexo]]=$B23,IF(DATOS_[[AGRUP. CLAS. PROF.]:[AGRUP. CLAS. PROF.]]=$B21,IF(DATOS_[[Check Periodo Ref.]:[Check Periodo Ref.]]="Dentro",DATOS_[C.Extra.08]))))),
0)</f>
        <v>0</v>
      </c>
      <c r="AP23" s="173">
        <f t="array" ref="AP23">IFERROR(
AVERAGE((IF(DATOS_[[Sexo]:[Sexo]]=$B23,IF(DATOS_[[AGRUP. CLAS. PROF.]:[AGRUP. CLAS. PROF.]]=$B21,IF(DATOS_[[Check Periodo Ref.]:[Check Periodo Ref.]]="Dentro",DATOS_[C.Extra.11]))))),
0)</f>
        <v>0</v>
      </c>
      <c r="AQ23" s="174">
        <f t="array" ref="AQ23">IFERROR(
AVERAGE(IF(DATOS_[Sexo]=$B23,IF(DATOS_[AGRUP. CLAS. PROF.]=$B21,IF(DATOS_[Check Periodo Ref.]="Dentro",DATOS_[Tot Extrasalarial Ef],FALSE)))),
0)</f>
        <v>0</v>
      </c>
      <c r="AR23" s="171">
        <f t="array" ref="AR23">IFERROR(
AVERAGE(IF(DATOS_[Sexo]=$B23,IF(DATOS_[AGRUP. CLAS. PROF.]=$B21,IF(DATOS_[Check Periodo Ref.]="Dentro",DATOS_[TOTAL Retrib Ef],FALSE)))),
0)</f>
        <v>0</v>
      </c>
    </row>
    <row r="24" spans="1:44" s="152" customFormat="1" ht="14.4" thickBot="1" x14ac:dyDescent="0.3">
      <c r="A24" s="152" t="str">
        <f t="shared" ref="A24" si="15">+A25</f>
        <v/>
      </c>
      <c r="B24" s="153" t="s">
        <v>188</v>
      </c>
      <c r="C24" s="154"/>
      <c r="D24" s="155"/>
      <c r="E24" s="156">
        <f t="shared" ref="E24:AR24" si="16">IFERROR((E25-E26)/E25,"")</f>
        <v>0.56000809748714897</v>
      </c>
      <c r="F24" s="157">
        <f t="shared" si="16"/>
        <v>0.6226284925836495</v>
      </c>
      <c r="G24" s="158">
        <f t="shared" si="16"/>
        <v>0.56836873818005884</v>
      </c>
      <c r="H24" s="158">
        <f t="shared" si="16"/>
        <v>0.54407890885031607</v>
      </c>
      <c r="I24" s="158">
        <f t="shared" si="16"/>
        <v>0.57349497716453035</v>
      </c>
      <c r="J24" s="159">
        <f t="shared" si="16"/>
        <v>0.32544750846637638</v>
      </c>
      <c r="K24" s="160">
        <f t="shared" si="16"/>
        <v>0.47732241608436582</v>
      </c>
      <c r="L24" s="160">
        <f t="shared" si="16"/>
        <v>0.41236645299145303</v>
      </c>
      <c r="M24" s="160">
        <f t="shared" si="16"/>
        <v>0.10075543148912962</v>
      </c>
      <c r="N24" s="160">
        <f t="shared" si="16"/>
        <v>0.60164770355853159</v>
      </c>
      <c r="O24" s="160">
        <f t="shared" si="16"/>
        <v>0.44968445478607116</v>
      </c>
      <c r="P24" s="160">
        <f t="shared" si="16"/>
        <v>0.52280392704461964</v>
      </c>
      <c r="Q24" s="160">
        <f t="shared" si="16"/>
        <v>-0.20702889412796754</v>
      </c>
      <c r="R24" s="160">
        <f t="shared" si="16"/>
        <v>0.94168631837737349</v>
      </c>
      <c r="S24" s="160">
        <f t="shared" si="16"/>
        <v>0.45853029651912336</v>
      </c>
      <c r="T24" s="160">
        <f t="shared" si="16"/>
        <v>0.77364965644377415</v>
      </c>
      <c r="U24" s="160">
        <f t="shared" si="16"/>
        <v>0.54344311285957903</v>
      </c>
      <c r="V24" s="159">
        <f t="shared" si="16"/>
        <v>0.90019428521295664</v>
      </c>
      <c r="W24" s="159">
        <f t="shared" si="16"/>
        <v>0.97673814272439108</v>
      </c>
      <c r="X24" s="159">
        <f t="shared" si="16"/>
        <v>0.97275586138182268</v>
      </c>
      <c r="Y24" s="159">
        <f t="shared" si="16"/>
        <v>-3.0498863727703673E-2</v>
      </c>
      <c r="Z24" s="159">
        <f t="shared" si="16"/>
        <v>0.64017274524138312</v>
      </c>
      <c r="AA24" s="159" t="str">
        <f t="shared" si="16"/>
        <v/>
      </c>
      <c r="AB24" s="159">
        <f t="shared" si="16"/>
        <v>-7.69230769230769E-2</v>
      </c>
      <c r="AC24" s="159" t="str">
        <f t="shared" si="16"/>
        <v/>
      </c>
      <c r="AD24" s="159" t="str">
        <f t="shared" si="16"/>
        <v/>
      </c>
      <c r="AE24" s="159" t="str">
        <f t="shared" si="16"/>
        <v/>
      </c>
      <c r="AF24" s="159" t="str">
        <f t="shared" si="16"/>
        <v/>
      </c>
      <c r="AG24" s="159" t="str">
        <f t="shared" si="16"/>
        <v/>
      </c>
      <c r="AH24" s="159" t="str">
        <f t="shared" si="16"/>
        <v/>
      </c>
      <c r="AI24" s="159" t="str">
        <f t="shared" si="16"/>
        <v/>
      </c>
      <c r="AJ24" s="161">
        <f t="shared" si="16"/>
        <v>0.5902851390137176</v>
      </c>
      <c r="AK24" s="162">
        <f t="shared" si="16"/>
        <v>0.57490474483284337</v>
      </c>
      <c r="AL24" s="163" t="str">
        <f t="shared" si="16"/>
        <v/>
      </c>
      <c r="AM24" s="163" t="str">
        <f t="shared" si="16"/>
        <v/>
      </c>
      <c r="AN24" s="163" t="str">
        <f t="shared" si="16"/>
        <v/>
      </c>
      <c r="AO24" s="163" t="str">
        <f t="shared" si="16"/>
        <v/>
      </c>
      <c r="AP24" s="163" t="str">
        <f t="shared" si="16"/>
        <v/>
      </c>
      <c r="AQ24" s="164" t="str">
        <f t="shared" si="16"/>
        <v/>
      </c>
      <c r="AR24" s="161">
        <f t="shared" si="16"/>
        <v>0.57490474483284337</v>
      </c>
    </row>
    <row r="25" spans="1:44" x14ac:dyDescent="0.25">
      <c r="A25" s="152" t="str">
        <f t="shared" ref="A25" si="17">+IF(C25+C26=0,"[ocultar]","")</f>
        <v/>
      </c>
      <c r="B25" s="166" t="s">
        <v>394</v>
      </c>
      <c r="C25" s="167">
        <f t="array" ref="C25">SUM(IF($B25=DATOS_[Sexo],
IF($B24=DATOS_[AGRUP. CLAS. PROF.],
IF("Dentro"=DATOS_[Check Periodo Ref.],
1/(COUNTIFS(DATOS_[Sexo],$B25,DATOS_[AGRUP. CLAS. PROF.],$B24,DATOS_[Check Periodo Ref.],"Dentro",DATOS_[id/cod],DATOS_[id/cod]))))))</f>
        <v>7</v>
      </c>
      <c r="D25" s="168">
        <f>COUNTIFS(DATOS_[AGRUP. CLAS. PROF.],$B24,DATOS_[Sexo],$B25,DATOS_[Check Periodo Ref.],"Dentro")</f>
        <v>7</v>
      </c>
      <c r="E25" s="169">
        <f t="array" ref="E25">IFERROR(
AVERAGE(IF(DATOS_[Sexo]=$B25,IF(DATOS_[AGRUP. CLAS. PROF.]=$B24,IF(DATOS_[Check Periodo Ref.]="Dentro",DATOS_[SALARIO BASE Ef],FALSE)))),
0)</f>
        <v>11381.634285714286</v>
      </c>
      <c r="F25" s="170">
        <f t="array" ref="F25">IFERROR(
AVERAGE((IF(DATOS_[[Sexo]:[Sexo]]=$B25,IF(DATOS_[[AGRUP. CLAS. PROF.]:[AGRUP. CLAS. PROF.]]=$B24,IF(DATOS_[[Check Periodo Ref.]:[Check Periodo Ref.]]="Dentro",DATOS_[Conc.Sal.01]))))),
0)</f>
        <v>223</v>
      </c>
      <c r="G25" s="170">
        <f t="array" ref="G25">IFERROR(
AVERAGE((IF(DATOS_[[Sexo]:[Sexo]]=$B25,IF(DATOS_[[AGRUP. CLAS. PROF.]:[AGRUP. CLAS. PROF.]]=$B24,IF(DATOS_[[Check Periodo Ref.]:[Check Periodo Ref.]]="Dentro",DATOS_[Conc.Sal.02]))))),
0)</f>
        <v>34.979999999999997</v>
      </c>
      <c r="H25" s="170">
        <f t="array" ref="H25">IFERROR(
AVERAGE((IF(DATOS_[[Sexo]:[Sexo]]=$B25,IF(DATOS_[[AGRUP. CLAS. PROF.]:[AGRUP. CLAS. PROF.]]=$B24,IF(DATOS_[[Check Periodo Ref.]:[Check Periodo Ref.]]="Dentro",DATOS_[Conc.Sal.03]))))),
0)</f>
        <v>998.53142857142859</v>
      </c>
      <c r="I25" s="170">
        <f t="array" ref="I25">IFERROR(
AVERAGE((IF(DATOS_[[Sexo]:[Sexo]]=$B25,IF(DATOS_[[AGRUP. CLAS. PROF.]:[AGRUP. CLAS. PROF.]]=$B24,IF(DATOS_[[Check Periodo Ref.]:[Check Periodo Ref.]]="Dentro",DATOS_[Conc.Sal.04]))))),
0)</f>
        <v>840.1957142857143</v>
      </c>
      <c r="J25" s="170">
        <f t="array" ref="J25">IFERROR(
AVERAGE((IF(DATOS_[[Sexo]:[Sexo]]=$B25,IF(DATOS_[[AGRUP. CLAS. PROF.]:[AGRUP. CLAS. PROF.]]=$B24,IF(DATOS_[[Check Periodo Ref.]:[Check Periodo Ref.]]="Dentro",DATOS_[Conc.Sal.05]))))),
0)</f>
        <v>159</v>
      </c>
      <c r="K25" s="170">
        <f t="array" ref="K25">IFERROR(
AVERAGE((IF(DATOS_[[Sexo]:[Sexo]]=$B25,IF(DATOS_[[AGRUP. CLAS. PROF.]:[AGRUP. CLAS. PROF.]]=$B24,IF(DATOS_[[Check Periodo Ref.]:[Check Periodo Ref.]]="Dentro",DATOS_[Conc.Sal.06]))))),
0)</f>
        <v>1399.6200000000001</v>
      </c>
      <c r="L25" s="170">
        <f t="array" ref="L25">IFERROR(
AVERAGE((IF(DATOS_[[Sexo]:[Sexo]]=$B25,IF(DATOS_[[AGRUP. CLAS. PROF.]:[AGRUP. CLAS. PROF.]]=$B24,IF(DATOS_[[Check Periodo Ref.]:[Check Periodo Ref.]]="Dentro",DATOS_[Conc.Sal.07]))))),
0)</f>
        <v>205.71428571428572</v>
      </c>
      <c r="M25" s="170">
        <f t="array" ref="M25">IFERROR(
AVERAGE((IF(DATOS_[[Sexo]:[Sexo]]=$B25,IF(DATOS_[[AGRUP. CLAS. PROF.]:[AGRUP. CLAS. PROF.]]=$B24,IF(DATOS_[[Check Periodo Ref.]:[Check Periodo Ref.]]="Dentro",DATOS_[Conc.Sal.08]))))),
0)</f>
        <v>90.305714285714274</v>
      </c>
      <c r="N25" s="170">
        <f t="array" ref="N25">IFERROR(
AVERAGE((IF(DATOS_[[Sexo]:[Sexo]]=$B25,IF(DATOS_[[AGRUP. CLAS. PROF.]:[AGRUP. CLAS. PROF.]]=$B24,IF(DATOS_[[Check Periodo Ref.]:[Check Periodo Ref.]]="Dentro",DATOS_[Conc.Sal.09]))))),
0)</f>
        <v>436.01142857142855</v>
      </c>
      <c r="O25" s="170">
        <f t="array" ref="O25">IFERROR(
AVERAGE((IF(DATOS_[[Sexo]:[Sexo]]=$B25,IF(DATOS_[[AGRUP. CLAS. PROF.]:[AGRUP. CLAS. PROF.]]=$B24,IF(DATOS_[[Check Periodo Ref.]:[Check Periodo Ref.]]="Dentro",DATOS_[Conc.Sal.10]))))),
0)</f>
        <v>515.24285714285713</v>
      </c>
      <c r="P25" s="170">
        <f t="array" ref="P25">IFERROR(
AVERAGE((IF(DATOS_[[Sexo]:[Sexo]]=$B25,IF(DATOS_[[AGRUP. CLAS. PROF.]:[AGRUP. CLAS. PROF.]]=$B24,IF(DATOS_[[Check Periodo Ref.]:[Check Periodo Ref.]]="Dentro",DATOS_[Conc.Sal.11]))))),
0)</f>
        <v>465.48999999999995</v>
      </c>
      <c r="Q25" s="170">
        <f t="array" ref="Q25">IFERROR(
AVERAGE((IF(DATOS_[[Sexo]:[Sexo]]=$B25,IF(DATOS_[[AGRUP. CLAS. PROF.]:[AGRUP. CLAS. PROF.]]=$B24,IF(DATOS_[[Check Periodo Ref.]:[Check Periodo Ref.]]="Dentro",DATOS_[Conc.Sal.12]))))),
0)</f>
        <v>72.15428571428572</v>
      </c>
      <c r="R25" s="170">
        <f t="array" ref="R25">IFERROR(
AVERAGE((IF(DATOS_[[Sexo]:[Sexo]]=$B25,IF(DATOS_[[AGRUP. CLAS. PROF.]:[AGRUP. CLAS. PROF.]]=$B24,IF(DATOS_[[Check Periodo Ref.]:[Check Periodo Ref.]]="Dentro",DATOS_[Conc.Sal.13]))))),
0)</f>
        <v>989.34428571428566</v>
      </c>
      <c r="S25" s="170">
        <f t="array" ref="S25">IFERROR(
AVERAGE((IF(DATOS_[[Sexo]:[Sexo]]=$B25,IF(DATOS_[[AGRUP. CLAS. PROF.]:[AGRUP. CLAS. PROF.]]=$B24,IF(DATOS_[[Check Periodo Ref.]:[Check Periodo Ref.]]="Dentro",DATOS_[Conc.Sal.14]))))),
0)</f>
        <v>86.94285714285715</v>
      </c>
      <c r="T25" s="170">
        <f t="array" ref="T25">IFERROR(
AVERAGE((IF(DATOS_[[Sexo]:[Sexo]]=$B25,IF(DATOS_[[AGRUP. CLAS. PROF.]:[AGRUP. CLAS. PROF.]]=$B24,IF(DATOS_[[Check Periodo Ref.]:[Check Periodo Ref.]]="Dentro",DATOS_[Conc.Sal.15]))))),
0)</f>
        <v>262.28571428571428</v>
      </c>
      <c r="U25" s="170">
        <f t="array" ref="U25">IFERROR(
AVERAGE((IF(DATOS_[[Sexo]:[Sexo]]=$B25,IF(DATOS_[[AGRUP. CLAS. PROF.]:[AGRUP. CLAS. PROF.]]=$B24,IF(DATOS_[[Check Periodo Ref.]:[Check Periodo Ref.]]="Dentro",DATOS_[Conc.Sal.16]))))),
0)</f>
        <v>1841.7100000000003</v>
      </c>
      <c r="V25" s="170">
        <f t="array" ref="V25">IFERROR(
AVERAGE((IF(DATOS_[[Sexo]:[Sexo]]=$B25,IF(DATOS_[[AGRUP. CLAS. PROF.]:[AGRUP. CLAS. PROF.]]=$B24,IF(DATOS_[[Check Periodo Ref.]:[Check Periodo Ref.]]="Dentro",DATOS_[Conc.Sal.17]))))),
0)</f>
        <v>155.31714285714287</v>
      </c>
      <c r="W25" s="170">
        <f t="array" ref="W25">IFERROR(
AVERAGE((IF(DATOS_[[Sexo]:[Sexo]]=$B25,IF(DATOS_[[AGRUP. CLAS. PROF.]:[AGRUP. CLAS. PROF.]]=$B24,IF(DATOS_[[Check Periodo Ref.]:[Check Periodo Ref.]]="Dentro",DATOS_[Conc.Sal.18]))))),
0)</f>
        <v>119.67428571428572</v>
      </c>
      <c r="X25" s="170">
        <f t="array" ref="X25">IFERROR(
AVERAGE((IF(DATOS_[[Sexo]:[Sexo]]=$B25,IF(DATOS_[[AGRUP. CLAS. PROF.]:[AGRUP. CLAS. PROF.]]=$B24,IF(DATOS_[[Check Periodo Ref.]:[Check Periodo Ref.]]="Dentro",DATOS_[Conc.Sal.19]))))),
0)</f>
        <v>367.05142857142857</v>
      </c>
      <c r="Y25" s="170">
        <f t="array" ref="Y25">IFERROR(
AVERAGE((IF(DATOS_[[Sexo]:[Sexo]]=$B25,IF(DATOS_[[AGRUP. CLAS. PROF.]:[AGRUP. CLAS. PROF.]]=$B24,IF(DATOS_[[Check Periodo Ref.]:[Check Periodo Ref.]]="Dentro",DATOS_[Conc.Sal.20]))))),
0)</f>
        <v>150.3857142857143</v>
      </c>
      <c r="Z25" s="170">
        <f t="array" ref="Z25">IFERROR(
AVERAGE((IF(DATOS_[[Sexo]:[Sexo]]=$B25,IF(DATOS_[[AGRUP. CLAS. PROF.]:[AGRUP. CLAS. PROF.]]=$B24,IF(DATOS_[[Check Periodo Ref.]:[Check Periodo Ref.]]="Dentro",DATOS_[Conc.Sal.21]))))),
0)</f>
        <v>1582.8428571428572</v>
      </c>
      <c r="AA25" s="170">
        <f t="array" ref="AA25">IFERROR(
AVERAGE((IF(DATOS_[[Sexo]:[Sexo]]=$B25,IF(DATOS_[[AGRUP. CLAS. PROF.]:[AGRUP. CLAS. PROF.]]=$B24,IF(DATOS_[[Check Periodo Ref.]:[Check Periodo Ref.]]="Dentro",DATOS_[Conc.Sal.22]))))),
0)</f>
        <v>0</v>
      </c>
      <c r="AB25" s="170">
        <f t="array" ref="AB25">IFERROR(
AVERAGE((IF(DATOS_[[Sexo]:[Sexo]]=$B25,IF(DATOS_[[AGRUP. CLAS. PROF.]:[AGRUP. CLAS. PROF.]]=$B24,IF(DATOS_[[Check Periodo Ref.]:[Check Periodo Ref.]]="Dentro",DATOS_[Conc.Sal.23]))))),
0)</f>
        <v>27.857142857142858</v>
      </c>
      <c r="AC25" s="170">
        <f t="array" ref="AC25">IFERROR(
AVERAGE((IF(DATOS_[[Sexo]:[Sexo]]=$B25,IF(DATOS_[[AGRUP. CLAS. PROF.]:[AGRUP. CLAS. PROF.]]=$B24,IF(DATOS_[[Check Periodo Ref.]:[Check Periodo Ref.]]="Dentro",DATOS_[Conc.Sal.24]))))),
0)</f>
        <v>0</v>
      </c>
      <c r="AD25" s="170">
        <f t="array" ref="AD25">IFERROR(
AVERAGE((IF(DATOS_[[Sexo]:[Sexo]]=$B25,IF(DATOS_[[AGRUP. CLAS. PROF.]:[AGRUP. CLAS. PROF.]]=$B24,IF(DATOS_[[Check Periodo Ref.]:[Check Periodo Ref.]]="Dentro",DATOS_[Conc.Sal.25]))))),
0)</f>
        <v>0</v>
      </c>
      <c r="AE25" s="170">
        <f t="array" ref="AE25">IFERROR(
AVERAGE((IF(DATOS_[[Sexo]:[Sexo]]=$B25,IF(DATOS_[[AGRUP. CLAS. PROF.]:[AGRUP. CLAS. PROF.]]=$B24,IF(DATOS_[[Check Periodo Ref.]:[Check Periodo Ref.]]="Dentro",DATOS_[Conc.Sal.26]))))),
0)</f>
        <v>0</v>
      </c>
      <c r="AF25" s="170">
        <f t="array" ref="AF25">IFERROR(
AVERAGE((IF(DATOS_[[Sexo]:[Sexo]]=$B25,IF(DATOS_[[AGRUP. CLAS. PROF.]:[AGRUP. CLAS. PROF.]]=$B24,IF(DATOS_[[Check Periodo Ref.]:[Check Periodo Ref.]]="Dentro",DATOS_[Conc.Sal.27]))))),
0)</f>
        <v>0</v>
      </c>
      <c r="AG25" s="170">
        <f t="array" ref="AG25">IFERROR(
AVERAGE((IF(DATOS_[[Sexo]:[Sexo]]=$B25,IF(DATOS_[[AGRUP. CLAS. PROF.]:[AGRUP. CLAS. PROF.]]=$B24,IF(DATOS_[[Check Periodo Ref.]:[Check Periodo Ref.]]="Dentro",DATOS_[Conc.Sal.28]))))),
0)</f>
        <v>0</v>
      </c>
      <c r="AH25" s="170">
        <f t="array" ref="AH25">IFERROR(
AVERAGE((IF(DATOS_[[Sexo]:[Sexo]]=$B25,IF(DATOS_[[AGRUP. CLAS. PROF.]:[AGRUP. CLAS. PROF.]]=$B24,IF(DATOS_[[Check Periodo Ref.]:[Check Periodo Ref.]]="Dentro",DATOS_[Conc.Sal.29]))))),
0)</f>
        <v>0</v>
      </c>
      <c r="AI25" s="170">
        <f t="array" ref="AI25">IFERROR(
AVERAGE((IF(DATOS_[[Sexo]:[Sexo]]=$B25,IF(DATOS_[[AGRUP. CLAS. PROF.]:[AGRUP. CLAS. PROF.]]=$B24,IF(DATOS_[[Check Periodo Ref.]:[Check Periodo Ref.]]="Dentro",DATOS_[Conc.Sal.30]))))),
0)</f>
        <v>0</v>
      </c>
      <c r="AJ25" s="171">
        <f t="array" ref="AJ25">IFERROR(
AVERAGE(IF(DATOS_[Sexo]=$B25,IF(DATOS_[AGRUP. CLAS. PROF.]=$B24,IF(DATOS_[Check Periodo Ref.]="Dentro",DATOS_[Tot COMPL.SAL Ef],FALSE)))),
0)</f>
        <v>11023.657142857144</v>
      </c>
      <c r="AK25" s="172">
        <f t="array" ref="AK25">IFERROR(
AVERAGE(IF(DATOS_[Sexo]=$B25,IF(DATOS_[AGRUP. CLAS. PROF.]=$B24,IF(DATOS_[Check Periodo Ref.]="Dentro",DATOS_[TOTAL SALARIO Ef],FALSE)))),
0)</f>
        <v>22405.291428571425</v>
      </c>
      <c r="AL25" s="173">
        <f t="array" ref="AL25">IFERROR(
AVERAGE((IF(DATOS_[[Sexo]:[Sexo]]=$B25,IF(DATOS_[[AGRUP. CLAS. PROF.]:[AGRUP. CLAS. PROF.]]=$B24,IF(DATOS_[[Check Periodo Ref.]:[Check Periodo Ref.]]="Dentro",DATOS_[C.Extra.01]))))),
0)</f>
        <v>0</v>
      </c>
      <c r="AM25" s="173">
        <f t="array" ref="AM25">IFERROR(
AVERAGE((IF(DATOS_[[Sexo]:[Sexo]]=$B25,IF(DATOS_[[AGRUP. CLAS. PROF.]:[AGRUP. CLAS. PROF.]]=$B24,IF(DATOS_[[Check Periodo Ref.]:[Check Periodo Ref.]]="Dentro",DATOS_[C.Extra.06]))))),
0)</f>
        <v>0</v>
      </c>
      <c r="AN25" s="173">
        <f t="array" ref="AN25">IFERROR(
AVERAGE((IF(DATOS_[[Sexo]:[Sexo]]=$B25,IF(DATOS_[[AGRUP. CLAS. PROF.]:[AGRUP. CLAS. PROF.]]=$B24,IF(DATOS_[[Check Periodo Ref.]:[Check Periodo Ref.]]="Dentro",DATOS_[C.Extra.07]))))),
0)</f>
        <v>0</v>
      </c>
      <c r="AO25" s="173">
        <f t="array" ref="AO25">IFERROR(
AVERAGE((IF(DATOS_[[Sexo]:[Sexo]]=$B25,IF(DATOS_[[AGRUP. CLAS. PROF.]:[AGRUP. CLAS. PROF.]]=$B24,IF(DATOS_[[Check Periodo Ref.]:[Check Periodo Ref.]]="Dentro",DATOS_[C.Extra.08]))))),
0)</f>
        <v>0</v>
      </c>
      <c r="AP25" s="173">
        <f t="array" ref="AP25">IFERROR(
AVERAGE((IF(DATOS_[[Sexo]:[Sexo]]=$B25,IF(DATOS_[[AGRUP. CLAS. PROF.]:[AGRUP. CLAS. PROF.]]=$B24,IF(DATOS_[[Check Periodo Ref.]:[Check Periodo Ref.]]="Dentro",DATOS_[C.Extra.11]))))),
0)</f>
        <v>0</v>
      </c>
      <c r="AQ25" s="174">
        <f t="array" ref="AQ25">IFERROR(
AVERAGE(IF(DATOS_[Sexo]=$B25,IF(DATOS_[AGRUP. CLAS. PROF.]=$B24,IF(DATOS_[Check Periodo Ref.]="Dentro",DATOS_[Tot Extrasalarial Ef],FALSE)))),
0)</f>
        <v>0</v>
      </c>
      <c r="AR25" s="171">
        <f t="array" ref="AR25">IFERROR(
AVERAGE(IF(DATOS_[Sexo]=$B25,IF(DATOS_[AGRUP. CLAS. PROF.]=$B24,IF(DATOS_[Check Periodo Ref.]="Dentro",DATOS_[TOTAL Retrib Ef],FALSE)))),
0)</f>
        <v>22405.291428571425</v>
      </c>
    </row>
    <row r="26" spans="1:44" x14ac:dyDescent="0.25">
      <c r="A26" s="152" t="str">
        <f t="shared" ref="A26" si="18">+A25</f>
        <v/>
      </c>
      <c r="B26" s="166" t="s">
        <v>521</v>
      </c>
      <c r="C26" s="167">
        <f t="array" ref="C26">SUM(IF($B26=DATOS_[Sexo],
IF($B24=DATOS_[AGRUP. CLAS. PROF.],
IF("Dentro"=DATOS_[Check Periodo Ref.],
1/(COUNTIFS(DATOS_[Sexo],$B26,DATOS_[AGRUP. CLAS. PROF.],$B24,DATOS_[Check Periodo Ref.],"Dentro",DATOS_[id/cod],DATOS_[id/cod]))))))</f>
        <v>13</v>
      </c>
      <c r="D26" s="168">
        <f>COUNTIFS(DATOS_[AGRUP. CLAS. PROF.],$B24,DATOS_[Sexo],$B26,DATOS_[Check Periodo Ref.],"Dentro")</f>
        <v>13</v>
      </c>
      <c r="E26" s="169">
        <f t="array" ref="E26">IFERROR(
AVERAGE(IF(DATOS_[Sexo]=$B26,IF(DATOS_[AGRUP. CLAS. PROF.]=$B24,IF(DATOS_[Check Periodo Ref.]="Dentro",DATOS_[SALARIO BASE Ef],FALSE)))),
0)</f>
        <v>5007.8269230769229</v>
      </c>
      <c r="F26" s="170">
        <f t="array" ref="F26">IFERROR(
AVERAGE((IF(DATOS_[[Sexo]:[Sexo]]=$B26,IF(DATOS_[[AGRUP. CLAS. PROF.]:[AGRUP. CLAS. PROF.]]=$B24,IF(DATOS_[[Check Periodo Ref.]:[Check Periodo Ref.]]="Dentro",DATOS_[Conc.Sal.01]))))),
0)</f>
        <v>84.15384615384616</v>
      </c>
      <c r="G26" s="170">
        <f t="array" ref="G26">IFERROR(
AVERAGE((IF(DATOS_[[Sexo]:[Sexo]]=$B26,IF(DATOS_[[AGRUP. CLAS. PROF.]:[AGRUP. CLAS. PROF.]]=$B24,IF(DATOS_[[Check Periodo Ref.]:[Check Periodo Ref.]]="Dentro",DATOS_[Conc.Sal.02]))))),
0)</f>
        <v>15.098461538461539</v>
      </c>
      <c r="H26" s="170">
        <f t="array" ref="H26">IFERROR(
AVERAGE((IF(DATOS_[[Sexo]:[Sexo]]=$B26,IF(DATOS_[[AGRUP. CLAS. PROF.]:[AGRUP. CLAS. PROF.]]=$B24,IF(DATOS_[[Check Periodo Ref.]:[Check Periodo Ref.]]="Dentro",DATOS_[Conc.Sal.03]))))),
0)</f>
        <v>455.25153846153847</v>
      </c>
      <c r="I26" s="170">
        <f t="array" ref="I26">IFERROR(
AVERAGE((IF(DATOS_[[Sexo]:[Sexo]]=$B26,IF(DATOS_[[AGRUP. CLAS. PROF.]:[AGRUP. CLAS. PROF.]]=$B24,IF(DATOS_[[Check Periodo Ref.]:[Check Periodo Ref.]]="Dentro",DATOS_[Conc.Sal.04]))))),
0)</f>
        <v>358.34769230769234</v>
      </c>
      <c r="J26" s="170">
        <f t="array" ref="J26">IFERROR(
AVERAGE((IF(DATOS_[[Sexo]:[Sexo]]=$B26,IF(DATOS_[[AGRUP. CLAS. PROF.]:[AGRUP. CLAS. PROF.]]=$B24,IF(DATOS_[[Check Periodo Ref.]:[Check Periodo Ref.]]="Dentro",DATOS_[Conc.Sal.05]))))),
0)</f>
        <v>107.25384615384615</v>
      </c>
      <c r="K26" s="170">
        <f t="array" ref="K26">IFERROR(
AVERAGE((IF(DATOS_[[Sexo]:[Sexo]]=$B26,IF(DATOS_[[AGRUP. CLAS. PROF.]:[AGRUP. CLAS. PROF.]]=$B24,IF(DATOS_[[Check Periodo Ref.]:[Check Periodo Ref.]]="Dentro",DATOS_[Conc.Sal.06]))))),
0)</f>
        <v>731.55</v>
      </c>
      <c r="L26" s="170">
        <f t="array" ref="L26">IFERROR(
AVERAGE((IF(DATOS_[[Sexo]:[Sexo]]=$B26,IF(DATOS_[[AGRUP. CLAS. PROF.]:[AGRUP. CLAS. PROF.]]=$B24,IF(DATOS_[[Check Periodo Ref.]:[Check Periodo Ref.]]="Dentro",DATOS_[Conc.Sal.07]))))),
0)</f>
        <v>120.88461538461539</v>
      </c>
      <c r="M26" s="170">
        <f t="array" ref="M26">IFERROR(
AVERAGE((IF(DATOS_[[Sexo]:[Sexo]]=$B26,IF(DATOS_[[AGRUP. CLAS. PROF.]:[AGRUP. CLAS. PROF.]]=$B24,IF(DATOS_[[Check Periodo Ref.]:[Check Periodo Ref.]]="Dentro",DATOS_[Conc.Sal.08]))))),
0)</f>
        <v>81.206923076923076</v>
      </c>
      <c r="N26" s="170">
        <f t="array" ref="N26">IFERROR(
AVERAGE((IF(DATOS_[[Sexo]:[Sexo]]=$B26,IF(DATOS_[[AGRUP. CLAS. PROF.]:[AGRUP. CLAS. PROF.]]=$B24,IF(DATOS_[[Check Periodo Ref.]:[Check Periodo Ref.]]="Dentro",DATOS_[Conc.Sal.09]))))),
0)</f>
        <v>173.68615384615384</v>
      </c>
      <c r="O26" s="170">
        <f t="array" ref="O26">IFERROR(
AVERAGE((IF(DATOS_[[Sexo]:[Sexo]]=$B26,IF(DATOS_[[AGRUP. CLAS. PROF.]:[AGRUP. CLAS. PROF.]]=$B24,IF(DATOS_[[Check Periodo Ref.]:[Check Periodo Ref.]]="Dentro",DATOS_[Conc.Sal.10]))))),
0)</f>
        <v>283.54615384615386</v>
      </c>
      <c r="P26" s="170">
        <f t="array" ref="P26">IFERROR(
AVERAGE((IF(DATOS_[[Sexo]:[Sexo]]=$B26,IF(DATOS_[[AGRUP. CLAS. PROF.]:[AGRUP. CLAS. PROF.]]=$B24,IF(DATOS_[[Check Periodo Ref.]:[Check Periodo Ref.]]="Dentro",DATOS_[Conc.Sal.11]))))),
0)</f>
        <v>222.12999999999997</v>
      </c>
      <c r="Q26" s="170">
        <f t="array" ref="Q26">IFERROR(
AVERAGE((IF(DATOS_[[Sexo]:[Sexo]]=$B26,IF(DATOS_[[AGRUP. CLAS. PROF.]:[AGRUP. CLAS. PROF.]]=$B24,IF(DATOS_[[Check Periodo Ref.]:[Check Periodo Ref.]]="Dentro",DATOS_[Conc.Sal.12]))))),
0)</f>
        <v>87.092307692307699</v>
      </c>
      <c r="R26" s="170">
        <f t="array" ref="R26">IFERROR(
AVERAGE((IF(DATOS_[[Sexo]:[Sexo]]=$B26,IF(DATOS_[[AGRUP. CLAS. PROF.]:[AGRUP. CLAS. PROF.]]=$B24,IF(DATOS_[[Check Periodo Ref.]:[Check Periodo Ref.]]="Dentro",DATOS_[Conc.Sal.13]))))),
0)</f>
        <v>57.692307692307693</v>
      </c>
      <c r="S26" s="170">
        <f t="array" ref="S26">IFERROR(
AVERAGE((IF(DATOS_[[Sexo]:[Sexo]]=$B26,IF(DATOS_[[AGRUP. CLAS. PROF.]:[AGRUP. CLAS. PROF.]]=$B24,IF(DATOS_[[Check Periodo Ref.]:[Check Periodo Ref.]]="Dentro",DATOS_[Conc.Sal.14]))))),
0)</f>
        <v>47.07692307692308</v>
      </c>
      <c r="T26" s="170">
        <f t="array" ref="T26">IFERROR(
AVERAGE((IF(DATOS_[[Sexo]:[Sexo]]=$B26,IF(DATOS_[[AGRUP. CLAS. PROF.]:[AGRUP. CLAS. PROF.]]=$B24,IF(DATOS_[[Check Periodo Ref.]:[Check Periodo Ref.]]="Dentro",DATOS_[Conc.Sal.15]))))),
0)</f>
        <v>59.368461538461546</v>
      </c>
      <c r="U26" s="170">
        <f t="array" ref="U26">IFERROR(
AVERAGE((IF(DATOS_[[Sexo]:[Sexo]]=$B26,IF(DATOS_[[AGRUP. CLAS. PROF.]:[AGRUP. CLAS. PROF.]]=$B24,IF(DATOS_[[Check Periodo Ref.]:[Check Periodo Ref.]]="Dentro",DATOS_[Conc.Sal.16]))))),
0)</f>
        <v>840.84538461538477</v>
      </c>
      <c r="V26" s="170">
        <f t="array" ref="V26">IFERROR(
AVERAGE((IF(DATOS_[[Sexo]:[Sexo]]=$B26,IF(DATOS_[[AGRUP. CLAS. PROF.]:[AGRUP. CLAS. PROF.]]=$B24,IF(DATOS_[[Check Periodo Ref.]:[Check Periodo Ref.]]="Dentro",DATOS_[Conc.Sal.17]))))),
0)</f>
        <v>15.501538461538463</v>
      </c>
      <c r="W26" s="170">
        <f t="array" ref="W26">IFERROR(
AVERAGE((IF(DATOS_[[Sexo]:[Sexo]]=$B26,IF(DATOS_[[AGRUP. CLAS. PROF.]:[AGRUP. CLAS. PROF.]]=$B24,IF(DATOS_[[Check Periodo Ref.]:[Check Periodo Ref.]]="Dentro",DATOS_[Conc.Sal.18]))))),
0)</f>
        <v>2.7838461538461536</v>
      </c>
      <c r="X26" s="170">
        <f t="array" ref="X26">IFERROR(
AVERAGE((IF(DATOS_[[Sexo]:[Sexo]]=$B26,IF(DATOS_[[AGRUP. CLAS. PROF.]:[AGRUP. CLAS. PROF.]]=$B24,IF(DATOS_[[Check Periodo Ref.]:[Check Periodo Ref.]]="Dentro",DATOS_[Conc.Sal.19]))))),
0)</f>
        <v>10</v>
      </c>
      <c r="Y26" s="170">
        <f t="array" ref="Y26">IFERROR(
AVERAGE((IF(DATOS_[[Sexo]:[Sexo]]=$B26,IF(DATOS_[[AGRUP. CLAS. PROF.]:[AGRUP. CLAS. PROF.]]=$B24,IF(DATOS_[[Check Periodo Ref.]:[Check Periodo Ref.]]="Dentro",DATOS_[Conc.Sal.20]))))),
0)</f>
        <v>154.97230769230768</v>
      </c>
      <c r="Z26" s="170">
        <f t="array" ref="Z26">IFERROR(
AVERAGE((IF(DATOS_[[Sexo]:[Sexo]]=$B26,IF(DATOS_[[AGRUP. CLAS. PROF.]:[AGRUP. CLAS. PROF.]]=$B24,IF(DATOS_[[Check Periodo Ref.]:[Check Periodo Ref.]]="Dentro",DATOS_[Conc.Sal.21]))))),
0)</f>
        <v>569.54999999999995</v>
      </c>
      <c r="AA26" s="170">
        <f t="array" ref="AA26">IFERROR(
AVERAGE((IF(DATOS_[[Sexo]:[Sexo]]=$B26,IF(DATOS_[[AGRUP. CLAS. PROF.]:[AGRUP. CLAS. PROF.]]=$B24,IF(DATOS_[[Check Periodo Ref.]:[Check Periodo Ref.]]="Dentro",DATOS_[Conc.Sal.22]))))),
0)</f>
        <v>8.5638461538461534</v>
      </c>
      <c r="AB26" s="170">
        <f t="array" ref="AB26">IFERROR(
AVERAGE((IF(DATOS_[[Sexo]:[Sexo]]=$B26,IF(DATOS_[[AGRUP. CLAS. PROF.]:[AGRUP. CLAS. PROF.]]=$B24,IF(DATOS_[[Check Periodo Ref.]:[Check Periodo Ref.]]="Dentro",DATOS_[Conc.Sal.23]))))),
0)</f>
        <v>30</v>
      </c>
      <c r="AC26" s="170">
        <f t="array" ref="AC26">IFERROR(
AVERAGE((IF(DATOS_[[Sexo]:[Sexo]]=$B26,IF(DATOS_[[AGRUP. CLAS. PROF.]:[AGRUP. CLAS. PROF.]]=$B24,IF(DATOS_[[Check Periodo Ref.]:[Check Periodo Ref.]]="Dentro",DATOS_[Conc.Sal.24]))))),
0)</f>
        <v>0</v>
      </c>
      <c r="AD26" s="170">
        <f t="array" ref="AD26">IFERROR(
AVERAGE((IF(DATOS_[[Sexo]:[Sexo]]=$B26,IF(DATOS_[[AGRUP. CLAS. PROF.]:[AGRUP. CLAS. PROF.]]=$B24,IF(DATOS_[[Check Periodo Ref.]:[Check Periodo Ref.]]="Dentro",DATOS_[Conc.Sal.25]))))),
0)</f>
        <v>0</v>
      </c>
      <c r="AE26" s="170">
        <f t="array" ref="AE26">IFERROR(
AVERAGE((IF(DATOS_[[Sexo]:[Sexo]]=$B26,IF(DATOS_[[AGRUP. CLAS. PROF.]:[AGRUP. CLAS. PROF.]]=$B24,IF(DATOS_[[Check Periodo Ref.]:[Check Periodo Ref.]]="Dentro",DATOS_[Conc.Sal.26]))))),
0)</f>
        <v>0</v>
      </c>
      <c r="AF26" s="170">
        <f t="array" ref="AF26">IFERROR(
AVERAGE((IF(DATOS_[[Sexo]:[Sexo]]=$B26,IF(DATOS_[[AGRUP. CLAS. PROF.]:[AGRUP. CLAS. PROF.]]=$B24,IF(DATOS_[[Check Periodo Ref.]:[Check Periodo Ref.]]="Dentro",DATOS_[Conc.Sal.27]))))),
0)</f>
        <v>0</v>
      </c>
      <c r="AG26" s="170">
        <f t="array" ref="AG26">IFERROR(
AVERAGE((IF(DATOS_[[Sexo]:[Sexo]]=$B26,IF(DATOS_[[AGRUP. CLAS. PROF.]:[AGRUP. CLAS. PROF.]]=$B24,IF(DATOS_[[Check Periodo Ref.]:[Check Periodo Ref.]]="Dentro",DATOS_[Conc.Sal.28]))))),
0)</f>
        <v>0</v>
      </c>
      <c r="AH26" s="170">
        <f t="array" ref="AH26">IFERROR(
AVERAGE((IF(DATOS_[[Sexo]:[Sexo]]=$B26,IF(DATOS_[[AGRUP. CLAS. PROF.]:[AGRUP. CLAS. PROF.]]=$B24,IF(DATOS_[[Check Periodo Ref.]:[Check Periodo Ref.]]="Dentro",DATOS_[Conc.Sal.29]))))),
0)</f>
        <v>0</v>
      </c>
      <c r="AI26" s="170">
        <f t="array" ref="AI26">IFERROR(
AVERAGE((IF(DATOS_[[Sexo]:[Sexo]]=$B26,IF(DATOS_[[AGRUP. CLAS. PROF.]:[AGRUP. CLAS. PROF.]]=$B24,IF(DATOS_[[Check Periodo Ref.]:[Check Periodo Ref.]]="Dentro",DATOS_[Conc.Sal.30]))))),
0)</f>
        <v>0</v>
      </c>
      <c r="AJ26" s="171">
        <f t="array" ref="AJ26">IFERROR(
AVERAGE(IF(DATOS_[Sexo]=$B26,IF(DATOS_[AGRUP. CLAS. PROF.]=$B24,IF(DATOS_[Check Periodo Ref.]="Dentro",DATOS_[Tot COMPL.SAL Ef],FALSE)))),
0)</f>
        <v>4516.5561538461534</v>
      </c>
      <c r="AK26" s="172">
        <f t="array" ref="AK26">IFERROR(
AVERAGE(IF(DATOS_[Sexo]=$B26,IF(DATOS_[AGRUP. CLAS. PROF.]=$B24,IF(DATOS_[Check Periodo Ref.]="Dentro",DATOS_[TOTAL SALARIO Ef],FALSE)))),
0)</f>
        <v>9524.3830769230772</v>
      </c>
      <c r="AL26" s="173">
        <f t="array" ref="AL26">IFERROR(
AVERAGE((IF(DATOS_[[Sexo]:[Sexo]]=$B26,IF(DATOS_[[AGRUP. CLAS. PROF.]:[AGRUP. CLAS. PROF.]]=$B24,IF(DATOS_[[Check Periodo Ref.]:[Check Periodo Ref.]]="Dentro",DATOS_[C.Extra.01]))))),
0)</f>
        <v>0</v>
      </c>
      <c r="AM26" s="173">
        <f t="array" ref="AM26">IFERROR(
AVERAGE((IF(DATOS_[[Sexo]:[Sexo]]=$B26,IF(DATOS_[[AGRUP. CLAS. PROF.]:[AGRUP. CLAS. PROF.]]=$B24,IF(DATOS_[[Check Periodo Ref.]:[Check Periodo Ref.]]="Dentro",DATOS_[C.Extra.06]))))),
0)</f>
        <v>0</v>
      </c>
      <c r="AN26" s="173">
        <f t="array" ref="AN26">IFERROR(
AVERAGE((IF(DATOS_[[Sexo]:[Sexo]]=$B26,IF(DATOS_[[AGRUP. CLAS. PROF.]:[AGRUP. CLAS. PROF.]]=$B24,IF(DATOS_[[Check Periodo Ref.]:[Check Periodo Ref.]]="Dentro",DATOS_[C.Extra.07]))))),
0)</f>
        <v>0</v>
      </c>
      <c r="AO26" s="173">
        <f t="array" ref="AO26">IFERROR(
AVERAGE((IF(DATOS_[[Sexo]:[Sexo]]=$B26,IF(DATOS_[[AGRUP. CLAS. PROF.]:[AGRUP. CLAS. PROF.]]=$B24,IF(DATOS_[[Check Periodo Ref.]:[Check Periodo Ref.]]="Dentro",DATOS_[C.Extra.08]))))),
0)</f>
        <v>0</v>
      </c>
      <c r="AP26" s="173">
        <f t="array" ref="AP26">IFERROR(
AVERAGE((IF(DATOS_[[Sexo]:[Sexo]]=$B26,IF(DATOS_[[AGRUP. CLAS. PROF.]:[AGRUP. CLAS. PROF.]]=$B24,IF(DATOS_[[Check Periodo Ref.]:[Check Periodo Ref.]]="Dentro",DATOS_[C.Extra.11]))))),
0)</f>
        <v>0</v>
      </c>
      <c r="AQ26" s="174">
        <f t="array" ref="AQ26">IFERROR(
AVERAGE(IF(DATOS_[Sexo]=$B26,IF(DATOS_[AGRUP. CLAS. PROF.]=$B24,IF(DATOS_[Check Periodo Ref.]="Dentro",DATOS_[Tot Extrasalarial Ef],FALSE)))),
0)</f>
        <v>0</v>
      </c>
      <c r="AR26" s="171">
        <f t="array" ref="AR26">IFERROR(
AVERAGE(IF(DATOS_[Sexo]=$B26,IF(DATOS_[AGRUP. CLAS. PROF.]=$B24,IF(DATOS_[Check Periodo Ref.]="Dentro",DATOS_[TOTAL Retrib Ef],FALSE)))),
0)</f>
        <v>9524.3830769230772</v>
      </c>
    </row>
    <row r="27" spans="1:44" s="152" customFormat="1" ht="14.4" thickBot="1" x14ac:dyDescent="0.3">
      <c r="A27" s="152" t="str">
        <f t="shared" ref="A27" si="19">+A28</f>
        <v/>
      </c>
      <c r="B27" s="153" t="s">
        <v>192</v>
      </c>
      <c r="C27" s="154"/>
      <c r="D27" s="155"/>
      <c r="E27" s="156">
        <f t="shared" ref="E27:AR27" si="20">IFERROR((E28-E29)/E28,"")</f>
        <v>0.3930697700196773</v>
      </c>
      <c r="F27" s="157">
        <f t="shared" si="20"/>
        <v>0.47160008482456006</v>
      </c>
      <c r="G27" s="158">
        <f t="shared" si="20"/>
        <v>0.40844319063534706</v>
      </c>
      <c r="H27" s="158">
        <f t="shared" si="20"/>
        <v>0.6187825318849729</v>
      </c>
      <c r="I27" s="158">
        <f t="shared" si="20"/>
        <v>0.43536934685971668</v>
      </c>
      <c r="J27" s="159">
        <f t="shared" si="20"/>
        <v>0.58086500051803336</v>
      </c>
      <c r="K27" s="160">
        <f t="shared" si="20"/>
        <v>0.43433388885451624</v>
      </c>
      <c r="L27" s="160">
        <f t="shared" si="20"/>
        <v>0.64997288044397961</v>
      </c>
      <c r="M27" s="160" t="str">
        <f t="shared" si="20"/>
        <v/>
      </c>
      <c r="N27" s="160" t="str">
        <f t="shared" si="20"/>
        <v/>
      </c>
      <c r="O27" s="160" t="str">
        <f t="shared" si="20"/>
        <v/>
      </c>
      <c r="P27" s="160">
        <f t="shared" si="20"/>
        <v>5.6832144053905888E-2</v>
      </c>
      <c r="Q27" s="160">
        <f t="shared" si="20"/>
        <v>0.8005178990915327</v>
      </c>
      <c r="R27" s="160">
        <f t="shared" si="20"/>
        <v>1</v>
      </c>
      <c r="S27" s="160">
        <f t="shared" si="20"/>
        <v>0.63378648874061716</v>
      </c>
      <c r="T27" s="160" t="str">
        <f t="shared" si="20"/>
        <v/>
      </c>
      <c r="U27" s="160">
        <f t="shared" si="20"/>
        <v>0.24866901169198136</v>
      </c>
      <c r="V27" s="159">
        <f t="shared" si="20"/>
        <v>0.51122676270374923</v>
      </c>
      <c r="W27" s="159">
        <f t="shared" si="20"/>
        <v>-0.25529878524368066</v>
      </c>
      <c r="X27" s="159" t="str">
        <f t="shared" si="20"/>
        <v/>
      </c>
      <c r="Y27" s="159" t="str">
        <f t="shared" si="20"/>
        <v/>
      </c>
      <c r="Z27" s="159">
        <f t="shared" si="20"/>
        <v>0.45454545454545459</v>
      </c>
      <c r="AA27" s="159" t="str">
        <f t="shared" si="20"/>
        <v/>
      </c>
      <c r="AB27" s="159" t="str">
        <f t="shared" si="20"/>
        <v/>
      </c>
      <c r="AC27" s="159" t="str">
        <f t="shared" si="20"/>
        <v/>
      </c>
      <c r="AD27" s="159" t="str">
        <f t="shared" si="20"/>
        <v/>
      </c>
      <c r="AE27" s="159" t="str">
        <f t="shared" si="20"/>
        <v/>
      </c>
      <c r="AF27" s="159" t="str">
        <f t="shared" si="20"/>
        <v/>
      </c>
      <c r="AG27" s="159" t="str">
        <f t="shared" si="20"/>
        <v/>
      </c>
      <c r="AH27" s="159" t="str">
        <f t="shared" si="20"/>
        <v/>
      </c>
      <c r="AI27" s="159" t="str">
        <f t="shared" si="20"/>
        <v/>
      </c>
      <c r="AJ27" s="161">
        <f t="shared" si="20"/>
        <v>0.31812232093531312</v>
      </c>
      <c r="AK27" s="162">
        <f t="shared" si="20"/>
        <v>0.3528626995835617</v>
      </c>
      <c r="AL27" s="163" t="str">
        <f t="shared" si="20"/>
        <v/>
      </c>
      <c r="AM27" s="163" t="str">
        <f t="shared" si="20"/>
        <v/>
      </c>
      <c r="AN27" s="163" t="str">
        <f t="shared" si="20"/>
        <v/>
      </c>
      <c r="AO27" s="163" t="str">
        <f t="shared" si="20"/>
        <v/>
      </c>
      <c r="AP27" s="163" t="str">
        <f t="shared" si="20"/>
        <v/>
      </c>
      <c r="AQ27" s="164" t="str">
        <f t="shared" si="20"/>
        <v/>
      </c>
      <c r="AR27" s="161">
        <f t="shared" si="20"/>
        <v>0.3528626995835617</v>
      </c>
    </row>
    <row r="28" spans="1:44" x14ac:dyDescent="0.25">
      <c r="A28" s="152" t="str">
        <f t="shared" ref="A28" si="21">+IF(C28+C29=0,"[ocultar]","")</f>
        <v/>
      </c>
      <c r="B28" s="166" t="s">
        <v>394</v>
      </c>
      <c r="C28" s="167">
        <f t="array" ref="C28">SUM(IF($B28=DATOS_[Sexo],
IF($B27=DATOS_[AGRUP. CLAS. PROF.],
IF("Dentro"=DATOS_[Check Periodo Ref.],
1/(COUNTIFS(DATOS_[Sexo],$B28,DATOS_[AGRUP. CLAS. PROF.],$B27,DATOS_[Check Periodo Ref.],"Dentro",DATOS_[id/cod],DATOS_[id/cod]))))))</f>
        <v>3</v>
      </c>
      <c r="D28" s="168">
        <f>COUNTIFS(DATOS_[AGRUP. CLAS. PROF.],$B27,DATOS_[Sexo],$B28,DATOS_[Check Periodo Ref.],"Dentro")</f>
        <v>3</v>
      </c>
      <c r="E28" s="169">
        <f t="array" ref="E28">IFERROR(
AVERAGE(IF(DATOS_[Sexo]=$B28,IF(DATOS_[AGRUP. CLAS. PROF.]=$B27,IF(DATOS_[Check Periodo Ref.]="Dentro",DATOS_[SALARIO BASE Ef],FALSE)))),
0)</f>
        <v>6686.8566666666666</v>
      </c>
      <c r="F28" s="170">
        <f t="array" ref="F28">IFERROR(
AVERAGE((IF(DATOS_[[Sexo]:[Sexo]]=$B28,IF(DATOS_[[AGRUP. CLAS. PROF.]:[AGRUP. CLAS. PROF.]]=$B27,IF(DATOS_[[Check Periodo Ref.]:[Check Periodo Ref.]]="Dentro",DATOS_[Conc.Sal.01]))))),
0)</f>
        <v>37.153333333333336</v>
      </c>
      <c r="G28" s="170">
        <f t="array" ref="G28">IFERROR(
AVERAGE((IF(DATOS_[[Sexo]:[Sexo]]=$B28,IF(DATOS_[[AGRUP. CLAS. PROF.]:[AGRUP. CLAS. PROF.]]=$B27,IF(DATOS_[[Check Periodo Ref.]:[Check Periodo Ref.]]="Dentro",DATOS_[Conc.Sal.02]))))),
0)</f>
        <v>717.43666666666661</v>
      </c>
      <c r="H28" s="170">
        <f t="array" ref="H28">IFERROR(
AVERAGE((IF(DATOS_[[Sexo]:[Sexo]]=$B28,IF(DATOS_[[AGRUP. CLAS. PROF.]:[AGRUP. CLAS. PROF.]]=$B27,IF(DATOS_[[Check Periodo Ref.]:[Check Periodo Ref.]]="Dentro",DATOS_[Conc.Sal.03]))))),
0)</f>
        <v>447.34666666666664</v>
      </c>
      <c r="I28" s="170">
        <f t="array" ref="I28">IFERROR(
AVERAGE((IF(DATOS_[[Sexo]:[Sexo]]=$B28,IF(DATOS_[[AGRUP. CLAS. PROF.]:[AGRUP. CLAS. PROF.]]=$B27,IF(DATOS_[[Check Periodo Ref.]:[Check Periodo Ref.]]="Dentro",DATOS_[Conc.Sal.04]))))),
0)</f>
        <v>990.62666666666667</v>
      </c>
      <c r="J28" s="170">
        <f t="array" ref="J28">IFERROR(
AVERAGE((IF(DATOS_[[Sexo]:[Sexo]]=$B28,IF(DATOS_[[AGRUP. CLAS. PROF.]:[AGRUP. CLAS. PROF.]]=$B27,IF(DATOS_[[Check Periodo Ref.]:[Check Periodo Ref.]]="Dentro",DATOS_[Conc.Sal.05]))))),
0)</f>
        <v>78.970000000000013</v>
      </c>
      <c r="K28" s="170">
        <f t="array" ref="K28">IFERROR(
AVERAGE((IF(DATOS_[[Sexo]:[Sexo]]=$B28,IF(DATOS_[[AGRUP. CLAS. PROF.]:[AGRUP. CLAS. PROF.]]=$B27,IF(DATOS_[[Check Periodo Ref.]:[Check Periodo Ref.]]="Dentro",DATOS_[Conc.Sal.06]))))),
0)</f>
        <v>768.95666666666659</v>
      </c>
      <c r="L28" s="170">
        <f t="array" ref="L28">IFERROR(
AVERAGE((IF(DATOS_[[Sexo]:[Sexo]]=$B28,IF(DATOS_[[AGRUP. CLAS. PROF.]:[AGRUP. CLAS. PROF.]]=$B27,IF(DATOS_[[Check Periodo Ref.]:[Check Periodo Ref.]]="Dentro",DATOS_[Conc.Sal.07]))))),
0)</f>
        <v>349.18333333333334</v>
      </c>
      <c r="M28" s="170">
        <f t="array" ref="M28">IFERROR(
AVERAGE((IF(DATOS_[[Sexo]:[Sexo]]=$B28,IF(DATOS_[[AGRUP. CLAS. PROF.]:[AGRUP. CLAS. PROF.]]=$B27,IF(DATOS_[[Check Periodo Ref.]:[Check Periodo Ref.]]="Dentro",DATOS_[Conc.Sal.08]))))),
0)</f>
        <v>0</v>
      </c>
      <c r="N28" s="170">
        <f t="array" ref="N28">IFERROR(
AVERAGE((IF(DATOS_[[Sexo]:[Sexo]]=$B28,IF(DATOS_[[AGRUP. CLAS. PROF.]:[AGRUP. CLAS. PROF.]]=$B27,IF(DATOS_[[Check Periodo Ref.]:[Check Periodo Ref.]]="Dentro",DATOS_[Conc.Sal.09]))))),
0)</f>
        <v>0</v>
      </c>
      <c r="O28" s="170">
        <f t="array" ref="O28">IFERROR(
AVERAGE((IF(DATOS_[[Sexo]:[Sexo]]=$B28,IF(DATOS_[[AGRUP. CLAS. PROF.]:[AGRUP. CLAS. PROF.]]=$B27,IF(DATOS_[[Check Periodo Ref.]:[Check Periodo Ref.]]="Dentro",DATOS_[Conc.Sal.10]))))),
0)</f>
        <v>0</v>
      </c>
      <c r="P28" s="170">
        <f t="array" ref="P28">IFERROR(
AVERAGE((IF(DATOS_[[Sexo]:[Sexo]]=$B28,IF(DATOS_[[AGRUP. CLAS. PROF.]:[AGRUP. CLAS. PROF.]]=$B27,IF(DATOS_[[Check Periodo Ref.]:[Check Periodo Ref.]]="Dentro",DATOS_[Conc.Sal.11]))))),
0)</f>
        <v>233.3133333333333</v>
      </c>
      <c r="Q28" s="170">
        <f t="array" ref="Q28">IFERROR(
AVERAGE((IF(DATOS_[[Sexo]:[Sexo]]=$B28,IF(DATOS_[[AGRUP. CLAS. PROF.]:[AGRUP. CLAS. PROF.]]=$B27,IF(DATOS_[[Check Periodo Ref.]:[Check Periodo Ref.]]="Dentro",DATOS_[Conc.Sal.12]))))),
0)</f>
        <v>699.68</v>
      </c>
      <c r="R28" s="170">
        <f t="array" ref="R28">IFERROR(
AVERAGE((IF(DATOS_[[Sexo]:[Sexo]]=$B28,IF(DATOS_[[AGRUP. CLAS. PROF.]:[AGRUP. CLAS. PROF.]]=$B27,IF(DATOS_[[Check Periodo Ref.]:[Check Periodo Ref.]]="Dentro",DATOS_[Conc.Sal.13]))))),
0)</f>
        <v>297.68</v>
      </c>
      <c r="S28" s="170">
        <f t="array" ref="S28">IFERROR(
AVERAGE((IF(DATOS_[[Sexo]:[Sexo]]=$B28,IF(DATOS_[[AGRUP. CLAS. PROF.]:[AGRUP. CLAS. PROF.]]=$B27,IF(DATOS_[[Check Periodo Ref.]:[Check Periodo Ref.]]="Dentro",DATOS_[Conc.Sal.14]))))),
0)</f>
        <v>436</v>
      </c>
      <c r="T28" s="170">
        <f t="array" ref="T28">IFERROR(
AVERAGE((IF(DATOS_[[Sexo]:[Sexo]]=$B28,IF(DATOS_[[AGRUP. CLAS. PROF.]:[AGRUP. CLAS. PROF.]]=$B27,IF(DATOS_[[Check Periodo Ref.]:[Check Periodo Ref.]]="Dentro",DATOS_[Conc.Sal.15]))))),
0)</f>
        <v>0</v>
      </c>
      <c r="U28" s="170">
        <f t="array" ref="U28">IFERROR(
AVERAGE((IF(DATOS_[[Sexo]:[Sexo]]=$B28,IF(DATOS_[[AGRUP. CLAS. PROF.]:[AGRUP. CLAS. PROF.]]=$B27,IF(DATOS_[[Check Periodo Ref.]:[Check Periodo Ref.]]="Dentro",DATOS_[Conc.Sal.16]))))),
0)</f>
        <v>1755.36</v>
      </c>
      <c r="V28" s="170">
        <f t="array" ref="V28">IFERROR(
AVERAGE((IF(DATOS_[[Sexo]:[Sexo]]=$B28,IF(DATOS_[[AGRUP. CLAS. PROF.]:[AGRUP. CLAS. PROF.]]=$B27,IF(DATOS_[[Check Periodo Ref.]:[Check Periodo Ref.]]="Dentro",DATOS_[Conc.Sal.17]))))),
0)</f>
        <v>145.56666666666666</v>
      </c>
      <c r="W28" s="170">
        <f t="array" ref="W28">IFERROR(
AVERAGE((IF(DATOS_[[Sexo]:[Sexo]]=$B28,IF(DATOS_[[AGRUP. CLAS. PROF.]:[AGRUP. CLAS. PROF.]]=$B27,IF(DATOS_[[Check Periodo Ref.]:[Check Periodo Ref.]]="Dentro",DATOS_[Conc.Sal.18]))))),
0)</f>
        <v>716.81666666666661</v>
      </c>
      <c r="X28" s="170">
        <f t="array" ref="X28">IFERROR(
AVERAGE((IF(DATOS_[[Sexo]:[Sexo]]=$B28,IF(DATOS_[[AGRUP. CLAS. PROF.]:[AGRUP. CLAS. PROF.]]=$B27,IF(DATOS_[[Check Periodo Ref.]:[Check Periodo Ref.]]="Dentro",DATOS_[Conc.Sal.19]))))),
0)</f>
        <v>0</v>
      </c>
      <c r="Y28" s="170">
        <f t="array" ref="Y28">IFERROR(
AVERAGE((IF(DATOS_[[Sexo]:[Sexo]]=$B28,IF(DATOS_[[AGRUP. CLAS. PROF.]:[AGRUP. CLAS. PROF.]]=$B27,IF(DATOS_[[Check Periodo Ref.]:[Check Periodo Ref.]]="Dentro",DATOS_[Conc.Sal.20]))))),
0)</f>
        <v>0</v>
      </c>
      <c r="Z28" s="170">
        <f t="array" ref="Z28">IFERROR(
AVERAGE((IF(DATOS_[[Sexo]:[Sexo]]=$B28,IF(DATOS_[[AGRUP. CLAS. PROF.]:[AGRUP. CLAS. PROF.]]=$B27,IF(DATOS_[[Check Periodo Ref.]:[Check Periodo Ref.]]="Dentro",DATOS_[Conc.Sal.21]))))),
0)</f>
        <v>65</v>
      </c>
      <c r="AA28" s="170">
        <f t="array" ref="AA28">IFERROR(
AVERAGE((IF(DATOS_[[Sexo]:[Sexo]]=$B28,IF(DATOS_[[AGRUP. CLAS. PROF.]:[AGRUP. CLAS. PROF.]]=$B27,IF(DATOS_[[Check Periodo Ref.]:[Check Periodo Ref.]]="Dentro",DATOS_[Conc.Sal.22]))))),
0)</f>
        <v>0</v>
      </c>
      <c r="AB28" s="170">
        <f t="array" ref="AB28">IFERROR(
AVERAGE((IF(DATOS_[[Sexo]:[Sexo]]=$B28,IF(DATOS_[[AGRUP. CLAS. PROF.]:[AGRUP. CLAS. PROF.]]=$B27,IF(DATOS_[[Check Periodo Ref.]:[Check Periodo Ref.]]="Dentro",DATOS_[Conc.Sal.23]))))),
0)</f>
        <v>0</v>
      </c>
      <c r="AC28" s="170">
        <f t="array" ref="AC28">IFERROR(
AVERAGE((IF(DATOS_[[Sexo]:[Sexo]]=$B28,IF(DATOS_[[AGRUP. CLAS. PROF.]:[AGRUP. CLAS. PROF.]]=$B27,IF(DATOS_[[Check Periodo Ref.]:[Check Periodo Ref.]]="Dentro",DATOS_[Conc.Sal.24]))))),
0)</f>
        <v>0</v>
      </c>
      <c r="AD28" s="170">
        <f t="array" ref="AD28">IFERROR(
AVERAGE((IF(DATOS_[[Sexo]:[Sexo]]=$B28,IF(DATOS_[[AGRUP. CLAS. PROF.]:[AGRUP. CLAS. PROF.]]=$B27,IF(DATOS_[[Check Periodo Ref.]:[Check Periodo Ref.]]="Dentro",DATOS_[Conc.Sal.25]))))),
0)</f>
        <v>0</v>
      </c>
      <c r="AE28" s="170">
        <f t="array" ref="AE28">IFERROR(
AVERAGE((IF(DATOS_[[Sexo]:[Sexo]]=$B28,IF(DATOS_[[AGRUP. CLAS. PROF.]:[AGRUP. CLAS. PROF.]]=$B27,IF(DATOS_[[Check Periodo Ref.]:[Check Periodo Ref.]]="Dentro",DATOS_[Conc.Sal.26]))))),
0)</f>
        <v>0</v>
      </c>
      <c r="AF28" s="170">
        <f t="array" ref="AF28">IFERROR(
AVERAGE((IF(DATOS_[[Sexo]:[Sexo]]=$B28,IF(DATOS_[[AGRUP. CLAS. PROF.]:[AGRUP. CLAS. PROF.]]=$B27,IF(DATOS_[[Check Periodo Ref.]:[Check Periodo Ref.]]="Dentro",DATOS_[Conc.Sal.27]))))),
0)</f>
        <v>0</v>
      </c>
      <c r="AG28" s="170">
        <f t="array" ref="AG28">IFERROR(
AVERAGE((IF(DATOS_[[Sexo]:[Sexo]]=$B28,IF(DATOS_[[AGRUP. CLAS. PROF.]:[AGRUP. CLAS. PROF.]]=$B27,IF(DATOS_[[Check Periodo Ref.]:[Check Periodo Ref.]]="Dentro",DATOS_[Conc.Sal.28]))))),
0)</f>
        <v>0</v>
      </c>
      <c r="AH28" s="170">
        <f t="array" ref="AH28">IFERROR(
AVERAGE((IF(DATOS_[[Sexo]:[Sexo]]=$B28,IF(DATOS_[[AGRUP. CLAS. PROF.]:[AGRUP. CLAS. PROF.]]=$B27,IF(DATOS_[[Check Periodo Ref.]:[Check Periodo Ref.]]="Dentro",DATOS_[Conc.Sal.29]))))),
0)</f>
        <v>0</v>
      </c>
      <c r="AI28" s="170">
        <f t="array" ref="AI28">IFERROR(
AVERAGE((IF(DATOS_[[Sexo]:[Sexo]]=$B28,IF(DATOS_[[AGRUP. CLAS. PROF.]:[AGRUP. CLAS. PROF.]]=$B27,IF(DATOS_[[Check Periodo Ref.]:[Check Periodo Ref.]]="Dentro",DATOS_[Conc.Sal.30]))))),
0)</f>
        <v>0</v>
      </c>
      <c r="AJ28" s="171">
        <f t="array" ref="AJ28">IFERROR(
AVERAGE(IF(DATOS_[Sexo]=$B28,IF(DATOS_[AGRUP. CLAS. PROF.]=$B27,IF(DATOS_[Check Periodo Ref.]="Dentro",DATOS_[Tot COMPL.SAL Ef],FALSE)))),
0)</f>
        <v>7739.0899999999992</v>
      </c>
      <c r="AK28" s="172">
        <f t="array" ref="AK28">IFERROR(
AVERAGE(IF(DATOS_[Sexo]=$B28,IF(DATOS_[AGRUP. CLAS. PROF.]=$B27,IF(DATOS_[Check Periodo Ref.]="Dentro",DATOS_[TOTAL SALARIO Ef],FALSE)))),
0)</f>
        <v>14425.946666666665</v>
      </c>
      <c r="AL28" s="173">
        <f t="array" ref="AL28">IFERROR(
AVERAGE((IF(DATOS_[[Sexo]:[Sexo]]=$B28,IF(DATOS_[[AGRUP. CLAS. PROF.]:[AGRUP. CLAS. PROF.]]=$B27,IF(DATOS_[[Check Periodo Ref.]:[Check Periodo Ref.]]="Dentro",DATOS_[C.Extra.01]))))),
0)</f>
        <v>0</v>
      </c>
      <c r="AM28" s="173">
        <f t="array" ref="AM28">IFERROR(
AVERAGE((IF(DATOS_[[Sexo]:[Sexo]]=$B28,IF(DATOS_[[AGRUP. CLAS. PROF.]:[AGRUP. CLAS. PROF.]]=$B27,IF(DATOS_[[Check Periodo Ref.]:[Check Periodo Ref.]]="Dentro",DATOS_[C.Extra.06]))))),
0)</f>
        <v>0</v>
      </c>
      <c r="AN28" s="173">
        <f t="array" ref="AN28">IFERROR(
AVERAGE((IF(DATOS_[[Sexo]:[Sexo]]=$B28,IF(DATOS_[[AGRUP. CLAS. PROF.]:[AGRUP. CLAS. PROF.]]=$B27,IF(DATOS_[[Check Periodo Ref.]:[Check Periodo Ref.]]="Dentro",DATOS_[C.Extra.07]))))),
0)</f>
        <v>0</v>
      </c>
      <c r="AO28" s="173">
        <f t="array" ref="AO28">IFERROR(
AVERAGE((IF(DATOS_[[Sexo]:[Sexo]]=$B28,IF(DATOS_[[AGRUP. CLAS. PROF.]:[AGRUP. CLAS. PROF.]]=$B27,IF(DATOS_[[Check Periodo Ref.]:[Check Periodo Ref.]]="Dentro",DATOS_[C.Extra.08]))))),
0)</f>
        <v>0</v>
      </c>
      <c r="AP28" s="173">
        <f t="array" ref="AP28">IFERROR(
AVERAGE((IF(DATOS_[[Sexo]:[Sexo]]=$B28,IF(DATOS_[[AGRUP. CLAS. PROF.]:[AGRUP. CLAS. PROF.]]=$B27,IF(DATOS_[[Check Periodo Ref.]:[Check Periodo Ref.]]="Dentro",DATOS_[C.Extra.11]))))),
0)</f>
        <v>0</v>
      </c>
      <c r="AQ28" s="174">
        <f t="array" ref="AQ28">IFERROR(
AVERAGE(IF(DATOS_[Sexo]=$B28,IF(DATOS_[AGRUP. CLAS. PROF.]=$B27,IF(DATOS_[Check Periodo Ref.]="Dentro",DATOS_[Tot Extrasalarial Ef],FALSE)))),
0)</f>
        <v>0</v>
      </c>
      <c r="AR28" s="171">
        <f t="array" ref="AR28">IFERROR(
AVERAGE(IF(DATOS_[Sexo]=$B28,IF(DATOS_[AGRUP. CLAS. PROF.]=$B27,IF(DATOS_[Check Periodo Ref.]="Dentro",DATOS_[TOTAL Retrib Ef],FALSE)))),
0)</f>
        <v>14425.946666666665</v>
      </c>
    </row>
    <row r="29" spans="1:44" x14ac:dyDescent="0.25">
      <c r="A29" s="152" t="str">
        <f t="shared" ref="A29" si="22">+A28</f>
        <v/>
      </c>
      <c r="B29" s="166" t="s">
        <v>521</v>
      </c>
      <c r="C29" s="167">
        <f t="array" ref="C29">SUM(IF($B29=DATOS_[Sexo],
IF($B27=DATOS_[AGRUP. CLAS. PROF.],
IF("Dentro"=DATOS_[Check Periodo Ref.],
1/(COUNTIFS(DATOS_[Sexo],$B29,DATOS_[AGRUP. CLAS. PROF.],$B27,DATOS_[Check Periodo Ref.],"Dentro",DATOS_[id/cod],DATOS_[id/cod]))))))</f>
        <v>10</v>
      </c>
      <c r="D29" s="168">
        <f>COUNTIFS(DATOS_[AGRUP. CLAS. PROF.],$B27,DATOS_[Sexo],$B29,DATOS_[Check Periodo Ref.],"Dentro")</f>
        <v>11</v>
      </c>
      <c r="E29" s="169">
        <f t="array" ref="E29">IFERROR(
AVERAGE(IF(DATOS_[Sexo]=$B29,IF(DATOS_[AGRUP. CLAS. PROF.]=$B27,IF(DATOS_[Check Periodo Ref.]="Dentro",DATOS_[SALARIO BASE Ef],FALSE)))),
0)</f>
        <v>4058.4554545454539</v>
      </c>
      <c r="F29" s="170">
        <f t="array" ref="F29">IFERROR(
AVERAGE((IF(DATOS_[[Sexo]:[Sexo]]=$B29,IF(DATOS_[[AGRUP. CLAS. PROF.]:[AGRUP. CLAS. PROF.]]=$B27,IF(DATOS_[[Check Periodo Ref.]:[Check Periodo Ref.]]="Dentro",DATOS_[Conc.Sal.01]))))),
0)</f>
        <v>19.631818181818179</v>
      </c>
      <c r="G29" s="170">
        <f t="array" ref="G29">IFERROR(
AVERAGE((IF(DATOS_[[Sexo]:[Sexo]]=$B29,IF(DATOS_[[AGRUP. CLAS. PROF.]:[AGRUP. CLAS. PROF.]]=$B27,IF(DATOS_[[Check Periodo Ref.]:[Check Periodo Ref.]]="Dentro",DATOS_[Conc.Sal.02]))))),
0)</f>
        <v>424.40454545454537</v>
      </c>
      <c r="H29" s="170">
        <f t="array" ref="H29">IFERROR(
AVERAGE((IF(DATOS_[[Sexo]:[Sexo]]=$B29,IF(DATOS_[[AGRUP. CLAS. PROF.]:[AGRUP. CLAS. PROF.]]=$B27,IF(DATOS_[[Check Periodo Ref.]:[Check Periodo Ref.]]="Dentro",DATOS_[Conc.Sal.03]))))),
0)</f>
        <v>170.53636363636363</v>
      </c>
      <c r="I29" s="170">
        <f t="array" ref="I29">IFERROR(
AVERAGE((IF(DATOS_[[Sexo]:[Sexo]]=$B29,IF(DATOS_[[AGRUP. CLAS. PROF.]:[AGRUP. CLAS. PROF.]]=$B27,IF(DATOS_[[Check Periodo Ref.]:[Check Periodo Ref.]]="Dentro",DATOS_[Conc.Sal.04]))))),
0)</f>
        <v>559.33818181818174</v>
      </c>
      <c r="J29" s="170">
        <f t="array" ref="J29">IFERROR(
AVERAGE((IF(DATOS_[[Sexo]:[Sexo]]=$B29,IF(DATOS_[[AGRUP. CLAS. PROF.]:[AGRUP. CLAS. PROF.]]=$B27,IF(DATOS_[[Check Periodo Ref.]:[Check Periodo Ref.]]="Dentro",DATOS_[Conc.Sal.05]))))),
0)</f>
        <v>33.099090909090911</v>
      </c>
      <c r="K29" s="170">
        <f t="array" ref="K29">IFERROR(
AVERAGE((IF(DATOS_[[Sexo]:[Sexo]]=$B29,IF(DATOS_[[AGRUP. CLAS. PROF.]:[AGRUP. CLAS. PROF.]]=$B27,IF(DATOS_[[Check Periodo Ref.]:[Check Periodo Ref.]]="Dentro",DATOS_[Conc.Sal.06]))))),
0)</f>
        <v>434.97272727272735</v>
      </c>
      <c r="L29" s="170">
        <f t="array" ref="L29">IFERROR(
AVERAGE((IF(DATOS_[[Sexo]:[Sexo]]=$B29,IF(DATOS_[[AGRUP. CLAS. PROF.]:[AGRUP. CLAS. PROF.]]=$B27,IF(DATOS_[[Check Periodo Ref.]:[Check Periodo Ref.]]="Dentro",DATOS_[Conc.Sal.07]))))),
0)</f>
        <v>122.22363636363637</v>
      </c>
      <c r="M29" s="170">
        <f t="array" ref="M29">IFERROR(
AVERAGE((IF(DATOS_[[Sexo]:[Sexo]]=$B29,IF(DATOS_[[AGRUP. CLAS. PROF.]:[AGRUP. CLAS. PROF.]]=$B27,IF(DATOS_[[Check Periodo Ref.]:[Check Periodo Ref.]]="Dentro",DATOS_[Conc.Sal.08]))))),
0)</f>
        <v>8.954545454545455</v>
      </c>
      <c r="N29" s="170">
        <f t="array" ref="N29">IFERROR(
AVERAGE((IF(DATOS_[[Sexo]:[Sexo]]=$B29,IF(DATOS_[[AGRUP. CLAS. PROF.]:[AGRUP. CLAS. PROF.]]=$B27,IF(DATOS_[[Check Periodo Ref.]:[Check Periodo Ref.]]="Dentro",DATOS_[Conc.Sal.09]))))),
0)</f>
        <v>15.218181818181819</v>
      </c>
      <c r="O29" s="170">
        <f t="array" ref="O29">IFERROR(
AVERAGE((IF(DATOS_[[Sexo]:[Sexo]]=$B29,IF(DATOS_[[AGRUP. CLAS. PROF.]:[AGRUP. CLAS. PROF.]]=$B27,IF(DATOS_[[Check Periodo Ref.]:[Check Periodo Ref.]]="Dentro",DATOS_[Conc.Sal.10]))))),
0)</f>
        <v>201.05818181818179</v>
      </c>
      <c r="P29" s="170">
        <f t="array" ref="P29">IFERROR(
AVERAGE((IF(DATOS_[[Sexo]:[Sexo]]=$B29,IF(DATOS_[[AGRUP. CLAS. PROF.]:[AGRUP. CLAS. PROF.]]=$B27,IF(DATOS_[[Check Periodo Ref.]:[Check Periodo Ref.]]="Dentro",DATOS_[Conc.Sal.11]))))),
0)</f>
        <v>220.05363636363634</v>
      </c>
      <c r="Q29" s="170">
        <f t="array" ref="Q29">IFERROR(
AVERAGE((IF(DATOS_[[Sexo]:[Sexo]]=$B29,IF(DATOS_[[AGRUP. CLAS. PROF.]:[AGRUP. CLAS. PROF.]]=$B27,IF(DATOS_[[Check Periodo Ref.]:[Check Periodo Ref.]]="Dentro",DATOS_[Conc.Sal.12]))))),
0)</f>
        <v>139.57363636363635</v>
      </c>
      <c r="R29" s="170">
        <f t="array" ref="R29">IFERROR(
AVERAGE((IF(DATOS_[[Sexo]:[Sexo]]=$B29,IF(DATOS_[[AGRUP. CLAS. PROF.]:[AGRUP. CLAS. PROF.]]=$B27,IF(DATOS_[[Check Periodo Ref.]:[Check Periodo Ref.]]="Dentro",DATOS_[Conc.Sal.13]))))),
0)</f>
        <v>0</v>
      </c>
      <c r="S29" s="170">
        <f t="array" ref="S29">IFERROR(
AVERAGE((IF(DATOS_[[Sexo]:[Sexo]]=$B29,IF(DATOS_[[AGRUP. CLAS. PROF.]:[AGRUP. CLAS. PROF.]]=$B27,IF(DATOS_[[Check Periodo Ref.]:[Check Periodo Ref.]]="Dentro",DATOS_[Conc.Sal.14]))))),
0)</f>
        <v>159.66909090909093</v>
      </c>
      <c r="T29" s="170">
        <f t="array" ref="T29">IFERROR(
AVERAGE((IF(DATOS_[[Sexo]:[Sexo]]=$B29,IF(DATOS_[[AGRUP. CLAS. PROF.]:[AGRUP. CLAS. PROF.]]=$B27,IF(DATOS_[[Check Periodo Ref.]:[Check Periodo Ref.]]="Dentro",DATOS_[Conc.Sal.15]))))),
0)</f>
        <v>41.514545454545448</v>
      </c>
      <c r="U29" s="170">
        <f t="array" ref="U29">IFERROR(
AVERAGE((IF(DATOS_[[Sexo]:[Sexo]]=$B29,IF(DATOS_[[AGRUP. CLAS. PROF.]:[AGRUP. CLAS. PROF.]]=$B27,IF(DATOS_[[Check Periodo Ref.]:[Check Periodo Ref.]]="Dentro",DATOS_[Conc.Sal.16]))))),
0)</f>
        <v>1318.8563636363635</v>
      </c>
      <c r="V29" s="170">
        <f t="array" ref="V29">IFERROR(
AVERAGE((IF(DATOS_[[Sexo]:[Sexo]]=$B29,IF(DATOS_[[AGRUP. CLAS. PROF.]:[AGRUP. CLAS. PROF.]]=$B27,IF(DATOS_[[Check Periodo Ref.]:[Check Periodo Ref.]]="Dentro",DATOS_[Conc.Sal.17]))))),
0)</f>
        <v>71.149090909090901</v>
      </c>
      <c r="W29" s="170">
        <f t="array" ref="W29">IFERROR(
AVERAGE((IF(DATOS_[[Sexo]:[Sexo]]=$B29,IF(DATOS_[[AGRUP. CLAS. PROF.]:[AGRUP. CLAS. PROF.]]=$B27,IF(DATOS_[[Check Periodo Ref.]:[Check Periodo Ref.]]="Dentro",DATOS_[Conc.Sal.18]))))),
0)</f>
        <v>899.81909090909096</v>
      </c>
      <c r="X29" s="170">
        <f t="array" ref="X29">IFERROR(
AVERAGE((IF(DATOS_[[Sexo]:[Sexo]]=$B29,IF(DATOS_[[AGRUP. CLAS. PROF.]:[AGRUP. CLAS. PROF.]]=$B27,IF(DATOS_[[Check Periodo Ref.]:[Check Periodo Ref.]]="Dentro",DATOS_[Conc.Sal.19]))))),
0)</f>
        <v>374.31272727272722</v>
      </c>
      <c r="Y29" s="170">
        <f t="array" ref="Y29">IFERROR(
AVERAGE((IF(DATOS_[[Sexo]:[Sexo]]=$B29,IF(DATOS_[[AGRUP. CLAS. PROF.]:[AGRUP. CLAS. PROF.]]=$B27,IF(DATOS_[[Check Periodo Ref.]:[Check Periodo Ref.]]="Dentro",DATOS_[Conc.Sal.20]))))),
0)</f>
        <v>27.272727272727273</v>
      </c>
      <c r="Z29" s="170">
        <f t="array" ref="Z29">IFERROR(
AVERAGE((IF(DATOS_[[Sexo]:[Sexo]]=$B29,IF(DATOS_[[AGRUP. CLAS. PROF.]:[AGRUP. CLAS. PROF.]]=$B27,IF(DATOS_[[Check Periodo Ref.]:[Check Periodo Ref.]]="Dentro",DATOS_[Conc.Sal.21]))))),
0)</f>
        <v>35.454545454545453</v>
      </c>
      <c r="AA29" s="170">
        <f t="array" ref="AA29">IFERROR(
AVERAGE((IF(DATOS_[[Sexo]:[Sexo]]=$B29,IF(DATOS_[[AGRUP. CLAS. PROF.]:[AGRUP. CLAS. PROF.]]=$B27,IF(DATOS_[[Check Periodo Ref.]:[Check Periodo Ref.]]="Dentro",DATOS_[Conc.Sal.22]))))),
0)</f>
        <v>0</v>
      </c>
      <c r="AB29" s="170">
        <f t="array" ref="AB29">IFERROR(
AVERAGE((IF(DATOS_[[Sexo]:[Sexo]]=$B29,IF(DATOS_[[AGRUP. CLAS. PROF.]:[AGRUP. CLAS. PROF.]]=$B27,IF(DATOS_[[Check Periodo Ref.]:[Check Periodo Ref.]]="Dentro",DATOS_[Conc.Sal.23]))))),
0)</f>
        <v>0</v>
      </c>
      <c r="AC29" s="170">
        <f t="array" ref="AC29">IFERROR(
AVERAGE((IF(DATOS_[[Sexo]:[Sexo]]=$B29,IF(DATOS_[[AGRUP. CLAS. PROF.]:[AGRUP. CLAS. PROF.]]=$B27,IF(DATOS_[[Check Periodo Ref.]:[Check Periodo Ref.]]="Dentro",DATOS_[Conc.Sal.24]))))),
0)</f>
        <v>0</v>
      </c>
      <c r="AD29" s="170">
        <f t="array" ref="AD29">IFERROR(
AVERAGE((IF(DATOS_[[Sexo]:[Sexo]]=$B29,IF(DATOS_[[AGRUP. CLAS. PROF.]:[AGRUP. CLAS. PROF.]]=$B27,IF(DATOS_[[Check Periodo Ref.]:[Check Periodo Ref.]]="Dentro",DATOS_[Conc.Sal.25]))))),
0)</f>
        <v>0</v>
      </c>
      <c r="AE29" s="170">
        <f t="array" ref="AE29">IFERROR(
AVERAGE((IF(DATOS_[[Sexo]:[Sexo]]=$B29,IF(DATOS_[[AGRUP. CLAS. PROF.]:[AGRUP. CLAS. PROF.]]=$B27,IF(DATOS_[[Check Periodo Ref.]:[Check Periodo Ref.]]="Dentro",DATOS_[Conc.Sal.26]))))),
0)</f>
        <v>0</v>
      </c>
      <c r="AF29" s="170">
        <f t="array" ref="AF29">IFERROR(
AVERAGE((IF(DATOS_[[Sexo]:[Sexo]]=$B29,IF(DATOS_[[AGRUP. CLAS. PROF.]:[AGRUP. CLAS. PROF.]]=$B27,IF(DATOS_[[Check Periodo Ref.]:[Check Periodo Ref.]]="Dentro",DATOS_[Conc.Sal.27]))))),
0)</f>
        <v>0</v>
      </c>
      <c r="AG29" s="170">
        <f t="array" ref="AG29">IFERROR(
AVERAGE((IF(DATOS_[[Sexo]:[Sexo]]=$B29,IF(DATOS_[[AGRUP. CLAS. PROF.]:[AGRUP. CLAS. PROF.]]=$B27,IF(DATOS_[[Check Periodo Ref.]:[Check Periodo Ref.]]="Dentro",DATOS_[Conc.Sal.28]))))),
0)</f>
        <v>0</v>
      </c>
      <c r="AH29" s="170">
        <f t="array" ref="AH29">IFERROR(
AVERAGE((IF(DATOS_[[Sexo]:[Sexo]]=$B29,IF(DATOS_[[AGRUP. CLAS. PROF.]:[AGRUP. CLAS. PROF.]]=$B27,IF(DATOS_[[Check Periodo Ref.]:[Check Periodo Ref.]]="Dentro",DATOS_[Conc.Sal.29]))))),
0)</f>
        <v>0</v>
      </c>
      <c r="AI29" s="170">
        <f t="array" ref="AI29">IFERROR(
AVERAGE((IF(DATOS_[[Sexo]:[Sexo]]=$B29,IF(DATOS_[[AGRUP. CLAS. PROF.]:[AGRUP. CLAS. PROF.]]=$B27,IF(DATOS_[[Check Periodo Ref.]:[Check Periodo Ref.]]="Dentro",DATOS_[Conc.Sal.30]))))),
0)</f>
        <v>0</v>
      </c>
      <c r="AJ29" s="171">
        <f t="array" ref="AJ29">IFERROR(
AVERAGE(IF(DATOS_[Sexo]=$B29,IF(DATOS_[AGRUP. CLAS. PROF.]=$B27,IF(DATOS_[Check Periodo Ref.]="Dentro",DATOS_[Tot COMPL.SAL Ef],FALSE)))),
0)</f>
        <v>5277.1127272727272</v>
      </c>
      <c r="AK29" s="172">
        <f t="array" ref="AK29">IFERROR(
AVERAGE(IF(DATOS_[Sexo]=$B29,IF(DATOS_[AGRUP. CLAS. PROF.]=$B27,IF(DATOS_[Check Periodo Ref.]="Dentro",DATOS_[TOTAL SALARIO Ef],FALSE)))),
0)</f>
        <v>9335.568181818182</v>
      </c>
      <c r="AL29" s="173">
        <f t="array" ref="AL29">IFERROR(
AVERAGE((IF(DATOS_[[Sexo]:[Sexo]]=$B29,IF(DATOS_[[AGRUP. CLAS. PROF.]:[AGRUP. CLAS. PROF.]]=$B27,IF(DATOS_[[Check Periodo Ref.]:[Check Periodo Ref.]]="Dentro",DATOS_[C.Extra.01]))))),
0)</f>
        <v>0</v>
      </c>
      <c r="AM29" s="173">
        <f t="array" ref="AM29">IFERROR(
AVERAGE((IF(DATOS_[[Sexo]:[Sexo]]=$B29,IF(DATOS_[[AGRUP. CLAS. PROF.]:[AGRUP. CLAS. PROF.]]=$B27,IF(DATOS_[[Check Periodo Ref.]:[Check Periodo Ref.]]="Dentro",DATOS_[C.Extra.06]))))),
0)</f>
        <v>0</v>
      </c>
      <c r="AN29" s="173">
        <f t="array" ref="AN29">IFERROR(
AVERAGE((IF(DATOS_[[Sexo]:[Sexo]]=$B29,IF(DATOS_[[AGRUP. CLAS. PROF.]:[AGRUP. CLAS. PROF.]]=$B27,IF(DATOS_[[Check Periodo Ref.]:[Check Periodo Ref.]]="Dentro",DATOS_[C.Extra.07]))))),
0)</f>
        <v>0</v>
      </c>
      <c r="AO29" s="173">
        <f t="array" ref="AO29">IFERROR(
AVERAGE((IF(DATOS_[[Sexo]:[Sexo]]=$B29,IF(DATOS_[[AGRUP. CLAS. PROF.]:[AGRUP. CLAS. PROF.]]=$B27,IF(DATOS_[[Check Periodo Ref.]:[Check Periodo Ref.]]="Dentro",DATOS_[C.Extra.08]))))),
0)</f>
        <v>0</v>
      </c>
      <c r="AP29" s="173">
        <f t="array" ref="AP29">IFERROR(
AVERAGE((IF(DATOS_[[Sexo]:[Sexo]]=$B29,IF(DATOS_[[AGRUP. CLAS. PROF.]:[AGRUP. CLAS. PROF.]]=$B27,IF(DATOS_[[Check Periodo Ref.]:[Check Periodo Ref.]]="Dentro",DATOS_[C.Extra.11]))))),
0)</f>
        <v>0</v>
      </c>
      <c r="AQ29" s="174">
        <f t="array" ref="AQ29">IFERROR(
AVERAGE(IF(DATOS_[Sexo]=$B29,IF(DATOS_[AGRUP. CLAS. PROF.]=$B27,IF(DATOS_[Check Periodo Ref.]="Dentro",DATOS_[Tot Extrasalarial Ef],FALSE)))),
0)</f>
        <v>0</v>
      </c>
      <c r="AR29" s="171">
        <f t="array" ref="AR29">IFERROR(
AVERAGE(IF(DATOS_[Sexo]=$B29,IF(DATOS_[AGRUP. CLAS. PROF.]=$B27,IF(DATOS_[Check Periodo Ref.]="Dentro",DATOS_[TOTAL Retrib Ef],FALSE)))),
0)</f>
        <v>9335.568181818182</v>
      </c>
    </row>
    <row r="30" spans="1:44" s="152" customFormat="1" ht="14.4" thickBot="1" x14ac:dyDescent="0.3">
      <c r="A30" s="152" t="str">
        <f t="shared" ref="A30" si="23">+A31</f>
        <v>[ocultar]</v>
      </c>
      <c r="B30" s="153" t="s">
        <v>195</v>
      </c>
      <c r="C30" s="154"/>
      <c r="D30" s="155"/>
      <c r="E30" s="156" t="str">
        <f t="shared" ref="E30:AR30" si="24">IFERROR((E31-E32)/E31,"")</f>
        <v/>
      </c>
      <c r="F30" s="157" t="str">
        <f t="shared" si="24"/>
        <v/>
      </c>
      <c r="G30" s="158" t="str">
        <f t="shared" si="24"/>
        <v/>
      </c>
      <c r="H30" s="158" t="str">
        <f t="shared" si="24"/>
        <v/>
      </c>
      <c r="I30" s="158" t="str">
        <f t="shared" si="24"/>
        <v/>
      </c>
      <c r="J30" s="159" t="str">
        <f t="shared" si="24"/>
        <v/>
      </c>
      <c r="K30" s="160" t="str">
        <f t="shared" si="24"/>
        <v/>
      </c>
      <c r="L30" s="160" t="str">
        <f t="shared" si="24"/>
        <v/>
      </c>
      <c r="M30" s="160" t="str">
        <f t="shared" si="24"/>
        <v/>
      </c>
      <c r="N30" s="160" t="str">
        <f t="shared" si="24"/>
        <v/>
      </c>
      <c r="O30" s="160" t="str">
        <f t="shared" si="24"/>
        <v/>
      </c>
      <c r="P30" s="160" t="str">
        <f t="shared" si="24"/>
        <v/>
      </c>
      <c r="Q30" s="160" t="str">
        <f t="shared" si="24"/>
        <v/>
      </c>
      <c r="R30" s="160" t="str">
        <f t="shared" si="24"/>
        <v/>
      </c>
      <c r="S30" s="160" t="str">
        <f t="shared" si="24"/>
        <v/>
      </c>
      <c r="T30" s="160" t="str">
        <f t="shared" si="24"/>
        <v/>
      </c>
      <c r="U30" s="160" t="str">
        <f t="shared" si="24"/>
        <v/>
      </c>
      <c r="V30" s="159" t="str">
        <f t="shared" si="24"/>
        <v/>
      </c>
      <c r="W30" s="159" t="str">
        <f t="shared" si="24"/>
        <v/>
      </c>
      <c r="X30" s="159" t="str">
        <f t="shared" si="24"/>
        <v/>
      </c>
      <c r="Y30" s="159" t="str">
        <f t="shared" si="24"/>
        <v/>
      </c>
      <c r="Z30" s="159" t="str">
        <f t="shared" si="24"/>
        <v/>
      </c>
      <c r="AA30" s="159" t="str">
        <f t="shared" si="24"/>
        <v/>
      </c>
      <c r="AB30" s="159" t="str">
        <f t="shared" si="24"/>
        <v/>
      </c>
      <c r="AC30" s="159" t="str">
        <f t="shared" si="24"/>
        <v/>
      </c>
      <c r="AD30" s="159" t="str">
        <f t="shared" si="24"/>
        <v/>
      </c>
      <c r="AE30" s="159" t="str">
        <f t="shared" si="24"/>
        <v/>
      </c>
      <c r="AF30" s="159" t="str">
        <f t="shared" si="24"/>
        <v/>
      </c>
      <c r="AG30" s="159" t="str">
        <f t="shared" si="24"/>
        <v/>
      </c>
      <c r="AH30" s="159" t="str">
        <f t="shared" si="24"/>
        <v/>
      </c>
      <c r="AI30" s="159" t="str">
        <f t="shared" si="24"/>
        <v/>
      </c>
      <c r="AJ30" s="161" t="str">
        <f t="shared" si="24"/>
        <v/>
      </c>
      <c r="AK30" s="162" t="str">
        <f t="shared" si="24"/>
        <v/>
      </c>
      <c r="AL30" s="163" t="str">
        <f t="shared" si="24"/>
        <v/>
      </c>
      <c r="AM30" s="163" t="str">
        <f t="shared" si="24"/>
        <v/>
      </c>
      <c r="AN30" s="163" t="str">
        <f t="shared" si="24"/>
        <v/>
      </c>
      <c r="AO30" s="163" t="str">
        <f t="shared" si="24"/>
        <v/>
      </c>
      <c r="AP30" s="163" t="str">
        <f t="shared" si="24"/>
        <v/>
      </c>
      <c r="AQ30" s="164" t="str">
        <f t="shared" si="24"/>
        <v/>
      </c>
      <c r="AR30" s="161" t="str">
        <f t="shared" si="24"/>
        <v/>
      </c>
    </row>
    <row r="31" spans="1:44" x14ac:dyDescent="0.25">
      <c r="A31" s="152" t="str">
        <f t="shared" ref="A31" si="25">+IF(C31+C32=0,"[ocultar]","")</f>
        <v>[ocultar]</v>
      </c>
      <c r="B31" s="166" t="s">
        <v>394</v>
      </c>
      <c r="C31" s="167">
        <f t="array" ref="C31">SUM(IF($B31=DATOS_[Sexo],
IF($B30=DATOS_[AGRUP. CLAS. PROF.],
IF("Dentro"=DATOS_[Check Periodo Ref.],
1/(COUNTIFS(DATOS_[Sexo],$B31,DATOS_[AGRUP. CLAS. PROF.],$B30,DATOS_[Check Periodo Ref.],"Dentro",DATOS_[id/cod],DATOS_[id/cod]))))))</f>
        <v>0</v>
      </c>
      <c r="D31" s="168">
        <f>COUNTIFS(DATOS_[AGRUP. CLAS. PROF.],$B30,DATOS_[Sexo],$B31,DATOS_[Check Periodo Ref.],"Dentro")</f>
        <v>0</v>
      </c>
      <c r="E31" s="169">
        <f t="array" ref="E31">IFERROR(
AVERAGE(IF(DATOS_[Sexo]=$B31,IF(DATOS_[AGRUP. CLAS. PROF.]=$B30,IF(DATOS_[Check Periodo Ref.]="Dentro",DATOS_[SALARIO BASE Ef],FALSE)))),
0)</f>
        <v>0</v>
      </c>
      <c r="F31" s="170">
        <f t="array" ref="F31">IFERROR(
AVERAGE((IF(DATOS_[[Sexo]:[Sexo]]=$B31,IF(DATOS_[[AGRUP. CLAS. PROF.]:[AGRUP. CLAS. PROF.]]=$B30,IF(DATOS_[[Check Periodo Ref.]:[Check Periodo Ref.]]="Dentro",DATOS_[Conc.Sal.01]))))),
0)</f>
        <v>0</v>
      </c>
      <c r="G31" s="170">
        <f t="array" ref="G31">IFERROR(
AVERAGE((IF(DATOS_[[Sexo]:[Sexo]]=$B31,IF(DATOS_[[AGRUP. CLAS. PROF.]:[AGRUP. CLAS. PROF.]]=$B30,IF(DATOS_[[Check Periodo Ref.]:[Check Periodo Ref.]]="Dentro",DATOS_[Conc.Sal.02]))))),
0)</f>
        <v>0</v>
      </c>
      <c r="H31" s="170">
        <f t="array" ref="H31">IFERROR(
AVERAGE((IF(DATOS_[[Sexo]:[Sexo]]=$B31,IF(DATOS_[[AGRUP. CLAS. PROF.]:[AGRUP. CLAS. PROF.]]=$B30,IF(DATOS_[[Check Periodo Ref.]:[Check Periodo Ref.]]="Dentro",DATOS_[Conc.Sal.03]))))),
0)</f>
        <v>0</v>
      </c>
      <c r="I31" s="170">
        <f t="array" ref="I31">IFERROR(
AVERAGE((IF(DATOS_[[Sexo]:[Sexo]]=$B31,IF(DATOS_[[AGRUP. CLAS. PROF.]:[AGRUP. CLAS. PROF.]]=$B30,IF(DATOS_[[Check Periodo Ref.]:[Check Periodo Ref.]]="Dentro",DATOS_[Conc.Sal.04]))))),
0)</f>
        <v>0</v>
      </c>
      <c r="J31" s="170">
        <f t="array" ref="J31">IFERROR(
AVERAGE((IF(DATOS_[[Sexo]:[Sexo]]=$B31,IF(DATOS_[[AGRUP. CLAS. PROF.]:[AGRUP. CLAS. PROF.]]=$B30,IF(DATOS_[[Check Periodo Ref.]:[Check Periodo Ref.]]="Dentro",DATOS_[Conc.Sal.05]))))),
0)</f>
        <v>0</v>
      </c>
      <c r="K31" s="170">
        <f t="array" ref="K31">IFERROR(
AVERAGE((IF(DATOS_[[Sexo]:[Sexo]]=$B31,IF(DATOS_[[AGRUP. CLAS. PROF.]:[AGRUP. CLAS. PROF.]]=$B30,IF(DATOS_[[Check Periodo Ref.]:[Check Periodo Ref.]]="Dentro",DATOS_[Conc.Sal.06]))))),
0)</f>
        <v>0</v>
      </c>
      <c r="L31" s="170">
        <f t="array" ref="L31">IFERROR(
AVERAGE((IF(DATOS_[[Sexo]:[Sexo]]=$B31,IF(DATOS_[[AGRUP. CLAS. PROF.]:[AGRUP. CLAS. PROF.]]=$B30,IF(DATOS_[[Check Periodo Ref.]:[Check Periodo Ref.]]="Dentro",DATOS_[Conc.Sal.07]))))),
0)</f>
        <v>0</v>
      </c>
      <c r="M31" s="170">
        <f t="array" ref="M31">IFERROR(
AVERAGE((IF(DATOS_[[Sexo]:[Sexo]]=$B31,IF(DATOS_[[AGRUP. CLAS. PROF.]:[AGRUP. CLAS. PROF.]]=$B30,IF(DATOS_[[Check Periodo Ref.]:[Check Periodo Ref.]]="Dentro",DATOS_[Conc.Sal.08]))))),
0)</f>
        <v>0</v>
      </c>
      <c r="N31" s="170">
        <f t="array" ref="N31">IFERROR(
AVERAGE((IF(DATOS_[[Sexo]:[Sexo]]=$B31,IF(DATOS_[[AGRUP. CLAS. PROF.]:[AGRUP. CLAS. PROF.]]=$B30,IF(DATOS_[[Check Periodo Ref.]:[Check Periodo Ref.]]="Dentro",DATOS_[Conc.Sal.09]))))),
0)</f>
        <v>0</v>
      </c>
      <c r="O31" s="170">
        <f t="array" ref="O31">IFERROR(
AVERAGE((IF(DATOS_[[Sexo]:[Sexo]]=$B31,IF(DATOS_[[AGRUP. CLAS. PROF.]:[AGRUP. CLAS. PROF.]]=$B30,IF(DATOS_[[Check Periodo Ref.]:[Check Periodo Ref.]]="Dentro",DATOS_[Conc.Sal.10]))))),
0)</f>
        <v>0</v>
      </c>
      <c r="P31" s="170">
        <f t="array" ref="P31">IFERROR(
AVERAGE((IF(DATOS_[[Sexo]:[Sexo]]=$B31,IF(DATOS_[[AGRUP. CLAS. PROF.]:[AGRUP. CLAS. PROF.]]=$B30,IF(DATOS_[[Check Periodo Ref.]:[Check Periodo Ref.]]="Dentro",DATOS_[Conc.Sal.11]))))),
0)</f>
        <v>0</v>
      </c>
      <c r="Q31" s="170">
        <f t="array" ref="Q31">IFERROR(
AVERAGE((IF(DATOS_[[Sexo]:[Sexo]]=$B31,IF(DATOS_[[AGRUP. CLAS. PROF.]:[AGRUP. CLAS. PROF.]]=$B30,IF(DATOS_[[Check Periodo Ref.]:[Check Periodo Ref.]]="Dentro",DATOS_[Conc.Sal.12]))))),
0)</f>
        <v>0</v>
      </c>
      <c r="R31" s="170">
        <f t="array" ref="R31">IFERROR(
AVERAGE((IF(DATOS_[[Sexo]:[Sexo]]=$B31,IF(DATOS_[[AGRUP. CLAS. PROF.]:[AGRUP. CLAS. PROF.]]=$B30,IF(DATOS_[[Check Periodo Ref.]:[Check Periodo Ref.]]="Dentro",DATOS_[Conc.Sal.13]))))),
0)</f>
        <v>0</v>
      </c>
      <c r="S31" s="170">
        <f t="array" ref="S31">IFERROR(
AVERAGE((IF(DATOS_[[Sexo]:[Sexo]]=$B31,IF(DATOS_[[AGRUP. CLAS. PROF.]:[AGRUP. CLAS. PROF.]]=$B30,IF(DATOS_[[Check Periodo Ref.]:[Check Periodo Ref.]]="Dentro",DATOS_[Conc.Sal.14]))))),
0)</f>
        <v>0</v>
      </c>
      <c r="T31" s="170">
        <f t="array" ref="T31">IFERROR(
AVERAGE((IF(DATOS_[[Sexo]:[Sexo]]=$B31,IF(DATOS_[[AGRUP. CLAS. PROF.]:[AGRUP. CLAS. PROF.]]=$B30,IF(DATOS_[[Check Periodo Ref.]:[Check Periodo Ref.]]="Dentro",DATOS_[Conc.Sal.15]))))),
0)</f>
        <v>0</v>
      </c>
      <c r="U31" s="170">
        <f t="array" ref="U31">IFERROR(
AVERAGE((IF(DATOS_[[Sexo]:[Sexo]]=$B31,IF(DATOS_[[AGRUP. CLAS. PROF.]:[AGRUP. CLAS. PROF.]]=$B30,IF(DATOS_[[Check Periodo Ref.]:[Check Periodo Ref.]]="Dentro",DATOS_[Conc.Sal.16]))))),
0)</f>
        <v>0</v>
      </c>
      <c r="V31" s="170">
        <f t="array" ref="V31">IFERROR(
AVERAGE((IF(DATOS_[[Sexo]:[Sexo]]=$B31,IF(DATOS_[[AGRUP. CLAS. PROF.]:[AGRUP. CLAS. PROF.]]=$B30,IF(DATOS_[[Check Periodo Ref.]:[Check Periodo Ref.]]="Dentro",DATOS_[Conc.Sal.17]))))),
0)</f>
        <v>0</v>
      </c>
      <c r="W31" s="170">
        <f t="array" ref="W31">IFERROR(
AVERAGE((IF(DATOS_[[Sexo]:[Sexo]]=$B31,IF(DATOS_[[AGRUP. CLAS. PROF.]:[AGRUP. CLAS. PROF.]]=$B30,IF(DATOS_[[Check Periodo Ref.]:[Check Periodo Ref.]]="Dentro",DATOS_[Conc.Sal.18]))))),
0)</f>
        <v>0</v>
      </c>
      <c r="X31" s="170">
        <f t="array" ref="X31">IFERROR(
AVERAGE((IF(DATOS_[[Sexo]:[Sexo]]=$B31,IF(DATOS_[[AGRUP. CLAS. PROF.]:[AGRUP. CLAS. PROF.]]=$B30,IF(DATOS_[[Check Periodo Ref.]:[Check Periodo Ref.]]="Dentro",DATOS_[Conc.Sal.19]))))),
0)</f>
        <v>0</v>
      </c>
      <c r="Y31" s="170">
        <f t="array" ref="Y31">IFERROR(
AVERAGE((IF(DATOS_[[Sexo]:[Sexo]]=$B31,IF(DATOS_[[AGRUP. CLAS. PROF.]:[AGRUP. CLAS. PROF.]]=$B30,IF(DATOS_[[Check Periodo Ref.]:[Check Periodo Ref.]]="Dentro",DATOS_[Conc.Sal.20]))))),
0)</f>
        <v>0</v>
      </c>
      <c r="Z31" s="170">
        <f t="array" ref="Z31">IFERROR(
AVERAGE((IF(DATOS_[[Sexo]:[Sexo]]=$B31,IF(DATOS_[[AGRUP. CLAS. PROF.]:[AGRUP. CLAS. PROF.]]=$B30,IF(DATOS_[[Check Periodo Ref.]:[Check Periodo Ref.]]="Dentro",DATOS_[Conc.Sal.21]))))),
0)</f>
        <v>0</v>
      </c>
      <c r="AA31" s="170">
        <f t="array" ref="AA31">IFERROR(
AVERAGE((IF(DATOS_[[Sexo]:[Sexo]]=$B31,IF(DATOS_[[AGRUP. CLAS. PROF.]:[AGRUP. CLAS. PROF.]]=$B30,IF(DATOS_[[Check Periodo Ref.]:[Check Periodo Ref.]]="Dentro",DATOS_[Conc.Sal.22]))))),
0)</f>
        <v>0</v>
      </c>
      <c r="AB31" s="170">
        <f t="array" ref="AB31">IFERROR(
AVERAGE((IF(DATOS_[[Sexo]:[Sexo]]=$B31,IF(DATOS_[[AGRUP. CLAS. PROF.]:[AGRUP. CLAS. PROF.]]=$B30,IF(DATOS_[[Check Periodo Ref.]:[Check Periodo Ref.]]="Dentro",DATOS_[Conc.Sal.23]))))),
0)</f>
        <v>0</v>
      </c>
      <c r="AC31" s="170">
        <f t="array" ref="AC31">IFERROR(
AVERAGE((IF(DATOS_[[Sexo]:[Sexo]]=$B31,IF(DATOS_[[AGRUP. CLAS. PROF.]:[AGRUP. CLAS. PROF.]]=$B30,IF(DATOS_[[Check Periodo Ref.]:[Check Periodo Ref.]]="Dentro",DATOS_[Conc.Sal.24]))))),
0)</f>
        <v>0</v>
      </c>
      <c r="AD31" s="170">
        <f t="array" ref="AD31">IFERROR(
AVERAGE((IF(DATOS_[[Sexo]:[Sexo]]=$B31,IF(DATOS_[[AGRUP. CLAS. PROF.]:[AGRUP. CLAS. PROF.]]=$B30,IF(DATOS_[[Check Periodo Ref.]:[Check Periodo Ref.]]="Dentro",DATOS_[Conc.Sal.25]))))),
0)</f>
        <v>0</v>
      </c>
      <c r="AE31" s="170">
        <f t="array" ref="AE31">IFERROR(
AVERAGE((IF(DATOS_[[Sexo]:[Sexo]]=$B31,IF(DATOS_[[AGRUP. CLAS. PROF.]:[AGRUP. CLAS. PROF.]]=$B30,IF(DATOS_[[Check Periodo Ref.]:[Check Periodo Ref.]]="Dentro",DATOS_[Conc.Sal.26]))))),
0)</f>
        <v>0</v>
      </c>
      <c r="AF31" s="170">
        <f t="array" ref="AF31">IFERROR(
AVERAGE((IF(DATOS_[[Sexo]:[Sexo]]=$B31,IF(DATOS_[[AGRUP. CLAS. PROF.]:[AGRUP. CLAS. PROF.]]=$B30,IF(DATOS_[[Check Periodo Ref.]:[Check Periodo Ref.]]="Dentro",DATOS_[Conc.Sal.27]))))),
0)</f>
        <v>0</v>
      </c>
      <c r="AG31" s="170">
        <f t="array" ref="AG31">IFERROR(
AVERAGE((IF(DATOS_[[Sexo]:[Sexo]]=$B31,IF(DATOS_[[AGRUP. CLAS. PROF.]:[AGRUP. CLAS. PROF.]]=$B30,IF(DATOS_[[Check Periodo Ref.]:[Check Periodo Ref.]]="Dentro",DATOS_[Conc.Sal.28]))))),
0)</f>
        <v>0</v>
      </c>
      <c r="AH31" s="170">
        <f t="array" ref="AH31">IFERROR(
AVERAGE((IF(DATOS_[[Sexo]:[Sexo]]=$B31,IF(DATOS_[[AGRUP. CLAS. PROF.]:[AGRUP. CLAS. PROF.]]=$B30,IF(DATOS_[[Check Periodo Ref.]:[Check Periodo Ref.]]="Dentro",DATOS_[Conc.Sal.29]))))),
0)</f>
        <v>0</v>
      </c>
      <c r="AI31" s="170">
        <f t="array" ref="AI31">IFERROR(
AVERAGE((IF(DATOS_[[Sexo]:[Sexo]]=$B31,IF(DATOS_[[AGRUP. CLAS. PROF.]:[AGRUP. CLAS. PROF.]]=$B30,IF(DATOS_[[Check Periodo Ref.]:[Check Periodo Ref.]]="Dentro",DATOS_[Conc.Sal.30]))))),
0)</f>
        <v>0</v>
      </c>
      <c r="AJ31" s="171">
        <f t="array" ref="AJ31">IFERROR(
AVERAGE(IF(DATOS_[Sexo]=$B31,IF(DATOS_[AGRUP. CLAS. PROF.]=$B30,IF(DATOS_[Check Periodo Ref.]="Dentro",DATOS_[Tot COMPL.SAL Ef],FALSE)))),
0)</f>
        <v>0</v>
      </c>
      <c r="AK31" s="172">
        <f t="array" ref="AK31">IFERROR(
AVERAGE(IF(DATOS_[Sexo]=$B31,IF(DATOS_[AGRUP. CLAS. PROF.]=$B30,IF(DATOS_[Check Periodo Ref.]="Dentro",DATOS_[TOTAL SALARIO Ef],FALSE)))),
0)</f>
        <v>0</v>
      </c>
      <c r="AL31" s="173">
        <f t="array" ref="AL31">IFERROR(
AVERAGE((IF(DATOS_[[Sexo]:[Sexo]]=$B31,IF(DATOS_[[AGRUP. CLAS. PROF.]:[AGRUP. CLAS. PROF.]]=$B30,IF(DATOS_[[Check Periodo Ref.]:[Check Periodo Ref.]]="Dentro",DATOS_[C.Extra.01]))))),
0)</f>
        <v>0</v>
      </c>
      <c r="AM31" s="173">
        <f t="array" ref="AM31">IFERROR(
AVERAGE((IF(DATOS_[[Sexo]:[Sexo]]=$B31,IF(DATOS_[[AGRUP. CLAS. PROF.]:[AGRUP. CLAS. PROF.]]=$B30,IF(DATOS_[[Check Periodo Ref.]:[Check Periodo Ref.]]="Dentro",DATOS_[C.Extra.06]))))),
0)</f>
        <v>0</v>
      </c>
      <c r="AN31" s="173">
        <f t="array" ref="AN31">IFERROR(
AVERAGE((IF(DATOS_[[Sexo]:[Sexo]]=$B31,IF(DATOS_[[AGRUP. CLAS. PROF.]:[AGRUP. CLAS. PROF.]]=$B30,IF(DATOS_[[Check Periodo Ref.]:[Check Periodo Ref.]]="Dentro",DATOS_[C.Extra.07]))))),
0)</f>
        <v>0</v>
      </c>
      <c r="AO31" s="173">
        <f t="array" ref="AO31">IFERROR(
AVERAGE((IF(DATOS_[[Sexo]:[Sexo]]=$B31,IF(DATOS_[[AGRUP. CLAS. PROF.]:[AGRUP. CLAS. PROF.]]=$B30,IF(DATOS_[[Check Periodo Ref.]:[Check Periodo Ref.]]="Dentro",DATOS_[C.Extra.08]))))),
0)</f>
        <v>0</v>
      </c>
      <c r="AP31" s="173">
        <f t="array" ref="AP31">IFERROR(
AVERAGE((IF(DATOS_[[Sexo]:[Sexo]]=$B31,IF(DATOS_[[AGRUP. CLAS. PROF.]:[AGRUP. CLAS. PROF.]]=$B30,IF(DATOS_[[Check Periodo Ref.]:[Check Periodo Ref.]]="Dentro",DATOS_[C.Extra.11]))))),
0)</f>
        <v>0</v>
      </c>
      <c r="AQ31" s="174">
        <f t="array" ref="AQ31">IFERROR(
AVERAGE(IF(DATOS_[Sexo]=$B31,IF(DATOS_[AGRUP. CLAS. PROF.]=$B30,IF(DATOS_[Check Periodo Ref.]="Dentro",DATOS_[Tot Extrasalarial Ef],FALSE)))),
0)</f>
        <v>0</v>
      </c>
      <c r="AR31" s="171">
        <f t="array" ref="AR31">IFERROR(
AVERAGE(IF(DATOS_[Sexo]=$B31,IF(DATOS_[AGRUP. CLAS. PROF.]=$B30,IF(DATOS_[Check Periodo Ref.]="Dentro",DATOS_[TOTAL Retrib Ef],FALSE)))),
0)</f>
        <v>0</v>
      </c>
    </row>
    <row r="32" spans="1:44" x14ac:dyDescent="0.25">
      <c r="A32" s="152" t="str">
        <f t="shared" ref="A32" si="26">+A31</f>
        <v>[ocultar]</v>
      </c>
      <c r="B32" s="166" t="s">
        <v>521</v>
      </c>
      <c r="C32" s="167">
        <f t="array" ref="C32">SUM(IF($B32=DATOS_[Sexo],
IF($B30=DATOS_[AGRUP. CLAS. PROF.],
IF("Dentro"=DATOS_[Check Periodo Ref.],
1/(COUNTIFS(DATOS_[Sexo],$B32,DATOS_[AGRUP. CLAS. PROF.],$B30,DATOS_[Check Periodo Ref.],"Dentro",DATOS_[id/cod],DATOS_[id/cod]))))))</f>
        <v>0</v>
      </c>
      <c r="D32" s="168">
        <f>COUNTIFS(DATOS_[AGRUP. CLAS. PROF.],$B30,DATOS_[Sexo],$B32,DATOS_[Check Periodo Ref.],"Dentro")</f>
        <v>0</v>
      </c>
      <c r="E32" s="169">
        <f t="array" ref="E32">IFERROR(
AVERAGE(IF(DATOS_[Sexo]=$B32,IF(DATOS_[AGRUP. CLAS. PROF.]=$B30,IF(DATOS_[Check Periodo Ref.]="Dentro",DATOS_[SALARIO BASE Ef],FALSE)))),
0)</f>
        <v>0</v>
      </c>
      <c r="F32" s="170">
        <f t="array" ref="F32">IFERROR(
AVERAGE((IF(DATOS_[[Sexo]:[Sexo]]=$B32,IF(DATOS_[[AGRUP. CLAS. PROF.]:[AGRUP. CLAS. PROF.]]=$B30,IF(DATOS_[[Check Periodo Ref.]:[Check Periodo Ref.]]="Dentro",DATOS_[Conc.Sal.01]))))),
0)</f>
        <v>0</v>
      </c>
      <c r="G32" s="170">
        <f t="array" ref="G32">IFERROR(
AVERAGE((IF(DATOS_[[Sexo]:[Sexo]]=$B32,IF(DATOS_[[AGRUP. CLAS. PROF.]:[AGRUP. CLAS. PROF.]]=$B30,IF(DATOS_[[Check Periodo Ref.]:[Check Periodo Ref.]]="Dentro",DATOS_[Conc.Sal.02]))))),
0)</f>
        <v>0</v>
      </c>
      <c r="H32" s="170">
        <f t="array" ref="H32">IFERROR(
AVERAGE((IF(DATOS_[[Sexo]:[Sexo]]=$B32,IF(DATOS_[[AGRUP. CLAS. PROF.]:[AGRUP. CLAS. PROF.]]=$B30,IF(DATOS_[[Check Periodo Ref.]:[Check Periodo Ref.]]="Dentro",DATOS_[Conc.Sal.03]))))),
0)</f>
        <v>0</v>
      </c>
      <c r="I32" s="170">
        <f t="array" ref="I32">IFERROR(
AVERAGE((IF(DATOS_[[Sexo]:[Sexo]]=$B32,IF(DATOS_[[AGRUP. CLAS. PROF.]:[AGRUP. CLAS. PROF.]]=$B30,IF(DATOS_[[Check Periodo Ref.]:[Check Periodo Ref.]]="Dentro",DATOS_[Conc.Sal.04]))))),
0)</f>
        <v>0</v>
      </c>
      <c r="J32" s="170">
        <f t="array" ref="J32">IFERROR(
AVERAGE((IF(DATOS_[[Sexo]:[Sexo]]=$B32,IF(DATOS_[[AGRUP. CLAS. PROF.]:[AGRUP. CLAS. PROF.]]=$B30,IF(DATOS_[[Check Periodo Ref.]:[Check Periodo Ref.]]="Dentro",DATOS_[Conc.Sal.05]))))),
0)</f>
        <v>0</v>
      </c>
      <c r="K32" s="170">
        <f t="array" ref="K32">IFERROR(
AVERAGE((IF(DATOS_[[Sexo]:[Sexo]]=$B32,IF(DATOS_[[AGRUP. CLAS. PROF.]:[AGRUP. CLAS. PROF.]]=$B30,IF(DATOS_[[Check Periodo Ref.]:[Check Periodo Ref.]]="Dentro",DATOS_[Conc.Sal.06]))))),
0)</f>
        <v>0</v>
      </c>
      <c r="L32" s="170">
        <f t="array" ref="L32">IFERROR(
AVERAGE((IF(DATOS_[[Sexo]:[Sexo]]=$B32,IF(DATOS_[[AGRUP. CLAS. PROF.]:[AGRUP. CLAS. PROF.]]=$B30,IF(DATOS_[[Check Periodo Ref.]:[Check Periodo Ref.]]="Dentro",DATOS_[Conc.Sal.07]))))),
0)</f>
        <v>0</v>
      </c>
      <c r="M32" s="170">
        <f t="array" ref="M32">IFERROR(
AVERAGE((IF(DATOS_[[Sexo]:[Sexo]]=$B32,IF(DATOS_[[AGRUP. CLAS. PROF.]:[AGRUP. CLAS. PROF.]]=$B30,IF(DATOS_[[Check Periodo Ref.]:[Check Periodo Ref.]]="Dentro",DATOS_[Conc.Sal.08]))))),
0)</f>
        <v>0</v>
      </c>
      <c r="N32" s="170">
        <f t="array" ref="N32">IFERROR(
AVERAGE((IF(DATOS_[[Sexo]:[Sexo]]=$B32,IF(DATOS_[[AGRUP. CLAS. PROF.]:[AGRUP. CLAS. PROF.]]=$B30,IF(DATOS_[[Check Periodo Ref.]:[Check Periodo Ref.]]="Dentro",DATOS_[Conc.Sal.09]))))),
0)</f>
        <v>0</v>
      </c>
      <c r="O32" s="170">
        <f t="array" ref="O32">IFERROR(
AVERAGE((IF(DATOS_[[Sexo]:[Sexo]]=$B32,IF(DATOS_[[AGRUP. CLAS. PROF.]:[AGRUP. CLAS. PROF.]]=$B30,IF(DATOS_[[Check Periodo Ref.]:[Check Periodo Ref.]]="Dentro",DATOS_[Conc.Sal.10]))))),
0)</f>
        <v>0</v>
      </c>
      <c r="P32" s="170">
        <f t="array" ref="P32">IFERROR(
AVERAGE((IF(DATOS_[[Sexo]:[Sexo]]=$B32,IF(DATOS_[[AGRUP. CLAS. PROF.]:[AGRUP. CLAS. PROF.]]=$B30,IF(DATOS_[[Check Periodo Ref.]:[Check Periodo Ref.]]="Dentro",DATOS_[Conc.Sal.11]))))),
0)</f>
        <v>0</v>
      </c>
      <c r="Q32" s="170">
        <f t="array" ref="Q32">IFERROR(
AVERAGE((IF(DATOS_[[Sexo]:[Sexo]]=$B32,IF(DATOS_[[AGRUP. CLAS. PROF.]:[AGRUP. CLAS. PROF.]]=$B30,IF(DATOS_[[Check Periodo Ref.]:[Check Periodo Ref.]]="Dentro",DATOS_[Conc.Sal.12]))))),
0)</f>
        <v>0</v>
      </c>
      <c r="R32" s="170">
        <f t="array" ref="R32">IFERROR(
AVERAGE((IF(DATOS_[[Sexo]:[Sexo]]=$B32,IF(DATOS_[[AGRUP. CLAS. PROF.]:[AGRUP. CLAS. PROF.]]=$B30,IF(DATOS_[[Check Periodo Ref.]:[Check Periodo Ref.]]="Dentro",DATOS_[Conc.Sal.13]))))),
0)</f>
        <v>0</v>
      </c>
      <c r="S32" s="170">
        <f t="array" ref="S32">IFERROR(
AVERAGE((IF(DATOS_[[Sexo]:[Sexo]]=$B32,IF(DATOS_[[AGRUP. CLAS. PROF.]:[AGRUP. CLAS. PROF.]]=$B30,IF(DATOS_[[Check Periodo Ref.]:[Check Periodo Ref.]]="Dentro",DATOS_[Conc.Sal.14]))))),
0)</f>
        <v>0</v>
      </c>
      <c r="T32" s="170">
        <f t="array" ref="T32">IFERROR(
AVERAGE((IF(DATOS_[[Sexo]:[Sexo]]=$B32,IF(DATOS_[[AGRUP. CLAS. PROF.]:[AGRUP. CLAS. PROF.]]=$B30,IF(DATOS_[[Check Periodo Ref.]:[Check Periodo Ref.]]="Dentro",DATOS_[Conc.Sal.15]))))),
0)</f>
        <v>0</v>
      </c>
      <c r="U32" s="170">
        <f t="array" ref="U32">IFERROR(
AVERAGE((IF(DATOS_[[Sexo]:[Sexo]]=$B32,IF(DATOS_[[AGRUP. CLAS. PROF.]:[AGRUP. CLAS. PROF.]]=$B30,IF(DATOS_[[Check Periodo Ref.]:[Check Periodo Ref.]]="Dentro",DATOS_[Conc.Sal.16]))))),
0)</f>
        <v>0</v>
      </c>
      <c r="V32" s="170">
        <f t="array" ref="V32">IFERROR(
AVERAGE((IF(DATOS_[[Sexo]:[Sexo]]=$B32,IF(DATOS_[[AGRUP. CLAS. PROF.]:[AGRUP. CLAS. PROF.]]=$B30,IF(DATOS_[[Check Periodo Ref.]:[Check Periodo Ref.]]="Dentro",DATOS_[Conc.Sal.17]))))),
0)</f>
        <v>0</v>
      </c>
      <c r="W32" s="170">
        <f t="array" ref="W32">IFERROR(
AVERAGE((IF(DATOS_[[Sexo]:[Sexo]]=$B32,IF(DATOS_[[AGRUP. CLAS. PROF.]:[AGRUP. CLAS. PROF.]]=$B30,IF(DATOS_[[Check Periodo Ref.]:[Check Periodo Ref.]]="Dentro",DATOS_[Conc.Sal.18]))))),
0)</f>
        <v>0</v>
      </c>
      <c r="X32" s="170">
        <f t="array" ref="X32">IFERROR(
AVERAGE((IF(DATOS_[[Sexo]:[Sexo]]=$B32,IF(DATOS_[[AGRUP. CLAS. PROF.]:[AGRUP. CLAS. PROF.]]=$B30,IF(DATOS_[[Check Periodo Ref.]:[Check Periodo Ref.]]="Dentro",DATOS_[Conc.Sal.19]))))),
0)</f>
        <v>0</v>
      </c>
      <c r="Y32" s="170">
        <f t="array" ref="Y32">IFERROR(
AVERAGE((IF(DATOS_[[Sexo]:[Sexo]]=$B32,IF(DATOS_[[AGRUP. CLAS. PROF.]:[AGRUP. CLAS. PROF.]]=$B30,IF(DATOS_[[Check Periodo Ref.]:[Check Periodo Ref.]]="Dentro",DATOS_[Conc.Sal.20]))))),
0)</f>
        <v>0</v>
      </c>
      <c r="Z32" s="170">
        <f t="array" ref="Z32">IFERROR(
AVERAGE((IF(DATOS_[[Sexo]:[Sexo]]=$B32,IF(DATOS_[[AGRUP. CLAS. PROF.]:[AGRUP. CLAS. PROF.]]=$B30,IF(DATOS_[[Check Periodo Ref.]:[Check Periodo Ref.]]="Dentro",DATOS_[Conc.Sal.21]))))),
0)</f>
        <v>0</v>
      </c>
      <c r="AA32" s="170">
        <f t="array" ref="AA32">IFERROR(
AVERAGE((IF(DATOS_[[Sexo]:[Sexo]]=$B32,IF(DATOS_[[AGRUP. CLAS. PROF.]:[AGRUP. CLAS. PROF.]]=$B30,IF(DATOS_[[Check Periodo Ref.]:[Check Periodo Ref.]]="Dentro",DATOS_[Conc.Sal.22]))))),
0)</f>
        <v>0</v>
      </c>
      <c r="AB32" s="170">
        <f t="array" ref="AB32">IFERROR(
AVERAGE((IF(DATOS_[[Sexo]:[Sexo]]=$B32,IF(DATOS_[[AGRUP. CLAS. PROF.]:[AGRUP. CLAS. PROF.]]=$B30,IF(DATOS_[[Check Periodo Ref.]:[Check Periodo Ref.]]="Dentro",DATOS_[Conc.Sal.23]))))),
0)</f>
        <v>0</v>
      </c>
      <c r="AC32" s="170">
        <f t="array" ref="AC32">IFERROR(
AVERAGE((IF(DATOS_[[Sexo]:[Sexo]]=$B32,IF(DATOS_[[AGRUP. CLAS. PROF.]:[AGRUP. CLAS. PROF.]]=$B30,IF(DATOS_[[Check Periodo Ref.]:[Check Periodo Ref.]]="Dentro",DATOS_[Conc.Sal.24]))))),
0)</f>
        <v>0</v>
      </c>
      <c r="AD32" s="170">
        <f t="array" ref="AD32">IFERROR(
AVERAGE((IF(DATOS_[[Sexo]:[Sexo]]=$B32,IF(DATOS_[[AGRUP. CLAS. PROF.]:[AGRUP. CLAS. PROF.]]=$B30,IF(DATOS_[[Check Periodo Ref.]:[Check Periodo Ref.]]="Dentro",DATOS_[Conc.Sal.25]))))),
0)</f>
        <v>0</v>
      </c>
      <c r="AE32" s="170">
        <f t="array" ref="AE32">IFERROR(
AVERAGE((IF(DATOS_[[Sexo]:[Sexo]]=$B32,IF(DATOS_[[AGRUP. CLAS. PROF.]:[AGRUP. CLAS. PROF.]]=$B30,IF(DATOS_[[Check Periodo Ref.]:[Check Periodo Ref.]]="Dentro",DATOS_[Conc.Sal.26]))))),
0)</f>
        <v>0</v>
      </c>
      <c r="AF32" s="170">
        <f t="array" ref="AF32">IFERROR(
AVERAGE((IF(DATOS_[[Sexo]:[Sexo]]=$B32,IF(DATOS_[[AGRUP. CLAS. PROF.]:[AGRUP. CLAS. PROF.]]=$B30,IF(DATOS_[[Check Periodo Ref.]:[Check Periodo Ref.]]="Dentro",DATOS_[Conc.Sal.27]))))),
0)</f>
        <v>0</v>
      </c>
      <c r="AG32" s="170">
        <f t="array" ref="AG32">IFERROR(
AVERAGE((IF(DATOS_[[Sexo]:[Sexo]]=$B32,IF(DATOS_[[AGRUP. CLAS. PROF.]:[AGRUP. CLAS. PROF.]]=$B30,IF(DATOS_[[Check Periodo Ref.]:[Check Periodo Ref.]]="Dentro",DATOS_[Conc.Sal.28]))))),
0)</f>
        <v>0</v>
      </c>
      <c r="AH32" s="170">
        <f t="array" ref="AH32">IFERROR(
AVERAGE((IF(DATOS_[[Sexo]:[Sexo]]=$B32,IF(DATOS_[[AGRUP. CLAS. PROF.]:[AGRUP. CLAS. PROF.]]=$B30,IF(DATOS_[[Check Periodo Ref.]:[Check Periodo Ref.]]="Dentro",DATOS_[Conc.Sal.29]))))),
0)</f>
        <v>0</v>
      </c>
      <c r="AI32" s="170">
        <f t="array" ref="AI32">IFERROR(
AVERAGE((IF(DATOS_[[Sexo]:[Sexo]]=$B32,IF(DATOS_[[AGRUP. CLAS. PROF.]:[AGRUP. CLAS. PROF.]]=$B30,IF(DATOS_[[Check Periodo Ref.]:[Check Periodo Ref.]]="Dentro",DATOS_[Conc.Sal.30]))))),
0)</f>
        <v>0</v>
      </c>
      <c r="AJ32" s="171">
        <f t="array" ref="AJ32">IFERROR(
AVERAGE(IF(DATOS_[Sexo]=$B32,IF(DATOS_[AGRUP. CLAS. PROF.]=$B30,IF(DATOS_[Check Periodo Ref.]="Dentro",DATOS_[Tot COMPL.SAL Ef],FALSE)))),
0)</f>
        <v>0</v>
      </c>
      <c r="AK32" s="172">
        <f t="array" ref="AK32">IFERROR(
AVERAGE(IF(DATOS_[Sexo]=$B32,IF(DATOS_[AGRUP. CLAS. PROF.]=$B30,IF(DATOS_[Check Periodo Ref.]="Dentro",DATOS_[TOTAL SALARIO Ef],FALSE)))),
0)</f>
        <v>0</v>
      </c>
      <c r="AL32" s="173">
        <f t="array" ref="AL32">IFERROR(
AVERAGE((IF(DATOS_[[Sexo]:[Sexo]]=$B32,IF(DATOS_[[AGRUP. CLAS. PROF.]:[AGRUP. CLAS. PROF.]]=$B30,IF(DATOS_[[Check Periodo Ref.]:[Check Periodo Ref.]]="Dentro",DATOS_[C.Extra.01]))))),
0)</f>
        <v>0</v>
      </c>
      <c r="AM32" s="173">
        <f t="array" ref="AM32">IFERROR(
AVERAGE((IF(DATOS_[[Sexo]:[Sexo]]=$B32,IF(DATOS_[[AGRUP. CLAS. PROF.]:[AGRUP. CLAS. PROF.]]=$B30,IF(DATOS_[[Check Periodo Ref.]:[Check Periodo Ref.]]="Dentro",DATOS_[C.Extra.06]))))),
0)</f>
        <v>0</v>
      </c>
      <c r="AN32" s="173">
        <f t="array" ref="AN32">IFERROR(
AVERAGE((IF(DATOS_[[Sexo]:[Sexo]]=$B32,IF(DATOS_[[AGRUP. CLAS. PROF.]:[AGRUP. CLAS. PROF.]]=$B30,IF(DATOS_[[Check Periodo Ref.]:[Check Periodo Ref.]]="Dentro",DATOS_[C.Extra.07]))))),
0)</f>
        <v>0</v>
      </c>
      <c r="AO32" s="173">
        <f t="array" ref="AO32">IFERROR(
AVERAGE((IF(DATOS_[[Sexo]:[Sexo]]=$B32,IF(DATOS_[[AGRUP. CLAS. PROF.]:[AGRUP. CLAS. PROF.]]=$B30,IF(DATOS_[[Check Periodo Ref.]:[Check Periodo Ref.]]="Dentro",DATOS_[C.Extra.08]))))),
0)</f>
        <v>0</v>
      </c>
      <c r="AP32" s="173">
        <f t="array" ref="AP32">IFERROR(
AVERAGE((IF(DATOS_[[Sexo]:[Sexo]]=$B32,IF(DATOS_[[AGRUP. CLAS. PROF.]:[AGRUP. CLAS. PROF.]]=$B30,IF(DATOS_[[Check Periodo Ref.]:[Check Periodo Ref.]]="Dentro",DATOS_[C.Extra.11]))))),
0)</f>
        <v>0</v>
      </c>
      <c r="AQ32" s="174">
        <f t="array" ref="AQ32">IFERROR(
AVERAGE(IF(DATOS_[Sexo]=$B32,IF(DATOS_[AGRUP. CLAS. PROF.]=$B30,IF(DATOS_[Check Periodo Ref.]="Dentro",DATOS_[Tot Extrasalarial Ef],FALSE)))),
0)</f>
        <v>0</v>
      </c>
      <c r="AR32" s="171">
        <f t="array" ref="AR32">IFERROR(
AVERAGE(IF(DATOS_[Sexo]=$B32,IF(DATOS_[AGRUP. CLAS. PROF.]=$B30,IF(DATOS_[Check Periodo Ref.]="Dentro",DATOS_[TOTAL Retrib Ef],FALSE)))),
0)</f>
        <v>0</v>
      </c>
    </row>
    <row r="33" spans="1:44" s="152" customFormat="1" ht="14.4" thickBot="1" x14ac:dyDescent="0.3">
      <c r="A33" s="152" t="str">
        <f t="shared" ref="A33" si="27">+A34</f>
        <v>[ocultar]</v>
      </c>
      <c r="B33" s="153" t="s">
        <v>199</v>
      </c>
      <c r="C33" s="154"/>
      <c r="D33" s="155"/>
      <c r="E33" s="156" t="str">
        <f t="shared" ref="E33:AR33" si="28">IFERROR((E34-E35)/E34,"")</f>
        <v/>
      </c>
      <c r="F33" s="157" t="str">
        <f t="shared" si="28"/>
        <v/>
      </c>
      <c r="G33" s="158" t="str">
        <f t="shared" si="28"/>
        <v/>
      </c>
      <c r="H33" s="158" t="str">
        <f t="shared" si="28"/>
        <v/>
      </c>
      <c r="I33" s="158" t="str">
        <f t="shared" si="28"/>
        <v/>
      </c>
      <c r="J33" s="159" t="str">
        <f t="shared" si="28"/>
        <v/>
      </c>
      <c r="K33" s="160" t="str">
        <f t="shared" si="28"/>
        <v/>
      </c>
      <c r="L33" s="160" t="str">
        <f t="shared" si="28"/>
        <v/>
      </c>
      <c r="M33" s="160" t="str">
        <f t="shared" si="28"/>
        <v/>
      </c>
      <c r="N33" s="160" t="str">
        <f t="shared" si="28"/>
        <v/>
      </c>
      <c r="O33" s="160" t="str">
        <f t="shared" si="28"/>
        <v/>
      </c>
      <c r="P33" s="160" t="str">
        <f t="shared" si="28"/>
        <v/>
      </c>
      <c r="Q33" s="160" t="str">
        <f t="shared" si="28"/>
        <v/>
      </c>
      <c r="R33" s="160" t="str">
        <f t="shared" si="28"/>
        <v/>
      </c>
      <c r="S33" s="160" t="str">
        <f t="shared" si="28"/>
        <v/>
      </c>
      <c r="T33" s="160" t="str">
        <f t="shared" si="28"/>
        <v/>
      </c>
      <c r="U33" s="160" t="str">
        <f t="shared" si="28"/>
        <v/>
      </c>
      <c r="V33" s="159" t="str">
        <f t="shared" si="28"/>
        <v/>
      </c>
      <c r="W33" s="159" t="str">
        <f t="shared" si="28"/>
        <v/>
      </c>
      <c r="X33" s="159" t="str">
        <f t="shared" si="28"/>
        <v/>
      </c>
      <c r="Y33" s="159" t="str">
        <f t="shared" si="28"/>
        <v/>
      </c>
      <c r="Z33" s="159" t="str">
        <f t="shared" si="28"/>
        <v/>
      </c>
      <c r="AA33" s="159" t="str">
        <f t="shared" si="28"/>
        <v/>
      </c>
      <c r="AB33" s="159" t="str">
        <f t="shared" si="28"/>
        <v/>
      </c>
      <c r="AC33" s="159" t="str">
        <f t="shared" si="28"/>
        <v/>
      </c>
      <c r="AD33" s="159" t="str">
        <f t="shared" si="28"/>
        <v/>
      </c>
      <c r="AE33" s="159" t="str">
        <f t="shared" si="28"/>
        <v/>
      </c>
      <c r="AF33" s="159" t="str">
        <f t="shared" si="28"/>
        <v/>
      </c>
      <c r="AG33" s="159" t="str">
        <f t="shared" si="28"/>
        <v/>
      </c>
      <c r="AH33" s="159" t="str">
        <f t="shared" si="28"/>
        <v/>
      </c>
      <c r="AI33" s="159" t="str">
        <f t="shared" si="28"/>
        <v/>
      </c>
      <c r="AJ33" s="161" t="str">
        <f t="shared" si="28"/>
        <v/>
      </c>
      <c r="AK33" s="162" t="str">
        <f t="shared" si="28"/>
        <v/>
      </c>
      <c r="AL33" s="163" t="str">
        <f t="shared" si="28"/>
        <v/>
      </c>
      <c r="AM33" s="163" t="str">
        <f t="shared" si="28"/>
        <v/>
      </c>
      <c r="AN33" s="163" t="str">
        <f t="shared" si="28"/>
        <v/>
      </c>
      <c r="AO33" s="163" t="str">
        <f t="shared" si="28"/>
        <v/>
      </c>
      <c r="AP33" s="163" t="str">
        <f t="shared" si="28"/>
        <v/>
      </c>
      <c r="AQ33" s="164" t="str">
        <f t="shared" si="28"/>
        <v/>
      </c>
      <c r="AR33" s="161" t="str">
        <f t="shared" si="28"/>
        <v/>
      </c>
    </row>
    <row r="34" spans="1:44" x14ac:dyDescent="0.25">
      <c r="A34" s="152" t="str">
        <f t="shared" ref="A34" si="29">+IF(C34+C35=0,"[ocultar]","")</f>
        <v>[ocultar]</v>
      </c>
      <c r="B34" s="166" t="s">
        <v>394</v>
      </c>
      <c r="C34" s="167">
        <f t="array" ref="C34">SUM(IF($B34=DATOS_[Sexo],
IF($B33=DATOS_[AGRUP. CLAS. PROF.],
IF("Dentro"=DATOS_[Check Periodo Ref.],
1/(COUNTIFS(DATOS_[Sexo],$B34,DATOS_[AGRUP. CLAS. PROF.],$B33,DATOS_[Check Periodo Ref.],"Dentro",DATOS_[id/cod],DATOS_[id/cod]))))))</f>
        <v>0</v>
      </c>
      <c r="D34" s="168">
        <f>COUNTIFS(DATOS_[AGRUP. CLAS. PROF.],$B33,DATOS_[Sexo],$B34,DATOS_[Check Periodo Ref.],"Dentro")</f>
        <v>0</v>
      </c>
      <c r="E34" s="169">
        <f t="array" ref="E34">IFERROR(
AVERAGE(IF(DATOS_[Sexo]=$B34,IF(DATOS_[AGRUP. CLAS. PROF.]=$B33,IF(DATOS_[Check Periodo Ref.]="Dentro",DATOS_[SALARIO BASE Ef],FALSE)))),
0)</f>
        <v>0</v>
      </c>
      <c r="F34" s="170">
        <f t="array" ref="F34">IFERROR(
AVERAGE((IF(DATOS_[[Sexo]:[Sexo]]=$B34,IF(DATOS_[[AGRUP. CLAS. PROF.]:[AGRUP. CLAS. PROF.]]=$B33,IF(DATOS_[[Check Periodo Ref.]:[Check Periodo Ref.]]="Dentro",DATOS_[Conc.Sal.01]))))),
0)</f>
        <v>0</v>
      </c>
      <c r="G34" s="170">
        <f t="array" ref="G34">IFERROR(
AVERAGE((IF(DATOS_[[Sexo]:[Sexo]]=$B34,IF(DATOS_[[AGRUP. CLAS. PROF.]:[AGRUP. CLAS. PROF.]]=$B33,IF(DATOS_[[Check Periodo Ref.]:[Check Periodo Ref.]]="Dentro",DATOS_[Conc.Sal.02]))))),
0)</f>
        <v>0</v>
      </c>
      <c r="H34" s="170">
        <f t="array" ref="H34">IFERROR(
AVERAGE((IF(DATOS_[[Sexo]:[Sexo]]=$B34,IF(DATOS_[[AGRUP. CLAS. PROF.]:[AGRUP. CLAS. PROF.]]=$B33,IF(DATOS_[[Check Periodo Ref.]:[Check Periodo Ref.]]="Dentro",DATOS_[Conc.Sal.03]))))),
0)</f>
        <v>0</v>
      </c>
      <c r="I34" s="170">
        <f t="array" ref="I34">IFERROR(
AVERAGE((IF(DATOS_[[Sexo]:[Sexo]]=$B34,IF(DATOS_[[AGRUP. CLAS. PROF.]:[AGRUP. CLAS. PROF.]]=$B33,IF(DATOS_[[Check Periodo Ref.]:[Check Periodo Ref.]]="Dentro",DATOS_[Conc.Sal.04]))))),
0)</f>
        <v>0</v>
      </c>
      <c r="J34" s="170">
        <f t="array" ref="J34">IFERROR(
AVERAGE((IF(DATOS_[[Sexo]:[Sexo]]=$B34,IF(DATOS_[[AGRUP. CLAS. PROF.]:[AGRUP. CLAS. PROF.]]=$B33,IF(DATOS_[[Check Periodo Ref.]:[Check Periodo Ref.]]="Dentro",DATOS_[Conc.Sal.05]))))),
0)</f>
        <v>0</v>
      </c>
      <c r="K34" s="170">
        <f t="array" ref="K34">IFERROR(
AVERAGE((IF(DATOS_[[Sexo]:[Sexo]]=$B34,IF(DATOS_[[AGRUP. CLAS. PROF.]:[AGRUP. CLAS. PROF.]]=$B33,IF(DATOS_[[Check Periodo Ref.]:[Check Periodo Ref.]]="Dentro",DATOS_[Conc.Sal.06]))))),
0)</f>
        <v>0</v>
      </c>
      <c r="L34" s="170">
        <f t="array" ref="L34">IFERROR(
AVERAGE((IF(DATOS_[[Sexo]:[Sexo]]=$B34,IF(DATOS_[[AGRUP. CLAS. PROF.]:[AGRUP. CLAS. PROF.]]=$B33,IF(DATOS_[[Check Periodo Ref.]:[Check Periodo Ref.]]="Dentro",DATOS_[Conc.Sal.07]))))),
0)</f>
        <v>0</v>
      </c>
      <c r="M34" s="170">
        <f t="array" ref="M34">IFERROR(
AVERAGE((IF(DATOS_[[Sexo]:[Sexo]]=$B34,IF(DATOS_[[AGRUP. CLAS. PROF.]:[AGRUP. CLAS. PROF.]]=$B33,IF(DATOS_[[Check Periodo Ref.]:[Check Periodo Ref.]]="Dentro",DATOS_[Conc.Sal.08]))))),
0)</f>
        <v>0</v>
      </c>
      <c r="N34" s="170">
        <f t="array" ref="N34">IFERROR(
AVERAGE((IF(DATOS_[[Sexo]:[Sexo]]=$B34,IF(DATOS_[[AGRUP. CLAS. PROF.]:[AGRUP. CLAS. PROF.]]=$B33,IF(DATOS_[[Check Periodo Ref.]:[Check Periodo Ref.]]="Dentro",DATOS_[Conc.Sal.09]))))),
0)</f>
        <v>0</v>
      </c>
      <c r="O34" s="170">
        <f t="array" ref="O34">IFERROR(
AVERAGE((IF(DATOS_[[Sexo]:[Sexo]]=$B34,IF(DATOS_[[AGRUP. CLAS. PROF.]:[AGRUP. CLAS. PROF.]]=$B33,IF(DATOS_[[Check Periodo Ref.]:[Check Periodo Ref.]]="Dentro",DATOS_[Conc.Sal.10]))))),
0)</f>
        <v>0</v>
      </c>
      <c r="P34" s="170">
        <f t="array" ref="P34">IFERROR(
AVERAGE((IF(DATOS_[[Sexo]:[Sexo]]=$B34,IF(DATOS_[[AGRUP. CLAS. PROF.]:[AGRUP. CLAS. PROF.]]=$B33,IF(DATOS_[[Check Periodo Ref.]:[Check Periodo Ref.]]="Dentro",DATOS_[Conc.Sal.11]))))),
0)</f>
        <v>0</v>
      </c>
      <c r="Q34" s="170">
        <f t="array" ref="Q34">IFERROR(
AVERAGE((IF(DATOS_[[Sexo]:[Sexo]]=$B34,IF(DATOS_[[AGRUP. CLAS. PROF.]:[AGRUP. CLAS. PROF.]]=$B33,IF(DATOS_[[Check Periodo Ref.]:[Check Periodo Ref.]]="Dentro",DATOS_[Conc.Sal.12]))))),
0)</f>
        <v>0</v>
      </c>
      <c r="R34" s="170">
        <f t="array" ref="R34">IFERROR(
AVERAGE((IF(DATOS_[[Sexo]:[Sexo]]=$B34,IF(DATOS_[[AGRUP. CLAS. PROF.]:[AGRUP. CLAS. PROF.]]=$B33,IF(DATOS_[[Check Periodo Ref.]:[Check Periodo Ref.]]="Dentro",DATOS_[Conc.Sal.13]))))),
0)</f>
        <v>0</v>
      </c>
      <c r="S34" s="170">
        <f t="array" ref="S34">IFERROR(
AVERAGE((IF(DATOS_[[Sexo]:[Sexo]]=$B34,IF(DATOS_[[AGRUP. CLAS. PROF.]:[AGRUP. CLAS. PROF.]]=$B33,IF(DATOS_[[Check Periodo Ref.]:[Check Periodo Ref.]]="Dentro",DATOS_[Conc.Sal.14]))))),
0)</f>
        <v>0</v>
      </c>
      <c r="T34" s="170">
        <f t="array" ref="T34">IFERROR(
AVERAGE((IF(DATOS_[[Sexo]:[Sexo]]=$B34,IF(DATOS_[[AGRUP. CLAS. PROF.]:[AGRUP. CLAS. PROF.]]=$B33,IF(DATOS_[[Check Periodo Ref.]:[Check Periodo Ref.]]="Dentro",DATOS_[Conc.Sal.15]))))),
0)</f>
        <v>0</v>
      </c>
      <c r="U34" s="170">
        <f t="array" ref="U34">IFERROR(
AVERAGE((IF(DATOS_[[Sexo]:[Sexo]]=$B34,IF(DATOS_[[AGRUP. CLAS. PROF.]:[AGRUP. CLAS. PROF.]]=$B33,IF(DATOS_[[Check Periodo Ref.]:[Check Periodo Ref.]]="Dentro",DATOS_[Conc.Sal.16]))))),
0)</f>
        <v>0</v>
      </c>
      <c r="V34" s="170">
        <f t="array" ref="V34">IFERROR(
AVERAGE((IF(DATOS_[[Sexo]:[Sexo]]=$B34,IF(DATOS_[[AGRUP. CLAS. PROF.]:[AGRUP. CLAS. PROF.]]=$B33,IF(DATOS_[[Check Periodo Ref.]:[Check Periodo Ref.]]="Dentro",DATOS_[Conc.Sal.17]))))),
0)</f>
        <v>0</v>
      </c>
      <c r="W34" s="170">
        <f t="array" ref="W34">IFERROR(
AVERAGE((IF(DATOS_[[Sexo]:[Sexo]]=$B34,IF(DATOS_[[AGRUP. CLAS. PROF.]:[AGRUP. CLAS. PROF.]]=$B33,IF(DATOS_[[Check Periodo Ref.]:[Check Periodo Ref.]]="Dentro",DATOS_[Conc.Sal.18]))))),
0)</f>
        <v>0</v>
      </c>
      <c r="X34" s="170">
        <f t="array" ref="X34">IFERROR(
AVERAGE((IF(DATOS_[[Sexo]:[Sexo]]=$B34,IF(DATOS_[[AGRUP. CLAS. PROF.]:[AGRUP. CLAS. PROF.]]=$B33,IF(DATOS_[[Check Periodo Ref.]:[Check Periodo Ref.]]="Dentro",DATOS_[Conc.Sal.19]))))),
0)</f>
        <v>0</v>
      </c>
      <c r="Y34" s="170">
        <f t="array" ref="Y34">IFERROR(
AVERAGE((IF(DATOS_[[Sexo]:[Sexo]]=$B34,IF(DATOS_[[AGRUP. CLAS. PROF.]:[AGRUP. CLAS. PROF.]]=$B33,IF(DATOS_[[Check Periodo Ref.]:[Check Periodo Ref.]]="Dentro",DATOS_[Conc.Sal.20]))))),
0)</f>
        <v>0</v>
      </c>
      <c r="Z34" s="170">
        <f t="array" ref="Z34">IFERROR(
AVERAGE((IF(DATOS_[[Sexo]:[Sexo]]=$B34,IF(DATOS_[[AGRUP. CLAS. PROF.]:[AGRUP. CLAS. PROF.]]=$B33,IF(DATOS_[[Check Periodo Ref.]:[Check Periodo Ref.]]="Dentro",DATOS_[Conc.Sal.21]))))),
0)</f>
        <v>0</v>
      </c>
      <c r="AA34" s="170">
        <f t="array" ref="AA34">IFERROR(
AVERAGE((IF(DATOS_[[Sexo]:[Sexo]]=$B34,IF(DATOS_[[AGRUP. CLAS. PROF.]:[AGRUP. CLAS. PROF.]]=$B33,IF(DATOS_[[Check Periodo Ref.]:[Check Periodo Ref.]]="Dentro",DATOS_[Conc.Sal.22]))))),
0)</f>
        <v>0</v>
      </c>
      <c r="AB34" s="170">
        <f t="array" ref="AB34">IFERROR(
AVERAGE((IF(DATOS_[[Sexo]:[Sexo]]=$B34,IF(DATOS_[[AGRUP. CLAS. PROF.]:[AGRUP. CLAS. PROF.]]=$B33,IF(DATOS_[[Check Periodo Ref.]:[Check Periodo Ref.]]="Dentro",DATOS_[Conc.Sal.23]))))),
0)</f>
        <v>0</v>
      </c>
      <c r="AC34" s="170">
        <f t="array" ref="AC34">IFERROR(
AVERAGE((IF(DATOS_[[Sexo]:[Sexo]]=$B34,IF(DATOS_[[AGRUP. CLAS. PROF.]:[AGRUP. CLAS. PROF.]]=$B33,IF(DATOS_[[Check Periodo Ref.]:[Check Periodo Ref.]]="Dentro",DATOS_[Conc.Sal.24]))))),
0)</f>
        <v>0</v>
      </c>
      <c r="AD34" s="170">
        <f t="array" ref="AD34">IFERROR(
AVERAGE((IF(DATOS_[[Sexo]:[Sexo]]=$B34,IF(DATOS_[[AGRUP. CLAS. PROF.]:[AGRUP. CLAS. PROF.]]=$B33,IF(DATOS_[[Check Periodo Ref.]:[Check Periodo Ref.]]="Dentro",DATOS_[Conc.Sal.25]))))),
0)</f>
        <v>0</v>
      </c>
      <c r="AE34" s="170">
        <f t="array" ref="AE34">IFERROR(
AVERAGE((IF(DATOS_[[Sexo]:[Sexo]]=$B34,IF(DATOS_[[AGRUP. CLAS. PROF.]:[AGRUP. CLAS. PROF.]]=$B33,IF(DATOS_[[Check Periodo Ref.]:[Check Periodo Ref.]]="Dentro",DATOS_[Conc.Sal.26]))))),
0)</f>
        <v>0</v>
      </c>
      <c r="AF34" s="170">
        <f t="array" ref="AF34">IFERROR(
AVERAGE((IF(DATOS_[[Sexo]:[Sexo]]=$B34,IF(DATOS_[[AGRUP. CLAS. PROF.]:[AGRUP. CLAS. PROF.]]=$B33,IF(DATOS_[[Check Periodo Ref.]:[Check Periodo Ref.]]="Dentro",DATOS_[Conc.Sal.27]))))),
0)</f>
        <v>0</v>
      </c>
      <c r="AG34" s="170">
        <f t="array" ref="AG34">IFERROR(
AVERAGE((IF(DATOS_[[Sexo]:[Sexo]]=$B34,IF(DATOS_[[AGRUP. CLAS. PROF.]:[AGRUP. CLAS. PROF.]]=$B33,IF(DATOS_[[Check Periodo Ref.]:[Check Periodo Ref.]]="Dentro",DATOS_[Conc.Sal.28]))))),
0)</f>
        <v>0</v>
      </c>
      <c r="AH34" s="170">
        <f t="array" ref="AH34">IFERROR(
AVERAGE((IF(DATOS_[[Sexo]:[Sexo]]=$B34,IF(DATOS_[[AGRUP. CLAS. PROF.]:[AGRUP. CLAS. PROF.]]=$B33,IF(DATOS_[[Check Periodo Ref.]:[Check Periodo Ref.]]="Dentro",DATOS_[Conc.Sal.29]))))),
0)</f>
        <v>0</v>
      </c>
      <c r="AI34" s="170">
        <f t="array" ref="AI34">IFERROR(
AVERAGE((IF(DATOS_[[Sexo]:[Sexo]]=$B34,IF(DATOS_[[AGRUP. CLAS. PROF.]:[AGRUP. CLAS. PROF.]]=$B33,IF(DATOS_[[Check Periodo Ref.]:[Check Periodo Ref.]]="Dentro",DATOS_[Conc.Sal.30]))))),
0)</f>
        <v>0</v>
      </c>
      <c r="AJ34" s="171">
        <f t="array" ref="AJ34">IFERROR(
AVERAGE(IF(DATOS_[Sexo]=$B34,IF(DATOS_[AGRUP. CLAS. PROF.]=$B33,IF(DATOS_[Check Periodo Ref.]="Dentro",DATOS_[Tot COMPL.SAL Ef],FALSE)))),
0)</f>
        <v>0</v>
      </c>
      <c r="AK34" s="172">
        <f t="array" ref="AK34">IFERROR(
AVERAGE(IF(DATOS_[Sexo]=$B34,IF(DATOS_[AGRUP. CLAS. PROF.]=$B33,IF(DATOS_[Check Periodo Ref.]="Dentro",DATOS_[TOTAL SALARIO Ef],FALSE)))),
0)</f>
        <v>0</v>
      </c>
      <c r="AL34" s="173">
        <f t="array" ref="AL34">IFERROR(
AVERAGE((IF(DATOS_[[Sexo]:[Sexo]]=$B34,IF(DATOS_[[AGRUP. CLAS. PROF.]:[AGRUP. CLAS. PROF.]]=$B33,IF(DATOS_[[Check Periodo Ref.]:[Check Periodo Ref.]]="Dentro",DATOS_[C.Extra.01]))))),
0)</f>
        <v>0</v>
      </c>
      <c r="AM34" s="173">
        <f t="array" ref="AM34">IFERROR(
AVERAGE((IF(DATOS_[[Sexo]:[Sexo]]=$B34,IF(DATOS_[[AGRUP. CLAS. PROF.]:[AGRUP. CLAS. PROF.]]=$B33,IF(DATOS_[[Check Periodo Ref.]:[Check Periodo Ref.]]="Dentro",DATOS_[C.Extra.06]))))),
0)</f>
        <v>0</v>
      </c>
      <c r="AN34" s="173">
        <f t="array" ref="AN34">IFERROR(
AVERAGE((IF(DATOS_[[Sexo]:[Sexo]]=$B34,IF(DATOS_[[AGRUP. CLAS. PROF.]:[AGRUP. CLAS. PROF.]]=$B33,IF(DATOS_[[Check Periodo Ref.]:[Check Periodo Ref.]]="Dentro",DATOS_[C.Extra.07]))))),
0)</f>
        <v>0</v>
      </c>
      <c r="AO34" s="173">
        <f t="array" ref="AO34">IFERROR(
AVERAGE((IF(DATOS_[[Sexo]:[Sexo]]=$B34,IF(DATOS_[[AGRUP. CLAS. PROF.]:[AGRUP. CLAS. PROF.]]=$B33,IF(DATOS_[[Check Periodo Ref.]:[Check Periodo Ref.]]="Dentro",DATOS_[C.Extra.08]))))),
0)</f>
        <v>0</v>
      </c>
      <c r="AP34" s="173">
        <f t="array" ref="AP34">IFERROR(
AVERAGE((IF(DATOS_[[Sexo]:[Sexo]]=$B34,IF(DATOS_[[AGRUP. CLAS. PROF.]:[AGRUP. CLAS. PROF.]]=$B33,IF(DATOS_[[Check Periodo Ref.]:[Check Periodo Ref.]]="Dentro",DATOS_[C.Extra.11]))))),
0)</f>
        <v>0</v>
      </c>
      <c r="AQ34" s="174">
        <f t="array" ref="AQ34">IFERROR(
AVERAGE(IF(DATOS_[Sexo]=$B34,IF(DATOS_[AGRUP. CLAS. PROF.]=$B33,IF(DATOS_[Check Periodo Ref.]="Dentro",DATOS_[Tot Extrasalarial Ef],FALSE)))),
0)</f>
        <v>0</v>
      </c>
      <c r="AR34" s="171">
        <f t="array" ref="AR34">IFERROR(
AVERAGE(IF(DATOS_[Sexo]=$B34,IF(DATOS_[AGRUP. CLAS. PROF.]=$B33,IF(DATOS_[Check Periodo Ref.]="Dentro",DATOS_[TOTAL Retrib Ef],FALSE)))),
0)</f>
        <v>0</v>
      </c>
    </row>
    <row r="35" spans="1:44" x14ac:dyDescent="0.25">
      <c r="A35" s="152" t="str">
        <f t="shared" ref="A35" si="30">+A34</f>
        <v>[ocultar]</v>
      </c>
      <c r="B35" s="166" t="s">
        <v>521</v>
      </c>
      <c r="C35" s="167">
        <f t="array" ref="C35">SUM(IF($B35=DATOS_[Sexo],
IF($B33=DATOS_[AGRUP. CLAS. PROF.],
IF("Dentro"=DATOS_[Check Periodo Ref.],
1/(COUNTIFS(DATOS_[Sexo],$B35,DATOS_[AGRUP. CLAS. PROF.],$B33,DATOS_[Check Periodo Ref.],"Dentro",DATOS_[id/cod],DATOS_[id/cod]))))))</f>
        <v>0</v>
      </c>
      <c r="D35" s="168">
        <f>COUNTIFS(DATOS_[AGRUP. CLAS. PROF.],$B33,DATOS_[Sexo],$B35,DATOS_[Check Periodo Ref.],"Dentro")</f>
        <v>0</v>
      </c>
      <c r="E35" s="169">
        <f t="array" ref="E35">IFERROR(
AVERAGE(IF(DATOS_[Sexo]=$B35,IF(DATOS_[AGRUP. CLAS. PROF.]=$B33,IF(DATOS_[Check Periodo Ref.]="Dentro",DATOS_[SALARIO BASE Ef],FALSE)))),
0)</f>
        <v>0</v>
      </c>
      <c r="F35" s="170">
        <f t="array" ref="F35">IFERROR(
AVERAGE((IF(DATOS_[[Sexo]:[Sexo]]=$B35,IF(DATOS_[[AGRUP. CLAS. PROF.]:[AGRUP. CLAS. PROF.]]=$B33,IF(DATOS_[[Check Periodo Ref.]:[Check Periodo Ref.]]="Dentro",DATOS_[Conc.Sal.01]))))),
0)</f>
        <v>0</v>
      </c>
      <c r="G35" s="170">
        <f t="array" ref="G35">IFERROR(
AVERAGE((IF(DATOS_[[Sexo]:[Sexo]]=$B35,IF(DATOS_[[AGRUP. CLAS. PROF.]:[AGRUP. CLAS. PROF.]]=$B33,IF(DATOS_[[Check Periodo Ref.]:[Check Periodo Ref.]]="Dentro",DATOS_[Conc.Sal.02]))))),
0)</f>
        <v>0</v>
      </c>
      <c r="H35" s="170">
        <f t="array" ref="H35">IFERROR(
AVERAGE((IF(DATOS_[[Sexo]:[Sexo]]=$B35,IF(DATOS_[[AGRUP. CLAS. PROF.]:[AGRUP. CLAS. PROF.]]=$B33,IF(DATOS_[[Check Periodo Ref.]:[Check Periodo Ref.]]="Dentro",DATOS_[Conc.Sal.03]))))),
0)</f>
        <v>0</v>
      </c>
      <c r="I35" s="170">
        <f t="array" ref="I35">IFERROR(
AVERAGE((IF(DATOS_[[Sexo]:[Sexo]]=$B35,IF(DATOS_[[AGRUP. CLAS. PROF.]:[AGRUP. CLAS. PROF.]]=$B33,IF(DATOS_[[Check Periodo Ref.]:[Check Periodo Ref.]]="Dentro",DATOS_[Conc.Sal.04]))))),
0)</f>
        <v>0</v>
      </c>
      <c r="J35" s="170">
        <f t="array" ref="J35">IFERROR(
AVERAGE((IF(DATOS_[[Sexo]:[Sexo]]=$B35,IF(DATOS_[[AGRUP. CLAS. PROF.]:[AGRUP. CLAS. PROF.]]=$B33,IF(DATOS_[[Check Periodo Ref.]:[Check Periodo Ref.]]="Dentro",DATOS_[Conc.Sal.05]))))),
0)</f>
        <v>0</v>
      </c>
      <c r="K35" s="170">
        <f t="array" ref="K35">IFERROR(
AVERAGE((IF(DATOS_[[Sexo]:[Sexo]]=$B35,IF(DATOS_[[AGRUP. CLAS. PROF.]:[AGRUP. CLAS. PROF.]]=$B33,IF(DATOS_[[Check Periodo Ref.]:[Check Periodo Ref.]]="Dentro",DATOS_[Conc.Sal.06]))))),
0)</f>
        <v>0</v>
      </c>
      <c r="L35" s="170">
        <f t="array" ref="L35">IFERROR(
AVERAGE((IF(DATOS_[[Sexo]:[Sexo]]=$B35,IF(DATOS_[[AGRUP. CLAS. PROF.]:[AGRUP. CLAS. PROF.]]=$B33,IF(DATOS_[[Check Periodo Ref.]:[Check Periodo Ref.]]="Dentro",DATOS_[Conc.Sal.07]))))),
0)</f>
        <v>0</v>
      </c>
      <c r="M35" s="170">
        <f t="array" ref="M35">IFERROR(
AVERAGE((IF(DATOS_[[Sexo]:[Sexo]]=$B35,IF(DATOS_[[AGRUP. CLAS. PROF.]:[AGRUP. CLAS. PROF.]]=$B33,IF(DATOS_[[Check Periodo Ref.]:[Check Periodo Ref.]]="Dentro",DATOS_[Conc.Sal.08]))))),
0)</f>
        <v>0</v>
      </c>
      <c r="N35" s="170">
        <f t="array" ref="N35">IFERROR(
AVERAGE((IF(DATOS_[[Sexo]:[Sexo]]=$B35,IF(DATOS_[[AGRUP. CLAS. PROF.]:[AGRUP. CLAS. PROF.]]=$B33,IF(DATOS_[[Check Periodo Ref.]:[Check Periodo Ref.]]="Dentro",DATOS_[Conc.Sal.09]))))),
0)</f>
        <v>0</v>
      </c>
      <c r="O35" s="170">
        <f t="array" ref="O35">IFERROR(
AVERAGE((IF(DATOS_[[Sexo]:[Sexo]]=$B35,IF(DATOS_[[AGRUP. CLAS. PROF.]:[AGRUP. CLAS. PROF.]]=$B33,IF(DATOS_[[Check Periodo Ref.]:[Check Periodo Ref.]]="Dentro",DATOS_[Conc.Sal.10]))))),
0)</f>
        <v>0</v>
      </c>
      <c r="P35" s="170">
        <f t="array" ref="P35">IFERROR(
AVERAGE((IF(DATOS_[[Sexo]:[Sexo]]=$B35,IF(DATOS_[[AGRUP. CLAS. PROF.]:[AGRUP. CLAS. PROF.]]=$B33,IF(DATOS_[[Check Periodo Ref.]:[Check Periodo Ref.]]="Dentro",DATOS_[Conc.Sal.11]))))),
0)</f>
        <v>0</v>
      </c>
      <c r="Q35" s="170">
        <f t="array" ref="Q35">IFERROR(
AVERAGE((IF(DATOS_[[Sexo]:[Sexo]]=$B35,IF(DATOS_[[AGRUP. CLAS. PROF.]:[AGRUP. CLAS. PROF.]]=$B33,IF(DATOS_[[Check Periodo Ref.]:[Check Periodo Ref.]]="Dentro",DATOS_[Conc.Sal.12]))))),
0)</f>
        <v>0</v>
      </c>
      <c r="R35" s="170">
        <f t="array" ref="R35">IFERROR(
AVERAGE((IF(DATOS_[[Sexo]:[Sexo]]=$B35,IF(DATOS_[[AGRUP. CLAS. PROF.]:[AGRUP. CLAS. PROF.]]=$B33,IF(DATOS_[[Check Periodo Ref.]:[Check Periodo Ref.]]="Dentro",DATOS_[Conc.Sal.13]))))),
0)</f>
        <v>0</v>
      </c>
      <c r="S35" s="170">
        <f t="array" ref="S35">IFERROR(
AVERAGE((IF(DATOS_[[Sexo]:[Sexo]]=$B35,IF(DATOS_[[AGRUP. CLAS. PROF.]:[AGRUP. CLAS. PROF.]]=$B33,IF(DATOS_[[Check Periodo Ref.]:[Check Periodo Ref.]]="Dentro",DATOS_[Conc.Sal.14]))))),
0)</f>
        <v>0</v>
      </c>
      <c r="T35" s="170">
        <f t="array" ref="T35">IFERROR(
AVERAGE((IF(DATOS_[[Sexo]:[Sexo]]=$B35,IF(DATOS_[[AGRUP. CLAS. PROF.]:[AGRUP. CLAS. PROF.]]=$B33,IF(DATOS_[[Check Periodo Ref.]:[Check Periodo Ref.]]="Dentro",DATOS_[Conc.Sal.15]))))),
0)</f>
        <v>0</v>
      </c>
      <c r="U35" s="170">
        <f t="array" ref="U35">IFERROR(
AVERAGE((IF(DATOS_[[Sexo]:[Sexo]]=$B35,IF(DATOS_[[AGRUP. CLAS. PROF.]:[AGRUP. CLAS. PROF.]]=$B33,IF(DATOS_[[Check Periodo Ref.]:[Check Periodo Ref.]]="Dentro",DATOS_[Conc.Sal.16]))))),
0)</f>
        <v>0</v>
      </c>
      <c r="V35" s="170">
        <f t="array" ref="V35">IFERROR(
AVERAGE((IF(DATOS_[[Sexo]:[Sexo]]=$B35,IF(DATOS_[[AGRUP. CLAS. PROF.]:[AGRUP. CLAS. PROF.]]=$B33,IF(DATOS_[[Check Periodo Ref.]:[Check Periodo Ref.]]="Dentro",DATOS_[Conc.Sal.17]))))),
0)</f>
        <v>0</v>
      </c>
      <c r="W35" s="170">
        <f t="array" ref="W35">IFERROR(
AVERAGE((IF(DATOS_[[Sexo]:[Sexo]]=$B35,IF(DATOS_[[AGRUP. CLAS. PROF.]:[AGRUP. CLAS. PROF.]]=$B33,IF(DATOS_[[Check Periodo Ref.]:[Check Periodo Ref.]]="Dentro",DATOS_[Conc.Sal.18]))))),
0)</f>
        <v>0</v>
      </c>
      <c r="X35" s="170">
        <f t="array" ref="X35">IFERROR(
AVERAGE((IF(DATOS_[[Sexo]:[Sexo]]=$B35,IF(DATOS_[[AGRUP. CLAS. PROF.]:[AGRUP. CLAS. PROF.]]=$B33,IF(DATOS_[[Check Periodo Ref.]:[Check Periodo Ref.]]="Dentro",DATOS_[Conc.Sal.19]))))),
0)</f>
        <v>0</v>
      </c>
      <c r="Y35" s="170">
        <f t="array" ref="Y35">IFERROR(
AVERAGE((IF(DATOS_[[Sexo]:[Sexo]]=$B35,IF(DATOS_[[AGRUP. CLAS. PROF.]:[AGRUP. CLAS. PROF.]]=$B33,IF(DATOS_[[Check Periodo Ref.]:[Check Periodo Ref.]]="Dentro",DATOS_[Conc.Sal.20]))))),
0)</f>
        <v>0</v>
      </c>
      <c r="Z35" s="170">
        <f t="array" ref="Z35">IFERROR(
AVERAGE((IF(DATOS_[[Sexo]:[Sexo]]=$B35,IF(DATOS_[[AGRUP. CLAS. PROF.]:[AGRUP. CLAS. PROF.]]=$B33,IF(DATOS_[[Check Periodo Ref.]:[Check Periodo Ref.]]="Dentro",DATOS_[Conc.Sal.21]))))),
0)</f>
        <v>0</v>
      </c>
      <c r="AA35" s="170">
        <f t="array" ref="AA35">IFERROR(
AVERAGE((IF(DATOS_[[Sexo]:[Sexo]]=$B35,IF(DATOS_[[AGRUP. CLAS. PROF.]:[AGRUP. CLAS. PROF.]]=$B33,IF(DATOS_[[Check Periodo Ref.]:[Check Periodo Ref.]]="Dentro",DATOS_[Conc.Sal.22]))))),
0)</f>
        <v>0</v>
      </c>
      <c r="AB35" s="170">
        <f t="array" ref="AB35">IFERROR(
AVERAGE((IF(DATOS_[[Sexo]:[Sexo]]=$B35,IF(DATOS_[[AGRUP. CLAS. PROF.]:[AGRUP. CLAS. PROF.]]=$B33,IF(DATOS_[[Check Periodo Ref.]:[Check Periodo Ref.]]="Dentro",DATOS_[Conc.Sal.23]))))),
0)</f>
        <v>0</v>
      </c>
      <c r="AC35" s="170">
        <f t="array" ref="AC35">IFERROR(
AVERAGE((IF(DATOS_[[Sexo]:[Sexo]]=$B35,IF(DATOS_[[AGRUP. CLAS. PROF.]:[AGRUP. CLAS. PROF.]]=$B33,IF(DATOS_[[Check Periodo Ref.]:[Check Periodo Ref.]]="Dentro",DATOS_[Conc.Sal.24]))))),
0)</f>
        <v>0</v>
      </c>
      <c r="AD35" s="170">
        <f t="array" ref="AD35">IFERROR(
AVERAGE((IF(DATOS_[[Sexo]:[Sexo]]=$B35,IF(DATOS_[[AGRUP. CLAS. PROF.]:[AGRUP. CLAS. PROF.]]=$B33,IF(DATOS_[[Check Periodo Ref.]:[Check Periodo Ref.]]="Dentro",DATOS_[Conc.Sal.25]))))),
0)</f>
        <v>0</v>
      </c>
      <c r="AE35" s="170">
        <f t="array" ref="AE35">IFERROR(
AVERAGE((IF(DATOS_[[Sexo]:[Sexo]]=$B35,IF(DATOS_[[AGRUP. CLAS. PROF.]:[AGRUP. CLAS. PROF.]]=$B33,IF(DATOS_[[Check Periodo Ref.]:[Check Periodo Ref.]]="Dentro",DATOS_[Conc.Sal.26]))))),
0)</f>
        <v>0</v>
      </c>
      <c r="AF35" s="170">
        <f t="array" ref="AF35">IFERROR(
AVERAGE((IF(DATOS_[[Sexo]:[Sexo]]=$B35,IF(DATOS_[[AGRUP. CLAS. PROF.]:[AGRUP. CLAS. PROF.]]=$B33,IF(DATOS_[[Check Periodo Ref.]:[Check Periodo Ref.]]="Dentro",DATOS_[Conc.Sal.27]))))),
0)</f>
        <v>0</v>
      </c>
      <c r="AG35" s="170">
        <f t="array" ref="AG35">IFERROR(
AVERAGE((IF(DATOS_[[Sexo]:[Sexo]]=$B35,IF(DATOS_[[AGRUP. CLAS. PROF.]:[AGRUP. CLAS. PROF.]]=$B33,IF(DATOS_[[Check Periodo Ref.]:[Check Periodo Ref.]]="Dentro",DATOS_[Conc.Sal.28]))))),
0)</f>
        <v>0</v>
      </c>
      <c r="AH35" s="170">
        <f t="array" ref="AH35">IFERROR(
AVERAGE((IF(DATOS_[[Sexo]:[Sexo]]=$B35,IF(DATOS_[[AGRUP. CLAS. PROF.]:[AGRUP. CLAS. PROF.]]=$B33,IF(DATOS_[[Check Periodo Ref.]:[Check Periodo Ref.]]="Dentro",DATOS_[Conc.Sal.29]))))),
0)</f>
        <v>0</v>
      </c>
      <c r="AI35" s="170">
        <f t="array" ref="AI35">IFERROR(
AVERAGE((IF(DATOS_[[Sexo]:[Sexo]]=$B35,IF(DATOS_[[AGRUP. CLAS. PROF.]:[AGRUP. CLAS. PROF.]]=$B33,IF(DATOS_[[Check Periodo Ref.]:[Check Periodo Ref.]]="Dentro",DATOS_[Conc.Sal.30]))))),
0)</f>
        <v>0</v>
      </c>
      <c r="AJ35" s="171">
        <f t="array" ref="AJ35">IFERROR(
AVERAGE(IF(DATOS_[Sexo]=$B35,IF(DATOS_[AGRUP. CLAS. PROF.]=$B33,IF(DATOS_[Check Periodo Ref.]="Dentro",DATOS_[Tot COMPL.SAL Ef],FALSE)))),
0)</f>
        <v>0</v>
      </c>
      <c r="AK35" s="172">
        <f t="array" ref="AK35">IFERROR(
AVERAGE(IF(DATOS_[Sexo]=$B35,IF(DATOS_[AGRUP. CLAS. PROF.]=$B33,IF(DATOS_[Check Periodo Ref.]="Dentro",DATOS_[TOTAL SALARIO Ef],FALSE)))),
0)</f>
        <v>0</v>
      </c>
      <c r="AL35" s="173">
        <f t="array" ref="AL35">IFERROR(
AVERAGE((IF(DATOS_[[Sexo]:[Sexo]]=$B35,IF(DATOS_[[AGRUP. CLAS. PROF.]:[AGRUP. CLAS. PROF.]]=$B33,IF(DATOS_[[Check Periodo Ref.]:[Check Periodo Ref.]]="Dentro",DATOS_[C.Extra.01]))))),
0)</f>
        <v>0</v>
      </c>
      <c r="AM35" s="173">
        <f t="array" ref="AM35">IFERROR(
AVERAGE((IF(DATOS_[[Sexo]:[Sexo]]=$B35,IF(DATOS_[[AGRUP. CLAS. PROF.]:[AGRUP. CLAS. PROF.]]=$B33,IF(DATOS_[[Check Periodo Ref.]:[Check Periodo Ref.]]="Dentro",DATOS_[C.Extra.06]))))),
0)</f>
        <v>0</v>
      </c>
      <c r="AN35" s="173">
        <f t="array" ref="AN35">IFERROR(
AVERAGE((IF(DATOS_[[Sexo]:[Sexo]]=$B35,IF(DATOS_[[AGRUP. CLAS. PROF.]:[AGRUP. CLAS. PROF.]]=$B33,IF(DATOS_[[Check Periodo Ref.]:[Check Periodo Ref.]]="Dentro",DATOS_[C.Extra.07]))))),
0)</f>
        <v>0</v>
      </c>
      <c r="AO35" s="173">
        <f t="array" ref="AO35">IFERROR(
AVERAGE((IF(DATOS_[[Sexo]:[Sexo]]=$B35,IF(DATOS_[[AGRUP. CLAS. PROF.]:[AGRUP. CLAS. PROF.]]=$B33,IF(DATOS_[[Check Periodo Ref.]:[Check Periodo Ref.]]="Dentro",DATOS_[C.Extra.08]))))),
0)</f>
        <v>0</v>
      </c>
      <c r="AP35" s="173">
        <f t="array" ref="AP35">IFERROR(
AVERAGE((IF(DATOS_[[Sexo]:[Sexo]]=$B35,IF(DATOS_[[AGRUP. CLAS. PROF.]:[AGRUP. CLAS. PROF.]]=$B33,IF(DATOS_[[Check Periodo Ref.]:[Check Periodo Ref.]]="Dentro",DATOS_[C.Extra.11]))))),
0)</f>
        <v>0</v>
      </c>
      <c r="AQ35" s="174">
        <f t="array" ref="AQ35">IFERROR(
AVERAGE(IF(DATOS_[Sexo]=$B35,IF(DATOS_[AGRUP. CLAS. PROF.]=$B33,IF(DATOS_[Check Periodo Ref.]="Dentro",DATOS_[Tot Extrasalarial Ef],FALSE)))),
0)</f>
        <v>0</v>
      </c>
      <c r="AR35" s="171">
        <f t="array" ref="AR35">IFERROR(
AVERAGE(IF(DATOS_[Sexo]=$B35,IF(DATOS_[AGRUP. CLAS. PROF.]=$B33,IF(DATOS_[Check Periodo Ref.]="Dentro",DATOS_[TOTAL Retrib Ef],FALSE)))),
0)</f>
        <v>0</v>
      </c>
    </row>
    <row r="36" spans="1:44" s="152" customFormat="1" ht="14.4" thickBot="1" x14ac:dyDescent="0.3">
      <c r="A36" s="152" t="str">
        <f t="shared" ref="A36" si="31">+A37</f>
        <v>[ocultar]</v>
      </c>
      <c r="B36" s="153" t="s">
        <v>203</v>
      </c>
      <c r="C36" s="154"/>
      <c r="D36" s="155"/>
      <c r="E36" s="156" t="str">
        <f t="shared" ref="E36:AR36" si="32">IFERROR((E37-E38)/E37,"")</f>
        <v/>
      </c>
      <c r="F36" s="157" t="str">
        <f t="shared" si="32"/>
        <v/>
      </c>
      <c r="G36" s="158" t="str">
        <f t="shared" si="32"/>
        <v/>
      </c>
      <c r="H36" s="158" t="str">
        <f t="shared" si="32"/>
        <v/>
      </c>
      <c r="I36" s="158" t="str">
        <f t="shared" si="32"/>
        <v/>
      </c>
      <c r="J36" s="159" t="str">
        <f t="shared" si="32"/>
        <v/>
      </c>
      <c r="K36" s="160" t="str">
        <f t="shared" si="32"/>
        <v/>
      </c>
      <c r="L36" s="160" t="str">
        <f t="shared" si="32"/>
        <v/>
      </c>
      <c r="M36" s="160" t="str">
        <f t="shared" si="32"/>
        <v/>
      </c>
      <c r="N36" s="160" t="str">
        <f t="shared" si="32"/>
        <v/>
      </c>
      <c r="O36" s="160" t="str">
        <f t="shared" si="32"/>
        <v/>
      </c>
      <c r="P36" s="160" t="str">
        <f t="shared" si="32"/>
        <v/>
      </c>
      <c r="Q36" s="160" t="str">
        <f t="shared" si="32"/>
        <v/>
      </c>
      <c r="R36" s="160" t="str">
        <f t="shared" si="32"/>
        <v/>
      </c>
      <c r="S36" s="160" t="str">
        <f t="shared" si="32"/>
        <v/>
      </c>
      <c r="T36" s="160" t="str">
        <f t="shared" si="32"/>
        <v/>
      </c>
      <c r="U36" s="160" t="str">
        <f t="shared" si="32"/>
        <v/>
      </c>
      <c r="V36" s="159" t="str">
        <f t="shared" si="32"/>
        <v/>
      </c>
      <c r="W36" s="159" t="str">
        <f t="shared" si="32"/>
        <v/>
      </c>
      <c r="X36" s="159" t="str">
        <f t="shared" si="32"/>
        <v/>
      </c>
      <c r="Y36" s="159" t="str">
        <f t="shared" si="32"/>
        <v/>
      </c>
      <c r="Z36" s="159" t="str">
        <f t="shared" si="32"/>
        <v/>
      </c>
      <c r="AA36" s="159" t="str">
        <f t="shared" si="32"/>
        <v/>
      </c>
      <c r="AB36" s="159" t="str">
        <f t="shared" si="32"/>
        <v/>
      </c>
      <c r="AC36" s="159" t="str">
        <f t="shared" si="32"/>
        <v/>
      </c>
      <c r="AD36" s="159" t="str">
        <f t="shared" si="32"/>
        <v/>
      </c>
      <c r="AE36" s="159" t="str">
        <f t="shared" si="32"/>
        <v/>
      </c>
      <c r="AF36" s="159" t="str">
        <f t="shared" si="32"/>
        <v/>
      </c>
      <c r="AG36" s="159" t="str">
        <f t="shared" si="32"/>
        <v/>
      </c>
      <c r="AH36" s="159" t="str">
        <f t="shared" si="32"/>
        <v/>
      </c>
      <c r="AI36" s="159" t="str">
        <f t="shared" si="32"/>
        <v/>
      </c>
      <c r="AJ36" s="161" t="str">
        <f t="shared" si="32"/>
        <v/>
      </c>
      <c r="AK36" s="162" t="str">
        <f t="shared" si="32"/>
        <v/>
      </c>
      <c r="AL36" s="163" t="str">
        <f t="shared" si="32"/>
        <v/>
      </c>
      <c r="AM36" s="163" t="str">
        <f t="shared" si="32"/>
        <v/>
      </c>
      <c r="AN36" s="163" t="str">
        <f t="shared" si="32"/>
        <v/>
      </c>
      <c r="AO36" s="163" t="str">
        <f t="shared" si="32"/>
        <v/>
      </c>
      <c r="AP36" s="163" t="str">
        <f t="shared" si="32"/>
        <v/>
      </c>
      <c r="AQ36" s="164" t="str">
        <f t="shared" si="32"/>
        <v/>
      </c>
      <c r="AR36" s="161" t="str">
        <f t="shared" si="32"/>
        <v/>
      </c>
    </row>
    <row r="37" spans="1:44" x14ac:dyDescent="0.25">
      <c r="A37" s="152" t="str">
        <f t="shared" ref="A37" si="33">+IF(C37+C38=0,"[ocultar]","")</f>
        <v>[ocultar]</v>
      </c>
      <c r="B37" s="166" t="s">
        <v>394</v>
      </c>
      <c r="C37" s="167">
        <f t="array" ref="C37">SUM(IF($B37=DATOS_[Sexo],
IF($B36=DATOS_[AGRUP. CLAS. PROF.],
IF("Dentro"=DATOS_[Check Periodo Ref.],
1/(COUNTIFS(DATOS_[Sexo],$B37,DATOS_[AGRUP. CLAS. PROF.],$B36,DATOS_[Check Periodo Ref.],"Dentro",DATOS_[id/cod],DATOS_[id/cod]))))))</f>
        <v>0</v>
      </c>
      <c r="D37" s="168">
        <f>COUNTIFS(DATOS_[AGRUP. CLAS. PROF.],$B36,DATOS_[Sexo],$B37,DATOS_[Check Periodo Ref.],"Dentro")</f>
        <v>0</v>
      </c>
      <c r="E37" s="169">
        <f t="array" ref="E37">IFERROR(
AVERAGE(IF(DATOS_[Sexo]=$B37,IF(DATOS_[AGRUP. CLAS. PROF.]=$B36,IF(DATOS_[Check Periodo Ref.]="Dentro",DATOS_[SALARIO BASE Ef],FALSE)))),
0)</f>
        <v>0</v>
      </c>
      <c r="F37" s="170">
        <f t="array" ref="F37">IFERROR(
AVERAGE((IF(DATOS_[[Sexo]:[Sexo]]=$B37,IF(DATOS_[[AGRUP. CLAS. PROF.]:[AGRUP. CLAS. PROF.]]=$B36,IF(DATOS_[[Check Periodo Ref.]:[Check Periodo Ref.]]="Dentro",DATOS_[Conc.Sal.01]))))),
0)</f>
        <v>0</v>
      </c>
      <c r="G37" s="170">
        <f t="array" ref="G37">IFERROR(
AVERAGE((IF(DATOS_[[Sexo]:[Sexo]]=$B37,IF(DATOS_[[AGRUP. CLAS. PROF.]:[AGRUP. CLAS. PROF.]]=$B36,IF(DATOS_[[Check Periodo Ref.]:[Check Periodo Ref.]]="Dentro",DATOS_[Conc.Sal.02]))))),
0)</f>
        <v>0</v>
      </c>
      <c r="H37" s="170">
        <f t="array" ref="H37">IFERROR(
AVERAGE((IF(DATOS_[[Sexo]:[Sexo]]=$B37,IF(DATOS_[[AGRUP. CLAS. PROF.]:[AGRUP. CLAS. PROF.]]=$B36,IF(DATOS_[[Check Periodo Ref.]:[Check Periodo Ref.]]="Dentro",DATOS_[Conc.Sal.03]))))),
0)</f>
        <v>0</v>
      </c>
      <c r="I37" s="170">
        <f t="array" ref="I37">IFERROR(
AVERAGE((IF(DATOS_[[Sexo]:[Sexo]]=$B37,IF(DATOS_[[AGRUP. CLAS. PROF.]:[AGRUP. CLAS. PROF.]]=$B36,IF(DATOS_[[Check Periodo Ref.]:[Check Periodo Ref.]]="Dentro",DATOS_[Conc.Sal.04]))))),
0)</f>
        <v>0</v>
      </c>
      <c r="J37" s="170">
        <f t="array" ref="J37">IFERROR(
AVERAGE((IF(DATOS_[[Sexo]:[Sexo]]=$B37,IF(DATOS_[[AGRUP. CLAS. PROF.]:[AGRUP. CLAS. PROF.]]=$B36,IF(DATOS_[[Check Periodo Ref.]:[Check Periodo Ref.]]="Dentro",DATOS_[Conc.Sal.05]))))),
0)</f>
        <v>0</v>
      </c>
      <c r="K37" s="170">
        <f t="array" ref="K37">IFERROR(
AVERAGE((IF(DATOS_[[Sexo]:[Sexo]]=$B37,IF(DATOS_[[AGRUP. CLAS. PROF.]:[AGRUP. CLAS. PROF.]]=$B36,IF(DATOS_[[Check Periodo Ref.]:[Check Periodo Ref.]]="Dentro",DATOS_[Conc.Sal.06]))))),
0)</f>
        <v>0</v>
      </c>
      <c r="L37" s="170">
        <f t="array" ref="L37">IFERROR(
AVERAGE((IF(DATOS_[[Sexo]:[Sexo]]=$B37,IF(DATOS_[[AGRUP. CLAS. PROF.]:[AGRUP. CLAS. PROF.]]=$B36,IF(DATOS_[[Check Periodo Ref.]:[Check Periodo Ref.]]="Dentro",DATOS_[Conc.Sal.07]))))),
0)</f>
        <v>0</v>
      </c>
      <c r="M37" s="170">
        <f t="array" ref="M37">IFERROR(
AVERAGE((IF(DATOS_[[Sexo]:[Sexo]]=$B37,IF(DATOS_[[AGRUP. CLAS. PROF.]:[AGRUP. CLAS. PROF.]]=$B36,IF(DATOS_[[Check Periodo Ref.]:[Check Periodo Ref.]]="Dentro",DATOS_[Conc.Sal.08]))))),
0)</f>
        <v>0</v>
      </c>
      <c r="N37" s="170">
        <f t="array" ref="N37">IFERROR(
AVERAGE((IF(DATOS_[[Sexo]:[Sexo]]=$B37,IF(DATOS_[[AGRUP. CLAS. PROF.]:[AGRUP. CLAS. PROF.]]=$B36,IF(DATOS_[[Check Periodo Ref.]:[Check Periodo Ref.]]="Dentro",DATOS_[Conc.Sal.09]))))),
0)</f>
        <v>0</v>
      </c>
      <c r="O37" s="170">
        <f t="array" ref="O37">IFERROR(
AVERAGE((IF(DATOS_[[Sexo]:[Sexo]]=$B37,IF(DATOS_[[AGRUP. CLAS. PROF.]:[AGRUP. CLAS. PROF.]]=$B36,IF(DATOS_[[Check Periodo Ref.]:[Check Periodo Ref.]]="Dentro",DATOS_[Conc.Sal.10]))))),
0)</f>
        <v>0</v>
      </c>
      <c r="P37" s="170">
        <f t="array" ref="P37">IFERROR(
AVERAGE((IF(DATOS_[[Sexo]:[Sexo]]=$B37,IF(DATOS_[[AGRUP. CLAS. PROF.]:[AGRUP. CLAS. PROF.]]=$B36,IF(DATOS_[[Check Periodo Ref.]:[Check Periodo Ref.]]="Dentro",DATOS_[Conc.Sal.11]))))),
0)</f>
        <v>0</v>
      </c>
      <c r="Q37" s="170">
        <f t="array" ref="Q37">IFERROR(
AVERAGE((IF(DATOS_[[Sexo]:[Sexo]]=$B37,IF(DATOS_[[AGRUP. CLAS. PROF.]:[AGRUP. CLAS. PROF.]]=$B36,IF(DATOS_[[Check Periodo Ref.]:[Check Periodo Ref.]]="Dentro",DATOS_[Conc.Sal.12]))))),
0)</f>
        <v>0</v>
      </c>
      <c r="R37" s="170">
        <f t="array" ref="R37">IFERROR(
AVERAGE((IF(DATOS_[[Sexo]:[Sexo]]=$B37,IF(DATOS_[[AGRUP. CLAS. PROF.]:[AGRUP. CLAS. PROF.]]=$B36,IF(DATOS_[[Check Periodo Ref.]:[Check Periodo Ref.]]="Dentro",DATOS_[Conc.Sal.13]))))),
0)</f>
        <v>0</v>
      </c>
      <c r="S37" s="170">
        <f t="array" ref="S37">IFERROR(
AVERAGE((IF(DATOS_[[Sexo]:[Sexo]]=$B37,IF(DATOS_[[AGRUP. CLAS. PROF.]:[AGRUP. CLAS. PROF.]]=$B36,IF(DATOS_[[Check Periodo Ref.]:[Check Periodo Ref.]]="Dentro",DATOS_[Conc.Sal.14]))))),
0)</f>
        <v>0</v>
      </c>
      <c r="T37" s="170">
        <f t="array" ref="T37">IFERROR(
AVERAGE((IF(DATOS_[[Sexo]:[Sexo]]=$B37,IF(DATOS_[[AGRUP. CLAS. PROF.]:[AGRUP. CLAS. PROF.]]=$B36,IF(DATOS_[[Check Periodo Ref.]:[Check Periodo Ref.]]="Dentro",DATOS_[Conc.Sal.15]))))),
0)</f>
        <v>0</v>
      </c>
      <c r="U37" s="170">
        <f t="array" ref="U37">IFERROR(
AVERAGE((IF(DATOS_[[Sexo]:[Sexo]]=$B37,IF(DATOS_[[AGRUP. CLAS. PROF.]:[AGRUP. CLAS. PROF.]]=$B36,IF(DATOS_[[Check Periodo Ref.]:[Check Periodo Ref.]]="Dentro",DATOS_[Conc.Sal.16]))))),
0)</f>
        <v>0</v>
      </c>
      <c r="V37" s="170">
        <f t="array" ref="V37">IFERROR(
AVERAGE((IF(DATOS_[[Sexo]:[Sexo]]=$B37,IF(DATOS_[[AGRUP. CLAS. PROF.]:[AGRUP. CLAS. PROF.]]=$B36,IF(DATOS_[[Check Periodo Ref.]:[Check Periodo Ref.]]="Dentro",DATOS_[Conc.Sal.17]))))),
0)</f>
        <v>0</v>
      </c>
      <c r="W37" s="170">
        <f t="array" ref="W37">IFERROR(
AVERAGE((IF(DATOS_[[Sexo]:[Sexo]]=$B37,IF(DATOS_[[AGRUP. CLAS. PROF.]:[AGRUP. CLAS. PROF.]]=$B36,IF(DATOS_[[Check Periodo Ref.]:[Check Periodo Ref.]]="Dentro",DATOS_[Conc.Sal.18]))))),
0)</f>
        <v>0</v>
      </c>
      <c r="X37" s="170">
        <f t="array" ref="X37">IFERROR(
AVERAGE((IF(DATOS_[[Sexo]:[Sexo]]=$B37,IF(DATOS_[[AGRUP. CLAS. PROF.]:[AGRUP. CLAS. PROF.]]=$B36,IF(DATOS_[[Check Periodo Ref.]:[Check Periodo Ref.]]="Dentro",DATOS_[Conc.Sal.19]))))),
0)</f>
        <v>0</v>
      </c>
      <c r="Y37" s="170">
        <f t="array" ref="Y37">IFERROR(
AVERAGE((IF(DATOS_[[Sexo]:[Sexo]]=$B37,IF(DATOS_[[AGRUP. CLAS. PROF.]:[AGRUP. CLAS. PROF.]]=$B36,IF(DATOS_[[Check Periodo Ref.]:[Check Periodo Ref.]]="Dentro",DATOS_[Conc.Sal.20]))))),
0)</f>
        <v>0</v>
      </c>
      <c r="Z37" s="170">
        <f t="array" ref="Z37">IFERROR(
AVERAGE((IF(DATOS_[[Sexo]:[Sexo]]=$B37,IF(DATOS_[[AGRUP. CLAS. PROF.]:[AGRUP. CLAS. PROF.]]=$B36,IF(DATOS_[[Check Periodo Ref.]:[Check Periodo Ref.]]="Dentro",DATOS_[Conc.Sal.21]))))),
0)</f>
        <v>0</v>
      </c>
      <c r="AA37" s="170">
        <f t="array" ref="AA37">IFERROR(
AVERAGE((IF(DATOS_[[Sexo]:[Sexo]]=$B37,IF(DATOS_[[AGRUP. CLAS. PROF.]:[AGRUP. CLAS. PROF.]]=$B36,IF(DATOS_[[Check Periodo Ref.]:[Check Periodo Ref.]]="Dentro",DATOS_[Conc.Sal.22]))))),
0)</f>
        <v>0</v>
      </c>
      <c r="AB37" s="170">
        <f t="array" ref="AB37">IFERROR(
AVERAGE((IF(DATOS_[[Sexo]:[Sexo]]=$B37,IF(DATOS_[[AGRUP. CLAS. PROF.]:[AGRUP. CLAS. PROF.]]=$B36,IF(DATOS_[[Check Periodo Ref.]:[Check Periodo Ref.]]="Dentro",DATOS_[Conc.Sal.23]))))),
0)</f>
        <v>0</v>
      </c>
      <c r="AC37" s="170">
        <f t="array" ref="AC37">IFERROR(
AVERAGE((IF(DATOS_[[Sexo]:[Sexo]]=$B37,IF(DATOS_[[AGRUP. CLAS. PROF.]:[AGRUP. CLAS. PROF.]]=$B36,IF(DATOS_[[Check Periodo Ref.]:[Check Periodo Ref.]]="Dentro",DATOS_[Conc.Sal.24]))))),
0)</f>
        <v>0</v>
      </c>
      <c r="AD37" s="170">
        <f t="array" ref="AD37">IFERROR(
AVERAGE((IF(DATOS_[[Sexo]:[Sexo]]=$B37,IF(DATOS_[[AGRUP. CLAS. PROF.]:[AGRUP. CLAS. PROF.]]=$B36,IF(DATOS_[[Check Periodo Ref.]:[Check Periodo Ref.]]="Dentro",DATOS_[Conc.Sal.25]))))),
0)</f>
        <v>0</v>
      </c>
      <c r="AE37" s="170">
        <f t="array" ref="AE37">IFERROR(
AVERAGE((IF(DATOS_[[Sexo]:[Sexo]]=$B37,IF(DATOS_[[AGRUP. CLAS. PROF.]:[AGRUP. CLAS. PROF.]]=$B36,IF(DATOS_[[Check Periodo Ref.]:[Check Periodo Ref.]]="Dentro",DATOS_[Conc.Sal.26]))))),
0)</f>
        <v>0</v>
      </c>
      <c r="AF37" s="170">
        <f t="array" ref="AF37">IFERROR(
AVERAGE((IF(DATOS_[[Sexo]:[Sexo]]=$B37,IF(DATOS_[[AGRUP. CLAS. PROF.]:[AGRUP. CLAS. PROF.]]=$B36,IF(DATOS_[[Check Periodo Ref.]:[Check Periodo Ref.]]="Dentro",DATOS_[Conc.Sal.27]))))),
0)</f>
        <v>0</v>
      </c>
      <c r="AG37" s="170">
        <f t="array" ref="AG37">IFERROR(
AVERAGE((IF(DATOS_[[Sexo]:[Sexo]]=$B37,IF(DATOS_[[AGRUP. CLAS. PROF.]:[AGRUP. CLAS. PROF.]]=$B36,IF(DATOS_[[Check Periodo Ref.]:[Check Periodo Ref.]]="Dentro",DATOS_[Conc.Sal.28]))))),
0)</f>
        <v>0</v>
      </c>
      <c r="AH37" s="170">
        <f t="array" ref="AH37">IFERROR(
AVERAGE((IF(DATOS_[[Sexo]:[Sexo]]=$B37,IF(DATOS_[[AGRUP. CLAS. PROF.]:[AGRUP. CLAS. PROF.]]=$B36,IF(DATOS_[[Check Periodo Ref.]:[Check Periodo Ref.]]="Dentro",DATOS_[Conc.Sal.29]))))),
0)</f>
        <v>0</v>
      </c>
      <c r="AI37" s="170">
        <f t="array" ref="AI37">IFERROR(
AVERAGE((IF(DATOS_[[Sexo]:[Sexo]]=$B37,IF(DATOS_[[AGRUP. CLAS. PROF.]:[AGRUP. CLAS. PROF.]]=$B36,IF(DATOS_[[Check Periodo Ref.]:[Check Periodo Ref.]]="Dentro",DATOS_[Conc.Sal.30]))))),
0)</f>
        <v>0</v>
      </c>
      <c r="AJ37" s="171">
        <f t="array" ref="AJ37">IFERROR(
AVERAGE(IF(DATOS_[Sexo]=$B37,IF(DATOS_[AGRUP. CLAS. PROF.]=$B36,IF(DATOS_[Check Periodo Ref.]="Dentro",DATOS_[Tot COMPL.SAL Ef],FALSE)))),
0)</f>
        <v>0</v>
      </c>
      <c r="AK37" s="172">
        <f t="array" ref="AK37">IFERROR(
AVERAGE(IF(DATOS_[Sexo]=$B37,IF(DATOS_[AGRUP. CLAS. PROF.]=$B36,IF(DATOS_[Check Periodo Ref.]="Dentro",DATOS_[TOTAL SALARIO Ef],FALSE)))),
0)</f>
        <v>0</v>
      </c>
      <c r="AL37" s="173">
        <f t="array" ref="AL37">IFERROR(
AVERAGE((IF(DATOS_[[Sexo]:[Sexo]]=$B37,IF(DATOS_[[AGRUP. CLAS. PROF.]:[AGRUP. CLAS. PROF.]]=$B36,IF(DATOS_[[Check Periodo Ref.]:[Check Periodo Ref.]]="Dentro",DATOS_[C.Extra.01]))))),
0)</f>
        <v>0</v>
      </c>
      <c r="AM37" s="173">
        <f t="array" ref="AM37">IFERROR(
AVERAGE((IF(DATOS_[[Sexo]:[Sexo]]=$B37,IF(DATOS_[[AGRUP. CLAS. PROF.]:[AGRUP. CLAS. PROF.]]=$B36,IF(DATOS_[[Check Periodo Ref.]:[Check Periodo Ref.]]="Dentro",DATOS_[C.Extra.06]))))),
0)</f>
        <v>0</v>
      </c>
      <c r="AN37" s="173">
        <f t="array" ref="AN37">IFERROR(
AVERAGE((IF(DATOS_[[Sexo]:[Sexo]]=$B37,IF(DATOS_[[AGRUP. CLAS. PROF.]:[AGRUP. CLAS. PROF.]]=$B36,IF(DATOS_[[Check Periodo Ref.]:[Check Periodo Ref.]]="Dentro",DATOS_[C.Extra.07]))))),
0)</f>
        <v>0</v>
      </c>
      <c r="AO37" s="173">
        <f t="array" ref="AO37">IFERROR(
AVERAGE((IF(DATOS_[[Sexo]:[Sexo]]=$B37,IF(DATOS_[[AGRUP. CLAS. PROF.]:[AGRUP. CLAS. PROF.]]=$B36,IF(DATOS_[[Check Periodo Ref.]:[Check Periodo Ref.]]="Dentro",DATOS_[C.Extra.08]))))),
0)</f>
        <v>0</v>
      </c>
      <c r="AP37" s="173">
        <f t="array" ref="AP37">IFERROR(
AVERAGE((IF(DATOS_[[Sexo]:[Sexo]]=$B37,IF(DATOS_[[AGRUP. CLAS. PROF.]:[AGRUP. CLAS. PROF.]]=$B36,IF(DATOS_[[Check Periodo Ref.]:[Check Periodo Ref.]]="Dentro",DATOS_[C.Extra.11]))))),
0)</f>
        <v>0</v>
      </c>
      <c r="AQ37" s="174">
        <f t="array" ref="AQ37">IFERROR(
AVERAGE(IF(DATOS_[Sexo]=$B37,IF(DATOS_[AGRUP. CLAS. PROF.]=$B36,IF(DATOS_[Check Periodo Ref.]="Dentro",DATOS_[Tot Extrasalarial Ef],FALSE)))),
0)</f>
        <v>0</v>
      </c>
      <c r="AR37" s="171">
        <f t="array" ref="AR37">IFERROR(
AVERAGE(IF(DATOS_[Sexo]=$B37,IF(DATOS_[AGRUP. CLAS. PROF.]=$B36,IF(DATOS_[Check Periodo Ref.]="Dentro",DATOS_[TOTAL Retrib Ef],FALSE)))),
0)</f>
        <v>0</v>
      </c>
    </row>
    <row r="38" spans="1:44" x14ac:dyDescent="0.25">
      <c r="A38" s="152" t="str">
        <f t="shared" ref="A38" si="34">+A37</f>
        <v>[ocultar]</v>
      </c>
      <c r="B38" s="166" t="s">
        <v>521</v>
      </c>
      <c r="C38" s="167">
        <f t="array" ref="C38">SUM(IF($B38=DATOS_[Sexo],
IF($B36=DATOS_[AGRUP. CLAS. PROF.],
IF("Dentro"=DATOS_[Check Periodo Ref.],
1/(COUNTIFS(DATOS_[Sexo],$B38,DATOS_[AGRUP. CLAS. PROF.],$B36,DATOS_[Check Periodo Ref.],"Dentro",DATOS_[id/cod],DATOS_[id/cod]))))))</f>
        <v>0</v>
      </c>
      <c r="D38" s="168">
        <f>COUNTIFS(DATOS_[AGRUP. CLAS. PROF.],$B36,DATOS_[Sexo],$B38,DATOS_[Check Periodo Ref.],"Dentro")</f>
        <v>0</v>
      </c>
      <c r="E38" s="169">
        <f t="array" ref="E38">IFERROR(
AVERAGE(IF(DATOS_[Sexo]=$B38,IF(DATOS_[AGRUP. CLAS. PROF.]=$B36,IF(DATOS_[Check Periodo Ref.]="Dentro",DATOS_[SALARIO BASE Ef],FALSE)))),
0)</f>
        <v>0</v>
      </c>
      <c r="F38" s="170">
        <f t="array" ref="F38">IFERROR(
AVERAGE((IF(DATOS_[[Sexo]:[Sexo]]=$B38,IF(DATOS_[[AGRUP. CLAS. PROF.]:[AGRUP. CLAS. PROF.]]=$B36,IF(DATOS_[[Check Periodo Ref.]:[Check Periodo Ref.]]="Dentro",DATOS_[Conc.Sal.01]))))),
0)</f>
        <v>0</v>
      </c>
      <c r="G38" s="170">
        <f t="array" ref="G38">IFERROR(
AVERAGE((IF(DATOS_[[Sexo]:[Sexo]]=$B38,IF(DATOS_[[AGRUP. CLAS. PROF.]:[AGRUP. CLAS. PROF.]]=$B36,IF(DATOS_[[Check Periodo Ref.]:[Check Periodo Ref.]]="Dentro",DATOS_[Conc.Sal.02]))))),
0)</f>
        <v>0</v>
      </c>
      <c r="H38" s="170">
        <f t="array" ref="H38">IFERROR(
AVERAGE((IF(DATOS_[[Sexo]:[Sexo]]=$B38,IF(DATOS_[[AGRUP. CLAS. PROF.]:[AGRUP. CLAS. PROF.]]=$B36,IF(DATOS_[[Check Periodo Ref.]:[Check Periodo Ref.]]="Dentro",DATOS_[Conc.Sal.03]))))),
0)</f>
        <v>0</v>
      </c>
      <c r="I38" s="170">
        <f t="array" ref="I38">IFERROR(
AVERAGE((IF(DATOS_[[Sexo]:[Sexo]]=$B38,IF(DATOS_[[AGRUP. CLAS. PROF.]:[AGRUP. CLAS. PROF.]]=$B36,IF(DATOS_[[Check Periodo Ref.]:[Check Periodo Ref.]]="Dentro",DATOS_[Conc.Sal.04]))))),
0)</f>
        <v>0</v>
      </c>
      <c r="J38" s="170">
        <f t="array" ref="J38">IFERROR(
AVERAGE((IF(DATOS_[[Sexo]:[Sexo]]=$B38,IF(DATOS_[[AGRUP. CLAS. PROF.]:[AGRUP. CLAS. PROF.]]=$B36,IF(DATOS_[[Check Periodo Ref.]:[Check Periodo Ref.]]="Dentro",DATOS_[Conc.Sal.05]))))),
0)</f>
        <v>0</v>
      </c>
      <c r="K38" s="170">
        <f t="array" ref="K38">IFERROR(
AVERAGE((IF(DATOS_[[Sexo]:[Sexo]]=$B38,IF(DATOS_[[AGRUP. CLAS. PROF.]:[AGRUP. CLAS. PROF.]]=$B36,IF(DATOS_[[Check Periodo Ref.]:[Check Periodo Ref.]]="Dentro",DATOS_[Conc.Sal.06]))))),
0)</f>
        <v>0</v>
      </c>
      <c r="L38" s="170">
        <f t="array" ref="L38">IFERROR(
AVERAGE((IF(DATOS_[[Sexo]:[Sexo]]=$B38,IF(DATOS_[[AGRUP. CLAS. PROF.]:[AGRUP. CLAS. PROF.]]=$B36,IF(DATOS_[[Check Periodo Ref.]:[Check Periodo Ref.]]="Dentro",DATOS_[Conc.Sal.07]))))),
0)</f>
        <v>0</v>
      </c>
      <c r="M38" s="170">
        <f t="array" ref="M38">IFERROR(
AVERAGE((IF(DATOS_[[Sexo]:[Sexo]]=$B38,IF(DATOS_[[AGRUP. CLAS. PROF.]:[AGRUP. CLAS. PROF.]]=$B36,IF(DATOS_[[Check Periodo Ref.]:[Check Periodo Ref.]]="Dentro",DATOS_[Conc.Sal.08]))))),
0)</f>
        <v>0</v>
      </c>
      <c r="N38" s="170">
        <f t="array" ref="N38">IFERROR(
AVERAGE((IF(DATOS_[[Sexo]:[Sexo]]=$B38,IF(DATOS_[[AGRUP. CLAS. PROF.]:[AGRUP. CLAS. PROF.]]=$B36,IF(DATOS_[[Check Periodo Ref.]:[Check Periodo Ref.]]="Dentro",DATOS_[Conc.Sal.09]))))),
0)</f>
        <v>0</v>
      </c>
      <c r="O38" s="170">
        <f t="array" ref="O38">IFERROR(
AVERAGE((IF(DATOS_[[Sexo]:[Sexo]]=$B38,IF(DATOS_[[AGRUP. CLAS. PROF.]:[AGRUP. CLAS. PROF.]]=$B36,IF(DATOS_[[Check Periodo Ref.]:[Check Periodo Ref.]]="Dentro",DATOS_[Conc.Sal.10]))))),
0)</f>
        <v>0</v>
      </c>
      <c r="P38" s="170">
        <f t="array" ref="P38">IFERROR(
AVERAGE((IF(DATOS_[[Sexo]:[Sexo]]=$B38,IF(DATOS_[[AGRUP. CLAS. PROF.]:[AGRUP. CLAS. PROF.]]=$B36,IF(DATOS_[[Check Periodo Ref.]:[Check Periodo Ref.]]="Dentro",DATOS_[Conc.Sal.11]))))),
0)</f>
        <v>0</v>
      </c>
      <c r="Q38" s="170">
        <f t="array" ref="Q38">IFERROR(
AVERAGE((IF(DATOS_[[Sexo]:[Sexo]]=$B38,IF(DATOS_[[AGRUP. CLAS. PROF.]:[AGRUP. CLAS. PROF.]]=$B36,IF(DATOS_[[Check Periodo Ref.]:[Check Periodo Ref.]]="Dentro",DATOS_[Conc.Sal.12]))))),
0)</f>
        <v>0</v>
      </c>
      <c r="R38" s="170">
        <f t="array" ref="R38">IFERROR(
AVERAGE((IF(DATOS_[[Sexo]:[Sexo]]=$B38,IF(DATOS_[[AGRUP. CLAS. PROF.]:[AGRUP. CLAS. PROF.]]=$B36,IF(DATOS_[[Check Periodo Ref.]:[Check Periodo Ref.]]="Dentro",DATOS_[Conc.Sal.13]))))),
0)</f>
        <v>0</v>
      </c>
      <c r="S38" s="170">
        <f t="array" ref="S38">IFERROR(
AVERAGE((IF(DATOS_[[Sexo]:[Sexo]]=$B38,IF(DATOS_[[AGRUP. CLAS. PROF.]:[AGRUP. CLAS. PROF.]]=$B36,IF(DATOS_[[Check Periodo Ref.]:[Check Periodo Ref.]]="Dentro",DATOS_[Conc.Sal.14]))))),
0)</f>
        <v>0</v>
      </c>
      <c r="T38" s="170">
        <f t="array" ref="T38">IFERROR(
AVERAGE((IF(DATOS_[[Sexo]:[Sexo]]=$B38,IF(DATOS_[[AGRUP. CLAS. PROF.]:[AGRUP. CLAS. PROF.]]=$B36,IF(DATOS_[[Check Periodo Ref.]:[Check Periodo Ref.]]="Dentro",DATOS_[Conc.Sal.15]))))),
0)</f>
        <v>0</v>
      </c>
      <c r="U38" s="170">
        <f t="array" ref="U38">IFERROR(
AVERAGE((IF(DATOS_[[Sexo]:[Sexo]]=$B38,IF(DATOS_[[AGRUP. CLAS. PROF.]:[AGRUP. CLAS. PROF.]]=$B36,IF(DATOS_[[Check Periodo Ref.]:[Check Periodo Ref.]]="Dentro",DATOS_[Conc.Sal.16]))))),
0)</f>
        <v>0</v>
      </c>
      <c r="V38" s="170">
        <f t="array" ref="V38">IFERROR(
AVERAGE((IF(DATOS_[[Sexo]:[Sexo]]=$B38,IF(DATOS_[[AGRUP. CLAS. PROF.]:[AGRUP. CLAS. PROF.]]=$B36,IF(DATOS_[[Check Periodo Ref.]:[Check Periodo Ref.]]="Dentro",DATOS_[Conc.Sal.17]))))),
0)</f>
        <v>0</v>
      </c>
      <c r="W38" s="170">
        <f t="array" ref="W38">IFERROR(
AVERAGE((IF(DATOS_[[Sexo]:[Sexo]]=$B38,IF(DATOS_[[AGRUP. CLAS. PROF.]:[AGRUP. CLAS. PROF.]]=$B36,IF(DATOS_[[Check Periodo Ref.]:[Check Periodo Ref.]]="Dentro",DATOS_[Conc.Sal.18]))))),
0)</f>
        <v>0</v>
      </c>
      <c r="X38" s="170">
        <f t="array" ref="X38">IFERROR(
AVERAGE((IF(DATOS_[[Sexo]:[Sexo]]=$B38,IF(DATOS_[[AGRUP. CLAS. PROF.]:[AGRUP. CLAS. PROF.]]=$B36,IF(DATOS_[[Check Periodo Ref.]:[Check Periodo Ref.]]="Dentro",DATOS_[Conc.Sal.19]))))),
0)</f>
        <v>0</v>
      </c>
      <c r="Y38" s="170">
        <f t="array" ref="Y38">IFERROR(
AVERAGE((IF(DATOS_[[Sexo]:[Sexo]]=$B38,IF(DATOS_[[AGRUP. CLAS. PROF.]:[AGRUP. CLAS. PROF.]]=$B36,IF(DATOS_[[Check Periodo Ref.]:[Check Periodo Ref.]]="Dentro",DATOS_[Conc.Sal.20]))))),
0)</f>
        <v>0</v>
      </c>
      <c r="Z38" s="170">
        <f t="array" ref="Z38">IFERROR(
AVERAGE((IF(DATOS_[[Sexo]:[Sexo]]=$B38,IF(DATOS_[[AGRUP. CLAS. PROF.]:[AGRUP. CLAS. PROF.]]=$B36,IF(DATOS_[[Check Periodo Ref.]:[Check Periodo Ref.]]="Dentro",DATOS_[Conc.Sal.21]))))),
0)</f>
        <v>0</v>
      </c>
      <c r="AA38" s="170">
        <f t="array" ref="AA38">IFERROR(
AVERAGE((IF(DATOS_[[Sexo]:[Sexo]]=$B38,IF(DATOS_[[AGRUP. CLAS. PROF.]:[AGRUP. CLAS. PROF.]]=$B36,IF(DATOS_[[Check Periodo Ref.]:[Check Periodo Ref.]]="Dentro",DATOS_[Conc.Sal.22]))))),
0)</f>
        <v>0</v>
      </c>
      <c r="AB38" s="170">
        <f t="array" ref="AB38">IFERROR(
AVERAGE((IF(DATOS_[[Sexo]:[Sexo]]=$B38,IF(DATOS_[[AGRUP. CLAS. PROF.]:[AGRUP. CLAS. PROF.]]=$B36,IF(DATOS_[[Check Periodo Ref.]:[Check Periodo Ref.]]="Dentro",DATOS_[Conc.Sal.23]))))),
0)</f>
        <v>0</v>
      </c>
      <c r="AC38" s="170">
        <f t="array" ref="AC38">IFERROR(
AVERAGE((IF(DATOS_[[Sexo]:[Sexo]]=$B38,IF(DATOS_[[AGRUP. CLAS. PROF.]:[AGRUP. CLAS. PROF.]]=$B36,IF(DATOS_[[Check Periodo Ref.]:[Check Periodo Ref.]]="Dentro",DATOS_[Conc.Sal.24]))))),
0)</f>
        <v>0</v>
      </c>
      <c r="AD38" s="170">
        <f t="array" ref="AD38">IFERROR(
AVERAGE((IF(DATOS_[[Sexo]:[Sexo]]=$B38,IF(DATOS_[[AGRUP. CLAS. PROF.]:[AGRUP. CLAS. PROF.]]=$B36,IF(DATOS_[[Check Periodo Ref.]:[Check Periodo Ref.]]="Dentro",DATOS_[Conc.Sal.25]))))),
0)</f>
        <v>0</v>
      </c>
      <c r="AE38" s="170">
        <f t="array" ref="AE38">IFERROR(
AVERAGE((IF(DATOS_[[Sexo]:[Sexo]]=$B38,IF(DATOS_[[AGRUP. CLAS. PROF.]:[AGRUP. CLAS. PROF.]]=$B36,IF(DATOS_[[Check Periodo Ref.]:[Check Periodo Ref.]]="Dentro",DATOS_[Conc.Sal.26]))))),
0)</f>
        <v>0</v>
      </c>
      <c r="AF38" s="170">
        <f t="array" ref="AF38">IFERROR(
AVERAGE((IF(DATOS_[[Sexo]:[Sexo]]=$B38,IF(DATOS_[[AGRUP. CLAS. PROF.]:[AGRUP. CLAS. PROF.]]=$B36,IF(DATOS_[[Check Periodo Ref.]:[Check Periodo Ref.]]="Dentro",DATOS_[Conc.Sal.27]))))),
0)</f>
        <v>0</v>
      </c>
      <c r="AG38" s="170">
        <f t="array" ref="AG38">IFERROR(
AVERAGE((IF(DATOS_[[Sexo]:[Sexo]]=$B38,IF(DATOS_[[AGRUP. CLAS. PROF.]:[AGRUP. CLAS. PROF.]]=$B36,IF(DATOS_[[Check Periodo Ref.]:[Check Periodo Ref.]]="Dentro",DATOS_[Conc.Sal.28]))))),
0)</f>
        <v>0</v>
      </c>
      <c r="AH38" s="170">
        <f t="array" ref="AH38">IFERROR(
AVERAGE((IF(DATOS_[[Sexo]:[Sexo]]=$B38,IF(DATOS_[[AGRUP. CLAS. PROF.]:[AGRUP. CLAS. PROF.]]=$B36,IF(DATOS_[[Check Periodo Ref.]:[Check Periodo Ref.]]="Dentro",DATOS_[Conc.Sal.29]))))),
0)</f>
        <v>0</v>
      </c>
      <c r="AI38" s="170">
        <f t="array" ref="AI38">IFERROR(
AVERAGE((IF(DATOS_[[Sexo]:[Sexo]]=$B38,IF(DATOS_[[AGRUP. CLAS. PROF.]:[AGRUP. CLAS. PROF.]]=$B36,IF(DATOS_[[Check Periodo Ref.]:[Check Periodo Ref.]]="Dentro",DATOS_[Conc.Sal.30]))))),
0)</f>
        <v>0</v>
      </c>
      <c r="AJ38" s="171">
        <f t="array" ref="AJ38">IFERROR(
AVERAGE(IF(DATOS_[Sexo]=$B38,IF(DATOS_[AGRUP. CLAS. PROF.]=$B36,IF(DATOS_[Check Periodo Ref.]="Dentro",DATOS_[Tot COMPL.SAL Ef],FALSE)))),
0)</f>
        <v>0</v>
      </c>
      <c r="AK38" s="172">
        <f t="array" ref="AK38">IFERROR(
AVERAGE(IF(DATOS_[Sexo]=$B38,IF(DATOS_[AGRUP. CLAS. PROF.]=$B36,IF(DATOS_[Check Periodo Ref.]="Dentro",DATOS_[TOTAL SALARIO Ef],FALSE)))),
0)</f>
        <v>0</v>
      </c>
      <c r="AL38" s="173">
        <f t="array" ref="AL38">IFERROR(
AVERAGE((IF(DATOS_[[Sexo]:[Sexo]]=$B38,IF(DATOS_[[AGRUP. CLAS. PROF.]:[AGRUP. CLAS. PROF.]]=$B36,IF(DATOS_[[Check Periodo Ref.]:[Check Periodo Ref.]]="Dentro",DATOS_[C.Extra.01]))))),
0)</f>
        <v>0</v>
      </c>
      <c r="AM38" s="173">
        <f t="array" ref="AM38">IFERROR(
AVERAGE((IF(DATOS_[[Sexo]:[Sexo]]=$B38,IF(DATOS_[[AGRUP. CLAS. PROF.]:[AGRUP. CLAS. PROF.]]=$B36,IF(DATOS_[[Check Periodo Ref.]:[Check Periodo Ref.]]="Dentro",DATOS_[C.Extra.06]))))),
0)</f>
        <v>0</v>
      </c>
      <c r="AN38" s="173">
        <f t="array" ref="AN38">IFERROR(
AVERAGE((IF(DATOS_[[Sexo]:[Sexo]]=$B38,IF(DATOS_[[AGRUP. CLAS. PROF.]:[AGRUP. CLAS. PROF.]]=$B36,IF(DATOS_[[Check Periodo Ref.]:[Check Periodo Ref.]]="Dentro",DATOS_[C.Extra.07]))))),
0)</f>
        <v>0</v>
      </c>
      <c r="AO38" s="173">
        <f t="array" ref="AO38">IFERROR(
AVERAGE((IF(DATOS_[[Sexo]:[Sexo]]=$B38,IF(DATOS_[[AGRUP. CLAS. PROF.]:[AGRUP. CLAS. PROF.]]=$B36,IF(DATOS_[[Check Periodo Ref.]:[Check Periodo Ref.]]="Dentro",DATOS_[C.Extra.08]))))),
0)</f>
        <v>0</v>
      </c>
      <c r="AP38" s="173">
        <f t="array" ref="AP38">IFERROR(
AVERAGE((IF(DATOS_[[Sexo]:[Sexo]]=$B38,IF(DATOS_[[AGRUP. CLAS. PROF.]:[AGRUP. CLAS. PROF.]]=$B36,IF(DATOS_[[Check Periodo Ref.]:[Check Periodo Ref.]]="Dentro",DATOS_[C.Extra.11]))))),
0)</f>
        <v>0</v>
      </c>
      <c r="AQ38" s="174">
        <f t="array" ref="AQ38">IFERROR(
AVERAGE(IF(DATOS_[Sexo]=$B38,IF(DATOS_[AGRUP. CLAS. PROF.]=$B36,IF(DATOS_[Check Periodo Ref.]="Dentro",DATOS_[Tot Extrasalarial Ef],FALSE)))),
0)</f>
        <v>0</v>
      </c>
      <c r="AR38" s="171">
        <f t="array" ref="AR38">IFERROR(
AVERAGE(IF(DATOS_[Sexo]=$B38,IF(DATOS_[AGRUP. CLAS. PROF.]=$B36,IF(DATOS_[Check Periodo Ref.]="Dentro",DATOS_[TOTAL Retrib Ef],FALSE)))),
0)</f>
        <v>0</v>
      </c>
    </row>
    <row r="39" spans="1:44" s="152" customFormat="1" ht="14.4" thickBot="1" x14ac:dyDescent="0.3">
      <c r="A39" s="152" t="str">
        <f t="shared" ref="A39" si="35">+A40</f>
        <v>[ocultar]</v>
      </c>
      <c r="B39" s="153" t="s">
        <v>208</v>
      </c>
      <c r="C39" s="154"/>
      <c r="D39" s="155"/>
      <c r="E39" s="156" t="str">
        <f t="shared" ref="E39:AR39" si="36">IFERROR((E40-E41)/E40,"")</f>
        <v/>
      </c>
      <c r="F39" s="157" t="str">
        <f t="shared" si="36"/>
        <v/>
      </c>
      <c r="G39" s="158" t="str">
        <f t="shared" si="36"/>
        <v/>
      </c>
      <c r="H39" s="158" t="str">
        <f t="shared" si="36"/>
        <v/>
      </c>
      <c r="I39" s="158" t="str">
        <f t="shared" si="36"/>
        <v/>
      </c>
      <c r="J39" s="159" t="str">
        <f t="shared" si="36"/>
        <v/>
      </c>
      <c r="K39" s="160" t="str">
        <f t="shared" si="36"/>
        <v/>
      </c>
      <c r="L39" s="160" t="str">
        <f t="shared" si="36"/>
        <v/>
      </c>
      <c r="M39" s="160" t="str">
        <f t="shared" si="36"/>
        <v/>
      </c>
      <c r="N39" s="160" t="str">
        <f t="shared" si="36"/>
        <v/>
      </c>
      <c r="O39" s="160" t="str">
        <f t="shared" si="36"/>
        <v/>
      </c>
      <c r="P39" s="160" t="str">
        <f t="shared" si="36"/>
        <v/>
      </c>
      <c r="Q39" s="160" t="str">
        <f t="shared" si="36"/>
        <v/>
      </c>
      <c r="R39" s="160" t="str">
        <f t="shared" si="36"/>
        <v/>
      </c>
      <c r="S39" s="160" t="str">
        <f t="shared" si="36"/>
        <v/>
      </c>
      <c r="T39" s="160" t="str">
        <f t="shared" si="36"/>
        <v/>
      </c>
      <c r="U39" s="160" t="str">
        <f t="shared" si="36"/>
        <v/>
      </c>
      <c r="V39" s="159" t="str">
        <f t="shared" si="36"/>
        <v/>
      </c>
      <c r="W39" s="159" t="str">
        <f t="shared" si="36"/>
        <v/>
      </c>
      <c r="X39" s="159" t="str">
        <f t="shared" si="36"/>
        <v/>
      </c>
      <c r="Y39" s="159" t="str">
        <f t="shared" si="36"/>
        <v/>
      </c>
      <c r="Z39" s="159" t="str">
        <f t="shared" si="36"/>
        <v/>
      </c>
      <c r="AA39" s="159" t="str">
        <f t="shared" si="36"/>
        <v/>
      </c>
      <c r="AB39" s="159" t="str">
        <f t="shared" si="36"/>
        <v/>
      </c>
      <c r="AC39" s="159" t="str">
        <f t="shared" si="36"/>
        <v/>
      </c>
      <c r="AD39" s="159" t="str">
        <f t="shared" si="36"/>
        <v/>
      </c>
      <c r="AE39" s="159" t="str">
        <f t="shared" si="36"/>
        <v/>
      </c>
      <c r="AF39" s="159" t="str">
        <f t="shared" si="36"/>
        <v/>
      </c>
      <c r="AG39" s="159" t="str">
        <f t="shared" si="36"/>
        <v/>
      </c>
      <c r="AH39" s="159" t="str">
        <f t="shared" si="36"/>
        <v/>
      </c>
      <c r="AI39" s="159" t="str">
        <f t="shared" si="36"/>
        <v/>
      </c>
      <c r="AJ39" s="161" t="str">
        <f t="shared" si="36"/>
        <v/>
      </c>
      <c r="AK39" s="162" t="str">
        <f t="shared" si="36"/>
        <v/>
      </c>
      <c r="AL39" s="163" t="str">
        <f t="shared" si="36"/>
        <v/>
      </c>
      <c r="AM39" s="163" t="str">
        <f t="shared" si="36"/>
        <v/>
      </c>
      <c r="AN39" s="163" t="str">
        <f t="shared" si="36"/>
        <v/>
      </c>
      <c r="AO39" s="163" t="str">
        <f t="shared" si="36"/>
        <v/>
      </c>
      <c r="AP39" s="163" t="str">
        <f t="shared" si="36"/>
        <v/>
      </c>
      <c r="AQ39" s="164" t="str">
        <f t="shared" si="36"/>
        <v/>
      </c>
      <c r="AR39" s="161" t="str">
        <f t="shared" si="36"/>
        <v/>
      </c>
    </row>
    <row r="40" spans="1:44" x14ac:dyDescent="0.25">
      <c r="A40" s="152" t="str">
        <f t="shared" ref="A40" si="37">+IF(C40+C41=0,"[ocultar]","")</f>
        <v>[ocultar]</v>
      </c>
      <c r="B40" s="166" t="s">
        <v>394</v>
      </c>
      <c r="C40" s="167">
        <f t="array" ref="C40">SUM(IF($B40=DATOS_[Sexo],
IF($B39=DATOS_[AGRUP. CLAS. PROF.],
IF("Dentro"=DATOS_[Check Periodo Ref.],
1/(COUNTIFS(DATOS_[Sexo],$B40,DATOS_[AGRUP. CLAS. PROF.],$B39,DATOS_[Check Periodo Ref.],"Dentro",DATOS_[id/cod],DATOS_[id/cod]))))))</f>
        <v>0</v>
      </c>
      <c r="D40" s="168">
        <f>COUNTIFS(DATOS_[AGRUP. CLAS. PROF.],$B39,DATOS_[Sexo],$B40,DATOS_[Check Periodo Ref.],"Dentro")</f>
        <v>0</v>
      </c>
      <c r="E40" s="169">
        <f t="array" ref="E40">IFERROR(
AVERAGE(IF(DATOS_[Sexo]=$B40,IF(DATOS_[AGRUP. CLAS. PROF.]=$B39,IF(DATOS_[Check Periodo Ref.]="Dentro",DATOS_[SALARIO BASE Ef],FALSE)))),
0)</f>
        <v>0</v>
      </c>
      <c r="F40" s="170">
        <f t="array" ref="F40">IFERROR(
AVERAGE((IF(DATOS_[[Sexo]:[Sexo]]=$B40,IF(DATOS_[[AGRUP. CLAS. PROF.]:[AGRUP. CLAS. PROF.]]=$B39,IF(DATOS_[[Check Periodo Ref.]:[Check Periodo Ref.]]="Dentro",DATOS_[Conc.Sal.01]))))),
0)</f>
        <v>0</v>
      </c>
      <c r="G40" s="170">
        <f t="array" ref="G40">IFERROR(
AVERAGE((IF(DATOS_[[Sexo]:[Sexo]]=$B40,IF(DATOS_[[AGRUP. CLAS. PROF.]:[AGRUP. CLAS. PROF.]]=$B39,IF(DATOS_[[Check Periodo Ref.]:[Check Periodo Ref.]]="Dentro",DATOS_[Conc.Sal.02]))))),
0)</f>
        <v>0</v>
      </c>
      <c r="H40" s="170">
        <f t="array" ref="H40">IFERROR(
AVERAGE((IF(DATOS_[[Sexo]:[Sexo]]=$B40,IF(DATOS_[[AGRUP. CLAS. PROF.]:[AGRUP. CLAS. PROF.]]=$B39,IF(DATOS_[[Check Periodo Ref.]:[Check Periodo Ref.]]="Dentro",DATOS_[Conc.Sal.03]))))),
0)</f>
        <v>0</v>
      </c>
      <c r="I40" s="170">
        <f t="array" ref="I40">IFERROR(
AVERAGE((IF(DATOS_[[Sexo]:[Sexo]]=$B40,IF(DATOS_[[AGRUP. CLAS. PROF.]:[AGRUP. CLAS. PROF.]]=$B39,IF(DATOS_[[Check Periodo Ref.]:[Check Periodo Ref.]]="Dentro",DATOS_[Conc.Sal.04]))))),
0)</f>
        <v>0</v>
      </c>
      <c r="J40" s="170">
        <f t="array" ref="J40">IFERROR(
AVERAGE((IF(DATOS_[[Sexo]:[Sexo]]=$B40,IF(DATOS_[[AGRUP. CLAS. PROF.]:[AGRUP. CLAS. PROF.]]=$B39,IF(DATOS_[[Check Periodo Ref.]:[Check Periodo Ref.]]="Dentro",DATOS_[Conc.Sal.05]))))),
0)</f>
        <v>0</v>
      </c>
      <c r="K40" s="170">
        <f t="array" ref="K40">IFERROR(
AVERAGE((IF(DATOS_[[Sexo]:[Sexo]]=$B40,IF(DATOS_[[AGRUP. CLAS. PROF.]:[AGRUP. CLAS. PROF.]]=$B39,IF(DATOS_[[Check Periodo Ref.]:[Check Periodo Ref.]]="Dentro",DATOS_[Conc.Sal.06]))))),
0)</f>
        <v>0</v>
      </c>
      <c r="L40" s="170">
        <f t="array" ref="L40">IFERROR(
AVERAGE((IF(DATOS_[[Sexo]:[Sexo]]=$B40,IF(DATOS_[[AGRUP. CLAS. PROF.]:[AGRUP. CLAS. PROF.]]=$B39,IF(DATOS_[[Check Periodo Ref.]:[Check Periodo Ref.]]="Dentro",DATOS_[Conc.Sal.07]))))),
0)</f>
        <v>0</v>
      </c>
      <c r="M40" s="170">
        <f t="array" ref="M40">IFERROR(
AVERAGE((IF(DATOS_[[Sexo]:[Sexo]]=$B40,IF(DATOS_[[AGRUP. CLAS. PROF.]:[AGRUP. CLAS. PROF.]]=$B39,IF(DATOS_[[Check Periodo Ref.]:[Check Periodo Ref.]]="Dentro",DATOS_[Conc.Sal.08]))))),
0)</f>
        <v>0</v>
      </c>
      <c r="N40" s="170">
        <f t="array" ref="N40">IFERROR(
AVERAGE((IF(DATOS_[[Sexo]:[Sexo]]=$B40,IF(DATOS_[[AGRUP. CLAS. PROF.]:[AGRUP. CLAS. PROF.]]=$B39,IF(DATOS_[[Check Periodo Ref.]:[Check Periodo Ref.]]="Dentro",DATOS_[Conc.Sal.09]))))),
0)</f>
        <v>0</v>
      </c>
      <c r="O40" s="170">
        <f t="array" ref="O40">IFERROR(
AVERAGE((IF(DATOS_[[Sexo]:[Sexo]]=$B40,IF(DATOS_[[AGRUP. CLAS. PROF.]:[AGRUP. CLAS. PROF.]]=$B39,IF(DATOS_[[Check Periodo Ref.]:[Check Periodo Ref.]]="Dentro",DATOS_[Conc.Sal.10]))))),
0)</f>
        <v>0</v>
      </c>
      <c r="P40" s="170">
        <f t="array" ref="P40">IFERROR(
AVERAGE((IF(DATOS_[[Sexo]:[Sexo]]=$B40,IF(DATOS_[[AGRUP. CLAS. PROF.]:[AGRUP. CLAS. PROF.]]=$B39,IF(DATOS_[[Check Periodo Ref.]:[Check Periodo Ref.]]="Dentro",DATOS_[Conc.Sal.11]))))),
0)</f>
        <v>0</v>
      </c>
      <c r="Q40" s="170">
        <f t="array" ref="Q40">IFERROR(
AVERAGE((IF(DATOS_[[Sexo]:[Sexo]]=$B40,IF(DATOS_[[AGRUP. CLAS. PROF.]:[AGRUP. CLAS. PROF.]]=$B39,IF(DATOS_[[Check Periodo Ref.]:[Check Periodo Ref.]]="Dentro",DATOS_[Conc.Sal.12]))))),
0)</f>
        <v>0</v>
      </c>
      <c r="R40" s="170">
        <f t="array" ref="R40">IFERROR(
AVERAGE((IF(DATOS_[[Sexo]:[Sexo]]=$B40,IF(DATOS_[[AGRUP. CLAS. PROF.]:[AGRUP. CLAS. PROF.]]=$B39,IF(DATOS_[[Check Periodo Ref.]:[Check Periodo Ref.]]="Dentro",DATOS_[Conc.Sal.13]))))),
0)</f>
        <v>0</v>
      </c>
      <c r="S40" s="170">
        <f t="array" ref="S40">IFERROR(
AVERAGE((IF(DATOS_[[Sexo]:[Sexo]]=$B40,IF(DATOS_[[AGRUP. CLAS. PROF.]:[AGRUP. CLAS. PROF.]]=$B39,IF(DATOS_[[Check Periodo Ref.]:[Check Periodo Ref.]]="Dentro",DATOS_[Conc.Sal.14]))))),
0)</f>
        <v>0</v>
      </c>
      <c r="T40" s="170">
        <f t="array" ref="T40">IFERROR(
AVERAGE((IF(DATOS_[[Sexo]:[Sexo]]=$B40,IF(DATOS_[[AGRUP. CLAS. PROF.]:[AGRUP. CLAS. PROF.]]=$B39,IF(DATOS_[[Check Periodo Ref.]:[Check Periodo Ref.]]="Dentro",DATOS_[Conc.Sal.15]))))),
0)</f>
        <v>0</v>
      </c>
      <c r="U40" s="170">
        <f t="array" ref="U40">IFERROR(
AVERAGE((IF(DATOS_[[Sexo]:[Sexo]]=$B40,IF(DATOS_[[AGRUP. CLAS. PROF.]:[AGRUP. CLAS. PROF.]]=$B39,IF(DATOS_[[Check Periodo Ref.]:[Check Periodo Ref.]]="Dentro",DATOS_[Conc.Sal.16]))))),
0)</f>
        <v>0</v>
      </c>
      <c r="V40" s="170">
        <f t="array" ref="V40">IFERROR(
AVERAGE((IF(DATOS_[[Sexo]:[Sexo]]=$B40,IF(DATOS_[[AGRUP. CLAS. PROF.]:[AGRUP. CLAS. PROF.]]=$B39,IF(DATOS_[[Check Periodo Ref.]:[Check Periodo Ref.]]="Dentro",DATOS_[Conc.Sal.17]))))),
0)</f>
        <v>0</v>
      </c>
      <c r="W40" s="170">
        <f t="array" ref="W40">IFERROR(
AVERAGE((IF(DATOS_[[Sexo]:[Sexo]]=$B40,IF(DATOS_[[AGRUP. CLAS. PROF.]:[AGRUP. CLAS. PROF.]]=$B39,IF(DATOS_[[Check Periodo Ref.]:[Check Periodo Ref.]]="Dentro",DATOS_[Conc.Sal.18]))))),
0)</f>
        <v>0</v>
      </c>
      <c r="X40" s="170">
        <f t="array" ref="X40">IFERROR(
AVERAGE((IF(DATOS_[[Sexo]:[Sexo]]=$B40,IF(DATOS_[[AGRUP. CLAS. PROF.]:[AGRUP. CLAS. PROF.]]=$B39,IF(DATOS_[[Check Periodo Ref.]:[Check Periodo Ref.]]="Dentro",DATOS_[Conc.Sal.19]))))),
0)</f>
        <v>0</v>
      </c>
      <c r="Y40" s="170">
        <f t="array" ref="Y40">IFERROR(
AVERAGE((IF(DATOS_[[Sexo]:[Sexo]]=$B40,IF(DATOS_[[AGRUP. CLAS. PROF.]:[AGRUP. CLAS. PROF.]]=$B39,IF(DATOS_[[Check Periodo Ref.]:[Check Periodo Ref.]]="Dentro",DATOS_[Conc.Sal.20]))))),
0)</f>
        <v>0</v>
      </c>
      <c r="Z40" s="170">
        <f t="array" ref="Z40">IFERROR(
AVERAGE((IF(DATOS_[[Sexo]:[Sexo]]=$B40,IF(DATOS_[[AGRUP. CLAS. PROF.]:[AGRUP. CLAS. PROF.]]=$B39,IF(DATOS_[[Check Periodo Ref.]:[Check Periodo Ref.]]="Dentro",DATOS_[Conc.Sal.21]))))),
0)</f>
        <v>0</v>
      </c>
      <c r="AA40" s="170">
        <f t="array" ref="AA40">IFERROR(
AVERAGE((IF(DATOS_[[Sexo]:[Sexo]]=$B40,IF(DATOS_[[AGRUP. CLAS. PROF.]:[AGRUP. CLAS. PROF.]]=$B39,IF(DATOS_[[Check Periodo Ref.]:[Check Periodo Ref.]]="Dentro",DATOS_[Conc.Sal.22]))))),
0)</f>
        <v>0</v>
      </c>
      <c r="AB40" s="170">
        <f t="array" ref="AB40">IFERROR(
AVERAGE((IF(DATOS_[[Sexo]:[Sexo]]=$B40,IF(DATOS_[[AGRUP. CLAS. PROF.]:[AGRUP. CLAS. PROF.]]=$B39,IF(DATOS_[[Check Periodo Ref.]:[Check Periodo Ref.]]="Dentro",DATOS_[Conc.Sal.23]))))),
0)</f>
        <v>0</v>
      </c>
      <c r="AC40" s="170">
        <f t="array" ref="AC40">IFERROR(
AVERAGE((IF(DATOS_[[Sexo]:[Sexo]]=$B40,IF(DATOS_[[AGRUP. CLAS. PROF.]:[AGRUP. CLAS. PROF.]]=$B39,IF(DATOS_[[Check Periodo Ref.]:[Check Periodo Ref.]]="Dentro",DATOS_[Conc.Sal.24]))))),
0)</f>
        <v>0</v>
      </c>
      <c r="AD40" s="170">
        <f t="array" ref="AD40">IFERROR(
AVERAGE((IF(DATOS_[[Sexo]:[Sexo]]=$B40,IF(DATOS_[[AGRUP. CLAS. PROF.]:[AGRUP. CLAS. PROF.]]=$B39,IF(DATOS_[[Check Periodo Ref.]:[Check Periodo Ref.]]="Dentro",DATOS_[Conc.Sal.25]))))),
0)</f>
        <v>0</v>
      </c>
      <c r="AE40" s="170">
        <f t="array" ref="AE40">IFERROR(
AVERAGE((IF(DATOS_[[Sexo]:[Sexo]]=$B40,IF(DATOS_[[AGRUP. CLAS. PROF.]:[AGRUP. CLAS. PROF.]]=$B39,IF(DATOS_[[Check Periodo Ref.]:[Check Periodo Ref.]]="Dentro",DATOS_[Conc.Sal.26]))))),
0)</f>
        <v>0</v>
      </c>
      <c r="AF40" s="170">
        <f t="array" ref="AF40">IFERROR(
AVERAGE((IF(DATOS_[[Sexo]:[Sexo]]=$B40,IF(DATOS_[[AGRUP. CLAS. PROF.]:[AGRUP. CLAS. PROF.]]=$B39,IF(DATOS_[[Check Periodo Ref.]:[Check Periodo Ref.]]="Dentro",DATOS_[Conc.Sal.27]))))),
0)</f>
        <v>0</v>
      </c>
      <c r="AG40" s="170">
        <f t="array" ref="AG40">IFERROR(
AVERAGE((IF(DATOS_[[Sexo]:[Sexo]]=$B40,IF(DATOS_[[AGRUP. CLAS. PROF.]:[AGRUP. CLAS. PROF.]]=$B39,IF(DATOS_[[Check Periodo Ref.]:[Check Periodo Ref.]]="Dentro",DATOS_[Conc.Sal.28]))))),
0)</f>
        <v>0</v>
      </c>
      <c r="AH40" s="170">
        <f t="array" ref="AH40">IFERROR(
AVERAGE((IF(DATOS_[[Sexo]:[Sexo]]=$B40,IF(DATOS_[[AGRUP. CLAS. PROF.]:[AGRUP. CLAS. PROF.]]=$B39,IF(DATOS_[[Check Periodo Ref.]:[Check Periodo Ref.]]="Dentro",DATOS_[Conc.Sal.29]))))),
0)</f>
        <v>0</v>
      </c>
      <c r="AI40" s="170">
        <f t="array" ref="AI40">IFERROR(
AVERAGE((IF(DATOS_[[Sexo]:[Sexo]]=$B40,IF(DATOS_[[AGRUP. CLAS. PROF.]:[AGRUP. CLAS. PROF.]]=$B39,IF(DATOS_[[Check Periodo Ref.]:[Check Periodo Ref.]]="Dentro",DATOS_[Conc.Sal.30]))))),
0)</f>
        <v>0</v>
      </c>
      <c r="AJ40" s="171">
        <f t="array" ref="AJ40">IFERROR(
AVERAGE(IF(DATOS_[Sexo]=$B40,IF(DATOS_[AGRUP. CLAS. PROF.]=$B39,IF(DATOS_[Check Periodo Ref.]="Dentro",DATOS_[Tot COMPL.SAL Ef],FALSE)))),
0)</f>
        <v>0</v>
      </c>
      <c r="AK40" s="172">
        <f t="array" ref="AK40">IFERROR(
AVERAGE(IF(DATOS_[Sexo]=$B40,IF(DATOS_[AGRUP. CLAS. PROF.]=$B39,IF(DATOS_[Check Periodo Ref.]="Dentro",DATOS_[TOTAL SALARIO Ef],FALSE)))),
0)</f>
        <v>0</v>
      </c>
      <c r="AL40" s="173">
        <f t="array" ref="AL40">IFERROR(
AVERAGE((IF(DATOS_[[Sexo]:[Sexo]]=$B40,IF(DATOS_[[AGRUP. CLAS. PROF.]:[AGRUP. CLAS. PROF.]]=$B39,IF(DATOS_[[Check Periodo Ref.]:[Check Periodo Ref.]]="Dentro",DATOS_[C.Extra.01]))))),
0)</f>
        <v>0</v>
      </c>
      <c r="AM40" s="173">
        <f t="array" ref="AM40">IFERROR(
AVERAGE((IF(DATOS_[[Sexo]:[Sexo]]=$B40,IF(DATOS_[[AGRUP. CLAS. PROF.]:[AGRUP. CLAS. PROF.]]=$B39,IF(DATOS_[[Check Periodo Ref.]:[Check Periodo Ref.]]="Dentro",DATOS_[C.Extra.06]))))),
0)</f>
        <v>0</v>
      </c>
      <c r="AN40" s="173">
        <f t="array" ref="AN40">IFERROR(
AVERAGE((IF(DATOS_[[Sexo]:[Sexo]]=$B40,IF(DATOS_[[AGRUP. CLAS. PROF.]:[AGRUP. CLAS. PROF.]]=$B39,IF(DATOS_[[Check Periodo Ref.]:[Check Periodo Ref.]]="Dentro",DATOS_[C.Extra.07]))))),
0)</f>
        <v>0</v>
      </c>
      <c r="AO40" s="173">
        <f t="array" ref="AO40">IFERROR(
AVERAGE((IF(DATOS_[[Sexo]:[Sexo]]=$B40,IF(DATOS_[[AGRUP. CLAS. PROF.]:[AGRUP. CLAS. PROF.]]=$B39,IF(DATOS_[[Check Periodo Ref.]:[Check Periodo Ref.]]="Dentro",DATOS_[C.Extra.08]))))),
0)</f>
        <v>0</v>
      </c>
      <c r="AP40" s="173">
        <f t="array" ref="AP40">IFERROR(
AVERAGE((IF(DATOS_[[Sexo]:[Sexo]]=$B40,IF(DATOS_[[AGRUP. CLAS. PROF.]:[AGRUP. CLAS. PROF.]]=$B39,IF(DATOS_[[Check Periodo Ref.]:[Check Periodo Ref.]]="Dentro",DATOS_[C.Extra.11]))))),
0)</f>
        <v>0</v>
      </c>
      <c r="AQ40" s="174">
        <f t="array" ref="AQ40">IFERROR(
AVERAGE(IF(DATOS_[Sexo]=$B40,IF(DATOS_[AGRUP. CLAS. PROF.]=$B39,IF(DATOS_[Check Periodo Ref.]="Dentro",DATOS_[Tot Extrasalarial Ef],FALSE)))),
0)</f>
        <v>0</v>
      </c>
      <c r="AR40" s="171">
        <f t="array" ref="AR40">IFERROR(
AVERAGE(IF(DATOS_[Sexo]=$B40,IF(DATOS_[AGRUP. CLAS. PROF.]=$B39,IF(DATOS_[Check Periodo Ref.]="Dentro",DATOS_[TOTAL Retrib Ef],FALSE)))),
0)</f>
        <v>0</v>
      </c>
    </row>
    <row r="41" spans="1:44" x14ac:dyDescent="0.25">
      <c r="A41" s="152" t="str">
        <f t="shared" ref="A41" si="38">+A40</f>
        <v>[ocultar]</v>
      </c>
      <c r="B41" s="166" t="s">
        <v>521</v>
      </c>
      <c r="C41" s="167">
        <f t="array" ref="C41">SUM(IF($B41=DATOS_[Sexo],
IF($B39=DATOS_[AGRUP. CLAS. PROF.],
IF("Dentro"=DATOS_[Check Periodo Ref.],
1/(COUNTIFS(DATOS_[Sexo],$B41,DATOS_[AGRUP. CLAS. PROF.],$B39,DATOS_[Check Periodo Ref.],"Dentro",DATOS_[id/cod],DATOS_[id/cod]))))))</f>
        <v>0</v>
      </c>
      <c r="D41" s="168">
        <f>COUNTIFS(DATOS_[AGRUP. CLAS. PROF.],$B39,DATOS_[Sexo],$B41,DATOS_[Check Periodo Ref.],"Dentro")</f>
        <v>0</v>
      </c>
      <c r="E41" s="169">
        <f t="array" ref="E41">IFERROR(
AVERAGE(IF(DATOS_[Sexo]=$B41,IF(DATOS_[AGRUP. CLAS. PROF.]=$B39,IF(DATOS_[Check Periodo Ref.]="Dentro",DATOS_[SALARIO BASE Ef],FALSE)))),
0)</f>
        <v>0</v>
      </c>
      <c r="F41" s="170">
        <f t="array" ref="F41">IFERROR(
AVERAGE((IF(DATOS_[[Sexo]:[Sexo]]=$B41,IF(DATOS_[[AGRUP. CLAS. PROF.]:[AGRUP. CLAS. PROF.]]=$B39,IF(DATOS_[[Check Periodo Ref.]:[Check Periodo Ref.]]="Dentro",DATOS_[Conc.Sal.01]))))),
0)</f>
        <v>0</v>
      </c>
      <c r="G41" s="170">
        <f t="array" ref="G41">IFERROR(
AVERAGE((IF(DATOS_[[Sexo]:[Sexo]]=$B41,IF(DATOS_[[AGRUP. CLAS. PROF.]:[AGRUP. CLAS. PROF.]]=$B39,IF(DATOS_[[Check Periodo Ref.]:[Check Periodo Ref.]]="Dentro",DATOS_[Conc.Sal.02]))))),
0)</f>
        <v>0</v>
      </c>
      <c r="H41" s="170">
        <f t="array" ref="H41">IFERROR(
AVERAGE((IF(DATOS_[[Sexo]:[Sexo]]=$B41,IF(DATOS_[[AGRUP. CLAS. PROF.]:[AGRUP. CLAS. PROF.]]=$B39,IF(DATOS_[[Check Periodo Ref.]:[Check Periodo Ref.]]="Dentro",DATOS_[Conc.Sal.03]))))),
0)</f>
        <v>0</v>
      </c>
      <c r="I41" s="170">
        <f t="array" ref="I41">IFERROR(
AVERAGE((IF(DATOS_[[Sexo]:[Sexo]]=$B41,IF(DATOS_[[AGRUP. CLAS. PROF.]:[AGRUP. CLAS. PROF.]]=$B39,IF(DATOS_[[Check Periodo Ref.]:[Check Periodo Ref.]]="Dentro",DATOS_[Conc.Sal.04]))))),
0)</f>
        <v>0</v>
      </c>
      <c r="J41" s="170">
        <f t="array" ref="J41">IFERROR(
AVERAGE((IF(DATOS_[[Sexo]:[Sexo]]=$B41,IF(DATOS_[[AGRUP. CLAS. PROF.]:[AGRUP. CLAS. PROF.]]=$B39,IF(DATOS_[[Check Periodo Ref.]:[Check Periodo Ref.]]="Dentro",DATOS_[Conc.Sal.05]))))),
0)</f>
        <v>0</v>
      </c>
      <c r="K41" s="170">
        <f t="array" ref="K41">IFERROR(
AVERAGE((IF(DATOS_[[Sexo]:[Sexo]]=$B41,IF(DATOS_[[AGRUP. CLAS. PROF.]:[AGRUP. CLAS. PROF.]]=$B39,IF(DATOS_[[Check Periodo Ref.]:[Check Periodo Ref.]]="Dentro",DATOS_[Conc.Sal.06]))))),
0)</f>
        <v>0</v>
      </c>
      <c r="L41" s="170">
        <f t="array" ref="L41">IFERROR(
AVERAGE((IF(DATOS_[[Sexo]:[Sexo]]=$B41,IF(DATOS_[[AGRUP. CLAS. PROF.]:[AGRUP. CLAS. PROF.]]=$B39,IF(DATOS_[[Check Periodo Ref.]:[Check Periodo Ref.]]="Dentro",DATOS_[Conc.Sal.07]))))),
0)</f>
        <v>0</v>
      </c>
      <c r="M41" s="170">
        <f t="array" ref="M41">IFERROR(
AVERAGE((IF(DATOS_[[Sexo]:[Sexo]]=$B41,IF(DATOS_[[AGRUP. CLAS. PROF.]:[AGRUP. CLAS. PROF.]]=$B39,IF(DATOS_[[Check Periodo Ref.]:[Check Periodo Ref.]]="Dentro",DATOS_[Conc.Sal.08]))))),
0)</f>
        <v>0</v>
      </c>
      <c r="N41" s="170">
        <f t="array" ref="N41">IFERROR(
AVERAGE((IF(DATOS_[[Sexo]:[Sexo]]=$B41,IF(DATOS_[[AGRUP. CLAS. PROF.]:[AGRUP. CLAS. PROF.]]=$B39,IF(DATOS_[[Check Periodo Ref.]:[Check Periodo Ref.]]="Dentro",DATOS_[Conc.Sal.09]))))),
0)</f>
        <v>0</v>
      </c>
      <c r="O41" s="170">
        <f t="array" ref="O41">IFERROR(
AVERAGE((IF(DATOS_[[Sexo]:[Sexo]]=$B41,IF(DATOS_[[AGRUP. CLAS. PROF.]:[AGRUP. CLAS. PROF.]]=$B39,IF(DATOS_[[Check Periodo Ref.]:[Check Periodo Ref.]]="Dentro",DATOS_[Conc.Sal.10]))))),
0)</f>
        <v>0</v>
      </c>
      <c r="P41" s="170">
        <f t="array" ref="P41">IFERROR(
AVERAGE((IF(DATOS_[[Sexo]:[Sexo]]=$B41,IF(DATOS_[[AGRUP. CLAS. PROF.]:[AGRUP. CLAS. PROF.]]=$B39,IF(DATOS_[[Check Periodo Ref.]:[Check Periodo Ref.]]="Dentro",DATOS_[Conc.Sal.11]))))),
0)</f>
        <v>0</v>
      </c>
      <c r="Q41" s="170">
        <f t="array" ref="Q41">IFERROR(
AVERAGE((IF(DATOS_[[Sexo]:[Sexo]]=$B41,IF(DATOS_[[AGRUP. CLAS. PROF.]:[AGRUP. CLAS. PROF.]]=$B39,IF(DATOS_[[Check Periodo Ref.]:[Check Periodo Ref.]]="Dentro",DATOS_[Conc.Sal.12]))))),
0)</f>
        <v>0</v>
      </c>
      <c r="R41" s="170">
        <f t="array" ref="R41">IFERROR(
AVERAGE((IF(DATOS_[[Sexo]:[Sexo]]=$B41,IF(DATOS_[[AGRUP. CLAS. PROF.]:[AGRUP. CLAS. PROF.]]=$B39,IF(DATOS_[[Check Periodo Ref.]:[Check Periodo Ref.]]="Dentro",DATOS_[Conc.Sal.13]))))),
0)</f>
        <v>0</v>
      </c>
      <c r="S41" s="170">
        <f t="array" ref="S41">IFERROR(
AVERAGE((IF(DATOS_[[Sexo]:[Sexo]]=$B41,IF(DATOS_[[AGRUP. CLAS. PROF.]:[AGRUP. CLAS. PROF.]]=$B39,IF(DATOS_[[Check Periodo Ref.]:[Check Periodo Ref.]]="Dentro",DATOS_[Conc.Sal.14]))))),
0)</f>
        <v>0</v>
      </c>
      <c r="T41" s="170">
        <f t="array" ref="T41">IFERROR(
AVERAGE((IF(DATOS_[[Sexo]:[Sexo]]=$B41,IF(DATOS_[[AGRUP. CLAS. PROF.]:[AGRUP. CLAS. PROF.]]=$B39,IF(DATOS_[[Check Periodo Ref.]:[Check Periodo Ref.]]="Dentro",DATOS_[Conc.Sal.15]))))),
0)</f>
        <v>0</v>
      </c>
      <c r="U41" s="170">
        <f t="array" ref="U41">IFERROR(
AVERAGE((IF(DATOS_[[Sexo]:[Sexo]]=$B41,IF(DATOS_[[AGRUP. CLAS. PROF.]:[AGRUP. CLAS. PROF.]]=$B39,IF(DATOS_[[Check Periodo Ref.]:[Check Periodo Ref.]]="Dentro",DATOS_[Conc.Sal.16]))))),
0)</f>
        <v>0</v>
      </c>
      <c r="V41" s="170">
        <f t="array" ref="V41">IFERROR(
AVERAGE((IF(DATOS_[[Sexo]:[Sexo]]=$B41,IF(DATOS_[[AGRUP. CLAS. PROF.]:[AGRUP. CLAS. PROF.]]=$B39,IF(DATOS_[[Check Periodo Ref.]:[Check Periodo Ref.]]="Dentro",DATOS_[Conc.Sal.17]))))),
0)</f>
        <v>0</v>
      </c>
      <c r="W41" s="170">
        <f t="array" ref="W41">IFERROR(
AVERAGE((IF(DATOS_[[Sexo]:[Sexo]]=$B41,IF(DATOS_[[AGRUP. CLAS. PROF.]:[AGRUP. CLAS. PROF.]]=$B39,IF(DATOS_[[Check Periodo Ref.]:[Check Periodo Ref.]]="Dentro",DATOS_[Conc.Sal.18]))))),
0)</f>
        <v>0</v>
      </c>
      <c r="X41" s="170">
        <f t="array" ref="X41">IFERROR(
AVERAGE((IF(DATOS_[[Sexo]:[Sexo]]=$B41,IF(DATOS_[[AGRUP. CLAS. PROF.]:[AGRUP. CLAS. PROF.]]=$B39,IF(DATOS_[[Check Periodo Ref.]:[Check Periodo Ref.]]="Dentro",DATOS_[Conc.Sal.19]))))),
0)</f>
        <v>0</v>
      </c>
      <c r="Y41" s="170">
        <f t="array" ref="Y41">IFERROR(
AVERAGE((IF(DATOS_[[Sexo]:[Sexo]]=$B41,IF(DATOS_[[AGRUP. CLAS. PROF.]:[AGRUP. CLAS. PROF.]]=$B39,IF(DATOS_[[Check Periodo Ref.]:[Check Periodo Ref.]]="Dentro",DATOS_[Conc.Sal.20]))))),
0)</f>
        <v>0</v>
      </c>
      <c r="Z41" s="170">
        <f t="array" ref="Z41">IFERROR(
AVERAGE((IF(DATOS_[[Sexo]:[Sexo]]=$B41,IF(DATOS_[[AGRUP. CLAS. PROF.]:[AGRUP. CLAS. PROF.]]=$B39,IF(DATOS_[[Check Periodo Ref.]:[Check Periodo Ref.]]="Dentro",DATOS_[Conc.Sal.21]))))),
0)</f>
        <v>0</v>
      </c>
      <c r="AA41" s="170">
        <f t="array" ref="AA41">IFERROR(
AVERAGE((IF(DATOS_[[Sexo]:[Sexo]]=$B41,IF(DATOS_[[AGRUP. CLAS. PROF.]:[AGRUP. CLAS. PROF.]]=$B39,IF(DATOS_[[Check Periodo Ref.]:[Check Periodo Ref.]]="Dentro",DATOS_[Conc.Sal.22]))))),
0)</f>
        <v>0</v>
      </c>
      <c r="AB41" s="170">
        <f t="array" ref="AB41">IFERROR(
AVERAGE((IF(DATOS_[[Sexo]:[Sexo]]=$B41,IF(DATOS_[[AGRUP. CLAS. PROF.]:[AGRUP. CLAS. PROF.]]=$B39,IF(DATOS_[[Check Periodo Ref.]:[Check Periodo Ref.]]="Dentro",DATOS_[Conc.Sal.23]))))),
0)</f>
        <v>0</v>
      </c>
      <c r="AC41" s="170">
        <f t="array" ref="AC41">IFERROR(
AVERAGE((IF(DATOS_[[Sexo]:[Sexo]]=$B41,IF(DATOS_[[AGRUP. CLAS. PROF.]:[AGRUP. CLAS. PROF.]]=$B39,IF(DATOS_[[Check Periodo Ref.]:[Check Periodo Ref.]]="Dentro",DATOS_[Conc.Sal.24]))))),
0)</f>
        <v>0</v>
      </c>
      <c r="AD41" s="170">
        <f t="array" ref="AD41">IFERROR(
AVERAGE((IF(DATOS_[[Sexo]:[Sexo]]=$B41,IF(DATOS_[[AGRUP. CLAS. PROF.]:[AGRUP. CLAS. PROF.]]=$B39,IF(DATOS_[[Check Periodo Ref.]:[Check Periodo Ref.]]="Dentro",DATOS_[Conc.Sal.25]))))),
0)</f>
        <v>0</v>
      </c>
      <c r="AE41" s="170">
        <f t="array" ref="AE41">IFERROR(
AVERAGE((IF(DATOS_[[Sexo]:[Sexo]]=$B41,IF(DATOS_[[AGRUP. CLAS. PROF.]:[AGRUP. CLAS. PROF.]]=$B39,IF(DATOS_[[Check Periodo Ref.]:[Check Periodo Ref.]]="Dentro",DATOS_[Conc.Sal.26]))))),
0)</f>
        <v>0</v>
      </c>
      <c r="AF41" s="170">
        <f t="array" ref="AF41">IFERROR(
AVERAGE((IF(DATOS_[[Sexo]:[Sexo]]=$B41,IF(DATOS_[[AGRUP. CLAS. PROF.]:[AGRUP. CLAS. PROF.]]=$B39,IF(DATOS_[[Check Periodo Ref.]:[Check Periodo Ref.]]="Dentro",DATOS_[Conc.Sal.27]))))),
0)</f>
        <v>0</v>
      </c>
      <c r="AG41" s="170">
        <f t="array" ref="AG41">IFERROR(
AVERAGE((IF(DATOS_[[Sexo]:[Sexo]]=$B41,IF(DATOS_[[AGRUP. CLAS. PROF.]:[AGRUP. CLAS. PROF.]]=$B39,IF(DATOS_[[Check Periodo Ref.]:[Check Periodo Ref.]]="Dentro",DATOS_[Conc.Sal.28]))))),
0)</f>
        <v>0</v>
      </c>
      <c r="AH41" s="170">
        <f t="array" ref="AH41">IFERROR(
AVERAGE((IF(DATOS_[[Sexo]:[Sexo]]=$B41,IF(DATOS_[[AGRUP. CLAS. PROF.]:[AGRUP. CLAS. PROF.]]=$B39,IF(DATOS_[[Check Periodo Ref.]:[Check Periodo Ref.]]="Dentro",DATOS_[Conc.Sal.29]))))),
0)</f>
        <v>0</v>
      </c>
      <c r="AI41" s="170">
        <f t="array" ref="AI41">IFERROR(
AVERAGE((IF(DATOS_[[Sexo]:[Sexo]]=$B41,IF(DATOS_[[AGRUP. CLAS. PROF.]:[AGRUP. CLAS. PROF.]]=$B39,IF(DATOS_[[Check Periodo Ref.]:[Check Periodo Ref.]]="Dentro",DATOS_[Conc.Sal.30]))))),
0)</f>
        <v>0</v>
      </c>
      <c r="AJ41" s="171">
        <f t="array" ref="AJ41">IFERROR(
AVERAGE(IF(DATOS_[Sexo]=$B41,IF(DATOS_[AGRUP. CLAS. PROF.]=$B39,IF(DATOS_[Check Periodo Ref.]="Dentro",DATOS_[Tot COMPL.SAL Ef],FALSE)))),
0)</f>
        <v>0</v>
      </c>
      <c r="AK41" s="172">
        <f t="array" ref="AK41">IFERROR(
AVERAGE(IF(DATOS_[Sexo]=$B41,IF(DATOS_[AGRUP. CLAS. PROF.]=$B39,IF(DATOS_[Check Periodo Ref.]="Dentro",DATOS_[TOTAL SALARIO Ef],FALSE)))),
0)</f>
        <v>0</v>
      </c>
      <c r="AL41" s="173">
        <f t="array" ref="AL41">IFERROR(
AVERAGE((IF(DATOS_[[Sexo]:[Sexo]]=$B41,IF(DATOS_[[AGRUP. CLAS. PROF.]:[AGRUP. CLAS. PROF.]]=$B39,IF(DATOS_[[Check Periodo Ref.]:[Check Periodo Ref.]]="Dentro",DATOS_[C.Extra.01]))))),
0)</f>
        <v>0</v>
      </c>
      <c r="AM41" s="173">
        <f t="array" ref="AM41">IFERROR(
AVERAGE((IF(DATOS_[[Sexo]:[Sexo]]=$B41,IF(DATOS_[[AGRUP. CLAS. PROF.]:[AGRUP. CLAS. PROF.]]=$B39,IF(DATOS_[[Check Periodo Ref.]:[Check Periodo Ref.]]="Dentro",DATOS_[C.Extra.06]))))),
0)</f>
        <v>0</v>
      </c>
      <c r="AN41" s="173">
        <f t="array" ref="AN41">IFERROR(
AVERAGE((IF(DATOS_[[Sexo]:[Sexo]]=$B41,IF(DATOS_[[AGRUP. CLAS. PROF.]:[AGRUP. CLAS. PROF.]]=$B39,IF(DATOS_[[Check Periodo Ref.]:[Check Periodo Ref.]]="Dentro",DATOS_[C.Extra.07]))))),
0)</f>
        <v>0</v>
      </c>
      <c r="AO41" s="173">
        <f t="array" ref="AO41">IFERROR(
AVERAGE((IF(DATOS_[[Sexo]:[Sexo]]=$B41,IF(DATOS_[[AGRUP. CLAS. PROF.]:[AGRUP. CLAS. PROF.]]=$B39,IF(DATOS_[[Check Periodo Ref.]:[Check Periodo Ref.]]="Dentro",DATOS_[C.Extra.08]))))),
0)</f>
        <v>0</v>
      </c>
      <c r="AP41" s="173">
        <f t="array" ref="AP41">IFERROR(
AVERAGE((IF(DATOS_[[Sexo]:[Sexo]]=$B41,IF(DATOS_[[AGRUP. CLAS. PROF.]:[AGRUP. CLAS. PROF.]]=$B39,IF(DATOS_[[Check Periodo Ref.]:[Check Periodo Ref.]]="Dentro",DATOS_[C.Extra.11]))))),
0)</f>
        <v>0</v>
      </c>
      <c r="AQ41" s="174">
        <f t="array" ref="AQ41">IFERROR(
AVERAGE(IF(DATOS_[Sexo]=$B41,IF(DATOS_[AGRUP. CLAS. PROF.]=$B39,IF(DATOS_[Check Periodo Ref.]="Dentro",DATOS_[Tot Extrasalarial Ef],FALSE)))),
0)</f>
        <v>0</v>
      </c>
      <c r="AR41" s="171">
        <f t="array" ref="AR41">IFERROR(
AVERAGE(IF(DATOS_[Sexo]=$B41,IF(DATOS_[AGRUP. CLAS. PROF.]=$B39,IF(DATOS_[Check Periodo Ref.]="Dentro",DATOS_[TOTAL Retrib Ef],FALSE)))),
0)</f>
        <v>0</v>
      </c>
    </row>
    <row r="42" spans="1:44" s="152" customFormat="1" ht="14.4" thickBot="1" x14ac:dyDescent="0.3">
      <c r="A42" s="152" t="str">
        <f t="shared" ref="A42" si="39">+A43</f>
        <v>[ocultar]</v>
      </c>
      <c r="B42" s="153" t="s">
        <v>213</v>
      </c>
      <c r="C42" s="154"/>
      <c r="D42" s="155"/>
      <c r="E42" s="156" t="str">
        <f t="shared" ref="E42:AR42" si="40">IFERROR((E43-E44)/E43,"")</f>
        <v/>
      </c>
      <c r="F42" s="157" t="str">
        <f t="shared" si="40"/>
        <v/>
      </c>
      <c r="G42" s="158" t="str">
        <f t="shared" si="40"/>
        <v/>
      </c>
      <c r="H42" s="158" t="str">
        <f t="shared" si="40"/>
        <v/>
      </c>
      <c r="I42" s="158" t="str">
        <f t="shared" si="40"/>
        <v/>
      </c>
      <c r="J42" s="159" t="str">
        <f t="shared" si="40"/>
        <v/>
      </c>
      <c r="K42" s="160" t="str">
        <f t="shared" si="40"/>
        <v/>
      </c>
      <c r="L42" s="160" t="str">
        <f t="shared" si="40"/>
        <v/>
      </c>
      <c r="M42" s="160" t="str">
        <f t="shared" si="40"/>
        <v/>
      </c>
      <c r="N42" s="160" t="str">
        <f t="shared" si="40"/>
        <v/>
      </c>
      <c r="O42" s="160" t="str">
        <f t="shared" si="40"/>
        <v/>
      </c>
      <c r="P42" s="160" t="str">
        <f t="shared" si="40"/>
        <v/>
      </c>
      <c r="Q42" s="160" t="str">
        <f t="shared" si="40"/>
        <v/>
      </c>
      <c r="R42" s="160" t="str">
        <f t="shared" si="40"/>
        <v/>
      </c>
      <c r="S42" s="160" t="str">
        <f t="shared" si="40"/>
        <v/>
      </c>
      <c r="T42" s="160" t="str">
        <f t="shared" si="40"/>
        <v/>
      </c>
      <c r="U42" s="160" t="str">
        <f t="shared" si="40"/>
        <v/>
      </c>
      <c r="V42" s="159" t="str">
        <f t="shared" si="40"/>
        <v/>
      </c>
      <c r="W42" s="159" t="str">
        <f t="shared" si="40"/>
        <v/>
      </c>
      <c r="X42" s="159" t="str">
        <f t="shared" si="40"/>
        <v/>
      </c>
      <c r="Y42" s="159" t="str">
        <f t="shared" si="40"/>
        <v/>
      </c>
      <c r="Z42" s="159" t="str">
        <f t="shared" si="40"/>
        <v/>
      </c>
      <c r="AA42" s="159" t="str">
        <f t="shared" si="40"/>
        <v/>
      </c>
      <c r="AB42" s="159" t="str">
        <f t="shared" si="40"/>
        <v/>
      </c>
      <c r="AC42" s="159" t="str">
        <f t="shared" si="40"/>
        <v/>
      </c>
      <c r="AD42" s="159" t="str">
        <f t="shared" si="40"/>
        <v/>
      </c>
      <c r="AE42" s="159" t="str">
        <f t="shared" si="40"/>
        <v/>
      </c>
      <c r="AF42" s="159" t="str">
        <f t="shared" si="40"/>
        <v/>
      </c>
      <c r="AG42" s="159" t="str">
        <f t="shared" si="40"/>
        <v/>
      </c>
      <c r="AH42" s="159" t="str">
        <f t="shared" si="40"/>
        <v/>
      </c>
      <c r="AI42" s="159" t="str">
        <f t="shared" si="40"/>
        <v/>
      </c>
      <c r="AJ42" s="161" t="str">
        <f t="shared" si="40"/>
        <v/>
      </c>
      <c r="AK42" s="162" t="str">
        <f t="shared" si="40"/>
        <v/>
      </c>
      <c r="AL42" s="163" t="str">
        <f t="shared" si="40"/>
        <v/>
      </c>
      <c r="AM42" s="163" t="str">
        <f t="shared" si="40"/>
        <v/>
      </c>
      <c r="AN42" s="163" t="str">
        <f t="shared" si="40"/>
        <v/>
      </c>
      <c r="AO42" s="163" t="str">
        <f t="shared" si="40"/>
        <v/>
      </c>
      <c r="AP42" s="163" t="str">
        <f t="shared" si="40"/>
        <v/>
      </c>
      <c r="AQ42" s="164" t="str">
        <f t="shared" si="40"/>
        <v/>
      </c>
      <c r="AR42" s="161" t="str">
        <f t="shared" si="40"/>
        <v/>
      </c>
    </row>
    <row r="43" spans="1:44" x14ac:dyDescent="0.25">
      <c r="A43" s="152" t="str">
        <f t="shared" ref="A43" si="41">+IF(C43+C44=0,"[ocultar]","")</f>
        <v>[ocultar]</v>
      </c>
      <c r="B43" s="166" t="s">
        <v>394</v>
      </c>
      <c r="C43" s="167">
        <f t="array" ref="C43">SUM(IF($B43=DATOS_[Sexo],
IF($B42=DATOS_[AGRUP. CLAS. PROF.],
IF("Dentro"=DATOS_[Check Periodo Ref.],
1/(COUNTIFS(DATOS_[Sexo],$B43,DATOS_[AGRUP. CLAS. PROF.],$B42,DATOS_[Check Periodo Ref.],"Dentro",DATOS_[id/cod],DATOS_[id/cod]))))))</f>
        <v>0</v>
      </c>
      <c r="D43" s="168">
        <f>COUNTIFS(DATOS_[AGRUP. CLAS. PROF.],$B42,DATOS_[Sexo],$B43,DATOS_[Check Periodo Ref.],"Dentro")</f>
        <v>0</v>
      </c>
      <c r="E43" s="169">
        <f t="array" ref="E43">IFERROR(
AVERAGE(IF(DATOS_[Sexo]=$B43,IF(DATOS_[AGRUP. CLAS. PROF.]=$B42,IF(DATOS_[Check Periodo Ref.]="Dentro",DATOS_[SALARIO BASE Ef],FALSE)))),
0)</f>
        <v>0</v>
      </c>
      <c r="F43" s="170">
        <f t="array" ref="F43">IFERROR(
AVERAGE((IF(DATOS_[[Sexo]:[Sexo]]=$B43,IF(DATOS_[[AGRUP. CLAS. PROF.]:[AGRUP. CLAS. PROF.]]=$B42,IF(DATOS_[[Check Periodo Ref.]:[Check Periodo Ref.]]="Dentro",DATOS_[Conc.Sal.01]))))),
0)</f>
        <v>0</v>
      </c>
      <c r="G43" s="170">
        <f t="array" ref="G43">IFERROR(
AVERAGE((IF(DATOS_[[Sexo]:[Sexo]]=$B43,IF(DATOS_[[AGRUP. CLAS. PROF.]:[AGRUP. CLAS. PROF.]]=$B42,IF(DATOS_[[Check Periodo Ref.]:[Check Periodo Ref.]]="Dentro",DATOS_[Conc.Sal.02]))))),
0)</f>
        <v>0</v>
      </c>
      <c r="H43" s="170">
        <f t="array" ref="H43">IFERROR(
AVERAGE((IF(DATOS_[[Sexo]:[Sexo]]=$B43,IF(DATOS_[[AGRUP. CLAS. PROF.]:[AGRUP. CLAS. PROF.]]=$B42,IF(DATOS_[[Check Periodo Ref.]:[Check Periodo Ref.]]="Dentro",DATOS_[Conc.Sal.03]))))),
0)</f>
        <v>0</v>
      </c>
      <c r="I43" s="170">
        <f t="array" ref="I43">IFERROR(
AVERAGE((IF(DATOS_[[Sexo]:[Sexo]]=$B43,IF(DATOS_[[AGRUP. CLAS. PROF.]:[AGRUP. CLAS. PROF.]]=$B42,IF(DATOS_[[Check Periodo Ref.]:[Check Periodo Ref.]]="Dentro",DATOS_[Conc.Sal.04]))))),
0)</f>
        <v>0</v>
      </c>
      <c r="J43" s="170">
        <f t="array" ref="J43">IFERROR(
AVERAGE((IF(DATOS_[[Sexo]:[Sexo]]=$B43,IF(DATOS_[[AGRUP. CLAS. PROF.]:[AGRUP. CLAS. PROF.]]=$B42,IF(DATOS_[[Check Periodo Ref.]:[Check Periodo Ref.]]="Dentro",DATOS_[Conc.Sal.05]))))),
0)</f>
        <v>0</v>
      </c>
      <c r="K43" s="170">
        <f t="array" ref="K43">IFERROR(
AVERAGE((IF(DATOS_[[Sexo]:[Sexo]]=$B43,IF(DATOS_[[AGRUP. CLAS. PROF.]:[AGRUP. CLAS. PROF.]]=$B42,IF(DATOS_[[Check Periodo Ref.]:[Check Periodo Ref.]]="Dentro",DATOS_[Conc.Sal.06]))))),
0)</f>
        <v>0</v>
      </c>
      <c r="L43" s="170">
        <f t="array" ref="L43">IFERROR(
AVERAGE((IF(DATOS_[[Sexo]:[Sexo]]=$B43,IF(DATOS_[[AGRUP. CLAS. PROF.]:[AGRUP. CLAS. PROF.]]=$B42,IF(DATOS_[[Check Periodo Ref.]:[Check Periodo Ref.]]="Dentro",DATOS_[Conc.Sal.07]))))),
0)</f>
        <v>0</v>
      </c>
      <c r="M43" s="170">
        <f t="array" ref="M43">IFERROR(
AVERAGE((IF(DATOS_[[Sexo]:[Sexo]]=$B43,IF(DATOS_[[AGRUP. CLAS. PROF.]:[AGRUP. CLAS. PROF.]]=$B42,IF(DATOS_[[Check Periodo Ref.]:[Check Periodo Ref.]]="Dentro",DATOS_[Conc.Sal.08]))))),
0)</f>
        <v>0</v>
      </c>
      <c r="N43" s="170">
        <f t="array" ref="N43">IFERROR(
AVERAGE((IF(DATOS_[[Sexo]:[Sexo]]=$B43,IF(DATOS_[[AGRUP. CLAS. PROF.]:[AGRUP. CLAS. PROF.]]=$B42,IF(DATOS_[[Check Periodo Ref.]:[Check Periodo Ref.]]="Dentro",DATOS_[Conc.Sal.09]))))),
0)</f>
        <v>0</v>
      </c>
      <c r="O43" s="170">
        <f t="array" ref="O43">IFERROR(
AVERAGE((IF(DATOS_[[Sexo]:[Sexo]]=$B43,IF(DATOS_[[AGRUP. CLAS. PROF.]:[AGRUP. CLAS. PROF.]]=$B42,IF(DATOS_[[Check Periodo Ref.]:[Check Periodo Ref.]]="Dentro",DATOS_[Conc.Sal.10]))))),
0)</f>
        <v>0</v>
      </c>
      <c r="P43" s="170">
        <f t="array" ref="P43">IFERROR(
AVERAGE((IF(DATOS_[[Sexo]:[Sexo]]=$B43,IF(DATOS_[[AGRUP. CLAS. PROF.]:[AGRUP. CLAS. PROF.]]=$B42,IF(DATOS_[[Check Periodo Ref.]:[Check Periodo Ref.]]="Dentro",DATOS_[Conc.Sal.11]))))),
0)</f>
        <v>0</v>
      </c>
      <c r="Q43" s="170">
        <f t="array" ref="Q43">IFERROR(
AVERAGE((IF(DATOS_[[Sexo]:[Sexo]]=$B43,IF(DATOS_[[AGRUP. CLAS. PROF.]:[AGRUP. CLAS. PROF.]]=$B42,IF(DATOS_[[Check Periodo Ref.]:[Check Periodo Ref.]]="Dentro",DATOS_[Conc.Sal.12]))))),
0)</f>
        <v>0</v>
      </c>
      <c r="R43" s="170">
        <f t="array" ref="R43">IFERROR(
AVERAGE((IF(DATOS_[[Sexo]:[Sexo]]=$B43,IF(DATOS_[[AGRUP. CLAS. PROF.]:[AGRUP. CLAS. PROF.]]=$B42,IF(DATOS_[[Check Periodo Ref.]:[Check Periodo Ref.]]="Dentro",DATOS_[Conc.Sal.13]))))),
0)</f>
        <v>0</v>
      </c>
      <c r="S43" s="170">
        <f t="array" ref="S43">IFERROR(
AVERAGE((IF(DATOS_[[Sexo]:[Sexo]]=$B43,IF(DATOS_[[AGRUP. CLAS. PROF.]:[AGRUP. CLAS. PROF.]]=$B42,IF(DATOS_[[Check Periodo Ref.]:[Check Periodo Ref.]]="Dentro",DATOS_[Conc.Sal.14]))))),
0)</f>
        <v>0</v>
      </c>
      <c r="T43" s="170">
        <f t="array" ref="T43">IFERROR(
AVERAGE((IF(DATOS_[[Sexo]:[Sexo]]=$B43,IF(DATOS_[[AGRUP. CLAS. PROF.]:[AGRUP. CLAS. PROF.]]=$B42,IF(DATOS_[[Check Periodo Ref.]:[Check Periodo Ref.]]="Dentro",DATOS_[Conc.Sal.15]))))),
0)</f>
        <v>0</v>
      </c>
      <c r="U43" s="170">
        <f t="array" ref="U43">IFERROR(
AVERAGE((IF(DATOS_[[Sexo]:[Sexo]]=$B43,IF(DATOS_[[AGRUP. CLAS. PROF.]:[AGRUP. CLAS. PROF.]]=$B42,IF(DATOS_[[Check Periodo Ref.]:[Check Periodo Ref.]]="Dentro",DATOS_[Conc.Sal.16]))))),
0)</f>
        <v>0</v>
      </c>
      <c r="V43" s="170">
        <f t="array" ref="V43">IFERROR(
AVERAGE((IF(DATOS_[[Sexo]:[Sexo]]=$B43,IF(DATOS_[[AGRUP. CLAS. PROF.]:[AGRUP. CLAS. PROF.]]=$B42,IF(DATOS_[[Check Periodo Ref.]:[Check Periodo Ref.]]="Dentro",DATOS_[Conc.Sal.17]))))),
0)</f>
        <v>0</v>
      </c>
      <c r="W43" s="170">
        <f t="array" ref="W43">IFERROR(
AVERAGE((IF(DATOS_[[Sexo]:[Sexo]]=$B43,IF(DATOS_[[AGRUP. CLAS. PROF.]:[AGRUP. CLAS. PROF.]]=$B42,IF(DATOS_[[Check Periodo Ref.]:[Check Periodo Ref.]]="Dentro",DATOS_[Conc.Sal.18]))))),
0)</f>
        <v>0</v>
      </c>
      <c r="X43" s="170">
        <f t="array" ref="X43">IFERROR(
AVERAGE((IF(DATOS_[[Sexo]:[Sexo]]=$B43,IF(DATOS_[[AGRUP. CLAS. PROF.]:[AGRUP. CLAS. PROF.]]=$B42,IF(DATOS_[[Check Periodo Ref.]:[Check Periodo Ref.]]="Dentro",DATOS_[Conc.Sal.19]))))),
0)</f>
        <v>0</v>
      </c>
      <c r="Y43" s="170">
        <f t="array" ref="Y43">IFERROR(
AVERAGE((IF(DATOS_[[Sexo]:[Sexo]]=$B43,IF(DATOS_[[AGRUP. CLAS. PROF.]:[AGRUP. CLAS. PROF.]]=$B42,IF(DATOS_[[Check Periodo Ref.]:[Check Periodo Ref.]]="Dentro",DATOS_[Conc.Sal.20]))))),
0)</f>
        <v>0</v>
      </c>
      <c r="Z43" s="170">
        <f t="array" ref="Z43">IFERROR(
AVERAGE((IF(DATOS_[[Sexo]:[Sexo]]=$B43,IF(DATOS_[[AGRUP. CLAS. PROF.]:[AGRUP. CLAS. PROF.]]=$B42,IF(DATOS_[[Check Periodo Ref.]:[Check Periodo Ref.]]="Dentro",DATOS_[Conc.Sal.21]))))),
0)</f>
        <v>0</v>
      </c>
      <c r="AA43" s="170">
        <f t="array" ref="AA43">IFERROR(
AVERAGE((IF(DATOS_[[Sexo]:[Sexo]]=$B43,IF(DATOS_[[AGRUP. CLAS. PROF.]:[AGRUP. CLAS. PROF.]]=$B42,IF(DATOS_[[Check Periodo Ref.]:[Check Periodo Ref.]]="Dentro",DATOS_[Conc.Sal.22]))))),
0)</f>
        <v>0</v>
      </c>
      <c r="AB43" s="170">
        <f t="array" ref="AB43">IFERROR(
AVERAGE((IF(DATOS_[[Sexo]:[Sexo]]=$B43,IF(DATOS_[[AGRUP. CLAS. PROF.]:[AGRUP. CLAS. PROF.]]=$B42,IF(DATOS_[[Check Periodo Ref.]:[Check Periodo Ref.]]="Dentro",DATOS_[Conc.Sal.23]))))),
0)</f>
        <v>0</v>
      </c>
      <c r="AC43" s="170">
        <f t="array" ref="AC43">IFERROR(
AVERAGE((IF(DATOS_[[Sexo]:[Sexo]]=$B43,IF(DATOS_[[AGRUP. CLAS. PROF.]:[AGRUP. CLAS. PROF.]]=$B42,IF(DATOS_[[Check Periodo Ref.]:[Check Periodo Ref.]]="Dentro",DATOS_[Conc.Sal.24]))))),
0)</f>
        <v>0</v>
      </c>
      <c r="AD43" s="170">
        <f t="array" ref="AD43">IFERROR(
AVERAGE((IF(DATOS_[[Sexo]:[Sexo]]=$B43,IF(DATOS_[[AGRUP. CLAS. PROF.]:[AGRUP. CLAS. PROF.]]=$B42,IF(DATOS_[[Check Periodo Ref.]:[Check Periodo Ref.]]="Dentro",DATOS_[Conc.Sal.25]))))),
0)</f>
        <v>0</v>
      </c>
      <c r="AE43" s="170">
        <f t="array" ref="AE43">IFERROR(
AVERAGE((IF(DATOS_[[Sexo]:[Sexo]]=$B43,IF(DATOS_[[AGRUP. CLAS. PROF.]:[AGRUP. CLAS. PROF.]]=$B42,IF(DATOS_[[Check Periodo Ref.]:[Check Periodo Ref.]]="Dentro",DATOS_[Conc.Sal.26]))))),
0)</f>
        <v>0</v>
      </c>
      <c r="AF43" s="170">
        <f t="array" ref="AF43">IFERROR(
AVERAGE((IF(DATOS_[[Sexo]:[Sexo]]=$B43,IF(DATOS_[[AGRUP. CLAS. PROF.]:[AGRUP. CLAS. PROF.]]=$B42,IF(DATOS_[[Check Periodo Ref.]:[Check Periodo Ref.]]="Dentro",DATOS_[Conc.Sal.27]))))),
0)</f>
        <v>0</v>
      </c>
      <c r="AG43" s="170">
        <f t="array" ref="AG43">IFERROR(
AVERAGE((IF(DATOS_[[Sexo]:[Sexo]]=$B43,IF(DATOS_[[AGRUP. CLAS. PROF.]:[AGRUP. CLAS. PROF.]]=$B42,IF(DATOS_[[Check Periodo Ref.]:[Check Periodo Ref.]]="Dentro",DATOS_[Conc.Sal.28]))))),
0)</f>
        <v>0</v>
      </c>
      <c r="AH43" s="170">
        <f t="array" ref="AH43">IFERROR(
AVERAGE((IF(DATOS_[[Sexo]:[Sexo]]=$B43,IF(DATOS_[[AGRUP. CLAS. PROF.]:[AGRUP. CLAS. PROF.]]=$B42,IF(DATOS_[[Check Periodo Ref.]:[Check Periodo Ref.]]="Dentro",DATOS_[Conc.Sal.29]))))),
0)</f>
        <v>0</v>
      </c>
      <c r="AI43" s="170">
        <f t="array" ref="AI43">IFERROR(
AVERAGE((IF(DATOS_[[Sexo]:[Sexo]]=$B43,IF(DATOS_[[AGRUP. CLAS. PROF.]:[AGRUP. CLAS. PROF.]]=$B42,IF(DATOS_[[Check Periodo Ref.]:[Check Periodo Ref.]]="Dentro",DATOS_[Conc.Sal.30]))))),
0)</f>
        <v>0</v>
      </c>
      <c r="AJ43" s="171">
        <f t="array" ref="AJ43">IFERROR(
AVERAGE(IF(DATOS_[Sexo]=$B43,IF(DATOS_[AGRUP. CLAS. PROF.]=$B42,IF(DATOS_[Check Periodo Ref.]="Dentro",DATOS_[Tot COMPL.SAL Ef],FALSE)))),
0)</f>
        <v>0</v>
      </c>
      <c r="AK43" s="172">
        <f t="array" ref="AK43">IFERROR(
AVERAGE(IF(DATOS_[Sexo]=$B43,IF(DATOS_[AGRUP. CLAS. PROF.]=$B42,IF(DATOS_[Check Periodo Ref.]="Dentro",DATOS_[TOTAL SALARIO Ef],FALSE)))),
0)</f>
        <v>0</v>
      </c>
      <c r="AL43" s="173">
        <f t="array" ref="AL43">IFERROR(
AVERAGE((IF(DATOS_[[Sexo]:[Sexo]]=$B43,IF(DATOS_[[AGRUP. CLAS. PROF.]:[AGRUP. CLAS. PROF.]]=$B42,IF(DATOS_[[Check Periodo Ref.]:[Check Periodo Ref.]]="Dentro",DATOS_[C.Extra.01]))))),
0)</f>
        <v>0</v>
      </c>
      <c r="AM43" s="173">
        <f t="array" ref="AM43">IFERROR(
AVERAGE((IF(DATOS_[[Sexo]:[Sexo]]=$B43,IF(DATOS_[[AGRUP. CLAS. PROF.]:[AGRUP. CLAS. PROF.]]=$B42,IF(DATOS_[[Check Periodo Ref.]:[Check Periodo Ref.]]="Dentro",DATOS_[C.Extra.06]))))),
0)</f>
        <v>0</v>
      </c>
      <c r="AN43" s="173">
        <f t="array" ref="AN43">IFERROR(
AVERAGE((IF(DATOS_[[Sexo]:[Sexo]]=$B43,IF(DATOS_[[AGRUP. CLAS. PROF.]:[AGRUP. CLAS. PROF.]]=$B42,IF(DATOS_[[Check Periodo Ref.]:[Check Periodo Ref.]]="Dentro",DATOS_[C.Extra.07]))))),
0)</f>
        <v>0</v>
      </c>
      <c r="AO43" s="173">
        <f t="array" ref="AO43">IFERROR(
AVERAGE((IF(DATOS_[[Sexo]:[Sexo]]=$B43,IF(DATOS_[[AGRUP. CLAS. PROF.]:[AGRUP. CLAS. PROF.]]=$B42,IF(DATOS_[[Check Periodo Ref.]:[Check Periodo Ref.]]="Dentro",DATOS_[C.Extra.08]))))),
0)</f>
        <v>0</v>
      </c>
      <c r="AP43" s="173">
        <f t="array" ref="AP43">IFERROR(
AVERAGE((IF(DATOS_[[Sexo]:[Sexo]]=$B43,IF(DATOS_[[AGRUP. CLAS. PROF.]:[AGRUP. CLAS. PROF.]]=$B42,IF(DATOS_[[Check Periodo Ref.]:[Check Periodo Ref.]]="Dentro",DATOS_[C.Extra.11]))))),
0)</f>
        <v>0</v>
      </c>
      <c r="AQ43" s="174">
        <f t="array" ref="AQ43">IFERROR(
AVERAGE(IF(DATOS_[Sexo]=$B43,IF(DATOS_[AGRUP. CLAS. PROF.]=$B42,IF(DATOS_[Check Periodo Ref.]="Dentro",DATOS_[Tot Extrasalarial Ef],FALSE)))),
0)</f>
        <v>0</v>
      </c>
      <c r="AR43" s="171">
        <f t="array" ref="AR43">IFERROR(
AVERAGE(IF(DATOS_[Sexo]=$B43,IF(DATOS_[AGRUP. CLAS. PROF.]=$B42,IF(DATOS_[Check Periodo Ref.]="Dentro",DATOS_[TOTAL Retrib Ef],FALSE)))),
0)</f>
        <v>0</v>
      </c>
    </row>
    <row r="44" spans="1:44" x14ac:dyDescent="0.25">
      <c r="A44" s="152" t="str">
        <f t="shared" ref="A44" si="42">+A43</f>
        <v>[ocultar]</v>
      </c>
      <c r="B44" s="166" t="s">
        <v>521</v>
      </c>
      <c r="C44" s="167">
        <f t="array" ref="C44">SUM(IF($B44=DATOS_[Sexo],
IF($B42=DATOS_[AGRUP. CLAS. PROF.],
IF("Dentro"=DATOS_[Check Periodo Ref.],
1/(COUNTIFS(DATOS_[Sexo],$B44,DATOS_[AGRUP. CLAS. PROF.],$B42,DATOS_[Check Periodo Ref.],"Dentro",DATOS_[id/cod],DATOS_[id/cod]))))))</f>
        <v>0</v>
      </c>
      <c r="D44" s="168">
        <f>COUNTIFS(DATOS_[AGRUP. CLAS. PROF.],$B42,DATOS_[Sexo],$B44,DATOS_[Check Periodo Ref.],"Dentro")</f>
        <v>0</v>
      </c>
      <c r="E44" s="169">
        <f t="array" ref="E44">IFERROR(
AVERAGE(IF(DATOS_[Sexo]=$B44,IF(DATOS_[AGRUP. CLAS. PROF.]=$B42,IF(DATOS_[Check Periodo Ref.]="Dentro",DATOS_[SALARIO BASE Ef],FALSE)))),
0)</f>
        <v>0</v>
      </c>
      <c r="F44" s="170">
        <f t="array" ref="F44">IFERROR(
AVERAGE((IF(DATOS_[[Sexo]:[Sexo]]=$B44,IF(DATOS_[[AGRUP. CLAS. PROF.]:[AGRUP. CLAS. PROF.]]=$B42,IF(DATOS_[[Check Periodo Ref.]:[Check Periodo Ref.]]="Dentro",DATOS_[Conc.Sal.01]))))),
0)</f>
        <v>0</v>
      </c>
      <c r="G44" s="170">
        <f t="array" ref="G44">IFERROR(
AVERAGE((IF(DATOS_[[Sexo]:[Sexo]]=$B44,IF(DATOS_[[AGRUP. CLAS. PROF.]:[AGRUP. CLAS. PROF.]]=$B42,IF(DATOS_[[Check Periodo Ref.]:[Check Periodo Ref.]]="Dentro",DATOS_[Conc.Sal.02]))))),
0)</f>
        <v>0</v>
      </c>
      <c r="H44" s="170">
        <f t="array" ref="H44">IFERROR(
AVERAGE((IF(DATOS_[[Sexo]:[Sexo]]=$B44,IF(DATOS_[[AGRUP. CLAS. PROF.]:[AGRUP. CLAS. PROF.]]=$B42,IF(DATOS_[[Check Periodo Ref.]:[Check Periodo Ref.]]="Dentro",DATOS_[Conc.Sal.03]))))),
0)</f>
        <v>0</v>
      </c>
      <c r="I44" s="170">
        <f t="array" ref="I44">IFERROR(
AVERAGE((IF(DATOS_[[Sexo]:[Sexo]]=$B44,IF(DATOS_[[AGRUP. CLAS. PROF.]:[AGRUP. CLAS. PROF.]]=$B42,IF(DATOS_[[Check Periodo Ref.]:[Check Periodo Ref.]]="Dentro",DATOS_[Conc.Sal.04]))))),
0)</f>
        <v>0</v>
      </c>
      <c r="J44" s="170">
        <f t="array" ref="J44">IFERROR(
AVERAGE((IF(DATOS_[[Sexo]:[Sexo]]=$B44,IF(DATOS_[[AGRUP. CLAS. PROF.]:[AGRUP. CLAS. PROF.]]=$B42,IF(DATOS_[[Check Periodo Ref.]:[Check Periodo Ref.]]="Dentro",DATOS_[Conc.Sal.05]))))),
0)</f>
        <v>0</v>
      </c>
      <c r="K44" s="170">
        <f t="array" ref="K44">IFERROR(
AVERAGE((IF(DATOS_[[Sexo]:[Sexo]]=$B44,IF(DATOS_[[AGRUP. CLAS. PROF.]:[AGRUP. CLAS. PROF.]]=$B42,IF(DATOS_[[Check Periodo Ref.]:[Check Periodo Ref.]]="Dentro",DATOS_[Conc.Sal.06]))))),
0)</f>
        <v>0</v>
      </c>
      <c r="L44" s="170">
        <f t="array" ref="L44">IFERROR(
AVERAGE((IF(DATOS_[[Sexo]:[Sexo]]=$B44,IF(DATOS_[[AGRUP. CLAS. PROF.]:[AGRUP. CLAS. PROF.]]=$B42,IF(DATOS_[[Check Periodo Ref.]:[Check Periodo Ref.]]="Dentro",DATOS_[Conc.Sal.07]))))),
0)</f>
        <v>0</v>
      </c>
      <c r="M44" s="170">
        <f t="array" ref="M44">IFERROR(
AVERAGE((IF(DATOS_[[Sexo]:[Sexo]]=$B44,IF(DATOS_[[AGRUP. CLAS. PROF.]:[AGRUP. CLAS. PROF.]]=$B42,IF(DATOS_[[Check Periodo Ref.]:[Check Periodo Ref.]]="Dentro",DATOS_[Conc.Sal.08]))))),
0)</f>
        <v>0</v>
      </c>
      <c r="N44" s="170">
        <f t="array" ref="N44">IFERROR(
AVERAGE((IF(DATOS_[[Sexo]:[Sexo]]=$B44,IF(DATOS_[[AGRUP. CLAS. PROF.]:[AGRUP. CLAS. PROF.]]=$B42,IF(DATOS_[[Check Periodo Ref.]:[Check Periodo Ref.]]="Dentro",DATOS_[Conc.Sal.09]))))),
0)</f>
        <v>0</v>
      </c>
      <c r="O44" s="170">
        <f t="array" ref="O44">IFERROR(
AVERAGE((IF(DATOS_[[Sexo]:[Sexo]]=$B44,IF(DATOS_[[AGRUP. CLAS. PROF.]:[AGRUP. CLAS. PROF.]]=$B42,IF(DATOS_[[Check Periodo Ref.]:[Check Periodo Ref.]]="Dentro",DATOS_[Conc.Sal.10]))))),
0)</f>
        <v>0</v>
      </c>
      <c r="P44" s="170">
        <f t="array" ref="P44">IFERROR(
AVERAGE((IF(DATOS_[[Sexo]:[Sexo]]=$B44,IF(DATOS_[[AGRUP. CLAS. PROF.]:[AGRUP. CLAS. PROF.]]=$B42,IF(DATOS_[[Check Periodo Ref.]:[Check Periodo Ref.]]="Dentro",DATOS_[Conc.Sal.11]))))),
0)</f>
        <v>0</v>
      </c>
      <c r="Q44" s="170">
        <f t="array" ref="Q44">IFERROR(
AVERAGE((IF(DATOS_[[Sexo]:[Sexo]]=$B44,IF(DATOS_[[AGRUP. CLAS. PROF.]:[AGRUP. CLAS. PROF.]]=$B42,IF(DATOS_[[Check Periodo Ref.]:[Check Periodo Ref.]]="Dentro",DATOS_[Conc.Sal.12]))))),
0)</f>
        <v>0</v>
      </c>
      <c r="R44" s="170">
        <f t="array" ref="R44">IFERROR(
AVERAGE((IF(DATOS_[[Sexo]:[Sexo]]=$B44,IF(DATOS_[[AGRUP. CLAS. PROF.]:[AGRUP. CLAS. PROF.]]=$B42,IF(DATOS_[[Check Periodo Ref.]:[Check Periodo Ref.]]="Dentro",DATOS_[Conc.Sal.13]))))),
0)</f>
        <v>0</v>
      </c>
      <c r="S44" s="170">
        <f t="array" ref="S44">IFERROR(
AVERAGE((IF(DATOS_[[Sexo]:[Sexo]]=$B44,IF(DATOS_[[AGRUP. CLAS. PROF.]:[AGRUP. CLAS. PROF.]]=$B42,IF(DATOS_[[Check Periodo Ref.]:[Check Periodo Ref.]]="Dentro",DATOS_[Conc.Sal.14]))))),
0)</f>
        <v>0</v>
      </c>
      <c r="T44" s="170">
        <f t="array" ref="T44">IFERROR(
AVERAGE((IF(DATOS_[[Sexo]:[Sexo]]=$B44,IF(DATOS_[[AGRUP. CLAS. PROF.]:[AGRUP. CLAS. PROF.]]=$B42,IF(DATOS_[[Check Periodo Ref.]:[Check Periodo Ref.]]="Dentro",DATOS_[Conc.Sal.15]))))),
0)</f>
        <v>0</v>
      </c>
      <c r="U44" s="170">
        <f t="array" ref="U44">IFERROR(
AVERAGE((IF(DATOS_[[Sexo]:[Sexo]]=$B44,IF(DATOS_[[AGRUP. CLAS. PROF.]:[AGRUP. CLAS. PROF.]]=$B42,IF(DATOS_[[Check Periodo Ref.]:[Check Periodo Ref.]]="Dentro",DATOS_[Conc.Sal.16]))))),
0)</f>
        <v>0</v>
      </c>
      <c r="V44" s="170">
        <f t="array" ref="V44">IFERROR(
AVERAGE((IF(DATOS_[[Sexo]:[Sexo]]=$B44,IF(DATOS_[[AGRUP. CLAS. PROF.]:[AGRUP. CLAS. PROF.]]=$B42,IF(DATOS_[[Check Periodo Ref.]:[Check Periodo Ref.]]="Dentro",DATOS_[Conc.Sal.17]))))),
0)</f>
        <v>0</v>
      </c>
      <c r="W44" s="170">
        <f t="array" ref="W44">IFERROR(
AVERAGE((IF(DATOS_[[Sexo]:[Sexo]]=$B44,IF(DATOS_[[AGRUP. CLAS. PROF.]:[AGRUP. CLAS. PROF.]]=$B42,IF(DATOS_[[Check Periodo Ref.]:[Check Periodo Ref.]]="Dentro",DATOS_[Conc.Sal.18]))))),
0)</f>
        <v>0</v>
      </c>
      <c r="X44" s="170">
        <f t="array" ref="X44">IFERROR(
AVERAGE((IF(DATOS_[[Sexo]:[Sexo]]=$B44,IF(DATOS_[[AGRUP. CLAS. PROF.]:[AGRUP. CLAS. PROF.]]=$B42,IF(DATOS_[[Check Periodo Ref.]:[Check Periodo Ref.]]="Dentro",DATOS_[Conc.Sal.19]))))),
0)</f>
        <v>0</v>
      </c>
      <c r="Y44" s="170">
        <f t="array" ref="Y44">IFERROR(
AVERAGE((IF(DATOS_[[Sexo]:[Sexo]]=$B44,IF(DATOS_[[AGRUP. CLAS. PROF.]:[AGRUP. CLAS. PROF.]]=$B42,IF(DATOS_[[Check Periodo Ref.]:[Check Periodo Ref.]]="Dentro",DATOS_[Conc.Sal.20]))))),
0)</f>
        <v>0</v>
      </c>
      <c r="Z44" s="170">
        <f t="array" ref="Z44">IFERROR(
AVERAGE((IF(DATOS_[[Sexo]:[Sexo]]=$B44,IF(DATOS_[[AGRUP. CLAS. PROF.]:[AGRUP. CLAS. PROF.]]=$B42,IF(DATOS_[[Check Periodo Ref.]:[Check Periodo Ref.]]="Dentro",DATOS_[Conc.Sal.21]))))),
0)</f>
        <v>0</v>
      </c>
      <c r="AA44" s="170">
        <f t="array" ref="AA44">IFERROR(
AVERAGE((IF(DATOS_[[Sexo]:[Sexo]]=$B44,IF(DATOS_[[AGRUP. CLAS. PROF.]:[AGRUP. CLAS. PROF.]]=$B42,IF(DATOS_[[Check Periodo Ref.]:[Check Periodo Ref.]]="Dentro",DATOS_[Conc.Sal.22]))))),
0)</f>
        <v>0</v>
      </c>
      <c r="AB44" s="170">
        <f t="array" ref="AB44">IFERROR(
AVERAGE((IF(DATOS_[[Sexo]:[Sexo]]=$B44,IF(DATOS_[[AGRUP. CLAS. PROF.]:[AGRUP. CLAS. PROF.]]=$B42,IF(DATOS_[[Check Periodo Ref.]:[Check Periodo Ref.]]="Dentro",DATOS_[Conc.Sal.23]))))),
0)</f>
        <v>0</v>
      </c>
      <c r="AC44" s="170">
        <f t="array" ref="AC44">IFERROR(
AVERAGE((IF(DATOS_[[Sexo]:[Sexo]]=$B44,IF(DATOS_[[AGRUP. CLAS. PROF.]:[AGRUP. CLAS. PROF.]]=$B42,IF(DATOS_[[Check Periodo Ref.]:[Check Periodo Ref.]]="Dentro",DATOS_[Conc.Sal.24]))))),
0)</f>
        <v>0</v>
      </c>
      <c r="AD44" s="170">
        <f t="array" ref="AD44">IFERROR(
AVERAGE((IF(DATOS_[[Sexo]:[Sexo]]=$B44,IF(DATOS_[[AGRUP. CLAS. PROF.]:[AGRUP. CLAS. PROF.]]=$B42,IF(DATOS_[[Check Periodo Ref.]:[Check Periodo Ref.]]="Dentro",DATOS_[Conc.Sal.25]))))),
0)</f>
        <v>0</v>
      </c>
      <c r="AE44" s="170">
        <f t="array" ref="AE44">IFERROR(
AVERAGE((IF(DATOS_[[Sexo]:[Sexo]]=$B44,IF(DATOS_[[AGRUP. CLAS. PROF.]:[AGRUP. CLAS. PROF.]]=$B42,IF(DATOS_[[Check Periodo Ref.]:[Check Periodo Ref.]]="Dentro",DATOS_[Conc.Sal.26]))))),
0)</f>
        <v>0</v>
      </c>
      <c r="AF44" s="170">
        <f t="array" ref="AF44">IFERROR(
AVERAGE((IF(DATOS_[[Sexo]:[Sexo]]=$B44,IF(DATOS_[[AGRUP. CLAS. PROF.]:[AGRUP. CLAS. PROF.]]=$B42,IF(DATOS_[[Check Periodo Ref.]:[Check Periodo Ref.]]="Dentro",DATOS_[Conc.Sal.27]))))),
0)</f>
        <v>0</v>
      </c>
      <c r="AG44" s="170">
        <f t="array" ref="AG44">IFERROR(
AVERAGE((IF(DATOS_[[Sexo]:[Sexo]]=$B44,IF(DATOS_[[AGRUP. CLAS. PROF.]:[AGRUP. CLAS. PROF.]]=$B42,IF(DATOS_[[Check Periodo Ref.]:[Check Periodo Ref.]]="Dentro",DATOS_[Conc.Sal.28]))))),
0)</f>
        <v>0</v>
      </c>
      <c r="AH44" s="170">
        <f t="array" ref="AH44">IFERROR(
AVERAGE((IF(DATOS_[[Sexo]:[Sexo]]=$B44,IF(DATOS_[[AGRUP. CLAS. PROF.]:[AGRUP. CLAS. PROF.]]=$B42,IF(DATOS_[[Check Periodo Ref.]:[Check Periodo Ref.]]="Dentro",DATOS_[Conc.Sal.29]))))),
0)</f>
        <v>0</v>
      </c>
      <c r="AI44" s="170">
        <f t="array" ref="AI44">IFERROR(
AVERAGE((IF(DATOS_[[Sexo]:[Sexo]]=$B44,IF(DATOS_[[AGRUP. CLAS. PROF.]:[AGRUP. CLAS. PROF.]]=$B42,IF(DATOS_[[Check Periodo Ref.]:[Check Periodo Ref.]]="Dentro",DATOS_[Conc.Sal.30]))))),
0)</f>
        <v>0</v>
      </c>
      <c r="AJ44" s="171">
        <f t="array" ref="AJ44">IFERROR(
AVERAGE(IF(DATOS_[Sexo]=$B44,IF(DATOS_[AGRUP. CLAS. PROF.]=$B42,IF(DATOS_[Check Periodo Ref.]="Dentro",DATOS_[Tot COMPL.SAL Ef],FALSE)))),
0)</f>
        <v>0</v>
      </c>
      <c r="AK44" s="172">
        <f t="array" ref="AK44">IFERROR(
AVERAGE(IF(DATOS_[Sexo]=$B44,IF(DATOS_[AGRUP. CLAS. PROF.]=$B42,IF(DATOS_[Check Periodo Ref.]="Dentro",DATOS_[TOTAL SALARIO Ef],FALSE)))),
0)</f>
        <v>0</v>
      </c>
      <c r="AL44" s="173">
        <f t="array" ref="AL44">IFERROR(
AVERAGE((IF(DATOS_[[Sexo]:[Sexo]]=$B44,IF(DATOS_[[AGRUP. CLAS. PROF.]:[AGRUP. CLAS. PROF.]]=$B42,IF(DATOS_[[Check Periodo Ref.]:[Check Periodo Ref.]]="Dentro",DATOS_[C.Extra.01]))))),
0)</f>
        <v>0</v>
      </c>
      <c r="AM44" s="173">
        <f t="array" ref="AM44">IFERROR(
AVERAGE((IF(DATOS_[[Sexo]:[Sexo]]=$B44,IF(DATOS_[[AGRUP. CLAS. PROF.]:[AGRUP. CLAS. PROF.]]=$B42,IF(DATOS_[[Check Periodo Ref.]:[Check Periodo Ref.]]="Dentro",DATOS_[C.Extra.06]))))),
0)</f>
        <v>0</v>
      </c>
      <c r="AN44" s="173">
        <f t="array" ref="AN44">IFERROR(
AVERAGE((IF(DATOS_[[Sexo]:[Sexo]]=$B44,IF(DATOS_[[AGRUP. CLAS. PROF.]:[AGRUP. CLAS. PROF.]]=$B42,IF(DATOS_[[Check Periodo Ref.]:[Check Periodo Ref.]]="Dentro",DATOS_[C.Extra.07]))))),
0)</f>
        <v>0</v>
      </c>
      <c r="AO44" s="173">
        <f t="array" ref="AO44">IFERROR(
AVERAGE((IF(DATOS_[[Sexo]:[Sexo]]=$B44,IF(DATOS_[[AGRUP. CLAS. PROF.]:[AGRUP. CLAS. PROF.]]=$B42,IF(DATOS_[[Check Periodo Ref.]:[Check Periodo Ref.]]="Dentro",DATOS_[C.Extra.08]))))),
0)</f>
        <v>0</v>
      </c>
      <c r="AP44" s="173">
        <f t="array" ref="AP44">IFERROR(
AVERAGE((IF(DATOS_[[Sexo]:[Sexo]]=$B44,IF(DATOS_[[AGRUP. CLAS. PROF.]:[AGRUP. CLAS. PROF.]]=$B42,IF(DATOS_[[Check Periodo Ref.]:[Check Periodo Ref.]]="Dentro",DATOS_[C.Extra.11]))))),
0)</f>
        <v>0</v>
      </c>
      <c r="AQ44" s="174">
        <f t="array" ref="AQ44">IFERROR(
AVERAGE(IF(DATOS_[Sexo]=$B44,IF(DATOS_[AGRUP. CLAS. PROF.]=$B42,IF(DATOS_[Check Periodo Ref.]="Dentro",DATOS_[Tot Extrasalarial Ef],FALSE)))),
0)</f>
        <v>0</v>
      </c>
      <c r="AR44" s="171">
        <f t="array" ref="AR44">IFERROR(
AVERAGE(IF(DATOS_[Sexo]=$B44,IF(DATOS_[AGRUP. CLAS. PROF.]=$B42,IF(DATOS_[Check Periodo Ref.]="Dentro",DATOS_[TOTAL Retrib Ef],FALSE)))),
0)</f>
        <v>0</v>
      </c>
    </row>
    <row r="45" spans="1:44" s="152" customFormat="1" ht="14.4" thickBot="1" x14ac:dyDescent="0.3">
      <c r="A45" s="135" t="str">
        <f t="shared" ref="A45" si="43">+A46</f>
        <v>[ocultar]</v>
      </c>
      <c r="B45" s="153" t="s">
        <v>217</v>
      </c>
      <c r="C45" s="154"/>
      <c r="D45" s="155"/>
      <c r="E45" s="156" t="str">
        <f t="shared" ref="E45:AR45" si="44">IFERROR((E46-E47)/E46,"")</f>
        <v/>
      </c>
      <c r="F45" s="157" t="str">
        <f t="shared" si="44"/>
        <v/>
      </c>
      <c r="G45" s="158" t="str">
        <f t="shared" si="44"/>
        <v/>
      </c>
      <c r="H45" s="158" t="str">
        <f t="shared" si="44"/>
        <v/>
      </c>
      <c r="I45" s="158" t="str">
        <f t="shared" si="44"/>
        <v/>
      </c>
      <c r="J45" s="159" t="str">
        <f t="shared" si="44"/>
        <v/>
      </c>
      <c r="K45" s="160" t="str">
        <f t="shared" si="44"/>
        <v/>
      </c>
      <c r="L45" s="160" t="str">
        <f t="shared" si="44"/>
        <v/>
      </c>
      <c r="M45" s="160" t="str">
        <f t="shared" si="44"/>
        <v/>
      </c>
      <c r="N45" s="160" t="str">
        <f t="shared" si="44"/>
        <v/>
      </c>
      <c r="O45" s="160" t="str">
        <f t="shared" si="44"/>
        <v/>
      </c>
      <c r="P45" s="160" t="str">
        <f t="shared" si="44"/>
        <v/>
      </c>
      <c r="Q45" s="160" t="str">
        <f t="shared" si="44"/>
        <v/>
      </c>
      <c r="R45" s="160" t="str">
        <f t="shared" si="44"/>
        <v/>
      </c>
      <c r="S45" s="160" t="str">
        <f t="shared" si="44"/>
        <v/>
      </c>
      <c r="T45" s="160" t="str">
        <f t="shared" si="44"/>
        <v/>
      </c>
      <c r="U45" s="160" t="str">
        <f t="shared" si="44"/>
        <v/>
      </c>
      <c r="V45" s="159" t="str">
        <f t="shared" si="44"/>
        <v/>
      </c>
      <c r="W45" s="159" t="str">
        <f t="shared" si="44"/>
        <v/>
      </c>
      <c r="X45" s="159" t="str">
        <f t="shared" si="44"/>
        <v/>
      </c>
      <c r="Y45" s="159" t="str">
        <f t="shared" si="44"/>
        <v/>
      </c>
      <c r="Z45" s="159" t="str">
        <f t="shared" si="44"/>
        <v/>
      </c>
      <c r="AA45" s="159" t="str">
        <f t="shared" si="44"/>
        <v/>
      </c>
      <c r="AB45" s="159" t="str">
        <f t="shared" si="44"/>
        <v/>
      </c>
      <c r="AC45" s="159" t="str">
        <f t="shared" si="44"/>
        <v/>
      </c>
      <c r="AD45" s="159" t="str">
        <f t="shared" si="44"/>
        <v/>
      </c>
      <c r="AE45" s="159" t="str">
        <f t="shared" si="44"/>
        <v/>
      </c>
      <c r="AF45" s="159" t="str">
        <f t="shared" si="44"/>
        <v/>
      </c>
      <c r="AG45" s="159" t="str">
        <f t="shared" si="44"/>
        <v/>
      </c>
      <c r="AH45" s="159" t="str">
        <f t="shared" si="44"/>
        <v/>
      </c>
      <c r="AI45" s="159" t="str">
        <f t="shared" si="44"/>
        <v/>
      </c>
      <c r="AJ45" s="161" t="str">
        <f t="shared" si="44"/>
        <v/>
      </c>
      <c r="AK45" s="162" t="str">
        <f t="shared" si="44"/>
        <v/>
      </c>
      <c r="AL45" s="163" t="str">
        <f t="shared" si="44"/>
        <v/>
      </c>
      <c r="AM45" s="163" t="str">
        <f t="shared" si="44"/>
        <v/>
      </c>
      <c r="AN45" s="163" t="str">
        <f t="shared" si="44"/>
        <v/>
      </c>
      <c r="AO45" s="163" t="str">
        <f t="shared" si="44"/>
        <v/>
      </c>
      <c r="AP45" s="163" t="str">
        <f t="shared" si="44"/>
        <v/>
      </c>
      <c r="AQ45" s="164" t="str">
        <f t="shared" si="44"/>
        <v/>
      </c>
      <c r="AR45" s="161" t="str">
        <f t="shared" si="44"/>
        <v/>
      </c>
    </row>
    <row r="46" spans="1:44" x14ac:dyDescent="0.25">
      <c r="A46" s="135" t="str">
        <f t="shared" ref="A46" si="45">+IF(C46+C47=0,"[ocultar]","")</f>
        <v>[ocultar]</v>
      </c>
      <c r="B46" s="166" t="s">
        <v>394</v>
      </c>
      <c r="C46" s="167">
        <f t="array" ref="C46">SUM(IF($B46=DATOS_[Sexo],
IF($B45=DATOS_[AGRUP. CLAS. PROF.],
IF("Dentro"=DATOS_[Check Periodo Ref.],
1/(COUNTIFS(DATOS_[Sexo],$B46,DATOS_[AGRUP. CLAS. PROF.],$B45,DATOS_[Check Periodo Ref.],"Dentro",DATOS_[id/cod],DATOS_[id/cod]))))))</f>
        <v>0</v>
      </c>
      <c r="D46" s="168">
        <f>COUNTIFS(DATOS_[AGRUP. CLAS. PROF.],$B45,DATOS_[Sexo],$B46,DATOS_[Check Periodo Ref.],"Dentro")</f>
        <v>0</v>
      </c>
      <c r="E46" s="169">
        <f t="array" ref="E46">IFERROR(
AVERAGE(IF(DATOS_[Sexo]=$B46,IF(DATOS_[AGRUP. CLAS. PROF.]=$B45,IF(DATOS_[Check Periodo Ref.]="Dentro",DATOS_[SALARIO BASE Ef],FALSE)))),
0)</f>
        <v>0</v>
      </c>
      <c r="F46" s="170">
        <f t="array" ref="F46">IFERROR(
AVERAGE((IF(DATOS_[[Sexo]:[Sexo]]=$B46,IF(DATOS_[[AGRUP. CLAS. PROF.]:[AGRUP. CLAS. PROF.]]=$B45,IF(DATOS_[[Check Periodo Ref.]:[Check Periodo Ref.]]="Dentro",DATOS_[Conc.Sal.01]))))),
0)</f>
        <v>0</v>
      </c>
      <c r="G46" s="170">
        <f t="array" ref="G46">IFERROR(
AVERAGE((IF(DATOS_[[Sexo]:[Sexo]]=$B46,IF(DATOS_[[AGRUP. CLAS. PROF.]:[AGRUP. CLAS. PROF.]]=$B45,IF(DATOS_[[Check Periodo Ref.]:[Check Periodo Ref.]]="Dentro",DATOS_[Conc.Sal.02]))))),
0)</f>
        <v>0</v>
      </c>
      <c r="H46" s="170">
        <f t="array" ref="H46">IFERROR(
AVERAGE((IF(DATOS_[[Sexo]:[Sexo]]=$B46,IF(DATOS_[[AGRUP. CLAS. PROF.]:[AGRUP. CLAS. PROF.]]=$B45,IF(DATOS_[[Check Periodo Ref.]:[Check Periodo Ref.]]="Dentro",DATOS_[Conc.Sal.03]))))),
0)</f>
        <v>0</v>
      </c>
      <c r="I46" s="170">
        <f t="array" ref="I46">IFERROR(
AVERAGE((IF(DATOS_[[Sexo]:[Sexo]]=$B46,IF(DATOS_[[AGRUP. CLAS. PROF.]:[AGRUP. CLAS. PROF.]]=$B45,IF(DATOS_[[Check Periodo Ref.]:[Check Periodo Ref.]]="Dentro",DATOS_[Conc.Sal.04]))))),
0)</f>
        <v>0</v>
      </c>
      <c r="J46" s="170">
        <f t="array" ref="J46">IFERROR(
AVERAGE((IF(DATOS_[[Sexo]:[Sexo]]=$B46,IF(DATOS_[[AGRUP. CLAS. PROF.]:[AGRUP. CLAS. PROF.]]=$B45,IF(DATOS_[[Check Periodo Ref.]:[Check Periodo Ref.]]="Dentro",DATOS_[Conc.Sal.05]))))),
0)</f>
        <v>0</v>
      </c>
      <c r="K46" s="170">
        <f t="array" ref="K46">IFERROR(
AVERAGE((IF(DATOS_[[Sexo]:[Sexo]]=$B46,IF(DATOS_[[AGRUP. CLAS. PROF.]:[AGRUP. CLAS. PROF.]]=$B45,IF(DATOS_[[Check Periodo Ref.]:[Check Periodo Ref.]]="Dentro",DATOS_[Conc.Sal.06]))))),
0)</f>
        <v>0</v>
      </c>
      <c r="L46" s="170">
        <f t="array" ref="L46">IFERROR(
AVERAGE((IF(DATOS_[[Sexo]:[Sexo]]=$B46,IF(DATOS_[[AGRUP. CLAS. PROF.]:[AGRUP. CLAS. PROF.]]=$B45,IF(DATOS_[[Check Periodo Ref.]:[Check Periodo Ref.]]="Dentro",DATOS_[Conc.Sal.07]))))),
0)</f>
        <v>0</v>
      </c>
      <c r="M46" s="170">
        <f t="array" ref="M46">IFERROR(
AVERAGE((IF(DATOS_[[Sexo]:[Sexo]]=$B46,IF(DATOS_[[AGRUP. CLAS. PROF.]:[AGRUP. CLAS. PROF.]]=$B45,IF(DATOS_[[Check Periodo Ref.]:[Check Periodo Ref.]]="Dentro",DATOS_[Conc.Sal.08]))))),
0)</f>
        <v>0</v>
      </c>
      <c r="N46" s="170">
        <f t="array" ref="N46">IFERROR(
AVERAGE((IF(DATOS_[[Sexo]:[Sexo]]=$B46,IF(DATOS_[[AGRUP. CLAS. PROF.]:[AGRUP. CLAS. PROF.]]=$B45,IF(DATOS_[[Check Periodo Ref.]:[Check Periodo Ref.]]="Dentro",DATOS_[Conc.Sal.09]))))),
0)</f>
        <v>0</v>
      </c>
      <c r="O46" s="170">
        <f t="array" ref="O46">IFERROR(
AVERAGE((IF(DATOS_[[Sexo]:[Sexo]]=$B46,IF(DATOS_[[AGRUP. CLAS. PROF.]:[AGRUP. CLAS. PROF.]]=$B45,IF(DATOS_[[Check Periodo Ref.]:[Check Periodo Ref.]]="Dentro",DATOS_[Conc.Sal.10]))))),
0)</f>
        <v>0</v>
      </c>
      <c r="P46" s="170">
        <f t="array" ref="P46">IFERROR(
AVERAGE((IF(DATOS_[[Sexo]:[Sexo]]=$B46,IF(DATOS_[[AGRUP. CLAS. PROF.]:[AGRUP. CLAS. PROF.]]=$B45,IF(DATOS_[[Check Periodo Ref.]:[Check Periodo Ref.]]="Dentro",DATOS_[Conc.Sal.11]))))),
0)</f>
        <v>0</v>
      </c>
      <c r="Q46" s="170">
        <f t="array" ref="Q46">IFERROR(
AVERAGE((IF(DATOS_[[Sexo]:[Sexo]]=$B46,IF(DATOS_[[AGRUP. CLAS. PROF.]:[AGRUP. CLAS. PROF.]]=$B45,IF(DATOS_[[Check Periodo Ref.]:[Check Periodo Ref.]]="Dentro",DATOS_[Conc.Sal.12]))))),
0)</f>
        <v>0</v>
      </c>
      <c r="R46" s="170">
        <f t="array" ref="R46">IFERROR(
AVERAGE((IF(DATOS_[[Sexo]:[Sexo]]=$B46,IF(DATOS_[[AGRUP. CLAS. PROF.]:[AGRUP. CLAS. PROF.]]=$B45,IF(DATOS_[[Check Periodo Ref.]:[Check Periodo Ref.]]="Dentro",DATOS_[Conc.Sal.13]))))),
0)</f>
        <v>0</v>
      </c>
      <c r="S46" s="170">
        <f t="array" ref="S46">IFERROR(
AVERAGE((IF(DATOS_[[Sexo]:[Sexo]]=$B46,IF(DATOS_[[AGRUP. CLAS. PROF.]:[AGRUP. CLAS. PROF.]]=$B45,IF(DATOS_[[Check Periodo Ref.]:[Check Periodo Ref.]]="Dentro",DATOS_[Conc.Sal.14]))))),
0)</f>
        <v>0</v>
      </c>
      <c r="T46" s="170">
        <f t="array" ref="T46">IFERROR(
AVERAGE((IF(DATOS_[[Sexo]:[Sexo]]=$B46,IF(DATOS_[[AGRUP. CLAS. PROF.]:[AGRUP. CLAS. PROF.]]=$B45,IF(DATOS_[[Check Periodo Ref.]:[Check Periodo Ref.]]="Dentro",DATOS_[Conc.Sal.15]))))),
0)</f>
        <v>0</v>
      </c>
      <c r="U46" s="170">
        <f t="array" ref="U46">IFERROR(
AVERAGE((IF(DATOS_[[Sexo]:[Sexo]]=$B46,IF(DATOS_[[AGRUP. CLAS. PROF.]:[AGRUP. CLAS. PROF.]]=$B45,IF(DATOS_[[Check Periodo Ref.]:[Check Periodo Ref.]]="Dentro",DATOS_[Conc.Sal.16]))))),
0)</f>
        <v>0</v>
      </c>
      <c r="V46" s="170">
        <f t="array" ref="V46">IFERROR(
AVERAGE((IF(DATOS_[[Sexo]:[Sexo]]=$B46,IF(DATOS_[[AGRUP. CLAS. PROF.]:[AGRUP. CLAS. PROF.]]=$B45,IF(DATOS_[[Check Periodo Ref.]:[Check Periodo Ref.]]="Dentro",DATOS_[Conc.Sal.17]))))),
0)</f>
        <v>0</v>
      </c>
      <c r="W46" s="170">
        <f t="array" ref="W46">IFERROR(
AVERAGE((IF(DATOS_[[Sexo]:[Sexo]]=$B46,IF(DATOS_[[AGRUP. CLAS. PROF.]:[AGRUP. CLAS. PROF.]]=$B45,IF(DATOS_[[Check Periodo Ref.]:[Check Periodo Ref.]]="Dentro",DATOS_[Conc.Sal.18]))))),
0)</f>
        <v>0</v>
      </c>
      <c r="X46" s="170">
        <f t="array" ref="X46">IFERROR(
AVERAGE((IF(DATOS_[[Sexo]:[Sexo]]=$B46,IF(DATOS_[[AGRUP. CLAS. PROF.]:[AGRUP. CLAS. PROF.]]=$B45,IF(DATOS_[[Check Periodo Ref.]:[Check Periodo Ref.]]="Dentro",DATOS_[Conc.Sal.19]))))),
0)</f>
        <v>0</v>
      </c>
      <c r="Y46" s="170">
        <f t="array" ref="Y46">IFERROR(
AVERAGE((IF(DATOS_[[Sexo]:[Sexo]]=$B46,IF(DATOS_[[AGRUP. CLAS. PROF.]:[AGRUP. CLAS. PROF.]]=$B45,IF(DATOS_[[Check Periodo Ref.]:[Check Periodo Ref.]]="Dentro",DATOS_[Conc.Sal.20]))))),
0)</f>
        <v>0</v>
      </c>
      <c r="Z46" s="170">
        <f t="array" ref="Z46">IFERROR(
AVERAGE((IF(DATOS_[[Sexo]:[Sexo]]=$B46,IF(DATOS_[[AGRUP. CLAS. PROF.]:[AGRUP. CLAS. PROF.]]=$B45,IF(DATOS_[[Check Periodo Ref.]:[Check Periodo Ref.]]="Dentro",DATOS_[Conc.Sal.21]))))),
0)</f>
        <v>0</v>
      </c>
      <c r="AA46" s="170">
        <f t="array" ref="AA46">IFERROR(
AVERAGE((IF(DATOS_[[Sexo]:[Sexo]]=$B46,IF(DATOS_[[AGRUP. CLAS. PROF.]:[AGRUP. CLAS. PROF.]]=$B45,IF(DATOS_[[Check Periodo Ref.]:[Check Periodo Ref.]]="Dentro",DATOS_[Conc.Sal.22]))))),
0)</f>
        <v>0</v>
      </c>
      <c r="AB46" s="170">
        <f t="array" ref="AB46">IFERROR(
AVERAGE((IF(DATOS_[[Sexo]:[Sexo]]=$B46,IF(DATOS_[[AGRUP. CLAS. PROF.]:[AGRUP. CLAS. PROF.]]=$B45,IF(DATOS_[[Check Periodo Ref.]:[Check Periodo Ref.]]="Dentro",DATOS_[Conc.Sal.23]))))),
0)</f>
        <v>0</v>
      </c>
      <c r="AC46" s="170">
        <f t="array" ref="AC46">IFERROR(
AVERAGE((IF(DATOS_[[Sexo]:[Sexo]]=$B46,IF(DATOS_[[AGRUP. CLAS. PROF.]:[AGRUP. CLAS. PROF.]]=$B45,IF(DATOS_[[Check Periodo Ref.]:[Check Periodo Ref.]]="Dentro",DATOS_[Conc.Sal.24]))))),
0)</f>
        <v>0</v>
      </c>
      <c r="AD46" s="170">
        <f t="array" ref="AD46">IFERROR(
AVERAGE((IF(DATOS_[[Sexo]:[Sexo]]=$B46,IF(DATOS_[[AGRUP. CLAS. PROF.]:[AGRUP. CLAS. PROF.]]=$B45,IF(DATOS_[[Check Periodo Ref.]:[Check Periodo Ref.]]="Dentro",DATOS_[Conc.Sal.25]))))),
0)</f>
        <v>0</v>
      </c>
      <c r="AE46" s="170">
        <f t="array" ref="AE46">IFERROR(
AVERAGE((IF(DATOS_[[Sexo]:[Sexo]]=$B46,IF(DATOS_[[AGRUP. CLAS. PROF.]:[AGRUP. CLAS. PROF.]]=$B45,IF(DATOS_[[Check Periodo Ref.]:[Check Periodo Ref.]]="Dentro",DATOS_[Conc.Sal.26]))))),
0)</f>
        <v>0</v>
      </c>
      <c r="AF46" s="170">
        <f t="array" ref="AF46">IFERROR(
AVERAGE((IF(DATOS_[[Sexo]:[Sexo]]=$B46,IF(DATOS_[[AGRUP. CLAS. PROF.]:[AGRUP. CLAS. PROF.]]=$B45,IF(DATOS_[[Check Periodo Ref.]:[Check Periodo Ref.]]="Dentro",DATOS_[Conc.Sal.27]))))),
0)</f>
        <v>0</v>
      </c>
      <c r="AG46" s="170">
        <f t="array" ref="AG46">IFERROR(
AVERAGE((IF(DATOS_[[Sexo]:[Sexo]]=$B46,IF(DATOS_[[AGRUP. CLAS. PROF.]:[AGRUP. CLAS. PROF.]]=$B45,IF(DATOS_[[Check Periodo Ref.]:[Check Periodo Ref.]]="Dentro",DATOS_[Conc.Sal.28]))))),
0)</f>
        <v>0</v>
      </c>
      <c r="AH46" s="170">
        <f t="array" ref="AH46">IFERROR(
AVERAGE((IF(DATOS_[[Sexo]:[Sexo]]=$B46,IF(DATOS_[[AGRUP. CLAS. PROF.]:[AGRUP. CLAS. PROF.]]=$B45,IF(DATOS_[[Check Periodo Ref.]:[Check Periodo Ref.]]="Dentro",DATOS_[Conc.Sal.29]))))),
0)</f>
        <v>0</v>
      </c>
      <c r="AI46" s="170">
        <f t="array" ref="AI46">IFERROR(
AVERAGE((IF(DATOS_[[Sexo]:[Sexo]]=$B46,IF(DATOS_[[AGRUP. CLAS. PROF.]:[AGRUP. CLAS. PROF.]]=$B45,IF(DATOS_[[Check Periodo Ref.]:[Check Periodo Ref.]]="Dentro",DATOS_[Conc.Sal.30]))))),
0)</f>
        <v>0</v>
      </c>
      <c r="AJ46" s="171">
        <f t="array" ref="AJ46">IFERROR(
AVERAGE(IF(DATOS_[Sexo]=$B46,IF(DATOS_[AGRUP. CLAS. PROF.]=$B45,IF(DATOS_[Check Periodo Ref.]="Dentro",DATOS_[Tot COMPL.SAL Ef],FALSE)))),
0)</f>
        <v>0</v>
      </c>
      <c r="AK46" s="172">
        <f t="array" ref="AK46">IFERROR(
AVERAGE(IF(DATOS_[Sexo]=$B46,IF(DATOS_[AGRUP. CLAS. PROF.]=$B45,IF(DATOS_[Check Periodo Ref.]="Dentro",DATOS_[TOTAL SALARIO Ef],FALSE)))),
0)</f>
        <v>0</v>
      </c>
      <c r="AL46" s="173">
        <f t="array" ref="AL46">IFERROR(
AVERAGE((IF(DATOS_[[Sexo]:[Sexo]]=$B46,IF(DATOS_[[AGRUP. CLAS. PROF.]:[AGRUP. CLAS. PROF.]]=$B45,IF(DATOS_[[Check Periodo Ref.]:[Check Periodo Ref.]]="Dentro",DATOS_[C.Extra.01]))))),
0)</f>
        <v>0</v>
      </c>
      <c r="AM46" s="173">
        <f t="array" ref="AM46">IFERROR(
AVERAGE((IF(DATOS_[[Sexo]:[Sexo]]=$B46,IF(DATOS_[[AGRUP. CLAS. PROF.]:[AGRUP. CLAS. PROF.]]=$B45,IF(DATOS_[[Check Periodo Ref.]:[Check Periodo Ref.]]="Dentro",DATOS_[C.Extra.06]))))),
0)</f>
        <v>0</v>
      </c>
      <c r="AN46" s="173">
        <f t="array" ref="AN46">IFERROR(
AVERAGE((IF(DATOS_[[Sexo]:[Sexo]]=$B46,IF(DATOS_[[AGRUP. CLAS. PROF.]:[AGRUP. CLAS. PROF.]]=$B45,IF(DATOS_[[Check Periodo Ref.]:[Check Periodo Ref.]]="Dentro",DATOS_[C.Extra.07]))))),
0)</f>
        <v>0</v>
      </c>
      <c r="AO46" s="173">
        <f t="array" ref="AO46">IFERROR(
AVERAGE((IF(DATOS_[[Sexo]:[Sexo]]=$B46,IF(DATOS_[[AGRUP. CLAS. PROF.]:[AGRUP. CLAS. PROF.]]=$B45,IF(DATOS_[[Check Periodo Ref.]:[Check Periodo Ref.]]="Dentro",DATOS_[C.Extra.08]))))),
0)</f>
        <v>0</v>
      </c>
      <c r="AP46" s="173">
        <f t="array" ref="AP46">IFERROR(
AVERAGE((IF(DATOS_[[Sexo]:[Sexo]]=$B46,IF(DATOS_[[AGRUP. CLAS. PROF.]:[AGRUP. CLAS. PROF.]]=$B45,IF(DATOS_[[Check Periodo Ref.]:[Check Periodo Ref.]]="Dentro",DATOS_[C.Extra.11]))))),
0)</f>
        <v>0</v>
      </c>
      <c r="AQ46" s="174">
        <f t="array" ref="AQ46">IFERROR(
AVERAGE(IF(DATOS_[Sexo]=$B46,IF(DATOS_[AGRUP. CLAS. PROF.]=$B45,IF(DATOS_[Check Periodo Ref.]="Dentro",DATOS_[Tot Extrasalarial Ef],FALSE)))),
0)</f>
        <v>0</v>
      </c>
      <c r="AR46" s="171">
        <f t="array" ref="AR46">IFERROR(
AVERAGE(IF(DATOS_[Sexo]=$B46,IF(DATOS_[AGRUP. CLAS. PROF.]=$B45,IF(DATOS_[Check Periodo Ref.]="Dentro",DATOS_[TOTAL Retrib Ef],FALSE)))),
0)</f>
        <v>0</v>
      </c>
    </row>
    <row r="47" spans="1:44" x14ac:dyDescent="0.25">
      <c r="A47" s="135" t="str">
        <f t="shared" ref="A47" si="46">+A46</f>
        <v>[ocultar]</v>
      </c>
      <c r="B47" s="166" t="s">
        <v>521</v>
      </c>
      <c r="C47" s="167">
        <f t="array" ref="C47">SUM(IF($B47=DATOS_[Sexo],
IF($B45=DATOS_[AGRUP. CLAS. PROF.],
IF("Dentro"=DATOS_[Check Periodo Ref.],
1/(COUNTIFS(DATOS_[Sexo],$B47,DATOS_[AGRUP. CLAS. PROF.],$B45,DATOS_[Check Periodo Ref.],"Dentro",DATOS_[id/cod],DATOS_[id/cod]))))))</f>
        <v>0</v>
      </c>
      <c r="D47" s="168">
        <f>COUNTIFS(DATOS_[AGRUP. CLAS. PROF.],$B45,DATOS_[Sexo],$B47,DATOS_[Check Periodo Ref.],"Dentro")</f>
        <v>0</v>
      </c>
      <c r="E47" s="169">
        <f t="array" ref="E47">IFERROR(
AVERAGE(IF(DATOS_[Sexo]=$B47,IF(DATOS_[AGRUP. CLAS. PROF.]=$B45,IF(DATOS_[Check Periodo Ref.]="Dentro",DATOS_[SALARIO BASE Ef],FALSE)))),
0)</f>
        <v>0</v>
      </c>
      <c r="F47" s="170">
        <f t="array" ref="F47">IFERROR(
AVERAGE((IF(DATOS_[[Sexo]:[Sexo]]=$B47,IF(DATOS_[[AGRUP. CLAS. PROF.]:[AGRUP. CLAS. PROF.]]=$B45,IF(DATOS_[[Check Periodo Ref.]:[Check Periodo Ref.]]="Dentro",DATOS_[Conc.Sal.01]))))),
0)</f>
        <v>0</v>
      </c>
      <c r="G47" s="170">
        <f t="array" ref="G47">IFERROR(
AVERAGE((IF(DATOS_[[Sexo]:[Sexo]]=$B47,IF(DATOS_[[AGRUP. CLAS. PROF.]:[AGRUP. CLAS. PROF.]]=$B45,IF(DATOS_[[Check Periodo Ref.]:[Check Periodo Ref.]]="Dentro",DATOS_[Conc.Sal.02]))))),
0)</f>
        <v>0</v>
      </c>
      <c r="H47" s="170">
        <f t="array" ref="H47">IFERROR(
AVERAGE((IF(DATOS_[[Sexo]:[Sexo]]=$B47,IF(DATOS_[[AGRUP. CLAS. PROF.]:[AGRUP. CLAS. PROF.]]=$B45,IF(DATOS_[[Check Periodo Ref.]:[Check Periodo Ref.]]="Dentro",DATOS_[Conc.Sal.03]))))),
0)</f>
        <v>0</v>
      </c>
      <c r="I47" s="170">
        <f t="array" ref="I47">IFERROR(
AVERAGE((IF(DATOS_[[Sexo]:[Sexo]]=$B47,IF(DATOS_[[AGRUP. CLAS. PROF.]:[AGRUP. CLAS. PROF.]]=$B45,IF(DATOS_[[Check Periodo Ref.]:[Check Periodo Ref.]]="Dentro",DATOS_[Conc.Sal.04]))))),
0)</f>
        <v>0</v>
      </c>
      <c r="J47" s="170">
        <f t="array" ref="J47">IFERROR(
AVERAGE((IF(DATOS_[[Sexo]:[Sexo]]=$B47,IF(DATOS_[[AGRUP. CLAS. PROF.]:[AGRUP. CLAS. PROF.]]=$B45,IF(DATOS_[[Check Periodo Ref.]:[Check Periodo Ref.]]="Dentro",DATOS_[Conc.Sal.05]))))),
0)</f>
        <v>0</v>
      </c>
      <c r="K47" s="170">
        <f t="array" ref="K47">IFERROR(
AVERAGE((IF(DATOS_[[Sexo]:[Sexo]]=$B47,IF(DATOS_[[AGRUP. CLAS. PROF.]:[AGRUP. CLAS. PROF.]]=$B45,IF(DATOS_[[Check Periodo Ref.]:[Check Periodo Ref.]]="Dentro",DATOS_[Conc.Sal.06]))))),
0)</f>
        <v>0</v>
      </c>
      <c r="L47" s="170">
        <f t="array" ref="L47">IFERROR(
AVERAGE((IF(DATOS_[[Sexo]:[Sexo]]=$B47,IF(DATOS_[[AGRUP. CLAS. PROF.]:[AGRUP. CLAS. PROF.]]=$B45,IF(DATOS_[[Check Periodo Ref.]:[Check Periodo Ref.]]="Dentro",DATOS_[Conc.Sal.07]))))),
0)</f>
        <v>0</v>
      </c>
      <c r="M47" s="170">
        <f t="array" ref="M47">IFERROR(
AVERAGE((IF(DATOS_[[Sexo]:[Sexo]]=$B47,IF(DATOS_[[AGRUP. CLAS. PROF.]:[AGRUP. CLAS. PROF.]]=$B45,IF(DATOS_[[Check Periodo Ref.]:[Check Periodo Ref.]]="Dentro",DATOS_[Conc.Sal.08]))))),
0)</f>
        <v>0</v>
      </c>
      <c r="N47" s="170">
        <f t="array" ref="N47">IFERROR(
AVERAGE((IF(DATOS_[[Sexo]:[Sexo]]=$B47,IF(DATOS_[[AGRUP. CLAS. PROF.]:[AGRUP. CLAS. PROF.]]=$B45,IF(DATOS_[[Check Periodo Ref.]:[Check Periodo Ref.]]="Dentro",DATOS_[Conc.Sal.09]))))),
0)</f>
        <v>0</v>
      </c>
      <c r="O47" s="170">
        <f t="array" ref="O47">IFERROR(
AVERAGE((IF(DATOS_[[Sexo]:[Sexo]]=$B47,IF(DATOS_[[AGRUP. CLAS. PROF.]:[AGRUP. CLAS. PROF.]]=$B45,IF(DATOS_[[Check Periodo Ref.]:[Check Periodo Ref.]]="Dentro",DATOS_[Conc.Sal.10]))))),
0)</f>
        <v>0</v>
      </c>
      <c r="P47" s="170">
        <f t="array" ref="P47">IFERROR(
AVERAGE((IF(DATOS_[[Sexo]:[Sexo]]=$B47,IF(DATOS_[[AGRUP. CLAS. PROF.]:[AGRUP. CLAS. PROF.]]=$B45,IF(DATOS_[[Check Periodo Ref.]:[Check Periodo Ref.]]="Dentro",DATOS_[Conc.Sal.11]))))),
0)</f>
        <v>0</v>
      </c>
      <c r="Q47" s="170">
        <f t="array" ref="Q47">IFERROR(
AVERAGE((IF(DATOS_[[Sexo]:[Sexo]]=$B47,IF(DATOS_[[AGRUP. CLAS. PROF.]:[AGRUP. CLAS. PROF.]]=$B45,IF(DATOS_[[Check Periodo Ref.]:[Check Periodo Ref.]]="Dentro",DATOS_[Conc.Sal.12]))))),
0)</f>
        <v>0</v>
      </c>
      <c r="R47" s="170">
        <f t="array" ref="R47">IFERROR(
AVERAGE((IF(DATOS_[[Sexo]:[Sexo]]=$B47,IF(DATOS_[[AGRUP. CLAS. PROF.]:[AGRUP. CLAS. PROF.]]=$B45,IF(DATOS_[[Check Periodo Ref.]:[Check Periodo Ref.]]="Dentro",DATOS_[Conc.Sal.13]))))),
0)</f>
        <v>0</v>
      </c>
      <c r="S47" s="170">
        <f t="array" ref="S47">IFERROR(
AVERAGE((IF(DATOS_[[Sexo]:[Sexo]]=$B47,IF(DATOS_[[AGRUP. CLAS. PROF.]:[AGRUP. CLAS. PROF.]]=$B45,IF(DATOS_[[Check Periodo Ref.]:[Check Periodo Ref.]]="Dentro",DATOS_[Conc.Sal.14]))))),
0)</f>
        <v>0</v>
      </c>
      <c r="T47" s="170">
        <f t="array" ref="T47">IFERROR(
AVERAGE((IF(DATOS_[[Sexo]:[Sexo]]=$B47,IF(DATOS_[[AGRUP. CLAS. PROF.]:[AGRUP. CLAS. PROF.]]=$B45,IF(DATOS_[[Check Periodo Ref.]:[Check Periodo Ref.]]="Dentro",DATOS_[Conc.Sal.15]))))),
0)</f>
        <v>0</v>
      </c>
      <c r="U47" s="170">
        <f t="array" ref="U47">IFERROR(
AVERAGE((IF(DATOS_[[Sexo]:[Sexo]]=$B47,IF(DATOS_[[AGRUP. CLAS. PROF.]:[AGRUP. CLAS. PROF.]]=$B45,IF(DATOS_[[Check Periodo Ref.]:[Check Periodo Ref.]]="Dentro",DATOS_[Conc.Sal.16]))))),
0)</f>
        <v>0</v>
      </c>
      <c r="V47" s="170">
        <f t="array" ref="V47">IFERROR(
AVERAGE((IF(DATOS_[[Sexo]:[Sexo]]=$B47,IF(DATOS_[[AGRUP. CLAS. PROF.]:[AGRUP. CLAS. PROF.]]=$B45,IF(DATOS_[[Check Periodo Ref.]:[Check Periodo Ref.]]="Dentro",DATOS_[Conc.Sal.17]))))),
0)</f>
        <v>0</v>
      </c>
      <c r="W47" s="170">
        <f t="array" ref="W47">IFERROR(
AVERAGE((IF(DATOS_[[Sexo]:[Sexo]]=$B47,IF(DATOS_[[AGRUP. CLAS. PROF.]:[AGRUP. CLAS. PROF.]]=$B45,IF(DATOS_[[Check Periodo Ref.]:[Check Periodo Ref.]]="Dentro",DATOS_[Conc.Sal.18]))))),
0)</f>
        <v>0</v>
      </c>
      <c r="X47" s="170">
        <f t="array" ref="X47">IFERROR(
AVERAGE((IF(DATOS_[[Sexo]:[Sexo]]=$B47,IF(DATOS_[[AGRUP. CLAS. PROF.]:[AGRUP. CLAS. PROF.]]=$B45,IF(DATOS_[[Check Periodo Ref.]:[Check Periodo Ref.]]="Dentro",DATOS_[Conc.Sal.19]))))),
0)</f>
        <v>0</v>
      </c>
      <c r="Y47" s="170">
        <f t="array" ref="Y47">IFERROR(
AVERAGE((IF(DATOS_[[Sexo]:[Sexo]]=$B47,IF(DATOS_[[AGRUP. CLAS. PROF.]:[AGRUP. CLAS. PROF.]]=$B45,IF(DATOS_[[Check Periodo Ref.]:[Check Periodo Ref.]]="Dentro",DATOS_[Conc.Sal.20]))))),
0)</f>
        <v>0</v>
      </c>
      <c r="Z47" s="170">
        <f t="array" ref="Z47">IFERROR(
AVERAGE((IF(DATOS_[[Sexo]:[Sexo]]=$B47,IF(DATOS_[[AGRUP. CLAS. PROF.]:[AGRUP. CLAS. PROF.]]=$B45,IF(DATOS_[[Check Periodo Ref.]:[Check Periodo Ref.]]="Dentro",DATOS_[Conc.Sal.21]))))),
0)</f>
        <v>0</v>
      </c>
      <c r="AA47" s="170">
        <f t="array" ref="AA47">IFERROR(
AVERAGE((IF(DATOS_[[Sexo]:[Sexo]]=$B47,IF(DATOS_[[AGRUP. CLAS. PROF.]:[AGRUP. CLAS. PROF.]]=$B45,IF(DATOS_[[Check Periodo Ref.]:[Check Periodo Ref.]]="Dentro",DATOS_[Conc.Sal.22]))))),
0)</f>
        <v>0</v>
      </c>
      <c r="AB47" s="170">
        <f t="array" ref="AB47">IFERROR(
AVERAGE((IF(DATOS_[[Sexo]:[Sexo]]=$B47,IF(DATOS_[[AGRUP. CLAS. PROF.]:[AGRUP. CLAS. PROF.]]=$B45,IF(DATOS_[[Check Periodo Ref.]:[Check Periodo Ref.]]="Dentro",DATOS_[Conc.Sal.23]))))),
0)</f>
        <v>0</v>
      </c>
      <c r="AC47" s="170">
        <f t="array" ref="AC47">IFERROR(
AVERAGE((IF(DATOS_[[Sexo]:[Sexo]]=$B47,IF(DATOS_[[AGRUP. CLAS. PROF.]:[AGRUP. CLAS. PROF.]]=$B45,IF(DATOS_[[Check Periodo Ref.]:[Check Periodo Ref.]]="Dentro",DATOS_[Conc.Sal.24]))))),
0)</f>
        <v>0</v>
      </c>
      <c r="AD47" s="170">
        <f t="array" ref="AD47">IFERROR(
AVERAGE((IF(DATOS_[[Sexo]:[Sexo]]=$B47,IF(DATOS_[[AGRUP. CLAS. PROF.]:[AGRUP. CLAS. PROF.]]=$B45,IF(DATOS_[[Check Periodo Ref.]:[Check Periodo Ref.]]="Dentro",DATOS_[Conc.Sal.25]))))),
0)</f>
        <v>0</v>
      </c>
      <c r="AE47" s="170">
        <f t="array" ref="AE47">IFERROR(
AVERAGE((IF(DATOS_[[Sexo]:[Sexo]]=$B47,IF(DATOS_[[AGRUP. CLAS. PROF.]:[AGRUP. CLAS. PROF.]]=$B45,IF(DATOS_[[Check Periodo Ref.]:[Check Periodo Ref.]]="Dentro",DATOS_[Conc.Sal.26]))))),
0)</f>
        <v>0</v>
      </c>
      <c r="AF47" s="170">
        <f t="array" ref="AF47">IFERROR(
AVERAGE((IF(DATOS_[[Sexo]:[Sexo]]=$B47,IF(DATOS_[[AGRUP. CLAS. PROF.]:[AGRUP. CLAS. PROF.]]=$B45,IF(DATOS_[[Check Periodo Ref.]:[Check Periodo Ref.]]="Dentro",DATOS_[Conc.Sal.27]))))),
0)</f>
        <v>0</v>
      </c>
      <c r="AG47" s="170">
        <f t="array" ref="AG47">IFERROR(
AVERAGE((IF(DATOS_[[Sexo]:[Sexo]]=$B47,IF(DATOS_[[AGRUP. CLAS. PROF.]:[AGRUP. CLAS. PROF.]]=$B45,IF(DATOS_[[Check Periodo Ref.]:[Check Periodo Ref.]]="Dentro",DATOS_[Conc.Sal.28]))))),
0)</f>
        <v>0</v>
      </c>
      <c r="AH47" s="170">
        <f t="array" ref="AH47">IFERROR(
AVERAGE((IF(DATOS_[[Sexo]:[Sexo]]=$B47,IF(DATOS_[[AGRUP. CLAS. PROF.]:[AGRUP. CLAS. PROF.]]=$B45,IF(DATOS_[[Check Periodo Ref.]:[Check Periodo Ref.]]="Dentro",DATOS_[Conc.Sal.29]))))),
0)</f>
        <v>0</v>
      </c>
      <c r="AI47" s="170">
        <f t="array" ref="AI47">IFERROR(
AVERAGE((IF(DATOS_[[Sexo]:[Sexo]]=$B47,IF(DATOS_[[AGRUP. CLAS. PROF.]:[AGRUP. CLAS. PROF.]]=$B45,IF(DATOS_[[Check Periodo Ref.]:[Check Periodo Ref.]]="Dentro",DATOS_[Conc.Sal.30]))))),
0)</f>
        <v>0</v>
      </c>
      <c r="AJ47" s="171">
        <f t="array" ref="AJ47">IFERROR(
AVERAGE(IF(DATOS_[Sexo]=$B47,IF(DATOS_[AGRUP. CLAS. PROF.]=$B45,IF(DATOS_[Check Periodo Ref.]="Dentro",DATOS_[Tot COMPL.SAL Ef],FALSE)))),
0)</f>
        <v>0</v>
      </c>
      <c r="AK47" s="172">
        <f t="array" ref="AK47">IFERROR(
AVERAGE(IF(DATOS_[Sexo]=$B47,IF(DATOS_[AGRUP. CLAS. PROF.]=$B45,IF(DATOS_[Check Periodo Ref.]="Dentro",DATOS_[TOTAL SALARIO Ef],FALSE)))),
0)</f>
        <v>0</v>
      </c>
      <c r="AL47" s="173">
        <f t="array" ref="AL47">IFERROR(
AVERAGE((IF(DATOS_[[Sexo]:[Sexo]]=$B47,IF(DATOS_[[AGRUP. CLAS. PROF.]:[AGRUP. CLAS. PROF.]]=$B45,IF(DATOS_[[Check Periodo Ref.]:[Check Periodo Ref.]]="Dentro",DATOS_[C.Extra.01]))))),
0)</f>
        <v>0</v>
      </c>
      <c r="AM47" s="173">
        <f t="array" ref="AM47">IFERROR(
AVERAGE((IF(DATOS_[[Sexo]:[Sexo]]=$B47,IF(DATOS_[[AGRUP. CLAS. PROF.]:[AGRUP. CLAS. PROF.]]=$B45,IF(DATOS_[[Check Periodo Ref.]:[Check Periodo Ref.]]="Dentro",DATOS_[C.Extra.06]))))),
0)</f>
        <v>0</v>
      </c>
      <c r="AN47" s="173">
        <f t="array" ref="AN47">IFERROR(
AVERAGE((IF(DATOS_[[Sexo]:[Sexo]]=$B47,IF(DATOS_[[AGRUP. CLAS. PROF.]:[AGRUP. CLAS. PROF.]]=$B45,IF(DATOS_[[Check Periodo Ref.]:[Check Periodo Ref.]]="Dentro",DATOS_[C.Extra.07]))))),
0)</f>
        <v>0</v>
      </c>
      <c r="AO47" s="173">
        <f t="array" ref="AO47">IFERROR(
AVERAGE((IF(DATOS_[[Sexo]:[Sexo]]=$B47,IF(DATOS_[[AGRUP. CLAS. PROF.]:[AGRUP. CLAS. PROF.]]=$B45,IF(DATOS_[[Check Periodo Ref.]:[Check Periodo Ref.]]="Dentro",DATOS_[C.Extra.08]))))),
0)</f>
        <v>0</v>
      </c>
      <c r="AP47" s="173">
        <f t="array" ref="AP47">IFERROR(
AVERAGE((IF(DATOS_[[Sexo]:[Sexo]]=$B47,IF(DATOS_[[AGRUP. CLAS. PROF.]:[AGRUP. CLAS. PROF.]]=$B45,IF(DATOS_[[Check Periodo Ref.]:[Check Periodo Ref.]]="Dentro",DATOS_[C.Extra.11]))))),
0)</f>
        <v>0</v>
      </c>
      <c r="AQ47" s="174">
        <f t="array" ref="AQ47">IFERROR(
AVERAGE(IF(DATOS_[Sexo]=$B47,IF(DATOS_[AGRUP. CLAS. PROF.]=$B45,IF(DATOS_[Check Periodo Ref.]="Dentro",DATOS_[Tot Extrasalarial Ef],FALSE)))),
0)</f>
        <v>0</v>
      </c>
      <c r="AR47" s="171">
        <f t="array" ref="AR47">IFERROR(
AVERAGE(IF(DATOS_[Sexo]=$B47,IF(DATOS_[AGRUP. CLAS. PROF.]=$B45,IF(DATOS_[Check Periodo Ref.]="Dentro",DATOS_[TOTAL Retrib Ef],FALSE)))),
0)</f>
        <v>0</v>
      </c>
    </row>
    <row r="48" spans="1:44" s="152" customFormat="1" ht="14.4" thickBot="1" x14ac:dyDescent="0.3">
      <c r="A48" s="135" t="str">
        <f t="shared" ref="A48" si="47">+A49</f>
        <v>[ocultar]</v>
      </c>
      <c r="B48" s="153" t="s">
        <v>221</v>
      </c>
      <c r="C48" s="154"/>
      <c r="D48" s="155"/>
      <c r="E48" s="156" t="str">
        <f t="shared" ref="E48:AR48" si="48">IFERROR((E49-E50)/E49,"")</f>
        <v/>
      </c>
      <c r="F48" s="157" t="str">
        <f t="shared" si="48"/>
        <v/>
      </c>
      <c r="G48" s="158" t="str">
        <f t="shared" si="48"/>
        <v/>
      </c>
      <c r="H48" s="158" t="str">
        <f t="shared" si="48"/>
        <v/>
      </c>
      <c r="I48" s="158" t="str">
        <f t="shared" si="48"/>
        <v/>
      </c>
      <c r="J48" s="159" t="str">
        <f t="shared" si="48"/>
        <v/>
      </c>
      <c r="K48" s="160" t="str">
        <f t="shared" si="48"/>
        <v/>
      </c>
      <c r="L48" s="160" t="str">
        <f t="shared" si="48"/>
        <v/>
      </c>
      <c r="M48" s="160" t="str">
        <f t="shared" si="48"/>
        <v/>
      </c>
      <c r="N48" s="160" t="str">
        <f t="shared" si="48"/>
        <v/>
      </c>
      <c r="O48" s="160" t="str">
        <f t="shared" si="48"/>
        <v/>
      </c>
      <c r="P48" s="160" t="str">
        <f t="shared" si="48"/>
        <v/>
      </c>
      <c r="Q48" s="160" t="str">
        <f t="shared" si="48"/>
        <v/>
      </c>
      <c r="R48" s="160" t="str">
        <f t="shared" si="48"/>
        <v/>
      </c>
      <c r="S48" s="160" t="str">
        <f t="shared" si="48"/>
        <v/>
      </c>
      <c r="T48" s="160" t="str">
        <f t="shared" si="48"/>
        <v/>
      </c>
      <c r="U48" s="160" t="str">
        <f t="shared" si="48"/>
        <v/>
      </c>
      <c r="V48" s="159" t="str">
        <f t="shared" si="48"/>
        <v/>
      </c>
      <c r="W48" s="159" t="str">
        <f t="shared" si="48"/>
        <v/>
      </c>
      <c r="X48" s="159" t="str">
        <f t="shared" si="48"/>
        <v/>
      </c>
      <c r="Y48" s="159" t="str">
        <f t="shared" si="48"/>
        <v/>
      </c>
      <c r="Z48" s="159" t="str">
        <f t="shared" si="48"/>
        <v/>
      </c>
      <c r="AA48" s="159" t="str">
        <f t="shared" si="48"/>
        <v/>
      </c>
      <c r="AB48" s="159" t="str">
        <f t="shared" si="48"/>
        <v/>
      </c>
      <c r="AC48" s="159" t="str">
        <f t="shared" si="48"/>
        <v/>
      </c>
      <c r="AD48" s="159" t="str">
        <f t="shared" si="48"/>
        <v/>
      </c>
      <c r="AE48" s="159" t="str">
        <f t="shared" si="48"/>
        <v/>
      </c>
      <c r="AF48" s="159" t="str">
        <f t="shared" si="48"/>
        <v/>
      </c>
      <c r="AG48" s="159" t="str">
        <f t="shared" si="48"/>
        <v/>
      </c>
      <c r="AH48" s="159" t="str">
        <f t="shared" si="48"/>
        <v/>
      </c>
      <c r="AI48" s="159" t="str">
        <f t="shared" si="48"/>
        <v/>
      </c>
      <c r="AJ48" s="161" t="str">
        <f t="shared" si="48"/>
        <v/>
      </c>
      <c r="AK48" s="162" t="str">
        <f t="shared" si="48"/>
        <v/>
      </c>
      <c r="AL48" s="163" t="str">
        <f t="shared" si="48"/>
        <v/>
      </c>
      <c r="AM48" s="163" t="str">
        <f t="shared" si="48"/>
        <v/>
      </c>
      <c r="AN48" s="163" t="str">
        <f t="shared" si="48"/>
        <v/>
      </c>
      <c r="AO48" s="163" t="str">
        <f t="shared" si="48"/>
        <v/>
      </c>
      <c r="AP48" s="163" t="str">
        <f t="shared" si="48"/>
        <v/>
      </c>
      <c r="AQ48" s="164" t="str">
        <f t="shared" si="48"/>
        <v/>
      </c>
      <c r="AR48" s="161" t="str">
        <f t="shared" si="48"/>
        <v/>
      </c>
    </row>
    <row r="49" spans="1:44" x14ac:dyDescent="0.25">
      <c r="A49" s="135" t="str">
        <f t="shared" ref="A49" si="49">+IF(C49+C50=0,"[ocultar]","")</f>
        <v>[ocultar]</v>
      </c>
      <c r="B49" s="166" t="s">
        <v>394</v>
      </c>
      <c r="C49" s="167">
        <f t="array" ref="C49">SUM(IF($B49=DATOS_[Sexo],
IF($B48=DATOS_[AGRUP. CLAS. PROF.],
IF("Dentro"=DATOS_[Check Periodo Ref.],
1/(COUNTIFS(DATOS_[Sexo],$B49,DATOS_[AGRUP. CLAS. PROF.],$B48,DATOS_[Check Periodo Ref.],"Dentro",DATOS_[id/cod],DATOS_[id/cod]))))))</f>
        <v>0</v>
      </c>
      <c r="D49" s="168">
        <f>COUNTIFS(DATOS_[AGRUP. CLAS. PROF.],$B48,DATOS_[Sexo],$B49,DATOS_[Check Periodo Ref.],"Dentro")</f>
        <v>0</v>
      </c>
      <c r="E49" s="169">
        <f t="array" ref="E49">IFERROR(
AVERAGE(IF(DATOS_[Sexo]=$B49,IF(DATOS_[AGRUP. CLAS. PROF.]=$B48,IF(DATOS_[Check Periodo Ref.]="Dentro",DATOS_[SALARIO BASE Ef],FALSE)))),
0)</f>
        <v>0</v>
      </c>
      <c r="F49" s="170">
        <f t="array" ref="F49">IFERROR(
AVERAGE((IF(DATOS_[[Sexo]:[Sexo]]=$B49,IF(DATOS_[[AGRUP. CLAS. PROF.]:[AGRUP. CLAS. PROF.]]=$B48,IF(DATOS_[[Check Periodo Ref.]:[Check Periodo Ref.]]="Dentro",DATOS_[Conc.Sal.01]))))),
0)</f>
        <v>0</v>
      </c>
      <c r="G49" s="170">
        <f t="array" ref="G49">IFERROR(
AVERAGE((IF(DATOS_[[Sexo]:[Sexo]]=$B49,IF(DATOS_[[AGRUP. CLAS. PROF.]:[AGRUP. CLAS. PROF.]]=$B48,IF(DATOS_[[Check Periodo Ref.]:[Check Periodo Ref.]]="Dentro",DATOS_[Conc.Sal.02]))))),
0)</f>
        <v>0</v>
      </c>
      <c r="H49" s="170">
        <f t="array" ref="H49">IFERROR(
AVERAGE((IF(DATOS_[[Sexo]:[Sexo]]=$B49,IF(DATOS_[[AGRUP. CLAS. PROF.]:[AGRUP. CLAS. PROF.]]=$B48,IF(DATOS_[[Check Periodo Ref.]:[Check Periodo Ref.]]="Dentro",DATOS_[Conc.Sal.03]))))),
0)</f>
        <v>0</v>
      </c>
      <c r="I49" s="170">
        <f t="array" ref="I49">IFERROR(
AVERAGE((IF(DATOS_[[Sexo]:[Sexo]]=$B49,IF(DATOS_[[AGRUP. CLAS. PROF.]:[AGRUP. CLAS. PROF.]]=$B48,IF(DATOS_[[Check Periodo Ref.]:[Check Periodo Ref.]]="Dentro",DATOS_[Conc.Sal.04]))))),
0)</f>
        <v>0</v>
      </c>
      <c r="J49" s="170">
        <f t="array" ref="J49">IFERROR(
AVERAGE((IF(DATOS_[[Sexo]:[Sexo]]=$B49,IF(DATOS_[[AGRUP. CLAS. PROF.]:[AGRUP. CLAS. PROF.]]=$B48,IF(DATOS_[[Check Periodo Ref.]:[Check Periodo Ref.]]="Dentro",DATOS_[Conc.Sal.05]))))),
0)</f>
        <v>0</v>
      </c>
      <c r="K49" s="170">
        <f t="array" ref="K49">IFERROR(
AVERAGE((IF(DATOS_[[Sexo]:[Sexo]]=$B49,IF(DATOS_[[AGRUP. CLAS. PROF.]:[AGRUP. CLAS. PROF.]]=$B48,IF(DATOS_[[Check Periodo Ref.]:[Check Periodo Ref.]]="Dentro",DATOS_[Conc.Sal.06]))))),
0)</f>
        <v>0</v>
      </c>
      <c r="L49" s="170">
        <f t="array" ref="L49">IFERROR(
AVERAGE((IF(DATOS_[[Sexo]:[Sexo]]=$B49,IF(DATOS_[[AGRUP. CLAS. PROF.]:[AGRUP. CLAS. PROF.]]=$B48,IF(DATOS_[[Check Periodo Ref.]:[Check Periodo Ref.]]="Dentro",DATOS_[Conc.Sal.07]))))),
0)</f>
        <v>0</v>
      </c>
      <c r="M49" s="170">
        <f t="array" ref="M49">IFERROR(
AVERAGE((IF(DATOS_[[Sexo]:[Sexo]]=$B49,IF(DATOS_[[AGRUP. CLAS. PROF.]:[AGRUP. CLAS. PROF.]]=$B48,IF(DATOS_[[Check Periodo Ref.]:[Check Periodo Ref.]]="Dentro",DATOS_[Conc.Sal.08]))))),
0)</f>
        <v>0</v>
      </c>
      <c r="N49" s="170">
        <f t="array" ref="N49">IFERROR(
AVERAGE((IF(DATOS_[[Sexo]:[Sexo]]=$B49,IF(DATOS_[[AGRUP. CLAS. PROF.]:[AGRUP. CLAS. PROF.]]=$B48,IF(DATOS_[[Check Periodo Ref.]:[Check Periodo Ref.]]="Dentro",DATOS_[Conc.Sal.09]))))),
0)</f>
        <v>0</v>
      </c>
      <c r="O49" s="170">
        <f t="array" ref="O49">IFERROR(
AVERAGE((IF(DATOS_[[Sexo]:[Sexo]]=$B49,IF(DATOS_[[AGRUP. CLAS. PROF.]:[AGRUP. CLAS. PROF.]]=$B48,IF(DATOS_[[Check Periodo Ref.]:[Check Periodo Ref.]]="Dentro",DATOS_[Conc.Sal.10]))))),
0)</f>
        <v>0</v>
      </c>
      <c r="P49" s="170">
        <f t="array" ref="P49">IFERROR(
AVERAGE((IF(DATOS_[[Sexo]:[Sexo]]=$B49,IF(DATOS_[[AGRUP. CLAS. PROF.]:[AGRUP. CLAS. PROF.]]=$B48,IF(DATOS_[[Check Periodo Ref.]:[Check Periodo Ref.]]="Dentro",DATOS_[Conc.Sal.11]))))),
0)</f>
        <v>0</v>
      </c>
      <c r="Q49" s="170">
        <f t="array" ref="Q49">IFERROR(
AVERAGE((IF(DATOS_[[Sexo]:[Sexo]]=$B49,IF(DATOS_[[AGRUP. CLAS. PROF.]:[AGRUP. CLAS. PROF.]]=$B48,IF(DATOS_[[Check Periodo Ref.]:[Check Periodo Ref.]]="Dentro",DATOS_[Conc.Sal.12]))))),
0)</f>
        <v>0</v>
      </c>
      <c r="R49" s="170">
        <f t="array" ref="R49">IFERROR(
AVERAGE((IF(DATOS_[[Sexo]:[Sexo]]=$B49,IF(DATOS_[[AGRUP. CLAS. PROF.]:[AGRUP. CLAS. PROF.]]=$B48,IF(DATOS_[[Check Periodo Ref.]:[Check Periodo Ref.]]="Dentro",DATOS_[Conc.Sal.13]))))),
0)</f>
        <v>0</v>
      </c>
      <c r="S49" s="170">
        <f t="array" ref="S49">IFERROR(
AVERAGE((IF(DATOS_[[Sexo]:[Sexo]]=$B49,IF(DATOS_[[AGRUP. CLAS. PROF.]:[AGRUP. CLAS. PROF.]]=$B48,IF(DATOS_[[Check Periodo Ref.]:[Check Periodo Ref.]]="Dentro",DATOS_[Conc.Sal.14]))))),
0)</f>
        <v>0</v>
      </c>
      <c r="T49" s="170">
        <f t="array" ref="T49">IFERROR(
AVERAGE((IF(DATOS_[[Sexo]:[Sexo]]=$B49,IF(DATOS_[[AGRUP. CLAS. PROF.]:[AGRUP. CLAS. PROF.]]=$B48,IF(DATOS_[[Check Periodo Ref.]:[Check Periodo Ref.]]="Dentro",DATOS_[Conc.Sal.15]))))),
0)</f>
        <v>0</v>
      </c>
      <c r="U49" s="170">
        <f t="array" ref="U49">IFERROR(
AVERAGE((IF(DATOS_[[Sexo]:[Sexo]]=$B49,IF(DATOS_[[AGRUP. CLAS. PROF.]:[AGRUP. CLAS. PROF.]]=$B48,IF(DATOS_[[Check Periodo Ref.]:[Check Periodo Ref.]]="Dentro",DATOS_[Conc.Sal.16]))))),
0)</f>
        <v>0</v>
      </c>
      <c r="V49" s="170">
        <f t="array" ref="V49">IFERROR(
AVERAGE((IF(DATOS_[[Sexo]:[Sexo]]=$B49,IF(DATOS_[[AGRUP. CLAS. PROF.]:[AGRUP. CLAS. PROF.]]=$B48,IF(DATOS_[[Check Periodo Ref.]:[Check Periodo Ref.]]="Dentro",DATOS_[Conc.Sal.17]))))),
0)</f>
        <v>0</v>
      </c>
      <c r="W49" s="170">
        <f t="array" ref="W49">IFERROR(
AVERAGE((IF(DATOS_[[Sexo]:[Sexo]]=$B49,IF(DATOS_[[AGRUP. CLAS. PROF.]:[AGRUP. CLAS. PROF.]]=$B48,IF(DATOS_[[Check Periodo Ref.]:[Check Periodo Ref.]]="Dentro",DATOS_[Conc.Sal.18]))))),
0)</f>
        <v>0</v>
      </c>
      <c r="X49" s="170">
        <f t="array" ref="X49">IFERROR(
AVERAGE((IF(DATOS_[[Sexo]:[Sexo]]=$B49,IF(DATOS_[[AGRUP. CLAS. PROF.]:[AGRUP. CLAS. PROF.]]=$B48,IF(DATOS_[[Check Periodo Ref.]:[Check Periodo Ref.]]="Dentro",DATOS_[Conc.Sal.19]))))),
0)</f>
        <v>0</v>
      </c>
      <c r="Y49" s="170">
        <f t="array" ref="Y49">IFERROR(
AVERAGE((IF(DATOS_[[Sexo]:[Sexo]]=$B49,IF(DATOS_[[AGRUP. CLAS. PROF.]:[AGRUP. CLAS. PROF.]]=$B48,IF(DATOS_[[Check Periodo Ref.]:[Check Periodo Ref.]]="Dentro",DATOS_[Conc.Sal.20]))))),
0)</f>
        <v>0</v>
      </c>
      <c r="Z49" s="170">
        <f t="array" ref="Z49">IFERROR(
AVERAGE((IF(DATOS_[[Sexo]:[Sexo]]=$B49,IF(DATOS_[[AGRUP. CLAS. PROF.]:[AGRUP. CLAS. PROF.]]=$B48,IF(DATOS_[[Check Periodo Ref.]:[Check Periodo Ref.]]="Dentro",DATOS_[Conc.Sal.21]))))),
0)</f>
        <v>0</v>
      </c>
      <c r="AA49" s="170">
        <f t="array" ref="AA49">IFERROR(
AVERAGE((IF(DATOS_[[Sexo]:[Sexo]]=$B49,IF(DATOS_[[AGRUP. CLAS. PROF.]:[AGRUP. CLAS. PROF.]]=$B48,IF(DATOS_[[Check Periodo Ref.]:[Check Periodo Ref.]]="Dentro",DATOS_[Conc.Sal.22]))))),
0)</f>
        <v>0</v>
      </c>
      <c r="AB49" s="170">
        <f t="array" ref="AB49">IFERROR(
AVERAGE((IF(DATOS_[[Sexo]:[Sexo]]=$B49,IF(DATOS_[[AGRUP. CLAS. PROF.]:[AGRUP. CLAS. PROF.]]=$B48,IF(DATOS_[[Check Periodo Ref.]:[Check Periodo Ref.]]="Dentro",DATOS_[Conc.Sal.23]))))),
0)</f>
        <v>0</v>
      </c>
      <c r="AC49" s="170">
        <f t="array" ref="AC49">IFERROR(
AVERAGE((IF(DATOS_[[Sexo]:[Sexo]]=$B49,IF(DATOS_[[AGRUP. CLAS. PROF.]:[AGRUP. CLAS. PROF.]]=$B48,IF(DATOS_[[Check Periodo Ref.]:[Check Periodo Ref.]]="Dentro",DATOS_[Conc.Sal.24]))))),
0)</f>
        <v>0</v>
      </c>
      <c r="AD49" s="170">
        <f t="array" ref="AD49">IFERROR(
AVERAGE((IF(DATOS_[[Sexo]:[Sexo]]=$B49,IF(DATOS_[[AGRUP. CLAS. PROF.]:[AGRUP. CLAS. PROF.]]=$B48,IF(DATOS_[[Check Periodo Ref.]:[Check Periodo Ref.]]="Dentro",DATOS_[Conc.Sal.25]))))),
0)</f>
        <v>0</v>
      </c>
      <c r="AE49" s="170">
        <f t="array" ref="AE49">IFERROR(
AVERAGE((IF(DATOS_[[Sexo]:[Sexo]]=$B49,IF(DATOS_[[AGRUP. CLAS. PROF.]:[AGRUP. CLAS. PROF.]]=$B48,IF(DATOS_[[Check Periodo Ref.]:[Check Periodo Ref.]]="Dentro",DATOS_[Conc.Sal.26]))))),
0)</f>
        <v>0</v>
      </c>
      <c r="AF49" s="170">
        <f t="array" ref="AF49">IFERROR(
AVERAGE((IF(DATOS_[[Sexo]:[Sexo]]=$B49,IF(DATOS_[[AGRUP. CLAS. PROF.]:[AGRUP. CLAS. PROF.]]=$B48,IF(DATOS_[[Check Periodo Ref.]:[Check Periodo Ref.]]="Dentro",DATOS_[Conc.Sal.27]))))),
0)</f>
        <v>0</v>
      </c>
      <c r="AG49" s="170">
        <f t="array" ref="AG49">IFERROR(
AVERAGE((IF(DATOS_[[Sexo]:[Sexo]]=$B49,IF(DATOS_[[AGRUP. CLAS. PROF.]:[AGRUP. CLAS. PROF.]]=$B48,IF(DATOS_[[Check Periodo Ref.]:[Check Periodo Ref.]]="Dentro",DATOS_[Conc.Sal.28]))))),
0)</f>
        <v>0</v>
      </c>
      <c r="AH49" s="170">
        <f t="array" ref="AH49">IFERROR(
AVERAGE((IF(DATOS_[[Sexo]:[Sexo]]=$B49,IF(DATOS_[[AGRUP. CLAS. PROF.]:[AGRUP. CLAS. PROF.]]=$B48,IF(DATOS_[[Check Periodo Ref.]:[Check Periodo Ref.]]="Dentro",DATOS_[Conc.Sal.29]))))),
0)</f>
        <v>0</v>
      </c>
      <c r="AI49" s="170">
        <f t="array" ref="AI49">IFERROR(
AVERAGE((IF(DATOS_[[Sexo]:[Sexo]]=$B49,IF(DATOS_[[AGRUP. CLAS. PROF.]:[AGRUP. CLAS. PROF.]]=$B48,IF(DATOS_[[Check Periodo Ref.]:[Check Periodo Ref.]]="Dentro",DATOS_[Conc.Sal.30]))))),
0)</f>
        <v>0</v>
      </c>
      <c r="AJ49" s="171">
        <f t="array" ref="AJ49">IFERROR(
AVERAGE(IF(DATOS_[Sexo]=$B49,IF(DATOS_[AGRUP. CLAS. PROF.]=$B48,IF(DATOS_[Check Periodo Ref.]="Dentro",DATOS_[Tot COMPL.SAL Ef],FALSE)))),
0)</f>
        <v>0</v>
      </c>
      <c r="AK49" s="172">
        <f t="array" ref="AK49">IFERROR(
AVERAGE(IF(DATOS_[Sexo]=$B49,IF(DATOS_[AGRUP. CLAS. PROF.]=$B48,IF(DATOS_[Check Periodo Ref.]="Dentro",DATOS_[TOTAL SALARIO Ef],FALSE)))),
0)</f>
        <v>0</v>
      </c>
      <c r="AL49" s="173">
        <f t="array" ref="AL49">IFERROR(
AVERAGE((IF(DATOS_[[Sexo]:[Sexo]]=$B49,IF(DATOS_[[AGRUP. CLAS. PROF.]:[AGRUP. CLAS. PROF.]]=$B48,IF(DATOS_[[Check Periodo Ref.]:[Check Periodo Ref.]]="Dentro",DATOS_[C.Extra.01]))))),
0)</f>
        <v>0</v>
      </c>
      <c r="AM49" s="173">
        <f t="array" ref="AM49">IFERROR(
AVERAGE((IF(DATOS_[[Sexo]:[Sexo]]=$B49,IF(DATOS_[[AGRUP. CLAS. PROF.]:[AGRUP. CLAS. PROF.]]=$B48,IF(DATOS_[[Check Periodo Ref.]:[Check Periodo Ref.]]="Dentro",DATOS_[C.Extra.06]))))),
0)</f>
        <v>0</v>
      </c>
      <c r="AN49" s="173">
        <f t="array" ref="AN49">IFERROR(
AVERAGE((IF(DATOS_[[Sexo]:[Sexo]]=$B49,IF(DATOS_[[AGRUP. CLAS. PROF.]:[AGRUP. CLAS. PROF.]]=$B48,IF(DATOS_[[Check Periodo Ref.]:[Check Periodo Ref.]]="Dentro",DATOS_[C.Extra.07]))))),
0)</f>
        <v>0</v>
      </c>
      <c r="AO49" s="173">
        <f t="array" ref="AO49">IFERROR(
AVERAGE((IF(DATOS_[[Sexo]:[Sexo]]=$B49,IF(DATOS_[[AGRUP. CLAS. PROF.]:[AGRUP. CLAS. PROF.]]=$B48,IF(DATOS_[[Check Periodo Ref.]:[Check Periodo Ref.]]="Dentro",DATOS_[C.Extra.08]))))),
0)</f>
        <v>0</v>
      </c>
      <c r="AP49" s="173">
        <f t="array" ref="AP49">IFERROR(
AVERAGE((IF(DATOS_[[Sexo]:[Sexo]]=$B49,IF(DATOS_[[AGRUP. CLAS. PROF.]:[AGRUP. CLAS. PROF.]]=$B48,IF(DATOS_[[Check Periodo Ref.]:[Check Periodo Ref.]]="Dentro",DATOS_[C.Extra.11]))))),
0)</f>
        <v>0</v>
      </c>
      <c r="AQ49" s="174">
        <f t="array" ref="AQ49">IFERROR(
AVERAGE(IF(DATOS_[Sexo]=$B49,IF(DATOS_[AGRUP. CLAS. PROF.]=$B48,IF(DATOS_[Check Periodo Ref.]="Dentro",DATOS_[Tot Extrasalarial Ef],FALSE)))),
0)</f>
        <v>0</v>
      </c>
      <c r="AR49" s="171">
        <f t="array" ref="AR49">IFERROR(
AVERAGE(IF(DATOS_[Sexo]=$B49,IF(DATOS_[AGRUP. CLAS. PROF.]=$B48,IF(DATOS_[Check Periodo Ref.]="Dentro",DATOS_[TOTAL Retrib Ef],FALSE)))),
0)</f>
        <v>0</v>
      </c>
    </row>
    <row r="50" spans="1:44" x14ac:dyDescent="0.25">
      <c r="A50" s="135" t="str">
        <f t="shared" ref="A50" si="50">+A49</f>
        <v>[ocultar]</v>
      </c>
      <c r="B50" s="166" t="s">
        <v>521</v>
      </c>
      <c r="C50" s="167">
        <f t="array" ref="C50">SUM(IF($B50=DATOS_[Sexo],
IF($B48=DATOS_[AGRUP. CLAS. PROF.],
IF("Dentro"=DATOS_[Check Periodo Ref.],
1/(COUNTIFS(DATOS_[Sexo],$B50,DATOS_[AGRUP. CLAS. PROF.],$B48,DATOS_[Check Periodo Ref.],"Dentro",DATOS_[id/cod],DATOS_[id/cod]))))))</f>
        <v>0</v>
      </c>
      <c r="D50" s="168">
        <f>COUNTIFS(DATOS_[AGRUP. CLAS. PROF.],$B48,DATOS_[Sexo],$B50,DATOS_[Check Periodo Ref.],"Dentro")</f>
        <v>0</v>
      </c>
      <c r="E50" s="169">
        <f t="array" ref="E50">IFERROR(
AVERAGE(IF(DATOS_[Sexo]=$B50,IF(DATOS_[AGRUP. CLAS. PROF.]=$B48,IF(DATOS_[Check Periodo Ref.]="Dentro",DATOS_[SALARIO BASE Ef],FALSE)))),
0)</f>
        <v>0</v>
      </c>
      <c r="F50" s="170">
        <f t="array" ref="F50">IFERROR(
AVERAGE((IF(DATOS_[[Sexo]:[Sexo]]=$B50,IF(DATOS_[[AGRUP. CLAS. PROF.]:[AGRUP. CLAS. PROF.]]=$B48,IF(DATOS_[[Check Periodo Ref.]:[Check Periodo Ref.]]="Dentro",DATOS_[Conc.Sal.01]))))),
0)</f>
        <v>0</v>
      </c>
      <c r="G50" s="170">
        <f t="array" ref="G50">IFERROR(
AVERAGE((IF(DATOS_[[Sexo]:[Sexo]]=$B50,IF(DATOS_[[AGRUP. CLAS. PROF.]:[AGRUP. CLAS. PROF.]]=$B48,IF(DATOS_[[Check Periodo Ref.]:[Check Periodo Ref.]]="Dentro",DATOS_[Conc.Sal.02]))))),
0)</f>
        <v>0</v>
      </c>
      <c r="H50" s="170">
        <f t="array" ref="H50">IFERROR(
AVERAGE((IF(DATOS_[[Sexo]:[Sexo]]=$B50,IF(DATOS_[[AGRUP. CLAS. PROF.]:[AGRUP. CLAS. PROF.]]=$B48,IF(DATOS_[[Check Periodo Ref.]:[Check Periodo Ref.]]="Dentro",DATOS_[Conc.Sal.03]))))),
0)</f>
        <v>0</v>
      </c>
      <c r="I50" s="170">
        <f t="array" ref="I50">IFERROR(
AVERAGE((IF(DATOS_[[Sexo]:[Sexo]]=$B50,IF(DATOS_[[AGRUP. CLAS. PROF.]:[AGRUP. CLAS. PROF.]]=$B48,IF(DATOS_[[Check Periodo Ref.]:[Check Periodo Ref.]]="Dentro",DATOS_[Conc.Sal.04]))))),
0)</f>
        <v>0</v>
      </c>
      <c r="J50" s="170">
        <f t="array" ref="J50">IFERROR(
AVERAGE((IF(DATOS_[[Sexo]:[Sexo]]=$B50,IF(DATOS_[[AGRUP. CLAS. PROF.]:[AGRUP. CLAS. PROF.]]=$B48,IF(DATOS_[[Check Periodo Ref.]:[Check Periodo Ref.]]="Dentro",DATOS_[Conc.Sal.05]))))),
0)</f>
        <v>0</v>
      </c>
      <c r="K50" s="170">
        <f t="array" ref="K50">IFERROR(
AVERAGE((IF(DATOS_[[Sexo]:[Sexo]]=$B50,IF(DATOS_[[AGRUP. CLAS. PROF.]:[AGRUP. CLAS. PROF.]]=$B48,IF(DATOS_[[Check Periodo Ref.]:[Check Periodo Ref.]]="Dentro",DATOS_[Conc.Sal.06]))))),
0)</f>
        <v>0</v>
      </c>
      <c r="L50" s="170">
        <f t="array" ref="L50">IFERROR(
AVERAGE((IF(DATOS_[[Sexo]:[Sexo]]=$B50,IF(DATOS_[[AGRUP. CLAS. PROF.]:[AGRUP. CLAS. PROF.]]=$B48,IF(DATOS_[[Check Periodo Ref.]:[Check Periodo Ref.]]="Dentro",DATOS_[Conc.Sal.07]))))),
0)</f>
        <v>0</v>
      </c>
      <c r="M50" s="170">
        <f t="array" ref="M50">IFERROR(
AVERAGE((IF(DATOS_[[Sexo]:[Sexo]]=$B50,IF(DATOS_[[AGRUP. CLAS. PROF.]:[AGRUP. CLAS. PROF.]]=$B48,IF(DATOS_[[Check Periodo Ref.]:[Check Periodo Ref.]]="Dentro",DATOS_[Conc.Sal.08]))))),
0)</f>
        <v>0</v>
      </c>
      <c r="N50" s="170">
        <f t="array" ref="N50">IFERROR(
AVERAGE((IF(DATOS_[[Sexo]:[Sexo]]=$B50,IF(DATOS_[[AGRUP. CLAS. PROF.]:[AGRUP. CLAS. PROF.]]=$B48,IF(DATOS_[[Check Periodo Ref.]:[Check Periodo Ref.]]="Dentro",DATOS_[Conc.Sal.09]))))),
0)</f>
        <v>0</v>
      </c>
      <c r="O50" s="170">
        <f t="array" ref="O50">IFERROR(
AVERAGE((IF(DATOS_[[Sexo]:[Sexo]]=$B50,IF(DATOS_[[AGRUP. CLAS. PROF.]:[AGRUP. CLAS. PROF.]]=$B48,IF(DATOS_[[Check Periodo Ref.]:[Check Periodo Ref.]]="Dentro",DATOS_[Conc.Sal.10]))))),
0)</f>
        <v>0</v>
      </c>
      <c r="P50" s="170">
        <f t="array" ref="P50">IFERROR(
AVERAGE((IF(DATOS_[[Sexo]:[Sexo]]=$B50,IF(DATOS_[[AGRUP. CLAS. PROF.]:[AGRUP. CLAS. PROF.]]=$B48,IF(DATOS_[[Check Periodo Ref.]:[Check Periodo Ref.]]="Dentro",DATOS_[Conc.Sal.11]))))),
0)</f>
        <v>0</v>
      </c>
      <c r="Q50" s="170">
        <f t="array" ref="Q50">IFERROR(
AVERAGE((IF(DATOS_[[Sexo]:[Sexo]]=$B50,IF(DATOS_[[AGRUP. CLAS. PROF.]:[AGRUP. CLAS. PROF.]]=$B48,IF(DATOS_[[Check Periodo Ref.]:[Check Periodo Ref.]]="Dentro",DATOS_[Conc.Sal.12]))))),
0)</f>
        <v>0</v>
      </c>
      <c r="R50" s="170">
        <f t="array" ref="R50">IFERROR(
AVERAGE((IF(DATOS_[[Sexo]:[Sexo]]=$B50,IF(DATOS_[[AGRUP. CLAS. PROF.]:[AGRUP. CLAS. PROF.]]=$B48,IF(DATOS_[[Check Periodo Ref.]:[Check Periodo Ref.]]="Dentro",DATOS_[Conc.Sal.13]))))),
0)</f>
        <v>0</v>
      </c>
      <c r="S50" s="170">
        <f t="array" ref="S50">IFERROR(
AVERAGE((IF(DATOS_[[Sexo]:[Sexo]]=$B50,IF(DATOS_[[AGRUP. CLAS. PROF.]:[AGRUP. CLAS. PROF.]]=$B48,IF(DATOS_[[Check Periodo Ref.]:[Check Periodo Ref.]]="Dentro",DATOS_[Conc.Sal.14]))))),
0)</f>
        <v>0</v>
      </c>
      <c r="T50" s="170">
        <f t="array" ref="T50">IFERROR(
AVERAGE((IF(DATOS_[[Sexo]:[Sexo]]=$B50,IF(DATOS_[[AGRUP. CLAS. PROF.]:[AGRUP. CLAS. PROF.]]=$B48,IF(DATOS_[[Check Periodo Ref.]:[Check Periodo Ref.]]="Dentro",DATOS_[Conc.Sal.15]))))),
0)</f>
        <v>0</v>
      </c>
      <c r="U50" s="170">
        <f t="array" ref="U50">IFERROR(
AVERAGE((IF(DATOS_[[Sexo]:[Sexo]]=$B50,IF(DATOS_[[AGRUP. CLAS. PROF.]:[AGRUP. CLAS. PROF.]]=$B48,IF(DATOS_[[Check Periodo Ref.]:[Check Periodo Ref.]]="Dentro",DATOS_[Conc.Sal.16]))))),
0)</f>
        <v>0</v>
      </c>
      <c r="V50" s="170">
        <f t="array" ref="V50">IFERROR(
AVERAGE((IF(DATOS_[[Sexo]:[Sexo]]=$B50,IF(DATOS_[[AGRUP. CLAS. PROF.]:[AGRUP. CLAS. PROF.]]=$B48,IF(DATOS_[[Check Periodo Ref.]:[Check Periodo Ref.]]="Dentro",DATOS_[Conc.Sal.17]))))),
0)</f>
        <v>0</v>
      </c>
      <c r="W50" s="170">
        <f t="array" ref="W50">IFERROR(
AVERAGE((IF(DATOS_[[Sexo]:[Sexo]]=$B50,IF(DATOS_[[AGRUP. CLAS. PROF.]:[AGRUP. CLAS. PROF.]]=$B48,IF(DATOS_[[Check Periodo Ref.]:[Check Periodo Ref.]]="Dentro",DATOS_[Conc.Sal.18]))))),
0)</f>
        <v>0</v>
      </c>
      <c r="X50" s="170">
        <f t="array" ref="X50">IFERROR(
AVERAGE((IF(DATOS_[[Sexo]:[Sexo]]=$B50,IF(DATOS_[[AGRUP. CLAS. PROF.]:[AGRUP. CLAS. PROF.]]=$B48,IF(DATOS_[[Check Periodo Ref.]:[Check Periodo Ref.]]="Dentro",DATOS_[Conc.Sal.19]))))),
0)</f>
        <v>0</v>
      </c>
      <c r="Y50" s="170">
        <f t="array" ref="Y50">IFERROR(
AVERAGE((IF(DATOS_[[Sexo]:[Sexo]]=$B50,IF(DATOS_[[AGRUP. CLAS. PROF.]:[AGRUP. CLAS. PROF.]]=$B48,IF(DATOS_[[Check Periodo Ref.]:[Check Periodo Ref.]]="Dentro",DATOS_[Conc.Sal.20]))))),
0)</f>
        <v>0</v>
      </c>
      <c r="Z50" s="170">
        <f t="array" ref="Z50">IFERROR(
AVERAGE((IF(DATOS_[[Sexo]:[Sexo]]=$B50,IF(DATOS_[[AGRUP. CLAS. PROF.]:[AGRUP. CLAS. PROF.]]=$B48,IF(DATOS_[[Check Periodo Ref.]:[Check Periodo Ref.]]="Dentro",DATOS_[Conc.Sal.21]))))),
0)</f>
        <v>0</v>
      </c>
      <c r="AA50" s="170">
        <f t="array" ref="AA50">IFERROR(
AVERAGE((IF(DATOS_[[Sexo]:[Sexo]]=$B50,IF(DATOS_[[AGRUP. CLAS. PROF.]:[AGRUP. CLAS. PROF.]]=$B48,IF(DATOS_[[Check Periodo Ref.]:[Check Periodo Ref.]]="Dentro",DATOS_[Conc.Sal.22]))))),
0)</f>
        <v>0</v>
      </c>
      <c r="AB50" s="170">
        <f t="array" ref="AB50">IFERROR(
AVERAGE((IF(DATOS_[[Sexo]:[Sexo]]=$B50,IF(DATOS_[[AGRUP. CLAS. PROF.]:[AGRUP. CLAS. PROF.]]=$B48,IF(DATOS_[[Check Periodo Ref.]:[Check Periodo Ref.]]="Dentro",DATOS_[Conc.Sal.23]))))),
0)</f>
        <v>0</v>
      </c>
      <c r="AC50" s="170">
        <f t="array" ref="AC50">IFERROR(
AVERAGE((IF(DATOS_[[Sexo]:[Sexo]]=$B50,IF(DATOS_[[AGRUP. CLAS. PROF.]:[AGRUP. CLAS. PROF.]]=$B48,IF(DATOS_[[Check Periodo Ref.]:[Check Periodo Ref.]]="Dentro",DATOS_[Conc.Sal.24]))))),
0)</f>
        <v>0</v>
      </c>
      <c r="AD50" s="170">
        <f t="array" ref="AD50">IFERROR(
AVERAGE((IF(DATOS_[[Sexo]:[Sexo]]=$B50,IF(DATOS_[[AGRUP. CLAS. PROF.]:[AGRUP. CLAS. PROF.]]=$B48,IF(DATOS_[[Check Periodo Ref.]:[Check Periodo Ref.]]="Dentro",DATOS_[Conc.Sal.25]))))),
0)</f>
        <v>0</v>
      </c>
      <c r="AE50" s="170">
        <f t="array" ref="AE50">IFERROR(
AVERAGE((IF(DATOS_[[Sexo]:[Sexo]]=$B50,IF(DATOS_[[AGRUP. CLAS. PROF.]:[AGRUP. CLAS. PROF.]]=$B48,IF(DATOS_[[Check Periodo Ref.]:[Check Periodo Ref.]]="Dentro",DATOS_[Conc.Sal.26]))))),
0)</f>
        <v>0</v>
      </c>
      <c r="AF50" s="170">
        <f t="array" ref="AF50">IFERROR(
AVERAGE((IF(DATOS_[[Sexo]:[Sexo]]=$B50,IF(DATOS_[[AGRUP. CLAS. PROF.]:[AGRUP. CLAS. PROF.]]=$B48,IF(DATOS_[[Check Periodo Ref.]:[Check Periodo Ref.]]="Dentro",DATOS_[Conc.Sal.27]))))),
0)</f>
        <v>0</v>
      </c>
      <c r="AG50" s="170">
        <f t="array" ref="AG50">IFERROR(
AVERAGE((IF(DATOS_[[Sexo]:[Sexo]]=$B50,IF(DATOS_[[AGRUP. CLAS. PROF.]:[AGRUP. CLAS. PROF.]]=$B48,IF(DATOS_[[Check Periodo Ref.]:[Check Periodo Ref.]]="Dentro",DATOS_[Conc.Sal.28]))))),
0)</f>
        <v>0</v>
      </c>
      <c r="AH50" s="170">
        <f t="array" ref="AH50">IFERROR(
AVERAGE((IF(DATOS_[[Sexo]:[Sexo]]=$B50,IF(DATOS_[[AGRUP. CLAS. PROF.]:[AGRUP. CLAS. PROF.]]=$B48,IF(DATOS_[[Check Periodo Ref.]:[Check Periodo Ref.]]="Dentro",DATOS_[Conc.Sal.29]))))),
0)</f>
        <v>0</v>
      </c>
      <c r="AI50" s="170">
        <f t="array" ref="AI50">IFERROR(
AVERAGE((IF(DATOS_[[Sexo]:[Sexo]]=$B50,IF(DATOS_[[AGRUP. CLAS. PROF.]:[AGRUP. CLAS. PROF.]]=$B48,IF(DATOS_[[Check Periodo Ref.]:[Check Periodo Ref.]]="Dentro",DATOS_[Conc.Sal.30]))))),
0)</f>
        <v>0</v>
      </c>
      <c r="AJ50" s="171">
        <f t="array" ref="AJ50">IFERROR(
AVERAGE(IF(DATOS_[Sexo]=$B50,IF(DATOS_[AGRUP. CLAS. PROF.]=$B48,IF(DATOS_[Check Periodo Ref.]="Dentro",DATOS_[Tot COMPL.SAL Ef],FALSE)))),
0)</f>
        <v>0</v>
      </c>
      <c r="AK50" s="172">
        <f t="array" ref="AK50">IFERROR(
AVERAGE(IF(DATOS_[Sexo]=$B50,IF(DATOS_[AGRUP. CLAS. PROF.]=$B48,IF(DATOS_[Check Periodo Ref.]="Dentro",DATOS_[TOTAL SALARIO Ef],FALSE)))),
0)</f>
        <v>0</v>
      </c>
      <c r="AL50" s="173">
        <f t="array" ref="AL50">IFERROR(
AVERAGE((IF(DATOS_[[Sexo]:[Sexo]]=$B50,IF(DATOS_[[AGRUP. CLAS. PROF.]:[AGRUP. CLAS. PROF.]]=$B48,IF(DATOS_[[Check Periodo Ref.]:[Check Periodo Ref.]]="Dentro",DATOS_[C.Extra.01]))))),
0)</f>
        <v>0</v>
      </c>
      <c r="AM50" s="173">
        <f t="array" ref="AM50">IFERROR(
AVERAGE((IF(DATOS_[[Sexo]:[Sexo]]=$B50,IF(DATOS_[[AGRUP. CLAS. PROF.]:[AGRUP. CLAS. PROF.]]=$B48,IF(DATOS_[[Check Periodo Ref.]:[Check Periodo Ref.]]="Dentro",DATOS_[C.Extra.06]))))),
0)</f>
        <v>0</v>
      </c>
      <c r="AN50" s="173">
        <f t="array" ref="AN50">IFERROR(
AVERAGE((IF(DATOS_[[Sexo]:[Sexo]]=$B50,IF(DATOS_[[AGRUP. CLAS. PROF.]:[AGRUP. CLAS. PROF.]]=$B48,IF(DATOS_[[Check Periodo Ref.]:[Check Periodo Ref.]]="Dentro",DATOS_[C.Extra.07]))))),
0)</f>
        <v>0</v>
      </c>
      <c r="AO50" s="173">
        <f t="array" ref="AO50">IFERROR(
AVERAGE((IF(DATOS_[[Sexo]:[Sexo]]=$B50,IF(DATOS_[[AGRUP. CLAS. PROF.]:[AGRUP. CLAS. PROF.]]=$B48,IF(DATOS_[[Check Periodo Ref.]:[Check Periodo Ref.]]="Dentro",DATOS_[C.Extra.08]))))),
0)</f>
        <v>0</v>
      </c>
      <c r="AP50" s="173">
        <f t="array" ref="AP50">IFERROR(
AVERAGE((IF(DATOS_[[Sexo]:[Sexo]]=$B50,IF(DATOS_[[AGRUP. CLAS. PROF.]:[AGRUP. CLAS. PROF.]]=$B48,IF(DATOS_[[Check Periodo Ref.]:[Check Periodo Ref.]]="Dentro",DATOS_[C.Extra.11]))))),
0)</f>
        <v>0</v>
      </c>
      <c r="AQ50" s="174">
        <f t="array" ref="AQ50">IFERROR(
AVERAGE(IF(DATOS_[Sexo]=$B50,IF(DATOS_[AGRUP. CLAS. PROF.]=$B48,IF(DATOS_[Check Periodo Ref.]="Dentro",DATOS_[Tot Extrasalarial Ef],FALSE)))),
0)</f>
        <v>0</v>
      </c>
      <c r="AR50" s="171">
        <f t="array" ref="AR50">IFERROR(
AVERAGE(IF(DATOS_[Sexo]=$B50,IF(DATOS_[AGRUP. CLAS. PROF.]=$B48,IF(DATOS_[Check Periodo Ref.]="Dentro",DATOS_[TOTAL Retrib Ef],FALSE)))),
0)</f>
        <v>0</v>
      </c>
    </row>
    <row r="51" spans="1:44" s="152" customFormat="1" ht="14.4" thickBot="1" x14ac:dyDescent="0.3">
      <c r="A51" s="135" t="str">
        <f t="shared" ref="A51" si="51">+A52</f>
        <v>[ocultar]</v>
      </c>
      <c r="B51" s="153" t="s">
        <v>225</v>
      </c>
      <c r="C51" s="154"/>
      <c r="D51" s="155"/>
      <c r="E51" s="156" t="str">
        <f t="shared" ref="E51:AR51" si="52">IFERROR((E52-E53)/E52,"")</f>
        <v/>
      </c>
      <c r="F51" s="157" t="str">
        <f t="shared" si="52"/>
        <v/>
      </c>
      <c r="G51" s="158" t="str">
        <f t="shared" si="52"/>
        <v/>
      </c>
      <c r="H51" s="158" t="str">
        <f t="shared" si="52"/>
        <v/>
      </c>
      <c r="I51" s="158" t="str">
        <f t="shared" si="52"/>
        <v/>
      </c>
      <c r="J51" s="159" t="str">
        <f t="shared" si="52"/>
        <v/>
      </c>
      <c r="K51" s="160" t="str">
        <f t="shared" si="52"/>
        <v/>
      </c>
      <c r="L51" s="160" t="str">
        <f t="shared" si="52"/>
        <v/>
      </c>
      <c r="M51" s="160" t="str">
        <f t="shared" si="52"/>
        <v/>
      </c>
      <c r="N51" s="160" t="str">
        <f t="shared" si="52"/>
        <v/>
      </c>
      <c r="O51" s="160" t="str">
        <f t="shared" si="52"/>
        <v/>
      </c>
      <c r="P51" s="160" t="str">
        <f t="shared" si="52"/>
        <v/>
      </c>
      <c r="Q51" s="160" t="str">
        <f t="shared" si="52"/>
        <v/>
      </c>
      <c r="R51" s="160" t="str">
        <f t="shared" si="52"/>
        <v/>
      </c>
      <c r="S51" s="160" t="str">
        <f t="shared" si="52"/>
        <v/>
      </c>
      <c r="T51" s="160" t="str">
        <f t="shared" si="52"/>
        <v/>
      </c>
      <c r="U51" s="160" t="str">
        <f t="shared" si="52"/>
        <v/>
      </c>
      <c r="V51" s="159" t="str">
        <f t="shared" si="52"/>
        <v/>
      </c>
      <c r="W51" s="159" t="str">
        <f t="shared" si="52"/>
        <v/>
      </c>
      <c r="X51" s="159" t="str">
        <f t="shared" si="52"/>
        <v/>
      </c>
      <c r="Y51" s="159" t="str">
        <f t="shared" si="52"/>
        <v/>
      </c>
      <c r="Z51" s="159" t="str">
        <f t="shared" si="52"/>
        <v/>
      </c>
      <c r="AA51" s="159" t="str">
        <f t="shared" si="52"/>
        <v/>
      </c>
      <c r="AB51" s="159" t="str">
        <f t="shared" si="52"/>
        <v/>
      </c>
      <c r="AC51" s="159" t="str">
        <f t="shared" si="52"/>
        <v/>
      </c>
      <c r="AD51" s="159" t="str">
        <f t="shared" si="52"/>
        <v/>
      </c>
      <c r="AE51" s="159" t="str">
        <f t="shared" si="52"/>
        <v/>
      </c>
      <c r="AF51" s="159" t="str">
        <f t="shared" si="52"/>
        <v/>
      </c>
      <c r="AG51" s="159" t="str">
        <f t="shared" si="52"/>
        <v/>
      </c>
      <c r="AH51" s="159" t="str">
        <f t="shared" si="52"/>
        <v/>
      </c>
      <c r="AI51" s="159" t="str">
        <f t="shared" si="52"/>
        <v/>
      </c>
      <c r="AJ51" s="161" t="str">
        <f t="shared" si="52"/>
        <v/>
      </c>
      <c r="AK51" s="162" t="str">
        <f t="shared" si="52"/>
        <v/>
      </c>
      <c r="AL51" s="163" t="str">
        <f t="shared" si="52"/>
        <v/>
      </c>
      <c r="AM51" s="163" t="str">
        <f t="shared" si="52"/>
        <v/>
      </c>
      <c r="AN51" s="163" t="str">
        <f t="shared" si="52"/>
        <v/>
      </c>
      <c r="AO51" s="163" t="str">
        <f t="shared" si="52"/>
        <v/>
      </c>
      <c r="AP51" s="163" t="str">
        <f t="shared" si="52"/>
        <v/>
      </c>
      <c r="AQ51" s="164" t="str">
        <f t="shared" si="52"/>
        <v/>
      </c>
      <c r="AR51" s="161" t="str">
        <f t="shared" si="52"/>
        <v/>
      </c>
    </row>
    <row r="52" spans="1:44" x14ac:dyDescent="0.25">
      <c r="A52" s="135" t="str">
        <f t="shared" ref="A52" si="53">+IF(C52+C53=0,"[ocultar]","")</f>
        <v>[ocultar]</v>
      </c>
      <c r="B52" s="166" t="s">
        <v>394</v>
      </c>
      <c r="C52" s="167">
        <f t="array" ref="C52">SUM(IF($B52=DATOS_[Sexo],
IF($B51=DATOS_[AGRUP. CLAS. PROF.],
IF("Dentro"=DATOS_[Check Periodo Ref.],
1/(COUNTIFS(DATOS_[Sexo],$B52,DATOS_[AGRUP. CLAS. PROF.],$B51,DATOS_[Check Periodo Ref.],"Dentro",DATOS_[id/cod],DATOS_[id/cod]))))))</f>
        <v>0</v>
      </c>
      <c r="D52" s="168">
        <f>COUNTIFS(DATOS_[AGRUP. CLAS. PROF.],$B51,DATOS_[Sexo],$B52,DATOS_[Check Periodo Ref.],"Dentro")</f>
        <v>0</v>
      </c>
      <c r="E52" s="169">
        <f t="array" ref="E52">IFERROR(
AVERAGE(IF(DATOS_[Sexo]=$B52,IF(DATOS_[AGRUP. CLAS. PROF.]=$B51,IF(DATOS_[Check Periodo Ref.]="Dentro",DATOS_[SALARIO BASE Ef],FALSE)))),
0)</f>
        <v>0</v>
      </c>
      <c r="F52" s="170">
        <f t="array" ref="F52">IFERROR(
AVERAGE((IF(DATOS_[[Sexo]:[Sexo]]=$B52,IF(DATOS_[[AGRUP. CLAS. PROF.]:[AGRUP. CLAS. PROF.]]=$B51,IF(DATOS_[[Check Periodo Ref.]:[Check Periodo Ref.]]="Dentro",DATOS_[Conc.Sal.01]))))),
0)</f>
        <v>0</v>
      </c>
      <c r="G52" s="170">
        <f t="array" ref="G52">IFERROR(
AVERAGE((IF(DATOS_[[Sexo]:[Sexo]]=$B52,IF(DATOS_[[AGRUP. CLAS. PROF.]:[AGRUP. CLAS. PROF.]]=$B51,IF(DATOS_[[Check Periodo Ref.]:[Check Periodo Ref.]]="Dentro",DATOS_[Conc.Sal.02]))))),
0)</f>
        <v>0</v>
      </c>
      <c r="H52" s="170">
        <f t="array" ref="H52">IFERROR(
AVERAGE((IF(DATOS_[[Sexo]:[Sexo]]=$B52,IF(DATOS_[[AGRUP. CLAS. PROF.]:[AGRUP. CLAS. PROF.]]=$B51,IF(DATOS_[[Check Periodo Ref.]:[Check Periodo Ref.]]="Dentro",DATOS_[Conc.Sal.03]))))),
0)</f>
        <v>0</v>
      </c>
      <c r="I52" s="170">
        <f t="array" ref="I52">IFERROR(
AVERAGE((IF(DATOS_[[Sexo]:[Sexo]]=$B52,IF(DATOS_[[AGRUP. CLAS. PROF.]:[AGRUP. CLAS. PROF.]]=$B51,IF(DATOS_[[Check Periodo Ref.]:[Check Periodo Ref.]]="Dentro",DATOS_[Conc.Sal.04]))))),
0)</f>
        <v>0</v>
      </c>
      <c r="J52" s="170">
        <f t="array" ref="J52">IFERROR(
AVERAGE((IF(DATOS_[[Sexo]:[Sexo]]=$B52,IF(DATOS_[[AGRUP. CLAS. PROF.]:[AGRUP. CLAS. PROF.]]=$B51,IF(DATOS_[[Check Periodo Ref.]:[Check Periodo Ref.]]="Dentro",DATOS_[Conc.Sal.05]))))),
0)</f>
        <v>0</v>
      </c>
      <c r="K52" s="170">
        <f t="array" ref="K52">IFERROR(
AVERAGE((IF(DATOS_[[Sexo]:[Sexo]]=$B52,IF(DATOS_[[AGRUP. CLAS. PROF.]:[AGRUP. CLAS. PROF.]]=$B51,IF(DATOS_[[Check Periodo Ref.]:[Check Periodo Ref.]]="Dentro",DATOS_[Conc.Sal.06]))))),
0)</f>
        <v>0</v>
      </c>
      <c r="L52" s="170">
        <f t="array" ref="L52">IFERROR(
AVERAGE((IF(DATOS_[[Sexo]:[Sexo]]=$B52,IF(DATOS_[[AGRUP. CLAS. PROF.]:[AGRUP. CLAS. PROF.]]=$B51,IF(DATOS_[[Check Periodo Ref.]:[Check Periodo Ref.]]="Dentro",DATOS_[Conc.Sal.07]))))),
0)</f>
        <v>0</v>
      </c>
      <c r="M52" s="170">
        <f t="array" ref="M52">IFERROR(
AVERAGE((IF(DATOS_[[Sexo]:[Sexo]]=$B52,IF(DATOS_[[AGRUP. CLAS. PROF.]:[AGRUP. CLAS. PROF.]]=$B51,IF(DATOS_[[Check Periodo Ref.]:[Check Periodo Ref.]]="Dentro",DATOS_[Conc.Sal.08]))))),
0)</f>
        <v>0</v>
      </c>
      <c r="N52" s="170">
        <f t="array" ref="N52">IFERROR(
AVERAGE((IF(DATOS_[[Sexo]:[Sexo]]=$B52,IF(DATOS_[[AGRUP. CLAS. PROF.]:[AGRUP. CLAS. PROF.]]=$B51,IF(DATOS_[[Check Periodo Ref.]:[Check Periodo Ref.]]="Dentro",DATOS_[Conc.Sal.09]))))),
0)</f>
        <v>0</v>
      </c>
      <c r="O52" s="170">
        <f t="array" ref="O52">IFERROR(
AVERAGE((IF(DATOS_[[Sexo]:[Sexo]]=$B52,IF(DATOS_[[AGRUP. CLAS. PROF.]:[AGRUP. CLAS. PROF.]]=$B51,IF(DATOS_[[Check Periodo Ref.]:[Check Periodo Ref.]]="Dentro",DATOS_[Conc.Sal.10]))))),
0)</f>
        <v>0</v>
      </c>
      <c r="P52" s="170">
        <f t="array" ref="P52">IFERROR(
AVERAGE((IF(DATOS_[[Sexo]:[Sexo]]=$B52,IF(DATOS_[[AGRUP. CLAS. PROF.]:[AGRUP. CLAS. PROF.]]=$B51,IF(DATOS_[[Check Periodo Ref.]:[Check Periodo Ref.]]="Dentro",DATOS_[Conc.Sal.11]))))),
0)</f>
        <v>0</v>
      </c>
      <c r="Q52" s="170">
        <f t="array" ref="Q52">IFERROR(
AVERAGE((IF(DATOS_[[Sexo]:[Sexo]]=$B52,IF(DATOS_[[AGRUP. CLAS. PROF.]:[AGRUP. CLAS. PROF.]]=$B51,IF(DATOS_[[Check Periodo Ref.]:[Check Periodo Ref.]]="Dentro",DATOS_[Conc.Sal.12]))))),
0)</f>
        <v>0</v>
      </c>
      <c r="R52" s="170">
        <f t="array" ref="R52">IFERROR(
AVERAGE((IF(DATOS_[[Sexo]:[Sexo]]=$B52,IF(DATOS_[[AGRUP. CLAS. PROF.]:[AGRUP. CLAS. PROF.]]=$B51,IF(DATOS_[[Check Periodo Ref.]:[Check Periodo Ref.]]="Dentro",DATOS_[Conc.Sal.13]))))),
0)</f>
        <v>0</v>
      </c>
      <c r="S52" s="170">
        <f t="array" ref="S52">IFERROR(
AVERAGE((IF(DATOS_[[Sexo]:[Sexo]]=$B52,IF(DATOS_[[AGRUP. CLAS. PROF.]:[AGRUP. CLAS. PROF.]]=$B51,IF(DATOS_[[Check Periodo Ref.]:[Check Periodo Ref.]]="Dentro",DATOS_[Conc.Sal.14]))))),
0)</f>
        <v>0</v>
      </c>
      <c r="T52" s="170">
        <f t="array" ref="T52">IFERROR(
AVERAGE((IF(DATOS_[[Sexo]:[Sexo]]=$B52,IF(DATOS_[[AGRUP. CLAS. PROF.]:[AGRUP. CLAS. PROF.]]=$B51,IF(DATOS_[[Check Periodo Ref.]:[Check Periodo Ref.]]="Dentro",DATOS_[Conc.Sal.15]))))),
0)</f>
        <v>0</v>
      </c>
      <c r="U52" s="170">
        <f t="array" ref="U52">IFERROR(
AVERAGE((IF(DATOS_[[Sexo]:[Sexo]]=$B52,IF(DATOS_[[AGRUP. CLAS. PROF.]:[AGRUP. CLAS. PROF.]]=$B51,IF(DATOS_[[Check Periodo Ref.]:[Check Periodo Ref.]]="Dentro",DATOS_[Conc.Sal.16]))))),
0)</f>
        <v>0</v>
      </c>
      <c r="V52" s="170">
        <f t="array" ref="V52">IFERROR(
AVERAGE((IF(DATOS_[[Sexo]:[Sexo]]=$B52,IF(DATOS_[[AGRUP. CLAS. PROF.]:[AGRUP. CLAS. PROF.]]=$B51,IF(DATOS_[[Check Periodo Ref.]:[Check Periodo Ref.]]="Dentro",DATOS_[Conc.Sal.17]))))),
0)</f>
        <v>0</v>
      </c>
      <c r="W52" s="170">
        <f t="array" ref="W52">IFERROR(
AVERAGE((IF(DATOS_[[Sexo]:[Sexo]]=$B52,IF(DATOS_[[AGRUP. CLAS. PROF.]:[AGRUP. CLAS. PROF.]]=$B51,IF(DATOS_[[Check Periodo Ref.]:[Check Periodo Ref.]]="Dentro",DATOS_[Conc.Sal.18]))))),
0)</f>
        <v>0</v>
      </c>
      <c r="X52" s="170">
        <f t="array" ref="X52">IFERROR(
AVERAGE((IF(DATOS_[[Sexo]:[Sexo]]=$B52,IF(DATOS_[[AGRUP. CLAS. PROF.]:[AGRUP. CLAS. PROF.]]=$B51,IF(DATOS_[[Check Periodo Ref.]:[Check Periodo Ref.]]="Dentro",DATOS_[Conc.Sal.19]))))),
0)</f>
        <v>0</v>
      </c>
      <c r="Y52" s="170">
        <f t="array" ref="Y52">IFERROR(
AVERAGE((IF(DATOS_[[Sexo]:[Sexo]]=$B52,IF(DATOS_[[AGRUP. CLAS. PROF.]:[AGRUP. CLAS. PROF.]]=$B51,IF(DATOS_[[Check Periodo Ref.]:[Check Periodo Ref.]]="Dentro",DATOS_[Conc.Sal.20]))))),
0)</f>
        <v>0</v>
      </c>
      <c r="Z52" s="170">
        <f t="array" ref="Z52">IFERROR(
AVERAGE((IF(DATOS_[[Sexo]:[Sexo]]=$B52,IF(DATOS_[[AGRUP. CLAS. PROF.]:[AGRUP. CLAS. PROF.]]=$B51,IF(DATOS_[[Check Periodo Ref.]:[Check Periodo Ref.]]="Dentro",DATOS_[Conc.Sal.21]))))),
0)</f>
        <v>0</v>
      </c>
      <c r="AA52" s="170">
        <f t="array" ref="AA52">IFERROR(
AVERAGE((IF(DATOS_[[Sexo]:[Sexo]]=$B52,IF(DATOS_[[AGRUP. CLAS. PROF.]:[AGRUP. CLAS. PROF.]]=$B51,IF(DATOS_[[Check Periodo Ref.]:[Check Periodo Ref.]]="Dentro",DATOS_[Conc.Sal.22]))))),
0)</f>
        <v>0</v>
      </c>
      <c r="AB52" s="170">
        <f t="array" ref="AB52">IFERROR(
AVERAGE((IF(DATOS_[[Sexo]:[Sexo]]=$B52,IF(DATOS_[[AGRUP. CLAS. PROF.]:[AGRUP. CLAS. PROF.]]=$B51,IF(DATOS_[[Check Periodo Ref.]:[Check Periodo Ref.]]="Dentro",DATOS_[Conc.Sal.23]))))),
0)</f>
        <v>0</v>
      </c>
      <c r="AC52" s="170">
        <f t="array" ref="AC52">IFERROR(
AVERAGE((IF(DATOS_[[Sexo]:[Sexo]]=$B52,IF(DATOS_[[AGRUP. CLAS. PROF.]:[AGRUP. CLAS. PROF.]]=$B51,IF(DATOS_[[Check Periodo Ref.]:[Check Periodo Ref.]]="Dentro",DATOS_[Conc.Sal.24]))))),
0)</f>
        <v>0</v>
      </c>
      <c r="AD52" s="170">
        <f t="array" ref="AD52">IFERROR(
AVERAGE((IF(DATOS_[[Sexo]:[Sexo]]=$B52,IF(DATOS_[[AGRUP. CLAS. PROF.]:[AGRUP. CLAS. PROF.]]=$B51,IF(DATOS_[[Check Periodo Ref.]:[Check Periodo Ref.]]="Dentro",DATOS_[Conc.Sal.25]))))),
0)</f>
        <v>0</v>
      </c>
      <c r="AE52" s="170">
        <f t="array" ref="AE52">IFERROR(
AVERAGE((IF(DATOS_[[Sexo]:[Sexo]]=$B52,IF(DATOS_[[AGRUP. CLAS. PROF.]:[AGRUP. CLAS. PROF.]]=$B51,IF(DATOS_[[Check Periodo Ref.]:[Check Periodo Ref.]]="Dentro",DATOS_[Conc.Sal.26]))))),
0)</f>
        <v>0</v>
      </c>
      <c r="AF52" s="170">
        <f t="array" ref="AF52">IFERROR(
AVERAGE((IF(DATOS_[[Sexo]:[Sexo]]=$B52,IF(DATOS_[[AGRUP. CLAS. PROF.]:[AGRUP. CLAS. PROF.]]=$B51,IF(DATOS_[[Check Periodo Ref.]:[Check Periodo Ref.]]="Dentro",DATOS_[Conc.Sal.27]))))),
0)</f>
        <v>0</v>
      </c>
      <c r="AG52" s="170">
        <f t="array" ref="AG52">IFERROR(
AVERAGE((IF(DATOS_[[Sexo]:[Sexo]]=$B52,IF(DATOS_[[AGRUP. CLAS. PROF.]:[AGRUP. CLAS. PROF.]]=$B51,IF(DATOS_[[Check Periodo Ref.]:[Check Periodo Ref.]]="Dentro",DATOS_[Conc.Sal.28]))))),
0)</f>
        <v>0</v>
      </c>
      <c r="AH52" s="170">
        <f t="array" ref="AH52">IFERROR(
AVERAGE((IF(DATOS_[[Sexo]:[Sexo]]=$B52,IF(DATOS_[[AGRUP. CLAS. PROF.]:[AGRUP. CLAS. PROF.]]=$B51,IF(DATOS_[[Check Periodo Ref.]:[Check Periodo Ref.]]="Dentro",DATOS_[Conc.Sal.29]))))),
0)</f>
        <v>0</v>
      </c>
      <c r="AI52" s="170">
        <f t="array" ref="AI52">IFERROR(
AVERAGE((IF(DATOS_[[Sexo]:[Sexo]]=$B52,IF(DATOS_[[AGRUP. CLAS. PROF.]:[AGRUP. CLAS. PROF.]]=$B51,IF(DATOS_[[Check Periodo Ref.]:[Check Periodo Ref.]]="Dentro",DATOS_[Conc.Sal.30]))))),
0)</f>
        <v>0</v>
      </c>
      <c r="AJ52" s="171">
        <f t="array" ref="AJ52">IFERROR(
AVERAGE(IF(DATOS_[Sexo]=$B52,IF(DATOS_[AGRUP. CLAS. PROF.]=$B51,IF(DATOS_[Check Periodo Ref.]="Dentro",DATOS_[Tot COMPL.SAL Ef],FALSE)))),
0)</f>
        <v>0</v>
      </c>
      <c r="AK52" s="172">
        <f t="array" ref="AK52">IFERROR(
AVERAGE(IF(DATOS_[Sexo]=$B52,IF(DATOS_[AGRUP. CLAS. PROF.]=$B51,IF(DATOS_[Check Periodo Ref.]="Dentro",DATOS_[TOTAL SALARIO Ef],FALSE)))),
0)</f>
        <v>0</v>
      </c>
      <c r="AL52" s="173">
        <f t="array" ref="AL52">IFERROR(
AVERAGE((IF(DATOS_[[Sexo]:[Sexo]]=$B52,IF(DATOS_[[AGRUP. CLAS. PROF.]:[AGRUP. CLAS. PROF.]]=$B51,IF(DATOS_[[Check Periodo Ref.]:[Check Periodo Ref.]]="Dentro",DATOS_[C.Extra.01]))))),
0)</f>
        <v>0</v>
      </c>
      <c r="AM52" s="173">
        <f t="array" ref="AM52">IFERROR(
AVERAGE((IF(DATOS_[[Sexo]:[Sexo]]=$B52,IF(DATOS_[[AGRUP. CLAS. PROF.]:[AGRUP. CLAS. PROF.]]=$B51,IF(DATOS_[[Check Periodo Ref.]:[Check Periodo Ref.]]="Dentro",DATOS_[C.Extra.06]))))),
0)</f>
        <v>0</v>
      </c>
      <c r="AN52" s="173">
        <f t="array" ref="AN52">IFERROR(
AVERAGE((IF(DATOS_[[Sexo]:[Sexo]]=$B52,IF(DATOS_[[AGRUP. CLAS. PROF.]:[AGRUP. CLAS. PROF.]]=$B51,IF(DATOS_[[Check Periodo Ref.]:[Check Periodo Ref.]]="Dentro",DATOS_[C.Extra.07]))))),
0)</f>
        <v>0</v>
      </c>
      <c r="AO52" s="173">
        <f t="array" ref="AO52">IFERROR(
AVERAGE((IF(DATOS_[[Sexo]:[Sexo]]=$B52,IF(DATOS_[[AGRUP. CLAS. PROF.]:[AGRUP. CLAS. PROF.]]=$B51,IF(DATOS_[[Check Periodo Ref.]:[Check Periodo Ref.]]="Dentro",DATOS_[C.Extra.08]))))),
0)</f>
        <v>0</v>
      </c>
      <c r="AP52" s="173">
        <f t="array" ref="AP52">IFERROR(
AVERAGE((IF(DATOS_[[Sexo]:[Sexo]]=$B52,IF(DATOS_[[AGRUP. CLAS. PROF.]:[AGRUP. CLAS. PROF.]]=$B51,IF(DATOS_[[Check Periodo Ref.]:[Check Periodo Ref.]]="Dentro",DATOS_[C.Extra.11]))))),
0)</f>
        <v>0</v>
      </c>
      <c r="AQ52" s="174">
        <f t="array" ref="AQ52">IFERROR(
AVERAGE(IF(DATOS_[Sexo]=$B52,IF(DATOS_[AGRUP. CLAS. PROF.]=$B51,IF(DATOS_[Check Periodo Ref.]="Dentro",DATOS_[Tot Extrasalarial Ef],FALSE)))),
0)</f>
        <v>0</v>
      </c>
      <c r="AR52" s="171">
        <f t="array" ref="AR52">IFERROR(
AVERAGE(IF(DATOS_[Sexo]=$B52,IF(DATOS_[AGRUP. CLAS. PROF.]=$B51,IF(DATOS_[Check Periodo Ref.]="Dentro",DATOS_[TOTAL Retrib Ef],FALSE)))),
0)</f>
        <v>0</v>
      </c>
    </row>
    <row r="53" spans="1:44" x14ac:dyDescent="0.25">
      <c r="A53" s="135" t="str">
        <f t="shared" ref="A53" si="54">+A52</f>
        <v>[ocultar]</v>
      </c>
      <c r="B53" s="166" t="s">
        <v>521</v>
      </c>
      <c r="C53" s="167">
        <f t="array" ref="C53">SUM(IF($B53=DATOS_[Sexo],
IF($B51=DATOS_[AGRUP. CLAS. PROF.],
IF("Dentro"=DATOS_[Check Periodo Ref.],
1/(COUNTIFS(DATOS_[Sexo],$B53,DATOS_[AGRUP. CLAS. PROF.],$B51,DATOS_[Check Periodo Ref.],"Dentro",DATOS_[id/cod],DATOS_[id/cod]))))))</f>
        <v>0</v>
      </c>
      <c r="D53" s="168">
        <f>COUNTIFS(DATOS_[AGRUP. CLAS. PROF.],$B51,DATOS_[Sexo],$B53,DATOS_[Check Periodo Ref.],"Dentro")</f>
        <v>0</v>
      </c>
      <c r="E53" s="169">
        <f t="array" ref="E53">IFERROR(
AVERAGE(IF(DATOS_[Sexo]=$B53,IF(DATOS_[AGRUP. CLAS. PROF.]=$B51,IF(DATOS_[Check Periodo Ref.]="Dentro",DATOS_[SALARIO BASE Ef],FALSE)))),
0)</f>
        <v>0</v>
      </c>
      <c r="F53" s="170">
        <f t="array" ref="F53">IFERROR(
AVERAGE((IF(DATOS_[[Sexo]:[Sexo]]=$B53,IF(DATOS_[[AGRUP. CLAS. PROF.]:[AGRUP. CLAS. PROF.]]=$B51,IF(DATOS_[[Check Periodo Ref.]:[Check Periodo Ref.]]="Dentro",DATOS_[Conc.Sal.01]))))),
0)</f>
        <v>0</v>
      </c>
      <c r="G53" s="170">
        <f t="array" ref="G53">IFERROR(
AVERAGE((IF(DATOS_[[Sexo]:[Sexo]]=$B53,IF(DATOS_[[AGRUP. CLAS. PROF.]:[AGRUP. CLAS. PROF.]]=$B51,IF(DATOS_[[Check Periodo Ref.]:[Check Periodo Ref.]]="Dentro",DATOS_[Conc.Sal.02]))))),
0)</f>
        <v>0</v>
      </c>
      <c r="H53" s="170">
        <f t="array" ref="H53">IFERROR(
AVERAGE((IF(DATOS_[[Sexo]:[Sexo]]=$B53,IF(DATOS_[[AGRUP. CLAS. PROF.]:[AGRUP. CLAS. PROF.]]=$B51,IF(DATOS_[[Check Periodo Ref.]:[Check Periodo Ref.]]="Dentro",DATOS_[Conc.Sal.03]))))),
0)</f>
        <v>0</v>
      </c>
      <c r="I53" s="170">
        <f t="array" ref="I53">IFERROR(
AVERAGE((IF(DATOS_[[Sexo]:[Sexo]]=$B53,IF(DATOS_[[AGRUP. CLAS. PROF.]:[AGRUP. CLAS. PROF.]]=$B51,IF(DATOS_[[Check Periodo Ref.]:[Check Periodo Ref.]]="Dentro",DATOS_[Conc.Sal.04]))))),
0)</f>
        <v>0</v>
      </c>
      <c r="J53" s="170">
        <f t="array" ref="J53">IFERROR(
AVERAGE((IF(DATOS_[[Sexo]:[Sexo]]=$B53,IF(DATOS_[[AGRUP. CLAS. PROF.]:[AGRUP. CLAS. PROF.]]=$B51,IF(DATOS_[[Check Periodo Ref.]:[Check Periodo Ref.]]="Dentro",DATOS_[Conc.Sal.05]))))),
0)</f>
        <v>0</v>
      </c>
      <c r="K53" s="170">
        <f t="array" ref="K53">IFERROR(
AVERAGE((IF(DATOS_[[Sexo]:[Sexo]]=$B53,IF(DATOS_[[AGRUP. CLAS. PROF.]:[AGRUP. CLAS. PROF.]]=$B51,IF(DATOS_[[Check Periodo Ref.]:[Check Periodo Ref.]]="Dentro",DATOS_[Conc.Sal.06]))))),
0)</f>
        <v>0</v>
      </c>
      <c r="L53" s="170">
        <f t="array" ref="L53">IFERROR(
AVERAGE((IF(DATOS_[[Sexo]:[Sexo]]=$B53,IF(DATOS_[[AGRUP. CLAS. PROF.]:[AGRUP. CLAS. PROF.]]=$B51,IF(DATOS_[[Check Periodo Ref.]:[Check Periodo Ref.]]="Dentro",DATOS_[Conc.Sal.07]))))),
0)</f>
        <v>0</v>
      </c>
      <c r="M53" s="170">
        <f t="array" ref="M53">IFERROR(
AVERAGE((IF(DATOS_[[Sexo]:[Sexo]]=$B53,IF(DATOS_[[AGRUP. CLAS. PROF.]:[AGRUP. CLAS. PROF.]]=$B51,IF(DATOS_[[Check Periodo Ref.]:[Check Periodo Ref.]]="Dentro",DATOS_[Conc.Sal.08]))))),
0)</f>
        <v>0</v>
      </c>
      <c r="N53" s="170">
        <f t="array" ref="N53">IFERROR(
AVERAGE((IF(DATOS_[[Sexo]:[Sexo]]=$B53,IF(DATOS_[[AGRUP. CLAS. PROF.]:[AGRUP. CLAS. PROF.]]=$B51,IF(DATOS_[[Check Periodo Ref.]:[Check Periodo Ref.]]="Dentro",DATOS_[Conc.Sal.09]))))),
0)</f>
        <v>0</v>
      </c>
      <c r="O53" s="170">
        <f t="array" ref="O53">IFERROR(
AVERAGE((IF(DATOS_[[Sexo]:[Sexo]]=$B53,IF(DATOS_[[AGRUP. CLAS. PROF.]:[AGRUP. CLAS. PROF.]]=$B51,IF(DATOS_[[Check Periodo Ref.]:[Check Periodo Ref.]]="Dentro",DATOS_[Conc.Sal.10]))))),
0)</f>
        <v>0</v>
      </c>
      <c r="P53" s="170">
        <f t="array" ref="P53">IFERROR(
AVERAGE((IF(DATOS_[[Sexo]:[Sexo]]=$B53,IF(DATOS_[[AGRUP. CLAS. PROF.]:[AGRUP. CLAS. PROF.]]=$B51,IF(DATOS_[[Check Periodo Ref.]:[Check Periodo Ref.]]="Dentro",DATOS_[Conc.Sal.11]))))),
0)</f>
        <v>0</v>
      </c>
      <c r="Q53" s="170">
        <f t="array" ref="Q53">IFERROR(
AVERAGE((IF(DATOS_[[Sexo]:[Sexo]]=$B53,IF(DATOS_[[AGRUP. CLAS. PROF.]:[AGRUP. CLAS. PROF.]]=$B51,IF(DATOS_[[Check Periodo Ref.]:[Check Periodo Ref.]]="Dentro",DATOS_[Conc.Sal.12]))))),
0)</f>
        <v>0</v>
      </c>
      <c r="R53" s="170">
        <f t="array" ref="R53">IFERROR(
AVERAGE((IF(DATOS_[[Sexo]:[Sexo]]=$B53,IF(DATOS_[[AGRUP. CLAS. PROF.]:[AGRUP. CLAS. PROF.]]=$B51,IF(DATOS_[[Check Periodo Ref.]:[Check Periodo Ref.]]="Dentro",DATOS_[Conc.Sal.13]))))),
0)</f>
        <v>0</v>
      </c>
      <c r="S53" s="170">
        <f t="array" ref="S53">IFERROR(
AVERAGE((IF(DATOS_[[Sexo]:[Sexo]]=$B53,IF(DATOS_[[AGRUP. CLAS. PROF.]:[AGRUP. CLAS. PROF.]]=$B51,IF(DATOS_[[Check Periodo Ref.]:[Check Periodo Ref.]]="Dentro",DATOS_[Conc.Sal.14]))))),
0)</f>
        <v>0</v>
      </c>
      <c r="T53" s="170">
        <f t="array" ref="T53">IFERROR(
AVERAGE((IF(DATOS_[[Sexo]:[Sexo]]=$B53,IF(DATOS_[[AGRUP. CLAS. PROF.]:[AGRUP. CLAS. PROF.]]=$B51,IF(DATOS_[[Check Periodo Ref.]:[Check Periodo Ref.]]="Dentro",DATOS_[Conc.Sal.15]))))),
0)</f>
        <v>0</v>
      </c>
      <c r="U53" s="170">
        <f t="array" ref="U53">IFERROR(
AVERAGE((IF(DATOS_[[Sexo]:[Sexo]]=$B53,IF(DATOS_[[AGRUP. CLAS. PROF.]:[AGRUP. CLAS. PROF.]]=$B51,IF(DATOS_[[Check Periodo Ref.]:[Check Periodo Ref.]]="Dentro",DATOS_[Conc.Sal.16]))))),
0)</f>
        <v>0</v>
      </c>
      <c r="V53" s="170">
        <f t="array" ref="V53">IFERROR(
AVERAGE((IF(DATOS_[[Sexo]:[Sexo]]=$B53,IF(DATOS_[[AGRUP. CLAS. PROF.]:[AGRUP. CLAS. PROF.]]=$B51,IF(DATOS_[[Check Periodo Ref.]:[Check Periodo Ref.]]="Dentro",DATOS_[Conc.Sal.17]))))),
0)</f>
        <v>0</v>
      </c>
      <c r="W53" s="170">
        <f t="array" ref="W53">IFERROR(
AVERAGE((IF(DATOS_[[Sexo]:[Sexo]]=$B53,IF(DATOS_[[AGRUP. CLAS. PROF.]:[AGRUP. CLAS. PROF.]]=$B51,IF(DATOS_[[Check Periodo Ref.]:[Check Periodo Ref.]]="Dentro",DATOS_[Conc.Sal.18]))))),
0)</f>
        <v>0</v>
      </c>
      <c r="X53" s="170">
        <f t="array" ref="X53">IFERROR(
AVERAGE((IF(DATOS_[[Sexo]:[Sexo]]=$B53,IF(DATOS_[[AGRUP. CLAS. PROF.]:[AGRUP. CLAS. PROF.]]=$B51,IF(DATOS_[[Check Periodo Ref.]:[Check Periodo Ref.]]="Dentro",DATOS_[Conc.Sal.19]))))),
0)</f>
        <v>0</v>
      </c>
      <c r="Y53" s="170">
        <f t="array" ref="Y53">IFERROR(
AVERAGE((IF(DATOS_[[Sexo]:[Sexo]]=$B53,IF(DATOS_[[AGRUP. CLAS. PROF.]:[AGRUP. CLAS. PROF.]]=$B51,IF(DATOS_[[Check Periodo Ref.]:[Check Periodo Ref.]]="Dentro",DATOS_[Conc.Sal.20]))))),
0)</f>
        <v>0</v>
      </c>
      <c r="Z53" s="170">
        <f t="array" ref="Z53">IFERROR(
AVERAGE((IF(DATOS_[[Sexo]:[Sexo]]=$B53,IF(DATOS_[[AGRUP. CLAS. PROF.]:[AGRUP. CLAS. PROF.]]=$B51,IF(DATOS_[[Check Periodo Ref.]:[Check Periodo Ref.]]="Dentro",DATOS_[Conc.Sal.21]))))),
0)</f>
        <v>0</v>
      </c>
      <c r="AA53" s="170">
        <f t="array" ref="AA53">IFERROR(
AVERAGE((IF(DATOS_[[Sexo]:[Sexo]]=$B53,IF(DATOS_[[AGRUP. CLAS. PROF.]:[AGRUP. CLAS. PROF.]]=$B51,IF(DATOS_[[Check Periodo Ref.]:[Check Periodo Ref.]]="Dentro",DATOS_[Conc.Sal.22]))))),
0)</f>
        <v>0</v>
      </c>
      <c r="AB53" s="170">
        <f t="array" ref="AB53">IFERROR(
AVERAGE((IF(DATOS_[[Sexo]:[Sexo]]=$B53,IF(DATOS_[[AGRUP. CLAS. PROF.]:[AGRUP. CLAS. PROF.]]=$B51,IF(DATOS_[[Check Periodo Ref.]:[Check Periodo Ref.]]="Dentro",DATOS_[Conc.Sal.23]))))),
0)</f>
        <v>0</v>
      </c>
      <c r="AC53" s="170">
        <f t="array" ref="AC53">IFERROR(
AVERAGE((IF(DATOS_[[Sexo]:[Sexo]]=$B53,IF(DATOS_[[AGRUP. CLAS. PROF.]:[AGRUP. CLAS. PROF.]]=$B51,IF(DATOS_[[Check Periodo Ref.]:[Check Periodo Ref.]]="Dentro",DATOS_[Conc.Sal.24]))))),
0)</f>
        <v>0</v>
      </c>
      <c r="AD53" s="170">
        <f t="array" ref="AD53">IFERROR(
AVERAGE((IF(DATOS_[[Sexo]:[Sexo]]=$B53,IF(DATOS_[[AGRUP. CLAS. PROF.]:[AGRUP. CLAS. PROF.]]=$B51,IF(DATOS_[[Check Periodo Ref.]:[Check Periodo Ref.]]="Dentro",DATOS_[Conc.Sal.25]))))),
0)</f>
        <v>0</v>
      </c>
      <c r="AE53" s="170">
        <f t="array" ref="AE53">IFERROR(
AVERAGE((IF(DATOS_[[Sexo]:[Sexo]]=$B53,IF(DATOS_[[AGRUP. CLAS. PROF.]:[AGRUP. CLAS. PROF.]]=$B51,IF(DATOS_[[Check Periodo Ref.]:[Check Periodo Ref.]]="Dentro",DATOS_[Conc.Sal.26]))))),
0)</f>
        <v>0</v>
      </c>
      <c r="AF53" s="170">
        <f t="array" ref="AF53">IFERROR(
AVERAGE((IF(DATOS_[[Sexo]:[Sexo]]=$B53,IF(DATOS_[[AGRUP. CLAS. PROF.]:[AGRUP. CLAS. PROF.]]=$B51,IF(DATOS_[[Check Periodo Ref.]:[Check Periodo Ref.]]="Dentro",DATOS_[Conc.Sal.27]))))),
0)</f>
        <v>0</v>
      </c>
      <c r="AG53" s="170">
        <f t="array" ref="AG53">IFERROR(
AVERAGE((IF(DATOS_[[Sexo]:[Sexo]]=$B53,IF(DATOS_[[AGRUP. CLAS. PROF.]:[AGRUP. CLAS. PROF.]]=$B51,IF(DATOS_[[Check Periodo Ref.]:[Check Periodo Ref.]]="Dentro",DATOS_[Conc.Sal.28]))))),
0)</f>
        <v>0</v>
      </c>
      <c r="AH53" s="170">
        <f t="array" ref="AH53">IFERROR(
AVERAGE((IF(DATOS_[[Sexo]:[Sexo]]=$B53,IF(DATOS_[[AGRUP. CLAS. PROF.]:[AGRUP. CLAS. PROF.]]=$B51,IF(DATOS_[[Check Periodo Ref.]:[Check Periodo Ref.]]="Dentro",DATOS_[Conc.Sal.29]))))),
0)</f>
        <v>0</v>
      </c>
      <c r="AI53" s="170">
        <f t="array" ref="AI53">IFERROR(
AVERAGE((IF(DATOS_[[Sexo]:[Sexo]]=$B53,IF(DATOS_[[AGRUP. CLAS. PROF.]:[AGRUP. CLAS. PROF.]]=$B51,IF(DATOS_[[Check Periodo Ref.]:[Check Periodo Ref.]]="Dentro",DATOS_[Conc.Sal.30]))))),
0)</f>
        <v>0</v>
      </c>
      <c r="AJ53" s="171">
        <f t="array" ref="AJ53">IFERROR(
AVERAGE(IF(DATOS_[Sexo]=$B53,IF(DATOS_[AGRUP. CLAS. PROF.]=$B51,IF(DATOS_[Check Periodo Ref.]="Dentro",DATOS_[Tot COMPL.SAL Ef],FALSE)))),
0)</f>
        <v>0</v>
      </c>
      <c r="AK53" s="172">
        <f t="array" ref="AK53">IFERROR(
AVERAGE(IF(DATOS_[Sexo]=$B53,IF(DATOS_[AGRUP. CLAS. PROF.]=$B51,IF(DATOS_[Check Periodo Ref.]="Dentro",DATOS_[TOTAL SALARIO Ef],FALSE)))),
0)</f>
        <v>0</v>
      </c>
      <c r="AL53" s="173">
        <f t="array" ref="AL53">IFERROR(
AVERAGE((IF(DATOS_[[Sexo]:[Sexo]]=$B53,IF(DATOS_[[AGRUP. CLAS. PROF.]:[AGRUP. CLAS. PROF.]]=$B51,IF(DATOS_[[Check Periodo Ref.]:[Check Periodo Ref.]]="Dentro",DATOS_[C.Extra.01]))))),
0)</f>
        <v>0</v>
      </c>
      <c r="AM53" s="173">
        <f t="array" ref="AM53">IFERROR(
AVERAGE((IF(DATOS_[[Sexo]:[Sexo]]=$B53,IF(DATOS_[[AGRUP. CLAS. PROF.]:[AGRUP. CLAS. PROF.]]=$B51,IF(DATOS_[[Check Periodo Ref.]:[Check Periodo Ref.]]="Dentro",DATOS_[C.Extra.06]))))),
0)</f>
        <v>0</v>
      </c>
      <c r="AN53" s="173">
        <f t="array" ref="AN53">IFERROR(
AVERAGE((IF(DATOS_[[Sexo]:[Sexo]]=$B53,IF(DATOS_[[AGRUP. CLAS. PROF.]:[AGRUP. CLAS. PROF.]]=$B51,IF(DATOS_[[Check Periodo Ref.]:[Check Periodo Ref.]]="Dentro",DATOS_[C.Extra.07]))))),
0)</f>
        <v>0</v>
      </c>
      <c r="AO53" s="173">
        <f t="array" ref="AO53">IFERROR(
AVERAGE((IF(DATOS_[[Sexo]:[Sexo]]=$B53,IF(DATOS_[[AGRUP. CLAS. PROF.]:[AGRUP. CLAS. PROF.]]=$B51,IF(DATOS_[[Check Periodo Ref.]:[Check Periodo Ref.]]="Dentro",DATOS_[C.Extra.08]))))),
0)</f>
        <v>0</v>
      </c>
      <c r="AP53" s="173">
        <f t="array" ref="AP53">IFERROR(
AVERAGE((IF(DATOS_[[Sexo]:[Sexo]]=$B53,IF(DATOS_[[AGRUP. CLAS. PROF.]:[AGRUP. CLAS. PROF.]]=$B51,IF(DATOS_[[Check Periodo Ref.]:[Check Periodo Ref.]]="Dentro",DATOS_[C.Extra.11]))))),
0)</f>
        <v>0</v>
      </c>
      <c r="AQ53" s="174">
        <f t="array" ref="AQ53">IFERROR(
AVERAGE(IF(DATOS_[Sexo]=$B53,IF(DATOS_[AGRUP. CLAS. PROF.]=$B51,IF(DATOS_[Check Periodo Ref.]="Dentro",DATOS_[Tot Extrasalarial Ef],FALSE)))),
0)</f>
        <v>0</v>
      </c>
      <c r="AR53" s="171">
        <f t="array" ref="AR53">IFERROR(
AVERAGE(IF(DATOS_[Sexo]=$B53,IF(DATOS_[AGRUP. CLAS. PROF.]=$B51,IF(DATOS_[Check Periodo Ref.]="Dentro",DATOS_[TOTAL Retrib Ef],FALSE)))),
0)</f>
        <v>0</v>
      </c>
    </row>
    <row r="54" spans="1:44" s="152" customFormat="1" ht="14.4" thickBot="1" x14ac:dyDescent="0.3">
      <c r="A54" s="135" t="str">
        <f t="shared" ref="A54" si="55">+A55</f>
        <v>[ocultar]</v>
      </c>
      <c r="B54" s="153" t="s">
        <v>229</v>
      </c>
      <c r="C54" s="154"/>
      <c r="D54" s="155"/>
      <c r="E54" s="156" t="str">
        <f t="shared" ref="E54:AR54" si="56">IFERROR((E55-E56)/E55,"")</f>
        <v/>
      </c>
      <c r="F54" s="157" t="str">
        <f t="shared" si="56"/>
        <v/>
      </c>
      <c r="G54" s="158" t="str">
        <f t="shared" si="56"/>
        <v/>
      </c>
      <c r="H54" s="158" t="str">
        <f t="shared" si="56"/>
        <v/>
      </c>
      <c r="I54" s="158" t="str">
        <f t="shared" si="56"/>
        <v/>
      </c>
      <c r="J54" s="159" t="str">
        <f t="shared" si="56"/>
        <v/>
      </c>
      <c r="K54" s="160" t="str">
        <f t="shared" si="56"/>
        <v/>
      </c>
      <c r="L54" s="160" t="str">
        <f t="shared" si="56"/>
        <v/>
      </c>
      <c r="M54" s="160" t="str">
        <f t="shared" si="56"/>
        <v/>
      </c>
      <c r="N54" s="160" t="str">
        <f t="shared" si="56"/>
        <v/>
      </c>
      <c r="O54" s="160" t="str">
        <f t="shared" si="56"/>
        <v/>
      </c>
      <c r="P54" s="160" t="str">
        <f t="shared" si="56"/>
        <v/>
      </c>
      <c r="Q54" s="160" t="str">
        <f t="shared" si="56"/>
        <v/>
      </c>
      <c r="R54" s="160" t="str">
        <f t="shared" si="56"/>
        <v/>
      </c>
      <c r="S54" s="160" t="str">
        <f t="shared" si="56"/>
        <v/>
      </c>
      <c r="T54" s="160" t="str">
        <f t="shared" si="56"/>
        <v/>
      </c>
      <c r="U54" s="160" t="str">
        <f t="shared" si="56"/>
        <v/>
      </c>
      <c r="V54" s="159" t="str">
        <f t="shared" si="56"/>
        <v/>
      </c>
      <c r="W54" s="159" t="str">
        <f t="shared" si="56"/>
        <v/>
      </c>
      <c r="X54" s="159" t="str">
        <f t="shared" si="56"/>
        <v/>
      </c>
      <c r="Y54" s="159" t="str">
        <f t="shared" si="56"/>
        <v/>
      </c>
      <c r="Z54" s="159" t="str">
        <f t="shared" si="56"/>
        <v/>
      </c>
      <c r="AA54" s="159" t="str">
        <f t="shared" si="56"/>
        <v/>
      </c>
      <c r="AB54" s="159" t="str">
        <f t="shared" si="56"/>
        <v/>
      </c>
      <c r="AC54" s="159" t="str">
        <f t="shared" si="56"/>
        <v/>
      </c>
      <c r="AD54" s="159" t="str">
        <f t="shared" si="56"/>
        <v/>
      </c>
      <c r="AE54" s="159" t="str">
        <f t="shared" si="56"/>
        <v/>
      </c>
      <c r="AF54" s="159" t="str">
        <f t="shared" si="56"/>
        <v/>
      </c>
      <c r="AG54" s="159" t="str">
        <f t="shared" si="56"/>
        <v/>
      </c>
      <c r="AH54" s="159" t="str">
        <f t="shared" si="56"/>
        <v/>
      </c>
      <c r="AI54" s="159" t="str">
        <f t="shared" si="56"/>
        <v/>
      </c>
      <c r="AJ54" s="161" t="str">
        <f t="shared" si="56"/>
        <v/>
      </c>
      <c r="AK54" s="162" t="str">
        <f t="shared" si="56"/>
        <v/>
      </c>
      <c r="AL54" s="163" t="str">
        <f t="shared" si="56"/>
        <v/>
      </c>
      <c r="AM54" s="163" t="str">
        <f t="shared" si="56"/>
        <v/>
      </c>
      <c r="AN54" s="163" t="str">
        <f t="shared" si="56"/>
        <v/>
      </c>
      <c r="AO54" s="163" t="str">
        <f t="shared" si="56"/>
        <v/>
      </c>
      <c r="AP54" s="163" t="str">
        <f t="shared" si="56"/>
        <v/>
      </c>
      <c r="AQ54" s="164" t="str">
        <f t="shared" si="56"/>
        <v/>
      </c>
      <c r="AR54" s="161" t="str">
        <f t="shared" si="56"/>
        <v/>
      </c>
    </row>
    <row r="55" spans="1:44" x14ac:dyDescent="0.25">
      <c r="A55" s="135" t="str">
        <f t="shared" ref="A55" si="57">+IF(C55+C56=0,"[ocultar]","")</f>
        <v>[ocultar]</v>
      </c>
      <c r="B55" s="166" t="s">
        <v>394</v>
      </c>
      <c r="C55" s="167">
        <f t="array" ref="C55">SUM(IF($B55=DATOS_[Sexo],
IF($B54=DATOS_[AGRUP. CLAS. PROF.],
IF("Dentro"=DATOS_[Check Periodo Ref.],
1/(COUNTIFS(DATOS_[Sexo],$B55,DATOS_[AGRUP. CLAS. PROF.],$B54,DATOS_[Check Periodo Ref.],"Dentro",DATOS_[id/cod],DATOS_[id/cod]))))))</f>
        <v>0</v>
      </c>
      <c r="D55" s="168">
        <f>COUNTIFS(DATOS_[AGRUP. CLAS. PROF.],$B54,DATOS_[Sexo],$B55,DATOS_[Check Periodo Ref.],"Dentro")</f>
        <v>0</v>
      </c>
      <c r="E55" s="169">
        <f t="array" ref="E55">IFERROR(
AVERAGE(IF(DATOS_[Sexo]=$B55,IF(DATOS_[AGRUP. CLAS. PROF.]=$B54,IF(DATOS_[Check Periodo Ref.]="Dentro",DATOS_[SALARIO BASE Ef],FALSE)))),
0)</f>
        <v>0</v>
      </c>
      <c r="F55" s="170">
        <f t="array" ref="F55">IFERROR(
AVERAGE((IF(DATOS_[[Sexo]:[Sexo]]=$B55,IF(DATOS_[[AGRUP. CLAS. PROF.]:[AGRUP. CLAS. PROF.]]=$B54,IF(DATOS_[[Check Periodo Ref.]:[Check Periodo Ref.]]="Dentro",DATOS_[Conc.Sal.01]))))),
0)</f>
        <v>0</v>
      </c>
      <c r="G55" s="170">
        <f t="array" ref="G55">IFERROR(
AVERAGE((IF(DATOS_[[Sexo]:[Sexo]]=$B55,IF(DATOS_[[AGRUP. CLAS. PROF.]:[AGRUP. CLAS. PROF.]]=$B54,IF(DATOS_[[Check Periodo Ref.]:[Check Periodo Ref.]]="Dentro",DATOS_[Conc.Sal.02]))))),
0)</f>
        <v>0</v>
      </c>
      <c r="H55" s="170">
        <f t="array" ref="H55">IFERROR(
AVERAGE((IF(DATOS_[[Sexo]:[Sexo]]=$B55,IF(DATOS_[[AGRUP. CLAS. PROF.]:[AGRUP. CLAS. PROF.]]=$B54,IF(DATOS_[[Check Periodo Ref.]:[Check Periodo Ref.]]="Dentro",DATOS_[Conc.Sal.03]))))),
0)</f>
        <v>0</v>
      </c>
      <c r="I55" s="170">
        <f t="array" ref="I55">IFERROR(
AVERAGE((IF(DATOS_[[Sexo]:[Sexo]]=$B55,IF(DATOS_[[AGRUP. CLAS. PROF.]:[AGRUP. CLAS. PROF.]]=$B54,IF(DATOS_[[Check Periodo Ref.]:[Check Periodo Ref.]]="Dentro",DATOS_[Conc.Sal.04]))))),
0)</f>
        <v>0</v>
      </c>
      <c r="J55" s="170">
        <f t="array" ref="J55">IFERROR(
AVERAGE((IF(DATOS_[[Sexo]:[Sexo]]=$B55,IF(DATOS_[[AGRUP. CLAS. PROF.]:[AGRUP. CLAS. PROF.]]=$B54,IF(DATOS_[[Check Periodo Ref.]:[Check Periodo Ref.]]="Dentro",DATOS_[Conc.Sal.05]))))),
0)</f>
        <v>0</v>
      </c>
      <c r="K55" s="170">
        <f t="array" ref="K55">IFERROR(
AVERAGE((IF(DATOS_[[Sexo]:[Sexo]]=$B55,IF(DATOS_[[AGRUP. CLAS. PROF.]:[AGRUP. CLAS. PROF.]]=$B54,IF(DATOS_[[Check Periodo Ref.]:[Check Periodo Ref.]]="Dentro",DATOS_[Conc.Sal.06]))))),
0)</f>
        <v>0</v>
      </c>
      <c r="L55" s="170">
        <f t="array" ref="L55">IFERROR(
AVERAGE((IF(DATOS_[[Sexo]:[Sexo]]=$B55,IF(DATOS_[[AGRUP. CLAS. PROF.]:[AGRUP. CLAS. PROF.]]=$B54,IF(DATOS_[[Check Periodo Ref.]:[Check Periodo Ref.]]="Dentro",DATOS_[Conc.Sal.07]))))),
0)</f>
        <v>0</v>
      </c>
      <c r="M55" s="170">
        <f t="array" ref="M55">IFERROR(
AVERAGE((IF(DATOS_[[Sexo]:[Sexo]]=$B55,IF(DATOS_[[AGRUP. CLAS. PROF.]:[AGRUP. CLAS. PROF.]]=$B54,IF(DATOS_[[Check Periodo Ref.]:[Check Periodo Ref.]]="Dentro",DATOS_[Conc.Sal.08]))))),
0)</f>
        <v>0</v>
      </c>
      <c r="N55" s="170">
        <f t="array" ref="N55">IFERROR(
AVERAGE((IF(DATOS_[[Sexo]:[Sexo]]=$B55,IF(DATOS_[[AGRUP. CLAS. PROF.]:[AGRUP. CLAS. PROF.]]=$B54,IF(DATOS_[[Check Periodo Ref.]:[Check Periodo Ref.]]="Dentro",DATOS_[Conc.Sal.09]))))),
0)</f>
        <v>0</v>
      </c>
      <c r="O55" s="170">
        <f t="array" ref="O55">IFERROR(
AVERAGE((IF(DATOS_[[Sexo]:[Sexo]]=$B55,IF(DATOS_[[AGRUP. CLAS. PROF.]:[AGRUP. CLAS. PROF.]]=$B54,IF(DATOS_[[Check Periodo Ref.]:[Check Periodo Ref.]]="Dentro",DATOS_[Conc.Sal.10]))))),
0)</f>
        <v>0</v>
      </c>
      <c r="P55" s="170">
        <f t="array" ref="P55">IFERROR(
AVERAGE((IF(DATOS_[[Sexo]:[Sexo]]=$B55,IF(DATOS_[[AGRUP. CLAS. PROF.]:[AGRUP. CLAS. PROF.]]=$B54,IF(DATOS_[[Check Periodo Ref.]:[Check Periodo Ref.]]="Dentro",DATOS_[Conc.Sal.11]))))),
0)</f>
        <v>0</v>
      </c>
      <c r="Q55" s="170">
        <f t="array" ref="Q55">IFERROR(
AVERAGE((IF(DATOS_[[Sexo]:[Sexo]]=$B55,IF(DATOS_[[AGRUP. CLAS. PROF.]:[AGRUP. CLAS. PROF.]]=$B54,IF(DATOS_[[Check Periodo Ref.]:[Check Periodo Ref.]]="Dentro",DATOS_[Conc.Sal.12]))))),
0)</f>
        <v>0</v>
      </c>
      <c r="R55" s="170">
        <f t="array" ref="R55">IFERROR(
AVERAGE((IF(DATOS_[[Sexo]:[Sexo]]=$B55,IF(DATOS_[[AGRUP. CLAS. PROF.]:[AGRUP. CLAS. PROF.]]=$B54,IF(DATOS_[[Check Periodo Ref.]:[Check Periodo Ref.]]="Dentro",DATOS_[Conc.Sal.13]))))),
0)</f>
        <v>0</v>
      </c>
      <c r="S55" s="170">
        <f t="array" ref="S55">IFERROR(
AVERAGE((IF(DATOS_[[Sexo]:[Sexo]]=$B55,IF(DATOS_[[AGRUP. CLAS. PROF.]:[AGRUP. CLAS. PROF.]]=$B54,IF(DATOS_[[Check Periodo Ref.]:[Check Periodo Ref.]]="Dentro",DATOS_[Conc.Sal.14]))))),
0)</f>
        <v>0</v>
      </c>
      <c r="T55" s="170">
        <f t="array" ref="T55">IFERROR(
AVERAGE((IF(DATOS_[[Sexo]:[Sexo]]=$B55,IF(DATOS_[[AGRUP. CLAS. PROF.]:[AGRUP. CLAS. PROF.]]=$B54,IF(DATOS_[[Check Periodo Ref.]:[Check Periodo Ref.]]="Dentro",DATOS_[Conc.Sal.15]))))),
0)</f>
        <v>0</v>
      </c>
      <c r="U55" s="170">
        <f t="array" ref="U55">IFERROR(
AVERAGE((IF(DATOS_[[Sexo]:[Sexo]]=$B55,IF(DATOS_[[AGRUP. CLAS. PROF.]:[AGRUP. CLAS. PROF.]]=$B54,IF(DATOS_[[Check Periodo Ref.]:[Check Periodo Ref.]]="Dentro",DATOS_[Conc.Sal.16]))))),
0)</f>
        <v>0</v>
      </c>
      <c r="V55" s="170">
        <f t="array" ref="V55">IFERROR(
AVERAGE((IF(DATOS_[[Sexo]:[Sexo]]=$B55,IF(DATOS_[[AGRUP. CLAS. PROF.]:[AGRUP. CLAS. PROF.]]=$B54,IF(DATOS_[[Check Periodo Ref.]:[Check Periodo Ref.]]="Dentro",DATOS_[Conc.Sal.17]))))),
0)</f>
        <v>0</v>
      </c>
      <c r="W55" s="170">
        <f t="array" ref="W55">IFERROR(
AVERAGE((IF(DATOS_[[Sexo]:[Sexo]]=$B55,IF(DATOS_[[AGRUP. CLAS. PROF.]:[AGRUP. CLAS. PROF.]]=$B54,IF(DATOS_[[Check Periodo Ref.]:[Check Periodo Ref.]]="Dentro",DATOS_[Conc.Sal.18]))))),
0)</f>
        <v>0</v>
      </c>
      <c r="X55" s="170">
        <f t="array" ref="X55">IFERROR(
AVERAGE((IF(DATOS_[[Sexo]:[Sexo]]=$B55,IF(DATOS_[[AGRUP. CLAS. PROF.]:[AGRUP. CLAS. PROF.]]=$B54,IF(DATOS_[[Check Periodo Ref.]:[Check Periodo Ref.]]="Dentro",DATOS_[Conc.Sal.19]))))),
0)</f>
        <v>0</v>
      </c>
      <c r="Y55" s="170">
        <f t="array" ref="Y55">IFERROR(
AVERAGE((IF(DATOS_[[Sexo]:[Sexo]]=$B55,IF(DATOS_[[AGRUP. CLAS. PROF.]:[AGRUP. CLAS. PROF.]]=$B54,IF(DATOS_[[Check Periodo Ref.]:[Check Periodo Ref.]]="Dentro",DATOS_[Conc.Sal.20]))))),
0)</f>
        <v>0</v>
      </c>
      <c r="Z55" s="170">
        <f t="array" ref="Z55">IFERROR(
AVERAGE((IF(DATOS_[[Sexo]:[Sexo]]=$B55,IF(DATOS_[[AGRUP. CLAS. PROF.]:[AGRUP. CLAS. PROF.]]=$B54,IF(DATOS_[[Check Periodo Ref.]:[Check Periodo Ref.]]="Dentro",DATOS_[Conc.Sal.21]))))),
0)</f>
        <v>0</v>
      </c>
      <c r="AA55" s="170">
        <f t="array" ref="AA55">IFERROR(
AVERAGE((IF(DATOS_[[Sexo]:[Sexo]]=$B55,IF(DATOS_[[AGRUP. CLAS. PROF.]:[AGRUP. CLAS. PROF.]]=$B54,IF(DATOS_[[Check Periodo Ref.]:[Check Periodo Ref.]]="Dentro",DATOS_[Conc.Sal.22]))))),
0)</f>
        <v>0</v>
      </c>
      <c r="AB55" s="170">
        <f t="array" ref="AB55">IFERROR(
AVERAGE((IF(DATOS_[[Sexo]:[Sexo]]=$B55,IF(DATOS_[[AGRUP. CLAS. PROF.]:[AGRUP. CLAS. PROF.]]=$B54,IF(DATOS_[[Check Periodo Ref.]:[Check Periodo Ref.]]="Dentro",DATOS_[Conc.Sal.23]))))),
0)</f>
        <v>0</v>
      </c>
      <c r="AC55" s="170">
        <f t="array" ref="AC55">IFERROR(
AVERAGE((IF(DATOS_[[Sexo]:[Sexo]]=$B55,IF(DATOS_[[AGRUP. CLAS. PROF.]:[AGRUP. CLAS. PROF.]]=$B54,IF(DATOS_[[Check Periodo Ref.]:[Check Periodo Ref.]]="Dentro",DATOS_[Conc.Sal.24]))))),
0)</f>
        <v>0</v>
      </c>
      <c r="AD55" s="170">
        <f t="array" ref="AD55">IFERROR(
AVERAGE((IF(DATOS_[[Sexo]:[Sexo]]=$B55,IF(DATOS_[[AGRUP. CLAS. PROF.]:[AGRUP. CLAS. PROF.]]=$B54,IF(DATOS_[[Check Periodo Ref.]:[Check Periodo Ref.]]="Dentro",DATOS_[Conc.Sal.25]))))),
0)</f>
        <v>0</v>
      </c>
      <c r="AE55" s="170">
        <f t="array" ref="AE55">IFERROR(
AVERAGE((IF(DATOS_[[Sexo]:[Sexo]]=$B55,IF(DATOS_[[AGRUP. CLAS. PROF.]:[AGRUP. CLAS. PROF.]]=$B54,IF(DATOS_[[Check Periodo Ref.]:[Check Periodo Ref.]]="Dentro",DATOS_[Conc.Sal.26]))))),
0)</f>
        <v>0</v>
      </c>
      <c r="AF55" s="170">
        <f t="array" ref="AF55">IFERROR(
AVERAGE((IF(DATOS_[[Sexo]:[Sexo]]=$B55,IF(DATOS_[[AGRUP. CLAS. PROF.]:[AGRUP. CLAS. PROF.]]=$B54,IF(DATOS_[[Check Periodo Ref.]:[Check Periodo Ref.]]="Dentro",DATOS_[Conc.Sal.27]))))),
0)</f>
        <v>0</v>
      </c>
      <c r="AG55" s="170">
        <f t="array" ref="AG55">IFERROR(
AVERAGE((IF(DATOS_[[Sexo]:[Sexo]]=$B55,IF(DATOS_[[AGRUP. CLAS. PROF.]:[AGRUP. CLAS. PROF.]]=$B54,IF(DATOS_[[Check Periodo Ref.]:[Check Periodo Ref.]]="Dentro",DATOS_[Conc.Sal.28]))))),
0)</f>
        <v>0</v>
      </c>
      <c r="AH55" s="170">
        <f t="array" ref="AH55">IFERROR(
AVERAGE((IF(DATOS_[[Sexo]:[Sexo]]=$B55,IF(DATOS_[[AGRUP. CLAS. PROF.]:[AGRUP. CLAS. PROF.]]=$B54,IF(DATOS_[[Check Periodo Ref.]:[Check Periodo Ref.]]="Dentro",DATOS_[Conc.Sal.29]))))),
0)</f>
        <v>0</v>
      </c>
      <c r="AI55" s="170">
        <f t="array" ref="AI55">IFERROR(
AVERAGE((IF(DATOS_[[Sexo]:[Sexo]]=$B55,IF(DATOS_[[AGRUP. CLAS. PROF.]:[AGRUP. CLAS. PROF.]]=$B54,IF(DATOS_[[Check Periodo Ref.]:[Check Periodo Ref.]]="Dentro",DATOS_[Conc.Sal.30]))))),
0)</f>
        <v>0</v>
      </c>
      <c r="AJ55" s="171">
        <f t="array" ref="AJ55">IFERROR(
AVERAGE(IF(DATOS_[Sexo]=$B55,IF(DATOS_[AGRUP. CLAS. PROF.]=$B54,IF(DATOS_[Check Periodo Ref.]="Dentro",DATOS_[Tot COMPL.SAL Ef],FALSE)))),
0)</f>
        <v>0</v>
      </c>
      <c r="AK55" s="172">
        <f t="array" ref="AK55">IFERROR(
AVERAGE(IF(DATOS_[Sexo]=$B55,IF(DATOS_[AGRUP. CLAS. PROF.]=$B54,IF(DATOS_[Check Periodo Ref.]="Dentro",DATOS_[TOTAL SALARIO Ef],FALSE)))),
0)</f>
        <v>0</v>
      </c>
      <c r="AL55" s="173">
        <f t="array" ref="AL55">IFERROR(
AVERAGE((IF(DATOS_[[Sexo]:[Sexo]]=$B55,IF(DATOS_[[AGRUP. CLAS. PROF.]:[AGRUP. CLAS. PROF.]]=$B54,IF(DATOS_[[Check Periodo Ref.]:[Check Periodo Ref.]]="Dentro",DATOS_[C.Extra.01]))))),
0)</f>
        <v>0</v>
      </c>
      <c r="AM55" s="173">
        <f t="array" ref="AM55">IFERROR(
AVERAGE((IF(DATOS_[[Sexo]:[Sexo]]=$B55,IF(DATOS_[[AGRUP. CLAS. PROF.]:[AGRUP. CLAS. PROF.]]=$B54,IF(DATOS_[[Check Periodo Ref.]:[Check Periodo Ref.]]="Dentro",DATOS_[C.Extra.06]))))),
0)</f>
        <v>0</v>
      </c>
      <c r="AN55" s="173">
        <f t="array" ref="AN55">IFERROR(
AVERAGE((IF(DATOS_[[Sexo]:[Sexo]]=$B55,IF(DATOS_[[AGRUP. CLAS. PROF.]:[AGRUP. CLAS. PROF.]]=$B54,IF(DATOS_[[Check Periodo Ref.]:[Check Periodo Ref.]]="Dentro",DATOS_[C.Extra.07]))))),
0)</f>
        <v>0</v>
      </c>
      <c r="AO55" s="173">
        <f t="array" ref="AO55">IFERROR(
AVERAGE((IF(DATOS_[[Sexo]:[Sexo]]=$B55,IF(DATOS_[[AGRUP. CLAS. PROF.]:[AGRUP. CLAS. PROF.]]=$B54,IF(DATOS_[[Check Periodo Ref.]:[Check Periodo Ref.]]="Dentro",DATOS_[C.Extra.08]))))),
0)</f>
        <v>0</v>
      </c>
      <c r="AP55" s="173">
        <f t="array" ref="AP55">IFERROR(
AVERAGE((IF(DATOS_[[Sexo]:[Sexo]]=$B55,IF(DATOS_[[AGRUP. CLAS. PROF.]:[AGRUP. CLAS. PROF.]]=$B54,IF(DATOS_[[Check Periodo Ref.]:[Check Periodo Ref.]]="Dentro",DATOS_[C.Extra.11]))))),
0)</f>
        <v>0</v>
      </c>
      <c r="AQ55" s="174">
        <f t="array" ref="AQ55">IFERROR(
AVERAGE(IF(DATOS_[Sexo]=$B55,IF(DATOS_[AGRUP. CLAS. PROF.]=$B54,IF(DATOS_[Check Periodo Ref.]="Dentro",DATOS_[Tot Extrasalarial Ef],FALSE)))),
0)</f>
        <v>0</v>
      </c>
      <c r="AR55" s="171">
        <f t="array" ref="AR55">IFERROR(
AVERAGE(IF(DATOS_[Sexo]=$B55,IF(DATOS_[AGRUP. CLAS. PROF.]=$B54,IF(DATOS_[Check Periodo Ref.]="Dentro",DATOS_[TOTAL Retrib Ef],FALSE)))),
0)</f>
        <v>0</v>
      </c>
    </row>
    <row r="56" spans="1:44" x14ac:dyDescent="0.25">
      <c r="A56" s="135" t="str">
        <f t="shared" ref="A56" si="58">+A55</f>
        <v>[ocultar]</v>
      </c>
      <c r="B56" s="166" t="s">
        <v>521</v>
      </c>
      <c r="C56" s="167">
        <f t="array" ref="C56">SUM(IF($B56=DATOS_[Sexo],
IF($B54=DATOS_[AGRUP. CLAS. PROF.],
IF("Dentro"=DATOS_[Check Periodo Ref.],
1/(COUNTIFS(DATOS_[Sexo],$B56,DATOS_[AGRUP. CLAS. PROF.],$B54,DATOS_[Check Periodo Ref.],"Dentro",DATOS_[id/cod],DATOS_[id/cod]))))))</f>
        <v>0</v>
      </c>
      <c r="D56" s="168">
        <f>COUNTIFS(DATOS_[AGRUP. CLAS. PROF.],$B54,DATOS_[Sexo],$B56,DATOS_[Check Periodo Ref.],"Dentro")</f>
        <v>0</v>
      </c>
      <c r="E56" s="169">
        <f t="array" ref="E56">IFERROR(
AVERAGE(IF(DATOS_[Sexo]=$B56,IF(DATOS_[AGRUP. CLAS. PROF.]=$B54,IF(DATOS_[Check Periodo Ref.]="Dentro",DATOS_[SALARIO BASE Ef],FALSE)))),
0)</f>
        <v>0</v>
      </c>
      <c r="F56" s="170">
        <f t="array" ref="F56">IFERROR(
AVERAGE((IF(DATOS_[[Sexo]:[Sexo]]=$B56,IF(DATOS_[[AGRUP. CLAS. PROF.]:[AGRUP. CLAS. PROF.]]=$B54,IF(DATOS_[[Check Periodo Ref.]:[Check Periodo Ref.]]="Dentro",DATOS_[Conc.Sal.01]))))),
0)</f>
        <v>0</v>
      </c>
      <c r="G56" s="170">
        <f t="array" ref="G56">IFERROR(
AVERAGE((IF(DATOS_[[Sexo]:[Sexo]]=$B56,IF(DATOS_[[AGRUP. CLAS. PROF.]:[AGRUP. CLAS. PROF.]]=$B54,IF(DATOS_[[Check Periodo Ref.]:[Check Periodo Ref.]]="Dentro",DATOS_[Conc.Sal.02]))))),
0)</f>
        <v>0</v>
      </c>
      <c r="H56" s="170">
        <f t="array" ref="H56">IFERROR(
AVERAGE((IF(DATOS_[[Sexo]:[Sexo]]=$B56,IF(DATOS_[[AGRUP. CLAS. PROF.]:[AGRUP. CLAS. PROF.]]=$B54,IF(DATOS_[[Check Periodo Ref.]:[Check Periodo Ref.]]="Dentro",DATOS_[Conc.Sal.03]))))),
0)</f>
        <v>0</v>
      </c>
      <c r="I56" s="170">
        <f t="array" ref="I56">IFERROR(
AVERAGE((IF(DATOS_[[Sexo]:[Sexo]]=$B56,IF(DATOS_[[AGRUP. CLAS. PROF.]:[AGRUP. CLAS. PROF.]]=$B54,IF(DATOS_[[Check Periodo Ref.]:[Check Periodo Ref.]]="Dentro",DATOS_[Conc.Sal.04]))))),
0)</f>
        <v>0</v>
      </c>
      <c r="J56" s="170">
        <f t="array" ref="J56">IFERROR(
AVERAGE((IF(DATOS_[[Sexo]:[Sexo]]=$B56,IF(DATOS_[[AGRUP. CLAS. PROF.]:[AGRUP. CLAS. PROF.]]=$B54,IF(DATOS_[[Check Periodo Ref.]:[Check Periodo Ref.]]="Dentro",DATOS_[Conc.Sal.05]))))),
0)</f>
        <v>0</v>
      </c>
      <c r="K56" s="170">
        <f t="array" ref="K56">IFERROR(
AVERAGE((IF(DATOS_[[Sexo]:[Sexo]]=$B56,IF(DATOS_[[AGRUP. CLAS. PROF.]:[AGRUP. CLAS. PROF.]]=$B54,IF(DATOS_[[Check Periodo Ref.]:[Check Periodo Ref.]]="Dentro",DATOS_[Conc.Sal.06]))))),
0)</f>
        <v>0</v>
      </c>
      <c r="L56" s="170">
        <f t="array" ref="L56">IFERROR(
AVERAGE((IF(DATOS_[[Sexo]:[Sexo]]=$B56,IF(DATOS_[[AGRUP. CLAS. PROF.]:[AGRUP. CLAS. PROF.]]=$B54,IF(DATOS_[[Check Periodo Ref.]:[Check Periodo Ref.]]="Dentro",DATOS_[Conc.Sal.07]))))),
0)</f>
        <v>0</v>
      </c>
      <c r="M56" s="170">
        <f t="array" ref="M56">IFERROR(
AVERAGE((IF(DATOS_[[Sexo]:[Sexo]]=$B56,IF(DATOS_[[AGRUP. CLAS. PROF.]:[AGRUP. CLAS. PROF.]]=$B54,IF(DATOS_[[Check Periodo Ref.]:[Check Periodo Ref.]]="Dentro",DATOS_[Conc.Sal.08]))))),
0)</f>
        <v>0</v>
      </c>
      <c r="N56" s="170">
        <f t="array" ref="N56">IFERROR(
AVERAGE((IF(DATOS_[[Sexo]:[Sexo]]=$B56,IF(DATOS_[[AGRUP. CLAS. PROF.]:[AGRUP. CLAS. PROF.]]=$B54,IF(DATOS_[[Check Periodo Ref.]:[Check Periodo Ref.]]="Dentro",DATOS_[Conc.Sal.09]))))),
0)</f>
        <v>0</v>
      </c>
      <c r="O56" s="170">
        <f t="array" ref="O56">IFERROR(
AVERAGE((IF(DATOS_[[Sexo]:[Sexo]]=$B56,IF(DATOS_[[AGRUP. CLAS. PROF.]:[AGRUP. CLAS. PROF.]]=$B54,IF(DATOS_[[Check Periodo Ref.]:[Check Periodo Ref.]]="Dentro",DATOS_[Conc.Sal.10]))))),
0)</f>
        <v>0</v>
      </c>
      <c r="P56" s="170">
        <f t="array" ref="P56">IFERROR(
AVERAGE((IF(DATOS_[[Sexo]:[Sexo]]=$B56,IF(DATOS_[[AGRUP. CLAS. PROF.]:[AGRUP. CLAS. PROF.]]=$B54,IF(DATOS_[[Check Periodo Ref.]:[Check Periodo Ref.]]="Dentro",DATOS_[Conc.Sal.11]))))),
0)</f>
        <v>0</v>
      </c>
      <c r="Q56" s="170">
        <f t="array" ref="Q56">IFERROR(
AVERAGE((IF(DATOS_[[Sexo]:[Sexo]]=$B56,IF(DATOS_[[AGRUP. CLAS. PROF.]:[AGRUP. CLAS. PROF.]]=$B54,IF(DATOS_[[Check Periodo Ref.]:[Check Periodo Ref.]]="Dentro",DATOS_[Conc.Sal.12]))))),
0)</f>
        <v>0</v>
      </c>
      <c r="R56" s="170">
        <f t="array" ref="R56">IFERROR(
AVERAGE((IF(DATOS_[[Sexo]:[Sexo]]=$B56,IF(DATOS_[[AGRUP. CLAS. PROF.]:[AGRUP. CLAS. PROF.]]=$B54,IF(DATOS_[[Check Periodo Ref.]:[Check Periodo Ref.]]="Dentro",DATOS_[Conc.Sal.13]))))),
0)</f>
        <v>0</v>
      </c>
      <c r="S56" s="170">
        <f t="array" ref="S56">IFERROR(
AVERAGE((IF(DATOS_[[Sexo]:[Sexo]]=$B56,IF(DATOS_[[AGRUP. CLAS. PROF.]:[AGRUP. CLAS. PROF.]]=$B54,IF(DATOS_[[Check Periodo Ref.]:[Check Periodo Ref.]]="Dentro",DATOS_[Conc.Sal.14]))))),
0)</f>
        <v>0</v>
      </c>
      <c r="T56" s="170">
        <f t="array" ref="T56">IFERROR(
AVERAGE((IF(DATOS_[[Sexo]:[Sexo]]=$B56,IF(DATOS_[[AGRUP. CLAS. PROF.]:[AGRUP. CLAS. PROF.]]=$B54,IF(DATOS_[[Check Periodo Ref.]:[Check Periodo Ref.]]="Dentro",DATOS_[Conc.Sal.15]))))),
0)</f>
        <v>0</v>
      </c>
      <c r="U56" s="170">
        <f t="array" ref="U56">IFERROR(
AVERAGE((IF(DATOS_[[Sexo]:[Sexo]]=$B56,IF(DATOS_[[AGRUP. CLAS. PROF.]:[AGRUP. CLAS. PROF.]]=$B54,IF(DATOS_[[Check Periodo Ref.]:[Check Periodo Ref.]]="Dentro",DATOS_[Conc.Sal.16]))))),
0)</f>
        <v>0</v>
      </c>
      <c r="V56" s="170">
        <f t="array" ref="V56">IFERROR(
AVERAGE((IF(DATOS_[[Sexo]:[Sexo]]=$B56,IF(DATOS_[[AGRUP. CLAS. PROF.]:[AGRUP. CLAS. PROF.]]=$B54,IF(DATOS_[[Check Periodo Ref.]:[Check Periodo Ref.]]="Dentro",DATOS_[Conc.Sal.17]))))),
0)</f>
        <v>0</v>
      </c>
      <c r="W56" s="170">
        <f t="array" ref="W56">IFERROR(
AVERAGE((IF(DATOS_[[Sexo]:[Sexo]]=$B56,IF(DATOS_[[AGRUP. CLAS. PROF.]:[AGRUP. CLAS. PROF.]]=$B54,IF(DATOS_[[Check Periodo Ref.]:[Check Periodo Ref.]]="Dentro",DATOS_[Conc.Sal.18]))))),
0)</f>
        <v>0</v>
      </c>
      <c r="X56" s="170">
        <f t="array" ref="X56">IFERROR(
AVERAGE((IF(DATOS_[[Sexo]:[Sexo]]=$B56,IF(DATOS_[[AGRUP. CLAS. PROF.]:[AGRUP. CLAS. PROF.]]=$B54,IF(DATOS_[[Check Periodo Ref.]:[Check Periodo Ref.]]="Dentro",DATOS_[Conc.Sal.19]))))),
0)</f>
        <v>0</v>
      </c>
      <c r="Y56" s="170">
        <f t="array" ref="Y56">IFERROR(
AVERAGE((IF(DATOS_[[Sexo]:[Sexo]]=$B56,IF(DATOS_[[AGRUP. CLAS. PROF.]:[AGRUP. CLAS. PROF.]]=$B54,IF(DATOS_[[Check Periodo Ref.]:[Check Periodo Ref.]]="Dentro",DATOS_[Conc.Sal.20]))))),
0)</f>
        <v>0</v>
      </c>
      <c r="Z56" s="170">
        <f t="array" ref="Z56">IFERROR(
AVERAGE((IF(DATOS_[[Sexo]:[Sexo]]=$B56,IF(DATOS_[[AGRUP. CLAS. PROF.]:[AGRUP. CLAS. PROF.]]=$B54,IF(DATOS_[[Check Periodo Ref.]:[Check Periodo Ref.]]="Dentro",DATOS_[Conc.Sal.21]))))),
0)</f>
        <v>0</v>
      </c>
      <c r="AA56" s="170">
        <f t="array" ref="AA56">IFERROR(
AVERAGE((IF(DATOS_[[Sexo]:[Sexo]]=$B56,IF(DATOS_[[AGRUP. CLAS. PROF.]:[AGRUP. CLAS. PROF.]]=$B54,IF(DATOS_[[Check Periodo Ref.]:[Check Periodo Ref.]]="Dentro",DATOS_[Conc.Sal.22]))))),
0)</f>
        <v>0</v>
      </c>
      <c r="AB56" s="170">
        <f t="array" ref="AB56">IFERROR(
AVERAGE((IF(DATOS_[[Sexo]:[Sexo]]=$B56,IF(DATOS_[[AGRUP. CLAS. PROF.]:[AGRUP. CLAS. PROF.]]=$B54,IF(DATOS_[[Check Periodo Ref.]:[Check Periodo Ref.]]="Dentro",DATOS_[Conc.Sal.23]))))),
0)</f>
        <v>0</v>
      </c>
      <c r="AC56" s="170">
        <f t="array" ref="AC56">IFERROR(
AVERAGE((IF(DATOS_[[Sexo]:[Sexo]]=$B56,IF(DATOS_[[AGRUP. CLAS. PROF.]:[AGRUP. CLAS. PROF.]]=$B54,IF(DATOS_[[Check Periodo Ref.]:[Check Periodo Ref.]]="Dentro",DATOS_[Conc.Sal.24]))))),
0)</f>
        <v>0</v>
      </c>
      <c r="AD56" s="170">
        <f t="array" ref="AD56">IFERROR(
AVERAGE((IF(DATOS_[[Sexo]:[Sexo]]=$B56,IF(DATOS_[[AGRUP. CLAS. PROF.]:[AGRUP. CLAS. PROF.]]=$B54,IF(DATOS_[[Check Periodo Ref.]:[Check Periodo Ref.]]="Dentro",DATOS_[Conc.Sal.25]))))),
0)</f>
        <v>0</v>
      </c>
      <c r="AE56" s="170">
        <f t="array" ref="AE56">IFERROR(
AVERAGE((IF(DATOS_[[Sexo]:[Sexo]]=$B56,IF(DATOS_[[AGRUP. CLAS. PROF.]:[AGRUP. CLAS. PROF.]]=$B54,IF(DATOS_[[Check Periodo Ref.]:[Check Periodo Ref.]]="Dentro",DATOS_[Conc.Sal.26]))))),
0)</f>
        <v>0</v>
      </c>
      <c r="AF56" s="170">
        <f t="array" ref="AF56">IFERROR(
AVERAGE((IF(DATOS_[[Sexo]:[Sexo]]=$B56,IF(DATOS_[[AGRUP. CLAS. PROF.]:[AGRUP. CLAS. PROF.]]=$B54,IF(DATOS_[[Check Periodo Ref.]:[Check Periodo Ref.]]="Dentro",DATOS_[Conc.Sal.27]))))),
0)</f>
        <v>0</v>
      </c>
      <c r="AG56" s="170">
        <f t="array" ref="AG56">IFERROR(
AVERAGE((IF(DATOS_[[Sexo]:[Sexo]]=$B56,IF(DATOS_[[AGRUP. CLAS. PROF.]:[AGRUP. CLAS. PROF.]]=$B54,IF(DATOS_[[Check Periodo Ref.]:[Check Periodo Ref.]]="Dentro",DATOS_[Conc.Sal.28]))))),
0)</f>
        <v>0</v>
      </c>
      <c r="AH56" s="170">
        <f t="array" ref="AH56">IFERROR(
AVERAGE((IF(DATOS_[[Sexo]:[Sexo]]=$B56,IF(DATOS_[[AGRUP. CLAS. PROF.]:[AGRUP. CLAS. PROF.]]=$B54,IF(DATOS_[[Check Periodo Ref.]:[Check Periodo Ref.]]="Dentro",DATOS_[Conc.Sal.29]))))),
0)</f>
        <v>0</v>
      </c>
      <c r="AI56" s="170">
        <f t="array" ref="AI56">IFERROR(
AVERAGE((IF(DATOS_[[Sexo]:[Sexo]]=$B56,IF(DATOS_[[AGRUP. CLAS. PROF.]:[AGRUP. CLAS. PROF.]]=$B54,IF(DATOS_[[Check Periodo Ref.]:[Check Periodo Ref.]]="Dentro",DATOS_[Conc.Sal.30]))))),
0)</f>
        <v>0</v>
      </c>
      <c r="AJ56" s="171">
        <f t="array" ref="AJ56">IFERROR(
AVERAGE(IF(DATOS_[Sexo]=$B56,IF(DATOS_[AGRUP. CLAS. PROF.]=$B54,IF(DATOS_[Check Periodo Ref.]="Dentro",DATOS_[Tot COMPL.SAL Ef],FALSE)))),
0)</f>
        <v>0</v>
      </c>
      <c r="AK56" s="172">
        <f t="array" ref="AK56">IFERROR(
AVERAGE(IF(DATOS_[Sexo]=$B56,IF(DATOS_[AGRUP. CLAS. PROF.]=$B54,IF(DATOS_[Check Periodo Ref.]="Dentro",DATOS_[TOTAL SALARIO Ef],FALSE)))),
0)</f>
        <v>0</v>
      </c>
      <c r="AL56" s="173">
        <f t="array" ref="AL56">IFERROR(
AVERAGE((IF(DATOS_[[Sexo]:[Sexo]]=$B56,IF(DATOS_[[AGRUP. CLAS. PROF.]:[AGRUP. CLAS. PROF.]]=$B54,IF(DATOS_[[Check Periodo Ref.]:[Check Periodo Ref.]]="Dentro",DATOS_[C.Extra.01]))))),
0)</f>
        <v>0</v>
      </c>
      <c r="AM56" s="173">
        <f t="array" ref="AM56">IFERROR(
AVERAGE((IF(DATOS_[[Sexo]:[Sexo]]=$B56,IF(DATOS_[[AGRUP. CLAS. PROF.]:[AGRUP. CLAS. PROF.]]=$B54,IF(DATOS_[[Check Periodo Ref.]:[Check Periodo Ref.]]="Dentro",DATOS_[C.Extra.06]))))),
0)</f>
        <v>0</v>
      </c>
      <c r="AN56" s="173">
        <f t="array" ref="AN56">IFERROR(
AVERAGE((IF(DATOS_[[Sexo]:[Sexo]]=$B56,IF(DATOS_[[AGRUP. CLAS. PROF.]:[AGRUP. CLAS. PROF.]]=$B54,IF(DATOS_[[Check Periodo Ref.]:[Check Periodo Ref.]]="Dentro",DATOS_[C.Extra.07]))))),
0)</f>
        <v>0</v>
      </c>
      <c r="AO56" s="173">
        <f t="array" ref="AO56">IFERROR(
AVERAGE((IF(DATOS_[[Sexo]:[Sexo]]=$B56,IF(DATOS_[[AGRUP. CLAS. PROF.]:[AGRUP. CLAS. PROF.]]=$B54,IF(DATOS_[[Check Periodo Ref.]:[Check Periodo Ref.]]="Dentro",DATOS_[C.Extra.08]))))),
0)</f>
        <v>0</v>
      </c>
      <c r="AP56" s="173">
        <f t="array" ref="AP56">IFERROR(
AVERAGE((IF(DATOS_[[Sexo]:[Sexo]]=$B56,IF(DATOS_[[AGRUP. CLAS. PROF.]:[AGRUP. CLAS. PROF.]]=$B54,IF(DATOS_[[Check Periodo Ref.]:[Check Periodo Ref.]]="Dentro",DATOS_[C.Extra.11]))))),
0)</f>
        <v>0</v>
      </c>
      <c r="AQ56" s="174">
        <f t="array" ref="AQ56">IFERROR(
AVERAGE(IF(DATOS_[Sexo]=$B56,IF(DATOS_[AGRUP. CLAS. PROF.]=$B54,IF(DATOS_[Check Periodo Ref.]="Dentro",DATOS_[Tot Extrasalarial Ef],FALSE)))),
0)</f>
        <v>0</v>
      </c>
      <c r="AR56" s="171">
        <f t="array" ref="AR56">IFERROR(
AVERAGE(IF(DATOS_[Sexo]=$B56,IF(DATOS_[AGRUP. CLAS. PROF.]=$B54,IF(DATOS_[Check Periodo Ref.]="Dentro",DATOS_[TOTAL Retrib Ef],FALSE)))),
0)</f>
        <v>0</v>
      </c>
    </row>
    <row r="57" spans="1:44" s="152" customFormat="1" ht="14.4" thickBot="1" x14ac:dyDescent="0.3">
      <c r="A57" s="135" t="str">
        <f t="shared" ref="A57" si="59">+A58</f>
        <v>[ocultar]</v>
      </c>
      <c r="B57" s="153" t="s">
        <v>233</v>
      </c>
      <c r="C57" s="154"/>
      <c r="D57" s="155"/>
      <c r="E57" s="156" t="str">
        <f t="shared" ref="E57:AR57" si="60">IFERROR((E58-E59)/E58,"")</f>
        <v/>
      </c>
      <c r="F57" s="157" t="str">
        <f t="shared" si="60"/>
        <v/>
      </c>
      <c r="G57" s="158" t="str">
        <f t="shared" si="60"/>
        <v/>
      </c>
      <c r="H57" s="158" t="str">
        <f t="shared" si="60"/>
        <v/>
      </c>
      <c r="I57" s="158" t="str">
        <f t="shared" si="60"/>
        <v/>
      </c>
      <c r="J57" s="159" t="str">
        <f t="shared" si="60"/>
        <v/>
      </c>
      <c r="K57" s="160" t="str">
        <f t="shared" si="60"/>
        <v/>
      </c>
      <c r="L57" s="160" t="str">
        <f t="shared" si="60"/>
        <v/>
      </c>
      <c r="M57" s="160" t="str">
        <f t="shared" si="60"/>
        <v/>
      </c>
      <c r="N57" s="160" t="str">
        <f t="shared" si="60"/>
        <v/>
      </c>
      <c r="O57" s="160" t="str">
        <f t="shared" si="60"/>
        <v/>
      </c>
      <c r="P57" s="160" t="str">
        <f t="shared" si="60"/>
        <v/>
      </c>
      <c r="Q57" s="160" t="str">
        <f t="shared" si="60"/>
        <v/>
      </c>
      <c r="R57" s="160" t="str">
        <f t="shared" si="60"/>
        <v/>
      </c>
      <c r="S57" s="160" t="str">
        <f t="shared" si="60"/>
        <v/>
      </c>
      <c r="T57" s="160" t="str">
        <f t="shared" si="60"/>
        <v/>
      </c>
      <c r="U57" s="160" t="str">
        <f t="shared" si="60"/>
        <v/>
      </c>
      <c r="V57" s="159" t="str">
        <f t="shared" si="60"/>
        <v/>
      </c>
      <c r="W57" s="159" t="str">
        <f t="shared" si="60"/>
        <v/>
      </c>
      <c r="X57" s="159" t="str">
        <f t="shared" si="60"/>
        <v/>
      </c>
      <c r="Y57" s="159" t="str">
        <f t="shared" si="60"/>
        <v/>
      </c>
      <c r="Z57" s="159" t="str">
        <f t="shared" si="60"/>
        <v/>
      </c>
      <c r="AA57" s="159" t="str">
        <f t="shared" si="60"/>
        <v/>
      </c>
      <c r="AB57" s="159" t="str">
        <f t="shared" si="60"/>
        <v/>
      </c>
      <c r="AC57" s="159" t="str">
        <f t="shared" si="60"/>
        <v/>
      </c>
      <c r="AD57" s="159" t="str">
        <f t="shared" si="60"/>
        <v/>
      </c>
      <c r="AE57" s="159" t="str">
        <f t="shared" si="60"/>
        <v/>
      </c>
      <c r="AF57" s="159" t="str">
        <f t="shared" si="60"/>
        <v/>
      </c>
      <c r="AG57" s="159" t="str">
        <f t="shared" si="60"/>
        <v/>
      </c>
      <c r="AH57" s="159" t="str">
        <f t="shared" si="60"/>
        <v/>
      </c>
      <c r="AI57" s="159" t="str">
        <f t="shared" si="60"/>
        <v/>
      </c>
      <c r="AJ57" s="161" t="str">
        <f t="shared" si="60"/>
        <v/>
      </c>
      <c r="AK57" s="162" t="str">
        <f t="shared" si="60"/>
        <v/>
      </c>
      <c r="AL57" s="163" t="str">
        <f t="shared" si="60"/>
        <v/>
      </c>
      <c r="AM57" s="163" t="str">
        <f t="shared" si="60"/>
        <v/>
      </c>
      <c r="AN57" s="163" t="str">
        <f t="shared" si="60"/>
        <v/>
      </c>
      <c r="AO57" s="163" t="str">
        <f t="shared" si="60"/>
        <v/>
      </c>
      <c r="AP57" s="163" t="str">
        <f t="shared" si="60"/>
        <v/>
      </c>
      <c r="AQ57" s="164" t="str">
        <f t="shared" si="60"/>
        <v/>
      </c>
      <c r="AR57" s="161" t="str">
        <f t="shared" si="60"/>
        <v/>
      </c>
    </row>
    <row r="58" spans="1:44" x14ac:dyDescent="0.25">
      <c r="A58" s="135" t="str">
        <f t="shared" ref="A58" si="61">+IF(C58+C59=0,"[ocultar]","")</f>
        <v>[ocultar]</v>
      </c>
      <c r="B58" s="166" t="s">
        <v>394</v>
      </c>
      <c r="C58" s="167">
        <f t="array" ref="C58">SUM(IF($B58=DATOS_[Sexo],
IF($B57=DATOS_[AGRUP. CLAS. PROF.],
IF("Dentro"=DATOS_[Check Periodo Ref.],
1/(COUNTIFS(DATOS_[Sexo],$B58,DATOS_[AGRUP. CLAS. PROF.],$B57,DATOS_[Check Periodo Ref.],"Dentro",DATOS_[id/cod],DATOS_[id/cod]))))))</f>
        <v>0</v>
      </c>
      <c r="D58" s="168">
        <f>COUNTIFS(DATOS_[AGRUP. CLAS. PROF.],$B57,DATOS_[Sexo],$B58,DATOS_[Check Periodo Ref.],"Dentro")</f>
        <v>0</v>
      </c>
      <c r="E58" s="169">
        <f t="array" ref="E58">IFERROR(
AVERAGE(IF(DATOS_[Sexo]=$B58,IF(DATOS_[AGRUP. CLAS. PROF.]=$B57,IF(DATOS_[Check Periodo Ref.]="Dentro",DATOS_[SALARIO BASE Ef],FALSE)))),
0)</f>
        <v>0</v>
      </c>
      <c r="F58" s="170">
        <f t="array" ref="F58">IFERROR(
AVERAGE((IF(DATOS_[[Sexo]:[Sexo]]=$B58,IF(DATOS_[[AGRUP. CLAS. PROF.]:[AGRUP. CLAS. PROF.]]=$B57,IF(DATOS_[[Check Periodo Ref.]:[Check Periodo Ref.]]="Dentro",DATOS_[Conc.Sal.01]))))),
0)</f>
        <v>0</v>
      </c>
      <c r="G58" s="170">
        <f t="array" ref="G58">IFERROR(
AVERAGE((IF(DATOS_[[Sexo]:[Sexo]]=$B58,IF(DATOS_[[AGRUP. CLAS. PROF.]:[AGRUP. CLAS. PROF.]]=$B57,IF(DATOS_[[Check Periodo Ref.]:[Check Periodo Ref.]]="Dentro",DATOS_[Conc.Sal.02]))))),
0)</f>
        <v>0</v>
      </c>
      <c r="H58" s="170">
        <f t="array" ref="H58">IFERROR(
AVERAGE((IF(DATOS_[[Sexo]:[Sexo]]=$B58,IF(DATOS_[[AGRUP. CLAS. PROF.]:[AGRUP. CLAS. PROF.]]=$B57,IF(DATOS_[[Check Periodo Ref.]:[Check Periodo Ref.]]="Dentro",DATOS_[Conc.Sal.03]))))),
0)</f>
        <v>0</v>
      </c>
      <c r="I58" s="170">
        <f t="array" ref="I58">IFERROR(
AVERAGE((IF(DATOS_[[Sexo]:[Sexo]]=$B58,IF(DATOS_[[AGRUP. CLAS. PROF.]:[AGRUP. CLAS. PROF.]]=$B57,IF(DATOS_[[Check Periodo Ref.]:[Check Periodo Ref.]]="Dentro",DATOS_[Conc.Sal.04]))))),
0)</f>
        <v>0</v>
      </c>
      <c r="J58" s="170">
        <f t="array" ref="J58">IFERROR(
AVERAGE((IF(DATOS_[[Sexo]:[Sexo]]=$B58,IF(DATOS_[[AGRUP. CLAS. PROF.]:[AGRUP. CLAS. PROF.]]=$B57,IF(DATOS_[[Check Periodo Ref.]:[Check Periodo Ref.]]="Dentro",DATOS_[Conc.Sal.05]))))),
0)</f>
        <v>0</v>
      </c>
      <c r="K58" s="170">
        <f t="array" ref="K58">IFERROR(
AVERAGE((IF(DATOS_[[Sexo]:[Sexo]]=$B58,IF(DATOS_[[AGRUP. CLAS. PROF.]:[AGRUP. CLAS. PROF.]]=$B57,IF(DATOS_[[Check Periodo Ref.]:[Check Periodo Ref.]]="Dentro",DATOS_[Conc.Sal.06]))))),
0)</f>
        <v>0</v>
      </c>
      <c r="L58" s="170">
        <f t="array" ref="L58">IFERROR(
AVERAGE((IF(DATOS_[[Sexo]:[Sexo]]=$B58,IF(DATOS_[[AGRUP. CLAS. PROF.]:[AGRUP. CLAS. PROF.]]=$B57,IF(DATOS_[[Check Periodo Ref.]:[Check Periodo Ref.]]="Dentro",DATOS_[Conc.Sal.07]))))),
0)</f>
        <v>0</v>
      </c>
      <c r="M58" s="170">
        <f t="array" ref="M58">IFERROR(
AVERAGE((IF(DATOS_[[Sexo]:[Sexo]]=$B58,IF(DATOS_[[AGRUP. CLAS. PROF.]:[AGRUP. CLAS. PROF.]]=$B57,IF(DATOS_[[Check Periodo Ref.]:[Check Periodo Ref.]]="Dentro",DATOS_[Conc.Sal.08]))))),
0)</f>
        <v>0</v>
      </c>
      <c r="N58" s="170">
        <f t="array" ref="N58">IFERROR(
AVERAGE((IF(DATOS_[[Sexo]:[Sexo]]=$B58,IF(DATOS_[[AGRUP. CLAS. PROF.]:[AGRUP. CLAS. PROF.]]=$B57,IF(DATOS_[[Check Periodo Ref.]:[Check Periodo Ref.]]="Dentro",DATOS_[Conc.Sal.09]))))),
0)</f>
        <v>0</v>
      </c>
      <c r="O58" s="170">
        <f t="array" ref="O58">IFERROR(
AVERAGE((IF(DATOS_[[Sexo]:[Sexo]]=$B58,IF(DATOS_[[AGRUP. CLAS. PROF.]:[AGRUP. CLAS. PROF.]]=$B57,IF(DATOS_[[Check Periodo Ref.]:[Check Periodo Ref.]]="Dentro",DATOS_[Conc.Sal.10]))))),
0)</f>
        <v>0</v>
      </c>
      <c r="P58" s="170">
        <f t="array" ref="P58">IFERROR(
AVERAGE((IF(DATOS_[[Sexo]:[Sexo]]=$B58,IF(DATOS_[[AGRUP. CLAS. PROF.]:[AGRUP. CLAS. PROF.]]=$B57,IF(DATOS_[[Check Periodo Ref.]:[Check Periodo Ref.]]="Dentro",DATOS_[Conc.Sal.11]))))),
0)</f>
        <v>0</v>
      </c>
      <c r="Q58" s="170">
        <f t="array" ref="Q58">IFERROR(
AVERAGE((IF(DATOS_[[Sexo]:[Sexo]]=$B58,IF(DATOS_[[AGRUP. CLAS. PROF.]:[AGRUP. CLAS. PROF.]]=$B57,IF(DATOS_[[Check Periodo Ref.]:[Check Periodo Ref.]]="Dentro",DATOS_[Conc.Sal.12]))))),
0)</f>
        <v>0</v>
      </c>
      <c r="R58" s="170">
        <f t="array" ref="R58">IFERROR(
AVERAGE((IF(DATOS_[[Sexo]:[Sexo]]=$B58,IF(DATOS_[[AGRUP. CLAS. PROF.]:[AGRUP. CLAS. PROF.]]=$B57,IF(DATOS_[[Check Periodo Ref.]:[Check Periodo Ref.]]="Dentro",DATOS_[Conc.Sal.13]))))),
0)</f>
        <v>0</v>
      </c>
      <c r="S58" s="170">
        <f t="array" ref="S58">IFERROR(
AVERAGE((IF(DATOS_[[Sexo]:[Sexo]]=$B58,IF(DATOS_[[AGRUP. CLAS. PROF.]:[AGRUP. CLAS. PROF.]]=$B57,IF(DATOS_[[Check Periodo Ref.]:[Check Periodo Ref.]]="Dentro",DATOS_[Conc.Sal.14]))))),
0)</f>
        <v>0</v>
      </c>
      <c r="T58" s="170">
        <f t="array" ref="T58">IFERROR(
AVERAGE((IF(DATOS_[[Sexo]:[Sexo]]=$B58,IF(DATOS_[[AGRUP. CLAS. PROF.]:[AGRUP. CLAS. PROF.]]=$B57,IF(DATOS_[[Check Periodo Ref.]:[Check Periodo Ref.]]="Dentro",DATOS_[Conc.Sal.15]))))),
0)</f>
        <v>0</v>
      </c>
      <c r="U58" s="170">
        <f t="array" ref="U58">IFERROR(
AVERAGE((IF(DATOS_[[Sexo]:[Sexo]]=$B58,IF(DATOS_[[AGRUP. CLAS. PROF.]:[AGRUP. CLAS. PROF.]]=$B57,IF(DATOS_[[Check Periodo Ref.]:[Check Periodo Ref.]]="Dentro",DATOS_[Conc.Sal.16]))))),
0)</f>
        <v>0</v>
      </c>
      <c r="V58" s="170">
        <f t="array" ref="V58">IFERROR(
AVERAGE((IF(DATOS_[[Sexo]:[Sexo]]=$B58,IF(DATOS_[[AGRUP. CLAS. PROF.]:[AGRUP. CLAS. PROF.]]=$B57,IF(DATOS_[[Check Periodo Ref.]:[Check Periodo Ref.]]="Dentro",DATOS_[Conc.Sal.17]))))),
0)</f>
        <v>0</v>
      </c>
      <c r="W58" s="170">
        <f t="array" ref="W58">IFERROR(
AVERAGE((IF(DATOS_[[Sexo]:[Sexo]]=$B58,IF(DATOS_[[AGRUP. CLAS. PROF.]:[AGRUP. CLAS. PROF.]]=$B57,IF(DATOS_[[Check Periodo Ref.]:[Check Periodo Ref.]]="Dentro",DATOS_[Conc.Sal.18]))))),
0)</f>
        <v>0</v>
      </c>
      <c r="X58" s="170">
        <f t="array" ref="X58">IFERROR(
AVERAGE((IF(DATOS_[[Sexo]:[Sexo]]=$B58,IF(DATOS_[[AGRUP. CLAS. PROF.]:[AGRUP. CLAS. PROF.]]=$B57,IF(DATOS_[[Check Periodo Ref.]:[Check Periodo Ref.]]="Dentro",DATOS_[Conc.Sal.19]))))),
0)</f>
        <v>0</v>
      </c>
      <c r="Y58" s="170">
        <f t="array" ref="Y58">IFERROR(
AVERAGE((IF(DATOS_[[Sexo]:[Sexo]]=$B58,IF(DATOS_[[AGRUP. CLAS. PROF.]:[AGRUP. CLAS. PROF.]]=$B57,IF(DATOS_[[Check Periodo Ref.]:[Check Periodo Ref.]]="Dentro",DATOS_[Conc.Sal.20]))))),
0)</f>
        <v>0</v>
      </c>
      <c r="Z58" s="170">
        <f t="array" ref="Z58">IFERROR(
AVERAGE((IF(DATOS_[[Sexo]:[Sexo]]=$B58,IF(DATOS_[[AGRUP. CLAS. PROF.]:[AGRUP. CLAS. PROF.]]=$B57,IF(DATOS_[[Check Periodo Ref.]:[Check Periodo Ref.]]="Dentro",DATOS_[Conc.Sal.21]))))),
0)</f>
        <v>0</v>
      </c>
      <c r="AA58" s="170">
        <f t="array" ref="AA58">IFERROR(
AVERAGE((IF(DATOS_[[Sexo]:[Sexo]]=$B58,IF(DATOS_[[AGRUP. CLAS. PROF.]:[AGRUP. CLAS. PROF.]]=$B57,IF(DATOS_[[Check Periodo Ref.]:[Check Periodo Ref.]]="Dentro",DATOS_[Conc.Sal.22]))))),
0)</f>
        <v>0</v>
      </c>
      <c r="AB58" s="170">
        <f t="array" ref="AB58">IFERROR(
AVERAGE((IF(DATOS_[[Sexo]:[Sexo]]=$B58,IF(DATOS_[[AGRUP. CLAS. PROF.]:[AGRUP. CLAS. PROF.]]=$B57,IF(DATOS_[[Check Periodo Ref.]:[Check Periodo Ref.]]="Dentro",DATOS_[Conc.Sal.23]))))),
0)</f>
        <v>0</v>
      </c>
      <c r="AC58" s="170">
        <f t="array" ref="AC58">IFERROR(
AVERAGE((IF(DATOS_[[Sexo]:[Sexo]]=$B58,IF(DATOS_[[AGRUP. CLAS. PROF.]:[AGRUP. CLAS. PROF.]]=$B57,IF(DATOS_[[Check Periodo Ref.]:[Check Periodo Ref.]]="Dentro",DATOS_[Conc.Sal.24]))))),
0)</f>
        <v>0</v>
      </c>
      <c r="AD58" s="170">
        <f t="array" ref="AD58">IFERROR(
AVERAGE((IF(DATOS_[[Sexo]:[Sexo]]=$B58,IF(DATOS_[[AGRUP. CLAS. PROF.]:[AGRUP. CLAS. PROF.]]=$B57,IF(DATOS_[[Check Periodo Ref.]:[Check Periodo Ref.]]="Dentro",DATOS_[Conc.Sal.25]))))),
0)</f>
        <v>0</v>
      </c>
      <c r="AE58" s="170">
        <f t="array" ref="AE58">IFERROR(
AVERAGE((IF(DATOS_[[Sexo]:[Sexo]]=$B58,IF(DATOS_[[AGRUP. CLAS. PROF.]:[AGRUP. CLAS. PROF.]]=$B57,IF(DATOS_[[Check Periodo Ref.]:[Check Periodo Ref.]]="Dentro",DATOS_[Conc.Sal.26]))))),
0)</f>
        <v>0</v>
      </c>
      <c r="AF58" s="170">
        <f t="array" ref="AF58">IFERROR(
AVERAGE((IF(DATOS_[[Sexo]:[Sexo]]=$B58,IF(DATOS_[[AGRUP. CLAS. PROF.]:[AGRUP. CLAS. PROF.]]=$B57,IF(DATOS_[[Check Periodo Ref.]:[Check Periodo Ref.]]="Dentro",DATOS_[Conc.Sal.27]))))),
0)</f>
        <v>0</v>
      </c>
      <c r="AG58" s="170">
        <f t="array" ref="AG58">IFERROR(
AVERAGE((IF(DATOS_[[Sexo]:[Sexo]]=$B58,IF(DATOS_[[AGRUP. CLAS. PROF.]:[AGRUP. CLAS. PROF.]]=$B57,IF(DATOS_[[Check Periodo Ref.]:[Check Periodo Ref.]]="Dentro",DATOS_[Conc.Sal.28]))))),
0)</f>
        <v>0</v>
      </c>
      <c r="AH58" s="170">
        <f t="array" ref="AH58">IFERROR(
AVERAGE((IF(DATOS_[[Sexo]:[Sexo]]=$B58,IF(DATOS_[[AGRUP. CLAS. PROF.]:[AGRUP. CLAS. PROF.]]=$B57,IF(DATOS_[[Check Periodo Ref.]:[Check Periodo Ref.]]="Dentro",DATOS_[Conc.Sal.29]))))),
0)</f>
        <v>0</v>
      </c>
      <c r="AI58" s="170">
        <f t="array" ref="AI58">IFERROR(
AVERAGE((IF(DATOS_[[Sexo]:[Sexo]]=$B58,IF(DATOS_[[AGRUP. CLAS. PROF.]:[AGRUP. CLAS. PROF.]]=$B57,IF(DATOS_[[Check Periodo Ref.]:[Check Periodo Ref.]]="Dentro",DATOS_[Conc.Sal.30]))))),
0)</f>
        <v>0</v>
      </c>
      <c r="AJ58" s="171">
        <f t="array" ref="AJ58">IFERROR(
AVERAGE(IF(DATOS_[Sexo]=$B58,IF(DATOS_[AGRUP. CLAS. PROF.]=$B57,IF(DATOS_[Check Periodo Ref.]="Dentro",DATOS_[Tot COMPL.SAL Ef],FALSE)))),
0)</f>
        <v>0</v>
      </c>
      <c r="AK58" s="172">
        <f t="array" ref="AK58">IFERROR(
AVERAGE(IF(DATOS_[Sexo]=$B58,IF(DATOS_[AGRUP. CLAS. PROF.]=$B57,IF(DATOS_[Check Periodo Ref.]="Dentro",DATOS_[TOTAL SALARIO Ef],FALSE)))),
0)</f>
        <v>0</v>
      </c>
      <c r="AL58" s="173">
        <f t="array" ref="AL58">IFERROR(
AVERAGE((IF(DATOS_[[Sexo]:[Sexo]]=$B58,IF(DATOS_[[AGRUP. CLAS. PROF.]:[AGRUP. CLAS. PROF.]]=$B57,IF(DATOS_[[Check Periodo Ref.]:[Check Periodo Ref.]]="Dentro",DATOS_[C.Extra.01]))))),
0)</f>
        <v>0</v>
      </c>
      <c r="AM58" s="173">
        <f t="array" ref="AM58">IFERROR(
AVERAGE((IF(DATOS_[[Sexo]:[Sexo]]=$B58,IF(DATOS_[[AGRUP. CLAS. PROF.]:[AGRUP. CLAS. PROF.]]=$B57,IF(DATOS_[[Check Periodo Ref.]:[Check Periodo Ref.]]="Dentro",DATOS_[C.Extra.06]))))),
0)</f>
        <v>0</v>
      </c>
      <c r="AN58" s="173">
        <f t="array" ref="AN58">IFERROR(
AVERAGE((IF(DATOS_[[Sexo]:[Sexo]]=$B58,IF(DATOS_[[AGRUP. CLAS. PROF.]:[AGRUP. CLAS. PROF.]]=$B57,IF(DATOS_[[Check Periodo Ref.]:[Check Periodo Ref.]]="Dentro",DATOS_[C.Extra.07]))))),
0)</f>
        <v>0</v>
      </c>
      <c r="AO58" s="173">
        <f t="array" ref="AO58">IFERROR(
AVERAGE((IF(DATOS_[[Sexo]:[Sexo]]=$B58,IF(DATOS_[[AGRUP. CLAS. PROF.]:[AGRUP. CLAS. PROF.]]=$B57,IF(DATOS_[[Check Periodo Ref.]:[Check Periodo Ref.]]="Dentro",DATOS_[C.Extra.08]))))),
0)</f>
        <v>0</v>
      </c>
      <c r="AP58" s="173">
        <f t="array" ref="AP58">IFERROR(
AVERAGE((IF(DATOS_[[Sexo]:[Sexo]]=$B58,IF(DATOS_[[AGRUP. CLAS. PROF.]:[AGRUP. CLAS. PROF.]]=$B57,IF(DATOS_[[Check Periodo Ref.]:[Check Periodo Ref.]]="Dentro",DATOS_[C.Extra.11]))))),
0)</f>
        <v>0</v>
      </c>
      <c r="AQ58" s="174">
        <f t="array" ref="AQ58">IFERROR(
AVERAGE(IF(DATOS_[Sexo]=$B58,IF(DATOS_[AGRUP. CLAS. PROF.]=$B57,IF(DATOS_[Check Periodo Ref.]="Dentro",DATOS_[Tot Extrasalarial Ef],FALSE)))),
0)</f>
        <v>0</v>
      </c>
      <c r="AR58" s="171">
        <f t="array" ref="AR58">IFERROR(
AVERAGE(IF(DATOS_[Sexo]=$B58,IF(DATOS_[AGRUP. CLAS. PROF.]=$B57,IF(DATOS_[Check Periodo Ref.]="Dentro",DATOS_[TOTAL Retrib Ef],FALSE)))),
0)</f>
        <v>0</v>
      </c>
    </row>
    <row r="59" spans="1:44" x14ac:dyDescent="0.25">
      <c r="A59" s="135" t="str">
        <f t="shared" ref="A59" si="62">+A58</f>
        <v>[ocultar]</v>
      </c>
      <c r="B59" s="166" t="s">
        <v>521</v>
      </c>
      <c r="C59" s="167">
        <f t="array" ref="C59">SUM(IF($B59=DATOS_[Sexo],
IF($B57=DATOS_[AGRUP. CLAS. PROF.],
IF("Dentro"=DATOS_[Check Periodo Ref.],
1/(COUNTIFS(DATOS_[Sexo],$B59,DATOS_[AGRUP. CLAS. PROF.],$B57,DATOS_[Check Periodo Ref.],"Dentro",DATOS_[id/cod],DATOS_[id/cod]))))))</f>
        <v>0</v>
      </c>
      <c r="D59" s="168">
        <f>COUNTIFS(DATOS_[AGRUP. CLAS. PROF.],$B57,DATOS_[Sexo],$B59,DATOS_[Check Periodo Ref.],"Dentro")</f>
        <v>0</v>
      </c>
      <c r="E59" s="169">
        <f t="array" ref="E59">IFERROR(
AVERAGE(IF(DATOS_[Sexo]=$B59,IF(DATOS_[AGRUP. CLAS. PROF.]=$B57,IF(DATOS_[Check Periodo Ref.]="Dentro",DATOS_[SALARIO BASE Ef],FALSE)))),
0)</f>
        <v>0</v>
      </c>
      <c r="F59" s="170">
        <f t="array" ref="F59">IFERROR(
AVERAGE((IF(DATOS_[[Sexo]:[Sexo]]=$B59,IF(DATOS_[[AGRUP. CLAS. PROF.]:[AGRUP. CLAS. PROF.]]=$B57,IF(DATOS_[[Check Periodo Ref.]:[Check Periodo Ref.]]="Dentro",DATOS_[Conc.Sal.01]))))),
0)</f>
        <v>0</v>
      </c>
      <c r="G59" s="170">
        <f t="array" ref="G59">IFERROR(
AVERAGE((IF(DATOS_[[Sexo]:[Sexo]]=$B59,IF(DATOS_[[AGRUP. CLAS. PROF.]:[AGRUP. CLAS. PROF.]]=$B57,IF(DATOS_[[Check Periodo Ref.]:[Check Periodo Ref.]]="Dentro",DATOS_[Conc.Sal.02]))))),
0)</f>
        <v>0</v>
      </c>
      <c r="H59" s="170">
        <f t="array" ref="H59">IFERROR(
AVERAGE((IF(DATOS_[[Sexo]:[Sexo]]=$B59,IF(DATOS_[[AGRUP. CLAS. PROF.]:[AGRUP. CLAS. PROF.]]=$B57,IF(DATOS_[[Check Periodo Ref.]:[Check Periodo Ref.]]="Dentro",DATOS_[Conc.Sal.03]))))),
0)</f>
        <v>0</v>
      </c>
      <c r="I59" s="170">
        <f t="array" ref="I59">IFERROR(
AVERAGE((IF(DATOS_[[Sexo]:[Sexo]]=$B59,IF(DATOS_[[AGRUP. CLAS. PROF.]:[AGRUP. CLAS. PROF.]]=$B57,IF(DATOS_[[Check Periodo Ref.]:[Check Periodo Ref.]]="Dentro",DATOS_[Conc.Sal.04]))))),
0)</f>
        <v>0</v>
      </c>
      <c r="J59" s="170">
        <f t="array" ref="J59">IFERROR(
AVERAGE((IF(DATOS_[[Sexo]:[Sexo]]=$B59,IF(DATOS_[[AGRUP. CLAS. PROF.]:[AGRUP. CLAS. PROF.]]=$B57,IF(DATOS_[[Check Periodo Ref.]:[Check Periodo Ref.]]="Dentro",DATOS_[Conc.Sal.05]))))),
0)</f>
        <v>0</v>
      </c>
      <c r="K59" s="170">
        <f t="array" ref="K59">IFERROR(
AVERAGE((IF(DATOS_[[Sexo]:[Sexo]]=$B59,IF(DATOS_[[AGRUP. CLAS. PROF.]:[AGRUP. CLAS. PROF.]]=$B57,IF(DATOS_[[Check Periodo Ref.]:[Check Periodo Ref.]]="Dentro",DATOS_[Conc.Sal.06]))))),
0)</f>
        <v>0</v>
      </c>
      <c r="L59" s="170">
        <f t="array" ref="L59">IFERROR(
AVERAGE((IF(DATOS_[[Sexo]:[Sexo]]=$B59,IF(DATOS_[[AGRUP. CLAS. PROF.]:[AGRUP. CLAS. PROF.]]=$B57,IF(DATOS_[[Check Periodo Ref.]:[Check Periodo Ref.]]="Dentro",DATOS_[Conc.Sal.07]))))),
0)</f>
        <v>0</v>
      </c>
      <c r="M59" s="170">
        <f t="array" ref="M59">IFERROR(
AVERAGE((IF(DATOS_[[Sexo]:[Sexo]]=$B59,IF(DATOS_[[AGRUP. CLAS. PROF.]:[AGRUP. CLAS. PROF.]]=$B57,IF(DATOS_[[Check Periodo Ref.]:[Check Periodo Ref.]]="Dentro",DATOS_[Conc.Sal.08]))))),
0)</f>
        <v>0</v>
      </c>
      <c r="N59" s="170">
        <f t="array" ref="N59">IFERROR(
AVERAGE((IF(DATOS_[[Sexo]:[Sexo]]=$B59,IF(DATOS_[[AGRUP. CLAS. PROF.]:[AGRUP. CLAS. PROF.]]=$B57,IF(DATOS_[[Check Periodo Ref.]:[Check Periodo Ref.]]="Dentro",DATOS_[Conc.Sal.09]))))),
0)</f>
        <v>0</v>
      </c>
      <c r="O59" s="170">
        <f t="array" ref="O59">IFERROR(
AVERAGE((IF(DATOS_[[Sexo]:[Sexo]]=$B59,IF(DATOS_[[AGRUP. CLAS. PROF.]:[AGRUP. CLAS. PROF.]]=$B57,IF(DATOS_[[Check Periodo Ref.]:[Check Periodo Ref.]]="Dentro",DATOS_[Conc.Sal.10]))))),
0)</f>
        <v>0</v>
      </c>
      <c r="P59" s="170">
        <f t="array" ref="P59">IFERROR(
AVERAGE((IF(DATOS_[[Sexo]:[Sexo]]=$B59,IF(DATOS_[[AGRUP. CLAS. PROF.]:[AGRUP. CLAS. PROF.]]=$B57,IF(DATOS_[[Check Periodo Ref.]:[Check Periodo Ref.]]="Dentro",DATOS_[Conc.Sal.11]))))),
0)</f>
        <v>0</v>
      </c>
      <c r="Q59" s="170">
        <f t="array" ref="Q59">IFERROR(
AVERAGE((IF(DATOS_[[Sexo]:[Sexo]]=$B59,IF(DATOS_[[AGRUP. CLAS. PROF.]:[AGRUP. CLAS. PROF.]]=$B57,IF(DATOS_[[Check Periodo Ref.]:[Check Periodo Ref.]]="Dentro",DATOS_[Conc.Sal.12]))))),
0)</f>
        <v>0</v>
      </c>
      <c r="R59" s="170">
        <f t="array" ref="R59">IFERROR(
AVERAGE((IF(DATOS_[[Sexo]:[Sexo]]=$B59,IF(DATOS_[[AGRUP. CLAS. PROF.]:[AGRUP. CLAS. PROF.]]=$B57,IF(DATOS_[[Check Periodo Ref.]:[Check Periodo Ref.]]="Dentro",DATOS_[Conc.Sal.13]))))),
0)</f>
        <v>0</v>
      </c>
      <c r="S59" s="170">
        <f t="array" ref="S59">IFERROR(
AVERAGE((IF(DATOS_[[Sexo]:[Sexo]]=$B59,IF(DATOS_[[AGRUP. CLAS. PROF.]:[AGRUP. CLAS. PROF.]]=$B57,IF(DATOS_[[Check Periodo Ref.]:[Check Periodo Ref.]]="Dentro",DATOS_[Conc.Sal.14]))))),
0)</f>
        <v>0</v>
      </c>
      <c r="T59" s="170">
        <f t="array" ref="T59">IFERROR(
AVERAGE((IF(DATOS_[[Sexo]:[Sexo]]=$B59,IF(DATOS_[[AGRUP. CLAS. PROF.]:[AGRUP. CLAS. PROF.]]=$B57,IF(DATOS_[[Check Periodo Ref.]:[Check Periodo Ref.]]="Dentro",DATOS_[Conc.Sal.15]))))),
0)</f>
        <v>0</v>
      </c>
      <c r="U59" s="170">
        <f t="array" ref="U59">IFERROR(
AVERAGE((IF(DATOS_[[Sexo]:[Sexo]]=$B59,IF(DATOS_[[AGRUP. CLAS. PROF.]:[AGRUP. CLAS. PROF.]]=$B57,IF(DATOS_[[Check Periodo Ref.]:[Check Periodo Ref.]]="Dentro",DATOS_[Conc.Sal.16]))))),
0)</f>
        <v>0</v>
      </c>
      <c r="V59" s="170">
        <f t="array" ref="V59">IFERROR(
AVERAGE((IF(DATOS_[[Sexo]:[Sexo]]=$B59,IF(DATOS_[[AGRUP. CLAS. PROF.]:[AGRUP. CLAS. PROF.]]=$B57,IF(DATOS_[[Check Periodo Ref.]:[Check Periodo Ref.]]="Dentro",DATOS_[Conc.Sal.17]))))),
0)</f>
        <v>0</v>
      </c>
      <c r="W59" s="170">
        <f t="array" ref="W59">IFERROR(
AVERAGE((IF(DATOS_[[Sexo]:[Sexo]]=$B59,IF(DATOS_[[AGRUP. CLAS. PROF.]:[AGRUP. CLAS. PROF.]]=$B57,IF(DATOS_[[Check Periodo Ref.]:[Check Periodo Ref.]]="Dentro",DATOS_[Conc.Sal.18]))))),
0)</f>
        <v>0</v>
      </c>
      <c r="X59" s="170">
        <f t="array" ref="X59">IFERROR(
AVERAGE((IF(DATOS_[[Sexo]:[Sexo]]=$B59,IF(DATOS_[[AGRUP. CLAS. PROF.]:[AGRUP. CLAS. PROF.]]=$B57,IF(DATOS_[[Check Periodo Ref.]:[Check Periodo Ref.]]="Dentro",DATOS_[Conc.Sal.19]))))),
0)</f>
        <v>0</v>
      </c>
      <c r="Y59" s="170">
        <f t="array" ref="Y59">IFERROR(
AVERAGE((IF(DATOS_[[Sexo]:[Sexo]]=$B59,IF(DATOS_[[AGRUP. CLAS. PROF.]:[AGRUP. CLAS. PROF.]]=$B57,IF(DATOS_[[Check Periodo Ref.]:[Check Periodo Ref.]]="Dentro",DATOS_[Conc.Sal.20]))))),
0)</f>
        <v>0</v>
      </c>
      <c r="Z59" s="170">
        <f t="array" ref="Z59">IFERROR(
AVERAGE((IF(DATOS_[[Sexo]:[Sexo]]=$B59,IF(DATOS_[[AGRUP. CLAS. PROF.]:[AGRUP. CLAS. PROF.]]=$B57,IF(DATOS_[[Check Periodo Ref.]:[Check Periodo Ref.]]="Dentro",DATOS_[Conc.Sal.21]))))),
0)</f>
        <v>0</v>
      </c>
      <c r="AA59" s="170">
        <f t="array" ref="AA59">IFERROR(
AVERAGE((IF(DATOS_[[Sexo]:[Sexo]]=$B59,IF(DATOS_[[AGRUP. CLAS. PROF.]:[AGRUP. CLAS. PROF.]]=$B57,IF(DATOS_[[Check Periodo Ref.]:[Check Periodo Ref.]]="Dentro",DATOS_[Conc.Sal.22]))))),
0)</f>
        <v>0</v>
      </c>
      <c r="AB59" s="170">
        <f t="array" ref="AB59">IFERROR(
AVERAGE((IF(DATOS_[[Sexo]:[Sexo]]=$B59,IF(DATOS_[[AGRUP. CLAS. PROF.]:[AGRUP. CLAS. PROF.]]=$B57,IF(DATOS_[[Check Periodo Ref.]:[Check Periodo Ref.]]="Dentro",DATOS_[Conc.Sal.23]))))),
0)</f>
        <v>0</v>
      </c>
      <c r="AC59" s="170">
        <f t="array" ref="AC59">IFERROR(
AVERAGE((IF(DATOS_[[Sexo]:[Sexo]]=$B59,IF(DATOS_[[AGRUP. CLAS. PROF.]:[AGRUP. CLAS. PROF.]]=$B57,IF(DATOS_[[Check Periodo Ref.]:[Check Periodo Ref.]]="Dentro",DATOS_[Conc.Sal.24]))))),
0)</f>
        <v>0</v>
      </c>
      <c r="AD59" s="170">
        <f t="array" ref="AD59">IFERROR(
AVERAGE((IF(DATOS_[[Sexo]:[Sexo]]=$B59,IF(DATOS_[[AGRUP. CLAS. PROF.]:[AGRUP. CLAS. PROF.]]=$B57,IF(DATOS_[[Check Periodo Ref.]:[Check Periodo Ref.]]="Dentro",DATOS_[Conc.Sal.25]))))),
0)</f>
        <v>0</v>
      </c>
      <c r="AE59" s="170">
        <f t="array" ref="AE59">IFERROR(
AVERAGE((IF(DATOS_[[Sexo]:[Sexo]]=$B59,IF(DATOS_[[AGRUP. CLAS. PROF.]:[AGRUP. CLAS. PROF.]]=$B57,IF(DATOS_[[Check Periodo Ref.]:[Check Periodo Ref.]]="Dentro",DATOS_[Conc.Sal.26]))))),
0)</f>
        <v>0</v>
      </c>
      <c r="AF59" s="170">
        <f t="array" ref="AF59">IFERROR(
AVERAGE((IF(DATOS_[[Sexo]:[Sexo]]=$B59,IF(DATOS_[[AGRUP. CLAS. PROF.]:[AGRUP. CLAS. PROF.]]=$B57,IF(DATOS_[[Check Periodo Ref.]:[Check Periodo Ref.]]="Dentro",DATOS_[Conc.Sal.27]))))),
0)</f>
        <v>0</v>
      </c>
      <c r="AG59" s="170">
        <f t="array" ref="AG59">IFERROR(
AVERAGE((IF(DATOS_[[Sexo]:[Sexo]]=$B59,IF(DATOS_[[AGRUP. CLAS. PROF.]:[AGRUP. CLAS. PROF.]]=$B57,IF(DATOS_[[Check Periodo Ref.]:[Check Periodo Ref.]]="Dentro",DATOS_[Conc.Sal.28]))))),
0)</f>
        <v>0</v>
      </c>
      <c r="AH59" s="170">
        <f t="array" ref="AH59">IFERROR(
AVERAGE((IF(DATOS_[[Sexo]:[Sexo]]=$B59,IF(DATOS_[[AGRUP. CLAS. PROF.]:[AGRUP. CLAS. PROF.]]=$B57,IF(DATOS_[[Check Periodo Ref.]:[Check Periodo Ref.]]="Dentro",DATOS_[Conc.Sal.29]))))),
0)</f>
        <v>0</v>
      </c>
      <c r="AI59" s="170">
        <f t="array" ref="AI59">IFERROR(
AVERAGE((IF(DATOS_[[Sexo]:[Sexo]]=$B59,IF(DATOS_[[AGRUP. CLAS. PROF.]:[AGRUP. CLAS. PROF.]]=$B57,IF(DATOS_[[Check Periodo Ref.]:[Check Periodo Ref.]]="Dentro",DATOS_[Conc.Sal.30]))))),
0)</f>
        <v>0</v>
      </c>
      <c r="AJ59" s="171">
        <f t="array" ref="AJ59">IFERROR(
AVERAGE(IF(DATOS_[Sexo]=$B59,IF(DATOS_[AGRUP. CLAS. PROF.]=$B57,IF(DATOS_[Check Periodo Ref.]="Dentro",DATOS_[Tot COMPL.SAL Ef],FALSE)))),
0)</f>
        <v>0</v>
      </c>
      <c r="AK59" s="172">
        <f t="array" ref="AK59">IFERROR(
AVERAGE(IF(DATOS_[Sexo]=$B59,IF(DATOS_[AGRUP. CLAS. PROF.]=$B57,IF(DATOS_[Check Periodo Ref.]="Dentro",DATOS_[TOTAL SALARIO Ef],FALSE)))),
0)</f>
        <v>0</v>
      </c>
      <c r="AL59" s="173">
        <f t="array" ref="AL59">IFERROR(
AVERAGE((IF(DATOS_[[Sexo]:[Sexo]]=$B59,IF(DATOS_[[AGRUP. CLAS. PROF.]:[AGRUP. CLAS. PROF.]]=$B57,IF(DATOS_[[Check Periodo Ref.]:[Check Periodo Ref.]]="Dentro",DATOS_[C.Extra.01]))))),
0)</f>
        <v>0</v>
      </c>
      <c r="AM59" s="173">
        <f t="array" ref="AM59">IFERROR(
AVERAGE((IF(DATOS_[[Sexo]:[Sexo]]=$B59,IF(DATOS_[[AGRUP. CLAS. PROF.]:[AGRUP. CLAS. PROF.]]=$B57,IF(DATOS_[[Check Periodo Ref.]:[Check Periodo Ref.]]="Dentro",DATOS_[C.Extra.06]))))),
0)</f>
        <v>0</v>
      </c>
      <c r="AN59" s="173">
        <f t="array" ref="AN59">IFERROR(
AVERAGE((IF(DATOS_[[Sexo]:[Sexo]]=$B59,IF(DATOS_[[AGRUP. CLAS. PROF.]:[AGRUP. CLAS. PROF.]]=$B57,IF(DATOS_[[Check Periodo Ref.]:[Check Periodo Ref.]]="Dentro",DATOS_[C.Extra.07]))))),
0)</f>
        <v>0</v>
      </c>
      <c r="AO59" s="173">
        <f t="array" ref="AO59">IFERROR(
AVERAGE((IF(DATOS_[[Sexo]:[Sexo]]=$B59,IF(DATOS_[[AGRUP. CLAS. PROF.]:[AGRUP. CLAS. PROF.]]=$B57,IF(DATOS_[[Check Periodo Ref.]:[Check Periodo Ref.]]="Dentro",DATOS_[C.Extra.08]))))),
0)</f>
        <v>0</v>
      </c>
      <c r="AP59" s="173">
        <f t="array" ref="AP59">IFERROR(
AVERAGE((IF(DATOS_[[Sexo]:[Sexo]]=$B59,IF(DATOS_[[AGRUP. CLAS. PROF.]:[AGRUP. CLAS. PROF.]]=$B57,IF(DATOS_[[Check Periodo Ref.]:[Check Periodo Ref.]]="Dentro",DATOS_[C.Extra.11]))))),
0)</f>
        <v>0</v>
      </c>
      <c r="AQ59" s="174">
        <f t="array" ref="AQ59">IFERROR(
AVERAGE(IF(DATOS_[Sexo]=$B59,IF(DATOS_[AGRUP. CLAS. PROF.]=$B57,IF(DATOS_[Check Periodo Ref.]="Dentro",DATOS_[Tot Extrasalarial Ef],FALSE)))),
0)</f>
        <v>0</v>
      </c>
      <c r="AR59" s="171">
        <f t="array" ref="AR59">IFERROR(
AVERAGE(IF(DATOS_[Sexo]=$B59,IF(DATOS_[AGRUP. CLAS. PROF.]=$B57,IF(DATOS_[Check Periodo Ref.]="Dentro",DATOS_[TOTAL Retrib Ef],FALSE)))),
0)</f>
        <v>0</v>
      </c>
    </row>
    <row r="60" spans="1:44" s="152" customFormat="1" ht="14.4" thickBot="1" x14ac:dyDescent="0.3">
      <c r="A60" s="135" t="str">
        <f t="shared" ref="A60" si="63">+A61</f>
        <v>[ocultar]</v>
      </c>
      <c r="B60" s="153" t="s">
        <v>238</v>
      </c>
      <c r="C60" s="154"/>
      <c r="D60" s="155"/>
      <c r="E60" s="156" t="str">
        <f t="shared" ref="E60:AR60" si="64">IFERROR((E61-E62)/E61,"")</f>
        <v/>
      </c>
      <c r="F60" s="157" t="str">
        <f t="shared" si="64"/>
        <v/>
      </c>
      <c r="G60" s="158" t="str">
        <f t="shared" si="64"/>
        <v/>
      </c>
      <c r="H60" s="158" t="str">
        <f t="shared" si="64"/>
        <v/>
      </c>
      <c r="I60" s="158" t="str">
        <f t="shared" si="64"/>
        <v/>
      </c>
      <c r="J60" s="159" t="str">
        <f t="shared" si="64"/>
        <v/>
      </c>
      <c r="K60" s="160" t="str">
        <f t="shared" si="64"/>
        <v/>
      </c>
      <c r="L60" s="160" t="str">
        <f t="shared" si="64"/>
        <v/>
      </c>
      <c r="M60" s="160" t="str">
        <f t="shared" si="64"/>
        <v/>
      </c>
      <c r="N60" s="160" t="str">
        <f t="shared" si="64"/>
        <v/>
      </c>
      <c r="O60" s="160" t="str">
        <f t="shared" si="64"/>
        <v/>
      </c>
      <c r="P60" s="160" t="str">
        <f t="shared" si="64"/>
        <v/>
      </c>
      <c r="Q60" s="160" t="str">
        <f t="shared" si="64"/>
        <v/>
      </c>
      <c r="R60" s="160" t="str">
        <f t="shared" si="64"/>
        <v/>
      </c>
      <c r="S60" s="160" t="str">
        <f t="shared" si="64"/>
        <v/>
      </c>
      <c r="T60" s="160" t="str">
        <f t="shared" si="64"/>
        <v/>
      </c>
      <c r="U60" s="160" t="str">
        <f t="shared" si="64"/>
        <v/>
      </c>
      <c r="V60" s="159" t="str">
        <f t="shared" si="64"/>
        <v/>
      </c>
      <c r="W60" s="159" t="str">
        <f t="shared" si="64"/>
        <v/>
      </c>
      <c r="X60" s="159" t="str">
        <f t="shared" si="64"/>
        <v/>
      </c>
      <c r="Y60" s="159" t="str">
        <f t="shared" si="64"/>
        <v/>
      </c>
      <c r="Z60" s="159" t="str">
        <f t="shared" si="64"/>
        <v/>
      </c>
      <c r="AA60" s="159" t="str">
        <f t="shared" si="64"/>
        <v/>
      </c>
      <c r="AB60" s="159" t="str">
        <f t="shared" si="64"/>
        <v/>
      </c>
      <c r="AC60" s="159" t="str">
        <f t="shared" si="64"/>
        <v/>
      </c>
      <c r="AD60" s="159" t="str">
        <f t="shared" si="64"/>
        <v/>
      </c>
      <c r="AE60" s="159" t="str">
        <f t="shared" si="64"/>
        <v/>
      </c>
      <c r="AF60" s="159" t="str">
        <f t="shared" si="64"/>
        <v/>
      </c>
      <c r="AG60" s="159" t="str">
        <f t="shared" si="64"/>
        <v/>
      </c>
      <c r="AH60" s="159" t="str">
        <f t="shared" si="64"/>
        <v/>
      </c>
      <c r="AI60" s="159" t="str">
        <f t="shared" si="64"/>
        <v/>
      </c>
      <c r="AJ60" s="161" t="str">
        <f t="shared" si="64"/>
        <v/>
      </c>
      <c r="AK60" s="162" t="str">
        <f t="shared" si="64"/>
        <v/>
      </c>
      <c r="AL60" s="163" t="str">
        <f t="shared" si="64"/>
        <v/>
      </c>
      <c r="AM60" s="163" t="str">
        <f t="shared" si="64"/>
        <v/>
      </c>
      <c r="AN60" s="163" t="str">
        <f t="shared" si="64"/>
        <v/>
      </c>
      <c r="AO60" s="163" t="str">
        <f t="shared" si="64"/>
        <v/>
      </c>
      <c r="AP60" s="163" t="str">
        <f t="shared" si="64"/>
        <v/>
      </c>
      <c r="AQ60" s="164" t="str">
        <f t="shared" si="64"/>
        <v/>
      </c>
      <c r="AR60" s="161" t="str">
        <f t="shared" si="64"/>
        <v/>
      </c>
    </row>
    <row r="61" spans="1:44" x14ac:dyDescent="0.25">
      <c r="A61" s="135" t="str">
        <f t="shared" ref="A61" si="65">+IF(C61+C62=0,"[ocultar]","")</f>
        <v>[ocultar]</v>
      </c>
      <c r="B61" s="166" t="s">
        <v>394</v>
      </c>
      <c r="C61" s="167">
        <f t="array" ref="C61">SUM(IF($B61=DATOS_[Sexo],
IF($B60=DATOS_[AGRUP. CLAS. PROF.],
IF("Dentro"=DATOS_[Check Periodo Ref.],
1/(COUNTIFS(DATOS_[Sexo],$B61,DATOS_[AGRUP. CLAS. PROF.],$B60,DATOS_[Check Periodo Ref.],"Dentro",DATOS_[id/cod],DATOS_[id/cod]))))))</f>
        <v>0</v>
      </c>
      <c r="D61" s="168">
        <f>COUNTIFS(DATOS_[AGRUP. CLAS. PROF.],$B60,DATOS_[Sexo],$B61,DATOS_[Check Periodo Ref.],"Dentro")</f>
        <v>0</v>
      </c>
      <c r="E61" s="169">
        <f t="array" ref="E61">IFERROR(
AVERAGE(IF(DATOS_[Sexo]=$B61,IF(DATOS_[AGRUP. CLAS. PROF.]=$B60,IF(DATOS_[Check Periodo Ref.]="Dentro",DATOS_[SALARIO BASE Ef],FALSE)))),
0)</f>
        <v>0</v>
      </c>
      <c r="F61" s="170">
        <f t="array" ref="F61">IFERROR(
AVERAGE((IF(DATOS_[[Sexo]:[Sexo]]=$B61,IF(DATOS_[[AGRUP. CLAS. PROF.]:[AGRUP. CLAS. PROF.]]=$B60,IF(DATOS_[[Check Periodo Ref.]:[Check Periodo Ref.]]="Dentro",DATOS_[Conc.Sal.01]))))),
0)</f>
        <v>0</v>
      </c>
      <c r="G61" s="170">
        <f t="array" ref="G61">IFERROR(
AVERAGE((IF(DATOS_[[Sexo]:[Sexo]]=$B61,IF(DATOS_[[AGRUP. CLAS. PROF.]:[AGRUP. CLAS. PROF.]]=$B60,IF(DATOS_[[Check Periodo Ref.]:[Check Periodo Ref.]]="Dentro",DATOS_[Conc.Sal.02]))))),
0)</f>
        <v>0</v>
      </c>
      <c r="H61" s="170">
        <f t="array" ref="H61">IFERROR(
AVERAGE((IF(DATOS_[[Sexo]:[Sexo]]=$B61,IF(DATOS_[[AGRUP. CLAS. PROF.]:[AGRUP. CLAS. PROF.]]=$B60,IF(DATOS_[[Check Periodo Ref.]:[Check Periodo Ref.]]="Dentro",DATOS_[Conc.Sal.03]))))),
0)</f>
        <v>0</v>
      </c>
      <c r="I61" s="170">
        <f t="array" ref="I61">IFERROR(
AVERAGE((IF(DATOS_[[Sexo]:[Sexo]]=$B61,IF(DATOS_[[AGRUP. CLAS. PROF.]:[AGRUP. CLAS. PROF.]]=$B60,IF(DATOS_[[Check Periodo Ref.]:[Check Periodo Ref.]]="Dentro",DATOS_[Conc.Sal.04]))))),
0)</f>
        <v>0</v>
      </c>
      <c r="J61" s="170">
        <f t="array" ref="J61">IFERROR(
AVERAGE((IF(DATOS_[[Sexo]:[Sexo]]=$B61,IF(DATOS_[[AGRUP. CLAS. PROF.]:[AGRUP. CLAS. PROF.]]=$B60,IF(DATOS_[[Check Periodo Ref.]:[Check Periodo Ref.]]="Dentro",DATOS_[Conc.Sal.05]))))),
0)</f>
        <v>0</v>
      </c>
      <c r="K61" s="170">
        <f t="array" ref="K61">IFERROR(
AVERAGE((IF(DATOS_[[Sexo]:[Sexo]]=$B61,IF(DATOS_[[AGRUP. CLAS. PROF.]:[AGRUP. CLAS. PROF.]]=$B60,IF(DATOS_[[Check Periodo Ref.]:[Check Periodo Ref.]]="Dentro",DATOS_[Conc.Sal.06]))))),
0)</f>
        <v>0</v>
      </c>
      <c r="L61" s="170">
        <f t="array" ref="L61">IFERROR(
AVERAGE((IF(DATOS_[[Sexo]:[Sexo]]=$B61,IF(DATOS_[[AGRUP. CLAS. PROF.]:[AGRUP. CLAS. PROF.]]=$B60,IF(DATOS_[[Check Periodo Ref.]:[Check Periodo Ref.]]="Dentro",DATOS_[Conc.Sal.07]))))),
0)</f>
        <v>0</v>
      </c>
      <c r="M61" s="170">
        <f t="array" ref="M61">IFERROR(
AVERAGE((IF(DATOS_[[Sexo]:[Sexo]]=$B61,IF(DATOS_[[AGRUP. CLAS. PROF.]:[AGRUP. CLAS. PROF.]]=$B60,IF(DATOS_[[Check Periodo Ref.]:[Check Periodo Ref.]]="Dentro",DATOS_[Conc.Sal.08]))))),
0)</f>
        <v>0</v>
      </c>
      <c r="N61" s="170">
        <f t="array" ref="N61">IFERROR(
AVERAGE((IF(DATOS_[[Sexo]:[Sexo]]=$B61,IF(DATOS_[[AGRUP. CLAS. PROF.]:[AGRUP. CLAS. PROF.]]=$B60,IF(DATOS_[[Check Periodo Ref.]:[Check Periodo Ref.]]="Dentro",DATOS_[Conc.Sal.09]))))),
0)</f>
        <v>0</v>
      </c>
      <c r="O61" s="170">
        <f t="array" ref="O61">IFERROR(
AVERAGE((IF(DATOS_[[Sexo]:[Sexo]]=$B61,IF(DATOS_[[AGRUP. CLAS. PROF.]:[AGRUP. CLAS. PROF.]]=$B60,IF(DATOS_[[Check Periodo Ref.]:[Check Periodo Ref.]]="Dentro",DATOS_[Conc.Sal.10]))))),
0)</f>
        <v>0</v>
      </c>
      <c r="P61" s="170">
        <f t="array" ref="P61">IFERROR(
AVERAGE((IF(DATOS_[[Sexo]:[Sexo]]=$B61,IF(DATOS_[[AGRUP. CLAS. PROF.]:[AGRUP. CLAS. PROF.]]=$B60,IF(DATOS_[[Check Periodo Ref.]:[Check Periodo Ref.]]="Dentro",DATOS_[Conc.Sal.11]))))),
0)</f>
        <v>0</v>
      </c>
      <c r="Q61" s="170">
        <f t="array" ref="Q61">IFERROR(
AVERAGE((IF(DATOS_[[Sexo]:[Sexo]]=$B61,IF(DATOS_[[AGRUP. CLAS. PROF.]:[AGRUP. CLAS. PROF.]]=$B60,IF(DATOS_[[Check Periodo Ref.]:[Check Periodo Ref.]]="Dentro",DATOS_[Conc.Sal.12]))))),
0)</f>
        <v>0</v>
      </c>
      <c r="R61" s="170">
        <f t="array" ref="R61">IFERROR(
AVERAGE((IF(DATOS_[[Sexo]:[Sexo]]=$B61,IF(DATOS_[[AGRUP. CLAS. PROF.]:[AGRUP. CLAS. PROF.]]=$B60,IF(DATOS_[[Check Periodo Ref.]:[Check Periodo Ref.]]="Dentro",DATOS_[Conc.Sal.13]))))),
0)</f>
        <v>0</v>
      </c>
      <c r="S61" s="170">
        <f t="array" ref="S61">IFERROR(
AVERAGE((IF(DATOS_[[Sexo]:[Sexo]]=$B61,IF(DATOS_[[AGRUP. CLAS. PROF.]:[AGRUP. CLAS. PROF.]]=$B60,IF(DATOS_[[Check Periodo Ref.]:[Check Periodo Ref.]]="Dentro",DATOS_[Conc.Sal.14]))))),
0)</f>
        <v>0</v>
      </c>
      <c r="T61" s="170">
        <f t="array" ref="T61">IFERROR(
AVERAGE((IF(DATOS_[[Sexo]:[Sexo]]=$B61,IF(DATOS_[[AGRUP. CLAS. PROF.]:[AGRUP. CLAS. PROF.]]=$B60,IF(DATOS_[[Check Periodo Ref.]:[Check Periodo Ref.]]="Dentro",DATOS_[Conc.Sal.15]))))),
0)</f>
        <v>0</v>
      </c>
      <c r="U61" s="170">
        <f t="array" ref="U61">IFERROR(
AVERAGE((IF(DATOS_[[Sexo]:[Sexo]]=$B61,IF(DATOS_[[AGRUP. CLAS. PROF.]:[AGRUP. CLAS. PROF.]]=$B60,IF(DATOS_[[Check Periodo Ref.]:[Check Periodo Ref.]]="Dentro",DATOS_[Conc.Sal.16]))))),
0)</f>
        <v>0</v>
      </c>
      <c r="V61" s="170">
        <f t="array" ref="V61">IFERROR(
AVERAGE((IF(DATOS_[[Sexo]:[Sexo]]=$B61,IF(DATOS_[[AGRUP. CLAS. PROF.]:[AGRUP. CLAS. PROF.]]=$B60,IF(DATOS_[[Check Periodo Ref.]:[Check Periodo Ref.]]="Dentro",DATOS_[Conc.Sal.17]))))),
0)</f>
        <v>0</v>
      </c>
      <c r="W61" s="170">
        <f t="array" ref="W61">IFERROR(
AVERAGE((IF(DATOS_[[Sexo]:[Sexo]]=$B61,IF(DATOS_[[AGRUP. CLAS. PROF.]:[AGRUP. CLAS. PROF.]]=$B60,IF(DATOS_[[Check Periodo Ref.]:[Check Periodo Ref.]]="Dentro",DATOS_[Conc.Sal.18]))))),
0)</f>
        <v>0</v>
      </c>
      <c r="X61" s="170">
        <f t="array" ref="X61">IFERROR(
AVERAGE((IF(DATOS_[[Sexo]:[Sexo]]=$B61,IF(DATOS_[[AGRUP. CLAS. PROF.]:[AGRUP. CLAS. PROF.]]=$B60,IF(DATOS_[[Check Periodo Ref.]:[Check Periodo Ref.]]="Dentro",DATOS_[Conc.Sal.19]))))),
0)</f>
        <v>0</v>
      </c>
      <c r="Y61" s="170">
        <f t="array" ref="Y61">IFERROR(
AVERAGE((IF(DATOS_[[Sexo]:[Sexo]]=$B61,IF(DATOS_[[AGRUP. CLAS. PROF.]:[AGRUP. CLAS. PROF.]]=$B60,IF(DATOS_[[Check Periodo Ref.]:[Check Periodo Ref.]]="Dentro",DATOS_[Conc.Sal.20]))))),
0)</f>
        <v>0</v>
      </c>
      <c r="Z61" s="170">
        <f t="array" ref="Z61">IFERROR(
AVERAGE((IF(DATOS_[[Sexo]:[Sexo]]=$B61,IF(DATOS_[[AGRUP. CLAS. PROF.]:[AGRUP. CLAS. PROF.]]=$B60,IF(DATOS_[[Check Periodo Ref.]:[Check Periodo Ref.]]="Dentro",DATOS_[Conc.Sal.21]))))),
0)</f>
        <v>0</v>
      </c>
      <c r="AA61" s="170">
        <f t="array" ref="AA61">IFERROR(
AVERAGE((IF(DATOS_[[Sexo]:[Sexo]]=$B61,IF(DATOS_[[AGRUP. CLAS. PROF.]:[AGRUP. CLAS. PROF.]]=$B60,IF(DATOS_[[Check Periodo Ref.]:[Check Periodo Ref.]]="Dentro",DATOS_[Conc.Sal.22]))))),
0)</f>
        <v>0</v>
      </c>
      <c r="AB61" s="170">
        <f t="array" ref="AB61">IFERROR(
AVERAGE((IF(DATOS_[[Sexo]:[Sexo]]=$B61,IF(DATOS_[[AGRUP. CLAS. PROF.]:[AGRUP. CLAS. PROF.]]=$B60,IF(DATOS_[[Check Periodo Ref.]:[Check Periodo Ref.]]="Dentro",DATOS_[Conc.Sal.23]))))),
0)</f>
        <v>0</v>
      </c>
      <c r="AC61" s="170">
        <f t="array" ref="AC61">IFERROR(
AVERAGE((IF(DATOS_[[Sexo]:[Sexo]]=$B61,IF(DATOS_[[AGRUP. CLAS. PROF.]:[AGRUP. CLAS. PROF.]]=$B60,IF(DATOS_[[Check Periodo Ref.]:[Check Periodo Ref.]]="Dentro",DATOS_[Conc.Sal.24]))))),
0)</f>
        <v>0</v>
      </c>
      <c r="AD61" s="170">
        <f t="array" ref="AD61">IFERROR(
AVERAGE((IF(DATOS_[[Sexo]:[Sexo]]=$B61,IF(DATOS_[[AGRUP. CLAS. PROF.]:[AGRUP. CLAS. PROF.]]=$B60,IF(DATOS_[[Check Periodo Ref.]:[Check Periodo Ref.]]="Dentro",DATOS_[Conc.Sal.25]))))),
0)</f>
        <v>0</v>
      </c>
      <c r="AE61" s="170">
        <f t="array" ref="AE61">IFERROR(
AVERAGE((IF(DATOS_[[Sexo]:[Sexo]]=$B61,IF(DATOS_[[AGRUP. CLAS. PROF.]:[AGRUP. CLAS. PROF.]]=$B60,IF(DATOS_[[Check Periodo Ref.]:[Check Periodo Ref.]]="Dentro",DATOS_[Conc.Sal.26]))))),
0)</f>
        <v>0</v>
      </c>
      <c r="AF61" s="170">
        <f t="array" ref="AF61">IFERROR(
AVERAGE((IF(DATOS_[[Sexo]:[Sexo]]=$B61,IF(DATOS_[[AGRUP. CLAS. PROF.]:[AGRUP. CLAS. PROF.]]=$B60,IF(DATOS_[[Check Periodo Ref.]:[Check Periodo Ref.]]="Dentro",DATOS_[Conc.Sal.27]))))),
0)</f>
        <v>0</v>
      </c>
      <c r="AG61" s="170">
        <f t="array" ref="AG61">IFERROR(
AVERAGE((IF(DATOS_[[Sexo]:[Sexo]]=$B61,IF(DATOS_[[AGRUP. CLAS. PROF.]:[AGRUP. CLAS. PROF.]]=$B60,IF(DATOS_[[Check Periodo Ref.]:[Check Periodo Ref.]]="Dentro",DATOS_[Conc.Sal.28]))))),
0)</f>
        <v>0</v>
      </c>
      <c r="AH61" s="170">
        <f t="array" ref="AH61">IFERROR(
AVERAGE((IF(DATOS_[[Sexo]:[Sexo]]=$B61,IF(DATOS_[[AGRUP. CLAS. PROF.]:[AGRUP. CLAS. PROF.]]=$B60,IF(DATOS_[[Check Periodo Ref.]:[Check Periodo Ref.]]="Dentro",DATOS_[Conc.Sal.29]))))),
0)</f>
        <v>0</v>
      </c>
      <c r="AI61" s="170">
        <f t="array" ref="AI61">IFERROR(
AVERAGE((IF(DATOS_[[Sexo]:[Sexo]]=$B61,IF(DATOS_[[AGRUP. CLAS. PROF.]:[AGRUP. CLAS. PROF.]]=$B60,IF(DATOS_[[Check Periodo Ref.]:[Check Periodo Ref.]]="Dentro",DATOS_[Conc.Sal.30]))))),
0)</f>
        <v>0</v>
      </c>
      <c r="AJ61" s="171">
        <f t="array" ref="AJ61">IFERROR(
AVERAGE(IF(DATOS_[Sexo]=$B61,IF(DATOS_[AGRUP. CLAS. PROF.]=$B60,IF(DATOS_[Check Periodo Ref.]="Dentro",DATOS_[Tot COMPL.SAL Ef],FALSE)))),
0)</f>
        <v>0</v>
      </c>
      <c r="AK61" s="172">
        <f t="array" ref="AK61">IFERROR(
AVERAGE(IF(DATOS_[Sexo]=$B61,IF(DATOS_[AGRUP. CLAS. PROF.]=$B60,IF(DATOS_[Check Periodo Ref.]="Dentro",DATOS_[TOTAL SALARIO Ef],FALSE)))),
0)</f>
        <v>0</v>
      </c>
      <c r="AL61" s="173">
        <f t="array" ref="AL61">IFERROR(
AVERAGE((IF(DATOS_[[Sexo]:[Sexo]]=$B61,IF(DATOS_[[AGRUP. CLAS. PROF.]:[AGRUP. CLAS. PROF.]]=$B60,IF(DATOS_[[Check Periodo Ref.]:[Check Periodo Ref.]]="Dentro",DATOS_[C.Extra.01]))))),
0)</f>
        <v>0</v>
      </c>
      <c r="AM61" s="173">
        <f t="array" ref="AM61">IFERROR(
AVERAGE((IF(DATOS_[[Sexo]:[Sexo]]=$B61,IF(DATOS_[[AGRUP. CLAS. PROF.]:[AGRUP. CLAS. PROF.]]=$B60,IF(DATOS_[[Check Periodo Ref.]:[Check Periodo Ref.]]="Dentro",DATOS_[C.Extra.06]))))),
0)</f>
        <v>0</v>
      </c>
      <c r="AN61" s="173">
        <f t="array" ref="AN61">IFERROR(
AVERAGE((IF(DATOS_[[Sexo]:[Sexo]]=$B61,IF(DATOS_[[AGRUP. CLAS. PROF.]:[AGRUP. CLAS. PROF.]]=$B60,IF(DATOS_[[Check Periodo Ref.]:[Check Periodo Ref.]]="Dentro",DATOS_[C.Extra.07]))))),
0)</f>
        <v>0</v>
      </c>
      <c r="AO61" s="173">
        <f t="array" ref="AO61">IFERROR(
AVERAGE((IF(DATOS_[[Sexo]:[Sexo]]=$B61,IF(DATOS_[[AGRUP. CLAS. PROF.]:[AGRUP. CLAS. PROF.]]=$B60,IF(DATOS_[[Check Periodo Ref.]:[Check Periodo Ref.]]="Dentro",DATOS_[C.Extra.08]))))),
0)</f>
        <v>0</v>
      </c>
      <c r="AP61" s="173">
        <f t="array" ref="AP61">IFERROR(
AVERAGE((IF(DATOS_[[Sexo]:[Sexo]]=$B61,IF(DATOS_[[AGRUP. CLAS. PROF.]:[AGRUP. CLAS. PROF.]]=$B60,IF(DATOS_[[Check Periodo Ref.]:[Check Periodo Ref.]]="Dentro",DATOS_[C.Extra.11]))))),
0)</f>
        <v>0</v>
      </c>
      <c r="AQ61" s="174">
        <f t="array" ref="AQ61">IFERROR(
AVERAGE(IF(DATOS_[Sexo]=$B61,IF(DATOS_[AGRUP. CLAS. PROF.]=$B60,IF(DATOS_[Check Periodo Ref.]="Dentro",DATOS_[Tot Extrasalarial Ef],FALSE)))),
0)</f>
        <v>0</v>
      </c>
      <c r="AR61" s="171">
        <f t="array" ref="AR61">IFERROR(
AVERAGE(IF(DATOS_[Sexo]=$B61,IF(DATOS_[AGRUP. CLAS. PROF.]=$B60,IF(DATOS_[Check Periodo Ref.]="Dentro",DATOS_[TOTAL Retrib Ef],FALSE)))),
0)</f>
        <v>0</v>
      </c>
    </row>
    <row r="62" spans="1:44" x14ac:dyDescent="0.25">
      <c r="A62" s="135" t="str">
        <f t="shared" ref="A62" si="66">+A61</f>
        <v>[ocultar]</v>
      </c>
      <c r="B62" s="166" t="s">
        <v>521</v>
      </c>
      <c r="C62" s="167">
        <f t="array" ref="C62">SUM(IF($B62=DATOS_[Sexo],
IF($B60=DATOS_[AGRUP. CLAS. PROF.],
IF("Dentro"=DATOS_[Check Periodo Ref.],
1/(COUNTIFS(DATOS_[Sexo],$B62,DATOS_[AGRUP. CLAS. PROF.],$B60,DATOS_[Check Periodo Ref.],"Dentro",DATOS_[id/cod],DATOS_[id/cod]))))))</f>
        <v>0</v>
      </c>
      <c r="D62" s="168">
        <f>COUNTIFS(DATOS_[AGRUP. CLAS. PROF.],$B60,DATOS_[Sexo],$B62,DATOS_[Check Periodo Ref.],"Dentro")</f>
        <v>0</v>
      </c>
      <c r="E62" s="169">
        <f t="array" ref="E62">IFERROR(
AVERAGE(IF(DATOS_[Sexo]=$B62,IF(DATOS_[AGRUP. CLAS. PROF.]=$B60,IF(DATOS_[Check Periodo Ref.]="Dentro",DATOS_[SALARIO BASE Ef],FALSE)))),
0)</f>
        <v>0</v>
      </c>
      <c r="F62" s="170">
        <f t="array" ref="F62">IFERROR(
AVERAGE((IF(DATOS_[[Sexo]:[Sexo]]=$B62,IF(DATOS_[[AGRUP. CLAS. PROF.]:[AGRUP. CLAS. PROF.]]=$B60,IF(DATOS_[[Check Periodo Ref.]:[Check Periodo Ref.]]="Dentro",DATOS_[Conc.Sal.01]))))),
0)</f>
        <v>0</v>
      </c>
      <c r="G62" s="170">
        <f t="array" ref="G62">IFERROR(
AVERAGE((IF(DATOS_[[Sexo]:[Sexo]]=$B62,IF(DATOS_[[AGRUP. CLAS. PROF.]:[AGRUP. CLAS. PROF.]]=$B60,IF(DATOS_[[Check Periodo Ref.]:[Check Periodo Ref.]]="Dentro",DATOS_[Conc.Sal.02]))))),
0)</f>
        <v>0</v>
      </c>
      <c r="H62" s="170">
        <f t="array" ref="H62">IFERROR(
AVERAGE((IF(DATOS_[[Sexo]:[Sexo]]=$B62,IF(DATOS_[[AGRUP. CLAS. PROF.]:[AGRUP. CLAS. PROF.]]=$B60,IF(DATOS_[[Check Periodo Ref.]:[Check Periodo Ref.]]="Dentro",DATOS_[Conc.Sal.03]))))),
0)</f>
        <v>0</v>
      </c>
      <c r="I62" s="170">
        <f t="array" ref="I62">IFERROR(
AVERAGE((IF(DATOS_[[Sexo]:[Sexo]]=$B62,IF(DATOS_[[AGRUP. CLAS. PROF.]:[AGRUP. CLAS. PROF.]]=$B60,IF(DATOS_[[Check Periodo Ref.]:[Check Periodo Ref.]]="Dentro",DATOS_[Conc.Sal.04]))))),
0)</f>
        <v>0</v>
      </c>
      <c r="J62" s="170">
        <f t="array" ref="J62">IFERROR(
AVERAGE((IF(DATOS_[[Sexo]:[Sexo]]=$B62,IF(DATOS_[[AGRUP. CLAS. PROF.]:[AGRUP. CLAS. PROF.]]=$B60,IF(DATOS_[[Check Periodo Ref.]:[Check Periodo Ref.]]="Dentro",DATOS_[Conc.Sal.05]))))),
0)</f>
        <v>0</v>
      </c>
      <c r="K62" s="170">
        <f t="array" ref="K62">IFERROR(
AVERAGE((IF(DATOS_[[Sexo]:[Sexo]]=$B62,IF(DATOS_[[AGRUP. CLAS. PROF.]:[AGRUP. CLAS. PROF.]]=$B60,IF(DATOS_[[Check Periodo Ref.]:[Check Periodo Ref.]]="Dentro",DATOS_[Conc.Sal.06]))))),
0)</f>
        <v>0</v>
      </c>
      <c r="L62" s="170">
        <f t="array" ref="L62">IFERROR(
AVERAGE((IF(DATOS_[[Sexo]:[Sexo]]=$B62,IF(DATOS_[[AGRUP. CLAS. PROF.]:[AGRUP. CLAS. PROF.]]=$B60,IF(DATOS_[[Check Periodo Ref.]:[Check Periodo Ref.]]="Dentro",DATOS_[Conc.Sal.07]))))),
0)</f>
        <v>0</v>
      </c>
      <c r="M62" s="170">
        <f t="array" ref="M62">IFERROR(
AVERAGE((IF(DATOS_[[Sexo]:[Sexo]]=$B62,IF(DATOS_[[AGRUP. CLAS. PROF.]:[AGRUP. CLAS. PROF.]]=$B60,IF(DATOS_[[Check Periodo Ref.]:[Check Periodo Ref.]]="Dentro",DATOS_[Conc.Sal.08]))))),
0)</f>
        <v>0</v>
      </c>
      <c r="N62" s="170">
        <f t="array" ref="N62">IFERROR(
AVERAGE((IF(DATOS_[[Sexo]:[Sexo]]=$B62,IF(DATOS_[[AGRUP. CLAS. PROF.]:[AGRUP. CLAS. PROF.]]=$B60,IF(DATOS_[[Check Periodo Ref.]:[Check Periodo Ref.]]="Dentro",DATOS_[Conc.Sal.09]))))),
0)</f>
        <v>0</v>
      </c>
      <c r="O62" s="170">
        <f t="array" ref="O62">IFERROR(
AVERAGE((IF(DATOS_[[Sexo]:[Sexo]]=$B62,IF(DATOS_[[AGRUP. CLAS. PROF.]:[AGRUP. CLAS. PROF.]]=$B60,IF(DATOS_[[Check Periodo Ref.]:[Check Periodo Ref.]]="Dentro",DATOS_[Conc.Sal.10]))))),
0)</f>
        <v>0</v>
      </c>
      <c r="P62" s="170">
        <f t="array" ref="P62">IFERROR(
AVERAGE((IF(DATOS_[[Sexo]:[Sexo]]=$B62,IF(DATOS_[[AGRUP. CLAS. PROF.]:[AGRUP. CLAS. PROF.]]=$B60,IF(DATOS_[[Check Periodo Ref.]:[Check Periodo Ref.]]="Dentro",DATOS_[Conc.Sal.11]))))),
0)</f>
        <v>0</v>
      </c>
      <c r="Q62" s="170">
        <f t="array" ref="Q62">IFERROR(
AVERAGE((IF(DATOS_[[Sexo]:[Sexo]]=$B62,IF(DATOS_[[AGRUP. CLAS. PROF.]:[AGRUP. CLAS. PROF.]]=$B60,IF(DATOS_[[Check Periodo Ref.]:[Check Periodo Ref.]]="Dentro",DATOS_[Conc.Sal.12]))))),
0)</f>
        <v>0</v>
      </c>
      <c r="R62" s="170">
        <f t="array" ref="R62">IFERROR(
AVERAGE((IF(DATOS_[[Sexo]:[Sexo]]=$B62,IF(DATOS_[[AGRUP. CLAS. PROF.]:[AGRUP. CLAS. PROF.]]=$B60,IF(DATOS_[[Check Periodo Ref.]:[Check Periodo Ref.]]="Dentro",DATOS_[Conc.Sal.13]))))),
0)</f>
        <v>0</v>
      </c>
      <c r="S62" s="170">
        <f t="array" ref="S62">IFERROR(
AVERAGE((IF(DATOS_[[Sexo]:[Sexo]]=$B62,IF(DATOS_[[AGRUP. CLAS. PROF.]:[AGRUP. CLAS. PROF.]]=$B60,IF(DATOS_[[Check Periodo Ref.]:[Check Periodo Ref.]]="Dentro",DATOS_[Conc.Sal.14]))))),
0)</f>
        <v>0</v>
      </c>
      <c r="T62" s="170">
        <f t="array" ref="T62">IFERROR(
AVERAGE((IF(DATOS_[[Sexo]:[Sexo]]=$B62,IF(DATOS_[[AGRUP. CLAS. PROF.]:[AGRUP. CLAS. PROF.]]=$B60,IF(DATOS_[[Check Periodo Ref.]:[Check Periodo Ref.]]="Dentro",DATOS_[Conc.Sal.15]))))),
0)</f>
        <v>0</v>
      </c>
      <c r="U62" s="170">
        <f t="array" ref="U62">IFERROR(
AVERAGE((IF(DATOS_[[Sexo]:[Sexo]]=$B62,IF(DATOS_[[AGRUP. CLAS. PROF.]:[AGRUP. CLAS. PROF.]]=$B60,IF(DATOS_[[Check Periodo Ref.]:[Check Periodo Ref.]]="Dentro",DATOS_[Conc.Sal.16]))))),
0)</f>
        <v>0</v>
      </c>
      <c r="V62" s="170">
        <f t="array" ref="V62">IFERROR(
AVERAGE((IF(DATOS_[[Sexo]:[Sexo]]=$B62,IF(DATOS_[[AGRUP. CLAS. PROF.]:[AGRUP. CLAS. PROF.]]=$B60,IF(DATOS_[[Check Periodo Ref.]:[Check Periodo Ref.]]="Dentro",DATOS_[Conc.Sal.17]))))),
0)</f>
        <v>0</v>
      </c>
      <c r="W62" s="170">
        <f t="array" ref="W62">IFERROR(
AVERAGE((IF(DATOS_[[Sexo]:[Sexo]]=$B62,IF(DATOS_[[AGRUP. CLAS. PROF.]:[AGRUP. CLAS. PROF.]]=$B60,IF(DATOS_[[Check Periodo Ref.]:[Check Periodo Ref.]]="Dentro",DATOS_[Conc.Sal.18]))))),
0)</f>
        <v>0</v>
      </c>
      <c r="X62" s="170">
        <f t="array" ref="X62">IFERROR(
AVERAGE((IF(DATOS_[[Sexo]:[Sexo]]=$B62,IF(DATOS_[[AGRUP. CLAS. PROF.]:[AGRUP. CLAS. PROF.]]=$B60,IF(DATOS_[[Check Periodo Ref.]:[Check Periodo Ref.]]="Dentro",DATOS_[Conc.Sal.19]))))),
0)</f>
        <v>0</v>
      </c>
      <c r="Y62" s="170">
        <f t="array" ref="Y62">IFERROR(
AVERAGE((IF(DATOS_[[Sexo]:[Sexo]]=$B62,IF(DATOS_[[AGRUP. CLAS. PROF.]:[AGRUP. CLAS. PROF.]]=$B60,IF(DATOS_[[Check Periodo Ref.]:[Check Periodo Ref.]]="Dentro",DATOS_[Conc.Sal.20]))))),
0)</f>
        <v>0</v>
      </c>
      <c r="Z62" s="170">
        <f t="array" ref="Z62">IFERROR(
AVERAGE((IF(DATOS_[[Sexo]:[Sexo]]=$B62,IF(DATOS_[[AGRUP. CLAS. PROF.]:[AGRUP. CLAS. PROF.]]=$B60,IF(DATOS_[[Check Periodo Ref.]:[Check Periodo Ref.]]="Dentro",DATOS_[Conc.Sal.21]))))),
0)</f>
        <v>0</v>
      </c>
      <c r="AA62" s="170">
        <f t="array" ref="AA62">IFERROR(
AVERAGE((IF(DATOS_[[Sexo]:[Sexo]]=$B62,IF(DATOS_[[AGRUP. CLAS. PROF.]:[AGRUP. CLAS. PROF.]]=$B60,IF(DATOS_[[Check Periodo Ref.]:[Check Periodo Ref.]]="Dentro",DATOS_[Conc.Sal.22]))))),
0)</f>
        <v>0</v>
      </c>
      <c r="AB62" s="170">
        <f t="array" ref="AB62">IFERROR(
AVERAGE((IF(DATOS_[[Sexo]:[Sexo]]=$B62,IF(DATOS_[[AGRUP. CLAS. PROF.]:[AGRUP. CLAS. PROF.]]=$B60,IF(DATOS_[[Check Periodo Ref.]:[Check Periodo Ref.]]="Dentro",DATOS_[Conc.Sal.23]))))),
0)</f>
        <v>0</v>
      </c>
      <c r="AC62" s="170">
        <f t="array" ref="AC62">IFERROR(
AVERAGE((IF(DATOS_[[Sexo]:[Sexo]]=$B62,IF(DATOS_[[AGRUP. CLAS. PROF.]:[AGRUP. CLAS. PROF.]]=$B60,IF(DATOS_[[Check Periodo Ref.]:[Check Periodo Ref.]]="Dentro",DATOS_[Conc.Sal.24]))))),
0)</f>
        <v>0</v>
      </c>
      <c r="AD62" s="170">
        <f t="array" ref="AD62">IFERROR(
AVERAGE((IF(DATOS_[[Sexo]:[Sexo]]=$B62,IF(DATOS_[[AGRUP. CLAS. PROF.]:[AGRUP. CLAS. PROF.]]=$B60,IF(DATOS_[[Check Periodo Ref.]:[Check Periodo Ref.]]="Dentro",DATOS_[Conc.Sal.25]))))),
0)</f>
        <v>0</v>
      </c>
      <c r="AE62" s="170">
        <f t="array" ref="AE62">IFERROR(
AVERAGE((IF(DATOS_[[Sexo]:[Sexo]]=$B62,IF(DATOS_[[AGRUP. CLAS. PROF.]:[AGRUP. CLAS. PROF.]]=$B60,IF(DATOS_[[Check Periodo Ref.]:[Check Periodo Ref.]]="Dentro",DATOS_[Conc.Sal.26]))))),
0)</f>
        <v>0</v>
      </c>
      <c r="AF62" s="170">
        <f t="array" ref="AF62">IFERROR(
AVERAGE((IF(DATOS_[[Sexo]:[Sexo]]=$B62,IF(DATOS_[[AGRUP. CLAS. PROF.]:[AGRUP. CLAS. PROF.]]=$B60,IF(DATOS_[[Check Periodo Ref.]:[Check Periodo Ref.]]="Dentro",DATOS_[Conc.Sal.27]))))),
0)</f>
        <v>0</v>
      </c>
      <c r="AG62" s="170">
        <f t="array" ref="AG62">IFERROR(
AVERAGE((IF(DATOS_[[Sexo]:[Sexo]]=$B62,IF(DATOS_[[AGRUP. CLAS. PROF.]:[AGRUP. CLAS. PROF.]]=$B60,IF(DATOS_[[Check Periodo Ref.]:[Check Periodo Ref.]]="Dentro",DATOS_[Conc.Sal.28]))))),
0)</f>
        <v>0</v>
      </c>
      <c r="AH62" s="170">
        <f t="array" ref="AH62">IFERROR(
AVERAGE((IF(DATOS_[[Sexo]:[Sexo]]=$B62,IF(DATOS_[[AGRUP. CLAS. PROF.]:[AGRUP. CLAS. PROF.]]=$B60,IF(DATOS_[[Check Periodo Ref.]:[Check Periodo Ref.]]="Dentro",DATOS_[Conc.Sal.29]))))),
0)</f>
        <v>0</v>
      </c>
      <c r="AI62" s="170">
        <f t="array" ref="AI62">IFERROR(
AVERAGE((IF(DATOS_[[Sexo]:[Sexo]]=$B62,IF(DATOS_[[AGRUP. CLAS. PROF.]:[AGRUP. CLAS. PROF.]]=$B60,IF(DATOS_[[Check Periodo Ref.]:[Check Periodo Ref.]]="Dentro",DATOS_[Conc.Sal.30]))))),
0)</f>
        <v>0</v>
      </c>
      <c r="AJ62" s="171">
        <f t="array" ref="AJ62">IFERROR(
AVERAGE(IF(DATOS_[Sexo]=$B62,IF(DATOS_[AGRUP. CLAS. PROF.]=$B60,IF(DATOS_[Check Periodo Ref.]="Dentro",DATOS_[Tot COMPL.SAL Ef],FALSE)))),
0)</f>
        <v>0</v>
      </c>
      <c r="AK62" s="172">
        <f t="array" ref="AK62">IFERROR(
AVERAGE(IF(DATOS_[Sexo]=$B62,IF(DATOS_[AGRUP. CLAS. PROF.]=$B60,IF(DATOS_[Check Periodo Ref.]="Dentro",DATOS_[TOTAL SALARIO Ef],FALSE)))),
0)</f>
        <v>0</v>
      </c>
      <c r="AL62" s="173">
        <f t="array" ref="AL62">IFERROR(
AVERAGE((IF(DATOS_[[Sexo]:[Sexo]]=$B62,IF(DATOS_[[AGRUP. CLAS. PROF.]:[AGRUP. CLAS. PROF.]]=$B60,IF(DATOS_[[Check Periodo Ref.]:[Check Periodo Ref.]]="Dentro",DATOS_[C.Extra.01]))))),
0)</f>
        <v>0</v>
      </c>
      <c r="AM62" s="173">
        <f t="array" ref="AM62">IFERROR(
AVERAGE((IF(DATOS_[[Sexo]:[Sexo]]=$B62,IF(DATOS_[[AGRUP. CLAS. PROF.]:[AGRUP. CLAS. PROF.]]=$B60,IF(DATOS_[[Check Periodo Ref.]:[Check Periodo Ref.]]="Dentro",DATOS_[C.Extra.06]))))),
0)</f>
        <v>0</v>
      </c>
      <c r="AN62" s="173">
        <f t="array" ref="AN62">IFERROR(
AVERAGE((IF(DATOS_[[Sexo]:[Sexo]]=$B62,IF(DATOS_[[AGRUP. CLAS. PROF.]:[AGRUP. CLAS. PROF.]]=$B60,IF(DATOS_[[Check Periodo Ref.]:[Check Periodo Ref.]]="Dentro",DATOS_[C.Extra.07]))))),
0)</f>
        <v>0</v>
      </c>
      <c r="AO62" s="173">
        <f t="array" ref="AO62">IFERROR(
AVERAGE((IF(DATOS_[[Sexo]:[Sexo]]=$B62,IF(DATOS_[[AGRUP. CLAS. PROF.]:[AGRUP. CLAS. PROF.]]=$B60,IF(DATOS_[[Check Periodo Ref.]:[Check Periodo Ref.]]="Dentro",DATOS_[C.Extra.08]))))),
0)</f>
        <v>0</v>
      </c>
      <c r="AP62" s="173">
        <f t="array" ref="AP62">IFERROR(
AVERAGE((IF(DATOS_[[Sexo]:[Sexo]]=$B62,IF(DATOS_[[AGRUP. CLAS. PROF.]:[AGRUP. CLAS. PROF.]]=$B60,IF(DATOS_[[Check Periodo Ref.]:[Check Periodo Ref.]]="Dentro",DATOS_[C.Extra.11]))))),
0)</f>
        <v>0</v>
      </c>
      <c r="AQ62" s="174">
        <f t="array" ref="AQ62">IFERROR(
AVERAGE(IF(DATOS_[Sexo]=$B62,IF(DATOS_[AGRUP. CLAS. PROF.]=$B60,IF(DATOS_[Check Periodo Ref.]="Dentro",DATOS_[Tot Extrasalarial Ef],FALSE)))),
0)</f>
        <v>0</v>
      </c>
      <c r="AR62" s="171">
        <f t="array" ref="AR62">IFERROR(
AVERAGE(IF(DATOS_[Sexo]=$B62,IF(DATOS_[AGRUP. CLAS. PROF.]=$B60,IF(DATOS_[Check Periodo Ref.]="Dentro",DATOS_[TOTAL Retrib Ef],FALSE)))),
0)</f>
        <v>0</v>
      </c>
    </row>
    <row r="63" spans="1:44" s="152" customFormat="1" ht="14.4" thickBot="1" x14ac:dyDescent="0.3">
      <c r="A63" s="135" t="str">
        <f t="shared" ref="A63" si="67">+A64</f>
        <v>[ocultar]</v>
      </c>
      <c r="B63" s="153" t="s">
        <v>243</v>
      </c>
      <c r="C63" s="154"/>
      <c r="D63" s="155"/>
      <c r="E63" s="156" t="str">
        <f t="shared" ref="E63:AR63" si="68">IFERROR((E64-E65)/E64,"")</f>
        <v/>
      </c>
      <c r="F63" s="157" t="str">
        <f t="shared" si="68"/>
        <v/>
      </c>
      <c r="G63" s="158" t="str">
        <f t="shared" si="68"/>
        <v/>
      </c>
      <c r="H63" s="158" t="str">
        <f t="shared" si="68"/>
        <v/>
      </c>
      <c r="I63" s="158" t="str">
        <f t="shared" si="68"/>
        <v/>
      </c>
      <c r="J63" s="159" t="str">
        <f t="shared" si="68"/>
        <v/>
      </c>
      <c r="K63" s="160" t="str">
        <f t="shared" si="68"/>
        <v/>
      </c>
      <c r="L63" s="160" t="str">
        <f t="shared" si="68"/>
        <v/>
      </c>
      <c r="M63" s="160" t="str">
        <f t="shared" si="68"/>
        <v/>
      </c>
      <c r="N63" s="160" t="str">
        <f t="shared" si="68"/>
        <v/>
      </c>
      <c r="O63" s="160" t="str">
        <f t="shared" si="68"/>
        <v/>
      </c>
      <c r="P63" s="160" t="str">
        <f t="shared" si="68"/>
        <v/>
      </c>
      <c r="Q63" s="160" t="str">
        <f t="shared" si="68"/>
        <v/>
      </c>
      <c r="R63" s="160" t="str">
        <f t="shared" si="68"/>
        <v/>
      </c>
      <c r="S63" s="160" t="str">
        <f t="shared" si="68"/>
        <v/>
      </c>
      <c r="T63" s="160" t="str">
        <f t="shared" si="68"/>
        <v/>
      </c>
      <c r="U63" s="160" t="str">
        <f t="shared" si="68"/>
        <v/>
      </c>
      <c r="V63" s="159" t="str">
        <f t="shared" si="68"/>
        <v/>
      </c>
      <c r="W63" s="159" t="str">
        <f t="shared" si="68"/>
        <v/>
      </c>
      <c r="X63" s="159" t="str">
        <f t="shared" si="68"/>
        <v/>
      </c>
      <c r="Y63" s="159" t="str">
        <f t="shared" si="68"/>
        <v/>
      </c>
      <c r="Z63" s="159" t="str">
        <f t="shared" si="68"/>
        <v/>
      </c>
      <c r="AA63" s="159" t="str">
        <f t="shared" si="68"/>
        <v/>
      </c>
      <c r="AB63" s="159" t="str">
        <f t="shared" si="68"/>
        <v/>
      </c>
      <c r="AC63" s="159" t="str">
        <f t="shared" si="68"/>
        <v/>
      </c>
      <c r="AD63" s="159" t="str">
        <f t="shared" si="68"/>
        <v/>
      </c>
      <c r="AE63" s="159" t="str">
        <f t="shared" si="68"/>
        <v/>
      </c>
      <c r="AF63" s="159" t="str">
        <f t="shared" si="68"/>
        <v/>
      </c>
      <c r="AG63" s="159" t="str">
        <f t="shared" si="68"/>
        <v/>
      </c>
      <c r="AH63" s="159" t="str">
        <f t="shared" si="68"/>
        <v/>
      </c>
      <c r="AI63" s="159" t="str">
        <f t="shared" si="68"/>
        <v/>
      </c>
      <c r="AJ63" s="161" t="str">
        <f t="shared" si="68"/>
        <v/>
      </c>
      <c r="AK63" s="162" t="str">
        <f t="shared" si="68"/>
        <v/>
      </c>
      <c r="AL63" s="163" t="str">
        <f t="shared" si="68"/>
        <v/>
      </c>
      <c r="AM63" s="163" t="str">
        <f t="shared" si="68"/>
        <v/>
      </c>
      <c r="AN63" s="163" t="str">
        <f t="shared" si="68"/>
        <v/>
      </c>
      <c r="AO63" s="163" t="str">
        <f t="shared" si="68"/>
        <v/>
      </c>
      <c r="AP63" s="163" t="str">
        <f t="shared" si="68"/>
        <v/>
      </c>
      <c r="AQ63" s="164" t="str">
        <f t="shared" si="68"/>
        <v/>
      </c>
      <c r="AR63" s="161" t="str">
        <f t="shared" si="68"/>
        <v/>
      </c>
    </row>
    <row r="64" spans="1:44" x14ac:dyDescent="0.25">
      <c r="A64" s="135" t="str">
        <f t="shared" ref="A64" si="69">+IF(C64+C65=0,"[ocultar]","")</f>
        <v>[ocultar]</v>
      </c>
      <c r="B64" s="166" t="s">
        <v>394</v>
      </c>
      <c r="C64" s="167">
        <f t="array" ref="C64">SUM(IF($B64=DATOS_[Sexo],
IF($B63=DATOS_[AGRUP. CLAS. PROF.],
IF("Dentro"=DATOS_[Check Periodo Ref.],
1/(COUNTIFS(DATOS_[Sexo],$B64,DATOS_[AGRUP. CLAS. PROF.],$B63,DATOS_[Check Periodo Ref.],"Dentro",DATOS_[id/cod],DATOS_[id/cod]))))))</f>
        <v>0</v>
      </c>
      <c r="D64" s="168">
        <f>COUNTIFS(DATOS_[AGRUP. CLAS. PROF.],$B63,DATOS_[Sexo],$B64,DATOS_[Check Periodo Ref.],"Dentro")</f>
        <v>0</v>
      </c>
      <c r="E64" s="169">
        <f t="array" ref="E64">IFERROR(
AVERAGE(IF(DATOS_[Sexo]=$B64,IF(DATOS_[AGRUP. CLAS. PROF.]=$B63,IF(DATOS_[Check Periodo Ref.]="Dentro",DATOS_[SALARIO BASE Ef],FALSE)))),
0)</f>
        <v>0</v>
      </c>
      <c r="F64" s="170">
        <f t="array" ref="F64">IFERROR(
AVERAGE((IF(DATOS_[[Sexo]:[Sexo]]=$B64,IF(DATOS_[[AGRUP. CLAS. PROF.]:[AGRUP. CLAS. PROF.]]=$B63,IF(DATOS_[[Check Periodo Ref.]:[Check Periodo Ref.]]="Dentro",DATOS_[Conc.Sal.01]))))),
0)</f>
        <v>0</v>
      </c>
      <c r="G64" s="170">
        <f t="array" ref="G64">IFERROR(
AVERAGE((IF(DATOS_[[Sexo]:[Sexo]]=$B64,IF(DATOS_[[AGRUP. CLAS. PROF.]:[AGRUP. CLAS. PROF.]]=$B63,IF(DATOS_[[Check Periodo Ref.]:[Check Periodo Ref.]]="Dentro",DATOS_[Conc.Sal.02]))))),
0)</f>
        <v>0</v>
      </c>
      <c r="H64" s="170">
        <f t="array" ref="H64">IFERROR(
AVERAGE((IF(DATOS_[[Sexo]:[Sexo]]=$B64,IF(DATOS_[[AGRUP. CLAS. PROF.]:[AGRUP. CLAS. PROF.]]=$B63,IF(DATOS_[[Check Periodo Ref.]:[Check Periodo Ref.]]="Dentro",DATOS_[Conc.Sal.03]))))),
0)</f>
        <v>0</v>
      </c>
      <c r="I64" s="170">
        <f t="array" ref="I64">IFERROR(
AVERAGE((IF(DATOS_[[Sexo]:[Sexo]]=$B64,IF(DATOS_[[AGRUP. CLAS. PROF.]:[AGRUP. CLAS. PROF.]]=$B63,IF(DATOS_[[Check Periodo Ref.]:[Check Periodo Ref.]]="Dentro",DATOS_[Conc.Sal.04]))))),
0)</f>
        <v>0</v>
      </c>
      <c r="J64" s="170">
        <f t="array" ref="J64">IFERROR(
AVERAGE((IF(DATOS_[[Sexo]:[Sexo]]=$B64,IF(DATOS_[[AGRUP. CLAS. PROF.]:[AGRUP. CLAS. PROF.]]=$B63,IF(DATOS_[[Check Periodo Ref.]:[Check Periodo Ref.]]="Dentro",DATOS_[Conc.Sal.05]))))),
0)</f>
        <v>0</v>
      </c>
      <c r="K64" s="170">
        <f t="array" ref="K64">IFERROR(
AVERAGE((IF(DATOS_[[Sexo]:[Sexo]]=$B64,IF(DATOS_[[AGRUP. CLAS. PROF.]:[AGRUP. CLAS. PROF.]]=$B63,IF(DATOS_[[Check Periodo Ref.]:[Check Periodo Ref.]]="Dentro",DATOS_[Conc.Sal.06]))))),
0)</f>
        <v>0</v>
      </c>
      <c r="L64" s="170">
        <f t="array" ref="L64">IFERROR(
AVERAGE((IF(DATOS_[[Sexo]:[Sexo]]=$B64,IF(DATOS_[[AGRUP. CLAS. PROF.]:[AGRUP. CLAS. PROF.]]=$B63,IF(DATOS_[[Check Periodo Ref.]:[Check Periodo Ref.]]="Dentro",DATOS_[Conc.Sal.07]))))),
0)</f>
        <v>0</v>
      </c>
      <c r="M64" s="170">
        <f t="array" ref="M64">IFERROR(
AVERAGE((IF(DATOS_[[Sexo]:[Sexo]]=$B64,IF(DATOS_[[AGRUP. CLAS. PROF.]:[AGRUP. CLAS. PROF.]]=$B63,IF(DATOS_[[Check Periodo Ref.]:[Check Periodo Ref.]]="Dentro",DATOS_[Conc.Sal.08]))))),
0)</f>
        <v>0</v>
      </c>
      <c r="N64" s="170">
        <f t="array" ref="N64">IFERROR(
AVERAGE((IF(DATOS_[[Sexo]:[Sexo]]=$B64,IF(DATOS_[[AGRUP. CLAS. PROF.]:[AGRUP. CLAS. PROF.]]=$B63,IF(DATOS_[[Check Periodo Ref.]:[Check Periodo Ref.]]="Dentro",DATOS_[Conc.Sal.09]))))),
0)</f>
        <v>0</v>
      </c>
      <c r="O64" s="170">
        <f t="array" ref="O64">IFERROR(
AVERAGE((IF(DATOS_[[Sexo]:[Sexo]]=$B64,IF(DATOS_[[AGRUP. CLAS. PROF.]:[AGRUP. CLAS. PROF.]]=$B63,IF(DATOS_[[Check Periodo Ref.]:[Check Periodo Ref.]]="Dentro",DATOS_[Conc.Sal.10]))))),
0)</f>
        <v>0</v>
      </c>
      <c r="P64" s="170">
        <f t="array" ref="P64">IFERROR(
AVERAGE((IF(DATOS_[[Sexo]:[Sexo]]=$B64,IF(DATOS_[[AGRUP. CLAS. PROF.]:[AGRUP. CLAS. PROF.]]=$B63,IF(DATOS_[[Check Periodo Ref.]:[Check Periodo Ref.]]="Dentro",DATOS_[Conc.Sal.11]))))),
0)</f>
        <v>0</v>
      </c>
      <c r="Q64" s="170">
        <f t="array" ref="Q64">IFERROR(
AVERAGE((IF(DATOS_[[Sexo]:[Sexo]]=$B64,IF(DATOS_[[AGRUP. CLAS. PROF.]:[AGRUP. CLAS. PROF.]]=$B63,IF(DATOS_[[Check Periodo Ref.]:[Check Periodo Ref.]]="Dentro",DATOS_[Conc.Sal.12]))))),
0)</f>
        <v>0</v>
      </c>
      <c r="R64" s="170">
        <f t="array" ref="R64">IFERROR(
AVERAGE((IF(DATOS_[[Sexo]:[Sexo]]=$B64,IF(DATOS_[[AGRUP. CLAS. PROF.]:[AGRUP. CLAS. PROF.]]=$B63,IF(DATOS_[[Check Periodo Ref.]:[Check Periodo Ref.]]="Dentro",DATOS_[Conc.Sal.13]))))),
0)</f>
        <v>0</v>
      </c>
      <c r="S64" s="170">
        <f t="array" ref="S64">IFERROR(
AVERAGE((IF(DATOS_[[Sexo]:[Sexo]]=$B64,IF(DATOS_[[AGRUP. CLAS. PROF.]:[AGRUP. CLAS. PROF.]]=$B63,IF(DATOS_[[Check Periodo Ref.]:[Check Periodo Ref.]]="Dentro",DATOS_[Conc.Sal.14]))))),
0)</f>
        <v>0</v>
      </c>
      <c r="T64" s="170">
        <f t="array" ref="T64">IFERROR(
AVERAGE((IF(DATOS_[[Sexo]:[Sexo]]=$B64,IF(DATOS_[[AGRUP. CLAS. PROF.]:[AGRUP. CLAS. PROF.]]=$B63,IF(DATOS_[[Check Periodo Ref.]:[Check Periodo Ref.]]="Dentro",DATOS_[Conc.Sal.15]))))),
0)</f>
        <v>0</v>
      </c>
      <c r="U64" s="170">
        <f t="array" ref="U64">IFERROR(
AVERAGE((IF(DATOS_[[Sexo]:[Sexo]]=$B64,IF(DATOS_[[AGRUP. CLAS. PROF.]:[AGRUP. CLAS. PROF.]]=$B63,IF(DATOS_[[Check Periodo Ref.]:[Check Periodo Ref.]]="Dentro",DATOS_[Conc.Sal.16]))))),
0)</f>
        <v>0</v>
      </c>
      <c r="V64" s="170">
        <f t="array" ref="V64">IFERROR(
AVERAGE((IF(DATOS_[[Sexo]:[Sexo]]=$B64,IF(DATOS_[[AGRUP. CLAS. PROF.]:[AGRUP. CLAS. PROF.]]=$B63,IF(DATOS_[[Check Periodo Ref.]:[Check Periodo Ref.]]="Dentro",DATOS_[Conc.Sal.17]))))),
0)</f>
        <v>0</v>
      </c>
      <c r="W64" s="170">
        <f t="array" ref="W64">IFERROR(
AVERAGE((IF(DATOS_[[Sexo]:[Sexo]]=$B64,IF(DATOS_[[AGRUP. CLAS. PROF.]:[AGRUP. CLAS. PROF.]]=$B63,IF(DATOS_[[Check Periodo Ref.]:[Check Periodo Ref.]]="Dentro",DATOS_[Conc.Sal.18]))))),
0)</f>
        <v>0</v>
      </c>
      <c r="X64" s="170">
        <f t="array" ref="X64">IFERROR(
AVERAGE((IF(DATOS_[[Sexo]:[Sexo]]=$B64,IF(DATOS_[[AGRUP. CLAS. PROF.]:[AGRUP. CLAS. PROF.]]=$B63,IF(DATOS_[[Check Periodo Ref.]:[Check Periodo Ref.]]="Dentro",DATOS_[Conc.Sal.19]))))),
0)</f>
        <v>0</v>
      </c>
      <c r="Y64" s="170">
        <f t="array" ref="Y64">IFERROR(
AVERAGE((IF(DATOS_[[Sexo]:[Sexo]]=$B64,IF(DATOS_[[AGRUP. CLAS. PROF.]:[AGRUP. CLAS. PROF.]]=$B63,IF(DATOS_[[Check Periodo Ref.]:[Check Periodo Ref.]]="Dentro",DATOS_[Conc.Sal.20]))))),
0)</f>
        <v>0</v>
      </c>
      <c r="Z64" s="170">
        <f t="array" ref="Z64">IFERROR(
AVERAGE((IF(DATOS_[[Sexo]:[Sexo]]=$B64,IF(DATOS_[[AGRUP. CLAS. PROF.]:[AGRUP. CLAS. PROF.]]=$B63,IF(DATOS_[[Check Periodo Ref.]:[Check Periodo Ref.]]="Dentro",DATOS_[Conc.Sal.21]))))),
0)</f>
        <v>0</v>
      </c>
      <c r="AA64" s="170">
        <f t="array" ref="AA64">IFERROR(
AVERAGE((IF(DATOS_[[Sexo]:[Sexo]]=$B64,IF(DATOS_[[AGRUP. CLAS. PROF.]:[AGRUP. CLAS. PROF.]]=$B63,IF(DATOS_[[Check Periodo Ref.]:[Check Periodo Ref.]]="Dentro",DATOS_[Conc.Sal.22]))))),
0)</f>
        <v>0</v>
      </c>
      <c r="AB64" s="170">
        <f t="array" ref="AB64">IFERROR(
AVERAGE((IF(DATOS_[[Sexo]:[Sexo]]=$B64,IF(DATOS_[[AGRUP. CLAS. PROF.]:[AGRUP. CLAS. PROF.]]=$B63,IF(DATOS_[[Check Periodo Ref.]:[Check Periodo Ref.]]="Dentro",DATOS_[Conc.Sal.23]))))),
0)</f>
        <v>0</v>
      </c>
      <c r="AC64" s="170">
        <f t="array" ref="AC64">IFERROR(
AVERAGE((IF(DATOS_[[Sexo]:[Sexo]]=$B64,IF(DATOS_[[AGRUP. CLAS. PROF.]:[AGRUP. CLAS. PROF.]]=$B63,IF(DATOS_[[Check Periodo Ref.]:[Check Periodo Ref.]]="Dentro",DATOS_[Conc.Sal.24]))))),
0)</f>
        <v>0</v>
      </c>
      <c r="AD64" s="170">
        <f t="array" ref="AD64">IFERROR(
AVERAGE((IF(DATOS_[[Sexo]:[Sexo]]=$B64,IF(DATOS_[[AGRUP. CLAS. PROF.]:[AGRUP. CLAS. PROF.]]=$B63,IF(DATOS_[[Check Periodo Ref.]:[Check Periodo Ref.]]="Dentro",DATOS_[Conc.Sal.25]))))),
0)</f>
        <v>0</v>
      </c>
      <c r="AE64" s="170">
        <f t="array" ref="AE64">IFERROR(
AVERAGE((IF(DATOS_[[Sexo]:[Sexo]]=$B64,IF(DATOS_[[AGRUP. CLAS. PROF.]:[AGRUP. CLAS. PROF.]]=$B63,IF(DATOS_[[Check Periodo Ref.]:[Check Periodo Ref.]]="Dentro",DATOS_[Conc.Sal.26]))))),
0)</f>
        <v>0</v>
      </c>
      <c r="AF64" s="170">
        <f t="array" ref="AF64">IFERROR(
AVERAGE((IF(DATOS_[[Sexo]:[Sexo]]=$B64,IF(DATOS_[[AGRUP. CLAS. PROF.]:[AGRUP. CLAS. PROF.]]=$B63,IF(DATOS_[[Check Periodo Ref.]:[Check Periodo Ref.]]="Dentro",DATOS_[Conc.Sal.27]))))),
0)</f>
        <v>0</v>
      </c>
      <c r="AG64" s="170">
        <f t="array" ref="AG64">IFERROR(
AVERAGE((IF(DATOS_[[Sexo]:[Sexo]]=$B64,IF(DATOS_[[AGRUP. CLAS. PROF.]:[AGRUP. CLAS. PROF.]]=$B63,IF(DATOS_[[Check Periodo Ref.]:[Check Periodo Ref.]]="Dentro",DATOS_[Conc.Sal.28]))))),
0)</f>
        <v>0</v>
      </c>
      <c r="AH64" s="170">
        <f t="array" ref="AH64">IFERROR(
AVERAGE((IF(DATOS_[[Sexo]:[Sexo]]=$B64,IF(DATOS_[[AGRUP. CLAS. PROF.]:[AGRUP. CLAS. PROF.]]=$B63,IF(DATOS_[[Check Periodo Ref.]:[Check Periodo Ref.]]="Dentro",DATOS_[Conc.Sal.29]))))),
0)</f>
        <v>0</v>
      </c>
      <c r="AI64" s="170">
        <f t="array" ref="AI64">IFERROR(
AVERAGE((IF(DATOS_[[Sexo]:[Sexo]]=$B64,IF(DATOS_[[AGRUP. CLAS. PROF.]:[AGRUP. CLAS. PROF.]]=$B63,IF(DATOS_[[Check Periodo Ref.]:[Check Periodo Ref.]]="Dentro",DATOS_[Conc.Sal.30]))))),
0)</f>
        <v>0</v>
      </c>
      <c r="AJ64" s="171">
        <f t="array" ref="AJ64">IFERROR(
AVERAGE(IF(DATOS_[Sexo]=$B64,IF(DATOS_[AGRUP. CLAS. PROF.]=$B63,IF(DATOS_[Check Periodo Ref.]="Dentro",DATOS_[Tot COMPL.SAL Ef],FALSE)))),
0)</f>
        <v>0</v>
      </c>
      <c r="AK64" s="172">
        <f t="array" ref="AK64">IFERROR(
AVERAGE(IF(DATOS_[Sexo]=$B64,IF(DATOS_[AGRUP. CLAS. PROF.]=$B63,IF(DATOS_[Check Periodo Ref.]="Dentro",DATOS_[TOTAL SALARIO Ef],FALSE)))),
0)</f>
        <v>0</v>
      </c>
      <c r="AL64" s="173">
        <f t="array" ref="AL64">IFERROR(
AVERAGE((IF(DATOS_[[Sexo]:[Sexo]]=$B64,IF(DATOS_[[AGRUP. CLAS. PROF.]:[AGRUP. CLAS. PROF.]]=$B63,IF(DATOS_[[Check Periodo Ref.]:[Check Periodo Ref.]]="Dentro",DATOS_[C.Extra.01]))))),
0)</f>
        <v>0</v>
      </c>
      <c r="AM64" s="173">
        <f t="array" ref="AM64">IFERROR(
AVERAGE((IF(DATOS_[[Sexo]:[Sexo]]=$B64,IF(DATOS_[[AGRUP. CLAS. PROF.]:[AGRUP. CLAS. PROF.]]=$B63,IF(DATOS_[[Check Periodo Ref.]:[Check Periodo Ref.]]="Dentro",DATOS_[C.Extra.06]))))),
0)</f>
        <v>0</v>
      </c>
      <c r="AN64" s="173">
        <f t="array" ref="AN64">IFERROR(
AVERAGE((IF(DATOS_[[Sexo]:[Sexo]]=$B64,IF(DATOS_[[AGRUP. CLAS. PROF.]:[AGRUP. CLAS. PROF.]]=$B63,IF(DATOS_[[Check Periodo Ref.]:[Check Periodo Ref.]]="Dentro",DATOS_[C.Extra.07]))))),
0)</f>
        <v>0</v>
      </c>
      <c r="AO64" s="173">
        <f t="array" ref="AO64">IFERROR(
AVERAGE((IF(DATOS_[[Sexo]:[Sexo]]=$B64,IF(DATOS_[[AGRUP. CLAS. PROF.]:[AGRUP. CLAS. PROF.]]=$B63,IF(DATOS_[[Check Periodo Ref.]:[Check Periodo Ref.]]="Dentro",DATOS_[C.Extra.08]))))),
0)</f>
        <v>0</v>
      </c>
      <c r="AP64" s="173">
        <f t="array" ref="AP64">IFERROR(
AVERAGE((IF(DATOS_[[Sexo]:[Sexo]]=$B64,IF(DATOS_[[AGRUP. CLAS. PROF.]:[AGRUP. CLAS. PROF.]]=$B63,IF(DATOS_[[Check Periodo Ref.]:[Check Periodo Ref.]]="Dentro",DATOS_[C.Extra.11]))))),
0)</f>
        <v>0</v>
      </c>
      <c r="AQ64" s="174">
        <f t="array" ref="AQ64">IFERROR(
AVERAGE(IF(DATOS_[Sexo]=$B64,IF(DATOS_[AGRUP. CLAS. PROF.]=$B63,IF(DATOS_[Check Periodo Ref.]="Dentro",DATOS_[Tot Extrasalarial Ef],FALSE)))),
0)</f>
        <v>0</v>
      </c>
      <c r="AR64" s="171">
        <f t="array" ref="AR64">IFERROR(
AVERAGE(IF(DATOS_[Sexo]=$B64,IF(DATOS_[AGRUP. CLAS. PROF.]=$B63,IF(DATOS_[Check Periodo Ref.]="Dentro",DATOS_[TOTAL Retrib Ef],FALSE)))),
0)</f>
        <v>0</v>
      </c>
    </row>
    <row r="65" spans="1:44" x14ac:dyDescent="0.25">
      <c r="A65" s="135" t="str">
        <f t="shared" ref="A65" si="70">+A64</f>
        <v>[ocultar]</v>
      </c>
      <c r="B65" s="166" t="s">
        <v>521</v>
      </c>
      <c r="C65" s="167">
        <f t="array" ref="C65">SUM(IF($B65=DATOS_[Sexo],
IF($B63=DATOS_[AGRUP. CLAS. PROF.],
IF("Dentro"=DATOS_[Check Periodo Ref.],
1/(COUNTIFS(DATOS_[Sexo],$B65,DATOS_[AGRUP. CLAS. PROF.],$B63,DATOS_[Check Periodo Ref.],"Dentro",DATOS_[id/cod],DATOS_[id/cod]))))))</f>
        <v>0</v>
      </c>
      <c r="D65" s="168">
        <f>COUNTIFS(DATOS_[AGRUP. CLAS. PROF.],$B63,DATOS_[Sexo],$B65,DATOS_[Check Periodo Ref.],"Dentro")</f>
        <v>0</v>
      </c>
      <c r="E65" s="169">
        <f t="array" ref="E65">IFERROR(
AVERAGE(IF(DATOS_[Sexo]=$B65,IF(DATOS_[AGRUP. CLAS. PROF.]=$B63,IF(DATOS_[Check Periodo Ref.]="Dentro",DATOS_[SALARIO BASE Ef],FALSE)))),
0)</f>
        <v>0</v>
      </c>
      <c r="F65" s="170">
        <f t="array" ref="F65">IFERROR(
AVERAGE((IF(DATOS_[[Sexo]:[Sexo]]=$B65,IF(DATOS_[[AGRUP. CLAS. PROF.]:[AGRUP. CLAS. PROF.]]=$B63,IF(DATOS_[[Check Periodo Ref.]:[Check Periodo Ref.]]="Dentro",DATOS_[Conc.Sal.01]))))),
0)</f>
        <v>0</v>
      </c>
      <c r="G65" s="170">
        <f t="array" ref="G65">IFERROR(
AVERAGE((IF(DATOS_[[Sexo]:[Sexo]]=$B65,IF(DATOS_[[AGRUP. CLAS. PROF.]:[AGRUP. CLAS. PROF.]]=$B63,IF(DATOS_[[Check Periodo Ref.]:[Check Periodo Ref.]]="Dentro",DATOS_[Conc.Sal.02]))))),
0)</f>
        <v>0</v>
      </c>
      <c r="H65" s="170">
        <f t="array" ref="H65">IFERROR(
AVERAGE((IF(DATOS_[[Sexo]:[Sexo]]=$B65,IF(DATOS_[[AGRUP. CLAS. PROF.]:[AGRUP. CLAS. PROF.]]=$B63,IF(DATOS_[[Check Periodo Ref.]:[Check Periodo Ref.]]="Dentro",DATOS_[Conc.Sal.03]))))),
0)</f>
        <v>0</v>
      </c>
      <c r="I65" s="170">
        <f t="array" ref="I65">IFERROR(
AVERAGE((IF(DATOS_[[Sexo]:[Sexo]]=$B65,IF(DATOS_[[AGRUP. CLAS. PROF.]:[AGRUP. CLAS. PROF.]]=$B63,IF(DATOS_[[Check Periodo Ref.]:[Check Periodo Ref.]]="Dentro",DATOS_[Conc.Sal.04]))))),
0)</f>
        <v>0</v>
      </c>
      <c r="J65" s="170">
        <f t="array" ref="J65">IFERROR(
AVERAGE((IF(DATOS_[[Sexo]:[Sexo]]=$B65,IF(DATOS_[[AGRUP. CLAS. PROF.]:[AGRUP. CLAS. PROF.]]=$B63,IF(DATOS_[[Check Periodo Ref.]:[Check Periodo Ref.]]="Dentro",DATOS_[Conc.Sal.05]))))),
0)</f>
        <v>0</v>
      </c>
      <c r="K65" s="170">
        <f t="array" ref="K65">IFERROR(
AVERAGE((IF(DATOS_[[Sexo]:[Sexo]]=$B65,IF(DATOS_[[AGRUP. CLAS. PROF.]:[AGRUP. CLAS. PROF.]]=$B63,IF(DATOS_[[Check Periodo Ref.]:[Check Periodo Ref.]]="Dentro",DATOS_[Conc.Sal.06]))))),
0)</f>
        <v>0</v>
      </c>
      <c r="L65" s="170">
        <f t="array" ref="L65">IFERROR(
AVERAGE((IF(DATOS_[[Sexo]:[Sexo]]=$B65,IF(DATOS_[[AGRUP. CLAS. PROF.]:[AGRUP. CLAS. PROF.]]=$B63,IF(DATOS_[[Check Periodo Ref.]:[Check Periodo Ref.]]="Dentro",DATOS_[Conc.Sal.07]))))),
0)</f>
        <v>0</v>
      </c>
      <c r="M65" s="170">
        <f t="array" ref="M65">IFERROR(
AVERAGE((IF(DATOS_[[Sexo]:[Sexo]]=$B65,IF(DATOS_[[AGRUP. CLAS. PROF.]:[AGRUP. CLAS. PROF.]]=$B63,IF(DATOS_[[Check Periodo Ref.]:[Check Periodo Ref.]]="Dentro",DATOS_[Conc.Sal.08]))))),
0)</f>
        <v>0</v>
      </c>
      <c r="N65" s="170">
        <f t="array" ref="N65">IFERROR(
AVERAGE((IF(DATOS_[[Sexo]:[Sexo]]=$B65,IF(DATOS_[[AGRUP. CLAS. PROF.]:[AGRUP. CLAS. PROF.]]=$B63,IF(DATOS_[[Check Periodo Ref.]:[Check Periodo Ref.]]="Dentro",DATOS_[Conc.Sal.09]))))),
0)</f>
        <v>0</v>
      </c>
      <c r="O65" s="170">
        <f t="array" ref="O65">IFERROR(
AVERAGE((IF(DATOS_[[Sexo]:[Sexo]]=$B65,IF(DATOS_[[AGRUP. CLAS. PROF.]:[AGRUP. CLAS. PROF.]]=$B63,IF(DATOS_[[Check Periodo Ref.]:[Check Periodo Ref.]]="Dentro",DATOS_[Conc.Sal.10]))))),
0)</f>
        <v>0</v>
      </c>
      <c r="P65" s="170">
        <f t="array" ref="P65">IFERROR(
AVERAGE((IF(DATOS_[[Sexo]:[Sexo]]=$B65,IF(DATOS_[[AGRUP. CLAS. PROF.]:[AGRUP. CLAS. PROF.]]=$B63,IF(DATOS_[[Check Periodo Ref.]:[Check Periodo Ref.]]="Dentro",DATOS_[Conc.Sal.11]))))),
0)</f>
        <v>0</v>
      </c>
      <c r="Q65" s="170">
        <f t="array" ref="Q65">IFERROR(
AVERAGE((IF(DATOS_[[Sexo]:[Sexo]]=$B65,IF(DATOS_[[AGRUP. CLAS. PROF.]:[AGRUP. CLAS. PROF.]]=$B63,IF(DATOS_[[Check Periodo Ref.]:[Check Periodo Ref.]]="Dentro",DATOS_[Conc.Sal.12]))))),
0)</f>
        <v>0</v>
      </c>
      <c r="R65" s="170">
        <f t="array" ref="R65">IFERROR(
AVERAGE((IF(DATOS_[[Sexo]:[Sexo]]=$B65,IF(DATOS_[[AGRUP. CLAS. PROF.]:[AGRUP. CLAS. PROF.]]=$B63,IF(DATOS_[[Check Periodo Ref.]:[Check Periodo Ref.]]="Dentro",DATOS_[Conc.Sal.13]))))),
0)</f>
        <v>0</v>
      </c>
      <c r="S65" s="170">
        <f t="array" ref="S65">IFERROR(
AVERAGE((IF(DATOS_[[Sexo]:[Sexo]]=$B65,IF(DATOS_[[AGRUP. CLAS. PROF.]:[AGRUP. CLAS. PROF.]]=$B63,IF(DATOS_[[Check Periodo Ref.]:[Check Periodo Ref.]]="Dentro",DATOS_[Conc.Sal.14]))))),
0)</f>
        <v>0</v>
      </c>
      <c r="T65" s="170">
        <f t="array" ref="T65">IFERROR(
AVERAGE((IF(DATOS_[[Sexo]:[Sexo]]=$B65,IF(DATOS_[[AGRUP. CLAS. PROF.]:[AGRUP. CLAS. PROF.]]=$B63,IF(DATOS_[[Check Periodo Ref.]:[Check Periodo Ref.]]="Dentro",DATOS_[Conc.Sal.15]))))),
0)</f>
        <v>0</v>
      </c>
      <c r="U65" s="170">
        <f t="array" ref="U65">IFERROR(
AVERAGE((IF(DATOS_[[Sexo]:[Sexo]]=$B65,IF(DATOS_[[AGRUP. CLAS. PROF.]:[AGRUP. CLAS. PROF.]]=$B63,IF(DATOS_[[Check Periodo Ref.]:[Check Periodo Ref.]]="Dentro",DATOS_[Conc.Sal.16]))))),
0)</f>
        <v>0</v>
      </c>
      <c r="V65" s="170">
        <f t="array" ref="V65">IFERROR(
AVERAGE((IF(DATOS_[[Sexo]:[Sexo]]=$B65,IF(DATOS_[[AGRUP. CLAS. PROF.]:[AGRUP. CLAS. PROF.]]=$B63,IF(DATOS_[[Check Periodo Ref.]:[Check Periodo Ref.]]="Dentro",DATOS_[Conc.Sal.17]))))),
0)</f>
        <v>0</v>
      </c>
      <c r="W65" s="170">
        <f t="array" ref="W65">IFERROR(
AVERAGE((IF(DATOS_[[Sexo]:[Sexo]]=$B65,IF(DATOS_[[AGRUP. CLAS. PROF.]:[AGRUP. CLAS. PROF.]]=$B63,IF(DATOS_[[Check Periodo Ref.]:[Check Periodo Ref.]]="Dentro",DATOS_[Conc.Sal.18]))))),
0)</f>
        <v>0</v>
      </c>
      <c r="X65" s="170">
        <f t="array" ref="X65">IFERROR(
AVERAGE((IF(DATOS_[[Sexo]:[Sexo]]=$B65,IF(DATOS_[[AGRUP. CLAS. PROF.]:[AGRUP. CLAS. PROF.]]=$B63,IF(DATOS_[[Check Periodo Ref.]:[Check Periodo Ref.]]="Dentro",DATOS_[Conc.Sal.19]))))),
0)</f>
        <v>0</v>
      </c>
      <c r="Y65" s="170">
        <f t="array" ref="Y65">IFERROR(
AVERAGE((IF(DATOS_[[Sexo]:[Sexo]]=$B65,IF(DATOS_[[AGRUP. CLAS. PROF.]:[AGRUP. CLAS. PROF.]]=$B63,IF(DATOS_[[Check Periodo Ref.]:[Check Periodo Ref.]]="Dentro",DATOS_[Conc.Sal.20]))))),
0)</f>
        <v>0</v>
      </c>
      <c r="Z65" s="170">
        <f t="array" ref="Z65">IFERROR(
AVERAGE((IF(DATOS_[[Sexo]:[Sexo]]=$B65,IF(DATOS_[[AGRUP. CLAS. PROF.]:[AGRUP. CLAS. PROF.]]=$B63,IF(DATOS_[[Check Periodo Ref.]:[Check Periodo Ref.]]="Dentro",DATOS_[Conc.Sal.21]))))),
0)</f>
        <v>0</v>
      </c>
      <c r="AA65" s="170">
        <f t="array" ref="AA65">IFERROR(
AVERAGE((IF(DATOS_[[Sexo]:[Sexo]]=$B65,IF(DATOS_[[AGRUP. CLAS. PROF.]:[AGRUP. CLAS. PROF.]]=$B63,IF(DATOS_[[Check Periodo Ref.]:[Check Periodo Ref.]]="Dentro",DATOS_[Conc.Sal.22]))))),
0)</f>
        <v>0</v>
      </c>
      <c r="AB65" s="170">
        <f t="array" ref="AB65">IFERROR(
AVERAGE((IF(DATOS_[[Sexo]:[Sexo]]=$B65,IF(DATOS_[[AGRUP. CLAS. PROF.]:[AGRUP. CLAS. PROF.]]=$B63,IF(DATOS_[[Check Periodo Ref.]:[Check Periodo Ref.]]="Dentro",DATOS_[Conc.Sal.23]))))),
0)</f>
        <v>0</v>
      </c>
      <c r="AC65" s="170">
        <f t="array" ref="AC65">IFERROR(
AVERAGE((IF(DATOS_[[Sexo]:[Sexo]]=$B65,IF(DATOS_[[AGRUP. CLAS. PROF.]:[AGRUP. CLAS. PROF.]]=$B63,IF(DATOS_[[Check Periodo Ref.]:[Check Periodo Ref.]]="Dentro",DATOS_[Conc.Sal.24]))))),
0)</f>
        <v>0</v>
      </c>
      <c r="AD65" s="170">
        <f t="array" ref="AD65">IFERROR(
AVERAGE((IF(DATOS_[[Sexo]:[Sexo]]=$B65,IF(DATOS_[[AGRUP. CLAS. PROF.]:[AGRUP. CLAS. PROF.]]=$B63,IF(DATOS_[[Check Periodo Ref.]:[Check Periodo Ref.]]="Dentro",DATOS_[Conc.Sal.25]))))),
0)</f>
        <v>0</v>
      </c>
      <c r="AE65" s="170">
        <f t="array" ref="AE65">IFERROR(
AVERAGE((IF(DATOS_[[Sexo]:[Sexo]]=$B65,IF(DATOS_[[AGRUP. CLAS. PROF.]:[AGRUP. CLAS. PROF.]]=$B63,IF(DATOS_[[Check Periodo Ref.]:[Check Periodo Ref.]]="Dentro",DATOS_[Conc.Sal.26]))))),
0)</f>
        <v>0</v>
      </c>
      <c r="AF65" s="170">
        <f t="array" ref="AF65">IFERROR(
AVERAGE((IF(DATOS_[[Sexo]:[Sexo]]=$B65,IF(DATOS_[[AGRUP. CLAS. PROF.]:[AGRUP. CLAS. PROF.]]=$B63,IF(DATOS_[[Check Periodo Ref.]:[Check Periodo Ref.]]="Dentro",DATOS_[Conc.Sal.27]))))),
0)</f>
        <v>0</v>
      </c>
      <c r="AG65" s="170">
        <f t="array" ref="AG65">IFERROR(
AVERAGE((IF(DATOS_[[Sexo]:[Sexo]]=$B65,IF(DATOS_[[AGRUP. CLAS. PROF.]:[AGRUP. CLAS. PROF.]]=$B63,IF(DATOS_[[Check Periodo Ref.]:[Check Periodo Ref.]]="Dentro",DATOS_[Conc.Sal.28]))))),
0)</f>
        <v>0</v>
      </c>
      <c r="AH65" s="170">
        <f t="array" ref="AH65">IFERROR(
AVERAGE((IF(DATOS_[[Sexo]:[Sexo]]=$B65,IF(DATOS_[[AGRUP. CLAS. PROF.]:[AGRUP. CLAS. PROF.]]=$B63,IF(DATOS_[[Check Periodo Ref.]:[Check Periodo Ref.]]="Dentro",DATOS_[Conc.Sal.29]))))),
0)</f>
        <v>0</v>
      </c>
      <c r="AI65" s="170">
        <f t="array" ref="AI65">IFERROR(
AVERAGE((IF(DATOS_[[Sexo]:[Sexo]]=$B65,IF(DATOS_[[AGRUP. CLAS. PROF.]:[AGRUP. CLAS. PROF.]]=$B63,IF(DATOS_[[Check Periodo Ref.]:[Check Periodo Ref.]]="Dentro",DATOS_[Conc.Sal.30]))))),
0)</f>
        <v>0</v>
      </c>
      <c r="AJ65" s="171">
        <f t="array" ref="AJ65">IFERROR(
AVERAGE(IF(DATOS_[Sexo]=$B65,IF(DATOS_[AGRUP. CLAS. PROF.]=$B63,IF(DATOS_[Check Periodo Ref.]="Dentro",DATOS_[Tot COMPL.SAL Ef],FALSE)))),
0)</f>
        <v>0</v>
      </c>
      <c r="AK65" s="172">
        <f t="array" ref="AK65">IFERROR(
AVERAGE(IF(DATOS_[Sexo]=$B65,IF(DATOS_[AGRUP. CLAS. PROF.]=$B63,IF(DATOS_[Check Periodo Ref.]="Dentro",DATOS_[TOTAL SALARIO Ef],FALSE)))),
0)</f>
        <v>0</v>
      </c>
      <c r="AL65" s="173">
        <f t="array" ref="AL65">IFERROR(
AVERAGE((IF(DATOS_[[Sexo]:[Sexo]]=$B65,IF(DATOS_[[AGRUP. CLAS. PROF.]:[AGRUP. CLAS. PROF.]]=$B63,IF(DATOS_[[Check Periodo Ref.]:[Check Periodo Ref.]]="Dentro",DATOS_[C.Extra.01]))))),
0)</f>
        <v>0</v>
      </c>
      <c r="AM65" s="173">
        <f t="array" ref="AM65">IFERROR(
AVERAGE((IF(DATOS_[[Sexo]:[Sexo]]=$B65,IF(DATOS_[[AGRUP. CLAS. PROF.]:[AGRUP. CLAS. PROF.]]=$B63,IF(DATOS_[[Check Periodo Ref.]:[Check Periodo Ref.]]="Dentro",DATOS_[C.Extra.06]))))),
0)</f>
        <v>0</v>
      </c>
      <c r="AN65" s="173">
        <f t="array" ref="AN65">IFERROR(
AVERAGE((IF(DATOS_[[Sexo]:[Sexo]]=$B65,IF(DATOS_[[AGRUP. CLAS. PROF.]:[AGRUP. CLAS. PROF.]]=$B63,IF(DATOS_[[Check Periodo Ref.]:[Check Periodo Ref.]]="Dentro",DATOS_[C.Extra.07]))))),
0)</f>
        <v>0</v>
      </c>
      <c r="AO65" s="173">
        <f t="array" ref="AO65">IFERROR(
AVERAGE((IF(DATOS_[[Sexo]:[Sexo]]=$B65,IF(DATOS_[[AGRUP. CLAS. PROF.]:[AGRUP. CLAS. PROF.]]=$B63,IF(DATOS_[[Check Periodo Ref.]:[Check Periodo Ref.]]="Dentro",DATOS_[C.Extra.08]))))),
0)</f>
        <v>0</v>
      </c>
      <c r="AP65" s="173">
        <f t="array" ref="AP65">IFERROR(
AVERAGE((IF(DATOS_[[Sexo]:[Sexo]]=$B65,IF(DATOS_[[AGRUP. CLAS. PROF.]:[AGRUP. CLAS. PROF.]]=$B63,IF(DATOS_[[Check Periodo Ref.]:[Check Periodo Ref.]]="Dentro",DATOS_[C.Extra.11]))))),
0)</f>
        <v>0</v>
      </c>
      <c r="AQ65" s="174">
        <f t="array" ref="AQ65">IFERROR(
AVERAGE(IF(DATOS_[Sexo]=$B65,IF(DATOS_[AGRUP. CLAS. PROF.]=$B63,IF(DATOS_[Check Periodo Ref.]="Dentro",DATOS_[Tot Extrasalarial Ef],FALSE)))),
0)</f>
        <v>0</v>
      </c>
      <c r="AR65" s="171">
        <f t="array" ref="AR65">IFERROR(
AVERAGE(IF(DATOS_[Sexo]=$B65,IF(DATOS_[AGRUP. CLAS. PROF.]=$B63,IF(DATOS_[Check Periodo Ref.]="Dentro",DATOS_[TOTAL Retrib Ef],FALSE)))),
0)</f>
        <v>0</v>
      </c>
    </row>
    <row r="66" spans="1:44" s="152" customFormat="1" ht="14.4" thickBot="1" x14ac:dyDescent="0.3">
      <c r="A66" s="135" t="str">
        <f t="shared" ref="A66" si="71">+A67</f>
        <v>[ocultar]</v>
      </c>
      <c r="B66" s="153" t="s">
        <v>248</v>
      </c>
      <c r="C66" s="154"/>
      <c r="D66" s="155"/>
      <c r="E66" s="156" t="str">
        <f t="shared" ref="E66:AR66" si="72">IFERROR((E67-E68)/E67,"")</f>
        <v/>
      </c>
      <c r="F66" s="157" t="str">
        <f t="shared" si="72"/>
        <v/>
      </c>
      <c r="G66" s="158" t="str">
        <f t="shared" si="72"/>
        <v/>
      </c>
      <c r="H66" s="158" t="str">
        <f t="shared" si="72"/>
        <v/>
      </c>
      <c r="I66" s="158" t="str">
        <f t="shared" si="72"/>
        <v/>
      </c>
      <c r="J66" s="159" t="str">
        <f t="shared" si="72"/>
        <v/>
      </c>
      <c r="K66" s="160" t="str">
        <f t="shared" si="72"/>
        <v/>
      </c>
      <c r="L66" s="160" t="str">
        <f t="shared" si="72"/>
        <v/>
      </c>
      <c r="M66" s="160" t="str">
        <f t="shared" si="72"/>
        <v/>
      </c>
      <c r="N66" s="160" t="str">
        <f t="shared" si="72"/>
        <v/>
      </c>
      <c r="O66" s="160" t="str">
        <f t="shared" si="72"/>
        <v/>
      </c>
      <c r="P66" s="160" t="str">
        <f t="shared" si="72"/>
        <v/>
      </c>
      <c r="Q66" s="160" t="str">
        <f t="shared" si="72"/>
        <v/>
      </c>
      <c r="R66" s="160" t="str">
        <f t="shared" si="72"/>
        <v/>
      </c>
      <c r="S66" s="160" t="str">
        <f t="shared" si="72"/>
        <v/>
      </c>
      <c r="T66" s="160" t="str">
        <f t="shared" si="72"/>
        <v/>
      </c>
      <c r="U66" s="160" t="str">
        <f t="shared" si="72"/>
        <v/>
      </c>
      <c r="V66" s="159" t="str">
        <f t="shared" si="72"/>
        <v/>
      </c>
      <c r="W66" s="159" t="str">
        <f t="shared" si="72"/>
        <v/>
      </c>
      <c r="X66" s="159" t="str">
        <f t="shared" si="72"/>
        <v/>
      </c>
      <c r="Y66" s="159" t="str">
        <f t="shared" si="72"/>
        <v/>
      </c>
      <c r="Z66" s="159" t="str">
        <f t="shared" si="72"/>
        <v/>
      </c>
      <c r="AA66" s="159" t="str">
        <f t="shared" si="72"/>
        <v/>
      </c>
      <c r="AB66" s="159" t="str">
        <f t="shared" si="72"/>
        <v/>
      </c>
      <c r="AC66" s="159" t="str">
        <f t="shared" si="72"/>
        <v/>
      </c>
      <c r="AD66" s="159" t="str">
        <f t="shared" si="72"/>
        <v/>
      </c>
      <c r="AE66" s="159" t="str">
        <f t="shared" si="72"/>
        <v/>
      </c>
      <c r="AF66" s="159" t="str">
        <f t="shared" si="72"/>
        <v/>
      </c>
      <c r="AG66" s="159" t="str">
        <f t="shared" si="72"/>
        <v/>
      </c>
      <c r="AH66" s="159" t="str">
        <f t="shared" si="72"/>
        <v/>
      </c>
      <c r="AI66" s="159" t="str">
        <f t="shared" si="72"/>
        <v/>
      </c>
      <c r="AJ66" s="161" t="str">
        <f t="shared" si="72"/>
        <v/>
      </c>
      <c r="AK66" s="162" t="str">
        <f t="shared" si="72"/>
        <v/>
      </c>
      <c r="AL66" s="163" t="str">
        <f t="shared" si="72"/>
        <v/>
      </c>
      <c r="AM66" s="163" t="str">
        <f t="shared" si="72"/>
        <v/>
      </c>
      <c r="AN66" s="163" t="str">
        <f t="shared" si="72"/>
        <v/>
      </c>
      <c r="AO66" s="163" t="str">
        <f t="shared" si="72"/>
        <v/>
      </c>
      <c r="AP66" s="163" t="str">
        <f t="shared" si="72"/>
        <v/>
      </c>
      <c r="AQ66" s="164" t="str">
        <f t="shared" si="72"/>
        <v/>
      </c>
      <c r="AR66" s="161" t="str">
        <f t="shared" si="72"/>
        <v/>
      </c>
    </row>
    <row r="67" spans="1:44" x14ac:dyDescent="0.25">
      <c r="A67" s="135" t="str">
        <f t="shared" ref="A67" si="73">+IF(C67+C68=0,"[ocultar]","")</f>
        <v>[ocultar]</v>
      </c>
      <c r="B67" s="166" t="s">
        <v>394</v>
      </c>
      <c r="C67" s="167">
        <f t="array" ref="C67">SUM(IF($B67=DATOS_[Sexo],
IF($B66=DATOS_[AGRUP. CLAS. PROF.],
IF("Dentro"=DATOS_[Check Periodo Ref.],
1/(COUNTIFS(DATOS_[Sexo],$B67,DATOS_[AGRUP. CLAS. PROF.],$B66,DATOS_[Check Periodo Ref.],"Dentro",DATOS_[id/cod],DATOS_[id/cod]))))))</f>
        <v>0</v>
      </c>
      <c r="D67" s="168">
        <f>COUNTIFS(DATOS_[AGRUP. CLAS. PROF.],$B66,DATOS_[Sexo],$B67,DATOS_[Check Periodo Ref.],"Dentro")</f>
        <v>0</v>
      </c>
      <c r="E67" s="169">
        <f t="array" ref="E67">IFERROR(
AVERAGE(IF(DATOS_[Sexo]=$B67,IF(DATOS_[AGRUP. CLAS. PROF.]=$B66,IF(DATOS_[Check Periodo Ref.]="Dentro",DATOS_[SALARIO BASE Ef],FALSE)))),
0)</f>
        <v>0</v>
      </c>
      <c r="F67" s="170">
        <f t="array" ref="F67">IFERROR(
AVERAGE((IF(DATOS_[[Sexo]:[Sexo]]=$B67,IF(DATOS_[[AGRUP. CLAS. PROF.]:[AGRUP. CLAS. PROF.]]=$B66,IF(DATOS_[[Check Periodo Ref.]:[Check Periodo Ref.]]="Dentro",DATOS_[Conc.Sal.01]))))),
0)</f>
        <v>0</v>
      </c>
      <c r="G67" s="170">
        <f t="array" ref="G67">IFERROR(
AVERAGE((IF(DATOS_[[Sexo]:[Sexo]]=$B67,IF(DATOS_[[AGRUP. CLAS. PROF.]:[AGRUP. CLAS. PROF.]]=$B66,IF(DATOS_[[Check Periodo Ref.]:[Check Periodo Ref.]]="Dentro",DATOS_[Conc.Sal.02]))))),
0)</f>
        <v>0</v>
      </c>
      <c r="H67" s="170">
        <f t="array" ref="H67">IFERROR(
AVERAGE((IF(DATOS_[[Sexo]:[Sexo]]=$B67,IF(DATOS_[[AGRUP. CLAS. PROF.]:[AGRUP. CLAS. PROF.]]=$B66,IF(DATOS_[[Check Periodo Ref.]:[Check Periodo Ref.]]="Dentro",DATOS_[Conc.Sal.03]))))),
0)</f>
        <v>0</v>
      </c>
      <c r="I67" s="170">
        <f t="array" ref="I67">IFERROR(
AVERAGE((IF(DATOS_[[Sexo]:[Sexo]]=$B67,IF(DATOS_[[AGRUP. CLAS. PROF.]:[AGRUP. CLAS. PROF.]]=$B66,IF(DATOS_[[Check Periodo Ref.]:[Check Periodo Ref.]]="Dentro",DATOS_[Conc.Sal.04]))))),
0)</f>
        <v>0</v>
      </c>
      <c r="J67" s="170">
        <f t="array" ref="J67">IFERROR(
AVERAGE((IF(DATOS_[[Sexo]:[Sexo]]=$B67,IF(DATOS_[[AGRUP. CLAS. PROF.]:[AGRUP. CLAS. PROF.]]=$B66,IF(DATOS_[[Check Periodo Ref.]:[Check Periodo Ref.]]="Dentro",DATOS_[Conc.Sal.05]))))),
0)</f>
        <v>0</v>
      </c>
      <c r="K67" s="170">
        <f t="array" ref="K67">IFERROR(
AVERAGE((IF(DATOS_[[Sexo]:[Sexo]]=$B67,IF(DATOS_[[AGRUP. CLAS. PROF.]:[AGRUP. CLAS. PROF.]]=$B66,IF(DATOS_[[Check Periodo Ref.]:[Check Periodo Ref.]]="Dentro",DATOS_[Conc.Sal.06]))))),
0)</f>
        <v>0</v>
      </c>
      <c r="L67" s="170">
        <f t="array" ref="L67">IFERROR(
AVERAGE((IF(DATOS_[[Sexo]:[Sexo]]=$B67,IF(DATOS_[[AGRUP. CLAS. PROF.]:[AGRUP. CLAS. PROF.]]=$B66,IF(DATOS_[[Check Periodo Ref.]:[Check Periodo Ref.]]="Dentro",DATOS_[Conc.Sal.07]))))),
0)</f>
        <v>0</v>
      </c>
      <c r="M67" s="170">
        <f t="array" ref="M67">IFERROR(
AVERAGE((IF(DATOS_[[Sexo]:[Sexo]]=$B67,IF(DATOS_[[AGRUP. CLAS. PROF.]:[AGRUP. CLAS. PROF.]]=$B66,IF(DATOS_[[Check Periodo Ref.]:[Check Periodo Ref.]]="Dentro",DATOS_[Conc.Sal.08]))))),
0)</f>
        <v>0</v>
      </c>
      <c r="N67" s="170">
        <f t="array" ref="N67">IFERROR(
AVERAGE((IF(DATOS_[[Sexo]:[Sexo]]=$B67,IF(DATOS_[[AGRUP. CLAS. PROF.]:[AGRUP. CLAS. PROF.]]=$B66,IF(DATOS_[[Check Periodo Ref.]:[Check Periodo Ref.]]="Dentro",DATOS_[Conc.Sal.09]))))),
0)</f>
        <v>0</v>
      </c>
      <c r="O67" s="170">
        <f t="array" ref="O67">IFERROR(
AVERAGE((IF(DATOS_[[Sexo]:[Sexo]]=$B67,IF(DATOS_[[AGRUP. CLAS. PROF.]:[AGRUP. CLAS. PROF.]]=$B66,IF(DATOS_[[Check Periodo Ref.]:[Check Periodo Ref.]]="Dentro",DATOS_[Conc.Sal.10]))))),
0)</f>
        <v>0</v>
      </c>
      <c r="P67" s="170">
        <f t="array" ref="P67">IFERROR(
AVERAGE((IF(DATOS_[[Sexo]:[Sexo]]=$B67,IF(DATOS_[[AGRUP. CLAS. PROF.]:[AGRUP. CLAS. PROF.]]=$B66,IF(DATOS_[[Check Periodo Ref.]:[Check Periodo Ref.]]="Dentro",DATOS_[Conc.Sal.11]))))),
0)</f>
        <v>0</v>
      </c>
      <c r="Q67" s="170">
        <f t="array" ref="Q67">IFERROR(
AVERAGE((IF(DATOS_[[Sexo]:[Sexo]]=$B67,IF(DATOS_[[AGRUP. CLAS. PROF.]:[AGRUP. CLAS. PROF.]]=$B66,IF(DATOS_[[Check Periodo Ref.]:[Check Periodo Ref.]]="Dentro",DATOS_[Conc.Sal.12]))))),
0)</f>
        <v>0</v>
      </c>
      <c r="R67" s="170">
        <f t="array" ref="R67">IFERROR(
AVERAGE((IF(DATOS_[[Sexo]:[Sexo]]=$B67,IF(DATOS_[[AGRUP. CLAS. PROF.]:[AGRUP. CLAS. PROF.]]=$B66,IF(DATOS_[[Check Periodo Ref.]:[Check Periodo Ref.]]="Dentro",DATOS_[Conc.Sal.13]))))),
0)</f>
        <v>0</v>
      </c>
      <c r="S67" s="170">
        <f t="array" ref="S67">IFERROR(
AVERAGE((IF(DATOS_[[Sexo]:[Sexo]]=$B67,IF(DATOS_[[AGRUP. CLAS. PROF.]:[AGRUP. CLAS. PROF.]]=$B66,IF(DATOS_[[Check Periodo Ref.]:[Check Periodo Ref.]]="Dentro",DATOS_[Conc.Sal.14]))))),
0)</f>
        <v>0</v>
      </c>
      <c r="T67" s="170">
        <f t="array" ref="T67">IFERROR(
AVERAGE((IF(DATOS_[[Sexo]:[Sexo]]=$B67,IF(DATOS_[[AGRUP. CLAS. PROF.]:[AGRUP. CLAS. PROF.]]=$B66,IF(DATOS_[[Check Periodo Ref.]:[Check Periodo Ref.]]="Dentro",DATOS_[Conc.Sal.15]))))),
0)</f>
        <v>0</v>
      </c>
      <c r="U67" s="170">
        <f t="array" ref="U67">IFERROR(
AVERAGE((IF(DATOS_[[Sexo]:[Sexo]]=$B67,IF(DATOS_[[AGRUP. CLAS. PROF.]:[AGRUP. CLAS. PROF.]]=$B66,IF(DATOS_[[Check Periodo Ref.]:[Check Periodo Ref.]]="Dentro",DATOS_[Conc.Sal.16]))))),
0)</f>
        <v>0</v>
      </c>
      <c r="V67" s="170">
        <f t="array" ref="V67">IFERROR(
AVERAGE((IF(DATOS_[[Sexo]:[Sexo]]=$B67,IF(DATOS_[[AGRUP. CLAS. PROF.]:[AGRUP. CLAS. PROF.]]=$B66,IF(DATOS_[[Check Periodo Ref.]:[Check Periodo Ref.]]="Dentro",DATOS_[Conc.Sal.17]))))),
0)</f>
        <v>0</v>
      </c>
      <c r="W67" s="170">
        <f t="array" ref="W67">IFERROR(
AVERAGE((IF(DATOS_[[Sexo]:[Sexo]]=$B67,IF(DATOS_[[AGRUP. CLAS. PROF.]:[AGRUP. CLAS. PROF.]]=$B66,IF(DATOS_[[Check Periodo Ref.]:[Check Periodo Ref.]]="Dentro",DATOS_[Conc.Sal.18]))))),
0)</f>
        <v>0</v>
      </c>
      <c r="X67" s="170">
        <f t="array" ref="X67">IFERROR(
AVERAGE((IF(DATOS_[[Sexo]:[Sexo]]=$B67,IF(DATOS_[[AGRUP. CLAS. PROF.]:[AGRUP. CLAS. PROF.]]=$B66,IF(DATOS_[[Check Periodo Ref.]:[Check Periodo Ref.]]="Dentro",DATOS_[Conc.Sal.19]))))),
0)</f>
        <v>0</v>
      </c>
      <c r="Y67" s="170">
        <f t="array" ref="Y67">IFERROR(
AVERAGE((IF(DATOS_[[Sexo]:[Sexo]]=$B67,IF(DATOS_[[AGRUP. CLAS. PROF.]:[AGRUP. CLAS. PROF.]]=$B66,IF(DATOS_[[Check Periodo Ref.]:[Check Periodo Ref.]]="Dentro",DATOS_[Conc.Sal.20]))))),
0)</f>
        <v>0</v>
      </c>
      <c r="Z67" s="170">
        <f t="array" ref="Z67">IFERROR(
AVERAGE((IF(DATOS_[[Sexo]:[Sexo]]=$B67,IF(DATOS_[[AGRUP. CLAS. PROF.]:[AGRUP. CLAS. PROF.]]=$B66,IF(DATOS_[[Check Periodo Ref.]:[Check Periodo Ref.]]="Dentro",DATOS_[Conc.Sal.21]))))),
0)</f>
        <v>0</v>
      </c>
      <c r="AA67" s="170">
        <f t="array" ref="AA67">IFERROR(
AVERAGE((IF(DATOS_[[Sexo]:[Sexo]]=$B67,IF(DATOS_[[AGRUP. CLAS. PROF.]:[AGRUP. CLAS. PROF.]]=$B66,IF(DATOS_[[Check Periodo Ref.]:[Check Periodo Ref.]]="Dentro",DATOS_[Conc.Sal.22]))))),
0)</f>
        <v>0</v>
      </c>
      <c r="AB67" s="170">
        <f t="array" ref="AB67">IFERROR(
AVERAGE((IF(DATOS_[[Sexo]:[Sexo]]=$B67,IF(DATOS_[[AGRUP. CLAS. PROF.]:[AGRUP. CLAS. PROF.]]=$B66,IF(DATOS_[[Check Periodo Ref.]:[Check Periodo Ref.]]="Dentro",DATOS_[Conc.Sal.23]))))),
0)</f>
        <v>0</v>
      </c>
      <c r="AC67" s="170">
        <f t="array" ref="AC67">IFERROR(
AVERAGE((IF(DATOS_[[Sexo]:[Sexo]]=$B67,IF(DATOS_[[AGRUP. CLAS. PROF.]:[AGRUP. CLAS. PROF.]]=$B66,IF(DATOS_[[Check Periodo Ref.]:[Check Periodo Ref.]]="Dentro",DATOS_[Conc.Sal.24]))))),
0)</f>
        <v>0</v>
      </c>
      <c r="AD67" s="170">
        <f t="array" ref="AD67">IFERROR(
AVERAGE((IF(DATOS_[[Sexo]:[Sexo]]=$B67,IF(DATOS_[[AGRUP. CLAS. PROF.]:[AGRUP. CLAS. PROF.]]=$B66,IF(DATOS_[[Check Periodo Ref.]:[Check Periodo Ref.]]="Dentro",DATOS_[Conc.Sal.25]))))),
0)</f>
        <v>0</v>
      </c>
      <c r="AE67" s="170">
        <f t="array" ref="AE67">IFERROR(
AVERAGE((IF(DATOS_[[Sexo]:[Sexo]]=$B67,IF(DATOS_[[AGRUP. CLAS. PROF.]:[AGRUP. CLAS. PROF.]]=$B66,IF(DATOS_[[Check Periodo Ref.]:[Check Periodo Ref.]]="Dentro",DATOS_[Conc.Sal.26]))))),
0)</f>
        <v>0</v>
      </c>
      <c r="AF67" s="170">
        <f t="array" ref="AF67">IFERROR(
AVERAGE((IF(DATOS_[[Sexo]:[Sexo]]=$B67,IF(DATOS_[[AGRUP. CLAS. PROF.]:[AGRUP. CLAS. PROF.]]=$B66,IF(DATOS_[[Check Periodo Ref.]:[Check Periodo Ref.]]="Dentro",DATOS_[Conc.Sal.27]))))),
0)</f>
        <v>0</v>
      </c>
      <c r="AG67" s="170">
        <f t="array" ref="AG67">IFERROR(
AVERAGE((IF(DATOS_[[Sexo]:[Sexo]]=$B67,IF(DATOS_[[AGRUP. CLAS. PROF.]:[AGRUP. CLAS. PROF.]]=$B66,IF(DATOS_[[Check Periodo Ref.]:[Check Periodo Ref.]]="Dentro",DATOS_[Conc.Sal.28]))))),
0)</f>
        <v>0</v>
      </c>
      <c r="AH67" s="170">
        <f t="array" ref="AH67">IFERROR(
AVERAGE((IF(DATOS_[[Sexo]:[Sexo]]=$B67,IF(DATOS_[[AGRUP. CLAS. PROF.]:[AGRUP. CLAS. PROF.]]=$B66,IF(DATOS_[[Check Periodo Ref.]:[Check Periodo Ref.]]="Dentro",DATOS_[Conc.Sal.29]))))),
0)</f>
        <v>0</v>
      </c>
      <c r="AI67" s="170">
        <f t="array" ref="AI67">IFERROR(
AVERAGE((IF(DATOS_[[Sexo]:[Sexo]]=$B67,IF(DATOS_[[AGRUP. CLAS. PROF.]:[AGRUP. CLAS. PROF.]]=$B66,IF(DATOS_[[Check Periodo Ref.]:[Check Periodo Ref.]]="Dentro",DATOS_[Conc.Sal.30]))))),
0)</f>
        <v>0</v>
      </c>
      <c r="AJ67" s="171">
        <f t="array" ref="AJ67">IFERROR(
AVERAGE(IF(DATOS_[Sexo]=$B67,IF(DATOS_[AGRUP. CLAS. PROF.]=$B66,IF(DATOS_[Check Periodo Ref.]="Dentro",DATOS_[Tot COMPL.SAL Ef],FALSE)))),
0)</f>
        <v>0</v>
      </c>
      <c r="AK67" s="172">
        <f t="array" ref="AK67">IFERROR(
AVERAGE(IF(DATOS_[Sexo]=$B67,IF(DATOS_[AGRUP. CLAS. PROF.]=$B66,IF(DATOS_[Check Periodo Ref.]="Dentro",DATOS_[TOTAL SALARIO Ef],FALSE)))),
0)</f>
        <v>0</v>
      </c>
      <c r="AL67" s="173">
        <f t="array" ref="AL67">IFERROR(
AVERAGE((IF(DATOS_[[Sexo]:[Sexo]]=$B67,IF(DATOS_[[AGRUP. CLAS. PROF.]:[AGRUP. CLAS. PROF.]]=$B66,IF(DATOS_[[Check Periodo Ref.]:[Check Periodo Ref.]]="Dentro",DATOS_[C.Extra.01]))))),
0)</f>
        <v>0</v>
      </c>
      <c r="AM67" s="173">
        <f t="array" ref="AM67">IFERROR(
AVERAGE((IF(DATOS_[[Sexo]:[Sexo]]=$B67,IF(DATOS_[[AGRUP. CLAS. PROF.]:[AGRUP. CLAS. PROF.]]=$B66,IF(DATOS_[[Check Periodo Ref.]:[Check Periodo Ref.]]="Dentro",DATOS_[C.Extra.06]))))),
0)</f>
        <v>0</v>
      </c>
      <c r="AN67" s="173">
        <f t="array" ref="AN67">IFERROR(
AVERAGE((IF(DATOS_[[Sexo]:[Sexo]]=$B67,IF(DATOS_[[AGRUP. CLAS. PROF.]:[AGRUP. CLAS. PROF.]]=$B66,IF(DATOS_[[Check Periodo Ref.]:[Check Periodo Ref.]]="Dentro",DATOS_[C.Extra.07]))))),
0)</f>
        <v>0</v>
      </c>
      <c r="AO67" s="173">
        <f t="array" ref="AO67">IFERROR(
AVERAGE((IF(DATOS_[[Sexo]:[Sexo]]=$B67,IF(DATOS_[[AGRUP. CLAS. PROF.]:[AGRUP. CLAS. PROF.]]=$B66,IF(DATOS_[[Check Periodo Ref.]:[Check Periodo Ref.]]="Dentro",DATOS_[C.Extra.08]))))),
0)</f>
        <v>0</v>
      </c>
      <c r="AP67" s="173">
        <f t="array" ref="AP67">IFERROR(
AVERAGE((IF(DATOS_[[Sexo]:[Sexo]]=$B67,IF(DATOS_[[AGRUP. CLAS. PROF.]:[AGRUP. CLAS. PROF.]]=$B66,IF(DATOS_[[Check Periodo Ref.]:[Check Periodo Ref.]]="Dentro",DATOS_[C.Extra.11]))))),
0)</f>
        <v>0</v>
      </c>
      <c r="AQ67" s="174">
        <f t="array" ref="AQ67">IFERROR(
AVERAGE(IF(DATOS_[Sexo]=$B67,IF(DATOS_[AGRUP. CLAS. PROF.]=$B66,IF(DATOS_[Check Periodo Ref.]="Dentro",DATOS_[Tot Extrasalarial Ef],FALSE)))),
0)</f>
        <v>0</v>
      </c>
      <c r="AR67" s="171">
        <f t="array" ref="AR67">IFERROR(
AVERAGE(IF(DATOS_[Sexo]=$B67,IF(DATOS_[AGRUP. CLAS. PROF.]=$B66,IF(DATOS_[Check Periodo Ref.]="Dentro",DATOS_[TOTAL Retrib Ef],FALSE)))),
0)</f>
        <v>0</v>
      </c>
    </row>
    <row r="68" spans="1:44" x14ac:dyDescent="0.25">
      <c r="A68" s="135" t="str">
        <f t="shared" ref="A68" si="74">+A67</f>
        <v>[ocultar]</v>
      </c>
      <c r="B68" s="166" t="s">
        <v>521</v>
      </c>
      <c r="C68" s="167">
        <f t="array" ref="C68">SUM(IF($B68=DATOS_[Sexo],
IF($B66=DATOS_[AGRUP. CLAS. PROF.],
IF("Dentro"=DATOS_[Check Periodo Ref.],
1/(COUNTIFS(DATOS_[Sexo],$B68,DATOS_[AGRUP. CLAS. PROF.],$B66,DATOS_[Check Periodo Ref.],"Dentro",DATOS_[id/cod],DATOS_[id/cod]))))))</f>
        <v>0</v>
      </c>
      <c r="D68" s="168">
        <f>COUNTIFS(DATOS_[AGRUP. CLAS. PROF.],$B66,DATOS_[Sexo],$B68,DATOS_[Check Periodo Ref.],"Dentro")</f>
        <v>0</v>
      </c>
      <c r="E68" s="169">
        <f t="array" ref="E68">IFERROR(
AVERAGE(IF(DATOS_[Sexo]=$B68,IF(DATOS_[AGRUP. CLAS. PROF.]=$B66,IF(DATOS_[Check Periodo Ref.]="Dentro",DATOS_[SALARIO BASE Ef],FALSE)))),
0)</f>
        <v>0</v>
      </c>
      <c r="F68" s="170">
        <f t="array" ref="F68">IFERROR(
AVERAGE((IF(DATOS_[[Sexo]:[Sexo]]=$B68,IF(DATOS_[[AGRUP. CLAS. PROF.]:[AGRUP. CLAS. PROF.]]=$B66,IF(DATOS_[[Check Periodo Ref.]:[Check Periodo Ref.]]="Dentro",DATOS_[Conc.Sal.01]))))),
0)</f>
        <v>0</v>
      </c>
      <c r="G68" s="170">
        <f t="array" ref="G68">IFERROR(
AVERAGE((IF(DATOS_[[Sexo]:[Sexo]]=$B68,IF(DATOS_[[AGRUP. CLAS. PROF.]:[AGRUP. CLAS. PROF.]]=$B66,IF(DATOS_[[Check Periodo Ref.]:[Check Periodo Ref.]]="Dentro",DATOS_[Conc.Sal.02]))))),
0)</f>
        <v>0</v>
      </c>
      <c r="H68" s="170">
        <f t="array" ref="H68">IFERROR(
AVERAGE((IF(DATOS_[[Sexo]:[Sexo]]=$B68,IF(DATOS_[[AGRUP. CLAS. PROF.]:[AGRUP. CLAS. PROF.]]=$B66,IF(DATOS_[[Check Periodo Ref.]:[Check Periodo Ref.]]="Dentro",DATOS_[Conc.Sal.03]))))),
0)</f>
        <v>0</v>
      </c>
      <c r="I68" s="170">
        <f t="array" ref="I68">IFERROR(
AVERAGE((IF(DATOS_[[Sexo]:[Sexo]]=$B68,IF(DATOS_[[AGRUP. CLAS. PROF.]:[AGRUP. CLAS. PROF.]]=$B66,IF(DATOS_[[Check Periodo Ref.]:[Check Periodo Ref.]]="Dentro",DATOS_[Conc.Sal.04]))))),
0)</f>
        <v>0</v>
      </c>
      <c r="J68" s="170">
        <f t="array" ref="J68">IFERROR(
AVERAGE((IF(DATOS_[[Sexo]:[Sexo]]=$B68,IF(DATOS_[[AGRUP. CLAS. PROF.]:[AGRUP. CLAS. PROF.]]=$B66,IF(DATOS_[[Check Periodo Ref.]:[Check Periodo Ref.]]="Dentro",DATOS_[Conc.Sal.05]))))),
0)</f>
        <v>0</v>
      </c>
      <c r="K68" s="170">
        <f t="array" ref="K68">IFERROR(
AVERAGE((IF(DATOS_[[Sexo]:[Sexo]]=$B68,IF(DATOS_[[AGRUP. CLAS. PROF.]:[AGRUP. CLAS. PROF.]]=$B66,IF(DATOS_[[Check Periodo Ref.]:[Check Periodo Ref.]]="Dentro",DATOS_[Conc.Sal.06]))))),
0)</f>
        <v>0</v>
      </c>
      <c r="L68" s="170">
        <f t="array" ref="L68">IFERROR(
AVERAGE((IF(DATOS_[[Sexo]:[Sexo]]=$B68,IF(DATOS_[[AGRUP. CLAS. PROF.]:[AGRUP. CLAS. PROF.]]=$B66,IF(DATOS_[[Check Periodo Ref.]:[Check Periodo Ref.]]="Dentro",DATOS_[Conc.Sal.07]))))),
0)</f>
        <v>0</v>
      </c>
      <c r="M68" s="170">
        <f t="array" ref="M68">IFERROR(
AVERAGE((IF(DATOS_[[Sexo]:[Sexo]]=$B68,IF(DATOS_[[AGRUP. CLAS. PROF.]:[AGRUP. CLAS. PROF.]]=$B66,IF(DATOS_[[Check Periodo Ref.]:[Check Periodo Ref.]]="Dentro",DATOS_[Conc.Sal.08]))))),
0)</f>
        <v>0</v>
      </c>
      <c r="N68" s="170">
        <f t="array" ref="N68">IFERROR(
AVERAGE((IF(DATOS_[[Sexo]:[Sexo]]=$B68,IF(DATOS_[[AGRUP. CLAS. PROF.]:[AGRUP. CLAS. PROF.]]=$B66,IF(DATOS_[[Check Periodo Ref.]:[Check Periodo Ref.]]="Dentro",DATOS_[Conc.Sal.09]))))),
0)</f>
        <v>0</v>
      </c>
      <c r="O68" s="170">
        <f t="array" ref="O68">IFERROR(
AVERAGE((IF(DATOS_[[Sexo]:[Sexo]]=$B68,IF(DATOS_[[AGRUP. CLAS. PROF.]:[AGRUP. CLAS. PROF.]]=$B66,IF(DATOS_[[Check Periodo Ref.]:[Check Periodo Ref.]]="Dentro",DATOS_[Conc.Sal.10]))))),
0)</f>
        <v>0</v>
      </c>
      <c r="P68" s="170">
        <f t="array" ref="P68">IFERROR(
AVERAGE((IF(DATOS_[[Sexo]:[Sexo]]=$B68,IF(DATOS_[[AGRUP. CLAS. PROF.]:[AGRUP. CLAS. PROF.]]=$B66,IF(DATOS_[[Check Periodo Ref.]:[Check Periodo Ref.]]="Dentro",DATOS_[Conc.Sal.11]))))),
0)</f>
        <v>0</v>
      </c>
      <c r="Q68" s="170">
        <f t="array" ref="Q68">IFERROR(
AVERAGE((IF(DATOS_[[Sexo]:[Sexo]]=$B68,IF(DATOS_[[AGRUP. CLAS. PROF.]:[AGRUP. CLAS. PROF.]]=$B66,IF(DATOS_[[Check Periodo Ref.]:[Check Periodo Ref.]]="Dentro",DATOS_[Conc.Sal.12]))))),
0)</f>
        <v>0</v>
      </c>
      <c r="R68" s="170">
        <f t="array" ref="R68">IFERROR(
AVERAGE((IF(DATOS_[[Sexo]:[Sexo]]=$B68,IF(DATOS_[[AGRUP. CLAS. PROF.]:[AGRUP. CLAS. PROF.]]=$B66,IF(DATOS_[[Check Periodo Ref.]:[Check Periodo Ref.]]="Dentro",DATOS_[Conc.Sal.13]))))),
0)</f>
        <v>0</v>
      </c>
      <c r="S68" s="170">
        <f t="array" ref="S68">IFERROR(
AVERAGE((IF(DATOS_[[Sexo]:[Sexo]]=$B68,IF(DATOS_[[AGRUP. CLAS. PROF.]:[AGRUP. CLAS. PROF.]]=$B66,IF(DATOS_[[Check Periodo Ref.]:[Check Periodo Ref.]]="Dentro",DATOS_[Conc.Sal.14]))))),
0)</f>
        <v>0</v>
      </c>
      <c r="T68" s="170">
        <f t="array" ref="T68">IFERROR(
AVERAGE((IF(DATOS_[[Sexo]:[Sexo]]=$B68,IF(DATOS_[[AGRUP. CLAS. PROF.]:[AGRUP. CLAS. PROF.]]=$B66,IF(DATOS_[[Check Periodo Ref.]:[Check Periodo Ref.]]="Dentro",DATOS_[Conc.Sal.15]))))),
0)</f>
        <v>0</v>
      </c>
      <c r="U68" s="170">
        <f t="array" ref="U68">IFERROR(
AVERAGE((IF(DATOS_[[Sexo]:[Sexo]]=$B68,IF(DATOS_[[AGRUP. CLAS. PROF.]:[AGRUP. CLAS. PROF.]]=$B66,IF(DATOS_[[Check Periodo Ref.]:[Check Periodo Ref.]]="Dentro",DATOS_[Conc.Sal.16]))))),
0)</f>
        <v>0</v>
      </c>
      <c r="V68" s="170">
        <f t="array" ref="V68">IFERROR(
AVERAGE((IF(DATOS_[[Sexo]:[Sexo]]=$B68,IF(DATOS_[[AGRUP. CLAS. PROF.]:[AGRUP. CLAS. PROF.]]=$B66,IF(DATOS_[[Check Periodo Ref.]:[Check Periodo Ref.]]="Dentro",DATOS_[Conc.Sal.17]))))),
0)</f>
        <v>0</v>
      </c>
      <c r="W68" s="170">
        <f t="array" ref="W68">IFERROR(
AVERAGE((IF(DATOS_[[Sexo]:[Sexo]]=$B68,IF(DATOS_[[AGRUP. CLAS. PROF.]:[AGRUP. CLAS. PROF.]]=$B66,IF(DATOS_[[Check Periodo Ref.]:[Check Periodo Ref.]]="Dentro",DATOS_[Conc.Sal.18]))))),
0)</f>
        <v>0</v>
      </c>
      <c r="X68" s="170">
        <f t="array" ref="X68">IFERROR(
AVERAGE((IF(DATOS_[[Sexo]:[Sexo]]=$B68,IF(DATOS_[[AGRUP. CLAS. PROF.]:[AGRUP. CLAS. PROF.]]=$B66,IF(DATOS_[[Check Periodo Ref.]:[Check Periodo Ref.]]="Dentro",DATOS_[Conc.Sal.19]))))),
0)</f>
        <v>0</v>
      </c>
      <c r="Y68" s="170">
        <f t="array" ref="Y68">IFERROR(
AVERAGE((IF(DATOS_[[Sexo]:[Sexo]]=$B68,IF(DATOS_[[AGRUP. CLAS. PROF.]:[AGRUP. CLAS. PROF.]]=$B66,IF(DATOS_[[Check Periodo Ref.]:[Check Periodo Ref.]]="Dentro",DATOS_[Conc.Sal.20]))))),
0)</f>
        <v>0</v>
      </c>
      <c r="Z68" s="170">
        <f t="array" ref="Z68">IFERROR(
AVERAGE((IF(DATOS_[[Sexo]:[Sexo]]=$B68,IF(DATOS_[[AGRUP. CLAS. PROF.]:[AGRUP. CLAS. PROF.]]=$B66,IF(DATOS_[[Check Periodo Ref.]:[Check Periodo Ref.]]="Dentro",DATOS_[Conc.Sal.21]))))),
0)</f>
        <v>0</v>
      </c>
      <c r="AA68" s="170">
        <f t="array" ref="AA68">IFERROR(
AVERAGE((IF(DATOS_[[Sexo]:[Sexo]]=$B68,IF(DATOS_[[AGRUP. CLAS. PROF.]:[AGRUP. CLAS. PROF.]]=$B66,IF(DATOS_[[Check Periodo Ref.]:[Check Periodo Ref.]]="Dentro",DATOS_[Conc.Sal.22]))))),
0)</f>
        <v>0</v>
      </c>
      <c r="AB68" s="170">
        <f t="array" ref="AB68">IFERROR(
AVERAGE((IF(DATOS_[[Sexo]:[Sexo]]=$B68,IF(DATOS_[[AGRUP. CLAS. PROF.]:[AGRUP. CLAS. PROF.]]=$B66,IF(DATOS_[[Check Periodo Ref.]:[Check Periodo Ref.]]="Dentro",DATOS_[Conc.Sal.23]))))),
0)</f>
        <v>0</v>
      </c>
      <c r="AC68" s="170">
        <f t="array" ref="AC68">IFERROR(
AVERAGE((IF(DATOS_[[Sexo]:[Sexo]]=$B68,IF(DATOS_[[AGRUP. CLAS. PROF.]:[AGRUP. CLAS. PROF.]]=$B66,IF(DATOS_[[Check Periodo Ref.]:[Check Periodo Ref.]]="Dentro",DATOS_[Conc.Sal.24]))))),
0)</f>
        <v>0</v>
      </c>
      <c r="AD68" s="170">
        <f t="array" ref="AD68">IFERROR(
AVERAGE((IF(DATOS_[[Sexo]:[Sexo]]=$B68,IF(DATOS_[[AGRUP. CLAS. PROF.]:[AGRUP. CLAS. PROF.]]=$B66,IF(DATOS_[[Check Periodo Ref.]:[Check Periodo Ref.]]="Dentro",DATOS_[Conc.Sal.25]))))),
0)</f>
        <v>0</v>
      </c>
      <c r="AE68" s="170">
        <f t="array" ref="AE68">IFERROR(
AVERAGE((IF(DATOS_[[Sexo]:[Sexo]]=$B68,IF(DATOS_[[AGRUP. CLAS. PROF.]:[AGRUP. CLAS. PROF.]]=$B66,IF(DATOS_[[Check Periodo Ref.]:[Check Periodo Ref.]]="Dentro",DATOS_[Conc.Sal.26]))))),
0)</f>
        <v>0</v>
      </c>
      <c r="AF68" s="170">
        <f t="array" ref="AF68">IFERROR(
AVERAGE((IF(DATOS_[[Sexo]:[Sexo]]=$B68,IF(DATOS_[[AGRUP. CLAS. PROF.]:[AGRUP. CLAS. PROF.]]=$B66,IF(DATOS_[[Check Periodo Ref.]:[Check Periodo Ref.]]="Dentro",DATOS_[Conc.Sal.27]))))),
0)</f>
        <v>0</v>
      </c>
      <c r="AG68" s="170">
        <f t="array" ref="AG68">IFERROR(
AVERAGE((IF(DATOS_[[Sexo]:[Sexo]]=$B68,IF(DATOS_[[AGRUP. CLAS. PROF.]:[AGRUP. CLAS. PROF.]]=$B66,IF(DATOS_[[Check Periodo Ref.]:[Check Periodo Ref.]]="Dentro",DATOS_[Conc.Sal.28]))))),
0)</f>
        <v>0</v>
      </c>
      <c r="AH68" s="170">
        <f t="array" ref="AH68">IFERROR(
AVERAGE((IF(DATOS_[[Sexo]:[Sexo]]=$B68,IF(DATOS_[[AGRUP. CLAS. PROF.]:[AGRUP. CLAS. PROF.]]=$B66,IF(DATOS_[[Check Periodo Ref.]:[Check Periodo Ref.]]="Dentro",DATOS_[Conc.Sal.29]))))),
0)</f>
        <v>0</v>
      </c>
      <c r="AI68" s="170">
        <f t="array" ref="AI68">IFERROR(
AVERAGE((IF(DATOS_[[Sexo]:[Sexo]]=$B68,IF(DATOS_[[AGRUP. CLAS. PROF.]:[AGRUP. CLAS. PROF.]]=$B66,IF(DATOS_[[Check Periodo Ref.]:[Check Periodo Ref.]]="Dentro",DATOS_[Conc.Sal.30]))))),
0)</f>
        <v>0</v>
      </c>
      <c r="AJ68" s="171">
        <f t="array" ref="AJ68">IFERROR(
AVERAGE(IF(DATOS_[Sexo]=$B68,IF(DATOS_[AGRUP. CLAS. PROF.]=$B66,IF(DATOS_[Check Periodo Ref.]="Dentro",DATOS_[Tot COMPL.SAL Ef],FALSE)))),
0)</f>
        <v>0</v>
      </c>
      <c r="AK68" s="172">
        <f t="array" ref="AK68">IFERROR(
AVERAGE(IF(DATOS_[Sexo]=$B68,IF(DATOS_[AGRUP. CLAS. PROF.]=$B66,IF(DATOS_[Check Periodo Ref.]="Dentro",DATOS_[TOTAL SALARIO Ef],FALSE)))),
0)</f>
        <v>0</v>
      </c>
      <c r="AL68" s="173">
        <f t="array" ref="AL68">IFERROR(
AVERAGE((IF(DATOS_[[Sexo]:[Sexo]]=$B68,IF(DATOS_[[AGRUP. CLAS. PROF.]:[AGRUP. CLAS. PROF.]]=$B66,IF(DATOS_[[Check Periodo Ref.]:[Check Periodo Ref.]]="Dentro",DATOS_[C.Extra.01]))))),
0)</f>
        <v>0</v>
      </c>
      <c r="AM68" s="173">
        <f t="array" ref="AM68">IFERROR(
AVERAGE((IF(DATOS_[[Sexo]:[Sexo]]=$B68,IF(DATOS_[[AGRUP. CLAS. PROF.]:[AGRUP. CLAS. PROF.]]=$B66,IF(DATOS_[[Check Periodo Ref.]:[Check Periodo Ref.]]="Dentro",DATOS_[C.Extra.06]))))),
0)</f>
        <v>0</v>
      </c>
      <c r="AN68" s="173">
        <f t="array" ref="AN68">IFERROR(
AVERAGE((IF(DATOS_[[Sexo]:[Sexo]]=$B68,IF(DATOS_[[AGRUP. CLAS. PROF.]:[AGRUP. CLAS. PROF.]]=$B66,IF(DATOS_[[Check Periodo Ref.]:[Check Periodo Ref.]]="Dentro",DATOS_[C.Extra.07]))))),
0)</f>
        <v>0</v>
      </c>
      <c r="AO68" s="173">
        <f t="array" ref="AO68">IFERROR(
AVERAGE((IF(DATOS_[[Sexo]:[Sexo]]=$B68,IF(DATOS_[[AGRUP. CLAS. PROF.]:[AGRUP. CLAS. PROF.]]=$B66,IF(DATOS_[[Check Periodo Ref.]:[Check Periodo Ref.]]="Dentro",DATOS_[C.Extra.08]))))),
0)</f>
        <v>0</v>
      </c>
      <c r="AP68" s="173">
        <f t="array" ref="AP68">IFERROR(
AVERAGE((IF(DATOS_[[Sexo]:[Sexo]]=$B68,IF(DATOS_[[AGRUP. CLAS. PROF.]:[AGRUP. CLAS. PROF.]]=$B66,IF(DATOS_[[Check Periodo Ref.]:[Check Periodo Ref.]]="Dentro",DATOS_[C.Extra.11]))))),
0)</f>
        <v>0</v>
      </c>
      <c r="AQ68" s="174">
        <f t="array" ref="AQ68">IFERROR(
AVERAGE(IF(DATOS_[Sexo]=$B68,IF(DATOS_[AGRUP. CLAS. PROF.]=$B66,IF(DATOS_[Check Periodo Ref.]="Dentro",DATOS_[Tot Extrasalarial Ef],FALSE)))),
0)</f>
        <v>0</v>
      </c>
      <c r="AR68" s="171">
        <f t="array" ref="AR68">IFERROR(
AVERAGE(IF(DATOS_[Sexo]=$B68,IF(DATOS_[AGRUP. CLAS. PROF.]=$B66,IF(DATOS_[Check Periodo Ref.]="Dentro",DATOS_[TOTAL Retrib Ef],FALSE)))),
0)</f>
        <v>0</v>
      </c>
    </row>
    <row r="69" spans="1:44" s="152" customFormat="1" ht="14.4" thickBot="1" x14ac:dyDescent="0.3">
      <c r="A69" s="135" t="str">
        <f t="shared" ref="A69" si="75">+A70</f>
        <v>[ocultar]</v>
      </c>
      <c r="B69" s="153" t="s">
        <v>252</v>
      </c>
      <c r="C69" s="154"/>
      <c r="D69" s="155"/>
      <c r="E69" s="156" t="str">
        <f t="shared" ref="E69:AR69" si="76">IFERROR((E70-E71)/E70,"")</f>
        <v/>
      </c>
      <c r="F69" s="157" t="str">
        <f t="shared" si="76"/>
        <v/>
      </c>
      <c r="G69" s="158" t="str">
        <f t="shared" si="76"/>
        <v/>
      </c>
      <c r="H69" s="158" t="str">
        <f t="shared" si="76"/>
        <v/>
      </c>
      <c r="I69" s="158" t="str">
        <f t="shared" si="76"/>
        <v/>
      </c>
      <c r="J69" s="159" t="str">
        <f t="shared" si="76"/>
        <v/>
      </c>
      <c r="K69" s="160" t="str">
        <f t="shared" si="76"/>
        <v/>
      </c>
      <c r="L69" s="160" t="str">
        <f t="shared" si="76"/>
        <v/>
      </c>
      <c r="M69" s="160" t="str">
        <f t="shared" si="76"/>
        <v/>
      </c>
      <c r="N69" s="160" t="str">
        <f t="shared" si="76"/>
        <v/>
      </c>
      <c r="O69" s="160" t="str">
        <f t="shared" si="76"/>
        <v/>
      </c>
      <c r="P69" s="160" t="str">
        <f t="shared" si="76"/>
        <v/>
      </c>
      <c r="Q69" s="160" t="str">
        <f t="shared" si="76"/>
        <v/>
      </c>
      <c r="R69" s="160" t="str">
        <f t="shared" si="76"/>
        <v/>
      </c>
      <c r="S69" s="160" t="str">
        <f t="shared" si="76"/>
        <v/>
      </c>
      <c r="T69" s="160" t="str">
        <f t="shared" si="76"/>
        <v/>
      </c>
      <c r="U69" s="160" t="str">
        <f t="shared" si="76"/>
        <v/>
      </c>
      <c r="V69" s="159" t="str">
        <f t="shared" si="76"/>
        <v/>
      </c>
      <c r="W69" s="159" t="str">
        <f t="shared" si="76"/>
        <v/>
      </c>
      <c r="X69" s="159" t="str">
        <f t="shared" si="76"/>
        <v/>
      </c>
      <c r="Y69" s="159" t="str">
        <f t="shared" si="76"/>
        <v/>
      </c>
      <c r="Z69" s="159" t="str">
        <f t="shared" si="76"/>
        <v/>
      </c>
      <c r="AA69" s="159" t="str">
        <f t="shared" si="76"/>
        <v/>
      </c>
      <c r="AB69" s="159" t="str">
        <f t="shared" si="76"/>
        <v/>
      </c>
      <c r="AC69" s="159" t="str">
        <f t="shared" si="76"/>
        <v/>
      </c>
      <c r="AD69" s="159" t="str">
        <f t="shared" si="76"/>
        <v/>
      </c>
      <c r="AE69" s="159" t="str">
        <f t="shared" si="76"/>
        <v/>
      </c>
      <c r="AF69" s="159" t="str">
        <f t="shared" si="76"/>
        <v/>
      </c>
      <c r="AG69" s="159" t="str">
        <f t="shared" si="76"/>
        <v/>
      </c>
      <c r="AH69" s="159" t="str">
        <f t="shared" si="76"/>
        <v/>
      </c>
      <c r="AI69" s="159" t="str">
        <f t="shared" si="76"/>
        <v/>
      </c>
      <c r="AJ69" s="161" t="str">
        <f t="shared" si="76"/>
        <v/>
      </c>
      <c r="AK69" s="162" t="str">
        <f t="shared" si="76"/>
        <v/>
      </c>
      <c r="AL69" s="163" t="str">
        <f t="shared" si="76"/>
        <v/>
      </c>
      <c r="AM69" s="163" t="str">
        <f t="shared" si="76"/>
        <v/>
      </c>
      <c r="AN69" s="163" t="str">
        <f t="shared" si="76"/>
        <v/>
      </c>
      <c r="AO69" s="163" t="str">
        <f t="shared" si="76"/>
        <v/>
      </c>
      <c r="AP69" s="163" t="str">
        <f t="shared" si="76"/>
        <v/>
      </c>
      <c r="AQ69" s="164" t="str">
        <f t="shared" si="76"/>
        <v/>
      </c>
      <c r="AR69" s="161" t="str">
        <f t="shared" si="76"/>
        <v/>
      </c>
    </row>
    <row r="70" spans="1:44" x14ac:dyDescent="0.25">
      <c r="A70" s="135" t="str">
        <f t="shared" ref="A70" si="77">+IF(C70+C71=0,"[ocultar]","")</f>
        <v>[ocultar]</v>
      </c>
      <c r="B70" s="166" t="s">
        <v>394</v>
      </c>
      <c r="C70" s="167">
        <f t="array" ref="C70">SUM(IF($B70=DATOS_[Sexo],
IF($B69=DATOS_[AGRUP. CLAS. PROF.],
IF("Dentro"=DATOS_[Check Periodo Ref.],
1/(COUNTIFS(DATOS_[Sexo],$B70,DATOS_[AGRUP. CLAS. PROF.],$B69,DATOS_[Check Periodo Ref.],"Dentro",DATOS_[id/cod],DATOS_[id/cod]))))))</f>
        <v>0</v>
      </c>
      <c r="D70" s="168">
        <f>COUNTIFS(DATOS_[AGRUP. CLAS. PROF.],$B69,DATOS_[Sexo],$B70,DATOS_[Check Periodo Ref.],"Dentro")</f>
        <v>0</v>
      </c>
      <c r="E70" s="169">
        <f t="array" ref="E70">IFERROR(
AVERAGE(IF(DATOS_[Sexo]=$B70,IF(DATOS_[AGRUP. CLAS. PROF.]=$B69,IF(DATOS_[Check Periodo Ref.]="Dentro",DATOS_[SALARIO BASE Ef],FALSE)))),
0)</f>
        <v>0</v>
      </c>
      <c r="F70" s="170">
        <f t="array" ref="F70">IFERROR(
AVERAGE((IF(DATOS_[[Sexo]:[Sexo]]=$B70,IF(DATOS_[[AGRUP. CLAS. PROF.]:[AGRUP. CLAS. PROF.]]=$B69,IF(DATOS_[[Check Periodo Ref.]:[Check Periodo Ref.]]="Dentro",DATOS_[Conc.Sal.01]))))),
0)</f>
        <v>0</v>
      </c>
      <c r="G70" s="170">
        <f t="array" ref="G70">IFERROR(
AVERAGE((IF(DATOS_[[Sexo]:[Sexo]]=$B70,IF(DATOS_[[AGRUP. CLAS. PROF.]:[AGRUP. CLAS. PROF.]]=$B69,IF(DATOS_[[Check Periodo Ref.]:[Check Periodo Ref.]]="Dentro",DATOS_[Conc.Sal.02]))))),
0)</f>
        <v>0</v>
      </c>
      <c r="H70" s="170">
        <f t="array" ref="H70">IFERROR(
AVERAGE((IF(DATOS_[[Sexo]:[Sexo]]=$B70,IF(DATOS_[[AGRUP. CLAS. PROF.]:[AGRUP. CLAS. PROF.]]=$B69,IF(DATOS_[[Check Periodo Ref.]:[Check Periodo Ref.]]="Dentro",DATOS_[Conc.Sal.03]))))),
0)</f>
        <v>0</v>
      </c>
      <c r="I70" s="170">
        <f t="array" ref="I70">IFERROR(
AVERAGE((IF(DATOS_[[Sexo]:[Sexo]]=$B70,IF(DATOS_[[AGRUP. CLAS. PROF.]:[AGRUP. CLAS. PROF.]]=$B69,IF(DATOS_[[Check Periodo Ref.]:[Check Periodo Ref.]]="Dentro",DATOS_[Conc.Sal.04]))))),
0)</f>
        <v>0</v>
      </c>
      <c r="J70" s="170">
        <f t="array" ref="J70">IFERROR(
AVERAGE((IF(DATOS_[[Sexo]:[Sexo]]=$B70,IF(DATOS_[[AGRUP. CLAS. PROF.]:[AGRUP. CLAS. PROF.]]=$B69,IF(DATOS_[[Check Periodo Ref.]:[Check Periodo Ref.]]="Dentro",DATOS_[Conc.Sal.05]))))),
0)</f>
        <v>0</v>
      </c>
      <c r="K70" s="170">
        <f t="array" ref="K70">IFERROR(
AVERAGE((IF(DATOS_[[Sexo]:[Sexo]]=$B70,IF(DATOS_[[AGRUP. CLAS. PROF.]:[AGRUP. CLAS. PROF.]]=$B69,IF(DATOS_[[Check Periodo Ref.]:[Check Periodo Ref.]]="Dentro",DATOS_[Conc.Sal.06]))))),
0)</f>
        <v>0</v>
      </c>
      <c r="L70" s="170">
        <f t="array" ref="L70">IFERROR(
AVERAGE((IF(DATOS_[[Sexo]:[Sexo]]=$B70,IF(DATOS_[[AGRUP. CLAS. PROF.]:[AGRUP. CLAS. PROF.]]=$B69,IF(DATOS_[[Check Periodo Ref.]:[Check Periodo Ref.]]="Dentro",DATOS_[Conc.Sal.07]))))),
0)</f>
        <v>0</v>
      </c>
      <c r="M70" s="170">
        <f t="array" ref="M70">IFERROR(
AVERAGE((IF(DATOS_[[Sexo]:[Sexo]]=$B70,IF(DATOS_[[AGRUP. CLAS. PROF.]:[AGRUP. CLAS. PROF.]]=$B69,IF(DATOS_[[Check Periodo Ref.]:[Check Periodo Ref.]]="Dentro",DATOS_[Conc.Sal.08]))))),
0)</f>
        <v>0</v>
      </c>
      <c r="N70" s="170">
        <f t="array" ref="N70">IFERROR(
AVERAGE((IF(DATOS_[[Sexo]:[Sexo]]=$B70,IF(DATOS_[[AGRUP. CLAS. PROF.]:[AGRUP. CLAS. PROF.]]=$B69,IF(DATOS_[[Check Periodo Ref.]:[Check Periodo Ref.]]="Dentro",DATOS_[Conc.Sal.09]))))),
0)</f>
        <v>0</v>
      </c>
      <c r="O70" s="170">
        <f t="array" ref="O70">IFERROR(
AVERAGE((IF(DATOS_[[Sexo]:[Sexo]]=$B70,IF(DATOS_[[AGRUP. CLAS. PROF.]:[AGRUP. CLAS. PROF.]]=$B69,IF(DATOS_[[Check Periodo Ref.]:[Check Periodo Ref.]]="Dentro",DATOS_[Conc.Sal.10]))))),
0)</f>
        <v>0</v>
      </c>
      <c r="P70" s="170">
        <f t="array" ref="P70">IFERROR(
AVERAGE((IF(DATOS_[[Sexo]:[Sexo]]=$B70,IF(DATOS_[[AGRUP. CLAS. PROF.]:[AGRUP. CLAS. PROF.]]=$B69,IF(DATOS_[[Check Periodo Ref.]:[Check Periodo Ref.]]="Dentro",DATOS_[Conc.Sal.11]))))),
0)</f>
        <v>0</v>
      </c>
      <c r="Q70" s="170">
        <f t="array" ref="Q70">IFERROR(
AVERAGE((IF(DATOS_[[Sexo]:[Sexo]]=$B70,IF(DATOS_[[AGRUP. CLAS. PROF.]:[AGRUP. CLAS. PROF.]]=$B69,IF(DATOS_[[Check Periodo Ref.]:[Check Periodo Ref.]]="Dentro",DATOS_[Conc.Sal.12]))))),
0)</f>
        <v>0</v>
      </c>
      <c r="R70" s="170">
        <f t="array" ref="R70">IFERROR(
AVERAGE((IF(DATOS_[[Sexo]:[Sexo]]=$B70,IF(DATOS_[[AGRUP. CLAS. PROF.]:[AGRUP. CLAS. PROF.]]=$B69,IF(DATOS_[[Check Periodo Ref.]:[Check Periodo Ref.]]="Dentro",DATOS_[Conc.Sal.13]))))),
0)</f>
        <v>0</v>
      </c>
      <c r="S70" s="170">
        <f t="array" ref="S70">IFERROR(
AVERAGE((IF(DATOS_[[Sexo]:[Sexo]]=$B70,IF(DATOS_[[AGRUP. CLAS. PROF.]:[AGRUP. CLAS. PROF.]]=$B69,IF(DATOS_[[Check Periodo Ref.]:[Check Periodo Ref.]]="Dentro",DATOS_[Conc.Sal.14]))))),
0)</f>
        <v>0</v>
      </c>
      <c r="T70" s="170">
        <f t="array" ref="T70">IFERROR(
AVERAGE((IF(DATOS_[[Sexo]:[Sexo]]=$B70,IF(DATOS_[[AGRUP. CLAS. PROF.]:[AGRUP. CLAS. PROF.]]=$B69,IF(DATOS_[[Check Periodo Ref.]:[Check Periodo Ref.]]="Dentro",DATOS_[Conc.Sal.15]))))),
0)</f>
        <v>0</v>
      </c>
      <c r="U70" s="170">
        <f t="array" ref="U70">IFERROR(
AVERAGE((IF(DATOS_[[Sexo]:[Sexo]]=$B70,IF(DATOS_[[AGRUP. CLAS. PROF.]:[AGRUP. CLAS. PROF.]]=$B69,IF(DATOS_[[Check Periodo Ref.]:[Check Periodo Ref.]]="Dentro",DATOS_[Conc.Sal.16]))))),
0)</f>
        <v>0</v>
      </c>
      <c r="V70" s="170">
        <f t="array" ref="V70">IFERROR(
AVERAGE((IF(DATOS_[[Sexo]:[Sexo]]=$B70,IF(DATOS_[[AGRUP. CLAS. PROF.]:[AGRUP. CLAS. PROF.]]=$B69,IF(DATOS_[[Check Periodo Ref.]:[Check Periodo Ref.]]="Dentro",DATOS_[Conc.Sal.17]))))),
0)</f>
        <v>0</v>
      </c>
      <c r="W70" s="170">
        <f t="array" ref="W70">IFERROR(
AVERAGE((IF(DATOS_[[Sexo]:[Sexo]]=$B70,IF(DATOS_[[AGRUP. CLAS. PROF.]:[AGRUP. CLAS. PROF.]]=$B69,IF(DATOS_[[Check Periodo Ref.]:[Check Periodo Ref.]]="Dentro",DATOS_[Conc.Sal.18]))))),
0)</f>
        <v>0</v>
      </c>
      <c r="X70" s="170">
        <f t="array" ref="X70">IFERROR(
AVERAGE((IF(DATOS_[[Sexo]:[Sexo]]=$B70,IF(DATOS_[[AGRUP. CLAS. PROF.]:[AGRUP. CLAS. PROF.]]=$B69,IF(DATOS_[[Check Periodo Ref.]:[Check Periodo Ref.]]="Dentro",DATOS_[Conc.Sal.19]))))),
0)</f>
        <v>0</v>
      </c>
      <c r="Y70" s="170">
        <f t="array" ref="Y70">IFERROR(
AVERAGE((IF(DATOS_[[Sexo]:[Sexo]]=$B70,IF(DATOS_[[AGRUP. CLAS. PROF.]:[AGRUP. CLAS. PROF.]]=$B69,IF(DATOS_[[Check Periodo Ref.]:[Check Periodo Ref.]]="Dentro",DATOS_[Conc.Sal.20]))))),
0)</f>
        <v>0</v>
      </c>
      <c r="Z70" s="170">
        <f t="array" ref="Z70">IFERROR(
AVERAGE((IF(DATOS_[[Sexo]:[Sexo]]=$B70,IF(DATOS_[[AGRUP. CLAS. PROF.]:[AGRUP. CLAS. PROF.]]=$B69,IF(DATOS_[[Check Periodo Ref.]:[Check Periodo Ref.]]="Dentro",DATOS_[Conc.Sal.21]))))),
0)</f>
        <v>0</v>
      </c>
      <c r="AA70" s="170">
        <f t="array" ref="AA70">IFERROR(
AVERAGE((IF(DATOS_[[Sexo]:[Sexo]]=$B70,IF(DATOS_[[AGRUP. CLAS. PROF.]:[AGRUP. CLAS. PROF.]]=$B69,IF(DATOS_[[Check Periodo Ref.]:[Check Periodo Ref.]]="Dentro",DATOS_[Conc.Sal.22]))))),
0)</f>
        <v>0</v>
      </c>
      <c r="AB70" s="170">
        <f t="array" ref="AB70">IFERROR(
AVERAGE((IF(DATOS_[[Sexo]:[Sexo]]=$B70,IF(DATOS_[[AGRUP. CLAS. PROF.]:[AGRUP. CLAS. PROF.]]=$B69,IF(DATOS_[[Check Periodo Ref.]:[Check Periodo Ref.]]="Dentro",DATOS_[Conc.Sal.23]))))),
0)</f>
        <v>0</v>
      </c>
      <c r="AC70" s="170">
        <f t="array" ref="AC70">IFERROR(
AVERAGE((IF(DATOS_[[Sexo]:[Sexo]]=$B70,IF(DATOS_[[AGRUP. CLAS. PROF.]:[AGRUP. CLAS. PROF.]]=$B69,IF(DATOS_[[Check Periodo Ref.]:[Check Periodo Ref.]]="Dentro",DATOS_[Conc.Sal.24]))))),
0)</f>
        <v>0</v>
      </c>
      <c r="AD70" s="170">
        <f t="array" ref="AD70">IFERROR(
AVERAGE((IF(DATOS_[[Sexo]:[Sexo]]=$B70,IF(DATOS_[[AGRUP. CLAS. PROF.]:[AGRUP. CLAS. PROF.]]=$B69,IF(DATOS_[[Check Periodo Ref.]:[Check Periodo Ref.]]="Dentro",DATOS_[Conc.Sal.25]))))),
0)</f>
        <v>0</v>
      </c>
      <c r="AE70" s="170">
        <f t="array" ref="AE70">IFERROR(
AVERAGE((IF(DATOS_[[Sexo]:[Sexo]]=$B70,IF(DATOS_[[AGRUP. CLAS. PROF.]:[AGRUP. CLAS. PROF.]]=$B69,IF(DATOS_[[Check Periodo Ref.]:[Check Periodo Ref.]]="Dentro",DATOS_[Conc.Sal.26]))))),
0)</f>
        <v>0</v>
      </c>
      <c r="AF70" s="170">
        <f t="array" ref="AF70">IFERROR(
AVERAGE((IF(DATOS_[[Sexo]:[Sexo]]=$B70,IF(DATOS_[[AGRUP. CLAS. PROF.]:[AGRUP. CLAS. PROF.]]=$B69,IF(DATOS_[[Check Periodo Ref.]:[Check Periodo Ref.]]="Dentro",DATOS_[Conc.Sal.27]))))),
0)</f>
        <v>0</v>
      </c>
      <c r="AG70" s="170">
        <f t="array" ref="AG70">IFERROR(
AVERAGE((IF(DATOS_[[Sexo]:[Sexo]]=$B70,IF(DATOS_[[AGRUP. CLAS. PROF.]:[AGRUP. CLAS. PROF.]]=$B69,IF(DATOS_[[Check Periodo Ref.]:[Check Periodo Ref.]]="Dentro",DATOS_[Conc.Sal.28]))))),
0)</f>
        <v>0</v>
      </c>
      <c r="AH70" s="170">
        <f t="array" ref="AH70">IFERROR(
AVERAGE((IF(DATOS_[[Sexo]:[Sexo]]=$B70,IF(DATOS_[[AGRUP. CLAS. PROF.]:[AGRUP. CLAS. PROF.]]=$B69,IF(DATOS_[[Check Periodo Ref.]:[Check Periodo Ref.]]="Dentro",DATOS_[Conc.Sal.29]))))),
0)</f>
        <v>0</v>
      </c>
      <c r="AI70" s="170">
        <f t="array" ref="AI70">IFERROR(
AVERAGE((IF(DATOS_[[Sexo]:[Sexo]]=$B70,IF(DATOS_[[AGRUP. CLAS. PROF.]:[AGRUP. CLAS. PROF.]]=$B69,IF(DATOS_[[Check Periodo Ref.]:[Check Periodo Ref.]]="Dentro",DATOS_[Conc.Sal.30]))))),
0)</f>
        <v>0</v>
      </c>
      <c r="AJ70" s="171">
        <f t="array" ref="AJ70">IFERROR(
AVERAGE(IF(DATOS_[Sexo]=$B70,IF(DATOS_[AGRUP. CLAS. PROF.]=$B69,IF(DATOS_[Check Periodo Ref.]="Dentro",DATOS_[Tot COMPL.SAL Ef],FALSE)))),
0)</f>
        <v>0</v>
      </c>
      <c r="AK70" s="172">
        <f t="array" ref="AK70">IFERROR(
AVERAGE(IF(DATOS_[Sexo]=$B70,IF(DATOS_[AGRUP. CLAS. PROF.]=$B69,IF(DATOS_[Check Periodo Ref.]="Dentro",DATOS_[TOTAL SALARIO Ef],FALSE)))),
0)</f>
        <v>0</v>
      </c>
      <c r="AL70" s="173">
        <f t="array" ref="AL70">IFERROR(
AVERAGE((IF(DATOS_[[Sexo]:[Sexo]]=$B70,IF(DATOS_[[AGRUP. CLAS. PROF.]:[AGRUP. CLAS. PROF.]]=$B69,IF(DATOS_[[Check Periodo Ref.]:[Check Periodo Ref.]]="Dentro",DATOS_[C.Extra.01]))))),
0)</f>
        <v>0</v>
      </c>
      <c r="AM70" s="173">
        <f t="array" ref="AM70">IFERROR(
AVERAGE((IF(DATOS_[[Sexo]:[Sexo]]=$B70,IF(DATOS_[[AGRUP. CLAS. PROF.]:[AGRUP. CLAS. PROF.]]=$B69,IF(DATOS_[[Check Periodo Ref.]:[Check Periodo Ref.]]="Dentro",DATOS_[C.Extra.06]))))),
0)</f>
        <v>0</v>
      </c>
      <c r="AN70" s="173">
        <f t="array" ref="AN70">IFERROR(
AVERAGE((IF(DATOS_[[Sexo]:[Sexo]]=$B70,IF(DATOS_[[AGRUP. CLAS. PROF.]:[AGRUP. CLAS. PROF.]]=$B69,IF(DATOS_[[Check Periodo Ref.]:[Check Periodo Ref.]]="Dentro",DATOS_[C.Extra.07]))))),
0)</f>
        <v>0</v>
      </c>
      <c r="AO70" s="173">
        <f t="array" ref="AO70">IFERROR(
AVERAGE((IF(DATOS_[[Sexo]:[Sexo]]=$B70,IF(DATOS_[[AGRUP. CLAS. PROF.]:[AGRUP. CLAS. PROF.]]=$B69,IF(DATOS_[[Check Periodo Ref.]:[Check Periodo Ref.]]="Dentro",DATOS_[C.Extra.08]))))),
0)</f>
        <v>0</v>
      </c>
      <c r="AP70" s="173">
        <f t="array" ref="AP70">IFERROR(
AVERAGE((IF(DATOS_[[Sexo]:[Sexo]]=$B70,IF(DATOS_[[AGRUP. CLAS. PROF.]:[AGRUP. CLAS. PROF.]]=$B69,IF(DATOS_[[Check Periodo Ref.]:[Check Periodo Ref.]]="Dentro",DATOS_[C.Extra.11]))))),
0)</f>
        <v>0</v>
      </c>
      <c r="AQ70" s="174">
        <f t="array" ref="AQ70">IFERROR(
AVERAGE(IF(DATOS_[Sexo]=$B70,IF(DATOS_[AGRUP. CLAS. PROF.]=$B69,IF(DATOS_[Check Periodo Ref.]="Dentro",DATOS_[Tot Extrasalarial Ef],FALSE)))),
0)</f>
        <v>0</v>
      </c>
      <c r="AR70" s="171">
        <f t="array" ref="AR70">IFERROR(
AVERAGE(IF(DATOS_[Sexo]=$B70,IF(DATOS_[AGRUP. CLAS. PROF.]=$B69,IF(DATOS_[Check Periodo Ref.]="Dentro",DATOS_[TOTAL Retrib Ef],FALSE)))),
0)</f>
        <v>0</v>
      </c>
    </row>
    <row r="71" spans="1:44" x14ac:dyDescent="0.25">
      <c r="A71" s="135" t="str">
        <f t="shared" ref="A71" si="78">+A70</f>
        <v>[ocultar]</v>
      </c>
      <c r="B71" s="166" t="s">
        <v>521</v>
      </c>
      <c r="C71" s="167">
        <f t="array" ref="C71">SUM(IF($B71=DATOS_[Sexo],
IF($B69=DATOS_[AGRUP. CLAS. PROF.],
IF("Dentro"=DATOS_[Check Periodo Ref.],
1/(COUNTIFS(DATOS_[Sexo],$B71,DATOS_[AGRUP. CLAS. PROF.],$B69,DATOS_[Check Periodo Ref.],"Dentro",DATOS_[id/cod],DATOS_[id/cod]))))))</f>
        <v>0</v>
      </c>
      <c r="D71" s="168">
        <f>COUNTIFS(DATOS_[AGRUP. CLAS. PROF.],$B69,DATOS_[Sexo],$B71,DATOS_[Check Periodo Ref.],"Dentro")</f>
        <v>0</v>
      </c>
      <c r="E71" s="169">
        <f t="array" ref="E71">IFERROR(
AVERAGE(IF(DATOS_[Sexo]=$B71,IF(DATOS_[AGRUP. CLAS. PROF.]=$B69,IF(DATOS_[Check Periodo Ref.]="Dentro",DATOS_[SALARIO BASE Ef],FALSE)))),
0)</f>
        <v>0</v>
      </c>
      <c r="F71" s="170">
        <f t="array" ref="F71">IFERROR(
AVERAGE((IF(DATOS_[[Sexo]:[Sexo]]=$B71,IF(DATOS_[[AGRUP. CLAS. PROF.]:[AGRUP. CLAS. PROF.]]=$B69,IF(DATOS_[[Check Periodo Ref.]:[Check Periodo Ref.]]="Dentro",DATOS_[Conc.Sal.01]))))),
0)</f>
        <v>0</v>
      </c>
      <c r="G71" s="170">
        <f t="array" ref="G71">IFERROR(
AVERAGE((IF(DATOS_[[Sexo]:[Sexo]]=$B71,IF(DATOS_[[AGRUP. CLAS. PROF.]:[AGRUP. CLAS. PROF.]]=$B69,IF(DATOS_[[Check Periodo Ref.]:[Check Periodo Ref.]]="Dentro",DATOS_[Conc.Sal.02]))))),
0)</f>
        <v>0</v>
      </c>
      <c r="H71" s="170">
        <f t="array" ref="H71">IFERROR(
AVERAGE((IF(DATOS_[[Sexo]:[Sexo]]=$B71,IF(DATOS_[[AGRUP. CLAS. PROF.]:[AGRUP. CLAS. PROF.]]=$B69,IF(DATOS_[[Check Periodo Ref.]:[Check Periodo Ref.]]="Dentro",DATOS_[Conc.Sal.03]))))),
0)</f>
        <v>0</v>
      </c>
      <c r="I71" s="170">
        <f t="array" ref="I71">IFERROR(
AVERAGE((IF(DATOS_[[Sexo]:[Sexo]]=$B71,IF(DATOS_[[AGRUP. CLAS. PROF.]:[AGRUP. CLAS. PROF.]]=$B69,IF(DATOS_[[Check Periodo Ref.]:[Check Periodo Ref.]]="Dentro",DATOS_[Conc.Sal.04]))))),
0)</f>
        <v>0</v>
      </c>
      <c r="J71" s="170">
        <f t="array" ref="J71">IFERROR(
AVERAGE((IF(DATOS_[[Sexo]:[Sexo]]=$B71,IF(DATOS_[[AGRUP. CLAS. PROF.]:[AGRUP. CLAS. PROF.]]=$B69,IF(DATOS_[[Check Periodo Ref.]:[Check Periodo Ref.]]="Dentro",DATOS_[Conc.Sal.05]))))),
0)</f>
        <v>0</v>
      </c>
      <c r="K71" s="170">
        <f t="array" ref="K71">IFERROR(
AVERAGE((IF(DATOS_[[Sexo]:[Sexo]]=$B71,IF(DATOS_[[AGRUP. CLAS. PROF.]:[AGRUP. CLAS. PROF.]]=$B69,IF(DATOS_[[Check Periodo Ref.]:[Check Periodo Ref.]]="Dentro",DATOS_[Conc.Sal.06]))))),
0)</f>
        <v>0</v>
      </c>
      <c r="L71" s="170">
        <f t="array" ref="L71">IFERROR(
AVERAGE((IF(DATOS_[[Sexo]:[Sexo]]=$B71,IF(DATOS_[[AGRUP. CLAS. PROF.]:[AGRUP. CLAS. PROF.]]=$B69,IF(DATOS_[[Check Periodo Ref.]:[Check Periodo Ref.]]="Dentro",DATOS_[Conc.Sal.07]))))),
0)</f>
        <v>0</v>
      </c>
      <c r="M71" s="170">
        <f t="array" ref="M71">IFERROR(
AVERAGE((IF(DATOS_[[Sexo]:[Sexo]]=$B71,IF(DATOS_[[AGRUP. CLAS. PROF.]:[AGRUP. CLAS. PROF.]]=$B69,IF(DATOS_[[Check Periodo Ref.]:[Check Periodo Ref.]]="Dentro",DATOS_[Conc.Sal.08]))))),
0)</f>
        <v>0</v>
      </c>
      <c r="N71" s="170">
        <f t="array" ref="N71">IFERROR(
AVERAGE((IF(DATOS_[[Sexo]:[Sexo]]=$B71,IF(DATOS_[[AGRUP. CLAS. PROF.]:[AGRUP. CLAS. PROF.]]=$B69,IF(DATOS_[[Check Periodo Ref.]:[Check Periodo Ref.]]="Dentro",DATOS_[Conc.Sal.09]))))),
0)</f>
        <v>0</v>
      </c>
      <c r="O71" s="170">
        <f t="array" ref="O71">IFERROR(
AVERAGE((IF(DATOS_[[Sexo]:[Sexo]]=$B71,IF(DATOS_[[AGRUP. CLAS. PROF.]:[AGRUP. CLAS. PROF.]]=$B69,IF(DATOS_[[Check Periodo Ref.]:[Check Periodo Ref.]]="Dentro",DATOS_[Conc.Sal.10]))))),
0)</f>
        <v>0</v>
      </c>
      <c r="P71" s="170">
        <f t="array" ref="P71">IFERROR(
AVERAGE((IF(DATOS_[[Sexo]:[Sexo]]=$B71,IF(DATOS_[[AGRUP. CLAS. PROF.]:[AGRUP. CLAS. PROF.]]=$B69,IF(DATOS_[[Check Periodo Ref.]:[Check Periodo Ref.]]="Dentro",DATOS_[Conc.Sal.11]))))),
0)</f>
        <v>0</v>
      </c>
      <c r="Q71" s="170">
        <f t="array" ref="Q71">IFERROR(
AVERAGE((IF(DATOS_[[Sexo]:[Sexo]]=$B71,IF(DATOS_[[AGRUP. CLAS. PROF.]:[AGRUP. CLAS. PROF.]]=$B69,IF(DATOS_[[Check Periodo Ref.]:[Check Periodo Ref.]]="Dentro",DATOS_[Conc.Sal.12]))))),
0)</f>
        <v>0</v>
      </c>
      <c r="R71" s="170">
        <f t="array" ref="R71">IFERROR(
AVERAGE((IF(DATOS_[[Sexo]:[Sexo]]=$B71,IF(DATOS_[[AGRUP. CLAS. PROF.]:[AGRUP. CLAS. PROF.]]=$B69,IF(DATOS_[[Check Periodo Ref.]:[Check Periodo Ref.]]="Dentro",DATOS_[Conc.Sal.13]))))),
0)</f>
        <v>0</v>
      </c>
      <c r="S71" s="170">
        <f t="array" ref="S71">IFERROR(
AVERAGE((IF(DATOS_[[Sexo]:[Sexo]]=$B71,IF(DATOS_[[AGRUP. CLAS. PROF.]:[AGRUP. CLAS. PROF.]]=$B69,IF(DATOS_[[Check Periodo Ref.]:[Check Periodo Ref.]]="Dentro",DATOS_[Conc.Sal.14]))))),
0)</f>
        <v>0</v>
      </c>
      <c r="T71" s="170">
        <f t="array" ref="T71">IFERROR(
AVERAGE((IF(DATOS_[[Sexo]:[Sexo]]=$B71,IF(DATOS_[[AGRUP. CLAS. PROF.]:[AGRUP. CLAS. PROF.]]=$B69,IF(DATOS_[[Check Periodo Ref.]:[Check Periodo Ref.]]="Dentro",DATOS_[Conc.Sal.15]))))),
0)</f>
        <v>0</v>
      </c>
      <c r="U71" s="170">
        <f t="array" ref="U71">IFERROR(
AVERAGE((IF(DATOS_[[Sexo]:[Sexo]]=$B71,IF(DATOS_[[AGRUP. CLAS. PROF.]:[AGRUP. CLAS. PROF.]]=$B69,IF(DATOS_[[Check Periodo Ref.]:[Check Periodo Ref.]]="Dentro",DATOS_[Conc.Sal.16]))))),
0)</f>
        <v>0</v>
      </c>
      <c r="V71" s="170">
        <f t="array" ref="V71">IFERROR(
AVERAGE((IF(DATOS_[[Sexo]:[Sexo]]=$B71,IF(DATOS_[[AGRUP. CLAS. PROF.]:[AGRUP. CLAS. PROF.]]=$B69,IF(DATOS_[[Check Periodo Ref.]:[Check Periodo Ref.]]="Dentro",DATOS_[Conc.Sal.17]))))),
0)</f>
        <v>0</v>
      </c>
      <c r="W71" s="170">
        <f t="array" ref="W71">IFERROR(
AVERAGE((IF(DATOS_[[Sexo]:[Sexo]]=$B71,IF(DATOS_[[AGRUP. CLAS. PROF.]:[AGRUP. CLAS. PROF.]]=$B69,IF(DATOS_[[Check Periodo Ref.]:[Check Periodo Ref.]]="Dentro",DATOS_[Conc.Sal.18]))))),
0)</f>
        <v>0</v>
      </c>
      <c r="X71" s="170">
        <f t="array" ref="X71">IFERROR(
AVERAGE((IF(DATOS_[[Sexo]:[Sexo]]=$B71,IF(DATOS_[[AGRUP. CLAS. PROF.]:[AGRUP. CLAS. PROF.]]=$B69,IF(DATOS_[[Check Periodo Ref.]:[Check Periodo Ref.]]="Dentro",DATOS_[Conc.Sal.19]))))),
0)</f>
        <v>0</v>
      </c>
      <c r="Y71" s="170">
        <f t="array" ref="Y71">IFERROR(
AVERAGE((IF(DATOS_[[Sexo]:[Sexo]]=$B71,IF(DATOS_[[AGRUP. CLAS. PROF.]:[AGRUP. CLAS. PROF.]]=$B69,IF(DATOS_[[Check Periodo Ref.]:[Check Periodo Ref.]]="Dentro",DATOS_[Conc.Sal.20]))))),
0)</f>
        <v>0</v>
      </c>
      <c r="Z71" s="170">
        <f t="array" ref="Z71">IFERROR(
AVERAGE((IF(DATOS_[[Sexo]:[Sexo]]=$B71,IF(DATOS_[[AGRUP. CLAS. PROF.]:[AGRUP. CLAS. PROF.]]=$B69,IF(DATOS_[[Check Periodo Ref.]:[Check Periodo Ref.]]="Dentro",DATOS_[Conc.Sal.21]))))),
0)</f>
        <v>0</v>
      </c>
      <c r="AA71" s="170">
        <f t="array" ref="AA71">IFERROR(
AVERAGE((IF(DATOS_[[Sexo]:[Sexo]]=$B71,IF(DATOS_[[AGRUP. CLAS. PROF.]:[AGRUP. CLAS. PROF.]]=$B69,IF(DATOS_[[Check Periodo Ref.]:[Check Periodo Ref.]]="Dentro",DATOS_[Conc.Sal.22]))))),
0)</f>
        <v>0</v>
      </c>
      <c r="AB71" s="170">
        <f t="array" ref="AB71">IFERROR(
AVERAGE((IF(DATOS_[[Sexo]:[Sexo]]=$B71,IF(DATOS_[[AGRUP. CLAS. PROF.]:[AGRUP. CLAS. PROF.]]=$B69,IF(DATOS_[[Check Periodo Ref.]:[Check Periodo Ref.]]="Dentro",DATOS_[Conc.Sal.23]))))),
0)</f>
        <v>0</v>
      </c>
      <c r="AC71" s="170">
        <f t="array" ref="AC71">IFERROR(
AVERAGE((IF(DATOS_[[Sexo]:[Sexo]]=$B71,IF(DATOS_[[AGRUP. CLAS. PROF.]:[AGRUP. CLAS. PROF.]]=$B69,IF(DATOS_[[Check Periodo Ref.]:[Check Periodo Ref.]]="Dentro",DATOS_[Conc.Sal.24]))))),
0)</f>
        <v>0</v>
      </c>
      <c r="AD71" s="170">
        <f t="array" ref="AD71">IFERROR(
AVERAGE((IF(DATOS_[[Sexo]:[Sexo]]=$B71,IF(DATOS_[[AGRUP. CLAS. PROF.]:[AGRUP. CLAS. PROF.]]=$B69,IF(DATOS_[[Check Periodo Ref.]:[Check Periodo Ref.]]="Dentro",DATOS_[Conc.Sal.25]))))),
0)</f>
        <v>0</v>
      </c>
      <c r="AE71" s="170">
        <f t="array" ref="AE71">IFERROR(
AVERAGE((IF(DATOS_[[Sexo]:[Sexo]]=$B71,IF(DATOS_[[AGRUP. CLAS. PROF.]:[AGRUP. CLAS. PROF.]]=$B69,IF(DATOS_[[Check Periodo Ref.]:[Check Periodo Ref.]]="Dentro",DATOS_[Conc.Sal.26]))))),
0)</f>
        <v>0</v>
      </c>
      <c r="AF71" s="170">
        <f t="array" ref="AF71">IFERROR(
AVERAGE((IF(DATOS_[[Sexo]:[Sexo]]=$B71,IF(DATOS_[[AGRUP. CLAS. PROF.]:[AGRUP. CLAS. PROF.]]=$B69,IF(DATOS_[[Check Periodo Ref.]:[Check Periodo Ref.]]="Dentro",DATOS_[Conc.Sal.27]))))),
0)</f>
        <v>0</v>
      </c>
      <c r="AG71" s="170">
        <f t="array" ref="AG71">IFERROR(
AVERAGE((IF(DATOS_[[Sexo]:[Sexo]]=$B71,IF(DATOS_[[AGRUP. CLAS. PROF.]:[AGRUP. CLAS. PROF.]]=$B69,IF(DATOS_[[Check Periodo Ref.]:[Check Periodo Ref.]]="Dentro",DATOS_[Conc.Sal.28]))))),
0)</f>
        <v>0</v>
      </c>
      <c r="AH71" s="170">
        <f t="array" ref="AH71">IFERROR(
AVERAGE((IF(DATOS_[[Sexo]:[Sexo]]=$B71,IF(DATOS_[[AGRUP. CLAS. PROF.]:[AGRUP. CLAS. PROF.]]=$B69,IF(DATOS_[[Check Periodo Ref.]:[Check Periodo Ref.]]="Dentro",DATOS_[Conc.Sal.29]))))),
0)</f>
        <v>0</v>
      </c>
      <c r="AI71" s="170">
        <f t="array" ref="AI71">IFERROR(
AVERAGE((IF(DATOS_[[Sexo]:[Sexo]]=$B71,IF(DATOS_[[AGRUP. CLAS. PROF.]:[AGRUP. CLAS. PROF.]]=$B69,IF(DATOS_[[Check Periodo Ref.]:[Check Periodo Ref.]]="Dentro",DATOS_[Conc.Sal.30]))))),
0)</f>
        <v>0</v>
      </c>
      <c r="AJ71" s="171">
        <f t="array" ref="AJ71">IFERROR(
AVERAGE(IF(DATOS_[Sexo]=$B71,IF(DATOS_[AGRUP. CLAS. PROF.]=$B69,IF(DATOS_[Check Periodo Ref.]="Dentro",DATOS_[Tot COMPL.SAL Ef],FALSE)))),
0)</f>
        <v>0</v>
      </c>
      <c r="AK71" s="172">
        <f t="array" ref="AK71">IFERROR(
AVERAGE(IF(DATOS_[Sexo]=$B71,IF(DATOS_[AGRUP. CLAS. PROF.]=$B69,IF(DATOS_[Check Periodo Ref.]="Dentro",DATOS_[TOTAL SALARIO Ef],FALSE)))),
0)</f>
        <v>0</v>
      </c>
      <c r="AL71" s="173">
        <f t="array" ref="AL71">IFERROR(
AVERAGE((IF(DATOS_[[Sexo]:[Sexo]]=$B71,IF(DATOS_[[AGRUP. CLAS. PROF.]:[AGRUP. CLAS. PROF.]]=$B69,IF(DATOS_[[Check Periodo Ref.]:[Check Periodo Ref.]]="Dentro",DATOS_[C.Extra.01]))))),
0)</f>
        <v>0</v>
      </c>
      <c r="AM71" s="173">
        <f t="array" ref="AM71">IFERROR(
AVERAGE((IF(DATOS_[[Sexo]:[Sexo]]=$B71,IF(DATOS_[[AGRUP. CLAS. PROF.]:[AGRUP. CLAS. PROF.]]=$B69,IF(DATOS_[[Check Periodo Ref.]:[Check Periodo Ref.]]="Dentro",DATOS_[C.Extra.06]))))),
0)</f>
        <v>0</v>
      </c>
      <c r="AN71" s="173">
        <f t="array" ref="AN71">IFERROR(
AVERAGE((IF(DATOS_[[Sexo]:[Sexo]]=$B71,IF(DATOS_[[AGRUP. CLAS. PROF.]:[AGRUP. CLAS. PROF.]]=$B69,IF(DATOS_[[Check Periodo Ref.]:[Check Periodo Ref.]]="Dentro",DATOS_[C.Extra.07]))))),
0)</f>
        <v>0</v>
      </c>
      <c r="AO71" s="173">
        <f t="array" ref="AO71">IFERROR(
AVERAGE((IF(DATOS_[[Sexo]:[Sexo]]=$B71,IF(DATOS_[[AGRUP. CLAS. PROF.]:[AGRUP. CLAS. PROF.]]=$B69,IF(DATOS_[[Check Periodo Ref.]:[Check Periodo Ref.]]="Dentro",DATOS_[C.Extra.08]))))),
0)</f>
        <v>0</v>
      </c>
      <c r="AP71" s="173">
        <f t="array" ref="AP71">IFERROR(
AVERAGE((IF(DATOS_[[Sexo]:[Sexo]]=$B71,IF(DATOS_[[AGRUP. CLAS. PROF.]:[AGRUP. CLAS. PROF.]]=$B69,IF(DATOS_[[Check Periodo Ref.]:[Check Periodo Ref.]]="Dentro",DATOS_[C.Extra.11]))))),
0)</f>
        <v>0</v>
      </c>
      <c r="AQ71" s="174">
        <f t="array" ref="AQ71">IFERROR(
AVERAGE(IF(DATOS_[Sexo]=$B71,IF(DATOS_[AGRUP. CLAS. PROF.]=$B69,IF(DATOS_[Check Periodo Ref.]="Dentro",DATOS_[Tot Extrasalarial Ef],FALSE)))),
0)</f>
        <v>0</v>
      </c>
      <c r="AR71" s="171">
        <f t="array" ref="AR71">IFERROR(
AVERAGE(IF(DATOS_[Sexo]=$B71,IF(DATOS_[AGRUP. CLAS. PROF.]=$B69,IF(DATOS_[Check Periodo Ref.]="Dentro",DATOS_[TOTAL Retrib Ef],FALSE)))),
0)</f>
        <v>0</v>
      </c>
    </row>
    <row r="72" spans="1:44" s="152" customFormat="1" ht="14.4" thickBot="1" x14ac:dyDescent="0.3">
      <c r="A72" s="135" t="str">
        <f t="shared" ref="A72" si="79">+A73</f>
        <v>[ocultar]</v>
      </c>
      <c r="B72" s="153" t="s">
        <v>256</v>
      </c>
      <c r="C72" s="154"/>
      <c r="D72" s="155"/>
      <c r="E72" s="156" t="str">
        <f t="shared" ref="E72:AR72" si="80">IFERROR((E73-E74)/E73,"")</f>
        <v/>
      </c>
      <c r="F72" s="157" t="str">
        <f t="shared" si="80"/>
        <v/>
      </c>
      <c r="G72" s="158" t="str">
        <f t="shared" si="80"/>
        <v/>
      </c>
      <c r="H72" s="158" t="str">
        <f t="shared" si="80"/>
        <v/>
      </c>
      <c r="I72" s="158" t="str">
        <f t="shared" si="80"/>
        <v/>
      </c>
      <c r="J72" s="159" t="str">
        <f t="shared" si="80"/>
        <v/>
      </c>
      <c r="K72" s="160" t="str">
        <f t="shared" si="80"/>
        <v/>
      </c>
      <c r="L72" s="160" t="str">
        <f t="shared" si="80"/>
        <v/>
      </c>
      <c r="M72" s="160" t="str">
        <f t="shared" si="80"/>
        <v/>
      </c>
      <c r="N72" s="160" t="str">
        <f t="shared" si="80"/>
        <v/>
      </c>
      <c r="O72" s="160" t="str">
        <f t="shared" si="80"/>
        <v/>
      </c>
      <c r="P72" s="160" t="str">
        <f t="shared" si="80"/>
        <v/>
      </c>
      <c r="Q72" s="160" t="str">
        <f t="shared" si="80"/>
        <v/>
      </c>
      <c r="R72" s="160" t="str">
        <f t="shared" si="80"/>
        <v/>
      </c>
      <c r="S72" s="160" t="str">
        <f t="shared" si="80"/>
        <v/>
      </c>
      <c r="T72" s="160" t="str">
        <f t="shared" si="80"/>
        <v/>
      </c>
      <c r="U72" s="160" t="str">
        <f t="shared" si="80"/>
        <v/>
      </c>
      <c r="V72" s="159" t="str">
        <f t="shared" si="80"/>
        <v/>
      </c>
      <c r="W72" s="159" t="str">
        <f t="shared" si="80"/>
        <v/>
      </c>
      <c r="X72" s="159" t="str">
        <f t="shared" si="80"/>
        <v/>
      </c>
      <c r="Y72" s="159" t="str">
        <f t="shared" si="80"/>
        <v/>
      </c>
      <c r="Z72" s="159" t="str">
        <f t="shared" si="80"/>
        <v/>
      </c>
      <c r="AA72" s="159" t="str">
        <f t="shared" si="80"/>
        <v/>
      </c>
      <c r="AB72" s="159" t="str">
        <f t="shared" si="80"/>
        <v/>
      </c>
      <c r="AC72" s="159" t="str">
        <f t="shared" si="80"/>
        <v/>
      </c>
      <c r="AD72" s="159" t="str">
        <f t="shared" si="80"/>
        <v/>
      </c>
      <c r="AE72" s="159" t="str">
        <f t="shared" si="80"/>
        <v/>
      </c>
      <c r="AF72" s="159" t="str">
        <f t="shared" si="80"/>
        <v/>
      </c>
      <c r="AG72" s="159" t="str">
        <f t="shared" si="80"/>
        <v/>
      </c>
      <c r="AH72" s="159" t="str">
        <f t="shared" si="80"/>
        <v/>
      </c>
      <c r="AI72" s="159" t="str">
        <f t="shared" si="80"/>
        <v/>
      </c>
      <c r="AJ72" s="161" t="str">
        <f t="shared" si="80"/>
        <v/>
      </c>
      <c r="AK72" s="162" t="str">
        <f t="shared" si="80"/>
        <v/>
      </c>
      <c r="AL72" s="163" t="str">
        <f t="shared" si="80"/>
        <v/>
      </c>
      <c r="AM72" s="163" t="str">
        <f t="shared" si="80"/>
        <v/>
      </c>
      <c r="AN72" s="163" t="str">
        <f t="shared" si="80"/>
        <v/>
      </c>
      <c r="AO72" s="163" t="str">
        <f t="shared" si="80"/>
        <v/>
      </c>
      <c r="AP72" s="163" t="str">
        <f t="shared" si="80"/>
        <v/>
      </c>
      <c r="AQ72" s="164" t="str">
        <f t="shared" si="80"/>
        <v/>
      </c>
      <c r="AR72" s="161" t="str">
        <f t="shared" si="80"/>
        <v/>
      </c>
    </row>
    <row r="73" spans="1:44" x14ac:dyDescent="0.25">
      <c r="A73" s="135" t="str">
        <f t="shared" ref="A73" si="81">+IF(C73+C74=0,"[ocultar]","")</f>
        <v>[ocultar]</v>
      </c>
      <c r="B73" s="166" t="s">
        <v>394</v>
      </c>
      <c r="C73" s="167">
        <f t="array" ref="C73">SUM(IF($B73=DATOS_[Sexo],
IF($B72=DATOS_[AGRUP. CLAS. PROF.],
IF("Dentro"=DATOS_[Check Periodo Ref.],
1/(COUNTIFS(DATOS_[Sexo],$B73,DATOS_[AGRUP. CLAS. PROF.],$B72,DATOS_[Check Periodo Ref.],"Dentro",DATOS_[id/cod],DATOS_[id/cod]))))))</f>
        <v>0</v>
      </c>
      <c r="D73" s="168">
        <f>COUNTIFS(DATOS_[AGRUP. CLAS. PROF.],$B72,DATOS_[Sexo],$B73,DATOS_[Check Periodo Ref.],"Dentro")</f>
        <v>0</v>
      </c>
      <c r="E73" s="169">
        <f t="array" ref="E73">IFERROR(
AVERAGE(IF(DATOS_[Sexo]=$B73,IF(DATOS_[AGRUP. CLAS. PROF.]=$B72,IF(DATOS_[Check Periodo Ref.]="Dentro",DATOS_[SALARIO BASE Ef],FALSE)))),
0)</f>
        <v>0</v>
      </c>
      <c r="F73" s="170">
        <f t="array" ref="F73">IFERROR(
AVERAGE((IF(DATOS_[[Sexo]:[Sexo]]=$B73,IF(DATOS_[[AGRUP. CLAS. PROF.]:[AGRUP. CLAS. PROF.]]=$B72,IF(DATOS_[[Check Periodo Ref.]:[Check Periodo Ref.]]="Dentro",DATOS_[Conc.Sal.01]))))),
0)</f>
        <v>0</v>
      </c>
      <c r="G73" s="170">
        <f t="array" ref="G73">IFERROR(
AVERAGE((IF(DATOS_[[Sexo]:[Sexo]]=$B73,IF(DATOS_[[AGRUP. CLAS. PROF.]:[AGRUP. CLAS. PROF.]]=$B72,IF(DATOS_[[Check Periodo Ref.]:[Check Periodo Ref.]]="Dentro",DATOS_[Conc.Sal.02]))))),
0)</f>
        <v>0</v>
      </c>
      <c r="H73" s="170">
        <f t="array" ref="H73">IFERROR(
AVERAGE((IF(DATOS_[[Sexo]:[Sexo]]=$B73,IF(DATOS_[[AGRUP. CLAS. PROF.]:[AGRUP. CLAS. PROF.]]=$B72,IF(DATOS_[[Check Periodo Ref.]:[Check Periodo Ref.]]="Dentro",DATOS_[Conc.Sal.03]))))),
0)</f>
        <v>0</v>
      </c>
      <c r="I73" s="170">
        <f t="array" ref="I73">IFERROR(
AVERAGE((IF(DATOS_[[Sexo]:[Sexo]]=$B73,IF(DATOS_[[AGRUP. CLAS. PROF.]:[AGRUP. CLAS. PROF.]]=$B72,IF(DATOS_[[Check Periodo Ref.]:[Check Periodo Ref.]]="Dentro",DATOS_[Conc.Sal.04]))))),
0)</f>
        <v>0</v>
      </c>
      <c r="J73" s="170">
        <f t="array" ref="J73">IFERROR(
AVERAGE((IF(DATOS_[[Sexo]:[Sexo]]=$B73,IF(DATOS_[[AGRUP. CLAS. PROF.]:[AGRUP. CLAS. PROF.]]=$B72,IF(DATOS_[[Check Periodo Ref.]:[Check Periodo Ref.]]="Dentro",DATOS_[Conc.Sal.05]))))),
0)</f>
        <v>0</v>
      </c>
      <c r="K73" s="170">
        <f t="array" ref="K73">IFERROR(
AVERAGE((IF(DATOS_[[Sexo]:[Sexo]]=$B73,IF(DATOS_[[AGRUP. CLAS. PROF.]:[AGRUP. CLAS. PROF.]]=$B72,IF(DATOS_[[Check Periodo Ref.]:[Check Periodo Ref.]]="Dentro",DATOS_[Conc.Sal.06]))))),
0)</f>
        <v>0</v>
      </c>
      <c r="L73" s="170">
        <f t="array" ref="L73">IFERROR(
AVERAGE((IF(DATOS_[[Sexo]:[Sexo]]=$B73,IF(DATOS_[[AGRUP. CLAS. PROF.]:[AGRUP. CLAS. PROF.]]=$B72,IF(DATOS_[[Check Periodo Ref.]:[Check Periodo Ref.]]="Dentro",DATOS_[Conc.Sal.07]))))),
0)</f>
        <v>0</v>
      </c>
      <c r="M73" s="170">
        <f t="array" ref="M73">IFERROR(
AVERAGE((IF(DATOS_[[Sexo]:[Sexo]]=$B73,IF(DATOS_[[AGRUP. CLAS. PROF.]:[AGRUP. CLAS. PROF.]]=$B72,IF(DATOS_[[Check Periodo Ref.]:[Check Periodo Ref.]]="Dentro",DATOS_[Conc.Sal.08]))))),
0)</f>
        <v>0</v>
      </c>
      <c r="N73" s="170">
        <f t="array" ref="N73">IFERROR(
AVERAGE((IF(DATOS_[[Sexo]:[Sexo]]=$B73,IF(DATOS_[[AGRUP. CLAS. PROF.]:[AGRUP. CLAS. PROF.]]=$B72,IF(DATOS_[[Check Periodo Ref.]:[Check Periodo Ref.]]="Dentro",DATOS_[Conc.Sal.09]))))),
0)</f>
        <v>0</v>
      </c>
      <c r="O73" s="170">
        <f t="array" ref="O73">IFERROR(
AVERAGE((IF(DATOS_[[Sexo]:[Sexo]]=$B73,IF(DATOS_[[AGRUP. CLAS. PROF.]:[AGRUP. CLAS. PROF.]]=$B72,IF(DATOS_[[Check Periodo Ref.]:[Check Periodo Ref.]]="Dentro",DATOS_[Conc.Sal.10]))))),
0)</f>
        <v>0</v>
      </c>
      <c r="P73" s="170">
        <f t="array" ref="P73">IFERROR(
AVERAGE((IF(DATOS_[[Sexo]:[Sexo]]=$B73,IF(DATOS_[[AGRUP. CLAS. PROF.]:[AGRUP. CLAS. PROF.]]=$B72,IF(DATOS_[[Check Periodo Ref.]:[Check Periodo Ref.]]="Dentro",DATOS_[Conc.Sal.11]))))),
0)</f>
        <v>0</v>
      </c>
      <c r="Q73" s="170">
        <f t="array" ref="Q73">IFERROR(
AVERAGE((IF(DATOS_[[Sexo]:[Sexo]]=$B73,IF(DATOS_[[AGRUP. CLAS. PROF.]:[AGRUP. CLAS. PROF.]]=$B72,IF(DATOS_[[Check Periodo Ref.]:[Check Periodo Ref.]]="Dentro",DATOS_[Conc.Sal.12]))))),
0)</f>
        <v>0</v>
      </c>
      <c r="R73" s="170">
        <f t="array" ref="R73">IFERROR(
AVERAGE((IF(DATOS_[[Sexo]:[Sexo]]=$B73,IF(DATOS_[[AGRUP. CLAS. PROF.]:[AGRUP. CLAS. PROF.]]=$B72,IF(DATOS_[[Check Periodo Ref.]:[Check Periodo Ref.]]="Dentro",DATOS_[Conc.Sal.13]))))),
0)</f>
        <v>0</v>
      </c>
      <c r="S73" s="170">
        <f t="array" ref="S73">IFERROR(
AVERAGE((IF(DATOS_[[Sexo]:[Sexo]]=$B73,IF(DATOS_[[AGRUP. CLAS. PROF.]:[AGRUP. CLAS. PROF.]]=$B72,IF(DATOS_[[Check Periodo Ref.]:[Check Periodo Ref.]]="Dentro",DATOS_[Conc.Sal.14]))))),
0)</f>
        <v>0</v>
      </c>
      <c r="T73" s="170">
        <f t="array" ref="T73">IFERROR(
AVERAGE((IF(DATOS_[[Sexo]:[Sexo]]=$B73,IF(DATOS_[[AGRUP. CLAS. PROF.]:[AGRUP. CLAS. PROF.]]=$B72,IF(DATOS_[[Check Periodo Ref.]:[Check Periodo Ref.]]="Dentro",DATOS_[Conc.Sal.15]))))),
0)</f>
        <v>0</v>
      </c>
      <c r="U73" s="170">
        <f t="array" ref="U73">IFERROR(
AVERAGE((IF(DATOS_[[Sexo]:[Sexo]]=$B73,IF(DATOS_[[AGRUP. CLAS. PROF.]:[AGRUP. CLAS. PROF.]]=$B72,IF(DATOS_[[Check Periodo Ref.]:[Check Periodo Ref.]]="Dentro",DATOS_[Conc.Sal.16]))))),
0)</f>
        <v>0</v>
      </c>
      <c r="V73" s="170">
        <f t="array" ref="V73">IFERROR(
AVERAGE((IF(DATOS_[[Sexo]:[Sexo]]=$B73,IF(DATOS_[[AGRUP. CLAS. PROF.]:[AGRUP. CLAS. PROF.]]=$B72,IF(DATOS_[[Check Periodo Ref.]:[Check Periodo Ref.]]="Dentro",DATOS_[Conc.Sal.17]))))),
0)</f>
        <v>0</v>
      </c>
      <c r="W73" s="170">
        <f t="array" ref="W73">IFERROR(
AVERAGE((IF(DATOS_[[Sexo]:[Sexo]]=$B73,IF(DATOS_[[AGRUP. CLAS. PROF.]:[AGRUP. CLAS. PROF.]]=$B72,IF(DATOS_[[Check Periodo Ref.]:[Check Periodo Ref.]]="Dentro",DATOS_[Conc.Sal.18]))))),
0)</f>
        <v>0</v>
      </c>
      <c r="X73" s="170">
        <f t="array" ref="X73">IFERROR(
AVERAGE((IF(DATOS_[[Sexo]:[Sexo]]=$B73,IF(DATOS_[[AGRUP. CLAS. PROF.]:[AGRUP. CLAS. PROF.]]=$B72,IF(DATOS_[[Check Periodo Ref.]:[Check Periodo Ref.]]="Dentro",DATOS_[Conc.Sal.19]))))),
0)</f>
        <v>0</v>
      </c>
      <c r="Y73" s="170">
        <f t="array" ref="Y73">IFERROR(
AVERAGE((IF(DATOS_[[Sexo]:[Sexo]]=$B73,IF(DATOS_[[AGRUP. CLAS. PROF.]:[AGRUP. CLAS. PROF.]]=$B72,IF(DATOS_[[Check Periodo Ref.]:[Check Periodo Ref.]]="Dentro",DATOS_[Conc.Sal.20]))))),
0)</f>
        <v>0</v>
      </c>
      <c r="Z73" s="170">
        <f t="array" ref="Z73">IFERROR(
AVERAGE((IF(DATOS_[[Sexo]:[Sexo]]=$B73,IF(DATOS_[[AGRUP. CLAS. PROF.]:[AGRUP. CLAS. PROF.]]=$B72,IF(DATOS_[[Check Periodo Ref.]:[Check Periodo Ref.]]="Dentro",DATOS_[Conc.Sal.21]))))),
0)</f>
        <v>0</v>
      </c>
      <c r="AA73" s="170">
        <f t="array" ref="AA73">IFERROR(
AVERAGE((IF(DATOS_[[Sexo]:[Sexo]]=$B73,IF(DATOS_[[AGRUP. CLAS. PROF.]:[AGRUP. CLAS. PROF.]]=$B72,IF(DATOS_[[Check Periodo Ref.]:[Check Periodo Ref.]]="Dentro",DATOS_[Conc.Sal.22]))))),
0)</f>
        <v>0</v>
      </c>
      <c r="AB73" s="170">
        <f t="array" ref="AB73">IFERROR(
AVERAGE((IF(DATOS_[[Sexo]:[Sexo]]=$B73,IF(DATOS_[[AGRUP. CLAS. PROF.]:[AGRUP. CLAS. PROF.]]=$B72,IF(DATOS_[[Check Periodo Ref.]:[Check Periodo Ref.]]="Dentro",DATOS_[Conc.Sal.23]))))),
0)</f>
        <v>0</v>
      </c>
      <c r="AC73" s="170">
        <f t="array" ref="AC73">IFERROR(
AVERAGE((IF(DATOS_[[Sexo]:[Sexo]]=$B73,IF(DATOS_[[AGRUP. CLAS. PROF.]:[AGRUP. CLAS. PROF.]]=$B72,IF(DATOS_[[Check Periodo Ref.]:[Check Periodo Ref.]]="Dentro",DATOS_[Conc.Sal.24]))))),
0)</f>
        <v>0</v>
      </c>
      <c r="AD73" s="170">
        <f t="array" ref="AD73">IFERROR(
AVERAGE((IF(DATOS_[[Sexo]:[Sexo]]=$B73,IF(DATOS_[[AGRUP. CLAS. PROF.]:[AGRUP. CLAS. PROF.]]=$B72,IF(DATOS_[[Check Periodo Ref.]:[Check Periodo Ref.]]="Dentro",DATOS_[Conc.Sal.25]))))),
0)</f>
        <v>0</v>
      </c>
      <c r="AE73" s="170">
        <f t="array" ref="AE73">IFERROR(
AVERAGE((IF(DATOS_[[Sexo]:[Sexo]]=$B73,IF(DATOS_[[AGRUP. CLAS. PROF.]:[AGRUP. CLAS. PROF.]]=$B72,IF(DATOS_[[Check Periodo Ref.]:[Check Periodo Ref.]]="Dentro",DATOS_[Conc.Sal.26]))))),
0)</f>
        <v>0</v>
      </c>
      <c r="AF73" s="170">
        <f t="array" ref="AF73">IFERROR(
AVERAGE((IF(DATOS_[[Sexo]:[Sexo]]=$B73,IF(DATOS_[[AGRUP. CLAS. PROF.]:[AGRUP. CLAS. PROF.]]=$B72,IF(DATOS_[[Check Periodo Ref.]:[Check Periodo Ref.]]="Dentro",DATOS_[Conc.Sal.27]))))),
0)</f>
        <v>0</v>
      </c>
      <c r="AG73" s="170">
        <f t="array" ref="AG73">IFERROR(
AVERAGE((IF(DATOS_[[Sexo]:[Sexo]]=$B73,IF(DATOS_[[AGRUP. CLAS. PROF.]:[AGRUP. CLAS. PROF.]]=$B72,IF(DATOS_[[Check Periodo Ref.]:[Check Periodo Ref.]]="Dentro",DATOS_[Conc.Sal.28]))))),
0)</f>
        <v>0</v>
      </c>
      <c r="AH73" s="170">
        <f t="array" ref="AH73">IFERROR(
AVERAGE((IF(DATOS_[[Sexo]:[Sexo]]=$B73,IF(DATOS_[[AGRUP. CLAS. PROF.]:[AGRUP. CLAS. PROF.]]=$B72,IF(DATOS_[[Check Periodo Ref.]:[Check Periodo Ref.]]="Dentro",DATOS_[Conc.Sal.29]))))),
0)</f>
        <v>0</v>
      </c>
      <c r="AI73" s="170">
        <f t="array" ref="AI73">IFERROR(
AVERAGE((IF(DATOS_[[Sexo]:[Sexo]]=$B73,IF(DATOS_[[AGRUP. CLAS. PROF.]:[AGRUP. CLAS. PROF.]]=$B72,IF(DATOS_[[Check Periodo Ref.]:[Check Periodo Ref.]]="Dentro",DATOS_[Conc.Sal.30]))))),
0)</f>
        <v>0</v>
      </c>
      <c r="AJ73" s="171">
        <f t="array" ref="AJ73">IFERROR(
AVERAGE(IF(DATOS_[Sexo]=$B73,IF(DATOS_[AGRUP. CLAS. PROF.]=$B72,IF(DATOS_[Check Periodo Ref.]="Dentro",DATOS_[Tot COMPL.SAL Ef],FALSE)))),
0)</f>
        <v>0</v>
      </c>
      <c r="AK73" s="172">
        <f t="array" ref="AK73">IFERROR(
AVERAGE(IF(DATOS_[Sexo]=$B73,IF(DATOS_[AGRUP. CLAS. PROF.]=$B72,IF(DATOS_[Check Periodo Ref.]="Dentro",DATOS_[TOTAL SALARIO Ef],FALSE)))),
0)</f>
        <v>0</v>
      </c>
      <c r="AL73" s="173">
        <f t="array" ref="AL73">IFERROR(
AVERAGE((IF(DATOS_[[Sexo]:[Sexo]]=$B73,IF(DATOS_[[AGRUP. CLAS. PROF.]:[AGRUP. CLAS. PROF.]]=$B72,IF(DATOS_[[Check Periodo Ref.]:[Check Periodo Ref.]]="Dentro",DATOS_[C.Extra.01]))))),
0)</f>
        <v>0</v>
      </c>
      <c r="AM73" s="173">
        <f t="array" ref="AM73">IFERROR(
AVERAGE((IF(DATOS_[[Sexo]:[Sexo]]=$B73,IF(DATOS_[[AGRUP. CLAS. PROF.]:[AGRUP. CLAS. PROF.]]=$B72,IF(DATOS_[[Check Periodo Ref.]:[Check Periodo Ref.]]="Dentro",DATOS_[C.Extra.06]))))),
0)</f>
        <v>0</v>
      </c>
      <c r="AN73" s="173">
        <f t="array" ref="AN73">IFERROR(
AVERAGE((IF(DATOS_[[Sexo]:[Sexo]]=$B73,IF(DATOS_[[AGRUP. CLAS. PROF.]:[AGRUP. CLAS. PROF.]]=$B72,IF(DATOS_[[Check Periodo Ref.]:[Check Periodo Ref.]]="Dentro",DATOS_[C.Extra.07]))))),
0)</f>
        <v>0</v>
      </c>
      <c r="AO73" s="173">
        <f t="array" ref="AO73">IFERROR(
AVERAGE((IF(DATOS_[[Sexo]:[Sexo]]=$B73,IF(DATOS_[[AGRUP. CLAS. PROF.]:[AGRUP. CLAS. PROF.]]=$B72,IF(DATOS_[[Check Periodo Ref.]:[Check Periodo Ref.]]="Dentro",DATOS_[C.Extra.08]))))),
0)</f>
        <v>0</v>
      </c>
      <c r="AP73" s="173">
        <f t="array" ref="AP73">IFERROR(
AVERAGE((IF(DATOS_[[Sexo]:[Sexo]]=$B73,IF(DATOS_[[AGRUP. CLAS. PROF.]:[AGRUP. CLAS. PROF.]]=$B72,IF(DATOS_[[Check Periodo Ref.]:[Check Periodo Ref.]]="Dentro",DATOS_[C.Extra.11]))))),
0)</f>
        <v>0</v>
      </c>
      <c r="AQ73" s="174">
        <f t="array" ref="AQ73">IFERROR(
AVERAGE(IF(DATOS_[Sexo]=$B73,IF(DATOS_[AGRUP. CLAS. PROF.]=$B72,IF(DATOS_[Check Periodo Ref.]="Dentro",DATOS_[Tot Extrasalarial Ef],FALSE)))),
0)</f>
        <v>0</v>
      </c>
      <c r="AR73" s="171">
        <f t="array" ref="AR73">IFERROR(
AVERAGE(IF(DATOS_[Sexo]=$B73,IF(DATOS_[AGRUP. CLAS. PROF.]=$B72,IF(DATOS_[Check Periodo Ref.]="Dentro",DATOS_[TOTAL Retrib Ef],FALSE)))),
0)</f>
        <v>0</v>
      </c>
    </row>
    <row r="74" spans="1:44" x14ac:dyDescent="0.25">
      <c r="A74" s="135" t="str">
        <f t="shared" ref="A74" si="82">+A73</f>
        <v>[ocultar]</v>
      </c>
      <c r="B74" s="166" t="s">
        <v>521</v>
      </c>
      <c r="C74" s="167">
        <f t="array" ref="C74">SUM(IF($B74=DATOS_[Sexo],
IF($B72=DATOS_[AGRUP. CLAS. PROF.],
IF("Dentro"=DATOS_[Check Periodo Ref.],
1/(COUNTIFS(DATOS_[Sexo],$B74,DATOS_[AGRUP. CLAS. PROF.],$B72,DATOS_[Check Periodo Ref.],"Dentro",DATOS_[id/cod],DATOS_[id/cod]))))))</f>
        <v>0</v>
      </c>
      <c r="D74" s="168">
        <f>COUNTIFS(DATOS_[AGRUP. CLAS. PROF.],$B72,DATOS_[Sexo],$B74,DATOS_[Check Periodo Ref.],"Dentro")</f>
        <v>0</v>
      </c>
      <c r="E74" s="169">
        <f t="array" ref="E74">IFERROR(
AVERAGE(IF(DATOS_[Sexo]=$B74,IF(DATOS_[AGRUP. CLAS. PROF.]=$B72,IF(DATOS_[Check Periodo Ref.]="Dentro",DATOS_[SALARIO BASE Ef],FALSE)))),
0)</f>
        <v>0</v>
      </c>
      <c r="F74" s="170">
        <f t="array" ref="F74">IFERROR(
AVERAGE((IF(DATOS_[[Sexo]:[Sexo]]=$B74,IF(DATOS_[[AGRUP. CLAS. PROF.]:[AGRUP. CLAS. PROF.]]=$B72,IF(DATOS_[[Check Periodo Ref.]:[Check Periodo Ref.]]="Dentro",DATOS_[Conc.Sal.01]))))),
0)</f>
        <v>0</v>
      </c>
      <c r="G74" s="170">
        <f t="array" ref="G74">IFERROR(
AVERAGE((IF(DATOS_[[Sexo]:[Sexo]]=$B74,IF(DATOS_[[AGRUP. CLAS. PROF.]:[AGRUP. CLAS. PROF.]]=$B72,IF(DATOS_[[Check Periodo Ref.]:[Check Periodo Ref.]]="Dentro",DATOS_[Conc.Sal.02]))))),
0)</f>
        <v>0</v>
      </c>
      <c r="H74" s="170">
        <f t="array" ref="H74">IFERROR(
AVERAGE((IF(DATOS_[[Sexo]:[Sexo]]=$B74,IF(DATOS_[[AGRUP. CLAS. PROF.]:[AGRUP. CLAS. PROF.]]=$B72,IF(DATOS_[[Check Periodo Ref.]:[Check Periodo Ref.]]="Dentro",DATOS_[Conc.Sal.03]))))),
0)</f>
        <v>0</v>
      </c>
      <c r="I74" s="170">
        <f t="array" ref="I74">IFERROR(
AVERAGE((IF(DATOS_[[Sexo]:[Sexo]]=$B74,IF(DATOS_[[AGRUP. CLAS. PROF.]:[AGRUP. CLAS. PROF.]]=$B72,IF(DATOS_[[Check Periodo Ref.]:[Check Periodo Ref.]]="Dentro",DATOS_[Conc.Sal.04]))))),
0)</f>
        <v>0</v>
      </c>
      <c r="J74" s="170">
        <f t="array" ref="J74">IFERROR(
AVERAGE((IF(DATOS_[[Sexo]:[Sexo]]=$B74,IF(DATOS_[[AGRUP. CLAS. PROF.]:[AGRUP. CLAS. PROF.]]=$B72,IF(DATOS_[[Check Periodo Ref.]:[Check Periodo Ref.]]="Dentro",DATOS_[Conc.Sal.05]))))),
0)</f>
        <v>0</v>
      </c>
      <c r="K74" s="170">
        <f t="array" ref="K74">IFERROR(
AVERAGE((IF(DATOS_[[Sexo]:[Sexo]]=$B74,IF(DATOS_[[AGRUP. CLAS. PROF.]:[AGRUP. CLAS. PROF.]]=$B72,IF(DATOS_[[Check Periodo Ref.]:[Check Periodo Ref.]]="Dentro",DATOS_[Conc.Sal.06]))))),
0)</f>
        <v>0</v>
      </c>
      <c r="L74" s="170">
        <f t="array" ref="L74">IFERROR(
AVERAGE((IF(DATOS_[[Sexo]:[Sexo]]=$B74,IF(DATOS_[[AGRUP. CLAS. PROF.]:[AGRUP. CLAS. PROF.]]=$B72,IF(DATOS_[[Check Periodo Ref.]:[Check Periodo Ref.]]="Dentro",DATOS_[Conc.Sal.07]))))),
0)</f>
        <v>0</v>
      </c>
      <c r="M74" s="170">
        <f t="array" ref="M74">IFERROR(
AVERAGE((IF(DATOS_[[Sexo]:[Sexo]]=$B74,IF(DATOS_[[AGRUP. CLAS. PROF.]:[AGRUP. CLAS. PROF.]]=$B72,IF(DATOS_[[Check Periodo Ref.]:[Check Periodo Ref.]]="Dentro",DATOS_[Conc.Sal.08]))))),
0)</f>
        <v>0</v>
      </c>
      <c r="N74" s="170">
        <f t="array" ref="N74">IFERROR(
AVERAGE((IF(DATOS_[[Sexo]:[Sexo]]=$B74,IF(DATOS_[[AGRUP. CLAS. PROF.]:[AGRUP. CLAS. PROF.]]=$B72,IF(DATOS_[[Check Periodo Ref.]:[Check Periodo Ref.]]="Dentro",DATOS_[Conc.Sal.09]))))),
0)</f>
        <v>0</v>
      </c>
      <c r="O74" s="170">
        <f t="array" ref="O74">IFERROR(
AVERAGE((IF(DATOS_[[Sexo]:[Sexo]]=$B74,IF(DATOS_[[AGRUP. CLAS. PROF.]:[AGRUP. CLAS. PROF.]]=$B72,IF(DATOS_[[Check Periodo Ref.]:[Check Periodo Ref.]]="Dentro",DATOS_[Conc.Sal.10]))))),
0)</f>
        <v>0</v>
      </c>
      <c r="P74" s="170">
        <f t="array" ref="P74">IFERROR(
AVERAGE((IF(DATOS_[[Sexo]:[Sexo]]=$B74,IF(DATOS_[[AGRUP. CLAS. PROF.]:[AGRUP. CLAS. PROF.]]=$B72,IF(DATOS_[[Check Periodo Ref.]:[Check Periodo Ref.]]="Dentro",DATOS_[Conc.Sal.11]))))),
0)</f>
        <v>0</v>
      </c>
      <c r="Q74" s="170">
        <f t="array" ref="Q74">IFERROR(
AVERAGE((IF(DATOS_[[Sexo]:[Sexo]]=$B74,IF(DATOS_[[AGRUP. CLAS. PROF.]:[AGRUP. CLAS. PROF.]]=$B72,IF(DATOS_[[Check Periodo Ref.]:[Check Periodo Ref.]]="Dentro",DATOS_[Conc.Sal.12]))))),
0)</f>
        <v>0</v>
      </c>
      <c r="R74" s="170">
        <f t="array" ref="R74">IFERROR(
AVERAGE((IF(DATOS_[[Sexo]:[Sexo]]=$B74,IF(DATOS_[[AGRUP. CLAS. PROF.]:[AGRUP. CLAS. PROF.]]=$B72,IF(DATOS_[[Check Periodo Ref.]:[Check Periodo Ref.]]="Dentro",DATOS_[Conc.Sal.13]))))),
0)</f>
        <v>0</v>
      </c>
      <c r="S74" s="170">
        <f t="array" ref="S74">IFERROR(
AVERAGE((IF(DATOS_[[Sexo]:[Sexo]]=$B74,IF(DATOS_[[AGRUP. CLAS. PROF.]:[AGRUP. CLAS. PROF.]]=$B72,IF(DATOS_[[Check Periodo Ref.]:[Check Periodo Ref.]]="Dentro",DATOS_[Conc.Sal.14]))))),
0)</f>
        <v>0</v>
      </c>
      <c r="T74" s="170">
        <f t="array" ref="T74">IFERROR(
AVERAGE((IF(DATOS_[[Sexo]:[Sexo]]=$B74,IF(DATOS_[[AGRUP. CLAS. PROF.]:[AGRUP. CLAS. PROF.]]=$B72,IF(DATOS_[[Check Periodo Ref.]:[Check Periodo Ref.]]="Dentro",DATOS_[Conc.Sal.15]))))),
0)</f>
        <v>0</v>
      </c>
      <c r="U74" s="170">
        <f t="array" ref="U74">IFERROR(
AVERAGE((IF(DATOS_[[Sexo]:[Sexo]]=$B74,IF(DATOS_[[AGRUP. CLAS. PROF.]:[AGRUP. CLAS. PROF.]]=$B72,IF(DATOS_[[Check Periodo Ref.]:[Check Periodo Ref.]]="Dentro",DATOS_[Conc.Sal.16]))))),
0)</f>
        <v>0</v>
      </c>
      <c r="V74" s="170">
        <f t="array" ref="V74">IFERROR(
AVERAGE((IF(DATOS_[[Sexo]:[Sexo]]=$B74,IF(DATOS_[[AGRUP. CLAS. PROF.]:[AGRUP. CLAS. PROF.]]=$B72,IF(DATOS_[[Check Periodo Ref.]:[Check Periodo Ref.]]="Dentro",DATOS_[Conc.Sal.17]))))),
0)</f>
        <v>0</v>
      </c>
      <c r="W74" s="170">
        <f t="array" ref="W74">IFERROR(
AVERAGE((IF(DATOS_[[Sexo]:[Sexo]]=$B74,IF(DATOS_[[AGRUP. CLAS. PROF.]:[AGRUP. CLAS. PROF.]]=$B72,IF(DATOS_[[Check Periodo Ref.]:[Check Periodo Ref.]]="Dentro",DATOS_[Conc.Sal.18]))))),
0)</f>
        <v>0</v>
      </c>
      <c r="X74" s="170">
        <f t="array" ref="X74">IFERROR(
AVERAGE((IF(DATOS_[[Sexo]:[Sexo]]=$B74,IF(DATOS_[[AGRUP. CLAS. PROF.]:[AGRUP. CLAS. PROF.]]=$B72,IF(DATOS_[[Check Periodo Ref.]:[Check Periodo Ref.]]="Dentro",DATOS_[Conc.Sal.19]))))),
0)</f>
        <v>0</v>
      </c>
      <c r="Y74" s="170">
        <f t="array" ref="Y74">IFERROR(
AVERAGE((IF(DATOS_[[Sexo]:[Sexo]]=$B74,IF(DATOS_[[AGRUP. CLAS. PROF.]:[AGRUP. CLAS. PROF.]]=$B72,IF(DATOS_[[Check Periodo Ref.]:[Check Periodo Ref.]]="Dentro",DATOS_[Conc.Sal.20]))))),
0)</f>
        <v>0</v>
      </c>
      <c r="Z74" s="170">
        <f t="array" ref="Z74">IFERROR(
AVERAGE((IF(DATOS_[[Sexo]:[Sexo]]=$B74,IF(DATOS_[[AGRUP. CLAS. PROF.]:[AGRUP. CLAS. PROF.]]=$B72,IF(DATOS_[[Check Periodo Ref.]:[Check Periodo Ref.]]="Dentro",DATOS_[Conc.Sal.21]))))),
0)</f>
        <v>0</v>
      </c>
      <c r="AA74" s="170">
        <f t="array" ref="AA74">IFERROR(
AVERAGE((IF(DATOS_[[Sexo]:[Sexo]]=$B74,IF(DATOS_[[AGRUP. CLAS. PROF.]:[AGRUP. CLAS. PROF.]]=$B72,IF(DATOS_[[Check Periodo Ref.]:[Check Periodo Ref.]]="Dentro",DATOS_[Conc.Sal.22]))))),
0)</f>
        <v>0</v>
      </c>
      <c r="AB74" s="170">
        <f t="array" ref="AB74">IFERROR(
AVERAGE((IF(DATOS_[[Sexo]:[Sexo]]=$B74,IF(DATOS_[[AGRUP. CLAS. PROF.]:[AGRUP. CLAS. PROF.]]=$B72,IF(DATOS_[[Check Periodo Ref.]:[Check Periodo Ref.]]="Dentro",DATOS_[Conc.Sal.23]))))),
0)</f>
        <v>0</v>
      </c>
      <c r="AC74" s="170">
        <f t="array" ref="AC74">IFERROR(
AVERAGE((IF(DATOS_[[Sexo]:[Sexo]]=$B74,IF(DATOS_[[AGRUP. CLAS. PROF.]:[AGRUP. CLAS. PROF.]]=$B72,IF(DATOS_[[Check Periodo Ref.]:[Check Periodo Ref.]]="Dentro",DATOS_[Conc.Sal.24]))))),
0)</f>
        <v>0</v>
      </c>
      <c r="AD74" s="170">
        <f t="array" ref="AD74">IFERROR(
AVERAGE((IF(DATOS_[[Sexo]:[Sexo]]=$B74,IF(DATOS_[[AGRUP. CLAS. PROF.]:[AGRUP. CLAS. PROF.]]=$B72,IF(DATOS_[[Check Periodo Ref.]:[Check Periodo Ref.]]="Dentro",DATOS_[Conc.Sal.25]))))),
0)</f>
        <v>0</v>
      </c>
      <c r="AE74" s="170">
        <f t="array" ref="AE74">IFERROR(
AVERAGE((IF(DATOS_[[Sexo]:[Sexo]]=$B74,IF(DATOS_[[AGRUP. CLAS. PROF.]:[AGRUP. CLAS. PROF.]]=$B72,IF(DATOS_[[Check Periodo Ref.]:[Check Periodo Ref.]]="Dentro",DATOS_[Conc.Sal.26]))))),
0)</f>
        <v>0</v>
      </c>
      <c r="AF74" s="170">
        <f t="array" ref="AF74">IFERROR(
AVERAGE((IF(DATOS_[[Sexo]:[Sexo]]=$B74,IF(DATOS_[[AGRUP. CLAS. PROF.]:[AGRUP. CLAS. PROF.]]=$B72,IF(DATOS_[[Check Periodo Ref.]:[Check Periodo Ref.]]="Dentro",DATOS_[Conc.Sal.27]))))),
0)</f>
        <v>0</v>
      </c>
      <c r="AG74" s="170">
        <f t="array" ref="AG74">IFERROR(
AVERAGE((IF(DATOS_[[Sexo]:[Sexo]]=$B74,IF(DATOS_[[AGRUP. CLAS. PROF.]:[AGRUP. CLAS. PROF.]]=$B72,IF(DATOS_[[Check Periodo Ref.]:[Check Periodo Ref.]]="Dentro",DATOS_[Conc.Sal.28]))))),
0)</f>
        <v>0</v>
      </c>
      <c r="AH74" s="170">
        <f t="array" ref="AH74">IFERROR(
AVERAGE((IF(DATOS_[[Sexo]:[Sexo]]=$B74,IF(DATOS_[[AGRUP. CLAS. PROF.]:[AGRUP. CLAS. PROF.]]=$B72,IF(DATOS_[[Check Periodo Ref.]:[Check Periodo Ref.]]="Dentro",DATOS_[Conc.Sal.29]))))),
0)</f>
        <v>0</v>
      </c>
      <c r="AI74" s="170">
        <f t="array" ref="AI74">IFERROR(
AVERAGE((IF(DATOS_[[Sexo]:[Sexo]]=$B74,IF(DATOS_[[AGRUP. CLAS. PROF.]:[AGRUP. CLAS. PROF.]]=$B72,IF(DATOS_[[Check Periodo Ref.]:[Check Periodo Ref.]]="Dentro",DATOS_[Conc.Sal.30]))))),
0)</f>
        <v>0</v>
      </c>
      <c r="AJ74" s="171">
        <f t="array" ref="AJ74">IFERROR(
AVERAGE(IF(DATOS_[Sexo]=$B74,IF(DATOS_[AGRUP. CLAS. PROF.]=$B72,IF(DATOS_[Check Periodo Ref.]="Dentro",DATOS_[Tot COMPL.SAL Ef],FALSE)))),
0)</f>
        <v>0</v>
      </c>
      <c r="AK74" s="172">
        <f t="array" ref="AK74">IFERROR(
AVERAGE(IF(DATOS_[Sexo]=$B74,IF(DATOS_[AGRUP. CLAS. PROF.]=$B72,IF(DATOS_[Check Periodo Ref.]="Dentro",DATOS_[TOTAL SALARIO Ef],FALSE)))),
0)</f>
        <v>0</v>
      </c>
      <c r="AL74" s="173">
        <f t="array" ref="AL74">IFERROR(
AVERAGE((IF(DATOS_[[Sexo]:[Sexo]]=$B74,IF(DATOS_[[AGRUP. CLAS. PROF.]:[AGRUP. CLAS. PROF.]]=$B72,IF(DATOS_[[Check Periodo Ref.]:[Check Periodo Ref.]]="Dentro",DATOS_[C.Extra.01]))))),
0)</f>
        <v>0</v>
      </c>
      <c r="AM74" s="173">
        <f t="array" ref="AM74">IFERROR(
AVERAGE((IF(DATOS_[[Sexo]:[Sexo]]=$B74,IF(DATOS_[[AGRUP. CLAS. PROF.]:[AGRUP. CLAS. PROF.]]=$B72,IF(DATOS_[[Check Periodo Ref.]:[Check Periodo Ref.]]="Dentro",DATOS_[C.Extra.06]))))),
0)</f>
        <v>0</v>
      </c>
      <c r="AN74" s="173">
        <f t="array" ref="AN74">IFERROR(
AVERAGE((IF(DATOS_[[Sexo]:[Sexo]]=$B74,IF(DATOS_[[AGRUP. CLAS. PROF.]:[AGRUP. CLAS. PROF.]]=$B72,IF(DATOS_[[Check Periodo Ref.]:[Check Periodo Ref.]]="Dentro",DATOS_[C.Extra.07]))))),
0)</f>
        <v>0</v>
      </c>
      <c r="AO74" s="173">
        <f t="array" ref="AO74">IFERROR(
AVERAGE((IF(DATOS_[[Sexo]:[Sexo]]=$B74,IF(DATOS_[[AGRUP. CLAS. PROF.]:[AGRUP. CLAS. PROF.]]=$B72,IF(DATOS_[[Check Periodo Ref.]:[Check Periodo Ref.]]="Dentro",DATOS_[C.Extra.08]))))),
0)</f>
        <v>0</v>
      </c>
      <c r="AP74" s="173">
        <f t="array" ref="AP74">IFERROR(
AVERAGE((IF(DATOS_[[Sexo]:[Sexo]]=$B74,IF(DATOS_[[AGRUP. CLAS. PROF.]:[AGRUP. CLAS. PROF.]]=$B72,IF(DATOS_[[Check Periodo Ref.]:[Check Periodo Ref.]]="Dentro",DATOS_[C.Extra.11]))))),
0)</f>
        <v>0</v>
      </c>
      <c r="AQ74" s="174">
        <f t="array" ref="AQ74">IFERROR(
AVERAGE(IF(DATOS_[Sexo]=$B74,IF(DATOS_[AGRUP. CLAS. PROF.]=$B72,IF(DATOS_[Check Periodo Ref.]="Dentro",DATOS_[Tot Extrasalarial Ef],FALSE)))),
0)</f>
        <v>0</v>
      </c>
      <c r="AR74" s="171">
        <f t="array" ref="AR74">IFERROR(
AVERAGE(IF(DATOS_[Sexo]=$B74,IF(DATOS_[AGRUP. CLAS. PROF.]=$B72,IF(DATOS_[Check Periodo Ref.]="Dentro",DATOS_[TOTAL Retrib Ef],FALSE)))),
0)</f>
        <v>0</v>
      </c>
    </row>
    <row r="75" spans="1:44" s="152" customFormat="1" ht="14.4" thickBot="1" x14ac:dyDescent="0.3">
      <c r="A75" s="135" t="str">
        <f t="shared" ref="A75" si="83">+A76</f>
        <v>[ocultar]</v>
      </c>
      <c r="B75" s="153" t="s">
        <v>260</v>
      </c>
      <c r="C75" s="154"/>
      <c r="D75" s="155"/>
      <c r="E75" s="156" t="str">
        <f t="shared" ref="E75:AR75" si="84">IFERROR((E76-E77)/E76,"")</f>
        <v/>
      </c>
      <c r="F75" s="157" t="str">
        <f t="shared" si="84"/>
        <v/>
      </c>
      <c r="G75" s="158" t="str">
        <f t="shared" si="84"/>
        <v/>
      </c>
      <c r="H75" s="158" t="str">
        <f t="shared" si="84"/>
        <v/>
      </c>
      <c r="I75" s="158" t="str">
        <f t="shared" si="84"/>
        <v/>
      </c>
      <c r="J75" s="159" t="str">
        <f t="shared" si="84"/>
        <v/>
      </c>
      <c r="K75" s="160" t="str">
        <f t="shared" si="84"/>
        <v/>
      </c>
      <c r="L75" s="160" t="str">
        <f t="shared" si="84"/>
        <v/>
      </c>
      <c r="M75" s="160" t="str">
        <f t="shared" si="84"/>
        <v/>
      </c>
      <c r="N75" s="160" t="str">
        <f t="shared" si="84"/>
        <v/>
      </c>
      <c r="O75" s="160" t="str">
        <f t="shared" si="84"/>
        <v/>
      </c>
      <c r="P75" s="160" t="str">
        <f t="shared" si="84"/>
        <v/>
      </c>
      <c r="Q75" s="160" t="str">
        <f t="shared" si="84"/>
        <v/>
      </c>
      <c r="R75" s="160" t="str">
        <f t="shared" si="84"/>
        <v/>
      </c>
      <c r="S75" s="160" t="str">
        <f t="shared" si="84"/>
        <v/>
      </c>
      <c r="T75" s="160" t="str">
        <f t="shared" si="84"/>
        <v/>
      </c>
      <c r="U75" s="160" t="str">
        <f t="shared" si="84"/>
        <v/>
      </c>
      <c r="V75" s="159" t="str">
        <f t="shared" si="84"/>
        <v/>
      </c>
      <c r="W75" s="159" t="str">
        <f t="shared" si="84"/>
        <v/>
      </c>
      <c r="X75" s="159" t="str">
        <f t="shared" si="84"/>
        <v/>
      </c>
      <c r="Y75" s="159" t="str">
        <f t="shared" si="84"/>
        <v/>
      </c>
      <c r="Z75" s="159" t="str">
        <f t="shared" si="84"/>
        <v/>
      </c>
      <c r="AA75" s="159" t="str">
        <f t="shared" si="84"/>
        <v/>
      </c>
      <c r="AB75" s="159" t="str">
        <f t="shared" si="84"/>
        <v/>
      </c>
      <c r="AC75" s="159" t="str">
        <f t="shared" si="84"/>
        <v/>
      </c>
      <c r="AD75" s="159" t="str">
        <f t="shared" si="84"/>
        <v/>
      </c>
      <c r="AE75" s="159" t="str">
        <f t="shared" si="84"/>
        <v/>
      </c>
      <c r="AF75" s="159" t="str">
        <f t="shared" si="84"/>
        <v/>
      </c>
      <c r="AG75" s="159" t="str">
        <f t="shared" si="84"/>
        <v/>
      </c>
      <c r="AH75" s="159" t="str">
        <f t="shared" si="84"/>
        <v/>
      </c>
      <c r="AI75" s="159" t="str">
        <f t="shared" si="84"/>
        <v/>
      </c>
      <c r="AJ75" s="161" t="str">
        <f t="shared" si="84"/>
        <v/>
      </c>
      <c r="AK75" s="162" t="str">
        <f t="shared" si="84"/>
        <v/>
      </c>
      <c r="AL75" s="163" t="str">
        <f t="shared" si="84"/>
        <v/>
      </c>
      <c r="AM75" s="163" t="str">
        <f t="shared" si="84"/>
        <v/>
      </c>
      <c r="AN75" s="163" t="str">
        <f t="shared" si="84"/>
        <v/>
      </c>
      <c r="AO75" s="163" t="str">
        <f t="shared" si="84"/>
        <v/>
      </c>
      <c r="AP75" s="163" t="str">
        <f t="shared" si="84"/>
        <v/>
      </c>
      <c r="AQ75" s="164" t="str">
        <f t="shared" si="84"/>
        <v/>
      </c>
      <c r="AR75" s="161" t="str">
        <f t="shared" si="84"/>
        <v/>
      </c>
    </row>
    <row r="76" spans="1:44" x14ac:dyDescent="0.25">
      <c r="A76" s="135" t="str">
        <f t="shared" ref="A76" si="85">+IF(C76+C77=0,"[ocultar]","")</f>
        <v>[ocultar]</v>
      </c>
      <c r="B76" s="166" t="s">
        <v>394</v>
      </c>
      <c r="C76" s="167">
        <f t="array" ref="C76">SUM(IF($B76=DATOS_[Sexo],
IF($B75=DATOS_[AGRUP. CLAS. PROF.],
IF("Dentro"=DATOS_[Check Periodo Ref.],
1/(COUNTIFS(DATOS_[Sexo],$B76,DATOS_[AGRUP. CLAS. PROF.],$B75,DATOS_[Check Periodo Ref.],"Dentro",DATOS_[id/cod],DATOS_[id/cod]))))))</f>
        <v>0</v>
      </c>
      <c r="D76" s="168">
        <f>COUNTIFS(DATOS_[AGRUP. CLAS. PROF.],$B75,DATOS_[Sexo],$B76,DATOS_[Check Periodo Ref.],"Dentro")</f>
        <v>0</v>
      </c>
      <c r="E76" s="169">
        <f t="array" ref="E76">IFERROR(
AVERAGE(IF(DATOS_[Sexo]=$B76,IF(DATOS_[AGRUP. CLAS. PROF.]=$B75,IF(DATOS_[Check Periodo Ref.]="Dentro",DATOS_[SALARIO BASE Ef],FALSE)))),
0)</f>
        <v>0</v>
      </c>
      <c r="F76" s="170">
        <f t="array" ref="F76">IFERROR(
AVERAGE((IF(DATOS_[[Sexo]:[Sexo]]=$B76,IF(DATOS_[[AGRUP. CLAS. PROF.]:[AGRUP. CLAS. PROF.]]=$B75,IF(DATOS_[[Check Periodo Ref.]:[Check Periodo Ref.]]="Dentro",DATOS_[Conc.Sal.01]))))),
0)</f>
        <v>0</v>
      </c>
      <c r="G76" s="170">
        <f t="array" ref="G76">IFERROR(
AVERAGE((IF(DATOS_[[Sexo]:[Sexo]]=$B76,IF(DATOS_[[AGRUP. CLAS. PROF.]:[AGRUP. CLAS. PROF.]]=$B75,IF(DATOS_[[Check Periodo Ref.]:[Check Periodo Ref.]]="Dentro",DATOS_[Conc.Sal.02]))))),
0)</f>
        <v>0</v>
      </c>
      <c r="H76" s="170">
        <f t="array" ref="H76">IFERROR(
AVERAGE((IF(DATOS_[[Sexo]:[Sexo]]=$B76,IF(DATOS_[[AGRUP. CLAS. PROF.]:[AGRUP. CLAS. PROF.]]=$B75,IF(DATOS_[[Check Periodo Ref.]:[Check Periodo Ref.]]="Dentro",DATOS_[Conc.Sal.03]))))),
0)</f>
        <v>0</v>
      </c>
      <c r="I76" s="170">
        <f t="array" ref="I76">IFERROR(
AVERAGE((IF(DATOS_[[Sexo]:[Sexo]]=$B76,IF(DATOS_[[AGRUP. CLAS. PROF.]:[AGRUP. CLAS. PROF.]]=$B75,IF(DATOS_[[Check Periodo Ref.]:[Check Periodo Ref.]]="Dentro",DATOS_[Conc.Sal.04]))))),
0)</f>
        <v>0</v>
      </c>
      <c r="J76" s="170">
        <f t="array" ref="J76">IFERROR(
AVERAGE((IF(DATOS_[[Sexo]:[Sexo]]=$B76,IF(DATOS_[[AGRUP. CLAS. PROF.]:[AGRUP. CLAS. PROF.]]=$B75,IF(DATOS_[[Check Periodo Ref.]:[Check Periodo Ref.]]="Dentro",DATOS_[Conc.Sal.05]))))),
0)</f>
        <v>0</v>
      </c>
      <c r="K76" s="170">
        <f t="array" ref="K76">IFERROR(
AVERAGE((IF(DATOS_[[Sexo]:[Sexo]]=$B76,IF(DATOS_[[AGRUP. CLAS. PROF.]:[AGRUP. CLAS. PROF.]]=$B75,IF(DATOS_[[Check Periodo Ref.]:[Check Periodo Ref.]]="Dentro",DATOS_[Conc.Sal.06]))))),
0)</f>
        <v>0</v>
      </c>
      <c r="L76" s="170">
        <f t="array" ref="L76">IFERROR(
AVERAGE((IF(DATOS_[[Sexo]:[Sexo]]=$B76,IF(DATOS_[[AGRUP. CLAS. PROF.]:[AGRUP. CLAS. PROF.]]=$B75,IF(DATOS_[[Check Periodo Ref.]:[Check Periodo Ref.]]="Dentro",DATOS_[Conc.Sal.07]))))),
0)</f>
        <v>0</v>
      </c>
      <c r="M76" s="170">
        <f t="array" ref="M76">IFERROR(
AVERAGE((IF(DATOS_[[Sexo]:[Sexo]]=$B76,IF(DATOS_[[AGRUP. CLAS. PROF.]:[AGRUP. CLAS. PROF.]]=$B75,IF(DATOS_[[Check Periodo Ref.]:[Check Periodo Ref.]]="Dentro",DATOS_[Conc.Sal.08]))))),
0)</f>
        <v>0</v>
      </c>
      <c r="N76" s="170">
        <f t="array" ref="N76">IFERROR(
AVERAGE((IF(DATOS_[[Sexo]:[Sexo]]=$B76,IF(DATOS_[[AGRUP. CLAS. PROF.]:[AGRUP. CLAS. PROF.]]=$B75,IF(DATOS_[[Check Periodo Ref.]:[Check Periodo Ref.]]="Dentro",DATOS_[Conc.Sal.09]))))),
0)</f>
        <v>0</v>
      </c>
      <c r="O76" s="170">
        <f t="array" ref="O76">IFERROR(
AVERAGE((IF(DATOS_[[Sexo]:[Sexo]]=$B76,IF(DATOS_[[AGRUP. CLAS. PROF.]:[AGRUP. CLAS. PROF.]]=$B75,IF(DATOS_[[Check Periodo Ref.]:[Check Periodo Ref.]]="Dentro",DATOS_[Conc.Sal.10]))))),
0)</f>
        <v>0</v>
      </c>
      <c r="P76" s="170">
        <f t="array" ref="P76">IFERROR(
AVERAGE((IF(DATOS_[[Sexo]:[Sexo]]=$B76,IF(DATOS_[[AGRUP. CLAS. PROF.]:[AGRUP. CLAS. PROF.]]=$B75,IF(DATOS_[[Check Periodo Ref.]:[Check Periodo Ref.]]="Dentro",DATOS_[Conc.Sal.11]))))),
0)</f>
        <v>0</v>
      </c>
      <c r="Q76" s="170">
        <f t="array" ref="Q76">IFERROR(
AVERAGE((IF(DATOS_[[Sexo]:[Sexo]]=$B76,IF(DATOS_[[AGRUP. CLAS. PROF.]:[AGRUP. CLAS. PROF.]]=$B75,IF(DATOS_[[Check Periodo Ref.]:[Check Periodo Ref.]]="Dentro",DATOS_[Conc.Sal.12]))))),
0)</f>
        <v>0</v>
      </c>
      <c r="R76" s="170">
        <f t="array" ref="R76">IFERROR(
AVERAGE((IF(DATOS_[[Sexo]:[Sexo]]=$B76,IF(DATOS_[[AGRUP. CLAS. PROF.]:[AGRUP. CLAS. PROF.]]=$B75,IF(DATOS_[[Check Periodo Ref.]:[Check Periodo Ref.]]="Dentro",DATOS_[Conc.Sal.13]))))),
0)</f>
        <v>0</v>
      </c>
      <c r="S76" s="170">
        <f t="array" ref="S76">IFERROR(
AVERAGE((IF(DATOS_[[Sexo]:[Sexo]]=$B76,IF(DATOS_[[AGRUP. CLAS. PROF.]:[AGRUP. CLAS. PROF.]]=$B75,IF(DATOS_[[Check Periodo Ref.]:[Check Periodo Ref.]]="Dentro",DATOS_[Conc.Sal.14]))))),
0)</f>
        <v>0</v>
      </c>
      <c r="T76" s="170">
        <f t="array" ref="T76">IFERROR(
AVERAGE((IF(DATOS_[[Sexo]:[Sexo]]=$B76,IF(DATOS_[[AGRUP. CLAS. PROF.]:[AGRUP. CLAS. PROF.]]=$B75,IF(DATOS_[[Check Periodo Ref.]:[Check Periodo Ref.]]="Dentro",DATOS_[Conc.Sal.15]))))),
0)</f>
        <v>0</v>
      </c>
      <c r="U76" s="170">
        <f t="array" ref="U76">IFERROR(
AVERAGE((IF(DATOS_[[Sexo]:[Sexo]]=$B76,IF(DATOS_[[AGRUP. CLAS. PROF.]:[AGRUP. CLAS. PROF.]]=$B75,IF(DATOS_[[Check Periodo Ref.]:[Check Periodo Ref.]]="Dentro",DATOS_[Conc.Sal.16]))))),
0)</f>
        <v>0</v>
      </c>
      <c r="V76" s="170">
        <f t="array" ref="V76">IFERROR(
AVERAGE((IF(DATOS_[[Sexo]:[Sexo]]=$B76,IF(DATOS_[[AGRUP. CLAS. PROF.]:[AGRUP. CLAS. PROF.]]=$B75,IF(DATOS_[[Check Periodo Ref.]:[Check Periodo Ref.]]="Dentro",DATOS_[Conc.Sal.17]))))),
0)</f>
        <v>0</v>
      </c>
      <c r="W76" s="170">
        <f t="array" ref="W76">IFERROR(
AVERAGE((IF(DATOS_[[Sexo]:[Sexo]]=$B76,IF(DATOS_[[AGRUP. CLAS. PROF.]:[AGRUP. CLAS. PROF.]]=$B75,IF(DATOS_[[Check Periodo Ref.]:[Check Periodo Ref.]]="Dentro",DATOS_[Conc.Sal.18]))))),
0)</f>
        <v>0</v>
      </c>
      <c r="X76" s="170">
        <f t="array" ref="X76">IFERROR(
AVERAGE((IF(DATOS_[[Sexo]:[Sexo]]=$B76,IF(DATOS_[[AGRUP. CLAS. PROF.]:[AGRUP. CLAS. PROF.]]=$B75,IF(DATOS_[[Check Periodo Ref.]:[Check Periodo Ref.]]="Dentro",DATOS_[Conc.Sal.19]))))),
0)</f>
        <v>0</v>
      </c>
      <c r="Y76" s="170">
        <f t="array" ref="Y76">IFERROR(
AVERAGE((IF(DATOS_[[Sexo]:[Sexo]]=$B76,IF(DATOS_[[AGRUP. CLAS. PROF.]:[AGRUP. CLAS. PROF.]]=$B75,IF(DATOS_[[Check Periodo Ref.]:[Check Periodo Ref.]]="Dentro",DATOS_[Conc.Sal.20]))))),
0)</f>
        <v>0</v>
      </c>
      <c r="Z76" s="170">
        <f t="array" ref="Z76">IFERROR(
AVERAGE((IF(DATOS_[[Sexo]:[Sexo]]=$B76,IF(DATOS_[[AGRUP. CLAS. PROF.]:[AGRUP. CLAS. PROF.]]=$B75,IF(DATOS_[[Check Periodo Ref.]:[Check Periodo Ref.]]="Dentro",DATOS_[Conc.Sal.21]))))),
0)</f>
        <v>0</v>
      </c>
      <c r="AA76" s="170">
        <f t="array" ref="AA76">IFERROR(
AVERAGE((IF(DATOS_[[Sexo]:[Sexo]]=$B76,IF(DATOS_[[AGRUP. CLAS. PROF.]:[AGRUP. CLAS. PROF.]]=$B75,IF(DATOS_[[Check Periodo Ref.]:[Check Periodo Ref.]]="Dentro",DATOS_[Conc.Sal.22]))))),
0)</f>
        <v>0</v>
      </c>
      <c r="AB76" s="170">
        <f t="array" ref="AB76">IFERROR(
AVERAGE((IF(DATOS_[[Sexo]:[Sexo]]=$B76,IF(DATOS_[[AGRUP. CLAS. PROF.]:[AGRUP. CLAS. PROF.]]=$B75,IF(DATOS_[[Check Periodo Ref.]:[Check Periodo Ref.]]="Dentro",DATOS_[Conc.Sal.23]))))),
0)</f>
        <v>0</v>
      </c>
      <c r="AC76" s="170">
        <f t="array" ref="AC76">IFERROR(
AVERAGE((IF(DATOS_[[Sexo]:[Sexo]]=$B76,IF(DATOS_[[AGRUP. CLAS. PROF.]:[AGRUP. CLAS. PROF.]]=$B75,IF(DATOS_[[Check Periodo Ref.]:[Check Periodo Ref.]]="Dentro",DATOS_[Conc.Sal.24]))))),
0)</f>
        <v>0</v>
      </c>
      <c r="AD76" s="170">
        <f t="array" ref="AD76">IFERROR(
AVERAGE((IF(DATOS_[[Sexo]:[Sexo]]=$B76,IF(DATOS_[[AGRUP. CLAS. PROF.]:[AGRUP. CLAS. PROF.]]=$B75,IF(DATOS_[[Check Periodo Ref.]:[Check Periodo Ref.]]="Dentro",DATOS_[Conc.Sal.25]))))),
0)</f>
        <v>0</v>
      </c>
      <c r="AE76" s="170">
        <f t="array" ref="AE76">IFERROR(
AVERAGE((IF(DATOS_[[Sexo]:[Sexo]]=$B76,IF(DATOS_[[AGRUP. CLAS. PROF.]:[AGRUP. CLAS. PROF.]]=$B75,IF(DATOS_[[Check Periodo Ref.]:[Check Periodo Ref.]]="Dentro",DATOS_[Conc.Sal.26]))))),
0)</f>
        <v>0</v>
      </c>
      <c r="AF76" s="170">
        <f t="array" ref="AF76">IFERROR(
AVERAGE((IF(DATOS_[[Sexo]:[Sexo]]=$B76,IF(DATOS_[[AGRUP. CLAS. PROF.]:[AGRUP. CLAS. PROF.]]=$B75,IF(DATOS_[[Check Periodo Ref.]:[Check Periodo Ref.]]="Dentro",DATOS_[Conc.Sal.27]))))),
0)</f>
        <v>0</v>
      </c>
      <c r="AG76" s="170">
        <f t="array" ref="AG76">IFERROR(
AVERAGE((IF(DATOS_[[Sexo]:[Sexo]]=$B76,IF(DATOS_[[AGRUP. CLAS. PROF.]:[AGRUP. CLAS. PROF.]]=$B75,IF(DATOS_[[Check Periodo Ref.]:[Check Periodo Ref.]]="Dentro",DATOS_[Conc.Sal.28]))))),
0)</f>
        <v>0</v>
      </c>
      <c r="AH76" s="170">
        <f t="array" ref="AH76">IFERROR(
AVERAGE((IF(DATOS_[[Sexo]:[Sexo]]=$B76,IF(DATOS_[[AGRUP. CLAS. PROF.]:[AGRUP. CLAS. PROF.]]=$B75,IF(DATOS_[[Check Periodo Ref.]:[Check Periodo Ref.]]="Dentro",DATOS_[Conc.Sal.29]))))),
0)</f>
        <v>0</v>
      </c>
      <c r="AI76" s="170">
        <f t="array" ref="AI76">IFERROR(
AVERAGE((IF(DATOS_[[Sexo]:[Sexo]]=$B76,IF(DATOS_[[AGRUP. CLAS. PROF.]:[AGRUP. CLAS. PROF.]]=$B75,IF(DATOS_[[Check Periodo Ref.]:[Check Periodo Ref.]]="Dentro",DATOS_[Conc.Sal.30]))))),
0)</f>
        <v>0</v>
      </c>
      <c r="AJ76" s="171">
        <f t="array" ref="AJ76">IFERROR(
AVERAGE(IF(DATOS_[Sexo]=$B76,IF(DATOS_[AGRUP. CLAS. PROF.]=$B75,IF(DATOS_[Check Periodo Ref.]="Dentro",DATOS_[Tot COMPL.SAL Ef],FALSE)))),
0)</f>
        <v>0</v>
      </c>
      <c r="AK76" s="172">
        <f t="array" ref="AK76">IFERROR(
AVERAGE(IF(DATOS_[Sexo]=$B76,IF(DATOS_[AGRUP. CLAS. PROF.]=$B75,IF(DATOS_[Check Periodo Ref.]="Dentro",DATOS_[TOTAL SALARIO Ef],FALSE)))),
0)</f>
        <v>0</v>
      </c>
      <c r="AL76" s="173">
        <f t="array" ref="AL76">IFERROR(
AVERAGE((IF(DATOS_[[Sexo]:[Sexo]]=$B76,IF(DATOS_[[AGRUP. CLAS. PROF.]:[AGRUP. CLAS. PROF.]]=$B75,IF(DATOS_[[Check Periodo Ref.]:[Check Periodo Ref.]]="Dentro",DATOS_[C.Extra.01]))))),
0)</f>
        <v>0</v>
      </c>
      <c r="AM76" s="173">
        <f t="array" ref="AM76">IFERROR(
AVERAGE((IF(DATOS_[[Sexo]:[Sexo]]=$B76,IF(DATOS_[[AGRUP. CLAS. PROF.]:[AGRUP. CLAS. PROF.]]=$B75,IF(DATOS_[[Check Periodo Ref.]:[Check Periodo Ref.]]="Dentro",DATOS_[C.Extra.06]))))),
0)</f>
        <v>0</v>
      </c>
      <c r="AN76" s="173">
        <f t="array" ref="AN76">IFERROR(
AVERAGE((IF(DATOS_[[Sexo]:[Sexo]]=$B76,IF(DATOS_[[AGRUP. CLAS. PROF.]:[AGRUP. CLAS. PROF.]]=$B75,IF(DATOS_[[Check Periodo Ref.]:[Check Periodo Ref.]]="Dentro",DATOS_[C.Extra.07]))))),
0)</f>
        <v>0</v>
      </c>
      <c r="AO76" s="173">
        <f t="array" ref="AO76">IFERROR(
AVERAGE((IF(DATOS_[[Sexo]:[Sexo]]=$B76,IF(DATOS_[[AGRUP. CLAS. PROF.]:[AGRUP. CLAS. PROF.]]=$B75,IF(DATOS_[[Check Periodo Ref.]:[Check Periodo Ref.]]="Dentro",DATOS_[C.Extra.08]))))),
0)</f>
        <v>0</v>
      </c>
      <c r="AP76" s="173">
        <f t="array" ref="AP76">IFERROR(
AVERAGE((IF(DATOS_[[Sexo]:[Sexo]]=$B76,IF(DATOS_[[AGRUP. CLAS. PROF.]:[AGRUP. CLAS. PROF.]]=$B75,IF(DATOS_[[Check Periodo Ref.]:[Check Periodo Ref.]]="Dentro",DATOS_[C.Extra.11]))))),
0)</f>
        <v>0</v>
      </c>
      <c r="AQ76" s="174">
        <f t="array" ref="AQ76">IFERROR(
AVERAGE(IF(DATOS_[Sexo]=$B76,IF(DATOS_[AGRUP. CLAS. PROF.]=$B75,IF(DATOS_[Check Periodo Ref.]="Dentro",DATOS_[Tot Extrasalarial Ef],FALSE)))),
0)</f>
        <v>0</v>
      </c>
      <c r="AR76" s="171">
        <f t="array" ref="AR76">IFERROR(
AVERAGE(IF(DATOS_[Sexo]=$B76,IF(DATOS_[AGRUP. CLAS. PROF.]=$B75,IF(DATOS_[Check Periodo Ref.]="Dentro",DATOS_[TOTAL Retrib Ef],FALSE)))),
0)</f>
        <v>0</v>
      </c>
    </row>
    <row r="77" spans="1:44" x14ac:dyDescent="0.25">
      <c r="A77" s="135" t="str">
        <f t="shared" ref="A77" si="86">+A76</f>
        <v>[ocultar]</v>
      </c>
      <c r="B77" s="166" t="s">
        <v>521</v>
      </c>
      <c r="C77" s="167">
        <f t="array" ref="C77">SUM(IF($B77=DATOS_[Sexo],
IF($B75=DATOS_[AGRUP. CLAS. PROF.],
IF("Dentro"=DATOS_[Check Periodo Ref.],
1/(COUNTIFS(DATOS_[Sexo],$B77,DATOS_[AGRUP. CLAS. PROF.],$B75,DATOS_[Check Periodo Ref.],"Dentro",DATOS_[id/cod],DATOS_[id/cod]))))))</f>
        <v>0</v>
      </c>
      <c r="D77" s="168">
        <f>COUNTIFS(DATOS_[AGRUP. CLAS. PROF.],$B75,DATOS_[Sexo],$B77,DATOS_[Check Periodo Ref.],"Dentro")</f>
        <v>0</v>
      </c>
      <c r="E77" s="169">
        <f t="array" ref="E77">IFERROR(
AVERAGE(IF(DATOS_[Sexo]=$B77,IF(DATOS_[AGRUP. CLAS. PROF.]=$B75,IF(DATOS_[Check Periodo Ref.]="Dentro",DATOS_[SALARIO BASE Ef],FALSE)))),
0)</f>
        <v>0</v>
      </c>
      <c r="F77" s="170">
        <f t="array" ref="F77">IFERROR(
AVERAGE((IF(DATOS_[[Sexo]:[Sexo]]=$B77,IF(DATOS_[[AGRUP. CLAS. PROF.]:[AGRUP. CLAS. PROF.]]=$B75,IF(DATOS_[[Check Periodo Ref.]:[Check Periodo Ref.]]="Dentro",DATOS_[Conc.Sal.01]))))),
0)</f>
        <v>0</v>
      </c>
      <c r="G77" s="170">
        <f t="array" ref="G77">IFERROR(
AVERAGE((IF(DATOS_[[Sexo]:[Sexo]]=$B77,IF(DATOS_[[AGRUP. CLAS. PROF.]:[AGRUP. CLAS. PROF.]]=$B75,IF(DATOS_[[Check Periodo Ref.]:[Check Periodo Ref.]]="Dentro",DATOS_[Conc.Sal.02]))))),
0)</f>
        <v>0</v>
      </c>
      <c r="H77" s="170">
        <f t="array" ref="H77">IFERROR(
AVERAGE((IF(DATOS_[[Sexo]:[Sexo]]=$B77,IF(DATOS_[[AGRUP. CLAS. PROF.]:[AGRUP. CLAS. PROF.]]=$B75,IF(DATOS_[[Check Periodo Ref.]:[Check Periodo Ref.]]="Dentro",DATOS_[Conc.Sal.03]))))),
0)</f>
        <v>0</v>
      </c>
      <c r="I77" s="170">
        <f t="array" ref="I77">IFERROR(
AVERAGE((IF(DATOS_[[Sexo]:[Sexo]]=$B77,IF(DATOS_[[AGRUP. CLAS. PROF.]:[AGRUP. CLAS. PROF.]]=$B75,IF(DATOS_[[Check Periodo Ref.]:[Check Periodo Ref.]]="Dentro",DATOS_[Conc.Sal.04]))))),
0)</f>
        <v>0</v>
      </c>
      <c r="J77" s="170">
        <f t="array" ref="J77">IFERROR(
AVERAGE((IF(DATOS_[[Sexo]:[Sexo]]=$B77,IF(DATOS_[[AGRUP. CLAS. PROF.]:[AGRUP. CLAS. PROF.]]=$B75,IF(DATOS_[[Check Periodo Ref.]:[Check Periodo Ref.]]="Dentro",DATOS_[Conc.Sal.05]))))),
0)</f>
        <v>0</v>
      </c>
      <c r="K77" s="170">
        <f t="array" ref="K77">IFERROR(
AVERAGE((IF(DATOS_[[Sexo]:[Sexo]]=$B77,IF(DATOS_[[AGRUP. CLAS. PROF.]:[AGRUP. CLAS. PROF.]]=$B75,IF(DATOS_[[Check Periodo Ref.]:[Check Periodo Ref.]]="Dentro",DATOS_[Conc.Sal.06]))))),
0)</f>
        <v>0</v>
      </c>
      <c r="L77" s="170">
        <f t="array" ref="L77">IFERROR(
AVERAGE((IF(DATOS_[[Sexo]:[Sexo]]=$B77,IF(DATOS_[[AGRUP. CLAS. PROF.]:[AGRUP. CLAS. PROF.]]=$B75,IF(DATOS_[[Check Periodo Ref.]:[Check Periodo Ref.]]="Dentro",DATOS_[Conc.Sal.07]))))),
0)</f>
        <v>0</v>
      </c>
      <c r="M77" s="170">
        <f t="array" ref="M77">IFERROR(
AVERAGE((IF(DATOS_[[Sexo]:[Sexo]]=$B77,IF(DATOS_[[AGRUP. CLAS. PROF.]:[AGRUP. CLAS. PROF.]]=$B75,IF(DATOS_[[Check Periodo Ref.]:[Check Periodo Ref.]]="Dentro",DATOS_[Conc.Sal.08]))))),
0)</f>
        <v>0</v>
      </c>
      <c r="N77" s="170">
        <f t="array" ref="N77">IFERROR(
AVERAGE((IF(DATOS_[[Sexo]:[Sexo]]=$B77,IF(DATOS_[[AGRUP. CLAS. PROF.]:[AGRUP. CLAS. PROF.]]=$B75,IF(DATOS_[[Check Periodo Ref.]:[Check Periodo Ref.]]="Dentro",DATOS_[Conc.Sal.09]))))),
0)</f>
        <v>0</v>
      </c>
      <c r="O77" s="170">
        <f t="array" ref="O77">IFERROR(
AVERAGE((IF(DATOS_[[Sexo]:[Sexo]]=$B77,IF(DATOS_[[AGRUP. CLAS. PROF.]:[AGRUP. CLAS. PROF.]]=$B75,IF(DATOS_[[Check Periodo Ref.]:[Check Periodo Ref.]]="Dentro",DATOS_[Conc.Sal.10]))))),
0)</f>
        <v>0</v>
      </c>
      <c r="P77" s="170">
        <f t="array" ref="P77">IFERROR(
AVERAGE((IF(DATOS_[[Sexo]:[Sexo]]=$B77,IF(DATOS_[[AGRUP. CLAS. PROF.]:[AGRUP. CLAS. PROF.]]=$B75,IF(DATOS_[[Check Periodo Ref.]:[Check Periodo Ref.]]="Dentro",DATOS_[Conc.Sal.11]))))),
0)</f>
        <v>0</v>
      </c>
      <c r="Q77" s="170">
        <f t="array" ref="Q77">IFERROR(
AVERAGE((IF(DATOS_[[Sexo]:[Sexo]]=$B77,IF(DATOS_[[AGRUP. CLAS. PROF.]:[AGRUP. CLAS. PROF.]]=$B75,IF(DATOS_[[Check Periodo Ref.]:[Check Periodo Ref.]]="Dentro",DATOS_[Conc.Sal.12]))))),
0)</f>
        <v>0</v>
      </c>
      <c r="R77" s="170">
        <f t="array" ref="R77">IFERROR(
AVERAGE((IF(DATOS_[[Sexo]:[Sexo]]=$B77,IF(DATOS_[[AGRUP. CLAS. PROF.]:[AGRUP. CLAS. PROF.]]=$B75,IF(DATOS_[[Check Periodo Ref.]:[Check Periodo Ref.]]="Dentro",DATOS_[Conc.Sal.13]))))),
0)</f>
        <v>0</v>
      </c>
      <c r="S77" s="170">
        <f t="array" ref="S77">IFERROR(
AVERAGE((IF(DATOS_[[Sexo]:[Sexo]]=$B77,IF(DATOS_[[AGRUP. CLAS. PROF.]:[AGRUP. CLAS. PROF.]]=$B75,IF(DATOS_[[Check Periodo Ref.]:[Check Periodo Ref.]]="Dentro",DATOS_[Conc.Sal.14]))))),
0)</f>
        <v>0</v>
      </c>
      <c r="T77" s="170">
        <f t="array" ref="T77">IFERROR(
AVERAGE((IF(DATOS_[[Sexo]:[Sexo]]=$B77,IF(DATOS_[[AGRUP. CLAS. PROF.]:[AGRUP. CLAS. PROF.]]=$B75,IF(DATOS_[[Check Periodo Ref.]:[Check Periodo Ref.]]="Dentro",DATOS_[Conc.Sal.15]))))),
0)</f>
        <v>0</v>
      </c>
      <c r="U77" s="170">
        <f t="array" ref="U77">IFERROR(
AVERAGE((IF(DATOS_[[Sexo]:[Sexo]]=$B77,IF(DATOS_[[AGRUP. CLAS. PROF.]:[AGRUP. CLAS. PROF.]]=$B75,IF(DATOS_[[Check Periodo Ref.]:[Check Periodo Ref.]]="Dentro",DATOS_[Conc.Sal.16]))))),
0)</f>
        <v>0</v>
      </c>
      <c r="V77" s="170">
        <f t="array" ref="V77">IFERROR(
AVERAGE((IF(DATOS_[[Sexo]:[Sexo]]=$B77,IF(DATOS_[[AGRUP. CLAS. PROF.]:[AGRUP. CLAS. PROF.]]=$B75,IF(DATOS_[[Check Periodo Ref.]:[Check Periodo Ref.]]="Dentro",DATOS_[Conc.Sal.17]))))),
0)</f>
        <v>0</v>
      </c>
      <c r="W77" s="170">
        <f t="array" ref="W77">IFERROR(
AVERAGE((IF(DATOS_[[Sexo]:[Sexo]]=$B77,IF(DATOS_[[AGRUP. CLAS. PROF.]:[AGRUP. CLAS. PROF.]]=$B75,IF(DATOS_[[Check Periodo Ref.]:[Check Periodo Ref.]]="Dentro",DATOS_[Conc.Sal.18]))))),
0)</f>
        <v>0</v>
      </c>
      <c r="X77" s="170">
        <f t="array" ref="X77">IFERROR(
AVERAGE((IF(DATOS_[[Sexo]:[Sexo]]=$B77,IF(DATOS_[[AGRUP. CLAS. PROF.]:[AGRUP. CLAS. PROF.]]=$B75,IF(DATOS_[[Check Periodo Ref.]:[Check Periodo Ref.]]="Dentro",DATOS_[Conc.Sal.19]))))),
0)</f>
        <v>0</v>
      </c>
      <c r="Y77" s="170">
        <f t="array" ref="Y77">IFERROR(
AVERAGE((IF(DATOS_[[Sexo]:[Sexo]]=$B77,IF(DATOS_[[AGRUP. CLAS. PROF.]:[AGRUP. CLAS. PROF.]]=$B75,IF(DATOS_[[Check Periodo Ref.]:[Check Periodo Ref.]]="Dentro",DATOS_[Conc.Sal.20]))))),
0)</f>
        <v>0</v>
      </c>
      <c r="Z77" s="170">
        <f t="array" ref="Z77">IFERROR(
AVERAGE((IF(DATOS_[[Sexo]:[Sexo]]=$B77,IF(DATOS_[[AGRUP. CLAS. PROF.]:[AGRUP. CLAS. PROF.]]=$B75,IF(DATOS_[[Check Periodo Ref.]:[Check Periodo Ref.]]="Dentro",DATOS_[Conc.Sal.21]))))),
0)</f>
        <v>0</v>
      </c>
      <c r="AA77" s="170">
        <f t="array" ref="AA77">IFERROR(
AVERAGE((IF(DATOS_[[Sexo]:[Sexo]]=$B77,IF(DATOS_[[AGRUP. CLAS. PROF.]:[AGRUP. CLAS. PROF.]]=$B75,IF(DATOS_[[Check Periodo Ref.]:[Check Periodo Ref.]]="Dentro",DATOS_[Conc.Sal.22]))))),
0)</f>
        <v>0</v>
      </c>
      <c r="AB77" s="170">
        <f t="array" ref="AB77">IFERROR(
AVERAGE((IF(DATOS_[[Sexo]:[Sexo]]=$B77,IF(DATOS_[[AGRUP. CLAS. PROF.]:[AGRUP. CLAS. PROF.]]=$B75,IF(DATOS_[[Check Periodo Ref.]:[Check Periodo Ref.]]="Dentro",DATOS_[Conc.Sal.23]))))),
0)</f>
        <v>0</v>
      </c>
      <c r="AC77" s="170">
        <f t="array" ref="AC77">IFERROR(
AVERAGE((IF(DATOS_[[Sexo]:[Sexo]]=$B77,IF(DATOS_[[AGRUP. CLAS. PROF.]:[AGRUP. CLAS. PROF.]]=$B75,IF(DATOS_[[Check Periodo Ref.]:[Check Periodo Ref.]]="Dentro",DATOS_[Conc.Sal.24]))))),
0)</f>
        <v>0</v>
      </c>
      <c r="AD77" s="170">
        <f t="array" ref="AD77">IFERROR(
AVERAGE((IF(DATOS_[[Sexo]:[Sexo]]=$B77,IF(DATOS_[[AGRUP. CLAS. PROF.]:[AGRUP. CLAS. PROF.]]=$B75,IF(DATOS_[[Check Periodo Ref.]:[Check Periodo Ref.]]="Dentro",DATOS_[Conc.Sal.25]))))),
0)</f>
        <v>0</v>
      </c>
      <c r="AE77" s="170">
        <f t="array" ref="AE77">IFERROR(
AVERAGE((IF(DATOS_[[Sexo]:[Sexo]]=$B77,IF(DATOS_[[AGRUP. CLAS. PROF.]:[AGRUP. CLAS. PROF.]]=$B75,IF(DATOS_[[Check Periodo Ref.]:[Check Periodo Ref.]]="Dentro",DATOS_[Conc.Sal.26]))))),
0)</f>
        <v>0</v>
      </c>
      <c r="AF77" s="170">
        <f t="array" ref="AF77">IFERROR(
AVERAGE((IF(DATOS_[[Sexo]:[Sexo]]=$B77,IF(DATOS_[[AGRUP. CLAS. PROF.]:[AGRUP. CLAS. PROF.]]=$B75,IF(DATOS_[[Check Periodo Ref.]:[Check Periodo Ref.]]="Dentro",DATOS_[Conc.Sal.27]))))),
0)</f>
        <v>0</v>
      </c>
      <c r="AG77" s="170">
        <f t="array" ref="AG77">IFERROR(
AVERAGE((IF(DATOS_[[Sexo]:[Sexo]]=$B77,IF(DATOS_[[AGRUP. CLAS. PROF.]:[AGRUP. CLAS. PROF.]]=$B75,IF(DATOS_[[Check Periodo Ref.]:[Check Periodo Ref.]]="Dentro",DATOS_[Conc.Sal.28]))))),
0)</f>
        <v>0</v>
      </c>
      <c r="AH77" s="170">
        <f t="array" ref="AH77">IFERROR(
AVERAGE((IF(DATOS_[[Sexo]:[Sexo]]=$B77,IF(DATOS_[[AGRUP. CLAS. PROF.]:[AGRUP. CLAS. PROF.]]=$B75,IF(DATOS_[[Check Periodo Ref.]:[Check Periodo Ref.]]="Dentro",DATOS_[Conc.Sal.29]))))),
0)</f>
        <v>0</v>
      </c>
      <c r="AI77" s="170">
        <f t="array" ref="AI77">IFERROR(
AVERAGE((IF(DATOS_[[Sexo]:[Sexo]]=$B77,IF(DATOS_[[AGRUP. CLAS. PROF.]:[AGRUP. CLAS. PROF.]]=$B75,IF(DATOS_[[Check Periodo Ref.]:[Check Periodo Ref.]]="Dentro",DATOS_[Conc.Sal.30]))))),
0)</f>
        <v>0</v>
      </c>
      <c r="AJ77" s="171">
        <f t="array" ref="AJ77">IFERROR(
AVERAGE(IF(DATOS_[Sexo]=$B77,IF(DATOS_[AGRUP. CLAS. PROF.]=$B75,IF(DATOS_[Check Periodo Ref.]="Dentro",DATOS_[Tot COMPL.SAL Ef],FALSE)))),
0)</f>
        <v>0</v>
      </c>
      <c r="AK77" s="172">
        <f t="array" ref="AK77">IFERROR(
AVERAGE(IF(DATOS_[Sexo]=$B77,IF(DATOS_[AGRUP. CLAS. PROF.]=$B75,IF(DATOS_[Check Periodo Ref.]="Dentro",DATOS_[TOTAL SALARIO Ef],FALSE)))),
0)</f>
        <v>0</v>
      </c>
      <c r="AL77" s="173">
        <f t="array" ref="AL77">IFERROR(
AVERAGE((IF(DATOS_[[Sexo]:[Sexo]]=$B77,IF(DATOS_[[AGRUP. CLAS. PROF.]:[AGRUP. CLAS. PROF.]]=$B75,IF(DATOS_[[Check Periodo Ref.]:[Check Periodo Ref.]]="Dentro",DATOS_[C.Extra.01]))))),
0)</f>
        <v>0</v>
      </c>
      <c r="AM77" s="173">
        <f t="array" ref="AM77">IFERROR(
AVERAGE((IF(DATOS_[[Sexo]:[Sexo]]=$B77,IF(DATOS_[[AGRUP. CLAS. PROF.]:[AGRUP. CLAS. PROF.]]=$B75,IF(DATOS_[[Check Periodo Ref.]:[Check Periodo Ref.]]="Dentro",DATOS_[C.Extra.06]))))),
0)</f>
        <v>0</v>
      </c>
      <c r="AN77" s="173">
        <f t="array" ref="AN77">IFERROR(
AVERAGE((IF(DATOS_[[Sexo]:[Sexo]]=$B77,IF(DATOS_[[AGRUP. CLAS. PROF.]:[AGRUP. CLAS. PROF.]]=$B75,IF(DATOS_[[Check Periodo Ref.]:[Check Periodo Ref.]]="Dentro",DATOS_[C.Extra.07]))))),
0)</f>
        <v>0</v>
      </c>
      <c r="AO77" s="173">
        <f t="array" ref="AO77">IFERROR(
AVERAGE((IF(DATOS_[[Sexo]:[Sexo]]=$B77,IF(DATOS_[[AGRUP. CLAS. PROF.]:[AGRUP. CLAS. PROF.]]=$B75,IF(DATOS_[[Check Periodo Ref.]:[Check Periodo Ref.]]="Dentro",DATOS_[C.Extra.08]))))),
0)</f>
        <v>0</v>
      </c>
      <c r="AP77" s="173">
        <f t="array" ref="AP77">IFERROR(
AVERAGE((IF(DATOS_[[Sexo]:[Sexo]]=$B77,IF(DATOS_[[AGRUP. CLAS. PROF.]:[AGRUP. CLAS. PROF.]]=$B75,IF(DATOS_[[Check Periodo Ref.]:[Check Periodo Ref.]]="Dentro",DATOS_[C.Extra.11]))))),
0)</f>
        <v>0</v>
      </c>
      <c r="AQ77" s="174">
        <f t="array" ref="AQ77">IFERROR(
AVERAGE(IF(DATOS_[Sexo]=$B77,IF(DATOS_[AGRUP. CLAS. PROF.]=$B75,IF(DATOS_[Check Periodo Ref.]="Dentro",DATOS_[Tot Extrasalarial Ef],FALSE)))),
0)</f>
        <v>0</v>
      </c>
      <c r="AR77" s="171">
        <f t="array" ref="AR77">IFERROR(
AVERAGE(IF(DATOS_[Sexo]=$B77,IF(DATOS_[AGRUP. CLAS. PROF.]=$B75,IF(DATOS_[Check Periodo Ref.]="Dentro",DATOS_[TOTAL Retrib Ef],FALSE)))),
0)</f>
        <v>0</v>
      </c>
    </row>
    <row r="78" spans="1:44" s="152" customFormat="1" ht="14.4" thickBot="1" x14ac:dyDescent="0.3">
      <c r="A78" s="135" t="str">
        <f t="shared" ref="A78" si="87">+A79</f>
        <v>[ocultar]</v>
      </c>
      <c r="B78" s="153" t="s">
        <v>265</v>
      </c>
      <c r="C78" s="154"/>
      <c r="D78" s="155"/>
      <c r="E78" s="156" t="str">
        <f t="shared" ref="E78:AR78" si="88">IFERROR((E79-E80)/E79,"")</f>
        <v/>
      </c>
      <c r="F78" s="157" t="str">
        <f t="shared" si="88"/>
        <v/>
      </c>
      <c r="G78" s="158" t="str">
        <f t="shared" si="88"/>
        <v/>
      </c>
      <c r="H78" s="158" t="str">
        <f t="shared" si="88"/>
        <v/>
      </c>
      <c r="I78" s="158" t="str">
        <f t="shared" si="88"/>
        <v/>
      </c>
      <c r="J78" s="159" t="str">
        <f t="shared" si="88"/>
        <v/>
      </c>
      <c r="K78" s="160" t="str">
        <f t="shared" si="88"/>
        <v/>
      </c>
      <c r="L78" s="160" t="str">
        <f t="shared" si="88"/>
        <v/>
      </c>
      <c r="M78" s="160" t="str">
        <f t="shared" si="88"/>
        <v/>
      </c>
      <c r="N78" s="160" t="str">
        <f t="shared" si="88"/>
        <v/>
      </c>
      <c r="O78" s="160" t="str">
        <f t="shared" si="88"/>
        <v/>
      </c>
      <c r="P78" s="160" t="str">
        <f t="shared" si="88"/>
        <v/>
      </c>
      <c r="Q78" s="160" t="str">
        <f t="shared" si="88"/>
        <v/>
      </c>
      <c r="R78" s="160" t="str">
        <f t="shared" si="88"/>
        <v/>
      </c>
      <c r="S78" s="160" t="str">
        <f t="shared" si="88"/>
        <v/>
      </c>
      <c r="T78" s="160" t="str">
        <f t="shared" si="88"/>
        <v/>
      </c>
      <c r="U78" s="160" t="str">
        <f t="shared" si="88"/>
        <v/>
      </c>
      <c r="V78" s="159" t="str">
        <f t="shared" si="88"/>
        <v/>
      </c>
      <c r="W78" s="159" t="str">
        <f t="shared" si="88"/>
        <v/>
      </c>
      <c r="X78" s="159" t="str">
        <f t="shared" si="88"/>
        <v/>
      </c>
      <c r="Y78" s="159" t="str">
        <f t="shared" si="88"/>
        <v/>
      </c>
      <c r="Z78" s="159" t="str">
        <f t="shared" si="88"/>
        <v/>
      </c>
      <c r="AA78" s="159" t="str">
        <f t="shared" si="88"/>
        <v/>
      </c>
      <c r="AB78" s="159" t="str">
        <f t="shared" si="88"/>
        <v/>
      </c>
      <c r="AC78" s="159" t="str">
        <f t="shared" si="88"/>
        <v/>
      </c>
      <c r="AD78" s="159" t="str">
        <f t="shared" si="88"/>
        <v/>
      </c>
      <c r="AE78" s="159" t="str">
        <f t="shared" si="88"/>
        <v/>
      </c>
      <c r="AF78" s="159" t="str">
        <f t="shared" si="88"/>
        <v/>
      </c>
      <c r="AG78" s="159" t="str">
        <f t="shared" si="88"/>
        <v/>
      </c>
      <c r="AH78" s="159" t="str">
        <f t="shared" si="88"/>
        <v/>
      </c>
      <c r="AI78" s="159" t="str">
        <f t="shared" si="88"/>
        <v/>
      </c>
      <c r="AJ78" s="161" t="str">
        <f t="shared" si="88"/>
        <v/>
      </c>
      <c r="AK78" s="162" t="str">
        <f t="shared" si="88"/>
        <v/>
      </c>
      <c r="AL78" s="163" t="str">
        <f t="shared" si="88"/>
        <v/>
      </c>
      <c r="AM78" s="163" t="str">
        <f t="shared" si="88"/>
        <v/>
      </c>
      <c r="AN78" s="163" t="str">
        <f t="shared" si="88"/>
        <v/>
      </c>
      <c r="AO78" s="163" t="str">
        <f t="shared" si="88"/>
        <v/>
      </c>
      <c r="AP78" s="163" t="str">
        <f t="shared" si="88"/>
        <v/>
      </c>
      <c r="AQ78" s="164" t="str">
        <f t="shared" si="88"/>
        <v/>
      </c>
      <c r="AR78" s="161" t="str">
        <f t="shared" si="88"/>
        <v/>
      </c>
    </row>
    <row r="79" spans="1:44" x14ac:dyDescent="0.25">
      <c r="A79" s="135" t="str">
        <f t="shared" ref="A79" si="89">+IF(C79+C80=0,"[ocultar]","")</f>
        <v>[ocultar]</v>
      </c>
      <c r="B79" s="166" t="s">
        <v>394</v>
      </c>
      <c r="C79" s="167">
        <f t="array" ref="C79">SUM(IF($B79=DATOS_[Sexo],
IF($B78=DATOS_[AGRUP. CLAS. PROF.],
IF("Dentro"=DATOS_[Check Periodo Ref.],
1/(COUNTIFS(DATOS_[Sexo],$B79,DATOS_[AGRUP. CLAS. PROF.],$B78,DATOS_[Check Periodo Ref.],"Dentro",DATOS_[id/cod],DATOS_[id/cod]))))))</f>
        <v>0</v>
      </c>
      <c r="D79" s="168">
        <f>COUNTIFS(DATOS_[AGRUP. CLAS. PROF.],$B78,DATOS_[Sexo],$B79,DATOS_[Check Periodo Ref.],"Dentro")</f>
        <v>0</v>
      </c>
      <c r="E79" s="169">
        <f t="array" ref="E79">IFERROR(
AVERAGE(IF(DATOS_[Sexo]=$B79,IF(DATOS_[AGRUP. CLAS. PROF.]=$B78,IF(DATOS_[Check Periodo Ref.]="Dentro",DATOS_[SALARIO BASE Ef],FALSE)))),
0)</f>
        <v>0</v>
      </c>
      <c r="F79" s="170">
        <f t="array" ref="F79">IFERROR(
AVERAGE((IF(DATOS_[[Sexo]:[Sexo]]=$B79,IF(DATOS_[[AGRUP. CLAS. PROF.]:[AGRUP. CLAS. PROF.]]=$B78,IF(DATOS_[[Check Periodo Ref.]:[Check Periodo Ref.]]="Dentro",DATOS_[Conc.Sal.01]))))),
0)</f>
        <v>0</v>
      </c>
      <c r="G79" s="170">
        <f t="array" ref="G79">IFERROR(
AVERAGE((IF(DATOS_[[Sexo]:[Sexo]]=$B79,IF(DATOS_[[AGRUP. CLAS. PROF.]:[AGRUP. CLAS. PROF.]]=$B78,IF(DATOS_[[Check Periodo Ref.]:[Check Periodo Ref.]]="Dentro",DATOS_[Conc.Sal.02]))))),
0)</f>
        <v>0</v>
      </c>
      <c r="H79" s="170">
        <f t="array" ref="H79">IFERROR(
AVERAGE((IF(DATOS_[[Sexo]:[Sexo]]=$B79,IF(DATOS_[[AGRUP. CLAS. PROF.]:[AGRUP. CLAS. PROF.]]=$B78,IF(DATOS_[[Check Periodo Ref.]:[Check Periodo Ref.]]="Dentro",DATOS_[Conc.Sal.03]))))),
0)</f>
        <v>0</v>
      </c>
      <c r="I79" s="170">
        <f t="array" ref="I79">IFERROR(
AVERAGE((IF(DATOS_[[Sexo]:[Sexo]]=$B79,IF(DATOS_[[AGRUP. CLAS. PROF.]:[AGRUP. CLAS. PROF.]]=$B78,IF(DATOS_[[Check Periodo Ref.]:[Check Periodo Ref.]]="Dentro",DATOS_[Conc.Sal.04]))))),
0)</f>
        <v>0</v>
      </c>
      <c r="J79" s="170">
        <f t="array" ref="J79">IFERROR(
AVERAGE((IF(DATOS_[[Sexo]:[Sexo]]=$B79,IF(DATOS_[[AGRUP. CLAS. PROF.]:[AGRUP. CLAS. PROF.]]=$B78,IF(DATOS_[[Check Periodo Ref.]:[Check Periodo Ref.]]="Dentro",DATOS_[Conc.Sal.05]))))),
0)</f>
        <v>0</v>
      </c>
      <c r="K79" s="170">
        <f t="array" ref="K79">IFERROR(
AVERAGE((IF(DATOS_[[Sexo]:[Sexo]]=$B79,IF(DATOS_[[AGRUP. CLAS. PROF.]:[AGRUP. CLAS. PROF.]]=$B78,IF(DATOS_[[Check Periodo Ref.]:[Check Periodo Ref.]]="Dentro",DATOS_[Conc.Sal.06]))))),
0)</f>
        <v>0</v>
      </c>
      <c r="L79" s="170">
        <f t="array" ref="L79">IFERROR(
AVERAGE((IF(DATOS_[[Sexo]:[Sexo]]=$B79,IF(DATOS_[[AGRUP. CLAS. PROF.]:[AGRUP. CLAS. PROF.]]=$B78,IF(DATOS_[[Check Periodo Ref.]:[Check Periodo Ref.]]="Dentro",DATOS_[Conc.Sal.07]))))),
0)</f>
        <v>0</v>
      </c>
      <c r="M79" s="170">
        <f t="array" ref="M79">IFERROR(
AVERAGE((IF(DATOS_[[Sexo]:[Sexo]]=$B79,IF(DATOS_[[AGRUP. CLAS. PROF.]:[AGRUP. CLAS. PROF.]]=$B78,IF(DATOS_[[Check Periodo Ref.]:[Check Periodo Ref.]]="Dentro",DATOS_[Conc.Sal.08]))))),
0)</f>
        <v>0</v>
      </c>
      <c r="N79" s="170">
        <f t="array" ref="N79">IFERROR(
AVERAGE((IF(DATOS_[[Sexo]:[Sexo]]=$B79,IF(DATOS_[[AGRUP. CLAS. PROF.]:[AGRUP. CLAS. PROF.]]=$B78,IF(DATOS_[[Check Periodo Ref.]:[Check Periodo Ref.]]="Dentro",DATOS_[Conc.Sal.09]))))),
0)</f>
        <v>0</v>
      </c>
      <c r="O79" s="170">
        <f t="array" ref="O79">IFERROR(
AVERAGE((IF(DATOS_[[Sexo]:[Sexo]]=$B79,IF(DATOS_[[AGRUP. CLAS. PROF.]:[AGRUP. CLAS. PROF.]]=$B78,IF(DATOS_[[Check Periodo Ref.]:[Check Periodo Ref.]]="Dentro",DATOS_[Conc.Sal.10]))))),
0)</f>
        <v>0</v>
      </c>
      <c r="P79" s="170">
        <f t="array" ref="P79">IFERROR(
AVERAGE((IF(DATOS_[[Sexo]:[Sexo]]=$B79,IF(DATOS_[[AGRUP. CLAS. PROF.]:[AGRUP. CLAS. PROF.]]=$B78,IF(DATOS_[[Check Periodo Ref.]:[Check Periodo Ref.]]="Dentro",DATOS_[Conc.Sal.11]))))),
0)</f>
        <v>0</v>
      </c>
      <c r="Q79" s="170">
        <f t="array" ref="Q79">IFERROR(
AVERAGE((IF(DATOS_[[Sexo]:[Sexo]]=$B79,IF(DATOS_[[AGRUP. CLAS. PROF.]:[AGRUP. CLAS. PROF.]]=$B78,IF(DATOS_[[Check Periodo Ref.]:[Check Periodo Ref.]]="Dentro",DATOS_[Conc.Sal.12]))))),
0)</f>
        <v>0</v>
      </c>
      <c r="R79" s="170">
        <f t="array" ref="R79">IFERROR(
AVERAGE((IF(DATOS_[[Sexo]:[Sexo]]=$B79,IF(DATOS_[[AGRUP. CLAS. PROF.]:[AGRUP. CLAS. PROF.]]=$B78,IF(DATOS_[[Check Periodo Ref.]:[Check Periodo Ref.]]="Dentro",DATOS_[Conc.Sal.13]))))),
0)</f>
        <v>0</v>
      </c>
      <c r="S79" s="170">
        <f t="array" ref="S79">IFERROR(
AVERAGE((IF(DATOS_[[Sexo]:[Sexo]]=$B79,IF(DATOS_[[AGRUP. CLAS. PROF.]:[AGRUP. CLAS. PROF.]]=$B78,IF(DATOS_[[Check Periodo Ref.]:[Check Periodo Ref.]]="Dentro",DATOS_[Conc.Sal.14]))))),
0)</f>
        <v>0</v>
      </c>
      <c r="T79" s="170">
        <f t="array" ref="T79">IFERROR(
AVERAGE((IF(DATOS_[[Sexo]:[Sexo]]=$B79,IF(DATOS_[[AGRUP. CLAS. PROF.]:[AGRUP. CLAS. PROF.]]=$B78,IF(DATOS_[[Check Periodo Ref.]:[Check Periodo Ref.]]="Dentro",DATOS_[Conc.Sal.15]))))),
0)</f>
        <v>0</v>
      </c>
      <c r="U79" s="170">
        <f t="array" ref="U79">IFERROR(
AVERAGE((IF(DATOS_[[Sexo]:[Sexo]]=$B79,IF(DATOS_[[AGRUP. CLAS. PROF.]:[AGRUP. CLAS. PROF.]]=$B78,IF(DATOS_[[Check Periodo Ref.]:[Check Periodo Ref.]]="Dentro",DATOS_[Conc.Sal.16]))))),
0)</f>
        <v>0</v>
      </c>
      <c r="V79" s="170">
        <f t="array" ref="V79">IFERROR(
AVERAGE((IF(DATOS_[[Sexo]:[Sexo]]=$B79,IF(DATOS_[[AGRUP. CLAS. PROF.]:[AGRUP. CLAS. PROF.]]=$B78,IF(DATOS_[[Check Periodo Ref.]:[Check Periodo Ref.]]="Dentro",DATOS_[Conc.Sal.17]))))),
0)</f>
        <v>0</v>
      </c>
      <c r="W79" s="170">
        <f t="array" ref="W79">IFERROR(
AVERAGE((IF(DATOS_[[Sexo]:[Sexo]]=$B79,IF(DATOS_[[AGRUP. CLAS. PROF.]:[AGRUP. CLAS. PROF.]]=$B78,IF(DATOS_[[Check Periodo Ref.]:[Check Periodo Ref.]]="Dentro",DATOS_[Conc.Sal.18]))))),
0)</f>
        <v>0</v>
      </c>
      <c r="X79" s="170">
        <f t="array" ref="X79">IFERROR(
AVERAGE((IF(DATOS_[[Sexo]:[Sexo]]=$B79,IF(DATOS_[[AGRUP. CLAS. PROF.]:[AGRUP. CLAS. PROF.]]=$B78,IF(DATOS_[[Check Periodo Ref.]:[Check Periodo Ref.]]="Dentro",DATOS_[Conc.Sal.19]))))),
0)</f>
        <v>0</v>
      </c>
      <c r="Y79" s="170">
        <f t="array" ref="Y79">IFERROR(
AVERAGE((IF(DATOS_[[Sexo]:[Sexo]]=$B79,IF(DATOS_[[AGRUP. CLAS. PROF.]:[AGRUP. CLAS. PROF.]]=$B78,IF(DATOS_[[Check Periodo Ref.]:[Check Periodo Ref.]]="Dentro",DATOS_[Conc.Sal.20]))))),
0)</f>
        <v>0</v>
      </c>
      <c r="Z79" s="170">
        <f t="array" ref="Z79">IFERROR(
AVERAGE((IF(DATOS_[[Sexo]:[Sexo]]=$B79,IF(DATOS_[[AGRUP. CLAS. PROF.]:[AGRUP. CLAS. PROF.]]=$B78,IF(DATOS_[[Check Periodo Ref.]:[Check Periodo Ref.]]="Dentro",DATOS_[Conc.Sal.21]))))),
0)</f>
        <v>0</v>
      </c>
      <c r="AA79" s="170">
        <f t="array" ref="AA79">IFERROR(
AVERAGE((IF(DATOS_[[Sexo]:[Sexo]]=$B79,IF(DATOS_[[AGRUP. CLAS. PROF.]:[AGRUP. CLAS. PROF.]]=$B78,IF(DATOS_[[Check Periodo Ref.]:[Check Periodo Ref.]]="Dentro",DATOS_[Conc.Sal.22]))))),
0)</f>
        <v>0</v>
      </c>
      <c r="AB79" s="170">
        <f t="array" ref="AB79">IFERROR(
AVERAGE((IF(DATOS_[[Sexo]:[Sexo]]=$B79,IF(DATOS_[[AGRUP. CLAS. PROF.]:[AGRUP. CLAS. PROF.]]=$B78,IF(DATOS_[[Check Periodo Ref.]:[Check Periodo Ref.]]="Dentro",DATOS_[Conc.Sal.23]))))),
0)</f>
        <v>0</v>
      </c>
      <c r="AC79" s="170">
        <f t="array" ref="AC79">IFERROR(
AVERAGE((IF(DATOS_[[Sexo]:[Sexo]]=$B79,IF(DATOS_[[AGRUP. CLAS. PROF.]:[AGRUP. CLAS. PROF.]]=$B78,IF(DATOS_[[Check Periodo Ref.]:[Check Periodo Ref.]]="Dentro",DATOS_[Conc.Sal.24]))))),
0)</f>
        <v>0</v>
      </c>
      <c r="AD79" s="170">
        <f t="array" ref="AD79">IFERROR(
AVERAGE((IF(DATOS_[[Sexo]:[Sexo]]=$B79,IF(DATOS_[[AGRUP. CLAS. PROF.]:[AGRUP. CLAS. PROF.]]=$B78,IF(DATOS_[[Check Periodo Ref.]:[Check Periodo Ref.]]="Dentro",DATOS_[Conc.Sal.25]))))),
0)</f>
        <v>0</v>
      </c>
      <c r="AE79" s="170">
        <f t="array" ref="AE79">IFERROR(
AVERAGE((IF(DATOS_[[Sexo]:[Sexo]]=$B79,IF(DATOS_[[AGRUP. CLAS. PROF.]:[AGRUP. CLAS. PROF.]]=$B78,IF(DATOS_[[Check Periodo Ref.]:[Check Periodo Ref.]]="Dentro",DATOS_[Conc.Sal.26]))))),
0)</f>
        <v>0</v>
      </c>
      <c r="AF79" s="170">
        <f t="array" ref="AF79">IFERROR(
AVERAGE((IF(DATOS_[[Sexo]:[Sexo]]=$B79,IF(DATOS_[[AGRUP. CLAS. PROF.]:[AGRUP. CLAS. PROF.]]=$B78,IF(DATOS_[[Check Periodo Ref.]:[Check Periodo Ref.]]="Dentro",DATOS_[Conc.Sal.27]))))),
0)</f>
        <v>0</v>
      </c>
      <c r="AG79" s="170">
        <f t="array" ref="AG79">IFERROR(
AVERAGE((IF(DATOS_[[Sexo]:[Sexo]]=$B79,IF(DATOS_[[AGRUP. CLAS. PROF.]:[AGRUP. CLAS. PROF.]]=$B78,IF(DATOS_[[Check Periodo Ref.]:[Check Periodo Ref.]]="Dentro",DATOS_[Conc.Sal.28]))))),
0)</f>
        <v>0</v>
      </c>
      <c r="AH79" s="170">
        <f t="array" ref="AH79">IFERROR(
AVERAGE((IF(DATOS_[[Sexo]:[Sexo]]=$B79,IF(DATOS_[[AGRUP. CLAS. PROF.]:[AGRUP. CLAS. PROF.]]=$B78,IF(DATOS_[[Check Periodo Ref.]:[Check Periodo Ref.]]="Dentro",DATOS_[Conc.Sal.29]))))),
0)</f>
        <v>0</v>
      </c>
      <c r="AI79" s="170">
        <f t="array" ref="AI79">IFERROR(
AVERAGE((IF(DATOS_[[Sexo]:[Sexo]]=$B79,IF(DATOS_[[AGRUP. CLAS. PROF.]:[AGRUP. CLAS. PROF.]]=$B78,IF(DATOS_[[Check Periodo Ref.]:[Check Periodo Ref.]]="Dentro",DATOS_[Conc.Sal.30]))))),
0)</f>
        <v>0</v>
      </c>
      <c r="AJ79" s="171">
        <f t="array" ref="AJ79">IFERROR(
AVERAGE(IF(DATOS_[Sexo]=$B79,IF(DATOS_[AGRUP. CLAS. PROF.]=$B78,IF(DATOS_[Check Periodo Ref.]="Dentro",DATOS_[Tot COMPL.SAL Ef],FALSE)))),
0)</f>
        <v>0</v>
      </c>
      <c r="AK79" s="172">
        <f t="array" ref="AK79">IFERROR(
AVERAGE(IF(DATOS_[Sexo]=$B79,IF(DATOS_[AGRUP. CLAS. PROF.]=$B78,IF(DATOS_[Check Periodo Ref.]="Dentro",DATOS_[TOTAL SALARIO Ef],FALSE)))),
0)</f>
        <v>0</v>
      </c>
      <c r="AL79" s="173">
        <f t="array" ref="AL79">IFERROR(
AVERAGE((IF(DATOS_[[Sexo]:[Sexo]]=$B79,IF(DATOS_[[AGRUP. CLAS. PROF.]:[AGRUP. CLAS. PROF.]]=$B78,IF(DATOS_[[Check Periodo Ref.]:[Check Periodo Ref.]]="Dentro",DATOS_[C.Extra.01]))))),
0)</f>
        <v>0</v>
      </c>
      <c r="AM79" s="173">
        <f t="array" ref="AM79">IFERROR(
AVERAGE((IF(DATOS_[[Sexo]:[Sexo]]=$B79,IF(DATOS_[[AGRUP. CLAS. PROF.]:[AGRUP. CLAS. PROF.]]=$B78,IF(DATOS_[[Check Periodo Ref.]:[Check Periodo Ref.]]="Dentro",DATOS_[C.Extra.06]))))),
0)</f>
        <v>0</v>
      </c>
      <c r="AN79" s="173">
        <f t="array" ref="AN79">IFERROR(
AVERAGE((IF(DATOS_[[Sexo]:[Sexo]]=$B79,IF(DATOS_[[AGRUP. CLAS. PROF.]:[AGRUP. CLAS. PROF.]]=$B78,IF(DATOS_[[Check Periodo Ref.]:[Check Periodo Ref.]]="Dentro",DATOS_[C.Extra.07]))))),
0)</f>
        <v>0</v>
      </c>
      <c r="AO79" s="173">
        <f t="array" ref="AO79">IFERROR(
AVERAGE((IF(DATOS_[[Sexo]:[Sexo]]=$B79,IF(DATOS_[[AGRUP. CLAS. PROF.]:[AGRUP. CLAS. PROF.]]=$B78,IF(DATOS_[[Check Periodo Ref.]:[Check Periodo Ref.]]="Dentro",DATOS_[C.Extra.08]))))),
0)</f>
        <v>0</v>
      </c>
      <c r="AP79" s="173">
        <f t="array" ref="AP79">IFERROR(
AVERAGE((IF(DATOS_[[Sexo]:[Sexo]]=$B79,IF(DATOS_[[AGRUP. CLAS. PROF.]:[AGRUP. CLAS. PROF.]]=$B78,IF(DATOS_[[Check Periodo Ref.]:[Check Periodo Ref.]]="Dentro",DATOS_[C.Extra.11]))))),
0)</f>
        <v>0</v>
      </c>
      <c r="AQ79" s="174">
        <f t="array" ref="AQ79">IFERROR(
AVERAGE(IF(DATOS_[Sexo]=$B79,IF(DATOS_[AGRUP. CLAS. PROF.]=$B78,IF(DATOS_[Check Periodo Ref.]="Dentro",DATOS_[Tot Extrasalarial Ef],FALSE)))),
0)</f>
        <v>0</v>
      </c>
      <c r="AR79" s="171">
        <f t="array" ref="AR79">IFERROR(
AVERAGE(IF(DATOS_[Sexo]=$B79,IF(DATOS_[AGRUP. CLAS. PROF.]=$B78,IF(DATOS_[Check Periodo Ref.]="Dentro",DATOS_[TOTAL Retrib Ef],FALSE)))),
0)</f>
        <v>0</v>
      </c>
    </row>
    <row r="80" spans="1:44" x14ac:dyDescent="0.25">
      <c r="A80" s="135" t="str">
        <f t="shared" ref="A80" si="90">+A79</f>
        <v>[ocultar]</v>
      </c>
      <c r="B80" s="166" t="s">
        <v>521</v>
      </c>
      <c r="C80" s="167">
        <f t="array" ref="C80">SUM(IF($B80=DATOS_[Sexo],
IF($B78=DATOS_[AGRUP. CLAS. PROF.],
IF("Dentro"=DATOS_[Check Periodo Ref.],
1/(COUNTIFS(DATOS_[Sexo],$B80,DATOS_[AGRUP. CLAS. PROF.],$B78,DATOS_[Check Periodo Ref.],"Dentro",DATOS_[id/cod],DATOS_[id/cod]))))))</f>
        <v>0</v>
      </c>
      <c r="D80" s="168">
        <f>COUNTIFS(DATOS_[AGRUP. CLAS. PROF.],$B78,DATOS_[Sexo],$B80,DATOS_[Check Periodo Ref.],"Dentro")</f>
        <v>0</v>
      </c>
      <c r="E80" s="169">
        <f t="array" ref="E80">IFERROR(
AVERAGE(IF(DATOS_[Sexo]=$B80,IF(DATOS_[AGRUP. CLAS. PROF.]=$B78,IF(DATOS_[Check Periodo Ref.]="Dentro",DATOS_[SALARIO BASE Ef],FALSE)))),
0)</f>
        <v>0</v>
      </c>
      <c r="F80" s="170">
        <f t="array" ref="F80">IFERROR(
AVERAGE((IF(DATOS_[[Sexo]:[Sexo]]=$B80,IF(DATOS_[[AGRUP. CLAS. PROF.]:[AGRUP. CLAS. PROF.]]=$B78,IF(DATOS_[[Check Periodo Ref.]:[Check Periodo Ref.]]="Dentro",DATOS_[Conc.Sal.01]))))),
0)</f>
        <v>0</v>
      </c>
      <c r="G80" s="170">
        <f t="array" ref="G80">IFERROR(
AVERAGE((IF(DATOS_[[Sexo]:[Sexo]]=$B80,IF(DATOS_[[AGRUP. CLAS. PROF.]:[AGRUP. CLAS. PROF.]]=$B78,IF(DATOS_[[Check Periodo Ref.]:[Check Periodo Ref.]]="Dentro",DATOS_[Conc.Sal.02]))))),
0)</f>
        <v>0</v>
      </c>
      <c r="H80" s="170">
        <f t="array" ref="H80">IFERROR(
AVERAGE((IF(DATOS_[[Sexo]:[Sexo]]=$B80,IF(DATOS_[[AGRUP. CLAS. PROF.]:[AGRUP. CLAS. PROF.]]=$B78,IF(DATOS_[[Check Periodo Ref.]:[Check Periodo Ref.]]="Dentro",DATOS_[Conc.Sal.03]))))),
0)</f>
        <v>0</v>
      </c>
      <c r="I80" s="170">
        <f t="array" ref="I80">IFERROR(
AVERAGE((IF(DATOS_[[Sexo]:[Sexo]]=$B80,IF(DATOS_[[AGRUP. CLAS. PROF.]:[AGRUP. CLAS. PROF.]]=$B78,IF(DATOS_[[Check Periodo Ref.]:[Check Periodo Ref.]]="Dentro",DATOS_[Conc.Sal.04]))))),
0)</f>
        <v>0</v>
      </c>
      <c r="J80" s="170">
        <f t="array" ref="J80">IFERROR(
AVERAGE((IF(DATOS_[[Sexo]:[Sexo]]=$B80,IF(DATOS_[[AGRUP. CLAS. PROF.]:[AGRUP. CLAS. PROF.]]=$B78,IF(DATOS_[[Check Periodo Ref.]:[Check Periodo Ref.]]="Dentro",DATOS_[Conc.Sal.05]))))),
0)</f>
        <v>0</v>
      </c>
      <c r="K80" s="170">
        <f t="array" ref="K80">IFERROR(
AVERAGE((IF(DATOS_[[Sexo]:[Sexo]]=$B80,IF(DATOS_[[AGRUP. CLAS. PROF.]:[AGRUP. CLAS. PROF.]]=$B78,IF(DATOS_[[Check Periodo Ref.]:[Check Periodo Ref.]]="Dentro",DATOS_[Conc.Sal.06]))))),
0)</f>
        <v>0</v>
      </c>
      <c r="L80" s="170">
        <f t="array" ref="L80">IFERROR(
AVERAGE((IF(DATOS_[[Sexo]:[Sexo]]=$B80,IF(DATOS_[[AGRUP. CLAS. PROF.]:[AGRUP. CLAS. PROF.]]=$B78,IF(DATOS_[[Check Periodo Ref.]:[Check Periodo Ref.]]="Dentro",DATOS_[Conc.Sal.07]))))),
0)</f>
        <v>0</v>
      </c>
      <c r="M80" s="170">
        <f t="array" ref="M80">IFERROR(
AVERAGE((IF(DATOS_[[Sexo]:[Sexo]]=$B80,IF(DATOS_[[AGRUP. CLAS. PROF.]:[AGRUP. CLAS. PROF.]]=$B78,IF(DATOS_[[Check Periodo Ref.]:[Check Periodo Ref.]]="Dentro",DATOS_[Conc.Sal.08]))))),
0)</f>
        <v>0</v>
      </c>
      <c r="N80" s="170">
        <f t="array" ref="N80">IFERROR(
AVERAGE((IF(DATOS_[[Sexo]:[Sexo]]=$B80,IF(DATOS_[[AGRUP. CLAS. PROF.]:[AGRUP. CLAS. PROF.]]=$B78,IF(DATOS_[[Check Periodo Ref.]:[Check Periodo Ref.]]="Dentro",DATOS_[Conc.Sal.09]))))),
0)</f>
        <v>0</v>
      </c>
      <c r="O80" s="170">
        <f t="array" ref="O80">IFERROR(
AVERAGE((IF(DATOS_[[Sexo]:[Sexo]]=$B80,IF(DATOS_[[AGRUP. CLAS. PROF.]:[AGRUP. CLAS. PROF.]]=$B78,IF(DATOS_[[Check Periodo Ref.]:[Check Periodo Ref.]]="Dentro",DATOS_[Conc.Sal.10]))))),
0)</f>
        <v>0</v>
      </c>
      <c r="P80" s="170">
        <f t="array" ref="P80">IFERROR(
AVERAGE((IF(DATOS_[[Sexo]:[Sexo]]=$B80,IF(DATOS_[[AGRUP. CLAS. PROF.]:[AGRUP. CLAS. PROF.]]=$B78,IF(DATOS_[[Check Periodo Ref.]:[Check Periodo Ref.]]="Dentro",DATOS_[Conc.Sal.11]))))),
0)</f>
        <v>0</v>
      </c>
      <c r="Q80" s="170">
        <f t="array" ref="Q80">IFERROR(
AVERAGE((IF(DATOS_[[Sexo]:[Sexo]]=$B80,IF(DATOS_[[AGRUP. CLAS. PROF.]:[AGRUP. CLAS. PROF.]]=$B78,IF(DATOS_[[Check Periodo Ref.]:[Check Periodo Ref.]]="Dentro",DATOS_[Conc.Sal.12]))))),
0)</f>
        <v>0</v>
      </c>
      <c r="R80" s="170">
        <f t="array" ref="R80">IFERROR(
AVERAGE((IF(DATOS_[[Sexo]:[Sexo]]=$B80,IF(DATOS_[[AGRUP. CLAS. PROF.]:[AGRUP. CLAS. PROF.]]=$B78,IF(DATOS_[[Check Periodo Ref.]:[Check Periodo Ref.]]="Dentro",DATOS_[Conc.Sal.13]))))),
0)</f>
        <v>0</v>
      </c>
      <c r="S80" s="170">
        <f t="array" ref="S80">IFERROR(
AVERAGE((IF(DATOS_[[Sexo]:[Sexo]]=$B80,IF(DATOS_[[AGRUP. CLAS. PROF.]:[AGRUP. CLAS. PROF.]]=$B78,IF(DATOS_[[Check Periodo Ref.]:[Check Periodo Ref.]]="Dentro",DATOS_[Conc.Sal.14]))))),
0)</f>
        <v>0</v>
      </c>
      <c r="T80" s="170">
        <f t="array" ref="T80">IFERROR(
AVERAGE((IF(DATOS_[[Sexo]:[Sexo]]=$B80,IF(DATOS_[[AGRUP. CLAS. PROF.]:[AGRUP. CLAS. PROF.]]=$B78,IF(DATOS_[[Check Periodo Ref.]:[Check Periodo Ref.]]="Dentro",DATOS_[Conc.Sal.15]))))),
0)</f>
        <v>0</v>
      </c>
      <c r="U80" s="170">
        <f t="array" ref="U80">IFERROR(
AVERAGE((IF(DATOS_[[Sexo]:[Sexo]]=$B80,IF(DATOS_[[AGRUP. CLAS. PROF.]:[AGRUP. CLAS. PROF.]]=$B78,IF(DATOS_[[Check Periodo Ref.]:[Check Periodo Ref.]]="Dentro",DATOS_[Conc.Sal.16]))))),
0)</f>
        <v>0</v>
      </c>
      <c r="V80" s="170">
        <f t="array" ref="V80">IFERROR(
AVERAGE((IF(DATOS_[[Sexo]:[Sexo]]=$B80,IF(DATOS_[[AGRUP. CLAS. PROF.]:[AGRUP. CLAS. PROF.]]=$B78,IF(DATOS_[[Check Periodo Ref.]:[Check Periodo Ref.]]="Dentro",DATOS_[Conc.Sal.17]))))),
0)</f>
        <v>0</v>
      </c>
      <c r="W80" s="170">
        <f t="array" ref="W80">IFERROR(
AVERAGE((IF(DATOS_[[Sexo]:[Sexo]]=$B80,IF(DATOS_[[AGRUP. CLAS. PROF.]:[AGRUP. CLAS. PROF.]]=$B78,IF(DATOS_[[Check Periodo Ref.]:[Check Periodo Ref.]]="Dentro",DATOS_[Conc.Sal.18]))))),
0)</f>
        <v>0</v>
      </c>
      <c r="X80" s="170">
        <f t="array" ref="X80">IFERROR(
AVERAGE((IF(DATOS_[[Sexo]:[Sexo]]=$B80,IF(DATOS_[[AGRUP. CLAS. PROF.]:[AGRUP. CLAS. PROF.]]=$B78,IF(DATOS_[[Check Periodo Ref.]:[Check Periodo Ref.]]="Dentro",DATOS_[Conc.Sal.19]))))),
0)</f>
        <v>0</v>
      </c>
      <c r="Y80" s="170">
        <f t="array" ref="Y80">IFERROR(
AVERAGE((IF(DATOS_[[Sexo]:[Sexo]]=$B80,IF(DATOS_[[AGRUP. CLAS. PROF.]:[AGRUP. CLAS. PROF.]]=$B78,IF(DATOS_[[Check Periodo Ref.]:[Check Periodo Ref.]]="Dentro",DATOS_[Conc.Sal.20]))))),
0)</f>
        <v>0</v>
      </c>
      <c r="Z80" s="170">
        <f t="array" ref="Z80">IFERROR(
AVERAGE((IF(DATOS_[[Sexo]:[Sexo]]=$B80,IF(DATOS_[[AGRUP. CLAS. PROF.]:[AGRUP. CLAS. PROF.]]=$B78,IF(DATOS_[[Check Periodo Ref.]:[Check Periodo Ref.]]="Dentro",DATOS_[Conc.Sal.21]))))),
0)</f>
        <v>0</v>
      </c>
      <c r="AA80" s="170">
        <f t="array" ref="AA80">IFERROR(
AVERAGE((IF(DATOS_[[Sexo]:[Sexo]]=$B80,IF(DATOS_[[AGRUP. CLAS. PROF.]:[AGRUP. CLAS. PROF.]]=$B78,IF(DATOS_[[Check Periodo Ref.]:[Check Periodo Ref.]]="Dentro",DATOS_[Conc.Sal.22]))))),
0)</f>
        <v>0</v>
      </c>
      <c r="AB80" s="170">
        <f t="array" ref="AB80">IFERROR(
AVERAGE((IF(DATOS_[[Sexo]:[Sexo]]=$B80,IF(DATOS_[[AGRUP. CLAS. PROF.]:[AGRUP. CLAS. PROF.]]=$B78,IF(DATOS_[[Check Periodo Ref.]:[Check Periodo Ref.]]="Dentro",DATOS_[Conc.Sal.23]))))),
0)</f>
        <v>0</v>
      </c>
      <c r="AC80" s="170">
        <f t="array" ref="AC80">IFERROR(
AVERAGE((IF(DATOS_[[Sexo]:[Sexo]]=$B80,IF(DATOS_[[AGRUP. CLAS. PROF.]:[AGRUP. CLAS. PROF.]]=$B78,IF(DATOS_[[Check Periodo Ref.]:[Check Periodo Ref.]]="Dentro",DATOS_[Conc.Sal.24]))))),
0)</f>
        <v>0</v>
      </c>
      <c r="AD80" s="170">
        <f t="array" ref="AD80">IFERROR(
AVERAGE((IF(DATOS_[[Sexo]:[Sexo]]=$B80,IF(DATOS_[[AGRUP. CLAS. PROF.]:[AGRUP. CLAS. PROF.]]=$B78,IF(DATOS_[[Check Periodo Ref.]:[Check Periodo Ref.]]="Dentro",DATOS_[Conc.Sal.25]))))),
0)</f>
        <v>0</v>
      </c>
      <c r="AE80" s="170">
        <f t="array" ref="AE80">IFERROR(
AVERAGE((IF(DATOS_[[Sexo]:[Sexo]]=$B80,IF(DATOS_[[AGRUP. CLAS. PROF.]:[AGRUP. CLAS. PROF.]]=$B78,IF(DATOS_[[Check Periodo Ref.]:[Check Periodo Ref.]]="Dentro",DATOS_[Conc.Sal.26]))))),
0)</f>
        <v>0</v>
      </c>
      <c r="AF80" s="170">
        <f t="array" ref="AF80">IFERROR(
AVERAGE((IF(DATOS_[[Sexo]:[Sexo]]=$B80,IF(DATOS_[[AGRUP. CLAS. PROF.]:[AGRUP. CLAS. PROF.]]=$B78,IF(DATOS_[[Check Periodo Ref.]:[Check Periodo Ref.]]="Dentro",DATOS_[Conc.Sal.27]))))),
0)</f>
        <v>0</v>
      </c>
      <c r="AG80" s="170">
        <f t="array" ref="AG80">IFERROR(
AVERAGE((IF(DATOS_[[Sexo]:[Sexo]]=$B80,IF(DATOS_[[AGRUP. CLAS. PROF.]:[AGRUP. CLAS. PROF.]]=$B78,IF(DATOS_[[Check Periodo Ref.]:[Check Periodo Ref.]]="Dentro",DATOS_[Conc.Sal.28]))))),
0)</f>
        <v>0</v>
      </c>
      <c r="AH80" s="170">
        <f t="array" ref="AH80">IFERROR(
AVERAGE((IF(DATOS_[[Sexo]:[Sexo]]=$B80,IF(DATOS_[[AGRUP. CLAS. PROF.]:[AGRUP. CLAS. PROF.]]=$B78,IF(DATOS_[[Check Periodo Ref.]:[Check Periodo Ref.]]="Dentro",DATOS_[Conc.Sal.29]))))),
0)</f>
        <v>0</v>
      </c>
      <c r="AI80" s="170">
        <f t="array" ref="AI80">IFERROR(
AVERAGE((IF(DATOS_[[Sexo]:[Sexo]]=$B80,IF(DATOS_[[AGRUP. CLAS. PROF.]:[AGRUP. CLAS. PROF.]]=$B78,IF(DATOS_[[Check Periodo Ref.]:[Check Periodo Ref.]]="Dentro",DATOS_[Conc.Sal.30]))))),
0)</f>
        <v>0</v>
      </c>
      <c r="AJ80" s="171">
        <f t="array" ref="AJ80">IFERROR(
AVERAGE(IF(DATOS_[Sexo]=$B80,IF(DATOS_[AGRUP. CLAS. PROF.]=$B78,IF(DATOS_[Check Periodo Ref.]="Dentro",DATOS_[Tot COMPL.SAL Ef],FALSE)))),
0)</f>
        <v>0</v>
      </c>
      <c r="AK80" s="172">
        <f t="array" ref="AK80">IFERROR(
AVERAGE(IF(DATOS_[Sexo]=$B80,IF(DATOS_[AGRUP. CLAS. PROF.]=$B78,IF(DATOS_[Check Periodo Ref.]="Dentro",DATOS_[TOTAL SALARIO Ef],FALSE)))),
0)</f>
        <v>0</v>
      </c>
      <c r="AL80" s="173">
        <f t="array" ref="AL80">IFERROR(
AVERAGE((IF(DATOS_[[Sexo]:[Sexo]]=$B80,IF(DATOS_[[AGRUP. CLAS. PROF.]:[AGRUP. CLAS. PROF.]]=$B78,IF(DATOS_[[Check Periodo Ref.]:[Check Periodo Ref.]]="Dentro",DATOS_[C.Extra.01]))))),
0)</f>
        <v>0</v>
      </c>
      <c r="AM80" s="173">
        <f t="array" ref="AM80">IFERROR(
AVERAGE((IF(DATOS_[[Sexo]:[Sexo]]=$B80,IF(DATOS_[[AGRUP. CLAS. PROF.]:[AGRUP. CLAS. PROF.]]=$B78,IF(DATOS_[[Check Periodo Ref.]:[Check Periodo Ref.]]="Dentro",DATOS_[C.Extra.06]))))),
0)</f>
        <v>0</v>
      </c>
      <c r="AN80" s="173">
        <f t="array" ref="AN80">IFERROR(
AVERAGE((IF(DATOS_[[Sexo]:[Sexo]]=$B80,IF(DATOS_[[AGRUP. CLAS. PROF.]:[AGRUP. CLAS. PROF.]]=$B78,IF(DATOS_[[Check Periodo Ref.]:[Check Periodo Ref.]]="Dentro",DATOS_[C.Extra.07]))))),
0)</f>
        <v>0</v>
      </c>
      <c r="AO80" s="173">
        <f t="array" ref="AO80">IFERROR(
AVERAGE((IF(DATOS_[[Sexo]:[Sexo]]=$B80,IF(DATOS_[[AGRUP. CLAS. PROF.]:[AGRUP. CLAS. PROF.]]=$B78,IF(DATOS_[[Check Periodo Ref.]:[Check Periodo Ref.]]="Dentro",DATOS_[C.Extra.08]))))),
0)</f>
        <v>0</v>
      </c>
      <c r="AP80" s="173">
        <f t="array" ref="AP80">IFERROR(
AVERAGE((IF(DATOS_[[Sexo]:[Sexo]]=$B80,IF(DATOS_[[AGRUP. CLAS. PROF.]:[AGRUP. CLAS. PROF.]]=$B78,IF(DATOS_[[Check Periodo Ref.]:[Check Periodo Ref.]]="Dentro",DATOS_[C.Extra.11]))))),
0)</f>
        <v>0</v>
      </c>
      <c r="AQ80" s="174">
        <f t="array" ref="AQ80">IFERROR(
AVERAGE(IF(DATOS_[Sexo]=$B80,IF(DATOS_[AGRUP. CLAS. PROF.]=$B78,IF(DATOS_[Check Periodo Ref.]="Dentro",DATOS_[Tot Extrasalarial Ef],FALSE)))),
0)</f>
        <v>0</v>
      </c>
      <c r="AR80" s="171">
        <f t="array" ref="AR80">IFERROR(
AVERAGE(IF(DATOS_[Sexo]=$B80,IF(DATOS_[AGRUP. CLAS. PROF.]=$B78,IF(DATOS_[Check Periodo Ref.]="Dentro",DATOS_[TOTAL Retrib Ef],FALSE)))),
0)</f>
        <v>0</v>
      </c>
    </row>
    <row r="81" spans="1:44" s="152" customFormat="1" ht="14.4" thickBot="1" x14ac:dyDescent="0.3">
      <c r="A81" s="135" t="str">
        <f t="shared" ref="A81" si="91">+A82</f>
        <v>[ocultar]</v>
      </c>
      <c r="B81" s="153" t="s">
        <v>268</v>
      </c>
      <c r="C81" s="154"/>
      <c r="D81" s="155"/>
      <c r="E81" s="156" t="str">
        <f t="shared" ref="E81:AR81" si="92">IFERROR((E82-E83)/E82,"")</f>
        <v/>
      </c>
      <c r="F81" s="157" t="str">
        <f t="shared" si="92"/>
        <v/>
      </c>
      <c r="G81" s="158" t="str">
        <f t="shared" si="92"/>
        <v/>
      </c>
      <c r="H81" s="158" t="str">
        <f t="shared" si="92"/>
        <v/>
      </c>
      <c r="I81" s="158" t="str">
        <f t="shared" si="92"/>
        <v/>
      </c>
      <c r="J81" s="159" t="str">
        <f t="shared" si="92"/>
        <v/>
      </c>
      <c r="K81" s="160" t="str">
        <f t="shared" si="92"/>
        <v/>
      </c>
      <c r="L81" s="160" t="str">
        <f t="shared" si="92"/>
        <v/>
      </c>
      <c r="M81" s="160" t="str">
        <f t="shared" si="92"/>
        <v/>
      </c>
      <c r="N81" s="160" t="str">
        <f t="shared" si="92"/>
        <v/>
      </c>
      <c r="O81" s="160" t="str">
        <f t="shared" si="92"/>
        <v/>
      </c>
      <c r="P81" s="160" t="str">
        <f t="shared" si="92"/>
        <v/>
      </c>
      <c r="Q81" s="160" t="str">
        <f t="shared" si="92"/>
        <v/>
      </c>
      <c r="R81" s="160" t="str">
        <f t="shared" si="92"/>
        <v/>
      </c>
      <c r="S81" s="160" t="str">
        <f t="shared" si="92"/>
        <v/>
      </c>
      <c r="T81" s="160" t="str">
        <f t="shared" si="92"/>
        <v/>
      </c>
      <c r="U81" s="160" t="str">
        <f t="shared" si="92"/>
        <v/>
      </c>
      <c r="V81" s="159" t="str">
        <f t="shared" si="92"/>
        <v/>
      </c>
      <c r="W81" s="159" t="str">
        <f t="shared" si="92"/>
        <v/>
      </c>
      <c r="X81" s="159" t="str">
        <f t="shared" si="92"/>
        <v/>
      </c>
      <c r="Y81" s="159" t="str">
        <f t="shared" si="92"/>
        <v/>
      </c>
      <c r="Z81" s="159" t="str">
        <f t="shared" si="92"/>
        <v/>
      </c>
      <c r="AA81" s="159" t="str">
        <f t="shared" si="92"/>
        <v/>
      </c>
      <c r="AB81" s="159" t="str">
        <f t="shared" si="92"/>
        <v/>
      </c>
      <c r="AC81" s="159" t="str">
        <f t="shared" si="92"/>
        <v/>
      </c>
      <c r="AD81" s="159" t="str">
        <f t="shared" si="92"/>
        <v/>
      </c>
      <c r="AE81" s="159" t="str">
        <f t="shared" si="92"/>
        <v/>
      </c>
      <c r="AF81" s="159" t="str">
        <f t="shared" si="92"/>
        <v/>
      </c>
      <c r="AG81" s="159" t="str">
        <f t="shared" si="92"/>
        <v/>
      </c>
      <c r="AH81" s="159" t="str">
        <f t="shared" si="92"/>
        <v/>
      </c>
      <c r="AI81" s="159" t="str">
        <f t="shared" si="92"/>
        <v/>
      </c>
      <c r="AJ81" s="161" t="str">
        <f t="shared" si="92"/>
        <v/>
      </c>
      <c r="AK81" s="162" t="str">
        <f t="shared" si="92"/>
        <v/>
      </c>
      <c r="AL81" s="163" t="str">
        <f t="shared" si="92"/>
        <v/>
      </c>
      <c r="AM81" s="163" t="str">
        <f t="shared" si="92"/>
        <v/>
      </c>
      <c r="AN81" s="163" t="str">
        <f t="shared" si="92"/>
        <v/>
      </c>
      <c r="AO81" s="163" t="str">
        <f t="shared" si="92"/>
        <v/>
      </c>
      <c r="AP81" s="163" t="str">
        <f t="shared" si="92"/>
        <v/>
      </c>
      <c r="AQ81" s="164" t="str">
        <f t="shared" si="92"/>
        <v/>
      </c>
      <c r="AR81" s="161" t="str">
        <f t="shared" si="92"/>
        <v/>
      </c>
    </row>
    <row r="82" spans="1:44" x14ac:dyDescent="0.25">
      <c r="A82" s="135" t="str">
        <f t="shared" ref="A82" si="93">+IF(C82+C83=0,"[ocultar]","")</f>
        <v>[ocultar]</v>
      </c>
      <c r="B82" s="166" t="s">
        <v>394</v>
      </c>
      <c r="C82" s="167">
        <f t="array" ref="C82">SUM(IF($B82=DATOS_[Sexo],
IF($B81=DATOS_[AGRUP. CLAS. PROF.],
IF("Dentro"=DATOS_[Check Periodo Ref.],
1/(COUNTIFS(DATOS_[Sexo],$B82,DATOS_[AGRUP. CLAS. PROF.],$B81,DATOS_[Check Periodo Ref.],"Dentro",DATOS_[id/cod],DATOS_[id/cod]))))))</f>
        <v>0</v>
      </c>
      <c r="D82" s="168">
        <f>COUNTIFS(DATOS_[AGRUP. CLAS. PROF.],$B81,DATOS_[Sexo],$B82,DATOS_[Check Periodo Ref.],"Dentro")</f>
        <v>0</v>
      </c>
      <c r="E82" s="169">
        <f t="array" ref="E82">IFERROR(
AVERAGE(IF(DATOS_[Sexo]=$B82,IF(DATOS_[AGRUP. CLAS. PROF.]=$B81,IF(DATOS_[Check Periodo Ref.]="Dentro",DATOS_[SALARIO BASE Ef],FALSE)))),
0)</f>
        <v>0</v>
      </c>
      <c r="F82" s="170">
        <f t="array" ref="F82">IFERROR(
AVERAGE((IF(DATOS_[[Sexo]:[Sexo]]=$B82,IF(DATOS_[[AGRUP. CLAS. PROF.]:[AGRUP. CLAS. PROF.]]=$B81,IF(DATOS_[[Check Periodo Ref.]:[Check Periodo Ref.]]="Dentro",DATOS_[Conc.Sal.01]))))),
0)</f>
        <v>0</v>
      </c>
      <c r="G82" s="170">
        <f t="array" ref="G82">IFERROR(
AVERAGE((IF(DATOS_[[Sexo]:[Sexo]]=$B82,IF(DATOS_[[AGRUP. CLAS. PROF.]:[AGRUP. CLAS. PROF.]]=$B81,IF(DATOS_[[Check Periodo Ref.]:[Check Periodo Ref.]]="Dentro",DATOS_[Conc.Sal.02]))))),
0)</f>
        <v>0</v>
      </c>
      <c r="H82" s="170">
        <f t="array" ref="H82">IFERROR(
AVERAGE((IF(DATOS_[[Sexo]:[Sexo]]=$B82,IF(DATOS_[[AGRUP. CLAS. PROF.]:[AGRUP. CLAS. PROF.]]=$B81,IF(DATOS_[[Check Periodo Ref.]:[Check Periodo Ref.]]="Dentro",DATOS_[Conc.Sal.03]))))),
0)</f>
        <v>0</v>
      </c>
      <c r="I82" s="170">
        <f t="array" ref="I82">IFERROR(
AVERAGE((IF(DATOS_[[Sexo]:[Sexo]]=$B82,IF(DATOS_[[AGRUP. CLAS. PROF.]:[AGRUP. CLAS. PROF.]]=$B81,IF(DATOS_[[Check Periodo Ref.]:[Check Periodo Ref.]]="Dentro",DATOS_[Conc.Sal.04]))))),
0)</f>
        <v>0</v>
      </c>
      <c r="J82" s="170">
        <f t="array" ref="J82">IFERROR(
AVERAGE((IF(DATOS_[[Sexo]:[Sexo]]=$B82,IF(DATOS_[[AGRUP. CLAS. PROF.]:[AGRUP. CLAS. PROF.]]=$B81,IF(DATOS_[[Check Periodo Ref.]:[Check Periodo Ref.]]="Dentro",DATOS_[Conc.Sal.05]))))),
0)</f>
        <v>0</v>
      </c>
      <c r="K82" s="170">
        <f t="array" ref="K82">IFERROR(
AVERAGE((IF(DATOS_[[Sexo]:[Sexo]]=$B82,IF(DATOS_[[AGRUP. CLAS. PROF.]:[AGRUP. CLAS. PROF.]]=$B81,IF(DATOS_[[Check Periodo Ref.]:[Check Periodo Ref.]]="Dentro",DATOS_[Conc.Sal.06]))))),
0)</f>
        <v>0</v>
      </c>
      <c r="L82" s="170">
        <f t="array" ref="L82">IFERROR(
AVERAGE((IF(DATOS_[[Sexo]:[Sexo]]=$B82,IF(DATOS_[[AGRUP. CLAS. PROF.]:[AGRUP. CLAS. PROF.]]=$B81,IF(DATOS_[[Check Periodo Ref.]:[Check Periodo Ref.]]="Dentro",DATOS_[Conc.Sal.07]))))),
0)</f>
        <v>0</v>
      </c>
      <c r="M82" s="170">
        <f t="array" ref="M82">IFERROR(
AVERAGE((IF(DATOS_[[Sexo]:[Sexo]]=$B82,IF(DATOS_[[AGRUP. CLAS. PROF.]:[AGRUP. CLAS. PROF.]]=$B81,IF(DATOS_[[Check Periodo Ref.]:[Check Periodo Ref.]]="Dentro",DATOS_[Conc.Sal.08]))))),
0)</f>
        <v>0</v>
      </c>
      <c r="N82" s="170">
        <f t="array" ref="N82">IFERROR(
AVERAGE((IF(DATOS_[[Sexo]:[Sexo]]=$B82,IF(DATOS_[[AGRUP. CLAS. PROF.]:[AGRUP. CLAS. PROF.]]=$B81,IF(DATOS_[[Check Periodo Ref.]:[Check Periodo Ref.]]="Dentro",DATOS_[Conc.Sal.09]))))),
0)</f>
        <v>0</v>
      </c>
      <c r="O82" s="170">
        <f t="array" ref="O82">IFERROR(
AVERAGE((IF(DATOS_[[Sexo]:[Sexo]]=$B82,IF(DATOS_[[AGRUP. CLAS. PROF.]:[AGRUP. CLAS. PROF.]]=$B81,IF(DATOS_[[Check Periodo Ref.]:[Check Periodo Ref.]]="Dentro",DATOS_[Conc.Sal.10]))))),
0)</f>
        <v>0</v>
      </c>
      <c r="P82" s="170">
        <f t="array" ref="P82">IFERROR(
AVERAGE((IF(DATOS_[[Sexo]:[Sexo]]=$B82,IF(DATOS_[[AGRUP. CLAS. PROF.]:[AGRUP. CLAS. PROF.]]=$B81,IF(DATOS_[[Check Periodo Ref.]:[Check Periodo Ref.]]="Dentro",DATOS_[Conc.Sal.11]))))),
0)</f>
        <v>0</v>
      </c>
      <c r="Q82" s="170">
        <f t="array" ref="Q82">IFERROR(
AVERAGE((IF(DATOS_[[Sexo]:[Sexo]]=$B82,IF(DATOS_[[AGRUP. CLAS. PROF.]:[AGRUP. CLAS. PROF.]]=$B81,IF(DATOS_[[Check Periodo Ref.]:[Check Periodo Ref.]]="Dentro",DATOS_[Conc.Sal.12]))))),
0)</f>
        <v>0</v>
      </c>
      <c r="R82" s="170">
        <f t="array" ref="R82">IFERROR(
AVERAGE((IF(DATOS_[[Sexo]:[Sexo]]=$B82,IF(DATOS_[[AGRUP. CLAS. PROF.]:[AGRUP. CLAS. PROF.]]=$B81,IF(DATOS_[[Check Periodo Ref.]:[Check Periodo Ref.]]="Dentro",DATOS_[Conc.Sal.13]))))),
0)</f>
        <v>0</v>
      </c>
      <c r="S82" s="170">
        <f t="array" ref="S82">IFERROR(
AVERAGE((IF(DATOS_[[Sexo]:[Sexo]]=$B82,IF(DATOS_[[AGRUP. CLAS. PROF.]:[AGRUP. CLAS. PROF.]]=$B81,IF(DATOS_[[Check Periodo Ref.]:[Check Periodo Ref.]]="Dentro",DATOS_[Conc.Sal.14]))))),
0)</f>
        <v>0</v>
      </c>
      <c r="T82" s="170">
        <f t="array" ref="T82">IFERROR(
AVERAGE((IF(DATOS_[[Sexo]:[Sexo]]=$B82,IF(DATOS_[[AGRUP. CLAS. PROF.]:[AGRUP. CLAS. PROF.]]=$B81,IF(DATOS_[[Check Periodo Ref.]:[Check Periodo Ref.]]="Dentro",DATOS_[Conc.Sal.15]))))),
0)</f>
        <v>0</v>
      </c>
      <c r="U82" s="170">
        <f t="array" ref="U82">IFERROR(
AVERAGE((IF(DATOS_[[Sexo]:[Sexo]]=$B82,IF(DATOS_[[AGRUP. CLAS. PROF.]:[AGRUP. CLAS. PROF.]]=$B81,IF(DATOS_[[Check Periodo Ref.]:[Check Periodo Ref.]]="Dentro",DATOS_[Conc.Sal.16]))))),
0)</f>
        <v>0</v>
      </c>
      <c r="V82" s="170">
        <f t="array" ref="V82">IFERROR(
AVERAGE((IF(DATOS_[[Sexo]:[Sexo]]=$B82,IF(DATOS_[[AGRUP. CLAS. PROF.]:[AGRUP. CLAS. PROF.]]=$B81,IF(DATOS_[[Check Periodo Ref.]:[Check Periodo Ref.]]="Dentro",DATOS_[Conc.Sal.17]))))),
0)</f>
        <v>0</v>
      </c>
      <c r="W82" s="170">
        <f t="array" ref="W82">IFERROR(
AVERAGE((IF(DATOS_[[Sexo]:[Sexo]]=$B82,IF(DATOS_[[AGRUP. CLAS. PROF.]:[AGRUP. CLAS. PROF.]]=$B81,IF(DATOS_[[Check Periodo Ref.]:[Check Periodo Ref.]]="Dentro",DATOS_[Conc.Sal.18]))))),
0)</f>
        <v>0</v>
      </c>
      <c r="X82" s="170">
        <f t="array" ref="X82">IFERROR(
AVERAGE((IF(DATOS_[[Sexo]:[Sexo]]=$B82,IF(DATOS_[[AGRUP. CLAS. PROF.]:[AGRUP. CLAS. PROF.]]=$B81,IF(DATOS_[[Check Periodo Ref.]:[Check Periodo Ref.]]="Dentro",DATOS_[Conc.Sal.19]))))),
0)</f>
        <v>0</v>
      </c>
      <c r="Y82" s="170">
        <f t="array" ref="Y82">IFERROR(
AVERAGE((IF(DATOS_[[Sexo]:[Sexo]]=$B82,IF(DATOS_[[AGRUP. CLAS. PROF.]:[AGRUP. CLAS. PROF.]]=$B81,IF(DATOS_[[Check Periodo Ref.]:[Check Periodo Ref.]]="Dentro",DATOS_[Conc.Sal.20]))))),
0)</f>
        <v>0</v>
      </c>
      <c r="Z82" s="170">
        <f t="array" ref="Z82">IFERROR(
AVERAGE((IF(DATOS_[[Sexo]:[Sexo]]=$B82,IF(DATOS_[[AGRUP. CLAS. PROF.]:[AGRUP. CLAS. PROF.]]=$B81,IF(DATOS_[[Check Periodo Ref.]:[Check Periodo Ref.]]="Dentro",DATOS_[Conc.Sal.21]))))),
0)</f>
        <v>0</v>
      </c>
      <c r="AA82" s="170">
        <f t="array" ref="AA82">IFERROR(
AVERAGE((IF(DATOS_[[Sexo]:[Sexo]]=$B82,IF(DATOS_[[AGRUP. CLAS. PROF.]:[AGRUP. CLAS. PROF.]]=$B81,IF(DATOS_[[Check Periodo Ref.]:[Check Periodo Ref.]]="Dentro",DATOS_[Conc.Sal.22]))))),
0)</f>
        <v>0</v>
      </c>
      <c r="AB82" s="170">
        <f t="array" ref="AB82">IFERROR(
AVERAGE((IF(DATOS_[[Sexo]:[Sexo]]=$B82,IF(DATOS_[[AGRUP. CLAS. PROF.]:[AGRUP. CLAS. PROF.]]=$B81,IF(DATOS_[[Check Periodo Ref.]:[Check Periodo Ref.]]="Dentro",DATOS_[Conc.Sal.23]))))),
0)</f>
        <v>0</v>
      </c>
      <c r="AC82" s="170">
        <f t="array" ref="AC82">IFERROR(
AVERAGE((IF(DATOS_[[Sexo]:[Sexo]]=$B82,IF(DATOS_[[AGRUP. CLAS. PROF.]:[AGRUP. CLAS. PROF.]]=$B81,IF(DATOS_[[Check Periodo Ref.]:[Check Periodo Ref.]]="Dentro",DATOS_[Conc.Sal.24]))))),
0)</f>
        <v>0</v>
      </c>
      <c r="AD82" s="170">
        <f t="array" ref="AD82">IFERROR(
AVERAGE((IF(DATOS_[[Sexo]:[Sexo]]=$B82,IF(DATOS_[[AGRUP. CLAS. PROF.]:[AGRUP. CLAS. PROF.]]=$B81,IF(DATOS_[[Check Periodo Ref.]:[Check Periodo Ref.]]="Dentro",DATOS_[Conc.Sal.25]))))),
0)</f>
        <v>0</v>
      </c>
      <c r="AE82" s="170">
        <f t="array" ref="AE82">IFERROR(
AVERAGE((IF(DATOS_[[Sexo]:[Sexo]]=$B82,IF(DATOS_[[AGRUP. CLAS. PROF.]:[AGRUP. CLAS. PROF.]]=$B81,IF(DATOS_[[Check Periodo Ref.]:[Check Periodo Ref.]]="Dentro",DATOS_[Conc.Sal.26]))))),
0)</f>
        <v>0</v>
      </c>
      <c r="AF82" s="170">
        <f t="array" ref="AF82">IFERROR(
AVERAGE((IF(DATOS_[[Sexo]:[Sexo]]=$B82,IF(DATOS_[[AGRUP. CLAS. PROF.]:[AGRUP. CLAS. PROF.]]=$B81,IF(DATOS_[[Check Periodo Ref.]:[Check Periodo Ref.]]="Dentro",DATOS_[Conc.Sal.27]))))),
0)</f>
        <v>0</v>
      </c>
      <c r="AG82" s="170">
        <f t="array" ref="AG82">IFERROR(
AVERAGE((IF(DATOS_[[Sexo]:[Sexo]]=$B82,IF(DATOS_[[AGRUP. CLAS. PROF.]:[AGRUP. CLAS. PROF.]]=$B81,IF(DATOS_[[Check Periodo Ref.]:[Check Periodo Ref.]]="Dentro",DATOS_[Conc.Sal.28]))))),
0)</f>
        <v>0</v>
      </c>
      <c r="AH82" s="170">
        <f t="array" ref="AH82">IFERROR(
AVERAGE((IF(DATOS_[[Sexo]:[Sexo]]=$B82,IF(DATOS_[[AGRUP. CLAS. PROF.]:[AGRUP. CLAS. PROF.]]=$B81,IF(DATOS_[[Check Periodo Ref.]:[Check Periodo Ref.]]="Dentro",DATOS_[Conc.Sal.29]))))),
0)</f>
        <v>0</v>
      </c>
      <c r="AI82" s="170">
        <f t="array" ref="AI82">IFERROR(
AVERAGE((IF(DATOS_[[Sexo]:[Sexo]]=$B82,IF(DATOS_[[AGRUP. CLAS. PROF.]:[AGRUP. CLAS. PROF.]]=$B81,IF(DATOS_[[Check Periodo Ref.]:[Check Periodo Ref.]]="Dentro",DATOS_[Conc.Sal.30]))))),
0)</f>
        <v>0</v>
      </c>
      <c r="AJ82" s="171">
        <f t="array" ref="AJ82">IFERROR(
AVERAGE(IF(DATOS_[Sexo]=$B82,IF(DATOS_[AGRUP. CLAS. PROF.]=$B81,IF(DATOS_[Check Periodo Ref.]="Dentro",DATOS_[Tot COMPL.SAL Ef],FALSE)))),
0)</f>
        <v>0</v>
      </c>
      <c r="AK82" s="172">
        <f t="array" ref="AK82">IFERROR(
AVERAGE(IF(DATOS_[Sexo]=$B82,IF(DATOS_[AGRUP. CLAS. PROF.]=$B81,IF(DATOS_[Check Periodo Ref.]="Dentro",DATOS_[TOTAL SALARIO Ef],FALSE)))),
0)</f>
        <v>0</v>
      </c>
      <c r="AL82" s="173">
        <f t="array" ref="AL82">IFERROR(
AVERAGE((IF(DATOS_[[Sexo]:[Sexo]]=$B82,IF(DATOS_[[AGRUP. CLAS. PROF.]:[AGRUP. CLAS. PROF.]]=$B81,IF(DATOS_[[Check Periodo Ref.]:[Check Periodo Ref.]]="Dentro",DATOS_[C.Extra.01]))))),
0)</f>
        <v>0</v>
      </c>
      <c r="AM82" s="173">
        <f t="array" ref="AM82">IFERROR(
AVERAGE((IF(DATOS_[[Sexo]:[Sexo]]=$B82,IF(DATOS_[[AGRUP. CLAS. PROF.]:[AGRUP. CLAS. PROF.]]=$B81,IF(DATOS_[[Check Periodo Ref.]:[Check Periodo Ref.]]="Dentro",DATOS_[C.Extra.06]))))),
0)</f>
        <v>0</v>
      </c>
      <c r="AN82" s="173">
        <f t="array" ref="AN82">IFERROR(
AVERAGE((IF(DATOS_[[Sexo]:[Sexo]]=$B82,IF(DATOS_[[AGRUP. CLAS. PROF.]:[AGRUP. CLAS. PROF.]]=$B81,IF(DATOS_[[Check Periodo Ref.]:[Check Periodo Ref.]]="Dentro",DATOS_[C.Extra.07]))))),
0)</f>
        <v>0</v>
      </c>
      <c r="AO82" s="173">
        <f t="array" ref="AO82">IFERROR(
AVERAGE((IF(DATOS_[[Sexo]:[Sexo]]=$B82,IF(DATOS_[[AGRUP. CLAS. PROF.]:[AGRUP. CLAS. PROF.]]=$B81,IF(DATOS_[[Check Periodo Ref.]:[Check Periodo Ref.]]="Dentro",DATOS_[C.Extra.08]))))),
0)</f>
        <v>0</v>
      </c>
      <c r="AP82" s="173">
        <f t="array" ref="AP82">IFERROR(
AVERAGE((IF(DATOS_[[Sexo]:[Sexo]]=$B82,IF(DATOS_[[AGRUP. CLAS. PROF.]:[AGRUP. CLAS. PROF.]]=$B81,IF(DATOS_[[Check Periodo Ref.]:[Check Periodo Ref.]]="Dentro",DATOS_[C.Extra.11]))))),
0)</f>
        <v>0</v>
      </c>
      <c r="AQ82" s="174">
        <f t="array" ref="AQ82">IFERROR(
AVERAGE(IF(DATOS_[Sexo]=$B82,IF(DATOS_[AGRUP. CLAS. PROF.]=$B81,IF(DATOS_[Check Periodo Ref.]="Dentro",DATOS_[Tot Extrasalarial Ef],FALSE)))),
0)</f>
        <v>0</v>
      </c>
      <c r="AR82" s="171">
        <f t="array" ref="AR82">IFERROR(
AVERAGE(IF(DATOS_[Sexo]=$B82,IF(DATOS_[AGRUP. CLAS. PROF.]=$B81,IF(DATOS_[Check Periodo Ref.]="Dentro",DATOS_[TOTAL Retrib Ef],FALSE)))),
0)</f>
        <v>0</v>
      </c>
    </row>
    <row r="83" spans="1:44" x14ac:dyDescent="0.25">
      <c r="A83" s="135" t="str">
        <f t="shared" ref="A83" si="94">+A82</f>
        <v>[ocultar]</v>
      </c>
      <c r="B83" s="166" t="s">
        <v>521</v>
      </c>
      <c r="C83" s="167">
        <f t="array" ref="C83">SUM(IF($B83=DATOS_[Sexo],
IF($B81=DATOS_[AGRUP. CLAS. PROF.],
IF("Dentro"=DATOS_[Check Periodo Ref.],
1/(COUNTIFS(DATOS_[Sexo],$B83,DATOS_[AGRUP. CLAS. PROF.],$B81,DATOS_[Check Periodo Ref.],"Dentro",DATOS_[id/cod],DATOS_[id/cod]))))))</f>
        <v>0</v>
      </c>
      <c r="D83" s="168">
        <f>COUNTIFS(DATOS_[AGRUP. CLAS. PROF.],$B81,DATOS_[Sexo],$B83,DATOS_[Check Periodo Ref.],"Dentro")</f>
        <v>0</v>
      </c>
      <c r="E83" s="169">
        <f t="array" ref="E83">IFERROR(
AVERAGE(IF(DATOS_[Sexo]=$B83,IF(DATOS_[AGRUP. CLAS. PROF.]=$B81,IF(DATOS_[Check Periodo Ref.]="Dentro",DATOS_[SALARIO BASE Ef],FALSE)))),
0)</f>
        <v>0</v>
      </c>
      <c r="F83" s="170">
        <f t="array" ref="F83">IFERROR(
AVERAGE((IF(DATOS_[[Sexo]:[Sexo]]=$B83,IF(DATOS_[[AGRUP. CLAS. PROF.]:[AGRUP. CLAS. PROF.]]=$B81,IF(DATOS_[[Check Periodo Ref.]:[Check Periodo Ref.]]="Dentro",DATOS_[Conc.Sal.01]))))),
0)</f>
        <v>0</v>
      </c>
      <c r="G83" s="170">
        <f t="array" ref="G83">IFERROR(
AVERAGE((IF(DATOS_[[Sexo]:[Sexo]]=$B83,IF(DATOS_[[AGRUP. CLAS. PROF.]:[AGRUP. CLAS. PROF.]]=$B81,IF(DATOS_[[Check Periodo Ref.]:[Check Periodo Ref.]]="Dentro",DATOS_[Conc.Sal.02]))))),
0)</f>
        <v>0</v>
      </c>
      <c r="H83" s="170">
        <f t="array" ref="H83">IFERROR(
AVERAGE((IF(DATOS_[[Sexo]:[Sexo]]=$B83,IF(DATOS_[[AGRUP. CLAS. PROF.]:[AGRUP. CLAS. PROF.]]=$B81,IF(DATOS_[[Check Periodo Ref.]:[Check Periodo Ref.]]="Dentro",DATOS_[Conc.Sal.03]))))),
0)</f>
        <v>0</v>
      </c>
      <c r="I83" s="170">
        <f t="array" ref="I83">IFERROR(
AVERAGE((IF(DATOS_[[Sexo]:[Sexo]]=$B83,IF(DATOS_[[AGRUP. CLAS. PROF.]:[AGRUP. CLAS. PROF.]]=$B81,IF(DATOS_[[Check Periodo Ref.]:[Check Periodo Ref.]]="Dentro",DATOS_[Conc.Sal.04]))))),
0)</f>
        <v>0</v>
      </c>
      <c r="J83" s="170">
        <f t="array" ref="J83">IFERROR(
AVERAGE((IF(DATOS_[[Sexo]:[Sexo]]=$B83,IF(DATOS_[[AGRUP. CLAS. PROF.]:[AGRUP. CLAS. PROF.]]=$B81,IF(DATOS_[[Check Periodo Ref.]:[Check Periodo Ref.]]="Dentro",DATOS_[Conc.Sal.05]))))),
0)</f>
        <v>0</v>
      </c>
      <c r="K83" s="170">
        <f t="array" ref="K83">IFERROR(
AVERAGE((IF(DATOS_[[Sexo]:[Sexo]]=$B83,IF(DATOS_[[AGRUP. CLAS. PROF.]:[AGRUP. CLAS. PROF.]]=$B81,IF(DATOS_[[Check Periodo Ref.]:[Check Periodo Ref.]]="Dentro",DATOS_[Conc.Sal.06]))))),
0)</f>
        <v>0</v>
      </c>
      <c r="L83" s="170">
        <f t="array" ref="L83">IFERROR(
AVERAGE((IF(DATOS_[[Sexo]:[Sexo]]=$B83,IF(DATOS_[[AGRUP. CLAS. PROF.]:[AGRUP. CLAS. PROF.]]=$B81,IF(DATOS_[[Check Periodo Ref.]:[Check Periodo Ref.]]="Dentro",DATOS_[Conc.Sal.07]))))),
0)</f>
        <v>0</v>
      </c>
      <c r="M83" s="170">
        <f t="array" ref="M83">IFERROR(
AVERAGE((IF(DATOS_[[Sexo]:[Sexo]]=$B83,IF(DATOS_[[AGRUP. CLAS. PROF.]:[AGRUP. CLAS. PROF.]]=$B81,IF(DATOS_[[Check Periodo Ref.]:[Check Periodo Ref.]]="Dentro",DATOS_[Conc.Sal.08]))))),
0)</f>
        <v>0</v>
      </c>
      <c r="N83" s="170">
        <f t="array" ref="N83">IFERROR(
AVERAGE((IF(DATOS_[[Sexo]:[Sexo]]=$B83,IF(DATOS_[[AGRUP. CLAS. PROF.]:[AGRUP. CLAS. PROF.]]=$B81,IF(DATOS_[[Check Periodo Ref.]:[Check Periodo Ref.]]="Dentro",DATOS_[Conc.Sal.09]))))),
0)</f>
        <v>0</v>
      </c>
      <c r="O83" s="170">
        <f t="array" ref="O83">IFERROR(
AVERAGE((IF(DATOS_[[Sexo]:[Sexo]]=$B83,IF(DATOS_[[AGRUP. CLAS. PROF.]:[AGRUP. CLAS. PROF.]]=$B81,IF(DATOS_[[Check Periodo Ref.]:[Check Periodo Ref.]]="Dentro",DATOS_[Conc.Sal.10]))))),
0)</f>
        <v>0</v>
      </c>
      <c r="P83" s="170">
        <f t="array" ref="P83">IFERROR(
AVERAGE((IF(DATOS_[[Sexo]:[Sexo]]=$B83,IF(DATOS_[[AGRUP. CLAS. PROF.]:[AGRUP. CLAS. PROF.]]=$B81,IF(DATOS_[[Check Periodo Ref.]:[Check Periodo Ref.]]="Dentro",DATOS_[Conc.Sal.11]))))),
0)</f>
        <v>0</v>
      </c>
      <c r="Q83" s="170">
        <f t="array" ref="Q83">IFERROR(
AVERAGE((IF(DATOS_[[Sexo]:[Sexo]]=$B83,IF(DATOS_[[AGRUP. CLAS. PROF.]:[AGRUP. CLAS. PROF.]]=$B81,IF(DATOS_[[Check Periodo Ref.]:[Check Periodo Ref.]]="Dentro",DATOS_[Conc.Sal.12]))))),
0)</f>
        <v>0</v>
      </c>
      <c r="R83" s="170">
        <f t="array" ref="R83">IFERROR(
AVERAGE((IF(DATOS_[[Sexo]:[Sexo]]=$B83,IF(DATOS_[[AGRUP. CLAS. PROF.]:[AGRUP. CLAS. PROF.]]=$B81,IF(DATOS_[[Check Periodo Ref.]:[Check Periodo Ref.]]="Dentro",DATOS_[Conc.Sal.13]))))),
0)</f>
        <v>0</v>
      </c>
      <c r="S83" s="170">
        <f t="array" ref="S83">IFERROR(
AVERAGE((IF(DATOS_[[Sexo]:[Sexo]]=$B83,IF(DATOS_[[AGRUP. CLAS. PROF.]:[AGRUP. CLAS. PROF.]]=$B81,IF(DATOS_[[Check Periodo Ref.]:[Check Periodo Ref.]]="Dentro",DATOS_[Conc.Sal.14]))))),
0)</f>
        <v>0</v>
      </c>
      <c r="T83" s="170">
        <f t="array" ref="T83">IFERROR(
AVERAGE((IF(DATOS_[[Sexo]:[Sexo]]=$B83,IF(DATOS_[[AGRUP. CLAS. PROF.]:[AGRUP. CLAS. PROF.]]=$B81,IF(DATOS_[[Check Periodo Ref.]:[Check Periodo Ref.]]="Dentro",DATOS_[Conc.Sal.15]))))),
0)</f>
        <v>0</v>
      </c>
      <c r="U83" s="170">
        <f t="array" ref="U83">IFERROR(
AVERAGE((IF(DATOS_[[Sexo]:[Sexo]]=$B83,IF(DATOS_[[AGRUP. CLAS. PROF.]:[AGRUP. CLAS. PROF.]]=$B81,IF(DATOS_[[Check Periodo Ref.]:[Check Periodo Ref.]]="Dentro",DATOS_[Conc.Sal.16]))))),
0)</f>
        <v>0</v>
      </c>
      <c r="V83" s="170">
        <f t="array" ref="V83">IFERROR(
AVERAGE((IF(DATOS_[[Sexo]:[Sexo]]=$B83,IF(DATOS_[[AGRUP. CLAS. PROF.]:[AGRUP. CLAS. PROF.]]=$B81,IF(DATOS_[[Check Periodo Ref.]:[Check Periodo Ref.]]="Dentro",DATOS_[Conc.Sal.17]))))),
0)</f>
        <v>0</v>
      </c>
      <c r="W83" s="170">
        <f t="array" ref="W83">IFERROR(
AVERAGE((IF(DATOS_[[Sexo]:[Sexo]]=$B83,IF(DATOS_[[AGRUP. CLAS. PROF.]:[AGRUP. CLAS. PROF.]]=$B81,IF(DATOS_[[Check Periodo Ref.]:[Check Periodo Ref.]]="Dentro",DATOS_[Conc.Sal.18]))))),
0)</f>
        <v>0</v>
      </c>
      <c r="X83" s="170">
        <f t="array" ref="X83">IFERROR(
AVERAGE((IF(DATOS_[[Sexo]:[Sexo]]=$B83,IF(DATOS_[[AGRUP. CLAS. PROF.]:[AGRUP. CLAS. PROF.]]=$B81,IF(DATOS_[[Check Periodo Ref.]:[Check Periodo Ref.]]="Dentro",DATOS_[Conc.Sal.19]))))),
0)</f>
        <v>0</v>
      </c>
      <c r="Y83" s="170">
        <f t="array" ref="Y83">IFERROR(
AVERAGE((IF(DATOS_[[Sexo]:[Sexo]]=$B83,IF(DATOS_[[AGRUP. CLAS. PROF.]:[AGRUP. CLAS. PROF.]]=$B81,IF(DATOS_[[Check Periodo Ref.]:[Check Periodo Ref.]]="Dentro",DATOS_[Conc.Sal.20]))))),
0)</f>
        <v>0</v>
      </c>
      <c r="Z83" s="170">
        <f t="array" ref="Z83">IFERROR(
AVERAGE((IF(DATOS_[[Sexo]:[Sexo]]=$B83,IF(DATOS_[[AGRUP. CLAS. PROF.]:[AGRUP. CLAS. PROF.]]=$B81,IF(DATOS_[[Check Periodo Ref.]:[Check Periodo Ref.]]="Dentro",DATOS_[Conc.Sal.21]))))),
0)</f>
        <v>0</v>
      </c>
      <c r="AA83" s="170">
        <f t="array" ref="AA83">IFERROR(
AVERAGE((IF(DATOS_[[Sexo]:[Sexo]]=$B83,IF(DATOS_[[AGRUP. CLAS. PROF.]:[AGRUP. CLAS. PROF.]]=$B81,IF(DATOS_[[Check Periodo Ref.]:[Check Periodo Ref.]]="Dentro",DATOS_[Conc.Sal.22]))))),
0)</f>
        <v>0</v>
      </c>
      <c r="AB83" s="170">
        <f t="array" ref="AB83">IFERROR(
AVERAGE((IF(DATOS_[[Sexo]:[Sexo]]=$B83,IF(DATOS_[[AGRUP. CLAS. PROF.]:[AGRUP. CLAS. PROF.]]=$B81,IF(DATOS_[[Check Periodo Ref.]:[Check Periodo Ref.]]="Dentro",DATOS_[Conc.Sal.23]))))),
0)</f>
        <v>0</v>
      </c>
      <c r="AC83" s="170">
        <f t="array" ref="AC83">IFERROR(
AVERAGE((IF(DATOS_[[Sexo]:[Sexo]]=$B83,IF(DATOS_[[AGRUP. CLAS. PROF.]:[AGRUP. CLAS. PROF.]]=$B81,IF(DATOS_[[Check Periodo Ref.]:[Check Periodo Ref.]]="Dentro",DATOS_[Conc.Sal.24]))))),
0)</f>
        <v>0</v>
      </c>
      <c r="AD83" s="170">
        <f t="array" ref="AD83">IFERROR(
AVERAGE((IF(DATOS_[[Sexo]:[Sexo]]=$B83,IF(DATOS_[[AGRUP. CLAS. PROF.]:[AGRUP. CLAS. PROF.]]=$B81,IF(DATOS_[[Check Periodo Ref.]:[Check Periodo Ref.]]="Dentro",DATOS_[Conc.Sal.25]))))),
0)</f>
        <v>0</v>
      </c>
      <c r="AE83" s="170">
        <f t="array" ref="AE83">IFERROR(
AVERAGE((IF(DATOS_[[Sexo]:[Sexo]]=$B83,IF(DATOS_[[AGRUP. CLAS. PROF.]:[AGRUP. CLAS. PROF.]]=$B81,IF(DATOS_[[Check Periodo Ref.]:[Check Periodo Ref.]]="Dentro",DATOS_[Conc.Sal.26]))))),
0)</f>
        <v>0</v>
      </c>
      <c r="AF83" s="170">
        <f t="array" ref="AF83">IFERROR(
AVERAGE((IF(DATOS_[[Sexo]:[Sexo]]=$B83,IF(DATOS_[[AGRUP. CLAS. PROF.]:[AGRUP. CLAS. PROF.]]=$B81,IF(DATOS_[[Check Periodo Ref.]:[Check Periodo Ref.]]="Dentro",DATOS_[Conc.Sal.27]))))),
0)</f>
        <v>0</v>
      </c>
      <c r="AG83" s="170">
        <f t="array" ref="AG83">IFERROR(
AVERAGE((IF(DATOS_[[Sexo]:[Sexo]]=$B83,IF(DATOS_[[AGRUP. CLAS. PROF.]:[AGRUP. CLAS. PROF.]]=$B81,IF(DATOS_[[Check Periodo Ref.]:[Check Periodo Ref.]]="Dentro",DATOS_[Conc.Sal.28]))))),
0)</f>
        <v>0</v>
      </c>
      <c r="AH83" s="170">
        <f t="array" ref="AH83">IFERROR(
AVERAGE((IF(DATOS_[[Sexo]:[Sexo]]=$B83,IF(DATOS_[[AGRUP. CLAS. PROF.]:[AGRUP. CLAS. PROF.]]=$B81,IF(DATOS_[[Check Periodo Ref.]:[Check Periodo Ref.]]="Dentro",DATOS_[Conc.Sal.29]))))),
0)</f>
        <v>0</v>
      </c>
      <c r="AI83" s="170">
        <f t="array" ref="AI83">IFERROR(
AVERAGE((IF(DATOS_[[Sexo]:[Sexo]]=$B83,IF(DATOS_[[AGRUP. CLAS. PROF.]:[AGRUP. CLAS. PROF.]]=$B81,IF(DATOS_[[Check Periodo Ref.]:[Check Periodo Ref.]]="Dentro",DATOS_[Conc.Sal.30]))))),
0)</f>
        <v>0</v>
      </c>
      <c r="AJ83" s="171">
        <f t="array" ref="AJ83">IFERROR(
AVERAGE(IF(DATOS_[Sexo]=$B83,IF(DATOS_[AGRUP. CLAS. PROF.]=$B81,IF(DATOS_[Check Periodo Ref.]="Dentro",DATOS_[Tot COMPL.SAL Ef],FALSE)))),
0)</f>
        <v>0</v>
      </c>
      <c r="AK83" s="172">
        <f t="array" ref="AK83">IFERROR(
AVERAGE(IF(DATOS_[Sexo]=$B83,IF(DATOS_[AGRUP. CLAS. PROF.]=$B81,IF(DATOS_[Check Periodo Ref.]="Dentro",DATOS_[TOTAL SALARIO Ef],FALSE)))),
0)</f>
        <v>0</v>
      </c>
      <c r="AL83" s="173">
        <f t="array" ref="AL83">IFERROR(
AVERAGE((IF(DATOS_[[Sexo]:[Sexo]]=$B83,IF(DATOS_[[AGRUP. CLAS. PROF.]:[AGRUP. CLAS. PROF.]]=$B81,IF(DATOS_[[Check Periodo Ref.]:[Check Periodo Ref.]]="Dentro",DATOS_[C.Extra.01]))))),
0)</f>
        <v>0</v>
      </c>
      <c r="AM83" s="173">
        <f t="array" ref="AM83">IFERROR(
AVERAGE((IF(DATOS_[[Sexo]:[Sexo]]=$B83,IF(DATOS_[[AGRUP. CLAS. PROF.]:[AGRUP. CLAS. PROF.]]=$B81,IF(DATOS_[[Check Periodo Ref.]:[Check Periodo Ref.]]="Dentro",DATOS_[C.Extra.06]))))),
0)</f>
        <v>0</v>
      </c>
      <c r="AN83" s="173">
        <f t="array" ref="AN83">IFERROR(
AVERAGE((IF(DATOS_[[Sexo]:[Sexo]]=$B83,IF(DATOS_[[AGRUP. CLAS. PROF.]:[AGRUP. CLAS. PROF.]]=$B81,IF(DATOS_[[Check Periodo Ref.]:[Check Periodo Ref.]]="Dentro",DATOS_[C.Extra.07]))))),
0)</f>
        <v>0</v>
      </c>
      <c r="AO83" s="173">
        <f t="array" ref="AO83">IFERROR(
AVERAGE((IF(DATOS_[[Sexo]:[Sexo]]=$B83,IF(DATOS_[[AGRUP. CLAS. PROF.]:[AGRUP. CLAS. PROF.]]=$B81,IF(DATOS_[[Check Periodo Ref.]:[Check Periodo Ref.]]="Dentro",DATOS_[C.Extra.08]))))),
0)</f>
        <v>0</v>
      </c>
      <c r="AP83" s="173">
        <f t="array" ref="AP83">IFERROR(
AVERAGE((IF(DATOS_[[Sexo]:[Sexo]]=$B83,IF(DATOS_[[AGRUP. CLAS. PROF.]:[AGRUP. CLAS. PROF.]]=$B81,IF(DATOS_[[Check Periodo Ref.]:[Check Periodo Ref.]]="Dentro",DATOS_[C.Extra.11]))))),
0)</f>
        <v>0</v>
      </c>
      <c r="AQ83" s="174">
        <f t="array" ref="AQ83">IFERROR(
AVERAGE(IF(DATOS_[Sexo]=$B83,IF(DATOS_[AGRUP. CLAS. PROF.]=$B81,IF(DATOS_[Check Periodo Ref.]="Dentro",DATOS_[Tot Extrasalarial Ef],FALSE)))),
0)</f>
        <v>0</v>
      </c>
      <c r="AR83" s="171">
        <f t="array" ref="AR83">IFERROR(
AVERAGE(IF(DATOS_[Sexo]=$B83,IF(DATOS_[AGRUP. CLAS. PROF.]=$B81,IF(DATOS_[Check Periodo Ref.]="Dentro",DATOS_[TOTAL Retrib Ef],FALSE)))),
0)</f>
        <v>0</v>
      </c>
    </row>
    <row r="84" spans="1:44" s="152" customFormat="1" ht="14.4" thickBot="1" x14ac:dyDescent="0.3">
      <c r="A84" s="135" t="str">
        <f t="shared" ref="A84" si="95">+A85</f>
        <v>[ocultar]</v>
      </c>
      <c r="B84" s="153" t="s">
        <v>271</v>
      </c>
      <c r="C84" s="154"/>
      <c r="D84" s="155"/>
      <c r="E84" s="156" t="str">
        <f t="shared" ref="E84:AR84" si="96">IFERROR((E85-E86)/E85,"")</f>
        <v/>
      </c>
      <c r="F84" s="157" t="str">
        <f t="shared" si="96"/>
        <v/>
      </c>
      <c r="G84" s="158" t="str">
        <f t="shared" si="96"/>
        <v/>
      </c>
      <c r="H84" s="158" t="str">
        <f t="shared" si="96"/>
        <v/>
      </c>
      <c r="I84" s="158" t="str">
        <f t="shared" si="96"/>
        <v/>
      </c>
      <c r="J84" s="159" t="str">
        <f t="shared" si="96"/>
        <v/>
      </c>
      <c r="K84" s="160" t="str">
        <f t="shared" si="96"/>
        <v/>
      </c>
      <c r="L84" s="160" t="str">
        <f t="shared" si="96"/>
        <v/>
      </c>
      <c r="M84" s="160" t="str">
        <f t="shared" si="96"/>
        <v/>
      </c>
      <c r="N84" s="160" t="str">
        <f t="shared" si="96"/>
        <v/>
      </c>
      <c r="O84" s="160" t="str">
        <f t="shared" si="96"/>
        <v/>
      </c>
      <c r="P84" s="160" t="str">
        <f t="shared" si="96"/>
        <v/>
      </c>
      <c r="Q84" s="160" t="str">
        <f t="shared" si="96"/>
        <v/>
      </c>
      <c r="R84" s="160" t="str">
        <f t="shared" si="96"/>
        <v/>
      </c>
      <c r="S84" s="160" t="str">
        <f t="shared" si="96"/>
        <v/>
      </c>
      <c r="T84" s="160" t="str">
        <f t="shared" si="96"/>
        <v/>
      </c>
      <c r="U84" s="160" t="str">
        <f t="shared" si="96"/>
        <v/>
      </c>
      <c r="V84" s="159" t="str">
        <f t="shared" si="96"/>
        <v/>
      </c>
      <c r="W84" s="159" t="str">
        <f t="shared" si="96"/>
        <v/>
      </c>
      <c r="X84" s="159" t="str">
        <f t="shared" si="96"/>
        <v/>
      </c>
      <c r="Y84" s="159" t="str">
        <f t="shared" si="96"/>
        <v/>
      </c>
      <c r="Z84" s="159" t="str">
        <f t="shared" si="96"/>
        <v/>
      </c>
      <c r="AA84" s="159" t="str">
        <f t="shared" si="96"/>
        <v/>
      </c>
      <c r="AB84" s="159" t="str">
        <f t="shared" si="96"/>
        <v/>
      </c>
      <c r="AC84" s="159" t="str">
        <f t="shared" si="96"/>
        <v/>
      </c>
      <c r="AD84" s="159" t="str">
        <f t="shared" si="96"/>
        <v/>
      </c>
      <c r="AE84" s="159" t="str">
        <f t="shared" si="96"/>
        <v/>
      </c>
      <c r="AF84" s="159" t="str">
        <f t="shared" si="96"/>
        <v/>
      </c>
      <c r="AG84" s="159" t="str">
        <f t="shared" si="96"/>
        <v/>
      </c>
      <c r="AH84" s="159" t="str">
        <f t="shared" si="96"/>
        <v/>
      </c>
      <c r="AI84" s="159" t="str">
        <f t="shared" si="96"/>
        <v/>
      </c>
      <c r="AJ84" s="161" t="str">
        <f t="shared" si="96"/>
        <v/>
      </c>
      <c r="AK84" s="162" t="str">
        <f t="shared" si="96"/>
        <v/>
      </c>
      <c r="AL84" s="163" t="str">
        <f t="shared" si="96"/>
        <v/>
      </c>
      <c r="AM84" s="163" t="str">
        <f t="shared" si="96"/>
        <v/>
      </c>
      <c r="AN84" s="163" t="str">
        <f t="shared" si="96"/>
        <v/>
      </c>
      <c r="AO84" s="163" t="str">
        <f t="shared" si="96"/>
        <v/>
      </c>
      <c r="AP84" s="163" t="str">
        <f t="shared" si="96"/>
        <v/>
      </c>
      <c r="AQ84" s="164" t="str">
        <f t="shared" si="96"/>
        <v/>
      </c>
      <c r="AR84" s="161" t="str">
        <f t="shared" si="96"/>
        <v/>
      </c>
    </row>
    <row r="85" spans="1:44" x14ac:dyDescent="0.25">
      <c r="A85" s="135" t="str">
        <f t="shared" ref="A85" si="97">+IF(C85+C86=0,"[ocultar]","")</f>
        <v>[ocultar]</v>
      </c>
      <c r="B85" s="166" t="s">
        <v>394</v>
      </c>
      <c r="C85" s="167">
        <f t="array" ref="C85">SUM(IF($B85=DATOS_[Sexo],
IF($B84=DATOS_[AGRUP. CLAS. PROF.],
IF("Dentro"=DATOS_[Check Periodo Ref.],
1/(COUNTIFS(DATOS_[Sexo],$B85,DATOS_[AGRUP. CLAS. PROF.],$B84,DATOS_[Check Periodo Ref.],"Dentro",DATOS_[id/cod],DATOS_[id/cod]))))))</f>
        <v>0</v>
      </c>
      <c r="D85" s="168">
        <f>COUNTIFS(DATOS_[AGRUP. CLAS. PROF.],$B84,DATOS_[Sexo],$B85,DATOS_[Check Periodo Ref.],"Dentro")</f>
        <v>0</v>
      </c>
      <c r="E85" s="169">
        <f t="array" ref="E85">IFERROR(
AVERAGE(IF(DATOS_[Sexo]=$B85,IF(DATOS_[AGRUP. CLAS. PROF.]=$B84,IF(DATOS_[Check Periodo Ref.]="Dentro",DATOS_[SALARIO BASE Ef],FALSE)))),
0)</f>
        <v>0</v>
      </c>
      <c r="F85" s="170">
        <f t="array" ref="F85">IFERROR(
AVERAGE((IF(DATOS_[[Sexo]:[Sexo]]=$B85,IF(DATOS_[[AGRUP. CLAS. PROF.]:[AGRUP. CLAS. PROF.]]=$B84,IF(DATOS_[[Check Periodo Ref.]:[Check Periodo Ref.]]="Dentro",DATOS_[Conc.Sal.01]))))),
0)</f>
        <v>0</v>
      </c>
      <c r="G85" s="170">
        <f t="array" ref="G85">IFERROR(
AVERAGE((IF(DATOS_[[Sexo]:[Sexo]]=$B85,IF(DATOS_[[AGRUP. CLAS. PROF.]:[AGRUP. CLAS. PROF.]]=$B84,IF(DATOS_[[Check Periodo Ref.]:[Check Periodo Ref.]]="Dentro",DATOS_[Conc.Sal.02]))))),
0)</f>
        <v>0</v>
      </c>
      <c r="H85" s="170">
        <f t="array" ref="H85">IFERROR(
AVERAGE((IF(DATOS_[[Sexo]:[Sexo]]=$B85,IF(DATOS_[[AGRUP. CLAS. PROF.]:[AGRUP. CLAS. PROF.]]=$B84,IF(DATOS_[[Check Periodo Ref.]:[Check Periodo Ref.]]="Dentro",DATOS_[Conc.Sal.03]))))),
0)</f>
        <v>0</v>
      </c>
      <c r="I85" s="170">
        <f t="array" ref="I85">IFERROR(
AVERAGE((IF(DATOS_[[Sexo]:[Sexo]]=$B85,IF(DATOS_[[AGRUP. CLAS. PROF.]:[AGRUP. CLAS. PROF.]]=$B84,IF(DATOS_[[Check Periodo Ref.]:[Check Periodo Ref.]]="Dentro",DATOS_[Conc.Sal.04]))))),
0)</f>
        <v>0</v>
      </c>
      <c r="J85" s="170">
        <f t="array" ref="J85">IFERROR(
AVERAGE((IF(DATOS_[[Sexo]:[Sexo]]=$B85,IF(DATOS_[[AGRUP. CLAS. PROF.]:[AGRUP. CLAS. PROF.]]=$B84,IF(DATOS_[[Check Periodo Ref.]:[Check Periodo Ref.]]="Dentro",DATOS_[Conc.Sal.05]))))),
0)</f>
        <v>0</v>
      </c>
      <c r="K85" s="170">
        <f t="array" ref="K85">IFERROR(
AVERAGE((IF(DATOS_[[Sexo]:[Sexo]]=$B85,IF(DATOS_[[AGRUP. CLAS. PROF.]:[AGRUP. CLAS. PROF.]]=$B84,IF(DATOS_[[Check Periodo Ref.]:[Check Periodo Ref.]]="Dentro",DATOS_[Conc.Sal.06]))))),
0)</f>
        <v>0</v>
      </c>
      <c r="L85" s="170">
        <f t="array" ref="L85">IFERROR(
AVERAGE((IF(DATOS_[[Sexo]:[Sexo]]=$B85,IF(DATOS_[[AGRUP. CLAS. PROF.]:[AGRUP. CLAS. PROF.]]=$B84,IF(DATOS_[[Check Periodo Ref.]:[Check Periodo Ref.]]="Dentro",DATOS_[Conc.Sal.07]))))),
0)</f>
        <v>0</v>
      </c>
      <c r="M85" s="170">
        <f t="array" ref="M85">IFERROR(
AVERAGE((IF(DATOS_[[Sexo]:[Sexo]]=$B85,IF(DATOS_[[AGRUP. CLAS. PROF.]:[AGRUP. CLAS. PROF.]]=$B84,IF(DATOS_[[Check Periodo Ref.]:[Check Periodo Ref.]]="Dentro",DATOS_[Conc.Sal.08]))))),
0)</f>
        <v>0</v>
      </c>
      <c r="N85" s="170">
        <f t="array" ref="N85">IFERROR(
AVERAGE((IF(DATOS_[[Sexo]:[Sexo]]=$B85,IF(DATOS_[[AGRUP. CLAS. PROF.]:[AGRUP. CLAS. PROF.]]=$B84,IF(DATOS_[[Check Periodo Ref.]:[Check Periodo Ref.]]="Dentro",DATOS_[Conc.Sal.09]))))),
0)</f>
        <v>0</v>
      </c>
      <c r="O85" s="170">
        <f t="array" ref="O85">IFERROR(
AVERAGE((IF(DATOS_[[Sexo]:[Sexo]]=$B85,IF(DATOS_[[AGRUP. CLAS. PROF.]:[AGRUP. CLAS. PROF.]]=$B84,IF(DATOS_[[Check Periodo Ref.]:[Check Periodo Ref.]]="Dentro",DATOS_[Conc.Sal.10]))))),
0)</f>
        <v>0</v>
      </c>
      <c r="P85" s="170">
        <f t="array" ref="P85">IFERROR(
AVERAGE((IF(DATOS_[[Sexo]:[Sexo]]=$B85,IF(DATOS_[[AGRUP. CLAS. PROF.]:[AGRUP. CLAS. PROF.]]=$B84,IF(DATOS_[[Check Periodo Ref.]:[Check Periodo Ref.]]="Dentro",DATOS_[Conc.Sal.11]))))),
0)</f>
        <v>0</v>
      </c>
      <c r="Q85" s="170">
        <f t="array" ref="Q85">IFERROR(
AVERAGE((IF(DATOS_[[Sexo]:[Sexo]]=$B85,IF(DATOS_[[AGRUP. CLAS. PROF.]:[AGRUP. CLAS. PROF.]]=$B84,IF(DATOS_[[Check Periodo Ref.]:[Check Periodo Ref.]]="Dentro",DATOS_[Conc.Sal.12]))))),
0)</f>
        <v>0</v>
      </c>
      <c r="R85" s="170">
        <f t="array" ref="R85">IFERROR(
AVERAGE((IF(DATOS_[[Sexo]:[Sexo]]=$B85,IF(DATOS_[[AGRUP. CLAS. PROF.]:[AGRUP. CLAS. PROF.]]=$B84,IF(DATOS_[[Check Periodo Ref.]:[Check Periodo Ref.]]="Dentro",DATOS_[Conc.Sal.13]))))),
0)</f>
        <v>0</v>
      </c>
      <c r="S85" s="170">
        <f t="array" ref="S85">IFERROR(
AVERAGE((IF(DATOS_[[Sexo]:[Sexo]]=$B85,IF(DATOS_[[AGRUP. CLAS. PROF.]:[AGRUP. CLAS. PROF.]]=$B84,IF(DATOS_[[Check Periodo Ref.]:[Check Periodo Ref.]]="Dentro",DATOS_[Conc.Sal.14]))))),
0)</f>
        <v>0</v>
      </c>
      <c r="T85" s="170">
        <f t="array" ref="T85">IFERROR(
AVERAGE((IF(DATOS_[[Sexo]:[Sexo]]=$B85,IF(DATOS_[[AGRUP. CLAS. PROF.]:[AGRUP. CLAS. PROF.]]=$B84,IF(DATOS_[[Check Periodo Ref.]:[Check Periodo Ref.]]="Dentro",DATOS_[Conc.Sal.15]))))),
0)</f>
        <v>0</v>
      </c>
      <c r="U85" s="170">
        <f t="array" ref="U85">IFERROR(
AVERAGE((IF(DATOS_[[Sexo]:[Sexo]]=$B85,IF(DATOS_[[AGRUP. CLAS. PROF.]:[AGRUP. CLAS. PROF.]]=$B84,IF(DATOS_[[Check Periodo Ref.]:[Check Periodo Ref.]]="Dentro",DATOS_[Conc.Sal.16]))))),
0)</f>
        <v>0</v>
      </c>
      <c r="V85" s="170">
        <f t="array" ref="V85">IFERROR(
AVERAGE((IF(DATOS_[[Sexo]:[Sexo]]=$B85,IF(DATOS_[[AGRUP. CLAS. PROF.]:[AGRUP. CLAS. PROF.]]=$B84,IF(DATOS_[[Check Periodo Ref.]:[Check Periodo Ref.]]="Dentro",DATOS_[Conc.Sal.17]))))),
0)</f>
        <v>0</v>
      </c>
      <c r="W85" s="170">
        <f t="array" ref="W85">IFERROR(
AVERAGE((IF(DATOS_[[Sexo]:[Sexo]]=$B85,IF(DATOS_[[AGRUP. CLAS. PROF.]:[AGRUP. CLAS. PROF.]]=$B84,IF(DATOS_[[Check Periodo Ref.]:[Check Periodo Ref.]]="Dentro",DATOS_[Conc.Sal.18]))))),
0)</f>
        <v>0</v>
      </c>
      <c r="X85" s="170">
        <f t="array" ref="X85">IFERROR(
AVERAGE((IF(DATOS_[[Sexo]:[Sexo]]=$B85,IF(DATOS_[[AGRUP. CLAS. PROF.]:[AGRUP. CLAS. PROF.]]=$B84,IF(DATOS_[[Check Periodo Ref.]:[Check Periodo Ref.]]="Dentro",DATOS_[Conc.Sal.19]))))),
0)</f>
        <v>0</v>
      </c>
      <c r="Y85" s="170">
        <f t="array" ref="Y85">IFERROR(
AVERAGE((IF(DATOS_[[Sexo]:[Sexo]]=$B85,IF(DATOS_[[AGRUP. CLAS. PROF.]:[AGRUP. CLAS. PROF.]]=$B84,IF(DATOS_[[Check Periodo Ref.]:[Check Periodo Ref.]]="Dentro",DATOS_[Conc.Sal.20]))))),
0)</f>
        <v>0</v>
      </c>
      <c r="Z85" s="170">
        <f t="array" ref="Z85">IFERROR(
AVERAGE((IF(DATOS_[[Sexo]:[Sexo]]=$B85,IF(DATOS_[[AGRUP. CLAS. PROF.]:[AGRUP. CLAS. PROF.]]=$B84,IF(DATOS_[[Check Periodo Ref.]:[Check Periodo Ref.]]="Dentro",DATOS_[Conc.Sal.21]))))),
0)</f>
        <v>0</v>
      </c>
      <c r="AA85" s="170">
        <f t="array" ref="AA85">IFERROR(
AVERAGE((IF(DATOS_[[Sexo]:[Sexo]]=$B85,IF(DATOS_[[AGRUP. CLAS. PROF.]:[AGRUP. CLAS. PROF.]]=$B84,IF(DATOS_[[Check Periodo Ref.]:[Check Periodo Ref.]]="Dentro",DATOS_[Conc.Sal.22]))))),
0)</f>
        <v>0</v>
      </c>
      <c r="AB85" s="170">
        <f t="array" ref="AB85">IFERROR(
AVERAGE((IF(DATOS_[[Sexo]:[Sexo]]=$B85,IF(DATOS_[[AGRUP. CLAS. PROF.]:[AGRUP. CLAS. PROF.]]=$B84,IF(DATOS_[[Check Periodo Ref.]:[Check Periodo Ref.]]="Dentro",DATOS_[Conc.Sal.23]))))),
0)</f>
        <v>0</v>
      </c>
      <c r="AC85" s="170">
        <f t="array" ref="AC85">IFERROR(
AVERAGE((IF(DATOS_[[Sexo]:[Sexo]]=$B85,IF(DATOS_[[AGRUP. CLAS. PROF.]:[AGRUP. CLAS. PROF.]]=$B84,IF(DATOS_[[Check Periodo Ref.]:[Check Periodo Ref.]]="Dentro",DATOS_[Conc.Sal.24]))))),
0)</f>
        <v>0</v>
      </c>
      <c r="AD85" s="170">
        <f t="array" ref="AD85">IFERROR(
AVERAGE((IF(DATOS_[[Sexo]:[Sexo]]=$B85,IF(DATOS_[[AGRUP. CLAS. PROF.]:[AGRUP. CLAS. PROF.]]=$B84,IF(DATOS_[[Check Periodo Ref.]:[Check Periodo Ref.]]="Dentro",DATOS_[Conc.Sal.25]))))),
0)</f>
        <v>0</v>
      </c>
      <c r="AE85" s="170">
        <f t="array" ref="AE85">IFERROR(
AVERAGE((IF(DATOS_[[Sexo]:[Sexo]]=$B85,IF(DATOS_[[AGRUP. CLAS. PROF.]:[AGRUP. CLAS. PROF.]]=$B84,IF(DATOS_[[Check Periodo Ref.]:[Check Periodo Ref.]]="Dentro",DATOS_[Conc.Sal.26]))))),
0)</f>
        <v>0</v>
      </c>
      <c r="AF85" s="170">
        <f t="array" ref="AF85">IFERROR(
AVERAGE((IF(DATOS_[[Sexo]:[Sexo]]=$B85,IF(DATOS_[[AGRUP. CLAS. PROF.]:[AGRUP. CLAS. PROF.]]=$B84,IF(DATOS_[[Check Periodo Ref.]:[Check Periodo Ref.]]="Dentro",DATOS_[Conc.Sal.27]))))),
0)</f>
        <v>0</v>
      </c>
      <c r="AG85" s="170">
        <f t="array" ref="AG85">IFERROR(
AVERAGE((IF(DATOS_[[Sexo]:[Sexo]]=$B85,IF(DATOS_[[AGRUP. CLAS. PROF.]:[AGRUP. CLAS. PROF.]]=$B84,IF(DATOS_[[Check Periodo Ref.]:[Check Periodo Ref.]]="Dentro",DATOS_[Conc.Sal.28]))))),
0)</f>
        <v>0</v>
      </c>
      <c r="AH85" s="170">
        <f t="array" ref="AH85">IFERROR(
AVERAGE((IF(DATOS_[[Sexo]:[Sexo]]=$B85,IF(DATOS_[[AGRUP. CLAS. PROF.]:[AGRUP. CLAS. PROF.]]=$B84,IF(DATOS_[[Check Periodo Ref.]:[Check Periodo Ref.]]="Dentro",DATOS_[Conc.Sal.29]))))),
0)</f>
        <v>0</v>
      </c>
      <c r="AI85" s="170">
        <f t="array" ref="AI85">IFERROR(
AVERAGE((IF(DATOS_[[Sexo]:[Sexo]]=$B85,IF(DATOS_[[AGRUP. CLAS. PROF.]:[AGRUP. CLAS. PROF.]]=$B84,IF(DATOS_[[Check Periodo Ref.]:[Check Periodo Ref.]]="Dentro",DATOS_[Conc.Sal.30]))))),
0)</f>
        <v>0</v>
      </c>
      <c r="AJ85" s="171">
        <f t="array" ref="AJ85">IFERROR(
AVERAGE(IF(DATOS_[Sexo]=$B85,IF(DATOS_[AGRUP. CLAS. PROF.]=$B84,IF(DATOS_[Check Periodo Ref.]="Dentro",DATOS_[Tot COMPL.SAL Ef],FALSE)))),
0)</f>
        <v>0</v>
      </c>
      <c r="AK85" s="172">
        <f t="array" ref="AK85">IFERROR(
AVERAGE(IF(DATOS_[Sexo]=$B85,IF(DATOS_[AGRUP. CLAS. PROF.]=$B84,IF(DATOS_[Check Periodo Ref.]="Dentro",DATOS_[TOTAL SALARIO Ef],FALSE)))),
0)</f>
        <v>0</v>
      </c>
      <c r="AL85" s="173">
        <f t="array" ref="AL85">IFERROR(
AVERAGE((IF(DATOS_[[Sexo]:[Sexo]]=$B85,IF(DATOS_[[AGRUP. CLAS. PROF.]:[AGRUP. CLAS. PROF.]]=$B84,IF(DATOS_[[Check Periodo Ref.]:[Check Periodo Ref.]]="Dentro",DATOS_[C.Extra.01]))))),
0)</f>
        <v>0</v>
      </c>
      <c r="AM85" s="173">
        <f t="array" ref="AM85">IFERROR(
AVERAGE((IF(DATOS_[[Sexo]:[Sexo]]=$B85,IF(DATOS_[[AGRUP. CLAS. PROF.]:[AGRUP. CLAS. PROF.]]=$B84,IF(DATOS_[[Check Periodo Ref.]:[Check Periodo Ref.]]="Dentro",DATOS_[C.Extra.06]))))),
0)</f>
        <v>0</v>
      </c>
      <c r="AN85" s="173">
        <f t="array" ref="AN85">IFERROR(
AVERAGE((IF(DATOS_[[Sexo]:[Sexo]]=$B85,IF(DATOS_[[AGRUP. CLAS. PROF.]:[AGRUP. CLAS. PROF.]]=$B84,IF(DATOS_[[Check Periodo Ref.]:[Check Periodo Ref.]]="Dentro",DATOS_[C.Extra.07]))))),
0)</f>
        <v>0</v>
      </c>
      <c r="AO85" s="173">
        <f t="array" ref="AO85">IFERROR(
AVERAGE((IF(DATOS_[[Sexo]:[Sexo]]=$B85,IF(DATOS_[[AGRUP. CLAS. PROF.]:[AGRUP. CLAS. PROF.]]=$B84,IF(DATOS_[[Check Periodo Ref.]:[Check Periodo Ref.]]="Dentro",DATOS_[C.Extra.08]))))),
0)</f>
        <v>0</v>
      </c>
      <c r="AP85" s="173">
        <f t="array" ref="AP85">IFERROR(
AVERAGE((IF(DATOS_[[Sexo]:[Sexo]]=$B85,IF(DATOS_[[AGRUP. CLAS. PROF.]:[AGRUP. CLAS. PROF.]]=$B84,IF(DATOS_[[Check Periodo Ref.]:[Check Periodo Ref.]]="Dentro",DATOS_[C.Extra.11]))))),
0)</f>
        <v>0</v>
      </c>
      <c r="AQ85" s="174">
        <f t="array" ref="AQ85">IFERROR(
AVERAGE(IF(DATOS_[Sexo]=$B85,IF(DATOS_[AGRUP. CLAS. PROF.]=$B84,IF(DATOS_[Check Periodo Ref.]="Dentro",DATOS_[Tot Extrasalarial Ef],FALSE)))),
0)</f>
        <v>0</v>
      </c>
      <c r="AR85" s="171">
        <f t="array" ref="AR85">IFERROR(
AVERAGE(IF(DATOS_[Sexo]=$B85,IF(DATOS_[AGRUP. CLAS. PROF.]=$B84,IF(DATOS_[Check Periodo Ref.]="Dentro",DATOS_[TOTAL Retrib Ef],FALSE)))),
0)</f>
        <v>0</v>
      </c>
    </row>
    <row r="86" spans="1:44" x14ac:dyDescent="0.25">
      <c r="A86" s="135" t="str">
        <f t="shared" ref="A86" si="98">+A85</f>
        <v>[ocultar]</v>
      </c>
      <c r="B86" s="166" t="s">
        <v>521</v>
      </c>
      <c r="C86" s="167">
        <f t="array" ref="C86">SUM(IF($B86=DATOS_[Sexo],
IF($B84=DATOS_[AGRUP. CLAS. PROF.],
IF("Dentro"=DATOS_[Check Periodo Ref.],
1/(COUNTIFS(DATOS_[Sexo],$B86,DATOS_[AGRUP. CLAS. PROF.],$B84,DATOS_[Check Periodo Ref.],"Dentro",DATOS_[id/cod],DATOS_[id/cod]))))))</f>
        <v>0</v>
      </c>
      <c r="D86" s="168">
        <f>COUNTIFS(DATOS_[AGRUP. CLAS. PROF.],$B84,DATOS_[Sexo],$B86,DATOS_[Check Periodo Ref.],"Dentro")</f>
        <v>0</v>
      </c>
      <c r="E86" s="169">
        <f t="array" ref="E86">IFERROR(
AVERAGE(IF(DATOS_[Sexo]=$B86,IF(DATOS_[AGRUP. CLAS. PROF.]=$B84,IF(DATOS_[Check Periodo Ref.]="Dentro",DATOS_[SALARIO BASE Ef],FALSE)))),
0)</f>
        <v>0</v>
      </c>
      <c r="F86" s="170">
        <f t="array" ref="F86">IFERROR(
AVERAGE((IF(DATOS_[[Sexo]:[Sexo]]=$B86,IF(DATOS_[[AGRUP. CLAS. PROF.]:[AGRUP. CLAS. PROF.]]=$B84,IF(DATOS_[[Check Periodo Ref.]:[Check Periodo Ref.]]="Dentro",DATOS_[Conc.Sal.01]))))),
0)</f>
        <v>0</v>
      </c>
      <c r="G86" s="170">
        <f t="array" ref="G86">IFERROR(
AVERAGE((IF(DATOS_[[Sexo]:[Sexo]]=$B86,IF(DATOS_[[AGRUP. CLAS. PROF.]:[AGRUP. CLAS. PROF.]]=$B84,IF(DATOS_[[Check Periodo Ref.]:[Check Periodo Ref.]]="Dentro",DATOS_[Conc.Sal.02]))))),
0)</f>
        <v>0</v>
      </c>
      <c r="H86" s="170">
        <f t="array" ref="H86">IFERROR(
AVERAGE((IF(DATOS_[[Sexo]:[Sexo]]=$B86,IF(DATOS_[[AGRUP. CLAS. PROF.]:[AGRUP. CLAS. PROF.]]=$B84,IF(DATOS_[[Check Periodo Ref.]:[Check Periodo Ref.]]="Dentro",DATOS_[Conc.Sal.03]))))),
0)</f>
        <v>0</v>
      </c>
      <c r="I86" s="170">
        <f t="array" ref="I86">IFERROR(
AVERAGE((IF(DATOS_[[Sexo]:[Sexo]]=$B86,IF(DATOS_[[AGRUP. CLAS. PROF.]:[AGRUP. CLAS. PROF.]]=$B84,IF(DATOS_[[Check Periodo Ref.]:[Check Periodo Ref.]]="Dentro",DATOS_[Conc.Sal.04]))))),
0)</f>
        <v>0</v>
      </c>
      <c r="J86" s="170">
        <f t="array" ref="J86">IFERROR(
AVERAGE((IF(DATOS_[[Sexo]:[Sexo]]=$B86,IF(DATOS_[[AGRUP. CLAS. PROF.]:[AGRUP. CLAS. PROF.]]=$B84,IF(DATOS_[[Check Periodo Ref.]:[Check Periodo Ref.]]="Dentro",DATOS_[Conc.Sal.05]))))),
0)</f>
        <v>0</v>
      </c>
      <c r="K86" s="170">
        <f t="array" ref="K86">IFERROR(
AVERAGE((IF(DATOS_[[Sexo]:[Sexo]]=$B86,IF(DATOS_[[AGRUP. CLAS. PROF.]:[AGRUP. CLAS. PROF.]]=$B84,IF(DATOS_[[Check Periodo Ref.]:[Check Periodo Ref.]]="Dentro",DATOS_[Conc.Sal.06]))))),
0)</f>
        <v>0</v>
      </c>
      <c r="L86" s="170">
        <f t="array" ref="L86">IFERROR(
AVERAGE((IF(DATOS_[[Sexo]:[Sexo]]=$B86,IF(DATOS_[[AGRUP. CLAS. PROF.]:[AGRUP. CLAS. PROF.]]=$B84,IF(DATOS_[[Check Periodo Ref.]:[Check Periodo Ref.]]="Dentro",DATOS_[Conc.Sal.07]))))),
0)</f>
        <v>0</v>
      </c>
      <c r="M86" s="170">
        <f t="array" ref="M86">IFERROR(
AVERAGE((IF(DATOS_[[Sexo]:[Sexo]]=$B86,IF(DATOS_[[AGRUP. CLAS. PROF.]:[AGRUP. CLAS. PROF.]]=$B84,IF(DATOS_[[Check Periodo Ref.]:[Check Periodo Ref.]]="Dentro",DATOS_[Conc.Sal.08]))))),
0)</f>
        <v>0</v>
      </c>
      <c r="N86" s="170">
        <f t="array" ref="N86">IFERROR(
AVERAGE((IF(DATOS_[[Sexo]:[Sexo]]=$B86,IF(DATOS_[[AGRUP. CLAS. PROF.]:[AGRUP. CLAS. PROF.]]=$B84,IF(DATOS_[[Check Periodo Ref.]:[Check Periodo Ref.]]="Dentro",DATOS_[Conc.Sal.09]))))),
0)</f>
        <v>0</v>
      </c>
      <c r="O86" s="170">
        <f t="array" ref="O86">IFERROR(
AVERAGE((IF(DATOS_[[Sexo]:[Sexo]]=$B86,IF(DATOS_[[AGRUP. CLAS. PROF.]:[AGRUP. CLAS. PROF.]]=$B84,IF(DATOS_[[Check Periodo Ref.]:[Check Periodo Ref.]]="Dentro",DATOS_[Conc.Sal.10]))))),
0)</f>
        <v>0</v>
      </c>
      <c r="P86" s="170">
        <f t="array" ref="P86">IFERROR(
AVERAGE((IF(DATOS_[[Sexo]:[Sexo]]=$B86,IF(DATOS_[[AGRUP. CLAS. PROF.]:[AGRUP. CLAS. PROF.]]=$B84,IF(DATOS_[[Check Periodo Ref.]:[Check Periodo Ref.]]="Dentro",DATOS_[Conc.Sal.11]))))),
0)</f>
        <v>0</v>
      </c>
      <c r="Q86" s="170">
        <f t="array" ref="Q86">IFERROR(
AVERAGE((IF(DATOS_[[Sexo]:[Sexo]]=$B86,IF(DATOS_[[AGRUP. CLAS. PROF.]:[AGRUP. CLAS. PROF.]]=$B84,IF(DATOS_[[Check Periodo Ref.]:[Check Periodo Ref.]]="Dentro",DATOS_[Conc.Sal.12]))))),
0)</f>
        <v>0</v>
      </c>
      <c r="R86" s="170">
        <f t="array" ref="R86">IFERROR(
AVERAGE((IF(DATOS_[[Sexo]:[Sexo]]=$B86,IF(DATOS_[[AGRUP. CLAS. PROF.]:[AGRUP. CLAS. PROF.]]=$B84,IF(DATOS_[[Check Periodo Ref.]:[Check Periodo Ref.]]="Dentro",DATOS_[Conc.Sal.13]))))),
0)</f>
        <v>0</v>
      </c>
      <c r="S86" s="170">
        <f t="array" ref="S86">IFERROR(
AVERAGE((IF(DATOS_[[Sexo]:[Sexo]]=$B86,IF(DATOS_[[AGRUP. CLAS. PROF.]:[AGRUP. CLAS. PROF.]]=$B84,IF(DATOS_[[Check Periodo Ref.]:[Check Periodo Ref.]]="Dentro",DATOS_[Conc.Sal.14]))))),
0)</f>
        <v>0</v>
      </c>
      <c r="T86" s="170">
        <f t="array" ref="T86">IFERROR(
AVERAGE((IF(DATOS_[[Sexo]:[Sexo]]=$B86,IF(DATOS_[[AGRUP. CLAS. PROF.]:[AGRUP. CLAS. PROF.]]=$B84,IF(DATOS_[[Check Periodo Ref.]:[Check Periodo Ref.]]="Dentro",DATOS_[Conc.Sal.15]))))),
0)</f>
        <v>0</v>
      </c>
      <c r="U86" s="170">
        <f t="array" ref="U86">IFERROR(
AVERAGE((IF(DATOS_[[Sexo]:[Sexo]]=$B86,IF(DATOS_[[AGRUP. CLAS. PROF.]:[AGRUP. CLAS. PROF.]]=$B84,IF(DATOS_[[Check Periodo Ref.]:[Check Periodo Ref.]]="Dentro",DATOS_[Conc.Sal.16]))))),
0)</f>
        <v>0</v>
      </c>
      <c r="V86" s="170">
        <f t="array" ref="V86">IFERROR(
AVERAGE((IF(DATOS_[[Sexo]:[Sexo]]=$B86,IF(DATOS_[[AGRUP. CLAS. PROF.]:[AGRUP. CLAS. PROF.]]=$B84,IF(DATOS_[[Check Periodo Ref.]:[Check Periodo Ref.]]="Dentro",DATOS_[Conc.Sal.17]))))),
0)</f>
        <v>0</v>
      </c>
      <c r="W86" s="170">
        <f t="array" ref="W86">IFERROR(
AVERAGE((IF(DATOS_[[Sexo]:[Sexo]]=$B86,IF(DATOS_[[AGRUP. CLAS. PROF.]:[AGRUP. CLAS. PROF.]]=$B84,IF(DATOS_[[Check Periodo Ref.]:[Check Periodo Ref.]]="Dentro",DATOS_[Conc.Sal.18]))))),
0)</f>
        <v>0</v>
      </c>
      <c r="X86" s="170">
        <f t="array" ref="X86">IFERROR(
AVERAGE((IF(DATOS_[[Sexo]:[Sexo]]=$B86,IF(DATOS_[[AGRUP. CLAS. PROF.]:[AGRUP. CLAS. PROF.]]=$B84,IF(DATOS_[[Check Periodo Ref.]:[Check Periodo Ref.]]="Dentro",DATOS_[Conc.Sal.19]))))),
0)</f>
        <v>0</v>
      </c>
      <c r="Y86" s="170">
        <f t="array" ref="Y86">IFERROR(
AVERAGE((IF(DATOS_[[Sexo]:[Sexo]]=$B86,IF(DATOS_[[AGRUP. CLAS. PROF.]:[AGRUP. CLAS. PROF.]]=$B84,IF(DATOS_[[Check Periodo Ref.]:[Check Periodo Ref.]]="Dentro",DATOS_[Conc.Sal.20]))))),
0)</f>
        <v>0</v>
      </c>
      <c r="Z86" s="170">
        <f t="array" ref="Z86">IFERROR(
AVERAGE((IF(DATOS_[[Sexo]:[Sexo]]=$B86,IF(DATOS_[[AGRUP. CLAS. PROF.]:[AGRUP. CLAS. PROF.]]=$B84,IF(DATOS_[[Check Periodo Ref.]:[Check Periodo Ref.]]="Dentro",DATOS_[Conc.Sal.21]))))),
0)</f>
        <v>0</v>
      </c>
      <c r="AA86" s="170">
        <f t="array" ref="AA86">IFERROR(
AVERAGE((IF(DATOS_[[Sexo]:[Sexo]]=$B86,IF(DATOS_[[AGRUP. CLAS. PROF.]:[AGRUP. CLAS. PROF.]]=$B84,IF(DATOS_[[Check Periodo Ref.]:[Check Periodo Ref.]]="Dentro",DATOS_[Conc.Sal.22]))))),
0)</f>
        <v>0</v>
      </c>
      <c r="AB86" s="170">
        <f t="array" ref="AB86">IFERROR(
AVERAGE((IF(DATOS_[[Sexo]:[Sexo]]=$B86,IF(DATOS_[[AGRUP. CLAS. PROF.]:[AGRUP. CLAS. PROF.]]=$B84,IF(DATOS_[[Check Periodo Ref.]:[Check Periodo Ref.]]="Dentro",DATOS_[Conc.Sal.23]))))),
0)</f>
        <v>0</v>
      </c>
      <c r="AC86" s="170">
        <f t="array" ref="AC86">IFERROR(
AVERAGE((IF(DATOS_[[Sexo]:[Sexo]]=$B86,IF(DATOS_[[AGRUP. CLAS. PROF.]:[AGRUP. CLAS. PROF.]]=$B84,IF(DATOS_[[Check Periodo Ref.]:[Check Periodo Ref.]]="Dentro",DATOS_[Conc.Sal.24]))))),
0)</f>
        <v>0</v>
      </c>
      <c r="AD86" s="170">
        <f t="array" ref="AD86">IFERROR(
AVERAGE((IF(DATOS_[[Sexo]:[Sexo]]=$B86,IF(DATOS_[[AGRUP. CLAS. PROF.]:[AGRUP. CLAS. PROF.]]=$B84,IF(DATOS_[[Check Periodo Ref.]:[Check Periodo Ref.]]="Dentro",DATOS_[Conc.Sal.25]))))),
0)</f>
        <v>0</v>
      </c>
      <c r="AE86" s="170">
        <f t="array" ref="AE86">IFERROR(
AVERAGE((IF(DATOS_[[Sexo]:[Sexo]]=$B86,IF(DATOS_[[AGRUP. CLAS. PROF.]:[AGRUP. CLAS. PROF.]]=$B84,IF(DATOS_[[Check Periodo Ref.]:[Check Periodo Ref.]]="Dentro",DATOS_[Conc.Sal.26]))))),
0)</f>
        <v>0</v>
      </c>
      <c r="AF86" s="170">
        <f t="array" ref="AF86">IFERROR(
AVERAGE((IF(DATOS_[[Sexo]:[Sexo]]=$B86,IF(DATOS_[[AGRUP. CLAS. PROF.]:[AGRUP. CLAS. PROF.]]=$B84,IF(DATOS_[[Check Periodo Ref.]:[Check Periodo Ref.]]="Dentro",DATOS_[Conc.Sal.27]))))),
0)</f>
        <v>0</v>
      </c>
      <c r="AG86" s="170">
        <f t="array" ref="AG86">IFERROR(
AVERAGE((IF(DATOS_[[Sexo]:[Sexo]]=$B86,IF(DATOS_[[AGRUP. CLAS. PROF.]:[AGRUP. CLAS. PROF.]]=$B84,IF(DATOS_[[Check Periodo Ref.]:[Check Periodo Ref.]]="Dentro",DATOS_[Conc.Sal.28]))))),
0)</f>
        <v>0</v>
      </c>
      <c r="AH86" s="170">
        <f t="array" ref="AH86">IFERROR(
AVERAGE((IF(DATOS_[[Sexo]:[Sexo]]=$B86,IF(DATOS_[[AGRUP. CLAS. PROF.]:[AGRUP. CLAS. PROF.]]=$B84,IF(DATOS_[[Check Periodo Ref.]:[Check Periodo Ref.]]="Dentro",DATOS_[Conc.Sal.29]))))),
0)</f>
        <v>0</v>
      </c>
      <c r="AI86" s="170">
        <f t="array" ref="AI86">IFERROR(
AVERAGE((IF(DATOS_[[Sexo]:[Sexo]]=$B86,IF(DATOS_[[AGRUP. CLAS. PROF.]:[AGRUP. CLAS. PROF.]]=$B84,IF(DATOS_[[Check Periodo Ref.]:[Check Periodo Ref.]]="Dentro",DATOS_[Conc.Sal.30]))))),
0)</f>
        <v>0</v>
      </c>
      <c r="AJ86" s="171">
        <f t="array" ref="AJ86">IFERROR(
AVERAGE(IF(DATOS_[Sexo]=$B86,IF(DATOS_[AGRUP. CLAS. PROF.]=$B84,IF(DATOS_[Check Periodo Ref.]="Dentro",DATOS_[Tot COMPL.SAL Ef],FALSE)))),
0)</f>
        <v>0</v>
      </c>
      <c r="AK86" s="172">
        <f t="array" ref="AK86">IFERROR(
AVERAGE(IF(DATOS_[Sexo]=$B86,IF(DATOS_[AGRUP. CLAS. PROF.]=$B84,IF(DATOS_[Check Periodo Ref.]="Dentro",DATOS_[TOTAL SALARIO Ef],FALSE)))),
0)</f>
        <v>0</v>
      </c>
      <c r="AL86" s="173">
        <f t="array" ref="AL86">IFERROR(
AVERAGE((IF(DATOS_[[Sexo]:[Sexo]]=$B86,IF(DATOS_[[AGRUP. CLAS. PROF.]:[AGRUP. CLAS. PROF.]]=$B84,IF(DATOS_[[Check Periodo Ref.]:[Check Periodo Ref.]]="Dentro",DATOS_[C.Extra.01]))))),
0)</f>
        <v>0</v>
      </c>
      <c r="AM86" s="173">
        <f t="array" ref="AM86">IFERROR(
AVERAGE((IF(DATOS_[[Sexo]:[Sexo]]=$B86,IF(DATOS_[[AGRUP. CLAS. PROF.]:[AGRUP. CLAS. PROF.]]=$B84,IF(DATOS_[[Check Periodo Ref.]:[Check Periodo Ref.]]="Dentro",DATOS_[C.Extra.06]))))),
0)</f>
        <v>0</v>
      </c>
      <c r="AN86" s="173">
        <f t="array" ref="AN86">IFERROR(
AVERAGE((IF(DATOS_[[Sexo]:[Sexo]]=$B86,IF(DATOS_[[AGRUP. CLAS. PROF.]:[AGRUP. CLAS. PROF.]]=$B84,IF(DATOS_[[Check Periodo Ref.]:[Check Periodo Ref.]]="Dentro",DATOS_[C.Extra.07]))))),
0)</f>
        <v>0</v>
      </c>
      <c r="AO86" s="173">
        <f t="array" ref="AO86">IFERROR(
AVERAGE((IF(DATOS_[[Sexo]:[Sexo]]=$B86,IF(DATOS_[[AGRUP. CLAS. PROF.]:[AGRUP. CLAS. PROF.]]=$B84,IF(DATOS_[[Check Periodo Ref.]:[Check Periodo Ref.]]="Dentro",DATOS_[C.Extra.08]))))),
0)</f>
        <v>0</v>
      </c>
      <c r="AP86" s="173">
        <f t="array" ref="AP86">IFERROR(
AVERAGE((IF(DATOS_[[Sexo]:[Sexo]]=$B86,IF(DATOS_[[AGRUP. CLAS. PROF.]:[AGRUP. CLAS. PROF.]]=$B84,IF(DATOS_[[Check Periodo Ref.]:[Check Periodo Ref.]]="Dentro",DATOS_[C.Extra.11]))))),
0)</f>
        <v>0</v>
      </c>
      <c r="AQ86" s="174">
        <f t="array" ref="AQ86">IFERROR(
AVERAGE(IF(DATOS_[Sexo]=$B86,IF(DATOS_[AGRUP. CLAS. PROF.]=$B84,IF(DATOS_[Check Periodo Ref.]="Dentro",DATOS_[Tot Extrasalarial Ef],FALSE)))),
0)</f>
        <v>0</v>
      </c>
      <c r="AR86" s="171">
        <f t="array" ref="AR86">IFERROR(
AVERAGE(IF(DATOS_[Sexo]=$B86,IF(DATOS_[AGRUP. CLAS. PROF.]=$B84,IF(DATOS_[Check Periodo Ref.]="Dentro",DATOS_[TOTAL Retrib Ef],FALSE)))),
0)</f>
        <v>0</v>
      </c>
    </row>
    <row r="87" spans="1:44" s="152" customFormat="1" ht="14.4" thickBot="1" x14ac:dyDescent="0.3">
      <c r="A87" s="135" t="str">
        <f t="shared" ref="A87" si="99">+A88</f>
        <v>[ocultar]</v>
      </c>
      <c r="B87" s="153" t="s">
        <v>274</v>
      </c>
      <c r="C87" s="154"/>
      <c r="D87" s="155"/>
      <c r="E87" s="156" t="str">
        <f t="shared" ref="E87:AR87" si="100">IFERROR((E88-E89)/E88,"")</f>
        <v/>
      </c>
      <c r="F87" s="157" t="str">
        <f t="shared" si="100"/>
        <v/>
      </c>
      <c r="G87" s="158" t="str">
        <f t="shared" si="100"/>
        <v/>
      </c>
      <c r="H87" s="158" t="str">
        <f t="shared" si="100"/>
        <v/>
      </c>
      <c r="I87" s="158" t="str">
        <f t="shared" si="100"/>
        <v/>
      </c>
      <c r="J87" s="159" t="str">
        <f t="shared" si="100"/>
        <v/>
      </c>
      <c r="K87" s="160" t="str">
        <f t="shared" si="100"/>
        <v/>
      </c>
      <c r="L87" s="160" t="str">
        <f t="shared" si="100"/>
        <v/>
      </c>
      <c r="M87" s="160" t="str">
        <f t="shared" si="100"/>
        <v/>
      </c>
      <c r="N87" s="160" t="str">
        <f t="shared" si="100"/>
        <v/>
      </c>
      <c r="O87" s="160" t="str">
        <f t="shared" si="100"/>
        <v/>
      </c>
      <c r="P87" s="160" t="str">
        <f t="shared" si="100"/>
        <v/>
      </c>
      <c r="Q87" s="160" t="str">
        <f t="shared" si="100"/>
        <v/>
      </c>
      <c r="R87" s="160" t="str">
        <f t="shared" si="100"/>
        <v/>
      </c>
      <c r="S87" s="160" t="str">
        <f t="shared" si="100"/>
        <v/>
      </c>
      <c r="T87" s="160" t="str">
        <f t="shared" si="100"/>
        <v/>
      </c>
      <c r="U87" s="160" t="str">
        <f t="shared" si="100"/>
        <v/>
      </c>
      <c r="V87" s="159" t="str">
        <f t="shared" si="100"/>
        <v/>
      </c>
      <c r="W87" s="159" t="str">
        <f t="shared" si="100"/>
        <v/>
      </c>
      <c r="X87" s="159" t="str">
        <f t="shared" si="100"/>
        <v/>
      </c>
      <c r="Y87" s="159" t="str">
        <f t="shared" si="100"/>
        <v/>
      </c>
      <c r="Z87" s="159" t="str">
        <f t="shared" si="100"/>
        <v/>
      </c>
      <c r="AA87" s="159" t="str">
        <f t="shared" si="100"/>
        <v/>
      </c>
      <c r="AB87" s="159" t="str">
        <f t="shared" si="100"/>
        <v/>
      </c>
      <c r="AC87" s="159" t="str">
        <f t="shared" si="100"/>
        <v/>
      </c>
      <c r="AD87" s="159" t="str">
        <f t="shared" si="100"/>
        <v/>
      </c>
      <c r="AE87" s="159" t="str">
        <f t="shared" si="100"/>
        <v/>
      </c>
      <c r="AF87" s="159" t="str">
        <f t="shared" si="100"/>
        <v/>
      </c>
      <c r="AG87" s="159" t="str">
        <f t="shared" si="100"/>
        <v/>
      </c>
      <c r="AH87" s="159" t="str">
        <f t="shared" si="100"/>
        <v/>
      </c>
      <c r="AI87" s="159" t="str">
        <f t="shared" si="100"/>
        <v/>
      </c>
      <c r="AJ87" s="161" t="str">
        <f t="shared" si="100"/>
        <v/>
      </c>
      <c r="AK87" s="162" t="str">
        <f t="shared" si="100"/>
        <v/>
      </c>
      <c r="AL87" s="163" t="str">
        <f t="shared" si="100"/>
        <v/>
      </c>
      <c r="AM87" s="163" t="str">
        <f t="shared" si="100"/>
        <v/>
      </c>
      <c r="AN87" s="163" t="str">
        <f t="shared" si="100"/>
        <v/>
      </c>
      <c r="AO87" s="163" t="str">
        <f t="shared" si="100"/>
        <v/>
      </c>
      <c r="AP87" s="163" t="str">
        <f t="shared" si="100"/>
        <v/>
      </c>
      <c r="AQ87" s="164" t="str">
        <f t="shared" si="100"/>
        <v/>
      </c>
      <c r="AR87" s="161" t="str">
        <f t="shared" si="100"/>
        <v/>
      </c>
    </row>
    <row r="88" spans="1:44" x14ac:dyDescent="0.25">
      <c r="A88" s="135" t="str">
        <f t="shared" ref="A88" si="101">+IF(C88+C89=0,"[ocultar]","")</f>
        <v>[ocultar]</v>
      </c>
      <c r="B88" s="166" t="s">
        <v>394</v>
      </c>
      <c r="C88" s="167">
        <f t="array" ref="C88">SUM(IF($B88=DATOS_[Sexo],
IF($B87=DATOS_[AGRUP. CLAS. PROF.],
IF("Dentro"=DATOS_[Check Periodo Ref.],
1/(COUNTIFS(DATOS_[Sexo],$B88,DATOS_[AGRUP. CLAS. PROF.],$B87,DATOS_[Check Periodo Ref.],"Dentro",DATOS_[id/cod],DATOS_[id/cod]))))))</f>
        <v>0</v>
      </c>
      <c r="D88" s="168">
        <f>COUNTIFS(DATOS_[AGRUP. CLAS. PROF.],$B87,DATOS_[Sexo],$B88,DATOS_[Check Periodo Ref.],"Dentro")</f>
        <v>0</v>
      </c>
      <c r="E88" s="169">
        <f t="array" ref="E88">IFERROR(
AVERAGE(IF(DATOS_[Sexo]=$B88,IF(DATOS_[AGRUP. CLAS. PROF.]=$B87,IF(DATOS_[Check Periodo Ref.]="Dentro",DATOS_[SALARIO BASE Ef],FALSE)))),
0)</f>
        <v>0</v>
      </c>
      <c r="F88" s="170">
        <f t="array" ref="F88">IFERROR(
AVERAGE((IF(DATOS_[[Sexo]:[Sexo]]=$B88,IF(DATOS_[[AGRUP. CLAS. PROF.]:[AGRUP. CLAS. PROF.]]=$B87,IF(DATOS_[[Check Periodo Ref.]:[Check Periodo Ref.]]="Dentro",DATOS_[Conc.Sal.01]))))),
0)</f>
        <v>0</v>
      </c>
      <c r="G88" s="170">
        <f t="array" ref="G88">IFERROR(
AVERAGE((IF(DATOS_[[Sexo]:[Sexo]]=$B88,IF(DATOS_[[AGRUP. CLAS. PROF.]:[AGRUP. CLAS. PROF.]]=$B87,IF(DATOS_[[Check Periodo Ref.]:[Check Periodo Ref.]]="Dentro",DATOS_[Conc.Sal.02]))))),
0)</f>
        <v>0</v>
      </c>
      <c r="H88" s="170">
        <f t="array" ref="H88">IFERROR(
AVERAGE((IF(DATOS_[[Sexo]:[Sexo]]=$B88,IF(DATOS_[[AGRUP. CLAS. PROF.]:[AGRUP. CLAS. PROF.]]=$B87,IF(DATOS_[[Check Periodo Ref.]:[Check Periodo Ref.]]="Dentro",DATOS_[Conc.Sal.03]))))),
0)</f>
        <v>0</v>
      </c>
      <c r="I88" s="170">
        <f t="array" ref="I88">IFERROR(
AVERAGE((IF(DATOS_[[Sexo]:[Sexo]]=$B88,IF(DATOS_[[AGRUP. CLAS. PROF.]:[AGRUP. CLAS. PROF.]]=$B87,IF(DATOS_[[Check Periodo Ref.]:[Check Periodo Ref.]]="Dentro",DATOS_[Conc.Sal.04]))))),
0)</f>
        <v>0</v>
      </c>
      <c r="J88" s="170">
        <f t="array" ref="J88">IFERROR(
AVERAGE((IF(DATOS_[[Sexo]:[Sexo]]=$B88,IF(DATOS_[[AGRUP. CLAS. PROF.]:[AGRUP. CLAS. PROF.]]=$B87,IF(DATOS_[[Check Periodo Ref.]:[Check Periodo Ref.]]="Dentro",DATOS_[Conc.Sal.05]))))),
0)</f>
        <v>0</v>
      </c>
      <c r="K88" s="170">
        <f t="array" ref="K88">IFERROR(
AVERAGE((IF(DATOS_[[Sexo]:[Sexo]]=$B88,IF(DATOS_[[AGRUP. CLAS. PROF.]:[AGRUP. CLAS. PROF.]]=$B87,IF(DATOS_[[Check Periodo Ref.]:[Check Periodo Ref.]]="Dentro",DATOS_[Conc.Sal.06]))))),
0)</f>
        <v>0</v>
      </c>
      <c r="L88" s="170">
        <f t="array" ref="L88">IFERROR(
AVERAGE((IF(DATOS_[[Sexo]:[Sexo]]=$B88,IF(DATOS_[[AGRUP. CLAS. PROF.]:[AGRUP. CLAS. PROF.]]=$B87,IF(DATOS_[[Check Periodo Ref.]:[Check Periodo Ref.]]="Dentro",DATOS_[Conc.Sal.07]))))),
0)</f>
        <v>0</v>
      </c>
      <c r="M88" s="170">
        <f t="array" ref="M88">IFERROR(
AVERAGE((IF(DATOS_[[Sexo]:[Sexo]]=$B88,IF(DATOS_[[AGRUP. CLAS. PROF.]:[AGRUP. CLAS. PROF.]]=$B87,IF(DATOS_[[Check Periodo Ref.]:[Check Periodo Ref.]]="Dentro",DATOS_[Conc.Sal.08]))))),
0)</f>
        <v>0</v>
      </c>
      <c r="N88" s="170">
        <f t="array" ref="N88">IFERROR(
AVERAGE((IF(DATOS_[[Sexo]:[Sexo]]=$B88,IF(DATOS_[[AGRUP. CLAS. PROF.]:[AGRUP. CLAS. PROF.]]=$B87,IF(DATOS_[[Check Periodo Ref.]:[Check Periodo Ref.]]="Dentro",DATOS_[Conc.Sal.09]))))),
0)</f>
        <v>0</v>
      </c>
      <c r="O88" s="170">
        <f t="array" ref="O88">IFERROR(
AVERAGE((IF(DATOS_[[Sexo]:[Sexo]]=$B88,IF(DATOS_[[AGRUP. CLAS. PROF.]:[AGRUP. CLAS. PROF.]]=$B87,IF(DATOS_[[Check Periodo Ref.]:[Check Periodo Ref.]]="Dentro",DATOS_[Conc.Sal.10]))))),
0)</f>
        <v>0</v>
      </c>
      <c r="P88" s="170">
        <f t="array" ref="P88">IFERROR(
AVERAGE((IF(DATOS_[[Sexo]:[Sexo]]=$B88,IF(DATOS_[[AGRUP. CLAS. PROF.]:[AGRUP. CLAS. PROF.]]=$B87,IF(DATOS_[[Check Periodo Ref.]:[Check Periodo Ref.]]="Dentro",DATOS_[Conc.Sal.11]))))),
0)</f>
        <v>0</v>
      </c>
      <c r="Q88" s="170">
        <f t="array" ref="Q88">IFERROR(
AVERAGE((IF(DATOS_[[Sexo]:[Sexo]]=$B88,IF(DATOS_[[AGRUP. CLAS. PROF.]:[AGRUP. CLAS. PROF.]]=$B87,IF(DATOS_[[Check Periodo Ref.]:[Check Periodo Ref.]]="Dentro",DATOS_[Conc.Sal.12]))))),
0)</f>
        <v>0</v>
      </c>
      <c r="R88" s="170">
        <f t="array" ref="R88">IFERROR(
AVERAGE((IF(DATOS_[[Sexo]:[Sexo]]=$B88,IF(DATOS_[[AGRUP. CLAS. PROF.]:[AGRUP. CLAS. PROF.]]=$B87,IF(DATOS_[[Check Periodo Ref.]:[Check Periodo Ref.]]="Dentro",DATOS_[Conc.Sal.13]))))),
0)</f>
        <v>0</v>
      </c>
      <c r="S88" s="170">
        <f t="array" ref="S88">IFERROR(
AVERAGE((IF(DATOS_[[Sexo]:[Sexo]]=$B88,IF(DATOS_[[AGRUP. CLAS. PROF.]:[AGRUP. CLAS. PROF.]]=$B87,IF(DATOS_[[Check Periodo Ref.]:[Check Periodo Ref.]]="Dentro",DATOS_[Conc.Sal.14]))))),
0)</f>
        <v>0</v>
      </c>
      <c r="T88" s="170">
        <f t="array" ref="T88">IFERROR(
AVERAGE((IF(DATOS_[[Sexo]:[Sexo]]=$B88,IF(DATOS_[[AGRUP. CLAS. PROF.]:[AGRUP. CLAS. PROF.]]=$B87,IF(DATOS_[[Check Periodo Ref.]:[Check Periodo Ref.]]="Dentro",DATOS_[Conc.Sal.15]))))),
0)</f>
        <v>0</v>
      </c>
      <c r="U88" s="170">
        <f t="array" ref="U88">IFERROR(
AVERAGE((IF(DATOS_[[Sexo]:[Sexo]]=$B88,IF(DATOS_[[AGRUP. CLAS. PROF.]:[AGRUP. CLAS. PROF.]]=$B87,IF(DATOS_[[Check Periodo Ref.]:[Check Periodo Ref.]]="Dentro",DATOS_[Conc.Sal.16]))))),
0)</f>
        <v>0</v>
      </c>
      <c r="V88" s="170">
        <f t="array" ref="V88">IFERROR(
AVERAGE((IF(DATOS_[[Sexo]:[Sexo]]=$B88,IF(DATOS_[[AGRUP. CLAS. PROF.]:[AGRUP. CLAS. PROF.]]=$B87,IF(DATOS_[[Check Periodo Ref.]:[Check Periodo Ref.]]="Dentro",DATOS_[Conc.Sal.17]))))),
0)</f>
        <v>0</v>
      </c>
      <c r="W88" s="170">
        <f t="array" ref="W88">IFERROR(
AVERAGE((IF(DATOS_[[Sexo]:[Sexo]]=$B88,IF(DATOS_[[AGRUP. CLAS. PROF.]:[AGRUP. CLAS. PROF.]]=$B87,IF(DATOS_[[Check Periodo Ref.]:[Check Periodo Ref.]]="Dentro",DATOS_[Conc.Sal.18]))))),
0)</f>
        <v>0</v>
      </c>
      <c r="X88" s="170">
        <f t="array" ref="X88">IFERROR(
AVERAGE((IF(DATOS_[[Sexo]:[Sexo]]=$B88,IF(DATOS_[[AGRUP. CLAS. PROF.]:[AGRUP. CLAS. PROF.]]=$B87,IF(DATOS_[[Check Periodo Ref.]:[Check Periodo Ref.]]="Dentro",DATOS_[Conc.Sal.19]))))),
0)</f>
        <v>0</v>
      </c>
      <c r="Y88" s="170">
        <f t="array" ref="Y88">IFERROR(
AVERAGE((IF(DATOS_[[Sexo]:[Sexo]]=$B88,IF(DATOS_[[AGRUP. CLAS. PROF.]:[AGRUP. CLAS. PROF.]]=$B87,IF(DATOS_[[Check Periodo Ref.]:[Check Periodo Ref.]]="Dentro",DATOS_[Conc.Sal.20]))))),
0)</f>
        <v>0</v>
      </c>
      <c r="Z88" s="170">
        <f t="array" ref="Z88">IFERROR(
AVERAGE((IF(DATOS_[[Sexo]:[Sexo]]=$B88,IF(DATOS_[[AGRUP. CLAS. PROF.]:[AGRUP. CLAS. PROF.]]=$B87,IF(DATOS_[[Check Periodo Ref.]:[Check Periodo Ref.]]="Dentro",DATOS_[Conc.Sal.21]))))),
0)</f>
        <v>0</v>
      </c>
      <c r="AA88" s="170">
        <f t="array" ref="AA88">IFERROR(
AVERAGE((IF(DATOS_[[Sexo]:[Sexo]]=$B88,IF(DATOS_[[AGRUP. CLAS. PROF.]:[AGRUP. CLAS. PROF.]]=$B87,IF(DATOS_[[Check Periodo Ref.]:[Check Periodo Ref.]]="Dentro",DATOS_[Conc.Sal.22]))))),
0)</f>
        <v>0</v>
      </c>
      <c r="AB88" s="170">
        <f t="array" ref="AB88">IFERROR(
AVERAGE((IF(DATOS_[[Sexo]:[Sexo]]=$B88,IF(DATOS_[[AGRUP. CLAS. PROF.]:[AGRUP. CLAS. PROF.]]=$B87,IF(DATOS_[[Check Periodo Ref.]:[Check Periodo Ref.]]="Dentro",DATOS_[Conc.Sal.23]))))),
0)</f>
        <v>0</v>
      </c>
      <c r="AC88" s="170">
        <f t="array" ref="AC88">IFERROR(
AVERAGE((IF(DATOS_[[Sexo]:[Sexo]]=$B88,IF(DATOS_[[AGRUP. CLAS. PROF.]:[AGRUP. CLAS. PROF.]]=$B87,IF(DATOS_[[Check Periodo Ref.]:[Check Periodo Ref.]]="Dentro",DATOS_[Conc.Sal.24]))))),
0)</f>
        <v>0</v>
      </c>
      <c r="AD88" s="170">
        <f t="array" ref="AD88">IFERROR(
AVERAGE((IF(DATOS_[[Sexo]:[Sexo]]=$B88,IF(DATOS_[[AGRUP. CLAS. PROF.]:[AGRUP. CLAS. PROF.]]=$B87,IF(DATOS_[[Check Periodo Ref.]:[Check Periodo Ref.]]="Dentro",DATOS_[Conc.Sal.25]))))),
0)</f>
        <v>0</v>
      </c>
      <c r="AE88" s="170">
        <f t="array" ref="AE88">IFERROR(
AVERAGE((IF(DATOS_[[Sexo]:[Sexo]]=$B88,IF(DATOS_[[AGRUP. CLAS. PROF.]:[AGRUP. CLAS. PROF.]]=$B87,IF(DATOS_[[Check Periodo Ref.]:[Check Periodo Ref.]]="Dentro",DATOS_[Conc.Sal.26]))))),
0)</f>
        <v>0</v>
      </c>
      <c r="AF88" s="170">
        <f t="array" ref="AF88">IFERROR(
AVERAGE((IF(DATOS_[[Sexo]:[Sexo]]=$B88,IF(DATOS_[[AGRUP. CLAS. PROF.]:[AGRUP. CLAS. PROF.]]=$B87,IF(DATOS_[[Check Periodo Ref.]:[Check Periodo Ref.]]="Dentro",DATOS_[Conc.Sal.27]))))),
0)</f>
        <v>0</v>
      </c>
      <c r="AG88" s="170">
        <f t="array" ref="AG88">IFERROR(
AVERAGE((IF(DATOS_[[Sexo]:[Sexo]]=$B88,IF(DATOS_[[AGRUP. CLAS. PROF.]:[AGRUP. CLAS. PROF.]]=$B87,IF(DATOS_[[Check Periodo Ref.]:[Check Periodo Ref.]]="Dentro",DATOS_[Conc.Sal.28]))))),
0)</f>
        <v>0</v>
      </c>
      <c r="AH88" s="170">
        <f t="array" ref="AH88">IFERROR(
AVERAGE((IF(DATOS_[[Sexo]:[Sexo]]=$B88,IF(DATOS_[[AGRUP. CLAS. PROF.]:[AGRUP. CLAS. PROF.]]=$B87,IF(DATOS_[[Check Periodo Ref.]:[Check Periodo Ref.]]="Dentro",DATOS_[Conc.Sal.29]))))),
0)</f>
        <v>0</v>
      </c>
      <c r="AI88" s="170">
        <f t="array" ref="AI88">IFERROR(
AVERAGE((IF(DATOS_[[Sexo]:[Sexo]]=$B88,IF(DATOS_[[AGRUP. CLAS. PROF.]:[AGRUP. CLAS. PROF.]]=$B87,IF(DATOS_[[Check Periodo Ref.]:[Check Periodo Ref.]]="Dentro",DATOS_[Conc.Sal.30]))))),
0)</f>
        <v>0</v>
      </c>
      <c r="AJ88" s="171">
        <f t="array" ref="AJ88">IFERROR(
AVERAGE(IF(DATOS_[Sexo]=$B88,IF(DATOS_[AGRUP. CLAS. PROF.]=$B87,IF(DATOS_[Check Periodo Ref.]="Dentro",DATOS_[Tot COMPL.SAL Ef],FALSE)))),
0)</f>
        <v>0</v>
      </c>
      <c r="AK88" s="172">
        <f t="array" ref="AK88">IFERROR(
AVERAGE(IF(DATOS_[Sexo]=$B88,IF(DATOS_[AGRUP. CLAS. PROF.]=$B87,IF(DATOS_[Check Periodo Ref.]="Dentro",DATOS_[TOTAL SALARIO Ef],FALSE)))),
0)</f>
        <v>0</v>
      </c>
      <c r="AL88" s="173">
        <f t="array" ref="AL88">IFERROR(
AVERAGE((IF(DATOS_[[Sexo]:[Sexo]]=$B88,IF(DATOS_[[AGRUP. CLAS. PROF.]:[AGRUP. CLAS. PROF.]]=$B87,IF(DATOS_[[Check Periodo Ref.]:[Check Periodo Ref.]]="Dentro",DATOS_[C.Extra.01]))))),
0)</f>
        <v>0</v>
      </c>
      <c r="AM88" s="173">
        <f t="array" ref="AM88">IFERROR(
AVERAGE((IF(DATOS_[[Sexo]:[Sexo]]=$B88,IF(DATOS_[[AGRUP. CLAS. PROF.]:[AGRUP. CLAS. PROF.]]=$B87,IF(DATOS_[[Check Periodo Ref.]:[Check Periodo Ref.]]="Dentro",DATOS_[C.Extra.06]))))),
0)</f>
        <v>0</v>
      </c>
      <c r="AN88" s="173">
        <f t="array" ref="AN88">IFERROR(
AVERAGE((IF(DATOS_[[Sexo]:[Sexo]]=$B88,IF(DATOS_[[AGRUP. CLAS. PROF.]:[AGRUP. CLAS. PROF.]]=$B87,IF(DATOS_[[Check Periodo Ref.]:[Check Periodo Ref.]]="Dentro",DATOS_[C.Extra.07]))))),
0)</f>
        <v>0</v>
      </c>
      <c r="AO88" s="173">
        <f t="array" ref="AO88">IFERROR(
AVERAGE((IF(DATOS_[[Sexo]:[Sexo]]=$B88,IF(DATOS_[[AGRUP. CLAS. PROF.]:[AGRUP. CLAS. PROF.]]=$B87,IF(DATOS_[[Check Periodo Ref.]:[Check Periodo Ref.]]="Dentro",DATOS_[C.Extra.08]))))),
0)</f>
        <v>0</v>
      </c>
      <c r="AP88" s="173">
        <f t="array" ref="AP88">IFERROR(
AVERAGE((IF(DATOS_[[Sexo]:[Sexo]]=$B88,IF(DATOS_[[AGRUP. CLAS. PROF.]:[AGRUP. CLAS. PROF.]]=$B87,IF(DATOS_[[Check Periodo Ref.]:[Check Periodo Ref.]]="Dentro",DATOS_[C.Extra.11]))))),
0)</f>
        <v>0</v>
      </c>
      <c r="AQ88" s="174">
        <f t="array" ref="AQ88">IFERROR(
AVERAGE(IF(DATOS_[Sexo]=$B88,IF(DATOS_[AGRUP. CLAS. PROF.]=$B87,IF(DATOS_[Check Periodo Ref.]="Dentro",DATOS_[Tot Extrasalarial Ef],FALSE)))),
0)</f>
        <v>0</v>
      </c>
      <c r="AR88" s="171">
        <f t="array" ref="AR88">IFERROR(
AVERAGE(IF(DATOS_[Sexo]=$B88,IF(DATOS_[AGRUP. CLAS. PROF.]=$B87,IF(DATOS_[Check Periodo Ref.]="Dentro",DATOS_[TOTAL Retrib Ef],FALSE)))),
0)</f>
        <v>0</v>
      </c>
    </row>
    <row r="89" spans="1:44" x14ac:dyDescent="0.25">
      <c r="A89" s="135" t="str">
        <f t="shared" ref="A89" si="102">+A88</f>
        <v>[ocultar]</v>
      </c>
      <c r="B89" s="166" t="s">
        <v>521</v>
      </c>
      <c r="C89" s="167">
        <f t="array" ref="C89">SUM(IF($B89=DATOS_[Sexo],
IF($B87=DATOS_[AGRUP. CLAS. PROF.],
IF("Dentro"=DATOS_[Check Periodo Ref.],
1/(COUNTIFS(DATOS_[Sexo],$B89,DATOS_[AGRUP. CLAS. PROF.],$B87,DATOS_[Check Periodo Ref.],"Dentro",DATOS_[id/cod],DATOS_[id/cod]))))))</f>
        <v>0</v>
      </c>
      <c r="D89" s="168">
        <f>COUNTIFS(DATOS_[AGRUP. CLAS. PROF.],$B87,DATOS_[Sexo],$B89,DATOS_[Check Periodo Ref.],"Dentro")</f>
        <v>0</v>
      </c>
      <c r="E89" s="169">
        <f t="array" ref="E89">IFERROR(
AVERAGE(IF(DATOS_[Sexo]=$B89,IF(DATOS_[AGRUP. CLAS. PROF.]=$B87,IF(DATOS_[Check Periodo Ref.]="Dentro",DATOS_[SALARIO BASE Ef],FALSE)))),
0)</f>
        <v>0</v>
      </c>
      <c r="F89" s="170">
        <f t="array" ref="F89">IFERROR(
AVERAGE((IF(DATOS_[[Sexo]:[Sexo]]=$B89,IF(DATOS_[[AGRUP. CLAS. PROF.]:[AGRUP. CLAS. PROF.]]=$B87,IF(DATOS_[[Check Periodo Ref.]:[Check Periodo Ref.]]="Dentro",DATOS_[Conc.Sal.01]))))),
0)</f>
        <v>0</v>
      </c>
      <c r="G89" s="170">
        <f t="array" ref="G89">IFERROR(
AVERAGE((IF(DATOS_[[Sexo]:[Sexo]]=$B89,IF(DATOS_[[AGRUP. CLAS. PROF.]:[AGRUP. CLAS. PROF.]]=$B87,IF(DATOS_[[Check Periodo Ref.]:[Check Periodo Ref.]]="Dentro",DATOS_[Conc.Sal.02]))))),
0)</f>
        <v>0</v>
      </c>
      <c r="H89" s="170">
        <f t="array" ref="H89">IFERROR(
AVERAGE((IF(DATOS_[[Sexo]:[Sexo]]=$B89,IF(DATOS_[[AGRUP. CLAS. PROF.]:[AGRUP. CLAS. PROF.]]=$B87,IF(DATOS_[[Check Periodo Ref.]:[Check Periodo Ref.]]="Dentro",DATOS_[Conc.Sal.03]))))),
0)</f>
        <v>0</v>
      </c>
      <c r="I89" s="170">
        <f t="array" ref="I89">IFERROR(
AVERAGE((IF(DATOS_[[Sexo]:[Sexo]]=$B89,IF(DATOS_[[AGRUP. CLAS. PROF.]:[AGRUP. CLAS. PROF.]]=$B87,IF(DATOS_[[Check Periodo Ref.]:[Check Periodo Ref.]]="Dentro",DATOS_[Conc.Sal.04]))))),
0)</f>
        <v>0</v>
      </c>
      <c r="J89" s="170">
        <f t="array" ref="J89">IFERROR(
AVERAGE((IF(DATOS_[[Sexo]:[Sexo]]=$B89,IF(DATOS_[[AGRUP. CLAS. PROF.]:[AGRUP. CLAS. PROF.]]=$B87,IF(DATOS_[[Check Periodo Ref.]:[Check Periodo Ref.]]="Dentro",DATOS_[Conc.Sal.05]))))),
0)</f>
        <v>0</v>
      </c>
      <c r="K89" s="170">
        <f t="array" ref="K89">IFERROR(
AVERAGE((IF(DATOS_[[Sexo]:[Sexo]]=$B89,IF(DATOS_[[AGRUP. CLAS. PROF.]:[AGRUP. CLAS. PROF.]]=$B87,IF(DATOS_[[Check Periodo Ref.]:[Check Periodo Ref.]]="Dentro",DATOS_[Conc.Sal.06]))))),
0)</f>
        <v>0</v>
      </c>
      <c r="L89" s="170">
        <f t="array" ref="L89">IFERROR(
AVERAGE((IF(DATOS_[[Sexo]:[Sexo]]=$B89,IF(DATOS_[[AGRUP. CLAS. PROF.]:[AGRUP. CLAS. PROF.]]=$B87,IF(DATOS_[[Check Periodo Ref.]:[Check Periodo Ref.]]="Dentro",DATOS_[Conc.Sal.07]))))),
0)</f>
        <v>0</v>
      </c>
      <c r="M89" s="170">
        <f t="array" ref="M89">IFERROR(
AVERAGE((IF(DATOS_[[Sexo]:[Sexo]]=$B89,IF(DATOS_[[AGRUP. CLAS. PROF.]:[AGRUP. CLAS. PROF.]]=$B87,IF(DATOS_[[Check Periodo Ref.]:[Check Periodo Ref.]]="Dentro",DATOS_[Conc.Sal.08]))))),
0)</f>
        <v>0</v>
      </c>
      <c r="N89" s="170">
        <f t="array" ref="N89">IFERROR(
AVERAGE((IF(DATOS_[[Sexo]:[Sexo]]=$B89,IF(DATOS_[[AGRUP. CLAS. PROF.]:[AGRUP. CLAS. PROF.]]=$B87,IF(DATOS_[[Check Periodo Ref.]:[Check Periodo Ref.]]="Dentro",DATOS_[Conc.Sal.09]))))),
0)</f>
        <v>0</v>
      </c>
      <c r="O89" s="170">
        <f t="array" ref="O89">IFERROR(
AVERAGE((IF(DATOS_[[Sexo]:[Sexo]]=$B89,IF(DATOS_[[AGRUP. CLAS. PROF.]:[AGRUP. CLAS. PROF.]]=$B87,IF(DATOS_[[Check Periodo Ref.]:[Check Periodo Ref.]]="Dentro",DATOS_[Conc.Sal.10]))))),
0)</f>
        <v>0</v>
      </c>
      <c r="P89" s="170">
        <f t="array" ref="P89">IFERROR(
AVERAGE((IF(DATOS_[[Sexo]:[Sexo]]=$B89,IF(DATOS_[[AGRUP. CLAS. PROF.]:[AGRUP. CLAS. PROF.]]=$B87,IF(DATOS_[[Check Periodo Ref.]:[Check Periodo Ref.]]="Dentro",DATOS_[Conc.Sal.11]))))),
0)</f>
        <v>0</v>
      </c>
      <c r="Q89" s="170">
        <f t="array" ref="Q89">IFERROR(
AVERAGE((IF(DATOS_[[Sexo]:[Sexo]]=$B89,IF(DATOS_[[AGRUP. CLAS. PROF.]:[AGRUP. CLAS. PROF.]]=$B87,IF(DATOS_[[Check Periodo Ref.]:[Check Periodo Ref.]]="Dentro",DATOS_[Conc.Sal.12]))))),
0)</f>
        <v>0</v>
      </c>
      <c r="R89" s="170">
        <f t="array" ref="R89">IFERROR(
AVERAGE((IF(DATOS_[[Sexo]:[Sexo]]=$B89,IF(DATOS_[[AGRUP. CLAS. PROF.]:[AGRUP. CLAS. PROF.]]=$B87,IF(DATOS_[[Check Periodo Ref.]:[Check Periodo Ref.]]="Dentro",DATOS_[Conc.Sal.13]))))),
0)</f>
        <v>0</v>
      </c>
      <c r="S89" s="170">
        <f t="array" ref="S89">IFERROR(
AVERAGE((IF(DATOS_[[Sexo]:[Sexo]]=$B89,IF(DATOS_[[AGRUP. CLAS. PROF.]:[AGRUP. CLAS. PROF.]]=$B87,IF(DATOS_[[Check Periodo Ref.]:[Check Periodo Ref.]]="Dentro",DATOS_[Conc.Sal.14]))))),
0)</f>
        <v>0</v>
      </c>
      <c r="T89" s="170">
        <f t="array" ref="T89">IFERROR(
AVERAGE((IF(DATOS_[[Sexo]:[Sexo]]=$B89,IF(DATOS_[[AGRUP. CLAS. PROF.]:[AGRUP. CLAS. PROF.]]=$B87,IF(DATOS_[[Check Periodo Ref.]:[Check Periodo Ref.]]="Dentro",DATOS_[Conc.Sal.15]))))),
0)</f>
        <v>0</v>
      </c>
      <c r="U89" s="170">
        <f t="array" ref="U89">IFERROR(
AVERAGE((IF(DATOS_[[Sexo]:[Sexo]]=$B89,IF(DATOS_[[AGRUP. CLAS. PROF.]:[AGRUP. CLAS. PROF.]]=$B87,IF(DATOS_[[Check Periodo Ref.]:[Check Periodo Ref.]]="Dentro",DATOS_[Conc.Sal.16]))))),
0)</f>
        <v>0</v>
      </c>
      <c r="V89" s="170">
        <f t="array" ref="V89">IFERROR(
AVERAGE((IF(DATOS_[[Sexo]:[Sexo]]=$B89,IF(DATOS_[[AGRUP. CLAS. PROF.]:[AGRUP. CLAS. PROF.]]=$B87,IF(DATOS_[[Check Periodo Ref.]:[Check Periodo Ref.]]="Dentro",DATOS_[Conc.Sal.17]))))),
0)</f>
        <v>0</v>
      </c>
      <c r="W89" s="170">
        <f t="array" ref="W89">IFERROR(
AVERAGE((IF(DATOS_[[Sexo]:[Sexo]]=$B89,IF(DATOS_[[AGRUP. CLAS. PROF.]:[AGRUP. CLAS. PROF.]]=$B87,IF(DATOS_[[Check Periodo Ref.]:[Check Periodo Ref.]]="Dentro",DATOS_[Conc.Sal.18]))))),
0)</f>
        <v>0</v>
      </c>
      <c r="X89" s="170">
        <f t="array" ref="X89">IFERROR(
AVERAGE((IF(DATOS_[[Sexo]:[Sexo]]=$B89,IF(DATOS_[[AGRUP. CLAS. PROF.]:[AGRUP. CLAS. PROF.]]=$B87,IF(DATOS_[[Check Periodo Ref.]:[Check Periodo Ref.]]="Dentro",DATOS_[Conc.Sal.19]))))),
0)</f>
        <v>0</v>
      </c>
      <c r="Y89" s="170">
        <f t="array" ref="Y89">IFERROR(
AVERAGE((IF(DATOS_[[Sexo]:[Sexo]]=$B89,IF(DATOS_[[AGRUP. CLAS. PROF.]:[AGRUP. CLAS. PROF.]]=$B87,IF(DATOS_[[Check Periodo Ref.]:[Check Periodo Ref.]]="Dentro",DATOS_[Conc.Sal.20]))))),
0)</f>
        <v>0</v>
      </c>
      <c r="Z89" s="170">
        <f t="array" ref="Z89">IFERROR(
AVERAGE((IF(DATOS_[[Sexo]:[Sexo]]=$B89,IF(DATOS_[[AGRUP. CLAS. PROF.]:[AGRUP. CLAS. PROF.]]=$B87,IF(DATOS_[[Check Periodo Ref.]:[Check Periodo Ref.]]="Dentro",DATOS_[Conc.Sal.21]))))),
0)</f>
        <v>0</v>
      </c>
      <c r="AA89" s="170">
        <f t="array" ref="AA89">IFERROR(
AVERAGE((IF(DATOS_[[Sexo]:[Sexo]]=$B89,IF(DATOS_[[AGRUP. CLAS. PROF.]:[AGRUP. CLAS. PROF.]]=$B87,IF(DATOS_[[Check Periodo Ref.]:[Check Periodo Ref.]]="Dentro",DATOS_[Conc.Sal.22]))))),
0)</f>
        <v>0</v>
      </c>
      <c r="AB89" s="170">
        <f t="array" ref="AB89">IFERROR(
AVERAGE((IF(DATOS_[[Sexo]:[Sexo]]=$B89,IF(DATOS_[[AGRUP. CLAS. PROF.]:[AGRUP. CLAS. PROF.]]=$B87,IF(DATOS_[[Check Periodo Ref.]:[Check Periodo Ref.]]="Dentro",DATOS_[Conc.Sal.23]))))),
0)</f>
        <v>0</v>
      </c>
      <c r="AC89" s="170">
        <f t="array" ref="AC89">IFERROR(
AVERAGE((IF(DATOS_[[Sexo]:[Sexo]]=$B89,IF(DATOS_[[AGRUP. CLAS. PROF.]:[AGRUP. CLAS. PROF.]]=$B87,IF(DATOS_[[Check Periodo Ref.]:[Check Periodo Ref.]]="Dentro",DATOS_[Conc.Sal.24]))))),
0)</f>
        <v>0</v>
      </c>
      <c r="AD89" s="170">
        <f t="array" ref="AD89">IFERROR(
AVERAGE((IF(DATOS_[[Sexo]:[Sexo]]=$B89,IF(DATOS_[[AGRUP. CLAS. PROF.]:[AGRUP. CLAS. PROF.]]=$B87,IF(DATOS_[[Check Periodo Ref.]:[Check Periodo Ref.]]="Dentro",DATOS_[Conc.Sal.25]))))),
0)</f>
        <v>0</v>
      </c>
      <c r="AE89" s="170">
        <f t="array" ref="AE89">IFERROR(
AVERAGE((IF(DATOS_[[Sexo]:[Sexo]]=$B89,IF(DATOS_[[AGRUP. CLAS. PROF.]:[AGRUP. CLAS. PROF.]]=$B87,IF(DATOS_[[Check Periodo Ref.]:[Check Periodo Ref.]]="Dentro",DATOS_[Conc.Sal.26]))))),
0)</f>
        <v>0</v>
      </c>
      <c r="AF89" s="170">
        <f t="array" ref="AF89">IFERROR(
AVERAGE((IF(DATOS_[[Sexo]:[Sexo]]=$B89,IF(DATOS_[[AGRUP. CLAS. PROF.]:[AGRUP. CLAS. PROF.]]=$B87,IF(DATOS_[[Check Periodo Ref.]:[Check Periodo Ref.]]="Dentro",DATOS_[Conc.Sal.27]))))),
0)</f>
        <v>0</v>
      </c>
      <c r="AG89" s="170">
        <f t="array" ref="AG89">IFERROR(
AVERAGE((IF(DATOS_[[Sexo]:[Sexo]]=$B89,IF(DATOS_[[AGRUP. CLAS. PROF.]:[AGRUP. CLAS. PROF.]]=$B87,IF(DATOS_[[Check Periodo Ref.]:[Check Periodo Ref.]]="Dentro",DATOS_[Conc.Sal.28]))))),
0)</f>
        <v>0</v>
      </c>
      <c r="AH89" s="170">
        <f t="array" ref="AH89">IFERROR(
AVERAGE((IF(DATOS_[[Sexo]:[Sexo]]=$B89,IF(DATOS_[[AGRUP. CLAS. PROF.]:[AGRUP. CLAS. PROF.]]=$B87,IF(DATOS_[[Check Periodo Ref.]:[Check Periodo Ref.]]="Dentro",DATOS_[Conc.Sal.29]))))),
0)</f>
        <v>0</v>
      </c>
      <c r="AI89" s="170">
        <f t="array" ref="AI89">IFERROR(
AVERAGE((IF(DATOS_[[Sexo]:[Sexo]]=$B89,IF(DATOS_[[AGRUP. CLAS. PROF.]:[AGRUP. CLAS. PROF.]]=$B87,IF(DATOS_[[Check Periodo Ref.]:[Check Periodo Ref.]]="Dentro",DATOS_[Conc.Sal.30]))))),
0)</f>
        <v>0</v>
      </c>
      <c r="AJ89" s="171">
        <f t="array" ref="AJ89">IFERROR(
AVERAGE(IF(DATOS_[Sexo]=$B89,IF(DATOS_[AGRUP. CLAS. PROF.]=$B87,IF(DATOS_[Check Periodo Ref.]="Dentro",DATOS_[Tot COMPL.SAL Ef],FALSE)))),
0)</f>
        <v>0</v>
      </c>
      <c r="AK89" s="172">
        <f t="array" ref="AK89">IFERROR(
AVERAGE(IF(DATOS_[Sexo]=$B89,IF(DATOS_[AGRUP. CLAS. PROF.]=$B87,IF(DATOS_[Check Periodo Ref.]="Dentro",DATOS_[TOTAL SALARIO Ef],FALSE)))),
0)</f>
        <v>0</v>
      </c>
      <c r="AL89" s="173">
        <f t="array" ref="AL89">IFERROR(
AVERAGE((IF(DATOS_[[Sexo]:[Sexo]]=$B89,IF(DATOS_[[AGRUP. CLAS. PROF.]:[AGRUP. CLAS. PROF.]]=$B87,IF(DATOS_[[Check Periodo Ref.]:[Check Periodo Ref.]]="Dentro",DATOS_[C.Extra.01]))))),
0)</f>
        <v>0</v>
      </c>
      <c r="AM89" s="173">
        <f t="array" ref="AM89">IFERROR(
AVERAGE((IF(DATOS_[[Sexo]:[Sexo]]=$B89,IF(DATOS_[[AGRUP. CLAS. PROF.]:[AGRUP. CLAS. PROF.]]=$B87,IF(DATOS_[[Check Periodo Ref.]:[Check Periodo Ref.]]="Dentro",DATOS_[C.Extra.06]))))),
0)</f>
        <v>0</v>
      </c>
      <c r="AN89" s="173">
        <f t="array" ref="AN89">IFERROR(
AVERAGE((IF(DATOS_[[Sexo]:[Sexo]]=$B89,IF(DATOS_[[AGRUP. CLAS. PROF.]:[AGRUP. CLAS. PROF.]]=$B87,IF(DATOS_[[Check Periodo Ref.]:[Check Periodo Ref.]]="Dentro",DATOS_[C.Extra.07]))))),
0)</f>
        <v>0</v>
      </c>
      <c r="AO89" s="173">
        <f t="array" ref="AO89">IFERROR(
AVERAGE((IF(DATOS_[[Sexo]:[Sexo]]=$B89,IF(DATOS_[[AGRUP. CLAS. PROF.]:[AGRUP. CLAS. PROF.]]=$B87,IF(DATOS_[[Check Periodo Ref.]:[Check Periodo Ref.]]="Dentro",DATOS_[C.Extra.08]))))),
0)</f>
        <v>0</v>
      </c>
      <c r="AP89" s="173">
        <f t="array" ref="AP89">IFERROR(
AVERAGE((IF(DATOS_[[Sexo]:[Sexo]]=$B89,IF(DATOS_[[AGRUP. CLAS. PROF.]:[AGRUP. CLAS. PROF.]]=$B87,IF(DATOS_[[Check Periodo Ref.]:[Check Periodo Ref.]]="Dentro",DATOS_[C.Extra.11]))))),
0)</f>
        <v>0</v>
      </c>
      <c r="AQ89" s="174">
        <f t="array" ref="AQ89">IFERROR(
AVERAGE(IF(DATOS_[Sexo]=$B89,IF(DATOS_[AGRUP. CLAS. PROF.]=$B87,IF(DATOS_[Check Periodo Ref.]="Dentro",DATOS_[Tot Extrasalarial Ef],FALSE)))),
0)</f>
        <v>0</v>
      </c>
      <c r="AR89" s="171">
        <f t="array" ref="AR89">IFERROR(
AVERAGE(IF(DATOS_[Sexo]=$B89,IF(DATOS_[AGRUP. CLAS. PROF.]=$B87,IF(DATOS_[Check Periodo Ref.]="Dentro",DATOS_[TOTAL Retrib Ef],FALSE)))),
0)</f>
        <v>0</v>
      </c>
    </row>
    <row r="90" spans="1:44" s="152" customFormat="1" ht="14.4" thickBot="1" x14ac:dyDescent="0.3">
      <c r="A90" s="135" t="str">
        <f t="shared" ref="A90" si="103">+A91</f>
        <v>[ocultar]</v>
      </c>
      <c r="B90" s="153" t="s">
        <v>277</v>
      </c>
      <c r="C90" s="154"/>
      <c r="D90" s="155"/>
      <c r="E90" s="156" t="str">
        <f t="shared" ref="E90:AR90" si="104">IFERROR((E91-E92)/E91,"")</f>
        <v/>
      </c>
      <c r="F90" s="157" t="str">
        <f t="shared" si="104"/>
        <v/>
      </c>
      <c r="G90" s="158" t="str">
        <f t="shared" si="104"/>
        <v/>
      </c>
      <c r="H90" s="158" t="str">
        <f t="shared" si="104"/>
        <v/>
      </c>
      <c r="I90" s="158" t="str">
        <f t="shared" si="104"/>
        <v/>
      </c>
      <c r="J90" s="159" t="str">
        <f t="shared" si="104"/>
        <v/>
      </c>
      <c r="K90" s="160" t="str">
        <f t="shared" si="104"/>
        <v/>
      </c>
      <c r="L90" s="160" t="str">
        <f t="shared" si="104"/>
        <v/>
      </c>
      <c r="M90" s="160" t="str">
        <f t="shared" si="104"/>
        <v/>
      </c>
      <c r="N90" s="160" t="str">
        <f t="shared" si="104"/>
        <v/>
      </c>
      <c r="O90" s="160" t="str">
        <f t="shared" si="104"/>
        <v/>
      </c>
      <c r="P90" s="160" t="str">
        <f t="shared" si="104"/>
        <v/>
      </c>
      <c r="Q90" s="160" t="str">
        <f t="shared" si="104"/>
        <v/>
      </c>
      <c r="R90" s="160" t="str">
        <f t="shared" si="104"/>
        <v/>
      </c>
      <c r="S90" s="160" t="str">
        <f t="shared" si="104"/>
        <v/>
      </c>
      <c r="T90" s="160" t="str">
        <f t="shared" si="104"/>
        <v/>
      </c>
      <c r="U90" s="160" t="str">
        <f t="shared" si="104"/>
        <v/>
      </c>
      <c r="V90" s="159" t="str">
        <f t="shared" si="104"/>
        <v/>
      </c>
      <c r="W90" s="159" t="str">
        <f t="shared" si="104"/>
        <v/>
      </c>
      <c r="X90" s="159" t="str">
        <f t="shared" si="104"/>
        <v/>
      </c>
      <c r="Y90" s="159" t="str">
        <f t="shared" si="104"/>
        <v/>
      </c>
      <c r="Z90" s="159" t="str">
        <f t="shared" si="104"/>
        <v/>
      </c>
      <c r="AA90" s="159" t="str">
        <f t="shared" si="104"/>
        <v/>
      </c>
      <c r="AB90" s="159" t="str">
        <f t="shared" si="104"/>
        <v/>
      </c>
      <c r="AC90" s="159" t="str">
        <f t="shared" si="104"/>
        <v/>
      </c>
      <c r="AD90" s="159" t="str">
        <f t="shared" si="104"/>
        <v/>
      </c>
      <c r="AE90" s="159" t="str">
        <f t="shared" si="104"/>
        <v/>
      </c>
      <c r="AF90" s="159" t="str">
        <f t="shared" si="104"/>
        <v/>
      </c>
      <c r="AG90" s="159" t="str">
        <f t="shared" si="104"/>
        <v/>
      </c>
      <c r="AH90" s="159" t="str">
        <f t="shared" si="104"/>
        <v/>
      </c>
      <c r="AI90" s="159" t="str">
        <f t="shared" si="104"/>
        <v/>
      </c>
      <c r="AJ90" s="161" t="str">
        <f t="shared" si="104"/>
        <v/>
      </c>
      <c r="AK90" s="162" t="str">
        <f t="shared" si="104"/>
        <v/>
      </c>
      <c r="AL90" s="163" t="str">
        <f t="shared" si="104"/>
        <v/>
      </c>
      <c r="AM90" s="163" t="str">
        <f t="shared" si="104"/>
        <v/>
      </c>
      <c r="AN90" s="163" t="str">
        <f t="shared" si="104"/>
        <v/>
      </c>
      <c r="AO90" s="163" t="str">
        <f t="shared" si="104"/>
        <v/>
      </c>
      <c r="AP90" s="163" t="str">
        <f t="shared" si="104"/>
        <v/>
      </c>
      <c r="AQ90" s="164" t="str">
        <f t="shared" si="104"/>
        <v/>
      </c>
      <c r="AR90" s="161" t="str">
        <f t="shared" si="104"/>
        <v/>
      </c>
    </row>
    <row r="91" spans="1:44" x14ac:dyDescent="0.25">
      <c r="A91" s="135" t="str">
        <f t="shared" ref="A91" si="105">+IF(C91+C92=0,"[ocultar]","")</f>
        <v>[ocultar]</v>
      </c>
      <c r="B91" s="166" t="s">
        <v>394</v>
      </c>
      <c r="C91" s="167">
        <f t="array" ref="C91">SUM(IF($B91=DATOS_[Sexo],
IF($B90=DATOS_[AGRUP. CLAS. PROF.],
IF("Dentro"=DATOS_[Check Periodo Ref.],
1/(COUNTIFS(DATOS_[Sexo],$B91,DATOS_[AGRUP. CLAS. PROF.],$B90,DATOS_[Check Periodo Ref.],"Dentro",DATOS_[id/cod],DATOS_[id/cod]))))))</f>
        <v>0</v>
      </c>
      <c r="D91" s="168">
        <f>COUNTIFS(DATOS_[AGRUP. CLAS. PROF.],$B90,DATOS_[Sexo],$B91,DATOS_[Check Periodo Ref.],"Dentro")</f>
        <v>0</v>
      </c>
      <c r="E91" s="169">
        <f t="array" ref="E91">IFERROR(
AVERAGE(IF(DATOS_[Sexo]=$B91,IF(DATOS_[AGRUP. CLAS. PROF.]=$B90,IF(DATOS_[Check Periodo Ref.]="Dentro",DATOS_[SALARIO BASE Ef],FALSE)))),
0)</f>
        <v>0</v>
      </c>
      <c r="F91" s="170">
        <f t="array" ref="F91">IFERROR(
AVERAGE((IF(DATOS_[[Sexo]:[Sexo]]=$B91,IF(DATOS_[[AGRUP. CLAS. PROF.]:[AGRUP. CLAS. PROF.]]=$B90,IF(DATOS_[[Check Periodo Ref.]:[Check Periodo Ref.]]="Dentro",DATOS_[Conc.Sal.01]))))),
0)</f>
        <v>0</v>
      </c>
      <c r="G91" s="170">
        <f t="array" ref="G91">IFERROR(
AVERAGE((IF(DATOS_[[Sexo]:[Sexo]]=$B91,IF(DATOS_[[AGRUP. CLAS. PROF.]:[AGRUP. CLAS. PROF.]]=$B90,IF(DATOS_[[Check Periodo Ref.]:[Check Periodo Ref.]]="Dentro",DATOS_[Conc.Sal.02]))))),
0)</f>
        <v>0</v>
      </c>
      <c r="H91" s="170">
        <f t="array" ref="H91">IFERROR(
AVERAGE((IF(DATOS_[[Sexo]:[Sexo]]=$B91,IF(DATOS_[[AGRUP. CLAS. PROF.]:[AGRUP. CLAS. PROF.]]=$B90,IF(DATOS_[[Check Periodo Ref.]:[Check Periodo Ref.]]="Dentro",DATOS_[Conc.Sal.03]))))),
0)</f>
        <v>0</v>
      </c>
      <c r="I91" s="170">
        <f t="array" ref="I91">IFERROR(
AVERAGE((IF(DATOS_[[Sexo]:[Sexo]]=$B91,IF(DATOS_[[AGRUP. CLAS. PROF.]:[AGRUP. CLAS. PROF.]]=$B90,IF(DATOS_[[Check Periodo Ref.]:[Check Periodo Ref.]]="Dentro",DATOS_[Conc.Sal.04]))))),
0)</f>
        <v>0</v>
      </c>
      <c r="J91" s="170">
        <f t="array" ref="J91">IFERROR(
AVERAGE((IF(DATOS_[[Sexo]:[Sexo]]=$B91,IF(DATOS_[[AGRUP. CLAS. PROF.]:[AGRUP. CLAS. PROF.]]=$B90,IF(DATOS_[[Check Periodo Ref.]:[Check Periodo Ref.]]="Dentro",DATOS_[Conc.Sal.05]))))),
0)</f>
        <v>0</v>
      </c>
      <c r="K91" s="170">
        <f t="array" ref="K91">IFERROR(
AVERAGE((IF(DATOS_[[Sexo]:[Sexo]]=$B91,IF(DATOS_[[AGRUP. CLAS. PROF.]:[AGRUP. CLAS. PROF.]]=$B90,IF(DATOS_[[Check Periodo Ref.]:[Check Periodo Ref.]]="Dentro",DATOS_[Conc.Sal.06]))))),
0)</f>
        <v>0</v>
      </c>
      <c r="L91" s="170">
        <f t="array" ref="L91">IFERROR(
AVERAGE((IF(DATOS_[[Sexo]:[Sexo]]=$B91,IF(DATOS_[[AGRUP. CLAS. PROF.]:[AGRUP. CLAS. PROF.]]=$B90,IF(DATOS_[[Check Periodo Ref.]:[Check Periodo Ref.]]="Dentro",DATOS_[Conc.Sal.07]))))),
0)</f>
        <v>0</v>
      </c>
      <c r="M91" s="170">
        <f t="array" ref="M91">IFERROR(
AVERAGE((IF(DATOS_[[Sexo]:[Sexo]]=$B91,IF(DATOS_[[AGRUP. CLAS. PROF.]:[AGRUP. CLAS. PROF.]]=$B90,IF(DATOS_[[Check Periodo Ref.]:[Check Periodo Ref.]]="Dentro",DATOS_[Conc.Sal.08]))))),
0)</f>
        <v>0</v>
      </c>
      <c r="N91" s="170">
        <f t="array" ref="N91">IFERROR(
AVERAGE((IF(DATOS_[[Sexo]:[Sexo]]=$B91,IF(DATOS_[[AGRUP. CLAS. PROF.]:[AGRUP. CLAS. PROF.]]=$B90,IF(DATOS_[[Check Periodo Ref.]:[Check Periodo Ref.]]="Dentro",DATOS_[Conc.Sal.09]))))),
0)</f>
        <v>0</v>
      </c>
      <c r="O91" s="170">
        <f t="array" ref="O91">IFERROR(
AVERAGE((IF(DATOS_[[Sexo]:[Sexo]]=$B91,IF(DATOS_[[AGRUP. CLAS. PROF.]:[AGRUP. CLAS. PROF.]]=$B90,IF(DATOS_[[Check Periodo Ref.]:[Check Periodo Ref.]]="Dentro",DATOS_[Conc.Sal.10]))))),
0)</f>
        <v>0</v>
      </c>
      <c r="P91" s="170">
        <f t="array" ref="P91">IFERROR(
AVERAGE((IF(DATOS_[[Sexo]:[Sexo]]=$B91,IF(DATOS_[[AGRUP. CLAS. PROF.]:[AGRUP. CLAS. PROF.]]=$B90,IF(DATOS_[[Check Periodo Ref.]:[Check Periodo Ref.]]="Dentro",DATOS_[Conc.Sal.11]))))),
0)</f>
        <v>0</v>
      </c>
      <c r="Q91" s="170">
        <f t="array" ref="Q91">IFERROR(
AVERAGE((IF(DATOS_[[Sexo]:[Sexo]]=$B91,IF(DATOS_[[AGRUP. CLAS. PROF.]:[AGRUP. CLAS. PROF.]]=$B90,IF(DATOS_[[Check Periodo Ref.]:[Check Periodo Ref.]]="Dentro",DATOS_[Conc.Sal.12]))))),
0)</f>
        <v>0</v>
      </c>
      <c r="R91" s="170">
        <f t="array" ref="R91">IFERROR(
AVERAGE((IF(DATOS_[[Sexo]:[Sexo]]=$B91,IF(DATOS_[[AGRUP. CLAS. PROF.]:[AGRUP. CLAS. PROF.]]=$B90,IF(DATOS_[[Check Periodo Ref.]:[Check Periodo Ref.]]="Dentro",DATOS_[Conc.Sal.13]))))),
0)</f>
        <v>0</v>
      </c>
      <c r="S91" s="170">
        <f t="array" ref="S91">IFERROR(
AVERAGE((IF(DATOS_[[Sexo]:[Sexo]]=$B91,IF(DATOS_[[AGRUP. CLAS. PROF.]:[AGRUP. CLAS. PROF.]]=$B90,IF(DATOS_[[Check Periodo Ref.]:[Check Periodo Ref.]]="Dentro",DATOS_[Conc.Sal.14]))))),
0)</f>
        <v>0</v>
      </c>
      <c r="T91" s="170">
        <f t="array" ref="T91">IFERROR(
AVERAGE((IF(DATOS_[[Sexo]:[Sexo]]=$B91,IF(DATOS_[[AGRUP. CLAS. PROF.]:[AGRUP. CLAS. PROF.]]=$B90,IF(DATOS_[[Check Periodo Ref.]:[Check Periodo Ref.]]="Dentro",DATOS_[Conc.Sal.15]))))),
0)</f>
        <v>0</v>
      </c>
      <c r="U91" s="170">
        <f t="array" ref="U91">IFERROR(
AVERAGE((IF(DATOS_[[Sexo]:[Sexo]]=$B91,IF(DATOS_[[AGRUP. CLAS. PROF.]:[AGRUP. CLAS. PROF.]]=$B90,IF(DATOS_[[Check Periodo Ref.]:[Check Periodo Ref.]]="Dentro",DATOS_[Conc.Sal.16]))))),
0)</f>
        <v>0</v>
      </c>
      <c r="V91" s="170">
        <f t="array" ref="V91">IFERROR(
AVERAGE((IF(DATOS_[[Sexo]:[Sexo]]=$B91,IF(DATOS_[[AGRUP. CLAS. PROF.]:[AGRUP. CLAS. PROF.]]=$B90,IF(DATOS_[[Check Periodo Ref.]:[Check Periodo Ref.]]="Dentro",DATOS_[Conc.Sal.17]))))),
0)</f>
        <v>0</v>
      </c>
      <c r="W91" s="170">
        <f t="array" ref="W91">IFERROR(
AVERAGE((IF(DATOS_[[Sexo]:[Sexo]]=$B91,IF(DATOS_[[AGRUP. CLAS. PROF.]:[AGRUP. CLAS. PROF.]]=$B90,IF(DATOS_[[Check Periodo Ref.]:[Check Periodo Ref.]]="Dentro",DATOS_[Conc.Sal.18]))))),
0)</f>
        <v>0</v>
      </c>
      <c r="X91" s="170">
        <f t="array" ref="X91">IFERROR(
AVERAGE((IF(DATOS_[[Sexo]:[Sexo]]=$B91,IF(DATOS_[[AGRUP. CLAS. PROF.]:[AGRUP. CLAS. PROF.]]=$B90,IF(DATOS_[[Check Periodo Ref.]:[Check Periodo Ref.]]="Dentro",DATOS_[Conc.Sal.19]))))),
0)</f>
        <v>0</v>
      </c>
      <c r="Y91" s="170">
        <f t="array" ref="Y91">IFERROR(
AVERAGE((IF(DATOS_[[Sexo]:[Sexo]]=$B91,IF(DATOS_[[AGRUP. CLAS. PROF.]:[AGRUP. CLAS. PROF.]]=$B90,IF(DATOS_[[Check Periodo Ref.]:[Check Periodo Ref.]]="Dentro",DATOS_[Conc.Sal.20]))))),
0)</f>
        <v>0</v>
      </c>
      <c r="Z91" s="170">
        <f t="array" ref="Z91">IFERROR(
AVERAGE((IF(DATOS_[[Sexo]:[Sexo]]=$B91,IF(DATOS_[[AGRUP. CLAS. PROF.]:[AGRUP. CLAS. PROF.]]=$B90,IF(DATOS_[[Check Periodo Ref.]:[Check Periodo Ref.]]="Dentro",DATOS_[Conc.Sal.21]))))),
0)</f>
        <v>0</v>
      </c>
      <c r="AA91" s="170">
        <f t="array" ref="AA91">IFERROR(
AVERAGE((IF(DATOS_[[Sexo]:[Sexo]]=$B91,IF(DATOS_[[AGRUP. CLAS. PROF.]:[AGRUP. CLAS. PROF.]]=$B90,IF(DATOS_[[Check Periodo Ref.]:[Check Periodo Ref.]]="Dentro",DATOS_[Conc.Sal.22]))))),
0)</f>
        <v>0</v>
      </c>
      <c r="AB91" s="170">
        <f t="array" ref="AB91">IFERROR(
AVERAGE((IF(DATOS_[[Sexo]:[Sexo]]=$B91,IF(DATOS_[[AGRUP. CLAS. PROF.]:[AGRUP. CLAS. PROF.]]=$B90,IF(DATOS_[[Check Periodo Ref.]:[Check Periodo Ref.]]="Dentro",DATOS_[Conc.Sal.23]))))),
0)</f>
        <v>0</v>
      </c>
      <c r="AC91" s="170">
        <f t="array" ref="AC91">IFERROR(
AVERAGE((IF(DATOS_[[Sexo]:[Sexo]]=$B91,IF(DATOS_[[AGRUP. CLAS. PROF.]:[AGRUP. CLAS. PROF.]]=$B90,IF(DATOS_[[Check Periodo Ref.]:[Check Periodo Ref.]]="Dentro",DATOS_[Conc.Sal.24]))))),
0)</f>
        <v>0</v>
      </c>
      <c r="AD91" s="170">
        <f t="array" ref="AD91">IFERROR(
AVERAGE((IF(DATOS_[[Sexo]:[Sexo]]=$B91,IF(DATOS_[[AGRUP. CLAS. PROF.]:[AGRUP. CLAS. PROF.]]=$B90,IF(DATOS_[[Check Periodo Ref.]:[Check Periodo Ref.]]="Dentro",DATOS_[Conc.Sal.25]))))),
0)</f>
        <v>0</v>
      </c>
      <c r="AE91" s="170">
        <f t="array" ref="AE91">IFERROR(
AVERAGE((IF(DATOS_[[Sexo]:[Sexo]]=$B91,IF(DATOS_[[AGRUP. CLAS. PROF.]:[AGRUP. CLAS. PROF.]]=$B90,IF(DATOS_[[Check Periodo Ref.]:[Check Periodo Ref.]]="Dentro",DATOS_[Conc.Sal.26]))))),
0)</f>
        <v>0</v>
      </c>
      <c r="AF91" s="170">
        <f t="array" ref="AF91">IFERROR(
AVERAGE((IF(DATOS_[[Sexo]:[Sexo]]=$B91,IF(DATOS_[[AGRUP. CLAS. PROF.]:[AGRUP. CLAS. PROF.]]=$B90,IF(DATOS_[[Check Periodo Ref.]:[Check Periodo Ref.]]="Dentro",DATOS_[Conc.Sal.27]))))),
0)</f>
        <v>0</v>
      </c>
      <c r="AG91" s="170">
        <f t="array" ref="AG91">IFERROR(
AVERAGE((IF(DATOS_[[Sexo]:[Sexo]]=$B91,IF(DATOS_[[AGRUP. CLAS. PROF.]:[AGRUP. CLAS. PROF.]]=$B90,IF(DATOS_[[Check Periodo Ref.]:[Check Periodo Ref.]]="Dentro",DATOS_[Conc.Sal.28]))))),
0)</f>
        <v>0</v>
      </c>
      <c r="AH91" s="170">
        <f t="array" ref="AH91">IFERROR(
AVERAGE((IF(DATOS_[[Sexo]:[Sexo]]=$B91,IF(DATOS_[[AGRUP. CLAS. PROF.]:[AGRUP. CLAS. PROF.]]=$B90,IF(DATOS_[[Check Periodo Ref.]:[Check Periodo Ref.]]="Dentro",DATOS_[Conc.Sal.29]))))),
0)</f>
        <v>0</v>
      </c>
      <c r="AI91" s="170">
        <f t="array" ref="AI91">IFERROR(
AVERAGE((IF(DATOS_[[Sexo]:[Sexo]]=$B91,IF(DATOS_[[AGRUP. CLAS. PROF.]:[AGRUP. CLAS. PROF.]]=$B90,IF(DATOS_[[Check Periodo Ref.]:[Check Periodo Ref.]]="Dentro",DATOS_[Conc.Sal.30]))))),
0)</f>
        <v>0</v>
      </c>
      <c r="AJ91" s="171">
        <f t="array" ref="AJ91">IFERROR(
AVERAGE(IF(DATOS_[Sexo]=$B91,IF(DATOS_[AGRUP. CLAS. PROF.]=$B90,IF(DATOS_[Check Periodo Ref.]="Dentro",DATOS_[Tot COMPL.SAL Ef],FALSE)))),
0)</f>
        <v>0</v>
      </c>
      <c r="AK91" s="172">
        <f t="array" ref="AK91">IFERROR(
AVERAGE(IF(DATOS_[Sexo]=$B91,IF(DATOS_[AGRUP. CLAS. PROF.]=$B90,IF(DATOS_[Check Periodo Ref.]="Dentro",DATOS_[TOTAL SALARIO Ef],FALSE)))),
0)</f>
        <v>0</v>
      </c>
      <c r="AL91" s="173">
        <f t="array" ref="AL91">IFERROR(
AVERAGE((IF(DATOS_[[Sexo]:[Sexo]]=$B91,IF(DATOS_[[AGRUP. CLAS. PROF.]:[AGRUP. CLAS. PROF.]]=$B90,IF(DATOS_[[Check Periodo Ref.]:[Check Periodo Ref.]]="Dentro",DATOS_[C.Extra.01]))))),
0)</f>
        <v>0</v>
      </c>
      <c r="AM91" s="173">
        <f t="array" ref="AM91">IFERROR(
AVERAGE((IF(DATOS_[[Sexo]:[Sexo]]=$B91,IF(DATOS_[[AGRUP. CLAS. PROF.]:[AGRUP. CLAS. PROF.]]=$B90,IF(DATOS_[[Check Periodo Ref.]:[Check Periodo Ref.]]="Dentro",DATOS_[C.Extra.06]))))),
0)</f>
        <v>0</v>
      </c>
      <c r="AN91" s="173">
        <f t="array" ref="AN91">IFERROR(
AVERAGE((IF(DATOS_[[Sexo]:[Sexo]]=$B91,IF(DATOS_[[AGRUP. CLAS. PROF.]:[AGRUP. CLAS. PROF.]]=$B90,IF(DATOS_[[Check Periodo Ref.]:[Check Periodo Ref.]]="Dentro",DATOS_[C.Extra.07]))))),
0)</f>
        <v>0</v>
      </c>
      <c r="AO91" s="173">
        <f t="array" ref="AO91">IFERROR(
AVERAGE((IF(DATOS_[[Sexo]:[Sexo]]=$B91,IF(DATOS_[[AGRUP. CLAS. PROF.]:[AGRUP. CLAS. PROF.]]=$B90,IF(DATOS_[[Check Periodo Ref.]:[Check Periodo Ref.]]="Dentro",DATOS_[C.Extra.08]))))),
0)</f>
        <v>0</v>
      </c>
      <c r="AP91" s="173">
        <f t="array" ref="AP91">IFERROR(
AVERAGE((IF(DATOS_[[Sexo]:[Sexo]]=$B91,IF(DATOS_[[AGRUP. CLAS. PROF.]:[AGRUP. CLAS. PROF.]]=$B90,IF(DATOS_[[Check Periodo Ref.]:[Check Periodo Ref.]]="Dentro",DATOS_[C.Extra.11]))))),
0)</f>
        <v>0</v>
      </c>
      <c r="AQ91" s="174">
        <f t="array" ref="AQ91">IFERROR(
AVERAGE(IF(DATOS_[Sexo]=$B91,IF(DATOS_[AGRUP. CLAS. PROF.]=$B90,IF(DATOS_[Check Periodo Ref.]="Dentro",DATOS_[Tot Extrasalarial Ef],FALSE)))),
0)</f>
        <v>0</v>
      </c>
      <c r="AR91" s="171">
        <f t="array" ref="AR91">IFERROR(
AVERAGE(IF(DATOS_[Sexo]=$B91,IF(DATOS_[AGRUP. CLAS. PROF.]=$B90,IF(DATOS_[Check Periodo Ref.]="Dentro",DATOS_[TOTAL Retrib Ef],FALSE)))),
0)</f>
        <v>0</v>
      </c>
    </row>
    <row r="92" spans="1:44" x14ac:dyDescent="0.25">
      <c r="A92" s="135" t="str">
        <f t="shared" ref="A92" si="106">+A91</f>
        <v>[ocultar]</v>
      </c>
      <c r="B92" s="166" t="s">
        <v>521</v>
      </c>
      <c r="C92" s="167">
        <f t="array" ref="C92">SUM(IF($B92=DATOS_[Sexo],
IF($B90=DATOS_[AGRUP. CLAS. PROF.],
IF("Dentro"=DATOS_[Check Periodo Ref.],
1/(COUNTIFS(DATOS_[Sexo],$B92,DATOS_[AGRUP. CLAS. PROF.],$B90,DATOS_[Check Periodo Ref.],"Dentro",DATOS_[id/cod],DATOS_[id/cod]))))))</f>
        <v>0</v>
      </c>
      <c r="D92" s="168">
        <f>COUNTIFS(DATOS_[AGRUP. CLAS. PROF.],$B90,DATOS_[Sexo],$B92,DATOS_[Check Periodo Ref.],"Dentro")</f>
        <v>0</v>
      </c>
      <c r="E92" s="169">
        <f t="array" ref="E92">IFERROR(
AVERAGE(IF(DATOS_[Sexo]=$B92,IF(DATOS_[AGRUP. CLAS. PROF.]=$B90,IF(DATOS_[Check Periodo Ref.]="Dentro",DATOS_[SALARIO BASE Ef],FALSE)))),
0)</f>
        <v>0</v>
      </c>
      <c r="F92" s="170">
        <f t="array" ref="F92">IFERROR(
AVERAGE((IF(DATOS_[[Sexo]:[Sexo]]=$B92,IF(DATOS_[[AGRUP. CLAS. PROF.]:[AGRUP. CLAS. PROF.]]=$B90,IF(DATOS_[[Check Periodo Ref.]:[Check Periodo Ref.]]="Dentro",DATOS_[Conc.Sal.01]))))),
0)</f>
        <v>0</v>
      </c>
      <c r="G92" s="170">
        <f t="array" ref="G92">IFERROR(
AVERAGE((IF(DATOS_[[Sexo]:[Sexo]]=$B92,IF(DATOS_[[AGRUP. CLAS. PROF.]:[AGRUP. CLAS. PROF.]]=$B90,IF(DATOS_[[Check Periodo Ref.]:[Check Periodo Ref.]]="Dentro",DATOS_[Conc.Sal.02]))))),
0)</f>
        <v>0</v>
      </c>
      <c r="H92" s="170">
        <f t="array" ref="H92">IFERROR(
AVERAGE((IF(DATOS_[[Sexo]:[Sexo]]=$B92,IF(DATOS_[[AGRUP. CLAS. PROF.]:[AGRUP. CLAS. PROF.]]=$B90,IF(DATOS_[[Check Periodo Ref.]:[Check Periodo Ref.]]="Dentro",DATOS_[Conc.Sal.03]))))),
0)</f>
        <v>0</v>
      </c>
      <c r="I92" s="170">
        <f t="array" ref="I92">IFERROR(
AVERAGE((IF(DATOS_[[Sexo]:[Sexo]]=$B92,IF(DATOS_[[AGRUP. CLAS. PROF.]:[AGRUP. CLAS. PROF.]]=$B90,IF(DATOS_[[Check Periodo Ref.]:[Check Periodo Ref.]]="Dentro",DATOS_[Conc.Sal.04]))))),
0)</f>
        <v>0</v>
      </c>
      <c r="J92" s="170">
        <f t="array" ref="J92">IFERROR(
AVERAGE((IF(DATOS_[[Sexo]:[Sexo]]=$B92,IF(DATOS_[[AGRUP. CLAS. PROF.]:[AGRUP. CLAS. PROF.]]=$B90,IF(DATOS_[[Check Periodo Ref.]:[Check Periodo Ref.]]="Dentro",DATOS_[Conc.Sal.05]))))),
0)</f>
        <v>0</v>
      </c>
      <c r="K92" s="170">
        <f t="array" ref="K92">IFERROR(
AVERAGE((IF(DATOS_[[Sexo]:[Sexo]]=$B92,IF(DATOS_[[AGRUP. CLAS. PROF.]:[AGRUP. CLAS. PROF.]]=$B90,IF(DATOS_[[Check Periodo Ref.]:[Check Periodo Ref.]]="Dentro",DATOS_[Conc.Sal.06]))))),
0)</f>
        <v>0</v>
      </c>
      <c r="L92" s="170">
        <f t="array" ref="L92">IFERROR(
AVERAGE((IF(DATOS_[[Sexo]:[Sexo]]=$B92,IF(DATOS_[[AGRUP. CLAS. PROF.]:[AGRUP. CLAS. PROF.]]=$B90,IF(DATOS_[[Check Periodo Ref.]:[Check Periodo Ref.]]="Dentro",DATOS_[Conc.Sal.07]))))),
0)</f>
        <v>0</v>
      </c>
      <c r="M92" s="170">
        <f t="array" ref="M92">IFERROR(
AVERAGE((IF(DATOS_[[Sexo]:[Sexo]]=$B92,IF(DATOS_[[AGRUP. CLAS. PROF.]:[AGRUP. CLAS. PROF.]]=$B90,IF(DATOS_[[Check Periodo Ref.]:[Check Periodo Ref.]]="Dentro",DATOS_[Conc.Sal.08]))))),
0)</f>
        <v>0</v>
      </c>
      <c r="N92" s="170">
        <f t="array" ref="N92">IFERROR(
AVERAGE((IF(DATOS_[[Sexo]:[Sexo]]=$B92,IF(DATOS_[[AGRUP. CLAS. PROF.]:[AGRUP. CLAS. PROF.]]=$B90,IF(DATOS_[[Check Periodo Ref.]:[Check Periodo Ref.]]="Dentro",DATOS_[Conc.Sal.09]))))),
0)</f>
        <v>0</v>
      </c>
      <c r="O92" s="170">
        <f t="array" ref="O92">IFERROR(
AVERAGE((IF(DATOS_[[Sexo]:[Sexo]]=$B92,IF(DATOS_[[AGRUP. CLAS. PROF.]:[AGRUP. CLAS. PROF.]]=$B90,IF(DATOS_[[Check Periodo Ref.]:[Check Periodo Ref.]]="Dentro",DATOS_[Conc.Sal.10]))))),
0)</f>
        <v>0</v>
      </c>
      <c r="P92" s="170">
        <f t="array" ref="P92">IFERROR(
AVERAGE((IF(DATOS_[[Sexo]:[Sexo]]=$B92,IF(DATOS_[[AGRUP. CLAS. PROF.]:[AGRUP. CLAS. PROF.]]=$B90,IF(DATOS_[[Check Periodo Ref.]:[Check Periodo Ref.]]="Dentro",DATOS_[Conc.Sal.11]))))),
0)</f>
        <v>0</v>
      </c>
      <c r="Q92" s="170">
        <f t="array" ref="Q92">IFERROR(
AVERAGE((IF(DATOS_[[Sexo]:[Sexo]]=$B92,IF(DATOS_[[AGRUP. CLAS. PROF.]:[AGRUP. CLAS. PROF.]]=$B90,IF(DATOS_[[Check Periodo Ref.]:[Check Periodo Ref.]]="Dentro",DATOS_[Conc.Sal.12]))))),
0)</f>
        <v>0</v>
      </c>
      <c r="R92" s="170">
        <f t="array" ref="R92">IFERROR(
AVERAGE((IF(DATOS_[[Sexo]:[Sexo]]=$B92,IF(DATOS_[[AGRUP. CLAS. PROF.]:[AGRUP. CLAS. PROF.]]=$B90,IF(DATOS_[[Check Periodo Ref.]:[Check Periodo Ref.]]="Dentro",DATOS_[Conc.Sal.13]))))),
0)</f>
        <v>0</v>
      </c>
      <c r="S92" s="170">
        <f t="array" ref="S92">IFERROR(
AVERAGE((IF(DATOS_[[Sexo]:[Sexo]]=$B92,IF(DATOS_[[AGRUP. CLAS. PROF.]:[AGRUP. CLAS. PROF.]]=$B90,IF(DATOS_[[Check Periodo Ref.]:[Check Periodo Ref.]]="Dentro",DATOS_[Conc.Sal.14]))))),
0)</f>
        <v>0</v>
      </c>
      <c r="T92" s="170">
        <f t="array" ref="T92">IFERROR(
AVERAGE((IF(DATOS_[[Sexo]:[Sexo]]=$B92,IF(DATOS_[[AGRUP. CLAS. PROF.]:[AGRUP. CLAS. PROF.]]=$B90,IF(DATOS_[[Check Periodo Ref.]:[Check Periodo Ref.]]="Dentro",DATOS_[Conc.Sal.15]))))),
0)</f>
        <v>0</v>
      </c>
      <c r="U92" s="170">
        <f t="array" ref="U92">IFERROR(
AVERAGE((IF(DATOS_[[Sexo]:[Sexo]]=$B92,IF(DATOS_[[AGRUP. CLAS. PROF.]:[AGRUP. CLAS. PROF.]]=$B90,IF(DATOS_[[Check Periodo Ref.]:[Check Periodo Ref.]]="Dentro",DATOS_[Conc.Sal.16]))))),
0)</f>
        <v>0</v>
      </c>
      <c r="V92" s="170">
        <f t="array" ref="V92">IFERROR(
AVERAGE((IF(DATOS_[[Sexo]:[Sexo]]=$B92,IF(DATOS_[[AGRUP. CLAS. PROF.]:[AGRUP. CLAS. PROF.]]=$B90,IF(DATOS_[[Check Periodo Ref.]:[Check Periodo Ref.]]="Dentro",DATOS_[Conc.Sal.17]))))),
0)</f>
        <v>0</v>
      </c>
      <c r="W92" s="170">
        <f t="array" ref="W92">IFERROR(
AVERAGE((IF(DATOS_[[Sexo]:[Sexo]]=$B92,IF(DATOS_[[AGRUP. CLAS. PROF.]:[AGRUP. CLAS. PROF.]]=$B90,IF(DATOS_[[Check Periodo Ref.]:[Check Periodo Ref.]]="Dentro",DATOS_[Conc.Sal.18]))))),
0)</f>
        <v>0</v>
      </c>
      <c r="X92" s="170">
        <f t="array" ref="X92">IFERROR(
AVERAGE((IF(DATOS_[[Sexo]:[Sexo]]=$B92,IF(DATOS_[[AGRUP. CLAS. PROF.]:[AGRUP. CLAS. PROF.]]=$B90,IF(DATOS_[[Check Periodo Ref.]:[Check Periodo Ref.]]="Dentro",DATOS_[Conc.Sal.19]))))),
0)</f>
        <v>0</v>
      </c>
      <c r="Y92" s="170">
        <f t="array" ref="Y92">IFERROR(
AVERAGE((IF(DATOS_[[Sexo]:[Sexo]]=$B92,IF(DATOS_[[AGRUP. CLAS. PROF.]:[AGRUP. CLAS. PROF.]]=$B90,IF(DATOS_[[Check Periodo Ref.]:[Check Periodo Ref.]]="Dentro",DATOS_[Conc.Sal.20]))))),
0)</f>
        <v>0</v>
      </c>
      <c r="Z92" s="170">
        <f t="array" ref="Z92">IFERROR(
AVERAGE((IF(DATOS_[[Sexo]:[Sexo]]=$B92,IF(DATOS_[[AGRUP. CLAS. PROF.]:[AGRUP. CLAS. PROF.]]=$B90,IF(DATOS_[[Check Periodo Ref.]:[Check Periodo Ref.]]="Dentro",DATOS_[Conc.Sal.21]))))),
0)</f>
        <v>0</v>
      </c>
      <c r="AA92" s="170">
        <f t="array" ref="AA92">IFERROR(
AVERAGE((IF(DATOS_[[Sexo]:[Sexo]]=$B92,IF(DATOS_[[AGRUP. CLAS. PROF.]:[AGRUP. CLAS. PROF.]]=$B90,IF(DATOS_[[Check Periodo Ref.]:[Check Periodo Ref.]]="Dentro",DATOS_[Conc.Sal.22]))))),
0)</f>
        <v>0</v>
      </c>
      <c r="AB92" s="170">
        <f t="array" ref="AB92">IFERROR(
AVERAGE((IF(DATOS_[[Sexo]:[Sexo]]=$B92,IF(DATOS_[[AGRUP. CLAS. PROF.]:[AGRUP. CLAS. PROF.]]=$B90,IF(DATOS_[[Check Periodo Ref.]:[Check Periodo Ref.]]="Dentro",DATOS_[Conc.Sal.23]))))),
0)</f>
        <v>0</v>
      </c>
      <c r="AC92" s="170">
        <f t="array" ref="AC92">IFERROR(
AVERAGE((IF(DATOS_[[Sexo]:[Sexo]]=$B92,IF(DATOS_[[AGRUP. CLAS. PROF.]:[AGRUP. CLAS. PROF.]]=$B90,IF(DATOS_[[Check Periodo Ref.]:[Check Periodo Ref.]]="Dentro",DATOS_[Conc.Sal.24]))))),
0)</f>
        <v>0</v>
      </c>
      <c r="AD92" s="170">
        <f t="array" ref="AD92">IFERROR(
AVERAGE((IF(DATOS_[[Sexo]:[Sexo]]=$B92,IF(DATOS_[[AGRUP. CLAS. PROF.]:[AGRUP. CLAS. PROF.]]=$B90,IF(DATOS_[[Check Periodo Ref.]:[Check Periodo Ref.]]="Dentro",DATOS_[Conc.Sal.25]))))),
0)</f>
        <v>0</v>
      </c>
      <c r="AE92" s="170">
        <f t="array" ref="AE92">IFERROR(
AVERAGE((IF(DATOS_[[Sexo]:[Sexo]]=$B92,IF(DATOS_[[AGRUP. CLAS. PROF.]:[AGRUP. CLAS. PROF.]]=$B90,IF(DATOS_[[Check Periodo Ref.]:[Check Periodo Ref.]]="Dentro",DATOS_[Conc.Sal.26]))))),
0)</f>
        <v>0</v>
      </c>
      <c r="AF92" s="170">
        <f t="array" ref="AF92">IFERROR(
AVERAGE((IF(DATOS_[[Sexo]:[Sexo]]=$B92,IF(DATOS_[[AGRUP. CLAS. PROF.]:[AGRUP. CLAS. PROF.]]=$B90,IF(DATOS_[[Check Periodo Ref.]:[Check Periodo Ref.]]="Dentro",DATOS_[Conc.Sal.27]))))),
0)</f>
        <v>0</v>
      </c>
      <c r="AG92" s="170">
        <f t="array" ref="AG92">IFERROR(
AVERAGE((IF(DATOS_[[Sexo]:[Sexo]]=$B92,IF(DATOS_[[AGRUP. CLAS. PROF.]:[AGRUP. CLAS. PROF.]]=$B90,IF(DATOS_[[Check Periodo Ref.]:[Check Periodo Ref.]]="Dentro",DATOS_[Conc.Sal.28]))))),
0)</f>
        <v>0</v>
      </c>
      <c r="AH92" s="170">
        <f t="array" ref="AH92">IFERROR(
AVERAGE((IF(DATOS_[[Sexo]:[Sexo]]=$B92,IF(DATOS_[[AGRUP. CLAS. PROF.]:[AGRUP. CLAS. PROF.]]=$B90,IF(DATOS_[[Check Periodo Ref.]:[Check Periodo Ref.]]="Dentro",DATOS_[Conc.Sal.29]))))),
0)</f>
        <v>0</v>
      </c>
      <c r="AI92" s="170">
        <f t="array" ref="AI92">IFERROR(
AVERAGE((IF(DATOS_[[Sexo]:[Sexo]]=$B92,IF(DATOS_[[AGRUP. CLAS. PROF.]:[AGRUP. CLAS. PROF.]]=$B90,IF(DATOS_[[Check Periodo Ref.]:[Check Periodo Ref.]]="Dentro",DATOS_[Conc.Sal.30]))))),
0)</f>
        <v>0</v>
      </c>
      <c r="AJ92" s="171">
        <f t="array" ref="AJ92">IFERROR(
AVERAGE(IF(DATOS_[Sexo]=$B92,IF(DATOS_[AGRUP. CLAS. PROF.]=$B90,IF(DATOS_[Check Periodo Ref.]="Dentro",DATOS_[Tot COMPL.SAL Ef],FALSE)))),
0)</f>
        <v>0</v>
      </c>
      <c r="AK92" s="172">
        <f t="array" ref="AK92">IFERROR(
AVERAGE(IF(DATOS_[Sexo]=$B92,IF(DATOS_[AGRUP. CLAS. PROF.]=$B90,IF(DATOS_[Check Periodo Ref.]="Dentro",DATOS_[TOTAL SALARIO Ef],FALSE)))),
0)</f>
        <v>0</v>
      </c>
      <c r="AL92" s="173">
        <f t="array" ref="AL92">IFERROR(
AVERAGE((IF(DATOS_[[Sexo]:[Sexo]]=$B92,IF(DATOS_[[AGRUP. CLAS. PROF.]:[AGRUP. CLAS. PROF.]]=$B90,IF(DATOS_[[Check Periodo Ref.]:[Check Periodo Ref.]]="Dentro",DATOS_[C.Extra.01]))))),
0)</f>
        <v>0</v>
      </c>
      <c r="AM92" s="173">
        <f t="array" ref="AM92">IFERROR(
AVERAGE((IF(DATOS_[[Sexo]:[Sexo]]=$B92,IF(DATOS_[[AGRUP. CLAS. PROF.]:[AGRUP. CLAS. PROF.]]=$B90,IF(DATOS_[[Check Periodo Ref.]:[Check Periodo Ref.]]="Dentro",DATOS_[C.Extra.06]))))),
0)</f>
        <v>0</v>
      </c>
      <c r="AN92" s="173">
        <f t="array" ref="AN92">IFERROR(
AVERAGE((IF(DATOS_[[Sexo]:[Sexo]]=$B92,IF(DATOS_[[AGRUP. CLAS. PROF.]:[AGRUP. CLAS. PROF.]]=$B90,IF(DATOS_[[Check Periodo Ref.]:[Check Periodo Ref.]]="Dentro",DATOS_[C.Extra.07]))))),
0)</f>
        <v>0</v>
      </c>
      <c r="AO92" s="173">
        <f t="array" ref="AO92">IFERROR(
AVERAGE((IF(DATOS_[[Sexo]:[Sexo]]=$B92,IF(DATOS_[[AGRUP. CLAS. PROF.]:[AGRUP. CLAS. PROF.]]=$B90,IF(DATOS_[[Check Periodo Ref.]:[Check Periodo Ref.]]="Dentro",DATOS_[C.Extra.08]))))),
0)</f>
        <v>0</v>
      </c>
      <c r="AP92" s="173">
        <f t="array" ref="AP92">IFERROR(
AVERAGE((IF(DATOS_[[Sexo]:[Sexo]]=$B92,IF(DATOS_[[AGRUP. CLAS. PROF.]:[AGRUP. CLAS. PROF.]]=$B90,IF(DATOS_[[Check Periodo Ref.]:[Check Periodo Ref.]]="Dentro",DATOS_[C.Extra.11]))))),
0)</f>
        <v>0</v>
      </c>
      <c r="AQ92" s="174">
        <f t="array" ref="AQ92">IFERROR(
AVERAGE(IF(DATOS_[Sexo]=$B92,IF(DATOS_[AGRUP. CLAS. PROF.]=$B90,IF(DATOS_[Check Periodo Ref.]="Dentro",DATOS_[Tot Extrasalarial Ef],FALSE)))),
0)</f>
        <v>0</v>
      </c>
      <c r="AR92" s="171">
        <f t="array" ref="AR92">IFERROR(
AVERAGE(IF(DATOS_[Sexo]=$B92,IF(DATOS_[AGRUP. CLAS. PROF.]=$B90,IF(DATOS_[Check Periodo Ref.]="Dentro",DATOS_[TOTAL Retrib Ef],FALSE)))),
0)</f>
        <v>0</v>
      </c>
    </row>
    <row r="93" spans="1:44" s="152" customFormat="1" ht="14.4" thickBot="1" x14ac:dyDescent="0.3">
      <c r="A93" s="135" t="str">
        <f t="shared" ref="A93" si="107">+A94</f>
        <v>[ocultar]</v>
      </c>
      <c r="B93" s="153" t="s">
        <v>280</v>
      </c>
      <c r="C93" s="154"/>
      <c r="D93" s="155"/>
      <c r="E93" s="156" t="str">
        <f t="shared" ref="E93:AR93" si="108">IFERROR((E94-E95)/E94,"")</f>
        <v/>
      </c>
      <c r="F93" s="157" t="str">
        <f t="shared" si="108"/>
        <v/>
      </c>
      <c r="G93" s="158" t="str">
        <f t="shared" si="108"/>
        <v/>
      </c>
      <c r="H93" s="158" t="str">
        <f t="shared" si="108"/>
        <v/>
      </c>
      <c r="I93" s="158" t="str">
        <f t="shared" si="108"/>
        <v/>
      </c>
      <c r="J93" s="159" t="str">
        <f t="shared" si="108"/>
        <v/>
      </c>
      <c r="K93" s="160" t="str">
        <f t="shared" si="108"/>
        <v/>
      </c>
      <c r="L93" s="160" t="str">
        <f t="shared" si="108"/>
        <v/>
      </c>
      <c r="M93" s="160" t="str">
        <f t="shared" si="108"/>
        <v/>
      </c>
      <c r="N93" s="160" t="str">
        <f t="shared" si="108"/>
        <v/>
      </c>
      <c r="O93" s="160" t="str">
        <f t="shared" si="108"/>
        <v/>
      </c>
      <c r="P93" s="160" t="str">
        <f t="shared" si="108"/>
        <v/>
      </c>
      <c r="Q93" s="160" t="str">
        <f t="shared" si="108"/>
        <v/>
      </c>
      <c r="R93" s="160" t="str">
        <f t="shared" si="108"/>
        <v/>
      </c>
      <c r="S93" s="160" t="str">
        <f t="shared" si="108"/>
        <v/>
      </c>
      <c r="T93" s="160" t="str">
        <f t="shared" si="108"/>
        <v/>
      </c>
      <c r="U93" s="160" t="str">
        <f t="shared" si="108"/>
        <v/>
      </c>
      <c r="V93" s="159" t="str">
        <f t="shared" si="108"/>
        <v/>
      </c>
      <c r="W93" s="159" t="str">
        <f t="shared" si="108"/>
        <v/>
      </c>
      <c r="X93" s="159" t="str">
        <f t="shared" si="108"/>
        <v/>
      </c>
      <c r="Y93" s="159" t="str">
        <f t="shared" si="108"/>
        <v/>
      </c>
      <c r="Z93" s="159" t="str">
        <f t="shared" si="108"/>
        <v/>
      </c>
      <c r="AA93" s="159" t="str">
        <f t="shared" si="108"/>
        <v/>
      </c>
      <c r="AB93" s="159" t="str">
        <f t="shared" si="108"/>
        <v/>
      </c>
      <c r="AC93" s="159" t="str">
        <f t="shared" si="108"/>
        <v/>
      </c>
      <c r="AD93" s="159" t="str">
        <f t="shared" si="108"/>
        <v/>
      </c>
      <c r="AE93" s="159" t="str">
        <f t="shared" si="108"/>
        <v/>
      </c>
      <c r="AF93" s="159" t="str">
        <f t="shared" si="108"/>
        <v/>
      </c>
      <c r="AG93" s="159" t="str">
        <f t="shared" si="108"/>
        <v/>
      </c>
      <c r="AH93" s="159" t="str">
        <f t="shared" si="108"/>
        <v/>
      </c>
      <c r="AI93" s="159" t="str">
        <f t="shared" si="108"/>
        <v/>
      </c>
      <c r="AJ93" s="161" t="str">
        <f t="shared" si="108"/>
        <v/>
      </c>
      <c r="AK93" s="162" t="str">
        <f t="shared" si="108"/>
        <v/>
      </c>
      <c r="AL93" s="163" t="str">
        <f t="shared" si="108"/>
        <v/>
      </c>
      <c r="AM93" s="163" t="str">
        <f t="shared" si="108"/>
        <v/>
      </c>
      <c r="AN93" s="163" t="str">
        <f t="shared" si="108"/>
        <v/>
      </c>
      <c r="AO93" s="163" t="str">
        <f t="shared" si="108"/>
        <v/>
      </c>
      <c r="AP93" s="163" t="str">
        <f t="shared" si="108"/>
        <v/>
      </c>
      <c r="AQ93" s="164" t="str">
        <f t="shared" si="108"/>
        <v/>
      </c>
      <c r="AR93" s="161" t="str">
        <f t="shared" si="108"/>
        <v/>
      </c>
    </row>
    <row r="94" spans="1:44" x14ac:dyDescent="0.25">
      <c r="A94" s="135" t="str">
        <f t="shared" ref="A94" si="109">+IF(C94+C95=0,"[ocultar]","")</f>
        <v>[ocultar]</v>
      </c>
      <c r="B94" s="166" t="s">
        <v>394</v>
      </c>
      <c r="C94" s="167">
        <f t="array" ref="C94">SUM(IF($B94=DATOS_[Sexo],
IF($B93=DATOS_[AGRUP. CLAS. PROF.],
IF("Dentro"=DATOS_[Check Periodo Ref.],
1/(COUNTIFS(DATOS_[Sexo],$B94,DATOS_[AGRUP. CLAS. PROF.],$B93,DATOS_[Check Periodo Ref.],"Dentro",DATOS_[id/cod],DATOS_[id/cod]))))))</f>
        <v>0</v>
      </c>
      <c r="D94" s="168">
        <f>COUNTIFS(DATOS_[AGRUP. CLAS. PROF.],$B93,DATOS_[Sexo],$B94,DATOS_[Check Periodo Ref.],"Dentro")</f>
        <v>0</v>
      </c>
      <c r="E94" s="169">
        <f t="array" ref="E94">IFERROR(
AVERAGE(IF(DATOS_[Sexo]=$B94,IF(DATOS_[AGRUP. CLAS. PROF.]=$B93,IF(DATOS_[Check Periodo Ref.]="Dentro",DATOS_[SALARIO BASE Ef],FALSE)))),
0)</f>
        <v>0</v>
      </c>
      <c r="F94" s="170">
        <f t="array" ref="F94">IFERROR(
AVERAGE((IF(DATOS_[[Sexo]:[Sexo]]=$B94,IF(DATOS_[[AGRUP. CLAS. PROF.]:[AGRUP. CLAS. PROF.]]=$B93,IF(DATOS_[[Check Periodo Ref.]:[Check Periodo Ref.]]="Dentro",DATOS_[Conc.Sal.01]))))),
0)</f>
        <v>0</v>
      </c>
      <c r="G94" s="170">
        <f t="array" ref="G94">IFERROR(
AVERAGE((IF(DATOS_[[Sexo]:[Sexo]]=$B94,IF(DATOS_[[AGRUP. CLAS. PROF.]:[AGRUP. CLAS. PROF.]]=$B93,IF(DATOS_[[Check Periodo Ref.]:[Check Periodo Ref.]]="Dentro",DATOS_[Conc.Sal.02]))))),
0)</f>
        <v>0</v>
      </c>
      <c r="H94" s="170">
        <f t="array" ref="H94">IFERROR(
AVERAGE((IF(DATOS_[[Sexo]:[Sexo]]=$B94,IF(DATOS_[[AGRUP. CLAS. PROF.]:[AGRUP. CLAS. PROF.]]=$B93,IF(DATOS_[[Check Periodo Ref.]:[Check Periodo Ref.]]="Dentro",DATOS_[Conc.Sal.03]))))),
0)</f>
        <v>0</v>
      </c>
      <c r="I94" s="170">
        <f t="array" ref="I94">IFERROR(
AVERAGE((IF(DATOS_[[Sexo]:[Sexo]]=$B94,IF(DATOS_[[AGRUP. CLAS. PROF.]:[AGRUP. CLAS. PROF.]]=$B93,IF(DATOS_[[Check Periodo Ref.]:[Check Periodo Ref.]]="Dentro",DATOS_[Conc.Sal.04]))))),
0)</f>
        <v>0</v>
      </c>
      <c r="J94" s="170">
        <f t="array" ref="J94">IFERROR(
AVERAGE((IF(DATOS_[[Sexo]:[Sexo]]=$B94,IF(DATOS_[[AGRUP. CLAS. PROF.]:[AGRUP. CLAS. PROF.]]=$B93,IF(DATOS_[[Check Periodo Ref.]:[Check Periodo Ref.]]="Dentro",DATOS_[Conc.Sal.05]))))),
0)</f>
        <v>0</v>
      </c>
      <c r="K94" s="170">
        <f t="array" ref="K94">IFERROR(
AVERAGE((IF(DATOS_[[Sexo]:[Sexo]]=$B94,IF(DATOS_[[AGRUP. CLAS. PROF.]:[AGRUP. CLAS. PROF.]]=$B93,IF(DATOS_[[Check Periodo Ref.]:[Check Periodo Ref.]]="Dentro",DATOS_[Conc.Sal.06]))))),
0)</f>
        <v>0</v>
      </c>
      <c r="L94" s="170">
        <f t="array" ref="L94">IFERROR(
AVERAGE((IF(DATOS_[[Sexo]:[Sexo]]=$B94,IF(DATOS_[[AGRUP. CLAS. PROF.]:[AGRUP. CLAS. PROF.]]=$B93,IF(DATOS_[[Check Periodo Ref.]:[Check Periodo Ref.]]="Dentro",DATOS_[Conc.Sal.07]))))),
0)</f>
        <v>0</v>
      </c>
      <c r="M94" s="170">
        <f t="array" ref="M94">IFERROR(
AVERAGE((IF(DATOS_[[Sexo]:[Sexo]]=$B94,IF(DATOS_[[AGRUP. CLAS. PROF.]:[AGRUP. CLAS. PROF.]]=$B93,IF(DATOS_[[Check Periodo Ref.]:[Check Periodo Ref.]]="Dentro",DATOS_[Conc.Sal.08]))))),
0)</f>
        <v>0</v>
      </c>
      <c r="N94" s="170">
        <f t="array" ref="N94">IFERROR(
AVERAGE((IF(DATOS_[[Sexo]:[Sexo]]=$B94,IF(DATOS_[[AGRUP. CLAS. PROF.]:[AGRUP. CLAS. PROF.]]=$B93,IF(DATOS_[[Check Periodo Ref.]:[Check Periodo Ref.]]="Dentro",DATOS_[Conc.Sal.09]))))),
0)</f>
        <v>0</v>
      </c>
      <c r="O94" s="170">
        <f t="array" ref="O94">IFERROR(
AVERAGE((IF(DATOS_[[Sexo]:[Sexo]]=$B94,IF(DATOS_[[AGRUP. CLAS. PROF.]:[AGRUP. CLAS. PROF.]]=$B93,IF(DATOS_[[Check Periodo Ref.]:[Check Periodo Ref.]]="Dentro",DATOS_[Conc.Sal.10]))))),
0)</f>
        <v>0</v>
      </c>
      <c r="P94" s="170">
        <f t="array" ref="P94">IFERROR(
AVERAGE((IF(DATOS_[[Sexo]:[Sexo]]=$B94,IF(DATOS_[[AGRUP. CLAS. PROF.]:[AGRUP. CLAS. PROF.]]=$B93,IF(DATOS_[[Check Periodo Ref.]:[Check Periodo Ref.]]="Dentro",DATOS_[Conc.Sal.11]))))),
0)</f>
        <v>0</v>
      </c>
      <c r="Q94" s="170">
        <f t="array" ref="Q94">IFERROR(
AVERAGE((IF(DATOS_[[Sexo]:[Sexo]]=$B94,IF(DATOS_[[AGRUP. CLAS. PROF.]:[AGRUP. CLAS. PROF.]]=$B93,IF(DATOS_[[Check Periodo Ref.]:[Check Periodo Ref.]]="Dentro",DATOS_[Conc.Sal.12]))))),
0)</f>
        <v>0</v>
      </c>
      <c r="R94" s="170">
        <f t="array" ref="R94">IFERROR(
AVERAGE((IF(DATOS_[[Sexo]:[Sexo]]=$B94,IF(DATOS_[[AGRUP. CLAS. PROF.]:[AGRUP. CLAS. PROF.]]=$B93,IF(DATOS_[[Check Periodo Ref.]:[Check Periodo Ref.]]="Dentro",DATOS_[Conc.Sal.13]))))),
0)</f>
        <v>0</v>
      </c>
      <c r="S94" s="170">
        <f t="array" ref="S94">IFERROR(
AVERAGE((IF(DATOS_[[Sexo]:[Sexo]]=$B94,IF(DATOS_[[AGRUP. CLAS. PROF.]:[AGRUP. CLAS. PROF.]]=$B93,IF(DATOS_[[Check Periodo Ref.]:[Check Periodo Ref.]]="Dentro",DATOS_[Conc.Sal.14]))))),
0)</f>
        <v>0</v>
      </c>
      <c r="T94" s="170">
        <f t="array" ref="T94">IFERROR(
AVERAGE((IF(DATOS_[[Sexo]:[Sexo]]=$B94,IF(DATOS_[[AGRUP. CLAS. PROF.]:[AGRUP. CLAS. PROF.]]=$B93,IF(DATOS_[[Check Periodo Ref.]:[Check Periodo Ref.]]="Dentro",DATOS_[Conc.Sal.15]))))),
0)</f>
        <v>0</v>
      </c>
      <c r="U94" s="170">
        <f t="array" ref="U94">IFERROR(
AVERAGE((IF(DATOS_[[Sexo]:[Sexo]]=$B94,IF(DATOS_[[AGRUP. CLAS. PROF.]:[AGRUP. CLAS. PROF.]]=$B93,IF(DATOS_[[Check Periodo Ref.]:[Check Periodo Ref.]]="Dentro",DATOS_[Conc.Sal.16]))))),
0)</f>
        <v>0</v>
      </c>
      <c r="V94" s="170">
        <f t="array" ref="V94">IFERROR(
AVERAGE((IF(DATOS_[[Sexo]:[Sexo]]=$B94,IF(DATOS_[[AGRUP. CLAS. PROF.]:[AGRUP. CLAS. PROF.]]=$B93,IF(DATOS_[[Check Periodo Ref.]:[Check Periodo Ref.]]="Dentro",DATOS_[Conc.Sal.17]))))),
0)</f>
        <v>0</v>
      </c>
      <c r="W94" s="170">
        <f t="array" ref="W94">IFERROR(
AVERAGE((IF(DATOS_[[Sexo]:[Sexo]]=$B94,IF(DATOS_[[AGRUP. CLAS. PROF.]:[AGRUP. CLAS. PROF.]]=$B93,IF(DATOS_[[Check Periodo Ref.]:[Check Periodo Ref.]]="Dentro",DATOS_[Conc.Sal.18]))))),
0)</f>
        <v>0</v>
      </c>
      <c r="X94" s="170">
        <f t="array" ref="X94">IFERROR(
AVERAGE((IF(DATOS_[[Sexo]:[Sexo]]=$B94,IF(DATOS_[[AGRUP. CLAS. PROF.]:[AGRUP. CLAS. PROF.]]=$B93,IF(DATOS_[[Check Periodo Ref.]:[Check Periodo Ref.]]="Dentro",DATOS_[Conc.Sal.19]))))),
0)</f>
        <v>0</v>
      </c>
      <c r="Y94" s="170">
        <f t="array" ref="Y94">IFERROR(
AVERAGE((IF(DATOS_[[Sexo]:[Sexo]]=$B94,IF(DATOS_[[AGRUP. CLAS. PROF.]:[AGRUP. CLAS. PROF.]]=$B93,IF(DATOS_[[Check Periodo Ref.]:[Check Periodo Ref.]]="Dentro",DATOS_[Conc.Sal.20]))))),
0)</f>
        <v>0</v>
      </c>
      <c r="Z94" s="170">
        <f t="array" ref="Z94">IFERROR(
AVERAGE((IF(DATOS_[[Sexo]:[Sexo]]=$B94,IF(DATOS_[[AGRUP. CLAS. PROF.]:[AGRUP. CLAS. PROF.]]=$B93,IF(DATOS_[[Check Periodo Ref.]:[Check Periodo Ref.]]="Dentro",DATOS_[Conc.Sal.21]))))),
0)</f>
        <v>0</v>
      </c>
      <c r="AA94" s="170">
        <f t="array" ref="AA94">IFERROR(
AVERAGE((IF(DATOS_[[Sexo]:[Sexo]]=$B94,IF(DATOS_[[AGRUP. CLAS. PROF.]:[AGRUP. CLAS. PROF.]]=$B93,IF(DATOS_[[Check Periodo Ref.]:[Check Periodo Ref.]]="Dentro",DATOS_[Conc.Sal.22]))))),
0)</f>
        <v>0</v>
      </c>
      <c r="AB94" s="170">
        <f t="array" ref="AB94">IFERROR(
AVERAGE((IF(DATOS_[[Sexo]:[Sexo]]=$B94,IF(DATOS_[[AGRUP. CLAS. PROF.]:[AGRUP. CLAS. PROF.]]=$B93,IF(DATOS_[[Check Periodo Ref.]:[Check Periodo Ref.]]="Dentro",DATOS_[Conc.Sal.23]))))),
0)</f>
        <v>0</v>
      </c>
      <c r="AC94" s="170">
        <f t="array" ref="AC94">IFERROR(
AVERAGE((IF(DATOS_[[Sexo]:[Sexo]]=$B94,IF(DATOS_[[AGRUP. CLAS. PROF.]:[AGRUP. CLAS. PROF.]]=$B93,IF(DATOS_[[Check Periodo Ref.]:[Check Periodo Ref.]]="Dentro",DATOS_[Conc.Sal.24]))))),
0)</f>
        <v>0</v>
      </c>
      <c r="AD94" s="170">
        <f t="array" ref="AD94">IFERROR(
AVERAGE((IF(DATOS_[[Sexo]:[Sexo]]=$B94,IF(DATOS_[[AGRUP. CLAS. PROF.]:[AGRUP. CLAS. PROF.]]=$B93,IF(DATOS_[[Check Periodo Ref.]:[Check Periodo Ref.]]="Dentro",DATOS_[Conc.Sal.25]))))),
0)</f>
        <v>0</v>
      </c>
      <c r="AE94" s="170">
        <f t="array" ref="AE94">IFERROR(
AVERAGE((IF(DATOS_[[Sexo]:[Sexo]]=$B94,IF(DATOS_[[AGRUP. CLAS. PROF.]:[AGRUP. CLAS. PROF.]]=$B93,IF(DATOS_[[Check Periodo Ref.]:[Check Periodo Ref.]]="Dentro",DATOS_[Conc.Sal.26]))))),
0)</f>
        <v>0</v>
      </c>
      <c r="AF94" s="170">
        <f t="array" ref="AF94">IFERROR(
AVERAGE((IF(DATOS_[[Sexo]:[Sexo]]=$B94,IF(DATOS_[[AGRUP. CLAS. PROF.]:[AGRUP. CLAS. PROF.]]=$B93,IF(DATOS_[[Check Periodo Ref.]:[Check Periodo Ref.]]="Dentro",DATOS_[Conc.Sal.27]))))),
0)</f>
        <v>0</v>
      </c>
      <c r="AG94" s="170">
        <f t="array" ref="AG94">IFERROR(
AVERAGE((IF(DATOS_[[Sexo]:[Sexo]]=$B94,IF(DATOS_[[AGRUP. CLAS. PROF.]:[AGRUP. CLAS. PROF.]]=$B93,IF(DATOS_[[Check Periodo Ref.]:[Check Periodo Ref.]]="Dentro",DATOS_[Conc.Sal.28]))))),
0)</f>
        <v>0</v>
      </c>
      <c r="AH94" s="170">
        <f t="array" ref="AH94">IFERROR(
AVERAGE((IF(DATOS_[[Sexo]:[Sexo]]=$B94,IF(DATOS_[[AGRUP. CLAS. PROF.]:[AGRUP. CLAS. PROF.]]=$B93,IF(DATOS_[[Check Periodo Ref.]:[Check Periodo Ref.]]="Dentro",DATOS_[Conc.Sal.29]))))),
0)</f>
        <v>0</v>
      </c>
      <c r="AI94" s="170">
        <f t="array" ref="AI94">IFERROR(
AVERAGE((IF(DATOS_[[Sexo]:[Sexo]]=$B94,IF(DATOS_[[AGRUP. CLAS. PROF.]:[AGRUP. CLAS. PROF.]]=$B93,IF(DATOS_[[Check Periodo Ref.]:[Check Periodo Ref.]]="Dentro",DATOS_[Conc.Sal.30]))))),
0)</f>
        <v>0</v>
      </c>
      <c r="AJ94" s="171">
        <f t="array" ref="AJ94">IFERROR(
AVERAGE(IF(DATOS_[Sexo]=$B94,IF(DATOS_[AGRUP. CLAS. PROF.]=$B93,IF(DATOS_[Check Periodo Ref.]="Dentro",DATOS_[Tot COMPL.SAL Ef],FALSE)))),
0)</f>
        <v>0</v>
      </c>
      <c r="AK94" s="172">
        <f t="array" ref="AK94">IFERROR(
AVERAGE(IF(DATOS_[Sexo]=$B94,IF(DATOS_[AGRUP. CLAS. PROF.]=$B93,IF(DATOS_[Check Periodo Ref.]="Dentro",DATOS_[TOTAL SALARIO Ef],FALSE)))),
0)</f>
        <v>0</v>
      </c>
      <c r="AL94" s="173">
        <f t="array" ref="AL94">IFERROR(
AVERAGE((IF(DATOS_[[Sexo]:[Sexo]]=$B94,IF(DATOS_[[AGRUP. CLAS. PROF.]:[AGRUP. CLAS. PROF.]]=$B93,IF(DATOS_[[Check Periodo Ref.]:[Check Periodo Ref.]]="Dentro",DATOS_[C.Extra.01]))))),
0)</f>
        <v>0</v>
      </c>
      <c r="AM94" s="173">
        <f t="array" ref="AM94">IFERROR(
AVERAGE((IF(DATOS_[[Sexo]:[Sexo]]=$B94,IF(DATOS_[[AGRUP. CLAS. PROF.]:[AGRUP. CLAS. PROF.]]=$B93,IF(DATOS_[[Check Periodo Ref.]:[Check Periodo Ref.]]="Dentro",DATOS_[C.Extra.06]))))),
0)</f>
        <v>0</v>
      </c>
      <c r="AN94" s="173">
        <f t="array" ref="AN94">IFERROR(
AVERAGE((IF(DATOS_[[Sexo]:[Sexo]]=$B94,IF(DATOS_[[AGRUP. CLAS. PROF.]:[AGRUP. CLAS. PROF.]]=$B93,IF(DATOS_[[Check Periodo Ref.]:[Check Periodo Ref.]]="Dentro",DATOS_[C.Extra.07]))))),
0)</f>
        <v>0</v>
      </c>
      <c r="AO94" s="173">
        <f t="array" ref="AO94">IFERROR(
AVERAGE((IF(DATOS_[[Sexo]:[Sexo]]=$B94,IF(DATOS_[[AGRUP. CLAS. PROF.]:[AGRUP. CLAS. PROF.]]=$B93,IF(DATOS_[[Check Periodo Ref.]:[Check Periodo Ref.]]="Dentro",DATOS_[C.Extra.08]))))),
0)</f>
        <v>0</v>
      </c>
      <c r="AP94" s="173">
        <f t="array" ref="AP94">IFERROR(
AVERAGE((IF(DATOS_[[Sexo]:[Sexo]]=$B94,IF(DATOS_[[AGRUP. CLAS. PROF.]:[AGRUP. CLAS. PROF.]]=$B93,IF(DATOS_[[Check Periodo Ref.]:[Check Periodo Ref.]]="Dentro",DATOS_[C.Extra.11]))))),
0)</f>
        <v>0</v>
      </c>
      <c r="AQ94" s="174">
        <f t="array" ref="AQ94">IFERROR(
AVERAGE(IF(DATOS_[Sexo]=$B94,IF(DATOS_[AGRUP. CLAS. PROF.]=$B93,IF(DATOS_[Check Periodo Ref.]="Dentro",DATOS_[Tot Extrasalarial Ef],FALSE)))),
0)</f>
        <v>0</v>
      </c>
      <c r="AR94" s="171">
        <f t="array" ref="AR94">IFERROR(
AVERAGE(IF(DATOS_[Sexo]=$B94,IF(DATOS_[AGRUP. CLAS. PROF.]=$B93,IF(DATOS_[Check Periodo Ref.]="Dentro",DATOS_[TOTAL Retrib Ef],FALSE)))),
0)</f>
        <v>0</v>
      </c>
    </row>
    <row r="95" spans="1:44" x14ac:dyDescent="0.25">
      <c r="A95" s="135" t="str">
        <f t="shared" ref="A95" si="110">+A94</f>
        <v>[ocultar]</v>
      </c>
      <c r="B95" s="166" t="s">
        <v>521</v>
      </c>
      <c r="C95" s="167">
        <f t="array" ref="C95">SUM(IF($B95=DATOS_[Sexo],
IF($B93=DATOS_[AGRUP. CLAS. PROF.],
IF("Dentro"=DATOS_[Check Periodo Ref.],
1/(COUNTIFS(DATOS_[Sexo],$B95,DATOS_[AGRUP. CLAS. PROF.],$B93,DATOS_[Check Periodo Ref.],"Dentro",DATOS_[id/cod],DATOS_[id/cod]))))))</f>
        <v>0</v>
      </c>
      <c r="D95" s="168">
        <f>COUNTIFS(DATOS_[AGRUP. CLAS. PROF.],$B93,DATOS_[Sexo],$B95,DATOS_[Check Periodo Ref.],"Dentro")</f>
        <v>0</v>
      </c>
      <c r="E95" s="169">
        <f t="array" ref="E95">IFERROR(
AVERAGE(IF(DATOS_[Sexo]=$B95,IF(DATOS_[AGRUP. CLAS. PROF.]=$B93,IF(DATOS_[Check Periodo Ref.]="Dentro",DATOS_[SALARIO BASE Ef],FALSE)))),
0)</f>
        <v>0</v>
      </c>
      <c r="F95" s="170">
        <f t="array" ref="F95">IFERROR(
AVERAGE((IF(DATOS_[[Sexo]:[Sexo]]=$B95,IF(DATOS_[[AGRUP. CLAS. PROF.]:[AGRUP. CLAS. PROF.]]=$B93,IF(DATOS_[[Check Periodo Ref.]:[Check Periodo Ref.]]="Dentro",DATOS_[Conc.Sal.01]))))),
0)</f>
        <v>0</v>
      </c>
      <c r="G95" s="170">
        <f t="array" ref="G95">IFERROR(
AVERAGE((IF(DATOS_[[Sexo]:[Sexo]]=$B95,IF(DATOS_[[AGRUP. CLAS. PROF.]:[AGRUP. CLAS. PROF.]]=$B93,IF(DATOS_[[Check Periodo Ref.]:[Check Periodo Ref.]]="Dentro",DATOS_[Conc.Sal.02]))))),
0)</f>
        <v>0</v>
      </c>
      <c r="H95" s="170">
        <f t="array" ref="H95">IFERROR(
AVERAGE((IF(DATOS_[[Sexo]:[Sexo]]=$B95,IF(DATOS_[[AGRUP. CLAS. PROF.]:[AGRUP. CLAS. PROF.]]=$B93,IF(DATOS_[[Check Periodo Ref.]:[Check Periodo Ref.]]="Dentro",DATOS_[Conc.Sal.03]))))),
0)</f>
        <v>0</v>
      </c>
      <c r="I95" s="170">
        <f t="array" ref="I95">IFERROR(
AVERAGE((IF(DATOS_[[Sexo]:[Sexo]]=$B95,IF(DATOS_[[AGRUP. CLAS. PROF.]:[AGRUP. CLAS. PROF.]]=$B93,IF(DATOS_[[Check Periodo Ref.]:[Check Periodo Ref.]]="Dentro",DATOS_[Conc.Sal.04]))))),
0)</f>
        <v>0</v>
      </c>
      <c r="J95" s="170">
        <f t="array" ref="J95">IFERROR(
AVERAGE((IF(DATOS_[[Sexo]:[Sexo]]=$B95,IF(DATOS_[[AGRUP. CLAS. PROF.]:[AGRUP. CLAS. PROF.]]=$B93,IF(DATOS_[[Check Periodo Ref.]:[Check Periodo Ref.]]="Dentro",DATOS_[Conc.Sal.05]))))),
0)</f>
        <v>0</v>
      </c>
      <c r="K95" s="170">
        <f t="array" ref="K95">IFERROR(
AVERAGE((IF(DATOS_[[Sexo]:[Sexo]]=$B95,IF(DATOS_[[AGRUP. CLAS. PROF.]:[AGRUP. CLAS. PROF.]]=$B93,IF(DATOS_[[Check Periodo Ref.]:[Check Periodo Ref.]]="Dentro",DATOS_[Conc.Sal.06]))))),
0)</f>
        <v>0</v>
      </c>
      <c r="L95" s="170">
        <f t="array" ref="L95">IFERROR(
AVERAGE((IF(DATOS_[[Sexo]:[Sexo]]=$B95,IF(DATOS_[[AGRUP. CLAS. PROF.]:[AGRUP. CLAS. PROF.]]=$B93,IF(DATOS_[[Check Periodo Ref.]:[Check Periodo Ref.]]="Dentro",DATOS_[Conc.Sal.07]))))),
0)</f>
        <v>0</v>
      </c>
      <c r="M95" s="170">
        <f t="array" ref="M95">IFERROR(
AVERAGE((IF(DATOS_[[Sexo]:[Sexo]]=$B95,IF(DATOS_[[AGRUP. CLAS. PROF.]:[AGRUP. CLAS. PROF.]]=$B93,IF(DATOS_[[Check Periodo Ref.]:[Check Periodo Ref.]]="Dentro",DATOS_[Conc.Sal.08]))))),
0)</f>
        <v>0</v>
      </c>
      <c r="N95" s="170">
        <f t="array" ref="N95">IFERROR(
AVERAGE((IF(DATOS_[[Sexo]:[Sexo]]=$B95,IF(DATOS_[[AGRUP. CLAS. PROF.]:[AGRUP. CLAS. PROF.]]=$B93,IF(DATOS_[[Check Periodo Ref.]:[Check Periodo Ref.]]="Dentro",DATOS_[Conc.Sal.09]))))),
0)</f>
        <v>0</v>
      </c>
      <c r="O95" s="170">
        <f t="array" ref="O95">IFERROR(
AVERAGE((IF(DATOS_[[Sexo]:[Sexo]]=$B95,IF(DATOS_[[AGRUP. CLAS. PROF.]:[AGRUP. CLAS. PROF.]]=$B93,IF(DATOS_[[Check Periodo Ref.]:[Check Periodo Ref.]]="Dentro",DATOS_[Conc.Sal.10]))))),
0)</f>
        <v>0</v>
      </c>
      <c r="P95" s="170">
        <f t="array" ref="P95">IFERROR(
AVERAGE((IF(DATOS_[[Sexo]:[Sexo]]=$B95,IF(DATOS_[[AGRUP. CLAS. PROF.]:[AGRUP. CLAS. PROF.]]=$B93,IF(DATOS_[[Check Periodo Ref.]:[Check Periodo Ref.]]="Dentro",DATOS_[Conc.Sal.11]))))),
0)</f>
        <v>0</v>
      </c>
      <c r="Q95" s="170">
        <f t="array" ref="Q95">IFERROR(
AVERAGE((IF(DATOS_[[Sexo]:[Sexo]]=$B95,IF(DATOS_[[AGRUP. CLAS. PROF.]:[AGRUP. CLAS. PROF.]]=$B93,IF(DATOS_[[Check Periodo Ref.]:[Check Periodo Ref.]]="Dentro",DATOS_[Conc.Sal.12]))))),
0)</f>
        <v>0</v>
      </c>
      <c r="R95" s="170">
        <f t="array" ref="R95">IFERROR(
AVERAGE((IF(DATOS_[[Sexo]:[Sexo]]=$B95,IF(DATOS_[[AGRUP. CLAS. PROF.]:[AGRUP. CLAS. PROF.]]=$B93,IF(DATOS_[[Check Periodo Ref.]:[Check Periodo Ref.]]="Dentro",DATOS_[Conc.Sal.13]))))),
0)</f>
        <v>0</v>
      </c>
      <c r="S95" s="170">
        <f t="array" ref="S95">IFERROR(
AVERAGE((IF(DATOS_[[Sexo]:[Sexo]]=$B95,IF(DATOS_[[AGRUP. CLAS. PROF.]:[AGRUP. CLAS. PROF.]]=$B93,IF(DATOS_[[Check Periodo Ref.]:[Check Periodo Ref.]]="Dentro",DATOS_[Conc.Sal.14]))))),
0)</f>
        <v>0</v>
      </c>
      <c r="T95" s="170">
        <f t="array" ref="T95">IFERROR(
AVERAGE((IF(DATOS_[[Sexo]:[Sexo]]=$B95,IF(DATOS_[[AGRUP. CLAS. PROF.]:[AGRUP. CLAS. PROF.]]=$B93,IF(DATOS_[[Check Periodo Ref.]:[Check Periodo Ref.]]="Dentro",DATOS_[Conc.Sal.15]))))),
0)</f>
        <v>0</v>
      </c>
      <c r="U95" s="170">
        <f t="array" ref="U95">IFERROR(
AVERAGE((IF(DATOS_[[Sexo]:[Sexo]]=$B95,IF(DATOS_[[AGRUP. CLAS. PROF.]:[AGRUP. CLAS. PROF.]]=$B93,IF(DATOS_[[Check Periodo Ref.]:[Check Periodo Ref.]]="Dentro",DATOS_[Conc.Sal.16]))))),
0)</f>
        <v>0</v>
      </c>
      <c r="V95" s="170">
        <f t="array" ref="V95">IFERROR(
AVERAGE((IF(DATOS_[[Sexo]:[Sexo]]=$B95,IF(DATOS_[[AGRUP. CLAS. PROF.]:[AGRUP. CLAS. PROF.]]=$B93,IF(DATOS_[[Check Periodo Ref.]:[Check Periodo Ref.]]="Dentro",DATOS_[Conc.Sal.17]))))),
0)</f>
        <v>0</v>
      </c>
      <c r="W95" s="170">
        <f t="array" ref="W95">IFERROR(
AVERAGE((IF(DATOS_[[Sexo]:[Sexo]]=$B95,IF(DATOS_[[AGRUP. CLAS. PROF.]:[AGRUP. CLAS. PROF.]]=$B93,IF(DATOS_[[Check Periodo Ref.]:[Check Periodo Ref.]]="Dentro",DATOS_[Conc.Sal.18]))))),
0)</f>
        <v>0</v>
      </c>
      <c r="X95" s="170">
        <f t="array" ref="X95">IFERROR(
AVERAGE((IF(DATOS_[[Sexo]:[Sexo]]=$B95,IF(DATOS_[[AGRUP. CLAS. PROF.]:[AGRUP. CLAS. PROF.]]=$B93,IF(DATOS_[[Check Periodo Ref.]:[Check Periodo Ref.]]="Dentro",DATOS_[Conc.Sal.19]))))),
0)</f>
        <v>0</v>
      </c>
      <c r="Y95" s="170">
        <f t="array" ref="Y95">IFERROR(
AVERAGE((IF(DATOS_[[Sexo]:[Sexo]]=$B95,IF(DATOS_[[AGRUP. CLAS. PROF.]:[AGRUP. CLAS. PROF.]]=$B93,IF(DATOS_[[Check Periodo Ref.]:[Check Periodo Ref.]]="Dentro",DATOS_[Conc.Sal.20]))))),
0)</f>
        <v>0</v>
      </c>
      <c r="Z95" s="170">
        <f t="array" ref="Z95">IFERROR(
AVERAGE((IF(DATOS_[[Sexo]:[Sexo]]=$B95,IF(DATOS_[[AGRUP. CLAS. PROF.]:[AGRUP. CLAS. PROF.]]=$B93,IF(DATOS_[[Check Periodo Ref.]:[Check Periodo Ref.]]="Dentro",DATOS_[Conc.Sal.21]))))),
0)</f>
        <v>0</v>
      </c>
      <c r="AA95" s="170">
        <f t="array" ref="AA95">IFERROR(
AVERAGE((IF(DATOS_[[Sexo]:[Sexo]]=$B95,IF(DATOS_[[AGRUP. CLAS. PROF.]:[AGRUP. CLAS. PROF.]]=$B93,IF(DATOS_[[Check Periodo Ref.]:[Check Periodo Ref.]]="Dentro",DATOS_[Conc.Sal.22]))))),
0)</f>
        <v>0</v>
      </c>
      <c r="AB95" s="170">
        <f t="array" ref="AB95">IFERROR(
AVERAGE((IF(DATOS_[[Sexo]:[Sexo]]=$B95,IF(DATOS_[[AGRUP. CLAS. PROF.]:[AGRUP. CLAS. PROF.]]=$B93,IF(DATOS_[[Check Periodo Ref.]:[Check Periodo Ref.]]="Dentro",DATOS_[Conc.Sal.23]))))),
0)</f>
        <v>0</v>
      </c>
      <c r="AC95" s="170">
        <f t="array" ref="AC95">IFERROR(
AVERAGE((IF(DATOS_[[Sexo]:[Sexo]]=$B95,IF(DATOS_[[AGRUP. CLAS. PROF.]:[AGRUP. CLAS. PROF.]]=$B93,IF(DATOS_[[Check Periodo Ref.]:[Check Periodo Ref.]]="Dentro",DATOS_[Conc.Sal.24]))))),
0)</f>
        <v>0</v>
      </c>
      <c r="AD95" s="170">
        <f t="array" ref="AD95">IFERROR(
AVERAGE((IF(DATOS_[[Sexo]:[Sexo]]=$B95,IF(DATOS_[[AGRUP. CLAS. PROF.]:[AGRUP. CLAS. PROF.]]=$B93,IF(DATOS_[[Check Periodo Ref.]:[Check Periodo Ref.]]="Dentro",DATOS_[Conc.Sal.25]))))),
0)</f>
        <v>0</v>
      </c>
      <c r="AE95" s="170">
        <f t="array" ref="AE95">IFERROR(
AVERAGE((IF(DATOS_[[Sexo]:[Sexo]]=$B95,IF(DATOS_[[AGRUP. CLAS. PROF.]:[AGRUP. CLAS. PROF.]]=$B93,IF(DATOS_[[Check Periodo Ref.]:[Check Periodo Ref.]]="Dentro",DATOS_[Conc.Sal.26]))))),
0)</f>
        <v>0</v>
      </c>
      <c r="AF95" s="170">
        <f t="array" ref="AF95">IFERROR(
AVERAGE((IF(DATOS_[[Sexo]:[Sexo]]=$B95,IF(DATOS_[[AGRUP. CLAS. PROF.]:[AGRUP. CLAS. PROF.]]=$B93,IF(DATOS_[[Check Periodo Ref.]:[Check Periodo Ref.]]="Dentro",DATOS_[Conc.Sal.27]))))),
0)</f>
        <v>0</v>
      </c>
      <c r="AG95" s="170">
        <f t="array" ref="AG95">IFERROR(
AVERAGE((IF(DATOS_[[Sexo]:[Sexo]]=$B95,IF(DATOS_[[AGRUP. CLAS. PROF.]:[AGRUP. CLAS. PROF.]]=$B93,IF(DATOS_[[Check Periodo Ref.]:[Check Periodo Ref.]]="Dentro",DATOS_[Conc.Sal.28]))))),
0)</f>
        <v>0</v>
      </c>
      <c r="AH95" s="170">
        <f t="array" ref="AH95">IFERROR(
AVERAGE((IF(DATOS_[[Sexo]:[Sexo]]=$B95,IF(DATOS_[[AGRUP. CLAS. PROF.]:[AGRUP. CLAS. PROF.]]=$B93,IF(DATOS_[[Check Periodo Ref.]:[Check Periodo Ref.]]="Dentro",DATOS_[Conc.Sal.29]))))),
0)</f>
        <v>0</v>
      </c>
      <c r="AI95" s="170">
        <f t="array" ref="AI95">IFERROR(
AVERAGE((IF(DATOS_[[Sexo]:[Sexo]]=$B95,IF(DATOS_[[AGRUP. CLAS. PROF.]:[AGRUP. CLAS. PROF.]]=$B93,IF(DATOS_[[Check Periodo Ref.]:[Check Periodo Ref.]]="Dentro",DATOS_[Conc.Sal.30]))))),
0)</f>
        <v>0</v>
      </c>
      <c r="AJ95" s="171">
        <f t="array" ref="AJ95">IFERROR(
AVERAGE(IF(DATOS_[Sexo]=$B95,IF(DATOS_[AGRUP. CLAS. PROF.]=$B93,IF(DATOS_[Check Periodo Ref.]="Dentro",DATOS_[Tot COMPL.SAL Ef],FALSE)))),
0)</f>
        <v>0</v>
      </c>
      <c r="AK95" s="172">
        <f t="array" ref="AK95">IFERROR(
AVERAGE(IF(DATOS_[Sexo]=$B95,IF(DATOS_[AGRUP. CLAS. PROF.]=$B93,IF(DATOS_[Check Periodo Ref.]="Dentro",DATOS_[TOTAL SALARIO Ef],FALSE)))),
0)</f>
        <v>0</v>
      </c>
      <c r="AL95" s="173">
        <f t="array" ref="AL95">IFERROR(
AVERAGE((IF(DATOS_[[Sexo]:[Sexo]]=$B95,IF(DATOS_[[AGRUP. CLAS. PROF.]:[AGRUP. CLAS. PROF.]]=$B93,IF(DATOS_[[Check Periodo Ref.]:[Check Periodo Ref.]]="Dentro",DATOS_[C.Extra.01]))))),
0)</f>
        <v>0</v>
      </c>
      <c r="AM95" s="173">
        <f t="array" ref="AM95">IFERROR(
AVERAGE((IF(DATOS_[[Sexo]:[Sexo]]=$B95,IF(DATOS_[[AGRUP. CLAS. PROF.]:[AGRUP. CLAS. PROF.]]=$B93,IF(DATOS_[[Check Periodo Ref.]:[Check Periodo Ref.]]="Dentro",DATOS_[C.Extra.06]))))),
0)</f>
        <v>0</v>
      </c>
      <c r="AN95" s="173">
        <f t="array" ref="AN95">IFERROR(
AVERAGE((IF(DATOS_[[Sexo]:[Sexo]]=$B95,IF(DATOS_[[AGRUP. CLAS. PROF.]:[AGRUP. CLAS. PROF.]]=$B93,IF(DATOS_[[Check Periodo Ref.]:[Check Periodo Ref.]]="Dentro",DATOS_[C.Extra.07]))))),
0)</f>
        <v>0</v>
      </c>
      <c r="AO95" s="173">
        <f t="array" ref="AO95">IFERROR(
AVERAGE((IF(DATOS_[[Sexo]:[Sexo]]=$B95,IF(DATOS_[[AGRUP. CLAS. PROF.]:[AGRUP. CLAS. PROF.]]=$B93,IF(DATOS_[[Check Periodo Ref.]:[Check Periodo Ref.]]="Dentro",DATOS_[C.Extra.08]))))),
0)</f>
        <v>0</v>
      </c>
      <c r="AP95" s="173">
        <f t="array" ref="AP95">IFERROR(
AVERAGE((IF(DATOS_[[Sexo]:[Sexo]]=$B95,IF(DATOS_[[AGRUP. CLAS. PROF.]:[AGRUP. CLAS. PROF.]]=$B93,IF(DATOS_[[Check Periodo Ref.]:[Check Periodo Ref.]]="Dentro",DATOS_[C.Extra.11]))))),
0)</f>
        <v>0</v>
      </c>
      <c r="AQ95" s="174">
        <f t="array" ref="AQ95">IFERROR(
AVERAGE(IF(DATOS_[Sexo]=$B95,IF(DATOS_[AGRUP. CLAS. PROF.]=$B93,IF(DATOS_[Check Periodo Ref.]="Dentro",DATOS_[Tot Extrasalarial Ef],FALSE)))),
0)</f>
        <v>0</v>
      </c>
      <c r="AR95" s="171">
        <f t="array" ref="AR95">IFERROR(
AVERAGE(IF(DATOS_[Sexo]=$B95,IF(DATOS_[AGRUP. CLAS. PROF.]=$B93,IF(DATOS_[Check Periodo Ref.]="Dentro",DATOS_[TOTAL Retrib Ef],FALSE)))),
0)</f>
        <v>0</v>
      </c>
    </row>
    <row r="96" spans="1:44" s="152" customFormat="1" ht="14.4" thickBot="1" x14ac:dyDescent="0.3">
      <c r="A96" s="135" t="str">
        <f t="shared" ref="A96" si="111">+A97</f>
        <v>[ocultar]</v>
      </c>
      <c r="B96" s="153" t="s">
        <v>283</v>
      </c>
      <c r="C96" s="154"/>
      <c r="D96" s="155"/>
      <c r="E96" s="156" t="str">
        <f t="shared" ref="E96:AR96" si="112">IFERROR((E97-E98)/E97,"")</f>
        <v/>
      </c>
      <c r="F96" s="157" t="str">
        <f t="shared" si="112"/>
        <v/>
      </c>
      <c r="G96" s="158" t="str">
        <f t="shared" si="112"/>
        <v/>
      </c>
      <c r="H96" s="158" t="str">
        <f t="shared" si="112"/>
        <v/>
      </c>
      <c r="I96" s="158" t="str">
        <f t="shared" si="112"/>
        <v/>
      </c>
      <c r="J96" s="159" t="str">
        <f t="shared" si="112"/>
        <v/>
      </c>
      <c r="K96" s="160" t="str">
        <f t="shared" si="112"/>
        <v/>
      </c>
      <c r="L96" s="160" t="str">
        <f t="shared" si="112"/>
        <v/>
      </c>
      <c r="M96" s="160" t="str">
        <f t="shared" si="112"/>
        <v/>
      </c>
      <c r="N96" s="160" t="str">
        <f t="shared" si="112"/>
        <v/>
      </c>
      <c r="O96" s="160" t="str">
        <f t="shared" si="112"/>
        <v/>
      </c>
      <c r="P96" s="160" t="str">
        <f t="shared" si="112"/>
        <v/>
      </c>
      <c r="Q96" s="160" t="str">
        <f t="shared" si="112"/>
        <v/>
      </c>
      <c r="R96" s="160" t="str">
        <f t="shared" si="112"/>
        <v/>
      </c>
      <c r="S96" s="160" t="str">
        <f t="shared" si="112"/>
        <v/>
      </c>
      <c r="T96" s="160" t="str">
        <f t="shared" si="112"/>
        <v/>
      </c>
      <c r="U96" s="160" t="str">
        <f t="shared" si="112"/>
        <v/>
      </c>
      <c r="V96" s="159" t="str">
        <f t="shared" si="112"/>
        <v/>
      </c>
      <c r="W96" s="159" t="str">
        <f t="shared" si="112"/>
        <v/>
      </c>
      <c r="X96" s="159" t="str">
        <f t="shared" si="112"/>
        <v/>
      </c>
      <c r="Y96" s="159" t="str">
        <f t="shared" si="112"/>
        <v/>
      </c>
      <c r="Z96" s="159" t="str">
        <f t="shared" si="112"/>
        <v/>
      </c>
      <c r="AA96" s="159" t="str">
        <f t="shared" si="112"/>
        <v/>
      </c>
      <c r="AB96" s="159" t="str">
        <f t="shared" si="112"/>
        <v/>
      </c>
      <c r="AC96" s="159" t="str">
        <f t="shared" si="112"/>
        <v/>
      </c>
      <c r="AD96" s="159" t="str">
        <f t="shared" si="112"/>
        <v/>
      </c>
      <c r="AE96" s="159" t="str">
        <f t="shared" si="112"/>
        <v/>
      </c>
      <c r="AF96" s="159" t="str">
        <f t="shared" si="112"/>
        <v/>
      </c>
      <c r="AG96" s="159" t="str">
        <f t="shared" si="112"/>
        <v/>
      </c>
      <c r="AH96" s="159" t="str">
        <f t="shared" si="112"/>
        <v/>
      </c>
      <c r="AI96" s="159" t="str">
        <f t="shared" si="112"/>
        <v/>
      </c>
      <c r="AJ96" s="161" t="str">
        <f t="shared" si="112"/>
        <v/>
      </c>
      <c r="AK96" s="162" t="str">
        <f t="shared" si="112"/>
        <v/>
      </c>
      <c r="AL96" s="163" t="str">
        <f t="shared" si="112"/>
        <v/>
      </c>
      <c r="AM96" s="163" t="str">
        <f t="shared" si="112"/>
        <v/>
      </c>
      <c r="AN96" s="163" t="str">
        <f t="shared" si="112"/>
        <v/>
      </c>
      <c r="AO96" s="163" t="str">
        <f t="shared" si="112"/>
        <v/>
      </c>
      <c r="AP96" s="163" t="str">
        <f t="shared" si="112"/>
        <v/>
      </c>
      <c r="AQ96" s="164" t="str">
        <f t="shared" si="112"/>
        <v/>
      </c>
      <c r="AR96" s="161" t="str">
        <f t="shared" si="112"/>
        <v/>
      </c>
    </row>
    <row r="97" spans="1:44" x14ac:dyDescent="0.25">
      <c r="A97" s="135" t="str">
        <f t="shared" ref="A97" si="113">+IF(C97+C98=0,"[ocultar]","")</f>
        <v>[ocultar]</v>
      </c>
      <c r="B97" s="166" t="s">
        <v>394</v>
      </c>
      <c r="C97" s="167">
        <f t="array" ref="C97">SUM(IF($B97=DATOS_[Sexo],
IF($B96=DATOS_[AGRUP. CLAS. PROF.],
IF("Dentro"=DATOS_[Check Periodo Ref.],
1/(COUNTIFS(DATOS_[Sexo],$B97,DATOS_[AGRUP. CLAS. PROF.],$B96,DATOS_[Check Periodo Ref.],"Dentro",DATOS_[id/cod],DATOS_[id/cod]))))))</f>
        <v>0</v>
      </c>
      <c r="D97" s="168">
        <f>COUNTIFS(DATOS_[AGRUP. CLAS. PROF.],$B96,DATOS_[Sexo],$B97,DATOS_[Check Periodo Ref.],"Dentro")</f>
        <v>0</v>
      </c>
      <c r="E97" s="169">
        <f t="array" ref="E97">IFERROR(
AVERAGE(IF(DATOS_[Sexo]=$B97,IF(DATOS_[AGRUP. CLAS. PROF.]=$B96,IF(DATOS_[Check Periodo Ref.]="Dentro",DATOS_[SALARIO BASE Ef],FALSE)))),
0)</f>
        <v>0</v>
      </c>
      <c r="F97" s="170">
        <f t="array" ref="F97">IFERROR(
AVERAGE((IF(DATOS_[[Sexo]:[Sexo]]=$B97,IF(DATOS_[[AGRUP. CLAS. PROF.]:[AGRUP. CLAS. PROF.]]=$B96,IF(DATOS_[[Check Periodo Ref.]:[Check Periodo Ref.]]="Dentro",DATOS_[Conc.Sal.01]))))),
0)</f>
        <v>0</v>
      </c>
      <c r="G97" s="170">
        <f t="array" ref="G97">IFERROR(
AVERAGE((IF(DATOS_[[Sexo]:[Sexo]]=$B97,IF(DATOS_[[AGRUP. CLAS. PROF.]:[AGRUP. CLAS. PROF.]]=$B96,IF(DATOS_[[Check Periodo Ref.]:[Check Periodo Ref.]]="Dentro",DATOS_[Conc.Sal.02]))))),
0)</f>
        <v>0</v>
      </c>
      <c r="H97" s="170">
        <f t="array" ref="H97">IFERROR(
AVERAGE((IF(DATOS_[[Sexo]:[Sexo]]=$B97,IF(DATOS_[[AGRUP. CLAS. PROF.]:[AGRUP. CLAS. PROF.]]=$B96,IF(DATOS_[[Check Periodo Ref.]:[Check Periodo Ref.]]="Dentro",DATOS_[Conc.Sal.03]))))),
0)</f>
        <v>0</v>
      </c>
      <c r="I97" s="170">
        <f t="array" ref="I97">IFERROR(
AVERAGE((IF(DATOS_[[Sexo]:[Sexo]]=$B97,IF(DATOS_[[AGRUP. CLAS. PROF.]:[AGRUP. CLAS. PROF.]]=$B96,IF(DATOS_[[Check Periodo Ref.]:[Check Periodo Ref.]]="Dentro",DATOS_[Conc.Sal.04]))))),
0)</f>
        <v>0</v>
      </c>
      <c r="J97" s="170">
        <f t="array" ref="J97">IFERROR(
AVERAGE((IF(DATOS_[[Sexo]:[Sexo]]=$B97,IF(DATOS_[[AGRUP. CLAS. PROF.]:[AGRUP. CLAS. PROF.]]=$B96,IF(DATOS_[[Check Periodo Ref.]:[Check Periodo Ref.]]="Dentro",DATOS_[Conc.Sal.05]))))),
0)</f>
        <v>0</v>
      </c>
      <c r="K97" s="170">
        <f t="array" ref="K97">IFERROR(
AVERAGE((IF(DATOS_[[Sexo]:[Sexo]]=$B97,IF(DATOS_[[AGRUP. CLAS. PROF.]:[AGRUP. CLAS. PROF.]]=$B96,IF(DATOS_[[Check Periodo Ref.]:[Check Periodo Ref.]]="Dentro",DATOS_[Conc.Sal.06]))))),
0)</f>
        <v>0</v>
      </c>
      <c r="L97" s="170">
        <f t="array" ref="L97">IFERROR(
AVERAGE((IF(DATOS_[[Sexo]:[Sexo]]=$B97,IF(DATOS_[[AGRUP. CLAS. PROF.]:[AGRUP. CLAS. PROF.]]=$B96,IF(DATOS_[[Check Periodo Ref.]:[Check Periodo Ref.]]="Dentro",DATOS_[Conc.Sal.07]))))),
0)</f>
        <v>0</v>
      </c>
      <c r="M97" s="170">
        <f t="array" ref="M97">IFERROR(
AVERAGE((IF(DATOS_[[Sexo]:[Sexo]]=$B97,IF(DATOS_[[AGRUP. CLAS. PROF.]:[AGRUP. CLAS. PROF.]]=$B96,IF(DATOS_[[Check Periodo Ref.]:[Check Periodo Ref.]]="Dentro",DATOS_[Conc.Sal.08]))))),
0)</f>
        <v>0</v>
      </c>
      <c r="N97" s="170">
        <f t="array" ref="N97">IFERROR(
AVERAGE((IF(DATOS_[[Sexo]:[Sexo]]=$B97,IF(DATOS_[[AGRUP. CLAS. PROF.]:[AGRUP. CLAS. PROF.]]=$B96,IF(DATOS_[[Check Periodo Ref.]:[Check Periodo Ref.]]="Dentro",DATOS_[Conc.Sal.09]))))),
0)</f>
        <v>0</v>
      </c>
      <c r="O97" s="170">
        <f t="array" ref="O97">IFERROR(
AVERAGE((IF(DATOS_[[Sexo]:[Sexo]]=$B97,IF(DATOS_[[AGRUP. CLAS. PROF.]:[AGRUP. CLAS. PROF.]]=$B96,IF(DATOS_[[Check Periodo Ref.]:[Check Periodo Ref.]]="Dentro",DATOS_[Conc.Sal.10]))))),
0)</f>
        <v>0</v>
      </c>
      <c r="P97" s="170">
        <f t="array" ref="P97">IFERROR(
AVERAGE((IF(DATOS_[[Sexo]:[Sexo]]=$B97,IF(DATOS_[[AGRUP. CLAS. PROF.]:[AGRUP. CLAS. PROF.]]=$B96,IF(DATOS_[[Check Periodo Ref.]:[Check Periodo Ref.]]="Dentro",DATOS_[Conc.Sal.11]))))),
0)</f>
        <v>0</v>
      </c>
      <c r="Q97" s="170">
        <f t="array" ref="Q97">IFERROR(
AVERAGE((IF(DATOS_[[Sexo]:[Sexo]]=$B97,IF(DATOS_[[AGRUP. CLAS. PROF.]:[AGRUP. CLAS. PROF.]]=$B96,IF(DATOS_[[Check Periodo Ref.]:[Check Periodo Ref.]]="Dentro",DATOS_[Conc.Sal.12]))))),
0)</f>
        <v>0</v>
      </c>
      <c r="R97" s="170">
        <f t="array" ref="R97">IFERROR(
AVERAGE((IF(DATOS_[[Sexo]:[Sexo]]=$B97,IF(DATOS_[[AGRUP. CLAS. PROF.]:[AGRUP. CLAS. PROF.]]=$B96,IF(DATOS_[[Check Periodo Ref.]:[Check Periodo Ref.]]="Dentro",DATOS_[Conc.Sal.13]))))),
0)</f>
        <v>0</v>
      </c>
      <c r="S97" s="170">
        <f t="array" ref="S97">IFERROR(
AVERAGE((IF(DATOS_[[Sexo]:[Sexo]]=$B97,IF(DATOS_[[AGRUP. CLAS. PROF.]:[AGRUP. CLAS. PROF.]]=$B96,IF(DATOS_[[Check Periodo Ref.]:[Check Periodo Ref.]]="Dentro",DATOS_[Conc.Sal.14]))))),
0)</f>
        <v>0</v>
      </c>
      <c r="T97" s="170">
        <f t="array" ref="T97">IFERROR(
AVERAGE((IF(DATOS_[[Sexo]:[Sexo]]=$B97,IF(DATOS_[[AGRUP. CLAS. PROF.]:[AGRUP. CLAS. PROF.]]=$B96,IF(DATOS_[[Check Periodo Ref.]:[Check Periodo Ref.]]="Dentro",DATOS_[Conc.Sal.15]))))),
0)</f>
        <v>0</v>
      </c>
      <c r="U97" s="170">
        <f t="array" ref="U97">IFERROR(
AVERAGE((IF(DATOS_[[Sexo]:[Sexo]]=$B97,IF(DATOS_[[AGRUP. CLAS. PROF.]:[AGRUP. CLAS. PROF.]]=$B96,IF(DATOS_[[Check Periodo Ref.]:[Check Periodo Ref.]]="Dentro",DATOS_[Conc.Sal.16]))))),
0)</f>
        <v>0</v>
      </c>
      <c r="V97" s="170">
        <f t="array" ref="V97">IFERROR(
AVERAGE((IF(DATOS_[[Sexo]:[Sexo]]=$B97,IF(DATOS_[[AGRUP. CLAS. PROF.]:[AGRUP. CLAS. PROF.]]=$B96,IF(DATOS_[[Check Periodo Ref.]:[Check Periodo Ref.]]="Dentro",DATOS_[Conc.Sal.17]))))),
0)</f>
        <v>0</v>
      </c>
      <c r="W97" s="170">
        <f t="array" ref="W97">IFERROR(
AVERAGE((IF(DATOS_[[Sexo]:[Sexo]]=$B97,IF(DATOS_[[AGRUP. CLAS. PROF.]:[AGRUP. CLAS. PROF.]]=$B96,IF(DATOS_[[Check Periodo Ref.]:[Check Periodo Ref.]]="Dentro",DATOS_[Conc.Sal.18]))))),
0)</f>
        <v>0</v>
      </c>
      <c r="X97" s="170">
        <f t="array" ref="X97">IFERROR(
AVERAGE((IF(DATOS_[[Sexo]:[Sexo]]=$B97,IF(DATOS_[[AGRUP. CLAS. PROF.]:[AGRUP. CLAS. PROF.]]=$B96,IF(DATOS_[[Check Periodo Ref.]:[Check Periodo Ref.]]="Dentro",DATOS_[Conc.Sal.19]))))),
0)</f>
        <v>0</v>
      </c>
      <c r="Y97" s="170">
        <f t="array" ref="Y97">IFERROR(
AVERAGE((IF(DATOS_[[Sexo]:[Sexo]]=$B97,IF(DATOS_[[AGRUP. CLAS. PROF.]:[AGRUP. CLAS. PROF.]]=$B96,IF(DATOS_[[Check Periodo Ref.]:[Check Periodo Ref.]]="Dentro",DATOS_[Conc.Sal.20]))))),
0)</f>
        <v>0</v>
      </c>
      <c r="Z97" s="170">
        <f t="array" ref="Z97">IFERROR(
AVERAGE((IF(DATOS_[[Sexo]:[Sexo]]=$B97,IF(DATOS_[[AGRUP. CLAS. PROF.]:[AGRUP. CLAS. PROF.]]=$B96,IF(DATOS_[[Check Periodo Ref.]:[Check Periodo Ref.]]="Dentro",DATOS_[Conc.Sal.21]))))),
0)</f>
        <v>0</v>
      </c>
      <c r="AA97" s="170">
        <f t="array" ref="AA97">IFERROR(
AVERAGE((IF(DATOS_[[Sexo]:[Sexo]]=$B97,IF(DATOS_[[AGRUP. CLAS. PROF.]:[AGRUP. CLAS. PROF.]]=$B96,IF(DATOS_[[Check Periodo Ref.]:[Check Periodo Ref.]]="Dentro",DATOS_[Conc.Sal.22]))))),
0)</f>
        <v>0</v>
      </c>
      <c r="AB97" s="170">
        <f t="array" ref="AB97">IFERROR(
AVERAGE((IF(DATOS_[[Sexo]:[Sexo]]=$B97,IF(DATOS_[[AGRUP. CLAS. PROF.]:[AGRUP. CLAS. PROF.]]=$B96,IF(DATOS_[[Check Periodo Ref.]:[Check Periodo Ref.]]="Dentro",DATOS_[Conc.Sal.23]))))),
0)</f>
        <v>0</v>
      </c>
      <c r="AC97" s="170">
        <f t="array" ref="AC97">IFERROR(
AVERAGE((IF(DATOS_[[Sexo]:[Sexo]]=$B97,IF(DATOS_[[AGRUP. CLAS. PROF.]:[AGRUP. CLAS. PROF.]]=$B96,IF(DATOS_[[Check Periodo Ref.]:[Check Periodo Ref.]]="Dentro",DATOS_[Conc.Sal.24]))))),
0)</f>
        <v>0</v>
      </c>
      <c r="AD97" s="170">
        <f t="array" ref="AD97">IFERROR(
AVERAGE((IF(DATOS_[[Sexo]:[Sexo]]=$B97,IF(DATOS_[[AGRUP. CLAS. PROF.]:[AGRUP. CLAS. PROF.]]=$B96,IF(DATOS_[[Check Periodo Ref.]:[Check Periodo Ref.]]="Dentro",DATOS_[Conc.Sal.25]))))),
0)</f>
        <v>0</v>
      </c>
      <c r="AE97" s="170">
        <f t="array" ref="AE97">IFERROR(
AVERAGE((IF(DATOS_[[Sexo]:[Sexo]]=$B97,IF(DATOS_[[AGRUP. CLAS. PROF.]:[AGRUP. CLAS. PROF.]]=$B96,IF(DATOS_[[Check Periodo Ref.]:[Check Periodo Ref.]]="Dentro",DATOS_[Conc.Sal.26]))))),
0)</f>
        <v>0</v>
      </c>
      <c r="AF97" s="170">
        <f t="array" ref="AF97">IFERROR(
AVERAGE((IF(DATOS_[[Sexo]:[Sexo]]=$B97,IF(DATOS_[[AGRUP. CLAS. PROF.]:[AGRUP. CLAS. PROF.]]=$B96,IF(DATOS_[[Check Periodo Ref.]:[Check Periodo Ref.]]="Dentro",DATOS_[Conc.Sal.27]))))),
0)</f>
        <v>0</v>
      </c>
      <c r="AG97" s="170">
        <f t="array" ref="AG97">IFERROR(
AVERAGE((IF(DATOS_[[Sexo]:[Sexo]]=$B97,IF(DATOS_[[AGRUP. CLAS. PROF.]:[AGRUP. CLAS. PROF.]]=$B96,IF(DATOS_[[Check Periodo Ref.]:[Check Periodo Ref.]]="Dentro",DATOS_[Conc.Sal.28]))))),
0)</f>
        <v>0</v>
      </c>
      <c r="AH97" s="170">
        <f t="array" ref="AH97">IFERROR(
AVERAGE((IF(DATOS_[[Sexo]:[Sexo]]=$B97,IF(DATOS_[[AGRUP. CLAS. PROF.]:[AGRUP. CLAS. PROF.]]=$B96,IF(DATOS_[[Check Periodo Ref.]:[Check Periodo Ref.]]="Dentro",DATOS_[Conc.Sal.29]))))),
0)</f>
        <v>0</v>
      </c>
      <c r="AI97" s="170">
        <f t="array" ref="AI97">IFERROR(
AVERAGE((IF(DATOS_[[Sexo]:[Sexo]]=$B97,IF(DATOS_[[AGRUP. CLAS. PROF.]:[AGRUP. CLAS. PROF.]]=$B96,IF(DATOS_[[Check Periodo Ref.]:[Check Periodo Ref.]]="Dentro",DATOS_[Conc.Sal.30]))))),
0)</f>
        <v>0</v>
      </c>
      <c r="AJ97" s="171">
        <f t="array" ref="AJ97">IFERROR(
AVERAGE(IF(DATOS_[Sexo]=$B97,IF(DATOS_[AGRUP. CLAS. PROF.]=$B96,IF(DATOS_[Check Periodo Ref.]="Dentro",DATOS_[Tot COMPL.SAL Ef],FALSE)))),
0)</f>
        <v>0</v>
      </c>
      <c r="AK97" s="172">
        <f t="array" ref="AK97">IFERROR(
AVERAGE(IF(DATOS_[Sexo]=$B97,IF(DATOS_[AGRUP. CLAS. PROF.]=$B96,IF(DATOS_[Check Periodo Ref.]="Dentro",DATOS_[TOTAL SALARIO Ef],FALSE)))),
0)</f>
        <v>0</v>
      </c>
      <c r="AL97" s="173">
        <f t="array" ref="AL97">IFERROR(
AVERAGE((IF(DATOS_[[Sexo]:[Sexo]]=$B97,IF(DATOS_[[AGRUP. CLAS. PROF.]:[AGRUP. CLAS. PROF.]]=$B96,IF(DATOS_[[Check Periodo Ref.]:[Check Periodo Ref.]]="Dentro",DATOS_[C.Extra.01]))))),
0)</f>
        <v>0</v>
      </c>
      <c r="AM97" s="173">
        <f t="array" ref="AM97">IFERROR(
AVERAGE((IF(DATOS_[[Sexo]:[Sexo]]=$B97,IF(DATOS_[[AGRUP. CLAS. PROF.]:[AGRUP. CLAS. PROF.]]=$B96,IF(DATOS_[[Check Periodo Ref.]:[Check Periodo Ref.]]="Dentro",DATOS_[C.Extra.06]))))),
0)</f>
        <v>0</v>
      </c>
      <c r="AN97" s="173">
        <f t="array" ref="AN97">IFERROR(
AVERAGE((IF(DATOS_[[Sexo]:[Sexo]]=$B97,IF(DATOS_[[AGRUP. CLAS. PROF.]:[AGRUP. CLAS. PROF.]]=$B96,IF(DATOS_[[Check Periodo Ref.]:[Check Periodo Ref.]]="Dentro",DATOS_[C.Extra.07]))))),
0)</f>
        <v>0</v>
      </c>
      <c r="AO97" s="173">
        <f t="array" ref="AO97">IFERROR(
AVERAGE((IF(DATOS_[[Sexo]:[Sexo]]=$B97,IF(DATOS_[[AGRUP. CLAS. PROF.]:[AGRUP. CLAS. PROF.]]=$B96,IF(DATOS_[[Check Periodo Ref.]:[Check Periodo Ref.]]="Dentro",DATOS_[C.Extra.08]))))),
0)</f>
        <v>0</v>
      </c>
      <c r="AP97" s="173">
        <f t="array" ref="AP97">IFERROR(
AVERAGE((IF(DATOS_[[Sexo]:[Sexo]]=$B97,IF(DATOS_[[AGRUP. CLAS. PROF.]:[AGRUP. CLAS. PROF.]]=$B96,IF(DATOS_[[Check Periodo Ref.]:[Check Periodo Ref.]]="Dentro",DATOS_[C.Extra.11]))))),
0)</f>
        <v>0</v>
      </c>
      <c r="AQ97" s="174">
        <f t="array" ref="AQ97">IFERROR(
AVERAGE(IF(DATOS_[Sexo]=$B97,IF(DATOS_[AGRUP. CLAS. PROF.]=$B96,IF(DATOS_[Check Periodo Ref.]="Dentro",DATOS_[Tot Extrasalarial Ef],FALSE)))),
0)</f>
        <v>0</v>
      </c>
      <c r="AR97" s="171">
        <f t="array" ref="AR97">IFERROR(
AVERAGE(IF(DATOS_[Sexo]=$B97,IF(DATOS_[AGRUP. CLAS. PROF.]=$B96,IF(DATOS_[Check Periodo Ref.]="Dentro",DATOS_[TOTAL Retrib Ef],FALSE)))),
0)</f>
        <v>0</v>
      </c>
    </row>
    <row r="98" spans="1:44" x14ac:dyDescent="0.25">
      <c r="A98" s="135" t="str">
        <f t="shared" ref="A98" si="114">+A97</f>
        <v>[ocultar]</v>
      </c>
      <c r="B98" s="166" t="s">
        <v>521</v>
      </c>
      <c r="C98" s="167">
        <f t="array" ref="C98">SUM(IF($B98=DATOS_[Sexo],
IF($B96=DATOS_[AGRUP. CLAS. PROF.],
IF("Dentro"=DATOS_[Check Periodo Ref.],
1/(COUNTIFS(DATOS_[Sexo],$B98,DATOS_[AGRUP. CLAS. PROF.],$B96,DATOS_[Check Periodo Ref.],"Dentro",DATOS_[id/cod],DATOS_[id/cod]))))))</f>
        <v>0</v>
      </c>
      <c r="D98" s="168">
        <f>COUNTIFS(DATOS_[AGRUP. CLAS. PROF.],$B96,DATOS_[Sexo],$B98,DATOS_[Check Periodo Ref.],"Dentro")</f>
        <v>0</v>
      </c>
      <c r="E98" s="169">
        <f t="array" ref="E98">IFERROR(
AVERAGE(IF(DATOS_[Sexo]=$B98,IF(DATOS_[AGRUP. CLAS. PROF.]=$B96,IF(DATOS_[Check Periodo Ref.]="Dentro",DATOS_[SALARIO BASE Ef],FALSE)))),
0)</f>
        <v>0</v>
      </c>
      <c r="F98" s="170">
        <f t="array" ref="F98">IFERROR(
AVERAGE((IF(DATOS_[[Sexo]:[Sexo]]=$B98,IF(DATOS_[[AGRUP. CLAS. PROF.]:[AGRUP. CLAS. PROF.]]=$B96,IF(DATOS_[[Check Periodo Ref.]:[Check Periodo Ref.]]="Dentro",DATOS_[Conc.Sal.01]))))),
0)</f>
        <v>0</v>
      </c>
      <c r="G98" s="170">
        <f t="array" ref="G98">IFERROR(
AVERAGE((IF(DATOS_[[Sexo]:[Sexo]]=$B98,IF(DATOS_[[AGRUP. CLAS. PROF.]:[AGRUP. CLAS. PROF.]]=$B96,IF(DATOS_[[Check Periodo Ref.]:[Check Periodo Ref.]]="Dentro",DATOS_[Conc.Sal.02]))))),
0)</f>
        <v>0</v>
      </c>
      <c r="H98" s="170">
        <f t="array" ref="H98">IFERROR(
AVERAGE((IF(DATOS_[[Sexo]:[Sexo]]=$B98,IF(DATOS_[[AGRUP. CLAS. PROF.]:[AGRUP. CLAS. PROF.]]=$B96,IF(DATOS_[[Check Periodo Ref.]:[Check Periodo Ref.]]="Dentro",DATOS_[Conc.Sal.03]))))),
0)</f>
        <v>0</v>
      </c>
      <c r="I98" s="170">
        <f t="array" ref="I98">IFERROR(
AVERAGE((IF(DATOS_[[Sexo]:[Sexo]]=$B98,IF(DATOS_[[AGRUP. CLAS. PROF.]:[AGRUP. CLAS. PROF.]]=$B96,IF(DATOS_[[Check Periodo Ref.]:[Check Periodo Ref.]]="Dentro",DATOS_[Conc.Sal.04]))))),
0)</f>
        <v>0</v>
      </c>
      <c r="J98" s="170">
        <f t="array" ref="J98">IFERROR(
AVERAGE((IF(DATOS_[[Sexo]:[Sexo]]=$B98,IF(DATOS_[[AGRUP. CLAS. PROF.]:[AGRUP. CLAS. PROF.]]=$B96,IF(DATOS_[[Check Periodo Ref.]:[Check Periodo Ref.]]="Dentro",DATOS_[Conc.Sal.05]))))),
0)</f>
        <v>0</v>
      </c>
      <c r="K98" s="170">
        <f t="array" ref="K98">IFERROR(
AVERAGE((IF(DATOS_[[Sexo]:[Sexo]]=$B98,IF(DATOS_[[AGRUP. CLAS. PROF.]:[AGRUP. CLAS. PROF.]]=$B96,IF(DATOS_[[Check Periodo Ref.]:[Check Periodo Ref.]]="Dentro",DATOS_[Conc.Sal.06]))))),
0)</f>
        <v>0</v>
      </c>
      <c r="L98" s="170">
        <f t="array" ref="L98">IFERROR(
AVERAGE((IF(DATOS_[[Sexo]:[Sexo]]=$B98,IF(DATOS_[[AGRUP. CLAS. PROF.]:[AGRUP. CLAS. PROF.]]=$B96,IF(DATOS_[[Check Periodo Ref.]:[Check Periodo Ref.]]="Dentro",DATOS_[Conc.Sal.07]))))),
0)</f>
        <v>0</v>
      </c>
      <c r="M98" s="170">
        <f t="array" ref="M98">IFERROR(
AVERAGE((IF(DATOS_[[Sexo]:[Sexo]]=$B98,IF(DATOS_[[AGRUP. CLAS. PROF.]:[AGRUP. CLAS. PROF.]]=$B96,IF(DATOS_[[Check Periodo Ref.]:[Check Periodo Ref.]]="Dentro",DATOS_[Conc.Sal.08]))))),
0)</f>
        <v>0</v>
      </c>
      <c r="N98" s="170">
        <f t="array" ref="N98">IFERROR(
AVERAGE((IF(DATOS_[[Sexo]:[Sexo]]=$B98,IF(DATOS_[[AGRUP. CLAS. PROF.]:[AGRUP. CLAS. PROF.]]=$B96,IF(DATOS_[[Check Periodo Ref.]:[Check Periodo Ref.]]="Dentro",DATOS_[Conc.Sal.09]))))),
0)</f>
        <v>0</v>
      </c>
      <c r="O98" s="170">
        <f t="array" ref="O98">IFERROR(
AVERAGE((IF(DATOS_[[Sexo]:[Sexo]]=$B98,IF(DATOS_[[AGRUP. CLAS. PROF.]:[AGRUP. CLAS. PROF.]]=$B96,IF(DATOS_[[Check Periodo Ref.]:[Check Periodo Ref.]]="Dentro",DATOS_[Conc.Sal.10]))))),
0)</f>
        <v>0</v>
      </c>
      <c r="P98" s="170">
        <f t="array" ref="P98">IFERROR(
AVERAGE((IF(DATOS_[[Sexo]:[Sexo]]=$B98,IF(DATOS_[[AGRUP. CLAS. PROF.]:[AGRUP. CLAS. PROF.]]=$B96,IF(DATOS_[[Check Periodo Ref.]:[Check Periodo Ref.]]="Dentro",DATOS_[Conc.Sal.11]))))),
0)</f>
        <v>0</v>
      </c>
      <c r="Q98" s="170">
        <f t="array" ref="Q98">IFERROR(
AVERAGE((IF(DATOS_[[Sexo]:[Sexo]]=$B98,IF(DATOS_[[AGRUP. CLAS. PROF.]:[AGRUP. CLAS. PROF.]]=$B96,IF(DATOS_[[Check Periodo Ref.]:[Check Periodo Ref.]]="Dentro",DATOS_[Conc.Sal.12]))))),
0)</f>
        <v>0</v>
      </c>
      <c r="R98" s="170">
        <f t="array" ref="R98">IFERROR(
AVERAGE((IF(DATOS_[[Sexo]:[Sexo]]=$B98,IF(DATOS_[[AGRUP. CLAS. PROF.]:[AGRUP. CLAS. PROF.]]=$B96,IF(DATOS_[[Check Periodo Ref.]:[Check Periodo Ref.]]="Dentro",DATOS_[Conc.Sal.13]))))),
0)</f>
        <v>0</v>
      </c>
      <c r="S98" s="170">
        <f t="array" ref="S98">IFERROR(
AVERAGE((IF(DATOS_[[Sexo]:[Sexo]]=$B98,IF(DATOS_[[AGRUP. CLAS. PROF.]:[AGRUP. CLAS. PROF.]]=$B96,IF(DATOS_[[Check Periodo Ref.]:[Check Periodo Ref.]]="Dentro",DATOS_[Conc.Sal.14]))))),
0)</f>
        <v>0</v>
      </c>
      <c r="T98" s="170">
        <f t="array" ref="T98">IFERROR(
AVERAGE((IF(DATOS_[[Sexo]:[Sexo]]=$B98,IF(DATOS_[[AGRUP. CLAS. PROF.]:[AGRUP. CLAS. PROF.]]=$B96,IF(DATOS_[[Check Periodo Ref.]:[Check Periodo Ref.]]="Dentro",DATOS_[Conc.Sal.15]))))),
0)</f>
        <v>0</v>
      </c>
      <c r="U98" s="170">
        <f t="array" ref="U98">IFERROR(
AVERAGE((IF(DATOS_[[Sexo]:[Sexo]]=$B98,IF(DATOS_[[AGRUP. CLAS. PROF.]:[AGRUP. CLAS. PROF.]]=$B96,IF(DATOS_[[Check Periodo Ref.]:[Check Periodo Ref.]]="Dentro",DATOS_[Conc.Sal.16]))))),
0)</f>
        <v>0</v>
      </c>
      <c r="V98" s="170">
        <f t="array" ref="V98">IFERROR(
AVERAGE((IF(DATOS_[[Sexo]:[Sexo]]=$B98,IF(DATOS_[[AGRUP. CLAS. PROF.]:[AGRUP. CLAS. PROF.]]=$B96,IF(DATOS_[[Check Periodo Ref.]:[Check Periodo Ref.]]="Dentro",DATOS_[Conc.Sal.17]))))),
0)</f>
        <v>0</v>
      </c>
      <c r="W98" s="170">
        <f t="array" ref="W98">IFERROR(
AVERAGE((IF(DATOS_[[Sexo]:[Sexo]]=$B98,IF(DATOS_[[AGRUP. CLAS. PROF.]:[AGRUP. CLAS. PROF.]]=$B96,IF(DATOS_[[Check Periodo Ref.]:[Check Periodo Ref.]]="Dentro",DATOS_[Conc.Sal.18]))))),
0)</f>
        <v>0</v>
      </c>
      <c r="X98" s="170">
        <f t="array" ref="X98">IFERROR(
AVERAGE((IF(DATOS_[[Sexo]:[Sexo]]=$B98,IF(DATOS_[[AGRUP. CLAS. PROF.]:[AGRUP. CLAS. PROF.]]=$B96,IF(DATOS_[[Check Periodo Ref.]:[Check Periodo Ref.]]="Dentro",DATOS_[Conc.Sal.19]))))),
0)</f>
        <v>0</v>
      </c>
      <c r="Y98" s="170">
        <f t="array" ref="Y98">IFERROR(
AVERAGE((IF(DATOS_[[Sexo]:[Sexo]]=$B98,IF(DATOS_[[AGRUP. CLAS. PROF.]:[AGRUP. CLAS. PROF.]]=$B96,IF(DATOS_[[Check Periodo Ref.]:[Check Periodo Ref.]]="Dentro",DATOS_[Conc.Sal.20]))))),
0)</f>
        <v>0</v>
      </c>
      <c r="Z98" s="170">
        <f t="array" ref="Z98">IFERROR(
AVERAGE((IF(DATOS_[[Sexo]:[Sexo]]=$B98,IF(DATOS_[[AGRUP. CLAS. PROF.]:[AGRUP. CLAS. PROF.]]=$B96,IF(DATOS_[[Check Periodo Ref.]:[Check Periodo Ref.]]="Dentro",DATOS_[Conc.Sal.21]))))),
0)</f>
        <v>0</v>
      </c>
      <c r="AA98" s="170">
        <f t="array" ref="AA98">IFERROR(
AVERAGE((IF(DATOS_[[Sexo]:[Sexo]]=$B98,IF(DATOS_[[AGRUP. CLAS. PROF.]:[AGRUP. CLAS. PROF.]]=$B96,IF(DATOS_[[Check Periodo Ref.]:[Check Periodo Ref.]]="Dentro",DATOS_[Conc.Sal.22]))))),
0)</f>
        <v>0</v>
      </c>
      <c r="AB98" s="170">
        <f t="array" ref="AB98">IFERROR(
AVERAGE((IF(DATOS_[[Sexo]:[Sexo]]=$B98,IF(DATOS_[[AGRUP. CLAS. PROF.]:[AGRUP. CLAS. PROF.]]=$B96,IF(DATOS_[[Check Periodo Ref.]:[Check Periodo Ref.]]="Dentro",DATOS_[Conc.Sal.23]))))),
0)</f>
        <v>0</v>
      </c>
      <c r="AC98" s="170">
        <f t="array" ref="AC98">IFERROR(
AVERAGE((IF(DATOS_[[Sexo]:[Sexo]]=$B98,IF(DATOS_[[AGRUP. CLAS. PROF.]:[AGRUP. CLAS. PROF.]]=$B96,IF(DATOS_[[Check Periodo Ref.]:[Check Periodo Ref.]]="Dentro",DATOS_[Conc.Sal.24]))))),
0)</f>
        <v>0</v>
      </c>
      <c r="AD98" s="170">
        <f t="array" ref="AD98">IFERROR(
AVERAGE((IF(DATOS_[[Sexo]:[Sexo]]=$B98,IF(DATOS_[[AGRUP. CLAS. PROF.]:[AGRUP. CLAS. PROF.]]=$B96,IF(DATOS_[[Check Periodo Ref.]:[Check Periodo Ref.]]="Dentro",DATOS_[Conc.Sal.25]))))),
0)</f>
        <v>0</v>
      </c>
      <c r="AE98" s="170">
        <f t="array" ref="AE98">IFERROR(
AVERAGE((IF(DATOS_[[Sexo]:[Sexo]]=$B98,IF(DATOS_[[AGRUP. CLAS. PROF.]:[AGRUP. CLAS. PROF.]]=$B96,IF(DATOS_[[Check Periodo Ref.]:[Check Periodo Ref.]]="Dentro",DATOS_[Conc.Sal.26]))))),
0)</f>
        <v>0</v>
      </c>
      <c r="AF98" s="170">
        <f t="array" ref="AF98">IFERROR(
AVERAGE((IF(DATOS_[[Sexo]:[Sexo]]=$B98,IF(DATOS_[[AGRUP. CLAS. PROF.]:[AGRUP. CLAS. PROF.]]=$B96,IF(DATOS_[[Check Periodo Ref.]:[Check Periodo Ref.]]="Dentro",DATOS_[Conc.Sal.27]))))),
0)</f>
        <v>0</v>
      </c>
      <c r="AG98" s="170">
        <f t="array" ref="AG98">IFERROR(
AVERAGE((IF(DATOS_[[Sexo]:[Sexo]]=$B98,IF(DATOS_[[AGRUP. CLAS. PROF.]:[AGRUP. CLAS. PROF.]]=$B96,IF(DATOS_[[Check Periodo Ref.]:[Check Periodo Ref.]]="Dentro",DATOS_[Conc.Sal.28]))))),
0)</f>
        <v>0</v>
      </c>
      <c r="AH98" s="170">
        <f t="array" ref="AH98">IFERROR(
AVERAGE((IF(DATOS_[[Sexo]:[Sexo]]=$B98,IF(DATOS_[[AGRUP. CLAS. PROF.]:[AGRUP. CLAS. PROF.]]=$B96,IF(DATOS_[[Check Periodo Ref.]:[Check Periodo Ref.]]="Dentro",DATOS_[Conc.Sal.29]))))),
0)</f>
        <v>0</v>
      </c>
      <c r="AI98" s="170">
        <f t="array" ref="AI98">IFERROR(
AVERAGE((IF(DATOS_[[Sexo]:[Sexo]]=$B98,IF(DATOS_[[AGRUP. CLAS. PROF.]:[AGRUP. CLAS. PROF.]]=$B96,IF(DATOS_[[Check Periodo Ref.]:[Check Periodo Ref.]]="Dentro",DATOS_[Conc.Sal.30]))))),
0)</f>
        <v>0</v>
      </c>
      <c r="AJ98" s="171">
        <f t="array" ref="AJ98">IFERROR(
AVERAGE(IF(DATOS_[Sexo]=$B98,IF(DATOS_[AGRUP. CLAS. PROF.]=$B96,IF(DATOS_[Check Periodo Ref.]="Dentro",DATOS_[Tot COMPL.SAL Ef],FALSE)))),
0)</f>
        <v>0</v>
      </c>
      <c r="AK98" s="172">
        <f t="array" ref="AK98">IFERROR(
AVERAGE(IF(DATOS_[Sexo]=$B98,IF(DATOS_[AGRUP. CLAS. PROF.]=$B96,IF(DATOS_[Check Periodo Ref.]="Dentro",DATOS_[TOTAL SALARIO Ef],FALSE)))),
0)</f>
        <v>0</v>
      </c>
      <c r="AL98" s="173">
        <f t="array" ref="AL98">IFERROR(
AVERAGE((IF(DATOS_[[Sexo]:[Sexo]]=$B98,IF(DATOS_[[AGRUP. CLAS. PROF.]:[AGRUP. CLAS. PROF.]]=$B96,IF(DATOS_[[Check Periodo Ref.]:[Check Periodo Ref.]]="Dentro",DATOS_[C.Extra.01]))))),
0)</f>
        <v>0</v>
      </c>
      <c r="AM98" s="173">
        <f t="array" ref="AM98">IFERROR(
AVERAGE((IF(DATOS_[[Sexo]:[Sexo]]=$B98,IF(DATOS_[[AGRUP. CLAS. PROF.]:[AGRUP. CLAS. PROF.]]=$B96,IF(DATOS_[[Check Periodo Ref.]:[Check Periodo Ref.]]="Dentro",DATOS_[C.Extra.06]))))),
0)</f>
        <v>0</v>
      </c>
      <c r="AN98" s="173">
        <f t="array" ref="AN98">IFERROR(
AVERAGE((IF(DATOS_[[Sexo]:[Sexo]]=$B98,IF(DATOS_[[AGRUP. CLAS. PROF.]:[AGRUP. CLAS. PROF.]]=$B96,IF(DATOS_[[Check Periodo Ref.]:[Check Periodo Ref.]]="Dentro",DATOS_[C.Extra.07]))))),
0)</f>
        <v>0</v>
      </c>
      <c r="AO98" s="173">
        <f t="array" ref="AO98">IFERROR(
AVERAGE((IF(DATOS_[[Sexo]:[Sexo]]=$B98,IF(DATOS_[[AGRUP. CLAS. PROF.]:[AGRUP. CLAS. PROF.]]=$B96,IF(DATOS_[[Check Periodo Ref.]:[Check Periodo Ref.]]="Dentro",DATOS_[C.Extra.08]))))),
0)</f>
        <v>0</v>
      </c>
      <c r="AP98" s="173">
        <f t="array" ref="AP98">IFERROR(
AVERAGE((IF(DATOS_[[Sexo]:[Sexo]]=$B98,IF(DATOS_[[AGRUP. CLAS. PROF.]:[AGRUP. CLAS. PROF.]]=$B96,IF(DATOS_[[Check Periodo Ref.]:[Check Periodo Ref.]]="Dentro",DATOS_[C.Extra.11]))))),
0)</f>
        <v>0</v>
      </c>
      <c r="AQ98" s="174">
        <f t="array" ref="AQ98">IFERROR(
AVERAGE(IF(DATOS_[Sexo]=$B98,IF(DATOS_[AGRUP. CLAS. PROF.]=$B96,IF(DATOS_[Check Periodo Ref.]="Dentro",DATOS_[Tot Extrasalarial Ef],FALSE)))),
0)</f>
        <v>0</v>
      </c>
      <c r="AR98" s="171">
        <f t="array" ref="AR98">IFERROR(
AVERAGE(IF(DATOS_[Sexo]=$B98,IF(DATOS_[AGRUP. CLAS. PROF.]=$B96,IF(DATOS_[Check Periodo Ref.]="Dentro",DATOS_[TOTAL Retrib Ef],FALSE)))),
0)</f>
        <v>0</v>
      </c>
    </row>
    <row r="99" spans="1:44" s="152" customFormat="1" ht="14.4" thickBot="1" x14ac:dyDescent="0.3">
      <c r="A99" s="135" t="str">
        <f t="shared" ref="A99" si="115">+A100</f>
        <v>[ocultar]</v>
      </c>
      <c r="B99" s="153" t="s">
        <v>286</v>
      </c>
      <c r="C99" s="154"/>
      <c r="D99" s="155"/>
      <c r="E99" s="156" t="str">
        <f t="shared" ref="E99:AR99" si="116">IFERROR((E100-E101)/E100,"")</f>
        <v/>
      </c>
      <c r="F99" s="157" t="str">
        <f t="shared" si="116"/>
        <v/>
      </c>
      <c r="G99" s="158" t="str">
        <f t="shared" si="116"/>
        <v/>
      </c>
      <c r="H99" s="158" t="str">
        <f t="shared" si="116"/>
        <v/>
      </c>
      <c r="I99" s="158" t="str">
        <f t="shared" si="116"/>
        <v/>
      </c>
      <c r="J99" s="159" t="str">
        <f t="shared" si="116"/>
        <v/>
      </c>
      <c r="K99" s="160" t="str">
        <f t="shared" si="116"/>
        <v/>
      </c>
      <c r="L99" s="160" t="str">
        <f t="shared" si="116"/>
        <v/>
      </c>
      <c r="M99" s="160" t="str">
        <f t="shared" si="116"/>
        <v/>
      </c>
      <c r="N99" s="160" t="str">
        <f t="shared" si="116"/>
        <v/>
      </c>
      <c r="O99" s="160" t="str">
        <f t="shared" si="116"/>
        <v/>
      </c>
      <c r="P99" s="160" t="str">
        <f t="shared" si="116"/>
        <v/>
      </c>
      <c r="Q99" s="160" t="str">
        <f t="shared" si="116"/>
        <v/>
      </c>
      <c r="R99" s="160" t="str">
        <f t="shared" si="116"/>
        <v/>
      </c>
      <c r="S99" s="160" t="str">
        <f t="shared" si="116"/>
        <v/>
      </c>
      <c r="T99" s="160" t="str">
        <f t="shared" si="116"/>
        <v/>
      </c>
      <c r="U99" s="160" t="str">
        <f t="shared" si="116"/>
        <v/>
      </c>
      <c r="V99" s="159" t="str">
        <f t="shared" si="116"/>
        <v/>
      </c>
      <c r="W99" s="159" t="str">
        <f t="shared" si="116"/>
        <v/>
      </c>
      <c r="X99" s="159" t="str">
        <f t="shared" si="116"/>
        <v/>
      </c>
      <c r="Y99" s="159" t="str">
        <f t="shared" si="116"/>
        <v/>
      </c>
      <c r="Z99" s="159" t="str">
        <f t="shared" si="116"/>
        <v/>
      </c>
      <c r="AA99" s="159" t="str">
        <f t="shared" si="116"/>
        <v/>
      </c>
      <c r="AB99" s="159" t="str">
        <f t="shared" si="116"/>
        <v/>
      </c>
      <c r="AC99" s="159" t="str">
        <f t="shared" si="116"/>
        <v/>
      </c>
      <c r="AD99" s="159" t="str">
        <f t="shared" si="116"/>
        <v/>
      </c>
      <c r="AE99" s="159" t="str">
        <f t="shared" si="116"/>
        <v/>
      </c>
      <c r="AF99" s="159" t="str">
        <f t="shared" si="116"/>
        <v/>
      </c>
      <c r="AG99" s="159" t="str">
        <f t="shared" si="116"/>
        <v/>
      </c>
      <c r="AH99" s="159" t="str">
        <f t="shared" si="116"/>
        <v/>
      </c>
      <c r="AI99" s="159" t="str">
        <f t="shared" si="116"/>
        <v/>
      </c>
      <c r="AJ99" s="161" t="str">
        <f t="shared" si="116"/>
        <v/>
      </c>
      <c r="AK99" s="162" t="str">
        <f t="shared" si="116"/>
        <v/>
      </c>
      <c r="AL99" s="163" t="str">
        <f t="shared" si="116"/>
        <v/>
      </c>
      <c r="AM99" s="163" t="str">
        <f t="shared" si="116"/>
        <v/>
      </c>
      <c r="AN99" s="163" t="str">
        <f t="shared" si="116"/>
        <v/>
      </c>
      <c r="AO99" s="163" t="str">
        <f t="shared" si="116"/>
        <v/>
      </c>
      <c r="AP99" s="163" t="str">
        <f t="shared" si="116"/>
        <v/>
      </c>
      <c r="AQ99" s="164" t="str">
        <f t="shared" si="116"/>
        <v/>
      </c>
      <c r="AR99" s="161" t="str">
        <f t="shared" si="116"/>
        <v/>
      </c>
    </row>
    <row r="100" spans="1:44" x14ac:dyDescent="0.25">
      <c r="A100" s="135" t="str">
        <f t="shared" ref="A100" si="117">+IF(C100+C101=0,"[ocultar]","")</f>
        <v>[ocultar]</v>
      </c>
      <c r="B100" s="166" t="s">
        <v>394</v>
      </c>
      <c r="C100" s="167">
        <f t="array" ref="C100">SUM(IF($B100=DATOS_[Sexo],
IF($B99=DATOS_[AGRUP. CLAS. PROF.],
IF("Dentro"=DATOS_[Check Periodo Ref.],
1/(COUNTIFS(DATOS_[Sexo],$B100,DATOS_[AGRUP. CLAS. PROF.],$B99,DATOS_[Check Periodo Ref.],"Dentro",DATOS_[id/cod],DATOS_[id/cod]))))))</f>
        <v>0</v>
      </c>
      <c r="D100" s="168">
        <f>COUNTIFS(DATOS_[AGRUP. CLAS. PROF.],$B99,DATOS_[Sexo],$B100,DATOS_[Check Periodo Ref.],"Dentro")</f>
        <v>0</v>
      </c>
      <c r="E100" s="169">
        <f t="array" ref="E100">IFERROR(
AVERAGE(IF(DATOS_[Sexo]=$B100,IF(DATOS_[AGRUP. CLAS. PROF.]=$B99,IF(DATOS_[Check Periodo Ref.]="Dentro",DATOS_[SALARIO BASE Ef],FALSE)))),
0)</f>
        <v>0</v>
      </c>
      <c r="F100" s="170">
        <f t="array" ref="F100">IFERROR(
AVERAGE((IF(DATOS_[[Sexo]:[Sexo]]=$B100,IF(DATOS_[[AGRUP. CLAS. PROF.]:[AGRUP. CLAS. PROF.]]=$B99,IF(DATOS_[[Check Periodo Ref.]:[Check Periodo Ref.]]="Dentro",DATOS_[Conc.Sal.01]))))),
0)</f>
        <v>0</v>
      </c>
      <c r="G100" s="170">
        <f t="array" ref="G100">IFERROR(
AVERAGE((IF(DATOS_[[Sexo]:[Sexo]]=$B100,IF(DATOS_[[AGRUP. CLAS. PROF.]:[AGRUP. CLAS. PROF.]]=$B99,IF(DATOS_[[Check Periodo Ref.]:[Check Periodo Ref.]]="Dentro",DATOS_[Conc.Sal.02]))))),
0)</f>
        <v>0</v>
      </c>
      <c r="H100" s="170">
        <f t="array" ref="H100">IFERROR(
AVERAGE((IF(DATOS_[[Sexo]:[Sexo]]=$B100,IF(DATOS_[[AGRUP. CLAS. PROF.]:[AGRUP. CLAS. PROF.]]=$B99,IF(DATOS_[[Check Periodo Ref.]:[Check Periodo Ref.]]="Dentro",DATOS_[Conc.Sal.03]))))),
0)</f>
        <v>0</v>
      </c>
      <c r="I100" s="170">
        <f t="array" ref="I100">IFERROR(
AVERAGE((IF(DATOS_[[Sexo]:[Sexo]]=$B100,IF(DATOS_[[AGRUP. CLAS. PROF.]:[AGRUP. CLAS. PROF.]]=$B99,IF(DATOS_[[Check Periodo Ref.]:[Check Periodo Ref.]]="Dentro",DATOS_[Conc.Sal.04]))))),
0)</f>
        <v>0</v>
      </c>
      <c r="J100" s="170">
        <f t="array" ref="J100">IFERROR(
AVERAGE((IF(DATOS_[[Sexo]:[Sexo]]=$B100,IF(DATOS_[[AGRUP. CLAS. PROF.]:[AGRUP. CLAS. PROF.]]=$B99,IF(DATOS_[[Check Periodo Ref.]:[Check Periodo Ref.]]="Dentro",DATOS_[Conc.Sal.05]))))),
0)</f>
        <v>0</v>
      </c>
      <c r="K100" s="170">
        <f t="array" ref="K100">IFERROR(
AVERAGE((IF(DATOS_[[Sexo]:[Sexo]]=$B100,IF(DATOS_[[AGRUP. CLAS. PROF.]:[AGRUP. CLAS. PROF.]]=$B99,IF(DATOS_[[Check Periodo Ref.]:[Check Periodo Ref.]]="Dentro",DATOS_[Conc.Sal.06]))))),
0)</f>
        <v>0</v>
      </c>
      <c r="L100" s="170">
        <f t="array" ref="L100">IFERROR(
AVERAGE((IF(DATOS_[[Sexo]:[Sexo]]=$B100,IF(DATOS_[[AGRUP. CLAS. PROF.]:[AGRUP. CLAS. PROF.]]=$B99,IF(DATOS_[[Check Periodo Ref.]:[Check Periodo Ref.]]="Dentro",DATOS_[Conc.Sal.07]))))),
0)</f>
        <v>0</v>
      </c>
      <c r="M100" s="170">
        <f t="array" ref="M100">IFERROR(
AVERAGE((IF(DATOS_[[Sexo]:[Sexo]]=$B100,IF(DATOS_[[AGRUP. CLAS. PROF.]:[AGRUP. CLAS. PROF.]]=$B99,IF(DATOS_[[Check Periodo Ref.]:[Check Periodo Ref.]]="Dentro",DATOS_[Conc.Sal.08]))))),
0)</f>
        <v>0</v>
      </c>
      <c r="N100" s="170">
        <f t="array" ref="N100">IFERROR(
AVERAGE((IF(DATOS_[[Sexo]:[Sexo]]=$B100,IF(DATOS_[[AGRUP. CLAS. PROF.]:[AGRUP. CLAS. PROF.]]=$B99,IF(DATOS_[[Check Periodo Ref.]:[Check Periodo Ref.]]="Dentro",DATOS_[Conc.Sal.09]))))),
0)</f>
        <v>0</v>
      </c>
      <c r="O100" s="170">
        <f t="array" ref="O100">IFERROR(
AVERAGE((IF(DATOS_[[Sexo]:[Sexo]]=$B100,IF(DATOS_[[AGRUP. CLAS. PROF.]:[AGRUP. CLAS. PROF.]]=$B99,IF(DATOS_[[Check Periodo Ref.]:[Check Periodo Ref.]]="Dentro",DATOS_[Conc.Sal.10]))))),
0)</f>
        <v>0</v>
      </c>
      <c r="P100" s="170">
        <f t="array" ref="P100">IFERROR(
AVERAGE((IF(DATOS_[[Sexo]:[Sexo]]=$B100,IF(DATOS_[[AGRUP. CLAS. PROF.]:[AGRUP. CLAS. PROF.]]=$B99,IF(DATOS_[[Check Periodo Ref.]:[Check Periodo Ref.]]="Dentro",DATOS_[Conc.Sal.11]))))),
0)</f>
        <v>0</v>
      </c>
      <c r="Q100" s="170">
        <f t="array" ref="Q100">IFERROR(
AVERAGE((IF(DATOS_[[Sexo]:[Sexo]]=$B100,IF(DATOS_[[AGRUP. CLAS. PROF.]:[AGRUP. CLAS. PROF.]]=$B99,IF(DATOS_[[Check Periodo Ref.]:[Check Periodo Ref.]]="Dentro",DATOS_[Conc.Sal.12]))))),
0)</f>
        <v>0</v>
      </c>
      <c r="R100" s="170">
        <f t="array" ref="R100">IFERROR(
AVERAGE((IF(DATOS_[[Sexo]:[Sexo]]=$B100,IF(DATOS_[[AGRUP. CLAS. PROF.]:[AGRUP. CLAS. PROF.]]=$B99,IF(DATOS_[[Check Periodo Ref.]:[Check Periodo Ref.]]="Dentro",DATOS_[Conc.Sal.13]))))),
0)</f>
        <v>0</v>
      </c>
      <c r="S100" s="170">
        <f t="array" ref="S100">IFERROR(
AVERAGE((IF(DATOS_[[Sexo]:[Sexo]]=$B100,IF(DATOS_[[AGRUP. CLAS. PROF.]:[AGRUP. CLAS. PROF.]]=$B99,IF(DATOS_[[Check Periodo Ref.]:[Check Periodo Ref.]]="Dentro",DATOS_[Conc.Sal.14]))))),
0)</f>
        <v>0</v>
      </c>
      <c r="T100" s="170">
        <f t="array" ref="T100">IFERROR(
AVERAGE((IF(DATOS_[[Sexo]:[Sexo]]=$B100,IF(DATOS_[[AGRUP. CLAS. PROF.]:[AGRUP. CLAS. PROF.]]=$B99,IF(DATOS_[[Check Periodo Ref.]:[Check Periodo Ref.]]="Dentro",DATOS_[Conc.Sal.15]))))),
0)</f>
        <v>0</v>
      </c>
      <c r="U100" s="170">
        <f t="array" ref="U100">IFERROR(
AVERAGE((IF(DATOS_[[Sexo]:[Sexo]]=$B100,IF(DATOS_[[AGRUP. CLAS. PROF.]:[AGRUP. CLAS. PROF.]]=$B99,IF(DATOS_[[Check Periodo Ref.]:[Check Periodo Ref.]]="Dentro",DATOS_[Conc.Sal.16]))))),
0)</f>
        <v>0</v>
      </c>
      <c r="V100" s="170">
        <f t="array" ref="V100">IFERROR(
AVERAGE((IF(DATOS_[[Sexo]:[Sexo]]=$B100,IF(DATOS_[[AGRUP. CLAS. PROF.]:[AGRUP. CLAS. PROF.]]=$B99,IF(DATOS_[[Check Periodo Ref.]:[Check Periodo Ref.]]="Dentro",DATOS_[Conc.Sal.17]))))),
0)</f>
        <v>0</v>
      </c>
      <c r="W100" s="170">
        <f t="array" ref="W100">IFERROR(
AVERAGE((IF(DATOS_[[Sexo]:[Sexo]]=$B100,IF(DATOS_[[AGRUP. CLAS. PROF.]:[AGRUP. CLAS. PROF.]]=$B99,IF(DATOS_[[Check Periodo Ref.]:[Check Periodo Ref.]]="Dentro",DATOS_[Conc.Sal.18]))))),
0)</f>
        <v>0</v>
      </c>
      <c r="X100" s="170">
        <f t="array" ref="X100">IFERROR(
AVERAGE((IF(DATOS_[[Sexo]:[Sexo]]=$B100,IF(DATOS_[[AGRUP. CLAS. PROF.]:[AGRUP. CLAS. PROF.]]=$B99,IF(DATOS_[[Check Periodo Ref.]:[Check Periodo Ref.]]="Dentro",DATOS_[Conc.Sal.19]))))),
0)</f>
        <v>0</v>
      </c>
      <c r="Y100" s="170">
        <f t="array" ref="Y100">IFERROR(
AVERAGE((IF(DATOS_[[Sexo]:[Sexo]]=$B100,IF(DATOS_[[AGRUP. CLAS. PROF.]:[AGRUP. CLAS. PROF.]]=$B99,IF(DATOS_[[Check Periodo Ref.]:[Check Periodo Ref.]]="Dentro",DATOS_[Conc.Sal.20]))))),
0)</f>
        <v>0</v>
      </c>
      <c r="Z100" s="170">
        <f t="array" ref="Z100">IFERROR(
AVERAGE((IF(DATOS_[[Sexo]:[Sexo]]=$B100,IF(DATOS_[[AGRUP. CLAS. PROF.]:[AGRUP. CLAS. PROF.]]=$B99,IF(DATOS_[[Check Periodo Ref.]:[Check Periodo Ref.]]="Dentro",DATOS_[Conc.Sal.21]))))),
0)</f>
        <v>0</v>
      </c>
      <c r="AA100" s="170">
        <f t="array" ref="AA100">IFERROR(
AVERAGE((IF(DATOS_[[Sexo]:[Sexo]]=$B100,IF(DATOS_[[AGRUP. CLAS. PROF.]:[AGRUP. CLAS. PROF.]]=$B99,IF(DATOS_[[Check Periodo Ref.]:[Check Periodo Ref.]]="Dentro",DATOS_[Conc.Sal.22]))))),
0)</f>
        <v>0</v>
      </c>
      <c r="AB100" s="170">
        <f t="array" ref="AB100">IFERROR(
AVERAGE((IF(DATOS_[[Sexo]:[Sexo]]=$B100,IF(DATOS_[[AGRUP. CLAS. PROF.]:[AGRUP. CLAS. PROF.]]=$B99,IF(DATOS_[[Check Periodo Ref.]:[Check Periodo Ref.]]="Dentro",DATOS_[Conc.Sal.23]))))),
0)</f>
        <v>0</v>
      </c>
      <c r="AC100" s="170">
        <f t="array" ref="AC100">IFERROR(
AVERAGE((IF(DATOS_[[Sexo]:[Sexo]]=$B100,IF(DATOS_[[AGRUP. CLAS. PROF.]:[AGRUP. CLAS. PROF.]]=$B99,IF(DATOS_[[Check Periodo Ref.]:[Check Periodo Ref.]]="Dentro",DATOS_[Conc.Sal.24]))))),
0)</f>
        <v>0</v>
      </c>
      <c r="AD100" s="170">
        <f t="array" ref="AD100">IFERROR(
AVERAGE((IF(DATOS_[[Sexo]:[Sexo]]=$B100,IF(DATOS_[[AGRUP. CLAS. PROF.]:[AGRUP. CLAS. PROF.]]=$B99,IF(DATOS_[[Check Periodo Ref.]:[Check Periodo Ref.]]="Dentro",DATOS_[Conc.Sal.25]))))),
0)</f>
        <v>0</v>
      </c>
      <c r="AE100" s="170">
        <f t="array" ref="AE100">IFERROR(
AVERAGE((IF(DATOS_[[Sexo]:[Sexo]]=$B100,IF(DATOS_[[AGRUP. CLAS. PROF.]:[AGRUP. CLAS. PROF.]]=$B99,IF(DATOS_[[Check Periodo Ref.]:[Check Periodo Ref.]]="Dentro",DATOS_[Conc.Sal.26]))))),
0)</f>
        <v>0</v>
      </c>
      <c r="AF100" s="170">
        <f t="array" ref="AF100">IFERROR(
AVERAGE((IF(DATOS_[[Sexo]:[Sexo]]=$B100,IF(DATOS_[[AGRUP. CLAS. PROF.]:[AGRUP. CLAS. PROF.]]=$B99,IF(DATOS_[[Check Periodo Ref.]:[Check Periodo Ref.]]="Dentro",DATOS_[Conc.Sal.27]))))),
0)</f>
        <v>0</v>
      </c>
      <c r="AG100" s="170">
        <f t="array" ref="AG100">IFERROR(
AVERAGE((IF(DATOS_[[Sexo]:[Sexo]]=$B100,IF(DATOS_[[AGRUP. CLAS. PROF.]:[AGRUP. CLAS. PROF.]]=$B99,IF(DATOS_[[Check Periodo Ref.]:[Check Periodo Ref.]]="Dentro",DATOS_[Conc.Sal.28]))))),
0)</f>
        <v>0</v>
      </c>
      <c r="AH100" s="170">
        <f t="array" ref="AH100">IFERROR(
AVERAGE((IF(DATOS_[[Sexo]:[Sexo]]=$B100,IF(DATOS_[[AGRUP. CLAS. PROF.]:[AGRUP. CLAS. PROF.]]=$B99,IF(DATOS_[[Check Periodo Ref.]:[Check Periodo Ref.]]="Dentro",DATOS_[Conc.Sal.29]))))),
0)</f>
        <v>0</v>
      </c>
      <c r="AI100" s="170">
        <f t="array" ref="AI100">IFERROR(
AVERAGE((IF(DATOS_[[Sexo]:[Sexo]]=$B100,IF(DATOS_[[AGRUP. CLAS. PROF.]:[AGRUP. CLAS. PROF.]]=$B99,IF(DATOS_[[Check Periodo Ref.]:[Check Periodo Ref.]]="Dentro",DATOS_[Conc.Sal.30]))))),
0)</f>
        <v>0</v>
      </c>
      <c r="AJ100" s="171">
        <f t="array" ref="AJ100">IFERROR(
AVERAGE(IF(DATOS_[Sexo]=$B100,IF(DATOS_[AGRUP. CLAS. PROF.]=$B99,IF(DATOS_[Check Periodo Ref.]="Dentro",DATOS_[Tot COMPL.SAL Ef],FALSE)))),
0)</f>
        <v>0</v>
      </c>
      <c r="AK100" s="172">
        <f t="array" ref="AK100">IFERROR(
AVERAGE(IF(DATOS_[Sexo]=$B100,IF(DATOS_[AGRUP. CLAS. PROF.]=$B99,IF(DATOS_[Check Periodo Ref.]="Dentro",DATOS_[TOTAL SALARIO Ef],FALSE)))),
0)</f>
        <v>0</v>
      </c>
      <c r="AL100" s="173">
        <f t="array" ref="AL100">IFERROR(
AVERAGE((IF(DATOS_[[Sexo]:[Sexo]]=$B100,IF(DATOS_[[AGRUP. CLAS. PROF.]:[AGRUP. CLAS. PROF.]]=$B99,IF(DATOS_[[Check Periodo Ref.]:[Check Periodo Ref.]]="Dentro",DATOS_[C.Extra.01]))))),
0)</f>
        <v>0</v>
      </c>
      <c r="AM100" s="173">
        <f t="array" ref="AM100">IFERROR(
AVERAGE((IF(DATOS_[[Sexo]:[Sexo]]=$B100,IF(DATOS_[[AGRUP. CLAS. PROF.]:[AGRUP. CLAS. PROF.]]=$B99,IF(DATOS_[[Check Periodo Ref.]:[Check Periodo Ref.]]="Dentro",DATOS_[C.Extra.06]))))),
0)</f>
        <v>0</v>
      </c>
      <c r="AN100" s="173">
        <f t="array" ref="AN100">IFERROR(
AVERAGE((IF(DATOS_[[Sexo]:[Sexo]]=$B100,IF(DATOS_[[AGRUP. CLAS. PROF.]:[AGRUP. CLAS. PROF.]]=$B99,IF(DATOS_[[Check Periodo Ref.]:[Check Periodo Ref.]]="Dentro",DATOS_[C.Extra.07]))))),
0)</f>
        <v>0</v>
      </c>
      <c r="AO100" s="173">
        <f t="array" ref="AO100">IFERROR(
AVERAGE((IF(DATOS_[[Sexo]:[Sexo]]=$B100,IF(DATOS_[[AGRUP. CLAS. PROF.]:[AGRUP. CLAS. PROF.]]=$B99,IF(DATOS_[[Check Periodo Ref.]:[Check Periodo Ref.]]="Dentro",DATOS_[C.Extra.08]))))),
0)</f>
        <v>0</v>
      </c>
      <c r="AP100" s="173">
        <f t="array" ref="AP100">IFERROR(
AVERAGE((IF(DATOS_[[Sexo]:[Sexo]]=$B100,IF(DATOS_[[AGRUP. CLAS. PROF.]:[AGRUP. CLAS. PROF.]]=$B99,IF(DATOS_[[Check Periodo Ref.]:[Check Periodo Ref.]]="Dentro",DATOS_[C.Extra.11]))))),
0)</f>
        <v>0</v>
      </c>
      <c r="AQ100" s="174">
        <f t="array" ref="AQ100">IFERROR(
AVERAGE(IF(DATOS_[Sexo]=$B100,IF(DATOS_[AGRUP. CLAS. PROF.]=$B99,IF(DATOS_[Check Periodo Ref.]="Dentro",DATOS_[Tot Extrasalarial Ef],FALSE)))),
0)</f>
        <v>0</v>
      </c>
      <c r="AR100" s="171">
        <f t="array" ref="AR100">IFERROR(
AVERAGE(IF(DATOS_[Sexo]=$B100,IF(DATOS_[AGRUP. CLAS. PROF.]=$B99,IF(DATOS_[Check Periodo Ref.]="Dentro",DATOS_[TOTAL Retrib Ef],FALSE)))),
0)</f>
        <v>0</v>
      </c>
    </row>
    <row r="101" spans="1:44" x14ac:dyDescent="0.25">
      <c r="A101" s="135" t="str">
        <f t="shared" ref="A101" si="118">+A100</f>
        <v>[ocultar]</v>
      </c>
      <c r="B101" s="166" t="s">
        <v>521</v>
      </c>
      <c r="C101" s="167">
        <f t="array" ref="C101">SUM(IF($B101=DATOS_[Sexo],
IF($B99=DATOS_[AGRUP. CLAS. PROF.],
IF("Dentro"=DATOS_[Check Periodo Ref.],
1/(COUNTIFS(DATOS_[Sexo],$B101,DATOS_[AGRUP. CLAS. PROF.],$B99,DATOS_[Check Periodo Ref.],"Dentro",DATOS_[id/cod],DATOS_[id/cod]))))))</f>
        <v>0</v>
      </c>
      <c r="D101" s="168">
        <f>COUNTIFS(DATOS_[AGRUP. CLAS. PROF.],$B99,DATOS_[Sexo],$B101,DATOS_[Check Periodo Ref.],"Dentro")</f>
        <v>0</v>
      </c>
      <c r="E101" s="169">
        <f t="array" ref="E101">IFERROR(
AVERAGE(IF(DATOS_[Sexo]=$B101,IF(DATOS_[AGRUP. CLAS. PROF.]=$B99,IF(DATOS_[Check Periodo Ref.]="Dentro",DATOS_[SALARIO BASE Ef],FALSE)))),
0)</f>
        <v>0</v>
      </c>
      <c r="F101" s="170">
        <f t="array" ref="F101">IFERROR(
AVERAGE((IF(DATOS_[[Sexo]:[Sexo]]=$B101,IF(DATOS_[[AGRUP. CLAS. PROF.]:[AGRUP. CLAS. PROF.]]=$B99,IF(DATOS_[[Check Periodo Ref.]:[Check Periodo Ref.]]="Dentro",DATOS_[Conc.Sal.01]))))),
0)</f>
        <v>0</v>
      </c>
      <c r="G101" s="170">
        <f t="array" ref="G101">IFERROR(
AVERAGE((IF(DATOS_[[Sexo]:[Sexo]]=$B101,IF(DATOS_[[AGRUP. CLAS. PROF.]:[AGRUP. CLAS. PROF.]]=$B99,IF(DATOS_[[Check Periodo Ref.]:[Check Periodo Ref.]]="Dentro",DATOS_[Conc.Sal.02]))))),
0)</f>
        <v>0</v>
      </c>
      <c r="H101" s="170">
        <f t="array" ref="H101">IFERROR(
AVERAGE((IF(DATOS_[[Sexo]:[Sexo]]=$B101,IF(DATOS_[[AGRUP. CLAS. PROF.]:[AGRUP. CLAS. PROF.]]=$B99,IF(DATOS_[[Check Periodo Ref.]:[Check Periodo Ref.]]="Dentro",DATOS_[Conc.Sal.03]))))),
0)</f>
        <v>0</v>
      </c>
      <c r="I101" s="170">
        <f t="array" ref="I101">IFERROR(
AVERAGE((IF(DATOS_[[Sexo]:[Sexo]]=$B101,IF(DATOS_[[AGRUP. CLAS. PROF.]:[AGRUP. CLAS. PROF.]]=$B99,IF(DATOS_[[Check Periodo Ref.]:[Check Periodo Ref.]]="Dentro",DATOS_[Conc.Sal.04]))))),
0)</f>
        <v>0</v>
      </c>
      <c r="J101" s="170">
        <f t="array" ref="J101">IFERROR(
AVERAGE((IF(DATOS_[[Sexo]:[Sexo]]=$B101,IF(DATOS_[[AGRUP. CLAS. PROF.]:[AGRUP. CLAS. PROF.]]=$B99,IF(DATOS_[[Check Periodo Ref.]:[Check Periodo Ref.]]="Dentro",DATOS_[Conc.Sal.05]))))),
0)</f>
        <v>0</v>
      </c>
      <c r="K101" s="170">
        <f t="array" ref="K101">IFERROR(
AVERAGE((IF(DATOS_[[Sexo]:[Sexo]]=$B101,IF(DATOS_[[AGRUP. CLAS. PROF.]:[AGRUP. CLAS. PROF.]]=$B99,IF(DATOS_[[Check Periodo Ref.]:[Check Periodo Ref.]]="Dentro",DATOS_[Conc.Sal.06]))))),
0)</f>
        <v>0</v>
      </c>
      <c r="L101" s="170">
        <f t="array" ref="L101">IFERROR(
AVERAGE((IF(DATOS_[[Sexo]:[Sexo]]=$B101,IF(DATOS_[[AGRUP. CLAS. PROF.]:[AGRUP. CLAS. PROF.]]=$B99,IF(DATOS_[[Check Periodo Ref.]:[Check Periodo Ref.]]="Dentro",DATOS_[Conc.Sal.07]))))),
0)</f>
        <v>0</v>
      </c>
      <c r="M101" s="170">
        <f t="array" ref="M101">IFERROR(
AVERAGE((IF(DATOS_[[Sexo]:[Sexo]]=$B101,IF(DATOS_[[AGRUP. CLAS. PROF.]:[AGRUP. CLAS. PROF.]]=$B99,IF(DATOS_[[Check Periodo Ref.]:[Check Periodo Ref.]]="Dentro",DATOS_[Conc.Sal.08]))))),
0)</f>
        <v>0</v>
      </c>
      <c r="N101" s="170">
        <f t="array" ref="N101">IFERROR(
AVERAGE((IF(DATOS_[[Sexo]:[Sexo]]=$B101,IF(DATOS_[[AGRUP. CLAS. PROF.]:[AGRUP. CLAS. PROF.]]=$B99,IF(DATOS_[[Check Periodo Ref.]:[Check Periodo Ref.]]="Dentro",DATOS_[Conc.Sal.09]))))),
0)</f>
        <v>0</v>
      </c>
      <c r="O101" s="170">
        <f t="array" ref="O101">IFERROR(
AVERAGE((IF(DATOS_[[Sexo]:[Sexo]]=$B101,IF(DATOS_[[AGRUP. CLAS. PROF.]:[AGRUP. CLAS. PROF.]]=$B99,IF(DATOS_[[Check Periodo Ref.]:[Check Periodo Ref.]]="Dentro",DATOS_[Conc.Sal.10]))))),
0)</f>
        <v>0</v>
      </c>
      <c r="P101" s="170">
        <f t="array" ref="P101">IFERROR(
AVERAGE((IF(DATOS_[[Sexo]:[Sexo]]=$B101,IF(DATOS_[[AGRUP. CLAS. PROF.]:[AGRUP. CLAS. PROF.]]=$B99,IF(DATOS_[[Check Periodo Ref.]:[Check Periodo Ref.]]="Dentro",DATOS_[Conc.Sal.11]))))),
0)</f>
        <v>0</v>
      </c>
      <c r="Q101" s="170">
        <f t="array" ref="Q101">IFERROR(
AVERAGE((IF(DATOS_[[Sexo]:[Sexo]]=$B101,IF(DATOS_[[AGRUP. CLAS. PROF.]:[AGRUP. CLAS. PROF.]]=$B99,IF(DATOS_[[Check Periodo Ref.]:[Check Periodo Ref.]]="Dentro",DATOS_[Conc.Sal.12]))))),
0)</f>
        <v>0</v>
      </c>
      <c r="R101" s="170">
        <f t="array" ref="R101">IFERROR(
AVERAGE((IF(DATOS_[[Sexo]:[Sexo]]=$B101,IF(DATOS_[[AGRUP. CLAS. PROF.]:[AGRUP. CLAS. PROF.]]=$B99,IF(DATOS_[[Check Periodo Ref.]:[Check Periodo Ref.]]="Dentro",DATOS_[Conc.Sal.13]))))),
0)</f>
        <v>0</v>
      </c>
      <c r="S101" s="170">
        <f t="array" ref="S101">IFERROR(
AVERAGE((IF(DATOS_[[Sexo]:[Sexo]]=$B101,IF(DATOS_[[AGRUP. CLAS. PROF.]:[AGRUP. CLAS. PROF.]]=$B99,IF(DATOS_[[Check Periodo Ref.]:[Check Periodo Ref.]]="Dentro",DATOS_[Conc.Sal.14]))))),
0)</f>
        <v>0</v>
      </c>
      <c r="T101" s="170">
        <f t="array" ref="T101">IFERROR(
AVERAGE((IF(DATOS_[[Sexo]:[Sexo]]=$B101,IF(DATOS_[[AGRUP. CLAS. PROF.]:[AGRUP. CLAS. PROF.]]=$B99,IF(DATOS_[[Check Periodo Ref.]:[Check Periodo Ref.]]="Dentro",DATOS_[Conc.Sal.15]))))),
0)</f>
        <v>0</v>
      </c>
      <c r="U101" s="170">
        <f t="array" ref="U101">IFERROR(
AVERAGE((IF(DATOS_[[Sexo]:[Sexo]]=$B101,IF(DATOS_[[AGRUP. CLAS. PROF.]:[AGRUP. CLAS. PROF.]]=$B99,IF(DATOS_[[Check Periodo Ref.]:[Check Periodo Ref.]]="Dentro",DATOS_[Conc.Sal.16]))))),
0)</f>
        <v>0</v>
      </c>
      <c r="V101" s="170">
        <f t="array" ref="V101">IFERROR(
AVERAGE((IF(DATOS_[[Sexo]:[Sexo]]=$B101,IF(DATOS_[[AGRUP. CLAS. PROF.]:[AGRUP. CLAS. PROF.]]=$B99,IF(DATOS_[[Check Periodo Ref.]:[Check Periodo Ref.]]="Dentro",DATOS_[Conc.Sal.17]))))),
0)</f>
        <v>0</v>
      </c>
      <c r="W101" s="170">
        <f t="array" ref="W101">IFERROR(
AVERAGE((IF(DATOS_[[Sexo]:[Sexo]]=$B101,IF(DATOS_[[AGRUP. CLAS. PROF.]:[AGRUP. CLAS. PROF.]]=$B99,IF(DATOS_[[Check Periodo Ref.]:[Check Periodo Ref.]]="Dentro",DATOS_[Conc.Sal.18]))))),
0)</f>
        <v>0</v>
      </c>
      <c r="X101" s="170">
        <f t="array" ref="X101">IFERROR(
AVERAGE((IF(DATOS_[[Sexo]:[Sexo]]=$B101,IF(DATOS_[[AGRUP. CLAS. PROF.]:[AGRUP. CLAS. PROF.]]=$B99,IF(DATOS_[[Check Periodo Ref.]:[Check Periodo Ref.]]="Dentro",DATOS_[Conc.Sal.19]))))),
0)</f>
        <v>0</v>
      </c>
      <c r="Y101" s="170">
        <f t="array" ref="Y101">IFERROR(
AVERAGE((IF(DATOS_[[Sexo]:[Sexo]]=$B101,IF(DATOS_[[AGRUP. CLAS. PROF.]:[AGRUP. CLAS. PROF.]]=$B99,IF(DATOS_[[Check Periodo Ref.]:[Check Periodo Ref.]]="Dentro",DATOS_[Conc.Sal.20]))))),
0)</f>
        <v>0</v>
      </c>
      <c r="Z101" s="170">
        <f t="array" ref="Z101">IFERROR(
AVERAGE((IF(DATOS_[[Sexo]:[Sexo]]=$B101,IF(DATOS_[[AGRUP. CLAS. PROF.]:[AGRUP. CLAS. PROF.]]=$B99,IF(DATOS_[[Check Periodo Ref.]:[Check Periodo Ref.]]="Dentro",DATOS_[Conc.Sal.21]))))),
0)</f>
        <v>0</v>
      </c>
      <c r="AA101" s="170">
        <f t="array" ref="AA101">IFERROR(
AVERAGE((IF(DATOS_[[Sexo]:[Sexo]]=$B101,IF(DATOS_[[AGRUP. CLAS. PROF.]:[AGRUP. CLAS. PROF.]]=$B99,IF(DATOS_[[Check Periodo Ref.]:[Check Periodo Ref.]]="Dentro",DATOS_[Conc.Sal.22]))))),
0)</f>
        <v>0</v>
      </c>
      <c r="AB101" s="170">
        <f t="array" ref="AB101">IFERROR(
AVERAGE((IF(DATOS_[[Sexo]:[Sexo]]=$B101,IF(DATOS_[[AGRUP. CLAS. PROF.]:[AGRUP. CLAS. PROF.]]=$B99,IF(DATOS_[[Check Periodo Ref.]:[Check Periodo Ref.]]="Dentro",DATOS_[Conc.Sal.23]))))),
0)</f>
        <v>0</v>
      </c>
      <c r="AC101" s="170">
        <f t="array" ref="AC101">IFERROR(
AVERAGE((IF(DATOS_[[Sexo]:[Sexo]]=$B101,IF(DATOS_[[AGRUP. CLAS. PROF.]:[AGRUP. CLAS. PROF.]]=$B99,IF(DATOS_[[Check Periodo Ref.]:[Check Periodo Ref.]]="Dentro",DATOS_[Conc.Sal.24]))))),
0)</f>
        <v>0</v>
      </c>
      <c r="AD101" s="170">
        <f t="array" ref="AD101">IFERROR(
AVERAGE((IF(DATOS_[[Sexo]:[Sexo]]=$B101,IF(DATOS_[[AGRUP. CLAS. PROF.]:[AGRUP. CLAS. PROF.]]=$B99,IF(DATOS_[[Check Periodo Ref.]:[Check Periodo Ref.]]="Dentro",DATOS_[Conc.Sal.25]))))),
0)</f>
        <v>0</v>
      </c>
      <c r="AE101" s="170">
        <f t="array" ref="AE101">IFERROR(
AVERAGE((IF(DATOS_[[Sexo]:[Sexo]]=$B101,IF(DATOS_[[AGRUP. CLAS. PROF.]:[AGRUP. CLAS. PROF.]]=$B99,IF(DATOS_[[Check Periodo Ref.]:[Check Periodo Ref.]]="Dentro",DATOS_[Conc.Sal.26]))))),
0)</f>
        <v>0</v>
      </c>
      <c r="AF101" s="170">
        <f t="array" ref="AF101">IFERROR(
AVERAGE((IF(DATOS_[[Sexo]:[Sexo]]=$B101,IF(DATOS_[[AGRUP. CLAS. PROF.]:[AGRUP. CLAS. PROF.]]=$B99,IF(DATOS_[[Check Periodo Ref.]:[Check Periodo Ref.]]="Dentro",DATOS_[Conc.Sal.27]))))),
0)</f>
        <v>0</v>
      </c>
      <c r="AG101" s="170">
        <f t="array" ref="AG101">IFERROR(
AVERAGE((IF(DATOS_[[Sexo]:[Sexo]]=$B101,IF(DATOS_[[AGRUP. CLAS. PROF.]:[AGRUP. CLAS. PROF.]]=$B99,IF(DATOS_[[Check Periodo Ref.]:[Check Periodo Ref.]]="Dentro",DATOS_[Conc.Sal.28]))))),
0)</f>
        <v>0</v>
      </c>
      <c r="AH101" s="170">
        <f t="array" ref="AH101">IFERROR(
AVERAGE((IF(DATOS_[[Sexo]:[Sexo]]=$B101,IF(DATOS_[[AGRUP. CLAS. PROF.]:[AGRUP. CLAS. PROF.]]=$B99,IF(DATOS_[[Check Periodo Ref.]:[Check Periodo Ref.]]="Dentro",DATOS_[Conc.Sal.29]))))),
0)</f>
        <v>0</v>
      </c>
      <c r="AI101" s="170">
        <f t="array" ref="AI101">IFERROR(
AVERAGE((IF(DATOS_[[Sexo]:[Sexo]]=$B101,IF(DATOS_[[AGRUP. CLAS. PROF.]:[AGRUP. CLAS. PROF.]]=$B99,IF(DATOS_[[Check Periodo Ref.]:[Check Periodo Ref.]]="Dentro",DATOS_[Conc.Sal.30]))))),
0)</f>
        <v>0</v>
      </c>
      <c r="AJ101" s="171">
        <f t="array" ref="AJ101">IFERROR(
AVERAGE(IF(DATOS_[Sexo]=$B101,IF(DATOS_[AGRUP. CLAS. PROF.]=$B99,IF(DATOS_[Check Periodo Ref.]="Dentro",DATOS_[Tot COMPL.SAL Ef],FALSE)))),
0)</f>
        <v>0</v>
      </c>
      <c r="AK101" s="172">
        <f t="array" ref="AK101">IFERROR(
AVERAGE(IF(DATOS_[Sexo]=$B101,IF(DATOS_[AGRUP. CLAS. PROF.]=$B99,IF(DATOS_[Check Periodo Ref.]="Dentro",DATOS_[TOTAL SALARIO Ef],FALSE)))),
0)</f>
        <v>0</v>
      </c>
      <c r="AL101" s="173">
        <f t="array" ref="AL101">IFERROR(
AVERAGE((IF(DATOS_[[Sexo]:[Sexo]]=$B101,IF(DATOS_[[AGRUP. CLAS. PROF.]:[AGRUP. CLAS. PROF.]]=$B99,IF(DATOS_[[Check Periodo Ref.]:[Check Periodo Ref.]]="Dentro",DATOS_[C.Extra.01]))))),
0)</f>
        <v>0</v>
      </c>
      <c r="AM101" s="173">
        <f t="array" ref="AM101">IFERROR(
AVERAGE((IF(DATOS_[[Sexo]:[Sexo]]=$B101,IF(DATOS_[[AGRUP. CLAS. PROF.]:[AGRUP. CLAS. PROF.]]=$B99,IF(DATOS_[[Check Periodo Ref.]:[Check Periodo Ref.]]="Dentro",DATOS_[C.Extra.06]))))),
0)</f>
        <v>0</v>
      </c>
      <c r="AN101" s="173">
        <f t="array" ref="AN101">IFERROR(
AVERAGE((IF(DATOS_[[Sexo]:[Sexo]]=$B101,IF(DATOS_[[AGRUP. CLAS. PROF.]:[AGRUP. CLAS. PROF.]]=$B99,IF(DATOS_[[Check Periodo Ref.]:[Check Periodo Ref.]]="Dentro",DATOS_[C.Extra.07]))))),
0)</f>
        <v>0</v>
      </c>
      <c r="AO101" s="173">
        <f t="array" ref="AO101">IFERROR(
AVERAGE((IF(DATOS_[[Sexo]:[Sexo]]=$B101,IF(DATOS_[[AGRUP. CLAS. PROF.]:[AGRUP. CLAS. PROF.]]=$B99,IF(DATOS_[[Check Periodo Ref.]:[Check Periodo Ref.]]="Dentro",DATOS_[C.Extra.08]))))),
0)</f>
        <v>0</v>
      </c>
      <c r="AP101" s="173">
        <f t="array" ref="AP101">IFERROR(
AVERAGE((IF(DATOS_[[Sexo]:[Sexo]]=$B101,IF(DATOS_[[AGRUP. CLAS. PROF.]:[AGRUP. CLAS. PROF.]]=$B99,IF(DATOS_[[Check Periodo Ref.]:[Check Periodo Ref.]]="Dentro",DATOS_[C.Extra.11]))))),
0)</f>
        <v>0</v>
      </c>
      <c r="AQ101" s="174">
        <f t="array" ref="AQ101">IFERROR(
AVERAGE(IF(DATOS_[Sexo]=$B101,IF(DATOS_[AGRUP. CLAS. PROF.]=$B99,IF(DATOS_[Check Periodo Ref.]="Dentro",DATOS_[Tot Extrasalarial Ef],FALSE)))),
0)</f>
        <v>0</v>
      </c>
      <c r="AR101" s="171">
        <f t="array" ref="AR101">IFERROR(
AVERAGE(IF(DATOS_[Sexo]=$B101,IF(DATOS_[AGRUP. CLAS. PROF.]=$B99,IF(DATOS_[Check Periodo Ref.]="Dentro",DATOS_[TOTAL Retrib Ef],FALSE)))),
0)</f>
        <v>0</v>
      </c>
    </row>
    <row r="102" spans="1:44" s="152" customFormat="1" ht="14.4" thickBot="1" x14ac:dyDescent="0.3">
      <c r="A102" s="135" t="str">
        <f t="shared" ref="A102" si="119">+A103</f>
        <v>[ocultar]</v>
      </c>
      <c r="B102" s="153" t="s">
        <v>289</v>
      </c>
      <c r="C102" s="154"/>
      <c r="D102" s="155"/>
      <c r="E102" s="156" t="str">
        <f t="shared" ref="E102:AR102" si="120">IFERROR((E103-E104)/E103,"")</f>
        <v/>
      </c>
      <c r="F102" s="157" t="str">
        <f t="shared" si="120"/>
        <v/>
      </c>
      <c r="G102" s="158" t="str">
        <f t="shared" si="120"/>
        <v/>
      </c>
      <c r="H102" s="158" t="str">
        <f t="shared" si="120"/>
        <v/>
      </c>
      <c r="I102" s="158" t="str">
        <f t="shared" si="120"/>
        <v/>
      </c>
      <c r="J102" s="159" t="str">
        <f t="shared" si="120"/>
        <v/>
      </c>
      <c r="K102" s="160" t="str">
        <f t="shared" si="120"/>
        <v/>
      </c>
      <c r="L102" s="160" t="str">
        <f t="shared" si="120"/>
        <v/>
      </c>
      <c r="M102" s="160" t="str">
        <f t="shared" si="120"/>
        <v/>
      </c>
      <c r="N102" s="160" t="str">
        <f t="shared" si="120"/>
        <v/>
      </c>
      <c r="O102" s="160" t="str">
        <f t="shared" si="120"/>
        <v/>
      </c>
      <c r="P102" s="160" t="str">
        <f t="shared" si="120"/>
        <v/>
      </c>
      <c r="Q102" s="160" t="str">
        <f t="shared" si="120"/>
        <v/>
      </c>
      <c r="R102" s="160" t="str">
        <f t="shared" si="120"/>
        <v/>
      </c>
      <c r="S102" s="160" t="str">
        <f t="shared" si="120"/>
        <v/>
      </c>
      <c r="T102" s="160" t="str">
        <f t="shared" si="120"/>
        <v/>
      </c>
      <c r="U102" s="160" t="str">
        <f t="shared" si="120"/>
        <v/>
      </c>
      <c r="V102" s="159" t="str">
        <f t="shared" si="120"/>
        <v/>
      </c>
      <c r="W102" s="159" t="str">
        <f t="shared" si="120"/>
        <v/>
      </c>
      <c r="X102" s="159" t="str">
        <f t="shared" si="120"/>
        <v/>
      </c>
      <c r="Y102" s="159" t="str">
        <f t="shared" si="120"/>
        <v/>
      </c>
      <c r="Z102" s="159" t="str">
        <f t="shared" si="120"/>
        <v/>
      </c>
      <c r="AA102" s="159" t="str">
        <f t="shared" si="120"/>
        <v/>
      </c>
      <c r="AB102" s="159" t="str">
        <f t="shared" si="120"/>
        <v/>
      </c>
      <c r="AC102" s="159" t="str">
        <f t="shared" si="120"/>
        <v/>
      </c>
      <c r="AD102" s="159" t="str">
        <f t="shared" si="120"/>
        <v/>
      </c>
      <c r="AE102" s="159" t="str">
        <f t="shared" si="120"/>
        <v/>
      </c>
      <c r="AF102" s="159" t="str">
        <f t="shared" si="120"/>
        <v/>
      </c>
      <c r="AG102" s="159" t="str">
        <f t="shared" si="120"/>
        <v/>
      </c>
      <c r="AH102" s="159" t="str">
        <f t="shared" si="120"/>
        <v/>
      </c>
      <c r="AI102" s="159" t="str">
        <f t="shared" si="120"/>
        <v/>
      </c>
      <c r="AJ102" s="161" t="str">
        <f t="shared" si="120"/>
        <v/>
      </c>
      <c r="AK102" s="162" t="str">
        <f t="shared" si="120"/>
        <v/>
      </c>
      <c r="AL102" s="163" t="str">
        <f t="shared" si="120"/>
        <v/>
      </c>
      <c r="AM102" s="163" t="str">
        <f t="shared" si="120"/>
        <v/>
      </c>
      <c r="AN102" s="163" t="str">
        <f t="shared" si="120"/>
        <v/>
      </c>
      <c r="AO102" s="163" t="str">
        <f t="shared" si="120"/>
        <v/>
      </c>
      <c r="AP102" s="163" t="str">
        <f t="shared" si="120"/>
        <v/>
      </c>
      <c r="AQ102" s="164" t="str">
        <f t="shared" si="120"/>
        <v/>
      </c>
      <c r="AR102" s="161" t="str">
        <f t="shared" si="120"/>
        <v/>
      </c>
    </row>
    <row r="103" spans="1:44" x14ac:dyDescent="0.25">
      <c r="A103" s="135" t="str">
        <f t="shared" ref="A103" si="121">+IF(C103+C104=0,"[ocultar]","")</f>
        <v>[ocultar]</v>
      </c>
      <c r="B103" s="166" t="s">
        <v>394</v>
      </c>
      <c r="C103" s="167">
        <f t="array" ref="C103">SUM(IF($B103=DATOS_[Sexo],
IF($B102=DATOS_[AGRUP. CLAS. PROF.],
IF("Dentro"=DATOS_[Check Periodo Ref.],
1/(COUNTIFS(DATOS_[Sexo],$B103,DATOS_[AGRUP. CLAS. PROF.],$B102,DATOS_[Check Periodo Ref.],"Dentro",DATOS_[id/cod],DATOS_[id/cod]))))))</f>
        <v>0</v>
      </c>
      <c r="D103" s="168">
        <f>COUNTIFS(DATOS_[AGRUP. CLAS. PROF.],$B102,DATOS_[Sexo],$B103,DATOS_[Check Periodo Ref.],"Dentro")</f>
        <v>0</v>
      </c>
      <c r="E103" s="169">
        <f t="array" ref="E103">IFERROR(
AVERAGE(IF(DATOS_[Sexo]=$B103,IF(DATOS_[AGRUP. CLAS. PROF.]=$B102,IF(DATOS_[Check Periodo Ref.]="Dentro",DATOS_[SALARIO BASE Ef],FALSE)))),
0)</f>
        <v>0</v>
      </c>
      <c r="F103" s="170">
        <f t="array" ref="F103">IFERROR(
AVERAGE((IF(DATOS_[[Sexo]:[Sexo]]=$B103,IF(DATOS_[[AGRUP. CLAS. PROF.]:[AGRUP. CLAS. PROF.]]=$B102,IF(DATOS_[[Check Periodo Ref.]:[Check Periodo Ref.]]="Dentro",DATOS_[Conc.Sal.01]))))),
0)</f>
        <v>0</v>
      </c>
      <c r="G103" s="170">
        <f t="array" ref="G103">IFERROR(
AVERAGE((IF(DATOS_[[Sexo]:[Sexo]]=$B103,IF(DATOS_[[AGRUP. CLAS. PROF.]:[AGRUP. CLAS. PROF.]]=$B102,IF(DATOS_[[Check Periodo Ref.]:[Check Periodo Ref.]]="Dentro",DATOS_[Conc.Sal.02]))))),
0)</f>
        <v>0</v>
      </c>
      <c r="H103" s="170">
        <f t="array" ref="H103">IFERROR(
AVERAGE((IF(DATOS_[[Sexo]:[Sexo]]=$B103,IF(DATOS_[[AGRUP. CLAS. PROF.]:[AGRUP. CLAS. PROF.]]=$B102,IF(DATOS_[[Check Periodo Ref.]:[Check Periodo Ref.]]="Dentro",DATOS_[Conc.Sal.03]))))),
0)</f>
        <v>0</v>
      </c>
      <c r="I103" s="170">
        <f t="array" ref="I103">IFERROR(
AVERAGE((IF(DATOS_[[Sexo]:[Sexo]]=$B103,IF(DATOS_[[AGRUP. CLAS. PROF.]:[AGRUP. CLAS. PROF.]]=$B102,IF(DATOS_[[Check Periodo Ref.]:[Check Periodo Ref.]]="Dentro",DATOS_[Conc.Sal.04]))))),
0)</f>
        <v>0</v>
      </c>
      <c r="J103" s="170">
        <f t="array" ref="J103">IFERROR(
AVERAGE((IF(DATOS_[[Sexo]:[Sexo]]=$B103,IF(DATOS_[[AGRUP. CLAS. PROF.]:[AGRUP. CLAS. PROF.]]=$B102,IF(DATOS_[[Check Periodo Ref.]:[Check Periodo Ref.]]="Dentro",DATOS_[Conc.Sal.05]))))),
0)</f>
        <v>0</v>
      </c>
      <c r="K103" s="170">
        <f t="array" ref="K103">IFERROR(
AVERAGE((IF(DATOS_[[Sexo]:[Sexo]]=$B103,IF(DATOS_[[AGRUP. CLAS. PROF.]:[AGRUP. CLAS. PROF.]]=$B102,IF(DATOS_[[Check Periodo Ref.]:[Check Periodo Ref.]]="Dentro",DATOS_[Conc.Sal.06]))))),
0)</f>
        <v>0</v>
      </c>
      <c r="L103" s="170">
        <f t="array" ref="L103">IFERROR(
AVERAGE((IF(DATOS_[[Sexo]:[Sexo]]=$B103,IF(DATOS_[[AGRUP. CLAS. PROF.]:[AGRUP. CLAS. PROF.]]=$B102,IF(DATOS_[[Check Periodo Ref.]:[Check Periodo Ref.]]="Dentro",DATOS_[Conc.Sal.07]))))),
0)</f>
        <v>0</v>
      </c>
      <c r="M103" s="170">
        <f t="array" ref="M103">IFERROR(
AVERAGE((IF(DATOS_[[Sexo]:[Sexo]]=$B103,IF(DATOS_[[AGRUP. CLAS. PROF.]:[AGRUP. CLAS. PROF.]]=$B102,IF(DATOS_[[Check Periodo Ref.]:[Check Periodo Ref.]]="Dentro",DATOS_[Conc.Sal.08]))))),
0)</f>
        <v>0</v>
      </c>
      <c r="N103" s="170">
        <f t="array" ref="N103">IFERROR(
AVERAGE((IF(DATOS_[[Sexo]:[Sexo]]=$B103,IF(DATOS_[[AGRUP. CLAS. PROF.]:[AGRUP. CLAS. PROF.]]=$B102,IF(DATOS_[[Check Periodo Ref.]:[Check Periodo Ref.]]="Dentro",DATOS_[Conc.Sal.09]))))),
0)</f>
        <v>0</v>
      </c>
      <c r="O103" s="170">
        <f t="array" ref="O103">IFERROR(
AVERAGE((IF(DATOS_[[Sexo]:[Sexo]]=$B103,IF(DATOS_[[AGRUP. CLAS. PROF.]:[AGRUP. CLAS. PROF.]]=$B102,IF(DATOS_[[Check Periodo Ref.]:[Check Periodo Ref.]]="Dentro",DATOS_[Conc.Sal.10]))))),
0)</f>
        <v>0</v>
      </c>
      <c r="P103" s="170">
        <f t="array" ref="P103">IFERROR(
AVERAGE((IF(DATOS_[[Sexo]:[Sexo]]=$B103,IF(DATOS_[[AGRUP. CLAS. PROF.]:[AGRUP. CLAS. PROF.]]=$B102,IF(DATOS_[[Check Periodo Ref.]:[Check Periodo Ref.]]="Dentro",DATOS_[Conc.Sal.11]))))),
0)</f>
        <v>0</v>
      </c>
      <c r="Q103" s="170">
        <f t="array" ref="Q103">IFERROR(
AVERAGE((IF(DATOS_[[Sexo]:[Sexo]]=$B103,IF(DATOS_[[AGRUP. CLAS. PROF.]:[AGRUP. CLAS. PROF.]]=$B102,IF(DATOS_[[Check Periodo Ref.]:[Check Periodo Ref.]]="Dentro",DATOS_[Conc.Sal.12]))))),
0)</f>
        <v>0</v>
      </c>
      <c r="R103" s="170">
        <f t="array" ref="R103">IFERROR(
AVERAGE((IF(DATOS_[[Sexo]:[Sexo]]=$B103,IF(DATOS_[[AGRUP. CLAS. PROF.]:[AGRUP. CLAS. PROF.]]=$B102,IF(DATOS_[[Check Periodo Ref.]:[Check Periodo Ref.]]="Dentro",DATOS_[Conc.Sal.13]))))),
0)</f>
        <v>0</v>
      </c>
      <c r="S103" s="170">
        <f t="array" ref="S103">IFERROR(
AVERAGE((IF(DATOS_[[Sexo]:[Sexo]]=$B103,IF(DATOS_[[AGRUP. CLAS. PROF.]:[AGRUP. CLAS. PROF.]]=$B102,IF(DATOS_[[Check Periodo Ref.]:[Check Periodo Ref.]]="Dentro",DATOS_[Conc.Sal.14]))))),
0)</f>
        <v>0</v>
      </c>
      <c r="T103" s="170">
        <f t="array" ref="T103">IFERROR(
AVERAGE((IF(DATOS_[[Sexo]:[Sexo]]=$B103,IF(DATOS_[[AGRUP. CLAS. PROF.]:[AGRUP. CLAS. PROF.]]=$B102,IF(DATOS_[[Check Periodo Ref.]:[Check Periodo Ref.]]="Dentro",DATOS_[Conc.Sal.15]))))),
0)</f>
        <v>0</v>
      </c>
      <c r="U103" s="170">
        <f t="array" ref="U103">IFERROR(
AVERAGE((IF(DATOS_[[Sexo]:[Sexo]]=$B103,IF(DATOS_[[AGRUP. CLAS. PROF.]:[AGRUP. CLAS. PROF.]]=$B102,IF(DATOS_[[Check Periodo Ref.]:[Check Periodo Ref.]]="Dentro",DATOS_[Conc.Sal.16]))))),
0)</f>
        <v>0</v>
      </c>
      <c r="V103" s="170">
        <f t="array" ref="V103">IFERROR(
AVERAGE((IF(DATOS_[[Sexo]:[Sexo]]=$B103,IF(DATOS_[[AGRUP. CLAS. PROF.]:[AGRUP. CLAS. PROF.]]=$B102,IF(DATOS_[[Check Periodo Ref.]:[Check Periodo Ref.]]="Dentro",DATOS_[Conc.Sal.17]))))),
0)</f>
        <v>0</v>
      </c>
      <c r="W103" s="170">
        <f t="array" ref="W103">IFERROR(
AVERAGE((IF(DATOS_[[Sexo]:[Sexo]]=$B103,IF(DATOS_[[AGRUP. CLAS. PROF.]:[AGRUP. CLAS. PROF.]]=$B102,IF(DATOS_[[Check Periodo Ref.]:[Check Periodo Ref.]]="Dentro",DATOS_[Conc.Sal.18]))))),
0)</f>
        <v>0</v>
      </c>
      <c r="X103" s="170">
        <f t="array" ref="X103">IFERROR(
AVERAGE((IF(DATOS_[[Sexo]:[Sexo]]=$B103,IF(DATOS_[[AGRUP. CLAS. PROF.]:[AGRUP. CLAS. PROF.]]=$B102,IF(DATOS_[[Check Periodo Ref.]:[Check Periodo Ref.]]="Dentro",DATOS_[Conc.Sal.19]))))),
0)</f>
        <v>0</v>
      </c>
      <c r="Y103" s="170">
        <f t="array" ref="Y103">IFERROR(
AVERAGE((IF(DATOS_[[Sexo]:[Sexo]]=$B103,IF(DATOS_[[AGRUP. CLAS. PROF.]:[AGRUP. CLAS. PROF.]]=$B102,IF(DATOS_[[Check Periodo Ref.]:[Check Periodo Ref.]]="Dentro",DATOS_[Conc.Sal.20]))))),
0)</f>
        <v>0</v>
      </c>
      <c r="Z103" s="170">
        <f t="array" ref="Z103">IFERROR(
AVERAGE((IF(DATOS_[[Sexo]:[Sexo]]=$B103,IF(DATOS_[[AGRUP. CLAS. PROF.]:[AGRUP. CLAS. PROF.]]=$B102,IF(DATOS_[[Check Periodo Ref.]:[Check Periodo Ref.]]="Dentro",DATOS_[Conc.Sal.21]))))),
0)</f>
        <v>0</v>
      </c>
      <c r="AA103" s="170">
        <f t="array" ref="AA103">IFERROR(
AVERAGE((IF(DATOS_[[Sexo]:[Sexo]]=$B103,IF(DATOS_[[AGRUP. CLAS. PROF.]:[AGRUP. CLAS. PROF.]]=$B102,IF(DATOS_[[Check Periodo Ref.]:[Check Periodo Ref.]]="Dentro",DATOS_[Conc.Sal.22]))))),
0)</f>
        <v>0</v>
      </c>
      <c r="AB103" s="170">
        <f t="array" ref="AB103">IFERROR(
AVERAGE((IF(DATOS_[[Sexo]:[Sexo]]=$B103,IF(DATOS_[[AGRUP. CLAS. PROF.]:[AGRUP. CLAS. PROF.]]=$B102,IF(DATOS_[[Check Periodo Ref.]:[Check Periodo Ref.]]="Dentro",DATOS_[Conc.Sal.23]))))),
0)</f>
        <v>0</v>
      </c>
      <c r="AC103" s="170">
        <f t="array" ref="AC103">IFERROR(
AVERAGE((IF(DATOS_[[Sexo]:[Sexo]]=$B103,IF(DATOS_[[AGRUP. CLAS. PROF.]:[AGRUP. CLAS. PROF.]]=$B102,IF(DATOS_[[Check Periodo Ref.]:[Check Periodo Ref.]]="Dentro",DATOS_[Conc.Sal.24]))))),
0)</f>
        <v>0</v>
      </c>
      <c r="AD103" s="170">
        <f t="array" ref="AD103">IFERROR(
AVERAGE((IF(DATOS_[[Sexo]:[Sexo]]=$B103,IF(DATOS_[[AGRUP. CLAS. PROF.]:[AGRUP. CLAS. PROF.]]=$B102,IF(DATOS_[[Check Periodo Ref.]:[Check Periodo Ref.]]="Dentro",DATOS_[Conc.Sal.25]))))),
0)</f>
        <v>0</v>
      </c>
      <c r="AE103" s="170">
        <f t="array" ref="AE103">IFERROR(
AVERAGE((IF(DATOS_[[Sexo]:[Sexo]]=$B103,IF(DATOS_[[AGRUP. CLAS. PROF.]:[AGRUP. CLAS. PROF.]]=$B102,IF(DATOS_[[Check Periodo Ref.]:[Check Periodo Ref.]]="Dentro",DATOS_[Conc.Sal.26]))))),
0)</f>
        <v>0</v>
      </c>
      <c r="AF103" s="170">
        <f t="array" ref="AF103">IFERROR(
AVERAGE((IF(DATOS_[[Sexo]:[Sexo]]=$B103,IF(DATOS_[[AGRUP. CLAS. PROF.]:[AGRUP. CLAS. PROF.]]=$B102,IF(DATOS_[[Check Periodo Ref.]:[Check Periodo Ref.]]="Dentro",DATOS_[Conc.Sal.27]))))),
0)</f>
        <v>0</v>
      </c>
      <c r="AG103" s="170">
        <f t="array" ref="AG103">IFERROR(
AVERAGE((IF(DATOS_[[Sexo]:[Sexo]]=$B103,IF(DATOS_[[AGRUP. CLAS. PROF.]:[AGRUP. CLAS. PROF.]]=$B102,IF(DATOS_[[Check Periodo Ref.]:[Check Periodo Ref.]]="Dentro",DATOS_[Conc.Sal.28]))))),
0)</f>
        <v>0</v>
      </c>
      <c r="AH103" s="170">
        <f t="array" ref="AH103">IFERROR(
AVERAGE((IF(DATOS_[[Sexo]:[Sexo]]=$B103,IF(DATOS_[[AGRUP. CLAS. PROF.]:[AGRUP. CLAS. PROF.]]=$B102,IF(DATOS_[[Check Periodo Ref.]:[Check Periodo Ref.]]="Dentro",DATOS_[Conc.Sal.29]))))),
0)</f>
        <v>0</v>
      </c>
      <c r="AI103" s="170">
        <f t="array" ref="AI103">IFERROR(
AVERAGE((IF(DATOS_[[Sexo]:[Sexo]]=$B103,IF(DATOS_[[AGRUP. CLAS. PROF.]:[AGRUP. CLAS. PROF.]]=$B102,IF(DATOS_[[Check Periodo Ref.]:[Check Periodo Ref.]]="Dentro",DATOS_[Conc.Sal.30]))))),
0)</f>
        <v>0</v>
      </c>
      <c r="AJ103" s="171">
        <f t="array" ref="AJ103">IFERROR(
AVERAGE(IF(DATOS_[Sexo]=$B103,IF(DATOS_[AGRUP. CLAS. PROF.]=$B102,IF(DATOS_[Check Periodo Ref.]="Dentro",DATOS_[Tot COMPL.SAL Ef],FALSE)))),
0)</f>
        <v>0</v>
      </c>
      <c r="AK103" s="172">
        <f t="array" ref="AK103">IFERROR(
AVERAGE(IF(DATOS_[Sexo]=$B103,IF(DATOS_[AGRUP. CLAS. PROF.]=$B102,IF(DATOS_[Check Periodo Ref.]="Dentro",DATOS_[TOTAL SALARIO Ef],FALSE)))),
0)</f>
        <v>0</v>
      </c>
      <c r="AL103" s="173">
        <f t="array" ref="AL103">IFERROR(
AVERAGE((IF(DATOS_[[Sexo]:[Sexo]]=$B103,IF(DATOS_[[AGRUP. CLAS. PROF.]:[AGRUP. CLAS. PROF.]]=$B102,IF(DATOS_[[Check Periodo Ref.]:[Check Periodo Ref.]]="Dentro",DATOS_[C.Extra.01]))))),
0)</f>
        <v>0</v>
      </c>
      <c r="AM103" s="173">
        <f t="array" ref="AM103">IFERROR(
AVERAGE((IF(DATOS_[[Sexo]:[Sexo]]=$B103,IF(DATOS_[[AGRUP. CLAS. PROF.]:[AGRUP. CLAS. PROF.]]=$B102,IF(DATOS_[[Check Periodo Ref.]:[Check Periodo Ref.]]="Dentro",DATOS_[C.Extra.06]))))),
0)</f>
        <v>0</v>
      </c>
      <c r="AN103" s="173">
        <f t="array" ref="AN103">IFERROR(
AVERAGE((IF(DATOS_[[Sexo]:[Sexo]]=$B103,IF(DATOS_[[AGRUP. CLAS. PROF.]:[AGRUP. CLAS. PROF.]]=$B102,IF(DATOS_[[Check Periodo Ref.]:[Check Periodo Ref.]]="Dentro",DATOS_[C.Extra.07]))))),
0)</f>
        <v>0</v>
      </c>
      <c r="AO103" s="173">
        <f t="array" ref="AO103">IFERROR(
AVERAGE((IF(DATOS_[[Sexo]:[Sexo]]=$B103,IF(DATOS_[[AGRUP. CLAS. PROF.]:[AGRUP. CLAS. PROF.]]=$B102,IF(DATOS_[[Check Periodo Ref.]:[Check Periodo Ref.]]="Dentro",DATOS_[C.Extra.08]))))),
0)</f>
        <v>0</v>
      </c>
      <c r="AP103" s="173">
        <f t="array" ref="AP103">IFERROR(
AVERAGE((IF(DATOS_[[Sexo]:[Sexo]]=$B103,IF(DATOS_[[AGRUP. CLAS. PROF.]:[AGRUP. CLAS. PROF.]]=$B102,IF(DATOS_[[Check Periodo Ref.]:[Check Periodo Ref.]]="Dentro",DATOS_[C.Extra.11]))))),
0)</f>
        <v>0</v>
      </c>
      <c r="AQ103" s="174">
        <f t="array" ref="AQ103">IFERROR(
AVERAGE(IF(DATOS_[Sexo]=$B103,IF(DATOS_[AGRUP. CLAS. PROF.]=$B102,IF(DATOS_[Check Periodo Ref.]="Dentro",DATOS_[Tot Extrasalarial Ef],FALSE)))),
0)</f>
        <v>0</v>
      </c>
      <c r="AR103" s="171">
        <f t="array" ref="AR103">IFERROR(
AVERAGE(IF(DATOS_[Sexo]=$B103,IF(DATOS_[AGRUP. CLAS. PROF.]=$B102,IF(DATOS_[Check Periodo Ref.]="Dentro",DATOS_[TOTAL Retrib Ef],FALSE)))),
0)</f>
        <v>0</v>
      </c>
    </row>
    <row r="104" spans="1:44" x14ac:dyDescent="0.25">
      <c r="A104" s="135" t="str">
        <f t="shared" ref="A104" si="122">+A103</f>
        <v>[ocultar]</v>
      </c>
      <c r="B104" s="166" t="s">
        <v>521</v>
      </c>
      <c r="C104" s="167">
        <f t="array" ref="C104">SUM(IF($B104=DATOS_[Sexo],
IF($B102=DATOS_[AGRUP. CLAS. PROF.],
IF("Dentro"=DATOS_[Check Periodo Ref.],
1/(COUNTIFS(DATOS_[Sexo],$B104,DATOS_[AGRUP. CLAS. PROF.],$B102,DATOS_[Check Periodo Ref.],"Dentro",DATOS_[id/cod],DATOS_[id/cod]))))))</f>
        <v>0</v>
      </c>
      <c r="D104" s="168">
        <f>COUNTIFS(DATOS_[AGRUP. CLAS. PROF.],$B102,DATOS_[Sexo],$B104,DATOS_[Check Periodo Ref.],"Dentro")</f>
        <v>0</v>
      </c>
      <c r="E104" s="169">
        <f t="array" ref="E104">IFERROR(
AVERAGE(IF(DATOS_[Sexo]=$B104,IF(DATOS_[AGRUP. CLAS. PROF.]=$B102,IF(DATOS_[Check Periodo Ref.]="Dentro",DATOS_[SALARIO BASE Ef],FALSE)))),
0)</f>
        <v>0</v>
      </c>
      <c r="F104" s="170">
        <f t="array" ref="F104">IFERROR(
AVERAGE((IF(DATOS_[[Sexo]:[Sexo]]=$B104,IF(DATOS_[[AGRUP. CLAS. PROF.]:[AGRUP. CLAS. PROF.]]=$B102,IF(DATOS_[[Check Periodo Ref.]:[Check Periodo Ref.]]="Dentro",DATOS_[Conc.Sal.01]))))),
0)</f>
        <v>0</v>
      </c>
      <c r="G104" s="170">
        <f t="array" ref="G104">IFERROR(
AVERAGE((IF(DATOS_[[Sexo]:[Sexo]]=$B104,IF(DATOS_[[AGRUP. CLAS. PROF.]:[AGRUP. CLAS. PROF.]]=$B102,IF(DATOS_[[Check Periodo Ref.]:[Check Periodo Ref.]]="Dentro",DATOS_[Conc.Sal.02]))))),
0)</f>
        <v>0</v>
      </c>
      <c r="H104" s="170">
        <f t="array" ref="H104">IFERROR(
AVERAGE((IF(DATOS_[[Sexo]:[Sexo]]=$B104,IF(DATOS_[[AGRUP. CLAS. PROF.]:[AGRUP. CLAS. PROF.]]=$B102,IF(DATOS_[[Check Periodo Ref.]:[Check Periodo Ref.]]="Dentro",DATOS_[Conc.Sal.03]))))),
0)</f>
        <v>0</v>
      </c>
      <c r="I104" s="170">
        <f t="array" ref="I104">IFERROR(
AVERAGE((IF(DATOS_[[Sexo]:[Sexo]]=$B104,IF(DATOS_[[AGRUP. CLAS. PROF.]:[AGRUP. CLAS. PROF.]]=$B102,IF(DATOS_[[Check Periodo Ref.]:[Check Periodo Ref.]]="Dentro",DATOS_[Conc.Sal.04]))))),
0)</f>
        <v>0</v>
      </c>
      <c r="J104" s="170">
        <f t="array" ref="J104">IFERROR(
AVERAGE((IF(DATOS_[[Sexo]:[Sexo]]=$B104,IF(DATOS_[[AGRUP. CLAS. PROF.]:[AGRUP. CLAS. PROF.]]=$B102,IF(DATOS_[[Check Periodo Ref.]:[Check Periodo Ref.]]="Dentro",DATOS_[Conc.Sal.05]))))),
0)</f>
        <v>0</v>
      </c>
      <c r="K104" s="170">
        <f t="array" ref="K104">IFERROR(
AVERAGE((IF(DATOS_[[Sexo]:[Sexo]]=$B104,IF(DATOS_[[AGRUP. CLAS. PROF.]:[AGRUP. CLAS. PROF.]]=$B102,IF(DATOS_[[Check Periodo Ref.]:[Check Periodo Ref.]]="Dentro",DATOS_[Conc.Sal.06]))))),
0)</f>
        <v>0</v>
      </c>
      <c r="L104" s="170">
        <f t="array" ref="L104">IFERROR(
AVERAGE((IF(DATOS_[[Sexo]:[Sexo]]=$B104,IF(DATOS_[[AGRUP. CLAS. PROF.]:[AGRUP. CLAS. PROF.]]=$B102,IF(DATOS_[[Check Periodo Ref.]:[Check Periodo Ref.]]="Dentro",DATOS_[Conc.Sal.07]))))),
0)</f>
        <v>0</v>
      </c>
      <c r="M104" s="170">
        <f t="array" ref="M104">IFERROR(
AVERAGE((IF(DATOS_[[Sexo]:[Sexo]]=$B104,IF(DATOS_[[AGRUP. CLAS. PROF.]:[AGRUP. CLAS. PROF.]]=$B102,IF(DATOS_[[Check Periodo Ref.]:[Check Periodo Ref.]]="Dentro",DATOS_[Conc.Sal.08]))))),
0)</f>
        <v>0</v>
      </c>
      <c r="N104" s="170">
        <f t="array" ref="N104">IFERROR(
AVERAGE((IF(DATOS_[[Sexo]:[Sexo]]=$B104,IF(DATOS_[[AGRUP. CLAS. PROF.]:[AGRUP. CLAS. PROF.]]=$B102,IF(DATOS_[[Check Periodo Ref.]:[Check Periodo Ref.]]="Dentro",DATOS_[Conc.Sal.09]))))),
0)</f>
        <v>0</v>
      </c>
      <c r="O104" s="170">
        <f t="array" ref="O104">IFERROR(
AVERAGE((IF(DATOS_[[Sexo]:[Sexo]]=$B104,IF(DATOS_[[AGRUP. CLAS. PROF.]:[AGRUP. CLAS. PROF.]]=$B102,IF(DATOS_[[Check Periodo Ref.]:[Check Periodo Ref.]]="Dentro",DATOS_[Conc.Sal.10]))))),
0)</f>
        <v>0</v>
      </c>
      <c r="P104" s="170">
        <f t="array" ref="P104">IFERROR(
AVERAGE((IF(DATOS_[[Sexo]:[Sexo]]=$B104,IF(DATOS_[[AGRUP. CLAS. PROF.]:[AGRUP. CLAS. PROF.]]=$B102,IF(DATOS_[[Check Periodo Ref.]:[Check Periodo Ref.]]="Dentro",DATOS_[Conc.Sal.11]))))),
0)</f>
        <v>0</v>
      </c>
      <c r="Q104" s="170">
        <f t="array" ref="Q104">IFERROR(
AVERAGE((IF(DATOS_[[Sexo]:[Sexo]]=$B104,IF(DATOS_[[AGRUP. CLAS. PROF.]:[AGRUP. CLAS. PROF.]]=$B102,IF(DATOS_[[Check Periodo Ref.]:[Check Periodo Ref.]]="Dentro",DATOS_[Conc.Sal.12]))))),
0)</f>
        <v>0</v>
      </c>
      <c r="R104" s="170">
        <f t="array" ref="R104">IFERROR(
AVERAGE((IF(DATOS_[[Sexo]:[Sexo]]=$B104,IF(DATOS_[[AGRUP. CLAS. PROF.]:[AGRUP. CLAS. PROF.]]=$B102,IF(DATOS_[[Check Periodo Ref.]:[Check Periodo Ref.]]="Dentro",DATOS_[Conc.Sal.13]))))),
0)</f>
        <v>0</v>
      </c>
      <c r="S104" s="170">
        <f t="array" ref="S104">IFERROR(
AVERAGE((IF(DATOS_[[Sexo]:[Sexo]]=$B104,IF(DATOS_[[AGRUP. CLAS. PROF.]:[AGRUP. CLAS. PROF.]]=$B102,IF(DATOS_[[Check Periodo Ref.]:[Check Periodo Ref.]]="Dentro",DATOS_[Conc.Sal.14]))))),
0)</f>
        <v>0</v>
      </c>
      <c r="T104" s="170">
        <f t="array" ref="T104">IFERROR(
AVERAGE((IF(DATOS_[[Sexo]:[Sexo]]=$B104,IF(DATOS_[[AGRUP. CLAS. PROF.]:[AGRUP. CLAS. PROF.]]=$B102,IF(DATOS_[[Check Periodo Ref.]:[Check Periodo Ref.]]="Dentro",DATOS_[Conc.Sal.15]))))),
0)</f>
        <v>0</v>
      </c>
      <c r="U104" s="170">
        <f t="array" ref="U104">IFERROR(
AVERAGE((IF(DATOS_[[Sexo]:[Sexo]]=$B104,IF(DATOS_[[AGRUP. CLAS. PROF.]:[AGRUP. CLAS. PROF.]]=$B102,IF(DATOS_[[Check Periodo Ref.]:[Check Periodo Ref.]]="Dentro",DATOS_[Conc.Sal.16]))))),
0)</f>
        <v>0</v>
      </c>
      <c r="V104" s="170">
        <f t="array" ref="V104">IFERROR(
AVERAGE((IF(DATOS_[[Sexo]:[Sexo]]=$B104,IF(DATOS_[[AGRUP. CLAS. PROF.]:[AGRUP. CLAS. PROF.]]=$B102,IF(DATOS_[[Check Periodo Ref.]:[Check Periodo Ref.]]="Dentro",DATOS_[Conc.Sal.17]))))),
0)</f>
        <v>0</v>
      </c>
      <c r="W104" s="170">
        <f t="array" ref="W104">IFERROR(
AVERAGE((IF(DATOS_[[Sexo]:[Sexo]]=$B104,IF(DATOS_[[AGRUP. CLAS. PROF.]:[AGRUP. CLAS. PROF.]]=$B102,IF(DATOS_[[Check Periodo Ref.]:[Check Periodo Ref.]]="Dentro",DATOS_[Conc.Sal.18]))))),
0)</f>
        <v>0</v>
      </c>
      <c r="X104" s="170">
        <f t="array" ref="X104">IFERROR(
AVERAGE((IF(DATOS_[[Sexo]:[Sexo]]=$B104,IF(DATOS_[[AGRUP. CLAS. PROF.]:[AGRUP. CLAS. PROF.]]=$B102,IF(DATOS_[[Check Periodo Ref.]:[Check Periodo Ref.]]="Dentro",DATOS_[Conc.Sal.19]))))),
0)</f>
        <v>0</v>
      </c>
      <c r="Y104" s="170">
        <f t="array" ref="Y104">IFERROR(
AVERAGE((IF(DATOS_[[Sexo]:[Sexo]]=$B104,IF(DATOS_[[AGRUP. CLAS. PROF.]:[AGRUP. CLAS. PROF.]]=$B102,IF(DATOS_[[Check Periodo Ref.]:[Check Periodo Ref.]]="Dentro",DATOS_[Conc.Sal.20]))))),
0)</f>
        <v>0</v>
      </c>
      <c r="Z104" s="170">
        <f t="array" ref="Z104">IFERROR(
AVERAGE((IF(DATOS_[[Sexo]:[Sexo]]=$B104,IF(DATOS_[[AGRUP. CLAS. PROF.]:[AGRUP. CLAS. PROF.]]=$B102,IF(DATOS_[[Check Periodo Ref.]:[Check Periodo Ref.]]="Dentro",DATOS_[Conc.Sal.21]))))),
0)</f>
        <v>0</v>
      </c>
      <c r="AA104" s="170">
        <f t="array" ref="AA104">IFERROR(
AVERAGE((IF(DATOS_[[Sexo]:[Sexo]]=$B104,IF(DATOS_[[AGRUP. CLAS. PROF.]:[AGRUP. CLAS. PROF.]]=$B102,IF(DATOS_[[Check Periodo Ref.]:[Check Periodo Ref.]]="Dentro",DATOS_[Conc.Sal.22]))))),
0)</f>
        <v>0</v>
      </c>
      <c r="AB104" s="170">
        <f t="array" ref="AB104">IFERROR(
AVERAGE((IF(DATOS_[[Sexo]:[Sexo]]=$B104,IF(DATOS_[[AGRUP. CLAS. PROF.]:[AGRUP. CLAS. PROF.]]=$B102,IF(DATOS_[[Check Periodo Ref.]:[Check Periodo Ref.]]="Dentro",DATOS_[Conc.Sal.23]))))),
0)</f>
        <v>0</v>
      </c>
      <c r="AC104" s="170">
        <f t="array" ref="AC104">IFERROR(
AVERAGE((IF(DATOS_[[Sexo]:[Sexo]]=$B104,IF(DATOS_[[AGRUP. CLAS. PROF.]:[AGRUP. CLAS. PROF.]]=$B102,IF(DATOS_[[Check Periodo Ref.]:[Check Periodo Ref.]]="Dentro",DATOS_[Conc.Sal.24]))))),
0)</f>
        <v>0</v>
      </c>
      <c r="AD104" s="170">
        <f t="array" ref="AD104">IFERROR(
AVERAGE((IF(DATOS_[[Sexo]:[Sexo]]=$B104,IF(DATOS_[[AGRUP. CLAS. PROF.]:[AGRUP. CLAS. PROF.]]=$B102,IF(DATOS_[[Check Periodo Ref.]:[Check Periodo Ref.]]="Dentro",DATOS_[Conc.Sal.25]))))),
0)</f>
        <v>0</v>
      </c>
      <c r="AE104" s="170">
        <f t="array" ref="AE104">IFERROR(
AVERAGE((IF(DATOS_[[Sexo]:[Sexo]]=$B104,IF(DATOS_[[AGRUP. CLAS. PROF.]:[AGRUP. CLAS. PROF.]]=$B102,IF(DATOS_[[Check Periodo Ref.]:[Check Periodo Ref.]]="Dentro",DATOS_[Conc.Sal.26]))))),
0)</f>
        <v>0</v>
      </c>
      <c r="AF104" s="170">
        <f t="array" ref="AF104">IFERROR(
AVERAGE((IF(DATOS_[[Sexo]:[Sexo]]=$B104,IF(DATOS_[[AGRUP. CLAS. PROF.]:[AGRUP. CLAS. PROF.]]=$B102,IF(DATOS_[[Check Periodo Ref.]:[Check Periodo Ref.]]="Dentro",DATOS_[Conc.Sal.27]))))),
0)</f>
        <v>0</v>
      </c>
      <c r="AG104" s="170">
        <f t="array" ref="AG104">IFERROR(
AVERAGE((IF(DATOS_[[Sexo]:[Sexo]]=$B104,IF(DATOS_[[AGRUP. CLAS. PROF.]:[AGRUP. CLAS. PROF.]]=$B102,IF(DATOS_[[Check Periodo Ref.]:[Check Periodo Ref.]]="Dentro",DATOS_[Conc.Sal.28]))))),
0)</f>
        <v>0</v>
      </c>
      <c r="AH104" s="170">
        <f t="array" ref="AH104">IFERROR(
AVERAGE((IF(DATOS_[[Sexo]:[Sexo]]=$B104,IF(DATOS_[[AGRUP. CLAS. PROF.]:[AGRUP. CLAS. PROF.]]=$B102,IF(DATOS_[[Check Periodo Ref.]:[Check Periodo Ref.]]="Dentro",DATOS_[Conc.Sal.29]))))),
0)</f>
        <v>0</v>
      </c>
      <c r="AI104" s="170">
        <f t="array" ref="AI104">IFERROR(
AVERAGE((IF(DATOS_[[Sexo]:[Sexo]]=$B104,IF(DATOS_[[AGRUP. CLAS. PROF.]:[AGRUP. CLAS. PROF.]]=$B102,IF(DATOS_[[Check Periodo Ref.]:[Check Periodo Ref.]]="Dentro",DATOS_[Conc.Sal.30]))))),
0)</f>
        <v>0</v>
      </c>
      <c r="AJ104" s="171">
        <f t="array" ref="AJ104">IFERROR(
AVERAGE(IF(DATOS_[Sexo]=$B104,IF(DATOS_[AGRUP. CLAS. PROF.]=$B102,IF(DATOS_[Check Periodo Ref.]="Dentro",DATOS_[Tot COMPL.SAL Ef],FALSE)))),
0)</f>
        <v>0</v>
      </c>
      <c r="AK104" s="172">
        <f t="array" ref="AK104">IFERROR(
AVERAGE(IF(DATOS_[Sexo]=$B104,IF(DATOS_[AGRUP. CLAS. PROF.]=$B102,IF(DATOS_[Check Periodo Ref.]="Dentro",DATOS_[TOTAL SALARIO Ef],FALSE)))),
0)</f>
        <v>0</v>
      </c>
      <c r="AL104" s="173">
        <f t="array" ref="AL104">IFERROR(
AVERAGE((IF(DATOS_[[Sexo]:[Sexo]]=$B104,IF(DATOS_[[AGRUP. CLAS. PROF.]:[AGRUP. CLAS. PROF.]]=$B102,IF(DATOS_[[Check Periodo Ref.]:[Check Periodo Ref.]]="Dentro",DATOS_[C.Extra.01]))))),
0)</f>
        <v>0</v>
      </c>
      <c r="AM104" s="173">
        <f t="array" ref="AM104">IFERROR(
AVERAGE((IF(DATOS_[[Sexo]:[Sexo]]=$B104,IF(DATOS_[[AGRUP. CLAS. PROF.]:[AGRUP. CLAS. PROF.]]=$B102,IF(DATOS_[[Check Periodo Ref.]:[Check Periodo Ref.]]="Dentro",DATOS_[C.Extra.06]))))),
0)</f>
        <v>0</v>
      </c>
      <c r="AN104" s="173">
        <f t="array" ref="AN104">IFERROR(
AVERAGE((IF(DATOS_[[Sexo]:[Sexo]]=$B104,IF(DATOS_[[AGRUP. CLAS. PROF.]:[AGRUP. CLAS. PROF.]]=$B102,IF(DATOS_[[Check Periodo Ref.]:[Check Periodo Ref.]]="Dentro",DATOS_[C.Extra.07]))))),
0)</f>
        <v>0</v>
      </c>
      <c r="AO104" s="173">
        <f t="array" ref="AO104">IFERROR(
AVERAGE((IF(DATOS_[[Sexo]:[Sexo]]=$B104,IF(DATOS_[[AGRUP. CLAS. PROF.]:[AGRUP. CLAS. PROF.]]=$B102,IF(DATOS_[[Check Periodo Ref.]:[Check Periodo Ref.]]="Dentro",DATOS_[C.Extra.08]))))),
0)</f>
        <v>0</v>
      </c>
      <c r="AP104" s="173">
        <f t="array" ref="AP104">IFERROR(
AVERAGE((IF(DATOS_[[Sexo]:[Sexo]]=$B104,IF(DATOS_[[AGRUP. CLAS. PROF.]:[AGRUP. CLAS. PROF.]]=$B102,IF(DATOS_[[Check Periodo Ref.]:[Check Periodo Ref.]]="Dentro",DATOS_[C.Extra.11]))))),
0)</f>
        <v>0</v>
      </c>
      <c r="AQ104" s="174">
        <f t="array" ref="AQ104">IFERROR(
AVERAGE(IF(DATOS_[Sexo]=$B104,IF(DATOS_[AGRUP. CLAS. PROF.]=$B102,IF(DATOS_[Check Periodo Ref.]="Dentro",DATOS_[Tot Extrasalarial Ef],FALSE)))),
0)</f>
        <v>0</v>
      </c>
      <c r="AR104" s="171">
        <f t="array" ref="AR104">IFERROR(
AVERAGE(IF(DATOS_[Sexo]=$B104,IF(DATOS_[AGRUP. CLAS. PROF.]=$B102,IF(DATOS_[Check Periodo Ref.]="Dentro",DATOS_[TOTAL Retrib Ef],FALSE)))),
0)</f>
        <v>0</v>
      </c>
    </row>
  </sheetData>
  <dataConsolidate/>
  <phoneticPr fontId="5" type="noConversion"/>
  <pageMargins left="0.25" right="0.25" top="0.75" bottom="0.75" header="0.3" footer="0.3"/>
  <pageSetup scale="88" fitToHeight="0" orientation="landscape" r:id="rId1"/>
  <ignoredErrors>
    <ignoredError sqref="A15:A44" unlockedFormula="1"/>
  </ignoredError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tabColor theme="5" tint="0.39997558519241921"/>
    <pageSetUpPr fitToPage="1"/>
  </sheetPr>
  <dimension ref="A1:AR104"/>
  <sheetViews>
    <sheetView showGridLines="0" zoomScale="80" zoomScaleNormal="80" workbookViewId="0">
      <selection activeCell="O115" sqref="O115"/>
    </sheetView>
  </sheetViews>
  <sheetFormatPr baseColWidth="10" defaultColWidth="7.33203125" defaultRowHeight="13.8" outlineLevelCol="1" x14ac:dyDescent="0.25"/>
  <cols>
    <col min="1" max="1" width="8.88671875" style="178" customWidth="1"/>
    <col min="2" max="2" width="10.44140625" style="178" bestFit="1" customWidth="1"/>
    <col min="3" max="4" width="7.33203125" style="178" customWidth="1"/>
    <col min="5" max="5" width="10.44140625" style="178" customWidth="1"/>
    <col min="6" max="15" width="8.6640625" style="178" customWidth="1"/>
    <col min="16" max="24" width="8.6640625" style="178" customWidth="1" outlineLevel="1"/>
    <col min="25" max="27" width="7.33203125" style="178" customWidth="1" outlineLevel="1"/>
    <col min="28" max="35" width="7.33203125" style="178" hidden="1" customWidth="1" outlineLevel="1"/>
    <col min="36" max="36" width="11.33203125" style="178" customWidth="1"/>
    <col min="37" max="37" width="9.44140625" style="178" customWidth="1"/>
    <col min="38" max="39" width="8.6640625" style="178" customWidth="1"/>
    <col min="40" max="42" width="8.6640625" style="178" hidden="1" customWidth="1"/>
    <col min="43" max="43" width="13" style="178" customWidth="1"/>
    <col min="44" max="44" width="10.109375" style="178" customWidth="1"/>
    <col min="45" max="16384" width="7.33203125" style="178"/>
  </cols>
  <sheetData>
    <row r="1" spans="1:44" s="133" customFormat="1" ht="42.6" customHeight="1" x14ac:dyDescent="0.25">
      <c r="E1" s="254" t="s">
        <v>620</v>
      </c>
    </row>
    <row r="2" spans="1:44" ht="14.1" hidden="1" customHeight="1" x14ac:dyDescent="0.25">
      <c r="G2" s="178" t="str">
        <f>+IF(G8="[ocultar]",G8,"")</f>
        <v/>
      </c>
      <c r="H2" s="178" t="str">
        <f t="shared" ref="H2:AP2" si="0">+IF(H8="[ocultar]",H8,"")</f>
        <v/>
      </c>
      <c r="I2" s="178" t="str">
        <f t="shared" si="0"/>
        <v/>
      </c>
      <c r="J2" s="178" t="str">
        <f t="shared" si="0"/>
        <v/>
      </c>
      <c r="K2" s="178" t="str">
        <f t="shared" si="0"/>
        <v/>
      </c>
      <c r="L2" s="178" t="str">
        <f t="shared" si="0"/>
        <v/>
      </c>
      <c r="M2" s="178" t="str">
        <f t="shared" si="0"/>
        <v/>
      </c>
      <c r="N2" s="178" t="str">
        <f t="shared" si="0"/>
        <v/>
      </c>
      <c r="O2" s="178" t="str">
        <f t="shared" si="0"/>
        <v/>
      </c>
      <c r="P2" s="178" t="str">
        <f t="shared" si="0"/>
        <v/>
      </c>
      <c r="Q2" s="178" t="str">
        <f t="shared" si="0"/>
        <v/>
      </c>
      <c r="R2" s="178" t="str">
        <f t="shared" si="0"/>
        <v/>
      </c>
      <c r="S2" s="178" t="str">
        <f t="shared" si="0"/>
        <v/>
      </c>
      <c r="T2" s="178" t="str">
        <f t="shared" si="0"/>
        <v/>
      </c>
      <c r="U2" s="178" t="str">
        <f t="shared" si="0"/>
        <v/>
      </c>
      <c r="V2" s="178" t="str">
        <f t="shared" si="0"/>
        <v/>
      </c>
      <c r="W2" s="178" t="str">
        <f t="shared" si="0"/>
        <v/>
      </c>
      <c r="X2" s="178" t="str">
        <f t="shared" si="0"/>
        <v/>
      </c>
      <c r="Y2" s="178" t="str">
        <f t="shared" si="0"/>
        <v/>
      </c>
      <c r="Z2" s="178" t="str">
        <f t="shared" si="0"/>
        <v/>
      </c>
      <c r="AA2" s="178" t="str">
        <f t="shared" si="0"/>
        <v>[ocultar]</v>
      </c>
      <c r="AB2" s="178" t="str">
        <f t="shared" si="0"/>
        <v>[ocultar]</v>
      </c>
      <c r="AC2" s="178" t="str">
        <f t="shared" si="0"/>
        <v>[ocultar]</v>
      </c>
      <c r="AD2" s="178" t="str">
        <f t="shared" si="0"/>
        <v>[ocultar]</v>
      </c>
      <c r="AE2" s="178" t="str">
        <f t="shared" si="0"/>
        <v>[ocultar]</v>
      </c>
      <c r="AF2" s="178" t="str">
        <f t="shared" si="0"/>
        <v>[ocultar]</v>
      </c>
      <c r="AG2" s="178" t="str">
        <f t="shared" si="0"/>
        <v>[ocultar]</v>
      </c>
      <c r="AH2" s="178" t="str">
        <f t="shared" si="0"/>
        <v>[ocultar]</v>
      </c>
      <c r="AI2" s="178" t="str">
        <f t="shared" si="0"/>
        <v>[ocultar]</v>
      </c>
      <c r="AJ2" s="178" t="str">
        <f t="shared" si="0"/>
        <v/>
      </c>
      <c r="AK2" s="178" t="str">
        <f t="shared" si="0"/>
        <v/>
      </c>
      <c r="AL2" s="178" t="str">
        <f t="shared" si="0"/>
        <v>[ocultar]</v>
      </c>
      <c r="AM2" s="178" t="str">
        <f t="shared" si="0"/>
        <v>[ocultar]</v>
      </c>
      <c r="AN2" s="178" t="str">
        <f t="shared" si="0"/>
        <v>[ocultar]</v>
      </c>
      <c r="AO2" s="178" t="str">
        <f t="shared" si="0"/>
        <v>[ocultar]</v>
      </c>
      <c r="AP2" s="178" t="str">
        <f t="shared" si="0"/>
        <v>[ocultar]</v>
      </c>
    </row>
    <row r="3" spans="1:44" ht="14.1" customHeight="1" x14ac:dyDescent="0.25">
      <c r="E3" s="179" t="str">
        <f>+"Razón Social: "&amp;Inicio!C6&amp;"  -  NIF: "&amp;Inicio!C8</f>
        <v>Razón Social: TANATORIOS DE CORDOBA, SA/Convenio Colectivo de Sector de POMPAS FUNEBRES (14000425011981) de Córdoba  -  NIF: A14087548</v>
      </c>
      <c r="F3" s="180"/>
    </row>
    <row r="4" spans="1:44" ht="14.1" customHeight="1" x14ac:dyDescent="0.25">
      <c r="E4" s="181" t="s">
        <v>4</v>
      </c>
      <c r="F4" s="182"/>
    </row>
    <row r="5" spans="1:44" ht="14.1" customHeight="1" x14ac:dyDescent="0.25">
      <c r="E5" s="183">
        <f>+Inicio!E10</f>
        <v>45292</v>
      </c>
      <c r="F5" s="184" t="str">
        <f>+Inicio!D10</f>
        <v>fecha inicio</v>
      </c>
    </row>
    <row r="6" spans="1:44" ht="14.1" customHeight="1" x14ac:dyDescent="0.25">
      <c r="E6" s="183">
        <f>+Inicio!G10</f>
        <v>45657</v>
      </c>
      <c r="F6" s="184" t="s">
        <v>6</v>
      </c>
    </row>
    <row r="7" spans="1:44" s="143" customFormat="1" ht="27.9" customHeight="1" x14ac:dyDescent="0.3"/>
    <row r="8" spans="1:44" s="185" customFormat="1" ht="46.35" customHeight="1" x14ac:dyDescent="0.3">
      <c r="B8" s="145"/>
      <c r="C8" s="145" t="s">
        <v>621</v>
      </c>
      <c r="D8" s="145" t="s">
        <v>622</v>
      </c>
      <c r="E8" s="146" t="s">
        <v>151</v>
      </c>
      <c r="F8" s="147" t="str">
        <f>+IF(DATOS!AE6="","[ocultar]",DATOS!AE6)</f>
        <v>HORAS EXTRAS</v>
      </c>
      <c r="G8" s="147" t="str">
        <f>+IF(DATOS!AF6="","[ocultar]",DATOS!AF6)</f>
        <v>SEGURO CONVENIO</v>
      </c>
      <c r="H8" s="147" t="str">
        <f>+IF(DATOS!AG6="","[ocultar]",DATOS!AG6)</f>
        <v>PLUS UNIFICADO</v>
      </c>
      <c r="I8" s="147" t="str">
        <f>+IF(DATOS!AH6="","[ocultar]",DATOS!AH6)</f>
        <v>GARANTIA AD PERS</v>
      </c>
      <c r="J8" s="147" t="str">
        <f>+IF(DATOS!AI6="","[ocultar]",DATOS!AI6)</f>
        <v>COMISIONES</v>
      </c>
      <c r="K8" s="147" t="str">
        <f>+IF(DATOS!AJ6="","[ocultar]",DATOS!AJ6)</f>
        <v>DOMINGOS Y FESTIVOS</v>
      </c>
      <c r="L8" s="147" t="str">
        <f>+IF(DATOS!AK6="","[ocultar]",DATOS!AK6)</f>
        <v>LOCOMOCION NO</v>
      </c>
      <c r="M8" s="147" t="str">
        <f>+IF(DATOS!AL6="","[ocultar]",DATOS!AL6)</f>
        <v>PLUS EXTRA VAC</v>
      </c>
      <c r="N8" s="147" t="str">
        <f>+IF(DATOS!AM6="","[ocultar]",DATOS!AM6)</f>
        <v>PLUS DE TRANS</v>
      </c>
      <c r="O8" s="147" t="str">
        <f>+IF(DATOS!AN6="","[ocultar]",DATOS!AN6)</f>
        <v>PLUS ACTIVIDAD</v>
      </c>
      <c r="P8" s="147" t="str">
        <f>+IF(DATOS!AO6="","[ocultar]",DATOS!AO6)</f>
        <v>CUOTA SINDICAL</v>
      </c>
      <c r="Q8" s="147" t="str">
        <f>+IF(DATOS!AP6="","[ocultar]",DATOS!AP6)</f>
        <v>AYUDA FAMILIAR</v>
      </c>
      <c r="R8" s="147" t="str">
        <f>+IF(DATOS!AQ6="","[ocultar]",DATOS!AQ6)</f>
        <v>INCENTIVO</v>
      </c>
      <c r="S8" s="147" t="str">
        <f>+IF(DATOS!AR6="","[ocultar]",DATOS!AR6)</f>
        <v>SEGURO MEDICO</v>
      </c>
      <c r="T8" s="147" t="str">
        <f>+IF(DATOS!AS6="","[ocultar]",DATOS!AS6)</f>
        <v>DES. SEGURO MEDICO</v>
      </c>
      <c r="U8" s="147" t="str">
        <f>+IF(DATOS!AT6="","[ocultar]",DATOS!AT6)</f>
        <v>SEGURO SALUD 2</v>
      </c>
      <c r="V8" s="147" t="str">
        <f>+IF(DATOS!AU6="","[ocultar]",DATOS!AU6)</f>
        <v>COMP. EMPRESA I.T.</v>
      </c>
      <c r="W8" s="147" t="str">
        <f>+IF(DATOS!AV6="","[ocultar]",DATOS!AV6)</f>
        <v>I.T. CUENTA EMPRESA</v>
      </c>
      <c r="X8" s="147" t="str">
        <f>+IF(DATOS!AW6="","[ocultar]",DATOS!AW6)</f>
        <v>SALARIO EN ESPECIE</v>
      </c>
      <c r="Y8" s="147" t="str">
        <f>+IF(DATOS!AX6="","[ocultar]",DATOS!AX6)</f>
        <v>PLUS DE POLIVALENCIA</v>
      </c>
      <c r="Z8" s="147" t="str">
        <f>+IF(DATOS!AY6="","[ocultar]",DATOS!AY6)</f>
        <v>LIQUID  PAGAS EXTRA</v>
      </c>
      <c r="AA8" s="147" t="str">
        <f>+IF(DATOS!AZ6="","[ocultar]",DATOS!AZ6)</f>
        <v>[ocultar]</v>
      </c>
      <c r="AB8" s="147" t="str">
        <f>+IF(DATOS!BA6="","[ocultar]",DATOS!BA6)</f>
        <v>[ocultar]</v>
      </c>
      <c r="AC8" s="147" t="str">
        <f>+IF(DATOS!BB6="","[ocultar]",DATOS!BB6)</f>
        <v>[ocultar]</v>
      </c>
      <c r="AD8" s="147" t="str">
        <f>+IF(DATOS!BC6="","[ocultar]",DATOS!BC6)</f>
        <v>[ocultar]</v>
      </c>
      <c r="AE8" s="147" t="str">
        <f>+IF(DATOS!BD6="","[ocultar]",DATOS!BD6)</f>
        <v>[ocultar]</v>
      </c>
      <c r="AF8" s="147" t="str">
        <f>+IF(DATOS!BE6="","[ocultar]",DATOS!BE6)</f>
        <v>[ocultar]</v>
      </c>
      <c r="AG8" s="147" t="str">
        <f>+IF(DATOS!BF6="","[ocultar]",DATOS!BF6)</f>
        <v>[ocultar]</v>
      </c>
      <c r="AH8" s="147" t="str">
        <f>+IF(DATOS!BG6="","[ocultar]",DATOS!BG6)</f>
        <v>[ocultar]</v>
      </c>
      <c r="AI8" s="147" t="str">
        <f>+IF(DATOS!BH6="","[ocultar]",DATOS!BH6)</f>
        <v>[ocultar]</v>
      </c>
      <c r="AJ8" s="148" t="s">
        <v>153</v>
      </c>
      <c r="AK8" s="149" t="s">
        <v>155</v>
      </c>
      <c r="AL8" s="150" t="str">
        <f>+IF(DATOS!BW6="","[ocultar]",DATOS!BW6)</f>
        <v>[ocultar]</v>
      </c>
      <c r="AM8" s="150" t="str">
        <f>+IF(DATOS!CB6="","[ocultar]",DATOS!CB6)</f>
        <v>[ocultar]</v>
      </c>
      <c r="AN8" s="150" t="str">
        <f>+IF(DATOS!CC6="","[ocultar]",DATOS!CC6)</f>
        <v>[ocultar]</v>
      </c>
      <c r="AO8" s="150" t="str">
        <f>+IF(DATOS!CD6="","[ocultar]",DATOS!CD6)</f>
        <v>[ocultar]</v>
      </c>
      <c r="AP8" s="150" t="str">
        <f>+IF(DATOS!CG6="","[ocultar]",DATOS!CG6)</f>
        <v>[ocultar]</v>
      </c>
      <c r="AQ8" s="151" t="s">
        <v>157</v>
      </c>
      <c r="AR8" s="148" t="s">
        <v>159</v>
      </c>
    </row>
    <row r="9" spans="1:44" s="186" customFormat="1" ht="15.6" thickBot="1" x14ac:dyDescent="0.3">
      <c r="B9" s="153" t="s">
        <v>623</v>
      </c>
      <c r="C9" s="154"/>
      <c r="D9" s="155"/>
      <c r="E9" s="156" t="str">
        <f t="shared" ref="E9" si="1">IFERROR((E10-E11)/E10,"")</f>
        <v/>
      </c>
      <c r="F9" s="157" t="str">
        <f>IFERROR((F10-F11)/F10,"")</f>
        <v/>
      </c>
      <c r="G9" s="158" t="str">
        <f t="shared" ref="G9:AR9" si="2">IFERROR((G10-G11)/G10,"")</f>
        <v/>
      </c>
      <c r="H9" s="158" t="str">
        <f t="shared" si="2"/>
        <v/>
      </c>
      <c r="I9" s="158" t="str">
        <f t="shared" si="2"/>
        <v/>
      </c>
      <c r="J9" s="159" t="str">
        <f t="shared" si="2"/>
        <v/>
      </c>
      <c r="K9" s="160" t="str">
        <f t="shared" si="2"/>
        <v/>
      </c>
      <c r="L9" s="160" t="str">
        <f t="shared" si="2"/>
        <v/>
      </c>
      <c r="M9" s="160" t="str">
        <f t="shared" si="2"/>
        <v/>
      </c>
      <c r="N9" s="160" t="str">
        <f t="shared" si="2"/>
        <v/>
      </c>
      <c r="O9" s="160" t="str">
        <f t="shared" si="2"/>
        <v/>
      </c>
      <c r="P9" s="160" t="str">
        <f t="shared" si="2"/>
        <v/>
      </c>
      <c r="Q9" s="160" t="str">
        <f t="shared" si="2"/>
        <v/>
      </c>
      <c r="R9" s="160" t="str">
        <f t="shared" si="2"/>
        <v/>
      </c>
      <c r="S9" s="160" t="str">
        <f t="shared" si="2"/>
        <v/>
      </c>
      <c r="T9" s="160" t="str">
        <f t="shared" si="2"/>
        <v/>
      </c>
      <c r="U9" s="160" t="str">
        <f t="shared" si="2"/>
        <v/>
      </c>
      <c r="V9" s="159" t="str">
        <f t="shared" si="2"/>
        <v/>
      </c>
      <c r="W9" s="159" t="str">
        <f t="shared" si="2"/>
        <v/>
      </c>
      <c r="X9" s="159" t="str">
        <f t="shared" si="2"/>
        <v/>
      </c>
      <c r="Y9" s="159" t="str">
        <f t="shared" si="2"/>
        <v/>
      </c>
      <c r="Z9" s="159" t="str">
        <f t="shared" si="2"/>
        <v/>
      </c>
      <c r="AA9" s="159" t="str">
        <f t="shared" si="2"/>
        <v/>
      </c>
      <c r="AB9" s="159" t="str">
        <f t="shared" si="2"/>
        <v/>
      </c>
      <c r="AC9" s="159" t="str">
        <f t="shared" si="2"/>
        <v/>
      </c>
      <c r="AD9" s="159" t="str">
        <f t="shared" si="2"/>
        <v/>
      </c>
      <c r="AE9" s="159" t="str">
        <f t="shared" si="2"/>
        <v/>
      </c>
      <c r="AF9" s="159" t="str">
        <f t="shared" si="2"/>
        <v/>
      </c>
      <c r="AG9" s="159" t="str">
        <f t="shared" si="2"/>
        <v/>
      </c>
      <c r="AH9" s="159" t="str">
        <f t="shared" si="2"/>
        <v/>
      </c>
      <c r="AI9" s="159" t="str">
        <f t="shared" si="2"/>
        <v/>
      </c>
      <c r="AJ9" s="161" t="str">
        <f t="shared" si="2"/>
        <v/>
      </c>
      <c r="AK9" s="162" t="str">
        <f t="shared" si="2"/>
        <v/>
      </c>
      <c r="AL9" s="163" t="str">
        <f t="shared" si="2"/>
        <v/>
      </c>
      <c r="AM9" s="163" t="str">
        <f t="shared" si="2"/>
        <v/>
      </c>
      <c r="AN9" s="163" t="str">
        <f t="shared" si="2"/>
        <v/>
      </c>
      <c r="AO9" s="163" t="str">
        <f t="shared" si="2"/>
        <v/>
      </c>
      <c r="AP9" s="163" t="str">
        <f t="shared" si="2"/>
        <v/>
      </c>
      <c r="AQ9" s="164" t="str">
        <f t="shared" si="2"/>
        <v/>
      </c>
      <c r="AR9" s="165" t="str">
        <f t="shared" si="2"/>
        <v/>
      </c>
    </row>
    <row r="10" spans="1:44" s="186" customFormat="1" x14ac:dyDescent="0.25">
      <c r="B10" s="166" t="s">
        <v>394</v>
      </c>
      <c r="C10" s="167">
        <f t="array" ref="C10">SUM(IF($B10=DATOS_[Sexo],
IF("Dentro"=DATOS_[Check Periodo Ref.],
1/(COUNTIFS(DATOS_[Sexo],$B10,DATOS_[Check Periodo Ref.],"Dentro",DATOS_[id/cod],DATOS_[id/cod])))))</f>
        <v>60</v>
      </c>
      <c r="D10" s="168">
        <f>COUNTIFS(DATOS_[AGRUP. CLAS. PROF.],"&lt;&gt;",DATOS_[Sexo],$B10,DATOS_[Check Periodo Ref.],"Dentro")</f>
        <v>15</v>
      </c>
      <c r="E10" s="169">
        <f t="array" ref="E10">IFERROR(
MEDIAN(IF(DATOS_[Sexo]=$B10,IF(DATOS_[Check Periodo Ref.]="Dentro",DATOS_[SALARIO BASE Ef],FALSE))),
0)</f>
        <v>0</v>
      </c>
      <c r="F10" s="170">
        <f t="array" ref="F10">IFERROR(
(MEDIAN((IF(DATOS_[[Sexo]:[Sexo]]=$B10,IF(DATOS_[[Check Periodo Ref.]:[Check Periodo Ref.]]="Dentro",DATOS_[Conc.Sal.01]))))),
0)</f>
        <v>0</v>
      </c>
      <c r="G10" s="170">
        <f t="array" ref="G10">IFERROR(
(MEDIAN((IF(DATOS_[[Sexo]:[Sexo]]=$B10,IF(DATOS_[[Check Periodo Ref.]:[Check Periodo Ref.]]="Dentro",DATOS_[Conc.Sal.02]))))),
0)</f>
        <v>0</v>
      </c>
      <c r="H10" s="170">
        <f t="array" ref="H10">IFERROR(
(MEDIAN((IF(DATOS_[[Sexo]:[Sexo]]=$B10,IF(DATOS_[[Check Periodo Ref.]:[Check Periodo Ref.]]="Dentro",DATOS_[Conc.Sal.03]))))),
0)</f>
        <v>0</v>
      </c>
      <c r="I10" s="170">
        <f t="array" ref="I10">IFERROR(
(MEDIAN((IF(DATOS_[[Sexo]:[Sexo]]=$B10,IF(DATOS_[[Check Periodo Ref.]:[Check Periodo Ref.]]="Dentro",DATOS_[Conc.Sal.04]))))),
0)</f>
        <v>0</v>
      </c>
      <c r="J10" s="170">
        <f t="array" ref="J10">IFERROR(
(MEDIAN((IF(DATOS_[[Sexo]:[Sexo]]=$B10,IF(DATOS_[[Check Periodo Ref.]:[Check Periodo Ref.]]="Dentro",DATOS_[Conc.Sal.05]))))),
0)</f>
        <v>0</v>
      </c>
      <c r="K10" s="170">
        <f t="array" ref="K10">IFERROR(
(MEDIAN((IF(DATOS_[[Sexo]:[Sexo]]=$B10,IF(DATOS_[[Check Periodo Ref.]:[Check Periodo Ref.]]="Dentro",DATOS_[Conc.Sal.06]))))),
0)</f>
        <v>0</v>
      </c>
      <c r="L10" s="170">
        <f t="array" ref="L10">IFERROR(
(MEDIAN((IF(DATOS_[[Sexo]:[Sexo]]=$B10,IF(DATOS_[[Check Periodo Ref.]:[Check Periodo Ref.]]="Dentro",DATOS_[Conc.Sal.07]))))),
0)</f>
        <v>0</v>
      </c>
      <c r="M10" s="170">
        <f t="array" ref="M10">IFERROR(
(MEDIAN((IF(DATOS_[[Sexo]:[Sexo]]=$B10,IF(DATOS_[[Check Periodo Ref.]:[Check Periodo Ref.]]="Dentro",DATOS_[Conc.Sal.08]))))),
0)</f>
        <v>0</v>
      </c>
      <c r="N10" s="170">
        <f t="array" ref="N10">IFERROR(
(MEDIAN((IF(DATOS_[[Sexo]:[Sexo]]=$B10,IF(DATOS_[[Check Periodo Ref.]:[Check Periodo Ref.]]="Dentro",DATOS_[Conc.Sal.09]))))),
0)</f>
        <v>0</v>
      </c>
      <c r="O10" s="170">
        <f t="array" ref="O10">IFERROR(
(MEDIAN((IF(DATOS_[[Sexo]:[Sexo]]=$B10,IF(DATOS_[[Check Periodo Ref.]:[Check Periodo Ref.]]="Dentro",DATOS_[Conc.Sal.10]))))),
0)</f>
        <v>0</v>
      </c>
      <c r="P10" s="170">
        <f t="array" ref="P10">IFERROR(
(MEDIAN((IF(DATOS_[[Sexo]:[Sexo]]=$B10,IF(DATOS_[[Check Periodo Ref.]:[Check Periodo Ref.]]="Dentro",DATOS_[Conc.Sal.11]))))),
0)</f>
        <v>0</v>
      </c>
      <c r="Q10" s="170">
        <f t="array" ref="Q10">IFERROR(
(MEDIAN((IF(DATOS_[[Sexo]:[Sexo]]=$B10,IF(DATOS_[[Check Periodo Ref.]:[Check Periodo Ref.]]="Dentro",DATOS_[Conc.Sal.12]))))),
0)</f>
        <v>0</v>
      </c>
      <c r="R10" s="170">
        <f t="array" ref="R10">IFERROR(
(MEDIAN((IF(DATOS_[[Sexo]:[Sexo]]=$B10,IF(DATOS_[[Check Periodo Ref.]:[Check Periodo Ref.]]="Dentro",DATOS_[Conc.Sal.13]))))),
0)</f>
        <v>0</v>
      </c>
      <c r="S10" s="170">
        <f t="array" ref="S10">IFERROR(
(MEDIAN((IF(DATOS_[[Sexo]:[Sexo]]=$B10,IF(DATOS_[[Check Periodo Ref.]:[Check Periodo Ref.]]="Dentro",DATOS_[Conc.Sal.14]))))),
0)</f>
        <v>0</v>
      </c>
      <c r="T10" s="170">
        <f t="array" ref="T10">IFERROR(
(MEDIAN((IF(DATOS_[[Sexo]:[Sexo]]=$B10,IF(DATOS_[[Check Periodo Ref.]:[Check Periodo Ref.]]="Dentro",DATOS_[Conc.Sal.15]))))),
0)</f>
        <v>0</v>
      </c>
      <c r="U10" s="170">
        <f t="array" ref="U10">IFERROR(
(MEDIAN((IF(DATOS_[[Sexo]:[Sexo]]=$B10,IF(DATOS_[[Check Periodo Ref.]:[Check Periodo Ref.]]="Dentro",DATOS_[Conc.Sal.16]))))),
0)</f>
        <v>0</v>
      </c>
      <c r="V10" s="170">
        <f t="array" ref="V10">IFERROR(
(MEDIAN((IF(DATOS_[[Sexo]:[Sexo]]=$B10,IF(DATOS_[[Check Periodo Ref.]:[Check Periodo Ref.]]="Dentro",DATOS_[Conc.Sal.17]))))),
0)</f>
        <v>0</v>
      </c>
      <c r="W10" s="170">
        <f t="array" ref="W10">IFERROR(
(MEDIAN((IF(DATOS_[[Sexo]:[Sexo]]=$B10,IF(DATOS_[[Check Periodo Ref.]:[Check Periodo Ref.]]="Dentro",DATOS_[Conc.Sal.18]))))),
0)</f>
        <v>0</v>
      </c>
      <c r="X10" s="170">
        <f t="array" ref="X10">IFERROR(
(MEDIAN((IF(DATOS_[[Sexo]:[Sexo]]=$B10,IF(DATOS_[[Check Periodo Ref.]:[Check Periodo Ref.]]="Dentro",DATOS_[Conc.Sal.19]))))),
0)</f>
        <v>0</v>
      </c>
      <c r="Y10" s="170">
        <f t="array" ref="Y10">IFERROR(
(MEDIAN((IF(DATOS_[[Sexo]:[Sexo]]=$B10,IF(DATOS_[[Check Periodo Ref.]:[Check Periodo Ref.]]="Dentro",DATOS_[Conc.Sal.20]))))),
0)</f>
        <v>0</v>
      </c>
      <c r="Z10" s="170">
        <f t="array" ref="Z10">IFERROR(
(MEDIAN((IF(DATOS_[[Sexo]:[Sexo]]=$B10,IF(DATOS_[[Check Periodo Ref.]:[Check Periodo Ref.]]="Dentro",DATOS_[Conc.Sal.21]))))),
0)</f>
        <v>0</v>
      </c>
      <c r="AA10" s="170">
        <f t="array" ref="AA10">IFERROR(
(MEDIAN((IF(DATOS_[[Sexo]:[Sexo]]=$B10,IF(DATOS_[[Check Periodo Ref.]:[Check Periodo Ref.]]="Dentro",DATOS_[Conc.Sal.22]))))),
0)</f>
        <v>0</v>
      </c>
      <c r="AB10" s="170">
        <f t="array" ref="AB10">IFERROR(
(MEDIAN((IF(DATOS_[[Sexo]:[Sexo]]=$B10,IF(DATOS_[[Check Periodo Ref.]:[Check Periodo Ref.]]="Dentro",DATOS_[Conc.Sal.23]))))),
0)</f>
        <v>0</v>
      </c>
      <c r="AC10" s="170">
        <f t="array" ref="AC10">IFERROR(
(MEDIAN((IF(DATOS_[[Sexo]:[Sexo]]=$B10,IF(DATOS_[[Check Periodo Ref.]:[Check Periodo Ref.]]="Dentro",DATOS_[Conc.Sal.24]))))),
0)</f>
        <v>0</v>
      </c>
      <c r="AD10" s="170">
        <f t="array" ref="AD10">IFERROR(
(MEDIAN((IF(DATOS_[[Sexo]:[Sexo]]=$B10,IF(DATOS_[[Check Periodo Ref.]:[Check Periodo Ref.]]="Dentro",DATOS_[Conc.Sal.25]))))),
0)</f>
        <v>0</v>
      </c>
      <c r="AE10" s="170">
        <f t="array" ref="AE10">IFERROR(
(MEDIAN((IF(DATOS_[[Sexo]:[Sexo]]=$B10,IF(DATOS_[[Check Periodo Ref.]:[Check Periodo Ref.]]="Dentro",DATOS_[Conc.Sal.26]))))),
0)</f>
        <v>0</v>
      </c>
      <c r="AF10" s="170">
        <f t="array" ref="AF10">IFERROR(
(MEDIAN((IF(DATOS_[[Sexo]:[Sexo]]=$B10,IF(DATOS_[[Check Periodo Ref.]:[Check Periodo Ref.]]="Dentro",DATOS_[Conc.Sal.27]))))),
0)</f>
        <v>0</v>
      </c>
      <c r="AG10" s="170">
        <f t="array" ref="AG10">IFERROR(
(MEDIAN((IF(DATOS_[[Sexo]:[Sexo]]=$B10,IF(DATOS_[[Check Periodo Ref.]:[Check Periodo Ref.]]="Dentro",DATOS_[Conc.Sal.28]))))),
0)</f>
        <v>0</v>
      </c>
      <c r="AH10" s="170">
        <f t="array" ref="AH10">IFERROR(
(MEDIAN((IF(DATOS_[[Sexo]:[Sexo]]=$B10,IF(DATOS_[[Check Periodo Ref.]:[Check Periodo Ref.]]="Dentro",DATOS_[Conc.Sal.29]))))),
0)</f>
        <v>0</v>
      </c>
      <c r="AI10" s="170">
        <f t="array" ref="AI10">IFERROR(
(MEDIAN((IF(DATOS_[[Sexo]:[Sexo]]=$B10,IF(DATOS_[[Check Periodo Ref.]:[Check Periodo Ref.]]="Dentro",DATOS_[Conc.Sal.30]))))),
0)</f>
        <v>0</v>
      </c>
      <c r="AJ10" s="171">
        <f t="array" ref="AJ10">IFERROR(
MEDIAN(IF(DATOS_[Sexo]=$B10,IF(DATOS_[Check Periodo Ref.]="Dentro",DATOS_[Tot COMPL.SAL Ef],FALSE))),
0)</f>
        <v>0</v>
      </c>
      <c r="AK10" s="172">
        <f t="array" ref="AK10">IFERROR(
MEDIAN(IF(DATOS_[Sexo]=$B10,IF(DATOS_[Check Periodo Ref.]="Dentro",DATOS_[TOTAL SALARIO Ef],FALSE))),
0)</f>
        <v>0</v>
      </c>
      <c r="AL10" s="173">
        <f t="array" ref="AL10">IFERROR(
(MEDIAN((IF(DATOS_[[Sexo]:[Sexo]]=$B10,IF(DATOS_[[Check Periodo Ref.]:[Check Periodo Ref.]]="Dentro",DATOS_[C.Extra.01]))))),
0)</f>
        <v>0</v>
      </c>
      <c r="AM10" s="173">
        <f t="array" ref="AM10">IFERROR(
(MEDIAN((IF(DATOS_[[Sexo]:[Sexo]]=$B10,IF(DATOS_[[Check Periodo Ref.]:[Check Periodo Ref.]]="Dentro",DATOS_[C.Extra.06]))))),
0)</f>
        <v>0</v>
      </c>
      <c r="AN10" s="173">
        <f t="array" ref="AN10">IFERROR(
(MEDIAN((IF(DATOS_[[Sexo]:[Sexo]]=$B10,IF(DATOS_[[Check Periodo Ref.]:[Check Periodo Ref.]]="Dentro",DATOS_[C.Extra.07]))))),
0)</f>
        <v>0</v>
      </c>
      <c r="AO10" s="173">
        <f t="array" ref="AO10">IFERROR(
(MEDIAN((IF(DATOS_[[Sexo]:[Sexo]]=$B10,IF(DATOS_[[Check Periodo Ref.]:[Check Periodo Ref.]]="Dentro",DATOS_[C.Extra.08]))))),
0)</f>
        <v>0</v>
      </c>
      <c r="AP10" s="173">
        <f t="array" ref="AP10">IFERROR(
(MEDIAN((IF(DATOS_[[Sexo]:[Sexo]]=$B10,IF(DATOS_[[Check Periodo Ref.]:[Check Periodo Ref.]]="Dentro",DATOS_[C.Extra.11]))))),
0)</f>
        <v>0</v>
      </c>
      <c r="AQ10" s="174">
        <f t="array" ref="AQ10">IFERROR(
MEDIAN(IF(DATOS_[Sexo]=$B10,IF(DATOS_[Check Periodo Ref.]="Dentro",DATOS_[Tot Extrasalarial Ef],FALSE))),
0)</f>
        <v>0</v>
      </c>
      <c r="AR10" s="175">
        <f t="array" ref="AR10">IFERROR(
MEDIAN(IF(DATOS_[Sexo]=$B10,IF(DATOS_[Check Periodo Ref.]="Dentro",DATOS_[TOTAL Retrib Ef],FALSE))),
0)</f>
        <v>0</v>
      </c>
    </row>
    <row r="11" spans="1:44" s="186" customFormat="1" x14ac:dyDescent="0.25">
      <c r="B11" s="166" t="s">
        <v>521</v>
      </c>
      <c r="C11" s="167">
        <f t="array" ref="C11">SUM(IF($B11=DATOS_[Sexo],
IF("Dentro"=DATOS_[Check Periodo Ref.],
1/(COUNTIFS(DATOS_[Sexo],$B11,DATOS_[Check Periodo Ref.],"Dentro",DATOS_[id/cod],DATOS_[id/cod])))))</f>
        <v>52.000000000000007</v>
      </c>
      <c r="D11" s="168">
        <f>COUNTIFS(DATOS_[AGRUP. CLAS. PROF.],"&lt;&gt;",DATOS_[Sexo],$B11,DATOS_[Check Periodo Ref.],"Dentro")</f>
        <v>27</v>
      </c>
      <c r="E11" s="169">
        <f t="array" ref="E11">IFERROR(
MEDIAN(IF(DATOS_[Sexo]=$B11,IF(DATOS_[Check Periodo Ref.]="Dentro",DATOS_[SALARIO BASE Ef],FALSE))),
0)</f>
        <v>1.905</v>
      </c>
      <c r="F11" s="170">
        <f t="array" ref="F11">IFERROR(
(MEDIAN((IF(DATOS_[[Sexo]:[Sexo]]=$B11,IF(DATOS_[[Check Periodo Ref.]:[Check Periodo Ref.]]="Dentro",DATOS_[Conc.Sal.01]))))),
0)</f>
        <v>0</v>
      </c>
      <c r="G11" s="170">
        <f t="array" ref="G11">IFERROR(
(MEDIAN((IF(DATOS_[[Sexo]:[Sexo]]=$B11,IF(DATOS_[[Check Periodo Ref.]:[Check Periodo Ref.]]="Dentro",DATOS_[Conc.Sal.02]))))),
0)</f>
        <v>0</v>
      </c>
      <c r="H11" s="170">
        <f t="array" ref="H11">IFERROR(
(MEDIAN((IF(DATOS_[[Sexo]:[Sexo]]=$B11,IF(DATOS_[[Check Periodo Ref.]:[Check Periodo Ref.]]="Dentro",DATOS_[Conc.Sal.03]))))),
0)</f>
        <v>0</v>
      </c>
      <c r="I11" s="170">
        <f t="array" ref="I11">IFERROR(
(MEDIAN((IF(DATOS_[[Sexo]:[Sexo]]=$B11,IF(DATOS_[[Check Periodo Ref.]:[Check Periodo Ref.]]="Dentro",DATOS_[Conc.Sal.04]))))),
0)</f>
        <v>0</v>
      </c>
      <c r="J11" s="170">
        <f t="array" ref="J11">IFERROR(
(MEDIAN((IF(DATOS_[[Sexo]:[Sexo]]=$B11,IF(DATOS_[[Check Periodo Ref.]:[Check Periodo Ref.]]="Dentro",DATOS_[Conc.Sal.05]))))),
0)</f>
        <v>0</v>
      </c>
      <c r="K11" s="170">
        <f t="array" ref="K11">IFERROR(
(MEDIAN((IF(DATOS_[[Sexo]:[Sexo]]=$B11,IF(DATOS_[[Check Periodo Ref.]:[Check Periodo Ref.]]="Dentro",DATOS_[Conc.Sal.06]))))),
0)</f>
        <v>0</v>
      </c>
      <c r="L11" s="170">
        <f t="array" ref="L11">IFERROR(
(MEDIAN((IF(DATOS_[[Sexo]:[Sexo]]=$B11,IF(DATOS_[[Check Periodo Ref.]:[Check Periodo Ref.]]="Dentro",DATOS_[Conc.Sal.07]))))),
0)</f>
        <v>0</v>
      </c>
      <c r="M11" s="170">
        <f t="array" ref="M11">IFERROR(
(MEDIAN((IF(DATOS_[[Sexo]:[Sexo]]=$B11,IF(DATOS_[[Check Periodo Ref.]:[Check Periodo Ref.]]="Dentro",DATOS_[Conc.Sal.08]))))),
0)</f>
        <v>0</v>
      </c>
      <c r="N11" s="170">
        <f t="array" ref="N11">IFERROR(
(MEDIAN((IF(DATOS_[[Sexo]:[Sexo]]=$B11,IF(DATOS_[[Check Periodo Ref.]:[Check Periodo Ref.]]="Dentro",DATOS_[Conc.Sal.09]))))),
0)</f>
        <v>0</v>
      </c>
      <c r="O11" s="170">
        <f t="array" ref="O11">IFERROR(
(MEDIAN((IF(DATOS_[[Sexo]:[Sexo]]=$B11,IF(DATOS_[[Check Periodo Ref.]:[Check Periodo Ref.]]="Dentro",DATOS_[Conc.Sal.10]))))),
0)</f>
        <v>0</v>
      </c>
      <c r="P11" s="170">
        <f t="array" ref="P11">IFERROR(
(MEDIAN((IF(DATOS_[[Sexo]:[Sexo]]=$B11,IF(DATOS_[[Check Periodo Ref.]:[Check Periodo Ref.]]="Dentro",DATOS_[Conc.Sal.11]))))),
0)</f>
        <v>0</v>
      </c>
      <c r="Q11" s="170">
        <f t="array" ref="Q11">IFERROR(
(MEDIAN((IF(DATOS_[[Sexo]:[Sexo]]=$B11,IF(DATOS_[[Check Periodo Ref.]:[Check Periodo Ref.]]="Dentro",DATOS_[Conc.Sal.12]))))),
0)</f>
        <v>0</v>
      </c>
      <c r="R11" s="170">
        <f t="array" ref="R11">IFERROR(
(MEDIAN((IF(DATOS_[[Sexo]:[Sexo]]=$B11,IF(DATOS_[[Check Periodo Ref.]:[Check Periodo Ref.]]="Dentro",DATOS_[Conc.Sal.13]))))),
0)</f>
        <v>0</v>
      </c>
      <c r="S11" s="170">
        <f t="array" ref="S11">IFERROR(
(MEDIAN((IF(DATOS_[[Sexo]:[Sexo]]=$B11,IF(DATOS_[[Check Periodo Ref.]:[Check Periodo Ref.]]="Dentro",DATOS_[Conc.Sal.14]))))),
0)</f>
        <v>0</v>
      </c>
      <c r="T11" s="170">
        <f t="array" ref="T11">IFERROR(
(MEDIAN((IF(DATOS_[[Sexo]:[Sexo]]=$B11,IF(DATOS_[[Check Periodo Ref.]:[Check Periodo Ref.]]="Dentro",DATOS_[Conc.Sal.15]))))),
0)</f>
        <v>0</v>
      </c>
      <c r="U11" s="170">
        <f t="array" ref="U11">IFERROR(
(MEDIAN((IF(DATOS_[[Sexo]:[Sexo]]=$B11,IF(DATOS_[[Check Periodo Ref.]:[Check Periodo Ref.]]="Dentro",DATOS_[Conc.Sal.16]))))),
0)</f>
        <v>0</v>
      </c>
      <c r="V11" s="170">
        <f t="array" ref="V11">IFERROR(
(MEDIAN((IF(DATOS_[[Sexo]:[Sexo]]=$B11,IF(DATOS_[[Check Periodo Ref.]:[Check Periodo Ref.]]="Dentro",DATOS_[Conc.Sal.17]))))),
0)</f>
        <v>0</v>
      </c>
      <c r="W11" s="170">
        <f t="array" ref="W11">IFERROR(
(MEDIAN((IF(DATOS_[[Sexo]:[Sexo]]=$B11,IF(DATOS_[[Check Periodo Ref.]:[Check Periodo Ref.]]="Dentro",DATOS_[Conc.Sal.18]))))),
0)</f>
        <v>0</v>
      </c>
      <c r="X11" s="170">
        <f t="array" ref="X11">IFERROR(
(MEDIAN((IF(DATOS_[[Sexo]:[Sexo]]=$B11,IF(DATOS_[[Check Periodo Ref.]:[Check Periodo Ref.]]="Dentro",DATOS_[Conc.Sal.19]))))),
0)</f>
        <v>0</v>
      </c>
      <c r="Y11" s="170">
        <f t="array" ref="Y11">IFERROR(
(MEDIAN((IF(DATOS_[[Sexo]:[Sexo]]=$B11,IF(DATOS_[[Check Periodo Ref.]:[Check Periodo Ref.]]="Dentro",DATOS_[Conc.Sal.20]))))),
0)</f>
        <v>0</v>
      </c>
      <c r="Z11" s="170">
        <f t="array" ref="Z11">IFERROR(
(MEDIAN((IF(DATOS_[[Sexo]:[Sexo]]=$B11,IF(DATOS_[[Check Periodo Ref.]:[Check Periodo Ref.]]="Dentro",DATOS_[Conc.Sal.21]))))),
0)</f>
        <v>0</v>
      </c>
      <c r="AA11" s="170">
        <f t="array" ref="AA11">IFERROR(
(MEDIAN((IF(DATOS_[[Sexo]:[Sexo]]=$B11,IF(DATOS_[[Check Periodo Ref.]:[Check Periodo Ref.]]="Dentro",DATOS_[Conc.Sal.22]))))),
0)</f>
        <v>0</v>
      </c>
      <c r="AB11" s="170">
        <f t="array" ref="AB11">IFERROR(
(MEDIAN((IF(DATOS_[[Sexo]:[Sexo]]=$B11,IF(DATOS_[[Check Periodo Ref.]:[Check Periodo Ref.]]="Dentro",DATOS_[Conc.Sal.23]))))),
0)</f>
        <v>0</v>
      </c>
      <c r="AC11" s="170">
        <f t="array" ref="AC11">IFERROR(
(MEDIAN((IF(DATOS_[[Sexo]:[Sexo]]=$B11,IF(DATOS_[[Check Periodo Ref.]:[Check Periodo Ref.]]="Dentro",DATOS_[Conc.Sal.24]))))),
0)</f>
        <v>0</v>
      </c>
      <c r="AD11" s="170">
        <f t="array" ref="AD11">IFERROR(
(MEDIAN((IF(DATOS_[[Sexo]:[Sexo]]=$B11,IF(DATOS_[[Check Periodo Ref.]:[Check Periodo Ref.]]="Dentro",DATOS_[Conc.Sal.25]))))),
0)</f>
        <v>0</v>
      </c>
      <c r="AE11" s="170">
        <f t="array" ref="AE11">IFERROR(
(MEDIAN((IF(DATOS_[[Sexo]:[Sexo]]=$B11,IF(DATOS_[[Check Periodo Ref.]:[Check Periodo Ref.]]="Dentro",DATOS_[Conc.Sal.26]))))),
0)</f>
        <v>0</v>
      </c>
      <c r="AF11" s="170">
        <f t="array" ref="AF11">IFERROR(
(MEDIAN((IF(DATOS_[[Sexo]:[Sexo]]=$B11,IF(DATOS_[[Check Periodo Ref.]:[Check Periodo Ref.]]="Dentro",DATOS_[Conc.Sal.27]))))),
0)</f>
        <v>0</v>
      </c>
      <c r="AG11" s="170">
        <f t="array" ref="AG11">IFERROR(
(MEDIAN((IF(DATOS_[[Sexo]:[Sexo]]=$B11,IF(DATOS_[[Check Periodo Ref.]:[Check Periodo Ref.]]="Dentro",DATOS_[Conc.Sal.28]))))),
0)</f>
        <v>0</v>
      </c>
      <c r="AH11" s="170">
        <f t="array" ref="AH11">IFERROR(
(MEDIAN((IF(DATOS_[[Sexo]:[Sexo]]=$B11,IF(DATOS_[[Check Periodo Ref.]:[Check Periodo Ref.]]="Dentro",DATOS_[Conc.Sal.29]))))),
0)</f>
        <v>0</v>
      </c>
      <c r="AI11" s="170">
        <f t="array" ref="AI11">IFERROR(
(MEDIAN((IF(DATOS_[[Sexo]:[Sexo]]=$B11,IF(DATOS_[[Check Periodo Ref.]:[Check Periodo Ref.]]="Dentro",DATOS_[Conc.Sal.30]))))),
0)</f>
        <v>0</v>
      </c>
      <c r="AJ11" s="171">
        <f t="array" ref="AJ11">IFERROR(
MEDIAN(IF(DATOS_[Sexo]=$B11,IF(DATOS_[Check Periodo Ref.]="Dentro",DATOS_[Tot COMPL.SAL Ef],FALSE))),
0)</f>
        <v>6.8900000000000006</v>
      </c>
      <c r="AK11" s="172">
        <f t="array" ref="AK11">IFERROR(
MEDIAN(IF(DATOS_[Sexo]=$B11,IF(DATOS_[Check Periodo Ref.]="Dentro",DATOS_[TOTAL SALARIO Ef],FALSE))),
0)</f>
        <v>21.380000000000003</v>
      </c>
      <c r="AL11" s="173">
        <f t="array" ref="AL11">IFERROR(
(MEDIAN((IF(DATOS_[[Sexo]:[Sexo]]=$B11,IF(DATOS_[[Check Periodo Ref.]:[Check Periodo Ref.]]="Dentro",DATOS_[C.Extra.01]))))),
0)</f>
        <v>0</v>
      </c>
      <c r="AM11" s="173">
        <f t="array" ref="AM11">IFERROR(
(MEDIAN((IF(DATOS_[[Sexo]:[Sexo]]=$B11,IF(DATOS_[[Check Periodo Ref.]:[Check Periodo Ref.]]="Dentro",DATOS_[C.Extra.06]))))),
0)</f>
        <v>0</v>
      </c>
      <c r="AN11" s="173">
        <f t="array" ref="AN11">IFERROR(
(MEDIAN((IF(DATOS_[[Sexo]:[Sexo]]=$B11,IF(DATOS_[[Check Periodo Ref.]:[Check Periodo Ref.]]="Dentro",DATOS_[C.Extra.07]))))),
0)</f>
        <v>0</v>
      </c>
      <c r="AO11" s="173">
        <f t="array" ref="AO11">IFERROR(
(MEDIAN((IF(DATOS_[[Sexo]:[Sexo]]=$B11,IF(DATOS_[[Check Periodo Ref.]:[Check Periodo Ref.]]="Dentro",DATOS_[C.Extra.08]))))),
0)</f>
        <v>0</v>
      </c>
      <c r="AP11" s="173">
        <f t="array" ref="AP11">IFERROR(
(MEDIAN((IF(DATOS_[[Sexo]:[Sexo]]=$B11,IF(DATOS_[[Check Periodo Ref.]:[Check Periodo Ref.]]="Dentro",DATOS_[C.Extra.11]))))),
0)</f>
        <v>0</v>
      </c>
      <c r="AQ11" s="174">
        <f t="array" ref="AQ11">IFERROR(
MEDIAN(IF(DATOS_[Sexo]=$B11,IF(DATOS_[Check Periodo Ref.]="Dentro",DATOS_[Tot Extrasalarial Ef],FALSE))),
0)</f>
        <v>0</v>
      </c>
      <c r="AR11" s="175">
        <f t="array" ref="AR11">IFERROR(
MEDIAN(IF(DATOS_[Sexo]=$B11,IF(DATOS_[Check Periodo Ref.]="Dentro",DATOS_[TOTAL Retrib Ef],FALSE))),
0)</f>
        <v>21.380000000000003</v>
      </c>
    </row>
    <row r="12" spans="1:44" s="186" customFormat="1" x14ac:dyDescent="0.25">
      <c r="B12" s="135"/>
      <c r="C12" s="135"/>
      <c r="D12" s="176"/>
      <c r="E12" s="135"/>
      <c r="F12" s="135"/>
      <c r="G12" s="135"/>
      <c r="H12" s="135"/>
      <c r="I12" s="135"/>
      <c r="J12" s="176"/>
      <c r="K12" s="177"/>
      <c r="L12" s="177"/>
      <c r="M12" s="177"/>
      <c r="N12" s="177"/>
      <c r="O12" s="177"/>
      <c r="P12" s="177"/>
      <c r="Q12" s="177"/>
      <c r="R12" s="177"/>
      <c r="S12" s="177"/>
      <c r="T12" s="177"/>
      <c r="U12" s="177"/>
      <c r="V12" s="176"/>
      <c r="W12" s="176"/>
      <c r="X12" s="176"/>
      <c r="Y12" s="176"/>
      <c r="Z12" s="176"/>
      <c r="AA12" s="176"/>
      <c r="AB12" s="176"/>
      <c r="AC12" s="176"/>
      <c r="AD12" s="176"/>
      <c r="AE12" s="176"/>
      <c r="AF12" s="176"/>
      <c r="AG12" s="176"/>
      <c r="AH12" s="176"/>
      <c r="AI12" s="176"/>
      <c r="AJ12" s="135"/>
      <c r="AK12" s="135"/>
      <c r="AL12" s="177"/>
      <c r="AM12" s="177"/>
      <c r="AN12" s="177"/>
      <c r="AO12" s="177"/>
      <c r="AP12" s="177"/>
      <c r="AQ12" s="135"/>
      <c r="AR12" s="135"/>
    </row>
    <row r="13" spans="1:44" s="186" customFormat="1" x14ac:dyDescent="0.25">
      <c r="B13" s="135"/>
      <c r="C13" s="135"/>
      <c r="D13" s="176"/>
      <c r="E13" s="135"/>
      <c r="F13" s="135"/>
      <c r="G13" s="135"/>
      <c r="H13" s="135"/>
      <c r="I13" s="135"/>
      <c r="J13" s="176"/>
      <c r="K13" s="177"/>
      <c r="L13" s="177"/>
      <c r="M13" s="177"/>
      <c r="N13" s="177"/>
      <c r="O13" s="177"/>
      <c r="P13" s="177"/>
      <c r="Q13" s="177"/>
      <c r="R13" s="177"/>
      <c r="S13" s="177"/>
      <c r="T13" s="177"/>
      <c r="U13" s="177"/>
      <c r="V13" s="176"/>
      <c r="W13" s="176"/>
      <c r="X13" s="176"/>
      <c r="Y13" s="176"/>
      <c r="Z13" s="176"/>
      <c r="AA13" s="176"/>
      <c r="AB13" s="176"/>
      <c r="AC13" s="176"/>
      <c r="AD13" s="176"/>
      <c r="AE13" s="176"/>
      <c r="AF13" s="176"/>
      <c r="AG13" s="176"/>
      <c r="AH13" s="176"/>
      <c r="AI13" s="176"/>
      <c r="AJ13" s="135"/>
      <c r="AK13" s="135"/>
      <c r="AL13" s="177"/>
      <c r="AM13" s="177"/>
      <c r="AN13" s="177"/>
      <c r="AO13" s="177"/>
      <c r="AP13" s="177"/>
      <c r="AQ13" s="135"/>
      <c r="AR13" s="135"/>
    </row>
    <row r="14" spans="1:44" s="185" customFormat="1" ht="46.35" customHeight="1" x14ac:dyDescent="0.3">
      <c r="B14" s="145"/>
      <c r="C14" s="145" t="s">
        <v>621</v>
      </c>
      <c r="D14" s="145" t="s">
        <v>622</v>
      </c>
      <c r="E14" s="146" t="s">
        <v>151</v>
      </c>
      <c r="F14" s="147" t="str">
        <f>+F8</f>
        <v>HORAS EXTRAS</v>
      </c>
      <c r="G14" s="147" t="str">
        <f t="shared" ref="G14:AI14" si="3">+G8</f>
        <v>SEGURO CONVENIO</v>
      </c>
      <c r="H14" s="147" t="str">
        <f t="shared" si="3"/>
        <v>PLUS UNIFICADO</v>
      </c>
      <c r="I14" s="147" t="str">
        <f t="shared" si="3"/>
        <v>GARANTIA AD PERS</v>
      </c>
      <c r="J14" s="147" t="str">
        <f t="shared" si="3"/>
        <v>COMISIONES</v>
      </c>
      <c r="K14" s="147" t="str">
        <f t="shared" si="3"/>
        <v>DOMINGOS Y FESTIVOS</v>
      </c>
      <c r="L14" s="147" t="str">
        <f t="shared" si="3"/>
        <v>LOCOMOCION NO</v>
      </c>
      <c r="M14" s="147" t="str">
        <f t="shared" si="3"/>
        <v>PLUS EXTRA VAC</v>
      </c>
      <c r="N14" s="147" t="str">
        <f t="shared" si="3"/>
        <v>PLUS DE TRANS</v>
      </c>
      <c r="O14" s="147" t="str">
        <f t="shared" si="3"/>
        <v>PLUS ACTIVIDAD</v>
      </c>
      <c r="P14" s="147" t="str">
        <f t="shared" si="3"/>
        <v>CUOTA SINDICAL</v>
      </c>
      <c r="Q14" s="147" t="str">
        <f t="shared" si="3"/>
        <v>AYUDA FAMILIAR</v>
      </c>
      <c r="R14" s="147" t="str">
        <f t="shared" si="3"/>
        <v>INCENTIVO</v>
      </c>
      <c r="S14" s="147" t="str">
        <f t="shared" si="3"/>
        <v>SEGURO MEDICO</v>
      </c>
      <c r="T14" s="147" t="str">
        <f t="shared" si="3"/>
        <v>DES. SEGURO MEDICO</v>
      </c>
      <c r="U14" s="147" t="str">
        <f t="shared" si="3"/>
        <v>SEGURO SALUD 2</v>
      </c>
      <c r="V14" s="147" t="str">
        <f t="shared" si="3"/>
        <v>COMP. EMPRESA I.T.</v>
      </c>
      <c r="W14" s="147" t="str">
        <f t="shared" si="3"/>
        <v>I.T. CUENTA EMPRESA</v>
      </c>
      <c r="X14" s="147" t="str">
        <f t="shared" si="3"/>
        <v>SALARIO EN ESPECIE</v>
      </c>
      <c r="Y14" s="147" t="str">
        <f t="shared" si="3"/>
        <v>PLUS DE POLIVALENCIA</v>
      </c>
      <c r="Z14" s="147" t="str">
        <f t="shared" si="3"/>
        <v>LIQUID  PAGAS EXTRA</v>
      </c>
      <c r="AA14" s="147" t="str">
        <f t="shared" si="3"/>
        <v>[ocultar]</v>
      </c>
      <c r="AB14" s="147" t="str">
        <f t="shared" si="3"/>
        <v>[ocultar]</v>
      </c>
      <c r="AC14" s="147" t="str">
        <f t="shared" si="3"/>
        <v>[ocultar]</v>
      </c>
      <c r="AD14" s="147" t="str">
        <f t="shared" si="3"/>
        <v>[ocultar]</v>
      </c>
      <c r="AE14" s="147" t="str">
        <f t="shared" si="3"/>
        <v>[ocultar]</v>
      </c>
      <c r="AF14" s="147" t="str">
        <f t="shared" si="3"/>
        <v>[ocultar]</v>
      </c>
      <c r="AG14" s="147" t="str">
        <f t="shared" si="3"/>
        <v>[ocultar]</v>
      </c>
      <c r="AH14" s="147" t="str">
        <f t="shared" si="3"/>
        <v>[ocultar]</v>
      </c>
      <c r="AI14" s="147" t="str">
        <f t="shared" si="3"/>
        <v>[ocultar]</v>
      </c>
      <c r="AJ14" s="148" t="s">
        <v>153</v>
      </c>
      <c r="AK14" s="149" t="s">
        <v>155</v>
      </c>
      <c r="AL14" s="150" t="str">
        <f>+AL8</f>
        <v>[ocultar]</v>
      </c>
      <c r="AM14" s="150" t="str">
        <f t="shared" ref="AM14:AP14" si="4">+AM8</f>
        <v>[ocultar]</v>
      </c>
      <c r="AN14" s="150" t="str">
        <f t="shared" si="4"/>
        <v>[ocultar]</v>
      </c>
      <c r="AO14" s="150" t="str">
        <f t="shared" si="4"/>
        <v>[ocultar]</v>
      </c>
      <c r="AP14" s="150" t="str">
        <f t="shared" si="4"/>
        <v>[ocultar]</v>
      </c>
      <c r="AQ14" s="151" t="s">
        <v>157</v>
      </c>
      <c r="AR14" s="148" t="s">
        <v>159</v>
      </c>
    </row>
    <row r="15" spans="1:44" s="186" customFormat="1" ht="14.4" thickBot="1" x14ac:dyDescent="0.3">
      <c r="A15" s="186" t="str">
        <f>+A16</f>
        <v>[ocultar]</v>
      </c>
      <c r="B15" s="153" t="s">
        <v>178</v>
      </c>
      <c r="C15" s="154"/>
      <c r="D15" s="155"/>
      <c r="E15" s="156" t="str">
        <f t="shared" ref="E15" si="5">IFERROR((E16-E17)/E16,"")</f>
        <v/>
      </c>
      <c r="F15" s="157" t="str">
        <f>IFERROR((F16-F17)/F16,"")</f>
        <v/>
      </c>
      <c r="G15" s="158" t="str">
        <f t="shared" ref="G15:AR15" si="6">IFERROR((G16-G17)/G16,"")</f>
        <v/>
      </c>
      <c r="H15" s="158" t="str">
        <f t="shared" si="6"/>
        <v/>
      </c>
      <c r="I15" s="158" t="str">
        <f t="shared" si="6"/>
        <v/>
      </c>
      <c r="J15" s="159" t="str">
        <f t="shared" si="6"/>
        <v/>
      </c>
      <c r="K15" s="160" t="str">
        <f t="shared" si="6"/>
        <v/>
      </c>
      <c r="L15" s="160" t="str">
        <f t="shared" si="6"/>
        <v/>
      </c>
      <c r="M15" s="160" t="str">
        <f t="shared" si="6"/>
        <v/>
      </c>
      <c r="N15" s="160" t="str">
        <f t="shared" si="6"/>
        <v/>
      </c>
      <c r="O15" s="160" t="str">
        <f t="shared" si="6"/>
        <v/>
      </c>
      <c r="P15" s="160" t="str">
        <f t="shared" si="6"/>
        <v/>
      </c>
      <c r="Q15" s="160" t="str">
        <f t="shared" si="6"/>
        <v/>
      </c>
      <c r="R15" s="160" t="str">
        <f t="shared" si="6"/>
        <v/>
      </c>
      <c r="S15" s="160" t="str">
        <f t="shared" si="6"/>
        <v/>
      </c>
      <c r="T15" s="160" t="str">
        <f t="shared" si="6"/>
        <v/>
      </c>
      <c r="U15" s="160" t="str">
        <f t="shared" si="6"/>
        <v/>
      </c>
      <c r="V15" s="159" t="str">
        <f t="shared" si="6"/>
        <v/>
      </c>
      <c r="W15" s="159" t="str">
        <f t="shared" si="6"/>
        <v/>
      </c>
      <c r="X15" s="159" t="str">
        <f t="shared" si="6"/>
        <v/>
      </c>
      <c r="Y15" s="159" t="str">
        <f t="shared" si="6"/>
        <v/>
      </c>
      <c r="Z15" s="159" t="str">
        <f t="shared" si="6"/>
        <v/>
      </c>
      <c r="AA15" s="159" t="str">
        <f t="shared" si="6"/>
        <v/>
      </c>
      <c r="AB15" s="159" t="str">
        <f t="shared" si="6"/>
        <v/>
      </c>
      <c r="AC15" s="159" t="str">
        <f t="shared" si="6"/>
        <v/>
      </c>
      <c r="AD15" s="159" t="str">
        <f t="shared" si="6"/>
        <v/>
      </c>
      <c r="AE15" s="159" t="str">
        <f t="shared" si="6"/>
        <v/>
      </c>
      <c r="AF15" s="159" t="str">
        <f t="shared" si="6"/>
        <v/>
      </c>
      <c r="AG15" s="159" t="str">
        <f t="shared" si="6"/>
        <v/>
      </c>
      <c r="AH15" s="159" t="str">
        <f t="shared" si="6"/>
        <v/>
      </c>
      <c r="AI15" s="159" t="str">
        <f t="shared" si="6"/>
        <v/>
      </c>
      <c r="AJ15" s="161" t="str">
        <f t="shared" si="6"/>
        <v/>
      </c>
      <c r="AK15" s="162" t="str">
        <f t="shared" si="6"/>
        <v/>
      </c>
      <c r="AL15" s="163" t="str">
        <f t="shared" si="6"/>
        <v/>
      </c>
      <c r="AM15" s="163" t="str">
        <f t="shared" si="6"/>
        <v/>
      </c>
      <c r="AN15" s="163" t="str">
        <f t="shared" si="6"/>
        <v/>
      </c>
      <c r="AO15" s="163" t="str">
        <f t="shared" si="6"/>
        <v/>
      </c>
      <c r="AP15" s="163" t="str">
        <f t="shared" si="6"/>
        <v/>
      </c>
      <c r="AQ15" s="164" t="str">
        <f t="shared" si="6"/>
        <v/>
      </c>
      <c r="AR15" s="161" t="str">
        <f t="shared" si="6"/>
        <v/>
      </c>
    </row>
    <row r="16" spans="1:44" s="186" customFormat="1" x14ac:dyDescent="0.25">
      <c r="A16" s="186" t="str">
        <f>+IF(C16+C17=0,"[ocultar]","")</f>
        <v>[ocultar]</v>
      </c>
      <c r="B16" s="166" t="s">
        <v>394</v>
      </c>
      <c r="C16" s="167">
        <f t="array" ref="C16">SUM(IF($B16=DATOS_[Sexo],
IF($B15=DATOS_[AGRUP. CLAS. PROF.],
IF("Dentro"=DATOS_[Check Periodo Ref.],
1/(COUNTIFS(DATOS_[Sexo],$B16,DATOS_[AGRUP. CLAS. PROF.],$B15,DATOS_[Check Periodo Ref.],"Dentro",DATOS_[id/cod],DATOS_[id/cod]))))))</f>
        <v>0</v>
      </c>
      <c r="D16" s="168">
        <f>COUNTIFS(DATOS_[AGRUP. CLAS. PROF.],$B15,DATOS_[Sexo],$B16,DATOS_[Check Periodo Ref.],"Dentro")</f>
        <v>0</v>
      </c>
      <c r="E16" s="169">
        <f t="array" ref="E16">IFERROR(
MEDIAN(IF(DATOS_[Sexo]=$B16,IF(DATOS_[AGRUP. CLAS. PROF.]=$B15,IF(DATOS_[Check Periodo Ref.]="Dentro",DATOS_[SALARIO BASE Ef],FALSE)))),
0)</f>
        <v>0</v>
      </c>
      <c r="F16" s="170">
        <f t="array" ref="F16">IFERROR(
MEDIAN((IF(DATOS_[[Sexo]:[Sexo]]=$B16,IF(DATOS_[[AGRUP. CLAS. PROF.]:[AGRUP. CLAS. PROF.]]=$B15,IF(DATOS_[[Check Periodo Ref.]:[Check Periodo Ref.]]="Dentro",DATOS_[Conc.Sal.01]))))),
0)</f>
        <v>0</v>
      </c>
      <c r="G16" s="170">
        <f t="array" ref="G16">IFERROR(
MEDIAN((IF(DATOS_[[Sexo]:[Sexo]]=$B16,IF(DATOS_[[AGRUP. CLAS. PROF.]:[AGRUP. CLAS. PROF.]]=$B15,IF(DATOS_[[Check Periodo Ref.]:[Check Periodo Ref.]]="Dentro",DATOS_[Conc.Sal.02]))))),
0)</f>
        <v>0</v>
      </c>
      <c r="H16" s="170">
        <f t="array" ref="H16">IFERROR(
MEDIAN((IF(DATOS_[[Sexo]:[Sexo]]=$B16,IF(DATOS_[[AGRUP. CLAS. PROF.]:[AGRUP. CLAS. PROF.]]=$B15,IF(DATOS_[[Check Periodo Ref.]:[Check Periodo Ref.]]="Dentro",DATOS_[Conc.Sal.03]))))),
0)</f>
        <v>0</v>
      </c>
      <c r="I16" s="170">
        <f t="array" ref="I16">IFERROR(
MEDIAN((IF(DATOS_[[Sexo]:[Sexo]]=$B16,IF(DATOS_[[AGRUP. CLAS. PROF.]:[AGRUP. CLAS. PROF.]]=$B15,IF(DATOS_[[Check Periodo Ref.]:[Check Periodo Ref.]]="Dentro",DATOS_[Conc.Sal.04]))))),
0)</f>
        <v>0</v>
      </c>
      <c r="J16" s="170">
        <f t="array" ref="J16">IFERROR(
MEDIAN((IF(DATOS_[[Sexo]:[Sexo]]=$B16,IF(DATOS_[[AGRUP. CLAS. PROF.]:[AGRUP. CLAS. PROF.]]=$B15,IF(DATOS_[[Check Periodo Ref.]:[Check Periodo Ref.]]="Dentro",DATOS_[Conc.Sal.05]))))),
0)</f>
        <v>0</v>
      </c>
      <c r="K16" s="170">
        <f t="array" ref="K16">IFERROR(
MEDIAN((IF(DATOS_[[Sexo]:[Sexo]]=$B16,IF(DATOS_[[AGRUP. CLAS. PROF.]:[AGRUP. CLAS. PROF.]]=$B15,IF(DATOS_[[Check Periodo Ref.]:[Check Periodo Ref.]]="Dentro",DATOS_[Conc.Sal.06]))))),
0)</f>
        <v>0</v>
      </c>
      <c r="L16" s="170">
        <f t="array" ref="L16">IFERROR(
MEDIAN((IF(DATOS_[[Sexo]:[Sexo]]=$B16,IF(DATOS_[[AGRUP. CLAS. PROF.]:[AGRUP. CLAS. PROF.]]=$B15,IF(DATOS_[[Check Periodo Ref.]:[Check Periodo Ref.]]="Dentro",DATOS_[Conc.Sal.07]))))),
0)</f>
        <v>0</v>
      </c>
      <c r="M16" s="170">
        <f t="array" ref="M16">IFERROR(
MEDIAN((IF(DATOS_[[Sexo]:[Sexo]]=$B16,IF(DATOS_[[AGRUP. CLAS. PROF.]:[AGRUP. CLAS. PROF.]]=$B15,IF(DATOS_[[Check Periodo Ref.]:[Check Periodo Ref.]]="Dentro",DATOS_[Conc.Sal.08]))))),
0)</f>
        <v>0</v>
      </c>
      <c r="N16" s="170">
        <f t="array" ref="N16">IFERROR(
MEDIAN((IF(DATOS_[[Sexo]:[Sexo]]=$B16,IF(DATOS_[[AGRUP. CLAS. PROF.]:[AGRUP. CLAS. PROF.]]=$B15,IF(DATOS_[[Check Periodo Ref.]:[Check Periodo Ref.]]="Dentro",DATOS_[Conc.Sal.09]))))),
0)</f>
        <v>0</v>
      </c>
      <c r="O16" s="170">
        <f t="array" ref="O16">IFERROR(
MEDIAN((IF(DATOS_[[Sexo]:[Sexo]]=$B16,IF(DATOS_[[AGRUP. CLAS. PROF.]:[AGRUP. CLAS. PROF.]]=$B15,IF(DATOS_[[Check Periodo Ref.]:[Check Periodo Ref.]]="Dentro",DATOS_[Conc.Sal.10]))))),
0)</f>
        <v>0</v>
      </c>
      <c r="P16" s="170">
        <f t="array" ref="P16">IFERROR(
MEDIAN((IF(DATOS_[[Sexo]:[Sexo]]=$B16,IF(DATOS_[[AGRUP. CLAS. PROF.]:[AGRUP. CLAS. PROF.]]=$B15,IF(DATOS_[[Check Periodo Ref.]:[Check Periodo Ref.]]="Dentro",DATOS_[Conc.Sal.11]))))),
0)</f>
        <v>0</v>
      </c>
      <c r="Q16" s="170">
        <f t="array" ref="Q16">IFERROR(
MEDIAN((IF(DATOS_[[Sexo]:[Sexo]]=$B16,IF(DATOS_[[AGRUP. CLAS. PROF.]:[AGRUP. CLAS. PROF.]]=$B15,IF(DATOS_[[Check Periodo Ref.]:[Check Periodo Ref.]]="Dentro",DATOS_[Conc.Sal.12]))))),
0)</f>
        <v>0</v>
      </c>
      <c r="R16" s="170">
        <f t="array" ref="R16">IFERROR(
MEDIAN((IF(DATOS_[[Sexo]:[Sexo]]=$B16,IF(DATOS_[[AGRUP. CLAS. PROF.]:[AGRUP. CLAS. PROF.]]=$B15,IF(DATOS_[[Check Periodo Ref.]:[Check Periodo Ref.]]="Dentro",DATOS_[Conc.Sal.13]))))),
0)</f>
        <v>0</v>
      </c>
      <c r="S16" s="170">
        <f t="array" ref="S16">IFERROR(
MEDIAN((IF(DATOS_[[Sexo]:[Sexo]]=$B16,IF(DATOS_[[AGRUP. CLAS. PROF.]:[AGRUP. CLAS. PROF.]]=$B15,IF(DATOS_[[Check Periodo Ref.]:[Check Periodo Ref.]]="Dentro",DATOS_[Conc.Sal.14]))))),
0)</f>
        <v>0</v>
      </c>
      <c r="T16" s="170">
        <f t="array" ref="T16">IFERROR(
MEDIAN((IF(DATOS_[[Sexo]:[Sexo]]=$B16,IF(DATOS_[[AGRUP. CLAS. PROF.]:[AGRUP. CLAS. PROF.]]=$B15,IF(DATOS_[[Check Periodo Ref.]:[Check Periodo Ref.]]="Dentro",DATOS_[Conc.Sal.15]))))),
0)</f>
        <v>0</v>
      </c>
      <c r="U16" s="170">
        <f t="array" ref="U16">IFERROR(
MEDIAN((IF(DATOS_[[Sexo]:[Sexo]]=$B16,IF(DATOS_[[AGRUP. CLAS. PROF.]:[AGRUP. CLAS. PROF.]]=$B15,IF(DATOS_[[Check Periodo Ref.]:[Check Periodo Ref.]]="Dentro",DATOS_[Conc.Sal.16]))))),
0)</f>
        <v>0</v>
      </c>
      <c r="V16" s="170">
        <f t="array" ref="V16">IFERROR(
MEDIAN((IF(DATOS_[[Sexo]:[Sexo]]=$B16,IF(DATOS_[[AGRUP. CLAS. PROF.]:[AGRUP. CLAS. PROF.]]=$B15,IF(DATOS_[[Check Periodo Ref.]:[Check Periodo Ref.]]="Dentro",DATOS_[Conc.Sal.17]))))),
0)</f>
        <v>0</v>
      </c>
      <c r="W16" s="170">
        <f t="array" ref="W16">IFERROR(
MEDIAN((IF(DATOS_[[Sexo]:[Sexo]]=$B16,IF(DATOS_[[AGRUP. CLAS. PROF.]:[AGRUP. CLAS. PROF.]]=$B15,IF(DATOS_[[Check Periodo Ref.]:[Check Periodo Ref.]]="Dentro",DATOS_[Conc.Sal.18]))))),
0)</f>
        <v>0</v>
      </c>
      <c r="X16" s="170">
        <f t="array" ref="X16">IFERROR(
MEDIAN((IF(DATOS_[[Sexo]:[Sexo]]=$B16,IF(DATOS_[[AGRUP. CLAS. PROF.]:[AGRUP. CLAS. PROF.]]=$B15,IF(DATOS_[[Check Periodo Ref.]:[Check Periodo Ref.]]="Dentro",DATOS_[Conc.Sal.19]))))),
0)</f>
        <v>0</v>
      </c>
      <c r="Y16" s="170">
        <f t="array" ref="Y16">IFERROR(
MEDIAN((IF(DATOS_[[Sexo]:[Sexo]]=$B16,IF(DATOS_[[AGRUP. CLAS. PROF.]:[AGRUP. CLAS. PROF.]]=$B15,IF(DATOS_[[Check Periodo Ref.]:[Check Periodo Ref.]]="Dentro",DATOS_[Conc.Sal.20]))))),
0)</f>
        <v>0</v>
      </c>
      <c r="Z16" s="170">
        <f t="array" ref="Z16">IFERROR(
MEDIAN((IF(DATOS_[[Sexo]:[Sexo]]=$B16,IF(DATOS_[[AGRUP. CLAS. PROF.]:[AGRUP. CLAS. PROF.]]=$B15,IF(DATOS_[[Check Periodo Ref.]:[Check Periodo Ref.]]="Dentro",DATOS_[Conc.Sal.21]))))),
0)</f>
        <v>0</v>
      </c>
      <c r="AA16" s="170">
        <f t="array" ref="AA16">IFERROR(
MEDIAN((IF(DATOS_[[Sexo]:[Sexo]]=$B16,IF(DATOS_[[AGRUP. CLAS. PROF.]:[AGRUP. CLAS. PROF.]]=$B15,IF(DATOS_[[Check Periodo Ref.]:[Check Periodo Ref.]]="Dentro",DATOS_[Conc.Sal.22]))))),
0)</f>
        <v>0</v>
      </c>
      <c r="AB16" s="170">
        <f t="array" ref="AB16">IFERROR(
MEDIAN((IF(DATOS_[[Sexo]:[Sexo]]=$B16,IF(DATOS_[[AGRUP. CLAS. PROF.]:[AGRUP. CLAS. PROF.]]=$B15,IF(DATOS_[[Check Periodo Ref.]:[Check Periodo Ref.]]="Dentro",DATOS_[Conc.Sal.23]))))),
0)</f>
        <v>0</v>
      </c>
      <c r="AC16" s="170">
        <f t="array" ref="AC16">IFERROR(
MEDIAN((IF(DATOS_[[Sexo]:[Sexo]]=$B16,IF(DATOS_[[AGRUP. CLAS. PROF.]:[AGRUP. CLAS. PROF.]]=$B15,IF(DATOS_[[Check Periodo Ref.]:[Check Periodo Ref.]]="Dentro",DATOS_[Conc.Sal.24]))))),
0)</f>
        <v>0</v>
      </c>
      <c r="AD16" s="170">
        <f t="array" ref="AD16">IFERROR(
MEDIAN((IF(DATOS_[[Sexo]:[Sexo]]=$B16,IF(DATOS_[[AGRUP. CLAS. PROF.]:[AGRUP. CLAS. PROF.]]=$B15,IF(DATOS_[[Check Periodo Ref.]:[Check Periodo Ref.]]="Dentro",DATOS_[Conc.Sal.25]))))),
0)</f>
        <v>0</v>
      </c>
      <c r="AE16" s="170">
        <f t="array" ref="AE16">IFERROR(
MEDIAN((IF(DATOS_[[Sexo]:[Sexo]]=$B16,IF(DATOS_[[AGRUP. CLAS. PROF.]:[AGRUP. CLAS. PROF.]]=$B15,IF(DATOS_[[Check Periodo Ref.]:[Check Periodo Ref.]]="Dentro",DATOS_[Conc.Sal.26]))))),
0)</f>
        <v>0</v>
      </c>
      <c r="AF16" s="170">
        <f t="array" ref="AF16">IFERROR(
MEDIAN((IF(DATOS_[[Sexo]:[Sexo]]=$B16,IF(DATOS_[[AGRUP. CLAS. PROF.]:[AGRUP. CLAS. PROF.]]=$B15,IF(DATOS_[[Check Periodo Ref.]:[Check Periodo Ref.]]="Dentro",DATOS_[Conc.Sal.27]))))),
0)</f>
        <v>0</v>
      </c>
      <c r="AG16" s="170">
        <f t="array" ref="AG16">IFERROR(
MEDIAN((IF(DATOS_[[Sexo]:[Sexo]]=$B16,IF(DATOS_[[AGRUP. CLAS. PROF.]:[AGRUP. CLAS. PROF.]]=$B15,IF(DATOS_[[Check Periodo Ref.]:[Check Periodo Ref.]]="Dentro",DATOS_[Conc.Sal.28]))))),
0)</f>
        <v>0</v>
      </c>
      <c r="AH16" s="170">
        <f t="array" ref="AH16">IFERROR(
MEDIAN((IF(DATOS_[[Sexo]:[Sexo]]=$B16,IF(DATOS_[[AGRUP. CLAS. PROF.]:[AGRUP. CLAS. PROF.]]=$B15,IF(DATOS_[[Check Periodo Ref.]:[Check Periodo Ref.]]="Dentro",DATOS_[Conc.Sal.29]))))),
0)</f>
        <v>0</v>
      </c>
      <c r="AI16" s="170">
        <f t="array" ref="AI16">IFERROR(
MEDIAN((IF(DATOS_[[Sexo]:[Sexo]]=$B16,IF(DATOS_[[AGRUP. CLAS. PROF.]:[AGRUP. CLAS. PROF.]]=$B15,IF(DATOS_[[Check Periodo Ref.]:[Check Periodo Ref.]]="Dentro",DATOS_[Conc.Sal.30]))))),
0)</f>
        <v>0</v>
      </c>
      <c r="AJ16" s="171">
        <f t="array" ref="AJ16">IFERROR(
MEDIAN(IF(DATOS_[Sexo]=$B16,IF(DATOS_[AGRUP. CLAS. PROF.]=$B15,IF(DATOS_[Check Periodo Ref.]="Dentro",DATOS_[Tot COMPL.SAL Ef],FALSE)))),
0)</f>
        <v>0</v>
      </c>
      <c r="AK16" s="172">
        <f t="array" ref="AK16">IFERROR(
MEDIAN(IF(DATOS_[Sexo]=$B16,IF(DATOS_[AGRUP. CLAS. PROF.]=$B15,IF(DATOS_[Check Periodo Ref.]="Dentro",DATOS_[TOTAL SALARIO Ef],FALSE)))),
0)</f>
        <v>0</v>
      </c>
      <c r="AL16" s="173">
        <f t="array" ref="AL16">IFERROR(
MEDIAN((IF(DATOS_[[Sexo]:[Sexo]]=$B16,IF(DATOS_[[AGRUP. CLAS. PROF.]:[AGRUP. CLAS. PROF.]]=$B15,IF(DATOS_[[Check Periodo Ref.]:[Check Periodo Ref.]]="Dentro",DATOS_[C.Extra.01]))))),
0)</f>
        <v>0</v>
      </c>
      <c r="AM16" s="173">
        <f t="array" ref="AM16">IFERROR(
MEDIAN((IF(DATOS_[[Sexo]:[Sexo]]=$B16,IF(DATOS_[[AGRUP. CLAS. PROF.]:[AGRUP. CLAS. PROF.]]=$B15,IF(DATOS_[[Check Periodo Ref.]:[Check Periodo Ref.]]="Dentro",DATOS_[C.Extra.06]))))),
0)</f>
        <v>0</v>
      </c>
      <c r="AN16" s="173">
        <f t="array" ref="AN16">IFERROR(
MEDIAN((IF(DATOS_[[Sexo]:[Sexo]]=$B16,IF(DATOS_[[AGRUP. CLAS. PROF.]:[AGRUP. CLAS. PROF.]]=$B15,IF(DATOS_[[Check Periodo Ref.]:[Check Periodo Ref.]]="Dentro",DATOS_[C.Extra.07]))))),
0)</f>
        <v>0</v>
      </c>
      <c r="AO16" s="173">
        <f t="array" ref="AO16">IFERROR(
MEDIAN((IF(DATOS_[[Sexo]:[Sexo]]=$B16,IF(DATOS_[[AGRUP. CLAS. PROF.]:[AGRUP. CLAS. PROF.]]=$B15,IF(DATOS_[[Check Periodo Ref.]:[Check Periodo Ref.]]="Dentro",DATOS_[C.Extra.08]))))),
0)</f>
        <v>0</v>
      </c>
      <c r="AP16" s="173">
        <f t="array" ref="AP16">IFERROR(
MEDIAN((IF(DATOS_[[Sexo]:[Sexo]]=$B16,IF(DATOS_[[AGRUP. CLAS. PROF.]:[AGRUP. CLAS. PROF.]]=$B15,IF(DATOS_[[Check Periodo Ref.]:[Check Periodo Ref.]]="Dentro",DATOS_[C.Extra.11]))))),
0)</f>
        <v>0</v>
      </c>
      <c r="AQ16" s="174">
        <f t="array" ref="AQ16">IFERROR(
MEDIAN(IF(DATOS_[Sexo]=$B16,IF(DATOS_[AGRUP. CLAS. PROF.]=$B15,IF(DATOS_[Check Periodo Ref.]="Dentro",DATOS_[Tot Extrasalarial Ef],FALSE)))),
0)</f>
        <v>0</v>
      </c>
      <c r="AR16" s="171">
        <f t="array" ref="AR16">IFERROR(
MEDIAN(IF(DATOS_[Sexo]=$B16,IF(DATOS_[AGRUP. CLAS. PROF.]=$B15,IF(DATOS_[Check Periodo Ref.]="Dentro",DATOS_[TOTAL Retrib Ef],FALSE)))),
0)</f>
        <v>0</v>
      </c>
    </row>
    <row r="17" spans="1:44" s="186" customFormat="1" x14ac:dyDescent="0.25">
      <c r="A17" s="186" t="str">
        <f>+A16</f>
        <v>[ocultar]</v>
      </c>
      <c r="B17" s="166" t="s">
        <v>521</v>
      </c>
      <c r="C17" s="167">
        <f t="array" ref="C17">SUM(IF($B17=DATOS_[Sexo],
IF($B15=DATOS_[AGRUP. CLAS. PROF.],
IF("Dentro"=DATOS_[Check Periodo Ref.],
1/(COUNTIFS(DATOS_[Sexo],$B17,DATOS_[AGRUP. CLAS. PROF.],$B15,DATOS_[Check Periodo Ref.],"Dentro",DATOS_[id/cod],DATOS_[id/cod]))))))</f>
        <v>0</v>
      </c>
      <c r="D17" s="168">
        <f>COUNTIFS(DATOS_[AGRUP. CLAS. PROF.],$B15,DATOS_[Sexo],$B17,DATOS_[Check Periodo Ref.],"Dentro")</f>
        <v>0</v>
      </c>
      <c r="E17" s="169">
        <f t="array" ref="E17">IFERROR(
MEDIAN(IF(DATOS_[Sexo]=$B17,IF(DATOS_[AGRUP. CLAS. PROF.]=$B15,IF(DATOS_[Check Periodo Ref.]="Dentro",DATOS_[SALARIO BASE Ef],FALSE)))),
0)</f>
        <v>0</v>
      </c>
      <c r="F17" s="170">
        <f t="array" ref="F17">IFERROR(
MEDIAN((IF(DATOS_[[Sexo]:[Sexo]]=$B17,IF(DATOS_[[AGRUP. CLAS. PROF.]:[AGRUP. CLAS. PROF.]]=$B15,IF(DATOS_[[Check Periodo Ref.]:[Check Periodo Ref.]]="Dentro",DATOS_[Conc.Sal.01]))))),
0)</f>
        <v>0</v>
      </c>
      <c r="G17" s="170">
        <f t="array" ref="G17">IFERROR(
MEDIAN((IF(DATOS_[[Sexo]:[Sexo]]=$B17,IF(DATOS_[[AGRUP. CLAS. PROF.]:[AGRUP. CLAS. PROF.]]=$B15,IF(DATOS_[[Check Periodo Ref.]:[Check Periodo Ref.]]="Dentro",DATOS_[Conc.Sal.02]))))),
0)</f>
        <v>0</v>
      </c>
      <c r="H17" s="170">
        <f t="array" ref="H17">IFERROR(
MEDIAN((IF(DATOS_[[Sexo]:[Sexo]]=$B17,IF(DATOS_[[AGRUP. CLAS. PROF.]:[AGRUP. CLAS. PROF.]]=$B15,IF(DATOS_[[Check Periodo Ref.]:[Check Periodo Ref.]]="Dentro",DATOS_[Conc.Sal.03]))))),
0)</f>
        <v>0</v>
      </c>
      <c r="I17" s="170">
        <f t="array" ref="I17">IFERROR(
MEDIAN((IF(DATOS_[[Sexo]:[Sexo]]=$B17,IF(DATOS_[[AGRUP. CLAS. PROF.]:[AGRUP. CLAS. PROF.]]=$B15,IF(DATOS_[[Check Periodo Ref.]:[Check Periodo Ref.]]="Dentro",DATOS_[Conc.Sal.04]))))),
0)</f>
        <v>0</v>
      </c>
      <c r="J17" s="170">
        <f t="array" ref="J17">IFERROR(
MEDIAN((IF(DATOS_[[Sexo]:[Sexo]]=$B17,IF(DATOS_[[AGRUP. CLAS. PROF.]:[AGRUP. CLAS. PROF.]]=$B15,IF(DATOS_[[Check Periodo Ref.]:[Check Periodo Ref.]]="Dentro",DATOS_[Conc.Sal.05]))))),
0)</f>
        <v>0</v>
      </c>
      <c r="K17" s="170">
        <f t="array" ref="K17">IFERROR(
MEDIAN((IF(DATOS_[[Sexo]:[Sexo]]=$B17,IF(DATOS_[[AGRUP. CLAS. PROF.]:[AGRUP. CLAS. PROF.]]=$B15,IF(DATOS_[[Check Periodo Ref.]:[Check Periodo Ref.]]="Dentro",DATOS_[Conc.Sal.06]))))),
0)</f>
        <v>0</v>
      </c>
      <c r="L17" s="170">
        <f t="array" ref="L17">IFERROR(
MEDIAN((IF(DATOS_[[Sexo]:[Sexo]]=$B17,IF(DATOS_[[AGRUP. CLAS. PROF.]:[AGRUP. CLAS. PROF.]]=$B15,IF(DATOS_[[Check Periodo Ref.]:[Check Periodo Ref.]]="Dentro",DATOS_[Conc.Sal.07]))))),
0)</f>
        <v>0</v>
      </c>
      <c r="M17" s="170">
        <f t="array" ref="M17">IFERROR(
MEDIAN((IF(DATOS_[[Sexo]:[Sexo]]=$B17,IF(DATOS_[[AGRUP. CLAS. PROF.]:[AGRUP. CLAS. PROF.]]=$B15,IF(DATOS_[[Check Periodo Ref.]:[Check Periodo Ref.]]="Dentro",DATOS_[Conc.Sal.08]))))),
0)</f>
        <v>0</v>
      </c>
      <c r="N17" s="170">
        <f t="array" ref="N17">IFERROR(
MEDIAN((IF(DATOS_[[Sexo]:[Sexo]]=$B17,IF(DATOS_[[AGRUP. CLAS. PROF.]:[AGRUP. CLAS. PROF.]]=$B15,IF(DATOS_[[Check Periodo Ref.]:[Check Periodo Ref.]]="Dentro",DATOS_[Conc.Sal.09]))))),
0)</f>
        <v>0</v>
      </c>
      <c r="O17" s="170">
        <f t="array" ref="O17">IFERROR(
MEDIAN((IF(DATOS_[[Sexo]:[Sexo]]=$B17,IF(DATOS_[[AGRUP. CLAS. PROF.]:[AGRUP. CLAS. PROF.]]=$B15,IF(DATOS_[[Check Periodo Ref.]:[Check Periodo Ref.]]="Dentro",DATOS_[Conc.Sal.10]))))),
0)</f>
        <v>0</v>
      </c>
      <c r="P17" s="170">
        <f t="array" ref="P17">IFERROR(
MEDIAN((IF(DATOS_[[Sexo]:[Sexo]]=$B17,IF(DATOS_[[AGRUP. CLAS. PROF.]:[AGRUP. CLAS. PROF.]]=$B15,IF(DATOS_[[Check Periodo Ref.]:[Check Periodo Ref.]]="Dentro",DATOS_[Conc.Sal.11]))))),
0)</f>
        <v>0</v>
      </c>
      <c r="Q17" s="170">
        <f t="array" ref="Q17">IFERROR(
MEDIAN((IF(DATOS_[[Sexo]:[Sexo]]=$B17,IF(DATOS_[[AGRUP. CLAS. PROF.]:[AGRUP. CLAS. PROF.]]=$B15,IF(DATOS_[[Check Periodo Ref.]:[Check Periodo Ref.]]="Dentro",DATOS_[Conc.Sal.12]))))),
0)</f>
        <v>0</v>
      </c>
      <c r="R17" s="170">
        <f t="array" ref="R17">IFERROR(
MEDIAN((IF(DATOS_[[Sexo]:[Sexo]]=$B17,IF(DATOS_[[AGRUP. CLAS. PROF.]:[AGRUP. CLAS. PROF.]]=$B15,IF(DATOS_[[Check Periodo Ref.]:[Check Periodo Ref.]]="Dentro",DATOS_[Conc.Sal.13]))))),
0)</f>
        <v>0</v>
      </c>
      <c r="S17" s="170">
        <f t="array" ref="S17">IFERROR(
MEDIAN((IF(DATOS_[[Sexo]:[Sexo]]=$B17,IF(DATOS_[[AGRUP. CLAS. PROF.]:[AGRUP. CLAS. PROF.]]=$B15,IF(DATOS_[[Check Periodo Ref.]:[Check Periodo Ref.]]="Dentro",DATOS_[Conc.Sal.14]))))),
0)</f>
        <v>0</v>
      </c>
      <c r="T17" s="170">
        <f t="array" ref="T17">IFERROR(
MEDIAN((IF(DATOS_[[Sexo]:[Sexo]]=$B17,IF(DATOS_[[AGRUP. CLAS. PROF.]:[AGRUP. CLAS. PROF.]]=$B15,IF(DATOS_[[Check Periodo Ref.]:[Check Periodo Ref.]]="Dentro",DATOS_[Conc.Sal.15]))))),
0)</f>
        <v>0</v>
      </c>
      <c r="U17" s="170">
        <f t="array" ref="U17">IFERROR(
MEDIAN((IF(DATOS_[[Sexo]:[Sexo]]=$B17,IF(DATOS_[[AGRUP. CLAS. PROF.]:[AGRUP. CLAS. PROF.]]=$B15,IF(DATOS_[[Check Periodo Ref.]:[Check Periodo Ref.]]="Dentro",DATOS_[Conc.Sal.16]))))),
0)</f>
        <v>0</v>
      </c>
      <c r="V17" s="170">
        <f t="array" ref="V17">IFERROR(
MEDIAN((IF(DATOS_[[Sexo]:[Sexo]]=$B17,IF(DATOS_[[AGRUP. CLAS. PROF.]:[AGRUP. CLAS. PROF.]]=$B15,IF(DATOS_[[Check Periodo Ref.]:[Check Periodo Ref.]]="Dentro",DATOS_[Conc.Sal.17]))))),
0)</f>
        <v>0</v>
      </c>
      <c r="W17" s="170">
        <f t="array" ref="W17">IFERROR(
MEDIAN((IF(DATOS_[[Sexo]:[Sexo]]=$B17,IF(DATOS_[[AGRUP. CLAS. PROF.]:[AGRUP. CLAS. PROF.]]=$B15,IF(DATOS_[[Check Periodo Ref.]:[Check Periodo Ref.]]="Dentro",DATOS_[Conc.Sal.18]))))),
0)</f>
        <v>0</v>
      </c>
      <c r="X17" s="170">
        <f t="array" ref="X17">IFERROR(
MEDIAN((IF(DATOS_[[Sexo]:[Sexo]]=$B17,IF(DATOS_[[AGRUP. CLAS. PROF.]:[AGRUP. CLAS. PROF.]]=$B15,IF(DATOS_[[Check Periodo Ref.]:[Check Periodo Ref.]]="Dentro",DATOS_[Conc.Sal.19]))))),
0)</f>
        <v>0</v>
      </c>
      <c r="Y17" s="170">
        <f t="array" ref="Y17">IFERROR(
MEDIAN((IF(DATOS_[[Sexo]:[Sexo]]=$B17,IF(DATOS_[[AGRUP. CLAS. PROF.]:[AGRUP. CLAS. PROF.]]=$B15,IF(DATOS_[[Check Periodo Ref.]:[Check Periodo Ref.]]="Dentro",DATOS_[Conc.Sal.20]))))),
0)</f>
        <v>0</v>
      </c>
      <c r="Z17" s="170">
        <f t="array" ref="Z17">IFERROR(
MEDIAN((IF(DATOS_[[Sexo]:[Sexo]]=$B17,IF(DATOS_[[AGRUP. CLAS. PROF.]:[AGRUP. CLAS. PROF.]]=$B15,IF(DATOS_[[Check Periodo Ref.]:[Check Periodo Ref.]]="Dentro",DATOS_[Conc.Sal.21]))))),
0)</f>
        <v>0</v>
      </c>
      <c r="AA17" s="170">
        <f t="array" ref="AA17">IFERROR(
MEDIAN((IF(DATOS_[[Sexo]:[Sexo]]=$B17,IF(DATOS_[[AGRUP. CLAS. PROF.]:[AGRUP. CLAS. PROF.]]=$B15,IF(DATOS_[[Check Periodo Ref.]:[Check Periodo Ref.]]="Dentro",DATOS_[Conc.Sal.22]))))),
0)</f>
        <v>0</v>
      </c>
      <c r="AB17" s="170">
        <f t="array" ref="AB17">IFERROR(
MEDIAN((IF(DATOS_[[Sexo]:[Sexo]]=$B17,IF(DATOS_[[AGRUP. CLAS. PROF.]:[AGRUP. CLAS. PROF.]]=$B15,IF(DATOS_[[Check Periodo Ref.]:[Check Periodo Ref.]]="Dentro",DATOS_[Conc.Sal.23]))))),
0)</f>
        <v>0</v>
      </c>
      <c r="AC17" s="170">
        <f t="array" ref="AC17">IFERROR(
MEDIAN((IF(DATOS_[[Sexo]:[Sexo]]=$B17,IF(DATOS_[[AGRUP. CLAS. PROF.]:[AGRUP. CLAS. PROF.]]=$B15,IF(DATOS_[[Check Periodo Ref.]:[Check Periodo Ref.]]="Dentro",DATOS_[Conc.Sal.24]))))),
0)</f>
        <v>0</v>
      </c>
      <c r="AD17" s="170">
        <f t="array" ref="AD17">IFERROR(
MEDIAN((IF(DATOS_[[Sexo]:[Sexo]]=$B17,IF(DATOS_[[AGRUP. CLAS. PROF.]:[AGRUP. CLAS. PROF.]]=$B15,IF(DATOS_[[Check Periodo Ref.]:[Check Periodo Ref.]]="Dentro",DATOS_[Conc.Sal.25]))))),
0)</f>
        <v>0</v>
      </c>
      <c r="AE17" s="170">
        <f t="array" ref="AE17">IFERROR(
MEDIAN((IF(DATOS_[[Sexo]:[Sexo]]=$B17,IF(DATOS_[[AGRUP. CLAS. PROF.]:[AGRUP. CLAS. PROF.]]=$B15,IF(DATOS_[[Check Periodo Ref.]:[Check Periodo Ref.]]="Dentro",DATOS_[Conc.Sal.26]))))),
0)</f>
        <v>0</v>
      </c>
      <c r="AF17" s="170">
        <f t="array" ref="AF17">IFERROR(
MEDIAN((IF(DATOS_[[Sexo]:[Sexo]]=$B17,IF(DATOS_[[AGRUP. CLAS. PROF.]:[AGRUP. CLAS. PROF.]]=$B15,IF(DATOS_[[Check Periodo Ref.]:[Check Periodo Ref.]]="Dentro",DATOS_[Conc.Sal.27]))))),
0)</f>
        <v>0</v>
      </c>
      <c r="AG17" s="170">
        <f t="array" ref="AG17">IFERROR(
MEDIAN((IF(DATOS_[[Sexo]:[Sexo]]=$B17,IF(DATOS_[[AGRUP. CLAS. PROF.]:[AGRUP. CLAS. PROF.]]=$B15,IF(DATOS_[[Check Periodo Ref.]:[Check Periodo Ref.]]="Dentro",DATOS_[Conc.Sal.28]))))),
0)</f>
        <v>0</v>
      </c>
      <c r="AH17" s="170">
        <f t="array" ref="AH17">IFERROR(
MEDIAN((IF(DATOS_[[Sexo]:[Sexo]]=$B17,IF(DATOS_[[AGRUP. CLAS. PROF.]:[AGRUP. CLAS. PROF.]]=$B15,IF(DATOS_[[Check Periodo Ref.]:[Check Periodo Ref.]]="Dentro",DATOS_[Conc.Sal.29]))))),
0)</f>
        <v>0</v>
      </c>
      <c r="AI17" s="170">
        <f t="array" ref="AI17">IFERROR(
MEDIAN((IF(DATOS_[[Sexo]:[Sexo]]=$B17,IF(DATOS_[[AGRUP. CLAS. PROF.]:[AGRUP. CLAS. PROF.]]=$B15,IF(DATOS_[[Check Periodo Ref.]:[Check Periodo Ref.]]="Dentro",DATOS_[Conc.Sal.30]))))),
0)</f>
        <v>0</v>
      </c>
      <c r="AJ17" s="171">
        <f t="array" ref="AJ17">IFERROR(
MEDIAN(IF(DATOS_[Sexo]=$B17,IF(DATOS_[AGRUP. CLAS. PROF.]=$B15,IF(DATOS_[Check Periodo Ref.]="Dentro",DATOS_[Tot COMPL.SAL Ef],FALSE)))),
0)</f>
        <v>0</v>
      </c>
      <c r="AK17" s="172">
        <f t="array" ref="AK17">IFERROR(
MEDIAN(IF(DATOS_[Sexo]=$B17,IF(DATOS_[AGRUP. CLAS. PROF.]=$B15,IF(DATOS_[Check Periodo Ref.]="Dentro",DATOS_[TOTAL SALARIO Ef],FALSE)))),
0)</f>
        <v>0</v>
      </c>
      <c r="AL17" s="173">
        <f t="array" ref="AL17">IFERROR(
MEDIAN((IF(DATOS_[[Sexo]:[Sexo]]=$B17,IF(DATOS_[[AGRUP. CLAS. PROF.]:[AGRUP. CLAS. PROF.]]=$B15,IF(DATOS_[[Check Periodo Ref.]:[Check Periodo Ref.]]="Dentro",DATOS_[C.Extra.01]))))),
0)</f>
        <v>0</v>
      </c>
      <c r="AM17" s="173">
        <f t="array" ref="AM17">IFERROR(
MEDIAN((IF(DATOS_[[Sexo]:[Sexo]]=$B17,IF(DATOS_[[AGRUP. CLAS. PROF.]:[AGRUP. CLAS. PROF.]]=$B15,IF(DATOS_[[Check Periodo Ref.]:[Check Periodo Ref.]]="Dentro",DATOS_[C.Extra.06]))))),
0)</f>
        <v>0</v>
      </c>
      <c r="AN17" s="173">
        <f t="array" ref="AN17">IFERROR(
MEDIAN((IF(DATOS_[[Sexo]:[Sexo]]=$B17,IF(DATOS_[[AGRUP. CLAS. PROF.]:[AGRUP. CLAS. PROF.]]=$B15,IF(DATOS_[[Check Periodo Ref.]:[Check Periodo Ref.]]="Dentro",DATOS_[C.Extra.07]))))),
0)</f>
        <v>0</v>
      </c>
      <c r="AO17" s="173">
        <f t="array" ref="AO17">IFERROR(
MEDIAN((IF(DATOS_[[Sexo]:[Sexo]]=$B17,IF(DATOS_[[AGRUP. CLAS. PROF.]:[AGRUP. CLAS. PROF.]]=$B15,IF(DATOS_[[Check Periodo Ref.]:[Check Periodo Ref.]]="Dentro",DATOS_[C.Extra.08]))))),
0)</f>
        <v>0</v>
      </c>
      <c r="AP17" s="173">
        <f t="array" ref="AP17">IFERROR(
MEDIAN((IF(DATOS_[[Sexo]:[Sexo]]=$B17,IF(DATOS_[[AGRUP. CLAS. PROF.]:[AGRUP. CLAS. PROF.]]=$B15,IF(DATOS_[[Check Periodo Ref.]:[Check Periodo Ref.]]="Dentro",DATOS_[C.Extra.11]))))),
0)</f>
        <v>0</v>
      </c>
      <c r="AQ17" s="174">
        <f t="array" ref="AQ17">IFERROR(
MEDIAN(IF(DATOS_[Sexo]=$B17,IF(DATOS_[AGRUP. CLAS. PROF.]=$B15,IF(DATOS_[Check Periodo Ref.]="Dentro",DATOS_[Tot Extrasalarial Ef],FALSE)))),
0)</f>
        <v>0</v>
      </c>
      <c r="AR17" s="171">
        <f t="array" ref="AR17">IFERROR(
MEDIAN(IF(DATOS_[Sexo]=$B17,IF(DATOS_[AGRUP. CLAS. PROF.]=$B15,IF(DATOS_[Check Periodo Ref.]="Dentro",DATOS_[TOTAL Retrib Ef],FALSE)))),
0)</f>
        <v>0</v>
      </c>
    </row>
    <row r="18" spans="1:44" s="186" customFormat="1" ht="14.4" thickBot="1" x14ac:dyDescent="0.3">
      <c r="A18" s="186" t="str">
        <f t="shared" ref="A18" si="7">+A19</f>
        <v/>
      </c>
      <c r="B18" s="153" t="s">
        <v>182</v>
      </c>
      <c r="C18" s="154"/>
      <c r="D18" s="155"/>
      <c r="E18" s="156">
        <f t="shared" ref="E18:AR18" si="8">IFERROR((E19-E20)/E19,"")</f>
        <v>0</v>
      </c>
      <c r="F18" s="157">
        <f t="shared" si="8"/>
        <v>-0.64688883834802724</v>
      </c>
      <c r="G18" s="158">
        <f t="shared" si="8"/>
        <v>0</v>
      </c>
      <c r="H18" s="158">
        <f t="shared" si="8"/>
        <v>0</v>
      </c>
      <c r="I18" s="158">
        <f t="shared" si="8"/>
        <v>-0.63767872161480232</v>
      </c>
      <c r="J18" s="159">
        <f t="shared" si="8"/>
        <v>0</v>
      </c>
      <c r="K18" s="160">
        <f t="shared" si="8"/>
        <v>0</v>
      </c>
      <c r="L18" s="160">
        <f t="shared" si="8"/>
        <v>-1.5014358294676389</v>
      </c>
      <c r="M18" s="160">
        <f t="shared" si="8"/>
        <v>1</v>
      </c>
      <c r="N18" s="160" t="str">
        <f t="shared" si="8"/>
        <v/>
      </c>
      <c r="O18" s="160" t="str">
        <f t="shared" si="8"/>
        <v/>
      </c>
      <c r="P18" s="160" t="str">
        <f t="shared" si="8"/>
        <v/>
      </c>
      <c r="Q18" s="160">
        <f t="shared" si="8"/>
        <v>0</v>
      </c>
      <c r="R18" s="160" t="str">
        <f t="shared" si="8"/>
        <v/>
      </c>
      <c r="S18" s="160" t="str">
        <f t="shared" si="8"/>
        <v/>
      </c>
      <c r="T18" s="160" t="str">
        <f t="shared" si="8"/>
        <v/>
      </c>
      <c r="U18" s="160" t="str">
        <f t="shared" si="8"/>
        <v/>
      </c>
      <c r="V18" s="159" t="str">
        <f t="shared" si="8"/>
        <v/>
      </c>
      <c r="W18" s="159" t="str">
        <f t="shared" si="8"/>
        <v/>
      </c>
      <c r="X18" s="159" t="str">
        <f t="shared" si="8"/>
        <v/>
      </c>
      <c r="Y18" s="159" t="str">
        <f t="shared" si="8"/>
        <v/>
      </c>
      <c r="Z18" s="159" t="str">
        <f t="shared" si="8"/>
        <v/>
      </c>
      <c r="AA18" s="159" t="str">
        <f t="shared" si="8"/>
        <v/>
      </c>
      <c r="AB18" s="159" t="str">
        <f t="shared" si="8"/>
        <v/>
      </c>
      <c r="AC18" s="159" t="str">
        <f t="shared" si="8"/>
        <v/>
      </c>
      <c r="AD18" s="159" t="str">
        <f t="shared" si="8"/>
        <v/>
      </c>
      <c r="AE18" s="159" t="str">
        <f t="shared" si="8"/>
        <v/>
      </c>
      <c r="AF18" s="159" t="str">
        <f t="shared" si="8"/>
        <v/>
      </c>
      <c r="AG18" s="159" t="str">
        <f t="shared" si="8"/>
        <v/>
      </c>
      <c r="AH18" s="159" t="str">
        <f t="shared" si="8"/>
        <v/>
      </c>
      <c r="AI18" s="159" t="str">
        <f t="shared" si="8"/>
        <v/>
      </c>
      <c r="AJ18" s="161">
        <f t="shared" si="8"/>
        <v>-0.39280385159973813</v>
      </c>
      <c r="AK18" s="162">
        <f t="shared" si="8"/>
        <v>-0.21285717320472988</v>
      </c>
      <c r="AL18" s="163" t="str">
        <f t="shared" si="8"/>
        <v/>
      </c>
      <c r="AM18" s="163" t="str">
        <f t="shared" si="8"/>
        <v/>
      </c>
      <c r="AN18" s="163" t="str">
        <f t="shared" si="8"/>
        <v/>
      </c>
      <c r="AO18" s="163" t="str">
        <f t="shared" si="8"/>
        <v/>
      </c>
      <c r="AP18" s="163" t="str">
        <f t="shared" si="8"/>
        <v/>
      </c>
      <c r="AQ18" s="164" t="str">
        <f t="shared" si="8"/>
        <v/>
      </c>
      <c r="AR18" s="161">
        <f t="shared" si="8"/>
        <v>-0.21285717320472988</v>
      </c>
    </row>
    <row r="19" spans="1:44" s="186" customFormat="1" x14ac:dyDescent="0.25">
      <c r="A19" s="186" t="str">
        <f t="shared" ref="A19" si="9">+IF(C19+C20=0,"[ocultar]","")</f>
        <v/>
      </c>
      <c r="B19" s="166" t="s">
        <v>394</v>
      </c>
      <c r="C19" s="167">
        <f t="array" ref="C19">SUM(IF($B19=DATOS_[Sexo],
IF($B18=DATOS_[AGRUP. CLAS. PROF.],
IF("Dentro"=DATOS_[Check Periodo Ref.],
1/(COUNTIFS(DATOS_[Sexo],$B19,DATOS_[AGRUP. CLAS. PROF.],$B18,DATOS_[Check Periodo Ref.],"Dentro",DATOS_[id/cod],DATOS_[id/cod]))))))</f>
        <v>3</v>
      </c>
      <c r="D19" s="168">
        <f>COUNTIFS(DATOS_[AGRUP. CLAS. PROF.],$B18,DATOS_[Sexo],$B19,DATOS_[Check Periodo Ref.],"Dentro")</f>
        <v>3</v>
      </c>
      <c r="E19" s="169">
        <f t="array" ref="E19">IFERROR(
MEDIAN(IF(DATOS_[Sexo]=$B19,IF(DATOS_[AGRUP. CLAS. PROF.]=$B18,IF(DATOS_[Check Periodo Ref.]="Dentro",DATOS_[SALARIO BASE Ef],FALSE)))),
0)</f>
        <v>13448.76</v>
      </c>
      <c r="F19" s="170">
        <f t="array" ref="F19">IFERROR(
MEDIAN((IF(DATOS_[[Sexo]:[Sexo]]=$B19,IF(DATOS_[[AGRUP. CLAS. PROF.]:[AGRUP. CLAS. PROF.]]=$B18,IF(DATOS_[[Check Periodo Ref.]:[Check Periodo Ref.]]="Dentro",DATOS_[Conc.Sal.01]))))),
0)</f>
        <v>2989.88</v>
      </c>
      <c r="G19" s="170">
        <f t="array" ref="G19">IFERROR(
MEDIAN((IF(DATOS_[[Sexo]:[Sexo]]=$B19,IF(DATOS_[[AGRUP. CLAS. PROF.]:[AGRUP. CLAS. PROF.]]=$B18,IF(DATOS_[[Check Periodo Ref.]:[Check Periodo Ref.]]="Dentro",DATOS_[Conc.Sal.02]))))),
0)</f>
        <v>37.44</v>
      </c>
      <c r="H19" s="170">
        <f t="array" ref="H19">IFERROR(
MEDIAN((IF(DATOS_[[Sexo]:[Sexo]]=$B19,IF(DATOS_[[AGRUP. CLAS. PROF.]:[AGRUP. CLAS. PROF.]]=$B18,IF(DATOS_[[Check Periodo Ref.]:[Check Periodo Ref.]]="Dentro",DATOS_[Conc.Sal.03]))))),
0)</f>
        <v>902.4</v>
      </c>
      <c r="I19" s="170">
        <f t="array" ref="I19">IFERROR(
MEDIAN((IF(DATOS_[[Sexo]:[Sexo]]=$B19,IF(DATOS_[[AGRUP. CLAS. PROF.]:[AGRUP. CLAS. PROF.]]=$B18,IF(DATOS_[[Check Periodo Ref.]:[Check Periodo Ref.]]="Dentro",DATOS_[Conc.Sal.04]))))),
0)</f>
        <v>713.4</v>
      </c>
      <c r="J19" s="170">
        <f t="array" ref="J19">IFERROR(
MEDIAN((IF(DATOS_[[Sexo]:[Sexo]]=$B19,IF(DATOS_[[AGRUP. CLAS. PROF.]:[AGRUP. CLAS. PROF.]]=$B18,IF(DATOS_[[Check Periodo Ref.]:[Check Periodo Ref.]]="Dentro",DATOS_[Conc.Sal.05]))))),
0)</f>
        <v>426.96</v>
      </c>
      <c r="K19" s="170">
        <f t="array" ref="K19">IFERROR(
MEDIAN((IF(DATOS_[[Sexo]:[Sexo]]=$B19,IF(DATOS_[[AGRUP. CLAS. PROF.]:[AGRUP. CLAS. PROF.]]=$B18,IF(DATOS_[[Check Periodo Ref.]:[Check Periodo Ref.]]="Dentro",DATOS_[Conc.Sal.06]))))),
0)</f>
        <v>843.12</v>
      </c>
      <c r="L19" s="170">
        <f t="array" ref="L19">IFERROR(
MEDIAN((IF(DATOS_[[Sexo]:[Sexo]]=$B19,IF(DATOS_[[AGRUP. CLAS. PROF.]:[AGRUP. CLAS. PROF.]]=$B18,IF(DATOS_[[Check Periodo Ref.]:[Check Periodo Ref.]]="Dentro",DATOS_[Conc.Sal.07]))))),
0)</f>
        <v>543.24</v>
      </c>
      <c r="M19" s="170">
        <f t="array" ref="M19">IFERROR(
MEDIAN((IF(DATOS_[[Sexo]:[Sexo]]=$B19,IF(DATOS_[[AGRUP. CLAS. PROF.]:[AGRUP. CLAS. PROF.]]=$B18,IF(DATOS_[[Check Periodo Ref.]:[Check Periodo Ref.]]="Dentro",DATOS_[Conc.Sal.08]))))),
0)</f>
        <v>843.12</v>
      </c>
      <c r="N19" s="170">
        <f t="array" ref="N19">IFERROR(
MEDIAN((IF(DATOS_[[Sexo]:[Sexo]]=$B19,IF(DATOS_[[AGRUP. CLAS. PROF.]:[AGRUP. CLAS. PROF.]]=$B18,IF(DATOS_[[Check Periodo Ref.]:[Check Periodo Ref.]]="Dentro",DATOS_[Conc.Sal.09]))))),
0)</f>
        <v>0</v>
      </c>
      <c r="O19" s="170">
        <f t="array" ref="O19">IFERROR(
MEDIAN((IF(DATOS_[[Sexo]:[Sexo]]=$B19,IF(DATOS_[[AGRUP. CLAS. PROF.]:[AGRUP. CLAS. PROF.]]=$B18,IF(DATOS_[[Check Periodo Ref.]:[Check Periodo Ref.]]="Dentro",DATOS_[Conc.Sal.10]))))),
0)</f>
        <v>0</v>
      </c>
      <c r="P19" s="170">
        <f t="array" ref="P19">IFERROR(
MEDIAN((IF(DATOS_[[Sexo]:[Sexo]]=$B19,IF(DATOS_[[AGRUP. CLAS. PROF.]:[AGRUP. CLAS. PROF.]]=$B18,IF(DATOS_[[Check Periodo Ref.]:[Check Periodo Ref.]]="Dentro",DATOS_[Conc.Sal.11]))))),
0)</f>
        <v>0</v>
      </c>
      <c r="Q19" s="170">
        <f t="array" ref="Q19">IFERROR(
MEDIAN((IF(DATOS_[[Sexo]:[Sexo]]=$B19,IF(DATOS_[[AGRUP. CLAS. PROF.]:[AGRUP. CLAS. PROF.]]=$B18,IF(DATOS_[[Check Periodo Ref.]:[Check Periodo Ref.]]="Dentro",DATOS_[Conc.Sal.12]))))),
0)</f>
        <v>65</v>
      </c>
      <c r="R19" s="170">
        <f t="array" ref="R19">IFERROR(
MEDIAN((IF(DATOS_[[Sexo]:[Sexo]]=$B19,IF(DATOS_[[AGRUP. CLAS. PROF.]:[AGRUP. CLAS. PROF.]]=$B18,IF(DATOS_[[Check Periodo Ref.]:[Check Periodo Ref.]]="Dentro",DATOS_[Conc.Sal.13]))))),
0)</f>
        <v>0</v>
      </c>
      <c r="S19" s="170">
        <f t="array" ref="S19">IFERROR(
MEDIAN((IF(DATOS_[[Sexo]:[Sexo]]=$B19,IF(DATOS_[[AGRUP. CLAS. PROF.]:[AGRUP. CLAS. PROF.]]=$B18,IF(DATOS_[[Check Periodo Ref.]:[Check Periodo Ref.]]="Dentro",DATOS_[Conc.Sal.14]))))),
0)</f>
        <v>0</v>
      </c>
      <c r="T19" s="170">
        <f t="array" ref="T19">IFERROR(
MEDIAN((IF(DATOS_[[Sexo]:[Sexo]]=$B19,IF(DATOS_[[AGRUP. CLAS. PROF.]:[AGRUP. CLAS. PROF.]]=$B18,IF(DATOS_[[Check Periodo Ref.]:[Check Periodo Ref.]]="Dentro",DATOS_[Conc.Sal.15]))))),
0)</f>
        <v>0</v>
      </c>
      <c r="U19" s="170">
        <f t="array" ref="U19">IFERROR(
MEDIAN((IF(DATOS_[[Sexo]:[Sexo]]=$B19,IF(DATOS_[[AGRUP. CLAS. PROF.]:[AGRUP. CLAS. PROF.]]=$B18,IF(DATOS_[[Check Periodo Ref.]:[Check Periodo Ref.]]="Dentro",DATOS_[Conc.Sal.16]))))),
0)</f>
        <v>0</v>
      </c>
      <c r="V19" s="170">
        <f t="array" ref="V19">IFERROR(
MEDIAN((IF(DATOS_[[Sexo]:[Sexo]]=$B19,IF(DATOS_[[AGRUP. CLAS. PROF.]:[AGRUP. CLAS. PROF.]]=$B18,IF(DATOS_[[Check Periodo Ref.]:[Check Periodo Ref.]]="Dentro",DATOS_[Conc.Sal.17]))))),
0)</f>
        <v>0</v>
      </c>
      <c r="W19" s="170">
        <f t="array" ref="W19">IFERROR(
MEDIAN((IF(DATOS_[[Sexo]:[Sexo]]=$B19,IF(DATOS_[[AGRUP. CLAS. PROF.]:[AGRUP. CLAS. PROF.]]=$B18,IF(DATOS_[[Check Periodo Ref.]:[Check Periodo Ref.]]="Dentro",DATOS_[Conc.Sal.18]))))),
0)</f>
        <v>0</v>
      </c>
      <c r="X19" s="170">
        <f t="array" ref="X19">IFERROR(
MEDIAN((IF(DATOS_[[Sexo]:[Sexo]]=$B19,IF(DATOS_[[AGRUP. CLAS. PROF.]:[AGRUP. CLAS. PROF.]]=$B18,IF(DATOS_[[Check Periodo Ref.]:[Check Periodo Ref.]]="Dentro",DATOS_[Conc.Sal.19]))))),
0)</f>
        <v>0</v>
      </c>
      <c r="Y19" s="170">
        <f t="array" ref="Y19">IFERROR(
MEDIAN((IF(DATOS_[[Sexo]:[Sexo]]=$B19,IF(DATOS_[[AGRUP. CLAS. PROF.]:[AGRUP. CLAS. PROF.]]=$B18,IF(DATOS_[[Check Periodo Ref.]:[Check Periodo Ref.]]="Dentro",DATOS_[Conc.Sal.20]))))),
0)</f>
        <v>0</v>
      </c>
      <c r="Z19" s="170">
        <f t="array" ref="Z19">IFERROR(
MEDIAN((IF(DATOS_[[Sexo]:[Sexo]]=$B19,IF(DATOS_[[AGRUP. CLAS. PROF.]:[AGRUP. CLAS. PROF.]]=$B18,IF(DATOS_[[Check Periodo Ref.]:[Check Periodo Ref.]]="Dentro",DATOS_[Conc.Sal.21]))))),
0)</f>
        <v>0</v>
      </c>
      <c r="AA19" s="170">
        <f t="array" ref="AA19">IFERROR(
MEDIAN((IF(DATOS_[[Sexo]:[Sexo]]=$B19,IF(DATOS_[[AGRUP. CLAS. PROF.]:[AGRUP. CLAS. PROF.]]=$B18,IF(DATOS_[[Check Periodo Ref.]:[Check Periodo Ref.]]="Dentro",DATOS_[Conc.Sal.22]))))),
0)</f>
        <v>0</v>
      </c>
      <c r="AB19" s="170">
        <f t="array" ref="AB19">IFERROR(
MEDIAN((IF(DATOS_[[Sexo]:[Sexo]]=$B19,IF(DATOS_[[AGRUP. CLAS. PROF.]:[AGRUP. CLAS. PROF.]]=$B18,IF(DATOS_[[Check Periodo Ref.]:[Check Periodo Ref.]]="Dentro",DATOS_[Conc.Sal.23]))))),
0)</f>
        <v>0</v>
      </c>
      <c r="AC19" s="170">
        <f t="array" ref="AC19">IFERROR(
MEDIAN((IF(DATOS_[[Sexo]:[Sexo]]=$B19,IF(DATOS_[[AGRUP. CLAS. PROF.]:[AGRUP. CLAS. PROF.]]=$B18,IF(DATOS_[[Check Periodo Ref.]:[Check Periodo Ref.]]="Dentro",DATOS_[Conc.Sal.24]))))),
0)</f>
        <v>0</v>
      </c>
      <c r="AD19" s="170">
        <f t="array" ref="AD19">IFERROR(
MEDIAN((IF(DATOS_[[Sexo]:[Sexo]]=$B19,IF(DATOS_[[AGRUP. CLAS. PROF.]:[AGRUP. CLAS. PROF.]]=$B18,IF(DATOS_[[Check Periodo Ref.]:[Check Periodo Ref.]]="Dentro",DATOS_[Conc.Sal.25]))))),
0)</f>
        <v>0</v>
      </c>
      <c r="AE19" s="170">
        <f t="array" ref="AE19">IFERROR(
MEDIAN((IF(DATOS_[[Sexo]:[Sexo]]=$B19,IF(DATOS_[[AGRUP. CLAS. PROF.]:[AGRUP. CLAS. PROF.]]=$B18,IF(DATOS_[[Check Periodo Ref.]:[Check Periodo Ref.]]="Dentro",DATOS_[Conc.Sal.26]))))),
0)</f>
        <v>0</v>
      </c>
      <c r="AF19" s="170">
        <f t="array" ref="AF19">IFERROR(
MEDIAN((IF(DATOS_[[Sexo]:[Sexo]]=$B19,IF(DATOS_[[AGRUP. CLAS. PROF.]:[AGRUP. CLAS. PROF.]]=$B18,IF(DATOS_[[Check Periodo Ref.]:[Check Periodo Ref.]]="Dentro",DATOS_[Conc.Sal.27]))))),
0)</f>
        <v>0</v>
      </c>
      <c r="AG19" s="170">
        <f t="array" ref="AG19">IFERROR(
MEDIAN((IF(DATOS_[[Sexo]:[Sexo]]=$B19,IF(DATOS_[[AGRUP. CLAS. PROF.]:[AGRUP. CLAS. PROF.]]=$B18,IF(DATOS_[[Check Periodo Ref.]:[Check Periodo Ref.]]="Dentro",DATOS_[Conc.Sal.28]))))),
0)</f>
        <v>0</v>
      </c>
      <c r="AH19" s="170">
        <f t="array" ref="AH19">IFERROR(
MEDIAN((IF(DATOS_[[Sexo]:[Sexo]]=$B19,IF(DATOS_[[AGRUP. CLAS. PROF.]:[AGRUP. CLAS. PROF.]]=$B18,IF(DATOS_[[Check Periodo Ref.]:[Check Periodo Ref.]]="Dentro",DATOS_[Conc.Sal.29]))))),
0)</f>
        <v>0</v>
      </c>
      <c r="AI19" s="170">
        <f t="array" ref="AI19">IFERROR(
MEDIAN((IF(DATOS_[[Sexo]:[Sexo]]=$B19,IF(DATOS_[[AGRUP. CLAS. PROF.]:[AGRUP. CLAS. PROF.]]=$B18,IF(DATOS_[[Check Periodo Ref.]:[Check Periodo Ref.]]="Dentro",DATOS_[Conc.Sal.30]))))),
0)</f>
        <v>0</v>
      </c>
      <c r="AJ19" s="171">
        <f t="array" ref="AJ19">IFERROR(
MEDIAN(IF(DATOS_[Sexo]=$B19,IF(DATOS_[AGRUP. CLAS. PROF.]=$B18,IF(DATOS_[Check Periodo Ref.]="Dentro",DATOS_[Tot COMPL.SAL Ef],FALSE)))),
0)</f>
        <v>12069.789999999999</v>
      </c>
      <c r="AK19" s="172">
        <f t="array" ref="AK19">IFERROR(
MEDIAN(IF(DATOS_[Sexo]=$B19,IF(DATOS_[AGRUP. CLAS. PROF.]=$B18,IF(DATOS_[Check Periodo Ref.]="Dentro",DATOS_[TOTAL SALARIO Ef],FALSE)))),
0)</f>
        <v>24949.03</v>
      </c>
      <c r="AL19" s="173">
        <f t="array" ref="AL19">IFERROR(
MEDIAN((IF(DATOS_[[Sexo]:[Sexo]]=$B19,IF(DATOS_[[AGRUP. CLAS. PROF.]:[AGRUP. CLAS. PROF.]]=$B18,IF(DATOS_[[Check Periodo Ref.]:[Check Periodo Ref.]]="Dentro",DATOS_[C.Extra.01]))))),
0)</f>
        <v>0</v>
      </c>
      <c r="AM19" s="173">
        <f t="array" ref="AM19">IFERROR(
MEDIAN((IF(DATOS_[[Sexo]:[Sexo]]=$B19,IF(DATOS_[[AGRUP. CLAS. PROF.]:[AGRUP. CLAS. PROF.]]=$B18,IF(DATOS_[[Check Periodo Ref.]:[Check Periodo Ref.]]="Dentro",DATOS_[C.Extra.06]))))),
0)</f>
        <v>0</v>
      </c>
      <c r="AN19" s="173">
        <f t="array" ref="AN19">IFERROR(
MEDIAN((IF(DATOS_[[Sexo]:[Sexo]]=$B19,IF(DATOS_[[AGRUP. CLAS. PROF.]:[AGRUP. CLAS. PROF.]]=$B18,IF(DATOS_[[Check Periodo Ref.]:[Check Periodo Ref.]]="Dentro",DATOS_[C.Extra.07]))))),
0)</f>
        <v>0</v>
      </c>
      <c r="AO19" s="173">
        <f t="array" ref="AO19">IFERROR(
MEDIAN((IF(DATOS_[[Sexo]:[Sexo]]=$B19,IF(DATOS_[[AGRUP. CLAS. PROF.]:[AGRUP. CLAS. PROF.]]=$B18,IF(DATOS_[[Check Periodo Ref.]:[Check Periodo Ref.]]="Dentro",DATOS_[C.Extra.08]))))),
0)</f>
        <v>0</v>
      </c>
      <c r="AP19" s="173">
        <f t="array" ref="AP19">IFERROR(
MEDIAN((IF(DATOS_[[Sexo]:[Sexo]]=$B19,IF(DATOS_[[AGRUP. CLAS. PROF.]:[AGRUP. CLAS. PROF.]]=$B18,IF(DATOS_[[Check Periodo Ref.]:[Check Periodo Ref.]]="Dentro",DATOS_[C.Extra.11]))))),
0)</f>
        <v>0</v>
      </c>
      <c r="AQ19" s="174">
        <f t="array" ref="AQ19">IFERROR(
MEDIAN(IF(DATOS_[Sexo]=$B19,IF(DATOS_[AGRUP. CLAS. PROF.]=$B18,IF(DATOS_[Check Periodo Ref.]="Dentro",DATOS_[Tot Extrasalarial Ef],FALSE)))),
0)</f>
        <v>0</v>
      </c>
      <c r="AR19" s="171">
        <f t="array" ref="AR19">IFERROR(
MEDIAN(IF(DATOS_[Sexo]=$B19,IF(DATOS_[AGRUP. CLAS. PROF.]=$B18,IF(DATOS_[Check Periodo Ref.]="Dentro",DATOS_[TOTAL Retrib Ef],FALSE)))),
0)</f>
        <v>24949.03</v>
      </c>
    </row>
    <row r="20" spans="1:44" s="186" customFormat="1" x14ac:dyDescent="0.25">
      <c r="A20" s="186" t="str">
        <f t="shared" ref="A20" si="10">+A19</f>
        <v/>
      </c>
      <c r="B20" s="166" t="s">
        <v>521</v>
      </c>
      <c r="C20" s="167">
        <f t="array" ref="C20">SUM(IF($B20=DATOS_[Sexo],
IF($B18=DATOS_[AGRUP. CLAS. PROF.],
IF("Dentro"=DATOS_[Check Periodo Ref.],
1/(COUNTIFS(DATOS_[Sexo],$B20,DATOS_[AGRUP. CLAS. PROF.],$B18,DATOS_[Check Periodo Ref.],"Dentro",DATOS_[id/cod],DATOS_[id/cod]))))))</f>
        <v>3</v>
      </c>
      <c r="D20" s="168">
        <f>COUNTIFS(DATOS_[AGRUP. CLAS. PROF.],$B18,DATOS_[Sexo],$B20,DATOS_[Check Periodo Ref.],"Dentro")</f>
        <v>3</v>
      </c>
      <c r="E20" s="169">
        <f t="array" ref="E20">IFERROR(
MEDIAN(IF(DATOS_[Sexo]=$B20,IF(DATOS_[AGRUP. CLAS. PROF.]=$B18,IF(DATOS_[Check Periodo Ref.]="Dentro",DATOS_[SALARIO BASE Ef],FALSE)))),
0)</f>
        <v>13448.76</v>
      </c>
      <c r="F20" s="170">
        <f t="array" ref="F20">IFERROR(
MEDIAN((IF(DATOS_[[Sexo]:[Sexo]]=$B20,IF(DATOS_[[AGRUP. CLAS. PROF.]:[AGRUP. CLAS. PROF.]]=$B18,IF(DATOS_[[Check Periodo Ref.]:[Check Periodo Ref.]]="Dentro",DATOS_[Conc.Sal.01]))))),
0)</f>
        <v>4924</v>
      </c>
      <c r="G20" s="170">
        <f t="array" ref="G20">IFERROR(
MEDIAN((IF(DATOS_[[Sexo]:[Sexo]]=$B20,IF(DATOS_[[AGRUP. CLAS. PROF.]:[AGRUP. CLAS. PROF.]]=$B18,IF(DATOS_[[Check Periodo Ref.]:[Check Periodo Ref.]]="Dentro",DATOS_[Conc.Sal.02]))))),
0)</f>
        <v>37.44</v>
      </c>
      <c r="H20" s="170">
        <f t="array" ref="H20">IFERROR(
MEDIAN((IF(DATOS_[[Sexo]:[Sexo]]=$B20,IF(DATOS_[[AGRUP. CLAS. PROF.]:[AGRUP. CLAS. PROF.]]=$B18,IF(DATOS_[[Check Periodo Ref.]:[Check Periodo Ref.]]="Dentro",DATOS_[Conc.Sal.03]))))),
0)</f>
        <v>902.4</v>
      </c>
      <c r="I20" s="170">
        <f t="array" ref="I20">IFERROR(
MEDIAN((IF(DATOS_[[Sexo]:[Sexo]]=$B20,IF(DATOS_[[AGRUP. CLAS. PROF.]:[AGRUP. CLAS. PROF.]]=$B18,IF(DATOS_[[Check Periodo Ref.]:[Check Periodo Ref.]]="Dentro",DATOS_[Conc.Sal.04]))))),
0)</f>
        <v>1168.32</v>
      </c>
      <c r="J20" s="170">
        <f t="array" ref="J20">IFERROR(
MEDIAN((IF(DATOS_[[Sexo]:[Sexo]]=$B20,IF(DATOS_[[AGRUP. CLAS. PROF.]:[AGRUP. CLAS. PROF.]]=$B18,IF(DATOS_[[Check Periodo Ref.]:[Check Periodo Ref.]]="Dentro",DATOS_[Conc.Sal.05]))))),
0)</f>
        <v>426.96</v>
      </c>
      <c r="K20" s="170">
        <f t="array" ref="K20">IFERROR(
MEDIAN((IF(DATOS_[[Sexo]:[Sexo]]=$B20,IF(DATOS_[[AGRUP. CLAS. PROF.]:[AGRUP. CLAS. PROF.]]=$B18,IF(DATOS_[[Check Periodo Ref.]:[Check Periodo Ref.]]="Dentro",DATOS_[Conc.Sal.06]))))),
0)</f>
        <v>843.12</v>
      </c>
      <c r="L20" s="170">
        <f t="array" ref="L20">IFERROR(
MEDIAN((IF(DATOS_[[Sexo]:[Sexo]]=$B20,IF(DATOS_[[AGRUP. CLAS. PROF.]:[AGRUP. CLAS. PROF.]]=$B18,IF(DATOS_[[Check Periodo Ref.]:[Check Periodo Ref.]]="Dentro",DATOS_[Conc.Sal.07]))))),
0)</f>
        <v>1358.88</v>
      </c>
      <c r="M20" s="170">
        <f t="array" ref="M20">IFERROR(
MEDIAN((IF(DATOS_[[Sexo]:[Sexo]]=$B20,IF(DATOS_[[AGRUP. CLAS. PROF.]:[AGRUP. CLAS. PROF.]]=$B18,IF(DATOS_[[Check Periodo Ref.]:[Check Periodo Ref.]]="Dentro",DATOS_[Conc.Sal.08]))))),
0)</f>
        <v>0</v>
      </c>
      <c r="N20" s="170">
        <f t="array" ref="N20">IFERROR(
MEDIAN((IF(DATOS_[[Sexo]:[Sexo]]=$B20,IF(DATOS_[[AGRUP. CLAS. PROF.]:[AGRUP. CLAS. PROF.]]=$B18,IF(DATOS_[[Check Periodo Ref.]:[Check Periodo Ref.]]="Dentro",DATOS_[Conc.Sal.09]))))),
0)</f>
        <v>0</v>
      </c>
      <c r="O20" s="170">
        <f t="array" ref="O20">IFERROR(
MEDIAN((IF(DATOS_[[Sexo]:[Sexo]]=$B20,IF(DATOS_[[AGRUP. CLAS. PROF.]:[AGRUP. CLAS. PROF.]]=$B18,IF(DATOS_[[Check Periodo Ref.]:[Check Periodo Ref.]]="Dentro",DATOS_[Conc.Sal.10]))))),
0)</f>
        <v>0</v>
      </c>
      <c r="P20" s="170">
        <f t="array" ref="P20">IFERROR(
MEDIAN((IF(DATOS_[[Sexo]:[Sexo]]=$B20,IF(DATOS_[[AGRUP. CLAS. PROF.]:[AGRUP. CLAS. PROF.]]=$B18,IF(DATOS_[[Check Periodo Ref.]:[Check Periodo Ref.]]="Dentro",DATOS_[Conc.Sal.11]))))),
0)</f>
        <v>0</v>
      </c>
      <c r="Q20" s="170">
        <f t="array" ref="Q20">IFERROR(
MEDIAN((IF(DATOS_[[Sexo]:[Sexo]]=$B20,IF(DATOS_[[AGRUP. CLAS. PROF.]:[AGRUP. CLAS. PROF.]]=$B18,IF(DATOS_[[Check Periodo Ref.]:[Check Periodo Ref.]]="Dentro",DATOS_[Conc.Sal.12]))))),
0)</f>
        <v>65</v>
      </c>
      <c r="R20" s="170">
        <f t="array" ref="R20">IFERROR(
MEDIAN((IF(DATOS_[[Sexo]:[Sexo]]=$B20,IF(DATOS_[[AGRUP. CLAS. PROF.]:[AGRUP. CLAS. PROF.]]=$B18,IF(DATOS_[[Check Periodo Ref.]:[Check Periodo Ref.]]="Dentro",DATOS_[Conc.Sal.13]))))),
0)</f>
        <v>3766.18</v>
      </c>
      <c r="S20" s="170">
        <f t="array" ref="S20">IFERROR(
MEDIAN((IF(DATOS_[[Sexo]:[Sexo]]=$B20,IF(DATOS_[[AGRUP. CLAS. PROF.]:[AGRUP. CLAS. PROF.]]=$B18,IF(DATOS_[[Check Periodo Ref.]:[Check Periodo Ref.]]="Dentro",DATOS_[Conc.Sal.14]))))),
0)</f>
        <v>0</v>
      </c>
      <c r="T20" s="170">
        <f t="array" ref="T20">IFERROR(
MEDIAN((IF(DATOS_[[Sexo]:[Sexo]]=$B20,IF(DATOS_[[AGRUP. CLAS. PROF.]:[AGRUP. CLAS. PROF.]]=$B18,IF(DATOS_[[Check Periodo Ref.]:[Check Periodo Ref.]]="Dentro",DATOS_[Conc.Sal.15]))))),
0)</f>
        <v>0</v>
      </c>
      <c r="U20" s="170">
        <f t="array" ref="U20">IFERROR(
MEDIAN((IF(DATOS_[[Sexo]:[Sexo]]=$B20,IF(DATOS_[[AGRUP. CLAS. PROF.]:[AGRUP. CLAS. PROF.]]=$B18,IF(DATOS_[[Check Periodo Ref.]:[Check Periodo Ref.]]="Dentro",DATOS_[Conc.Sal.16]))))),
0)</f>
        <v>0</v>
      </c>
      <c r="V20" s="170">
        <f t="array" ref="V20">IFERROR(
MEDIAN((IF(DATOS_[[Sexo]:[Sexo]]=$B20,IF(DATOS_[[AGRUP. CLAS. PROF.]:[AGRUP. CLAS. PROF.]]=$B18,IF(DATOS_[[Check Periodo Ref.]:[Check Periodo Ref.]]="Dentro",DATOS_[Conc.Sal.17]))))),
0)</f>
        <v>0</v>
      </c>
      <c r="W20" s="170">
        <f t="array" ref="W20">IFERROR(
MEDIAN((IF(DATOS_[[Sexo]:[Sexo]]=$B20,IF(DATOS_[[AGRUP. CLAS. PROF.]:[AGRUP. CLAS. PROF.]]=$B18,IF(DATOS_[[Check Periodo Ref.]:[Check Periodo Ref.]]="Dentro",DATOS_[Conc.Sal.18]))))),
0)</f>
        <v>0</v>
      </c>
      <c r="X20" s="170">
        <f t="array" ref="X20">IFERROR(
MEDIAN((IF(DATOS_[[Sexo]:[Sexo]]=$B20,IF(DATOS_[[AGRUP. CLAS. PROF.]:[AGRUP. CLAS. PROF.]]=$B18,IF(DATOS_[[Check Periodo Ref.]:[Check Periodo Ref.]]="Dentro",DATOS_[Conc.Sal.19]))))),
0)</f>
        <v>0</v>
      </c>
      <c r="Y20" s="170">
        <f t="array" ref="Y20">IFERROR(
MEDIAN((IF(DATOS_[[Sexo]:[Sexo]]=$B20,IF(DATOS_[[AGRUP. CLAS. PROF.]:[AGRUP. CLAS. PROF.]]=$B18,IF(DATOS_[[Check Periodo Ref.]:[Check Periodo Ref.]]="Dentro",DATOS_[Conc.Sal.20]))))),
0)</f>
        <v>0</v>
      </c>
      <c r="Z20" s="170">
        <f t="array" ref="Z20">IFERROR(
MEDIAN((IF(DATOS_[[Sexo]:[Sexo]]=$B20,IF(DATOS_[[AGRUP. CLAS. PROF.]:[AGRUP. CLAS. PROF.]]=$B18,IF(DATOS_[[Check Periodo Ref.]:[Check Periodo Ref.]]="Dentro",DATOS_[Conc.Sal.21]))))),
0)</f>
        <v>0</v>
      </c>
      <c r="AA20" s="170">
        <f t="array" ref="AA20">IFERROR(
MEDIAN((IF(DATOS_[[Sexo]:[Sexo]]=$B20,IF(DATOS_[[AGRUP. CLAS. PROF.]:[AGRUP. CLAS. PROF.]]=$B18,IF(DATOS_[[Check Periodo Ref.]:[Check Periodo Ref.]]="Dentro",DATOS_[Conc.Sal.22]))))),
0)</f>
        <v>0</v>
      </c>
      <c r="AB20" s="170">
        <f t="array" ref="AB20">IFERROR(
MEDIAN((IF(DATOS_[[Sexo]:[Sexo]]=$B20,IF(DATOS_[[AGRUP. CLAS. PROF.]:[AGRUP. CLAS. PROF.]]=$B18,IF(DATOS_[[Check Periodo Ref.]:[Check Periodo Ref.]]="Dentro",DATOS_[Conc.Sal.23]))))),
0)</f>
        <v>0</v>
      </c>
      <c r="AC20" s="170">
        <f t="array" ref="AC20">IFERROR(
MEDIAN((IF(DATOS_[[Sexo]:[Sexo]]=$B20,IF(DATOS_[[AGRUP. CLAS. PROF.]:[AGRUP. CLAS. PROF.]]=$B18,IF(DATOS_[[Check Periodo Ref.]:[Check Periodo Ref.]]="Dentro",DATOS_[Conc.Sal.24]))))),
0)</f>
        <v>0</v>
      </c>
      <c r="AD20" s="170">
        <f t="array" ref="AD20">IFERROR(
MEDIAN((IF(DATOS_[[Sexo]:[Sexo]]=$B20,IF(DATOS_[[AGRUP. CLAS. PROF.]:[AGRUP. CLAS. PROF.]]=$B18,IF(DATOS_[[Check Periodo Ref.]:[Check Periodo Ref.]]="Dentro",DATOS_[Conc.Sal.25]))))),
0)</f>
        <v>0</v>
      </c>
      <c r="AE20" s="170">
        <f t="array" ref="AE20">IFERROR(
MEDIAN((IF(DATOS_[[Sexo]:[Sexo]]=$B20,IF(DATOS_[[AGRUP. CLAS. PROF.]:[AGRUP. CLAS. PROF.]]=$B18,IF(DATOS_[[Check Periodo Ref.]:[Check Periodo Ref.]]="Dentro",DATOS_[Conc.Sal.26]))))),
0)</f>
        <v>0</v>
      </c>
      <c r="AF20" s="170">
        <f t="array" ref="AF20">IFERROR(
MEDIAN((IF(DATOS_[[Sexo]:[Sexo]]=$B20,IF(DATOS_[[AGRUP. CLAS. PROF.]:[AGRUP. CLAS. PROF.]]=$B18,IF(DATOS_[[Check Periodo Ref.]:[Check Periodo Ref.]]="Dentro",DATOS_[Conc.Sal.27]))))),
0)</f>
        <v>0</v>
      </c>
      <c r="AG20" s="170">
        <f t="array" ref="AG20">IFERROR(
MEDIAN((IF(DATOS_[[Sexo]:[Sexo]]=$B20,IF(DATOS_[[AGRUP. CLAS. PROF.]:[AGRUP. CLAS. PROF.]]=$B18,IF(DATOS_[[Check Periodo Ref.]:[Check Periodo Ref.]]="Dentro",DATOS_[Conc.Sal.28]))))),
0)</f>
        <v>0</v>
      </c>
      <c r="AH20" s="170">
        <f t="array" ref="AH20">IFERROR(
MEDIAN((IF(DATOS_[[Sexo]:[Sexo]]=$B20,IF(DATOS_[[AGRUP. CLAS. PROF.]:[AGRUP. CLAS. PROF.]]=$B18,IF(DATOS_[[Check Periodo Ref.]:[Check Periodo Ref.]]="Dentro",DATOS_[Conc.Sal.29]))))),
0)</f>
        <v>0</v>
      </c>
      <c r="AI20" s="170">
        <f t="array" ref="AI20">IFERROR(
MEDIAN((IF(DATOS_[[Sexo]:[Sexo]]=$B20,IF(DATOS_[[AGRUP. CLAS. PROF.]:[AGRUP. CLAS. PROF.]]=$B18,IF(DATOS_[[Check Periodo Ref.]:[Check Periodo Ref.]]="Dentro",DATOS_[Conc.Sal.30]))))),
0)</f>
        <v>0</v>
      </c>
      <c r="AJ20" s="171">
        <f t="array" ref="AJ20">IFERROR(
MEDIAN(IF(DATOS_[Sexo]=$B20,IF(DATOS_[AGRUP. CLAS. PROF.]=$B18,IF(DATOS_[Check Periodo Ref.]="Dentro",DATOS_[Tot COMPL.SAL Ef],FALSE)))),
0)</f>
        <v>16810.850000000002</v>
      </c>
      <c r="AK20" s="172">
        <f t="array" ref="AK20">IFERROR(
MEDIAN(IF(DATOS_[Sexo]=$B20,IF(DATOS_[AGRUP. CLAS. PROF.]=$B18,IF(DATOS_[Check Periodo Ref.]="Dentro",DATOS_[TOTAL SALARIO Ef],FALSE)))),
0)</f>
        <v>30259.61</v>
      </c>
      <c r="AL20" s="173">
        <f t="array" ref="AL20">IFERROR(
MEDIAN((IF(DATOS_[[Sexo]:[Sexo]]=$B20,IF(DATOS_[[AGRUP. CLAS. PROF.]:[AGRUP. CLAS. PROF.]]=$B18,IF(DATOS_[[Check Periodo Ref.]:[Check Periodo Ref.]]="Dentro",DATOS_[C.Extra.01]))))),
0)</f>
        <v>0</v>
      </c>
      <c r="AM20" s="173">
        <f t="array" ref="AM20">IFERROR(
MEDIAN((IF(DATOS_[[Sexo]:[Sexo]]=$B20,IF(DATOS_[[AGRUP. CLAS. PROF.]:[AGRUP. CLAS. PROF.]]=$B18,IF(DATOS_[[Check Periodo Ref.]:[Check Periodo Ref.]]="Dentro",DATOS_[C.Extra.06]))))),
0)</f>
        <v>0</v>
      </c>
      <c r="AN20" s="173">
        <f t="array" ref="AN20">IFERROR(
MEDIAN((IF(DATOS_[[Sexo]:[Sexo]]=$B20,IF(DATOS_[[AGRUP. CLAS. PROF.]:[AGRUP. CLAS. PROF.]]=$B18,IF(DATOS_[[Check Periodo Ref.]:[Check Periodo Ref.]]="Dentro",DATOS_[C.Extra.07]))))),
0)</f>
        <v>0</v>
      </c>
      <c r="AO20" s="173">
        <f t="array" ref="AO20">IFERROR(
MEDIAN((IF(DATOS_[[Sexo]:[Sexo]]=$B20,IF(DATOS_[[AGRUP. CLAS. PROF.]:[AGRUP. CLAS. PROF.]]=$B18,IF(DATOS_[[Check Periodo Ref.]:[Check Periodo Ref.]]="Dentro",DATOS_[C.Extra.08]))))),
0)</f>
        <v>0</v>
      </c>
      <c r="AP20" s="173">
        <f t="array" ref="AP20">IFERROR(
MEDIAN((IF(DATOS_[[Sexo]:[Sexo]]=$B20,IF(DATOS_[[AGRUP. CLAS. PROF.]:[AGRUP. CLAS. PROF.]]=$B18,IF(DATOS_[[Check Periodo Ref.]:[Check Periodo Ref.]]="Dentro",DATOS_[C.Extra.11]))))),
0)</f>
        <v>0</v>
      </c>
      <c r="AQ20" s="174">
        <f t="array" ref="AQ20">IFERROR(
MEDIAN(IF(DATOS_[Sexo]=$B20,IF(DATOS_[AGRUP. CLAS. PROF.]=$B18,IF(DATOS_[Check Periodo Ref.]="Dentro",DATOS_[Tot Extrasalarial Ef],FALSE)))),
0)</f>
        <v>0</v>
      </c>
      <c r="AR20" s="171">
        <f t="array" ref="AR20">IFERROR(
MEDIAN(IF(DATOS_[Sexo]=$B20,IF(DATOS_[AGRUP. CLAS. PROF.]=$B18,IF(DATOS_[Check Periodo Ref.]="Dentro",DATOS_[TOTAL Retrib Ef],FALSE)))),
0)</f>
        <v>30259.61</v>
      </c>
    </row>
    <row r="21" spans="1:44" ht="14.4" thickBot="1" x14ac:dyDescent="0.3">
      <c r="A21" s="178" t="str">
        <f t="shared" ref="A21" si="11">+A22</f>
        <v/>
      </c>
      <c r="B21" s="153" t="s">
        <v>185</v>
      </c>
      <c r="C21" s="154"/>
      <c r="D21" s="155"/>
      <c r="E21" s="156">
        <f t="shared" ref="E21:AR21" si="12">IFERROR((E22-E23)/E22,"")</f>
        <v>1</v>
      </c>
      <c r="F21" s="157">
        <f t="shared" si="12"/>
        <v>1</v>
      </c>
      <c r="G21" s="158">
        <f t="shared" si="12"/>
        <v>1</v>
      </c>
      <c r="H21" s="158">
        <f t="shared" si="12"/>
        <v>1</v>
      </c>
      <c r="I21" s="158">
        <f t="shared" si="12"/>
        <v>1</v>
      </c>
      <c r="J21" s="159">
        <f t="shared" si="12"/>
        <v>1</v>
      </c>
      <c r="K21" s="160">
        <f t="shared" si="12"/>
        <v>1</v>
      </c>
      <c r="L21" s="160">
        <f t="shared" si="12"/>
        <v>1</v>
      </c>
      <c r="M21" s="160" t="str">
        <f t="shared" si="12"/>
        <v/>
      </c>
      <c r="N21" s="160" t="str">
        <f t="shared" si="12"/>
        <v/>
      </c>
      <c r="O21" s="160" t="str">
        <f t="shared" si="12"/>
        <v/>
      </c>
      <c r="P21" s="160" t="str">
        <f t="shared" si="12"/>
        <v/>
      </c>
      <c r="Q21" s="160" t="str">
        <f t="shared" si="12"/>
        <v/>
      </c>
      <c r="R21" s="160" t="str">
        <f t="shared" si="12"/>
        <v/>
      </c>
      <c r="S21" s="160" t="str">
        <f t="shared" si="12"/>
        <v/>
      </c>
      <c r="T21" s="160" t="str">
        <f t="shared" si="12"/>
        <v/>
      </c>
      <c r="U21" s="160" t="str">
        <f t="shared" si="12"/>
        <v/>
      </c>
      <c r="V21" s="159" t="str">
        <f t="shared" si="12"/>
        <v/>
      </c>
      <c r="W21" s="159" t="str">
        <f t="shared" si="12"/>
        <v/>
      </c>
      <c r="X21" s="159" t="str">
        <f t="shared" si="12"/>
        <v/>
      </c>
      <c r="Y21" s="159" t="str">
        <f t="shared" si="12"/>
        <v/>
      </c>
      <c r="Z21" s="159" t="str">
        <f t="shared" si="12"/>
        <v/>
      </c>
      <c r="AA21" s="159" t="str">
        <f t="shared" si="12"/>
        <v/>
      </c>
      <c r="AB21" s="159" t="str">
        <f t="shared" si="12"/>
        <v/>
      </c>
      <c r="AC21" s="159" t="str">
        <f t="shared" si="12"/>
        <v/>
      </c>
      <c r="AD21" s="159" t="str">
        <f t="shared" si="12"/>
        <v/>
      </c>
      <c r="AE21" s="159" t="str">
        <f t="shared" si="12"/>
        <v/>
      </c>
      <c r="AF21" s="159" t="str">
        <f t="shared" si="12"/>
        <v/>
      </c>
      <c r="AG21" s="159" t="str">
        <f t="shared" si="12"/>
        <v/>
      </c>
      <c r="AH21" s="159" t="str">
        <f t="shared" si="12"/>
        <v/>
      </c>
      <c r="AI21" s="159" t="str">
        <f t="shared" si="12"/>
        <v/>
      </c>
      <c r="AJ21" s="161">
        <f t="shared" si="12"/>
        <v>1</v>
      </c>
      <c r="AK21" s="162">
        <f t="shared" si="12"/>
        <v>1</v>
      </c>
      <c r="AL21" s="163" t="str">
        <f t="shared" si="12"/>
        <v/>
      </c>
      <c r="AM21" s="163" t="str">
        <f t="shared" si="12"/>
        <v/>
      </c>
      <c r="AN21" s="163" t="str">
        <f t="shared" si="12"/>
        <v/>
      </c>
      <c r="AO21" s="163" t="str">
        <f t="shared" si="12"/>
        <v/>
      </c>
      <c r="AP21" s="163" t="str">
        <f t="shared" si="12"/>
        <v/>
      </c>
      <c r="AQ21" s="164" t="str">
        <f t="shared" si="12"/>
        <v/>
      </c>
      <c r="AR21" s="161">
        <f t="shared" si="12"/>
        <v>1</v>
      </c>
    </row>
    <row r="22" spans="1:44" x14ac:dyDescent="0.25">
      <c r="A22" s="178" t="str">
        <f t="shared" ref="A22" si="13">+IF(C22+C23=0,"[ocultar]","")</f>
        <v/>
      </c>
      <c r="B22" s="166" t="s">
        <v>394</v>
      </c>
      <c r="C22" s="167">
        <f t="array" ref="C22">SUM(IF($B22=DATOS_[Sexo],
IF($B21=DATOS_[AGRUP. CLAS. PROF.],
IF("Dentro"=DATOS_[Check Periodo Ref.],
1/(COUNTIFS(DATOS_[Sexo],$B22,DATOS_[AGRUP. CLAS. PROF.],$B21,DATOS_[Check Periodo Ref.],"Dentro",DATOS_[id/cod],DATOS_[id/cod]))))))</f>
        <v>2</v>
      </c>
      <c r="D22" s="168">
        <f>COUNTIFS(DATOS_[AGRUP. CLAS. PROF.],$B21,DATOS_[Sexo],$B22,DATOS_[Check Periodo Ref.],"Dentro")</f>
        <v>2</v>
      </c>
      <c r="E22" s="169">
        <f t="array" ref="E22">IFERROR(
MEDIAN(IF(DATOS_[Sexo]=$B22,IF(DATOS_[AGRUP. CLAS. PROF.]=$B21,IF(DATOS_[Check Periodo Ref.]="Dentro",DATOS_[SALARIO BASE Ef],FALSE)))),
0)</f>
        <v>11415.48</v>
      </c>
      <c r="F22" s="170">
        <f t="array" ref="F22">IFERROR(
MEDIAN((IF(DATOS_[[Sexo]:[Sexo]]=$B22,IF(DATOS_[[AGRUP. CLAS. PROF.]:[AGRUP. CLAS. PROF.]]=$B21,IF(DATOS_[[Check Periodo Ref.]:[Check Periodo Ref.]]="Dentro",DATOS_[Conc.Sal.01]))))),
0)</f>
        <v>7900.4449999999997</v>
      </c>
      <c r="G22" s="170">
        <f t="array" ref="G22">IFERROR(
MEDIAN((IF(DATOS_[[Sexo]:[Sexo]]=$B22,IF(DATOS_[[AGRUP. CLAS. PROF.]:[AGRUP. CLAS. PROF.]]=$B21,IF(DATOS_[[Check Periodo Ref.]:[Check Periodo Ref.]]="Dentro",DATOS_[Conc.Sal.02]))))),
0)</f>
        <v>37.44</v>
      </c>
      <c r="H22" s="170">
        <f t="array" ref="H22">IFERROR(
MEDIAN((IF(DATOS_[[Sexo]:[Sexo]]=$B22,IF(DATOS_[[AGRUP. CLAS. PROF.]:[AGRUP. CLAS. PROF.]]=$B21,IF(DATOS_[[Check Periodo Ref.]:[Check Periodo Ref.]]="Dentro",DATOS_[Conc.Sal.03]))))),
0)</f>
        <v>1023.6</v>
      </c>
      <c r="I22" s="170">
        <f t="array" ref="I22">IFERROR(
MEDIAN((IF(DATOS_[[Sexo]:[Sexo]]=$B22,IF(DATOS_[[AGRUP. CLAS. PROF.]:[AGRUP. CLAS. PROF.]]=$B21,IF(DATOS_[[Check Periodo Ref.]:[Check Periodo Ref.]]="Dentro",DATOS_[Conc.Sal.04]))))),
0)</f>
        <v>778.26</v>
      </c>
      <c r="J22" s="170">
        <f t="array" ref="J22">IFERROR(
MEDIAN((IF(DATOS_[[Sexo]:[Sexo]]=$B22,IF(DATOS_[[AGRUP. CLAS. PROF.]:[AGRUP. CLAS. PROF.]]=$B21,IF(DATOS_[[Check Periodo Ref.]:[Check Periodo Ref.]]="Dentro",DATOS_[Conc.Sal.05]))))),
0)</f>
        <v>454.06</v>
      </c>
      <c r="K22" s="170">
        <f t="array" ref="K22">IFERROR(
MEDIAN((IF(DATOS_[[Sexo]:[Sexo]]=$B22,IF(DATOS_[[AGRUP. CLAS. PROF.]:[AGRUP. CLAS. PROF.]]=$B21,IF(DATOS_[[Check Periodo Ref.]:[Check Periodo Ref.]]="Dentro",DATOS_[Conc.Sal.06]))))),
0)</f>
        <v>1227.18</v>
      </c>
      <c r="L22" s="170">
        <f t="array" ref="L22">IFERROR(
MEDIAN((IF(DATOS_[[Sexo]:[Sexo]]=$B22,IF(DATOS_[[AGRUP. CLAS. PROF.]:[AGRUP. CLAS. PROF.]]=$B21,IF(DATOS_[[Check Periodo Ref.]:[Check Periodo Ref.]]="Dentro",DATOS_[Conc.Sal.07]))))),
0)</f>
        <v>1644.07</v>
      </c>
      <c r="M22" s="170">
        <f t="array" ref="M22">IFERROR(
MEDIAN((IF(DATOS_[[Sexo]:[Sexo]]=$B22,IF(DATOS_[[AGRUP. CLAS. PROF.]:[AGRUP. CLAS. PROF.]]=$B21,IF(DATOS_[[Check Periodo Ref.]:[Check Periodo Ref.]]="Dentro",DATOS_[Conc.Sal.08]))))),
0)</f>
        <v>0</v>
      </c>
      <c r="N22" s="170">
        <f t="array" ref="N22">IFERROR(
MEDIAN((IF(DATOS_[[Sexo]:[Sexo]]=$B22,IF(DATOS_[[AGRUP. CLAS. PROF.]:[AGRUP. CLAS. PROF.]]=$B21,IF(DATOS_[[Check Periodo Ref.]:[Check Periodo Ref.]]="Dentro",DATOS_[Conc.Sal.09]))))),
0)</f>
        <v>0</v>
      </c>
      <c r="O22" s="170">
        <f t="array" ref="O22">IFERROR(
MEDIAN((IF(DATOS_[[Sexo]:[Sexo]]=$B22,IF(DATOS_[[AGRUP. CLAS. PROF.]:[AGRUP. CLAS. PROF.]]=$B21,IF(DATOS_[[Check Periodo Ref.]:[Check Periodo Ref.]]="Dentro",DATOS_[Conc.Sal.10]))))),
0)</f>
        <v>0</v>
      </c>
      <c r="P22" s="170">
        <f t="array" ref="P22">IFERROR(
MEDIAN((IF(DATOS_[[Sexo]:[Sexo]]=$B22,IF(DATOS_[[AGRUP. CLAS. PROF.]:[AGRUP. CLAS. PROF.]]=$B21,IF(DATOS_[[Check Periodo Ref.]:[Check Periodo Ref.]]="Dentro",DATOS_[Conc.Sal.11]))))),
0)</f>
        <v>0</v>
      </c>
      <c r="Q22" s="170">
        <f t="array" ref="Q22">IFERROR(
MEDIAN((IF(DATOS_[[Sexo]:[Sexo]]=$B22,IF(DATOS_[[AGRUP. CLAS. PROF.]:[AGRUP. CLAS. PROF.]]=$B21,IF(DATOS_[[Check Periodo Ref.]:[Check Periodo Ref.]]="Dentro",DATOS_[Conc.Sal.12]))))),
0)</f>
        <v>0</v>
      </c>
      <c r="R22" s="170">
        <f t="array" ref="R22">IFERROR(
MEDIAN((IF(DATOS_[[Sexo]:[Sexo]]=$B22,IF(DATOS_[[AGRUP. CLAS. PROF.]:[AGRUP. CLAS. PROF.]]=$B21,IF(DATOS_[[Check Periodo Ref.]:[Check Periodo Ref.]]="Dentro",DATOS_[Conc.Sal.13]))))),
0)</f>
        <v>0</v>
      </c>
      <c r="S22" s="170">
        <f t="array" ref="S22">IFERROR(
MEDIAN((IF(DATOS_[[Sexo]:[Sexo]]=$B22,IF(DATOS_[[AGRUP. CLAS. PROF.]:[AGRUP. CLAS. PROF.]]=$B21,IF(DATOS_[[Check Periodo Ref.]:[Check Periodo Ref.]]="Dentro",DATOS_[Conc.Sal.14]))))),
0)</f>
        <v>0</v>
      </c>
      <c r="T22" s="170">
        <f t="array" ref="T22">IFERROR(
MEDIAN((IF(DATOS_[[Sexo]:[Sexo]]=$B22,IF(DATOS_[[AGRUP. CLAS. PROF.]:[AGRUP. CLAS. PROF.]]=$B21,IF(DATOS_[[Check Periodo Ref.]:[Check Periodo Ref.]]="Dentro",DATOS_[Conc.Sal.15]))))),
0)</f>
        <v>0</v>
      </c>
      <c r="U22" s="170">
        <f t="array" ref="U22">IFERROR(
MEDIAN((IF(DATOS_[[Sexo]:[Sexo]]=$B22,IF(DATOS_[[AGRUP. CLAS. PROF.]:[AGRUP. CLAS. PROF.]]=$B21,IF(DATOS_[[Check Periodo Ref.]:[Check Periodo Ref.]]="Dentro",DATOS_[Conc.Sal.16]))))),
0)</f>
        <v>0</v>
      </c>
      <c r="V22" s="170">
        <f t="array" ref="V22">IFERROR(
MEDIAN((IF(DATOS_[[Sexo]:[Sexo]]=$B22,IF(DATOS_[[AGRUP. CLAS. PROF.]:[AGRUP. CLAS. PROF.]]=$B21,IF(DATOS_[[Check Periodo Ref.]:[Check Periodo Ref.]]="Dentro",DATOS_[Conc.Sal.17]))))),
0)</f>
        <v>0</v>
      </c>
      <c r="W22" s="170">
        <f t="array" ref="W22">IFERROR(
MEDIAN((IF(DATOS_[[Sexo]:[Sexo]]=$B22,IF(DATOS_[[AGRUP. CLAS. PROF.]:[AGRUP. CLAS. PROF.]]=$B21,IF(DATOS_[[Check Periodo Ref.]:[Check Periodo Ref.]]="Dentro",DATOS_[Conc.Sal.18]))))),
0)</f>
        <v>0</v>
      </c>
      <c r="X22" s="170">
        <f t="array" ref="X22">IFERROR(
MEDIAN((IF(DATOS_[[Sexo]:[Sexo]]=$B22,IF(DATOS_[[AGRUP. CLAS. PROF.]:[AGRUP. CLAS. PROF.]]=$B21,IF(DATOS_[[Check Periodo Ref.]:[Check Periodo Ref.]]="Dentro",DATOS_[Conc.Sal.19]))))),
0)</f>
        <v>0</v>
      </c>
      <c r="Y22" s="170">
        <f t="array" ref="Y22">IFERROR(
MEDIAN((IF(DATOS_[[Sexo]:[Sexo]]=$B22,IF(DATOS_[[AGRUP. CLAS. PROF.]:[AGRUP. CLAS. PROF.]]=$B21,IF(DATOS_[[Check Periodo Ref.]:[Check Periodo Ref.]]="Dentro",DATOS_[Conc.Sal.20]))))),
0)</f>
        <v>0</v>
      </c>
      <c r="Z22" s="170">
        <f t="array" ref="Z22">IFERROR(
MEDIAN((IF(DATOS_[[Sexo]:[Sexo]]=$B22,IF(DATOS_[[AGRUP. CLAS. PROF.]:[AGRUP. CLAS. PROF.]]=$B21,IF(DATOS_[[Check Periodo Ref.]:[Check Periodo Ref.]]="Dentro",DATOS_[Conc.Sal.21]))))),
0)</f>
        <v>0</v>
      </c>
      <c r="AA22" s="170">
        <f t="array" ref="AA22">IFERROR(
MEDIAN((IF(DATOS_[[Sexo]:[Sexo]]=$B22,IF(DATOS_[[AGRUP. CLAS. PROF.]:[AGRUP. CLAS. PROF.]]=$B21,IF(DATOS_[[Check Periodo Ref.]:[Check Periodo Ref.]]="Dentro",DATOS_[Conc.Sal.22]))))),
0)</f>
        <v>0</v>
      </c>
      <c r="AB22" s="170">
        <f t="array" ref="AB22">IFERROR(
MEDIAN((IF(DATOS_[[Sexo]:[Sexo]]=$B22,IF(DATOS_[[AGRUP. CLAS. PROF.]:[AGRUP. CLAS. PROF.]]=$B21,IF(DATOS_[[Check Periodo Ref.]:[Check Periodo Ref.]]="Dentro",DATOS_[Conc.Sal.23]))))),
0)</f>
        <v>0</v>
      </c>
      <c r="AC22" s="170">
        <f t="array" ref="AC22">IFERROR(
MEDIAN((IF(DATOS_[[Sexo]:[Sexo]]=$B22,IF(DATOS_[[AGRUP. CLAS. PROF.]:[AGRUP. CLAS. PROF.]]=$B21,IF(DATOS_[[Check Periodo Ref.]:[Check Periodo Ref.]]="Dentro",DATOS_[Conc.Sal.24]))))),
0)</f>
        <v>0</v>
      </c>
      <c r="AD22" s="170">
        <f t="array" ref="AD22">IFERROR(
MEDIAN((IF(DATOS_[[Sexo]:[Sexo]]=$B22,IF(DATOS_[[AGRUP. CLAS. PROF.]:[AGRUP. CLAS. PROF.]]=$B21,IF(DATOS_[[Check Periodo Ref.]:[Check Periodo Ref.]]="Dentro",DATOS_[Conc.Sal.25]))))),
0)</f>
        <v>0</v>
      </c>
      <c r="AE22" s="170">
        <f t="array" ref="AE22">IFERROR(
MEDIAN((IF(DATOS_[[Sexo]:[Sexo]]=$B22,IF(DATOS_[[AGRUP. CLAS. PROF.]:[AGRUP. CLAS. PROF.]]=$B21,IF(DATOS_[[Check Periodo Ref.]:[Check Periodo Ref.]]="Dentro",DATOS_[Conc.Sal.26]))))),
0)</f>
        <v>0</v>
      </c>
      <c r="AF22" s="170">
        <f t="array" ref="AF22">IFERROR(
MEDIAN((IF(DATOS_[[Sexo]:[Sexo]]=$B22,IF(DATOS_[[AGRUP. CLAS. PROF.]:[AGRUP. CLAS. PROF.]]=$B21,IF(DATOS_[[Check Periodo Ref.]:[Check Periodo Ref.]]="Dentro",DATOS_[Conc.Sal.27]))))),
0)</f>
        <v>0</v>
      </c>
      <c r="AG22" s="170">
        <f t="array" ref="AG22">IFERROR(
MEDIAN((IF(DATOS_[[Sexo]:[Sexo]]=$B22,IF(DATOS_[[AGRUP. CLAS. PROF.]:[AGRUP. CLAS. PROF.]]=$B21,IF(DATOS_[[Check Periodo Ref.]:[Check Periodo Ref.]]="Dentro",DATOS_[Conc.Sal.28]))))),
0)</f>
        <v>0</v>
      </c>
      <c r="AH22" s="170">
        <f t="array" ref="AH22">IFERROR(
MEDIAN((IF(DATOS_[[Sexo]:[Sexo]]=$B22,IF(DATOS_[[AGRUP. CLAS. PROF.]:[AGRUP. CLAS. PROF.]]=$B21,IF(DATOS_[[Check Periodo Ref.]:[Check Periodo Ref.]]="Dentro",DATOS_[Conc.Sal.29]))))),
0)</f>
        <v>0</v>
      </c>
      <c r="AI22" s="170">
        <f t="array" ref="AI22">IFERROR(
MEDIAN((IF(DATOS_[[Sexo]:[Sexo]]=$B22,IF(DATOS_[[AGRUP. CLAS. PROF.]:[AGRUP. CLAS. PROF.]]=$B21,IF(DATOS_[[Check Periodo Ref.]:[Check Periodo Ref.]]="Dentro",DATOS_[Conc.Sal.30]))))),
0)</f>
        <v>0</v>
      </c>
      <c r="AJ22" s="171">
        <f t="array" ref="AJ22">IFERROR(
MEDIAN(IF(DATOS_[Sexo]=$B22,IF(DATOS_[AGRUP. CLAS. PROF.]=$B21,IF(DATOS_[Check Periodo Ref.]="Dentro",DATOS_[Tot COMPL.SAL Ef],FALSE)))),
0)</f>
        <v>13065.055</v>
      </c>
      <c r="AK22" s="172">
        <f t="array" ref="AK22">IFERROR(
MEDIAN(IF(DATOS_[Sexo]=$B22,IF(DATOS_[AGRUP. CLAS. PROF.]=$B21,IF(DATOS_[Check Periodo Ref.]="Dentro",DATOS_[TOTAL SALARIO Ef],FALSE)))),
0)</f>
        <v>24480.535</v>
      </c>
      <c r="AL22" s="173">
        <f t="array" ref="AL22">IFERROR(
MEDIAN((IF(DATOS_[[Sexo]:[Sexo]]=$B22,IF(DATOS_[[AGRUP. CLAS. PROF.]:[AGRUP. CLAS. PROF.]]=$B21,IF(DATOS_[[Check Periodo Ref.]:[Check Periodo Ref.]]="Dentro",DATOS_[C.Extra.01]))))),
0)</f>
        <v>0</v>
      </c>
      <c r="AM22" s="173">
        <f t="array" ref="AM22">IFERROR(
MEDIAN((IF(DATOS_[[Sexo]:[Sexo]]=$B22,IF(DATOS_[[AGRUP. CLAS. PROF.]:[AGRUP. CLAS. PROF.]]=$B21,IF(DATOS_[[Check Periodo Ref.]:[Check Periodo Ref.]]="Dentro",DATOS_[C.Extra.06]))))),
0)</f>
        <v>0</v>
      </c>
      <c r="AN22" s="173">
        <f t="array" ref="AN22">IFERROR(
MEDIAN((IF(DATOS_[[Sexo]:[Sexo]]=$B22,IF(DATOS_[[AGRUP. CLAS. PROF.]:[AGRUP. CLAS. PROF.]]=$B21,IF(DATOS_[[Check Periodo Ref.]:[Check Periodo Ref.]]="Dentro",DATOS_[C.Extra.07]))))),
0)</f>
        <v>0</v>
      </c>
      <c r="AO22" s="173">
        <f t="array" ref="AO22">IFERROR(
MEDIAN((IF(DATOS_[[Sexo]:[Sexo]]=$B22,IF(DATOS_[[AGRUP. CLAS. PROF.]:[AGRUP. CLAS. PROF.]]=$B21,IF(DATOS_[[Check Periodo Ref.]:[Check Periodo Ref.]]="Dentro",DATOS_[C.Extra.08]))))),
0)</f>
        <v>0</v>
      </c>
      <c r="AP22" s="173">
        <f t="array" ref="AP22">IFERROR(
MEDIAN((IF(DATOS_[[Sexo]:[Sexo]]=$B22,IF(DATOS_[[AGRUP. CLAS. PROF.]:[AGRUP. CLAS. PROF.]]=$B21,IF(DATOS_[[Check Periodo Ref.]:[Check Periodo Ref.]]="Dentro",DATOS_[C.Extra.11]))))),
0)</f>
        <v>0</v>
      </c>
      <c r="AQ22" s="174">
        <f t="array" ref="AQ22">IFERROR(
MEDIAN(IF(DATOS_[Sexo]=$B22,IF(DATOS_[AGRUP. CLAS. PROF.]=$B21,IF(DATOS_[Check Periodo Ref.]="Dentro",DATOS_[Tot Extrasalarial Ef],FALSE)))),
0)</f>
        <v>0</v>
      </c>
      <c r="AR22" s="171">
        <f t="array" ref="AR22">IFERROR(
MEDIAN(IF(DATOS_[Sexo]=$B22,IF(DATOS_[AGRUP. CLAS. PROF.]=$B21,IF(DATOS_[Check Periodo Ref.]="Dentro",DATOS_[TOTAL Retrib Ef],FALSE)))),
0)</f>
        <v>24480.535</v>
      </c>
    </row>
    <row r="23" spans="1:44" x14ac:dyDescent="0.25">
      <c r="A23" s="178" t="str">
        <f t="shared" ref="A23" si="14">+A22</f>
        <v/>
      </c>
      <c r="B23" s="166" t="s">
        <v>521</v>
      </c>
      <c r="C23" s="167">
        <f t="array" ref="C23">SUM(IF($B23=DATOS_[Sexo],
IF($B21=DATOS_[AGRUP. CLAS. PROF.],
IF("Dentro"=DATOS_[Check Periodo Ref.],
1/(COUNTIFS(DATOS_[Sexo],$B23,DATOS_[AGRUP. CLAS. PROF.],$B21,DATOS_[Check Periodo Ref.],"Dentro",DATOS_[id/cod],DATOS_[id/cod]))))))</f>
        <v>0</v>
      </c>
      <c r="D23" s="168">
        <f>COUNTIFS(DATOS_[AGRUP. CLAS. PROF.],$B21,DATOS_[Sexo],$B23,DATOS_[Check Periodo Ref.],"Dentro")</f>
        <v>0</v>
      </c>
      <c r="E23" s="169">
        <f t="array" ref="E23">IFERROR(
MEDIAN(IF(DATOS_[Sexo]=$B23,IF(DATOS_[AGRUP. CLAS. PROF.]=$B21,IF(DATOS_[Check Periodo Ref.]="Dentro",DATOS_[SALARIO BASE Ef],FALSE)))),
0)</f>
        <v>0</v>
      </c>
      <c r="F23" s="170">
        <f t="array" ref="F23">IFERROR(
MEDIAN((IF(DATOS_[[Sexo]:[Sexo]]=$B23,IF(DATOS_[[AGRUP. CLAS. PROF.]:[AGRUP. CLAS. PROF.]]=$B21,IF(DATOS_[[Check Periodo Ref.]:[Check Periodo Ref.]]="Dentro",DATOS_[Conc.Sal.01]))))),
0)</f>
        <v>0</v>
      </c>
      <c r="G23" s="170">
        <f t="array" ref="G23">IFERROR(
MEDIAN((IF(DATOS_[[Sexo]:[Sexo]]=$B23,IF(DATOS_[[AGRUP. CLAS. PROF.]:[AGRUP. CLAS. PROF.]]=$B21,IF(DATOS_[[Check Periodo Ref.]:[Check Periodo Ref.]]="Dentro",DATOS_[Conc.Sal.02]))))),
0)</f>
        <v>0</v>
      </c>
      <c r="H23" s="170">
        <f t="array" ref="H23">IFERROR(
MEDIAN((IF(DATOS_[[Sexo]:[Sexo]]=$B23,IF(DATOS_[[AGRUP. CLAS. PROF.]:[AGRUP. CLAS. PROF.]]=$B21,IF(DATOS_[[Check Periodo Ref.]:[Check Periodo Ref.]]="Dentro",DATOS_[Conc.Sal.03]))))),
0)</f>
        <v>0</v>
      </c>
      <c r="I23" s="170">
        <f t="array" ref="I23">IFERROR(
MEDIAN((IF(DATOS_[[Sexo]:[Sexo]]=$B23,IF(DATOS_[[AGRUP. CLAS. PROF.]:[AGRUP. CLAS. PROF.]]=$B21,IF(DATOS_[[Check Periodo Ref.]:[Check Periodo Ref.]]="Dentro",DATOS_[Conc.Sal.04]))))),
0)</f>
        <v>0</v>
      </c>
      <c r="J23" s="170">
        <f t="array" ref="J23">IFERROR(
MEDIAN((IF(DATOS_[[Sexo]:[Sexo]]=$B23,IF(DATOS_[[AGRUP. CLAS. PROF.]:[AGRUP. CLAS. PROF.]]=$B21,IF(DATOS_[[Check Periodo Ref.]:[Check Periodo Ref.]]="Dentro",DATOS_[Conc.Sal.05]))))),
0)</f>
        <v>0</v>
      </c>
      <c r="K23" s="170">
        <f t="array" ref="K23">IFERROR(
MEDIAN((IF(DATOS_[[Sexo]:[Sexo]]=$B23,IF(DATOS_[[AGRUP. CLAS. PROF.]:[AGRUP. CLAS. PROF.]]=$B21,IF(DATOS_[[Check Periodo Ref.]:[Check Periodo Ref.]]="Dentro",DATOS_[Conc.Sal.06]))))),
0)</f>
        <v>0</v>
      </c>
      <c r="L23" s="170">
        <f t="array" ref="L23">IFERROR(
MEDIAN((IF(DATOS_[[Sexo]:[Sexo]]=$B23,IF(DATOS_[[AGRUP. CLAS. PROF.]:[AGRUP. CLAS. PROF.]]=$B21,IF(DATOS_[[Check Periodo Ref.]:[Check Periodo Ref.]]="Dentro",DATOS_[Conc.Sal.07]))))),
0)</f>
        <v>0</v>
      </c>
      <c r="M23" s="170">
        <f t="array" ref="M23">IFERROR(
MEDIAN((IF(DATOS_[[Sexo]:[Sexo]]=$B23,IF(DATOS_[[AGRUP. CLAS. PROF.]:[AGRUP. CLAS. PROF.]]=$B21,IF(DATOS_[[Check Periodo Ref.]:[Check Periodo Ref.]]="Dentro",DATOS_[Conc.Sal.08]))))),
0)</f>
        <v>0</v>
      </c>
      <c r="N23" s="170">
        <f t="array" ref="N23">IFERROR(
MEDIAN((IF(DATOS_[[Sexo]:[Sexo]]=$B23,IF(DATOS_[[AGRUP. CLAS. PROF.]:[AGRUP. CLAS. PROF.]]=$B21,IF(DATOS_[[Check Periodo Ref.]:[Check Periodo Ref.]]="Dentro",DATOS_[Conc.Sal.09]))))),
0)</f>
        <v>0</v>
      </c>
      <c r="O23" s="170">
        <f t="array" ref="O23">IFERROR(
MEDIAN((IF(DATOS_[[Sexo]:[Sexo]]=$B23,IF(DATOS_[[AGRUP. CLAS. PROF.]:[AGRUP. CLAS. PROF.]]=$B21,IF(DATOS_[[Check Periodo Ref.]:[Check Periodo Ref.]]="Dentro",DATOS_[Conc.Sal.10]))))),
0)</f>
        <v>0</v>
      </c>
      <c r="P23" s="170">
        <f t="array" ref="P23">IFERROR(
MEDIAN((IF(DATOS_[[Sexo]:[Sexo]]=$B23,IF(DATOS_[[AGRUP. CLAS. PROF.]:[AGRUP. CLAS. PROF.]]=$B21,IF(DATOS_[[Check Periodo Ref.]:[Check Periodo Ref.]]="Dentro",DATOS_[Conc.Sal.11]))))),
0)</f>
        <v>0</v>
      </c>
      <c r="Q23" s="170">
        <f t="array" ref="Q23">IFERROR(
MEDIAN((IF(DATOS_[[Sexo]:[Sexo]]=$B23,IF(DATOS_[[AGRUP. CLAS. PROF.]:[AGRUP. CLAS. PROF.]]=$B21,IF(DATOS_[[Check Periodo Ref.]:[Check Periodo Ref.]]="Dentro",DATOS_[Conc.Sal.12]))))),
0)</f>
        <v>0</v>
      </c>
      <c r="R23" s="170">
        <f t="array" ref="R23">IFERROR(
MEDIAN((IF(DATOS_[[Sexo]:[Sexo]]=$B23,IF(DATOS_[[AGRUP. CLAS. PROF.]:[AGRUP. CLAS. PROF.]]=$B21,IF(DATOS_[[Check Periodo Ref.]:[Check Periodo Ref.]]="Dentro",DATOS_[Conc.Sal.13]))))),
0)</f>
        <v>0</v>
      </c>
      <c r="S23" s="170">
        <f t="array" ref="S23">IFERROR(
MEDIAN((IF(DATOS_[[Sexo]:[Sexo]]=$B23,IF(DATOS_[[AGRUP. CLAS. PROF.]:[AGRUP. CLAS. PROF.]]=$B21,IF(DATOS_[[Check Periodo Ref.]:[Check Periodo Ref.]]="Dentro",DATOS_[Conc.Sal.14]))))),
0)</f>
        <v>0</v>
      </c>
      <c r="T23" s="170">
        <f t="array" ref="T23">IFERROR(
MEDIAN((IF(DATOS_[[Sexo]:[Sexo]]=$B23,IF(DATOS_[[AGRUP. CLAS. PROF.]:[AGRUP. CLAS. PROF.]]=$B21,IF(DATOS_[[Check Periodo Ref.]:[Check Periodo Ref.]]="Dentro",DATOS_[Conc.Sal.15]))))),
0)</f>
        <v>0</v>
      </c>
      <c r="U23" s="170">
        <f t="array" ref="U23">IFERROR(
MEDIAN((IF(DATOS_[[Sexo]:[Sexo]]=$B23,IF(DATOS_[[AGRUP. CLAS. PROF.]:[AGRUP. CLAS. PROF.]]=$B21,IF(DATOS_[[Check Periodo Ref.]:[Check Periodo Ref.]]="Dentro",DATOS_[Conc.Sal.16]))))),
0)</f>
        <v>0</v>
      </c>
      <c r="V23" s="170">
        <f t="array" ref="V23">IFERROR(
MEDIAN((IF(DATOS_[[Sexo]:[Sexo]]=$B23,IF(DATOS_[[AGRUP. CLAS. PROF.]:[AGRUP. CLAS. PROF.]]=$B21,IF(DATOS_[[Check Periodo Ref.]:[Check Periodo Ref.]]="Dentro",DATOS_[Conc.Sal.17]))))),
0)</f>
        <v>0</v>
      </c>
      <c r="W23" s="170">
        <f t="array" ref="W23">IFERROR(
MEDIAN((IF(DATOS_[[Sexo]:[Sexo]]=$B23,IF(DATOS_[[AGRUP. CLAS. PROF.]:[AGRUP. CLAS. PROF.]]=$B21,IF(DATOS_[[Check Periodo Ref.]:[Check Periodo Ref.]]="Dentro",DATOS_[Conc.Sal.18]))))),
0)</f>
        <v>0</v>
      </c>
      <c r="X23" s="170">
        <f t="array" ref="X23">IFERROR(
MEDIAN((IF(DATOS_[[Sexo]:[Sexo]]=$B23,IF(DATOS_[[AGRUP. CLAS. PROF.]:[AGRUP. CLAS. PROF.]]=$B21,IF(DATOS_[[Check Periodo Ref.]:[Check Periodo Ref.]]="Dentro",DATOS_[Conc.Sal.19]))))),
0)</f>
        <v>0</v>
      </c>
      <c r="Y23" s="170">
        <f t="array" ref="Y23">IFERROR(
MEDIAN((IF(DATOS_[[Sexo]:[Sexo]]=$B23,IF(DATOS_[[AGRUP. CLAS. PROF.]:[AGRUP. CLAS. PROF.]]=$B21,IF(DATOS_[[Check Periodo Ref.]:[Check Periodo Ref.]]="Dentro",DATOS_[Conc.Sal.20]))))),
0)</f>
        <v>0</v>
      </c>
      <c r="Z23" s="170">
        <f t="array" ref="Z23">IFERROR(
MEDIAN((IF(DATOS_[[Sexo]:[Sexo]]=$B23,IF(DATOS_[[AGRUP. CLAS. PROF.]:[AGRUP. CLAS. PROF.]]=$B21,IF(DATOS_[[Check Periodo Ref.]:[Check Periodo Ref.]]="Dentro",DATOS_[Conc.Sal.21]))))),
0)</f>
        <v>0</v>
      </c>
      <c r="AA23" s="170">
        <f t="array" ref="AA23">IFERROR(
MEDIAN((IF(DATOS_[[Sexo]:[Sexo]]=$B23,IF(DATOS_[[AGRUP. CLAS. PROF.]:[AGRUP. CLAS. PROF.]]=$B21,IF(DATOS_[[Check Periodo Ref.]:[Check Periodo Ref.]]="Dentro",DATOS_[Conc.Sal.22]))))),
0)</f>
        <v>0</v>
      </c>
      <c r="AB23" s="170">
        <f t="array" ref="AB23">IFERROR(
MEDIAN((IF(DATOS_[[Sexo]:[Sexo]]=$B23,IF(DATOS_[[AGRUP. CLAS. PROF.]:[AGRUP. CLAS. PROF.]]=$B21,IF(DATOS_[[Check Periodo Ref.]:[Check Periodo Ref.]]="Dentro",DATOS_[Conc.Sal.23]))))),
0)</f>
        <v>0</v>
      </c>
      <c r="AC23" s="170">
        <f t="array" ref="AC23">IFERROR(
MEDIAN((IF(DATOS_[[Sexo]:[Sexo]]=$B23,IF(DATOS_[[AGRUP. CLAS. PROF.]:[AGRUP. CLAS. PROF.]]=$B21,IF(DATOS_[[Check Periodo Ref.]:[Check Periodo Ref.]]="Dentro",DATOS_[Conc.Sal.24]))))),
0)</f>
        <v>0</v>
      </c>
      <c r="AD23" s="170">
        <f t="array" ref="AD23">IFERROR(
MEDIAN((IF(DATOS_[[Sexo]:[Sexo]]=$B23,IF(DATOS_[[AGRUP. CLAS. PROF.]:[AGRUP. CLAS. PROF.]]=$B21,IF(DATOS_[[Check Periodo Ref.]:[Check Periodo Ref.]]="Dentro",DATOS_[Conc.Sal.25]))))),
0)</f>
        <v>0</v>
      </c>
      <c r="AE23" s="170">
        <f t="array" ref="AE23">IFERROR(
MEDIAN((IF(DATOS_[[Sexo]:[Sexo]]=$B23,IF(DATOS_[[AGRUP. CLAS. PROF.]:[AGRUP. CLAS. PROF.]]=$B21,IF(DATOS_[[Check Periodo Ref.]:[Check Periodo Ref.]]="Dentro",DATOS_[Conc.Sal.26]))))),
0)</f>
        <v>0</v>
      </c>
      <c r="AF23" s="170">
        <f t="array" ref="AF23">IFERROR(
MEDIAN((IF(DATOS_[[Sexo]:[Sexo]]=$B23,IF(DATOS_[[AGRUP. CLAS. PROF.]:[AGRUP. CLAS. PROF.]]=$B21,IF(DATOS_[[Check Periodo Ref.]:[Check Periodo Ref.]]="Dentro",DATOS_[Conc.Sal.27]))))),
0)</f>
        <v>0</v>
      </c>
      <c r="AG23" s="170">
        <f t="array" ref="AG23">IFERROR(
MEDIAN((IF(DATOS_[[Sexo]:[Sexo]]=$B23,IF(DATOS_[[AGRUP. CLAS. PROF.]:[AGRUP. CLAS. PROF.]]=$B21,IF(DATOS_[[Check Periodo Ref.]:[Check Periodo Ref.]]="Dentro",DATOS_[Conc.Sal.28]))))),
0)</f>
        <v>0</v>
      </c>
      <c r="AH23" s="170">
        <f t="array" ref="AH23">IFERROR(
MEDIAN((IF(DATOS_[[Sexo]:[Sexo]]=$B23,IF(DATOS_[[AGRUP. CLAS. PROF.]:[AGRUP. CLAS. PROF.]]=$B21,IF(DATOS_[[Check Periodo Ref.]:[Check Periodo Ref.]]="Dentro",DATOS_[Conc.Sal.29]))))),
0)</f>
        <v>0</v>
      </c>
      <c r="AI23" s="170">
        <f t="array" ref="AI23">IFERROR(
MEDIAN((IF(DATOS_[[Sexo]:[Sexo]]=$B23,IF(DATOS_[[AGRUP. CLAS. PROF.]:[AGRUP. CLAS. PROF.]]=$B21,IF(DATOS_[[Check Periodo Ref.]:[Check Periodo Ref.]]="Dentro",DATOS_[Conc.Sal.30]))))),
0)</f>
        <v>0</v>
      </c>
      <c r="AJ23" s="171">
        <f t="array" ref="AJ23">IFERROR(
MEDIAN(IF(DATOS_[Sexo]=$B23,IF(DATOS_[AGRUP. CLAS. PROF.]=$B21,IF(DATOS_[Check Periodo Ref.]="Dentro",DATOS_[Tot COMPL.SAL Ef],FALSE)))),
0)</f>
        <v>0</v>
      </c>
      <c r="AK23" s="172">
        <f t="array" ref="AK23">IFERROR(
MEDIAN(IF(DATOS_[Sexo]=$B23,IF(DATOS_[AGRUP. CLAS. PROF.]=$B21,IF(DATOS_[Check Periodo Ref.]="Dentro",DATOS_[TOTAL SALARIO Ef],FALSE)))),
0)</f>
        <v>0</v>
      </c>
      <c r="AL23" s="173">
        <f t="array" ref="AL23">IFERROR(
MEDIAN((IF(DATOS_[[Sexo]:[Sexo]]=$B23,IF(DATOS_[[AGRUP. CLAS. PROF.]:[AGRUP. CLAS. PROF.]]=$B21,IF(DATOS_[[Check Periodo Ref.]:[Check Periodo Ref.]]="Dentro",DATOS_[C.Extra.01]))))),
0)</f>
        <v>0</v>
      </c>
      <c r="AM23" s="173">
        <f t="array" ref="AM23">IFERROR(
MEDIAN((IF(DATOS_[[Sexo]:[Sexo]]=$B23,IF(DATOS_[[AGRUP. CLAS. PROF.]:[AGRUP. CLAS. PROF.]]=$B21,IF(DATOS_[[Check Periodo Ref.]:[Check Periodo Ref.]]="Dentro",DATOS_[C.Extra.06]))))),
0)</f>
        <v>0</v>
      </c>
      <c r="AN23" s="173">
        <f t="array" ref="AN23">IFERROR(
MEDIAN((IF(DATOS_[[Sexo]:[Sexo]]=$B23,IF(DATOS_[[AGRUP. CLAS. PROF.]:[AGRUP. CLAS. PROF.]]=$B21,IF(DATOS_[[Check Periodo Ref.]:[Check Periodo Ref.]]="Dentro",DATOS_[C.Extra.07]))))),
0)</f>
        <v>0</v>
      </c>
      <c r="AO23" s="173">
        <f t="array" ref="AO23">IFERROR(
MEDIAN((IF(DATOS_[[Sexo]:[Sexo]]=$B23,IF(DATOS_[[AGRUP. CLAS. PROF.]:[AGRUP. CLAS. PROF.]]=$B21,IF(DATOS_[[Check Periodo Ref.]:[Check Periodo Ref.]]="Dentro",DATOS_[C.Extra.08]))))),
0)</f>
        <v>0</v>
      </c>
      <c r="AP23" s="173">
        <f t="array" ref="AP23">IFERROR(
MEDIAN((IF(DATOS_[[Sexo]:[Sexo]]=$B23,IF(DATOS_[[AGRUP. CLAS. PROF.]:[AGRUP. CLAS. PROF.]]=$B21,IF(DATOS_[[Check Periodo Ref.]:[Check Periodo Ref.]]="Dentro",DATOS_[C.Extra.11]))))),
0)</f>
        <v>0</v>
      </c>
      <c r="AQ23" s="174">
        <f t="array" ref="AQ23">IFERROR(
MEDIAN(IF(DATOS_[Sexo]=$B23,IF(DATOS_[AGRUP. CLAS. PROF.]=$B21,IF(DATOS_[Check Periodo Ref.]="Dentro",DATOS_[Tot Extrasalarial Ef],FALSE)))),
0)</f>
        <v>0</v>
      </c>
      <c r="AR23" s="171">
        <f t="array" ref="AR23">IFERROR(
MEDIAN(IF(DATOS_[Sexo]=$B23,IF(DATOS_[AGRUP. CLAS. PROF.]=$B21,IF(DATOS_[Check Periodo Ref.]="Dentro",DATOS_[TOTAL Retrib Ef],FALSE)))),
0)</f>
        <v>0</v>
      </c>
    </row>
    <row r="24" spans="1:44" ht="14.4" thickBot="1" x14ac:dyDescent="0.3">
      <c r="A24" s="178" t="str">
        <f t="shared" ref="A24" si="15">+A25</f>
        <v/>
      </c>
      <c r="B24" s="153" t="s">
        <v>188</v>
      </c>
      <c r="C24" s="154"/>
      <c r="D24" s="155"/>
      <c r="E24" s="156">
        <f t="shared" ref="E24:AR24" si="16">IFERROR((E25-E26)/E25,"")</f>
        <v>0.89999965367245727</v>
      </c>
      <c r="F24" s="157" t="str">
        <f t="shared" si="16"/>
        <v/>
      </c>
      <c r="G24" s="158">
        <f t="shared" si="16"/>
        <v>0.92574786324786318</v>
      </c>
      <c r="H24" s="158">
        <f t="shared" si="16"/>
        <v>0.86642287234042559</v>
      </c>
      <c r="I24" s="158">
        <f t="shared" si="16"/>
        <v>1</v>
      </c>
      <c r="J24" s="159">
        <f t="shared" si="16"/>
        <v>1</v>
      </c>
      <c r="K24" s="160">
        <f t="shared" si="16"/>
        <v>0.94397785836991788</v>
      </c>
      <c r="L24" s="160" t="str">
        <f t="shared" si="16"/>
        <v/>
      </c>
      <c r="M24" s="160">
        <f t="shared" si="16"/>
        <v>1</v>
      </c>
      <c r="N24" s="160">
        <f t="shared" si="16"/>
        <v>1</v>
      </c>
      <c r="O24" s="160">
        <f t="shared" si="16"/>
        <v>1</v>
      </c>
      <c r="P24" s="160">
        <f t="shared" si="16"/>
        <v>0.90987557037878652</v>
      </c>
      <c r="Q24" s="160" t="str">
        <f t="shared" si="16"/>
        <v/>
      </c>
      <c r="R24" s="160">
        <f t="shared" si="16"/>
        <v>1</v>
      </c>
      <c r="S24" s="160" t="str">
        <f t="shared" si="16"/>
        <v/>
      </c>
      <c r="T24" s="160" t="str">
        <f t="shared" si="16"/>
        <v/>
      </c>
      <c r="U24" s="160">
        <f t="shared" si="16"/>
        <v>0.94210784313725493</v>
      </c>
      <c r="V24" s="159" t="str">
        <f t="shared" si="16"/>
        <v/>
      </c>
      <c r="W24" s="159" t="str">
        <f t="shared" si="16"/>
        <v/>
      </c>
      <c r="X24" s="159">
        <f t="shared" si="16"/>
        <v>1</v>
      </c>
      <c r="Y24" s="159">
        <f t="shared" si="16"/>
        <v>0</v>
      </c>
      <c r="Z24" s="159" t="str">
        <f t="shared" si="16"/>
        <v/>
      </c>
      <c r="AA24" s="159" t="str">
        <f t="shared" si="16"/>
        <v/>
      </c>
      <c r="AB24" s="159" t="str">
        <f t="shared" si="16"/>
        <v/>
      </c>
      <c r="AC24" s="159" t="str">
        <f t="shared" si="16"/>
        <v/>
      </c>
      <c r="AD24" s="159" t="str">
        <f t="shared" si="16"/>
        <v/>
      </c>
      <c r="AE24" s="159" t="str">
        <f t="shared" si="16"/>
        <v/>
      </c>
      <c r="AF24" s="159" t="str">
        <f t="shared" si="16"/>
        <v/>
      </c>
      <c r="AG24" s="159" t="str">
        <f t="shared" si="16"/>
        <v/>
      </c>
      <c r="AH24" s="159" t="str">
        <f t="shared" si="16"/>
        <v/>
      </c>
      <c r="AI24" s="159" t="str">
        <f t="shared" si="16"/>
        <v/>
      </c>
      <c r="AJ24" s="161">
        <f t="shared" si="16"/>
        <v>0.92679576955201182</v>
      </c>
      <c r="AK24" s="162">
        <f t="shared" si="16"/>
        <v>0.90975746344594566</v>
      </c>
      <c r="AL24" s="163" t="str">
        <f t="shared" si="16"/>
        <v/>
      </c>
      <c r="AM24" s="163" t="str">
        <f t="shared" si="16"/>
        <v/>
      </c>
      <c r="AN24" s="163" t="str">
        <f t="shared" si="16"/>
        <v/>
      </c>
      <c r="AO24" s="163" t="str">
        <f t="shared" si="16"/>
        <v/>
      </c>
      <c r="AP24" s="163" t="str">
        <f t="shared" si="16"/>
        <v/>
      </c>
      <c r="AQ24" s="164" t="str">
        <f t="shared" si="16"/>
        <v/>
      </c>
      <c r="AR24" s="161">
        <f t="shared" si="16"/>
        <v>0.90975746344594566</v>
      </c>
    </row>
    <row r="25" spans="1:44" x14ac:dyDescent="0.25">
      <c r="A25" s="178" t="str">
        <f t="shared" ref="A25" si="17">+IF(C25+C26=0,"[ocultar]","")</f>
        <v/>
      </c>
      <c r="B25" s="166" t="s">
        <v>394</v>
      </c>
      <c r="C25" s="167">
        <f t="array" ref="C25">SUM(IF($B25=DATOS_[Sexo],
IF($B24=DATOS_[AGRUP. CLAS. PROF.],
IF("Dentro"=DATOS_[Check Periodo Ref.],
1/(COUNTIFS(DATOS_[Sexo],$B25,DATOS_[AGRUP. CLAS. PROF.],$B24,DATOS_[Check Periodo Ref.],"Dentro",DATOS_[id/cod],DATOS_[id/cod]))))))</f>
        <v>7</v>
      </c>
      <c r="D25" s="168">
        <f>COUNTIFS(DATOS_[AGRUP. CLAS. PROF.],$B24,DATOS_[Sexo],$B25,DATOS_[Check Periodo Ref.],"Dentro")</f>
        <v>7</v>
      </c>
      <c r="E25" s="169">
        <f t="array" ref="E25">IFERROR(
MEDIAN(IF(DATOS_[Sexo]=$B25,IF(DATOS_[AGRUP. CLAS. PROF.]=$B24,IF(DATOS_[Check Periodo Ref.]="Dentro",DATOS_[SALARIO BASE Ef],FALSE)))),
0)</f>
        <v>11549.76</v>
      </c>
      <c r="F25" s="170">
        <f t="array" ref="F25">IFERROR(
MEDIAN((IF(DATOS_[[Sexo]:[Sexo]]=$B25,IF(DATOS_[[AGRUP. CLAS. PROF.]:[AGRUP. CLAS. PROF.]]=$B24,IF(DATOS_[[Check Periodo Ref.]:[Check Periodo Ref.]]="Dentro",DATOS_[Conc.Sal.01]))))),
0)</f>
        <v>0</v>
      </c>
      <c r="G25" s="170">
        <f t="array" ref="G25">IFERROR(
MEDIAN((IF(DATOS_[[Sexo]:[Sexo]]=$B25,IF(DATOS_[[AGRUP. CLAS. PROF.]:[AGRUP. CLAS. PROF.]]=$B24,IF(DATOS_[[Check Periodo Ref.]:[Check Periodo Ref.]]="Dentro",DATOS_[Conc.Sal.02]))))),
0)</f>
        <v>37.44</v>
      </c>
      <c r="H25" s="170">
        <f t="array" ref="H25">IFERROR(
MEDIAN((IF(DATOS_[[Sexo]:[Sexo]]=$B25,IF(DATOS_[[AGRUP. CLAS. PROF.]:[AGRUP. CLAS. PROF.]]=$B24,IF(DATOS_[[Check Periodo Ref.]:[Check Periodo Ref.]]="Dentro",DATOS_[Conc.Sal.03]))))),
0)</f>
        <v>902.4</v>
      </c>
      <c r="I25" s="170">
        <f t="array" ref="I25">IFERROR(
MEDIAN((IF(DATOS_[[Sexo]:[Sexo]]=$B25,IF(DATOS_[[AGRUP. CLAS. PROF.]:[AGRUP. CLAS. PROF.]]=$B24,IF(DATOS_[[Check Periodo Ref.]:[Check Periodo Ref.]]="Dentro",DATOS_[Conc.Sal.04]))))),
0)</f>
        <v>713.4</v>
      </c>
      <c r="J25" s="170">
        <f t="array" ref="J25">IFERROR(
MEDIAN((IF(DATOS_[[Sexo]:[Sexo]]=$B25,IF(DATOS_[[AGRUP. CLAS. PROF.]:[AGRUP. CLAS. PROF.]]=$B24,IF(DATOS_[[Check Periodo Ref.]:[Check Periodo Ref.]]="Dentro",DATOS_[Conc.Sal.05]))))),
0)</f>
        <v>162</v>
      </c>
      <c r="K25" s="170">
        <f t="array" ref="K25">IFERROR(
MEDIAN((IF(DATOS_[[Sexo]:[Sexo]]=$B25,IF(DATOS_[[AGRUP. CLAS. PROF.]:[AGRUP. CLAS. PROF.]]=$B24,IF(DATOS_[[Check Periodo Ref.]:[Check Periodo Ref.]]="Dentro",DATOS_[Conc.Sal.06]))))),
0)</f>
        <v>1676.48</v>
      </c>
      <c r="L25" s="170">
        <f t="array" ref="L25">IFERROR(
MEDIAN((IF(DATOS_[[Sexo]:[Sexo]]=$B25,IF(DATOS_[[AGRUP. CLAS. PROF.]:[AGRUP. CLAS. PROF.]]=$B24,IF(DATOS_[[Check Periodo Ref.]:[Check Periodo Ref.]]="Dentro",DATOS_[Conc.Sal.07]))))),
0)</f>
        <v>0</v>
      </c>
      <c r="M25" s="170">
        <f t="array" ref="M25">IFERROR(
MEDIAN((IF(DATOS_[[Sexo]:[Sexo]]=$B25,IF(DATOS_[[AGRUP. CLAS. PROF.]:[AGRUP. CLAS. PROF.]]=$B24,IF(DATOS_[[Check Periodo Ref.]:[Check Periodo Ref.]]="Dentro",DATOS_[Conc.Sal.08]))))),
0)</f>
        <v>116.28</v>
      </c>
      <c r="N25" s="170">
        <f t="array" ref="N25">IFERROR(
MEDIAN((IF(DATOS_[[Sexo]:[Sexo]]=$B25,IF(DATOS_[[AGRUP. CLAS. PROF.]:[AGRUP. CLAS. PROF.]]=$B24,IF(DATOS_[[Check Periodo Ref.]:[Check Periodo Ref.]]="Dentro",DATOS_[Conc.Sal.09]))))),
0)</f>
        <v>217.44</v>
      </c>
      <c r="O25" s="170">
        <f t="array" ref="O25">IFERROR(
MEDIAN((IF(DATOS_[[Sexo]:[Sexo]]=$B25,IF(DATOS_[[AGRUP. CLAS. PROF.]:[AGRUP. CLAS. PROF.]]=$B24,IF(DATOS_[[Check Periodo Ref.]:[Check Periodo Ref.]]="Dentro",DATOS_[Conc.Sal.10]))))),
0)</f>
        <v>414.1</v>
      </c>
      <c r="P25" s="170">
        <f t="array" ref="P25">IFERROR(
MEDIAN((IF(DATOS_[[Sexo]:[Sexo]]=$B25,IF(DATOS_[[AGRUP. CLAS. PROF.]:[AGRUP. CLAS. PROF.]]=$B24,IF(DATOS_[[Check Periodo Ref.]:[Check Periodo Ref.]]="Dentro",DATOS_[Conc.Sal.11]))))),
0)</f>
        <v>545.69000000000005</v>
      </c>
      <c r="Q25" s="170">
        <f t="array" ref="Q25">IFERROR(
MEDIAN((IF(DATOS_[[Sexo]:[Sexo]]=$B25,IF(DATOS_[[AGRUP. CLAS. PROF.]:[AGRUP. CLAS. PROF.]]=$B24,IF(DATOS_[[Check Periodo Ref.]:[Check Periodo Ref.]]="Dentro",DATOS_[Conc.Sal.12]))))),
0)</f>
        <v>0</v>
      </c>
      <c r="R25" s="170">
        <f t="array" ref="R25">IFERROR(
MEDIAN((IF(DATOS_[[Sexo]:[Sexo]]=$B25,IF(DATOS_[[AGRUP. CLAS. PROF.]:[AGRUP. CLAS. PROF.]]=$B24,IF(DATOS_[[Check Periodo Ref.]:[Check Periodo Ref.]]="Dentro",DATOS_[Conc.Sal.13]))))),
0)</f>
        <v>300</v>
      </c>
      <c r="S25" s="170">
        <f t="array" ref="S25">IFERROR(
MEDIAN((IF(DATOS_[[Sexo]:[Sexo]]=$B25,IF(DATOS_[[AGRUP. CLAS. PROF.]:[AGRUP. CLAS. PROF.]]=$B24,IF(DATOS_[[Check Periodo Ref.]:[Check Periodo Ref.]]="Dentro",DATOS_[Conc.Sal.14]))))),
0)</f>
        <v>0</v>
      </c>
      <c r="T25" s="170">
        <f t="array" ref="T25">IFERROR(
MEDIAN((IF(DATOS_[[Sexo]:[Sexo]]=$B25,IF(DATOS_[[AGRUP. CLAS. PROF.]:[AGRUP. CLAS. PROF.]]=$B24,IF(DATOS_[[Check Periodo Ref.]:[Check Periodo Ref.]]="Dentro",DATOS_[Conc.Sal.15]))))),
0)</f>
        <v>0</v>
      </c>
      <c r="U25" s="170">
        <f t="array" ref="U25">IFERROR(
MEDIAN((IF(DATOS_[[Sexo]:[Sexo]]=$B25,IF(DATOS_[[AGRUP. CLAS. PROF.]:[AGRUP. CLAS. PROF.]]=$B24,IF(DATOS_[[Check Periodo Ref.]:[Check Periodo Ref.]]="Dentro",DATOS_[Conc.Sal.16]))))),
0)</f>
        <v>1836</v>
      </c>
      <c r="V25" s="170">
        <f t="array" ref="V25">IFERROR(
MEDIAN((IF(DATOS_[[Sexo]:[Sexo]]=$B25,IF(DATOS_[[AGRUP. CLAS. PROF.]:[AGRUP. CLAS. PROF.]]=$B24,IF(DATOS_[[Check Periodo Ref.]:[Check Periodo Ref.]]="Dentro",DATOS_[Conc.Sal.17]))))),
0)</f>
        <v>0</v>
      </c>
      <c r="W25" s="170">
        <f t="array" ref="W25">IFERROR(
MEDIAN((IF(DATOS_[[Sexo]:[Sexo]]=$B25,IF(DATOS_[[AGRUP. CLAS. PROF.]:[AGRUP. CLAS. PROF.]]=$B24,IF(DATOS_[[Check Periodo Ref.]:[Check Periodo Ref.]]="Dentro",DATOS_[Conc.Sal.18]))))),
0)</f>
        <v>0</v>
      </c>
      <c r="X25" s="170">
        <f t="array" ref="X25">IFERROR(
MEDIAN((IF(DATOS_[[Sexo]:[Sexo]]=$B25,IF(DATOS_[[AGRUP. CLAS. PROF.]:[AGRUP. CLAS. PROF.]]=$B24,IF(DATOS_[[Check Periodo Ref.]:[Check Periodo Ref.]]="Dentro",DATOS_[Conc.Sal.19]))))),
0)</f>
        <v>65</v>
      </c>
      <c r="Y25" s="170">
        <f t="array" ref="Y25">IFERROR(
MEDIAN((IF(DATOS_[[Sexo]:[Sexo]]=$B25,IF(DATOS_[[AGRUP. CLAS. PROF.]:[AGRUP. CLAS. PROF.]]=$B24,IF(DATOS_[[Check Periodo Ref.]:[Check Periodo Ref.]]="Dentro",DATOS_[Conc.Sal.20]))))),
0)</f>
        <v>107.32</v>
      </c>
      <c r="Z25" s="170">
        <f t="array" ref="Z25">IFERROR(
MEDIAN((IF(DATOS_[[Sexo]:[Sexo]]=$B25,IF(DATOS_[[AGRUP. CLAS. PROF.]:[AGRUP. CLAS. PROF.]]=$B24,IF(DATOS_[[Check Periodo Ref.]:[Check Periodo Ref.]]="Dentro",DATOS_[Conc.Sal.21]))))),
0)</f>
        <v>0</v>
      </c>
      <c r="AA25" s="170">
        <f t="array" ref="AA25">IFERROR(
MEDIAN((IF(DATOS_[[Sexo]:[Sexo]]=$B25,IF(DATOS_[[AGRUP. CLAS. PROF.]:[AGRUP. CLAS. PROF.]]=$B24,IF(DATOS_[[Check Periodo Ref.]:[Check Periodo Ref.]]="Dentro",DATOS_[Conc.Sal.22]))))),
0)</f>
        <v>0</v>
      </c>
      <c r="AB25" s="170">
        <f t="array" ref="AB25">IFERROR(
MEDIAN((IF(DATOS_[[Sexo]:[Sexo]]=$B25,IF(DATOS_[[AGRUP. CLAS. PROF.]:[AGRUP. CLAS. PROF.]]=$B24,IF(DATOS_[[Check Periodo Ref.]:[Check Periodo Ref.]]="Dentro",DATOS_[Conc.Sal.23]))))),
0)</f>
        <v>0</v>
      </c>
      <c r="AC25" s="170">
        <f t="array" ref="AC25">IFERROR(
MEDIAN((IF(DATOS_[[Sexo]:[Sexo]]=$B25,IF(DATOS_[[AGRUP. CLAS. PROF.]:[AGRUP. CLAS. PROF.]]=$B24,IF(DATOS_[[Check Periodo Ref.]:[Check Periodo Ref.]]="Dentro",DATOS_[Conc.Sal.24]))))),
0)</f>
        <v>0</v>
      </c>
      <c r="AD25" s="170">
        <f t="array" ref="AD25">IFERROR(
MEDIAN((IF(DATOS_[[Sexo]:[Sexo]]=$B25,IF(DATOS_[[AGRUP. CLAS. PROF.]:[AGRUP. CLAS. PROF.]]=$B24,IF(DATOS_[[Check Periodo Ref.]:[Check Periodo Ref.]]="Dentro",DATOS_[Conc.Sal.25]))))),
0)</f>
        <v>0</v>
      </c>
      <c r="AE25" s="170">
        <f t="array" ref="AE25">IFERROR(
MEDIAN((IF(DATOS_[[Sexo]:[Sexo]]=$B25,IF(DATOS_[[AGRUP. CLAS. PROF.]:[AGRUP. CLAS. PROF.]]=$B24,IF(DATOS_[[Check Periodo Ref.]:[Check Periodo Ref.]]="Dentro",DATOS_[Conc.Sal.26]))))),
0)</f>
        <v>0</v>
      </c>
      <c r="AF25" s="170">
        <f t="array" ref="AF25">IFERROR(
MEDIAN((IF(DATOS_[[Sexo]:[Sexo]]=$B25,IF(DATOS_[[AGRUP. CLAS. PROF.]:[AGRUP. CLAS. PROF.]]=$B24,IF(DATOS_[[Check Periodo Ref.]:[Check Periodo Ref.]]="Dentro",DATOS_[Conc.Sal.27]))))),
0)</f>
        <v>0</v>
      </c>
      <c r="AG25" s="170">
        <f t="array" ref="AG25">IFERROR(
MEDIAN((IF(DATOS_[[Sexo]:[Sexo]]=$B25,IF(DATOS_[[AGRUP. CLAS. PROF.]:[AGRUP. CLAS. PROF.]]=$B24,IF(DATOS_[[Check Periodo Ref.]:[Check Periodo Ref.]]="Dentro",DATOS_[Conc.Sal.28]))))),
0)</f>
        <v>0</v>
      </c>
      <c r="AH25" s="170">
        <f t="array" ref="AH25">IFERROR(
MEDIAN((IF(DATOS_[[Sexo]:[Sexo]]=$B25,IF(DATOS_[[AGRUP. CLAS. PROF.]:[AGRUP. CLAS. PROF.]]=$B24,IF(DATOS_[[Check Periodo Ref.]:[Check Periodo Ref.]]="Dentro",DATOS_[Conc.Sal.29]))))),
0)</f>
        <v>0</v>
      </c>
      <c r="AI25" s="170">
        <f t="array" ref="AI25">IFERROR(
MEDIAN((IF(DATOS_[[Sexo]:[Sexo]]=$B25,IF(DATOS_[[AGRUP. CLAS. PROF.]:[AGRUP. CLAS. PROF.]]=$B24,IF(DATOS_[[Check Periodo Ref.]:[Check Periodo Ref.]]="Dentro",DATOS_[Conc.Sal.30]))))),
0)</f>
        <v>0</v>
      </c>
      <c r="AJ25" s="171">
        <f t="array" ref="AJ25">IFERROR(
MEDIAN(IF(DATOS_[Sexo]=$B25,IF(DATOS_[AGRUP. CLAS. PROF.]=$B24,IF(DATOS_[Check Periodo Ref.]="Dentro",DATOS_[Tot COMPL.SAL Ef],FALSE)))),
0)</f>
        <v>10571.929999999998</v>
      </c>
      <c r="AK25" s="172">
        <f t="array" ref="AK25">IFERROR(
MEDIAN(IF(DATOS_[Sexo]=$B25,IF(DATOS_[AGRUP. CLAS. PROF.]=$B24,IF(DATOS_[Check Periodo Ref.]="Dentro",DATOS_[TOTAL SALARIO Ef],FALSE)))),
0)</f>
        <v>21374.510000000002</v>
      </c>
      <c r="AL25" s="173">
        <f t="array" ref="AL25">IFERROR(
MEDIAN((IF(DATOS_[[Sexo]:[Sexo]]=$B25,IF(DATOS_[[AGRUP. CLAS. PROF.]:[AGRUP. CLAS. PROF.]]=$B24,IF(DATOS_[[Check Periodo Ref.]:[Check Periodo Ref.]]="Dentro",DATOS_[C.Extra.01]))))),
0)</f>
        <v>0</v>
      </c>
      <c r="AM25" s="173">
        <f t="array" ref="AM25">IFERROR(
MEDIAN((IF(DATOS_[[Sexo]:[Sexo]]=$B25,IF(DATOS_[[AGRUP. CLAS. PROF.]:[AGRUP. CLAS. PROF.]]=$B24,IF(DATOS_[[Check Periodo Ref.]:[Check Periodo Ref.]]="Dentro",DATOS_[C.Extra.06]))))),
0)</f>
        <v>0</v>
      </c>
      <c r="AN25" s="173">
        <f t="array" ref="AN25">IFERROR(
MEDIAN((IF(DATOS_[[Sexo]:[Sexo]]=$B25,IF(DATOS_[[AGRUP. CLAS. PROF.]:[AGRUP. CLAS. PROF.]]=$B24,IF(DATOS_[[Check Periodo Ref.]:[Check Periodo Ref.]]="Dentro",DATOS_[C.Extra.07]))))),
0)</f>
        <v>0</v>
      </c>
      <c r="AO25" s="173">
        <f t="array" ref="AO25">IFERROR(
MEDIAN((IF(DATOS_[[Sexo]:[Sexo]]=$B25,IF(DATOS_[[AGRUP. CLAS. PROF.]:[AGRUP. CLAS. PROF.]]=$B24,IF(DATOS_[[Check Periodo Ref.]:[Check Periodo Ref.]]="Dentro",DATOS_[C.Extra.08]))))),
0)</f>
        <v>0</v>
      </c>
      <c r="AP25" s="173">
        <f t="array" ref="AP25">IFERROR(
MEDIAN((IF(DATOS_[[Sexo]:[Sexo]]=$B25,IF(DATOS_[[AGRUP. CLAS. PROF.]:[AGRUP. CLAS. PROF.]]=$B24,IF(DATOS_[[Check Periodo Ref.]:[Check Periodo Ref.]]="Dentro",DATOS_[C.Extra.11]))))),
0)</f>
        <v>0</v>
      </c>
      <c r="AQ25" s="174">
        <f t="array" ref="AQ25">IFERROR(
MEDIAN(IF(DATOS_[Sexo]=$B25,IF(DATOS_[AGRUP. CLAS. PROF.]=$B24,IF(DATOS_[Check Periodo Ref.]="Dentro",DATOS_[Tot Extrasalarial Ef],FALSE)))),
0)</f>
        <v>0</v>
      </c>
      <c r="AR25" s="171">
        <f t="array" ref="AR25">IFERROR(
MEDIAN(IF(DATOS_[Sexo]=$B25,IF(DATOS_[AGRUP. CLAS. PROF.]=$B24,IF(DATOS_[Check Periodo Ref.]="Dentro",DATOS_[TOTAL Retrib Ef],FALSE)))),
0)</f>
        <v>21374.510000000002</v>
      </c>
    </row>
    <row r="26" spans="1:44" x14ac:dyDescent="0.25">
      <c r="A26" s="178" t="str">
        <f t="shared" ref="A26" si="18">+A25</f>
        <v/>
      </c>
      <c r="B26" s="166" t="s">
        <v>521</v>
      </c>
      <c r="C26" s="167">
        <f t="array" ref="C26">SUM(IF($B26=DATOS_[Sexo],
IF($B24=DATOS_[AGRUP. CLAS. PROF.],
IF("Dentro"=DATOS_[Check Periodo Ref.],
1/(COUNTIFS(DATOS_[Sexo],$B26,DATOS_[AGRUP. CLAS. PROF.],$B24,DATOS_[Check Periodo Ref.],"Dentro",DATOS_[id/cod],DATOS_[id/cod]))))))</f>
        <v>13</v>
      </c>
      <c r="D26" s="168">
        <f>COUNTIFS(DATOS_[AGRUP. CLAS. PROF.],$B24,DATOS_[Sexo],$B26,DATOS_[Check Periodo Ref.],"Dentro")</f>
        <v>13</v>
      </c>
      <c r="E26" s="169">
        <f t="array" ref="E26">IFERROR(
MEDIAN(IF(DATOS_[Sexo]=$B26,IF(DATOS_[AGRUP. CLAS. PROF.]=$B24,IF(DATOS_[Check Periodo Ref.]="Dentro",DATOS_[SALARIO BASE Ef],FALSE)))),
0)</f>
        <v>1154.98</v>
      </c>
      <c r="F26" s="170">
        <f t="array" ref="F26">IFERROR(
MEDIAN((IF(DATOS_[[Sexo]:[Sexo]]=$B26,IF(DATOS_[[AGRUP. CLAS. PROF.]:[AGRUP. CLAS. PROF.]]=$B24,IF(DATOS_[[Check Periodo Ref.]:[Check Periodo Ref.]]="Dentro",DATOS_[Conc.Sal.01]))))),
0)</f>
        <v>0</v>
      </c>
      <c r="G26" s="170">
        <f t="array" ref="G26">IFERROR(
MEDIAN((IF(DATOS_[[Sexo]:[Sexo]]=$B26,IF(DATOS_[[AGRUP. CLAS. PROF.]:[AGRUP. CLAS. PROF.]]=$B24,IF(DATOS_[[Check Periodo Ref.]:[Check Periodo Ref.]]="Dentro",DATOS_[Conc.Sal.02]))))),
0)</f>
        <v>2.78</v>
      </c>
      <c r="H26" s="170">
        <f t="array" ref="H26">IFERROR(
MEDIAN((IF(DATOS_[[Sexo]:[Sexo]]=$B26,IF(DATOS_[[AGRUP. CLAS. PROF.]:[AGRUP. CLAS. PROF.]]=$B24,IF(DATOS_[[Check Periodo Ref.]:[Check Periodo Ref.]]="Dentro",DATOS_[Conc.Sal.03]))))),
0)</f>
        <v>120.54</v>
      </c>
      <c r="I26" s="170">
        <f t="array" ref="I26">IFERROR(
MEDIAN((IF(DATOS_[[Sexo]:[Sexo]]=$B26,IF(DATOS_[[AGRUP. CLAS. PROF.]:[AGRUP. CLAS. PROF.]]=$B24,IF(DATOS_[[Check Periodo Ref.]:[Check Periodo Ref.]]="Dentro",DATOS_[Conc.Sal.04]))))),
0)</f>
        <v>0</v>
      </c>
      <c r="J26" s="170">
        <f t="array" ref="J26">IFERROR(
MEDIAN((IF(DATOS_[[Sexo]:[Sexo]]=$B26,IF(DATOS_[[AGRUP. CLAS. PROF.]:[AGRUP. CLAS. PROF.]]=$B24,IF(DATOS_[[Check Periodo Ref.]:[Check Periodo Ref.]]="Dentro",DATOS_[Conc.Sal.05]))))),
0)</f>
        <v>0</v>
      </c>
      <c r="K26" s="170">
        <f t="array" ref="K26">IFERROR(
MEDIAN((IF(DATOS_[[Sexo]:[Sexo]]=$B26,IF(DATOS_[[AGRUP. CLAS. PROF.]:[AGRUP. CLAS. PROF.]]=$B24,IF(DATOS_[[Check Periodo Ref.]:[Check Periodo Ref.]]="Dentro",DATOS_[Conc.Sal.06]))))),
0)</f>
        <v>93.92</v>
      </c>
      <c r="L26" s="170">
        <f t="array" ref="L26">IFERROR(
MEDIAN((IF(DATOS_[[Sexo]:[Sexo]]=$B26,IF(DATOS_[[AGRUP. CLAS. PROF.]:[AGRUP. CLAS. PROF.]]=$B24,IF(DATOS_[[Check Periodo Ref.]:[Check Periodo Ref.]]="Dentro",DATOS_[Conc.Sal.07]))))),
0)</f>
        <v>0</v>
      </c>
      <c r="M26" s="170">
        <f t="array" ref="M26">IFERROR(
MEDIAN((IF(DATOS_[[Sexo]:[Sexo]]=$B26,IF(DATOS_[[AGRUP. CLAS. PROF.]:[AGRUP. CLAS. PROF.]]=$B24,IF(DATOS_[[Check Periodo Ref.]:[Check Periodo Ref.]]="Dentro",DATOS_[Conc.Sal.08]))))),
0)</f>
        <v>0</v>
      </c>
      <c r="N26" s="170">
        <f t="array" ref="N26">IFERROR(
MEDIAN((IF(DATOS_[[Sexo]:[Sexo]]=$B26,IF(DATOS_[[AGRUP. CLAS. PROF.]:[AGRUP. CLAS. PROF.]]=$B24,IF(DATOS_[[Check Periodo Ref.]:[Check Periodo Ref.]]="Dentro",DATOS_[Conc.Sal.09]))))),
0)</f>
        <v>0</v>
      </c>
      <c r="O26" s="170">
        <f t="array" ref="O26">IFERROR(
MEDIAN((IF(DATOS_[[Sexo]:[Sexo]]=$B26,IF(DATOS_[[AGRUP. CLAS. PROF.]:[AGRUP. CLAS. PROF.]]=$B24,IF(DATOS_[[Check Periodo Ref.]:[Check Periodo Ref.]]="Dentro",DATOS_[Conc.Sal.10]))))),
0)</f>
        <v>0</v>
      </c>
      <c r="P26" s="170">
        <f t="array" ref="P26">IFERROR(
MEDIAN((IF(DATOS_[[Sexo]:[Sexo]]=$B26,IF(DATOS_[[AGRUP. CLAS. PROF.]:[AGRUP. CLAS. PROF.]]=$B24,IF(DATOS_[[Check Periodo Ref.]:[Check Periodo Ref.]]="Dentro",DATOS_[Conc.Sal.11]))))),
0)</f>
        <v>49.18</v>
      </c>
      <c r="Q26" s="170">
        <f t="array" ref="Q26">IFERROR(
MEDIAN((IF(DATOS_[[Sexo]:[Sexo]]=$B26,IF(DATOS_[[AGRUP. CLAS. PROF.]:[AGRUP. CLAS. PROF.]]=$B24,IF(DATOS_[[Check Periodo Ref.]:[Check Periodo Ref.]]="Dentro",DATOS_[Conc.Sal.12]))))),
0)</f>
        <v>0</v>
      </c>
      <c r="R26" s="170">
        <f t="array" ref="R26">IFERROR(
MEDIAN((IF(DATOS_[[Sexo]:[Sexo]]=$B26,IF(DATOS_[[AGRUP. CLAS. PROF.]:[AGRUP. CLAS. PROF.]]=$B24,IF(DATOS_[[Check Periodo Ref.]:[Check Periodo Ref.]]="Dentro",DATOS_[Conc.Sal.13]))))),
0)</f>
        <v>0</v>
      </c>
      <c r="S26" s="170">
        <f t="array" ref="S26">IFERROR(
MEDIAN((IF(DATOS_[[Sexo]:[Sexo]]=$B26,IF(DATOS_[[AGRUP. CLAS. PROF.]:[AGRUP. CLAS. PROF.]]=$B24,IF(DATOS_[[Check Periodo Ref.]:[Check Periodo Ref.]]="Dentro",DATOS_[Conc.Sal.14]))))),
0)</f>
        <v>0</v>
      </c>
      <c r="T26" s="170">
        <f t="array" ref="T26">IFERROR(
MEDIAN((IF(DATOS_[[Sexo]:[Sexo]]=$B26,IF(DATOS_[[AGRUP. CLAS. PROF.]:[AGRUP. CLAS. PROF.]]=$B24,IF(DATOS_[[Check Periodo Ref.]:[Check Periodo Ref.]]="Dentro",DATOS_[Conc.Sal.15]))))),
0)</f>
        <v>0</v>
      </c>
      <c r="U26" s="170">
        <f t="array" ref="U26">IFERROR(
MEDIAN((IF(DATOS_[[Sexo]:[Sexo]]=$B26,IF(DATOS_[[AGRUP. CLAS. PROF.]:[AGRUP. CLAS. PROF.]]=$B24,IF(DATOS_[[Check Periodo Ref.]:[Check Periodo Ref.]]="Dentro",DATOS_[Conc.Sal.16]))))),
0)</f>
        <v>106.29</v>
      </c>
      <c r="V26" s="170">
        <f t="array" ref="V26">IFERROR(
MEDIAN((IF(DATOS_[[Sexo]:[Sexo]]=$B26,IF(DATOS_[[AGRUP. CLAS. PROF.]:[AGRUP. CLAS. PROF.]]=$B24,IF(DATOS_[[Check Periodo Ref.]:[Check Periodo Ref.]]="Dentro",DATOS_[Conc.Sal.17]))))),
0)</f>
        <v>0</v>
      </c>
      <c r="W26" s="170">
        <f t="array" ref="W26">IFERROR(
MEDIAN((IF(DATOS_[[Sexo]:[Sexo]]=$B26,IF(DATOS_[[AGRUP. CLAS. PROF.]:[AGRUP. CLAS. PROF.]]=$B24,IF(DATOS_[[Check Periodo Ref.]:[Check Periodo Ref.]]="Dentro",DATOS_[Conc.Sal.18]))))),
0)</f>
        <v>0</v>
      </c>
      <c r="X26" s="170">
        <f t="array" ref="X26">IFERROR(
MEDIAN((IF(DATOS_[[Sexo]:[Sexo]]=$B26,IF(DATOS_[[AGRUP. CLAS. PROF.]:[AGRUP. CLAS. PROF.]]=$B24,IF(DATOS_[[Check Periodo Ref.]:[Check Periodo Ref.]]="Dentro",DATOS_[Conc.Sal.19]))))),
0)</f>
        <v>0</v>
      </c>
      <c r="Y26" s="170">
        <f t="array" ref="Y26">IFERROR(
MEDIAN((IF(DATOS_[[Sexo]:[Sexo]]=$B26,IF(DATOS_[[AGRUP. CLAS. PROF.]:[AGRUP. CLAS. PROF.]]=$B24,IF(DATOS_[[Check Periodo Ref.]:[Check Periodo Ref.]]="Dentro",DATOS_[Conc.Sal.20]))))),
0)</f>
        <v>107.32</v>
      </c>
      <c r="Z26" s="170">
        <f t="array" ref="Z26">IFERROR(
MEDIAN((IF(DATOS_[[Sexo]:[Sexo]]=$B26,IF(DATOS_[[AGRUP. CLAS. PROF.]:[AGRUP. CLAS. PROF.]]=$B24,IF(DATOS_[[Check Periodo Ref.]:[Check Periodo Ref.]]="Dentro",DATOS_[Conc.Sal.21]))))),
0)</f>
        <v>0</v>
      </c>
      <c r="AA26" s="170">
        <f t="array" ref="AA26">IFERROR(
MEDIAN((IF(DATOS_[[Sexo]:[Sexo]]=$B26,IF(DATOS_[[AGRUP. CLAS. PROF.]:[AGRUP. CLAS. PROF.]]=$B24,IF(DATOS_[[Check Periodo Ref.]:[Check Periodo Ref.]]="Dentro",DATOS_[Conc.Sal.22]))))),
0)</f>
        <v>0</v>
      </c>
      <c r="AB26" s="170">
        <f t="array" ref="AB26">IFERROR(
MEDIAN((IF(DATOS_[[Sexo]:[Sexo]]=$B26,IF(DATOS_[[AGRUP. CLAS. PROF.]:[AGRUP. CLAS. PROF.]]=$B24,IF(DATOS_[[Check Periodo Ref.]:[Check Periodo Ref.]]="Dentro",DATOS_[Conc.Sal.23]))))),
0)</f>
        <v>0</v>
      </c>
      <c r="AC26" s="170">
        <f t="array" ref="AC26">IFERROR(
MEDIAN((IF(DATOS_[[Sexo]:[Sexo]]=$B26,IF(DATOS_[[AGRUP. CLAS. PROF.]:[AGRUP. CLAS. PROF.]]=$B24,IF(DATOS_[[Check Periodo Ref.]:[Check Periodo Ref.]]="Dentro",DATOS_[Conc.Sal.24]))))),
0)</f>
        <v>0</v>
      </c>
      <c r="AD26" s="170">
        <f t="array" ref="AD26">IFERROR(
MEDIAN((IF(DATOS_[[Sexo]:[Sexo]]=$B26,IF(DATOS_[[AGRUP. CLAS. PROF.]:[AGRUP. CLAS. PROF.]]=$B24,IF(DATOS_[[Check Periodo Ref.]:[Check Periodo Ref.]]="Dentro",DATOS_[Conc.Sal.25]))))),
0)</f>
        <v>0</v>
      </c>
      <c r="AE26" s="170">
        <f t="array" ref="AE26">IFERROR(
MEDIAN((IF(DATOS_[[Sexo]:[Sexo]]=$B26,IF(DATOS_[[AGRUP. CLAS. PROF.]:[AGRUP. CLAS. PROF.]]=$B24,IF(DATOS_[[Check Periodo Ref.]:[Check Periodo Ref.]]="Dentro",DATOS_[Conc.Sal.26]))))),
0)</f>
        <v>0</v>
      </c>
      <c r="AF26" s="170">
        <f t="array" ref="AF26">IFERROR(
MEDIAN((IF(DATOS_[[Sexo]:[Sexo]]=$B26,IF(DATOS_[[AGRUP. CLAS. PROF.]:[AGRUP. CLAS. PROF.]]=$B24,IF(DATOS_[[Check Periodo Ref.]:[Check Periodo Ref.]]="Dentro",DATOS_[Conc.Sal.27]))))),
0)</f>
        <v>0</v>
      </c>
      <c r="AG26" s="170">
        <f t="array" ref="AG26">IFERROR(
MEDIAN((IF(DATOS_[[Sexo]:[Sexo]]=$B26,IF(DATOS_[[AGRUP. CLAS. PROF.]:[AGRUP. CLAS. PROF.]]=$B24,IF(DATOS_[[Check Periodo Ref.]:[Check Periodo Ref.]]="Dentro",DATOS_[Conc.Sal.28]))))),
0)</f>
        <v>0</v>
      </c>
      <c r="AH26" s="170">
        <f t="array" ref="AH26">IFERROR(
MEDIAN((IF(DATOS_[[Sexo]:[Sexo]]=$B26,IF(DATOS_[[AGRUP. CLAS. PROF.]:[AGRUP. CLAS. PROF.]]=$B24,IF(DATOS_[[Check Periodo Ref.]:[Check Periodo Ref.]]="Dentro",DATOS_[Conc.Sal.29]))))),
0)</f>
        <v>0</v>
      </c>
      <c r="AI26" s="170">
        <f t="array" ref="AI26">IFERROR(
MEDIAN((IF(DATOS_[[Sexo]:[Sexo]]=$B26,IF(DATOS_[[AGRUP. CLAS. PROF.]:[AGRUP. CLAS. PROF.]]=$B24,IF(DATOS_[[Check Periodo Ref.]:[Check Periodo Ref.]]="Dentro",DATOS_[Conc.Sal.30]))))),
0)</f>
        <v>0</v>
      </c>
      <c r="AJ26" s="171">
        <f t="array" ref="AJ26">IFERROR(
MEDIAN(IF(DATOS_[Sexo]=$B26,IF(DATOS_[AGRUP. CLAS. PROF.]=$B24,IF(DATOS_[Check Periodo Ref.]="Dentro",DATOS_[Tot COMPL.SAL Ef],FALSE)))),
0)</f>
        <v>773.91000000000008</v>
      </c>
      <c r="AK26" s="172">
        <f t="array" ref="AK26">IFERROR(
MEDIAN(IF(DATOS_[Sexo]=$B26,IF(DATOS_[AGRUP. CLAS. PROF.]=$B24,IF(DATOS_[Check Periodo Ref.]="Dentro",DATOS_[TOTAL SALARIO Ef],FALSE)))),
0)</f>
        <v>1928.89</v>
      </c>
      <c r="AL26" s="173">
        <f t="array" ref="AL26">IFERROR(
MEDIAN((IF(DATOS_[[Sexo]:[Sexo]]=$B26,IF(DATOS_[[AGRUP. CLAS. PROF.]:[AGRUP. CLAS. PROF.]]=$B24,IF(DATOS_[[Check Periodo Ref.]:[Check Periodo Ref.]]="Dentro",DATOS_[C.Extra.01]))))),
0)</f>
        <v>0</v>
      </c>
      <c r="AM26" s="173">
        <f t="array" ref="AM26">IFERROR(
MEDIAN((IF(DATOS_[[Sexo]:[Sexo]]=$B26,IF(DATOS_[[AGRUP. CLAS. PROF.]:[AGRUP. CLAS. PROF.]]=$B24,IF(DATOS_[[Check Periodo Ref.]:[Check Periodo Ref.]]="Dentro",DATOS_[C.Extra.06]))))),
0)</f>
        <v>0</v>
      </c>
      <c r="AN26" s="173">
        <f t="array" ref="AN26">IFERROR(
MEDIAN((IF(DATOS_[[Sexo]:[Sexo]]=$B26,IF(DATOS_[[AGRUP. CLAS. PROF.]:[AGRUP. CLAS. PROF.]]=$B24,IF(DATOS_[[Check Periodo Ref.]:[Check Periodo Ref.]]="Dentro",DATOS_[C.Extra.07]))))),
0)</f>
        <v>0</v>
      </c>
      <c r="AO26" s="173">
        <f t="array" ref="AO26">IFERROR(
MEDIAN((IF(DATOS_[[Sexo]:[Sexo]]=$B26,IF(DATOS_[[AGRUP. CLAS. PROF.]:[AGRUP. CLAS. PROF.]]=$B24,IF(DATOS_[[Check Periodo Ref.]:[Check Periodo Ref.]]="Dentro",DATOS_[C.Extra.08]))))),
0)</f>
        <v>0</v>
      </c>
      <c r="AP26" s="173">
        <f t="array" ref="AP26">IFERROR(
MEDIAN((IF(DATOS_[[Sexo]:[Sexo]]=$B26,IF(DATOS_[[AGRUP. CLAS. PROF.]:[AGRUP. CLAS. PROF.]]=$B24,IF(DATOS_[[Check Periodo Ref.]:[Check Periodo Ref.]]="Dentro",DATOS_[C.Extra.11]))))),
0)</f>
        <v>0</v>
      </c>
      <c r="AQ26" s="174">
        <f t="array" ref="AQ26">IFERROR(
MEDIAN(IF(DATOS_[Sexo]=$B26,IF(DATOS_[AGRUP. CLAS. PROF.]=$B24,IF(DATOS_[Check Periodo Ref.]="Dentro",DATOS_[Tot Extrasalarial Ef],FALSE)))),
0)</f>
        <v>0</v>
      </c>
      <c r="AR26" s="171">
        <f t="array" ref="AR26">IFERROR(
MEDIAN(IF(DATOS_[Sexo]=$B26,IF(DATOS_[AGRUP. CLAS. PROF.]=$B24,IF(DATOS_[Check Periodo Ref.]="Dentro",DATOS_[TOTAL Retrib Ef],FALSE)))),
0)</f>
        <v>1928.89</v>
      </c>
    </row>
    <row r="27" spans="1:44" ht="14.4" thickBot="1" x14ac:dyDescent="0.3">
      <c r="A27" s="178" t="str">
        <f t="shared" ref="A27" si="19">+A28</f>
        <v/>
      </c>
      <c r="B27" s="153" t="s">
        <v>192</v>
      </c>
      <c r="C27" s="154"/>
      <c r="D27" s="155"/>
      <c r="E27" s="156">
        <f t="shared" ref="E27:AR27" si="20">IFERROR((E28-E29)/E28,"")</f>
        <v>0.46031455060648246</v>
      </c>
      <c r="F27" s="157">
        <f t="shared" si="20"/>
        <v>0.56837606837606836</v>
      </c>
      <c r="G27" s="158">
        <f t="shared" si="20"/>
        <v>0.41746934532000118</v>
      </c>
      <c r="H27" s="158">
        <f t="shared" si="20"/>
        <v>1</v>
      </c>
      <c r="I27" s="158">
        <f t="shared" si="20"/>
        <v>0.59997812077333124</v>
      </c>
      <c r="J27" s="159">
        <f t="shared" si="20"/>
        <v>1</v>
      </c>
      <c r="K27" s="160">
        <f t="shared" si="20"/>
        <v>0.57102307188432522</v>
      </c>
      <c r="L27" s="160" t="str">
        <f t="shared" si="20"/>
        <v/>
      </c>
      <c r="M27" s="160" t="str">
        <f t="shared" si="20"/>
        <v/>
      </c>
      <c r="N27" s="160" t="str">
        <f t="shared" si="20"/>
        <v/>
      </c>
      <c r="O27" s="160" t="str">
        <f t="shared" si="20"/>
        <v/>
      </c>
      <c r="P27" s="160">
        <f t="shared" si="20"/>
        <v>1</v>
      </c>
      <c r="Q27" s="160">
        <f t="shared" si="20"/>
        <v>0.88229999999999997</v>
      </c>
      <c r="R27" s="160" t="str">
        <f t="shared" si="20"/>
        <v/>
      </c>
      <c r="S27" s="160">
        <f t="shared" si="20"/>
        <v>5.4426229508196727E-2</v>
      </c>
      <c r="T27" s="160" t="str">
        <f t="shared" si="20"/>
        <v/>
      </c>
      <c r="U27" s="160">
        <f t="shared" si="20"/>
        <v>0.57730739695566347</v>
      </c>
      <c r="V27" s="159">
        <f t="shared" si="20"/>
        <v>1</v>
      </c>
      <c r="W27" s="159" t="str">
        <f t="shared" si="20"/>
        <v/>
      </c>
      <c r="X27" s="159" t="str">
        <f t="shared" si="20"/>
        <v/>
      </c>
      <c r="Y27" s="159" t="str">
        <f t="shared" si="20"/>
        <v/>
      </c>
      <c r="Z27" s="159">
        <f t="shared" si="20"/>
        <v>0</v>
      </c>
      <c r="AA27" s="159" t="str">
        <f t="shared" si="20"/>
        <v/>
      </c>
      <c r="AB27" s="159" t="str">
        <f t="shared" si="20"/>
        <v/>
      </c>
      <c r="AC27" s="159" t="str">
        <f t="shared" si="20"/>
        <v/>
      </c>
      <c r="AD27" s="159" t="str">
        <f t="shared" si="20"/>
        <v/>
      </c>
      <c r="AE27" s="159" t="str">
        <f t="shared" si="20"/>
        <v/>
      </c>
      <c r="AF27" s="159" t="str">
        <f t="shared" si="20"/>
        <v/>
      </c>
      <c r="AG27" s="159" t="str">
        <f t="shared" si="20"/>
        <v/>
      </c>
      <c r="AH27" s="159" t="str">
        <f t="shared" si="20"/>
        <v/>
      </c>
      <c r="AI27" s="159" t="str">
        <f t="shared" si="20"/>
        <v/>
      </c>
      <c r="AJ27" s="161">
        <f t="shared" si="20"/>
        <v>0.71981425442130575</v>
      </c>
      <c r="AK27" s="162">
        <f t="shared" si="20"/>
        <v>0.6070552720807173</v>
      </c>
      <c r="AL27" s="163" t="str">
        <f t="shared" si="20"/>
        <v/>
      </c>
      <c r="AM27" s="163" t="str">
        <f t="shared" si="20"/>
        <v/>
      </c>
      <c r="AN27" s="163" t="str">
        <f t="shared" si="20"/>
        <v/>
      </c>
      <c r="AO27" s="163" t="str">
        <f t="shared" si="20"/>
        <v/>
      </c>
      <c r="AP27" s="163" t="str">
        <f t="shared" si="20"/>
        <v/>
      </c>
      <c r="AQ27" s="164" t="str">
        <f t="shared" si="20"/>
        <v/>
      </c>
      <c r="AR27" s="161">
        <f t="shared" si="20"/>
        <v>0.6070552720807173</v>
      </c>
    </row>
    <row r="28" spans="1:44" x14ac:dyDescent="0.25">
      <c r="A28" s="178" t="str">
        <f t="shared" ref="A28" si="21">+IF(C28+C29=0,"[ocultar]","")</f>
        <v/>
      </c>
      <c r="B28" s="166" t="s">
        <v>394</v>
      </c>
      <c r="C28" s="167">
        <f t="array" ref="C28">SUM(IF($B28=DATOS_[Sexo],
IF($B27=DATOS_[AGRUP. CLAS. PROF.],
IF("Dentro"=DATOS_[Check Periodo Ref.],
1/(COUNTIFS(DATOS_[Sexo],$B28,DATOS_[AGRUP. CLAS. PROF.],$B27,DATOS_[Check Periodo Ref.],"Dentro",DATOS_[id/cod],DATOS_[id/cod]))))))</f>
        <v>3</v>
      </c>
      <c r="D28" s="168">
        <f>COUNTIFS(DATOS_[AGRUP. CLAS. PROF.],$B27,DATOS_[Sexo],$B28,DATOS_[Check Periodo Ref.],"Dentro")</f>
        <v>3</v>
      </c>
      <c r="E28" s="169">
        <f t="array" ref="E28">IFERROR(
MEDIAN(IF(DATOS_[Sexo]=$B28,IF(DATOS_[AGRUP. CLAS. PROF.]=$B27,IF(DATOS_[Check Periodo Ref.]="Dentro",DATOS_[SALARIO BASE Ef],FALSE)))),
0)</f>
        <v>6437.1200000000008</v>
      </c>
      <c r="F28" s="170">
        <f t="array" ref="F28">IFERROR(
MEDIAN((IF(DATOS_[[Sexo]:[Sexo]]=$B28,IF(DATOS_[[AGRUP. CLAS. PROF.]:[AGRUP. CLAS. PROF.]]=$B27,IF(DATOS_[[Check Periodo Ref.]:[Check Periodo Ref.]]="Dentro",DATOS_[Conc.Sal.01]))))),
0)</f>
        <v>37.44</v>
      </c>
      <c r="G28" s="170">
        <f t="array" ref="G28">IFERROR(
MEDIAN((IF(DATOS_[[Sexo]:[Sexo]]=$B28,IF(DATOS_[[AGRUP. CLAS. PROF.]:[AGRUP. CLAS. PROF.]]=$B27,IF(DATOS_[[Check Periodo Ref.]:[Check Periodo Ref.]]="Dentro",DATOS_[Conc.Sal.02]))))),
0)</f>
        <v>654.05999999999995</v>
      </c>
      <c r="H28" s="170">
        <f t="array" ref="H28">IFERROR(
MEDIAN((IF(DATOS_[[Sexo]:[Sexo]]=$B28,IF(DATOS_[[AGRUP. CLAS. PROF.]:[AGRUP. CLAS. PROF.]]=$B27,IF(DATOS_[[Check Periodo Ref.]:[Check Periodo Ref.]]="Dentro",DATOS_[Conc.Sal.03]))))),
0)</f>
        <v>457.28999999999996</v>
      </c>
      <c r="I28" s="170">
        <f t="array" ref="I28">IFERROR(
MEDIAN((IF(DATOS_[[Sexo]:[Sexo]]=$B28,IF(DATOS_[[AGRUP. CLAS. PROF.]:[AGRUP. CLAS. PROF.]]=$B27,IF(DATOS_[[Check Periodo Ref.]:[Check Periodo Ref.]]="Dentro",DATOS_[Conc.Sal.04]))))),
0)</f>
        <v>1005.52</v>
      </c>
      <c r="J28" s="170">
        <f t="array" ref="J28">IFERROR(
MEDIAN((IF(DATOS_[[Sexo]:[Sexo]]=$B28,IF(DATOS_[[AGRUP. CLAS. PROF.]:[AGRUP. CLAS. PROF.]]=$B27,IF(DATOS_[[Check Periodo Ref.]:[Check Periodo Ref.]]="Dentro",DATOS_[Conc.Sal.05]))))),
0)</f>
        <v>82.64</v>
      </c>
      <c r="K28" s="170">
        <f t="array" ref="K28">IFERROR(
MEDIAN((IF(DATOS_[[Sexo]:[Sexo]]=$B28,IF(DATOS_[[AGRUP. CLAS. PROF.]:[AGRUP. CLAS. PROF.]]=$B27,IF(DATOS_[[Check Periodo Ref.]:[Check Periodo Ref.]]="Dentro",DATOS_[Conc.Sal.06]))))),
0)</f>
        <v>824.38</v>
      </c>
      <c r="L28" s="170">
        <f t="array" ref="L28">IFERROR(
MEDIAN((IF(DATOS_[[Sexo]:[Sexo]]=$B28,IF(DATOS_[[AGRUP. CLAS. PROF.]:[AGRUP. CLAS. PROF.]]=$B27,IF(DATOS_[[Check Periodo Ref.]:[Check Periodo Ref.]]="Dentro",DATOS_[Conc.Sal.07]))))),
0)</f>
        <v>0</v>
      </c>
      <c r="M28" s="170">
        <f t="array" ref="M28">IFERROR(
MEDIAN((IF(DATOS_[[Sexo]:[Sexo]]=$B28,IF(DATOS_[[AGRUP. CLAS. PROF.]:[AGRUP. CLAS. PROF.]]=$B27,IF(DATOS_[[Check Periodo Ref.]:[Check Periodo Ref.]]="Dentro",DATOS_[Conc.Sal.08]))))),
0)</f>
        <v>0</v>
      </c>
      <c r="N28" s="170">
        <f t="array" ref="N28">IFERROR(
MEDIAN((IF(DATOS_[[Sexo]:[Sexo]]=$B28,IF(DATOS_[[AGRUP. CLAS. PROF.]:[AGRUP. CLAS. PROF.]]=$B27,IF(DATOS_[[Check Periodo Ref.]:[Check Periodo Ref.]]="Dentro",DATOS_[Conc.Sal.09]))))),
0)</f>
        <v>0</v>
      </c>
      <c r="O28" s="170">
        <f t="array" ref="O28">IFERROR(
MEDIAN((IF(DATOS_[[Sexo]:[Sexo]]=$B28,IF(DATOS_[[AGRUP. CLAS. PROF.]:[AGRUP. CLAS. PROF.]]=$B27,IF(DATOS_[[Check Periodo Ref.]:[Check Periodo Ref.]]="Dentro",DATOS_[Conc.Sal.10]))))),
0)</f>
        <v>0</v>
      </c>
      <c r="P28" s="170">
        <f t="array" ref="P28">IFERROR(
MEDIAN((IF(DATOS_[[Sexo]:[Sexo]]=$B28,IF(DATOS_[[AGRUP. CLAS. PROF.]:[AGRUP. CLAS. PROF.]]=$B27,IF(DATOS_[[Check Periodo Ref.]:[Check Periodo Ref.]]="Dentro",DATOS_[Conc.Sal.11]))))),
0)</f>
        <v>177.29</v>
      </c>
      <c r="Q28" s="170">
        <f t="array" ref="Q28">IFERROR(
MEDIAN((IF(DATOS_[[Sexo]:[Sexo]]=$B28,IF(DATOS_[[AGRUP. CLAS. PROF.]:[AGRUP. CLAS. PROF.]]=$B27,IF(DATOS_[[Check Periodo Ref.]:[Check Periodo Ref.]]="Dentro",DATOS_[Conc.Sal.12]))))),
0)</f>
        <v>300</v>
      </c>
      <c r="R28" s="170">
        <f t="array" ref="R28">IFERROR(
MEDIAN((IF(DATOS_[[Sexo]:[Sexo]]=$B28,IF(DATOS_[[AGRUP. CLAS. PROF.]:[AGRUP. CLAS. PROF.]]=$B27,IF(DATOS_[[Check Periodo Ref.]:[Check Periodo Ref.]]="Dentro",DATOS_[Conc.Sal.13]))))),
0)</f>
        <v>0</v>
      </c>
      <c r="S28" s="170">
        <f t="array" ref="S28">IFERROR(
MEDIAN((IF(DATOS_[[Sexo]:[Sexo]]=$B28,IF(DATOS_[[AGRUP. CLAS. PROF.]:[AGRUP. CLAS. PROF.]]=$B27,IF(DATOS_[[Check Periodo Ref.]:[Check Periodo Ref.]]="Dentro",DATOS_[Conc.Sal.14]))))),
0)</f>
        <v>61</v>
      </c>
      <c r="T28" s="170">
        <f t="array" ref="T28">IFERROR(
MEDIAN((IF(DATOS_[[Sexo]:[Sexo]]=$B28,IF(DATOS_[[AGRUP. CLAS. PROF.]:[AGRUP. CLAS. PROF.]]=$B27,IF(DATOS_[[Check Periodo Ref.]:[Check Periodo Ref.]]="Dentro",DATOS_[Conc.Sal.15]))))),
0)</f>
        <v>0</v>
      </c>
      <c r="U28" s="170">
        <f t="array" ref="U28">IFERROR(
MEDIAN((IF(DATOS_[[Sexo]:[Sexo]]=$B28,IF(DATOS_[[AGRUP. CLAS. PROF.]:[AGRUP. CLAS. PROF.]]=$B27,IF(DATOS_[[Check Periodo Ref.]:[Check Periodo Ref.]]="Dentro",DATOS_[Conc.Sal.16]))))),
0)</f>
        <v>2122.63</v>
      </c>
      <c r="V28" s="170">
        <f t="array" ref="V28">IFERROR(
MEDIAN((IF(DATOS_[[Sexo]:[Sexo]]=$B28,IF(DATOS_[[AGRUP. CLAS. PROF.]:[AGRUP. CLAS. PROF.]]=$B27,IF(DATOS_[[Check Periodo Ref.]:[Check Periodo Ref.]]="Dentro",DATOS_[Conc.Sal.17]))))),
0)</f>
        <v>157.69999999999999</v>
      </c>
      <c r="W28" s="170">
        <f t="array" ref="W28">IFERROR(
MEDIAN((IF(DATOS_[[Sexo]:[Sexo]]=$B28,IF(DATOS_[[AGRUP. CLAS. PROF.]:[AGRUP. CLAS. PROF.]]=$B27,IF(DATOS_[[Check Periodo Ref.]:[Check Periodo Ref.]]="Dentro",DATOS_[Conc.Sal.18]))))),
0)</f>
        <v>0</v>
      </c>
      <c r="X28" s="170">
        <f t="array" ref="X28">IFERROR(
MEDIAN((IF(DATOS_[[Sexo]:[Sexo]]=$B28,IF(DATOS_[[AGRUP. CLAS. PROF.]:[AGRUP. CLAS. PROF.]]=$B27,IF(DATOS_[[Check Periodo Ref.]:[Check Periodo Ref.]]="Dentro",DATOS_[Conc.Sal.19]))))),
0)</f>
        <v>0</v>
      </c>
      <c r="Y28" s="170">
        <f t="array" ref="Y28">IFERROR(
MEDIAN((IF(DATOS_[[Sexo]:[Sexo]]=$B28,IF(DATOS_[[AGRUP. CLAS. PROF.]:[AGRUP. CLAS. PROF.]]=$B27,IF(DATOS_[[Check Periodo Ref.]:[Check Periodo Ref.]]="Dentro",DATOS_[Conc.Sal.20]))))),
0)</f>
        <v>0</v>
      </c>
      <c r="Z28" s="170">
        <f t="array" ref="Z28">IFERROR(
MEDIAN((IF(DATOS_[[Sexo]:[Sexo]]=$B28,IF(DATOS_[[AGRUP. CLAS. PROF.]:[AGRUP. CLAS. PROF.]]=$B27,IF(DATOS_[[Check Periodo Ref.]:[Check Periodo Ref.]]="Dentro",DATOS_[Conc.Sal.21]))))),
0)</f>
        <v>65</v>
      </c>
      <c r="AA28" s="170">
        <f t="array" ref="AA28">IFERROR(
MEDIAN((IF(DATOS_[[Sexo]:[Sexo]]=$B28,IF(DATOS_[[AGRUP. CLAS. PROF.]:[AGRUP. CLAS. PROF.]]=$B27,IF(DATOS_[[Check Periodo Ref.]:[Check Periodo Ref.]]="Dentro",DATOS_[Conc.Sal.22]))))),
0)</f>
        <v>0</v>
      </c>
      <c r="AB28" s="170">
        <f t="array" ref="AB28">IFERROR(
MEDIAN((IF(DATOS_[[Sexo]:[Sexo]]=$B28,IF(DATOS_[[AGRUP. CLAS. PROF.]:[AGRUP. CLAS. PROF.]]=$B27,IF(DATOS_[[Check Periodo Ref.]:[Check Periodo Ref.]]="Dentro",DATOS_[Conc.Sal.23]))))),
0)</f>
        <v>0</v>
      </c>
      <c r="AC28" s="170">
        <f t="array" ref="AC28">IFERROR(
MEDIAN((IF(DATOS_[[Sexo]:[Sexo]]=$B28,IF(DATOS_[[AGRUP. CLAS. PROF.]:[AGRUP. CLAS. PROF.]]=$B27,IF(DATOS_[[Check Periodo Ref.]:[Check Periodo Ref.]]="Dentro",DATOS_[Conc.Sal.24]))))),
0)</f>
        <v>0</v>
      </c>
      <c r="AD28" s="170">
        <f t="array" ref="AD28">IFERROR(
MEDIAN((IF(DATOS_[[Sexo]:[Sexo]]=$B28,IF(DATOS_[[AGRUP. CLAS. PROF.]:[AGRUP. CLAS. PROF.]]=$B27,IF(DATOS_[[Check Periodo Ref.]:[Check Periodo Ref.]]="Dentro",DATOS_[Conc.Sal.25]))))),
0)</f>
        <v>0</v>
      </c>
      <c r="AE28" s="170">
        <f t="array" ref="AE28">IFERROR(
MEDIAN((IF(DATOS_[[Sexo]:[Sexo]]=$B28,IF(DATOS_[[AGRUP. CLAS. PROF.]:[AGRUP. CLAS. PROF.]]=$B27,IF(DATOS_[[Check Periodo Ref.]:[Check Periodo Ref.]]="Dentro",DATOS_[Conc.Sal.26]))))),
0)</f>
        <v>0</v>
      </c>
      <c r="AF28" s="170">
        <f t="array" ref="AF28">IFERROR(
MEDIAN((IF(DATOS_[[Sexo]:[Sexo]]=$B28,IF(DATOS_[[AGRUP. CLAS. PROF.]:[AGRUP. CLAS. PROF.]]=$B27,IF(DATOS_[[Check Periodo Ref.]:[Check Periodo Ref.]]="Dentro",DATOS_[Conc.Sal.27]))))),
0)</f>
        <v>0</v>
      </c>
      <c r="AG28" s="170">
        <f t="array" ref="AG28">IFERROR(
MEDIAN((IF(DATOS_[[Sexo]:[Sexo]]=$B28,IF(DATOS_[[AGRUP. CLAS. PROF.]:[AGRUP. CLAS. PROF.]]=$B27,IF(DATOS_[[Check Periodo Ref.]:[Check Periodo Ref.]]="Dentro",DATOS_[Conc.Sal.28]))))),
0)</f>
        <v>0</v>
      </c>
      <c r="AH28" s="170">
        <f t="array" ref="AH28">IFERROR(
MEDIAN((IF(DATOS_[[Sexo]:[Sexo]]=$B28,IF(DATOS_[[AGRUP. CLAS. PROF.]:[AGRUP. CLAS. PROF.]]=$B27,IF(DATOS_[[Check Periodo Ref.]:[Check Periodo Ref.]]="Dentro",DATOS_[Conc.Sal.29]))))),
0)</f>
        <v>0</v>
      </c>
      <c r="AI28" s="170">
        <f t="array" ref="AI28">IFERROR(
MEDIAN((IF(DATOS_[[Sexo]:[Sexo]]=$B28,IF(DATOS_[[AGRUP. CLAS. PROF.]:[AGRUP. CLAS. PROF.]]=$B27,IF(DATOS_[[Check Periodo Ref.]:[Check Periodo Ref.]]="Dentro",DATOS_[Conc.Sal.30]))))),
0)</f>
        <v>0</v>
      </c>
      <c r="AJ28" s="171">
        <f t="array" ref="AJ28">IFERROR(
MEDIAN(IF(DATOS_[Sexo]=$B28,IF(DATOS_[AGRUP. CLAS. PROF.]=$B27,IF(DATOS_[Check Periodo Ref.]="Dentro",DATOS_[Tot COMPL.SAL Ef],FALSE)))),
0)</f>
        <v>8377.0499999999993</v>
      </c>
      <c r="AK28" s="172">
        <f t="array" ref="AK28">IFERROR(
MEDIAN(IF(DATOS_[Sexo]=$B28,IF(DATOS_[AGRUP. CLAS. PROF.]=$B27,IF(DATOS_[Check Periodo Ref.]="Dentro",DATOS_[TOTAL SALARIO Ef],FALSE)))),
0)</f>
        <v>14814.17</v>
      </c>
      <c r="AL28" s="173">
        <f t="array" ref="AL28">IFERROR(
MEDIAN((IF(DATOS_[[Sexo]:[Sexo]]=$B28,IF(DATOS_[[AGRUP. CLAS. PROF.]:[AGRUP. CLAS. PROF.]]=$B27,IF(DATOS_[[Check Periodo Ref.]:[Check Periodo Ref.]]="Dentro",DATOS_[C.Extra.01]))))),
0)</f>
        <v>0</v>
      </c>
      <c r="AM28" s="173">
        <f t="array" ref="AM28">IFERROR(
MEDIAN((IF(DATOS_[[Sexo]:[Sexo]]=$B28,IF(DATOS_[[AGRUP. CLAS. PROF.]:[AGRUP. CLAS. PROF.]]=$B27,IF(DATOS_[[Check Periodo Ref.]:[Check Periodo Ref.]]="Dentro",DATOS_[C.Extra.06]))))),
0)</f>
        <v>0</v>
      </c>
      <c r="AN28" s="173">
        <f t="array" ref="AN28">IFERROR(
MEDIAN((IF(DATOS_[[Sexo]:[Sexo]]=$B28,IF(DATOS_[[AGRUP. CLAS. PROF.]:[AGRUP. CLAS. PROF.]]=$B27,IF(DATOS_[[Check Periodo Ref.]:[Check Periodo Ref.]]="Dentro",DATOS_[C.Extra.07]))))),
0)</f>
        <v>0</v>
      </c>
      <c r="AO28" s="173">
        <f t="array" ref="AO28">IFERROR(
MEDIAN((IF(DATOS_[[Sexo]:[Sexo]]=$B28,IF(DATOS_[[AGRUP. CLAS. PROF.]:[AGRUP. CLAS. PROF.]]=$B27,IF(DATOS_[[Check Periodo Ref.]:[Check Periodo Ref.]]="Dentro",DATOS_[C.Extra.08]))))),
0)</f>
        <v>0</v>
      </c>
      <c r="AP28" s="173">
        <f t="array" ref="AP28">IFERROR(
MEDIAN((IF(DATOS_[[Sexo]:[Sexo]]=$B28,IF(DATOS_[[AGRUP. CLAS. PROF.]:[AGRUP. CLAS. PROF.]]=$B27,IF(DATOS_[[Check Periodo Ref.]:[Check Periodo Ref.]]="Dentro",DATOS_[C.Extra.11]))))),
0)</f>
        <v>0</v>
      </c>
      <c r="AQ28" s="174">
        <f t="array" ref="AQ28">IFERROR(
MEDIAN(IF(DATOS_[Sexo]=$B28,IF(DATOS_[AGRUP. CLAS. PROF.]=$B27,IF(DATOS_[Check Periodo Ref.]="Dentro",DATOS_[Tot Extrasalarial Ef],FALSE)))),
0)</f>
        <v>0</v>
      </c>
      <c r="AR28" s="171">
        <f t="array" ref="AR28">IFERROR(
MEDIAN(IF(DATOS_[Sexo]=$B28,IF(DATOS_[AGRUP. CLAS. PROF.]=$B27,IF(DATOS_[Check Periodo Ref.]="Dentro",DATOS_[TOTAL Retrib Ef],FALSE)))),
0)</f>
        <v>14814.17</v>
      </c>
    </row>
    <row r="29" spans="1:44" x14ac:dyDescent="0.25">
      <c r="A29" s="178" t="str">
        <f t="shared" ref="A29" si="22">+A28</f>
        <v/>
      </c>
      <c r="B29" s="166" t="s">
        <v>521</v>
      </c>
      <c r="C29" s="167">
        <f t="array" ref="C29">SUM(IF($B29=DATOS_[Sexo],
IF($B27=DATOS_[AGRUP. CLAS. PROF.],
IF("Dentro"=DATOS_[Check Periodo Ref.],
1/(COUNTIFS(DATOS_[Sexo],$B29,DATOS_[AGRUP. CLAS. PROF.],$B27,DATOS_[Check Periodo Ref.],"Dentro",DATOS_[id/cod],DATOS_[id/cod]))))))</f>
        <v>10</v>
      </c>
      <c r="D29" s="168">
        <f>COUNTIFS(DATOS_[AGRUP. CLAS. PROF.],$B27,DATOS_[Sexo],$B29,DATOS_[Check Periodo Ref.],"Dentro")</f>
        <v>11</v>
      </c>
      <c r="E29" s="169">
        <f t="array" ref="E29">IFERROR(
MEDIAN(IF(DATOS_[Sexo]=$B29,IF(DATOS_[AGRUP. CLAS. PROF.]=$B27,IF(DATOS_[Check Periodo Ref.]="Dentro",DATOS_[SALARIO BASE Ef],FALSE)))),
0)</f>
        <v>3474.02</v>
      </c>
      <c r="F29" s="170">
        <f t="array" ref="F29">IFERROR(
MEDIAN((IF(DATOS_[[Sexo]:[Sexo]]=$B29,IF(DATOS_[[AGRUP. CLAS. PROF.]:[AGRUP. CLAS. PROF.]]=$B27,IF(DATOS_[[Check Periodo Ref.]:[Check Periodo Ref.]]="Dentro",DATOS_[Conc.Sal.01]))))),
0)</f>
        <v>16.16</v>
      </c>
      <c r="G29" s="170">
        <f t="array" ref="G29">IFERROR(
MEDIAN((IF(DATOS_[[Sexo]:[Sexo]]=$B29,IF(DATOS_[[AGRUP. CLAS. PROF.]:[AGRUP. CLAS. PROF.]]=$B27,IF(DATOS_[[Check Periodo Ref.]:[Check Periodo Ref.]]="Dentro",DATOS_[Conc.Sal.02]))))),
0)</f>
        <v>381.01</v>
      </c>
      <c r="H29" s="170">
        <f t="array" ref="H29">IFERROR(
MEDIAN((IF(DATOS_[[Sexo]:[Sexo]]=$B29,IF(DATOS_[[AGRUP. CLAS. PROF.]:[AGRUP. CLAS. PROF.]]=$B27,IF(DATOS_[[Check Periodo Ref.]:[Check Periodo Ref.]]="Dentro",DATOS_[Conc.Sal.03]))))),
0)</f>
        <v>0</v>
      </c>
      <c r="I29" s="170">
        <f t="array" ref="I29">IFERROR(
MEDIAN((IF(DATOS_[[Sexo]:[Sexo]]=$B29,IF(DATOS_[[AGRUP. CLAS. PROF.]:[AGRUP. CLAS. PROF.]]=$B27,IF(DATOS_[[Check Periodo Ref.]:[Check Periodo Ref.]]="Dentro",DATOS_[Conc.Sal.04]))))),
0)</f>
        <v>402.23</v>
      </c>
      <c r="J29" s="170">
        <f t="array" ref="J29">IFERROR(
MEDIAN((IF(DATOS_[[Sexo]:[Sexo]]=$B29,IF(DATOS_[[AGRUP. CLAS. PROF.]:[AGRUP. CLAS. PROF.]]=$B27,IF(DATOS_[[Check Periodo Ref.]:[Check Periodo Ref.]]="Dentro",DATOS_[Conc.Sal.05]))))),
0)</f>
        <v>0</v>
      </c>
      <c r="K29" s="170">
        <f t="array" ref="K29">IFERROR(
MEDIAN((IF(DATOS_[[Sexo]:[Sexo]]=$B29,IF(DATOS_[[AGRUP. CLAS. PROF.]:[AGRUP. CLAS. PROF.]]=$B27,IF(DATOS_[[Check Periodo Ref.]:[Check Periodo Ref.]]="Dentro",DATOS_[Conc.Sal.06]))))),
0)</f>
        <v>353.64</v>
      </c>
      <c r="L29" s="170">
        <f t="array" ref="L29">IFERROR(
MEDIAN((IF(DATOS_[[Sexo]:[Sexo]]=$B29,IF(DATOS_[[AGRUP. CLAS. PROF.]:[AGRUP. CLAS. PROF.]]=$B27,IF(DATOS_[[Check Periodo Ref.]:[Check Periodo Ref.]]="Dentro",DATOS_[Conc.Sal.07]))))),
0)</f>
        <v>0</v>
      </c>
      <c r="M29" s="170">
        <f t="array" ref="M29">IFERROR(
MEDIAN((IF(DATOS_[[Sexo]:[Sexo]]=$B29,IF(DATOS_[[AGRUP. CLAS. PROF.]:[AGRUP. CLAS. PROF.]]=$B27,IF(DATOS_[[Check Periodo Ref.]:[Check Periodo Ref.]]="Dentro",DATOS_[Conc.Sal.08]))))),
0)</f>
        <v>0</v>
      </c>
      <c r="N29" s="170">
        <f t="array" ref="N29">IFERROR(
MEDIAN((IF(DATOS_[[Sexo]:[Sexo]]=$B29,IF(DATOS_[[AGRUP. CLAS. PROF.]:[AGRUP. CLAS. PROF.]]=$B27,IF(DATOS_[[Check Periodo Ref.]:[Check Periodo Ref.]]="Dentro",DATOS_[Conc.Sal.09]))))),
0)</f>
        <v>0</v>
      </c>
      <c r="O29" s="170">
        <f t="array" ref="O29">IFERROR(
MEDIAN((IF(DATOS_[[Sexo]:[Sexo]]=$B29,IF(DATOS_[[AGRUP. CLAS. PROF.]:[AGRUP. CLAS. PROF.]]=$B27,IF(DATOS_[[Check Periodo Ref.]:[Check Periodo Ref.]]="Dentro",DATOS_[Conc.Sal.10]))))),
0)</f>
        <v>0</v>
      </c>
      <c r="P29" s="170">
        <f t="array" ref="P29">IFERROR(
MEDIAN((IF(DATOS_[[Sexo]:[Sexo]]=$B29,IF(DATOS_[[AGRUP. CLAS. PROF.]:[AGRUP. CLAS. PROF.]]=$B27,IF(DATOS_[[Check Periodo Ref.]:[Check Periodo Ref.]]="Dentro",DATOS_[Conc.Sal.11]))))),
0)</f>
        <v>0</v>
      </c>
      <c r="Q29" s="170">
        <f t="array" ref="Q29">IFERROR(
MEDIAN((IF(DATOS_[[Sexo]:[Sexo]]=$B29,IF(DATOS_[[AGRUP. CLAS. PROF.]:[AGRUP. CLAS. PROF.]]=$B27,IF(DATOS_[[Check Periodo Ref.]:[Check Periodo Ref.]]="Dentro",DATOS_[Conc.Sal.12]))))),
0)</f>
        <v>35.31</v>
      </c>
      <c r="R29" s="170">
        <f t="array" ref="R29">IFERROR(
MEDIAN((IF(DATOS_[[Sexo]:[Sexo]]=$B29,IF(DATOS_[[AGRUP. CLAS. PROF.]:[AGRUP. CLAS. PROF.]]=$B27,IF(DATOS_[[Check Periodo Ref.]:[Check Periodo Ref.]]="Dentro",DATOS_[Conc.Sal.13]))))),
0)</f>
        <v>0</v>
      </c>
      <c r="S29" s="170">
        <f t="array" ref="S29">IFERROR(
MEDIAN((IF(DATOS_[[Sexo]:[Sexo]]=$B29,IF(DATOS_[[AGRUP. CLAS. PROF.]:[AGRUP. CLAS. PROF.]]=$B27,IF(DATOS_[[Check Periodo Ref.]:[Check Periodo Ref.]]="Dentro",DATOS_[Conc.Sal.14]))))),
0)</f>
        <v>57.68</v>
      </c>
      <c r="T29" s="170">
        <f t="array" ref="T29">IFERROR(
MEDIAN((IF(DATOS_[[Sexo]:[Sexo]]=$B29,IF(DATOS_[[AGRUP. CLAS. PROF.]:[AGRUP. CLAS. PROF.]]=$B27,IF(DATOS_[[Check Periodo Ref.]:[Check Periodo Ref.]]="Dentro",DATOS_[Conc.Sal.15]))))),
0)</f>
        <v>0</v>
      </c>
      <c r="U29" s="170">
        <f t="array" ref="U29">IFERROR(
MEDIAN((IF(DATOS_[[Sexo]:[Sexo]]=$B29,IF(DATOS_[[AGRUP. CLAS. PROF.]:[AGRUP. CLAS. PROF.]]=$B27,IF(DATOS_[[Check Periodo Ref.]:[Check Periodo Ref.]]="Dentro",DATOS_[Conc.Sal.16]))))),
0)</f>
        <v>897.22</v>
      </c>
      <c r="V29" s="170">
        <f t="array" ref="V29">IFERROR(
MEDIAN((IF(DATOS_[[Sexo]:[Sexo]]=$B29,IF(DATOS_[[AGRUP. CLAS. PROF.]:[AGRUP. CLAS. PROF.]]=$B27,IF(DATOS_[[Check Periodo Ref.]:[Check Periodo Ref.]]="Dentro",DATOS_[Conc.Sal.17]))))),
0)</f>
        <v>0</v>
      </c>
      <c r="W29" s="170">
        <f t="array" ref="W29">IFERROR(
MEDIAN((IF(DATOS_[[Sexo]:[Sexo]]=$B29,IF(DATOS_[[AGRUP. CLAS. PROF.]:[AGRUP. CLAS. PROF.]]=$B27,IF(DATOS_[[Check Periodo Ref.]:[Check Periodo Ref.]]="Dentro",DATOS_[Conc.Sal.18]))))),
0)</f>
        <v>0</v>
      </c>
      <c r="X29" s="170">
        <f t="array" ref="X29">IFERROR(
MEDIAN((IF(DATOS_[[Sexo]:[Sexo]]=$B29,IF(DATOS_[[AGRUP. CLAS. PROF.]:[AGRUP. CLAS. PROF.]]=$B27,IF(DATOS_[[Check Periodo Ref.]:[Check Periodo Ref.]]="Dentro",DATOS_[Conc.Sal.19]))))),
0)</f>
        <v>0</v>
      </c>
      <c r="Y29" s="170">
        <f t="array" ref="Y29">IFERROR(
MEDIAN((IF(DATOS_[[Sexo]:[Sexo]]=$B29,IF(DATOS_[[AGRUP. CLAS. PROF.]:[AGRUP. CLAS. PROF.]]=$B27,IF(DATOS_[[Check Periodo Ref.]:[Check Periodo Ref.]]="Dentro",DATOS_[Conc.Sal.20]))))),
0)</f>
        <v>0</v>
      </c>
      <c r="Z29" s="170">
        <f t="array" ref="Z29">IFERROR(
MEDIAN((IF(DATOS_[[Sexo]:[Sexo]]=$B29,IF(DATOS_[[AGRUP. CLAS. PROF.]:[AGRUP. CLAS. PROF.]]=$B27,IF(DATOS_[[Check Periodo Ref.]:[Check Periodo Ref.]]="Dentro",DATOS_[Conc.Sal.21]))))),
0)</f>
        <v>65</v>
      </c>
      <c r="AA29" s="170">
        <f t="array" ref="AA29">IFERROR(
MEDIAN((IF(DATOS_[[Sexo]:[Sexo]]=$B29,IF(DATOS_[[AGRUP. CLAS. PROF.]:[AGRUP. CLAS. PROF.]]=$B27,IF(DATOS_[[Check Periodo Ref.]:[Check Periodo Ref.]]="Dentro",DATOS_[Conc.Sal.22]))))),
0)</f>
        <v>0</v>
      </c>
      <c r="AB29" s="170">
        <f t="array" ref="AB29">IFERROR(
MEDIAN((IF(DATOS_[[Sexo]:[Sexo]]=$B29,IF(DATOS_[[AGRUP. CLAS. PROF.]:[AGRUP. CLAS. PROF.]]=$B27,IF(DATOS_[[Check Periodo Ref.]:[Check Periodo Ref.]]="Dentro",DATOS_[Conc.Sal.23]))))),
0)</f>
        <v>0</v>
      </c>
      <c r="AC29" s="170">
        <f t="array" ref="AC29">IFERROR(
MEDIAN((IF(DATOS_[[Sexo]:[Sexo]]=$B29,IF(DATOS_[[AGRUP. CLAS. PROF.]:[AGRUP. CLAS. PROF.]]=$B27,IF(DATOS_[[Check Periodo Ref.]:[Check Periodo Ref.]]="Dentro",DATOS_[Conc.Sal.24]))))),
0)</f>
        <v>0</v>
      </c>
      <c r="AD29" s="170">
        <f t="array" ref="AD29">IFERROR(
MEDIAN((IF(DATOS_[[Sexo]:[Sexo]]=$B29,IF(DATOS_[[AGRUP. CLAS. PROF.]:[AGRUP. CLAS. PROF.]]=$B27,IF(DATOS_[[Check Periodo Ref.]:[Check Periodo Ref.]]="Dentro",DATOS_[Conc.Sal.25]))))),
0)</f>
        <v>0</v>
      </c>
      <c r="AE29" s="170">
        <f t="array" ref="AE29">IFERROR(
MEDIAN((IF(DATOS_[[Sexo]:[Sexo]]=$B29,IF(DATOS_[[AGRUP. CLAS. PROF.]:[AGRUP. CLAS. PROF.]]=$B27,IF(DATOS_[[Check Periodo Ref.]:[Check Periodo Ref.]]="Dentro",DATOS_[Conc.Sal.26]))))),
0)</f>
        <v>0</v>
      </c>
      <c r="AF29" s="170">
        <f t="array" ref="AF29">IFERROR(
MEDIAN((IF(DATOS_[[Sexo]:[Sexo]]=$B29,IF(DATOS_[[AGRUP. CLAS. PROF.]:[AGRUP. CLAS. PROF.]]=$B27,IF(DATOS_[[Check Periodo Ref.]:[Check Periodo Ref.]]="Dentro",DATOS_[Conc.Sal.27]))))),
0)</f>
        <v>0</v>
      </c>
      <c r="AG29" s="170">
        <f t="array" ref="AG29">IFERROR(
MEDIAN((IF(DATOS_[[Sexo]:[Sexo]]=$B29,IF(DATOS_[[AGRUP. CLAS. PROF.]:[AGRUP. CLAS. PROF.]]=$B27,IF(DATOS_[[Check Periodo Ref.]:[Check Periodo Ref.]]="Dentro",DATOS_[Conc.Sal.28]))))),
0)</f>
        <v>0</v>
      </c>
      <c r="AH29" s="170">
        <f t="array" ref="AH29">IFERROR(
MEDIAN((IF(DATOS_[[Sexo]:[Sexo]]=$B29,IF(DATOS_[[AGRUP. CLAS. PROF.]:[AGRUP. CLAS. PROF.]]=$B27,IF(DATOS_[[Check Periodo Ref.]:[Check Periodo Ref.]]="Dentro",DATOS_[Conc.Sal.29]))))),
0)</f>
        <v>0</v>
      </c>
      <c r="AI29" s="170">
        <f t="array" ref="AI29">IFERROR(
MEDIAN((IF(DATOS_[[Sexo]:[Sexo]]=$B29,IF(DATOS_[[AGRUP. CLAS. PROF.]:[AGRUP. CLAS. PROF.]]=$B27,IF(DATOS_[[Check Periodo Ref.]:[Check Periodo Ref.]]="Dentro",DATOS_[Conc.Sal.30]))))),
0)</f>
        <v>0</v>
      </c>
      <c r="AJ29" s="171">
        <f t="array" ref="AJ29">IFERROR(
MEDIAN(IF(DATOS_[Sexo]=$B29,IF(DATOS_[AGRUP. CLAS. PROF.]=$B27,IF(DATOS_[Check Periodo Ref.]="Dentro",DATOS_[Tot COMPL.SAL Ef],FALSE)))),
0)</f>
        <v>2347.13</v>
      </c>
      <c r="AK29" s="172">
        <f t="array" ref="AK29">IFERROR(
MEDIAN(IF(DATOS_[Sexo]=$B29,IF(DATOS_[AGRUP. CLAS. PROF.]=$B27,IF(DATOS_[Check Periodo Ref.]="Dentro",DATOS_[TOTAL SALARIO Ef],FALSE)))),
0)</f>
        <v>5821.15</v>
      </c>
      <c r="AL29" s="173">
        <f t="array" ref="AL29">IFERROR(
MEDIAN((IF(DATOS_[[Sexo]:[Sexo]]=$B29,IF(DATOS_[[AGRUP. CLAS. PROF.]:[AGRUP. CLAS. PROF.]]=$B27,IF(DATOS_[[Check Periodo Ref.]:[Check Periodo Ref.]]="Dentro",DATOS_[C.Extra.01]))))),
0)</f>
        <v>0</v>
      </c>
      <c r="AM29" s="173">
        <f t="array" ref="AM29">IFERROR(
MEDIAN((IF(DATOS_[[Sexo]:[Sexo]]=$B29,IF(DATOS_[[AGRUP. CLAS. PROF.]:[AGRUP. CLAS. PROF.]]=$B27,IF(DATOS_[[Check Periodo Ref.]:[Check Periodo Ref.]]="Dentro",DATOS_[C.Extra.06]))))),
0)</f>
        <v>0</v>
      </c>
      <c r="AN29" s="173">
        <f t="array" ref="AN29">IFERROR(
MEDIAN((IF(DATOS_[[Sexo]:[Sexo]]=$B29,IF(DATOS_[[AGRUP. CLAS. PROF.]:[AGRUP. CLAS. PROF.]]=$B27,IF(DATOS_[[Check Periodo Ref.]:[Check Periodo Ref.]]="Dentro",DATOS_[C.Extra.07]))))),
0)</f>
        <v>0</v>
      </c>
      <c r="AO29" s="173">
        <f t="array" ref="AO29">IFERROR(
MEDIAN((IF(DATOS_[[Sexo]:[Sexo]]=$B29,IF(DATOS_[[AGRUP. CLAS. PROF.]:[AGRUP. CLAS. PROF.]]=$B27,IF(DATOS_[[Check Periodo Ref.]:[Check Periodo Ref.]]="Dentro",DATOS_[C.Extra.08]))))),
0)</f>
        <v>0</v>
      </c>
      <c r="AP29" s="173">
        <f t="array" ref="AP29">IFERROR(
MEDIAN((IF(DATOS_[[Sexo]:[Sexo]]=$B29,IF(DATOS_[[AGRUP. CLAS. PROF.]:[AGRUP. CLAS. PROF.]]=$B27,IF(DATOS_[[Check Periodo Ref.]:[Check Periodo Ref.]]="Dentro",DATOS_[C.Extra.11]))))),
0)</f>
        <v>0</v>
      </c>
      <c r="AQ29" s="174">
        <f t="array" ref="AQ29">IFERROR(
MEDIAN(IF(DATOS_[Sexo]=$B29,IF(DATOS_[AGRUP. CLAS. PROF.]=$B27,IF(DATOS_[Check Periodo Ref.]="Dentro",DATOS_[Tot Extrasalarial Ef],FALSE)))),
0)</f>
        <v>0</v>
      </c>
      <c r="AR29" s="171">
        <f t="array" ref="AR29">IFERROR(
MEDIAN(IF(DATOS_[Sexo]=$B29,IF(DATOS_[AGRUP. CLAS. PROF.]=$B27,IF(DATOS_[Check Periodo Ref.]="Dentro",DATOS_[TOTAL Retrib Ef],FALSE)))),
0)</f>
        <v>5821.15</v>
      </c>
    </row>
    <row r="30" spans="1:44" ht="14.4" thickBot="1" x14ac:dyDescent="0.3">
      <c r="A30" s="178" t="str">
        <f t="shared" ref="A30" si="23">+A31</f>
        <v>[ocultar]</v>
      </c>
      <c r="B30" s="153" t="s">
        <v>195</v>
      </c>
      <c r="C30" s="154"/>
      <c r="D30" s="155"/>
      <c r="E30" s="156" t="str">
        <f t="shared" ref="E30:AR30" si="24">IFERROR((E31-E32)/E31,"")</f>
        <v/>
      </c>
      <c r="F30" s="157" t="str">
        <f t="shared" si="24"/>
        <v/>
      </c>
      <c r="G30" s="158" t="str">
        <f t="shared" si="24"/>
        <v/>
      </c>
      <c r="H30" s="158" t="str">
        <f t="shared" si="24"/>
        <v/>
      </c>
      <c r="I30" s="158" t="str">
        <f t="shared" si="24"/>
        <v/>
      </c>
      <c r="J30" s="159" t="str">
        <f t="shared" si="24"/>
        <v/>
      </c>
      <c r="K30" s="160" t="str">
        <f t="shared" si="24"/>
        <v/>
      </c>
      <c r="L30" s="160" t="str">
        <f t="shared" si="24"/>
        <v/>
      </c>
      <c r="M30" s="160" t="str">
        <f t="shared" si="24"/>
        <v/>
      </c>
      <c r="N30" s="160" t="str">
        <f t="shared" si="24"/>
        <v/>
      </c>
      <c r="O30" s="160" t="str">
        <f t="shared" si="24"/>
        <v/>
      </c>
      <c r="P30" s="160" t="str">
        <f t="shared" si="24"/>
        <v/>
      </c>
      <c r="Q30" s="160" t="str">
        <f t="shared" si="24"/>
        <v/>
      </c>
      <c r="R30" s="160" t="str">
        <f t="shared" si="24"/>
        <v/>
      </c>
      <c r="S30" s="160" t="str">
        <f t="shared" si="24"/>
        <v/>
      </c>
      <c r="T30" s="160" t="str">
        <f t="shared" si="24"/>
        <v/>
      </c>
      <c r="U30" s="160" t="str">
        <f t="shared" si="24"/>
        <v/>
      </c>
      <c r="V30" s="159" t="str">
        <f t="shared" si="24"/>
        <v/>
      </c>
      <c r="W30" s="159" t="str">
        <f t="shared" si="24"/>
        <v/>
      </c>
      <c r="X30" s="159" t="str">
        <f t="shared" si="24"/>
        <v/>
      </c>
      <c r="Y30" s="159" t="str">
        <f t="shared" si="24"/>
        <v/>
      </c>
      <c r="Z30" s="159" t="str">
        <f t="shared" si="24"/>
        <v/>
      </c>
      <c r="AA30" s="159" t="str">
        <f t="shared" si="24"/>
        <v/>
      </c>
      <c r="AB30" s="159" t="str">
        <f t="shared" si="24"/>
        <v/>
      </c>
      <c r="AC30" s="159" t="str">
        <f t="shared" si="24"/>
        <v/>
      </c>
      <c r="AD30" s="159" t="str">
        <f t="shared" si="24"/>
        <v/>
      </c>
      <c r="AE30" s="159" t="str">
        <f t="shared" si="24"/>
        <v/>
      </c>
      <c r="AF30" s="159" t="str">
        <f t="shared" si="24"/>
        <v/>
      </c>
      <c r="AG30" s="159" t="str">
        <f t="shared" si="24"/>
        <v/>
      </c>
      <c r="AH30" s="159" t="str">
        <f t="shared" si="24"/>
        <v/>
      </c>
      <c r="AI30" s="159" t="str">
        <f t="shared" si="24"/>
        <v/>
      </c>
      <c r="AJ30" s="161" t="str">
        <f t="shared" si="24"/>
        <v/>
      </c>
      <c r="AK30" s="162" t="str">
        <f t="shared" si="24"/>
        <v/>
      </c>
      <c r="AL30" s="163" t="str">
        <f t="shared" si="24"/>
        <v/>
      </c>
      <c r="AM30" s="163" t="str">
        <f t="shared" si="24"/>
        <v/>
      </c>
      <c r="AN30" s="163" t="str">
        <f t="shared" si="24"/>
        <v/>
      </c>
      <c r="AO30" s="163" t="str">
        <f t="shared" si="24"/>
        <v/>
      </c>
      <c r="AP30" s="163" t="str">
        <f t="shared" si="24"/>
        <v/>
      </c>
      <c r="AQ30" s="164" t="str">
        <f t="shared" si="24"/>
        <v/>
      </c>
      <c r="AR30" s="161" t="str">
        <f t="shared" si="24"/>
        <v/>
      </c>
    </row>
    <row r="31" spans="1:44" x14ac:dyDescent="0.25">
      <c r="A31" s="178" t="str">
        <f t="shared" ref="A31" si="25">+IF(C31+C32=0,"[ocultar]","")</f>
        <v>[ocultar]</v>
      </c>
      <c r="B31" s="166" t="s">
        <v>394</v>
      </c>
      <c r="C31" s="167">
        <f t="array" ref="C31">SUM(IF($B31=DATOS_[Sexo],
IF($B30=DATOS_[AGRUP. CLAS. PROF.],
IF("Dentro"=DATOS_[Check Periodo Ref.],
1/(COUNTIFS(DATOS_[Sexo],$B31,DATOS_[AGRUP. CLAS. PROF.],$B30,DATOS_[Check Periodo Ref.],"Dentro",DATOS_[id/cod],DATOS_[id/cod]))))))</f>
        <v>0</v>
      </c>
      <c r="D31" s="168">
        <f>COUNTIFS(DATOS_[AGRUP. CLAS. PROF.],$B30,DATOS_[Sexo],$B31,DATOS_[Check Periodo Ref.],"Dentro")</f>
        <v>0</v>
      </c>
      <c r="E31" s="169">
        <f t="array" ref="E31">IFERROR(
MEDIAN(IF(DATOS_[Sexo]=$B31,IF(DATOS_[AGRUP. CLAS. PROF.]=$B30,IF(DATOS_[Check Periodo Ref.]="Dentro",DATOS_[SALARIO BASE Ef],FALSE)))),
0)</f>
        <v>0</v>
      </c>
      <c r="F31" s="170">
        <f t="array" ref="F31">IFERROR(
MEDIAN((IF(DATOS_[[Sexo]:[Sexo]]=$B31,IF(DATOS_[[AGRUP. CLAS. PROF.]:[AGRUP. CLAS. PROF.]]=$B30,IF(DATOS_[[Check Periodo Ref.]:[Check Periodo Ref.]]="Dentro",DATOS_[Conc.Sal.01]))))),
0)</f>
        <v>0</v>
      </c>
      <c r="G31" s="170">
        <f t="array" ref="G31">IFERROR(
MEDIAN((IF(DATOS_[[Sexo]:[Sexo]]=$B31,IF(DATOS_[[AGRUP. CLAS. PROF.]:[AGRUP. CLAS. PROF.]]=$B30,IF(DATOS_[[Check Periodo Ref.]:[Check Periodo Ref.]]="Dentro",DATOS_[Conc.Sal.02]))))),
0)</f>
        <v>0</v>
      </c>
      <c r="H31" s="170">
        <f t="array" ref="H31">IFERROR(
MEDIAN((IF(DATOS_[[Sexo]:[Sexo]]=$B31,IF(DATOS_[[AGRUP. CLAS. PROF.]:[AGRUP. CLAS. PROF.]]=$B30,IF(DATOS_[[Check Periodo Ref.]:[Check Periodo Ref.]]="Dentro",DATOS_[Conc.Sal.03]))))),
0)</f>
        <v>0</v>
      </c>
      <c r="I31" s="170">
        <f t="array" ref="I31">IFERROR(
MEDIAN((IF(DATOS_[[Sexo]:[Sexo]]=$B31,IF(DATOS_[[AGRUP. CLAS. PROF.]:[AGRUP. CLAS. PROF.]]=$B30,IF(DATOS_[[Check Periodo Ref.]:[Check Periodo Ref.]]="Dentro",DATOS_[Conc.Sal.04]))))),
0)</f>
        <v>0</v>
      </c>
      <c r="J31" s="170">
        <f t="array" ref="J31">IFERROR(
MEDIAN((IF(DATOS_[[Sexo]:[Sexo]]=$B31,IF(DATOS_[[AGRUP. CLAS. PROF.]:[AGRUP. CLAS. PROF.]]=$B30,IF(DATOS_[[Check Periodo Ref.]:[Check Periodo Ref.]]="Dentro",DATOS_[Conc.Sal.05]))))),
0)</f>
        <v>0</v>
      </c>
      <c r="K31" s="170">
        <f t="array" ref="K31">IFERROR(
MEDIAN((IF(DATOS_[[Sexo]:[Sexo]]=$B31,IF(DATOS_[[AGRUP. CLAS. PROF.]:[AGRUP. CLAS. PROF.]]=$B30,IF(DATOS_[[Check Periodo Ref.]:[Check Periodo Ref.]]="Dentro",DATOS_[Conc.Sal.06]))))),
0)</f>
        <v>0</v>
      </c>
      <c r="L31" s="170">
        <f t="array" ref="L31">IFERROR(
MEDIAN((IF(DATOS_[[Sexo]:[Sexo]]=$B31,IF(DATOS_[[AGRUP. CLAS. PROF.]:[AGRUP. CLAS. PROF.]]=$B30,IF(DATOS_[[Check Periodo Ref.]:[Check Periodo Ref.]]="Dentro",DATOS_[Conc.Sal.07]))))),
0)</f>
        <v>0</v>
      </c>
      <c r="M31" s="170">
        <f t="array" ref="M31">IFERROR(
MEDIAN((IF(DATOS_[[Sexo]:[Sexo]]=$B31,IF(DATOS_[[AGRUP. CLAS. PROF.]:[AGRUP. CLAS. PROF.]]=$B30,IF(DATOS_[[Check Periodo Ref.]:[Check Periodo Ref.]]="Dentro",DATOS_[Conc.Sal.08]))))),
0)</f>
        <v>0</v>
      </c>
      <c r="N31" s="170">
        <f t="array" ref="N31">IFERROR(
MEDIAN((IF(DATOS_[[Sexo]:[Sexo]]=$B31,IF(DATOS_[[AGRUP. CLAS. PROF.]:[AGRUP. CLAS. PROF.]]=$B30,IF(DATOS_[[Check Periodo Ref.]:[Check Periodo Ref.]]="Dentro",DATOS_[Conc.Sal.09]))))),
0)</f>
        <v>0</v>
      </c>
      <c r="O31" s="170">
        <f t="array" ref="O31">IFERROR(
MEDIAN((IF(DATOS_[[Sexo]:[Sexo]]=$B31,IF(DATOS_[[AGRUP. CLAS. PROF.]:[AGRUP. CLAS. PROF.]]=$B30,IF(DATOS_[[Check Periodo Ref.]:[Check Periodo Ref.]]="Dentro",DATOS_[Conc.Sal.10]))))),
0)</f>
        <v>0</v>
      </c>
      <c r="P31" s="170">
        <f t="array" ref="P31">IFERROR(
MEDIAN((IF(DATOS_[[Sexo]:[Sexo]]=$B31,IF(DATOS_[[AGRUP. CLAS. PROF.]:[AGRUP. CLAS. PROF.]]=$B30,IF(DATOS_[[Check Periodo Ref.]:[Check Periodo Ref.]]="Dentro",DATOS_[Conc.Sal.11]))))),
0)</f>
        <v>0</v>
      </c>
      <c r="Q31" s="170">
        <f t="array" ref="Q31">IFERROR(
MEDIAN((IF(DATOS_[[Sexo]:[Sexo]]=$B31,IF(DATOS_[[AGRUP. CLAS. PROF.]:[AGRUP. CLAS. PROF.]]=$B30,IF(DATOS_[[Check Periodo Ref.]:[Check Periodo Ref.]]="Dentro",DATOS_[Conc.Sal.12]))))),
0)</f>
        <v>0</v>
      </c>
      <c r="R31" s="170">
        <f t="array" ref="R31">IFERROR(
MEDIAN((IF(DATOS_[[Sexo]:[Sexo]]=$B31,IF(DATOS_[[AGRUP. CLAS. PROF.]:[AGRUP. CLAS. PROF.]]=$B30,IF(DATOS_[[Check Periodo Ref.]:[Check Periodo Ref.]]="Dentro",DATOS_[Conc.Sal.13]))))),
0)</f>
        <v>0</v>
      </c>
      <c r="S31" s="170">
        <f t="array" ref="S31">IFERROR(
MEDIAN((IF(DATOS_[[Sexo]:[Sexo]]=$B31,IF(DATOS_[[AGRUP. CLAS. PROF.]:[AGRUP. CLAS. PROF.]]=$B30,IF(DATOS_[[Check Periodo Ref.]:[Check Periodo Ref.]]="Dentro",DATOS_[Conc.Sal.14]))))),
0)</f>
        <v>0</v>
      </c>
      <c r="T31" s="170">
        <f t="array" ref="T31">IFERROR(
MEDIAN((IF(DATOS_[[Sexo]:[Sexo]]=$B31,IF(DATOS_[[AGRUP. CLAS. PROF.]:[AGRUP. CLAS. PROF.]]=$B30,IF(DATOS_[[Check Periodo Ref.]:[Check Periodo Ref.]]="Dentro",DATOS_[Conc.Sal.15]))))),
0)</f>
        <v>0</v>
      </c>
      <c r="U31" s="170">
        <f t="array" ref="U31">IFERROR(
MEDIAN((IF(DATOS_[[Sexo]:[Sexo]]=$B31,IF(DATOS_[[AGRUP. CLAS. PROF.]:[AGRUP. CLAS. PROF.]]=$B30,IF(DATOS_[[Check Periodo Ref.]:[Check Periodo Ref.]]="Dentro",DATOS_[Conc.Sal.16]))))),
0)</f>
        <v>0</v>
      </c>
      <c r="V31" s="170">
        <f t="array" ref="V31">IFERROR(
MEDIAN((IF(DATOS_[[Sexo]:[Sexo]]=$B31,IF(DATOS_[[AGRUP. CLAS. PROF.]:[AGRUP. CLAS. PROF.]]=$B30,IF(DATOS_[[Check Periodo Ref.]:[Check Periodo Ref.]]="Dentro",DATOS_[Conc.Sal.17]))))),
0)</f>
        <v>0</v>
      </c>
      <c r="W31" s="170">
        <f t="array" ref="W31">IFERROR(
MEDIAN((IF(DATOS_[[Sexo]:[Sexo]]=$B31,IF(DATOS_[[AGRUP. CLAS. PROF.]:[AGRUP. CLAS. PROF.]]=$B30,IF(DATOS_[[Check Periodo Ref.]:[Check Periodo Ref.]]="Dentro",DATOS_[Conc.Sal.18]))))),
0)</f>
        <v>0</v>
      </c>
      <c r="X31" s="170">
        <f t="array" ref="X31">IFERROR(
MEDIAN((IF(DATOS_[[Sexo]:[Sexo]]=$B31,IF(DATOS_[[AGRUP. CLAS. PROF.]:[AGRUP. CLAS. PROF.]]=$B30,IF(DATOS_[[Check Periodo Ref.]:[Check Periodo Ref.]]="Dentro",DATOS_[Conc.Sal.19]))))),
0)</f>
        <v>0</v>
      </c>
      <c r="Y31" s="170">
        <f t="array" ref="Y31">IFERROR(
MEDIAN((IF(DATOS_[[Sexo]:[Sexo]]=$B31,IF(DATOS_[[AGRUP. CLAS. PROF.]:[AGRUP. CLAS. PROF.]]=$B30,IF(DATOS_[[Check Periodo Ref.]:[Check Periodo Ref.]]="Dentro",DATOS_[Conc.Sal.20]))))),
0)</f>
        <v>0</v>
      </c>
      <c r="Z31" s="170">
        <f t="array" ref="Z31">IFERROR(
MEDIAN((IF(DATOS_[[Sexo]:[Sexo]]=$B31,IF(DATOS_[[AGRUP. CLAS. PROF.]:[AGRUP. CLAS. PROF.]]=$B30,IF(DATOS_[[Check Periodo Ref.]:[Check Periodo Ref.]]="Dentro",DATOS_[Conc.Sal.21]))))),
0)</f>
        <v>0</v>
      </c>
      <c r="AA31" s="170">
        <f t="array" ref="AA31">IFERROR(
MEDIAN((IF(DATOS_[[Sexo]:[Sexo]]=$B31,IF(DATOS_[[AGRUP. CLAS. PROF.]:[AGRUP. CLAS. PROF.]]=$B30,IF(DATOS_[[Check Periodo Ref.]:[Check Periodo Ref.]]="Dentro",DATOS_[Conc.Sal.22]))))),
0)</f>
        <v>0</v>
      </c>
      <c r="AB31" s="170">
        <f t="array" ref="AB31">IFERROR(
MEDIAN((IF(DATOS_[[Sexo]:[Sexo]]=$B31,IF(DATOS_[[AGRUP. CLAS. PROF.]:[AGRUP. CLAS. PROF.]]=$B30,IF(DATOS_[[Check Periodo Ref.]:[Check Periodo Ref.]]="Dentro",DATOS_[Conc.Sal.23]))))),
0)</f>
        <v>0</v>
      </c>
      <c r="AC31" s="170">
        <f t="array" ref="AC31">IFERROR(
MEDIAN((IF(DATOS_[[Sexo]:[Sexo]]=$B31,IF(DATOS_[[AGRUP. CLAS. PROF.]:[AGRUP. CLAS. PROF.]]=$B30,IF(DATOS_[[Check Periodo Ref.]:[Check Periodo Ref.]]="Dentro",DATOS_[Conc.Sal.24]))))),
0)</f>
        <v>0</v>
      </c>
      <c r="AD31" s="170">
        <f t="array" ref="AD31">IFERROR(
MEDIAN((IF(DATOS_[[Sexo]:[Sexo]]=$B31,IF(DATOS_[[AGRUP. CLAS. PROF.]:[AGRUP. CLAS. PROF.]]=$B30,IF(DATOS_[[Check Periodo Ref.]:[Check Periodo Ref.]]="Dentro",DATOS_[Conc.Sal.25]))))),
0)</f>
        <v>0</v>
      </c>
      <c r="AE31" s="170">
        <f t="array" ref="AE31">IFERROR(
MEDIAN((IF(DATOS_[[Sexo]:[Sexo]]=$B31,IF(DATOS_[[AGRUP. CLAS. PROF.]:[AGRUP. CLAS. PROF.]]=$B30,IF(DATOS_[[Check Periodo Ref.]:[Check Periodo Ref.]]="Dentro",DATOS_[Conc.Sal.26]))))),
0)</f>
        <v>0</v>
      </c>
      <c r="AF31" s="170">
        <f t="array" ref="AF31">IFERROR(
MEDIAN((IF(DATOS_[[Sexo]:[Sexo]]=$B31,IF(DATOS_[[AGRUP. CLAS. PROF.]:[AGRUP. CLAS. PROF.]]=$B30,IF(DATOS_[[Check Periodo Ref.]:[Check Periodo Ref.]]="Dentro",DATOS_[Conc.Sal.27]))))),
0)</f>
        <v>0</v>
      </c>
      <c r="AG31" s="170">
        <f t="array" ref="AG31">IFERROR(
MEDIAN((IF(DATOS_[[Sexo]:[Sexo]]=$B31,IF(DATOS_[[AGRUP. CLAS. PROF.]:[AGRUP. CLAS. PROF.]]=$B30,IF(DATOS_[[Check Periodo Ref.]:[Check Periodo Ref.]]="Dentro",DATOS_[Conc.Sal.28]))))),
0)</f>
        <v>0</v>
      </c>
      <c r="AH31" s="170">
        <f t="array" ref="AH31">IFERROR(
MEDIAN((IF(DATOS_[[Sexo]:[Sexo]]=$B31,IF(DATOS_[[AGRUP. CLAS. PROF.]:[AGRUP. CLAS. PROF.]]=$B30,IF(DATOS_[[Check Periodo Ref.]:[Check Periodo Ref.]]="Dentro",DATOS_[Conc.Sal.29]))))),
0)</f>
        <v>0</v>
      </c>
      <c r="AI31" s="170">
        <f t="array" ref="AI31">IFERROR(
MEDIAN((IF(DATOS_[[Sexo]:[Sexo]]=$B31,IF(DATOS_[[AGRUP. CLAS. PROF.]:[AGRUP. CLAS. PROF.]]=$B30,IF(DATOS_[[Check Periodo Ref.]:[Check Periodo Ref.]]="Dentro",DATOS_[Conc.Sal.30]))))),
0)</f>
        <v>0</v>
      </c>
      <c r="AJ31" s="171">
        <f t="array" ref="AJ31">IFERROR(
MEDIAN(IF(DATOS_[Sexo]=$B31,IF(DATOS_[AGRUP. CLAS. PROF.]=$B30,IF(DATOS_[Check Periodo Ref.]="Dentro",DATOS_[Tot COMPL.SAL Ef],FALSE)))),
0)</f>
        <v>0</v>
      </c>
      <c r="AK31" s="172">
        <f t="array" ref="AK31">IFERROR(
MEDIAN(IF(DATOS_[Sexo]=$B31,IF(DATOS_[AGRUP. CLAS. PROF.]=$B30,IF(DATOS_[Check Periodo Ref.]="Dentro",DATOS_[TOTAL SALARIO Ef],FALSE)))),
0)</f>
        <v>0</v>
      </c>
      <c r="AL31" s="173">
        <f t="array" ref="AL31">IFERROR(
MEDIAN((IF(DATOS_[[Sexo]:[Sexo]]=$B31,IF(DATOS_[[AGRUP. CLAS. PROF.]:[AGRUP. CLAS. PROF.]]=$B30,IF(DATOS_[[Check Periodo Ref.]:[Check Periodo Ref.]]="Dentro",DATOS_[C.Extra.01]))))),
0)</f>
        <v>0</v>
      </c>
      <c r="AM31" s="173">
        <f t="array" ref="AM31">IFERROR(
MEDIAN((IF(DATOS_[[Sexo]:[Sexo]]=$B31,IF(DATOS_[[AGRUP. CLAS. PROF.]:[AGRUP. CLAS. PROF.]]=$B30,IF(DATOS_[[Check Periodo Ref.]:[Check Periodo Ref.]]="Dentro",DATOS_[C.Extra.06]))))),
0)</f>
        <v>0</v>
      </c>
      <c r="AN31" s="173">
        <f t="array" ref="AN31">IFERROR(
MEDIAN((IF(DATOS_[[Sexo]:[Sexo]]=$B31,IF(DATOS_[[AGRUP. CLAS. PROF.]:[AGRUP. CLAS. PROF.]]=$B30,IF(DATOS_[[Check Periodo Ref.]:[Check Periodo Ref.]]="Dentro",DATOS_[C.Extra.07]))))),
0)</f>
        <v>0</v>
      </c>
      <c r="AO31" s="173">
        <f t="array" ref="AO31">IFERROR(
MEDIAN((IF(DATOS_[[Sexo]:[Sexo]]=$B31,IF(DATOS_[[AGRUP. CLAS. PROF.]:[AGRUP. CLAS. PROF.]]=$B30,IF(DATOS_[[Check Periodo Ref.]:[Check Periodo Ref.]]="Dentro",DATOS_[C.Extra.08]))))),
0)</f>
        <v>0</v>
      </c>
      <c r="AP31" s="173">
        <f t="array" ref="AP31">IFERROR(
MEDIAN((IF(DATOS_[[Sexo]:[Sexo]]=$B31,IF(DATOS_[[AGRUP. CLAS. PROF.]:[AGRUP. CLAS. PROF.]]=$B30,IF(DATOS_[[Check Periodo Ref.]:[Check Periodo Ref.]]="Dentro",DATOS_[C.Extra.11]))))),
0)</f>
        <v>0</v>
      </c>
      <c r="AQ31" s="174">
        <f t="array" ref="AQ31">IFERROR(
MEDIAN(IF(DATOS_[Sexo]=$B31,IF(DATOS_[AGRUP. CLAS. PROF.]=$B30,IF(DATOS_[Check Periodo Ref.]="Dentro",DATOS_[Tot Extrasalarial Ef],FALSE)))),
0)</f>
        <v>0</v>
      </c>
      <c r="AR31" s="171">
        <f t="array" ref="AR31">IFERROR(
MEDIAN(IF(DATOS_[Sexo]=$B31,IF(DATOS_[AGRUP. CLAS. PROF.]=$B30,IF(DATOS_[Check Periodo Ref.]="Dentro",DATOS_[TOTAL Retrib Ef],FALSE)))),
0)</f>
        <v>0</v>
      </c>
    </row>
    <row r="32" spans="1:44" x14ac:dyDescent="0.25">
      <c r="A32" s="178" t="str">
        <f t="shared" ref="A32" si="26">+A31</f>
        <v>[ocultar]</v>
      </c>
      <c r="B32" s="166" t="s">
        <v>521</v>
      </c>
      <c r="C32" s="167">
        <f t="array" ref="C32">SUM(IF($B32=DATOS_[Sexo],
IF($B30=DATOS_[AGRUP. CLAS. PROF.],
IF("Dentro"=DATOS_[Check Periodo Ref.],
1/(COUNTIFS(DATOS_[Sexo],$B32,DATOS_[AGRUP. CLAS. PROF.],$B30,DATOS_[Check Periodo Ref.],"Dentro",DATOS_[id/cod],DATOS_[id/cod]))))))</f>
        <v>0</v>
      </c>
      <c r="D32" s="168">
        <f>COUNTIFS(DATOS_[AGRUP. CLAS. PROF.],$B30,DATOS_[Sexo],$B32,DATOS_[Check Periodo Ref.],"Dentro")</f>
        <v>0</v>
      </c>
      <c r="E32" s="169">
        <f t="array" ref="E32">IFERROR(
MEDIAN(IF(DATOS_[Sexo]=$B32,IF(DATOS_[AGRUP. CLAS. PROF.]=$B30,IF(DATOS_[Check Periodo Ref.]="Dentro",DATOS_[SALARIO BASE Ef],FALSE)))),
0)</f>
        <v>0</v>
      </c>
      <c r="F32" s="170">
        <f t="array" ref="F32">IFERROR(
MEDIAN((IF(DATOS_[[Sexo]:[Sexo]]=$B32,IF(DATOS_[[AGRUP. CLAS. PROF.]:[AGRUP. CLAS. PROF.]]=$B30,IF(DATOS_[[Check Periodo Ref.]:[Check Periodo Ref.]]="Dentro",DATOS_[Conc.Sal.01]))))),
0)</f>
        <v>0</v>
      </c>
      <c r="G32" s="170">
        <f t="array" ref="G32">IFERROR(
MEDIAN((IF(DATOS_[[Sexo]:[Sexo]]=$B32,IF(DATOS_[[AGRUP. CLAS. PROF.]:[AGRUP. CLAS. PROF.]]=$B30,IF(DATOS_[[Check Periodo Ref.]:[Check Periodo Ref.]]="Dentro",DATOS_[Conc.Sal.02]))))),
0)</f>
        <v>0</v>
      </c>
      <c r="H32" s="170">
        <f t="array" ref="H32">IFERROR(
MEDIAN((IF(DATOS_[[Sexo]:[Sexo]]=$B32,IF(DATOS_[[AGRUP. CLAS. PROF.]:[AGRUP. CLAS. PROF.]]=$B30,IF(DATOS_[[Check Periodo Ref.]:[Check Periodo Ref.]]="Dentro",DATOS_[Conc.Sal.03]))))),
0)</f>
        <v>0</v>
      </c>
      <c r="I32" s="170">
        <f t="array" ref="I32">IFERROR(
MEDIAN((IF(DATOS_[[Sexo]:[Sexo]]=$B32,IF(DATOS_[[AGRUP. CLAS. PROF.]:[AGRUP. CLAS. PROF.]]=$B30,IF(DATOS_[[Check Periodo Ref.]:[Check Periodo Ref.]]="Dentro",DATOS_[Conc.Sal.04]))))),
0)</f>
        <v>0</v>
      </c>
      <c r="J32" s="170">
        <f t="array" ref="J32">IFERROR(
MEDIAN((IF(DATOS_[[Sexo]:[Sexo]]=$B32,IF(DATOS_[[AGRUP. CLAS. PROF.]:[AGRUP. CLAS. PROF.]]=$B30,IF(DATOS_[[Check Periodo Ref.]:[Check Periodo Ref.]]="Dentro",DATOS_[Conc.Sal.05]))))),
0)</f>
        <v>0</v>
      </c>
      <c r="K32" s="170">
        <f t="array" ref="K32">IFERROR(
MEDIAN((IF(DATOS_[[Sexo]:[Sexo]]=$B32,IF(DATOS_[[AGRUP. CLAS. PROF.]:[AGRUP. CLAS. PROF.]]=$B30,IF(DATOS_[[Check Periodo Ref.]:[Check Periodo Ref.]]="Dentro",DATOS_[Conc.Sal.06]))))),
0)</f>
        <v>0</v>
      </c>
      <c r="L32" s="170">
        <f t="array" ref="L32">IFERROR(
MEDIAN((IF(DATOS_[[Sexo]:[Sexo]]=$B32,IF(DATOS_[[AGRUP. CLAS. PROF.]:[AGRUP. CLAS. PROF.]]=$B30,IF(DATOS_[[Check Periodo Ref.]:[Check Periodo Ref.]]="Dentro",DATOS_[Conc.Sal.07]))))),
0)</f>
        <v>0</v>
      </c>
      <c r="M32" s="170">
        <f t="array" ref="M32">IFERROR(
MEDIAN((IF(DATOS_[[Sexo]:[Sexo]]=$B32,IF(DATOS_[[AGRUP. CLAS. PROF.]:[AGRUP. CLAS. PROF.]]=$B30,IF(DATOS_[[Check Periodo Ref.]:[Check Periodo Ref.]]="Dentro",DATOS_[Conc.Sal.08]))))),
0)</f>
        <v>0</v>
      </c>
      <c r="N32" s="170">
        <f t="array" ref="N32">IFERROR(
MEDIAN((IF(DATOS_[[Sexo]:[Sexo]]=$B32,IF(DATOS_[[AGRUP. CLAS. PROF.]:[AGRUP. CLAS. PROF.]]=$B30,IF(DATOS_[[Check Periodo Ref.]:[Check Periodo Ref.]]="Dentro",DATOS_[Conc.Sal.09]))))),
0)</f>
        <v>0</v>
      </c>
      <c r="O32" s="170">
        <f t="array" ref="O32">IFERROR(
MEDIAN((IF(DATOS_[[Sexo]:[Sexo]]=$B32,IF(DATOS_[[AGRUP. CLAS. PROF.]:[AGRUP. CLAS. PROF.]]=$B30,IF(DATOS_[[Check Periodo Ref.]:[Check Periodo Ref.]]="Dentro",DATOS_[Conc.Sal.10]))))),
0)</f>
        <v>0</v>
      </c>
      <c r="P32" s="170">
        <f t="array" ref="P32">IFERROR(
MEDIAN((IF(DATOS_[[Sexo]:[Sexo]]=$B32,IF(DATOS_[[AGRUP. CLAS. PROF.]:[AGRUP. CLAS. PROF.]]=$B30,IF(DATOS_[[Check Periodo Ref.]:[Check Periodo Ref.]]="Dentro",DATOS_[Conc.Sal.11]))))),
0)</f>
        <v>0</v>
      </c>
      <c r="Q32" s="170">
        <f t="array" ref="Q32">IFERROR(
MEDIAN((IF(DATOS_[[Sexo]:[Sexo]]=$B32,IF(DATOS_[[AGRUP. CLAS. PROF.]:[AGRUP. CLAS. PROF.]]=$B30,IF(DATOS_[[Check Periodo Ref.]:[Check Periodo Ref.]]="Dentro",DATOS_[Conc.Sal.12]))))),
0)</f>
        <v>0</v>
      </c>
      <c r="R32" s="170">
        <f t="array" ref="R32">IFERROR(
MEDIAN((IF(DATOS_[[Sexo]:[Sexo]]=$B32,IF(DATOS_[[AGRUP. CLAS. PROF.]:[AGRUP. CLAS. PROF.]]=$B30,IF(DATOS_[[Check Periodo Ref.]:[Check Periodo Ref.]]="Dentro",DATOS_[Conc.Sal.13]))))),
0)</f>
        <v>0</v>
      </c>
      <c r="S32" s="170">
        <f t="array" ref="S32">IFERROR(
MEDIAN((IF(DATOS_[[Sexo]:[Sexo]]=$B32,IF(DATOS_[[AGRUP. CLAS. PROF.]:[AGRUP. CLAS. PROF.]]=$B30,IF(DATOS_[[Check Periodo Ref.]:[Check Periodo Ref.]]="Dentro",DATOS_[Conc.Sal.14]))))),
0)</f>
        <v>0</v>
      </c>
      <c r="T32" s="170">
        <f t="array" ref="T32">IFERROR(
MEDIAN((IF(DATOS_[[Sexo]:[Sexo]]=$B32,IF(DATOS_[[AGRUP. CLAS. PROF.]:[AGRUP. CLAS. PROF.]]=$B30,IF(DATOS_[[Check Periodo Ref.]:[Check Periodo Ref.]]="Dentro",DATOS_[Conc.Sal.15]))))),
0)</f>
        <v>0</v>
      </c>
      <c r="U32" s="170">
        <f t="array" ref="U32">IFERROR(
MEDIAN((IF(DATOS_[[Sexo]:[Sexo]]=$B32,IF(DATOS_[[AGRUP. CLAS. PROF.]:[AGRUP. CLAS. PROF.]]=$B30,IF(DATOS_[[Check Periodo Ref.]:[Check Periodo Ref.]]="Dentro",DATOS_[Conc.Sal.16]))))),
0)</f>
        <v>0</v>
      </c>
      <c r="V32" s="170">
        <f t="array" ref="V32">IFERROR(
MEDIAN((IF(DATOS_[[Sexo]:[Sexo]]=$B32,IF(DATOS_[[AGRUP. CLAS. PROF.]:[AGRUP. CLAS. PROF.]]=$B30,IF(DATOS_[[Check Periodo Ref.]:[Check Periodo Ref.]]="Dentro",DATOS_[Conc.Sal.17]))))),
0)</f>
        <v>0</v>
      </c>
      <c r="W32" s="170">
        <f t="array" ref="W32">IFERROR(
MEDIAN((IF(DATOS_[[Sexo]:[Sexo]]=$B32,IF(DATOS_[[AGRUP. CLAS. PROF.]:[AGRUP. CLAS. PROF.]]=$B30,IF(DATOS_[[Check Periodo Ref.]:[Check Periodo Ref.]]="Dentro",DATOS_[Conc.Sal.18]))))),
0)</f>
        <v>0</v>
      </c>
      <c r="X32" s="170">
        <f t="array" ref="X32">IFERROR(
MEDIAN((IF(DATOS_[[Sexo]:[Sexo]]=$B32,IF(DATOS_[[AGRUP. CLAS. PROF.]:[AGRUP. CLAS. PROF.]]=$B30,IF(DATOS_[[Check Periodo Ref.]:[Check Periodo Ref.]]="Dentro",DATOS_[Conc.Sal.19]))))),
0)</f>
        <v>0</v>
      </c>
      <c r="Y32" s="170">
        <f t="array" ref="Y32">IFERROR(
MEDIAN((IF(DATOS_[[Sexo]:[Sexo]]=$B32,IF(DATOS_[[AGRUP. CLAS. PROF.]:[AGRUP. CLAS. PROF.]]=$B30,IF(DATOS_[[Check Periodo Ref.]:[Check Periodo Ref.]]="Dentro",DATOS_[Conc.Sal.20]))))),
0)</f>
        <v>0</v>
      </c>
      <c r="Z32" s="170">
        <f t="array" ref="Z32">IFERROR(
MEDIAN((IF(DATOS_[[Sexo]:[Sexo]]=$B32,IF(DATOS_[[AGRUP. CLAS. PROF.]:[AGRUP. CLAS. PROF.]]=$B30,IF(DATOS_[[Check Periodo Ref.]:[Check Periodo Ref.]]="Dentro",DATOS_[Conc.Sal.21]))))),
0)</f>
        <v>0</v>
      </c>
      <c r="AA32" s="170">
        <f t="array" ref="AA32">IFERROR(
MEDIAN((IF(DATOS_[[Sexo]:[Sexo]]=$B32,IF(DATOS_[[AGRUP. CLAS. PROF.]:[AGRUP. CLAS. PROF.]]=$B30,IF(DATOS_[[Check Periodo Ref.]:[Check Periodo Ref.]]="Dentro",DATOS_[Conc.Sal.22]))))),
0)</f>
        <v>0</v>
      </c>
      <c r="AB32" s="170">
        <f t="array" ref="AB32">IFERROR(
MEDIAN((IF(DATOS_[[Sexo]:[Sexo]]=$B32,IF(DATOS_[[AGRUP. CLAS. PROF.]:[AGRUP. CLAS. PROF.]]=$B30,IF(DATOS_[[Check Periodo Ref.]:[Check Periodo Ref.]]="Dentro",DATOS_[Conc.Sal.23]))))),
0)</f>
        <v>0</v>
      </c>
      <c r="AC32" s="170">
        <f t="array" ref="AC32">IFERROR(
MEDIAN((IF(DATOS_[[Sexo]:[Sexo]]=$B32,IF(DATOS_[[AGRUP. CLAS. PROF.]:[AGRUP. CLAS. PROF.]]=$B30,IF(DATOS_[[Check Periodo Ref.]:[Check Periodo Ref.]]="Dentro",DATOS_[Conc.Sal.24]))))),
0)</f>
        <v>0</v>
      </c>
      <c r="AD32" s="170">
        <f t="array" ref="AD32">IFERROR(
MEDIAN((IF(DATOS_[[Sexo]:[Sexo]]=$B32,IF(DATOS_[[AGRUP. CLAS. PROF.]:[AGRUP. CLAS. PROF.]]=$B30,IF(DATOS_[[Check Periodo Ref.]:[Check Periodo Ref.]]="Dentro",DATOS_[Conc.Sal.25]))))),
0)</f>
        <v>0</v>
      </c>
      <c r="AE32" s="170">
        <f t="array" ref="AE32">IFERROR(
MEDIAN((IF(DATOS_[[Sexo]:[Sexo]]=$B32,IF(DATOS_[[AGRUP. CLAS. PROF.]:[AGRUP. CLAS. PROF.]]=$B30,IF(DATOS_[[Check Periodo Ref.]:[Check Periodo Ref.]]="Dentro",DATOS_[Conc.Sal.26]))))),
0)</f>
        <v>0</v>
      </c>
      <c r="AF32" s="170">
        <f t="array" ref="AF32">IFERROR(
MEDIAN((IF(DATOS_[[Sexo]:[Sexo]]=$B32,IF(DATOS_[[AGRUP. CLAS. PROF.]:[AGRUP. CLAS. PROF.]]=$B30,IF(DATOS_[[Check Periodo Ref.]:[Check Periodo Ref.]]="Dentro",DATOS_[Conc.Sal.27]))))),
0)</f>
        <v>0</v>
      </c>
      <c r="AG32" s="170">
        <f t="array" ref="AG32">IFERROR(
MEDIAN((IF(DATOS_[[Sexo]:[Sexo]]=$B32,IF(DATOS_[[AGRUP. CLAS. PROF.]:[AGRUP. CLAS. PROF.]]=$B30,IF(DATOS_[[Check Periodo Ref.]:[Check Periodo Ref.]]="Dentro",DATOS_[Conc.Sal.28]))))),
0)</f>
        <v>0</v>
      </c>
      <c r="AH32" s="170">
        <f t="array" ref="AH32">IFERROR(
MEDIAN((IF(DATOS_[[Sexo]:[Sexo]]=$B32,IF(DATOS_[[AGRUP. CLAS. PROF.]:[AGRUP. CLAS. PROF.]]=$B30,IF(DATOS_[[Check Periodo Ref.]:[Check Periodo Ref.]]="Dentro",DATOS_[Conc.Sal.29]))))),
0)</f>
        <v>0</v>
      </c>
      <c r="AI32" s="170">
        <f t="array" ref="AI32">IFERROR(
MEDIAN((IF(DATOS_[[Sexo]:[Sexo]]=$B32,IF(DATOS_[[AGRUP. CLAS. PROF.]:[AGRUP. CLAS. PROF.]]=$B30,IF(DATOS_[[Check Periodo Ref.]:[Check Periodo Ref.]]="Dentro",DATOS_[Conc.Sal.30]))))),
0)</f>
        <v>0</v>
      </c>
      <c r="AJ32" s="171">
        <f t="array" ref="AJ32">IFERROR(
MEDIAN(IF(DATOS_[Sexo]=$B32,IF(DATOS_[AGRUP. CLAS. PROF.]=$B30,IF(DATOS_[Check Periodo Ref.]="Dentro",DATOS_[Tot COMPL.SAL Ef],FALSE)))),
0)</f>
        <v>0</v>
      </c>
      <c r="AK32" s="172">
        <f t="array" ref="AK32">IFERROR(
MEDIAN(IF(DATOS_[Sexo]=$B32,IF(DATOS_[AGRUP. CLAS. PROF.]=$B30,IF(DATOS_[Check Periodo Ref.]="Dentro",DATOS_[TOTAL SALARIO Ef],FALSE)))),
0)</f>
        <v>0</v>
      </c>
      <c r="AL32" s="173">
        <f t="array" ref="AL32">IFERROR(
MEDIAN((IF(DATOS_[[Sexo]:[Sexo]]=$B32,IF(DATOS_[[AGRUP. CLAS. PROF.]:[AGRUP. CLAS. PROF.]]=$B30,IF(DATOS_[[Check Periodo Ref.]:[Check Periodo Ref.]]="Dentro",DATOS_[C.Extra.01]))))),
0)</f>
        <v>0</v>
      </c>
      <c r="AM32" s="173">
        <f t="array" ref="AM32">IFERROR(
MEDIAN((IF(DATOS_[[Sexo]:[Sexo]]=$B32,IF(DATOS_[[AGRUP. CLAS. PROF.]:[AGRUP. CLAS. PROF.]]=$B30,IF(DATOS_[[Check Periodo Ref.]:[Check Periodo Ref.]]="Dentro",DATOS_[C.Extra.06]))))),
0)</f>
        <v>0</v>
      </c>
      <c r="AN32" s="173">
        <f t="array" ref="AN32">IFERROR(
MEDIAN((IF(DATOS_[[Sexo]:[Sexo]]=$B32,IF(DATOS_[[AGRUP. CLAS. PROF.]:[AGRUP. CLAS. PROF.]]=$B30,IF(DATOS_[[Check Periodo Ref.]:[Check Periodo Ref.]]="Dentro",DATOS_[C.Extra.07]))))),
0)</f>
        <v>0</v>
      </c>
      <c r="AO32" s="173">
        <f t="array" ref="AO32">IFERROR(
MEDIAN((IF(DATOS_[[Sexo]:[Sexo]]=$B32,IF(DATOS_[[AGRUP. CLAS. PROF.]:[AGRUP. CLAS. PROF.]]=$B30,IF(DATOS_[[Check Periodo Ref.]:[Check Periodo Ref.]]="Dentro",DATOS_[C.Extra.08]))))),
0)</f>
        <v>0</v>
      </c>
      <c r="AP32" s="173">
        <f t="array" ref="AP32">IFERROR(
MEDIAN((IF(DATOS_[[Sexo]:[Sexo]]=$B32,IF(DATOS_[[AGRUP. CLAS. PROF.]:[AGRUP. CLAS. PROF.]]=$B30,IF(DATOS_[[Check Periodo Ref.]:[Check Periodo Ref.]]="Dentro",DATOS_[C.Extra.11]))))),
0)</f>
        <v>0</v>
      </c>
      <c r="AQ32" s="174">
        <f t="array" ref="AQ32">IFERROR(
MEDIAN(IF(DATOS_[Sexo]=$B32,IF(DATOS_[AGRUP. CLAS. PROF.]=$B30,IF(DATOS_[Check Periodo Ref.]="Dentro",DATOS_[Tot Extrasalarial Ef],FALSE)))),
0)</f>
        <v>0</v>
      </c>
      <c r="AR32" s="171">
        <f t="array" ref="AR32">IFERROR(
MEDIAN(IF(DATOS_[Sexo]=$B32,IF(DATOS_[AGRUP. CLAS. PROF.]=$B30,IF(DATOS_[Check Periodo Ref.]="Dentro",DATOS_[TOTAL Retrib Ef],FALSE)))),
0)</f>
        <v>0</v>
      </c>
    </row>
    <row r="33" spans="1:44" ht="14.4" hidden="1" thickBot="1" x14ac:dyDescent="0.3">
      <c r="A33" s="178" t="str">
        <f t="shared" ref="A33" si="27">+A34</f>
        <v>[ocultar]</v>
      </c>
      <c r="B33" s="153" t="s">
        <v>199</v>
      </c>
      <c r="C33" s="154"/>
      <c r="D33" s="155"/>
      <c r="E33" s="156" t="str">
        <f t="shared" ref="E33:AR33" si="28">IFERROR((E34-E35)/E34,"")</f>
        <v/>
      </c>
      <c r="F33" s="157" t="str">
        <f t="shared" si="28"/>
        <v/>
      </c>
      <c r="G33" s="158" t="str">
        <f t="shared" si="28"/>
        <v/>
      </c>
      <c r="H33" s="158" t="str">
        <f t="shared" si="28"/>
        <v/>
      </c>
      <c r="I33" s="158" t="str">
        <f t="shared" si="28"/>
        <v/>
      </c>
      <c r="J33" s="159" t="str">
        <f t="shared" si="28"/>
        <v/>
      </c>
      <c r="K33" s="160" t="str">
        <f t="shared" si="28"/>
        <v/>
      </c>
      <c r="L33" s="160" t="str">
        <f t="shared" si="28"/>
        <v/>
      </c>
      <c r="M33" s="160" t="str">
        <f t="shared" si="28"/>
        <v/>
      </c>
      <c r="N33" s="160" t="str">
        <f t="shared" si="28"/>
        <v/>
      </c>
      <c r="O33" s="160" t="str">
        <f t="shared" si="28"/>
        <v/>
      </c>
      <c r="P33" s="160" t="str">
        <f t="shared" si="28"/>
        <v/>
      </c>
      <c r="Q33" s="160" t="str">
        <f t="shared" si="28"/>
        <v/>
      </c>
      <c r="R33" s="160" t="str">
        <f t="shared" si="28"/>
        <v/>
      </c>
      <c r="S33" s="160" t="str">
        <f t="shared" si="28"/>
        <v/>
      </c>
      <c r="T33" s="160" t="str">
        <f t="shared" si="28"/>
        <v/>
      </c>
      <c r="U33" s="160" t="str">
        <f t="shared" si="28"/>
        <v/>
      </c>
      <c r="V33" s="159" t="str">
        <f t="shared" si="28"/>
        <v/>
      </c>
      <c r="W33" s="159" t="str">
        <f t="shared" si="28"/>
        <v/>
      </c>
      <c r="X33" s="159" t="str">
        <f t="shared" si="28"/>
        <v/>
      </c>
      <c r="Y33" s="159" t="str">
        <f t="shared" si="28"/>
        <v/>
      </c>
      <c r="Z33" s="159" t="str">
        <f t="shared" si="28"/>
        <v/>
      </c>
      <c r="AA33" s="159" t="str">
        <f t="shared" si="28"/>
        <v/>
      </c>
      <c r="AB33" s="159" t="str">
        <f t="shared" si="28"/>
        <v/>
      </c>
      <c r="AC33" s="159" t="str">
        <f t="shared" si="28"/>
        <v/>
      </c>
      <c r="AD33" s="159" t="str">
        <f t="shared" si="28"/>
        <v/>
      </c>
      <c r="AE33" s="159" t="str">
        <f t="shared" si="28"/>
        <v/>
      </c>
      <c r="AF33" s="159" t="str">
        <f t="shared" si="28"/>
        <v/>
      </c>
      <c r="AG33" s="159" t="str">
        <f t="shared" si="28"/>
        <v/>
      </c>
      <c r="AH33" s="159" t="str">
        <f t="shared" si="28"/>
        <v/>
      </c>
      <c r="AI33" s="159" t="str">
        <f t="shared" si="28"/>
        <v/>
      </c>
      <c r="AJ33" s="161" t="str">
        <f t="shared" si="28"/>
        <v/>
      </c>
      <c r="AK33" s="162" t="str">
        <f t="shared" si="28"/>
        <v/>
      </c>
      <c r="AL33" s="163" t="str">
        <f t="shared" si="28"/>
        <v/>
      </c>
      <c r="AM33" s="163" t="str">
        <f t="shared" si="28"/>
        <v/>
      </c>
      <c r="AN33" s="163" t="str">
        <f t="shared" si="28"/>
        <v/>
      </c>
      <c r="AO33" s="163" t="str">
        <f t="shared" si="28"/>
        <v/>
      </c>
      <c r="AP33" s="163" t="str">
        <f t="shared" si="28"/>
        <v/>
      </c>
      <c r="AQ33" s="164" t="str">
        <f t="shared" si="28"/>
        <v/>
      </c>
      <c r="AR33" s="161" t="str">
        <f t="shared" si="28"/>
        <v/>
      </c>
    </row>
    <row r="34" spans="1:44" hidden="1" x14ac:dyDescent="0.25">
      <c r="A34" s="178" t="str">
        <f t="shared" ref="A34" si="29">+IF(C34+C35=0,"[ocultar]","")</f>
        <v>[ocultar]</v>
      </c>
      <c r="B34" s="166" t="s">
        <v>394</v>
      </c>
      <c r="C34" s="167">
        <f t="array" ref="C34">SUM(IF($B34=DATOS_[Sexo],
IF($B33=DATOS_[AGRUP. CLAS. PROF.],
IF("Dentro"=DATOS_[Check Periodo Ref.],
1/(COUNTIFS(DATOS_[Sexo],$B34,DATOS_[AGRUP. CLAS. PROF.],$B33,DATOS_[Check Periodo Ref.],"Dentro",DATOS_[id/cod],DATOS_[id/cod]))))))</f>
        <v>0</v>
      </c>
      <c r="D34" s="168">
        <f>COUNTIFS(DATOS_[AGRUP. CLAS. PROF.],$B33,DATOS_[Sexo],$B34,DATOS_[Check Periodo Ref.],"Dentro")</f>
        <v>0</v>
      </c>
      <c r="E34" s="169">
        <f t="array" ref="E34">IFERROR(
MEDIAN(IF(DATOS_[Sexo]=$B34,IF(DATOS_[AGRUP. CLAS. PROF.]=$B33,IF(DATOS_[Check Periodo Ref.]="Dentro",DATOS_[SALARIO BASE Ef],FALSE)))),
0)</f>
        <v>0</v>
      </c>
      <c r="F34" s="170">
        <f t="array" ref="F34">IFERROR(
MEDIAN((IF(DATOS_[[Sexo]:[Sexo]]=$B34,IF(DATOS_[[AGRUP. CLAS. PROF.]:[AGRUP. CLAS. PROF.]]=$B33,IF(DATOS_[[Check Periodo Ref.]:[Check Periodo Ref.]]="Dentro",DATOS_[Conc.Sal.01]))))),
0)</f>
        <v>0</v>
      </c>
      <c r="G34" s="170">
        <f t="array" ref="G34">IFERROR(
MEDIAN((IF(DATOS_[[Sexo]:[Sexo]]=$B34,IF(DATOS_[[AGRUP. CLAS. PROF.]:[AGRUP. CLAS. PROF.]]=$B33,IF(DATOS_[[Check Periodo Ref.]:[Check Periodo Ref.]]="Dentro",DATOS_[Conc.Sal.02]))))),
0)</f>
        <v>0</v>
      </c>
      <c r="H34" s="170">
        <f t="array" ref="H34">IFERROR(
MEDIAN((IF(DATOS_[[Sexo]:[Sexo]]=$B34,IF(DATOS_[[AGRUP. CLAS. PROF.]:[AGRUP. CLAS. PROF.]]=$B33,IF(DATOS_[[Check Periodo Ref.]:[Check Periodo Ref.]]="Dentro",DATOS_[Conc.Sal.03]))))),
0)</f>
        <v>0</v>
      </c>
      <c r="I34" s="170">
        <f t="array" ref="I34">IFERROR(
MEDIAN((IF(DATOS_[[Sexo]:[Sexo]]=$B34,IF(DATOS_[[AGRUP. CLAS. PROF.]:[AGRUP. CLAS. PROF.]]=$B33,IF(DATOS_[[Check Periodo Ref.]:[Check Periodo Ref.]]="Dentro",DATOS_[Conc.Sal.04]))))),
0)</f>
        <v>0</v>
      </c>
      <c r="J34" s="170">
        <f t="array" ref="J34">IFERROR(
MEDIAN((IF(DATOS_[[Sexo]:[Sexo]]=$B34,IF(DATOS_[[AGRUP. CLAS. PROF.]:[AGRUP. CLAS. PROF.]]=$B33,IF(DATOS_[[Check Periodo Ref.]:[Check Periodo Ref.]]="Dentro",DATOS_[Conc.Sal.05]))))),
0)</f>
        <v>0</v>
      </c>
      <c r="K34" s="170">
        <f t="array" ref="K34">IFERROR(
MEDIAN((IF(DATOS_[[Sexo]:[Sexo]]=$B34,IF(DATOS_[[AGRUP. CLAS. PROF.]:[AGRUP. CLAS. PROF.]]=$B33,IF(DATOS_[[Check Periodo Ref.]:[Check Periodo Ref.]]="Dentro",DATOS_[Conc.Sal.06]))))),
0)</f>
        <v>0</v>
      </c>
      <c r="L34" s="170">
        <f t="array" ref="L34">IFERROR(
MEDIAN((IF(DATOS_[[Sexo]:[Sexo]]=$B34,IF(DATOS_[[AGRUP. CLAS. PROF.]:[AGRUP. CLAS. PROF.]]=$B33,IF(DATOS_[[Check Periodo Ref.]:[Check Periodo Ref.]]="Dentro",DATOS_[Conc.Sal.07]))))),
0)</f>
        <v>0</v>
      </c>
      <c r="M34" s="170">
        <f t="array" ref="M34">IFERROR(
MEDIAN((IF(DATOS_[[Sexo]:[Sexo]]=$B34,IF(DATOS_[[AGRUP. CLAS. PROF.]:[AGRUP. CLAS. PROF.]]=$B33,IF(DATOS_[[Check Periodo Ref.]:[Check Periodo Ref.]]="Dentro",DATOS_[Conc.Sal.08]))))),
0)</f>
        <v>0</v>
      </c>
      <c r="N34" s="170">
        <f t="array" ref="N34">IFERROR(
MEDIAN((IF(DATOS_[[Sexo]:[Sexo]]=$B34,IF(DATOS_[[AGRUP. CLAS. PROF.]:[AGRUP. CLAS. PROF.]]=$B33,IF(DATOS_[[Check Periodo Ref.]:[Check Periodo Ref.]]="Dentro",DATOS_[Conc.Sal.09]))))),
0)</f>
        <v>0</v>
      </c>
      <c r="O34" s="170">
        <f t="array" ref="O34">IFERROR(
MEDIAN((IF(DATOS_[[Sexo]:[Sexo]]=$B34,IF(DATOS_[[AGRUP. CLAS. PROF.]:[AGRUP. CLAS. PROF.]]=$B33,IF(DATOS_[[Check Periodo Ref.]:[Check Periodo Ref.]]="Dentro",DATOS_[Conc.Sal.10]))))),
0)</f>
        <v>0</v>
      </c>
      <c r="P34" s="170">
        <f t="array" ref="P34">IFERROR(
MEDIAN((IF(DATOS_[[Sexo]:[Sexo]]=$B34,IF(DATOS_[[AGRUP. CLAS. PROF.]:[AGRUP. CLAS. PROF.]]=$B33,IF(DATOS_[[Check Periodo Ref.]:[Check Periodo Ref.]]="Dentro",DATOS_[Conc.Sal.11]))))),
0)</f>
        <v>0</v>
      </c>
      <c r="Q34" s="170">
        <f t="array" ref="Q34">IFERROR(
MEDIAN((IF(DATOS_[[Sexo]:[Sexo]]=$B34,IF(DATOS_[[AGRUP. CLAS. PROF.]:[AGRUP. CLAS. PROF.]]=$B33,IF(DATOS_[[Check Periodo Ref.]:[Check Periodo Ref.]]="Dentro",DATOS_[Conc.Sal.12]))))),
0)</f>
        <v>0</v>
      </c>
      <c r="R34" s="170">
        <f t="array" ref="R34">IFERROR(
MEDIAN((IF(DATOS_[[Sexo]:[Sexo]]=$B34,IF(DATOS_[[AGRUP. CLAS. PROF.]:[AGRUP. CLAS. PROF.]]=$B33,IF(DATOS_[[Check Periodo Ref.]:[Check Periodo Ref.]]="Dentro",DATOS_[Conc.Sal.13]))))),
0)</f>
        <v>0</v>
      </c>
      <c r="S34" s="170">
        <f t="array" ref="S34">IFERROR(
MEDIAN((IF(DATOS_[[Sexo]:[Sexo]]=$B34,IF(DATOS_[[AGRUP. CLAS. PROF.]:[AGRUP. CLAS. PROF.]]=$B33,IF(DATOS_[[Check Periodo Ref.]:[Check Periodo Ref.]]="Dentro",DATOS_[Conc.Sal.14]))))),
0)</f>
        <v>0</v>
      </c>
      <c r="T34" s="170">
        <f t="array" ref="T34">IFERROR(
MEDIAN((IF(DATOS_[[Sexo]:[Sexo]]=$B34,IF(DATOS_[[AGRUP. CLAS. PROF.]:[AGRUP. CLAS. PROF.]]=$B33,IF(DATOS_[[Check Periodo Ref.]:[Check Periodo Ref.]]="Dentro",DATOS_[Conc.Sal.15]))))),
0)</f>
        <v>0</v>
      </c>
      <c r="U34" s="170">
        <f t="array" ref="U34">IFERROR(
MEDIAN((IF(DATOS_[[Sexo]:[Sexo]]=$B34,IF(DATOS_[[AGRUP. CLAS. PROF.]:[AGRUP. CLAS. PROF.]]=$B33,IF(DATOS_[[Check Periodo Ref.]:[Check Periodo Ref.]]="Dentro",DATOS_[Conc.Sal.16]))))),
0)</f>
        <v>0</v>
      </c>
      <c r="V34" s="170">
        <f t="array" ref="V34">IFERROR(
MEDIAN((IF(DATOS_[[Sexo]:[Sexo]]=$B34,IF(DATOS_[[AGRUP. CLAS. PROF.]:[AGRUP. CLAS. PROF.]]=$B33,IF(DATOS_[[Check Periodo Ref.]:[Check Periodo Ref.]]="Dentro",DATOS_[Conc.Sal.17]))))),
0)</f>
        <v>0</v>
      </c>
      <c r="W34" s="170">
        <f t="array" ref="W34">IFERROR(
MEDIAN((IF(DATOS_[[Sexo]:[Sexo]]=$B34,IF(DATOS_[[AGRUP. CLAS. PROF.]:[AGRUP. CLAS. PROF.]]=$B33,IF(DATOS_[[Check Periodo Ref.]:[Check Periodo Ref.]]="Dentro",DATOS_[Conc.Sal.18]))))),
0)</f>
        <v>0</v>
      </c>
      <c r="X34" s="170">
        <f t="array" ref="X34">IFERROR(
MEDIAN((IF(DATOS_[[Sexo]:[Sexo]]=$B34,IF(DATOS_[[AGRUP. CLAS. PROF.]:[AGRUP. CLAS. PROF.]]=$B33,IF(DATOS_[[Check Periodo Ref.]:[Check Periodo Ref.]]="Dentro",DATOS_[Conc.Sal.19]))))),
0)</f>
        <v>0</v>
      </c>
      <c r="Y34" s="170">
        <f t="array" ref="Y34">IFERROR(
MEDIAN((IF(DATOS_[[Sexo]:[Sexo]]=$B34,IF(DATOS_[[AGRUP. CLAS. PROF.]:[AGRUP. CLAS. PROF.]]=$B33,IF(DATOS_[[Check Periodo Ref.]:[Check Periodo Ref.]]="Dentro",DATOS_[Conc.Sal.20]))))),
0)</f>
        <v>0</v>
      </c>
      <c r="Z34" s="170">
        <f t="array" ref="Z34">IFERROR(
MEDIAN((IF(DATOS_[[Sexo]:[Sexo]]=$B34,IF(DATOS_[[AGRUP. CLAS. PROF.]:[AGRUP. CLAS. PROF.]]=$B33,IF(DATOS_[[Check Periodo Ref.]:[Check Periodo Ref.]]="Dentro",DATOS_[Conc.Sal.21]))))),
0)</f>
        <v>0</v>
      </c>
      <c r="AA34" s="170">
        <f t="array" ref="AA34">IFERROR(
MEDIAN((IF(DATOS_[[Sexo]:[Sexo]]=$B34,IF(DATOS_[[AGRUP. CLAS. PROF.]:[AGRUP. CLAS. PROF.]]=$B33,IF(DATOS_[[Check Periodo Ref.]:[Check Periodo Ref.]]="Dentro",DATOS_[Conc.Sal.22]))))),
0)</f>
        <v>0</v>
      </c>
      <c r="AB34" s="170">
        <f t="array" ref="AB34">IFERROR(
MEDIAN((IF(DATOS_[[Sexo]:[Sexo]]=$B34,IF(DATOS_[[AGRUP. CLAS. PROF.]:[AGRUP. CLAS. PROF.]]=$B33,IF(DATOS_[[Check Periodo Ref.]:[Check Periodo Ref.]]="Dentro",DATOS_[Conc.Sal.23]))))),
0)</f>
        <v>0</v>
      </c>
      <c r="AC34" s="170">
        <f t="array" ref="AC34">IFERROR(
MEDIAN((IF(DATOS_[[Sexo]:[Sexo]]=$B34,IF(DATOS_[[AGRUP. CLAS. PROF.]:[AGRUP. CLAS. PROF.]]=$B33,IF(DATOS_[[Check Periodo Ref.]:[Check Periodo Ref.]]="Dentro",DATOS_[Conc.Sal.24]))))),
0)</f>
        <v>0</v>
      </c>
      <c r="AD34" s="170">
        <f t="array" ref="AD34">IFERROR(
MEDIAN((IF(DATOS_[[Sexo]:[Sexo]]=$B34,IF(DATOS_[[AGRUP. CLAS. PROF.]:[AGRUP. CLAS. PROF.]]=$B33,IF(DATOS_[[Check Periodo Ref.]:[Check Periodo Ref.]]="Dentro",DATOS_[Conc.Sal.25]))))),
0)</f>
        <v>0</v>
      </c>
      <c r="AE34" s="170">
        <f t="array" ref="AE34">IFERROR(
MEDIAN((IF(DATOS_[[Sexo]:[Sexo]]=$B34,IF(DATOS_[[AGRUP. CLAS. PROF.]:[AGRUP. CLAS. PROF.]]=$B33,IF(DATOS_[[Check Periodo Ref.]:[Check Periodo Ref.]]="Dentro",DATOS_[Conc.Sal.26]))))),
0)</f>
        <v>0</v>
      </c>
      <c r="AF34" s="170">
        <f t="array" ref="AF34">IFERROR(
MEDIAN((IF(DATOS_[[Sexo]:[Sexo]]=$B34,IF(DATOS_[[AGRUP. CLAS. PROF.]:[AGRUP. CLAS. PROF.]]=$B33,IF(DATOS_[[Check Periodo Ref.]:[Check Periodo Ref.]]="Dentro",DATOS_[Conc.Sal.27]))))),
0)</f>
        <v>0</v>
      </c>
      <c r="AG34" s="170">
        <f t="array" ref="AG34">IFERROR(
MEDIAN((IF(DATOS_[[Sexo]:[Sexo]]=$B34,IF(DATOS_[[AGRUP. CLAS. PROF.]:[AGRUP. CLAS. PROF.]]=$B33,IF(DATOS_[[Check Periodo Ref.]:[Check Periodo Ref.]]="Dentro",DATOS_[Conc.Sal.28]))))),
0)</f>
        <v>0</v>
      </c>
      <c r="AH34" s="170">
        <f t="array" ref="AH34">IFERROR(
MEDIAN((IF(DATOS_[[Sexo]:[Sexo]]=$B34,IF(DATOS_[[AGRUP. CLAS. PROF.]:[AGRUP. CLAS. PROF.]]=$B33,IF(DATOS_[[Check Periodo Ref.]:[Check Periodo Ref.]]="Dentro",DATOS_[Conc.Sal.29]))))),
0)</f>
        <v>0</v>
      </c>
      <c r="AI34" s="170">
        <f t="array" ref="AI34">IFERROR(
MEDIAN((IF(DATOS_[[Sexo]:[Sexo]]=$B34,IF(DATOS_[[AGRUP. CLAS. PROF.]:[AGRUP. CLAS. PROF.]]=$B33,IF(DATOS_[[Check Periodo Ref.]:[Check Periodo Ref.]]="Dentro",DATOS_[Conc.Sal.30]))))),
0)</f>
        <v>0</v>
      </c>
      <c r="AJ34" s="171">
        <f t="array" ref="AJ34">IFERROR(
MEDIAN(IF(DATOS_[Sexo]=$B34,IF(DATOS_[AGRUP. CLAS. PROF.]=$B33,IF(DATOS_[Check Periodo Ref.]="Dentro",DATOS_[Tot COMPL.SAL Ef],FALSE)))),
0)</f>
        <v>0</v>
      </c>
      <c r="AK34" s="172">
        <f t="array" ref="AK34">IFERROR(
MEDIAN(IF(DATOS_[Sexo]=$B34,IF(DATOS_[AGRUP. CLAS. PROF.]=$B33,IF(DATOS_[Check Periodo Ref.]="Dentro",DATOS_[TOTAL SALARIO Ef],FALSE)))),
0)</f>
        <v>0</v>
      </c>
      <c r="AL34" s="173">
        <f t="array" ref="AL34">IFERROR(
MEDIAN((IF(DATOS_[[Sexo]:[Sexo]]=$B34,IF(DATOS_[[AGRUP. CLAS. PROF.]:[AGRUP. CLAS. PROF.]]=$B33,IF(DATOS_[[Check Periodo Ref.]:[Check Periodo Ref.]]="Dentro",DATOS_[C.Extra.01]))))),
0)</f>
        <v>0</v>
      </c>
      <c r="AM34" s="173">
        <f t="array" ref="AM34">IFERROR(
MEDIAN((IF(DATOS_[[Sexo]:[Sexo]]=$B34,IF(DATOS_[[AGRUP. CLAS. PROF.]:[AGRUP. CLAS. PROF.]]=$B33,IF(DATOS_[[Check Periodo Ref.]:[Check Periodo Ref.]]="Dentro",DATOS_[C.Extra.06]))))),
0)</f>
        <v>0</v>
      </c>
      <c r="AN34" s="173">
        <f t="array" ref="AN34">IFERROR(
MEDIAN((IF(DATOS_[[Sexo]:[Sexo]]=$B34,IF(DATOS_[[AGRUP. CLAS. PROF.]:[AGRUP. CLAS. PROF.]]=$B33,IF(DATOS_[[Check Periodo Ref.]:[Check Periodo Ref.]]="Dentro",DATOS_[C.Extra.07]))))),
0)</f>
        <v>0</v>
      </c>
      <c r="AO34" s="173">
        <f t="array" ref="AO34">IFERROR(
MEDIAN((IF(DATOS_[[Sexo]:[Sexo]]=$B34,IF(DATOS_[[AGRUP. CLAS. PROF.]:[AGRUP. CLAS. PROF.]]=$B33,IF(DATOS_[[Check Periodo Ref.]:[Check Periodo Ref.]]="Dentro",DATOS_[C.Extra.08]))))),
0)</f>
        <v>0</v>
      </c>
      <c r="AP34" s="173">
        <f t="array" ref="AP34">IFERROR(
MEDIAN((IF(DATOS_[[Sexo]:[Sexo]]=$B34,IF(DATOS_[[AGRUP. CLAS. PROF.]:[AGRUP. CLAS. PROF.]]=$B33,IF(DATOS_[[Check Periodo Ref.]:[Check Periodo Ref.]]="Dentro",DATOS_[C.Extra.11]))))),
0)</f>
        <v>0</v>
      </c>
      <c r="AQ34" s="174">
        <f t="array" ref="AQ34">IFERROR(
MEDIAN(IF(DATOS_[Sexo]=$B34,IF(DATOS_[AGRUP. CLAS. PROF.]=$B33,IF(DATOS_[Check Periodo Ref.]="Dentro",DATOS_[Tot Extrasalarial Ef],FALSE)))),
0)</f>
        <v>0</v>
      </c>
      <c r="AR34" s="171">
        <f t="array" ref="AR34">IFERROR(
MEDIAN(IF(DATOS_[Sexo]=$B34,IF(DATOS_[AGRUP. CLAS. PROF.]=$B33,IF(DATOS_[Check Periodo Ref.]="Dentro",DATOS_[TOTAL Retrib Ef],FALSE)))),
0)</f>
        <v>0</v>
      </c>
    </row>
    <row r="35" spans="1:44" hidden="1" x14ac:dyDescent="0.25">
      <c r="A35" s="178" t="str">
        <f t="shared" ref="A35" si="30">+A34</f>
        <v>[ocultar]</v>
      </c>
      <c r="B35" s="166" t="s">
        <v>521</v>
      </c>
      <c r="C35" s="167">
        <f t="array" ref="C35">SUM(IF($B35=DATOS_[Sexo],
IF($B33=DATOS_[AGRUP. CLAS. PROF.],
IF("Dentro"=DATOS_[Check Periodo Ref.],
1/(COUNTIFS(DATOS_[Sexo],$B35,DATOS_[AGRUP. CLAS. PROF.],$B33,DATOS_[Check Periodo Ref.],"Dentro",DATOS_[id/cod],DATOS_[id/cod]))))))</f>
        <v>0</v>
      </c>
      <c r="D35" s="168">
        <f>COUNTIFS(DATOS_[AGRUP. CLAS. PROF.],$B33,DATOS_[Sexo],$B35,DATOS_[Check Periodo Ref.],"Dentro")</f>
        <v>0</v>
      </c>
      <c r="E35" s="169">
        <f t="array" ref="E35">IFERROR(
MEDIAN(IF(DATOS_[Sexo]=$B35,IF(DATOS_[AGRUP. CLAS. PROF.]=$B33,IF(DATOS_[Check Periodo Ref.]="Dentro",DATOS_[SALARIO BASE Ef],FALSE)))),
0)</f>
        <v>0</v>
      </c>
      <c r="F35" s="170">
        <f t="array" ref="F35">IFERROR(
MEDIAN((IF(DATOS_[[Sexo]:[Sexo]]=$B35,IF(DATOS_[[AGRUP. CLAS. PROF.]:[AGRUP. CLAS. PROF.]]=$B33,IF(DATOS_[[Check Periodo Ref.]:[Check Periodo Ref.]]="Dentro",DATOS_[Conc.Sal.01]))))),
0)</f>
        <v>0</v>
      </c>
      <c r="G35" s="170">
        <f t="array" ref="G35">IFERROR(
MEDIAN((IF(DATOS_[[Sexo]:[Sexo]]=$B35,IF(DATOS_[[AGRUP. CLAS. PROF.]:[AGRUP. CLAS. PROF.]]=$B33,IF(DATOS_[[Check Periodo Ref.]:[Check Periodo Ref.]]="Dentro",DATOS_[Conc.Sal.02]))))),
0)</f>
        <v>0</v>
      </c>
      <c r="H35" s="170">
        <f t="array" ref="H35">IFERROR(
MEDIAN((IF(DATOS_[[Sexo]:[Sexo]]=$B35,IF(DATOS_[[AGRUP. CLAS. PROF.]:[AGRUP. CLAS. PROF.]]=$B33,IF(DATOS_[[Check Periodo Ref.]:[Check Periodo Ref.]]="Dentro",DATOS_[Conc.Sal.03]))))),
0)</f>
        <v>0</v>
      </c>
      <c r="I35" s="170">
        <f t="array" ref="I35">IFERROR(
MEDIAN((IF(DATOS_[[Sexo]:[Sexo]]=$B35,IF(DATOS_[[AGRUP. CLAS. PROF.]:[AGRUP. CLAS. PROF.]]=$B33,IF(DATOS_[[Check Periodo Ref.]:[Check Periodo Ref.]]="Dentro",DATOS_[Conc.Sal.04]))))),
0)</f>
        <v>0</v>
      </c>
      <c r="J35" s="170">
        <f t="array" ref="J35">IFERROR(
MEDIAN((IF(DATOS_[[Sexo]:[Sexo]]=$B35,IF(DATOS_[[AGRUP. CLAS. PROF.]:[AGRUP. CLAS. PROF.]]=$B33,IF(DATOS_[[Check Periodo Ref.]:[Check Periodo Ref.]]="Dentro",DATOS_[Conc.Sal.05]))))),
0)</f>
        <v>0</v>
      </c>
      <c r="K35" s="170">
        <f t="array" ref="K35">IFERROR(
MEDIAN((IF(DATOS_[[Sexo]:[Sexo]]=$B35,IF(DATOS_[[AGRUP. CLAS. PROF.]:[AGRUP. CLAS. PROF.]]=$B33,IF(DATOS_[[Check Periodo Ref.]:[Check Periodo Ref.]]="Dentro",DATOS_[Conc.Sal.06]))))),
0)</f>
        <v>0</v>
      </c>
      <c r="L35" s="170">
        <f t="array" ref="L35">IFERROR(
MEDIAN((IF(DATOS_[[Sexo]:[Sexo]]=$B35,IF(DATOS_[[AGRUP. CLAS. PROF.]:[AGRUP. CLAS. PROF.]]=$B33,IF(DATOS_[[Check Periodo Ref.]:[Check Periodo Ref.]]="Dentro",DATOS_[Conc.Sal.07]))))),
0)</f>
        <v>0</v>
      </c>
      <c r="M35" s="170">
        <f t="array" ref="M35">IFERROR(
MEDIAN((IF(DATOS_[[Sexo]:[Sexo]]=$B35,IF(DATOS_[[AGRUP. CLAS. PROF.]:[AGRUP. CLAS. PROF.]]=$B33,IF(DATOS_[[Check Periodo Ref.]:[Check Periodo Ref.]]="Dentro",DATOS_[Conc.Sal.08]))))),
0)</f>
        <v>0</v>
      </c>
      <c r="N35" s="170">
        <f t="array" ref="N35">IFERROR(
MEDIAN((IF(DATOS_[[Sexo]:[Sexo]]=$B35,IF(DATOS_[[AGRUP. CLAS. PROF.]:[AGRUP. CLAS. PROF.]]=$B33,IF(DATOS_[[Check Periodo Ref.]:[Check Periodo Ref.]]="Dentro",DATOS_[Conc.Sal.09]))))),
0)</f>
        <v>0</v>
      </c>
      <c r="O35" s="170">
        <f t="array" ref="O35">IFERROR(
MEDIAN((IF(DATOS_[[Sexo]:[Sexo]]=$B35,IF(DATOS_[[AGRUP. CLAS. PROF.]:[AGRUP. CLAS. PROF.]]=$B33,IF(DATOS_[[Check Periodo Ref.]:[Check Periodo Ref.]]="Dentro",DATOS_[Conc.Sal.10]))))),
0)</f>
        <v>0</v>
      </c>
      <c r="P35" s="170">
        <f t="array" ref="P35">IFERROR(
MEDIAN((IF(DATOS_[[Sexo]:[Sexo]]=$B35,IF(DATOS_[[AGRUP. CLAS. PROF.]:[AGRUP. CLAS. PROF.]]=$B33,IF(DATOS_[[Check Periodo Ref.]:[Check Periodo Ref.]]="Dentro",DATOS_[Conc.Sal.11]))))),
0)</f>
        <v>0</v>
      </c>
      <c r="Q35" s="170">
        <f t="array" ref="Q35">IFERROR(
MEDIAN((IF(DATOS_[[Sexo]:[Sexo]]=$B35,IF(DATOS_[[AGRUP. CLAS. PROF.]:[AGRUP. CLAS. PROF.]]=$B33,IF(DATOS_[[Check Periodo Ref.]:[Check Periodo Ref.]]="Dentro",DATOS_[Conc.Sal.12]))))),
0)</f>
        <v>0</v>
      </c>
      <c r="R35" s="170">
        <f t="array" ref="R35">IFERROR(
MEDIAN((IF(DATOS_[[Sexo]:[Sexo]]=$B35,IF(DATOS_[[AGRUP. CLAS. PROF.]:[AGRUP. CLAS. PROF.]]=$B33,IF(DATOS_[[Check Periodo Ref.]:[Check Periodo Ref.]]="Dentro",DATOS_[Conc.Sal.13]))))),
0)</f>
        <v>0</v>
      </c>
      <c r="S35" s="170">
        <f t="array" ref="S35">IFERROR(
MEDIAN((IF(DATOS_[[Sexo]:[Sexo]]=$B35,IF(DATOS_[[AGRUP. CLAS. PROF.]:[AGRUP. CLAS. PROF.]]=$B33,IF(DATOS_[[Check Periodo Ref.]:[Check Periodo Ref.]]="Dentro",DATOS_[Conc.Sal.14]))))),
0)</f>
        <v>0</v>
      </c>
      <c r="T35" s="170">
        <f t="array" ref="T35">IFERROR(
MEDIAN((IF(DATOS_[[Sexo]:[Sexo]]=$B35,IF(DATOS_[[AGRUP. CLAS. PROF.]:[AGRUP. CLAS. PROF.]]=$B33,IF(DATOS_[[Check Periodo Ref.]:[Check Periodo Ref.]]="Dentro",DATOS_[Conc.Sal.15]))))),
0)</f>
        <v>0</v>
      </c>
      <c r="U35" s="170">
        <f t="array" ref="U35">IFERROR(
MEDIAN((IF(DATOS_[[Sexo]:[Sexo]]=$B35,IF(DATOS_[[AGRUP. CLAS. PROF.]:[AGRUP. CLAS. PROF.]]=$B33,IF(DATOS_[[Check Periodo Ref.]:[Check Periodo Ref.]]="Dentro",DATOS_[Conc.Sal.16]))))),
0)</f>
        <v>0</v>
      </c>
      <c r="V35" s="170">
        <f t="array" ref="V35">IFERROR(
MEDIAN((IF(DATOS_[[Sexo]:[Sexo]]=$B35,IF(DATOS_[[AGRUP. CLAS. PROF.]:[AGRUP. CLAS. PROF.]]=$B33,IF(DATOS_[[Check Periodo Ref.]:[Check Periodo Ref.]]="Dentro",DATOS_[Conc.Sal.17]))))),
0)</f>
        <v>0</v>
      </c>
      <c r="W35" s="170">
        <f t="array" ref="W35">IFERROR(
MEDIAN((IF(DATOS_[[Sexo]:[Sexo]]=$B35,IF(DATOS_[[AGRUP. CLAS. PROF.]:[AGRUP. CLAS. PROF.]]=$B33,IF(DATOS_[[Check Periodo Ref.]:[Check Periodo Ref.]]="Dentro",DATOS_[Conc.Sal.18]))))),
0)</f>
        <v>0</v>
      </c>
      <c r="X35" s="170">
        <f t="array" ref="X35">IFERROR(
MEDIAN((IF(DATOS_[[Sexo]:[Sexo]]=$B35,IF(DATOS_[[AGRUP. CLAS. PROF.]:[AGRUP. CLAS. PROF.]]=$B33,IF(DATOS_[[Check Periodo Ref.]:[Check Periodo Ref.]]="Dentro",DATOS_[Conc.Sal.19]))))),
0)</f>
        <v>0</v>
      </c>
      <c r="Y35" s="170">
        <f t="array" ref="Y35">IFERROR(
MEDIAN((IF(DATOS_[[Sexo]:[Sexo]]=$B35,IF(DATOS_[[AGRUP. CLAS. PROF.]:[AGRUP. CLAS. PROF.]]=$B33,IF(DATOS_[[Check Periodo Ref.]:[Check Periodo Ref.]]="Dentro",DATOS_[Conc.Sal.20]))))),
0)</f>
        <v>0</v>
      </c>
      <c r="Z35" s="170">
        <f t="array" ref="Z35">IFERROR(
MEDIAN((IF(DATOS_[[Sexo]:[Sexo]]=$B35,IF(DATOS_[[AGRUP. CLAS. PROF.]:[AGRUP. CLAS. PROF.]]=$B33,IF(DATOS_[[Check Periodo Ref.]:[Check Periodo Ref.]]="Dentro",DATOS_[Conc.Sal.21]))))),
0)</f>
        <v>0</v>
      </c>
      <c r="AA35" s="170">
        <f t="array" ref="AA35">IFERROR(
MEDIAN((IF(DATOS_[[Sexo]:[Sexo]]=$B35,IF(DATOS_[[AGRUP. CLAS. PROF.]:[AGRUP. CLAS. PROF.]]=$B33,IF(DATOS_[[Check Periodo Ref.]:[Check Periodo Ref.]]="Dentro",DATOS_[Conc.Sal.22]))))),
0)</f>
        <v>0</v>
      </c>
      <c r="AB35" s="170">
        <f t="array" ref="AB35">IFERROR(
MEDIAN((IF(DATOS_[[Sexo]:[Sexo]]=$B35,IF(DATOS_[[AGRUP. CLAS. PROF.]:[AGRUP. CLAS. PROF.]]=$B33,IF(DATOS_[[Check Periodo Ref.]:[Check Periodo Ref.]]="Dentro",DATOS_[Conc.Sal.23]))))),
0)</f>
        <v>0</v>
      </c>
      <c r="AC35" s="170">
        <f t="array" ref="AC35">IFERROR(
MEDIAN((IF(DATOS_[[Sexo]:[Sexo]]=$B35,IF(DATOS_[[AGRUP. CLAS. PROF.]:[AGRUP. CLAS. PROF.]]=$B33,IF(DATOS_[[Check Periodo Ref.]:[Check Periodo Ref.]]="Dentro",DATOS_[Conc.Sal.24]))))),
0)</f>
        <v>0</v>
      </c>
      <c r="AD35" s="170">
        <f t="array" ref="AD35">IFERROR(
MEDIAN((IF(DATOS_[[Sexo]:[Sexo]]=$B35,IF(DATOS_[[AGRUP. CLAS. PROF.]:[AGRUP. CLAS. PROF.]]=$B33,IF(DATOS_[[Check Periodo Ref.]:[Check Periodo Ref.]]="Dentro",DATOS_[Conc.Sal.25]))))),
0)</f>
        <v>0</v>
      </c>
      <c r="AE35" s="170">
        <f t="array" ref="AE35">IFERROR(
MEDIAN((IF(DATOS_[[Sexo]:[Sexo]]=$B35,IF(DATOS_[[AGRUP. CLAS. PROF.]:[AGRUP. CLAS. PROF.]]=$B33,IF(DATOS_[[Check Periodo Ref.]:[Check Periodo Ref.]]="Dentro",DATOS_[Conc.Sal.26]))))),
0)</f>
        <v>0</v>
      </c>
      <c r="AF35" s="170">
        <f t="array" ref="AF35">IFERROR(
MEDIAN((IF(DATOS_[[Sexo]:[Sexo]]=$B35,IF(DATOS_[[AGRUP. CLAS. PROF.]:[AGRUP. CLAS. PROF.]]=$B33,IF(DATOS_[[Check Periodo Ref.]:[Check Periodo Ref.]]="Dentro",DATOS_[Conc.Sal.27]))))),
0)</f>
        <v>0</v>
      </c>
      <c r="AG35" s="170">
        <f t="array" ref="AG35">IFERROR(
MEDIAN((IF(DATOS_[[Sexo]:[Sexo]]=$B35,IF(DATOS_[[AGRUP. CLAS. PROF.]:[AGRUP. CLAS. PROF.]]=$B33,IF(DATOS_[[Check Periodo Ref.]:[Check Periodo Ref.]]="Dentro",DATOS_[Conc.Sal.28]))))),
0)</f>
        <v>0</v>
      </c>
      <c r="AH35" s="170">
        <f t="array" ref="AH35">IFERROR(
MEDIAN((IF(DATOS_[[Sexo]:[Sexo]]=$B35,IF(DATOS_[[AGRUP. CLAS. PROF.]:[AGRUP. CLAS. PROF.]]=$B33,IF(DATOS_[[Check Periodo Ref.]:[Check Periodo Ref.]]="Dentro",DATOS_[Conc.Sal.29]))))),
0)</f>
        <v>0</v>
      </c>
      <c r="AI35" s="170">
        <f t="array" ref="AI35">IFERROR(
MEDIAN((IF(DATOS_[[Sexo]:[Sexo]]=$B35,IF(DATOS_[[AGRUP. CLAS. PROF.]:[AGRUP. CLAS. PROF.]]=$B33,IF(DATOS_[[Check Periodo Ref.]:[Check Periodo Ref.]]="Dentro",DATOS_[Conc.Sal.30]))))),
0)</f>
        <v>0</v>
      </c>
      <c r="AJ35" s="171">
        <f t="array" ref="AJ35">IFERROR(
MEDIAN(IF(DATOS_[Sexo]=$B35,IF(DATOS_[AGRUP. CLAS. PROF.]=$B33,IF(DATOS_[Check Periodo Ref.]="Dentro",DATOS_[Tot COMPL.SAL Ef],FALSE)))),
0)</f>
        <v>0</v>
      </c>
      <c r="AK35" s="172">
        <f t="array" ref="AK35">IFERROR(
MEDIAN(IF(DATOS_[Sexo]=$B35,IF(DATOS_[AGRUP. CLAS. PROF.]=$B33,IF(DATOS_[Check Periodo Ref.]="Dentro",DATOS_[TOTAL SALARIO Ef],FALSE)))),
0)</f>
        <v>0</v>
      </c>
      <c r="AL35" s="173">
        <f t="array" ref="AL35">IFERROR(
MEDIAN((IF(DATOS_[[Sexo]:[Sexo]]=$B35,IF(DATOS_[[AGRUP. CLAS. PROF.]:[AGRUP. CLAS. PROF.]]=$B33,IF(DATOS_[[Check Periodo Ref.]:[Check Periodo Ref.]]="Dentro",DATOS_[C.Extra.01]))))),
0)</f>
        <v>0</v>
      </c>
      <c r="AM35" s="173">
        <f t="array" ref="AM35">IFERROR(
MEDIAN((IF(DATOS_[[Sexo]:[Sexo]]=$B35,IF(DATOS_[[AGRUP. CLAS. PROF.]:[AGRUP. CLAS. PROF.]]=$B33,IF(DATOS_[[Check Periodo Ref.]:[Check Periodo Ref.]]="Dentro",DATOS_[C.Extra.06]))))),
0)</f>
        <v>0</v>
      </c>
      <c r="AN35" s="173">
        <f t="array" ref="AN35">IFERROR(
MEDIAN((IF(DATOS_[[Sexo]:[Sexo]]=$B35,IF(DATOS_[[AGRUP. CLAS. PROF.]:[AGRUP. CLAS. PROF.]]=$B33,IF(DATOS_[[Check Periodo Ref.]:[Check Periodo Ref.]]="Dentro",DATOS_[C.Extra.07]))))),
0)</f>
        <v>0</v>
      </c>
      <c r="AO35" s="173">
        <f t="array" ref="AO35">IFERROR(
MEDIAN((IF(DATOS_[[Sexo]:[Sexo]]=$B35,IF(DATOS_[[AGRUP. CLAS. PROF.]:[AGRUP. CLAS. PROF.]]=$B33,IF(DATOS_[[Check Periodo Ref.]:[Check Periodo Ref.]]="Dentro",DATOS_[C.Extra.08]))))),
0)</f>
        <v>0</v>
      </c>
      <c r="AP35" s="173">
        <f t="array" ref="AP35">IFERROR(
MEDIAN((IF(DATOS_[[Sexo]:[Sexo]]=$B35,IF(DATOS_[[AGRUP. CLAS. PROF.]:[AGRUP. CLAS. PROF.]]=$B33,IF(DATOS_[[Check Periodo Ref.]:[Check Periodo Ref.]]="Dentro",DATOS_[C.Extra.11]))))),
0)</f>
        <v>0</v>
      </c>
      <c r="AQ35" s="174">
        <f t="array" ref="AQ35">IFERROR(
MEDIAN(IF(DATOS_[Sexo]=$B35,IF(DATOS_[AGRUP. CLAS. PROF.]=$B33,IF(DATOS_[Check Periodo Ref.]="Dentro",DATOS_[Tot Extrasalarial Ef],FALSE)))),
0)</f>
        <v>0</v>
      </c>
      <c r="AR35" s="171">
        <f t="array" ref="AR35">IFERROR(
MEDIAN(IF(DATOS_[Sexo]=$B35,IF(DATOS_[AGRUP. CLAS. PROF.]=$B33,IF(DATOS_[Check Periodo Ref.]="Dentro",DATOS_[TOTAL Retrib Ef],FALSE)))),
0)</f>
        <v>0</v>
      </c>
    </row>
    <row r="36" spans="1:44" ht="14.4" hidden="1" thickBot="1" x14ac:dyDescent="0.3">
      <c r="A36" s="178" t="str">
        <f t="shared" ref="A36" si="31">+A37</f>
        <v>[ocultar]</v>
      </c>
      <c r="B36" s="153" t="s">
        <v>203</v>
      </c>
      <c r="C36" s="154"/>
      <c r="D36" s="155"/>
      <c r="E36" s="156" t="str">
        <f t="shared" ref="E36:AR36" si="32">IFERROR((E37-E38)/E37,"")</f>
        <v/>
      </c>
      <c r="F36" s="157" t="str">
        <f t="shared" si="32"/>
        <v/>
      </c>
      <c r="G36" s="158" t="str">
        <f t="shared" si="32"/>
        <v/>
      </c>
      <c r="H36" s="158" t="str">
        <f t="shared" si="32"/>
        <v/>
      </c>
      <c r="I36" s="158" t="str">
        <f t="shared" si="32"/>
        <v/>
      </c>
      <c r="J36" s="159" t="str">
        <f t="shared" si="32"/>
        <v/>
      </c>
      <c r="K36" s="160" t="str">
        <f t="shared" si="32"/>
        <v/>
      </c>
      <c r="L36" s="160" t="str">
        <f t="shared" si="32"/>
        <v/>
      </c>
      <c r="M36" s="160" t="str">
        <f t="shared" si="32"/>
        <v/>
      </c>
      <c r="N36" s="160" t="str">
        <f t="shared" si="32"/>
        <v/>
      </c>
      <c r="O36" s="160" t="str">
        <f t="shared" si="32"/>
        <v/>
      </c>
      <c r="P36" s="160" t="str">
        <f t="shared" si="32"/>
        <v/>
      </c>
      <c r="Q36" s="160" t="str">
        <f t="shared" si="32"/>
        <v/>
      </c>
      <c r="R36" s="160" t="str">
        <f t="shared" si="32"/>
        <v/>
      </c>
      <c r="S36" s="160" t="str">
        <f t="shared" si="32"/>
        <v/>
      </c>
      <c r="T36" s="160" t="str">
        <f t="shared" si="32"/>
        <v/>
      </c>
      <c r="U36" s="160" t="str">
        <f t="shared" si="32"/>
        <v/>
      </c>
      <c r="V36" s="159" t="str">
        <f t="shared" si="32"/>
        <v/>
      </c>
      <c r="W36" s="159" t="str">
        <f t="shared" si="32"/>
        <v/>
      </c>
      <c r="X36" s="159" t="str">
        <f t="shared" si="32"/>
        <v/>
      </c>
      <c r="Y36" s="159" t="str">
        <f t="shared" si="32"/>
        <v/>
      </c>
      <c r="Z36" s="159" t="str">
        <f t="shared" si="32"/>
        <v/>
      </c>
      <c r="AA36" s="159" t="str">
        <f t="shared" si="32"/>
        <v/>
      </c>
      <c r="AB36" s="159" t="str">
        <f t="shared" si="32"/>
        <v/>
      </c>
      <c r="AC36" s="159" t="str">
        <f t="shared" si="32"/>
        <v/>
      </c>
      <c r="AD36" s="159" t="str">
        <f t="shared" si="32"/>
        <v/>
      </c>
      <c r="AE36" s="159" t="str">
        <f t="shared" si="32"/>
        <v/>
      </c>
      <c r="AF36" s="159" t="str">
        <f t="shared" si="32"/>
        <v/>
      </c>
      <c r="AG36" s="159" t="str">
        <f t="shared" si="32"/>
        <v/>
      </c>
      <c r="AH36" s="159" t="str">
        <f t="shared" si="32"/>
        <v/>
      </c>
      <c r="AI36" s="159" t="str">
        <f t="shared" si="32"/>
        <v/>
      </c>
      <c r="AJ36" s="161" t="str">
        <f t="shared" si="32"/>
        <v/>
      </c>
      <c r="AK36" s="162" t="str">
        <f t="shared" si="32"/>
        <v/>
      </c>
      <c r="AL36" s="163" t="str">
        <f t="shared" si="32"/>
        <v/>
      </c>
      <c r="AM36" s="163" t="str">
        <f t="shared" si="32"/>
        <v/>
      </c>
      <c r="AN36" s="163" t="str">
        <f t="shared" si="32"/>
        <v/>
      </c>
      <c r="AO36" s="163" t="str">
        <f t="shared" si="32"/>
        <v/>
      </c>
      <c r="AP36" s="163" t="str">
        <f t="shared" si="32"/>
        <v/>
      </c>
      <c r="AQ36" s="164" t="str">
        <f t="shared" si="32"/>
        <v/>
      </c>
      <c r="AR36" s="161" t="str">
        <f t="shared" si="32"/>
        <v/>
      </c>
    </row>
    <row r="37" spans="1:44" hidden="1" x14ac:dyDescent="0.25">
      <c r="A37" s="178" t="str">
        <f t="shared" ref="A37" si="33">+IF(C37+C38=0,"[ocultar]","")</f>
        <v>[ocultar]</v>
      </c>
      <c r="B37" s="166" t="s">
        <v>394</v>
      </c>
      <c r="C37" s="167">
        <f t="array" ref="C37">SUM(IF($B37=DATOS_[Sexo],
IF($B36=DATOS_[AGRUP. CLAS. PROF.],
IF("Dentro"=DATOS_[Check Periodo Ref.],
1/(COUNTIFS(DATOS_[Sexo],$B37,DATOS_[AGRUP. CLAS. PROF.],$B36,DATOS_[Check Periodo Ref.],"Dentro",DATOS_[id/cod],DATOS_[id/cod]))))))</f>
        <v>0</v>
      </c>
      <c r="D37" s="168">
        <f>COUNTIFS(DATOS_[AGRUP. CLAS. PROF.],$B36,DATOS_[Sexo],$B37,DATOS_[Check Periodo Ref.],"Dentro")</f>
        <v>0</v>
      </c>
      <c r="E37" s="169">
        <f t="array" ref="E37">IFERROR(
MEDIAN(IF(DATOS_[Sexo]=$B37,IF(DATOS_[AGRUP. CLAS. PROF.]=$B36,IF(DATOS_[Check Periodo Ref.]="Dentro",DATOS_[SALARIO BASE Ef],FALSE)))),
0)</f>
        <v>0</v>
      </c>
      <c r="F37" s="170">
        <f t="array" ref="F37">IFERROR(
MEDIAN((IF(DATOS_[[Sexo]:[Sexo]]=$B37,IF(DATOS_[[AGRUP. CLAS. PROF.]:[AGRUP. CLAS. PROF.]]=$B36,IF(DATOS_[[Check Periodo Ref.]:[Check Periodo Ref.]]="Dentro",DATOS_[Conc.Sal.01]))))),
0)</f>
        <v>0</v>
      </c>
      <c r="G37" s="170">
        <f t="array" ref="G37">IFERROR(
MEDIAN((IF(DATOS_[[Sexo]:[Sexo]]=$B37,IF(DATOS_[[AGRUP. CLAS. PROF.]:[AGRUP. CLAS. PROF.]]=$B36,IF(DATOS_[[Check Periodo Ref.]:[Check Periodo Ref.]]="Dentro",DATOS_[Conc.Sal.02]))))),
0)</f>
        <v>0</v>
      </c>
      <c r="H37" s="170">
        <f t="array" ref="H37">IFERROR(
MEDIAN((IF(DATOS_[[Sexo]:[Sexo]]=$B37,IF(DATOS_[[AGRUP. CLAS. PROF.]:[AGRUP. CLAS. PROF.]]=$B36,IF(DATOS_[[Check Periodo Ref.]:[Check Periodo Ref.]]="Dentro",DATOS_[Conc.Sal.03]))))),
0)</f>
        <v>0</v>
      </c>
      <c r="I37" s="170">
        <f t="array" ref="I37">IFERROR(
MEDIAN((IF(DATOS_[[Sexo]:[Sexo]]=$B37,IF(DATOS_[[AGRUP. CLAS. PROF.]:[AGRUP. CLAS. PROF.]]=$B36,IF(DATOS_[[Check Periodo Ref.]:[Check Periodo Ref.]]="Dentro",DATOS_[Conc.Sal.04]))))),
0)</f>
        <v>0</v>
      </c>
      <c r="J37" s="170">
        <f t="array" ref="J37">IFERROR(
MEDIAN((IF(DATOS_[[Sexo]:[Sexo]]=$B37,IF(DATOS_[[AGRUP. CLAS. PROF.]:[AGRUP. CLAS. PROF.]]=$B36,IF(DATOS_[[Check Periodo Ref.]:[Check Periodo Ref.]]="Dentro",DATOS_[Conc.Sal.05]))))),
0)</f>
        <v>0</v>
      </c>
      <c r="K37" s="170">
        <f t="array" ref="K37">IFERROR(
MEDIAN((IF(DATOS_[[Sexo]:[Sexo]]=$B37,IF(DATOS_[[AGRUP. CLAS. PROF.]:[AGRUP. CLAS. PROF.]]=$B36,IF(DATOS_[[Check Periodo Ref.]:[Check Periodo Ref.]]="Dentro",DATOS_[Conc.Sal.06]))))),
0)</f>
        <v>0</v>
      </c>
      <c r="L37" s="170">
        <f t="array" ref="L37">IFERROR(
MEDIAN((IF(DATOS_[[Sexo]:[Sexo]]=$B37,IF(DATOS_[[AGRUP. CLAS. PROF.]:[AGRUP. CLAS. PROF.]]=$B36,IF(DATOS_[[Check Periodo Ref.]:[Check Periodo Ref.]]="Dentro",DATOS_[Conc.Sal.07]))))),
0)</f>
        <v>0</v>
      </c>
      <c r="M37" s="170">
        <f t="array" ref="M37">IFERROR(
MEDIAN((IF(DATOS_[[Sexo]:[Sexo]]=$B37,IF(DATOS_[[AGRUP. CLAS. PROF.]:[AGRUP. CLAS. PROF.]]=$B36,IF(DATOS_[[Check Periodo Ref.]:[Check Periodo Ref.]]="Dentro",DATOS_[Conc.Sal.08]))))),
0)</f>
        <v>0</v>
      </c>
      <c r="N37" s="170">
        <f t="array" ref="N37">IFERROR(
MEDIAN((IF(DATOS_[[Sexo]:[Sexo]]=$B37,IF(DATOS_[[AGRUP. CLAS. PROF.]:[AGRUP. CLAS. PROF.]]=$B36,IF(DATOS_[[Check Periodo Ref.]:[Check Periodo Ref.]]="Dentro",DATOS_[Conc.Sal.09]))))),
0)</f>
        <v>0</v>
      </c>
      <c r="O37" s="170">
        <f t="array" ref="O37">IFERROR(
MEDIAN((IF(DATOS_[[Sexo]:[Sexo]]=$B37,IF(DATOS_[[AGRUP. CLAS. PROF.]:[AGRUP. CLAS. PROF.]]=$B36,IF(DATOS_[[Check Periodo Ref.]:[Check Periodo Ref.]]="Dentro",DATOS_[Conc.Sal.10]))))),
0)</f>
        <v>0</v>
      </c>
      <c r="P37" s="170">
        <f t="array" ref="P37">IFERROR(
MEDIAN((IF(DATOS_[[Sexo]:[Sexo]]=$B37,IF(DATOS_[[AGRUP. CLAS. PROF.]:[AGRUP. CLAS. PROF.]]=$B36,IF(DATOS_[[Check Periodo Ref.]:[Check Periodo Ref.]]="Dentro",DATOS_[Conc.Sal.11]))))),
0)</f>
        <v>0</v>
      </c>
      <c r="Q37" s="170">
        <f t="array" ref="Q37">IFERROR(
MEDIAN((IF(DATOS_[[Sexo]:[Sexo]]=$B37,IF(DATOS_[[AGRUP. CLAS. PROF.]:[AGRUP. CLAS. PROF.]]=$B36,IF(DATOS_[[Check Periodo Ref.]:[Check Periodo Ref.]]="Dentro",DATOS_[Conc.Sal.12]))))),
0)</f>
        <v>0</v>
      </c>
      <c r="R37" s="170">
        <f t="array" ref="R37">IFERROR(
MEDIAN((IF(DATOS_[[Sexo]:[Sexo]]=$B37,IF(DATOS_[[AGRUP. CLAS. PROF.]:[AGRUP. CLAS. PROF.]]=$B36,IF(DATOS_[[Check Periodo Ref.]:[Check Periodo Ref.]]="Dentro",DATOS_[Conc.Sal.13]))))),
0)</f>
        <v>0</v>
      </c>
      <c r="S37" s="170">
        <f t="array" ref="S37">IFERROR(
MEDIAN((IF(DATOS_[[Sexo]:[Sexo]]=$B37,IF(DATOS_[[AGRUP. CLAS. PROF.]:[AGRUP. CLAS. PROF.]]=$B36,IF(DATOS_[[Check Periodo Ref.]:[Check Periodo Ref.]]="Dentro",DATOS_[Conc.Sal.14]))))),
0)</f>
        <v>0</v>
      </c>
      <c r="T37" s="170">
        <f t="array" ref="T37">IFERROR(
MEDIAN((IF(DATOS_[[Sexo]:[Sexo]]=$B37,IF(DATOS_[[AGRUP. CLAS. PROF.]:[AGRUP. CLAS. PROF.]]=$B36,IF(DATOS_[[Check Periodo Ref.]:[Check Periodo Ref.]]="Dentro",DATOS_[Conc.Sal.15]))))),
0)</f>
        <v>0</v>
      </c>
      <c r="U37" s="170">
        <f t="array" ref="U37">IFERROR(
MEDIAN((IF(DATOS_[[Sexo]:[Sexo]]=$B37,IF(DATOS_[[AGRUP. CLAS. PROF.]:[AGRUP. CLAS. PROF.]]=$B36,IF(DATOS_[[Check Periodo Ref.]:[Check Periodo Ref.]]="Dentro",DATOS_[Conc.Sal.16]))))),
0)</f>
        <v>0</v>
      </c>
      <c r="V37" s="170">
        <f t="array" ref="V37">IFERROR(
MEDIAN((IF(DATOS_[[Sexo]:[Sexo]]=$B37,IF(DATOS_[[AGRUP. CLAS. PROF.]:[AGRUP. CLAS. PROF.]]=$B36,IF(DATOS_[[Check Periodo Ref.]:[Check Periodo Ref.]]="Dentro",DATOS_[Conc.Sal.17]))))),
0)</f>
        <v>0</v>
      </c>
      <c r="W37" s="170">
        <f t="array" ref="W37">IFERROR(
MEDIAN((IF(DATOS_[[Sexo]:[Sexo]]=$B37,IF(DATOS_[[AGRUP. CLAS. PROF.]:[AGRUP. CLAS. PROF.]]=$B36,IF(DATOS_[[Check Periodo Ref.]:[Check Periodo Ref.]]="Dentro",DATOS_[Conc.Sal.18]))))),
0)</f>
        <v>0</v>
      </c>
      <c r="X37" s="170">
        <f t="array" ref="X37">IFERROR(
MEDIAN((IF(DATOS_[[Sexo]:[Sexo]]=$B37,IF(DATOS_[[AGRUP. CLAS. PROF.]:[AGRUP. CLAS. PROF.]]=$B36,IF(DATOS_[[Check Periodo Ref.]:[Check Periodo Ref.]]="Dentro",DATOS_[Conc.Sal.19]))))),
0)</f>
        <v>0</v>
      </c>
      <c r="Y37" s="170">
        <f t="array" ref="Y37">IFERROR(
MEDIAN((IF(DATOS_[[Sexo]:[Sexo]]=$B37,IF(DATOS_[[AGRUP. CLAS. PROF.]:[AGRUP. CLAS. PROF.]]=$B36,IF(DATOS_[[Check Periodo Ref.]:[Check Periodo Ref.]]="Dentro",DATOS_[Conc.Sal.20]))))),
0)</f>
        <v>0</v>
      </c>
      <c r="Z37" s="170">
        <f t="array" ref="Z37">IFERROR(
MEDIAN((IF(DATOS_[[Sexo]:[Sexo]]=$B37,IF(DATOS_[[AGRUP. CLAS. PROF.]:[AGRUP. CLAS. PROF.]]=$B36,IF(DATOS_[[Check Periodo Ref.]:[Check Periodo Ref.]]="Dentro",DATOS_[Conc.Sal.21]))))),
0)</f>
        <v>0</v>
      </c>
      <c r="AA37" s="170">
        <f t="array" ref="AA37">IFERROR(
MEDIAN((IF(DATOS_[[Sexo]:[Sexo]]=$B37,IF(DATOS_[[AGRUP. CLAS. PROF.]:[AGRUP. CLAS. PROF.]]=$B36,IF(DATOS_[[Check Periodo Ref.]:[Check Periodo Ref.]]="Dentro",DATOS_[Conc.Sal.22]))))),
0)</f>
        <v>0</v>
      </c>
      <c r="AB37" s="170">
        <f t="array" ref="AB37">IFERROR(
MEDIAN((IF(DATOS_[[Sexo]:[Sexo]]=$B37,IF(DATOS_[[AGRUP. CLAS. PROF.]:[AGRUP. CLAS. PROF.]]=$B36,IF(DATOS_[[Check Periodo Ref.]:[Check Periodo Ref.]]="Dentro",DATOS_[Conc.Sal.23]))))),
0)</f>
        <v>0</v>
      </c>
      <c r="AC37" s="170">
        <f t="array" ref="AC37">IFERROR(
MEDIAN((IF(DATOS_[[Sexo]:[Sexo]]=$B37,IF(DATOS_[[AGRUP. CLAS. PROF.]:[AGRUP. CLAS. PROF.]]=$B36,IF(DATOS_[[Check Periodo Ref.]:[Check Periodo Ref.]]="Dentro",DATOS_[Conc.Sal.24]))))),
0)</f>
        <v>0</v>
      </c>
      <c r="AD37" s="170">
        <f t="array" ref="AD37">IFERROR(
MEDIAN((IF(DATOS_[[Sexo]:[Sexo]]=$B37,IF(DATOS_[[AGRUP. CLAS. PROF.]:[AGRUP. CLAS. PROF.]]=$B36,IF(DATOS_[[Check Periodo Ref.]:[Check Periodo Ref.]]="Dentro",DATOS_[Conc.Sal.25]))))),
0)</f>
        <v>0</v>
      </c>
      <c r="AE37" s="170">
        <f t="array" ref="AE37">IFERROR(
MEDIAN((IF(DATOS_[[Sexo]:[Sexo]]=$B37,IF(DATOS_[[AGRUP. CLAS. PROF.]:[AGRUP. CLAS. PROF.]]=$B36,IF(DATOS_[[Check Periodo Ref.]:[Check Periodo Ref.]]="Dentro",DATOS_[Conc.Sal.26]))))),
0)</f>
        <v>0</v>
      </c>
      <c r="AF37" s="170">
        <f t="array" ref="AF37">IFERROR(
MEDIAN((IF(DATOS_[[Sexo]:[Sexo]]=$B37,IF(DATOS_[[AGRUP. CLAS. PROF.]:[AGRUP. CLAS. PROF.]]=$B36,IF(DATOS_[[Check Periodo Ref.]:[Check Periodo Ref.]]="Dentro",DATOS_[Conc.Sal.27]))))),
0)</f>
        <v>0</v>
      </c>
      <c r="AG37" s="170">
        <f t="array" ref="AG37">IFERROR(
MEDIAN((IF(DATOS_[[Sexo]:[Sexo]]=$B37,IF(DATOS_[[AGRUP. CLAS. PROF.]:[AGRUP. CLAS. PROF.]]=$B36,IF(DATOS_[[Check Periodo Ref.]:[Check Periodo Ref.]]="Dentro",DATOS_[Conc.Sal.28]))))),
0)</f>
        <v>0</v>
      </c>
      <c r="AH37" s="170">
        <f t="array" ref="AH37">IFERROR(
MEDIAN((IF(DATOS_[[Sexo]:[Sexo]]=$B37,IF(DATOS_[[AGRUP. CLAS. PROF.]:[AGRUP. CLAS. PROF.]]=$B36,IF(DATOS_[[Check Periodo Ref.]:[Check Periodo Ref.]]="Dentro",DATOS_[Conc.Sal.29]))))),
0)</f>
        <v>0</v>
      </c>
      <c r="AI37" s="170">
        <f t="array" ref="AI37">IFERROR(
MEDIAN((IF(DATOS_[[Sexo]:[Sexo]]=$B37,IF(DATOS_[[AGRUP. CLAS. PROF.]:[AGRUP. CLAS. PROF.]]=$B36,IF(DATOS_[[Check Periodo Ref.]:[Check Periodo Ref.]]="Dentro",DATOS_[Conc.Sal.30]))))),
0)</f>
        <v>0</v>
      </c>
      <c r="AJ37" s="171">
        <f t="array" ref="AJ37">IFERROR(
MEDIAN(IF(DATOS_[Sexo]=$B37,IF(DATOS_[AGRUP. CLAS. PROF.]=$B36,IF(DATOS_[Check Periodo Ref.]="Dentro",DATOS_[Tot COMPL.SAL Ef],FALSE)))),
0)</f>
        <v>0</v>
      </c>
      <c r="AK37" s="172">
        <f t="array" ref="AK37">IFERROR(
MEDIAN(IF(DATOS_[Sexo]=$B37,IF(DATOS_[AGRUP. CLAS. PROF.]=$B36,IF(DATOS_[Check Periodo Ref.]="Dentro",DATOS_[TOTAL SALARIO Ef],FALSE)))),
0)</f>
        <v>0</v>
      </c>
      <c r="AL37" s="173">
        <f t="array" ref="AL37">IFERROR(
MEDIAN((IF(DATOS_[[Sexo]:[Sexo]]=$B37,IF(DATOS_[[AGRUP. CLAS. PROF.]:[AGRUP. CLAS. PROF.]]=$B36,IF(DATOS_[[Check Periodo Ref.]:[Check Periodo Ref.]]="Dentro",DATOS_[C.Extra.01]))))),
0)</f>
        <v>0</v>
      </c>
      <c r="AM37" s="173">
        <f t="array" ref="AM37">IFERROR(
MEDIAN((IF(DATOS_[[Sexo]:[Sexo]]=$B37,IF(DATOS_[[AGRUP. CLAS. PROF.]:[AGRUP. CLAS. PROF.]]=$B36,IF(DATOS_[[Check Periodo Ref.]:[Check Periodo Ref.]]="Dentro",DATOS_[C.Extra.06]))))),
0)</f>
        <v>0</v>
      </c>
      <c r="AN37" s="173">
        <f t="array" ref="AN37">IFERROR(
MEDIAN((IF(DATOS_[[Sexo]:[Sexo]]=$B37,IF(DATOS_[[AGRUP. CLAS. PROF.]:[AGRUP. CLAS. PROF.]]=$B36,IF(DATOS_[[Check Periodo Ref.]:[Check Periodo Ref.]]="Dentro",DATOS_[C.Extra.07]))))),
0)</f>
        <v>0</v>
      </c>
      <c r="AO37" s="173">
        <f t="array" ref="AO37">IFERROR(
MEDIAN((IF(DATOS_[[Sexo]:[Sexo]]=$B37,IF(DATOS_[[AGRUP. CLAS. PROF.]:[AGRUP. CLAS. PROF.]]=$B36,IF(DATOS_[[Check Periodo Ref.]:[Check Periodo Ref.]]="Dentro",DATOS_[C.Extra.08]))))),
0)</f>
        <v>0</v>
      </c>
      <c r="AP37" s="173">
        <f t="array" ref="AP37">IFERROR(
MEDIAN((IF(DATOS_[[Sexo]:[Sexo]]=$B37,IF(DATOS_[[AGRUP. CLAS. PROF.]:[AGRUP. CLAS. PROF.]]=$B36,IF(DATOS_[[Check Periodo Ref.]:[Check Periodo Ref.]]="Dentro",DATOS_[C.Extra.11]))))),
0)</f>
        <v>0</v>
      </c>
      <c r="AQ37" s="174">
        <f t="array" ref="AQ37">IFERROR(
MEDIAN(IF(DATOS_[Sexo]=$B37,IF(DATOS_[AGRUP. CLAS. PROF.]=$B36,IF(DATOS_[Check Periodo Ref.]="Dentro",DATOS_[Tot Extrasalarial Ef],FALSE)))),
0)</f>
        <v>0</v>
      </c>
      <c r="AR37" s="171">
        <f t="array" ref="AR37">IFERROR(
MEDIAN(IF(DATOS_[Sexo]=$B37,IF(DATOS_[AGRUP. CLAS. PROF.]=$B36,IF(DATOS_[Check Periodo Ref.]="Dentro",DATOS_[TOTAL Retrib Ef],FALSE)))),
0)</f>
        <v>0</v>
      </c>
    </row>
    <row r="38" spans="1:44" hidden="1" x14ac:dyDescent="0.25">
      <c r="A38" s="178" t="str">
        <f t="shared" ref="A38" si="34">+A37</f>
        <v>[ocultar]</v>
      </c>
      <c r="B38" s="166" t="s">
        <v>521</v>
      </c>
      <c r="C38" s="167">
        <f t="array" ref="C38">SUM(IF($B38=DATOS_[Sexo],
IF($B36=DATOS_[AGRUP. CLAS. PROF.],
IF("Dentro"=DATOS_[Check Periodo Ref.],
1/(COUNTIFS(DATOS_[Sexo],$B38,DATOS_[AGRUP. CLAS. PROF.],$B36,DATOS_[Check Periodo Ref.],"Dentro",DATOS_[id/cod],DATOS_[id/cod]))))))</f>
        <v>0</v>
      </c>
      <c r="D38" s="168">
        <f>COUNTIFS(DATOS_[AGRUP. CLAS. PROF.],$B36,DATOS_[Sexo],$B38,DATOS_[Check Periodo Ref.],"Dentro")</f>
        <v>0</v>
      </c>
      <c r="E38" s="169">
        <f t="array" ref="E38">IFERROR(
MEDIAN(IF(DATOS_[Sexo]=$B38,IF(DATOS_[AGRUP. CLAS. PROF.]=$B36,IF(DATOS_[Check Periodo Ref.]="Dentro",DATOS_[SALARIO BASE Ef],FALSE)))),
0)</f>
        <v>0</v>
      </c>
      <c r="F38" s="170">
        <f t="array" ref="F38">IFERROR(
MEDIAN((IF(DATOS_[[Sexo]:[Sexo]]=$B38,IF(DATOS_[[AGRUP. CLAS. PROF.]:[AGRUP. CLAS. PROF.]]=$B36,IF(DATOS_[[Check Periodo Ref.]:[Check Periodo Ref.]]="Dentro",DATOS_[Conc.Sal.01]))))),
0)</f>
        <v>0</v>
      </c>
      <c r="G38" s="170">
        <f t="array" ref="G38">IFERROR(
MEDIAN((IF(DATOS_[[Sexo]:[Sexo]]=$B38,IF(DATOS_[[AGRUP. CLAS. PROF.]:[AGRUP. CLAS. PROF.]]=$B36,IF(DATOS_[[Check Periodo Ref.]:[Check Periodo Ref.]]="Dentro",DATOS_[Conc.Sal.02]))))),
0)</f>
        <v>0</v>
      </c>
      <c r="H38" s="170">
        <f t="array" ref="H38">IFERROR(
MEDIAN((IF(DATOS_[[Sexo]:[Sexo]]=$B38,IF(DATOS_[[AGRUP. CLAS. PROF.]:[AGRUP. CLAS. PROF.]]=$B36,IF(DATOS_[[Check Periodo Ref.]:[Check Periodo Ref.]]="Dentro",DATOS_[Conc.Sal.03]))))),
0)</f>
        <v>0</v>
      </c>
      <c r="I38" s="170">
        <f t="array" ref="I38">IFERROR(
MEDIAN((IF(DATOS_[[Sexo]:[Sexo]]=$B38,IF(DATOS_[[AGRUP. CLAS. PROF.]:[AGRUP. CLAS. PROF.]]=$B36,IF(DATOS_[[Check Periodo Ref.]:[Check Periodo Ref.]]="Dentro",DATOS_[Conc.Sal.04]))))),
0)</f>
        <v>0</v>
      </c>
      <c r="J38" s="170">
        <f t="array" ref="J38">IFERROR(
MEDIAN((IF(DATOS_[[Sexo]:[Sexo]]=$B38,IF(DATOS_[[AGRUP. CLAS. PROF.]:[AGRUP. CLAS. PROF.]]=$B36,IF(DATOS_[[Check Periodo Ref.]:[Check Periodo Ref.]]="Dentro",DATOS_[Conc.Sal.05]))))),
0)</f>
        <v>0</v>
      </c>
      <c r="K38" s="170">
        <f t="array" ref="K38">IFERROR(
MEDIAN((IF(DATOS_[[Sexo]:[Sexo]]=$B38,IF(DATOS_[[AGRUP. CLAS. PROF.]:[AGRUP. CLAS. PROF.]]=$B36,IF(DATOS_[[Check Periodo Ref.]:[Check Periodo Ref.]]="Dentro",DATOS_[Conc.Sal.06]))))),
0)</f>
        <v>0</v>
      </c>
      <c r="L38" s="170">
        <f t="array" ref="L38">IFERROR(
MEDIAN((IF(DATOS_[[Sexo]:[Sexo]]=$B38,IF(DATOS_[[AGRUP. CLAS. PROF.]:[AGRUP. CLAS. PROF.]]=$B36,IF(DATOS_[[Check Periodo Ref.]:[Check Periodo Ref.]]="Dentro",DATOS_[Conc.Sal.07]))))),
0)</f>
        <v>0</v>
      </c>
      <c r="M38" s="170">
        <f t="array" ref="M38">IFERROR(
MEDIAN((IF(DATOS_[[Sexo]:[Sexo]]=$B38,IF(DATOS_[[AGRUP. CLAS. PROF.]:[AGRUP. CLAS. PROF.]]=$B36,IF(DATOS_[[Check Periodo Ref.]:[Check Periodo Ref.]]="Dentro",DATOS_[Conc.Sal.08]))))),
0)</f>
        <v>0</v>
      </c>
      <c r="N38" s="170">
        <f t="array" ref="N38">IFERROR(
MEDIAN((IF(DATOS_[[Sexo]:[Sexo]]=$B38,IF(DATOS_[[AGRUP. CLAS. PROF.]:[AGRUP. CLAS. PROF.]]=$B36,IF(DATOS_[[Check Periodo Ref.]:[Check Periodo Ref.]]="Dentro",DATOS_[Conc.Sal.09]))))),
0)</f>
        <v>0</v>
      </c>
      <c r="O38" s="170">
        <f t="array" ref="O38">IFERROR(
MEDIAN((IF(DATOS_[[Sexo]:[Sexo]]=$B38,IF(DATOS_[[AGRUP. CLAS. PROF.]:[AGRUP. CLAS. PROF.]]=$B36,IF(DATOS_[[Check Periodo Ref.]:[Check Periodo Ref.]]="Dentro",DATOS_[Conc.Sal.10]))))),
0)</f>
        <v>0</v>
      </c>
      <c r="P38" s="170">
        <f t="array" ref="P38">IFERROR(
MEDIAN((IF(DATOS_[[Sexo]:[Sexo]]=$B38,IF(DATOS_[[AGRUP. CLAS. PROF.]:[AGRUP. CLAS. PROF.]]=$B36,IF(DATOS_[[Check Periodo Ref.]:[Check Periodo Ref.]]="Dentro",DATOS_[Conc.Sal.11]))))),
0)</f>
        <v>0</v>
      </c>
      <c r="Q38" s="170">
        <f t="array" ref="Q38">IFERROR(
MEDIAN((IF(DATOS_[[Sexo]:[Sexo]]=$B38,IF(DATOS_[[AGRUP. CLAS. PROF.]:[AGRUP. CLAS. PROF.]]=$B36,IF(DATOS_[[Check Periodo Ref.]:[Check Periodo Ref.]]="Dentro",DATOS_[Conc.Sal.12]))))),
0)</f>
        <v>0</v>
      </c>
      <c r="R38" s="170">
        <f t="array" ref="R38">IFERROR(
MEDIAN((IF(DATOS_[[Sexo]:[Sexo]]=$B38,IF(DATOS_[[AGRUP. CLAS. PROF.]:[AGRUP. CLAS. PROF.]]=$B36,IF(DATOS_[[Check Periodo Ref.]:[Check Periodo Ref.]]="Dentro",DATOS_[Conc.Sal.13]))))),
0)</f>
        <v>0</v>
      </c>
      <c r="S38" s="170">
        <f t="array" ref="S38">IFERROR(
MEDIAN((IF(DATOS_[[Sexo]:[Sexo]]=$B38,IF(DATOS_[[AGRUP. CLAS. PROF.]:[AGRUP. CLAS. PROF.]]=$B36,IF(DATOS_[[Check Periodo Ref.]:[Check Periodo Ref.]]="Dentro",DATOS_[Conc.Sal.14]))))),
0)</f>
        <v>0</v>
      </c>
      <c r="T38" s="170">
        <f t="array" ref="T38">IFERROR(
MEDIAN((IF(DATOS_[[Sexo]:[Sexo]]=$B38,IF(DATOS_[[AGRUP. CLAS. PROF.]:[AGRUP. CLAS. PROF.]]=$B36,IF(DATOS_[[Check Periodo Ref.]:[Check Periodo Ref.]]="Dentro",DATOS_[Conc.Sal.15]))))),
0)</f>
        <v>0</v>
      </c>
      <c r="U38" s="170">
        <f t="array" ref="U38">IFERROR(
MEDIAN((IF(DATOS_[[Sexo]:[Sexo]]=$B38,IF(DATOS_[[AGRUP. CLAS. PROF.]:[AGRUP. CLAS. PROF.]]=$B36,IF(DATOS_[[Check Periodo Ref.]:[Check Periodo Ref.]]="Dentro",DATOS_[Conc.Sal.16]))))),
0)</f>
        <v>0</v>
      </c>
      <c r="V38" s="170">
        <f t="array" ref="V38">IFERROR(
MEDIAN((IF(DATOS_[[Sexo]:[Sexo]]=$B38,IF(DATOS_[[AGRUP. CLAS. PROF.]:[AGRUP. CLAS. PROF.]]=$B36,IF(DATOS_[[Check Periodo Ref.]:[Check Periodo Ref.]]="Dentro",DATOS_[Conc.Sal.17]))))),
0)</f>
        <v>0</v>
      </c>
      <c r="W38" s="170">
        <f t="array" ref="W38">IFERROR(
MEDIAN((IF(DATOS_[[Sexo]:[Sexo]]=$B38,IF(DATOS_[[AGRUP. CLAS. PROF.]:[AGRUP. CLAS. PROF.]]=$B36,IF(DATOS_[[Check Periodo Ref.]:[Check Periodo Ref.]]="Dentro",DATOS_[Conc.Sal.18]))))),
0)</f>
        <v>0</v>
      </c>
      <c r="X38" s="170">
        <f t="array" ref="X38">IFERROR(
MEDIAN((IF(DATOS_[[Sexo]:[Sexo]]=$B38,IF(DATOS_[[AGRUP. CLAS. PROF.]:[AGRUP. CLAS. PROF.]]=$B36,IF(DATOS_[[Check Periodo Ref.]:[Check Periodo Ref.]]="Dentro",DATOS_[Conc.Sal.19]))))),
0)</f>
        <v>0</v>
      </c>
      <c r="Y38" s="170">
        <f t="array" ref="Y38">IFERROR(
MEDIAN((IF(DATOS_[[Sexo]:[Sexo]]=$B38,IF(DATOS_[[AGRUP. CLAS. PROF.]:[AGRUP. CLAS. PROF.]]=$B36,IF(DATOS_[[Check Periodo Ref.]:[Check Periodo Ref.]]="Dentro",DATOS_[Conc.Sal.20]))))),
0)</f>
        <v>0</v>
      </c>
      <c r="Z38" s="170">
        <f t="array" ref="Z38">IFERROR(
MEDIAN((IF(DATOS_[[Sexo]:[Sexo]]=$B38,IF(DATOS_[[AGRUP. CLAS. PROF.]:[AGRUP. CLAS. PROF.]]=$B36,IF(DATOS_[[Check Periodo Ref.]:[Check Periodo Ref.]]="Dentro",DATOS_[Conc.Sal.21]))))),
0)</f>
        <v>0</v>
      </c>
      <c r="AA38" s="170">
        <f t="array" ref="AA38">IFERROR(
MEDIAN((IF(DATOS_[[Sexo]:[Sexo]]=$B38,IF(DATOS_[[AGRUP. CLAS. PROF.]:[AGRUP. CLAS. PROF.]]=$B36,IF(DATOS_[[Check Periodo Ref.]:[Check Periodo Ref.]]="Dentro",DATOS_[Conc.Sal.22]))))),
0)</f>
        <v>0</v>
      </c>
      <c r="AB38" s="170">
        <f t="array" ref="AB38">IFERROR(
MEDIAN((IF(DATOS_[[Sexo]:[Sexo]]=$B38,IF(DATOS_[[AGRUP. CLAS. PROF.]:[AGRUP. CLAS. PROF.]]=$B36,IF(DATOS_[[Check Periodo Ref.]:[Check Periodo Ref.]]="Dentro",DATOS_[Conc.Sal.23]))))),
0)</f>
        <v>0</v>
      </c>
      <c r="AC38" s="170">
        <f t="array" ref="AC38">IFERROR(
MEDIAN((IF(DATOS_[[Sexo]:[Sexo]]=$B38,IF(DATOS_[[AGRUP. CLAS. PROF.]:[AGRUP. CLAS. PROF.]]=$B36,IF(DATOS_[[Check Periodo Ref.]:[Check Periodo Ref.]]="Dentro",DATOS_[Conc.Sal.24]))))),
0)</f>
        <v>0</v>
      </c>
      <c r="AD38" s="170">
        <f t="array" ref="AD38">IFERROR(
MEDIAN((IF(DATOS_[[Sexo]:[Sexo]]=$B38,IF(DATOS_[[AGRUP. CLAS. PROF.]:[AGRUP. CLAS. PROF.]]=$B36,IF(DATOS_[[Check Periodo Ref.]:[Check Periodo Ref.]]="Dentro",DATOS_[Conc.Sal.25]))))),
0)</f>
        <v>0</v>
      </c>
      <c r="AE38" s="170">
        <f t="array" ref="AE38">IFERROR(
MEDIAN((IF(DATOS_[[Sexo]:[Sexo]]=$B38,IF(DATOS_[[AGRUP. CLAS. PROF.]:[AGRUP. CLAS. PROF.]]=$B36,IF(DATOS_[[Check Periodo Ref.]:[Check Periodo Ref.]]="Dentro",DATOS_[Conc.Sal.26]))))),
0)</f>
        <v>0</v>
      </c>
      <c r="AF38" s="170">
        <f t="array" ref="AF38">IFERROR(
MEDIAN((IF(DATOS_[[Sexo]:[Sexo]]=$B38,IF(DATOS_[[AGRUP. CLAS. PROF.]:[AGRUP. CLAS. PROF.]]=$B36,IF(DATOS_[[Check Periodo Ref.]:[Check Periodo Ref.]]="Dentro",DATOS_[Conc.Sal.27]))))),
0)</f>
        <v>0</v>
      </c>
      <c r="AG38" s="170">
        <f t="array" ref="AG38">IFERROR(
MEDIAN((IF(DATOS_[[Sexo]:[Sexo]]=$B38,IF(DATOS_[[AGRUP. CLAS. PROF.]:[AGRUP. CLAS. PROF.]]=$B36,IF(DATOS_[[Check Periodo Ref.]:[Check Periodo Ref.]]="Dentro",DATOS_[Conc.Sal.28]))))),
0)</f>
        <v>0</v>
      </c>
      <c r="AH38" s="170">
        <f t="array" ref="AH38">IFERROR(
MEDIAN((IF(DATOS_[[Sexo]:[Sexo]]=$B38,IF(DATOS_[[AGRUP. CLAS. PROF.]:[AGRUP. CLAS. PROF.]]=$B36,IF(DATOS_[[Check Periodo Ref.]:[Check Periodo Ref.]]="Dentro",DATOS_[Conc.Sal.29]))))),
0)</f>
        <v>0</v>
      </c>
      <c r="AI38" s="170">
        <f t="array" ref="AI38">IFERROR(
MEDIAN((IF(DATOS_[[Sexo]:[Sexo]]=$B38,IF(DATOS_[[AGRUP. CLAS. PROF.]:[AGRUP. CLAS. PROF.]]=$B36,IF(DATOS_[[Check Periodo Ref.]:[Check Periodo Ref.]]="Dentro",DATOS_[Conc.Sal.30]))))),
0)</f>
        <v>0</v>
      </c>
      <c r="AJ38" s="171">
        <f t="array" ref="AJ38">IFERROR(
MEDIAN(IF(DATOS_[Sexo]=$B38,IF(DATOS_[AGRUP. CLAS. PROF.]=$B36,IF(DATOS_[Check Periodo Ref.]="Dentro",DATOS_[Tot COMPL.SAL Ef],FALSE)))),
0)</f>
        <v>0</v>
      </c>
      <c r="AK38" s="172">
        <f t="array" ref="AK38">IFERROR(
MEDIAN(IF(DATOS_[Sexo]=$B38,IF(DATOS_[AGRUP. CLAS. PROF.]=$B36,IF(DATOS_[Check Periodo Ref.]="Dentro",DATOS_[TOTAL SALARIO Ef],FALSE)))),
0)</f>
        <v>0</v>
      </c>
      <c r="AL38" s="173">
        <f t="array" ref="AL38">IFERROR(
MEDIAN((IF(DATOS_[[Sexo]:[Sexo]]=$B38,IF(DATOS_[[AGRUP. CLAS. PROF.]:[AGRUP. CLAS. PROF.]]=$B36,IF(DATOS_[[Check Periodo Ref.]:[Check Periodo Ref.]]="Dentro",DATOS_[C.Extra.01]))))),
0)</f>
        <v>0</v>
      </c>
      <c r="AM38" s="173">
        <f t="array" ref="AM38">IFERROR(
MEDIAN((IF(DATOS_[[Sexo]:[Sexo]]=$B38,IF(DATOS_[[AGRUP. CLAS. PROF.]:[AGRUP. CLAS. PROF.]]=$B36,IF(DATOS_[[Check Periodo Ref.]:[Check Periodo Ref.]]="Dentro",DATOS_[C.Extra.06]))))),
0)</f>
        <v>0</v>
      </c>
      <c r="AN38" s="173">
        <f t="array" ref="AN38">IFERROR(
MEDIAN((IF(DATOS_[[Sexo]:[Sexo]]=$B38,IF(DATOS_[[AGRUP. CLAS. PROF.]:[AGRUP. CLAS. PROF.]]=$B36,IF(DATOS_[[Check Periodo Ref.]:[Check Periodo Ref.]]="Dentro",DATOS_[C.Extra.07]))))),
0)</f>
        <v>0</v>
      </c>
      <c r="AO38" s="173">
        <f t="array" ref="AO38">IFERROR(
MEDIAN((IF(DATOS_[[Sexo]:[Sexo]]=$B38,IF(DATOS_[[AGRUP. CLAS. PROF.]:[AGRUP. CLAS. PROF.]]=$B36,IF(DATOS_[[Check Periodo Ref.]:[Check Periodo Ref.]]="Dentro",DATOS_[C.Extra.08]))))),
0)</f>
        <v>0</v>
      </c>
      <c r="AP38" s="173">
        <f t="array" ref="AP38">IFERROR(
MEDIAN((IF(DATOS_[[Sexo]:[Sexo]]=$B38,IF(DATOS_[[AGRUP. CLAS. PROF.]:[AGRUP. CLAS. PROF.]]=$B36,IF(DATOS_[[Check Periodo Ref.]:[Check Periodo Ref.]]="Dentro",DATOS_[C.Extra.11]))))),
0)</f>
        <v>0</v>
      </c>
      <c r="AQ38" s="174">
        <f t="array" ref="AQ38">IFERROR(
MEDIAN(IF(DATOS_[Sexo]=$B38,IF(DATOS_[AGRUP. CLAS. PROF.]=$B36,IF(DATOS_[Check Periodo Ref.]="Dentro",DATOS_[Tot Extrasalarial Ef],FALSE)))),
0)</f>
        <v>0</v>
      </c>
      <c r="AR38" s="171">
        <f t="array" ref="AR38">IFERROR(
MEDIAN(IF(DATOS_[Sexo]=$B38,IF(DATOS_[AGRUP. CLAS. PROF.]=$B36,IF(DATOS_[Check Periodo Ref.]="Dentro",DATOS_[TOTAL Retrib Ef],FALSE)))),
0)</f>
        <v>0</v>
      </c>
    </row>
    <row r="39" spans="1:44" ht="14.4" hidden="1" thickBot="1" x14ac:dyDescent="0.3">
      <c r="A39" s="178" t="str">
        <f t="shared" ref="A39" si="35">+A40</f>
        <v>[ocultar]</v>
      </c>
      <c r="B39" s="153" t="s">
        <v>208</v>
      </c>
      <c r="C39" s="154"/>
      <c r="D39" s="155"/>
      <c r="E39" s="156" t="str">
        <f t="shared" ref="E39:AR39" si="36">IFERROR((E40-E41)/E40,"")</f>
        <v/>
      </c>
      <c r="F39" s="157" t="str">
        <f t="shared" si="36"/>
        <v/>
      </c>
      <c r="G39" s="158" t="str">
        <f t="shared" si="36"/>
        <v/>
      </c>
      <c r="H39" s="158" t="str">
        <f t="shared" si="36"/>
        <v/>
      </c>
      <c r="I39" s="158" t="str">
        <f t="shared" si="36"/>
        <v/>
      </c>
      <c r="J39" s="159" t="str">
        <f t="shared" si="36"/>
        <v/>
      </c>
      <c r="K39" s="160" t="str">
        <f t="shared" si="36"/>
        <v/>
      </c>
      <c r="L39" s="160" t="str">
        <f t="shared" si="36"/>
        <v/>
      </c>
      <c r="M39" s="160" t="str">
        <f t="shared" si="36"/>
        <v/>
      </c>
      <c r="N39" s="160" t="str">
        <f t="shared" si="36"/>
        <v/>
      </c>
      <c r="O39" s="160" t="str">
        <f t="shared" si="36"/>
        <v/>
      </c>
      <c r="P39" s="160" t="str">
        <f t="shared" si="36"/>
        <v/>
      </c>
      <c r="Q39" s="160" t="str">
        <f t="shared" si="36"/>
        <v/>
      </c>
      <c r="R39" s="160" t="str">
        <f t="shared" si="36"/>
        <v/>
      </c>
      <c r="S39" s="160" t="str">
        <f t="shared" si="36"/>
        <v/>
      </c>
      <c r="T39" s="160" t="str">
        <f t="shared" si="36"/>
        <v/>
      </c>
      <c r="U39" s="160" t="str">
        <f t="shared" si="36"/>
        <v/>
      </c>
      <c r="V39" s="159" t="str">
        <f t="shared" si="36"/>
        <v/>
      </c>
      <c r="W39" s="159" t="str">
        <f t="shared" si="36"/>
        <v/>
      </c>
      <c r="X39" s="159" t="str">
        <f t="shared" si="36"/>
        <v/>
      </c>
      <c r="Y39" s="159" t="str">
        <f t="shared" si="36"/>
        <v/>
      </c>
      <c r="Z39" s="159" t="str">
        <f t="shared" si="36"/>
        <v/>
      </c>
      <c r="AA39" s="159" t="str">
        <f t="shared" si="36"/>
        <v/>
      </c>
      <c r="AB39" s="159" t="str">
        <f t="shared" si="36"/>
        <v/>
      </c>
      <c r="AC39" s="159" t="str">
        <f t="shared" si="36"/>
        <v/>
      </c>
      <c r="AD39" s="159" t="str">
        <f t="shared" si="36"/>
        <v/>
      </c>
      <c r="AE39" s="159" t="str">
        <f t="shared" si="36"/>
        <v/>
      </c>
      <c r="AF39" s="159" t="str">
        <f t="shared" si="36"/>
        <v/>
      </c>
      <c r="AG39" s="159" t="str">
        <f t="shared" si="36"/>
        <v/>
      </c>
      <c r="AH39" s="159" t="str">
        <f t="shared" si="36"/>
        <v/>
      </c>
      <c r="AI39" s="159" t="str">
        <f t="shared" si="36"/>
        <v/>
      </c>
      <c r="AJ39" s="161" t="str">
        <f t="shared" si="36"/>
        <v/>
      </c>
      <c r="AK39" s="162" t="str">
        <f t="shared" si="36"/>
        <v/>
      </c>
      <c r="AL39" s="163" t="str">
        <f t="shared" si="36"/>
        <v/>
      </c>
      <c r="AM39" s="163" t="str">
        <f t="shared" si="36"/>
        <v/>
      </c>
      <c r="AN39" s="163" t="str">
        <f t="shared" si="36"/>
        <v/>
      </c>
      <c r="AO39" s="163" t="str">
        <f t="shared" si="36"/>
        <v/>
      </c>
      <c r="AP39" s="163" t="str">
        <f t="shared" si="36"/>
        <v/>
      </c>
      <c r="AQ39" s="164" t="str">
        <f t="shared" si="36"/>
        <v/>
      </c>
      <c r="AR39" s="161" t="str">
        <f t="shared" si="36"/>
        <v/>
      </c>
    </row>
    <row r="40" spans="1:44" hidden="1" x14ac:dyDescent="0.25">
      <c r="A40" s="178" t="str">
        <f t="shared" ref="A40" si="37">+IF(C40+C41=0,"[ocultar]","")</f>
        <v>[ocultar]</v>
      </c>
      <c r="B40" s="166" t="s">
        <v>394</v>
      </c>
      <c r="C40" s="167">
        <f t="array" ref="C40">SUM(IF($B40=DATOS_[Sexo],
IF($B39=DATOS_[AGRUP. CLAS. PROF.],
IF("Dentro"=DATOS_[Check Periodo Ref.],
1/(COUNTIFS(DATOS_[Sexo],$B40,DATOS_[AGRUP. CLAS. PROF.],$B39,DATOS_[Check Periodo Ref.],"Dentro",DATOS_[id/cod],DATOS_[id/cod]))))))</f>
        <v>0</v>
      </c>
      <c r="D40" s="168">
        <f>COUNTIFS(DATOS_[AGRUP. CLAS. PROF.],$B39,DATOS_[Sexo],$B40,DATOS_[Check Periodo Ref.],"Dentro")</f>
        <v>0</v>
      </c>
      <c r="E40" s="169">
        <f t="array" ref="E40">IFERROR(
MEDIAN(IF(DATOS_[Sexo]=$B40,IF(DATOS_[AGRUP. CLAS. PROF.]=$B39,IF(DATOS_[Check Periodo Ref.]="Dentro",DATOS_[SALARIO BASE Ef],FALSE)))),
0)</f>
        <v>0</v>
      </c>
      <c r="F40" s="170">
        <f t="array" ref="F40">IFERROR(
MEDIAN((IF(DATOS_[[Sexo]:[Sexo]]=$B40,IF(DATOS_[[AGRUP. CLAS. PROF.]:[AGRUP. CLAS. PROF.]]=$B39,IF(DATOS_[[Check Periodo Ref.]:[Check Periodo Ref.]]="Dentro",DATOS_[Conc.Sal.01]))))),
0)</f>
        <v>0</v>
      </c>
      <c r="G40" s="170">
        <f t="array" ref="G40">IFERROR(
MEDIAN((IF(DATOS_[[Sexo]:[Sexo]]=$B40,IF(DATOS_[[AGRUP. CLAS. PROF.]:[AGRUP. CLAS. PROF.]]=$B39,IF(DATOS_[[Check Periodo Ref.]:[Check Periodo Ref.]]="Dentro",DATOS_[Conc.Sal.02]))))),
0)</f>
        <v>0</v>
      </c>
      <c r="H40" s="170">
        <f t="array" ref="H40">IFERROR(
MEDIAN((IF(DATOS_[[Sexo]:[Sexo]]=$B40,IF(DATOS_[[AGRUP. CLAS. PROF.]:[AGRUP. CLAS. PROF.]]=$B39,IF(DATOS_[[Check Periodo Ref.]:[Check Periodo Ref.]]="Dentro",DATOS_[Conc.Sal.03]))))),
0)</f>
        <v>0</v>
      </c>
      <c r="I40" s="170">
        <f t="array" ref="I40">IFERROR(
MEDIAN((IF(DATOS_[[Sexo]:[Sexo]]=$B40,IF(DATOS_[[AGRUP. CLAS. PROF.]:[AGRUP. CLAS. PROF.]]=$B39,IF(DATOS_[[Check Periodo Ref.]:[Check Periodo Ref.]]="Dentro",DATOS_[Conc.Sal.04]))))),
0)</f>
        <v>0</v>
      </c>
      <c r="J40" s="170">
        <f t="array" ref="J40">IFERROR(
MEDIAN((IF(DATOS_[[Sexo]:[Sexo]]=$B40,IF(DATOS_[[AGRUP. CLAS. PROF.]:[AGRUP. CLAS. PROF.]]=$B39,IF(DATOS_[[Check Periodo Ref.]:[Check Periodo Ref.]]="Dentro",DATOS_[Conc.Sal.05]))))),
0)</f>
        <v>0</v>
      </c>
      <c r="K40" s="170">
        <f t="array" ref="K40">IFERROR(
MEDIAN((IF(DATOS_[[Sexo]:[Sexo]]=$B40,IF(DATOS_[[AGRUP. CLAS. PROF.]:[AGRUP. CLAS. PROF.]]=$B39,IF(DATOS_[[Check Periodo Ref.]:[Check Periodo Ref.]]="Dentro",DATOS_[Conc.Sal.06]))))),
0)</f>
        <v>0</v>
      </c>
      <c r="L40" s="170">
        <f t="array" ref="L40">IFERROR(
MEDIAN((IF(DATOS_[[Sexo]:[Sexo]]=$B40,IF(DATOS_[[AGRUP. CLAS. PROF.]:[AGRUP. CLAS. PROF.]]=$B39,IF(DATOS_[[Check Periodo Ref.]:[Check Periodo Ref.]]="Dentro",DATOS_[Conc.Sal.07]))))),
0)</f>
        <v>0</v>
      </c>
      <c r="M40" s="170">
        <f t="array" ref="M40">IFERROR(
MEDIAN((IF(DATOS_[[Sexo]:[Sexo]]=$B40,IF(DATOS_[[AGRUP. CLAS. PROF.]:[AGRUP. CLAS. PROF.]]=$B39,IF(DATOS_[[Check Periodo Ref.]:[Check Periodo Ref.]]="Dentro",DATOS_[Conc.Sal.08]))))),
0)</f>
        <v>0</v>
      </c>
      <c r="N40" s="170">
        <f t="array" ref="N40">IFERROR(
MEDIAN((IF(DATOS_[[Sexo]:[Sexo]]=$B40,IF(DATOS_[[AGRUP. CLAS. PROF.]:[AGRUP. CLAS. PROF.]]=$B39,IF(DATOS_[[Check Periodo Ref.]:[Check Periodo Ref.]]="Dentro",DATOS_[Conc.Sal.09]))))),
0)</f>
        <v>0</v>
      </c>
      <c r="O40" s="170">
        <f t="array" ref="O40">IFERROR(
MEDIAN((IF(DATOS_[[Sexo]:[Sexo]]=$B40,IF(DATOS_[[AGRUP. CLAS. PROF.]:[AGRUP. CLAS. PROF.]]=$B39,IF(DATOS_[[Check Periodo Ref.]:[Check Periodo Ref.]]="Dentro",DATOS_[Conc.Sal.10]))))),
0)</f>
        <v>0</v>
      </c>
      <c r="P40" s="170">
        <f t="array" ref="P40">IFERROR(
MEDIAN((IF(DATOS_[[Sexo]:[Sexo]]=$B40,IF(DATOS_[[AGRUP. CLAS. PROF.]:[AGRUP. CLAS. PROF.]]=$B39,IF(DATOS_[[Check Periodo Ref.]:[Check Periodo Ref.]]="Dentro",DATOS_[Conc.Sal.11]))))),
0)</f>
        <v>0</v>
      </c>
      <c r="Q40" s="170">
        <f t="array" ref="Q40">IFERROR(
MEDIAN((IF(DATOS_[[Sexo]:[Sexo]]=$B40,IF(DATOS_[[AGRUP. CLAS. PROF.]:[AGRUP. CLAS. PROF.]]=$B39,IF(DATOS_[[Check Periodo Ref.]:[Check Periodo Ref.]]="Dentro",DATOS_[Conc.Sal.12]))))),
0)</f>
        <v>0</v>
      </c>
      <c r="R40" s="170">
        <f t="array" ref="R40">IFERROR(
MEDIAN((IF(DATOS_[[Sexo]:[Sexo]]=$B40,IF(DATOS_[[AGRUP. CLAS. PROF.]:[AGRUP. CLAS. PROF.]]=$B39,IF(DATOS_[[Check Periodo Ref.]:[Check Periodo Ref.]]="Dentro",DATOS_[Conc.Sal.13]))))),
0)</f>
        <v>0</v>
      </c>
      <c r="S40" s="170">
        <f t="array" ref="S40">IFERROR(
MEDIAN((IF(DATOS_[[Sexo]:[Sexo]]=$B40,IF(DATOS_[[AGRUP. CLAS. PROF.]:[AGRUP. CLAS. PROF.]]=$B39,IF(DATOS_[[Check Periodo Ref.]:[Check Periodo Ref.]]="Dentro",DATOS_[Conc.Sal.14]))))),
0)</f>
        <v>0</v>
      </c>
      <c r="T40" s="170">
        <f t="array" ref="T40">IFERROR(
MEDIAN((IF(DATOS_[[Sexo]:[Sexo]]=$B40,IF(DATOS_[[AGRUP. CLAS. PROF.]:[AGRUP. CLAS. PROF.]]=$B39,IF(DATOS_[[Check Periodo Ref.]:[Check Periodo Ref.]]="Dentro",DATOS_[Conc.Sal.15]))))),
0)</f>
        <v>0</v>
      </c>
      <c r="U40" s="170">
        <f t="array" ref="U40">IFERROR(
MEDIAN((IF(DATOS_[[Sexo]:[Sexo]]=$B40,IF(DATOS_[[AGRUP. CLAS. PROF.]:[AGRUP. CLAS. PROF.]]=$B39,IF(DATOS_[[Check Periodo Ref.]:[Check Periodo Ref.]]="Dentro",DATOS_[Conc.Sal.16]))))),
0)</f>
        <v>0</v>
      </c>
      <c r="V40" s="170">
        <f t="array" ref="V40">IFERROR(
MEDIAN((IF(DATOS_[[Sexo]:[Sexo]]=$B40,IF(DATOS_[[AGRUP. CLAS. PROF.]:[AGRUP. CLAS. PROF.]]=$B39,IF(DATOS_[[Check Periodo Ref.]:[Check Periodo Ref.]]="Dentro",DATOS_[Conc.Sal.17]))))),
0)</f>
        <v>0</v>
      </c>
      <c r="W40" s="170">
        <f t="array" ref="W40">IFERROR(
MEDIAN((IF(DATOS_[[Sexo]:[Sexo]]=$B40,IF(DATOS_[[AGRUP. CLAS. PROF.]:[AGRUP. CLAS. PROF.]]=$B39,IF(DATOS_[[Check Periodo Ref.]:[Check Periodo Ref.]]="Dentro",DATOS_[Conc.Sal.18]))))),
0)</f>
        <v>0</v>
      </c>
      <c r="X40" s="170">
        <f t="array" ref="X40">IFERROR(
MEDIAN((IF(DATOS_[[Sexo]:[Sexo]]=$B40,IF(DATOS_[[AGRUP. CLAS. PROF.]:[AGRUP. CLAS. PROF.]]=$B39,IF(DATOS_[[Check Periodo Ref.]:[Check Periodo Ref.]]="Dentro",DATOS_[Conc.Sal.19]))))),
0)</f>
        <v>0</v>
      </c>
      <c r="Y40" s="170">
        <f t="array" ref="Y40">IFERROR(
MEDIAN((IF(DATOS_[[Sexo]:[Sexo]]=$B40,IF(DATOS_[[AGRUP. CLAS. PROF.]:[AGRUP. CLAS. PROF.]]=$B39,IF(DATOS_[[Check Periodo Ref.]:[Check Periodo Ref.]]="Dentro",DATOS_[Conc.Sal.20]))))),
0)</f>
        <v>0</v>
      </c>
      <c r="Z40" s="170">
        <f t="array" ref="Z40">IFERROR(
MEDIAN((IF(DATOS_[[Sexo]:[Sexo]]=$B40,IF(DATOS_[[AGRUP. CLAS. PROF.]:[AGRUP. CLAS. PROF.]]=$B39,IF(DATOS_[[Check Periodo Ref.]:[Check Periodo Ref.]]="Dentro",DATOS_[Conc.Sal.21]))))),
0)</f>
        <v>0</v>
      </c>
      <c r="AA40" s="170">
        <f t="array" ref="AA40">IFERROR(
MEDIAN((IF(DATOS_[[Sexo]:[Sexo]]=$B40,IF(DATOS_[[AGRUP. CLAS. PROF.]:[AGRUP. CLAS. PROF.]]=$B39,IF(DATOS_[[Check Periodo Ref.]:[Check Periodo Ref.]]="Dentro",DATOS_[Conc.Sal.22]))))),
0)</f>
        <v>0</v>
      </c>
      <c r="AB40" s="170">
        <f t="array" ref="AB40">IFERROR(
MEDIAN((IF(DATOS_[[Sexo]:[Sexo]]=$B40,IF(DATOS_[[AGRUP. CLAS. PROF.]:[AGRUP. CLAS. PROF.]]=$B39,IF(DATOS_[[Check Periodo Ref.]:[Check Periodo Ref.]]="Dentro",DATOS_[Conc.Sal.23]))))),
0)</f>
        <v>0</v>
      </c>
      <c r="AC40" s="170">
        <f t="array" ref="AC40">IFERROR(
MEDIAN((IF(DATOS_[[Sexo]:[Sexo]]=$B40,IF(DATOS_[[AGRUP. CLAS. PROF.]:[AGRUP. CLAS. PROF.]]=$B39,IF(DATOS_[[Check Periodo Ref.]:[Check Periodo Ref.]]="Dentro",DATOS_[Conc.Sal.24]))))),
0)</f>
        <v>0</v>
      </c>
      <c r="AD40" s="170">
        <f t="array" ref="AD40">IFERROR(
MEDIAN((IF(DATOS_[[Sexo]:[Sexo]]=$B40,IF(DATOS_[[AGRUP. CLAS. PROF.]:[AGRUP. CLAS. PROF.]]=$B39,IF(DATOS_[[Check Periodo Ref.]:[Check Periodo Ref.]]="Dentro",DATOS_[Conc.Sal.25]))))),
0)</f>
        <v>0</v>
      </c>
      <c r="AE40" s="170">
        <f t="array" ref="AE40">IFERROR(
MEDIAN((IF(DATOS_[[Sexo]:[Sexo]]=$B40,IF(DATOS_[[AGRUP. CLAS. PROF.]:[AGRUP. CLAS. PROF.]]=$B39,IF(DATOS_[[Check Periodo Ref.]:[Check Periodo Ref.]]="Dentro",DATOS_[Conc.Sal.26]))))),
0)</f>
        <v>0</v>
      </c>
      <c r="AF40" s="170">
        <f t="array" ref="AF40">IFERROR(
MEDIAN((IF(DATOS_[[Sexo]:[Sexo]]=$B40,IF(DATOS_[[AGRUP. CLAS. PROF.]:[AGRUP. CLAS. PROF.]]=$B39,IF(DATOS_[[Check Periodo Ref.]:[Check Periodo Ref.]]="Dentro",DATOS_[Conc.Sal.27]))))),
0)</f>
        <v>0</v>
      </c>
      <c r="AG40" s="170">
        <f t="array" ref="AG40">IFERROR(
MEDIAN((IF(DATOS_[[Sexo]:[Sexo]]=$B40,IF(DATOS_[[AGRUP. CLAS. PROF.]:[AGRUP. CLAS. PROF.]]=$B39,IF(DATOS_[[Check Periodo Ref.]:[Check Periodo Ref.]]="Dentro",DATOS_[Conc.Sal.28]))))),
0)</f>
        <v>0</v>
      </c>
      <c r="AH40" s="170">
        <f t="array" ref="AH40">IFERROR(
MEDIAN((IF(DATOS_[[Sexo]:[Sexo]]=$B40,IF(DATOS_[[AGRUP. CLAS. PROF.]:[AGRUP. CLAS. PROF.]]=$B39,IF(DATOS_[[Check Periodo Ref.]:[Check Periodo Ref.]]="Dentro",DATOS_[Conc.Sal.29]))))),
0)</f>
        <v>0</v>
      </c>
      <c r="AI40" s="170">
        <f t="array" ref="AI40">IFERROR(
MEDIAN((IF(DATOS_[[Sexo]:[Sexo]]=$B40,IF(DATOS_[[AGRUP. CLAS. PROF.]:[AGRUP. CLAS. PROF.]]=$B39,IF(DATOS_[[Check Periodo Ref.]:[Check Periodo Ref.]]="Dentro",DATOS_[Conc.Sal.30]))))),
0)</f>
        <v>0</v>
      </c>
      <c r="AJ40" s="171">
        <f t="array" ref="AJ40">IFERROR(
MEDIAN(IF(DATOS_[Sexo]=$B40,IF(DATOS_[AGRUP. CLAS. PROF.]=$B39,IF(DATOS_[Check Periodo Ref.]="Dentro",DATOS_[Tot COMPL.SAL Ef],FALSE)))),
0)</f>
        <v>0</v>
      </c>
      <c r="AK40" s="172">
        <f t="array" ref="AK40">IFERROR(
MEDIAN(IF(DATOS_[Sexo]=$B40,IF(DATOS_[AGRUP. CLAS. PROF.]=$B39,IF(DATOS_[Check Periodo Ref.]="Dentro",DATOS_[TOTAL SALARIO Ef],FALSE)))),
0)</f>
        <v>0</v>
      </c>
      <c r="AL40" s="173">
        <f t="array" ref="AL40">IFERROR(
MEDIAN((IF(DATOS_[[Sexo]:[Sexo]]=$B40,IF(DATOS_[[AGRUP. CLAS. PROF.]:[AGRUP. CLAS. PROF.]]=$B39,IF(DATOS_[[Check Periodo Ref.]:[Check Periodo Ref.]]="Dentro",DATOS_[C.Extra.01]))))),
0)</f>
        <v>0</v>
      </c>
      <c r="AM40" s="173">
        <f t="array" ref="AM40">IFERROR(
MEDIAN((IF(DATOS_[[Sexo]:[Sexo]]=$B40,IF(DATOS_[[AGRUP. CLAS. PROF.]:[AGRUP. CLAS. PROF.]]=$B39,IF(DATOS_[[Check Periodo Ref.]:[Check Periodo Ref.]]="Dentro",DATOS_[C.Extra.06]))))),
0)</f>
        <v>0</v>
      </c>
      <c r="AN40" s="173">
        <f t="array" ref="AN40">IFERROR(
MEDIAN((IF(DATOS_[[Sexo]:[Sexo]]=$B40,IF(DATOS_[[AGRUP. CLAS. PROF.]:[AGRUP. CLAS. PROF.]]=$B39,IF(DATOS_[[Check Periodo Ref.]:[Check Periodo Ref.]]="Dentro",DATOS_[C.Extra.07]))))),
0)</f>
        <v>0</v>
      </c>
      <c r="AO40" s="173">
        <f t="array" ref="AO40">IFERROR(
MEDIAN((IF(DATOS_[[Sexo]:[Sexo]]=$B40,IF(DATOS_[[AGRUP. CLAS. PROF.]:[AGRUP. CLAS. PROF.]]=$B39,IF(DATOS_[[Check Periodo Ref.]:[Check Periodo Ref.]]="Dentro",DATOS_[C.Extra.08]))))),
0)</f>
        <v>0</v>
      </c>
      <c r="AP40" s="173">
        <f t="array" ref="AP40">IFERROR(
MEDIAN((IF(DATOS_[[Sexo]:[Sexo]]=$B40,IF(DATOS_[[AGRUP. CLAS. PROF.]:[AGRUP. CLAS. PROF.]]=$B39,IF(DATOS_[[Check Periodo Ref.]:[Check Periodo Ref.]]="Dentro",DATOS_[C.Extra.11]))))),
0)</f>
        <v>0</v>
      </c>
      <c r="AQ40" s="174">
        <f t="array" ref="AQ40">IFERROR(
MEDIAN(IF(DATOS_[Sexo]=$B40,IF(DATOS_[AGRUP. CLAS. PROF.]=$B39,IF(DATOS_[Check Periodo Ref.]="Dentro",DATOS_[Tot Extrasalarial Ef],FALSE)))),
0)</f>
        <v>0</v>
      </c>
      <c r="AR40" s="171">
        <f t="array" ref="AR40">IFERROR(
MEDIAN(IF(DATOS_[Sexo]=$B40,IF(DATOS_[AGRUP. CLAS. PROF.]=$B39,IF(DATOS_[Check Periodo Ref.]="Dentro",DATOS_[TOTAL Retrib Ef],FALSE)))),
0)</f>
        <v>0</v>
      </c>
    </row>
    <row r="41" spans="1:44" hidden="1" x14ac:dyDescent="0.25">
      <c r="A41" s="178" t="str">
        <f t="shared" ref="A41" si="38">+A40</f>
        <v>[ocultar]</v>
      </c>
      <c r="B41" s="166" t="s">
        <v>521</v>
      </c>
      <c r="C41" s="167">
        <f t="array" ref="C41">SUM(IF($B41=DATOS_[Sexo],
IF($B39=DATOS_[AGRUP. CLAS. PROF.],
IF("Dentro"=DATOS_[Check Periodo Ref.],
1/(COUNTIFS(DATOS_[Sexo],$B41,DATOS_[AGRUP. CLAS. PROF.],$B39,DATOS_[Check Periodo Ref.],"Dentro",DATOS_[id/cod],DATOS_[id/cod]))))))</f>
        <v>0</v>
      </c>
      <c r="D41" s="168">
        <f>COUNTIFS(DATOS_[AGRUP. CLAS. PROF.],$B39,DATOS_[Sexo],$B41,DATOS_[Check Periodo Ref.],"Dentro")</f>
        <v>0</v>
      </c>
      <c r="E41" s="169">
        <f t="array" ref="E41">IFERROR(
MEDIAN(IF(DATOS_[Sexo]=$B41,IF(DATOS_[AGRUP. CLAS. PROF.]=$B39,IF(DATOS_[Check Periodo Ref.]="Dentro",DATOS_[SALARIO BASE Ef],FALSE)))),
0)</f>
        <v>0</v>
      </c>
      <c r="F41" s="170">
        <f t="array" ref="F41">IFERROR(
MEDIAN((IF(DATOS_[[Sexo]:[Sexo]]=$B41,IF(DATOS_[[AGRUP. CLAS. PROF.]:[AGRUP. CLAS. PROF.]]=$B39,IF(DATOS_[[Check Periodo Ref.]:[Check Periodo Ref.]]="Dentro",DATOS_[Conc.Sal.01]))))),
0)</f>
        <v>0</v>
      </c>
      <c r="G41" s="170">
        <f t="array" ref="G41">IFERROR(
MEDIAN((IF(DATOS_[[Sexo]:[Sexo]]=$B41,IF(DATOS_[[AGRUP. CLAS. PROF.]:[AGRUP. CLAS. PROF.]]=$B39,IF(DATOS_[[Check Periodo Ref.]:[Check Periodo Ref.]]="Dentro",DATOS_[Conc.Sal.02]))))),
0)</f>
        <v>0</v>
      </c>
      <c r="H41" s="170">
        <f t="array" ref="H41">IFERROR(
MEDIAN((IF(DATOS_[[Sexo]:[Sexo]]=$B41,IF(DATOS_[[AGRUP. CLAS. PROF.]:[AGRUP. CLAS. PROF.]]=$B39,IF(DATOS_[[Check Periodo Ref.]:[Check Periodo Ref.]]="Dentro",DATOS_[Conc.Sal.03]))))),
0)</f>
        <v>0</v>
      </c>
      <c r="I41" s="170">
        <f t="array" ref="I41">IFERROR(
MEDIAN((IF(DATOS_[[Sexo]:[Sexo]]=$B41,IF(DATOS_[[AGRUP. CLAS. PROF.]:[AGRUP. CLAS. PROF.]]=$B39,IF(DATOS_[[Check Periodo Ref.]:[Check Periodo Ref.]]="Dentro",DATOS_[Conc.Sal.04]))))),
0)</f>
        <v>0</v>
      </c>
      <c r="J41" s="170">
        <f t="array" ref="J41">IFERROR(
MEDIAN((IF(DATOS_[[Sexo]:[Sexo]]=$B41,IF(DATOS_[[AGRUP. CLAS. PROF.]:[AGRUP. CLAS. PROF.]]=$B39,IF(DATOS_[[Check Periodo Ref.]:[Check Periodo Ref.]]="Dentro",DATOS_[Conc.Sal.05]))))),
0)</f>
        <v>0</v>
      </c>
      <c r="K41" s="170">
        <f t="array" ref="K41">IFERROR(
MEDIAN((IF(DATOS_[[Sexo]:[Sexo]]=$B41,IF(DATOS_[[AGRUP. CLAS. PROF.]:[AGRUP. CLAS. PROF.]]=$B39,IF(DATOS_[[Check Periodo Ref.]:[Check Periodo Ref.]]="Dentro",DATOS_[Conc.Sal.06]))))),
0)</f>
        <v>0</v>
      </c>
      <c r="L41" s="170">
        <f t="array" ref="L41">IFERROR(
MEDIAN((IF(DATOS_[[Sexo]:[Sexo]]=$B41,IF(DATOS_[[AGRUP. CLAS. PROF.]:[AGRUP. CLAS. PROF.]]=$B39,IF(DATOS_[[Check Periodo Ref.]:[Check Periodo Ref.]]="Dentro",DATOS_[Conc.Sal.07]))))),
0)</f>
        <v>0</v>
      </c>
      <c r="M41" s="170">
        <f t="array" ref="M41">IFERROR(
MEDIAN((IF(DATOS_[[Sexo]:[Sexo]]=$B41,IF(DATOS_[[AGRUP. CLAS. PROF.]:[AGRUP. CLAS. PROF.]]=$B39,IF(DATOS_[[Check Periodo Ref.]:[Check Periodo Ref.]]="Dentro",DATOS_[Conc.Sal.08]))))),
0)</f>
        <v>0</v>
      </c>
      <c r="N41" s="170">
        <f t="array" ref="N41">IFERROR(
MEDIAN((IF(DATOS_[[Sexo]:[Sexo]]=$B41,IF(DATOS_[[AGRUP. CLAS. PROF.]:[AGRUP. CLAS. PROF.]]=$B39,IF(DATOS_[[Check Periodo Ref.]:[Check Periodo Ref.]]="Dentro",DATOS_[Conc.Sal.09]))))),
0)</f>
        <v>0</v>
      </c>
      <c r="O41" s="170">
        <f t="array" ref="O41">IFERROR(
MEDIAN((IF(DATOS_[[Sexo]:[Sexo]]=$B41,IF(DATOS_[[AGRUP. CLAS. PROF.]:[AGRUP. CLAS. PROF.]]=$B39,IF(DATOS_[[Check Periodo Ref.]:[Check Periodo Ref.]]="Dentro",DATOS_[Conc.Sal.10]))))),
0)</f>
        <v>0</v>
      </c>
      <c r="P41" s="170">
        <f t="array" ref="P41">IFERROR(
MEDIAN((IF(DATOS_[[Sexo]:[Sexo]]=$B41,IF(DATOS_[[AGRUP. CLAS. PROF.]:[AGRUP. CLAS. PROF.]]=$B39,IF(DATOS_[[Check Periodo Ref.]:[Check Periodo Ref.]]="Dentro",DATOS_[Conc.Sal.11]))))),
0)</f>
        <v>0</v>
      </c>
      <c r="Q41" s="170">
        <f t="array" ref="Q41">IFERROR(
MEDIAN((IF(DATOS_[[Sexo]:[Sexo]]=$B41,IF(DATOS_[[AGRUP. CLAS. PROF.]:[AGRUP. CLAS. PROF.]]=$B39,IF(DATOS_[[Check Periodo Ref.]:[Check Periodo Ref.]]="Dentro",DATOS_[Conc.Sal.12]))))),
0)</f>
        <v>0</v>
      </c>
      <c r="R41" s="170">
        <f t="array" ref="R41">IFERROR(
MEDIAN((IF(DATOS_[[Sexo]:[Sexo]]=$B41,IF(DATOS_[[AGRUP. CLAS. PROF.]:[AGRUP. CLAS. PROF.]]=$B39,IF(DATOS_[[Check Periodo Ref.]:[Check Periodo Ref.]]="Dentro",DATOS_[Conc.Sal.13]))))),
0)</f>
        <v>0</v>
      </c>
      <c r="S41" s="170">
        <f t="array" ref="S41">IFERROR(
MEDIAN((IF(DATOS_[[Sexo]:[Sexo]]=$B41,IF(DATOS_[[AGRUP. CLAS. PROF.]:[AGRUP. CLAS. PROF.]]=$B39,IF(DATOS_[[Check Periodo Ref.]:[Check Periodo Ref.]]="Dentro",DATOS_[Conc.Sal.14]))))),
0)</f>
        <v>0</v>
      </c>
      <c r="T41" s="170">
        <f t="array" ref="T41">IFERROR(
MEDIAN((IF(DATOS_[[Sexo]:[Sexo]]=$B41,IF(DATOS_[[AGRUP. CLAS. PROF.]:[AGRUP. CLAS. PROF.]]=$B39,IF(DATOS_[[Check Periodo Ref.]:[Check Periodo Ref.]]="Dentro",DATOS_[Conc.Sal.15]))))),
0)</f>
        <v>0</v>
      </c>
      <c r="U41" s="170">
        <f t="array" ref="U41">IFERROR(
MEDIAN((IF(DATOS_[[Sexo]:[Sexo]]=$B41,IF(DATOS_[[AGRUP. CLAS. PROF.]:[AGRUP. CLAS. PROF.]]=$B39,IF(DATOS_[[Check Periodo Ref.]:[Check Periodo Ref.]]="Dentro",DATOS_[Conc.Sal.16]))))),
0)</f>
        <v>0</v>
      </c>
      <c r="V41" s="170">
        <f t="array" ref="V41">IFERROR(
MEDIAN((IF(DATOS_[[Sexo]:[Sexo]]=$B41,IF(DATOS_[[AGRUP. CLAS. PROF.]:[AGRUP. CLAS. PROF.]]=$B39,IF(DATOS_[[Check Periodo Ref.]:[Check Periodo Ref.]]="Dentro",DATOS_[Conc.Sal.17]))))),
0)</f>
        <v>0</v>
      </c>
      <c r="W41" s="170">
        <f t="array" ref="W41">IFERROR(
MEDIAN((IF(DATOS_[[Sexo]:[Sexo]]=$B41,IF(DATOS_[[AGRUP. CLAS. PROF.]:[AGRUP. CLAS. PROF.]]=$B39,IF(DATOS_[[Check Periodo Ref.]:[Check Periodo Ref.]]="Dentro",DATOS_[Conc.Sal.18]))))),
0)</f>
        <v>0</v>
      </c>
      <c r="X41" s="170">
        <f t="array" ref="X41">IFERROR(
MEDIAN((IF(DATOS_[[Sexo]:[Sexo]]=$B41,IF(DATOS_[[AGRUP. CLAS. PROF.]:[AGRUP. CLAS. PROF.]]=$B39,IF(DATOS_[[Check Periodo Ref.]:[Check Periodo Ref.]]="Dentro",DATOS_[Conc.Sal.19]))))),
0)</f>
        <v>0</v>
      </c>
      <c r="Y41" s="170">
        <f t="array" ref="Y41">IFERROR(
MEDIAN((IF(DATOS_[[Sexo]:[Sexo]]=$B41,IF(DATOS_[[AGRUP. CLAS. PROF.]:[AGRUP. CLAS. PROF.]]=$B39,IF(DATOS_[[Check Periodo Ref.]:[Check Periodo Ref.]]="Dentro",DATOS_[Conc.Sal.20]))))),
0)</f>
        <v>0</v>
      </c>
      <c r="Z41" s="170">
        <f t="array" ref="Z41">IFERROR(
MEDIAN((IF(DATOS_[[Sexo]:[Sexo]]=$B41,IF(DATOS_[[AGRUP. CLAS. PROF.]:[AGRUP. CLAS. PROF.]]=$B39,IF(DATOS_[[Check Periodo Ref.]:[Check Periodo Ref.]]="Dentro",DATOS_[Conc.Sal.21]))))),
0)</f>
        <v>0</v>
      </c>
      <c r="AA41" s="170">
        <f t="array" ref="AA41">IFERROR(
MEDIAN((IF(DATOS_[[Sexo]:[Sexo]]=$B41,IF(DATOS_[[AGRUP. CLAS. PROF.]:[AGRUP. CLAS. PROF.]]=$B39,IF(DATOS_[[Check Periodo Ref.]:[Check Periodo Ref.]]="Dentro",DATOS_[Conc.Sal.22]))))),
0)</f>
        <v>0</v>
      </c>
      <c r="AB41" s="170">
        <f t="array" ref="AB41">IFERROR(
MEDIAN((IF(DATOS_[[Sexo]:[Sexo]]=$B41,IF(DATOS_[[AGRUP. CLAS. PROF.]:[AGRUP. CLAS. PROF.]]=$B39,IF(DATOS_[[Check Periodo Ref.]:[Check Periodo Ref.]]="Dentro",DATOS_[Conc.Sal.23]))))),
0)</f>
        <v>0</v>
      </c>
      <c r="AC41" s="170">
        <f t="array" ref="AC41">IFERROR(
MEDIAN((IF(DATOS_[[Sexo]:[Sexo]]=$B41,IF(DATOS_[[AGRUP. CLAS. PROF.]:[AGRUP. CLAS. PROF.]]=$B39,IF(DATOS_[[Check Periodo Ref.]:[Check Periodo Ref.]]="Dentro",DATOS_[Conc.Sal.24]))))),
0)</f>
        <v>0</v>
      </c>
      <c r="AD41" s="170">
        <f t="array" ref="AD41">IFERROR(
MEDIAN((IF(DATOS_[[Sexo]:[Sexo]]=$B41,IF(DATOS_[[AGRUP. CLAS. PROF.]:[AGRUP. CLAS. PROF.]]=$B39,IF(DATOS_[[Check Periodo Ref.]:[Check Periodo Ref.]]="Dentro",DATOS_[Conc.Sal.25]))))),
0)</f>
        <v>0</v>
      </c>
      <c r="AE41" s="170">
        <f t="array" ref="AE41">IFERROR(
MEDIAN((IF(DATOS_[[Sexo]:[Sexo]]=$B41,IF(DATOS_[[AGRUP. CLAS. PROF.]:[AGRUP. CLAS. PROF.]]=$B39,IF(DATOS_[[Check Periodo Ref.]:[Check Periodo Ref.]]="Dentro",DATOS_[Conc.Sal.26]))))),
0)</f>
        <v>0</v>
      </c>
      <c r="AF41" s="170">
        <f t="array" ref="AF41">IFERROR(
MEDIAN((IF(DATOS_[[Sexo]:[Sexo]]=$B41,IF(DATOS_[[AGRUP. CLAS. PROF.]:[AGRUP. CLAS. PROF.]]=$B39,IF(DATOS_[[Check Periodo Ref.]:[Check Periodo Ref.]]="Dentro",DATOS_[Conc.Sal.27]))))),
0)</f>
        <v>0</v>
      </c>
      <c r="AG41" s="170">
        <f t="array" ref="AG41">IFERROR(
MEDIAN((IF(DATOS_[[Sexo]:[Sexo]]=$B41,IF(DATOS_[[AGRUP. CLAS. PROF.]:[AGRUP. CLAS. PROF.]]=$B39,IF(DATOS_[[Check Periodo Ref.]:[Check Periodo Ref.]]="Dentro",DATOS_[Conc.Sal.28]))))),
0)</f>
        <v>0</v>
      </c>
      <c r="AH41" s="170">
        <f t="array" ref="AH41">IFERROR(
MEDIAN((IF(DATOS_[[Sexo]:[Sexo]]=$B41,IF(DATOS_[[AGRUP. CLAS. PROF.]:[AGRUP. CLAS. PROF.]]=$B39,IF(DATOS_[[Check Periodo Ref.]:[Check Periodo Ref.]]="Dentro",DATOS_[Conc.Sal.29]))))),
0)</f>
        <v>0</v>
      </c>
      <c r="AI41" s="170">
        <f t="array" ref="AI41">IFERROR(
MEDIAN((IF(DATOS_[[Sexo]:[Sexo]]=$B41,IF(DATOS_[[AGRUP. CLAS. PROF.]:[AGRUP. CLAS. PROF.]]=$B39,IF(DATOS_[[Check Periodo Ref.]:[Check Periodo Ref.]]="Dentro",DATOS_[Conc.Sal.30]))))),
0)</f>
        <v>0</v>
      </c>
      <c r="AJ41" s="171">
        <f t="array" ref="AJ41">IFERROR(
MEDIAN(IF(DATOS_[Sexo]=$B41,IF(DATOS_[AGRUP. CLAS. PROF.]=$B39,IF(DATOS_[Check Periodo Ref.]="Dentro",DATOS_[Tot COMPL.SAL Ef],FALSE)))),
0)</f>
        <v>0</v>
      </c>
      <c r="AK41" s="172">
        <f t="array" ref="AK41">IFERROR(
MEDIAN(IF(DATOS_[Sexo]=$B41,IF(DATOS_[AGRUP. CLAS. PROF.]=$B39,IF(DATOS_[Check Periodo Ref.]="Dentro",DATOS_[TOTAL SALARIO Ef],FALSE)))),
0)</f>
        <v>0</v>
      </c>
      <c r="AL41" s="173">
        <f t="array" ref="AL41">IFERROR(
MEDIAN((IF(DATOS_[[Sexo]:[Sexo]]=$B41,IF(DATOS_[[AGRUP. CLAS. PROF.]:[AGRUP. CLAS. PROF.]]=$B39,IF(DATOS_[[Check Periodo Ref.]:[Check Periodo Ref.]]="Dentro",DATOS_[C.Extra.01]))))),
0)</f>
        <v>0</v>
      </c>
      <c r="AM41" s="173">
        <f t="array" ref="AM41">IFERROR(
MEDIAN((IF(DATOS_[[Sexo]:[Sexo]]=$B41,IF(DATOS_[[AGRUP. CLAS. PROF.]:[AGRUP. CLAS. PROF.]]=$B39,IF(DATOS_[[Check Periodo Ref.]:[Check Periodo Ref.]]="Dentro",DATOS_[C.Extra.06]))))),
0)</f>
        <v>0</v>
      </c>
      <c r="AN41" s="173">
        <f t="array" ref="AN41">IFERROR(
MEDIAN((IF(DATOS_[[Sexo]:[Sexo]]=$B41,IF(DATOS_[[AGRUP. CLAS. PROF.]:[AGRUP. CLAS. PROF.]]=$B39,IF(DATOS_[[Check Periodo Ref.]:[Check Periodo Ref.]]="Dentro",DATOS_[C.Extra.07]))))),
0)</f>
        <v>0</v>
      </c>
      <c r="AO41" s="173">
        <f t="array" ref="AO41">IFERROR(
MEDIAN((IF(DATOS_[[Sexo]:[Sexo]]=$B41,IF(DATOS_[[AGRUP. CLAS. PROF.]:[AGRUP. CLAS. PROF.]]=$B39,IF(DATOS_[[Check Periodo Ref.]:[Check Periodo Ref.]]="Dentro",DATOS_[C.Extra.08]))))),
0)</f>
        <v>0</v>
      </c>
      <c r="AP41" s="173">
        <f t="array" ref="AP41">IFERROR(
MEDIAN((IF(DATOS_[[Sexo]:[Sexo]]=$B41,IF(DATOS_[[AGRUP. CLAS. PROF.]:[AGRUP. CLAS. PROF.]]=$B39,IF(DATOS_[[Check Periodo Ref.]:[Check Periodo Ref.]]="Dentro",DATOS_[C.Extra.11]))))),
0)</f>
        <v>0</v>
      </c>
      <c r="AQ41" s="174">
        <f t="array" ref="AQ41">IFERROR(
MEDIAN(IF(DATOS_[Sexo]=$B41,IF(DATOS_[AGRUP. CLAS. PROF.]=$B39,IF(DATOS_[Check Periodo Ref.]="Dentro",DATOS_[Tot Extrasalarial Ef],FALSE)))),
0)</f>
        <v>0</v>
      </c>
      <c r="AR41" s="171">
        <f t="array" ref="AR41">IFERROR(
MEDIAN(IF(DATOS_[Sexo]=$B41,IF(DATOS_[AGRUP. CLAS. PROF.]=$B39,IF(DATOS_[Check Periodo Ref.]="Dentro",DATOS_[TOTAL Retrib Ef],FALSE)))),
0)</f>
        <v>0</v>
      </c>
    </row>
    <row r="42" spans="1:44" ht="14.4" hidden="1" thickBot="1" x14ac:dyDescent="0.3">
      <c r="A42" s="178" t="str">
        <f t="shared" ref="A42" si="39">+A43</f>
        <v>[ocultar]</v>
      </c>
      <c r="B42" s="153" t="s">
        <v>213</v>
      </c>
      <c r="C42" s="154"/>
      <c r="D42" s="155"/>
      <c r="E42" s="156" t="str">
        <f t="shared" ref="E42:AR42" si="40">IFERROR((E43-E44)/E43,"")</f>
        <v/>
      </c>
      <c r="F42" s="157" t="str">
        <f t="shared" si="40"/>
        <v/>
      </c>
      <c r="G42" s="158" t="str">
        <f t="shared" si="40"/>
        <v/>
      </c>
      <c r="H42" s="158" t="str">
        <f t="shared" si="40"/>
        <v/>
      </c>
      <c r="I42" s="158" t="str">
        <f t="shared" si="40"/>
        <v/>
      </c>
      <c r="J42" s="159" t="str">
        <f t="shared" si="40"/>
        <v/>
      </c>
      <c r="K42" s="160" t="str">
        <f t="shared" si="40"/>
        <v/>
      </c>
      <c r="L42" s="160" t="str">
        <f t="shared" si="40"/>
        <v/>
      </c>
      <c r="M42" s="160" t="str">
        <f t="shared" si="40"/>
        <v/>
      </c>
      <c r="N42" s="160" t="str">
        <f t="shared" si="40"/>
        <v/>
      </c>
      <c r="O42" s="160" t="str">
        <f t="shared" si="40"/>
        <v/>
      </c>
      <c r="P42" s="160" t="str">
        <f t="shared" si="40"/>
        <v/>
      </c>
      <c r="Q42" s="160" t="str">
        <f t="shared" si="40"/>
        <v/>
      </c>
      <c r="R42" s="160" t="str">
        <f t="shared" si="40"/>
        <v/>
      </c>
      <c r="S42" s="160" t="str">
        <f t="shared" si="40"/>
        <v/>
      </c>
      <c r="T42" s="160" t="str">
        <f t="shared" si="40"/>
        <v/>
      </c>
      <c r="U42" s="160" t="str">
        <f t="shared" si="40"/>
        <v/>
      </c>
      <c r="V42" s="159" t="str">
        <f t="shared" si="40"/>
        <v/>
      </c>
      <c r="W42" s="159" t="str">
        <f t="shared" si="40"/>
        <v/>
      </c>
      <c r="X42" s="159" t="str">
        <f t="shared" si="40"/>
        <v/>
      </c>
      <c r="Y42" s="159" t="str">
        <f t="shared" si="40"/>
        <v/>
      </c>
      <c r="Z42" s="159" t="str">
        <f t="shared" si="40"/>
        <v/>
      </c>
      <c r="AA42" s="159" t="str">
        <f t="shared" si="40"/>
        <v/>
      </c>
      <c r="AB42" s="159" t="str">
        <f t="shared" si="40"/>
        <v/>
      </c>
      <c r="AC42" s="159" t="str">
        <f t="shared" si="40"/>
        <v/>
      </c>
      <c r="AD42" s="159" t="str">
        <f t="shared" si="40"/>
        <v/>
      </c>
      <c r="AE42" s="159" t="str">
        <f t="shared" si="40"/>
        <v/>
      </c>
      <c r="AF42" s="159" t="str">
        <f t="shared" si="40"/>
        <v/>
      </c>
      <c r="AG42" s="159" t="str">
        <f t="shared" si="40"/>
        <v/>
      </c>
      <c r="AH42" s="159" t="str">
        <f t="shared" si="40"/>
        <v/>
      </c>
      <c r="AI42" s="159" t="str">
        <f t="shared" si="40"/>
        <v/>
      </c>
      <c r="AJ42" s="161" t="str">
        <f t="shared" si="40"/>
        <v/>
      </c>
      <c r="AK42" s="162" t="str">
        <f t="shared" si="40"/>
        <v/>
      </c>
      <c r="AL42" s="163" t="str">
        <f t="shared" si="40"/>
        <v/>
      </c>
      <c r="AM42" s="163" t="str">
        <f t="shared" si="40"/>
        <v/>
      </c>
      <c r="AN42" s="163" t="str">
        <f t="shared" si="40"/>
        <v/>
      </c>
      <c r="AO42" s="163" t="str">
        <f t="shared" si="40"/>
        <v/>
      </c>
      <c r="AP42" s="163" t="str">
        <f t="shared" si="40"/>
        <v/>
      </c>
      <c r="AQ42" s="164" t="str">
        <f t="shared" si="40"/>
        <v/>
      </c>
      <c r="AR42" s="161" t="str">
        <f t="shared" si="40"/>
        <v/>
      </c>
    </row>
    <row r="43" spans="1:44" hidden="1" x14ac:dyDescent="0.25">
      <c r="A43" s="178" t="str">
        <f t="shared" ref="A43" si="41">+IF(C43+C44=0,"[ocultar]","")</f>
        <v>[ocultar]</v>
      </c>
      <c r="B43" s="166" t="s">
        <v>394</v>
      </c>
      <c r="C43" s="167">
        <f t="array" ref="C43">SUM(IF($B43=DATOS_[Sexo],
IF($B42=DATOS_[AGRUP. CLAS. PROF.],
IF("Dentro"=DATOS_[Check Periodo Ref.],
1/(COUNTIFS(DATOS_[Sexo],$B43,DATOS_[AGRUP. CLAS. PROF.],$B42,DATOS_[Check Periodo Ref.],"Dentro",DATOS_[id/cod],DATOS_[id/cod]))))))</f>
        <v>0</v>
      </c>
      <c r="D43" s="168">
        <f>COUNTIFS(DATOS_[AGRUP. CLAS. PROF.],$B42,DATOS_[Sexo],$B43,DATOS_[Check Periodo Ref.],"Dentro")</f>
        <v>0</v>
      </c>
      <c r="E43" s="169">
        <f t="array" ref="E43">IFERROR(
MEDIAN(IF(DATOS_[Sexo]=$B43,IF(DATOS_[AGRUP. CLAS. PROF.]=$B42,IF(DATOS_[Check Periodo Ref.]="Dentro",DATOS_[SALARIO BASE Ef],FALSE)))),
0)</f>
        <v>0</v>
      </c>
      <c r="F43" s="170">
        <f t="array" ref="F43">IFERROR(
MEDIAN((IF(DATOS_[[Sexo]:[Sexo]]=$B43,IF(DATOS_[[AGRUP. CLAS. PROF.]:[AGRUP. CLAS. PROF.]]=$B42,IF(DATOS_[[Check Periodo Ref.]:[Check Periodo Ref.]]="Dentro",DATOS_[Conc.Sal.01]))))),
0)</f>
        <v>0</v>
      </c>
      <c r="G43" s="170">
        <f t="array" ref="G43">IFERROR(
MEDIAN((IF(DATOS_[[Sexo]:[Sexo]]=$B43,IF(DATOS_[[AGRUP. CLAS. PROF.]:[AGRUP. CLAS. PROF.]]=$B42,IF(DATOS_[[Check Periodo Ref.]:[Check Periodo Ref.]]="Dentro",DATOS_[Conc.Sal.02]))))),
0)</f>
        <v>0</v>
      </c>
      <c r="H43" s="170">
        <f t="array" ref="H43">IFERROR(
MEDIAN((IF(DATOS_[[Sexo]:[Sexo]]=$B43,IF(DATOS_[[AGRUP. CLAS. PROF.]:[AGRUP. CLAS. PROF.]]=$B42,IF(DATOS_[[Check Periodo Ref.]:[Check Periodo Ref.]]="Dentro",DATOS_[Conc.Sal.03]))))),
0)</f>
        <v>0</v>
      </c>
      <c r="I43" s="170">
        <f t="array" ref="I43">IFERROR(
MEDIAN((IF(DATOS_[[Sexo]:[Sexo]]=$B43,IF(DATOS_[[AGRUP. CLAS. PROF.]:[AGRUP. CLAS. PROF.]]=$B42,IF(DATOS_[[Check Periodo Ref.]:[Check Periodo Ref.]]="Dentro",DATOS_[Conc.Sal.04]))))),
0)</f>
        <v>0</v>
      </c>
      <c r="J43" s="170">
        <f t="array" ref="J43">IFERROR(
MEDIAN((IF(DATOS_[[Sexo]:[Sexo]]=$B43,IF(DATOS_[[AGRUP. CLAS. PROF.]:[AGRUP. CLAS. PROF.]]=$B42,IF(DATOS_[[Check Periodo Ref.]:[Check Periodo Ref.]]="Dentro",DATOS_[Conc.Sal.05]))))),
0)</f>
        <v>0</v>
      </c>
      <c r="K43" s="170">
        <f t="array" ref="K43">IFERROR(
MEDIAN((IF(DATOS_[[Sexo]:[Sexo]]=$B43,IF(DATOS_[[AGRUP. CLAS. PROF.]:[AGRUP. CLAS. PROF.]]=$B42,IF(DATOS_[[Check Periodo Ref.]:[Check Periodo Ref.]]="Dentro",DATOS_[Conc.Sal.06]))))),
0)</f>
        <v>0</v>
      </c>
      <c r="L43" s="170">
        <f t="array" ref="L43">IFERROR(
MEDIAN((IF(DATOS_[[Sexo]:[Sexo]]=$B43,IF(DATOS_[[AGRUP. CLAS. PROF.]:[AGRUP. CLAS. PROF.]]=$B42,IF(DATOS_[[Check Periodo Ref.]:[Check Periodo Ref.]]="Dentro",DATOS_[Conc.Sal.07]))))),
0)</f>
        <v>0</v>
      </c>
      <c r="M43" s="170">
        <f t="array" ref="M43">IFERROR(
MEDIAN((IF(DATOS_[[Sexo]:[Sexo]]=$B43,IF(DATOS_[[AGRUP. CLAS. PROF.]:[AGRUP. CLAS. PROF.]]=$B42,IF(DATOS_[[Check Periodo Ref.]:[Check Periodo Ref.]]="Dentro",DATOS_[Conc.Sal.08]))))),
0)</f>
        <v>0</v>
      </c>
      <c r="N43" s="170">
        <f t="array" ref="N43">IFERROR(
MEDIAN((IF(DATOS_[[Sexo]:[Sexo]]=$B43,IF(DATOS_[[AGRUP. CLAS. PROF.]:[AGRUP. CLAS. PROF.]]=$B42,IF(DATOS_[[Check Periodo Ref.]:[Check Periodo Ref.]]="Dentro",DATOS_[Conc.Sal.09]))))),
0)</f>
        <v>0</v>
      </c>
      <c r="O43" s="170">
        <f t="array" ref="O43">IFERROR(
MEDIAN((IF(DATOS_[[Sexo]:[Sexo]]=$B43,IF(DATOS_[[AGRUP. CLAS. PROF.]:[AGRUP. CLAS. PROF.]]=$B42,IF(DATOS_[[Check Periodo Ref.]:[Check Periodo Ref.]]="Dentro",DATOS_[Conc.Sal.10]))))),
0)</f>
        <v>0</v>
      </c>
      <c r="P43" s="170">
        <f t="array" ref="P43">IFERROR(
MEDIAN((IF(DATOS_[[Sexo]:[Sexo]]=$B43,IF(DATOS_[[AGRUP. CLAS. PROF.]:[AGRUP. CLAS. PROF.]]=$B42,IF(DATOS_[[Check Periodo Ref.]:[Check Periodo Ref.]]="Dentro",DATOS_[Conc.Sal.11]))))),
0)</f>
        <v>0</v>
      </c>
      <c r="Q43" s="170">
        <f t="array" ref="Q43">IFERROR(
MEDIAN((IF(DATOS_[[Sexo]:[Sexo]]=$B43,IF(DATOS_[[AGRUP. CLAS. PROF.]:[AGRUP. CLAS. PROF.]]=$B42,IF(DATOS_[[Check Periodo Ref.]:[Check Periodo Ref.]]="Dentro",DATOS_[Conc.Sal.12]))))),
0)</f>
        <v>0</v>
      </c>
      <c r="R43" s="170">
        <f t="array" ref="R43">IFERROR(
MEDIAN((IF(DATOS_[[Sexo]:[Sexo]]=$B43,IF(DATOS_[[AGRUP. CLAS. PROF.]:[AGRUP. CLAS. PROF.]]=$B42,IF(DATOS_[[Check Periodo Ref.]:[Check Periodo Ref.]]="Dentro",DATOS_[Conc.Sal.13]))))),
0)</f>
        <v>0</v>
      </c>
      <c r="S43" s="170">
        <f t="array" ref="S43">IFERROR(
MEDIAN((IF(DATOS_[[Sexo]:[Sexo]]=$B43,IF(DATOS_[[AGRUP. CLAS. PROF.]:[AGRUP. CLAS. PROF.]]=$B42,IF(DATOS_[[Check Periodo Ref.]:[Check Periodo Ref.]]="Dentro",DATOS_[Conc.Sal.14]))))),
0)</f>
        <v>0</v>
      </c>
      <c r="T43" s="170">
        <f t="array" ref="T43">IFERROR(
MEDIAN((IF(DATOS_[[Sexo]:[Sexo]]=$B43,IF(DATOS_[[AGRUP. CLAS. PROF.]:[AGRUP. CLAS. PROF.]]=$B42,IF(DATOS_[[Check Periodo Ref.]:[Check Periodo Ref.]]="Dentro",DATOS_[Conc.Sal.15]))))),
0)</f>
        <v>0</v>
      </c>
      <c r="U43" s="170">
        <f t="array" ref="U43">IFERROR(
MEDIAN((IF(DATOS_[[Sexo]:[Sexo]]=$B43,IF(DATOS_[[AGRUP. CLAS. PROF.]:[AGRUP. CLAS. PROF.]]=$B42,IF(DATOS_[[Check Periodo Ref.]:[Check Periodo Ref.]]="Dentro",DATOS_[Conc.Sal.16]))))),
0)</f>
        <v>0</v>
      </c>
      <c r="V43" s="170">
        <f t="array" ref="V43">IFERROR(
MEDIAN((IF(DATOS_[[Sexo]:[Sexo]]=$B43,IF(DATOS_[[AGRUP. CLAS. PROF.]:[AGRUP. CLAS. PROF.]]=$B42,IF(DATOS_[[Check Periodo Ref.]:[Check Periodo Ref.]]="Dentro",DATOS_[Conc.Sal.17]))))),
0)</f>
        <v>0</v>
      </c>
      <c r="W43" s="170">
        <f t="array" ref="W43">IFERROR(
MEDIAN((IF(DATOS_[[Sexo]:[Sexo]]=$B43,IF(DATOS_[[AGRUP. CLAS. PROF.]:[AGRUP. CLAS. PROF.]]=$B42,IF(DATOS_[[Check Periodo Ref.]:[Check Periodo Ref.]]="Dentro",DATOS_[Conc.Sal.18]))))),
0)</f>
        <v>0</v>
      </c>
      <c r="X43" s="170">
        <f t="array" ref="X43">IFERROR(
MEDIAN((IF(DATOS_[[Sexo]:[Sexo]]=$B43,IF(DATOS_[[AGRUP. CLAS. PROF.]:[AGRUP. CLAS. PROF.]]=$B42,IF(DATOS_[[Check Periodo Ref.]:[Check Periodo Ref.]]="Dentro",DATOS_[Conc.Sal.19]))))),
0)</f>
        <v>0</v>
      </c>
      <c r="Y43" s="170">
        <f t="array" ref="Y43">IFERROR(
MEDIAN((IF(DATOS_[[Sexo]:[Sexo]]=$B43,IF(DATOS_[[AGRUP. CLAS. PROF.]:[AGRUP. CLAS. PROF.]]=$B42,IF(DATOS_[[Check Periodo Ref.]:[Check Periodo Ref.]]="Dentro",DATOS_[Conc.Sal.20]))))),
0)</f>
        <v>0</v>
      </c>
      <c r="Z43" s="170">
        <f t="array" ref="Z43">IFERROR(
MEDIAN((IF(DATOS_[[Sexo]:[Sexo]]=$B43,IF(DATOS_[[AGRUP. CLAS. PROF.]:[AGRUP. CLAS. PROF.]]=$B42,IF(DATOS_[[Check Periodo Ref.]:[Check Periodo Ref.]]="Dentro",DATOS_[Conc.Sal.21]))))),
0)</f>
        <v>0</v>
      </c>
      <c r="AA43" s="170">
        <f t="array" ref="AA43">IFERROR(
MEDIAN((IF(DATOS_[[Sexo]:[Sexo]]=$B43,IF(DATOS_[[AGRUP. CLAS. PROF.]:[AGRUP. CLAS. PROF.]]=$B42,IF(DATOS_[[Check Periodo Ref.]:[Check Periodo Ref.]]="Dentro",DATOS_[Conc.Sal.22]))))),
0)</f>
        <v>0</v>
      </c>
      <c r="AB43" s="170">
        <f t="array" ref="AB43">IFERROR(
MEDIAN((IF(DATOS_[[Sexo]:[Sexo]]=$B43,IF(DATOS_[[AGRUP. CLAS. PROF.]:[AGRUP. CLAS. PROF.]]=$B42,IF(DATOS_[[Check Periodo Ref.]:[Check Periodo Ref.]]="Dentro",DATOS_[Conc.Sal.23]))))),
0)</f>
        <v>0</v>
      </c>
      <c r="AC43" s="170">
        <f t="array" ref="AC43">IFERROR(
MEDIAN((IF(DATOS_[[Sexo]:[Sexo]]=$B43,IF(DATOS_[[AGRUP. CLAS. PROF.]:[AGRUP. CLAS. PROF.]]=$B42,IF(DATOS_[[Check Periodo Ref.]:[Check Periodo Ref.]]="Dentro",DATOS_[Conc.Sal.24]))))),
0)</f>
        <v>0</v>
      </c>
      <c r="AD43" s="170">
        <f t="array" ref="AD43">IFERROR(
MEDIAN((IF(DATOS_[[Sexo]:[Sexo]]=$B43,IF(DATOS_[[AGRUP. CLAS. PROF.]:[AGRUP. CLAS. PROF.]]=$B42,IF(DATOS_[[Check Periodo Ref.]:[Check Periodo Ref.]]="Dentro",DATOS_[Conc.Sal.25]))))),
0)</f>
        <v>0</v>
      </c>
      <c r="AE43" s="170">
        <f t="array" ref="AE43">IFERROR(
MEDIAN((IF(DATOS_[[Sexo]:[Sexo]]=$B43,IF(DATOS_[[AGRUP. CLAS. PROF.]:[AGRUP. CLAS. PROF.]]=$B42,IF(DATOS_[[Check Periodo Ref.]:[Check Periodo Ref.]]="Dentro",DATOS_[Conc.Sal.26]))))),
0)</f>
        <v>0</v>
      </c>
      <c r="AF43" s="170">
        <f t="array" ref="AF43">IFERROR(
MEDIAN((IF(DATOS_[[Sexo]:[Sexo]]=$B43,IF(DATOS_[[AGRUP. CLAS. PROF.]:[AGRUP. CLAS. PROF.]]=$B42,IF(DATOS_[[Check Periodo Ref.]:[Check Periodo Ref.]]="Dentro",DATOS_[Conc.Sal.27]))))),
0)</f>
        <v>0</v>
      </c>
      <c r="AG43" s="170">
        <f t="array" ref="AG43">IFERROR(
MEDIAN((IF(DATOS_[[Sexo]:[Sexo]]=$B43,IF(DATOS_[[AGRUP. CLAS. PROF.]:[AGRUP. CLAS. PROF.]]=$B42,IF(DATOS_[[Check Periodo Ref.]:[Check Periodo Ref.]]="Dentro",DATOS_[Conc.Sal.28]))))),
0)</f>
        <v>0</v>
      </c>
      <c r="AH43" s="170">
        <f t="array" ref="AH43">IFERROR(
MEDIAN((IF(DATOS_[[Sexo]:[Sexo]]=$B43,IF(DATOS_[[AGRUP. CLAS. PROF.]:[AGRUP. CLAS. PROF.]]=$B42,IF(DATOS_[[Check Periodo Ref.]:[Check Periodo Ref.]]="Dentro",DATOS_[Conc.Sal.29]))))),
0)</f>
        <v>0</v>
      </c>
      <c r="AI43" s="170">
        <f t="array" ref="AI43">IFERROR(
MEDIAN((IF(DATOS_[[Sexo]:[Sexo]]=$B43,IF(DATOS_[[AGRUP. CLAS. PROF.]:[AGRUP. CLAS. PROF.]]=$B42,IF(DATOS_[[Check Periodo Ref.]:[Check Periodo Ref.]]="Dentro",DATOS_[Conc.Sal.30]))))),
0)</f>
        <v>0</v>
      </c>
      <c r="AJ43" s="171">
        <f t="array" ref="AJ43">IFERROR(
MEDIAN(IF(DATOS_[Sexo]=$B43,IF(DATOS_[AGRUP. CLAS. PROF.]=$B42,IF(DATOS_[Check Periodo Ref.]="Dentro",DATOS_[Tot COMPL.SAL Ef],FALSE)))),
0)</f>
        <v>0</v>
      </c>
      <c r="AK43" s="172">
        <f t="array" ref="AK43">IFERROR(
MEDIAN(IF(DATOS_[Sexo]=$B43,IF(DATOS_[AGRUP. CLAS. PROF.]=$B42,IF(DATOS_[Check Periodo Ref.]="Dentro",DATOS_[TOTAL SALARIO Ef],FALSE)))),
0)</f>
        <v>0</v>
      </c>
      <c r="AL43" s="173">
        <f t="array" ref="AL43">IFERROR(
MEDIAN((IF(DATOS_[[Sexo]:[Sexo]]=$B43,IF(DATOS_[[AGRUP. CLAS. PROF.]:[AGRUP. CLAS. PROF.]]=$B42,IF(DATOS_[[Check Periodo Ref.]:[Check Periodo Ref.]]="Dentro",DATOS_[C.Extra.01]))))),
0)</f>
        <v>0</v>
      </c>
      <c r="AM43" s="173">
        <f t="array" ref="AM43">IFERROR(
MEDIAN((IF(DATOS_[[Sexo]:[Sexo]]=$B43,IF(DATOS_[[AGRUP. CLAS. PROF.]:[AGRUP. CLAS. PROF.]]=$B42,IF(DATOS_[[Check Periodo Ref.]:[Check Periodo Ref.]]="Dentro",DATOS_[C.Extra.06]))))),
0)</f>
        <v>0</v>
      </c>
      <c r="AN43" s="173">
        <f t="array" ref="AN43">IFERROR(
MEDIAN((IF(DATOS_[[Sexo]:[Sexo]]=$B43,IF(DATOS_[[AGRUP. CLAS. PROF.]:[AGRUP. CLAS. PROF.]]=$B42,IF(DATOS_[[Check Periodo Ref.]:[Check Periodo Ref.]]="Dentro",DATOS_[C.Extra.07]))))),
0)</f>
        <v>0</v>
      </c>
      <c r="AO43" s="173">
        <f t="array" ref="AO43">IFERROR(
MEDIAN((IF(DATOS_[[Sexo]:[Sexo]]=$B43,IF(DATOS_[[AGRUP. CLAS. PROF.]:[AGRUP. CLAS. PROF.]]=$B42,IF(DATOS_[[Check Periodo Ref.]:[Check Periodo Ref.]]="Dentro",DATOS_[C.Extra.08]))))),
0)</f>
        <v>0</v>
      </c>
      <c r="AP43" s="173">
        <f t="array" ref="AP43">IFERROR(
MEDIAN((IF(DATOS_[[Sexo]:[Sexo]]=$B43,IF(DATOS_[[AGRUP. CLAS. PROF.]:[AGRUP. CLAS. PROF.]]=$B42,IF(DATOS_[[Check Periodo Ref.]:[Check Periodo Ref.]]="Dentro",DATOS_[C.Extra.11]))))),
0)</f>
        <v>0</v>
      </c>
      <c r="AQ43" s="174">
        <f t="array" ref="AQ43">IFERROR(
MEDIAN(IF(DATOS_[Sexo]=$B43,IF(DATOS_[AGRUP. CLAS. PROF.]=$B42,IF(DATOS_[Check Periodo Ref.]="Dentro",DATOS_[Tot Extrasalarial Ef],FALSE)))),
0)</f>
        <v>0</v>
      </c>
      <c r="AR43" s="171">
        <f t="array" ref="AR43">IFERROR(
MEDIAN(IF(DATOS_[Sexo]=$B43,IF(DATOS_[AGRUP. CLAS. PROF.]=$B42,IF(DATOS_[Check Periodo Ref.]="Dentro",DATOS_[TOTAL Retrib Ef],FALSE)))),
0)</f>
        <v>0</v>
      </c>
    </row>
    <row r="44" spans="1:44" hidden="1" x14ac:dyDescent="0.25">
      <c r="A44" s="178" t="str">
        <f t="shared" ref="A44" si="42">+A43</f>
        <v>[ocultar]</v>
      </c>
      <c r="B44" s="166" t="s">
        <v>521</v>
      </c>
      <c r="C44" s="167">
        <f t="array" ref="C44">SUM(IF($B44=DATOS_[Sexo],
IF($B42=DATOS_[AGRUP. CLAS. PROF.],
IF("Dentro"=DATOS_[Check Periodo Ref.],
1/(COUNTIFS(DATOS_[Sexo],$B44,DATOS_[AGRUP. CLAS. PROF.],$B42,DATOS_[Check Periodo Ref.],"Dentro",DATOS_[id/cod],DATOS_[id/cod]))))))</f>
        <v>0</v>
      </c>
      <c r="D44" s="168">
        <f>COUNTIFS(DATOS_[AGRUP. CLAS. PROF.],$B42,DATOS_[Sexo],$B44,DATOS_[Check Periodo Ref.],"Dentro")</f>
        <v>0</v>
      </c>
      <c r="E44" s="169">
        <f t="array" ref="E44">IFERROR(
MEDIAN(IF(DATOS_[Sexo]=$B44,IF(DATOS_[AGRUP. CLAS. PROF.]=$B42,IF(DATOS_[Check Periodo Ref.]="Dentro",DATOS_[SALARIO BASE Ef],FALSE)))),
0)</f>
        <v>0</v>
      </c>
      <c r="F44" s="170">
        <f t="array" ref="F44">IFERROR(
MEDIAN((IF(DATOS_[[Sexo]:[Sexo]]=$B44,IF(DATOS_[[AGRUP. CLAS. PROF.]:[AGRUP. CLAS. PROF.]]=$B42,IF(DATOS_[[Check Periodo Ref.]:[Check Periodo Ref.]]="Dentro",DATOS_[Conc.Sal.01]))))),
0)</f>
        <v>0</v>
      </c>
      <c r="G44" s="170">
        <f t="array" ref="G44">IFERROR(
MEDIAN((IF(DATOS_[[Sexo]:[Sexo]]=$B44,IF(DATOS_[[AGRUP. CLAS. PROF.]:[AGRUP. CLAS. PROF.]]=$B42,IF(DATOS_[[Check Periodo Ref.]:[Check Periodo Ref.]]="Dentro",DATOS_[Conc.Sal.02]))))),
0)</f>
        <v>0</v>
      </c>
      <c r="H44" s="170">
        <f t="array" ref="H44">IFERROR(
MEDIAN((IF(DATOS_[[Sexo]:[Sexo]]=$B44,IF(DATOS_[[AGRUP. CLAS. PROF.]:[AGRUP. CLAS. PROF.]]=$B42,IF(DATOS_[[Check Periodo Ref.]:[Check Periodo Ref.]]="Dentro",DATOS_[Conc.Sal.03]))))),
0)</f>
        <v>0</v>
      </c>
      <c r="I44" s="170">
        <f t="array" ref="I44">IFERROR(
MEDIAN((IF(DATOS_[[Sexo]:[Sexo]]=$B44,IF(DATOS_[[AGRUP. CLAS. PROF.]:[AGRUP. CLAS. PROF.]]=$B42,IF(DATOS_[[Check Periodo Ref.]:[Check Periodo Ref.]]="Dentro",DATOS_[Conc.Sal.04]))))),
0)</f>
        <v>0</v>
      </c>
      <c r="J44" s="170">
        <f t="array" ref="J44">IFERROR(
MEDIAN((IF(DATOS_[[Sexo]:[Sexo]]=$B44,IF(DATOS_[[AGRUP. CLAS. PROF.]:[AGRUP. CLAS. PROF.]]=$B42,IF(DATOS_[[Check Periodo Ref.]:[Check Periodo Ref.]]="Dentro",DATOS_[Conc.Sal.05]))))),
0)</f>
        <v>0</v>
      </c>
      <c r="K44" s="170">
        <f t="array" ref="K44">IFERROR(
MEDIAN((IF(DATOS_[[Sexo]:[Sexo]]=$B44,IF(DATOS_[[AGRUP. CLAS. PROF.]:[AGRUP. CLAS. PROF.]]=$B42,IF(DATOS_[[Check Periodo Ref.]:[Check Periodo Ref.]]="Dentro",DATOS_[Conc.Sal.06]))))),
0)</f>
        <v>0</v>
      </c>
      <c r="L44" s="170">
        <f t="array" ref="L44">IFERROR(
MEDIAN((IF(DATOS_[[Sexo]:[Sexo]]=$B44,IF(DATOS_[[AGRUP. CLAS. PROF.]:[AGRUP. CLAS. PROF.]]=$B42,IF(DATOS_[[Check Periodo Ref.]:[Check Periodo Ref.]]="Dentro",DATOS_[Conc.Sal.07]))))),
0)</f>
        <v>0</v>
      </c>
      <c r="M44" s="170">
        <f t="array" ref="M44">IFERROR(
MEDIAN((IF(DATOS_[[Sexo]:[Sexo]]=$B44,IF(DATOS_[[AGRUP. CLAS. PROF.]:[AGRUP. CLAS. PROF.]]=$B42,IF(DATOS_[[Check Periodo Ref.]:[Check Periodo Ref.]]="Dentro",DATOS_[Conc.Sal.08]))))),
0)</f>
        <v>0</v>
      </c>
      <c r="N44" s="170">
        <f t="array" ref="N44">IFERROR(
MEDIAN((IF(DATOS_[[Sexo]:[Sexo]]=$B44,IF(DATOS_[[AGRUP. CLAS. PROF.]:[AGRUP. CLAS. PROF.]]=$B42,IF(DATOS_[[Check Periodo Ref.]:[Check Periodo Ref.]]="Dentro",DATOS_[Conc.Sal.09]))))),
0)</f>
        <v>0</v>
      </c>
      <c r="O44" s="170">
        <f t="array" ref="O44">IFERROR(
MEDIAN((IF(DATOS_[[Sexo]:[Sexo]]=$B44,IF(DATOS_[[AGRUP. CLAS. PROF.]:[AGRUP. CLAS. PROF.]]=$B42,IF(DATOS_[[Check Periodo Ref.]:[Check Periodo Ref.]]="Dentro",DATOS_[Conc.Sal.10]))))),
0)</f>
        <v>0</v>
      </c>
      <c r="P44" s="170">
        <f t="array" ref="P44">IFERROR(
MEDIAN((IF(DATOS_[[Sexo]:[Sexo]]=$B44,IF(DATOS_[[AGRUP. CLAS. PROF.]:[AGRUP. CLAS. PROF.]]=$B42,IF(DATOS_[[Check Periodo Ref.]:[Check Periodo Ref.]]="Dentro",DATOS_[Conc.Sal.11]))))),
0)</f>
        <v>0</v>
      </c>
      <c r="Q44" s="170">
        <f t="array" ref="Q44">IFERROR(
MEDIAN((IF(DATOS_[[Sexo]:[Sexo]]=$B44,IF(DATOS_[[AGRUP. CLAS. PROF.]:[AGRUP. CLAS. PROF.]]=$B42,IF(DATOS_[[Check Periodo Ref.]:[Check Periodo Ref.]]="Dentro",DATOS_[Conc.Sal.12]))))),
0)</f>
        <v>0</v>
      </c>
      <c r="R44" s="170">
        <f t="array" ref="R44">IFERROR(
MEDIAN((IF(DATOS_[[Sexo]:[Sexo]]=$B44,IF(DATOS_[[AGRUP. CLAS. PROF.]:[AGRUP. CLAS. PROF.]]=$B42,IF(DATOS_[[Check Periodo Ref.]:[Check Periodo Ref.]]="Dentro",DATOS_[Conc.Sal.13]))))),
0)</f>
        <v>0</v>
      </c>
      <c r="S44" s="170">
        <f t="array" ref="S44">IFERROR(
MEDIAN((IF(DATOS_[[Sexo]:[Sexo]]=$B44,IF(DATOS_[[AGRUP. CLAS. PROF.]:[AGRUP. CLAS. PROF.]]=$B42,IF(DATOS_[[Check Periodo Ref.]:[Check Periodo Ref.]]="Dentro",DATOS_[Conc.Sal.14]))))),
0)</f>
        <v>0</v>
      </c>
      <c r="T44" s="170">
        <f t="array" ref="T44">IFERROR(
MEDIAN((IF(DATOS_[[Sexo]:[Sexo]]=$B44,IF(DATOS_[[AGRUP. CLAS. PROF.]:[AGRUP. CLAS. PROF.]]=$B42,IF(DATOS_[[Check Periodo Ref.]:[Check Periodo Ref.]]="Dentro",DATOS_[Conc.Sal.15]))))),
0)</f>
        <v>0</v>
      </c>
      <c r="U44" s="170">
        <f t="array" ref="U44">IFERROR(
MEDIAN((IF(DATOS_[[Sexo]:[Sexo]]=$B44,IF(DATOS_[[AGRUP. CLAS. PROF.]:[AGRUP. CLAS. PROF.]]=$B42,IF(DATOS_[[Check Periodo Ref.]:[Check Periodo Ref.]]="Dentro",DATOS_[Conc.Sal.16]))))),
0)</f>
        <v>0</v>
      </c>
      <c r="V44" s="170">
        <f t="array" ref="V44">IFERROR(
MEDIAN((IF(DATOS_[[Sexo]:[Sexo]]=$B44,IF(DATOS_[[AGRUP. CLAS. PROF.]:[AGRUP. CLAS. PROF.]]=$B42,IF(DATOS_[[Check Periodo Ref.]:[Check Periodo Ref.]]="Dentro",DATOS_[Conc.Sal.17]))))),
0)</f>
        <v>0</v>
      </c>
      <c r="W44" s="170">
        <f t="array" ref="W44">IFERROR(
MEDIAN((IF(DATOS_[[Sexo]:[Sexo]]=$B44,IF(DATOS_[[AGRUP. CLAS. PROF.]:[AGRUP. CLAS. PROF.]]=$B42,IF(DATOS_[[Check Periodo Ref.]:[Check Periodo Ref.]]="Dentro",DATOS_[Conc.Sal.18]))))),
0)</f>
        <v>0</v>
      </c>
      <c r="X44" s="170">
        <f t="array" ref="X44">IFERROR(
MEDIAN((IF(DATOS_[[Sexo]:[Sexo]]=$B44,IF(DATOS_[[AGRUP. CLAS. PROF.]:[AGRUP. CLAS. PROF.]]=$B42,IF(DATOS_[[Check Periodo Ref.]:[Check Periodo Ref.]]="Dentro",DATOS_[Conc.Sal.19]))))),
0)</f>
        <v>0</v>
      </c>
      <c r="Y44" s="170">
        <f t="array" ref="Y44">IFERROR(
MEDIAN((IF(DATOS_[[Sexo]:[Sexo]]=$B44,IF(DATOS_[[AGRUP. CLAS. PROF.]:[AGRUP. CLAS. PROF.]]=$B42,IF(DATOS_[[Check Periodo Ref.]:[Check Periodo Ref.]]="Dentro",DATOS_[Conc.Sal.20]))))),
0)</f>
        <v>0</v>
      </c>
      <c r="Z44" s="170">
        <f t="array" ref="Z44">IFERROR(
MEDIAN((IF(DATOS_[[Sexo]:[Sexo]]=$B44,IF(DATOS_[[AGRUP. CLAS. PROF.]:[AGRUP. CLAS. PROF.]]=$B42,IF(DATOS_[[Check Periodo Ref.]:[Check Periodo Ref.]]="Dentro",DATOS_[Conc.Sal.21]))))),
0)</f>
        <v>0</v>
      </c>
      <c r="AA44" s="170">
        <f t="array" ref="AA44">IFERROR(
MEDIAN((IF(DATOS_[[Sexo]:[Sexo]]=$B44,IF(DATOS_[[AGRUP. CLAS. PROF.]:[AGRUP. CLAS. PROF.]]=$B42,IF(DATOS_[[Check Periodo Ref.]:[Check Periodo Ref.]]="Dentro",DATOS_[Conc.Sal.22]))))),
0)</f>
        <v>0</v>
      </c>
      <c r="AB44" s="170">
        <f t="array" ref="AB44">IFERROR(
MEDIAN((IF(DATOS_[[Sexo]:[Sexo]]=$B44,IF(DATOS_[[AGRUP. CLAS. PROF.]:[AGRUP. CLAS. PROF.]]=$B42,IF(DATOS_[[Check Periodo Ref.]:[Check Periodo Ref.]]="Dentro",DATOS_[Conc.Sal.23]))))),
0)</f>
        <v>0</v>
      </c>
      <c r="AC44" s="170">
        <f t="array" ref="AC44">IFERROR(
MEDIAN((IF(DATOS_[[Sexo]:[Sexo]]=$B44,IF(DATOS_[[AGRUP. CLAS. PROF.]:[AGRUP. CLAS. PROF.]]=$B42,IF(DATOS_[[Check Periodo Ref.]:[Check Periodo Ref.]]="Dentro",DATOS_[Conc.Sal.24]))))),
0)</f>
        <v>0</v>
      </c>
      <c r="AD44" s="170">
        <f t="array" ref="AD44">IFERROR(
MEDIAN((IF(DATOS_[[Sexo]:[Sexo]]=$B44,IF(DATOS_[[AGRUP. CLAS. PROF.]:[AGRUP. CLAS. PROF.]]=$B42,IF(DATOS_[[Check Periodo Ref.]:[Check Periodo Ref.]]="Dentro",DATOS_[Conc.Sal.25]))))),
0)</f>
        <v>0</v>
      </c>
      <c r="AE44" s="170">
        <f t="array" ref="AE44">IFERROR(
MEDIAN((IF(DATOS_[[Sexo]:[Sexo]]=$B44,IF(DATOS_[[AGRUP. CLAS. PROF.]:[AGRUP. CLAS. PROF.]]=$B42,IF(DATOS_[[Check Periodo Ref.]:[Check Periodo Ref.]]="Dentro",DATOS_[Conc.Sal.26]))))),
0)</f>
        <v>0</v>
      </c>
      <c r="AF44" s="170">
        <f t="array" ref="AF44">IFERROR(
MEDIAN((IF(DATOS_[[Sexo]:[Sexo]]=$B44,IF(DATOS_[[AGRUP. CLAS. PROF.]:[AGRUP. CLAS. PROF.]]=$B42,IF(DATOS_[[Check Periodo Ref.]:[Check Periodo Ref.]]="Dentro",DATOS_[Conc.Sal.27]))))),
0)</f>
        <v>0</v>
      </c>
      <c r="AG44" s="170">
        <f t="array" ref="AG44">IFERROR(
MEDIAN((IF(DATOS_[[Sexo]:[Sexo]]=$B44,IF(DATOS_[[AGRUP. CLAS. PROF.]:[AGRUP. CLAS. PROF.]]=$B42,IF(DATOS_[[Check Periodo Ref.]:[Check Periodo Ref.]]="Dentro",DATOS_[Conc.Sal.28]))))),
0)</f>
        <v>0</v>
      </c>
      <c r="AH44" s="170">
        <f t="array" ref="AH44">IFERROR(
MEDIAN((IF(DATOS_[[Sexo]:[Sexo]]=$B44,IF(DATOS_[[AGRUP. CLAS. PROF.]:[AGRUP. CLAS. PROF.]]=$B42,IF(DATOS_[[Check Periodo Ref.]:[Check Periodo Ref.]]="Dentro",DATOS_[Conc.Sal.29]))))),
0)</f>
        <v>0</v>
      </c>
      <c r="AI44" s="170">
        <f t="array" ref="AI44">IFERROR(
MEDIAN((IF(DATOS_[[Sexo]:[Sexo]]=$B44,IF(DATOS_[[AGRUP. CLAS. PROF.]:[AGRUP. CLAS. PROF.]]=$B42,IF(DATOS_[[Check Periodo Ref.]:[Check Periodo Ref.]]="Dentro",DATOS_[Conc.Sal.30]))))),
0)</f>
        <v>0</v>
      </c>
      <c r="AJ44" s="171">
        <f t="array" ref="AJ44">IFERROR(
MEDIAN(IF(DATOS_[Sexo]=$B44,IF(DATOS_[AGRUP. CLAS. PROF.]=$B42,IF(DATOS_[Check Periodo Ref.]="Dentro",DATOS_[Tot COMPL.SAL Ef],FALSE)))),
0)</f>
        <v>0</v>
      </c>
      <c r="AK44" s="172">
        <f t="array" ref="AK44">IFERROR(
MEDIAN(IF(DATOS_[Sexo]=$B44,IF(DATOS_[AGRUP. CLAS. PROF.]=$B42,IF(DATOS_[Check Periodo Ref.]="Dentro",DATOS_[TOTAL SALARIO Ef],FALSE)))),
0)</f>
        <v>0</v>
      </c>
      <c r="AL44" s="173">
        <f t="array" ref="AL44">IFERROR(
MEDIAN((IF(DATOS_[[Sexo]:[Sexo]]=$B44,IF(DATOS_[[AGRUP. CLAS. PROF.]:[AGRUP. CLAS. PROF.]]=$B42,IF(DATOS_[[Check Periodo Ref.]:[Check Periodo Ref.]]="Dentro",DATOS_[C.Extra.01]))))),
0)</f>
        <v>0</v>
      </c>
      <c r="AM44" s="173">
        <f t="array" ref="AM44">IFERROR(
MEDIAN((IF(DATOS_[[Sexo]:[Sexo]]=$B44,IF(DATOS_[[AGRUP. CLAS. PROF.]:[AGRUP. CLAS. PROF.]]=$B42,IF(DATOS_[[Check Periodo Ref.]:[Check Periodo Ref.]]="Dentro",DATOS_[C.Extra.06]))))),
0)</f>
        <v>0</v>
      </c>
      <c r="AN44" s="173">
        <f t="array" ref="AN44">IFERROR(
MEDIAN((IF(DATOS_[[Sexo]:[Sexo]]=$B44,IF(DATOS_[[AGRUP. CLAS. PROF.]:[AGRUP. CLAS. PROF.]]=$B42,IF(DATOS_[[Check Periodo Ref.]:[Check Periodo Ref.]]="Dentro",DATOS_[C.Extra.07]))))),
0)</f>
        <v>0</v>
      </c>
      <c r="AO44" s="173">
        <f t="array" ref="AO44">IFERROR(
MEDIAN((IF(DATOS_[[Sexo]:[Sexo]]=$B44,IF(DATOS_[[AGRUP. CLAS. PROF.]:[AGRUP. CLAS. PROF.]]=$B42,IF(DATOS_[[Check Periodo Ref.]:[Check Periodo Ref.]]="Dentro",DATOS_[C.Extra.08]))))),
0)</f>
        <v>0</v>
      </c>
      <c r="AP44" s="173">
        <f t="array" ref="AP44">IFERROR(
MEDIAN((IF(DATOS_[[Sexo]:[Sexo]]=$B44,IF(DATOS_[[AGRUP. CLAS. PROF.]:[AGRUP. CLAS. PROF.]]=$B42,IF(DATOS_[[Check Periodo Ref.]:[Check Periodo Ref.]]="Dentro",DATOS_[C.Extra.11]))))),
0)</f>
        <v>0</v>
      </c>
      <c r="AQ44" s="174">
        <f t="array" ref="AQ44">IFERROR(
MEDIAN(IF(DATOS_[Sexo]=$B44,IF(DATOS_[AGRUP. CLAS. PROF.]=$B42,IF(DATOS_[Check Periodo Ref.]="Dentro",DATOS_[Tot Extrasalarial Ef],FALSE)))),
0)</f>
        <v>0</v>
      </c>
      <c r="AR44" s="171">
        <f t="array" ref="AR44">IFERROR(
MEDIAN(IF(DATOS_[Sexo]=$B44,IF(DATOS_[AGRUP. CLAS. PROF.]=$B42,IF(DATOS_[Check Periodo Ref.]="Dentro",DATOS_[TOTAL Retrib Ef],FALSE)))),
0)</f>
        <v>0</v>
      </c>
    </row>
    <row r="45" spans="1:44" ht="14.4" hidden="1" thickBot="1" x14ac:dyDescent="0.3">
      <c r="A45" s="178" t="str">
        <f t="shared" ref="A45" si="43">+A46</f>
        <v>[ocultar]</v>
      </c>
      <c r="B45" s="153" t="s">
        <v>217</v>
      </c>
      <c r="C45" s="154"/>
      <c r="D45" s="155"/>
      <c r="E45" s="156" t="str">
        <f t="shared" ref="E45:AR45" si="44">IFERROR((E46-E47)/E46,"")</f>
        <v/>
      </c>
      <c r="F45" s="157" t="str">
        <f t="shared" si="44"/>
        <v/>
      </c>
      <c r="G45" s="158" t="str">
        <f t="shared" si="44"/>
        <v/>
      </c>
      <c r="H45" s="158" t="str">
        <f t="shared" si="44"/>
        <v/>
      </c>
      <c r="I45" s="158" t="str">
        <f t="shared" si="44"/>
        <v/>
      </c>
      <c r="J45" s="159" t="str">
        <f t="shared" si="44"/>
        <v/>
      </c>
      <c r="K45" s="160" t="str">
        <f t="shared" si="44"/>
        <v/>
      </c>
      <c r="L45" s="160" t="str">
        <f t="shared" si="44"/>
        <v/>
      </c>
      <c r="M45" s="160" t="str">
        <f t="shared" si="44"/>
        <v/>
      </c>
      <c r="N45" s="160" t="str">
        <f t="shared" si="44"/>
        <v/>
      </c>
      <c r="O45" s="160" t="str">
        <f t="shared" si="44"/>
        <v/>
      </c>
      <c r="P45" s="160" t="str">
        <f t="shared" si="44"/>
        <v/>
      </c>
      <c r="Q45" s="160" t="str">
        <f t="shared" si="44"/>
        <v/>
      </c>
      <c r="R45" s="160" t="str">
        <f t="shared" si="44"/>
        <v/>
      </c>
      <c r="S45" s="160" t="str">
        <f t="shared" si="44"/>
        <v/>
      </c>
      <c r="T45" s="160" t="str">
        <f t="shared" si="44"/>
        <v/>
      </c>
      <c r="U45" s="160" t="str">
        <f t="shared" si="44"/>
        <v/>
      </c>
      <c r="V45" s="159" t="str">
        <f t="shared" si="44"/>
        <v/>
      </c>
      <c r="W45" s="159" t="str">
        <f t="shared" si="44"/>
        <v/>
      </c>
      <c r="X45" s="159" t="str">
        <f t="shared" si="44"/>
        <v/>
      </c>
      <c r="Y45" s="159" t="str">
        <f t="shared" si="44"/>
        <v/>
      </c>
      <c r="Z45" s="159" t="str">
        <f t="shared" si="44"/>
        <v/>
      </c>
      <c r="AA45" s="159" t="str">
        <f t="shared" si="44"/>
        <v/>
      </c>
      <c r="AB45" s="159" t="str">
        <f t="shared" si="44"/>
        <v/>
      </c>
      <c r="AC45" s="159" t="str">
        <f t="shared" si="44"/>
        <v/>
      </c>
      <c r="AD45" s="159" t="str">
        <f t="shared" si="44"/>
        <v/>
      </c>
      <c r="AE45" s="159" t="str">
        <f t="shared" si="44"/>
        <v/>
      </c>
      <c r="AF45" s="159" t="str">
        <f t="shared" si="44"/>
        <v/>
      </c>
      <c r="AG45" s="159" t="str">
        <f t="shared" si="44"/>
        <v/>
      </c>
      <c r="AH45" s="159" t="str">
        <f t="shared" si="44"/>
        <v/>
      </c>
      <c r="AI45" s="159" t="str">
        <f t="shared" si="44"/>
        <v/>
      </c>
      <c r="AJ45" s="161" t="str">
        <f t="shared" si="44"/>
        <v/>
      </c>
      <c r="AK45" s="162" t="str">
        <f t="shared" si="44"/>
        <v/>
      </c>
      <c r="AL45" s="163" t="str">
        <f t="shared" si="44"/>
        <v/>
      </c>
      <c r="AM45" s="163" t="str">
        <f t="shared" si="44"/>
        <v/>
      </c>
      <c r="AN45" s="163" t="str">
        <f t="shared" si="44"/>
        <v/>
      </c>
      <c r="AO45" s="163" t="str">
        <f t="shared" si="44"/>
        <v/>
      </c>
      <c r="AP45" s="163" t="str">
        <f t="shared" si="44"/>
        <v/>
      </c>
      <c r="AQ45" s="164" t="str">
        <f t="shared" si="44"/>
        <v/>
      </c>
      <c r="AR45" s="161" t="str">
        <f t="shared" si="44"/>
        <v/>
      </c>
    </row>
    <row r="46" spans="1:44" hidden="1" x14ac:dyDescent="0.25">
      <c r="A46" s="178" t="str">
        <f t="shared" ref="A46" si="45">+IF(C46+C47=0,"[ocultar]","")</f>
        <v>[ocultar]</v>
      </c>
      <c r="B46" s="166" t="s">
        <v>394</v>
      </c>
      <c r="C46" s="167">
        <f t="array" ref="C46">SUM(IF($B46=DATOS_[Sexo],
IF($B45=DATOS_[AGRUP. CLAS. PROF.],
IF("Dentro"=DATOS_[Check Periodo Ref.],
1/(COUNTIFS(DATOS_[Sexo],$B46,DATOS_[AGRUP. CLAS. PROF.],$B45,DATOS_[Check Periodo Ref.],"Dentro",DATOS_[id/cod],DATOS_[id/cod]))))))</f>
        <v>0</v>
      </c>
      <c r="D46" s="168">
        <f>COUNTIFS(DATOS_[AGRUP. CLAS. PROF.],$B45,DATOS_[Sexo],$B46,DATOS_[Check Periodo Ref.],"Dentro")</f>
        <v>0</v>
      </c>
      <c r="E46" s="169">
        <f t="array" ref="E46">IFERROR(
MEDIAN(IF(DATOS_[Sexo]=$B46,IF(DATOS_[AGRUP. CLAS. PROF.]=$B45,IF(DATOS_[Check Periodo Ref.]="Dentro",DATOS_[SALARIO BASE Ef],FALSE)))),
0)</f>
        <v>0</v>
      </c>
      <c r="F46" s="170">
        <f t="array" ref="F46">IFERROR(
MEDIAN((IF(DATOS_[[Sexo]:[Sexo]]=$B46,IF(DATOS_[[AGRUP. CLAS. PROF.]:[AGRUP. CLAS. PROF.]]=$B45,IF(DATOS_[[Check Periodo Ref.]:[Check Periodo Ref.]]="Dentro",DATOS_[Conc.Sal.01]))))),
0)</f>
        <v>0</v>
      </c>
      <c r="G46" s="170">
        <f t="array" ref="G46">IFERROR(
MEDIAN((IF(DATOS_[[Sexo]:[Sexo]]=$B46,IF(DATOS_[[AGRUP. CLAS. PROF.]:[AGRUP. CLAS. PROF.]]=$B45,IF(DATOS_[[Check Periodo Ref.]:[Check Periodo Ref.]]="Dentro",DATOS_[Conc.Sal.02]))))),
0)</f>
        <v>0</v>
      </c>
      <c r="H46" s="170">
        <f t="array" ref="H46">IFERROR(
MEDIAN((IF(DATOS_[[Sexo]:[Sexo]]=$B46,IF(DATOS_[[AGRUP. CLAS. PROF.]:[AGRUP. CLAS. PROF.]]=$B45,IF(DATOS_[[Check Periodo Ref.]:[Check Periodo Ref.]]="Dentro",DATOS_[Conc.Sal.03]))))),
0)</f>
        <v>0</v>
      </c>
      <c r="I46" s="170">
        <f t="array" ref="I46">IFERROR(
MEDIAN((IF(DATOS_[[Sexo]:[Sexo]]=$B46,IF(DATOS_[[AGRUP. CLAS. PROF.]:[AGRUP. CLAS. PROF.]]=$B45,IF(DATOS_[[Check Periodo Ref.]:[Check Periodo Ref.]]="Dentro",DATOS_[Conc.Sal.04]))))),
0)</f>
        <v>0</v>
      </c>
      <c r="J46" s="170">
        <f t="array" ref="J46">IFERROR(
MEDIAN((IF(DATOS_[[Sexo]:[Sexo]]=$B46,IF(DATOS_[[AGRUP. CLAS. PROF.]:[AGRUP. CLAS. PROF.]]=$B45,IF(DATOS_[[Check Periodo Ref.]:[Check Periodo Ref.]]="Dentro",DATOS_[Conc.Sal.05]))))),
0)</f>
        <v>0</v>
      </c>
      <c r="K46" s="170">
        <f t="array" ref="K46">IFERROR(
MEDIAN((IF(DATOS_[[Sexo]:[Sexo]]=$B46,IF(DATOS_[[AGRUP. CLAS. PROF.]:[AGRUP. CLAS. PROF.]]=$B45,IF(DATOS_[[Check Periodo Ref.]:[Check Periodo Ref.]]="Dentro",DATOS_[Conc.Sal.06]))))),
0)</f>
        <v>0</v>
      </c>
      <c r="L46" s="170">
        <f t="array" ref="L46">IFERROR(
MEDIAN((IF(DATOS_[[Sexo]:[Sexo]]=$B46,IF(DATOS_[[AGRUP. CLAS. PROF.]:[AGRUP. CLAS. PROF.]]=$B45,IF(DATOS_[[Check Periodo Ref.]:[Check Periodo Ref.]]="Dentro",DATOS_[Conc.Sal.07]))))),
0)</f>
        <v>0</v>
      </c>
      <c r="M46" s="170">
        <f t="array" ref="M46">IFERROR(
MEDIAN((IF(DATOS_[[Sexo]:[Sexo]]=$B46,IF(DATOS_[[AGRUP. CLAS. PROF.]:[AGRUP. CLAS. PROF.]]=$B45,IF(DATOS_[[Check Periodo Ref.]:[Check Periodo Ref.]]="Dentro",DATOS_[Conc.Sal.08]))))),
0)</f>
        <v>0</v>
      </c>
      <c r="N46" s="170">
        <f t="array" ref="N46">IFERROR(
MEDIAN((IF(DATOS_[[Sexo]:[Sexo]]=$B46,IF(DATOS_[[AGRUP. CLAS. PROF.]:[AGRUP. CLAS. PROF.]]=$B45,IF(DATOS_[[Check Periodo Ref.]:[Check Periodo Ref.]]="Dentro",DATOS_[Conc.Sal.09]))))),
0)</f>
        <v>0</v>
      </c>
      <c r="O46" s="170">
        <f t="array" ref="O46">IFERROR(
MEDIAN((IF(DATOS_[[Sexo]:[Sexo]]=$B46,IF(DATOS_[[AGRUP. CLAS. PROF.]:[AGRUP. CLAS. PROF.]]=$B45,IF(DATOS_[[Check Periodo Ref.]:[Check Periodo Ref.]]="Dentro",DATOS_[Conc.Sal.10]))))),
0)</f>
        <v>0</v>
      </c>
      <c r="P46" s="170">
        <f t="array" ref="P46">IFERROR(
MEDIAN((IF(DATOS_[[Sexo]:[Sexo]]=$B46,IF(DATOS_[[AGRUP. CLAS. PROF.]:[AGRUP. CLAS. PROF.]]=$B45,IF(DATOS_[[Check Periodo Ref.]:[Check Periodo Ref.]]="Dentro",DATOS_[Conc.Sal.11]))))),
0)</f>
        <v>0</v>
      </c>
      <c r="Q46" s="170">
        <f t="array" ref="Q46">IFERROR(
MEDIAN((IF(DATOS_[[Sexo]:[Sexo]]=$B46,IF(DATOS_[[AGRUP. CLAS. PROF.]:[AGRUP. CLAS. PROF.]]=$B45,IF(DATOS_[[Check Periodo Ref.]:[Check Periodo Ref.]]="Dentro",DATOS_[Conc.Sal.12]))))),
0)</f>
        <v>0</v>
      </c>
      <c r="R46" s="170">
        <f t="array" ref="R46">IFERROR(
MEDIAN((IF(DATOS_[[Sexo]:[Sexo]]=$B46,IF(DATOS_[[AGRUP. CLAS. PROF.]:[AGRUP. CLAS. PROF.]]=$B45,IF(DATOS_[[Check Periodo Ref.]:[Check Periodo Ref.]]="Dentro",DATOS_[Conc.Sal.13]))))),
0)</f>
        <v>0</v>
      </c>
      <c r="S46" s="170">
        <f t="array" ref="S46">IFERROR(
MEDIAN((IF(DATOS_[[Sexo]:[Sexo]]=$B46,IF(DATOS_[[AGRUP. CLAS. PROF.]:[AGRUP. CLAS. PROF.]]=$B45,IF(DATOS_[[Check Periodo Ref.]:[Check Periodo Ref.]]="Dentro",DATOS_[Conc.Sal.14]))))),
0)</f>
        <v>0</v>
      </c>
      <c r="T46" s="170">
        <f t="array" ref="T46">IFERROR(
MEDIAN((IF(DATOS_[[Sexo]:[Sexo]]=$B46,IF(DATOS_[[AGRUP. CLAS. PROF.]:[AGRUP. CLAS. PROF.]]=$B45,IF(DATOS_[[Check Periodo Ref.]:[Check Periodo Ref.]]="Dentro",DATOS_[Conc.Sal.15]))))),
0)</f>
        <v>0</v>
      </c>
      <c r="U46" s="170">
        <f t="array" ref="U46">IFERROR(
MEDIAN((IF(DATOS_[[Sexo]:[Sexo]]=$B46,IF(DATOS_[[AGRUP. CLAS. PROF.]:[AGRUP. CLAS. PROF.]]=$B45,IF(DATOS_[[Check Periodo Ref.]:[Check Periodo Ref.]]="Dentro",DATOS_[Conc.Sal.16]))))),
0)</f>
        <v>0</v>
      </c>
      <c r="V46" s="170">
        <f t="array" ref="V46">IFERROR(
MEDIAN((IF(DATOS_[[Sexo]:[Sexo]]=$B46,IF(DATOS_[[AGRUP. CLAS. PROF.]:[AGRUP. CLAS. PROF.]]=$B45,IF(DATOS_[[Check Periodo Ref.]:[Check Periodo Ref.]]="Dentro",DATOS_[Conc.Sal.17]))))),
0)</f>
        <v>0</v>
      </c>
      <c r="W46" s="170">
        <f t="array" ref="W46">IFERROR(
MEDIAN((IF(DATOS_[[Sexo]:[Sexo]]=$B46,IF(DATOS_[[AGRUP. CLAS. PROF.]:[AGRUP. CLAS. PROF.]]=$B45,IF(DATOS_[[Check Periodo Ref.]:[Check Periodo Ref.]]="Dentro",DATOS_[Conc.Sal.18]))))),
0)</f>
        <v>0</v>
      </c>
      <c r="X46" s="170">
        <f t="array" ref="X46">IFERROR(
MEDIAN((IF(DATOS_[[Sexo]:[Sexo]]=$B46,IF(DATOS_[[AGRUP. CLAS. PROF.]:[AGRUP. CLAS. PROF.]]=$B45,IF(DATOS_[[Check Periodo Ref.]:[Check Periodo Ref.]]="Dentro",DATOS_[Conc.Sal.19]))))),
0)</f>
        <v>0</v>
      </c>
      <c r="Y46" s="170">
        <f t="array" ref="Y46">IFERROR(
MEDIAN((IF(DATOS_[[Sexo]:[Sexo]]=$B46,IF(DATOS_[[AGRUP. CLAS. PROF.]:[AGRUP. CLAS. PROF.]]=$B45,IF(DATOS_[[Check Periodo Ref.]:[Check Periodo Ref.]]="Dentro",DATOS_[Conc.Sal.20]))))),
0)</f>
        <v>0</v>
      </c>
      <c r="Z46" s="170">
        <f t="array" ref="Z46">IFERROR(
MEDIAN((IF(DATOS_[[Sexo]:[Sexo]]=$B46,IF(DATOS_[[AGRUP. CLAS. PROF.]:[AGRUP. CLAS. PROF.]]=$B45,IF(DATOS_[[Check Periodo Ref.]:[Check Periodo Ref.]]="Dentro",DATOS_[Conc.Sal.21]))))),
0)</f>
        <v>0</v>
      </c>
      <c r="AA46" s="170">
        <f t="array" ref="AA46">IFERROR(
MEDIAN((IF(DATOS_[[Sexo]:[Sexo]]=$B46,IF(DATOS_[[AGRUP. CLAS. PROF.]:[AGRUP. CLAS. PROF.]]=$B45,IF(DATOS_[[Check Periodo Ref.]:[Check Periodo Ref.]]="Dentro",DATOS_[Conc.Sal.22]))))),
0)</f>
        <v>0</v>
      </c>
      <c r="AB46" s="170">
        <f t="array" ref="AB46">IFERROR(
MEDIAN((IF(DATOS_[[Sexo]:[Sexo]]=$B46,IF(DATOS_[[AGRUP. CLAS. PROF.]:[AGRUP. CLAS. PROF.]]=$B45,IF(DATOS_[[Check Periodo Ref.]:[Check Periodo Ref.]]="Dentro",DATOS_[Conc.Sal.23]))))),
0)</f>
        <v>0</v>
      </c>
      <c r="AC46" s="170">
        <f t="array" ref="AC46">IFERROR(
MEDIAN((IF(DATOS_[[Sexo]:[Sexo]]=$B46,IF(DATOS_[[AGRUP. CLAS. PROF.]:[AGRUP. CLAS. PROF.]]=$B45,IF(DATOS_[[Check Periodo Ref.]:[Check Periodo Ref.]]="Dentro",DATOS_[Conc.Sal.24]))))),
0)</f>
        <v>0</v>
      </c>
      <c r="AD46" s="170">
        <f t="array" ref="AD46">IFERROR(
MEDIAN((IF(DATOS_[[Sexo]:[Sexo]]=$B46,IF(DATOS_[[AGRUP. CLAS. PROF.]:[AGRUP. CLAS. PROF.]]=$B45,IF(DATOS_[[Check Periodo Ref.]:[Check Periodo Ref.]]="Dentro",DATOS_[Conc.Sal.25]))))),
0)</f>
        <v>0</v>
      </c>
      <c r="AE46" s="170">
        <f t="array" ref="AE46">IFERROR(
MEDIAN((IF(DATOS_[[Sexo]:[Sexo]]=$B46,IF(DATOS_[[AGRUP. CLAS. PROF.]:[AGRUP. CLAS. PROF.]]=$B45,IF(DATOS_[[Check Periodo Ref.]:[Check Periodo Ref.]]="Dentro",DATOS_[Conc.Sal.26]))))),
0)</f>
        <v>0</v>
      </c>
      <c r="AF46" s="170">
        <f t="array" ref="AF46">IFERROR(
MEDIAN((IF(DATOS_[[Sexo]:[Sexo]]=$B46,IF(DATOS_[[AGRUP. CLAS. PROF.]:[AGRUP. CLAS. PROF.]]=$B45,IF(DATOS_[[Check Periodo Ref.]:[Check Periodo Ref.]]="Dentro",DATOS_[Conc.Sal.27]))))),
0)</f>
        <v>0</v>
      </c>
      <c r="AG46" s="170">
        <f t="array" ref="AG46">IFERROR(
MEDIAN((IF(DATOS_[[Sexo]:[Sexo]]=$B46,IF(DATOS_[[AGRUP. CLAS. PROF.]:[AGRUP. CLAS. PROF.]]=$B45,IF(DATOS_[[Check Periodo Ref.]:[Check Periodo Ref.]]="Dentro",DATOS_[Conc.Sal.28]))))),
0)</f>
        <v>0</v>
      </c>
      <c r="AH46" s="170">
        <f t="array" ref="AH46">IFERROR(
MEDIAN((IF(DATOS_[[Sexo]:[Sexo]]=$B46,IF(DATOS_[[AGRUP. CLAS. PROF.]:[AGRUP. CLAS. PROF.]]=$B45,IF(DATOS_[[Check Periodo Ref.]:[Check Periodo Ref.]]="Dentro",DATOS_[Conc.Sal.29]))))),
0)</f>
        <v>0</v>
      </c>
      <c r="AI46" s="170">
        <f t="array" ref="AI46">IFERROR(
MEDIAN((IF(DATOS_[[Sexo]:[Sexo]]=$B46,IF(DATOS_[[AGRUP. CLAS. PROF.]:[AGRUP. CLAS. PROF.]]=$B45,IF(DATOS_[[Check Periodo Ref.]:[Check Periodo Ref.]]="Dentro",DATOS_[Conc.Sal.30]))))),
0)</f>
        <v>0</v>
      </c>
      <c r="AJ46" s="171">
        <f t="array" ref="AJ46">IFERROR(
MEDIAN(IF(DATOS_[Sexo]=$B46,IF(DATOS_[AGRUP. CLAS. PROF.]=$B45,IF(DATOS_[Check Periodo Ref.]="Dentro",DATOS_[Tot COMPL.SAL Ef],FALSE)))),
0)</f>
        <v>0</v>
      </c>
      <c r="AK46" s="172">
        <f t="array" ref="AK46">IFERROR(
MEDIAN(IF(DATOS_[Sexo]=$B46,IF(DATOS_[AGRUP. CLAS. PROF.]=$B45,IF(DATOS_[Check Periodo Ref.]="Dentro",DATOS_[TOTAL SALARIO Ef],FALSE)))),
0)</f>
        <v>0</v>
      </c>
      <c r="AL46" s="173">
        <f t="array" ref="AL46">IFERROR(
MEDIAN((IF(DATOS_[[Sexo]:[Sexo]]=$B46,IF(DATOS_[[AGRUP. CLAS. PROF.]:[AGRUP. CLAS. PROF.]]=$B45,IF(DATOS_[[Check Periodo Ref.]:[Check Periodo Ref.]]="Dentro",DATOS_[C.Extra.01]))))),
0)</f>
        <v>0</v>
      </c>
      <c r="AM46" s="173">
        <f t="array" ref="AM46">IFERROR(
MEDIAN((IF(DATOS_[[Sexo]:[Sexo]]=$B46,IF(DATOS_[[AGRUP. CLAS. PROF.]:[AGRUP. CLAS. PROF.]]=$B45,IF(DATOS_[[Check Periodo Ref.]:[Check Periodo Ref.]]="Dentro",DATOS_[C.Extra.06]))))),
0)</f>
        <v>0</v>
      </c>
      <c r="AN46" s="173">
        <f t="array" ref="AN46">IFERROR(
MEDIAN((IF(DATOS_[[Sexo]:[Sexo]]=$B46,IF(DATOS_[[AGRUP. CLAS. PROF.]:[AGRUP. CLAS. PROF.]]=$B45,IF(DATOS_[[Check Periodo Ref.]:[Check Periodo Ref.]]="Dentro",DATOS_[C.Extra.07]))))),
0)</f>
        <v>0</v>
      </c>
      <c r="AO46" s="173">
        <f t="array" ref="AO46">IFERROR(
MEDIAN((IF(DATOS_[[Sexo]:[Sexo]]=$B46,IF(DATOS_[[AGRUP. CLAS. PROF.]:[AGRUP. CLAS. PROF.]]=$B45,IF(DATOS_[[Check Periodo Ref.]:[Check Periodo Ref.]]="Dentro",DATOS_[C.Extra.08]))))),
0)</f>
        <v>0</v>
      </c>
      <c r="AP46" s="173">
        <f t="array" ref="AP46">IFERROR(
MEDIAN((IF(DATOS_[[Sexo]:[Sexo]]=$B46,IF(DATOS_[[AGRUP. CLAS. PROF.]:[AGRUP. CLAS. PROF.]]=$B45,IF(DATOS_[[Check Periodo Ref.]:[Check Periodo Ref.]]="Dentro",DATOS_[C.Extra.11]))))),
0)</f>
        <v>0</v>
      </c>
      <c r="AQ46" s="174">
        <f t="array" ref="AQ46">IFERROR(
MEDIAN(IF(DATOS_[Sexo]=$B46,IF(DATOS_[AGRUP. CLAS. PROF.]=$B45,IF(DATOS_[Check Periodo Ref.]="Dentro",DATOS_[Tot Extrasalarial Ef],FALSE)))),
0)</f>
        <v>0</v>
      </c>
      <c r="AR46" s="171">
        <f t="array" ref="AR46">IFERROR(
MEDIAN(IF(DATOS_[Sexo]=$B46,IF(DATOS_[AGRUP. CLAS. PROF.]=$B45,IF(DATOS_[Check Periodo Ref.]="Dentro",DATOS_[TOTAL Retrib Ef],FALSE)))),
0)</f>
        <v>0</v>
      </c>
    </row>
    <row r="47" spans="1:44" hidden="1" x14ac:dyDescent="0.25">
      <c r="A47" s="178" t="str">
        <f t="shared" ref="A47" si="46">+A46</f>
        <v>[ocultar]</v>
      </c>
      <c r="B47" s="166" t="s">
        <v>521</v>
      </c>
      <c r="C47" s="167">
        <f t="array" ref="C47">SUM(IF($B47=DATOS_[Sexo],
IF($B45=DATOS_[AGRUP. CLAS. PROF.],
IF("Dentro"=DATOS_[Check Periodo Ref.],
1/(COUNTIFS(DATOS_[Sexo],$B47,DATOS_[AGRUP. CLAS. PROF.],$B45,DATOS_[Check Periodo Ref.],"Dentro",DATOS_[id/cod],DATOS_[id/cod]))))))</f>
        <v>0</v>
      </c>
      <c r="D47" s="168">
        <f>COUNTIFS(DATOS_[AGRUP. CLAS. PROF.],$B45,DATOS_[Sexo],$B47,DATOS_[Check Periodo Ref.],"Dentro")</f>
        <v>0</v>
      </c>
      <c r="E47" s="169">
        <f t="array" ref="E47">IFERROR(
MEDIAN(IF(DATOS_[Sexo]=$B47,IF(DATOS_[AGRUP. CLAS. PROF.]=$B45,IF(DATOS_[Check Periodo Ref.]="Dentro",DATOS_[SALARIO BASE Ef],FALSE)))),
0)</f>
        <v>0</v>
      </c>
      <c r="F47" s="170">
        <f t="array" ref="F47">IFERROR(
MEDIAN((IF(DATOS_[[Sexo]:[Sexo]]=$B47,IF(DATOS_[[AGRUP. CLAS. PROF.]:[AGRUP. CLAS. PROF.]]=$B45,IF(DATOS_[[Check Periodo Ref.]:[Check Periodo Ref.]]="Dentro",DATOS_[Conc.Sal.01]))))),
0)</f>
        <v>0</v>
      </c>
      <c r="G47" s="170">
        <f t="array" ref="G47">IFERROR(
MEDIAN((IF(DATOS_[[Sexo]:[Sexo]]=$B47,IF(DATOS_[[AGRUP. CLAS. PROF.]:[AGRUP. CLAS. PROF.]]=$B45,IF(DATOS_[[Check Periodo Ref.]:[Check Periodo Ref.]]="Dentro",DATOS_[Conc.Sal.02]))))),
0)</f>
        <v>0</v>
      </c>
      <c r="H47" s="170">
        <f t="array" ref="H47">IFERROR(
MEDIAN((IF(DATOS_[[Sexo]:[Sexo]]=$B47,IF(DATOS_[[AGRUP. CLAS. PROF.]:[AGRUP. CLAS. PROF.]]=$B45,IF(DATOS_[[Check Periodo Ref.]:[Check Periodo Ref.]]="Dentro",DATOS_[Conc.Sal.03]))))),
0)</f>
        <v>0</v>
      </c>
      <c r="I47" s="170">
        <f t="array" ref="I47">IFERROR(
MEDIAN((IF(DATOS_[[Sexo]:[Sexo]]=$B47,IF(DATOS_[[AGRUP. CLAS. PROF.]:[AGRUP. CLAS. PROF.]]=$B45,IF(DATOS_[[Check Periodo Ref.]:[Check Periodo Ref.]]="Dentro",DATOS_[Conc.Sal.04]))))),
0)</f>
        <v>0</v>
      </c>
      <c r="J47" s="170">
        <f t="array" ref="J47">IFERROR(
MEDIAN((IF(DATOS_[[Sexo]:[Sexo]]=$B47,IF(DATOS_[[AGRUP. CLAS. PROF.]:[AGRUP. CLAS. PROF.]]=$B45,IF(DATOS_[[Check Periodo Ref.]:[Check Periodo Ref.]]="Dentro",DATOS_[Conc.Sal.05]))))),
0)</f>
        <v>0</v>
      </c>
      <c r="K47" s="170">
        <f t="array" ref="K47">IFERROR(
MEDIAN((IF(DATOS_[[Sexo]:[Sexo]]=$B47,IF(DATOS_[[AGRUP. CLAS. PROF.]:[AGRUP. CLAS. PROF.]]=$B45,IF(DATOS_[[Check Periodo Ref.]:[Check Periodo Ref.]]="Dentro",DATOS_[Conc.Sal.06]))))),
0)</f>
        <v>0</v>
      </c>
      <c r="L47" s="170">
        <f t="array" ref="L47">IFERROR(
MEDIAN((IF(DATOS_[[Sexo]:[Sexo]]=$B47,IF(DATOS_[[AGRUP. CLAS. PROF.]:[AGRUP. CLAS. PROF.]]=$B45,IF(DATOS_[[Check Periodo Ref.]:[Check Periodo Ref.]]="Dentro",DATOS_[Conc.Sal.07]))))),
0)</f>
        <v>0</v>
      </c>
      <c r="M47" s="170">
        <f t="array" ref="M47">IFERROR(
MEDIAN((IF(DATOS_[[Sexo]:[Sexo]]=$B47,IF(DATOS_[[AGRUP. CLAS. PROF.]:[AGRUP. CLAS. PROF.]]=$B45,IF(DATOS_[[Check Periodo Ref.]:[Check Periodo Ref.]]="Dentro",DATOS_[Conc.Sal.08]))))),
0)</f>
        <v>0</v>
      </c>
      <c r="N47" s="170">
        <f t="array" ref="N47">IFERROR(
MEDIAN((IF(DATOS_[[Sexo]:[Sexo]]=$B47,IF(DATOS_[[AGRUP. CLAS. PROF.]:[AGRUP. CLAS. PROF.]]=$B45,IF(DATOS_[[Check Periodo Ref.]:[Check Periodo Ref.]]="Dentro",DATOS_[Conc.Sal.09]))))),
0)</f>
        <v>0</v>
      </c>
      <c r="O47" s="170">
        <f t="array" ref="O47">IFERROR(
MEDIAN((IF(DATOS_[[Sexo]:[Sexo]]=$B47,IF(DATOS_[[AGRUP. CLAS. PROF.]:[AGRUP. CLAS. PROF.]]=$B45,IF(DATOS_[[Check Periodo Ref.]:[Check Periodo Ref.]]="Dentro",DATOS_[Conc.Sal.10]))))),
0)</f>
        <v>0</v>
      </c>
      <c r="P47" s="170">
        <f t="array" ref="P47">IFERROR(
MEDIAN((IF(DATOS_[[Sexo]:[Sexo]]=$B47,IF(DATOS_[[AGRUP. CLAS. PROF.]:[AGRUP. CLAS. PROF.]]=$B45,IF(DATOS_[[Check Periodo Ref.]:[Check Periodo Ref.]]="Dentro",DATOS_[Conc.Sal.11]))))),
0)</f>
        <v>0</v>
      </c>
      <c r="Q47" s="170">
        <f t="array" ref="Q47">IFERROR(
MEDIAN((IF(DATOS_[[Sexo]:[Sexo]]=$B47,IF(DATOS_[[AGRUP. CLAS. PROF.]:[AGRUP. CLAS. PROF.]]=$B45,IF(DATOS_[[Check Periodo Ref.]:[Check Periodo Ref.]]="Dentro",DATOS_[Conc.Sal.12]))))),
0)</f>
        <v>0</v>
      </c>
      <c r="R47" s="170">
        <f t="array" ref="R47">IFERROR(
MEDIAN((IF(DATOS_[[Sexo]:[Sexo]]=$B47,IF(DATOS_[[AGRUP. CLAS. PROF.]:[AGRUP. CLAS. PROF.]]=$B45,IF(DATOS_[[Check Periodo Ref.]:[Check Periodo Ref.]]="Dentro",DATOS_[Conc.Sal.13]))))),
0)</f>
        <v>0</v>
      </c>
      <c r="S47" s="170">
        <f t="array" ref="S47">IFERROR(
MEDIAN((IF(DATOS_[[Sexo]:[Sexo]]=$B47,IF(DATOS_[[AGRUP. CLAS. PROF.]:[AGRUP. CLAS. PROF.]]=$B45,IF(DATOS_[[Check Periodo Ref.]:[Check Periodo Ref.]]="Dentro",DATOS_[Conc.Sal.14]))))),
0)</f>
        <v>0</v>
      </c>
      <c r="T47" s="170">
        <f t="array" ref="T47">IFERROR(
MEDIAN((IF(DATOS_[[Sexo]:[Sexo]]=$B47,IF(DATOS_[[AGRUP. CLAS. PROF.]:[AGRUP. CLAS. PROF.]]=$B45,IF(DATOS_[[Check Periodo Ref.]:[Check Periodo Ref.]]="Dentro",DATOS_[Conc.Sal.15]))))),
0)</f>
        <v>0</v>
      </c>
      <c r="U47" s="170">
        <f t="array" ref="U47">IFERROR(
MEDIAN((IF(DATOS_[[Sexo]:[Sexo]]=$B47,IF(DATOS_[[AGRUP. CLAS. PROF.]:[AGRUP. CLAS. PROF.]]=$B45,IF(DATOS_[[Check Periodo Ref.]:[Check Periodo Ref.]]="Dentro",DATOS_[Conc.Sal.16]))))),
0)</f>
        <v>0</v>
      </c>
      <c r="V47" s="170">
        <f t="array" ref="V47">IFERROR(
MEDIAN((IF(DATOS_[[Sexo]:[Sexo]]=$B47,IF(DATOS_[[AGRUP. CLAS. PROF.]:[AGRUP. CLAS. PROF.]]=$B45,IF(DATOS_[[Check Periodo Ref.]:[Check Periodo Ref.]]="Dentro",DATOS_[Conc.Sal.17]))))),
0)</f>
        <v>0</v>
      </c>
      <c r="W47" s="170">
        <f t="array" ref="W47">IFERROR(
MEDIAN((IF(DATOS_[[Sexo]:[Sexo]]=$B47,IF(DATOS_[[AGRUP. CLAS. PROF.]:[AGRUP. CLAS. PROF.]]=$B45,IF(DATOS_[[Check Periodo Ref.]:[Check Periodo Ref.]]="Dentro",DATOS_[Conc.Sal.18]))))),
0)</f>
        <v>0</v>
      </c>
      <c r="X47" s="170">
        <f t="array" ref="X47">IFERROR(
MEDIAN((IF(DATOS_[[Sexo]:[Sexo]]=$B47,IF(DATOS_[[AGRUP. CLAS. PROF.]:[AGRUP. CLAS. PROF.]]=$B45,IF(DATOS_[[Check Periodo Ref.]:[Check Periodo Ref.]]="Dentro",DATOS_[Conc.Sal.19]))))),
0)</f>
        <v>0</v>
      </c>
      <c r="Y47" s="170">
        <f t="array" ref="Y47">IFERROR(
MEDIAN((IF(DATOS_[[Sexo]:[Sexo]]=$B47,IF(DATOS_[[AGRUP. CLAS. PROF.]:[AGRUP. CLAS. PROF.]]=$B45,IF(DATOS_[[Check Periodo Ref.]:[Check Periodo Ref.]]="Dentro",DATOS_[Conc.Sal.20]))))),
0)</f>
        <v>0</v>
      </c>
      <c r="Z47" s="170">
        <f t="array" ref="Z47">IFERROR(
MEDIAN((IF(DATOS_[[Sexo]:[Sexo]]=$B47,IF(DATOS_[[AGRUP. CLAS. PROF.]:[AGRUP. CLAS. PROF.]]=$B45,IF(DATOS_[[Check Periodo Ref.]:[Check Periodo Ref.]]="Dentro",DATOS_[Conc.Sal.21]))))),
0)</f>
        <v>0</v>
      </c>
      <c r="AA47" s="170">
        <f t="array" ref="AA47">IFERROR(
MEDIAN((IF(DATOS_[[Sexo]:[Sexo]]=$B47,IF(DATOS_[[AGRUP. CLAS. PROF.]:[AGRUP. CLAS. PROF.]]=$B45,IF(DATOS_[[Check Periodo Ref.]:[Check Periodo Ref.]]="Dentro",DATOS_[Conc.Sal.22]))))),
0)</f>
        <v>0</v>
      </c>
      <c r="AB47" s="170">
        <f t="array" ref="AB47">IFERROR(
MEDIAN((IF(DATOS_[[Sexo]:[Sexo]]=$B47,IF(DATOS_[[AGRUP. CLAS. PROF.]:[AGRUP. CLAS. PROF.]]=$B45,IF(DATOS_[[Check Periodo Ref.]:[Check Periodo Ref.]]="Dentro",DATOS_[Conc.Sal.23]))))),
0)</f>
        <v>0</v>
      </c>
      <c r="AC47" s="170">
        <f t="array" ref="AC47">IFERROR(
MEDIAN((IF(DATOS_[[Sexo]:[Sexo]]=$B47,IF(DATOS_[[AGRUP. CLAS. PROF.]:[AGRUP. CLAS. PROF.]]=$B45,IF(DATOS_[[Check Periodo Ref.]:[Check Periodo Ref.]]="Dentro",DATOS_[Conc.Sal.24]))))),
0)</f>
        <v>0</v>
      </c>
      <c r="AD47" s="170">
        <f t="array" ref="AD47">IFERROR(
MEDIAN((IF(DATOS_[[Sexo]:[Sexo]]=$B47,IF(DATOS_[[AGRUP. CLAS. PROF.]:[AGRUP. CLAS. PROF.]]=$B45,IF(DATOS_[[Check Periodo Ref.]:[Check Periodo Ref.]]="Dentro",DATOS_[Conc.Sal.25]))))),
0)</f>
        <v>0</v>
      </c>
      <c r="AE47" s="170">
        <f t="array" ref="AE47">IFERROR(
MEDIAN((IF(DATOS_[[Sexo]:[Sexo]]=$B47,IF(DATOS_[[AGRUP. CLAS. PROF.]:[AGRUP. CLAS. PROF.]]=$B45,IF(DATOS_[[Check Periodo Ref.]:[Check Periodo Ref.]]="Dentro",DATOS_[Conc.Sal.26]))))),
0)</f>
        <v>0</v>
      </c>
      <c r="AF47" s="170">
        <f t="array" ref="AF47">IFERROR(
MEDIAN((IF(DATOS_[[Sexo]:[Sexo]]=$B47,IF(DATOS_[[AGRUP. CLAS. PROF.]:[AGRUP. CLAS. PROF.]]=$B45,IF(DATOS_[[Check Periodo Ref.]:[Check Periodo Ref.]]="Dentro",DATOS_[Conc.Sal.27]))))),
0)</f>
        <v>0</v>
      </c>
      <c r="AG47" s="170">
        <f t="array" ref="AG47">IFERROR(
MEDIAN((IF(DATOS_[[Sexo]:[Sexo]]=$B47,IF(DATOS_[[AGRUP. CLAS. PROF.]:[AGRUP. CLAS. PROF.]]=$B45,IF(DATOS_[[Check Periodo Ref.]:[Check Periodo Ref.]]="Dentro",DATOS_[Conc.Sal.28]))))),
0)</f>
        <v>0</v>
      </c>
      <c r="AH47" s="170">
        <f t="array" ref="AH47">IFERROR(
MEDIAN((IF(DATOS_[[Sexo]:[Sexo]]=$B47,IF(DATOS_[[AGRUP. CLAS. PROF.]:[AGRUP. CLAS. PROF.]]=$B45,IF(DATOS_[[Check Periodo Ref.]:[Check Periodo Ref.]]="Dentro",DATOS_[Conc.Sal.29]))))),
0)</f>
        <v>0</v>
      </c>
      <c r="AI47" s="170">
        <f t="array" ref="AI47">IFERROR(
MEDIAN((IF(DATOS_[[Sexo]:[Sexo]]=$B47,IF(DATOS_[[AGRUP. CLAS. PROF.]:[AGRUP. CLAS. PROF.]]=$B45,IF(DATOS_[[Check Periodo Ref.]:[Check Periodo Ref.]]="Dentro",DATOS_[Conc.Sal.30]))))),
0)</f>
        <v>0</v>
      </c>
      <c r="AJ47" s="171">
        <f t="array" ref="AJ47">IFERROR(
MEDIAN(IF(DATOS_[Sexo]=$B47,IF(DATOS_[AGRUP. CLAS. PROF.]=$B45,IF(DATOS_[Check Periodo Ref.]="Dentro",DATOS_[Tot COMPL.SAL Ef],FALSE)))),
0)</f>
        <v>0</v>
      </c>
      <c r="AK47" s="172">
        <f t="array" ref="AK47">IFERROR(
MEDIAN(IF(DATOS_[Sexo]=$B47,IF(DATOS_[AGRUP. CLAS. PROF.]=$B45,IF(DATOS_[Check Periodo Ref.]="Dentro",DATOS_[TOTAL SALARIO Ef],FALSE)))),
0)</f>
        <v>0</v>
      </c>
      <c r="AL47" s="173">
        <f t="array" ref="AL47">IFERROR(
MEDIAN((IF(DATOS_[[Sexo]:[Sexo]]=$B47,IF(DATOS_[[AGRUP. CLAS. PROF.]:[AGRUP. CLAS. PROF.]]=$B45,IF(DATOS_[[Check Periodo Ref.]:[Check Periodo Ref.]]="Dentro",DATOS_[C.Extra.01]))))),
0)</f>
        <v>0</v>
      </c>
      <c r="AM47" s="173">
        <f t="array" ref="AM47">IFERROR(
MEDIAN((IF(DATOS_[[Sexo]:[Sexo]]=$B47,IF(DATOS_[[AGRUP. CLAS. PROF.]:[AGRUP. CLAS. PROF.]]=$B45,IF(DATOS_[[Check Periodo Ref.]:[Check Periodo Ref.]]="Dentro",DATOS_[C.Extra.06]))))),
0)</f>
        <v>0</v>
      </c>
      <c r="AN47" s="173">
        <f t="array" ref="AN47">IFERROR(
MEDIAN((IF(DATOS_[[Sexo]:[Sexo]]=$B47,IF(DATOS_[[AGRUP. CLAS. PROF.]:[AGRUP. CLAS. PROF.]]=$B45,IF(DATOS_[[Check Periodo Ref.]:[Check Periodo Ref.]]="Dentro",DATOS_[C.Extra.07]))))),
0)</f>
        <v>0</v>
      </c>
      <c r="AO47" s="173">
        <f t="array" ref="AO47">IFERROR(
MEDIAN((IF(DATOS_[[Sexo]:[Sexo]]=$B47,IF(DATOS_[[AGRUP. CLAS. PROF.]:[AGRUP. CLAS. PROF.]]=$B45,IF(DATOS_[[Check Periodo Ref.]:[Check Periodo Ref.]]="Dentro",DATOS_[C.Extra.08]))))),
0)</f>
        <v>0</v>
      </c>
      <c r="AP47" s="173">
        <f t="array" ref="AP47">IFERROR(
MEDIAN((IF(DATOS_[[Sexo]:[Sexo]]=$B47,IF(DATOS_[[AGRUP. CLAS. PROF.]:[AGRUP. CLAS. PROF.]]=$B45,IF(DATOS_[[Check Periodo Ref.]:[Check Periodo Ref.]]="Dentro",DATOS_[C.Extra.11]))))),
0)</f>
        <v>0</v>
      </c>
      <c r="AQ47" s="174">
        <f t="array" ref="AQ47">IFERROR(
MEDIAN(IF(DATOS_[Sexo]=$B47,IF(DATOS_[AGRUP. CLAS. PROF.]=$B45,IF(DATOS_[Check Periodo Ref.]="Dentro",DATOS_[Tot Extrasalarial Ef],FALSE)))),
0)</f>
        <v>0</v>
      </c>
      <c r="AR47" s="171">
        <f t="array" ref="AR47">IFERROR(
MEDIAN(IF(DATOS_[Sexo]=$B47,IF(DATOS_[AGRUP. CLAS. PROF.]=$B45,IF(DATOS_[Check Periodo Ref.]="Dentro",DATOS_[TOTAL Retrib Ef],FALSE)))),
0)</f>
        <v>0</v>
      </c>
    </row>
    <row r="48" spans="1:44" ht="14.4" hidden="1" thickBot="1" x14ac:dyDescent="0.3">
      <c r="A48" s="178" t="str">
        <f t="shared" ref="A48" si="47">+A49</f>
        <v>[ocultar]</v>
      </c>
      <c r="B48" s="153" t="s">
        <v>221</v>
      </c>
      <c r="C48" s="154"/>
      <c r="D48" s="155"/>
      <c r="E48" s="156" t="str">
        <f t="shared" ref="E48:AR48" si="48">IFERROR((E49-E50)/E49,"")</f>
        <v/>
      </c>
      <c r="F48" s="157" t="str">
        <f t="shared" si="48"/>
        <v/>
      </c>
      <c r="G48" s="158" t="str">
        <f t="shared" si="48"/>
        <v/>
      </c>
      <c r="H48" s="158" t="str">
        <f t="shared" si="48"/>
        <v/>
      </c>
      <c r="I48" s="158" t="str">
        <f t="shared" si="48"/>
        <v/>
      </c>
      <c r="J48" s="159" t="str">
        <f t="shared" si="48"/>
        <v/>
      </c>
      <c r="K48" s="160" t="str">
        <f t="shared" si="48"/>
        <v/>
      </c>
      <c r="L48" s="160" t="str">
        <f t="shared" si="48"/>
        <v/>
      </c>
      <c r="M48" s="160" t="str">
        <f t="shared" si="48"/>
        <v/>
      </c>
      <c r="N48" s="160" t="str">
        <f t="shared" si="48"/>
        <v/>
      </c>
      <c r="O48" s="160" t="str">
        <f t="shared" si="48"/>
        <v/>
      </c>
      <c r="P48" s="160" t="str">
        <f t="shared" si="48"/>
        <v/>
      </c>
      <c r="Q48" s="160" t="str">
        <f t="shared" si="48"/>
        <v/>
      </c>
      <c r="R48" s="160" t="str">
        <f t="shared" si="48"/>
        <v/>
      </c>
      <c r="S48" s="160" t="str">
        <f t="shared" si="48"/>
        <v/>
      </c>
      <c r="T48" s="160" t="str">
        <f t="shared" si="48"/>
        <v/>
      </c>
      <c r="U48" s="160" t="str">
        <f t="shared" si="48"/>
        <v/>
      </c>
      <c r="V48" s="159" t="str">
        <f t="shared" si="48"/>
        <v/>
      </c>
      <c r="W48" s="159" t="str">
        <f t="shared" si="48"/>
        <v/>
      </c>
      <c r="X48" s="159" t="str">
        <f t="shared" si="48"/>
        <v/>
      </c>
      <c r="Y48" s="159" t="str">
        <f t="shared" si="48"/>
        <v/>
      </c>
      <c r="Z48" s="159" t="str">
        <f t="shared" si="48"/>
        <v/>
      </c>
      <c r="AA48" s="159" t="str">
        <f t="shared" si="48"/>
        <v/>
      </c>
      <c r="AB48" s="159" t="str">
        <f t="shared" si="48"/>
        <v/>
      </c>
      <c r="AC48" s="159" t="str">
        <f t="shared" si="48"/>
        <v/>
      </c>
      <c r="AD48" s="159" t="str">
        <f t="shared" si="48"/>
        <v/>
      </c>
      <c r="AE48" s="159" t="str">
        <f t="shared" si="48"/>
        <v/>
      </c>
      <c r="AF48" s="159" t="str">
        <f t="shared" si="48"/>
        <v/>
      </c>
      <c r="AG48" s="159" t="str">
        <f t="shared" si="48"/>
        <v/>
      </c>
      <c r="AH48" s="159" t="str">
        <f t="shared" si="48"/>
        <v/>
      </c>
      <c r="AI48" s="159" t="str">
        <f t="shared" si="48"/>
        <v/>
      </c>
      <c r="AJ48" s="161" t="str">
        <f t="shared" si="48"/>
        <v/>
      </c>
      <c r="AK48" s="162" t="str">
        <f t="shared" si="48"/>
        <v/>
      </c>
      <c r="AL48" s="163" t="str">
        <f t="shared" si="48"/>
        <v/>
      </c>
      <c r="AM48" s="163" t="str">
        <f t="shared" si="48"/>
        <v/>
      </c>
      <c r="AN48" s="163" t="str">
        <f t="shared" si="48"/>
        <v/>
      </c>
      <c r="AO48" s="163" t="str">
        <f t="shared" si="48"/>
        <v/>
      </c>
      <c r="AP48" s="163" t="str">
        <f t="shared" si="48"/>
        <v/>
      </c>
      <c r="AQ48" s="164" t="str">
        <f t="shared" si="48"/>
        <v/>
      </c>
      <c r="AR48" s="161" t="str">
        <f t="shared" si="48"/>
        <v/>
      </c>
    </row>
    <row r="49" spans="1:44" hidden="1" x14ac:dyDescent="0.25">
      <c r="A49" s="178" t="str">
        <f t="shared" ref="A49" si="49">+IF(C49+C50=0,"[ocultar]","")</f>
        <v>[ocultar]</v>
      </c>
      <c r="B49" s="166" t="s">
        <v>394</v>
      </c>
      <c r="C49" s="167">
        <f t="array" ref="C49">SUM(IF($B49=DATOS_[Sexo],
IF($B48=DATOS_[AGRUP. CLAS. PROF.],
IF("Dentro"=DATOS_[Check Periodo Ref.],
1/(COUNTIFS(DATOS_[Sexo],$B49,DATOS_[AGRUP. CLAS. PROF.],$B48,DATOS_[Check Periodo Ref.],"Dentro",DATOS_[id/cod],DATOS_[id/cod]))))))</f>
        <v>0</v>
      </c>
      <c r="D49" s="168">
        <f>COUNTIFS(DATOS_[AGRUP. CLAS. PROF.],$B48,DATOS_[Sexo],$B49,DATOS_[Check Periodo Ref.],"Dentro")</f>
        <v>0</v>
      </c>
      <c r="E49" s="169">
        <f t="array" ref="E49">IFERROR(
MEDIAN(IF(DATOS_[Sexo]=$B49,IF(DATOS_[AGRUP. CLAS. PROF.]=$B48,IF(DATOS_[Check Periodo Ref.]="Dentro",DATOS_[SALARIO BASE Ef],FALSE)))),
0)</f>
        <v>0</v>
      </c>
      <c r="F49" s="170">
        <f t="array" ref="F49">IFERROR(
MEDIAN((IF(DATOS_[[Sexo]:[Sexo]]=$B49,IF(DATOS_[[AGRUP. CLAS. PROF.]:[AGRUP. CLAS. PROF.]]=$B48,IF(DATOS_[[Check Periodo Ref.]:[Check Periodo Ref.]]="Dentro",DATOS_[Conc.Sal.01]))))),
0)</f>
        <v>0</v>
      </c>
      <c r="G49" s="170">
        <f t="array" ref="G49">IFERROR(
MEDIAN((IF(DATOS_[[Sexo]:[Sexo]]=$B49,IF(DATOS_[[AGRUP. CLAS. PROF.]:[AGRUP. CLAS. PROF.]]=$B48,IF(DATOS_[[Check Periodo Ref.]:[Check Periodo Ref.]]="Dentro",DATOS_[Conc.Sal.02]))))),
0)</f>
        <v>0</v>
      </c>
      <c r="H49" s="170">
        <f t="array" ref="H49">IFERROR(
MEDIAN((IF(DATOS_[[Sexo]:[Sexo]]=$B49,IF(DATOS_[[AGRUP. CLAS. PROF.]:[AGRUP. CLAS. PROF.]]=$B48,IF(DATOS_[[Check Periodo Ref.]:[Check Periodo Ref.]]="Dentro",DATOS_[Conc.Sal.03]))))),
0)</f>
        <v>0</v>
      </c>
      <c r="I49" s="170">
        <f t="array" ref="I49">IFERROR(
MEDIAN((IF(DATOS_[[Sexo]:[Sexo]]=$B49,IF(DATOS_[[AGRUP. CLAS. PROF.]:[AGRUP. CLAS. PROF.]]=$B48,IF(DATOS_[[Check Periodo Ref.]:[Check Periodo Ref.]]="Dentro",DATOS_[Conc.Sal.04]))))),
0)</f>
        <v>0</v>
      </c>
      <c r="J49" s="170">
        <f t="array" ref="J49">IFERROR(
MEDIAN((IF(DATOS_[[Sexo]:[Sexo]]=$B49,IF(DATOS_[[AGRUP. CLAS. PROF.]:[AGRUP. CLAS. PROF.]]=$B48,IF(DATOS_[[Check Periodo Ref.]:[Check Periodo Ref.]]="Dentro",DATOS_[Conc.Sal.05]))))),
0)</f>
        <v>0</v>
      </c>
      <c r="K49" s="170">
        <f t="array" ref="K49">IFERROR(
MEDIAN((IF(DATOS_[[Sexo]:[Sexo]]=$B49,IF(DATOS_[[AGRUP. CLAS. PROF.]:[AGRUP. CLAS. PROF.]]=$B48,IF(DATOS_[[Check Periodo Ref.]:[Check Periodo Ref.]]="Dentro",DATOS_[Conc.Sal.06]))))),
0)</f>
        <v>0</v>
      </c>
      <c r="L49" s="170">
        <f t="array" ref="L49">IFERROR(
MEDIAN((IF(DATOS_[[Sexo]:[Sexo]]=$B49,IF(DATOS_[[AGRUP. CLAS. PROF.]:[AGRUP. CLAS. PROF.]]=$B48,IF(DATOS_[[Check Periodo Ref.]:[Check Periodo Ref.]]="Dentro",DATOS_[Conc.Sal.07]))))),
0)</f>
        <v>0</v>
      </c>
      <c r="M49" s="170">
        <f t="array" ref="M49">IFERROR(
MEDIAN((IF(DATOS_[[Sexo]:[Sexo]]=$B49,IF(DATOS_[[AGRUP. CLAS. PROF.]:[AGRUP. CLAS. PROF.]]=$B48,IF(DATOS_[[Check Periodo Ref.]:[Check Periodo Ref.]]="Dentro",DATOS_[Conc.Sal.08]))))),
0)</f>
        <v>0</v>
      </c>
      <c r="N49" s="170">
        <f t="array" ref="N49">IFERROR(
MEDIAN((IF(DATOS_[[Sexo]:[Sexo]]=$B49,IF(DATOS_[[AGRUP. CLAS. PROF.]:[AGRUP. CLAS. PROF.]]=$B48,IF(DATOS_[[Check Periodo Ref.]:[Check Periodo Ref.]]="Dentro",DATOS_[Conc.Sal.09]))))),
0)</f>
        <v>0</v>
      </c>
      <c r="O49" s="170">
        <f t="array" ref="O49">IFERROR(
MEDIAN((IF(DATOS_[[Sexo]:[Sexo]]=$B49,IF(DATOS_[[AGRUP. CLAS. PROF.]:[AGRUP. CLAS. PROF.]]=$B48,IF(DATOS_[[Check Periodo Ref.]:[Check Periodo Ref.]]="Dentro",DATOS_[Conc.Sal.10]))))),
0)</f>
        <v>0</v>
      </c>
      <c r="P49" s="170">
        <f t="array" ref="P49">IFERROR(
MEDIAN((IF(DATOS_[[Sexo]:[Sexo]]=$B49,IF(DATOS_[[AGRUP. CLAS. PROF.]:[AGRUP. CLAS. PROF.]]=$B48,IF(DATOS_[[Check Periodo Ref.]:[Check Periodo Ref.]]="Dentro",DATOS_[Conc.Sal.11]))))),
0)</f>
        <v>0</v>
      </c>
      <c r="Q49" s="170">
        <f t="array" ref="Q49">IFERROR(
MEDIAN((IF(DATOS_[[Sexo]:[Sexo]]=$B49,IF(DATOS_[[AGRUP. CLAS. PROF.]:[AGRUP. CLAS. PROF.]]=$B48,IF(DATOS_[[Check Periodo Ref.]:[Check Periodo Ref.]]="Dentro",DATOS_[Conc.Sal.12]))))),
0)</f>
        <v>0</v>
      </c>
      <c r="R49" s="170">
        <f t="array" ref="R49">IFERROR(
MEDIAN((IF(DATOS_[[Sexo]:[Sexo]]=$B49,IF(DATOS_[[AGRUP. CLAS. PROF.]:[AGRUP. CLAS. PROF.]]=$B48,IF(DATOS_[[Check Periodo Ref.]:[Check Periodo Ref.]]="Dentro",DATOS_[Conc.Sal.13]))))),
0)</f>
        <v>0</v>
      </c>
      <c r="S49" s="170">
        <f t="array" ref="S49">IFERROR(
MEDIAN((IF(DATOS_[[Sexo]:[Sexo]]=$B49,IF(DATOS_[[AGRUP. CLAS. PROF.]:[AGRUP. CLAS. PROF.]]=$B48,IF(DATOS_[[Check Periodo Ref.]:[Check Periodo Ref.]]="Dentro",DATOS_[Conc.Sal.14]))))),
0)</f>
        <v>0</v>
      </c>
      <c r="T49" s="170">
        <f t="array" ref="T49">IFERROR(
MEDIAN((IF(DATOS_[[Sexo]:[Sexo]]=$B49,IF(DATOS_[[AGRUP. CLAS. PROF.]:[AGRUP. CLAS. PROF.]]=$B48,IF(DATOS_[[Check Periodo Ref.]:[Check Periodo Ref.]]="Dentro",DATOS_[Conc.Sal.15]))))),
0)</f>
        <v>0</v>
      </c>
      <c r="U49" s="170">
        <f t="array" ref="U49">IFERROR(
MEDIAN((IF(DATOS_[[Sexo]:[Sexo]]=$B49,IF(DATOS_[[AGRUP. CLAS. PROF.]:[AGRUP. CLAS. PROF.]]=$B48,IF(DATOS_[[Check Periodo Ref.]:[Check Periodo Ref.]]="Dentro",DATOS_[Conc.Sal.16]))))),
0)</f>
        <v>0</v>
      </c>
      <c r="V49" s="170">
        <f t="array" ref="V49">IFERROR(
MEDIAN((IF(DATOS_[[Sexo]:[Sexo]]=$B49,IF(DATOS_[[AGRUP. CLAS. PROF.]:[AGRUP. CLAS. PROF.]]=$B48,IF(DATOS_[[Check Periodo Ref.]:[Check Periodo Ref.]]="Dentro",DATOS_[Conc.Sal.17]))))),
0)</f>
        <v>0</v>
      </c>
      <c r="W49" s="170">
        <f t="array" ref="W49">IFERROR(
MEDIAN((IF(DATOS_[[Sexo]:[Sexo]]=$B49,IF(DATOS_[[AGRUP. CLAS. PROF.]:[AGRUP. CLAS. PROF.]]=$B48,IF(DATOS_[[Check Periodo Ref.]:[Check Periodo Ref.]]="Dentro",DATOS_[Conc.Sal.18]))))),
0)</f>
        <v>0</v>
      </c>
      <c r="X49" s="170">
        <f t="array" ref="X49">IFERROR(
MEDIAN((IF(DATOS_[[Sexo]:[Sexo]]=$B49,IF(DATOS_[[AGRUP. CLAS. PROF.]:[AGRUP. CLAS. PROF.]]=$B48,IF(DATOS_[[Check Periodo Ref.]:[Check Periodo Ref.]]="Dentro",DATOS_[Conc.Sal.19]))))),
0)</f>
        <v>0</v>
      </c>
      <c r="Y49" s="170">
        <f t="array" ref="Y49">IFERROR(
MEDIAN((IF(DATOS_[[Sexo]:[Sexo]]=$B49,IF(DATOS_[[AGRUP. CLAS. PROF.]:[AGRUP. CLAS. PROF.]]=$B48,IF(DATOS_[[Check Periodo Ref.]:[Check Periodo Ref.]]="Dentro",DATOS_[Conc.Sal.20]))))),
0)</f>
        <v>0</v>
      </c>
      <c r="Z49" s="170">
        <f t="array" ref="Z49">IFERROR(
MEDIAN((IF(DATOS_[[Sexo]:[Sexo]]=$B49,IF(DATOS_[[AGRUP. CLAS. PROF.]:[AGRUP. CLAS. PROF.]]=$B48,IF(DATOS_[[Check Periodo Ref.]:[Check Periodo Ref.]]="Dentro",DATOS_[Conc.Sal.21]))))),
0)</f>
        <v>0</v>
      </c>
      <c r="AA49" s="170">
        <f t="array" ref="AA49">IFERROR(
MEDIAN((IF(DATOS_[[Sexo]:[Sexo]]=$B49,IF(DATOS_[[AGRUP. CLAS. PROF.]:[AGRUP. CLAS. PROF.]]=$B48,IF(DATOS_[[Check Periodo Ref.]:[Check Periodo Ref.]]="Dentro",DATOS_[Conc.Sal.22]))))),
0)</f>
        <v>0</v>
      </c>
      <c r="AB49" s="170">
        <f t="array" ref="AB49">IFERROR(
MEDIAN((IF(DATOS_[[Sexo]:[Sexo]]=$B49,IF(DATOS_[[AGRUP. CLAS. PROF.]:[AGRUP. CLAS. PROF.]]=$B48,IF(DATOS_[[Check Periodo Ref.]:[Check Periodo Ref.]]="Dentro",DATOS_[Conc.Sal.23]))))),
0)</f>
        <v>0</v>
      </c>
      <c r="AC49" s="170">
        <f t="array" ref="AC49">IFERROR(
MEDIAN((IF(DATOS_[[Sexo]:[Sexo]]=$B49,IF(DATOS_[[AGRUP. CLAS. PROF.]:[AGRUP. CLAS. PROF.]]=$B48,IF(DATOS_[[Check Periodo Ref.]:[Check Periodo Ref.]]="Dentro",DATOS_[Conc.Sal.24]))))),
0)</f>
        <v>0</v>
      </c>
      <c r="AD49" s="170">
        <f t="array" ref="AD49">IFERROR(
MEDIAN((IF(DATOS_[[Sexo]:[Sexo]]=$B49,IF(DATOS_[[AGRUP. CLAS. PROF.]:[AGRUP. CLAS. PROF.]]=$B48,IF(DATOS_[[Check Periodo Ref.]:[Check Periodo Ref.]]="Dentro",DATOS_[Conc.Sal.25]))))),
0)</f>
        <v>0</v>
      </c>
      <c r="AE49" s="170">
        <f t="array" ref="AE49">IFERROR(
MEDIAN((IF(DATOS_[[Sexo]:[Sexo]]=$B49,IF(DATOS_[[AGRUP. CLAS. PROF.]:[AGRUP. CLAS. PROF.]]=$B48,IF(DATOS_[[Check Periodo Ref.]:[Check Periodo Ref.]]="Dentro",DATOS_[Conc.Sal.26]))))),
0)</f>
        <v>0</v>
      </c>
      <c r="AF49" s="170">
        <f t="array" ref="AF49">IFERROR(
MEDIAN((IF(DATOS_[[Sexo]:[Sexo]]=$B49,IF(DATOS_[[AGRUP. CLAS. PROF.]:[AGRUP. CLAS. PROF.]]=$B48,IF(DATOS_[[Check Periodo Ref.]:[Check Periodo Ref.]]="Dentro",DATOS_[Conc.Sal.27]))))),
0)</f>
        <v>0</v>
      </c>
      <c r="AG49" s="170">
        <f t="array" ref="AG49">IFERROR(
MEDIAN((IF(DATOS_[[Sexo]:[Sexo]]=$B49,IF(DATOS_[[AGRUP. CLAS. PROF.]:[AGRUP. CLAS. PROF.]]=$B48,IF(DATOS_[[Check Periodo Ref.]:[Check Periodo Ref.]]="Dentro",DATOS_[Conc.Sal.28]))))),
0)</f>
        <v>0</v>
      </c>
      <c r="AH49" s="170">
        <f t="array" ref="AH49">IFERROR(
MEDIAN((IF(DATOS_[[Sexo]:[Sexo]]=$B49,IF(DATOS_[[AGRUP. CLAS. PROF.]:[AGRUP. CLAS. PROF.]]=$B48,IF(DATOS_[[Check Periodo Ref.]:[Check Periodo Ref.]]="Dentro",DATOS_[Conc.Sal.29]))))),
0)</f>
        <v>0</v>
      </c>
      <c r="AI49" s="170">
        <f t="array" ref="AI49">IFERROR(
MEDIAN((IF(DATOS_[[Sexo]:[Sexo]]=$B49,IF(DATOS_[[AGRUP. CLAS. PROF.]:[AGRUP. CLAS. PROF.]]=$B48,IF(DATOS_[[Check Periodo Ref.]:[Check Periodo Ref.]]="Dentro",DATOS_[Conc.Sal.30]))))),
0)</f>
        <v>0</v>
      </c>
      <c r="AJ49" s="171">
        <f t="array" ref="AJ49">IFERROR(
MEDIAN(IF(DATOS_[Sexo]=$B49,IF(DATOS_[AGRUP. CLAS. PROF.]=$B48,IF(DATOS_[Check Periodo Ref.]="Dentro",DATOS_[Tot COMPL.SAL Ef],FALSE)))),
0)</f>
        <v>0</v>
      </c>
      <c r="AK49" s="172">
        <f t="array" ref="AK49">IFERROR(
MEDIAN(IF(DATOS_[Sexo]=$B49,IF(DATOS_[AGRUP. CLAS. PROF.]=$B48,IF(DATOS_[Check Periodo Ref.]="Dentro",DATOS_[TOTAL SALARIO Ef],FALSE)))),
0)</f>
        <v>0</v>
      </c>
      <c r="AL49" s="173">
        <f t="array" ref="AL49">IFERROR(
MEDIAN((IF(DATOS_[[Sexo]:[Sexo]]=$B49,IF(DATOS_[[AGRUP. CLAS. PROF.]:[AGRUP. CLAS. PROF.]]=$B48,IF(DATOS_[[Check Periodo Ref.]:[Check Periodo Ref.]]="Dentro",DATOS_[C.Extra.01]))))),
0)</f>
        <v>0</v>
      </c>
      <c r="AM49" s="173">
        <f t="array" ref="AM49">IFERROR(
MEDIAN((IF(DATOS_[[Sexo]:[Sexo]]=$B49,IF(DATOS_[[AGRUP. CLAS. PROF.]:[AGRUP. CLAS. PROF.]]=$B48,IF(DATOS_[[Check Periodo Ref.]:[Check Periodo Ref.]]="Dentro",DATOS_[C.Extra.06]))))),
0)</f>
        <v>0</v>
      </c>
      <c r="AN49" s="173">
        <f t="array" ref="AN49">IFERROR(
MEDIAN((IF(DATOS_[[Sexo]:[Sexo]]=$B49,IF(DATOS_[[AGRUP. CLAS. PROF.]:[AGRUP. CLAS. PROF.]]=$B48,IF(DATOS_[[Check Periodo Ref.]:[Check Periodo Ref.]]="Dentro",DATOS_[C.Extra.07]))))),
0)</f>
        <v>0</v>
      </c>
      <c r="AO49" s="173">
        <f t="array" ref="AO49">IFERROR(
MEDIAN((IF(DATOS_[[Sexo]:[Sexo]]=$B49,IF(DATOS_[[AGRUP. CLAS. PROF.]:[AGRUP. CLAS. PROF.]]=$B48,IF(DATOS_[[Check Periodo Ref.]:[Check Periodo Ref.]]="Dentro",DATOS_[C.Extra.08]))))),
0)</f>
        <v>0</v>
      </c>
      <c r="AP49" s="173">
        <f t="array" ref="AP49">IFERROR(
MEDIAN((IF(DATOS_[[Sexo]:[Sexo]]=$B49,IF(DATOS_[[AGRUP. CLAS. PROF.]:[AGRUP. CLAS. PROF.]]=$B48,IF(DATOS_[[Check Periodo Ref.]:[Check Periodo Ref.]]="Dentro",DATOS_[C.Extra.11]))))),
0)</f>
        <v>0</v>
      </c>
      <c r="AQ49" s="174">
        <f t="array" ref="AQ49">IFERROR(
MEDIAN(IF(DATOS_[Sexo]=$B49,IF(DATOS_[AGRUP. CLAS. PROF.]=$B48,IF(DATOS_[Check Periodo Ref.]="Dentro",DATOS_[Tot Extrasalarial Ef],FALSE)))),
0)</f>
        <v>0</v>
      </c>
      <c r="AR49" s="171">
        <f t="array" ref="AR49">IFERROR(
MEDIAN(IF(DATOS_[Sexo]=$B49,IF(DATOS_[AGRUP. CLAS. PROF.]=$B48,IF(DATOS_[Check Periodo Ref.]="Dentro",DATOS_[TOTAL Retrib Ef],FALSE)))),
0)</f>
        <v>0</v>
      </c>
    </row>
    <row r="50" spans="1:44" hidden="1" x14ac:dyDescent="0.25">
      <c r="A50" s="178" t="str">
        <f t="shared" ref="A50" si="50">+A49</f>
        <v>[ocultar]</v>
      </c>
      <c r="B50" s="166" t="s">
        <v>521</v>
      </c>
      <c r="C50" s="167">
        <f t="array" ref="C50">SUM(IF($B50=DATOS_[Sexo],
IF($B48=DATOS_[AGRUP. CLAS. PROF.],
IF("Dentro"=DATOS_[Check Periodo Ref.],
1/(COUNTIFS(DATOS_[Sexo],$B50,DATOS_[AGRUP. CLAS. PROF.],$B48,DATOS_[Check Periodo Ref.],"Dentro",DATOS_[id/cod],DATOS_[id/cod]))))))</f>
        <v>0</v>
      </c>
      <c r="D50" s="168">
        <f>COUNTIFS(DATOS_[AGRUP. CLAS. PROF.],$B48,DATOS_[Sexo],$B50,DATOS_[Check Periodo Ref.],"Dentro")</f>
        <v>0</v>
      </c>
      <c r="E50" s="169">
        <f t="array" ref="E50">IFERROR(
MEDIAN(IF(DATOS_[Sexo]=$B50,IF(DATOS_[AGRUP. CLAS. PROF.]=$B48,IF(DATOS_[Check Periodo Ref.]="Dentro",DATOS_[SALARIO BASE Ef],FALSE)))),
0)</f>
        <v>0</v>
      </c>
      <c r="F50" s="170">
        <f t="array" ref="F50">IFERROR(
MEDIAN((IF(DATOS_[[Sexo]:[Sexo]]=$B50,IF(DATOS_[[AGRUP. CLAS. PROF.]:[AGRUP. CLAS. PROF.]]=$B48,IF(DATOS_[[Check Periodo Ref.]:[Check Periodo Ref.]]="Dentro",DATOS_[Conc.Sal.01]))))),
0)</f>
        <v>0</v>
      </c>
      <c r="G50" s="170">
        <f t="array" ref="G50">IFERROR(
MEDIAN((IF(DATOS_[[Sexo]:[Sexo]]=$B50,IF(DATOS_[[AGRUP. CLAS. PROF.]:[AGRUP. CLAS. PROF.]]=$B48,IF(DATOS_[[Check Periodo Ref.]:[Check Periodo Ref.]]="Dentro",DATOS_[Conc.Sal.02]))))),
0)</f>
        <v>0</v>
      </c>
      <c r="H50" s="170">
        <f t="array" ref="H50">IFERROR(
MEDIAN((IF(DATOS_[[Sexo]:[Sexo]]=$B50,IF(DATOS_[[AGRUP. CLAS. PROF.]:[AGRUP. CLAS. PROF.]]=$B48,IF(DATOS_[[Check Periodo Ref.]:[Check Periodo Ref.]]="Dentro",DATOS_[Conc.Sal.03]))))),
0)</f>
        <v>0</v>
      </c>
      <c r="I50" s="170">
        <f t="array" ref="I50">IFERROR(
MEDIAN((IF(DATOS_[[Sexo]:[Sexo]]=$B50,IF(DATOS_[[AGRUP. CLAS. PROF.]:[AGRUP. CLAS. PROF.]]=$B48,IF(DATOS_[[Check Periodo Ref.]:[Check Periodo Ref.]]="Dentro",DATOS_[Conc.Sal.04]))))),
0)</f>
        <v>0</v>
      </c>
      <c r="J50" s="170">
        <f t="array" ref="J50">IFERROR(
MEDIAN((IF(DATOS_[[Sexo]:[Sexo]]=$B50,IF(DATOS_[[AGRUP. CLAS. PROF.]:[AGRUP. CLAS. PROF.]]=$B48,IF(DATOS_[[Check Periodo Ref.]:[Check Periodo Ref.]]="Dentro",DATOS_[Conc.Sal.05]))))),
0)</f>
        <v>0</v>
      </c>
      <c r="K50" s="170">
        <f t="array" ref="K50">IFERROR(
MEDIAN((IF(DATOS_[[Sexo]:[Sexo]]=$B50,IF(DATOS_[[AGRUP. CLAS. PROF.]:[AGRUP. CLAS. PROF.]]=$B48,IF(DATOS_[[Check Periodo Ref.]:[Check Periodo Ref.]]="Dentro",DATOS_[Conc.Sal.06]))))),
0)</f>
        <v>0</v>
      </c>
      <c r="L50" s="170">
        <f t="array" ref="L50">IFERROR(
MEDIAN((IF(DATOS_[[Sexo]:[Sexo]]=$B50,IF(DATOS_[[AGRUP. CLAS. PROF.]:[AGRUP. CLAS. PROF.]]=$B48,IF(DATOS_[[Check Periodo Ref.]:[Check Periodo Ref.]]="Dentro",DATOS_[Conc.Sal.07]))))),
0)</f>
        <v>0</v>
      </c>
      <c r="M50" s="170">
        <f t="array" ref="M50">IFERROR(
MEDIAN((IF(DATOS_[[Sexo]:[Sexo]]=$B50,IF(DATOS_[[AGRUP. CLAS. PROF.]:[AGRUP. CLAS. PROF.]]=$B48,IF(DATOS_[[Check Periodo Ref.]:[Check Periodo Ref.]]="Dentro",DATOS_[Conc.Sal.08]))))),
0)</f>
        <v>0</v>
      </c>
      <c r="N50" s="170">
        <f t="array" ref="N50">IFERROR(
MEDIAN((IF(DATOS_[[Sexo]:[Sexo]]=$B50,IF(DATOS_[[AGRUP. CLAS. PROF.]:[AGRUP. CLAS. PROF.]]=$B48,IF(DATOS_[[Check Periodo Ref.]:[Check Periodo Ref.]]="Dentro",DATOS_[Conc.Sal.09]))))),
0)</f>
        <v>0</v>
      </c>
      <c r="O50" s="170">
        <f t="array" ref="O50">IFERROR(
MEDIAN((IF(DATOS_[[Sexo]:[Sexo]]=$B50,IF(DATOS_[[AGRUP. CLAS. PROF.]:[AGRUP. CLAS. PROF.]]=$B48,IF(DATOS_[[Check Periodo Ref.]:[Check Periodo Ref.]]="Dentro",DATOS_[Conc.Sal.10]))))),
0)</f>
        <v>0</v>
      </c>
      <c r="P50" s="170">
        <f t="array" ref="P50">IFERROR(
MEDIAN((IF(DATOS_[[Sexo]:[Sexo]]=$B50,IF(DATOS_[[AGRUP. CLAS. PROF.]:[AGRUP. CLAS. PROF.]]=$B48,IF(DATOS_[[Check Periodo Ref.]:[Check Periodo Ref.]]="Dentro",DATOS_[Conc.Sal.11]))))),
0)</f>
        <v>0</v>
      </c>
      <c r="Q50" s="170">
        <f t="array" ref="Q50">IFERROR(
MEDIAN((IF(DATOS_[[Sexo]:[Sexo]]=$B50,IF(DATOS_[[AGRUP. CLAS. PROF.]:[AGRUP. CLAS. PROF.]]=$B48,IF(DATOS_[[Check Periodo Ref.]:[Check Periodo Ref.]]="Dentro",DATOS_[Conc.Sal.12]))))),
0)</f>
        <v>0</v>
      </c>
      <c r="R50" s="170">
        <f t="array" ref="R50">IFERROR(
MEDIAN((IF(DATOS_[[Sexo]:[Sexo]]=$B50,IF(DATOS_[[AGRUP. CLAS. PROF.]:[AGRUP. CLAS. PROF.]]=$B48,IF(DATOS_[[Check Periodo Ref.]:[Check Periodo Ref.]]="Dentro",DATOS_[Conc.Sal.13]))))),
0)</f>
        <v>0</v>
      </c>
      <c r="S50" s="170">
        <f t="array" ref="S50">IFERROR(
MEDIAN((IF(DATOS_[[Sexo]:[Sexo]]=$B50,IF(DATOS_[[AGRUP. CLAS. PROF.]:[AGRUP. CLAS. PROF.]]=$B48,IF(DATOS_[[Check Periodo Ref.]:[Check Periodo Ref.]]="Dentro",DATOS_[Conc.Sal.14]))))),
0)</f>
        <v>0</v>
      </c>
      <c r="T50" s="170">
        <f t="array" ref="T50">IFERROR(
MEDIAN((IF(DATOS_[[Sexo]:[Sexo]]=$B50,IF(DATOS_[[AGRUP. CLAS. PROF.]:[AGRUP. CLAS. PROF.]]=$B48,IF(DATOS_[[Check Periodo Ref.]:[Check Periodo Ref.]]="Dentro",DATOS_[Conc.Sal.15]))))),
0)</f>
        <v>0</v>
      </c>
      <c r="U50" s="170">
        <f t="array" ref="U50">IFERROR(
MEDIAN((IF(DATOS_[[Sexo]:[Sexo]]=$B50,IF(DATOS_[[AGRUP. CLAS. PROF.]:[AGRUP. CLAS. PROF.]]=$B48,IF(DATOS_[[Check Periodo Ref.]:[Check Periodo Ref.]]="Dentro",DATOS_[Conc.Sal.16]))))),
0)</f>
        <v>0</v>
      </c>
      <c r="V50" s="170">
        <f t="array" ref="V50">IFERROR(
MEDIAN((IF(DATOS_[[Sexo]:[Sexo]]=$B50,IF(DATOS_[[AGRUP. CLAS. PROF.]:[AGRUP. CLAS. PROF.]]=$B48,IF(DATOS_[[Check Periodo Ref.]:[Check Periodo Ref.]]="Dentro",DATOS_[Conc.Sal.17]))))),
0)</f>
        <v>0</v>
      </c>
      <c r="W50" s="170">
        <f t="array" ref="W50">IFERROR(
MEDIAN((IF(DATOS_[[Sexo]:[Sexo]]=$B50,IF(DATOS_[[AGRUP. CLAS. PROF.]:[AGRUP. CLAS. PROF.]]=$B48,IF(DATOS_[[Check Periodo Ref.]:[Check Periodo Ref.]]="Dentro",DATOS_[Conc.Sal.18]))))),
0)</f>
        <v>0</v>
      </c>
      <c r="X50" s="170">
        <f t="array" ref="X50">IFERROR(
MEDIAN((IF(DATOS_[[Sexo]:[Sexo]]=$B50,IF(DATOS_[[AGRUP. CLAS. PROF.]:[AGRUP. CLAS. PROF.]]=$B48,IF(DATOS_[[Check Periodo Ref.]:[Check Periodo Ref.]]="Dentro",DATOS_[Conc.Sal.19]))))),
0)</f>
        <v>0</v>
      </c>
      <c r="Y50" s="170">
        <f t="array" ref="Y50">IFERROR(
MEDIAN((IF(DATOS_[[Sexo]:[Sexo]]=$B50,IF(DATOS_[[AGRUP. CLAS. PROF.]:[AGRUP. CLAS. PROF.]]=$B48,IF(DATOS_[[Check Periodo Ref.]:[Check Periodo Ref.]]="Dentro",DATOS_[Conc.Sal.20]))))),
0)</f>
        <v>0</v>
      </c>
      <c r="Z50" s="170">
        <f t="array" ref="Z50">IFERROR(
MEDIAN((IF(DATOS_[[Sexo]:[Sexo]]=$B50,IF(DATOS_[[AGRUP. CLAS. PROF.]:[AGRUP. CLAS. PROF.]]=$B48,IF(DATOS_[[Check Periodo Ref.]:[Check Periodo Ref.]]="Dentro",DATOS_[Conc.Sal.21]))))),
0)</f>
        <v>0</v>
      </c>
      <c r="AA50" s="170">
        <f t="array" ref="AA50">IFERROR(
MEDIAN((IF(DATOS_[[Sexo]:[Sexo]]=$B50,IF(DATOS_[[AGRUP. CLAS. PROF.]:[AGRUP. CLAS. PROF.]]=$B48,IF(DATOS_[[Check Periodo Ref.]:[Check Periodo Ref.]]="Dentro",DATOS_[Conc.Sal.22]))))),
0)</f>
        <v>0</v>
      </c>
      <c r="AB50" s="170">
        <f t="array" ref="AB50">IFERROR(
MEDIAN((IF(DATOS_[[Sexo]:[Sexo]]=$B50,IF(DATOS_[[AGRUP. CLAS. PROF.]:[AGRUP. CLAS. PROF.]]=$B48,IF(DATOS_[[Check Periodo Ref.]:[Check Periodo Ref.]]="Dentro",DATOS_[Conc.Sal.23]))))),
0)</f>
        <v>0</v>
      </c>
      <c r="AC50" s="170">
        <f t="array" ref="AC50">IFERROR(
MEDIAN((IF(DATOS_[[Sexo]:[Sexo]]=$B50,IF(DATOS_[[AGRUP. CLAS. PROF.]:[AGRUP. CLAS. PROF.]]=$B48,IF(DATOS_[[Check Periodo Ref.]:[Check Periodo Ref.]]="Dentro",DATOS_[Conc.Sal.24]))))),
0)</f>
        <v>0</v>
      </c>
      <c r="AD50" s="170">
        <f t="array" ref="AD50">IFERROR(
MEDIAN((IF(DATOS_[[Sexo]:[Sexo]]=$B50,IF(DATOS_[[AGRUP. CLAS. PROF.]:[AGRUP. CLAS. PROF.]]=$B48,IF(DATOS_[[Check Periodo Ref.]:[Check Periodo Ref.]]="Dentro",DATOS_[Conc.Sal.25]))))),
0)</f>
        <v>0</v>
      </c>
      <c r="AE50" s="170">
        <f t="array" ref="AE50">IFERROR(
MEDIAN((IF(DATOS_[[Sexo]:[Sexo]]=$B50,IF(DATOS_[[AGRUP. CLAS. PROF.]:[AGRUP. CLAS. PROF.]]=$B48,IF(DATOS_[[Check Periodo Ref.]:[Check Periodo Ref.]]="Dentro",DATOS_[Conc.Sal.26]))))),
0)</f>
        <v>0</v>
      </c>
      <c r="AF50" s="170">
        <f t="array" ref="AF50">IFERROR(
MEDIAN((IF(DATOS_[[Sexo]:[Sexo]]=$B50,IF(DATOS_[[AGRUP. CLAS. PROF.]:[AGRUP. CLAS. PROF.]]=$B48,IF(DATOS_[[Check Periodo Ref.]:[Check Periodo Ref.]]="Dentro",DATOS_[Conc.Sal.27]))))),
0)</f>
        <v>0</v>
      </c>
      <c r="AG50" s="170">
        <f t="array" ref="AG50">IFERROR(
MEDIAN((IF(DATOS_[[Sexo]:[Sexo]]=$B50,IF(DATOS_[[AGRUP. CLAS. PROF.]:[AGRUP. CLAS. PROF.]]=$B48,IF(DATOS_[[Check Periodo Ref.]:[Check Periodo Ref.]]="Dentro",DATOS_[Conc.Sal.28]))))),
0)</f>
        <v>0</v>
      </c>
      <c r="AH50" s="170">
        <f t="array" ref="AH50">IFERROR(
MEDIAN((IF(DATOS_[[Sexo]:[Sexo]]=$B50,IF(DATOS_[[AGRUP. CLAS. PROF.]:[AGRUP. CLAS. PROF.]]=$B48,IF(DATOS_[[Check Periodo Ref.]:[Check Periodo Ref.]]="Dentro",DATOS_[Conc.Sal.29]))))),
0)</f>
        <v>0</v>
      </c>
      <c r="AI50" s="170">
        <f t="array" ref="AI50">IFERROR(
MEDIAN((IF(DATOS_[[Sexo]:[Sexo]]=$B50,IF(DATOS_[[AGRUP. CLAS. PROF.]:[AGRUP. CLAS. PROF.]]=$B48,IF(DATOS_[[Check Periodo Ref.]:[Check Periodo Ref.]]="Dentro",DATOS_[Conc.Sal.30]))))),
0)</f>
        <v>0</v>
      </c>
      <c r="AJ50" s="171">
        <f t="array" ref="AJ50">IFERROR(
MEDIAN(IF(DATOS_[Sexo]=$B50,IF(DATOS_[AGRUP. CLAS. PROF.]=$B48,IF(DATOS_[Check Periodo Ref.]="Dentro",DATOS_[Tot COMPL.SAL Ef],FALSE)))),
0)</f>
        <v>0</v>
      </c>
      <c r="AK50" s="172">
        <f t="array" ref="AK50">IFERROR(
MEDIAN(IF(DATOS_[Sexo]=$B50,IF(DATOS_[AGRUP. CLAS. PROF.]=$B48,IF(DATOS_[Check Periodo Ref.]="Dentro",DATOS_[TOTAL SALARIO Ef],FALSE)))),
0)</f>
        <v>0</v>
      </c>
      <c r="AL50" s="173">
        <f t="array" ref="AL50">IFERROR(
MEDIAN((IF(DATOS_[[Sexo]:[Sexo]]=$B50,IF(DATOS_[[AGRUP. CLAS. PROF.]:[AGRUP. CLAS. PROF.]]=$B48,IF(DATOS_[[Check Periodo Ref.]:[Check Periodo Ref.]]="Dentro",DATOS_[C.Extra.01]))))),
0)</f>
        <v>0</v>
      </c>
      <c r="AM50" s="173">
        <f t="array" ref="AM50">IFERROR(
MEDIAN((IF(DATOS_[[Sexo]:[Sexo]]=$B50,IF(DATOS_[[AGRUP. CLAS. PROF.]:[AGRUP. CLAS. PROF.]]=$B48,IF(DATOS_[[Check Periodo Ref.]:[Check Periodo Ref.]]="Dentro",DATOS_[C.Extra.06]))))),
0)</f>
        <v>0</v>
      </c>
      <c r="AN50" s="173">
        <f t="array" ref="AN50">IFERROR(
MEDIAN((IF(DATOS_[[Sexo]:[Sexo]]=$B50,IF(DATOS_[[AGRUP. CLAS. PROF.]:[AGRUP. CLAS. PROF.]]=$B48,IF(DATOS_[[Check Periodo Ref.]:[Check Periodo Ref.]]="Dentro",DATOS_[C.Extra.07]))))),
0)</f>
        <v>0</v>
      </c>
      <c r="AO50" s="173">
        <f t="array" ref="AO50">IFERROR(
MEDIAN((IF(DATOS_[[Sexo]:[Sexo]]=$B50,IF(DATOS_[[AGRUP. CLAS. PROF.]:[AGRUP. CLAS. PROF.]]=$B48,IF(DATOS_[[Check Periodo Ref.]:[Check Periodo Ref.]]="Dentro",DATOS_[C.Extra.08]))))),
0)</f>
        <v>0</v>
      </c>
      <c r="AP50" s="173">
        <f t="array" ref="AP50">IFERROR(
MEDIAN((IF(DATOS_[[Sexo]:[Sexo]]=$B50,IF(DATOS_[[AGRUP. CLAS. PROF.]:[AGRUP. CLAS. PROF.]]=$B48,IF(DATOS_[[Check Periodo Ref.]:[Check Periodo Ref.]]="Dentro",DATOS_[C.Extra.11]))))),
0)</f>
        <v>0</v>
      </c>
      <c r="AQ50" s="174">
        <f t="array" ref="AQ50">IFERROR(
MEDIAN(IF(DATOS_[Sexo]=$B50,IF(DATOS_[AGRUP. CLAS. PROF.]=$B48,IF(DATOS_[Check Periodo Ref.]="Dentro",DATOS_[Tot Extrasalarial Ef],FALSE)))),
0)</f>
        <v>0</v>
      </c>
      <c r="AR50" s="171">
        <f t="array" ref="AR50">IFERROR(
MEDIAN(IF(DATOS_[Sexo]=$B50,IF(DATOS_[AGRUP. CLAS. PROF.]=$B48,IF(DATOS_[Check Periodo Ref.]="Dentro",DATOS_[TOTAL Retrib Ef],FALSE)))),
0)</f>
        <v>0</v>
      </c>
    </row>
    <row r="51" spans="1:44" ht="14.4" hidden="1" thickBot="1" x14ac:dyDescent="0.3">
      <c r="A51" s="178" t="str">
        <f t="shared" ref="A51" si="51">+A52</f>
        <v>[ocultar]</v>
      </c>
      <c r="B51" s="153" t="s">
        <v>225</v>
      </c>
      <c r="C51" s="154"/>
      <c r="D51" s="155"/>
      <c r="E51" s="156" t="str">
        <f t="shared" ref="E51:AR51" si="52">IFERROR((E52-E53)/E52,"")</f>
        <v/>
      </c>
      <c r="F51" s="157" t="str">
        <f t="shared" si="52"/>
        <v/>
      </c>
      <c r="G51" s="158" t="str">
        <f t="shared" si="52"/>
        <v/>
      </c>
      <c r="H51" s="158" t="str">
        <f t="shared" si="52"/>
        <v/>
      </c>
      <c r="I51" s="158" t="str">
        <f t="shared" si="52"/>
        <v/>
      </c>
      <c r="J51" s="159" t="str">
        <f t="shared" si="52"/>
        <v/>
      </c>
      <c r="K51" s="160" t="str">
        <f t="shared" si="52"/>
        <v/>
      </c>
      <c r="L51" s="160" t="str">
        <f t="shared" si="52"/>
        <v/>
      </c>
      <c r="M51" s="160" t="str">
        <f t="shared" si="52"/>
        <v/>
      </c>
      <c r="N51" s="160" t="str">
        <f t="shared" si="52"/>
        <v/>
      </c>
      <c r="O51" s="160" t="str">
        <f t="shared" si="52"/>
        <v/>
      </c>
      <c r="P51" s="160" t="str">
        <f t="shared" si="52"/>
        <v/>
      </c>
      <c r="Q51" s="160" t="str">
        <f t="shared" si="52"/>
        <v/>
      </c>
      <c r="R51" s="160" t="str">
        <f t="shared" si="52"/>
        <v/>
      </c>
      <c r="S51" s="160" t="str">
        <f t="shared" si="52"/>
        <v/>
      </c>
      <c r="T51" s="160" t="str">
        <f t="shared" si="52"/>
        <v/>
      </c>
      <c r="U51" s="160" t="str">
        <f t="shared" si="52"/>
        <v/>
      </c>
      <c r="V51" s="159" t="str">
        <f t="shared" si="52"/>
        <v/>
      </c>
      <c r="W51" s="159" t="str">
        <f t="shared" si="52"/>
        <v/>
      </c>
      <c r="X51" s="159" t="str">
        <f t="shared" si="52"/>
        <v/>
      </c>
      <c r="Y51" s="159" t="str">
        <f t="shared" si="52"/>
        <v/>
      </c>
      <c r="Z51" s="159" t="str">
        <f t="shared" si="52"/>
        <v/>
      </c>
      <c r="AA51" s="159" t="str">
        <f t="shared" si="52"/>
        <v/>
      </c>
      <c r="AB51" s="159" t="str">
        <f t="shared" si="52"/>
        <v/>
      </c>
      <c r="AC51" s="159" t="str">
        <f t="shared" si="52"/>
        <v/>
      </c>
      <c r="AD51" s="159" t="str">
        <f t="shared" si="52"/>
        <v/>
      </c>
      <c r="AE51" s="159" t="str">
        <f t="shared" si="52"/>
        <v/>
      </c>
      <c r="AF51" s="159" t="str">
        <f t="shared" si="52"/>
        <v/>
      </c>
      <c r="AG51" s="159" t="str">
        <f t="shared" si="52"/>
        <v/>
      </c>
      <c r="AH51" s="159" t="str">
        <f t="shared" si="52"/>
        <v/>
      </c>
      <c r="AI51" s="159" t="str">
        <f t="shared" si="52"/>
        <v/>
      </c>
      <c r="AJ51" s="161" t="str">
        <f t="shared" si="52"/>
        <v/>
      </c>
      <c r="AK51" s="162" t="str">
        <f t="shared" si="52"/>
        <v/>
      </c>
      <c r="AL51" s="163" t="str">
        <f t="shared" si="52"/>
        <v/>
      </c>
      <c r="AM51" s="163" t="str">
        <f t="shared" si="52"/>
        <v/>
      </c>
      <c r="AN51" s="163" t="str">
        <f t="shared" si="52"/>
        <v/>
      </c>
      <c r="AO51" s="163" t="str">
        <f t="shared" si="52"/>
        <v/>
      </c>
      <c r="AP51" s="163" t="str">
        <f t="shared" si="52"/>
        <v/>
      </c>
      <c r="AQ51" s="164" t="str">
        <f t="shared" si="52"/>
        <v/>
      </c>
      <c r="AR51" s="161" t="str">
        <f t="shared" si="52"/>
        <v/>
      </c>
    </row>
    <row r="52" spans="1:44" hidden="1" x14ac:dyDescent="0.25">
      <c r="A52" s="178" t="str">
        <f t="shared" ref="A52" si="53">+IF(C52+C53=0,"[ocultar]","")</f>
        <v>[ocultar]</v>
      </c>
      <c r="B52" s="166" t="s">
        <v>394</v>
      </c>
      <c r="C52" s="167">
        <f t="array" ref="C52">SUM(IF($B52=DATOS_[Sexo],
IF($B51=DATOS_[AGRUP. CLAS. PROF.],
IF("Dentro"=DATOS_[Check Periodo Ref.],
1/(COUNTIFS(DATOS_[Sexo],$B52,DATOS_[AGRUP. CLAS. PROF.],$B51,DATOS_[Check Periodo Ref.],"Dentro",DATOS_[id/cod],DATOS_[id/cod]))))))</f>
        <v>0</v>
      </c>
      <c r="D52" s="168">
        <f>COUNTIFS(DATOS_[AGRUP. CLAS. PROF.],$B51,DATOS_[Sexo],$B52,DATOS_[Check Periodo Ref.],"Dentro")</f>
        <v>0</v>
      </c>
      <c r="E52" s="169">
        <f t="array" ref="E52">IFERROR(
MEDIAN(IF(DATOS_[Sexo]=$B52,IF(DATOS_[AGRUP. CLAS. PROF.]=$B51,IF(DATOS_[Check Periodo Ref.]="Dentro",DATOS_[SALARIO BASE Ef],FALSE)))),
0)</f>
        <v>0</v>
      </c>
      <c r="F52" s="170">
        <f t="array" ref="F52">IFERROR(
MEDIAN((IF(DATOS_[[Sexo]:[Sexo]]=$B52,IF(DATOS_[[AGRUP. CLAS. PROF.]:[AGRUP. CLAS. PROF.]]=$B51,IF(DATOS_[[Check Periodo Ref.]:[Check Periodo Ref.]]="Dentro",DATOS_[Conc.Sal.01]))))),
0)</f>
        <v>0</v>
      </c>
      <c r="G52" s="170">
        <f t="array" ref="G52">IFERROR(
MEDIAN((IF(DATOS_[[Sexo]:[Sexo]]=$B52,IF(DATOS_[[AGRUP. CLAS. PROF.]:[AGRUP. CLAS. PROF.]]=$B51,IF(DATOS_[[Check Periodo Ref.]:[Check Periodo Ref.]]="Dentro",DATOS_[Conc.Sal.02]))))),
0)</f>
        <v>0</v>
      </c>
      <c r="H52" s="170">
        <f t="array" ref="H52">IFERROR(
MEDIAN((IF(DATOS_[[Sexo]:[Sexo]]=$B52,IF(DATOS_[[AGRUP. CLAS. PROF.]:[AGRUP. CLAS. PROF.]]=$B51,IF(DATOS_[[Check Periodo Ref.]:[Check Periodo Ref.]]="Dentro",DATOS_[Conc.Sal.03]))))),
0)</f>
        <v>0</v>
      </c>
      <c r="I52" s="170">
        <f t="array" ref="I52">IFERROR(
MEDIAN((IF(DATOS_[[Sexo]:[Sexo]]=$B52,IF(DATOS_[[AGRUP. CLAS. PROF.]:[AGRUP. CLAS. PROF.]]=$B51,IF(DATOS_[[Check Periodo Ref.]:[Check Periodo Ref.]]="Dentro",DATOS_[Conc.Sal.04]))))),
0)</f>
        <v>0</v>
      </c>
      <c r="J52" s="170">
        <f t="array" ref="J52">IFERROR(
MEDIAN((IF(DATOS_[[Sexo]:[Sexo]]=$B52,IF(DATOS_[[AGRUP. CLAS. PROF.]:[AGRUP. CLAS. PROF.]]=$B51,IF(DATOS_[[Check Periodo Ref.]:[Check Periodo Ref.]]="Dentro",DATOS_[Conc.Sal.05]))))),
0)</f>
        <v>0</v>
      </c>
      <c r="K52" s="170">
        <f t="array" ref="K52">IFERROR(
MEDIAN((IF(DATOS_[[Sexo]:[Sexo]]=$B52,IF(DATOS_[[AGRUP. CLAS. PROF.]:[AGRUP. CLAS. PROF.]]=$B51,IF(DATOS_[[Check Periodo Ref.]:[Check Periodo Ref.]]="Dentro",DATOS_[Conc.Sal.06]))))),
0)</f>
        <v>0</v>
      </c>
      <c r="L52" s="170">
        <f t="array" ref="L52">IFERROR(
MEDIAN((IF(DATOS_[[Sexo]:[Sexo]]=$B52,IF(DATOS_[[AGRUP. CLAS. PROF.]:[AGRUP. CLAS. PROF.]]=$B51,IF(DATOS_[[Check Periodo Ref.]:[Check Periodo Ref.]]="Dentro",DATOS_[Conc.Sal.07]))))),
0)</f>
        <v>0</v>
      </c>
      <c r="M52" s="170">
        <f t="array" ref="M52">IFERROR(
MEDIAN((IF(DATOS_[[Sexo]:[Sexo]]=$B52,IF(DATOS_[[AGRUP. CLAS. PROF.]:[AGRUP. CLAS. PROF.]]=$B51,IF(DATOS_[[Check Periodo Ref.]:[Check Periodo Ref.]]="Dentro",DATOS_[Conc.Sal.08]))))),
0)</f>
        <v>0</v>
      </c>
      <c r="N52" s="170">
        <f t="array" ref="N52">IFERROR(
MEDIAN((IF(DATOS_[[Sexo]:[Sexo]]=$B52,IF(DATOS_[[AGRUP. CLAS. PROF.]:[AGRUP. CLAS. PROF.]]=$B51,IF(DATOS_[[Check Periodo Ref.]:[Check Periodo Ref.]]="Dentro",DATOS_[Conc.Sal.09]))))),
0)</f>
        <v>0</v>
      </c>
      <c r="O52" s="170">
        <f t="array" ref="O52">IFERROR(
MEDIAN((IF(DATOS_[[Sexo]:[Sexo]]=$B52,IF(DATOS_[[AGRUP. CLAS. PROF.]:[AGRUP. CLAS. PROF.]]=$B51,IF(DATOS_[[Check Periodo Ref.]:[Check Periodo Ref.]]="Dentro",DATOS_[Conc.Sal.10]))))),
0)</f>
        <v>0</v>
      </c>
      <c r="P52" s="170">
        <f t="array" ref="P52">IFERROR(
MEDIAN((IF(DATOS_[[Sexo]:[Sexo]]=$B52,IF(DATOS_[[AGRUP. CLAS. PROF.]:[AGRUP. CLAS. PROF.]]=$B51,IF(DATOS_[[Check Periodo Ref.]:[Check Periodo Ref.]]="Dentro",DATOS_[Conc.Sal.11]))))),
0)</f>
        <v>0</v>
      </c>
      <c r="Q52" s="170">
        <f t="array" ref="Q52">IFERROR(
MEDIAN((IF(DATOS_[[Sexo]:[Sexo]]=$B52,IF(DATOS_[[AGRUP. CLAS. PROF.]:[AGRUP. CLAS. PROF.]]=$B51,IF(DATOS_[[Check Periodo Ref.]:[Check Periodo Ref.]]="Dentro",DATOS_[Conc.Sal.12]))))),
0)</f>
        <v>0</v>
      </c>
      <c r="R52" s="170">
        <f t="array" ref="R52">IFERROR(
MEDIAN((IF(DATOS_[[Sexo]:[Sexo]]=$B52,IF(DATOS_[[AGRUP. CLAS. PROF.]:[AGRUP. CLAS. PROF.]]=$B51,IF(DATOS_[[Check Periodo Ref.]:[Check Periodo Ref.]]="Dentro",DATOS_[Conc.Sal.13]))))),
0)</f>
        <v>0</v>
      </c>
      <c r="S52" s="170">
        <f t="array" ref="S52">IFERROR(
MEDIAN((IF(DATOS_[[Sexo]:[Sexo]]=$B52,IF(DATOS_[[AGRUP. CLAS. PROF.]:[AGRUP. CLAS. PROF.]]=$B51,IF(DATOS_[[Check Periodo Ref.]:[Check Periodo Ref.]]="Dentro",DATOS_[Conc.Sal.14]))))),
0)</f>
        <v>0</v>
      </c>
      <c r="T52" s="170">
        <f t="array" ref="T52">IFERROR(
MEDIAN((IF(DATOS_[[Sexo]:[Sexo]]=$B52,IF(DATOS_[[AGRUP. CLAS. PROF.]:[AGRUP. CLAS. PROF.]]=$B51,IF(DATOS_[[Check Periodo Ref.]:[Check Periodo Ref.]]="Dentro",DATOS_[Conc.Sal.15]))))),
0)</f>
        <v>0</v>
      </c>
      <c r="U52" s="170">
        <f t="array" ref="U52">IFERROR(
MEDIAN((IF(DATOS_[[Sexo]:[Sexo]]=$B52,IF(DATOS_[[AGRUP. CLAS. PROF.]:[AGRUP. CLAS. PROF.]]=$B51,IF(DATOS_[[Check Periodo Ref.]:[Check Periodo Ref.]]="Dentro",DATOS_[Conc.Sal.16]))))),
0)</f>
        <v>0</v>
      </c>
      <c r="V52" s="170">
        <f t="array" ref="V52">IFERROR(
MEDIAN((IF(DATOS_[[Sexo]:[Sexo]]=$B52,IF(DATOS_[[AGRUP. CLAS. PROF.]:[AGRUP. CLAS. PROF.]]=$B51,IF(DATOS_[[Check Periodo Ref.]:[Check Periodo Ref.]]="Dentro",DATOS_[Conc.Sal.17]))))),
0)</f>
        <v>0</v>
      </c>
      <c r="W52" s="170">
        <f t="array" ref="W52">IFERROR(
MEDIAN((IF(DATOS_[[Sexo]:[Sexo]]=$B52,IF(DATOS_[[AGRUP. CLAS. PROF.]:[AGRUP. CLAS. PROF.]]=$B51,IF(DATOS_[[Check Periodo Ref.]:[Check Periodo Ref.]]="Dentro",DATOS_[Conc.Sal.18]))))),
0)</f>
        <v>0</v>
      </c>
      <c r="X52" s="170">
        <f t="array" ref="X52">IFERROR(
MEDIAN((IF(DATOS_[[Sexo]:[Sexo]]=$B52,IF(DATOS_[[AGRUP. CLAS. PROF.]:[AGRUP. CLAS. PROF.]]=$B51,IF(DATOS_[[Check Periodo Ref.]:[Check Periodo Ref.]]="Dentro",DATOS_[Conc.Sal.19]))))),
0)</f>
        <v>0</v>
      </c>
      <c r="Y52" s="170">
        <f t="array" ref="Y52">IFERROR(
MEDIAN((IF(DATOS_[[Sexo]:[Sexo]]=$B52,IF(DATOS_[[AGRUP. CLAS. PROF.]:[AGRUP. CLAS. PROF.]]=$B51,IF(DATOS_[[Check Periodo Ref.]:[Check Periodo Ref.]]="Dentro",DATOS_[Conc.Sal.20]))))),
0)</f>
        <v>0</v>
      </c>
      <c r="Z52" s="170">
        <f t="array" ref="Z52">IFERROR(
MEDIAN((IF(DATOS_[[Sexo]:[Sexo]]=$B52,IF(DATOS_[[AGRUP. CLAS. PROF.]:[AGRUP. CLAS. PROF.]]=$B51,IF(DATOS_[[Check Periodo Ref.]:[Check Periodo Ref.]]="Dentro",DATOS_[Conc.Sal.21]))))),
0)</f>
        <v>0</v>
      </c>
      <c r="AA52" s="170">
        <f t="array" ref="AA52">IFERROR(
MEDIAN((IF(DATOS_[[Sexo]:[Sexo]]=$B52,IF(DATOS_[[AGRUP. CLAS. PROF.]:[AGRUP. CLAS. PROF.]]=$B51,IF(DATOS_[[Check Periodo Ref.]:[Check Periodo Ref.]]="Dentro",DATOS_[Conc.Sal.22]))))),
0)</f>
        <v>0</v>
      </c>
      <c r="AB52" s="170">
        <f t="array" ref="AB52">IFERROR(
MEDIAN((IF(DATOS_[[Sexo]:[Sexo]]=$B52,IF(DATOS_[[AGRUP. CLAS. PROF.]:[AGRUP. CLAS. PROF.]]=$B51,IF(DATOS_[[Check Periodo Ref.]:[Check Periodo Ref.]]="Dentro",DATOS_[Conc.Sal.23]))))),
0)</f>
        <v>0</v>
      </c>
      <c r="AC52" s="170">
        <f t="array" ref="AC52">IFERROR(
MEDIAN((IF(DATOS_[[Sexo]:[Sexo]]=$B52,IF(DATOS_[[AGRUP. CLAS. PROF.]:[AGRUP. CLAS. PROF.]]=$B51,IF(DATOS_[[Check Periodo Ref.]:[Check Periodo Ref.]]="Dentro",DATOS_[Conc.Sal.24]))))),
0)</f>
        <v>0</v>
      </c>
      <c r="AD52" s="170">
        <f t="array" ref="AD52">IFERROR(
MEDIAN((IF(DATOS_[[Sexo]:[Sexo]]=$B52,IF(DATOS_[[AGRUP. CLAS. PROF.]:[AGRUP. CLAS. PROF.]]=$B51,IF(DATOS_[[Check Periodo Ref.]:[Check Periodo Ref.]]="Dentro",DATOS_[Conc.Sal.25]))))),
0)</f>
        <v>0</v>
      </c>
      <c r="AE52" s="170">
        <f t="array" ref="AE52">IFERROR(
MEDIAN((IF(DATOS_[[Sexo]:[Sexo]]=$B52,IF(DATOS_[[AGRUP. CLAS. PROF.]:[AGRUP. CLAS. PROF.]]=$B51,IF(DATOS_[[Check Periodo Ref.]:[Check Periodo Ref.]]="Dentro",DATOS_[Conc.Sal.26]))))),
0)</f>
        <v>0</v>
      </c>
      <c r="AF52" s="170">
        <f t="array" ref="AF52">IFERROR(
MEDIAN((IF(DATOS_[[Sexo]:[Sexo]]=$B52,IF(DATOS_[[AGRUP. CLAS. PROF.]:[AGRUP. CLAS. PROF.]]=$B51,IF(DATOS_[[Check Periodo Ref.]:[Check Periodo Ref.]]="Dentro",DATOS_[Conc.Sal.27]))))),
0)</f>
        <v>0</v>
      </c>
      <c r="AG52" s="170">
        <f t="array" ref="AG52">IFERROR(
MEDIAN((IF(DATOS_[[Sexo]:[Sexo]]=$B52,IF(DATOS_[[AGRUP. CLAS. PROF.]:[AGRUP. CLAS. PROF.]]=$B51,IF(DATOS_[[Check Periodo Ref.]:[Check Periodo Ref.]]="Dentro",DATOS_[Conc.Sal.28]))))),
0)</f>
        <v>0</v>
      </c>
      <c r="AH52" s="170">
        <f t="array" ref="AH52">IFERROR(
MEDIAN((IF(DATOS_[[Sexo]:[Sexo]]=$B52,IF(DATOS_[[AGRUP. CLAS. PROF.]:[AGRUP. CLAS. PROF.]]=$B51,IF(DATOS_[[Check Periodo Ref.]:[Check Periodo Ref.]]="Dentro",DATOS_[Conc.Sal.29]))))),
0)</f>
        <v>0</v>
      </c>
      <c r="AI52" s="170">
        <f t="array" ref="AI52">IFERROR(
MEDIAN((IF(DATOS_[[Sexo]:[Sexo]]=$B52,IF(DATOS_[[AGRUP. CLAS. PROF.]:[AGRUP. CLAS. PROF.]]=$B51,IF(DATOS_[[Check Periodo Ref.]:[Check Periodo Ref.]]="Dentro",DATOS_[Conc.Sal.30]))))),
0)</f>
        <v>0</v>
      </c>
      <c r="AJ52" s="171">
        <f t="array" ref="AJ52">IFERROR(
MEDIAN(IF(DATOS_[Sexo]=$B52,IF(DATOS_[AGRUP. CLAS. PROF.]=$B51,IF(DATOS_[Check Periodo Ref.]="Dentro",DATOS_[Tot COMPL.SAL Ef],FALSE)))),
0)</f>
        <v>0</v>
      </c>
      <c r="AK52" s="172">
        <f t="array" ref="AK52">IFERROR(
MEDIAN(IF(DATOS_[Sexo]=$B52,IF(DATOS_[AGRUP. CLAS. PROF.]=$B51,IF(DATOS_[Check Periodo Ref.]="Dentro",DATOS_[TOTAL SALARIO Ef],FALSE)))),
0)</f>
        <v>0</v>
      </c>
      <c r="AL52" s="173">
        <f t="array" ref="AL52">IFERROR(
MEDIAN((IF(DATOS_[[Sexo]:[Sexo]]=$B52,IF(DATOS_[[AGRUP. CLAS. PROF.]:[AGRUP. CLAS. PROF.]]=$B51,IF(DATOS_[[Check Periodo Ref.]:[Check Periodo Ref.]]="Dentro",DATOS_[C.Extra.01]))))),
0)</f>
        <v>0</v>
      </c>
      <c r="AM52" s="173">
        <f t="array" ref="AM52">IFERROR(
MEDIAN((IF(DATOS_[[Sexo]:[Sexo]]=$B52,IF(DATOS_[[AGRUP. CLAS. PROF.]:[AGRUP. CLAS. PROF.]]=$B51,IF(DATOS_[[Check Periodo Ref.]:[Check Periodo Ref.]]="Dentro",DATOS_[C.Extra.06]))))),
0)</f>
        <v>0</v>
      </c>
      <c r="AN52" s="173">
        <f t="array" ref="AN52">IFERROR(
MEDIAN((IF(DATOS_[[Sexo]:[Sexo]]=$B52,IF(DATOS_[[AGRUP. CLAS. PROF.]:[AGRUP. CLAS. PROF.]]=$B51,IF(DATOS_[[Check Periodo Ref.]:[Check Periodo Ref.]]="Dentro",DATOS_[C.Extra.07]))))),
0)</f>
        <v>0</v>
      </c>
      <c r="AO52" s="173">
        <f t="array" ref="AO52">IFERROR(
MEDIAN((IF(DATOS_[[Sexo]:[Sexo]]=$B52,IF(DATOS_[[AGRUP. CLAS. PROF.]:[AGRUP. CLAS. PROF.]]=$B51,IF(DATOS_[[Check Periodo Ref.]:[Check Periodo Ref.]]="Dentro",DATOS_[C.Extra.08]))))),
0)</f>
        <v>0</v>
      </c>
      <c r="AP52" s="173">
        <f t="array" ref="AP52">IFERROR(
MEDIAN((IF(DATOS_[[Sexo]:[Sexo]]=$B52,IF(DATOS_[[AGRUP. CLAS. PROF.]:[AGRUP. CLAS. PROF.]]=$B51,IF(DATOS_[[Check Periodo Ref.]:[Check Periodo Ref.]]="Dentro",DATOS_[C.Extra.11]))))),
0)</f>
        <v>0</v>
      </c>
      <c r="AQ52" s="174">
        <f t="array" ref="AQ52">IFERROR(
MEDIAN(IF(DATOS_[Sexo]=$B52,IF(DATOS_[AGRUP. CLAS. PROF.]=$B51,IF(DATOS_[Check Periodo Ref.]="Dentro",DATOS_[Tot Extrasalarial Ef],FALSE)))),
0)</f>
        <v>0</v>
      </c>
      <c r="AR52" s="171">
        <f t="array" ref="AR52">IFERROR(
MEDIAN(IF(DATOS_[Sexo]=$B52,IF(DATOS_[AGRUP. CLAS. PROF.]=$B51,IF(DATOS_[Check Periodo Ref.]="Dentro",DATOS_[TOTAL Retrib Ef],FALSE)))),
0)</f>
        <v>0</v>
      </c>
    </row>
    <row r="53" spans="1:44" hidden="1" x14ac:dyDescent="0.25">
      <c r="A53" s="178" t="str">
        <f t="shared" ref="A53" si="54">+A52</f>
        <v>[ocultar]</v>
      </c>
      <c r="B53" s="166" t="s">
        <v>521</v>
      </c>
      <c r="C53" s="167">
        <f t="array" ref="C53">SUM(IF($B53=DATOS_[Sexo],
IF($B51=DATOS_[AGRUP. CLAS. PROF.],
IF("Dentro"=DATOS_[Check Periodo Ref.],
1/(COUNTIFS(DATOS_[Sexo],$B53,DATOS_[AGRUP. CLAS. PROF.],$B51,DATOS_[Check Periodo Ref.],"Dentro",DATOS_[id/cod],DATOS_[id/cod]))))))</f>
        <v>0</v>
      </c>
      <c r="D53" s="168">
        <f>COUNTIFS(DATOS_[AGRUP. CLAS. PROF.],$B51,DATOS_[Sexo],$B53,DATOS_[Check Periodo Ref.],"Dentro")</f>
        <v>0</v>
      </c>
      <c r="E53" s="169">
        <f t="array" ref="E53">IFERROR(
MEDIAN(IF(DATOS_[Sexo]=$B53,IF(DATOS_[AGRUP. CLAS. PROF.]=$B51,IF(DATOS_[Check Periodo Ref.]="Dentro",DATOS_[SALARIO BASE Ef],FALSE)))),
0)</f>
        <v>0</v>
      </c>
      <c r="F53" s="170">
        <f t="array" ref="F53">IFERROR(
MEDIAN((IF(DATOS_[[Sexo]:[Sexo]]=$B53,IF(DATOS_[[AGRUP. CLAS. PROF.]:[AGRUP. CLAS. PROF.]]=$B51,IF(DATOS_[[Check Periodo Ref.]:[Check Periodo Ref.]]="Dentro",DATOS_[Conc.Sal.01]))))),
0)</f>
        <v>0</v>
      </c>
      <c r="G53" s="170">
        <f t="array" ref="G53">IFERROR(
MEDIAN((IF(DATOS_[[Sexo]:[Sexo]]=$B53,IF(DATOS_[[AGRUP. CLAS. PROF.]:[AGRUP. CLAS. PROF.]]=$B51,IF(DATOS_[[Check Periodo Ref.]:[Check Periodo Ref.]]="Dentro",DATOS_[Conc.Sal.02]))))),
0)</f>
        <v>0</v>
      </c>
      <c r="H53" s="170">
        <f t="array" ref="H53">IFERROR(
MEDIAN((IF(DATOS_[[Sexo]:[Sexo]]=$B53,IF(DATOS_[[AGRUP. CLAS. PROF.]:[AGRUP. CLAS. PROF.]]=$B51,IF(DATOS_[[Check Periodo Ref.]:[Check Periodo Ref.]]="Dentro",DATOS_[Conc.Sal.03]))))),
0)</f>
        <v>0</v>
      </c>
      <c r="I53" s="170">
        <f t="array" ref="I53">IFERROR(
MEDIAN((IF(DATOS_[[Sexo]:[Sexo]]=$B53,IF(DATOS_[[AGRUP. CLAS. PROF.]:[AGRUP. CLAS. PROF.]]=$B51,IF(DATOS_[[Check Periodo Ref.]:[Check Periodo Ref.]]="Dentro",DATOS_[Conc.Sal.04]))))),
0)</f>
        <v>0</v>
      </c>
      <c r="J53" s="170">
        <f t="array" ref="J53">IFERROR(
MEDIAN((IF(DATOS_[[Sexo]:[Sexo]]=$B53,IF(DATOS_[[AGRUP. CLAS. PROF.]:[AGRUP. CLAS. PROF.]]=$B51,IF(DATOS_[[Check Periodo Ref.]:[Check Periodo Ref.]]="Dentro",DATOS_[Conc.Sal.05]))))),
0)</f>
        <v>0</v>
      </c>
      <c r="K53" s="170">
        <f t="array" ref="K53">IFERROR(
MEDIAN((IF(DATOS_[[Sexo]:[Sexo]]=$B53,IF(DATOS_[[AGRUP. CLAS. PROF.]:[AGRUP. CLAS. PROF.]]=$B51,IF(DATOS_[[Check Periodo Ref.]:[Check Periodo Ref.]]="Dentro",DATOS_[Conc.Sal.06]))))),
0)</f>
        <v>0</v>
      </c>
      <c r="L53" s="170">
        <f t="array" ref="L53">IFERROR(
MEDIAN((IF(DATOS_[[Sexo]:[Sexo]]=$B53,IF(DATOS_[[AGRUP. CLAS. PROF.]:[AGRUP. CLAS. PROF.]]=$B51,IF(DATOS_[[Check Periodo Ref.]:[Check Periodo Ref.]]="Dentro",DATOS_[Conc.Sal.07]))))),
0)</f>
        <v>0</v>
      </c>
      <c r="M53" s="170">
        <f t="array" ref="M53">IFERROR(
MEDIAN((IF(DATOS_[[Sexo]:[Sexo]]=$B53,IF(DATOS_[[AGRUP. CLAS. PROF.]:[AGRUP. CLAS. PROF.]]=$B51,IF(DATOS_[[Check Periodo Ref.]:[Check Periodo Ref.]]="Dentro",DATOS_[Conc.Sal.08]))))),
0)</f>
        <v>0</v>
      </c>
      <c r="N53" s="170">
        <f t="array" ref="N53">IFERROR(
MEDIAN((IF(DATOS_[[Sexo]:[Sexo]]=$B53,IF(DATOS_[[AGRUP. CLAS. PROF.]:[AGRUP. CLAS. PROF.]]=$B51,IF(DATOS_[[Check Periodo Ref.]:[Check Periodo Ref.]]="Dentro",DATOS_[Conc.Sal.09]))))),
0)</f>
        <v>0</v>
      </c>
      <c r="O53" s="170">
        <f t="array" ref="O53">IFERROR(
MEDIAN((IF(DATOS_[[Sexo]:[Sexo]]=$B53,IF(DATOS_[[AGRUP. CLAS. PROF.]:[AGRUP. CLAS. PROF.]]=$B51,IF(DATOS_[[Check Periodo Ref.]:[Check Periodo Ref.]]="Dentro",DATOS_[Conc.Sal.10]))))),
0)</f>
        <v>0</v>
      </c>
      <c r="P53" s="170">
        <f t="array" ref="P53">IFERROR(
MEDIAN((IF(DATOS_[[Sexo]:[Sexo]]=$B53,IF(DATOS_[[AGRUP. CLAS. PROF.]:[AGRUP. CLAS. PROF.]]=$B51,IF(DATOS_[[Check Periodo Ref.]:[Check Periodo Ref.]]="Dentro",DATOS_[Conc.Sal.11]))))),
0)</f>
        <v>0</v>
      </c>
      <c r="Q53" s="170">
        <f t="array" ref="Q53">IFERROR(
MEDIAN((IF(DATOS_[[Sexo]:[Sexo]]=$B53,IF(DATOS_[[AGRUP. CLAS. PROF.]:[AGRUP. CLAS. PROF.]]=$B51,IF(DATOS_[[Check Periodo Ref.]:[Check Periodo Ref.]]="Dentro",DATOS_[Conc.Sal.12]))))),
0)</f>
        <v>0</v>
      </c>
      <c r="R53" s="170">
        <f t="array" ref="R53">IFERROR(
MEDIAN((IF(DATOS_[[Sexo]:[Sexo]]=$B53,IF(DATOS_[[AGRUP. CLAS. PROF.]:[AGRUP. CLAS. PROF.]]=$B51,IF(DATOS_[[Check Periodo Ref.]:[Check Periodo Ref.]]="Dentro",DATOS_[Conc.Sal.13]))))),
0)</f>
        <v>0</v>
      </c>
      <c r="S53" s="170">
        <f t="array" ref="S53">IFERROR(
MEDIAN((IF(DATOS_[[Sexo]:[Sexo]]=$B53,IF(DATOS_[[AGRUP. CLAS. PROF.]:[AGRUP. CLAS. PROF.]]=$B51,IF(DATOS_[[Check Periodo Ref.]:[Check Periodo Ref.]]="Dentro",DATOS_[Conc.Sal.14]))))),
0)</f>
        <v>0</v>
      </c>
      <c r="T53" s="170">
        <f t="array" ref="T53">IFERROR(
MEDIAN((IF(DATOS_[[Sexo]:[Sexo]]=$B53,IF(DATOS_[[AGRUP. CLAS. PROF.]:[AGRUP. CLAS. PROF.]]=$B51,IF(DATOS_[[Check Periodo Ref.]:[Check Periodo Ref.]]="Dentro",DATOS_[Conc.Sal.15]))))),
0)</f>
        <v>0</v>
      </c>
      <c r="U53" s="170">
        <f t="array" ref="U53">IFERROR(
MEDIAN((IF(DATOS_[[Sexo]:[Sexo]]=$B53,IF(DATOS_[[AGRUP. CLAS. PROF.]:[AGRUP. CLAS. PROF.]]=$B51,IF(DATOS_[[Check Periodo Ref.]:[Check Periodo Ref.]]="Dentro",DATOS_[Conc.Sal.16]))))),
0)</f>
        <v>0</v>
      </c>
      <c r="V53" s="170">
        <f t="array" ref="V53">IFERROR(
MEDIAN((IF(DATOS_[[Sexo]:[Sexo]]=$B53,IF(DATOS_[[AGRUP. CLAS. PROF.]:[AGRUP. CLAS. PROF.]]=$B51,IF(DATOS_[[Check Periodo Ref.]:[Check Periodo Ref.]]="Dentro",DATOS_[Conc.Sal.17]))))),
0)</f>
        <v>0</v>
      </c>
      <c r="W53" s="170">
        <f t="array" ref="W53">IFERROR(
MEDIAN((IF(DATOS_[[Sexo]:[Sexo]]=$B53,IF(DATOS_[[AGRUP. CLAS. PROF.]:[AGRUP. CLAS. PROF.]]=$B51,IF(DATOS_[[Check Periodo Ref.]:[Check Periodo Ref.]]="Dentro",DATOS_[Conc.Sal.18]))))),
0)</f>
        <v>0</v>
      </c>
      <c r="X53" s="170">
        <f t="array" ref="X53">IFERROR(
MEDIAN((IF(DATOS_[[Sexo]:[Sexo]]=$B53,IF(DATOS_[[AGRUP. CLAS. PROF.]:[AGRUP. CLAS. PROF.]]=$B51,IF(DATOS_[[Check Periodo Ref.]:[Check Periodo Ref.]]="Dentro",DATOS_[Conc.Sal.19]))))),
0)</f>
        <v>0</v>
      </c>
      <c r="Y53" s="170">
        <f t="array" ref="Y53">IFERROR(
MEDIAN((IF(DATOS_[[Sexo]:[Sexo]]=$B53,IF(DATOS_[[AGRUP. CLAS. PROF.]:[AGRUP. CLAS. PROF.]]=$B51,IF(DATOS_[[Check Periodo Ref.]:[Check Periodo Ref.]]="Dentro",DATOS_[Conc.Sal.20]))))),
0)</f>
        <v>0</v>
      </c>
      <c r="Z53" s="170">
        <f t="array" ref="Z53">IFERROR(
MEDIAN((IF(DATOS_[[Sexo]:[Sexo]]=$B53,IF(DATOS_[[AGRUP. CLAS. PROF.]:[AGRUP. CLAS. PROF.]]=$B51,IF(DATOS_[[Check Periodo Ref.]:[Check Periodo Ref.]]="Dentro",DATOS_[Conc.Sal.21]))))),
0)</f>
        <v>0</v>
      </c>
      <c r="AA53" s="170">
        <f t="array" ref="AA53">IFERROR(
MEDIAN((IF(DATOS_[[Sexo]:[Sexo]]=$B53,IF(DATOS_[[AGRUP. CLAS. PROF.]:[AGRUP. CLAS. PROF.]]=$B51,IF(DATOS_[[Check Periodo Ref.]:[Check Periodo Ref.]]="Dentro",DATOS_[Conc.Sal.22]))))),
0)</f>
        <v>0</v>
      </c>
      <c r="AB53" s="170">
        <f t="array" ref="AB53">IFERROR(
MEDIAN((IF(DATOS_[[Sexo]:[Sexo]]=$B53,IF(DATOS_[[AGRUP. CLAS. PROF.]:[AGRUP. CLAS. PROF.]]=$B51,IF(DATOS_[[Check Periodo Ref.]:[Check Periodo Ref.]]="Dentro",DATOS_[Conc.Sal.23]))))),
0)</f>
        <v>0</v>
      </c>
      <c r="AC53" s="170">
        <f t="array" ref="AC53">IFERROR(
MEDIAN((IF(DATOS_[[Sexo]:[Sexo]]=$B53,IF(DATOS_[[AGRUP. CLAS. PROF.]:[AGRUP. CLAS. PROF.]]=$B51,IF(DATOS_[[Check Periodo Ref.]:[Check Periodo Ref.]]="Dentro",DATOS_[Conc.Sal.24]))))),
0)</f>
        <v>0</v>
      </c>
      <c r="AD53" s="170">
        <f t="array" ref="AD53">IFERROR(
MEDIAN((IF(DATOS_[[Sexo]:[Sexo]]=$B53,IF(DATOS_[[AGRUP. CLAS. PROF.]:[AGRUP. CLAS. PROF.]]=$B51,IF(DATOS_[[Check Periodo Ref.]:[Check Periodo Ref.]]="Dentro",DATOS_[Conc.Sal.25]))))),
0)</f>
        <v>0</v>
      </c>
      <c r="AE53" s="170">
        <f t="array" ref="AE53">IFERROR(
MEDIAN((IF(DATOS_[[Sexo]:[Sexo]]=$B53,IF(DATOS_[[AGRUP. CLAS. PROF.]:[AGRUP. CLAS. PROF.]]=$B51,IF(DATOS_[[Check Periodo Ref.]:[Check Periodo Ref.]]="Dentro",DATOS_[Conc.Sal.26]))))),
0)</f>
        <v>0</v>
      </c>
      <c r="AF53" s="170">
        <f t="array" ref="AF53">IFERROR(
MEDIAN((IF(DATOS_[[Sexo]:[Sexo]]=$B53,IF(DATOS_[[AGRUP. CLAS. PROF.]:[AGRUP. CLAS. PROF.]]=$B51,IF(DATOS_[[Check Periodo Ref.]:[Check Periodo Ref.]]="Dentro",DATOS_[Conc.Sal.27]))))),
0)</f>
        <v>0</v>
      </c>
      <c r="AG53" s="170">
        <f t="array" ref="AG53">IFERROR(
MEDIAN((IF(DATOS_[[Sexo]:[Sexo]]=$B53,IF(DATOS_[[AGRUP. CLAS. PROF.]:[AGRUP. CLAS. PROF.]]=$B51,IF(DATOS_[[Check Periodo Ref.]:[Check Periodo Ref.]]="Dentro",DATOS_[Conc.Sal.28]))))),
0)</f>
        <v>0</v>
      </c>
      <c r="AH53" s="170">
        <f t="array" ref="AH53">IFERROR(
MEDIAN((IF(DATOS_[[Sexo]:[Sexo]]=$B53,IF(DATOS_[[AGRUP. CLAS. PROF.]:[AGRUP. CLAS. PROF.]]=$B51,IF(DATOS_[[Check Periodo Ref.]:[Check Periodo Ref.]]="Dentro",DATOS_[Conc.Sal.29]))))),
0)</f>
        <v>0</v>
      </c>
      <c r="AI53" s="170">
        <f t="array" ref="AI53">IFERROR(
MEDIAN((IF(DATOS_[[Sexo]:[Sexo]]=$B53,IF(DATOS_[[AGRUP. CLAS. PROF.]:[AGRUP. CLAS. PROF.]]=$B51,IF(DATOS_[[Check Periodo Ref.]:[Check Periodo Ref.]]="Dentro",DATOS_[Conc.Sal.30]))))),
0)</f>
        <v>0</v>
      </c>
      <c r="AJ53" s="171">
        <f t="array" ref="AJ53">IFERROR(
MEDIAN(IF(DATOS_[Sexo]=$B53,IF(DATOS_[AGRUP. CLAS. PROF.]=$B51,IF(DATOS_[Check Periodo Ref.]="Dentro",DATOS_[Tot COMPL.SAL Ef],FALSE)))),
0)</f>
        <v>0</v>
      </c>
      <c r="AK53" s="172">
        <f t="array" ref="AK53">IFERROR(
MEDIAN(IF(DATOS_[Sexo]=$B53,IF(DATOS_[AGRUP. CLAS. PROF.]=$B51,IF(DATOS_[Check Periodo Ref.]="Dentro",DATOS_[TOTAL SALARIO Ef],FALSE)))),
0)</f>
        <v>0</v>
      </c>
      <c r="AL53" s="173">
        <f t="array" ref="AL53">IFERROR(
MEDIAN((IF(DATOS_[[Sexo]:[Sexo]]=$B53,IF(DATOS_[[AGRUP. CLAS. PROF.]:[AGRUP. CLAS. PROF.]]=$B51,IF(DATOS_[[Check Periodo Ref.]:[Check Periodo Ref.]]="Dentro",DATOS_[C.Extra.01]))))),
0)</f>
        <v>0</v>
      </c>
      <c r="AM53" s="173">
        <f t="array" ref="AM53">IFERROR(
MEDIAN((IF(DATOS_[[Sexo]:[Sexo]]=$B53,IF(DATOS_[[AGRUP. CLAS. PROF.]:[AGRUP. CLAS. PROF.]]=$B51,IF(DATOS_[[Check Periodo Ref.]:[Check Periodo Ref.]]="Dentro",DATOS_[C.Extra.06]))))),
0)</f>
        <v>0</v>
      </c>
      <c r="AN53" s="173">
        <f t="array" ref="AN53">IFERROR(
MEDIAN((IF(DATOS_[[Sexo]:[Sexo]]=$B53,IF(DATOS_[[AGRUP. CLAS. PROF.]:[AGRUP. CLAS. PROF.]]=$B51,IF(DATOS_[[Check Periodo Ref.]:[Check Periodo Ref.]]="Dentro",DATOS_[C.Extra.07]))))),
0)</f>
        <v>0</v>
      </c>
      <c r="AO53" s="173">
        <f t="array" ref="AO53">IFERROR(
MEDIAN((IF(DATOS_[[Sexo]:[Sexo]]=$B53,IF(DATOS_[[AGRUP. CLAS. PROF.]:[AGRUP. CLAS. PROF.]]=$B51,IF(DATOS_[[Check Periodo Ref.]:[Check Periodo Ref.]]="Dentro",DATOS_[C.Extra.08]))))),
0)</f>
        <v>0</v>
      </c>
      <c r="AP53" s="173">
        <f t="array" ref="AP53">IFERROR(
MEDIAN((IF(DATOS_[[Sexo]:[Sexo]]=$B53,IF(DATOS_[[AGRUP. CLAS. PROF.]:[AGRUP. CLAS. PROF.]]=$B51,IF(DATOS_[[Check Periodo Ref.]:[Check Periodo Ref.]]="Dentro",DATOS_[C.Extra.11]))))),
0)</f>
        <v>0</v>
      </c>
      <c r="AQ53" s="174">
        <f t="array" ref="AQ53">IFERROR(
MEDIAN(IF(DATOS_[Sexo]=$B53,IF(DATOS_[AGRUP. CLAS. PROF.]=$B51,IF(DATOS_[Check Periodo Ref.]="Dentro",DATOS_[Tot Extrasalarial Ef],FALSE)))),
0)</f>
        <v>0</v>
      </c>
      <c r="AR53" s="171">
        <f t="array" ref="AR53">IFERROR(
MEDIAN(IF(DATOS_[Sexo]=$B53,IF(DATOS_[AGRUP. CLAS. PROF.]=$B51,IF(DATOS_[Check Periodo Ref.]="Dentro",DATOS_[TOTAL Retrib Ef],FALSE)))),
0)</f>
        <v>0</v>
      </c>
    </row>
    <row r="54" spans="1:44" ht="14.4" hidden="1" thickBot="1" x14ac:dyDescent="0.3">
      <c r="A54" s="178" t="str">
        <f t="shared" ref="A54" si="55">+A55</f>
        <v>[ocultar]</v>
      </c>
      <c r="B54" s="153" t="s">
        <v>229</v>
      </c>
      <c r="C54" s="154"/>
      <c r="D54" s="155"/>
      <c r="E54" s="156" t="str">
        <f t="shared" ref="E54:AR54" si="56">IFERROR((E55-E56)/E55,"")</f>
        <v/>
      </c>
      <c r="F54" s="157" t="str">
        <f t="shared" si="56"/>
        <v/>
      </c>
      <c r="G54" s="158" t="str">
        <f t="shared" si="56"/>
        <v/>
      </c>
      <c r="H54" s="158" t="str">
        <f t="shared" si="56"/>
        <v/>
      </c>
      <c r="I54" s="158" t="str">
        <f t="shared" si="56"/>
        <v/>
      </c>
      <c r="J54" s="159" t="str">
        <f t="shared" si="56"/>
        <v/>
      </c>
      <c r="K54" s="160" t="str">
        <f t="shared" si="56"/>
        <v/>
      </c>
      <c r="L54" s="160" t="str">
        <f t="shared" si="56"/>
        <v/>
      </c>
      <c r="M54" s="160" t="str">
        <f t="shared" si="56"/>
        <v/>
      </c>
      <c r="N54" s="160" t="str">
        <f t="shared" si="56"/>
        <v/>
      </c>
      <c r="O54" s="160" t="str">
        <f t="shared" si="56"/>
        <v/>
      </c>
      <c r="P54" s="160" t="str">
        <f t="shared" si="56"/>
        <v/>
      </c>
      <c r="Q54" s="160" t="str">
        <f t="shared" si="56"/>
        <v/>
      </c>
      <c r="R54" s="160" t="str">
        <f t="shared" si="56"/>
        <v/>
      </c>
      <c r="S54" s="160" t="str">
        <f t="shared" si="56"/>
        <v/>
      </c>
      <c r="T54" s="160" t="str">
        <f t="shared" si="56"/>
        <v/>
      </c>
      <c r="U54" s="160" t="str">
        <f t="shared" si="56"/>
        <v/>
      </c>
      <c r="V54" s="159" t="str">
        <f t="shared" si="56"/>
        <v/>
      </c>
      <c r="W54" s="159" t="str">
        <f t="shared" si="56"/>
        <v/>
      </c>
      <c r="X54" s="159" t="str">
        <f t="shared" si="56"/>
        <v/>
      </c>
      <c r="Y54" s="159" t="str">
        <f t="shared" si="56"/>
        <v/>
      </c>
      <c r="Z54" s="159" t="str">
        <f t="shared" si="56"/>
        <v/>
      </c>
      <c r="AA54" s="159" t="str">
        <f t="shared" si="56"/>
        <v/>
      </c>
      <c r="AB54" s="159" t="str">
        <f t="shared" si="56"/>
        <v/>
      </c>
      <c r="AC54" s="159" t="str">
        <f t="shared" si="56"/>
        <v/>
      </c>
      <c r="AD54" s="159" t="str">
        <f t="shared" si="56"/>
        <v/>
      </c>
      <c r="AE54" s="159" t="str">
        <f t="shared" si="56"/>
        <v/>
      </c>
      <c r="AF54" s="159" t="str">
        <f t="shared" si="56"/>
        <v/>
      </c>
      <c r="AG54" s="159" t="str">
        <f t="shared" si="56"/>
        <v/>
      </c>
      <c r="AH54" s="159" t="str">
        <f t="shared" si="56"/>
        <v/>
      </c>
      <c r="AI54" s="159" t="str">
        <f t="shared" si="56"/>
        <v/>
      </c>
      <c r="AJ54" s="161" t="str">
        <f t="shared" si="56"/>
        <v/>
      </c>
      <c r="AK54" s="162" t="str">
        <f t="shared" si="56"/>
        <v/>
      </c>
      <c r="AL54" s="163" t="str">
        <f t="shared" si="56"/>
        <v/>
      </c>
      <c r="AM54" s="163" t="str">
        <f t="shared" si="56"/>
        <v/>
      </c>
      <c r="AN54" s="163" t="str">
        <f t="shared" si="56"/>
        <v/>
      </c>
      <c r="AO54" s="163" t="str">
        <f t="shared" si="56"/>
        <v/>
      </c>
      <c r="AP54" s="163" t="str">
        <f t="shared" si="56"/>
        <v/>
      </c>
      <c r="AQ54" s="164" t="str">
        <f t="shared" si="56"/>
        <v/>
      </c>
      <c r="AR54" s="161" t="str">
        <f t="shared" si="56"/>
        <v/>
      </c>
    </row>
    <row r="55" spans="1:44" hidden="1" x14ac:dyDescent="0.25">
      <c r="A55" s="178" t="str">
        <f t="shared" ref="A55" si="57">+IF(C55+C56=0,"[ocultar]","")</f>
        <v>[ocultar]</v>
      </c>
      <c r="B55" s="166" t="s">
        <v>394</v>
      </c>
      <c r="C55" s="167">
        <f t="array" ref="C55">SUM(IF($B55=DATOS_[Sexo],
IF($B54=DATOS_[AGRUP. CLAS. PROF.],
IF("Dentro"=DATOS_[Check Periodo Ref.],
1/(COUNTIFS(DATOS_[Sexo],$B55,DATOS_[AGRUP. CLAS. PROF.],$B54,DATOS_[Check Periodo Ref.],"Dentro",DATOS_[id/cod],DATOS_[id/cod]))))))</f>
        <v>0</v>
      </c>
      <c r="D55" s="168">
        <f>COUNTIFS(DATOS_[AGRUP. CLAS. PROF.],$B54,DATOS_[Sexo],$B55,DATOS_[Check Periodo Ref.],"Dentro")</f>
        <v>0</v>
      </c>
      <c r="E55" s="169">
        <f t="array" ref="E55">IFERROR(
MEDIAN(IF(DATOS_[Sexo]=$B55,IF(DATOS_[AGRUP. CLAS. PROF.]=$B54,IF(DATOS_[Check Periodo Ref.]="Dentro",DATOS_[SALARIO BASE Ef],FALSE)))),
0)</f>
        <v>0</v>
      </c>
      <c r="F55" s="170">
        <f t="array" ref="F55">IFERROR(
MEDIAN((IF(DATOS_[[Sexo]:[Sexo]]=$B55,IF(DATOS_[[AGRUP. CLAS. PROF.]:[AGRUP. CLAS. PROF.]]=$B54,IF(DATOS_[[Check Periodo Ref.]:[Check Periodo Ref.]]="Dentro",DATOS_[Conc.Sal.01]))))),
0)</f>
        <v>0</v>
      </c>
      <c r="G55" s="170">
        <f t="array" ref="G55">IFERROR(
MEDIAN((IF(DATOS_[[Sexo]:[Sexo]]=$B55,IF(DATOS_[[AGRUP. CLAS. PROF.]:[AGRUP. CLAS. PROF.]]=$B54,IF(DATOS_[[Check Periodo Ref.]:[Check Periodo Ref.]]="Dentro",DATOS_[Conc.Sal.02]))))),
0)</f>
        <v>0</v>
      </c>
      <c r="H55" s="170">
        <f t="array" ref="H55">IFERROR(
MEDIAN((IF(DATOS_[[Sexo]:[Sexo]]=$B55,IF(DATOS_[[AGRUP. CLAS. PROF.]:[AGRUP. CLAS. PROF.]]=$B54,IF(DATOS_[[Check Periodo Ref.]:[Check Periodo Ref.]]="Dentro",DATOS_[Conc.Sal.03]))))),
0)</f>
        <v>0</v>
      </c>
      <c r="I55" s="170">
        <f t="array" ref="I55">IFERROR(
MEDIAN((IF(DATOS_[[Sexo]:[Sexo]]=$B55,IF(DATOS_[[AGRUP. CLAS. PROF.]:[AGRUP. CLAS. PROF.]]=$B54,IF(DATOS_[[Check Periodo Ref.]:[Check Periodo Ref.]]="Dentro",DATOS_[Conc.Sal.04]))))),
0)</f>
        <v>0</v>
      </c>
      <c r="J55" s="170">
        <f t="array" ref="J55">IFERROR(
MEDIAN((IF(DATOS_[[Sexo]:[Sexo]]=$B55,IF(DATOS_[[AGRUP. CLAS. PROF.]:[AGRUP. CLAS. PROF.]]=$B54,IF(DATOS_[[Check Periodo Ref.]:[Check Periodo Ref.]]="Dentro",DATOS_[Conc.Sal.05]))))),
0)</f>
        <v>0</v>
      </c>
      <c r="K55" s="170">
        <f t="array" ref="K55">IFERROR(
MEDIAN((IF(DATOS_[[Sexo]:[Sexo]]=$B55,IF(DATOS_[[AGRUP. CLAS. PROF.]:[AGRUP. CLAS. PROF.]]=$B54,IF(DATOS_[[Check Periodo Ref.]:[Check Periodo Ref.]]="Dentro",DATOS_[Conc.Sal.06]))))),
0)</f>
        <v>0</v>
      </c>
      <c r="L55" s="170">
        <f t="array" ref="L55">IFERROR(
MEDIAN((IF(DATOS_[[Sexo]:[Sexo]]=$B55,IF(DATOS_[[AGRUP. CLAS. PROF.]:[AGRUP. CLAS. PROF.]]=$B54,IF(DATOS_[[Check Periodo Ref.]:[Check Periodo Ref.]]="Dentro",DATOS_[Conc.Sal.07]))))),
0)</f>
        <v>0</v>
      </c>
      <c r="M55" s="170">
        <f t="array" ref="M55">IFERROR(
MEDIAN((IF(DATOS_[[Sexo]:[Sexo]]=$B55,IF(DATOS_[[AGRUP. CLAS. PROF.]:[AGRUP. CLAS. PROF.]]=$B54,IF(DATOS_[[Check Periodo Ref.]:[Check Periodo Ref.]]="Dentro",DATOS_[Conc.Sal.08]))))),
0)</f>
        <v>0</v>
      </c>
      <c r="N55" s="170">
        <f t="array" ref="N55">IFERROR(
MEDIAN((IF(DATOS_[[Sexo]:[Sexo]]=$B55,IF(DATOS_[[AGRUP. CLAS. PROF.]:[AGRUP. CLAS. PROF.]]=$B54,IF(DATOS_[[Check Periodo Ref.]:[Check Periodo Ref.]]="Dentro",DATOS_[Conc.Sal.09]))))),
0)</f>
        <v>0</v>
      </c>
      <c r="O55" s="170">
        <f t="array" ref="O55">IFERROR(
MEDIAN((IF(DATOS_[[Sexo]:[Sexo]]=$B55,IF(DATOS_[[AGRUP. CLAS. PROF.]:[AGRUP. CLAS. PROF.]]=$B54,IF(DATOS_[[Check Periodo Ref.]:[Check Periodo Ref.]]="Dentro",DATOS_[Conc.Sal.10]))))),
0)</f>
        <v>0</v>
      </c>
      <c r="P55" s="170">
        <f t="array" ref="P55">IFERROR(
MEDIAN((IF(DATOS_[[Sexo]:[Sexo]]=$B55,IF(DATOS_[[AGRUP. CLAS. PROF.]:[AGRUP. CLAS. PROF.]]=$B54,IF(DATOS_[[Check Periodo Ref.]:[Check Periodo Ref.]]="Dentro",DATOS_[Conc.Sal.11]))))),
0)</f>
        <v>0</v>
      </c>
      <c r="Q55" s="170">
        <f t="array" ref="Q55">IFERROR(
MEDIAN((IF(DATOS_[[Sexo]:[Sexo]]=$B55,IF(DATOS_[[AGRUP. CLAS. PROF.]:[AGRUP. CLAS. PROF.]]=$B54,IF(DATOS_[[Check Periodo Ref.]:[Check Periodo Ref.]]="Dentro",DATOS_[Conc.Sal.12]))))),
0)</f>
        <v>0</v>
      </c>
      <c r="R55" s="170">
        <f t="array" ref="R55">IFERROR(
MEDIAN((IF(DATOS_[[Sexo]:[Sexo]]=$B55,IF(DATOS_[[AGRUP. CLAS. PROF.]:[AGRUP. CLAS. PROF.]]=$B54,IF(DATOS_[[Check Periodo Ref.]:[Check Periodo Ref.]]="Dentro",DATOS_[Conc.Sal.13]))))),
0)</f>
        <v>0</v>
      </c>
      <c r="S55" s="170">
        <f t="array" ref="S55">IFERROR(
MEDIAN((IF(DATOS_[[Sexo]:[Sexo]]=$B55,IF(DATOS_[[AGRUP. CLAS. PROF.]:[AGRUP. CLAS. PROF.]]=$B54,IF(DATOS_[[Check Periodo Ref.]:[Check Periodo Ref.]]="Dentro",DATOS_[Conc.Sal.14]))))),
0)</f>
        <v>0</v>
      </c>
      <c r="T55" s="170">
        <f t="array" ref="T55">IFERROR(
MEDIAN((IF(DATOS_[[Sexo]:[Sexo]]=$B55,IF(DATOS_[[AGRUP. CLAS. PROF.]:[AGRUP. CLAS. PROF.]]=$B54,IF(DATOS_[[Check Periodo Ref.]:[Check Periodo Ref.]]="Dentro",DATOS_[Conc.Sal.15]))))),
0)</f>
        <v>0</v>
      </c>
      <c r="U55" s="170">
        <f t="array" ref="U55">IFERROR(
MEDIAN((IF(DATOS_[[Sexo]:[Sexo]]=$B55,IF(DATOS_[[AGRUP. CLAS. PROF.]:[AGRUP. CLAS. PROF.]]=$B54,IF(DATOS_[[Check Periodo Ref.]:[Check Periodo Ref.]]="Dentro",DATOS_[Conc.Sal.16]))))),
0)</f>
        <v>0</v>
      </c>
      <c r="V55" s="170">
        <f t="array" ref="V55">IFERROR(
MEDIAN((IF(DATOS_[[Sexo]:[Sexo]]=$B55,IF(DATOS_[[AGRUP. CLAS. PROF.]:[AGRUP. CLAS. PROF.]]=$B54,IF(DATOS_[[Check Periodo Ref.]:[Check Periodo Ref.]]="Dentro",DATOS_[Conc.Sal.17]))))),
0)</f>
        <v>0</v>
      </c>
      <c r="W55" s="170">
        <f t="array" ref="W55">IFERROR(
MEDIAN((IF(DATOS_[[Sexo]:[Sexo]]=$B55,IF(DATOS_[[AGRUP. CLAS. PROF.]:[AGRUP. CLAS. PROF.]]=$B54,IF(DATOS_[[Check Periodo Ref.]:[Check Periodo Ref.]]="Dentro",DATOS_[Conc.Sal.18]))))),
0)</f>
        <v>0</v>
      </c>
      <c r="X55" s="170">
        <f t="array" ref="X55">IFERROR(
MEDIAN((IF(DATOS_[[Sexo]:[Sexo]]=$B55,IF(DATOS_[[AGRUP. CLAS. PROF.]:[AGRUP. CLAS. PROF.]]=$B54,IF(DATOS_[[Check Periodo Ref.]:[Check Periodo Ref.]]="Dentro",DATOS_[Conc.Sal.19]))))),
0)</f>
        <v>0</v>
      </c>
      <c r="Y55" s="170">
        <f t="array" ref="Y55">IFERROR(
MEDIAN((IF(DATOS_[[Sexo]:[Sexo]]=$B55,IF(DATOS_[[AGRUP. CLAS. PROF.]:[AGRUP. CLAS. PROF.]]=$B54,IF(DATOS_[[Check Periodo Ref.]:[Check Periodo Ref.]]="Dentro",DATOS_[Conc.Sal.20]))))),
0)</f>
        <v>0</v>
      </c>
      <c r="Z55" s="170">
        <f t="array" ref="Z55">IFERROR(
MEDIAN((IF(DATOS_[[Sexo]:[Sexo]]=$B55,IF(DATOS_[[AGRUP. CLAS. PROF.]:[AGRUP. CLAS. PROF.]]=$B54,IF(DATOS_[[Check Periodo Ref.]:[Check Periodo Ref.]]="Dentro",DATOS_[Conc.Sal.21]))))),
0)</f>
        <v>0</v>
      </c>
      <c r="AA55" s="170">
        <f t="array" ref="AA55">IFERROR(
MEDIAN((IF(DATOS_[[Sexo]:[Sexo]]=$B55,IF(DATOS_[[AGRUP. CLAS. PROF.]:[AGRUP. CLAS. PROF.]]=$B54,IF(DATOS_[[Check Periodo Ref.]:[Check Periodo Ref.]]="Dentro",DATOS_[Conc.Sal.22]))))),
0)</f>
        <v>0</v>
      </c>
      <c r="AB55" s="170">
        <f t="array" ref="AB55">IFERROR(
MEDIAN((IF(DATOS_[[Sexo]:[Sexo]]=$B55,IF(DATOS_[[AGRUP. CLAS. PROF.]:[AGRUP. CLAS. PROF.]]=$B54,IF(DATOS_[[Check Periodo Ref.]:[Check Periodo Ref.]]="Dentro",DATOS_[Conc.Sal.23]))))),
0)</f>
        <v>0</v>
      </c>
      <c r="AC55" s="170">
        <f t="array" ref="AC55">IFERROR(
MEDIAN((IF(DATOS_[[Sexo]:[Sexo]]=$B55,IF(DATOS_[[AGRUP. CLAS. PROF.]:[AGRUP. CLAS. PROF.]]=$B54,IF(DATOS_[[Check Periodo Ref.]:[Check Periodo Ref.]]="Dentro",DATOS_[Conc.Sal.24]))))),
0)</f>
        <v>0</v>
      </c>
      <c r="AD55" s="170">
        <f t="array" ref="AD55">IFERROR(
MEDIAN((IF(DATOS_[[Sexo]:[Sexo]]=$B55,IF(DATOS_[[AGRUP. CLAS. PROF.]:[AGRUP. CLAS. PROF.]]=$B54,IF(DATOS_[[Check Periodo Ref.]:[Check Periodo Ref.]]="Dentro",DATOS_[Conc.Sal.25]))))),
0)</f>
        <v>0</v>
      </c>
      <c r="AE55" s="170">
        <f t="array" ref="AE55">IFERROR(
MEDIAN((IF(DATOS_[[Sexo]:[Sexo]]=$B55,IF(DATOS_[[AGRUP. CLAS. PROF.]:[AGRUP. CLAS. PROF.]]=$B54,IF(DATOS_[[Check Periodo Ref.]:[Check Periodo Ref.]]="Dentro",DATOS_[Conc.Sal.26]))))),
0)</f>
        <v>0</v>
      </c>
      <c r="AF55" s="170">
        <f t="array" ref="AF55">IFERROR(
MEDIAN((IF(DATOS_[[Sexo]:[Sexo]]=$B55,IF(DATOS_[[AGRUP. CLAS. PROF.]:[AGRUP. CLAS. PROF.]]=$B54,IF(DATOS_[[Check Periodo Ref.]:[Check Periodo Ref.]]="Dentro",DATOS_[Conc.Sal.27]))))),
0)</f>
        <v>0</v>
      </c>
      <c r="AG55" s="170">
        <f t="array" ref="AG55">IFERROR(
MEDIAN((IF(DATOS_[[Sexo]:[Sexo]]=$B55,IF(DATOS_[[AGRUP. CLAS. PROF.]:[AGRUP. CLAS. PROF.]]=$B54,IF(DATOS_[[Check Periodo Ref.]:[Check Periodo Ref.]]="Dentro",DATOS_[Conc.Sal.28]))))),
0)</f>
        <v>0</v>
      </c>
      <c r="AH55" s="170">
        <f t="array" ref="AH55">IFERROR(
MEDIAN((IF(DATOS_[[Sexo]:[Sexo]]=$B55,IF(DATOS_[[AGRUP. CLAS. PROF.]:[AGRUP. CLAS. PROF.]]=$B54,IF(DATOS_[[Check Periodo Ref.]:[Check Periodo Ref.]]="Dentro",DATOS_[Conc.Sal.29]))))),
0)</f>
        <v>0</v>
      </c>
      <c r="AI55" s="170">
        <f t="array" ref="AI55">IFERROR(
MEDIAN((IF(DATOS_[[Sexo]:[Sexo]]=$B55,IF(DATOS_[[AGRUP. CLAS. PROF.]:[AGRUP. CLAS. PROF.]]=$B54,IF(DATOS_[[Check Periodo Ref.]:[Check Periodo Ref.]]="Dentro",DATOS_[Conc.Sal.30]))))),
0)</f>
        <v>0</v>
      </c>
      <c r="AJ55" s="171">
        <f t="array" ref="AJ55">IFERROR(
MEDIAN(IF(DATOS_[Sexo]=$B55,IF(DATOS_[AGRUP. CLAS. PROF.]=$B54,IF(DATOS_[Check Periodo Ref.]="Dentro",DATOS_[Tot COMPL.SAL Ef],FALSE)))),
0)</f>
        <v>0</v>
      </c>
      <c r="AK55" s="172">
        <f t="array" ref="AK55">IFERROR(
MEDIAN(IF(DATOS_[Sexo]=$B55,IF(DATOS_[AGRUP. CLAS. PROF.]=$B54,IF(DATOS_[Check Periodo Ref.]="Dentro",DATOS_[TOTAL SALARIO Ef],FALSE)))),
0)</f>
        <v>0</v>
      </c>
      <c r="AL55" s="173">
        <f t="array" ref="AL55">IFERROR(
MEDIAN((IF(DATOS_[[Sexo]:[Sexo]]=$B55,IF(DATOS_[[AGRUP. CLAS. PROF.]:[AGRUP. CLAS. PROF.]]=$B54,IF(DATOS_[[Check Periodo Ref.]:[Check Periodo Ref.]]="Dentro",DATOS_[C.Extra.01]))))),
0)</f>
        <v>0</v>
      </c>
      <c r="AM55" s="173">
        <f t="array" ref="AM55">IFERROR(
MEDIAN((IF(DATOS_[[Sexo]:[Sexo]]=$B55,IF(DATOS_[[AGRUP. CLAS. PROF.]:[AGRUP. CLAS. PROF.]]=$B54,IF(DATOS_[[Check Periodo Ref.]:[Check Periodo Ref.]]="Dentro",DATOS_[C.Extra.06]))))),
0)</f>
        <v>0</v>
      </c>
      <c r="AN55" s="173">
        <f t="array" ref="AN55">IFERROR(
MEDIAN((IF(DATOS_[[Sexo]:[Sexo]]=$B55,IF(DATOS_[[AGRUP. CLAS. PROF.]:[AGRUP. CLAS. PROF.]]=$B54,IF(DATOS_[[Check Periodo Ref.]:[Check Periodo Ref.]]="Dentro",DATOS_[C.Extra.07]))))),
0)</f>
        <v>0</v>
      </c>
      <c r="AO55" s="173">
        <f t="array" ref="AO55">IFERROR(
MEDIAN((IF(DATOS_[[Sexo]:[Sexo]]=$B55,IF(DATOS_[[AGRUP. CLAS. PROF.]:[AGRUP. CLAS. PROF.]]=$B54,IF(DATOS_[[Check Periodo Ref.]:[Check Periodo Ref.]]="Dentro",DATOS_[C.Extra.08]))))),
0)</f>
        <v>0</v>
      </c>
      <c r="AP55" s="173">
        <f t="array" ref="AP55">IFERROR(
MEDIAN((IF(DATOS_[[Sexo]:[Sexo]]=$B55,IF(DATOS_[[AGRUP. CLAS. PROF.]:[AGRUP. CLAS. PROF.]]=$B54,IF(DATOS_[[Check Periodo Ref.]:[Check Periodo Ref.]]="Dentro",DATOS_[C.Extra.11]))))),
0)</f>
        <v>0</v>
      </c>
      <c r="AQ55" s="174">
        <f t="array" ref="AQ55">IFERROR(
MEDIAN(IF(DATOS_[Sexo]=$B55,IF(DATOS_[AGRUP. CLAS. PROF.]=$B54,IF(DATOS_[Check Periodo Ref.]="Dentro",DATOS_[Tot Extrasalarial Ef],FALSE)))),
0)</f>
        <v>0</v>
      </c>
      <c r="AR55" s="171">
        <f t="array" ref="AR55">IFERROR(
MEDIAN(IF(DATOS_[Sexo]=$B55,IF(DATOS_[AGRUP. CLAS. PROF.]=$B54,IF(DATOS_[Check Periodo Ref.]="Dentro",DATOS_[TOTAL Retrib Ef],FALSE)))),
0)</f>
        <v>0</v>
      </c>
    </row>
    <row r="56" spans="1:44" hidden="1" x14ac:dyDescent="0.25">
      <c r="A56" s="178" t="str">
        <f t="shared" ref="A56" si="58">+A55</f>
        <v>[ocultar]</v>
      </c>
      <c r="B56" s="166" t="s">
        <v>521</v>
      </c>
      <c r="C56" s="167">
        <f t="array" ref="C56">SUM(IF($B56=DATOS_[Sexo],
IF($B54=DATOS_[AGRUP. CLAS. PROF.],
IF("Dentro"=DATOS_[Check Periodo Ref.],
1/(COUNTIFS(DATOS_[Sexo],$B56,DATOS_[AGRUP. CLAS. PROF.],$B54,DATOS_[Check Periodo Ref.],"Dentro",DATOS_[id/cod],DATOS_[id/cod]))))))</f>
        <v>0</v>
      </c>
      <c r="D56" s="168">
        <f>COUNTIFS(DATOS_[AGRUP. CLAS. PROF.],$B54,DATOS_[Sexo],$B56,DATOS_[Check Periodo Ref.],"Dentro")</f>
        <v>0</v>
      </c>
      <c r="E56" s="169">
        <f t="array" ref="E56">IFERROR(
MEDIAN(IF(DATOS_[Sexo]=$B56,IF(DATOS_[AGRUP. CLAS. PROF.]=$B54,IF(DATOS_[Check Periodo Ref.]="Dentro",DATOS_[SALARIO BASE Ef],FALSE)))),
0)</f>
        <v>0</v>
      </c>
      <c r="F56" s="170">
        <f t="array" ref="F56">IFERROR(
MEDIAN((IF(DATOS_[[Sexo]:[Sexo]]=$B56,IF(DATOS_[[AGRUP. CLAS. PROF.]:[AGRUP. CLAS. PROF.]]=$B54,IF(DATOS_[[Check Periodo Ref.]:[Check Periodo Ref.]]="Dentro",DATOS_[Conc.Sal.01]))))),
0)</f>
        <v>0</v>
      </c>
      <c r="G56" s="170">
        <f t="array" ref="G56">IFERROR(
MEDIAN((IF(DATOS_[[Sexo]:[Sexo]]=$B56,IF(DATOS_[[AGRUP. CLAS. PROF.]:[AGRUP. CLAS. PROF.]]=$B54,IF(DATOS_[[Check Periodo Ref.]:[Check Periodo Ref.]]="Dentro",DATOS_[Conc.Sal.02]))))),
0)</f>
        <v>0</v>
      </c>
      <c r="H56" s="170">
        <f t="array" ref="H56">IFERROR(
MEDIAN((IF(DATOS_[[Sexo]:[Sexo]]=$B56,IF(DATOS_[[AGRUP. CLAS. PROF.]:[AGRUP. CLAS. PROF.]]=$B54,IF(DATOS_[[Check Periodo Ref.]:[Check Periodo Ref.]]="Dentro",DATOS_[Conc.Sal.03]))))),
0)</f>
        <v>0</v>
      </c>
      <c r="I56" s="170">
        <f t="array" ref="I56">IFERROR(
MEDIAN((IF(DATOS_[[Sexo]:[Sexo]]=$B56,IF(DATOS_[[AGRUP. CLAS. PROF.]:[AGRUP. CLAS. PROF.]]=$B54,IF(DATOS_[[Check Periodo Ref.]:[Check Periodo Ref.]]="Dentro",DATOS_[Conc.Sal.04]))))),
0)</f>
        <v>0</v>
      </c>
      <c r="J56" s="170">
        <f t="array" ref="J56">IFERROR(
MEDIAN((IF(DATOS_[[Sexo]:[Sexo]]=$B56,IF(DATOS_[[AGRUP. CLAS. PROF.]:[AGRUP. CLAS. PROF.]]=$B54,IF(DATOS_[[Check Periodo Ref.]:[Check Periodo Ref.]]="Dentro",DATOS_[Conc.Sal.05]))))),
0)</f>
        <v>0</v>
      </c>
      <c r="K56" s="170">
        <f t="array" ref="K56">IFERROR(
MEDIAN((IF(DATOS_[[Sexo]:[Sexo]]=$B56,IF(DATOS_[[AGRUP. CLAS. PROF.]:[AGRUP. CLAS. PROF.]]=$B54,IF(DATOS_[[Check Periodo Ref.]:[Check Periodo Ref.]]="Dentro",DATOS_[Conc.Sal.06]))))),
0)</f>
        <v>0</v>
      </c>
      <c r="L56" s="170">
        <f t="array" ref="L56">IFERROR(
MEDIAN((IF(DATOS_[[Sexo]:[Sexo]]=$B56,IF(DATOS_[[AGRUP. CLAS. PROF.]:[AGRUP. CLAS. PROF.]]=$B54,IF(DATOS_[[Check Periodo Ref.]:[Check Periodo Ref.]]="Dentro",DATOS_[Conc.Sal.07]))))),
0)</f>
        <v>0</v>
      </c>
      <c r="M56" s="170">
        <f t="array" ref="M56">IFERROR(
MEDIAN((IF(DATOS_[[Sexo]:[Sexo]]=$B56,IF(DATOS_[[AGRUP. CLAS. PROF.]:[AGRUP. CLAS. PROF.]]=$B54,IF(DATOS_[[Check Periodo Ref.]:[Check Periodo Ref.]]="Dentro",DATOS_[Conc.Sal.08]))))),
0)</f>
        <v>0</v>
      </c>
      <c r="N56" s="170">
        <f t="array" ref="N56">IFERROR(
MEDIAN((IF(DATOS_[[Sexo]:[Sexo]]=$B56,IF(DATOS_[[AGRUP. CLAS. PROF.]:[AGRUP. CLAS. PROF.]]=$B54,IF(DATOS_[[Check Periodo Ref.]:[Check Periodo Ref.]]="Dentro",DATOS_[Conc.Sal.09]))))),
0)</f>
        <v>0</v>
      </c>
      <c r="O56" s="170">
        <f t="array" ref="O56">IFERROR(
MEDIAN((IF(DATOS_[[Sexo]:[Sexo]]=$B56,IF(DATOS_[[AGRUP. CLAS. PROF.]:[AGRUP. CLAS. PROF.]]=$B54,IF(DATOS_[[Check Periodo Ref.]:[Check Periodo Ref.]]="Dentro",DATOS_[Conc.Sal.10]))))),
0)</f>
        <v>0</v>
      </c>
      <c r="P56" s="170">
        <f t="array" ref="P56">IFERROR(
MEDIAN((IF(DATOS_[[Sexo]:[Sexo]]=$B56,IF(DATOS_[[AGRUP. CLAS. PROF.]:[AGRUP. CLAS. PROF.]]=$B54,IF(DATOS_[[Check Periodo Ref.]:[Check Periodo Ref.]]="Dentro",DATOS_[Conc.Sal.11]))))),
0)</f>
        <v>0</v>
      </c>
      <c r="Q56" s="170">
        <f t="array" ref="Q56">IFERROR(
MEDIAN((IF(DATOS_[[Sexo]:[Sexo]]=$B56,IF(DATOS_[[AGRUP. CLAS. PROF.]:[AGRUP. CLAS. PROF.]]=$B54,IF(DATOS_[[Check Periodo Ref.]:[Check Periodo Ref.]]="Dentro",DATOS_[Conc.Sal.12]))))),
0)</f>
        <v>0</v>
      </c>
      <c r="R56" s="170">
        <f t="array" ref="R56">IFERROR(
MEDIAN((IF(DATOS_[[Sexo]:[Sexo]]=$B56,IF(DATOS_[[AGRUP. CLAS. PROF.]:[AGRUP. CLAS. PROF.]]=$B54,IF(DATOS_[[Check Periodo Ref.]:[Check Periodo Ref.]]="Dentro",DATOS_[Conc.Sal.13]))))),
0)</f>
        <v>0</v>
      </c>
      <c r="S56" s="170">
        <f t="array" ref="S56">IFERROR(
MEDIAN((IF(DATOS_[[Sexo]:[Sexo]]=$B56,IF(DATOS_[[AGRUP. CLAS. PROF.]:[AGRUP. CLAS. PROF.]]=$B54,IF(DATOS_[[Check Periodo Ref.]:[Check Periodo Ref.]]="Dentro",DATOS_[Conc.Sal.14]))))),
0)</f>
        <v>0</v>
      </c>
      <c r="T56" s="170">
        <f t="array" ref="T56">IFERROR(
MEDIAN((IF(DATOS_[[Sexo]:[Sexo]]=$B56,IF(DATOS_[[AGRUP. CLAS. PROF.]:[AGRUP. CLAS. PROF.]]=$B54,IF(DATOS_[[Check Periodo Ref.]:[Check Periodo Ref.]]="Dentro",DATOS_[Conc.Sal.15]))))),
0)</f>
        <v>0</v>
      </c>
      <c r="U56" s="170">
        <f t="array" ref="U56">IFERROR(
MEDIAN((IF(DATOS_[[Sexo]:[Sexo]]=$B56,IF(DATOS_[[AGRUP. CLAS. PROF.]:[AGRUP. CLAS. PROF.]]=$B54,IF(DATOS_[[Check Periodo Ref.]:[Check Periodo Ref.]]="Dentro",DATOS_[Conc.Sal.16]))))),
0)</f>
        <v>0</v>
      </c>
      <c r="V56" s="170">
        <f t="array" ref="V56">IFERROR(
MEDIAN((IF(DATOS_[[Sexo]:[Sexo]]=$B56,IF(DATOS_[[AGRUP. CLAS. PROF.]:[AGRUP. CLAS. PROF.]]=$B54,IF(DATOS_[[Check Periodo Ref.]:[Check Periodo Ref.]]="Dentro",DATOS_[Conc.Sal.17]))))),
0)</f>
        <v>0</v>
      </c>
      <c r="W56" s="170">
        <f t="array" ref="W56">IFERROR(
MEDIAN((IF(DATOS_[[Sexo]:[Sexo]]=$B56,IF(DATOS_[[AGRUP. CLAS. PROF.]:[AGRUP. CLAS. PROF.]]=$B54,IF(DATOS_[[Check Periodo Ref.]:[Check Periodo Ref.]]="Dentro",DATOS_[Conc.Sal.18]))))),
0)</f>
        <v>0</v>
      </c>
      <c r="X56" s="170">
        <f t="array" ref="X56">IFERROR(
MEDIAN((IF(DATOS_[[Sexo]:[Sexo]]=$B56,IF(DATOS_[[AGRUP. CLAS. PROF.]:[AGRUP. CLAS. PROF.]]=$B54,IF(DATOS_[[Check Periodo Ref.]:[Check Periodo Ref.]]="Dentro",DATOS_[Conc.Sal.19]))))),
0)</f>
        <v>0</v>
      </c>
      <c r="Y56" s="170">
        <f t="array" ref="Y56">IFERROR(
MEDIAN((IF(DATOS_[[Sexo]:[Sexo]]=$B56,IF(DATOS_[[AGRUP. CLAS. PROF.]:[AGRUP. CLAS. PROF.]]=$B54,IF(DATOS_[[Check Periodo Ref.]:[Check Periodo Ref.]]="Dentro",DATOS_[Conc.Sal.20]))))),
0)</f>
        <v>0</v>
      </c>
      <c r="Z56" s="170">
        <f t="array" ref="Z56">IFERROR(
MEDIAN((IF(DATOS_[[Sexo]:[Sexo]]=$B56,IF(DATOS_[[AGRUP. CLAS. PROF.]:[AGRUP. CLAS. PROF.]]=$B54,IF(DATOS_[[Check Periodo Ref.]:[Check Periodo Ref.]]="Dentro",DATOS_[Conc.Sal.21]))))),
0)</f>
        <v>0</v>
      </c>
      <c r="AA56" s="170">
        <f t="array" ref="AA56">IFERROR(
MEDIAN((IF(DATOS_[[Sexo]:[Sexo]]=$B56,IF(DATOS_[[AGRUP. CLAS. PROF.]:[AGRUP. CLAS. PROF.]]=$B54,IF(DATOS_[[Check Periodo Ref.]:[Check Periodo Ref.]]="Dentro",DATOS_[Conc.Sal.22]))))),
0)</f>
        <v>0</v>
      </c>
      <c r="AB56" s="170">
        <f t="array" ref="AB56">IFERROR(
MEDIAN((IF(DATOS_[[Sexo]:[Sexo]]=$B56,IF(DATOS_[[AGRUP. CLAS. PROF.]:[AGRUP. CLAS. PROF.]]=$B54,IF(DATOS_[[Check Periodo Ref.]:[Check Periodo Ref.]]="Dentro",DATOS_[Conc.Sal.23]))))),
0)</f>
        <v>0</v>
      </c>
      <c r="AC56" s="170">
        <f t="array" ref="AC56">IFERROR(
MEDIAN((IF(DATOS_[[Sexo]:[Sexo]]=$B56,IF(DATOS_[[AGRUP. CLAS. PROF.]:[AGRUP. CLAS. PROF.]]=$B54,IF(DATOS_[[Check Periodo Ref.]:[Check Periodo Ref.]]="Dentro",DATOS_[Conc.Sal.24]))))),
0)</f>
        <v>0</v>
      </c>
      <c r="AD56" s="170">
        <f t="array" ref="AD56">IFERROR(
MEDIAN((IF(DATOS_[[Sexo]:[Sexo]]=$B56,IF(DATOS_[[AGRUP. CLAS. PROF.]:[AGRUP. CLAS. PROF.]]=$B54,IF(DATOS_[[Check Periodo Ref.]:[Check Periodo Ref.]]="Dentro",DATOS_[Conc.Sal.25]))))),
0)</f>
        <v>0</v>
      </c>
      <c r="AE56" s="170">
        <f t="array" ref="AE56">IFERROR(
MEDIAN((IF(DATOS_[[Sexo]:[Sexo]]=$B56,IF(DATOS_[[AGRUP. CLAS. PROF.]:[AGRUP. CLAS. PROF.]]=$B54,IF(DATOS_[[Check Periodo Ref.]:[Check Periodo Ref.]]="Dentro",DATOS_[Conc.Sal.26]))))),
0)</f>
        <v>0</v>
      </c>
      <c r="AF56" s="170">
        <f t="array" ref="AF56">IFERROR(
MEDIAN((IF(DATOS_[[Sexo]:[Sexo]]=$B56,IF(DATOS_[[AGRUP. CLAS. PROF.]:[AGRUP. CLAS. PROF.]]=$B54,IF(DATOS_[[Check Periodo Ref.]:[Check Periodo Ref.]]="Dentro",DATOS_[Conc.Sal.27]))))),
0)</f>
        <v>0</v>
      </c>
      <c r="AG56" s="170">
        <f t="array" ref="AG56">IFERROR(
MEDIAN((IF(DATOS_[[Sexo]:[Sexo]]=$B56,IF(DATOS_[[AGRUP. CLAS. PROF.]:[AGRUP. CLAS. PROF.]]=$B54,IF(DATOS_[[Check Periodo Ref.]:[Check Periodo Ref.]]="Dentro",DATOS_[Conc.Sal.28]))))),
0)</f>
        <v>0</v>
      </c>
      <c r="AH56" s="170">
        <f t="array" ref="AH56">IFERROR(
MEDIAN((IF(DATOS_[[Sexo]:[Sexo]]=$B56,IF(DATOS_[[AGRUP. CLAS. PROF.]:[AGRUP. CLAS. PROF.]]=$B54,IF(DATOS_[[Check Periodo Ref.]:[Check Periodo Ref.]]="Dentro",DATOS_[Conc.Sal.29]))))),
0)</f>
        <v>0</v>
      </c>
      <c r="AI56" s="170">
        <f t="array" ref="AI56">IFERROR(
MEDIAN((IF(DATOS_[[Sexo]:[Sexo]]=$B56,IF(DATOS_[[AGRUP. CLAS. PROF.]:[AGRUP. CLAS. PROF.]]=$B54,IF(DATOS_[[Check Periodo Ref.]:[Check Periodo Ref.]]="Dentro",DATOS_[Conc.Sal.30]))))),
0)</f>
        <v>0</v>
      </c>
      <c r="AJ56" s="171">
        <f t="array" ref="AJ56">IFERROR(
MEDIAN(IF(DATOS_[Sexo]=$B56,IF(DATOS_[AGRUP. CLAS. PROF.]=$B54,IF(DATOS_[Check Periodo Ref.]="Dentro",DATOS_[Tot COMPL.SAL Ef],FALSE)))),
0)</f>
        <v>0</v>
      </c>
      <c r="AK56" s="172">
        <f t="array" ref="AK56">IFERROR(
MEDIAN(IF(DATOS_[Sexo]=$B56,IF(DATOS_[AGRUP. CLAS. PROF.]=$B54,IF(DATOS_[Check Periodo Ref.]="Dentro",DATOS_[TOTAL SALARIO Ef],FALSE)))),
0)</f>
        <v>0</v>
      </c>
      <c r="AL56" s="173">
        <f t="array" ref="AL56">IFERROR(
MEDIAN((IF(DATOS_[[Sexo]:[Sexo]]=$B56,IF(DATOS_[[AGRUP. CLAS. PROF.]:[AGRUP. CLAS. PROF.]]=$B54,IF(DATOS_[[Check Periodo Ref.]:[Check Periodo Ref.]]="Dentro",DATOS_[C.Extra.01]))))),
0)</f>
        <v>0</v>
      </c>
      <c r="AM56" s="173">
        <f t="array" ref="AM56">IFERROR(
MEDIAN((IF(DATOS_[[Sexo]:[Sexo]]=$B56,IF(DATOS_[[AGRUP. CLAS. PROF.]:[AGRUP. CLAS. PROF.]]=$B54,IF(DATOS_[[Check Periodo Ref.]:[Check Periodo Ref.]]="Dentro",DATOS_[C.Extra.06]))))),
0)</f>
        <v>0</v>
      </c>
      <c r="AN56" s="173">
        <f t="array" ref="AN56">IFERROR(
MEDIAN((IF(DATOS_[[Sexo]:[Sexo]]=$B56,IF(DATOS_[[AGRUP. CLAS. PROF.]:[AGRUP. CLAS. PROF.]]=$B54,IF(DATOS_[[Check Periodo Ref.]:[Check Periodo Ref.]]="Dentro",DATOS_[C.Extra.07]))))),
0)</f>
        <v>0</v>
      </c>
      <c r="AO56" s="173">
        <f t="array" ref="AO56">IFERROR(
MEDIAN((IF(DATOS_[[Sexo]:[Sexo]]=$B56,IF(DATOS_[[AGRUP. CLAS. PROF.]:[AGRUP. CLAS. PROF.]]=$B54,IF(DATOS_[[Check Periodo Ref.]:[Check Periodo Ref.]]="Dentro",DATOS_[C.Extra.08]))))),
0)</f>
        <v>0</v>
      </c>
      <c r="AP56" s="173">
        <f t="array" ref="AP56">IFERROR(
MEDIAN((IF(DATOS_[[Sexo]:[Sexo]]=$B56,IF(DATOS_[[AGRUP. CLAS. PROF.]:[AGRUP. CLAS. PROF.]]=$B54,IF(DATOS_[[Check Periodo Ref.]:[Check Periodo Ref.]]="Dentro",DATOS_[C.Extra.11]))))),
0)</f>
        <v>0</v>
      </c>
      <c r="AQ56" s="174">
        <f t="array" ref="AQ56">IFERROR(
MEDIAN(IF(DATOS_[Sexo]=$B56,IF(DATOS_[AGRUP. CLAS. PROF.]=$B54,IF(DATOS_[Check Periodo Ref.]="Dentro",DATOS_[Tot Extrasalarial Ef],FALSE)))),
0)</f>
        <v>0</v>
      </c>
      <c r="AR56" s="171">
        <f t="array" ref="AR56">IFERROR(
MEDIAN(IF(DATOS_[Sexo]=$B56,IF(DATOS_[AGRUP. CLAS. PROF.]=$B54,IF(DATOS_[Check Periodo Ref.]="Dentro",DATOS_[TOTAL Retrib Ef],FALSE)))),
0)</f>
        <v>0</v>
      </c>
    </row>
    <row r="57" spans="1:44" ht="14.4" hidden="1" thickBot="1" x14ac:dyDescent="0.3">
      <c r="A57" s="178" t="str">
        <f t="shared" ref="A57" si="59">+A58</f>
        <v>[ocultar]</v>
      </c>
      <c r="B57" s="153" t="s">
        <v>233</v>
      </c>
      <c r="C57" s="154"/>
      <c r="D57" s="155"/>
      <c r="E57" s="156" t="str">
        <f t="shared" ref="E57:AR57" si="60">IFERROR((E58-E59)/E58,"")</f>
        <v/>
      </c>
      <c r="F57" s="157" t="str">
        <f t="shared" si="60"/>
        <v/>
      </c>
      <c r="G57" s="158" t="str">
        <f t="shared" si="60"/>
        <v/>
      </c>
      <c r="H57" s="158" t="str">
        <f t="shared" si="60"/>
        <v/>
      </c>
      <c r="I57" s="158" t="str">
        <f t="shared" si="60"/>
        <v/>
      </c>
      <c r="J57" s="159" t="str">
        <f t="shared" si="60"/>
        <v/>
      </c>
      <c r="K57" s="160" t="str">
        <f t="shared" si="60"/>
        <v/>
      </c>
      <c r="L57" s="160" t="str">
        <f t="shared" si="60"/>
        <v/>
      </c>
      <c r="M57" s="160" t="str">
        <f t="shared" si="60"/>
        <v/>
      </c>
      <c r="N57" s="160" t="str">
        <f t="shared" si="60"/>
        <v/>
      </c>
      <c r="O57" s="160" t="str">
        <f t="shared" si="60"/>
        <v/>
      </c>
      <c r="P57" s="160" t="str">
        <f t="shared" si="60"/>
        <v/>
      </c>
      <c r="Q57" s="160" t="str">
        <f t="shared" si="60"/>
        <v/>
      </c>
      <c r="R57" s="160" t="str">
        <f t="shared" si="60"/>
        <v/>
      </c>
      <c r="S57" s="160" t="str">
        <f t="shared" si="60"/>
        <v/>
      </c>
      <c r="T57" s="160" t="str">
        <f t="shared" si="60"/>
        <v/>
      </c>
      <c r="U57" s="160" t="str">
        <f t="shared" si="60"/>
        <v/>
      </c>
      <c r="V57" s="159" t="str">
        <f t="shared" si="60"/>
        <v/>
      </c>
      <c r="W57" s="159" t="str">
        <f t="shared" si="60"/>
        <v/>
      </c>
      <c r="X57" s="159" t="str">
        <f t="shared" si="60"/>
        <v/>
      </c>
      <c r="Y57" s="159" t="str">
        <f t="shared" si="60"/>
        <v/>
      </c>
      <c r="Z57" s="159" t="str">
        <f t="shared" si="60"/>
        <v/>
      </c>
      <c r="AA57" s="159" t="str">
        <f t="shared" si="60"/>
        <v/>
      </c>
      <c r="AB57" s="159" t="str">
        <f t="shared" si="60"/>
        <v/>
      </c>
      <c r="AC57" s="159" t="str">
        <f t="shared" si="60"/>
        <v/>
      </c>
      <c r="AD57" s="159" t="str">
        <f t="shared" si="60"/>
        <v/>
      </c>
      <c r="AE57" s="159" t="str">
        <f t="shared" si="60"/>
        <v/>
      </c>
      <c r="AF57" s="159" t="str">
        <f t="shared" si="60"/>
        <v/>
      </c>
      <c r="AG57" s="159" t="str">
        <f t="shared" si="60"/>
        <v/>
      </c>
      <c r="AH57" s="159" t="str">
        <f t="shared" si="60"/>
        <v/>
      </c>
      <c r="AI57" s="159" t="str">
        <f t="shared" si="60"/>
        <v/>
      </c>
      <c r="AJ57" s="161" t="str">
        <f t="shared" si="60"/>
        <v/>
      </c>
      <c r="AK57" s="162" t="str">
        <f t="shared" si="60"/>
        <v/>
      </c>
      <c r="AL57" s="163" t="str">
        <f t="shared" si="60"/>
        <v/>
      </c>
      <c r="AM57" s="163" t="str">
        <f t="shared" si="60"/>
        <v/>
      </c>
      <c r="AN57" s="163" t="str">
        <f t="shared" si="60"/>
        <v/>
      </c>
      <c r="AO57" s="163" t="str">
        <f t="shared" si="60"/>
        <v/>
      </c>
      <c r="AP57" s="163" t="str">
        <f t="shared" si="60"/>
        <v/>
      </c>
      <c r="AQ57" s="164" t="str">
        <f t="shared" si="60"/>
        <v/>
      </c>
      <c r="AR57" s="161" t="str">
        <f t="shared" si="60"/>
        <v/>
      </c>
    </row>
    <row r="58" spans="1:44" hidden="1" x14ac:dyDescent="0.25">
      <c r="A58" s="178" t="str">
        <f t="shared" ref="A58" si="61">+IF(C58+C59=0,"[ocultar]","")</f>
        <v>[ocultar]</v>
      </c>
      <c r="B58" s="166" t="s">
        <v>394</v>
      </c>
      <c r="C58" s="167">
        <f t="array" ref="C58">SUM(IF($B58=DATOS_[Sexo],
IF($B57=DATOS_[AGRUP. CLAS. PROF.],
IF("Dentro"=DATOS_[Check Periodo Ref.],
1/(COUNTIFS(DATOS_[Sexo],$B58,DATOS_[AGRUP. CLAS. PROF.],$B57,DATOS_[Check Periodo Ref.],"Dentro",DATOS_[id/cod],DATOS_[id/cod]))))))</f>
        <v>0</v>
      </c>
      <c r="D58" s="168">
        <f>COUNTIFS(DATOS_[AGRUP. CLAS. PROF.],$B57,DATOS_[Sexo],$B58,DATOS_[Check Periodo Ref.],"Dentro")</f>
        <v>0</v>
      </c>
      <c r="E58" s="169">
        <f t="array" ref="E58">IFERROR(
MEDIAN(IF(DATOS_[Sexo]=$B58,IF(DATOS_[AGRUP. CLAS. PROF.]=$B57,IF(DATOS_[Check Periodo Ref.]="Dentro",DATOS_[SALARIO BASE Ef],FALSE)))),
0)</f>
        <v>0</v>
      </c>
      <c r="F58" s="170">
        <f t="array" ref="F58">IFERROR(
MEDIAN((IF(DATOS_[[Sexo]:[Sexo]]=$B58,IF(DATOS_[[AGRUP. CLAS. PROF.]:[AGRUP. CLAS. PROF.]]=$B57,IF(DATOS_[[Check Periodo Ref.]:[Check Periodo Ref.]]="Dentro",DATOS_[Conc.Sal.01]))))),
0)</f>
        <v>0</v>
      </c>
      <c r="G58" s="170">
        <f t="array" ref="G58">IFERROR(
MEDIAN((IF(DATOS_[[Sexo]:[Sexo]]=$B58,IF(DATOS_[[AGRUP. CLAS. PROF.]:[AGRUP. CLAS. PROF.]]=$B57,IF(DATOS_[[Check Periodo Ref.]:[Check Periodo Ref.]]="Dentro",DATOS_[Conc.Sal.02]))))),
0)</f>
        <v>0</v>
      </c>
      <c r="H58" s="170">
        <f t="array" ref="H58">IFERROR(
MEDIAN((IF(DATOS_[[Sexo]:[Sexo]]=$B58,IF(DATOS_[[AGRUP. CLAS. PROF.]:[AGRUP. CLAS. PROF.]]=$B57,IF(DATOS_[[Check Periodo Ref.]:[Check Periodo Ref.]]="Dentro",DATOS_[Conc.Sal.03]))))),
0)</f>
        <v>0</v>
      </c>
      <c r="I58" s="170">
        <f t="array" ref="I58">IFERROR(
MEDIAN((IF(DATOS_[[Sexo]:[Sexo]]=$B58,IF(DATOS_[[AGRUP. CLAS. PROF.]:[AGRUP. CLAS. PROF.]]=$B57,IF(DATOS_[[Check Periodo Ref.]:[Check Periodo Ref.]]="Dentro",DATOS_[Conc.Sal.04]))))),
0)</f>
        <v>0</v>
      </c>
      <c r="J58" s="170">
        <f t="array" ref="J58">IFERROR(
MEDIAN((IF(DATOS_[[Sexo]:[Sexo]]=$B58,IF(DATOS_[[AGRUP. CLAS. PROF.]:[AGRUP. CLAS. PROF.]]=$B57,IF(DATOS_[[Check Periodo Ref.]:[Check Periodo Ref.]]="Dentro",DATOS_[Conc.Sal.05]))))),
0)</f>
        <v>0</v>
      </c>
      <c r="K58" s="170">
        <f t="array" ref="K58">IFERROR(
MEDIAN((IF(DATOS_[[Sexo]:[Sexo]]=$B58,IF(DATOS_[[AGRUP. CLAS. PROF.]:[AGRUP. CLAS. PROF.]]=$B57,IF(DATOS_[[Check Periodo Ref.]:[Check Periodo Ref.]]="Dentro",DATOS_[Conc.Sal.06]))))),
0)</f>
        <v>0</v>
      </c>
      <c r="L58" s="170">
        <f t="array" ref="L58">IFERROR(
MEDIAN((IF(DATOS_[[Sexo]:[Sexo]]=$B58,IF(DATOS_[[AGRUP. CLAS. PROF.]:[AGRUP. CLAS. PROF.]]=$B57,IF(DATOS_[[Check Periodo Ref.]:[Check Periodo Ref.]]="Dentro",DATOS_[Conc.Sal.07]))))),
0)</f>
        <v>0</v>
      </c>
      <c r="M58" s="170">
        <f t="array" ref="M58">IFERROR(
MEDIAN((IF(DATOS_[[Sexo]:[Sexo]]=$B58,IF(DATOS_[[AGRUP. CLAS. PROF.]:[AGRUP. CLAS. PROF.]]=$B57,IF(DATOS_[[Check Periodo Ref.]:[Check Periodo Ref.]]="Dentro",DATOS_[Conc.Sal.08]))))),
0)</f>
        <v>0</v>
      </c>
      <c r="N58" s="170">
        <f t="array" ref="N58">IFERROR(
MEDIAN((IF(DATOS_[[Sexo]:[Sexo]]=$B58,IF(DATOS_[[AGRUP. CLAS. PROF.]:[AGRUP. CLAS. PROF.]]=$B57,IF(DATOS_[[Check Periodo Ref.]:[Check Periodo Ref.]]="Dentro",DATOS_[Conc.Sal.09]))))),
0)</f>
        <v>0</v>
      </c>
      <c r="O58" s="170">
        <f t="array" ref="O58">IFERROR(
MEDIAN((IF(DATOS_[[Sexo]:[Sexo]]=$B58,IF(DATOS_[[AGRUP. CLAS. PROF.]:[AGRUP. CLAS. PROF.]]=$B57,IF(DATOS_[[Check Periodo Ref.]:[Check Periodo Ref.]]="Dentro",DATOS_[Conc.Sal.10]))))),
0)</f>
        <v>0</v>
      </c>
      <c r="P58" s="170">
        <f t="array" ref="P58">IFERROR(
MEDIAN((IF(DATOS_[[Sexo]:[Sexo]]=$B58,IF(DATOS_[[AGRUP. CLAS. PROF.]:[AGRUP. CLAS. PROF.]]=$B57,IF(DATOS_[[Check Periodo Ref.]:[Check Periodo Ref.]]="Dentro",DATOS_[Conc.Sal.11]))))),
0)</f>
        <v>0</v>
      </c>
      <c r="Q58" s="170">
        <f t="array" ref="Q58">IFERROR(
MEDIAN((IF(DATOS_[[Sexo]:[Sexo]]=$B58,IF(DATOS_[[AGRUP. CLAS. PROF.]:[AGRUP. CLAS. PROF.]]=$B57,IF(DATOS_[[Check Periodo Ref.]:[Check Periodo Ref.]]="Dentro",DATOS_[Conc.Sal.12]))))),
0)</f>
        <v>0</v>
      </c>
      <c r="R58" s="170">
        <f t="array" ref="R58">IFERROR(
MEDIAN((IF(DATOS_[[Sexo]:[Sexo]]=$B58,IF(DATOS_[[AGRUP. CLAS. PROF.]:[AGRUP. CLAS. PROF.]]=$B57,IF(DATOS_[[Check Periodo Ref.]:[Check Periodo Ref.]]="Dentro",DATOS_[Conc.Sal.13]))))),
0)</f>
        <v>0</v>
      </c>
      <c r="S58" s="170">
        <f t="array" ref="S58">IFERROR(
MEDIAN((IF(DATOS_[[Sexo]:[Sexo]]=$B58,IF(DATOS_[[AGRUP. CLAS. PROF.]:[AGRUP. CLAS. PROF.]]=$B57,IF(DATOS_[[Check Periodo Ref.]:[Check Periodo Ref.]]="Dentro",DATOS_[Conc.Sal.14]))))),
0)</f>
        <v>0</v>
      </c>
      <c r="T58" s="170">
        <f t="array" ref="T58">IFERROR(
MEDIAN((IF(DATOS_[[Sexo]:[Sexo]]=$B58,IF(DATOS_[[AGRUP. CLAS. PROF.]:[AGRUP. CLAS. PROF.]]=$B57,IF(DATOS_[[Check Periodo Ref.]:[Check Periodo Ref.]]="Dentro",DATOS_[Conc.Sal.15]))))),
0)</f>
        <v>0</v>
      </c>
      <c r="U58" s="170">
        <f t="array" ref="U58">IFERROR(
MEDIAN((IF(DATOS_[[Sexo]:[Sexo]]=$B58,IF(DATOS_[[AGRUP. CLAS. PROF.]:[AGRUP. CLAS. PROF.]]=$B57,IF(DATOS_[[Check Periodo Ref.]:[Check Periodo Ref.]]="Dentro",DATOS_[Conc.Sal.16]))))),
0)</f>
        <v>0</v>
      </c>
      <c r="V58" s="170">
        <f t="array" ref="V58">IFERROR(
MEDIAN((IF(DATOS_[[Sexo]:[Sexo]]=$B58,IF(DATOS_[[AGRUP. CLAS. PROF.]:[AGRUP. CLAS. PROF.]]=$B57,IF(DATOS_[[Check Periodo Ref.]:[Check Periodo Ref.]]="Dentro",DATOS_[Conc.Sal.17]))))),
0)</f>
        <v>0</v>
      </c>
      <c r="W58" s="170">
        <f t="array" ref="W58">IFERROR(
MEDIAN((IF(DATOS_[[Sexo]:[Sexo]]=$B58,IF(DATOS_[[AGRUP. CLAS. PROF.]:[AGRUP. CLAS. PROF.]]=$B57,IF(DATOS_[[Check Periodo Ref.]:[Check Periodo Ref.]]="Dentro",DATOS_[Conc.Sal.18]))))),
0)</f>
        <v>0</v>
      </c>
      <c r="X58" s="170">
        <f t="array" ref="X58">IFERROR(
MEDIAN((IF(DATOS_[[Sexo]:[Sexo]]=$B58,IF(DATOS_[[AGRUP. CLAS. PROF.]:[AGRUP. CLAS. PROF.]]=$B57,IF(DATOS_[[Check Periodo Ref.]:[Check Periodo Ref.]]="Dentro",DATOS_[Conc.Sal.19]))))),
0)</f>
        <v>0</v>
      </c>
      <c r="Y58" s="170">
        <f t="array" ref="Y58">IFERROR(
MEDIAN((IF(DATOS_[[Sexo]:[Sexo]]=$B58,IF(DATOS_[[AGRUP. CLAS. PROF.]:[AGRUP. CLAS. PROF.]]=$B57,IF(DATOS_[[Check Periodo Ref.]:[Check Periodo Ref.]]="Dentro",DATOS_[Conc.Sal.20]))))),
0)</f>
        <v>0</v>
      </c>
      <c r="Z58" s="170">
        <f t="array" ref="Z58">IFERROR(
MEDIAN((IF(DATOS_[[Sexo]:[Sexo]]=$B58,IF(DATOS_[[AGRUP. CLAS. PROF.]:[AGRUP. CLAS. PROF.]]=$B57,IF(DATOS_[[Check Periodo Ref.]:[Check Periodo Ref.]]="Dentro",DATOS_[Conc.Sal.21]))))),
0)</f>
        <v>0</v>
      </c>
      <c r="AA58" s="170">
        <f t="array" ref="AA58">IFERROR(
MEDIAN((IF(DATOS_[[Sexo]:[Sexo]]=$B58,IF(DATOS_[[AGRUP. CLAS. PROF.]:[AGRUP. CLAS. PROF.]]=$B57,IF(DATOS_[[Check Periodo Ref.]:[Check Periodo Ref.]]="Dentro",DATOS_[Conc.Sal.22]))))),
0)</f>
        <v>0</v>
      </c>
      <c r="AB58" s="170">
        <f t="array" ref="AB58">IFERROR(
MEDIAN((IF(DATOS_[[Sexo]:[Sexo]]=$B58,IF(DATOS_[[AGRUP. CLAS. PROF.]:[AGRUP. CLAS. PROF.]]=$B57,IF(DATOS_[[Check Periodo Ref.]:[Check Periodo Ref.]]="Dentro",DATOS_[Conc.Sal.23]))))),
0)</f>
        <v>0</v>
      </c>
      <c r="AC58" s="170">
        <f t="array" ref="AC58">IFERROR(
MEDIAN((IF(DATOS_[[Sexo]:[Sexo]]=$B58,IF(DATOS_[[AGRUP. CLAS. PROF.]:[AGRUP. CLAS. PROF.]]=$B57,IF(DATOS_[[Check Periodo Ref.]:[Check Periodo Ref.]]="Dentro",DATOS_[Conc.Sal.24]))))),
0)</f>
        <v>0</v>
      </c>
      <c r="AD58" s="170">
        <f t="array" ref="AD58">IFERROR(
MEDIAN((IF(DATOS_[[Sexo]:[Sexo]]=$B58,IF(DATOS_[[AGRUP. CLAS. PROF.]:[AGRUP. CLAS. PROF.]]=$B57,IF(DATOS_[[Check Periodo Ref.]:[Check Periodo Ref.]]="Dentro",DATOS_[Conc.Sal.25]))))),
0)</f>
        <v>0</v>
      </c>
      <c r="AE58" s="170">
        <f t="array" ref="AE58">IFERROR(
MEDIAN((IF(DATOS_[[Sexo]:[Sexo]]=$B58,IF(DATOS_[[AGRUP. CLAS. PROF.]:[AGRUP. CLAS. PROF.]]=$B57,IF(DATOS_[[Check Periodo Ref.]:[Check Periodo Ref.]]="Dentro",DATOS_[Conc.Sal.26]))))),
0)</f>
        <v>0</v>
      </c>
      <c r="AF58" s="170">
        <f t="array" ref="AF58">IFERROR(
MEDIAN((IF(DATOS_[[Sexo]:[Sexo]]=$B58,IF(DATOS_[[AGRUP. CLAS. PROF.]:[AGRUP. CLAS. PROF.]]=$B57,IF(DATOS_[[Check Periodo Ref.]:[Check Periodo Ref.]]="Dentro",DATOS_[Conc.Sal.27]))))),
0)</f>
        <v>0</v>
      </c>
      <c r="AG58" s="170">
        <f t="array" ref="AG58">IFERROR(
MEDIAN((IF(DATOS_[[Sexo]:[Sexo]]=$B58,IF(DATOS_[[AGRUP. CLAS. PROF.]:[AGRUP. CLAS. PROF.]]=$B57,IF(DATOS_[[Check Periodo Ref.]:[Check Periodo Ref.]]="Dentro",DATOS_[Conc.Sal.28]))))),
0)</f>
        <v>0</v>
      </c>
      <c r="AH58" s="170">
        <f t="array" ref="AH58">IFERROR(
MEDIAN((IF(DATOS_[[Sexo]:[Sexo]]=$B58,IF(DATOS_[[AGRUP. CLAS. PROF.]:[AGRUP. CLAS. PROF.]]=$B57,IF(DATOS_[[Check Periodo Ref.]:[Check Periodo Ref.]]="Dentro",DATOS_[Conc.Sal.29]))))),
0)</f>
        <v>0</v>
      </c>
      <c r="AI58" s="170">
        <f t="array" ref="AI58">IFERROR(
MEDIAN((IF(DATOS_[[Sexo]:[Sexo]]=$B58,IF(DATOS_[[AGRUP. CLAS. PROF.]:[AGRUP. CLAS. PROF.]]=$B57,IF(DATOS_[[Check Periodo Ref.]:[Check Periodo Ref.]]="Dentro",DATOS_[Conc.Sal.30]))))),
0)</f>
        <v>0</v>
      </c>
      <c r="AJ58" s="171">
        <f t="array" ref="AJ58">IFERROR(
MEDIAN(IF(DATOS_[Sexo]=$B58,IF(DATOS_[AGRUP. CLAS. PROF.]=$B57,IF(DATOS_[Check Periodo Ref.]="Dentro",DATOS_[Tot COMPL.SAL Ef],FALSE)))),
0)</f>
        <v>0</v>
      </c>
      <c r="AK58" s="172">
        <f t="array" ref="AK58">IFERROR(
MEDIAN(IF(DATOS_[Sexo]=$B58,IF(DATOS_[AGRUP. CLAS. PROF.]=$B57,IF(DATOS_[Check Periodo Ref.]="Dentro",DATOS_[TOTAL SALARIO Ef],FALSE)))),
0)</f>
        <v>0</v>
      </c>
      <c r="AL58" s="173">
        <f t="array" ref="AL58">IFERROR(
MEDIAN((IF(DATOS_[[Sexo]:[Sexo]]=$B58,IF(DATOS_[[AGRUP. CLAS. PROF.]:[AGRUP. CLAS. PROF.]]=$B57,IF(DATOS_[[Check Periodo Ref.]:[Check Periodo Ref.]]="Dentro",DATOS_[C.Extra.01]))))),
0)</f>
        <v>0</v>
      </c>
      <c r="AM58" s="173">
        <f t="array" ref="AM58">IFERROR(
MEDIAN((IF(DATOS_[[Sexo]:[Sexo]]=$B58,IF(DATOS_[[AGRUP. CLAS. PROF.]:[AGRUP. CLAS. PROF.]]=$B57,IF(DATOS_[[Check Periodo Ref.]:[Check Periodo Ref.]]="Dentro",DATOS_[C.Extra.06]))))),
0)</f>
        <v>0</v>
      </c>
      <c r="AN58" s="173">
        <f t="array" ref="AN58">IFERROR(
MEDIAN((IF(DATOS_[[Sexo]:[Sexo]]=$B58,IF(DATOS_[[AGRUP. CLAS. PROF.]:[AGRUP. CLAS. PROF.]]=$B57,IF(DATOS_[[Check Periodo Ref.]:[Check Periodo Ref.]]="Dentro",DATOS_[C.Extra.07]))))),
0)</f>
        <v>0</v>
      </c>
      <c r="AO58" s="173">
        <f t="array" ref="AO58">IFERROR(
MEDIAN((IF(DATOS_[[Sexo]:[Sexo]]=$B58,IF(DATOS_[[AGRUP. CLAS. PROF.]:[AGRUP. CLAS. PROF.]]=$B57,IF(DATOS_[[Check Periodo Ref.]:[Check Periodo Ref.]]="Dentro",DATOS_[C.Extra.08]))))),
0)</f>
        <v>0</v>
      </c>
      <c r="AP58" s="173">
        <f t="array" ref="AP58">IFERROR(
MEDIAN((IF(DATOS_[[Sexo]:[Sexo]]=$B58,IF(DATOS_[[AGRUP. CLAS. PROF.]:[AGRUP. CLAS. PROF.]]=$B57,IF(DATOS_[[Check Periodo Ref.]:[Check Periodo Ref.]]="Dentro",DATOS_[C.Extra.11]))))),
0)</f>
        <v>0</v>
      </c>
      <c r="AQ58" s="174">
        <f t="array" ref="AQ58">IFERROR(
MEDIAN(IF(DATOS_[Sexo]=$B58,IF(DATOS_[AGRUP. CLAS. PROF.]=$B57,IF(DATOS_[Check Periodo Ref.]="Dentro",DATOS_[Tot Extrasalarial Ef],FALSE)))),
0)</f>
        <v>0</v>
      </c>
      <c r="AR58" s="171">
        <f t="array" ref="AR58">IFERROR(
MEDIAN(IF(DATOS_[Sexo]=$B58,IF(DATOS_[AGRUP. CLAS. PROF.]=$B57,IF(DATOS_[Check Periodo Ref.]="Dentro",DATOS_[TOTAL Retrib Ef],FALSE)))),
0)</f>
        <v>0</v>
      </c>
    </row>
    <row r="59" spans="1:44" hidden="1" x14ac:dyDescent="0.25">
      <c r="A59" s="178" t="str">
        <f t="shared" ref="A59" si="62">+A58</f>
        <v>[ocultar]</v>
      </c>
      <c r="B59" s="166" t="s">
        <v>521</v>
      </c>
      <c r="C59" s="167">
        <f t="array" ref="C59">SUM(IF($B59=DATOS_[Sexo],
IF($B57=DATOS_[AGRUP. CLAS. PROF.],
IF("Dentro"=DATOS_[Check Periodo Ref.],
1/(COUNTIFS(DATOS_[Sexo],$B59,DATOS_[AGRUP. CLAS. PROF.],$B57,DATOS_[Check Periodo Ref.],"Dentro",DATOS_[id/cod],DATOS_[id/cod]))))))</f>
        <v>0</v>
      </c>
      <c r="D59" s="168">
        <f>COUNTIFS(DATOS_[AGRUP. CLAS. PROF.],$B57,DATOS_[Sexo],$B59,DATOS_[Check Periodo Ref.],"Dentro")</f>
        <v>0</v>
      </c>
      <c r="E59" s="169">
        <f t="array" ref="E59">IFERROR(
MEDIAN(IF(DATOS_[Sexo]=$B59,IF(DATOS_[AGRUP. CLAS. PROF.]=$B57,IF(DATOS_[Check Periodo Ref.]="Dentro",DATOS_[SALARIO BASE Ef],FALSE)))),
0)</f>
        <v>0</v>
      </c>
      <c r="F59" s="170">
        <f t="array" ref="F59">IFERROR(
MEDIAN((IF(DATOS_[[Sexo]:[Sexo]]=$B59,IF(DATOS_[[AGRUP. CLAS. PROF.]:[AGRUP. CLAS. PROF.]]=$B57,IF(DATOS_[[Check Periodo Ref.]:[Check Periodo Ref.]]="Dentro",DATOS_[Conc.Sal.01]))))),
0)</f>
        <v>0</v>
      </c>
      <c r="G59" s="170">
        <f t="array" ref="G59">IFERROR(
MEDIAN((IF(DATOS_[[Sexo]:[Sexo]]=$B59,IF(DATOS_[[AGRUP. CLAS. PROF.]:[AGRUP. CLAS. PROF.]]=$B57,IF(DATOS_[[Check Periodo Ref.]:[Check Periodo Ref.]]="Dentro",DATOS_[Conc.Sal.02]))))),
0)</f>
        <v>0</v>
      </c>
      <c r="H59" s="170">
        <f t="array" ref="H59">IFERROR(
MEDIAN((IF(DATOS_[[Sexo]:[Sexo]]=$B59,IF(DATOS_[[AGRUP. CLAS. PROF.]:[AGRUP. CLAS. PROF.]]=$B57,IF(DATOS_[[Check Periodo Ref.]:[Check Periodo Ref.]]="Dentro",DATOS_[Conc.Sal.03]))))),
0)</f>
        <v>0</v>
      </c>
      <c r="I59" s="170">
        <f t="array" ref="I59">IFERROR(
MEDIAN((IF(DATOS_[[Sexo]:[Sexo]]=$B59,IF(DATOS_[[AGRUP. CLAS. PROF.]:[AGRUP. CLAS. PROF.]]=$B57,IF(DATOS_[[Check Periodo Ref.]:[Check Periodo Ref.]]="Dentro",DATOS_[Conc.Sal.04]))))),
0)</f>
        <v>0</v>
      </c>
      <c r="J59" s="170">
        <f t="array" ref="J59">IFERROR(
MEDIAN((IF(DATOS_[[Sexo]:[Sexo]]=$B59,IF(DATOS_[[AGRUP. CLAS. PROF.]:[AGRUP. CLAS. PROF.]]=$B57,IF(DATOS_[[Check Periodo Ref.]:[Check Periodo Ref.]]="Dentro",DATOS_[Conc.Sal.05]))))),
0)</f>
        <v>0</v>
      </c>
      <c r="K59" s="170">
        <f t="array" ref="K59">IFERROR(
MEDIAN((IF(DATOS_[[Sexo]:[Sexo]]=$B59,IF(DATOS_[[AGRUP. CLAS. PROF.]:[AGRUP. CLAS. PROF.]]=$B57,IF(DATOS_[[Check Periodo Ref.]:[Check Periodo Ref.]]="Dentro",DATOS_[Conc.Sal.06]))))),
0)</f>
        <v>0</v>
      </c>
      <c r="L59" s="170">
        <f t="array" ref="L59">IFERROR(
MEDIAN((IF(DATOS_[[Sexo]:[Sexo]]=$B59,IF(DATOS_[[AGRUP. CLAS. PROF.]:[AGRUP. CLAS. PROF.]]=$B57,IF(DATOS_[[Check Periodo Ref.]:[Check Periodo Ref.]]="Dentro",DATOS_[Conc.Sal.07]))))),
0)</f>
        <v>0</v>
      </c>
      <c r="M59" s="170">
        <f t="array" ref="M59">IFERROR(
MEDIAN((IF(DATOS_[[Sexo]:[Sexo]]=$B59,IF(DATOS_[[AGRUP. CLAS. PROF.]:[AGRUP. CLAS. PROF.]]=$B57,IF(DATOS_[[Check Periodo Ref.]:[Check Periodo Ref.]]="Dentro",DATOS_[Conc.Sal.08]))))),
0)</f>
        <v>0</v>
      </c>
      <c r="N59" s="170">
        <f t="array" ref="N59">IFERROR(
MEDIAN((IF(DATOS_[[Sexo]:[Sexo]]=$B59,IF(DATOS_[[AGRUP. CLAS. PROF.]:[AGRUP. CLAS. PROF.]]=$B57,IF(DATOS_[[Check Periodo Ref.]:[Check Periodo Ref.]]="Dentro",DATOS_[Conc.Sal.09]))))),
0)</f>
        <v>0</v>
      </c>
      <c r="O59" s="170">
        <f t="array" ref="O59">IFERROR(
MEDIAN((IF(DATOS_[[Sexo]:[Sexo]]=$B59,IF(DATOS_[[AGRUP. CLAS. PROF.]:[AGRUP. CLAS. PROF.]]=$B57,IF(DATOS_[[Check Periodo Ref.]:[Check Periodo Ref.]]="Dentro",DATOS_[Conc.Sal.10]))))),
0)</f>
        <v>0</v>
      </c>
      <c r="P59" s="170">
        <f t="array" ref="P59">IFERROR(
MEDIAN((IF(DATOS_[[Sexo]:[Sexo]]=$B59,IF(DATOS_[[AGRUP. CLAS. PROF.]:[AGRUP. CLAS. PROF.]]=$B57,IF(DATOS_[[Check Periodo Ref.]:[Check Periodo Ref.]]="Dentro",DATOS_[Conc.Sal.11]))))),
0)</f>
        <v>0</v>
      </c>
      <c r="Q59" s="170">
        <f t="array" ref="Q59">IFERROR(
MEDIAN((IF(DATOS_[[Sexo]:[Sexo]]=$B59,IF(DATOS_[[AGRUP. CLAS. PROF.]:[AGRUP. CLAS. PROF.]]=$B57,IF(DATOS_[[Check Periodo Ref.]:[Check Periodo Ref.]]="Dentro",DATOS_[Conc.Sal.12]))))),
0)</f>
        <v>0</v>
      </c>
      <c r="R59" s="170">
        <f t="array" ref="R59">IFERROR(
MEDIAN((IF(DATOS_[[Sexo]:[Sexo]]=$B59,IF(DATOS_[[AGRUP. CLAS. PROF.]:[AGRUP. CLAS. PROF.]]=$B57,IF(DATOS_[[Check Periodo Ref.]:[Check Periodo Ref.]]="Dentro",DATOS_[Conc.Sal.13]))))),
0)</f>
        <v>0</v>
      </c>
      <c r="S59" s="170">
        <f t="array" ref="S59">IFERROR(
MEDIAN((IF(DATOS_[[Sexo]:[Sexo]]=$B59,IF(DATOS_[[AGRUP. CLAS. PROF.]:[AGRUP. CLAS. PROF.]]=$B57,IF(DATOS_[[Check Periodo Ref.]:[Check Periodo Ref.]]="Dentro",DATOS_[Conc.Sal.14]))))),
0)</f>
        <v>0</v>
      </c>
      <c r="T59" s="170">
        <f t="array" ref="T59">IFERROR(
MEDIAN((IF(DATOS_[[Sexo]:[Sexo]]=$B59,IF(DATOS_[[AGRUP. CLAS. PROF.]:[AGRUP. CLAS. PROF.]]=$B57,IF(DATOS_[[Check Periodo Ref.]:[Check Periodo Ref.]]="Dentro",DATOS_[Conc.Sal.15]))))),
0)</f>
        <v>0</v>
      </c>
      <c r="U59" s="170">
        <f t="array" ref="U59">IFERROR(
MEDIAN((IF(DATOS_[[Sexo]:[Sexo]]=$B59,IF(DATOS_[[AGRUP. CLAS. PROF.]:[AGRUP. CLAS. PROF.]]=$B57,IF(DATOS_[[Check Periodo Ref.]:[Check Periodo Ref.]]="Dentro",DATOS_[Conc.Sal.16]))))),
0)</f>
        <v>0</v>
      </c>
      <c r="V59" s="170">
        <f t="array" ref="V59">IFERROR(
MEDIAN((IF(DATOS_[[Sexo]:[Sexo]]=$B59,IF(DATOS_[[AGRUP. CLAS. PROF.]:[AGRUP. CLAS. PROF.]]=$B57,IF(DATOS_[[Check Periodo Ref.]:[Check Periodo Ref.]]="Dentro",DATOS_[Conc.Sal.17]))))),
0)</f>
        <v>0</v>
      </c>
      <c r="W59" s="170">
        <f t="array" ref="W59">IFERROR(
MEDIAN((IF(DATOS_[[Sexo]:[Sexo]]=$B59,IF(DATOS_[[AGRUP. CLAS. PROF.]:[AGRUP. CLAS. PROF.]]=$B57,IF(DATOS_[[Check Periodo Ref.]:[Check Periodo Ref.]]="Dentro",DATOS_[Conc.Sal.18]))))),
0)</f>
        <v>0</v>
      </c>
      <c r="X59" s="170">
        <f t="array" ref="X59">IFERROR(
MEDIAN((IF(DATOS_[[Sexo]:[Sexo]]=$B59,IF(DATOS_[[AGRUP. CLAS. PROF.]:[AGRUP. CLAS. PROF.]]=$B57,IF(DATOS_[[Check Periodo Ref.]:[Check Periodo Ref.]]="Dentro",DATOS_[Conc.Sal.19]))))),
0)</f>
        <v>0</v>
      </c>
      <c r="Y59" s="170">
        <f t="array" ref="Y59">IFERROR(
MEDIAN((IF(DATOS_[[Sexo]:[Sexo]]=$B59,IF(DATOS_[[AGRUP. CLAS. PROF.]:[AGRUP. CLAS. PROF.]]=$B57,IF(DATOS_[[Check Periodo Ref.]:[Check Periodo Ref.]]="Dentro",DATOS_[Conc.Sal.20]))))),
0)</f>
        <v>0</v>
      </c>
      <c r="Z59" s="170">
        <f t="array" ref="Z59">IFERROR(
MEDIAN((IF(DATOS_[[Sexo]:[Sexo]]=$B59,IF(DATOS_[[AGRUP. CLAS. PROF.]:[AGRUP. CLAS. PROF.]]=$B57,IF(DATOS_[[Check Periodo Ref.]:[Check Periodo Ref.]]="Dentro",DATOS_[Conc.Sal.21]))))),
0)</f>
        <v>0</v>
      </c>
      <c r="AA59" s="170">
        <f t="array" ref="AA59">IFERROR(
MEDIAN((IF(DATOS_[[Sexo]:[Sexo]]=$B59,IF(DATOS_[[AGRUP. CLAS. PROF.]:[AGRUP. CLAS. PROF.]]=$B57,IF(DATOS_[[Check Periodo Ref.]:[Check Periodo Ref.]]="Dentro",DATOS_[Conc.Sal.22]))))),
0)</f>
        <v>0</v>
      </c>
      <c r="AB59" s="170">
        <f t="array" ref="AB59">IFERROR(
MEDIAN((IF(DATOS_[[Sexo]:[Sexo]]=$B59,IF(DATOS_[[AGRUP. CLAS. PROF.]:[AGRUP. CLAS. PROF.]]=$B57,IF(DATOS_[[Check Periodo Ref.]:[Check Periodo Ref.]]="Dentro",DATOS_[Conc.Sal.23]))))),
0)</f>
        <v>0</v>
      </c>
      <c r="AC59" s="170">
        <f t="array" ref="AC59">IFERROR(
MEDIAN((IF(DATOS_[[Sexo]:[Sexo]]=$B59,IF(DATOS_[[AGRUP. CLAS. PROF.]:[AGRUP. CLAS. PROF.]]=$B57,IF(DATOS_[[Check Periodo Ref.]:[Check Periodo Ref.]]="Dentro",DATOS_[Conc.Sal.24]))))),
0)</f>
        <v>0</v>
      </c>
      <c r="AD59" s="170">
        <f t="array" ref="AD59">IFERROR(
MEDIAN((IF(DATOS_[[Sexo]:[Sexo]]=$B59,IF(DATOS_[[AGRUP. CLAS. PROF.]:[AGRUP. CLAS. PROF.]]=$B57,IF(DATOS_[[Check Periodo Ref.]:[Check Periodo Ref.]]="Dentro",DATOS_[Conc.Sal.25]))))),
0)</f>
        <v>0</v>
      </c>
      <c r="AE59" s="170">
        <f t="array" ref="AE59">IFERROR(
MEDIAN((IF(DATOS_[[Sexo]:[Sexo]]=$B59,IF(DATOS_[[AGRUP. CLAS. PROF.]:[AGRUP. CLAS. PROF.]]=$B57,IF(DATOS_[[Check Periodo Ref.]:[Check Periodo Ref.]]="Dentro",DATOS_[Conc.Sal.26]))))),
0)</f>
        <v>0</v>
      </c>
      <c r="AF59" s="170">
        <f t="array" ref="AF59">IFERROR(
MEDIAN((IF(DATOS_[[Sexo]:[Sexo]]=$B59,IF(DATOS_[[AGRUP. CLAS. PROF.]:[AGRUP. CLAS. PROF.]]=$B57,IF(DATOS_[[Check Periodo Ref.]:[Check Periodo Ref.]]="Dentro",DATOS_[Conc.Sal.27]))))),
0)</f>
        <v>0</v>
      </c>
      <c r="AG59" s="170">
        <f t="array" ref="AG59">IFERROR(
MEDIAN((IF(DATOS_[[Sexo]:[Sexo]]=$B59,IF(DATOS_[[AGRUP. CLAS. PROF.]:[AGRUP. CLAS. PROF.]]=$B57,IF(DATOS_[[Check Periodo Ref.]:[Check Periodo Ref.]]="Dentro",DATOS_[Conc.Sal.28]))))),
0)</f>
        <v>0</v>
      </c>
      <c r="AH59" s="170">
        <f t="array" ref="AH59">IFERROR(
MEDIAN((IF(DATOS_[[Sexo]:[Sexo]]=$B59,IF(DATOS_[[AGRUP. CLAS. PROF.]:[AGRUP. CLAS. PROF.]]=$B57,IF(DATOS_[[Check Periodo Ref.]:[Check Periodo Ref.]]="Dentro",DATOS_[Conc.Sal.29]))))),
0)</f>
        <v>0</v>
      </c>
      <c r="AI59" s="170">
        <f t="array" ref="AI59">IFERROR(
MEDIAN((IF(DATOS_[[Sexo]:[Sexo]]=$B59,IF(DATOS_[[AGRUP. CLAS. PROF.]:[AGRUP. CLAS. PROF.]]=$B57,IF(DATOS_[[Check Periodo Ref.]:[Check Periodo Ref.]]="Dentro",DATOS_[Conc.Sal.30]))))),
0)</f>
        <v>0</v>
      </c>
      <c r="AJ59" s="171">
        <f t="array" ref="AJ59">IFERROR(
MEDIAN(IF(DATOS_[Sexo]=$B59,IF(DATOS_[AGRUP. CLAS. PROF.]=$B57,IF(DATOS_[Check Periodo Ref.]="Dentro",DATOS_[Tot COMPL.SAL Ef],FALSE)))),
0)</f>
        <v>0</v>
      </c>
      <c r="AK59" s="172">
        <f t="array" ref="AK59">IFERROR(
MEDIAN(IF(DATOS_[Sexo]=$B59,IF(DATOS_[AGRUP. CLAS. PROF.]=$B57,IF(DATOS_[Check Periodo Ref.]="Dentro",DATOS_[TOTAL SALARIO Ef],FALSE)))),
0)</f>
        <v>0</v>
      </c>
      <c r="AL59" s="173">
        <f t="array" ref="AL59">IFERROR(
MEDIAN((IF(DATOS_[[Sexo]:[Sexo]]=$B59,IF(DATOS_[[AGRUP. CLAS. PROF.]:[AGRUP. CLAS. PROF.]]=$B57,IF(DATOS_[[Check Periodo Ref.]:[Check Periodo Ref.]]="Dentro",DATOS_[C.Extra.01]))))),
0)</f>
        <v>0</v>
      </c>
      <c r="AM59" s="173">
        <f t="array" ref="AM59">IFERROR(
MEDIAN((IF(DATOS_[[Sexo]:[Sexo]]=$B59,IF(DATOS_[[AGRUP. CLAS. PROF.]:[AGRUP. CLAS. PROF.]]=$B57,IF(DATOS_[[Check Periodo Ref.]:[Check Periodo Ref.]]="Dentro",DATOS_[C.Extra.06]))))),
0)</f>
        <v>0</v>
      </c>
      <c r="AN59" s="173">
        <f t="array" ref="AN59">IFERROR(
MEDIAN((IF(DATOS_[[Sexo]:[Sexo]]=$B59,IF(DATOS_[[AGRUP. CLAS. PROF.]:[AGRUP. CLAS. PROF.]]=$B57,IF(DATOS_[[Check Periodo Ref.]:[Check Periodo Ref.]]="Dentro",DATOS_[C.Extra.07]))))),
0)</f>
        <v>0</v>
      </c>
      <c r="AO59" s="173">
        <f t="array" ref="AO59">IFERROR(
MEDIAN((IF(DATOS_[[Sexo]:[Sexo]]=$B59,IF(DATOS_[[AGRUP. CLAS. PROF.]:[AGRUP. CLAS. PROF.]]=$B57,IF(DATOS_[[Check Periodo Ref.]:[Check Periodo Ref.]]="Dentro",DATOS_[C.Extra.08]))))),
0)</f>
        <v>0</v>
      </c>
      <c r="AP59" s="173">
        <f t="array" ref="AP59">IFERROR(
MEDIAN((IF(DATOS_[[Sexo]:[Sexo]]=$B59,IF(DATOS_[[AGRUP. CLAS. PROF.]:[AGRUP. CLAS. PROF.]]=$B57,IF(DATOS_[[Check Periodo Ref.]:[Check Periodo Ref.]]="Dentro",DATOS_[C.Extra.11]))))),
0)</f>
        <v>0</v>
      </c>
      <c r="AQ59" s="174">
        <f t="array" ref="AQ59">IFERROR(
MEDIAN(IF(DATOS_[Sexo]=$B59,IF(DATOS_[AGRUP. CLAS. PROF.]=$B57,IF(DATOS_[Check Periodo Ref.]="Dentro",DATOS_[Tot Extrasalarial Ef],FALSE)))),
0)</f>
        <v>0</v>
      </c>
      <c r="AR59" s="171">
        <f t="array" ref="AR59">IFERROR(
MEDIAN(IF(DATOS_[Sexo]=$B59,IF(DATOS_[AGRUP. CLAS. PROF.]=$B57,IF(DATOS_[Check Periodo Ref.]="Dentro",DATOS_[TOTAL Retrib Ef],FALSE)))),
0)</f>
        <v>0</v>
      </c>
    </row>
    <row r="60" spans="1:44" ht="14.4" hidden="1" thickBot="1" x14ac:dyDescent="0.3">
      <c r="A60" s="178" t="str">
        <f t="shared" ref="A60" si="63">+A61</f>
        <v>[ocultar]</v>
      </c>
      <c r="B60" s="153" t="s">
        <v>238</v>
      </c>
      <c r="C60" s="154"/>
      <c r="D60" s="155"/>
      <c r="E60" s="156" t="str">
        <f t="shared" ref="E60:AR60" si="64">IFERROR((E61-E62)/E61,"")</f>
        <v/>
      </c>
      <c r="F60" s="157" t="str">
        <f t="shared" si="64"/>
        <v/>
      </c>
      <c r="G60" s="158" t="str">
        <f t="shared" si="64"/>
        <v/>
      </c>
      <c r="H60" s="158" t="str">
        <f t="shared" si="64"/>
        <v/>
      </c>
      <c r="I60" s="158" t="str">
        <f t="shared" si="64"/>
        <v/>
      </c>
      <c r="J60" s="159" t="str">
        <f t="shared" si="64"/>
        <v/>
      </c>
      <c r="K60" s="160" t="str">
        <f t="shared" si="64"/>
        <v/>
      </c>
      <c r="L60" s="160" t="str">
        <f t="shared" si="64"/>
        <v/>
      </c>
      <c r="M60" s="160" t="str">
        <f t="shared" si="64"/>
        <v/>
      </c>
      <c r="N60" s="160" t="str">
        <f t="shared" si="64"/>
        <v/>
      </c>
      <c r="O60" s="160" t="str">
        <f t="shared" si="64"/>
        <v/>
      </c>
      <c r="P60" s="160" t="str">
        <f t="shared" si="64"/>
        <v/>
      </c>
      <c r="Q60" s="160" t="str">
        <f t="shared" si="64"/>
        <v/>
      </c>
      <c r="R60" s="160" t="str">
        <f t="shared" si="64"/>
        <v/>
      </c>
      <c r="S60" s="160" t="str">
        <f t="shared" si="64"/>
        <v/>
      </c>
      <c r="T60" s="160" t="str">
        <f t="shared" si="64"/>
        <v/>
      </c>
      <c r="U60" s="160" t="str">
        <f t="shared" si="64"/>
        <v/>
      </c>
      <c r="V60" s="159" t="str">
        <f t="shared" si="64"/>
        <v/>
      </c>
      <c r="W60" s="159" t="str">
        <f t="shared" si="64"/>
        <v/>
      </c>
      <c r="X60" s="159" t="str">
        <f t="shared" si="64"/>
        <v/>
      </c>
      <c r="Y60" s="159" t="str">
        <f t="shared" si="64"/>
        <v/>
      </c>
      <c r="Z60" s="159" t="str">
        <f t="shared" si="64"/>
        <v/>
      </c>
      <c r="AA60" s="159" t="str">
        <f t="shared" si="64"/>
        <v/>
      </c>
      <c r="AB60" s="159" t="str">
        <f t="shared" si="64"/>
        <v/>
      </c>
      <c r="AC60" s="159" t="str">
        <f t="shared" si="64"/>
        <v/>
      </c>
      <c r="AD60" s="159" t="str">
        <f t="shared" si="64"/>
        <v/>
      </c>
      <c r="AE60" s="159" t="str">
        <f t="shared" si="64"/>
        <v/>
      </c>
      <c r="AF60" s="159" t="str">
        <f t="shared" si="64"/>
        <v/>
      </c>
      <c r="AG60" s="159" t="str">
        <f t="shared" si="64"/>
        <v/>
      </c>
      <c r="AH60" s="159" t="str">
        <f t="shared" si="64"/>
        <v/>
      </c>
      <c r="AI60" s="159" t="str">
        <f t="shared" si="64"/>
        <v/>
      </c>
      <c r="AJ60" s="161" t="str">
        <f t="shared" si="64"/>
        <v/>
      </c>
      <c r="AK60" s="162" t="str">
        <f t="shared" si="64"/>
        <v/>
      </c>
      <c r="AL60" s="163" t="str">
        <f t="shared" si="64"/>
        <v/>
      </c>
      <c r="AM60" s="163" t="str">
        <f t="shared" si="64"/>
        <v/>
      </c>
      <c r="AN60" s="163" t="str">
        <f t="shared" si="64"/>
        <v/>
      </c>
      <c r="AO60" s="163" t="str">
        <f t="shared" si="64"/>
        <v/>
      </c>
      <c r="AP60" s="163" t="str">
        <f t="shared" si="64"/>
        <v/>
      </c>
      <c r="AQ60" s="164" t="str">
        <f t="shared" si="64"/>
        <v/>
      </c>
      <c r="AR60" s="161" t="str">
        <f t="shared" si="64"/>
        <v/>
      </c>
    </row>
    <row r="61" spans="1:44" hidden="1" x14ac:dyDescent="0.25">
      <c r="A61" s="178" t="str">
        <f t="shared" ref="A61" si="65">+IF(C61+C62=0,"[ocultar]","")</f>
        <v>[ocultar]</v>
      </c>
      <c r="B61" s="166" t="s">
        <v>394</v>
      </c>
      <c r="C61" s="167">
        <f t="array" ref="C61">SUM(IF($B61=DATOS_[Sexo],
IF($B60=DATOS_[AGRUP. CLAS. PROF.],
IF("Dentro"=DATOS_[Check Periodo Ref.],
1/(COUNTIFS(DATOS_[Sexo],$B61,DATOS_[AGRUP. CLAS. PROF.],$B60,DATOS_[Check Periodo Ref.],"Dentro",DATOS_[id/cod],DATOS_[id/cod]))))))</f>
        <v>0</v>
      </c>
      <c r="D61" s="168">
        <f>COUNTIFS(DATOS_[AGRUP. CLAS. PROF.],$B60,DATOS_[Sexo],$B61,DATOS_[Check Periodo Ref.],"Dentro")</f>
        <v>0</v>
      </c>
      <c r="E61" s="169">
        <f t="array" ref="E61">IFERROR(
MEDIAN(IF(DATOS_[Sexo]=$B61,IF(DATOS_[AGRUP. CLAS. PROF.]=$B60,IF(DATOS_[Check Periodo Ref.]="Dentro",DATOS_[SALARIO BASE Ef],FALSE)))),
0)</f>
        <v>0</v>
      </c>
      <c r="F61" s="170">
        <f t="array" ref="F61">IFERROR(
MEDIAN((IF(DATOS_[[Sexo]:[Sexo]]=$B61,IF(DATOS_[[AGRUP. CLAS. PROF.]:[AGRUP. CLAS. PROF.]]=$B60,IF(DATOS_[[Check Periodo Ref.]:[Check Periodo Ref.]]="Dentro",DATOS_[Conc.Sal.01]))))),
0)</f>
        <v>0</v>
      </c>
      <c r="G61" s="170">
        <f t="array" ref="G61">IFERROR(
MEDIAN((IF(DATOS_[[Sexo]:[Sexo]]=$B61,IF(DATOS_[[AGRUP. CLAS. PROF.]:[AGRUP. CLAS. PROF.]]=$B60,IF(DATOS_[[Check Periodo Ref.]:[Check Periodo Ref.]]="Dentro",DATOS_[Conc.Sal.02]))))),
0)</f>
        <v>0</v>
      </c>
      <c r="H61" s="170">
        <f t="array" ref="H61">IFERROR(
MEDIAN((IF(DATOS_[[Sexo]:[Sexo]]=$B61,IF(DATOS_[[AGRUP. CLAS. PROF.]:[AGRUP. CLAS. PROF.]]=$B60,IF(DATOS_[[Check Periodo Ref.]:[Check Periodo Ref.]]="Dentro",DATOS_[Conc.Sal.03]))))),
0)</f>
        <v>0</v>
      </c>
      <c r="I61" s="170">
        <f t="array" ref="I61">IFERROR(
MEDIAN((IF(DATOS_[[Sexo]:[Sexo]]=$B61,IF(DATOS_[[AGRUP. CLAS. PROF.]:[AGRUP. CLAS. PROF.]]=$B60,IF(DATOS_[[Check Periodo Ref.]:[Check Periodo Ref.]]="Dentro",DATOS_[Conc.Sal.04]))))),
0)</f>
        <v>0</v>
      </c>
      <c r="J61" s="170">
        <f t="array" ref="J61">IFERROR(
MEDIAN((IF(DATOS_[[Sexo]:[Sexo]]=$B61,IF(DATOS_[[AGRUP. CLAS. PROF.]:[AGRUP. CLAS. PROF.]]=$B60,IF(DATOS_[[Check Periodo Ref.]:[Check Periodo Ref.]]="Dentro",DATOS_[Conc.Sal.05]))))),
0)</f>
        <v>0</v>
      </c>
      <c r="K61" s="170">
        <f t="array" ref="K61">IFERROR(
MEDIAN((IF(DATOS_[[Sexo]:[Sexo]]=$B61,IF(DATOS_[[AGRUP. CLAS. PROF.]:[AGRUP. CLAS. PROF.]]=$B60,IF(DATOS_[[Check Periodo Ref.]:[Check Periodo Ref.]]="Dentro",DATOS_[Conc.Sal.06]))))),
0)</f>
        <v>0</v>
      </c>
      <c r="L61" s="170">
        <f t="array" ref="L61">IFERROR(
MEDIAN((IF(DATOS_[[Sexo]:[Sexo]]=$B61,IF(DATOS_[[AGRUP. CLAS. PROF.]:[AGRUP. CLAS. PROF.]]=$B60,IF(DATOS_[[Check Periodo Ref.]:[Check Periodo Ref.]]="Dentro",DATOS_[Conc.Sal.07]))))),
0)</f>
        <v>0</v>
      </c>
      <c r="M61" s="170">
        <f t="array" ref="M61">IFERROR(
MEDIAN((IF(DATOS_[[Sexo]:[Sexo]]=$B61,IF(DATOS_[[AGRUP. CLAS. PROF.]:[AGRUP. CLAS. PROF.]]=$B60,IF(DATOS_[[Check Periodo Ref.]:[Check Periodo Ref.]]="Dentro",DATOS_[Conc.Sal.08]))))),
0)</f>
        <v>0</v>
      </c>
      <c r="N61" s="170">
        <f t="array" ref="N61">IFERROR(
MEDIAN((IF(DATOS_[[Sexo]:[Sexo]]=$B61,IF(DATOS_[[AGRUP. CLAS. PROF.]:[AGRUP. CLAS. PROF.]]=$B60,IF(DATOS_[[Check Periodo Ref.]:[Check Periodo Ref.]]="Dentro",DATOS_[Conc.Sal.09]))))),
0)</f>
        <v>0</v>
      </c>
      <c r="O61" s="170">
        <f t="array" ref="O61">IFERROR(
MEDIAN((IF(DATOS_[[Sexo]:[Sexo]]=$B61,IF(DATOS_[[AGRUP. CLAS. PROF.]:[AGRUP. CLAS. PROF.]]=$B60,IF(DATOS_[[Check Periodo Ref.]:[Check Periodo Ref.]]="Dentro",DATOS_[Conc.Sal.10]))))),
0)</f>
        <v>0</v>
      </c>
      <c r="P61" s="170">
        <f t="array" ref="P61">IFERROR(
MEDIAN((IF(DATOS_[[Sexo]:[Sexo]]=$B61,IF(DATOS_[[AGRUP. CLAS. PROF.]:[AGRUP. CLAS. PROF.]]=$B60,IF(DATOS_[[Check Periodo Ref.]:[Check Periodo Ref.]]="Dentro",DATOS_[Conc.Sal.11]))))),
0)</f>
        <v>0</v>
      </c>
      <c r="Q61" s="170">
        <f t="array" ref="Q61">IFERROR(
MEDIAN((IF(DATOS_[[Sexo]:[Sexo]]=$B61,IF(DATOS_[[AGRUP. CLAS. PROF.]:[AGRUP. CLAS. PROF.]]=$B60,IF(DATOS_[[Check Periodo Ref.]:[Check Periodo Ref.]]="Dentro",DATOS_[Conc.Sal.12]))))),
0)</f>
        <v>0</v>
      </c>
      <c r="R61" s="170">
        <f t="array" ref="R61">IFERROR(
MEDIAN((IF(DATOS_[[Sexo]:[Sexo]]=$B61,IF(DATOS_[[AGRUP. CLAS. PROF.]:[AGRUP. CLAS. PROF.]]=$B60,IF(DATOS_[[Check Periodo Ref.]:[Check Periodo Ref.]]="Dentro",DATOS_[Conc.Sal.13]))))),
0)</f>
        <v>0</v>
      </c>
      <c r="S61" s="170">
        <f t="array" ref="S61">IFERROR(
MEDIAN((IF(DATOS_[[Sexo]:[Sexo]]=$B61,IF(DATOS_[[AGRUP. CLAS. PROF.]:[AGRUP. CLAS. PROF.]]=$B60,IF(DATOS_[[Check Periodo Ref.]:[Check Periodo Ref.]]="Dentro",DATOS_[Conc.Sal.14]))))),
0)</f>
        <v>0</v>
      </c>
      <c r="T61" s="170">
        <f t="array" ref="T61">IFERROR(
MEDIAN((IF(DATOS_[[Sexo]:[Sexo]]=$B61,IF(DATOS_[[AGRUP. CLAS. PROF.]:[AGRUP. CLAS. PROF.]]=$B60,IF(DATOS_[[Check Periodo Ref.]:[Check Periodo Ref.]]="Dentro",DATOS_[Conc.Sal.15]))))),
0)</f>
        <v>0</v>
      </c>
      <c r="U61" s="170">
        <f t="array" ref="U61">IFERROR(
MEDIAN((IF(DATOS_[[Sexo]:[Sexo]]=$B61,IF(DATOS_[[AGRUP. CLAS. PROF.]:[AGRUP. CLAS. PROF.]]=$B60,IF(DATOS_[[Check Periodo Ref.]:[Check Periodo Ref.]]="Dentro",DATOS_[Conc.Sal.16]))))),
0)</f>
        <v>0</v>
      </c>
      <c r="V61" s="170">
        <f t="array" ref="V61">IFERROR(
MEDIAN((IF(DATOS_[[Sexo]:[Sexo]]=$B61,IF(DATOS_[[AGRUP. CLAS. PROF.]:[AGRUP. CLAS. PROF.]]=$B60,IF(DATOS_[[Check Periodo Ref.]:[Check Periodo Ref.]]="Dentro",DATOS_[Conc.Sal.17]))))),
0)</f>
        <v>0</v>
      </c>
      <c r="W61" s="170">
        <f t="array" ref="W61">IFERROR(
MEDIAN((IF(DATOS_[[Sexo]:[Sexo]]=$B61,IF(DATOS_[[AGRUP. CLAS. PROF.]:[AGRUP. CLAS. PROF.]]=$B60,IF(DATOS_[[Check Periodo Ref.]:[Check Periodo Ref.]]="Dentro",DATOS_[Conc.Sal.18]))))),
0)</f>
        <v>0</v>
      </c>
      <c r="X61" s="170">
        <f t="array" ref="X61">IFERROR(
MEDIAN((IF(DATOS_[[Sexo]:[Sexo]]=$B61,IF(DATOS_[[AGRUP. CLAS. PROF.]:[AGRUP. CLAS. PROF.]]=$B60,IF(DATOS_[[Check Periodo Ref.]:[Check Periodo Ref.]]="Dentro",DATOS_[Conc.Sal.19]))))),
0)</f>
        <v>0</v>
      </c>
      <c r="Y61" s="170">
        <f t="array" ref="Y61">IFERROR(
MEDIAN((IF(DATOS_[[Sexo]:[Sexo]]=$B61,IF(DATOS_[[AGRUP. CLAS. PROF.]:[AGRUP. CLAS. PROF.]]=$B60,IF(DATOS_[[Check Periodo Ref.]:[Check Periodo Ref.]]="Dentro",DATOS_[Conc.Sal.20]))))),
0)</f>
        <v>0</v>
      </c>
      <c r="Z61" s="170">
        <f t="array" ref="Z61">IFERROR(
MEDIAN((IF(DATOS_[[Sexo]:[Sexo]]=$B61,IF(DATOS_[[AGRUP. CLAS. PROF.]:[AGRUP. CLAS. PROF.]]=$B60,IF(DATOS_[[Check Periodo Ref.]:[Check Periodo Ref.]]="Dentro",DATOS_[Conc.Sal.21]))))),
0)</f>
        <v>0</v>
      </c>
      <c r="AA61" s="170">
        <f t="array" ref="AA61">IFERROR(
MEDIAN((IF(DATOS_[[Sexo]:[Sexo]]=$B61,IF(DATOS_[[AGRUP. CLAS. PROF.]:[AGRUP. CLAS. PROF.]]=$B60,IF(DATOS_[[Check Periodo Ref.]:[Check Periodo Ref.]]="Dentro",DATOS_[Conc.Sal.22]))))),
0)</f>
        <v>0</v>
      </c>
      <c r="AB61" s="170">
        <f t="array" ref="AB61">IFERROR(
MEDIAN((IF(DATOS_[[Sexo]:[Sexo]]=$B61,IF(DATOS_[[AGRUP. CLAS. PROF.]:[AGRUP. CLAS. PROF.]]=$B60,IF(DATOS_[[Check Periodo Ref.]:[Check Periodo Ref.]]="Dentro",DATOS_[Conc.Sal.23]))))),
0)</f>
        <v>0</v>
      </c>
      <c r="AC61" s="170">
        <f t="array" ref="AC61">IFERROR(
MEDIAN((IF(DATOS_[[Sexo]:[Sexo]]=$B61,IF(DATOS_[[AGRUP. CLAS. PROF.]:[AGRUP. CLAS. PROF.]]=$B60,IF(DATOS_[[Check Periodo Ref.]:[Check Periodo Ref.]]="Dentro",DATOS_[Conc.Sal.24]))))),
0)</f>
        <v>0</v>
      </c>
      <c r="AD61" s="170">
        <f t="array" ref="AD61">IFERROR(
MEDIAN((IF(DATOS_[[Sexo]:[Sexo]]=$B61,IF(DATOS_[[AGRUP. CLAS. PROF.]:[AGRUP. CLAS. PROF.]]=$B60,IF(DATOS_[[Check Periodo Ref.]:[Check Periodo Ref.]]="Dentro",DATOS_[Conc.Sal.25]))))),
0)</f>
        <v>0</v>
      </c>
      <c r="AE61" s="170">
        <f t="array" ref="AE61">IFERROR(
MEDIAN((IF(DATOS_[[Sexo]:[Sexo]]=$B61,IF(DATOS_[[AGRUP. CLAS. PROF.]:[AGRUP. CLAS. PROF.]]=$B60,IF(DATOS_[[Check Periodo Ref.]:[Check Periodo Ref.]]="Dentro",DATOS_[Conc.Sal.26]))))),
0)</f>
        <v>0</v>
      </c>
      <c r="AF61" s="170">
        <f t="array" ref="AF61">IFERROR(
MEDIAN((IF(DATOS_[[Sexo]:[Sexo]]=$B61,IF(DATOS_[[AGRUP. CLAS. PROF.]:[AGRUP. CLAS. PROF.]]=$B60,IF(DATOS_[[Check Periodo Ref.]:[Check Periodo Ref.]]="Dentro",DATOS_[Conc.Sal.27]))))),
0)</f>
        <v>0</v>
      </c>
      <c r="AG61" s="170">
        <f t="array" ref="AG61">IFERROR(
MEDIAN((IF(DATOS_[[Sexo]:[Sexo]]=$B61,IF(DATOS_[[AGRUP. CLAS. PROF.]:[AGRUP. CLAS. PROF.]]=$B60,IF(DATOS_[[Check Periodo Ref.]:[Check Periodo Ref.]]="Dentro",DATOS_[Conc.Sal.28]))))),
0)</f>
        <v>0</v>
      </c>
      <c r="AH61" s="170">
        <f t="array" ref="AH61">IFERROR(
MEDIAN((IF(DATOS_[[Sexo]:[Sexo]]=$B61,IF(DATOS_[[AGRUP. CLAS. PROF.]:[AGRUP. CLAS. PROF.]]=$B60,IF(DATOS_[[Check Periodo Ref.]:[Check Periodo Ref.]]="Dentro",DATOS_[Conc.Sal.29]))))),
0)</f>
        <v>0</v>
      </c>
      <c r="AI61" s="170">
        <f t="array" ref="AI61">IFERROR(
MEDIAN((IF(DATOS_[[Sexo]:[Sexo]]=$B61,IF(DATOS_[[AGRUP. CLAS. PROF.]:[AGRUP. CLAS. PROF.]]=$B60,IF(DATOS_[[Check Periodo Ref.]:[Check Periodo Ref.]]="Dentro",DATOS_[Conc.Sal.30]))))),
0)</f>
        <v>0</v>
      </c>
      <c r="AJ61" s="171">
        <f t="array" ref="AJ61">IFERROR(
MEDIAN(IF(DATOS_[Sexo]=$B61,IF(DATOS_[AGRUP. CLAS. PROF.]=$B60,IF(DATOS_[Check Periodo Ref.]="Dentro",DATOS_[Tot COMPL.SAL Ef],FALSE)))),
0)</f>
        <v>0</v>
      </c>
      <c r="AK61" s="172">
        <f t="array" ref="AK61">IFERROR(
MEDIAN(IF(DATOS_[Sexo]=$B61,IF(DATOS_[AGRUP. CLAS. PROF.]=$B60,IF(DATOS_[Check Periodo Ref.]="Dentro",DATOS_[TOTAL SALARIO Ef],FALSE)))),
0)</f>
        <v>0</v>
      </c>
      <c r="AL61" s="173">
        <f t="array" ref="AL61">IFERROR(
MEDIAN((IF(DATOS_[[Sexo]:[Sexo]]=$B61,IF(DATOS_[[AGRUP. CLAS. PROF.]:[AGRUP. CLAS. PROF.]]=$B60,IF(DATOS_[[Check Periodo Ref.]:[Check Periodo Ref.]]="Dentro",DATOS_[C.Extra.01]))))),
0)</f>
        <v>0</v>
      </c>
      <c r="AM61" s="173">
        <f t="array" ref="AM61">IFERROR(
MEDIAN((IF(DATOS_[[Sexo]:[Sexo]]=$B61,IF(DATOS_[[AGRUP. CLAS. PROF.]:[AGRUP. CLAS. PROF.]]=$B60,IF(DATOS_[[Check Periodo Ref.]:[Check Periodo Ref.]]="Dentro",DATOS_[C.Extra.06]))))),
0)</f>
        <v>0</v>
      </c>
      <c r="AN61" s="173">
        <f t="array" ref="AN61">IFERROR(
MEDIAN((IF(DATOS_[[Sexo]:[Sexo]]=$B61,IF(DATOS_[[AGRUP. CLAS. PROF.]:[AGRUP. CLAS. PROF.]]=$B60,IF(DATOS_[[Check Periodo Ref.]:[Check Periodo Ref.]]="Dentro",DATOS_[C.Extra.07]))))),
0)</f>
        <v>0</v>
      </c>
      <c r="AO61" s="173">
        <f t="array" ref="AO61">IFERROR(
MEDIAN((IF(DATOS_[[Sexo]:[Sexo]]=$B61,IF(DATOS_[[AGRUP. CLAS. PROF.]:[AGRUP. CLAS. PROF.]]=$B60,IF(DATOS_[[Check Periodo Ref.]:[Check Periodo Ref.]]="Dentro",DATOS_[C.Extra.08]))))),
0)</f>
        <v>0</v>
      </c>
      <c r="AP61" s="173">
        <f t="array" ref="AP61">IFERROR(
MEDIAN((IF(DATOS_[[Sexo]:[Sexo]]=$B61,IF(DATOS_[[AGRUP. CLAS. PROF.]:[AGRUP. CLAS. PROF.]]=$B60,IF(DATOS_[[Check Periodo Ref.]:[Check Periodo Ref.]]="Dentro",DATOS_[C.Extra.11]))))),
0)</f>
        <v>0</v>
      </c>
      <c r="AQ61" s="174">
        <f t="array" ref="AQ61">IFERROR(
MEDIAN(IF(DATOS_[Sexo]=$B61,IF(DATOS_[AGRUP. CLAS. PROF.]=$B60,IF(DATOS_[Check Periodo Ref.]="Dentro",DATOS_[Tot Extrasalarial Ef],FALSE)))),
0)</f>
        <v>0</v>
      </c>
      <c r="AR61" s="171">
        <f t="array" ref="AR61">IFERROR(
MEDIAN(IF(DATOS_[Sexo]=$B61,IF(DATOS_[AGRUP. CLAS. PROF.]=$B60,IF(DATOS_[Check Periodo Ref.]="Dentro",DATOS_[TOTAL Retrib Ef],FALSE)))),
0)</f>
        <v>0</v>
      </c>
    </row>
    <row r="62" spans="1:44" hidden="1" x14ac:dyDescent="0.25">
      <c r="A62" s="178" t="str">
        <f t="shared" ref="A62" si="66">+A61</f>
        <v>[ocultar]</v>
      </c>
      <c r="B62" s="166" t="s">
        <v>521</v>
      </c>
      <c r="C62" s="167">
        <f t="array" ref="C62">SUM(IF($B62=DATOS_[Sexo],
IF($B60=DATOS_[AGRUP. CLAS. PROF.],
IF("Dentro"=DATOS_[Check Periodo Ref.],
1/(COUNTIFS(DATOS_[Sexo],$B62,DATOS_[AGRUP. CLAS. PROF.],$B60,DATOS_[Check Periodo Ref.],"Dentro",DATOS_[id/cod],DATOS_[id/cod]))))))</f>
        <v>0</v>
      </c>
      <c r="D62" s="168">
        <f>COUNTIFS(DATOS_[AGRUP. CLAS. PROF.],$B60,DATOS_[Sexo],$B62,DATOS_[Check Periodo Ref.],"Dentro")</f>
        <v>0</v>
      </c>
      <c r="E62" s="169">
        <f t="array" ref="E62">IFERROR(
MEDIAN(IF(DATOS_[Sexo]=$B62,IF(DATOS_[AGRUP. CLAS. PROF.]=$B60,IF(DATOS_[Check Periodo Ref.]="Dentro",DATOS_[SALARIO BASE Ef],FALSE)))),
0)</f>
        <v>0</v>
      </c>
      <c r="F62" s="170">
        <f t="array" ref="F62">IFERROR(
MEDIAN((IF(DATOS_[[Sexo]:[Sexo]]=$B62,IF(DATOS_[[AGRUP. CLAS. PROF.]:[AGRUP. CLAS. PROF.]]=$B60,IF(DATOS_[[Check Periodo Ref.]:[Check Periodo Ref.]]="Dentro",DATOS_[Conc.Sal.01]))))),
0)</f>
        <v>0</v>
      </c>
      <c r="G62" s="170">
        <f t="array" ref="G62">IFERROR(
MEDIAN((IF(DATOS_[[Sexo]:[Sexo]]=$B62,IF(DATOS_[[AGRUP. CLAS. PROF.]:[AGRUP. CLAS. PROF.]]=$B60,IF(DATOS_[[Check Periodo Ref.]:[Check Periodo Ref.]]="Dentro",DATOS_[Conc.Sal.02]))))),
0)</f>
        <v>0</v>
      </c>
      <c r="H62" s="170">
        <f t="array" ref="H62">IFERROR(
MEDIAN((IF(DATOS_[[Sexo]:[Sexo]]=$B62,IF(DATOS_[[AGRUP. CLAS. PROF.]:[AGRUP. CLAS. PROF.]]=$B60,IF(DATOS_[[Check Periodo Ref.]:[Check Periodo Ref.]]="Dentro",DATOS_[Conc.Sal.03]))))),
0)</f>
        <v>0</v>
      </c>
      <c r="I62" s="170">
        <f t="array" ref="I62">IFERROR(
MEDIAN((IF(DATOS_[[Sexo]:[Sexo]]=$B62,IF(DATOS_[[AGRUP. CLAS. PROF.]:[AGRUP. CLAS. PROF.]]=$B60,IF(DATOS_[[Check Periodo Ref.]:[Check Periodo Ref.]]="Dentro",DATOS_[Conc.Sal.04]))))),
0)</f>
        <v>0</v>
      </c>
      <c r="J62" s="170">
        <f t="array" ref="J62">IFERROR(
MEDIAN((IF(DATOS_[[Sexo]:[Sexo]]=$B62,IF(DATOS_[[AGRUP. CLAS. PROF.]:[AGRUP. CLAS. PROF.]]=$B60,IF(DATOS_[[Check Periodo Ref.]:[Check Periodo Ref.]]="Dentro",DATOS_[Conc.Sal.05]))))),
0)</f>
        <v>0</v>
      </c>
      <c r="K62" s="170">
        <f t="array" ref="K62">IFERROR(
MEDIAN((IF(DATOS_[[Sexo]:[Sexo]]=$B62,IF(DATOS_[[AGRUP. CLAS. PROF.]:[AGRUP. CLAS. PROF.]]=$B60,IF(DATOS_[[Check Periodo Ref.]:[Check Periodo Ref.]]="Dentro",DATOS_[Conc.Sal.06]))))),
0)</f>
        <v>0</v>
      </c>
      <c r="L62" s="170">
        <f t="array" ref="L62">IFERROR(
MEDIAN((IF(DATOS_[[Sexo]:[Sexo]]=$B62,IF(DATOS_[[AGRUP. CLAS. PROF.]:[AGRUP. CLAS. PROF.]]=$B60,IF(DATOS_[[Check Periodo Ref.]:[Check Periodo Ref.]]="Dentro",DATOS_[Conc.Sal.07]))))),
0)</f>
        <v>0</v>
      </c>
      <c r="M62" s="170">
        <f t="array" ref="M62">IFERROR(
MEDIAN((IF(DATOS_[[Sexo]:[Sexo]]=$B62,IF(DATOS_[[AGRUP. CLAS. PROF.]:[AGRUP. CLAS. PROF.]]=$B60,IF(DATOS_[[Check Periodo Ref.]:[Check Periodo Ref.]]="Dentro",DATOS_[Conc.Sal.08]))))),
0)</f>
        <v>0</v>
      </c>
      <c r="N62" s="170">
        <f t="array" ref="N62">IFERROR(
MEDIAN((IF(DATOS_[[Sexo]:[Sexo]]=$B62,IF(DATOS_[[AGRUP. CLAS. PROF.]:[AGRUP. CLAS. PROF.]]=$B60,IF(DATOS_[[Check Periodo Ref.]:[Check Periodo Ref.]]="Dentro",DATOS_[Conc.Sal.09]))))),
0)</f>
        <v>0</v>
      </c>
      <c r="O62" s="170">
        <f t="array" ref="O62">IFERROR(
MEDIAN((IF(DATOS_[[Sexo]:[Sexo]]=$B62,IF(DATOS_[[AGRUP. CLAS. PROF.]:[AGRUP. CLAS. PROF.]]=$B60,IF(DATOS_[[Check Periodo Ref.]:[Check Periodo Ref.]]="Dentro",DATOS_[Conc.Sal.10]))))),
0)</f>
        <v>0</v>
      </c>
      <c r="P62" s="170">
        <f t="array" ref="P62">IFERROR(
MEDIAN((IF(DATOS_[[Sexo]:[Sexo]]=$B62,IF(DATOS_[[AGRUP. CLAS. PROF.]:[AGRUP. CLAS. PROF.]]=$B60,IF(DATOS_[[Check Periodo Ref.]:[Check Periodo Ref.]]="Dentro",DATOS_[Conc.Sal.11]))))),
0)</f>
        <v>0</v>
      </c>
      <c r="Q62" s="170">
        <f t="array" ref="Q62">IFERROR(
MEDIAN((IF(DATOS_[[Sexo]:[Sexo]]=$B62,IF(DATOS_[[AGRUP. CLAS. PROF.]:[AGRUP. CLAS. PROF.]]=$B60,IF(DATOS_[[Check Periodo Ref.]:[Check Periodo Ref.]]="Dentro",DATOS_[Conc.Sal.12]))))),
0)</f>
        <v>0</v>
      </c>
      <c r="R62" s="170">
        <f t="array" ref="R62">IFERROR(
MEDIAN((IF(DATOS_[[Sexo]:[Sexo]]=$B62,IF(DATOS_[[AGRUP. CLAS. PROF.]:[AGRUP. CLAS. PROF.]]=$B60,IF(DATOS_[[Check Periodo Ref.]:[Check Periodo Ref.]]="Dentro",DATOS_[Conc.Sal.13]))))),
0)</f>
        <v>0</v>
      </c>
      <c r="S62" s="170">
        <f t="array" ref="S62">IFERROR(
MEDIAN((IF(DATOS_[[Sexo]:[Sexo]]=$B62,IF(DATOS_[[AGRUP. CLAS. PROF.]:[AGRUP. CLAS. PROF.]]=$B60,IF(DATOS_[[Check Periodo Ref.]:[Check Periodo Ref.]]="Dentro",DATOS_[Conc.Sal.14]))))),
0)</f>
        <v>0</v>
      </c>
      <c r="T62" s="170">
        <f t="array" ref="T62">IFERROR(
MEDIAN((IF(DATOS_[[Sexo]:[Sexo]]=$B62,IF(DATOS_[[AGRUP. CLAS. PROF.]:[AGRUP. CLAS. PROF.]]=$B60,IF(DATOS_[[Check Periodo Ref.]:[Check Periodo Ref.]]="Dentro",DATOS_[Conc.Sal.15]))))),
0)</f>
        <v>0</v>
      </c>
      <c r="U62" s="170">
        <f t="array" ref="U62">IFERROR(
MEDIAN((IF(DATOS_[[Sexo]:[Sexo]]=$B62,IF(DATOS_[[AGRUP. CLAS. PROF.]:[AGRUP. CLAS. PROF.]]=$B60,IF(DATOS_[[Check Periodo Ref.]:[Check Periodo Ref.]]="Dentro",DATOS_[Conc.Sal.16]))))),
0)</f>
        <v>0</v>
      </c>
      <c r="V62" s="170">
        <f t="array" ref="V62">IFERROR(
MEDIAN((IF(DATOS_[[Sexo]:[Sexo]]=$B62,IF(DATOS_[[AGRUP. CLAS. PROF.]:[AGRUP. CLAS. PROF.]]=$B60,IF(DATOS_[[Check Periodo Ref.]:[Check Periodo Ref.]]="Dentro",DATOS_[Conc.Sal.17]))))),
0)</f>
        <v>0</v>
      </c>
      <c r="W62" s="170">
        <f t="array" ref="W62">IFERROR(
MEDIAN((IF(DATOS_[[Sexo]:[Sexo]]=$B62,IF(DATOS_[[AGRUP. CLAS. PROF.]:[AGRUP. CLAS. PROF.]]=$B60,IF(DATOS_[[Check Periodo Ref.]:[Check Periodo Ref.]]="Dentro",DATOS_[Conc.Sal.18]))))),
0)</f>
        <v>0</v>
      </c>
      <c r="X62" s="170">
        <f t="array" ref="X62">IFERROR(
MEDIAN((IF(DATOS_[[Sexo]:[Sexo]]=$B62,IF(DATOS_[[AGRUP. CLAS. PROF.]:[AGRUP. CLAS. PROF.]]=$B60,IF(DATOS_[[Check Periodo Ref.]:[Check Periodo Ref.]]="Dentro",DATOS_[Conc.Sal.19]))))),
0)</f>
        <v>0</v>
      </c>
      <c r="Y62" s="170">
        <f t="array" ref="Y62">IFERROR(
MEDIAN((IF(DATOS_[[Sexo]:[Sexo]]=$B62,IF(DATOS_[[AGRUP. CLAS. PROF.]:[AGRUP. CLAS. PROF.]]=$B60,IF(DATOS_[[Check Periodo Ref.]:[Check Periodo Ref.]]="Dentro",DATOS_[Conc.Sal.20]))))),
0)</f>
        <v>0</v>
      </c>
      <c r="Z62" s="170">
        <f t="array" ref="Z62">IFERROR(
MEDIAN((IF(DATOS_[[Sexo]:[Sexo]]=$B62,IF(DATOS_[[AGRUP. CLAS. PROF.]:[AGRUP. CLAS. PROF.]]=$B60,IF(DATOS_[[Check Periodo Ref.]:[Check Periodo Ref.]]="Dentro",DATOS_[Conc.Sal.21]))))),
0)</f>
        <v>0</v>
      </c>
      <c r="AA62" s="170">
        <f t="array" ref="AA62">IFERROR(
MEDIAN((IF(DATOS_[[Sexo]:[Sexo]]=$B62,IF(DATOS_[[AGRUP. CLAS. PROF.]:[AGRUP. CLAS. PROF.]]=$B60,IF(DATOS_[[Check Periodo Ref.]:[Check Periodo Ref.]]="Dentro",DATOS_[Conc.Sal.22]))))),
0)</f>
        <v>0</v>
      </c>
      <c r="AB62" s="170">
        <f t="array" ref="AB62">IFERROR(
MEDIAN((IF(DATOS_[[Sexo]:[Sexo]]=$B62,IF(DATOS_[[AGRUP. CLAS. PROF.]:[AGRUP. CLAS. PROF.]]=$B60,IF(DATOS_[[Check Periodo Ref.]:[Check Periodo Ref.]]="Dentro",DATOS_[Conc.Sal.23]))))),
0)</f>
        <v>0</v>
      </c>
      <c r="AC62" s="170">
        <f t="array" ref="AC62">IFERROR(
MEDIAN((IF(DATOS_[[Sexo]:[Sexo]]=$B62,IF(DATOS_[[AGRUP. CLAS. PROF.]:[AGRUP. CLAS. PROF.]]=$B60,IF(DATOS_[[Check Periodo Ref.]:[Check Periodo Ref.]]="Dentro",DATOS_[Conc.Sal.24]))))),
0)</f>
        <v>0</v>
      </c>
      <c r="AD62" s="170">
        <f t="array" ref="AD62">IFERROR(
MEDIAN((IF(DATOS_[[Sexo]:[Sexo]]=$B62,IF(DATOS_[[AGRUP. CLAS. PROF.]:[AGRUP. CLAS. PROF.]]=$B60,IF(DATOS_[[Check Periodo Ref.]:[Check Periodo Ref.]]="Dentro",DATOS_[Conc.Sal.25]))))),
0)</f>
        <v>0</v>
      </c>
      <c r="AE62" s="170">
        <f t="array" ref="AE62">IFERROR(
MEDIAN((IF(DATOS_[[Sexo]:[Sexo]]=$B62,IF(DATOS_[[AGRUP. CLAS. PROF.]:[AGRUP. CLAS. PROF.]]=$B60,IF(DATOS_[[Check Periodo Ref.]:[Check Periodo Ref.]]="Dentro",DATOS_[Conc.Sal.26]))))),
0)</f>
        <v>0</v>
      </c>
      <c r="AF62" s="170">
        <f t="array" ref="AF62">IFERROR(
MEDIAN((IF(DATOS_[[Sexo]:[Sexo]]=$B62,IF(DATOS_[[AGRUP. CLAS. PROF.]:[AGRUP. CLAS. PROF.]]=$B60,IF(DATOS_[[Check Periodo Ref.]:[Check Periodo Ref.]]="Dentro",DATOS_[Conc.Sal.27]))))),
0)</f>
        <v>0</v>
      </c>
      <c r="AG62" s="170">
        <f t="array" ref="AG62">IFERROR(
MEDIAN((IF(DATOS_[[Sexo]:[Sexo]]=$B62,IF(DATOS_[[AGRUP. CLAS. PROF.]:[AGRUP. CLAS. PROF.]]=$B60,IF(DATOS_[[Check Periodo Ref.]:[Check Periodo Ref.]]="Dentro",DATOS_[Conc.Sal.28]))))),
0)</f>
        <v>0</v>
      </c>
      <c r="AH62" s="170">
        <f t="array" ref="AH62">IFERROR(
MEDIAN((IF(DATOS_[[Sexo]:[Sexo]]=$B62,IF(DATOS_[[AGRUP. CLAS. PROF.]:[AGRUP. CLAS. PROF.]]=$B60,IF(DATOS_[[Check Periodo Ref.]:[Check Periodo Ref.]]="Dentro",DATOS_[Conc.Sal.29]))))),
0)</f>
        <v>0</v>
      </c>
      <c r="AI62" s="170">
        <f t="array" ref="AI62">IFERROR(
MEDIAN((IF(DATOS_[[Sexo]:[Sexo]]=$B62,IF(DATOS_[[AGRUP. CLAS. PROF.]:[AGRUP. CLAS. PROF.]]=$B60,IF(DATOS_[[Check Periodo Ref.]:[Check Periodo Ref.]]="Dentro",DATOS_[Conc.Sal.30]))))),
0)</f>
        <v>0</v>
      </c>
      <c r="AJ62" s="171">
        <f t="array" ref="AJ62">IFERROR(
MEDIAN(IF(DATOS_[Sexo]=$B62,IF(DATOS_[AGRUP. CLAS. PROF.]=$B60,IF(DATOS_[Check Periodo Ref.]="Dentro",DATOS_[Tot COMPL.SAL Ef],FALSE)))),
0)</f>
        <v>0</v>
      </c>
      <c r="AK62" s="172">
        <f t="array" ref="AK62">IFERROR(
MEDIAN(IF(DATOS_[Sexo]=$B62,IF(DATOS_[AGRUP. CLAS. PROF.]=$B60,IF(DATOS_[Check Periodo Ref.]="Dentro",DATOS_[TOTAL SALARIO Ef],FALSE)))),
0)</f>
        <v>0</v>
      </c>
      <c r="AL62" s="173">
        <f t="array" ref="AL62">IFERROR(
MEDIAN((IF(DATOS_[[Sexo]:[Sexo]]=$B62,IF(DATOS_[[AGRUP. CLAS. PROF.]:[AGRUP. CLAS. PROF.]]=$B60,IF(DATOS_[[Check Periodo Ref.]:[Check Periodo Ref.]]="Dentro",DATOS_[C.Extra.01]))))),
0)</f>
        <v>0</v>
      </c>
      <c r="AM62" s="173">
        <f t="array" ref="AM62">IFERROR(
MEDIAN((IF(DATOS_[[Sexo]:[Sexo]]=$B62,IF(DATOS_[[AGRUP. CLAS. PROF.]:[AGRUP. CLAS. PROF.]]=$B60,IF(DATOS_[[Check Periodo Ref.]:[Check Periodo Ref.]]="Dentro",DATOS_[C.Extra.06]))))),
0)</f>
        <v>0</v>
      </c>
      <c r="AN62" s="173">
        <f t="array" ref="AN62">IFERROR(
MEDIAN((IF(DATOS_[[Sexo]:[Sexo]]=$B62,IF(DATOS_[[AGRUP. CLAS. PROF.]:[AGRUP. CLAS. PROF.]]=$B60,IF(DATOS_[[Check Periodo Ref.]:[Check Periodo Ref.]]="Dentro",DATOS_[C.Extra.07]))))),
0)</f>
        <v>0</v>
      </c>
      <c r="AO62" s="173">
        <f t="array" ref="AO62">IFERROR(
MEDIAN((IF(DATOS_[[Sexo]:[Sexo]]=$B62,IF(DATOS_[[AGRUP. CLAS. PROF.]:[AGRUP. CLAS. PROF.]]=$B60,IF(DATOS_[[Check Periodo Ref.]:[Check Periodo Ref.]]="Dentro",DATOS_[C.Extra.08]))))),
0)</f>
        <v>0</v>
      </c>
      <c r="AP62" s="173">
        <f t="array" ref="AP62">IFERROR(
MEDIAN((IF(DATOS_[[Sexo]:[Sexo]]=$B62,IF(DATOS_[[AGRUP. CLAS. PROF.]:[AGRUP. CLAS. PROF.]]=$B60,IF(DATOS_[[Check Periodo Ref.]:[Check Periodo Ref.]]="Dentro",DATOS_[C.Extra.11]))))),
0)</f>
        <v>0</v>
      </c>
      <c r="AQ62" s="174">
        <f t="array" ref="AQ62">IFERROR(
MEDIAN(IF(DATOS_[Sexo]=$B62,IF(DATOS_[AGRUP. CLAS. PROF.]=$B60,IF(DATOS_[Check Periodo Ref.]="Dentro",DATOS_[Tot Extrasalarial Ef],FALSE)))),
0)</f>
        <v>0</v>
      </c>
      <c r="AR62" s="171">
        <f t="array" ref="AR62">IFERROR(
MEDIAN(IF(DATOS_[Sexo]=$B62,IF(DATOS_[AGRUP. CLAS. PROF.]=$B60,IF(DATOS_[Check Periodo Ref.]="Dentro",DATOS_[TOTAL Retrib Ef],FALSE)))),
0)</f>
        <v>0</v>
      </c>
    </row>
    <row r="63" spans="1:44" ht="14.4" hidden="1" thickBot="1" x14ac:dyDescent="0.3">
      <c r="A63" s="178" t="str">
        <f t="shared" ref="A63" si="67">+A64</f>
        <v>[ocultar]</v>
      </c>
      <c r="B63" s="153" t="s">
        <v>243</v>
      </c>
      <c r="C63" s="154"/>
      <c r="D63" s="155"/>
      <c r="E63" s="156" t="str">
        <f t="shared" ref="E63:AR63" si="68">IFERROR((E64-E65)/E64,"")</f>
        <v/>
      </c>
      <c r="F63" s="157" t="str">
        <f t="shared" si="68"/>
        <v/>
      </c>
      <c r="G63" s="158" t="str">
        <f t="shared" si="68"/>
        <v/>
      </c>
      <c r="H63" s="158" t="str">
        <f t="shared" si="68"/>
        <v/>
      </c>
      <c r="I63" s="158" t="str">
        <f t="shared" si="68"/>
        <v/>
      </c>
      <c r="J63" s="159" t="str">
        <f t="shared" si="68"/>
        <v/>
      </c>
      <c r="K63" s="160" t="str">
        <f t="shared" si="68"/>
        <v/>
      </c>
      <c r="L63" s="160" t="str">
        <f t="shared" si="68"/>
        <v/>
      </c>
      <c r="M63" s="160" t="str">
        <f t="shared" si="68"/>
        <v/>
      </c>
      <c r="N63" s="160" t="str">
        <f t="shared" si="68"/>
        <v/>
      </c>
      <c r="O63" s="160" t="str">
        <f t="shared" si="68"/>
        <v/>
      </c>
      <c r="P63" s="160" t="str">
        <f t="shared" si="68"/>
        <v/>
      </c>
      <c r="Q63" s="160" t="str">
        <f t="shared" si="68"/>
        <v/>
      </c>
      <c r="R63" s="160" t="str">
        <f t="shared" si="68"/>
        <v/>
      </c>
      <c r="S63" s="160" t="str">
        <f t="shared" si="68"/>
        <v/>
      </c>
      <c r="T63" s="160" t="str">
        <f t="shared" si="68"/>
        <v/>
      </c>
      <c r="U63" s="160" t="str">
        <f t="shared" si="68"/>
        <v/>
      </c>
      <c r="V63" s="159" t="str">
        <f t="shared" si="68"/>
        <v/>
      </c>
      <c r="W63" s="159" t="str">
        <f t="shared" si="68"/>
        <v/>
      </c>
      <c r="X63" s="159" t="str">
        <f t="shared" si="68"/>
        <v/>
      </c>
      <c r="Y63" s="159" t="str">
        <f t="shared" si="68"/>
        <v/>
      </c>
      <c r="Z63" s="159" t="str">
        <f t="shared" si="68"/>
        <v/>
      </c>
      <c r="AA63" s="159" t="str">
        <f t="shared" si="68"/>
        <v/>
      </c>
      <c r="AB63" s="159" t="str">
        <f t="shared" si="68"/>
        <v/>
      </c>
      <c r="AC63" s="159" t="str">
        <f t="shared" si="68"/>
        <v/>
      </c>
      <c r="AD63" s="159" t="str">
        <f t="shared" si="68"/>
        <v/>
      </c>
      <c r="AE63" s="159" t="str">
        <f t="shared" si="68"/>
        <v/>
      </c>
      <c r="AF63" s="159" t="str">
        <f t="shared" si="68"/>
        <v/>
      </c>
      <c r="AG63" s="159" t="str">
        <f t="shared" si="68"/>
        <v/>
      </c>
      <c r="AH63" s="159" t="str">
        <f t="shared" si="68"/>
        <v/>
      </c>
      <c r="AI63" s="159" t="str">
        <f t="shared" si="68"/>
        <v/>
      </c>
      <c r="AJ63" s="161" t="str">
        <f t="shared" si="68"/>
        <v/>
      </c>
      <c r="AK63" s="162" t="str">
        <f t="shared" si="68"/>
        <v/>
      </c>
      <c r="AL63" s="163" t="str">
        <f t="shared" si="68"/>
        <v/>
      </c>
      <c r="AM63" s="163" t="str">
        <f t="shared" si="68"/>
        <v/>
      </c>
      <c r="AN63" s="163" t="str">
        <f t="shared" si="68"/>
        <v/>
      </c>
      <c r="AO63" s="163" t="str">
        <f t="shared" si="68"/>
        <v/>
      </c>
      <c r="AP63" s="163" t="str">
        <f t="shared" si="68"/>
        <v/>
      </c>
      <c r="AQ63" s="164" t="str">
        <f t="shared" si="68"/>
        <v/>
      </c>
      <c r="AR63" s="161" t="str">
        <f t="shared" si="68"/>
        <v/>
      </c>
    </row>
    <row r="64" spans="1:44" hidden="1" x14ac:dyDescent="0.25">
      <c r="A64" s="178" t="str">
        <f t="shared" ref="A64" si="69">+IF(C64+C65=0,"[ocultar]","")</f>
        <v>[ocultar]</v>
      </c>
      <c r="B64" s="166" t="s">
        <v>394</v>
      </c>
      <c r="C64" s="167">
        <f t="array" ref="C64">SUM(IF($B64=DATOS_[Sexo],
IF($B63=DATOS_[AGRUP. CLAS. PROF.],
IF("Dentro"=DATOS_[Check Periodo Ref.],
1/(COUNTIFS(DATOS_[Sexo],$B64,DATOS_[AGRUP. CLAS. PROF.],$B63,DATOS_[Check Periodo Ref.],"Dentro",DATOS_[id/cod],DATOS_[id/cod]))))))</f>
        <v>0</v>
      </c>
      <c r="D64" s="168">
        <f>COUNTIFS(DATOS_[AGRUP. CLAS. PROF.],$B63,DATOS_[Sexo],$B64,DATOS_[Check Periodo Ref.],"Dentro")</f>
        <v>0</v>
      </c>
      <c r="E64" s="169">
        <f t="array" ref="E64">IFERROR(
MEDIAN(IF(DATOS_[Sexo]=$B64,IF(DATOS_[AGRUP. CLAS. PROF.]=$B63,IF(DATOS_[Check Periodo Ref.]="Dentro",DATOS_[SALARIO BASE Ef],FALSE)))),
0)</f>
        <v>0</v>
      </c>
      <c r="F64" s="170">
        <f t="array" ref="F64">IFERROR(
MEDIAN((IF(DATOS_[[Sexo]:[Sexo]]=$B64,IF(DATOS_[[AGRUP. CLAS. PROF.]:[AGRUP. CLAS. PROF.]]=$B63,IF(DATOS_[[Check Periodo Ref.]:[Check Periodo Ref.]]="Dentro",DATOS_[Conc.Sal.01]))))),
0)</f>
        <v>0</v>
      </c>
      <c r="G64" s="170">
        <f t="array" ref="G64">IFERROR(
MEDIAN((IF(DATOS_[[Sexo]:[Sexo]]=$B64,IF(DATOS_[[AGRUP. CLAS. PROF.]:[AGRUP. CLAS. PROF.]]=$B63,IF(DATOS_[[Check Periodo Ref.]:[Check Periodo Ref.]]="Dentro",DATOS_[Conc.Sal.02]))))),
0)</f>
        <v>0</v>
      </c>
      <c r="H64" s="170">
        <f t="array" ref="H64">IFERROR(
MEDIAN((IF(DATOS_[[Sexo]:[Sexo]]=$B64,IF(DATOS_[[AGRUP. CLAS. PROF.]:[AGRUP. CLAS. PROF.]]=$B63,IF(DATOS_[[Check Periodo Ref.]:[Check Periodo Ref.]]="Dentro",DATOS_[Conc.Sal.03]))))),
0)</f>
        <v>0</v>
      </c>
      <c r="I64" s="170">
        <f t="array" ref="I64">IFERROR(
MEDIAN((IF(DATOS_[[Sexo]:[Sexo]]=$B64,IF(DATOS_[[AGRUP. CLAS. PROF.]:[AGRUP. CLAS. PROF.]]=$B63,IF(DATOS_[[Check Periodo Ref.]:[Check Periodo Ref.]]="Dentro",DATOS_[Conc.Sal.04]))))),
0)</f>
        <v>0</v>
      </c>
      <c r="J64" s="170">
        <f t="array" ref="J64">IFERROR(
MEDIAN((IF(DATOS_[[Sexo]:[Sexo]]=$B64,IF(DATOS_[[AGRUP. CLAS. PROF.]:[AGRUP. CLAS. PROF.]]=$B63,IF(DATOS_[[Check Periodo Ref.]:[Check Periodo Ref.]]="Dentro",DATOS_[Conc.Sal.05]))))),
0)</f>
        <v>0</v>
      </c>
      <c r="K64" s="170">
        <f t="array" ref="K64">IFERROR(
MEDIAN((IF(DATOS_[[Sexo]:[Sexo]]=$B64,IF(DATOS_[[AGRUP. CLAS. PROF.]:[AGRUP. CLAS. PROF.]]=$B63,IF(DATOS_[[Check Periodo Ref.]:[Check Periodo Ref.]]="Dentro",DATOS_[Conc.Sal.06]))))),
0)</f>
        <v>0</v>
      </c>
      <c r="L64" s="170">
        <f t="array" ref="L64">IFERROR(
MEDIAN((IF(DATOS_[[Sexo]:[Sexo]]=$B64,IF(DATOS_[[AGRUP. CLAS. PROF.]:[AGRUP. CLAS. PROF.]]=$B63,IF(DATOS_[[Check Periodo Ref.]:[Check Periodo Ref.]]="Dentro",DATOS_[Conc.Sal.07]))))),
0)</f>
        <v>0</v>
      </c>
      <c r="M64" s="170">
        <f t="array" ref="M64">IFERROR(
MEDIAN((IF(DATOS_[[Sexo]:[Sexo]]=$B64,IF(DATOS_[[AGRUP. CLAS. PROF.]:[AGRUP. CLAS. PROF.]]=$B63,IF(DATOS_[[Check Periodo Ref.]:[Check Periodo Ref.]]="Dentro",DATOS_[Conc.Sal.08]))))),
0)</f>
        <v>0</v>
      </c>
      <c r="N64" s="170">
        <f t="array" ref="N64">IFERROR(
MEDIAN((IF(DATOS_[[Sexo]:[Sexo]]=$B64,IF(DATOS_[[AGRUP. CLAS. PROF.]:[AGRUP. CLAS. PROF.]]=$B63,IF(DATOS_[[Check Periodo Ref.]:[Check Periodo Ref.]]="Dentro",DATOS_[Conc.Sal.09]))))),
0)</f>
        <v>0</v>
      </c>
      <c r="O64" s="170">
        <f t="array" ref="O64">IFERROR(
MEDIAN((IF(DATOS_[[Sexo]:[Sexo]]=$B64,IF(DATOS_[[AGRUP. CLAS. PROF.]:[AGRUP. CLAS. PROF.]]=$B63,IF(DATOS_[[Check Periodo Ref.]:[Check Periodo Ref.]]="Dentro",DATOS_[Conc.Sal.10]))))),
0)</f>
        <v>0</v>
      </c>
      <c r="P64" s="170">
        <f t="array" ref="P64">IFERROR(
MEDIAN((IF(DATOS_[[Sexo]:[Sexo]]=$B64,IF(DATOS_[[AGRUP. CLAS. PROF.]:[AGRUP. CLAS. PROF.]]=$B63,IF(DATOS_[[Check Periodo Ref.]:[Check Periodo Ref.]]="Dentro",DATOS_[Conc.Sal.11]))))),
0)</f>
        <v>0</v>
      </c>
      <c r="Q64" s="170">
        <f t="array" ref="Q64">IFERROR(
MEDIAN((IF(DATOS_[[Sexo]:[Sexo]]=$B64,IF(DATOS_[[AGRUP. CLAS. PROF.]:[AGRUP. CLAS. PROF.]]=$B63,IF(DATOS_[[Check Periodo Ref.]:[Check Periodo Ref.]]="Dentro",DATOS_[Conc.Sal.12]))))),
0)</f>
        <v>0</v>
      </c>
      <c r="R64" s="170">
        <f t="array" ref="R64">IFERROR(
MEDIAN((IF(DATOS_[[Sexo]:[Sexo]]=$B64,IF(DATOS_[[AGRUP. CLAS. PROF.]:[AGRUP. CLAS. PROF.]]=$B63,IF(DATOS_[[Check Periodo Ref.]:[Check Periodo Ref.]]="Dentro",DATOS_[Conc.Sal.13]))))),
0)</f>
        <v>0</v>
      </c>
      <c r="S64" s="170">
        <f t="array" ref="S64">IFERROR(
MEDIAN((IF(DATOS_[[Sexo]:[Sexo]]=$B64,IF(DATOS_[[AGRUP. CLAS. PROF.]:[AGRUP. CLAS. PROF.]]=$B63,IF(DATOS_[[Check Periodo Ref.]:[Check Periodo Ref.]]="Dentro",DATOS_[Conc.Sal.14]))))),
0)</f>
        <v>0</v>
      </c>
      <c r="T64" s="170">
        <f t="array" ref="T64">IFERROR(
MEDIAN((IF(DATOS_[[Sexo]:[Sexo]]=$B64,IF(DATOS_[[AGRUP. CLAS. PROF.]:[AGRUP. CLAS. PROF.]]=$B63,IF(DATOS_[[Check Periodo Ref.]:[Check Periodo Ref.]]="Dentro",DATOS_[Conc.Sal.15]))))),
0)</f>
        <v>0</v>
      </c>
      <c r="U64" s="170">
        <f t="array" ref="U64">IFERROR(
MEDIAN((IF(DATOS_[[Sexo]:[Sexo]]=$B64,IF(DATOS_[[AGRUP. CLAS. PROF.]:[AGRUP. CLAS. PROF.]]=$B63,IF(DATOS_[[Check Periodo Ref.]:[Check Periodo Ref.]]="Dentro",DATOS_[Conc.Sal.16]))))),
0)</f>
        <v>0</v>
      </c>
      <c r="V64" s="170">
        <f t="array" ref="V64">IFERROR(
MEDIAN((IF(DATOS_[[Sexo]:[Sexo]]=$B64,IF(DATOS_[[AGRUP. CLAS. PROF.]:[AGRUP. CLAS. PROF.]]=$B63,IF(DATOS_[[Check Periodo Ref.]:[Check Periodo Ref.]]="Dentro",DATOS_[Conc.Sal.17]))))),
0)</f>
        <v>0</v>
      </c>
      <c r="W64" s="170">
        <f t="array" ref="W64">IFERROR(
MEDIAN((IF(DATOS_[[Sexo]:[Sexo]]=$B64,IF(DATOS_[[AGRUP. CLAS. PROF.]:[AGRUP. CLAS. PROF.]]=$B63,IF(DATOS_[[Check Periodo Ref.]:[Check Periodo Ref.]]="Dentro",DATOS_[Conc.Sal.18]))))),
0)</f>
        <v>0</v>
      </c>
      <c r="X64" s="170">
        <f t="array" ref="X64">IFERROR(
MEDIAN((IF(DATOS_[[Sexo]:[Sexo]]=$B64,IF(DATOS_[[AGRUP. CLAS. PROF.]:[AGRUP. CLAS. PROF.]]=$B63,IF(DATOS_[[Check Periodo Ref.]:[Check Periodo Ref.]]="Dentro",DATOS_[Conc.Sal.19]))))),
0)</f>
        <v>0</v>
      </c>
      <c r="Y64" s="170">
        <f t="array" ref="Y64">IFERROR(
MEDIAN((IF(DATOS_[[Sexo]:[Sexo]]=$B64,IF(DATOS_[[AGRUP. CLAS. PROF.]:[AGRUP. CLAS. PROF.]]=$B63,IF(DATOS_[[Check Periodo Ref.]:[Check Periodo Ref.]]="Dentro",DATOS_[Conc.Sal.20]))))),
0)</f>
        <v>0</v>
      </c>
      <c r="Z64" s="170">
        <f t="array" ref="Z64">IFERROR(
MEDIAN((IF(DATOS_[[Sexo]:[Sexo]]=$B64,IF(DATOS_[[AGRUP. CLAS. PROF.]:[AGRUP. CLAS. PROF.]]=$B63,IF(DATOS_[[Check Periodo Ref.]:[Check Periodo Ref.]]="Dentro",DATOS_[Conc.Sal.21]))))),
0)</f>
        <v>0</v>
      </c>
      <c r="AA64" s="170">
        <f t="array" ref="AA64">IFERROR(
MEDIAN((IF(DATOS_[[Sexo]:[Sexo]]=$B64,IF(DATOS_[[AGRUP. CLAS. PROF.]:[AGRUP. CLAS. PROF.]]=$B63,IF(DATOS_[[Check Periodo Ref.]:[Check Periodo Ref.]]="Dentro",DATOS_[Conc.Sal.22]))))),
0)</f>
        <v>0</v>
      </c>
      <c r="AB64" s="170">
        <f t="array" ref="AB64">IFERROR(
MEDIAN((IF(DATOS_[[Sexo]:[Sexo]]=$B64,IF(DATOS_[[AGRUP. CLAS. PROF.]:[AGRUP. CLAS. PROF.]]=$B63,IF(DATOS_[[Check Periodo Ref.]:[Check Periodo Ref.]]="Dentro",DATOS_[Conc.Sal.23]))))),
0)</f>
        <v>0</v>
      </c>
      <c r="AC64" s="170">
        <f t="array" ref="AC64">IFERROR(
MEDIAN((IF(DATOS_[[Sexo]:[Sexo]]=$B64,IF(DATOS_[[AGRUP. CLAS. PROF.]:[AGRUP. CLAS. PROF.]]=$B63,IF(DATOS_[[Check Periodo Ref.]:[Check Periodo Ref.]]="Dentro",DATOS_[Conc.Sal.24]))))),
0)</f>
        <v>0</v>
      </c>
      <c r="AD64" s="170">
        <f t="array" ref="AD64">IFERROR(
MEDIAN((IF(DATOS_[[Sexo]:[Sexo]]=$B64,IF(DATOS_[[AGRUP. CLAS. PROF.]:[AGRUP. CLAS. PROF.]]=$B63,IF(DATOS_[[Check Periodo Ref.]:[Check Periodo Ref.]]="Dentro",DATOS_[Conc.Sal.25]))))),
0)</f>
        <v>0</v>
      </c>
      <c r="AE64" s="170">
        <f t="array" ref="AE64">IFERROR(
MEDIAN((IF(DATOS_[[Sexo]:[Sexo]]=$B64,IF(DATOS_[[AGRUP. CLAS. PROF.]:[AGRUP. CLAS. PROF.]]=$B63,IF(DATOS_[[Check Periodo Ref.]:[Check Periodo Ref.]]="Dentro",DATOS_[Conc.Sal.26]))))),
0)</f>
        <v>0</v>
      </c>
      <c r="AF64" s="170">
        <f t="array" ref="AF64">IFERROR(
MEDIAN((IF(DATOS_[[Sexo]:[Sexo]]=$B64,IF(DATOS_[[AGRUP. CLAS. PROF.]:[AGRUP. CLAS. PROF.]]=$B63,IF(DATOS_[[Check Periodo Ref.]:[Check Periodo Ref.]]="Dentro",DATOS_[Conc.Sal.27]))))),
0)</f>
        <v>0</v>
      </c>
      <c r="AG64" s="170">
        <f t="array" ref="AG64">IFERROR(
MEDIAN((IF(DATOS_[[Sexo]:[Sexo]]=$B64,IF(DATOS_[[AGRUP. CLAS. PROF.]:[AGRUP. CLAS. PROF.]]=$B63,IF(DATOS_[[Check Periodo Ref.]:[Check Periodo Ref.]]="Dentro",DATOS_[Conc.Sal.28]))))),
0)</f>
        <v>0</v>
      </c>
      <c r="AH64" s="170">
        <f t="array" ref="AH64">IFERROR(
MEDIAN((IF(DATOS_[[Sexo]:[Sexo]]=$B64,IF(DATOS_[[AGRUP. CLAS. PROF.]:[AGRUP. CLAS. PROF.]]=$B63,IF(DATOS_[[Check Periodo Ref.]:[Check Periodo Ref.]]="Dentro",DATOS_[Conc.Sal.29]))))),
0)</f>
        <v>0</v>
      </c>
      <c r="AI64" s="170">
        <f t="array" ref="AI64">IFERROR(
MEDIAN((IF(DATOS_[[Sexo]:[Sexo]]=$B64,IF(DATOS_[[AGRUP. CLAS. PROF.]:[AGRUP. CLAS. PROF.]]=$B63,IF(DATOS_[[Check Periodo Ref.]:[Check Periodo Ref.]]="Dentro",DATOS_[Conc.Sal.30]))))),
0)</f>
        <v>0</v>
      </c>
      <c r="AJ64" s="171">
        <f t="array" ref="AJ64">IFERROR(
MEDIAN(IF(DATOS_[Sexo]=$B64,IF(DATOS_[AGRUP. CLAS. PROF.]=$B63,IF(DATOS_[Check Periodo Ref.]="Dentro",DATOS_[Tot COMPL.SAL Ef],FALSE)))),
0)</f>
        <v>0</v>
      </c>
      <c r="AK64" s="172">
        <f t="array" ref="AK64">IFERROR(
MEDIAN(IF(DATOS_[Sexo]=$B64,IF(DATOS_[AGRUP. CLAS. PROF.]=$B63,IF(DATOS_[Check Periodo Ref.]="Dentro",DATOS_[TOTAL SALARIO Ef],FALSE)))),
0)</f>
        <v>0</v>
      </c>
      <c r="AL64" s="173">
        <f t="array" ref="AL64">IFERROR(
MEDIAN((IF(DATOS_[[Sexo]:[Sexo]]=$B64,IF(DATOS_[[AGRUP. CLAS. PROF.]:[AGRUP. CLAS. PROF.]]=$B63,IF(DATOS_[[Check Periodo Ref.]:[Check Periodo Ref.]]="Dentro",DATOS_[C.Extra.01]))))),
0)</f>
        <v>0</v>
      </c>
      <c r="AM64" s="173">
        <f t="array" ref="AM64">IFERROR(
MEDIAN((IF(DATOS_[[Sexo]:[Sexo]]=$B64,IF(DATOS_[[AGRUP. CLAS. PROF.]:[AGRUP. CLAS. PROF.]]=$B63,IF(DATOS_[[Check Periodo Ref.]:[Check Periodo Ref.]]="Dentro",DATOS_[C.Extra.06]))))),
0)</f>
        <v>0</v>
      </c>
      <c r="AN64" s="173">
        <f t="array" ref="AN64">IFERROR(
MEDIAN((IF(DATOS_[[Sexo]:[Sexo]]=$B64,IF(DATOS_[[AGRUP. CLAS. PROF.]:[AGRUP. CLAS. PROF.]]=$B63,IF(DATOS_[[Check Periodo Ref.]:[Check Periodo Ref.]]="Dentro",DATOS_[C.Extra.07]))))),
0)</f>
        <v>0</v>
      </c>
      <c r="AO64" s="173">
        <f t="array" ref="AO64">IFERROR(
MEDIAN((IF(DATOS_[[Sexo]:[Sexo]]=$B64,IF(DATOS_[[AGRUP. CLAS. PROF.]:[AGRUP. CLAS. PROF.]]=$B63,IF(DATOS_[[Check Periodo Ref.]:[Check Periodo Ref.]]="Dentro",DATOS_[C.Extra.08]))))),
0)</f>
        <v>0</v>
      </c>
      <c r="AP64" s="173">
        <f t="array" ref="AP64">IFERROR(
MEDIAN((IF(DATOS_[[Sexo]:[Sexo]]=$B64,IF(DATOS_[[AGRUP. CLAS. PROF.]:[AGRUP. CLAS. PROF.]]=$B63,IF(DATOS_[[Check Periodo Ref.]:[Check Periodo Ref.]]="Dentro",DATOS_[C.Extra.11]))))),
0)</f>
        <v>0</v>
      </c>
      <c r="AQ64" s="174">
        <f t="array" ref="AQ64">IFERROR(
MEDIAN(IF(DATOS_[Sexo]=$B64,IF(DATOS_[AGRUP. CLAS. PROF.]=$B63,IF(DATOS_[Check Periodo Ref.]="Dentro",DATOS_[Tot Extrasalarial Ef],FALSE)))),
0)</f>
        <v>0</v>
      </c>
      <c r="AR64" s="171">
        <f t="array" ref="AR64">IFERROR(
MEDIAN(IF(DATOS_[Sexo]=$B64,IF(DATOS_[AGRUP. CLAS. PROF.]=$B63,IF(DATOS_[Check Periodo Ref.]="Dentro",DATOS_[TOTAL Retrib Ef],FALSE)))),
0)</f>
        <v>0</v>
      </c>
    </row>
    <row r="65" spans="1:44" hidden="1" x14ac:dyDescent="0.25">
      <c r="A65" s="178" t="str">
        <f t="shared" ref="A65" si="70">+A64</f>
        <v>[ocultar]</v>
      </c>
      <c r="B65" s="166" t="s">
        <v>521</v>
      </c>
      <c r="C65" s="167">
        <f t="array" ref="C65">SUM(IF($B65=DATOS_[Sexo],
IF($B63=DATOS_[AGRUP. CLAS. PROF.],
IF("Dentro"=DATOS_[Check Periodo Ref.],
1/(COUNTIFS(DATOS_[Sexo],$B65,DATOS_[AGRUP. CLAS. PROF.],$B63,DATOS_[Check Periodo Ref.],"Dentro",DATOS_[id/cod],DATOS_[id/cod]))))))</f>
        <v>0</v>
      </c>
      <c r="D65" s="168">
        <f>COUNTIFS(DATOS_[AGRUP. CLAS. PROF.],$B63,DATOS_[Sexo],$B65,DATOS_[Check Periodo Ref.],"Dentro")</f>
        <v>0</v>
      </c>
      <c r="E65" s="169">
        <f t="array" ref="E65">IFERROR(
MEDIAN(IF(DATOS_[Sexo]=$B65,IF(DATOS_[AGRUP. CLAS. PROF.]=$B63,IF(DATOS_[Check Periodo Ref.]="Dentro",DATOS_[SALARIO BASE Ef],FALSE)))),
0)</f>
        <v>0</v>
      </c>
      <c r="F65" s="170">
        <f t="array" ref="F65">IFERROR(
MEDIAN((IF(DATOS_[[Sexo]:[Sexo]]=$B65,IF(DATOS_[[AGRUP. CLAS. PROF.]:[AGRUP. CLAS. PROF.]]=$B63,IF(DATOS_[[Check Periodo Ref.]:[Check Periodo Ref.]]="Dentro",DATOS_[Conc.Sal.01]))))),
0)</f>
        <v>0</v>
      </c>
      <c r="G65" s="170">
        <f t="array" ref="G65">IFERROR(
MEDIAN((IF(DATOS_[[Sexo]:[Sexo]]=$B65,IF(DATOS_[[AGRUP. CLAS. PROF.]:[AGRUP. CLAS. PROF.]]=$B63,IF(DATOS_[[Check Periodo Ref.]:[Check Periodo Ref.]]="Dentro",DATOS_[Conc.Sal.02]))))),
0)</f>
        <v>0</v>
      </c>
      <c r="H65" s="170">
        <f t="array" ref="H65">IFERROR(
MEDIAN((IF(DATOS_[[Sexo]:[Sexo]]=$B65,IF(DATOS_[[AGRUP. CLAS. PROF.]:[AGRUP. CLAS. PROF.]]=$B63,IF(DATOS_[[Check Periodo Ref.]:[Check Periodo Ref.]]="Dentro",DATOS_[Conc.Sal.03]))))),
0)</f>
        <v>0</v>
      </c>
      <c r="I65" s="170">
        <f t="array" ref="I65">IFERROR(
MEDIAN((IF(DATOS_[[Sexo]:[Sexo]]=$B65,IF(DATOS_[[AGRUP. CLAS. PROF.]:[AGRUP. CLAS. PROF.]]=$B63,IF(DATOS_[[Check Periodo Ref.]:[Check Periodo Ref.]]="Dentro",DATOS_[Conc.Sal.04]))))),
0)</f>
        <v>0</v>
      </c>
      <c r="J65" s="170">
        <f t="array" ref="J65">IFERROR(
MEDIAN((IF(DATOS_[[Sexo]:[Sexo]]=$B65,IF(DATOS_[[AGRUP. CLAS. PROF.]:[AGRUP. CLAS. PROF.]]=$B63,IF(DATOS_[[Check Periodo Ref.]:[Check Periodo Ref.]]="Dentro",DATOS_[Conc.Sal.05]))))),
0)</f>
        <v>0</v>
      </c>
      <c r="K65" s="170">
        <f t="array" ref="K65">IFERROR(
MEDIAN((IF(DATOS_[[Sexo]:[Sexo]]=$B65,IF(DATOS_[[AGRUP. CLAS. PROF.]:[AGRUP. CLAS. PROF.]]=$B63,IF(DATOS_[[Check Periodo Ref.]:[Check Periodo Ref.]]="Dentro",DATOS_[Conc.Sal.06]))))),
0)</f>
        <v>0</v>
      </c>
      <c r="L65" s="170">
        <f t="array" ref="L65">IFERROR(
MEDIAN((IF(DATOS_[[Sexo]:[Sexo]]=$B65,IF(DATOS_[[AGRUP. CLAS. PROF.]:[AGRUP. CLAS. PROF.]]=$B63,IF(DATOS_[[Check Periodo Ref.]:[Check Periodo Ref.]]="Dentro",DATOS_[Conc.Sal.07]))))),
0)</f>
        <v>0</v>
      </c>
      <c r="M65" s="170">
        <f t="array" ref="M65">IFERROR(
MEDIAN((IF(DATOS_[[Sexo]:[Sexo]]=$B65,IF(DATOS_[[AGRUP. CLAS. PROF.]:[AGRUP. CLAS. PROF.]]=$B63,IF(DATOS_[[Check Periodo Ref.]:[Check Periodo Ref.]]="Dentro",DATOS_[Conc.Sal.08]))))),
0)</f>
        <v>0</v>
      </c>
      <c r="N65" s="170">
        <f t="array" ref="N65">IFERROR(
MEDIAN((IF(DATOS_[[Sexo]:[Sexo]]=$B65,IF(DATOS_[[AGRUP. CLAS. PROF.]:[AGRUP. CLAS. PROF.]]=$B63,IF(DATOS_[[Check Periodo Ref.]:[Check Periodo Ref.]]="Dentro",DATOS_[Conc.Sal.09]))))),
0)</f>
        <v>0</v>
      </c>
      <c r="O65" s="170">
        <f t="array" ref="O65">IFERROR(
MEDIAN((IF(DATOS_[[Sexo]:[Sexo]]=$B65,IF(DATOS_[[AGRUP. CLAS. PROF.]:[AGRUP. CLAS. PROF.]]=$B63,IF(DATOS_[[Check Periodo Ref.]:[Check Periodo Ref.]]="Dentro",DATOS_[Conc.Sal.10]))))),
0)</f>
        <v>0</v>
      </c>
      <c r="P65" s="170">
        <f t="array" ref="P65">IFERROR(
MEDIAN((IF(DATOS_[[Sexo]:[Sexo]]=$B65,IF(DATOS_[[AGRUP. CLAS. PROF.]:[AGRUP. CLAS. PROF.]]=$B63,IF(DATOS_[[Check Periodo Ref.]:[Check Periodo Ref.]]="Dentro",DATOS_[Conc.Sal.11]))))),
0)</f>
        <v>0</v>
      </c>
      <c r="Q65" s="170">
        <f t="array" ref="Q65">IFERROR(
MEDIAN((IF(DATOS_[[Sexo]:[Sexo]]=$B65,IF(DATOS_[[AGRUP. CLAS. PROF.]:[AGRUP. CLAS. PROF.]]=$B63,IF(DATOS_[[Check Periodo Ref.]:[Check Periodo Ref.]]="Dentro",DATOS_[Conc.Sal.12]))))),
0)</f>
        <v>0</v>
      </c>
      <c r="R65" s="170">
        <f t="array" ref="R65">IFERROR(
MEDIAN((IF(DATOS_[[Sexo]:[Sexo]]=$B65,IF(DATOS_[[AGRUP. CLAS. PROF.]:[AGRUP. CLAS. PROF.]]=$B63,IF(DATOS_[[Check Periodo Ref.]:[Check Periodo Ref.]]="Dentro",DATOS_[Conc.Sal.13]))))),
0)</f>
        <v>0</v>
      </c>
      <c r="S65" s="170">
        <f t="array" ref="S65">IFERROR(
MEDIAN((IF(DATOS_[[Sexo]:[Sexo]]=$B65,IF(DATOS_[[AGRUP. CLAS. PROF.]:[AGRUP. CLAS. PROF.]]=$B63,IF(DATOS_[[Check Periodo Ref.]:[Check Periodo Ref.]]="Dentro",DATOS_[Conc.Sal.14]))))),
0)</f>
        <v>0</v>
      </c>
      <c r="T65" s="170">
        <f t="array" ref="T65">IFERROR(
MEDIAN((IF(DATOS_[[Sexo]:[Sexo]]=$B65,IF(DATOS_[[AGRUP. CLAS. PROF.]:[AGRUP. CLAS. PROF.]]=$B63,IF(DATOS_[[Check Periodo Ref.]:[Check Periodo Ref.]]="Dentro",DATOS_[Conc.Sal.15]))))),
0)</f>
        <v>0</v>
      </c>
      <c r="U65" s="170">
        <f t="array" ref="U65">IFERROR(
MEDIAN((IF(DATOS_[[Sexo]:[Sexo]]=$B65,IF(DATOS_[[AGRUP. CLAS. PROF.]:[AGRUP. CLAS. PROF.]]=$B63,IF(DATOS_[[Check Periodo Ref.]:[Check Periodo Ref.]]="Dentro",DATOS_[Conc.Sal.16]))))),
0)</f>
        <v>0</v>
      </c>
      <c r="V65" s="170">
        <f t="array" ref="V65">IFERROR(
MEDIAN((IF(DATOS_[[Sexo]:[Sexo]]=$B65,IF(DATOS_[[AGRUP. CLAS. PROF.]:[AGRUP. CLAS. PROF.]]=$B63,IF(DATOS_[[Check Periodo Ref.]:[Check Periodo Ref.]]="Dentro",DATOS_[Conc.Sal.17]))))),
0)</f>
        <v>0</v>
      </c>
      <c r="W65" s="170">
        <f t="array" ref="W65">IFERROR(
MEDIAN((IF(DATOS_[[Sexo]:[Sexo]]=$B65,IF(DATOS_[[AGRUP. CLAS. PROF.]:[AGRUP. CLAS. PROF.]]=$B63,IF(DATOS_[[Check Periodo Ref.]:[Check Periodo Ref.]]="Dentro",DATOS_[Conc.Sal.18]))))),
0)</f>
        <v>0</v>
      </c>
      <c r="X65" s="170">
        <f t="array" ref="X65">IFERROR(
MEDIAN((IF(DATOS_[[Sexo]:[Sexo]]=$B65,IF(DATOS_[[AGRUP. CLAS. PROF.]:[AGRUP. CLAS. PROF.]]=$B63,IF(DATOS_[[Check Periodo Ref.]:[Check Periodo Ref.]]="Dentro",DATOS_[Conc.Sal.19]))))),
0)</f>
        <v>0</v>
      </c>
      <c r="Y65" s="170">
        <f t="array" ref="Y65">IFERROR(
MEDIAN((IF(DATOS_[[Sexo]:[Sexo]]=$B65,IF(DATOS_[[AGRUP. CLAS. PROF.]:[AGRUP. CLAS. PROF.]]=$B63,IF(DATOS_[[Check Periodo Ref.]:[Check Periodo Ref.]]="Dentro",DATOS_[Conc.Sal.20]))))),
0)</f>
        <v>0</v>
      </c>
      <c r="Z65" s="170">
        <f t="array" ref="Z65">IFERROR(
MEDIAN((IF(DATOS_[[Sexo]:[Sexo]]=$B65,IF(DATOS_[[AGRUP. CLAS. PROF.]:[AGRUP. CLAS. PROF.]]=$B63,IF(DATOS_[[Check Periodo Ref.]:[Check Periodo Ref.]]="Dentro",DATOS_[Conc.Sal.21]))))),
0)</f>
        <v>0</v>
      </c>
      <c r="AA65" s="170">
        <f t="array" ref="AA65">IFERROR(
MEDIAN((IF(DATOS_[[Sexo]:[Sexo]]=$B65,IF(DATOS_[[AGRUP. CLAS. PROF.]:[AGRUP. CLAS. PROF.]]=$B63,IF(DATOS_[[Check Periodo Ref.]:[Check Periodo Ref.]]="Dentro",DATOS_[Conc.Sal.22]))))),
0)</f>
        <v>0</v>
      </c>
      <c r="AB65" s="170">
        <f t="array" ref="AB65">IFERROR(
MEDIAN((IF(DATOS_[[Sexo]:[Sexo]]=$B65,IF(DATOS_[[AGRUP. CLAS. PROF.]:[AGRUP. CLAS. PROF.]]=$B63,IF(DATOS_[[Check Periodo Ref.]:[Check Periodo Ref.]]="Dentro",DATOS_[Conc.Sal.23]))))),
0)</f>
        <v>0</v>
      </c>
      <c r="AC65" s="170">
        <f t="array" ref="AC65">IFERROR(
MEDIAN((IF(DATOS_[[Sexo]:[Sexo]]=$B65,IF(DATOS_[[AGRUP. CLAS. PROF.]:[AGRUP. CLAS. PROF.]]=$B63,IF(DATOS_[[Check Periodo Ref.]:[Check Periodo Ref.]]="Dentro",DATOS_[Conc.Sal.24]))))),
0)</f>
        <v>0</v>
      </c>
      <c r="AD65" s="170">
        <f t="array" ref="AD65">IFERROR(
MEDIAN((IF(DATOS_[[Sexo]:[Sexo]]=$B65,IF(DATOS_[[AGRUP. CLAS. PROF.]:[AGRUP. CLAS. PROF.]]=$B63,IF(DATOS_[[Check Periodo Ref.]:[Check Periodo Ref.]]="Dentro",DATOS_[Conc.Sal.25]))))),
0)</f>
        <v>0</v>
      </c>
      <c r="AE65" s="170">
        <f t="array" ref="AE65">IFERROR(
MEDIAN((IF(DATOS_[[Sexo]:[Sexo]]=$B65,IF(DATOS_[[AGRUP. CLAS. PROF.]:[AGRUP. CLAS. PROF.]]=$B63,IF(DATOS_[[Check Periodo Ref.]:[Check Periodo Ref.]]="Dentro",DATOS_[Conc.Sal.26]))))),
0)</f>
        <v>0</v>
      </c>
      <c r="AF65" s="170">
        <f t="array" ref="AF65">IFERROR(
MEDIAN((IF(DATOS_[[Sexo]:[Sexo]]=$B65,IF(DATOS_[[AGRUP. CLAS. PROF.]:[AGRUP. CLAS. PROF.]]=$B63,IF(DATOS_[[Check Periodo Ref.]:[Check Periodo Ref.]]="Dentro",DATOS_[Conc.Sal.27]))))),
0)</f>
        <v>0</v>
      </c>
      <c r="AG65" s="170">
        <f t="array" ref="AG65">IFERROR(
MEDIAN((IF(DATOS_[[Sexo]:[Sexo]]=$B65,IF(DATOS_[[AGRUP. CLAS. PROF.]:[AGRUP. CLAS. PROF.]]=$B63,IF(DATOS_[[Check Periodo Ref.]:[Check Periodo Ref.]]="Dentro",DATOS_[Conc.Sal.28]))))),
0)</f>
        <v>0</v>
      </c>
      <c r="AH65" s="170">
        <f t="array" ref="AH65">IFERROR(
MEDIAN((IF(DATOS_[[Sexo]:[Sexo]]=$B65,IF(DATOS_[[AGRUP. CLAS. PROF.]:[AGRUP. CLAS. PROF.]]=$B63,IF(DATOS_[[Check Periodo Ref.]:[Check Periodo Ref.]]="Dentro",DATOS_[Conc.Sal.29]))))),
0)</f>
        <v>0</v>
      </c>
      <c r="AI65" s="170">
        <f t="array" ref="AI65">IFERROR(
MEDIAN((IF(DATOS_[[Sexo]:[Sexo]]=$B65,IF(DATOS_[[AGRUP. CLAS. PROF.]:[AGRUP. CLAS. PROF.]]=$B63,IF(DATOS_[[Check Periodo Ref.]:[Check Periodo Ref.]]="Dentro",DATOS_[Conc.Sal.30]))))),
0)</f>
        <v>0</v>
      </c>
      <c r="AJ65" s="171">
        <f t="array" ref="AJ65">IFERROR(
MEDIAN(IF(DATOS_[Sexo]=$B65,IF(DATOS_[AGRUP. CLAS. PROF.]=$B63,IF(DATOS_[Check Periodo Ref.]="Dentro",DATOS_[Tot COMPL.SAL Ef],FALSE)))),
0)</f>
        <v>0</v>
      </c>
      <c r="AK65" s="172">
        <f t="array" ref="AK65">IFERROR(
MEDIAN(IF(DATOS_[Sexo]=$B65,IF(DATOS_[AGRUP. CLAS. PROF.]=$B63,IF(DATOS_[Check Periodo Ref.]="Dentro",DATOS_[TOTAL SALARIO Ef],FALSE)))),
0)</f>
        <v>0</v>
      </c>
      <c r="AL65" s="173">
        <f t="array" ref="AL65">IFERROR(
MEDIAN((IF(DATOS_[[Sexo]:[Sexo]]=$B65,IF(DATOS_[[AGRUP. CLAS. PROF.]:[AGRUP. CLAS. PROF.]]=$B63,IF(DATOS_[[Check Periodo Ref.]:[Check Periodo Ref.]]="Dentro",DATOS_[C.Extra.01]))))),
0)</f>
        <v>0</v>
      </c>
      <c r="AM65" s="173">
        <f t="array" ref="AM65">IFERROR(
MEDIAN((IF(DATOS_[[Sexo]:[Sexo]]=$B65,IF(DATOS_[[AGRUP. CLAS. PROF.]:[AGRUP. CLAS. PROF.]]=$B63,IF(DATOS_[[Check Periodo Ref.]:[Check Periodo Ref.]]="Dentro",DATOS_[C.Extra.06]))))),
0)</f>
        <v>0</v>
      </c>
      <c r="AN65" s="173">
        <f t="array" ref="AN65">IFERROR(
MEDIAN((IF(DATOS_[[Sexo]:[Sexo]]=$B65,IF(DATOS_[[AGRUP. CLAS. PROF.]:[AGRUP. CLAS. PROF.]]=$B63,IF(DATOS_[[Check Periodo Ref.]:[Check Periodo Ref.]]="Dentro",DATOS_[C.Extra.07]))))),
0)</f>
        <v>0</v>
      </c>
      <c r="AO65" s="173">
        <f t="array" ref="AO65">IFERROR(
MEDIAN((IF(DATOS_[[Sexo]:[Sexo]]=$B65,IF(DATOS_[[AGRUP. CLAS. PROF.]:[AGRUP. CLAS. PROF.]]=$B63,IF(DATOS_[[Check Periodo Ref.]:[Check Periodo Ref.]]="Dentro",DATOS_[C.Extra.08]))))),
0)</f>
        <v>0</v>
      </c>
      <c r="AP65" s="173">
        <f t="array" ref="AP65">IFERROR(
MEDIAN((IF(DATOS_[[Sexo]:[Sexo]]=$B65,IF(DATOS_[[AGRUP. CLAS. PROF.]:[AGRUP. CLAS. PROF.]]=$B63,IF(DATOS_[[Check Periodo Ref.]:[Check Periodo Ref.]]="Dentro",DATOS_[C.Extra.11]))))),
0)</f>
        <v>0</v>
      </c>
      <c r="AQ65" s="174">
        <f t="array" ref="AQ65">IFERROR(
MEDIAN(IF(DATOS_[Sexo]=$B65,IF(DATOS_[AGRUP. CLAS. PROF.]=$B63,IF(DATOS_[Check Periodo Ref.]="Dentro",DATOS_[Tot Extrasalarial Ef],FALSE)))),
0)</f>
        <v>0</v>
      </c>
      <c r="AR65" s="171">
        <f t="array" ref="AR65">IFERROR(
MEDIAN(IF(DATOS_[Sexo]=$B65,IF(DATOS_[AGRUP. CLAS. PROF.]=$B63,IF(DATOS_[Check Periodo Ref.]="Dentro",DATOS_[TOTAL Retrib Ef],FALSE)))),
0)</f>
        <v>0</v>
      </c>
    </row>
    <row r="66" spans="1:44" ht="14.4" hidden="1" thickBot="1" x14ac:dyDescent="0.3">
      <c r="A66" s="178" t="str">
        <f t="shared" ref="A66" si="71">+A67</f>
        <v>[ocultar]</v>
      </c>
      <c r="B66" s="153" t="s">
        <v>248</v>
      </c>
      <c r="C66" s="154"/>
      <c r="D66" s="155"/>
      <c r="E66" s="156" t="str">
        <f t="shared" ref="E66:AR66" si="72">IFERROR((E67-E68)/E67,"")</f>
        <v/>
      </c>
      <c r="F66" s="157" t="str">
        <f t="shared" si="72"/>
        <v/>
      </c>
      <c r="G66" s="158" t="str">
        <f t="shared" si="72"/>
        <v/>
      </c>
      <c r="H66" s="158" t="str">
        <f t="shared" si="72"/>
        <v/>
      </c>
      <c r="I66" s="158" t="str">
        <f t="shared" si="72"/>
        <v/>
      </c>
      <c r="J66" s="159" t="str">
        <f t="shared" si="72"/>
        <v/>
      </c>
      <c r="K66" s="160" t="str">
        <f t="shared" si="72"/>
        <v/>
      </c>
      <c r="L66" s="160" t="str">
        <f t="shared" si="72"/>
        <v/>
      </c>
      <c r="M66" s="160" t="str">
        <f t="shared" si="72"/>
        <v/>
      </c>
      <c r="N66" s="160" t="str">
        <f t="shared" si="72"/>
        <v/>
      </c>
      <c r="O66" s="160" t="str">
        <f t="shared" si="72"/>
        <v/>
      </c>
      <c r="P66" s="160" t="str">
        <f t="shared" si="72"/>
        <v/>
      </c>
      <c r="Q66" s="160" t="str">
        <f t="shared" si="72"/>
        <v/>
      </c>
      <c r="R66" s="160" t="str">
        <f t="shared" si="72"/>
        <v/>
      </c>
      <c r="S66" s="160" t="str">
        <f t="shared" si="72"/>
        <v/>
      </c>
      <c r="T66" s="160" t="str">
        <f t="shared" si="72"/>
        <v/>
      </c>
      <c r="U66" s="160" t="str">
        <f t="shared" si="72"/>
        <v/>
      </c>
      <c r="V66" s="159" t="str">
        <f t="shared" si="72"/>
        <v/>
      </c>
      <c r="W66" s="159" t="str">
        <f t="shared" si="72"/>
        <v/>
      </c>
      <c r="X66" s="159" t="str">
        <f t="shared" si="72"/>
        <v/>
      </c>
      <c r="Y66" s="159" t="str">
        <f t="shared" si="72"/>
        <v/>
      </c>
      <c r="Z66" s="159" t="str">
        <f t="shared" si="72"/>
        <v/>
      </c>
      <c r="AA66" s="159" t="str">
        <f t="shared" si="72"/>
        <v/>
      </c>
      <c r="AB66" s="159" t="str">
        <f t="shared" si="72"/>
        <v/>
      </c>
      <c r="AC66" s="159" t="str">
        <f t="shared" si="72"/>
        <v/>
      </c>
      <c r="AD66" s="159" t="str">
        <f t="shared" si="72"/>
        <v/>
      </c>
      <c r="AE66" s="159" t="str">
        <f t="shared" si="72"/>
        <v/>
      </c>
      <c r="AF66" s="159" t="str">
        <f t="shared" si="72"/>
        <v/>
      </c>
      <c r="AG66" s="159" t="str">
        <f t="shared" si="72"/>
        <v/>
      </c>
      <c r="AH66" s="159" t="str">
        <f t="shared" si="72"/>
        <v/>
      </c>
      <c r="AI66" s="159" t="str">
        <f t="shared" si="72"/>
        <v/>
      </c>
      <c r="AJ66" s="161" t="str">
        <f t="shared" si="72"/>
        <v/>
      </c>
      <c r="AK66" s="162" t="str">
        <f t="shared" si="72"/>
        <v/>
      </c>
      <c r="AL66" s="163" t="str">
        <f t="shared" si="72"/>
        <v/>
      </c>
      <c r="AM66" s="163" t="str">
        <f t="shared" si="72"/>
        <v/>
      </c>
      <c r="AN66" s="163" t="str">
        <f t="shared" si="72"/>
        <v/>
      </c>
      <c r="AO66" s="163" t="str">
        <f t="shared" si="72"/>
        <v/>
      </c>
      <c r="AP66" s="163" t="str">
        <f t="shared" si="72"/>
        <v/>
      </c>
      <c r="AQ66" s="164" t="str">
        <f t="shared" si="72"/>
        <v/>
      </c>
      <c r="AR66" s="161" t="str">
        <f t="shared" si="72"/>
        <v/>
      </c>
    </row>
    <row r="67" spans="1:44" hidden="1" x14ac:dyDescent="0.25">
      <c r="A67" s="178" t="str">
        <f t="shared" ref="A67" si="73">+IF(C67+C68=0,"[ocultar]","")</f>
        <v>[ocultar]</v>
      </c>
      <c r="B67" s="166" t="s">
        <v>394</v>
      </c>
      <c r="C67" s="167">
        <f t="array" ref="C67">SUM(IF($B67=DATOS_[Sexo],
IF($B66=DATOS_[AGRUP. CLAS. PROF.],
IF("Dentro"=DATOS_[Check Periodo Ref.],
1/(COUNTIFS(DATOS_[Sexo],$B67,DATOS_[AGRUP. CLAS. PROF.],$B66,DATOS_[Check Periodo Ref.],"Dentro",DATOS_[id/cod],DATOS_[id/cod]))))))</f>
        <v>0</v>
      </c>
      <c r="D67" s="168">
        <f>COUNTIFS(DATOS_[AGRUP. CLAS. PROF.],$B66,DATOS_[Sexo],$B67,DATOS_[Check Periodo Ref.],"Dentro")</f>
        <v>0</v>
      </c>
      <c r="E67" s="169">
        <f t="array" ref="E67">IFERROR(
MEDIAN(IF(DATOS_[Sexo]=$B67,IF(DATOS_[AGRUP. CLAS. PROF.]=$B66,IF(DATOS_[Check Periodo Ref.]="Dentro",DATOS_[SALARIO BASE Ef],FALSE)))),
0)</f>
        <v>0</v>
      </c>
      <c r="F67" s="170">
        <f t="array" ref="F67">IFERROR(
MEDIAN((IF(DATOS_[[Sexo]:[Sexo]]=$B67,IF(DATOS_[[AGRUP. CLAS. PROF.]:[AGRUP. CLAS. PROF.]]=$B66,IF(DATOS_[[Check Periodo Ref.]:[Check Periodo Ref.]]="Dentro",DATOS_[Conc.Sal.01]))))),
0)</f>
        <v>0</v>
      </c>
      <c r="G67" s="170">
        <f t="array" ref="G67">IFERROR(
MEDIAN((IF(DATOS_[[Sexo]:[Sexo]]=$B67,IF(DATOS_[[AGRUP. CLAS. PROF.]:[AGRUP. CLAS. PROF.]]=$B66,IF(DATOS_[[Check Periodo Ref.]:[Check Periodo Ref.]]="Dentro",DATOS_[Conc.Sal.02]))))),
0)</f>
        <v>0</v>
      </c>
      <c r="H67" s="170">
        <f t="array" ref="H67">IFERROR(
MEDIAN((IF(DATOS_[[Sexo]:[Sexo]]=$B67,IF(DATOS_[[AGRUP. CLAS. PROF.]:[AGRUP. CLAS. PROF.]]=$B66,IF(DATOS_[[Check Periodo Ref.]:[Check Periodo Ref.]]="Dentro",DATOS_[Conc.Sal.03]))))),
0)</f>
        <v>0</v>
      </c>
      <c r="I67" s="170">
        <f t="array" ref="I67">IFERROR(
MEDIAN((IF(DATOS_[[Sexo]:[Sexo]]=$B67,IF(DATOS_[[AGRUP. CLAS. PROF.]:[AGRUP. CLAS. PROF.]]=$B66,IF(DATOS_[[Check Periodo Ref.]:[Check Periodo Ref.]]="Dentro",DATOS_[Conc.Sal.04]))))),
0)</f>
        <v>0</v>
      </c>
      <c r="J67" s="170">
        <f t="array" ref="J67">IFERROR(
MEDIAN((IF(DATOS_[[Sexo]:[Sexo]]=$B67,IF(DATOS_[[AGRUP. CLAS. PROF.]:[AGRUP. CLAS. PROF.]]=$B66,IF(DATOS_[[Check Periodo Ref.]:[Check Periodo Ref.]]="Dentro",DATOS_[Conc.Sal.05]))))),
0)</f>
        <v>0</v>
      </c>
      <c r="K67" s="170">
        <f t="array" ref="K67">IFERROR(
MEDIAN((IF(DATOS_[[Sexo]:[Sexo]]=$B67,IF(DATOS_[[AGRUP. CLAS. PROF.]:[AGRUP. CLAS. PROF.]]=$B66,IF(DATOS_[[Check Periodo Ref.]:[Check Periodo Ref.]]="Dentro",DATOS_[Conc.Sal.06]))))),
0)</f>
        <v>0</v>
      </c>
      <c r="L67" s="170">
        <f t="array" ref="L67">IFERROR(
MEDIAN((IF(DATOS_[[Sexo]:[Sexo]]=$B67,IF(DATOS_[[AGRUP. CLAS. PROF.]:[AGRUP. CLAS. PROF.]]=$B66,IF(DATOS_[[Check Periodo Ref.]:[Check Periodo Ref.]]="Dentro",DATOS_[Conc.Sal.07]))))),
0)</f>
        <v>0</v>
      </c>
      <c r="M67" s="170">
        <f t="array" ref="M67">IFERROR(
MEDIAN((IF(DATOS_[[Sexo]:[Sexo]]=$B67,IF(DATOS_[[AGRUP. CLAS. PROF.]:[AGRUP. CLAS. PROF.]]=$B66,IF(DATOS_[[Check Periodo Ref.]:[Check Periodo Ref.]]="Dentro",DATOS_[Conc.Sal.08]))))),
0)</f>
        <v>0</v>
      </c>
      <c r="N67" s="170">
        <f t="array" ref="N67">IFERROR(
MEDIAN((IF(DATOS_[[Sexo]:[Sexo]]=$B67,IF(DATOS_[[AGRUP. CLAS. PROF.]:[AGRUP. CLAS. PROF.]]=$B66,IF(DATOS_[[Check Periodo Ref.]:[Check Periodo Ref.]]="Dentro",DATOS_[Conc.Sal.09]))))),
0)</f>
        <v>0</v>
      </c>
      <c r="O67" s="170">
        <f t="array" ref="O67">IFERROR(
MEDIAN((IF(DATOS_[[Sexo]:[Sexo]]=$B67,IF(DATOS_[[AGRUP. CLAS. PROF.]:[AGRUP. CLAS. PROF.]]=$B66,IF(DATOS_[[Check Periodo Ref.]:[Check Periodo Ref.]]="Dentro",DATOS_[Conc.Sal.10]))))),
0)</f>
        <v>0</v>
      </c>
      <c r="P67" s="170">
        <f t="array" ref="P67">IFERROR(
MEDIAN((IF(DATOS_[[Sexo]:[Sexo]]=$B67,IF(DATOS_[[AGRUP. CLAS. PROF.]:[AGRUP. CLAS. PROF.]]=$B66,IF(DATOS_[[Check Periodo Ref.]:[Check Periodo Ref.]]="Dentro",DATOS_[Conc.Sal.11]))))),
0)</f>
        <v>0</v>
      </c>
      <c r="Q67" s="170">
        <f t="array" ref="Q67">IFERROR(
MEDIAN((IF(DATOS_[[Sexo]:[Sexo]]=$B67,IF(DATOS_[[AGRUP. CLAS. PROF.]:[AGRUP. CLAS. PROF.]]=$B66,IF(DATOS_[[Check Periodo Ref.]:[Check Periodo Ref.]]="Dentro",DATOS_[Conc.Sal.12]))))),
0)</f>
        <v>0</v>
      </c>
      <c r="R67" s="170">
        <f t="array" ref="R67">IFERROR(
MEDIAN((IF(DATOS_[[Sexo]:[Sexo]]=$B67,IF(DATOS_[[AGRUP. CLAS. PROF.]:[AGRUP. CLAS. PROF.]]=$B66,IF(DATOS_[[Check Periodo Ref.]:[Check Periodo Ref.]]="Dentro",DATOS_[Conc.Sal.13]))))),
0)</f>
        <v>0</v>
      </c>
      <c r="S67" s="170">
        <f t="array" ref="S67">IFERROR(
MEDIAN((IF(DATOS_[[Sexo]:[Sexo]]=$B67,IF(DATOS_[[AGRUP. CLAS. PROF.]:[AGRUP. CLAS. PROF.]]=$B66,IF(DATOS_[[Check Periodo Ref.]:[Check Periodo Ref.]]="Dentro",DATOS_[Conc.Sal.14]))))),
0)</f>
        <v>0</v>
      </c>
      <c r="T67" s="170">
        <f t="array" ref="T67">IFERROR(
MEDIAN((IF(DATOS_[[Sexo]:[Sexo]]=$B67,IF(DATOS_[[AGRUP. CLAS. PROF.]:[AGRUP. CLAS. PROF.]]=$B66,IF(DATOS_[[Check Periodo Ref.]:[Check Periodo Ref.]]="Dentro",DATOS_[Conc.Sal.15]))))),
0)</f>
        <v>0</v>
      </c>
      <c r="U67" s="170">
        <f t="array" ref="U67">IFERROR(
MEDIAN((IF(DATOS_[[Sexo]:[Sexo]]=$B67,IF(DATOS_[[AGRUP. CLAS. PROF.]:[AGRUP. CLAS. PROF.]]=$B66,IF(DATOS_[[Check Periodo Ref.]:[Check Periodo Ref.]]="Dentro",DATOS_[Conc.Sal.16]))))),
0)</f>
        <v>0</v>
      </c>
      <c r="V67" s="170">
        <f t="array" ref="V67">IFERROR(
MEDIAN((IF(DATOS_[[Sexo]:[Sexo]]=$B67,IF(DATOS_[[AGRUP. CLAS. PROF.]:[AGRUP. CLAS. PROF.]]=$B66,IF(DATOS_[[Check Periodo Ref.]:[Check Periodo Ref.]]="Dentro",DATOS_[Conc.Sal.17]))))),
0)</f>
        <v>0</v>
      </c>
      <c r="W67" s="170">
        <f t="array" ref="W67">IFERROR(
MEDIAN((IF(DATOS_[[Sexo]:[Sexo]]=$B67,IF(DATOS_[[AGRUP. CLAS. PROF.]:[AGRUP. CLAS. PROF.]]=$B66,IF(DATOS_[[Check Periodo Ref.]:[Check Periodo Ref.]]="Dentro",DATOS_[Conc.Sal.18]))))),
0)</f>
        <v>0</v>
      </c>
      <c r="X67" s="170">
        <f t="array" ref="X67">IFERROR(
MEDIAN((IF(DATOS_[[Sexo]:[Sexo]]=$B67,IF(DATOS_[[AGRUP. CLAS. PROF.]:[AGRUP. CLAS. PROF.]]=$B66,IF(DATOS_[[Check Periodo Ref.]:[Check Periodo Ref.]]="Dentro",DATOS_[Conc.Sal.19]))))),
0)</f>
        <v>0</v>
      </c>
      <c r="Y67" s="170">
        <f t="array" ref="Y67">IFERROR(
MEDIAN((IF(DATOS_[[Sexo]:[Sexo]]=$B67,IF(DATOS_[[AGRUP. CLAS. PROF.]:[AGRUP. CLAS. PROF.]]=$B66,IF(DATOS_[[Check Periodo Ref.]:[Check Periodo Ref.]]="Dentro",DATOS_[Conc.Sal.20]))))),
0)</f>
        <v>0</v>
      </c>
      <c r="Z67" s="170">
        <f t="array" ref="Z67">IFERROR(
MEDIAN((IF(DATOS_[[Sexo]:[Sexo]]=$B67,IF(DATOS_[[AGRUP. CLAS. PROF.]:[AGRUP. CLAS. PROF.]]=$B66,IF(DATOS_[[Check Periodo Ref.]:[Check Periodo Ref.]]="Dentro",DATOS_[Conc.Sal.21]))))),
0)</f>
        <v>0</v>
      </c>
      <c r="AA67" s="170">
        <f t="array" ref="AA67">IFERROR(
MEDIAN((IF(DATOS_[[Sexo]:[Sexo]]=$B67,IF(DATOS_[[AGRUP. CLAS. PROF.]:[AGRUP. CLAS. PROF.]]=$B66,IF(DATOS_[[Check Periodo Ref.]:[Check Periodo Ref.]]="Dentro",DATOS_[Conc.Sal.22]))))),
0)</f>
        <v>0</v>
      </c>
      <c r="AB67" s="170">
        <f t="array" ref="AB67">IFERROR(
MEDIAN((IF(DATOS_[[Sexo]:[Sexo]]=$B67,IF(DATOS_[[AGRUP. CLAS. PROF.]:[AGRUP. CLAS. PROF.]]=$B66,IF(DATOS_[[Check Periodo Ref.]:[Check Periodo Ref.]]="Dentro",DATOS_[Conc.Sal.23]))))),
0)</f>
        <v>0</v>
      </c>
      <c r="AC67" s="170">
        <f t="array" ref="AC67">IFERROR(
MEDIAN((IF(DATOS_[[Sexo]:[Sexo]]=$B67,IF(DATOS_[[AGRUP. CLAS. PROF.]:[AGRUP. CLAS. PROF.]]=$B66,IF(DATOS_[[Check Periodo Ref.]:[Check Periodo Ref.]]="Dentro",DATOS_[Conc.Sal.24]))))),
0)</f>
        <v>0</v>
      </c>
      <c r="AD67" s="170">
        <f t="array" ref="AD67">IFERROR(
MEDIAN((IF(DATOS_[[Sexo]:[Sexo]]=$B67,IF(DATOS_[[AGRUP. CLAS. PROF.]:[AGRUP. CLAS. PROF.]]=$B66,IF(DATOS_[[Check Periodo Ref.]:[Check Periodo Ref.]]="Dentro",DATOS_[Conc.Sal.25]))))),
0)</f>
        <v>0</v>
      </c>
      <c r="AE67" s="170">
        <f t="array" ref="AE67">IFERROR(
MEDIAN((IF(DATOS_[[Sexo]:[Sexo]]=$B67,IF(DATOS_[[AGRUP. CLAS. PROF.]:[AGRUP. CLAS. PROF.]]=$B66,IF(DATOS_[[Check Periodo Ref.]:[Check Periodo Ref.]]="Dentro",DATOS_[Conc.Sal.26]))))),
0)</f>
        <v>0</v>
      </c>
      <c r="AF67" s="170">
        <f t="array" ref="AF67">IFERROR(
MEDIAN((IF(DATOS_[[Sexo]:[Sexo]]=$B67,IF(DATOS_[[AGRUP. CLAS. PROF.]:[AGRUP. CLAS. PROF.]]=$B66,IF(DATOS_[[Check Periodo Ref.]:[Check Periodo Ref.]]="Dentro",DATOS_[Conc.Sal.27]))))),
0)</f>
        <v>0</v>
      </c>
      <c r="AG67" s="170">
        <f t="array" ref="AG67">IFERROR(
MEDIAN((IF(DATOS_[[Sexo]:[Sexo]]=$B67,IF(DATOS_[[AGRUP. CLAS. PROF.]:[AGRUP. CLAS. PROF.]]=$B66,IF(DATOS_[[Check Periodo Ref.]:[Check Periodo Ref.]]="Dentro",DATOS_[Conc.Sal.28]))))),
0)</f>
        <v>0</v>
      </c>
      <c r="AH67" s="170">
        <f t="array" ref="AH67">IFERROR(
MEDIAN((IF(DATOS_[[Sexo]:[Sexo]]=$B67,IF(DATOS_[[AGRUP. CLAS. PROF.]:[AGRUP. CLAS. PROF.]]=$B66,IF(DATOS_[[Check Periodo Ref.]:[Check Periodo Ref.]]="Dentro",DATOS_[Conc.Sal.29]))))),
0)</f>
        <v>0</v>
      </c>
      <c r="AI67" s="170">
        <f t="array" ref="AI67">IFERROR(
MEDIAN((IF(DATOS_[[Sexo]:[Sexo]]=$B67,IF(DATOS_[[AGRUP. CLAS. PROF.]:[AGRUP. CLAS. PROF.]]=$B66,IF(DATOS_[[Check Periodo Ref.]:[Check Periodo Ref.]]="Dentro",DATOS_[Conc.Sal.30]))))),
0)</f>
        <v>0</v>
      </c>
      <c r="AJ67" s="171">
        <f t="array" ref="AJ67">IFERROR(
MEDIAN(IF(DATOS_[Sexo]=$B67,IF(DATOS_[AGRUP. CLAS. PROF.]=$B66,IF(DATOS_[Check Periodo Ref.]="Dentro",DATOS_[Tot COMPL.SAL Ef],FALSE)))),
0)</f>
        <v>0</v>
      </c>
      <c r="AK67" s="172">
        <f t="array" ref="AK67">IFERROR(
MEDIAN(IF(DATOS_[Sexo]=$B67,IF(DATOS_[AGRUP. CLAS. PROF.]=$B66,IF(DATOS_[Check Periodo Ref.]="Dentro",DATOS_[TOTAL SALARIO Ef],FALSE)))),
0)</f>
        <v>0</v>
      </c>
      <c r="AL67" s="173">
        <f t="array" ref="AL67">IFERROR(
MEDIAN((IF(DATOS_[[Sexo]:[Sexo]]=$B67,IF(DATOS_[[AGRUP. CLAS. PROF.]:[AGRUP. CLAS. PROF.]]=$B66,IF(DATOS_[[Check Periodo Ref.]:[Check Periodo Ref.]]="Dentro",DATOS_[C.Extra.01]))))),
0)</f>
        <v>0</v>
      </c>
      <c r="AM67" s="173">
        <f t="array" ref="AM67">IFERROR(
MEDIAN((IF(DATOS_[[Sexo]:[Sexo]]=$B67,IF(DATOS_[[AGRUP. CLAS. PROF.]:[AGRUP. CLAS. PROF.]]=$B66,IF(DATOS_[[Check Periodo Ref.]:[Check Periodo Ref.]]="Dentro",DATOS_[C.Extra.06]))))),
0)</f>
        <v>0</v>
      </c>
      <c r="AN67" s="173">
        <f t="array" ref="AN67">IFERROR(
MEDIAN((IF(DATOS_[[Sexo]:[Sexo]]=$B67,IF(DATOS_[[AGRUP. CLAS. PROF.]:[AGRUP. CLAS. PROF.]]=$B66,IF(DATOS_[[Check Periodo Ref.]:[Check Periodo Ref.]]="Dentro",DATOS_[C.Extra.07]))))),
0)</f>
        <v>0</v>
      </c>
      <c r="AO67" s="173">
        <f t="array" ref="AO67">IFERROR(
MEDIAN((IF(DATOS_[[Sexo]:[Sexo]]=$B67,IF(DATOS_[[AGRUP. CLAS. PROF.]:[AGRUP. CLAS. PROF.]]=$B66,IF(DATOS_[[Check Periodo Ref.]:[Check Periodo Ref.]]="Dentro",DATOS_[C.Extra.08]))))),
0)</f>
        <v>0</v>
      </c>
      <c r="AP67" s="173">
        <f t="array" ref="AP67">IFERROR(
MEDIAN((IF(DATOS_[[Sexo]:[Sexo]]=$B67,IF(DATOS_[[AGRUP. CLAS. PROF.]:[AGRUP. CLAS. PROF.]]=$B66,IF(DATOS_[[Check Periodo Ref.]:[Check Periodo Ref.]]="Dentro",DATOS_[C.Extra.11]))))),
0)</f>
        <v>0</v>
      </c>
      <c r="AQ67" s="174">
        <f t="array" ref="AQ67">IFERROR(
MEDIAN(IF(DATOS_[Sexo]=$B67,IF(DATOS_[AGRUP. CLAS. PROF.]=$B66,IF(DATOS_[Check Periodo Ref.]="Dentro",DATOS_[Tot Extrasalarial Ef],FALSE)))),
0)</f>
        <v>0</v>
      </c>
      <c r="AR67" s="171">
        <f t="array" ref="AR67">IFERROR(
MEDIAN(IF(DATOS_[Sexo]=$B67,IF(DATOS_[AGRUP. CLAS. PROF.]=$B66,IF(DATOS_[Check Periodo Ref.]="Dentro",DATOS_[TOTAL Retrib Ef],FALSE)))),
0)</f>
        <v>0</v>
      </c>
    </row>
    <row r="68" spans="1:44" hidden="1" x14ac:dyDescent="0.25">
      <c r="A68" s="178" t="str">
        <f t="shared" ref="A68" si="74">+A67</f>
        <v>[ocultar]</v>
      </c>
      <c r="B68" s="166" t="s">
        <v>521</v>
      </c>
      <c r="C68" s="167">
        <f t="array" ref="C68">SUM(IF($B68=DATOS_[Sexo],
IF($B66=DATOS_[AGRUP. CLAS. PROF.],
IF("Dentro"=DATOS_[Check Periodo Ref.],
1/(COUNTIFS(DATOS_[Sexo],$B68,DATOS_[AGRUP. CLAS. PROF.],$B66,DATOS_[Check Periodo Ref.],"Dentro",DATOS_[id/cod],DATOS_[id/cod]))))))</f>
        <v>0</v>
      </c>
      <c r="D68" s="168">
        <f>COUNTIFS(DATOS_[AGRUP. CLAS. PROF.],$B66,DATOS_[Sexo],$B68,DATOS_[Check Periodo Ref.],"Dentro")</f>
        <v>0</v>
      </c>
      <c r="E68" s="169">
        <f t="array" ref="E68">IFERROR(
MEDIAN(IF(DATOS_[Sexo]=$B68,IF(DATOS_[AGRUP. CLAS. PROF.]=$B66,IF(DATOS_[Check Periodo Ref.]="Dentro",DATOS_[SALARIO BASE Ef],FALSE)))),
0)</f>
        <v>0</v>
      </c>
      <c r="F68" s="170">
        <f t="array" ref="F68">IFERROR(
MEDIAN((IF(DATOS_[[Sexo]:[Sexo]]=$B68,IF(DATOS_[[AGRUP. CLAS. PROF.]:[AGRUP. CLAS. PROF.]]=$B66,IF(DATOS_[[Check Periodo Ref.]:[Check Periodo Ref.]]="Dentro",DATOS_[Conc.Sal.01]))))),
0)</f>
        <v>0</v>
      </c>
      <c r="G68" s="170">
        <f t="array" ref="G68">IFERROR(
MEDIAN((IF(DATOS_[[Sexo]:[Sexo]]=$B68,IF(DATOS_[[AGRUP. CLAS. PROF.]:[AGRUP. CLAS. PROF.]]=$B66,IF(DATOS_[[Check Periodo Ref.]:[Check Periodo Ref.]]="Dentro",DATOS_[Conc.Sal.02]))))),
0)</f>
        <v>0</v>
      </c>
      <c r="H68" s="170">
        <f t="array" ref="H68">IFERROR(
MEDIAN((IF(DATOS_[[Sexo]:[Sexo]]=$B68,IF(DATOS_[[AGRUP. CLAS. PROF.]:[AGRUP. CLAS. PROF.]]=$B66,IF(DATOS_[[Check Periodo Ref.]:[Check Periodo Ref.]]="Dentro",DATOS_[Conc.Sal.03]))))),
0)</f>
        <v>0</v>
      </c>
      <c r="I68" s="170">
        <f t="array" ref="I68">IFERROR(
MEDIAN((IF(DATOS_[[Sexo]:[Sexo]]=$B68,IF(DATOS_[[AGRUP. CLAS. PROF.]:[AGRUP. CLAS. PROF.]]=$B66,IF(DATOS_[[Check Periodo Ref.]:[Check Periodo Ref.]]="Dentro",DATOS_[Conc.Sal.04]))))),
0)</f>
        <v>0</v>
      </c>
      <c r="J68" s="170">
        <f t="array" ref="J68">IFERROR(
MEDIAN((IF(DATOS_[[Sexo]:[Sexo]]=$B68,IF(DATOS_[[AGRUP. CLAS. PROF.]:[AGRUP. CLAS. PROF.]]=$B66,IF(DATOS_[[Check Periodo Ref.]:[Check Periodo Ref.]]="Dentro",DATOS_[Conc.Sal.05]))))),
0)</f>
        <v>0</v>
      </c>
      <c r="K68" s="170">
        <f t="array" ref="K68">IFERROR(
MEDIAN((IF(DATOS_[[Sexo]:[Sexo]]=$B68,IF(DATOS_[[AGRUP. CLAS. PROF.]:[AGRUP. CLAS. PROF.]]=$B66,IF(DATOS_[[Check Periodo Ref.]:[Check Periodo Ref.]]="Dentro",DATOS_[Conc.Sal.06]))))),
0)</f>
        <v>0</v>
      </c>
      <c r="L68" s="170">
        <f t="array" ref="L68">IFERROR(
MEDIAN((IF(DATOS_[[Sexo]:[Sexo]]=$B68,IF(DATOS_[[AGRUP. CLAS. PROF.]:[AGRUP. CLAS. PROF.]]=$B66,IF(DATOS_[[Check Periodo Ref.]:[Check Periodo Ref.]]="Dentro",DATOS_[Conc.Sal.07]))))),
0)</f>
        <v>0</v>
      </c>
      <c r="M68" s="170">
        <f t="array" ref="M68">IFERROR(
MEDIAN((IF(DATOS_[[Sexo]:[Sexo]]=$B68,IF(DATOS_[[AGRUP. CLAS. PROF.]:[AGRUP. CLAS. PROF.]]=$B66,IF(DATOS_[[Check Periodo Ref.]:[Check Periodo Ref.]]="Dentro",DATOS_[Conc.Sal.08]))))),
0)</f>
        <v>0</v>
      </c>
      <c r="N68" s="170">
        <f t="array" ref="N68">IFERROR(
MEDIAN((IF(DATOS_[[Sexo]:[Sexo]]=$B68,IF(DATOS_[[AGRUP. CLAS. PROF.]:[AGRUP. CLAS. PROF.]]=$B66,IF(DATOS_[[Check Periodo Ref.]:[Check Periodo Ref.]]="Dentro",DATOS_[Conc.Sal.09]))))),
0)</f>
        <v>0</v>
      </c>
      <c r="O68" s="170">
        <f t="array" ref="O68">IFERROR(
MEDIAN((IF(DATOS_[[Sexo]:[Sexo]]=$B68,IF(DATOS_[[AGRUP. CLAS. PROF.]:[AGRUP. CLAS. PROF.]]=$B66,IF(DATOS_[[Check Periodo Ref.]:[Check Periodo Ref.]]="Dentro",DATOS_[Conc.Sal.10]))))),
0)</f>
        <v>0</v>
      </c>
      <c r="P68" s="170">
        <f t="array" ref="P68">IFERROR(
MEDIAN((IF(DATOS_[[Sexo]:[Sexo]]=$B68,IF(DATOS_[[AGRUP. CLAS. PROF.]:[AGRUP. CLAS. PROF.]]=$B66,IF(DATOS_[[Check Periodo Ref.]:[Check Periodo Ref.]]="Dentro",DATOS_[Conc.Sal.11]))))),
0)</f>
        <v>0</v>
      </c>
      <c r="Q68" s="170">
        <f t="array" ref="Q68">IFERROR(
MEDIAN((IF(DATOS_[[Sexo]:[Sexo]]=$B68,IF(DATOS_[[AGRUP. CLAS. PROF.]:[AGRUP. CLAS. PROF.]]=$B66,IF(DATOS_[[Check Periodo Ref.]:[Check Periodo Ref.]]="Dentro",DATOS_[Conc.Sal.12]))))),
0)</f>
        <v>0</v>
      </c>
      <c r="R68" s="170">
        <f t="array" ref="R68">IFERROR(
MEDIAN((IF(DATOS_[[Sexo]:[Sexo]]=$B68,IF(DATOS_[[AGRUP. CLAS. PROF.]:[AGRUP. CLAS. PROF.]]=$B66,IF(DATOS_[[Check Periodo Ref.]:[Check Periodo Ref.]]="Dentro",DATOS_[Conc.Sal.13]))))),
0)</f>
        <v>0</v>
      </c>
      <c r="S68" s="170">
        <f t="array" ref="S68">IFERROR(
MEDIAN((IF(DATOS_[[Sexo]:[Sexo]]=$B68,IF(DATOS_[[AGRUP. CLAS. PROF.]:[AGRUP. CLAS. PROF.]]=$B66,IF(DATOS_[[Check Periodo Ref.]:[Check Periodo Ref.]]="Dentro",DATOS_[Conc.Sal.14]))))),
0)</f>
        <v>0</v>
      </c>
      <c r="T68" s="170">
        <f t="array" ref="T68">IFERROR(
MEDIAN((IF(DATOS_[[Sexo]:[Sexo]]=$B68,IF(DATOS_[[AGRUP. CLAS. PROF.]:[AGRUP. CLAS. PROF.]]=$B66,IF(DATOS_[[Check Periodo Ref.]:[Check Periodo Ref.]]="Dentro",DATOS_[Conc.Sal.15]))))),
0)</f>
        <v>0</v>
      </c>
      <c r="U68" s="170">
        <f t="array" ref="U68">IFERROR(
MEDIAN((IF(DATOS_[[Sexo]:[Sexo]]=$B68,IF(DATOS_[[AGRUP. CLAS. PROF.]:[AGRUP. CLAS. PROF.]]=$B66,IF(DATOS_[[Check Periodo Ref.]:[Check Periodo Ref.]]="Dentro",DATOS_[Conc.Sal.16]))))),
0)</f>
        <v>0</v>
      </c>
      <c r="V68" s="170">
        <f t="array" ref="V68">IFERROR(
MEDIAN((IF(DATOS_[[Sexo]:[Sexo]]=$B68,IF(DATOS_[[AGRUP. CLAS. PROF.]:[AGRUP. CLAS. PROF.]]=$B66,IF(DATOS_[[Check Periodo Ref.]:[Check Periodo Ref.]]="Dentro",DATOS_[Conc.Sal.17]))))),
0)</f>
        <v>0</v>
      </c>
      <c r="W68" s="170">
        <f t="array" ref="W68">IFERROR(
MEDIAN((IF(DATOS_[[Sexo]:[Sexo]]=$B68,IF(DATOS_[[AGRUP. CLAS. PROF.]:[AGRUP. CLAS. PROF.]]=$B66,IF(DATOS_[[Check Periodo Ref.]:[Check Periodo Ref.]]="Dentro",DATOS_[Conc.Sal.18]))))),
0)</f>
        <v>0</v>
      </c>
      <c r="X68" s="170">
        <f t="array" ref="X68">IFERROR(
MEDIAN((IF(DATOS_[[Sexo]:[Sexo]]=$B68,IF(DATOS_[[AGRUP. CLAS. PROF.]:[AGRUP. CLAS. PROF.]]=$B66,IF(DATOS_[[Check Periodo Ref.]:[Check Periodo Ref.]]="Dentro",DATOS_[Conc.Sal.19]))))),
0)</f>
        <v>0</v>
      </c>
      <c r="Y68" s="170">
        <f t="array" ref="Y68">IFERROR(
MEDIAN((IF(DATOS_[[Sexo]:[Sexo]]=$B68,IF(DATOS_[[AGRUP. CLAS. PROF.]:[AGRUP. CLAS. PROF.]]=$B66,IF(DATOS_[[Check Periodo Ref.]:[Check Periodo Ref.]]="Dentro",DATOS_[Conc.Sal.20]))))),
0)</f>
        <v>0</v>
      </c>
      <c r="Z68" s="170">
        <f t="array" ref="Z68">IFERROR(
MEDIAN((IF(DATOS_[[Sexo]:[Sexo]]=$B68,IF(DATOS_[[AGRUP. CLAS. PROF.]:[AGRUP. CLAS. PROF.]]=$B66,IF(DATOS_[[Check Periodo Ref.]:[Check Periodo Ref.]]="Dentro",DATOS_[Conc.Sal.21]))))),
0)</f>
        <v>0</v>
      </c>
      <c r="AA68" s="170">
        <f t="array" ref="AA68">IFERROR(
MEDIAN((IF(DATOS_[[Sexo]:[Sexo]]=$B68,IF(DATOS_[[AGRUP. CLAS. PROF.]:[AGRUP. CLAS. PROF.]]=$B66,IF(DATOS_[[Check Periodo Ref.]:[Check Periodo Ref.]]="Dentro",DATOS_[Conc.Sal.22]))))),
0)</f>
        <v>0</v>
      </c>
      <c r="AB68" s="170">
        <f t="array" ref="AB68">IFERROR(
MEDIAN((IF(DATOS_[[Sexo]:[Sexo]]=$B68,IF(DATOS_[[AGRUP. CLAS. PROF.]:[AGRUP. CLAS. PROF.]]=$B66,IF(DATOS_[[Check Periodo Ref.]:[Check Periodo Ref.]]="Dentro",DATOS_[Conc.Sal.23]))))),
0)</f>
        <v>0</v>
      </c>
      <c r="AC68" s="170">
        <f t="array" ref="AC68">IFERROR(
MEDIAN((IF(DATOS_[[Sexo]:[Sexo]]=$B68,IF(DATOS_[[AGRUP. CLAS. PROF.]:[AGRUP. CLAS. PROF.]]=$B66,IF(DATOS_[[Check Periodo Ref.]:[Check Periodo Ref.]]="Dentro",DATOS_[Conc.Sal.24]))))),
0)</f>
        <v>0</v>
      </c>
      <c r="AD68" s="170">
        <f t="array" ref="AD68">IFERROR(
MEDIAN((IF(DATOS_[[Sexo]:[Sexo]]=$B68,IF(DATOS_[[AGRUP. CLAS. PROF.]:[AGRUP. CLAS. PROF.]]=$B66,IF(DATOS_[[Check Periodo Ref.]:[Check Periodo Ref.]]="Dentro",DATOS_[Conc.Sal.25]))))),
0)</f>
        <v>0</v>
      </c>
      <c r="AE68" s="170">
        <f t="array" ref="AE68">IFERROR(
MEDIAN((IF(DATOS_[[Sexo]:[Sexo]]=$B68,IF(DATOS_[[AGRUP. CLAS. PROF.]:[AGRUP. CLAS. PROF.]]=$B66,IF(DATOS_[[Check Periodo Ref.]:[Check Periodo Ref.]]="Dentro",DATOS_[Conc.Sal.26]))))),
0)</f>
        <v>0</v>
      </c>
      <c r="AF68" s="170">
        <f t="array" ref="AF68">IFERROR(
MEDIAN((IF(DATOS_[[Sexo]:[Sexo]]=$B68,IF(DATOS_[[AGRUP. CLAS. PROF.]:[AGRUP. CLAS. PROF.]]=$B66,IF(DATOS_[[Check Periodo Ref.]:[Check Periodo Ref.]]="Dentro",DATOS_[Conc.Sal.27]))))),
0)</f>
        <v>0</v>
      </c>
      <c r="AG68" s="170">
        <f t="array" ref="AG68">IFERROR(
MEDIAN((IF(DATOS_[[Sexo]:[Sexo]]=$B68,IF(DATOS_[[AGRUP. CLAS. PROF.]:[AGRUP. CLAS. PROF.]]=$B66,IF(DATOS_[[Check Periodo Ref.]:[Check Periodo Ref.]]="Dentro",DATOS_[Conc.Sal.28]))))),
0)</f>
        <v>0</v>
      </c>
      <c r="AH68" s="170">
        <f t="array" ref="AH68">IFERROR(
MEDIAN((IF(DATOS_[[Sexo]:[Sexo]]=$B68,IF(DATOS_[[AGRUP. CLAS. PROF.]:[AGRUP. CLAS. PROF.]]=$B66,IF(DATOS_[[Check Periodo Ref.]:[Check Periodo Ref.]]="Dentro",DATOS_[Conc.Sal.29]))))),
0)</f>
        <v>0</v>
      </c>
      <c r="AI68" s="170">
        <f t="array" ref="AI68">IFERROR(
MEDIAN((IF(DATOS_[[Sexo]:[Sexo]]=$B68,IF(DATOS_[[AGRUP. CLAS. PROF.]:[AGRUP. CLAS. PROF.]]=$B66,IF(DATOS_[[Check Periodo Ref.]:[Check Periodo Ref.]]="Dentro",DATOS_[Conc.Sal.30]))))),
0)</f>
        <v>0</v>
      </c>
      <c r="AJ68" s="171">
        <f t="array" ref="AJ68">IFERROR(
MEDIAN(IF(DATOS_[Sexo]=$B68,IF(DATOS_[AGRUP. CLAS. PROF.]=$B66,IF(DATOS_[Check Periodo Ref.]="Dentro",DATOS_[Tot COMPL.SAL Ef],FALSE)))),
0)</f>
        <v>0</v>
      </c>
      <c r="AK68" s="172">
        <f t="array" ref="AK68">IFERROR(
MEDIAN(IF(DATOS_[Sexo]=$B68,IF(DATOS_[AGRUP. CLAS. PROF.]=$B66,IF(DATOS_[Check Periodo Ref.]="Dentro",DATOS_[TOTAL SALARIO Ef],FALSE)))),
0)</f>
        <v>0</v>
      </c>
      <c r="AL68" s="173">
        <f t="array" ref="AL68">IFERROR(
MEDIAN((IF(DATOS_[[Sexo]:[Sexo]]=$B68,IF(DATOS_[[AGRUP. CLAS. PROF.]:[AGRUP. CLAS. PROF.]]=$B66,IF(DATOS_[[Check Periodo Ref.]:[Check Periodo Ref.]]="Dentro",DATOS_[C.Extra.01]))))),
0)</f>
        <v>0</v>
      </c>
      <c r="AM68" s="173">
        <f t="array" ref="AM68">IFERROR(
MEDIAN((IF(DATOS_[[Sexo]:[Sexo]]=$B68,IF(DATOS_[[AGRUP. CLAS. PROF.]:[AGRUP. CLAS. PROF.]]=$B66,IF(DATOS_[[Check Periodo Ref.]:[Check Periodo Ref.]]="Dentro",DATOS_[C.Extra.06]))))),
0)</f>
        <v>0</v>
      </c>
      <c r="AN68" s="173">
        <f t="array" ref="AN68">IFERROR(
MEDIAN((IF(DATOS_[[Sexo]:[Sexo]]=$B68,IF(DATOS_[[AGRUP. CLAS. PROF.]:[AGRUP. CLAS. PROF.]]=$B66,IF(DATOS_[[Check Periodo Ref.]:[Check Periodo Ref.]]="Dentro",DATOS_[C.Extra.07]))))),
0)</f>
        <v>0</v>
      </c>
      <c r="AO68" s="173">
        <f t="array" ref="AO68">IFERROR(
MEDIAN((IF(DATOS_[[Sexo]:[Sexo]]=$B68,IF(DATOS_[[AGRUP. CLAS. PROF.]:[AGRUP. CLAS. PROF.]]=$B66,IF(DATOS_[[Check Periodo Ref.]:[Check Periodo Ref.]]="Dentro",DATOS_[C.Extra.08]))))),
0)</f>
        <v>0</v>
      </c>
      <c r="AP68" s="173">
        <f t="array" ref="AP68">IFERROR(
MEDIAN((IF(DATOS_[[Sexo]:[Sexo]]=$B68,IF(DATOS_[[AGRUP. CLAS. PROF.]:[AGRUP. CLAS. PROF.]]=$B66,IF(DATOS_[[Check Periodo Ref.]:[Check Periodo Ref.]]="Dentro",DATOS_[C.Extra.11]))))),
0)</f>
        <v>0</v>
      </c>
      <c r="AQ68" s="174">
        <f t="array" ref="AQ68">IFERROR(
MEDIAN(IF(DATOS_[Sexo]=$B68,IF(DATOS_[AGRUP. CLAS. PROF.]=$B66,IF(DATOS_[Check Periodo Ref.]="Dentro",DATOS_[Tot Extrasalarial Ef],FALSE)))),
0)</f>
        <v>0</v>
      </c>
      <c r="AR68" s="171">
        <f t="array" ref="AR68">IFERROR(
MEDIAN(IF(DATOS_[Sexo]=$B68,IF(DATOS_[AGRUP. CLAS. PROF.]=$B66,IF(DATOS_[Check Periodo Ref.]="Dentro",DATOS_[TOTAL Retrib Ef],FALSE)))),
0)</f>
        <v>0</v>
      </c>
    </row>
    <row r="69" spans="1:44" ht="14.4" hidden="1" thickBot="1" x14ac:dyDescent="0.3">
      <c r="A69" s="178" t="str">
        <f t="shared" ref="A69" si="75">+A70</f>
        <v>[ocultar]</v>
      </c>
      <c r="B69" s="153" t="s">
        <v>252</v>
      </c>
      <c r="C69" s="154"/>
      <c r="D69" s="155"/>
      <c r="E69" s="156" t="str">
        <f t="shared" ref="E69:AR69" si="76">IFERROR((E70-E71)/E70,"")</f>
        <v/>
      </c>
      <c r="F69" s="157" t="str">
        <f t="shared" si="76"/>
        <v/>
      </c>
      <c r="G69" s="158" t="str">
        <f t="shared" si="76"/>
        <v/>
      </c>
      <c r="H69" s="158" t="str">
        <f t="shared" si="76"/>
        <v/>
      </c>
      <c r="I69" s="158" t="str">
        <f t="shared" si="76"/>
        <v/>
      </c>
      <c r="J69" s="159" t="str">
        <f t="shared" si="76"/>
        <v/>
      </c>
      <c r="K69" s="160" t="str">
        <f t="shared" si="76"/>
        <v/>
      </c>
      <c r="L69" s="160" t="str">
        <f t="shared" si="76"/>
        <v/>
      </c>
      <c r="M69" s="160" t="str">
        <f t="shared" si="76"/>
        <v/>
      </c>
      <c r="N69" s="160" t="str">
        <f t="shared" si="76"/>
        <v/>
      </c>
      <c r="O69" s="160" t="str">
        <f t="shared" si="76"/>
        <v/>
      </c>
      <c r="P69" s="160" t="str">
        <f t="shared" si="76"/>
        <v/>
      </c>
      <c r="Q69" s="160" t="str">
        <f t="shared" si="76"/>
        <v/>
      </c>
      <c r="R69" s="160" t="str">
        <f t="shared" si="76"/>
        <v/>
      </c>
      <c r="S69" s="160" t="str">
        <f t="shared" si="76"/>
        <v/>
      </c>
      <c r="T69" s="160" t="str">
        <f t="shared" si="76"/>
        <v/>
      </c>
      <c r="U69" s="160" t="str">
        <f t="shared" si="76"/>
        <v/>
      </c>
      <c r="V69" s="159" t="str">
        <f t="shared" si="76"/>
        <v/>
      </c>
      <c r="W69" s="159" t="str">
        <f t="shared" si="76"/>
        <v/>
      </c>
      <c r="X69" s="159" t="str">
        <f t="shared" si="76"/>
        <v/>
      </c>
      <c r="Y69" s="159" t="str">
        <f t="shared" si="76"/>
        <v/>
      </c>
      <c r="Z69" s="159" t="str">
        <f t="shared" si="76"/>
        <v/>
      </c>
      <c r="AA69" s="159" t="str">
        <f t="shared" si="76"/>
        <v/>
      </c>
      <c r="AB69" s="159" t="str">
        <f t="shared" si="76"/>
        <v/>
      </c>
      <c r="AC69" s="159" t="str">
        <f t="shared" si="76"/>
        <v/>
      </c>
      <c r="AD69" s="159" t="str">
        <f t="shared" si="76"/>
        <v/>
      </c>
      <c r="AE69" s="159" t="str">
        <f t="shared" si="76"/>
        <v/>
      </c>
      <c r="AF69" s="159" t="str">
        <f t="shared" si="76"/>
        <v/>
      </c>
      <c r="AG69" s="159" t="str">
        <f t="shared" si="76"/>
        <v/>
      </c>
      <c r="AH69" s="159" t="str">
        <f t="shared" si="76"/>
        <v/>
      </c>
      <c r="AI69" s="159" t="str">
        <f t="shared" si="76"/>
        <v/>
      </c>
      <c r="AJ69" s="161" t="str">
        <f t="shared" si="76"/>
        <v/>
      </c>
      <c r="AK69" s="162" t="str">
        <f t="shared" si="76"/>
        <v/>
      </c>
      <c r="AL69" s="163" t="str">
        <f t="shared" si="76"/>
        <v/>
      </c>
      <c r="AM69" s="163" t="str">
        <f t="shared" si="76"/>
        <v/>
      </c>
      <c r="AN69" s="163" t="str">
        <f t="shared" si="76"/>
        <v/>
      </c>
      <c r="AO69" s="163" t="str">
        <f t="shared" si="76"/>
        <v/>
      </c>
      <c r="AP69" s="163" t="str">
        <f t="shared" si="76"/>
        <v/>
      </c>
      <c r="AQ69" s="164" t="str">
        <f t="shared" si="76"/>
        <v/>
      </c>
      <c r="AR69" s="161" t="str">
        <f t="shared" si="76"/>
        <v/>
      </c>
    </row>
    <row r="70" spans="1:44" hidden="1" x14ac:dyDescent="0.25">
      <c r="A70" s="178" t="str">
        <f t="shared" ref="A70" si="77">+IF(C70+C71=0,"[ocultar]","")</f>
        <v>[ocultar]</v>
      </c>
      <c r="B70" s="166" t="s">
        <v>394</v>
      </c>
      <c r="C70" s="167">
        <f t="array" ref="C70">SUM(IF($B70=DATOS_[Sexo],
IF($B69=DATOS_[AGRUP. CLAS. PROF.],
IF("Dentro"=DATOS_[Check Periodo Ref.],
1/(COUNTIFS(DATOS_[Sexo],$B70,DATOS_[AGRUP. CLAS. PROF.],$B69,DATOS_[Check Periodo Ref.],"Dentro",DATOS_[id/cod],DATOS_[id/cod]))))))</f>
        <v>0</v>
      </c>
      <c r="D70" s="168">
        <f>COUNTIFS(DATOS_[AGRUP. CLAS. PROF.],$B69,DATOS_[Sexo],$B70,DATOS_[Check Periodo Ref.],"Dentro")</f>
        <v>0</v>
      </c>
      <c r="E70" s="169">
        <f t="array" ref="E70">IFERROR(
MEDIAN(IF(DATOS_[Sexo]=$B70,IF(DATOS_[AGRUP. CLAS. PROF.]=$B69,IF(DATOS_[Check Periodo Ref.]="Dentro",DATOS_[SALARIO BASE Ef],FALSE)))),
0)</f>
        <v>0</v>
      </c>
      <c r="F70" s="170">
        <f t="array" ref="F70">IFERROR(
MEDIAN((IF(DATOS_[[Sexo]:[Sexo]]=$B70,IF(DATOS_[[AGRUP. CLAS. PROF.]:[AGRUP. CLAS. PROF.]]=$B69,IF(DATOS_[[Check Periodo Ref.]:[Check Periodo Ref.]]="Dentro",DATOS_[Conc.Sal.01]))))),
0)</f>
        <v>0</v>
      </c>
      <c r="G70" s="170">
        <f t="array" ref="G70">IFERROR(
MEDIAN((IF(DATOS_[[Sexo]:[Sexo]]=$B70,IF(DATOS_[[AGRUP. CLAS. PROF.]:[AGRUP. CLAS. PROF.]]=$B69,IF(DATOS_[[Check Periodo Ref.]:[Check Periodo Ref.]]="Dentro",DATOS_[Conc.Sal.02]))))),
0)</f>
        <v>0</v>
      </c>
      <c r="H70" s="170">
        <f t="array" ref="H70">IFERROR(
MEDIAN((IF(DATOS_[[Sexo]:[Sexo]]=$B70,IF(DATOS_[[AGRUP. CLAS. PROF.]:[AGRUP. CLAS. PROF.]]=$B69,IF(DATOS_[[Check Periodo Ref.]:[Check Periodo Ref.]]="Dentro",DATOS_[Conc.Sal.03]))))),
0)</f>
        <v>0</v>
      </c>
      <c r="I70" s="170">
        <f t="array" ref="I70">IFERROR(
MEDIAN((IF(DATOS_[[Sexo]:[Sexo]]=$B70,IF(DATOS_[[AGRUP. CLAS. PROF.]:[AGRUP. CLAS. PROF.]]=$B69,IF(DATOS_[[Check Periodo Ref.]:[Check Periodo Ref.]]="Dentro",DATOS_[Conc.Sal.04]))))),
0)</f>
        <v>0</v>
      </c>
      <c r="J70" s="170">
        <f t="array" ref="J70">IFERROR(
MEDIAN((IF(DATOS_[[Sexo]:[Sexo]]=$B70,IF(DATOS_[[AGRUP. CLAS. PROF.]:[AGRUP. CLAS. PROF.]]=$B69,IF(DATOS_[[Check Periodo Ref.]:[Check Periodo Ref.]]="Dentro",DATOS_[Conc.Sal.05]))))),
0)</f>
        <v>0</v>
      </c>
      <c r="K70" s="170">
        <f t="array" ref="K70">IFERROR(
MEDIAN((IF(DATOS_[[Sexo]:[Sexo]]=$B70,IF(DATOS_[[AGRUP. CLAS. PROF.]:[AGRUP. CLAS. PROF.]]=$B69,IF(DATOS_[[Check Periodo Ref.]:[Check Periodo Ref.]]="Dentro",DATOS_[Conc.Sal.06]))))),
0)</f>
        <v>0</v>
      </c>
      <c r="L70" s="170">
        <f t="array" ref="L70">IFERROR(
MEDIAN((IF(DATOS_[[Sexo]:[Sexo]]=$B70,IF(DATOS_[[AGRUP. CLAS. PROF.]:[AGRUP. CLAS. PROF.]]=$B69,IF(DATOS_[[Check Periodo Ref.]:[Check Periodo Ref.]]="Dentro",DATOS_[Conc.Sal.07]))))),
0)</f>
        <v>0</v>
      </c>
      <c r="M70" s="170">
        <f t="array" ref="M70">IFERROR(
MEDIAN((IF(DATOS_[[Sexo]:[Sexo]]=$B70,IF(DATOS_[[AGRUP. CLAS. PROF.]:[AGRUP. CLAS. PROF.]]=$B69,IF(DATOS_[[Check Periodo Ref.]:[Check Periodo Ref.]]="Dentro",DATOS_[Conc.Sal.08]))))),
0)</f>
        <v>0</v>
      </c>
      <c r="N70" s="170">
        <f t="array" ref="N70">IFERROR(
MEDIAN((IF(DATOS_[[Sexo]:[Sexo]]=$B70,IF(DATOS_[[AGRUP. CLAS. PROF.]:[AGRUP. CLAS. PROF.]]=$B69,IF(DATOS_[[Check Periodo Ref.]:[Check Periodo Ref.]]="Dentro",DATOS_[Conc.Sal.09]))))),
0)</f>
        <v>0</v>
      </c>
      <c r="O70" s="170">
        <f t="array" ref="O70">IFERROR(
MEDIAN((IF(DATOS_[[Sexo]:[Sexo]]=$B70,IF(DATOS_[[AGRUP. CLAS. PROF.]:[AGRUP. CLAS. PROF.]]=$B69,IF(DATOS_[[Check Periodo Ref.]:[Check Periodo Ref.]]="Dentro",DATOS_[Conc.Sal.10]))))),
0)</f>
        <v>0</v>
      </c>
      <c r="P70" s="170">
        <f t="array" ref="P70">IFERROR(
MEDIAN((IF(DATOS_[[Sexo]:[Sexo]]=$B70,IF(DATOS_[[AGRUP. CLAS. PROF.]:[AGRUP. CLAS. PROF.]]=$B69,IF(DATOS_[[Check Periodo Ref.]:[Check Periodo Ref.]]="Dentro",DATOS_[Conc.Sal.11]))))),
0)</f>
        <v>0</v>
      </c>
      <c r="Q70" s="170">
        <f t="array" ref="Q70">IFERROR(
MEDIAN((IF(DATOS_[[Sexo]:[Sexo]]=$B70,IF(DATOS_[[AGRUP. CLAS. PROF.]:[AGRUP. CLAS. PROF.]]=$B69,IF(DATOS_[[Check Periodo Ref.]:[Check Periodo Ref.]]="Dentro",DATOS_[Conc.Sal.12]))))),
0)</f>
        <v>0</v>
      </c>
      <c r="R70" s="170">
        <f t="array" ref="R70">IFERROR(
MEDIAN((IF(DATOS_[[Sexo]:[Sexo]]=$B70,IF(DATOS_[[AGRUP. CLAS. PROF.]:[AGRUP. CLAS. PROF.]]=$B69,IF(DATOS_[[Check Periodo Ref.]:[Check Periodo Ref.]]="Dentro",DATOS_[Conc.Sal.13]))))),
0)</f>
        <v>0</v>
      </c>
      <c r="S70" s="170">
        <f t="array" ref="S70">IFERROR(
MEDIAN((IF(DATOS_[[Sexo]:[Sexo]]=$B70,IF(DATOS_[[AGRUP. CLAS. PROF.]:[AGRUP. CLAS. PROF.]]=$B69,IF(DATOS_[[Check Periodo Ref.]:[Check Periodo Ref.]]="Dentro",DATOS_[Conc.Sal.14]))))),
0)</f>
        <v>0</v>
      </c>
      <c r="T70" s="170">
        <f t="array" ref="T70">IFERROR(
MEDIAN((IF(DATOS_[[Sexo]:[Sexo]]=$B70,IF(DATOS_[[AGRUP. CLAS. PROF.]:[AGRUP. CLAS. PROF.]]=$B69,IF(DATOS_[[Check Periodo Ref.]:[Check Periodo Ref.]]="Dentro",DATOS_[Conc.Sal.15]))))),
0)</f>
        <v>0</v>
      </c>
      <c r="U70" s="170">
        <f t="array" ref="U70">IFERROR(
MEDIAN((IF(DATOS_[[Sexo]:[Sexo]]=$B70,IF(DATOS_[[AGRUP. CLAS. PROF.]:[AGRUP. CLAS. PROF.]]=$B69,IF(DATOS_[[Check Periodo Ref.]:[Check Periodo Ref.]]="Dentro",DATOS_[Conc.Sal.16]))))),
0)</f>
        <v>0</v>
      </c>
      <c r="V70" s="170">
        <f t="array" ref="V70">IFERROR(
MEDIAN((IF(DATOS_[[Sexo]:[Sexo]]=$B70,IF(DATOS_[[AGRUP. CLAS. PROF.]:[AGRUP. CLAS. PROF.]]=$B69,IF(DATOS_[[Check Periodo Ref.]:[Check Periodo Ref.]]="Dentro",DATOS_[Conc.Sal.17]))))),
0)</f>
        <v>0</v>
      </c>
      <c r="W70" s="170">
        <f t="array" ref="W70">IFERROR(
MEDIAN((IF(DATOS_[[Sexo]:[Sexo]]=$B70,IF(DATOS_[[AGRUP. CLAS. PROF.]:[AGRUP. CLAS. PROF.]]=$B69,IF(DATOS_[[Check Periodo Ref.]:[Check Periodo Ref.]]="Dentro",DATOS_[Conc.Sal.18]))))),
0)</f>
        <v>0</v>
      </c>
      <c r="X70" s="170">
        <f t="array" ref="X70">IFERROR(
MEDIAN((IF(DATOS_[[Sexo]:[Sexo]]=$B70,IF(DATOS_[[AGRUP. CLAS. PROF.]:[AGRUP. CLAS. PROF.]]=$B69,IF(DATOS_[[Check Periodo Ref.]:[Check Periodo Ref.]]="Dentro",DATOS_[Conc.Sal.19]))))),
0)</f>
        <v>0</v>
      </c>
      <c r="Y70" s="170">
        <f t="array" ref="Y70">IFERROR(
MEDIAN((IF(DATOS_[[Sexo]:[Sexo]]=$B70,IF(DATOS_[[AGRUP. CLAS. PROF.]:[AGRUP. CLAS. PROF.]]=$B69,IF(DATOS_[[Check Periodo Ref.]:[Check Periodo Ref.]]="Dentro",DATOS_[Conc.Sal.20]))))),
0)</f>
        <v>0</v>
      </c>
      <c r="Z70" s="170">
        <f t="array" ref="Z70">IFERROR(
MEDIAN((IF(DATOS_[[Sexo]:[Sexo]]=$B70,IF(DATOS_[[AGRUP. CLAS. PROF.]:[AGRUP. CLAS. PROF.]]=$B69,IF(DATOS_[[Check Periodo Ref.]:[Check Periodo Ref.]]="Dentro",DATOS_[Conc.Sal.21]))))),
0)</f>
        <v>0</v>
      </c>
      <c r="AA70" s="170">
        <f t="array" ref="AA70">IFERROR(
MEDIAN((IF(DATOS_[[Sexo]:[Sexo]]=$B70,IF(DATOS_[[AGRUP. CLAS. PROF.]:[AGRUP. CLAS. PROF.]]=$B69,IF(DATOS_[[Check Periodo Ref.]:[Check Periodo Ref.]]="Dentro",DATOS_[Conc.Sal.22]))))),
0)</f>
        <v>0</v>
      </c>
      <c r="AB70" s="170">
        <f t="array" ref="AB70">IFERROR(
MEDIAN((IF(DATOS_[[Sexo]:[Sexo]]=$B70,IF(DATOS_[[AGRUP. CLAS. PROF.]:[AGRUP. CLAS. PROF.]]=$B69,IF(DATOS_[[Check Periodo Ref.]:[Check Periodo Ref.]]="Dentro",DATOS_[Conc.Sal.23]))))),
0)</f>
        <v>0</v>
      </c>
      <c r="AC70" s="170">
        <f t="array" ref="AC70">IFERROR(
MEDIAN((IF(DATOS_[[Sexo]:[Sexo]]=$B70,IF(DATOS_[[AGRUP. CLAS. PROF.]:[AGRUP. CLAS. PROF.]]=$B69,IF(DATOS_[[Check Periodo Ref.]:[Check Periodo Ref.]]="Dentro",DATOS_[Conc.Sal.24]))))),
0)</f>
        <v>0</v>
      </c>
      <c r="AD70" s="170">
        <f t="array" ref="AD70">IFERROR(
MEDIAN((IF(DATOS_[[Sexo]:[Sexo]]=$B70,IF(DATOS_[[AGRUP. CLAS. PROF.]:[AGRUP. CLAS. PROF.]]=$B69,IF(DATOS_[[Check Periodo Ref.]:[Check Periodo Ref.]]="Dentro",DATOS_[Conc.Sal.25]))))),
0)</f>
        <v>0</v>
      </c>
      <c r="AE70" s="170">
        <f t="array" ref="AE70">IFERROR(
MEDIAN((IF(DATOS_[[Sexo]:[Sexo]]=$B70,IF(DATOS_[[AGRUP. CLAS. PROF.]:[AGRUP. CLAS. PROF.]]=$B69,IF(DATOS_[[Check Periodo Ref.]:[Check Periodo Ref.]]="Dentro",DATOS_[Conc.Sal.26]))))),
0)</f>
        <v>0</v>
      </c>
      <c r="AF70" s="170">
        <f t="array" ref="AF70">IFERROR(
MEDIAN((IF(DATOS_[[Sexo]:[Sexo]]=$B70,IF(DATOS_[[AGRUP. CLAS. PROF.]:[AGRUP. CLAS. PROF.]]=$B69,IF(DATOS_[[Check Periodo Ref.]:[Check Periodo Ref.]]="Dentro",DATOS_[Conc.Sal.27]))))),
0)</f>
        <v>0</v>
      </c>
      <c r="AG70" s="170">
        <f t="array" ref="AG70">IFERROR(
MEDIAN((IF(DATOS_[[Sexo]:[Sexo]]=$B70,IF(DATOS_[[AGRUP. CLAS. PROF.]:[AGRUP. CLAS. PROF.]]=$B69,IF(DATOS_[[Check Periodo Ref.]:[Check Periodo Ref.]]="Dentro",DATOS_[Conc.Sal.28]))))),
0)</f>
        <v>0</v>
      </c>
      <c r="AH70" s="170">
        <f t="array" ref="AH70">IFERROR(
MEDIAN((IF(DATOS_[[Sexo]:[Sexo]]=$B70,IF(DATOS_[[AGRUP. CLAS. PROF.]:[AGRUP. CLAS. PROF.]]=$B69,IF(DATOS_[[Check Periodo Ref.]:[Check Periodo Ref.]]="Dentro",DATOS_[Conc.Sal.29]))))),
0)</f>
        <v>0</v>
      </c>
      <c r="AI70" s="170">
        <f t="array" ref="AI70">IFERROR(
MEDIAN((IF(DATOS_[[Sexo]:[Sexo]]=$B70,IF(DATOS_[[AGRUP. CLAS. PROF.]:[AGRUP. CLAS. PROF.]]=$B69,IF(DATOS_[[Check Periodo Ref.]:[Check Periodo Ref.]]="Dentro",DATOS_[Conc.Sal.30]))))),
0)</f>
        <v>0</v>
      </c>
      <c r="AJ70" s="171">
        <f t="array" ref="AJ70">IFERROR(
MEDIAN(IF(DATOS_[Sexo]=$B70,IF(DATOS_[AGRUP. CLAS. PROF.]=$B69,IF(DATOS_[Check Periodo Ref.]="Dentro",DATOS_[Tot COMPL.SAL Ef],FALSE)))),
0)</f>
        <v>0</v>
      </c>
      <c r="AK70" s="172">
        <f t="array" ref="AK70">IFERROR(
MEDIAN(IF(DATOS_[Sexo]=$B70,IF(DATOS_[AGRUP. CLAS. PROF.]=$B69,IF(DATOS_[Check Periodo Ref.]="Dentro",DATOS_[TOTAL SALARIO Ef],FALSE)))),
0)</f>
        <v>0</v>
      </c>
      <c r="AL70" s="173">
        <f t="array" ref="AL70">IFERROR(
MEDIAN((IF(DATOS_[[Sexo]:[Sexo]]=$B70,IF(DATOS_[[AGRUP. CLAS. PROF.]:[AGRUP. CLAS. PROF.]]=$B69,IF(DATOS_[[Check Periodo Ref.]:[Check Periodo Ref.]]="Dentro",DATOS_[C.Extra.01]))))),
0)</f>
        <v>0</v>
      </c>
      <c r="AM70" s="173">
        <f t="array" ref="AM70">IFERROR(
MEDIAN((IF(DATOS_[[Sexo]:[Sexo]]=$B70,IF(DATOS_[[AGRUP. CLAS. PROF.]:[AGRUP. CLAS. PROF.]]=$B69,IF(DATOS_[[Check Periodo Ref.]:[Check Periodo Ref.]]="Dentro",DATOS_[C.Extra.06]))))),
0)</f>
        <v>0</v>
      </c>
      <c r="AN70" s="173">
        <f t="array" ref="AN70">IFERROR(
MEDIAN((IF(DATOS_[[Sexo]:[Sexo]]=$B70,IF(DATOS_[[AGRUP. CLAS. PROF.]:[AGRUP. CLAS. PROF.]]=$B69,IF(DATOS_[[Check Periodo Ref.]:[Check Periodo Ref.]]="Dentro",DATOS_[C.Extra.07]))))),
0)</f>
        <v>0</v>
      </c>
      <c r="AO70" s="173">
        <f t="array" ref="AO70">IFERROR(
MEDIAN((IF(DATOS_[[Sexo]:[Sexo]]=$B70,IF(DATOS_[[AGRUP. CLAS. PROF.]:[AGRUP. CLAS. PROF.]]=$B69,IF(DATOS_[[Check Periodo Ref.]:[Check Periodo Ref.]]="Dentro",DATOS_[C.Extra.08]))))),
0)</f>
        <v>0</v>
      </c>
      <c r="AP70" s="173">
        <f t="array" ref="AP70">IFERROR(
MEDIAN((IF(DATOS_[[Sexo]:[Sexo]]=$B70,IF(DATOS_[[AGRUP. CLAS. PROF.]:[AGRUP. CLAS. PROF.]]=$B69,IF(DATOS_[[Check Periodo Ref.]:[Check Periodo Ref.]]="Dentro",DATOS_[C.Extra.11]))))),
0)</f>
        <v>0</v>
      </c>
      <c r="AQ70" s="174">
        <f t="array" ref="AQ70">IFERROR(
MEDIAN(IF(DATOS_[Sexo]=$B70,IF(DATOS_[AGRUP. CLAS. PROF.]=$B69,IF(DATOS_[Check Periodo Ref.]="Dentro",DATOS_[Tot Extrasalarial Ef],FALSE)))),
0)</f>
        <v>0</v>
      </c>
      <c r="AR70" s="171">
        <f t="array" ref="AR70">IFERROR(
MEDIAN(IF(DATOS_[Sexo]=$B70,IF(DATOS_[AGRUP. CLAS. PROF.]=$B69,IF(DATOS_[Check Periodo Ref.]="Dentro",DATOS_[TOTAL Retrib Ef],FALSE)))),
0)</f>
        <v>0</v>
      </c>
    </row>
    <row r="71" spans="1:44" hidden="1" x14ac:dyDescent="0.25">
      <c r="A71" s="178" t="str">
        <f t="shared" ref="A71" si="78">+A70</f>
        <v>[ocultar]</v>
      </c>
      <c r="B71" s="166" t="s">
        <v>521</v>
      </c>
      <c r="C71" s="167">
        <f t="array" ref="C71">SUM(IF($B71=DATOS_[Sexo],
IF($B69=DATOS_[AGRUP. CLAS. PROF.],
IF("Dentro"=DATOS_[Check Periodo Ref.],
1/(COUNTIFS(DATOS_[Sexo],$B71,DATOS_[AGRUP. CLAS. PROF.],$B69,DATOS_[Check Periodo Ref.],"Dentro",DATOS_[id/cod],DATOS_[id/cod]))))))</f>
        <v>0</v>
      </c>
      <c r="D71" s="168">
        <f>COUNTIFS(DATOS_[AGRUP. CLAS. PROF.],$B69,DATOS_[Sexo],$B71,DATOS_[Check Periodo Ref.],"Dentro")</f>
        <v>0</v>
      </c>
      <c r="E71" s="169">
        <f t="array" ref="E71">IFERROR(
MEDIAN(IF(DATOS_[Sexo]=$B71,IF(DATOS_[AGRUP. CLAS. PROF.]=$B69,IF(DATOS_[Check Periodo Ref.]="Dentro",DATOS_[SALARIO BASE Ef],FALSE)))),
0)</f>
        <v>0</v>
      </c>
      <c r="F71" s="170">
        <f t="array" ref="F71">IFERROR(
MEDIAN((IF(DATOS_[[Sexo]:[Sexo]]=$B71,IF(DATOS_[[AGRUP. CLAS. PROF.]:[AGRUP. CLAS. PROF.]]=$B69,IF(DATOS_[[Check Periodo Ref.]:[Check Periodo Ref.]]="Dentro",DATOS_[Conc.Sal.01]))))),
0)</f>
        <v>0</v>
      </c>
      <c r="G71" s="170">
        <f t="array" ref="G71">IFERROR(
MEDIAN((IF(DATOS_[[Sexo]:[Sexo]]=$B71,IF(DATOS_[[AGRUP. CLAS. PROF.]:[AGRUP. CLAS. PROF.]]=$B69,IF(DATOS_[[Check Periodo Ref.]:[Check Periodo Ref.]]="Dentro",DATOS_[Conc.Sal.02]))))),
0)</f>
        <v>0</v>
      </c>
      <c r="H71" s="170">
        <f t="array" ref="H71">IFERROR(
MEDIAN((IF(DATOS_[[Sexo]:[Sexo]]=$B71,IF(DATOS_[[AGRUP. CLAS. PROF.]:[AGRUP. CLAS. PROF.]]=$B69,IF(DATOS_[[Check Periodo Ref.]:[Check Periodo Ref.]]="Dentro",DATOS_[Conc.Sal.03]))))),
0)</f>
        <v>0</v>
      </c>
      <c r="I71" s="170">
        <f t="array" ref="I71">IFERROR(
MEDIAN((IF(DATOS_[[Sexo]:[Sexo]]=$B71,IF(DATOS_[[AGRUP. CLAS. PROF.]:[AGRUP. CLAS. PROF.]]=$B69,IF(DATOS_[[Check Periodo Ref.]:[Check Periodo Ref.]]="Dentro",DATOS_[Conc.Sal.04]))))),
0)</f>
        <v>0</v>
      </c>
      <c r="J71" s="170">
        <f t="array" ref="J71">IFERROR(
MEDIAN((IF(DATOS_[[Sexo]:[Sexo]]=$B71,IF(DATOS_[[AGRUP. CLAS. PROF.]:[AGRUP. CLAS. PROF.]]=$B69,IF(DATOS_[[Check Periodo Ref.]:[Check Periodo Ref.]]="Dentro",DATOS_[Conc.Sal.05]))))),
0)</f>
        <v>0</v>
      </c>
      <c r="K71" s="170">
        <f t="array" ref="K71">IFERROR(
MEDIAN((IF(DATOS_[[Sexo]:[Sexo]]=$B71,IF(DATOS_[[AGRUP. CLAS. PROF.]:[AGRUP. CLAS. PROF.]]=$B69,IF(DATOS_[[Check Periodo Ref.]:[Check Periodo Ref.]]="Dentro",DATOS_[Conc.Sal.06]))))),
0)</f>
        <v>0</v>
      </c>
      <c r="L71" s="170">
        <f t="array" ref="L71">IFERROR(
MEDIAN((IF(DATOS_[[Sexo]:[Sexo]]=$B71,IF(DATOS_[[AGRUP. CLAS. PROF.]:[AGRUP. CLAS. PROF.]]=$B69,IF(DATOS_[[Check Periodo Ref.]:[Check Periodo Ref.]]="Dentro",DATOS_[Conc.Sal.07]))))),
0)</f>
        <v>0</v>
      </c>
      <c r="M71" s="170">
        <f t="array" ref="M71">IFERROR(
MEDIAN((IF(DATOS_[[Sexo]:[Sexo]]=$B71,IF(DATOS_[[AGRUP. CLAS. PROF.]:[AGRUP. CLAS. PROF.]]=$B69,IF(DATOS_[[Check Periodo Ref.]:[Check Periodo Ref.]]="Dentro",DATOS_[Conc.Sal.08]))))),
0)</f>
        <v>0</v>
      </c>
      <c r="N71" s="170">
        <f t="array" ref="N71">IFERROR(
MEDIAN((IF(DATOS_[[Sexo]:[Sexo]]=$B71,IF(DATOS_[[AGRUP. CLAS. PROF.]:[AGRUP. CLAS. PROF.]]=$B69,IF(DATOS_[[Check Periodo Ref.]:[Check Periodo Ref.]]="Dentro",DATOS_[Conc.Sal.09]))))),
0)</f>
        <v>0</v>
      </c>
      <c r="O71" s="170">
        <f t="array" ref="O71">IFERROR(
MEDIAN((IF(DATOS_[[Sexo]:[Sexo]]=$B71,IF(DATOS_[[AGRUP. CLAS. PROF.]:[AGRUP. CLAS. PROF.]]=$B69,IF(DATOS_[[Check Periodo Ref.]:[Check Periodo Ref.]]="Dentro",DATOS_[Conc.Sal.10]))))),
0)</f>
        <v>0</v>
      </c>
      <c r="P71" s="170">
        <f t="array" ref="P71">IFERROR(
MEDIAN((IF(DATOS_[[Sexo]:[Sexo]]=$B71,IF(DATOS_[[AGRUP. CLAS. PROF.]:[AGRUP. CLAS. PROF.]]=$B69,IF(DATOS_[[Check Periodo Ref.]:[Check Periodo Ref.]]="Dentro",DATOS_[Conc.Sal.11]))))),
0)</f>
        <v>0</v>
      </c>
      <c r="Q71" s="170">
        <f t="array" ref="Q71">IFERROR(
MEDIAN((IF(DATOS_[[Sexo]:[Sexo]]=$B71,IF(DATOS_[[AGRUP. CLAS. PROF.]:[AGRUP. CLAS. PROF.]]=$B69,IF(DATOS_[[Check Periodo Ref.]:[Check Periodo Ref.]]="Dentro",DATOS_[Conc.Sal.12]))))),
0)</f>
        <v>0</v>
      </c>
      <c r="R71" s="170">
        <f t="array" ref="R71">IFERROR(
MEDIAN((IF(DATOS_[[Sexo]:[Sexo]]=$B71,IF(DATOS_[[AGRUP. CLAS. PROF.]:[AGRUP. CLAS. PROF.]]=$B69,IF(DATOS_[[Check Periodo Ref.]:[Check Periodo Ref.]]="Dentro",DATOS_[Conc.Sal.13]))))),
0)</f>
        <v>0</v>
      </c>
      <c r="S71" s="170">
        <f t="array" ref="S71">IFERROR(
MEDIAN((IF(DATOS_[[Sexo]:[Sexo]]=$B71,IF(DATOS_[[AGRUP. CLAS. PROF.]:[AGRUP. CLAS. PROF.]]=$B69,IF(DATOS_[[Check Periodo Ref.]:[Check Periodo Ref.]]="Dentro",DATOS_[Conc.Sal.14]))))),
0)</f>
        <v>0</v>
      </c>
      <c r="T71" s="170">
        <f t="array" ref="T71">IFERROR(
MEDIAN((IF(DATOS_[[Sexo]:[Sexo]]=$B71,IF(DATOS_[[AGRUP. CLAS. PROF.]:[AGRUP. CLAS. PROF.]]=$B69,IF(DATOS_[[Check Periodo Ref.]:[Check Periodo Ref.]]="Dentro",DATOS_[Conc.Sal.15]))))),
0)</f>
        <v>0</v>
      </c>
      <c r="U71" s="170">
        <f t="array" ref="U71">IFERROR(
MEDIAN((IF(DATOS_[[Sexo]:[Sexo]]=$B71,IF(DATOS_[[AGRUP. CLAS. PROF.]:[AGRUP. CLAS. PROF.]]=$B69,IF(DATOS_[[Check Periodo Ref.]:[Check Periodo Ref.]]="Dentro",DATOS_[Conc.Sal.16]))))),
0)</f>
        <v>0</v>
      </c>
      <c r="V71" s="170">
        <f t="array" ref="V71">IFERROR(
MEDIAN((IF(DATOS_[[Sexo]:[Sexo]]=$B71,IF(DATOS_[[AGRUP. CLAS. PROF.]:[AGRUP. CLAS. PROF.]]=$B69,IF(DATOS_[[Check Periodo Ref.]:[Check Periodo Ref.]]="Dentro",DATOS_[Conc.Sal.17]))))),
0)</f>
        <v>0</v>
      </c>
      <c r="W71" s="170">
        <f t="array" ref="W71">IFERROR(
MEDIAN((IF(DATOS_[[Sexo]:[Sexo]]=$B71,IF(DATOS_[[AGRUP. CLAS. PROF.]:[AGRUP. CLAS. PROF.]]=$B69,IF(DATOS_[[Check Periodo Ref.]:[Check Periodo Ref.]]="Dentro",DATOS_[Conc.Sal.18]))))),
0)</f>
        <v>0</v>
      </c>
      <c r="X71" s="170">
        <f t="array" ref="X71">IFERROR(
MEDIAN((IF(DATOS_[[Sexo]:[Sexo]]=$B71,IF(DATOS_[[AGRUP. CLAS. PROF.]:[AGRUP. CLAS. PROF.]]=$B69,IF(DATOS_[[Check Periodo Ref.]:[Check Periodo Ref.]]="Dentro",DATOS_[Conc.Sal.19]))))),
0)</f>
        <v>0</v>
      </c>
      <c r="Y71" s="170">
        <f t="array" ref="Y71">IFERROR(
MEDIAN((IF(DATOS_[[Sexo]:[Sexo]]=$B71,IF(DATOS_[[AGRUP. CLAS. PROF.]:[AGRUP. CLAS. PROF.]]=$B69,IF(DATOS_[[Check Periodo Ref.]:[Check Periodo Ref.]]="Dentro",DATOS_[Conc.Sal.20]))))),
0)</f>
        <v>0</v>
      </c>
      <c r="Z71" s="170">
        <f t="array" ref="Z71">IFERROR(
MEDIAN((IF(DATOS_[[Sexo]:[Sexo]]=$B71,IF(DATOS_[[AGRUP. CLAS. PROF.]:[AGRUP. CLAS. PROF.]]=$B69,IF(DATOS_[[Check Periodo Ref.]:[Check Periodo Ref.]]="Dentro",DATOS_[Conc.Sal.21]))))),
0)</f>
        <v>0</v>
      </c>
      <c r="AA71" s="170">
        <f t="array" ref="AA71">IFERROR(
MEDIAN((IF(DATOS_[[Sexo]:[Sexo]]=$B71,IF(DATOS_[[AGRUP. CLAS. PROF.]:[AGRUP. CLAS. PROF.]]=$B69,IF(DATOS_[[Check Periodo Ref.]:[Check Periodo Ref.]]="Dentro",DATOS_[Conc.Sal.22]))))),
0)</f>
        <v>0</v>
      </c>
      <c r="AB71" s="170">
        <f t="array" ref="AB71">IFERROR(
MEDIAN((IF(DATOS_[[Sexo]:[Sexo]]=$B71,IF(DATOS_[[AGRUP. CLAS. PROF.]:[AGRUP. CLAS. PROF.]]=$B69,IF(DATOS_[[Check Periodo Ref.]:[Check Periodo Ref.]]="Dentro",DATOS_[Conc.Sal.23]))))),
0)</f>
        <v>0</v>
      </c>
      <c r="AC71" s="170">
        <f t="array" ref="AC71">IFERROR(
MEDIAN((IF(DATOS_[[Sexo]:[Sexo]]=$B71,IF(DATOS_[[AGRUP. CLAS. PROF.]:[AGRUP. CLAS. PROF.]]=$B69,IF(DATOS_[[Check Periodo Ref.]:[Check Periodo Ref.]]="Dentro",DATOS_[Conc.Sal.24]))))),
0)</f>
        <v>0</v>
      </c>
      <c r="AD71" s="170">
        <f t="array" ref="AD71">IFERROR(
MEDIAN((IF(DATOS_[[Sexo]:[Sexo]]=$B71,IF(DATOS_[[AGRUP. CLAS. PROF.]:[AGRUP. CLAS. PROF.]]=$B69,IF(DATOS_[[Check Periodo Ref.]:[Check Periodo Ref.]]="Dentro",DATOS_[Conc.Sal.25]))))),
0)</f>
        <v>0</v>
      </c>
      <c r="AE71" s="170">
        <f t="array" ref="AE71">IFERROR(
MEDIAN((IF(DATOS_[[Sexo]:[Sexo]]=$B71,IF(DATOS_[[AGRUP. CLAS. PROF.]:[AGRUP. CLAS. PROF.]]=$B69,IF(DATOS_[[Check Periodo Ref.]:[Check Periodo Ref.]]="Dentro",DATOS_[Conc.Sal.26]))))),
0)</f>
        <v>0</v>
      </c>
      <c r="AF71" s="170">
        <f t="array" ref="AF71">IFERROR(
MEDIAN((IF(DATOS_[[Sexo]:[Sexo]]=$B71,IF(DATOS_[[AGRUP. CLAS. PROF.]:[AGRUP. CLAS. PROF.]]=$B69,IF(DATOS_[[Check Periodo Ref.]:[Check Periodo Ref.]]="Dentro",DATOS_[Conc.Sal.27]))))),
0)</f>
        <v>0</v>
      </c>
      <c r="AG71" s="170">
        <f t="array" ref="AG71">IFERROR(
MEDIAN((IF(DATOS_[[Sexo]:[Sexo]]=$B71,IF(DATOS_[[AGRUP. CLAS. PROF.]:[AGRUP. CLAS. PROF.]]=$B69,IF(DATOS_[[Check Periodo Ref.]:[Check Periodo Ref.]]="Dentro",DATOS_[Conc.Sal.28]))))),
0)</f>
        <v>0</v>
      </c>
      <c r="AH71" s="170">
        <f t="array" ref="AH71">IFERROR(
MEDIAN((IF(DATOS_[[Sexo]:[Sexo]]=$B71,IF(DATOS_[[AGRUP. CLAS. PROF.]:[AGRUP. CLAS. PROF.]]=$B69,IF(DATOS_[[Check Periodo Ref.]:[Check Periodo Ref.]]="Dentro",DATOS_[Conc.Sal.29]))))),
0)</f>
        <v>0</v>
      </c>
      <c r="AI71" s="170">
        <f t="array" ref="AI71">IFERROR(
MEDIAN((IF(DATOS_[[Sexo]:[Sexo]]=$B71,IF(DATOS_[[AGRUP. CLAS. PROF.]:[AGRUP. CLAS. PROF.]]=$B69,IF(DATOS_[[Check Periodo Ref.]:[Check Periodo Ref.]]="Dentro",DATOS_[Conc.Sal.30]))))),
0)</f>
        <v>0</v>
      </c>
      <c r="AJ71" s="171">
        <f t="array" ref="AJ71">IFERROR(
MEDIAN(IF(DATOS_[Sexo]=$B71,IF(DATOS_[AGRUP. CLAS. PROF.]=$B69,IF(DATOS_[Check Periodo Ref.]="Dentro",DATOS_[Tot COMPL.SAL Ef],FALSE)))),
0)</f>
        <v>0</v>
      </c>
      <c r="AK71" s="172">
        <f t="array" ref="AK71">IFERROR(
MEDIAN(IF(DATOS_[Sexo]=$B71,IF(DATOS_[AGRUP. CLAS. PROF.]=$B69,IF(DATOS_[Check Periodo Ref.]="Dentro",DATOS_[TOTAL SALARIO Ef],FALSE)))),
0)</f>
        <v>0</v>
      </c>
      <c r="AL71" s="173">
        <f t="array" ref="AL71">IFERROR(
MEDIAN((IF(DATOS_[[Sexo]:[Sexo]]=$B71,IF(DATOS_[[AGRUP. CLAS. PROF.]:[AGRUP. CLAS. PROF.]]=$B69,IF(DATOS_[[Check Periodo Ref.]:[Check Periodo Ref.]]="Dentro",DATOS_[C.Extra.01]))))),
0)</f>
        <v>0</v>
      </c>
      <c r="AM71" s="173">
        <f t="array" ref="AM71">IFERROR(
MEDIAN((IF(DATOS_[[Sexo]:[Sexo]]=$B71,IF(DATOS_[[AGRUP. CLAS. PROF.]:[AGRUP. CLAS. PROF.]]=$B69,IF(DATOS_[[Check Periodo Ref.]:[Check Periodo Ref.]]="Dentro",DATOS_[C.Extra.06]))))),
0)</f>
        <v>0</v>
      </c>
      <c r="AN71" s="173">
        <f t="array" ref="AN71">IFERROR(
MEDIAN((IF(DATOS_[[Sexo]:[Sexo]]=$B71,IF(DATOS_[[AGRUP. CLAS. PROF.]:[AGRUP. CLAS. PROF.]]=$B69,IF(DATOS_[[Check Periodo Ref.]:[Check Periodo Ref.]]="Dentro",DATOS_[C.Extra.07]))))),
0)</f>
        <v>0</v>
      </c>
      <c r="AO71" s="173">
        <f t="array" ref="AO71">IFERROR(
MEDIAN((IF(DATOS_[[Sexo]:[Sexo]]=$B71,IF(DATOS_[[AGRUP. CLAS. PROF.]:[AGRUP. CLAS. PROF.]]=$B69,IF(DATOS_[[Check Periodo Ref.]:[Check Periodo Ref.]]="Dentro",DATOS_[C.Extra.08]))))),
0)</f>
        <v>0</v>
      </c>
      <c r="AP71" s="173">
        <f t="array" ref="AP71">IFERROR(
MEDIAN((IF(DATOS_[[Sexo]:[Sexo]]=$B71,IF(DATOS_[[AGRUP. CLAS. PROF.]:[AGRUP. CLAS. PROF.]]=$B69,IF(DATOS_[[Check Periodo Ref.]:[Check Periodo Ref.]]="Dentro",DATOS_[C.Extra.11]))))),
0)</f>
        <v>0</v>
      </c>
      <c r="AQ71" s="174">
        <f t="array" ref="AQ71">IFERROR(
MEDIAN(IF(DATOS_[Sexo]=$B71,IF(DATOS_[AGRUP. CLAS. PROF.]=$B69,IF(DATOS_[Check Periodo Ref.]="Dentro",DATOS_[Tot Extrasalarial Ef],FALSE)))),
0)</f>
        <v>0</v>
      </c>
      <c r="AR71" s="171">
        <f t="array" ref="AR71">IFERROR(
MEDIAN(IF(DATOS_[Sexo]=$B71,IF(DATOS_[AGRUP. CLAS. PROF.]=$B69,IF(DATOS_[Check Periodo Ref.]="Dentro",DATOS_[TOTAL Retrib Ef],FALSE)))),
0)</f>
        <v>0</v>
      </c>
    </row>
    <row r="72" spans="1:44" ht="14.4" hidden="1" thickBot="1" x14ac:dyDescent="0.3">
      <c r="A72" s="178" t="str">
        <f t="shared" ref="A72" si="79">+A73</f>
        <v>[ocultar]</v>
      </c>
      <c r="B72" s="153" t="s">
        <v>256</v>
      </c>
      <c r="C72" s="154"/>
      <c r="D72" s="155"/>
      <c r="E72" s="156" t="str">
        <f t="shared" ref="E72:AR72" si="80">IFERROR((E73-E74)/E73,"")</f>
        <v/>
      </c>
      <c r="F72" s="157" t="str">
        <f t="shared" si="80"/>
        <v/>
      </c>
      <c r="G72" s="158" t="str">
        <f t="shared" si="80"/>
        <v/>
      </c>
      <c r="H72" s="158" t="str">
        <f t="shared" si="80"/>
        <v/>
      </c>
      <c r="I72" s="158" t="str">
        <f t="shared" si="80"/>
        <v/>
      </c>
      <c r="J72" s="159" t="str">
        <f t="shared" si="80"/>
        <v/>
      </c>
      <c r="K72" s="160" t="str">
        <f t="shared" si="80"/>
        <v/>
      </c>
      <c r="L72" s="160" t="str">
        <f t="shared" si="80"/>
        <v/>
      </c>
      <c r="M72" s="160" t="str">
        <f t="shared" si="80"/>
        <v/>
      </c>
      <c r="N72" s="160" t="str">
        <f t="shared" si="80"/>
        <v/>
      </c>
      <c r="O72" s="160" t="str">
        <f t="shared" si="80"/>
        <v/>
      </c>
      <c r="P72" s="160" t="str">
        <f t="shared" si="80"/>
        <v/>
      </c>
      <c r="Q72" s="160" t="str">
        <f t="shared" si="80"/>
        <v/>
      </c>
      <c r="R72" s="160" t="str">
        <f t="shared" si="80"/>
        <v/>
      </c>
      <c r="S72" s="160" t="str">
        <f t="shared" si="80"/>
        <v/>
      </c>
      <c r="T72" s="160" t="str">
        <f t="shared" si="80"/>
        <v/>
      </c>
      <c r="U72" s="160" t="str">
        <f t="shared" si="80"/>
        <v/>
      </c>
      <c r="V72" s="159" t="str">
        <f t="shared" si="80"/>
        <v/>
      </c>
      <c r="W72" s="159" t="str">
        <f t="shared" si="80"/>
        <v/>
      </c>
      <c r="X72" s="159" t="str">
        <f t="shared" si="80"/>
        <v/>
      </c>
      <c r="Y72" s="159" t="str">
        <f t="shared" si="80"/>
        <v/>
      </c>
      <c r="Z72" s="159" t="str">
        <f t="shared" si="80"/>
        <v/>
      </c>
      <c r="AA72" s="159" t="str">
        <f t="shared" si="80"/>
        <v/>
      </c>
      <c r="AB72" s="159" t="str">
        <f t="shared" si="80"/>
        <v/>
      </c>
      <c r="AC72" s="159" t="str">
        <f t="shared" si="80"/>
        <v/>
      </c>
      <c r="AD72" s="159" t="str">
        <f t="shared" si="80"/>
        <v/>
      </c>
      <c r="AE72" s="159" t="str">
        <f t="shared" si="80"/>
        <v/>
      </c>
      <c r="AF72" s="159" t="str">
        <f t="shared" si="80"/>
        <v/>
      </c>
      <c r="AG72" s="159" t="str">
        <f t="shared" si="80"/>
        <v/>
      </c>
      <c r="AH72" s="159" t="str">
        <f t="shared" si="80"/>
        <v/>
      </c>
      <c r="AI72" s="159" t="str">
        <f t="shared" si="80"/>
        <v/>
      </c>
      <c r="AJ72" s="161" t="str">
        <f t="shared" si="80"/>
        <v/>
      </c>
      <c r="AK72" s="162" t="str">
        <f t="shared" si="80"/>
        <v/>
      </c>
      <c r="AL72" s="163" t="str">
        <f t="shared" si="80"/>
        <v/>
      </c>
      <c r="AM72" s="163" t="str">
        <f t="shared" si="80"/>
        <v/>
      </c>
      <c r="AN72" s="163" t="str">
        <f t="shared" si="80"/>
        <v/>
      </c>
      <c r="AO72" s="163" t="str">
        <f t="shared" si="80"/>
        <v/>
      </c>
      <c r="AP72" s="163" t="str">
        <f t="shared" si="80"/>
        <v/>
      </c>
      <c r="AQ72" s="164" t="str">
        <f t="shared" si="80"/>
        <v/>
      </c>
      <c r="AR72" s="161" t="str">
        <f t="shared" si="80"/>
        <v/>
      </c>
    </row>
    <row r="73" spans="1:44" hidden="1" x14ac:dyDescent="0.25">
      <c r="A73" s="178" t="str">
        <f t="shared" ref="A73" si="81">+IF(C73+C74=0,"[ocultar]","")</f>
        <v>[ocultar]</v>
      </c>
      <c r="B73" s="166" t="s">
        <v>394</v>
      </c>
      <c r="C73" s="167">
        <f t="array" ref="C73">SUM(IF($B73=DATOS_[Sexo],
IF($B72=DATOS_[AGRUP. CLAS. PROF.],
IF("Dentro"=DATOS_[Check Periodo Ref.],
1/(COUNTIFS(DATOS_[Sexo],$B73,DATOS_[AGRUP. CLAS. PROF.],$B72,DATOS_[Check Periodo Ref.],"Dentro",DATOS_[id/cod],DATOS_[id/cod]))))))</f>
        <v>0</v>
      </c>
      <c r="D73" s="168">
        <f>COUNTIFS(DATOS_[AGRUP. CLAS. PROF.],$B72,DATOS_[Sexo],$B73,DATOS_[Check Periodo Ref.],"Dentro")</f>
        <v>0</v>
      </c>
      <c r="E73" s="169">
        <f t="array" ref="E73">IFERROR(
MEDIAN(IF(DATOS_[Sexo]=$B73,IF(DATOS_[AGRUP. CLAS. PROF.]=$B72,IF(DATOS_[Check Periodo Ref.]="Dentro",DATOS_[SALARIO BASE Ef],FALSE)))),
0)</f>
        <v>0</v>
      </c>
      <c r="F73" s="170">
        <f t="array" ref="F73">IFERROR(
MEDIAN((IF(DATOS_[[Sexo]:[Sexo]]=$B73,IF(DATOS_[[AGRUP. CLAS. PROF.]:[AGRUP. CLAS. PROF.]]=$B72,IF(DATOS_[[Check Periodo Ref.]:[Check Periodo Ref.]]="Dentro",DATOS_[Conc.Sal.01]))))),
0)</f>
        <v>0</v>
      </c>
      <c r="G73" s="170">
        <f t="array" ref="G73">IFERROR(
MEDIAN((IF(DATOS_[[Sexo]:[Sexo]]=$B73,IF(DATOS_[[AGRUP. CLAS. PROF.]:[AGRUP. CLAS. PROF.]]=$B72,IF(DATOS_[[Check Periodo Ref.]:[Check Periodo Ref.]]="Dentro",DATOS_[Conc.Sal.02]))))),
0)</f>
        <v>0</v>
      </c>
      <c r="H73" s="170">
        <f t="array" ref="H73">IFERROR(
MEDIAN((IF(DATOS_[[Sexo]:[Sexo]]=$B73,IF(DATOS_[[AGRUP. CLAS. PROF.]:[AGRUP. CLAS. PROF.]]=$B72,IF(DATOS_[[Check Periodo Ref.]:[Check Periodo Ref.]]="Dentro",DATOS_[Conc.Sal.03]))))),
0)</f>
        <v>0</v>
      </c>
      <c r="I73" s="170">
        <f t="array" ref="I73">IFERROR(
MEDIAN((IF(DATOS_[[Sexo]:[Sexo]]=$B73,IF(DATOS_[[AGRUP. CLAS. PROF.]:[AGRUP. CLAS. PROF.]]=$B72,IF(DATOS_[[Check Periodo Ref.]:[Check Periodo Ref.]]="Dentro",DATOS_[Conc.Sal.04]))))),
0)</f>
        <v>0</v>
      </c>
      <c r="J73" s="170">
        <f t="array" ref="J73">IFERROR(
MEDIAN((IF(DATOS_[[Sexo]:[Sexo]]=$B73,IF(DATOS_[[AGRUP. CLAS. PROF.]:[AGRUP. CLAS. PROF.]]=$B72,IF(DATOS_[[Check Periodo Ref.]:[Check Periodo Ref.]]="Dentro",DATOS_[Conc.Sal.05]))))),
0)</f>
        <v>0</v>
      </c>
      <c r="K73" s="170">
        <f t="array" ref="K73">IFERROR(
MEDIAN((IF(DATOS_[[Sexo]:[Sexo]]=$B73,IF(DATOS_[[AGRUP. CLAS. PROF.]:[AGRUP. CLAS. PROF.]]=$B72,IF(DATOS_[[Check Periodo Ref.]:[Check Periodo Ref.]]="Dentro",DATOS_[Conc.Sal.06]))))),
0)</f>
        <v>0</v>
      </c>
      <c r="L73" s="170">
        <f t="array" ref="L73">IFERROR(
MEDIAN((IF(DATOS_[[Sexo]:[Sexo]]=$B73,IF(DATOS_[[AGRUP. CLAS. PROF.]:[AGRUP. CLAS. PROF.]]=$B72,IF(DATOS_[[Check Periodo Ref.]:[Check Periodo Ref.]]="Dentro",DATOS_[Conc.Sal.07]))))),
0)</f>
        <v>0</v>
      </c>
      <c r="M73" s="170">
        <f t="array" ref="M73">IFERROR(
MEDIAN((IF(DATOS_[[Sexo]:[Sexo]]=$B73,IF(DATOS_[[AGRUP. CLAS. PROF.]:[AGRUP. CLAS. PROF.]]=$B72,IF(DATOS_[[Check Periodo Ref.]:[Check Periodo Ref.]]="Dentro",DATOS_[Conc.Sal.08]))))),
0)</f>
        <v>0</v>
      </c>
      <c r="N73" s="170">
        <f t="array" ref="N73">IFERROR(
MEDIAN((IF(DATOS_[[Sexo]:[Sexo]]=$B73,IF(DATOS_[[AGRUP. CLAS. PROF.]:[AGRUP. CLAS. PROF.]]=$B72,IF(DATOS_[[Check Periodo Ref.]:[Check Periodo Ref.]]="Dentro",DATOS_[Conc.Sal.09]))))),
0)</f>
        <v>0</v>
      </c>
      <c r="O73" s="170">
        <f t="array" ref="O73">IFERROR(
MEDIAN((IF(DATOS_[[Sexo]:[Sexo]]=$B73,IF(DATOS_[[AGRUP. CLAS. PROF.]:[AGRUP. CLAS. PROF.]]=$B72,IF(DATOS_[[Check Periodo Ref.]:[Check Periodo Ref.]]="Dentro",DATOS_[Conc.Sal.10]))))),
0)</f>
        <v>0</v>
      </c>
      <c r="P73" s="170">
        <f t="array" ref="P73">IFERROR(
MEDIAN((IF(DATOS_[[Sexo]:[Sexo]]=$B73,IF(DATOS_[[AGRUP. CLAS. PROF.]:[AGRUP. CLAS. PROF.]]=$B72,IF(DATOS_[[Check Periodo Ref.]:[Check Periodo Ref.]]="Dentro",DATOS_[Conc.Sal.11]))))),
0)</f>
        <v>0</v>
      </c>
      <c r="Q73" s="170">
        <f t="array" ref="Q73">IFERROR(
MEDIAN((IF(DATOS_[[Sexo]:[Sexo]]=$B73,IF(DATOS_[[AGRUP. CLAS. PROF.]:[AGRUP. CLAS. PROF.]]=$B72,IF(DATOS_[[Check Periodo Ref.]:[Check Periodo Ref.]]="Dentro",DATOS_[Conc.Sal.12]))))),
0)</f>
        <v>0</v>
      </c>
      <c r="R73" s="170">
        <f t="array" ref="R73">IFERROR(
MEDIAN((IF(DATOS_[[Sexo]:[Sexo]]=$B73,IF(DATOS_[[AGRUP. CLAS. PROF.]:[AGRUP. CLAS. PROF.]]=$B72,IF(DATOS_[[Check Periodo Ref.]:[Check Periodo Ref.]]="Dentro",DATOS_[Conc.Sal.13]))))),
0)</f>
        <v>0</v>
      </c>
      <c r="S73" s="170">
        <f t="array" ref="S73">IFERROR(
MEDIAN((IF(DATOS_[[Sexo]:[Sexo]]=$B73,IF(DATOS_[[AGRUP. CLAS. PROF.]:[AGRUP. CLAS. PROF.]]=$B72,IF(DATOS_[[Check Periodo Ref.]:[Check Periodo Ref.]]="Dentro",DATOS_[Conc.Sal.14]))))),
0)</f>
        <v>0</v>
      </c>
      <c r="T73" s="170">
        <f t="array" ref="T73">IFERROR(
MEDIAN((IF(DATOS_[[Sexo]:[Sexo]]=$B73,IF(DATOS_[[AGRUP. CLAS. PROF.]:[AGRUP. CLAS. PROF.]]=$B72,IF(DATOS_[[Check Periodo Ref.]:[Check Periodo Ref.]]="Dentro",DATOS_[Conc.Sal.15]))))),
0)</f>
        <v>0</v>
      </c>
      <c r="U73" s="170">
        <f t="array" ref="U73">IFERROR(
MEDIAN((IF(DATOS_[[Sexo]:[Sexo]]=$B73,IF(DATOS_[[AGRUP. CLAS. PROF.]:[AGRUP. CLAS. PROF.]]=$B72,IF(DATOS_[[Check Periodo Ref.]:[Check Periodo Ref.]]="Dentro",DATOS_[Conc.Sal.16]))))),
0)</f>
        <v>0</v>
      </c>
      <c r="V73" s="170">
        <f t="array" ref="V73">IFERROR(
MEDIAN((IF(DATOS_[[Sexo]:[Sexo]]=$B73,IF(DATOS_[[AGRUP. CLAS. PROF.]:[AGRUP. CLAS. PROF.]]=$B72,IF(DATOS_[[Check Periodo Ref.]:[Check Periodo Ref.]]="Dentro",DATOS_[Conc.Sal.17]))))),
0)</f>
        <v>0</v>
      </c>
      <c r="W73" s="170">
        <f t="array" ref="W73">IFERROR(
MEDIAN((IF(DATOS_[[Sexo]:[Sexo]]=$B73,IF(DATOS_[[AGRUP. CLAS. PROF.]:[AGRUP. CLAS. PROF.]]=$B72,IF(DATOS_[[Check Periodo Ref.]:[Check Periodo Ref.]]="Dentro",DATOS_[Conc.Sal.18]))))),
0)</f>
        <v>0</v>
      </c>
      <c r="X73" s="170">
        <f t="array" ref="X73">IFERROR(
MEDIAN((IF(DATOS_[[Sexo]:[Sexo]]=$B73,IF(DATOS_[[AGRUP. CLAS. PROF.]:[AGRUP. CLAS. PROF.]]=$B72,IF(DATOS_[[Check Periodo Ref.]:[Check Periodo Ref.]]="Dentro",DATOS_[Conc.Sal.19]))))),
0)</f>
        <v>0</v>
      </c>
      <c r="Y73" s="170">
        <f t="array" ref="Y73">IFERROR(
MEDIAN((IF(DATOS_[[Sexo]:[Sexo]]=$B73,IF(DATOS_[[AGRUP. CLAS. PROF.]:[AGRUP. CLAS. PROF.]]=$B72,IF(DATOS_[[Check Periodo Ref.]:[Check Periodo Ref.]]="Dentro",DATOS_[Conc.Sal.20]))))),
0)</f>
        <v>0</v>
      </c>
      <c r="Z73" s="170">
        <f t="array" ref="Z73">IFERROR(
MEDIAN((IF(DATOS_[[Sexo]:[Sexo]]=$B73,IF(DATOS_[[AGRUP. CLAS. PROF.]:[AGRUP. CLAS. PROF.]]=$B72,IF(DATOS_[[Check Periodo Ref.]:[Check Periodo Ref.]]="Dentro",DATOS_[Conc.Sal.21]))))),
0)</f>
        <v>0</v>
      </c>
      <c r="AA73" s="170">
        <f t="array" ref="AA73">IFERROR(
MEDIAN((IF(DATOS_[[Sexo]:[Sexo]]=$B73,IF(DATOS_[[AGRUP. CLAS. PROF.]:[AGRUP. CLAS. PROF.]]=$B72,IF(DATOS_[[Check Periodo Ref.]:[Check Periodo Ref.]]="Dentro",DATOS_[Conc.Sal.22]))))),
0)</f>
        <v>0</v>
      </c>
      <c r="AB73" s="170">
        <f t="array" ref="AB73">IFERROR(
MEDIAN((IF(DATOS_[[Sexo]:[Sexo]]=$B73,IF(DATOS_[[AGRUP. CLAS. PROF.]:[AGRUP. CLAS. PROF.]]=$B72,IF(DATOS_[[Check Periodo Ref.]:[Check Periodo Ref.]]="Dentro",DATOS_[Conc.Sal.23]))))),
0)</f>
        <v>0</v>
      </c>
      <c r="AC73" s="170">
        <f t="array" ref="AC73">IFERROR(
MEDIAN((IF(DATOS_[[Sexo]:[Sexo]]=$B73,IF(DATOS_[[AGRUP. CLAS. PROF.]:[AGRUP. CLAS. PROF.]]=$B72,IF(DATOS_[[Check Periodo Ref.]:[Check Periodo Ref.]]="Dentro",DATOS_[Conc.Sal.24]))))),
0)</f>
        <v>0</v>
      </c>
      <c r="AD73" s="170">
        <f t="array" ref="AD73">IFERROR(
MEDIAN((IF(DATOS_[[Sexo]:[Sexo]]=$B73,IF(DATOS_[[AGRUP. CLAS. PROF.]:[AGRUP. CLAS. PROF.]]=$B72,IF(DATOS_[[Check Periodo Ref.]:[Check Periodo Ref.]]="Dentro",DATOS_[Conc.Sal.25]))))),
0)</f>
        <v>0</v>
      </c>
      <c r="AE73" s="170">
        <f t="array" ref="AE73">IFERROR(
MEDIAN((IF(DATOS_[[Sexo]:[Sexo]]=$B73,IF(DATOS_[[AGRUP. CLAS. PROF.]:[AGRUP. CLAS. PROF.]]=$B72,IF(DATOS_[[Check Periodo Ref.]:[Check Periodo Ref.]]="Dentro",DATOS_[Conc.Sal.26]))))),
0)</f>
        <v>0</v>
      </c>
      <c r="AF73" s="170">
        <f t="array" ref="AF73">IFERROR(
MEDIAN((IF(DATOS_[[Sexo]:[Sexo]]=$B73,IF(DATOS_[[AGRUP. CLAS. PROF.]:[AGRUP. CLAS. PROF.]]=$B72,IF(DATOS_[[Check Periodo Ref.]:[Check Periodo Ref.]]="Dentro",DATOS_[Conc.Sal.27]))))),
0)</f>
        <v>0</v>
      </c>
      <c r="AG73" s="170">
        <f t="array" ref="AG73">IFERROR(
MEDIAN((IF(DATOS_[[Sexo]:[Sexo]]=$B73,IF(DATOS_[[AGRUP. CLAS. PROF.]:[AGRUP. CLAS. PROF.]]=$B72,IF(DATOS_[[Check Periodo Ref.]:[Check Periodo Ref.]]="Dentro",DATOS_[Conc.Sal.28]))))),
0)</f>
        <v>0</v>
      </c>
      <c r="AH73" s="170">
        <f t="array" ref="AH73">IFERROR(
MEDIAN((IF(DATOS_[[Sexo]:[Sexo]]=$B73,IF(DATOS_[[AGRUP. CLAS. PROF.]:[AGRUP. CLAS. PROF.]]=$B72,IF(DATOS_[[Check Periodo Ref.]:[Check Periodo Ref.]]="Dentro",DATOS_[Conc.Sal.29]))))),
0)</f>
        <v>0</v>
      </c>
      <c r="AI73" s="170">
        <f t="array" ref="AI73">IFERROR(
MEDIAN((IF(DATOS_[[Sexo]:[Sexo]]=$B73,IF(DATOS_[[AGRUP. CLAS. PROF.]:[AGRUP. CLAS. PROF.]]=$B72,IF(DATOS_[[Check Periodo Ref.]:[Check Periodo Ref.]]="Dentro",DATOS_[Conc.Sal.30]))))),
0)</f>
        <v>0</v>
      </c>
      <c r="AJ73" s="171">
        <f t="array" ref="AJ73">IFERROR(
MEDIAN(IF(DATOS_[Sexo]=$B73,IF(DATOS_[AGRUP. CLAS. PROF.]=$B72,IF(DATOS_[Check Periodo Ref.]="Dentro",DATOS_[Tot COMPL.SAL Ef],FALSE)))),
0)</f>
        <v>0</v>
      </c>
      <c r="AK73" s="172">
        <f t="array" ref="AK73">IFERROR(
MEDIAN(IF(DATOS_[Sexo]=$B73,IF(DATOS_[AGRUP. CLAS. PROF.]=$B72,IF(DATOS_[Check Periodo Ref.]="Dentro",DATOS_[TOTAL SALARIO Ef],FALSE)))),
0)</f>
        <v>0</v>
      </c>
      <c r="AL73" s="173">
        <f t="array" ref="AL73">IFERROR(
MEDIAN((IF(DATOS_[[Sexo]:[Sexo]]=$B73,IF(DATOS_[[AGRUP. CLAS. PROF.]:[AGRUP. CLAS. PROF.]]=$B72,IF(DATOS_[[Check Periodo Ref.]:[Check Periodo Ref.]]="Dentro",DATOS_[C.Extra.01]))))),
0)</f>
        <v>0</v>
      </c>
      <c r="AM73" s="173">
        <f t="array" ref="AM73">IFERROR(
MEDIAN((IF(DATOS_[[Sexo]:[Sexo]]=$B73,IF(DATOS_[[AGRUP. CLAS. PROF.]:[AGRUP. CLAS. PROF.]]=$B72,IF(DATOS_[[Check Periodo Ref.]:[Check Periodo Ref.]]="Dentro",DATOS_[C.Extra.06]))))),
0)</f>
        <v>0</v>
      </c>
      <c r="AN73" s="173">
        <f t="array" ref="AN73">IFERROR(
MEDIAN((IF(DATOS_[[Sexo]:[Sexo]]=$B73,IF(DATOS_[[AGRUP. CLAS. PROF.]:[AGRUP. CLAS. PROF.]]=$B72,IF(DATOS_[[Check Periodo Ref.]:[Check Periodo Ref.]]="Dentro",DATOS_[C.Extra.07]))))),
0)</f>
        <v>0</v>
      </c>
      <c r="AO73" s="173">
        <f t="array" ref="AO73">IFERROR(
MEDIAN((IF(DATOS_[[Sexo]:[Sexo]]=$B73,IF(DATOS_[[AGRUP. CLAS. PROF.]:[AGRUP. CLAS. PROF.]]=$B72,IF(DATOS_[[Check Periodo Ref.]:[Check Periodo Ref.]]="Dentro",DATOS_[C.Extra.08]))))),
0)</f>
        <v>0</v>
      </c>
      <c r="AP73" s="173">
        <f t="array" ref="AP73">IFERROR(
MEDIAN((IF(DATOS_[[Sexo]:[Sexo]]=$B73,IF(DATOS_[[AGRUP. CLAS. PROF.]:[AGRUP. CLAS. PROF.]]=$B72,IF(DATOS_[[Check Periodo Ref.]:[Check Periodo Ref.]]="Dentro",DATOS_[C.Extra.11]))))),
0)</f>
        <v>0</v>
      </c>
      <c r="AQ73" s="174">
        <f t="array" ref="AQ73">IFERROR(
MEDIAN(IF(DATOS_[Sexo]=$B73,IF(DATOS_[AGRUP. CLAS. PROF.]=$B72,IF(DATOS_[Check Periodo Ref.]="Dentro",DATOS_[Tot Extrasalarial Ef],FALSE)))),
0)</f>
        <v>0</v>
      </c>
      <c r="AR73" s="171">
        <f t="array" ref="AR73">IFERROR(
MEDIAN(IF(DATOS_[Sexo]=$B73,IF(DATOS_[AGRUP. CLAS. PROF.]=$B72,IF(DATOS_[Check Periodo Ref.]="Dentro",DATOS_[TOTAL Retrib Ef],FALSE)))),
0)</f>
        <v>0</v>
      </c>
    </row>
    <row r="74" spans="1:44" hidden="1" x14ac:dyDescent="0.25">
      <c r="A74" s="178" t="str">
        <f t="shared" ref="A74" si="82">+A73</f>
        <v>[ocultar]</v>
      </c>
      <c r="B74" s="166" t="s">
        <v>521</v>
      </c>
      <c r="C74" s="167">
        <f t="array" ref="C74">SUM(IF($B74=DATOS_[Sexo],
IF($B72=DATOS_[AGRUP. CLAS. PROF.],
IF("Dentro"=DATOS_[Check Periodo Ref.],
1/(COUNTIFS(DATOS_[Sexo],$B74,DATOS_[AGRUP. CLAS. PROF.],$B72,DATOS_[Check Periodo Ref.],"Dentro",DATOS_[id/cod],DATOS_[id/cod]))))))</f>
        <v>0</v>
      </c>
      <c r="D74" s="168">
        <f>COUNTIFS(DATOS_[AGRUP. CLAS. PROF.],$B72,DATOS_[Sexo],$B74,DATOS_[Check Periodo Ref.],"Dentro")</f>
        <v>0</v>
      </c>
      <c r="E74" s="169">
        <f t="array" ref="E74">IFERROR(
MEDIAN(IF(DATOS_[Sexo]=$B74,IF(DATOS_[AGRUP. CLAS. PROF.]=$B72,IF(DATOS_[Check Periodo Ref.]="Dentro",DATOS_[SALARIO BASE Ef],FALSE)))),
0)</f>
        <v>0</v>
      </c>
      <c r="F74" s="170">
        <f t="array" ref="F74">IFERROR(
MEDIAN((IF(DATOS_[[Sexo]:[Sexo]]=$B74,IF(DATOS_[[AGRUP. CLAS. PROF.]:[AGRUP. CLAS. PROF.]]=$B72,IF(DATOS_[[Check Periodo Ref.]:[Check Periodo Ref.]]="Dentro",DATOS_[Conc.Sal.01]))))),
0)</f>
        <v>0</v>
      </c>
      <c r="G74" s="170">
        <f t="array" ref="G74">IFERROR(
MEDIAN((IF(DATOS_[[Sexo]:[Sexo]]=$B74,IF(DATOS_[[AGRUP. CLAS. PROF.]:[AGRUP. CLAS. PROF.]]=$B72,IF(DATOS_[[Check Periodo Ref.]:[Check Periodo Ref.]]="Dentro",DATOS_[Conc.Sal.02]))))),
0)</f>
        <v>0</v>
      </c>
      <c r="H74" s="170">
        <f t="array" ref="H74">IFERROR(
MEDIAN((IF(DATOS_[[Sexo]:[Sexo]]=$B74,IF(DATOS_[[AGRUP. CLAS. PROF.]:[AGRUP. CLAS. PROF.]]=$B72,IF(DATOS_[[Check Periodo Ref.]:[Check Periodo Ref.]]="Dentro",DATOS_[Conc.Sal.03]))))),
0)</f>
        <v>0</v>
      </c>
      <c r="I74" s="170">
        <f t="array" ref="I74">IFERROR(
MEDIAN((IF(DATOS_[[Sexo]:[Sexo]]=$B74,IF(DATOS_[[AGRUP. CLAS. PROF.]:[AGRUP. CLAS. PROF.]]=$B72,IF(DATOS_[[Check Periodo Ref.]:[Check Periodo Ref.]]="Dentro",DATOS_[Conc.Sal.04]))))),
0)</f>
        <v>0</v>
      </c>
      <c r="J74" s="170">
        <f t="array" ref="J74">IFERROR(
MEDIAN((IF(DATOS_[[Sexo]:[Sexo]]=$B74,IF(DATOS_[[AGRUP. CLAS. PROF.]:[AGRUP. CLAS. PROF.]]=$B72,IF(DATOS_[[Check Periodo Ref.]:[Check Periodo Ref.]]="Dentro",DATOS_[Conc.Sal.05]))))),
0)</f>
        <v>0</v>
      </c>
      <c r="K74" s="170">
        <f t="array" ref="K74">IFERROR(
MEDIAN((IF(DATOS_[[Sexo]:[Sexo]]=$B74,IF(DATOS_[[AGRUP. CLAS. PROF.]:[AGRUP. CLAS. PROF.]]=$B72,IF(DATOS_[[Check Periodo Ref.]:[Check Periodo Ref.]]="Dentro",DATOS_[Conc.Sal.06]))))),
0)</f>
        <v>0</v>
      </c>
      <c r="L74" s="170">
        <f t="array" ref="L74">IFERROR(
MEDIAN((IF(DATOS_[[Sexo]:[Sexo]]=$B74,IF(DATOS_[[AGRUP. CLAS. PROF.]:[AGRUP. CLAS. PROF.]]=$B72,IF(DATOS_[[Check Periodo Ref.]:[Check Periodo Ref.]]="Dentro",DATOS_[Conc.Sal.07]))))),
0)</f>
        <v>0</v>
      </c>
      <c r="M74" s="170">
        <f t="array" ref="M74">IFERROR(
MEDIAN((IF(DATOS_[[Sexo]:[Sexo]]=$B74,IF(DATOS_[[AGRUP. CLAS. PROF.]:[AGRUP. CLAS. PROF.]]=$B72,IF(DATOS_[[Check Periodo Ref.]:[Check Periodo Ref.]]="Dentro",DATOS_[Conc.Sal.08]))))),
0)</f>
        <v>0</v>
      </c>
      <c r="N74" s="170">
        <f t="array" ref="N74">IFERROR(
MEDIAN((IF(DATOS_[[Sexo]:[Sexo]]=$B74,IF(DATOS_[[AGRUP. CLAS. PROF.]:[AGRUP. CLAS. PROF.]]=$B72,IF(DATOS_[[Check Periodo Ref.]:[Check Periodo Ref.]]="Dentro",DATOS_[Conc.Sal.09]))))),
0)</f>
        <v>0</v>
      </c>
      <c r="O74" s="170">
        <f t="array" ref="O74">IFERROR(
MEDIAN((IF(DATOS_[[Sexo]:[Sexo]]=$B74,IF(DATOS_[[AGRUP. CLAS. PROF.]:[AGRUP. CLAS. PROF.]]=$B72,IF(DATOS_[[Check Periodo Ref.]:[Check Periodo Ref.]]="Dentro",DATOS_[Conc.Sal.10]))))),
0)</f>
        <v>0</v>
      </c>
      <c r="P74" s="170">
        <f t="array" ref="P74">IFERROR(
MEDIAN((IF(DATOS_[[Sexo]:[Sexo]]=$B74,IF(DATOS_[[AGRUP. CLAS. PROF.]:[AGRUP. CLAS. PROF.]]=$B72,IF(DATOS_[[Check Periodo Ref.]:[Check Periodo Ref.]]="Dentro",DATOS_[Conc.Sal.11]))))),
0)</f>
        <v>0</v>
      </c>
      <c r="Q74" s="170">
        <f t="array" ref="Q74">IFERROR(
MEDIAN((IF(DATOS_[[Sexo]:[Sexo]]=$B74,IF(DATOS_[[AGRUP. CLAS. PROF.]:[AGRUP. CLAS. PROF.]]=$B72,IF(DATOS_[[Check Periodo Ref.]:[Check Periodo Ref.]]="Dentro",DATOS_[Conc.Sal.12]))))),
0)</f>
        <v>0</v>
      </c>
      <c r="R74" s="170">
        <f t="array" ref="R74">IFERROR(
MEDIAN((IF(DATOS_[[Sexo]:[Sexo]]=$B74,IF(DATOS_[[AGRUP. CLAS. PROF.]:[AGRUP. CLAS. PROF.]]=$B72,IF(DATOS_[[Check Periodo Ref.]:[Check Periodo Ref.]]="Dentro",DATOS_[Conc.Sal.13]))))),
0)</f>
        <v>0</v>
      </c>
      <c r="S74" s="170">
        <f t="array" ref="S74">IFERROR(
MEDIAN((IF(DATOS_[[Sexo]:[Sexo]]=$B74,IF(DATOS_[[AGRUP. CLAS. PROF.]:[AGRUP. CLAS. PROF.]]=$B72,IF(DATOS_[[Check Periodo Ref.]:[Check Periodo Ref.]]="Dentro",DATOS_[Conc.Sal.14]))))),
0)</f>
        <v>0</v>
      </c>
      <c r="T74" s="170">
        <f t="array" ref="T74">IFERROR(
MEDIAN((IF(DATOS_[[Sexo]:[Sexo]]=$B74,IF(DATOS_[[AGRUP. CLAS. PROF.]:[AGRUP. CLAS. PROF.]]=$B72,IF(DATOS_[[Check Periodo Ref.]:[Check Periodo Ref.]]="Dentro",DATOS_[Conc.Sal.15]))))),
0)</f>
        <v>0</v>
      </c>
      <c r="U74" s="170">
        <f t="array" ref="U74">IFERROR(
MEDIAN((IF(DATOS_[[Sexo]:[Sexo]]=$B74,IF(DATOS_[[AGRUP. CLAS. PROF.]:[AGRUP. CLAS. PROF.]]=$B72,IF(DATOS_[[Check Periodo Ref.]:[Check Periodo Ref.]]="Dentro",DATOS_[Conc.Sal.16]))))),
0)</f>
        <v>0</v>
      </c>
      <c r="V74" s="170">
        <f t="array" ref="V74">IFERROR(
MEDIAN((IF(DATOS_[[Sexo]:[Sexo]]=$B74,IF(DATOS_[[AGRUP. CLAS. PROF.]:[AGRUP. CLAS. PROF.]]=$B72,IF(DATOS_[[Check Periodo Ref.]:[Check Periodo Ref.]]="Dentro",DATOS_[Conc.Sal.17]))))),
0)</f>
        <v>0</v>
      </c>
      <c r="W74" s="170">
        <f t="array" ref="W74">IFERROR(
MEDIAN((IF(DATOS_[[Sexo]:[Sexo]]=$B74,IF(DATOS_[[AGRUP. CLAS. PROF.]:[AGRUP. CLAS. PROF.]]=$B72,IF(DATOS_[[Check Periodo Ref.]:[Check Periodo Ref.]]="Dentro",DATOS_[Conc.Sal.18]))))),
0)</f>
        <v>0</v>
      </c>
      <c r="X74" s="170">
        <f t="array" ref="X74">IFERROR(
MEDIAN((IF(DATOS_[[Sexo]:[Sexo]]=$B74,IF(DATOS_[[AGRUP. CLAS. PROF.]:[AGRUP. CLAS. PROF.]]=$B72,IF(DATOS_[[Check Periodo Ref.]:[Check Periodo Ref.]]="Dentro",DATOS_[Conc.Sal.19]))))),
0)</f>
        <v>0</v>
      </c>
      <c r="Y74" s="170">
        <f t="array" ref="Y74">IFERROR(
MEDIAN((IF(DATOS_[[Sexo]:[Sexo]]=$B74,IF(DATOS_[[AGRUP. CLAS. PROF.]:[AGRUP. CLAS. PROF.]]=$B72,IF(DATOS_[[Check Periodo Ref.]:[Check Periodo Ref.]]="Dentro",DATOS_[Conc.Sal.20]))))),
0)</f>
        <v>0</v>
      </c>
      <c r="Z74" s="170">
        <f t="array" ref="Z74">IFERROR(
MEDIAN((IF(DATOS_[[Sexo]:[Sexo]]=$B74,IF(DATOS_[[AGRUP. CLAS. PROF.]:[AGRUP. CLAS. PROF.]]=$B72,IF(DATOS_[[Check Periodo Ref.]:[Check Periodo Ref.]]="Dentro",DATOS_[Conc.Sal.21]))))),
0)</f>
        <v>0</v>
      </c>
      <c r="AA74" s="170">
        <f t="array" ref="AA74">IFERROR(
MEDIAN((IF(DATOS_[[Sexo]:[Sexo]]=$B74,IF(DATOS_[[AGRUP. CLAS. PROF.]:[AGRUP. CLAS. PROF.]]=$B72,IF(DATOS_[[Check Periodo Ref.]:[Check Periodo Ref.]]="Dentro",DATOS_[Conc.Sal.22]))))),
0)</f>
        <v>0</v>
      </c>
      <c r="AB74" s="170">
        <f t="array" ref="AB74">IFERROR(
MEDIAN((IF(DATOS_[[Sexo]:[Sexo]]=$B74,IF(DATOS_[[AGRUP. CLAS. PROF.]:[AGRUP. CLAS. PROF.]]=$B72,IF(DATOS_[[Check Periodo Ref.]:[Check Periodo Ref.]]="Dentro",DATOS_[Conc.Sal.23]))))),
0)</f>
        <v>0</v>
      </c>
      <c r="AC74" s="170">
        <f t="array" ref="AC74">IFERROR(
MEDIAN((IF(DATOS_[[Sexo]:[Sexo]]=$B74,IF(DATOS_[[AGRUP. CLAS. PROF.]:[AGRUP. CLAS. PROF.]]=$B72,IF(DATOS_[[Check Periodo Ref.]:[Check Periodo Ref.]]="Dentro",DATOS_[Conc.Sal.24]))))),
0)</f>
        <v>0</v>
      </c>
      <c r="AD74" s="170">
        <f t="array" ref="AD74">IFERROR(
MEDIAN((IF(DATOS_[[Sexo]:[Sexo]]=$B74,IF(DATOS_[[AGRUP. CLAS. PROF.]:[AGRUP. CLAS. PROF.]]=$B72,IF(DATOS_[[Check Periodo Ref.]:[Check Periodo Ref.]]="Dentro",DATOS_[Conc.Sal.25]))))),
0)</f>
        <v>0</v>
      </c>
      <c r="AE74" s="170">
        <f t="array" ref="AE74">IFERROR(
MEDIAN((IF(DATOS_[[Sexo]:[Sexo]]=$B74,IF(DATOS_[[AGRUP. CLAS. PROF.]:[AGRUP. CLAS. PROF.]]=$B72,IF(DATOS_[[Check Periodo Ref.]:[Check Periodo Ref.]]="Dentro",DATOS_[Conc.Sal.26]))))),
0)</f>
        <v>0</v>
      </c>
      <c r="AF74" s="170">
        <f t="array" ref="AF74">IFERROR(
MEDIAN((IF(DATOS_[[Sexo]:[Sexo]]=$B74,IF(DATOS_[[AGRUP. CLAS. PROF.]:[AGRUP. CLAS. PROF.]]=$B72,IF(DATOS_[[Check Periodo Ref.]:[Check Periodo Ref.]]="Dentro",DATOS_[Conc.Sal.27]))))),
0)</f>
        <v>0</v>
      </c>
      <c r="AG74" s="170">
        <f t="array" ref="AG74">IFERROR(
MEDIAN((IF(DATOS_[[Sexo]:[Sexo]]=$B74,IF(DATOS_[[AGRUP. CLAS. PROF.]:[AGRUP. CLAS. PROF.]]=$B72,IF(DATOS_[[Check Periodo Ref.]:[Check Periodo Ref.]]="Dentro",DATOS_[Conc.Sal.28]))))),
0)</f>
        <v>0</v>
      </c>
      <c r="AH74" s="170">
        <f t="array" ref="AH74">IFERROR(
MEDIAN((IF(DATOS_[[Sexo]:[Sexo]]=$B74,IF(DATOS_[[AGRUP. CLAS. PROF.]:[AGRUP. CLAS. PROF.]]=$B72,IF(DATOS_[[Check Periodo Ref.]:[Check Periodo Ref.]]="Dentro",DATOS_[Conc.Sal.29]))))),
0)</f>
        <v>0</v>
      </c>
      <c r="AI74" s="170">
        <f t="array" ref="AI74">IFERROR(
MEDIAN((IF(DATOS_[[Sexo]:[Sexo]]=$B74,IF(DATOS_[[AGRUP. CLAS. PROF.]:[AGRUP. CLAS. PROF.]]=$B72,IF(DATOS_[[Check Periodo Ref.]:[Check Periodo Ref.]]="Dentro",DATOS_[Conc.Sal.30]))))),
0)</f>
        <v>0</v>
      </c>
      <c r="AJ74" s="171">
        <f t="array" ref="AJ74">IFERROR(
MEDIAN(IF(DATOS_[Sexo]=$B74,IF(DATOS_[AGRUP. CLAS. PROF.]=$B72,IF(DATOS_[Check Periodo Ref.]="Dentro",DATOS_[Tot COMPL.SAL Ef],FALSE)))),
0)</f>
        <v>0</v>
      </c>
      <c r="AK74" s="172">
        <f t="array" ref="AK74">IFERROR(
MEDIAN(IF(DATOS_[Sexo]=$B74,IF(DATOS_[AGRUP. CLAS. PROF.]=$B72,IF(DATOS_[Check Periodo Ref.]="Dentro",DATOS_[TOTAL SALARIO Ef],FALSE)))),
0)</f>
        <v>0</v>
      </c>
      <c r="AL74" s="173">
        <f t="array" ref="AL74">IFERROR(
MEDIAN((IF(DATOS_[[Sexo]:[Sexo]]=$B74,IF(DATOS_[[AGRUP. CLAS. PROF.]:[AGRUP. CLAS. PROF.]]=$B72,IF(DATOS_[[Check Periodo Ref.]:[Check Periodo Ref.]]="Dentro",DATOS_[C.Extra.01]))))),
0)</f>
        <v>0</v>
      </c>
      <c r="AM74" s="173">
        <f t="array" ref="AM74">IFERROR(
MEDIAN((IF(DATOS_[[Sexo]:[Sexo]]=$B74,IF(DATOS_[[AGRUP. CLAS. PROF.]:[AGRUP. CLAS. PROF.]]=$B72,IF(DATOS_[[Check Periodo Ref.]:[Check Periodo Ref.]]="Dentro",DATOS_[C.Extra.06]))))),
0)</f>
        <v>0</v>
      </c>
      <c r="AN74" s="173">
        <f t="array" ref="AN74">IFERROR(
MEDIAN((IF(DATOS_[[Sexo]:[Sexo]]=$B74,IF(DATOS_[[AGRUP. CLAS. PROF.]:[AGRUP. CLAS. PROF.]]=$B72,IF(DATOS_[[Check Periodo Ref.]:[Check Periodo Ref.]]="Dentro",DATOS_[C.Extra.07]))))),
0)</f>
        <v>0</v>
      </c>
      <c r="AO74" s="173">
        <f t="array" ref="AO74">IFERROR(
MEDIAN((IF(DATOS_[[Sexo]:[Sexo]]=$B74,IF(DATOS_[[AGRUP. CLAS. PROF.]:[AGRUP. CLAS. PROF.]]=$B72,IF(DATOS_[[Check Periodo Ref.]:[Check Periodo Ref.]]="Dentro",DATOS_[C.Extra.08]))))),
0)</f>
        <v>0</v>
      </c>
      <c r="AP74" s="173">
        <f t="array" ref="AP74">IFERROR(
MEDIAN((IF(DATOS_[[Sexo]:[Sexo]]=$B74,IF(DATOS_[[AGRUP. CLAS. PROF.]:[AGRUP. CLAS. PROF.]]=$B72,IF(DATOS_[[Check Periodo Ref.]:[Check Periodo Ref.]]="Dentro",DATOS_[C.Extra.11]))))),
0)</f>
        <v>0</v>
      </c>
      <c r="AQ74" s="174">
        <f t="array" ref="AQ74">IFERROR(
MEDIAN(IF(DATOS_[Sexo]=$B74,IF(DATOS_[AGRUP. CLAS. PROF.]=$B72,IF(DATOS_[Check Periodo Ref.]="Dentro",DATOS_[Tot Extrasalarial Ef],FALSE)))),
0)</f>
        <v>0</v>
      </c>
      <c r="AR74" s="171">
        <f t="array" ref="AR74">IFERROR(
MEDIAN(IF(DATOS_[Sexo]=$B74,IF(DATOS_[AGRUP. CLAS. PROF.]=$B72,IF(DATOS_[Check Periodo Ref.]="Dentro",DATOS_[TOTAL Retrib Ef],FALSE)))),
0)</f>
        <v>0</v>
      </c>
    </row>
    <row r="75" spans="1:44" ht="14.4" hidden="1" thickBot="1" x14ac:dyDescent="0.3">
      <c r="A75" s="178" t="str">
        <f t="shared" ref="A75" si="83">+A76</f>
        <v>[ocultar]</v>
      </c>
      <c r="B75" s="153" t="s">
        <v>260</v>
      </c>
      <c r="C75" s="154"/>
      <c r="D75" s="155"/>
      <c r="E75" s="156" t="str">
        <f t="shared" ref="E75:AR75" si="84">IFERROR((E76-E77)/E76,"")</f>
        <v/>
      </c>
      <c r="F75" s="157" t="str">
        <f t="shared" si="84"/>
        <v/>
      </c>
      <c r="G75" s="158" t="str">
        <f t="shared" si="84"/>
        <v/>
      </c>
      <c r="H75" s="158" t="str">
        <f t="shared" si="84"/>
        <v/>
      </c>
      <c r="I75" s="158" t="str">
        <f t="shared" si="84"/>
        <v/>
      </c>
      <c r="J75" s="159" t="str">
        <f t="shared" si="84"/>
        <v/>
      </c>
      <c r="K75" s="160" t="str">
        <f t="shared" si="84"/>
        <v/>
      </c>
      <c r="L75" s="160" t="str">
        <f t="shared" si="84"/>
        <v/>
      </c>
      <c r="M75" s="160" t="str">
        <f t="shared" si="84"/>
        <v/>
      </c>
      <c r="N75" s="160" t="str">
        <f t="shared" si="84"/>
        <v/>
      </c>
      <c r="O75" s="160" t="str">
        <f t="shared" si="84"/>
        <v/>
      </c>
      <c r="P75" s="160" t="str">
        <f t="shared" si="84"/>
        <v/>
      </c>
      <c r="Q75" s="160" t="str">
        <f t="shared" si="84"/>
        <v/>
      </c>
      <c r="R75" s="160" t="str">
        <f t="shared" si="84"/>
        <v/>
      </c>
      <c r="S75" s="160" t="str">
        <f t="shared" si="84"/>
        <v/>
      </c>
      <c r="T75" s="160" t="str">
        <f t="shared" si="84"/>
        <v/>
      </c>
      <c r="U75" s="160" t="str">
        <f t="shared" si="84"/>
        <v/>
      </c>
      <c r="V75" s="159" t="str">
        <f t="shared" si="84"/>
        <v/>
      </c>
      <c r="W75" s="159" t="str">
        <f t="shared" si="84"/>
        <v/>
      </c>
      <c r="X75" s="159" t="str">
        <f t="shared" si="84"/>
        <v/>
      </c>
      <c r="Y75" s="159" t="str">
        <f t="shared" si="84"/>
        <v/>
      </c>
      <c r="Z75" s="159" t="str">
        <f t="shared" si="84"/>
        <v/>
      </c>
      <c r="AA75" s="159" t="str">
        <f t="shared" si="84"/>
        <v/>
      </c>
      <c r="AB75" s="159" t="str">
        <f t="shared" si="84"/>
        <v/>
      </c>
      <c r="AC75" s="159" t="str">
        <f t="shared" si="84"/>
        <v/>
      </c>
      <c r="AD75" s="159" t="str">
        <f t="shared" si="84"/>
        <v/>
      </c>
      <c r="AE75" s="159" t="str">
        <f t="shared" si="84"/>
        <v/>
      </c>
      <c r="AF75" s="159" t="str">
        <f t="shared" si="84"/>
        <v/>
      </c>
      <c r="AG75" s="159" t="str">
        <f t="shared" si="84"/>
        <v/>
      </c>
      <c r="AH75" s="159" t="str">
        <f t="shared" si="84"/>
        <v/>
      </c>
      <c r="AI75" s="159" t="str">
        <f t="shared" si="84"/>
        <v/>
      </c>
      <c r="AJ75" s="161" t="str">
        <f t="shared" si="84"/>
        <v/>
      </c>
      <c r="AK75" s="162" t="str">
        <f t="shared" si="84"/>
        <v/>
      </c>
      <c r="AL75" s="163" t="str">
        <f t="shared" si="84"/>
        <v/>
      </c>
      <c r="AM75" s="163" t="str">
        <f t="shared" si="84"/>
        <v/>
      </c>
      <c r="AN75" s="163" t="str">
        <f t="shared" si="84"/>
        <v/>
      </c>
      <c r="AO75" s="163" t="str">
        <f t="shared" si="84"/>
        <v/>
      </c>
      <c r="AP75" s="163" t="str">
        <f t="shared" si="84"/>
        <v/>
      </c>
      <c r="AQ75" s="164" t="str">
        <f t="shared" si="84"/>
        <v/>
      </c>
      <c r="AR75" s="161" t="str">
        <f t="shared" si="84"/>
        <v/>
      </c>
    </row>
    <row r="76" spans="1:44" hidden="1" x14ac:dyDescent="0.25">
      <c r="A76" s="178" t="str">
        <f t="shared" ref="A76" si="85">+IF(C76+C77=0,"[ocultar]","")</f>
        <v>[ocultar]</v>
      </c>
      <c r="B76" s="166" t="s">
        <v>394</v>
      </c>
      <c r="C76" s="167">
        <f t="array" ref="C76">SUM(IF($B76=DATOS_[Sexo],
IF($B75=DATOS_[AGRUP. CLAS. PROF.],
IF("Dentro"=DATOS_[Check Periodo Ref.],
1/(COUNTIFS(DATOS_[Sexo],$B76,DATOS_[AGRUP. CLAS. PROF.],$B75,DATOS_[Check Periodo Ref.],"Dentro",DATOS_[id/cod],DATOS_[id/cod]))))))</f>
        <v>0</v>
      </c>
      <c r="D76" s="168">
        <f>COUNTIFS(DATOS_[AGRUP. CLAS. PROF.],$B75,DATOS_[Sexo],$B76,DATOS_[Check Periodo Ref.],"Dentro")</f>
        <v>0</v>
      </c>
      <c r="E76" s="169">
        <f t="array" ref="E76">IFERROR(
MEDIAN(IF(DATOS_[Sexo]=$B76,IF(DATOS_[AGRUP. CLAS. PROF.]=$B75,IF(DATOS_[Check Periodo Ref.]="Dentro",DATOS_[SALARIO BASE Ef],FALSE)))),
0)</f>
        <v>0</v>
      </c>
      <c r="F76" s="170">
        <f t="array" ref="F76">IFERROR(
MEDIAN((IF(DATOS_[[Sexo]:[Sexo]]=$B76,IF(DATOS_[[AGRUP. CLAS. PROF.]:[AGRUP. CLAS. PROF.]]=$B75,IF(DATOS_[[Check Periodo Ref.]:[Check Periodo Ref.]]="Dentro",DATOS_[Conc.Sal.01]))))),
0)</f>
        <v>0</v>
      </c>
      <c r="G76" s="170">
        <f t="array" ref="G76">IFERROR(
MEDIAN((IF(DATOS_[[Sexo]:[Sexo]]=$B76,IF(DATOS_[[AGRUP. CLAS. PROF.]:[AGRUP. CLAS. PROF.]]=$B75,IF(DATOS_[[Check Periodo Ref.]:[Check Periodo Ref.]]="Dentro",DATOS_[Conc.Sal.02]))))),
0)</f>
        <v>0</v>
      </c>
      <c r="H76" s="170">
        <f t="array" ref="H76">IFERROR(
MEDIAN((IF(DATOS_[[Sexo]:[Sexo]]=$B76,IF(DATOS_[[AGRUP. CLAS. PROF.]:[AGRUP. CLAS. PROF.]]=$B75,IF(DATOS_[[Check Periodo Ref.]:[Check Periodo Ref.]]="Dentro",DATOS_[Conc.Sal.03]))))),
0)</f>
        <v>0</v>
      </c>
      <c r="I76" s="170">
        <f t="array" ref="I76">IFERROR(
MEDIAN((IF(DATOS_[[Sexo]:[Sexo]]=$B76,IF(DATOS_[[AGRUP. CLAS. PROF.]:[AGRUP. CLAS. PROF.]]=$B75,IF(DATOS_[[Check Periodo Ref.]:[Check Periodo Ref.]]="Dentro",DATOS_[Conc.Sal.04]))))),
0)</f>
        <v>0</v>
      </c>
      <c r="J76" s="170">
        <f t="array" ref="J76">IFERROR(
MEDIAN((IF(DATOS_[[Sexo]:[Sexo]]=$B76,IF(DATOS_[[AGRUP. CLAS. PROF.]:[AGRUP. CLAS. PROF.]]=$B75,IF(DATOS_[[Check Periodo Ref.]:[Check Periodo Ref.]]="Dentro",DATOS_[Conc.Sal.05]))))),
0)</f>
        <v>0</v>
      </c>
      <c r="K76" s="170">
        <f t="array" ref="K76">IFERROR(
MEDIAN((IF(DATOS_[[Sexo]:[Sexo]]=$B76,IF(DATOS_[[AGRUP. CLAS. PROF.]:[AGRUP. CLAS. PROF.]]=$B75,IF(DATOS_[[Check Periodo Ref.]:[Check Periodo Ref.]]="Dentro",DATOS_[Conc.Sal.06]))))),
0)</f>
        <v>0</v>
      </c>
      <c r="L76" s="170">
        <f t="array" ref="L76">IFERROR(
MEDIAN((IF(DATOS_[[Sexo]:[Sexo]]=$B76,IF(DATOS_[[AGRUP. CLAS. PROF.]:[AGRUP. CLAS. PROF.]]=$B75,IF(DATOS_[[Check Periodo Ref.]:[Check Periodo Ref.]]="Dentro",DATOS_[Conc.Sal.07]))))),
0)</f>
        <v>0</v>
      </c>
      <c r="M76" s="170">
        <f t="array" ref="M76">IFERROR(
MEDIAN((IF(DATOS_[[Sexo]:[Sexo]]=$B76,IF(DATOS_[[AGRUP. CLAS. PROF.]:[AGRUP. CLAS. PROF.]]=$B75,IF(DATOS_[[Check Periodo Ref.]:[Check Periodo Ref.]]="Dentro",DATOS_[Conc.Sal.08]))))),
0)</f>
        <v>0</v>
      </c>
      <c r="N76" s="170">
        <f t="array" ref="N76">IFERROR(
MEDIAN((IF(DATOS_[[Sexo]:[Sexo]]=$B76,IF(DATOS_[[AGRUP. CLAS. PROF.]:[AGRUP. CLAS. PROF.]]=$B75,IF(DATOS_[[Check Periodo Ref.]:[Check Periodo Ref.]]="Dentro",DATOS_[Conc.Sal.09]))))),
0)</f>
        <v>0</v>
      </c>
      <c r="O76" s="170">
        <f t="array" ref="O76">IFERROR(
MEDIAN((IF(DATOS_[[Sexo]:[Sexo]]=$B76,IF(DATOS_[[AGRUP. CLAS. PROF.]:[AGRUP. CLAS. PROF.]]=$B75,IF(DATOS_[[Check Periodo Ref.]:[Check Periodo Ref.]]="Dentro",DATOS_[Conc.Sal.10]))))),
0)</f>
        <v>0</v>
      </c>
      <c r="P76" s="170">
        <f t="array" ref="P76">IFERROR(
MEDIAN((IF(DATOS_[[Sexo]:[Sexo]]=$B76,IF(DATOS_[[AGRUP. CLAS. PROF.]:[AGRUP. CLAS. PROF.]]=$B75,IF(DATOS_[[Check Periodo Ref.]:[Check Periodo Ref.]]="Dentro",DATOS_[Conc.Sal.11]))))),
0)</f>
        <v>0</v>
      </c>
      <c r="Q76" s="170">
        <f t="array" ref="Q76">IFERROR(
MEDIAN((IF(DATOS_[[Sexo]:[Sexo]]=$B76,IF(DATOS_[[AGRUP. CLAS. PROF.]:[AGRUP. CLAS. PROF.]]=$B75,IF(DATOS_[[Check Periodo Ref.]:[Check Periodo Ref.]]="Dentro",DATOS_[Conc.Sal.12]))))),
0)</f>
        <v>0</v>
      </c>
      <c r="R76" s="170">
        <f t="array" ref="R76">IFERROR(
MEDIAN((IF(DATOS_[[Sexo]:[Sexo]]=$B76,IF(DATOS_[[AGRUP. CLAS. PROF.]:[AGRUP. CLAS. PROF.]]=$B75,IF(DATOS_[[Check Periodo Ref.]:[Check Periodo Ref.]]="Dentro",DATOS_[Conc.Sal.13]))))),
0)</f>
        <v>0</v>
      </c>
      <c r="S76" s="170">
        <f t="array" ref="S76">IFERROR(
MEDIAN((IF(DATOS_[[Sexo]:[Sexo]]=$B76,IF(DATOS_[[AGRUP. CLAS. PROF.]:[AGRUP. CLAS. PROF.]]=$B75,IF(DATOS_[[Check Periodo Ref.]:[Check Periodo Ref.]]="Dentro",DATOS_[Conc.Sal.14]))))),
0)</f>
        <v>0</v>
      </c>
      <c r="T76" s="170">
        <f t="array" ref="T76">IFERROR(
MEDIAN((IF(DATOS_[[Sexo]:[Sexo]]=$B76,IF(DATOS_[[AGRUP. CLAS. PROF.]:[AGRUP. CLAS. PROF.]]=$B75,IF(DATOS_[[Check Periodo Ref.]:[Check Periodo Ref.]]="Dentro",DATOS_[Conc.Sal.15]))))),
0)</f>
        <v>0</v>
      </c>
      <c r="U76" s="170">
        <f t="array" ref="U76">IFERROR(
MEDIAN((IF(DATOS_[[Sexo]:[Sexo]]=$B76,IF(DATOS_[[AGRUP. CLAS. PROF.]:[AGRUP. CLAS. PROF.]]=$B75,IF(DATOS_[[Check Periodo Ref.]:[Check Periodo Ref.]]="Dentro",DATOS_[Conc.Sal.16]))))),
0)</f>
        <v>0</v>
      </c>
      <c r="V76" s="170">
        <f t="array" ref="V76">IFERROR(
MEDIAN((IF(DATOS_[[Sexo]:[Sexo]]=$B76,IF(DATOS_[[AGRUP. CLAS. PROF.]:[AGRUP. CLAS. PROF.]]=$B75,IF(DATOS_[[Check Periodo Ref.]:[Check Periodo Ref.]]="Dentro",DATOS_[Conc.Sal.17]))))),
0)</f>
        <v>0</v>
      </c>
      <c r="W76" s="170">
        <f t="array" ref="W76">IFERROR(
MEDIAN((IF(DATOS_[[Sexo]:[Sexo]]=$B76,IF(DATOS_[[AGRUP. CLAS. PROF.]:[AGRUP. CLAS. PROF.]]=$B75,IF(DATOS_[[Check Periodo Ref.]:[Check Periodo Ref.]]="Dentro",DATOS_[Conc.Sal.18]))))),
0)</f>
        <v>0</v>
      </c>
      <c r="X76" s="170">
        <f t="array" ref="X76">IFERROR(
MEDIAN((IF(DATOS_[[Sexo]:[Sexo]]=$B76,IF(DATOS_[[AGRUP. CLAS. PROF.]:[AGRUP. CLAS. PROF.]]=$B75,IF(DATOS_[[Check Periodo Ref.]:[Check Periodo Ref.]]="Dentro",DATOS_[Conc.Sal.19]))))),
0)</f>
        <v>0</v>
      </c>
      <c r="Y76" s="170">
        <f t="array" ref="Y76">IFERROR(
MEDIAN((IF(DATOS_[[Sexo]:[Sexo]]=$B76,IF(DATOS_[[AGRUP. CLAS. PROF.]:[AGRUP. CLAS. PROF.]]=$B75,IF(DATOS_[[Check Periodo Ref.]:[Check Periodo Ref.]]="Dentro",DATOS_[Conc.Sal.20]))))),
0)</f>
        <v>0</v>
      </c>
      <c r="Z76" s="170">
        <f t="array" ref="Z76">IFERROR(
MEDIAN((IF(DATOS_[[Sexo]:[Sexo]]=$B76,IF(DATOS_[[AGRUP. CLAS. PROF.]:[AGRUP. CLAS. PROF.]]=$B75,IF(DATOS_[[Check Periodo Ref.]:[Check Periodo Ref.]]="Dentro",DATOS_[Conc.Sal.21]))))),
0)</f>
        <v>0</v>
      </c>
      <c r="AA76" s="170">
        <f t="array" ref="AA76">IFERROR(
MEDIAN((IF(DATOS_[[Sexo]:[Sexo]]=$B76,IF(DATOS_[[AGRUP. CLAS. PROF.]:[AGRUP. CLAS. PROF.]]=$B75,IF(DATOS_[[Check Periodo Ref.]:[Check Periodo Ref.]]="Dentro",DATOS_[Conc.Sal.22]))))),
0)</f>
        <v>0</v>
      </c>
      <c r="AB76" s="170">
        <f t="array" ref="AB76">IFERROR(
MEDIAN((IF(DATOS_[[Sexo]:[Sexo]]=$B76,IF(DATOS_[[AGRUP. CLAS. PROF.]:[AGRUP. CLAS. PROF.]]=$B75,IF(DATOS_[[Check Periodo Ref.]:[Check Periodo Ref.]]="Dentro",DATOS_[Conc.Sal.23]))))),
0)</f>
        <v>0</v>
      </c>
      <c r="AC76" s="170">
        <f t="array" ref="AC76">IFERROR(
MEDIAN((IF(DATOS_[[Sexo]:[Sexo]]=$B76,IF(DATOS_[[AGRUP. CLAS. PROF.]:[AGRUP. CLAS. PROF.]]=$B75,IF(DATOS_[[Check Periodo Ref.]:[Check Periodo Ref.]]="Dentro",DATOS_[Conc.Sal.24]))))),
0)</f>
        <v>0</v>
      </c>
      <c r="AD76" s="170">
        <f t="array" ref="AD76">IFERROR(
MEDIAN((IF(DATOS_[[Sexo]:[Sexo]]=$B76,IF(DATOS_[[AGRUP. CLAS. PROF.]:[AGRUP. CLAS. PROF.]]=$B75,IF(DATOS_[[Check Periodo Ref.]:[Check Periodo Ref.]]="Dentro",DATOS_[Conc.Sal.25]))))),
0)</f>
        <v>0</v>
      </c>
      <c r="AE76" s="170">
        <f t="array" ref="AE76">IFERROR(
MEDIAN((IF(DATOS_[[Sexo]:[Sexo]]=$B76,IF(DATOS_[[AGRUP. CLAS. PROF.]:[AGRUP. CLAS. PROF.]]=$B75,IF(DATOS_[[Check Periodo Ref.]:[Check Periodo Ref.]]="Dentro",DATOS_[Conc.Sal.26]))))),
0)</f>
        <v>0</v>
      </c>
      <c r="AF76" s="170">
        <f t="array" ref="AF76">IFERROR(
MEDIAN((IF(DATOS_[[Sexo]:[Sexo]]=$B76,IF(DATOS_[[AGRUP. CLAS. PROF.]:[AGRUP. CLAS. PROF.]]=$B75,IF(DATOS_[[Check Periodo Ref.]:[Check Periodo Ref.]]="Dentro",DATOS_[Conc.Sal.27]))))),
0)</f>
        <v>0</v>
      </c>
      <c r="AG76" s="170">
        <f t="array" ref="AG76">IFERROR(
MEDIAN((IF(DATOS_[[Sexo]:[Sexo]]=$B76,IF(DATOS_[[AGRUP. CLAS. PROF.]:[AGRUP. CLAS. PROF.]]=$B75,IF(DATOS_[[Check Periodo Ref.]:[Check Periodo Ref.]]="Dentro",DATOS_[Conc.Sal.28]))))),
0)</f>
        <v>0</v>
      </c>
      <c r="AH76" s="170">
        <f t="array" ref="AH76">IFERROR(
MEDIAN((IF(DATOS_[[Sexo]:[Sexo]]=$B76,IF(DATOS_[[AGRUP. CLAS. PROF.]:[AGRUP. CLAS. PROF.]]=$B75,IF(DATOS_[[Check Periodo Ref.]:[Check Periodo Ref.]]="Dentro",DATOS_[Conc.Sal.29]))))),
0)</f>
        <v>0</v>
      </c>
      <c r="AI76" s="170">
        <f t="array" ref="AI76">IFERROR(
MEDIAN((IF(DATOS_[[Sexo]:[Sexo]]=$B76,IF(DATOS_[[AGRUP. CLAS. PROF.]:[AGRUP. CLAS. PROF.]]=$B75,IF(DATOS_[[Check Periodo Ref.]:[Check Periodo Ref.]]="Dentro",DATOS_[Conc.Sal.30]))))),
0)</f>
        <v>0</v>
      </c>
      <c r="AJ76" s="171">
        <f t="array" ref="AJ76">IFERROR(
MEDIAN(IF(DATOS_[Sexo]=$B76,IF(DATOS_[AGRUP. CLAS. PROF.]=$B75,IF(DATOS_[Check Periodo Ref.]="Dentro",DATOS_[Tot COMPL.SAL Ef],FALSE)))),
0)</f>
        <v>0</v>
      </c>
      <c r="AK76" s="172">
        <f t="array" ref="AK76">IFERROR(
MEDIAN(IF(DATOS_[Sexo]=$B76,IF(DATOS_[AGRUP. CLAS. PROF.]=$B75,IF(DATOS_[Check Periodo Ref.]="Dentro",DATOS_[TOTAL SALARIO Ef],FALSE)))),
0)</f>
        <v>0</v>
      </c>
      <c r="AL76" s="173">
        <f t="array" ref="AL76">IFERROR(
MEDIAN((IF(DATOS_[[Sexo]:[Sexo]]=$B76,IF(DATOS_[[AGRUP. CLAS. PROF.]:[AGRUP. CLAS. PROF.]]=$B75,IF(DATOS_[[Check Periodo Ref.]:[Check Periodo Ref.]]="Dentro",DATOS_[C.Extra.01]))))),
0)</f>
        <v>0</v>
      </c>
      <c r="AM76" s="173">
        <f t="array" ref="AM76">IFERROR(
MEDIAN((IF(DATOS_[[Sexo]:[Sexo]]=$B76,IF(DATOS_[[AGRUP. CLAS. PROF.]:[AGRUP. CLAS. PROF.]]=$B75,IF(DATOS_[[Check Periodo Ref.]:[Check Periodo Ref.]]="Dentro",DATOS_[C.Extra.06]))))),
0)</f>
        <v>0</v>
      </c>
      <c r="AN76" s="173">
        <f t="array" ref="AN76">IFERROR(
MEDIAN((IF(DATOS_[[Sexo]:[Sexo]]=$B76,IF(DATOS_[[AGRUP. CLAS. PROF.]:[AGRUP. CLAS. PROF.]]=$B75,IF(DATOS_[[Check Periodo Ref.]:[Check Periodo Ref.]]="Dentro",DATOS_[C.Extra.07]))))),
0)</f>
        <v>0</v>
      </c>
      <c r="AO76" s="173">
        <f t="array" ref="AO76">IFERROR(
MEDIAN((IF(DATOS_[[Sexo]:[Sexo]]=$B76,IF(DATOS_[[AGRUP. CLAS. PROF.]:[AGRUP. CLAS. PROF.]]=$B75,IF(DATOS_[[Check Periodo Ref.]:[Check Periodo Ref.]]="Dentro",DATOS_[C.Extra.08]))))),
0)</f>
        <v>0</v>
      </c>
      <c r="AP76" s="173">
        <f t="array" ref="AP76">IFERROR(
MEDIAN((IF(DATOS_[[Sexo]:[Sexo]]=$B76,IF(DATOS_[[AGRUP. CLAS. PROF.]:[AGRUP. CLAS. PROF.]]=$B75,IF(DATOS_[[Check Periodo Ref.]:[Check Periodo Ref.]]="Dentro",DATOS_[C.Extra.11]))))),
0)</f>
        <v>0</v>
      </c>
      <c r="AQ76" s="174">
        <f t="array" ref="AQ76">IFERROR(
MEDIAN(IF(DATOS_[Sexo]=$B76,IF(DATOS_[AGRUP. CLAS. PROF.]=$B75,IF(DATOS_[Check Periodo Ref.]="Dentro",DATOS_[Tot Extrasalarial Ef],FALSE)))),
0)</f>
        <v>0</v>
      </c>
      <c r="AR76" s="171">
        <f t="array" ref="AR76">IFERROR(
MEDIAN(IF(DATOS_[Sexo]=$B76,IF(DATOS_[AGRUP. CLAS. PROF.]=$B75,IF(DATOS_[Check Periodo Ref.]="Dentro",DATOS_[TOTAL Retrib Ef],FALSE)))),
0)</f>
        <v>0</v>
      </c>
    </row>
    <row r="77" spans="1:44" hidden="1" x14ac:dyDescent="0.25">
      <c r="A77" s="178" t="str">
        <f t="shared" ref="A77" si="86">+A76</f>
        <v>[ocultar]</v>
      </c>
      <c r="B77" s="166" t="s">
        <v>521</v>
      </c>
      <c r="C77" s="167">
        <f t="array" ref="C77">SUM(IF($B77=DATOS_[Sexo],
IF($B75=DATOS_[AGRUP. CLAS. PROF.],
IF("Dentro"=DATOS_[Check Periodo Ref.],
1/(COUNTIFS(DATOS_[Sexo],$B77,DATOS_[AGRUP. CLAS. PROF.],$B75,DATOS_[Check Periodo Ref.],"Dentro",DATOS_[id/cod],DATOS_[id/cod]))))))</f>
        <v>0</v>
      </c>
      <c r="D77" s="168">
        <f>COUNTIFS(DATOS_[AGRUP. CLAS. PROF.],$B75,DATOS_[Sexo],$B77,DATOS_[Check Periodo Ref.],"Dentro")</f>
        <v>0</v>
      </c>
      <c r="E77" s="169">
        <f t="array" ref="E77">IFERROR(
MEDIAN(IF(DATOS_[Sexo]=$B77,IF(DATOS_[AGRUP. CLAS. PROF.]=$B75,IF(DATOS_[Check Periodo Ref.]="Dentro",DATOS_[SALARIO BASE Ef],FALSE)))),
0)</f>
        <v>0</v>
      </c>
      <c r="F77" s="170">
        <f t="array" ref="F77">IFERROR(
MEDIAN((IF(DATOS_[[Sexo]:[Sexo]]=$B77,IF(DATOS_[[AGRUP. CLAS. PROF.]:[AGRUP. CLAS. PROF.]]=$B75,IF(DATOS_[[Check Periodo Ref.]:[Check Periodo Ref.]]="Dentro",DATOS_[Conc.Sal.01]))))),
0)</f>
        <v>0</v>
      </c>
      <c r="G77" s="170">
        <f t="array" ref="G77">IFERROR(
MEDIAN((IF(DATOS_[[Sexo]:[Sexo]]=$B77,IF(DATOS_[[AGRUP. CLAS. PROF.]:[AGRUP. CLAS. PROF.]]=$B75,IF(DATOS_[[Check Periodo Ref.]:[Check Periodo Ref.]]="Dentro",DATOS_[Conc.Sal.02]))))),
0)</f>
        <v>0</v>
      </c>
      <c r="H77" s="170">
        <f t="array" ref="H77">IFERROR(
MEDIAN((IF(DATOS_[[Sexo]:[Sexo]]=$B77,IF(DATOS_[[AGRUP. CLAS. PROF.]:[AGRUP. CLAS. PROF.]]=$B75,IF(DATOS_[[Check Periodo Ref.]:[Check Periodo Ref.]]="Dentro",DATOS_[Conc.Sal.03]))))),
0)</f>
        <v>0</v>
      </c>
      <c r="I77" s="170">
        <f t="array" ref="I77">IFERROR(
MEDIAN((IF(DATOS_[[Sexo]:[Sexo]]=$B77,IF(DATOS_[[AGRUP. CLAS. PROF.]:[AGRUP. CLAS. PROF.]]=$B75,IF(DATOS_[[Check Periodo Ref.]:[Check Periodo Ref.]]="Dentro",DATOS_[Conc.Sal.04]))))),
0)</f>
        <v>0</v>
      </c>
      <c r="J77" s="170">
        <f t="array" ref="J77">IFERROR(
MEDIAN((IF(DATOS_[[Sexo]:[Sexo]]=$B77,IF(DATOS_[[AGRUP. CLAS. PROF.]:[AGRUP. CLAS. PROF.]]=$B75,IF(DATOS_[[Check Periodo Ref.]:[Check Periodo Ref.]]="Dentro",DATOS_[Conc.Sal.05]))))),
0)</f>
        <v>0</v>
      </c>
      <c r="K77" s="170">
        <f t="array" ref="K77">IFERROR(
MEDIAN((IF(DATOS_[[Sexo]:[Sexo]]=$B77,IF(DATOS_[[AGRUP. CLAS. PROF.]:[AGRUP. CLAS. PROF.]]=$B75,IF(DATOS_[[Check Periodo Ref.]:[Check Periodo Ref.]]="Dentro",DATOS_[Conc.Sal.06]))))),
0)</f>
        <v>0</v>
      </c>
      <c r="L77" s="170">
        <f t="array" ref="L77">IFERROR(
MEDIAN((IF(DATOS_[[Sexo]:[Sexo]]=$B77,IF(DATOS_[[AGRUP. CLAS. PROF.]:[AGRUP. CLAS. PROF.]]=$B75,IF(DATOS_[[Check Periodo Ref.]:[Check Periodo Ref.]]="Dentro",DATOS_[Conc.Sal.07]))))),
0)</f>
        <v>0</v>
      </c>
      <c r="M77" s="170">
        <f t="array" ref="M77">IFERROR(
MEDIAN((IF(DATOS_[[Sexo]:[Sexo]]=$B77,IF(DATOS_[[AGRUP. CLAS. PROF.]:[AGRUP. CLAS. PROF.]]=$B75,IF(DATOS_[[Check Periodo Ref.]:[Check Periodo Ref.]]="Dentro",DATOS_[Conc.Sal.08]))))),
0)</f>
        <v>0</v>
      </c>
      <c r="N77" s="170">
        <f t="array" ref="N77">IFERROR(
MEDIAN((IF(DATOS_[[Sexo]:[Sexo]]=$B77,IF(DATOS_[[AGRUP. CLAS. PROF.]:[AGRUP. CLAS. PROF.]]=$B75,IF(DATOS_[[Check Periodo Ref.]:[Check Periodo Ref.]]="Dentro",DATOS_[Conc.Sal.09]))))),
0)</f>
        <v>0</v>
      </c>
      <c r="O77" s="170">
        <f t="array" ref="O77">IFERROR(
MEDIAN((IF(DATOS_[[Sexo]:[Sexo]]=$B77,IF(DATOS_[[AGRUP. CLAS. PROF.]:[AGRUP. CLAS. PROF.]]=$B75,IF(DATOS_[[Check Periodo Ref.]:[Check Periodo Ref.]]="Dentro",DATOS_[Conc.Sal.10]))))),
0)</f>
        <v>0</v>
      </c>
      <c r="P77" s="170">
        <f t="array" ref="P77">IFERROR(
MEDIAN((IF(DATOS_[[Sexo]:[Sexo]]=$B77,IF(DATOS_[[AGRUP. CLAS. PROF.]:[AGRUP. CLAS. PROF.]]=$B75,IF(DATOS_[[Check Periodo Ref.]:[Check Periodo Ref.]]="Dentro",DATOS_[Conc.Sal.11]))))),
0)</f>
        <v>0</v>
      </c>
      <c r="Q77" s="170">
        <f t="array" ref="Q77">IFERROR(
MEDIAN((IF(DATOS_[[Sexo]:[Sexo]]=$B77,IF(DATOS_[[AGRUP. CLAS. PROF.]:[AGRUP. CLAS. PROF.]]=$B75,IF(DATOS_[[Check Periodo Ref.]:[Check Periodo Ref.]]="Dentro",DATOS_[Conc.Sal.12]))))),
0)</f>
        <v>0</v>
      </c>
      <c r="R77" s="170">
        <f t="array" ref="R77">IFERROR(
MEDIAN((IF(DATOS_[[Sexo]:[Sexo]]=$B77,IF(DATOS_[[AGRUP. CLAS. PROF.]:[AGRUP. CLAS. PROF.]]=$B75,IF(DATOS_[[Check Periodo Ref.]:[Check Periodo Ref.]]="Dentro",DATOS_[Conc.Sal.13]))))),
0)</f>
        <v>0</v>
      </c>
      <c r="S77" s="170">
        <f t="array" ref="S77">IFERROR(
MEDIAN((IF(DATOS_[[Sexo]:[Sexo]]=$B77,IF(DATOS_[[AGRUP. CLAS. PROF.]:[AGRUP. CLAS. PROF.]]=$B75,IF(DATOS_[[Check Periodo Ref.]:[Check Periodo Ref.]]="Dentro",DATOS_[Conc.Sal.14]))))),
0)</f>
        <v>0</v>
      </c>
      <c r="T77" s="170">
        <f t="array" ref="T77">IFERROR(
MEDIAN((IF(DATOS_[[Sexo]:[Sexo]]=$B77,IF(DATOS_[[AGRUP. CLAS. PROF.]:[AGRUP. CLAS. PROF.]]=$B75,IF(DATOS_[[Check Periodo Ref.]:[Check Periodo Ref.]]="Dentro",DATOS_[Conc.Sal.15]))))),
0)</f>
        <v>0</v>
      </c>
      <c r="U77" s="170">
        <f t="array" ref="U77">IFERROR(
MEDIAN((IF(DATOS_[[Sexo]:[Sexo]]=$B77,IF(DATOS_[[AGRUP. CLAS. PROF.]:[AGRUP. CLAS. PROF.]]=$B75,IF(DATOS_[[Check Periodo Ref.]:[Check Periodo Ref.]]="Dentro",DATOS_[Conc.Sal.16]))))),
0)</f>
        <v>0</v>
      </c>
      <c r="V77" s="170">
        <f t="array" ref="V77">IFERROR(
MEDIAN((IF(DATOS_[[Sexo]:[Sexo]]=$B77,IF(DATOS_[[AGRUP. CLAS. PROF.]:[AGRUP. CLAS. PROF.]]=$B75,IF(DATOS_[[Check Periodo Ref.]:[Check Periodo Ref.]]="Dentro",DATOS_[Conc.Sal.17]))))),
0)</f>
        <v>0</v>
      </c>
      <c r="W77" s="170">
        <f t="array" ref="W77">IFERROR(
MEDIAN((IF(DATOS_[[Sexo]:[Sexo]]=$B77,IF(DATOS_[[AGRUP. CLAS. PROF.]:[AGRUP. CLAS. PROF.]]=$B75,IF(DATOS_[[Check Periodo Ref.]:[Check Periodo Ref.]]="Dentro",DATOS_[Conc.Sal.18]))))),
0)</f>
        <v>0</v>
      </c>
      <c r="X77" s="170">
        <f t="array" ref="X77">IFERROR(
MEDIAN((IF(DATOS_[[Sexo]:[Sexo]]=$B77,IF(DATOS_[[AGRUP. CLAS. PROF.]:[AGRUP. CLAS. PROF.]]=$B75,IF(DATOS_[[Check Periodo Ref.]:[Check Periodo Ref.]]="Dentro",DATOS_[Conc.Sal.19]))))),
0)</f>
        <v>0</v>
      </c>
      <c r="Y77" s="170">
        <f t="array" ref="Y77">IFERROR(
MEDIAN((IF(DATOS_[[Sexo]:[Sexo]]=$B77,IF(DATOS_[[AGRUP. CLAS. PROF.]:[AGRUP. CLAS. PROF.]]=$B75,IF(DATOS_[[Check Periodo Ref.]:[Check Periodo Ref.]]="Dentro",DATOS_[Conc.Sal.20]))))),
0)</f>
        <v>0</v>
      </c>
      <c r="Z77" s="170">
        <f t="array" ref="Z77">IFERROR(
MEDIAN((IF(DATOS_[[Sexo]:[Sexo]]=$B77,IF(DATOS_[[AGRUP. CLAS. PROF.]:[AGRUP. CLAS. PROF.]]=$B75,IF(DATOS_[[Check Periodo Ref.]:[Check Periodo Ref.]]="Dentro",DATOS_[Conc.Sal.21]))))),
0)</f>
        <v>0</v>
      </c>
      <c r="AA77" s="170">
        <f t="array" ref="AA77">IFERROR(
MEDIAN((IF(DATOS_[[Sexo]:[Sexo]]=$B77,IF(DATOS_[[AGRUP. CLAS. PROF.]:[AGRUP. CLAS. PROF.]]=$B75,IF(DATOS_[[Check Periodo Ref.]:[Check Periodo Ref.]]="Dentro",DATOS_[Conc.Sal.22]))))),
0)</f>
        <v>0</v>
      </c>
      <c r="AB77" s="170">
        <f t="array" ref="AB77">IFERROR(
MEDIAN((IF(DATOS_[[Sexo]:[Sexo]]=$B77,IF(DATOS_[[AGRUP. CLAS. PROF.]:[AGRUP. CLAS. PROF.]]=$B75,IF(DATOS_[[Check Periodo Ref.]:[Check Periodo Ref.]]="Dentro",DATOS_[Conc.Sal.23]))))),
0)</f>
        <v>0</v>
      </c>
      <c r="AC77" s="170">
        <f t="array" ref="AC77">IFERROR(
MEDIAN((IF(DATOS_[[Sexo]:[Sexo]]=$B77,IF(DATOS_[[AGRUP. CLAS. PROF.]:[AGRUP. CLAS. PROF.]]=$B75,IF(DATOS_[[Check Periodo Ref.]:[Check Periodo Ref.]]="Dentro",DATOS_[Conc.Sal.24]))))),
0)</f>
        <v>0</v>
      </c>
      <c r="AD77" s="170">
        <f t="array" ref="AD77">IFERROR(
MEDIAN((IF(DATOS_[[Sexo]:[Sexo]]=$B77,IF(DATOS_[[AGRUP. CLAS. PROF.]:[AGRUP. CLAS. PROF.]]=$B75,IF(DATOS_[[Check Periodo Ref.]:[Check Periodo Ref.]]="Dentro",DATOS_[Conc.Sal.25]))))),
0)</f>
        <v>0</v>
      </c>
      <c r="AE77" s="170">
        <f t="array" ref="AE77">IFERROR(
MEDIAN((IF(DATOS_[[Sexo]:[Sexo]]=$B77,IF(DATOS_[[AGRUP. CLAS. PROF.]:[AGRUP. CLAS. PROF.]]=$B75,IF(DATOS_[[Check Periodo Ref.]:[Check Periodo Ref.]]="Dentro",DATOS_[Conc.Sal.26]))))),
0)</f>
        <v>0</v>
      </c>
      <c r="AF77" s="170">
        <f t="array" ref="AF77">IFERROR(
MEDIAN((IF(DATOS_[[Sexo]:[Sexo]]=$B77,IF(DATOS_[[AGRUP. CLAS. PROF.]:[AGRUP. CLAS. PROF.]]=$B75,IF(DATOS_[[Check Periodo Ref.]:[Check Periodo Ref.]]="Dentro",DATOS_[Conc.Sal.27]))))),
0)</f>
        <v>0</v>
      </c>
      <c r="AG77" s="170">
        <f t="array" ref="AG77">IFERROR(
MEDIAN((IF(DATOS_[[Sexo]:[Sexo]]=$B77,IF(DATOS_[[AGRUP. CLAS. PROF.]:[AGRUP. CLAS. PROF.]]=$B75,IF(DATOS_[[Check Periodo Ref.]:[Check Periodo Ref.]]="Dentro",DATOS_[Conc.Sal.28]))))),
0)</f>
        <v>0</v>
      </c>
      <c r="AH77" s="170">
        <f t="array" ref="AH77">IFERROR(
MEDIAN((IF(DATOS_[[Sexo]:[Sexo]]=$B77,IF(DATOS_[[AGRUP. CLAS. PROF.]:[AGRUP. CLAS. PROF.]]=$B75,IF(DATOS_[[Check Periodo Ref.]:[Check Periodo Ref.]]="Dentro",DATOS_[Conc.Sal.29]))))),
0)</f>
        <v>0</v>
      </c>
      <c r="AI77" s="170">
        <f t="array" ref="AI77">IFERROR(
MEDIAN((IF(DATOS_[[Sexo]:[Sexo]]=$B77,IF(DATOS_[[AGRUP. CLAS. PROF.]:[AGRUP. CLAS. PROF.]]=$B75,IF(DATOS_[[Check Periodo Ref.]:[Check Periodo Ref.]]="Dentro",DATOS_[Conc.Sal.30]))))),
0)</f>
        <v>0</v>
      </c>
      <c r="AJ77" s="171">
        <f t="array" ref="AJ77">IFERROR(
MEDIAN(IF(DATOS_[Sexo]=$B77,IF(DATOS_[AGRUP. CLAS. PROF.]=$B75,IF(DATOS_[Check Periodo Ref.]="Dentro",DATOS_[Tot COMPL.SAL Ef],FALSE)))),
0)</f>
        <v>0</v>
      </c>
      <c r="AK77" s="172">
        <f t="array" ref="AK77">IFERROR(
MEDIAN(IF(DATOS_[Sexo]=$B77,IF(DATOS_[AGRUP. CLAS. PROF.]=$B75,IF(DATOS_[Check Periodo Ref.]="Dentro",DATOS_[TOTAL SALARIO Ef],FALSE)))),
0)</f>
        <v>0</v>
      </c>
      <c r="AL77" s="173">
        <f t="array" ref="AL77">IFERROR(
MEDIAN((IF(DATOS_[[Sexo]:[Sexo]]=$B77,IF(DATOS_[[AGRUP. CLAS. PROF.]:[AGRUP. CLAS. PROF.]]=$B75,IF(DATOS_[[Check Periodo Ref.]:[Check Periodo Ref.]]="Dentro",DATOS_[C.Extra.01]))))),
0)</f>
        <v>0</v>
      </c>
      <c r="AM77" s="173">
        <f t="array" ref="AM77">IFERROR(
MEDIAN((IF(DATOS_[[Sexo]:[Sexo]]=$B77,IF(DATOS_[[AGRUP. CLAS. PROF.]:[AGRUP. CLAS. PROF.]]=$B75,IF(DATOS_[[Check Periodo Ref.]:[Check Periodo Ref.]]="Dentro",DATOS_[C.Extra.06]))))),
0)</f>
        <v>0</v>
      </c>
      <c r="AN77" s="173">
        <f t="array" ref="AN77">IFERROR(
MEDIAN((IF(DATOS_[[Sexo]:[Sexo]]=$B77,IF(DATOS_[[AGRUP. CLAS. PROF.]:[AGRUP. CLAS. PROF.]]=$B75,IF(DATOS_[[Check Periodo Ref.]:[Check Periodo Ref.]]="Dentro",DATOS_[C.Extra.07]))))),
0)</f>
        <v>0</v>
      </c>
      <c r="AO77" s="173">
        <f t="array" ref="AO77">IFERROR(
MEDIAN((IF(DATOS_[[Sexo]:[Sexo]]=$B77,IF(DATOS_[[AGRUP. CLAS. PROF.]:[AGRUP. CLAS. PROF.]]=$B75,IF(DATOS_[[Check Periodo Ref.]:[Check Periodo Ref.]]="Dentro",DATOS_[C.Extra.08]))))),
0)</f>
        <v>0</v>
      </c>
      <c r="AP77" s="173">
        <f t="array" ref="AP77">IFERROR(
MEDIAN((IF(DATOS_[[Sexo]:[Sexo]]=$B77,IF(DATOS_[[AGRUP. CLAS. PROF.]:[AGRUP. CLAS. PROF.]]=$B75,IF(DATOS_[[Check Periodo Ref.]:[Check Periodo Ref.]]="Dentro",DATOS_[C.Extra.11]))))),
0)</f>
        <v>0</v>
      </c>
      <c r="AQ77" s="174">
        <f t="array" ref="AQ77">IFERROR(
MEDIAN(IF(DATOS_[Sexo]=$B77,IF(DATOS_[AGRUP. CLAS. PROF.]=$B75,IF(DATOS_[Check Periodo Ref.]="Dentro",DATOS_[Tot Extrasalarial Ef],FALSE)))),
0)</f>
        <v>0</v>
      </c>
      <c r="AR77" s="171">
        <f t="array" ref="AR77">IFERROR(
MEDIAN(IF(DATOS_[Sexo]=$B77,IF(DATOS_[AGRUP. CLAS. PROF.]=$B75,IF(DATOS_[Check Periodo Ref.]="Dentro",DATOS_[TOTAL Retrib Ef],FALSE)))),
0)</f>
        <v>0</v>
      </c>
    </row>
    <row r="78" spans="1:44" ht="14.4" hidden="1" thickBot="1" x14ac:dyDescent="0.3">
      <c r="A78" s="178" t="str">
        <f t="shared" ref="A78" si="87">+A79</f>
        <v>[ocultar]</v>
      </c>
      <c r="B78" s="153" t="s">
        <v>265</v>
      </c>
      <c r="C78" s="154"/>
      <c r="D78" s="155"/>
      <c r="E78" s="156" t="str">
        <f t="shared" ref="E78:AR78" si="88">IFERROR((E79-E80)/E79,"")</f>
        <v/>
      </c>
      <c r="F78" s="157" t="str">
        <f t="shared" si="88"/>
        <v/>
      </c>
      <c r="G78" s="158" t="str">
        <f t="shared" si="88"/>
        <v/>
      </c>
      <c r="H78" s="158" t="str">
        <f t="shared" si="88"/>
        <v/>
      </c>
      <c r="I78" s="158" t="str">
        <f t="shared" si="88"/>
        <v/>
      </c>
      <c r="J78" s="159" t="str">
        <f t="shared" si="88"/>
        <v/>
      </c>
      <c r="K78" s="160" t="str">
        <f t="shared" si="88"/>
        <v/>
      </c>
      <c r="L78" s="160" t="str">
        <f t="shared" si="88"/>
        <v/>
      </c>
      <c r="M78" s="160" t="str">
        <f t="shared" si="88"/>
        <v/>
      </c>
      <c r="N78" s="160" t="str">
        <f t="shared" si="88"/>
        <v/>
      </c>
      <c r="O78" s="160" t="str">
        <f t="shared" si="88"/>
        <v/>
      </c>
      <c r="P78" s="160" t="str">
        <f t="shared" si="88"/>
        <v/>
      </c>
      <c r="Q78" s="160" t="str">
        <f t="shared" si="88"/>
        <v/>
      </c>
      <c r="R78" s="160" t="str">
        <f t="shared" si="88"/>
        <v/>
      </c>
      <c r="S78" s="160" t="str">
        <f t="shared" si="88"/>
        <v/>
      </c>
      <c r="T78" s="160" t="str">
        <f t="shared" si="88"/>
        <v/>
      </c>
      <c r="U78" s="160" t="str">
        <f t="shared" si="88"/>
        <v/>
      </c>
      <c r="V78" s="159" t="str">
        <f t="shared" si="88"/>
        <v/>
      </c>
      <c r="W78" s="159" t="str">
        <f t="shared" si="88"/>
        <v/>
      </c>
      <c r="X78" s="159" t="str">
        <f t="shared" si="88"/>
        <v/>
      </c>
      <c r="Y78" s="159" t="str">
        <f t="shared" si="88"/>
        <v/>
      </c>
      <c r="Z78" s="159" t="str">
        <f t="shared" si="88"/>
        <v/>
      </c>
      <c r="AA78" s="159" t="str">
        <f t="shared" si="88"/>
        <v/>
      </c>
      <c r="AB78" s="159" t="str">
        <f t="shared" si="88"/>
        <v/>
      </c>
      <c r="AC78" s="159" t="str">
        <f t="shared" si="88"/>
        <v/>
      </c>
      <c r="AD78" s="159" t="str">
        <f t="shared" si="88"/>
        <v/>
      </c>
      <c r="AE78" s="159" t="str">
        <f t="shared" si="88"/>
        <v/>
      </c>
      <c r="AF78" s="159" t="str">
        <f t="shared" si="88"/>
        <v/>
      </c>
      <c r="AG78" s="159" t="str">
        <f t="shared" si="88"/>
        <v/>
      </c>
      <c r="AH78" s="159" t="str">
        <f t="shared" si="88"/>
        <v/>
      </c>
      <c r="AI78" s="159" t="str">
        <f t="shared" si="88"/>
        <v/>
      </c>
      <c r="AJ78" s="161" t="str">
        <f t="shared" si="88"/>
        <v/>
      </c>
      <c r="AK78" s="162" t="str">
        <f t="shared" si="88"/>
        <v/>
      </c>
      <c r="AL78" s="163" t="str">
        <f t="shared" si="88"/>
        <v/>
      </c>
      <c r="AM78" s="163" t="str">
        <f t="shared" si="88"/>
        <v/>
      </c>
      <c r="AN78" s="163" t="str">
        <f t="shared" si="88"/>
        <v/>
      </c>
      <c r="AO78" s="163" t="str">
        <f t="shared" si="88"/>
        <v/>
      </c>
      <c r="AP78" s="163" t="str">
        <f t="shared" si="88"/>
        <v/>
      </c>
      <c r="AQ78" s="164" t="str">
        <f t="shared" si="88"/>
        <v/>
      </c>
      <c r="AR78" s="161" t="str">
        <f t="shared" si="88"/>
        <v/>
      </c>
    </row>
    <row r="79" spans="1:44" hidden="1" x14ac:dyDescent="0.25">
      <c r="A79" s="178" t="str">
        <f t="shared" ref="A79" si="89">+IF(C79+C80=0,"[ocultar]","")</f>
        <v>[ocultar]</v>
      </c>
      <c r="B79" s="166" t="s">
        <v>394</v>
      </c>
      <c r="C79" s="167">
        <f t="array" ref="C79">SUM(IF($B79=DATOS_[Sexo],
IF($B78=DATOS_[AGRUP. CLAS. PROF.],
IF("Dentro"=DATOS_[Check Periodo Ref.],
1/(COUNTIFS(DATOS_[Sexo],$B79,DATOS_[AGRUP. CLAS. PROF.],$B78,DATOS_[Check Periodo Ref.],"Dentro",DATOS_[id/cod],DATOS_[id/cod]))))))</f>
        <v>0</v>
      </c>
      <c r="D79" s="168">
        <f>COUNTIFS(DATOS_[AGRUP. CLAS. PROF.],$B78,DATOS_[Sexo],$B79,DATOS_[Check Periodo Ref.],"Dentro")</f>
        <v>0</v>
      </c>
      <c r="E79" s="169">
        <f t="array" ref="E79">IFERROR(
MEDIAN(IF(DATOS_[Sexo]=$B79,IF(DATOS_[AGRUP. CLAS. PROF.]=$B78,IF(DATOS_[Check Periodo Ref.]="Dentro",DATOS_[SALARIO BASE Ef],FALSE)))),
0)</f>
        <v>0</v>
      </c>
      <c r="F79" s="170">
        <f t="array" ref="F79">IFERROR(
MEDIAN((IF(DATOS_[[Sexo]:[Sexo]]=$B79,IF(DATOS_[[AGRUP. CLAS. PROF.]:[AGRUP. CLAS. PROF.]]=$B78,IF(DATOS_[[Check Periodo Ref.]:[Check Periodo Ref.]]="Dentro",DATOS_[Conc.Sal.01]))))),
0)</f>
        <v>0</v>
      </c>
      <c r="G79" s="170">
        <f t="array" ref="G79">IFERROR(
MEDIAN((IF(DATOS_[[Sexo]:[Sexo]]=$B79,IF(DATOS_[[AGRUP. CLAS. PROF.]:[AGRUP. CLAS. PROF.]]=$B78,IF(DATOS_[[Check Periodo Ref.]:[Check Periodo Ref.]]="Dentro",DATOS_[Conc.Sal.02]))))),
0)</f>
        <v>0</v>
      </c>
      <c r="H79" s="170">
        <f t="array" ref="H79">IFERROR(
MEDIAN((IF(DATOS_[[Sexo]:[Sexo]]=$B79,IF(DATOS_[[AGRUP. CLAS. PROF.]:[AGRUP. CLAS. PROF.]]=$B78,IF(DATOS_[[Check Periodo Ref.]:[Check Periodo Ref.]]="Dentro",DATOS_[Conc.Sal.03]))))),
0)</f>
        <v>0</v>
      </c>
      <c r="I79" s="170">
        <f t="array" ref="I79">IFERROR(
MEDIAN((IF(DATOS_[[Sexo]:[Sexo]]=$B79,IF(DATOS_[[AGRUP. CLAS. PROF.]:[AGRUP. CLAS. PROF.]]=$B78,IF(DATOS_[[Check Periodo Ref.]:[Check Periodo Ref.]]="Dentro",DATOS_[Conc.Sal.04]))))),
0)</f>
        <v>0</v>
      </c>
      <c r="J79" s="170">
        <f t="array" ref="J79">IFERROR(
MEDIAN((IF(DATOS_[[Sexo]:[Sexo]]=$B79,IF(DATOS_[[AGRUP. CLAS. PROF.]:[AGRUP. CLAS. PROF.]]=$B78,IF(DATOS_[[Check Periodo Ref.]:[Check Periodo Ref.]]="Dentro",DATOS_[Conc.Sal.05]))))),
0)</f>
        <v>0</v>
      </c>
      <c r="K79" s="170">
        <f t="array" ref="K79">IFERROR(
MEDIAN((IF(DATOS_[[Sexo]:[Sexo]]=$B79,IF(DATOS_[[AGRUP. CLAS. PROF.]:[AGRUP. CLAS. PROF.]]=$B78,IF(DATOS_[[Check Periodo Ref.]:[Check Periodo Ref.]]="Dentro",DATOS_[Conc.Sal.06]))))),
0)</f>
        <v>0</v>
      </c>
      <c r="L79" s="170">
        <f t="array" ref="L79">IFERROR(
MEDIAN((IF(DATOS_[[Sexo]:[Sexo]]=$B79,IF(DATOS_[[AGRUP. CLAS. PROF.]:[AGRUP. CLAS. PROF.]]=$B78,IF(DATOS_[[Check Periodo Ref.]:[Check Periodo Ref.]]="Dentro",DATOS_[Conc.Sal.07]))))),
0)</f>
        <v>0</v>
      </c>
      <c r="M79" s="170">
        <f t="array" ref="M79">IFERROR(
MEDIAN((IF(DATOS_[[Sexo]:[Sexo]]=$B79,IF(DATOS_[[AGRUP. CLAS. PROF.]:[AGRUP. CLAS. PROF.]]=$B78,IF(DATOS_[[Check Periodo Ref.]:[Check Periodo Ref.]]="Dentro",DATOS_[Conc.Sal.08]))))),
0)</f>
        <v>0</v>
      </c>
      <c r="N79" s="170">
        <f t="array" ref="N79">IFERROR(
MEDIAN((IF(DATOS_[[Sexo]:[Sexo]]=$B79,IF(DATOS_[[AGRUP. CLAS. PROF.]:[AGRUP. CLAS. PROF.]]=$B78,IF(DATOS_[[Check Periodo Ref.]:[Check Periodo Ref.]]="Dentro",DATOS_[Conc.Sal.09]))))),
0)</f>
        <v>0</v>
      </c>
      <c r="O79" s="170">
        <f t="array" ref="O79">IFERROR(
MEDIAN((IF(DATOS_[[Sexo]:[Sexo]]=$B79,IF(DATOS_[[AGRUP. CLAS. PROF.]:[AGRUP. CLAS. PROF.]]=$B78,IF(DATOS_[[Check Periodo Ref.]:[Check Periodo Ref.]]="Dentro",DATOS_[Conc.Sal.10]))))),
0)</f>
        <v>0</v>
      </c>
      <c r="P79" s="170">
        <f t="array" ref="P79">IFERROR(
MEDIAN((IF(DATOS_[[Sexo]:[Sexo]]=$B79,IF(DATOS_[[AGRUP. CLAS. PROF.]:[AGRUP. CLAS. PROF.]]=$B78,IF(DATOS_[[Check Periodo Ref.]:[Check Periodo Ref.]]="Dentro",DATOS_[Conc.Sal.11]))))),
0)</f>
        <v>0</v>
      </c>
      <c r="Q79" s="170">
        <f t="array" ref="Q79">IFERROR(
MEDIAN((IF(DATOS_[[Sexo]:[Sexo]]=$B79,IF(DATOS_[[AGRUP. CLAS. PROF.]:[AGRUP. CLAS. PROF.]]=$B78,IF(DATOS_[[Check Periodo Ref.]:[Check Periodo Ref.]]="Dentro",DATOS_[Conc.Sal.12]))))),
0)</f>
        <v>0</v>
      </c>
      <c r="R79" s="170">
        <f t="array" ref="R79">IFERROR(
MEDIAN((IF(DATOS_[[Sexo]:[Sexo]]=$B79,IF(DATOS_[[AGRUP. CLAS. PROF.]:[AGRUP. CLAS. PROF.]]=$B78,IF(DATOS_[[Check Periodo Ref.]:[Check Periodo Ref.]]="Dentro",DATOS_[Conc.Sal.13]))))),
0)</f>
        <v>0</v>
      </c>
      <c r="S79" s="170">
        <f t="array" ref="S79">IFERROR(
MEDIAN((IF(DATOS_[[Sexo]:[Sexo]]=$B79,IF(DATOS_[[AGRUP. CLAS. PROF.]:[AGRUP. CLAS. PROF.]]=$B78,IF(DATOS_[[Check Periodo Ref.]:[Check Periodo Ref.]]="Dentro",DATOS_[Conc.Sal.14]))))),
0)</f>
        <v>0</v>
      </c>
      <c r="T79" s="170">
        <f t="array" ref="T79">IFERROR(
MEDIAN((IF(DATOS_[[Sexo]:[Sexo]]=$B79,IF(DATOS_[[AGRUP. CLAS. PROF.]:[AGRUP. CLAS. PROF.]]=$B78,IF(DATOS_[[Check Periodo Ref.]:[Check Periodo Ref.]]="Dentro",DATOS_[Conc.Sal.15]))))),
0)</f>
        <v>0</v>
      </c>
      <c r="U79" s="170">
        <f t="array" ref="U79">IFERROR(
MEDIAN((IF(DATOS_[[Sexo]:[Sexo]]=$B79,IF(DATOS_[[AGRUP. CLAS. PROF.]:[AGRUP. CLAS. PROF.]]=$B78,IF(DATOS_[[Check Periodo Ref.]:[Check Periodo Ref.]]="Dentro",DATOS_[Conc.Sal.16]))))),
0)</f>
        <v>0</v>
      </c>
      <c r="V79" s="170">
        <f t="array" ref="V79">IFERROR(
MEDIAN((IF(DATOS_[[Sexo]:[Sexo]]=$B79,IF(DATOS_[[AGRUP. CLAS. PROF.]:[AGRUP. CLAS. PROF.]]=$B78,IF(DATOS_[[Check Periodo Ref.]:[Check Periodo Ref.]]="Dentro",DATOS_[Conc.Sal.17]))))),
0)</f>
        <v>0</v>
      </c>
      <c r="W79" s="170">
        <f t="array" ref="W79">IFERROR(
MEDIAN((IF(DATOS_[[Sexo]:[Sexo]]=$B79,IF(DATOS_[[AGRUP. CLAS. PROF.]:[AGRUP. CLAS. PROF.]]=$B78,IF(DATOS_[[Check Periodo Ref.]:[Check Periodo Ref.]]="Dentro",DATOS_[Conc.Sal.18]))))),
0)</f>
        <v>0</v>
      </c>
      <c r="X79" s="170">
        <f t="array" ref="X79">IFERROR(
MEDIAN((IF(DATOS_[[Sexo]:[Sexo]]=$B79,IF(DATOS_[[AGRUP. CLAS. PROF.]:[AGRUP. CLAS. PROF.]]=$B78,IF(DATOS_[[Check Periodo Ref.]:[Check Periodo Ref.]]="Dentro",DATOS_[Conc.Sal.19]))))),
0)</f>
        <v>0</v>
      </c>
      <c r="Y79" s="170">
        <f t="array" ref="Y79">IFERROR(
MEDIAN((IF(DATOS_[[Sexo]:[Sexo]]=$B79,IF(DATOS_[[AGRUP. CLAS. PROF.]:[AGRUP. CLAS. PROF.]]=$B78,IF(DATOS_[[Check Periodo Ref.]:[Check Periodo Ref.]]="Dentro",DATOS_[Conc.Sal.20]))))),
0)</f>
        <v>0</v>
      </c>
      <c r="Z79" s="170">
        <f t="array" ref="Z79">IFERROR(
MEDIAN((IF(DATOS_[[Sexo]:[Sexo]]=$B79,IF(DATOS_[[AGRUP. CLAS. PROF.]:[AGRUP. CLAS. PROF.]]=$B78,IF(DATOS_[[Check Periodo Ref.]:[Check Periodo Ref.]]="Dentro",DATOS_[Conc.Sal.21]))))),
0)</f>
        <v>0</v>
      </c>
      <c r="AA79" s="170">
        <f t="array" ref="AA79">IFERROR(
MEDIAN((IF(DATOS_[[Sexo]:[Sexo]]=$B79,IF(DATOS_[[AGRUP. CLAS. PROF.]:[AGRUP. CLAS. PROF.]]=$B78,IF(DATOS_[[Check Periodo Ref.]:[Check Periodo Ref.]]="Dentro",DATOS_[Conc.Sal.22]))))),
0)</f>
        <v>0</v>
      </c>
      <c r="AB79" s="170">
        <f t="array" ref="AB79">IFERROR(
MEDIAN((IF(DATOS_[[Sexo]:[Sexo]]=$B79,IF(DATOS_[[AGRUP. CLAS. PROF.]:[AGRUP. CLAS. PROF.]]=$B78,IF(DATOS_[[Check Periodo Ref.]:[Check Periodo Ref.]]="Dentro",DATOS_[Conc.Sal.23]))))),
0)</f>
        <v>0</v>
      </c>
      <c r="AC79" s="170">
        <f t="array" ref="AC79">IFERROR(
MEDIAN((IF(DATOS_[[Sexo]:[Sexo]]=$B79,IF(DATOS_[[AGRUP. CLAS. PROF.]:[AGRUP. CLAS. PROF.]]=$B78,IF(DATOS_[[Check Periodo Ref.]:[Check Periodo Ref.]]="Dentro",DATOS_[Conc.Sal.24]))))),
0)</f>
        <v>0</v>
      </c>
      <c r="AD79" s="170">
        <f t="array" ref="AD79">IFERROR(
MEDIAN((IF(DATOS_[[Sexo]:[Sexo]]=$B79,IF(DATOS_[[AGRUP. CLAS. PROF.]:[AGRUP. CLAS. PROF.]]=$B78,IF(DATOS_[[Check Periodo Ref.]:[Check Periodo Ref.]]="Dentro",DATOS_[Conc.Sal.25]))))),
0)</f>
        <v>0</v>
      </c>
      <c r="AE79" s="170">
        <f t="array" ref="AE79">IFERROR(
MEDIAN((IF(DATOS_[[Sexo]:[Sexo]]=$B79,IF(DATOS_[[AGRUP. CLAS. PROF.]:[AGRUP. CLAS. PROF.]]=$B78,IF(DATOS_[[Check Periodo Ref.]:[Check Periodo Ref.]]="Dentro",DATOS_[Conc.Sal.26]))))),
0)</f>
        <v>0</v>
      </c>
      <c r="AF79" s="170">
        <f t="array" ref="AF79">IFERROR(
MEDIAN((IF(DATOS_[[Sexo]:[Sexo]]=$B79,IF(DATOS_[[AGRUP. CLAS. PROF.]:[AGRUP. CLAS. PROF.]]=$B78,IF(DATOS_[[Check Periodo Ref.]:[Check Periodo Ref.]]="Dentro",DATOS_[Conc.Sal.27]))))),
0)</f>
        <v>0</v>
      </c>
      <c r="AG79" s="170">
        <f t="array" ref="AG79">IFERROR(
MEDIAN((IF(DATOS_[[Sexo]:[Sexo]]=$B79,IF(DATOS_[[AGRUP. CLAS. PROF.]:[AGRUP. CLAS. PROF.]]=$B78,IF(DATOS_[[Check Periodo Ref.]:[Check Periodo Ref.]]="Dentro",DATOS_[Conc.Sal.28]))))),
0)</f>
        <v>0</v>
      </c>
      <c r="AH79" s="170">
        <f t="array" ref="AH79">IFERROR(
MEDIAN((IF(DATOS_[[Sexo]:[Sexo]]=$B79,IF(DATOS_[[AGRUP. CLAS. PROF.]:[AGRUP. CLAS. PROF.]]=$B78,IF(DATOS_[[Check Periodo Ref.]:[Check Periodo Ref.]]="Dentro",DATOS_[Conc.Sal.29]))))),
0)</f>
        <v>0</v>
      </c>
      <c r="AI79" s="170">
        <f t="array" ref="AI79">IFERROR(
MEDIAN((IF(DATOS_[[Sexo]:[Sexo]]=$B79,IF(DATOS_[[AGRUP. CLAS. PROF.]:[AGRUP. CLAS. PROF.]]=$B78,IF(DATOS_[[Check Periodo Ref.]:[Check Periodo Ref.]]="Dentro",DATOS_[Conc.Sal.30]))))),
0)</f>
        <v>0</v>
      </c>
      <c r="AJ79" s="171">
        <f t="array" ref="AJ79">IFERROR(
MEDIAN(IF(DATOS_[Sexo]=$B79,IF(DATOS_[AGRUP. CLAS. PROF.]=$B78,IF(DATOS_[Check Periodo Ref.]="Dentro",DATOS_[Tot COMPL.SAL Ef],FALSE)))),
0)</f>
        <v>0</v>
      </c>
      <c r="AK79" s="172">
        <f t="array" ref="AK79">IFERROR(
MEDIAN(IF(DATOS_[Sexo]=$B79,IF(DATOS_[AGRUP. CLAS. PROF.]=$B78,IF(DATOS_[Check Periodo Ref.]="Dentro",DATOS_[TOTAL SALARIO Ef],FALSE)))),
0)</f>
        <v>0</v>
      </c>
      <c r="AL79" s="173">
        <f t="array" ref="AL79">IFERROR(
MEDIAN((IF(DATOS_[[Sexo]:[Sexo]]=$B79,IF(DATOS_[[AGRUP. CLAS. PROF.]:[AGRUP. CLAS. PROF.]]=$B78,IF(DATOS_[[Check Periodo Ref.]:[Check Periodo Ref.]]="Dentro",DATOS_[C.Extra.01]))))),
0)</f>
        <v>0</v>
      </c>
      <c r="AM79" s="173">
        <f t="array" ref="AM79">IFERROR(
MEDIAN((IF(DATOS_[[Sexo]:[Sexo]]=$B79,IF(DATOS_[[AGRUP. CLAS. PROF.]:[AGRUP. CLAS. PROF.]]=$B78,IF(DATOS_[[Check Periodo Ref.]:[Check Periodo Ref.]]="Dentro",DATOS_[C.Extra.06]))))),
0)</f>
        <v>0</v>
      </c>
      <c r="AN79" s="173">
        <f t="array" ref="AN79">IFERROR(
MEDIAN((IF(DATOS_[[Sexo]:[Sexo]]=$B79,IF(DATOS_[[AGRUP. CLAS. PROF.]:[AGRUP. CLAS. PROF.]]=$B78,IF(DATOS_[[Check Periodo Ref.]:[Check Periodo Ref.]]="Dentro",DATOS_[C.Extra.07]))))),
0)</f>
        <v>0</v>
      </c>
      <c r="AO79" s="173">
        <f t="array" ref="AO79">IFERROR(
MEDIAN((IF(DATOS_[[Sexo]:[Sexo]]=$B79,IF(DATOS_[[AGRUP. CLAS. PROF.]:[AGRUP. CLAS. PROF.]]=$B78,IF(DATOS_[[Check Periodo Ref.]:[Check Periodo Ref.]]="Dentro",DATOS_[C.Extra.08]))))),
0)</f>
        <v>0</v>
      </c>
      <c r="AP79" s="173">
        <f t="array" ref="AP79">IFERROR(
MEDIAN((IF(DATOS_[[Sexo]:[Sexo]]=$B79,IF(DATOS_[[AGRUP. CLAS. PROF.]:[AGRUP. CLAS. PROF.]]=$B78,IF(DATOS_[[Check Periodo Ref.]:[Check Periodo Ref.]]="Dentro",DATOS_[C.Extra.11]))))),
0)</f>
        <v>0</v>
      </c>
      <c r="AQ79" s="174">
        <f t="array" ref="AQ79">IFERROR(
MEDIAN(IF(DATOS_[Sexo]=$B79,IF(DATOS_[AGRUP. CLAS. PROF.]=$B78,IF(DATOS_[Check Periodo Ref.]="Dentro",DATOS_[Tot Extrasalarial Ef],FALSE)))),
0)</f>
        <v>0</v>
      </c>
      <c r="AR79" s="171">
        <f t="array" ref="AR79">IFERROR(
MEDIAN(IF(DATOS_[Sexo]=$B79,IF(DATOS_[AGRUP. CLAS. PROF.]=$B78,IF(DATOS_[Check Periodo Ref.]="Dentro",DATOS_[TOTAL Retrib Ef],FALSE)))),
0)</f>
        <v>0</v>
      </c>
    </row>
    <row r="80" spans="1:44" hidden="1" x14ac:dyDescent="0.25">
      <c r="A80" s="178" t="str">
        <f t="shared" ref="A80" si="90">+A79</f>
        <v>[ocultar]</v>
      </c>
      <c r="B80" s="166" t="s">
        <v>521</v>
      </c>
      <c r="C80" s="167">
        <f t="array" ref="C80">SUM(IF($B80=DATOS_[Sexo],
IF($B78=DATOS_[AGRUP. CLAS. PROF.],
IF("Dentro"=DATOS_[Check Periodo Ref.],
1/(COUNTIFS(DATOS_[Sexo],$B80,DATOS_[AGRUP. CLAS. PROF.],$B78,DATOS_[Check Periodo Ref.],"Dentro",DATOS_[id/cod],DATOS_[id/cod]))))))</f>
        <v>0</v>
      </c>
      <c r="D80" s="168">
        <f>COUNTIFS(DATOS_[AGRUP. CLAS. PROF.],$B78,DATOS_[Sexo],$B80,DATOS_[Check Periodo Ref.],"Dentro")</f>
        <v>0</v>
      </c>
      <c r="E80" s="169">
        <f t="array" ref="E80">IFERROR(
MEDIAN(IF(DATOS_[Sexo]=$B80,IF(DATOS_[AGRUP. CLAS. PROF.]=$B78,IF(DATOS_[Check Periodo Ref.]="Dentro",DATOS_[SALARIO BASE Ef],FALSE)))),
0)</f>
        <v>0</v>
      </c>
      <c r="F80" s="170">
        <f t="array" ref="F80">IFERROR(
MEDIAN((IF(DATOS_[[Sexo]:[Sexo]]=$B80,IF(DATOS_[[AGRUP. CLAS. PROF.]:[AGRUP. CLAS. PROF.]]=$B78,IF(DATOS_[[Check Periodo Ref.]:[Check Periodo Ref.]]="Dentro",DATOS_[Conc.Sal.01]))))),
0)</f>
        <v>0</v>
      </c>
      <c r="G80" s="170">
        <f t="array" ref="G80">IFERROR(
MEDIAN((IF(DATOS_[[Sexo]:[Sexo]]=$B80,IF(DATOS_[[AGRUP. CLAS. PROF.]:[AGRUP. CLAS. PROF.]]=$B78,IF(DATOS_[[Check Periodo Ref.]:[Check Periodo Ref.]]="Dentro",DATOS_[Conc.Sal.02]))))),
0)</f>
        <v>0</v>
      </c>
      <c r="H80" s="170">
        <f t="array" ref="H80">IFERROR(
MEDIAN((IF(DATOS_[[Sexo]:[Sexo]]=$B80,IF(DATOS_[[AGRUP. CLAS. PROF.]:[AGRUP. CLAS. PROF.]]=$B78,IF(DATOS_[[Check Periodo Ref.]:[Check Periodo Ref.]]="Dentro",DATOS_[Conc.Sal.03]))))),
0)</f>
        <v>0</v>
      </c>
      <c r="I80" s="170">
        <f t="array" ref="I80">IFERROR(
MEDIAN((IF(DATOS_[[Sexo]:[Sexo]]=$B80,IF(DATOS_[[AGRUP. CLAS. PROF.]:[AGRUP. CLAS. PROF.]]=$B78,IF(DATOS_[[Check Periodo Ref.]:[Check Periodo Ref.]]="Dentro",DATOS_[Conc.Sal.04]))))),
0)</f>
        <v>0</v>
      </c>
      <c r="J80" s="170">
        <f t="array" ref="J80">IFERROR(
MEDIAN((IF(DATOS_[[Sexo]:[Sexo]]=$B80,IF(DATOS_[[AGRUP. CLAS. PROF.]:[AGRUP. CLAS. PROF.]]=$B78,IF(DATOS_[[Check Periodo Ref.]:[Check Periodo Ref.]]="Dentro",DATOS_[Conc.Sal.05]))))),
0)</f>
        <v>0</v>
      </c>
      <c r="K80" s="170">
        <f t="array" ref="K80">IFERROR(
MEDIAN((IF(DATOS_[[Sexo]:[Sexo]]=$B80,IF(DATOS_[[AGRUP. CLAS. PROF.]:[AGRUP. CLAS. PROF.]]=$B78,IF(DATOS_[[Check Periodo Ref.]:[Check Periodo Ref.]]="Dentro",DATOS_[Conc.Sal.06]))))),
0)</f>
        <v>0</v>
      </c>
      <c r="L80" s="170">
        <f t="array" ref="L80">IFERROR(
MEDIAN((IF(DATOS_[[Sexo]:[Sexo]]=$B80,IF(DATOS_[[AGRUP. CLAS. PROF.]:[AGRUP. CLAS. PROF.]]=$B78,IF(DATOS_[[Check Periodo Ref.]:[Check Periodo Ref.]]="Dentro",DATOS_[Conc.Sal.07]))))),
0)</f>
        <v>0</v>
      </c>
      <c r="M80" s="170">
        <f t="array" ref="M80">IFERROR(
MEDIAN((IF(DATOS_[[Sexo]:[Sexo]]=$B80,IF(DATOS_[[AGRUP. CLAS. PROF.]:[AGRUP. CLAS. PROF.]]=$B78,IF(DATOS_[[Check Periodo Ref.]:[Check Periodo Ref.]]="Dentro",DATOS_[Conc.Sal.08]))))),
0)</f>
        <v>0</v>
      </c>
      <c r="N80" s="170">
        <f t="array" ref="N80">IFERROR(
MEDIAN((IF(DATOS_[[Sexo]:[Sexo]]=$B80,IF(DATOS_[[AGRUP. CLAS. PROF.]:[AGRUP. CLAS. PROF.]]=$B78,IF(DATOS_[[Check Periodo Ref.]:[Check Periodo Ref.]]="Dentro",DATOS_[Conc.Sal.09]))))),
0)</f>
        <v>0</v>
      </c>
      <c r="O80" s="170">
        <f t="array" ref="O80">IFERROR(
MEDIAN((IF(DATOS_[[Sexo]:[Sexo]]=$B80,IF(DATOS_[[AGRUP. CLAS. PROF.]:[AGRUP. CLAS. PROF.]]=$B78,IF(DATOS_[[Check Periodo Ref.]:[Check Periodo Ref.]]="Dentro",DATOS_[Conc.Sal.10]))))),
0)</f>
        <v>0</v>
      </c>
      <c r="P80" s="170">
        <f t="array" ref="P80">IFERROR(
MEDIAN((IF(DATOS_[[Sexo]:[Sexo]]=$B80,IF(DATOS_[[AGRUP. CLAS. PROF.]:[AGRUP. CLAS. PROF.]]=$B78,IF(DATOS_[[Check Periodo Ref.]:[Check Periodo Ref.]]="Dentro",DATOS_[Conc.Sal.11]))))),
0)</f>
        <v>0</v>
      </c>
      <c r="Q80" s="170">
        <f t="array" ref="Q80">IFERROR(
MEDIAN((IF(DATOS_[[Sexo]:[Sexo]]=$B80,IF(DATOS_[[AGRUP. CLAS. PROF.]:[AGRUP. CLAS. PROF.]]=$B78,IF(DATOS_[[Check Periodo Ref.]:[Check Periodo Ref.]]="Dentro",DATOS_[Conc.Sal.12]))))),
0)</f>
        <v>0</v>
      </c>
      <c r="R80" s="170">
        <f t="array" ref="R80">IFERROR(
MEDIAN((IF(DATOS_[[Sexo]:[Sexo]]=$B80,IF(DATOS_[[AGRUP. CLAS. PROF.]:[AGRUP. CLAS. PROF.]]=$B78,IF(DATOS_[[Check Periodo Ref.]:[Check Periodo Ref.]]="Dentro",DATOS_[Conc.Sal.13]))))),
0)</f>
        <v>0</v>
      </c>
      <c r="S80" s="170">
        <f t="array" ref="S80">IFERROR(
MEDIAN((IF(DATOS_[[Sexo]:[Sexo]]=$B80,IF(DATOS_[[AGRUP. CLAS. PROF.]:[AGRUP. CLAS. PROF.]]=$B78,IF(DATOS_[[Check Periodo Ref.]:[Check Periodo Ref.]]="Dentro",DATOS_[Conc.Sal.14]))))),
0)</f>
        <v>0</v>
      </c>
      <c r="T80" s="170">
        <f t="array" ref="T80">IFERROR(
MEDIAN((IF(DATOS_[[Sexo]:[Sexo]]=$B80,IF(DATOS_[[AGRUP. CLAS. PROF.]:[AGRUP. CLAS. PROF.]]=$B78,IF(DATOS_[[Check Periodo Ref.]:[Check Periodo Ref.]]="Dentro",DATOS_[Conc.Sal.15]))))),
0)</f>
        <v>0</v>
      </c>
      <c r="U80" s="170">
        <f t="array" ref="U80">IFERROR(
MEDIAN((IF(DATOS_[[Sexo]:[Sexo]]=$B80,IF(DATOS_[[AGRUP. CLAS. PROF.]:[AGRUP. CLAS. PROF.]]=$B78,IF(DATOS_[[Check Periodo Ref.]:[Check Periodo Ref.]]="Dentro",DATOS_[Conc.Sal.16]))))),
0)</f>
        <v>0</v>
      </c>
      <c r="V80" s="170">
        <f t="array" ref="V80">IFERROR(
MEDIAN((IF(DATOS_[[Sexo]:[Sexo]]=$B80,IF(DATOS_[[AGRUP. CLAS. PROF.]:[AGRUP. CLAS. PROF.]]=$B78,IF(DATOS_[[Check Periodo Ref.]:[Check Periodo Ref.]]="Dentro",DATOS_[Conc.Sal.17]))))),
0)</f>
        <v>0</v>
      </c>
      <c r="W80" s="170">
        <f t="array" ref="W80">IFERROR(
MEDIAN((IF(DATOS_[[Sexo]:[Sexo]]=$B80,IF(DATOS_[[AGRUP. CLAS. PROF.]:[AGRUP. CLAS. PROF.]]=$B78,IF(DATOS_[[Check Periodo Ref.]:[Check Periodo Ref.]]="Dentro",DATOS_[Conc.Sal.18]))))),
0)</f>
        <v>0</v>
      </c>
      <c r="X80" s="170">
        <f t="array" ref="X80">IFERROR(
MEDIAN((IF(DATOS_[[Sexo]:[Sexo]]=$B80,IF(DATOS_[[AGRUP. CLAS. PROF.]:[AGRUP. CLAS. PROF.]]=$B78,IF(DATOS_[[Check Periodo Ref.]:[Check Periodo Ref.]]="Dentro",DATOS_[Conc.Sal.19]))))),
0)</f>
        <v>0</v>
      </c>
      <c r="Y80" s="170">
        <f t="array" ref="Y80">IFERROR(
MEDIAN((IF(DATOS_[[Sexo]:[Sexo]]=$B80,IF(DATOS_[[AGRUP. CLAS. PROF.]:[AGRUP. CLAS. PROF.]]=$B78,IF(DATOS_[[Check Periodo Ref.]:[Check Periodo Ref.]]="Dentro",DATOS_[Conc.Sal.20]))))),
0)</f>
        <v>0</v>
      </c>
      <c r="Z80" s="170">
        <f t="array" ref="Z80">IFERROR(
MEDIAN((IF(DATOS_[[Sexo]:[Sexo]]=$B80,IF(DATOS_[[AGRUP. CLAS. PROF.]:[AGRUP. CLAS. PROF.]]=$B78,IF(DATOS_[[Check Periodo Ref.]:[Check Periodo Ref.]]="Dentro",DATOS_[Conc.Sal.21]))))),
0)</f>
        <v>0</v>
      </c>
      <c r="AA80" s="170">
        <f t="array" ref="AA80">IFERROR(
MEDIAN((IF(DATOS_[[Sexo]:[Sexo]]=$B80,IF(DATOS_[[AGRUP. CLAS. PROF.]:[AGRUP. CLAS. PROF.]]=$B78,IF(DATOS_[[Check Periodo Ref.]:[Check Periodo Ref.]]="Dentro",DATOS_[Conc.Sal.22]))))),
0)</f>
        <v>0</v>
      </c>
      <c r="AB80" s="170">
        <f t="array" ref="AB80">IFERROR(
MEDIAN((IF(DATOS_[[Sexo]:[Sexo]]=$B80,IF(DATOS_[[AGRUP. CLAS. PROF.]:[AGRUP. CLAS. PROF.]]=$B78,IF(DATOS_[[Check Periodo Ref.]:[Check Periodo Ref.]]="Dentro",DATOS_[Conc.Sal.23]))))),
0)</f>
        <v>0</v>
      </c>
      <c r="AC80" s="170">
        <f t="array" ref="AC80">IFERROR(
MEDIAN((IF(DATOS_[[Sexo]:[Sexo]]=$B80,IF(DATOS_[[AGRUP. CLAS. PROF.]:[AGRUP. CLAS. PROF.]]=$B78,IF(DATOS_[[Check Periodo Ref.]:[Check Periodo Ref.]]="Dentro",DATOS_[Conc.Sal.24]))))),
0)</f>
        <v>0</v>
      </c>
      <c r="AD80" s="170">
        <f t="array" ref="AD80">IFERROR(
MEDIAN((IF(DATOS_[[Sexo]:[Sexo]]=$B80,IF(DATOS_[[AGRUP. CLAS. PROF.]:[AGRUP. CLAS. PROF.]]=$B78,IF(DATOS_[[Check Periodo Ref.]:[Check Periodo Ref.]]="Dentro",DATOS_[Conc.Sal.25]))))),
0)</f>
        <v>0</v>
      </c>
      <c r="AE80" s="170">
        <f t="array" ref="AE80">IFERROR(
MEDIAN((IF(DATOS_[[Sexo]:[Sexo]]=$B80,IF(DATOS_[[AGRUP. CLAS. PROF.]:[AGRUP. CLAS. PROF.]]=$B78,IF(DATOS_[[Check Periodo Ref.]:[Check Periodo Ref.]]="Dentro",DATOS_[Conc.Sal.26]))))),
0)</f>
        <v>0</v>
      </c>
      <c r="AF80" s="170">
        <f t="array" ref="AF80">IFERROR(
MEDIAN((IF(DATOS_[[Sexo]:[Sexo]]=$B80,IF(DATOS_[[AGRUP. CLAS. PROF.]:[AGRUP. CLAS. PROF.]]=$B78,IF(DATOS_[[Check Periodo Ref.]:[Check Periodo Ref.]]="Dentro",DATOS_[Conc.Sal.27]))))),
0)</f>
        <v>0</v>
      </c>
      <c r="AG80" s="170">
        <f t="array" ref="AG80">IFERROR(
MEDIAN((IF(DATOS_[[Sexo]:[Sexo]]=$B80,IF(DATOS_[[AGRUP. CLAS. PROF.]:[AGRUP. CLAS. PROF.]]=$B78,IF(DATOS_[[Check Periodo Ref.]:[Check Periodo Ref.]]="Dentro",DATOS_[Conc.Sal.28]))))),
0)</f>
        <v>0</v>
      </c>
      <c r="AH80" s="170">
        <f t="array" ref="AH80">IFERROR(
MEDIAN((IF(DATOS_[[Sexo]:[Sexo]]=$B80,IF(DATOS_[[AGRUP. CLAS. PROF.]:[AGRUP. CLAS. PROF.]]=$B78,IF(DATOS_[[Check Periodo Ref.]:[Check Periodo Ref.]]="Dentro",DATOS_[Conc.Sal.29]))))),
0)</f>
        <v>0</v>
      </c>
      <c r="AI80" s="170">
        <f t="array" ref="AI80">IFERROR(
MEDIAN((IF(DATOS_[[Sexo]:[Sexo]]=$B80,IF(DATOS_[[AGRUP. CLAS. PROF.]:[AGRUP. CLAS. PROF.]]=$B78,IF(DATOS_[[Check Periodo Ref.]:[Check Periodo Ref.]]="Dentro",DATOS_[Conc.Sal.30]))))),
0)</f>
        <v>0</v>
      </c>
      <c r="AJ80" s="171">
        <f t="array" ref="AJ80">IFERROR(
MEDIAN(IF(DATOS_[Sexo]=$B80,IF(DATOS_[AGRUP. CLAS. PROF.]=$B78,IF(DATOS_[Check Periodo Ref.]="Dentro",DATOS_[Tot COMPL.SAL Ef],FALSE)))),
0)</f>
        <v>0</v>
      </c>
      <c r="AK80" s="172">
        <f t="array" ref="AK80">IFERROR(
MEDIAN(IF(DATOS_[Sexo]=$B80,IF(DATOS_[AGRUP. CLAS. PROF.]=$B78,IF(DATOS_[Check Periodo Ref.]="Dentro",DATOS_[TOTAL SALARIO Ef],FALSE)))),
0)</f>
        <v>0</v>
      </c>
      <c r="AL80" s="173">
        <f t="array" ref="AL80">IFERROR(
MEDIAN((IF(DATOS_[[Sexo]:[Sexo]]=$B80,IF(DATOS_[[AGRUP. CLAS. PROF.]:[AGRUP. CLAS. PROF.]]=$B78,IF(DATOS_[[Check Periodo Ref.]:[Check Periodo Ref.]]="Dentro",DATOS_[C.Extra.01]))))),
0)</f>
        <v>0</v>
      </c>
      <c r="AM80" s="173">
        <f t="array" ref="AM80">IFERROR(
MEDIAN((IF(DATOS_[[Sexo]:[Sexo]]=$B80,IF(DATOS_[[AGRUP. CLAS. PROF.]:[AGRUP. CLAS. PROF.]]=$B78,IF(DATOS_[[Check Periodo Ref.]:[Check Periodo Ref.]]="Dentro",DATOS_[C.Extra.06]))))),
0)</f>
        <v>0</v>
      </c>
      <c r="AN80" s="173">
        <f t="array" ref="AN80">IFERROR(
MEDIAN((IF(DATOS_[[Sexo]:[Sexo]]=$B80,IF(DATOS_[[AGRUP. CLAS. PROF.]:[AGRUP. CLAS. PROF.]]=$B78,IF(DATOS_[[Check Periodo Ref.]:[Check Periodo Ref.]]="Dentro",DATOS_[C.Extra.07]))))),
0)</f>
        <v>0</v>
      </c>
      <c r="AO80" s="173">
        <f t="array" ref="AO80">IFERROR(
MEDIAN((IF(DATOS_[[Sexo]:[Sexo]]=$B80,IF(DATOS_[[AGRUP. CLAS. PROF.]:[AGRUP. CLAS. PROF.]]=$B78,IF(DATOS_[[Check Periodo Ref.]:[Check Periodo Ref.]]="Dentro",DATOS_[C.Extra.08]))))),
0)</f>
        <v>0</v>
      </c>
      <c r="AP80" s="173">
        <f t="array" ref="AP80">IFERROR(
MEDIAN((IF(DATOS_[[Sexo]:[Sexo]]=$B80,IF(DATOS_[[AGRUP. CLAS. PROF.]:[AGRUP. CLAS. PROF.]]=$B78,IF(DATOS_[[Check Periodo Ref.]:[Check Periodo Ref.]]="Dentro",DATOS_[C.Extra.11]))))),
0)</f>
        <v>0</v>
      </c>
      <c r="AQ80" s="174">
        <f t="array" ref="AQ80">IFERROR(
MEDIAN(IF(DATOS_[Sexo]=$B80,IF(DATOS_[AGRUP. CLAS. PROF.]=$B78,IF(DATOS_[Check Periodo Ref.]="Dentro",DATOS_[Tot Extrasalarial Ef],FALSE)))),
0)</f>
        <v>0</v>
      </c>
      <c r="AR80" s="171">
        <f t="array" ref="AR80">IFERROR(
MEDIAN(IF(DATOS_[Sexo]=$B80,IF(DATOS_[AGRUP. CLAS. PROF.]=$B78,IF(DATOS_[Check Periodo Ref.]="Dentro",DATOS_[TOTAL Retrib Ef],FALSE)))),
0)</f>
        <v>0</v>
      </c>
    </row>
    <row r="81" spans="1:44" ht="14.4" hidden="1" thickBot="1" x14ac:dyDescent="0.3">
      <c r="A81" s="178" t="str">
        <f t="shared" ref="A81" si="91">+A82</f>
        <v>[ocultar]</v>
      </c>
      <c r="B81" s="153" t="s">
        <v>268</v>
      </c>
      <c r="C81" s="154"/>
      <c r="D81" s="155"/>
      <c r="E81" s="156" t="str">
        <f t="shared" ref="E81:AR81" si="92">IFERROR((E82-E83)/E82,"")</f>
        <v/>
      </c>
      <c r="F81" s="157" t="str">
        <f t="shared" si="92"/>
        <v/>
      </c>
      <c r="G81" s="158" t="str">
        <f t="shared" si="92"/>
        <v/>
      </c>
      <c r="H81" s="158" t="str">
        <f t="shared" si="92"/>
        <v/>
      </c>
      <c r="I81" s="158" t="str">
        <f t="shared" si="92"/>
        <v/>
      </c>
      <c r="J81" s="159" t="str">
        <f t="shared" si="92"/>
        <v/>
      </c>
      <c r="K81" s="160" t="str">
        <f t="shared" si="92"/>
        <v/>
      </c>
      <c r="L81" s="160" t="str">
        <f t="shared" si="92"/>
        <v/>
      </c>
      <c r="M81" s="160" t="str">
        <f t="shared" si="92"/>
        <v/>
      </c>
      <c r="N81" s="160" t="str">
        <f t="shared" si="92"/>
        <v/>
      </c>
      <c r="O81" s="160" t="str">
        <f t="shared" si="92"/>
        <v/>
      </c>
      <c r="P81" s="160" t="str">
        <f t="shared" si="92"/>
        <v/>
      </c>
      <c r="Q81" s="160" t="str">
        <f t="shared" si="92"/>
        <v/>
      </c>
      <c r="R81" s="160" t="str">
        <f t="shared" si="92"/>
        <v/>
      </c>
      <c r="S81" s="160" t="str">
        <f t="shared" si="92"/>
        <v/>
      </c>
      <c r="T81" s="160" t="str">
        <f t="shared" si="92"/>
        <v/>
      </c>
      <c r="U81" s="160" t="str">
        <f t="shared" si="92"/>
        <v/>
      </c>
      <c r="V81" s="159" t="str">
        <f t="shared" si="92"/>
        <v/>
      </c>
      <c r="W81" s="159" t="str">
        <f t="shared" si="92"/>
        <v/>
      </c>
      <c r="X81" s="159" t="str">
        <f t="shared" si="92"/>
        <v/>
      </c>
      <c r="Y81" s="159" t="str">
        <f t="shared" si="92"/>
        <v/>
      </c>
      <c r="Z81" s="159" t="str">
        <f t="shared" si="92"/>
        <v/>
      </c>
      <c r="AA81" s="159" t="str">
        <f t="shared" si="92"/>
        <v/>
      </c>
      <c r="AB81" s="159" t="str">
        <f t="shared" si="92"/>
        <v/>
      </c>
      <c r="AC81" s="159" t="str">
        <f t="shared" si="92"/>
        <v/>
      </c>
      <c r="AD81" s="159" t="str">
        <f t="shared" si="92"/>
        <v/>
      </c>
      <c r="AE81" s="159" t="str">
        <f t="shared" si="92"/>
        <v/>
      </c>
      <c r="AF81" s="159" t="str">
        <f t="shared" si="92"/>
        <v/>
      </c>
      <c r="AG81" s="159" t="str">
        <f t="shared" si="92"/>
        <v/>
      </c>
      <c r="AH81" s="159" t="str">
        <f t="shared" si="92"/>
        <v/>
      </c>
      <c r="AI81" s="159" t="str">
        <f t="shared" si="92"/>
        <v/>
      </c>
      <c r="AJ81" s="161" t="str">
        <f t="shared" si="92"/>
        <v/>
      </c>
      <c r="AK81" s="162" t="str">
        <f t="shared" si="92"/>
        <v/>
      </c>
      <c r="AL81" s="163" t="str">
        <f t="shared" si="92"/>
        <v/>
      </c>
      <c r="AM81" s="163" t="str">
        <f t="shared" si="92"/>
        <v/>
      </c>
      <c r="AN81" s="163" t="str">
        <f t="shared" si="92"/>
        <v/>
      </c>
      <c r="AO81" s="163" t="str">
        <f t="shared" si="92"/>
        <v/>
      </c>
      <c r="AP81" s="163" t="str">
        <f t="shared" si="92"/>
        <v/>
      </c>
      <c r="AQ81" s="164" t="str">
        <f t="shared" si="92"/>
        <v/>
      </c>
      <c r="AR81" s="161" t="str">
        <f t="shared" si="92"/>
        <v/>
      </c>
    </row>
    <row r="82" spans="1:44" hidden="1" x14ac:dyDescent="0.25">
      <c r="A82" s="178" t="str">
        <f t="shared" ref="A82" si="93">+IF(C82+C83=0,"[ocultar]","")</f>
        <v>[ocultar]</v>
      </c>
      <c r="B82" s="166" t="s">
        <v>394</v>
      </c>
      <c r="C82" s="167">
        <f t="array" ref="C82">SUM(IF($B82=DATOS_[Sexo],
IF($B81=DATOS_[AGRUP. CLAS. PROF.],
IF("Dentro"=DATOS_[Check Periodo Ref.],
1/(COUNTIFS(DATOS_[Sexo],$B82,DATOS_[AGRUP. CLAS. PROF.],$B81,DATOS_[Check Periodo Ref.],"Dentro",DATOS_[id/cod],DATOS_[id/cod]))))))</f>
        <v>0</v>
      </c>
      <c r="D82" s="168">
        <f>COUNTIFS(DATOS_[AGRUP. CLAS. PROF.],$B81,DATOS_[Sexo],$B82,DATOS_[Check Periodo Ref.],"Dentro")</f>
        <v>0</v>
      </c>
      <c r="E82" s="169">
        <f t="array" ref="E82">IFERROR(
MEDIAN(IF(DATOS_[Sexo]=$B82,IF(DATOS_[AGRUP. CLAS. PROF.]=$B81,IF(DATOS_[Check Periodo Ref.]="Dentro",DATOS_[SALARIO BASE Ef],FALSE)))),
0)</f>
        <v>0</v>
      </c>
      <c r="F82" s="170">
        <f t="array" ref="F82">IFERROR(
MEDIAN((IF(DATOS_[[Sexo]:[Sexo]]=$B82,IF(DATOS_[[AGRUP. CLAS. PROF.]:[AGRUP. CLAS. PROF.]]=$B81,IF(DATOS_[[Check Periodo Ref.]:[Check Periodo Ref.]]="Dentro",DATOS_[Conc.Sal.01]))))),
0)</f>
        <v>0</v>
      </c>
      <c r="G82" s="170">
        <f t="array" ref="G82">IFERROR(
MEDIAN((IF(DATOS_[[Sexo]:[Sexo]]=$B82,IF(DATOS_[[AGRUP. CLAS. PROF.]:[AGRUP. CLAS. PROF.]]=$B81,IF(DATOS_[[Check Periodo Ref.]:[Check Periodo Ref.]]="Dentro",DATOS_[Conc.Sal.02]))))),
0)</f>
        <v>0</v>
      </c>
      <c r="H82" s="170">
        <f t="array" ref="H82">IFERROR(
MEDIAN((IF(DATOS_[[Sexo]:[Sexo]]=$B82,IF(DATOS_[[AGRUP. CLAS. PROF.]:[AGRUP. CLAS. PROF.]]=$B81,IF(DATOS_[[Check Periodo Ref.]:[Check Periodo Ref.]]="Dentro",DATOS_[Conc.Sal.03]))))),
0)</f>
        <v>0</v>
      </c>
      <c r="I82" s="170">
        <f t="array" ref="I82">IFERROR(
MEDIAN((IF(DATOS_[[Sexo]:[Sexo]]=$B82,IF(DATOS_[[AGRUP. CLAS. PROF.]:[AGRUP. CLAS. PROF.]]=$B81,IF(DATOS_[[Check Periodo Ref.]:[Check Periodo Ref.]]="Dentro",DATOS_[Conc.Sal.04]))))),
0)</f>
        <v>0</v>
      </c>
      <c r="J82" s="170">
        <f t="array" ref="J82">IFERROR(
MEDIAN((IF(DATOS_[[Sexo]:[Sexo]]=$B82,IF(DATOS_[[AGRUP. CLAS. PROF.]:[AGRUP. CLAS. PROF.]]=$B81,IF(DATOS_[[Check Periodo Ref.]:[Check Periodo Ref.]]="Dentro",DATOS_[Conc.Sal.05]))))),
0)</f>
        <v>0</v>
      </c>
      <c r="K82" s="170">
        <f t="array" ref="K82">IFERROR(
MEDIAN((IF(DATOS_[[Sexo]:[Sexo]]=$B82,IF(DATOS_[[AGRUP. CLAS. PROF.]:[AGRUP. CLAS. PROF.]]=$B81,IF(DATOS_[[Check Periodo Ref.]:[Check Periodo Ref.]]="Dentro",DATOS_[Conc.Sal.06]))))),
0)</f>
        <v>0</v>
      </c>
      <c r="L82" s="170">
        <f t="array" ref="L82">IFERROR(
MEDIAN((IF(DATOS_[[Sexo]:[Sexo]]=$B82,IF(DATOS_[[AGRUP. CLAS. PROF.]:[AGRUP. CLAS. PROF.]]=$B81,IF(DATOS_[[Check Periodo Ref.]:[Check Periodo Ref.]]="Dentro",DATOS_[Conc.Sal.07]))))),
0)</f>
        <v>0</v>
      </c>
      <c r="M82" s="170">
        <f t="array" ref="M82">IFERROR(
MEDIAN((IF(DATOS_[[Sexo]:[Sexo]]=$B82,IF(DATOS_[[AGRUP. CLAS. PROF.]:[AGRUP. CLAS. PROF.]]=$B81,IF(DATOS_[[Check Periodo Ref.]:[Check Periodo Ref.]]="Dentro",DATOS_[Conc.Sal.08]))))),
0)</f>
        <v>0</v>
      </c>
      <c r="N82" s="170">
        <f t="array" ref="N82">IFERROR(
MEDIAN((IF(DATOS_[[Sexo]:[Sexo]]=$B82,IF(DATOS_[[AGRUP. CLAS. PROF.]:[AGRUP. CLAS. PROF.]]=$B81,IF(DATOS_[[Check Periodo Ref.]:[Check Periodo Ref.]]="Dentro",DATOS_[Conc.Sal.09]))))),
0)</f>
        <v>0</v>
      </c>
      <c r="O82" s="170">
        <f t="array" ref="O82">IFERROR(
MEDIAN((IF(DATOS_[[Sexo]:[Sexo]]=$B82,IF(DATOS_[[AGRUP. CLAS. PROF.]:[AGRUP. CLAS. PROF.]]=$B81,IF(DATOS_[[Check Periodo Ref.]:[Check Periodo Ref.]]="Dentro",DATOS_[Conc.Sal.10]))))),
0)</f>
        <v>0</v>
      </c>
      <c r="P82" s="170">
        <f t="array" ref="P82">IFERROR(
MEDIAN((IF(DATOS_[[Sexo]:[Sexo]]=$B82,IF(DATOS_[[AGRUP. CLAS. PROF.]:[AGRUP. CLAS. PROF.]]=$B81,IF(DATOS_[[Check Periodo Ref.]:[Check Periodo Ref.]]="Dentro",DATOS_[Conc.Sal.11]))))),
0)</f>
        <v>0</v>
      </c>
      <c r="Q82" s="170">
        <f t="array" ref="Q82">IFERROR(
MEDIAN((IF(DATOS_[[Sexo]:[Sexo]]=$B82,IF(DATOS_[[AGRUP. CLAS. PROF.]:[AGRUP. CLAS. PROF.]]=$B81,IF(DATOS_[[Check Periodo Ref.]:[Check Periodo Ref.]]="Dentro",DATOS_[Conc.Sal.12]))))),
0)</f>
        <v>0</v>
      </c>
      <c r="R82" s="170">
        <f t="array" ref="R82">IFERROR(
MEDIAN((IF(DATOS_[[Sexo]:[Sexo]]=$B82,IF(DATOS_[[AGRUP. CLAS. PROF.]:[AGRUP. CLAS. PROF.]]=$B81,IF(DATOS_[[Check Periodo Ref.]:[Check Periodo Ref.]]="Dentro",DATOS_[Conc.Sal.13]))))),
0)</f>
        <v>0</v>
      </c>
      <c r="S82" s="170">
        <f t="array" ref="S82">IFERROR(
MEDIAN((IF(DATOS_[[Sexo]:[Sexo]]=$B82,IF(DATOS_[[AGRUP. CLAS. PROF.]:[AGRUP. CLAS. PROF.]]=$B81,IF(DATOS_[[Check Periodo Ref.]:[Check Periodo Ref.]]="Dentro",DATOS_[Conc.Sal.14]))))),
0)</f>
        <v>0</v>
      </c>
      <c r="T82" s="170">
        <f t="array" ref="T82">IFERROR(
MEDIAN((IF(DATOS_[[Sexo]:[Sexo]]=$B82,IF(DATOS_[[AGRUP. CLAS. PROF.]:[AGRUP. CLAS. PROF.]]=$B81,IF(DATOS_[[Check Periodo Ref.]:[Check Periodo Ref.]]="Dentro",DATOS_[Conc.Sal.15]))))),
0)</f>
        <v>0</v>
      </c>
      <c r="U82" s="170">
        <f t="array" ref="U82">IFERROR(
MEDIAN((IF(DATOS_[[Sexo]:[Sexo]]=$B82,IF(DATOS_[[AGRUP. CLAS. PROF.]:[AGRUP. CLAS. PROF.]]=$B81,IF(DATOS_[[Check Periodo Ref.]:[Check Periodo Ref.]]="Dentro",DATOS_[Conc.Sal.16]))))),
0)</f>
        <v>0</v>
      </c>
      <c r="V82" s="170">
        <f t="array" ref="V82">IFERROR(
MEDIAN((IF(DATOS_[[Sexo]:[Sexo]]=$B82,IF(DATOS_[[AGRUP. CLAS. PROF.]:[AGRUP. CLAS. PROF.]]=$B81,IF(DATOS_[[Check Periodo Ref.]:[Check Periodo Ref.]]="Dentro",DATOS_[Conc.Sal.17]))))),
0)</f>
        <v>0</v>
      </c>
      <c r="W82" s="170">
        <f t="array" ref="W82">IFERROR(
MEDIAN((IF(DATOS_[[Sexo]:[Sexo]]=$B82,IF(DATOS_[[AGRUP. CLAS. PROF.]:[AGRUP. CLAS. PROF.]]=$B81,IF(DATOS_[[Check Periodo Ref.]:[Check Periodo Ref.]]="Dentro",DATOS_[Conc.Sal.18]))))),
0)</f>
        <v>0</v>
      </c>
      <c r="X82" s="170">
        <f t="array" ref="X82">IFERROR(
MEDIAN((IF(DATOS_[[Sexo]:[Sexo]]=$B82,IF(DATOS_[[AGRUP. CLAS. PROF.]:[AGRUP. CLAS. PROF.]]=$B81,IF(DATOS_[[Check Periodo Ref.]:[Check Periodo Ref.]]="Dentro",DATOS_[Conc.Sal.19]))))),
0)</f>
        <v>0</v>
      </c>
      <c r="Y82" s="170">
        <f t="array" ref="Y82">IFERROR(
MEDIAN((IF(DATOS_[[Sexo]:[Sexo]]=$B82,IF(DATOS_[[AGRUP. CLAS. PROF.]:[AGRUP. CLAS. PROF.]]=$B81,IF(DATOS_[[Check Periodo Ref.]:[Check Periodo Ref.]]="Dentro",DATOS_[Conc.Sal.20]))))),
0)</f>
        <v>0</v>
      </c>
      <c r="Z82" s="170">
        <f t="array" ref="Z82">IFERROR(
MEDIAN((IF(DATOS_[[Sexo]:[Sexo]]=$B82,IF(DATOS_[[AGRUP. CLAS. PROF.]:[AGRUP. CLAS. PROF.]]=$B81,IF(DATOS_[[Check Periodo Ref.]:[Check Periodo Ref.]]="Dentro",DATOS_[Conc.Sal.21]))))),
0)</f>
        <v>0</v>
      </c>
      <c r="AA82" s="170">
        <f t="array" ref="AA82">IFERROR(
MEDIAN((IF(DATOS_[[Sexo]:[Sexo]]=$B82,IF(DATOS_[[AGRUP. CLAS. PROF.]:[AGRUP. CLAS. PROF.]]=$B81,IF(DATOS_[[Check Periodo Ref.]:[Check Periodo Ref.]]="Dentro",DATOS_[Conc.Sal.22]))))),
0)</f>
        <v>0</v>
      </c>
      <c r="AB82" s="170">
        <f t="array" ref="AB82">IFERROR(
MEDIAN((IF(DATOS_[[Sexo]:[Sexo]]=$B82,IF(DATOS_[[AGRUP. CLAS. PROF.]:[AGRUP. CLAS. PROF.]]=$B81,IF(DATOS_[[Check Periodo Ref.]:[Check Periodo Ref.]]="Dentro",DATOS_[Conc.Sal.23]))))),
0)</f>
        <v>0</v>
      </c>
      <c r="AC82" s="170">
        <f t="array" ref="AC82">IFERROR(
MEDIAN((IF(DATOS_[[Sexo]:[Sexo]]=$B82,IF(DATOS_[[AGRUP. CLAS. PROF.]:[AGRUP. CLAS. PROF.]]=$B81,IF(DATOS_[[Check Periodo Ref.]:[Check Periodo Ref.]]="Dentro",DATOS_[Conc.Sal.24]))))),
0)</f>
        <v>0</v>
      </c>
      <c r="AD82" s="170">
        <f t="array" ref="AD82">IFERROR(
MEDIAN((IF(DATOS_[[Sexo]:[Sexo]]=$B82,IF(DATOS_[[AGRUP. CLAS. PROF.]:[AGRUP. CLAS. PROF.]]=$B81,IF(DATOS_[[Check Periodo Ref.]:[Check Periodo Ref.]]="Dentro",DATOS_[Conc.Sal.25]))))),
0)</f>
        <v>0</v>
      </c>
      <c r="AE82" s="170">
        <f t="array" ref="AE82">IFERROR(
MEDIAN((IF(DATOS_[[Sexo]:[Sexo]]=$B82,IF(DATOS_[[AGRUP. CLAS. PROF.]:[AGRUP. CLAS. PROF.]]=$B81,IF(DATOS_[[Check Periodo Ref.]:[Check Periodo Ref.]]="Dentro",DATOS_[Conc.Sal.26]))))),
0)</f>
        <v>0</v>
      </c>
      <c r="AF82" s="170">
        <f t="array" ref="AF82">IFERROR(
MEDIAN((IF(DATOS_[[Sexo]:[Sexo]]=$B82,IF(DATOS_[[AGRUP. CLAS. PROF.]:[AGRUP. CLAS. PROF.]]=$B81,IF(DATOS_[[Check Periodo Ref.]:[Check Periodo Ref.]]="Dentro",DATOS_[Conc.Sal.27]))))),
0)</f>
        <v>0</v>
      </c>
      <c r="AG82" s="170">
        <f t="array" ref="AG82">IFERROR(
MEDIAN((IF(DATOS_[[Sexo]:[Sexo]]=$B82,IF(DATOS_[[AGRUP. CLAS. PROF.]:[AGRUP. CLAS. PROF.]]=$B81,IF(DATOS_[[Check Periodo Ref.]:[Check Periodo Ref.]]="Dentro",DATOS_[Conc.Sal.28]))))),
0)</f>
        <v>0</v>
      </c>
      <c r="AH82" s="170">
        <f t="array" ref="AH82">IFERROR(
MEDIAN((IF(DATOS_[[Sexo]:[Sexo]]=$B82,IF(DATOS_[[AGRUP. CLAS. PROF.]:[AGRUP. CLAS. PROF.]]=$B81,IF(DATOS_[[Check Periodo Ref.]:[Check Periodo Ref.]]="Dentro",DATOS_[Conc.Sal.29]))))),
0)</f>
        <v>0</v>
      </c>
      <c r="AI82" s="170">
        <f t="array" ref="AI82">IFERROR(
MEDIAN((IF(DATOS_[[Sexo]:[Sexo]]=$B82,IF(DATOS_[[AGRUP. CLAS. PROF.]:[AGRUP. CLAS. PROF.]]=$B81,IF(DATOS_[[Check Periodo Ref.]:[Check Periodo Ref.]]="Dentro",DATOS_[Conc.Sal.30]))))),
0)</f>
        <v>0</v>
      </c>
      <c r="AJ82" s="171">
        <f t="array" ref="AJ82">IFERROR(
MEDIAN(IF(DATOS_[Sexo]=$B82,IF(DATOS_[AGRUP. CLAS. PROF.]=$B81,IF(DATOS_[Check Periodo Ref.]="Dentro",DATOS_[Tot COMPL.SAL Ef],FALSE)))),
0)</f>
        <v>0</v>
      </c>
      <c r="AK82" s="172">
        <f t="array" ref="AK82">IFERROR(
MEDIAN(IF(DATOS_[Sexo]=$B82,IF(DATOS_[AGRUP. CLAS. PROF.]=$B81,IF(DATOS_[Check Periodo Ref.]="Dentro",DATOS_[TOTAL SALARIO Ef],FALSE)))),
0)</f>
        <v>0</v>
      </c>
      <c r="AL82" s="173">
        <f t="array" ref="AL82">IFERROR(
MEDIAN((IF(DATOS_[[Sexo]:[Sexo]]=$B82,IF(DATOS_[[AGRUP. CLAS. PROF.]:[AGRUP. CLAS. PROF.]]=$B81,IF(DATOS_[[Check Periodo Ref.]:[Check Periodo Ref.]]="Dentro",DATOS_[C.Extra.01]))))),
0)</f>
        <v>0</v>
      </c>
      <c r="AM82" s="173">
        <f t="array" ref="AM82">IFERROR(
MEDIAN((IF(DATOS_[[Sexo]:[Sexo]]=$B82,IF(DATOS_[[AGRUP. CLAS. PROF.]:[AGRUP. CLAS. PROF.]]=$B81,IF(DATOS_[[Check Periodo Ref.]:[Check Periodo Ref.]]="Dentro",DATOS_[C.Extra.06]))))),
0)</f>
        <v>0</v>
      </c>
      <c r="AN82" s="173">
        <f t="array" ref="AN82">IFERROR(
MEDIAN((IF(DATOS_[[Sexo]:[Sexo]]=$B82,IF(DATOS_[[AGRUP. CLAS. PROF.]:[AGRUP. CLAS. PROF.]]=$B81,IF(DATOS_[[Check Periodo Ref.]:[Check Periodo Ref.]]="Dentro",DATOS_[C.Extra.07]))))),
0)</f>
        <v>0</v>
      </c>
      <c r="AO82" s="173">
        <f t="array" ref="AO82">IFERROR(
MEDIAN((IF(DATOS_[[Sexo]:[Sexo]]=$B82,IF(DATOS_[[AGRUP. CLAS. PROF.]:[AGRUP. CLAS. PROF.]]=$B81,IF(DATOS_[[Check Periodo Ref.]:[Check Periodo Ref.]]="Dentro",DATOS_[C.Extra.08]))))),
0)</f>
        <v>0</v>
      </c>
      <c r="AP82" s="173">
        <f t="array" ref="AP82">IFERROR(
MEDIAN((IF(DATOS_[[Sexo]:[Sexo]]=$B82,IF(DATOS_[[AGRUP. CLAS. PROF.]:[AGRUP. CLAS. PROF.]]=$B81,IF(DATOS_[[Check Periodo Ref.]:[Check Periodo Ref.]]="Dentro",DATOS_[C.Extra.11]))))),
0)</f>
        <v>0</v>
      </c>
      <c r="AQ82" s="174">
        <f t="array" ref="AQ82">IFERROR(
MEDIAN(IF(DATOS_[Sexo]=$B82,IF(DATOS_[AGRUP. CLAS. PROF.]=$B81,IF(DATOS_[Check Periodo Ref.]="Dentro",DATOS_[Tot Extrasalarial Ef],FALSE)))),
0)</f>
        <v>0</v>
      </c>
      <c r="AR82" s="171">
        <f t="array" ref="AR82">IFERROR(
MEDIAN(IF(DATOS_[Sexo]=$B82,IF(DATOS_[AGRUP. CLAS. PROF.]=$B81,IF(DATOS_[Check Periodo Ref.]="Dentro",DATOS_[TOTAL Retrib Ef],FALSE)))),
0)</f>
        <v>0</v>
      </c>
    </row>
    <row r="83" spans="1:44" hidden="1" x14ac:dyDescent="0.25">
      <c r="A83" s="178" t="str">
        <f t="shared" ref="A83" si="94">+A82</f>
        <v>[ocultar]</v>
      </c>
      <c r="B83" s="166" t="s">
        <v>521</v>
      </c>
      <c r="C83" s="167">
        <f t="array" ref="C83">SUM(IF($B83=DATOS_[Sexo],
IF($B81=DATOS_[AGRUP. CLAS. PROF.],
IF("Dentro"=DATOS_[Check Periodo Ref.],
1/(COUNTIFS(DATOS_[Sexo],$B83,DATOS_[AGRUP. CLAS. PROF.],$B81,DATOS_[Check Periodo Ref.],"Dentro",DATOS_[id/cod],DATOS_[id/cod]))))))</f>
        <v>0</v>
      </c>
      <c r="D83" s="168">
        <f>COUNTIFS(DATOS_[AGRUP. CLAS. PROF.],$B81,DATOS_[Sexo],$B83,DATOS_[Check Periodo Ref.],"Dentro")</f>
        <v>0</v>
      </c>
      <c r="E83" s="169">
        <f t="array" ref="E83">IFERROR(
MEDIAN(IF(DATOS_[Sexo]=$B83,IF(DATOS_[AGRUP. CLAS. PROF.]=$B81,IF(DATOS_[Check Periodo Ref.]="Dentro",DATOS_[SALARIO BASE Ef],FALSE)))),
0)</f>
        <v>0</v>
      </c>
      <c r="F83" s="170">
        <f t="array" ref="F83">IFERROR(
MEDIAN((IF(DATOS_[[Sexo]:[Sexo]]=$B83,IF(DATOS_[[AGRUP. CLAS. PROF.]:[AGRUP. CLAS. PROF.]]=$B81,IF(DATOS_[[Check Periodo Ref.]:[Check Periodo Ref.]]="Dentro",DATOS_[Conc.Sal.01]))))),
0)</f>
        <v>0</v>
      </c>
      <c r="G83" s="170">
        <f t="array" ref="G83">IFERROR(
MEDIAN((IF(DATOS_[[Sexo]:[Sexo]]=$B83,IF(DATOS_[[AGRUP. CLAS. PROF.]:[AGRUP. CLAS. PROF.]]=$B81,IF(DATOS_[[Check Periodo Ref.]:[Check Periodo Ref.]]="Dentro",DATOS_[Conc.Sal.02]))))),
0)</f>
        <v>0</v>
      </c>
      <c r="H83" s="170">
        <f t="array" ref="H83">IFERROR(
MEDIAN((IF(DATOS_[[Sexo]:[Sexo]]=$B83,IF(DATOS_[[AGRUP. CLAS. PROF.]:[AGRUP. CLAS. PROF.]]=$B81,IF(DATOS_[[Check Periodo Ref.]:[Check Periodo Ref.]]="Dentro",DATOS_[Conc.Sal.03]))))),
0)</f>
        <v>0</v>
      </c>
      <c r="I83" s="170">
        <f t="array" ref="I83">IFERROR(
MEDIAN((IF(DATOS_[[Sexo]:[Sexo]]=$B83,IF(DATOS_[[AGRUP. CLAS. PROF.]:[AGRUP. CLAS. PROF.]]=$B81,IF(DATOS_[[Check Periodo Ref.]:[Check Periodo Ref.]]="Dentro",DATOS_[Conc.Sal.04]))))),
0)</f>
        <v>0</v>
      </c>
      <c r="J83" s="170">
        <f t="array" ref="J83">IFERROR(
MEDIAN((IF(DATOS_[[Sexo]:[Sexo]]=$B83,IF(DATOS_[[AGRUP. CLAS. PROF.]:[AGRUP. CLAS. PROF.]]=$B81,IF(DATOS_[[Check Periodo Ref.]:[Check Periodo Ref.]]="Dentro",DATOS_[Conc.Sal.05]))))),
0)</f>
        <v>0</v>
      </c>
      <c r="K83" s="170">
        <f t="array" ref="K83">IFERROR(
MEDIAN((IF(DATOS_[[Sexo]:[Sexo]]=$B83,IF(DATOS_[[AGRUP. CLAS. PROF.]:[AGRUP. CLAS. PROF.]]=$B81,IF(DATOS_[[Check Periodo Ref.]:[Check Periodo Ref.]]="Dentro",DATOS_[Conc.Sal.06]))))),
0)</f>
        <v>0</v>
      </c>
      <c r="L83" s="170">
        <f t="array" ref="L83">IFERROR(
MEDIAN((IF(DATOS_[[Sexo]:[Sexo]]=$B83,IF(DATOS_[[AGRUP. CLAS. PROF.]:[AGRUP. CLAS. PROF.]]=$B81,IF(DATOS_[[Check Periodo Ref.]:[Check Periodo Ref.]]="Dentro",DATOS_[Conc.Sal.07]))))),
0)</f>
        <v>0</v>
      </c>
      <c r="M83" s="170">
        <f t="array" ref="M83">IFERROR(
MEDIAN((IF(DATOS_[[Sexo]:[Sexo]]=$B83,IF(DATOS_[[AGRUP. CLAS. PROF.]:[AGRUP. CLAS. PROF.]]=$B81,IF(DATOS_[[Check Periodo Ref.]:[Check Periodo Ref.]]="Dentro",DATOS_[Conc.Sal.08]))))),
0)</f>
        <v>0</v>
      </c>
      <c r="N83" s="170">
        <f t="array" ref="N83">IFERROR(
MEDIAN((IF(DATOS_[[Sexo]:[Sexo]]=$B83,IF(DATOS_[[AGRUP. CLAS. PROF.]:[AGRUP. CLAS. PROF.]]=$B81,IF(DATOS_[[Check Periodo Ref.]:[Check Periodo Ref.]]="Dentro",DATOS_[Conc.Sal.09]))))),
0)</f>
        <v>0</v>
      </c>
      <c r="O83" s="170">
        <f t="array" ref="O83">IFERROR(
MEDIAN((IF(DATOS_[[Sexo]:[Sexo]]=$B83,IF(DATOS_[[AGRUP. CLAS. PROF.]:[AGRUP. CLAS. PROF.]]=$B81,IF(DATOS_[[Check Periodo Ref.]:[Check Periodo Ref.]]="Dentro",DATOS_[Conc.Sal.10]))))),
0)</f>
        <v>0</v>
      </c>
      <c r="P83" s="170">
        <f t="array" ref="P83">IFERROR(
MEDIAN((IF(DATOS_[[Sexo]:[Sexo]]=$B83,IF(DATOS_[[AGRUP. CLAS. PROF.]:[AGRUP. CLAS. PROF.]]=$B81,IF(DATOS_[[Check Periodo Ref.]:[Check Periodo Ref.]]="Dentro",DATOS_[Conc.Sal.11]))))),
0)</f>
        <v>0</v>
      </c>
      <c r="Q83" s="170">
        <f t="array" ref="Q83">IFERROR(
MEDIAN((IF(DATOS_[[Sexo]:[Sexo]]=$B83,IF(DATOS_[[AGRUP. CLAS. PROF.]:[AGRUP. CLAS. PROF.]]=$B81,IF(DATOS_[[Check Periodo Ref.]:[Check Periodo Ref.]]="Dentro",DATOS_[Conc.Sal.12]))))),
0)</f>
        <v>0</v>
      </c>
      <c r="R83" s="170">
        <f t="array" ref="R83">IFERROR(
MEDIAN((IF(DATOS_[[Sexo]:[Sexo]]=$B83,IF(DATOS_[[AGRUP. CLAS. PROF.]:[AGRUP. CLAS. PROF.]]=$B81,IF(DATOS_[[Check Periodo Ref.]:[Check Periodo Ref.]]="Dentro",DATOS_[Conc.Sal.13]))))),
0)</f>
        <v>0</v>
      </c>
      <c r="S83" s="170">
        <f t="array" ref="S83">IFERROR(
MEDIAN((IF(DATOS_[[Sexo]:[Sexo]]=$B83,IF(DATOS_[[AGRUP. CLAS. PROF.]:[AGRUP. CLAS. PROF.]]=$B81,IF(DATOS_[[Check Periodo Ref.]:[Check Periodo Ref.]]="Dentro",DATOS_[Conc.Sal.14]))))),
0)</f>
        <v>0</v>
      </c>
      <c r="T83" s="170">
        <f t="array" ref="T83">IFERROR(
MEDIAN((IF(DATOS_[[Sexo]:[Sexo]]=$B83,IF(DATOS_[[AGRUP. CLAS. PROF.]:[AGRUP. CLAS. PROF.]]=$B81,IF(DATOS_[[Check Periodo Ref.]:[Check Periodo Ref.]]="Dentro",DATOS_[Conc.Sal.15]))))),
0)</f>
        <v>0</v>
      </c>
      <c r="U83" s="170">
        <f t="array" ref="U83">IFERROR(
MEDIAN((IF(DATOS_[[Sexo]:[Sexo]]=$B83,IF(DATOS_[[AGRUP. CLAS. PROF.]:[AGRUP. CLAS. PROF.]]=$B81,IF(DATOS_[[Check Periodo Ref.]:[Check Periodo Ref.]]="Dentro",DATOS_[Conc.Sal.16]))))),
0)</f>
        <v>0</v>
      </c>
      <c r="V83" s="170">
        <f t="array" ref="V83">IFERROR(
MEDIAN((IF(DATOS_[[Sexo]:[Sexo]]=$B83,IF(DATOS_[[AGRUP. CLAS. PROF.]:[AGRUP. CLAS. PROF.]]=$B81,IF(DATOS_[[Check Periodo Ref.]:[Check Periodo Ref.]]="Dentro",DATOS_[Conc.Sal.17]))))),
0)</f>
        <v>0</v>
      </c>
      <c r="W83" s="170">
        <f t="array" ref="W83">IFERROR(
MEDIAN((IF(DATOS_[[Sexo]:[Sexo]]=$B83,IF(DATOS_[[AGRUP. CLAS. PROF.]:[AGRUP. CLAS. PROF.]]=$B81,IF(DATOS_[[Check Periodo Ref.]:[Check Periodo Ref.]]="Dentro",DATOS_[Conc.Sal.18]))))),
0)</f>
        <v>0</v>
      </c>
      <c r="X83" s="170">
        <f t="array" ref="X83">IFERROR(
MEDIAN((IF(DATOS_[[Sexo]:[Sexo]]=$B83,IF(DATOS_[[AGRUP. CLAS. PROF.]:[AGRUP. CLAS. PROF.]]=$B81,IF(DATOS_[[Check Periodo Ref.]:[Check Periodo Ref.]]="Dentro",DATOS_[Conc.Sal.19]))))),
0)</f>
        <v>0</v>
      </c>
      <c r="Y83" s="170">
        <f t="array" ref="Y83">IFERROR(
MEDIAN((IF(DATOS_[[Sexo]:[Sexo]]=$B83,IF(DATOS_[[AGRUP. CLAS. PROF.]:[AGRUP. CLAS. PROF.]]=$B81,IF(DATOS_[[Check Periodo Ref.]:[Check Periodo Ref.]]="Dentro",DATOS_[Conc.Sal.20]))))),
0)</f>
        <v>0</v>
      </c>
      <c r="Z83" s="170">
        <f t="array" ref="Z83">IFERROR(
MEDIAN((IF(DATOS_[[Sexo]:[Sexo]]=$B83,IF(DATOS_[[AGRUP. CLAS. PROF.]:[AGRUP. CLAS. PROF.]]=$B81,IF(DATOS_[[Check Periodo Ref.]:[Check Periodo Ref.]]="Dentro",DATOS_[Conc.Sal.21]))))),
0)</f>
        <v>0</v>
      </c>
      <c r="AA83" s="170">
        <f t="array" ref="AA83">IFERROR(
MEDIAN((IF(DATOS_[[Sexo]:[Sexo]]=$B83,IF(DATOS_[[AGRUP. CLAS. PROF.]:[AGRUP. CLAS. PROF.]]=$B81,IF(DATOS_[[Check Periodo Ref.]:[Check Periodo Ref.]]="Dentro",DATOS_[Conc.Sal.22]))))),
0)</f>
        <v>0</v>
      </c>
      <c r="AB83" s="170">
        <f t="array" ref="AB83">IFERROR(
MEDIAN((IF(DATOS_[[Sexo]:[Sexo]]=$B83,IF(DATOS_[[AGRUP. CLAS. PROF.]:[AGRUP. CLAS. PROF.]]=$B81,IF(DATOS_[[Check Periodo Ref.]:[Check Periodo Ref.]]="Dentro",DATOS_[Conc.Sal.23]))))),
0)</f>
        <v>0</v>
      </c>
      <c r="AC83" s="170">
        <f t="array" ref="AC83">IFERROR(
MEDIAN((IF(DATOS_[[Sexo]:[Sexo]]=$B83,IF(DATOS_[[AGRUP. CLAS. PROF.]:[AGRUP. CLAS. PROF.]]=$B81,IF(DATOS_[[Check Periodo Ref.]:[Check Periodo Ref.]]="Dentro",DATOS_[Conc.Sal.24]))))),
0)</f>
        <v>0</v>
      </c>
      <c r="AD83" s="170">
        <f t="array" ref="AD83">IFERROR(
MEDIAN((IF(DATOS_[[Sexo]:[Sexo]]=$B83,IF(DATOS_[[AGRUP. CLAS. PROF.]:[AGRUP. CLAS. PROF.]]=$B81,IF(DATOS_[[Check Periodo Ref.]:[Check Periodo Ref.]]="Dentro",DATOS_[Conc.Sal.25]))))),
0)</f>
        <v>0</v>
      </c>
      <c r="AE83" s="170">
        <f t="array" ref="AE83">IFERROR(
MEDIAN((IF(DATOS_[[Sexo]:[Sexo]]=$B83,IF(DATOS_[[AGRUP. CLAS. PROF.]:[AGRUP. CLAS. PROF.]]=$B81,IF(DATOS_[[Check Periodo Ref.]:[Check Periodo Ref.]]="Dentro",DATOS_[Conc.Sal.26]))))),
0)</f>
        <v>0</v>
      </c>
      <c r="AF83" s="170">
        <f t="array" ref="AF83">IFERROR(
MEDIAN((IF(DATOS_[[Sexo]:[Sexo]]=$B83,IF(DATOS_[[AGRUP. CLAS. PROF.]:[AGRUP. CLAS. PROF.]]=$B81,IF(DATOS_[[Check Periodo Ref.]:[Check Periodo Ref.]]="Dentro",DATOS_[Conc.Sal.27]))))),
0)</f>
        <v>0</v>
      </c>
      <c r="AG83" s="170">
        <f t="array" ref="AG83">IFERROR(
MEDIAN((IF(DATOS_[[Sexo]:[Sexo]]=$B83,IF(DATOS_[[AGRUP. CLAS. PROF.]:[AGRUP. CLAS. PROF.]]=$B81,IF(DATOS_[[Check Periodo Ref.]:[Check Periodo Ref.]]="Dentro",DATOS_[Conc.Sal.28]))))),
0)</f>
        <v>0</v>
      </c>
      <c r="AH83" s="170">
        <f t="array" ref="AH83">IFERROR(
MEDIAN((IF(DATOS_[[Sexo]:[Sexo]]=$B83,IF(DATOS_[[AGRUP. CLAS. PROF.]:[AGRUP. CLAS. PROF.]]=$B81,IF(DATOS_[[Check Periodo Ref.]:[Check Periodo Ref.]]="Dentro",DATOS_[Conc.Sal.29]))))),
0)</f>
        <v>0</v>
      </c>
      <c r="AI83" s="170">
        <f t="array" ref="AI83">IFERROR(
MEDIAN((IF(DATOS_[[Sexo]:[Sexo]]=$B83,IF(DATOS_[[AGRUP. CLAS. PROF.]:[AGRUP. CLAS. PROF.]]=$B81,IF(DATOS_[[Check Periodo Ref.]:[Check Periodo Ref.]]="Dentro",DATOS_[Conc.Sal.30]))))),
0)</f>
        <v>0</v>
      </c>
      <c r="AJ83" s="171">
        <f t="array" ref="AJ83">IFERROR(
MEDIAN(IF(DATOS_[Sexo]=$B83,IF(DATOS_[AGRUP. CLAS. PROF.]=$B81,IF(DATOS_[Check Periodo Ref.]="Dentro",DATOS_[Tot COMPL.SAL Ef],FALSE)))),
0)</f>
        <v>0</v>
      </c>
      <c r="AK83" s="172">
        <f t="array" ref="AK83">IFERROR(
MEDIAN(IF(DATOS_[Sexo]=$B83,IF(DATOS_[AGRUP. CLAS. PROF.]=$B81,IF(DATOS_[Check Periodo Ref.]="Dentro",DATOS_[TOTAL SALARIO Ef],FALSE)))),
0)</f>
        <v>0</v>
      </c>
      <c r="AL83" s="173">
        <f t="array" ref="AL83">IFERROR(
MEDIAN((IF(DATOS_[[Sexo]:[Sexo]]=$B83,IF(DATOS_[[AGRUP. CLAS. PROF.]:[AGRUP. CLAS. PROF.]]=$B81,IF(DATOS_[[Check Periodo Ref.]:[Check Periodo Ref.]]="Dentro",DATOS_[C.Extra.01]))))),
0)</f>
        <v>0</v>
      </c>
      <c r="AM83" s="173">
        <f t="array" ref="AM83">IFERROR(
MEDIAN((IF(DATOS_[[Sexo]:[Sexo]]=$B83,IF(DATOS_[[AGRUP. CLAS. PROF.]:[AGRUP. CLAS. PROF.]]=$B81,IF(DATOS_[[Check Periodo Ref.]:[Check Periodo Ref.]]="Dentro",DATOS_[C.Extra.06]))))),
0)</f>
        <v>0</v>
      </c>
      <c r="AN83" s="173">
        <f t="array" ref="AN83">IFERROR(
MEDIAN((IF(DATOS_[[Sexo]:[Sexo]]=$B83,IF(DATOS_[[AGRUP. CLAS. PROF.]:[AGRUP. CLAS. PROF.]]=$B81,IF(DATOS_[[Check Periodo Ref.]:[Check Periodo Ref.]]="Dentro",DATOS_[C.Extra.07]))))),
0)</f>
        <v>0</v>
      </c>
      <c r="AO83" s="173">
        <f t="array" ref="AO83">IFERROR(
MEDIAN((IF(DATOS_[[Sexo]:[Sexo]]=$B83,IF(DATOS_[[AGRUP. CLAS. PROF.]:[AGRUP. CLAS. PROF.]]=$B81,IF(DATOS_[[Check Periodo Ref.]:[Check Periodo Ref.]]="Dentro",DATOS_[C.Extra.08]))))),
0)</f>
        <v>0</v>
      </c>
      <c r="AP83" s="173">
        <f t="array" ref="AP83">IFERROR(
MEDIAN((IF(DATOS_[[Sexo]:[Sexo]]=$B83,IF(DATOS_[[AGRUP. CLAS. PROF.]:[AGRUP. CLAS. PROF.]]=$B81,IF(DATOS_[[Check Periodo Ref.]:[Check Periodo Ref.]]="Dentro",DATOS_[C.Extra.11]))))),
0)</f>
        <v>0</v>
      </c>
      <c r="AQ83" s="174">
        <f t="array" ref="AQ83">IFERROR(
MEDIAN(IF(DATOS_[Sexo]=$B83,IF(DATOS_[AGRUP. CLAS. PROF.]=$B81,IF(DATOS_[Check Periodo Ref.]="Dentro",DATOS_[Tot Extrasalarial Ef],FALSE)))),
0)</f>
        <v>0</v>
      </c>
      <c r="AR83" s="171">
        <f t="array" ref="AR83">IFERROR(
MEDIAN(IF(DATOS_[Sexo]=$B83,IF(DATOS_[AGRUP. CLAS. PROF.]=$B81,IF(DATOS_[Check Periodo Ref.]="Dentro",DATOS_[TOTAL Retrib Ef],FALSE)))),
0)</f>
        <v>0</v>
      </c>
    </row>
    <row r="84" spans="1:44" ht="14.4" hidden="1" thickBot="1" x14ac:dyDescent="0.3">
      <c r="A84" s="178" t="str">
        <f t="shared" ref="A84" si="95">+A85</f>
        <v>[ocultar]</v>
      </c>
      <c r="B84" s="153" t="s">
        <v>271</v>
      </c>
      <c r="C84" s="154"/>
      <c r="D84" s="155"/>
      <c r="E84" s="156" t="str">
        <f t="shared" ref="E84:AR84" si="96">IFERROR((E85-E86)/E85,"")</f>
        <v/>
      </c>
      <c r="F84" s="157" t="str">
        <f t="shared" si="96"/>
        <v/>
      </c>
      <c r="G84" s="158" t="str">
        <f t="shared" si="96"/>
        <v/>
      </c>
      <c r="H84" s="158" t="str">
        <f t="shared" si="96"/>
        <v/>
      </c>
      <c r="I84" s="158" t="str">
        <f t="shared" si="96"/>
        <v/>
      </c>
      <c r="J84" s="159" t="str">
        <f t="shared" si="96"/>
        <v/>
      </c>
      <c r="K84" s="160" t="str">
        <f t="shared" si="96"/>
        <v/>
      </c>
      <c r="L84" s="160" t="str">
        <f t="shared" si="96"/>
        <v/>
      </c>
      <c r="M84" s="160" t="str">
        <f t="shared" si="96"/>
        <v/>
      </c>
      <c r="N84" s="160" t="str">
        <f t="shared" si="96"/>
        <v/>
      </c>
      <c r="O84" s="160" t="str">
        <f t="shared" si="96"/>
        <v/>
      </c>
      <c r="P84" s="160" t="str">
        <f t="shared" si="96"/>
        <v/>
      </c>
      <c r="Q84" s="160" t="str">
        <f t="shared" si="96"/>
        <v/>
      </c>
      <c r="R84" s="160" t="str">
        <f t="shared" si="96"/>
        <v/>
      </c>
      <c r="S84" s="160" t="str">
        <f t="shared" si="96"/>
        <v/>
      </c>
      <c r="T84" s="160" t="str">
        <f t="shared" si="96"/>
        <v/>
      </c>
      <c r="U84" s="160" t="str">
        <f t="shared" si="96"/>
        <v/>
      </c>
      <c r="V84" s="159" t="str">
        <f t="shared" si="96"/>
        <v/>
      </c>
      <c r="W84" s="159" t="str">
        <f t="shared" si="96"/>
        <v/>
      </c>
      <c r="X84" s="159" t="str">
        <f t="shared" si="96"/>
        <v/>
      </c>
      <c r="Y84" s="159" t="str">
        <f t="shared" si="96"/>
        <v/>
      </c>
      <c r="Z84" s="159" t="str">
        <f t="shared" si="96"/>
        <v/>
      </c>
      <c r="AA84" s="159" t="str">
        <f t="shared" si="96"/>
        <v/>
      </c>
      <c r="AB84" s="159" t="str">
        <f t="shared" si="96"/>
        <v/>
      </c>
      <c r="AC84" s="159" t="str">
        <f t="shared" si="96"/>
        <v/>
      </c>
      <c r="AD84" s="159" t="str">
        <f t="shared" si="96"/>
        <v/>
      </c>
      <c r="AE84" s="159" t="str">
        <f t="shared" si="96"/>
        <v/>
      </c>
      <c r="AF84" s="159" t="str">
        <f t="shared" si="96"/>
        <v/>
      </c>
      <c r="AG84" s="159" t="str">
        <f t="shared" si="96"/>
        <v/>
      </c>
      <c r="AH84" s="159" t="str">
        <f t="shared" si="96"/>
        <v/>
      </c>
      <c r="AI84" s="159" t="str">
        <f t="shared" si="96"/>
        <v/>
      </c>
      <c r="AJ84" s="161" t="str">
        <f t="shared" si="96"/>
        <v/>
      </c>
      <c r="AK84" s="162" t="str">
        <f t="shared" si="96"/>
        <v/>
      </c>
      <c r="AL84" s="163" t="str">
        <f t="shared" si="96"/>
        <v/>
      </c>
      <c r="AM84" s="163" t="str">
        <f t="shared" si="96"/>
        <v/>
      </c>
      <c r="AN84" s="163" t="str">
        <f t="shared" si="96"/>
        <v/>
      </c>
      <c r="AO84" s="163" t="str">
        <f t="shared" si="96"/>
        <v/>
      </c>
      <c r="AP84" s="163" t="str">
        <f t="shared" si="96"/>
        <v/>
      </c>
      <c r="AQ84" s="164" t="str">
        <f t="shared" si="96"/>
        <v/>
      </c>
      <c r="AR84" s="161" t="str">
        <f t="shared" si="96"/>
        <v/>
      </c>
    </row>
    <row r="85" spans="1:44" hidden="1" x14ac:dyDescent="0.25">
      <c r="A85" s="178" t="str">
        <f t="shared" ref="A85" si="97">+IF(C85+C86=0,"[ocultar]","")</f>
        <v>[ocultar]</v>
      </c>
      <c r="B85" s="166" t="s">
        <v>394</v>
      </c>
      <c r="C85" s="167">
        <f t="array" ref="C85">SUM(IF($B85=DATOS_[Sexo],
IF($B84=DATOS_[AGRUP. CLAS. PROF.],
IF("Dentro"=DATOS_[Check Periodo Ref.],
1/(COUNTIFS(DATOS_[Sexo],$B85,DATOS_[AGRUP. CLAS. PROF.],$B84,DATOS_[Check Periodo Ref.],"Dentro",DATOS_[id/cod],DATOS_[id/cod]))))))</f>
        <v>0</v>
      </c>
      <c r="D85" s="168">
        <f>COUNTIFS(DATOS_[AGRUP. CLAS. PROF.],$B84,DATOS_[Sexo],$B85,DATOS_[Check Periodo Ref.],"Dentro")</f>
        <v>0</v>
      </c>
      <c r="E85" s="169">
        <f t="array" ref="E85">IFERROR(
MEDIAN(IF(DATOS_[Sexo]=$B85,IF(DATOS_[AGRUP. CLAS. PROF.]=$B84,IF(DATOS_[Check Periodo Ref.]="Dentro",DATOS_[SALARIO BASE Ef],FALSE)))),
0)</f>
        <v>0</v>
      </c>
      <c r="F85" s="170">
        <f t="array" ref="F85">IFERROR(
MEDIAN((IF(DATOS_[[Sexo]:[Sexo]]=$B85,IF(DATOS_[[AGRUP. CLAS. PROF.]:[AGRUP. CLAS. PROF.]]=$B84,IF(DATOS_[[Check Periodo Ref.]:[Check Periodo Ref.]]="Dentro",DATOS_[Conc.Sal.01]))))),
0)</f>
        <v>0</v>
      </c>
      <c r="G85" s="170">
        <f t="array" ref="G85">IFERROR(
MEDIAN((IF(DATOS_[[Sexo]:[Sexo]]=$B85,IF(DATOS_[[AGRUP. CLAS. PROF.]:[AGRUP. CLAS. PROF.]]=$B84,IF(DATOS_[[Check Periodo Ref.]:[Check Periodo Ref.]]="Dentro",DATOS_[Conc.Sal.02]))))),
0)</f>
        <v>0</v>
      </c>
      <c r="H85" s="170">
        <f t="array" ref="H85">IFERROR(
MEDIAN((IF(DATOS_[[Sexo]:[Sexo]]=$B85,IF(DATOS_[[AGRUP. CLAS. PROF.]:[AGRUP. CLAS. PROF.]]=$B84,IF(DATOS_[[Check Periodo Ref.]:[Check Periodo Ref.]]="Dentro",DATOS_[Conc.Sal.03]))))),
0)</f>
        <v>0</v>
      </c>
      <c r="I85" s="170">
        <f t="array" ref="I85">IFERROR(
MEDIAN((IF(DATOS_[[Sexo]:[Sexo]]=$B85,IF(DATOS_[[AGRUP. CLAS. PROF.]:[AGRUP. CLAS. PROF.]]=$B84,IF(DATOS_[[Check Periodo Ref.]:[Check Periodo Ref.]]="Dentro",DATOS_[Conc.Sal.04]))))),
0)</f>
        <v>0</v>
      </c>
      <c r="J85" s="170">
        <f t="array" ref="J85">IFERROR(
MEDIAN((IF(DATOS_[[Sexo]:[Sexo]]=$B85,IF(DATOS_[[AGRUP. CLAS. PROF.]:[AGRUP. CLAS. PROF.]]=$B84,IF(DATOS_[[Check Periodo Ref.]:[Check Periodo Ref.]]="Dentro",DATOS_[Conc.Sal.05]))))),
0)</f>
        <v>0</v>
      </c>
      <c r="K85" s="170">
        <f t="array" ref="K85">IFERROR(
MEDIAN((IF(DATOS_[[Sexo]:[Sexo]]=$B85,IF(DATOS_[[AGRUP. CLAS. PROF.]:[AGRUP. CLAS. PROF.]]=$B84,IF(DATOS_[[Check Periodo Ref.]:[Check Periodo Ref.]]="Dentro",DATOS_[Conc.Sal.06]))))),
0)</f>
        <v>0</v>
      </c>
      <c r="L85" s="170">
        <f t="array" ref="L85">IFERROR(
MEDIAN((IF(DATOS_[[Sexo]:[Sexo]]=$B85,IF(DATOS_[[AGRUP. CLAS. PROF.]:[AGRUP. CLAS. PROF.]]=$B84,IF(DATOS_[[Check Periodo Ref.]:[Check Periodo Ref.]]="Dentro",DATOS_[Conc.Sal.07]))))),
0)</f>
        <v>0</v>
      </c>
      <c r="M85" s="170">
        <f t="array" ref="M85">IFERROR(
MEDIAN((IF(DATOS_[[Sexo]:[Sexo]]=$B85,IF(DATOS_[[AGRUP. CLAS. PROF.]:[AGRUP. CLAS. PROF.]]=$B84,IF(DATOS_[[Check Periodo Ref.]:[Check Periodo Ref.]]="Dentro",DATOS_[Conc.Sal.08]))))),
0)</f>
        <v>0</v>
      </c>
      <c r="N85" s="170">
        <f t="array" ref="N85">IFERROR(
MEDIAN((IF(DATOS_[[Sexo]:[Sexo]]=$B85,IF(DATOS_[[AGRUP. CLAS. PROF.]:[AGRUP. CLAS. PROF.]]=$B84,IF(DATOS_[[Check Periodo Ref.]:[Check Periodo Ref.]]="Dentro",DATOS_[Conc.Sal.09]))))),
0)</f>
        <v>0</v>
      </c>
      <c r="O85" s="170">
        <f t="array" ref="O85">IFERROR(
MEDIAN((IF(DATOS_[[Sexo]:[Sexo]]=$B85,IF(DATOS_[[AGRUP. CLAS. PROF.]:[AGRUP. CLAS. PROF.]]=$B84,IF(DATOS_[[Check Periodo Ref.]:[Check Periodo Ref.]]="Dentro",DATOS_[Conc.Sal.10]))))),
0)</f>
        <v>0</v>
      </c>
      <c r="P85" s="170">
        <f t="array" ref="P85">IFERROR(
MEDIAN((IF(DATOS_[[Sexo]:[Sexo]]=$B85,IF(DATOS_[[AGRUP. CLAS. PROF.]:[AGRUP. CLAS. PROF.]]=$B84,IF(DATOS_[[Check Periodo Ref.]:[Check Periodo Ref.]]="Dentro",DATOS_[Conc.Sal.11]))))),
0)</f>
        <v>0</v>
      </c>
      <c r="Q85" s="170">
        <f t="array" ref="Q85">IFERROR(
MEDIAN((IF(DATOS_[[Sexo]:[Sexo]]=$B85,IF(DATOS_[[AGRUP. CLAS. PROF.]:[AGRUP. CLAS. PROF.]]=$B84,IF(DATOS_[[Check Periodo Ref.]:[Check Periodo Ref.]]="Dentro",DATOS_[Conc.Sal.12]))))),
0)</f>
        <v>0</v>
      </c>
      <c r="R85" s="170">
        <f t="array" ref="R85">IFERROR(
MEDIAN((IF(DATOS_[[Sexo]:[Sexo]]=$B85,IF(DATOS_[[AGRUP. CLAS. PROF.]:[AGRUP. CLAS. PROF.]]=$B84,IF(DATOS_[[Check Periodo Ref.]:[Check Periodo Ref.]]="Dentro",DATOS_[Conc.Sal.13]))))),
0)</f>
        <v>0</v>
      </c>
      <c r="S85" s="170">
        <f t="array" ref="S85">IFERROR(
MEDIAN((IF(DATOS_[[Sexo]:[Sexo]]=$B85,IF(DATOS_[[AGRUP. CLAS. PROF.]:[AGRUP. CLAS. PROF.]]=$B84,IF(DATOS_[[Check Periodo Ref.]:[Check Periodo Ref.]]="Dentro",DATOS_[Conc.Sal.14]))))),
0)</f>
        <v>0</v>
      </c>
      <c r="T85" s="170">
        <f t="array" ref="T85">IFERROR(
MEDIAN((IF(DATOS_[[Sexo]:[Sexo]]=$B85,IF(DATOS_[[AGRUP. CLAS. PROF.]:[AGRUP. CLAS. PROF.]]=$B84,IF(DATOS_[[Check Periodo Ref.]:[Check Periodo Ref.]]="Dentro",DATOS_[Conc.Sal.15]))))),
0)</f>
        <v>0</v>
      </c>
      <c r="U85" s="170">
        <f t="array" ref="U85">IFERROR(
MEDIAN((IF(DATOS_[[Sexo]:[Sexo]]=$B85,IF(DATOS_[[AGRUP. CLAS. PROF.]:[AGRUP. CLAS. PROF.]]=$B84,IF(DATOS_[[Check Periodo Ref.]:[Check Periodo Ref.]]="Dentro",DATOS_[Conc.Sal.16]))))),
0)</f>
        <v>0</v>
      </c>
      <c r="V85" s="170">
        <f t="array" ref="V85">IFERROR(
MEDIAN((IF(DATOS_[[Sexo]:[Sexo]]=$B85,IF(DATOS_[[AGRUP. CLAS. PROF.]:[AGRUP. CLAS. PROF.]]=$B84,IF(DATOS_[[Check Periodo Ref.]:[Check Periodo Ref.]]="Dentro",DATOS_[Conc.Sal.17]))))),
0)</f>
        <v>0</v>
      </c>
      <c r="W85" s="170">
        <f t="array" ref="W85">IFERROR(
MEDIAN((IF(DATOS_[[Sexo]:[Sexo]]=$B85,IF(DATOS_[[AGRUP. CLAS. PROF.]:[AGRUP. CLAS. PROF.]]=$B84,IF(DATOS_[[Check Periodo Ref.]:[Check Periodo Ref.]]="Dentro",DATOS_[Conc.Sal.18]))))),
0)</f>
        <v>0</v>
      </c>
      <c r="X85" s="170">
        <f t="array" ref="X85">IFERROR(
MEDIAN((IF(DATOS_[[Sexo]:[Sexo]]=$B85,IF(DATOS_[[AGRUP. CLAS. PROF.]:[AGRUP. CLAS. PROF.]]=$B84,IF(DATOS_[[Check Periodo Ref.]:[Check Periodo Ref.]]="Dentro",DATOS_[Conc.Sal.19]))))),
0)</f>
        <v>0</v>
      </c>
      <c r="Y85" s="170">
        <f t="array" ref="Y85">IFERROR(
MEDIAN((IF(DATOS_[[Sexo]:[Sexo]]=$B85,IF(DATOS_[[AGRUP. CLAS. PROF.]:[AGRUP. CLAS. PROF.]]=$B84,IF(DATOS_[[Check Periodo Ref.]:[Check Periodo Ref.]]="Dentro",DATOS_[Conc.Sal.20]))))),
0)</f>
        <v>0</v>
      </c>
      <c r="Z85" s="170">
        <f t="array" ref="Z85">IFERROR(
MEDIAN((IF(DATOS_[[Sexo]:[Sexo]]=$B85,IF(DATOS_[[AGRUP. CLAS. PROF.]:[AGRUP. CLAS. PROF.]]=$B84,IF(DATOS_[[Check Periodo Ref.]:[Check Periodo Ref.]]="Dentro",DATOS_[Conc.Sal.21]))))),
0)</f>
        <v>0</v>
      </c>
      <c r="AA85" s="170">
        <f t="array" ref="AA85">IFERROR(
MEDIAN((IF(DATOS_[[Sexo]:[Sexo]]=$B85,IF(DATOS_[[AGRUP. CLAS. PROF.]:[AGRUP. CLAS. PROF.]]=$B84,IF(DATOS_[[Check Periodo Ref.]:[Check Periodo Ref.]]="Dentro",DATOS_[Conc.Sal.22]))))),
0)</f>
        <v>0</v>
      </c>
      <c r="AB85" s="170">
        <f t="array" ref="AB85">IFERROR(
MEDIAN((IF(DATOS_[[Sexo]:[Sexo]]=$B85,IF(DATOS_[[AGRUP. CLAS. PROF.]:[AGRUP. CLAS. PROF.]]=$B84,IF(DATOS_[[Check Periodo Ref.]:[Check Periodo Ref.]]="Dentro",DATOS_[Conc.Sal.23]))))),
0)</f>
        <v>0</v>
      </c>
      <c r="AC85" s="170">
        <f t="array" ref="AC85">IFERROR(
MEDIAN((IF(DATOS_[[Sexo]:[Sexo]]=$B85,IF(DATOS_[[AGRUP. CLAS. PROF.]:[AGRUP. CLAS. PROF.]]=$B84,IF(DATOS_[[Check Periodo Ref.]:[Check Periodo Ref.]]="Dentro",DATOS_[Conc.Sal.24]))))),
0)</f>
        <v>0</v>
      </c>
      <c r="AD85" s="170">
        <f t="array" ref="AD85">IFERROR(
MEDIAN((IF(DATOS_[[Sexo]:[Sexo]]=$B85,IF(DATOS_[[AGRUP. CLAS. PROF.]:[AGRUP. CLAS. PROF.]]=$B84,IF(DATOS_[[Check Periodo Ref.]:[Check Periodo Ref.]]="Dentro",DATOS_[Conc.Sal.25]))))),
0)</f>
        <v>0</v>
      </c>
      <c r="AE85" s="170">
        <f t="array" ref="AE85">IFERROR(
MEDIAN((IF(DATOS_[[Sexo]:[Sexo]]=$B85,IF(DATOS_[[AGRUP. CLAS. PROF.]:[AGRUP. CLAS. PROF.]]=$B84,IF(DATOS_[[Check Periodo Ref.]:[Check Periodo Ref.]]="Dentro",DATOS_[Conc.Sal.26]))))),
0)</f>
        <v>0</v>
      </c>
      <c r="AF85" s="170">
        <f t="array" ref="AF85">IFERROR(
MEDIAN((IF(DATOS_[[Sexo]:[Sexo]]=$B85,IF(DATOS_[[AGRUP. CLAS. PROF.]:[AGRUP. CLAS. PROF.]]=$B84,IF(DATOS_[[Check Periodo Ref.]:[Check Periodo Ref.]]="Dentro",DATOS_[Conc.Sal.27]))))),
0)</f>
        <v>0</v>
      </c>
      <c r="AG85" s="170">
        <f t="array" ref="AG85">IFERROR(
MEDIAN((IF(DATOS_[[Sexo]:[Sexo]]=$B85,IF(DATOS_[[AGRUP. CLAS. PROF.]:[AGRUP. CLAS. PROF.]]=$B84,IF(DATOS_[[Check Periodo Ref.]:[Check Periodo Ref.]]="Dentro",DATOS_[Conc.Sal.28]))))),
0)</f>
        <v>0</v>
      </c>
      <c r="AH85" s="170">
        <f t="array" ref="AH85">IFERROR(
MEDIAN((IF(DATOS_[[Sexo]:[Sexo]]=$B85,IF(DATOS_[[AGRUP. CLAS. PROF.]:[AGRUP. CLAS. PROF.]]=$B84,IF(DATOS_[[Check Periodo Ref.]:[Check Periodo Ref.]]="Dentro",DATOS_[Conc.Sal.29]))))),
0)</f>
        <v>0</v>
      </c>
      <c r="AI85" s="170">
        <f t="array" ref="AI85">IFERROR(
MEDIAN((IF(DATOS_[[Sexo]:[Sexo]]=$B85,IF(DATOS_[[AGRUP. CLAS. PROF.]:[AGRUP. CLAS. PROF.]]=$B84,IF(DATOS_[[Check Periodo Ref.]:[Check Periodo Ref.]]="Dentro",DATOS_[Conc.Sal.30]))))),
0)</f>
        <v>0</v>
      </c>
      <c r="AJ85" s="171">
        <f t="array" ref="AJ85">IFERROR(
MEDIAN(IF(DATOS_[Sexo]=$B85,IF(DATOS_[AGRUP. CLAS. PROF.]=$B84,IF(DATOS_[Check Periodo Ref.]="Dentro",DATOS_[Tot COMPL.SAL Ef],FALSE)))),
0)</f>
        <v>0</v>
      </c>
      <c r="AK85" s="172">
        <f t="array" ref="AK85">IFERROR(
MEDIAN(IF(DATOS_[Sexo]=$B85,IF(DATOS_[AGRUP. CLAS. PROF.]=$B84,IF(DATOS_[Check Periodo Ref.]="Dentro",DATOS_[TOTAL SALARIO Ef],FALSE)))),
0)</f>
        <v>0</v>
      </c>
      <c r="AL85" s="173">
        <f t="array" ref="AL85">IFERROR(
MEDIAN((IF(DATOS_[[Sexo]:[Sexo]]=$B85,IF(DATOS_[[AGRUP. CLAS. PROF.]:[AGRUP. CLAS. PROF.]]=$B84,IF(DATOS_[[Check Periodo Ref.]:[Check Periodo Ref.]]="Dentro",DATOS_[C.Extra.01]))))),
0)</f>
        <v>0</v>
      </c>
      <c r="AM85" s="173">
        <f t="array" ref="AM85">IFERROR(
MEDIAN((IF(DATOS_[[Sexo]:[Sexo]]=$B85,IF(DATOS_[[AGRUP. CLAS. PROF.]:[AGRUP. CLAS. PROF.]]=$B84,IF(DATOS_[[Check Periodo Ref.]:[Check Periodo Ref.]]="Dentro",DATOS_[C.Extra.06]))))),
0)</f>
        <v>0</v>
      </c>
      <c r="AN85" s="173">
        <f t="array" ref="AN85">IFERROR(
MEDIAN((IF(DATOS_[[Sexo]:[Sexo]]=$B85,IF(DATOS_[[AGRUP. CLAS. PROF.]:[AGRUP. CLAS. PROF.]]=$B84,IF(DATOS_[[Check Periodo Ref.]:[Check Periodo Ref.]]="Dentro",DATOS_[C.Extra.07]))))),
0)</f>
        <v>0</v>
      </c>
      <c r="AO85" s="173">
        <f t="array" ref="AO85">IFERROR(
MEDIAN((IF(DATOS_[[Sexo]:[Sexo]]=$B85,IF(DATOS_[[AGRUP. CLAS. PROF.]:[AGRUP. CLAS. PROF.]]=$B84,IF(DATOS_[[Check Periodo Ref.]:[Check Periodo Ref.]]="Dentro",DATOS_[C.Extra.08]))))),
0)</f>
        <v>0</v>
      </c>
      <c r="AP85" s="173">
        <f t="array" ref="AP85">IFERROR(
MEDIAN((IF(DATOS_[[Sexo]:[Sexo]]=$B85,IF(DATOS_[[AGRUP. CLAS. PROF.]:[AGRUP. CLAS. PROF.]]=$B84,IF(DATOS_[[Check Periodo Ref.]:[Check Periodo Ref.]]="Dentro",DATOS_[C.Extra.11]))))),
0)</f>
        <v>0</v>
      </c>
      <c r="AQ85" s="174">
        <f t="array" ref="AQ85">IFERROR(
MEDIAN(IF(DATOS_[Sexo]=$B85,IF(DATOS_[AGRUP. CLAS. PROF.]=$B84,IF(DATOS_[Check Periodo Ref.]="Dentro",DATOS_[Tot Extrasalarial Ef],FALSE)))),
0)</f>
        <v>0</v>
      </c>
      <c r="AR85" s="171">
        <f t="array" ref="AR85">IFERROR(
MEDIAN(IF(DATOS_[Sexo]=$B85,IF(DATOS_[AGRUP. CLAS. PROF.]=$B84,IF(DATOS_[Check Periodo Ref.]="Dentro",DATOS_[TOTAL Retrib Ef],FALSE)))),
0)</f>
        <v>0</v>
      </c>
    </row>
    <row r="86" spans="1:44" hidden="1" x14ac:dyDescent="0.25">
      <c r="A86" s="178" t="str">
        <f t="shared" ref="A86" si="98">+A85</f>
        <v>[ocultar]</v>
      </c>
      <c r="B86" s="166" t="s">
        <v>521</v>
      </c>
      <c r="C86" s="167">
        <f t="array" ref="C86">SUM(IF($B86=DATOS_[Sexo],
IF($B84=DATOS_[AGRUP. CLAS. PROF.],
IF("Dentro"=DATOS_[Check Periodo Ref.],
1/(COUNTIFS(DATOS_[Sexo],$B86,DATOS_[AGRUP. CLAS. PROF.],$B84,DATOS_[Check Periodo Ref.],"Dentro",DATOS_[id/cod],DATOS_[id/cod]))))))</f>
        <v>0</v>
      </c>
      <c r="D86" s="168">
        <f>COUNTIFS(DATOS_[AGRUP. CLAS. PROF.],$B84,DATOS_[Sexo],$B86,DATOS_[Check Periodo Ref.],"Dentro")</f>
        <v>0</v>
      </c>
      <c r="E86" s="169">
        <f t="array" ref="E86">IFERROR(
MEDIAN(IF(DATOS_[Sexo]=$B86,IF(DATOS_[AGRUP. CLAS. PROF.]=$B84,IF(DATOS_[Check Periodo Ref.]="Dentro",DATOS_[SALARIO BASE Ef],FALSE)))),
0)</f>
        <v>0</v>
      </c>
      <c r="F86" s="170">
        <f t="array" ref="F86">IFERROR(
MEDIAN((IF(DATOS_[[Sexo]:[Sexo]]=$B86,IF(DATOS_[[AGRUP. CLAS. PROF.]:[AGRUP. CLAS. PROF.]]=$B84,IF(DATOS_[[Check Periodo Ref.]:[Check Periodo Ref.]]="Dentro",DATOS_[Conc.Sal.01]))))),
0)</f>
        <v>0</v>
      </c>
      <c r="G86" s="170">
        <f t="array" ref="G86">IFERROR(
MEDIAN((IF(DATOS_[[Sexo]:[Sexo]]=$B86,IF(DATOS_[[AGRUP. CLAS. PROF.]:[AGRUP. CLAS. PROF.]]=$B84,IF(DATOS_[[Check Periodo Ref.]:[Check Periodo Ref.]]="Dentro",DATOS_[Conc.Sal.02]))))),
0)</f>
        <v>0</v>
      </c>
      <c r="H86" s="170">
        <f t="array" ref="H86">IFERROR(
MEDIAN((IF(DATOS_[[Sexo]:[Sexo]]=$B86,IF(DATOS_[[AGRUP. CLAS. PROF.]:[AGRUP. CLAS. PROF.]]=$B84,IF(DATOS_[[Check Periodo Ref.]:[Check Periodo Ref.]]="Dentro",DATOS_[Conc.Sal.03]))))),
0)</f>
        <v>0</v>
      </c>
      <c r="I86" s="170">
        <f t="array" ref="I86">IFERROR(
MEDIAN((IF(DATOS_[[Sexo]:[Sexo]]=$B86,IF(DATOS_[[AGRUP. CLAS. PROF.]:[AGRUP. CLAS. PROF.]]=$B84,IF(DATOS_[[Check Periodo Ref.]:[Check Periodo Ref.]]="Dentro",DATOS_[Conc.Sal.04]))))),
0)</f>
        <v>0</v>
      </c>
      <c r="J86" s="170">
        <f t="array" ref="J86">IFERROR(
MEDIAN((IF(DATOS_[[Sexo]:[Sexo]]=$B86,IF(DATOS_[[AGRUP. CLAS. PROF.]:[AGRUP. CLAS. PROF.]]=$B84,IF(DATOS_[[Check Periodo Ref.]:[Check Periodo Ref.]]="Dentro",DATOS_[Conc.Sal.05]))))),
0)</f>
        <v>0</v>
      </c>
      <c r="K86" s="170">
        <f t="array" ref="K86">IFERROR(
MEDIAN((IF(DATOS_[[Sexo]:[Sexo]]=$B86,IF(DATOS_[[AGRUP. CLAS. PROF.]:[AGRUP. CLAS. PROF.]]=$B84,IF(DATOS_[[Check Periodo Ref.]:[Check Periodo Ref.]]="Dentro",DATOS_[Conc.Sal.06]))))),
0)</f>
        <v>0</v>
      </c>
      <c r="L86" s="170">
        <f t="array" ref="L86">IFERROR(
MEDIAN((IF(DATOS_[[Sexo]:[Sexo]]=$B86,IF(DATOS_[[AGRUP. CLAS. PROF.]:[AGRUP. CLAS. PROF.]]=$B84,IF(DATOS_[[Check Periodo Ref.]:[Check Periodo Ref.]]="Dentro",DATOS_[Conc.Sal.07]))))),
0)</f>
        <v>0</v>
      </c>
      <c r="M86" s="170">
        <f t="array" ref="M86">IFERROR(
MEDIAN((IF(DATOS_[[Sexo]:[Sexo]]=$B86,IF(DATOS_[[AGRUP. CLAS. PROF.]:[AGRUP. CLAS. PROF.]]=$B84,IF(DATOS_[[Check Periodo Ref.]:[Check Periodo Ref.]]="Dentro",DATOS_[Conc.Sal.08]))))),
0)</f>
        <v>0</v>
      </c>
      <c r="N86" s="170">
        <f t="array" ref="N86">IFERROR(
MEDIAN((IF(DATOS_[[Sexo]:[Sexo]]=$B86,IF(DATOS_[[AGRUP. CLAS. PROF.]:[AGRUP. CLAS. PROF.]]=$B84,IF(DATOS_[[Check Periodo Ref.]:[Check Periodo Ref.]]="Dentro",DATOS_[Conc.Sal.09]))))),
0)</f>
        <v>0</v>
      </c>
      <c r="O86" s="170">
        <f t="array" ref="O86">IFERROR(
MEDIAN((IF(DATOS_[[Sexo]:[Sexo]]=$B86,IF(DATOS_[[AGRUP. CLAS. PROF.]:[AGRUP. CLAS. PROF.]]=$B84,IF(DATOS_[[Check Periodo Ref.]:[Check Periodo Ref.]]="Dentro",DATOS_[Conc.Sal.10]))))),
0)</f>
        <v>0</v>
      </c>
      <c r="P86" s="170">
        <f t="array" ref="P86">IFERROR(
MEDIAN((IF(DATOS_[[Sexo]:[Sexo]]=$B86,IF(DATOS_[[AGRUP. CLAS. PROF.]:[AGRUP. CLAS. PROF.]]=$B84,IF(DATOS_[[Check Periodo Ref.]:[Check Periodo Ref.]]="Dentro",DATOS_[Conc.Sal.11]))))),
0)</f>
        <v>0</v>
      </c>
      <c r="Q86" s="170">
        <f t="array" ref="Q86">IFERROR(
MEDIAN((IF(DATOS_[[Sexo]:[Sexo]]=$B86,IF(DATOS_[[AGRUP. CLAS. PROF.]:[AGRUP. CLAS. PROF.]]=$B84,IF(DATOS_[[Check Periodo Ref.]:[Check Periodo Ref.]]="Dentro",DATOS_[Conc.Sal.12]))))),
0)</f>
        <v>0</v>
      </c>
      <c r="R86" s="170">
        <f t="array" ref="R86">IFERROR(
MEDIAN((IF(DATOS_[[Sexo]:[Sexo]]=$B86,IF(DATOS_[[AGRUP. CLAS. PROF.]:[AGRUP. CLAS. PROF.]]=$B84,IF(DATOS_[[Check Periodo Ref.]:[Check Periodo Ref.]]="Dentro",DATOS_[Conc.Sal.13]))))),
0)</f>
        <v>0</v>
      </c>
      <c r="S86" s="170">
        <f t="array" ref="S86">IFERROR(
MEDIAN((IF(DATOS_[[Sexo]:[Sexo]]=$B86,IF(DATOS_[[AGRUP. CLAS. PROF.]:[AGRUP. CLAS. PROF.]]=$B84,IF(DATOS_[[Check Periodo Ref.]:[Check Periodo Ref.]]="Dentro",DATOS_[Conc.Sal.14]))))),
0)</f>
        <v>0</v>
      </c>
      <c r="T86" s="170">
        <f t="array" ref="T86">IFERROR(
MEDIAN((IF(DATOS_[[Sexo]:[Sexo]]=$B86,IF(DATOS_[[AGRUP. CLAS. PROF.]:[AGRUP. CLAS. PROF.]]=$B84,IF(DATOS_[[Check Periodo Ref.]:[Check Periodo Ref.]]="Dentro",DATOS_[Conc.Sal.15]))))),
0)</f>
        <v>0</v>
      </c>
      <c r="U86" s="170">
        <f t="array" ref="U86">IFERROR(
MEDIAN((IF(DATOS_[[Sexo]:[Sexo]]=$B86,IF(DATOS_[[AGRUP. CLAS. PROF.]:[AGRUP. CLAS. PROF.]]=$B84,IF(DATOS_[[Check Periodo Ref.]:[Check Periodo Ref.]]="Dentro",DATOS_[Conc.Sal.16]))))),
0)</f>
        <v>0</v>
      </c>
      <c r="V86" s="170">
        <f t="array" ref="V86">IFERROR(
MEDIAN((IF(DATOS_[[Sexo]:[Sexo]]=$B86,IF(DATOS_[[AGRUP. CLAS. PROF.]:[AGRUP. CLAS. PROF.]]=$B84,IF(DATOS_[[Check Periodo Ref.]:[Check Periodo Ref.]]="Dentro",DATOS_[Conc.Sal.17]))))),
0)</f>
        <v>0</v>
      </c>
      <c r="W86" s="170">
        <f t="array" ref="W86">IFERROR(
MEDIAN((IF(DATOS_[[Sexo]:[Sexo]]=$B86,IF(DATOS_[[AGRUP. CLAS. PROF.]:[AGRUP. CLAS. PROF.]]=$B84,IF(DATOS_[[Check Periodo Ref.]:[Check Periodo Ref.]]="Dentro",DATOS_[Conc.Sal.18]))))),
0)</f>
        <v>0</v>
      </c>
      <c r="X86" s="170">
        <f t="array" ref="X86">IFERROR(
MEDIAN((IF(DATOS_[[Sexo]:[Sexo]]=$B86,IF(DATOS_[[AGRUP. CLAS. PROF.]:[AGRUP. CLAS. PROF.]]=$B84,IF(DATOS_[[Check Periodo Ref.]:[Check Periodo Ref.]]="Dentro",DATOS_[Conc.Sal.19]))))),
0)</f>
        <v>0</v>
      </c>
      <c r="Y86" s="170">
        <f t="array" ref="Y86">IFERROR(
MEDIAN((IF(DATOS_[[Sexo]:[Sexo]]=$B86,IF(DATOS_[[AGRUP. CLAS. PROF.]:[AGRUP. CLAS. PROF.]]=$B84,IF(DATOS_[[Check Periodo Ref.]:[Check Periodo Ref.]]="Dentro",DATOS_[Conc.Sal.20]))))),
0)</f>
        <v>0</v>
      </c>
      <c r="Z86" s="170">
        <f t="array" ref="Z86">IFERROR(
MEDIAN((IF(DATOS_[[Sexo]:[Sexo]]=$B86,IF(DATOS_[[AGRUP. CLAS. PROF.]:[AGRUP. CLAS. PROF.]]=$B84,IF(DATOS_[[Check Periodo Ref.]:[Check Periodo Ref.]]="Dentro",DATOS_[Conc.Sal.21]))))),
0)</f>
        <v>0</v>
      </c>
      <c r="AA86" s="170">
        <f t="array" ref="AA86">IFERROR(
MEDIAN((IF(DATOS_[[Sexo]:[Sexo]]=$B86,IF(DATOS_[[AGRUP. CLAS. PROF.]:[AGRUP. CLAS. PROF.]]=$B84,IF(DATOS_[[Check Periodo Ref.]:[Check Periodo Ref.]]="Dentro",DATOS_[Conc.Sal.22]))))),
0)</f>
        <v>0</v>
      </c>
      <c r="AB86" s="170">
        <f t="array" ref="AB86">IFERROR(
MEDIAN((IF(DATOS_[[Sexo]:[Sexo]]=$B86,IF(DATOS_[[AGRUP. CLAS. PROF.]:[AGRUP. CLAS. PROF.]]=$B84,IF(DATOS_[[Check Periodo Ref.]:[Check Periodo Ref.]]="Dentro",DATOS_[Conc.Sal.23]))))),
0)</f>
        <v>0</v>
      </c>
      <c r="AC86" s="170">
        <f t="array" ref="AC86">IFERROR(
MEDIAN((IF(DATOS_[[Sexo]:[Sexo]]=$B86,IF(DATOS_[[AGRUP. CLAS. PROF.]:[AGRUP. CLAS. PROF.]]=$B84,IF(DATOS_[[Check Periodo Ref.]:[Check Periodo Ref.]]="Dentro",DATOS_[Conc.Sal.24]))))),
0)</f>
        <v>0</v>
      </c>
      <c r="AD86" s="170">
        <f t="array" ref="AD86">IFERROR(
MEDIAN((IF(DATOS_[[Sexo]:[Sexo]]=$B86,IF(DATOS_[[AGRUP. CLAS. PROF.]:[AGRUP. CLAS. PROF.]]=$B84,IF(DATOS_[[Check Periodo Ref.]:[Check Periodo Ref.]]="Dentro",DATOS_[Conc.Sal.25]))))),
0)</f>
        <v>0</v>
      </c>
      <c r="AE86" s="170">
        <f t="array" ref="AE86">IFERROR(
MEDIAN((IF(DATOS_[[Sexo]:[Sexo]]=$B86,IF(DATOS_[[AGRUP. CLAS. PROF.]:[AGRUP. CLAS. PROF.]]=$B84,IF(DATOS_[[Check Periodo Ref.]:[Check Periodo Ref.]]="Dentro",DATOS_[Conc.Sal.26]))))),
0)</f>
        <v>0</v>
      </c>
      <c r="AF86" s="170">
        <f t="array" ref="AF86">IFERROR(
MEDIAN((IF(DATOS_[[Sexo]:[Sexo]]=$B86,IF(DATOS_[[AGRUP. CLAS. PROF.]:[AGRUP. CLAS. PROF.]]=$B84,IF(DATOS_[[Check Periodo Ref.]:[Check Periodo Ref.]]="Dentro",DATOS_[Conc.Sal.27]))))),
0)</f>
        <v>0</v>
      </c>
      <c r="AG86" s="170">
        <f t="array" ref="AG86">IFERROR(
MEDIAN((IF(DATOS_[[Sexo]:[Sexo]]=$B86,IF(DATOS_[[AGRUP. CLAS. PROF.]:[AGRUP. CLAS. PROF.]]=$B84,IF(DATOS_[[Check Periodo Ref.]:[Check Periodo Ref.]]="Dentro",DATOS_[Conc.Sal.28]))))),
0)</f>
        <v>0</v>
      </c>
      <c r="AH86" s="170">
        <f t="array" ref="AH86">IFERROR(
MEDIAN((IF(DATOS_[[Sexo]:[Sexo]]=$B86,IF(DATOS_[[AGRUP. CLAS. PROF.]:[AGRUP. CLAS. PROF.]]=$B84,IF(DATOS_[[Check Periodo Ref.]:[Check Periodo Ref.]]="Dentro",DATOS_[Conc.Sal.29]))))),
0)</f>
        <v>0</v>
      </c>
      <c r="AI86" s="170">
        <f t="array" ref="AI86">IFERROR(
MEDIAN((IF(DATOS_[[Sexo]:[Sexo]]=$B86,IF(DATOS_[[AGRUP. CLAS. PROF.]:[AGRUP. CLAS. PROF.]]=$B84,IF(DATOS_[[Check Periodo Ref.]:[Check Periodo Ref.]]="Dentro",DATOS_[Conc.Sal.30]))))),
0)</f>
        <v>0</v>
      </c>
      <c r="AJ86" s="171">
        <f t="array" ref="AJ86">IFERROR(
MEDIAN(IF(DATOS_[Sexo]=$B86,IF(DATOS_[AGRUP. CLAS. PROF.]=$B84,IF(DATOS_[Check Periodo Ref.]="Dentro",DATOS_[Tot COMPL.SAL Ef],FALSE)))),
0)</f>
        <v>0</v>
      </c>
      <c r="AK86" s="172">
        <f t="array" ref="AK86">IFERROR(
MEDIAN(IF(DATOS_[Sexo]=$B86,IF(DATOS_[AGRUP. CLAS. PROF.]=$B84,IF(DATOS_[Check Periodo Ref.]="Dentro",DATOS_[TOTAL SALARIO Ef],FALSE)))),
0)</f>
        <v>0</v>
      </c>
      <c r="AL86" s="173">
        <f t="array" ref="AL86">IFERROR(
MEDIAN((IF(DATOS_[[Sexo]:[Sexo]]=$B86,IF(DATOS_[[AGRUP. CLAS. PROF.]:[AGRUP. CLAS. PROF.]]=$B84,IF(DATOS_[[Check Periodo Ref.]:[Check Periodo Ref.]]="Dentro",DATOS_[C.Extra.01]))))),
0)</f>
        <v>0</v>
      </c>
      <c r="AM86" s="173">
        <f t="array" ref="AM86">IFERROR(
MEDIAN((IF(DATOS_[[Sexo]:[Sexo]]=$B86,IF(DATOS_[[AGRUP. CLAS. PROF.]:[AGRUP. CLAS. PROF.]]=$B84,IF(DATOS_[[Check Periodo Ref.]:[Check Periodo Ref.]]="Dentro",DATOS_[C.Extra.06]))))),
0)</f>
        <v>0</v>
      </c>
      <c r="AN86" s="173">
        <f t="array" ref="AN86">IFERROR(
MEDIAN((IF(DATOS_[[Sexo]:[Sexo]]=$B86,IF(DATOS_[[AGRUP. CLAS. PROF.]:[AGRUP. CLAS. PROF.]]=$B84,IF(DATOS_[[Check Periodo Ref.]:[Check Periodo Ref.]]="Dentro",DATOS_[C.Extra.07]))))),
0)</f>
        <v>0</v>
      </c>
      <c r="AO86" s="173">
        <f t="array" ref="AO86">IFERROR(
MEDIAN((IF(DATOS_[[Sexo]:[Sexo]]=$B86,IF(DATOS_[[AGRUP. CLAS. PROF.]:[AGRUP. CLAS. PROF.]]=$B84,IF(DATOS_[[Check Periodo Ref.]:[Check Periodo Ref.]]="Dentro",DATOS_[C.Extra.08]))))),
0)</f>
        <v>0</v>
      </c>
      <c r="AP86" s="173">
        <f t="array" ref="AP86">IFERROR(
MEDIAN((IF(DATOS_[[Sexo]:[Sexo]]=$B86,IF(DATOS_[[AGRUP. CLAS. PROF.]:[AGRUP. CLAS. PROF.]]=$B84,IF(DATOS_[[Check Periodo Ref.]:[Check Periodo Ref.]]="Dentro",DATOS_[C.Extra.11]))))),
0)</f>
        <v>0</v>
      </c>
      <c r="AQ86" s="174">
        <f t="array" ref="AQ86">IFERROR(
MEDIAN(IF(DATOS_[Sexo]=$B86,IF(DATOS_[AGRUP. CLAS. PROF.]=$B84,IF(DATOS_[Check Periodo Ref.]="Dentro",DATOS_[Tot Extrasalarial Ef],FALSE)))),
0)</f>
        <v>0</v>
      </c>
      <c r="AR86" s="171">
        <f t="array" ref="AR86">IFERROR(
MEDIAN(IF(DATOS_[Sexo]=$B86,IF(DATOS_[AGRUP. CLAS. PROF.]=$B84,IF(DATOS_[Check Periodo Ref.]="Dentro",DATOS_[TOTAL Retrib Ef],FALSE)))),
0)</f>
        <v>0</v>
      </c>
    </row>
    <row r="87" spans="1:44" ht="14.4" hidden="1" thickBot="1" x14ac:dyDescent="0.3">
      <c r="A87" s="178" t="str">
        <f t="shared" ref="A87" si="99">+A88</f>
        <v>[ocultar]</v>
      </c>
      <c r="B87" s="153" t="s">
        <v>274</v>
      </c>
      <c r="C87" s="154"/>
      <c r="D87" s="155"/>
      <c r="E87" s="156" t="str">
        <f t="shared" ref="E87:AR87" si="100">IFERROR((E88-E89)/E88,"")</f>
        <v/>
      </c>
      <c r="F87" s="157" t="str">
        <f t="shared" si="100"/>
        <v/>
      </c>
      <c r="G87" s="158" t="str">
        <f t="shared" si="100"/>
        <v/>
      </c>
      <c r="H87" s="158" t="str">
        <f t="shared" si="100"/>
        <v/>
      </c>
      <c r="I87" s="158" t="str">
        <f t="shared" si="100"/>
        <v/>
      </c>
      <c r="J87" s="159" t="str">
        <f t="shared" si="100"/>
        <v/>
      </c>
      <c r="K87" s="160" t="str">
        <f t="shared" si="100"/>
        <v/>
      </c>
      <c r="L87" s="160" t="str">
        <f t="shared" si="100"/>
        <v/>
      </c>
      <c r="M87" s="160" t="str">
        <f t="shared" si="100"/>
        <v/>
      </c>
      <c r="N87" s="160" t="str">
        <f t="shared" si="100"/>
        <v/>
      </c>
      <c r="O87" s="160" t="str">
        <f t="shared" si="100"/>
        <v/>
      </c>
      <c r="P87" s="160" t="str">
        <f t="shared" si="100"/>
        <v/>
      </c>
      <c r="Q87" s="160" t="str">
        <f t="shared" si="100"/>
        <v/>
      </c>
      <c r="R87" s="160" t="str">
        <f t="shared" si="100"/>
        <v/>
      </c>
      <c r="S87" s="160" t="str">
        <f t="shared" si="100"/>
        <v/>
      </c>
      <c r="T87" s="160" t="str">
        <f t="shared" si="100"/>
        <v/>
      </c>
      <c r="U87" s="160" t="str">
        <f t="shared" si="100"/>
        <v/>
      </c>
      <c r="V87" s="159" t="str">
        <f t="shared" si="100"/>
        <v/>
      </c>
      <c r="W87" s="159" t="str">
        <f t="shared" si="100"/>
        <v/>
      </c>
      <c r="X87" s="159" t="str">
        <f t="shared" si="100"/>
        <v/>
      </c>
      <c r="Y87" s="159" t="str">
        <f t="shared" si="100"/>
        <v/>
      </c>
      <c r="Z87" s="159" t="str">
        <f t="shared" si="100"/>
        <v/>
      </c>
      <c r="AA87" s="159" t="str">
        <f t="shared" si="100"/>
        <v/>
      </c>
      <c r="AB87" s="159" t="str">
        <f t="shared" si="100"/>
        <v/>
      </c>
      <c r="AC87" s="159" t="str">
        <f t="shared" si="100"/>
        <v/>
      </c>
      <c r="AD87" s="159" t="str">
        <f t="shared" si="100"/>
        <v/>
      </c>
      <c r="AE87" s="159" t="str">
        <f t="shared" si="100"/>
        <v/>
      </c>
      <c r="AF87" s="159" t="str">
        <f t="shared" si="100"/>
        <v/>
      </c>
      <c r="AG87" s="159" t="str">
        <f t="shared" si="100"/>
        <v/>
      </c>
      <c r="AH87" s="159" t="str">
        <f t="shared" si="100"/>
        <v/>
      </c>
      <c r="AI87" s="159" t="str">
        <f t="shared" si="100"/>
        <v/>
      </c>
      <c r="AJ87" s="161" t="str">
        <f t="shared" si="100"/>
        <v/>
      </c>
      <c r="AK87" s="162" t="str">
        <f t="shared" si="100"/>
        <v/>
      </c>
      <c r="AL87" s="163" t="str">
        <f t="shared" si="100"/>
        <v/>
      </c>
      <c r="AM87" s="163" t="str">
        <f t="shared" si="100"/>
        <v/>
      </c>
      <c r="AN87" s="163" t="str">
        <f t="shared" si="100"/>
        <v/>
      </c>
      <c r="AO87" s="163" t="str">
        <f t="shared" si="100"/>
        <v/>
      </c>
      <c r="AP87" s="163" t="str">
        <f t="shared" si="100"/>
        <v/>
      </c>
      <c r="AQ87" s="164" t="str">
        <f t="shared" si="100"/>
        <v/>
      </c>
      <c r="AR87" s="161" t="str">
        <f t="shared" si="100"/>
        <v/>
      </c>
    </row>
    <row r="88" spans="1:44" hidden="1" x14ac:dyDescent="0.25">
      <c r="A88" s="178" t="str">
        <f t="shared" ref="A88" si="101">+IF(C88+C89=0,"[ocultar]","")</f>
        <v>[ocultar]</v>
      </c>
      <c r="B88" s="166" t="s">
        <v>394</v>
      </c>
      <c r="C88" s="167">
        <f t="array" ref="C88">SUM(IF($B88=DATOS_[Sexo],
IF($B87=DATOS_[AGRUP. CLAS. PROF.],
IF("Dentro"=DATOS_[Check Periodo Ref.],
1/(COUNTIFS(DATOS_[Sexo],$B88,DATOS_[AGRUP. CLAS. PROF.],$B87,DATOS_[Check Periodo Ref.],"Dentro",DATOS_[id/cod],DATOS_[id/cod]))))))</f>
        <v>0</v>
      </c>
      <c r="D88" s="168">
        <f>COUNTIFS(DATOS_[AGRUP. CLAS. PROF.],$B87,DATOS_[Sexo],$B88,DATOS_[Check Periodo Ref.],"Dentro")</f>
        <v>0</v>
      </c>
      <c r="E88" s="169">
        <f t="array" ref="E88">IFERROR(
MEDIAN(IF(DATOS_[Sexo]=$B88,IF(DATOS_[AGRUP. CLAS. PROF.]=$B87,IF(DATOS_[Check Periodo Ref.]="Dentro",DATOS_[SALARIO BASE Ef],FALSE)))),
0)</f>
        <v>0</v>
      </c>
      <c r="F88" s="170">
        <f t="array" ref="F88">IFERROR(
MEDIAN((IF(DATOS_[[Sexo]:[Sexo]]=$B88,IF(DATOS_[[AGRUP. CLAS. PROF.]:[AGRUP. CLAS. PROF.]]=$B87,IF(DATOS_[[Check Periodo Ref.]:[Check Periodo Ref.]]="Dentro",DATOS_[Conc.Sal.01]))))),
0)</f>
        <v>0</v>
      </c>
      <c r="G88" s="170">
        <f t="array" ref="G88">IFERROR(
MEDIAN((IF(DATOS_[[Sexo]:[Sexo]]=$B88,IF(DATOS_[[AGRUP. CLAS. PROF.]:[AGRUP. CLAS. PROF.]]=$B87,IF(DATOS_[[Check Periodo Ref.]:[Check Periodo Ref.]]="Dentro",DATOS_[Conc.Sal.02]))))),
0)</f>
        <v>0</v>
      </c>
      <c r="H88" s="170">
        <f t="array" ref="H88">IFERROR(
MEDIAN((IF(DATOS_[[Sexo]:[Sexo]]=$B88,IF(DATOS_[[AGRUP. CLAS. PROF.]:[AGRUP. CLAS. PROF.]]=$B87,IF(DATOS_[[Check Periodo Ref.]:[Check Periodo Ref.]]="Dentro",DATOS_[Conc.Sal.03]))))),
0)</f>
        <v>0</v>
      </c>
      <c r="I88" s="170">
        <f t="array" ref="I88">IFERROR(
MEDIAN((IF(DATOS_[[Sexo]:[Sexo]]=$B88,IF(DATOS_[[AGRUP. CLAS. PROF.]:[AGRUP. CLAS. PROF.]]=$B87,IF(DATOS_[[Check Periodo Ref.]:[Check Periodo Ref.]]="Dentro",DATOS_[Conc.Sal.04]))))),
0)</f>
        <v>0</v>
      </c>
      <c r="J88" s="170">
        <f t="array" ref="J88">IFERROR(
MEDIAN((IF(DATOS_[[Sexo]:[Sexo]]=$B88,IF(DATOS_[[AGRUP. CLAS. PROF.]:[AGRUP. CLAS. PROF.]]=$B87,IF(DATOS_[[Check Periodo Ref.]:[Check Periodo Ref.]]="Dentro",DATOS_[Conc.Sal.05]))))),
0)</f>
        <v>0</v>
      </c>
      <c r="K88" s="170">
        <f t="array" ref="K88">IFERROR(
MEDIAN((IF(DATOS_[[Sexo]:[Sexo]]=$B88,IF(DATOS_[[AGRUP. CLAS. PROF.]:[AGRUP. CLAS. PROF.]]=$B87,IF(DATOS_[[Check Periodo Ref.]:[Check Periodo Ref.]]="Dentro",DATOS_[Conc.Sal.06]))))),
0)</f>
        <v>0</v>
      </c>
      <c r="L88" s="170">
        <f t="array" ref="L88">IFERROR(
MEDIAN((IF(DATOS_[[Sexo]:[Sexo]]=$B88,IF(DATOS_[[AGRUP. CLAS. PROF.]:[AGRUP. CLAS. PROF.]]=$B87,IF(DATOS_[[Check Periodo Ref.]:[Check Periodo Ref.]]="Dentro",DATOS_[Conc.Sal.07]))))),
0)</f>
        <v>0</v>
      </c>
      <c r="M88" s="170">
        <f t="array" ref="M88">IFERROR(
MEDIAN((IF(DATOS_[[Sexo]:[Sexo]]=$B88,IF(DATOS_[[AGRUP. CLAS. PROF.]:[AGRUP. CLAS. PROF.]]=$B87,IF(DATOS_[[Check Periodo Ref.]:[Check Periodo Ref.]]="Dentro",DATOS_[Conc.Sal.08]))))),
0)</f>
        <v>0</v>
      </c>
      <c r="N88" s="170">
        <f t="array" ref="N88">IFERROR(
MEDIAN((IF(DATOS_[[Sexo]:[Sexo]]=$B88,IF(DATOS_[[AGRUP. CLAS. PROF.]:[AGRUP. CLAS. PROF.]]=$B87,IF(DATOS_[[Check Periodo Ref.]:[Check Periodo Ref.]]="Dentro",DATOS_[Conc.Sal.09]))))),
0)</f>
        <v>0</v>
      </c>
      <c r="O88" s="170">
        <f t="array" ref="O88">IFERROR(
MEDIAN((IF(DATOS_[[Sexo]:[Sexo]]=$B88,IF(DATOS_[[AGRUP. CLAS. PROF.]:[AGRUP. CLAS. PROF.]]=$B87,IF(DATOS_[[Check Periodo Ref.]:[Check Periodo Ref.]]="Dentro",DATOS_[Conc.Sal.10]))))),
0)</f>
        <v>0</v>
      </c>
      <c r="P88" s="170">
        <f t="array" ref="P88">IFERROR(
MEDIAN((IF(DATOS_[[Sexo]:[Sexo]]=$B88,IF(DATOS_[[AGRUP. CLAS. PROF.]:[AGRUP. CLAS. PROF.]]=$B87,IF(DATOS_[[Check Periodo Ref.]:[Check Periodo Ref.]]="Dentro",DATOS_[Conc.Sal.11]))))),
0)</f>
        <v>0</v>
      </c>
      <c r="Q88" s="170">
        <f t="array" ref="Q88">IFERROR(
MEDIAN((IF(DATOS_[[Sexo]:[Sexo]]=$B88,IF(DATOS_[[AGRUP. CLAS. PROF.]:[AGRUP. CLAS. PROF.]]=$B87,IF(DATOS_[[Check Periodo Ref.]:[Check Periodo Ref.]]="Dentro",DATOS_[Conc.Sal.12]))))),
0)</f>
        <v>0</v>
      </c>
      <c r="R88" s="170">
        <f t="array" ref="R88">IFERROR(
MEDIAN((IF(DATOS_[[Sexo]:[Sexo]]=$B88,IF(DATOS_[[AGRUP. CLAS. PROF.]:[AGRUP. CLAS. PROF.]]=$B87,IF(DATOS_[[Check Periodo Ref.]:[Check Periodo Ref.]]="Dentro",DATOS_[Conc.Sal.13]))))),
0)</f>
        <v>0</v>
      </c>
      <c r="S88" s="170">
        <f t="array" ref="S88">IFERROR(
MEDIAN((IF(DATOS_[[Sexo]:[Sexo]]=$B88,IF(DATOS_[[AGRUP. CLAS. PROF.]:[AGRUP. CLAS. PROF.]]=$B87,IF(DATOS_[[Check Periodo Ref.]:[Check Periodo Ref.]]="Dentro",DATOS_[Conc.Sal.14]))))),
0)</f>
        <v>0</v>
      </c>
      <c r="T88" s="170">
        <f t="array" ref="T88">IFERROR(
MEDIAN((IF(DATOS_[[Sexo]:[Sexo]]=$B88,IF(DATOS_[[AGRUP. CLAS. PROF.]:[AGRUP. CLAS. PROF.]]=$B87,IF(DATOS_[[Check Periodo Ref.]:[Check Periodo Ref.]]="Dentro",DATOS_[Conc.Sal.15]))))),
0)</f>
        <v>0</v>
      </c>
      <c r="U88" s="170">
        <f t="array" ref="U88">IFERROR(
MEDIAN((IF(DATOS_[[Sexo]:[Sexo]]=$B88,IF(DATOS_[[AGRUP. CLAS. PROF.]:[AGRUP. CLAS. PROF.]]=$B87,IF(DATOS_[[Check Periodo Ref.]:[Check Periodo Ref.]]="Dentro",DATOS_[Conc.Sal.16]))))),
0)</f>
        <v>0</v>
      </c>
      <c r="V88" s="170">
        <f t="array" ref="V88">IFERROR(
MEDIAN((IF(DATOS_[[Sexo]:[Sexo]]=$B88,IF(DATOS_[[AGRUP. CLAS. PROF.]:[AGRUP. CLAS. PROF.]]=$B87,IF(DATOS_[[Check Periodo Ref.]:[Check Periodo Ref.]]="Dentro",DATOS_[Conc.Sal.17]))))),
0)</f>
        <v>0</v>
      </c>
      <c r="W88" s="170">
        <f t="array" ref="W88">IFERROR(
MEDIAN((IF(DATOS_[[Sexo]:[Sexo]]=$B88,IF(DATOS_[[AGRUP. CLAS. PROF.]:[AGRUP. CLAS. PROF.]]=$B87,IF(DATOS_[[Check Periodo Ref.]:[Check Periodo Ref.]]="Dentro",DATOS_[Conc.Sal.18]))))),
0)</f>
        <v>0</v>
      </c>
      <c r="X88" s="170">
        <f t="array" ref="X88">IFERROR(
MEDIAN((IF(DATOS_[[Sexo]:[Sexo]]=$B88,IF(DATOS_[[AGRUP. CLAS. PROF.]:[AGRUP. CLAS. PROF.]]=$B87,IF(DATOS_[[Check Periodo Ref.]:[Check Periodo Ref.]]="Dentro",DATOS_[Conc.Sal.19]))))),
0)</f>
        <v>0</v>
      </c>
      <c r="Y88" s="170">
        <f t="array" ref="Y88">IFERROR(
MEDIAN((IF(DATOS_[[Sexo]:[Sexo]]=$B88,IF(DATOS_[[AGRUP. CLAS. PROF.]:[AGRUP. CLAS. PROF.]]=$B87,IF(DATOS_[[Check Periodo Ref.]:[Check Periodo Ref.]]="Dentro",DATOS_[Conc.Sal.20]))))),
0)</f>
        <v>0</v>
      </c>
      <c r="Z88" s="170">
        <f t="array" ref="Z88">IFERROR(
MEDIAN((IF(DATOS_[[Sexo]:[Sexo]]=$B88,IF(DATOS_[[AGRUP. CLAS. PROF.]:[AGRUP. CLAS. PROF.]]=$B87,IF(DATOS_[[Check Periodo Ref.]:[Check Periodo Ref.]]="Dentro",DATOS_[Conc.Sal.21]))))),
0)</f>
        <v>0</v>
      </c>
      <c r="AA88" s="170">
        <f t="array" ref="AA88">IFERROR(
MEDIAN((IF(DATOS_[[Sexo]:[Sexo]]=$B88,IF(DATOS_[[AGRUP. CLAS. PROF.]:[AGRUP. CLAS. PROF.]]=$B87,IF(DATOS_[[Check Periodo Ref.]:[Check Periodo Ref.]]="Dentro",DATOS_[Conc.Sal.22]))))),
0)</f>
        <v>0</v>
      </c>
      <c r="AB88" s="170">
        <f t="array" ref="AB88">IFERROR(
MEDIAN((IF(DATOS_[[Sexo]:[Sexo]]=$B88,IF(DATOS_[[AGRUP. CLAS. PROF.]:[AGRUP. CLAS. PROF.]]=$B87,IF(DATOS_[[Check Periodo Ref.]:[Check Periodo Ref.]]="Dentro",DATOS_[Conc.Sal.23]))))),
0)</f>
        <v>0</v>
      </c>
      <c r="AC88" s="170">
        <f t="array" ref="AC88">IFERROR(
MEDIAN((IF(DATOS_[[Sexo]:[Sexo]]=$B88,IF(DATOS_[[AGRUP. CLAS. PROF.]:[AGRUP. CLAS. PROF.]]=$B87,IF(DATOS_[[Check Periodo Ref.]:[Check Periodo Ref.]]="Dentro",DATOS_[Conc.Sal.24]))))),
0)</f>
        <v>0</v>
      </c>
      <c r="AD88" s="170">
        <f t="array" ref="AD88">IFERROR(
MEDIAN((IF(DATOS_[[Sexo]:[Sexo]]=$B88,IF(DATOS_[[AGRUP. CLAS. PROF.]:[AGRUP. CLAS. PROF.]]=$B87,IF(DATOS_[[Check Periodo Ref.]:[Check Periodo Ref.]]="Dentro",DATOS_[Conc.Sal.25]))))),
0)</f>
        <v>0</v>
      </c>
      <c r="AE88" s="170">
        <f t="array" ref="AE88">IFERROR(
MEDIAN((IF(DATOS_[[Sexo]:[Sexo]]=$B88,IF(DATOS_[[AGRUP. CLAS. PROF.]:[AGRUP. CLAS. PROF.]]=$B87,IF(DATOS_[[Check Periodo Ref.]:[Check Periodo Ref.]]="Dentro",DATOS_[Conc.Sal.26]))))),
0)</f>
        <v>0</v>
      </c>
      <c r="AF88" s="170">
        <f t="array" ref="AF88">IFERROR(
MEDIAN((IF(DATOS_[[Sexo]:[Sexo]]=$B88,IF(DATOS_[[AGRUP. CLAS. PROF.]:[AGRUP. CLAS. PROF.]]=$B87,IF(DATOS_[[Check Periodo Ref.]:[Check Periodo Ref.]]="Dentro",DATOS_[Conc.Sal.27]))))),
0)</f>
        <v>0</v>
      </c>
      <c r="AG88" s="170">
        <f t="array" ref="AG88">IFERROR(
MEDIAN((IF(DATOS_[[Sexo]:[Sexo]]=$B88,IF(DATOS_[[AGRUP. CLAS. PROF.]:[AGRUP. CLAS. PROF.]]=$B87,IF(DATOS_[[Check Periodo Ref.]:[Check Periodo Ref.]]="Dentro",DATOS_[Conc.Sal.28]))))),
0)</f>
        <v>0</v>
      </c>
      <c r="AH88" s="170">
        <f t="array" ref="AH88">IFERROR(
MEDIAN((IF(DATOS_[[Sexo]:[Sexo]]=$B88,IF(DATOS_[[AGRUP. CLAS. PROF.]:[AGRUP. CLAS. PROF.]]=$B87,IF(DATOS_[[Check Periodo Ref.]:[Check Periodo Ref.]]="Dentro",DATOS_[Conc.Sal.29]))))),
0)</f>
        <v>0</v>
      </c>
      <c r="AI88" s="170">
        <f t="array" ref="AI88">IFERROR(
MEDIAN((IF(DATOS_[[Sexo]:[Sexo]]=$B88,IF(DATOS_[[AGRUP. CLAS. PROF.]:[AGRUP. CLAS. PROF.]]=$B87,IF(DATOS_[[Check Periodo Ref.]:[Check Periodo Ref.]]="Dentro",DATOS_[Conc.Sal.30]))))),
0)</f>
        <v>0</v>
      </c>
      <c r="AJ88" s="171">
        <f t="array" ref="AJ88">IFERROR(
MEDIAN(IF(DATOS_[Sexo]=$B88,IF(DATOS_[AGRUP. CLAS. PROF.]=$B87,IF(DATOS_[Check Periodo Ref.]="Dentro",DATOS_[Tot COMPL.SAL Ef],FALSE)))),
0)</f>
        <v>0</v>
      </c>
      <c r="AK88" s="172">
        <f t="array" ref="AK88">IFERROR(
MEDIAN(IF(DATOS_[Sexo]=$B88,IF(DATOS_[AGRUP. CLAS. PROF.]=$B87,IF(DATOS_[Check Periodo Ref.]="Dentro",DATOS_[TOTAL SALARIO Ef],FALSE)))),
0)</f>
        <v>0</v>
      </c>
      <c r="AL88" s="173">
        <f t="array" ref="AL88">IFERROR(
MEDIAN((IF(DATOS_[[Sexo]:[Sexo]]=$B88,IF(DATOS_[[AGRUP. CLAS. PROF.]:[AGRUP. CLAS. PROF.]]=$B87,IF(DATOS_[[Check Periodo Ref.]:[Check Periodo Ref.]]="Dentro",DATOS_[C.Extra.01]))))),
0)</f>
        <v>0</v>
      </c>
      <c r="AM88" s="173">
        <f t="array" ref="AM88">IFERROR(
MEDIAN((IF(DATOS_[[Sexo]:[Sexo]]=$B88,IF(DATOS_[[AGRUP. CLAS. PROF.]:[AGRUP. CLAS. PROF.]]=$B87,IF(DATOS_[[Check Periodo Ref.]:[Check Periodo Ref.]]="Dentro",DATOS_[C.Extra.06]))))),
0)</f>
        <v>0</v>
      </c>
      <c r="AN88" s="173">
        <f t="array" ref="AN88">IFERROR(
MEDIAN((IF(DATOS_[[Sexo]:[Sexo]]=$B88,IF(DATOS_[[AGRUP. CLAS. PROF.]:[AGRUP. CLAS. PROF.]]=$B87,IF(DATOS_[[Check Periodo Ref.]:[Check Periodo Ref.]]="Dentro",DATOS_[C.Extra.07]))))),
0)</f>
        <v>0</v>
      </c>
      <c r="AO88" s="173">
        <f t="array" ref="AO88">IFERROR(
MEDIAN((IF(DATOS_[[Sexo]:[Sexo]]=$B88,IF(DATOS_[[AGRUP. CLAS. PROF.]:[AGRUP. CLAS. PROF.]]=$B87,IF(DATOS_[[Check Periodo Ref.]:[Check Periodo Ref.]]="Dentro",DATOS_[C.Extra.08]))))),
0)</f>
        <v>0</v>
      </c>
      <c r="AP88" s="173">
        <f t="array" ref="AP88">IFERROR(
MEDIAN((IF(DATOS_[[Sexo]:[Sexo]]=$B88,IF(DATOS_[[AGRUP. CLAS. PROF.]:[AGRUP. CLAS. PROF.]]=$B87,IF(DATOS_[[Check Periodo Ref.]:[Check Periodo Ref.]]="Dentro",DATOS_[C.Extra.11]))))),
0)</f>
        <v>0</v>
      </c>
      <c r="AQ88" s="174">
        <f t="array" ref="AQ88">IFERROR(
MEDIAN(IF(DATOS_[Sexo]=$B88,IF(DATOS_[AGRUP. CLAS. PROF.]=$B87,IF(DATOS_[Check Periodo Ref.]="Dentro",DATOS_[Tot Extrasalarial Ef],FALSE)))),
0)</f>
        <v>0</v>
      </c>
      <c r="AR88" s="171">
        <f t="array" ref="AR88">IFERROR(
MEDIAN(IF(DATOS_[Sexo]=$B88,IF(DATOS_[AGRUP. CLAS. PROF.]=$B87,IF(DATOS_[Check Periodo Ref.]="Dentro",DATOS_[TOTAL Retrib Ef],FALSE)))),
0)</f>
        <v>0</v>
      </c>
    </row>
    <row r="89" spans="1:44" hidden="1" x14ac:dyDescent="0.25">
      <c r="A89" s="178" t="str">
        <f t="shared" ref="A89" si="102">+A88</f>
        <v>[ocultar]</v>
      </c>
      <c r="B89" s="166" t="s">
        <v>521</v>
      </c>
      <c r="C89" s="167">
        <f t="array" ref="C89">SUM(IF($B89=DATOS_[Sexo],
IF($B87=DATOS_[AGRUP. CLAS. PROF.],
IF("Dentro"=DATOS_[Check Periodo Ref.],
1/(COUNTIFS(DATOS_[Sexo],$B89,DATOS_[AGRUP. CLAS. PROF.],$B87,DATOS_[Check Periodo Ref.],"Dentro",DATOS_[id/cod],DATOS_[id/cod]))))))</f>
        <v>0</v>
      </c>
      <c r="D89" s="168">
        <f>COUNTIFS(DATOS_[AGRUP. CLAS. PROF.],$B87,DATOS_[Sexo],$B89,DATOS_[Check Periodo Ref.],"Dentro")</f>
        <v>0</v>
      </c>
      <c r="E89" s="169">
        <f t="array" ref="E89">IFERROR(
MEDIAN(IF(DATOS_[Sexo]=$B89,IF(DATOS_[AGRUP. CLAS. PROF.]=$B87,IF(DATOS_[Check Periodo Ref.]="Dentro",DATOS_[SALARIO BASE Ef],FALSE)))),
0)</f>
        <v>0</v>
      </c>
      <c r="F89" s="170">
        <f t="array" ref="F89">IFERROR(
MEDIAN((IF(DATOS_[[Sexo]:[Sexo]]=$B89,IF(DATOS_[[AGRUP. CLAS. PROF.]:[AGRUP. CLAS. PROF.]]=$B87,IF(DATOS_[[Check Periodo Ref.]:[Check Periodo Ref.]]="Dentro",DATOS_[Conc.Sal.01]))))),
0)</f>
        <v>0</v>
      </c>
      <c r="G89" s="170">
        <f t="array" ref="G89">IFERROR(
MEDIAN((IF(DATOS_[[Sexo]:[Sexo]]=$B89,IF(DATOS_[[AGRUP. CLAS. PROF.]:[AGRUP. CLAS. PROF.]]=$B87,IF(DATOS_[[Check Periodo Ref.]:[Check Periodo Ref.]]="Dentro",DATOS_[Conc.Sal.02]))))),
0)</f>
        <v>0</v>
      </c>
      <c r="H89" s="170">
        <f t="array" ref="H89">IFERROR(
MEDIAN((IF(DATOS_[[Sexo]:[Sexo]]=$B89,IF(DATOS_[[AGRUP. CLAS. PROF.]:[AGRUP. CLAS. PROF.]]=$B87,IF(DATOS_[[Check Periodo Ref.]:[Check Periodo Ref.]]="Dentro",DATOS_[Conc.Sal.03]))))),
0)</f>
        <v>0</v>
      </c>
      <c r="I89" s="170">
        <f t="array" ref="I89">IFERROR(
MEDIAN((IF(DATOS_[[Sexo]:[Sexo]]=$B89,IF(DATOS_[[AGRUP. CLAS. PROF.]:[AGRUP. CLAS. PROF.]]=$B87,IF(DATOS_[[Check Periodo Ref.]:[Check Periodo Ref.]]="Dentro",DATOS_[Conc.Sal.04]))))),
0)</f>
        <v>0</v>
      </c>
      <c r="J89" s="170">
        <f t="array" ref="J89">IFERROR(
MEDIAN((IF(DATOS_[[Sexo]:[Sexo]]=$B89,IF(DATOS_[[AGRUP. CLAS. PROF.]:[AGRUP. CLAS. PROF.]]=$B87,IF(DATOS_[[Check Periodo Ref.]:[Check Periodo Ref.]]="Dentro",DATOS_[Conc.Sal.05]))))),
0)</f>
        <v>0</v>
      </c>
      <c r="K89" s="170">
        <f t="array" ref="K89">IFERROR(
MEDIAN((IF(DATOS_[[Sexo]:[Sexo]]=$B89,IF(DATOS_[[AGRUP. CLAS. PROF.]:[AGRUP. CLAS. PROF.]]=$B87,IF(DATOS_[[Check Periodo Ref.]:[Check Periodo Ref.]]="Dentro",DATOS_[Conc.Sal.06]))))),
0)</f>
        <v>0</v>
      </c>
      <c r="L89" s="170">
        <f t="array" ref="L89">IFERROR(
MEDIAN((IF(DATOS_[[Sexo]:[Sexo]]=$B89,IF(DATOS_[[AGRUP. CLAS. PROF.]:[AGRUP. CLAS. PROF.]]=$B87,IF(DATOS_[[Check Periodo Ref.]:[Check Periodo Ref.]]="Dentro",DATOS_[Conc.Sal.07]))))),
0)</f>
        <v>0</v>
      </c>
      <c r="M89" s="170">
        <f t="array" ref="M89">IFERROR(
MEDIAN((IF(DATOS_[[Sexo]:[Sexo]]=$B89,IF(DATOS_[[AGRUP. CLAS. PROF.]:[AGRUP. CLAS. PROF.]]=$B87,IF(DATOS_[[Check Periodo Ref.]:[Check Periodo Ref.]]="Dentro",DATOS_[Conc.Sal.08]))))),
0)</f>
        <v>0</v>
      </c>
      <c r="N89" s="170">
        <f t="array" ref="N89">IFERROR(
MEDIAN((IF(DATOS_[[Sexo]:[Sexo]]=$B89,IF(DATOS_[[AGRUP. CLAS. PROF.]:[AGRUP. CLAS. PROF.]]=$B87,IF(DATOS_[[Check Periodo Ref.]:[Check Periodo Ref.]]="Dentro",DATOS_[Conc.Sal.09]))))),
0)</f>
        <v>0</v>
      </c>
      <c r="O89" s="170">
        <f t="array" ref="O89">IFERROR(
MEDIAN((IF(DATOS_[[Sexo]:[Sexo]]=$B89,IF(DATOS_[[AGRUP. CLAS. PROF.]:[AGRUP. CLAS. PROF.]]=$B87,IF(DATOS_[[Check Periodo Ref.]:[Check Periodo Ref.]]="Dentro",DATOS_[Conc.Sal.10]))))),
0)</f>
        <v>0</v>
      </c>
      <c r="P89" s="170">
        <f t="array" ref="P89">IFERROR(
MEDIAN((IF(DATOS_[[Sexo]:[Sexo]]=$B89,IF(DATOS_[[AGRUP. CLAS. PROF.]:[AGRUP. CLAS. PROF.]]=$B87,IF(DATOS_[[Check Periodo Ref.]:[Check Periodo Ref.]]="Dentro",DATOS_[Conc.Sal.11]))))),
0)</f>
        <v>0</v>
      </c>
      <c r="Q89" s="170">
        <f t="array" ref="Q89">IFERROR(
MEDIAN((IF(DATOS_[[Sexo]:[Sexo]]=$B89,IF(DATOS_[[AGRUP. CLAS. PROF.]:[AGRUP. CLAS. PROF.]]=$B87,IF(DATOS_[[Check Periodo Ref.]:[Check Periodo Ref.]]="Dentro",DATOS_[Conc.Sal.12]))))),
0)</f>
        <v>0</v>
      </c>
      <c r="R89" s="170">
        <f t="array" ref="R89">IFERROR(
MEDIAN((IF(DATOS_[[Sexo]:[Sexo]]=$B89,IF(DATOS_[[AGRUP. CLAS. PROF.]:[AGRUP. CLAS. PROF.]]=$B87,IF(DATOS_[[Check Periodo Ref.]:[Check Periodo Ref.]]="Dentro",DATOS_[Conc.Sal.13]))))),
0)</f>
        <v>0</v>
      </c>
      <c r="S89" s="170">
        <f t="array" ref="S89">IFERROR(
MEDIAN((IF(DATOS_[[Sexo]:[Sexo]]=$B89,IF(DATOS_[[AGRUP. CLAS. PROF.]:[AGRUP. CLAS. PROF.]]=$B87,IF(DATOS_[[Check Periodo Ref.]:[Check Periodo Ref.]]="Dentro",DATOS_[Conc.Sal.14]))))),
0)</f>
        <v>0</v>
      </c>
      <c r="T89" s="170">
        <f t="array" ref="T89">IFERROR(
MEDIAN((IF(DATOS_[[Sexo]:[Sexo]]=$B89,IF(DATOS_[[AGRUP. CLAS. PROF.]:[AGRUP. CLAS. PROF.]]=$B87,IF(DATOS_[[Check Periodo Ref.]:[Check Periodo Ref.]]="Dentro",DATOS_[Conc.Sal.15]))))),
0)</f>
        <v>0</v>
      </c>
      <c r="U89" s="170">
        <f t="array" ref="U89">IFERROR(
MEDIAN((IF(DATOS_[[Sexo]:[Sexo]]=$B89,IF(DATOS_[[AGRUP. CLAS. PROF.]:[AGRUP. CLAS. PROF.]]=$B87,IF(DATOS_[[Check Periodo Ref.]:[Check Periodo Ref.]]="Dentro",DATOS_[Conc.Sal.16]))))),
0)</f>
        <v>0</v>
      </c>
      <c r="V89" s="170">
        <f t="array" ref="V89">IFERROR(
MEDIAN((IF(DATOS_[[Sexo]:[Sexo]]=$B89,IF(DATOS_[[AGRUP. CLAS. PROF.]:[AGRUP. CLAS. PROF.]]=$B87,IF(DATOS_[[Check Periodo Ref.]:[Check Periodo Ref.]]="Dentro",DATOS_[Conc.Sal.17]))))),
0)</f>
        <v>0</v>
      </c>
      <c r="W89" s="170">
        <f t="array" ref="W89">IFERROR(
MEDIAN((IF(DATOS_[[Sexo]:[Sexo]]=$B89,IF(DATOS_[[AGRUP. CLAS. PROF.]:[AGRUP. CLAS. PROF.]]=$B87,IF(DATOS_[[Check Periodo Ref.]:[Check Periodo Ref.]]="Dentro",DATOS_[Conc.Sal.18]))))),
0)</f>
        <v>0</v>
      </c>
      <c r="X89" s="170">
        <f t="array" ref="X89">IFERROR(
MEDIAN((IF(DATOS_[[Sexo]:[Sexo]]=$B89,IF(DATOS_[[AGRUP. CLAS. PROF.]:[AGRUP. CLAS. PROF.]]=$B87,IF(DATOS_[[Check Periodo Ref.]:[Check Periodo Ref.]]="Dentro",DATOS_[Conc.Sal.19]))))),
0)</f>
        <v>0</v>
      </c>
      <c r="Y89" s="170">
        <f t="array" ref="Y89">IFERROR(
MEDIAN((IF(DATOS_[[Sexo]:[Sexo]]=$B89,IF(DATOS_[[AGRUP. CLAS. PROF.]:[AGRUP. CLAS. PROF.]]=$B87,IF(DATOS_[[Check Periodo Ref.]:[Check Periodo Ref.]]="Dentro",DATOS_[Conc.Sal.20]))))),
0)</f>
        <v>0</v>
      </c>
      <c r="Z89" s="170">
        <f t="array" ref="Z89">IFERROR(
MEDIAN((IF(DATOS_[[Sexo]:[Sexo]]=$B89,IF(DATOS_[[AGRUP. CLAS. PROF.]:[AGRUP. CLAS. PROF.]]=$B87,IF(DATOS_[[Check Periodo Ref.]:[Check Periodo Ref.]]="Dentro",DATOS_[Conc.Sal.21]))))),
0)</f>
        <v>0</v>
      </c>
      <c r="AA89" s="170">
        <f t="array" ref="AA89">IFERROR(
MEDIAN((IF(DATOS_[[Sexo]:[Sexo]]=$B89,IF(DATOS_[[AGRUP. CLAS. PROF.]:[AGRUP. CLAS. PROF.]]=$B87,IF(DATOS_[[Check Periodo Ref.]:[Check Periodo Ref.]]="Dentro",DATOS_[Conc.Sal.22]))))),
0)</f>
        <v>0</v>
      </c>
      <c r="AB89" s="170">
        <f t="array" ref="AB89">IFERROR(
MEDIAN((IF(DATOS_[[Sexo]:[Sexo]]=$B89,IF(DATOS_[[AGRUP. CLAS. PROF.]:[AGRUP. CLAS. PROF.]]=$B87,IF(DATOS_[[Check Periodo Ref.]:[Check Periodo Ref.]]="Dentro",DATOS_[Conc.Sal.23]))))),
0)</f>
        <v>0</v>
      </c>
      <c r="AC89" s="170">
        <f t="array" ref="AC89">IFERROR(
MEDIAN((IF(DATOS_[[Sexo]:[Sexo]]=$B89,IF(DATOS_[[AGRUP. CLAS. PROF.]:[AGRUP. CLAS. PROF.]]=$B87,IF(DATOS_[[Check Periodo Ref.]:[Check Periodo Ref.]]="Dentro",DATOS_[Conc.Sal.24]))))),
0)</f>
        <v>0</v>
      </c>
      <c r="AD89" s="170">
        <f t="array" ref="AD89">IFERROR(
MEDIAN((IF(DATOS_[[Sexo]:[Sexo]]=$B89,IF(DATOS_[[AGRUP. CLAS. PROF.]:[AGRUP. CLAS. PROF.]]=$B87,IF(DATOS_[[Check Periodo Ref.]:[Check Periodo Ref.]]="Dentro",DATOS_[Conc.Sal.25]))))),
0)</f>
        <v>0</v>
      </c>
      <c r="AE89" s="170">
        <f t="array" ref="AE89">IFERROR(
MEDIAN((IF(DATOS_[[Sexo]:[Sexo]]=$B89,IF(DATOS_[[AGRUP. CLAS. PROF.]:[AGRUP. CLAS. PROF.]]=$B87,IF(DATOS_[[Check Periodo Ref.]:[Check Periodo Ref.]]="Dentro",DATOS_[Conc.Sal.26]))))),
0)</f>
        <v>0</v>
      </c>
      <c r="AF89" s="170">
        <f t="array" ref="AF89">IFERROR(
MEDIAN((IF(DATOS_[[Sexo]:[Sexo]]=$B89,IF(DATOS_[[AGRUP. CLAS. PROF.]:[AGRUP. CLAS. PROF.]]=$B87,IF(DATOS_[[Check Periodo Ref.]:[Check Periodo Ref.]]="Dentro",DATOS_[Conc.Sal.27]))))),
0)</f>
        <v>0</v>
      </c>
      <c r="AG89" s="170">
        <f t="array" ref="AG89">IFERROR(
MEDIAN((IF(DATOS_[[Sexo]:[Sexo]]=$B89,IF(DATOS_[[AGRUP. CLAS. PROF.]:[AGRUP. CLAS. PROF.]]=$B87,IF(DATOS_[[Check Periodo Ref.]:[Check Periodo Ref.]]="Dentro",DATOS_[Conc.Sal.28]))))),
0)</f>
        <v>0</v>
      </c>
      <c r="AH89" s="170">
        <f t="array" ref="AH89">IFERROR(
MEDIAN((IF(DATOS_[[Sexo]:[Sexo]]=$B89,IF(DATOS_[[AGRUP. CLAS. PROF.]:[AGRUP. CLAS. PROF.]]=$B87,IF(DATOS_[[Check Periodo Ref.]:[Check Periodo Ref.]]="Dentro",DATOS_[Conc.Sal.29]))))),
0)</f>
        <v>0</v>
      </c>
      <c r="AI89" s="170">
        <f t="array" ref="AI89">IFERROR(
MEDIAN((IF(DATOS_[[Sexo]:[Sexo]]=$B89,IF(DATOS_[[AGRUP. CLAS. PROF.]:[AGRUP. CLAS. PROF.]]=$B87,IF(DATOS_[[Check Periodo Ref.]:[Check Periodo Ref.]]="Dentro",DATOS_[Conc.Sal.30]))))),
0)</f>
        <v>0</v>
      </c>
      <c r="AJ89" s="171">
        <f t="array" ref="AJ89">IFERROR(
MEDIAN(IF(DATOS_[Sexo]=$B89,IF(DATOS_[AGRUP. CLAS. PROF.]=$B87,IF(DATOS_[Check Periodo Ref.]="Dentro",DATOS_[Tot COMPL.SAL Ef],FALSE)))),
0)</f>
        <v>0</v>
      </c>
      <c r="AK89" s="172">
        <f t="array" ref="AK89">IFERROR(
MEDIAN(IF(DATOS_[Sexo]=$B89,IF(DATOS_[AGRUP. CLAS. PROF.]=$B87,IF(DATOS_[Check Periodo Ref.]="Dentro",DATOS_[TOTAL SALARIO Ef],FALSE)))),
0)</f>
        <v>0</v>
      </c>
      <c r="AL89" s="173">
        <f t="array" ref="AL89">IFERROR(
MEDIAN((IF(DATOS_[[Sexo]:[Sexo]]=$B89,IF(DATOS_[[AGRUP. CLAS. PROF.]:[AGRUP. CLAS. PROF.]]=$B87,IF(DATOS_[[Check Periodo Ref.]:[Check Periodo Ref.]]="Dentro",DATOS_[C.Extra.01]))))),
0)</f>
        <v>0</v>
      </c>
      <c r="AM89" s="173">
        <f t="array" ref="AM89">IFERROR(
MEDIAN((IF(DATOS_[[Sexo]:[Sexo]]=$B89,IF(DATOS_[[AGRUP. CLAS. PROF.]:[AGRUP. CLAS. PROF.]]=$B87,IF(DATOS_[[Check Periodo Ref.]:[Check Periodo Ref.]]="Dentro",DATOS_[C.Extra.06]))))),
0)</f>
        <v>0</v>
      </c>
      <c r="AN89" s="173">
        <f t="array" ref="AN89">IFERROR(
MEDIAN((IF(DATOS_[[Sexo]:[Sexo]]=$B89,IF(DATOS_[[AGRUP. CLAS. PROF.]:[AGRUP. CLAS. PROF.]]=$B87,IF(DATOS_[[Check Periodo Ref.]:[Check Periodo Ref.]]="Dentro",DATOS_[C.Extra.07]))))),
0)</f>
        <v>0</v>
      </c>
      <c r="AO89" s="173">
        <f t="array" ref="AO89">IFERROR(
MEDIAN((IF(DATOS_[[Sexo]:[Sexo]]=$B89,IF(DATOS_[[AGRUP. CLAS. PROF.]:[AGRUP. CLAS. PROF.]]=$B87,IF(DATOS_[[Check Periodo Ref.]:[Check Periodo Ref.]]="Dentro",DATOS_[C.Extra.08]))))),
0)</f>
        <v>0</v>
      </c>
      <c r="AP89" s="173">
        <f t="array" ref="AP89">IFERROR(
MEDIAN((IF(DATOS_[[Sexo]:[Sexo]]=$B89,IF(DATOS_[[AGRUP. CLAS. PROF.]:[AGRUP. CLAS. PROF.]]=$B87,IF(DATOS_[[Check Periodo Ref.]:[Check Periodo Ref.]]="Dentro",DATOS_[C.Extra.11]))))),
0)</f>
        <v>0</v>
      </c>
      <c r="AQ89" s="174">
        <f t="array" ref="AQ89">IFERROR(
MEDIAN(IF(DATOS_[Sexo]=$B89,IF(DATOS_[AGRUP. CLAS. PROF.]=$B87,IF(DATOS_[Check Periodo Ref.]="Dentro",DATOS_[Tot Extrasalarial Ef],FALSE)))),
0)</f>
        <v>0</v>
      </c>
      <c r="AR89" s="171">
        <f t="array" ref="AR89">IFERROR(
MEDIAN(IF(DATOS_[Sexo]=$B89,IF(DATOS_[AGRUP. CLAS. PROF.]=$B87,IF(DATOS_[Check Periodo Ref.]="Dentro",DATOS_[TOTAL Retrib Ef],FALSE)))),
0)</f>
        <v>0</v>
      </c>
    </row>
    <row r="90" spans="1:44" ht="14.4" hidden="1" thickBot="1" x14ac:dyDescent="0.3">
      <c r="A90" s="178" t="str">
        <f t="shared" ref="A90" si="103">+A91</f>
        <v>[ocultar]</v>
      </c>
      <c r="B90" s="153" t="s">
        <v>277</v>
      </c>
      <c r="C90" s="154"/>
      <c r="D90" s="155"/>
      <c r="E90" s="156" t="str">
        <f t="shared" ref="E90:AR90" si="104">IFERROR((E91-E92)/E91,"")</f>
        <v/>
      </c>
      <c r="F90" s="157" t="str">
        <f t="shared" si="104"/>
        <v/>
      </c>
      <c r="G90" s="158" t="str">
        <f t="shared" si="104"/>
        <v/>
      </c>
      <c r="H90" s="158" t="str">
        <f t="shared" si="104"/>
        <v/>
      </c>
      <c r="I90" s="158" t="str">
        <f t="shared" si="104"/>
        <v/>
      </c>
      <c r="J90" s="159" t="str">
        <f t="shared" si="104"/>
        <v/>
      </c>
      <c r="K90" s="160" t="str">
        <f t="shared" si="104"/>
        <v/>
      </c>
      <c r="L90" s="160" t="str">
        <f t="shared" si="104"/>
        <v/>
      </c>
      <c r="M90" s="160" t="str">
        <f t="shared" si="104"/>
        <v/>
      </c>
      <c r="N90" s="160" t="str">
        <f t="shared" si="104"/>
        <v/>
      </c>
      <c r="O90" s="160" t="str">
        <f t="shared" si="104"/>
        <v/>
      </c>
      <c r="P90" s="160" t="str">
        <f t="shared" si="104"/>
        <v/>
      </c>
      <c r="Q90" s="160" t="str">
        <f t="shared" si="104"/>
        <v/>
      </c>
      <c r="R90" s="160" t="str">
        <f t="shared" si="104"/>
        <v/>
      </c>
      <c r="S90" s="160" t="str">
        <f t="shared" si="104"/>
        <v/>
      </c>
      <c r="T90" s="160" t="str">
        <f t="shared" si="104"/>
        <v/>
      </c>
      <c r="U90" s="160" t="str">
        <f t="shared" si="104"/>
        <v/>
      </c>
      <c r="V90" s="159" t="str">
        <f t="shared" si="104"/>
        <v/>
      </c>
      <c r="W90" s="159" t="str">
        <f t="shared" si="104"/>
        <v/>
      </c>
      <c r="X90" s="159" t="str">
        <f t="shared" si="104"/>
        <v/>
      </c>
      <c r="Y90" s="159" t="str">
        <f t="shared" si="104"/>
        <v/>
      </c>
      <c r="Z90" s="159" t="str">
        <f t="shared" si="104"/>
        <v/>
      </c>
      <c r="AA90" s="159" t="str">
        <f t="shared" si="104"/>
        <v/>
      </c>
      <c r="AB90" s="159" t="str">
        <f t="shared" si="104"/>
        <v/>
      </c>
      <c r="AC90" s="159" t="str">
        <f t="shared" si="104"/>
        <v/>
      </c>
      <c r="AD90" s="159" t="str">
        <f t="shared" si="104"/>
        <v/>
      </c>
      <c r="AE90" s="159" t="str">
        <f t="shared" si="104"/>
        <v/>
      </c>
      <c r="AF90" s="159" t="str">
        <f t="shared" si="104"/>
        <v/>
      </c>
      <c r="AG90" s="159" t="str">
        <f t="shared" si="104"/>
        <v/>
      </c>
      <c r="AH90" s="159" t="str">
        <f t="shared" si="104"/>
        <v/>
      </c>
      <c r="AI90" s="159" t="str">
        <f t="shared" si="104"/>
        <v/>
      </c>
      <c r="AJ90" s="161" t="str">
        <f t="shared" si="104"/>
        <v/>
      </c>
      <c r="AK90" s="162" t="str">
        <f t="shared" si="104"/>
        <v/>
      </c>
      <c r="AL90" s="163" t="str">
        <f t="shared" si="104"/>
        <v/>
      </c>
      <c r="AM90" s="163" t="str">
        <f t="shared" si="104"/>
        <v/>
      </c>
      <c r="AN90" s="163" t="str">
        <f t="shared" si="104"/>
        <v/>
      </c>
      <c r="AO90" s="163" t="str">
        <f t="shared" si="104"/>
        <v/>
      </c>
      <c r="AP90" s="163" t="str">
        <f t="shared" si="104"/>
        <v/>
      </c>
      <c r="AQ90" s="164" t="str">
        <f t="shared" si="104"/>
        <v/>
      </c>
      <c r="AR90" s="161" t="str">
        <f t="shared" si="104"/>
        <v/>
      </c>
    </row>
    <row r="91" spans="1:44" hidden="1" x14ac:dyDescent="0.25">
      <c r="A91" s="178" t="str">
        <f t="shared" ref="A91" si="105">+IF(C91+C92=0,"[ocultar]","")</f>
        <v>[ocultar]</v>
      </c>
      <c r="B91" s="166" t="s">
        <v>394</v>
      </c>
      <c r="C91" s="167">
        <f t="array" ref="C91">SUM(IF($B91=DATOS_[Sexo],
IF($B90=DATOS_[AGRUP. CLAS. PROF.],
IF("Dentro"=DATOS_[Check Periodo Ref.],
1/(COUNTIFS(DATOS_[Sexo],$B91,DATOS_[AGRUP. CLAS. PROF.],$B90,DATOS_[Check Periodo Ref.],"Dentro",DATOS_[id/cod],DATOS_[id/cod]))))))</f>
        <v>0</v>
      </c>
      <c r="D91" s="168">
        <f>COUNTIFS(DATOS_[AGRUP. CLAS. PROF.],$B90,DATOS_[Sexo],$B91,DATOS_[Check Periodo Ref.],"Dentro")</f>
        <v>0</v>
      </c>
      <c r="E91" s="169">
        <f t="array" ref="E91">IFERROR(
MEDIAN(IF(DATOS_[Sexo]=$B91,IF(DATOS_[AGRUP. CLAS. PROF.]=$B90,IF(DATOS_[Check Periodo Ref.]="Dentro",DATOS_[SALARIO BASE Ef],FALSE)))),
0)</f>
        <v>0</v>
      </c>
      <c r="F91" s="170">
        <f t="array" ref="F91">IFERROR(
MEDIAN((IF(DATOS_[[Sexo]:[Sexo]]=$B91,IF(DATOS_[[AGRUP. CLAS. PROF.]:[AGRUP. CLAS. PROF.]]=$B90,IF(DATOS_[[Check Periodo Ref.]:[Check Periodo Ref.]]="Dentro",DATOS_[Conc.Sal.01]))))),
0)</f>
        <v>0</v>
      </c>
      <c r="G91" s="170">
        <f t="array" ref="G91">IFERROR(
MEDIAN((IF(DATOS_[[Sexo]:[Sexo]]=$B91,IF(DATOS_[[AGRUP. CLAS. PROF.]:[AGRUP. CLAS. PROF.]]=$B90,IF(DATOS_[[Check Periodo Ref.]:[Check Periodo Ref.]]="Dentro",DATOS_[Conc.Sal.02]))))),
0)</f>
        <v>0</v>
      </c>
      <c r="H91" s="170">
        <f t="array" ref="H91">IFERROR(
MEDIAN((IF(DATOS_[[Sexo]:[Sexo]]=$B91,IF(DATOS_[[AGRUP. CLAS. PROF.]:[AGRUP. CLAS. PROF.]]=$B90,IF(DATOS_[[Check Periodo Ref.]:[Check Periodo Ref.]]="Dentro",DATOS_[Conc.Sal.03]))))),
0)</f>
        <v>0</v>
      </c>
      <c r="I91" s="170">
        <f t="array" ref="I91">IFERROR(
MEDIAN((IF(DATOS_[[Sexo]:[Sexo]]=$B91,IF(DATOS_[[AGRUP. CLAS. PROF.]:[AGRUP. CLAS. PROF.]]=$B90,IF(DATOS_[[Check Periodo Ref.]:[Check Periodo Ref.]]="Dentro",DATOS_[Conc.Sal.04]))))),
0)</f>
        <v>0</v>
      </c>
      <c r="J91" s="170">
        <f t="array" ref="J91">IFERROR(
MEDIAN((IF(DATOS_[[Sexo]:[Sexo]]=$B91,IF(DATOS_[[AGRUP. CLAS. PROF.]:[AGRUP. CLAS. PROF.]]=$B90,IF(DATOS_[[Check Periodo Ref.]:[Check Periodo Ref.]]="Dentro",DATOS_[Conc.Sal.05]))))),
0)</f>
        <v>0</v>
      </c>
      <c r="K91" s="170">
        <f t="array" ref="K91">IFERROR(
MEDIAN((IF(DATOS_[[Sexo]:[Sexo]]=$B91,IF(DATOS_[[AGRUP. CLAS. PROF.]:[AGRUP. CLAS. PROF.]]=$B90,IF(DATOS_[[Check Periodo Ref.]:[Check Periodo Ref.]]="Dentro",DATOS_[Conc.Sal.06]))))),
0)</f>
        <v>0</v>
      </c>
      <c r="L91" s="170">
        <f t="array" ref="L91">IFERROR(
MEDIAN((IF(DATOS_[[Sexo]:[Sexo]]=$B91,IF(DATOS_[[AGRUP. CLAS. PROF.]:[AGRUP. CLAS. PROF.]]=$B90,IF(DATOS_[[Check Periodo Ref.]:[Check Periodo Ref.]]="Dentro",DATOS_[Conc.Sal.07]))))),
0)</f>
        <v>0</v>
      </c>
      <c r="M91" s="170">
        <f t="array" ref="M91">IFERROR(
MEDIAN((IF(DATOS_[[Sexo]:[Sexo]]=$B91,IF(DATOS_[[AGRUP. CLAS. PROF.]:[AGRUP. CLAS. PROF.]]=$B90,IF(DATOS_[[Check Periodo Ref.]:[Check Periodo Ref.]]="Dentro",DATOS_[Conc.Sal.08]))))),
0)</f>
        <v>0</v>
      </c>
      <c r="N91" s="170">
        <f t="array" ref="N91">IFERROR(
MEDIAN((IF(DATOS_[[Sexo]:[Sexo]]=$B91,IF(DATOS_[[AGRUP. CLAS. PROF.]:[AGRUP. CLAS. PROF.]]=$B90,IF(DATOS_[[Check Periodo Ref.]:[Check Periodo Ref.]]="Dentro",DATOS_[Conc.Sal.09]))))),
0)</f>
        <v>0</v>
      </c>
      <c r="O91" s="170">
        <f t="array" ref="O91">IFERROR(
MEDIAN((IF(DATOS_[[Sexo]:[Sexo]]=$B91,IF(DATOS_[[AGRUP. CLAS. PROF.]:[AGRUP. CLAS. PROF.]]=$B90,IF(DATOS_[[Check Periodo Ref.]:[Check Periodo Ref.]]="Dentro",DATOS_[Conc.Sal.10]))))),
0)</f>
        <v>0</v>
      </c>
      <c r="P91" s="170">
        <f t="array" ref="P91">IFERROR(
MEDIAN((IF(DATOS_[[Sexo]:[Sexo]]=$B91,IF(DATOS_[[AGRUP. CLAS. PROF.]:[AGRUP. CLAS. PROF.]]=$B90,IF(DATOS_[[Check Periodo Ref.]:[Check Periodo Ref.]]="Dentro",DATOS_[Conc.Sal.11]))))),
0)</f>
        <v>0</v>
      </c>
      <c r="Q91" s="170">
        <f t="array" ref="Q91">IFERROR(
MEDIAN((IF(DATOS_[[Sexo]:[Sexo]]=$B91,IF(DATOS_[[AGRUP. CLAS. PROF.]:[AGRUP. CLAS. PROF.]]=$B90,IF(DATOS_[[Check Periodo Ref.]:[Check Periodo Ref.]]="Dentro",DATOS_[Conc.Sal.12]))))),
0)</f>
        <v>0</v>
      </c>
      <c r="R91" s="170">
        <f t="array" ref="R91">IFERROR(
MEDIAN((IF(DATOS_[[Sexo]:[Sexo]]=$B91,IF(DATOS_[[AGRUP. CLAS. PROF.]:[AGRUP. CLAS. PROF.]]=$B90,IF(DATOS_[[Check Periodo Ref.]:[Check Periodo Ref.]]="Dentro",DATOS_[Conc.Sal.13]))))),
0)</f>
        <v>0</v>
      </c>
      <c r="S91" s="170">
        <f t="array" ref="S91">IFERROR(
MEDIAN((IF(DATOS_[[Sexo]:[Sexo]]=$B91,IF(DATOS_[[AGRUP. CLAS. PROF.]:[AGRUP. CLAS. PROF.]]=$B90,IF(DATOS_[[Check Periodo Ref.]:[Check Periodo Ref.]]="Dentro",DATOS_[Conc.Sal.14]))))),
0)</f>
        <v>0</v>
      </c>
      <c r="T91" s="170">
        <f t="array" ref="T91">IFERROR(
MEDIAN((IF(DATOS_[[Sexo]:[Sexo]]=$B91,IF(DATOS_[[AGRUP. CLAS. PROF.]:[AGRUP. CLAS. PROF.]]=$B90,IF(DATOS_[[Check Periodo Ref.]:[Check Periodo Ref.]]="Dentro",DATOS_[Conc.Sal.15]))))),
0)</f>
        <v>0</v>
      </c>
      <c r="U91" s="170">
        <f t="array" ref="U91">IFERROR(
MEDIAN((IF(DATOS_[[Sexo]:[Sexo]]=$B91,IF(DATOS_[[AGRUP. CLAS. PROF.]:[AGRUP. CLAS. PROF.]]=$B90,IF(DATOS_[[Check Periodo Ref.]:[Check Periodo Ref.]]="Dentro",DATOS_[Conc.Sal.16]))))),
0)</f>
        <v>0</v>
      </c>
      <c r="V91" s="170">
        <f t="array" ref="V91">IFERROR(
MEDIAN((IF(DATOS_[[Sexo]:[Sexo]]=$B91,IF(DATOS_[[AGRUP. CLAS. PROF.]:[AGRUP. CLAS. PROF.]]=$B90,IF(DATOS_[[Check Periodo Ref.]:[Check Periodo Ref.]]="Dentro",DATOS_[Conc.Sal.17]))))),
0)</f>
        <v>0</v>
      </c>
      <c r="W91" s="170">
        <f t="array" ref="W91">IFERROR(
MEDIAN((IF(DATOS_[[Sexo]:[Sexo]]=$B91,IF(DATOS_[[AGRUP. CLAS. PROF.]:[AGRUP. CLAS. PROF.]]=$B90,IF(DATOS_[[Check Periodo Ref.]:[Check Periodo Ref.]]="Dentro",DATOS_[Conc.Sal.18]))))),
0)</f>
        <v>0</v>
      </c>
      <c r="X91" s="170">
        <f t="array" ref="X91">IFERROR(
MEDIAN((IF(DATOS_[[Sexo]:[Sexo]]=$B91,IF(DATOS_[[AGRUP. CLAS. PROF.]:[AGRUP. CLAS. PROF.]]=$B90,IF(DATOS_[[Check Periodo Ref.]:[Check Periodo Ref.]]="Dentro",DATOS_[Conc.Sal.19]))))),
0)</f>
        <v>0</v>
      </c>
      <c r="Y91" s="170">
        <f t="array" ref="Y91">IFERROR(
MEDIAN((IF(DATOS_[[Sexo]:[Sexo]]=$B91,IF(DATOS_[[AGRUP. CLAS. PROF.]:[AGRUP. CLAS. PROF.]]=$B90,IF(DATOS_[[Check Periodo Ref.]:[Check Periodo Ref.]]="Dentro",DATOS_[Conc.Sal.20]))))),
0)</f>
        <v>0</v>
      </c>
      <c r="Z91" s="170">
        <f t="array" ref="Z91">IFERROR(
MEDIAN((IF(DATOS_[[Sexo]:[Sexo]]=$B91,IF(DATOS_[[AGRUP. CLAS. PROF.]:[AGRUP. CLAS. PROF.]]=$B90,IF(DATOS_[[Check Periodo Ref.]:[Check Periodo Ref.]]="Dentro",DATOS_[Conc.Sal.21]))))),
0)</f>
        <v>0</v>
      </c>
      <c r="AA91" s="170">
        <f t="array" ref="AA91">IFERROR(
MEDIAN((IF(DATOS_[[Sexo]:[Sexo]]=$B91,IF(DATOS_[[AGRUP. CLAS. PROF.]:[AGRUP. CLAS. PROF.]]=$B90,IF(DATOS_[[Check Periodo Ref.]:[Check Periodo Ref.]]="Dentro",DATOS_[Conc.Sal.22]))))),
0)</f>
        <v>0</v>
      </c>
      <c r="AB91" s="170">
        <f t="array" ref="AB91">IFERROR(
MEDIAN((IF(DATOS_[[Sexo]:[Sexo]]=$B91,IF(DATOS_[[AGRUP. CLAS. PROF.]:[AGRUP. CLAS. PROF.]]=$B90,IF(DATOS_[[Check Periodo Ref.]:[Check Periodo Ref.]]="Dentro",DATOS_[Conc.Sal.23]))))),
0)</f>
        <v>0</v>
      </c>
      <c r="AC91" s="170">
        <f t="array" ref="AC91">IFERROR(
MEDIAN((IF(DATOS_[[Sexo]:[Sexo]]=$B91,IF(DATOS_[[AGRUP. CLAS. PROF.]:[AGRUP. CLAS. PROF.]]=$B90,IF(DATOS_[[Check Periodo Ref.]:[Check Periodo Ref.]]="Dentro",DATOS_[Conc.Sal.24]))))),
0)</f>
        <v>0</v>
      </c>
      <c r="AD91" s="170">
        <f t="array" ref="AD91">IFERROR(
MEDIAN((IF(DATOS_[[Sexo]:[Sexo]]=$B91,IF(DATOS_[[AGRUP. CLAS. PROF.]:[AGRUP. CLAS. PROF.]]=$B90,IF(DATOS_[[Check Periodo Ref.]:[Check Periodo Ref.]]="Dentro",DATOS_[Conc.Sal.25]))))),
0)</f>
        <v>0</v>
      </c>
      <c r="AE91" s="170">
        <f t="array" ref="AE91">IFERROR(
MEDIAN((IF(DATOS_[[Sexo]:[Sexo]]=$B91,IF(DATOS_[[AGRUP. CLAS. PROF.]:[AGRUP. CLAS. PROF.]]=$B90,IF(DATOS_[[Check Periodo Ref.]:[Check Periodo Ref.]]="Dentro",DATOS_[Conc.Sal.26]))))),
0)</f>
        <v>0</v>
      </c>
      <c r="AF91" s="170">
        <f t="array" ref="AF91">IFERROR(
MEDIAN((IF(DATOS_[[Sexo]:[Sexo]]=$B91,IF(DATOS_[[AGRUP. CLAS. PROF.]:[AGRUP. CLAS. PROF.]]=$B90,IF(DATOS_[[Check Periodo Ref.]:[Check Periodo Ref.]]="Dentro",DATOS_[Conc.Sal.27]))))),
0)</f>
        <v>0</v>
      </c>
      <c r="AG91" s="170">
        <f t="array" ref="AG91">IFERROR(
MEDIAN((IF(DATOS_[[Sexo]:[Sexo]]=$B91,IF(DATOS_[[AGRUP. CLAS. PROF.]:[AGRUP. CLAS. PROF.]]=$B90,IF(DATOS_[[Check Periodo Ref.]:[Check Periodo Ref.]]="Dentro",DATOS_[Conc.Sal.28]))))),
0)</f>
        <v>0</v>
      </c>
      <c r="AH91" s="170">
        <f t="array" ref="AH91">IFERROR(
MEDIAN((IF(DATOS_[[Sexo]:[Sexo]]=$B91,IF(DATOS_[[AGRUP. CLAS. PROF.]:[AGRUP. CLAS. PROF.]]=$B90,IF(DATOS_[[Check Periodo Ref.]:[Check Periodo Ref.]]="Dentro",DATOS_[Conc.Sal.29]))))),
0)</f>
        <v>0</v>
      </c>
      <c r="AI91" s="170">
        <f t="array" ref="AI91">IFERROR(
MEDIAN((IF(DATOS_[[Sexo]:[Sexo]]=$B91,IF(DATOS_[[AGRUP. CLAS. PROF.]:[AGRUP. CLAS. PROF.]]=$B90,IF(DATOS_[[Check Periodo Ref.]:[Check Periodo Ref.]]="Dentro",DATOS_[Conc.Sal.30]))))),
0)</f>
        <v>0</v>
      </c>
      <c r="AJ91" s="171">
        <f t="array" ref="AJ91">IFERROR(
MEDIAN(IF(DATOS_[Sexo]=$B91,IF(DATOS_[AGRUP. CLAS. PROF.]=$B90,IF(DATOS_[Check Periodo Ref.]="Dentro",DATOS_[Tot COMPL.SAL Ef],FALSE)))),
0)</f>
        <v>0</v>
      </c>
      <c r="AK91" s="172">
        <f t="array" ref="AK91">IFERROR(
MEDIAN(IF(DATOS_[Sexo]=$B91,IF(DATOS_[AGRUP. CLAS. PROF.]=$B90,IF(DATOS_[Check Periodo Ref.]="Dentro",DATOS_[TOTAL SALARIO Ef],FALSE)))),
0)</f>
        <v>0</v>
      </c>
      <c r="AL91" s="173">
        <f t="array" ref="AL91">IFERROR(
MEDIAN((IF(DATOS_[[Sexo]:[Sexo]]=$B91,IF(DATOS_[[AGRUP. CLAS. PROF.]:[AGRUP. CLAS. PROF.]]=$B90,IF(DATOS_[[Check Periodo Ref.]:[Check Periodo Ref.]]="Dentro",DATOS_[C.Extra.01]))))),
0)</f>
        <v>0</v>
      </c>
      <c r="AM91" s="173">
        <f t="array" ref="AM91">IFERROR(
MEDIAN((IF(DATOS_[[Sexo]:[Sexo]]=$B91,IF(DATOS_[[AGRUP. CLAS. PROF.]:[AGRUP. CLAS. PROF.]]=$B90,IF(DATOS_[[Check Periodo Ref.]:[Check Periodo Ref.]]="Dentro",DATOS_[C.Extra.06]))))),
0)</f>
        <v>0</v>
      </c>
      <c r="AN91" s="173">
        <f t="array" ref="AN91">IFERROR(
MEDIAN((IF(DATOS_[[Sexo]:[Sexo]]=$B91,IF(DATOS_[[AGRUP. CLAS. PROF.]:[AGRUP. CLAS. PROF.]]=$B90,IF(DATOS_[[Check Periodo Ref.]:[Check Periodo Ref.]]="Dentro",DATOS_[C.Extra.07]))))),
0)</f>
        <v>0</v>
      </c>
      <c r="AO91" s="173">
        <f t="array" ref="AO91">IFERROR(
MEDIAN((IF(DATOS_[[Sexo]:[Sexo]]=$B91,IF(DATOS_[[AGRUP. CLAS. PROF.]:[AGRUP. CLAS. PROF.]]=$B90,IF(DATOS_[[Check Periodo Ref.]:[Check Periodo Ref.]]="Dentro",DATOS_[C.Extra.08]))))),
0)</f>
        <v>0</v>
      </c>
      <c r="AP91" s="173">
        <f t="array" ref="AP91">IFERROR(
MEDIAN((IF(DATOS_[[Sexo]:[Sexo]]=$B91,IF(DATOS_[[AGRUP. CLAS. PROF.]:[AGRUP. CLAS. PROF.]]=$B90,IF(DATOS_[[Check Periodo Ref.]:[Check Periodo Ref.]]="Dentro",DATOS_[C.Extra.11]))))),
0)</f>
        <v>0</v>
      </c>
      <c r="AQ91" s="174">
        <f t="array" ref="AQ91">IFERROR(
MEDIAN(IF(DATOS_[Sexo]=$B91,IF(DATOS_[AGRUP. CLAS. PROF.]=$B90,IF(DATOS_[Check Periodo Ref.]="Dentro",DATOS_[Tot Extrasalarial Ef],FALSE)))),
0)</f>
        <v>0</v>
      </c>
      <c r="AR91" s="171">
        <f t="array" ref="AR91">IFERROR(
MEDIAN(IF(DATOS_[Sexo]=$B91,IF(DATOS_[AGRUP. CLAS. PROF.]=$B90,IF(DATOS_[Check Periodo Ref.]="Dentro",DATOS_[TOTAL Retrib Ef],FALSE)))),
0)</f>
        <v>0</v>
      </c>
    </row>
    <row r="92" spans="1:44" hidden="1" x14ac:dyDescent="0.25">
      <c r="A92" s="178" t="str">
        <f t="shared" ref="A92" si="106">+A91</f>
        <v>[ocultar]</v>
      </c>
      <c r="B92" s="166" t="s">
        <v>521</v>
      </c>
      <c r="C92" s="167">
        <f t="array" ref="C92">SUM(IF($B92=DATOS_[Sexo],
IF($B90=DATOS_[AGRUP. CLAS. PROF.],
IF("Dentro"=DATOS_[Check Periodo Ref.],
1/(COUNTIFS(DATOS_[Sexo],$B92,DATOS_[AGRUP. CLAS. PROF.],$B90,DATOS_[Check Periodo Ref.],"Dentro",DATOS_[id/cod],DATOS_[id/cod]))))))</f>
        <v>0</v>
      </c>
      <c r="D92" s="168">
        <f>COUNTIFS(DATOS_[AGRUP. CLAS. PROF.],$B90,DATOS_[Sexo],$B92,DATOS_[Check Periodo Ref.],"Dentro")</f>
        <v>0</v>
      </c>
      <c r="E92" s="169">
        <f t="array" ref="E92">IFERROR(
MEDIAN(IF(DATOS_[Sexo]=$B92,IF(DATOS_[AGRUP. CLAS. PROF.]=$B90,IF(DATOS_[Check Periodo Ref.]="Dentro",DATOS_[SALARIO BASE Ef],FALSE)))),
0)</f>
        <v>0</v>
      </c>
      <c r="F92" s="170">
        <f t="array" ref="F92">IFERROR(
MEDIAN((IF(DATOS_[[Sexo]:[Sexo]]=$B92,IF(DATOS_[[AGRUP. CLAS. PROF.]:[AGRUP. CLAS. PROF.]]=$B90,IF(DATOS_[[Check Periodo Ref.]:[Check Periodo Ref.]]="Dentro",DATOS_[Conc.Sal.01]))))),
0)</f>
        <v>0</v>
      </c>
      <c r="G92" s="170">
        <f t="array" ref="G92">IFERROR(
MEDIAN((IF(DATOS_[[Sexo]:[Sexo]]=$B92,IF(DATOS_[[AGRUP. CLAS. PROF.]:[AGRUP. CLAS. PROF.]]=$B90,IF(DATOS_[[Check Periodo Ref.]:[Check Periodo Ref.]]="Dentro",DATOS_[Conc.Sal.02]))))),
0)</f>
        <v>0</v>
      </c>
      <c r="H92" s="170">
        <f t="array" ref="H92">IFERROR(
MEDIAN((IF(DATOS_[[Sexo]:[Sexo]]=$B92,IF(DATOS_[[AGRUP. CLAS. PROF.]:[AGRUP. CLAS. PROF.]]=$B90,IF(DATOS_[[Check Periodo Ref.]:[Check Periodo Ref.]]="Dentro",DATOS_[Conc.Sal.03]))))),
0)</f>
        <v>0</v>
      </c>
      <c r="I92" s="170">
        <f t="array" ref="I92">IFERROR(
MEDIAN((IF(DATOS_[[Sexo]:[Sexo]]=$B92,IF(DATOS_[[AGRUP. CLAS. PROF.]:[AGRUP. CLAS. PROF.]]=$B90,IF(DATOS_[[Check Periodo Ref.]:[Check Periodo Ref.]]="Dentro",DATOS_[Conc.Sal.04]))))),
0)</f>
        <v>0</v>
      </c>
      <c r="J92" s="170">
        <f t="array" ref="J92">IFERROR(
MEDIAN((IF(DATOS_[[Sexo]:[Sexo]]=$B92,IF(DATOS_[[AGRUP. CLAS. PROF.]:[AGRUP. CLAS. PROF.]]=$B90,IF(DATOS_[[Check Periodo Ref.]:[Check Periodo Ref.]]="Dentro",DATOS_[Conc.Sal.05]))))),
0)</f>
        <v>0</v>
      </c>
      <c r="K92" s="170">
        <f t="array" ref="K92">IFERROR(
MEDIAN((IF(DATOS_[[Sexo]:[Sexo]]=$B92,IF(DATOS_[[AGRUP. CLAS. PROF.]:[AGRUP. CLAS. PROF.]]=$B90,IF(DATOS_[[Check Periodo Ref.]:[Check Periodo Ref.]]="Dentro",DATOS_[Conc.Sal.06]))))),
0)</f>
        <v>0</v>
      </c>
      <c r="L92" s="170">
        <f t="array" ref="L92">IFERROR(
MEDIAN((IF(DATOS_[[Sexo]:[Sexo]]=$B92,IF(DATOS_[[AGRUP. CLAS. PROF.]:[AGRUP. CLAS. PROF.]]=$B90,IF(DATOS_[[Check Periodo Ref.]:[Check Periodo Ref.]]="Dentro",DATOS_[Conc.Sal.07]))))),
0)</f>
        <v>0</v>
      </c>
      <c r="M92" s="170">
        <f t="array" ref="M92">IFERROR(
MEDIAN((IF(DATOS_[[Sexo]:[Sexo]]=$B92,IF(DATOS_[[AGRUP. CLAS. PROF.]:[AGRUP. CLAS. PROF.]]=$B90,IF(DATOS_[[Check Periodo Ref.]:[Check Periodo Ref.]]="Dentro",DATOS_[Conc.Sal.08]))))),
0)</f>
        <v>0</v>
      </c>
      <c r="N92" s="170">
        <f t="array" ref="N92">IFERROR(
MEDIAN((IF(DATOS_[[Sexo]:[Sexo]]=$B92,IF(DATOS_[[AGRUP. CLAS. PROF.]:[AGRUP. CLAS. PROF.]]=$B90,IF(DATOS_[[Check Periodo Ref.]:[Check Periodo Ref.]]="Dentro",DATOS_[Conc.Sal.09]))))),
0)</f>
        <v>0</v>
      </c>
      <c r="O92" s="170">
        <f t="array" ref="O92">IFERROR(
MEDIAN((IF(DATOS_[[Sexo]:[Sexo]]=$B92,IF(DATOS_[[AGRUP. CLAS. PROF.]:[AGRUP. CLAS. PROF.]]=$B90,IF(DATOS_[[Check Periodo Ref.]:[Check Periodo Ref.]]="Dentro",DATOS_[Conc.Sal.10]))))),
0)</f>
        <v>0</v>
      </c>
      <c r="P92" s="170">
        <f t="array" ref="P92">IFERROR(
MEDIAN((IF(DATOS_[[Sexo]:[Sexo]]=$B92,IF(DATOS_[[AGRUP. CLAS. PROF.]:[AGRUP. CLAS. PROF.]]=$B90,IF(DATOS_[[Check Periodo Ref.]:[Check Periodo Ref.]]="Dentro",DATOS_[Conc.Sal.11]))))),
0)</f>
        <v>0</v>
      </c>
      <c r="Q92" s="170">
        <f t="array" ref="Q92">IFERROR(
MEDIAN((IF(DATOS_[[Sexo]:[Sexo]]=$B92,IF(DATOS_[[AGRUP. CLAS. PROF.]:[AGRUP. CLAS. PROF.]]=$B90,IF(DATOS_[[Check Periodo Ref.]:[Check Periodo Ref.]]="Dentro",DATOS_[Conc.Sal.12]))))),
0)</f>
        <v>0</v>
      </c>
      <c r="R92" s="170">
        <f t="array" ref="R92">IFERROR(
MEDIAN((IF(DATOS_[[Sexo]:[Sexo]]=$B92,IF(DATOS_[[AGRUP. CLAS. PROF.]:[AGRUP. CLAS. PROF.]]=$B90,IF(DATOS_[[Check Periodo Ref.]:[Check Periodo Ref.]]="Dentro",DATOS_[Conc.Sal.13]))))),
0)</f>
        <v>0</v>
      </c>
      <c r="S92" s="170">
        <f t="array" ref="S92">IFERROR(
MEDIAN((IF(DATOS_[[Sexo]:[Sexo]]=$B92,IF(DATOS_[[AGRUP. CLAS. PROF.]:[AGRUP. CLAS. PROF.]]=$B90,IF(DATOS_[[Check Periodo Ref.]:[Check Periodo Ref.]]="Dentro",DATOS_[Conc.Sal.14]))))),
0)</f>
        <v>0</v>
      </c>
      <c r="T92" s="170">
        <f t="array" ref="T92">IFERROR(
MEDIAN((IF(DATOS_[[Sexo]:[Sexo]]=$B92,IF(DATOS_[[AGRUP. CLAS. PROF.]:[AGRUP. CLAS. PROF.]]=$B90,IF(DATOS_[[Check Periodo Ref.]:[Check Periodo Ref.]]="Dentro",DATOS_[Conc.Sal.15]))))),
0)</f>
        <v>0</v>
      </c>
      <c r="U92" s="170">
        <f t="array" ref="U92">IFERROR(
MEDIAN((IF(DATOS_[[Sexo]:[Sexo]]=$B92,IF(DATOS_[[AGRUP. CLAS. PROF.]:[AGRUP. CLAS. PROF.]]=$B90,IF(DATOS_[[Check Periodo Ref.]:[Check Periodo Ref.]]="Dentro",DATOS_[Conc.Sal.16]))))),
0)</f>
        <v>0</v>
      </c>
      <c r="V92" s="170">
        <f t="array" ref="V92">IFERROR(
MEDIAN((IF(DATOS_[[Sexo]:[Sexo]]=$B92,IF(DATOS_[[AGRUP. CLAS. PROF.]:[AGRUP. CLAS. PROF.]]=$B90,IF(DATOS_[[Check Periodo Ref.]:[Check Periodo Ref.]]="Dentro",DATOS_[Conc.Sal.17]))))),
0)</f>
        <v>0</v>
      </c>
      <c r="W92" s="170">
        <f t="array" ref="W92">IFERROR(
MEDIAN((IF(DATOS_[[Sexo]:[Sexo]]=$B92,IF(DATOS_[[AGRUP. CLAS. PROF.]:[AGRUP. CLAS. PROF.]]=$B90,IF(DATOS_[[Check Periodo Ref.]:[Check Periodo Ref.]]="Dentro",DATOS_[Conc.Sal.18]))))),
0)</f>
        <v>0</v>
      </c>
      <c r="X92" s="170">
        <f t="array" ref="X92">IFERROR(
MEDIAN((IF(DATOS_[[Sexo]:[Sexo]]=$B92,IF(DATOS_[[AGRUP. CLAS. PROF.]:[AGRUP. CLAS. PROF.]]=$B90,IF(DATOS_[[Check Periodo Ref.]:[Check Periodo Ref.]]="Dentro",DATOS_[Conc.Sal.19]))))),
0)</f>
        <v>0</v>
      </c>
      <c r="Y92" s="170">
        <f t="array" ref="Y92">IFERROR(
MEDIAN((IF(DATOS_[[Sexo]:[Sexo]]=$B92,IF(DATOS_[[AGRUP. CLAS. PROF.]:[AGRUP. CLAS. PROF.]]=$B90,IF(DATOS_[[Check Periodo Ref.]:[Check Periodo Ref.]]="Dentro",DATOS_[Conc.Sal.20]))))),
0)</f>
        <v>0</v>
      </c>
      <c r="Z92" s="170">
        <f t="array" ref="Z92">IFERROR(
MEDIAN((IF(DATOS_[[Sexo]:[Sexo]]=$B92,IF(DATOS_[[AGRUP. CLAS. PROF.]:[AGRUP. CLAS. PROF.]]=$B90,IF(DATOS_[[Check Periodo Ref.]:[Check Periodo Ref.]]="Dentro",DATOS_[Conc.Sal.21]))))),
0)</f>
        <v>0</v>
      </c>
      <c r="AA92" s="170">
        <f t="array" ref="AA92">IFERROR(
MEDIAN((IF(DATOS_[[Sexo]:[Sexo]]=$B92,IF(DATOS_[[AGRUP. CLAS. PROF.]:[AGRUP. CLAS. PROF.]]=$B90,IF(DATOS_[[Check Periodo Ref.]:[Check Periodo Ref.]]="Dentro",DATOS_[Conc.Sal.22]))))),
0)</f>
        <v>0</v>
      </c>
      <c r="AB92" s="170">
        <f t="array" ref="AB92">IFERROR(
MEDIAN((IF(DATOS_[[Sexo]:[Sexo]]=$B92,IF(DATOS_[[AGRUP. CLAS. PROF.]:[AGRUP. CLAS. PROF.]]=$B90,IF(DATOS_[[Check Periodo Ref.]:[Check Periodo Ref.]]="Dentro",DATOS_[Conc.Sal.23]))))),
0)</f>
        <v>0</v>
      </c>
      <c r="AC92" s="170">
        <f t="array" ref="AC92">IFERROR(
MEDIAN((IF(DATOS_[[Sexo]:[Sexo]]=$B92,IF(DATOS_[[AGRUP. CLAS. PROF.]:[AGRUP. CLAS. PROF.]]=$B90,IF(DATOS_[[Check Periodo Ref.]:[Check Periodo Ref.]]="Dentro",DATOS_[Conc.Sal.24]))))),
0)</f>
        <v>0</v>
      </c>
      <c r="AD92" s="170">
        <f t="array" ref="AD92">IFERROR(
MEDIAN((IF(DATOS_[[Sexo]:[Sexo]]=$B92,IF(DATOS_[[AGRUP. CLAS. PROF.]:[AGRUP. CLAS. PROF.]]=$B90,IF(DATOS_[[Check Periodo Ref.]:[Check Periodo Ref.]]="Dentro",DATOS_[Conc.Sal.25]))))),
0)</f>
        <v>0</v>
      </c>
      <c r="AE92" s="170">
        <f t="array" ref="AE92">IFERROR(
MEDIAN((IF(DATOS_[[Sexo]:[Sexo]]=$B92,IF(DATOS_[[AGRUP. CLAS. PROF.]:[AGRUP. CLAS. PROF.]]=$B90,IF(DATOS_[[Check Periodo Ref.]:[Check Periodo Ref.]]="Dentro",DATOS_[Conc.Sal.26]))))),
0)</f>
        <v>0</v>
      </c>
      <c r="AF92" s="170">
        <f t="array" ref="AF92">IFERROR(
MEDIAN((IF(DATOS_[[Sexo]:[Sexo]]=$B92,IF(DATOS_[[AGRUP. CLAS. PROF.]:[AGRUP. CLAS. PROF.]]=$B90,IF(DATOS_[[Check Periodo Ref.]:[Check Periodo Ref.]]="Dentro",DATOS_[Conc.Sal.27]))))),
0)</f>
        <v>0</v>
      </c>
      <c r="AG92" s="170">
        <f t="array" ref="AG92">IFERROR(
MEDIAN((IF(DATOS_[[Sexo]:[Sexo]]=$B92,IF(DATOS_[[AGRUP. CLAS. PROF.]:[AGRUP. CLAS. PROF.]]=$B90,IF(DATOS_[[Check Periodo Ref.]:[Check Periodo Ref.]]="Dentro",DATOS_[Conc.Sal.28]))))),
0)</f>
        <v>0</v>
      </c>
      <c r="AH92" s="170">
        <f t="array" ref="AH92">IFERROR(
MEDIAN((IF(DATOS_[[Sexo]:[Sexo]]=$B92,IF(DATOS_[[AGRUP. CLAS. PROF.]:[AGRUP. CLAS. PROF.]]=$B90,IF(DATOS_[[Check Periodo Ref.]:[Check Periodo Ref.]]="Dentro",DATOS_[Conc.Sal.29]))))),
0)</f>
        <v>0</v>
      </c>
      <c r="AI92" s="170">
        <f t="array" ref="AI92">IFERROR(
MEDIAN((IF(DATOS_[[Sexo]:[Sexo]]=$B92,IF(DATOS_[[AGRUP. CLAS. PROF.]:[AGRUP. CLAS. PROF.]]=$B90,IF(DATOS_[[Check Periodo Ref.]:[Check Periodo Ref.]]="Dentro",DATOS_[Conc.Sal.30]))))),
0)</f>
        <v>0</v>
      </c>
      <c r="AJ92" s="171">
        <f t="array" ref="AJ92">IFERROR(
MEDIAN(IF(DATOS_[Sexo]=$B92,IF(DATOS_[AGRUP. CLAS. PROF.]=$B90,IF(DATOS_[Check Periodo Ref.]="Dentro",DATOS_[Tot COMPL.SAL Ef],FALSE)))),
0)</f>
        <v>0</v>
      </c>
      <c r="AK92" s="172">
        <f t="array" ref="AK92">IFERROR(
MEDIAN(IF(DATOS_[Sexo]=$B92,IF(DATOS_[AGRUP. CLAS. PROF.]=$B90,IF(DATOS_[Check Periodo Ref.]="Dentro",DATOS_[TOTAL SALARIO Ef],FALSE)))),
0)</f>
        <v>0</v>
      </c>
      <c r="AL92" s="173">
        <f t="array" ref="AL92">IFERROR(
MEDIAN((IF(DATOS_[[Sexo]:[Sexo]]=$B92,IF(DATOS_[[AGRUP. CLAS. PROF.]:[AGRUP. CLAS. PROF.]]=$B90,IF(DATOS_[[Check Periodo Ref.]:[Check Periodo Ref.]]="Dentro",DATOS_[C.Extra.01]))))),
0)</f>
        <v>0</v>
      </c>
      <c r="AM92" s="173">
        <f t="array" ref="AM92">IFERROR(
MEDIAN((IF(DATOS_[[Sexo]:[Sexo]]=$B92,IF(DATOS_[[AGRUP. CLAS. PROF.]:[AGRUP. CLAS. PROF.]]=$B90,IF(DATOS_[[Check Periodo Ref.]:[Check Periodo Ref.]]="Dentro",DATOS_[C.Extra.06]))))),
0)</f>
        <v>0</v>
      </c>
      <c r="AN92" s="173">
        <f t="array" ref="AN92">IFERROR(
MEDIAN((IF(DATOS_[[Sexo]:[Sexo]]=$B92,IF(DATOS_[[AGRUP. CLAS. PROF.]:[AGRUP. CLAS. PROF.]]=$B90,IF(DATOS_[[Check Periodo Ref.]:[Check Periodo Ref.]]="Dentro",DATOS_[C.Extra.07]))))),
0)</f>
        <v>0</v>
      </c>
      <c r="AO92" s="173">
        <f t="array" ref="AO92">IFERROR(
MEDIAN((IF(DATOS_[[Sexo]:[Sexo]]=$B92,IF(DATOS_[[AGRUP. CLAS. PROF.]:[AGRUP. CLAS. PROF.]]=$B90,IF(DATOS_[[Check Periodo Ref.]:[Check Periodo Ref.]]="Dentro",DATOS_[C.Extra.08]))))),
0)</f>
        <v>0</v>
      </c>
      <c r="AP92" s="173">
        <f t="array" ref="AP92">IFERROR(
MEDIAN((IF(DATOS_[[Sexo]:[Sexo]]=$B92,IF(DATOS_[[AGRUP. CLAS. PROF.]:[AGRUP. CLAS. PROF.]]=$B90,IF(DATOS_[[Check Periodo Ref.]:[Check Periodo Ref.]]="Dentro",DATOS_[C.Extra.11]))))),
0)</f>
        <v>0</v>
      </c>
      <c r="AQ92" s="174">
        <f t="array" ref="AQ92">IFERROR(
MEDIAN(IF(DATOS_[Sexo]=$B92,IF(DATOS_[AGRUP. CLAS. PROF.]=$B90,IF(DATOS_[Check Periodo Ref.]="Dentro",DATOS_[Tot Extrasalarial Ef],FALSE)))),
0)</f>
        <v>0</v>
      </c>
      <c r="AR92" s="171">
        <f t="array" ref="AR92">IFERROR(
MEDIAN(IF(DATOS_[Sexo]=$B92,IF(DATOS_[AGRUP. CLAS. PROF.]=$B90,IF(DATOS_[Check Periodo Ref.]="Dentro",DATOS_[TOTAL Retrib Ef],FALSE)))),
0)</f>
        <v>0</v>
      </c>
    </row>
    <row r="93" spans="1:44" ht="14.4" hidden="1" thickBot="1" x14ac:dyDescent="0.3">
      <c r="A93" s="178" t="str">
        <f t="shared" ref="A93" si="107">+A94</f>
        <v>[ocultar]</v>
      </c>
      <c r="B93" s="153" t="s">
        <v>280</v>
      </c>
      <c r="C93" s="154"/>
      <c r="D93" s="155"/>
      <c r="E93" s="156" t="str">
        <f t="shared" ref="E93:AR93" si="108">IFERROR((E94-E95)/E94,"")</f>
        <v/>
      </c>
      <c r="F93" s="157" t="str">
        <f t="shared" si="108"/>
        <v/>
      </c>
      <c r="G93" s="158" t="str">
        <f t="shared" si="108"/>
        <v/>
      </c>
      <c r="H93" s="158" t="str">
        <f t="shared" si="108"/>
        <v/>
      </c>
      <c r="I93" s="158" t="str">
        <f t="shared" si="108"/>
        <v/>
      </c>
      <c r="J93" s="159" t="str">
        <f t="shared" si="108"/>
        <v/>
      </c>
      <c r="K93" s="160" t="str">
        <f t="shared" si="108"/>
        <v/>
      </c>
      <c r="L93" s="160" t="str">
        <f t="shared" si="108"/>
        <v/>
      </c>
      <c r="M93" s="160" t="str">
        <f t="shared" si="108"/>
        <v/>
      </c>
      <c r="N93" s="160" t="str">
        <f t="shared" si="108"/>
        <v/>
      </c>
      <c r="O93" s="160" t="str">
        <f t="shared" si="108"/>
        <v/>
      </c>
      <c r="P93" s="160" t="str">
        <f t="shared" si="108"/>
        <v/>
      </c>
      <c r="Q93" s="160" t="str">
        <f t="shared" si="108"/>
        <v/>
      </c>
      <c r="R93" s="160" t="str">
        <f t="shared" si="108"/>
        <v/>
      </c>
      <c r="S93" s="160" t="str">
        <f t="shared" si="108"/>
        <v/>
      </c>
      <c r="T93" s="160" t="str">
        <f t="shared" si="108"/>
        <v/>
      </c>
      <c r="U93" s="160" t="str">
        <f t="shared" si="108"/>
        <v/>
      </c>
      <c r="V93" s="159" t="str">
        <f t="shared" si="108"/>
        <v/>
      </c>
      <c r="W93" s="159" t="str">
        <f t="shared" si="108"/>
        <v/>
      </c>
      <c r="X93" s="159" t="str">
        <f t="shared" si="108"/>
        <v/>
      </c>
      <c r="Y93" s="159" t="str">
        <f t="shared" si="108"/>
        <v/>
      </c>
      <c r="Z93" s="159" t="str">
        <f t="shared" si="108"/>
        <v/>
      </c>
      <c r="AA93" s="159" t="str">
        <f t="shared" si="108"/>
        <v/>
      </c>
      <c r="AB93" s="159" t="str">
        <f t="shared" si="108"/>
        <v/>
      </c>
      <c r="AC93" s="159" t="str">
        <f t="shared" si="108"/>
        <v/>
      </c>
      <c r="AD93" s="159" t="str">
        <f t="shared" si="108"/>
        <v/>
      </c>
      <c r="AE93" s="159" t="str">
        <f t="shared" si="108"/>
        <v/>
      </c>
      <c r="AF93" s="159" t="str">
        <f t="shared" si="108"/>
        <v/>
      </c>
      <c r="AG93" s="159" t="str">
        <f t="shared" si="108"/>
        <v/>
      </c>
      <c r="AH93" s="159" t="str">
        <f t="shared" si="108"/>
        <v/>
      </c>
      <c r="AI93" s="159" t="str">
        <f t="shared" si="108"/>
        <v/>
      </c>
      <c r="AJ93" s="161" t="str">
        <f t="shared" si="108"/>
        <v/>
      </c>
      <c r="AK93" s="162" t="str">
        <f t="shared" si="108"/>
        <v/>
      </c>
      <c r="AL93" s="163" t="str">
        <f t="shared" si="108"/>
        <v/>
      </c>
      <c r="AM93" s="163" t="str">
        <f t="shared" si="108"/>
        <v/>
      </c>
      <c r="AN93" s="163" t="str">
        <f t="shared" si="108"/>
        <v/>
      </c>
      <c r="AO93" s="163" t="str">
        <f t="shared" si="108"/>
        <v/>
      </c>
      <c r="AP93" s="163" t="str">
        <f t="shared" si="108"/>
        <v/>
      </c>
      <c r="AQ93" s="164" t="str">
        <f t="shared" si="108"/>
        <v/>
      </c>
      <c r="AR93" s="161" t="str">
        <f t="shared" si="108"/>
        <v/>
      </c>
    </row>
    <row r="94" spans="1:44" hidden="1" x14ac:dyDescent="0.25">
      <c r="A94" s="178" t="str">
        <f t="shared" ref="A94" si="109">+IF(C94+C95=0,"[ocultar]","")</f>
        <v>[ocultar]</v>
      </c>
      <c r="B94" s="166" t="s">
        <v>394</v>
      </c>
      <c r="C94" s="167">
        <f t="array" ref="C94">SUM(IF($B94=DATOS_[Sexo],
IF($B93=DATOS_[AGRUP. CLAS. PROF.],
IF("Dentro"=DATOS_[Check Periodo Ref.],
1/(COUNTIFS(DATOS_[Sexo],$B94,DATOS_[AGRUP. CLAS. PROF.],$B93,DATOS_[Check Periodo Ref.],"Dentro",DATOS_[id/cod],DATOS_[id/cod]))))))</f>
        <v>0</v>
      </c>
      <c r="D94" s="168">
        <f>COUNTIFS(DATOS_[AGRUP. CLAS. PROF.],$B93,DATOS_[Sexo],$B94,DATOS_[Check Periodo Ref.],"Dentro")</f>
        <v>0</v>
      </c>
      <c r="E94" s="169">
        <f t="array" ref="E94">IFERROR(
MEDIAN(IF(DATOS_[Sexo]=$B94,IF(DATOS_[AGRUP. CLAS. PROF.]=$B93,IF(DATOS_[Check Periodo Ref.]="Dentro",DATOS_[SALARIO BASE Ef],FALSE)))),
0)</f>
        <v>0</v>
      </c>
      <c r="F94" s="170">
        <f t="array" ref="F94">IFERROR(
MEDIAN((IF(DATOS_[[Sexo]:[Sexo]]=$B94,IF(DATOS_[[AGRUP. CLAS. PROF.]:[AGRUP. CLAS. PROF.]]=$B93,IF(DATOS_[[Check Periodo Ref.]:[Check Periodo Ref.]]="Dentro",DATOS_[Conc.Sal.01]))))),
0)</f>
        <v>0</v>
      </c>
      <c r="G94" s="170">
        <f t="array" ref="G94">IFERROR(
MEDIAN((IF(DATOS_[[Sexo]:[Sexo]]=$B94,IF(DATOS_[[AGRUP. CLAS. PROF.]:[AGRUP. CLAS. PROF.]]=$B93,IF(DATOS_[[Check Periodo Ref.]:[Check Periodo Ref.]]="Dentro",DATOS_[Conc.Sal.02]))))),
0)</f>
        <v>0</v>
      </c>
      <c r="H94" s="170">
        <f t="array" ref="H94">IFERROR(
MEDIAN((IF(DATOS_[[Sexo]:[Sexo]]=$B94,IF(DATOS_[[AGRUP. CLAS. PROF.]:[AGRUP. CLAS. PROF.]]=$B93,IF(DATOS_[[Check Periodo Ref.]:[Check Periodo Ref.]]="Dentro",DATOS_[Conc.Sal.03]))))),
0)</f>
        <v>0</v>
      </c>
      <c r="I94" s="170">
        <f t="array" ref="I94">IFERROR(
MEDIAN((IF(DATOS_[[Sexo]:[Sexo]]=$B94,IF(DATOS_[[AGRUP. CLAS. PROF.]:[AGRUP. CLAS. PROF.]]=$B93,IF(DATOS_[[Check Periodo Ref.]:[Check Periodo Ref.]]="Dentro",DATOS_[Conc.Sal.04]))))),
0)</f>
        <v>0</v>
      </c>
      <c r="J94" s="170">
        <f t="array" ref="J94">IFERROR(
MEDIAN((IF(DATOS_[[Sexo]:[Sexo]]=$B94,IF(DATOS_[[AGRUP. CLAS. PROF.]:[AGRUP. CLAS. PROF.]]=$B93,IF(DATOS_[[Check Periodo Ref.]:[Check Periodo Ref.]]="Dentro",DATOS_[Conc.Sal.05]))))),
0)</f>
        <v>0</v>
      </c>
      <c r="K94" s="170">
        <f t="array" ref="K94">IFERROR(
MEDIAN((IF(DATOS_[[Sexo]:[Sexo]]=$B94,IF(DATOS_[[AGRUP. CLAS. PROF.]:[AGRUP. CLAS. PROF.]]=$B93,IF(DATOS_[[Check Periodo Ref.]:[Check Periodo Ref.]]="Dentro",DATOS_[Conc.Sal.06]))))),
0)</f>
        <v>0</v>
      </c>
      <c r="L94" s="170">
        <f t="array" ref="L94">IFERROR(
MEDIAN((IF(DATOS_[[Sexo]:[Sexo]]=$B94,IF(DATOS_[[AGRUP. CLAS. PROF.]:[AGRUP. CLAS. PROF.]]=$B93,IF(DATOS_[[Check Periodo Ref.]:[Check Periodo Ref.]]="Dentro",DATOS_[Conc.Sal.07]))))),
0)</f>
        <v>0</v>
      </c>
      <c r="M94" s="170">
        <f t="array" ref="M94">IFERROR(
MEDIAN((IF(DATOS_[[Sexo]:[Sexo]]=$B94,IF(DATOS_[[AGRUP. CLAS. PROF.]:[AGRUP. CLAS. PROF.]]=$B93,IF(DATOS_[[Check Periodo Ref.]:[Check Periodo Ref.]]="Dentro",DATOS_[Conc.Sal.08]))))),
0)</f>
        <v>0</v>
      </c>
      <c r="N94" s="170">
        <f t="array" ref="N94">IFERROR(
MEDIAN((IF(DATOS_[[Sexo]:[Sexo]]=$B94,IF(DATOS_[[AGRUP. CLAS. PROF.]:[AGRUP. CLAS. PROF.]]=$B93,IF(DATOS_[[Check Periodo Ref.]:[Check Periodo Ref.]]="Dentro",DATOS_[Conc.Sal.09]))))),
0)</f>
        <v>0</v>
      </c>
      <c r="O94" s="170">
        <f t="array" ref="O94">IFERROR(
MEDIAN((IF(DATOS_[[Sexo]:[Sexo]]=$B94,IF(DATOS_[[AGRUP. CLAS. PROF.]:[AGRUP. CLAS. PROF.]]=$B93,IF(DATOS_[[Check Periodo Ref.]:[Check Periodo Ref.]]="Dentro",DATOS_[Conc.Sal.10]))))),
0)</f>
        <v>0</v>
      </c>
      <c r="P94" s="170">
        <f t="array" ref="P94">IFERROR(
MEDIAN((IF(DATOS_[[Sexo]:[Sexo]]=$B94,IF(DATOS_[[AGRUP. CLAS. PROF.]:[AGRUP. CLAS. PROF.]]=$B93,IF(DATOS_[[Check Periodo Ref.]:[Check Periodo Ref.]]="Dentro",DATOS_[Conc.Sal.11]))))),
0)</f>
        <v>0</v>
      </c>
      <c r="Q94" s="170">
        <f t="array" ref="Q94">IFERROR(
MEDIAN((IF(DATOS_[[Sexo]:[Sexo]]=$B94,IF(DATOS_[[AGRUP. CLAS. PROF.]:[AGRUP. CLAS. PROF.]]=$B93,IF(DATOS_[[Check Periodo Ref.]:[Check Periodo Ref.]]="Dentro",DATOS_[Conc.Sal.12]))))),
0)</f>
        <v>0</v>
      </c>
      <c r="R94" s="170">
        <f t="array" ref="R94">IFERROR(
MEDIAN((IF(DATOS_[[Sexo]:[Sexo]]=$B94,IF(DATOS_[[AGRUP. CLAS. PROF.]:[AGRUP. CLAS. PROF.]]=$B93,IF(DATOS_[[Check Periodo Ref.]:[Check Periodo Ref.]]="Dentro",DATOS_[Conc.Sal.13]))))),
0)</f>
        <v>0</v>
      </c>
      <c r="S94" s="170">
        <f t="array" ref="S94">IFERROR(
MEDIAN((IF(DATOS_[[Sexo]:[Sexo]]=$B94,IF(DATOS_[[AGRUP. CLAS. PROF.]:[AGRUP. CLAS. PROF.]]=$B93,IF(DATOS_[[Check Periodo Ref.]:[Check Periodo Ref.]]="Dentro",DATOS_[Conc.Sal.14]))))),
0)</f>
        <v>0</v>
      </c>
      <c r="T94" s="170">
        <f t="array" ref="T94">IFERROR(
MEDIAN((IF(DATOS_[[Sexo]:[Sexo]]=$B94,IF(DATOS_[[AGRUP. CLAS. PROF.]:[AGRUP. CLAS. PROF.]]=$B93,IF(DATOS_[[Check Periodo Ref.]:[Check Periodo Ref.]]="Dentro",DATOS_[Conc.Sal.15]))))),
0)</f>
        <v>0</v>
      </c>
      <c r="U94" s="170">
        <f t="array" ref="U94">IFERROR(
MEDIAN((IF(DATOS_[[Sexo]:[Sexo]]=$B94,IF(DATOS_[[AGRUP. CLAS. PROF.]:[AGRUP. CLAS. PROF.]]=$B93,IF(DATOS_[[Check Periodo Ref.]:[Check Periodo Ref.]]="Dentro",DATOS_[Conc.Sal.16]))))),
0)</f>
        <v>0</v>
      </c>
      <c r="V94" s="170">
        <f t="array" ref="V94">IFERROR(
MEDIAN((IF(DATOS_[[Sexo]:[Sexo]]=$B94,IF(DATOS_[[AGRUP. CLAS. PROF.]:[AGRUP. CLAS. PROF.]]=$B93,IF(DATOS_[[Check Periodo Ref.]:[Check Periodo Ref.]]="Dentro",DATOS_[Conc.Sal.17]))))),
0)</f>
        <v>0</v>
      </c>
      <c r="W94" s="170">
        <f t="array" ref="W94">IFERROR(
MEDIAN((IF(DATOS_[[Sexo]:[Sexo]]=$B94,IF(DATOS_[[AGRUP. CLAS. PROF.]:[AGRUP. CLAS. PROF.]]=$B93,IF(DATOS_[[Check Periodo Ref.]:[Check Periodo Ref.]]="Dentro",DATOS_[Conc.Sal.18]))))),
0)</f>
        <v>0</v>
      </c>
      <c r="X94" s="170">
        <f t="array" ref="X94">IFERROR(
MEDIAN((IF(DATOS_[[Sexo]:[Sexo]]=$B94,IF(DATOS_[[AGRUP. CLAS. PROF.]:[AGRUP. CLAS. PROF.]]=$B93,IF(DATOS_[[Check Periodo Ref.]:[Check Periodo Ref.]]="Dentro",DATOS_[Conc.Sal.19]))))),
0)</f>
        <v>0</v>
      </c>
      <c r="Y94" s="170">
        <f t="array" ref="Y94">IFERROR(
MEDIAN((IF(DATOS_[[Sexo]:[Sexo]]=$B94,IF(DATOS_[[AGRUP. CLAS. PROF.]:[AGRUP. CLAS. PROF.]]=$B93,IF(DATOS_[[Check Periodo Ref.]:[Check Periodo Ref.]]="Dentro",DATOS_[Conc.Sal.20]))))),
0)</f>
        <v>0</v>
      </c>
      <c r="Z94" s="170">
        <f t="array" ref="Z94">IFERROR(
MEDIAN((IF(DATOS_[[Sexo]:[Sexo]]=$B94,IF(DATOS_[[AGRUP. CLAS. PROF.]:[AGRUP. CLAS. PROF.]]=$B93,IF(DATOS_[[Check Periodo Ref.]:[Check Periodo Ref.]]="Dentro",DATOS_[Conc.Sal.21]))))),
0)</f>
        <v>0</v>
      </c>
      <c r="AA94" s="170">
        <f t="array" ref="AA94">IFERROR(
MEDIAN((IF(DATOS_[[Sexo]:[Sexo]]=$B94,IF(DATOS_[[AGRUP. CLAS. PROF.]:[AGRUP. CLAS. PROF.]]=$B93,IF(DATOS_[[Check Periodo Ref.]:[Check Periodo Ref.]]="Dentro",DATOS_[Conc.Sal.22]))))),
0)</f>
        <v>0</v>
      </c>
      <c r="AB94" s="170">
        <f t="array" ref="AB94">IFERROR(
MEDIAN((IF(DATOS_[[Sexo]:[Sexo]]=$B94,IF(DATOS_[[AGRUP. CLAS. PROF.]:[AGRUP. CLAS. PROF.]]=$B93,IF(DATOS_[[Check Periodo Ref.]:[Check Periodo Ref.]]="Dentro",DATOS_[Conc.Sal.23]))))),
0)</f>
        <v>0</v>
      </c>
      <c r="AC94" s="170">
        <f t="array" ref="AC94">IFERROR(
MEDIAN((IF(DATOS_[[Sexo]:[Sexo]]=$B94,IF(DATOS_[[AGRUP. CLAS. PROF.]:[AGRUP. CLAS. PROF.]]=$B93,IF(DATOS_[[Check Periodo Ref.]:[Check Periodo Ref.]]="Dentro",DATOS_[Conc.Sal.24]))))),
0)</f>
        <v>0</v>
      </c>
      <c r="AD94" s="170">
        <f t="array" ref="AD94">IFERROR(
MEDIAN((IF(DATOS_[[Sexo]:[Sexo]]=$B94,IF(DATOS_[[AGRUP. CLAS. PROF.]:[AGRUP. CLAS. PROF.]]=$B93,IF(DATOS_[[Check Periodo Ref.]:[Check Periodo Ref.]]="Dentro",DATOS_[Conc.Sal.25]))))),
0)</f>
        <v>0</v>
      </c>
      <c r="AE94" s="170">
        <f t="array" ref="AE94">IFERROR(
MEDIAN((IF(DATOS_[[Sexo]:[Sexo]]=$B94,IF(DATOS_[[AGRUP. CLAS. PROF.]:[AGRUP. CLAS. PROF.]]=$B93,IF(DATOS_[[Check Periodo Ref.]:[Check Periodo Ref.]]="Dentro",DATOS_[Conc.Sal.26]))))),
0)</f>
        <v>0</v>
      </c>
      <c r="AF94" s="170">
        <f t="array" ref="AF94">IFERROR(
MEDIAN((IF(DATOS_[[Sexo]:[Sexo]]=$B94,IF(DATOS_[[AGRUP. CLAS. PROF.]:[AGRUP. CLAS. PROF.]]=$B93,IF(DATOS_[[Check Periodo Ref.]:[Check Periodo Ref.]]="Dentro",DATOS_[Conc.Sal.27]))))),
0)</f>
        <v>0</v>
      </c>
      <c r="AG94" s="170">
        <f t="array" ref="AG94">IFERROR(
MEDIAN((IF(DATOS_[[Sexo]:[Sexo]]=$B94,IF(DATOS_[[AGRUP. CLAS. PROF.]:[AGRUP. CLAS. PROF.]]=$B93,IF(DATOS_[[Check Periodo Ref.]:[Check Periodo Ref.]]="Dentro",DATOS_[Conc.Sal.28]))))),
0)</f>
        <v>0</v>
      </c>
      <c r="AH94" s="170">
        <f t="array" ref="AH94">IFERROR(
MEDIAN((IF(DATOS_[[Sexo]:[Sexo]]=$B94,IF(DATOS_[[AGRUP. CLAS. PROF.]:[AGRUP. CLAS. PROF.]]=$B93,IF(DATOS_[[Check Periodo Ref.]:[Check Periodo Ref.]]="Dentro",DATOS_[Conc.Sal.29]))))),
0)</f>
        <v>0</v>
      </c>
      <c r="AI94" s="170">
        <f t="array" ref="AI94">IFERROR(
MEDIAN((IF(DATOS_[[Sexo]:[Sexo]]=$B94,IF(DATOS_[[AGRUP. CLAS. PROF.]:[AGRUP. CLAS. PROF.]]=$B93,IF(DATOS_[[Check Periodo Ref.]:[Check Periodo Ref.]]="Dentro",DATOS_[Conc.Sal.30]))))),
0)</f>
        <v>0</v>
      </c>
      <c r="AJ94" s="171">
        <f t="array" ref="AJ94">IFERROR(
MEDIAN(IF(DATOS_[Sexo]=$B94,IF(DATOS_[AGRUP. CLAS. PROF.]=$B93,IF(DATOS_[Check Periodo Ref.]="Dentro",DATOS_[Tot COMPL.SAL Ef],FALSE)))),
0)</f>
        <v>0</v>
      </c>
      <c r="AK94" s="172">
        <f t="array" ref="AK94">IFERROR(
MEDIAN(IF(DATOS_[Sexo]=$B94,IF(DATOS_[AGRUP. CLAS. PROF.]=$B93,IF(DATOS_[Check Periodo Ref.]="Dentro",DATOS_[TOTAL SALARIO Ef],FALSE)))),
0)</f>
        <v>0</v>
      </c>
      <c r="AL94" s="173">
        <f t="array" ref="AL94">IFERROR(
MEDIAN((IF(DATOS_[[Sexo]:[Sexo]]=$B94,IF(DATOS_[[AGRUP. CLAS. PROF.]:[AGRUP. CLAS. PROF.]]=$B93,IF(DATOS_[[Check Periodo Ref.]:[Check Periodo Ref.]]="Dentro",DATOS_[C.Extra.01]))))),
0)</f>
        <v>0</v>
      </c>
      <c r="AM94" s="173">
        <f t="array" ref="AM94">IFERROR(
MEDIAN((IF(DATOS_[[Sexo]:[Sexo]]=$B94,IF(DATOS_[[AGRUP. CLAS. PROF.]:[AGRUP. CLAS. PROF.]]=$B93,IF(DATOS_[[Check Periodo Ref.]:[Check Periodo Ref.]]="Dentro",DATOS_[C.Extra.06]))))),
0)</f>
        <v>0</v>
      </c>
      <c r="AN94" s="173">
        <f t="array" ref="AN94">IFERROR(
MEDIAN((IF(DATOS_[[Sexo]:[Sexo]]=$B94,IF(DATOS_[[AGRUP. CLAS. PROF.]:[AGRUP. CLAS. PROF.]]=$B93,IF(DATOS_[[Check Periodo Ref.]:[Check Periodo Ref.]]="Dentro",DATOS_[C.Extra.07]))))),
0)</f>
        <v>0</v>
      </c>
      <c r="AO94" s="173">
        <f t="array" ref="AO94">IFERROR(
MEDIAN((IF(DATOS_[[Sexo]:[Sexo]]=$B94,IF(DATOS_[[AGRUP. CLAS. PROF.]:[AGRUP. CLAS. PROF.]]=$B93,IF(DATOS_[[Check Periodo Ref.]:[Check Periodo Ref.]]="Dentro",DATOS_[C.Extra.08]))))),
0)</f>
        <v>0</v>
      </c>
      <c r="AP94" s="173">
        <f t="array" ref="AP94">IFERROR(
MEDIAN((IF(DATOS_[[Sexo]:[Sexo]]=$B94,IF(DATOS_[[AGRUP. CLAS. PROF.]:[AGRUP. CLAS. PROF.]]=$B93,IF(DATOS_[[Check Periodo Ref.]:[Check Periodo Ref.]]="Dentro",DATOS_[C.Extra.11]))))),
0)</f>
        <v>0</v>
      </c>
      <c r="AQ94" s="174">
        <f t="array" ref="AQ94">IFERROR(
MEDIAN(IF(DATOS_[Sexo]=$B94,IF(DATOS_[AGRUP. CLAS. PROF.]=$B93,IF(DATOS_[Check Periodo Ref.]="Dentro",DATOS_[Tot Extrasalarial Ef],FALSE)))),
0)</f>
        <v>0</v>
      </c>
      <c r="AR94" s="171">
        <f t="array" ref="AR94">IFERROR(
MEDIAN(IF(DATOS_[Sexo]=$B94,IF(DATOS_[AGRUP. CLAS. PROF.]=$B93,IF(DATOS_[Check Periodo Ref.]="Dentro",DATOS_[TOTAL Retrib Ef],FALSE)))),
0)</f>
        <v>0</v>
      </c>
    </row>
    <row r="95" spans="1:44" hidden="1" x14ac:dyDescent="0.25">
      <c r="A95" s="178" t="str">
        <f t="shared" ref="A95" si="110">+A94</f>
        <v>[ocultar]</v>
      </c>
      <c r="B95" s="166" t="s">
        <v>521</v>
      </c>
      <c r="C95" s="167">
        <f t="array" ref="C95">SUM(IF($B95=DATOS_[Sexo],
IF($B93=DATOS_[AGRUP. CLAS. PROF.],
IF("Dentro"=DATOS_[Check Periodo Ref.],
1/(COUNTIFS(DATOS_[Sexo],$B95,DATOS_[AGRUP. CLAS. PROF.],$B93,DATOS_[Check Periodo Ref.],"Dentro",DATOS_[id/cod],DATOS_[id/cod]))))))</f>
        <v>0</v>
      </c>
      <c r="D95" s="168">
        <f>COUNTIFS(DATOS_[AGRUP. CLAS. PROF.],$B93,DATOS_[Sexo],$B95,DATOS_[Check Periodo Ref.],"Dentro")</f>
        <v>0</v>
      </c>
      <c r="E95" s="169">
        <f t="array" ref="E95">IFERROR(
MEDIAN(IF(DATOS_[Sexo]=$B95,IF(DATOS_[AGRUP. CLAS. PROF.]=$B93,IF(DATOS_[Check Periodo Ref.]="Dentro",DATOS_[SALARIO BASE Ef],FALSE)))),
0)</f>
        <v>0</v>
      </c>
      <c r="F95" s="170">
        <f t="array" ref="F95">IFERROR(
MEDIAN((IF(DATOS_[[Sexo]:[Sexo]]=$B95,IF(DATOS_[[AGRUP. CLAS. PROF.]:[AGRUP. CLAS. PROF.]]=$B93,IF(DATOS_[[Check Periodo Ref.]:[Check Periodo Ref.]]="Dentro",DATOS_[Conc.Sal.01]))))),
0)</f>
        <v>0</v>
      </c>
      <c r="G95" s="170">
        <f t="array" ref="G95">IFERROR(
MEDIAN((IF(DATOS_[[Sexo]:[Sexo]]=$B95,IF(DATOS_[[AGRUP. CLAS. PROF.]:[AGRUP. CLAS. PROF.]]=$B93,IF(DATOS_[[Check Periodo Ref.]:[Check Periodo Ref.]]="Dentro",DATOS_[Conc.Sal.02]))))),
0)</f>
        <v>0</v>
      </c>
      <c r="H95" s="170">
        <f t="array" ref="H95">IFERROR(
MEDIAN((IF(DATOS_[[Sexo]:[Sexo]]=$B95,IF(DATOS_[[AGRUP. CLAS. PROF.]:[AGRUP. CLAS. PROF.]]=$B93,IF(DATOS_[[Check Periodo Ref.]:[Check Periodo Ref.]]="Dentro",DATOS_[Conc.Sal.03]))))),
0)</f>
        <v>0</v>
      </c>
      <c r="I95" s="170">
        <f t="array" ref="I95">IFERROR(
MEDIAN((IF(DATOS_[[Sexo]:[Sexo]]=$B95,IF(DATOS_[[AGRUP. CLAS. PROF.]:[AGRUP. CLAS. PROF.]]=$B93,IF(DATOS_[[Check Periodo Ref.]:[Check Periodo Ref.]]="Dentro",DATOS_[Conc.Sal.04]))))),
0)</f>
        <v>0</v>
      </c>
      <c r="J95" s="170">
        <f t="array" ref="J95">IFERROR(
MEDIAN((IF(DATOS_[[Sexo]:[Sexo]]=$B95,IF(DATOS_[[AGRUP. CLAS. PROF.]:[AGRUP. CLAS. PROF.]]=$B93,IF(DATOS_[[Check Periodo Ref.]:[Check Periodo Ref.]]="Dentro",DATOS_[Conc.Sal.05]))))),
0)</f>
        <v>0</v>
      </c>
      <c r="K95" s="170">
        <f t="array" ref="K95">IFERROR(
MEDIAN((IF(DATOS_[[Sexo]:[Sexo]]=$B95,IF(DATOS_[[AGRUP. CLAS. PROF.]:[AGRUP. CLAS. PROF.]]=$B93,IF(DATOS_[[Check Periodo Ref.]:[Check Periodo Ref.]]="Dentro",DATOS_[Conc.Sal.06]))))),
0)</f>
        <v>0</v>
      </c>
      <c r="L95" s="170">
        <f t="array" ref="L95">IFERROR(
MEDIAN((IF(DATOS_[[Sexo]:[Sexo]]=$B95,IF(DATOS_[[AGRUP. CLAS. PROF.]:[AGRUP. CLAS. PROF.]]=$B93,IF(DATOS_[[Check Periodo Ref.]:[Check Periodo Ref.]]="Dentro",DATOS_[Conc.Sal.07]))))),
0)</f>
        <v>0</v>
      </c>
      <c r="M95" s="170">
        <f t="array" ref="M95">IFERROR(
MEDIAN((IF(DATOS_[[Sexo]:[Sexo]]=$B95,IF(DATOS_[[AGRUP. CLAS. PROF.]:[AGRUP. CLAS. PROF.]]=$B93,IF(DATOS_[[Check Periodo Ref.]:[Check Periodo Ref.]]="Dentro",DATOS_[Conc.Sal.08]))))),
0)</f>
        <v>0</v>
      </c>
      <c r="N95" s="170">
        <f t="array" ref="N95">IFERROR(
MEDIAN((IF(DATOS_[[Sexo]:[Sexo]]=$B95,IF(DATOS_[[AGRUP. CLAS. PROF.]:[AGRUP. CLAS. PROF.]]=$B93,IF(DATOS_[[Check Periodo Ref.]:[Check Periodo Ref.]]="Dentro",DATOS_[Conc.Sal.09]))))),
0)</f>
        <v>0</v>
      </c>
      <c r="O95" s="170">
        <f t="array" ref="O95">IFERROR(
MEDIAN((IF(DATOS_[[Sexo]:[Sexo]]=$B95,IF(DATOS_[[AGRUP. CLAS. PROF.]:[AGRUP. CLAS. PROF.]]=$B93,IF(DATOS_[[Check Periodo Ref.]:[Check Periodo Ref.]]="Dentro",DATOS_[Conc.Sal.10]))))),
0)</f>
        <v>0</v>
      </c>
      <c r="P95" s="170">
        <f t="array" ref="P95">IFERROR(
MEDIAN((IF(DATOS_[[Sexo]:[Sexo]]=$B95,IF(DATOS_[[AGRUP. CLAS. PROF.]:[AGRUP. CLAS. PROF.]]=$B93,IF(DATOS_[[Check Periodo Ref.]:[Check Periodo Ref.]]="Dentro",DATOS_[Conc.Sal.11]))))),
0)</f>
        <v>0</v>
      </c>
      <c r="Q95" s="170">
        <f t="array" ref="Q95">IFERROR(
MEDIAN((IF(DATOS_[[Sexo]:[Sexo]]=$B95,IF(DATOS_[[AGRUP. CLAS. PROF.]:[AGRUP. CLAS. PROF.]]=$B93,IF(DATOS_[[Check Periodo Ref.]:[Check Periodo Ref.]]="Dentro",DATOS_[Conc.Sal.12]))))),
0)</f>
        <v>0</v>
      </c>
      <c r="R95" s="170">
        <f t="array" ref="R95">IFERROR(
MEDIAN((IF(DATOS_[[Sexo]:[Sexo]]=$B95,IF(DATOS_[[AGRUP. CLAS. PROF.]:[AGRUP. CLAS. PROF.]]=$B93,IF(DATOS_[[Check Periodo Ref.]:[Check Periodo Ref.]]="Dentro",DATOS_[Conc.Sal.13]))))),
0)</f>
        <v>0</v>
      </c>
      <c r="S95" s="170">
        <f t="array" ref="S95">IFERROR(
MEDIAN((IF(DATOS_[[Sexo]:[Sexo]]=$B95,IF(DATOS_[[AGRUP. CLAS. PROF.]:[AGRUP. CLAS. PROF.]]=$B93,IF(DATOS_[[Check Periodo Ref.]:[Check Periodo Ref.]]="Dentro",DATOS_[Conc.Sal.14]))))),
0)</f>
        <v>0</v>
      </c>
      <c r="T95" s="170">
        <f t="array" ref="T95">IFERROR(
MEDIAN((IF(DATOS_[[Sexo]:[Sexo]]=$B95,IF(DATOS_[[AGRUP. CLAS. PROF.]:[AGRUP. CLAS. PROF.]]=$B93,IF(DATOS_[[Check Periodo Ref.]:[Check Periodo Ref.]]="Dentro",DATOS_[Conc.Sal.15]))))),
0)</f>
        <v>0</v>
      </c>
      <c r="U95" s="170">
        <f t="array" ref="U95">IFERROR(
MEDIAN((IF(DATOS_[[Sexo]:[Sexo]]=$B95,IF(DATOS_[[AGRUP. CLAS. PROF.]:[AGRUP. CLAS. PROF.]]=$B93,IF(DATOS_[[Check Periodo Ref.]:[Check Periodo Ref.]]="Dentro",DATOS_[Conc.Sal.16]))))),
0)</f>
        <v>0</v>
      </c>
      <c r="V95" s="170">
        <f t="array" ref="V95">IFERROR(
MEDIAN((IF(DATOS_[[Sexo]:[Sexo]]=$B95,IF(DATOS_[[AGRUP. CLAS. PROF.]:[AGRUP. CLAS. PROF.]]=$B93,IF(DATOS_[[Check Periodo Ref.]:[Check Periodo Ref.]]="Dentro",DATOS_[Conc.Sal.17]))))),
0)</f>
        <v>0</v>
      </c>
      <c r="W95" s="170">
        <f t="array" ref="W95">IFERROR(
MEDIAN((IF(DATOS_[[Sexo]:[Sexo]]=$B95,IF(DATOS_[[AGRUP. CLAS. PROF.]:[AGRUP. CLAS. PROF.]]=$B93,IF(DATOS_[[Check Periodo Ref.]:[Check Periodo Ref.]]="Dentro",DATOS_[Conc.Sal.18]))))),
0)</f>
        <v>0</v>
      </c>
      <c r="X95" s="170">
        <f t="array" ref="X95">IFERROR(
MEDIAN((IF(DATOS_[[Sexo]:[Sexo]]=$B95,IF(DATOS_[[AGRUP. CLAS. PROF.]:[AGRUP. CLAS. PROF.]]=$B93,IF(DATOS_[[Check Periodo Ref.]:[Check Periodo Ref.]]="Dentro",DATOS_[Conc.Sal.19]))))),
0)</f>
        <v>0</v>
      </c>
      <c r="Y95" s="170">
        <f t="array" ref="Y95">IFERROR(
MEDIAN((IF(DATOS_[[Sexo]:[Sexo]]=$B95,IF(DATOS_[[AGRUP. CLAS. PROF.]:[AGRUP. CLAS. PROF.]]=$B93,IF(DATOS_[[Check Periodo Ref.]:[Check Periodo Ref.]]="Dentro",DATOS_[Conc.Sal.20]))))),
0)</f>
        <v>0</v>
      </c>
      <c r="Z95" s="170">
        <f t="array" ref="Z95">IFERROR(
MEDIAN((IF(DATOS_[[Sexo]:[Sexo]]=$B95,IF(DATOS_[[AGRUP. CLAS. PROF.]:[AGRUP. CLAS. PROF.]]=$B93,IF(DATOS_[[Check Periodo Ref.]:[Check Periodo Ref.]]="Dentro",DATOS_[Conc.Sal.21]))))),
0)</f>
        <v>0</v>
      </c>
      <c r="AA95" s="170">
        <f t="array" ref="AA95">IFERROR(
MEDIAN((IF(DATOS_[[Sexo]:[Sexo]]=$B95,IF(DATOS_[[AGRUP. CLAS. PROF.]:[AGRUP. CLAS. PROF.]]=$B93,IF(DATOS_[[Check Periodo Ref.]:[Check Periodo Ref.]]="Dentro",DATOS_[Conc.Sal.22]))))),
0)</f>
        <v>0</v>
      </c>
      <c r="AB95" s="170">
        <f t="array" ref="AB95">IFERROR(
MEDIAN((IF(DATOS_[[Sexo]:[Sexo]]=$B95,IF(DATOS_[[AGRUP. CLAS. PROF.]:[AGRUP. CLAS. PROF.]]=$B93,IF(DATOS_[[Check Periodo Ref.]:[Check Periodo Ref.]]="Dentro",DATOS_[Conc.Sal.23]))))),
0)</f>
        <v>0</v>
      </c>
      <c r="AC95" s="170">
        <f t="array" ref="AC95">IFERROR(
MEDIAN((IF(DATOS_[[Sexo]:[Sexo]]=$B95,IF(DATOS_[[AGRUP. CLAS. PROF.]:[AGRUP. CLAS. PROF.]]=$B93,IF(DATOS_[[Check Periodo Ref.]:[Check Periodo Ref.]]="Dentro",DATOS_[Conc.Sal.24]))))),
0)</f>
        <v>0</v>
      </c>
      <c r="AD95" s="170">
        <f t="array" ref="AD95">IFERROR(
MEDIAN((IF(DATOS_[[Sexo]:[Sexo]]=$B95,IF(DATOS_[[AGRUP. CLAS. PROF.]:[AGRUP. CLAS. PROF.]]=$B93,IF(DATOS_[[Check Periodo Ref.]:[Check Periodo Ref.]]="Dentro",DATOS_[Conc.Sal.25]))))),
0)</f>
        <v>0</v>
      </c>
      <c r="AE95" s="170">
        <f t="array" ref="AE95">IFERROR(
MEDIAN((IF(DATOS_[[Sexo]:[Sexo]]=$B95,IF(DATOS_[[AGRUP. CLAS. PROF.]:[AGRUP. CLAS. PROF.]]=$B93,IF(DATOS_[[Check Periodo Ref.]:[Check Periodo Ref.]]="Dentro",DATOS_[Conc.Sal.26]))))),
0)</f>
        <v>0</v>
      </c>
      <c r="AF95" s="170">
        <f t="array" ref="AF95">IFERROR(
MEDIAN((IF(DATOS_[[Sexo]:[Sexo]]=$B95,IF(DATOS_[[AGRUP. CLAS. PROF.]:[AGRUP. CLAS. PROF.]]=$B93,IF(DATOS_[[Check Periodo Ref.]:[Check Periodo Ref.]]="Dentro",DATOS_[Conc.Sal.27]))))),
0)</f>
        <v>0</v>
      </c>
      <c r="AG95" s="170">
        <f t="array" ref="AG95">IFERROR(
MEDIAN((IF(DATOS_[[Sexo]:[Sexo]]=$B95,IF(DATOS_[[AGRUP. CLAS. PROF.]:[AGRUP. CLAS. PROF.]]=$B93,IF(DATOS_[[Check Periodo Ref.]:[Check Periodo Ref.]]="Dentro",DATOS_[Conc.Sal.28]))))),
0)</f>
        <v>0</v>
      </c>
      <c r="AH95" s="170">
        <f t="array" ref="AH95">IFERROR(
MEDIAN((IF(DATOS_[[Sexo]:[Sexo]]=$B95,IF(DATOS_[[AGRUP. CLAS. PROF.]:[AGRUP. CLAS. PROF.]]=$B93,IF(DATOS_[[Check Periodo Ref.]:[Check Periodo Ref.]]="Dentro",DATOS_[Conc.Sal.29]))))),
0)</f>
        <v>0</v>
      </c>
      <c r="AI95" s="170">
        <f t="array" ref="AI95">IFERROR(
MEDIAN((IF(DATOS_[[Sexo]:[Sexo]]=$B95,IF(DATOS_[[AGRUP. CLAS. PROF.]:[AGRUP. CLAS. PROF.]]=$B93,IF(DATOS_[[Check Periodo Ref.]:[Check Periodo Ref.]]="Dentro",DATOS_[Conc.Sal.30]))))),
0)</f>
        <v>0</v>
      </c>
      <c r="AJ95" s="171">
        <f t="array" ref="AJ95">IFERROR(
MEDIAN(IF(DATOS_[Sexo]=$B95,IF(DATOS_[AGRUP. CLAS. PROF.]=$B93,IF(DATOS_[Check Periodo Ref.]="Dentro",DATOS_[Tot COMPL.SAL Ef],FALSE)))),
0)</f>
        <v>0</v>
      </c>
      <c r="AK95" s="172">
        <f t="array" ref="AK95">IFERROR(
MEDIAN(IF(DATOS_[Sexo]=$B95,IF(DATOS_[AGRUP. CLAS. PROF.]=$B93,IF(DATOS_[Check Periodo Ref.]="Dentro",DATOS_[TOTAL SALARIO Ef],FALSE)))),
0)</f>
        <v>0</v>
      </c>
      <c r="AL95" s="173">
        <f t="array" ref="AL95">IFERROR(
MEDIAN((IF(DATOS_[[Sexo]:[Sexo]]=$B95,IF(DATOS_[[AGRUP. CLAS. PROF.]:[AGRUP. CLAS. PROF.]]=$B93,IF(DATOS_[[Check Periodo Ref.]:[Check Periodo Ref.]]="Dentro",DATOS_[C.Extra.01]))))),
0)</f>
        <v>0</v>
      </c>
      <c r="AM95" s="173">
        <f t="array" ref="AM95">IFERROR(
MEDIAN((IF(DATOS_[[Sexo]:[Sexo]]=$B95,IF(DATOS_[[AGRUP. CLAS. PROF.]:[AGRUP. CLAS. PROF.]]=$B93,IF(DATOS_[[Check Periodo Ref.]:[Check Periodo Ref.]]="Dentro",DATOS_[C.Extra.06]))))),
0)</f>
        <v>0</v>
      </c>
      <c r="AN95" s="173">
        <f t="array" ref="AN95">IFERROR(
MEDIAN((IF(DATOS_[[Sexo]:[Sexo]]=$B95,IF(DATOS_[[AGRUP. CLAS. PROF.]:[AGRUP. CLAS. PROF.]]=$B93,IF(DATOS_[[Check Periodo Ref.]:[Check Periodo Ref.]]="Dentro",DATOS_[C.Extra.07]))))),
0)</f>
        <v>0</v>
      </c>
      <c r="AO95" s="173">
        <f t="array" ref="AO95">IFERROR(
MEDIAN((IF(DATOS_[[Sexo]:[Sexo]]=$B95,IF(DATOS_[[AGRUP. CLAS. PROF.]:[AGRUP. CLAS. PROF.]]=$B93,IF(DATOS_[[Check Periodo Ref.]:[Check Periodo Ref.]]="Dentro",DATOS_[C.Extra.08]))))),
0)</f>
        <v>0</v>
      </c>
      <c r="AP95" s="173">
        <f t="array" ref="AP95">IFERROR(
MEDIAN((IF(DATOS_[[Sexo]:[Sexo]]=$B95,IF(DATOS_[[AGRUP. CLAS. PROF.]:[AGRUP. CLAS. PROF.]]=$B93,IF(DATOS_[[Check Periodo Ref.]:[Check Periodo Ref.]]="Dentro",DATOS_[C.Extra.11]))))),
0)</f>
        <v>0</v>
      </c>
      <c r="AQ95" s="174">
        <f t="array" ref="AQ95">IFERROR(
MEDIAN(IF(DATOS_[Sexo]=$B95,IF(DATOS_[AGRUP. CLAS. PROF.]=$B93,IF(DATOS_[Check Periodo Ref.]="Dentro",DATOS_[Tot Extrasalarial Ef],FALSE)))),
0)</f>
        <v>0</v>
      </c>
      <c r="AR95" s="171">
        <f t="array" ref="AR95">IFERROR(
MEDIAN(IF(DATOS_[Sexo]=$B95,IF(DATOS_[AGRUP. CLAS. PROF.]=$B93,IF(DATOS_[Check Periodo Ref.]="Dentro",DATOS_[TOTAL Retrib Ef],FALSE)))),
0)</f>
        <v>0</v>
      </c>
    </row>
    <row r="96" spans="1:44" ht="14.4" hidden="1" thickBot="1" x14ac:dyDescent="0.3">
      <c r="A96" s="178" t="str">
        <f t="shared" ref="A96" si="111">+A97</f>
        <v>[ocultar]</v>
      </c>
      <c r="B96" s="153" t="s">
        <v>283</v>
      </c>
      <c r="C96" s="154"/>
      <c r="D96" s="155"/>
      <c r="E96" s="156" t="str">
        <f t="shared" ref="E96:AR96" si="112">IFERROR((E97-E98)/E97,"")</f>
        <v/>
      </c>
      <c r="F96" s="157" t="str">
        <f t="shared" si="112"/>
        <v/>
      </c>
      <c r="G96" s="158" t="str">
        <f t="shared" si="112"/>
        <v/>
      </c>
      <c r="H96" s="158" t="str">
        <f t="shared" si="112"/>
        <v/>
      </c>
      <c r="I96" s="158" t="str">
        <f t="shared" si="112"/>
        <v/>
      </c>
      <c r="J96" s="159" t="str">
        <f t="shared" si="112"/>
        <v/>
      </c>
      <c r="K96" s="160" t="str">
        <f t="shared" si="112"/>
        <v/>
      </c>
      <c r="L96" s="160" t="str">
        <f t="shared" si="112"/>
        <v/>
      </c>
      <c r="M96" s="160" t="str">
        <f t="shared" si="112"/>
        <v/>
      </c>
      <c r="N96" s="160" t="str">
        <f t="shared" si="112"/>
        <v/>
      </c>
      <c r="O96" s="160" t="str">
        <f t="shared" si="112"/>
        <v/>
      </c>
      <c r="P96" s="160" t="str">
        <f t="shared" si="112"/>
        <v/>
      </c>
      <c r="Q96" s="160" t="str">
        <f t="shared" si="112"/>
        <v/>
      </c>
      <c r="R96" s="160" t="str">
        <f t="shared" si="112"/>
        <v/>
      </c>
      <c r="S96" s="160" t="str">
        <f t="shared" si="112"/>
        <v/>
      </c>
      <c r="T96" s="160" t="str">
        <f t="shared" si="112"/>
        <v/>
      </c>
      <c r="U96" s="160" t="str">
        <f t="shared" si="112"/>
        <v/>
      </c>
      <c r="V96" s="159" t="str">
        <f t="shared" si="112"/>
        <v/>
      </c>
      <c r="W96" s="159" t="str">
        <f t="shared" si="112"/>
        <v/>
      </c>
      <c r="X96" s="159" t="str">
        <f t="shared" si="112"/>
        <v/>
      </c>
      <c r="Y96" s="159" t="str">
        <f t="shared" si="112"/>
        <v/>
      </c>
      <c r="Z96" s="159" t="str">
        <f t="shared" si="112"/>
        <v/>
      </c>
      <c r="AA96" s="159" t="str">
        <f t="shared" si="112"/>
        <v/>
      </c>
      <c r="AB96" s="159" t="str">
        <f t="shared" si="112"/>
        <v/>
      </c>
      <c r="AC96" s="159" t="str">
        <f t="shared" si="112"/>
        <v/>
      </c>
      <c r="AD96" s="159" t="str">
        <f t="shared" si="112"/>
        <v/>
      </c>
      <c r="AE96" s="159" t="str">
        <f t="shared" si="112"/>
        <v/>
      </c>
      <c r="AF96" s="159" t="str">
        <f t="shared" si="112"/>
        <v/>
      </c>
      <c r="AG96" s="159" t="str">
        <f t="shared" si="112"/>
        <v/>
      </c>
      <c r="AH96" s="159" t="str">
        <f t="shared" si="112"/>
        <v/>
      </c>
      <c r="AI96" s="159" t="str">
        <f t="shared" si="112"/>
        <v/>
      </c>
      <c r="AJ96" s="161" t="str">
        <f t="shared" si="112"/>
        <v/>
      </c>
      <c r="AK96" s="162" t="str">
        <f t="shared" si="112"/>
        <v/>
      </c>
      <c r="AL96" s="163" t="str">
        <f t="shared" si="112"/>
        <v/>
      </c>
      <c r="AM96" s="163" t="str">
        <f t="shared" si="112"/>
        <v/>
      </c>
      <c r="AN96" s="163" t="str">
        <f t="shared" si="112"/>
        <v/>
      </c>
      <c r="AO96" s="163" t="str">
        <f t="shared" si="112"/>
        <v/>
      </c>
      <c r="AP96" s="163" t="str">
        <f t="shared" si="112"/>
        <v/>
      </c>
      <c r="AQ96" s="164" t="str">
        <f t="shared" si="112"/>
        <v/>
      </c>
      <c r="AR96" s="161" t="str">
        <f t="shared" si="112"/>
        <v/>
      </c>
    </row>
    <row r="97" spans="1:44" hidden="1" x14ac:dyDescent="0.25">
      <c r="A97" s="178" t="str">
        <f t="shared" ref="A97" si="113">+IF(C97+C98=0,"[ocultar]","")</f>
        <v>[ocultar]</v>
      </c>
      <c r="B97" s="166" t="s">
        <v>394</v>
      </c>
      <c r="C97" s="167">
        <f t="array" ref="C97">SUM(IF($B97=DATOS_[Sexo],
IF($B96=DATOS_[AGRUP. CLAS. PROF.],
IF("Dentro"=DATOS_[Check Periodo Ref.],
1/(COUNTIFS(DATOS_[Sexo],$B97,DATOS_[AGRUP. CLAS. PROF.],$B96,DATOS_[Check Periodo Ref.],"Dentro",DATOS_[id/cod],DATOS_[id/cod]))))))</f>
        <v>0</v>
      </c>
      <c r="D97" s="168">
        <f>COUNTIFS(DATOS_[AGRUP. CLAS. PROF.],$B96,DATOS_[Sexo],$B97,DATOS_[Check Periodo Ref.],"Dentro")</f>
        <v>0</v>
      </c>
      <c r="E97" s="169">
        <f t="array" ref="E97">IFERROR(
MEDIAN(IF(DATOS_[Sexo]=$B97,IF(DATOS_[AGRUP. CLAS. PROF.]=$B96,IF(DATOS_[Check Periodo Ref.]="Dentro",DATOS_[SALARIO BASE Ef],FALSE)))),
0)</f>
        <v>0</v>
      </c>
      <c r="F97" s="170">
        <f t="array" ref="F97">IFERROR(
MEDIAN((IF(DATOS_[[Sexo]:[Sexo]]=$B97,IF(DATOS_[[AGRUP. CLAS. PROF.]:[AGRUP. CLAS. PROF.]]=$B96,IF(DATOS_[[Check Periodo Ref.]:[Check Periodo Ref.]]="Dentro",DATOS_[Conc.Sal.01]))))),
0)</f>
        <v>0</v>
      </c>
      <c r="G97" s="170">
        <f t="array" ref="G97">IFERROR(
MEDIAN((IF(DATOS_[[Sexo]:[Sexo]]=$B97,IF(DATOS_[[AGRUP. CLAS. PROF.]:[AGRUP. CLAS. PROF.]]=$B96,IF(DATOS_[[Check Periodo Ref.]:[Check Periodo Ref.]]="Dentro",DATOS_[Conc.Sal.02]))))),
0)</f>
        <v>0</v>
      </c>
      <c r="H97" s="170">
        <f t="array" ref="H97">IFERROR(
MEDIAN((IF(DATOS_[[Sexo]:[Sexo]]=$B97,IF(DATOS_[[AGRUP. CLAS. PROF.]:[AGRUP. CLAS. PROF.]]=$B96,IF(DATOS_[[Check Periodo Ref.]:[Check Periodo Ref.]]="Dentro",DATOS_[Conc.Sal.03]))))),
0)</f>
        <v>0</v>
      </c>
      <c r="I97" s="170">
        <f t="array" ref="I97">IFERROR(
MEDIAN((IF(DATOS_[[Sexo]:[Sexo]]=$B97,IF(DATOS_[[AGRUP. CLAS. PROF.]:[AGRUP. CLAS. PROF.]]=$B96,IF(DATOS_[[Check Periodo Ref.]:[Check Periodo Ref.]]="Dentro",DATOS_[Conc.Sal.04]))))),
0)</f>
        <v>0</v>
      </c>
      <c r="J97" s="170">
        <f t="array" ref="J97">IFERROR(
MEDIAN((IF(DATOS_[[Sexo]:[Sexo]]=$B97,IF(DATOS_[[AGRUP. CLAS. PROF.]:[AGRUP. CLAS. PROF.]]=$B96,IF(DATOS_[[Check Periodo Ref.]:[Check Periodo Ref.]]="Dentro",DATOS_[Conc.Sal.05]))))),
0)</f>
        <v>0</v>
      </c>
      <c r="K97" s="170">
        <f t="array" ref="K97">IFERROR(
MEDIAN((IF(DATOS_[[Sexo]:[Sexo]]=$B97,IF(DATOS_[[AGRUP. CLAS. PROF.]:[AGRUP. CLAS. PROF.]]=$B96,IF(DATOS_[[Check Periodo Ref.]:[Check Periodo Ref.]]="Dentro",DATOS_[Conc.Sal.06]))))),
0)</f>
        <v>0</v>
      </c>
      <c r="L97" s="170">
        <f t="array" ref="L97">IFERROR(
MEDIAN((IF(DATOS_[[Sexo]:[Sexo]]=$B97,IF(DATOS_[[AGRUP. CLAS. PROF.]:[AGRUP. CLAS. PROF.]]=$B96,IF(DATOS_[[Check Periodo Ref.]:[Check Periodo Ref.]]="Dentro",DATOS_[Conc.Sal.07]))))),
0)</f>
        <v>0</v>
      </c>
      <c r="M97" s="170">
        <f t="array" ref="M97">IFERROR(
MEDIAN((IF(DATOS_[[Sexo]:[Sexo]]=$B97,IF(DATOS_[[AGRUP. CLAS. PROF.]:[AGRUP. CLAS. PROF.]]=$B96,IF(DATOS_[[Check Periodo Ref.]:[Check Periodo Ref.]]="Dentro",DATOS_[Conc.Sal.08]))))),
0)</f>
        <v>0</v>
      </c>
      <c r="N97" s="170">
        <f t="array" ref="N97">IFERROR(
MEDIAN((IF(DATOS_[[Sexo]:[Sexo]]=$B97,IF(DATOS_[[AGRUP. CLAS. PROF.]:[AGRUP. CLAS. PROF.]]=$B96,IF(DATOS_[[Check Periodo Ref.]:[Check Periodo Ref.]]="Dentro",DATOS_[Conc.Sal.09]))))),
0)</f>
        <v>0</v>
      </c>
      <c r="O97" s="170">
        <f t="array" ref="O97">IFERROR(
MEDIAN((IF(DATOS_[[Sexo]:[Sexo]]=$B97,IF(DATOS_[[AGRUP. CLAS. PROF.]:[AGRUP. CLAS. PROF.]]=$B96,IF(DATOS_[[Check Periodo Ref.]:[Check Periodo Ref.]]="Dentro",DATOS_[Conc.Sal.10]))))),
0)</f>
        <v>0</v>
      </c>
      <c r="P97" s="170">
        <f t="array" ref="P97">IFERROR(
MEDIAN((IF(DATOS_[[Sexo]:[Sexo]]=$B97,IF(DATOS_[[AGRUP. CLAS. PROF.]:[AGRUP. CLAS. PROF.]]=$B96,IF(DATOS_[[Check Periodo Ref.]:[Check Periodo Ref.]]="Dentro",DATOS_[Conc.Sal.11]))))),
0)</f>
        <v>0</v>
      </c>
      <c r="Q97" s="170">
        <f t="array" ref="Q97">IFERROR(
MEDIAN((IF(DATOS_[[Sexo]:[Sexo]]=$B97,IF(DATOS_[[AGRUP. CLAS. PROF.]:[AGRUP. CLAS. PROF.]]=$B96,IF(DATOS_[[Check Periodo Ref.]:[Check Periodo Ref.]]="Dentro",DATOS_[Conc.Sal.12]))))),
0)</f>
        <v>0</v>
      </c>
      <c r="R97" s="170">
        <f t="array" ref="R97">IFERROR(
MEDIAN((IF(DATOS_[[Sexo]:[Sexo]]=$B97,IF(DATOS_[[AGRUP. CLAS. PROF.]:[AGRUP. CLAS. PROF.]]=$B96,IF(DATOS_[[Check Periodo Ref.]:[Check Periodo Ref.]]="Dentro",DATOS_[Conc.Sal.13]))))),
0)</f>
        <v>0</v>
      </c>
      <c r="S97" s="170">
        <f t="array" ref="S97">IFERROR(
MEDIAN((IF(DATOS_[[Sexo]:[Sexo]]=$B97,IF(DATOS_[[AGRUP. CLAS. PROF.]:[AGRUP. CLAS. PROF.]]=$B96,IF(DATOS_[[Check Periodo Ref.]:[Check Periodo Ref.]]="Dentro",DATOS_[Conc.Sal.14]))))),
0)</f>
        <v>0</v>
      </c>
      <c r="T97" s="170">
        <f t="array" ref="T97">IFERROR(
MEDIAN((IF(DATOS_[[Sexo]:[Sexo]]=$B97,IF(DATOS_[[AGRUP. CLAS. PROF.]:[AGRUP. CLAS. PROF.]]=$B96,IF(DATOS_[[Check Periodo Ref.]:[Check Periodo Ref.]]="Dentro",DATOS_[Conc.Sal.15]))))),
0)</f>
        <v>0</v>
      </c>
      <c r="U97" s="170">
        <f t="array" ref="U97">IFERROR(
MEDIAN((IF(DATOS_[[Sexo]:[Sexo]]=$B97,IF(DATOS_[[AGRUP. CLAS. PROF.]:[AGRUP. CLAS. PROF.]]=$B96,IF(DATOS_[[Check Periodo Ref.]:[Check Periodo Ref.]]="Dentro",DATOS_[Conc.Sal.16]))))),
0)</f>
        <v>0</v>
      </c>
      <c r="V97" s="170">
        <f t="array" ref="V97">IFERROR(
MEDIAN((IF(DATOS_[[Sexo]:[Sexo]]=$B97,IF(DATOS_[[AGRUP. CLAS. PROF.]:[AGRUP. CLAS. PROF.]]=$B96,IF(DATOS_[[Check Periodo Ref.]:[Check Periodo Ref.]]="Dentro",DATOS_[Conc.Sal.17]))))),
0)</f>
        <v>0</v>
      </c>
      <c r="W97" s="170">
        <f t="array" ref="W97">IFERROR(
MEDIAN((IF(DATOS_[[Sexo]:[Sexo]]=$B97,IF(DATOS_[[AGRUP. CLAS. PROF.]:[AGRUP. CLAS. PROF.]]=$B96,IF(DATOS_[[Check Periodo Ref.]:[Check Periodo Ref.]]="Dentro",DATOS_[Conc.Sal.18]))))),
0)</f>
        <v>0</v>
      </c>
      <c r="X97" s="170">
        <f t="array" ref="X97">IFERROR(
MEDIAN((IF(DATOS_[[Sexo]:[Sexo]]=$B97,IF(DATOS_[[AGRUP. CLAS. PROF.]:[AGRUP. CLAS. PROF.]]=$B96,IF(DATOS_[[Check Periodo Ref.]:[Check Periodo Ref.]]="Dentro",DATOS_[Conc.Sal.19]))))),
0)</f>
        <v>0</v>
      </c>
      <c r="Y97" s="170">
        <f t="array" ref="Y97">IFERROR(
MEDIAN((IF(DATOS_[[Sexo]:[Sexo]]=$B97,IF(DATOS_[[AGRUP. CLAS. PROF.]:[AGRUP. CLAS. PROF.]]=$B96,IF(DATOS_[[Check Periodo Ref.]:[Check Periodo Ref.]]="Dentro",DATOS_[Conc.Sal.20]))))),
0)</f>
        <v>0</v>
      </c>
      <c r="Z97" s="170">
        <f t="array" ref="Z97">IFERROR(
MEDIAN((IF(DATOS_[[Sexo]:[Sexo]]=$B97,IF(DATOS_[[AGRUP. CLAS. PROF.]:[AGRUP. CLAS. PROF.]]=$B96,IF(DATOS_[[Check Periodo Ref.]:[Check Periodo Ref.]]="Dentro",DATOS_[Conc.Sal.21]))))),
0)</f>
        <v>0</v>
      </c>
      <c r="AA97" s="170">
        <f t="array" ref="AA97">IFERROR(
MEDIAN((IF(DATOS_[[Sexo]:[Sexo]]=$B97,IF(DATOS_[[AGRUP. CLAS. PROF.]:[AGRUP. CLAS. PROF.]]=$B96,IF(DATOS_[[Check Periodo Ref.]:[Check Periodo Ref.]]="Dentro",DATOS_[Conc.Sal.22]))))),
0)</f>
        <v>0</v>
      </c>
      <c r="AB97" s="170">
        <f t="array" ref="AB97">IFERROR(
MEDIAN((IF(DATOS_[[Sexo]:[Sexo]]=$B97,IF(DATOS_[[AGRUP. CLAS. PROF.]:[AGRUP. CLAS. PROF.]]=$B96,IF(DATOS_[[Check Periodo Ref.]:[Check Periodo Ref.]]="Dentro",DATOS_[Conc.Sal.23]))))),
0)</f>
        <v>0</v>
      </c>
      <c r="AC97" s="170">
        <f t="array" ref="AC97">IFERROR(
MEDIAN((IF(DATOS_[[Sexo]:[Sexo]]=$B97,IF(DATOS_[[AGRUP. CLAS. PROF.]:[AGRUP. CLAS. PROF.]]=$B96,IF(DATOS_[[Check Periodo Ref.]:[Check Periodo Ref.]]="Dentro",DATOS_[Conc.Sal.24]))))),
0)</f>
        <v>0</v>
      </c>
      <c r="AD97" s="170">
        <f t="array" ref="AD97">IFERROR(
MEDIAN((IF(DATOS_[[Sexo]:[Sexo]]=$B97,IF(DATOS_[[AGRUP. CLAS. PROF.]:[AGRUP. CLAS. PROF.]]=$B96,IF(DATOS_[[Check Periodo Ref.]:[Check Periodo Ref.]]="Dentro",DATOS_[Conc.Sal.25]))))),
0)</f>
        <v>0</v>
      </c>
      <c r="AE97" s="170">
        <f t="array" ref="AE97">IFERROR(
MEDIAN((IF(DATOS_[[Sexo]:[Sexo]]=$B97,IF(DATOS_[[AGRUP. CLAS. PROF.]:[AGRUP. CLAS. PROF.]]=$B96,IF(DATOS_[[Check Periodo Ref.]:[Check Periodo Ref.]]="Dentro",DATOS_[Conc.Sal.26]))))),
0)</f>
        <v>0</v>
      </c>
      <c r="AF97" s="170">
        <f t="array" ref="AF97">IFERROR(
MEDIAN((IF(DATOS_[[Sexo]:[Sexo]]=$B97,IF(DATOS_[[AGRUP. CLAS. PROF.]:[AGRUP. CLAS. PROF.]]=$B96,IF(DATOS_[[Check Periodo Ref.]:[Check Periodo Ref.]]="Dentro",DATOS_[Conc.Sal.27]))))),
0)</f>
        <v>0</v>
      </c>
      <c r="AG97" s="170">
        <f t="array" ref="AG97">IFERROR(
MEDIAN((IF(DATOS_[[Sexo]:[Sexo]]=$B97,IF(DATOS_[[AGRUP. CLAS. PROF.]:[AGRUP. CLAS. PROF.]]=$B96,IF(DATOS_[[Check Periodo Ref.]:[Check Periodo Ref.]]="Dentro",DATOS_[Conc.Sal.28]))))),
0)</f>
        <v>0</v>
      </c>
      <c r="AH97" s="170">
        <f t="array" ref="AH97">IFERROR(
MEDIAN((IF(DATOS_[[Sexo]:[Sexo]]=$B97,IF(DATOS_[[AGRUP. CLAS. PROF.]:[AGRUP. CLAS. PROF.]]=$B96,IF(DATOS_[[Check Periodo Ref.]:[Check Periodo Ref.]]="Dentro",DATOS_[Conc.Sal.29]))))),
0)</f>
        <v>0</v>
      </c>
      <c r="AI97" s="170">
        <f t="array" ref="AI97">IFERROR(
MEDIAN((IF(DATOS_[[Sexo]:[Sexo]]=$B97,IF(DATOS_[[AGRUP. CLAS. PROF.]:[AGRUP. CLAS. PROF.]]=$B96,IF(DATOS_[[Check Periodo Ref.]:[Check Periodo Ref.]]="Dentro",DATOS_[Conc.Sal.30]))))),
0)</f>
        <v>0</v>
      </c>
      <c r="AJ97" s="171">
        <f t="array" ref="AJ97">IFERROR(
MEDIAN(IF(DATOS_[Sexo]=$B97,IF(DATOS_[AGRUP. CLAS. PROF.]=$B96,IF(DATOS_[Check Periodo Ref.]="Dentro",DATOS_[Tot COMPL.SAL Ef],FALSE)))),
0)</f>
        <v>0</v>
      </c>
      <c r="AK97" s="172">
        <f t="array" ref="AK97">IFERROR(
MEDIAN(IF(DATOS_[Sexo]=$B97,IF(DATOS_[AGRUP. CLAS. PROF.]=$B96,IF(DATOS_[Check Periodo Ref.]="Dentro",DATOS_[TOTAL SALARIO Ef],FALSE)))),
0)</f>
        <v>0</v>
      </c>
      <c r="AL97" s="173">
        <f t="array" ref="AL97">IFERROR(
MEDIAN((IF(DATOS_[[Sexo]:[Sexo]]=$B97,IF(DATOS_[[AGRUP. CLAS. PROF.]:[AGRUP. CLAS. PROF.]]=$B96,IF(DATOS_[[Check Periodo Ref.]:[Check Periodo Ref.]]="Dentro",DATOS_[C.Extra.01]))))),
0)</f>
        <v>0</v>
      </c>
      <c r="AM97" s="173">
        <f t="array" ref="AM97">IFERROR(
MEDIAN((IF(DATOS_[[Sexo]:[Sexo]]=$B97,IF(DATOS_[[AGRUP. CLAS. PROF.]:[AGRUP. CLAS. PROF.]]=$B96,IF(DATOS_[[Check Periodo Ref.]:[Check Periodo Ref.]]="Dentro",DATOS_[C.Extra.06]))))),
0)</f>
        <v>0</v>
      </c>
      <c r="AN97" s="173">
        <f t="array" ref="AN97">IFERROR(
MEDIAN((IF(DATOS_[[Sexo]:[Sexo]]=$B97,IF(DATOS_[[AGRUP. CLAS. PROF.]:[AGRUP. CLAS. PROF.]]=$B96,IF(DATOS_[[Check Periodo Ref.]:[Check Periodo Ref.]]="Dentro",DATOS_[C.Extra.07]))))),
0)</f>
        <v>0</v>
      </c>
      <c r="AO97" s="173">
        <f t="array" ref="AO97">IFERROR(
MEDIAN((IF(DATOS_[[Sexo]:[Sexo]]=$B97,IF(DATOS_[[AGRUP. CLAS. PROF.]:[AGRUP. CLAS. PROF.]]=$B96,IF(DATOS_[[Check Periodo Ref.]:[Check Periodo Ref.]]="Dentro",DATOS_[C.Extra.08]))))),
0)</f>
        <v>0</v>
      </c>
      <c r="AP97" s="173">
        <f t="array" ref="AP97">IFERROR(
MEDIAN((IF(DATOS_[[Sexo]:[Sexo]]=$B97,IF(DATOS_[[AGRUP. CLAS. PROF.]:[AGRUP. CLAS. PROF.]]=$B96,IF(DATOS_[[Check Periodo Ref.]:[Check Periodo Ref.]]="Dentro",DATOS_[C.Extra.11]))))),
0)</f>
        <v>0</v>
      </c>
      <c r="AQ97" s="174">
        <f t="array" ref="AQ97">IFERROR(
MEDIAN(IF(DATOS_[Sexo]=$B97,IF(DATOS_[AGRUP. CLAS. PROF.]=$B96,IF(DATOS_[Check Periodo Ref.]="Dentro",DATOS_[Tot Extrasalarial Ef],FALSE)))),
0)</f>
        <v>0</v>
      </c>
      <c r="AR97" s="171">
        <f t="array" ref="AR97">IFERROR(
MEDIAN(IF(DATOS_[Sexo]=$B97,IF(DATOS_[AGRUP. CLAS. PROF.]=$B96,IF(DATOS_[Check Periodo Ref.]="Dentro",DATOS_[TOTAL Retrib Ef],FALSE)))),
0)</f>
        <v>0</v>
      </c>
    </row>
    <row r="98" spans="1:44" hidden="1" x14ac:dyDescent="0.25">
      <c r="A98" s="178" t="str">
        <f t="shared" ref="A98" si="114">+A97</f>
        <v>[ocultar]</v>
      </c>
      <c r="B98" s="166" t="s">
        <v>521</v>
      </c>
      <c r="C98" s="167">
        <f t="array" ref="C98">SUM(IF($B98=DATOS_[Sexo],
IF($B96=DATOS_[AGRUP. CLAS. PROF.],
IF("Dentro"=DATOS_[Check Periodo Ref.],
1/(COUNTIFS(DATOS_[Sexo],$B98,DATOS_[AGRUP. CLAS. PROF.],$B96,DATOS_[Check Periodo Ref.],"Dentro",DATOS_[id/cod],DATOS_[id/cod]))))))</f>
        <v>0</v>
      </c>
      <c r="D98" s="168">
        <f>COUNTIFS(DATOS_[AGRUP. CLAS. PROF.],$B96,DATOS_[Sexo],$B98,DATOS_[Check Periodo Ref.],"Dentro")</f>
        <v>0</v>
      </c>
      <c r="E98" s="169">
        <f t="array" ref="E98">IFERROR(
MEDIAN(IF(DATOS_[Sexo]=$B98,IF(DATOS_[AGRUP. CLAS. PROF.]=$B96,IF(DATOS_[Check Periodo Ref.]="Dentro",DATOS_[SALARIO BASE Ef],FALSE)))),
0)</f>
        <v>0</v>
      </c>
      <c r="F98" s="170">
        <f t="array" ref="F98">IFERROR(
MEDIAN((IF(DATOS_[[Sexo]:[Sexo]]=$B98,IF(DATOS_[[AGRUP. CLAS. PROF.]:[AGRUP. CLAS. PROF.]]=$B96,IF(DATOS_[[Check Periodo Ref.]:[Check Periodo Ref.]]="Dentro",DATOS_[Conc.Sal.01]))))),
0)</f>
        <v>0</v>
      </c>
      <c r="G98" s="170">
        <f t="array" ref="G98">IFERROR(
MEDIAN((IF(DATOS_[[Sexo]:[Sexo]]=$B98,IF(DATOS_[[AGRUP. CLAS. PROF.]:[AGRUP. CLAS. PROF.]]=$B96,IF(DATOS_[[Check Periodo Ref.]:[Check Periodo Ref.]]="Dentro",DATOS_[Conc.Sal.02]))))),
0)</f>
        <v>0</v>
      </c>
      <c r="H98" s="170">
        <f t="array" ref="H98">IFERROR(
MEDIAN((IF(DATOS_[[Sexo]:[Sexo]]=$B98,IF(DATOS_[[AGRUP. CLAS. PROF.]:[AGRUP. CLAS. PROF.]]=$B96,IF(DATOS_[[Check Periodo Ref.]:[Check Periodo Ref.]]="Dentro",DATOS_[Conc.Sal.03]))))),
0)</f>
        <v>0</v>
      </c>
      <c r="I98" s="170">
        <f t="array" ref="I98">IFERROR(
MEDIAN((IF(DATOS_[[Sexo]:[Sexo]]=$B98,IF(DATOS_[[AGRUP. CLAS. PROF.]:[AGRUP. CLAS. PROF.]]=$B96,IF(DATOS_[[Check Periodo Ref.]:[Check Periodo Ref.]]="Dentro",DATOS_[Conc.Sal.04]))))),
0)</f>
        <v>0</v>
      </c>
      <c r="J98" s="170">
        <f t="array" ref="J98">IFERROR(
MEDIAN((IF(DATOS_[[Sexo]:[Sexo]]=$B98,IF(DATOS_[[AGRUP. CLAS. PROF.]:[AGRUP. CLAS. PROF.]]=$B96,IF(DATOS_[[Check Periodo Ref.]:[Check Periodo Ref.]]="Dentro",DATOS_[Conc.Sal.05]))))),
0)</f>
        <v>0</v>
      </c>
      <c r="K98" s="170">
        <f t="array" ref="K98">IFERROR(
MEDIAN((IF(DATOS_[[Sexo]:[Sexo]]=$B98,IF(DATOS_[[AGRUP. CLAS. PROF.]:[AGRUP. CLAS. PROF.]]=$B96,IF(DATOS_[[Check Periodo Ref.]:[Check Periodo Ref.]]="Dentro",DATOS_[Conc.Sal.06]))))),
0)</f>
        <v>0</v>
      </c>
      <c r="L98" s="170">
        <f t="array" ref="L98">IFERROR(
MEDIAN((IF(DATOS_[[Sexo]:[Sexo]]=$B98,IF(DATOS_[[AGRUP. CLAS. PROF.]:[AGRUP. CLAS. PROF.]]=$B96,IF(DATOS_[[Check Periodo Ref.]:[Check Periodo Ref.]]="Dentro",DATOS_[Conc.Sal.07]))))),
0)</f>
        <v>0</v>
      </c>
      <c r="M98" s="170">
        <f t="array" ref="M98">IFERROR(
MEDIAN((IF(DATOS_[[Sexo]:[Sexo]]=$B98,IF(DATOS_[[AGRUP. CLAS. PROF.]:[AGRUP. CLAS. PROF.]]=$B96,IF(DATOS_[[Check Periodo Ref.]:[Check Periodo Ref.]]="Dentro",DATOS_[Conc.Sal.08]))))),
0)</f>
        <v>0</v>
      </c>
      <c r="N98" s="170">
        <f t="array" ref="N98">IFERROR(
MEDIAN((IF(DATOS_[[Sexo]:[Sexo]]=$B98,IF(DATOS_[[AGRUP. CLAS. PROF.]:[AGRUP. CLAS. PROF.]]=$B96,IF(DATOS_[[Check Periodo Ref.]:[Check Periodo Ref.]]="Dentro",DATOS_[Conc.Sal.09]))))),
0)</f>
        <v>0</v>
      </c>
      <c r="O98" s="170">
        <f t="array" ref="O98">IFERROR(
MEDIAN((IF(DATOS_[[Sexo]:[Sexo]]=$B98,IF(DATOS_[[AGRUP. CLAS. PROF.]:[AGRUP. CLAS. PROF.]]=$B96,IF(DATOS_[[Check Periodo Ref.]:[Check Periodo Ref.]]="Dentro",DATOS_[Conc.Sal.10]))))),
0)</f>
        <v>0</v>
      </c>
      <c r="P98" s="170">
        <f t="array" ref="P98">IFERROR(
MEDIAN((IF(DATOS_[[Sexo]:[Sexo]]=$B98,IF(DATOS_[[AGRUP. CLAS. PROF.]:[AGRUP. CLAS. PROF.]]=$B96,IF(DATOS_[[Check Periodo Ref.]:[Check Periodo Ref.]]="Dentro",DATOS_[Conc.Sal.11]))))),
0)</f>
        <v>0</v>
      </c>
      <c r="Q98" s="170">
        <f t="array" ref="Q98">IFERROR(
MEDIAN((IF(DATOS_[[Sexo]:[Sexo]]=$B98,IF(DATOS_[[AGRUP. CLAS. PROF.]:[AGRUP. CLAS. PROF.]]=$B96,IF(DATOS_[[Check Periodo Ref.]:[Check Periodo Ref.]]="Dentro",DATOS_[Conc.Sal.12]))))),
0)</f>
        <v>0</v>
      </c>
      <c r="R98" s="170">
        <f t="array" ref="R98">IFERROR(
MEDIAN((IF(DATOS_[[Sexo]:[Sexo]]=$B98,IF(DATOS_[[AGRUP. CLAS. PROF.]:[AGRUP. CLAS. PROF.]]=$B96,IF(DATOS_[[Check Periodo Ref.]:[Check Periodo Ref.]]="Dentro",DATOS_[Conc.Sal.13]))))),
0)</f>
        <v>0</v>
      </c>
      <c r="S98" s="170">
        <f t="array" ref="S98">IFERROR(
MEDIAN((IF(DATOS_[[Sexo]:[Sexo]]=$B98,IF(DATOS_[[AGRUP. CLAS. PROF.]:[AGRUP. CLAS. PROF.]]=$B96,IF(DATOS_[[Check Periodo Ref.]:[Check Periodo Ref.]]="Dentro",DATOS_[Conc.Sal.14]))))),
0)</f>
        <v>0</v>
      </c>
      <c r="T98" s="170">
        <f t="array" ref="T98">IFERROR(
MEDIAN((IF(DATOS_[[Sexo]:[Sexo]]=$B98,IF(DATOS_[[AGRUP. CLAS. PROF.]:[AGRUP. CLAS. PROF.]]=$B96,IF(DATOS_[[Check Periodo Ref.]:[Check Periodo Ref.]]="Dentro",DATOS_[Conc.Sal.15]))))),
0)</f>
        <v>0</v>
      </c>
      <c r="U98" s="170">
        <f t="array" ref="U98">IFERROR(
MEDIAN((IF(DATOS_[[Sexo]:[Sexo]]=$B98,IF(DATOS_[[AGRUP. CLAS. PROF.]:[AGRUP. CLAS. PROF.]]=$B96,IF(DATOS_[[Check Periodo Ref.]:[Check Periodo Ref.]]="Dentro",DATOS_[Conc.Sal.16]))))),
0)</f>
        <v>0</v>
      </c>
      <c r="V98" s="170">
        <f t="array" ref="V98">IFERROR(
MEDIAN((IF(DATOS_[[Sexo]:[Sexo]]=$B98,IF(DATOS_[[AGRUP. CLAS. PROF.]:[AGRUP. CLAS. PROF.]]=$B96,IF(DATOS_[[Check Periodo Ref.]:[Check Periodo Ref.]]="Dentro",DATOS_[Conc.Sal.17]))))),
0)</f>
        <v>0</v>
      </c>
      <c r="W98" s="170">
        <f t="array" ref="W98">IFERROR(
MEDIAN((IF(DATOS_[[Sexo]:[Sexo]]=$B98,IF(DATOS_[[AGRUP. CLAS. PROF.]:[AGRUP. CLAS. PROF.]]=$B96,IF(DATOS_[[Check Periodo Ref.]:[Check Periodo Ref.]]="Dentro",DATOS_[Conc.Sal.18]))))),
0)</f>
        <v>0</v>
      </c>
      <c r="X98" s="170">
        <f t="array" ref="X98">IFERROR(
MEDIAN((IF(DATOS_[[Sexo]:[Sexo]]=$B98,IF(DATOS_[[AGRUP. CLAS. PROF.]:[AGRUP. CLAS. PROF.]]=$B96,IF(DATOS_[[Check Periodo Ref.]:[Check Periodo Ref.]]="Dentro",DATOS_[Conc.Sal.19]))))),
0)</f>
        <v>0</v>
      </c>
      <c r="Y98" s="170">
        <f t="array" ref="Y98">IFERROR(
MEDIAN((IF(DATOS_[[Sexo]:[Sexo]]=$B98,IF(DATOS_[[AGRUP. CLAS. PROF.]:[AGRUP. CLAS. PROF.]]=$B96,IF(DATOS_[[Check Periodo Ref.]:[Check Periodo Ref.]]="Dentro",DATOS_[Conc.Sal.20]))))),
0)</f>
        <v>0</v>
      </c>
      <c r="Z98" s="170">
        <f t="array" ref="Z98">IFERROR(
MEDIAN((IF(DATOS_[[Sexo]:[Sexo]]=$B98,IF(DATOS_[[AGRUP. CLAS. PROF.]:[AGRUP. CLAS. PROF.]]=$B96,IF(DATOS_[[Check Periodo Ref.]:[Check Periodo Ref.]]="Dentro",DATOS_[Conc.Sal.21]))))),
0)</f>
        <v>0</v>
      </c>
      <c r="AA98" s="170">
        <f t="array" ref="AA98">IFERROR(
MEDIAN((IF(DATOS_[[Sexo]:[Sexo]]=$B98,IF(DATOS_[[AGRUP. CLAS. PROF.]:[AGRUP. CLAS. PROF.]]=$B96,IF(DATOS_[[Check Periodo Ref.]:[Check Periodo Ref.]]="Dentro",DATOS_[Conc.Sal.22]))))),
0)</f>
        <v>0</v>
      </c>
      <c r="AB98" s="170">
        <f t="array" ref="AB98">IFERROR(
MEDIAN((IF(DATOS_[[Sexo]:[Sexo]]=$B98,IF(DATOS_[[AGRUP. CLAS. PROF.]:[AGRUP. CLAS. PROF.]]=$B96,IF(DATOS_[[Check Periodo Ref.]:[Check Periodo Ref.]]="Dentro",DATOS_[Conc.Sal.23]))))),
0)</f>
        <v>0</v>
      </c>
      <c r="AC98" s="170">
        <f t="array" ref="AC98">IFERROR(
MEDIAN((IF(DATOS_[[Sexo]:[Sexo]]=$B98,IF(DATOS_[[AGRUP. CLAS. PROF.]:[AGRUP. CLAS. PROF.]]=$B96,IF(DATOS_[[Check Periodo Ref.]:[Check Periodo Ref.]]="Dentro",DATOS_[Conc.Sal.24]))))),
0)</f>
        <v>0</v>
      </c>
      <c r="AD98" s="170">
        <f t="array" ref="AD98">IFERROR(
MEDIAN((IF(DATOS_[[Sexo]:[Sexo]]=$B98,IF(DATOS_[[AGRUP. CLAS. PROF.]:[AGRUP. CLAS. PROF.]]=$B96,IF(DATOS_[[Check Periodo Ref.]:[Check Periodo Ref.]]="Dentro",DATOS_[Conc.Sal.25]))))),
0)</f>
        <v>0</v>
      </c>
      <c r="AE98" s="170">
        <f t="array" ref="AE98">IFERROR(
MEDIAN((IF(DATOS_[[Sexo]:[Sexo]]=$B98,IF(DATOS_[[AGRUP. CLAS. PROF.]:[AGRUP. CLAS. PROF.]]=$B96,IF(DATOS_[[Check Periodo Ref.]:[Check Periodo Ref.]]="Dentro",DATOS_[Conc.Sal.26]))))),
0)</f>
        <v>0</v>
      </c>
      <c r="AF98" s="170">
        <f t="array" ref="AF98">IFERROR(
MEDIAN((IF(DATOS_[[Sexo]:[Sexo]]=$B98,IF(DATOS_[[AGRUP. CLAS. PROF.]:[AGRUP. CLAS. PROF.]]=$B96,IF(DATOS_[[Check Periodo Ref.]:[Check Periodo Ref.]]="Dentro",DATOS_[Conc.Sal.27]))))),
0)</f>
        <v>0</v>
      </c>
      <c r="AG98" s="170">
        <f t="array" ref="AG98">IFERROR(
MEDIAN((IF(DATOS_[[Sexo]:[Sexo]]=$B98,IF(DATOS_[[AGRUP. CLAS. PROF.]:[AGRUP. CLAS. PROF.]]=$B96,IF(DATOS_[[Check Periodo Ref.]:[Check Periodo Ref.]]="Dentro",DATOS_[Conc.Sal.28]))))),
0)</f>
        <v>0</v>
      </c>
      <c r="AH98" s="170">
        <f t="array" ref="AH98">IFERROR(
MEDIAN((IF(DATOS_[[Sexo]:[Sexo]]=$B98,IF(DATOS_[[AGRUP. CLAS. PROF.]:[AGRUP. CLAS. PROF.]]=$B96,IF(DATOS_[[Check Periodo Ref.]:[Check Periodo Ref.]]="Dentro",DATOS_[Conc.Sal.29]))))),
0)</f>
        <v>0</v>
      </c>
      <c r="AI98" s="170">
        <f t="array" ref="AI98">IFERROR(
MEDIAN((IF(DATOS_[[Sexo]:[Sexo]]=$B98,IF(DATOS_[[AGRUP. CLAS. PROF.]:[AGRUP. CLAS. PROF.]]=$B96,IF(DATOS_[[Check Periodo Ref.]:[Check Periodo Ref.]]="Dentro",DATOS_[Conc.Sal.30]))))),
0)</f>
        <v>0</v>
      </c>
      <c r="AJ98" s="171">
        <f t="array" ref="AJ98">IFERROR(
MEDIAN(IF(DATOS_[Sexo]=$B98,IF(DATOS_[AGRUP. CLAS. PROF.]=$B96,IF(DATOS_[Check Periodo Ref.]="Dentro",DATOS_[Tot COMPL.SAL Ef],FALSE)))),
0)</f>
        <v>0</v>
      </c>
      <c r="AK98" s="172">
        <f t="array" ref="AK98">IFERROR(
MEDIAN(IF(DATOS_[Sexo]=$B98,IF(DATOS_[AGRUP. CLAS. PROF.]=$B96,IF(DATOS_[Check Periodo Ref.]="Dentro",DATOS_[TOTAL SALARIO Ef],FALSE)))),
0)</f>
        <v>0</v>
      </c>
      <c r="AL98" s="173">
        <f t="array" ref="AL98">IFERROR(
MEDIAN((IF(DATOS_[[Sexo]:[Sexo]]=$B98,IF(DATOS_[[AGRUP. CLAS. PROF.]:[AGRUP. CLAS. PROF.]]=$B96,IF(DATOS_[[Check Periodo Ref.]:[Check Periodo Ref.]]="Dentro",DATOS_[C.Extra.01]))))),
0)</f>
        <v>0</v>
      </c>
      <c r="AM98" s="173">
        <f t="array" ref="AM98">IFERROR(
MEDIAN((IF(DATOS_[[Sexo]:[Sexo]]=$B98,IF(DATOS_[[AGRUP. CLAS. PROF.]:[AGRUP. CLAS. PROF.]]=$B96,IF(DATOS_[[Check Periodo Ref.]:[Check Periodo Ref.]]="Dentro",DATOS_[C.Extra.06]))))),
0)</f>
        <v>0</v>
      </c>
      <c r="AN98" s="173">
        <f t="array" ref="AN98">IFERROR(
MEDIAN((IF(DATOS_[[Sexo]:[Sexo]]=$B98,IF(DATOS_[[AGRUP. CLAS. PROF.]:[AGRUP. CLAS. PROF.]]=$B96,IF(DATOS_[[Check Periodo Ref.]:[Check Periodo Ref.]]="Dentro",DATOS_[C.Extra.07]))))),
0)</f>
        <v>0</v>
      </c>
      <c r="AO98" s="173">
        <f t="array" ref="AO98">IFERROR(
MEDIAN((IF(DATOS_[[Sexo]:[Sexo]]=$B98,IF(DATOS_[[AGRUP. CLAS. PROF.]:[AGRUP. CLAS. PROF.]]=$B96,IF(DATOS_[[Check Periodo Ref.]:[Check Periodo Ref.]]="Dentro",DATOS_[C.Extra.08]))))),
0)</f>
        <v>0</v>
      </c>
      <c r="AP98" s="173">
        <f t="array" ref="AP98">IFERROR(
MEDIAN((IF(DATOS_[[Sexo]:[Sexo]]=$B98,IF(DATOS_[[AGRUP. CLAS. PROF.]:[AGRUP. CLAS. PROF.]]=$B96,IF(DATOS_[[Check Periodo Ref.]:[Check Periodo Ref.]]="Dentro",DATOS_[C.Extra.11]))))),
0)</f>
        <v>0</v>
      </c>
      <c r="AQ98" s="174">
        <f t="array" ref="AQ98">IFERROR(
MEDIAN(IF(DATOS_[Sexo]=$B98,IF(DATOS_[AGRUP. CLAS. PROF.]=$B96,IF(DATOS_[Check Periodo Ref.]="Dentro",DATOS_[Tot Extrasalarial Ef],FALSE)))),
0)</f>
        <v>0</v>
      </c>
      <c r="AR98" s="171">
        <f t="array" ref="AR98">IFERROR(
MEDIAN(IF(DATOS_[Sexo]=$B98,IF(DATOS_[AGRUP. CLAS. PROF.]=$B96,IF(DATOS_[Check Periodo Ref.]="Dentro",DATOS_[TOTAL Retrib Ef],FALSE)))),
0)</f>
        <v>0</v>
      </c>
    </row>
    <row r="99" spans="1:44" ht="14.4" hidden="1" thickBot="1" x14ac:dyDescent="0.3">
      <c r="A99" s="178" t="str">
        <f t="shared" ref="A99" si="115">+A100</f>
        <v>[ocultar]</v>
      </c>
      <c r="B99" s="153" t="s">
        <v>286</v>
      </c>
      <c r="C99" s="154"/>
      <c r="D99" s="155"/>
      <c r="E99" s="156" t="str">
        <f t="shared" ref="E99:AR99" si="116">IFERROR((E100-E101)/E100,"")</f>
        <v/>
      </c>
      <c r="F99" s="157" t="str">
        <f t="shared" si="116"/>
        <v/>
      </c>
      <c r="G99" s="158" t="str">
        <f t="shared" si="116"/>
        <v/>
      </c>
      <c r="H99" s="158" t="str">
        <f t="shared" si="116"/>
        <v/>
      </c>
      <c r="I99" s="158" t="str">
        <f t="shared" si="116"/>
        <v/>
      </c>
      <c r="J99" s="159" t="str">
        <f t="shared" si="116"/>
        <v/>
      </c>
      <c r="K99" s="160" t="str">
        <f t="shared" si="116"/>
        <v/>
      </c>
      <c r="L99" s="160" t="str">
        <f t="shared" si="116"/>
        <v/>
      </c>
      <c r="M99" s="160" t="str">
        <f t="shared" si="116"/>
        <v/>
      </c>
      <c r="N99" s="160" t="str">
        <f t="shared" si="116"/>
        <v/>
      </c>
      <c r="O99" s="160" t="str">
        <f t="shared" si="116"/>
        <v/>
      </c>
      <c r="P99" s="160" t="str">
        <f t="shared" si="116"/>
        <v/>
      </c>
      <c r="Q99" s="160" t="str">
        <f t="shared" si="116"/>
        <v/>
      </c>
      <c r="R99" s="160" t="str">
        <f t="shared" si="116"/>
        <v/>
      </c>
      <c r="S99" s="160" t="str">
        <f t="shared" si="116"/>
        <v/>
      </c>
      <c r="T99" s="160" t="str">
        <f t="shared" si="116"/>
        <v/>
      </c>
      <c r="U99" s="160" t="str">
        <f t="shared" si="116"/>
        <v/>
      </c>
      <c r="V99" s="159" t="str">
        <f t="shared" si="116"/>
        <v/>
      </c>
      <c r="W99" s="159" t="str">
        <f t="shared" si="116"/>
        <v/>
      </c>
      <c r="X99" s="159" t="str">
        <f t="shared" si="116"/>
        <v/>
      </c>
      <c r="Y99" s="159" t="str">
        <f t="shared" si="116"/>
        <v/>
      </c>
      <c r="Z99" s="159" t="str">
        <f t="shared" si="116"/>
        <v/>
      </c>
      <c r="AA99" s="159" t="str">
        <f t="shared" si="116"/>
        <v/>
      </c>
      <c r="AB99" s="159" t="str">
        <f t="shared" si="116"/>
        <v/>
      </c>
      <c r="AC99" s="159" t="str">
        <f t="shared" si="116"/>
        <v/>
      </c>
      <c r="AD99" s="159" t="str">
        <f t="shared" si="116"/>
        <v/>
      </c>
      <c r="AE99" s="159" t="str">
        <f t="shared" si="116"/>
        <v/>
      </c>
      <c r="AF99" s="159" t="str">
        <f t="shared" si="116"/>
        <v/>
      </c>
      <c r="AG99" s="159" t="str">
        <f t="shared" si="116"/>
        <v/>
      </c>
      <c r="AH99" s="159" t="str">
        <f t="shared" si="116"/>
        <v/>
      </c>
      <c r="AI99" s="159" t="str">
        <f t="shared" si="116"/>
        <v/>
      </c>
      <c r="AJ99" s="161" t="str">
        <f t="shared" si="116"/>
        <v/>
      </c>
      <c r="AK99" s="162" t="str">
        <f t="shared" si="116"/>
        <v/>
      </c>
      <c r="AL99" s="163" t="str">
        <f t="shared" si="116"/>
        <v/>
      </c>
      <c r="AM99" s="163" t="str">
        <f t="shared" si="116"/>
        <v/>
      </c>
      <c r="AN99" s="163" t="str">
        <f t="shared" si="116"/>
        <v/>
      </c>
      <c r="AO99" s="163" t="str">
        <f t="shared" si="116"/>
        <v/>
      </c>
      <c r="AP99" s="163" t="str">
        <f t="shared" si="116"/>
        <v/>
      </c>
      <c r="AQ99" s="164" t="str">
        <f t="shared" si="116"/>
        <v/>
      </c>
      <c r="AR99" s="161" t="str">
        <f t="shared" si="116"/>
        <v/>
      </c>
    </row>
    <row r="100" spans="1:44" hidden="1" x14ac:dyDescent="0.25">
      <c r="A100" s="178" t="str">
        <f t="shared" ref="A100" si="117">+IF(C100+C101=0,"[ocultar]","")</f>
        <v>[ocultar]</v>
      </c>
      <c r="B100" s="166" t="s">
        <v>394</v>
      </c>
      <c r="C100" s="167">
        <f t="array" ref="C100">SUM(IF($B100=DATOS_[Sexo],
IF($B99=DATOS_[AGRUP. CLAS. PROF.],
IF("Dentro"=DATOS_[Check Periodo Ref.],
1/(COUNTIFS(DATOS_[Sexo],$B100,DATOS_[AGRUP. CLAS. PROF.],$B99,DATOS_[Check Periodo Ref.],"Dentro",DATOS_[id/cod],DATOS_[id/cod]))))))</f>
        <v>0</v>
      </c>
      <c r="D100" s="168">
        <f>COUNTIFS(DATOS_[AGRUP. CLAS. PROF.],$B99,DATOS_[Sexo],$B100,DATOS_[Check Periodo Ref.],"Dentro")</f>
        <v>0</v>
      </c>
      <c r="E100" s="169">
        <f t="array" ref="E100">IFERROR(
MEDIAN(IF(DATOS_[Sexo]=$B100,IF(DATOS_[AGRUP. CLAS. PROF.]=$B99,IF(DATOS_[Check Periodo Ref.]="Dentro",DATOS_[SALARIO BASE Ef],FALSE)))),
0)</f>
        <v>0</v>
      </c>
      <c r="F100" s="170">
        <f t="array" ref="F100">IFERROR(
MEDIAN((IF(DATOS_[[Sexo]:[Sexo]]=$B100,IF(DATOS_[[AGRUP. CLAS. PROF.]:[AGRUP. CLAS. PROF.]]=$B99,IF(DATOS_[[Check Periodo Ref.]:[Check Periodo Ref.]]="Dentro",DATOS_[Conc.Sal.01]))))),
0)</f>
        <v>0</v>
      </c>
      <c r="G100" s="170">
        <f t="array" ref="G100">IFERROR(
MEDIAN((IF(DATOS_[[Sexo]:[Sexo]]=$B100,IF(DATOS_[[AGRUP. CLAS. PROF.]:[AGRUP. CLAS. PROF.]]=$B99,IF(DATOS_[[Check Periodo Ref.]:[Check Periodo Ref.]]="Dentro",DATOS_[Conc.Sal.02]))))),
0)</f>
        <v>0</v>
      </c>
      <c r="H100" s="170">
        <f t="array" ref="H100">IFERROR(
MEDIAN((IF(DATOS_[[Sexo]:[Sexo]]=$B100,IF(DATOS_[[AGRUP. CLAS. PROF.]:[AGRUP. CLAS. PROF.]]=$B99,IF(DATOS_[[Check Periodo Ref.]:[Check Periodo Ref.]]="Dentro",DATOS_[Conc.Sal.03]))))),
0)</f>
        <v>0</v>
      </c>
      <c r="I100" s="170">
        <f t="array" ref="I100">IFERROR(
MEDIAN((IF(DATOS_[[Sexo]:[Sexo]]=$B100,IF(DATOS_[[AGRUP. CLAS. PROF.]:[AGRUP. CLAS. PROF.]]=$B99,IF(DATOS_[[Check Periodo Ref.]:[Check Periodo Ref.]]="Dentro",DATOS_[Conc.Sal.04]))))),
0)</f>
        <v>0</v>
      </c>
      <c r="J100" s="170">
        <f t="array" ref="J100">IFERROR(
MEDIAN((IF(DATOS_[[Sexo]:[Sexo]]=$B100,IF(DATOS_[[AGRUP. CLAS. PROF.]:[AGRUP. CLAS. PROF.]]=$B99,IF(DATOS_[[Check Periodo Ref.]:[Check Periodo Ref.]]="Dentro",DATOS_[Conc.Sal.05]))))),
0)</f>
        <v>0</v>
      </c>
      <c r="K100" s="170">
        <f t="array" ref="K100">IFERROR(
MEDIAN((IF(DATOS_[[Sexo]:[Sexo]]=$B100,IF(DATOS_[[AGRUP. CLAS. PROF.]:[AGRUP. CLAS. PROF.]]=$B99,IF(DATOS_[[Check Periodo Ref.]:[Check Periodo Ref.]]="Dentro",DATOS_[Conc.Sal.06]))))),
0)</f>
        <v>0</v>
      </c>
      <c r="L100" s="170">
        <f t="array" ref="L100">IFERROR(
MEDIAN((IF(DATOS_[[Sexo]:[Sexo]]=$B100,IF(DATOS_[[AGRUP. CLAS. PROF.]:[AGRUP. CLAS. PROF.]]=$B99,IF(DATOS_[[Check Periodo Ref.]:[Check Periodo Ref.]]="Dentro",DATOS_[Conc.Sal.07]))))),
0)</f>
        <v>0</v>
      </c>
      <c r="M100" s="170">
        <f t="array" ref="M100">IFERROR(
MEDIAN((IF(DATOS_[[Sexo]:[Sexo]]=$B100,IF(DATOS_[[AGRUP. CLAS. PROF.]:[AGRUP. CLAS. PROF.]]=$B99,IF(DATOS_[[Check Periodo Ref.]:[Check Periodo Ref.]]="Dentro",DATOS_[Conc.Sal.08]))))),
0)</f>
        <v>0</v>
      </c>
      <c r="N100" s="170">
        <f t="array" ref="N100">IFERROR(
MEDIAN((IF(DATOS_[[Sexo]:[Sexo]]=$B100,IF(DATOS_[[AGRUP. CLAS. PROF.]:[AGRUP. CLAS. PROF.]]=$B99,IF(DATOS_[[Check Periodo Ref.]:[Check Periodo Ref.]]="Dentro",DATOS_[Conc.Sal.09]))))),
0)</f>
        <v>0</v>
      </c>
      <c r="O100" s="170">
        <f t="array" ref="O100">IFERROR(
MEDIAN((IF(DATOS_[[Sexo]:[Sexo]]=$B100,IF(DATOS_[[AGRUP. CLAS. PROF.]:[AGRUP. CLAS. PROF.]]=$B99,IF(DATOS_[[Check Periodo Ref.]:[Check Periodo Ref.]]="Dentro",DATOS_[Conc.Sal.10]))))),
0)</f>
        <v>0</v>
      </c>
      <c r="P100" s="170">
        <f t="array" ref="P100">IFERROR(
MEDIAN((IF(DATOS_[[Sexo]:[Sexo]]=$B100,IF(DATOS_[[AGRUP. CLAS. PROF.]:[AGRUP. CLAS. PROF.]]=$B99,IF(DATOS_[[Check Periodo Ref.]:[Check Periodo Ref.]]="Dentro",DATOS_[Conc.Sal.11]))))),
0)</f>
        <v>0</v>
      </c>
      <c r="Q100" s="170">
        <f t="array" ref="Q100">IFERROR(
MEDIAN((IF(DATOS_[[Sexo]:[Sexo]]=$B100,IF(DATOS_[[AGRUP. CLAS. PROF.]:[AGRUP. CLAS. PROF.]]=$B99,IF(DATOS_[[Check Periodo Ref.]:[Check Periodo Ref.]]="Dentro",DATOS_[Conc.Sal.12]))))),
0)</f>
        <v>0</v>
      </c>
      <c r="R100" s="170">
        <f t="array" ref="R100">IFERROR(
MEDIAN((IF(DATOS_[[Sexo]:[Sexo]]=$B100,IF(DATOS_[[AGRUP. CLAS. PROF.]:[AGRUP. CLAS. PROF.]]=$B99,IF(DATOS_[[Check Periodo Ref.]:[Check Periodo Ref.]]="Dentro",DATOS_[Conc.Sal.13]))))),
0)</f>
        <v>0</v>
      </c>
      <c r="S100" s="170">
        <f t="array" ref="S100">IFERROR(
MEDIAN((IF(DATOS_[[Sexo]:[Sexo]]=$B100,IF(DATOS_[[AGRUP. CLAS. PROF.]:[AGRUP. CLAS. PROF.]]=$B99,IF(DATOS_[[Check Periodo Ref.]:[Check Periodo Ref.]]="Dentro",DATOS_[Conc.Sal.14]))))),
0)</f>
        <v>0</v>
      </c>
      <c r="T100" s="170">
        <f t="array" ref="T100">IFERROR(
MEDIAN((IF(DATOS_[[Sexo]:[Sexo]]=$B100,IF(DATOS_[[AGRUP. CLAS. PROF.]:[AGRUP. CLAS. PROF.]]=$B99,IF(DATOS_[[Check Periodo Ref.]:[Check Periodo Ref.]]="Dentro",DATOS_[Conc.Sal.15]))))),
0)</f>
        <v>0</v>
      </c>
      <c r="U100" s="170">
        <f t="array" ref="U100">IFERROR(
MEDIAN((IF(DATOS_[[Sexo]:[Sexo]]=$B100,IF(DATOS_[[AGRUP. CLAS. PROF.]:[AGRUP. CLAS. PROF.]]=$B99,IF(DATOS_[[Check Periodo Ref.]:[Check Periodo Ref.]]="Dentro",DATOS_[Conc.Sal.16]))))),
0)</f>
        <v>0</v>
      </c>
      <c r="V100" s="170">
        <f t="array" ref="V100">IFERROR(
MEDIAN((IF(DATOS_[[Sexo]:[Sexo]]=$B100,IF(DATOS_[[AGRUP. CLAS. PROF.]:[AGRUP. CLAS. PROF.]]=$B99,IF(DATOS_[[Check Periodo Ref.]:[Check Periodo Ref.]]="Dentro",DATOS_[Conc.Sal.17]))))),
0)</f>
        <v>0</v>
      </c>
      <c r="W100" s="170">
        <f t="array" ref="W100">IFERROR(
MEDIAN((IF(DATOS_[[Sexo]:[Sexo]]=$B100,IF(DATOS_[[AGRUP. CLAS. PROF.]:[AGRUP. CLAS. PROF.]]=$B99,IF(DATOS_[[Check Periodo Ref.]:[Check Periodo Ref.]]="Dentro",DATOS_[Conc.Sal.18]))))),
0)</f>
        <v>0</v>
      </c>
      <c r="X100" s="170">
        <f t="array" ref="X100">IFERROR(
MEDIAN((IF(DATOS_[[Sexo]:[Sexo]]=$B100,IF(DATOS_[[AGRUP. CLAS. PROF.]:[AGRUP. CLAS. PROF.]]=$B99,IF(DATOS_[[Check Periodo Ref.]:[Check Periodo Ref.]]="Dentro",DATOS_[Conc.Sal.19]))))),
0)</f>
        <v>0</v>
      </c>
      <c r="Y100" s="170">
        <f t="array" ref="Y100">IFERROR(
MEDIAN((IF(DATOS_[[Sexo]:[Sexo]]=$B100,IF(DATOS_[[AGRUP. CLAS. PROF.]:[AGRUP. CLAS. PROF.]]=$B99,IF(DATOS_[[Check Periodo Ref.]:[Check Periodo Ref.]]="Dentro",DATOS_[Conc.Sal.20]))))),
0)</f>
        <v>0</v>
      </c>
      <c r="Z100" s="170">
        <f t="array" ref="Z100">IFERROR(
MEDIAN((IF(DATOS_[[Sexo]:[Sexo]]=$B100,IF(DATOS_[[AGRUP. CLAS. PROF.]:[AGRUP. CLAS. PROF.]]=$B99,IF(DATOS_[[Check Periodo Ref.]:[Check Periodo Ref.]]="Dentro",DATOS_[Conc.Sal.21]))))),
0)</f>
        <v>0</v>
      </c>
      <c r="AA100" s="170">
        <f t="array" ref="AA100">IFERROR(
MEDIAN((IF(DATOS_[[Sexo]:[Sexo]]=$B100,IF(DATOS_[[AGRUP. CLAS. PROF.]:[AGRUP. CLAS. PROF.]]=$B99,IF(DATOS_[[Check Periodo Ref.]:[Check Periodo Ref.]]="Dentro",DATOS_[Conc.Sal.22]))))),
0)</f>
        <v>0</v>
      </c>
      <c r="AB100" s="170">
        <f t="array" ref="AB100">IFERROR(
MEDIAN((IF(DATOS_[[Sexo]:[Sexo]]=$B100,IF(DATOS_[[AGRUP. CLAS. PROF.]:[AGRUP. CLAS. PROF.]]=$B99,IF(DATOS_[[Check Periodo Ref.]:[Check Periodo Ref.]]="Dentro",DATOS_[Conc.Sal.23]))))),
0)</f>
        <v>0</v>
      </c>
      <c r="AC100" s="170">
        <f t="array" ref="AC100">IFERROR(
MEDIAN((IF(DATOS_[[Sexo]:[Sexo]]=$B100,IF(DATOS_[[AGRUP. CLAS. PROF.]:[AGRUP. CLAS. PROF.]]=$B99,IF(DATOS_[[Check Periodo Ref.]:[Check Periodo Ref.]]="Dentro",DATOS_[Conc.Sal.24]))))),
0)</f>
        <v>0</v>
      </c>
      <c r="AD100" s="170">
        <f t="array" ref="AD100">IFERROR(
MEDIAN((IF(DATOS_[[Sexo]:[Sexo]]=$B100,IF(DATOS_[[AGRUP. CLAS. PROF.]:[AGRUP. CLAS. PROF.]]=$B99,IF(DATOS_[[Check Periodo Ref.]:[Check Periodo Ref.]]="Dentro",DATOS_[Conc.Sal.25]))))),
0)</f>
        <v>0</v>
      </c>
      <c r="AE100" s="170">
        <f t="array" ref="AE100">IFERROR(
MEDIAN((IF(DATOS_[[Sexo]:[Sexo]]=$B100,IF(DATOS_[[AGRUP. CLAS. PROF.]:[AGRUP. CLAS. PROF.]]=$B99,IF(DATOS_[[Check Periodo Ref.]:[Check Periodo Ref.]]="Dentro",DATOS_[Conc.Sal.26]))))),
0)</f>
        <v>0</v>
      </c>
      <c r="AF100" s="170">
        <f t="array" ref="AF100">IFERROR(
MEDIAN((IF(DATOS_[[Sexo]:[Sexo]]=$B100,IF(DATOS_[[AGRUP. CLAS. PROF.]:[AGRUP. CLAS. PROF.]]=$B99,IF(DATOS_[[Check Periodo Ref.]:[Check Periodo Ref.]]="Dentro",DATOS_[Conc.Sal.27]))))),
0)</f>
        <v>0</v>
      </c>
      <c r="AG100" s="170">
        <f t="array" ref="AG100">IFERROR(
MEDIAN((IF(DATOS_[[Sexo]:[Sexo]]=$B100,IF(DATOS_[[AGRUP. CLAS. PROF.]:[AGRUP. CLAS. PROF.]]=$B99,IF(DATOS_[[Check Periodo Ref.]:[Check Periodo Ref.]]="Dentro",DATOS_[Conc.Sal.28]))))),
0)</f>
        <v>0</v>
      </c>
      <c r="AH100" s="170">
        <f t="array" ref="AH100">IFERROR(
MEDIAN((IF(DATOS_[[Sexo]:[Sexo]]=$B100,IF(DATOS_[[AGRUP. CLAS. PROF.]:[AGRUP. CLAS. PROF.]]=$B99,IF(DATOS_[[Check Periodo Ref.]:[Check Periodo Ref.]]="Dentro",DATOS_[Conc.Sal.29]))))),
0)</f>
        <v>0</v>
      </c>
      <c r="AI100" s="170">
        <f t="array" ref="AI100">IFERROR(
MEDIAN((IF(DATOS_[[Sexo]:[Sexo]]=$B100,IF(DATOS_[[AGRUP. CLAS. PROF.]:[AGRUP. CLAS. PROF.]]=$B99,IF(DATOS_[[Check Periodo Ref.]:[Check Periodo Ref.]]="Dentro",DATOS_[Conc.Sal.30]))))),
0)</f>
        <v>0</v>
      </c>
      <c r="AJ100" s="171">
        <f t="array" ref="AJ100">IFERROR(
MEDIAN(IF(DATOS_[Sexo]=$B100,IF(DATOS_[AGRUP. CLAS. PROF.]=$B99,IF(DATOS_[Check Periodo Ref.]="Dentro",DATOS_[Tot COMPL.SAL Ef],FALSE)))),
0)</f>
        <v>0</v>
      </c>
      <c r="AK100" s="172">
        <f t="array" ref="AK100">IFERROR(
MEDIAN(IF(DATOS_[Sexo]=$B100,IF(DATOS_[AGRUP. CLAS. PROF.]=$B99,IF(DATOS_[Check Periodo Ref.]="Dentro",DATOS_[TOTAL SALARIO Ef],FALSE)))),
0)</f>
        <v>0</v>
      </c>
      <c r="AL100" s="173">
        <f t="array" ref="AL100">IFERROR(
MEDIAN((IF(DATOS_[[Sexo]:[Sexo]]=$B100,IF(DATOS_[[AGRUP. CLAS. PROF.]:[AGRUP. CLAS. PROF.]]=$B99,IF(DATOS_[[Check Periodo Ref.]:[Check Periodo Ref.]]="Dentro",DATOS_[C.Extra.01]))))),
0)</f>
        <v>0</v>
      </c>
      <c r="AM100" s="173">
        <f t="array" ref="AM100">IFERROR(
MEDIAN((IF(DATOS_[[Sexo]:[Sexo]]=$B100,IF(DATOS_[[AGRUP. CLAS. PROF.]:[AGRUP. CLAS. PROF.]]=$B99,IF(DATOS_[[Check Periodo Ref.]:[Check Periodo Ref.]]="Dentro",DATOS_[C.Extra.06]))))),
0)</f>
        <v>0</v>
      </c>
      <c r="AN100" s="173">
        <f t="array" ref="AN100">IFERROR(
MEDIAN((IF(DATOS_[[Sexo]:[Sexo]]=$B100,IF(DATOS_[[AGRUP. CLAS. PROF.]:[AGRUP. CLAS. PROF.]]=$B99,IF(DATOS_[[Check Periodo Ref.]:[Check Periodo Ref.]]="Dentro",DATOS_[C.Extra.07]))))),
0)</f>
        <v>0</v>
      </c>
      <c r="AO100" s="173">
        <f t="array" ref="AO100">IFERROR(
MEDIAN((IF(DATOS_[[Sexo]:[Sexo]]=$B100,IF(DATOS_[[AGRUP. CLAS. PROF.]:[AGRUP. CLAS. PROF.]]=$B99,IF(DATOS_[[Check Periodo Ref.]:[Check Periodo Ref.]]="Dentro",DATOS_[C.Extra.08]))))),
0)</f>
        <v>0</v>
      </c>
      <c r="AP100" s="173">
        <f t="array" ref="AP100">IFERROR(
MEDIAN((IF(DATOS_[[Sexo]:[Sexo]]=$B100,IF(DATOS_[[AGRUP. CLAS. PROF.]:[AGRUP. CLAS. PROF.]]=$B99,IF(DATOS_[[Check Periodo Ref.]:[Check Periodo Ref.]]="Dentro",DATOS_[C.Extra.11]))))),
0)</f>
        <v>0</v>
      </c>
      <c r="AQ100" s="174">
        <f t="array" ref="AQ100">IFERROR(
MEDIAN(IF(DATOS_[Sexo]=$B100,IF(DATOS_[AGRUP. CLAS. PROF.]=$B99,IF(DATOS_[Check Periodo Ref.]="Dentro",DATOS_[Tot Extrasalarial Ef],FALSE)))),
0)</f>
        <v>0</v>
      </c>
      <c r="AR100" s="171">
        <f t="array" ref="AR100">IFERROR(
MEDIAN(IF(DATOS_[Sexo]=$B100,IF(DATOS_[AGRUP. CLAS. PROF.]=$B99,IF(DATOS_[Check Periodo Ref.]="Dentro",DATOS_[TOTAL Retrib Ef],FALSE)))),
0)</f>
        <v>0</v>
      </c>
    </row>
    <row r="101" spans="1:44" hidden="1" x14ac:dyDescent="0.25">
      <c r="A101" s="178" t="str">
        <f t="shared" ref="A101" si="118">+A100</f>
        <v>[ocultar]</v>
      </c>
      <c r="B101" s="166" t="s">
        <v>521</v>
      </c>
      <c r="C101" s="167">
        <f t="array" ref="C101">SUM(IF($B101=DATOS_[Sexo],
IF($B99=DATOS_[AGRUP. CLAS. PROF.],
IF("Dentro"=DATOS_[Check Periodo Ref.],
1/(COUNTIFS(DATOS_[Sexo],$B101,DATOS_[AGRUP. CLAS. PROF.],$B99,DATOS_[Check Periodo Ref.],"Dentro",DATOS_[id/cod],DATOS_[id/cod]))))))</f>
        <v>0</v>
      </c>
      <c r="D101" s="168">
        <f>COUNTIFS(DATOS_[AGRUP. CLAS. PROF.],$B99,DATOS_[Sexo],$B101,DATOS_[Check Periodo Ref.],"Dentro")</f>
        <v>0</v>
      </c>
      <c r="E101" s="169">
        <f t="array" ref="E101">IFERROR(
MEDIAN(IF(DATOS_[Sexo]=$B101,IF(DATOS_[AGRUP. CLAS. PROF.]=$B99,IF(DATOS_[Check Periodo Ref.]="Dentro",DATOS_[SALARIO BASE Ef],FALSE)))),
0)</f>
        <v>0</v>
      </c>
      <c r="F101" s="170">
        <f t="array" ref="F101">IFERROR(
MEDIAN((IF(DATOS_[[Sexo]:[Sexo]]=$B101,IF(DATOS_[[AGRUP. CLAS. PROF.]:[AGRUP. CLAS. PROF.]]=$B99,IF(DATOS_[[Check Periodo Ref.]:[Check Periodo Ref.]]="Dentro",DATOS_[Conc.Sal.01]))))),
0)</f>
        <v>0</v>
      </c>
      <c r="G101" s="170">
        <f t="array" ref="G101">IFERROR(
MEDIAN((IF(DATOS_[[Sexo]:[Sexo]]=$B101,IF(DATOS_[[AGRUP. CLAS. PROF.]:[AGRUP. CLAS. PROF.]]=$B99,IF(DATOS_[[Check Periodo Ref.]:[Check Periodo Ref.]]="Dentro",DATOS_[Conc.Sal.02]))))),
0)</f>
        <v>0</v>
      </c>
      <c r="H101" s="170">
        <f t="array" ref="H101">IFERROR(
MEDIAN((IF(DATOS_[[Sexo]:[Sexo]]=$B101,IF(DATOS_[[AGRUP. CLAS. PROF.]:[AGRUP. CLAS. PROF.]]=$B99,IF(DATOS_[[Check Periodo Ref.]:[Check Periodo Ref.]]="Dentro",DATOS_[Conc.Sal.03]))))),
0)</f>
        <v>0</v>
      </c>
      <c r="I101" s="170">
        <f t="array" ref="I101">IFERROR(
MEDIAN((IF(DATOS_[[Sexo]:[Sexo]]=$B101,IF(DATOS_[[AGRUP. CLAS. PROF.]:[AGRUP. CLAS. PROF.]]=$B99,IF(DATOS_[[Check Periodo Ref.]:[Check Periodo Ref.]]="Dentro",DATOS_[Conc.Sal.04]))))),
0)</f>
        <v>0</v>
      </c>
      <c r="J101" s="170">
        <f t="array" ref="J101">IFERROR(
MEDIAN((IF(DATOS_[[Sexo]:[Sexo]]=$B101,IF(DATOS_[[AGRUP. CLAS. PROF.]:[AGRUP. CLAS. PROF.]]=$B99,IF(DATOS_[[Check Periodo Ref.]:[Check Periodo Ref.]]="Dentro",DATOS_[Conc.Sal.05]))))),
0)</f>
        <v>0</v>
      </c>
      <c r="K101" s="170">
        <f t="array" ref="K101">IFERROR(
MEDIAN((IF(DATOS_[[Sexo]:[Sexo]]=$B101,IF(DATOS_[[AGRUP. CLAS. PROF.]:[AGRUP. CLAS. PROF.]]=$B99,IF(DATOS_[[Check Periodo Ref.]:[Check Periodo Ref.]]="Dentro",DATOS_[Conc.Sal.06]))))),
0)</f>
        <v>0</v>
      </c>
      <c r="L101" s="170">
        <f t="array" ref="L101">IFERROR(
MEDIAN((IF(DATOS_[[Sexo]:[Sexo]]=$B101,IF(DATOS_[[AGRUP. CLAS. PROF.]:[AGRUP. CLAS. PROF.]]=$B99,IF(DATOS_[[Check Periodo Ref.]:[Check Periodo Ref.]]="Dentro",DATOS_[Conc.Sal.07]))))),
0)</f>
        <v>0</v>
      </c>
      <c r="M101" s="170">
        <f t="array" ref="M101">IFERROR(
MEDIAN((IF(DATOS_[[Sexo]:[Sexo]]=$B101,IF(DATOS_[[AGRUP. CLAS. PROF.]:[AGRUP. CLAS. PROF.]]=$B99,IF(DATOS_[[Check Periodo Ref.]:[Check Periodo Ref.]]="Dentro",DATOS_[Conc.Sal.08]))))),
0)</f>
        <v>0</v>
      </c>
      <c r="N101" s="170">
        <f t="array" ref="N101">IFERROR(
MEDIAN((IF(DATOS_[[Sexo]:[Sexo]]=$B101,IF(DATOS_[[AGRUP. CLAS. PROF.]:[AGRUP. CLAS. PROF.]]=$B99,IF(DATOS_[[Check Periodo Ref.]:[Check Periodo Ref.]]="Dentro",DATOS_[Conc.Sal.09]))))),
0)</f>
        <v>0</v>
      </c>
      <c r="O101" s="170">
        <f t="array" ref="O101">IFERROR(
MEDIAN((IF(DATOS_[[Sexo]:[Sexo]]=$B101,IF(DATOS_[[AGRUP. CLAS. PROF.]:[AGRUP. CLAS. PROF.]]=$B99,IF(DATOS_[[Check Periodo Ref.]:[Check Periodo Ref.]]="Dentro",DATOS_[Conc.Sal.10]))))),
0)</f>
        <v>0</v>
      </c>
      <c r="P101" s="170">
        <f t="array" ref="P101">IFERROR(
MEDIAN((IF(DATOS_[[Sexo]:[Sexo]]=$B101,IF(DATOS_[[AGRUP. CLAS. PROF.]:[AGRUP. CLAS. PROF.]]=$B99,IF(DATOS_[[Check Periodo Ref.]:[Check Periodo Ref.]]="Dentro",DATOS_[Conc.Sal.11]))))),
0)</f>
        <v>0</v>
      </c>
      <c r="Q101" s="170">
        <f t="array" ref="Q101">IFERROR(
MEDIAN((IF(DATOS_[[Sexo]:[Sexo]]=$B101,IF(DATOS_[[AGRUP. CLAS. PROF.]:[AGRUP. CLAS. PROF.]]=$B99,IF(DATOS_[[Check Periodo Ref.]:[Check Periodo Ref.]]="Dentro",DATOS_[Conc.Sal.12]))))),
0)</f>
        <v>0</v>
      </c>
      <c r="R101" s="170">
        <f t="array" ref="R101">IFERROR(
MEDIAN((IF(DATOS_[[Sexo]:[Sexo]]=$B101,IF(DATOS_[[AGRUP. CLAS. PROF.]:[AGRUP. CLAS. PROF.]]=$B99,IF(DATOS_[[Check Periodo Ref.]:[Check Periodo Ref.]]="Dentro",DATOS_[Conc.Sal.13]))))),
0)</f>
        <v>0</v>
      </c>
      <c r="S101" s="170">
        <f t="array" ref="S101">IFERROR(
MEDIAN((IF(DATOS_[[Sexo]:[Sexo]]=$B101,IF(DATOS_[[AGRUP. CLAS. PROF.]:[AGRUP. CLAS. PROF.]]=$B99,IF(DATOS_[[Check Periodo Ref.]:[Check Periodo Ref.]]="Dentro",DATOS_[Conc.Sal.14]))))),
0)</f>
        <v>0</v>
      </c>
      <c r="T101" s="170">
        <f t="array" ref="T101">IFERROR(
MEDIAN((IF(DATOS_[[Sexo]:[Sexo]]=$B101,IF(DATOS_[[AGRUP. CLAS. PROF.]:[AGRUP. CLAS. PROF.]]=$B99,IF(DATOS_[[Check Periodo Ref.]:[Check Periodo Ref.]]="Dentro",DATOS_[Conc.Sal.15]))))),
0)</f>
        <v>0</v>
      </c>
      <c r="U101" s="170">
        <f t="array" ref="U101">IFERROR(
MEDIAN((IF(DATOS_[[Sexo]:[Sexo]]=$B101,IF(DATOS_[[AGRUP. CLAS. PROF.]:[AGRUP. CLAS. PROF.]]=$B99,IF(DATOS_[[Check Periodo Ref.]:[Check Periodo Ref.]]="Dentro",DATOS_[Conc.Sal.16]))))),
0)</f>
        <v>0</v>
      </c>
      <c r="V101" s="170">
        <f t="array" ref="V101">IFERROR(
MEDIAN((IF(DATOS_[[Sexo]:[Sexo]]=$B101,IF(DATOS_[[AGRUP. CLAS. PROF.]:[AGRUP. CLAS. PROF.]]=$B99,IF(DATOS_[[Check Periodo Ref.]:[Check Periodo Ref.]]="Dentro",DATOS_[Conc.Sal.17]))))),
0)</f>
        <v>0</v>
      </c>
      <c r="W101" s="170">
        <f t="array" ref="W101">IFERROR(
MEDIAN((IF(DATOS_[[Sexo]:[Sexo]]=$B101,IF(DATOS_[[AGRUP. CLAS. PROF.]:[AGRUP. CLAS. PROF.]]=$B99,IF(DATOS_[[Check Periodo Ref.]:[Check Periodo Ref.]]="Dentro",DATOS_[Conc.Sal.18]))))),
0)</f>
        <v>0</v>
      </c>
      <c r="X101" s="170">
        <f t="array" ref="X101">IFERROR(
MEDIAN((IF(DATOS_[[Sexo]:[Sexo]]=$B101,IF(DATOS_[[AGRUP. CLAS. PROF.]:[AGRUP. CLAS. PROF.]]=$B99,IF(DATOS_[[Check Periodo Ref.]:[Check Periodo Ref.]]="Dentro",DATOS_[Conc.Sal.19]))))),
0)</f>
        <v>0</v>
      </c>
      <c r="Y101" s="170">
        <f t="array" ref="Y101">IFERROR(
MEDIAN((IF(DATOS_[[Sexo]:[Sexo]]=$B101,IF(DATOS_[[AGRUP. CLAS. PROF.]:[AGRUP. CLAS. PROF.]]=$B99,IF(DATOS_[[Check Periodo Ref.]:[Check Periodo Ref.]]="Dentro",DATOS_[Conc.Sal.20]))))),
0)</f>
        <v>0</v>
      </c>
      <c r="Z101" s="170">
        <f t="array" ref="Z101">IFERROR(
MEDIAN((IF(DATOS_[[Sexo]:[Sexo]]=$B101,IF(DATOS_[[AGRUP. CLAS. PROF.]:[AGRUP. CLAS. PROF.]]=$B99,IF(DATOS_[[Check Periodo Ref.]:[Check Periodo Ref.]]="Dentro",DATOS_[Conc.Sal.21]))))),
0)</f>
        <v>0</v>
      </c>
      <c r="AA101" s="170">
        <f t="array" ref="AA101">IFERROR(
MEDIAN((IF(DATOS_[[Sexo]:[Sexo]]=$B101,IF(DATOS_[[AGRUP. CLAS. PROF.]:[AGRUP. CLAS. PROF.]]=$B99,IF(DATOS_[[Check Periodo Ref.]:[Check Periodo Ref.]]="Dentro",DATOS_[Conc.Sal.22]))))),
0)</f>
        <v>0</v>
      </c>
      <c r="AB101" s="170">
        <f t="array" ref="AB101">IFERROR(
MEDIAN((IF(DATOS_[[Sexo]:[Sexo]]=$B101,IF(DATOS_[[AGRUP. CLAS. PROF.]:[AGRUP. CLAS. PROF.]]=$B99,IF(DATOS_[[Check Periodo Ref.]:[Check Periodo Ref.]]="Dentro",DATOS_[Conc.Sal.23]))))),
0)</f>
        <v>0</v>
      </c>
      <c r="AC101" s="170">
        <f t="array" ref="AC101">IFERROR(
MEDIAN((IF(DATOS_[[Sexo]:[Sexo]]=$B101,IF(DATOS_[[AGRUP. CLAS. PROF.]:[AGRUP. CLAS. PROF.]]=$B99,IF(DATOS_[[Check Periodo Ref.]:[Check Periodo Ref.]]="Dentro",DATOS_[Conc.Sal.24]))))),
0)</f>
        <v>0</v>
      </c>
      <c r="AD101" s="170">
        <f t="array" ref="AD101">IFERROR(
MEDIAN((IF(DATOS_[[Sexo]:[Sexo]]=$B101,IF(DATOS_[[AGRUP. CLAS. PROF.]:[AGRUP. CLAS. PROF.]]=$B99,IF(DATOS_[[Check Periodo Ref.]:[Check Periodo Ref.]]="Dentro",DATOS_[Conc.Sal.25]))))),
0)</f>
        <v>0</v>
      </c>
      <c r="AE101" s="170">
        <f t="array" ref="AE101">IFERROR(
MEDIAN((IF(DATOS_[[Sexo]:[Sexo]]=$B101,IF(DATOS_[[AGRUP. CLAS. PROF.]:[AGRUP. CLAS. PROF.]]=$B99,IF(DATOS_[[Check Periodo Ref.]:[Check Periodo Ref.]]="Dentro",DATOS_[Conc.Sal.26]))))),
0)</f>
        <v>0</v>
      </c>
      <c r="AF101" s="170">
        <f t="array" ref="AF101">IFERROR(
MEDIAN((IF(DATOS_[[Sexo]:[Sexo]]=$B101,IF(DATOS_[[AGRUP. CLAS. PROF.]:[AGRUP. CLAS. PROF.]]=$B99,IF(DATOS_[[Check Periodo Ref.]:[Check Periodo Ref.]]="Dentro",DATOS_[Conc.Sal.27]))))),
0)</f>
        <v>0</v>
      </c>
      <c r="AG101" s="170">
        <f t="array" ref="AG101">IFERROR(
MEDIAN((IF(DATOS_[[Sexo]:[Sexo]]=$B101,IF(DATOS_[[AGRUP. CLAS. PROF.]:[AGRUP. CLAS. PROF.]]=$B99,IF(DATOS_[[Check Periodo Ref.]:[Check Periodo Ref.]]="Dentro",DATOS_[Conc.Sal.28]))))),
0)</f>
        <v>0</v>
      </c>
      <c r="AH101" s="170">
        <f t="array" ref="AH101">IFERROR(
MEDIAN((IF(DATOS_[[Sexo]:[Sexo]]=$B101,IF(DATOS_[[AGRUP. CLAS. PROF.]:[AGRUP. CLAS. PROF.]]=$B99,IF(DATOS_[[Check Periodo Ref.]:[Check Periodo Ref.]]="Dentro",DATOS_[Conc.Sal.29]))))),
0)</f>
        <v>0</v>
      </c>
      <c r="AI101" s="170">
        <f t="array" ref="AI101">IFERROR(
MEDIAN((IF(DATOS_[[Sexo]:[Sexo]]=$B101,IF(DATOS_[[AGRUP. CLAS. PROF.]:[AGRUP. CLAS. PROF.]]=$B99,IF(DATOS_[[Check Periodo Ref.]:[Check Periodo Ref.]]="Dentro",DATOS_[Conc.Sal.30]))))),
0)</f>
        <v>0</v>
      </c>
      <c r="AJ101" s="171">
        <f t="array" ref="AJ101">IFERROR(
MEDIAN(IF(DATOS_[Sexo]=$B101,IF(DATOS_[AGRUP. CLAS. PROF.]=$B99,IF(DATOS_[Check Periodo Ref.]="Dentro",DATOS_[Tot COMPL.SAL Ef],FALSE)))),
0)</f>
        <v>0</v>
      </c>
      <c r="AK101" s="172">
        <f t="array" ref="AK101">IFERROR(
MEDIAN(IF(DATOS_[Sexo]=$B101,IF(DATOS_[AGRUP. CLAS. PROF.]=$B99,IF(DATOS_[Check Periodo Ref.]="Dentro",DATOS_[TOTAL SALARIO Ef],FALSE)))),
0)</f>
        <v>0</v>
      </c>
      <c r="AL101" s="173">
        <f t="array" ref="AL101">IFERROR(
MEDIAN((IF(DATOS_[[Sexo]:[Sexo]]=$B101,IF(DATOS_[[AGRUP. CLAS. PROF.]:[AGRUP. CLAS. PROF.]]=$B99,IF(DATOS_[[Check Periodo Ref.]:[Check Periodo Ref.]]="Dentro",DATOS_[C.Extra.01]))))),
0)</f>
        <v>0</v>
      </c>
      <c r="AM101" s="173">
        <f t="array" ref="AM101">IFERROR(
MEDIAN((IF(DATOS_[[Sexo]:[Sexo]]=$B101,IF(DATOS_[[AGRUP. CLAS. PROF.]:[AGRUP. CLAS. PROF.]]=$B99,IF(DATOS_[[Check Periodo Ref.]:[Check Periodo Ref.]]="Dentro",DATOS_[C.Extra.06]))))),
0)</f>
        <v>0</v>
      </c>
      <c r="AN101" s="173">
        <f t="array" ref="AN101">IFERROR(
MEDIAN((IF(DATOS_[[Sexo]:[Sexo]]=$B101,IF(DATOS_[[AGRUP. CLAS. PROF.]:[AGRUP. CLAS. PROF.]]=$B99,IF(DATOS_[[Check Periodo Ref.]:[Check Periodo Ref.]]="Dentro",DATOS_[C.Extra.07]))))),
0)</f>
        <v>0</v>
      </c>
      <c r="AO101" s="173">
        <f t="array" ref="AO101">IFERROR(
MEDIAN((IF(DATOS_[[Sexo]:[Sexo]]=$B101,IF(DATOS_[[AGRUP. CLAS. PROF.]:[AGRUP. CLAS. PROF.]]=$B99,IF(DATOS_[[Check Periodo Ref.]:[Check Periodo Ref.]]="Dentro",DATOS_[C.Extra.08]))))),
0)</f>
        <v>0</v>
      </c>
      <c r="AP101" s="173">
        <f t="array" ref="AP101">IFERROR(
MEDIAN((IF(DATOS_[[Sexo]:[Sexo]]=$B101,IF(DATOS_[[AGRUP. CLAS. PROF.]:[AGRUP. CLAS. PROF.]]=$B99,IF(DATOS_[[Check Periodo Ref.]:[Check Periodo Ref.]]="Dentro",DATOS_[C.Extra.11]))))),
0)</f>
        <v>0</v>
      </c>
      <c r="AQ101" s="174">
        <f t="array" ref="AQ101">IFERROR(
MEDIAN(IF(DATOS_[Sexo]=$B101,IF(DATOS_[AGRUP. CLAS. PROF.]=$B99,IF(DATOS_[Check Periodo Ref.]="Dentro",DATOS_[Tot Extrasalarial Ef],FALSE)))),
0)</f>
        <v>0</v>
      </c>
      <c r="AR101" s="171">
        <f t="array" ref="AR101">IFERROR(
MEDIAN(IF(DATOS_[Sexo]=$B101,IF(DATOS_[AGRUP. CLAS. PROF.]=$B99,IF(DATOS_[Check Periodo Ref.]="Dentro",DATOS_[TOTAL Retrib Ef],FALSE)))),
0)</f>
        <v>0</v>
      </c>
    </row>
    <row r="102" spans="1:44" ht="14.4" hidden="1" thickBot="1" x14ac:dyDescent="0.3">
      <c r="A102" s="178" t="str">
        <f t="shared" ref="A102" si="119">+A103</f>
        <v>[ocultar]</v>
      </c>
      <c r="B102" s="153" t="s">
        <v>289</v>
      </c>
      <c r="C102" s="154"/>
      <c r="D102" s="155"/>
      <c r="E102" s="156" t="str">
        <f t="shared" ref="E102:AR102" si="120">IFERROR((E103-E104)/E103,"")</f>
        <v/>
      </c>
      <c r="F102" s="157" t="str">
        <f t="shared" si="120"/>
        <v/>
      </c>
      <c r="G102" s="158" t="str">
        <f t="shared" si="120"/>
        <v/>
      </c>
      <c r="H102" s="158" t="str">
        <f t="shared" si="120"/>
        <v/>
      </c>
      <c r="I102" s="158" t="str">
        <f t="shared" si="120"/>
        <v/>
      </c>
      <c r="J102" s="159" t="str">
        <f t="shared" si="120"/>
        <v/>
      </c>
      <c r="K102" s="160" t="str">
        <f t="shared" si="120"/>
        <v/>
      </c>
      <c r="L102" s="160" t="str">
        <f t="shared" si="120"/>
        <v/>
      </c>
      <c r="M102" s="160" t="str">
        <f t="shared" si="120"/>
        <v/>
      </c>
      <c r="N102" s="160" t="str">
        <f t="shared" si="120"/>
        <v/>
      </c>
      <c r="O102" s="160" t="str">
        <f t="shared" si="120"/>
        <v/>
      </c>
      <c r="P102" s="160" t="str">
        <f t="shared" si="120"/>
        <v/>
      </c>
      <c r="Q102" s="160" t="str">
        <f t="shared" si="120"/>
        <v/>
      </c>
      <c r="R102" s="160" t="str">
        <f t="shared" si="120"/>
        <v/>
      </c>
      <c r="S102" s="160" t="str">
        <f t="shared" si="120"/>
        <v/>
      </c>
      <c r="T102" s="160" t="str">
        <f t="shared" si="120"/>
        <v/>
      </c>
      <c r="U102" s="160" t="str">
        <f t="shared" si="120"/>
        <v/>
      </c>
      <c r="V102" s="159" t="str">
        <f t="shared" si="120"/>
        <v/>
      </c>
      <c r="W102" s="159" t="str">
        <f t="shared" si="120"/>
        <v/>
      </c>
      <c r="X102" s="159" t="str">
        <f t="shared" si="120"/>
        <v/>
      </c>
      <c r="Y102" s="159" t="str">
        <f t="shared" si="120"/>
        <v/>
      </c>
      <c r="Z102" s="159" t="str">
        <f t="shared" si="120"/>
        <v/>
      </c>
      <c r="AA102" s="159" t="str">
        <f t="shared" si="120"/>
        <v/>
      </c>
      <c r="AB102" s="159" t="str">
        <f t="shared" si="120"/>
        <v/>
      </c>
      <c r="AC102" s="159" t="str">
        <f t="shared" si="120"/>
        <v/>
      </c>
      <c r="AD102" s="159" t="str">
        <f t="shared" si="120"/>
        <v/>
      </c>
      <c r="AE102" s="159" t="str">
        <f t="shared" si="120"/>
        <v/>
      </c>
      <c r="AF102" s="159" t="str">
        <f t="shared" si="120"/>
        <v/>
      </c>
      <c r="AG102" s="159" t="str">
        <f t="shared" si="120"/>
        <v/>
      </c>
      <c r="AH102" s="159" t="str">
        <f t="shared" si="120"/>
        <v/>
      </c>
      <c r="AI102" s="159" t="str">
        <f t="shared" si="120"/>
        <v/>
      </c>
      <c r="AJ102" s="161" t="str">
        <f t="shared" si="120"/>
        <v/>
      </c>
      <c r="AK102" s="162" t="str">
        <f t="shared" si="120"/>
        <v/>
      </c>
      <c r="AL102" s="163" t="str">
        <f t="shared" si="120"/>
        <v/>
      </c>
      <c r="AM102" s="163" t="str">
        <f t="shared" si="120"/>
        <v/>
      </c>
      <c r="AN102" s="163" t="str">
        <f t="shared" si="120"/>
        <v/>
      </c>
      <c r="AO102" s="163" t="str">
        <f t="shared" si="120"/>
        <v/>
      </c>
      <c r="AP102" s="163" t="str">
        <f t="shared" si="120"/>
        <v/>
      </c>
      <c r="AQ102" s="164" t="str">
        <f t="shared" si="120"/>
        <v/>
      </c>
      <c r="AR102" s="161" t="str">
        <f t="shared" si="120"/>
        <v/>
      </c>
    </row>
    <row r="103" spans="1:44" hidden="1" x14ac:dyDescent="0.25">
      <c r="A103" s="178" t="str">
        <f t="shared" ref="A103" si="121">+IF(C103+C104=0,"[ocultar]","")</f>
        <v>[ocultar]</v>
      </c>
      <c r="B103" s="166" t="s">
        <v>394</v>
      </c>
      <c r="C103" s="167">
        <f t="array" ref="C103">SUM(IF($B103=DATOS_[Sexo],
IF($B102=DATOS_[AGRUP. CLAS. PROF.],
IF("Dentro"=DATOS_[Check Periodo Ref.],
1/(COUNTIFS(DATOS_[Sexo],$B103,DATOS_[AGRUP. CLAS. PROF.],$B102,DATOS_[Check Periodo Ref.],"Dentro",DATOS_[id/cod],DATOS_[id/cod]))))))</f>
        <v>0</v>
      </c>
      <c r="D103" s="168">
        <f>COUNTIFS(DATOS_[AGRUP. CLAS. PROF.],$B102,DATOS_[Sexo],$B103,DATOS_[Check Periodo Ref.],"Dentro")</f>
        <v>0</v>
      </c>
      <c r="E103" s="169">
        <f t="array" ref="E103">IFERROR(
MEDIAN(IF(DATOS_[Sexo]=$B103,IF(DATOS_[AGRUP. CLAS. PROF.]=$B102,IF(DATOS_[Check Periodo Ref.]="Dentro",DATOS_[SALARIO BASE Ef],FALSE)))),
0)</f>
        <v>0</v>
      </c>
      <c r="F103" s="170">
        <f t="array" ref="F103">IFERROR(
MEDIAN((IF(DATOS_[[Sexo]:[Sexo]]=$B103,IF(DATOS_[[AGRUP. CLAS. PROF.]:[AGRUP. CLAS. PROF.]]=$B102,IF(DATOS_[[Check Periodo Ref.]:[Check Periodo Ref.]]="Dentro",DATOS_[Conc.Sal.01]))))),
0)</f>
        <v>0</v>
      </c>
      <c r="G103" s="170">
        <f t="array" ref="G103">IFERROR(
MEDIAN((IF(DATOS_[[Sexo]:[Sexo]]=$B103,IF(DATOS_[[AGRUP. CLAS. PROF.]:[AGRUP. CLAS. PROF.]]=$B102,IF(DATOS_[[Check Periodo Ref.]:[Check Periodo Ref.]]="Dentro",DATOS_[Conc.Sal.02]))))),
0)</f>
        <v>0</v>
      </c>
      <c r="H103" s="170">
        <f t="array" ref="H103">IFERROR(
MEDIAN((IF(DATOS_[[Sexo]:[Sexo]]=$B103,IF(DATOS_[[AGRUP. CLAS. PROF.]:[AGRUP. CLAS. PROF.]]=$B102,IF(DATOS_[[Check Periodo Ref.]:[Check Periodo Ref.]]="Dentro",DATOS_[Conc.Sal.03]))))),
0)</f>
        <v>0</v>
      </c>
      <c r="I103" s="170">
        <f t="array" ref="I103">IFERROR(
MEDIAN((IF(DATOS_[[Sexo]:[Sexo]]=$B103,IF(DATOS_[[AGRUP. CLAS. PROF.]:[AGRUP. CLAS. PROF.]]=$B102,IF(DATOS_[[Check Periodo Ref.]:[Check Periodo Ref.]]="Dentro",DATOS_[Conc.Sal.04]))))),
0)</f>
        <v>0</v>
      </c>
      <c r="J103" s="170">
        <f t="array" ref="J103">IFERROR(
MEDIAN((IF(DATOS_[[Sexo]:[Sexo]]=$B103,IF(DATOS_[[AGRUP. CLAS. PROF.]:[AGRUP. CLAS. PROF.]]=$B102,IF(DATOS_[[Check Periodo Ref.]:[Check Periodo Ref.]]="Dentro",DATOS_[Conc.Sal.05]))))),
0)</f>
        <v>0</v>
      </c>
      <c r="K103" s="170">
        <f t="array" ref="K103">IFERROR(
MEDIAN((IF(DATOS_[[Sexo]:[Sexo]]=$B103,IF(DATOS_[[AGRUP. CLAS. PROF.]:[AGRUP. CLAS. PROF.]]=$B102,IF(DATOS_[[Check Periodo Ref.]:[Check Periodo Ref.]]="Dentro",DATOS_[Conc.Sal.06]))))),
0)</f>
        <v>0</v>
      </c>
      <c r="L103" s="170">
        <f t="array" ref="L103">IFERROR(
MEDIAN((IF(DATOS_[[Sexo]:[Sexo]]=$B103,IF(DATOS_[[AGRUP. CLAS. PROF.]:[AGRUP. CLAS. PROF.]]=$B102,IF(DATOS_[[Check Periodo Ref.]:[Check Periodo Ref.]]="Dentro",DATOS_[Conc.Sal.07]))))),
0)</f>
        <v>0</v>
      </c>
      <c r="M103" s="170">
        <f t="array" ref="M103">IFERROR(
MEDIAN((IF(DATOS_[[Sexo]:[Sexo]]=$B103,IF(DATOS_[[AGRUP. CLAS. PROF.]:[AGRUP. CLAS. PROF.]]=$B102,IF(DATOS_[[Check Periodo Ref.]:[Check Periodo Ref.]]="Dentro",DATOS_[Conc.Sal.08]))))),
0)</f>
        <v>0</v>
      </c>
      <c r="N103" s="170">
        <f t="array" ref="N103">IFERROR(
MEDIAN((IF(DATOS_[[Sexo]:[Sexo]]=$B103,IF(DATOS_[[AGRUP. CLAS. PROF.]:[AGRUP. CLAS. PROF.]]=$B102,IF(DATOS_[[Check Periodo Ref.]:[Check Periodo Ref.]]="Dentro",DATOS_[Conc.Sal.09]))))),
0)</f>
        <v>0</v>
      </c>
      <c r="O103" s="170">
        <f t="array" ref="O103">IFERROR(
MEDIAN((IF(DATOS_[[Sexo]:[Sexo]]=$B103,IF(DATOS_[[AGRUP. CLAS. PROF.]:[AGRUP. CLAS. PROF.]]=$B102,IF(DATOS_[[Check Periodo Ref.]:[Check Periodo Ref.]]="Dentro",DATOS_[Conc.Sal.10]))))),
0)</f>
        <v>0</v>
      </c>
      <c r="P103" s="170">
        <f t="array" ref="P103">IFERROR(
MEDIAN((IF(DATOS_[[Sexo]:[Sexo]]=$B103,IF(DATOS_[[AGRUP. CLAS. PROF.]:[AGRUP. CLAS. PROF.]]=$B102,IF(DATOS_[[Check Periodo Ref.]:[Check Periodo Ref.]]="Dentro",DATOS_[Conc.Sal.11]))))),
0)</f>
        <v>0</v>
      </c>
      <c r="Q103" s="170">
        <f t="array" ref="Q103">IFERROR(
MEDIAN((IF(DATOS_[[Sexo]:[Sexo]]=$B103,IF(DATOS_[[AGRUP. CLAS. PROF.]:[AGRUP. CLAS. PROF.]]=$B102,IF(DATOS_[[Check Periodo Ref.]:[Check Periodo Ref.]]="Dentro",DATOS_[Conc.Sal.12]))))),
0)</f>
        <v>0</v>
      </c>
      <c r="R103" s="170">
        <f t="array" ref="R103">IFERROR(
MEDIAN((IF(DATOS_[[Sexo]:[Sexo]]=$B103,IF(DATOS_[[AGRUP. CLAS. PROF.]:[AGRUP. CLAS. PROF.]]=$B102,IF(DATOS_[[Check Periodo Ref.]:[Check Periodo Ref.]]="Dentro",DATOS_[Conc.Sal.13]))))),
0)</f>
        <v>0</v>
      </c>
      <c r="S103" s="170">
        <f t="array" ref="S103">IFERROR(
MEDIAN((IF(DATOS_[[Sexo]:[Sexo]]=$B103,IF(DATOS_[[AGRUP. CLAS. PROF.]:[AGRUP. CLAS. PROF.]]=$B102,IF(DATOS_[[Check Periodo Ref.]:[Check Periodo Ref.]]="Dentro",DATOS_[Conc.Sal.14]))))),
0)</f>
        <v>0</v>
      </c>
      <c r="T103" s="170">
        <f t="array" ref="T103">IFERROR(
MEDIAN((IF(DATOS_[[Sexo]:[Sexo]]=$B103,IF(DATOS_[[AGRUP. CLAS. PROF.]:[AGRUP. CLAS. PROF.]]=$B102,IF(DATOS_[[Check Periodo Ref.]:[Check Periodo Ref.]]="Dentro",DATOS_[Conc.Sal.15]))))),
0)</f>
        <v>0</v>
      </c>
      <c r="U103" s="170">
        <f t="array" ref="U103">IFERROR(
MEDIAN((IF(DATOS_[[Sexo]:[Sexo]]=$B103,IF(DATOS_[[AGRUP. CLAS. PROF.]:[AGRUP. CLAS. PROF.]]=$B102,IF(DATOS_[[Check Periodo Ref.]:[Check Periodo Ref.]]="Dentro",DATOS_[Conc.Sal.16]))))),
0)</f>
        <v>0</v>
      </c>
      <c r="V103" s="170">
        <f t="array" ref="V103">IFERROR(
MEDIAN((IF(DATOS_[[Sexo]:[Sexo]]=$B103,IF(DATOS_[[AGRUP. CLAS. PROF.]:[AGRUP. CLAS. PROF.]]=$B102,IF(DATOS_[[Check Periodo Ref.]:[Check Periodo Ref.]]="Dentro",DATOS_[Conc.Sal.17]))))),
0)</f>
        <v>0</v>
      </c>
      <c r="W103" s="170">
        <f t="array" ref="W103">IFERROR(
MEDIAN((IF(DATOS_[[Sexo]:[Sexo]]=$B103,IF(DATOS_[[AGRUP. CLAS. PROF.]:[AGRUP. CLAS. PROF.]]=$B102,IF(DATOS_[[Check Periodo Ref.]:[Check Periodo Ref.]]="Dentro",DATOS_[Conc.Sal.18]))))),
0)</f>
        <v>0</v>
      </c>
      <c r="X103" s="170">
        <f t="array" ref="X103">IFERROR(
MEDIAN((IF(DATOS_[[Sexo]:[Sexo]]=$B103,IF(DATOS_[[AGRUP. CLAS. PROF.]:[AGRUP. CLAS. PROF.]]=$B102,IF(DATOS_[[Check Periodo Ref.]:[Check Periodo Ref.]]="Dentro",DATOS_[Conc.Sal.19]))))),
0)</f>
        <v>0</v>
      </c>
      <c r="Y103" s="170">
        <f t="array" ref="Y103">IFERROR(
MEDIAN((IF(DATOS_[[Sexo]:[Sexo]]=$B103,IF(DATOS_[[AGRUP. CLAS. PROF.]:[AGRUP. CLAS. PROF.]]=$B102,IF(DATOS_[[Check Periodo Ref.]:[Check Periodo Ref.]]="Dentro",DATOS_[Conc.Sal.20]))))),
0)</f>
        <v>0</v>
      </c>
      <c r="Z103" s="170">
        <f t="array" ref="Z103">IFERROR(
MEDIAN((IF(DATOS_[[Sexo]:[Sexo]]=$B103,IF(DATOS_[[AGRUP. CLAS. PROF.]:[AGRUP. CLAS. PROF.]]=$B102,IF(DATOS_[[Check Periodo Ref.]:[Check Periodo Ref.]]="Dentro",DATOS_[Conc.Sal.21]))))),
0)</f>
        <v>0</v>
      </c>
      <c r="AA103" s="170">
        <f t="array" ref="AA103">IFERROR(
MEDIAN((IF(DATOS_[[Sexo]:[Sexo]]=$B103,IF(DATOS_[[AGRUP. CLAS. PROF.]:[AGRUP. CLAS. PROF.]]=$B102,IF(DATOS_[[Check Periodo Ref.]:[Check Periodo Ref.]]="Dentro",DATOS_[Conc.Sal.22]))))),
0)</f>
        <v>0</v>
      </c>
      <c r="AB103" s="170">
        <f t="array" ref="AB103">IFERROR(
MEDIAN((IF(DATOS_[[Sexo]:[Sexo]]=$B103,IF(DATOS_[[AGRUP. CLAS. PROF.]:[AGRUP. CLAS. PROF.]]=$B102,IF(DATOS_[[Check Periodo Ref.]:[Check Periodo Ref.]]="Dentro",DATOS_[Conc.Sal.23]))))),
0)</f>
        <v>0</v>
      </c>
      <c r="AC103" s="170">
        <f t="array" ref="AC103">IFERROR(
MEDIAN((IF(DATOS_[[Sexo]:[Sexo]]=$B103,IF(DATOS_[[AGRUP. CLAS. PROF.]:[AGRUP. CLAS. PROF.]]=$B102,IF(DATOS_[[Check Periodo Ref.]:[Check Periodo Ref.]]="Dentro",DATOS_[Conc.Sal.24]))))),
0)</f>
        <v>0</v>
      </c>
      <c r="AD103" s="170">
        <f t="array" ref="AD103">IFERROR(
MEDIAN((IF(DATOS_[[Sexo]:[Sexo]]=$B103,IF(DATOS_[[AGRUP. CLAS. PROF.]:[AGRUP. CLAS. PROF.]]=$B102,IF(DATOS_[[Check Periodo Ref.]:[Check Periodo Ref.]]="Dentro",DATOS_[Conc.Sal.25]))))),
0)</f>
        <v>0</v>
      </c>
      <c r="AE103" s="170">
        <f t="array" ref="AE103">IFERROR(
MEDIAN((IF(DATOS_[[Sexo]:[Sexo]]=$B103,IF(DATOS_[[AGRUP. CLAS. PROF.]:[AGRUP. CLAS. PROF.]]=$B102,IF(DATOS_[[Check Periodo Ref.]:[Check Periodo Ref.]]="Dentro",DATOS_[Conc.Sal.26]))))),
0)</f>
        <v>0</v>
      </c>
      <c r="AF103" s="170">
        <f t="array" ref="AF103">IFERROR(
MEDIAN((IF(DATOS_[[Sexo]:[Sexo]]=$B103,IF(DATOS_[[AGRUP. CLAS. PROF.]:[AGRUP. CLAS. PROF.]]=$B102,IF(DATOS_[[Check Periodo Ref.]:[Check Periodo Ref.]]="Dentro",DATOS_[Conc.Sal.27]))))),
0)</f>
        <v>0</v>
      </c>
      <c r="AG103" s="170">
        <f t="array" ref="AG103">IFERROR(
MEDIAN((IF(DATOS_[[Sexo]:[Sexo]]=$B103,IF(DATOS_[[AGRUP. CLAS. PROF.]:[AGRUP. CLAS. PROF.]]=$B102,IF(DATOS_[[Check Periodo Ref.]:[Check Periodo Ref.]]="Dentro",DATOS_[Conc.Sal.28]))))),
0)</f>
        <v>0</v>
      </c>
      <c r="AH103" s="170">
        <f t="array" ref="AH103">IFERROR(
MEDIAN((IF(DATOS_[[Sexo]:[Sexo]]=$B103,IF(DATOS_[[AGRUP. CLAS. PROF.]:[AGRUP. CLAS. PROF.]]=$B102,IF(DATOS_[[Check Periodo Ref.]:[Check Periodo Ref.]]="Dentro",DATOS_[Conc.Sal.29]))))),
0)</f>
        <v>0</v>
      </c>
      <c r="AI103" s="170">
        <f t="array" ref="AI103">IFERROR(
MEDIAN((IF(DATOS_[[Sexo]:[Sexo]]=$B103,IF(DATOS_[[AGRUP. CLAS. PROF.]:[AGRUP. CLAS. PROF.]]=$B102,IF(DATOS_[[Check Periodo Ref.]:[Check Periodo Ref.]]="Dentro",DATOS_[Conc.Sal.30]))))),
0)</f>
        <v>0</v>
      </c>
      <c r="AJ103" s="171">
        <f t="array" ref="AJ103">IFERROR(
MEDIAN(IF(DATOS_[Sexo]=$B103,IF(DATOS_[AGRUP. CLAS. PROF.]=$B102,IF(DATOS_[Check Periodo Ref.]="Dentro",DATOS_[Tot COMPL.SAL Ef],FALSE)))),
0)</f>
        <v>0</v>
      </c>
      <c r="AK103" s="172">
        <f t="array" ref="AK103">IFERROR(
MEDIAN(IF(DATOS_[Sexo]=$B103,IF(DATOS_[AGRUP. CLAS. PROF.]=$B102,IF(DATOS_[Check Periodo Ref.]="Dentro",DATOS_[TOTAL SALARIO Ef],FALSE)))),
0)</f>
        <v>0</v>
      </c>
      <c r="AL103" s="173">
        <f t="array" ref="AL103">IFERROR(
MEDIAN((IF(DATOS_[[Sexo]:[Sexo]]=$B103,IF(DATOS_[[AGRUP. CLAS. PROF.]:[AGRUP. CLAS. PROF.]]=$B102,IF(DATOS_[[Check Periodo Ref.]:[Check Periodo Ref.]]="Dentro",DATOS_[C.Extra.01]))))),
0)</f>
        <v>0</v>
      </c>
      <c r="AM103" s="173">
        <f t="array" ref="AM103">IFERROR(
MEDIAN((IF(DATOS_[[Sexo]:[Sexo]]=$B103,IF(DATOS_[[AGRUP. CLAS. PROF.]:[AGRUP. CLAS. PROF.]]=$B102,IF(DATOS_[[Check Periodo Ref.]:[Check Periodo Ref.]]="Dentro",DATOS_[C.Extra.06]))))),
0)</f>
        <v>0</v>
      </c>
      <c r="AN103" s="173">
        <f t="array" ref="AN103">IFERROR(
MEDIAN((IF(DATOS_[[Sexo]:[Sexo]]=$B103,IF(DATOS_[[AGRUP. CLAS. PROF.]:[AGRUP. CLAS. PROF.]]=$B102,IF(DATOS_[[Check Periodo Ref.]:[Check Periodo Ref.]]="Dentro",DATOS_[C.Extra.07]))))),
0)</f>
        <v>0</v>
      </c>
      <c r="AO103" s="173">
        <f t="array" ref="AO103">IFERROR(
MEDIAN((IF(DATOS_[[Sexo]:[Sexo]]=$B103,IF(DATOS_[[AGRUP. CLAS. PROF.]:[AGRUP. CLAS. PROF.]]=$B102,IF(DATOS_[[Check Periodo Ref.]:[Check Periodo Ref.]]="Dentro",DATOS_[C.Extra.08]))))),
0)</f>
        <v>0</v>
      </c>
      <c r="AP103" s="173">
        <f t="array" ref="AP103">IFERROR(
MEDIAN((IF(DATOS_[[Sexo]:[Sexo]]=$B103,IF(DATOS_[[AGRUP. CLAS. PROF.]:[AGRUP. CLAS. PROF.]]=$B102,IF(DATOS_[[Check Periodo Ref.]:[Check Periodo Ref.]]="Dentro",DATOS_[C.Extra.11]))))),
0)</f>
        <v>0</v>
      </c>
      <c r="AQ103" s="174">
        <f t="array" ref="AQ103">IFERROR(
MEDIAN(IF(DATOS_[Sexo]=$B103,IF(DATOS_[AGRUP. CLAS. PROF.]=$B102,IF(DATOS_[Check Periodo Ref.]="Dentro",DATOS_[Tot Extrasalarial Ef],FALSE)))),
0)</f>
        <v>0</v>
      </c>
      <c r="AR103" s="171">
        <f t="array" ref="AR103">IFERROR(
MEDIAN(IF(DATOS_[Sexo]=$B103,IF(DATOS_[AGRUP. CLAS. PROF.]=$B102,IF(DATOS_[Check Periodo Ref.]="Dentro",DATOS_[TOTAL Retrib Ef],FALSE)))),
0)</f>
        <v>0</v>
      </c>
    </row>
    <row r="104" spans="1:44" hidden="1" x14ac:dyDescent="0.25">
      <c r="A104" s="178" t="str">
        <f t="shared" ref="A104" si="122">+A103</f>
        <v>[ocultar]</v>
      </c>
      <c r="B104" s="166" t="s">
        <v>521</v>
      </c>
      <c r="C104" s="167">
        <f t="array" ref="C104">SUM(IF($B104=DATOS_[Sexo],
IF($B102=DATOS_[AGRUP. CLAS. PROF.],
IF("Dentro"=DATOS_[Check Periodo Ref.],
1/(COUNTIFS(DATOS_[Sexo],$B104,DATOS_[AGRUP. CLAS. PROF.],$B102,DATOS_[Check Periodo Ref.],"Dentro",DATOS_[id/cod],DATOS_[id/cod]))))))</f>
        <v>0</v>
      </c>
      <c r="D104" s="168">
        <f>COUNTIFS(DATOS_[AGRUP. CLAS. PROF.],$B102,DATOS_[Sexo],$B104,DATOS_[Check Periodo Ref.],"Dentro")</f>
        <v>0</v>
      </c>
      <c r="E104" s="169">
        <f t="array" ref="E104">IFERROR(
MEDIAN(IF(DATOS_[Sexo]=$B104,IF(DATOS_[AGRUP. CLAS. PROF.]=$B102,IF(DATOS_[Check Periodo Ref.]="Dentro",DATOS_[SALARIO BASE Ef],FALSE)))),
0)</f>
        <v>0</v>
      </c>
      <c r="F104" s="170">
        <f t="array" ref="F104">IFERROR(
MEDIAN((IF(DATOS_[[Sexo]:[Sexo]]=$B104,IF(DATOS_[[AGRUP. CLAS. PROF.]:[AGRUP. CLAS. PROF.]]=$B102,IF(DATOS_[[Check Periodo Ref.]:[Check Periodo Ref.]]="Dentro",DATOS_[Conc.Sal.01]))))),
0)</f>
        <v>0</v>
      </c>
      <c r="G104" s="170">
        <f t="array" ref="G104">IFERROR(
MEDIAN((IF(DATOS_[[Sexo]:[Sexo]]=$B104,IF(DATOS_[[AGRUP. CLAS. PROF.]:[AGRUP. CLAS. PROF.]]=$B102,IF(DATOS_[[Check Periodo Ref.]:[Check Periodo Ref.]]="Dentro",DATOS_[Conc.Sal.02]))))),
0)</f>
        <v>0</v>
      </c>
      <c r="H104" s="170">
        <f t="array" ref="H104">IFERROR(
MEDIAN((IF(DATOS_[[Sexo]:[Sexo]]=$B104,IF(DATOS_[[AGRUP. CLAS. PROF.]:[AGRUP. CLAS. PROF.]]=$B102,IF(DATOS_[[Check Periodo Ref.]:[Check Periodo Ref.]]="Dentro",DATOS_[Conc.Sal.03]))))),
0)</f>
        <v>0</v>
      </c>
      <c r="I104" s="170">
        <f t="array" ref="I104">IFERROR(
MEDIAN((IF(DATOS_[[Sexo]:[Sexo]]=$B104,IF(DATOS_[[AGRUP. CLAS. PROF.]:[AGRUP. CLAS. PROF.]]=$B102,IF(DATOS_[[Check Periodo Ref.]:[Check Periodo Ref.]]="Dentro",DATOS_[Conc.Sal.04]))))),
0)</f>
        <v>0</v>
      </c>
      <c r="J104" s="170">
        <f t="array" ref="J104">IFERROR(
MEDIAN((IF(DATOS_[[Sexo]:[Sexo]]=$B104,IF(DATOS_[[AGRUP. CLAS. PROF.]:[AGRUP. CLAS. PROF.]]=$B102,IF(DATOS_[[Check Periodo Ref.]:[Check Periodo Ref.]]="Dentro",DATOS_[Conc.Sal.05]))))),
0)</f>
        <v>0</v>
      </c>
      <c r="K104" s="170">
        <f t="array" ref="K104">IFERROR(
MEDIAN((IF(DATOS_[[Sexo]:[Sexo]]=$B104,IF(DATOS_[[AGRUP. CLAS. PROF.]:[AGRUP. CLAS. PROF.]]=$B102,IF(DATOS_[[Check Periodo Ref.]:[Check Periodo Ref.]]="Dentro",DATOS_[Conc.Sal.06]))))),
0)</f>
        <v>0</v>
      </c>
      <c r="L104" s="170">
        <f t="array" ref="L104">IFERROR(
MEDIAN((IF(DATOS_[[Sexo]:[Sexo]]=$B104,IF(DATOS_[[AGRUP. CLAS. PROF.]:[AGRUP. CLAS. PROF.]]=$B102,IF(DATOS_[[Check Periodo Ref.]:[Check Periodo Ref.]]="Dentro",DATOS_[Conc.Sal.07]))))),
0)</f>
        <v>0</v>
      </c>
      <c r="M104" s="170">
        <f t="array" ref="M104">IFERROR(
MEDIAN((IF(DATOS_[[Sexo]:[Sexo]]=$B104,IF(DATOS_[[AGRUP. CLAS. PROF.]:[AGRUP. CLAS. PROF.]]=$B102,IF(DATOS_[[Check Periodo Ref.]:[Check Periodo Ref.]]="Dentro",DATOS_[Conc.Sal.08]))))),
0)</f>
        <v>0</v>
      </c>
      <c r="N104" s="170">
        <f t="array" ref="N104">IFERROR(
MEDIAN((IF(DATOS_[[Sexo]:[Sexo]]=$B104,IF(DATOS_[[AGRUP. CLAS. PROF.]:[AGRUP. CLAS. PROF.]]=$B102,IF(DATOS_[[Check Periodo Ref.]:[Check Periodo Ref.]]="Dentro",DATOS_[Conc.Sal.09]))))),
0)</f>
        <v>0</v>
      </c>
      <c r="O104" s="170">
        <f t="array" ref="O104">IFERROR(
MEDIAN((IF(DATOS_[[Sexo]:[Sexo]]=$B104,IF(DATOS_[[AGRUP. CLAS. PROF.]:[AGRUP. CLAS. PROF.]]=$B102,IF(DATOS_[[Check Periodo Ref.]:[Check Periodo Ref.]]="Dentro",DATOS_[Conc.Sal.10]))))),
0)</f>
        <v>0</v>
      </c>
      <c r="P104" s="170">
        <f t="array" ref="P104">IFERROR(
MEDIAN((IF(DATOS_[[Sexo]:[Sexo]]=$B104,IF(DATOS_[[AGRUP. CLAS. PROF.]:[AGRUP. CLAS. PROF.]]=$B102,IF(DATOS_[[Check Periodo Ref.]:[Check Periodo Ref.]]="Dentro",DATOS_[Conc.Sal.11]))))),
0)</f>
        <v>0</v>
      </c>
      <c r="Q104" s="170">
        <f t="array" ref="Q104">IFERROR(
MEDIAN((IF(DATOS_[[Sexo]:[Sexo]]=$B104,IF(DATOS_[[AGRUP. CLAS. PROF.]:[AGRUP. CLAS. PROF.]]=$B102,IF(DATOS_[[Check Periodo Ref.]:[Check Periodo Ref.]]="Dentro",DATOS_[Conc.Sal.12]))))),
0)</f>
        <v>0</v>
      </c>
      <c r="R104" s="170">
        <f t="array" ref="R104">IFERROR(
MEDIAN((IF(DATOS_[[Sexo]:[Sexo]]=$B104,IF(DATOS_[[AGRUP. CLAS. PROF.]:[AGRUP. CLAS. PROF.]]=$B102,IF(DATOS_[[Check Periodo Ref.]:[Check Periodo Ref.]]="Dentro",DATOS_[Conc.Sal.13]))))),
0)</f>
        <v>0</v>
      </c>
      <c r="S104" s="170">
        <f t="array" ref="S104">IFERROR(
MEDIAN((IF(DATOS_[[Sexo]:[Sexo]]=$B104,IF(DATOS_[[AGRUP. CLAS. PROF.]:[AGRUP. CLAS. PROF.]]=$B102,IF(DATOS_[[Check Periodo Ref.]:[Check Periodo Ref.]]="Dentro",DATOS_[Conc.Sal.14]))))),
0)</f>
        <v>0</v>
      </c>
      <c r="T104" s="170">
        <f t="array" ref="T104">IFERROR(
MEDIAN((IF(DATOS_[[Sexo]:[Sexo]]=$B104,IF(DATOS_[[AGRUP. CLAS. PROF.]:[AGRUP. CLAS. PROF.]]=$B102,IF(DATOS_[[Check Periodo Ref.]:[Check Periodo Ref.]]="Dentro",DATOS_[Conc.Sal.15]))))),
0)</f>
        <v>0</v>
      </c>
      <c r="U104" s="170">
        <f t="array" ref="U104">IFERROR(
MEDIAN((IF(DATOS_[[Sexo]:[Sexo]]=$B104,IF(DATOS_[[AGRUP. CLAS. PROF.]:[AGRUP. CLAS. PROF.]]=$B102,IF(DATOS_[[Check Periodo Ref.]:[Check Periodo Ref.]]="Dentro",DATOS_[Conc.Sal.16]))))),
0)</f>
        <v>0</v>
      </c>
      <c r="V104" s="170">
        <f t="array" ref="V104">IFERROR(
MEDIAN((IF(DATOS_[[Sexo]:[Sexo]]=$B104,IF(DATOS_[[AGRUP. CLAS. PROF.]:[AGRUP. CLAS. PROF.]]=$B102,IF(DATOS_[[Check Periodo Ref.]:[Check Periodo Ref.]]="Dentro",DATOS_[Conc.Sal.17]))))),
0)</f>
        <v>0</v>
      </c>
      <c r="W104" s="170">
        <f t="array" ref="W104">IFERROR(
MEDIAN((IF(DATOS_[[Sexo]:[Sexo]]=$B104,IF(DATOS_[[AGRUP. CLAS. PROF.]:[AGRUP. CLAS. PROF.]]=$B102,IF(DATOS_[[Check Periodo Ref.]:[Check Periodo Ref.]]="Dentro",DATOS_[Conc.Sal.18]))))),
0)</f>
        <v>0</v>
      </c>
      <c r="X104" s="170">
        <f t="array" ref="X104">IFERROR(
MEDIAN((IF(DATOS_[[Sexo]:[Sexo]]=$B104,IF(DATOS_[[AGRUP. CLAS. PROF.]:[AGRUP. CLAS. PROF.]]=$B102,IF(DATOS_[[Check Periodo Ref.]:[Check Periodo Ref.]]="Dentro",DATOS_[Conc.Sal.19]))))),
0)</f>
        <v>0</v>
      </c>
      <c r="Y104" s="170">
        <f t="array" ref="Y104">IFERROR(
MEDIAN((IF(DATOS_[[Sexo]:[Sexo]]=$B104,IF(DATOS_[[AGRUP. CLAS. PROF.]:[AGRUP. CLAS. PROF.]]=$B102,IF(DATOS_[[Check Periodo Ref.]:[Check Periodo Ref.]]="Dentro",DATOS_[Conc.Sal.20]))))),
0)</f>
        <v>0</v>
      </c>
      <c r="Z104" s="170">
        <f t="array" ref="Z104">IFERROR(
MEDIAN((IF(DATOS_[[Sexo]:[Sexo]]=$B104,IF(DATOS_[[AGRUP. CLAS. PROF.]:[AGRUP. CLAS. PROF.]]=$B102,IF(DATOS_[[Check Periodo Ref.]:[Check Periodo Ref.]]="Dentro",DATOS_[Conc.Sal.21]))))),
0)</f>
        <v>0</v>
      </c>
      <c r="AA104" s="170">
        <f t="array" ref="AA104">IFERROR(
MEDIAN((IF(DATOS_[[Sexo]:[Sexo]]=$B104,IF(DATOS_[[AGRUP. CLAS. PROF.]:[AGRUP. CLAS. PROF.]]=$B102,IF(DATOS_[[Check Periodo Ref.]:[Check Periodo Ref.]]="Dentro",DATOS_[Conc.Sal.22]))))),
0)</f>
        <v>0</v>
      </c>
      <c r="AB104" s="170">
        <f t="array" ref="AB104">IFERROR(
MEDIAN((IF(DATOS_[[Sexo]:[Sexo]]=$B104,IF(DATOS_[[AGRUP. CLAS. PROF.]:[AGRUP. CLAS. PROF.]]=$B102,IF(DATOS_[[Check Periodo Ref.]:[Check Periodo Ref.]]="Dentro",DATOS_[Conc.Sal.23]))))),
0)</f>
        <v>0</v>
      </c>
      <c r="AC104" s="170">
        <f t="array" ref="AC104">IFERROR(
MEDIAN((IF(DATOS_[[Sexo]:[Sexo]]=$B104,IF(DATOS_[[AGRUP. CLAS. PROF.]:[AGRUP. CLAS. PROF.]]=$B102,IF(DATOS_[[Check Periodo Ref.]:[Check Periodo Ref.]]="Dentro",DATOS_[Conc.Sal.24]))))),
0)</f>
        <v>0</v>
      </c>
      <c r="AD104" s="170">
        <f t="array" ref="AD104">IFERROR(
MEDIAN((IF(DATOS_[[Sexo]:[Sexo]]=$B104,IF(DATOS_[[AGRUP. CLAS. PROF.]:[AGRUP. CLAS. PROF.]]=$B102,IF(DATOS_[[Check Periodo Ref.]:[Check Periodo Ref.]]="Dentro",DATOS_[Conc.Sal.25]))))),
0)</f>
        <v>0</v>
      </c>
      <c r="AE104" s="170">
        <f t="array" ref="AE104">IFERROR(
MEDIAN((IF(DATOS_[[Sexo]:[Sexo]]=$B104,IF(DATOS_[[AGRUP. CLAS. PROF.]:[AGRUP. CLAS. PROF.]]=$B102,IF(DATOS_[[Check Periodo Ref.]:[Check Periodo Ref.]]="Dentro",DATOS_[Conc.Sal.26]))))),
0)</f>
        <v>0</v>
      </c>
      <c r="AF104" s="170">
        <f t="array" ref="AF104">IFERROR(
MEDIAN((IF(DATOS_[[Sexo]:[Sexo]]=$B104,IF(DATOS_[[AGRUP. CLAS. PROF.]:[AGRUP. CLAS. PROF.]]=$B102,IF(DATOS_[[Check Periodo Ref.]:[Check Periodo Ref.]]="Dentro",DATOS_[Conc.Sal.27]))))),
0)</f>
        <v>0</v>
      </c>
      <c r="AG104" s="170">
        <f t="array" ref="AG104">IFERROR(
MEDIAN((IF(DATOS_[[Sexo]:[Sexo]]=$B104,IF(DATOS_[[AGRUP. CLAS. PROF.]:[AGRUP. CLAS. PROF.]]=$B102,IF(DATOS_[[Check Periodo Ref.]:[Check Periodo Ref.]]="Dentro",DATOS_[Conc.Sal.28]))))),
0)</f>
        <v>0</v>
      </c>
      <c r="AH104" s="170">
        <f t="array" ref="AH104">IFERROR(
MEDIAN((IF(DATOS_[[Sexo]:[Sexo]]=$B104,IF(DATOS_[[AGRUP. CLAS. PROF.]:[AGRUP. CLAS. PROF.]]=$B102,IF(DATOS_[[Check Periodo Ref.]:[Check Periodo Ref.]]="Dentro",DATOS_[Conc.Sal.29]))))),
0)</f>
        <v>0</v>
      </c>
      <c r="AI104" s="170">
        <f t="array" ref="AI104">IFERROR(
MEDIAN((IF(DATOS_[[Sexo]:[Sexo]]=$B104,IF(DATOS_[[AGRUP. CLAS. PROF.]:[AGRUP. CLAS. PROF.]]=$B102,IF(DATOS_[[Check Periodo Ref.]:[Check Periodo Ref.]]="Dentro",DATOS_[Conc.Sal.30]))))),
0)</f>
        <v>0</v>
      </c>
      <c r="AJ104" s="171">
        <f t="array" ref="AJ104">IFERROR(
MEDIAN(IF(DATOS_[Sexo]=$B104,IF(DATOS_[AGRUP. CLAS. PROF.]=$B102,IF(DATOS_[Check Periodo Ref.]="Dentro",DATOS_[Tot COMPL.SAL Ef],FALSE)))),
0)</f>
        <v>0</v>
      </c>
      <c r="AK104" s="172">
        <f t="array" ref="AK104">IFERROR(
MEDIAN(IF(DATOS_[Sexo]=$B104,IF(DATOS_[AGRUP. CLAS. PROF.]=$B102,IF(DATOS_[Check Periodo Ref.]="Dentro",DATOS_[TOTAL SALARIO Ef],FALSE)))),
0)</f>
        <v>0</v>
      </c>
      <c r="AL104" s="173">
        <f t="array" ref="AL104">IFERROR(
MEDIAN((IF(DATOS_[[Sexo]:[Sexo]]=$B104,IF(DATOS_[[AGRUP. CLAS. PROF.]:[AGRUP. CLAS. PROF.]]=$B102,IF(DATOS_[[Check Periodo Ref.]:[Check Periodo Ref.]]="Dentro",DATOS_[C.Extra.01]))))),
0)</f>
        <v>0</v>
      </c>
      <c r="AM104" s="173">
        <f t="array" ref="AM104">IFERROR(
MEDIAN((IF(DATOS_[[Sexo]:[Sexo]]=$B104,IF(DATOS_[[AGRUP. CLAS. PROF.]:[AGRUP. CLAS. PROF.]]=$B102,IF(DATOS_[[Check Periodo Ref.]:[Check Periodo Ref.]]="Dentro",DATOS_[C.Extra.06]))))),
0)</f>
        <v>0</v>
      </c>
      <c r="AN104" s="173">
        <f t="array" ref="AN104">IFERROR(
MEDIAN((IF(DATOS_[[Sexo]:[Sexo]]=$B104,IF(DATOS_[[AGRUP. CLAS. PROF.]:[AGRUP. CLAS. PROF.]]=$B102,IF(DATOS_[[Check Periodo Ref.]:[Check Periodo Ref.]]="Dentro",DATOS_[C.Extra.07]))))),
0)</f>
        <v>0</v>
      </c>
      <c r="AO104" s="173">
        <f t="array" ref="AO104">IFERROR(
MEDIAN((IF(DATOS_[[Sexo]:[Sexo]]=$B104,IF(DATOS_[[AGRUP. CLAS. PROF.]:[AGRUP. CLAS. PROF.]]=$B102,IF(DATOS_[[Check Periodo Ref.]:[Check Periodo Ref.]]="Dentro",DATOS_[C.Extra.08]))))),
0)</f>
        <v>0</v>
      </c>
      <c r="AP104" s="173">
        <f t="array" ref="AP104">IFERROR(
MEDIAN((IF(DATOS_[[Sexo]:[Sexo]]=$B104,IF(DATOS_[[AGRUP. CLAS. PROF.]:[AGRUP. CLAS. PROF.]]=$B102,IF(DATOS_[[Check Periodo Ref.]:[Check Periodo Ref.]]="Dentro",DATOS_[C.Extra.11]))))),
0)</f>
        <v>0</v>
      </c>
      <c r="AQ104" s="174">
        <f t="array" ref="AQ104">IFERROR(
MEDIAN(IF(DATOS_[Sexo]=$B104,IF(DATOS_[AGRUP. CLAS. PROF.]=$B102,IF(DATOS_[Check Periodo Ref.]="Dentro",DATOS_[Tot Extrasalarial Ef],FALSE)))),
0)</f>
        <v>0</v>
      </c>
      <c r="AR104" s="171">
        <f t="array" ref="AR104">IFERROR(
MEDIAN(IF(DATOS_[Sexo]=$B104,IF(DATOS_[AGRUP. CLAS. PROF.]=$B102,IF(DATOS_[Check Periodo Ref.]="Dentro",DATOS_[TOTAL Retrib Ef],FALSE)))),
0)</f>
        <v>0</v>
      </c>
    </row>
  </sheetData>
  <dataConsolidate/>
  <pageMargins left="0.25" right="0.25" top="0.75" bottom="0.75" header="0.3" footer="0.3"/>
  <pageSetup paperSize="9" scale="85" fitToHeight="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tabColor rgb="FFFFCC99"/>
    <pageSetUpPr fitToPage="1"/>
  </sheetPr>
  <dimension ref="A1:AV116"/>
  <sheetViews>
    <sheetView showGridLines="0" zoomScale="80" zoomScaleNormal="80" workbookViewId="0">
      <selection activeCell="M117" sqref="M117"/>
    </sheetView>
  </sheetViews>
  <sheetFormatPr baseColWidth="10" defaultColWidth="8.44140625" defaultRowHeight="13.8" outlineLevelCol="1" x14ac:dyDescent="0.25"/>
  <cols>
    <col min="1" max="1" width="8.44140625" style="133"/>
    <col min="2" max="2" width="10.33203125" style="133" customWidth="1"/>
    <col min="3" max="3" width="8.44140625" style="133"/>
    <col min="4" max="4" width="10.44140625" style="133" customWidth="1"/>
    <col min="5" max="8" width="10.44140625" style="133" hidden="1" customWidth="1"/>
    <col min="9" max="9" width="10.44140625" style="133" customWidth="1"/>
    <col min="10" max="19" width="8.6640625" style="133" customWidth="1"/>
    <col min="20" max="31" width="8.6640625" style="133" customWidth="1" outlineLevel="1"/>
    <col min="32" max="39" width="8.6640625" style="133" hidden="1" customWidth="1" outlineLevel="1"/>
    <col min="40" max="40" width="11.6640625" style="133" customWidth="1"/>
    <col min="41" max="41" width="10.44140625" style="133" customWidth="1"/>
    <col min="42" max="43" width="8.6640625" style="133" customWidth="1"/>
    <col min="44" max="46" width="8.6640625" style="133" hidden="1" customWidth="1"/>
    <col min="47" max="47" width="13.33203125" style="133" customWidth="1"/>
    <col min="48" max="48" width="10.44140625" style="133" customWidth="1"/>
    <col min="49" max="16384" width="8.44140625" style="133"/>
  </cols>
  <sheetData>
    <row r="1" spans="1:48" ht="42.6" customHeight="1" x14ac:dyDescent="0.25">
      <c r="I1" s="254" t="s">
        <v>620</v>
      </c>
    </row>
    <row r="2" spans="1:48" ht="20.100000000000001" hidden="1" customHeight="1" x14ac:dyDescent="0.25">
      <c r="K2" s="133" t="str">
        <f>+IF(K8="[ocultar]",K8,"")</f>
        <v/>
      </c>
      <c r="L2" s="133" t="str">
        <f t="shared" ref="L2:AT2" si="0">+IF(L8="[ocultar]",L8,"")</f>
        <v/>
      </c>
      <c r="M2" s="133" t="str">
        <f t="shared" si="0"/>
        <v/>
      </c>
      <c r="N2" s="133" t="str">
        <f t="shared" si="0"/>
        <v/>
      </c>
      <c r="O2" s="133" t="str">
        <f t="shared" si="0"/>
        <v/>
      </c>
      <c r="P2" s="133" t="str">
        <f t="shared" si="0"/>
        <v/>
      </c>
      <c r="Q2" s="133" t="str">
        <f t="shared" si="0"/>
        <v/>
      </c>
      <c r="R2" s="133" t="str">
        <f t="shared" si="0"/>
        <v/>
      </c>
      <c r="S2" s="133" t="str">
        <f t="shared" si="0"/>
        <v/>
      </c>
      <c r="T2" s="133" t="str">
        <f t="shared" si="0"/>
        <v/>
      </c>
      <c r="U2" s="133" t="str">
        <f t="shared" si="0"/>
        <v/>
      </c>
      <c r="V2" s="133" t="str">
        <f t="shared" si="0"/>
        <v/>
      </c>
      <c r="W2" s="133" t="str">
        <f t="shared" si="0"/>
        <v/>
      </c>
      <c r="X2" s="133" t="str">
        <f t="shared" si="0"/>
        <v/>
      </c>
      <c r="Y2" s="133" t="str">
        <f t="shared" si="0"/>
        <v/>
      </c>
      <c r="Z2" s="133" t="str">
        <f t="shared" si="0"/>
        <v/>
      </c>
      <c r="AA2" s="133" t="str">
        <f t="shared" si="0"/>
        <v/>
      </c>
      <c r="AB2" s="133" t="str">
        <f t="shared" si="0"/>
        <v/>
      </c>
      <c r="AC2" s="133" t="str">
        <f t="shared" si="0"/>
        <v/>
      </c>
      <c r="AD2" s="133" t="str">
        <f t="shared" si="0"/>
        <v/>
      </c>
      <c r="AE2" s="133" t="str">
        <f t="shared" si="0"/>
        <v>[ocultar]</v>
      </c>
      <c r="AF2" s="133" t="str">
        <f t="shared" si="0"/>
        <v>[ocultar]</v>
      </c>
      <c r="AG2" s="133" t="str">
        <f t="shared" si="0"/>
        <v>[ocultar]</v>
      </c>
      <c r="AH2" s="133" t="str">
        <f t="shared" si="0"/>
        <v>[ocultar]</v>
      </c>
      <c r="AI2" s="133" t="str">
        <f t="shared" si="0"/>
        <v>[ocultar]</v>
      </c>
      <c r="AJ2" s="133" t="str">
        <f t="shared" si="0"/>
        <v>[ocultar]</v>
      </c>
      <c r="AK2" s="133" t="str">
        <f t="shared" si="0"/>
        <v>[ocultar]</v>
      </c>
      <c r="AL2" s="133" t="str">
        <f t="shared" si="0"/>
        <v>[ocultar]</v>
      </c>
      <c r="AM2" s="133" t="str">
        <f t="shared" si="0"/>
        <v>[ocultar]</v>
      </c>
      <c r="AN2" s="133" t="str">
        <f t="shared" si="0"/>
        <v/>
      </c>
      <c r="AO2" s="133" t="str">
        <f t="shared" si="0"/>
        <v/>
      </c>
      <c r="AP2" s="133" t="str">
        <f t="shared" si="0"/>
        <v>[ocultar]</v>
      </c>
      <c r="AQ2" s="133" t="str">
        <f t="shared" si="0"/>
        <v>[ocultar]</v>
      </c>
      <c r="AR2" s="133" t="str">
        <f t="shared" si="0"/>
        <v>[ocultar]</v>
      </c>
      <c r="AS2" s="133" t="str">
        <f t="shared" si="0"/>
        <v>[ocultar]</v>
      </c>
      <c r="AT2" s="133" t="str">
        <f t="shared" si="0"/>
        <v>[ocultar]</v>
      </c>
    </row>
    <row r="3" spans="1:48" ht="14.1" customHeight="1" x14ac:dyDescent="0.25">
      <c r="I3" s="211" t="str">
        <f>+"Razón Social: "&amp;Inicio!C6&amp;"  -  NIF: "&amp;Inicio!C8</f>
        <v>Razón Social: TANATORIOS DE CORDOBA, SA/Convenio Colectivo de Sector de POMPAS FUNEBRES (14000425011981) de Córdoba  -  NIF: A14087548</v>
      </c>
      <c r="J3" s="212"/>
    </row>
    <row r="4" spans="1:48" ht="14.1" customHeight="1" x14ac:dyDescent="0.25">
      <c r="I4" s="213" t="s">
        <v>4</v>
      </c>
      <c r="J4" s="214"/>
    </row>
    <row r="5" spans="1:48" ht="14.1" customHeight="1" x14ac:dyDescent="0.25">
      <c r="I5" s="215">
        <f>+Inicio!E10</f>
        <v>45292</v>
      </c>
      <c r="J5" s="216" t="str">
        <f>+Inicio!D10</f>
        <v>fecha inicio</v>
      </c>
    </row>
    <row r="6" spans="1:48" ht="14.1" customHeight="1" x14ac:dyDescent="0.25">
      <c r="I6" s="215">
        <f>+Inicio!G10</f>
        <v>45657</v>
      </c>
      <c r="J6" s="216" t="s">
        <v>6</v>
      </c>
    </row>
    <row r="7" spans="1:48" s="143" customFormat="1" ht="32.1" customHeight="1" x14ac:dyDescent="0.25">
      <c r="H7" s="1"/>
      <c r="I7" s="1"/>
      <c r="J7" s="1"/>
    </row>
    <row r="8" spans="1:48" s="203" customFormat="1" ht="46.35" customHeight="1" x14ac:dyDescent="0.3">
      <c r="B8" s="198"/>
      <c r="C8" s="198" t="s">
        <v>621</v>
      </c>
      <c r="D8" s="198" t="s">
        <v>622</v>
      </c>
      <c r="E8" s="198" t="s">
        <v>314</v>
      </c>
      <c r="F8" s="198" t="s">
        <v>316</v>
      </c>
      <c r="G8" s="198" t="s">
        <v>318</v>
      </c>
      <c r="H8" s="198" t="s">
        <v>624</v>
      </c>
      <c r="I8" s="146" t="s">
        <v>323</v>
      </c>
      <c r="J8" s="147" t="str">
        <f>+IF(DATOS!AE6="","[ocultar]",DATOS!AE6)</f>
        <v>HORAS EXTRAS</v>
      </c>
      <c r="K8" s="147" t="str">
        <f>+IF(DATOS!AF6="","[ocultar]",DATOS!AF6)</f>
        <v>SEGURO CONVENIO</v>
      </c>
      <c r="L8" s="147" t="str">
        <f>+IF(DATOS!AG6="","[ocultar]",DATOS!AG6)</f>
        <v>PLUS UNIFICADO</v>
      </c>
      <c r="M8" s="147" t="str">
        <f>+IF(DATOS!AH6="","[ocultar]",DATOS!AH6)</f>
        <v>GARANTIA AD PERS</v>
      </c>
      <c r="N8" s="147" t="str">
        <f>+IF(DATOS!AI6="","[ocultar]",DATOS!AI6)</f>
        <v>COMISIONES</v>
      </c>
      <c r="O8" s="147" t="str">
        <f>+IF(DATOS!AJ6="","[ocultar]",DATOS!AJ6)</f>
        <v>DOMINGOS Y FESTIVOS</v>
      </c>
      <c r="P8" s="147" t="str">
        <f>+IF(DATOS!AK6="","[ocultar]",DATOS!AK6)</f>
        <v>LOCOMOCION NO</v>
      </c>
      <c r="Q8" s="147" t="str">
        <f>+IF(DATOS!AL6="","[ocultar]",DATOS!AL6)</f>
        <v>PLUS EXTRA VAC</v>
      </c>
      <c r="R8" s="147" t="str">
        <f>+IF(DATOS!AM6="","[ocultar]",DATOS!AM6)</f>
        <v>PLUS DE TRANS</v>
      </c>
      <c r="S8" s="147" t="str">
        <f>+IF(DATOS!AN6="","[ocultar]",DATOS!AN6)</f>
        <v>PLUS ACTIVIDAD</v>
      </c>
      <c r="T8" s="147" t="str">
        <f>+IF(DATOS!AO6="","[ocultar]",DATOS!AO6)</f>
        <v>CUOTA SINDICAL</v>
      </c>
      <c r="U8" s="147" t="str">
        <f>+IF(DATOS!AP6="","[ocultar]",DATOS!AP6)</f>
        <v>AYUDA FAMILIAR</v>
      </c>
      <c r="V8" s="147" t="str">
        <f>+IF(DATOS!AQ6="","[ocultar]",DATOS!AQ6)</f>
        <v>INCENTIVO</v>
      </c>
      <c r="W8" s="147" t="str">
        <f>+IF(DATOS!AR6="","[ocultar]",DATOS!AR6)</f>
        <v>SEGURO MEDICO</v>
      </c>
      <c r="X8" s="147" t="str">
        <f>+IF(DATOS!AS6="","[ocultar]",DATOS!AS6)</f>
        <v>DES. SEGURO MEDICO</v>
      </c>
      <c r="Y8" s="147" t="str">
        <f>+IF(DATOS!AT6="","[ocultar]",DATOS!AT6)</f>
        <v>SEGURO SALUD 2</v>
      </c>
      <c r="Z8" s="147" t="str">
        <f>+IF(DATOS!AU6="","[ocultar]",DATOS!AU6)</f>
        <v>COMP. EMPRESA I.T.</v>
      </c>
      <c r="AA8" s="147" t="str">
        <f>+IF(DATOS!AV6="","[ocultar]",DATOS!AV6)</f>
        <v>I.T. CUENTA EMPRESA</v>
      </c>
      <c r="AB8" s="147" t="str">
        <f>+IF(DATOS!AW6="","[ocultar]",DATOS!AW6)</f>
        <v>SALARIO EN ESPECIE</v>
      </c>
      <c r="AC8" s="147" t="str">
        <f>+IF(DATOS!AX6="","[ocultar]",DATOS!AX6)</f>
        <v>PLUS DE POLIVALENCIA</v>
      </c>
      <c r="AD8" s="147" t="str">
        <f>+IF(DATOS!AY6="","[ocultar]",DATOS!AY6)</f>
        <v>LIQUID  PAGAS EXTRA</v>
      </c>
      <c r="AE8" s="147" t="str">
        <f>+IF(DATOS!AZ6="","[ocultar]",DATOS!AZ6)</f>
        <v>[ocultar]</v>
      </c>
      <c r="AF8" s="147" t="str">
        <f>+IF(DATOS!BA6="","[ocultar]",DATOS!BA6)</f>
        <v>[ocultar]</v>
      </c>
      <c r="AG8" s="147" t="str">
        <f>+IF(DATOS!BB6="","[ocultar]",DATOS!BB6)</f>
        <v>[ocultar]</v>
      </c>
      <c r="AH8" s="147" t="str">
        <f>+IF(DATOS!BC6="","[ocultar]",DATOS!BC6)</f>
        <v>[ocultar]</v>
      </c>
      <c r="AI8" s="147" t="str">
        <f>+IF(DATOS!BD6="","[ocultar]",DATOS!BD6)</f>
        <v>[ocultar]</v>
      </c>
      <c r="AJ8" s="147" t="str">
        <f>+IF(DATOS!BE6="","[ocultar]",DATOS!BE6)</f>
        <v>[ocultar]</v>
      </c>
      <c r="AK8" s="147" t="str">
        <f>+IF(DATOS!BF6="","[ocultar]",DATOS!BF6)</f>
        <v>[ocultar]</v>
      </c>
      <c r="AL8" s="147" t="str">
        <f>+IF(DATOS!BG6="","[ocultar]",DATOS!BG6)</f>
        <v>[ocultar]</v>
      </c>
      <c r="AM8" s="147" t="str">
        <f>+IF(DATOS!BH6="","[ocultar]",DATOS!BH6)</f>
        <v>[ocultar]</v>
      </c>
      <c r="AN8" s="148" t="s">
        <v>324</v>
      </c>
      <c r="AO8" s="149" t="s">
        <v>325</v>
      </c>
      <c r="AP8" s="150" t="str">
        <f>+IF(DATOS!BW6="","[ocultar]",DATOS!BW6)</f>
        <v>[ocultar]</v>
      </c>
      <c r="AQ8" s="150" t="str">
        <f>+IF(DATOS!CB6="","[ocultar]",DATOS!CB6)</f>
        <v>[ocultar]</v>
      </c>
      <c r="AR8" s="150" t="str">
        <f>+IF(DATOS!CC6="","[ocultar]",DATOS!CC6)</f>
        <v>[ocultar]</v>
      </c>
      <c r="AS8" s="150" t="str">
        <f>+IF(DATOS!CD6="","[ocultar]",DATOS!CD6)</f>
        <v>[ocultar]</v>
      </c>
      <c r="AT8" s="150" t="str">
        <f>+IF(DATOS!CG6="","[ocultar]",DATOS!CG6)</f>
        <v>[ocultar]</v>
      </c>
      <c r="AU8" s="151" t="s">
        <v>326</v>
      </c>
      <c r="AV8" s="148" t="s">
        <v>327</v>
      </c>
    </row>
    <row r="9" spans="1:48" ht="15.6" thickBot="1" x14ac:dyDescent="0.3">
      <c r="B9" s="199" t="s">
        <v>623</v>
      </c>
      <c r="C9" s="200"/>
      <c r="D9" s="201"/>
      <c r="E9" s="201"/>
      <c r="F9" s="201"/>
      <c r="G9" s="201"/>
      <c r="H9" s="201"/>
      <c r="I9" s="156" t="str">
        <f t="shared" ref="I9" si="1">IFERROR((I10-I11)/I10,"")</f>
        <v/>
      </c>
      <c r="J9" s="157" t="str">
        <f>IFERROR((J10-J11)/J10,"")</f>
        <v/>
      </c>
      <c r="K9" s="158" t="str">
        <f t="shared" ref="K9:AV9" si="2">IFERROR((K10-K11)/K10,"")</f>
        <v/>
      </c>
      <c r="L9" s="158" t="str">
        <f t="shared" si="2"/>
        <v/>
      </c>
      <c r="M9" s="158" t="str">
        <f t="shared" si="2"/>
        <v/>
      </c>
      <c r="N9" s="159" t="str">
        <f t="shared" si="2"/>
        <v/>
      </c>
      <c r="O9" s="160" t="str">
        <f t="shared" si="2"/>
        <v/>
      </c>
      <c r="P9" s="160" t="str">
        <f t="shared" si="2"/>
        <v/>
      </c>
      <c r="Q9" s="160" t="str">
        <f t="shared" si="2"/>
        <v/>
      </c>
      <c r="R9" s="160" t="str">
        <f t="shared" si="2"/>
        <v/>
      </c>
      <c r="S9" s="160" t="str">
        <f t="shared" si="2"/>
        <v/>
      </c>
      <c r="T9" s="160" t="str">
        <f t="shared" si="2"/>
        <v/>
      </c>
      <c r="U9" s="160" t="str">
        <f t="shared" si="2"/>
        <v/>
      </c>
      <c r="V9" s="160" t="str">
        <f t="shared" si="2"/>
        <v/>
      </c>
      <c r="W9" s="160" t="str">
        <f t="shared" si="2"/>
        <v/>
      </c>
      <c r="X9" s="160" t="str">
        <f t="shared" si="2"/>
        <v/>
      </c>
      <c r="Y9" s="160" t="str">
        <f t="shared" si="2"/>
        <v/>
      </c>
      <c r="Z9" s="159" t="str">
        <f t="shared" si="2"/>
        <v/>
      </c>
      <c r="AA9" s="159" t="str">
        <f t="shared" si="2"/>
        <v/>
      </c>
      <c r="AB9" s="159" t="str">
        <f t="shared" si="2"/>
        <v/>
      </c>
      <c r="AC9" s="159" t="str">
        <f t="shared" si="2"/>
        <v/>
      </c>
      <c r="AD9" s="159" t="str">
        <f t="shared" si="2"/>
        <v/>
      </c>
      <c r="AE9" s="159" t="str">
        <f t="shared" si="2"/>
        <v/>
      </c>
      <c r="AF9" s="159">
        <f t="shared" si="2"/>
        <v>-1.3396226415094341</v>
      </c>
      <c r="AG9" s="159" t="str">
        <f t="shared" si="2"/>
        <v/>
      </c>
      <c r="AH9" s="159" t="str">
        <f t="shared" si="2"/>
        <v/>
      </c>
      <c r="AI9" s="159" t="str">
        <f t="shared" si="2"/>
        <v/>
      </c>
      <c r="AJ9" s="159" t="str">
        <f t="shared" si="2"/>
        <v/>
      </c>
      <c r="AK9" s="159" t="str">
        <f t="shared" si="2"/>
        <v/>
      </c>
      <c r="AL9" s="159" t="str">
        <f t="shared" si="2"/>
        <v/>
      </c>
      <c r="AM9" s="159" t="str">
        <f t="shared" si="2"/>
        <v/>
      </c>
      <c r="AN9" s="161" t="str">
        <f t="shared" si="2"/>
        <v/>
      </c>
      <c r="AO9" s="162" t="str">
        <f t="shared" si="2"/>
        <v/>
      </c>
      <c r="AP9" s="163" t="str">
        <f t="shared" si="2"/>
        <v/>
      </c>
      <c r="AQ9" s="163" t="str">
        <f t="shared" si="2"/>
        <v/>
      </c>
      <c r="AR9" s="163" t="str">
        <f t="shared" si="2"/>
        <v/>
      </c>
      <c r="AS9" s="163" t="str">
        <f t="shared" si="2"/>
        <v/>
      </c>
      <c r="AT9" s="163" t="str">
        <f t="shared" si="2"/>
        <v/>
      </c>
      <c r="AU9" s="164" t="str">
        <f t="shared" si="2"/>
        <v/>
      </c>
      <c r="AV9" s="165" t="str">
        <f t="shared" si="2"/>
        <v/>
      </c>
    </row>
    <row r="10" spans="1:48" x14ac:dyDescent="0.25">
      <c r="B10" s="202" t="s">
        <v>394</v>
      </c>
      <c r="C10" s="203">
        <f t="array" ref="C10">SUM(IF($B10=DATOS_[Sexo],
IF("Dentro"=DATOS_[Check Periodo Ref.],
1/(COUNTIFS(DATOS_[Sexo],$B10,DATOS_[Check Periodo Ref.],"Dentro",DATOS_[id/cod],DATOS_[id/cod])))))</f>
        <v>60</v>
      </c>
      <c r="D10" s="204">
        <f>COUNTIFS(DATOS_[AGRUP. CLAS. PROF.],"&lt;&gt;",DATOS_[Sexo],$B10,DATOS_[Check Periodo Ref.],"Dentro")</f>
        <v>15</v>
      </c>
      <c r="E10" s="204">
        <f>COUNTIFS(DATOS_[AGRUP. CLAS. PROF.],"&lt;&gt;",DATOS_[Sexo],$B10,DATOS_[Check Periodo Ref.],"Dentro",DATOS_[Check Nº SC Norm],"Sí")</f>
        <v>2</v>
      </c>
      <c r="F10" s="204">
        <f>COUNTIFS(DATOS_[AGRUP. CLAS. PROF.],"&lt;&gt;",DATOS_[Sexo],$B10,DATOS_[Check Periodo Ref.],"Dentro",DATOS_[Check Nº SC Anualiz],"Sí")</f>
        <v>0</v>
      </c>
      <c r="G10" s="204">
        <f>COUNTIFS(DATOS_[AGRUP. CLAS. PROF.],"&lt;&gt;",DATOS_[Sexo],$B10,DATOS_[Check Periodo Ref.],"Dentro",DATOS_[Check Nº SC Norm y Anualiz],"Sí")</f>
        <v>0</v>
      </c>
      <c r="H10" s="204">
        <f>COUNTIFS(DATOS_[AGRUP. CLAS. PROF.],"&lt;&gt;",DATOS_[Sexo],$B10,DATOS_[Check Periodo Ref.],"Dentro",DATOS_[Check Equiparación],"Sí")</f>
        <v>2</v>
      </c>
      <c r="I10" s="169">
        <f t="array" ref="I10">IFERROR(
AVERAGE(IF(DATOS_[Sexo]=$B10,IF(DATOS_[Check Equiparado]="Sí",IF(DATOS_[Check Periodo Ref.]="Dentro",DATOS_[SALARIO BASE Eq],FALSE)))),
0)</f>
        <v>0</v>
      </c>
      <c r="J10" s="170">
        <f t="array" ref="J10">IFERROR(
(AVERAGE((IF(DATOS_[[Sexo]:[Sexo]]=$B10,IF(DATOS_[[Check Periodo Ref.]:[Check Periodo Ref.]]="Dentro",IF(DATOS_[[Check Equiparado]:[Check Equiparado]]="Sí",IF(DATOS!AE$5="Sí",(1/DATOS_[[% anualiz]:[% anualiz]]),1)*IF(DATOS!AE$4="Sí",1/DATOS_[[% normaliz]:[% normaliz]],1)*(DATOS_[Conc.Sal.01]))))))),
0)</f>
        <v>0</v>
      </c>
      <c r="K10" s="170">
        <f t="array" ref="K10">IFERROR(
(AVERAGE((IF(DATOS_[[Sexo]:[Sexo]]=$B10,IF(DATOS_[[Check Periodo Ref.]:[Check Periodo Ref.]]="Dentro",IF(DATOS_[[Check Equiparado]:[Check Equiparado]]="Sí",IF(DATOS!AF$5="Sí",(1/DATOS_[[% anualiz]:[% anualiz]]),1)*IF(DATOS!AF$4="Sí",1/DATOS_[[% normaliz]:[% normaliz]],1)*(DATOS_[Conc.Sal.02]))))))),
0)</f>
        <v>0</v>
      </c>
      <c r="L10" s="170">
        <f t="array" ref="L10">IFERROR(
(AVERAGE((IF(DATOS_[[Sexo]:[Sexo]]=$B10,IF(DATOS_[[Check Periodo Ref.]:[Check Periodo Ref.]]="Dentro",IF(DATOS_[[Check Equiparado]:[Check Equiparado]]="Sí",IF(DATOS!AG$5="Sí",(1/DATOS_[[% anualiz]:[% anualiz]]),1)*IF(DATOS!AG$4="Sí",1/DATOS_[[% normaliz]:[% normaliz]],1)*(DATOS_[Conc.Sal.03]))))))),
0)</f>
        <v>0</v>
      </c>
      <c r="M10" s="170">
        <f t="array" ref="M10">IFERROR(
(AVERAGE((IF(DATOS_[[Sexo]:[Sexo]]=$B10,IF(DATOS_[[Check Periodo Ref.]:[Check Periodo Ref.]]="Dentro",IF(DATOS_[[Check Equiparado]:[Check Equiparado]]="Sí",IF(DATOS!AH$5="Sí",(1/DATOS_[[% anualiz]:[% anualiz]]),1)*IF(DATOS!AH$4="Sí",1/DATOS_[[% normaliz]:[% normaliz]],1)*(DATOS_[Conc.Sal.04]))))))),
0)</f>
        <v>0</v>
      </c>
      <c r="N10" s="170">
        <f t="array" ref="N10">IFERROR(
(AVERAGE((IF(DATOS_[[Sexo]:[Sexo]]=$B10,IF(DATOS_[[Check Periodo Ref.]:[Check Periodo Ref.]]="Dentro",IF(DATOS_[[Check Equiparado]:[Check Equiparado]]="Sí",IF(DATOS!AI$5="Sí",(1/DATOS_[[% anualiz]:[% anualiz]]),1)*IF(DATOS!AI$4="Sí",1/DATOS_[[% normaliz]:[% normaliz]],1)*(DATOS_[Conc.Sal.05]))))))),
0)</f>
        <v>0</v>
      </c>
      <c r="O10" s="170">
        <f t="array" ref="O10">IFERROR(
(AVERAGE((IF(DATOS_[[Sexo]:[Sexo]]=$B10,IF(DATOS_[[Check Periodo Ref.]:[Check Periodo Ref.]]="Dentro",IF(DATOS_[[Check Equiparado]:[Check Equiparado]]="Sí",IF(DATOS!AJ$5="Sí",(1/DATOS_[[% anualiz]:[% anualiz]]),1)*IF(DATOS!AJ$4="Sí",1/DATOS_[[% normaliz]:[% normaliz]],1)*(DATOS_[Conc.Sal.06]))))))),
0)</f>
        <v>0</v>
      </c>
      <c r="P10" s="170">
        <f t="array" ref="P10">IFERROR(
(AVERAGE((IF(DATOS_[[Sexo]:[Sexo]]=$B10,IF(DATOS_[[Check Periodo Ref.]:[Check Periodo Ref.]]="Dentro",IF(DATOS_[[Check Equiparado]:[Check Equiparado]]="Sí",IF(DATOS!AK$5="Sí",(1/DATOS_[[% anualiz]:[% anualiz]]),1)*IF(DATOS!AK$4="Sí",1/DATOS_[[% normaliz]:[% normaliz]],1)*(DATOS_[Conc.Sal.07]))))))),
0)</f>
        <v>0</v>
      </c>
      <c r="Q10" s="170">
        <f t="array" ref="Q10">IFERROR(
(AVERAGE((IF(DATOS_[[Sexo]:[Sexo]]=$B10,IF(DATOS_[[Check Periodo Ref.]:[Check Periodo Ref.]]="Dentro",IF(DATOS_[[Check Equiparado]:[Check Equiparado]]="Sí",IF(DATOS!AL$5="Sí",(1/DATOS_[[% anualiz]:[% anualiz]]),1)*IF(DATOS!AL$4="Sí",1/DATOS_[[% normaliz]:[% normaliz]],1)*(DATOS_[Conc.Sal.08]))))))),
0)</f>
        <v>0</v>
      </c>
      <c r="R10" s="170">
        <f t="array" ref="R10">IFERROR(
(AVERAGE((IF(DATOS_[[Sexo]:[Sexo]]=$B10,IF(DATOS_[[Check Periodo Ref.]:[Check Periodo Ref.]]="Dentro",IF(DATOS_[[Check Equiparado]:[Check Equiparado]]="Sí",IF(DATOS!AM$5="Sí",(1/DATOS_[[% anualiz]:[% anualiz]]),1)*IF(DATOS!AM$4="Sí",1/DATOS_[[% normaliz]:[% normaliz]],1)*(DATOS_[Conc.Sal.09]))))))),
0)</f>
        <v>0</v>
      </c>
      <c r="S10" s="170">
        <f t="array" ref="S10">IFERROR(
(AVERAGE((IF(DATOS_[[Sexo]:[Sexo]]=$B10,IF(DATOS_[[Check Periodo Ref.]:[Check Periodo Ref.]]="Dentro",IF(DATOS_[[Check Equiparado]:[Check Equiparado]]="Sí",IF(DATOS!AN$5="Sí",(1/DATOS_[[% anualiz]:[% anualiz]]),1)*IF(DATOS!AN$4="Sí",1/DATOS_[[% normaliz]:[% normaliz]],1)*(DATOS_[Conc.Sal.10]))))))),
0)</f>
        <v>0</v>
      </c>
      <c r="T10" s="170">
        <f t="array" ref="T10">IFERROR(
(AVERAGE((IF(DATOS_[[Sexo]:[Sexo]]=$B10,IF(DATOS_[[Check Periodo Ref.]:[Check Periodo Ref.]]="Dentro",IF(DATOS_[[Check Equiparado]:[Check Equiparado]]="Sí",IF(DATOS!AO$5="Sí",(1/DATOS_[[% anualiz]:[% anualiz]]),1)*IF(DATOS!AO$4="Sí",1/DATOS_[[% normaliz]:[% normaliz]],1)*(DATOS_[Conc.Sal.11]))))))),
0)</f>
        <v>0</v>
      </c>
      <c r="U10" s="170">
        <f t="array" ref="U10">IFERROR(
(AVERAGE((IF(DATOS_[[Sexo]:[Sexo]]=$B10,IF(DATOS_[[Check Periodo Ref.]:[Check Periodo Ref.]]="Dentro",IF(DATOS_[[Check Equiparado]:[Check Equiparado]]="Sí",IF(DATOS!AP$5="Sí",(1/DATOS_[[% anualiz]:[% anualiz]]),1)*IF(DATOS!AP$4="Sí",1/DATOS_[[% normaliz]:[% normaliz]],1)*(DATOS_[Conc.Sal.12]))))))),
0)</f>
        <v>0</v>
      </c>
      <c r="V10" s="170">
        <f t="array" ref="V10">IFERROR(
(AVERAGE((IF(DATOS_[[Sexo]:[Sexo]]=$B10,IF(DATOS_[[Check Periodo Ref.]:[Check Periodo Ref.]]="Dentro",IF(DATOS_[[Check Equiparado]:[Check Equiparado]]="Sí",IF(DATOS!AQ$5="Sí",(1/DATOS_[[% anualiz]:[% anualiz]]),1)*IF(DATOS!AQ$4="Sí",1/DATOS_[[% normaliz]:[% normaliz]],1)*(DATOS_[Conc.Sal.13]))))))),
0)</f>
        <v>0</v>
      </c>
      <c r="W10" s="170">
        <f t="array" ref="W10">IFERROR(
(AVERAGE((IF(DATOS_[[Sexo]:[Sexo]]=$B10,IF(DATOS_[[Check Periodo Ref.]:[Check Periodo Ref.]]="Dentro",IF(DATOS_[[Check Equiparado]:[Check Equiparado]]="Sí",IF(DATOS!AR$5="Sí",(1/DATOS_[[% anualiz]:[% anualiz]]),1)*IF(DATOS!AR$4="Sí",1/DATOS_[[% normaliz]:[% normaliz]],1)*(DATOS_[Conc.Sal.14]))))))),
0)</f>
        <v>0</v>
      </c>
      <c r="X10" s="170">
        <f t="array" ref="X10">IFERROR(
(AVERAGE((IF(DATOS_[[Sexo]:[Sexo]]=$B10,IF(DATOS_[[Check Periodo Ref.]:[Check Periodo Ref.]]="Dentro",IF(DATOS_[[Check Equiparado]:[Check Equiparado]]="Sí",IF(DATOS!AS$5="Sí",(1/DATOS_[[% anualiz]:[% anualiz]]),1)*IF(DATOS!AS$4="Sí",1/DATOS_[[% normaliz]:[% normaliz]],1)*(DATOS_[Conc.Sal.15]))))))),
0)</f>
        <v>0</v>
      </c>
      <c r="Y10" s="170">
        <f t="array" ref="Y10">IFERROR(
(AVERAGE((IF(DATOS_[[Sexo]:[Sexo]]=$B10,IF(DATOS_[[Check Periodo Ref.]:[Check Periodo Ref.]]="Dentro",IF(DATOS_[[Check Equiparado]:[Check Equiparado]]="Sí",IF(DATOS!AT$5="Sí",(1/DATOS_[[% anualiz]:[% anualiz]]),1)*IF(DATOS!AT$4="Sí",1/DATOS_[[% normaliz]:[% normaliz]],1)*(DATOS_[Conc.Sal.16]))))))),
0)</f>
        <v>0</v>
      </c>
      <c r="Z10" s="170">
        <f t="array" ref="Z10">IFERROR(
(AVERAGE((IF(DATOS_[[Sexo]:[Sexo]]=$B10,IF(DATOS_[[Check Periodo Ref.]:[Check Periodo Ref.]]="Dentro",IF(DATOS_[[Check Equiparado]:[Check Equiparado]]="Sí",IF(DATOS!AU$5="Sí",(1/DATOS_[[% anualiz]:[% anualiz]]),1)*IF(DATOS!AU$4="Sí",1/DATOS_[[% normaliz]:[% normaliz]],1)*(DATOS_[Conc.Sal.17]))))))),
0)</f>
        <v>0</v>
      </c>
      <c r="AA10" s="170">
        <f t="array" ref="AA10">IFERROR(
(AVERAGE((IF(DATOS_[[Sexo]:[Sexo]]=$B10,IF(DATOS_[[Check Periodo Ref.]:[Check Periodo Ref.]]="Dentro",IF(DATOS_[[Check Equiparado]:[Check Equiparado]]="Sí",IF(DATOS!AV$5="Sí",(1/DATOS_[[% anualiz]:[% anualiz]]),1)*IF(DATOS!AV$4="Sí",1/DATOS_[[% normaliz]:[% normaliz]],1)*(DATOS_[Conc.Sal.18]))))))),
0)</f>
        <v>0</v>
      </c>
      <c r="AB10" s="170">
        <f t="array" ref="AB10">IFERROR(
(AVERAGE((IF(DATOS_[[Sexo]:[Sexo]]=$B10,IF(DATOS_[[Check Periodo Ref.]:[Check Periodo Ref.]]="Dentro",IF(DATOS_[[Check Equiparado]:[Check Equiparado]]="Sí",IF(DATOS!AW$5="Sí",(1/DATOS_[[% anualiz]:[% anualiz]]),1)*IF(DATOS!AW$4="Sí",1/DATOS_[[% normaliz]:[% normaliz]],1)*(DATOS_[Conc.Sal.19]))))))),
0)</f>
        <v>0</v>
      </c>
      <c r="AC10" s="170">
        <f t="array" ref="AC10">IFERROR(
(AVERAGE((IF(DATOS_[[Sexo]:[Sexo]]=$B10,IF(DATOS_[[Check Periodo Ref.]:[Check Periodo Ref.]]="Dentro",IF(DATOS_[[Check Equiparado]:[Check Equiparado]]="Sí",IF(DATOS!AX$5="Sí",(1/DATOS_[[% anualiz]:[% anualiz]]),1)*IF(DATOS!AX$4="Sí",1/DATOS_[[% normaliz]:[% normaliz]],1)*(DATOS_[Conc.Sal.20]))))))),
0)</f>
        <v>0</v>
      </c>
      <c r="AD10" s="170">
        <f t="array" ref="AD10">IFERROR(
(AVERAGE((IF(DATOS_[[Sexo]:[Sexo]]=$B10,IF(DATOS_[[Check Periodo Ref.]:[Check Periodo Ref.]]="Dentro",IF(DATOS_[[Check Equiparado]:[Check Equiparado]]="Sí",IF(DATOS!AY$5="Sí",(1/DATOS_[[% anualiz]:[% anualiz]]),1)*IF(DATOS!AY$4="Sí",1/DATOS_[[% normaliz]:[% normaliz]],1)*(DATOS_[Conc.Sal.21]))))))),
0)</f>
        <v>0</v>
      </c>
      <c r="AE10" s="170">
        <f t="array" ref="AE10">IFERROR(
(AVERAGE((IF(DATOS_[[Sexo]:[Sexo]]=$B10,IF(DATOS_[[Check Periodo Ref.]:[Check Periodo Ref.]]="Dentro",IF(DATOS_[[Check Equiparado]:[Check Equiparado]]="Sí",IF(DATOS!AZ$5="Sí",(1/DATOS_[[% anualiz]:[% anualiz]]),1)*IF(DATOS!AZ$4="Sí",1/DATOS_[[% normaliz]:[% normaliz]],1)*(DATOS_[Conc.Sal.22]))))))),
0)</f>
        <v>0</v>
      </c>
      <c r="AF10" s="170">
        <f t="array" ref="AF10">IFERROR(
(AVERAGE((IF(DATOS_[[Sexo]:[Sexo]]=$B10,IF(DATOS_[[Check Periodo Ref.]:[Check Periodo Ref.]]="Dentro",IF(DATOS_[[Check Equiparado]:[Check Equiparado]]="Sí",IF(DATOS!BA$5="Sí",(1/DATOS_[[% anualiz]:[% anualiz]]),1)*IF(DATOS!BA$4="Sí",1/DATOS_[[% normaliz]:[% normaliz]],1)*(DATOS_[Conc.Sal.23]))))))),
0)</f>
        <v>3.1451612903225805</v>
      </c>
      <c r="AG10" s="170">
        <f t="array" ref="AG10">IFERROR(
(AVERAGE((IF(DATOS_[[Sexo]:[Sexo]]=$B10,IF(DATOS_[[Check Periodo Ref.]:[Check Periodo Ref.]]="Dentro",IF(DATOS_[[Check Equiparado]:[Check Equiparado]]="Sí",IF(DATOS!BB$5="Sí",(1/DATOS_[[% anualiz]:[% anualiz]]),1)*IF(DATOS!BB$4="Sí",1/DATOS_[[% normaliz]:[% normaliz]],1)*(DATOS_[Conc.Sal.24]))))))),
0)</f>
        <v>0</v>
      </c>
      <c r="AH10" s="170">
        <f t="array" ref="AH10">IFERROR(
(AVERAGE((IF(DATOS_[[Sexo]:[Sexo]]=$B10,IF(DATOS_[[Check Periodo Ref.]:[Check Periodo Ref.]]="Dentro",IF(DATOS_[[Check Equiparado]:[Check Equiparado]]="Sí",IF(DATOS!BC$5="Sí",(1/DATOS_[[% anualiz]:[% anualiz]]),1)*IF(DATOS!BC$4="Sí",1/DATOS_[[% normaliz]:[% normaliz]],1)*(DATOS_[Conc.Sal.25]))))))),
0)</f>
        <v>0</v>
      </c>
      <c r="AI10" s="170">
        <f t="array" ref="AI10">IFERROR(
(AVERAGE((IF(DATOS_[[Sexo]:[Sexo]]=$B10,IF(DATOS_[[Check Periodo Ref.]:[Check Periodo Ref.]]="Dentro",IF(DATOS_[[Check Equiparado]:[Check Equiparado]]="Sí",IF(DATOS!BD$5="Sí",(1/DATOS_[[% anualiz]:[% anualiz]]),1)*IF(DATOS!BD$4="Sí",1/DATOS_[[% normaliz]:[% normaliz]],1)*(DATOS_[Conc.Sal.26]))))))),
0)</f>
        <v>0</v>
      </c>
      <c r="AJ10" s="170">
        <f t="array" ref="AJ10">IFERROR(
(AVERAGE((IF(DATOS_[[Sexo]:[Sexo]]=$B10,IF(DATOS_[[Check Periodo Ref.]:[Check Periodo Ref.]]="Dentro",IF(DATOS_[[Check Equiparado]:[Check Equiparado]]="Sí",IF(DATOS!BE$5="Sí",(1/DATOS_[[% anualiz]:[% anualiz]]),1)*IF(DATOS!BE$4="Sí",1/DATOS_[[% normaliz]:[% normaliz]],1)*(DATOS_[Conc.Sal.27]))))))),
0)</f>
        <v>0</v>
      </c>
      <c r="AK10" s="170">
        <f t="array" ref="AK10">IFERROR(
(AVERAGE((IF(DATOS_[[Sexo]:[Sexo]]=$B10,IF(DATOS_[[Check Periodo Ref.]:[Check Periodo Ref.]]="Dentro",IF(DATOS_[[Check Equiparado]:[Check Equiparado]]="Sí",IF(DATOS!BF$5="Sí",(1/DATOS_[[% anualiz]:[% anualiz]]),1)*IF(DATOS!BF$4="Sí",1/DATOS_[[% normaliz]:[% normaliz]],1)*(DATOS_[Conc.Sal.28]))))))),
0)</f>
        <v>0</v>
      </c>
      <c r="AL10" s="170">
        <f t="array" ref="AL10">IFERROR(
(AVERAGE((IF(DATOS_[[Sexo]:[Sexo]]=$B10,IF(DATOS_[[Check Periodo Ref.]:[Check Periodo Ref.]]="Dentro",IF(DATOS_[[Check Equiparado]:[Check Equiparado]]="Sí",IF(DATOS!BG$5="Sí",(1/DATOS_[[% anualiz]:[% anualiz]]),1)*IF(DATOS!BG$4="Sí",1/DATOS_[[% normaliz]:[% normaliz]],1)*(DATOS_[Conc.Sal.29]))))))),
0)</f>
        <v>0</v>
      </c>
      <c r="AM10" s="170">
        <f t="array" ref="AM10">IFERROR(
(AVERAGE((IF(DATOS_[[Sexo]:[Sexo]]=$B10,IF(DATOS_[[Check Periodo Ref.]:[Check Periodo Ref.]]="Dentro",IF(DATOS_[[Check Equiparado]:[Check Equiparado]]="Sí",IF(DATOS!BH$5="Sí",(1/DATOS_[[% anualiz]:[% anualiz]]),1)*IF(DATOS!BH$4="Sí",1/DATOS_[[% normaliz]:[% normaliz]],1)*(DATOS_[Conc.Sal.30]))))))),
0)</f>
        <v>0</v>
      </c>
      <c r="AN10" s="171">
        <f t="array" ref="AN10">IFERROR(
AVERAGE(IF(DATOS_[Sexo]=$B10,IF(DATOS_[Check Equiparado]="Sí",IF(DATOS_[Check Periodo Ref.]="Dentro",DATOS_[Tot COMPL.SAL Eq],FALSE)))),
0)</f>
        <v>0</v>
      </c>
      <c r="AO10" s="172">
        <f t="array" ref="AO10">IFERROR(
AVERAGE(IF(DATOS_[Sexo]=$B10,IF(DATOS_[Check Equiparado]="Sí",IF(DATOS_[Check Periodo Ref.]="Dentro",DATOS_[TOTAL SALARIO Eq],FALSE)))),
0)</f>
        <v>0</v>
      </c>
      <c r="AP10" s="173">
        <f t="array" ref="AP10">IFERROR(
(AVERAGE((IF(DATOS_[[Sexo]:[Sexo]]=$B10,IF(DATOS_[[Check Periodo Ref.]:[Check Periodo Ref.]]="Dentro",IF(DATOS_[[Check Equiparado]:[Check Equiparado]]="Sí",IF(DATOS!BW$5="Sí",(1/DATOS_[[% anualiz]:[% anualiz]]),1)*IF(DATOS!BW$4="Sí",1/DATOS_[[% normaliz]:[% normaliz]],1)*(DATOS_[C.Extra.01]))))))),
0)</f>
        <v>0</v>
      </c>
      <c r="AQ10" s="173">
        <f t="array" ref="AQ10">IFERROR(
(AVERAGE((IF(DATOS_[[Sexo]:[Sexo]]=$B10,IF(DATOS_[[Check Periodo Ref.]:[Check Periodo Ref.]]="Dentro",IF(DATOS_[[Check Equiparado]:[Check Equiparado]]="Sí",IF(DATOS!CB$5="Sí",(1/DATOS_[[% anualiz]:[% anualiz]]),1)*IF(DATOS!CB$4="Sí",1/DATOS_[[% normaliz]:[% normaliz]],1)*(DATOS_[C.Extra.06]))))))),
0)</f>
        <v>0</v>
      </c>
      <c r="AR10" s="173">
        <f t="array" ref="AR10">IFERROR(
(AVERAGE((IF(DATOS_[[Sexo]:[Sexo]]=$B10,IF(DATOS_[[Check Periodo Ref.]:[Check Periodo Ref.]]="Dentro",IF(DATOS_[[Check Equiparado]:[Check Equiparado]]="Sí",IF(DATOS!CC$5="Sí",(1/DATOS_[[% anualiz]:[% anualiz]]),1)*IF(DATOS!CC$4="Sí",1/DATOS_[[% normaliz]:[% normaliz]],1)*(DATOS_[C.Extra.07]))))))),
0)</f>
        <v>0</v>
      </c>
      <c r="AS10" s="173">
        <f t="array" ref="AS10">IFERROR(
(AVERAGE((IF(DATOS_[[Sexo]:[Sexo]]=$B10,IF(DATOS_[[Check Periodo Ref.]:[Check Periodo Ref.]]="Dentro",IF(DATOS_[[Check Equiparado]:[Check Equiparado]]="Sí",IF(DATOS!CD$5="Sí",(1/DATOS_[[% anualiz]:[% anualiz]]),1)*IF(DATOS!CD$4="Sí",1/DATOS_[[% normaliz]:[% normaliz]],1)*(DATOS_[C.Extra.08]))))))),
0)</f>
        <v>0</v>
      </c>
      <c r="AT10" s="173">
        <f t="array" ref="AT10">IFERROR(
(AVERAGE((IF(DATOS_[[Sexo]:[Sexo]]=$B10,IF(DATOS_[[Check Periodo Ref.]:[Check Periodo Ref.]]="Dentro",IF(DATOS_[[Check Equiparado]:[Check Equiparado]]="Sí",IF(DATOS!CG$5="Sí",(1/DATOS_[[% anualiz]:[% anualiz]]),1)*IF(DATOS!CG$4="Sí",1/DATOS_[[% normaliz]:[% normaliz]],1)*(DATOS_[C.Extra.11]))))))),
0)</f>
        <v>0</v>
      </c>
      <c r="AU10" s="174">
        <f t="array" ref="AU10">IFERROR(
AVERAGE(IF(DATOS_[Sexo]=$B10,IF(DATOS_[Check Equiparado]="Sí",IF(DATOS_[Check Periodo Ref.]="Dentro",DATOS_[Tot Extrasalarial Eq],FALSE)))),
0)</f>
        <v>0</v>
      </c>
      <c r="AV10" s="175">
        <f t="array" ref="AV10">IFERROR(
AVERAGE(IF(DATOS_[Sexo]=$B10,IF(DATOS_[Check Equiparado]="Sí",IF(DATOS_[Check Periodo Ref.]="Dentro",DATOS_[TOTAL Retrib Eq],FALSE)))),
0)</f>
        <v>0</v>
      </c>
    </row>
    <row r="11" spans="1:48" x14ac:dyDescent="0.25">
      <c r="B11" s="202" t="s">
        <v>521</v>
      </c>
      <c r="C11" s="203">
        <f t="array" ref="C11">SUM(IF($B11=DATOS_[Sexo],
IF("Dentro"=DATOS_[Check Periodo Ref.],
1/(COUNTIFS(DATOS_[Sexo],$B11,DATOS_[Check Periodo Ref.],"Dentro",DATOS_[id/cod],DATOS_[id/cod])))))</f>
        <v>52.000000000000007</v>
      </c>
      <c r="D11" s="204">
        <f>COUNTIFS(DATOS_[AGRUP. CLAS. PROF.],"&lt;&gt;",DATOS_[Sexo],$B11,DATOS_[Check Periodo Ref.],"Dentro")</f>
        <v>27</v>
      </c>
      <c r="E11" s="204">
        <f>COUNTIFS(DATOS_[AGRUP. CLAS. PROF.],"&lt;&gt;",DATOS_[Sexo],$B11,DATOS_[Check Periodo Ref.],"Dentro",DATOS_[Check Nº SC Norm],"Sí")</f>
        <v>7</v>
      </c>
      <c r="F11" s="204">
        <f>COUNTIFS(DATOS_[AGRUP. CLAS. PROF.],"&lt;&gt;",DATOS_[Sexo],$B11,DATOS_[Check Periodo Ref.],"Dentro",DATOS_[Check Nº SC Anualiz],"Sí")</f>
        <v>8</v>
      </c>
      <c r="G11" s="204">
        <f>COUNTIFS(DATOS_[AGRUP. CLAS. PROF.],"&lt;&gt;",DATOS_[Sexo],$B11,DATOS_[Check Periodo Ref.],"Dentro",DATOS_[Check Nº SC Norm y Anualiz],"Sí")</f>
        <v>4</v>
      </c>
      <c r="H11" s="204">
        <f>COUNTIFS(DATOS_[AGRUP. CLAS. PROF.],"&lt;&gt;",DATOS_[Sexo],$B11,DATOS_[Check Periodo Ref.],"Dentro",DATOS_[Check Equiparación],"Sí")</f>
        <v>19</v>
      </c>
      <c r="I11" s="169">
        <f t="array" ref="I11">IFERROR(
AVERAGE(IF(DATOS_[Sexo]=$B11,IF(DATOS_[Check Equiparado]="Sí",IF(DATOS_[Check Periodo Ref.]="Dentro",DATOS_[SALARIO BASE Eq],FALSE)))),
0)</f>
        <v>0</v>
      </c>
      <c r="J11" s="170">
        <f t="array" ref="J11">IFERROR(
(AVERAGE((IF(DATOS_[[Sexo]:[Sexo]]=$B11,IF(DATOS_[[Check Periodo Ref.]:[Check Periodo Ref.]]="Dentro",IF(DATOS_[[Check Equiparado]:[Check Equiparado]]="Sí",IF(DATOS!AE$5="Sí",(1/DATOS_[[% anualiz]:[% anualiz]]),1)*IF(DATOS!AE$4="Sí",1/DATOS_[[% normaliz]:[% normaliz]],1)*(DATOS_[Conc.Sal.01]))))))),
0)</f>
        <v>0</v>
      </c>
      <c r="K11" s="170">
        <f t="array" ref="K11">IFERROR(
(AVERAGE((IF(DATOS_[[Sexo]:[Sexo]]=$B11,IF(DATOS_[[Check Periodo Ref.]:[Check Periodo Ref.]]="Dentro",IF(DATOS_[[Check Equiparado]:[Check Equiparado]]="Sí",IF(DATOS!AF$5="Sí",(1/DATOS_[[% anualiz]:[% anualiz]]),1)*IF(DATOS!AF$4="Sí",1/DATOS_[[% normaliz]:[% normaliz]],1)*(DATOS_[Conc.Sal.02]))))))),
0)</f>
        <v>0</v>
      </c>
      <c r="L11" s="170">
        <f t="array" ref="L11">IFERROR(
(AVERAGE((IF(DATOS_[[Sexo]:[Sexo]]=$B11,IF(DATOS_[[Check Periodo Ref.]:[Check Periodo Ref.]]="Dentro",IF(DATOS_[[Check Equiparado]:[Check Equiparado]]="Sí",IF(DATOS!AG$5="Sí",(1/DATOS_[[% anualiz]:[% anualiz]]),1)*IF(DATOS!AG$4="Sí",1/DATOS_[[% normaliz]:[% normaliz]],1)*(DATOS_[Conc.Sal.03]))))))),
0)</f>
        <v>0</v>
      </c>
      <c r="M11" s="170">
        <f t="array" ref="M11">IFERROR(
(AVERAGE((IF(DATOS_[[Sexo]:[Sexo]]=$B11,IF(DATOS_[[Check Periodo Ref.]:[Check Periodo Ref.]]="Dentro",IF(DATOS_[[Check Equiparado]:[Check Equiparado]]="Sí",IF(DATOS!AH$5="Sí",(1/DATOS_[[% anualiz]:[% anualiz]]),1)*IF(DATOS!AH$4="Sí",1/DATOS_[[% normaliz]:[% normaliz]],1)*(DATOS_[Conc.Sal.04]))))))),
0)</f>
        <v>0</v>
      </c>
      <c r="N11" s="170">
        <f t="array" ref="N11">IFERROR(
(AVERAGE((IF(DATOS_[[Sexo]:[Sexo]]=$B11,IF(DATOS_[[Check Periodo Ref.]:[Check Periodo Ref.]]="Dentro",IF(DATOS_[[Check Equiparado]:[Check Equiparado]]="Sí",IF(DATOS!AI$5="Sí",(1/DATOS_[[% anualiz]:[% anualiz]]),1)*IF(DATOS!AI$4="Sí",1/DATOS_[[% normaliz]:[% normaliz]],1)*(DATOS_[Conc.Sal.05]))))))),
0)</f>
        <v>0</v>
      </c>
      <c r="O11" s="170">
        <f t="array" ref="O11">IFERROR(
(AVERAGE((IF(DATOS_[[Sexo]:[Sexo]]=$B11,IF(DATOS_[[Check Periodo Ref.]:[Check Periodo Ref.]]="Dentro",IF(DATOS_[[Check Equiparado]:[Check Equiparado]]="Sí",IF(DATOS!AJ$5="Sí",(1/DATOS_[[% anualiz]:[% anualiz]]),1)*IF(DATOS!AJ$4="Sí",1/DATOS_[[% normaliz]:[% normaliz]],1)*(DATOS_[Conc.Sal.06]))))))),
0)</f>
        <v>0</v>
      </c>
      <c r="P11" s="170">
        <f t="array" ref="P11">IFERROR(
(AVERAGE((IF(DATOS_[[Sexo]:[Sexo]]=$B11,IF(DATOS_[[Check Periodo Ref.]:[Check Periodo Ref.]]="Dentro",IF(DATOS_[[Check Equiparado]:[Check Equiparado]]="Sí",IF(DATOS!AK$5="Sí",(1/DATOS_[[% anualiz]:[% anualiz]]),1)*IF(DATOS!AK$4="Sí",1/DATOS_[[% normaliz]:[% normaliz]],1)*(DATOS_[Conc.Sal.07]))))))),
0)</f>
        <v>0</v>
      </c>
      <c r="Q11" s="170">
        <f t="array" ref="Q11">IFERROR(
(AVERAGE((IF(DATOS_[[Sexo]:[Sexo]]=$B11,IF(DATOS_[[Check Periodo Ref.]:[Check Periodo Ref.]]="Dentro",IF(DATOS_[[Check Equiparado]:[Check Equiparado]]="Sí",IF(DATOS!AL$5="Sí",(1/DATOS_[[% anualiz]:[% anualiz]]),1)*IF(DATOS!AL$4="Sí",1/DATOS_[[% normaliz]:[% normaliz]],1)*(DATOS_[Conc.Sal.08]))))))),
0)</f>
        <v>0</v>
      </c>
      <c r="R11" s="170">
        <f t="array" ref="R11">IFERROR(
(AVERAGE((IF(DATOS_[[Sexo]:[Sexo]]=$B11,IF(DATOS_[[Check Periodo Ref.]:[Check Periodo Ref.]]="Dentro",IF(DATOS_[[Check Equiparado]:[Check Equiparado]]="Sí",IF(DATOS!AM$5="Sí",(1/DATOS_[[% anualiz]:[% anualiz]]),1)*IF(DATOS!AM$4="Sí",1/DATOS_[[% normaliz]:[% normaliz]],1)*(DATOS_[Conc.Sal.09]))))))),
0)</f>
        <v>0</v>
      </c>
      <c r="S11" s="170">
        <f t="array" ref="S11">IFERROR(
(AVERAGE((IF(DATOS_[[Sexo]:[Sexo]]=$B11,IF(DATOS_[[Check Periodo Ref.]:[Check Periodo Ref.]]="Dentro",IF(DATOS_[[Check Equiparado]:[Check Equiparado]]="Sí",IF(DATOS!AN$5="Sí",(1/DATOS_[[% anualiz]:[% anualiz]]),1)*IF(DATOS!AN$4="Sí",1/DATOS_[[% normaliz]:[% normaliz]],1)*(DATOS_[Conc.Sal.10]))))))),
0)</f>
        <v>0</v>
      </c>
      <c r="T11" s="170">
        <f t="array" ref="T11">IFERROR(
(AVERAGE((IF(DATOS_[[Sexo]:[Sexo]]=$B11,IF(DATOS_[[Check Periodo Ref.]:[Check Periodo Ref.]]="Dentro",IF(DATOS_[[Check Equiparado]:[Check Equiparado]]="Sí",IF(DATOS!AO$5="Sí",(1/DATOS_[[% anualiz]:[% anualiz]]),1)*IF(DATOS!AO$4="Sí",1/DATOS_[[% normaliz]:[% normaliz]],1)*(DATOS_[Conc.Sal.11]))))))),
0)</f>
        <v>0</v>
      </c>
      <c r="U11" s="170">
        <f t="array" ref="U11">IFERROR(
(AVERAGE((IF(DATOS_[[Sexo]:[Sexo]]=$B11,IF(DATOS_[[Check Periodo Ref.]:[Check Periodo Ref.]]="Dentro",IF(DATOS_[[Check Equiparado]:[Check Equiparado]]="Sí",IF(DATOS!AP$5="Sí",(1/DATOS_[[% anualiz]:[% anualiz]]),1)*IF(DATOS!AP$4="Sí",1/DATOS_[[% normaliz]:[% normaliz]],1)*(DATOS_[Conc.Sal.12]))))))),
0)</f>
        <v>0</v>
      </c>
      <c r="V11" s="170">
        <f t="array" ref="V11">IFERROR(
(AVERAGE((IF(DATOS_[[Sexo]:[Sexo]]=$B11,IF(DATOS_[[Check Periodo Ref.]:[Check Periodo Ref.]]="Dentro",IF(DATOS_[[Check Equiparado]:[Check Equiparado]]="Sí",IF(DATOS!AQ$5="Sí",(1/DATOS_[[% anualiz]:[% anualiz]]),1)*IF(DATOS!AQ$4="Sí",1/DATOS_[[% normaliz]:[% normaliz]],1)*(DATOS_[Conc.Sal.13]))))))),
0)</f>
        <v>0</v>
      </c>
      <c r="W11" s="170">
        <f t="array" ref="W11">IFERROR(
(AVERAGE((IF(DATOS_[[Sexo]:[Sexo]]=$B11,IF(DATOS_[[Check Periodo Ref.]:[Check Periodo Ref.]]="Dentro",IF(DATOS_[[Check Equiparado]:[Check Equiparado]]="Sí",IF(DATOS!AR$5="Sí",(1/DATOS_[[% anualiz]:[% anualiz]]),1)*IF(DATOS!AR$4="Sí",1/DATOS_[[% normaliz]:[% normaliz]],1)*(DATOS_[Conc.Sal.14]))))))),
0)</f>
        <v>0</v>
      </c>
      <c r="X11" s="170">
        <f t="array" ref="X11">IFERROR(
(AVERAGE((IF(DATOS_[[Sexo]:[Sexo]]=$B11,IF(DATOS_[[Check Periodo Ref.]:[Check Periodo Ref.]]="Dentro",IF(DATOS_[[Check Equiparado]:[Check Equiparado]]="Sí",IF(DATOS!AS$5="Sí",(1/DATOS_[[% anualiz]:[% anualiz]]),1)*IF(DATOS!AS$4="Sí",1/DATOS_[[% normaliz]:[% normaliz]],1)*(DATOS_[Conc.Sal.15]))))))),
0)</f>
        <v>0</v>
      </c>
      <c r="Y11" s="170">
        <f t="array" ref="Y11">IFERROR(
(AVERAGE((IF(DATOS_[[Sexo]:[Sexo]]=$B11,IF(DATOS_[[Check Periodo Ref.]:[Check Periodo Ref.]]="Dentro",IF(DATOS_[[Check Equiparado]:[Check Equiparado]]="Sí",IF(DATOS!AT$5="Sí",(1/DATOS_[[% anualiz]:[% anualiz]]),1)*IF(DATOS!AT$4="Sí",1/DATOS_[[% normaliz]:[% normaliz]],1)*(DATOS_[Conc.Sal.16]))))))),
0)</f>
        <v>0</v>
      </c>
      <c r="Z11" s="170">
        <f t="array" ref="Z11">IFERROR(
(AVERAGE((IF(DATOS_[[Sexo]:[Sexo]]=$B11,IF(DATOS_[[Check Periodo Ref.]:[Check Periodo Ref.]]="Dentro",IF(DATOS_[[Check Equiparado]:[Check Equiparado]]="Sí",IF(DATOS!AU$5="Sí",(1/DATOS_[[% anualiz]:[% anualiz]]),1)*IF(DATOS!AU$4="Sí",1/DATOS_[[% normaliz]:[% normaliz]],1)*(DATOS_[Conc.Sal.17]))))))),
0)</f>
        <v>0</v>
      </c>
      <c r="AA11" s="170">
        <f t="array" ref="AA11">IFERROR(
(AVERAGE((IF(DATOS_[[Sexo]:[Sexo]]=$B11,IF(DATOS_[[Check Periodo Ref.]:[Check Periodo Ref.]]="Dentro",IF(DATOS_[[Check Equiparado]:[Check Equiparado]]="Sí",IF(DATOS!AV$5="Sí",(1/DATOS_[[% anualiz]:[% anualiz]]),1)*IF(DATOS!AV$4="Sí",1/DATOS_[[% normaliz]:[% normaliz]],1)*(DATOS_[Conc.Sal.18]))))))),
0)</f>
        <v>0</v>
      </c>
      <c r="AB11" s="170">
        <f t="array" ref="AB11">IFERROR(
(AVERAGE((IF(DATOS_[[Sexo]:[Sexo]]=$B11,IF(DATOS_[[Check Periodo Ref.]:[Check Periodo Ref.]]="Dentro",IF(DATOS_[[Check Equiparado]:[Check Equiparado]]="Sí",IF(DATOS!AW$5="Sí",(1/DATOS_[[% anualiz]:[% anualiz]]),1)*IF(DATOS!AW$4="Sí",1/DATOS_[[% normaliz]:[% normaliz]],1)*(DATOS_[Conc.Sal.19]))))))),
0)</f>
        <v>0</v>
      </c>
      <c r="AC11" s="170">
        <f t="array" ref="AC11">IFERROR(
(AVERAGE((IF(DATOS_[[Sexo]:[Sexo]]=$B11,IF(DATOS_[[Check Periodo Ref.]:[Check Periodo Ref.]]="Dentro",IF(DATOS_[[Check Equiparado]:[Check Equiparado]]="Sí",IF(DATOS!AX$5="Sí",(1/DATOS_[[% anualiz]:[% anualiz]]),1)*IF(DATOS!AX$4="Sí",1/DATOS_[[% normaliz]:[% normaliz]],1)*(DATOS_[Conc.Sal.20]))))))),
0)</f>
        <v>0</v>
      </c>
      <c r="AD11" s="170">
        <f t="array" ref="AD11">IFERROR(
(AVERAGE((IF(DATOS_[[Sexo]:[Sexo]]=$B11,IF(DATOS_[[Check Periodo Ref.]:[Check Periodo Ref.]]="Dentro",IF(DATOS_[[Check Equiparado]:[Check Equiparado]]="Sí",IF(DATOS!AY$5="Sí",(1/DATOS_[[% anualiz]:[% anualiz]]),1)*IF(DATOS!AY$4="Sí",1/DATOS_[[% normaliz]:[% normaliz]],1)*(DATOS_[Conc.Sal.21]))))))),
0)</f>
        <v>0</v>
      </c>
      <c r="AE11" s="170">
        <f t="array" ref="AE11">IFERROR(
(AVERAGE((IF(DATOS_[[Sexo]:[Sexo]]=$B11,IF(DATOS_[[Check Periodo Ref.]:[Check Periodo Ref.]]="Dentro",IF(DATOS_[[Check Equiparado]:[Check Equiparado]]="Sí",IF(DATOS!AZ$5="Sí",(1/DATOS_[[% anualiz]:[% anualiz]]),1)*IF(DATOS!AZ$4="Sí",1/DATOS_[[% normaliz]:[% normaliz]],1)*(DATOS_[Conc.Sal.22]))))))),
0)</f>
        <v>2.1005660377358488</v>
      </c>
      <c r="AF11" s="170">
        <f t="array" ref="AF11">IFERROR(
(AVERAGE((IF(DATOS_[[Sexo]:[Sexo]]=$B11,IF(DATOS_[[Check Periodo Ref.]:[Check Periodo Ref.]]="Dentro",IF(DATOS_[[Check Equiparado]:[Check Equiparado]]="Sí",IF(DATOS!BA$5="Sí",(1/DATOS_[[% anualiz]:[% anualiz]]),1)*IF(DATOS!BA$4="Sí",1/DATOS_[[% normaliz]:[% normaliz]],1)*(DATOS_[Conc.Sal.23]))))))),
0)</f>
        <v>7.3584905660377355</v>
      </c>
      <c r="AG11" s="170">
        <f t="array" ref="AG11">IFERROR(
(AVERAGE((IF(DATOS_[[Sexo]:[Sexo]]=$B11,IF(DATOS_[[Check Periodo Ref.]:[Check Periodo Ref.]]="Dentro",IF(DATOS_[[Check Equiparado]:[Check Equiparado]]="Sí",IF(DATOS!BB$5="Sí",(1/DATOS_[[% anualiz]:[% anualiz]]),1)*IF(DATOS!BB$4="Sí",1/DATOS_[[% normaliz]:[% normaliz]],1)*(DATOS_[Conc.Sal.24]))))))),
0)</f>
        <v>0</v>
      </c>
      <c r="AH11" s="170">
        <f t="array" ref="AH11">IFERROR(
(AVERAGE((IF(DATOS_[[Sexo]:[Sexo]]=$B11,IF(DATOS_[[Check Periodo Ref.]:[Check Periodo Ref.]]="Dentro",IF(DATOS_[[Check Equiparado]:[Check Equiparado]]="Sí",IF(DATOS!BC$5="Sí",(1/DATOS_[[% anualiz]:[% anualiz]]),1)*IF(DATOS!BC$4="Sí",1/DATOS_[[% normaliz]:[% normaliz]],1)*(DATOS_[Conc.Sal.25]))))))),
0)</f>
        <v>0</v>
      </c>
      <c r="AI11" s="170">
        <f t="array" ref="AI11">IFERROR(
(AVERAGE((IF(DATOS_[[Sexo]:[Sexo]]=$B11,IF(DATOS_[[Check Periodo Ref.]:[Check Periodo Ref.]]="Dentro",IF(DATOS_[[Check Equiparado]:[Check Equiparado]]="Sí",IF(DATOS!BD$5="Sí",(1/DATOS_[[% anualiz]:[% anualiz]]),1)*IF(DATOS!BD$4="Sí",1/DATOS_[[% normaliz]:[% normaliz]],1)*(DATOS_[Conc.Sal.26]))))))),
0)</f>
        <v>0</v>
      </c>
      <c r="AJ11" s="170">
        <f t="array" ref="AJ11">IFERROR(
(AVERAGE((IF(DATOS_[[Sexo]:[Sexo]]=$B11,IF(DATOS_[[Check Periodo Ref.]:[Check Periodo Ref.]]="Dentro",IF(DATOS_[[Check Equiparado]:[Check Equiparado]]="Sí",IF(DATOS!BE$5="Sí",(1/DATOS_[[% anualiz]:[% anualiz]]),1)*IF(DATOS!BE$4="Sí",1/DATOS_[[% normaliz]:[% normaliz]],1)*(DATOS_[Conc.Sal.27]))))))),
0)</f>
        <v>0</v>
      </c>
      <c r="AK11" s="170">
        <f t="array" ref="AK11">IFERROR(
(AVERAGE((IF(DATOS_[[Sexo]:[Sexo]]=$B11,IF(DATOS_[[Check Periodo Ref.]:[Check Periodo Ref.]]="Dentro",IF(DATOS_[[Check Equiparado]:[Check Equiparado]]="Sí",IF(DATOS!BF$5="Sí",(1/DATOS_[[% anualiz]:[% anualiz]]),1)*IF(DATOS!BF$4="Sí",1/DATOS_[[% normaliz]:[% normaliz]],1)*(DATOS_[Conc.Sal.28]))))))),
0)</f>
        <v>0</v>
      </c>
      <c r="AL11" s="170">
        <f t="array" ref="AL11">IFERROR(
(AVERAGE((IF(DATOS_[[Sexo]:[Sexo]]=$B11,IF(DATOS_[[Check Periodo Ref.]:[Check Periodo Ref.]]="Dentro",IF(DATOS_[[Check Equiparado]:[Check Equiparado]]="Sí",IF(DATOS!BG$5="Sí",(1/DATOS_[[% anualiz]:[% anualiz]]),1)*IF(DATOS!BG$4="Sí",1/DATOS_[[% normaliz]:[% normaliz]],1)*(DATOS_[Conc.Sal.29]))))))),
0)</f>
        <v>0</v>
      </c>
      <c r="AM11" s="170">
        <f t="array" ref="AM11">IFERROR(
(AVERAGE((IF(DATOS_[[Sexo]:[Sexo]]=$B11,IF(DATOS_[[Check Periodo Ref.]:[Check Periodo Ref.]]="Dentro",IF(DATOS_[[Check Equiparado]:[Check Equiparado]]="Sí",IF(DATOS!BH$5="Sí",(1/DATOS_[[% anualiz]:[% anualiz]]),1)*IF(DATOS!BH$4="Sí",1/DATOS_[[% normaliz]:[% normaliz]],1)*(DATOS_[Conc.Sal.30]))))))),
0)</f>
        <v>0</v>
      </c>
      <c r="AN11" s="171">
        <f t="array" ref="AN11">IFERROR(
AVERAGE(IF(DATOS_[Sexo]=$B11,IF(DATOS_[Check Equiparado]="Sí",IF(DATOS_[Check Periodo Ref.]="Dentro",DATOS_[Tot COMPL.SAL Eq],FALSE)))),
0)</f>
        <v>0</v>
      </c>
      <c r="AO11" s="172">
        <f t="array" ref="AO11">IFERROR(
AVERAGE(IF(DATOS_[Sexo]=$B11,IF(DATOS_[Check Equiparado]="Sí",IF(DATOS_[Check Periodo Ref.]="Dentro",DATOS_[TOTAL SALARIO Eq],FALSE)))),
0)</f>
        <v>0</v>
      </c>
      <c r="AP11" s="173">
        <f t="array" ref="AP11">IFERROR(
(AVERAGE((IF(DATOS_[[Sexo]:[Sexo]]=$B11,IF(DATOS_[[Check Periodo Ref.]:[Check Periodo Ref.]]="Dentro",IF(DATOS_[[Check Equiparado]:[Check Equiparado]]="Sí",IF(DATOS!BW$5="Sí",(1/DATOS_[[% anualiz]:[% anualiz]]),1)*IF(DATOS!BW$4="Sí",1/DATOS_[[% normaliz]:[% normaliz]],1)*(DATOS_[C.Extra.01]))))))),
0)</f>
        <v>0</v>
      </c>
      <c r="AQ11" s="173">
        <f t="array" ref="AQ11">IFERROR(
(AVERAGE((IF(DATOS_[[Sexo]:[Sexo]]=$B11,IF(DATOS_[[Check Periodo Ref.]:[Check Periodo Ref.]]="Dentro",IF(DATOS_[[Check Equiparado]:[Check Equiparado]]="Sí",IF(DATOS!CB$5="Sí",(1/DATOS_[[% anualiz]:[% anualiz]]),1)*IF(DATOS!CB$4="Sí",1/DATOS_[[% normaliz]:[% normaliz]],1)*(DATOS_[C.Extra.06]))))))),
0)</f>
        <v>0</v>
      </c>
      <c r="AR11" s="173">
        <f t="array" ref="AR11">IFERROR(
(AVERAGE((IF(DATOS_[[Sexo]:[Sexo]]=$B11,IF(DATOS_[[Check Periodo Ref.]:[Check Periodo Ref.]]="Dentro",IF(DATOS_[[Check Equiparado]:[Check Equiparado]]="Sí",IF(DATOS!CC$5="Sí",(1/DATOS_[[% anualiz]:[% anualiz]]),1)*IF(DATOS!CC$4="Sí",1/DATOS_[[% normaliz]:[% normaliz]],1)*(DATOS_[C.Extra.07]))))))),
0)</f>
        <v>0</v>
      </c>
      <c r="AS11" s="173">
        <f t="array" ref="AS11">IFERROR(
(AVERAGE((IF(DATOS_[[Sexo]:[Sexo]]=$B11,IF(DATOS_[[Check Periodo Ref.]:[Check Periodo Ref.]]="Dentro",IF(DATOS_[[Check Equiparado]:[Check Equiparado]]="Sí",IF(DATOS!CD$5="Sí",(1/DATOS_[[% anualiz]:[% anualiz]]),1)*IF(DATOS!CD$4="Sí",1/DATOS_[[% normaliz]:[% normaliz]],1)*(DATOS_[C.Extra.08]))))))),
0)</f>
        <v>0</v>
      </c>
      <c r="AT11" s="173">
        <f t="array" ref="AT11">IFERROR(
(AVERAGE((IF(DATOS_[[Sexo]:[Sexo]]=$B11,IF(DATOS_[[Check Periodo Ref.]:[Check Periodo Ref.]]="Dentro",IF(DATOS_[[Check Equiparado]:[Check Equiparado]]="Sí",IF(DATOS!CG$5="Sí",(1/DATOS_[[% anualiz]:[% anualiz]]),1)*IF(DATOS!CG$4="Sí",1/DATOS_[[% normaliz]:[% normaliz]],1)*(DATOS_[C.Extra.11]))))))),
0)</f>
        <v>0</v>
      </c>
      <c r="AU11" s="174">
        <f t="array" ref="AU11">IFERROR(
AVERAGE(IF(DATOS_[Sexo]=$B11,IF(DATOS_[Check Equiparado]="Sí",IF(DATOS_[Check Periodo Ref.]="Dentro",DATOS_[Tot Extrasalarial Eq],FALSE)))),
0)</f>
        <v>0</v>
      </c>
      <c r="AV11" s="175">
        <f t="array" ref="AV11">IFERROR(
AVERAGE(IF(DATOS_[Sexo]=$B11,IF(DATOS_[Check Equiparado]="Sí",IF(DATOS_[Check Periodo Ref.]="Dentro",DATOS_[TOTAL Retrib Eq],FALSE)))),
0)</f>
        <v>0</v>
      </c>
    </row>
    <row r="12" spans="1:48" x14ac:dyDescent="0.25">
      <c r="D12" s="205"/>
      <c r="E12" s="205"/>
      <c r="F12" s="205"/>
      <c r="G12" s="205"/>
      <c r="H12" s="205"/>
      <c r="N12" s="206"/>
      <c r="O12" s="207"/>
      <c r="P12" s="207"/>
      <c r="Q12" s="207"/>
      <c r="R12" s="207"/>
      <c r="S12" s="207"/>
      <c r="T12" s="207"/>
      <c r="U12" s="207"/>
      <c r="V12" s="207"/>
      <c r="W12" s="207"/>
      <c r="X12" s="207"/>
      <c r="Y12" s="207"/>
      <c r="Z12" s="206"/>
      <c r="AA12" s="206"/>
      <c r="AB12" s="206"/>
      <c r="AC12" s="206"/>
      <c r="AD12" s="206"/>
      <c r="AE12" s="206"/>
      <c r="AF12" s="206"/>
      <c r="AG12" s="206"/>
      <c r="AH12" s="206"/>
      <c r="AI12" s="206"/>
      <c r="AJ12" s="206"/>
      <c r="AK12" s="206"/>
      <c r="AL12" s="206"/>
      <c r="AM12" s="206"/>
      <c r="AP12" s="207"/>
      <c r="AQ12" s="207"/>
      <c r="AR12" s="207"/>
      <c r="AS12" s="207"/>
      <c r="AT12" s="207"/>
    </row>
    <row r="13" spans="1:48" x14ac:dyDescent="0.25">
      <c r="D13" s="205"/>
      <c r="E13" s="205"/>
      <c r="F13" s="205"/>
      <c r="G13" s="205"/>
      <c r="H13" s="205"/>
      <c r="N13" s="206"/>
      <c r="O13" s="207"/>
      <c r="P13" s="207"/>
      <c r="Q13" s="207"/>
      <c r="R13" s="207"/>
      <c r="S13" s="207"/>
      <c r="T13" s="207"/>
      <c r="U13" s="207"/>
      <c r="V13" s="207"/>
      <c r="W13" s="207"/>
      <c r="X13" s="207"/>
      <c r="Y13" s="207"/>
      <c r="Z13" s="206"/>
      <c r="AA13" s="206"/>
      <c r="AB13" s="206"/>
      <c r="AC13" s="206"/>
      <c r="AD13" s="206"/>
      <c r="AE13" s="206"/>
      <c r="AF13" s="206"/>
      <c r="AG13" s="206"/>
      <c r="AH13" s="206"/>
      <c r="AI13" s="206"/>
      <c r="AJ13" s="206"/>
      <c r="AK13" s="206"/>
      <c r="AL13" s="206"/>
      <c r="AM13" s="206"/>
      <c r="AP13" s="207"/>
      <c r="AQ13" s="207"/>
      <c r="AR13" s="207"/>
      <c r="AS13" s="207"/>
      <c r="AT13" s="207"/>
    </row>
    <row r="14" spans="1:48" s="203" customFormat="1" ht="46.35" customHeight="1" x14ac:dyDescent="0.3">
      <c r="B14" s="198"/>
      <c r="C14" s="198" t="s">
        <v>621</v>
      </c>
      <c r="D14" s="198" t="s">
        <v>622</v>
      </c>
      <c r="E14" s="198" t="s">
        <v>314</v>
      </c>
      <c r="F14" s="198" t="s">
        <v>316</v>
      </c>
      <c r="G14" s="198" t="s">
        <v>318</v>
      </c>
      <c r="H14" s="198" t="s">
        <v>624</v>
      </c>
      <c r="I14" s="146" t="s">
        <v>323</v>
      </c>
      <c r="J14" s="187" t="str">
        <f>+J8</f>
        <v>HORAS EXTRAS</v>
      </c>
      <c r="K14" s="187" t="str">
        <f t="shared" ref="K14:AM14" si="3">+K8</f>
        <v>SEGURO CONVENIO</v>
      </c>
      <c r="L14" s="187" t="str">
        <f t="shared" si="3"/>
        <v>PLUS UNIFICADO</v>
      </c>
      <c r="M14" s="187" t="str">
        <f t="shared" si="3"/>
        <v>GARANTIA AD PERS</v>
      </c>
      <c r="N14" s="187" t="str">
        <f t="shared" si="3"/>
        <v>COMISIONES</v>
      </c>
      <c r="O14" s="187" t="str">
        <f t="shared" si="3"/>
        <v>DOMINGOS Y FESTIVOS</v>
      </c>
      <c r="P14" s="187" t="str">
        <f t="shared" si="3"/>
        <v>LOCOMOCION NO</v>
      </c>
      <c r="Q14" s="187" t="str">
        <f t="shared" si="3"/>
        <v>PLUS EXTRA VAC</v>
      </c>
      <c r="R14" s="187" t="str">
        <f t="shared" si="3"/>
        <v>PLUS DE TRANS</v>
      </c>
      <c r="S14" s="187" t="str">
        <f t="shared" si="3"/>
        <v>PLUS ACTIVIDAD</v>
      </c>
      <c r="T14" s="187" t="str">
        <f t="shared" si="3"/>
        <v>CUOTA SINDICAL</v>
      </c>
      <c r="U14" s="187" t="str">
        <f t="shared" si="3"/>
        <v>AYUDA FAMILIAR</v>
      </c>
      <c r="V14" s="187" t="str">
        <f t="shared" si="3"/>
        <v>INCENTIVO</v>
      </c>
      <c r="W14" s="187" t="str">
        <f t="shared" si="3"/>
        <v>SEGURO MEDICO</v>
      </c>
      <c r="X14" s="187" t="str">
        <f t="shared" si="3"/>
        <v>DES. SEGURO MEDICO</v>
      </c>
      <c r="Y14" s="187" t="str">
        <f t="shared" si="3"/>
        <v>SEGURO SALUD 2</v>
      </c>
      <c r="Z14" s="187" t="str">
        <f t="shared" si="3"/>
        <v>COMP. EMPRESA I.T.</v>
      </c>
      <c r="AA14" s="187" t="str">
        <f t="shared" si="3"/>
        <v>I.T. CUENTA EMPRESA</v>
      </c>
      <c r="AB14" s="187" t="str">
        <f t="shared" si="3"/>
        <v>SALARIO EN ESPECIE</v>
      </c>
      <c r="AC14" s="187" t="str">
        <f t="shared" si="3"/>
        <v>PLUS DE POLIVALENCIA</v>
      </c>
      <c r="AD14" s="187" t="str">
        <f t="shared" si="3"/>
        <v>LIQUID  PAGAS EXTRA</v>
      </c>
      <c r="AE14" s="187" t="str">
        <f t="shared" si="3"/>
        <v>[ocultar]</v>
      </c>
      <c r="AF14" s="187" t="str">
        <f t="shared" si="3"/>
        <v>[ocultar]</v>
      </c>
      <c r="AG14" s="187" t="str">
        <f t="shared" si="3"/>
        <v>[ocultar]</v>
      </c>
      <c r="AH14" s="187" t="str">
        <f t="shared" si="3"/>
        <v>[ocultar]</v>
      </c>
      <c r="AI14" s="187" t="str">
        <f t="shared" si="3"/>
        <v>[ocultar]</v>
      </c>
      <c r="AJ14" s="187" t="str">
        <f t="shared" si="3"/>
        <v>[ocultar]</v>
      </c>
      <c r="AK14" s="187" t="str">
        <f t="shared" si="3"/>
        <v>[ocultar]</v>
      </c>
      <c r="AL14" s="187" t="str">
        <f t="shared" si="3"/>
        <v>[ocultar]</v>
      </c>
      <c r="AM14" s="187" t="str">
        <f t="shared" si="3"/>
        <v>[ocultar]</v>
      </c>
      <c r="AN14" s="148" t="s">
        <v>324</v>
      </c>
      <c r="AO14" s="188" t="s">
        <v>325</v>
      </c>
      <c r="AP14" s="150" t="str">
        <f>+AP8</f>
        <v>[ocultar]</v>
      </c>
      <c r="AQ14" s="150" t="str">
        <f t="shared" ref="AQ14:AT14" si="4">+AQ8</f>
        <v>[ocultar]</v>
      </c>
      <c r="AR14" s="150" t="str">
        <f t="shared" si="4"/>
        <v>[ocultar]</v>
      </c>
      <c r="AS14" s="150" t="str">
        <f t="shared" si="4"/>
        <v>[ocultar]</v>
      </c>
      <c r="AT14" s="150" t="str">
        <f t="shared" si="4"/>
        <v>[ocultar]</v>
      </c>
      <c r="AU14" s="151" t="s">
        <v>326</v>
      </c>
      <c r="AV14" s="148" t="s">
        <v>327</v>
      </c>
    </row>
    <row r="15" spans="1:48" ht="15.6" thickBot="1" x14ac:dyDescent="0.3">
      <c r="A15" s="133" t="str">
        <f>+A16</f>
        <v>[ocultar]</v>
      </c>
      <c r="B15" s="199" t="s">
        <v>178</v>
      </c>
      <c r="C15" s="200"/>
      <c r="D15" s="201"/>
      <c r="E15" s="201"/>
      <c r="F15" s="201"/>
      <c r="G15" s="201"/>
      <c r="H15" s="201"/>
      <c r="I15" s="189" t="str">
        <f t="shared" ref="I15" si="5">IFERROR((I16-I17)/I16,"")</f>
        <v/>
      </c>
      <c r="J15" s="190" t="str">
        <f>IFERROR((J16-J17)/J16,"")</f>
        <v/>
      </c>
      <c r="K15" s="191" t="str">
        <f t="shared" ref="K15:AV15" si="6">IFERROR((K16-K17)/K16,"")</f>
        <v/>
      </c>
      <c r="L15" s="191" t="str">
        <f t="shared" si="6"/>
        <v/>
      </c>
      <c r="M15" s="191" t="str">
        <f t="shared" si="6"/>
        <v/>
      </c>
      <c r="N15" s="192" t="str">
        <f t="shared" si="6"/>
        <v/>
      </c>
      <c r="O15" s="193" t="str">
        <f t="shared" si="6"/>
        <v/>
      </c>
      <c r="P15" s="193" t="str">
        <f t="shared" si="6"/>
        <v/>
      </c>
      <c r="Q15" s="193" t="str">
        <f t="shared" si="6"/>
        <v/>
      </c>
      <c r="R15" s="193" t="str">
        <f t="shared" si="6"/>
        <v/>
      </c>
      <c r="S15" s="193" t="str">
        <f t="shared" si="6"/>
        <v/>
      </c>
      <c r="T15" s="193" t="str">
        <f t="shared" si="6"/>
        <v/>
      </c>
      <c r="U15" s="193" t="str">
        <f t="shared" si="6"/>
        <v/>
      </c>
      <c r="V15" s="193" t="str">
        <f t="shared" si="6"/>
        <v/>
      </c>
      <c r="W15" s="193" t="str">
        <f t="shared" si="6"/>
        <v/>
      </c>
      <c r="X15" s="193" t="str">
        <f t="shared" si="6"/>
        <v/>
      </c>
      <c r="Y15" s="193" t="str">
        <f t="shared" si="6"/>
        <v/>
      </c>
      <c r="Z15" s="193" t="str">
        <f t="shared" si="6"/>
        <v/>
      </c>
      <c r="AA15" s="193" t="str">
        <f t="shared" si="6"/>
        <v/>
      </c>
      <c r="AB15" s="193" t="str">
        <f t="shared" si="6"/>
        <v/>
      </c>
      <c r="AC15" s="193" t="str">
        <f t="shared" si="6"/>
        <v/>
      </c>
      <c r="AD15" s="193" t="str">
        <f t="shared" si="6"/>
        <v/>
      </c>
      <c r="AE15" s="193" t="str">
        <f t="shared" si="6"/>
        <v/>
      </c>
      <c r="AF15" s="193" t="str">
        <f t="shared" si="6"/>
        <v/>
      </c>
      <c r="AG15" s="193" t="str">
        <f t="shared" si="6"/>
        <v/>
      </c>
      <c r="AH15" s="193" t="str">
        <f t="shared" si="6"/>
        <v/>
      </c>
      <c r="AI15" s="193" t="str">
        <f t="shared" si="6"/>
        <v/>
      </c>
      <c r="AJ15" s="193" t="str">
        <f t="shared" si="6"/>
        <v/>
      </c>
      <c r="AK15" s="193" t="str">
        <f t="shared" si="6"/>
        <v/>
      </c>
      <c r="AL15" s="193" t="str">
        <f t="shared" si="6"/>
        <v/>
      </c>
      <c r="AM15" s="193" t="str">
        <f t="shared" si="6"/>
        <v/>
      </c>
      <c r="AN15" s="189" t="str">
        <f t="shared" si="6"/>
        <v/>
      </c>
      <c r="AO15" s="162" t="str">
        <f t="shared" si="6"/>
        <v/>
      </c>
      <c r="AP15" s="163" t="str">
        <f t="shared" si="6"/>
        <v/>
      </c>
      <c r="AQ15" s="163" t="str">
        <f t="shared" si="6"/>
        <v/>
      </c>
      <c r="AR15" s="163" t="str">
        <f t="shared" si="6"/>
        <v/>
      </c>
      <c r="AS15" s="163" t="str">
        <f t="shared" si="6"/>
        <v/>
      </c>
      <c r="AT15" s="163" t="str">
        <f t="shared" si="6"/>
        <v/>
      </c>
      <c r="AU15" s="194" t="str">
        <f t="shared" si="6"/>
        <v/>
      </c>
      <c r="AV15" s="165" t="str">
        <f t="shared" si="6"/>
        <v/>
      </c>
    </row>
    <row r="16" spans="1:48" x14ac:dyDescent="0.25">
      <c r="A16" s="133" t="str">
        <f>+IF(C16+C17=0,"[ocultar]","")</f>
        <v>[ocultar]</v>
      </c>
      <c r="B16" s="202" t="s">
        <v>394</v>
      </c>
      <c r="C16" s="203">
        <f t="array" ref="C16">SUM(IF($B16=DATOS_[Sexo],
IF($B15=DATOS_[AGRUP. CLAS. PROF.],
IF("Dentro"=DATOS_[Check Periodo Ref.],
1/(COUNTIFS(DATOS_[Sexo],$B16,DATOS_[AGRUP. CLAS. PROF.],$B15,DATOS_[Check Periodo Ref.],"Dentro",DATOS_[id/cod],DATOS_[id/cod]))))))</f>
        <v>0</v>
      </c>
      <c r="D16" s="204">
        <f>COUNTIFS(DATOS_[AGRUP. CLAS. PROF.],$B15,DATOS_[Sexo],$B16,DATOS_[Check Periodo Ref.],"Dentro")</f>
        <v>0</v>
      </c>
      <c r="E16" s="204">
        <f>COUNTIFS(DATOS_[AGRUP. CLAS. PROF.],$B15,DATOS_[Sexo],$B16,DATOS_[Check Periodo Ref.],"Dentro",DATOS_[Check Nº SC Norm],"Sí")</f>
        <v>0</v>
      </c>
      <c r="F16" s="204">
        <f>COUNTIFS(DATOS_[AGRUP. CLAS. PROF.],$B15,DATOS_[Sexo],$B16,DATOS_[Check Periodo Ref.],"Dentro",DATOS_[Check Nº SC Anualiz],"Sí")</f>
        <v>0</v>
      </c>
      <c r="G16" s="204">
        <f>COUNTIFS(DATOS_[AGRUP. CLAS. PROF.],$B15,DATOS_[Sexo],$B16,DATOS_[Check Periodo Ref.],"Dentro",DATOS_[Check Nº SC Norm y Anualiz],"Sí")</f>
        <v>0</v>
      </c>
      <c r="H16" s="204">
        <f>COUNTIFS(DATOS_[AGRUP. CLAS. PROF.],$B15,DATOS_[Sexo],$B16,DATOS_[Check Periodo Ref.],"Dentro",DATOS_[Check Equiparación],"Sí")</f>
        <v>0</v>
      </c>
      <c r="I16" s="195">
        <f t="array" ref="I16">IFERROR(
AVERAGE(IF(DATOS_[Sexo]=$B16,IF(DATOS_[[AGRUP. CLAS. PROF.]:[AGRUP. CLAS. PROF.]]=$B15,IF(DATOS_[Check Equiparado]="Sí",IF(DATOS_[Check Periodo Ref.]="Dentro",DATOS_[SALARIO BASE Eq],FALSE))))),
0)</f>
        <v>0</v>
      </c>
      <c r="J16" s="196">
        <f t="array" ref="J16">IFERROR(
(AVERAGE((IF(DATOS_[[Sexo]:[Sexo]]=$B16,IF(DATOS_[[AGRUP. CLAS. PROF.]:[AGRUP. CLAS. PROF.]]=$B15,IF(DATOS_[[Check Periodo Ref.]:[Check Periodo Ref.]]="Dentro",IF(DATOS_[[Check Equiparado]:[Check Equiparado]]="Sí",IF(DATOS!AE$5="Sí",(1/DATOS_[[% anualiz]:[% anualiz]]),1)*IF(DATOS!AE$4="Sí",1/DATOS_[[% normaliz]:[% normaliz]],1)*(DATOS_[Conc.Sal.01])))))))),
0)</f>
        <v>0</v>
      </c>
      <c r="K16" s="196">
        <f t="array" ref="K16">IFERROR(
(AVERAGE((IF(DATOS_[[Sexo]:[Sexo]]=$B16,IF(DATOS_[[AGRUP. CLAS. PROF.]:[AGRUP. CLAS. PROF.]]=$B15,IF(DATOS_[[Check Periodo Ref.]:[Check Periodo Ref.]]="Dentro",IF(DATOS_[[Check Equiparado]:[Check Equiparado]]="Sí",IF(DATOS!AF$5="Sí",(1/DATOS_[[% anualiz]:[% anualiz]]),1)*IF(DATOS!AF$4="Sí",1/DATOS_[[% normaliz]:[% normaliz]],1)*(DATOS_[Conc.Sal.02])))))))),
0)</f>
        <v>0</v>
      </c>
      <c r="L16" s="196">
        <f t="array" ref="L16">IFERROR(
(AVERAGE((IF(DATOS_[[Sexo]:[Sexo]]=$B16,IF(DATOS_[[AGRUP. CLAS. PROF.]:[AGRUP. CLAS. PROF.]]=$B15,IF(DATOS_[[Check Periodo Ref.]:[Check Periodo Ref.]]="Dentro",IF(DATOS_[[Check Equiparado]:[Check Equiparado]]="Sí",IF(DATOS!AG$5="Sí",(1/DATOS_[[% anualiz]:[% anualiz]]),1)*IF(DATOS!AG$4="Sí",1/DATOS_[[% normaliz]:[% normaliz]],1)*(DATOS_[Conc.Sal.03])))))))),
0)</f>
        <v>0</v>
      </c>
      <c r="M16" s="196">
        <f t="array" ref="M16">IFERROR(
(AVERAGE((IF(DATOS_[[Sexo]:[Sexo]]=$B16,IF(DATOS_[[AGRUP. CLAS. PROF.]:[AGRUP. CLAS. PROF.]]=$B15,IF(DATOS_[[Check Periodo Ref.]:[Check Periodo Ref.]]="Dentro",IF(DATOS_[[Check Equiparado]:[Check Equiparado]]="Sí",IF(DATOS!AH$5="Sí",(1/DATOS_[[% anualiz]:[% anualiz]]),1)*IF(DATOS!AH$4="Sí",1/DATOS_[[% normaliz]:[% normaliz]],1)*(DATOS_[Conc.Sal.04])))))))),
0)</f>
        <v>0</v>
      </c>
      <c r="N16" s="196">
        <f t="array" ref="N16">IFERROR(
(AVERAGE((IF(DATOS_[[Sexo]:[Sexo]]=$B16,IF(DATOS_[[AGRUP. CLAS. PROF.]:[AGRUP. CLAS. PROF.]]=$B15,IF(DATOS_[[Check Periodo Ref.]:[Check Periodo Ref.]]="Dentro",IF(DATOS_[[Check Equiparado]:[Check Equiparado]]="Sí",IF(DATOS!AI$5="Sí",(1/DATOS_[[% anualiz]:[% anualiz]]),1)*IF(DATOS!AI$4="Sí",1/DATOS_[[% normaliz]:[% normaliz]],1)*(DATOS_[Conc.Sal.05])))))))),
0)</f>
        <v>0</v>
      </c>
      <c r="O16" s="196">
        <f t="array" ref="O16">IFERROR(
(AVERAGE((IF(DATOS_[[Sexo]:[Sexo]]=$B16,IF(DATOS_[[AGRUP. CLAS. PROF.]:[AGRUP. CLAS. PROF.]]=$B15,IF(DATOS_[[Check Periodo Ref.]:[Check Periodo Ref.]]="Dentro",IF(DATOS_[[Check Equiparado]:[Check Equiparado]]="Sí",IF(DATOS!AJ$5="Sí",(1/DATOS_[[% anualiz]:[% anualiz]]),1)*IF(DATOS!AJ$4="Sí",1/DATOS_[[% normaliz]:[% normaliz]],1)*(DATOS_[Conc.Sal.06])))))))),
0)</f>
        <v>0</v>
      </c>
      <c r="P16" s="196">
        <f t="array" ref="P16">IFERROR(
(AVERAGE((IF(DATOS_[[Sexo]:[Sexo]]=$B16,IF(DATOS_[[AGRUP. CLAS. PROF.]:[AGRUP. CLAS. PROF.]]=$B15,IF(DATOS_[[Check Periodo Ref.]:[Check Periodo Ref.]]="Dentro",IF(DATOS_[[Check Equiparado]:[Check Equiparado]]="Sí",IF(DATOS!AK$5="Sí",(1/DATOS_[[% anualiz]:[% anualiz]]),1)*IF(DATOS!AK$4="Sí",1/DATOS_[[% normaliz]:[% normaliz]],1)*(DATOS_[Conc.Sal.07])))))))),
0)</f>
        <v>0</v>
      </c>
      <c r="Q16" s="196">
        <f t="array" ref="Q16">IFERROR(
(AVERAGE((IF(DATOS_[[Sexo]:[Sexo]]=$B16,IF(DATOS_[[AGRUP. CLAS. PROF.]:[AGRUP. CLAS. PROF.]]=$B15,IF(DATOS_[[Check Periodo Ref.]:[Check Periodo Ref.]]="Dentro",IF(DATOS_[[Check Equiparado]:[Check Equiparado]]="Sí",IF(DATOS!AL$5="Sí",(1/DATOS_[[% anualiz]:[% anualiz]]),1)*IF(DATOS!AL$4="Sí",1/DATOS_[[% normaliz]:[% normaliz]],1)*(DATOS_[Conc.Sal.08])))))))),
0)</f>
        <v>0</v>
      </c>
      <c r="R16" s="196">
        <f t="array" ref="R16">IFERROR(
(AVERAGE((IF(DATOS_[[Sexo]:[Sexo]]=$B16,IF(DATOS_[[AGRUP. CLAS. PROF.]:[AGRUP. CLAS. PROF.]]=$B15,IF(DATOS_[[Check Periodo Ref.]:[Check Periodo Ref.]]="Dentro",IF(DATOS_[[Check Equiparado]:[Check Equiparado]]="Sí",IF(DATOS!AM$5="Sí",(1/DATOS_[[% anualiz]:[% anualiz]]),1)*IF(DATOS!AM$4="Sí",1/DATOS_[[% normaliz]:[% normaliz]],1)*(DATOS_[Conc.Sal.09])))))))),
0)</f>
        <v>0</v>
      </c>
      <c r="S16" s="196">
        <f t="array" ref="S16">IFERROR(
(AVERAGE((IF(DATOS_[[Sexo]:[Sexo]]=$B16,IF(DATOS_[[AGRUP. CLAS. PROF.]:[AGRUP. CLAS. PROF.]]=$B15,IF(DATOS_[[Check Periodo Ref.]:[Check Periodo Ref.]]="Dentro",IF(DATOS_[[Check Equiparado]:[Check Equiparado]]="Sí",IF(DATOS!AN$5="Sí",(1/DATOS_[[% anualiz]:[% anualiz]]),1)*IF(DATOS!AN$4="Sí",1/DATOS_[[% normaliz]:[% normaliz]],1)*(DATOS_[Conc.Sal.10])))))))),
0)</f>
        <v>0</v>
      </c>
      <c r="T16" s="196">
        <f t="array" ref="T16">IFERROR(
(AVERAGE((IF(DATOS_[[Sexo]:[Sexo]]=$B16,IF(DATOS_[[AGRUP. CLAS. PROF.]:[AGRUP. CLAS. PROF.]]=$B15,IF(DATOS_[[Check Periodo Ref.]:[Check Periodo Ref.]]="Dentro",IF(DATOS_[[Check Equiparado]:[Check Equiparado]]="Sí",IF(DATOS!AO$5="Sí",(1/DATOS_[[% anualiz]:[% anualiz]]),1)*IF(DATOS!AO$4="Sí",1/DATOS_[[% normaliz]:[% normaliz]],1)*(DATOS_[Conc.Sal.11])))))))),
0)</f>
        <v>0</v>
      </c>
      <c r="U16" s="196">
        <f t="array" ref="U16">IFERROR(
(AVERAGE((IF(DATOS_[[Sexo]:[Sexo]]=$B16,IF(DATOS_[[AGRUP. CLAS. PROF.]:[AGRUP. CLAS. PROF.]]=$B15,IF(DATOS_[[Check Periodo Ref.]:[Check Periodo Ref.]]="Dentro",IF(DATOS_[[Check Equiparado]:[Check Equiparado]]="Sí",IF(DATOS!AP$5="Sí",(1/DATOS_[[% anualiz]:[% anualiz]]),1)*IF(DATOS!AP$4="Sí",1/DATOS_[[% normaliz]:[% normaliz]],1)*(DATOS_[Conc.Sal.12])))))))),
0)</f>
        <v>0</v>
      </c>
      <c r="V16" s="196">
        <f t="array" ref="V16">IFERROR(
(AVERAGE((IF(DATOS_[[Sexo]:[Sexo]]=$B16,IF(DATOS_[[AGRUP. CLAS. PROF.]:[AGRUP. CLAS. PROF.]]=$B15,IF(DATOS_[[Check Periodo Ref.]:[Check Periodo Ref.]]="Dentro",IF(DATOS_[[Check Equiparado]:[Check Equiparado]]="Sí",IF(DATOS!AQ$5="Sí",(1/DATOS_[[% anualiz]:[% anualiz]]),1)*IF(DATOS!AQ$4="Sí",1/DATOS_[[% normaliz]:[% normaliz]],1)*(DATOS_[Conc.Sal.13])))))))),
0)</f>
        <v>0</v>
      </c>
      <c r="W16" s="196">
        <f t="array" ref="W16">IFERROR(
(AVERAGE((IF(DATOS_[[Sexo]:[Sexo]]=$B16,IF(DATOS_[[AGRUP. CLAS. PROF.]:[AGRUP. CLAS. PROF.]]=$B15,IF(DATOS_[[Check Periodo Ref.]:[Check Periodo Ref.]]="Dentro",IF(DATOS_[[Check Equiparado]:[Check Equiparado]]="Sí",IF(DATOS!AR$5="Sí",(1/DATOS_[[% anualiz]:[% anualiz]]),1)*IF(DATOS!AR$4="Sí",1/DATOS_[[% normaliz]:[% normaliz]],1)*(DATOS_[Conc.Sal.14])))))))),
0)</f>
        <v>0</v>
      </c>
      <c r="X16" s="196">
        <f t="array" ref="X16">IFERROR(
(AVERAGE((IF(DATOS_[[Sexo]:[Sexo]]=$B16,IF(DATOS_[[AGRUP. CLAS. PROF.]:[AGRUP. CLAS. PROF.]]=$B15,IF(DATOS_[[Check Periodo Ref.]:[Check Periodo Ref.]]="Dentro",IF(DATOS_[[Check Equiparado]:[Check Equiparado]]="Sí",IF(DATOS!AS$5="Sí",(1/DATOS_[[% anualiz]:[% anualiz]]),1)*IF(DATOS!AS$4="Sí",1/DATOS_[[% normaliz]:[% normaliz]],1)*(DATOS_[Conc.Sal.15])))))))),
0)</f>
        <v>0</v>
      </c>
      <c r="Y16" s="196">
        <f t="array" ref="Y16">IFERROR(
(AVERAGE((IF(DATOS_[[Sexo]:[Sexo]]=$B16,IF(DATOS_[[AGRUP. CLAS. PROF.]:[AGRUP. CLAS. PROF.]]=$B15,IF(DATOS_[[Check Periodo Ref.]:[Check Periodo Ref.]]="Dentro",IF(DATOS_[[Check Equiparado]:[Check Equiparado]]="Sí",IF(DATOS!AT$5="Sí",(1/DATOS_[[% anualiz]:[% anualiz]]),1)*IF(DATOS!AT$4="Sí",1/DATOS_[[% normaliz]:[% normaliz]],1)*(DATOS_[Conc.Sal.16])))))))),
0)</f>
        <v>0</v>
      </c>
      <c r="Z16" s="196">
        <f t="array" ref="Z16">IFERROR(
(AVERAGE((IF(DATOS_[[Sexo]:[Sexo]]=$B16,IF(DATOS_[[AGRUP. CLAS. PROF.]:[AGRUP. CLAS. PROF.]]=$B15,IF(DATOS_[[Check Periodo Ref.]:[Check Periodo Ref.]]="Dentro",IF(DATOS_[[Check Equiparado]:[Check Equiparado]]="Sí",IF(DATOS!AU$5="Sí",(1/DATOS_[[% anualiz]:[% anualiz]]),1)*IF(DATOS!AU$4="Sí",1/DATOS_[[% normaliz]:[% normaliz]],1)*(DATOS_[Conc.Sal.17])))))))),
0)</f>
        <v>0</v>
      </c>
      <c r="AA16" s="196">
        <f t="array" ref="AA16">IFERROR(
(AVERAGE((IF(DATOS_[[Sexo]:[Sexo]]=$B16,IF(DATOS_[[AGRUP. CLAS. PROF.]:[AGRUP. CLAS. PROF.]]=$B15,IF(DATOS_[[Check Periodo Ref.]:[Check Periodo Ref.]]="Dentro",IF(DATOS_[[Check Equiparado]:[Check Equiparado]]="Sí",IF(DATOS!AV$5="Sí",(1/DATOS_[[% anualiz]:[% anualiz]]),1)*IF(DATOS!AV$4="Sí",1/DATOS_[[% normaliz]:[% normaliz]],1)*(DATOS_[Conc.Sal.18])))))))),
0)</f>
        <v>0</v>
      </c>
      <c r="AB16" s="196">
        <f t="array" ref="AB16">IFERROR(
(AVERAGE((IF(DATOS_[[Sexo]:[Sexo]]=$B16,IF(DATOS_[[AGRUP. CLAS. PROF.]:[AGRUP. CLAS. PROF.]]=$B15,IF(DATOS_[[Check Periodo Ref.]:[Check Periodo Ref.]]="Dentro",IF(DATOS_[[Check Equiparado]:[Check Equiparado]]="Sí",IF(DATOS!AW$5="Sí",(1/DATOS_[[% anualiz]:[% anualiz]]),1)*IF(DATOS!AW$4="Sí",1/DATOS_[[% normaliz]:[% normaliz]],1)*(DATOS_[Conc.Sal.19])))))))),
0)</f>
        <v>0</v>
      </c>
      <c r="AC16" s="196">
        <f t="array" ref="AC16">IFERROR(
(AVERAGE((IF(DATOS_[[Sexo]:[Sexo]]=$B16,IF(DATOS_[[AGRUP. CLAS. PROF.]:[AGRUP. CLAS. PROF.]]=$B15,IF(DATOS_[[Check Periodo Ref.]:[Check Periodo Ref.]]="Dentro",IF(DATOS_[[Check Equiparado]:[Check Equiparado]]="Sí",IF(DATOS!AX$5="Sí",(1/DATOS_[[% anualiz]:[% anualiz]]),1)*IF(DATOS!AX$4="Sí",1/DATOS_[[% normaliz]:[% normaliz]],1)*(DATOS_[Conc.Sal.20])))))))),
0)</f>
        <v>0</v>
      </c>
      <c r="AD16" s="196">
        <f t="array" ref="AD16">IFERROR(
(AVERAGE((IF(DATOS_[[Sexo]:[Sexo]]=$B16,IF(DATOS_[[AGRUP. CLAS. PROF.]:[AGRUP. CLAS. PROF.]]=$B15,IF(DATOS_[[Check Periodo Ref.]:[Check Periodo Ref.]]="Dentro",IF(DATOS_[[Check Equiparado]:[Check Equiparado]]="Sí",IF(DATOS!AY$5="Sí",(1/DATOS_[[% anualiz]:[% anualiz]]),1)*IF(DATOS!AY$4="Sí",1/DATOS_[[% normaliz]:[% normaliz]],1)*(DATOS_[Conc.Sal.21])))))))),
0)</f>
        <v>0</v>
      </c>
      <c r="AE16" s="196">
        <f t="array" ref="AE16">IFERROR(
(AVERAGE((IF(DATOS_[[Sexo]:[Sexo]]=$B16,IF(DATOS_[[AGRUP. CLAS. PROF.]:[AGRUP. CLAS. PROF.]]=$B15,IF(DATOS_[[Check Periodo Ref.]:[Check Periodo Ref.]]="Dentro",IF(DATOS_[[Check Equiparado]:[Check Equiparado]]="Sí",IF(DATOS!AZ$5="Sí",(1/DATOS_[[% anualiz]:[% anualiz]]),1)*IF(DATOS!AZ$4="Sí",1/DATOS_[[% normaliz]:[% normaliz]],1)*(DATOS_[Conc.Sal.22])))))))),
0)</f>
        <v>0</v>
      </c>
      <c r="AF16" s="196">
        <f t="array" ref="AF16">IFERROR(
(AVERAGE((IF(DATOS_[[Sexo]:[Sexo]]=$B16,IF(DATOS_[[AGRUP. CLAS. PROF.]:[AGRUP. CLAS. PROF.]]=$B15,IF(DATOS_[[Check Periodo Ref.]:[Check Periodo Ref.]]="Dentro",IF(DATOS_[[Check Equiparado]:[Check Equiparado]]="Sí",IF(DATOS!BA$5="Sí",(1/DATOS_[[% anualiz]:[% anualiz]]),1)*IF(DATOS!BA$4="Sí",1/DATOS_[[% normaliz]:[% normaliz]],1)*(DATOS_[Conc.Sal.23])))))))),
0)</f>
        <v>0</v>
      </c>
      <c r="AG16" s="196">
        <f t="array" ref="AG16">IFERROR(
(AVERAGE((IF(DATOS_[[Sexo]:[Sexo]]=$B16,IF(DATOS_[[AGRUP. CLAS. PROF.]:[AGRUP. CLAS. PROF.]]=$B15,IF(DATOS_[[Check Periodo Ref.]:[Check Periodo Ref.]]="Dentro",IF(DATOS_[[Check Equiparado]:[Check Equiparado]]="Sí",IF(DATOS!BB$5="Sí",(1/DATOS_[[% anualiz]:[% anualiz]]),1)*IF(DATOS!BB$4="Sí",1/DATOS_[[% normaliz]:[% normaliz]],1)*(DATOS_[Conc.Sal.24])))))))),
0)</f>
        <v>0</v>
      </c>
      <c r="AH16" s="196">
        <f t="array" ref="AH16">IFERROR(
(AVERAGE((IF(DATOS_[[Sexo]:[Sexo]]=$B16,IF(DATOS_[[AGRUP. CLAS. PROF.]:[AGRUP. CLAS. PROF.]]=$B15,IF(DATOS_[[Check Periodo Ref.]:[Check Periodo Ref.]]="Dentro",IF(DATOS_[[Check Equiparado]:[Check Equiparado]]="Sí",IF(DATOS!BC$5="Sí",(1/DATOS_[[% anualiz]:[% anualiz]]),1)*IF(DATOS!BC$4="Sí",1/DATOS_[[% normaliz]:[% normaliz]],1)*(DATOS_[Conc.Sal.25])))))))),
0)</f>
        <v>0</v>
      </c>
      <c r="AI16" s="196">
        <f t="array" ref="AI16">IFERROR(
(AVERAGE((IF(DATOS_[[Sexo]:[Sexo]]=$B16,IF(DATOS_[[AGRUP. CLAS. PROF.]:[AGRUP. CLAS. PROF.]]=$B15,IF(DATOS_[[Check Periodo Ref.]:[Check Periodo Ref.]]="Dentro",IF(DATOS_[[Check Equiparado]:[Check Equiparado]]="Sí",IF(DATOS!BD$5="Sí",(1/DATOS_[[% anualiz]:[% anualiz]]),1)*IF(DATOS!BD$4="Sí",1/DATOS_[[% normaliz]:[% normaliz]],1)*(DATOS_[Conc.Sal.26])))))))),
0)</f>
        <v>0</v>
      </c>
      <c r="AJ16" s="196">
        <f t="array" ref="AJ16">IFERROR(
(AVERAGE((IF(DATOS_[[Sexo]:[Sexo]]=$B16,IF(DATOS_[[AGRUP. CLAS. PROF.]:[AGRUP. CLAS. PROF.]]=$B15,IF(DATOS_[[Check Periodo Ref.]:[Check Periodo Ref.]]="Dentro",IF(DATOS_[[Check Equiparado]:[Check Equiparado]]="Sí",IF(DATOS!BE$5="Sí",(1/DATOS_[[% anualiz]:[% anualiz]]),1)*IF(DATOS!BE$4="Sí",1/DATOS_[[% normaliz]:[% normaliz]],1)*(DATOS_[Conc.Sal.27])))))))),
0)</f>
        <v>0</v>
      </c>
      <c r="AK16" s="196">
        <f t="array" ref="AK16">IFERROR(
(AVERAGE((IF(DATOS_[[Sexo]:[Sexo]]=$B16,IF(DATOS_[[AGRUP. CLAS. PROF.]:[AGRUP. CLAS. PROF.]]=$B15,IF(DATOS_[[Check Periodo Ref.]:[Check Periodo Ref.]]="Dentro",IF(DATOS_[[Check Equiparado]:[Check Equiparado]]="Sí",IF(DATOS!BF$5="Sí",(1/DATOS_[[% anualiz]:[% anualiz]]),1)*IF(DATOS!BF$4="Sí",1/DATOS_[[% normaliz]:[% normaliz]],1)*(DATOS_[Conc.Sal.28])))))))),
0)</f>
        <v>0</v>
      </c>
      <c r="AL16" s="196">
        <f t="array" ref="AL16">IFERROR(
(AVERAGE((IF(DATOS_[[Sexo]:[Sexo]]=$B16,IF(DATOS_[[AGRUP. CLAS. PROF.]:[AGRUP. CLAS. PROF.]]=$B15,IF(DATOS_[[Check Periodo Ref.]:[Check Periodo Ref.]]="Dentro",IF(DATOS_[[Check Equiparado]:[Check Equiparado]]="Sí",IF(DATOS!BG$5="Sí",(1/DATOS_[[% anualiz]:[% anualiz]]),1)*IF(DATOS!BG$4="Sí",1/DATOS_[[% normaliz]:[% normaliz]],1)*(DATOS_[Conc.Sal.29])))))))),
0)</f>
        <v>0</v>
      </c>
      <c r="AM16" s="196">
        <f t="array" ref="AM16">IFERROR(
(AVERAGE((IF(DATOS_[[Sexo]:[Sexo]]=$B16,IF(DATOS_[[AGRUP. CLAS. PROF.]:[AGRUP. CLAS. PROF.]]=$B15,IF(DATOS_[[Check Periodo Ref.]:[Check Periodo Ref.]]="Dentro",IF(DATOS_[[Check Equiparado]:[Check Equiparado]]="Sí",IF(DATOS!BH$5="Sí",(1/DATOS_[[% anualiz]:[% anualiz]]),1)*IF(DATOS!BH$4="Sí",1/DATOS_[[% normaliz]:[% normaliz]],1)*(DATOS_[Conc.Sal.30])))))))),
0)</f>
        <v>0</v>
      </c>
      <c r="AN16" s="195">
        <f t="array" ref="AN16">IFERROR(
AVERAGE(IF(DATOS_[Sexo]=$B16,IF(DATOS_[[AGRUP. CLAS. PROF.]:[AGRUP. CLAS. PROF.]]=$B15,IF(DATOS_[Check Equiparado]="Sí",IF(DATOS_[Check Periodo Ref.]="Dentro",DATOS_[Tot COMPL.SAL Eq],FALSE))))),
0)</f>
        <v>0</v>
      </c>
      <c r="AO16" s="172">
        <f t="array" ref="AO16">IFERROR(
AVERAGE(IF(DATOS_[Sexo]=$B16,IF(DATOS_[[AGRUP. CLAS. PROF.]:[AGRUP. CLAS. PROF.]]=$B15,IF(DATOS_[Check Equiparado]="Sí",IF(DATOS_[Check Periodo Ref.]="Dentro",DATOS_[TOTAL SALARIO Eq],FALSE))))),
0)</f>
        <v>0</v>
      </c>
      <c r="AP16" s="173">
        <f t="array" ref="AP16">IFERROR(
(AVERAGE((IF(DATOS_[[Sexo]:[Sexo]]=$B16,IF(DATOS_[[AGRUP. CLAS. PROF.]:[AGRUP. CLAS. PROF.]]=$B15,IF(DATOS_[[Check Periodo Ref.]:[Check Periodo Ref.]]="Dentro",IF(DATOS_[[Check Equiparado]:[Check Equiparado]]="Sí",IF(DATOS!BW$5="Sí",(1/DATOS_[[% anualiz]:[% anualiz]]),1)*IF(DATOS!BW$4="Sí",1/DATOS_[[% normaliz]:[% normaliz]],1)*(DATOS_[C.Extra.01])))))))),
0)</f>
        <v>0</v>
      </c>
      <c r="AQ16" s="173">
        <f t="array" ref="AQ16">IFERROR(
(AVERAGE((IF(DATOS_[[Sexo]:[Sexo]]=$B16,IF(DATOS_[[AGRUP. CLAS. PROF.]:[AGRUP. CLAS. PROF.]]=$B15,IF(DATOS_[[Check Periodo Ref.]:[Check Periodo Ref.]]="Dentro",IF(DATOS_[[Check Equiparado]:[Check Equiparado]]="Sí",IF(DATOS!CB$5="Sí",(1/DATOS_[[% anualiz]:[% anualiz]]),1)*IF(DATOS!CB$4="Sí",1/DATOS_[[% normaliz]:[% normaliz]],1)*(DATOS_[C.Extra.06])))))))),
0)</f>
        <v>0</v>
      </c>
      <c r="AR16" s="173">
        <f t="array" ref="AR16">IFERROR(
(AVERAGE((IF(DATOS_[[Sexo]:[Sexo]]=$B16,IF(DATOS_[[AGRUP. CLAS. PROF.]:[AGRUP. CLAS. PROF.]]=$B15,IF(DATOS_[[Check Periodo Ref.]:[Check Periodo Ref.]]="Dentro",IF(DATOS_[[Check Equiparado]:[Check Equiparado]]="Sí",IF(DATOS!CC$5="Sí",(1/DATOS_[[% anualiz]:[% anualiz]]),1)*IF(DATOS!CC$4="Sí",1/DATOS_[[% normaliz]:[% normaliz]],1)*(DATOS_[C.Extra.07])))))))),
0)</f>
        <v>0</v>
      </c>
      <c r="AS16" s="173">
        <f t="array" ref="AS16">IFERROR(
(AVERAGE((IF(DATOS_[[Sexo]:[Sexo]]=$B16,IF(DATOS_[[AGRUP. CLAS. PROF.]:[AGRUP. CLAS. PROF.]]=$B15,IF(DATOS_[[Check Periodo Ref.]:[Check Periodo Ref.]]="Dentro",IF(DATOS_[[Check Equiparado]:[Check Equiparado]]="Sí",IF(DATOS!CD$5="Sí",(1/DATOS_[[% anualiz]:[% anualiz]]),1)*IF(DATOS!CD$4="Sí",1/DATOS_[[% normaliz]:[% normaliz]],1)*(DATOS_[C.Extra.08])))))))),
0)</f>
        <v>0</v>
      </c>
      <c r="AT16" s="173">
        <f t="array" ref="AT16">IFERROR(
(AVERAGE((IF(DATOS_[[Sexo]:[Sexo]]=$B16,IF(DATOS_[[AGRUP. CLAS. PROF.]:[AGRUP. CLAS. PROF.]]=$B15,IF(DATOS_[[Check Periodo Ref.]:[Check Periodo Ref.]]="Dentro",IF(DATOS_[[Check Equiparado]:[Check Equiparado]]="Sí",IF(DATOS!CG$5="Sí",(1/DATOS_[[% anualiz]:[% anualiz]]),1)*IF(DATOS!CG$4="Sí",1/DATOS_[[% normaliz]:[% normaliz]],1)*(DATOS_[C.Extra.11])))))))),
0)</f>
        <v>0</v>
      </c>
      <c r="AU16" s="197">
        <f t="array" ref="AU16">IFERROR(
AVERAGE(IF(DATOS_[Sexo]=$B16,IF(DATOS_[[AGRUP. CLAS. PROF.]:[AGRUP. CLAS. PROF.]]=$B15,IF(DATOS_[Check Equiparado]="Sí",IF(DATOS_[Check Periodo Ref.]="Dentro",DATOS_[Tot Extrasalarial Eq],FALSE))))),
0)</f>
        <v>0</v>
      </c>
      <c r="AV16" s="175">
        <f t="array" ref="AV16">IFERROR(
AVERAGE(IF(DATOS_[Sexo]=$B16,IF(DATOS_[[AGRUP. CLAS. PROF.]:[AGRUP. CLAS. PROF.]]=$B15,IF(DATOS_[Check Equiparado]="Sí",IF(DATOS_[Check Periodo Ref.]="Dentro",DATOS_[TOTAL Retrib Eq],FALSE))))),
0)</f>
        <v>0</v>
      </c>
    </row>
    <row r="17" spans="1:48" x14ac:dyDescent="0.25">
      <c r="A17" s="133" t="str">
        <f>+A16</f>
        <v>[ocultar]</v>
      </c>
      <c r="B17" s="202" t="s">
        <v>521</v>
      </c>
      <c r="C17" s="203">
        <f t="array" ref="C17">SUM(IF($B17=DATOS_[Sexo],
IF($B15=DATOS_[AGRUP. CLAS. PROF.],
IF("Dentro"=DATOS_[Check Periodo Ref.],
1/(COUNTIFS(DATOS_[Sexo],$B17,DATOS_[AGRUP. CLAS. PROF.],$B15,DATOS_[Check Periodo Ref.],"Dentro",DATOS_[id/cod],DATOS_[id/cod]))))))</f>
        <v>0</v>
      </c>
      <c r="D17" s="204">
        <f>COUNTIFS(DATOS_[AGRUP. CLAS. PROF.],$B15,DATOS_[Sexo],$B17,DATOS_[Check Periodo Ref.],"Dentro")</f>
        <v>0</v>
      </c>
      <c r="E17" s="204">
        <f>COUNTIFS(DATOS_[AGRUP. CLAS. PROF.],$B15,DATOS_[Sexo],$B17,DATOS_[Check Periodo Ref.],"Dentro",DATOS_[Check Nº SC Norm],"Sí")</f>
        <v>0</v>
      </c>
      <c r="F17" s="204">
        <f>COUNTIFS(DATOS_[AGRUP. CLAS. PROF.],$B15,DATOS_[Sexo],$B17,DATOS_[Check Periodo Ref.],"Dentro",DATOS_[Check Nº SC Anualiz],"Sí")</f>
        <v>0</v>
      </c>
      <c r="G17" s="204">
        <f>COUNTIFS(DATOS_[AGRUP. CLAS. PROF.],$B15,DATOS_[Sexo],$B17,DATOS_[Check Periodo Ref.],"Dentro",DATOS_[Check Nº SC Norm y Anualiz],"Sí")</f>
        <v>0</v>
      </c>
      <c r="H17" s="204">
        <f>COUNTIFS(DATOS_[AGRUP. CLAS. PROF.],$B15,DATOS_[Sexo],$B17,DATOS_[Check Periodo Ref.],"Dentro",DATOS_[Check Equiparación],"Sí")</f>
        <v>0</v>
      </c>
      <c r="I17" s="195" cm="1">
        <f t="array" ref="I17">IFERROR(
AVERAGE(IF(DATOS_[Sexo]=$B17,IF(DATOS_[[AGRUP. CLAS. PROF.]:[AGRUP. CLAS. PROF.]]=$B15,IF(DATOS_[Check Equiparado]="Sí",IF(DATOS_[Check Periodo Ref.]="Dentro",DATOS_[SALARIO BASE Eq],FALSE))))),
0)</f>
        <v>0</v>
      </c>
      <c r="J17" s="196">
        <f t="array" ref="J17">IFERROR(
(AVERAGE((IF(DATOS_[[Sexo]:[Sexo]]=$B17,IF(DATOS_[[AGRUP. CLAS. PROF.]:[AGRUP. CLAS. PROF.]]=$B15,IF(DATOS_[[Check Periodo Ref.]:[Check Periodo Ref.]]="Dentro",IF(DATOS_[[Check Equiparado]:[Check Equiparado]]="Sí",IF(DATOS!AE$5="Sí",(1/DATOS_[[% anualiz]:[% anualiz]]),1)*IF(DATOS!AE$4="Sí",1/DATOS_[[% normaliz]:[% normaliz]],1)*(DATOS_[Conc.Sal.01])))))))),
0)</f>
        <v>0</v>
      </c>
      <c r="K17" s="196">
        <f t="array" ref="K17">IFERROR(
(AVERAGE((IF(DATOS_[[Sexo]:[Sexo]]=$B17,IF(DATOS_[[AGRUP. CLAS. PROF.]:[AGRUP. CLAS. PROF.]]=$B15,IF(DATOS_[[Check Periodo Ref.]:[Check Periodo Ref.]]="Dentro",IF(DATOS_[[Check Equiparado]:[Check Equiparado]]="Sí",IF(DATOS!AF$5="Sí",(1/DATOS_[[% anualiz]:[% anualiz]]),1)*IF(DATOS!AF$4="Sí",1/DATOS_[[% normaliz]:[% normaliz]],1)*(DATOS_[Conc.Sal.02])))))))),
0)</f>
        <v>0</v>
      </c>
      <c r="L17" s="196">
        <f t="array" ref="L17">IFERROR(
(AVERAGE((IF(DATOS_[[Sexo]:[Sexo]]=$B17,IF(DATOS_[[AGRUP. CLAS. PROF.]:[AGRUP. CLAS. PROF.]]=$B15,IF(DATOS_[[Check Periodo Ref.]:[Check Periodo Ref.]]="Dentro",IF(DATOS_[[Check Equiparado]:[Check Equiparado]]="Sí",IF(DATOS!AG$5="Sí",(1/DATOS_[[% anualiz]:[% anualiz]]),1)*IF(DATOS!AG$4="Sí",1/DATOS_[[% normaliz]:[% normaliz]],1)*(DATOS_[Conc.Sal.03])))))))),
0)</f>
        <v>0</v>
      </c>
      <c r="M17" s="196">
        <f t="array" ref="M17">IFERROR(
(AVERAGE((IF(DATOS_[[Sexo]:[Sexo]]=$B17,IF(DATOS_[[AGRUP. CLAS. PROF.]:[AGRUP. CLAS. PROF.]]=$B15,IF(DATOS_[[Check Periodo Ref.]:[Check Periodo Ref.]]="Dentro",IF(DATOS_[[Check Equiparado]:[Check Equiparado]]="Sí",IF(DATOS!AH$5="Sí",(1/DATOS_[[% anualiz]:[% anualiz]]),1)*IF(DATOS!AH$4="Sí",1/DATOS_[[% normaliz]:[% normaliz]],1)*(DATOS_[Conc.Sal.04])))))))),
0)</f>
        <v>0</v>
      </c>
      <c r="N17" s="196">
        <f t="array" ref="N17">IFERROR(
(AVERAGE((IF(DATOS_[[Sexo]:[Sexo]]=$B17,IF(DATOS_[[AGRUP. CLAS. PROF.]:[AGRUP. CLAS. PROF.]]=$B15,IF(DATOS_[[Check Periodo Ref.]:[Check Periodo Ref.]]="Dentro",IF(DATOS_[[Check Equiparado]:[Check Equiparado]]="Sí",IF(DATOS!AI$5="Sí",(1/DATOS_[[% anualiz]:[% anualiz]]),1)*IF(DATOS!AI$4="Sí",1/DATOS_[[% normaliz]:[% normaliz]],1)*(DATOS_[Conc.Sal.05])))))))),
0)</f>
        <v>0</v>
      </c>
      <c r="O17" s="196">
        <f t="array" ref="O17">IFERROR(
(AVERAGE((IF(DATOS_[[Sexo]:[Sexo]]=$B17,IF(DATOS_[[AGRUP. CLAS. PROF.]:[AGRUP. CLAS. PROF.]]=$B15,IF(DATOS_[[Check Periodo Ref.]:[Check Periodo Ref.]]="Dentro",IF(DATOS_[[Check Equiparado]:[Check Equiparado]]="Sí",IF(DATOS!AJ$5="Sí",(1/DATOS_[[% anualiz]:[% anualiz]]),1)*IF(DATOS!AJ$4="Sí",1/DATOS_[[% normaliz]:[% normaliz]],1)*(DATOS_[Conc.Sal.06])))))))),
0)</f>
        <v>0</v>
      </c>
      <c r="P17" s="196">
        <f t="array" ref="P17">IFERROR(
(AVERAGE((IF(DATOS_[[Sexo]:[Sexo]]=$B17,IF(DATOS_[[AGRUP. CLAS. PROF.]:[AGRUP. CLAS. PROF.]]=$B15,IF(DATOS_[[Check Periodo Ref.]:[Check Periodo Ref.]]="Dentro",IF(DATOS_[[Check Equiparado]:[Check Equiparado]]="Sí",IF(DATOS!AK$5="Sí",(1/DATOS_[[% anualiz]:[% anualiz]]),1)*IF(DATOS!AK$4="Sí",1/DATOS_[[% normaliz]:[% normaliz]],1)*(DATOS_[Conc.Sal.07])))))))),
0)</f>
        <v>0</v>
      </c>
      <c r="Q17" s="196">
        <f t="array" ref="Q17">IFERROR(
(AVERAGE((IF(DATOS_[[Sexo]:[Sexo]]=$B17,IF(DATOS_[[AGRUP. CLAS. PROF.]:[AGRUP. CLAS. PROF.]]=$B15,IF(DATOS_[[Check Periodo Ref.]:[Check Periodo Ref.]]="Dentro",IF(DATOS_[[Check Equiparado]:[Check Equiparado]]="Sí",IF(DATOS!AL$5="Sí",(1/DATOS_[[% anualiz]:[% anualiz]]),1)*IF(DATOS!AL$4="Sí",1/DATOS_[[% normaliz]:[% normaliz]],1)*(DATOS_[Conc.Sal.08])))))))),
0)</f>
        <v>0</v>
      </c>
      <c r="R17" s="196">
        <f t="array" ref="R17">IFERROR(
(AVERAGE((IF(DATOS_[[Sexo]:[Sexo]]=$B17,IF(DATOS_[[AGRUP. CLAS. PROF.]:[AGRUP. CLAS. PROF.]]=$B15,IF(DATOS_[[Check Periodo Ref.]:[Check Periodo Ref.]]="Dentro",IF(DATOS_[[Check Equiparado]:[Check Equiparado]]="Sí",IF(DATOS!AM$5="Sí",(1/DATOS_[[% anualiz]:[% anualiz]]),1)*IF(DATOS!AM$4="Sí",1/DATOS_[[% normaliz]:[% normaliz]],1)*(DATOS_[Conc.Sal.09])))))))),
0)</f>
        <v>0</v>
      </c>
      <c r="S17" s="196">
        <f t="array" ref="S17">IFERROR(
(AVERAGE((IF(DATOS_[[Sexo]:[Sexo]]=$B17,IF(DATOS_[[AGRUP. CLAS. PROF.]:[AGRUP. CLAS. PROF.]]=$B15,IF(DATOS_[[Check Periodo Ref.]:[Check Periodo Ref.]]="Dentro",IF(DATOS_[[Check Equiparado]:[Check Equiparado]]="Sí",IF(DATOS!AN$5="Sí",(1/DATOS_[[% anualiz]:[% anualiz]]),1)*IF(DATOS!AN$4="Sí",1/DATOS_[[% normaliz]:[% normaliz]],1)*(DATOS_[Conc.Sal.10])))))))),
0)</f>
        <v>0</v>
      </c>
      <c r="T17" s="196">
        <f t="array" ref="T17">IFERROR(
(AVERAGE((IF(DATOS_[[Sexo]:[Sexo]]=$B17,IF(DATOS_[[AGRUP. CLAS. PROF.]:[AGRUP. CLAS. PROF.]]=$B15,IF(DATOS_[[Check Periodo Ref.]:[Check Periodo Ref.]]="Dentro",IF(DATOS_[[Check Equiparado]:[Check Equiparado]]="Sí",IF(DATOS!AO$5="Sí",(1/DATOS_[[% anualiz]:[% anualiz]]),1)*IF(DATOS!AO$4="Sí",1/DATOS_[[% normaliz]:[% normaliz]],1)*(DATOS_[Conc.Sal.11])))))))),
0)</f>
        <v>0</v>
      </c>
      <c r="U17" s="196">
        <f t="array" ref="U17">IFERROR(
(AVERAGE((IF(DATOS_[[Sexo]:[Sexo]]=$B17,IF(DATOS_[[AGRUP. CLAS. PROF.]:[AGRUP. CLAS. PROF.]]=$B15,IF(DATOS_[[Check Periodo Ref.]:[Check Periodo Ref.]]="Dentro",IF(DATOS_[[Check Equiparado]:[Check Equiparado]]="Sí",IF(DATOS!AP$5="Sí",(1/DATOS_[[% anualiz]:[% anualiz]]),1)*IF(DATOS!AP$4="Sí",1/DATOS_[[% normaliz]:[% normaliz]],1)*(DATOS_[Conc.Sal.12])))))))),
0)</f>
        <v>0</v>
      </c>
      <c r="V17" s="196">
        <f t="array" ref="V17">IFERROR(
(AVERAGE((IF(DATOS_[[Sexo]:[Sexo]]=$B17,IF(DATOS_[[AGRUP. CLAS. PROF.]:[AGRUP. CLAS. PROF.]]=$B15,IF(DATOS_[[Check Periodo Ref.]:[Check Periodo Ref.]]="Dentro",IF(DATOS_[[Check Equiparado]:[Check Equiparado]]="Sí",IF(DATOS!AQ$5="Sí",(1/DATOS_[[% anualiz]:[% anualiz]]),1)*IF(DATOS!AQ$4="Sí",1/DATOS_[[% normaliz]:[% normaliz]],1)*(DATOS_[Conc.Sal.13])))))))),
0)</f>
        <v>0</v>
      </c>
      <c r="W17" s="196">
        <f t="array" ref="W17">IFERROR(
(AVERAGE((IF(DATOS_[[Sexo]:[Sexo]]=$B17,IF(DATOS_[[AGRUP. CLAS. PROF.]:[AGRUP. CLAS. PROF.]]=$B15,IF(DATOS_[[Check Periodo Ref.]:[Check Periodo Ref.]]="Dentro",IF(DATOS_[[Check Equiparado]:[Check Equiparado]]="Sí",IF(DATOS!AR$5="Sí",(1/DATOS_[[% anualiz]:[% anualiz]]),1)*IF(DATOS!AR$4="Sí",1/DATOS_[[% normaliz]:[% normaliz]],1)*(DATOS_[Conc.Sal.14])))))))),
0)</f>
        <v>0</v>
      </c>
      <c r="X17" s="196">
        <f t="array" ref="X17">IFERROR(
(AVERAGE((IF(DATOS_[[Sexo]:[Sexo]]=$B17,IF(DATOS_[[AGRUP. CLAS. PROF.]:[AGRUP. CLAS. PROF.]]=$B15,IF(DATOS_[[Check Periodo Ref.]:[Check Periodo Ref.]]="Dentro",IF(DATOS_[[Check Equiparado]:[Check Equiparado]]="Sí",IF(DATOS!AS$5="Sí",(1/DATOS_[[% anualiz]:[% anualiz]]),1)*IF(DATOS!AS$4="Sí",1/DATOS_[[% normaliz]:[% normaliz]],1)*(DATOS_[Conc.Sal.15])))))))),
0)</f>
        <v>0</v>
      </c>
      <c r="Y17" s="196">
        <f t="array" ref="Y17">IFERROR(
(AVERAGE((IF(DATOS_[[Sexo]:[Sexo]]=$B17,IF(DATOS_[[AGRUP. CLAS. PROF.]:[AGRUP. CLAS. PROF.]]=$B15,IF(DATOS_[[Check Periodo Ref.]:[Check Periodo Ref.]]="Dentro",IF(DATOS_[[Check Equiparado]:[Check Equiparado]]="Sí",IF(DATOS!AT$5="Sí",(1/DATOS_[[% anualiz]:[% anualiz]]),1)*IF(DATOS!AT$4="Sí",1/DATOS_[[% normaliz]:[% normaliz]],1)*(DATOS_[Conc.Sal.16])))))))),
0)</f>
        <v>0</v>
      </c>
      <c r="Z17" s="196">
        <f t="array" ref="Z17">IFERROR(
(AVERAGE((IF(DATOS_[[Sexo]:[Sexo]]=$B17,IF(DATOS_[[AGRUP. CLAS. PROF.]:[AGRUP. CLAS. PROF.]]=$B15,IF(DATOS_[[Check Periodo Ref.]:[Check Periodo Ref.]]="Dentro",IF(DATOS_[[Check Equiparado]:[Check Equiparado]]="Sí",IF(DATOS!AU$5="Sí",(1/DATOS_[[% anualiz]:[% anualiz]]),1)*IF(DATOS!AU$4="Sí",1/DATOS_[[% normaliz]:[% normaliz]],1)*(DATOS_[Conc.Sal.17])))))))),
0)</f>
        <v>0</v>
      </c>
      <c r="AA17" s="196">
        <f t="array" ref="AA17">IFERROR(
(AVERAGE((IF(DATOS_[[Sexo]:[Sexo]]=$B17,IF(DATOS_[[AGRUP. CLAS. PROF.]:[AGRUP. CLAS. PROF.]]=$B15,IF(DATOS_[[Check Periodo Ref.]:[Check Periodo Ref.]]="Dentro",IF(DATOS_[[Check Equiparado]:[Check Equiparado]]="Sí",IF(DATOS!AV$5="Sí",(1/DATOS_[[% anualiz]:[% anualiz]]),1)*IF(DATOS!AV$4="Sí",1/DATOS_[[% normaliz]:[% normaliz]],1)*(DATOS_[Conc.Sal.18])))))))),
0)</f>
        <v>0</v>
      </c>
      <c r="AB17" s="196">
        <f t="array" ref="AB17">IFERROR(
(AVERAGE((IF(DATOS_[[Sexo]:[Sexo]]=$B17,IF(DATOS_[[AGRUP. CLAS. PROF.]:[AGRUP. CLAS. PROF.]]=$B15,IF(DATOS_[[Check Periodo Ref.]:[Check Periodo Ref.]]="Dentro",IF(DATOS_[[Check Equiparado]:[Check Equiparado]]="Sí",IF(DATOS!AW$5="Sí",(1/DATOS_[[% anualiz]:[% anualiz]]),1)*IF(DATOS!AW$4="Sí",1/DATOS_[[% normaliz]:[% normaliz]],1)*(DATOS_[Conc.Sal.19])))))))),
0)</f>
        <v>0</v>
      </c>
      <c r="AC17" s="196">
        <f t="array" ref="AC17">IFERROR(
(AVERAGE((IF(DATOS_[[Sexo]:[Sexo]]=$B17,IF(DATOS_[[AGRUP. CLAS. PROF.]:[AGRUP. CLAS. PROF.]]=$B15,IF(DATOS_[[Check Periodo Ref.]:[Check Periodo Ref.]]="Dentro",IF(DATOS_[[Check Equiparado]:[Check Equiparado]]="Sí",IF(DATOS!AX$5="Sí",(1/DATOS_[[% anualiz]:[% anualiz]]),1)*IF(DATOS!AX$4="Sí",1/DATOS_[[% normaliz]:[% normaliz]],1)*(DATOS_[Conc.Sal.20])))))))),
0)</f>
        <v>0</v>
      </c>
      <c r="AD17" s="196">
        <f t="array" ref="AD17">IFERROR(
(AVERAGE((IF(DATOS_[[Sexo]:[Sexo]]=$B17,IF(DATOS_[[AGRUP. CLAS. PROF.]:[AGRUP. CLAS. PROF.]]=$B15,IF(DATOS_[[Check Periodo Ref.]:[Check Periodo Ref.]]="Dentro",IF(DATOS_[[Check Equiparado]:[Check Equiparado]]="Sí",IF(DATOS!AY$5="Sí",(1/DATOS_[[% anualiz]:[% anualiz]]),1)*IF(DATOS!AY$4="Sí",1/DATOS_[[% normaliz]:[% normaliz]],1)*(DATOS_[Conc.Sal.21])))))))),
0)</f>
        <v>0</v>
      </c>
      <c r="AE17" s="196">
        <f t="array" ref="AE17">IFERROR(
(AVERAGE((IF(DATOS_[[Sexo]:[Sexo]]=$B17,IF(DATOS_[[AGRUP. CLAS. PROF.]:[AGRUP. CLAS. PROF.]]=$B15,IF(DATOS_[[Check Periodo Ref.]:[Check Periodo Ref.]]="Dentro",IF(DATOS_[[Check Equiparado]:[Check Equiparado]]="Sí",IF(DATOS!AZ$5="Sí",(1/DATOS_[[% anualiz]:[% anualiz]]),1)*IF(DATOS!AZ$4="Sí",1/DATOS_[[% normaliz]:[% normaliz]],1)*(DATOS_[Conc.Sal.22])))))))),
0)</f>
        <v>0</v>
      </c>
      <c r="AF17" s="196">
        <f t="array" ref="AF17">IFERROR(
(AVERAGE((IF(DATOS_[[Sexo]:[Sexo]]=$B17,IF(DATOS_[[AGRUP. CLAS. PROF.]:[AGRUP. CLAS. PROF.]]=$B15,IF(DATOS_[[Check Periodo Ref.]:[Check Periodo Ref.]]="Dentro",IF(DATOS_[[Check Equiparado]:[Check Equiparado]]="Sí",IF(DATOS!BA$5="Sí",(1/DATOS_[[% anualiz]:[% anualiz]]),1)*IF(DATOS!BA$4="Sí",1/DATOS_[[% normaliz]:[% normaliz]],1)*(DATOS_[Conc.Sal.23])))))))),
0)</f>
        <v>0</v>
      </c>
      <c r="AG17" s="196">
        <f t="array" ref="AG17">IFERROR(
(AVERAGE((IF(DATOS_[[Sexo]:[Sexo]]=$B17,IF(DATOS_[[AGRUP. CLAS. PROF.]:[AGRUP. CLAS. PROF.]]=$B15,IF(DATOS_[[Check Periodo Ref.]:[Check Periodo Ref.]]="Dentro",IF(DATOS_[[Check Equiparado]:[Check Equiparado]]="Sí",IF(DATOS!BB$5="Sí",(1/DATOS_[[% anualiz]:[% anualiz]]),1)*IF(DATOS!BB$4="Sí",1/DATOS_[[% normaliz]:[% normaliz]],1)*(DATOS_[Conc.Sal.24])))))))),
0)</f>
        <v>0</v>
      </c>
      <c r="AH17" s="196">
        <f t="array" ref="AH17">IFERROR(
(AVERAGE((IF(DATOS_[[Sexo]:[Sexo]]=$B17,IF(DATOS_[[AGRUP. CLAS. PROF.]:[AGRUP. CLAS. PROF.]]=$B15,IF(DATOS_[[Check Periodo Ref.]:[Check Periodo Ref.]]="Dentro",IF(DATOS_[[Check Equiparado]:[Check Equiparado]]="Sí",IF(DATOS!BC$5="Sí",(1/DATOS_[[% anualiz]:[% anualiz]]),1)*IF(DATOS!BC$4="Sí",1/DATOS_[[% normaliz]:[% normaliz]],1)*(DATOS_[Conc.Sal.25])))))))),
0)</f>
        <v>0</v>
      </c>
      <c r="AI17" s="196">
        <f t="array" ref="AI17">IFERROR(
(AVERAGE((IF(DATOS_[[Sexo]:[Sexo]]=$B17,IF(DATOS_[[AGRUP. CLAS. PROF.]:[AGRUP. CLAS. PROF.]]=$B15,IF(DATOS_[[Check Periodo Ref.]:[Check Periodo Ref.]]="Dentro",IF(DATOS_[[Check Equiparado]:[Check Equiparado]]="Sí",IF(DATOS!BD$5="Sí",(1/DATOS_[[% anualiz]:[% anualiz]]),1)*IF(DATOS!BD$4="Sí",1/DATOS_[[% normaliz]:[% normaliz]],1)*(DATOS_[Conc.Sal.26])))))))),
0)</f>
        <v>0</v>
      </c>
      <c r="AJ17" s="196">
        <f t="array" ref="AJ17">IFERROR(
(AVERAGE((IF(DATOS_[[Sexo]:[Sexo]]=$B17,IF(DATOS_[[AGRUP. CLAS. PROF.]:[AGRUP. CLAS. PROF.]]=$B15,IF(DATOS_[[Check Periodo Ref.]:[Check Periodo Ref.]]="Dentro",IF(DATOS_[[Check Equiparado]:[Check Equiparado]]="Sí",IF(DATOS!BE$5="Sí",(1/DATOS_[[% anualiz]:[% anualiz]]),1)*IF(DATOS!BE$4="Sí",1/DATOS_[[% normaliz]:[% normaliz]],1)*(DATOS_[Conc.Sal.27])))))))),
0)</f>
        <v>0</v>
      </c>
      <c r="AK17" s="196">
        <f t="array" ref="AK17">IFERROR(
(AVERAGE((IF(DATOS_[[Sexo]:[Sexo]]=$B17,IF(DATOS_[[AGRUP. CLAS. PROF.]:[AGRUP. CLAS. PROF.]]=$B15,IF(DATOS_[[Check Periodo Ref.]:[Check Periodo Ref.]]="Dentro",IF(DATOS_[[Check Equiparado]:[Check Equiparado]]="Sí",IF(DATOS!BF$5="Sí",(1/DATOS_[[% anualiz]:[% anualiz]]),1)*IF(DATOS!BF$4="Sí",1/DATOS_[[% normaliz]:[% normaliz]],1)*(DATOS_[Conc.Sal.28])))))))),
0)</f>
        <v>0</v>
      </c>
      <c r="AL17" s="196">
        <f t="array" ref="AL17">IFERROR(
(AVERAGE((IF(DATOS_[[Sexo]:[Sexo]]=$B17,IF(DATOS_[[AGRUP. CLAS. PROF.]:[AGRUP. CLAS. PROF.]]=$B15,IF(DATOS_[[Check Periodo Ref.]:[Check Periodo Ref.]]="Dentro",IF(DATOS_[[Check Equiparado]:[Check Equiparado]]="Sí",IF(DATOS!BG$5="Sí",(1/DATOS_[[% anualiz]:[% anualiz]]),1)*IF(DATOS!BG$4="Sí",1/DATOS_[[% normaliz]:[% normaliz]],1)*(DATOS_[Conc.Sal.29])))))))),
0)</f>
        <v>0</v>
      </c>
      <c r="AM17" s="196">
        <f t="array" ref="AM17">IFERROR(
(AVERAGE((IF(DATOS_[[Sexo]:[Sexo]]=$B17,IF(DATOS_[[AGRUP. CLAS. PROF.]:[AGRUP. CLAS. PROF.]]=$B15,IF(DATOS_[[Check Periodo Ref.]:[Check Periodo Ref.]]="Dentro",IF(DATOS_[[Check Equiparado]:[Check Equiparado]]="Sí",IF(DATOS!BH$5="Sí",(1/DATOS_[[% anualiz]:[% anualiz]]),1)*IF(DATOS!BH$4="Sí",1/DATOS_[[% normaliz]:[% normaliz]],1)*(DATOS_[Conc.Sal.30])))))))),
0)</f>
        <v>0</v>
      </c>
      <c r="AN17" s="195">
        <f t="array" ref="AN17">IFERROR(
AVERAGE(IF(DATOS_[Sexo]=$B17,IF(DATOS_[[AGRUP. CLAS. PROF.]:[AGRUP. CLAS. PROF.]]=$B15,IF(DATOS_[Check Equiparado]="Sí",IF(DATOS_[Check Periodo Ref.]="Dentro",DATOS_[Tot COMPL.SAL Eq],FALSE))))),
0)</f>
        <v>0</v>
      </c>
      <c r="AO17" s="172">
        <f t="array" ref="AO17">IFERROR(
AVERAGE(IF(DATOS_[Sexo]=$B17,IF(DATOS_[[AGRUP. CLAS. PROF.]:[AGRUP. CLAS. PROF.]]=$B15,IF(DATOS_[Check Equiparado]="Sí",IF(DATOS_[Check Periodo Ref.]="Dentro",DATOS_[TOTAL SALARIO Eq],FALSE))))),
0)</f>
        <v>0</v>
      </c>
      <c r="AP17" s="173">
        <f t="array" ref="AP17">IFERROR(
(AVERAGE((IF(DATOS_[[Sexo]:[Sexo]]=$B17,IF(DATOS_[[AGRUP. CLAS. PROF.]:[AGRUP. CLAS. PROF.]]=$B15,IF(DATOS_[[Check Periodo Ref.]:[Check Periodo Ref.]]="Dentro",IF(DATOS_[[Check Equiparado]:[Check Equiparado]]="Sí",IF(DATOS!BW$5="Sí",(1/DATOS_[[% anualiz]:[% anualiz]]),1)*IF(DATOS!BW$4="Sí",1/DATOS_[[% normaliz]:[% normaliz]],1)*(DATOS_[C.Extra.01])))))))),
0)</f>
        <v>0</v>
      </c>
      <c r="AQ17" s="173">
        <f t="array" ref="AQ17">IFERROR(
(AVERAGE((IF(DATOS_[[Sexo]:[Sexo]]=$B17,IF(DATOS_[[AGRUP. CLAS. PROF.]:[AGRUP. CLAS. PROF.]]=$B15,IF(DATOS_[[Check Periodo Ref.]:[Check Periodo Ref.]]="Dentro",IF(DATOS_[[Check Equiparado]:[Check Equiparado]]="Sí",IF(DATOS!CB$5="Sí",(1/DATOS_[[% anualiz]:[% anualiz]]),1)*IF(DATOS!CB$4="Sí",1/DATOS_[[% normaliz]:[% normaliz]],1)*(DATOS_[C.Extra.06])))))))),
0)</f>
        <v>0</v>
      </c>
      <c r="AR17" s="173">
        <f t="array" ref="AR17">IFERROR(
(AVERAGE((IF(DATOS_[[Sexo]:[Sexo]]=$B17,IF(DATOS_[[AGRUP. CLAS. PROF.]:[AGRUP. CLAS. PROF.]]=$B15,IF(DATOS_[[Check Periodo Ref.]:[Check Periodo Ref.]]="Dentro",IF(DATOS_[[Check Equiparado]:[Check Equiparado]]="Sí",IF(DATOS!CC$5="Sí",(1/DATOS_[[% anualiz]:[% anualiz]]),1)*IF(DATOS!CC$4="Sí",1/DATOS_[[% normaliz]:[% normaliz]],1)*(DATOS_[C.Extra.07])))))))),
0)</f>
        <v>0</v>
      </c>
      <c r="AS17" s="173">
        <f t="array" ref="AS17">IFERROR(
(AVERAGE((IF(DATOS_[[Sexo]:[Sexo]]=$B17,IF(DATOS_[[AGRUP. CLAS. PROF.]:[AGRUP. CLAS. PROF.]]=$B15,IF(DATOS_[[Check Periodo Ref.]:[Check Periodo Ref.]]="Dentro",IF(DATOS_[[Check Equiparado]:[Check Equiparado]]="Sí",IF(DATOS!CD$5="Sí",(1/DATOS_[[% anualiz]:[% anualiz]]),1)*IF(DATOS!CD$4="Sí",1/DATOS_[[% normaliz]:[% normaliz]],1)*(DATOS_[C.Extra.08])))))))),
0)</f>
        <v>0</v>
      </c>
      <c r="AT17" s="173">
        <f t="array" ref="AT17">IFERROR(
(AVERAGE((IF(DATOS_[[Sexo]:[Sexo]]=$B17,IF(DATOS_[[AGRUP. CLAS. PROF.]:[AGRUP. CLAS. PROF.]]=$B15,IF(DATOS_[[Check Periodo Ref.]:[Check Periodo Ref.]]="Dentro",IF(DATOS_[[Check Equiparado]:[Check Equiparado]]="Sí",IF(DATOS!CG$5="Sí",(1/DATOS_[[% anualiz]:[% anualiz]]),1)*IF(DATOS!CG$4="Sí",1/DATOS_[[% normaliz]:[% normaliz]],1)*(DATOS_[C.Extra.11])))))))),
0)</f>
        <v>0</v>
      </c>
      <c r="AU17" s="197">
        <f t="array" ref="AU17">IFERROR(
AVERAGE(IF(DATOS_[Sexo]=$B17,IF(DATOS_[[AGRUP. CLAS. PROF.]:[AGRUP. CLAS. PROF.]]=$B15,IF(DATOS_[Check Equiparado]="Sí",IF(DATOS_[Check Periodo Ref.]="Dentro",DATOS_[Tot Extrasalarial Eq],FALSE))))),
0)</f>
        <v>0</v>
      </c>
      <c r="AV17" s="175">
        <f t="array" ref="AV17">IFERROR(
AVERAGE(IF(DATOS_[Sexo]=$B17,IF(DATOS_[[AGRUP. CLAS. PROF.]:[AGRUP. CLAS. PROF.]]=$B15,IF(DATOS_[Check Equiparado]="Sí",IF(DATOS_[Check Periodo Ref.]="Dentro",DATOS_[TOTAL Retrib Eq],FALSE))))),
0)</f>
        <v>0</v>
      </c>
    </row>
    <row r="18" spans="1:48" ht="15.6" thickBot="1" x14ac:dyDescent="0.3">
      <c r="A18" s="133" t="str">
        <f t="shared" ref="A18" si="7">+A19</f>
        <v/>
      </c>
      <c r="B18" s="199" t="s">
        <v>182</v>
      </c>
      <c r="C18" s="200"/>
      <c r="D18" s="201"/>
      <c r="E18" s="201"/>
      <c r="F18" s="201"/>
      <c r="G18" s="201"/>
      <c r="H18" s="201"/>
      <c r="I18" s="189">
        <f t="shared" ref="I18:AV18" si="8">IFERROR((I19-I20)/I19,"")</f>
        <v>-1.4317908245920493E-2</v>
      </c>
      <c r="J18" s="190">
        <f t="shared" si="8"/>
        <v>0.14241768171741293</v>
      </c>
      <c r="K18" s="191">
        <f t="shared" si="8"/>
        <v>0</v>
      </c>
      <c r="L18" s="191">
        <f t="shared" si="8"/>
        <v>0</v>
      </c>
      <c r="M18" s="191">
        <f t="shared" si="8"/>
        <v>-1.1204178968884848</v>
      </c>
      <c r="N18" s="192">
        <f t="shared" si="8"/>
        <v>-0.12587372191092364</v>
      </c>
      <c r="O18" s="193">
        <f t="shared" si="8"/>
        <v>-5.1166965888689506E-2</v>
      </c>
      <c r="P18" s="193">
        <f t="shared" si="8"/>
        <v>-1.1246696035242287</v>
      </c>
      <c r="Q18" s="193">
        <f t="shared" si="8"/>
        <v>1</v>
      </c>
      <c r="R18" s="193">
        <f t="shared" si="8"/>
        <v>3.051040775591668E-2</v>
      </c>
      <c r="S18" s="193">
        <f t="shared" si="8"/>
        <v>-17.830769230769228</v>
      </c>
      <c r="T18" s="193">
        <f t="shared" si="8"/>
        <v>-0.86358553857622078</v>
      </c>
      <c r="U18" s="193">
        <f t="shared" si="8"/>
        <v>0.94777228717207018</v>
      </c>
      <c r="V18" s="193">
        <f t="shared" si="8"/>
        <v>-1.1995735732227351</v>
      </c>
      <c r="W18" s="193" t="str">
        <f t="shared" si="8"/>
        <v/>
      </c>
      <c r="X18" s="193" t="str">
        <f t="shared" si="8"/>
        <v/>
      </c>
      <c r="Y18" s="193" t="str">
        <f t="shared" si="8"/>
        <v/>
      </c>
      <c r="Z18" s="193" t="str">
        <f t="shared" si="8"/>
        <v/>
      </c>
      <c r="AA18" s="193" t="str">
        <f t="shared" si="8"/>
        <v/>
      </c>
      <c r="AB18" s="193" t="str">
        <f t="shared" si="8"/>
        <v/>
      </c>
      <c r="AC18" s="193" t="str">
        <f t="shared" si="8"/>
        <v/>
      </c>
      <c r="AD18" s="193" t="str">
        <f t="shared" si="8"/>
        <v/>
      </c>
      <c r="AE18" s="193" t="str">
        <f t="shared" si="8"/>
        <v/>
      </c>
      <c r="AF18" s="193" t="str">
        <f t="shared" si="8"/>
        <v/>
      </c>
      <c r="AG18" s="193" t="str">
        <f t="shared" si="8"/>
        <v/>
      </c>
      <c r="AH18" s="193" t="str">
        <f t="shared" si="8"/>
        <v/>
      </c>
      <c r="AI18" s="193" t="str">
        <f t="shared" si="8"/>
        <v/>
      </c>
      <c r="AJ18" s="193" t="str">
        <f t="shared" si="8"/>
        <v/>
      </c>
      <c r="AK18" s="193" t="str">
        <f t="shared" si="8"/>
        <v/>
      </c>
      <c r="AL18" s="193" t="str">
        <f t="shared" si="8"/>
        <v/>
      </c>
      <c r="AM18" s="193" t="str">
        <f t="shared" si="8"/>
        <v/>
      </c>
      <c r="AN18" s="189">
        <f t="shared" si="8"/>
        <v>-1.1062915412684327E-2</v>
      </c>
      <c r="AO18" s="162">
        <f t="shared" si="8"/>
        <v>-1.2632842553268844E-2</v>
      </c>
      <c r="AP18" s="163" t="str">
        <f t="shared" si="8"/>
        <v/>
      </c>
      <c r="AQ18" s="163" t="str">
        <f t="shared" si="8"/>
        <v/>
      </c>
      <c r="AR18" s="163" t="str">
        <f t="shared" si="8"/>
        <v/>
      </c>
      <c r="AS18" s="163" t="str">
        <f t="shared" si="8"/>
        <v/>
      </c>
      <c r="AT18" s="163" t="str">
        <f t="shared" si="8"/>
        <v/>
      </c>
      <c r="AU18" s="194" t="str">
        <f t="shared" si="8"/>
        <v/>
      </c>
      <c r="AV18" s="165">
        <f t="shared" si="8"/>
        <v>-1.2632842553268844E-2</v>
      </c>
    </row>
    <row r="19" spans="1:48" x14ac:dyDescent="0.25">
      <c r="A19" s="133" t="str">
        <f t="shared" ref="A19" si="9">+IF(C19+C20=0,"[ocultar]","")</f>
        <v/>
      </c>
      <c r="B19" s="202" t="s">
        <v>394</v>
      </c>
      <c r="C19" s="203">
        <f t="array" ref="C19">SUM(IF($B19=DATOS_[Sexo],
IF($B18=DATOS_[AGRUP. CLAS. PROF.],
IF("Dentro"=DATOS_[Check Periodo Ref.],
1/(COUNTIFS(DATOS_[Sexo],$B19,DATOS_[AGRUP. CLAS. PROF.],$B18,DATOS_[Check Periodo Ref.],"Dentro",DATOS_[id/cod],DATOS_[id/cod]))))))</f>
        <v>3</v>
      </c>
      <c r="D19" s="204">
        <f>COUNTIFS(DATOS_[AGRUP. CLAS. PROF.],$B18,DATOS_[Sexo],$B19,DATOS_[Check Periodo Ref.],"Dentro")</f>
        <v>3</v>
      </c>
      <c r="E19" s="204">
        <f>COUNTIFS(DATOS_[AGRUP. CLAS. PROF.],$B18,DATOS_[Sexo],$B19,DATOS_[Check Periodo Ref.],"Dentro",DATOS_[Check Nº SC Norm],"Sí")</f>
        <v>0</v>
      </c>
      <c r="F19" s="204">
        <f>COUNTIFS(DATOS_[AGRUP. CLAS. PROF.],$B18,DATOS_[Sexo],$B19,DATOS_[Check Periodo Ref.],"Dentro",DATOS_[Check Nº SC Anualiz],"Sí")</f>
        <v>0</v>
      </c>
      <c r="G19" s="204">
        <f>COUNTIFS(DATOS_[AGRUP. CLAS. PROF.],$B18,DATOS_[Sexo],$B19,DATOS_[Check Periodo Ref.],"Dentro",DATOS_[Check Nº SC Norm y Anualiz],"Sí")</f>
        <v>0</v>
      </c>
      <c r="H19" s="204">
        <f>COUNTIFS(DATOS_[AGRUP. CLAS. PROF.],$B18,DATOS_[Sexo],$B19,DATOS_[Check Periodo Ref.],"Dentro",DATOS_[Check Equiparación],"Sí")</f>
        <v>0</v>
      </c>
      <c r="I19" s="195">
        <f t="array" ref="I19">IFERROR(
AVERAGE(IF(DATOS_[Sexo]=$B19,IF(DATOS_[[AGRUP. CLAS. PROF.]:[AGRUP. CLAS. PROF.]]=$B18,IF(DATOS_[Check Equiparado]="Sí",IF(DATOS_[Check Periodo Ref.]="Dentro",DATOS_[SALARIO BASE Eq],FALSE))))),
0)</f>
        <v>13258.92</v>
      </c>
      <c r="J19" s="196">
        <f t="array" ref="J19">IFERROR(
(AVERAGE((IF(DATOS_[[Sexo]:[Sexo]]=$B19,IF(DATOS_[[AGRUP. CLAS. PROF.]:[AGRUP. CLAS. PROF.]]=$B18,IF(DATOS_[[Check Periodo Ref.]:[Check Periodo Ref.]]="Dentro",IF(DATOS_[[Check Equiparado]:[Check Equiparado]]="Sí",IF(DATOS!AE$5="Sí",(1/DATOS_[[% anualiz]:[% anualiz]]),1)*IF(DATOS!AE$4="Sí",1/DATOS_[[% normaliz]:[% normaliz]],1)*(DATOS_[Conc.Sal.01])))))))),
0)</f>
        <v>6167.7266666666665</v>
      </c>
      <c r="K19" s="196">
        <f t="array" ref="K19">IFERROR(
(AVERAGE((IF(DATOS_[[Sexo]:[Sexo]]=$B19,IF(DATOS_[[AGRUP. CLAS. PROF.]:[AGRUP. CLAS. PROF.]]=$B18,IF(DATOS_[[Check Periodo Ref.]:[Check Periodo Ref.]]="Dentro",IF(DATOS_[[Check Equiparado]:[Check Equiparado]]="Sí",IF(DATOS!AF$5="Sí",(1/DATOS_[[% anualiz]:[% anualiz]]),1)*IF(DATOS!AF$4="Sí",1/DATOS_[[% normaliz]:[% normaliz]],1)*(DATOS_[Conc.Sal.02])))))))),
0)</f>
        <v>37.44</v>
      </c>
      <c r="L19" s="196">
        <f t="array" ref="L19">IFERROR(
(AVERAGE((IF(DATOS_[[Sexo]:[Sexo]]=$B19,IF(DATOS_[[AGRUP. CLAS. PROF.]:[AGRUP. CLAS. PROF.]]=$B18,IF(DATOS_[[Check Periodo Ref.]:[Check Periodo Ref.]]="Dentro",IF(DATOS_[[Check Equiparado]:[Check Equiparado]]="Sí",IF(DATOS!AG$5="Sí",(1/DATOS_[[% anualiz]:[% anualiz]]),1)*IF(DATOS!AG$4="Sí",1/DATOS_[[% normaliz]:[% normaliz]],1)*(DATOS_[Conc.Sal.03])))))))),
0)</f>
        <v>902.4</v>
      </c>
      <c r="M19" s="196">
        <f t="array" ref="M19">IFERROR(
(AVERAGE((IF(DATOS_[[Sexo]:[Sexo]]=$B19,IF(DATOS_[[AGRUP. CLAS. PROF.]:[AGRUP. CLAS. PROF.]]=$B18,IF(DATOS_[[Check Periodo Ref.]:[Check Periodo Ref.]]="Dentro",IF(DATOS_[[Check Equiparado]:[Check Equiparado]]="Sí",IF(DATOS!AH$5="Sí",(1/DATOS_[[% anualiz]:[% anualiz]]),1)*IF(DATOS!AH$4="Sí",1/DATOS_[[% normaliz]:[% normaliz]],1)*(DATOS_[Conc.Sal.04])))))))),
0)</f>
        <v>880.6</v>
      </c>
      <c r="N19" s="196">
        <f t="array" ref="N19">IFERROR(
(AVERAGE((IF(DATOS_[[Sexo]:[Sexo]]=$B19,IF(DATOS_[[AGRUP. CLAS. PROF.]:[AGRUP. CLAS. PROF.]]=$B18,IF(DATOS_[[Check Periodo Ref.]:[Check Periodo Ref.]]="Dentro",IF(DATOS_[[Check Equiparado]:[Check Equiparado]]="Sí",IF(DATOS!AI$5="Sí",(1/DATOS_[[% anualiz]:[% anualiz]]),1)*IF(DATOS!AI$4="Sí",1/DATOS_[[% normaliz]:[% normaliz]],1)*(DATOS_[Conc.Sal.05])))))))),
0)</f>
        <v>346.22</v>
      </c>
      <c r="O19" s="196">
        <f t="array" ref="O19">IFERROR(
(AVERAGE((IF(DATOS_[[Sexo]:[Sexo]]=$B19,IF(DATOS_[[AGRUP. CLAS. PROF.]:[AGRUP. CLAS. PROF.]]=$B18,IF(DATOS_[[Check Periodo Ref.]:[Check Periodo Ref.]]="Dentro",IF(DATOS_[[Check Equiparado]:[Check Equiparado]]="Sí",IF(DATOS!AJ$5="Sí",(1/DATOS_[[% anualiz]:[% anualiz]]),1)*IF(DATOS!AJ$4="Sí",1/DATOS_[[% normaliz]:[% normaliz]],1)*(DATOS_[Conc.Sal.06])))))))),
0)</f>
        <v>802.07999999999993</v>
      </c>
      <c r="P19" s="196">
        <f t="array" ref="P19">IFERROR(
(AVERAGE((IF(DATOS_[[Sexo]:[Sexo]]=$B19,IF(DATOS_[[AGRUP. CLAS. PROF.]:[AGRUP. CLAS. PROF.]]=$B18,IF(DATOS_[[Check Periodo Ref.]:[Check Periodo Ref.]]="Dentro",IF(DATOS_[[Check Equiparado]:[Check Equiparado]]="Sí",IF(DATOS!AK$5="Sí",(1/DATOS_[[% anualiz]:[% anualiz]]),1)*IF(DATOS!AK$4="Sí",1/DATOS_[[% normaliz]:[% normaliz]],1)*(DATOS_[Conc.Sal.07])))))))),
0)</f>
        <v>635.6</v>
      </c>
      <c r="Q19" s="196">
        <f t="array" ref="Q19">IFERROR(
(AVERAGE((IF(DATOS_[[Sexo]:[Sexo]]=$B19,IF(DATOS_[[AGRUP. CLAS. PROF.]:[AGRUP. CLAS. PROF.]]=$B18,IF(DATOS_[[Check Periodo Ref.]:[Check Periodo Ref.]]="Dentro",IF(DATOS_[[Check Equiparado]:[Check Equiparado]]="Sí",IF(DATOS!AL$5="Sí",(1/DATOS_[[% anualiz]:[% anualiz]]),1)*IF(DATOS!AL$4="Sí",1/DATOS_[[% normaliz]:[% normaliz]],1)*(DATOS_[Conc.Sal.08])))))))),
0)</f>
        <v>1481.04</v>
      </c>
      <c r="R19" s="196">
        <f t="array" ref="R19">IFERROR(
(AVERAGE((IF(DATOS_[[Sexo]:[Sexo]]=$B19,IF(DATOS_[[AGRUP. CLAS. PROF.]:[AGRUP. CLAS. PROF.]]=$B18,IF(DATOS_[[Check Periodo Ref.]:[Check Periodo Ref.]]="Dentro",IF(DATOS_[[Check Equiparado]:[Check Equiparado]]="Sí",IF(DATOS!AM$5="Sí",(1/DATOS_[[% anualiz]:[% anualiz]]),1)*IF(DATOS!AM$4="Sí",1/DATOS_[[% normaliz]:[% normaliz]],1)*(DATOS_[Conc.Sal.09])))))))),
0)</f>
        <v>420.84</v>
      </c>
      <c r="S19" s="196">
        <f t="array" ref="S19">IFERROR(
(AVERAGE((IF(DATOS_[[Sexo]:[Sexo]]=$B19,IF(DATOS_[[AGRUP. CLAS. PROF.]:[AGRUP. CLAS. PROF.]]=$B18,IF(DATOS_[[Check Periodo Ref.]:[Check Periodo Ref.]]="Dentro",IF(DATOS_[[Check Equiparado]:[Check Equiparado]]="Sí",IF(DATOS!AN$5="Sí",(1/DATOS_[[% anualiz]:[% anualiz]]),1)*IF(DATOS!AN$4="Sí",1/DATOS_[[% normaliz]:[% normaliz]],1)*(DATOS_[Conc.Sal.10])))))))),
0)</f>
        <v>21.666666666666668</v>
      </c>
      <c r="T19" s="196">
        <f t="array" ref="T19">IFERROR(
(AVERAGE((IF(DATOS_[[Sexo]:[Sexo]]=$B19,IF(DATOS_[[AGRUP. CLAS. PROF.]:[AGRUP. CLAS. PROF.]]=$B18,IF(DATOS_[[Check Periodo Ref.]:[Check Periodo Ref.]]="Dentro",IF(DATOS_[[Check Equiparado]:[Check Equiparado]]="Sí",IF(DATOS!AO$5="Sí",(1/DATOS_[[% anualiz]:[% anualiz]]),1)*IF(DATOS!AO$4="Sí",1/DATOS_[[% normaliz]:[% normaliz]],1)*(DATOS_[Conc.Sal.11])))))))),
0)</f>
        <v>35.773333333333333</v>
      </c>
      <c r="U19" s="196">
        <f t="array" ref="U19">IFERROR(
(AVERAGE((IF(DATOS_[[Sexo]:[Sexo]]=$B19,IF(DATOS_[[AGRUP. CLAS. PROF.]:[AGRUP. CLAS. PROF.]]=$B18,IF(DATOS_[[Check Periodo Ref.]:[Check Periodo Ref.]]="Dentro",IF(DATOS_[[Check Equiparado]:[Check Equiparado]]="Sí",IF(DATOS!AP$5="Sí",(1/DATOS_[[% anualiz]:[% anualiz]]),1)*IF(DATOS!AP$4="Sí",1/DATOS_[[% normaliz]:[% normaliz]],1)*(DATOS_[Conc.Sal.12])))))))),
0)</f>
        <v>1244.55</v>
      </c>
      <c r="V19" s="196">
        <f t="array" ref="V19">IFERROR(
(AVERAGE((IF(DATOS_[[Sexo]:[Sexo]]=$B19,IF(DATOS_[[AGRUP. CLAS. PROF.]:[AGRUP. CLAS. PROF.]]=$B18,IF(DATOS_[[Check Periodo Ref.]:[Check Periodo Ref.]]="Dentro",IF(DATOS_[[Check Equiparado]:[Check Equiparado]]="Sí",IF(DATOS!AQ$5="Sí",(1/DATOS_[[% anualiz]:[% anualiz]]),1)*IF(DATOS!AQ$4="Sí",1/DATOS_[[% normaliz]:[% normaliz]],1)*(DATOS_[Conc.Sal.13])))))))),
0)</f>
        <v>1255.3933333333332</v>
      </c>
      <c r="W19" s="196">
        <f t="array" ref="W19">IFERROR(
(AVERAGE((IF(DATOS_[[Sexo]:[Sexo]]=$B19,IF(DATOS_[[AGRUP. CLAS. PROF.]:[AGRUP. CLAS. PROF.]]=$B18,IF(DATOS_[[Check Periodo Ref.]:[Check Periodo Ref.]]="Dentro",IF(DATOS_[[Check Equiparado]:[Check Equiparado]]="Sí",IF(DATOS!AR$5="Sí",(1/DATOS_[[% anualiz]:[% anualiz]]),1)*IF(DATOS!AR$4="Sí",1/DATOS_[[% normaliz]:[% normaliz]],1)*(DATOS_[Conc.Sal.14])))))))),
0)</f>
        <v>0</v>
      </c>
      <c r="X19" s="196">
        <f t="array" ref="X19">IFERROR(
(AVERAGE((IF(DATOS_[[Sexo]:[Sexo]]=$B19,IF(DATOS_[[AGRUP. CLAS. PROF.]:[AGRUP. CLAS. PROF.]]=$B18,IF(DATOS_[[Check Periodo Ref.]:[Check Periodo Ref.]]="Dentro",IF(DATOS_[[Check Equiparado]:[Check Equiparado]]="Sí",IF(DATOS!AS$5="Sí",(1/DATOS_[[% anualiz]:[% anualiz]]),1)*IF(DATOS!AS$4="Sí",1/DATOS_[[% normaliz]:[% normaliz]],1)*(DATOS_[Conc.Sal.15])))))))),
0)</f>
        <v>0</v>
      </c>
      <c r="Y19" s="196">
        <f t="array" ref="Y19">IFERROR(
(AVERAGE((IF(DATOS_[[Sexo]:[Sexo]]=$B19,IF(DATOS_[[AGRUP. CLAS. PROF.]:[AGRUP. CLAS. PROF.]]=$B18,IF(DATOS_[[Check Periodo Ref.]:[Check Periodo Ref.]]="Dentro",IF(DATOS_[[Check Equiparado]:[Check Equiparado]]="Sí",IF(DATOS!AT$5="Sí",(1/DATOS_[[% anualiz]:[% anualiz]]),1)*IF(DATOS!AT$4="Sí",1/DATOS_[[% normaliz]:[% normaliz]],1)*(DATOS_[Conc.Sal.16])))))))),
0)</f>
        <v>0</v>
      </c>
      <c r="Z19" s="196">
        <f t="array" ref="Z19">IFERROR(
(AVERAGE((IF(DATOS_[[Sexo]:[Sexo]]=$B19,IF(DATOS_[[AGRUP. CLAS. PROF.]:[AGRUP. CLAS. PROF.]]=$B18,IF(DATOS_[[Check Periodo Ref.]:[Check Periodo Ref.]]="Dentro",IF(DATOS_[[Check Equiparado]:[Check Equiparado]]="Sí",IF(DATOS!AU$5="Sí",(1/DATOS_[[% anualiz]:[% anualiz]]),1)*IF(DATOS!AU$4="Sí",1/DATOS_[[% normaliz]:[% normaliz]],1)*(DATOS_[Conc.Sal.17])))))))),
0)</f>
        <v>0</v>
      </c>
      <c r="AA19" s="196">
        <f t="array" ref="AA19">IFERROR(
(AVERAGE((IF(DATOS_[[Sexo]:[Sexo]]=$B19,IF(DATOS_[[AGRUP. CLAS. PROF.]:[AGRUP. CLAS. PROF.]]=$B18,IF(DATOS_[[Check Periodo Ref.]:[Check Periodo Ref.]]="Dentro",IF(DATOS_[[Check Equiparado]:[Check Equiparado]]="Sí",IF(DATOS!AV$5="Sí",(1/DATOS_[[% anualiz]:[% anualiz]]),1)*IF(DATOS!AV$4="Sí",1/DATOS_[[% normaliz]:[% normaliz]],1)*(DATOS_[Conc.Sal.18])))))))),
0)</f>
        <v>0</v>
      </c>
      <c r="AB19" s="196">
        <f t="array" ref="AB19">IFERROR(
(AVERAGE((IF(DATOS_[[Sexo]:[Sexo]]=$B19,IF(DATOS_[[AGRUP. CLAS. PROF.]:[AGRUP. CLAS. PROF.]]=$B18,IF(DATOS_[[Check Periodo Ref.]:[Check Periodo Ref.]]="Dentro",IF(DATOS_[[Check Equiparado]:[Check Equiparado]]="Sí",IF(DATOS!AW$5="Sí",(1/DATOS_[[% anualiz]:[% anualiz]]),1)*IF(DATOS!AW$4="Sí",1/DATOS_[[% normaliz]:[% normaliz]],1)*(DATOS_[Conc.Sal.19])))))))),
0)</f>
        <v>0</v>
      </c>
      <c r="AC19" s="196">
        <f t="array" ref="AC19">IFERROR(
(AVERAGE((IF(DATOS_[[Sexo]:[Sexo]]=$B19,IF(DATOS_[[AGRUP. CLAS. PROF.]:[AGRUP. CLAS. PROF.]]=$B18,IF(DATOS_[[Check Periodo Ref.]:[Check Periodo Ref.]]="Dentro",IF(DATOS_[[Check Equiparado]:[Check Equiparado]]="Sí",IF(DATOS!AX$5="Sí",(1/DATOS_[[% anualiz]:[% anualiz]]),1)*IF(DATOS!AX$4="Sí",1/DATOS_[[% normaliz]:[% normaliz]],1)*(DATOS_[Conc.Sal.20])))))))),
0)</f>
        <v>0</v>
      </c>
      <c r="AD19" s="196">
        <f t="array" ref="AD19">IFERROR(
(AVERAGE((IF(DATOS_[[Sexo]:[Sexo]]=$B19,IF(DATOS_[[AGRUP. CLAS. PROF.]:[AGRUP. CLAS. PROF.]]=$B18,IF(DATOS_[[Check Periodo Ref.]:[Check Periodo Ref.]]="Dentro",IF(DATOS_[[Check Equiparado]:[Check Equiparado]]="Sí",IF(DATOS!AY$5="Sí",(1/DATOS_[[% anualiz]:[% anualiz]]),1)*IF(DATOS!AY$4="Sí",1/DATOS_[[% normaliz]:[% normaliz]],1)*(DATOS_[Conc.Sal.21])))))))),
0)</f>
        <v>0</v>
      </c>
      <c r="AE19" s="196">
        <f t="array" ref="AE19">IFERROR(
(AVERAGE((IF(DATOS_[[Sexo]:[Sexo]]=$B19,IF(DATOS_[[AGRUP. CLAS. PROF.]:[AGRUP. CLAS. PROF.]]=$B18,IF(DATOS_[[Check Periodo Ref.]:[Check Periodo Ref.]]="Dentro",IF(DATOS_[[Check Equiparado]:[Check Equiparado]]="Sí",IF(DATOS!AZ$5="Sí",(1/DATOS_[[% anualiz]:[% anualiz]]),1)*IF(DATOS!AZ$4="Sí",1/DATOS_[[% normaliz]:[% normaliz]],1)*(DATOS_[Conc.Sal.22])))))))),
0)</f>
        <v>0</v>
      </c>
      <c r="AF19" s="196">
        <f t="array" ref="AF19">IFERROR(
(AVERAGE((IF(DATOS_[[Sexo]:[Sexo]]=$B19,IF(DATOS_[[AGRUP. CLAS. PROF.]:[AGRUP. CLAS. PROF.]]=$B18,IF(DATOS_[[Check Periodo Ref.]:[Check Periodo Ref.]]="Dentro",IF(DATOS_[[Check Equiparado]:[Check Equiparado]]="Sí",IF(DATOS!BA$5="Sí",(1/DATOS_[[% anualiz]:[% anualiz]]),1)*IF(DATOS!BA$4="Sí",1/DATOS_[[% normaliz]:[% normaliz]],1)*(DATOS_[Conc.Sal.23])))))))),
0)</f>
        <v>0</v>
      </c>
      <c r="AG19" s="196">
        <f t="array" ref="AG19">IFERROR(
(AVERAGE((IF(DATOS_[[Sexo]:[Sexo]]=$B19,IF(DATOS_[[AGRUP. CLAS. PROF.]:[AGRUP. CLAS. PROF.]]=$B18,IF(DATOS_[[Check Periodo Ref.]:[Check Periodo Ref.]]="Dentro",IF(DATOS_[[Check Equiparado]:[Check Equiparado]]="Sí",IF(DATOS!BB$5="Sí",(1/DATOS_[[% anualiz]:[% anualiz]]),1)*IF(DATOS!BB$4="Sí",1/DATOS_[[% normaliz]:[% normaliz]],1)*(DATOS_[Conc.Sal.24])))))))),
0)</f>
        <v>0</v>
      </c>
      <c r="AH19" s="196">
        <f t="array" ref="AH19">IFERROR(
(AVERAGE((IF(DATOS_[[Sexo]:[Sexo]]=$B19,IF(DATOS_[[AGRUP. CLAS. PROF.]:[AGRUP. CLAS. PROF.]]=$B18,IF(DATOS_[[Check Periodo Ref.]:[Check Periodo Ref.]]="Dentro",IF(DATOS_[[Check Equiparado]:[Check Equiparado]]="Sí",IF(DATOS!BC$5="Sí",(1/DATOS_[[% anualiz]:[% anualiz]]),1)*IF(DATOS!BC$4="Sí",1/DATOS_[[% normaliz]:[% normaliz]],1)*(DATOS_[Conc.Sal.25])))))))),
0)</f>
        <v>0</v>
      </c>
      <c r="AI19" s="196">
        <f t="array" ref="AI19">IFERROR(
(AVERAGE((IF(DATOS_[[Sexo]:[Sexo]]=$B19,IF(DATOS_[[AGRUP. CLAS. PROF.]:[AGRUP. CLAS. PROF.]]=$B18,IF(DATOS_[[Check Periodo Ref.]:[Check Periodo Ref.]]="Dentro",IF(DATOS_[[Check Equiparado]:[Check Equiparado]]="Sí",IF(DATOS!BD$5="Sí",(1/DATOS_[[% anualiz]:[% anualiz]]),1)*IF(DATOS!BD$4="Sí",1/DATOS_[[% normaliz]:[% normaliz]],1)*(DATOS_[Conc.Sal.26])))))))),
0)</f>
        <v>0</v>
      </c>
      <c r="AJ19" s="196">
        <f t="array" ref="AJ19">IFERROR(
(AVERAGE((IF(DATOS_[[Sexo]:[Sexo]]=$B19,IF(DATOS_[[AGRUP. CLAS. PROF.]:[AGRUP. CLAS. PROF.]]=$B18,IF(DATOS_[[Check Periodo Ref.]:[Check Periodo Ref.]]="Dentro",IF(DATOS_[[Check Equiparado]:[Check Equiparado]]="Sí",IF(DATOS!BE$5="Sí",(1/DATOS_[[% anualiz]:[% anualiz]]),1)*IF(DATOS!BE$4="Sí",1/DATOS_[[% normaliz]:[% normaliz]],1)*(DATOS_[Conc.Sal.27])))))))),
0)</f>
        <v>0</v>
      </c>
      <c r="AK19" s="196">
        <f t="array" ref="AK19">IFERROR(
(AVERAGE((IF(DATOS_[[Sexo]:[Sexo]]=$B19,IF(DATOS_[[AGRUP. CLAS. PROF.]:[AGRUP. CLAS. PROF.]]=$B18,IF(DATOS_[[Check Periodo Ref.]:[Check Periodo Ref.]]="Dentro",IF(DATOS_[[Check Equiparado]:[Check Equiparado]]="Sí",IF(DATOS!BF$5="Sí",(1/DATOS_[[% anualiz]:[% anualiz]]),1)*IF(DATOS!BF$4="Sí",1/DATOS_[[% normaliz]:[% normaliz]],1)*(DATOS_[Conc.Sal.28])))))))),
0)</f>
        <v>0</v>
      </c>
      <c r="AL19" s="196">
        <f t="array" ref="AL19">IFERROR(
(AVERAGE((IF(DATOS_[[Sexo]:[Sexo]]=$B19,IF(DATOS_[[AGRUP. CLAS. PROF.]:[AGRUP. CLAS. PROF.]]=$B18,IF(DATOS_[[Check Periodo Ref.]:[Check Periodo Ref.]]="Dentro",IF(DATOS_[[Check Equiparado]:[Check Equiparado]]="Sí",IF(DATOS!BG$5="Sí",(1/DATOS_[[% anualiz]:[% anualiz]]),1)*IF(DATOS!BG$4="Sí",1/DATOS_[[% normaliz]:[% normaliz]],1)*(DATOS_[Conc.Sal.29])))))))),
0)</f>
        <v>0</v>
      </c>
      <c r="AM19" s="196">
        <f t="array" ref="AM19">IFERROR(
(AVERAGE((IF(DATOS_[[Sexo]:[Sexo]]=$B19,IF(DATOS_[[AGRUP. CLAS. PROF.]:[AGRUP. CLAS. PROF.]]=$B18,IF(DATOS_[[Check Periodo Ref.]:[Check Periodo Ref.]]="Dentro",IF(DATOS_[[Check Equiparado]:[Check Equiparado]]="Sí",IF(DATOS!BH$5="Sí",(1/DATOS_[[% anualiz]:[% anualiz]]),1)*IF(DATOS!BH$4="Sí",1/DATOS_[[% normaliz]:[% normaliz]],1)*(DATOS_[Conc.Sal.30])))))))),
0)</f>
        <v>0</v>
      </c>
      <c r="AN19" s="195">
        <f t="array" ref="AN19">IFERROR(
AVERAGE(IF(DATOS_[Sexo]=$B19,IF(DATOS_[[AGRUP. CLAS. PROF.]:[AGRUP. CLAS. PROF.]]=$B18,IF(DATOS_[Check Equiparado]="Sí",IF(DATOS_[Check Periodo Ref.]="Dentro",DATOS_[Tot COMPL.SAL Eq],FALSE))))),
0)</f>
        <v>14231.330000000002</v>
      </c>
      <c r="AO19" s="172">
        <f t="array" ref="AO19">IFERROR(
AVERAGE(IF(DATOS_[Sexo]=$B19,IF(DATOS_[[AGRUP. CLAS. PROF.]:[AGRUP. CLAS. PROF.]]=$B18,IF(DATOS_[Check Equiparado]="Sí",IF(DATOS_[Check Periodo Ref.]="Dentro",DATOS_[TOTAL SALARIO Eq],FALSE))))),
0)</f>
        <v>27490.25</v>
      </c>
      <c r="AP19" s="173">
        <f t="array" ref="AP19">IFERROR(
(AVERAGE((IF(DATOS_[[Sexo]:[Sexo]]=$B19,IF(DATOS_[[AGRUP. CLAS. PROF.]:[AGRUP. CLAS. PROF.]]=$B18,IF(DATOS_[[Check Periodo Ref.]:[Check Periodo Ref.]]="Dentro",IF(DATOS_[[Check Equiparado]:[Check Equiparado]]="Sí",IF(DATOS!BW$5="Sí",(1/DATOS_[[% anualiz]:[% anualiz]]),1)*IF(DATOS!BW$4="Sí",1/DATOS_[[% normaliz]:[% normaliz]],1)*(DATOS_[C.Extra.01])))))))),
0)</f>
        <v>0</v>
      </c>
      <c r="AQ19" s="173">
        <f t="array" ref="AQ19">IFERROR(
(AVERAGE((IF(DATOS_[[Sexo]:[Sexo]]=$B19,IF(DATOS_[[AGRUP. CLAS. PROF.]:[AGRUP. CLAS. PROF.]]=$B18,IF(DATOS_[[Check Periodo Ref.]:[Check Periodo Ref.]]="Dentro",IF(DATOS_[[Check Equiparado]:[Check Equiparado]]="Sí",IF(DATOS!CB$5="Sí",(1/DATOS_[[% anualiz]:[% anualiz]]),1)*IF(DATOS!CB$4="Sí",1/DATOS_[[% normaliz]:[% normaliz]],1)*(DATOS_[C.Extra.06])))))))),
0)</f>
        <v>0</v>
      </c>
      <c r="AR19" s="173">
        <f t="array" ref="AR19">IFERROR(
(AVERAGE((IF(DATOS_[[Sexo]:[Sexo]]=$B19,IF(DATOS_[[AGRUP. CLAS. PROF.]:[AGRUP. CLAS. PROF.]]=$B18,IF(DATOS_[[Check Periodo Ref.]:[Check Periodo Ref.]]="Dentro",IF(DATOS_[[Check Equiparado]:[Check Equiparado]]="Sí",IF(DATOS!CC$5="Sí",(1/DATOS_[[% anualiz]:[% anualiz]]),1)*IF(DATOS!CC$4="Sí",1/DATOS_[[% normaliz]:[% normaliz]],1)*(DATOS_[C.Extra.07])))))))),
0)</f>
        <v>0</v>
      </c>
      <c r="AS19" s="173">
        <f t="array" ref="AS19">IFERROR(
(AVERAGE((IF(DATOS_[[Sexo]:[Sexo]]=$B19,IF(DATOS_[[AGRUP. CLAS. PROF.]:[AGRUP. CLAS. PROF.]]=$B18,IF(DATOS_[[Check Periodo Ref.]:[Check Periodo Ref.]]="Dentro",IF(DATOS_[[Check Equiparado]:[Check Equiparado]]="Sí",IF(DATOS!CD$5="Sí",(1/DATOS_[[% anualiz]:[% anualiz]]),1)*IF(DATOS!CD$4="Sí",1/DATOS_[[% normaliz]:[% normaliz]],1)*(DATOS_[C.Extra.08])))))))),
0)</f>
        <v>0</v>
      </c>
      <c r="AT19" s="173">
        <f t="array" ref="AT19">IFERROR(
(AVERAGE((IF(DATOS_[[Sexo]:[Sexo]]=$B19,IF(DATOS_[[AGRUP. CLAS. PROF.]:[AGRUP. CLAS. PROF.]]=$B18,IF(DATOS_[[Check Periodo Ref.]:[Check Periodo Ref.]]="Dentro",IF(DATOS_[[Check Equiparado]:[Check Equiparado]]="Sí",IF(DATOS!CG$5="Sí",(1/DATOS_[[% anualiz]:[% anualiz]]),1)*IF(DATOS!CG$4="Sí",1/DATOS_[[% normaliz]:[% normaliz]],1)*(DATOS_[C.Extra.11])))))))),
0)</f>
        <v>0</v>
      </c>
      <c r="AU19" s="197">
        <f t="array" ref="AU19">IFERROR(
AVERAGE(IF(DATOS_[Sexo]=$B19,IF(DATOS_[[AGRUP. CLAS. PROF.]:[AGRUP. CLAS. PROF.]]=$B18,IF(DATOS_[Check Equiparado]="Sí",IF(DATOS_[Check Periodo Ref.]="Dentro",DATOS_[Tot Extrasalarial Eq],FALSE))))),
0)</f>
        <v>0</v>
      </c>
      <c r="AV19" s="175">
        <f t="array" ref="AV19">IFERROR(
AVERAGE(IF(DATOS_[Sexo]=$B19,IF(DATOS_[[AGRUP. CLAS. PROF.]:[AGRUP. CLAS. PROF.]]=$B18,IF(DATOS_[Check Equiparado]="Sí",IF(DATOS_[Check Periodo Ref.]="Dentro",DATOS_[TOTAL Retrib Eq],FALSE))))),
0)</f>
        <v>27490.25</v>
      </c>
    </row>
    <row r="20" spans="1:48" x14ac:dyDescent="0.25">
      <c r="A20" s="133" t="str">
        <f t="shared" ref="A20" si="10">+A19</f>
        <v/>
      </c>
      <c r="B20" s="202" t="s">
        <v>521</v>
      </c>
      <c r="C20" s="203">
        <f t="array" ref="C20">SUM(IF($B20=DATOS_[Sexo],
IF($B18=DATOS_[AGRUP. CLAS. PROF.],
IF("Dentro"=DATOS_[Check Periodo Ref.],
1/(COUNTIFS(DATOS_[Sexo],$B20,DATOS_[AGRUP. CLAS. PROF.],$B18,DATOS_[Check Periodo Ref.],"Dentro",DATOS_[id/cod],DATOS_[id/cod]))))))</f>
        <v>3</v>
      </c>
      <c r="D20" s="204">
        <f>COUNTIFS(DATOS_[AGRUP. CLAS. PROF.],$B18,DATOS_[Sexo],$B20,DATOS_[Check Periodo Ref.],"Dentro")</f>
        <v>3</v>
      </c>
      <c r="E20" s="204">
        <f>COUNTIFS(DATOS_[AGRUP. CLAS. PROF.],$B18,DATOS_[Sexo],$B20,DATOS_[Check Periodo Ref.],"Dentro",DATOS_[Check Nº SC Norm],"Sí")</f>
        <v>0</v>
      </c>
      <c r="F20" s="204">
        <f>COUNTIFS(DATOS_[AGRUP. CLAS. PROF.],$B18,DATOS_[Sexo],$B20,DATOS_[Check Periodo Ref.],"Dentro",DATOS_[Check Nº SC Anualiz],"Sí")</f>
        <v>0</v>
      </c>
      <c r="G20" s="204">
        <f>COUNTIFS(DATOS_[AGRUP. CLAS. PROF.],$B18,DATOS_[Sexo],$B20,DATOS_[Check Periodo Ref.],"Dentro",DATOS_[Check Nº SC Norm y Anualiz],"Sí")</f>
        <v>0</v>
      </c>
      <c r="H20" s="204">
        <f>COUNTIFS(DATOS_[AGRUP. CLAS. PROF.],$B18,DATOS_[Sexo],$B20,DATOS_[Check Periodo Ref.],"Dentro",DATOS_[Check Equiparación],"Sí")</f>
        <v>0</v>
      </c>
      <c r="I20" s="195" cm="1">
        <f t="array" ref="I20">IFERROR(
AVERAGE(IF(DATOS_[Sexo]=$B20,IF(DATOS_[[AGRUP. CLAS. PROF.]:[AGRUP. CLAS. PROF.]]=$B18,IF(DATOS_[Check Equiparado]="Sí",IF(DATOS_[Check Periodo Ref.]="Dentro",DATOS_[SALARIO BASE Eq],FALSE))))),
0)</f>
        <v>13448.76</v>
      </c>
      <c r="J20" s="196">
        <f t="array" ref="J20">IFERROR(
(AVERAGE((IF(DATOS_[[Sexo]:[Sexo]]=$B20,IF(DATOS_[[AGRUP. CLAS. PROF.]:[AGRUP. CLAS. PROF.]]=$B18,IF(DATOS_[[Check Periodo Ref.]:[Check Periodo Ref.]]="Dentro",IF(DATOS_[[Check Equiparado]:[Check Equiparado]]="Sí",IF(DATOS!AE$5="Sí",(1/DATOS_[[% anualiz]:[% anualiz]]),1)*IF(DATOS!AE$4="Sí",1/DATOS_[[% normaliz]:[% normaliz]],1)*(DATOS_[Conc.Sal.01])))))))),
0)</f>
        <v>5289.333333333333</v>
      </c>
      <c r="K20" s="196">
        <f t="array" ref="K20">IFERROR(
(AVERAGE((IF(DATOS_[[Sexo]:[Sexo]]=$B20,IF(DATOS_[[AGRUP. CLAS. PROF.]:[AGRUP. CLAS. PROF.]]=$B18,IF(DATOS_[[Check Periodo Ref.]:[Check Periodo Ref.]]="Dentro",IF(DATOS_[[Check Equiparado]:[Check Equiparado]]="Sí",IF(DATOS!AF$5="Sí",(1/DATOS_[[% anualiz]:[% anualiz]]),1)*IF(DATOS!AF$4="Sí",1/DATOS_[[% normaliz]:[% normaliz]],1)*(DATOS_[Conc.Sal.02])))))))),
0)</f>
        <v>37.44</v>
      </c>
      <c r="L20" s="196">
        <f t="array" ref="L20">IFERROR(
(AVERAGE((IF(DATOS_[[Sexo]:[Sexo]]=$B20,IF(DATOS_[[AGRUP. CLAS. PROF.]:[AGRUP. CLAS. PROF.]]=$B18,IF(DATOS_[[Check Periodo Ref.]:[Check Periodo Ref.]]="Dentro",IF(DATOS_[[Check Equiparado]:[Check Equiparado]]="Sí",IF(DATOS!AG$5="Sí",(1/DATOS_[[% anualiz]:[% anualiz]]),1)*IF(DATOS!AG$4="Sí",1/DATOS_[[% normaliz]:[% normaliz]],1)*(DATOS_[Conc.Sal.03])))))))),
0)</f>
        <v>902.4</v>
      </c>
      <c r="M20" s="196">
        <f t="array" ref="M20">IFERROR(
(AVERAGE((IF(DATOS_[[Sexo]:[Sexo]]=$B20,IF(DATOS_[[AGRUP. CLAS. PROF.]:[AGRUP. CLAS. PROF.]]=$B18,IF(DATOS_[[Check Periodo Ref.]:[Check Periodo Ref.]]="Dentro",IF(DATOS_[[Check Equiparado]:[Check Equiparado]]="Sí",IF(DATOS!AH$5="Sí",(1/DATOS_[[% anualiz]:[% anualiz]]),1)*IF(DATOS!AH$4="Sí",1/DATOS_[[% normaliz]:[% normaliz]],1)*(DATOS_[Conc.Sal.04])))))))),
0)</f>
        <v>1867.2399999999998</v>
      </c>
      <c r="N20" s="196">
        <f t="array" ref="N20">IFERROR(
(AVERAGE((IF(DATOS_[[Sexo]:[Sexo]]=$B20,IF(DATOS_[[AGRUP. CLAS. PROF.]:[AGRUP. CLAS. PROF.]]=$B18,IF(DATOS_[[Check Periodo Ref.]:[Check Periodo Ref.]]="Dentro",IF(DATOS_[[Check Equiparado]:[Check Equiparado]]="Sí",IF(DATOS!AI$5="Sí",(1/DATOS_[[% anualiz]:[% anualiz]]),1)*IF(DATOS!AI$4="Sí",1/DATOS_[[% normaliz]:[% normaliz]],1)*(DATOS_[Conc.Sal.05])))))))),
0)</f>
        <v>389.8</v>
      </c>
      <c r="O20" s="196">
        <f t="array" ref="O20">IFERROR(
(AVERAGE((IF(DATOS_[[Sexo]:[Sexo]]=$B20,IF(DATOS_[[AGRUP. CLAS. PROF.]:[AGRUP. CLAS. PROF.]]=$B18,IF(DATOS_[[Check Periodo Ref.]:[Check Periodo Ref.]]="Dentro",IF(DATOS_[[Check Equiparado]:[Check Equiparado]]="Sí",IF(DATOS!AJ$5="Sí",(1/DATOS_[[% anualiz]:[% anualiz]]),1)*IF(DATOS!AJ$4="Sí",1/DATOS_[[% normaliz]:[% normaliz]],1)*(DATOS_[Conc.Sal.06])))))))),
0)</f>
        <v>843.12</v>
      </c>
      <c r="P20" s="196">
        <f t="array" ref="P20">IFERROR(
(AVERAGE((IF(DATOS_[[Sexo]:[Sexo]]=$B20,IF(DATOS_[[AGRUP. CLAS. PROF.]:[AGRUP. CLAS. PROF.]]=$B18,IF(DATOS_[[Check Periodo Ref.]:[Check Periodo Ref.]]="Dentro",IF(DATOS_[[Check Equiparado]:[Check Equiparado]]="Sí",IF(DATOS!AK$5="Sí",(1/DATOS_[[% anualiz]:[% anualiz]]),1)*IF(DATOS!AK$4="Sí",1/DATOS_[[% normaliz]:[% normaliz]],1)*(DATOS_[Conc.Sal.07])))))))),
0)</f>
        <v>1350.4399999999998</v>
      </c>
      <c r="Q20" s="196">
        <f t="array" ref="Q20">IFERROR(
(AVERAGE((IF(DATOS_[[Sexo]:[Sexo]]=$B20,IF(DATOS_[[AGRUP. CLAS. PROF.]:[AGRUP. CLAS. PROF.]]=$B18,IF(DATOS_[[Check Periodo Ref.]:[Check Periodo Ref.]]="Dentro",IF(DATOS_[[Check Equiparado]:[Check Equiparado]]="Sí",IF(DATOS!AL$5="Sí",(1/DATOS_[[% anualiz]:[% anualiz]]),1)*IF(DATOS!AL$4="Sí",1/DATOS_[[% normaliz]:[% normaliz]],1)*(DATOS_[Conc.Sal.08])))))))),
0)</f>
        <v>0</v>
      </c>
      <c r="R20" s="196">
        <f t="array" ref="R20">IFERROR(
(AVERAGE((IF(DATOS_[[Sexo]:[Sexo]]=$B20,IF(DATOS_[[AGRUP. CLAS. PROF.]:[AGRUP. CLAS. PROF.]]=$B18,IF(DATOS_[[Check Periodo Ref.]:[Check Periodo Ref.]]="Dentro",IF(DATOS_[[Check Equiparado]:[Check Equiparado]]="Sí",IF(DATOS!AM$5="Sí",(1/DATOS_[[% anualiz]:[% anualiz]]),1)*IF(DATOS!AM$4="Sí",1/DATOS_[[% normaliz]:[% normaliz]],1)*(DATOS_[Conc.Sal.09])))))))),
0)</f>
        <v>408</v>
      </c>
      <c r="S20" s="196">
        <f t="array" ref="S20">IFERROR(
(AVERAGE((IF(DATOS_[[Sexo]:[Sexo]]=$B20,IF(DATOS_[[AGRUP. CLAS. PROF.]:[AGRUP. CLAS. PROF.]]=$B18,IF(DATOS_[[Check Periodo Ref.]:[Check Periodo Ref.]]="Dentro",IF(DATOS_[[Check Equiparado]:[Check Equiparado]]="Sí",IF(DATOS!AN$5="Sí",(1/DATOS_[[% anualiz]:[% anualiz]]),1)*IF(DATOS!AN$4="Sí",1/DATOS_[[% normaliz]:[% normaliz]],1)*(DATOS_[Conc.Sal.10])))))))),
0)</f>
        <v>408</v>
      </c>
      <c r="T20" s="196">
        <f t="array" ref="T20">IFERROR(
(AVERAGE((IF(DATOS_[[Sexo]:[Sexo]]=$B20,IF(DATOS_[[AGRUP. CLAS. PROF.]:[AGRUP. CLAS. PROF.]]=$B18,IF(DATOS_[[Check Periodo Ref.]:[Check Periodo Ref.]]="Dentro",IF(DATOS_[[Check Equiparado]:[Check Equiparado]]="Sí",IF(DATOS!AO$5="Sí",(1/DATOS_[[% anualiz]:[% anualiz]]),1)*IF(DATOS!AO$4="Sí",1/DATOS_[[% normaliz]:[% normaliz]],1)*(DATOS_[Conc.Sal.11])))))))),
0)</f>
        <v>66.666666666666671</v>
      </c>
      <c r="U20" s="196">
        <f t="array" ref="U20">IFERROR(
(AVERAGE((IF(DATOS_[[Sexo]:[Sexo]]=$B20,IF(DATOS_[[AGRUP. CLAS. PROF.]:[AGRUP. CLAS. PROF.]]=$B18,IF(DATOS_[[Check Periodo Ref.]:[Check Periodo Ref.]]="Dentro",IF(DATOS_[[Check Equiparado]:[Check Equiparado]]="Sí",IF(DATOS!AP$5="Sí",(1/DATOS_[[% anualiz]:[% anualiz]]),1)*IF(DATOS!AP$4="Sí",1/DATOS_[[% normaliz]:[% normaliz]],1)*(DATOS_[Conc.Sal.12])))))))),
0)</f>
        <v>65</v>
      </c>
      <c r="V20" s="196">
        <f t="array" ref="V20">IFERROR(
(AVERAGE((IF(DATOS_[[Sexo]:[Sexo]]=$B20,IF(DATOS_[[AGRUP. CLAS. PROF.]:[AGRUP. CLAS. PROF.]]=$B18,IF(DATOS_[[Check Periodo Ref.]:[Check Periodo Ref.]]="Dentro",IF(DATOS_[[Check Equiparado]:[Check Equiparado]]="Sí",IF(DATOS!AQ$5="Sí",(1/DATOS_[[% anualiz]:[% anualiz]]),1)*IF(DATOS!AQ$4="Sí",1/DATOS_[[% normaliz]:[% normaliz]],1)*(DATOS_[Conc.Sal.13])))))))),
0)</f>
        <v>2761.33</v>
      </c>
      <c r="W20" s="196">
        <f t="array" ref="W20">IFERROR(
(AVERAGE((IF(DATOS_[[Sexo]:[Sexo]]=$B20,IF(DATOS_[[AGRUP. CLAS. PROF.]:[AGRUP. CLAS. PROF.]]=$B18,IF(DATOS_[[Check Periodo Ref.]:[Check Periodo Ref.]]="Dentro",IF(DATOS_[[Check Equiparado]:[Check Equiparado]]="Sí",IF(DATOS!AR$5="Sí",(1/DATOS_[[% anualiz]:[% anualiz]]),1)*IF(DATOS!AR$4="Sí",1/DATOS_[[% normaliz]:[% normaliz]],1)*(DATOS_[Conc.Sal.14])))))))),
0)</f>
        <v>0</v>
      </c>
      <c r="X20" s="196">
        <f t="array" ref="X20">IFERROR(
(AVERAGE((IF(DATOS_[[Sexo]:[Sexo]]=$B20,IF(DATOS_[[AGRUP. CLAS. PROF.]:[AGRUP. CLAS. PROF.]]=$B18,IF(DATOS_[[Check Periodo Ref.]:[Check Periodo Ref.]]="Dentro",IF(DATOS_[[Check Equiparado]:[Check Equiparado]]="Sí",IF(DATOS!AS$5="Sí",(1/DATOS_[[% anualiz]:[% anualiz]]),1)*IF(DATOS!AS$4="Sí",1/DATOS_[[% normaliz]:[% normaliz]],1)*(DATOS_[Conc.Sal.15])))))))),
0)</f>
        <v>0</v>
      </c>
      <c r="Y20" s="196">
        <f t="array" ref="Y20">IFERROR(
(AVERAGE((IF(DATOS_[[Sexo]:[Sexo]]=$B20,IF(DATOS_[[AGRUP. CLAS. PROF.]:[AGRUP. CLAS. PROF.]]=$B18,IF(DATOS_[[Check Periodo Ref.]:[Check Periodo Ref.]]="Dentro",IF(DATOS_[[Check Equiparado]:[Check Equiparado]]="Sí",IF(DATOS!AT$5="Sí",(1/DATOS_[[% anualiz]:[% anualiz]]),1)*IF(DATOS!AT$4="Sí",1/DATOS_[[% normaliz]:[% normaliz]],1)*(DATOS_[Conc.Sal.16])))))))),
0)</f>
        <v>0</v>
      </c>
      <c r="Z20" s="196">
        <f t="array" ref="Z20">IFERROR(
(AVERAGE((IF(DATOS_[[Sexo]:[Sexo]]=$B20,IF(DATOS_[[AGRUP. CLAS. PROF.]:[AGRUP. CLAS. PROF.]]=$B18,IF(DATOS_[[Check Periodo Ref.]:[Check Periodo Ref.]]="Dentro",IF(DATOS_[[Check Equiparado]:[Check Equiparado]]="Sí",IF(DATOS!AU$5="Sí",(1/DATOS_[[% anualiz]:[% anualiz]]),1)*IF(DATOS!AU$4="Sí",1/DATOS_[[% normaliz]:[% normaliz]],1)*(DATOS_[Conc.Sal.17])))))))),
0)</f>
        <v>0</v>
      </c>
      <c r="AA20" s="196">
        <f t="array" ref="AA20">IFERROR(
(AVERAGE((IF(DATOS_[[Sexo]:[Sexo]]=$B20,IF(DATOS_[[AGRUP. CLAS. PROF.]:[AGRUP. CLAS. PROF.]]=$B18,IF(DATOS_[[Check Periodo Ref.]:[Check Periodo Ref.]]="Dentro",IF(DATOS_[[Check Equiparado]:[Check Equiparado]]="Sí",IF(DATOS!AV$5="Sí",(1/DATOS_[[% anualiz]:[% anualiz]]),1)*IF(DATOS!AV$4="Sí",1/DATOS_[[% normaliz]:[% normaliz]],1)*(DATOS_[Conc.Sal.18])))))))),
0)</f>
        <v>0</v>
      </c>
      <c r="AB20" s="196">
        <f t="array" ref="AB20">IFERROR(
(AVERAGE((IF(DATOS_[[Sexo]:[Sexo]]=$B20,IF(DATOS_[[AGRUP. CLAS. PROF.]:[AGRUP. CLAS. PROF.]]=$B18,IF(DATOS_[[Check Periodo Ref.]:[Check Periodo Ref.]]="Dentro",IF(DATOS_[[Check Equiparado]:[Check Equiparado]]="Sí",IF(DATOS!AW$5="Sí",(1/DATOS_[[% anualiz]:[% anualiz]]),1)*IF(DATOS!AW$4="Sí",1/DATOS_[[% normaliz]:[% normaliz]],1)*(DATOS_[Conc.Sal.19])))))))),
0)</f>
        <v>0</v>
      </c>
      <c r="AC20" s="196">
        <f t="array" ref="AC20">IFERROR(
(AVERAGE((IF(DATOS_[[Sexo]:[Sexo]]=$B20,IF(DATOS_[[AGRUP. CLAS. PROF.]:[AGRUP. CLAS. PROF.]]=$B18,IF(DATOS_[[Check Periodo Ref.]:[Check Periodo Ref.]]="Dentro",IF(DATOS_[[Check Equiparado]:[Check Equiparado]]="Sí",IF(DATOS!AX$5="Sí",(1/DATOS_[[% anualiz]:[% anualiz]]),1)*IF(DATOS!AX$4="Sí",1/DATOS_[[% normaliz]:[% normaliz]],1)*(DATOS_[Conc.Sal.20])))))))),
0)</f>
        <v>0</v>
      </c>
      <c r="AD20" s="196">
        <f t="array" ref="AD20">IFERROR(
(AVERAGE((IF(DATOS_[[Sexo]:[Sexo]]=$B20,IF(DATOS_[[AGRUP. CLAS. PROF.]:[AGRUP. CLAS. PROF.]]=$B18,IF(DATOS_[[Check Periodo Ref.]:[Check Periodo Ref.]]="Dentro",IF(DATOS_[[Check Equiparado]:[Check Equiparado]]="Sí",IF(DATOS!AY$5="Sí",(1/DATOS_[[% anualiz]:[% anualiz]]),1)*IF(DATOS!AY$4="Sí",1/DATOS_[[% normaliz]:[% normaliz]],1)*(DATOS_[Conc.Sal.21])))))))),
0)</f>
        <v>0</v>
      </c>
      <c r="AE20" s="196">
        <f t="array" ref="AE20">IFERROR(
(AVERAGE((IF(DATOS_[[Sexo]:[Sexo]]=$B20,IF(DATOS_[[AGRUP. CLAS. PROF.]:[AGRUP. CLAS. PROF.]]=$B18,IF(DATOS_[[Check Periodo Ref.]:[Check Periodo Ref.]]="Dentro",IF(DATOS_[[Check Equiparado]:[Check Equiparado]]="Sí",IF(DATOS!AZ$5="Sí",(1/DATOS_[[% anualiz]:[% anualiz]]),1)*IF(DATOS!AZ$4="Sí",1/DATOS_[[% normaliz]:[% normaliz]],1)*(DATOS_[Conc.Sal.22])))))))),
0)</f>
        <v>0</v>
      </c>
      <c r="AF20" s="196">
        <f t="array" ref="AF20">IFERROR(
(AVERAGE((IF(DATOS_[[Sexo]:[Sexo]]=$B20,IF(DATOS_[[AGRUP. CLAS. PROF.]:[AGRUP. CLAS. PROF.]]=$B18,IF(DATOS_[[Check Periodo Ref.]:[Check Periodo Ref.]]="Dentro",IF(DATOS_[[Check Equiparado]:[Check Equiparado]]="Sí",IF(DATOS!BA$5="Sí",(1/DATOS_[[% anualiz]:[% anualiz]]),1)*IF(DATOS!BA$4="Sí",1/DATOS_[[% normaliz]:[% normaliz]],1)*(DATOS_[Conc.Sal.23])))))))),
0)</f>
        <v>0</v>
      </c>
      <c r="AG20" s="196">
        <f t="array" ref="AG20">IFERROR(
(AVERAGE((IF(DATOS_[[Sexo]:[Sexo]]=$B20,IF(DATOS_[[AGRUP. CLAS. PROF.]:[AGRUP. CLAS. PROF.]]=$B18,IF(DATOS_[[Check Periodo Ref.]:[Check Periodo Ref.]]="Dentro",IF(DATOS_[[Check Equiparado]:[Check Equiparado]]="Sí",IF(DATOS!BB$5="Sí",(1/DATOS_[[% anualiz]:[% anualiz]]),1)*IF(DATOS!BB$4="Sí",1/DATOS_[[% normaliz]:[% normaliz]],1)*(DATOS_[Conc.Sal.24])))))))),
0)</f>
        <v>0</v>
      </c>
      <c r="AH20" s="196">
        <f t="array" ref="AH20">IFERROR(
(AVERAGE((IF(DATOS_[[Sexo]:[Sexo]]=$B20,IF(DATOS_[[AGRUP. CLAS. PROF.]:[AGRUP. CLAS. PROF.]]=$B18,IF(DATOS_[[Check Periodo Ref.]:[Check Periodo Ref.]]="Dentro",IF(DATOS_[[Check Equiparado]:[Check Equiparado]]="Sí",IF(DATOS!BC$5="Sí",(1/DATOS_[[% anualiz]:[% anualiz]]),1)*IF(DATOS!BC$4="Sí",1/DATOS_[[% normaliz]:[% normaliz]],1)*(DATOS_[Conc.Sal.25])))))))),
0)</f>
        <v>0</v>
      </c>
      <c r="AI20" s="196">
        <f t="array" ref="AI20">IFERROR(
(AVERAGE((IF(DATOS_[[Sexo]:[Sexo]]=$B20,IF(DATOS_[[AGRUP. CLAS. PROF.]:[AGRUP. CLAS. PROF.]]=$B18,IF(DATOS_[[Check Periodo Ref.]:[Check Periodo Ref.]]="Dentro",IF(DATOS_[[Check Equiparado]:[Check Equiparado]]="Sí",IF(DATOS!BD$5="Sí",(1/DATOS_[[% anualiz]:[% anualiz]]),1)*IF(DATOS!BD$4="Sí",1/DATOS_[[% normaliz]:[% normaliz]],1)*(DATOS_[Conc.Sal.26])))))))),
0)</f>
        <v>0</v>
      </c>
      <c r="AJ20" s="196">
        <f t="array" ref="AJ20">IFERROR(
(AVERAGE((IF(DATOS_[[Sexo]:[Sexo]]=$B20,IF(DATOS_[[AGRUP. CLAS. PROF.]:[AGRUP. CLAS. PROF.]]=$B18,IF(DATOS_[[Check Periodo Ref.]:[Check Periodo Ref.]]="Dentro",IF(DATOS_[[Check Equiparado]:[Check Equiparado]]="Sí",IF(DATOS!BE$5="Sí",(1/DATOS_[[% anualiz]:[% anualiz]]),1)*IF(DATOS!BE$4="Sí",1/DATOS_[[% normaliz]:[% normaliz]],1)*(DATOS_[Conc.Sal.27])))))))),
0)</f>
        <v>0</v>
      </c>
      <c r="AK20" s="196">
        <f t="array" ref="AK20">IFERROR(
(AVERAGE((IF(DATOS_[[Sexo]:[Sexo]]=$B20,IF(DATOS_[[AGRUP. CLAS. PROF.]:[AGRUP. CLAS. PROF.]]=$B18,IF(DATOS_[[Check Periodo Ref.]:[Check Periodo Ref.]]="Dentro",IF(DATOS_[[Check Equiparado]:[Check Equiparado]]="Sí",IF(DATOS!BF$5="Sí",(1/DATOS_[[% anualiz]:[% anualiz]]),1)*IF(DATOS!BF$4="Sí",1/DATOS_[[% normaliz]:[% normaliz]],1)*(DATOS_[Conc.Sal.28])))))))),
0)</f>
        <v>0</v>
      </c>
      <c r="AL20" s="196">
        <f t="array" ref="AL20">IFERROR(
(AVERAGE((IF(DATOS_[[Sexo]:[Sexo]]=$B20,IF(DATOS_[[AGRUP. CLAS. PROF.]:[AGRUP. CLAS. PROF.]]=$B18,IF(DATOS_[[Check Periodo Ref.]:[Check Periodo Ref.]]="Dentro",IF(DATOS_[[Check Equiparado]:[Check Equiparado]]="Sí",IF(DATOS!BG$5="Sí",(1/DATOS_[[% anualiz]:[% anualiz]]),1)*IF(DATOS!BG$4="Sí",1/DATOS_[[% normaliz]:[% normaliz]],1)*(DATOS_[Conc.Sal.29])))))))),
0)</f>
        <v>0</v>
      </c>
      <c r="AM20" s="196">
        <f t="array" ref="AM20">IFERROR(
(AVERAGE((IF(DATOS_[[Sexo]:[Sexo]]=$B20,IF(DATOS_[[AGRUP. CLAS. PROF.]:[AGRUP. CLAS. PROF.]]=$B18,IF(DATOS_[[Check Periodo Ref.]:[Check Periodo Ref.]]="Dentro",IF(DATOS_[[Check Equiparado]:[Check Equiparado]]="Sí",IF(DATOS!BH$5="Sí",(1/DATOS_[[% anualiz]:[% anualiz]]),1)*IF(DATOS!BH$4="Sí",1/DATOS_[[% normaliz]:[% normaliz]],1)*(DATOS_[Conc.Sal.30])))))))),
0)</f>
        <v>0</v>
      </c>
      <c r="AN20" s="195">
        <f t="array" ref="AN20">IFERROR(
AVERAGE(IF(DATOS_[Sexo]=$B20,IF(DATOS_[[AGRUP. CLAS. PROF.]:[AGRUP. CLAS. PROF.]]=$B18,IF(DATOS_[Check Equiparado]="Sí",IF(DATOS_[Check Periodo Ref.]="Dentro",DATOS_[Tot COMPL.SAL Eq],FALSE))))),
0)</f>
        <v>14388.769999999999</v>
      </c>
      <c r="AO20" s="172">
        <f t="array" ref="AO20">IFERROR(
AVERAGE(IF(DATOS_[Sexo]=$B20,IF(DATOS_[[AGRUP. CLAS. PROF.]:[AGRUP. CLAS. PROF.]]=$B18,IF(DATOS_[Check Equiparado]="Sí",IF(DATOS_[Check Periodo Ref.]="Dentro",DATOS_[TOTAL SALARIO Eq],FALSE))))),
0)</f>
        <v>27837.53</v>
      </c>
      <c r="AP20" s="173">
        <f t="array" ref="AP20">IFERROR(
(AVERAGE((IF(DATOS_[[Sexo]:[Sexo]]=$B20,IF(DATOS_[[AGRUP. CLAS. PROF.]:[AGRUP. CLAS. PROF.]]=$B18,IF(DATOS_[[Check Periodo Ref.]:[Check Periodo Ref.]]="Dentro",IF(DATOS_[[Check Equiparado]:[Check Equiparado]]="Sí",IF(DATOS!BW$5="Sí",(1/DATOS_[[% anualiz]:[% anualiz]]),1)*IF(DATOS!BW$4="Sí",1/DATOS_[[% normaliz]:[% normaliz]],1)*(DATOS_[C.Extra.01])))))))),
0)</f>
        <v>0</v>
      </c>
      <c r="AQ20" s="173">
        <f t="array" ref="AQ20">IFERROR(
(AVERAGE((IF(DATOS_[[Sexo]:[Sexo]]=$B20,IF(DATOS_[[AGRUP. CLAS. PROF.]:[AGRUP. CLAS. PROF.]]=$B18,IF(DATOS_[[Check Periodo Ref.]:[Check Periodo Ref.]]="Dentro",IF(DATOS_[[Check Equiparado]:[Check Equiparado]]="Sí",IF(DATOS!CB$5="Sí",(1/DATOS_[[% anualiz]:[% anualiz]]),1)*IF(DATOS!CB$4="Sí",1/DATOS_[[% normaliz]:[% normaliz]],1)*(DATOS_[C.Extra.06])))))))),
0)</f>
        <v>0</v>
      </c>
      <c r="AR20" s="173">
        <f t="array" ref="AR20">IFERROR(
(AVERAGE((IF(DATOS_[[Sexo]:[Sexo]]=$B20,IF(DATOS_[[AGRUP. CLAS. PROF.]:[AGRUP. CLAS. PROF.]]=$B18,IF(DATOS_[[Check Periodo Ref.]:[Check Periodo Ref.]]="Dentro",IF(DATOS_[[Check Equiparado]:[Check Equiparado]]="Sí",IF(DATOS!CC$5="Sí",(1/DATOS_[[% anualiz]:[% anualiz]]),1)*IF(DATOS!CC$4="Sí",1/DATOS_[[% normaliz]:[% normaliz]],1)*(DATOS_[C.Extra.07])))))))),
0)</f>
        <v>0</v>
      </c>
      <c r="AS20" s="173">
        <f t="array" ref="AS20">IFERROR(
(AVERAGE((IF(DATOS_[[Sexo]:[Sexo]]=$B20,IF(DATOS_[[AGRUP. CLAS. PROF.]:[AGRUP. CLAS. PROF.]]=$B18,IF(DATOS_[[Check Periodo Ref.]:[Check Periodo Ref.]]="Dentro",IF(DATOS_[[Check Equiparado]:[Check Equiparado]]="Sí",IF(DATOS!CD$5="Sí",(1/DATOS_[[% anualiz]:[% anualiz]]),1)*IF(DATOS!CD$4="Sí",1/DATOS_[[% normaliz]:[% normaliz]],1)*(DATOS_[C.Extra.08])))))))),
0)</f>
        <v>0</v>
      </c>
      <c r="AT20" s="173">
        <f t="array" ref="AT20">IFERROR(
(AVERAGE((IF(DATOS_[[Sexo]:[Sexo]]=$B20,IF(DATOS_[[AGRUP. CLAS. PROF.]:[AGRUP. CLAS. PROF.]]=$B18,IF(DATOS_[[Check Periodo Ref.]:[Check Periodo Ref.]]="Dentro",IF(DATOS_[[Check Equiparado]:[Check Equiparado]]="Sí",IF(DATOS!CG$5="Sí",(1/DATOS_[[% anualiz]:[% anualiz]]),1)*IF(DATOS!CG$4="Sí",1/DATOS_[[% normaliz]:[% normaliz]],1)*(DATOS_[C.Extra.11])))))))),
0)</f>
        <v>0</v>
      </c>
      <c r="AU20" s="197">
        <f t="array" ref="AU20">IFERROR(
AVERAGE(IF(DATOS_[Sexo]=$B20,IF(DATOS_[[AGRUP. CLAS. PROF.]:[AGRUP. CLAS. PROF.]]=$B18,IF(DATOS_[Check Equiparado]="Sí",IF(DATOS_[Check Periodo Ref.]="Dentro",DATOS_[Tot Extrasalarial Eq],FALSE))))),
0)</f>
        <v>0</v>
      </c>
      <c r="AV20" s="175">
        <f t="array" ref="AV20">IFERROR(
AVERAGE(IF(DATOS_[Sexo]=$B20,IF(DATOS_[[AGRUP. CLAS. PROF.]:[AGRUP. CLAS. PROF.]]=$B18,IF(DATOS_[Check Equiparado]="Sí",IF(DATOS_[Check Periodo Ref.]="Dentro",DATOS_[TOTAL Retrib Eq],FALSE))))),
0)</f>
        <v>27837.53</v>
      </c>
    </row>
    <row r="21" spans="1:48" ht="15.6" thickBot="1" x14ac:dyDescent="0.3">
      <c r="A21" s="133" t="str">
        <f t="shared" ref="A21" si="11">+A22</f>
        <v/>
      </c>
      <c r="B21" s="199" t="s">
        <v>185</v>
      </c>
      <c r="C21" s="200"/>
      <c r="D21" s="201"/>
      <c r="E21" s="201"/>
      <c r="F21" s="201"/>
      <c r="G21" s="201"/>
      <c r="H21" s="201"/>
      <c r="I21" s="189" t="str">
        <f t="shared" ref="I21:AV21" si="12">IFERROR((I22-I23)/I22,"")</f>
        <v/>
      </c>
      <c r="J21" s="190" t="str">
        <f t="shared" si="12"/>
        <v/>
      </c>
      <c r="K21" s="191" t="str">
        <f t="shared" si="12"/>
        <v/>
      </c>
      <c r="L21" s="191" t="str">
        <f t="shared" si="12"/>
        <v/>
      </c>
      <c r="M21" s="191" t="str">
        <f t="shared" si="12"/>
        <v/>
      </c>
      <c r="N21" s="192" t="str">
        <f t="shared" si="12"/>
        <v/>
      </c>
      <c r="O21" s="193" t="str">
        <f t="shared" si="12"/>
        <v/>
      </c>
      <c r="P21" s="193" t="str">
        <f t="shared" si="12"/>
        <v/>
      </c>
      <c r="Q21" s="193" t="str">
        <f t="shared" si="12"/>
        <v/>
      </c>
      <c r="R21" s="193" t="str">
        <f t="shared" si="12"/>
        <v/>
      </c>
      <c r="S21" s="193" t="str">
        <f t="shared" si="12"/>
        <v/>
      </c>
      <c r="T21" s="193" t="str">
        <f t="shared" si="12"/>
        <v/>
      </c>
      <c r="U21" s="193" t="str">
        <f t="shared" si="12"/>
        <v/>
      </c>
      <c r="V21" s="193" t="str">
        <f t="shared" si="12"/>
        <v/>
      </c>
      <c r="W21" s="193" t="str">
        <f t="shared" si="12"/>
        <v/>
      </c>
      <c r="X21" s="193" t="str">
        <f t="shared" si="12"/>
        <v/>
      </c>
      <c r="Y21" s="193" t="str">
        <f t="shared" si="12"/>
        <v/>
      </c>
      <c r="Z21" s="193" t="str">
        <f t="shared" si="12"/>
        <v/>
      </c>
      <c r="AA21" s="193" t="str">
        <f t="shared" si="12"/>
        <v/>
      </c>
      <c r="AB21" s="193" t="str">
        <f t="shared" si="12"/>
        <v/>
      </c>
      <c r="AC21" s="193" t="str">
        <f t="shared" si="12"/>
        <v/>
      </c>
      <c r="AD21" s="193" t="str">
        <f t="shared" si="12"/>
        <v/>
      </c>
      <c r="AE21" s="193" t="str">
        <f t="shared" si="12"/>
        <v/>
      </c>
      <c r="AF21" s="193" t="str">
        <f t="shared" si="12"/>
        <v/>
      </c>
      <c r="AG21" s="193" t="str">
        <f t="shared" si="12"/>
        <v/>
      </c>
      <c r="AH21" s="193" t="str">
        <f t="shared" si="12"/>
        <v/>
      </c>
      <c r="AI21" s="193" t="str">
        <f t="shared" si="12"/>
        <v/>
      </c>
      <c r="AJ21" s="193" t="str">
        <f t="shared" si="12"/>
        <v/>
      </c>
      <c r="AK21" s="193" t="str">
        <f t="shared" si="12"/>
        <v/>
      </c>
      <c r="AL21" s="193" t="str">
        <f t="shared" si="12"/>
        <v/>
      </c>
      <c r="AM21" s="193" t="str">
        <f t="shared" si="12"/>
        <v/>
      </c>
      <c r="AN21" s="189" t="str">
        <f t="shared" si="12"/>
        <v/>
      </c>
      <c r="AO21" s="162" t="str">
        <f t="shared" si="12"/>
        <v/>
      </c>
      <c r="AP21" s="163" t="str">
        <f t="shared" si="12"/>
        <v/>
      </c>
      <c r="AQ21" s="163" t="str">
        <f t="shared" si="12"/>
        <v/>
      </c>
      <c r="AR21" s="163" t="str">
        <f t="shared" si="12"/>
        <v/>
      </c>
      <c r="AS21" s="163" t="str">
        <f t="shared" si="12"/>
        <v/>
      </c>
      <c r="AT21" s="163" t="str">
        <f t="shared" si="12"/>
        <v/>
      </c>
      <c r="AU21" s="194" t="str">
        <f t="shared" si="12"/>
        <v/>
      </c>
      <c r="AV21" s="165" t="str">
        <f t="shared" si="12"/>
        <v/>
      </c>
    </row>
    <row r="22" spans="1:48" x14ac:dyDescent="0.25">
      <c r="A22" s="133" t="str">
        <f t="shared" ref="A22" si="13">+IF(C22+C23=0,"[ocultar]","")</f>
        <v/>
      </c>
      <c r="B22" s="202" t="s">
        <v>394</v>
      </c>
      <c r="C22" s="203">
        <f t="array" ref="C22">SUM(IF($B22=DATOS_[Sexo],
IF($B21=DATOS_[AGRUP. CLAS. PROF.],
IF("Dentro"=DATOS_[Check Periodo Ref.],
1/(COUNTIFS(DATOS_[Sexo],$B22,DATOS_[AGRUP. CLAS. PROF.],$B21,DATOS_[Check Periodo Ref.],"Dentro",DATOS_[id/cod],DATOS_[id/cod]))))))</f>
        <v>2</v>
      </c>
      <c r="D22" s="204">
        <f>COUNTIFS(DATOS_[AGRUP. CLAS. PROF.],$B21,DATOS_[Sexo],$B22,DATOS_[Check Periodo Ref.],"Dentro")</f>
        <v>2</v>
      </c>
      <c r="E22" s="204">
        <f>COUNTIFS(DATOS_[AGRUP. CLAS. PROF.],$B21,DATOS_[Sexo],$B22,DATOS_[Check Periodo Ref.],"Dentro",DATOS_[Check Nº SC Norm],"Sí")</f>
        <v>1</v>
      </c>
      <c r="F22" s="204">
        <f>COUNTIFS(DATOS_[AGRUP. CLAS. PROF.],$B21,DATOS_[Sexo],$B22,DATOS_[Check Periodo Ref.],"Dentro",DATOS_[Check Nº SC Anualiz],"Sí")</f>
        <v>0</v>
      </c>
      <c r="G22" s="204">
        <f>COUNTIFS(DATOS_[AGRUP. CLAS. PROF.],$B21,DATOS_[Sexo],$B22,DATOS_[Check Periodo Ref.],"Dentro",DATOS_[Check Nº SC Norm y Anualiz],"Sí")</f>
        <v>0</v>
      </c>
      <c r="H22" s="204">
        <f>COUNTIFS(DATOS_[AGRUP. CLAS. PROF.],$B21,DATOS_[Sexo],$B22,DATOS_[Check Periodo Ref.],"Dentro",DATOS_[Check Equiparación],"Sí")</f>
        <v>1</v>
      </c>
      <c r="I22" s="195">
        <f t="array" ref="I22">IFERROR(
AVERAGE(IF(DATOS_[Sexo]=$B22,IF(DATOS_[[AGRUP. CLAS. PROF.]:[AGRUP. CLAS. PROF.]]=$B21,IF(DATOS_[Check Equiparado]="Sí",IF(DATOS_[Check Periodo Ref.]="Dentro",DATOS_[SALARIO BASE Eq],FALSE))))),
0)</f>
        <v>0</v>
      </c>
      <c r="J22" s="196">
        <f t="array" ref="J22">IFERROR(
(AVERAGE((IF(DATOS_[[Sexo]:[Sexo]]=$B22,IF(DATOS_[[AGRUP. CLAS. PROF.]:[AGRUP. CLAS. PROF.]]=$B21,IF(DATOS_[[Check Periodo Ref.]:[Check Periodo Ref.]]="Dentro",IF(DATOS_[[Check Equiparado]:[Check Equiparado]]="Sí",IF(DATOS!AE$5="Sí",(1/DATOS_[[% anualiz]:[% anualiz]]),1)*IF(DATOS!AE$4="Sí",1/DATOS_[[% normaliz]:[% normaliz]],1)*(DATOS_[Conc.Sal.01])))))))),
0)</f>
        <v>0</v>
      </c>
      <c r="K22" s="196">
        <f t="array" ref="K22">IFERROR(
(AVERAGE((IF(DATOS_[[Sexo]:[Sexo]]=$B22,IF(DATOS_[[AGRUP. CLAS. PROF.]:[AGRUP. CLAS. PROF.]]=$B21,IF(DATOS_[[Check Periodo Ref.]:[Check Periodo Ref.]]="Dentro",IF(DATOS_[[Check Equiparado]:[Check Equiparado]]="Sí",IF(DATOS!AF$5="Sí",(1/DATOS_[[% anualiz]:[% anualiz]]),1)*IF(DATOS!AF$4="Sí",1/DATOS_[[% normaliz]:[% normaliz]],1)*(DATOS_[Conc.Sal.02])))))))),
0)</f>
        <v>0</v>
      </c>
      <c r="L22" s="196">
        <f t="array" ref="L22">IFERROR(
(AVERAGE((IF(DATOS_[[Sexo]:[Sexo]]=$B22,IF(DATOS_[[AGRUP. CLAS. PROF.]:[AGRUP. CLAS. PROF.]]=$B21,IF(DATOS_[[Check Periodo Ref.]:[Check Periodo Ref.]]="Dentro",IF(DATOS_[[Check Equiparado]:[Check Equiparado]]="Sí",IF(DATOS!AG$5="Sí",(1/DATOS_[[% anualiz]:[% anualiz]]),1)*IF(DATOS!AG$4="Sí",1/DATOS_[[% normaliz]:[% normaliz]],1)*(DATOS_[Conc.Sal.03])))))))),
0)</f>
        <v>0</v>
      </c>
      <c r="M22" s="196">
        <f t="array" ref="M22">IFERROR(
(AVERAGE((IF(DATOS_[[Sexo]:[Sexo]]=$B22,IF(DATOS_[[AGRUP. CLAS. PROF.]:[AGRUP. CLAS. PROF.]]=$B21,IF(DATOS_[[Check Periodo Ref.]:[Check Periodo Ref.]]="Dentro",IF(DATOS_[[Check Equiparado]:[Check Equiparado]]="Sí",IF(DATOS!AH$5="Sí",(1/DATOS_[[% anualiz]:[% anualiz]]),1)*IF(DATOS!AH$4="Sí",1/DATOS_[[% normaliz]:[% normaliz]],1)*(DATOS_[Conc.Sal.04])))))))),
0)</f>
        <v>0</v>
      </c>
      <c r="N22" s="196">
        <f t="array" ref="N22">IFERROR(
(AVERAGE((IF(DATOS_[[Sexo]:[Sexo]]=$B22,IF(DATOS_[[AGRUP. CLAS. PROF.]:[AGRUP. CLAS. PROF.]]=$B21,IF(DATOS_[[Check Periodo Ref.]:[Check Periodo Ref.]]="Dentro",IF(DATOS_[[Check Equiparado]:[Check Equiparado]]="Sí",IF(DATOS!AI$5="Sí",(1/DATOS_[[% anualiz]:[% anualiz]]),1)*IF(DATOS!AI$4="Sí",1/DATOS_[[% normaliz]:[% normaliz]],1)*(DATOS_[Conc.Sal.05])))))))),
0)</f>
        <v>0</v>
      </c>
      <c r="O22" s="196">
        <f t="array" ref="O22">IFERROR(
(AVERAGE((IF(DATOS_[[Sexo]:[Sexo]]=$B22,IF(DATOS_[[AGRUP. CLAS. PROF.]:[AGRUP. CLAS. PROF.]]=$B21,IF(DATOS_[[Check Periodo Ref.]:[Check Periodo Ref.]]="Dentro",IF(DATOS_[[Check Equiparado]:[Check Equiparado]]="Sí",IF(DATOS!AJ$5="Sí",(1/DATOS_[[% anualiz]:[% anualiz]]),1)*IF(DATOS!AJ$4="Sí",1/DATOS_[[% normaliz]:[% normaliz]],1)*(DATOS_[Conc.Sal.06])))))))),
0)</f>
        <v>0</v>
      </c>
      <c r="P22" s="196">
        <f t="array" ref="P22">IFERROR(
(AVERAGE((IF(DATOS_[[Sexo]:[Sexo]]=$B22,IF(DATOS_[[AGRUP. CLAS. PROF.]:[AGRUP. CLAS. PROF.]]=$B21,IF(DATOS_[[Check Periodo Ref.]:[Check Periodo Ref.]]="Dentro",IF(DATOS_[[Check Equiparado]:[Check Equiparado]]="Sí",IF(DATOS!AK$5="Sí",(1/DATOS_[[% anualiz]:[% anualiz]]),1)*IF(DATOS!AK$4="Sí",1/DATOS_[[% normaliz]:[% normaliz]],1)*(DATOS_[Conc.Sal.07])))))))),
0)</f>
        <v>0</v>
      </c>
      <c r="Q22" s="196">
        <f t="array" ref="Q22">IFERROR(
(AVERAGE((IF(DATOS_[[Sexo]:[Sexo]]=$B22,IF(DATOS_[[AGRUP. CLAS. PROF.]:[AGRUP. CLAS. PROF.]]=$B21,IF(DATOS_[[Check Periodo Ref.]:[Check Periodo Ref.]]="Dentro",IF(DATOS_[[Check Equiparado]:[Check Equiparado]]="Sí",IF(DATOS!AL$5="Sí",(1/DATOS_[[% anualiz]:[% anualiz]]),1)*IF(DATOS!AL$4="Sí",1/DATOS_[[% normaliz]:[% normaliz]],1)*(DATOS_[Conc.Sal.08])))))))),
0)</f>
        <v>0</v>
      </c>
      <c r="R22" s="196">
        <f t="array" ref="R22">IFERROR(
(AVERAGE((IF(DATOS_[[Sexo]:[Sexo]]=$B22,IF(DATOS_[[AGRUP. CLAS. PROF.]:[AGRUP. CLAS. PROF.]]=$B21,IF(DATOS_[[Check Periodo Ref.]:[Check Periodo Ref.]]="Dentro",IF(DATOS_[[Check Equiparado]:[Check Equiparado]]="Sí",IF(DATOS!AM$5="Sí",(1/DATOS_[[% anualiz]:[% anualiz]]),1)*IF(DATOS!AM$4="Sí",1/DATOS_[[% normaliz]:[% normaliz]],1)*(DATOS_[Conc.Sal.09])))))))),
0)</f>
        <v>0</v>
      </c>
      <c r="S22" s="196">
        <f t="array" ref="S22">IFERROR(
(AVERAGE((IF(DATOS_[[Sexo]:[Sexo]]=$B22,IF(DATOS_[[AGRUP. CLAS. PROF.]:[AGRUP. CLAS. PROF.]]=$B21,IF(DATOS_[[Check Periodo Ref.]:[Check Periodo Ref.]]="Dentro",IF(DATOS_[[Check Equiparado]:[Check Equiparado]]="Sí",IF(DATOS!AN$5="Sí",(1/DATOS_[[% anualiz]:[% anualiz]]),1)*IF(DATOS!AN$4="Sí",1/DATOS_[[% normaliz]:[% normaliz]],1)*(DATOS_[Conc.Sal.10])))))))),
0)</f>
        <v>0</v>
      </c>
      <c r="T22" s="196">
        <f t="array" ref="T22">IFERROR(
(AVERAGE((IF(DATOS_[[Sexo]:[Sexo]]=$B22,IF(DATOS_[[AGRUP. CLAS. PROF.]:[AGRUP. CLAS. PROF.]]=$B21,IF(DATOS_[[Check Periodo Ref.]:[Check Periodo Ref.]]="Dentro",IF(DATOS_[[Check Equiparado]:[Check Equiparado]]="Sí",IF(DATOS!AO$5="Sí",(1/DATOS_[[% anualiz]:[% anualiz]]),1)*IF(DATOS!AO$4="Sí",1/DATOS_[[% normaliz]:[% normaliz]],1)*(DATOS_[Conc.Sal.11])))))))),
0)</f>
        <v>0</v>
      </c>
      <c r="U22" s="196">
        <f t="array" ref="U22">IFERROR(
(AVERAGE((IF(DATOS_[[Sexo]:[Sexo]]=$B22,IF(DATOS_[[AGRUP. CLAS. PROF.]:[AGRUP. CLAS. PROF.]]=$B21,IF(DATOS_[[Check Periodo Ref.]:[Check Periodo Ref.]]="Dentro",IF(DATOS_[[Check Equiparado]:[Check Equiparado]]="Sí",IF(DATOS!AP$5="Sí",(1/DATOS_[[% anualiz]:[% anualiz]]),1)*IF(DATOS!AP$4="Sí",1/DATOS_[[% normaliz]:[% normaliz]],1)*(DATOS_[Conc.Sal.12])))))))),
0)</f>
        <v>0</v>
      </c>
      <c r="V22" s="196">
        <f t="array" ref="V22">IFERROR(
(AVERAGE((IF(DATOS_[[Sexo]:[Sexo]]=$B22,IF(DATOS_[[AGRUP. CLAS. PROF.]:[AGRUP. CLAS. PROF.]]=$B21,IF(DATOS_[[Check Periodo Ref.]:[Check Periodo Ref.]]="Dentro",IF(DATOS_[[Check Equiparado]:[Check Equiparado]]="Sí",IF(DATOS!AQ$5="Sí",(1/DATOS_[[% anualiz]:[% anualiz]]),1)*IF(DATOS!AQ$4="Sí",1/DATOS_[[% normaliz]:[% normaliz]],1)*(DATOS_[Conc.Sal.13])))))))),
0)</f>
        <v>0</v>
      </c>
      <c r="W22" s="196">
        <f t="array" ref="W22">IFERROR(
(AVERAGE((IF(DATOS_[[Sexo]:[Sexo]]=$B22,IF(DATOS_[[AGRUP. CLAS. PROF.]:[AGRUP. CLAS. PROF.]]=$B21,IF(DATOS_[[Check Periodo Ref.]:[Check Periodo Ref.]]="Dentro",IF(DATOS_[[Check Equiparado]:[Check Equiparado]]="Sí",IF(DATOS!AR$5="Sí",(1/DATOS_[[% anualiz]:[% anualiz]]),1)*IF(DATOS!AR$4="Sí",1/DATOS_[[% normaliz]:[% normaliz]],1)*(DATOS_[Conc.Sal.14])))))))),
0)</f>
        <v>0</v>
      </c>
      <c r="X22" s="196">
        <f t="array" ref="X22">IFERROR(
(AVERAGE((IF(DATOS_[[Sexo]:[Sexo]]=$B22,IF(DATOS_[[AGRUP. CLAS. PROF.]:[AGRUP. CLAS. PROF.]]=$B21,IF(DATOS_[[Check Periodo Ref.]:[Check Periodo Ref.]]="Dentro",IF(DATOS_[[Check Equiparado]:[Check Equiparado]]="Sí",IF(DATOS!AS$5="Sí",(1/DATOS_[[% anualiz]:[% anualiz]]),1)*IF(DATOS!AS$4="Sí",1/DATOS_[[% normaliz]:[% normaliz]],1)*(DATOS_[Conc.Sal.15])))))))),
0)</f>
        <v>0</v>
      </c>
      <c r="Y22" s="196">
        <f t="array" ref="Y22">IFERROR(
(AVERAGE((IF(DATOS_[[Sexo]:[Sexo]]=$B22,IF(DATOS_[[AGRUP. CLAS. PROF.]:[AGRUP. CLAS. PROF.]]=$B21,IF(DATOS_[[Check Periodo Ref.]:[Check Periodo Ref.]]="Dentro",IF(DATOS_[[Check Equiparado]:[Check Equiparado]]="Sí",IF(DATOS!AT$5="Sí",(1/DATOS_[[% anualiz]:[% anualiz]]),1)*IF(DATOS!AT$4="Sí",1/DATOS_[[% normaliz]:[% normaliz]],1)*(DATOS_[Conc.Sal.16])))))))),
0)</f>
        <v>0</v>
      </c>
      <c r="Z22" s="196">
        <f t="array" ref="Z22">IFERROR(
(AVERAGE((IF(DATOS_[[Sexo]:[Sexo]]=$B22,IF(DATOS_[[AGRUP. CLAS. PROF.]:[AGRUP. CLAS. PROF.]]=$B21,IF(DATOS_[[Check Periodo Ref.]:[Check Periodo Ref.]]="Dentro",IF(DATOS_[[Check Equiparado]:[Check Equiparado]]="Sí",IF(DATOS!AU$5="Sí",(1/DATOS_[[% anualiz]:[% anualiz]]),1)*IF(DATOS!AU$4="Sí",1/DATOS_[[% normaliz]:[% normaliz]],1)*(DATOS_[Conc.Sal.17])))))))),
0)</f>
        <v>0</v>
      </c>
      <c r="AA22" s="196">
        <f t="array" ref="AA22">IFERROR(
(AVERAGE((IF(DATOS_[[Sexo]:[Sexo]]=$B22,IF(DATOS_[[AGRUP. CLAS. PROF.]:[AGRUP. CLAS. PROF.]]=$B21,IF(DATOS_[[Check Periodo Ref.]:[Check Periodo Ref.]]="Dentro",IF(DATOS_[[Check Equiparado]:[Check Equiparado]]="Sí",IF(DATOS!AV$5="Sí",(1/DATOS_[[% anualiz]:[% anualiz]]),1)*IF(DATOS!AV$4="Sí",1/DATOS_[[% normaliz]:[% normaliz]],1)*(DATOS_[Conc.Sal.18])))))))),
0)</f>
        <v>0</v>
      </c>
      <c r="AB22" s="196">
        <f t="array" ref="AB22">IFERROR(
(AVERAGE((IF(DATOS_[[Sexo]:[Sexo]]=$B22,IF(DATOS_[[AGRUP. CLAS. PROF.]:[AGRUP. CLAS. PROF.]]=$B21,IF(DATOS_[[Check Periodo Ref.]:[Check Periodo Ref.]]="Dentro",IF(DATOS_[[Check Equiparado]:[Check Equiparado]]="Sí",IF(DATOS!AW$5="Sí",(1/DATOS_[[% anualiz]:[% anualiz]]),1)*IF(DATOS!AW$4="Sí",1/DATOS_[[% normaliz]:[% normaliz]],1)*(DATOS_[Conc.Sal.19])))))))),
0)</f>
        <v>0</v>
      </c>
      <c r="AC22" s="196">
        <f t="array" ref="AC22">IFERROR(
(AVERAGE((IF(DATOS_[[Sexo]:[Sexo]]=$B22,IF(DATOS_[[AGRUP. CLAS. PROF.]:[AGRUP. CLAS. PROF.]]=$B21,IF(DATOS_[[Check Periodo Ref.]:[Check Periodo Ref.]]="Dentro",IF(DATOS_[[Check Equiparado]:[Check Equiparado]]="Sí",IF(DATOS!AX$5="Sí",(1/DATOS_[[% anualiz]:[% anualiz]]),1)*IF(DATOS!AX$4="Sí",1/DATOS_[[% normaliz]:[% normaliz]],1)*(DATOS_[Conc.Sal.20])))))))),
0)</f>
        <v>0</v>
      </c>
      <c r="AD22" s="196">
        <f t="array" ref="AD22">IFERROR(
(AVERAGE((IF(DATOS_[[Sexo]:[Sexo]]=$B22,IF(DATOS_[[AGRUP. CLAS. PROF.]:[AGRUP. CLAS. PROF.]]=$B21,IF(DATOS_[[Check Periodo Ref.]:[Check Periodo Ref.]]="Dentro",IF(DATOS_[[Check Equiparado]:[Check Equiparado]]="Sí",IF(DATOS!AY$5="Sí",(1/DATOS_[[% anualiz]:[% anualiz]]),1)*IF(DATOS!AY$4="Sí",1/DATOS_[[% normaliz]:[% normaliz]],1)*(DATOS_[Conc.Sal.21])))))))),
0)</f>
        <v>0</v>
      </c>
      <c r="AE22" s="196">
        <f t="array" ref="AE22">IFERROR(
(AVERAGE((IF(DATOS_[[Sexo]:[Sexo]]=$B22,IF(DATOS_[[AGRUP. CLAS. PROF.]:[AGRUP. CLAS. PROF.]]=$B21,IF(DATOS_[[Check Periodo Ref.]:[Check Periodo Ref.]]="Dentro",IF(DATOS_[[Check Equiparado]:[Check Equiparado]]="Sí",IF(DATOS!AZ$5="Sí",(1/DATOS_[[% anualiz]:[% anualiz]]),1)*IF(DATOS!AZ$4="Sí",1/DATOS_[[% normaliz]:[% normaliz]],1)*(DATOS_[Conc.Sal.22])))))))),
0)</f>
        <v>0</v>
      </c>
      <c r="AF22" s="196">
        <f t="array" ref="AF22">IFERROR(
(AVERAGE((IF(DATOS_[[Sexo]:[Sexo]]=$B22,IF(DATOS_[[AGRUP. CLAS. PROF.]:[AGRUP. CLAS. PROF.]]=$B21,IF(DATOS_[[Check Periodo Ref.]:[Check Periodo Ref.]]="Dentro",IF(DATOS_[[Check Equiparado]:[Check Equiparado]]="Sí",IF(DATOS!BA$5="Sí",(1/DATOS_[[% anualiz]:[% anualiz]]),1)*IF(DATOS!BA$4="Sí",1/DATOS_[[% normaliz]:[% normaliz]],1)*(DATOS_[Conc.Sal.23])))))))),
0)</f>
        <v>0</v>
      </c>
      <c r="AG22" s="196">
        <f t="array" ref="AG22">IFERROR(
(AVERAGE((IF(DATOS_[[Sexo]:[Sexo]]=$B22,IF(DATOS_[[AGRUP. CLAS. PROF.]:[AGRUP. CLAS. PROF.]]=$B21,IF(DATOS_[[Check Periodo Ref.]:[Check Periodo Ref.]]="Dentro",IF(DATOS_[[Check Equiparado]:[Check Equiparado]]="Sí",IF(DATOS!BB$5="Sí",(1/DATOS_[[% anualiz]:[% anualiz]]),1)*IF(DATOS!BB$4="Sí",1/DATOS_[[% normaliz]:[% normaliz]],1)*(DATOS_[Conc.Sal.24])))))))),
0)</f>
        <v>0</v>
      </c>
      <c r="AH22" s="196">
        <f t="array" ref="AH22">IFERROR(
(AVERAGE((IF(DATOS_[[Sexo]:[Sexo]]=$B22,IF(DATOS_[[AGRUP. CLAS. PROF.]:[AGRUP. CLAS. PROF.]]=$B21,IF(DATOS_[[Check Periodo Ref.]:[Check Periodo Ref.]]="Dentro",IF(DATOS_[[Check Equiparado]:[Check Equiparado]]="Sí",IF(DATOS!BC$5="Sí",(1/DATOS_[[% anualiz]:[% anualiz]]),1)*IF(DATOS!BC$4="Sí",1/DATOS_[[% normaliz]:[% normaliz]],1)*(DATOS_[Conc.Sal.25])))))))),
0)</f>
        <v>0</v>
      </c>
      <c r="AI22" s="196">
        <f t="array" ref="AI22">IFERROR(
(AVERAGE((IF(DATOS_[[Sexo]:[Sexo]]=$B22,IF(DATOS_[[AGRUP. CLAS. PROF.]:[AGRUP. CLAS. PROF.]]=$B21,IF(DATOS_[[Check Periodo Ref.]:[Check Periodo Ref.]]="Dentro",IF(DATOS_[[Check Equiparado]:[Check Equiparado]]="Sí",IF(DATOS!BD$5="Sí",(1/DATOS_[[% anualiz]:[% anualiz]]),1)*IF(DATOS!BD$4="Sí",1/DATOS_[[% normaliz]:[% normaliz]],1)*(DATOS_[Conc.Sal.26])))))))),
0)</f>
        <v>0</v>
      </c>
      <c r="AJ22" s="196">
        <f t="array" ref="AJ22">IFERROR(
(AVERAGE((IF(DATOS_[[Sexo]:[Sexo]]=$B22,IF(DATOS_[[AGRUP. CLAS. PROF.]:[AGRUP. CLAS. PROF.]]=$B21,IF(DATOS_[[Check Periodo Ref.]:[Check Periodo Ref.]]="Dentro",IF(DATOS_[[Check Equiparado]:[Check Equiparado]]="Sí",IF(DATOS!BE$5="Sí",(1/DATOS_[[% anualiz]:[% anualiz]]),1)*IF(DATOS!BE$4="Sí",1/DATOS_[[% normaliz]:[% normaliz]],1)*(DATOS_[Conc.Sal.27])))))))),
0)</f>
        <v>0</v>
      </c>
      <c r="AK22" s="196">
        <f t="array" ref="AK22">IFERROR(
(AVERAGE((IF(DATOS_[[Sexo]:[Sexo]]=$B22,IF(DATOS_[[AGRUP. CLAS. PROF.]:[AGRUP. CLAS. PROF.]]=$B21,IF(DATOS_[[Check Periodo Ref.]:[Check Periodo Ref.]]="Dentro",IF(DATOS_[[Check Equiparado]:[Check Equiparado]]="Sí",IF(DATOS!BF$5="Sí",(1/DATOS_[[% anualiz]:[% anualiz]]),1)*IF(DATOS!BF$4="Sí",1/DATOS_[[% normaliz]:[% normaliz]],1)*(DATOS_[Conc.Sal.28])))))))),
0)</f>
        <v>0</v>
      </c>
      <c r="AL22" s="196">
        <f t="array" ref="AL22">IFERROR(
(AVERAGE((IF(DATOS_[[Sexo]:[Sexo]]=$B22,IF(DATOS_[[AGRUP. CLAS. PROF.]:[AGRUP. CLAS. PROF.]]=$B21,IF(DATOS_[[Check Periodo Ref.]:[Check Periodo Ref.]]="Dentro",IF(DATOS_[[Check Equiparado]:[Check Equiparado]]="Sí",IF(DATOS!BG$5="Sí",(1/DATOS_[[% anualiz]:[% anualiz]]),1)*IF(DATOS!BG$4="Sí",1/DATOS_[[% normaliz]:[% normaliz]],1)*(DATOS_[Conc.Sal.29])))))))),
0)</f>
        <v>0</v>
      </c>
      <c r="AM22" s="196">
        <f t="array" ref="AM22">IFERROR(
(AVERAGE((IF(DATOS_[[Sexo]:[Sexo]]=$B22,IF(DATOS_[[AGRUP. CLAS. PROF.]:[AGRUP. CLAS. PROF.]]=$B21,IF(DATOS_[[Check Periodo Ref.]:[Check Periodo Ref.]]="Dentro",IF(DATOS_[[Check Equiparado]:[Check Equiparado]]="Sí",IF(DATOS!BH$5="Sí",(1/DATOS_[[% anualiz]:[% anualiz]]),1)*IF(DATOS!BH$4="Sí",1/DATOS_[[% normaliz]:[% normaliz]],1)*(DATOS_[Conc.Sal.30])))))))),
0)</f>
        <v>0</v>
      </c>
      <c r="AN22" s="195">
        <f t="array" ref="AN22">IFERROR(
AVERAGE(IF(DATOS_[Sexo]=$B22,IF(DATOS_[[AGRUP. CLAS. PROF.]:[AGRUP. CLAS. PROF.]]=$B21,IF(DATOS_[Check Equiparado]="Sí",IF(DATOS_[Check Periodo Ref.]="Dentro",DATOS_[Tot COMPL.SAL Eq],FALSE))))),
0)</f>
        <v>0</v>
      </c>
      <c r="AO22" s="172">
        <f t="array" ref="AO22">IFERROR(
AVERAGE(IF(DATOS_[Sexo]=$B22,IF(DATOS_[[AGRUP. CLAS. PROF.]:[AGRUP. CLAS. PROF.]]=$B21,IF(DATOS_[Check Equiparado]="Sí",IF(DATOS_[Check Periodo Ref.]="Dentro",DATOS_[TOTAL SALARIO Eq],FALSE))))),
0)</f>
        <v>0</v>
      </c>
      <c r="AP22" s="173">
        <f t="array" ref="AP22">IFERROR(
(AVERAGE((IF(DATOS_[[Sexo]:[Sexo]]=$B22,IF(DATOS_[[AGRUP. CLAS. PROF.]:[AGRUP. CLAS. PROF.]]=$B21,IF(DATOS_[[Check Periodo Ref.]:[Check Periodo Ref.]]="Dentro",IF(DATOS_[[Check Equiparado]:[Check Equiparado]]="Sí",IF(DATOS!BW$5="Sí",(1/DATOS_[[% anualiz]:[% anualiz]]),1)*IF(DATOS!BW$4="Sí",1/DATOS_[[% normaliz]:[% normaliz]],1)*(DATOS_[C.Extra.01])))))))),
0)</f>
        <v>0</v>
      </c>
      <c r="AQ22" s="173">
        <f t="array" ref="AQ22">IFERROR(
(AVERAGE((IF(DATOS_[[Sexo]:[Sexo]]=$B22,IF(DATOS_[[AGRUP. CLAS. PROF.]:[AGRUP. CLAS. PROF.]]=$B21,IF(DATOS_[[Check Periodo Ref.]:[Check Periodo Ref.]]="Dentro",IF(DATOS_[[Check Equiparado]:[Check Equiparado]]="Sí",IF(DATOS!CB$5="Sí",(1/DATOS_[[% anualiz]:[% anualiz]]),1)*IF(DATOS!CB$4="Sí",1/DATOS_[[% normaliz]:[% normaliz]],1)*(DATOS_[C.Extra.06])))))))),
0)</f>
        <v>0</v>
      </c>
      <c r="AR22" s="173">
        <f t="array" ref="AR22">IFERROR(
(AVERAGE((IF(DATOS_[[Sexo]:[Sexo]]=$B22,IF(DATOS_[[AGRUP. CLAS. PROF.]:[AGRUP. CLAS. PROF.]]=$B21,IF(DATOS_[[Check Periodo Ref.]:[Check Periodo Ref.]]="Dentro",IF(DATOS_[[Check Equiparado]:[Check Equiparado]]="Sí",IF(DATOS!CC$5="Sí",(1/DATOS_[[% anualiz]:[% anualiz]]),1)*IF(DATOS!CC$4="Sí",1/DATOS_[[% normaliz]:[% normaliz]],1)*(DATOS_[C.Extra.07])))))))),
0)</f>
        <v>0</v>
      </c>
      <c r="AS22" s="173">
        <f t="array" ref="AS22">IFERROR(
(AVERAGE((IF(DATOS_[[Sexo]:[Sexo]]=$B22,IF(DATOS_[[AGRUP. CLAS. PROF.]:[AGRUP. CLAS. PROF.]]=$B21,IF(DATOS_[[Check Periodo Ref.]:[Check Periodo Ref.]]="Dentro",IF(DATOS_[[Check Equiparado]:[Check Equiparado]]="Sí",IF(DATOS!CD$5="Sí",(1/DATOS_[[% anualiz]:[% anualiz]]),1)*IF(DATOS!CD$4="Sí",1/DATOS_[[% normaliz]:[% normaliz]],1)*(DATOS_[C.Extra.08])))))))),
0)</f>
        <v>0</v>
      </c>
      <c r="AT22" s="173">
        <f t="array" ref="AT22">IFERROR(
(AVERAGE((IF(DATOS_[[Sexo]:[Sexo]]=$B22,IF(DATOS_[[AGRUP. CLAS. PROF.]:[AGRUP. CLAS. PROF.]]=$B21,IF(DATOS_[[Check Periodo Ref.]:[Check Periodo Ref.]]="Dentro",IF(DATOS_[[Check Equiparado]:[Check Equiparado]]="Sí",IF(DATOS!CG$5="Sí",(1/DATOS_[[% anualiz]:[% anualiz]]),1)*IF(DATOS!CG$4="Sí",1/DATOS_[[% normaliz]:[% normaliz]],1)*(DATOS_[C.Extra.11])))))))),
0)</f>
        <v>0</v>
      </c>
      <c r="AU22" s="197">
        <f t="array" ref="AU22">IFERROR(
AVERAGE(IF(DATOS_[Sexo]=$B22,IF(DATOS_[[AGRUP. CLAS. PROF.]:[AGRUP. CLAS. PROF.]]=$B21,IF(DATOS_[Check Equiparado]="Sí",IF(DATOS_[Check Periodo Ref.]="Dentro",DATOS_[Tot Extrasalarial Eq],FALSE))))),
0)</f>
        <v>0</v>
      </c>
      <c r="AV22" s="175">
        <f t="array" ref="AV22">IFERROR(
AVERAGE(IF(DATOS_[Sexo]=$B22,IF(DATOS_[[AGRUP. CLAS. PROF.]:[AGRUP. CLAS. PROF.]]=$B21,IF(DATOS_[Check Equiparado]="Sí",IF(DATOS_[Check Periodo Ref.]="Dentro",DATOS_[TOTAL Retrib Eq],FALSE))))),
0)</f>
        <v>0</v>
      </c>
    </row>
    <row r="23" spans="1:48" x14ac:dyDescent="0.25">
      <c r="A23" s="133" t="str">
        <f t="shared" ref="A23" si="14">+A22</f>
        <v/>
      </c>
      <c r="B23" s="202" t="s">
        <v>521</v>
      </c>
      <c r="C23" s="203">
        <f t="array" ref="C23">SUM(IF($B23=DATOS_[Sexo],
IF($B21=DATOS_[AGRUP. CLAS. PROF.],
IF("Dentro"=DATOS_[Check Periodo Ref.],
1/(COUNTIFS(DATOS_[Sexo],$B23,DATOS_[AGRUP. CLAS. PROF.],$B21,DATOS_[Check Periodo Ref.],"Dentro",DATOS_[id/cod],DATOS_[id/cod]))))))</f>
        <v>0</v>
      </c>
      <c r="D23" s="204">
        <f>COUNTIFS(DATOS_[AGRUP. CLAS. PROF.],$B21,DATOS_[Sexo],$B23,DATOS_[Check Periodo Ref.],"Dentro")</f>
        <v>0</v>
      </c>
      <c r="E23" s="204">
        <f>COUNTIFS(DATOS_[AGRUP. CLAS. PROF.],$B21,DATOS_[Sexo],$B23,DATOS_[Check Periodo Ref.],"Dentro",DATOS_[Check Nº SC Norm],"Sí")</f>
        <v>0</v>
      </c>
      <c r="F23" s="204">
        <f>COUNTIFS(DATOS_[AGRUP. CLAS. PROF.],$B21,DATOS_[Sexo],$B23,DATOS_[Check Periodo Ref.],"Dentro",DATOS_[Check Nº SC Anualiz],"Sí")</f>
        <v>0</v>
      </c>
      <c r="G23" s="204">
        <f>COUNTIFS(DATOS_[AGRUP. CLAS. PROF.],$B21,DATOS_[Sexo],$B23,DATOS_[Check Periodo Ref.],"Dentro",DATOS_[Check Nº SC Norm y Anualiz],"Sí")</f>
        <v>0</v>
      </c>
      <c r="H23" s="204">
        <f>COUNTIFS(DATOS_[AGRUP. CLAS. PROF.],$B21,DATOS_[Sexo],$B23,DATOS_[Check Periodo Ref.],"Dentro",DATOS_[Check Equiparación],"Sí")</f>
        <v>0</v>
      </c>
      <c r="I23" s="195" cm="1">
        <f t="array" ref="I23">IFERROR(
AVERAGE(IF(DATOS_[Sexo]=$B23,IF(DATOS_[[AGRUP. CLAS. PROF.]:[AGRUP. CLAS. PROF.]]=$B21,IF(DATOS_[Check Equiparado]="Sí",IF(DATOS_[Check Periodo Ref.]="Dentro",DATOS_[SALARIO BASE Eq],FALSE))))),
0)</f>
        <v>0</v>
      </c>
      <c r="J23" s="196">
        <f t="array" ref="J23">IFERROR(
(AVERAGE((IF(DATOS_[[Sexo]:[Sexo]]=$B23,IF(DATOS_[[AGRUP. CLAS. PROF.]:[AGRUP. CLAS. PROF.]]=$B21,IF(DATOS_[[Check Periodo Ref.]:[Check Periodo Ref.]]="Dentro",IF(DATOS_[[Check Equiparado]:[Check Equiparado]]="Sí",IF(DATOS!AE$5="Sí",(1/DATOS_[[% anualiz]:[% anualiz]]),1)*IF(DATOS!AE$4="Sí",1/DATOS_[[% normaliz]:[% normaliz]],1)*(DATOS_[Conc.Sal.01])))))))),
0)</f>
        <v>0</v>
      </c>
      <c r="K23" s="196">
        <f t="array" ref="K23">IFERROR(
(AVERAGE((IF(DATOS_[[Sexo]:[Sexo]]=$B23,IF(DATOS_[[AGRUP. CLAS. PROF.]:[AGRUP. CLAS. PROF.]]=$B21,IF(DATOS_[[Check Periodo Ref.]:[Check Periodo Ref.]]="Dentro",IF(DATOS_[[Check Equiparado]:[Check Equiparado]]="Sí",IF(DATOS!AF$5="Sí",(1/DATOS_[[% anualiz]:[% anualiz]]),1)*IF(DATOS!AF$4="Sí",1/DATOS_[[% normaliz]:[% normaliz]],1)*(DATOS_[Conc.Sal.02])))))))),
0)</f>
        <v>0</v>
      </c>
      <c r="L23" s="196">
        <f t="array" ref="L23">IFERROR(
(AVERAGE((IF(DATOS_[[Sexo]:[Sexo]]=$B23,IF(DATOS_[[AGRUP. CLAS. PROF.]:[AGRUP. CLAS. PROF.]]=$B21,IF(DATOS_[[Check Periodo Ref.]:[Check Periodo Ref.]]="Dentro",IF(DATOS_[[Check Equiparado]:[Check Equiparado]]="Sí",IF(DATOS!AG$5="Sí",(1/DATOS_[[% anualiz]:[% anualiz]]),1)*IF(DATOS!AG$4="Sí",1/DATOS_[[% normaliz]:[% normaliz]],1)*(DATOS_[Conc.Sal.03])))))))),
0)</f>
        <v>0</v>
      </c>
      <c r="M23" s="196">
        <f t="array" ref="M23">IFERROR(
(AVERAGE((IF(DATOS_[[Sexo]:[Sexo]]=$B23,IF(DATOS_[[AGRUP. CLAS. PROF.]:[AGRUP. CLAS. PROF.]]=$B21,IF(DATOS_[[Check Periodo Ref.]:[Check Periodo Ref.]]="Dentro",IF(DATOS_[[Check Equiparado]:[Check Equiparado]]="Sí",IF(DATOS!AH$5="Sí",(1/DATOS_[[% anualiz]:[% anualiz]]),1)*IF(DATOS!AH$4="Sí",1/DATOS_[[% normaliz]:[% normaliz]],1)*(DATOS_[Conc.Sal.04])))))))),
0)</f>
        <v>0</v>
      </c>
      <c r="N23" s="196">
        <f t="array" ref="N23">IFERROR(
(AVERAGE((IF(DATOS_[[Sexo]:[Sexo]]=$B23,IF(DATOS_[[AGRUP. CLAS. PROF.]:[AGRUP. CLAS. PROF.]]=$B21,IF(DATOS_[[Check Periodo Ref.]:[Check Periodo Ref.]]="Dentro",IF(DATOS_[[Check Equiparado]:[Check Equiparado]]="Sí",IF(DATOS!AI$5="Sí",(1/DATOS_[[% anualiz]:[% anualiz]]),1)*IF(DATOS!AI$4="Sí",1/DATOS_[[% normaliz]:[% normaliz]],1)*(DATOS_[Conc.Sal.05])))))))),
0)</f>
        <v>0</v>
      </c>
      <c r="O23" s="196">
        <f t="array" ref="O23">IFERROR(
(AVERAGE((IF(DATOS_[[Sexo]:[Sexo]]=$B23,IF(DATOS_[[AGRUP. CLAS. PROF.]:[AGRUP. CLAS. PROF.]]=$B21,IF(DATOS_[[Check Periodo Ref.]:[Check Periodo Ref.]]="Dentro",IF(DATOS_[[Check Equiparado]:[Check Equiparado]]="Sí",IF(DATOS!AJ$5="Sí",(1/DATOS_[[% anualiz]:[% anualiz]]),1)*IF(DATOS!AJ$4="Sí",1/DATOS_[[% normaliz]:[% normaliz]],1)*(DATOS_[Conc.Sal.06])))))))),
0)</f>
        <v>0</v>
      </c>
      <c r="P23" s="196">
        <f t="array" ref="P23">IFERROR(
(AVERAGE((IF(DATOS_[[Sexo]:[Sexo]]=$B23,IF(DATOS_[[AGRUP. CLAS. PROF.]:[AGRUP. CLAS. PROF.]]=$B21,IF(DATOS_[[Check Periodo Ref.]:[Check Periodo Ref.]]="Dentro",IF(DATOS_[[Check Equiparado]:[Check Equiparado]]="Sí",IF(DATOS!AK$5="Sí",(1/DATOS_[[% anualiz]:[% anualiz]]),1)*IF(DATOS!AK$4="Sí",1/DATOS_[[% normaliz]:[% normaliz]],1)*(DATOS_[Conc.Sal.07])))))))),
0)</f>
        <v>0</v>
      </c>
      <c r="Q23" s="196">
        <f t="array" ref="Q23">IFERROR(
(AVERAGE((IF(DATOS_[[Sexo]:[Sexo]]=$B23,IF(DATOS_[[AGRUP. CLAS. PROF.]:[AGRUP. CLAS. PROF.]]=$B21,IF(DATOS_[[Check Periodo Ref.]:[Check Periodo Ref.]]="Dentro",IF(DATOS_[[Check Equiparado]:[Check Equiparado]]="Sí",IF(DATOS!AL$5="Sí",(1/DATOS_[[% anualiz]:[% anualiz]]),1)*IF(DATOS!AL$4="Sí",1/DATOS_[[% normaliz]:[% normaliz]],1)*(DATOS_[Conc.Sal.08])))))))),
0)</f>
        <v>0</v>
      </c>
      <c r="R23" s="196">
        <f t="array" ref="R23">IFERROR(
(AVERAGE((IF(DATOS_[[Sexo]:[Sexo]]=$B23,IF(DATOS_[[AGRUP. CLAS. PROF.]:[AGRUP. CLAS. PROF.]]=$B21,IF(DATOS_[[Check Periodo Ref.]:[Check Periodo Ref.]]="Dentro",IF(DATOS_[[Check Equiparado]:[Check Equiparado]]="Sí",IF(DATOS!AM$5="Sí",(1/DATOS_[[% anualiz]:[% anualiz]]),1)*IF(DATOS!AM$4="Sí",1/DATOS_[[% normaliz]:[% normaliz]],1)*(DATOS_[Conc.Sal.09])))))))),
0)</f>
        <v>0</v>
      </c>
      <c r="S23" s="196">
        <f t="array" ref="S23">IFERROR(
(AVERAGE((IF(DATOS_[[Sexo]:[Sexo]]=$B23,IF(DATOS_[[AGRUP. CLAS. PROF.]:[AGRUP. CLAS. PROF.]]=$B21,IF(DATOS_[[Check Periodo Ref.]:[Check Periodo Ref.]]="Dentro",IF(DATOS_[[Check Equiparado]:[Check Equiparado]]="Sí",IF(DATOS!AN$5="Sí",(1/DATOS_[[% anualiz]:[% anualiz]]),1)*IF(DATOS!AN$4="Sí",1/DATOS_[[% normaliz]:[% normaliz]],1)*(DATOS_[Conc.Sal.10])))))))),
0)</f>
        <v>0</v>
      </c>
      <c r="T23" s="196">
        <f t="array" ref="T23">IFERROR(
(AVERAGE((IF(DATOS_[[Sexo]:[Sexo]]=$B23,IF(DATOS_[[AGRUP. CLAS. PROF.]:[AGRUP. CLAS. PROF.]]=$B21,IF(DATOS_[[Check Periodo Ref.]:[Check Periodo Ref.]]="Dentro",IF(DATOS_[[Check Equiparado]:[Check Equiparado]]="Sí",IF(DATOS!AO$5="Sí",(1/DATOS_[[% anualiz]:[% anualiz]]),1)*IF(DATOS!AO$4="Sí",1/DATOS_[[% normaliz]:[% normaliz]],1)*(DATOS_[Conc.Sal.11])))))))),
0)</f>
        <v>0</v>
      </c>
      <c r="U23" s="196">
        <f t="array" ref="U23">IFERROR(
(AVERAGE((IF(DATOS_[[Sexo]:[Sexo]]=$B23,IF(DATOS_[[AGRUP. CLAS. PROF.]:[AGRUP. CLAS. PROF.]]=$B21,IF(DATOS_[[Check Periodo Ref.]:[Check Periodo Ref.]]="Dentro",IF(DATOS_[[Check Equiparado]:[Check Equiparado]]="Sí",IF(DATOS!AP$5="Sí",(1/DATOS_[[% anualiz]:[% anualiz]]),1)*IF(DATOS!AP$4="Sí",1/DATOS_[[% normaliz]:[% normaliz]],1)*(DATOS_[Conc.Sal.12])))))))),
0)</f>
        <v>0</v>
      </c>
      <c r="V23" s="196">
        <f t="array" ref="V23">IFERROR(
(AVERAGE((IF(DATOS_[[Sexo]:[Sexo]]=$B23,IF(DATOS_[[AGRUP. CLAS. PROF.]:[AGRUP. CLAS. PROF.]]=$B21,IF(DATOS_[[Check Periodo Ref.]:[Check Periodo Ref.]]="Dentro",IF(DATOS_[[Check Equiparado]:[Check Equiparado]]="Sí",IF(DATOS!AQ$5="Sí",(1/DATOS_[[% anualiz]:[% anualiz]]),1)*IF(DATOS!AQ$4="Sí",1/DATOS_[[% normaliz]:[% normaliz]],1)*(DATOS_[Conc.Sal.13])))))))),
0)</f>
        <v>0</v>
      </c>
      <c r="W23" s="196">
        <f t="array" ref="W23">IFERROR(
(AVERAGE((IF(DATOS_[[Sexo]:[Sexo]]=$B23,IF(DATOS_[[AGRUP. CLAS. PROF.]:[AGRUP. CLAS. PROF.]]=$B21,IF(DATOS_[[Check Periodo Ref.]:[Check Periodo Ref.]]="Dentro",IF(DATOS_[[Check Equiparado]:[Check Equiparado]]="Sí",IF(DATOS!AR$5="Sí",(1/DATOS_[[% anualiz]:[% anualiz]]),1)*IF(DATOS!AR$4="Sí",1/DATOS_[[% normaliz]:[% normaliz]],1)*(DATOS_[Conc.Sal.14])))))))),
0)</f>
        <v>0</v>
      </c>
      <c r="X23" s="196">
        <f t="array" ref="X23">IFERROR(
(AVERAGE((IF(DATOS_[[Sexo]:[Sexo]]=$B23,IF(DATOS_[[AGRUP. CLAS. PROF.]:[AGRUP. CLAS. PROF.]]=$B21,IF(DATOS_[[Check Periodo Ref.]:[Check Periodo Ref.]]="Dentro",IF(DATOS_[[Check Equiparado]:[Check Equiparado]]="Sí",IF(DATOS!AS$5="Sí",(1/DATOS_[[% anualiz]:[% anualiz]]),1)*IF(DATOS!AS$4="Sí",1/DATOS_[[% normaliz]:[% normaliz]],1)*(DATOS_[Conc.Sal.15])))))))),
0)</f>
        <v>0</v>
      </c>
      <c r="Y23" s="196">
        <f t="array" ref="Y23">IFERROR(
(AVERAGE((IF(DATOS_[[Sexo]:[Sexo]]=$B23,IF(DATOS_[[AGRUP. CLAS. PROF.]:[AGRUP. CLAS. PROF.]]=$B21,IF(DATOS_[[Check Periodo Ref.]:[Check Periodo Ref.]]="Dentro",IF(DATOS_[[Check Equiparado]:[Check Equiparado]]="Sí",IF(DATOS!AT$5="Sí",(1/DATOS_[[% anualiz]:[% anualiz]]),1)*IF(DATOS!AT$4="Sí",1/DATOS_[[% normaliz]:[% normaliz]],1)*(DATOS_[Conc.Sal.16])))))))),
0)</f>
        <v>0</v>
      </c>
      <c r="Z23" s="196">
        <f t="array" ref="Z23">IFERROR(
(AVERAGE((IF(DATOS_[[Sexo]:[Sexo]]=$B23,IF(DATOS_[[AGRUP. CLAS. PROF.]:[AGRUP. CLAS. PROF.]]=$B21,IF(DATOS_[[Check Periodo Ref.]:[Check Periodo Ref.]]="Dentro",IF(DATOS_[[Check Equiparado]:[Check Equiparado]]="Sí",IF(DATOS!AU$5="Sí",(1/DATOS_[[% anualiz]:[% anualiz]]),1)*IF(DATOS!AU$4="Sí",1/DATOS_[[% normaliz]:[% normaliz]],1)*(DATOS_[Conc.Sal.17])))))))),
0)</f>
        <v>0</v>
      </c>
      <c r="AA23" s="196">
        <f t="array" ref="AA23">IFERROR(
(AVERAGE((IF(DATOS_[[Sexo]:[Sexo]]=$B23,IF(DATOS_[[AGRUP. CLAS. PROF.]:[AGRUP. CLAS. PROF.]]=$B21,IF(DATOS_[[Check Periodo Ref.]:[Check Periodo Ref.]]="Dentro",IF(DATOS_[[Check Equiparado]:[Check Equiparado]]="Sí",IF(DATOS!AV$5="Sí",(1/DATOS_[[% anualiz]:[% anualiz]]),1)*IF(DATOS!AV$4="Sí",1/DATOS_[[% normaliz]:[% normaliz]],1)*(DATOS_[Conc.Sal.18])))))))),
0)</f>
        <v>0</v>
      </c>
      <c r="AB23" s="196">
        <f t="array" ref="AB23">IFERROR(
(AVERAGE((IF(DATOS_[[Sexo]:[Sexo]]=$B23,IF(DATOS_[[AGRUP. CLAS. PROF.]:[AGRUP. CLAS. PROF.]]=$B21,IF(DATOS_[[Check Periodo Ref.]:[Check Periodo Ref.]]="Dentro",IF(DATOS_[[Check Equiparado]:[Check Equiparado]]="Sí",IF(DATOS!AW$5="Sí",(1/DATOS_[[% anualiz]:[% anualiz]]),1)*IF(DATOS!AW$4="Sí",1/DATOS_[[% normaliz]:[% normaliz]],1)*(DATOS_[Conc.Sal.19])))))))),
0)</f>
        <v>0</v>
      </c>
      <c r="AC23" s="196">
        <f t="array" ref="AC23">IFERROR(
(AVERAGE((IF(DATOS_[[Sexo]:[Sexo]]=$B23,IF(DATOS_[[AGRUP. CLAS. PROF.]:[AGRUP. CLAS. PROF.]]=$B21,IF(DATOS_[[Check Periodo Ref.]:[Check Periodo Ref.]]="Dentro",IF(DATOS_[[Check Equiparado]:[Check Equiparado]]="Sí",IF(DATOS!AX$5="Sí",(1/DATOS_[[% anualiz]:[% anualiz]]),1)*IF(DATOS!AX$4="Sí",1/DATOS_[[% normaliz]:[% normaliz]],1)*(DATOS_[Conc.Sal.20])))))))),
0)</f>
        <v>0</v>
      </c>
      <c r="AD23" s="196">
        <f t="array" ref="AD23">IFERROR(
(AVERAGE((IF(DATOS_[[Sexo]:[Sexo]]=$B23,IF(DATOS_[[AGRUP. CLAS. PROF.]:[AGRUP. CLAS. PROF.]]=$B21,IF(DATOS_[[Check Periodo Ref.]:[Check Periodo Ref.]]="Dentro",IF(DATOS_[[Check Equiparado]:[Check Equiparado]]="Sí",IF(DATOS!AY$5="Sí",(1/DATOS_[[% anualiz]:[% anualiz]]),1)*IF(DATOS!AY$4="Sí",1/DATOS_[[% normaliz]:[% normaliz]],1)*(DATOS_[Conc.Sal.21])))))))),
0)</f>
        <v>0</v>
      </c>
      <c r="AE23" s="196">
        <f t="array" ref="AE23">IFERROR(
(AVERAGE((IF(DATOS_[[Sexo]:[Sexo]]=$B23,IF(DATOS_[[AGRUP. CLAS. PROF.]:[AGRUP. CLAS. PROF.]]=$B21,IF(DATOS_[[Check Periodo Ref.]:[Check Periodo Ref.]]="Dentro",IF(DATOS_[[Check Equiparado]:[Check Equiparado]]="Sí",IF(DATOS!AZ$5="Sí",(1/DATOS_[[% anualiz]:[% anualiz]]),1)*IF(DATOS!AZ$4="Sí",1/DATOS_[[% normaliz]:[% normaliz]],1)*(DATOS_[Conc.Sal.22])))))))),
0)</f>
        <v>0</v>
      </c>
      <c r="AF23" s="196">
        <f t="array" ref="AF23">IFERROR(
(AVERAGE((IF(DATOS_[[Sexo]:[Sexo]]=$B23,IF(DATOS_[[AGRUP. CLAS. PROF.]:[AGRUP. CLAS. PROF.]]=$B21,IF(DATOS_[[Check Periodo Ref.]:[Check Periodo Ref.]]="Dentro",IF(DATOS_[[Check Equiparado]:[Check Equiparado]]="Sí",IF(DATOS!BA$5="Sí",(1/DATOS_[[% anualiz]:[% anualiz]]),1)*IF(DATOS!BA$4="Sí",1/DATOS_[[% normaliz]:[% normaliz]],1)*(DATOS_[Conc.Sal.23])))))))),
0)</f>
        <v>0</v>
      </c>
      <c r="AG23" s="196">
        <f t="array" ref="AG23">IFERROR(
(AVERAGE((IF(DATOS_[[Sexo]:[Sexo]]=$B23,IF(DATOS_[[AGRUP. CLAS. PROF.]:[AGRUP. CLAS. PROF.]]=$B21,IF(DATOS_[[Check Periodo Ref.]:[Check Periodo Ref.]]="Dentro",IF(DATOS_[[Check Equiparado]:[Check Equiparado]]="Sí",IF(DATOS!BB$5="Sí",(1/DATOS_[[% anualiz]:[% anualiz]]),1)*IF(DATOS!BB$4="Sí",1/DATOS_[[% normaliz]:[% normaliz]],1)*(DATOS_[Conc.Sal.24])))))))),
0)</f>
        <v>0</v>
      </c>
      <c r="AH23" s="196">
        <f t="array" ref="AH23">IFERROR(
(AVERAGE((IF(DATOS_[[Sexo]:[Sexo]]=$B23,IF(DATOS_[[AGRUP. CLAS. PROF.]:[AGRUP. CLAS. PROF.]]=$B21,IF(DATOS_[[Check Periodo Ref.]:[Check Periodo Ref.]]="Dentro",IF(DATOS_[[Check Equiparado]:[Check Equiparado]]="Sí",IF(DATOS!BC$5="Sí",(1/DATOS_[[% anualiz]:[% anualiz]]),1)*IF(DATOS!BC$4="Sí",1/DATOS_[[% normaliz]:[% normaliz]],1)*(DATOS_[Conc.Sal.25])))))))),
0)</f>
        <v>0</v>
      </c>
      <c r="AI23" s="196">
        <f t="array" ref="AI23">IFERROR(
(AVERAGE((IF(DATOS_[[Sexo]:[Sexo]]=$B23,IF(DATOS_[[AGRUP. CLAS. PROF.]:[AGRUP. CLAS. PROF.]]=$B21,IF(DATOS_[[Check Periodo Ref.]:[Check Periodo Ref.]]="Dentro",IF(DATOS_[[Check Equiparado]:[Check Equiparado]]="Sí",IF(DATOS!BD$5="Sí",(1/DATOS_[[% anualiz]:[% anualiz]]),1)*IF(DATOS!BD$4="Sí",1/DATOS_[[% normaliz]:[% normaliz]],1)*(DATOS_[Conc.Sal.26])))))))),
0)</f>
        <v>0</v>
      </c>
      <c r="AJ23" s="196">
        <f t="array" ref="AJ23">IFERROR(
(AVERAGE((IF(DATOS_[[Sexo]:[Sexo]]=$B23,IF(DATOS_[[AGRUP. CLAS. PROF.]:[AGRUP. CLAS. PROF.]]=$B21,IF(DATOS_[[Check Periodo Ref.]:[Check Periodo Ref.]]="Dentro",IF(DATOS_[[Check Equiparado]:[Check Equiparado]]="Sí",IF(DATOS!BE$5="Sí",(1/DATOS_[[% anualiz]:[% anualiz]]),1)*IF(DATOS!BE$4="Sí",1/DATOS_[[% normaliz]:[% normaliz]],1)*(DATOS_[Conc.Sal.27])))))))),
0)</f>
        <v>0</v>
      </c>
      <c r="AK23" s="196">
        <f t="array" ref="AK23">IFERROR(
(AVERAGE((IF(DATOS_[[Sexo]:[Sexo]]=$B23,IF(DATOS_[[AGRUP. CLAS. PROF.]:[AGRUP. CLAS. PROF.]]=$B21,IF(DATOS_[[Check Periodo Ref.]:[Check Periodo Ref.]]="Dentro",IF(DATOS_[[Check Equiparado]:[Check Equiparado]]="Sí",IF(DATOS!BF$5="Sí",(1/DATOS_[[% anualiz]:[% anualiz]]),1)*IF(DATOS!BF$4="Sí",1/DATOS_[[% normaliz]:[% normaliz]],1)*(DATOS_[Conc.Sal.28])))))))),
0)</f>
        <v>0</v>
      </c>
      <c r="AL23" s="196">
        <f t="array" ref="AL23">IFERROR(
(AVERAGE((IF(DATOS_[[Sexo]:[Sexo]]=$B23,IF(DATOS_[[AGRUP. CLAS. PROF.]:[AGRUP. CLAS. PROF.]]=$B21,IF(DATOS_[[Check Periodo Ref.]:[Check Periodo Ref.]]="Dentro",IF(DATOS_[[Check Equiparado]:[Check Equiparado]]="Sí",IF(DATOS!BG$5="Sí",(1/DATOS_[[% anualiz]:[% anualiz]]),1)*IF(DATOS!BG$4="Sí",1/DATOS_[[% normaliz]:[% normaliz]],1)*(DATOS_[Conc.Sal.29])))))))),
0)</f>
        <v>0</v>
      </c>
      <c r="AM23" s="196">
        <f t="array" ref="AM23">IFERROR(
(AVERAGE((IF(DATOS_[[Sexo]:[Sexo]]=$B23,IF(DATOS_[[AGRUP. CLAS. PROF.]:[AGRUP. CLAS. PROF.]]=$B21,IF(DATOS_[[Check Periodo Ref.]:[Check Periodo Ref.]]="Dentro",IF(DATOS_[[Check Equiparado]:[Check Equiparado]]="Sí",IF(DATOS!BH$5="Sí",(1/DATOS_[[% anualiz]:[% anualiz]]),1)*IF(DATOS!BH$4="Sí",1/DATOS_[[% normaliz]:[% normaliz]],1)*(DATOS_[Conc.Sal.30])))))))),
0)</f>
        <v>0</v>
      </c>
      <c r="AN23" s="195">
        <f t="array" ref="AN23">IFERROR(
AVERAGE(IF(DATOS_[Sexo]=$B23,IF(DATOS_[[AGRUP. CLAS. PROF.]:[AGRUP. CLAS. PROF.]]=$B21,IF(DATOS_[Check Equiparado]="Sí",IF(DATOS_[Check Periodo Ref.]="Dentro",DATOS_[Tot COMPL.SAL Eq],FALSE))))),
0)</f>
        <v>0</v>
      </c>
      <c r="AO23" s="172">
        <f t="array" ref="AO23">IFERROR(
AVERAGE(IF(DATOS_[Sexo]=$B23,IF(DATOS_[[AGRUP. CLAS. PROF.]:[AGRUP. CLAS. PROF.]]=$B21,IF(DATOS_[Check Equiparado]="Sí",IF(DATOS_[Check Periodo Ref.]="Dentro",DATOS_[TOTAL SALARIO Eq],FALSE))))),
0)</f>
        <v>0</v>
      </c>
      <c r="AP23" s="173">
        <f t="array" ref="AP23">IFERROR(
(AVERAGE((IF(DATOS_[[Sexo]:[Sexo]]=$B23,IF(DATOS_[[AGRUP. CLAS. PROF.]:[AGRUP. CLAS. PROF.]]=$B21,IF(DATOS_[[Check Periodo Ref.]:[Check Periodo Ref.]]="Dentro",IF(DATOS_[[Check Equiparado]:[Check Equiparado]]="Sí",IF(DATOS!BW$5="Sí",(1/DATOS_[[% anualiz]:[% anualiz]]),1)*IF(DATOS!BW$4="Sí",1/DATOS_[[% normaliz]:[% normaliz]],1)*(DATOS_[C.Extra.01])))))))),
0)</f>
        <v>0</v>
      </c>
      <c r="AQ23" s="173">
        <f t="array" ref="AQ23">IFERROR(
(AVERAGE((IF(DATOS_[[Sexo]:[Sexo]]=$B23,IF(DATOS_[[AGRUP. CLAS. PROF.]:[AGRUP. CLAS. PROF.]]=$B21,IF(DATOS_[[Check Periodo Ref.]:[Check Periodo Ref.]]="Dentro",IF(DATOS_[[Check Equiparado]:[Check Equiparado]]="Sí",IF(DATOS!CB$5="Sí",(1/DATOS_[[% anualiz]:[% anualiz]]),1)*IF(DATOS!CB$4="Sí",1/DATOS_[[% normaliz]:[% normaliz]],1)*(DATOS_[C.Extra.06])))))))),
0)</f>
        <v>0</v>
      </c>
      <c r="AR23" s="173">
        <f t="array" ref="AR23">IFERROR(
(AVERAGE((IF(DATOS_[[Sexo]:[Sexo]]=$B23,IF(DATOS_[[AGRUP. CLAS. PROF.]:[AGRUP. CLAS. PROF.]]=$B21,IF(DATOS_[[Check Periodo Ref.]:[Check Periodo Ref.]]="Dentro",IF(DATOS_[[Check Equiparado]:[Check Equiparado]]="Sí",IF(DATOS!CC$5="Sí",(1/DATOS_[[% anualiz]:[% anualiz]]),1)*IF(DATOS!CC$4="Sí",1/DATOS_[[% normaliz]:[% normaliz]],1)*(DATOS_[C.Extra.07])))))))),
0)</f>
        <v>0</v>
      </c>
      <c r="AS23" s="173">
        <f t="array" ref="AS23">IFERROR(
(AVERAGE((IF(DATOS_[[Sexo]:[Sexo]]=$B23,IF(DATOS_[[AGRUP. CLAS. PROF.]:[AGRUP. CLAS. PROF.]]=$B21,IF(DATOS_[[Check Periodo Ref.]:[Check Periodo Ref.]]="Dentro",IF(DATOS_[[Check Equiparado]:[Check Equiparado]]="Sí",IF(DATOS!CD$5="Sí",(1/DATOS_[[% anualiz]:[% anualiz]]),1)*IF(DATOS!CD$4="Sí",1/DATOS_[[% normaliz]:[% normaliz]],1)*(DATOS_[C.Extra.08])))))))),
0)</f>
        <v>0</v>
      </c>
      <c r="AT23" s="173">
        <f t="array" ref="AT23">IFERROR(
(AVERAGE((IF(DATOS_[[Sexo]:[Sexo]]=$B23,IF(DATOS_[[AGRUP. CLAS. PROF.]:[AGRUP. CLAS. PROF.]]=$B21,IF(DATOS_[[Check Periodo Ref.]:[Check Periodo Ref.]]="Dentro",IF(DATOS_[[Check Equiparado]:[Check Equiparado]]="Sí",IF(DATOS!CG$5="Sí",(1/DATOS_[[% anualiz]:[% anualiz]]),1)*IF(DATOS!CG$4="Sí",1/DATOS_[[% normaliz]:[% normaliz]],1)*(DATOS_[C.Extra.11])))))))),
0)</f>
        <v>0</v>
      </c>
      <c r="AU23" s="197">
        <f t="array" ref="AU23">IFERROR(
AVERAGE(IF(DATOS_[Sexo]=$B23,IF(DATOS_[[AGRUP. CLAS. PROF.]:[AGRUP. CLAS. PROF.]]=$B21,IF(DATOS_[Check Equiparado]="Sí",IF(DATOS_[Check Periodo Ref.]="Dentro",DATOS_[Tot Extrasalarial Eq],FALSE))))),
0)</f>
        <v>0</v>
      </c>
      <c r="AV23" s="175">
        <f t="array" ref="AV23">IFERROR(
AVERAGE(IF(DATOS_[Sexo]=$B23,IF(DATOS_[[AGRUP. CLAS. PROF.]:[AGRUP. CLAS. PROF.]]=$B21,IF(DATOS_[Check Equiparado]="Sí",IF(DATOS_[Check Periodo Ref.]="Dentro",DATOS_[TOTAL Retrib Eq],FALSE))))),
0)</f>
        <v>0</v>
      </c>
    </row>
    <row r="24" spans="1:48" ht="15.6" thickBot="1" x14ac:dyDescent="0.3">
      <c r="A24" s="133" t="str">
        <f t="shared" ref="A24" si="15">+A25</f>
        <v/>
      </c>
      <c r="B24" s="199" t="s">
        <v>188</v>
      </c>
      <c r="C24" s="200"/>
      <c r="D24" s="201"/>
      <c r="E24" s="201"/>
      <c r="F24" s="201"/>
      <c r="G24" s="201"/>
      <c r="H24" s="201"/>
      <c r="I24" s="189">
        <f t="shared" ref="I24:AV24" si="16">IFERROR((I25-I26)/I25,"")</f>
        <v>-0.24274564004299304</v>
      </c>
      <c r="J24" s="190">
        <f t="shared" si="16"/>
        <v>0.56254209169007374</v>
      </c>
      <c r="K24" s="191">
        <f t="shared" si="16"/>
        <v>-2.4939056894170364E-2</v>
      </c>
      <c r="L24" s="191">
        <f t="shared" si="16"/>
        <v>-0.41096042196936761</v>
      </c>
      <c r="M24" s="191">
        <f t="shared" si="16"/>
        <v>0.38999246774135965</v>
      </c>
      <c r="N24" s="192">
        <f t="shared" si="16"/>
        <v>0.16220425277029055</v>
      </c>
      <c r="O24" s="193">
        <f t="shared" si="16"/>
        <v>-6.4717126444299083E-2</v>
      </c>
      <c r="P24" s="193">
        <f t="shared" si="16"/>
        <v>0.41236645299145303</v>
      </c>
      <c r="Q24" s="193">
        <f t="shared" si="16"/>
        <v>-0.92103380215190911</v>
      </c>
      <c r="R24" s="193">
        <f t="shared" si="16"/>
        <v>0.49696247502333846</v>
      </c>
      <c r="S24" s="193">
        <f t="shared" si="16"/>
        <v>8.338582493255324E-2</v>
      </c>
      <c r="T24" s="193">
        <f t="shared" si="16"/>
        <v>-0.90995142866616641</v>
      </c>
      <c r="U24" s="193">
        <f t="shared" si="16"/>
        <v>-0.20702889412796754</v>
      </c>
      <c r="V24" s="193">
        <f t="shared" si="16"/>
        <v>0.94168631837737349</v>
      </c>
      <c r="W24" s="193">
        <f t="shared" si="16"/>
        <v>0.45853029651912336</v>
      </c>
      <c r="X24" s="193">
        <f t="shared" si="16"/>
        <v>0.25801785429618995</v>
      </c>
      <c r="Y24" s="193">
        <f t="shared" si="16"/>
        <v>-0.49994629806154145</v>
      </c>
      <c r="Z24" s="193">
        <f t="shared" si="16"/>
        <v>0.90019428521295664</v>
      </c>
      <c r="AA24" s="193">
        <f t="shared" si="16"/>
        <v>0.97673814272439108</v>
      </c>
      <c r="AB24" s="193">
        <f t="shared" si="16"/>
        <v>0.97275586138182268</v>
      </c>
      <c r="AC24" s="193">
        <f t="shared" si="16"/>
        <v>-6.8680793690198056</v>
      </c>
      <c r="AD24" s="193">
        <f t="shared" si="16"/>
        <v>0.64017274524138312</v>
      </c>
      <c r="AE24" s="193" t="str">
        <f t="shared" si="16"/>
        <v/>
      </c>
      <c r="AF24" s="193">
        <f t="shared" si="16"/>
        <v>-7.69230769230769E-2</v>
      </c>
      <c r="AG24" s="193" t="str">
        <f t="shared" si="16"/>
        <v/>
      </c>
      <c r="AH24" s="193" t="str">
        <f t="shared" si="16"/>
        <v/>
      </c>
      <c r="AI24" s="193" t="str">
        <f t="shared" si="16"/>
        <v/>
      </c>
      <c r="AJ24" s="193" t="str">
        <f t="shared" si="16"/>
        <v/>
      </c>
      <c r="AK24" s="193" t="str">
        <f t="shared" si="16"/>
        <v/>
      </c>
      <c r="AL24" s="193" t="str">
        <f t="shared" si="16"/>
        <v/>
      </c>
      <c r="AM24" s="193" t="str">
        <f t="shared" si="16"/>
        <v/>
      </c>
      <c r="AN24" s="189">
        <f t="shared" si="16"/>
        <v>0.14234906516394835</v>
      </c>
      <c r="AO24" s="162">
        <f t="shared" si="16"/>
        <v>-7.5129269795897846E-2</v>
      </c>
      <c r="AP24" s="163" t="str">
        <f t="shared" si="16"/>
        <v/>
      </c>
      <c r="AQ24" s="163" t="str">
        <f t="shared" si="16"/>
        <v/>
      </c>
      <c r="AR24" s="163" t="str">
        <f t="shared" si="16"/>
        <v/>
      </c>
      <c r="AS24" s="163" t="str">
        <f t="shared" si="16"/>
        <v/>
      </c>
      <c r="AT24" s="163" t="str">
        <f t="shared" si="16"/>
        <v/>
      </c>
      <c r="AU24" s="194">
        <f t="shared" si="16"/>
        <v>-0.33107037457443689</v>
      </c>
      <c r="AV24" s="165">
        <f t="shared" si="16"/>
        <v>-0.10056241593751021</v>
      </c>
    </row>
    <row r="25" spans="1:48" x14ac:dyDescent="0.25">
      <c r="A25" s="133" t="str">
        <f t="shared" ref="A25" si="17">+IF(C25+C26=0,"[ocultar]","")</f>
        <v/>
      </c>
      <c r="B25" s="202" t="s">
        <v>394</v>
      </c>
      <c r="C25" s="203">
        <f t="array" ref="C25">SUM(IF($B25=DATOS_[Sexo],
IF($B24=DATOS_[AGRUP. CLAS. PROF.],
IF("Dentro"=DATOS_[Check Periodo Ref.],
1/(COUNTIFS(DATOS_[Sexo],$B25,DATOS_[AGRUP. CLAS. PROF.],$B24,DATOS_[Check Periodo Ref.],"Dentro",DATOS_[id/cod],DATOS_[id/cod]))))))</f>
        <v>7</v>
      </c>
      <c r="D25" s="204">
        <f>COUNTIFS(DATOS_[AGRUP. CLAS. PROF.],$B24,DATOS_[Sexo],$B25,DATOS_[Check Periodo Ref.],"Dentro")</f>
        <v>7</v>
      </c>
      <c r="E25" s="204">
        <f>COUNTIFS(DATOS_[AGRUP. CLAS. PROF.],$B24,DATOS_[Sexo],$B25,DATOS_[Check Periodo Ref.],"Dentro",DATOS_[Check Nº SC Norm],"Sí")</f>
        <v>0</v>
      </c>
      <c r="F25" s="204">
        <f>COUNTIFS(DATOS_[AGRUP. CLAS. PROF.],$B24,DATOS_[Sexo],$B25,DATOS_[Check Periodo Ref.],"Dentro",DATOS_[Check Nº SC Anualiz],"Sí")</f>
        <v>0</v>
      </c>
      <c r="G25" s="204">
        <f>COUNTIFS(DATOS_[AGRUP. CLAS. PROF.],$B24,DATOS_[Sexo],$B25,DATOS_[Check Periodo Ref.],"Dentro",DATOS_[Check Nº SC Norm y Anualiz],"Sí")</f>
        <v>0</v>
      </c>
      <c r="H25" s="204">
        <f>COUNTIFS(DATOS_[AGRUP. CLAS. PROF.],$B24,DATOS_[Sexo],$B25,DATOS_[Check Periodo Ref.],"Dentro",DATOS_[Check Equiparación],"Sí")</f>
        <v>0</v>
      </c>
      <c r="I25" s="195">
        <f t="array" ref="I25">IFERROR(
AVERAGE(IF(DATOS_[Sexo]=$B25,IF(DATOS_[[AGRUP. CLAS. PROF.]:[AGRUP. CLAS. PROF.]]=$B24,IF(DATOS_[Check Equiparado]="Sí",IF(DATOS_[Check Periodo Ref.]="Dentro",DATOS_[SALARIO BASE Eq],FALSE))))),
0)</f>
        <v>11381.634285714286</v>
      </c>
      <c r="J25" s="196">
        <f t="array" ref="J25">IFERROR(
(AVERAGE((IF(DATOS_[[Sexo]:[Sexo]]=$B25,IF(DATOS_[[AGRUP. CLAS. PROF.]:[AGRUP. CLAS. PROF.]]=$B24,IF(DATOS_[[Check Periodo Ref.]:[Check Periodo Ref.]]="Dentro",IF(DATOS_[[Check Equiparado]:[Check Equiparado]]="Sí",IF(DATOS!AE$5="Sí",(1/DATOS_[[% anualiz]:[% anualiz]]),1)*IF(DATOS!AE$4="Sí",1/DATOS_[[% normaliz]:[% normaliz]],1)*(DATOS_[Conc.Sal.01])))))))),
0)</f>
        <v>223</v>
      </c>
      <c r="K25" s="196">
        <f t="array" ref="K25">IFERROR(
(AVERAGE((IF(DATOS_[[Sexo]:[Sexo]]=$B25,IF(DATOS_[[AGRUP. CLAS. PROF.]:[AGRUP. CLAS. PROF.]]=$B24,IF(DATOS_[[Check Periodo Ref.]:[Check Periodo Ref.]]="Dentro",IF(DATOS_[[Check Equiparado]:[Check Equiparado]]="Sí",IF(DATOS!AF$5="Sí",(1/DATOS_[[% anualiz]:[% anualiz]]),1)*IF(DATOS!AF$4="Sí",1/DATOS_[[% normaliz]:[% normaliz]],1)*(DATOS_[Conc.Sal.02])))))))),
0)</f>
        <v>34.979999999999997</v>
      </c>
      <c r="L25" s="196">
        <f t="array" ref="L25">IFERROR(
(AVERAGE((IF(DATOS_[[Sexo]:[Sexo]]=$B25,IF(DATOS_[[AGRUP. CLAS. PROF.]:[AGRUP. CLAS. PROF.]]=$B24,IF(DATOS_[[Check Periodo Ref.]:[Check Periodo Ref.]]="Dentro",IF(DATOS_[[Check Equiparado]:[Check Equiparado]]="Sí",IF(DATOS!AG$5="Sí",(1/DATOS_[[% anualiz]:[% anualiz]]),1)*IF(DATOS!AG$4="Sí",1/DATOS_[[% normaliz]:[% normaliz]],1)*(DATOS_[Conc.Sal.03])))))))),
0)</f>
        <v>998.53142857142859</v>
      </c>
      <c r="M25" s="196">
        <f t="array" ref="M25">IFERROR(
(AVERAGE((IF(DATOS_[[Sexo]:[Sexo]]=$B25,IF(DATOS_[[AGRUP. CLAS. PROF.]:[AGRUP. CLAS. PROF.]]=$B24,IF(DATOS_[[Check Periodo Ref.]:[Check Periodo Ref.]]="Dentro",IF(DATOS_[[Check Equiparado]:[Check Equiparado]]="Sí",IF(DATOS!AH$5="Sí",(1/DATOS_[[% anualiz]:[% anualiz]]),1)*IF(DATOS!AH$4="Sí",1/DATOS_[[% normaliz]:[% normaliz]],1)*(DATOS_[Conc.Sal.04])))))))),
0)</f>
        <v>840.1957142857143</v>
      </c>
      <c r="N25" s="196">
        <f t="array" ref="N25">IFERROR(
(AVERAGE((IF(DATOS_[[Sexo]:[Sexo]]=$B25,IF(DATOS_[[AGRUP. CLAS. PROF.]:[AGRUP. CLAS. PROF.]]=$B24,IF(DATOS_[[Check Periodo Ref.]:[Check Periodo Ref.]]="Dentro",IF(DATOS_[[Check Equiparado]:[Check Equiparado]]="Sí",IF(DATOS!AI$5="Sí",(1/DATOS_[[% anualiz]:[% anualiz]]),1)*IF(DATOS!AI$4="Sí",1/DATOS_[[% normaliz]:[% normaliz]],1)*(DATOS_[Conc.Sal.05])))))))),
0)</f>
        <v>159</v>
      </c>
      <c r="O25" s="196">
        <f t="array" ref="O25">IFERROR(
(AVERAGE((IF(DATOS_[[Sexo]:[Sexo]]=$B25,IF(DATOS_[[AGRUP. CLAS. PROF.]:[AGRUP. CLAS. PROF.]]=$B24,IF(DATOS_[[Check Periodo Ref.]:[Check Periodo Ref.]]="Dentro",IF(DATOS_[[Check Equiparado]:[Check Equiparado]]="Sí",IF(DATOS!AJ$5="Sí",(1/DATOS_[[% anualiz]:[% anualiz]]),1)*IF(DATOS!AJ$4="Sí",1/DATOS_[[% normaliz]:[% normaliz]],1)*(DATOS_[Conc.Sal.06])))))))),
0)</f>
        <v>1399.6200000000001</v>
      </c>
      <c r="P25" s="196">
        <f t="array" ref="P25">IFERROR(
(AVERAGE((IF(DATOS_[[Sexo]:[Sexo]]=$B25,IF(DATOS_[[AGRUP. CLAS. PROF.]:[AGRUP. CLAS. PROF.]]=$B24,IF(DATOS_[[Check Periodo Ref.]:[Check Periodo Ref.]]="Dentro",IF(DATOS_[[Check Equiparado]:[Check Equiparado]]="Sí",IF(DATOS!AK$5="Sí",(1/DATOS_[[% anualiz]:[% anualiz]]),1)*IF(DATOS!AK$4="Sí",1/DATOS_[[% normaliz]:[% normaliz]],1)*(DATOS_[Conc.Sal.07])))))))),
0)</f>
        <v>205.71428571428572</v>
      </c>
      <c r="Q25" s="196">
        <f t="array" ref="Q25">IFERROR(
(AVERAGE((IF(DATOS_[[Sexo]:[Sexo]]=$B25,IF(DATOS_[[AGRUP. CLAS. PROF.]:[AGRUP. CLAS. PROF.]]=$B24,IF(DATOS_[[Check Periodo Ref.]:[Check Periodo Ref.]]="Dentro",IF(DATOS_[[Check Equiparado]:[Check Equiparado]]="Sí",IF(DATOS!AL$5="Sí",(1/DATOS_[[% anualiz]:[% anualiz]]),1)*IF(DATOS!AL$4="Sí",1/DATOS_[[% normaliz]:[% normaliz]],1)*(DATOS_[Conc.Sal.08])))))))),
0)</f>
        <v>90.305714285714274</v>
      </c>
      <c r="R25" s="196">
        <f t="array" ref="R25">IFERROR(
(AVERAGE((IF(DATOS_[[Sexo]:[Sexo]]=$B25,IF(DATOS_[[AGRUP. CLAS. PROF.]:[AGRUP. CLAS. PROF.]]=$B24,IF(DATOS_[[Check Periodo Ref.]:[Check Periodo Ref.]]="Dentro",IF(DATOS_[[Check Equiparado]:[Check Equiparado]]="Sí",IF(DATOS!AM$5="Sí",(1/DATOS_[[% anualiz]:[% anualiz]]),1)*IF(DATOS!AM$4="Sí",1/DATOS_[[% normaliz]:[% normaliz]],1)*(DATOS_[Conc.Sal.09])))))))),
0)</f>
        <v>436.01142857142855</v>
      </c>
      <c r="S25" s="196">
        <f t="array" ref="S25">IFERROR(
(AVERAGE((IF(DATOS_[[Sexo]:[Sexo]]=$B25,IF(DATOS_[[AGRUP. CLAS. PROF.]:[AGRUP. CLAS. PROF.]]=$B24,IF(DATOS_[[Check Periodo Ref.]:[Check Periodo Ref.]]="Dentro",IF(DATOS_[[Check Equiparado]:[Check Equiparado]]="Sí",IF(DATOS!AN$5="Sí",(1/DATOS_[[% anualiz]:[% anualiz]]),1)*IF(DATOS!AN$4="Sí",1/DATOS_[[% normaliz]:[% normaliz]],1)*(DATOS_[Conc.Sal.10])))))))),
0)</f>
        <v>515.24285714285713</v>
      </c>
      <c r="T25" s="196">
        <f t="array" ref="T25">IFERROR(
(AVERAGE((IF(DATOS_[[Sexo]:[Sexo]]=$B25,IF(DATOS_[[AGRUP. CLAS. PROF.]:[AGRUP. CLAS. PROF.]]=$B24,IF(DATOS_[[Check Periodo Ref.]:[Check Periodo Ref.]]="Dentro",IF(DATOS_[[Check Equiparado]:[Check Equiparado]]="Sí",IF(DATOS!AO$5="Sí",(1/DATOS_[[% anualiz]:[% anualiz]]),1)*IF(DATOS!AO$4="Sí",1/DATOS_[[% normaliz]:[% normaliz]],1)*(DATOS_[Conc.Sal.11])))))))),
0)</f>
        <v>465.48999999999995</v>
      </c>
      <c r="U25" s="196">
        <f t="array" ref="U25">IFERROR(
(AVERAGE((IF(DATOS_[[Sexo]:[Sexo]]=$B25,IF(DATOS_[[AGRUP. CLAS. PROF.]:[AGRUP. CLAS. PROF.]]=$B24,IF(DATOS_[[Check Periodo Ref.]:[Check Periodo Ref.]]="Dentro",IF(DATOS_[[Check Equiparado]:[Check Equiparado]]="Sí",IF(DATOS!AP$5="Sí",(1/DATOS_[[% anualiz]:[% anualiz]]),1)*IF(DATOS!AP$4="Sí",1/DATOS_[[% normaliz]:[% normaliz]],1)*(DATOS_[Conc.Sal.12])))))))),
0)</f>
        <v>72.15428571428572</v>
      </c>
      <c r="V25" s="196">
        <f t="array" ref="V25">IFERROR(
(AVERAGE((IF(DATOS_[[Sexo]:[Sexo]]=$B25,IF(DATOS_[[AGRUP. CLAS. PROF.]:[AGRUP. CLAS. PROF.]]=$B24,IF(DATOS_[[Check Periodo Ref.]:[Check Periodo Ref.]]="Dentro",IF(DATOS_[[Check Equiparado]:[Check Equiparado]]="Sí",IF(DATOS!AQ$5="Sí",(1/DATOS_[[% anualiz]:[% anualiz]]),1)*IF(DATOS!AQ$4="Sí",1/DATOS_[[% normaliz]:[% normaliz]],1)*(DATOS_[Conc.Sal.13])))))))),
0)</f>
        <v>989.34428571428566</v>
      </c>
      <c r="W25" s="196">
        <f t="array" ref="W25">IFERROR(
(AVERAGE((IF(DATOS_[[Sexo]:[Sexo]]=$B25,IF(DATOS_[[AGRUP. CLAS. PROF.]:[AGRUP. CLAS. PROF.]]=$B24,IF(DATOS_[[Check Periodo Ref.]:[Check Periodo Ref.]]="Dentro",IF(DATOS_[[Check Equiparado]:[Check Equiparado]]="Sí",IF(DATOS!AR$5="Sí",(1/DATOS_[[% anualiz]:[% anualiz]]),1)*IF(DATOS!AR$4="Sí",1/DATOS_[[% normaliz]:[% normaliz]],1)*(DATOS_[Conc.Sal.14])))))))),
0)</f>
        <v>86.94285714285715</v>
      </c>
      <c r="X25" s="196">
        <f t="array" ref="X25">IFERROR(
(AVERAGE((IF(DATOS_[[Sexo]:[Sexo]]=$B25,IF(DATOS_[[AGRUP. CLAS. PROF.]:[AGRUP. CLAS. PROF.]]=$B24,IF(DATOS_[[Check Periodo Ref.]:[Check Periodo Ref.]]="Dentro",IF(DATOS_[[Check Equiparado]:[Check Equiparado]]="Sí",IF(DATOS!AS$5="Sí",(1/DATOS_[[% anualiz]:[% anualiz]]),1)*IF(DATOS!AS$4="Sí",1/DATOS_[[% normaliz]:[% normaliz]],1)*(DATOS_[Conc.Sal.15])))))))),
0)</f>
        <v>262.28571428571428</v>
      </c>
      <c r="Y25" s="196">
        <f t="array" ref="Y25">IFERROR(
(AVERAGE((IF(DATOS_[[Sexo]:[Sexo]]=$B25,IF(DATOS_[[AGRUP. CLAS. PROF.]:[AGRUP. CLAS. PROF.]]=$B24,IF(DATOS_[[Check Periodo Ref.]:[Check Periodo Ref.]]="Dentro",IF(DATOS_[[Check Equiparado]:[Check Equiparado]]="Sí",IF(DATOS!AT$5="Sí",(1/DATOS_[[% anualiz]:[% anualiz]]),1)*IF(DATOS!AT$4="Sí",1/DATOS_[[% normaliz]:[% normaliz]],1)*(DATOS_[Conc.Sal.16])))))))),
0)</f>
        <v>1841.7100000000003</v>
      </c>
      <c r="Z25" s="196">
        <f t="array" ref="Z25">IFERROR(
(AVERAGE((IF(DATOS_[[Sexo]:[Sexo]]=$B25,IF(DATOS_[[AGRUP. CLAS. PROF.]:[AGRUP. CLAS. PROF.]]=$B24,IF(DATOS_[[Check Periodo Ref.]:[Check Periodo Ref.]]="Dentro",IF(DATOS_[[Check Equiparado]:[Check Equiparado]]="Sí",IF(DATOS!AU$5="Sí",(1/DATOS_[[% anualiz]:[% anualiz]]),1)*IF(DATOS!AU$4="Sí",1/DATOS_[[% normaliz]:[% normaliz]],1)*(DATOS_[Conc.Sal.17])))))))),
0)</f>
        <v>155.31714285714287</v>
      </c>
      <c r="AA25" s="196">
        <f t="array" ref="AA25">IFERROR(
(AVERAGE((IF(DATOS_[[Sexo]:[Sexo]]=$B25,IF(DATOS_[[AGRUP. CLAS. PROF.]:[AGRUP. CLAS. PROF.]]=$B24,IF(DATOS_[[Check Periodo Ref.]:[Check Periodo Ref.]]="Dentro",IF(DATOS_[[Check Equiparado]:[Check Equiparado]]="Sí",IF(DATOS!AV$5="Sí",(1/DATOS_[[% anualiz]:[% anualiz]]),1)*IF(DATOS!AV$4="Sí",1/DATOS_[[% normaliz]:[% normaliz]],1)*(DATOS_[Conc.Sal.18])))))))),
0)</f>
        <v>119.67428571428572</v>
      </c>
      <c r="AB25" s="196">
        <f t="array" ref="AB25">IFERROR(
(AVERAGE((IF(DATOS_[[Sexo]:[Sexo]]=$B25,IF(DATOS_[[AGRUP. CLAS. PROF.]:[AGRUP. CLAS. PROF.]]=$B24,IF(DATOS_[[Check Periodo Ref.]:[Check Periodo Ref.]]="Dentro",IF(DATOS_[[Check Equiparado]:[Check Equiparado]]="Sí",IF(DATOS!AW$5="Sí",(1/DATOS_[[% anualiz]:[% anualiz]]),1)*IF(DATOS!AW$4="Sí",1/DATOS_[[% normaliz]:[% normaliz]],1)*(DATOS_[Conc.Sal.19])))))))),
0)</f>
        <v>367.05142857142857</v>
      </c>
      <c r="AC25" s="196">
        <f t="array" ref="AC25">IFERROR(
(AVERAGE((IF(DATOS_[[Sexo]:[Sexo]]=$B25,IF(DATOS_[[AGRUP. CLAS. PROF.]:[AGRUP. CLAS. PROF.]]=$B24,IF(DATOS_[[Check Periodo Ref.]:[Check Periodo Ref.]]="Dentro",IF(DATOS_[[Check Equiparado]:[Check Equiparado]]="Sí",IF(DATOS!AX$5="Sí",(1/DATOS_[[% anualiz]:[% anualiz]]),1)*IF(DATOS!AX$4="Sí",1/DATOS_[[% normaliz]:[% normaliz]],1)*(DATOS_[Conc.Sal.20])))))))),
0)</f>
        <v>150.3857142857143</v>
      </c>
      <c r="AD25" s="196">
        <f t="array" ref="AD25">IFERROR(
(AVERAGE((IF(DATOS_[[Sexo]:[Sexo]]=$B25,IF(DATOS_[[AGRUP. CLAS. PROF.]:[AGRUP. CLAS. PROF.]]=$B24,IF(DATOS_[[Check Periodo Ref.]:[Check Periodo Ref.]]="Dentro",IF(DATOS_[[Check Equiparado]:[Check Equiparado]]="Sí",IF(DATOS!AY$5="Sí",(1/DATOS_[[% anualiz]:[% anualiz]]),1)*IF(DATOS!AY$4="Sí",1/DATOS_[[% normaliz]:[% normaliz]],1)*(DATOS_[Conc.Sal.21])))))))),
0)</f>
        <v>1582.8428571428572</v>
      </c>
      <c r="AE25" s="196">
        <f t="array" ref="AE25">IFERROR(
(AVERAGE((IF(DATOS_[[Sexo]:[Sexo]]=$B25,IF(DATOS_[[AGRUP. CLAS. PROF.]:[AGRUP. CLAS. PROF.]]=$B24,IF(DATOS_[[Check Periodo Ref.]:[Check Periodo Ref.]]="Dentro",IF(DATOS_[[Check Equiparado]:[Check Equiparado]]="Sí",IF(DATOS!AZ$5="Sí",(1/DATOS_[[% anualiz]:[% anualiz]]),1)*IF(DATOS!AZ$4="Sí",1/DATOS_[[% normaliz]:[% normaliz]],1)*(DATOS_[Conc.Sal.22])))))))),
0)</f>
        <v>0</v>
      </c>
      <c r="AF25" s="196">
        <f t="array" ref="AF25">IFERROR(
(AVERAGE((IF(DATOS_[[Sexo]:[Sexo]]=$B25,IF(DATOS_[[AGRUP. CLAS. PROF.]:[AGRUP. CLAS. PROF.]]=$B24,IF(DATOS_[[Check Periodo Ref.]:[Check Periodo Ref.]]="Dentro",IF(DATOS_[[Check Equiparado]:[Check Equiparado]]="Sí",IF(DATOS!BA$5="Sí",(1/DATOS_[[% anualiz]:[% anualiz]]),1)*IF(DATOS!BA$4="Sí",1/DATOS_[[% normaliz]:[% normaliz]],1)*(DATOS_[Conc.Sal.23])))))))),
0)</f>
        <v>27.857142857142858</v>
      </c>
      <c r="AG25" s="196">
        <f t="array" ref="AG25">IFERROR(
(AVERAGE((IF(DATOS_[[Sexo]:[Sexo]]=$B25,IF(DATOS_[[AGRUP. CLAS. PROF.]:[AGRUP. CLAS. PROF.]]=$B24,IF(DATOS_[[Check Periodo Ref.]:[Check Periodo Ref.]]="Dentro",IF(DATOS_[[Check Equiparado]:[Check Equiparado]]="Sí",IF(DATOS!BB$5="Sí",(1/DATOS_[[% anualiz]:[% anualiz]]),1)*IF(DATOS!BB$4="Sí",1/DATOS_[[% normaliz]:[% normaliz]],1)*(DATOS_[Conc.Sal.24])))))))),
0)</f>
        <v>0</v>
      </c>
      <c r="AH25" s="196">
        <f t="array" ref="AH25">IFERROR(
(AVERAGE((IF(DATOS_[[Sexo]:[Sexo]]=$B25,IF(DATOS_[[AGRUP. CLAS. PROF.]:[AGRUP. CLAS. PROF.]]=$B24,IF(DATOS_[[Check Periodo Ref.]:[Check Periodo Ref.]]="Dentro",IF(DATOS_[[Check Equiparado]:[Check Equiparado]]="Sí",IF(DATOS!BC$5="Sí",(1/DATOS_[[% anualiz]:[% anualiz]]),1)*IF(DATOS!BC$4="Sí",1/DATOS_[[% normaliz]:[% normaliz]],1)*(DATOS_[Conc.Sal.25])))))))),
0)</f>
        <v>0</v>
      </c>
      <c r="AI25" s="196">
        <f t="array" ref="AI25">IFERROR(
(AVERAGE((IF(DATOS_[[Sexo]:[Sexo]]=$B25,IF(DATOS_[[AGRUP. CLAS. PROF.]:[AGRUP. CLAS. PROF.]]=$B24,IF(DATOS_[[Check Periodo Ref.]:[Check Periodo Ref.]]="Dentro",IF(DATOS_[[Check Equiparado]:[Check Equiparado]]="Sí",IF(DATOS!BD$5="Sí",(1/DATOS_[[% anualiz]:[% anualiz]]),1)*IF(DATOS!BD$4="Sí",1/DATOS_[[% normaliz]:[% normaliz]],1)*(DATOS_[Conc.Sal.26])))))))),
0)</f>
        <v>0</v>
      </c>
      <c r="AJ25" s="196">
        <f t="array" ref="AJ25">IFERROR(
(AVERAGE((IF(DATOS_[[Sexo]:[Sexo]]=$B25,IF(DATOS_[[AGRUP. CLAS. PROF.]:[AGRUP. CLAS. PROF.]]=$B24,IF(DATOS_[[Check Periodo Ref.]:[Check Periodo Ref.]]="Dentro",IF(DATOS_[[Check Equiparado]:[Check Equiparado]]="Sí",IF(DATOS!BE$5="Sí",(1/DATOS_[[% anualiz]:[% anualiz]]),1)*IF(DATOS!BE$4="Sí",1/DATOS_[[% normaliz]:[% normaliz]],1)*(DATOS_[Conc.Sal.27])))))))),
0)</f>
        <v>0</v>
      </c>
      <c r="AK25" s="196">
        <f t="array" ref="AK25">IFERROR(
(AVERAGE((IF(DATOS_[[Sexo]:[Sexo]]=$B25,IF(DATOS_[[AGRUP. CLAS. PROF.]:[AGRUP. CLAS. PROF.]]=$B24,IF(DATOS_[[Check Periodo Ref.]:[Check Periodo Ref.]]="Dentro",IF(DATOS_[[Check Equiparado]:[Check Equiparado]]="Sí",IF(DATOS!BF$5="Sí",(1/DATOS_[[% anualiz]:[% anualiz]]),1)*IF(DATOS!BF$4="Sí",1/DATOS_[[% normaliz]:[% normaliz]],1)*(DATOS_[Conc.Sal.28])))))))),
0)</f>
        <v>0</v>
      </c>
      <c r="AL25" s="196">
        <f t="array" ref="AL25">IFERROR(
(AVERAGE((IF(DATOS_[[Sexo]:[Sexo]]=$B25,IF(DATOS_[[AGRUP. CLAS. PROF.]:[AGRUP. CLAS. PROF.]]=$B24,IF(DATOS_[[Check Periodo Ref.]:[Check Periodo Ref.]]="Dentro",IF(DATOS_[[Check Equiparado]:[Check Equiparado]]="Sí",IF(DATOS!BG$5="Sí",(1/DATOS_[[% anualiz]:[% anualiz]]),1)*IF(DATOS!BG$4="Sí",1/DATOS_[[% normaliz]:[% normaliz]],1)*(DATOS_[Conc.Sal.29])))))))),
0)</f>
        <v>0</v>
      </c>
      <c r="AM25" s="196">
        <f t="array" ref="AM25">IFERROR(
(AVERAGE((IF(DATOS_[[Sexo]:[Sexo]]=$B25,IF(DATOS_[[AGRUP. CLAS. PROF.]:[AGRUP. CLAS. PROF.]]=$B24,IF(DATOS_[[Check Periodo Ref.]:[Check Periodo Ref.]]="Dentro",IF(DATOS_[[Check Equiparado]:[Check Equiparado]]="Sí",IF(DATOS!BH$5="Sí",(1/DATOS_[[% anualiz]:[% anualiz]]),1)*IF(DATOS!BH$4="Sí",1/DATOS_[[% normaliz]:[% normaliz]],1)*(DATOS_[Conc.Sal.30])))))))),
0)</f>
        <v>0</v>
      </c>
      <c r="AN25" s="195">
        <f t="array" ref="AN25">IFERROR(
AVERAGE(IF(DATOS_[Sexo]=$B25,IF(DATOS_[[AGRUP. CLAS. PROF.]:[AGRUP. CLAS. PROF.]]=$B24,IF(DATOS_[Check Equiparado]="Sí",IF(DATOS_[Check Periodo Ref.]="Dentro",DATOS_[Tot COMPL.SAL Eq],FALSE))))),
0)</f>
        <v>8772.130000000001</v>
      </c>
      <c r="AO25" s="172">
        <f t="array" ref="AO25">IFERROR(
AVERAGE(IF(DATOS_[Sexo]=$B25,IF(DATOS_[[AGRUP. CLAS. PROF.]:[AGRUP. CLAS. PROF.]]=$B24,IF(DATOS_[Check Equiparado]="Sí",IF(DATOS_[Check Periodo Ref.]="Dentro",DATOS_[TOTAL SALARIO Eq],FALSE))))),
0)</f>
        <v>20153.764285714286</v>
      </c>
      <c r="AP25" s="173">
        <f t="array" ref="AP25">IFERROR(
(AVERAGE((IF(DATOS_[[Sexo]:[Sexo]]=$B25,IF(DATOS_[[AGRUP. CLAS. PROF.]:[AGRUP. CLAS. PROF.]]=$B24,IF(DATOS_[[Check Periodo Ref.]:[Check Periodo Ref.]]="Dentro",IF(DATOS_[[Check Equiparado]:[Check Equiparado]]="Sí",IF(DATOS!BW$5="Sí",(1/DATOS_[[% anualiz]:[% anualiz]]),1)*IF(DATOS!BW$4="Sí",1/DATOS_[[% normaliz]:[% normaliz]],1)*(DATOS_[C.Extra.01])))))))),
0)</f>
        <v>0</v>
      </c>
      <c r="AQ25" s="173">
        <f t="array" ref="AQ25">IFERROR(
(AVERAGE((IF(DATOS_[[Sexo]:[Sexo]]=$B25,IF(DATOS_[[AGRUP. CLAS. PROF.]:[AGRUP. CLAS. PROF.]]=$B24,IF(DATOS_[[Check Periodo Ref.]:[Check Periodo Ref.]]="Dentro",IF(DATOS_[[Check Equiparado]:[Check Equiparado]]="Sí",IF(DATOS!CB$5="Sí",(1/DATOS_[[% anualiz]:[% anualiz]]),1)*IF(DATOS!CB$4="Sí",1/DATOS_[[% normaliz]:[% normaliz]],1)*(DATOS_[C.Extra.06])))))))),
0)</f>
        <v>0</v>
      </c>
      <c r="AR25" s="173">
        <f t="array" ref="AR25">IFERROR(
(AVERAGE((IF(DATOS_[[Sexo]:[Sexo]]=$B25,IF(DATOS_[[AGRUP. CLAS. PROF.]:[AGRUP. CLAS. PROF.]]=$B24,IF(DATOS_[[Check Periodo Ref.]:[Check Periodo Ref.]]="Dentro",IF(DATOS_[[Check Equiparado]:[Check Equiparado]]="Sí",IF(DATOS!CC$5="Sí",(1/DATOS_[[% anualiz]:[% anualiz]]),1)*IF(DATOS!CC$4="Sí",1/DATOS_[[% normaliz]:[% normaliz]],1)*(DATOS_[C.Extra.07])))))))),
0)</f>
        <v>0</v>
      </c>
      <c r="AS25" s="173">
        <f t="array" ref="AS25">IFERROR(
(AVERAGE((IF(DATOS_[[Sexo]:[Sexo]]=$B25,IF(DATOS_[[AGRUP. CLAS. PROF.]:[AGRUP. CLAS. PROF.]]=$B24,IF(DATOS_[[Check Periodo Ref.]:[Check Periodo Ref.]]="Dentro",IF(DATOS_[[Check Equiparado]:[Check Equiparado]]="Sí",IF(DATOS!CD$5="Sí",(1/DATOS_[[% anualiz]:[% anualiz]]),1)*IF(DATOS!CD$4="Sí",1/DATOS_[[% normaliz]:[% normaliz]],1)*(DATOS_[C.Extra.08])))))))),
0)</f>
        <v>0</v>
      </c>
      <c r="AT25" s="173">
        <f t="array" ref="AT25">IFERROR(
(AVERAGE((IF(DATOS_[[Sexo]:[Sexo]]=$B25,IF(DATOS_[[AGRUP. CLAS. PROF.]:[AGRUP. CLAS. PROF.]]=$B24,IF(DATOS_[[Check Periodo Ref.]:[Check Periodo Ref.]]="Dentro",IF(DATOS_[[Check Equiparado]:[Check Equiparado]]="Sí",IF(DATOS!CG$5="Sí",(1/DATOS_[[% anualiz]:[% anualiz]]),1)*IF(DATOS!CG$4="Sí",1/DATOS_[[% normaliz]:[% normaliz]],1)*(DATOS_[C.Extra.11])))))))),
0)</f>
        <v>0</v>
      </c>
      <c r="AU25" s="197">
        <f t="array" ref="AU25">IFERROR(
AVERAGE(IF(DATOS_[Sexo]=$B25,IF(DATOS_[[AGRUP. CLAS. PROF.]:[AGRUP. CLAS. PROF.]]=$B24,IF(DATOS_[Check Equiparado]="Sí",IF(DATOS_[Check Periodo Ref.]="Dentro",DATOS_[Tot Extrasalarial Eq],FALSE))))),
0)</f>
        <v>2223.6700000000005</v>
      </c>
      <c r="AV25" s="175">
        <f t="array" ref="AV25">IFERROR(
AVERAGE(IF(DATOS_[Sexo]=$B25,IF(DATOS_[[AGRUP. CLAS. PROF.]:[AGRUP. CLAS. PROF.]]=$B24,IF(DATOS_[Check Equiparado]="Sí",IF(DATOS_[Check Periodo Ref.]="Dentro",DATOS_[TOTAL Retrib Eq],FALSE))))),
0)</f>
        <v>22377.434285714284</v>
      </c>
    </row>
    <row r="26" spans="1:48" x14ac:dyDescent="0.25">
      <c r="A26" s="133" t="str">
        <f t="shared" ref="A26" si="18">+A25</f>
        <v/>
      </c>
      <c r="B26" s="202" t="s">
        <v>521</v>
      </c>
      <c r="C26" s="203">
        <f t="array" ref="C26">SUM(IF($B26=DATOS_[Sexo],
IF($B24=DATOS_[AGRUP. CLAS. PROF.],
IF("Dentro"=DATOS_[Check Periodo Ref.],
1/(COUNTIFS(DATOS_[Sexo],$B26,DATOS_[AGRUP. CLAS. PROF.],$B24,DATOS_[Check Periodo Ref.],"Dentro",DATOS_[id/cod],DATOS_[id/cod]))))))</f>
        <v>13</v>
      </c>
      <c r="D26" s="204">
        <f>COUNTIFS(DATOS_[AGRUP. CLAS. PROF.],$B24,DATOS_[Sexo],$B26,DATOS_[Check Periodo Ref.],"Dentro")</f>
        <v>13</v>
      </c>
      <c r="E26" s="204">
        <f>COUNTIFS(DATOS_[AGRUP. CLAS. PROF.],$B24,DATOS_[Sexo],$B26,DATOS_[Check Periodo Ref.],"Dentro",DATOS_[Check Nº SC Norm],"Sí")</f>
        <v>1</v>
      </c>
      <c r="F26" s="204">
        <f>COUNTIFS(DATOS_[AGRUP. CLAS. PROF.],$B24,DATOS_[Sexo],$B26,DATOS_[Check Periodo Ref.],"Dentro",DATOS_[Check Nº SC Anualiz],"Sí")</f>
        <v>8</v>
      </c>
      <c r="G26" s="204">
        <f>COUNTIFS(DATOS_[AGRUP. CLAS. PROF.],$B24,DATOS_[Sexo],$B26,DATOS_[Check Periodo Ref.],"Dentro",DATOS_[Check Nº SC Norm y Anualiz],"Sí")</f>
        <v>0</v>
      </c>
      <c r="H26" s="204">
        <f>COUNTIFS(DATOS_[AGRUP. CLAS. PROF.],$B24,DATOS_[Sexo],$B26,DATOS_[Check Periodo Ref.],"Dentro",DATOS_[Check Equiparación],"Sí")</f>
        <v>9</v>
      </c>
      <c r="I26" s="195" cm="1">
        <f t="array" ref="I26">IFERROR(
AVERAGE(IF(DATOS_[Sexo]=$B26,IF(DATOS_[[AGRUP. CLAS. PROF.]:[AGRUP. CLAS. PROF.]]=$B24,IF(DATOS_[Check Equiparado]="Sí",IF(DATOS_[Check Periodo Ref.]="Dentro",DATOS_[SALARIO BASE Eq],FALSE))))),
0)</f>
        <v>14144.476385135275</v>
      </c>
      <c r="J26" s="196">
        <f t="array" ref="J26">IFERROR(
(AVERAGE((IF(DATOS_[[Sexo]:[Sexo]]=$B26,IF(DATOS_[[AGRUP. CLAS. PROF.]:[AGRUP. CLAS. PROF.]]=$B24,IF(DATOS_[[Check Periodo Ref.]:[Check Periodo Ref.]]="Dentro",IF(DATOS_[[Check Equiparado]:[Check Equiparado]]="Sí",IF(DATOS!AE$5="Sí",(1/DATOS_[[% anualiz]:[% anualiz]]),1)*IF(DATOS!AE$4="Sí",1/DATOS_[[% normaliz]:[% normaliz]],1)*(DATOS_[Conc.Sal.01])))))))),
0)</f>
        <v>97.553113553113548</v>
      </c>
      <c r="K26" s="196">
        <f t="array" ref="K26">IFERROR(
(AVERAGE((IF(DATOS_[[Sexo]:[Sexo]]=$B26,IF(DATOS_[[AGRUP. CLAS. PROF.]:[AGRUP. CLAS. PROF.]]=$B24,IF(DATOS_[[Check Periodo Ref.]:[Check Periodo Ref.]]="Dentro",IF(DATOS_[[Check Equiparado]:[Check Equiparado]]="Sí",IF(DATOS!AF$5="Sí",(1/DATOS_[[% anualiz]:[% anualiz]]),1)*IF(DATOS!AF$4="Sí",1/DATOS_[[% normaliz]:[% normaliz]],1)*(DATOS_[Conc.Sal.02])))))))),
0)</f>
        <v>35.852368210158076</v>
      </c>
      <c r="L26" s="196">
        <f t="array" ref="L26">IFERROR(
(AVERAGE((IF(DATOS_[[Sexo]:[Sexo]]=$B26,IF(DATOS_[[AGRUP. CLAS. PROF.]:[AGRUP. CLAS. PROF.]]=$B24,IF(DATOS_[[Check Periodo Ref.]:[Check Periodo Ref.]]="Dentro",IF(DATOS_[[Check Equiparado]:[Check Equiparado]]="Sí",IF(DATOS!AG$5="Sí",(1/DATOS_[[% anualiz]:[% anualiz]]),1)*IF(DATOS!AG$4="Sí",1/DATOS_[[% normaliz]:[% normaliz]],1)*(DATOS_[Conc.Sal.03])))))))),
0)</f>
        <v>1408.8883258068183</v>
      </c>
      <c r="M26" s="196">
        <f t="array" ref="M26">IFERROR(
(AVERAGE((IF(DATOS_[[Sexo]:[Sexo]]=$B26,IF(DATOS_[[AGRUP. CLAS. PROF.]:[AGRUP. CLAS. PROF.]]=$B24,IF(DATOS_[[Check Periodo Ref.]:[Check Periodo Ref.]]="Dentro",IF(DATOS_[[Check Equiparado]:[Check Equiparado]]="Sí",IF(DATOS!AH$5="Sí",(1/DATOS_[[% anualiz]:[% anualiz]]),1)*IF(DATOS!AH$4="Sí",1/DATOS_[[% normaliz]:[% normaliz]],1)*(DATOS_[Conc.Sal.04])))))))),
0)</f>
        <v>512.52571428571423</v>
      </c>
      <c r="N26" s="196">
        <f t="array" ref="N26">IFERROR(
(AVERAGE((IF(DATOS_[[Sexo]:[Sexo]]=$B26,IF(DATOS_[[AGRUP. CLAS. PROF.]:[AGRUP. CLAS. PROF.]]=$B24,IF(DATOS_[[Check Periodo Ref.]:[Check Periodo Ref.]]="Dentro",IF(DATOS_[[Check Equiparado]:[Check Equiparado]]="Sí",IF(DATOS!AI$5="Sí",(1/DATOS_[[% anualiz]:[% anualiz]]),1)*IF(DATOS!AI$4="Sí",1/DATOS_[[% normaliz]:[% normaliz]],1)*(DATOS_[Conc.Sal.05])))))))),
0)</f>
        <v>133.2095238095238</v>
      </c>
      <c r="O26" s="196">
        <f t="array" ref="O26">IFERROR(
(AVERAGE((IF(DATOS_[[Sexo]:[Sexo]]=$B26,IF(DATOS_[[AGRUP. CLAS. PROF.]:[AGRUP. CLAS. PROF.]]=$B24,IF(DATOS_[[Check Periodo Ref.]:[Check Periodo Ref.]]="Dentro",IF(DATOS_[[Check Equiparado]:[Check Equiparado]]="Sí",IF(DATOS!AJ$5="Sí",(1/DATOS_[[% anualiz]:[% anualiz]]),1)*IF(DATOS!AJ$4="Sí",1/DATOS_[[% normaliz]:[% normaliz]],1)*(DATOS_[Conc.Sal.06])))))))),
0)</f>
        <v>1490.19938451397</v>
      </c>
      <c r="P26" s="196">
        <f t="array" ref="P26">IFERROR(
(AVERAGE((IF(DATOS_[[Sexo]:[Sexo]]=$B26,IF(DATOS_[[AGRUP. CLAS. PROF.]:[AGRUP. CLAS. PROF.]]=$B24,IF(DATOS_[[Check Periodo Ref.]:[Check Periodo Ref.]]="Dentro",IF(DATOS_[[Check Equiparado]:[Check Equiparado]]="Sí",IF(DATOS!AK$5="Sí",(1/DATOS_[[% anualiz]:[% anualiz]]),1)*IF(DATOS!AK$4="Sí",1/DATOS_[[% normaliz]:[% normaliz]],1)*(DATOS_[Conc.Sal.07])))))))),
0)</f>
        <v>120.88461538461539</v>
      </c>
      <c r="Q26" s="196">
        <f t="array" ref="Q26">IFERROR(
(AVERAGE((IF(DATOS_[[Sexo]:[Sexo]]=$B26,IF(DATOS_[[AGRUP. CLAS. PROF.]:[AGRUP. CLAS. PROF.]]=$B24,IF(DATOS_[[Check Periodo Ref.]:[Check Periodo Ref.]]="Dentro",IF(DATOS_[[Check Equiparado]:[Check Equiparado]]="Sí",IF(DATOS!AL$5="Sí",(1/DATOS_[[% anualiz]:[% anualiz]]),1)*IF(DATOS!AL$4="Sí",1/DATOS_[[% normaliz]:[% normaliz]],1)*(DATOS_[Conc.Sal.08])))))))),
0)</f>
        <v>173.48032967032967</v>
      </c>
      <c r="R26" s="196">
        <f t="array" ref="R26">IFERROR(
(AVERAGE((IF(DATOS_[[Sexo]:[Sexo]]=$B26,IF(DATOS_[[AGRUP. CLAS. PROF.]:[AGRUP. CLAS. PROF.]]=$B24,IF(DATOS_[[Check Periodo Ref.]:[Check Periodo Ref.]]="Dentro",IF(DATOS_[[Check Equiparado]:[Check Equiparado]]="Sí",IF(DATOS!AM$5="Sí",(1/DATOS_[[% anualiz]:[% anualiz]]),1)*IF(DATOS!AM$4="Sí",1/DATOS_[[% normaliz]:[% normaliz]],1)*(DATOS_[Conc.Sal.09])))))))),
0)</f>
        <v>219.33010989010987</v>
      </c>
      <c r="S26" s="196">
        <f t="array" ref="S26">IFERROR(
(AVERAGE((IF(DATOS_[[Sexo]:[Sexo]]=$B26,IF(DATOS_[[AGRUP. CLAS. PROF.]:[AGRUP. CLAS. PROF.]]=$B24,IF(DATOS_[[Check Periodo Ref.]:[Check Periodo Ref.]]="Dentro",IF(DATOS_[[Check Equiparado]:[Check Equiparado]]="Sí",IF(DATOS!AN$5="Sí",(1/DATOS_[[% anualiz]:[% anualiz]]),1)*IF(DATOS!AN$4="Sí",1/DATOS_[[% normaliz]:[% normaliz]],1)*(DATOS_[Conc.Sal.10])))))))),
0)</f>
        <v>472.27890645939431</v>
      </c>
      <c r="T26" s="196">
        <f t="array" ref="T26">IFERROR(
(AVERAGE((IF(DATOS_[[Sexo]:[Sexo]]=$B26,IF(DATOS_[[AGRUP. CLAS. PROF.]:[AGRUP. CLAS. PROF.]]=$B24,IF(DATOS_[[Check Periodo Ref.]:[Check Periodo Ref.]]="Dentro",IF(DATOS_[[Check Equiparado]:[Check Equiparado]]="Sí",IF(DATOS!AO$5="Sí",(1/DATOS_[[% anualiz]:[% anualiz]]),1)*IF(DATOS!AO$4="Sí",1/DATOS_[[% normaliz]:[% normaliz]],1)*(DATOS_[Conc.Sal.11])))))))),
0)</f>
        <v>889.06329052981368</v>
      </c>
      <c r="U26" s="196">
        <f t="array" ref="U26">IFERROR(
(AVERAGE((IF(DATOS_[[Sexo]:[Sexo]]=$B26,IF(DATOS_[[AGRUP. CLAS. PROF.]:[AGRUP. CLAS. PROF.]]=$B24,IF(DATOS_[[Check Periodo Ref.]:[Check Periodo Ref.]]="Dentro",IF(DATOS_[[Check Equiparado]:[Check Equiparado]]="Sí",IF(DATOS!AP$5="Sí",(1/DATOS_[[% anualiz]:[% anualiz]]),1)*IF(DATOS!AP$4="Sí",1/DATOS_[[% normaliz]:[% normaliz]],1)*(DATOS_[Conc.Sal.12])))))))),
0)</f>
        <v>87.092307692307699</v>
      </c>
      <c r="V26" s="196">
        <f t="array" ref="V26">IFERROR(
(AVERAGE((IF(DATOS_[[Sexo]:[Sexo]]=$B26,IF(DATOS_[[AGRUP. CLAS. PROF.]:[AGRUP. CLAS. PROF.]]=$B24,IF(DATOS_[[Check Periodo Ref.]:[Check Periodo Ref.]]="Dentro",IF(DATOS_[[Check Equiparado]:[Check Equiparado]]="Sí",IF(DATOS!AQ$5="Sí",(1/DATOS_[[% anualiz]:[% anualiz]]),1)*IF(DATOS!AQ$4="Sí",1/DATOS_[[% normaliz]:[% normaliz]],1)*(DATOS_[Conc.Sal.13])))))))),
0)</f>
        <v>57.692307692307693</v>
      </c>
      <c r="W26" s="196">
        <f t="array" ref="W26">IFERROR(
(AVERAGE((IF(DATOS_[[Sexo]:[Sexo]]=$B26,IF(DATOS_[[AGRUP. CLAS. PROF.]:[AGRUP. CLAS. PROF.]]=$B24,IF(DATOS_[[Check Periodo Ref.]:[Check Periodo Ref.]]="Dentro",IF(DATOS_[[Check Equiparado]:[Check Equiparado]]="Sí",IF(DATOS!AR$5="Sí",(1/DATOS_[[% anualiz]:[% anualiz]]),1)*IF(DATOS!AR$4="Sí",1/DATOS_[[% normaliz]:[% normaliz]],1)*(DATOS_[Conc.Sal.14])))))))),
0)</f>
        <v>47.07692307692308</v>
      </c>
      <c r="X26" s="196">
        <f t="array" ref="X26">IFERROR(
(AVERAGE((IF(DATOS_[[Sexo]:[Sexo]]=$B26,IF(DATOS_[[AGRUP. CLAS. PROF.]:[AGRUP. CLAS. PROF.]]=$B24,IF(DATOS_[[Check Periodo Ref.]:[Check Periodo Ref.]]="Dentro",IF(DATOS_[[Check Equiparado]:[Check Equiparado]]="Sí",IF(DATOS!AS$5="Sí",(1/DATOS_[[% anualiz]:[% anualiz]]),1)*IF(DATOS!AS$4="Sí",1/DATOS_[[% normaliz]:[% normaliz]],1)*(DATOS_[Conc.Sal.15])))))))),
0)</f>
        <v>194.61131707317074</v>
      </c>
      <c r="Y26" s="196">
        <f t="array" ref="Y26">IFERROR(
(AVERAGE((IF(DATOS_[[Sexo]:[Sexo]]=$B26,IF(DATOS_[[AGRUP. CLAS. PROF.]:[AGRUP. CLAS. PROF.]]=$B24,IF(DATOS_[[Check Periodo Ref.]:[Check Periodo Ref.]]="Dentro",IF(DATOS_[[Check Equiparado]:[Check Equiparado]]="Sí",IF(DATOS!AT$5="Sí",(1/DATOS_[[% anualiz]:[% anualiz]]),1)*IF(DATOS!AT$4="Sí",1/DATOS_[[% normaliz]:[% normaliz]],1)*(DATOS_[Conc.Sal.16])))))))),
0)</f>
        <v>2762.4660966029219</v>
      </c>
      <c r="Z26" s="196">
        <f t="array" ref="Z26">IFERROR(
(AVERAGE((IF(DATOS_[[Sexo]:[Sexo]]=$B26,IF(DATOS_[[AGRUP. CLAS. PROF.]:[AGRUP. CLAS. PROF.]]=$B24,IF(DATOS_[[Check Periodo Ref.]:[Check Periodo Ref.]]="Dentro",IF(DATOS_[[Check Equiparado]:[Check Equiparado]]="Sí",IF(DATOS!AU$5="Sí",(1/DATOS_[[% anualiz]:[% anualiz]]),1)*IF(DATOS!AU$4="Sí",1/DATOS_[[% normaliz]:[% normaliz]],1)*(DATOS_[Conc.Sal.17])))))))),
0)</f>
        <v>15.501538461538463</v>
      </c>
      <c r="AA26" s="196">
        <f t="array" ref="AA26">IFERROR(
(AVERAGE((IF(DATOS_[[Sexo]:[Sexo]]=$B26,IF(DATOS_[[AGRUP. CLAS. PROF.]:[AGRUP. CLAS. PROF.]]=$B24,IF(DATOS_[[Check Periodo Ref.]:[Check Periodo Ref.]]="Dentro",IF(DATOS_[[Check Equiparado]:[Check Equiparado]]="Sí",IF(DATOS!AV$5="Sí",(1/DATOS_[[% anualiz]:[% anualiz]]),1)*IF(DATOS!AV$4="Sí",1/DATOS_[[% normaliz]:[% normaliz]],1)*(DATOS_[Conc.Sal.18])))))))),
0)</f>
        <v>2.7838461538461536</v>
      </c>
      <c r="AB26" s="196">
        <f t="array" ref="AB26">IFERROR(
(AVERAGE((IF(DATOS_[[Sexo]:[Sexo]]=$B26,IF(DATOS_[[AGRUP. CLAS. PROF.]:[AGRUP. CLAS. PROF.]]=$B24,IF(DATOS_[[Check Periodo Ref.]:[Check Periodo Ref.]]="Dentro",IF(DATOS_[[Check Equiparado]:[Check Equiparado]]="Sí",IF(DATOS!AW$5="Sí",(1/DATOS_[[% anualiz]:[% anualiz]]),1)*IF(DATOS!AW$4="Sí",1/DATOS_[[% normaliz]:[% normaliz]],1)*(DATOS_[Conc.Sal.19])))))))),
0)</f>
        <v>10</v>
      </c>
      <c r="AC26" s="196">
        <f t="array" ref="AC26">IFERROR(
(AVERAGE((IF(DATOS_[[Sexo]:[Sexo]]=$B26,IF(DATOS_[[AGRUP. CLAS. PROF.]:[AGRUP. CLAS. PROF.]]=$B24,IF(DATOS_[[Check Periodo Ref.]:[Check Periodo Ref.]]="Dentro",IF(DATOS_[[Check Equiparado]:[Check Equiparado]]="Sí",IF(DATOS!AX$5="Sí",(1/DATOS_[[% anualiz]:[% anualiz]]),1)*IF(DATOS!AX$4="Sí",1/DATOS_[[% normaliz]:[% normaliz]],1)*(DATOS_[Conc.Sal.20])))))))),
0)</f>
        <v>1183.2467359667357</v>
      </c>
      <c r="AD26" s="196">
        <f t="array" ref="AD26">IFERROR(
(AVERAGE((IF(DATOS_[[Sexo]:[Sexo]]=$B26,IF(DATOS_[[AGRUP. CLAS. PROF.]:[AGRUP. CLAS. PROF.]]=$B24,IF(DATOS_[[Check Periodo Ref.]:[Check Periodo Ref.]]="Dentro",IF(DATOS_[[Check Equiparado]:[Check Equiparado]]="Sí",IF(DATOS!AY$5="Sí",(1/DATOS_[[% anualiz]:[% anualiz]]),1)*IF(DATOS!AY$4="Sí",1/DATOS_[[% normaliz]:[% normaliz]],1)*(DATOS_[Conc.Sal.21])))))))),
0)</f>
        <v>569.54999999999995</v>
      </c>
      <c r="AE26" s="196">
        <f t="array" ref="AE26">IFERROR(
(AVERAGE((IF(DATOS_[[Sexo]:[Sexo]]=$B26,IF(DATOS_[[AGRUP. CLAS. PROF.]:[AGRUP. CLAS. PROF.]]=$B24,IF(DATOS_[[Check Periodo Ref.]:[Check Periodo Ref.]]="Dentro",IF(DATOS_[[Check Equiparado]:[Check Equiparado]]="Sí",IF(DATOS!AZ$5="Sí",(1/DATOS_[[% anualiz]:[% anualiz]]),1)*IF(DATOS!AZ$4="Sí",1/DATOS_[[% normaliz]:[% normaliz]],1)*(DATOS_[Conc.Sal.22])))))))),
0)</f>
        <v>8.5638461538461534</v>
      </c>
      <c r="AF26" s="196">
        <f t="array" ref="AF26">IFERROR(
(AVERAGE((IF(DATOS_[[Sexo]:[Sexo]]=$B26,IF(DATOS_[[AGRUP. CLAS. PROF.]:[AGRUP. CLAS. PROF.]]=$B24,IF(DATOS_[[Check Periodo Ref.]:[Check Periodo Ref.]]="Dentro",IF(DATOS_[[Check Equiparado]:[Check Equiparado]]="Sí",IF(DATOS!BA$5="Sí",(1/DATOS_[[% anualiz]:[% anualiz]]),1)*IF(DATOS!BA$4="Sí",1/DATOS_[[% normaliz]:[% normaliz]],1)*(DATOS_[Conc.Sal.23])))))))),
0)</f>
        <v>30</v>
      </c>
      <c r="AG26" s="196">
        <f t="array" ref="AG26">IFERROR(
(AVERAGE((IF(DATOS_[[Sexo]:[Sexo]]=$B26,IF(DATOS_[[AGRUP. CLAS. PROF.]:[AGRUP. CLAS. PROF.]]=$B24,IF(DATOS_[[Check Periodo Ref.]:[Check Periodo Ref.]]="Dentro",IF(DATOS_[[Check Equiparado]:[Check Equiparado]]="Sí",IF(DATOS!BB$5="Sí",(1/DATOS_[[% anualiz]:[% anualiz]]),1)*IF(DATOS!BB$4="Sí",1/DATOS_[[% normaliz]:[% normaliz]],1)*(DATOS_[Conc.Sal.24])))))))),
0)</f>
        <v>0</v>
      </c>
      <c r="AH26" s="196">
        <f t="array" ref="AH26">IFERROR(
(AVERAGE((IF(DATOS_[[Sexo]:[Sexo]]=$B26,IF(DATOS_[[AGRUP. CLAS. PROF.]:[AGRUP. CLAS. PROF.]]=$B24,IF(DATOS_[[Check Periodo Ref.]:[Check Periodo Ref.]]="Dentro",IF(DATOS_[[Check Equiparado]:[Check Equiparado]]="Sí",IF(DATOS!BC$5="Sí",(1/DATOS_[[% anualiz]:[% anualiz]]),1)*IF(DATOS!BC$4="Sí",1/DATOS_[[% normaliz]:[% normaliz]],1)*(DATOS_[Conc.Sal.25])))))))),
0)</f>
        <v>0</v>
      </c>
      <c r="AI26" s="196">
        <f t="array" ref="AI26">IFERROR(
(AVERAGE((IF(DATOS_[[Sexo]:[Sexo]]=$B26,IF(DATOS_[[AGRUP. CLAS. PROF.]:[AGRUP. CLAS. PROF.]]=$B24,IF(DATOS_[[Check Periodo Ref.]:[Check Periodo Ref.]]="Dentro",IF(DATOS_[[Check Equiparado]:[Check Equiparado]]="Sí",IF(DATOS!BD$5="Sí",(1/DATOS_[[% anualiz]:[% anualiz]]),1)*IF(DATOS!BD$4="Sí",1/DATOS_[[% normaliz]:[% normaliz]],1)*(DATOS_[Conc.Sal.26])))))))),
0)</f>
        <v>0</v>
      </c>
      <c r="AJ26" s="196">
        <f t="array" ref="AJ26">IFERROR(
(AVERAGE((IF(DATOS_[[Sexo]:[Sexo]]=$B26,IF(DATOS_[[AGRUP. CLAS. PROF.]:[AGRUP. CLAS. PROF.]]=$B24,IF(DATOS_[[Check Periodo Ref.]:[Check Periodo Ref.]]="Dentro",IF(DATOS_[[Check Equiparado]:[Check Equiparado]]="Sí",IF(DATOS!BE$5="Sí",(1/DATOS_[[% anualiz]:[% anualiz]]),1)*IF(DATOS!BE$4="Sí",1/DATOS_[[% normaliz]:[% normaliz]],1)*(DATOS_[Conc.Sal.27])))))))),
0)</f>
        <v>0</v>
      </c>
      <c r="AK26" s="196">
        <f t="array" ref="AK26">IFERROR(
(AVERAGE((IF(DATOS_[[Sexo]:[Sexo]]=$B26,IF(DATOS_[[AGRUP. CLAS. PROF.]:[AGRUP. CLAS. PROF.]]=$B24,IF(DATOS_[[Check Periodo Ref.]:[Check Periodo Ref.]]="Dentro",IF(DATOS_[[Check Equiparado]:[Check Equiparado]]="Sí",IF(DATOS!BF$5="Sí",(1/DATOS_[[% anualiz]:[% anualiz]]),1)*IF(DATOS!BF$4="Sí",1/DATOS_[[% normaliz]:[% normaliz]],1)*(DATOS_[Conc.Sal.28])))))))),
0)</f>
        <v>0</v>
      </c>
      <c r="AL26" s="196">
        <f t="array" ref="AL26">IFERROR(
(AVERAGE((IF(DATOS_[[Sexo]:[Sexo]]=$B26,IF(DATOS_[[AGRUP. CLAS. PROF.]:[AGRUP. CLAS. PROF.]]=$B24,IF(DATOS_[[Check Periodo Ref.]:[Check Periodo Ref.]]="Dentro",IF(DATOS_[[Check Equiparado]:[Check Equiparado]]="Sí",IF(DATOS!BG$5="Sí",(1/DATOS_[[% anualiz]:[% anualiz]]),1)*IF(DATOS!BG$4="Sí",1/DATOS_[[% normaliz]:[% normaliz]],1)*(DATOS_[Conc.Sal.29])))))))),
0)</f>
        <v>0</v>
      </c>
      <c r="AM26" s="196">
        <f t="array" ref="AM26">IFERROR(
(AVERAGE((IF(DATOS_[[Sexo]:[Sexo]]=$B26,IF(DATOS_[[AGRUP. CLAS. PROF.]:[AGRUP. CLAS. PROF.]]=$B24,IF(DATOS_[[Check Periodo Ref.]:[Check Periodo Ref.]]="Dentro",IF(DATOS_[[Check Equiparado]:[Check Equiparado]]="Sí",IF(DATOS!BH$5="Sí",(1/DATOS_[[% anualiz]:[% anualiz]]),1)*IF(DATOS!BH$4="Sí",1/DATOS_[[% normaliz]:[% normaliz]],1)*(DATOS_[Conc.Sal.30])))))))),
0)</f>
        <v>0</v>
      </c>
      <c r="AN26" s="195">
        <f t="array" ref="AN26">IFERROR(
AVERAGE(IF(DATOS_[Sexo]=$B26,IF(DATOS_[[AGRUP. CLAS. PROF.]:[AGRUP. CLAS. PROF.]]=$B24,IF(DATOS_[Check Equiparado]="Sí",IF(DATOS_[Check Periodo Ref.]="Dentro",DATOS_[Tot COMPL.SAL Eq],FALSE))))),
0)</f>
        <v>7523.4254950033746</v>
      </c>
      <c r="AO26" s="172">
        <f t="array" ref="AO26">IFERROR(
AVERAGE(IF(DATOS_[Sexo]=$B26,IF(DATOS_[[AGRUP. CLAS. PROF.]:[AGRUP. CLAS. PROF.]]=$B24,IF(DATOS_[Check Equiparado]="Sí",IF(DATOS_[Check Periodo Ref.]="Dentro",DATOS_[TOTAL SALARIO Eq],FALSE))))),
0)</f>
        <v>21667.901880138645</v>
      </c>
      <c r="AP26" s="173">
        <f t="array" ref="AP26">IFERROR(
(AVERAGE((IF(DATOS_[[Sexo]:[Sexo]]=$B26,IF(DATOS_[[AGRUP. CLAS. PROF.]:[AGRUP. CLAS. PROF.]]=$B24,IF(DATOS_[[Check Periodo Ref.]:[Check Periodo Ref.]]="Dentro",IF(DATOS_[[Check Equiparado]:[Check Equiparado]]="Sí",IF(DATOS!BW$5="Sí",(1/DATOS_[[% anualiz]:[% anualiz]]),1)*IF(DATOS!BW$4="Sí",1/DATOS_[[% normaliz]:[% normaliz]],1)*(DATOS_[C.Extra.01])))))))),
0)</f>
        <v>0</v>
      </c>
      <c r="AQ26" s="173">
        <f t="array" ref="AQ26">IFERROR(
(AVERAGE((IF(DATOS_[[Sexo]:[Sexo]]=$B26,IF(DATOS_[[AGRUP. CLAS. PROF.]:[AGRUP. CLAS. PROF.]]=$B24,IF(DATOS_[[Check Periodo Ref.]:[Check Periodo Ref.]]="Dentro",IF(DATOS_[[Check Equiparado]:[Check Equiparado]]="Sí",IF(DATOS!CB$5="Sí",(1/DATOS_[[% anualiz]:[% anualiz]]),1)*IF(DATOS!CB$4="Sí",1/DATOS_[[% normaliz]:[% normaliz]],1)*(DATOS_[C.Extra.06])))))))),
0)</f>
        <v>0</v>
      </c>
      <c r="AR26" s="173">
        <f t="array" ref="AR26">IFERROR(
(AVERAGE((IF(DATOS_[[Sexo]:[Sexo]]=$B26,IF(DATOS_[[AGRUP. CLAS. PROF.]:[AGRUP. CLAS. PROF.]]=$B24,IF(DATOS_[[Check Periodo Ref.]:[Check Periodo Ref.]]="Dentro",IF(DATOS_[[Check Equiparado]:[Check Equiparado]]="Sí",IF(DATOS!CC$5="Sí",(1/DATOS_[[% anualiz]:[% anualiz]]),1)*IF(DATOS!CC$4="Sí",1/DATOS_[[% normaliz]:[% normaliz]],1)*(DATOS_[C.Extra.07])))))))),
0)</f>
        <v>0</v>
      </c>
      <c r="AS26" s="173">
        <f t="array" ref="AS26">IFERROR(
(AVERAGE((IF(DATOS_[[Sexo]:[Sexo]]=$B26,IF(DATOS_[[AGRUP. CLAS. PROF.]:[AGRUP. CLAS. PROF.]]=$B24,IF(DATOS_[[Check Periodo Ref.]:[Check Periodo Ref.]]="Dentro",IF(DATOS_[[Check Equiparado]:[Check Equiparado]]="Sí",IF(DATOS!CD$5="Sí",(1/DATOS_[[% anualiz]:[% anualiz]]),1)*IF(DATOS!CD$4="Sí",1/DATOS_[[% normaliz]:[% normaliz]],1)*(DATOS_[C.Extra.08])))))))),
0)</f>
        <v>0</v>
      </c>
      <c r="AT26" s="173">
        <f t="array" ref="AT26">IFERROR(
(AVERAGE((IF(DATOS_[[Sexo]:[Sexo]]=$B26,IF(DATOS_[[AGRUP. CLAS. PROF.]:[AGRUP. CLAS. PROF.]]=$B24,IF(DATOS_[[Check Periodo Ref.]:[Check Periodo Ref.]]="Dentro",IF(DATOS_[[Check Equiparado]:[Check Equiparado]]="Sí",IF(DATOS!CG$5="Sí",(1/DATOS_[[% anualiz]:[% anualiz]]),1)*IF(DATOS!CG$4="Sí",1/DATOS_[[% normaliz]:[% normaliz]],1)*(DATOS_[C.Extra.11])))))))),
0)</f>
        <v>0</v>
      </c>
      <c r="AU26" s="197">
        <f t="array" ref="AU26">IFERROR(
AVERAGE(IF(DATOS_[Sexo]=$B26,IF(DATOS_[[AGRUP. CLAS. PROF.]:[AGRUP. CLAS. PROF.]]=$B24,IF(DATOS_[Check Equiparado]="Sí",IF(DATOS_[Check Periodo Ref.]="Dentro",DATOS_[Tot Extrasalarial Eq],FALSE))))),
0)</f>
        <v>2959.8612598299387</v>
      </c>
      <c r="AV26" s="175">
        <f t="array" ref="AV26">IFERROR(
AVERAGE(IF(DATOS_[Sexo]=$B26,IF(DATOS_[[AGRUP. CLAS. PROF.]:[AGRUP. CLAS. PROF.]]=$B24,IF(DATOS_[Check Equiparado]="Sí",IF(DATOS_[Check Periodo Ref.]="Dentro",DATOS_[TOTAL Retrib Eq],FALSE))))),
0)</f>
        <v>24627.763139968585</v>
      </c>
    </row>
    <row r="27" spans="1:48" ht="15.6" thickBot="1" x14ac:dyDescent="0.3">
      <c r="A27" s="133" t="str">
        <f t="shared" ref="A27" si="19">+A28</f>
        <v/>
      </c>
      <c r="B27" s="199" t="s">
        <v>192</v>
      </c>
      <c r="C27" s="200"/>
      <c r="D27" s="201"/>
      <c r="E27" s="201"/>
      <c r="F27" s="201"/>
      <c r="G27" s="201"/>
      <c r="H27" s="201"/>
      <c r="I27" s="189">
        <f t="shared" ref="I27:AV27" si="20">IFERROR((I28-I29)/I28,"")</f>
        <v>-0.10673557732663717</v>
      </c>
      <c r="J27" s="190">
        <f t="shared" si="20"/>
        <v>4.263148900975345E-2</v>
      </c>
      <c r="K27" s="191">
        <f t="shared" si="20"/>
        <v>-4.5766152408215223E-2</v>
      </c>
      <c r="L27" s="191">
        <f t="shared" si="20"/>
        <v>0.63014265463422603</v>
      </c>
      <c r="M27" s="191">
        <f t="shared" si="20"/>
        <v>-1.9951048581751663E-2</v>
      </c>
      <c r="N27" s="192">
        <f t="shared" si="20"/>
        <v>0.44573466717318821</v>
      </c>
      <c r="O27" s="193">
        <f t="shared" si="20"/>
        <v>2.3636600813261372E-2</v>
      </c>
      <c r="P27" s="193">
        <f t="shared" si="20"/>
        <v>0.48662689131783693</v>
      </c>
      <c r="Q27" s="193" t="str">
        <f t="shared" si="20"/>
        <v/>
      </c>
      <c r="R27" s="193" t="str">
        <f t="shared" si="20"/>
        <v/>
      </c>
      <c r="S27" s="193" t="str">
        <f t="shared" si="20"/>
        <v/>
      </c>
      <c r="T27" s="193">
        <f t="shared" si="20"/>
        <v>-0.37105323313426852</v>
      </c>
      <c r="U27" s="193">
        <f t="shared" si="20"/>
        <v>0.63372625697338358</v>
      </c>
      <c r="V27" s="193">
        <f t="shared" si="20"/>
        <v>1</v>
      </c>
      <c r="W27" s="193">
        <f t="shared" si="20"/>
        <v>0.38047962246131645</v>
      </c>
      <c r="X27" s="193" t="str">
        <f t="shared" si="20"/>
        <v/>
      </c>
      <c r="Y27" s="193">
        <f t="shared" si="20"/>
        <v>-0.56841736971630585</v>
      </c>
      <c r="Z27" s="193">
        <f t="shared" si="20"/>
        <v>0.28313258529883212</v>
      </c>
      <c r="AA27" s="193">
        <f t="shared" si="20"/>
        <v>-0.841104885024065</v>
      </c>
      <c r="AB27" s="193" t="str">
        <f t="shared" si="20"/>
        <v/>
      </c>
      <c r="AC27" s="193" t="str">
        <f t="shared" si="20"/>
        <v/>
      </c>
      <c r="AD27" s="193">
        <f t="shared" si="20"/>
        <v>-0.39453252161690516</v>
      </c>
      <c r="AE27" s="193" t="str">
        <f t="shared" si="20"/>
        <v/>
      </c>
      <c r="AF27" s="193" t="str">
        <f t="shared" si="20"/>
        <v/>
      </c>
      <c r="AG27" s="193" t="str">
        <f t="shared" si="20"/>
        <v/>
      </c>
      <c r="AH27" s="193" t="str">
        <f t="shared" si="20"/>
        <v/>
      </c>
      <c r="AI27" s="193" t="str">
        <f t="shared" si="20"/>
        <v/>
      </c>
      <c r="AJ27" s="193" t="str">
        <f t="shared" si="20"/>
        <v/>
      </c>
      <c r="AK27" s="193" t="str">
        <f t="shared" si="20"/>
        <v/>
      </c>
      <c r="AL27" s="193" t="str">
        <f t="shared" si="20"/>
        <v/>
      </c>
      <c r="AM27" s="193" t="str">
        <f t="shared" si="20"/>
        <v/>
      </c>
      <c r="AN27" s="189">
        <f t="shared" si="20"/>
        <v>0.18365928168555998</v>
      </c>
      <c r="AO27" s="162">
        <f t="shared" si="20"/>
        <v>3.5621065895014341E-2</v>
      </c>
      <c r="AP27" s="163" t="str">
        <f t="shared" si="20"/>
        <v/>
      </c>
      <c r="AQ27" s="163" t="str">
        <f t="shared" si="20"/>
        <v/>
      </c>
      <c r="AR27" s="163" t="str">
        <f t="shared" si="20"/>
        <v/>
      </c>
      <c r="AS27" s="163" t="str">
        <f t="shared" si="20"/>
        <v/>
      </c>
      <c r="AT27" s="163" t="str">
        <f t="shared" si="20"/>
        <v/>
      </c>
      <c r="AU27" s="194">
        <f t="shared" si="20"/>
        <v>-0.72726686114726213</v>
      </c>
      <c r="AV27" s="165">
        <f t="shared" si="20"/>
        <v>-5.4702314443639641E-2</v>
      </c>
    </row>
    <row r="28" spans="1:48" x14ac:dyDescent="0.25">
      <c r="A28" s="133" t="str">
        <f t="shared" ref="A28" si="21">+IF(C28+C29=0,"[ocultar]","")</f>
        <v/>
      </c>
      <c r="B28" s="202" t="s">
        <v>394</v>
      </c>
      <c r="C28" s="203">
        <f t="array" ref="C28">SUM(IF($B28=DATOS_[Sexo],
IF($B27=DATOS_[AGRUP. CLAS. PROF.],
IF("Dentro"=DATOS_[Check Periodo Ref.],
1/(COUNTIFS(DATOS_[Sexo],$B28,DATOS_[AGRUP. CLAS. PROF.],$B27,DATOS_[Check Periodo Ref.],"Dentro",DATOS_[id/cod],DATOS_[id/cod]))))))</f>
        <v>3</v>
      </c>
      <c r="D28" s="204">
        <f>COUNTIFS(DATOS_[AGRUP. CLAS. PROF.],$B27,DATOS_[Sexo],$B28,DATOS_[Check Periodo Ref.],"Dentro")</f>
        <v>3</v>
      </c>
      <c r="E28" s="204">
        <f>COUNTIFS(DATOS_[AGRUP. CLAS. PROF.],$B27,DATOS_[Sexo],$B28,DATOS_[Check Periodo Ref.],"Dentro",DATOS_[Check Nº SC Norm],"Sí")</f>
        <v>1</v>
      </c>
      <c r="F28" s="204">
        <f>COUNTIFS(DATOS_[AGRUP. CLAS. PROF.],$B27,DATOS_[Sexo],$B28,DATOS_[Check Periodo Ref.],"Dentro",DATOS_[Check Nº SC Anualiz],"Sí")</f>
        <v>0</v>
      </c>
      <c r="G28" s="204">
        <f>COUNTIFS(DATOS_[AGRUP. CLAS. PROF.],$B27,DATOS_[Sexo],$B28,DATOS_[Check Periodo Ref.],"Dentro",DATOS_[Check Nº SC Norm y Anualiz],"Sí")</f>
        <v>0</v>
      </c>
      <c r="H28" s="204">
        <f>COUNTIFS(DATOS_[AGRUP. CLAS. PROF.],$B27,DATOS_[Sexo],$B28,DATOS_[Check Periodo Ref.],"Dentro",DATOS_[Check Equiparación],"Sí")</f>
        <v>1</v>
      </c>
      <c r="I28" s="195">
        <f t="array" ref="I28">IFERROR(
AVERAGE(IF(DATOS_[Sexo]=$B28,IF(DATOS_[[AGRUP. CLAS. PROF.]:[AGRUP. CLAS. PROF.]]=$B27,IF(DATOS_[Check Equiparado]="Sí",IF(DATOS_[Check Periodo Ref.]="Dentro",DATOS_[SALARIO BASE Eq],FALSE))))),
0)</f>
        <v>9384.2206210392887</v>
      </c>
      <c r="J28" s="196">
        <f t="array" ref="J28">IFERROR(
(AVERAGE((IF(DATOS_[[Sexo]:[Sexo]]=$B28,IF(DATOS_[[AGRUP. CLAS. PROF.]:[AGRUP. CLAS. PROF.]]=$B27,IF(DATOS_[[Check Periodo Ref.]:[Check Periodo Ref.]]="Dentro",IF(DATOS_[[Check Equiparado]:[Check Equiparado]]="Sí",IF(DATOS!AE$5="Sí",(1/DATOS_[[% anualiz]:[% anualiz]]),1)*IF(DATOS!AE$4="Sí",1/DATOS_[[% normaliz]:[% normaliz]],1)*(DATOS_[Conc.Sal.01])))))))),
0)</f>
        <v>72.125804816223066</v>
      </c>
      <c r="K28" s="196">
        <f t="array" ref="K28">IFERROR(
(AVERAGE((IF(DATOS_[[Sexo]:[Sexo]]=$B28,IF(DATOS_[[AGRUP. CLAS. PROF.]:[AGRUP. CLAS. PROF.]]=$B27,IF(DATOS_[[Check Periodo Ref.]:[Check Periodo Ref.]]="Dentro",IF(DATOS_[[Check Equiparado]:[Check Equiparado]]="Sí",IF(DATOS!AF$5="Sí",(1/DATOS_[[% anualiz]:[% anualiz]]),1)*IF(DATOS!AF$4="Sí",1/DATOS_[[% normaliz]:[% normaliz]],1)*(DATOS_[Conc.Sal.02])))))))),
0)</f>
        <v>1182.0549176172369</v>
      </c>
      <c r="L28" s="196">
        <f t="array" ref="L28">IFERROR(
(AVERAGE((IF(DATOS_[[Sexo]:[Sexo]]=$B28,IF(DATOS_[[AGRUP. CLAS. PROF.]:[AGRUP. CLAS. PROF.]]=$B27,IF(DATOS_[[Check Periodo Ref.]:[Check Periodo Ref.]]="Dentro",IF(DATOS_[[Check Equiparado]:[Check Equiparado]]="Sí",IF(DATOS!AG$5="Sí",(1/DATOS_[[% anualiz]:[% anualiz]]),1)*IF(DATOS!AG$4="Sí",1/DATOS_[[% normaliz]:[% normaliz]],1)*(DATOS_[Conc.Sal.03])))))))),
0)</f>
        <v>622.20902408111522</v>
      </c>
      <c r="M28" s="196">
        <f t="array" ref="M28">IFERROR(
(AVERAGE((IF(DATOS_[[Sexo]:[Sexo]]=$B28,IF(DATOS_[[AGRUP. CLAS. PROF.]:[AGRUP. CLAS. PROF.]]=$B27,IF(DATOS_[[Check Periodo Ref.]:[Check Periodo Ref.]]="Dentro",IF(DATOS_[[Check Equiparado]:[Check Equiparado]]="Sí",IF(DATOS!AH$5="Sí",(1/DATOS_[[% anualiz]:[% anualiz]]),1)*IF(DATOS!AH$4="Sí",1/DATOS_[[% normaliz]:[% normaliz]],1)*(DATOS_[Conc.Sal.04])))))))),
0)</f>
        <v>990.62666666666667</v>
      </c>
      <c r="N28" s="196">
        <f t="array" ref="N28">IFERROR(
(AVERAGE((IF(DATOS_[[Sexo]:[Sexo]]=$B28,IF(DATOS_[[AGRUP. CLAS. PROF.]:[AGRUP. CLAS. PROF.]]=$B27,IF(DATOS_[[Check Periodo Ref.]:[Check Periodo Ref.]]="Dentro",IF(DATOS_[[Check Equiparado]:[Check Equiparado]]="Sí",IF(DATOS!AI$5="Sí",(1/DATOS_[[% anualiz]:[% anualiz]]),1)*IF(DATOS!AI$4="Sí",1/DATOS_[[% normaliz]:[% normaliz]],1)*(DATOS_[Conc.Sal.05])))))))),
0)</f>
        <v>78.970000000000013</v>
      </c>
      <c r="O28" s="196">
        <f t="array" ref="O28">IFERROR(
(AVERAGE((IF(DATOS_[[Sexo]:[Sexo]]=$B28,IF(DATOS_[[AGRUP. CLAS. PROF.]:[AGRUP. CLAS. PROF.]]=$B27,IF(DATOS_[[Check Periodo Ref.]:[Check Periodo Ref.]]="Dentro",IF(DATOS_[[Check Equiparado]:[Check Equiparado]]="Sí",IF(DATOS!AJ$5="Sí",(1/DATOS_[[% anualiz]:[% anualiz]]),1)*IF(DATOS!AJ$4="Sí",1/DATOS_[[% normaliz]:[% normaliz]],1)*(DATOS_[Conc.Sal.06])))))))),
0)</f>
        <v>1556.5098225602026</v>
      </c>
      <c r="P28" s="196">
        <f t="array" ref="P28">IFERROR(
(AVERAGE((IF(DATOS_[[Sexo]:[Sexo]]=$B28,IF(DATOS_[[AGRUP. CLAS. PROF.]:[AGRUP. CLAS. PROF.]]=$B27,IF(DATOS_[[Check Periodo Ref.]:[Check Periodo Ref.]]="Dentro",IF(DATOS_[[Check Equiparado]:[Check Equiparado]]="Sí",IF(DATOS!AK$5="Sí",(1/DATOS_[[% anualiz]:[% anualiz]]),1)*IF(DATOS!AK$4="Sí",1/DATOS_[[% normaliz]:[% normaliz]],1)*(DATOS_[Conc.Sal.07])))))))),
0)</f>
        <v>349.18333333333334</v>
      </c>
      <c r="Q28" s="196">
        <f t="array" ref="Q28">IFERROR(
(AVERAGE((IF(DATOS_[[Sexo]:[Sexo]]=$B28,IF(DATOS_[[AGRUP. CLAS. PROF.]:[AGRUP. CLAS. PROF.]]=$B27,IF(DATOS_[[Check Periodo Ref.]:[Check Periodo Ref.]]="Dentro",IF(DATOS_[[Check Equiparado]:[Check Equiparado]]="Sí",IF(DATOS!AL$5="Sí",(1/DATOS_[[% anualiz]:[% anualiz]]),1)*IF(DATOS!AL$4="Sí",1/DATOS_[[% normaliz]:[% normaliz]],1)*(DATOS_[Conc.Sal.08])))))))),
0)</f>
        <v>0</v>
      </c>
      <c r="R28" s="196">
        <f t="array" ref="R28">IFERROR(
(AVERAGE((IF(DATOS_[[Sexo]:[Sexo]]=$B28,IF(DATOS_[[AGRUP. CLAS. PROF.]:[AGRUP. CLAS. PROF.]]=$B27,IF(DATOS_[[Check Periodo Ref.]:[Check Periodo Ref.]]="Dentro",IF(DATOS_[[Check Equiparado]:[Check Equiparado]]="Sí",IF(DATOS!AM$5="Sí",(1/DATOS_[[% anualiz]:[% anualiz]]),1)*IF(DATOS!AM$4="Sí",1/DATOS_[[% normaliz]:[% normaliz]],1)*(DATOS_[Conc.Sal.09])))))))),
0)</f>
        <v>0</v>
      </c>
      <c r="S28" s="196">
        <f t="array" ref="S28">IFERROR(
(AVERAGE((IF(DATOS_[[Sexo]:[Sexo]]=$B28,IF(DATOS_[[AGRUP. CLAS. PROF.]:[AGRUP. CLAS. PROF.]]=$B27,IF(DATOS_[[Check Periodo Ref.]:[Check Periodo Ref.]]="Dentro",IF(DATOS_[[Check Equiparado]:[Check Equiparado]]="Sí",IF(DATOS!AN$5="Sí",(1/DATOS_[[% anualiz]:[% anualiz]]),1)*IF(DATOS!AN$4="Sí",1/DATOS_[[% normaliz]:[% normaliz]],1)*(DATOS_[Conc.Sal.10])))))))),
0)</f>
        <v>0</v>
      </c>
      <c r="T28" s="196">
        <f t="array" ref="T28">IFERROR(
(AVERAGE((IF(DATOS_[[Sexo]:[Sexo]]=$B28,IF(DATOS_[[AGRUP. CLAS. PROF.]:[AGRUP. CLAS. PROF.]]=$B27,IF(DATOS_[[Check Periodo Ref.]:[Check Periodo Ref.]]="Dentro",IF(DATOS_[[Check Equiparado]:[Check Equiparado]]="Sí",IF(DATOS!AO$5="Sí",(1/DATOS_[[% anualiz]:[% anualiz]]),1)*IF(DATOS!AO$4="Sí",1/DATOS_[[% normaliz]:[% normaliz]],1)*(DATOS_[Conc.Sal.11])))))))),
0)</f>
        <v>233.3133333333333</v>
      </c>
      <c r="U28" s="196">
        <f t="array" ref="U28">IFERROR(
(AVERAGE((IF(DATOS_[[Sexo]:[Sexo]]=$B28,IF(DATOS_[[AGRUP. CLAS. PROF.]:[AGRUP. CLAS. PROF.]]=$B27,IF(DATOS_[[Check Periodo Ref.]:[Check Periodo Ref.]]="Dentro",IF(DATOS_[[Check Equiparado]:[Check Equiparado]]="Sí",IF(DATOS!AP$5="Sí",(1/DATOS_[[% anualiz]:[% anualiz]]),1)*IF(DATOS!AP$4="Sí",1/DATOS_[[% normaliz]:[% normaliz]],1)*(DATOS_[Conc.Sal.12])))))))),
0)</f>
        <v>2099.9239543726235</v>
      </c>
      <c r="V28" s="196">
        <f t="array" ref="V28">IFERROR(
(AVERAGE((IF(DATOS_[[Sexo]:[Sexo]]=$B28,IF(DATOS_[[AGRUP. CLAS. PROF.]:[AGRUP. CLAS. PROF.]]=$B27,IF(DATOS_[[Check Periodo Ref.]:[Check Periodo Ref.]]="Dentro",IF(DATOS_[[Check Equiparado]:[Check Equiparado]]="Sí",IF(DATOS!AQ$5="Sí",(1/DATOS_[[% anualiz]:[% anualiz]]),1)*IF(DATOS!AQ$4="Sí",1/DATOS_[[% normaliz]:[% normaliz]],1)*(DATOS_[Conc.Sal.13])))))))),
0)</f>
        <v>1131.8631178707221</v>
      </c>
      <c r="W28" s="196">
        <f t="array" ref="W28">IFERROR(
(AVERAGE((IF(DATOS_[[Sexo]:[Sexo]]=$B28,IF(DATOS_[[AGRUP. CLAS. PROF.]:[AGRUP. CLAS. PROF.]]=$B27,IF(DATOS_[[Check Periodo Ref.]:[Check Periodo Ref.]]="Dentro",IF(DATOS_[[Check Equiparado]:[Check Equiparado]]="Sí",IF(DATOS!AR$5="Sí",(1/DATOS_[[% anualiz]:[% anualiz]]),1)*IF(DATOS!AR$4="Sí",1/DATOS_[[% normaliz]:[% normaliz]],1)*(DATOS_[Conc.Sal.14])))))))),
0)</f>
        <v>436</v>
      </c>
      <c r="X28" s="196">
        <f t="array" ref="X28">IFERROR(
(AVERAGE((IF(DATOS_[[Sexo]:[Sexo]]=$B28,IF(DATOS_[[AGRUP. CLAS. PROF.]:[AGRUP. CLAS. PROF.]]=$B27,IF(DATOS_[[Check Periodo Ref.]:[Check Periodo Ref.]]="Dentro",IF(DATOS_[[Check Equiparado]:[Check Equiparado]]="Sí",IF(DATOS!AS$5="Sí",(1/DATOS_[[% anualiz]:[% anualiz]]),1)*IF(DATOS!AS$4="Sí",1/DATOS_[[% normaliz]:[% normaliz]],1)*(DATOS_[Conc.Sal.15])))))))),
0)</f>
        <v>0</v>
      </c>
      <c r="Y28" s="196">
        <f t="array" ref="Y28">IFERROR(
(AVERAGE((IF(DATOS_[[Sexo]:[Sexo]]=$B28,IF(DATOS_[[AGRUP. CLAS. PROF.]:[AGRUP. CLAS. PROF.]]=$B27,IF(DATOS_[[Check Periodo Ref.]:[Check Periodo Ref.]]="Dentro",IF(DATOS_[[Check Equiparado]:[Check Equiparado]]="Sí",IF(DATOS!AT$5="Sí",(1/DATOS_[[% anualiz]:[% anualiz]]),1)*IF(DATOS!AT$4="Sí",1/DATOS_[[% normaliz]:[% normaliz]],1)*(DATOS_[Conc.Sal.16])))))))),
0)</f>
        <v>1755.36</v>
      </c>
      <c r="Z28" s="196">
        <f t="array" ref="Z28">IFERROR(
(AVERAGE((IF(DATOS_[[Sexo]:[Sexo]]=$B28,IF(DATOS_[[AGRUP. CLAS. PROF.]:[AGRUP. CLAS. PROF.]]=$B27,IF(DATOS_[[Check Periodo Ref.]:[Check Periodo Ref.]]="Dentro",IF(DATOS_[[Check Equiparado]:[Check Equiparado]]="Sí",IF(DATOS!AU$5="Sí",(1/DATOS_[[% anualiz]:[% anualiz]]),1)*IF(DATOS!AU$4="Sí",1/DATOS_[[% normaliz]:[% normaliz]],1)*(DATOS_[Conc.Sal.17])))))))),
0)</f>
        <v>145.56666666666666</v>
      </c>
      <c r="AA28" s="196">
        <f t="array" ref="AA28">IFERROR(
(AVERAGE((IF(DATOS_[[Sexo]:[Sexo]]=$B28,IF(DATOS_[[AGRUP. CLAS. PROF.]:[AGRUP. CLAS. PROF.]]=$B27,IF(DATOS_[[Check Periodo Ref.]:[Check Periodo Ref.]]="Dentro",IF(DATOS_[[Check Equiparado]:[Check Equiparado]]="Sí",IF(DATOS!AV$5="Sí",(1/DATOS_[[% anualiz]:[% anualiz]]),1)*IF(DATOS!AV$4="Sí",1/DATOS_[[% normaliz]:[% normaliz]],1)*(DATOS_[Conc.Sal.18])))))))),
0)</f>
        <v>716.81666666666661</v>
      </c>
      <c r="AB28" s="196">
        <f t="array" ref="AB28">IFERROR(
(AVERAGE((IF(DATOS_[[Sexo]:[Sexo]]=$B28,IF(DATOS_[[AGRUP. CLAS. PROF.]:[AGRUP. CLAS. PROF.]]=$B27,IF(DATOS_[[Check Periodo Ref.]:[Check Periodo Ref.]]="Dentro",IF(DATOS_[[Check Equiparado]:[Check Equiparado]]="Sí",IF(DATOS!AW$5="Sí",(1/DATOS_[[% anualiz]:[% anualiz]]),1)*IF(DATOS!AW$4="Sí",1/DATOS_[[% normaliz]:[% normaliz]],1)*(DATOS_[Conc.Sal.19])))))))),
0)</f>
        <v>0</v>
      </c>
      <c r="AC28" s="196">
        <f t="array" ref="AC28">IFERROR(
(AVERAGE((IF(DATOS_[[Sexo]:[Sexo]]=$B28,IF(DATOS_[[AGRUP. CLAS. PROF.]:[AGRUP. CLAS. PROF.]]=$B27,IF(DATOS_[[Check Periodo Ref.]:[Check Periodo Ref.]]="Dentro",IF(DATOS_[[Check Equiparado]:[Check Equiparado]]="Sí",IF(DATOS!AX$5="Sí",(1/DATOS_[[% anualiz]:[% anualiz]]),1)*IF(DATOS!AX$4="Sí",1/DATOS_[[% normaliz]:[% normaliz]],1)*(DATOS_[Conc.Sal.20])))))))),
0)</f>
        <v>0</v>
      </c>
      <c r="AD28" s="196">
        <f t="array" ref="AD28">IFERROR(
(AVERAGE((IF(DATOS_[[Sexo]:[Sexo]]=$B28,IF(DATOS_[[AGRUP. CLAS. PROF.]:[AGRUP. CLAS. PROF.]]=$B27,IF(DATOS_[[Check Periodo Ref.]:[Check Periodo Ref.]]="Dentro",IF(DATOS_[[Check Equiparado]:[Check Equiparado]]="Sí",IF(DATOS!AY$5="Sí",(1/DATOS_[[% anualiz]:[% anualiz]]),1)*IF(DATOS!AY$4="Sí",1/DATOS_[[% normaliz]:[% normaliz]],1)*(DATOS_[Conc.Sal.21])))))))),
0)</f>
        <v>125.71609632446133</v>
      </c>
      <c r="AE28" s="196">
        <f t="array" ref="AE28">IFERROR(
(AVERAGE((IF(DATOS_[[Sexo]:[Sexo]]=$B28,IF(DATOS_[[AGRUP. CLAS. PROF.]:[AGRUP. CLAS. PROF.]]=$B27,IF(DATOS_[[Check Periodo Ref.]:[Check Periodo Ref.]]="Dentro",IF(DATOS_[[Check Equiparado]:[Check Equiparado]]="Sí",IF(DATOS!AZ$5="Sí",(1/DATOS_[[% anualiz]:[% anualiz]]),1)*IF(DATOS!AZ$4="Sí",1/DATOS_[[% normaliz]:[% normaliz]],1)*(DATOS_[Conc.Sal.22])))))))),
0)</f>
        <v>0</v>
      </c>
      <c r="AF28" s="196">
        <f t="array" ref="AF28">IFERROR(
(AVERAGE((IF(DATOS_[[Sexo]:[Sexo]]=$B28,IF(DATOS_[[AGRUP. CLAS. PROF.]:[AGRUP. CLAS. PROF.]]=$B27,IF(DATOS_[[Check Periodo Ref.]:[Check Periodo Ref.]]="Dentro",IF(DATOS_[[Check Equiparado]:[Check Equiparado]]="Sí",IF(DATOS!BA$5="Sí",(1/DATOS_[[% anualiz]:[% anualiz]]),1)*IF(DATOS!BA$4="Sí",1/DATOS_[[% normaliz]:[% normaliz]],1)*(DATOS_[Conc.Sal.23])))))))),
0)</f>
        <v>0</v>
      </c>
      <c r="AG28" s="196">
        <f t="array" ref="AG28">IFERROR(
(AVERAGE((IF(DATOS_[[Sexo]:[Sexo]]=$B28,IF(DATOS_[[AGRUP. CLAS. PROF.]:[AGRUP. CLAS. PROF.]]=$B27,IF(DATOS_[[Check Periodo Ref.]:[Check Periodo Ref.]]="Dentro",IF(DATOS_[[Check Equiparado]:[Check Equiparado]]="Sí",IF(DATOS!BB$5="Sí",(1/DATOS_[[% anualiz]:[% anualiz]]),1)*IF(DATOS!BB$4="Sí",1/DATOS_[[% normaliz]:[% normaliz]],1)*(DATOS_[Conc.Sal.24])))))))),
0)</f>
        <v>0</v>
      </c>
      <c r="AH28" s="196">
        <f t="array" ref="AH28">IFERROR(
(AVERAGE((IF(DATOS_[[Sexo]:[Sexo]]=$B28,IF(DATOS_[[AGRUP. CLAS. PROF.]:[AGRUP. CLAS. PROF.]]=$B27,IF(DATOS_[[Check Periodo Ref.]:[Check Periodo Ref.]]="Dentro",IF(DATOS_[[Check Equiparado]:[Check Equiparado]]="Sí",IF(DATOS!BC$5="Sí",(1/DATOS_[[% anualiz]:[% anualiz]]),1)*IF(DATOS!BC$4="Sí",1/DATOS_[[% normaliz]:[% normaliz]],1)*(DATOS_[Conc.Sal.25])))))))),
0)</f>
        <v>0</v>
      </c>
      <c r="AI28" s="196">
        <f t="array" ref="AI28">IFERROR(
(AVERAGE((IF(DATOS_[[Sexo]:[Sexo]]=$B28,IF(DATOS_[[AGRUP. CLAS. PROF.]:[AGRUP. CLAS. PROF.]]=$B27,IF(DATOS_[[Check Periodo Ref.]:[Check Periodo Ref.]]="Dentro",IF(DATOS_[[Check Equiparado]:[Check Equiparado]]="Sí",IF(DATOS!BD$5="Sí",(1/DATOS_[[% anualiz]:[% anualiz]]),1)*IF(DATOS!BD$4="Sí",1/DATOS_[[% normaliz]:[% normaliz]],1)*(DATOS_[Conc.Sal.26])))))))),
0)</f>
        <v>0</v>
      </c>
      <c r="AJ28" s="196">
        <f t="array" ref="AJ28">IFERROR(
(AVERAGE((IF(DATOS_[[Sexo]:[Sexo]]=$B28,IF(DATOS_[[AGRUP. CLAS. PROF.]:[AGRUP. CLAS. PROF.]]=$B27,IF(DATOS_[[Check Periodo Ref.]:[Check Periodo Ref.]]="Dentro",IF(DATOS_[[Check Equiparado]:[Check Equiparado]]="Sí",IF(DATOS!BE$5="Sí",(1/DATOS_[[% anualiz]:[% anualiz]]),1)*IF(DATOS!BE$4="Sí",1/DATOS_[[% normaliz]:[% normaliz]],1)*(DATOS_[Conc.Sal.27])))))))),
0)</f>
        <v>0</v>
      </c>
      <c r="AK28" s="196">
        <f t="array" ref="AK28">IFERROR(
(AVERAGE((IF(DATOS_[[Sexo]:[Sexo]]=$B28,IF(DATOS_[[AGRUP. CLAS. PROF.]:[AGRUP. CLAS. PROF.]]=$B27,IF(DATOS_[[Check Periodo Ref.]:[Check Periodo Ref.]]="Dentro",IF(DATOS_[[Check Equiparado]:[Check Equiparado]]="Sí",IF(DATOS!BF$5="Sí",(1/DATOS_[[% anualiz]:[% anualiz]]),1)*IF(DATOS!BF$4="Sí",1/DATOS_[[% normaliz]:[% normaliz]],1)*(DATOS_[Conc.Sal.28])))))))),
0)</f>
        <v>0</v>
      </c>
      <c r="AL28" s="196">
        <f t="array" ref="AL28">IFERROR(
(AVERAGE((IF(DATOS_[[Sexo]:[Sexo]]=$B28,IF(DATOS_[[AGRUP. CLAS. PROF.]:[AGRUP. CLAS. PROF.]]=$B27,IF(DATOS_[[Check Periodo Ref.]:[Check Periodo Ref.]]="Dentro",IF(DATOS_[[Check Equiparado]:[Check Equiparado]]="Sí",IF(DATOS!BG$5="Sí",(1/DATOS_[[% anualiz]:[% anualiz]]),1)*IF(DATOS!BG$4="Sí",1/DATOS_[[% normaliz]:[% normaliz]],1)*(DATOS_[Conc.Sal.29])))))))),
0)</f>
        <v>0</v>
      </c>
      <c r="AM28" s="196">
        <f t="array" ref="AM28">IFERROR(
(AVERAGE((IF(DATOS_[[Sexo]:[Sexo]]=$B28,IF(DATOS_[[AGRUP. CLAS. PROF.]:[AGRUP. CLAS. PROF.]]=$B27,IF(DATOS_[[Check Periodo Ref.]:[Check Periodo Ref.]]="Dentro",IF(DATOS_[[Check Equiparado]:[Check Equiparado]]="Sí",IF(DATOS!BH$5="Sí",(1/DATOS_[[% anualiz]:[% anualiz]]),1)*IF(DATOS!BH$4="Sí",1/DATOS_[[% normaliz]:[% normaliz]],1)*(DATOS_[Conc.Sal.30])))))))),
0)</f>
        <v>0</v>
      </c>
      <c r="AN28" s="195">
        <f t="array" ref="AN28">IFERROR(
AVERAGE(IF(DATOS_[Sexo]=$B28,IF(DATOS_[[AGRUP. CLAS. PROF.]:[AGRUP. CLAS. PROF.]]=$B27,IF(DATOS_[Check Equiparado]="Sí",IF(DATOS_[Check Periodo Ref.]="Dentro",DATOS_[Tot COMPL.SAL Eq],FALSE))))),
0)</f>
        <v>9024.0627376425855</v>
      </c>
      <c r="AO28" s="172">
        <f t="array" ref="AO28">IFERROR(
AVERAGE(IF(DATOS_[Sexo]=$B28,IF(DATOS_[[AGRUP. CLAS. PROF.]:[AGRUP. CLAS. PROF.]]=$B27,IF(DATOS_[Check Equiparado]="Sí",IF(DATOS_[Check Periodo Ref.]="Dentro",DATOS_[TOTAL SALARIO Eq],FALSE))))),
0)</f>
        <v>18408.283358681874</v>
      </c>
      <c r="AP28" s="173">
        <f t="array" ref="AP28">IFERROR(
(AVERAGE((IF(DATOS_[[Sexo]:[Sexo]]=$B28,IF(DATOS_[[AGRUP. CLAS. PROF.]:[AGRUP. CLAS. PROF.]]=$B27,IF(DATOS_[[Check Periodo Ref.]:[Check Periodo Ref.]]="Dentro",IF(DATOS_[[Check Equiparado]:[Check Equiparado]]="Sí",IF(DATOS!BW$5="Sí",(1/DATOS_[[% anualiz]:[% anualiz]]),1)*IF(DATOS!BW$4="Sí",1/DATOS_[[% normaliz]:[% normaliz]],1)*(DATOS_[C.Extra.01])))))))),
0)</f>
        <v>0</v>
      </c>
      <c r="AQ28" s="173">
        <f t="array" ref="AQ28">IFERROR(
(AVERAGE((IF(DATOS_[[Sexo]:[Sexo]]=$B28,IF(DATOS_[[AGRUP. CLAS. PROF.]:[AGRUP. CLAS. PROF.]]=$B27,IF(DATOS_[[Check Periodo Ref.]:[Check Periodo Ref.]]="Dentro",IF(DATOS_[[Check Equiparado]:[Check Equiparado]]="Sí",IF(DATOS!CB$5="Sí",(1/DATOS_[[% anualiz]:[% anualiz]]),1)*IF(DATOS!CB$4="Sí",1/DATOS_[[% normaliz]:[% normaliz]],1)*(DATOS_[C.Extra.06])))))))),
0)</f>
        <v>0</v>
      </c>
      <c r="AR28" s="173">
        <f t="array" ref="AR28">IFERROR(
(AVERAGE((IF(DATOS_[[Sexo]:[Sexo]]=$B28,IF(DATOS_[[AGRUP. CLAS. PROF.]:[AGRUP. CLAS. PROF.]]=$B27,IF(DATOS_[[Check Periodo Ref.]:[Check Periodo Ref.]]="Dentro",IF(DATOS_[[Check Equiparado]:[Check Equiparado]]="Sí",IF(DATOS!CC$5="Sí",(1/DATOS_[[% anualiz]:[% anualiz]]),1)*IF(DATOS!CC$4="Sí",1/DATOS_[[% normaliz]:[% normaliz]],1)*(DATOS_[C.Extra.07])))))))),
0)</f>
        <v>0</v>
      </c>
      <c r="AS28" s="173">
        <f t="array" ref="AS28">IFERROR(
(AVERAGE((IF(DATOS_[[Sexo]:[Sexo]]=$B28,IF(DATOS_[[AGRUP. CLAS. PROF.]:[AGRUP. CLAS. PROF.]]=$B27,IF(DATOS_[[Check Periodo Ref.]:[Check Periodo Ref.]]="Dentro",IF(DATOS_[[Check Equiparado]:[Check Equiparado]]="Sí",IF(DATOS!CD$5="Sí",(1/DATOS_[[% anualiz]:[% anualiz]]),1)*IF(DATOS!CD$4="Sí",1/DATOS_[[% normaliz]:[% normaliz]],1)*(DATOS_[C.Extra.08])))))))),
0)</f>
        <v>0</v>
      </c>
      <c r="AT28" s="173">
        <f t="array" ref="AT28">IFERROR(
(AVERAGE((IF(DATOS_[[Sexo]:[Sexo]]=$B28,IF(DATOS_[[AGRUP. CLAS. PROF.]:[AGRUP. CLAS. PROF.]]=$B27,IF(DATOS_[[Check Periodo Ref.]:[Check Periodo Ref.]]="Dentro",IF(DATOS_[[Check Equiparado]:[Check Equiparado]]="Sí",IF(DATOS!CG$5="Sí",(1/DATOS_[[% anualiz]:[% anualiz]]),1)*IF(DATOS!CG$4="Sí",1/DATOS_[[% normaliz]:[% normaliz]],1)*(DATOS_[C.Extra.11])))))))),
0)</f>
        <v>0</v>
      </c>
      <c r="AU28" s="197">
        <f t="array" ref="AU28">IFERROR(
AVERAGE(IF(DATOS_[Sexo]=$B28,IF(DATOS_[[AGRUP. CLAS. PROF.]:[AGRUP. CLAS. PROF.]]=$B27,IF(DATOS_[Check Equiparado]="Sí",IF(DATOS_[Check Periodo Ref.]="Dentro",DATOS_[Tot Extrasalarial Eq],FALSE))))),
0)</f>
        <v>2472.1766666666667</v>
      </c>
      <c r="AV28" s="175">
        <f t="array" ref="AV28">IFERROR(
AVERAGE(IF(DATOS_[Sexo]=$B28,IF(DATOS_[[AGRUP. CLAS. PROF.]:[AGRUP. CLAS. PROF.]]=$B27,IF(DATOS_[Check Equiparado]="Sí",IF(DATOS_[Check Periodo Ref.]="Dentro",DATOS_[TOTAL Retrib Eq],FALSE))))),
0)</f>
        <v>20880.460025348541</v>
      </c>
    </row>
    <row r="29" spans="1:48" x14ac:dyDescent="0.25">
      <c r="A29" s="133" t="str">
        <f t="shared" ref="A29" si="22">+A28</f>
        <v/>
      </c>
      <c r="B29" s="202" t="s">
        <v>521</v>
      </c>
      <c r="C29" s="203">
        <f t="array" ref="C29">SUM(IF($B29=DATOS_[Sexo],
IF($B27=DATOS_[AGRUP. CLAS. PROF.],
IF("Dentro"=DATOS_[Check Periodo Ref.],
1/(COUNTIFS(DATOS_[Sexo],$B29,DATOS_[AGRUP. CLAS. PROF.],$B27,DATOS_[Check Periodo Ref.],"Dentro",DATOS_[id/cod],DATOS_[id/cod]))))))</f>
        <v>10</v>
      </c>
      <c r="D29" s="204">
        <f>COUNTIFS(DATOS_[AGRUP. CLAS. PROF.],$B27,DATOS_[Sexo],$B29,DATOS_[Check Periodo Ref.],"Dentro")</f>
        <v>11</v>
      </c>
      <c r="E29" s="204">
        <f>COUNTIFS(DATOS_[AGRUP. CLAS. PROF.],$B27,DATOS_[Sexo],$B29,DATOS_[Check Periodo Ref.],"Dentro",DATOS_[Check Nº SC Norm],"Sí")</f>
        <v>6</v>
      </c>
      <c r="F29" s="204">
        <f>COUNTIFS(DATOS_[AGRUP. CLAS. PROF.],$B27,DATOS_[Sexo],$B29,DATOS_[Check Periodo Ref.],"Dentro",DATOS_[Check Nº SC Anualiz],"Sí")</f>
        <v>0</v>
      </c>
      <c r="G29" s="204">
        <f>COUNTIFS(DATOS_[AGRUP. CLAS. PROF.],$B27,DATOS_[Sexo],$B29,DATOS_[Check Periodo Ref.],"Dentro",DATOS_[Check Nº SC Norm y Anualiz],"Sí")</f>
        <v>4</v>
      </c>
      <c r="H29" s="204">
        <f>COUNTIFS(DATOS_[AGRUP. CLAS. PROF.],$B27,DATOS_[Sexo],$B29,DATOS_[Check Periodo Ref.],"Dentro",DATOS_[Check Equiparación],"Sí")</f>
        <v>10</v>
      </c>
      <c r="I29" s="195" cm="1">
        <f t="array" ref="I29">IFERROR(
AVERAGE(IF(DATOS_[Sexo]=$B29,IF(DATOS_[[AGRUP. CLAS. PROF.]:[AGRUP. CLAS. PROF.]]=$B27,IF(DATOS_[Check Equiparado]="Sí",IF(DATOS_[Check Periodo Ref.]="Dentro",DATOS_[SALARIO BASE Eq],FALSE))))),
0)</f>
        <v>10385.850826786451</v>
      </c>
      <c r="J29" s="196">
        <f t="array" ref="J29">IFERROR(
(AVERAGE((IF(DATOS_[[Sexo]:[Sexo]]=$B29,IF(DATOS_[[AGRUP. CLAS. PROF.]:[AGRUP. CLAS. PROF.]]=$B27,IF(DATOS_[[Check Periodo Ref.]:[Check Periodo Ref.]]="Dentro",IF(DATOS_[[Check Equiparado]:[Check Equiparado]]="Sí",IF(DATOS!AE$5="Sí",(1/DATOS_[[% anualiz]:[% anualiz]]),1)*IF(DATOS!AE$4="Sí",1/DATOS_[[% normaliz]:[% normaliz]],1)*(DATOS_[Conc.Sal.01])))))))),
0)</f>
        <v>69.05097436088063</v>
      </c>
      <c r="K29" s="196">
        <f t="array" ref="K29">IFERROR(
(AVERAGE((IF(DATOS_[[Sexo]:[Sexo]]=$B29,IF(DATOS_[[AGRUP. CLAS. PROF.]:[AGRUP. CLAS. PROF.]]=$B27,IF(DATOS_[[Check Periodo Ref.]:[Check Periodo Ref.]]="Dentro",IF(DATOS_[[Check Equiparado]:[Check Equiparado]]="Sí",IF(DATOS!AF$5="Sí",(1/DATOS_[[% anualiz]:[% anualiz]]),1)*IF(DATOS!AF$4="Sí",1/DATOS_[[% normaliz]:[% normaliz]],1)*(DATOS_[Conc.Sal.02])))))))),
0)</f>
        <v>1236.1530231317877</v>
      </c>
      <c r="L29" s="196">
        <f t="array" ref="L29">IFERROR(
(AVERAGE((IF(DATOS_[[Sexo]:[Sexo]]=$B29,IF(DATOS_[[AGRUP. CLAS. PROF.]:[AGRUP. CLAS. PROF.]]=$B27,IF(DATOS_[[Check Periodo Ref.]:[Check Periodo Ref.]]="Dentro",IF(DATOS_[[Check Equiparado]:[Check Equiparado]]="Sí",IF(DATOS!AG$5="Sí",(1/DATOS_[[% anualiz]:[% anualiz]]),1)*IF(DATOS!AG$4="Sí",1/DATOS_[[% normaliz]:[% normaliz]],1)*(DATOS_[Conc.Sal.03])))))))),
0)</f>
        <v>230.12857790927018</v>
      </c>
      <c r="M29" s="196">
        <f t="array" ref="M29">IFERROR(
(AVERAGE((IF(DATOS_[[Sexo]:[Sexo]]=$B29,IF(DATOS_[[AGRUP. CLAS. PROF.]:[AGRUP. CLAS. PROF.]]=$B27,IF(DATOS_[[Check Periodo Ref.]:[Check Periodo Ref.]]="Dentro",IF(DATOS_[[Check Equiparado]:[Check Equiparado]]="Sí",IF(DATOS!AH$5="Sí",(1/DATOS_[[% anualiz]:[% anualiz]]),1)*IF(DATOS!AH$4="Sí",1/DATOS_[[% normaliz]:[% normaliz]],1)*(DATOS_[Conc.Sal.04])))))))),
0)</f>
        <v>1010.390707419712</v>
      </c>
      <c r="N29" s="196">
        <f t="array" ref="N29">IFERROR(
(AVERAGE((IF(DATOS_[[Sexo]:[Sexo]]=$B29,IF(DATOS_[[AGRUP. CLAS. PROF.]:[AGRUP. CLAS. PROF.]]=$B27,IF(DATOS_[[Check Periodo Ref.]:[Check Periodo Ref.]]="Dentro",IF(DATOS_[[Check Equiparado]:[Check Equiparado]]="Sí",IF(DATOS!AI$5="Sí",(1/DATOS_[[% anualiz]:[% anualiz]]),1)*IF(DATOS!AI$4="Sí",1/DATOS_[[% normaliz]:[% normaliz]],1)*(DATOS_[Conc.Sal.05])))))))),
0)</f>
        <v>43.770333333333333</v>
      </c>
      <c r="O29" s="196">
        <f t="array" ref="O29">IFERROR(
(AVERAGE((IF(DATOS_[[Sexo]:[Sexo]]=$B29,IF(DATOS_[[AGRUP. CLAS. PROF.]:[AGRUP. CLAS. PROF.]]=$B27,IF(DATOS_[[Check Periodo Ref.]:[Check Periodo Ref.]]="Dentro",IF(DATOS_[[Check Equiparado]:[Check Equiparado]]="Sí",IF(DATOS!AJ$5="Sí",(1/DATOS_[[% anualiz]:[% anualiz]]),1)*IF(DATOS!AJ$4="Sí",1/DATOS_[[% normaliz]:[% normaliz]],1)*(DATOS_[Conc.Sal.06])))))))),
0)</f>
        <v>1519.7192212224268</v>
      </c>
      <c r="P29" s="196">
        <f t="array" ref="P29">IFERROR(
(AVERAGE((IF(DATOS_[[Sexo]:[Sexo]]=$B29,IF(DATOS_[[AGRUP. CLAS. PROF.]:[AGRUP. CLAS. PROF.]]=$B27,IF(DATOS_[[Check Periodo Ref.]:[Check Periodo Ref.]]="Dentro",IF(DATOS_[[Check Equiparado]:[Check Equiparado]]="Sí",IF(DATOS!AK$5="Sí",(1/DATOS_[[% anualiz]:[% anualiz]]),1)*IF(DATOS!AK$4="Sí",1/DATOS_[[% normaliz]:[% normaliz]],1)*(DATOS_[Conc.Sal.07])))))))),
0)</f>
        <v>179.26133333333331</v>
      </c>
      <c r="Q29" s="196">
        <f t="array" ref="Q29">IFERROR(
(AVERAGE((IF(DATOS_[[Sexo]:[Sexo]]=$B29,IF(DATOS_[[AGRUP. CLAS. PROF.]:[AGRUP. CLAS. PROF.]]=$B27,IF(DATOS_[[Check Periodo Ref.]:[Check Periodo Ref.]]="Dentro",IF(DATOS_[[Check Equiparado]:[Check Equiparado]]="Sí",IF(DATOS!AL$5="Sí",(1/DATOS_[[% anualiz]:[% anualiz]]),1)*IF(DATOS!AL$4="Sí",1/DATOS_[[% normaliz]:[% normaliz]],1)*(DATOS_[Conc.Sal.08])))))))),
0)</f>
        <v>13.133333333333331</v>
      </c>
      <c r="R29" s="196">
        <f t="array" ref="R29">IFERROR(
(AVERAGE((IF(DATOS_[[Sexo]:[Sexo]]=$B29,IF(DATOS_[[AGRUP. CLAS. PROF.]:[AGRUP. CLAS. PROF.]]=$B27,IF(DATOS_[[Check Periodo Ref.]:[Check Periodo Ref.]]="Dentro",IF(DATOS_[[Check Equiparado]:[Check Equiparado]]="Sí",IF(DATOS!AM$5="Sí",(1/DATOS_[[% anualiz]:[% anualiz]]),1)*IF(DATOS!AM$4="Sí",1/DATOS_[[% normaliz]:[% normaliz]],1)*(DATOS_[Conc.Sal.09])))))))),
0)</f>
        <v>22.32</v>
      </c>
      <c r="S29" s="196">
        <f t="array" ref="S29">IFERROR(
(AVERAGE((IF(DATOS_[[Sexo]:[Sexo]]=$B29,IF(DATOS_[[AGRUP. CLAS. PROF.]:[AGRUP. CLAS. PROF.]]=$B27,IF(DATOS_[[Check Periodo Ref.]:[Check Periodo Ref.]]="Dentro",IF(DATOS_[[Check Equiparado]:[Check Equiparado]]="Sí",IF(DATOS!AN$5="Sí",(1/DATOS_[[% anualiz]:[% anualiz]]),1)*IF(DATOS!AN$4="Sí",1/DATOS_[[% normaliz]:[% normaliz]],1)*(DATOS_[Conc.Sal.10])))))))),
0)</f>
        <v>284.59066666666666</v>
      </c>
      <c r="T29" s="196">
        <f t="array" ref="T29">IFERROR(
(AVERAGE((IF(DATOS_[[Sexo]:[Sexo]]=$B29,IF(DATOS_[[AGRUP. CLAS. PROF.]:[AGRUP. CLAS. PROF.]]=$B27,IF(DATOS_[[Check Periodo Ref.]:[Check Periodo Ref.]]="Dentro",IF(DATOS_[[Check Equiparado]:[Check Equiparado]]="Sí",IF(DATOS!AO$5="Sí",(1/DATOS_[[% anualiz]:[% anualiz]]),1)*IF(DATOS!AO$4="Sí",1/DATOS_[[% normaliz]:[% normaliz]],1)*(DATOS_[Conc.Sal.11])))))))),
0)</f>
        <v>319.88499999999993</v>
      </c>
      <c r="U29" s="196">
        <f t="array" ref="U29">IFERROR(
(AVERAGE((IF(DATOS_[[Sexo]:[Sexo]]=$B29,IF(DATOS_[[AGRUP. CLAS. PROF.]:[AGRUP. CLAS. PROF.]]=$B27,IF(DATOS_[[Check Periodo Ref.]:[Check Periodo Ref.]]="Dentro",IF(DATOS_[[Check Equiparado]:[Check Equiparado]]="Sí",IF(DATOS!AP$5="Sí",(1/DATOS_[[% anualiz]:[% anualiz]]),1)*IF(DATOS!AP$4="Sí",1/DATOS_[[% normaliz]:[% normaliz]],1)*(DATOS_[Conc.Sal.12])))))))),
0)</f>
        <v>769.14700683931437</v>
      </c>
      <c r="V29" s="196">
        <f t="array" ref="V29">IFERROR(
(AVERAGE((IF(DATOS_[[Sexo]:[Sexo]]=$B29,IF(DATOS_[[AGRUP. CLAS. PROF.]:[AGRUP. CLAS. PROF.]]=$B27,IF(DATOS_[[Check Periodo Ref.]:[Check Periodo Ref.]]="Dentro",IF(DATOS_[[Check Equiparado]:[Check Equiparado]]="Sí",IF(DATOS!AQ$5="Sí",(1/DATOS_[[% anualiz]:[% anualiz]]),1)*IF(DATOS!AQ$4="Sí",1/DATOS_[[% normaliz]:[% normaliz]],1)*(DATOS_[Conc.Sal.13])))))))),
0)</f>
        <v>0</v>
      </c>
      <c r="W29" s="196">
        <f t="array" ref="W29">IFERROR(
(AVERAGE((IF(DATOS_[[Sexo]:[Sexo]]=$B29,IF(DATOS_[[AGRUP. CLAS. PROF.]:[AGRUP. CLAS. PROF.]]=$B27,IF(DATOS_[[Check Periodo Ref.]:[Check Periodo Ref.]]="Dentro",IF(DATOS_[[Check Equiparado]:[Check Equiparado]]="Sí",IF(DATOS!AR$5="Sí",(1/DATOS_[[% anualiz]:[% anualiz]]),1)*IF(DATOS!AR$4="Sí",1/DATOS_[[% normaliz]:[% normaliz]],1)*(DATOS_[Conc.Sal.14])))))))),
0)</f>
        <v>270.11088460686602</v>
      </c>
      <c r="X29" s="196">
        <f t="array" ref="X29">IFERROR(
(AVERAGE((IF(DATOS_[[Sexo]:[Sexo]]=$B29,IF(DATOS_[[AGRUP. CLAS. PROF.]:[AGRUP. CLAS. PROF.]]=$B27,IF(DATOS_[[Check Periodo Ref.]:[Check Periodo Ref.]]="Dentro",IF(DATOS_[[Check Equiparado]:[Check Equiparado]]="Sí",IF(DATOS!AS$5="Sí",(1/DATOS_[[% anualiz]:[% anualiz]]),1)*IF(DATOS!AS$4="Sí",1/DATOS_[[% normaliz]:[% normaliz]],1)*(DATOS_[Conc.Sal.15])))))))),
0)</f>
        <v>197.23705046295385</v>
      </c>
      <c r="Y29" s="196">
        <f t="array" ref="Y29">IFERROR(
(AVERAGE((IF(DATOS_[[Sexo]:[Sexo]]=$B29,IF(DATOS_[[AGRUP. CLAS. PROF.]:[AGRUP. CLAS. PROF.]]=$B27,IF(DATOS_[[Check Periodo Ref.]:[Check Periodo Ref.]]="Dentro",IF(DATOS_[[Check Equiparado]:[Check Equiparado]]="Sí",IF(DATOS!AT$5="Sí",(1/DATOS_[[% anualiz]:[% anualiz]]),1)*IF(DATOS!AT$4="Sí",1/DATOS_[[% normaliz]:[% normaliz]],1)*(DATOS_[Conc.Sal.16])))))))),
0)</f>
        <v>2753.1371141052146</v>
      </c>
      <c r="Z29" s="196">
        <f t="array" ref="Z29">IFERROR(
(AVERAGE((IF(DATOS_[[Sexo]:[Sexo]]=$B29,IF(DATOS_[[AGRUP. CLAS. PROF.]:[AGRUP. CLAS. PROF.]]=$B27,IF(DATOS_[[Check Periodo Ref.]:[Check Periodo Ref.]]="Dentro",IF(DATOS_[[Check Equiparado]:[Check Equiparado]]="Sí",IF(DATOS!AU$5="Sí",(1/DATOS_[[% anualiz]:[% anualiz]]),1)*IF(DATOS!AU$4="Sí",1/DATOS_[[% normaliz]:[% normaliz]],1)*(DATOS_[Conc.Sal.17])))))))),
0)</f>
        <v>104.352</v>
      </c>
      <c r="AA29" s="196">
        <f t="array" ref="AA29">IFERROR(
(AVERAGE((IF(DATOS_[[Sexo]:[Sexo]]=$B29,IF(DATOS_[[AGRUP. CLAS. PROF.]:[AGRUP. CLAS. PROF.]]=$B27,IF(DATOS_[[Check Periodo Ref.]:[Check Periodo Ref.]]="Dentro",IF(DATOS_[[Check Equiparado]:[Check Equiparado]]="Sí",IF(DATOS!AV$5="Sí",(1/DATOS_[[% anualiz]:[% anualiz]]),1)*IF(DATOS!AV$4="Sí",1/DATOS_[[% normaliz]:[% normaliz]],1)*(DATOS_[Conc.Sal.18])))))))),
0)</f>
        <v>1319.7346666666667</v>
      </c>
      <c r="AB29" s="196">
        <f t="array" ref="AB29">IFERROR(
(AVERAGE((IF(DATOS_[[Sexo]:[Sexo]]=$B29,IF(DATOS_[[AGRUP. CLAS. PROF.]:[AGRUP. CLAS. PROF.]]=$B27,IF(DATOS_[[Check Periodo Ref.]:[Check Periodo Ref.]]="Dentro",IF(DATOS_[[Check Equiparado]:[Check Equiparado]]="Sí",IF(DATOS!AW$5="Sí",(1/DATOS_[[% anualiz]:[% anualiz]]),1)*IF(DATOS!AW$4="Sí",1/DATOS_[[% normaliz]:[% normaliz]],1)*(DATOS_[Conc.Sal.19])))))))),
0)</f>
        <v>548.99199999999996</v>
      </c>
      <c r="AC29" s="196">
        <f t="array" ref="AC29">IFERROR(
(AVERAGE((IF(DATOS_[[Sexo]:[Sexo]]=$B29,IF(DATOS_[[AGRUP. CLAS. PROF.]:[AGRUP. CLAS. PROF.]]=$B27,IF(DATOS_[[Check Periodo Ref.]:[Check Periodo Ref.]]="Dentro",IF(DATOS_[[Check Equiparado]:[Check Equiparado]]="Sí",IF(DATOS!AX$5="Sí",(1/DATOS_[[% anualiz]:[% anualiz]]),1)*IF(DATOS!AX$4="Sí",1/DATOS_[[% normaliz]:[% normaliz]],1)*(DATOS_[Conc.Sal.20])))))))),
0)</f>
        <v>570.38961038961031</v>
      </c>
      <c r="AD29" s="196">
        <f t="array" ref="AD29">IFERROR(
(AVERAGE((IF(DATOS_[[Sexo]:[Sexo]]=$B29,IF(DATOS_[[AGRUP. CLAS. PROF.]:[AGRUP. CLAS. PROF.]]=$B27,IF(DATOS_[[Check Periodo Ref.]:[Check Periodo Ref.]]="Dentro",IF(DATOS_[[Check Equiparado]:[Check Equiparado]]="Sí",IF(DATOS!AY$5="Sí",(1/DATOS_[[% anualiz]:[% anualiz]]),1)*IF(DATOS!AY$4="Sí",1/DATOS_[[% normaliz]:[% normaliz]],1)*(DATOS_[Conc.Sal.21])))))))),
0)</f>
        <v>175.31518481518481</v>
      </c>
      <c r="AE29" s="196">
        <f t="array" ref="AE29">IFERROR(
(AVERAGE((IF(DATOS_[[Sexo]:[Sexo]]=$B29,IF(DATOS_[[AGRUP. CLAS. PROF.]:[AGRUP. CLAS. PROF.]]=$B27,IF(DATOS_[[Check Periodo Ref.]:[Check Periodo Ref.]]="Dentro",IF(DATOS_[[Check Equiparado]:[Check Equiparado]]="Sí",IF(DATOS!AZ$5="Sí",(1/DATOS_[[% anualiz]:[% anualiz]]),1)*IF(DATOS!AZ$4="Sí",1/DATOS_[[% normaliz]:[% normaliz]],1)*(DATOS_[Conc.Sal.22])))))))),
0)</f>
        <v>0</v>
      </c>
      <c r="AF29" s="196">
        <f t="array" ref="AF29">IFERROR(
(AVERAGE((IF(DATOS_[[Sexo]:[Sexo]]=$B29,IF(DATOS_[[AGRUP. CLAS. PROF.]:[AGRUP. CLAS. PROF.]]=$B27,IF(DATOS_[[Check Periodo Ref.]:[Check Periodo Ref.]]="Dentro",IF(DATOS_[[Check Equiparado]:[Check Equiparado]]="Sí",IF(DATOS!BA$5="Sí",(1/DATOS_[[% anualiz]:[% anualiz]]),1)*IF(DATOS!BA$4="Sí",1/DATOS_[[% normaliz]:[% normaliz]],1)*(DATOS_[Conc.Sal.23])))))))),
0)</f>
        <v>0</v>
      </c>
      <c r="AG29" s="196">
        <f t="array" ref="AG29">IFERROR(
(AVERAGE((IF(DATOS_[[Sexo]:[Sexo]]=$B29,IF(DATOS_[[AGRUP. CLAS. PROF.]:[AGRUP. CLAS. PROF.]]=$B27,IF(DATOS_[[Check Periodo Ref.]:[Check Periodo Ref.]]="Dentro",IF(DATOS_[[Check Equiparado]:[Check Equiparado]]="Sí",IF(DATOS!BB$5="Sí",(1/DATOS_[[% anualiz]:[% anualiz]]),1)*IF(DATOS!BB$4="Sí",1/DATOS_[[% normaliz]:[% normaliz]],1)*(DATOS_[Conc.Sal.24])))))))),
0)</f>
        <v>0</v>
      </c>
      <c r="AH29" s="196">
        <f t="array" ref="AH29">IFERROR(
(AVERAGE((IF(DATOS_[[Sexo]:[Sexo]]=$B29,IF(DATOS_[[AGRUP. CLAS. PROF.]:[AGRUP. CLAS. PROF.]]=$B27,IF(DATOS_[[Check Periodo Ref.]:[Check Periodo Ref.]]="Dentro",IF(DATOS_[[Check Equiparado]:[Check Equiparado]]="Sí",IF(DATOS!BC$5="Sí",(1/DATOS_[[% anualiz]:[% anualiz]]),1)*IF(DATOS!BC$4="Sí",1/DATOS_[[% normaliz]:[% normaliz]],1)*(DATOS_[Conc.Sal.25])))))))),
0)</f>
        <v>0</v>
      </c>
      <c r="AI29" s="196">
        <f t="array" ref="AI29">IFERROR(
(AVERAGE((IF(DATOS_[[Sexo]:[Sexo]]=$B29,IF(DATOS_[[AGRUP. CLAS. PROF.]:[AGRUP. CLAS. PROF.]]=$B27,IF(DATOS_[[Check Periodo Ref.]:[Check Periodo Ref.]]="Dentro",IF(DATOS_[[Check Equiparado]:[Check Equiparado]]="Sí",IF(DATOS!BD$5="Sí",(1/DATOS_[[% anualiz]:[% anualiz]]),1)*IF(DATOS!BD$4="Sí",1/DATOS_[[% normaliz]:[% normaliz]],1)*(DATOS_[Conc.Sal.26])))))))),
0)</f>
        <v>0</v>
      </c>
      <c r="AJ29" s="196">
        <f t="array" ref="AJ29">IFERROR(
(AVERAGE((IF(DATOS_[[Sexo]:[Sexo]]=$B29,IF(DATOS_[[AGRUP. CLAS. PROF.]:[AGRUP. CLAS. PROF.]]=$B27,IF(DATOS_[[Check Periodo Ref.]:[Check Periodo Ref.]]="Dentro",IF(DATOS_[[Check Equiparado]:[Check Equiparado]]="Sí",IF(DATOS!BE$5="Sí",(1/DATOS_[[% anualiz]:[% anualiz]]),1)*IF(DATOS!BE$4="Sí",1/DATOS_[[% normaliz]:[% normaliz]],1)*(DATOS_[Conc.Sal.27])))))))),
0)</f>
        <v>0</v>
      </c>
      <c r="AK29" s="196">
        <f t="array" ref="AK29">IFERROR(
(AVERAGE((IF(DATOS_[[Sexo]:[Sexo]]=$B29,IF(DATOS_[[AGRUP. CLAS. PROF.]:[AGRUP. CLAS. PROF.]]=$B27,IF(DATOS_[[Check Periodo Ref.]:[Check Periodo Ref.]]="Dentro",IF(DATOS_[[Check Equiparado]:[Check Equiparado]]="Sí",IF(DATOS!BF$5="Sí",(1/DATOS_[[% anualiz]:[% anualiz]]),1)*IF(DATOS!BF$4="Sí",1/DATOS_[[% normaliz]:[% normaliz]],1)*(DATOS_[Conc.Sal.28])))))))),
0)</f>
        <v>0</v>
      </c>
      <c r="AL29" s="196">
        <f t="array" ref="AL29">IFERROR(
(AVERAGE((IF(DATOS_[[Sexo]:[Sexo]]=$B29,IF(DATOS_[[AGRUP. CLAS. PROF.]:[AGRUP. CLAS. PROF.]]=$B27,IF(DATOS_[[Check Periodo Ref.]:[Check Periodo Ref.]]="Dentro",IF(DATOS_[[Check Equiparado]:[Check Equiparado]]="Sí",IF(DATOS!BG$5="Sí",(1/DATOS_[[% anualiz]:[% anualiz]]),1)*IF(DATOS!BG$4="Sí",1/DATOS_[[% normaliz]:[% normaliz]],1)*(DATOS_[Conc.Sal.29])))))))),
0)</f>
        <v>0</v>
      </c>
      <c r="AM29" s="196">
        <f t="array" ref="AM29">IFERROR(
(AVERAGE((IF(DATOS_[[Sexo]:[Sexo]]=$B29,IF(DATOS_[[AGRUP. CLAS. PROF.]:[AGRUP. CLAS. PROF.]]=$B27,IF(DATOS_[[Check Periodo Ref.]:[Check Periodo Ref.]]="Dentro",IF(DATOS_[[Check Equiparado]:[Check Equiparado]]="Sí",IF(DATOS!BH$5="Sí",(1/DATOS_[[% anualiz]:[% anualiz]]),1)*IF(DATOS!BH$4="Sí",1/DATOS_[[% normaliz]:[% normaliz]],1)*(DATOS_[Conc.Sal.30])))))))),
0)</f>
        <v>0</v>
      </c>
      <c r="AN29" s="195">
        <f t="array" ref="AN29">IFERROR(
AVERAGE(IF(DATOS_[Sexo]=$B29,IF(DATOS_[[AGRUP. CLAS. PROF.]:[AGRUP. CLAS. PROF.]]=$B27,IF(DATOS_[Check Equiparado]="Sí",IF(DATOS_[Check Periodo Ref.]="Dentro",DATOS_[Tot COMPL.SAL Eq],FALSE))))),
0)</f>
        <v>7366.7098573617204</v>
      </c>
      <c r="AO29" s="172">
        <f t="array" ref="AO29">IFERROR(
AVERAGE(IF(DATOS_[Sexo]=$B29,IF(DATOS_[[AGRUP. CLAS. PROF.]:[AGRUP. CLAS. PROF.]]=$B27,IF(DATOS_[Check Equiparado]="Sí",IF(DATOS_[Check Periodo Ref.]="Dentro",DATOS_[TOTAL SALARIO Eq],FALSE))))),
0)</f>
        <v>17752.560684148171</v>
      </c>
      <c r="AP29" s="173">
        <f t="array" ref="AP29">IFERROR(
(AVERAGE((IF(DATOS_[[Sexo]:[Sexo]]=$B29,IF(DATOS_[[AGRUP. CLAS. PROF.]:[AGRUP. CLAS. PROF.]]=$B27,IF(DATOS_[[Check Periodo Ref.]:[Check Periodo Ref.]]="Dentro",IF(DATOS_[[Check Equiparado]:[Check Equiparado]]="Sí",IF(DATOS!BW$5="Sí",(1/DATOS_[[% anualiz]:[% anualiz]]),1)*IF(DATOS!BW$4="Sí",1/DATOS_[[% normaliz]:[% normaliz]],1)*(DATOS_[C.Extra.01])))))))),
0)</f>
        <v>0</v>
      </c>
      <c r="AQ29" s="173">
        <f t="array" ref="AQ29">IFERROR(
(AVERAGE((IF(DATOS_[[Sexo]:[Sexo]]=$B29,IF(DATOS_[[AGRUP. CLAS. PROF.]:[AGRUP. CLAS. PROF.]]=$B27,IF(DATOS_[[Check Periodo Ref.]:[Check Periodo Ref.]]="Dentro",IF(DATOS_[[Check Equiparado]:[Check Equiparado]]="Sí",IF(DATOS!CB$5="Sí",(1/DATOS_[[% anualiz]:[% anualiz]]),1)*IF(DATOS!CB$4="Sí",1/DATOS_[[% normaliz]:[% normaliz]],1)*(DATOS_[C.Extra.06])))))))),
0)</f>
        <v>0</v>
      </c>
      <c r="AR29" s="173">
        <f t="array" ref="AR29">IFERROR(
(AVERAGE((IF(DATOS_[[Sexo]:[Sexo]]=$B29,IF(DATOS_[[AGRUP. CLAS. PROF.]:[AGRUP. CLAS. PROF.]]=$B27,IF(DATOS_[[Check Periodo Ref.]:[Check Periodo Ref.]]="Dentro",IF(DATOS_[[Check Equiparado]:[Check Equiparado]]="Sí",IF(DATOS!CC$5="Sí",(1/DATOS_[[% anualiz]:[% anualiz]]),1)*IF(DATOS!CC$4="Sí",1/DATOS_[[% normaliz]:[% normaliz]],1)*(DATOS_[C.Extra.07])))))))),
0)</f>
        <v>0</v>
      </c>
      <c r="AS29" s="173">
        <f t="array" ref="AS29">IFERROR(
(AVERAGE((IF(DATOS_[[Sexo]:[Sexo]]=$B29,IF(DATOS_[[AGRUP. CLAS. PROF.]:[AGRUP. CLAS. PROF.]]=$B27,IF(DATOS_[[Check Periodo Ref.]:[Check Periodo Ref.]]="Dentro",IF(DATOS_[[Check Equiparado]:[Check Equiparado]]="Sí",IF(DATOS!CD$5="Sí",(1/DATOS_[[% anualiz]:[% anualiz]]),1)*IF(DATOS!CD$4="Sí",1/DATOS_[[% normaliz]:[% normaliz]],1)*(DATOS_[C.Extra.08])))))))),
0)</f>
        <v>0</v>
      </c>
      <c r="AT29" s="173">
        <f t="array" ref="AT29">IFERROR(
(AVERAGE((IF(DATOS_[[Sexo]:[Sexo]]=$B29,IF(DATOS_[[AGRUP. CLAS. PROF.]:[AGRUP. CLAS. PROF.]]=$B27,IF(DATOS_[[Check Periodo Ref.]:[Check Periodo Ref.]]="Dentro",IF(DATOS_[[Check Equiparado]:[Check Equiparado]]="Sí",IF(DATOS!CG$5="Sí",(1/DATOS_[[% anualiz]:[% anualiz]]),1)*IF(DATOS!CG$4="Sí",1/DATOS_[[% normaliz]:[% normaliz]],1)*(DATOS_[C.Extra.11])))))))),
0)</f>
        <v>0</v>
      </c>
      <c r="AU29" s="197">
        <f t="array" ref="AU29">IFERROR(
AVERAGE(IF(DATOS_[Sexo]=$B29,IF(DATOS_[[AGRUP. CLAS. PROF.]:[AGRUP. CLAS. PROF.]]=$B27,IF(DATOS_[Check Equiparado]="Sí",IF(DATOS_[Check Periodo Ref.]="Dentro",DATOS_[Tot Extrasalarial Eq],FALSE))))),
0)</f>
        <v>4270.1088312348347</v>
      </c>
      <c r="AV29" s="175">
        <f t="array" ref="AV29">IFERROR(
AVERAGE(IF(DATOS_[Sexo]=$B29,IF(DATOS_[[AGRUP. CLAS. PROF.]:[AGRUP. CLAS. PROF.]]=$B27,IF(DATOS_[Check Equiparado]="Sí",IF(DATOS_[Check Periodo Ref.]="Dentro",DATOS_[TOTAL Retrib Eq],FALSE))))),
0)</f>
        <v>22022.669515383004</v>
      </c>
    </row>
    <row r="30" spans="1:48" ht="15.6" thickBot="1" x14ac:dyDescent="0.3">
      <c r="A30" s="133" t="str">
        <f t="shared" ref="A30" si="23">+A31</f>
        <v>[ocultar]</v>
      </c>
      <c r="B30" s="199" t="s">
        <v>195</v>
      </c>
      <c r="C30" s="200"/>
      <c r="D30" s="201"/>
      <c r="E30" s="201"/>
      <c r="F30" s="201"/>
      <c r="G30" s="201"/>
      <c r="H30" s="201"/>
      <c r="I30" s="189" t="str">
        <f t="shared" ref="I30:AV30" si="24">IFERROR((I31-I32)/I31,"")</f>
        <v/>
      </c>
      <c r="J30" s="190" t="str">
        <f t="shared" si="24"/>
        <v/>
      </c>
      <c r="K30" s="191" t="str">
        <f t="shared" si="24"/>
        <v/>
      </c>
      <c r="L30" s="191" t="str">
        <f t="shared" si="24"/>
        <v/>
      </c>
      <c r="M30" s="191" t="str">
        <f t="shared" si="24"/>
        <v/>
      </c>
      <c r="N30" s="192" t="str">
        <f t="shared" si="24"/>
        <v/>
      </c>
      <c r="O30" s="193" t="str">
        <f t="shared" si="24"/>
        <v/>
      </c>
      <c r="P30" s="193" t="str">
        <f t="shared" si="24"/>
        <v/>
      </c>
      <c r="Q30" s="193" t="str">
        <f t="shared" si="24"/>
        <v/>
      </c>
      <c r="R30" s="193" t="str">
        <f t="shared" si="24"/>
        <v/>
      </c>
      <c r="S30" s="193" t="str">
        <f t="shared" si="24"/>
        <v/>
      </c>
      <c r="T30" s="193" t="str">
        <f t="shared" si="24"/>
        <v/>
      </c>
      <c r="U30" s="193" t="str">
        <f t="shared" si="24"/>
        <v/>
      </c>
      <c r="V30" s="193" t="str">
        <f t="shared" si="24"/>
        <v/>
      </c>
      <c r="W30" s="193" t="str">
        <f t="shared" si="24"/>
        <v/>
      </c>
      <c r="X30" s="193" t="str">
        <f t="shared" si="24"/>
        <v/>
      </c>
      <c r="Y30" s="193" t="str">
        <f t="shared" si="24"/>
        <v/>
      </c>
      <c r="Z30" s="193" t="str">
        <f t="shared" si="24"/>
        <v/>
      </c>
      <c r="AA30" s="193" t="str">
        <f t="shared" si="24"/>
        <v/>
      </c>
      <c r="AB30" s="193" t="str">
        <f t="shared" si="24"/>
        <v/>
      </c>
      <c r="AC30" s="193" t="str">
        <f t="shared" si="24"/>
        <v/>
      </c>
      <c r="AD30" s="193" t="str">
        <f t="shared" si="24"/>
        <v/>
      </c>
      <c r="AE30" s="193" t="str">
        <f t="shared" si="24"/>
        <v/>
      </c>
      <c r="AF30" s="193" t="str">
        <f t="shared" si="24"/>
        <v/>
      </c>
      <c r="AG30" s="193" t="str">
        <f t="shared" si="24"/>
        <v/>
      </c>
      <c r="AH30" s="193" t="str">
        <f t="shared" si="24"/>
        <v/>
      </c>
      <c r="AI30" s="193" t="str">
        <f t="shared" si="24"/>
        <v/>
      </c>
      <c r="AJ30" s="193" t="str">
        <f t="shared" si="24"/>
        <v/>
      </c>
      <c r="AK30" s="193" t="str">
        <f t="shared" si="24"/>
        <v/>
      </c>
      <c r="AL30" s="193" t="str">
        <f t="shared" si="24"/>
        <v/>
      </c>
      <c r="AM30" s="193" t="str">
        <f t="shared" si="24"/>
        <v/>
      </c>
      <c r="AN30" s="189" t="str">
        <f t="shared" si="24"/>
        <v/>
      </c>
      <c r="AO30" s="162" t="str">
        <f t="shared" si="24"/>
        <v/>
      </c>
      <c r="AP30" s="163" t="str">
        <f t="shared" si="24"/>
        <v/>
      </c>
      <c r="AQ30" s="163" t="str">
        <f t="shared" si="24"/>
        <v/>
      </c>
      <c r="AR30" s="163" t="str">
        <f t="shared" si="24"/>
        <v/>
      </c>
      <c r="AS30" s="163" t="str">
        <f t="shared" si="24"/>
        <v/>
      </c>
      <c r="AT30" s="163" t="str">
        <f t="shared" si="24"/>
        <v/>
      </c>
      <c r="AU30" s="194" t="str">
        <f t="shared" si="24"/>
        <v/>
      </c>
      <c r="AV30" s="165" t="str">
        <f t="shared" si="24"/>
        <v/>
      </c>
    </row>
    <row r="31" spans="1:48" x14ac:dyDescent="0.25">
      <c r="A31" s="133" t="str">
        <f t="shared" ref="A31" si="25">+IF(C31+C32=0,"[ocultar]","")</f>
        <v>[ocultar]</v>
      </c>
      <c r="B31" s="202" t="s">
        <v>394</v>
      </c>
      <c r="C31" s="203">
        <f t="array" ref="C31">SUM(IF($B31=DATOS_[Sexo],
IF($B30=DATOS_[AGRUP. CLAS. PROF.],
IF("Dentro"=DATOS_[Check Periodo Ref.],
1/(COUNTIFS(DATOS_[Sexo],$B31,DATOS_[AGRUP. CLAS. PROF.],$B30,DATOS_[Check Periodo Ref.],"Dentro",DATOS_[id/cod],DATOS_[id/cod]))))))</f>
        <v>0</v>
      </c>
      <c r="D31" s="204">
        <f>COUNTIFS(DATOS_[AGRUP. CLAS. PROF.],$B30,DATOS_[Sexo],$B31,DATOS_[Check Periodo Ref.],"Dentro")</f>
        <v>0</v>
      </c>
      <c r="E31" s="204">
        <f>COUNTIFS(DATOS_[AGRUP. CLAS. PROF.],$B30,DATOS_[Sexo],$B31,DATOS_[Check Periodo Ref.],"Dentro",DATOS_[Check Nº SC Norm],"Sí")</f>
        <v>0</v>
      </c>
      <c r="F31" s="204">
        <f>COUNTIFS(DATOS_[AGRUP. CLAS. PROF.],$B30,DATOS_[Sexo],$B31,DATOS_[Check Periodo Ref.],"Dentro",DATOS_[Check Nº SC Anualiz],"Sí")</f>
        <v>0</v>
      </c>
      <c r="G31" s="204">
        <f>COUNTIFS(DATOS_[AGRUP. CLAS. PROF.],$B30,DATOS_[Sexo],$B31,DATOS_[Check Periodo Ref.],"Dentro",DATOS_[Check Nº SC Norm y Anualiz],"Sí")</f>
        <v>0</v>
      </c>
      <c r="H31" s="204">
        <f>COUNTIFS(DATOS_[AGRUP. CLAS. PROF.],$B30,DATOS_[Sexo],$B31,DATOS_[Check Periodo Ref.],"Dentro",DATOS_[Check Equiparación],"Sí")</f>
        <v>0</v>
      </c>
      <c r="I31" s="195">
        <f t="array" ref="I31">IFERROR(
AVERAGE(IF(DATOS_[Sexo]=$B31,IF(DATOS_[[AGRUP. CLAS. PROF.]:[AGRUP. CLAS. PROF.]]=$B30,IF(DATOS_[Check Equiparado]="Sí",IF(DATOS_[Check Periodo Ref.]="Dentro",DATOS_[SALARIO BASE Eq],FALSE))))),
0)</f>
        <v>0</v>
      </c>
      <c r="J31" s="196">
        <f t="array" ref="J31">IFERROR(
(AVERAGE((IF(DATOS_[[Sexo]:[Sexo]]=$B31,IF(DATOS_[[AGRUP. CLAS. PROF.]:[AGRUP. CLAS. PROF.]]=$B30,IF(DATOS_[[Check Periodo Ref.]:[Check Periodo Ref.]]="Dentro",IF(DATOS_[[Check Equiparado]:[Check Equiparado]]="Sí",IF(DATOS!AE$5="Sí",(1/DATOS_[[% anualiz]:[% anualiz]]),1)*IF(DATOS!AE$4="Sí",1/DATOS_[[% normaliz]:[% normaliz]],1)*(DATOS_[Conc.Sal.01])))))))),
0)</f>
        <v>0</v>
      </c>
      <c r="K31" s="196">
        <f t="array" ref="K31">IFERROR(
(AVERAGE((IF(DATOS_[[Sexo]:[Sexo]]=$B31,IF(DATOS_[[AGRUP. CLAS. PROF.]:[AGRUP. CLAS. PROF.]]=$B30,IF(DATOS_[[Check Periodo Ref.]:[Check Periodo Ref.]]="Dentro",IF(DATOS_[[Check Equiparado]:[Check Equiparado]]="Sí",IF(DATOS!AF$5="Sí",(1/DATOS_[[% anualiz]:[% anualiz]]),1)*IF(DATOS!AF$4="Sí",1/DATOS_[[% normaliz]:[% normaliz]],1)*(DATOS_[Conc.Sal.02])))))))),
0)</f>
        <v>0</v>
      </c>
      <c r="L31" s="196">
        <f t="array" ref="L31">IFERROR(
(AVERAGE((IF(DATOS_[[Sexo]:[Sexo]]=$B31,IF(DATOS_[[AGRUP. CLAS. PROF.]:[AGRUP. CLAS. PROF.]]=$B30,IF(DATOS_[[Check Periodo Ref.]:[Check Periodo Ref.]]="Dentro",IF(DATOS_[[Check Equiparado]:[Check Equiparado]]="Sí",IF(DATOS!AG$5="Sí",(1/DATOS_[[% anualiz]:[% anualiz]]),1)*IF(DATOS!AG$4="Sí",1/DATOS_[[% normaliz]:[% normaliz]],1)*(DATOS_[Conc.Sal.03])))))))),
0)</f>
        <v>0</v>
      </c>
      <c r="M31" s="196">
        <f t="array" ref="M31">IFERROR(
(AVERAGE((IF(DATOS_[[Sexo]:[Sexo]]=$B31,IF(DATOS_[[AGRUP. CLAS. PROF.]:[AGRUP. CLAS. PROF.]]=$B30,IF(DATOS_[[Check Periodo Ref.]:[Check Periodo Ref.]]="Dentro",IF(DATOS_[[Check Equiparado]:[Check Equiparado]]="Sí",IF(DATOS!AH$5="Sí",(1/DATOS_[[% anualiz]:[% anualiz]]),1)*IF(DATOS!AH$4="Sí",1/DATOS_[[% normaliz]:[% normaliz]],1)*(DATOS_[Conc.Sal.04])))))))),
0)</f>
        <v>0</v>
      </c>
      <c r="N31" s="196">
        <f t="array" ref="N31">IFERROR(
(AVERAGE((IF(DATOS_[[Sexo]:[Sexo]]=$B31,IF(DATOS_[[AGRUP. CLAS. PROF.]:[AGRUP. CLAS. PROF.]]=$B30,IF(DATOS_[[Check Periodo Ref.]:[Check Periodo Ref.]]="Dentro",IF(DATOS_[[Check Equiparado]:[Check Equiparado]]="Sí",IF(DATOS!AI$5="Sí",(1/DATOS_[[% anualiz]:[% anualiz]]),1)*IF(DATOS!AI$4="Sí",1/DATOS_[[% normaliz]:[% normaliz]],1)*(DATOS_[Conc.Sal.05])))))))),
0)</f>
        <v>0</v>
      </c>
      <c r="O31" s="196">
        <f t="array" ref="O31">IFERROR(
(AVERAGE((IF(DATOS_[[Sexo]:[Sexo]]=$B31,IF(DATOS_[[AGRUP. CLAS. PROF.]:[AGRUP. CLAS. PROF.]]=$B30,IF(DATOS_[[Check Periodo Ref.]:[Check Periodo Ref.]]="Dentro",IF(DATOS_[[Check Equiparado]:[Check Equiparado]]="Sí",IF(DATOS!AJ$5="Sí",(1/DATOS_[[% anualiz]:[% anualiz]]),1)*IF(DATOS!AJ$4="Sí",1/DATOS_[[% normaliz]:[% normaliz]],1)*(DATOS_[Conc.Sal.06])))))))),
0)</f>
        <v>0</v>
      </c>
      <c r="P31" s="196">
        <f t="array" ref="P31">IFERROR(
(AVERAGE((IF(DATOS_[[Sexo]:[Sexo]]=$B31,IF(DATOS_[[AGRUP. CLAS. PROF.]:[AGRUP. CLAS. PROF.]]=$B30,IF(DATOS_[[Check Periodo Ref.]:[Check Periodo Ref.]]="Dentro",IF(DATOS_[[Check Equiparado]:[Check Equiparado]]="Sí",IF(DATOS!AK$5="Sí",(1/DATOS_[[% anualiz]:[% anualiz]]),1)*IF(DATOS!AK$4="Sí",1/DATOS_[[% normaliz]:[% normaliz]],1)*(DATOS_[Conc.Sal.07])))))))),
0)</f>
        <v>0</v>
      </c>
      <c r="Q31" s="196">
        <f t="array" ref="Q31">IFERROR(
(AVERAGE((IF(DATOS_[[Sexo]:[Sexo]]=$B31,IF(DATOS_[[AGRUP. CLAS. PROF.]:[AGRUP. CLAS. PROF.]]=$B30,IF(DATOS_[[Check Periodo Ref.]:[Check Periodo Ref.]]="Dentro",IF(DATOS_[[Check Equiparado]:[Check Equiparado]]="Sí",IF(DATOS!AL$5="Sí",(1/DATOS_[[% anualiz]:[% anualiz]]),1)*IF(DATOS!AL$4="Sí",1/DATOS_[[% normaliz]:[% normaliz]],1)*(DATOS_[Conc.Sal.08])))))))),
0)</f>
        <v>0</v>
      </c>
      <c r="R31" s="196">
        <f t="array" ref="R31">IFERROR(
(AVERAGE((IF(DATOS_[[Sexo]:[Sexo]]=$B31,IF(DATOS_[[AGRUP. CLAS. PROF.]:[AGRUP. CLAS. PROF.]]=$B30,IF(DATOS_[[Check Periodo Ref.]:[Check Periodo Ref.]]="Dentro",IF(DATOS_[[Check Equiparado]:[Check Equiparado]]="Sí",IF(DATOS!AM$5="Sí",(1/DATOS_[[% anualiz]:[% anualiz]]),1)*IF(DATOS!AM$4="Sí",1/DATOS_[[% normaliz]:[% normaliz]],1)*(DATOS_[Conc.Sal.09])))))))),
0)</f>
        <v>0</v>
      </c>
      <c r="S31" s="196">
        <f t="array" ref="S31">IFERROR(
(AVERAGE((IF(DATOS_[[Sexo]:[Sexo]]=$B31,IF(DATOS_[[AGRUP. CLAS. PROF.]:[AGRUP. CLAS. PROF.]]=$B30,IF(DATOS_[[Check Periodo Ref.]:[Check Periodo Ref.]]="Dentro",IF(DATOS_[[Check Equiparado]:[Check Equiparado]]="Sí",IF(DATOS!AN$5="Sí",(1/DATOS_[[% anualiz]:[% anualiz]]),1)*IF(DATOS!AN$4="Sí",1/DATOS_[[% normaliz]:[% normaliz]],1)*(DATOS_[Conc.Sal.10])))))))),
0)</f>
        <v>0</v>
      </c>
      <c r="T31" s="196">
        <f t="array" ref="T31">IFERROR(
(AVERAGE((IF(DATOS_[[Sexo]:[Sexo]]=$B31,IF(DATOS_[[AGRUP. CLAS. PROF.]:[AGRUP. CLAS. PROF.]]=$B30,IF(DATOS_[[Check Periodo Ref.]:[Check Periodo Ref.]]="Dentro",IF(DATOS_[[Check Equiparado]:[Check Equiparado]]="Sí",IF(DATOS!AO$5="Sí",(1/DATOS_[[% anualiz]:[% anualiz]]),1)*IF(DATOS!AO$4="Sí",1/DATOS_[[% normaliz]:[% normaliz]],1)*(DATOS_[Conc.Sal.11])))))))),
0)</f>
        <v>0</v>
      </c>
      <c r="U31" s="196">
        <f t="array" ref="U31">IFERROR(
(AVERAGE((IF(DATOS_[[Sexo]:[Sexo]]=$B31,IF(DATOS_[[AGRUP. CLAS. PROF.]:[AGRUP. CLAS. PROF.]]=$B30,IF(DATOS_[[Check Periodo Ref.]:[Check Periodo Ref.]]="Dentro",IF(DATOS_[[Check Equiparado]:[Check Equiparado]]="Sí",IF(DATOS!AP$5="Sí",(1/DATOS_[[% anualiz]:[% anualiz]]),1)*IF(DATOS!AP$4="Sí",1/DATOS_[[% normaliz]:[% normaliz]],1)*(DATOS_[Conc.Sal.12])))))))),
0)</f>
        <v>0</v>
      </c>
      <c r="V31" s="196">
        <f t="array" ref="V31">IFERROR(
(AVERAGE((IF(DATOS_[[Sexo]:[Sexo]]=$B31,IF(DATOS_[[AGRUP. CLAS. PROF.]:[AGRUP. CLAS. PROF.]]=$B30,IF(DATOS_[[Check Periodo Ref.]:[Check Periodo Ref.]]="Dentro",IF(DATOS_[[Check Equiparado]:[Check Equiparado]]="Sí",IF(DATOS!AQ$5="Sí",(1/DATOS_[[% anualiz]:[% anualiz]]),1)*IF(DATOS!AQ$4="Sí",1/DATOS_[[% normaliz]:[% normaliz]],1)*(DATOS_[Conc.Sal.13])))))))),
0)</f>
        <v>0</v>
      </c>
      <c r="W31" s="196">
        <f t="array" ref="W31">IFERROR(
(AVERAGE((IF(DATOS_[[Sexo]:[Sexo]]=$B31,IF(DATOS_[[AGRUP. CLAS. PROF.]:[AGRUP. CLAS. PROF.]]=$B30,IF(DATOS_[[Check Periodo Ref.]:[Check Periodo Ref.]]="Dentro",IF(DATOS_[[Check Equiparado]:[Check Equiparado]]="Sí",IF(DATOS!AR$5="Sí",(1/DATOS_[[% anualiz]:[% anualiz]]),1)*IF(DATOS!AR$4="Sí",1/DATOS_[[% normaliz]:[% normaliz]],1)*(DATOS_[Conc.Sal.14])))))))),
0)</f>
        <v>0</v>
      </c>
      <c r="X31" s="196">
        <f t="array" ref="X31">IFERROR(
(AVERAGE((IF(DATOS_[[Sexo]:[Sexo]]=$B31,IF(DATOS_[[AGRUP. CLAS. PROF.]:[AGRUP. CLAS. PROF.]]=$B30,IF(DATOS_[[Check Periodo Ref.]:[Check Periodo Ref.]]="Dentro",IF(DATOS_[[Check Equiparado]:[Check Equiparado]]="Sí",IF(DATOS!AS$5="Sí",(1/DATOS_[[% anualiz]:[% anualiz]]),1)*IF(DATOS!AS$4="Sí",1/DATOS_[[% normaliz]:[% normaliz]],1)*(DATOS_[Conc.Sal.15])))))))),
0)</f>
        <v>0</v>
      </c>
      <c r="Y31" s="196">
        <f t="array" ref="Y31">IFERROR(
(AVERAGE((IF(DATOS_[[Sexo]:[Sexo]]=$B31,IF(DATOS_[[AGRUP. CLAS. PROF.]:[AGRUP. CLAS. PROF.]]=$B30,IF(DATOS_[[Check Periodo Ref.]:[Check Periodo Ref.]]="Dentro",IF(DATOS_[[Check Equiparado]:[Check Equiparado]]="Sí",IF(DATOS!AT$5="Sí",(1/DATOS_[[% anualiz]:[% anualiz]]),1)*IF(DATOS!AT$4="Sí",1/DATOS_[[% normaliz]:[% normaliz]],1)*(DATOS_[Conc.Sal.16])))))))),
0)</f>
        <v>0</v>
      </c>
      <c r="Z31" s="196">
        <f t="array" ref="Z31">IFERROR(
(AVERAGE((IF(DATOS_[[Sexo]:[Sexo]]=$B31,IF(DATOS_[[AGRUP. CLAS. PROF.]:[AGRUP. CLAS. PROF.]]=$B30,IF(DATOS_[[Check Periodo Ref.]:[Check Periodo Ref.]]="Dentro",IF(DATOS_[[Check Equiparado]:[Check Equiparado]]="Sí",IF(DATOS!AU$5="Sí",(1/DATOS_[[% anualiz]:[% anualiz]]),1)*IF(DATOS!AU$4="Sí",1/DATOS_[[% normaliz]:[% normaliz]],1)*(DATOS_[Conc.Sal.17])))))))),
0)</f>
        <v>0</v>
      </c>
      <c r="AA31" s="196">
        <f t="array" ref="AA31">IFERROR(
(AVERAGE((IF(DATOS_[[Sexo]:[Sexo]]=$B31,IF(DATOS_[[AGRUP. CLAS. PROF.]:[AGRUP. CLAS. PROF.]]=$B30,IF(DATOS_[[Check Periodo Ref.]:[Check Periodo Ref.]]="Dentro",IF(DATOS_[[Check Equiparado]:[Check Equiparado]]="Sí",IF(DATOS!AV$5="Sí",(1/DATOS_[[% anualiz]:[% anualiz]]),1)*IF(DATOS!AV$4="Sí",1/DATOS_[[% normaliz]:[% normaliz]],1)*(DATOS_[Conc.Sal.18])))))))),
0)</f>
        <v>0</v>
      </c>
      <c r="AB31" s="196">
        <f t="array" ref="AB31">IFERROR(
(AVERAGE((IF(DATOS_[[Sexo]:[Sexo]]=$B31,IF(DATOS_[[AGRUP. CLAS. PROF.]:[AGRUP. CLAS. PROF.]]=$B30,IF(DATOS_[[Check Periodo Ref.]:[Check Periodo Ref.]]="Dentro",IF(DATOS_[[Check Equiparado]:[Check Equiparado]]="Sí",IF(DATOS!AW$5="Sí",(1/DATOS_[[% anualiz]:[% anualiz]]),1)*IF(DATOS!AW$4="Sí",1/DATOS_[[% normaliz]:[% normaliz]],1)*(DATOS_[Conc.Sal.19])))))))),
0)</f>
        <v>0</v>
      </c>
      <c r="AC31" s="196">
        <f t="array" ref="AC31">IFERROR(
(AVERAGE((IF(DATOS_[[Sexo]:[Sexo]]=$B31,IF(DATOS_[[AGRUP. CLAS. PROF.]:[AGRUP. CLAS. PROF.]]=$B30,IF(DATOS_[[Check Periodo Ref.]:[Check Periodo Ref.]]="Dentro",IF(DATOS_[[Check Equiparado]:[Check Equiparado]]="Sí",IF(DATOS!AX$5="Sí",(1/DATOS_[[% anualiz]:[% anualiz]]),1)*IF(DATOS!AX$4="Sí",1/DATOS_[[% normaliz]:[% normaliz]],1)*(DATOS_[Conc.Sal.20])))))))),
0)</f>
        <v>0</v>
      </c>
      <c r="AD31" s="196">
        <f t="array" ref="AD31">IFERROR(
(AVERAGE((IF(DATOS_[[Sexo]:[Sexo]]=$B31,IF(DATOS_[[AGRUP. CLAS. PROF.]:[AGRUP. CLAS. PROF.]]=$B30,IF(DATOS_[[Check Periodo Ref.]:[Check Periodo Ref.]]="Dentro",IF(DATOS_[[Check Equiparado]:[Check Equiparado]]="Sí",IF(DATOS!AY$5="Sí",(1/DATOS_[[% anualiz]:[% anualiz]]),1)*IF(DATOS!AY$4="Sí",1/DATOS_[[% normaliz]:[% normaliz]],1)*(DATOS_[Conc.Sal.21])))))))),
0)</f>
        <v>0</v>
      </c>
      <c r="AE31" s="196">
        <f t="array" ref="AE31">IFERROR(
(AVERAGE((IF(DATOS_[[Sexo]:[Sexo]]=$B31,IF(DATOS_[[AGRUP. CLAS. PROF.]:[AGRUP. CLAS. PROF.]]=$B30,IF(DATOS_[[Check Periodo Ref.]:[Check Periodo Ref.]]="Dentro",IF(DATOS_[[Check Equiparado]:[Check Equiparado]]="Sí",IF(DATOS!AZ$5="Sí",(1/DATOS_[[% anualiz]:[% anualiz]]),1)*IF(DATOS!AZ$4="Sí",1/DATOS_[[% normaliz]:[% normaliz]],1)*(DATOS_[Conc.Sal.22])))))))),
0)</f>
        <v>0</v>
      </c>
      <c r="AF31" s="196">
        <f t="array" ref="AF31">IFERROR(
(AVERAGE((IF(DATOS_[[Sexo]:[Sexo]]=$B31,IF(DATOS_[[AGRUP. CLAS. PROF.]:[AGRUP. CLAS. PROF.]]=$B30,IF(DATOS_[[Check Periodo Ref.]:[Check Periodo Ref.]]="Dentro",IF(DATOS_[[Check Equiparado]:[Check Equiparado]]="Sí",IF(DATOS!BA$5="Sí",(1/DATOS_[[% anualiz]:[% anualiz]]),1)*IF(DATOS!BA$4="Sí",1/DATOS_[[% normaliz]:[% normaliz]],1)*(DATOS_[Conc.Sal.23])))))))),
0)</f>
        <v>0</v>
      </c>
      <c r="AG31" s="196">
        <f t="array" ref="AG31">IFERROR(
(AVERAGE((IF(DATOS_[[Sexo]:[Sexo]]=$B31,IF(DATOS_[[AGRUP. CLAS. PROF.]:[AGRUP. CLAS. PROF.]]=$B30,IF(DATOS_[[Check Periodo Ref.]:[Check Periodo Ref.]]="Dentro",IF(DATOS_[[Check Equiparado]:[Check Equiparado]]="Sí",IF(DATOS!BB$5="Sí",(1/DATOS_[[% anualiz]:[% anualiz]]),1)*IF(DATOS!BB$4="Sí",1/DATOS_[[% normaliz]:[% normaliz]],1)*(DATOS_[Conc.Sal.24])))))))),
0)</f>
        <v>0</v>
      </c>
      <c r="AH31" s="196">
        <f t="array" ref="AH31">IFERROR(
(AVERAGE((IF(DATOS_[[Sexo]:[Sexo]]=$B31,IF(DATOS_[[AGRUP. CLAS. PROF.]:[AGRUP. CLAS. PROF.]]=$B30,IF(DATOS_[[Check Periodo Ref.]:[Check Periodo Ref.]]="Dentro",IF(DATOS_[[Check Equiparado]:[Check Equiparado]]="Sí",IF(DATOS!BC$5="Sí",(1/DATOS_[[% anualiz]:[% anualiz]]),1)*IF(DATOS!BC$4="Sí",1/DATOS_[[% normaliz]:[% normaliz]],1)*(DATOS_[Conc.Sal.25])))))))),
0)</f>
        <v>0</v>
      </c>
      <c r="AI31" s="196">
        <f t="array" ref="AI31">IFERROR(
(AVERAGE((IF(DATOS_[[Sexo]:[Sexo]]=$B31,IF(DATOS_[[AGRUP. CLAS. PROF.]:[AGRUP. CLAS. PROF.]]=$B30,IF(DATOS_[[Check Periodo Ref.]:[Check Periodo Ref.]]="Dentro",IF(DATOS_[[Check Equiparado]:[Check Equiparado]]="Sí",IF(DATOS!BD$5="Sí",(1/DATOS_[[% anualiz]:[% anualiz]]),1)*IF(DATOS!BD$4="Sí",1/DATOS_[[% normaliz]:[% normaliz]],1)*(DATOS_[Conc.Sal.26])))))))),
0)</f>
        <v>0</v>
      </c>
      <c r="AJ31" s="196">
        <f t="array" ref="AJ31">IFERROR(
(AVERAGE((IF(DATOS_[[Sexo]:[Sexo]]=$B31,IF(DATOS_[[AGRUP. CLAS. PROF.]:[AGRUP. CLAS. PROF.]]=$B30,IF(DATOS_[[Check Periodo Ref.]:[Check Periodo Ref.]]="Dentro",IF(DATOS_[[Check Equiparado]:[Check Equiparado]]="Sí",IF(DATOS!BE$5="Sí",(1/DATOS_[[% anualiz]:[% anualiz]]),1)*IF(DATOS!BE$4="Sí",1/DATOS_[[% normaliz]:[% normaliz]],1)*(DATOS_[Conc.Sal.27])))))))),
0)</f>
        <v>0</v>
      </c>
      <c r="AK31" s="196">
        <f t="array" ref="AK31">IFERROR(
(AVERAGE((IF(DATOS_[[Sexo]:[Sexo]]=$B31,IF(DATOS_[[AGRUP. CLAS. PROF.]:[AGRUP. CLAS. PROF.]]=$B30,IF(DATOS_[[Check Periodo Ref.]:[Check Periodo Ref.]]="Dentro",IF(DATOS_[[Check Equiparado]:[Check Equiparado]]="Sí",IF(DATOS!BF$5="Sí",(1/DATOS_[[% anualiz]:[% anualiz]]),1)*IF(DATOS!BF$4="Sí",1/DATOS_[[% normaliz]:[% normaliz]],1)*(DATOS_[Conc.Sal.28])))))))),
0)</f>
        <v>0</v>
      </c>
      <c r="AL31" s="196">
        <f t="array" ref="AL31">IFERROR(
(AVERAGE((IF(DATOS_[[Sexo]:[Sexo]]=$B31,IF(DATOS_[[AGRUP. CLAS. PROF.]:[AGRUP. CLAS. PROF.]]=$B30,IF(DATOS_[[Check Periodo Ref.]:[Check Periodo Ref.]]="Dentro",IF(DATOS_[[Check Equiparado]:[Check Equiparado]]="Sí",IF(DATOS!BG$5="Sí",(1/DATOS_[[% anualiz]:[% anualiz]]),1)*IF(DATOS!BG$4="Sí",1/DATOS_[[% normaliz]:[% normaliz]],1)*(DATOS_[Conc.Sal.29])))))))),
0)</f>
        <v>0</v>
      </c>
      <c r="AM31" s="196">
        <f t="array" ref="AM31">IFERROR(
(AVERAGE((IF(DATOS_[[Sexo]:[Sexo]]=$B31,IF(DATOS_[[AGRUP. CLAS. PROF.]:[AGRUP. CLAS. PROF.]]=$B30,IF(DATOS_[[Check Periodo Ref.]:[Check Periodo Ref.]]="Dentro",IF(DATOS_[[Check Equiparado]:[Check Equiparado]]="Sí",IF(DATOS!BH$5="Sí",(1/DATOS_[[% anualiz]:[% anualiz]]),1)*IF(DATOS!BH$4="Sí",1/DATOS_[[% normaliz]:[% normaliz]],1)*(DATOS_[Conc.Sal.30])))))))),
0)</f>
        <v>0</v>
      </c>
      <c r="AN31" s="195">
        <f t="array" ref="AN31">IFERROR(
AVERAGE(IF(DATOS_[Sexo]=$B31,IF(DATOS_[[AGRUP. CLAS. PROF.]:[AGRUP. CLAS. PROF.]]=$B30,IF(DATOS_[Check Equiparado]="Sí",IF(DATOS_[Check Periodo Ref.]="Dentro",DATOS_[Tot COMPL.SAL Eq],FALSE))))),
0)</f>
        <v>0</v>
      </c>
      <c r="AO31" s="172">
        <f t="array" ref="AO31">IFERROR(
AVERAGE(IF(DATOS_[Sexo]=$B31,IF(DATOS_[[AGRUP. CLAS. PROF.]:[AGRUP. CLAS. PROF.]]=$B30,IF(DATOS_[Check Equiparado]="Sí",IF(DATOS_[Check Periodo Ref.]="Dentro",DATOS_[TOTAL SALARIO Eq],FALSE))))),
0)</f>
        <v>0</v>
      </c>
      <c r="AP31" s="173">
        <f t="array" ref="AP31">IFERROR(
(AVERAGE((IF(DATOS_[[Sexo]:[Sexo]]=$B31,IF(DATOS_[[AGRUP. CLAS. PROF.]:[AGRUP. CLAS. PROF.]]=$B30,IF(DATOS_[[Check Periodo Ref.]:[Check Periodo Ref.]]="Dentro",IF(DATOS_[[Check Equiparado]:[Check Equiparado]]="Sí",IF(DATOS!BW$5="Sí",(1/DATOS_[[% anualiz]:[% anualiz]]),1)*IF(DATOS!BW$4="Sí",1/DATOS_[[% normaliz]:[% normaliz]],1)*(DATOS_[C.Extra.01])))))))),
0)</f>
        <v>0</v>
      </c>
      <c r="AQ31" s="173">
        <f t="array" ref="AQ31">IFERROR(
(AVERAGE((IF(DATOS_[[Sexo]:[Sexo]]=$B31,IF(DATOS_[[AGRUP. CLAS. PROF.]:[AGRUP. CLAS. PROF.]]=$B30,IF(DATOS_[[Check Periodo Ref.]:[Check Periodo Ref.]]="Dentro",IF(DATOS_[[Check Equiparado]:[Check Equiparado]]="Sí",IF(DATOS!CB$5="Sí",(1/DATOS_[[% anualiz]:[% anualiz]]),1)*IF(DATOS!CB$4="Sí",1/DATOS_[[% normaliz]:[% normaliz]],1)*(DATOS_[C.Extra.06])))))))),
0)</f>
        <v>0</v>
      </c>
      <c r="AR31" s="173">
        <f t="array" ref="AR31">IFERROR(
(AVERAGE((IF(DATOS_[[Sexo]:[Sexo]]=$B31,IF(DATOS_[[AGRUP. CLAS. PROF.]:[AGRUP. CLAS. PROF.]]=$B30,IF(DATOS_[[Check Periodo Ref.]:[Check Periodo Ref.]]="Dentro",IF(DATOS_[[Check Equiparado]:[Check Equiparado]]="Sí",IF(DATOS!CC$5="Sí",(1/DATOS_[[% anualiz]:[% anualiz]]),1)*IF(DATOS!CC$4="Sí",1/DATOS_[[% normaliz]:[% normaliz]],1)*(DATOS_[C.Extra.07])))))))),
0)</f>
        <v>0</v>
      </c>
      <c r="AS31" s="173">
        <f t="array" ref="AS31">IFERROR(
(AVERAGE((IF(DATOS_[[Sexo]:[Sexo]]=$B31,IF(DATOS_[[AGRUP. CLAS. PROF.]:[AGRUP. CLAS. PROF.]]=$B30,IF(DATOS_[[Check Periodo Ref.]:[Check Periodo Ref.]]="Dentro",IF(DATOS_[[Check Equiparado]:[Check Equiparado]]="Sí",IF(DATOS!CD$5="Sí",(1/DATOS_[[% anualiz]:[% anualiz]]),1)*IF(DATOS!CD$4="Sí",1/DATOS_[[% normaliz]:[% normaliz]],1)*(DATOS_[C.Extra.08])))))))),
0)</f>
        <v>0</v>
      </c>
      <c r="AT31" s="173">
        <f t="array" ref="AT31">IFERROR(
(AVERAGE((IF(DATOS_[[Sexo]:[Sexo]]=$B31,IF(DATOS_[[AGRUP. CLAS. PROF.]:[AGRUP. CLAS. PROF.]]=$B30,IF(DATOS_[[Check Periodo Ref.]:[Check Periodo Ref.]]="Dentro",IF(DATOS_[[Check Equiparado]:[Check Equiparado]]="Sí",IF(DATOS!CG$5="Sí",(1/DATOS_[[% anualiz]:[% anualiz]]),1)*IF(DATOS!CG$4="Sí",1/DATOS_[[% normaliz]:[% normaliz]],1)*(DATOS_[C.Extra.11])))))))),
0)</f>
        <v>0</v>
      </c>
      <c r="AU31" s="197">
        <f t="array" ref="AU31">IFERROR(
AVERAGE(IF(DATOS_[Sexo]=$B31,IF(DATOS_[[AGRUP. CLAS. PROF.]:[AGRUP. CLAS. PROF.]]=$B30,IF(DATOS_[Check Equiparado]="Sí",IF(DATOS_[Check Periodo Ref.]="Dentro",DATOS_[Tot Extrasalarial Eq],FALSE))))),
0)</f>
        <v>0</v>
      </c>
      <c r="AV31" s="175">
        <f t="array" ref="AV31">IFERROR(
AVERAGE(IF(DATOS_[Sexo]=$B31,IF(DATOS_[[AGRUP. CLAS. PROF.]:[AGRUP. CLAS. PROF.]]=$B30,IF(DATOS_[Check Equiparado]="Sí",IF(DATOS_[Check Periodo Ref.]="Dentro",DATOS_[TOTAL Retrib Eq],FALSE))))),
0)</f>
        <v>0</v>
      </c>
    </row>
    <row r="32" spans="1:48" x14ac:dyDescent="0.25">
      <c r="A32" s="133" t="str">
        <f t="shared" ref="A32" si="26">+A31</f>
        <v>[ocultar]</v>
      </c>
      <c r="B32" s="202" t="s">
        <v>521</v>
      </c>
      <c r="C32" s="203">
        <f t="array" ref="C32">SUM(IF($B32=DATOS_[Sexo],
IF($B30=DATOS_[AGRUP. CLAS. PROF.],
IF("Dentro"=DATOS_[Check Periodo Ref.],
1/(COUNTIFS(DATOS_[Sexo],$B32,DATOS_[AGRUP. CLAS. PROF.],$B30,DATOS_[Check Periodo Ref.],"Dentro",DATOS_[id/cod],DATOS_[id/cod]))))))</f>
        <v>0</v>
      </c>
      <c r="D32" s="204">
        <f>COUNTIFS(DATOS_[AGRUP. CLAS. PROF.],$B30,DATOS_[Sexo],$B32,DATOS_[Check Periodo Ref.],"Dentro")</f>
        <v>0</v>
      </c>
      <c r="E32" s="204">
        <f>COUNTIFS(DATOS_[AGRUP. CLAS. PROF.],$B30,DATOS_[Sexo],$B32,DATOS_[Check Periodo Ref.],"Dentro",DATOS_[Check Nº SC Norm],"Sí")</f>
        <v>0</v>
      </c>
      <c r="F32" s="204">
        <f>COUNTIFS(DATOS_[AGRUP. CLAS. PROF.],$B30,DATOS_[Sexo],$B32,DATOS_[Check Periodo Ref.],"Dentro",DATOS_[Check Nº SC Anualiz],"Sí")</f>
        <v>0</v>
      </c>
      <c r="G32" s="204">
        <f>COUNTIFS(DATOS_[AGRUP. CLAS. PROF.],$B30,DATOS_[Sexo],$B32,DATOS_[Check Periodo Ref.],"Dentro",DATOS_[Check Nº SC Norm y Anualiz],"Sí")</f>
        <v>0</v>
      </c>
      <c r="H32" s="204">
        <f>COUNTIFS(DATOS_[AGRUP. CLAS. PROF.],$B30,DATOS_[Sexo],$B32,DATOS_[Check Periodo Ref.],"Dentro",DATOS_[Check Equiparación],"Sí")</f>
        <v>0</v>
      </c>
      <c r="I32" s="195" cm="1">
        <f t="array" ref="I32">IFERROR(
AVERAGE(IF(DATOS_[Sexo]=$B32,IF(DATOS_[[AGRUP. CLAS. PROF.]:[AGRUP. CLAS. PROF.]]=$B30,IF(DATOS_[Check Equiparado]="Sí",IF(DATOS_[Check Periodo Ref.]="Dentro",DATOS_[SALARIO BASE Eq],FALSE))))),
0)</f>
        <v>0</v>
      </c>
      <c r="J32" s="196">
        <f t="array" ref="J32">IFERROR(
(AVERAGE((IF(DATOS_[[Sexo]:[Sexo]]=$B32,IF(DATOS_[[AGRUP. CLAS. PROF.]:[AGRUP. CLAS. PROF.]]=$B30,IF(DATOS_[[Check Periodo Ref.]:[Check Periodo Ref.]]="Dentro",IF(DATOS_[[Check Equiparado]:[Check Equiparado]]="Sí",IF(DATOS!AE$5="Sí",(1/DATOS_[[% anualiz]:[% anualiz]]),1)*IF(DATOS!AE$4="Sí",1/DATOS_[[% normaliz]:[% normaliz]],1)*(DATOS_[Conc.Sal.01])))))))),
0)</f>
        <v>0</v>
      </c>
      <c r="K32" s="196">
        <f t="array" ref="K32">IFERROR(
(AVERAGE((IF(DATOS_[[Sexo]:[Sexo]]=$B32,IF(DATOS_[[AGRUP. CLAS. PROF.]:[AGRUP. CLAS. PROF.]]=$B30,IF(DATOS_[[Check Periodo Ref.]:[Check Periodo Ref.]]="Dentro",IF(DATOS_[[Check Equiparado]:[Check Equiparado]]="Sí",IF(DATOS!AF$5="Sí",(1/DATOS_[[% anualiz]:[% anualiz]]),1)*IF(DATOS!AF$4="Sí",1/DATOS_[[% normaliz]:[% normaliz]],1)*(DATOS_[Conc.Sal.02])))))))),
0)</f>
        <v>0</v>
      </c>
      <c r="L32" s="196">
        <f t="array" ref="L32">IFERROR(
(AVERAGE((IF(DATOS_[[Sexo]:[Sexo]]=$B32,IF(DATOS_[[AGRUP. CLAS. PROF.]:[AGRUP. CLAS. PROF.]]=$B30,IF(DATOS_[[Check Periodo Ref.]:[Check Periodo Ref.]]="Dentro",IF(DATOS_[[Check Equiparado]:[Check Equiparado]]="Sí",IF(DATOS!AG$5="Sí",(1/DATOS_[[% anualiz]:[% anualiz]]),1)*IF(DATOS!AG$4="Sí",1/DATOS_[[% normaliz]:[% normaliz]],1)*(DATOS_[Conc.Sal.03])))))))),
0)</f>
        <v>0</v>
      </c>
      <c r="M32" s="196">
        <f t="array" ref="M32">IFERROR(
(AVERAGE((IF(DATOS_[[Sexo]:[Sexo]]=$B32,IF(DATOS_[[AGRUP. CLAS. PROF.]:[AGRUP. CLAS. PROF.]]=$B30,IF(DATOS_[[Check Periodo Ref.]:[Check Periodo Ref.]]="Dentro",IF(DATOS_[[Check Equiparado]:[Check Equiparado]]="Sí",IF(DATOS!AH$5="Sí",(1/DATOS_[[% anualiz]:[% anualiz]]),1)*IF(DATOS!AH$4="Sí",1/DATOS_[[% normaliz]:[% normaliz]],1)*(DATOS_[Conc.Sal.04])))))))),
0)</f>
        <v>0</v>
      </c>
      <c r="N32" s="196">
        <f t="array" ref="N32">IFERROR(
(AVERAGE((IF(DATOS_[[Sexo]:[Sexo]]=$B32,IF(DATOS_[[AGRUP. CLAS. PROF.]:[AGRUP. CLAS. PROF.]]=$B30,IF(DATOS_[[Check Periodo Ref.]:[Check Periodo Ref.]]="Dentro",IF(DATOS_[[Check Equiparado]:[Check Equiparado]]="Sí",IF(DATOS!AI$5="Sí",(1/DATOS_[[% anualiz]:[% anualiz]]),1)*IF(DATOS!AI$4="Sí",1/DATOS_[[% normaliz]:[% normaliz]],1)*(DATOS_[Conc.Sal.05])))))))),
0)</f>
        <v>0</v>
      </c>
      <c r="O32" s="196">
        <f t="array" ref="O32">IFERROR(
(AVERAGE((IF(DATOS_[[Sexo]:[Sexo]]=$B32,IF(DATOS_[[AGRUP. CLAS. PROF.]:[AGRUP. CLAS. PROF.]]=$B30,IF(DATOS_[[Check Periodo Ref.]:[Check Periodo Ref.]]="Dentro",IF(DATOS_[[Check Equiparado]:[Check Equiparado]]="Sí",IF(DATOS!AJ$5="Sí",(1/DATOS_[[% anualiz]:[% anualiz]]),1)*IF(DATOS!AJ$4="Sí",1/DATOS_[[% normaliz]:[% normaliz]],1)*(DATOS_[Conc.Sal.06])))))))),
0)</f>
        <v>0</v>
      </c>
      <c r="P32" s="196">
        <f t="array" ref="P32">IFERROR(
(AVERAGE((IF(DATOS_[[Sexo]:[Sexo]]=$B32,IF(DATOS_[[AGRUP. CLAS. PROF.]:[AGRUP. CLAS. PROF.]]=$B30,IF(DATOS_[[Check Periodo Ref.]:[Check Periodo Ref.]]="Dentro",IF(DATOS_[[Check Equiparado]:[Check Equiparado]]="Sí",IF(DATOS!AK$5="Sí",(1/DATOS_[[% anualiz]:[% anualiz]]),1)*IF(DATOS!AK$4="Sí",1/DATOS_[[% normaliz]:[% normaliz]],1)*(DATOS_[Conc.Sal.07])))))))),
0)</f>
        <v>0</v>
      </c>
      <c r="Q32" s="196">
        <f t="array" ref="Q32">IFERROR(
(AVERAGE((IF(DATOS_[[Sexo]:[Sexo]]=$B32,IF(DATOS_[[AGRUP. CLAS. PROF.]:[AGRUP. CLAS. PROF.]]=$B30,IF(DATOS_[[Check Periodo Ref.]:[Check Periodo Ref.]]="Dentro",IF(DATOS_[[Check Equiparado]:[Check Equiparado]]="Sí",IF(DATOS!AL$5="Sí",(1/DATOS_[[% anualiz]:[% anualiz]]),1)*IF(DATOS!AL$4="Sí",1/DATOS_[[% normaliz]:[% normaliz]],1)*(DATOS_[Conc.Sal.08])))))))),
0)</f>
        <v>0</v>
      </c>
      <c r="R32" s="196">
        <f t="array" ref="R32">IFERROR(
(AVERAGE((IF(DATOS_[[Sexo]:[Sexo]]=$B32,IF(DATOS_[[AGRUP. CLAS. PROF.]:[AGRUP. CLAS. PROF.]]=$B30,IF(DATOS_[[Check Periodo Ref.]:[Check Periodo Ref.]]="Dentro",IF(DATOS_[[Check Equiparado]:[Check Equiparado]]="Sí",IF(DATOS!AM$5="Sí",(1/DATOS_[[% anualiz]:[% anualiz]]),1)*IF(DATOS!AM$4="Sí",1/DATOS_[[% normaliz]:[% normaliz]],1)*(DATOS_[Conc.Sal.09])))))))),
0)</f>
        <v>0</v>
      </c>
      <c r="S32" s="196">
        <f t="array" ref="S32">IFERROR(
(AVERAGE((IF(DATOS_[[Sexo]:[Sexo]]=$B32,IF(DATOS_[[AGRUP. CLAS. PROF.]:[AGRUP. CLAS. PROF.]]=$B30,IF(DATOS_[[Check Periodo Ref.]:[Check Periodo Ref.]]="Dentro",IF(DATOS_[[Check Equiparado]:[Check Equiparado]]="Sí",IF(DATOS!AN$5="Sí",(1/DATOS_[[% anualiz]:[% anualiz]]),1)*IF(DATOS!AN$4="Sí",1/DATOS_[[% normaliz]:[% normaliz]],1)*(DATOS_[Conc.Sal.10])))))))),
0)</f>
        <v>0</v>
      </c>
      <c r="T32" s="196">
        <f t="array" ref="T32">IFERROR(
(AVERAGE((IF(DATOS_[[Sexo]:[Sexo]]=$B32,IF(DATOS_[[AGRUP. CLAS. PROF.]:[AGRUP. CLAS. PROF.]]=$B30,IF(DATOS_[[Check Periodo Ref.]:[Check Periodo Ref.]]="Dentro",IF(DATOS_[[Check Equiparado]:[Check Equiparado]]="Sí",IF(DATOS!AO$5="Sí",(1/DATOS_[[% anualiz]:[% anualiz]]),1)*IF(DATOS!AO$4="Sí",1/DATOS_[[% normaliz]:[% normaliz]],1)*(DATOS_[Conc.Sal.11])))))))),
0)</f>
        <v>0</v>
      </c>
      <c r="U32" s="196">
        <f t="array" ref="U32">IFERROR(
(AVERAGE((IF(DATOS_[[Sexo]:[Sexo]]=$B32,IF(DATOS_[[AGRUP. CLAS. PROF.]:[AGRUP. CLAS. PROF.]]=$B30,IF(DATOS_[[Check Periodo Ref.]:[Check Periodo Ref.]]="Dentro",IF(DATOS_[[Check Equiparado]:[Check Equiparado]]="Sí",IF(DATOS!AP$5="Sí",(1/DATOS_[[% anualiz]:[% anualiz]]),1)*IF(DATOS!AP$4="Sí",1/DATOS_[[% normaliz]:[% normaliz]],1)*(DATOS_[Conc.Sal.12])))))))),
0)</f>
        <v>0</v>
      </c>
      <c r="V32" s="196">
        <f t="array" ref="V32">IFERROR(
(AVERAGE((IF(DATOS_[[Sexo]:[Sexo]]=$B32,IF(DATOS_[[AGRUP. CLAS. PROF.]:[AGRUP. CLAS. PROF.]]=$B30,IF(DATOS_[[Check Periodo Ref.]:[Check Periodo Ref.]]="Dentro",IF(DATOS_[[Check Equiparado]:[Check Equiparado]]="Sí",IF(DATOS!AQ$5="Sí",(1/DATOS_[[% anualiz]:[% anualiz]]),1)*IF(DATOS!AQ$4="Sí",1/DATOS_[[% normaliz]:[% normaliz]],1)*(DATOS_[Conc.Sal.13])))))))),
0)</f>
        <v>0</v>
      </c>
      <c r="W32" s="196">
        <f t="array" ref="W32">IFERROR(
(AVERAGE((IF(DATOS_[[Sexo]:[Sexo]]=$B32,IF(DATOS_[[AGRUP. CLAS. PROF.]:[AGRUP. CLAS. PROF.]]=$B30,IF(DATOS_[[Check Periodo Ref.]:[Check Periodo Ref.]]="Dentro",IF(DATOS_[[Check Equiparado]:[Check Equiparado]]="Sí",IF(DATOS!AR$5="Sí",(1/DATOS_[[% anualiz]:[% anualiz]]),1)*IF(DATOS!AR$4="Sí",1/DATOS_[[% normaliz]:[% normaliz]],1)*(DATOS_[Conc.Sal.14])))))))),
0)</f>
        <v>0</v>
      </c>
      <c r="X32" s="196">
        <f t="array" ref="X32">IFERROR(
(AVERAGE((IF(DATOS_[[Sexo]:[Sexo]]=$B32,IF(DATOS_[[AGRUP. CLAS. PROF.]:[AGRUP. CLAS. PROF.]]=$B30,IF(DATOS_[[Check Periodo Ref.]:[Check Periodo Ref.]]="Dentro",IF(DATOS_[[Check Equiparado]:[Check Equiparado]]="Sí",IF(DATOS!AS$5="Sí",(1/DATOS_[[% anualiz]:[% anualiz]]),1)*IF(DATOS!AS$4="Sí",1/DATOS_[[% normaliz]:[% normaliz]],1)*(DATOS_[Conc.Sal.15])))))))),
0)</f>
        <v>0</v>
      </c>
      <c r="Y32" s="196">
        <f t="array" ref="Y32">IFERROR(
(AVERAGE((IF(DATOS_[[Sexo]:[Sexo]]=$B32,IF(DATOS_[[AGRUP. CLAS. PROF.]:[AGRUP. CLAS. PROF.]]=$B30,IF(DATOS_[[Check Periodo Ref.]:[Check Periodo Ref.]]="Dentro",IF(DATOS_[[Check Equiparado]:[Check Equiparado]]="Sí",IF(DATOS!AT$5="Sí",(1/DATOS_[[% anualiz]:[% anualiz]]),1)*IF(DATOS!AT$4="Sí",1/DATOS_[[% normaliz]:[% normaliz]],1)*(DATOS_[Conc.Sal.16])))))))),
0)</f>
        <v>0</v>
      </c>
      <c r="Z32" s="196">
        <f t="array" ref="Z32">IFERROR(
(AVERAGE((IF(DATOS_[[Sexo]:[Sexo]]=$B32,IF(DATOS_[[AGRUP. CLAS. PROF.]:[AGRUP. CLAS. PROF.]]=$B30,IF(DATOS_[[Check Periodo Ref.]:[Check Periodo Ref.]]="Dentro",IF(DATOS_[[Check Equiparado]:[Check Equiparado]]="Sí",IF(DATOS!AU$5="Sí",(1/DATOS_[[% anualiz]:[% anualiz]]),1)*IF(DATOS!AU$4="Sí",1/DATOS_[[% normaliz]:[% normaliz]],1)*(DATOS_[Conc.Sal.17])))))))),
0)</f>
        <v>0</v>
      </c>
      <c r="AA32" s="196">
        <f t="array" ref="AA32">IFERROR(
(AVERAGE((IF(DATOS_[[Sexo]:[Sexo]]=$B32,IF(DATOS_[[AGRUP. CLAS. PROF.]:[AGRUP. CLAS. PROF.]]=$B30,IF(DATOS_[[Check Periodo Ref.]:[Check Periodo Ref.]]="Dentro",IF(DATOS_[[Check Equiparado]:[Check Equiparado]]="Sí",IF(DATOS!AV$5="Sí",(1/DATOS_[[% anualiz]:[% anualiz]]),1)*IF(DATOS!AV$4="Sí",1/DATOS_[[% normaliz]:[% normaliz]],1)*(DATOS_[Conc.Sal.18])))))))),
0)</f>
        <v>0</v>
      </c>
      <c r="AB32" s="196">
        <f t="array" ref="AB32">IFERROR(
(AVERAGE((IF(DATOS_[[Sexo]:[Sexo]]=$B32,IF(DATOS_[[AGRUP. CLAS. PROF.]:[AGRUP. CLAS. PROF.]]=$B30,IF(DATOS_[[Check Periodo Ref.]:[Check Periodo Ref.]]="Dentro",IF(DATOS_[[Check Equiparado]:[Check Equiparado]]="Sí",IF(DATOS!AW$5="Sí",(1/DATOS_[[% anualiz]:[% anualiz]]),1)*IF(DATOS!AW$4="Sí",1/DATOS_[[% normaliz]:[% normaliz]],1)*(DATOS_[Conc.Sal.19])))))))),
0)</f>
        <v>0</v>
      </c>
      <c r="AC32" s="196">
        <f t="array" ref="AC32">IFERROR(
(AVERAGE((IF(DATOS_[[Sexo]:[Sexo]]=$B32,IF(DATOS_[[AGRUP. CLAS. PROF.]:[AGRUP. CLAS. PROF.]]=$B30,IF(DATOS_[[Check Periodo Ref.]:[Check Periodo Ref.]]="Dentro",IF(DATOS_[[Check Equiparado]:[Check Equiparado]]="Sí",IF(DATOS!AX$5="Sí",(1/DATOS_[[% anualiz]:[% anualiz]]),1)*IF(DATOS!AX$4="Sí",1/DATOS_[[% normaliz]:[% normaliz]],1)*(DATOS_[Conc.Sal.20])))))))),
0)</f>
        <v>0</v>
      </c>
      <c r="AD32" s="196">
        <f t="array" ref="AD32">IFERROR(
(AVERAGE((IF(DATOS_[[Sexo]:[Sexo]]=$B32,IF(DATOS_[[AGRUP. CLAS. PROF.]:[AGRUP. CLAS. PROF.]]=$B30,IF(DATOS_[[Check Periodo Ref.]:[Check Periodo Ref.]]="Dentro",IF(DATOS_[[Check Equiparado]:[Check Equiparado]]="Sí",IF(DATOS!AY$5="Sí",(1/DATOS_[[% anualiz]:[% anualiz]]),1)*IF(DATOS!AY$4="Sí",1/DATOS_[[% normaliz]:[% normaliz]],1)*(DATOS_[Conc.Sal.21])))))))),
0)</f>
        <v>0</v>
      </c>
      <c r="AE32" s="196">
        <f t="array" ref="AE32">IFERROR(
(AVERAGE((IF(DATOS_[[Sexo]:[Sexo]]=$B32,IF(DATOS_[[AGRUP. CLAS. PROF.]:[AGRUP. CLAS. PROF.]]=$B30,IF(DATOS_[[Check Periodo Ref.]:[Check Periodo Ref.]]="Dentro",IF(DATOS_[[Check Equiparado]:[Check Equiparado]]="Sí",IF(DATOS!AZ$5="Sí",(1/DATOS_[[% anualiz]:[% anualiz]]),1)*IF(DATOS!AZ$4="Sí",1/DATOS_[[% normaliz]:[% normaliz]],1)*(DATOS_[Conc.Sal.22])))))))),
0)</f>
        <v>0</v>
      </c>
      <c r="AF32" s="196">
        <f t="array" ref="AF32">IFERROR(
(AVERAGE((IF(DATOS_[[Sexo]:[Sexo]]=$B32,IF(DATOS_[[AGRUP. CLAS. PROF.]:[AGRUP. CLAS. PROF.]]=$B30,IF(DATOS_[[Check Periodo Ref.]:[Check Periodo Ref.]]="Dentro",IF(DATOS_[[Check Equiparado]:[Check Equiparado]]="Sí",IF(DATOS!BA$5="Sí",(1/DATOS_[[% anualiz]:[% anualiz]]),1)*IF(DATOS!BA$4="Sí",1/DATOS_[[% normaliz]:[% normaliz]],1)*(DATOS_[Conc.Sal.23])))))))),
0)</f>
        <v>0</v>
      </c>
      <c r="AG32" s="196">
        <f t="array" ref="AG32">IFERROR(
(AVERAGE((IF(DATOS_[[Sexo]:[Sexo]]=$B32,IF(DATOS_[[AGRUP. CLAS. PROF.]:[AGRUP. CLAS. PROF.]]=$B30,IF(DATOS_[[Check Periodo Ref.]:[Check Periodo Ref.]]="Dentro",IF(DATOS_[[Check Equiparado]:[Check Equiparado]]="Sí",IF(DATOS!BB$5="Sí",(1/DATOS_[[% anualiz]:[% anualiz]]),1)*IF(DATOS!BB$4="Sí",1/DATOS_[[% normaliz]:[% normaliz]],1)*(DATOS_[Conc.Sal.24])))))))),
0)</f>
        <v>0</v>
      </c>
      <c r="AH32" s="196">
        <f t="array" ref="AH32">IFERROR(
(AVERAGE((IF(DATOS_[[Sexo]:[Sexo]]=$B32,IF(DATOS_[[AGRUP. CLAS. PROF.]:[AGRUP. CLAS. PROF.]]=$B30,IF(DATOS_[[Check Periodo Ref.]:[Check Periodo Ref.]]="Dentro",IF(DATOS_[[Check Equiparado]:[Check Equiparado]]="Sí",IF(DATOS!BC$5="Sí",(1/DATOS_[[% anualiz]:[% anualiz]]),1)*IF(DATOS!BC$4="Sí",1/DATOS_[[% normaliz]:[% normaliz]],1)*(DATOS_[Conc.Sal.25])))))))),
0)</f>
        <v>0</v>
      </c>
      <c r="AI32" s="196">
        <f t="array" ref="AI32">IFERROR(
(AVERAGE((IF(DATOS_[[Sexo]:[Sexo]]=$B32,IF(DATOS_[[AGRUP. CLAS. PROF.]:[AGRUP. CLAS. PROF.]]=$B30,IF(DATOS_[[Check Periodo Ref.]:[Check Periodo Ref.]]="Dentro",IF(DATOS_[[Check Equiparado]:[Check Equiparado]]="Sí",IF(DATOS!BD$5="Sí",(1/DATOS_[[% anualiz]:[% anualiz]]),1)*IF(DATOS!BD$4="Sí",1/DATOS_[[% normaliz]:[% normaliz]],1)*(DATOS_[Conc.Sal.26])))))))),
0)</f>
        <v>0</v>
      </c>
      <c r="AJ32" s="196">
        <f t="array" ref="AJ32">IFERROR(
(AVERAGE((IF(DATOS_[[Sexo]:[Sexo]]=$B32,IF(DATOS_[[AGRUP. CLAS. PROF.]:[AGRUP. CLAS. PROF.]]=$B30,IF(DATOS_[[Check Periodo Ref.]:[Check Periodo Ref.]]="Dentro",IF(DATOS_[[Check Equiparado]:[Check Equiparado]]="Sí",IF(DATOS!BE$5="Sí",(1/DATOS_[[% anualiz]:[% anualiz]]),1)*IF(DATOS!BE$4="Sí",1/DATOS_[[% normaliz]:[% normaliz]],1)*(DATOS_[Conc.Sal.27])))))))),
0)</f>
        <v>0</v>
      </c>
      <c r="AK32" s="196">
        <f t="array" ref="AK32">IFERROR(
(AVERAGE((IF(DATOS_[[Sexo]:[Sexo]]=$B32,IF(DATOS_[[AGRUP. CLAS. PROF.]:[AGRUP. CLAS. PROF.]]=$B30,IF(DATOS_[[Check Periodo Ref.]:[Check Periodo Ref.]]="Dentro",IF(DATOS_[[Check Equiparado]:[Check Equiparado]]="Sí",IF(DATOS!BF$5="Sí",(1/DATOS_[[% anualiz]:[% anualiz]]),1)*IF(DATOS!BF$4="Sí",1/DATOS_[[% normaliz]:[% normaliz]],1)*(DATOS_[Conc.Sal.28])))))))),
0)</f>
        <v>0</v>
      </c>
      <c r="AL32" s="196">
        <f t="array" ref="AL32">IFERROR(
(AVERAGE((IF(DATOS_[[Sexo]:[Sexo]]=$B32,IF(DATOS_[[AGRUP. CLAS. PROF.]:[AGRUP. CLAS. PROF.]]=$B30,IF(DATOS_[[Check Periodo Ref.]:[Check Periodo Ref.]]="Dentro",IF(DATOS_[[Check Equiparado]:[Check Equiparado]]="Sí",IF(DATOS!BG$5="Sí",(1/DATOS_[[% anualiz]:[% anualiz]]),1)*IF(DATOS!BG$4="Sí",1/DATOS_[[% normaliz]:[% normaliz]],1)*(DATOS_[Conc.Sal.29])))))))),
0)</f>
        <v>0</v>
      </c>
      <c r="AM32" s="196">
        <f t="array" ref="AM32">IFERROR(
(AVERAGE((IF(DATOS_[[Sexo]:[Sexo]]=$B32,IF(DATOS_[[AGRUP. CLAS. PROF.]:[AGRUP. CLAS. PROF.]]=$B30,IF(DATOS_[[Check Periodo Ref.]:[Check Periodo Ref.]]="Dentro",IF(DATOS_[[Check Equiparado]:[Check Equiparado]]="Sí",IF(DATOS!BH$5="Sí",(1/DATOS_[[% anualiz]:[% anualiz]]),1)*IF(DATOS!BH$4="Sí",1/DATOS_[[% normaliz]:[% normaliz]],1)*(DATOS_[Conc.Sal.30])))))))),
0)</f>
        <v>0</v>
      </c>
      <c r="AN32" s="195">
        <f t="array" ref="AN32">IFERROR(
AVERAGE(IF(DATOS_[Sexo]=$B32,IF(DATOS_[[AGRUP. CLAS. PROF.]:[AGRUP. CLAS. PROF.]]=$B30,IF(DATOS_[Check Equiparado]="Sí",IF(DATOS_[Check Periodo Ref.]="Dentro",DATOS_[Tot COMPL.SAL Eq],FALSE))))),
0)</f>
        <v>0</v>
      </c>
      <c r="AO32" s="172">
        <f t="array" ref="AO32">IFERROR(
AVERAGE(IF(DATOS_[Sexo]=$B32,IF(DATOS_[[AGRUP. CLAS. PROF.]:[AGRUP. CLAS. PROF.]]=$B30,IF(DATOS_[Check Equiparado]="Sí",IF(DATOS_[Check Periodo Ref.]="Dentro",DATOS_[TOTAL SALARIO Eq],FALSE))))),
0)</f>
        <v>0</v>
      </c>
      <c r="AP32" s="173">
        <f t="array" ref="AP32">IFERROR(
(AVERAGE((IF(DATOS_[[Sexo]:[Sexo]]=$B32,IF(DATOS_[[AGRUP. CLAS. PROF.]:[AGRUP. CLAS. PROF.]]=$B30,IF(DATOS_[[Check Periodo Ref.]:[Check Periodo Ref.]]="Dentro",IF(DATOS_[[Check Equiparado]:[Check Equiparado]]="Sí",IF(DATOS!BW$5="Sí",(1/DATOS_[[% anualiz]:[% anualiz]]),1)*IF(DATOS!BW$4="Sí",1/DATOS_[[% normaliz]:[% normaliz]],1)*(DATOS_[C.Extra.01])))))))),
0)</f>
        <v>0</v>
      </c>
      <c r="AQ32" s="173">
        <f t="array" ref="AQ32">IFERROR(
(AVERAGE((IF(DATOS_[[Sexo]:[Sexo]]=$B32,IF(DATOS_[[AGRUP. CLAS. PROF.]:[AGRUP. CLAS. PROF.]]=$B30,IF(DATOS_[[Check Periodo Ref.]:[Check Periodo Ref.]]="Dentro",IF(DATOS_[[Check Equiparado]:[Check Equiparado]]="Sí",IF(DATOS!CB$5="Sí",(1/DATOS_[[% anualiz]:[% anualiz]]),1)*IF(DATOS!CB$4="Sí",1/DATOS_[[% normaliz]:[% normaliz]],1)*(DATOS_[C.Extra.06])))))))),
0)</f>
        <v>0</v>
      </c>
      <c r="AR32" s="173">
        <f t="array" ref="AR32">IFERROR(
(AVERAGE((IF(DATOS_[[Sexo]:[Sexo]]=$B32,IF(DATOS_[[AGRUP. CLAS. PROF.]:[AGRUP. CLAS. PROF.]]=$B30,IF(DATOS_[[Check Periodo Ref.]:[Check Periodo Ref.]]="Dentro",IF(DATOS_[[Check Equiparado]:[Check Equiparado]]="Sí",IF(DATOS!CC$5="Sí",(1/DATOS_[[% anualiz]:[% anualiz]]),1)*IF(DATOS!CC$4="Sí",1/DATOS_[[% normaliz]:[% normaliz]],1)*(DATOS_[C.Extra.07])))))))),
0)</f>
        <v>0</v>
      </c>
      <c r="AS32" s="173">
        <f t="array" ref="AS32">IFERROR(
(AVERAGE((IF(DATOS_[[Sexo]:[Sexo]]=$B32,IF(DATOS_[[AGRUP. CLAS. PROF.]:[AGRUP. CLAS. PROF.]]=$B30,IF(DATOS_[[Check Periodo Ref.]:[Check Periodo Ref.]]="Dentro",IF(DATOS_[[Check Equiparado]:[Check Equiparado]]="Sí",IF(DATOS!CD$5="Sí",(1/DATOS_[[% anualiz]:[% anualiz]]),1)*IF(DATOS!CD$4="Sí",1/DATOS_[[% normaliz]:[% normaliz]],1)*(DATOS_[C.Extra.08])))))))),
0)</f>
        <v>0</v>
      </c>
      <c r="AT32" s="173">
        <f t="array" ref="AT32">IFERROR(
(AVERAGE((IF(DATOS_[[Sexo]:[Sexo]]=$B32,IF(DATOS_[[AGRUP. CLAS. PROF.]:[AGRUP. CLAS. PROF.]]=$B30,IF(DATOS_[[Check Periodo Ref.]:[Check Periodo Ref.]]="Dentro",IF(DATOS_[[Check Equiparado]:[Check Equiparado]]="Sí",IF(DATOS!CG$5="Sí",(1/DATOS_[[% anualiz]:[% anualiz]]),1)*IF(DATOS!CG$4="Sí",1/DATOS_[[% normaliz]:[% normaliz]],1)*(DATOS_[C.Extra.11])))))))),
0)</f>
        <v>0</v>
      </c>
      <c r="AU32" s="197">
        <f t="array" ref="AU32">IFERROR(
AVERAGE(IF(DATOS_[Sexo]=$B32,IF(DATOS_[[AGRUP. CLAS. PROF.]:[AGRUP. CLAS. PROF.]]=$B30,IF(DATOS_[Check Equiparado]="Sí",IF(DATOS_[Check Periodo Ref.]="Dentro",DATOS_[Tot Extrasalarial Eq],FALSE))))),
0)</f>
        <v>0</v>
      </c>
      <c r="AV32" s="175">
        <f t="array" ref="AV32">IFERROR(
AVERAGE(IF(DATOS_[Sexo]=$B32,IF(DATOS_[[AGRUP. CLAS. PROF.]:[AGRUP. CLAS. PROF.]]=$B30,IF(DATOS_[Check Equiparado]="Sí",IF(DATOS_[Check Periodo Ref.]="Dentro",DATOS_[TOTAL Retrib Eq],FALSE))))),
0)</f>
        <v>0</v>
      </c>
    </row>
    <row r="33" spans="1:48" ht="15.6" hidden="1" thickBot="1" x14ac:dyDescent="0.3">
      <c r="A33" s="133" t="str">
        <f t="shared" ref="A33" si="27">+A34</f>
        <v>[ocultar]</v>
      </c>
      <c r="B33" s="199" t="s">
        <v>199</v>
      </c>
      <c r="C33" s="200"/>
      <c r="D33" s="201"/>
      <c r="E33" s="201"/>
      <c r="F33" s="201"/>
      <c r="G33" s="201"/>
      <c r="H33" s="201"/>
      <c r="I33" s="189" t="str">
        <f t="shared" ref="I33:AV33" si="28">IFERROR((I34-I35)/I34,"")</f>
        <v/>
      </c>
      <c r="J33" s="190" t="str">
        <f t="shared" si="28"/>
        <v/>
      </c>
      <c r="K33" s="191" t="str">
        <f t="shared" si="28"/>
        <v/>
      </c>
      <c r="L33" s="191" t="str">
        <f t="shared" si="28"/>
        <v/>
      </c>
      <c r="M33" s="191" t="str">
        <f t="shared" si="28"/>
        <v/>
      </c>
      <c r="N33" s="192" t="str">
        <f t="shared" si="28"/>
        <v/>
      </c>
      <c r="O33" s="193" t="str">
        <f t="shared" si="28"/>
        <v/>
      </c>
      <c r="P33" s="193" t="str">
        <f t="shared" si="28"/>
        <v/>
      </c>
      <c r="Q33" s="193" t="str">
        <f t="shared" si="28"/>
        <v/>
      </c>
      <c r="R33" s="193" t="str">
        <f t="shared" si="28"/>
        <v/>
      </c>
      <c r="S33" s="193" t="str">
        <f t="shared" si="28"/>
        <v/>
      </c>
      <c r="T33" s="193" t="str">
        <f t="shared" si="28"/>
        <v/>
      </c>
      <c r="U33" s="193" t="str">
        <f t="shared" si="28"/>
        <v/>
      </c>
      <c r="V33" s="193" t="str">
        <f t="shared" si="28"/>
        <v/>
      </c>
      <c r="W33" s="193" t="str">
        <f t="shared" si="28"/>
        <v/>
      </c>
      <c r="X33" s="193" t="str">
        <f t="shared" si="28"/>
        <v/>
      </c>
      <c r="Y33" s="193" t="str">
        <f t="shared" si="28"/>
        <v/>
      </c>
      <c r="Z33" s="193" t="str">
        <f t="shared" si="28"/>
        <v/>
      </c>
      <c r="AA33" s="193" t="str">
        <f t="shared" si="28"/>
        <v/>
      </c>
      <c r="AB33" s="193" t="str">
        <f t="shared" si="28"/>
        <v/>
      </c>
      <c r="AC33" s="193" t="str">
        <f t="shared" si="28"/>
        <v/>
      </c>
      <c r="AD33" s="193" t="str">
        <f t="shared" si="28"/>
        <v/>
      </c>
      <c r="AE33" s="193" t="str">
        <f t="shared" si="28"/>
        <v/>
      </c>
      <c r="AF33" s="193" t="str">
        <f t="shared" si="28"/>
        <v/>
      </c>
      <c r="AG33" s="193" t="str">
        <f t="shared" si="28"/>
        <v/>
      </c>
      <c r="AH33" s="193" t="str">
        <f t="shared" si="28"/>
        <v/>
      </c>
      <c r="AI33" s="193" t="str">
        <f t="shared" si="28"/>
        <v/>
      </c>
      <c r="AJ33" s="193" t="str">
        <f t="shared" si="28"/>
        <v/>
      </c>
      <c r="AK33" s="193" t="str">
        <f t="shared" si="28"/>
        <v/>
      </c>
      <c r="AL33" s="193" t="str">
        <f t="shared" si="28"/>
        <v/>
      </c>
      <c r="AM33" s="193" t="str">
        <f t="shared" si="28"/>
        <v/>
      </c>
      <c r="AN33" s="189" t="str">
        <f t="shared" si="28"/>
        <v/>
      </c>
      <c r="AO33" s="162" t="str">
        <f t="shared" si="28"/>
        <v/>
      </c>
      <c r="AP33" s="163" t="str">
        <f t="shared" si="28"/>
        <v/>
      </c>
      <c r="AQ33" s="163" t="str">
        <f t="shared" si="28"/>
        <v/>
      </c>
      <c r="AR33" s="163" t="str">
        <f t="shared" si="28"/>
        <v/>
      </c>
      <c r="AS33" s="163" t="str">
        <f t="shared" si="28"/>
        <v/>
      </c>
      <c r="AT33" s="163" t="str">
        <f t="shared" si="28"/>
        <v/>
      </c>
      <c r="AU33" s="194" t="str">
        <f t="shared" si="28"/>
        <v/>
      </c>
      <c r="AV33" s="165" t="str">
        <f t="shared" si="28"/>
        <v/>
      </c>
    </row>
    <row r="34" spans="1:48" hidden="1" x14ac:dyDescent="0.25">
      <c r="A34" s="133" t="str">
        <f t="shared" ref="A34" si="29">+IF(C34+C35=0,"[ocultar]","")</f>
        <v>[ocultar]</v>
      </c>
      <c r="B34" s="202" t="s">
        <v>394</v>
      </c>
      <c r="C34" s="203">
        <f t="array" ref="C34">SUM(IF($B34=DATOS_[Sexo],
IF($B33=DATOS_[AGRUP. CLAS. PROF.],
IF("Dentro"=DATOS_[Check Periodo Ref.],
1/(COUNTIFS(DATOS_[Sexo],$B34,DATOS_[AGRUP. CLAS. PROF.],$B33,DATOS_[Check Periodo Ref.],"Dentro",DATOS_[id/cod],DATOS_[id/cod]))))))</f>
        <v>0</v>
      </c>
      <c r="D34" s="204">
        <f>COUNTIFS(DATOS_[AGRUP. CLAS. PROF.],$B33,DATOS_[Sexo],$B34,DATOS_[Check Periodo Ref.],"Dentro")</f>
        <v>0</v>
      </c>
      <c r="E34" s="204">
        <f>COUNTIFS(DATOS_[AGRUP. CLAS. PROF.],$B33,DATOS_[Sexo],$B34,DATOS_[Check Periodo Ref.],"Dentro",DATOS_[Check Nº SC Norm],"Sí")</f>
        <v>0</v>
      </c>
      <c r="F34" s="204">
        <f>COUNTIFS(DATOS_[AGRUP. CLAS. PROF.],$B33,DATOS_[Sexo],$B34,DATOS_[Check Periodo Ref.],"Dentro",DATOS_[Check Nº SC Anualiz],"Sí")</f>
        <v>0</v>
      </c>
      <c r="G34" s="204">
        <f>COUNTIFS(DATOS_[AGRUP. CLAS. PROF.],$B33,DATOS_[Sexo],$B34,DATOS_[Check Periodo Ref.],"Dentro",DATOS_[Check Nº SC Norm y Anualiz],"Sí")</f>
        <v>0</v>
      </c>
      <c r="H34" s="204">
        <f>COUNTIFS(DATOS_[AGRUP. CLAS. PROF.],$B33,DATOS_[Sexo],$B34,DATOS_[Check Periodo Ref.],"Dentro",DATOS_[Check Equiparación],"Sí")</f>
        <v>0</v>
      </c>
      <c r="I34" s="195">
        <f t="array" ref="I34">IFERROR(
AVERAGE(IF(DATOS_[Sexo]=$B34,IF(DATOS_[[AGRUP. CLAS. PROF.]:[AGRUP. CLAS. PROF.]]=$B33,IF(DATOS_[Check Equiparado]="Sí",IF(DATOS_[Check Periodo Ref.]="Dentro",DATOS_[SALARIO BASE Eq],FALSE))))),
0)</f>
        <v>0</v>
      </c>
      <c r="J34" s="196">
        <f t="array" ref="J34">IFERROR(
(AVERAGE((IF(DATOS_[[Sexo]:[Sexo]]=$B34,IF(DATOS_[[AGRUP. CLAS. PROF.]:[AGRUP. CLAS. PROF.]]=$B33,IF(DATOS_[[Check Periodo Ref.]:[Check Periodo Ref.]]="Dentro",IF(DATOS_[[Check Equiparado]:[Check Equiparado]]="Sí",IF(DATOS!AE$5="Sí",(1/DATOS_[[% anualiz]:[% anualiz]]),1)*IF(DATOS!AE$4="Sí",1/DATOS_[[% normaliz]:[% normaliz]],1)*(DATOS_[Conc.Sal.01])))))))),
0)</f>
        <v>0</v>
      </c>
      <c r="K34" s="196">
        <f t="array" ref="K34">IFERROR(
(AVERAGE((IF(DATOS_[[Sexo]:[Sexo]]=$B34,IF(DATOS_[[AGRUP. CLAS. PROF.]:[AGRUP. CLAS. PROF.]]=$B33,IF(DATOS_[[Check Periodo Ref.]:[Check Periodo Ref.]]="Dentro",IF(DATOS_[[Check Equiparado]:[Check Equiparado]]="Sí",IF(DATOS!AF$5="Sí",(1/DATOS_[[% anualiz]:[% anualiz]]),1)*IF(DATOS!AF$4="Sí",1/DATOS_[[% normaliz]:[% normaliz]],1)*(DATOS_[Conc.Sal.02])))))))),
0)</f>
        <v>0</v>
      </c>
      <c r="L34" s="196">
        <f t="array" ref="L34">IFERROR(
(AVERAGE((IF(DATOS_[[Sexo]:[Sexo]]=$B34,IF(DATOS_[[AGRUP. CLAS. PROF.]:[AGRUP. CLAS. PROF.]]=$B33,IF(DATOS_[[Check Periodo Ref.]:[Check Periodo Ref.]]="Dentro",IF(DATOS_[[Check Equiparado]:[Check Equiparado]]="Sí",IF(DATOS!AG$5="Sí",(1/DATOS_[[% anualiz]:[% anualiz]]),1)*IF(DATOS!AG$4="Sí",1/DATOS_[[% normaliz]:[% normaliz]],1)*(DATOS_[Conc.Sal.03])))))))),
0)</f>
        <v>0</v>
      </c>
      <c r="M34" s="196">
        <f t="array" ref="M34">IFERROR(
(AVERAGE((IF(DATOS_[[Sexo]:[Sexo]]=$B34,IF(DATOS_[[AGRUP. CLAS. PROF.]:[AGRUP. CLAS. PROF.]]=$B33,IF(DATOS_[[Check Periodo Ref.]:[Check Periodo Ref.]]="Dentro",IF(DATOS_[[Check Equiparado]:[Check Equiparado]]="Sí",IF(DATOS!AH$5="Sí",(1/DATOS_[[% anualiz]:[% anualiz]]),1)*IF(DATOS!AH$4="Sí",1/DATOS_[[% normaliz]:[% normaliz]],1)*(DATOS_[Conc.Sal.04])))))))),
0)</f>
        <v>0</v>
      </c>
      <c r="N34" s="196">
        <f t="array" ref="N34">IFERROR(
(AVERAGE((IF(DATOS_[[Sexo]:[Sexo]]=$B34,IF(DATOS_[[AGRUP. CLAS. PROF.]:[AGRUP. CLAS. PROF.]]=$B33,IF(DATOS_[[Check Periodo Ref.]:[Check Periodo Ref.]]="Dentro",IF(DATOS_[[Check Equiparado]:[Check Equiparado]]="Sí",IF(DATOS!AI$5="Sí",(1/DATOS_[[% anualiz]:[% anualiz]]),1)*IF(DATOS!AI$4="Sí",1/DATOS_[[% normaliz]:[% normaliz]],1)*(DATOS_[Conc.Sal.05])))))))),
0)</f>
        <v>0</v>
      </c>
      <c r="O34" s="196">
        <f t="array" ref="O34">IFERROR(
(AVERAGE((IF(DATOS_[[Sexo]:[Sexo]]=$B34,IF(DATOS_[[AGRUP. CLAS. PROF.]:[AGRUP. CLAS. PROF.]]=$B33,IF(DATOS_[[Check Periodo Ref.]:[Check Periodo Ref.]]="Dentro",IF(DATOS_[[Check Equiparado]:[Check Equiparado]]="Sí",IF(DATOS!AJ$5="Sí",(1/DATOS_[[% anualiz]:[% anualiz]]),1)*IF(DATOS!AJ$4="Sí",1/DATOS_[[% normaliz]:[% normaliz]],1)*(DATOS_[Conc.Sal.06])))))))),
0)</f>
        <v>0</v>
      </c>
      <c r="P34" s="196">
        <f t="array" ref="P34">IFERROR(
(AVERAGE((IF(DATOS_[[Sexo]:[Sexo]]=$B34,IF(DATOS_[[AGRUP. CLAS. PROF.]:[AGRUP. CLAS. PROF.]]=$B33,IF(DATOS_[[Check Periodo Ref.]:[Check Periodo Ref.]]="Dentro",IF(DATOS_[[Check Equiparado]:[Check Equiparado]]="Sí",IF(DATOS!AK$5="Sí",(1/DATOS_[[% anualiz]:[% anualiz]]),1)*IF(DATOS!AK$4="Sí",1/DATOS_[[% normaliz]:[% normaliz]],1)*(DATOS_[Conc.Sal.07])))))))),
0)</f>
        <v>0</v>
      </c>
      <c r="Q34" s="196">
        <f t="array" ref="Q34">IFERROR(
(AVERAGE((IF(DATOS_[[Sexo]:[Sexo]]=$B34,IF(DATOS_[[AGRUP. CLAS. PROF.]:[AGRUP. CLAS. PROF.]]=$B33,IF(DATOS_[[Check Periodo Ref.]:[Check Periodo Ref.]]="Dentro",IF(DATOS_[[Check Equiparado]:[Check Equiparado]]="Sí",IF(DATOS!AL$5="Sí",(1/DATOS_[[% anualiz]:[% anualiz]]),1)*IF(DATOS!AL$4="Sí",1/DATOS_[[% normaliz]:[% normaliz]],1)*(DATOS_[Conc.Sal.08])))))))),
0)</f>
        <v>0</v>
      </c>
      <c r="R34" s="196">
        <f t="array" ref="R34">IFERROR(
(AVERAGE((IF(DATOS_[[Sexo]:[Sexo]]=$B34,IF(DATOS_[[AGRUP. CLAS. PROF.]:[AGRUP. CLAS. PROF.]]=$B33,IF(DATOS_[[Check Periodo Ref.]:[Check Periodo Ref.]]="Dentro",IF(DATOS_[[Check Equiparado]:[Check Equiparado]]="Sí",IF(DATOS!AM$5="Sí",(1/DATOS_[[% anualiz]:[% anualiz]]),1)*IF(DATOS!AM$4="Sí",1/DATOS_[[% normaliz]:[% normaliz]],1)*(DATOS_[Conc.Sal.09])))))))),
0)</f>
        <v>0</v>
      </c>
      <c r="S34" s="196">
        <f t="array" ref="S34">IFERROR(
(AVERAGE((IF(DATOS_[[Sexo]:[Sexo]]=$B34,IF(DATOS_[[AGRUP. CLAS. PROF.]:[AGRUP. CLAS. PROF.]]=$B33,IF(DATOS_[[Check Periodo Ref.]:[Check Periodo Ref.]]="Dentro",IF(DATOS_[[Check Equiparado]:[Check Equiparado]]="Sí",IF(DATOS!AN$5="Sí",(1/DATOS_[[% anualiz]:[% anualiz]]),1)*IF(DATOS!AN$4="Sí",1/DATOS_[[% normaliz]:[% normaliz]],1)*(DATOS_[Conc.Sal.10])))))))),
0)</f>
        <v>0</v>
      </c>
      <c r="T34" s="196">
        <f t="array" ref="T34">IFERROR(
(AVERAGE((IF(DATOS_[[Sexo]:[Sexo]]=$B34,IF(DATOS_[[AGRUP. CLAS. PROF.]:[AGRUP. CLAS. PROF.]]=$B33,IF(DATOS_[[Check Periodo Ref.]:[Check Periodo Ref.]]="Dentro",IF(DATOS_[[Check Equiparado]:[Check Equiparado]]="Sí",IF(DATOS!AO$5="Sí",(1/DATOS_[[% anualiz]:[% anualiz]]),1)*IF(DATOS!AO$4="Sí",1/DATOS_[[% normaliz]:[% normaliz]],1)*(DATOS_[Conc.Sal.11])))))))),
0)</f>
        <v>0</v>
      </c>
      <c r="U34" s="196">
        <f t="array" ref="U34">IFERROR(
(AVERAGE((IF(DATOS_[[Sexo]:[Sexo]]=$B34,IF(DATOS_[[AGRUP. CLAS. PROF.]:[AGRUP. CLAS. PROF.]]=$B33,IF(DATOS_[[Check Periodo Ref.]:[Check Periodo Ref.]]="Dentro",IF(DATOS_[[Check Equiparado]:[Check Equiparado]]="Sí",IF(DATOS!AP$5="Sí",(1/DATOS_[[% anualiz]:[% anualiz]]),1)*IF(DATOS!AP$4="Sí",1/DATOS_[[% normaliz]:[% normaliz]],1)*(DATOS_[Conc.Sal.12])))))))),
0)</f>
        <v>0</v>
      </c>
      <c r="V34" s="196">
        <f t="array" ref="V34">IFERROR(
(AVERAGE((IF(DATOS_[[Sexo]:[Sexo]]=$B34,IF(DATOS_[[AGRUP. CLAS. PROF.]:[AGRUP. CLAS. PROF.]]=$B33,IF(DATOS_[[Check Periodo Ref.]:[Check Periodo Ref.]]="Dentro",IF(DATOS_[[Check Equiparado]:[Check Equiparado]]="Sí",IF(DATOS!AQ$5="Sí",(1/DATOS_[[% anualiz]:[% anualiz]]),1)*IF(DATOS!AQ$4="Sí",1/DATOS_[[% normaliz]:[% normaliz]],1)*(DATOS_[Conc.Sal.13])))))))),
0)</f>
        <v>0</v>
      </c>
      <c r="W34" s="196">
        <f t="array" ref="W34">IFERROR(
(AVERAGE((IF(DATOS_[[Sexo]:[Sexo]]=$B34,IF(DATOS_[[AGRUP. CLAS. PROF.]:[AGRUP. CLAS. PROF.]]=$B33,IF(DATOS_[[Check Periodo Ref.]:[Check Periodo Ref.]]="Dentro",IF(DATOS_[[Check Equiparado]:[Check Equiparado]]="Sí",IF(DATOS!AR$5="Sí",(1/DATOS_[[% anualiz]:[% anualiz]]),1)*IF(DATOS!AR$4="Sí",1/DATOS_[[% normaliz]:[% normaliz]],1)*(DATOS_[Conc.Sal.14])))))))),
0)</f>
        <v>0</v>
      </c>
      <c r="X34" s="196">
        <f t="array" ref="X34">IFERROR(
(AVERAGE((IF(DATOS_[[Sexo]:[Sexo]]=$B34,IF(DATOS_[[AGRUP. CLAS. PROF.]:[AGRUP. CLAS. PROF.]]=$B33,IF(DATOS_[[Check Periodo Ref.]:[Check Periodo Ref.]]="Dentro",IF(DATOS_[[Check Equiparado]:[Check Equiparado]]="Sí",IF(DATOS!AS$5="Sí",(1/DATOS_[[% anualiz]:[% anualiz]]),1)*IF(DATOS!AS$4="Sí",1/DATOS_[[% normaliz]:[% normaliz]],1)*(DATOS_[Conc.Sal.15])))))))),
0)</f>
        <v>0</v>
      </c>
      <c r="Y34" s="196">
        <f t="array" ref="Y34">IFERROR(
(AVERAGE((IF(DATOS_[[Sexo]:[Sexo]]=$B34,IF(DATOS_[[AGRUP. CLAS. PROF.]:[AGRUP. CLAS. PROF.]]=$B33,IF(DATOS_[[Check Periodo Ref.]:[Check Periodo Ref.]]="Dentro",IF(DATOS_[[Check Equiparado]:[Check Equiparado]]="Sí",IF(DATOS!AT$5="Sí",(1/DATOS_[[% anualiz]:[% anualiz]]),1)*IF(DATOS!AT$4="Sí",1/DATOS_[[% normaliz]:[% normaliz]],1)*(DATOS_[Conc.Sal.16])))))))),
0)</f>
        <v>0</v>
      </c>
      <c r="Z34" s="196">
        <f t="array" ref="Z34">IFERROR(
(AVERAGE((IF(DATOS_[[Sexo]:[Sexo]]=$B34,IF(DATOS_[[AGRUP. CLAS. PROF.]:[AGRUP. CLAS. PROF.]]=$B33,IF(DATOS_[[Check Periodo Ref.]:[Check Periodo Ref.]]="Dentro",IF(DATOS_[[Check Equiparado]:[Check Equiparado]]="Sí",IF(DATOS!AU$5="Sí",(1/DATOS_[[% anualiz]:[% anualiz]]),1)*IF(DATOS!AU$4="Sí",1/DATOS_[[% normaliz]:[% normaliz]],1)*(DATOS_[Conc.Sal.17])))))))),
0)</f>
        <v>0</v>
      </c>
      <c r="AA34" s="196">
        <f t="array" ref="AA34">IFERROR(
(AVERAGE((IF(DATOS_[[Sexo]:[Sexo]]=$B34,IF(DATOS_[[AGRUP. CLAS. PROF.]:[AGRUP. CLAS. PROF.]]=$B33,IF(DATOS_[[Check Periodo Ref.]:[Check Periodo Ref.]]="Dentro",IF(DATOS_[[Check Equiparado]:[Check Equiparado]]="Sí",IF(DATOS!AV$5="Sí",(1/DATOS_[[% anualiz]:[% anualiz]]),1)*IF(DATOS!AV$4="Sí",1/DATOS_[[% normaliz]:[% normaliz]],1)*(DATOS_[Conc.Sal.18])))))))),
0)</f>
        <v>0</v>
      </c>
      <c r="AB34" s="196">
        <f t="array" ref="AB34">IFERROR(
(AVERAGE((IF(DATOS_[[Sexo]:[Sexo]]=$B34,IF(DATOS_[[AGRUP. CLAS. PROF.]:[AGRUP. CLAS. PROF.]]=$B33,IF(DATOS_[[Check Periodo Ref.]:[Check Periodo Ref.]]="Dentro",IF(DATOS_[[Check Equiparado]:[Check Equiparado]]="Sí",IF(DATOS!AW$5="Sí",(1/DATOS_[[% anualiz]:[% anualiz]]),1)*IF(DATOS!AW$4="Sí",1/DATOS_[[% normaliz]:[% normaliz]],1)*(DATOS_[Conc.Sal.19])))))))),
0)</f>
        <v>0</v>
      </c>
      <c r="AC34" s="196">
        <f t="array" ref="AC34">IFERROR(
(AVERAGE((IF(DATOS_[[Sexo]:[Sexo]]=$B34,IF(DATOS_[[AGRUP. CLAS. PROF.]:[AGRUP. CLAS. PROF.]]=$B33,IF(DATOS_[[Check Periodo Ref.]:[Check Periodo Ref.]]="Dentro",IF(DATOS_[[Check Equiparado]:[Check Equiparado]]="Sí",IF(DATOS!AX$5="Sí",(1/DATOS_[[% anualiz]:[% anualiz]]),1)*IF(DATOS!AX$4="Sí",1/DATOS_[[% normaliz]:[% normaliz]],1)*(DATOS_[Conc.Sal.20])))))))),
0)</f>
        <v>0</v>
      </c>
      <c r="AD34" s="196">
        <f t="array" ref="AD34">IFERROR(
(AVERAGE((IF(DATOS_[[Sexo]:[Sexo]]=$B34,IF(DATOS_[[AGRUP. CLAS. PROF.]:[AGRUP. CLAS. PROF.]]=$B33,IF(DATOS_[[Check Periodo Ref.]:[Check Periodo Ref.]]="Dentro",IF(DATOS_[[Check Equiparado]:[Check Equiparado]]="Sí",IF(DATOS!AY$5="Sí",(1/DATOS_[[% anualiz]:[% anualiz]]),1)*IF(DATOS!AY$4="Sí",1/DATOS_[[% normaliz]:[% normaliz]],1)*(DATOS_[Conc.Sal.21])))))))),
0)</f>
        <v>0</v>
      </c>
      <c r="AE34" s="196">
        <f t="array" ref="AE34">IFERROR(
(AVERAGE((IF(DATOS_[[Sexo]:[Sexo]]=$B34,IF(DATOS_[[AGRUP. CLAS. PROF.]:[AGRUP. CLAS. PROF.]]=$B33,IF(DATOS_[[Check Periodo Ref.]:[Check Periodo Ref.]]="Dentro",IF(DATOS_[[Check Equiparado]:[Check Equiparado]]="Sí",IF(DATOS!AZ$5="Sí",(1/DATOS_[[% anualiz]:[% anualiz]]),1)*IF(DATOS!AZ$4="Sí",1/DATOS_[[% normaliz]:[% normaliz]],1)*(DATOS_[Conc.Sal.22])))))))),
0)</f>
        <v>0</v>
      </c>
      <c r="AF34" s="196">
        <f t="array" ref="AF34">IFERROR(
(AVERAGE((IF(DATOS_[[Sexo]:[Sexo]]=$B34,IF(DATOS_[[AGRUP. CLAS. PROF.]:[AGRUP. CLAS. PROF.]]=$B33,IF(DATOS_[[Check Periodo Ref.]:[Check Periodo Ref.]]="Dentro",IF(DATOS_[[Check Equiparado]:[Check Equiparado]]="Sí",IF(DATOS!BA$5="Sí",(1/DATOS_[[% anualiz]:[% anualiz]]),1)*IF(DATOS!BA$4="Sí",1/DATOS_[[% normaliz]:[% normaliz]],1)*(DATOS_[Conc.Sal.23])))))))),
0)</f>
        <v>0</v>
      </c>
      <c r="AG34" s="196">
        <f t="array" ref="AG34">IFERROR(
(AVERAGE((IF(DATOS_[[Sexo]:[Sexo]]=$B34,IF(DATOS_[[AGRUP. CLAS. PROF.]:[AGRUP. CLAS. PROF.]]=$B33,IF(DATOS_[[Check Periodo Ref.]:[Check Periodo Ref.]]="Dentro",IF(DATOS_[[Check Equiparado]:[Check Equiparado]]="Sí",IF(DATOS!BB$5="Sí",(1/DATOS_[[% anualiz]:[% anualiz]]),1)*IF(DATOS!BB$4="Sí",1/DATOS_[[% normaliz]:[% normaliz]],1)*(DATOS_[Conc.Sal.24])))))))),
0)</f>
        <v>0</v>
      </c>
      <c r="AH34" s="196">
        <f t="array" ref="AH34">IFERROR(
(AVERAGE((IF(DATOS_[[Sexo]:[Sexo]]=$B34,IF(DATOS_[[AGRUP. CLAS. PROF.]:[AGRUP. CLAS. PROF.]]=$B33,IF(DATOS_[[Check Periodo Ref.]:[Check Periodo Ref.]]="Dentro",IF(DATOS_[[Check Equiparado]:[Check Equiparado]]="Sí",IF(DATOS!BC$5="Sí",(1/DATOS_[[% anualiz]:[% anualiz]]),1)*IF(DATOS!BC$4="Sí",1/DATOS_[[% normaliz]:[% normaliz]],1)*(DATOS_[Conc.Sal.25])))))))),
0)</f>
        <v>0</v>
      </c>
      <c r="AI34" s="196">
        <f t="array" ref="AI34">IFERROR(
(AVERAGE((IF(DATOS_[[Sexo]:[Sexo]]=$B34,IF(DATOS_[[AGRUP. CLAS. PROF.]:[AGRUP. CLAS. PROF.]]=$B33,IF(DATOS_[[Check Periodo Ref.]:[Check Periodo Ref.]]="Dentro",IF(DATOS_[[Check Equiparado]:[Check Equiparado]]="Sí",IF(DATOS!BD$5="Sí",(1/DATOS_[[% anualiz]:[% anualiz]]),1)*IF(DATOS!BD$4="Sí",1/DATOS_[[% normaliz]:[% normaliz]],1)*(DATOS_[Conc.Sal.26])))))))),
0)</f>
        <v>0</v>
      </c>
      <c r="AJ34" s="196">
        <f t="array" ref="AJ34">IFERROR(
(AVERAGE((IF(DATOS_[[Sexo]:[Sexo]]=$B34,IF(DATOS_[[AGRUP. CLAS. PROF.]:[AGRUP. CLAS. PROF.]]=$B33,IF(DATOS_[[Check Periodo Ref.]:[Check Periodo Ref.]]="Dentro",IF(DATOS_[[Check Equiparado]:[Check Equiparado]]="Sí",IF(DATOS!BE$5="Sí",(1/DATOS_[[% anualiz]:[% anualiz]]),1)*IF(DATOS!BE$4="Sí",1/DATOS_[[% normaliz]:[% normaliz]],1)*(DATOS_[Conc.Sal.27])))))))),
0)</f>
        <v>0</v>
      </c>
      <c r="AK34" s="196">
        <f t="array" ref="AK34">IFERROR(
(AVERAGE((IF(DATOS_[[Sexo]:[Sexo]]=$B34,IF(DATOS_[[AGRUP. CLAS. PROF.]:[AGRUP. CLAS. PROF.]]=$B33,IF(DATOS_[[Check Periodo Ref.]:[Check Periodo Ref.]]="Dentro",IF(DATOS_[[Check Equiparado]:[Check Equiparado]]="Sí",IF(DATOS!BF$5="Sí",(1/DATOS_[[% anualiz]:[% anualiz]]),1)*IF(DATOS!BF$4="Sí",1/DATOS_[[% normaliz]:[% normaliz]],1)*(DATOS_[Conc.Sal.28])))))))),
0)</f>
        <v>0</v>
      </c>
      <c r="AL34" s="196">
        <f t="array" ref="AL34">IFERROR(
(AVERAGE((IF(DATOS_[[Sexo]:[Sexo]]=$B34,IF(DATOS_[[AGRUP. CLAS. PROF.]:[AGRUP. CLAS. PROF.]]=$B33,IF(DATOS_[[Check Periodo Ref.]:[Check Periodo Ref.]]="Dentro",IF(DATOS_[[Check Equiparado]:[Check Equiparado]]="Sí",IF(DATOS!BG$5="Sí",(1/DATOS_[[% anualiz]:[% anualiz]]),1)*IF(DATOS!BG$4="Sí",1/DATOS_[[% normaliz]:[% normaliz]],1)*(DATOS_[Conc.Sal.29])))))))),
0)</f>
        <v>0</v>
      </c>
      <c r="AM34" s="196">
        <f t="array" ref="AM34">IFERROR(
(AVERAGE((IF(DATOS_[[Sexo]:[Sexo]]=$B34,IF(DATOS_[[AGRUP. CLAS. PROF.]:[AGRUP. CLAS. PROF.]]=$B33,IF(DATOS_[[Check Periodo Ref.]:[Check Periodo Ref.]]="Dentro",IF(DATOS_[[Check Equiparado]:[Check Equiparado]]="Sí",IF(DATOS!BH$5="Sí",(1/DATOS_[[% anualiz]:[% anualiz]]),1)*IF(DATOS!BH$4="Sí",1/DATOS_[[% normaliz]:[% normaliz]],1)*(DATOS_[Conc.Sal.30])))))))),
0)</f>
        <v>0</v>
      </c>
      <c r="AN34" s="195">
        <f t="array" ref="AN34">IFERROR(
AVERAGE(IF(DATOS_[Sexo]=$B34,IF(DATOS_[[AGRUP. CLAS. PROF.]:[AGRUP. CLAS. PROF.]]=$B33,IF(DATOS_[Check Equiparado]="Sí",IF(DATOS_[Check Periodo Ref.]="Dentro",DATOS_[Tot COMPL.SAL Eq],FALSE))))),
0)</f>
        <v>0</v>
      </c>
      <c r="AO34" s="172">
        <f t="array" ref="AO34">IFERROR(
AVERAGE(IF(DATOS_[Sexo]=$B34,IF(DATOS_[[AGRUP. CLAS. PROF.]:[AGRUP. CLAS. PROF.]]=$B33,IF(DATOS_[Check Equiparado]="Sí",IF(DATOS_[Check Periodo Ref.]="Dentro",DATOS_[TOTAL SALARIO Eq],FALSE))))),
0)</f>
        <v>0</v>
      </c>
      <c r="AP34" s="173">
        <f t="array" ref="AP34">IFERROR(
(AVERAGE((IF(DATOS_[[Sexo]:[Sexo]]=$B34,IF(DATOS_[[AGRUP. CLAS. PROF.]:[AGRUP. CLAS. PROF.]]=$B33,IF(DATOS_[[Check Periodo Ref.]:[Check Periodo Ref.]]="Dentro",IF(DATOS_[[Check Equiparado]:[Check Equiparado]]="Sí",IF(DATOS!BW$5="Sí",(1/DATOS_[[% anualiz]:[% anualiz]]),1)*IF(DATOS!BW$4="Sí",1/DATOS_[[% normaliz]:[% normaliz]],1)*(DATOS_[C.Extra.01])))))))),
0)</f>
        <v>0</v>
      </c>
      <c r="AQ34" s="173">
        <f t="array" ref="AQ34">IFERROR(
(AVERAGE((IF(DATOS_[[Sexo]:[Sexo]]=$B34,IF(DATOS_[[AGRUP. CLAS. PROF.]:[AGRUP. CLAS. PROF.]]=$B33,IF(DATOS_[[Check Periodo Ref.]:[Check Periodo Ref.]]="Dentro",IF(DATOS_[[Check Equiparado]:[Check Equiparado]]="Sí",IF(DATOS!CB$5="Sí",(1/DATOS_[[% anualiz]:[% anualiz]]),1)*IF(DATOS!CB$4="Sí",1/DATOS_[[% normaliz]:[% normaliz]],1)*(DATOS_[C.Extra.06])))))))),
0)</f>
        <v>0</v>
      </c>
      <c r="AR34" s="173">
        <f t="array" ref="AR34">IFERROR(
(AVERAGE((IF(DATOS_[[Sexo]:[Sexo]]=$B34,IF(DATOS_[[AGRUP. CLAS. PROF.]:[AGRUP. CLAS. PROF.]]=$B33,IF(DATOS_[[Check Periodo Ref.]:[Check Periodo Ref.]]="Dentro",IF(DATOS_[[Check Equiparado]:[Check Equiparado]]="Sí",IF(DATOS!CC$5="Sí",(1/DATOS_[[% anualiz]:[% anualiz]]),1)*IF(DATOS!CC$4="Sí",1/DATOS_[[% normaliz]:[% normaliz]],1)*(DATOS_[C.Extra.07])))))))),
0)</f>
        <v>0</v>
      </c>
      <c r="AS34" s="173">
        <f t="array" ref="AS34">IFERROR(
(AVERAGE((IF(DATOS_[[Sexo]:[Sexo]]=$B34,IF(DATOS_[[AGRUP. CLAS. PROF.]:[AGRUP. CLAS. PROF.]]=$B33,IF(DATOS_[[Check Periodo Ref.]:[Check Periodo Ref.]]="Dentro",IF(DATOS_[[Check Equiparado]:[Check Equiparado]]="Sí",IF(DATOS!CD$5="Sí",(1/DATOS_[[% anualiz]:[% anualiz]]),1)*IF(DATOS!CD$4="Sí",1/DATOS_[[% normaliz]:[% normaliz]],1)*(DATOS_[C.Extra.08])))))))),
0)</f>
        <v>0</v>
      </c>
      <c r="AT34" s="173">
        <f t="array" ref="AT34">IFERROR(
(AVERAGE((IF(DATOS_[[Sexo]:[Sexo]]=$B34,IF(DATOS_[[AGRUP. CLAS. PROF.]:[AGRUP. CLAS. PROF.]]=$B33,IF(DATOS_[[Check Periodo Ref.]:[Check Periodo Ref.]]="Dentro",IF(DATOS_[[Check Equiparado]:[Check Equiparado]]="Sí",IF(DATOS!CG$5="Sí",(1/DATOS_[[% anualiz]:[% anualiz]]),1)*IF(DATOS!CG$4="Sí",1/DATOS_[[% normaliz]:[% normaliz]],1)*(DATOS_[C.Extra.11])))))))),
0)</f>
        <v>0</v>
      </c>
      <c r="AU34" s="197">
        <f t="array" ref="AU34">IFERROR(
AVERAGE(IF(DATOS_[Sexo]=$B34,IF(DATOS_[[AGRUP. CLAS. PROF.]:[AGRUP. CLAS. PROF.]]=$B33,IF(DATOS_[Check Equiparado]="Sí",IF(DATOS_[Check Periodo Ref.]="Dentro",DATOS_[Tot Extrasalarial Eq],FALSE))))),
0)</f>
        <v>0</v>
      </c>
      <c r="AV34" s="175">
        <f t="array" ref="AV34">IFERROR(
AVERAGE(IF(DATOS_[Sexo]=$B34,IF(DATOS_[[AGRUP. CLAS. PROF.]:[AGRUP. CLAS. PROF.]]=$B33,IF(DATOS_[Check Equiparado]="Sí",IF(DATOS_[Check Periodo Ref.]="Dentro",DATOS_[TOTAL Retrib Eq],FALSE))))),
0)</f>
        <v>0</v>
      </c>
    </row>
    <row r="35" spans="1:48" hidden="1" x14ac:dyDescent="0.25">
      <c r="A35" s="133" t="str">
        <f t="shared" ref="A35" si="30">+A34</f>
        <v>[ocultar]</v>
      </c>
      <c r="B35" s="202" t="s">
        <v>521</v>
      </c>
      <c r="C35" s="203">
        <f t="array" ref="C35">SUM(IF($B35=DATOS_[Sexo],
IF($B33=DATOS_[AGRUP. CLAS. PROF.],
IF("Dentro"=DATOS_[Check Periodo Ref.],
1/(COUNTIFS(DATOS_[Sexo],$B35,DATOS_[AGRUP. CLAS. PROF.],$B33,DATOS_[Check Periodo Ref.],"Dentro",DATOS_[id/cod],DATOS_[id/cod]))))))</f>
        <v>0</v>
      </c>
      <c r="D35" s="204">
        <f>COUNTIFS(DATOS_[AGRUP. CLAS. PROF.],$B33,DATOS_[Sexo],$B35,DATOS_[Check Periodo Ref.],"Dentro")</f>
        <v>0</v>
      </c>
      <c r="E35" s="204">
        <f>COUNTIFS(DATOS_[AGRUP. CLAS. PROF.],$B33,DATOS_[Sexo],$B35,DATOS_[Check Periodo Ref.],"Dentro",DATOS_[Check Nº SC Norm],"Sí")</f>
        <v>0</v>
      </c>
      <c r="F35" s="204">
        <f>COUNTIFS(DATOS_[AGRUP. CLAS. PROF.],$B33,DATOS_[Sexo],$B35,DATOS_[Check Periodo Ref.],"Dentro",DATOS_[Check Nº SC Anualiz],"Sí")</f>
        <v>0</v>
      </c>
      <c r="G35" s="204">
        <f>COUNTIFS(DATOS_[AGRUP. CLAS. PROF.],$B33,DATOS_[Sexo],$B35,DATOS_[Check Periodo Ref.],"Dentro",DATOS_[Check Nº SC Norm y Anualiz],"Sí")</f>
        <v>0</v>
      </c>
      <c r="H35" s="204">
        <f>COUNTIFS(DATOS_[AGRUP. CLAS. PROF.],$B33,DATOS_[Sexo],$B35,DATOS_[Check Periodo Ref.],"Dentro",DATOS_[Check Equiparación],"Sí")</f>
        <v>0</v>
      </c>
      <c r="I35" s="195" cm="1">
        <f t="array" ref="I35">IFERROR(
AVERAGE(IF(DATOS_[Sexo]=$B35,IF(DATOS_[[AGRUP. CLAS. PROF.]:[AGRUP. CLAS. PROF.]]=$B33,IF(DATOS_[Check Equiparado]="Sí",IF(DATOS_[Check Periodo Ref.]="Dentro",DATOS_[SALARIO BASE Eq],FALSE))))),
0)</f>
        <v>0</v>
      </c>
      <c r="J35" s="196">
        <f t="array" ref="J35">IFERROR(
(AVERAGE((IF(DATOS_[[Sexo]:[Sexo]]=$B35,IF(DATOS_[[AGRUP. CLAS. PROF.]:[AGRUP. CLAS. PROF.]]=$B33,IF(DATOS_[[Check Periodo Ref.]:[Check Periodo Ref.]]="Dentro",IF(DATOS_[[Check Equiparado]:[Check Equiparado]]="Sí",IF(DATOS!AE$5="Sí",(1/DATOS_[[% anualiz]:[% anualiz]]),1)*IF(DATOS!AE$4="Sí",1/DATOS_[[% normaliz]:[% normaliz]],1)*(DATOS_[Conc.Sal.01])))))))),
0)</f>
        <v>0</v>
      </c>
      <c r="K35" s="196">
        <f t="array" ref="K35">IFERROR(
(AVERAGE((IF(DATOS_[[Sexo]:[Sexo]]=$B35,IF(DATOS_[[AGRUP. CLAS. PROF.]:[AGRUP. CLAS. PROF.]]=$B33,IF(DATOS_[[Check Periodo Ref.]:[Check Periodo Ref.]]="Dentro",IF(DATOS_[[Check Equiparado]:[Check Equiparado]]="Sí",IF(DATOS!AF$5="Sí",(1/DATOS_[[% anualiz]:[% anualiz]]),1)*IF(DATOS!AF$4="Sí",1/DATOS_[[% normaliz]:[% normaliz]],1)*(DATOS_[Conc.Sal.02])))))))),
0)</f>
        <v>0</v>
      </c>
      <c r="L35" s="196">
        <f t="array" ref="L35">IFERROR(
(AVERAGE((IF(DATOS_[[Sexo]:[Sexo]]=$B35,IF(DATOS_[[AGRUP. CLAS. PROF.]:[AGRUP. CLAS. PROF.]]=$B33,IF(DATOS_[[Check Periodo Ref.]:[Check Periodo Ref.]]="Dentro",IF(DATOS_[[Check Equiparado]:[Check Equiparado]]="Sí",IF(DATOS!AG$5="Sí",(1/DATOS_[[% anualiz]:[% anualiz]]),1)*IF(DATOS!AG$4="Sí",1/DATOS_[[% normaliz]:[% normaliz]],1)*(DATOS_[Conc.Sal.03])))))))),
0)</f>
        <v>0</v>
      </c>
      <c r="M35" s="196">
        <f t="array" ref="M35">IFERROR(
(AVERAGE((IF(DATOS_[[Sexo]:[Sexo]]=$B35,IF(DATOS_[[AGRUP. CLAS. PROF.]:[AGRUP. CLAS. PROF.]]=$B33,IF(DATOS_[[Check Periodo Ref.]:[Check Periodo Ref.]]="Dentro",IF(DATOS_[[Check Equiparado]:[Check Equiparado]]="Sí",IF(DATOS!AH$5="Sí",(1/DATOS_[[% anualiz]:[% anualiz]]),1)*IF(DATOS!AH$4="Sí",1/DATOS_[[% normaliz]:[% normaliz]],1)*(DATOS_[Conc.Sal.04])))))))),
0)</f>
        <v>0</v>
      </c>
      <c r="N35" s="196">
        <f t="array" ref="N35">IFERROR(
(AVERAGE((IF(DATOS_[[Sexo]:[Sexo]]=$B35,IF(DATOS_[[AGRUP. CLAS. PROF.]:[AGRUP. CLAS. PROF.]]=$B33,IF(DATOS_[[Check Periodo Ref.]:[Check Periodo Ref.]]="Dentro",IF(DATOS_[[Check Equiparado]:[Check Equiparado]]="Sí",IF(DATOS!AI$5="Sí",(1/DATOS_[[% anualiz]:[% anualiz]]),1)*IF(DATOS!AI$4="Sí",1/DATOS_[[% normaliz]:[% normaliz]],1)*(DATOS_[Conc.Sal.05])))))))),
0)</f>
        <v>0</v>
      </c>
      <c r="O35" s="196">
        <f t="array" ref="O35">IFERROR(
(AVERAGE((IF(DATOS_[[Sexo]:[Sexo]]=$B35,IF(DATOS_[[AGRUP. CLAS. PROF.]:[AGRUP. CLAS. PROF.]]=$B33,IF(DATOS_[[Check Periodo Ref.]:[Check Periodo Ref.]]="Dentro",IF(DATOS_[[Check Equiparado]:[Check Equiparado]]="Sí",IF(DATOS!AJ$5="Sí",(1/DATOS_[[% anualiz]:[% anualiz]]),1)*IF(DATOS!AJ$4="Sí",1/DATOS_[[% normaliz]:[% normaliz]],1)*(DATOS_[Conc.Sal.06])))))))),
0)</f>
        <v>0</v>
      </c>
      <c r="P35" s="196">
        <f t="array" ref="P35">IFERROR(
(AVERAGE((IF(DATOS_[[Sexo]:[Sexo]]=$B35,IF(DATOS_[[AGRUP. CLAS. PROF.]:[AGRUP. CLAS. PROF.]]=$B33,IF(DATOS_[[Check Periodo Ref.]:[Check Periodo Ref.]]="Dentro",IF(DATOS_[[Check Equiparado]:[Check Equiparado]]="Sí",IF(DATOS!AK$5="Sí",(1/DATOS_[[% anualiz]:[% anualiz]]),1)*IF(DATOS!AK$4="Sí",1/DATOS_[[% normaliz]:[% normaliz]],1)*(DATOS_[Conc.Sal.07])))))))),
0)</f>
        <v>0</v>
      </c>
      <c r="Q35" s="196">
        <f t="array" ref="Q35">IFERROR(
(AVERAGE((IF(DATOS_[[Sexo]:[Sexo]]=$B35,IF(DATOS_[[AGRUP. CLAS. PROF.]:[AGRUP. CLAS. PROF.]]=$B33,IF(DATOS_[[Check Periodo Ref.]:[Check Periodo Ref.]]="Dentro",IF(DATOS_[[Check Equiparado]:[Check Equiparado]]="Sí",IF(DATOS!AL$5="Sí",(1/DATOS_[[% anualiz]:[% anualiz]]),1)*IF(DATOS!AL$4="Sí",1/DATOS_[[% normaliz]:[% normaliz]],1)*(DATOS_[Conc.Sal.08])))))))),
0)</f>
        <v>0</v>
      </c>
      <c r="R35" s="196">
        <f t="array" ref="R35">IFERROR(
(AVERAGE((IF(DATOS_[[Sexo]:[Sexo]]=$B35,IF(DATOS_[[AGRUP. CLAS. PROF.]:[AGRUP. CLAS. PROF.]]=$B33,IF(DATOS_[[Check Periodo Ref.]:[Check Periodo Ref.]]="Dentro",IF(DATOS_[[Check Equiparado]:[Check Equiparado]]="Sí",IF(DATOS!AM$5="Sí",(1/DATOS_[[% anualiz]:[% anualiz]]),1)*IF(DATOS!AM$4="Sí",1/DATOS_[[% normaliz]:[% normaliz]],1)*(DATOS_[Conc.Sal.09])))))))),
0)</f>
        <v>0</v>
      </c>
      <c r="S35" s="196">
        <f t="array" ref="S35">IFERROR(
(AVERAGE((IF(DATOS_[[Sexo]:[Sexo]]=$B35,IF(DATOS_[[AGRUP. CLAS. PROF.]:[AGRUP. CLAS. PROF.]]=$B33,IF(DATOS_[[Check Periodo Ref.]:[Check Periodo Ref.]]="Dentro",IF(DATOS_[[Check Equiparado]:[Check Equiparado]]="Sí",IF(DATOS!AN$5="Sí",(1/DATOS_[[% anualiz]:[% anualiz]]),1)*IF(DATOS!AN$4="Sí",1/DATOS_[[% normaliz]:[% normaliz]],1)*(DATOS_[Conc.Sal.10])))))))),
0)</f>
        <v>0</v>
      </c>
      <c r="T35" s="196">
        <f t="array" ref="T35">IFERROR(
(AVERAGE((IF(DATOS_[[Sexo]:[Sexo]]=$B35,IF(DATOS_[[AGRUP. CLAS. PROF.]:[AGRUP. CLAS. PROF.]]=$B33,IF(DATOS_[[Check Periodo Ref.]:[Check Periodo Ref.]]="Dentro",IF(DATOS_[[Check Equiparado]:[Check Equiparado]]="Sí",IF(DATOS!AO$5="Sí",(1/DATOS_[[% anualiz]:[% anualiz]]),1)*IF(DATOS!AO$4="Sí",1/DATOS_[[% normaliz]:[% normaliz]],1)*(DATOS_[Conc.Sal.11])))))))),
0)</f>
        <v>0</v>
      </c>
      <c r="U35" s="196">
        <f t="array" ref="U35">IFERROR(
(AVERAGE((IF(DATOS_[[Sexo]:[Sexo]]=$B35,IF(DATOS_[[AGRUP. CLAS. PROF.]:[AGRUP. CLAS. PROF.]]=$B33,IF(DATOS_[[Check Periodo Ref.]:[Check Periodo Ref.]]="Dentro",IF(DATOS_[[Check Equiparado]:[Check Equiparado]]="Sí",IF(DATOS!AP$5="Sí",(1/DATOS_[[% anualiz]:[% anualiz]]),1)*IF(DATOS!AP$4="Sí",1/DATOS_[[% normaliz]:[% normaliz]],1)*(DATOS_[Conc.Sal.12])))))))),
0)</f>
        <v>0</v>
      </c>
      <c r="V35" s="196">
        <f t="array" ref="V35">IFERROR(
(AVERAGE((IF(DATOS_[[Sexo]:[Sexo]]=$B35,IF(DATOS_[[AGRUP. CLAS. PROF.]:[AGRUP. CLAS. PROF.]]=$B33,IF(DATOS_[[Check Periodo Ref.]:[Check Periodo Ref.]]="Dentro",IF(DATOS_[[Check Equiparado]:[Check Equiparado]]="Sí",IF(DATOS!AQ$5="Sí",(1/DATOS_[[% anualiz]:[% anualiz]]),1)*IF(DATOS!AQ$4="Sí",1/DATOS_[[% normaliz]:[% normaliz]],1)*(DATOS_[Conc.Sal.13])))))))),
0)</f>
        <v>0</v>
      </c>
      <c r="W35" s="196">
        <f t="array" ref="W35">IFERROR(
(AVERAGE((IF(DATOS_[[Sexo]:[Sexo]]=$B35,IF(DATOS_[[AGRUP. CLAS. PROF.]:[AGRUP. CLAS. PROF.]]=$B33,IF(DATOS_[[Check Periodo Ref.]:[Check Periodo Ref.]]="Dentro",IF(DATOS_[[Check Equiparado]:[Check Equiparado]]="Sí",IF(DATOS!AR$5="Sí",(1/DATOS_[[% anualiz]:[% anualiz]]),1)*IF(DATOS!AR$4="Sí",1/DATOS_[[% normaliz]:[% normaliz]],1)*(DATOS_[Conc.Sal.14])))))))),
0)</f>
        <v>0</v>
      </c>
      <c r="X35" s="196">
        <f t="array" ref="X35">IFERROR(
(AVERAGE((IF(DATOS_[[Sexo]:[Sexo]]=$B35,IF(DATOS_[[AGRUP. CLAS. PROF.]:[AGRUP. CLAS. PROF.]]=$B33,IF(DATOS_[[Check Periodo Ref.]:[Check Periodo Ref.]]="Dentro",IF(DATOS_[[Check Equiparado]:[Check Equiparado]]="Sí",IF(DATOS!AS$5="Sí",(1/DATOS_[[% anualiz]:[% anualiz]]),1)*IF(DATOS!AS$4="Sí",1/DATOS_[[% normaliz]:[% normaliz]],1)*(DATOS_[Conc.Sal.15])))))))),
0)</f>
        <v>0</v>
      </c>
      <c r="Y35" s="196">
        <f t="array" ref="Y35">IFERROR(
(AVERAGE((IF(DATOS_[[Sexo]:[Sexo]]=$B35,IF(DATOS_[[AGRUP. CLAS. PROF.]:[AGRUP. CLAS. PROF.]]=$B33,IF(DATOS_[[Check Periodo Ref.]:[Check Periodo Ref.]]="Dentro",IF(DATOS_[[Check Equiparado]:[Check Equiparado]]="Sí",IF(DATOS!AT$5="Sí",(1/DATOS_[[% anualiz]:[% anualiz]]),1)*IF(DATOS!AT$4="Sí",1/DATOS_[[% normaliz]:[% normaliz]],1)*(DATOS_[Conc.Sal.16])))))))),
0)</f>
        <v>0</v>
      </c>
      <c r="Z35" s="196">
        <f t="array" ref="Z35">IFERROR(
(AVERAGE((IF(DATOS_[[Sexo]:[Sexo]]=$B35,IF(DATOS_[[AGRUP. CLAS. PROF.]:[AGRUP. CLAS. PROF.]]=$B33,IF(DATOS_[[Check Periodo Ref.]:[Check Periodo Ref.]]="Dentro",IF(DATOS_[[Check Equiparado]:[Check Equiparado]]="Sí",IF(DATOS!AU$5="Sí",(1/DATOS_[[% anualiz]:[% anualiz]]),1)*IF(DATOS!AU$4="Sí",1/DATOS_[[% normaliz]:[% normaliz]],1)*(DATOS_[Conc.Sal.17])))))))),
0)</f>
        <v>0</v>
      </c>
      <c r="AA35" s="196">
        <f t="array" ref="AA35">IFERROR(
(AVERAGE((IF(DATOS_[[Sexo]:[Sexo]]=$B35,IF(DATOS_[[AGRUP. CLAS. PROF.]:[AGRUP. CLAS. PROF.]]=$B33,IF(DATOS_[[Check Periodo Ref.]:[Check Periodo Ref.]]="Dentro",IF(DATOS_[[Check Equiparado]:[Check Equiparado]]="Sí",IF(DATOS!AV$5="Sí",(1/DATOS_[[% anualiz]:[% anualiz]]),1)*IF(DATOS!AV$4="Sí",1/DATOS_[[% normaliz]:[% normaliz]],1)*(DATOS_[Conc.Sal.18])))))))),
0)</f>
        <v>0</v>
      </c>
      <c r="AB35" s="196">
        <f t="array" ref="AB35">IFERROR(
(AVERAGE((IF(DATOS_[[Sexo]:[Sexo]]=$B35,IF(DATOS_[[AGRUP. CLAS. PROF.]:[AGRUP. CLAS. PROF.]]=$B33,IF(DATOS_[[Check Periodo Ref.]:[Check Periodo Ref.]]="Dentro",IF(DATOS_[[Check Equiparado]:[Check Equiparado]]="Sí",IF(DATOS!AW$5="Sí",(1/DATOS_[[% anualiz]:[% anualiz]]),1)*IF(DATOS!AW$4="Sí",1/DATOS_[[% normaliz]:[% normaliz]],1)*(DATOS_[Conc.Sal.19])))))))),
0)</f>
        <v>0</v>
      </c>
      <c r="AC35" s="196">
        <f t="array" ref="AC35">IFERROR(
(AVERAGE((IF(DATOS_[[Sexo]:[Sexo]]=$B35,IF(DATOS_[[AGRUP. CLAS. PROF.]:[AGRUP. CLAS. PROF.]]=$B33,IF(DATOS_[[Check Periodo Ref.]:[Check Periodo Ref.]]="Dentro",IF(DATOS_[[Check Equiparado]:[Check Equiparado]]="Sí",IF(DATOS!AX$5="Sí",(1/DATOS_[[% anualiz]:[% anualiz]]),1)*IF(DATOS!AX$4="Sí",1/DATOS_[[% normaliz]:[% normaliz]],1)*(DATOS_[Conc.Sal.20])))))))),
0)</f>
        <v>0</v>
      </c>
      <c r="AD35" s="196">
        <f t="array" ref="AD35">IFERROR(
(AVERAGE((IF(DATOS_[[Sexo]:[Sexo]]=$B35,IF(DATOS_[[AGRUP. CLAS. PROF.]:[AGRUP. CLAS. PROF.]]=$B33,IF(DATOS_[[Check Periodo Ref.]:[Check Periodo Ref.]]="Dentro",IF(DATOS_[[Check Equiparado]:[Check Equiparado]]="Sí",IF(DATOS!AY$5="Sí",(1/DATOS_[[% anualiz]:[% anualiz]]),1)*IF(DATOS!AY$4="Sí",1/DATOS_[[% normaliz]:[% normaliz]],1)*(DATOS_[Conc.Sal.21])))))))),
0)</f>
        <v>0</v>
      </c>
      <c r="AE35" s="196">
        <f t="array" ref="AE35">IFERROR(
(AVERAGE((IF(DATOS_[[Sexo]:[Sexo]]=$B35,IF(DATOS_[[AGRUP. CLAS. PROF.]:[AGRUP. CLAS. PROF.]]=$B33,IF(DATOS_[[Check Periodo Ref.]:[Check Periodo Ref.]]="Dentro",IF(DATOS_[[Check Equiparado]:[Check Equiparado]]="Sí",IF(DATOS!AZ$5="Sí",(1/DATOS_[[% anualiz]:[% anualiz]]),1)*IF(DATOS!AZ$4="Sí",1/DATOS_[[% normaliz]:[% normaliz]],1)*(DATOS_[Conc.Sal.22])))))))),
0)</f>
        <v>0</v>
      </c>
      <c r="AF35" s="196">
        <f t="array" ref="AF35">IFERROR(
(AVERAGE((IF(DATOS_[[Sexo]:[Sexo]]=$B35,IF(DATOS_[[AGRUP. CLAS. PROF.]:[AGRUP. CLAS. PROF.]]=$B33,IF(DATOS_[[Check Periodo Ref.]:[Check Periodo Ref.]]="Dentro",IF(DATOS_[[Check Equiparado]:[Check Equiparado]]="Sí",IF(DATOS!BA$5="Sí",(1/DATOS_[[% anualiz]:[% anualiz]]),1)*IF(DATOS!BA$4="Sí",1/DATOS_[[% normaliz]:[% normaliz]],1)*(DATOS_[Conc.Sal.23])))))))),
0)</f>
        <v>0</v>
      </c>
      <c r="AG35" s="196">
        <f t="array" ref="AG35">IFERROR(
(AVERAGE((IF(DATOS_[[Sexo]:[Sexo]]=$B35,IF(DATOS_[[AGRUP. CLAS. PROF.]:[AGRUP. CLAS. PROF.]]=$B33,IF(DATOS_[[Check Periodo Ref.]:[Check Periodo Ref.]]="Dentro",IF(DATOS_[[Check Equiparado]:[Check Equiparado]]="Sí",IF(DATOS!BB$5="Sí",(1/DATOS_[[% anualiz]:[% anualiz]]),1)*IF(DATOS!BB$4="Sí",1/DATOS_[[% normaliz]:[% normaliz]],1)*(DATOS_[Conc.Sal.24])))))))),
0)</f>
        <v>0</v>
      </c>
      <c r="AH35" s="196">
        <f t="array" ref="AH35">IFERROR(
(AVERAGE((IF(DATOS_[[Sexo]:[Sexo]]=$B35,IF(DATOS_[[AGRUP. CLAS. PROF.]:[AGRUP. CLAS. PROF.]]=$B33,IF(DATOS_[[Check Periodo Ref.]:[Check Periodo Ref.]]="Dentro",IF(DATOS_[[Check Equiparado]:[Check Equiparado]]="Sí",IF(DATOS!BC$5="Sí",(1/DATOS_[[% anualiz]:[% anualiz]]),1)*IF(DATOS!BC$4="Sí",1/DATOS_[[% normaliz]:[% normaliz]],1)*(DATOS_[Conc.Sal.25])))))))),
0)</f>
        <v>0</v>
      </c>
      <c r="AI35" s="196">
        <f t="array" ref="AI35">IFERROR(
(AVERAGE((IF(DATOS_[[Sexo]:[Sexo]]=$B35,IF(DATOS_[[AGRUP. CLAS. PROF.]:[AGRUP. CLAS. PROF.]]=$B33,IF(DATOS_[[Check Periodo Ref.]:[Check Periodo Ref.]]="Dentro",IF(DATOS_[[Check Equiparado]:[Check Equiparado]]="Sí",IF(DATOS!BD$5="Sí",(1/DATOS_[[% anualiz]:[% anualiz]]),1)*IF(DATOS!BD$4="Sí",1/DATOS_[[% normaliz]:[% normaliz]],1)*(DATOS_[Conc.Sal.26])))))))),
0)</f>
        <v>0</v>
      </c>
      <c r="AJ35" s="196">
        <f t="array" ref="AJ35">IFERROR(
(AVERAGE((IF(DATOS_[[Sexo]:[Sexo]]=$B35,IF(DATOS_[[AGRUP. CLAS. PROF.]:[AGRUP. CLAS. PROF.]]=$B33,IF(DATOS_[[Check Periodo Ref.]:[Check Periodo Ref.]]="Dentro",IF(DATOS_[[Check Equiparado]:[Check Equiparado]]="Sí",IF(DATOS!BE$5="Sí",(1/DATOS_[[% anualiz]:[% anualiz]]),1)*IF(DATOS!BE$4="Sí",1/DATOS_[[% normaliz]:[% normaliz]],1)*(DATOS_[Conc.Sal.27])))))))),
0)</f>
        <v>0</v>
      </c>
      <c r="AK35" s="196">
        <f t="array" ref="AK35">IFERROR(
(AVERAGE((IF(DATOS_[[Sexo]:[Sexo]]=$B35,IF(DATOS_[[AGRUP. CLAS. PROF.]:[AGRUP. CLAS. PROF.]]=$B33,IF(DATOS_[[Check Periodo Ref.]:[Check Periodo Ref.]]="Dentro",IF(DATOS_[[Check Equiparado]:[Check Equiparado]]="Sí",IF(DATOS!BF$5="Sí",(1/DATOS_[[% anualiz]:[% anualiz]]),1)*IF(DATOS!BF$4="Sí",1/DATOS_[[% normaliz]:[% normaliz]],1)*(DATOS_[Conc.Sal.28])))))))),
0)</f>
        <v>0</v>
      </c>
      <c r="AL35" s="196">
        <f t="array" ref="AL35">IFERROR(
(AVERAGE((IF(DATOS_[[Sexo]:[Sexo]]=$B35,IF(DATOS_[[AGRUP. CLAS. PROF.]:[AGRUP. CLAS. PROF.]]=$B33,IF(DATOS_[[Check Periodo Ref.]:[Check Periodo Ref.]]="Dentro",IF(DATOS_[[Check Equiparado]:[Check Equiparado]]="Sí",IF(DATOS!BG$5="Sí",(1/DATOS_[[% anualiz]:[% anualiz]]),1)*IF(DATOS!BG$4="Sí",1/DATOS_[[% normaliz]:[% normaliz]],1)*(DATOS_[Conc.Sal.29])))))))),
0)</f>
        <v>0</v>
      </c>
      <c r="AM35" s="196">
        <f t="array" ref="AM35">IFERROR(
(AVERAGE((IF(DATOS_[[Sexo]:[Sexo]]=$B35,IF(DATOS_[[AGRUP. CLAS. PROF.]:[AGRUP. CLAS. PROF.]]=$B33,IF(DATOS_[[Check Periodo Ref.]:[Check Periodo Ref.]]="Dentro",IF(DATOS_[[Check Equiparado]:[Check Equiparado]]="Sí",IF(DATOS!BH$5="Sí",(1/DATOS_[[% anualiz]:[% anualiz]]),1)*IF(DATOS!BH$4="Sí",1/DATOS_[[% normaliz]:[% normaliz]],1)*(DATOS_[Conc.Sal.30])))))))),
0)</f>
        <v>0</v>
      </c>
      <c r="AN35" s="195">
        <f t="array" ref="AN35">IFERROR(
AVERAGE(IF(DATOS_[Sexo]=$B35,IF(DATOS_[[AGRUP. CLAS. PROF.]:[AGRUP. CLAS. PROF.]]=$B33,IF(DATOS_[Check Equiparado]="Sí",IF(DATOS_[Check Periodo Ref.]="Dentro",DATOS_[Tot COMPL.SAL Eq],FALSE))))),
0)</f>
        <v>0</v>
      </c>
      <c r="AO35" s="172">
        <f t="array" ref="AO35">IFERROR(
AVERAGE(IF(DATOS_[Sexo]=$B35,IF(DATOS_[[AGRUP. CLAS. PROF.]:[AGRUP. CLAS. PROF.]]=$B33,IF(DATOS_[Check Equiparado]="Sí",IF(DATOS_[Check Periodo Ref.]="Dentro",DATOS_[TOTAL SALARIO Eq],FALSE))))),
0)</f>
        <v>0</v>
      </c>
      <c r="AP35" s="173">
        <f t="array" ref="AP35">IFERROR(
(AVERAGE((IF(DATOS_[[Sexo]:[Sexo]]=$B35,IF(DATOS_[[AGRUP. CLAS. PROF.]:[AGRUP. CLAS. PROF.]]=$B33,IF(DATOS_[[Check Periodo Ref.]:[Check Periodo Ref.]]="Dentro",IF(DATOS_[[Check Equiparado]:[Check Equiparado]]="Sí",IF(DATOS!BW$5="Sí",(1/DATOS_[[% anualiz]:[% anualiz]]),1)*IF(DATOS!BW$4="Sí",1/DATOS_[[% normaliz]:[% normaliz]],1)*(DATOS_[C.Extra.01])))))))),
0)</f>
        <v>0</v>
      </c>
      <c r="AQ35" s="173">
        <f t="array" ref="AQ35">IFERROR(
(AVERAGE((IF(DATOS_[[Sexo]:[Sexo]]=$B35,IF(DATOS_[[AGRUP. CLAS. PROF.]:[AGRUP. CLAS. PROF.]]=$B33,IF(DATOS_[[Check Periodo Ref.]:[Check Periodo Ref.]]="Dentro",IF(DATOS_[[Check Equiparado]:[Check Equiparado]]="Sí",IF(DATOS!CB$5="Sí",(1/DATOS_[[% anualiz]:[% anualiz]]),1)*IF(DATOS!CB$4="Sí",1/DATOS_[[% normaliz]:[% normaliz]],1)*(DATOS_[C.Extra.06])))))))),
0)</f>
        <v>0</v>
      </c>
      <c r="AR35" s="173">
        <f t="array" ref="AR35">IFERROR(
(AVERAGE((IF(DATOS_[[Sexo]:[Sexo]]=$B35,IF(DATOS_[[AGRUP. CLAS. PROF.]:[AGRUP. CLAS. PROF.]]=$B33,IF(DATOS_[[Check Periodo Ref.]:[Check Periodo Ref.]]="Dentro",IF(DATOS_[[Check Equiparado]:[Check Equiparado]]="Sí",IF(DATOS!CC$5="Sí",(1/DATOS_[[% anualiz]:[% anualiz]]),1)*IF(DATOS!CC$4="Sí",1/DATOS_[[% normaliz]:[% normaliz]],1)*(DATOS_[C.Extra.07])))))))),
0)</f>
        <v>0</v>
      </c>
      <c r="AS35" s="173">
        <f t="array" ref="AS35">IFERROR(
(AVERAGE((IF(DATOS_[[Sexo]:[Sexo]]=$B35,IF(DATOS_[[AGRUP. CLAS. PROF.]:[AGRUP. CLAS. PROF.]]=$B33,IF(DATOS_[[Check Periodo Ref.]:[Check Periodo Ref.]]="Dentro",IF(DATOS_[[Check Equiparado]:[Check Equiparado]]="Sí",IF(DATOS!CD$5="Sí",(1/DATOS_[[% anualiz]:[% anualiz]]),1)*IF(DATOS!CD$4="Sí",1/DATOS_[[% normaliz]:[% normaliz]],1)*(DATOS_[C.Extra.08])))))))),
0)</f>
        <v>0</v>
      </c>
      <c r="AT35" s="173">
        <f t="array" ref="AT35">IFERROR(
(AVERAGE((IF(DATOS_[[Sexo]:[Sexo]]=$B35,IF(DATOS_[[AGRUP. CLAS. PROF.]:[AGRUP. CLAS. PROF.]]=$B33,IF(DATOS_[[Check Periodo Ref.]:[Check Periodo Ref.]]="Dentro",IF(DATOS_[[Check Equiparado]:[Check Equiparado]]="Sí",IF(DATOS!CG$5="Sí",(1/DATOS_[[% anualiz]:[% anualiz]]),1)*IF(DATOS!CG$4="Sí",1/DATOS_[[% normaliz]:[% normaliz]],1)*(DATOS_[C.Extra.11])))))))),
0)</f>
        <v>0</v>
      </c>
      <c r="AU35" s="197">
        <f t="array" ref="AU35">IFERROR(
AVERAGE(IF(DATOS_[Sexo]=$B35,IF(DATOS_[[AGRUP. CLAS. PROF.]:[AGRUP. CLAS. PROF.]]=$B33,IF(DATOS_[Check Equiparado]="Sí",IF(DATOS_[Check Periodo Ref.]="Dentro",DATOS_[Tot Extrasalarial Eq],FALSE))))),
0)</f>
        <v>0</v>
      </c>
      <c r="AV35" s="175">
        <f t="array" ref="AV35">IFERROR(
AVERAGE(IF(DATOS_[Sexo]=$B35,IF(DATOS_[[AGRUP. CLAS. PROF.]:[AGRUP. CLAS. PROF.]]=$B33,IF(DATOS_[Check Equiparado]="Sí",IF(DATOS_[Check Periodo Ref.]="Dentro",DATOS_[TOTAL Retrib Eq],FALSE))))),
0)</f>
        <v>0</v>
      </c>
    </row>
    <row r="36" spans="1:48" ht="15.6" hidden="1" thickBot="1" x14ac:dyDescent="0.3">
      <c r="A36" s="133" t="str">
        <f t="shared" ref="A36" si="31">+A37</f>
        <v>[ocultar]</v>
      </c>
      <c r="B36" s="199" t="s">
        <v>203</v>
      </c>
      <c r="C36" s="200"/>
      <c r="D36" s="201"/>
      <c r="E36" s="201"/>
      <c r="F36" s="201"/>
      <c r="G36" s="201"/>
      <c r="H36" s="201"/>
      <c r="I36" s="189" t="str">
        <f t="shared" ref="I36:AV36" si="32">IFERROR((I37-I38)/I37,"")</f>
        <v/>
      </c>
      <c r="J36" s="190" t="str">
        <f t="shared" si="32"/>
        <v/>
      </c>
      <c r="K36" s="191" t="str">
        <f t="shared" si="32"/>
        <v/>
      </c>
      <c r="L36" s="191" t="str">
        <f t="shared" si="32"/>
        <v/>
      </c>
      <c r="M36" s="191" t="str">
        <f t="shared" si="32"/>
        <v/>
      </c>
      <c r="N36" s="192" t="str">
        <f t="shared" si="32"/>
        <v/>
      </c>
      <c r="O36" s="193" t="str">
        <f t="shared" si="32"/>
        <v/>
      </c>
      <c r="P36" s="193" t="str">
        <f t="shared" si="32"/>
        <v/>
      </c>
      <c r="Q36" s="193" t="str">
        <f t="shared" si="32"/>
        <v/>
      </c>
      <c r="R36" s="193" t="str">
        <f t="shared" si="32"/>
        <v/>
      </c>
      <c r="S36" s="193" t="str">
        <f t="shared" si="32"/>
        <v/>
      </c>
      <c r="T36" s="193" t="str">
        <f t="shared" si="32"/>
        <v/>
      </c>
      <c r="U36" s="193" t="str">
        <f t="shared" si="32"/>
        <v/>
      </c>
      <c r="V36" s="193" t="str">
        <f t="shared" si="32"/>
        <v/>
      </c>
      <c r="W36" s="193" t="str">
        <f t="shared" si="32"/>
        <v/>
      </c>
      <c r="X36" s="193" t="str">
        <f t="shared" si="32"/>
        <v/>
      </c>
      <c r="Y36" s="193" t="str">
        <f t="shared" si="32"/>
        <v/>
      </c>
      <c r="Z36" s="193" t="str">
        <f t="shared" si="32"/>
        <v/>
      </c>
      <c r="AA36" s="193" t="str">
        <f t="shared" si="32"/>
        <v/>
      </c>
      <c r="AB36" s="193" t="str">
        <f t="shared" si="32"/>
        <v/>
      </c>
      <c r="AC36" s="193" t="str">
        <f t="shared" si="32"/>
        <v/>
      </c>
      <c r="AD36" s="193" t="str">
        <f t="shared" si="32"/>
        <v/>
      </c>
      <c r="AE36" s="193" t="str">
        <f t="shared" si="32"/>
        <v/>
      </c>
      <c r="AF36" s="193" t="str">
        <f t="shared" si="32"/>
        <v/>
      </c>
      <c r="AG36" s="193" t="str">
        <f t="shared" si="32"/>
        <v/>
      </c>
      <c r="AH36" s="193" t="str">
        <f t="shared" si="32"/>
        <v/>
      </c>
      <c r="AI36" s="193" t="str">
        <f t="shared" si="32"/>
        <v/>
      </c>
      <c r="AJ36" s="193" t="str">
        <f t="shared" si="32"/>
        <v/>
      </c>
      <c r="AK36" s="193" t="str">
        <f t="shared" si="32"/>
        <v/>
      </c>
      <c r="AL36" s="193" t="str">
        <f t="shared" si="32"/>
        <v/>
      </c>
      <c r="AM36" s="193" t="str">
        <f t="shared" si="32"/>
        <v/>
      </c>
      <c r="AN36" s="189" t="str">
        <f t="shared" si="32"/>
        <v/>
      </c>
      <c r="AO36" s="162" t="str">
        <f t="shared" si="32"/>
        <v/>
      </c>
      <c r="AP36" s="163" t="str">
        <f t="shared" si="32"/>
        <v/>
      </c>
      <c r="AQ36" s="163" t="str">
        <f t="shared" si="32"/>
        <v/>
      </c>
      <c r="AR36" s="163" t="str">
        <f t="shared" si="32"/>
        <v/>
      </c>
      <c r="AS36" s="163" t="str">
        <f t="shared" si="32"/>
        <v/>
      </c>
      <c r="AT36" s="163" t="str">
        <f t="shared" si="32"/>
        <v/>
      </c>
      <c r="AU36" s="194" t="str">
        <f t="shared" si="32"/>
        <v/>
      </c>
      <c r="AV36" s="165" t="str">
        <f t="shared" si="32"/>
        <v/>
      </c>
    </row>
    <row r="37" spans="1:48" hidden="1" x14ac:dyDescent="0.25">
      <c r="A37" s="133" t="str">
        <f t="shared" ref="A37" si="33">+IF(C37+C38=0,"[ocultar]","")</f>
        <v>[ocultar]</v>
      </c>
      <c r="B37" s="202" t="s">
        <v>394</v>
      </c>
      <c r="C37" s="203">
        <f t="array" ref="C37">SUM(IF($B37=DATOS_[Sexo],
IF($B36=DATOS_[AGRUP. CLAS. PROF.],
IF("Dentro"=DATOS_[Check Periodo Ref.],
1/(COUNTIFS(DATOS_[Sexo],$B37,DATOS_[AGRUP. CLAS. PROF.],$B36,DATOS_[Check Periodo Ref.],"Dentro",DATOS_[id/cod],DATOS_[id/cod]))))))</f>
        <v>0</v>
      </c>
      <c r="D37" s="204">
        <f>COUNTIFS(DATOS_[AGRUP. CLAS. PROF.],$B36,DATOS_[Sexo],$B37,DATOS_[Check Periodo Ref.],"Dentro")</f>
        <v>0</v>
      </c>
      <c r="E37" s="204">
        <f>COUNTIFS(DATOS_[AGRUP. CLAS. PROF.],$B36,DATOS_[Sexo],$B37,DATOS_[Check Periodo Ref.],"Dentro",DATOS_[Check Nº SC Norm],"Sí")</f>
        <v>0</v>
      </c>
      <c r="F37" s="204">
        <f>COUNTIFS(DATOS_[AGRUP. CLAS. PROF.],$B36,DATOS_[Sexo],$B37,DATOS_[Check Periodo Ref.],"Dentro",DATOS_[Check Nº SC Anualiz],"Sí")</f>
        <v>0</v>
      </c>
      <c r="G37" s="204">
        <f>COUNTIFS(DATOS_[AGRUP. CLAS. PROF.],$B36,DATOS_[Sexo],$B37,DATOS_[Check Periodo Ref.],"Dentro",DATOS_[Check Nº SC Norm y Anualiz],"Sí")</f>
        <v>0</v>
      </c>
      <c r="H37" s="204">
        <f>COUNTIFS(DATOS_[AGRUP. CLAS. PROF.],$B36,DATOS_[Sexo],$B37,DATOS_[Check Periodo Ref.],"Dentro",DATOS_[Check Equiparación],"Sí")</f>
        <v>0</v>
      </c>
      <c r="I37" s="195">
        <f t="array" ref="I37">IFERROR(
AVERAGE(IF(DATOS_[Sexo]=$B37,IF(DATOS_[[AGRUP. CLAS. PROF.]:[AGRUP. CLAS. PROF.]]=$B36,IF(DATOS_[Check Equiparado]="Sí",IF(DATOS_[Check Periodo Ref.]="Dentro",DATOS_[SALARIO BASE Eq],FALSE))))),
0)</f>
        <v>0</v>
      </c>
      <c r="J37" s="196">
        <f t="array" ref="J37">IFERROR(
(AVERAGE((IF(DATOS_[[Sexo]:[Sexo]]=$B37,IF(DATOS_[[AGRUP. CLAS. PROF.]:[AGRUP. CLAS. PROF.]]=$B36,IF(DATOS_[[Check Periodo Ref.]:[Check Periodo Ref.]]="Dentro",IF(DATOS_[[Check Equiparado]:[Check Equiparado]]="Sí",IF(DATOS!AE$5="Sí",(1/DATOS_[[% anualiz]:[% anualiz]]),1)*IF(DATOS!AE$4="Sí",1/DATOS_[[% normaliz]:[% normaliz]],1)*(DATOS_[Conc.Sal.01])))))))),
0)</f>
        <v>0</v>
      </c>
      <c r="K37" s="196">
        <f t="array" ref="K37">IFERROR(
(AVERAGE((IF(DATOS_[[Sexo]:[Sexo]]=$B37,IF(DATOS_[[AGRUP. CLAS. PROF.]:[AGRUP. CLAS. PROF.]]=$B36,IF(DATOS_[[Check Periodo Ref.]:[Check Periodo Ref.]]="Dentro",IF(DATOS_[[Check Equiparado]:[Check Equiparado]]="Sí",IF(DATOS!AF$5="Sí",(1/DATOS_[[% anualiz]:[% anualiz]]),1)*IF(DATOS!AF$4="Sí",1/DATOS_[[% normaliz]:[% normaliz]],1)*(DATOS_[Conc.Sal.02])))))))),
0)</f>
        <v>0</v>
      </c>
      <c r="L37" s="196">
        <f t="array" ref="L37">IFERROR(
(AVERAGE((IF(DATOS_[[Sexo]:[Sexo]]=$B37,IF(DATOS_[[AGRUP. CLAS. PROF.]:[AGRUP. CLAS. PROF.]]=$B36,IF(DATOS_[[Check Periodo Ref.]:[Check Periodo Ref.]]="Dentro",IF(DATOS_[[Check Equiparado]:[Check Equiparado]]="Sí",IF(DATOS!AG$5="Sí",(1/DATOS_[[% anualiz]:[% anualiz]]),1)*IF(DATOS!AG$4="Sí",1/DATOS_[[% normaliz]:[% normaliz]],1)*(DATOS_[Conc.Sal.03])))))))),
0)</f>
        <v>0</v>
      </c>
      <c r="M37" s="196">
        <f t="array" ref="M37">IFERROR(
(AVERAGE((IF(DATOS_[[Sexo]:[Sexo]]=$B37,IF(DATOS_[[AGRUP. CLAS. PROF.]:[AGRUP. CLAS. PROF.]]=$B36,IF(DATOS_[[Check Periodo Ref.]:[Check Periodo Ref.]]="Dentro",IF(DATOS_[[Check Equiparado]:[Check Equiparado]]="Sí",IF(DATOS!AH$5="Sí",(1/DATOS_[[% anualiz]:[% anualiz]]),1)*IF(DATOS!AH$4="Sí",1/DATOS_[[% normaliz]:[% normaliz]],1)*(DATOS_[Conc.Sal.04])))))))),
0)</f>
        <v>0</v>
      </c>
      <c r="N37" s="196">
        <f t="array" ref="N37">IFERROR(
(AVERAGE((IF(DATOS_[[Sexo]:[Sexo]]=$B37,IF(DATOS_[[AGRUP. CLAS. PROF.]:[AGRUP. CLAS. PROF.]]=$B36,IF(DATOS_[[Check Periodo Ref.]:[Check Periodo Ref.]]="Dentro",IF(DATOS_[[Check Equiparado]:[Check Equiparado]]="Sí",IF(DATOS!AI$5="Sí",(1/DATOS_[[% anualiz]:[% anualiz]]),1)*IF(DATOS!AI$4="Sí",1/DATOS_[[% normaliz]:[% normaliz]],1)*(DATOS_[Conc.Sal.05])))))))),
0)</f>
        <v>0</v>
      </c>
      <c r="O37" s="196">
        <f t="array" ref="O37">IFERROR(
(AVERAGE((IF(DATOS_[[Sexo]:[Sexo]]=$B37,IF(DATOS_[[AGRUP. CLAS. PROF.]:[AGRUP. CLAS. PROF.]]=$B36,IF(DATOS_[[Check Periodo Ref.]:[Check Periodo Ref.]]="Dentro",IF(DATOS_[[Check Equiparado]:[Check Equiparado]]="Sí",IF(DATOS!AJ$5="Sí",(1/DATOS_[[% anualiz]:[% anualiz]]),1)*IF(DATOS!AJ$4="Sí",1/DATOS_[[% normaliz]:[% normaliz]],1)*(DATOS_[Conc.Sal.06])))))))),
0)</f>
        <v>0</v>
      </c>
      <c r="P37" s="196">
        <f t="array" ref="P37">IFERROR(
(AVERAGE((IF(DATOS_[[Sexo]:[Sexo]]=$B37,IF(DATOS_[[AGRUP. CLAS. PROF.]:[AGRUP. CLAS. PROF.]]=$B36,IF(DATOS_[[Check Periodo Ref.]:[Check Periodo Ref.]]="Dentro",IF(DATOS_[[Check Equiparado]:[Check Equiparado]]="Sí",IF(DATOS!AK$5="Sí",(1/DATOS_[[% anualiz]:[% anualiz]]),1)*IF(DATOS!AK$4="Sí",1/DATOS_[[% normaliz]:[% normaliz]],1)*(DATOS_[Conc.Sal.07])))))))),
0)</f>
        <v>0</v>
      </c>
      <c r="Q37" s="196">
        <f t="array" ref="Q37">IFERROR(
(AVERAGE((IF(DATOS_[[Sexo]:[Sexo]]=$B37,IF(DATOS_[[AGRUP. CLAS. PROF.]:[AGRUP. CLAS. PROF.]]=$B36,IF(DATOS_[[Check Periodo Ref.]:[Check Periodo Ref.]]="Dentro",IF(DATOS_[[Check Equiparado]:[Check Equiparado]]="Sí",IF(DATOS!AL$5="Sí",(1/DATOS_[[% anualiz]:[% anualiz]]),1)*IF(DATOS!AL$4="Sí",1/DATOS_[[% normaliz]:[% normaliz]],1)*(DATOS_[Conc.Sal.08])))))))),
0)</f>
        <v>0</v>
      </c>
      <c r="R37" s="196">
        <f t="array" ref="R37">IFERROR(
(AVERAGE((IF(DATOS_[[Sexo]:[Sexo]]=$B37,IF(DATOS_[[AGRUP. CLAS. PROF.]:[AGRUP. CLAS. PROF.]]=$B36,IF(DATOS_[[Check Periodo Ref.]:[Check Periodo Ref.]]="Dentro",IF(DATOS_[[Check Equiparado]:[Check Equiparado]]="Sí",IF(DATOS!AM$5="Sí",(1/DATOS_[[% anualiz]:[% anualiz]]),1)*IF(DATOS!AM$4="Sí",1/DATOS_[[% normaliz]:[% normaliz]],1)*(DATOS_[Conc.Sal.09])))))))),
0)</f>
        <v>0</v>
      </c>
      <c r="S37" s="196">
        <f t="array" ref="S37">IFERROR(
(AVERAGE((IF(DATOS_[[Sexo]:[Sexo]]=$B37,IF(DATOS_[[AGRUP. CLAS. PROF.]:[AGRUP. CLAS. PROF.]]=$B36,IF(DATOS_[[Check Periodo Ref.]:[Check Periodo Ref.]]="Dentro",IF(DATOS_[[Check Equiparado]:[Check Equiparado]]="Sí",IF(DATOS!AN$5="Sí",(1/DATOS_[[% anualiz]:[% anualiz]]),1)*IF(DATOS!AN$4="Sí",1/DATOS_[[% normaliz]:[% normaliz]],1)*(DATOS_[Conc.Sal.10])))))))),
0)</f>
        <v>0</v>
      </c>
      <c r="T37" s="196">
        <f t="array" ref="T37">IFERROR(
(AVERAGE((IF(DATOS_[[Sexo]:[Sexo]]=$B37,IF(DATOS_[[AGRUP. CLAS. PROF.]:[AGRUP. CLAS. PROF.]]=$B36,IF(DATOS_[[Check Periodo Ref.]:[Check Periodo Ref.]]="Dentro",IF(DATOS_[[Check Equiparado]:[Check Equiparado]]="Sí",IF(DATOS!AO$5="Sí",(1/DATOS_[[% anualiz]:[% anualiz]]),1)*IF(DATOS!AO$4="Sí",1/DATOS_[[% normaliz]:[% normaliz]],1)*(DATOS_[Conc.Sal.11])))))))),
0)</f>
        <v>0</v>
      </c>
      <c r="U37" s="196">
        <f t="array" ref="U37">IFERROR(
(AVERAGE((IF(DATOS_[[Sexo]:[Sexo]]=$B37,IF(DATOS_[[AGRUP. CLAS. PROF.]:[AGRUP. CLAS. PROF.]]=$B36,IF(DATOS_[[Check Periodo Ref.]:[Check Periodo Ref.]]="Dentro",IF(DATOS_[[Check Equiparado]:[Check Equiparado]]="Sí",IF(DATOS!AP$5="Sí",(1/DATOS_[[% anualiz]:[% anualiz]]),1)*IF(DATOS!AP$4="Sí",1/DATOS_[[% normaliz]:[% normaliz]],1)*(DATOS_[Conc.Sal.12])))))))),
0)</f>
        <v>0</v>
      </c>
      <c r="V37" s="196">
        <f t="array" ref="V37">IFERROR(
(AVERAGE((IF(DATOS_[[Sexo]:[Sexo]]=$B37,IF(DATOS_[[AGRUP. CLAS. PROF.]:[AGRUP. CLAS. PROF.]]=$B36,IF(DATOS_[[Check Periodo Ref.]:[Check Periodo Ref.]]="Dentro",IF(DATOS_[[Check Equiparado]:[Check Equiparado]]="Sí",IF(DATOS!AQ$5="Sí",(1/DATOS_[[% anualiz]:[% anualiz]]),1)*IF(DATOS!AQ$4="Sí",1/DATOS_[[% normaliz]:[% normaliz]],1)*(DATOS_[Conc.Sal.13])))))))),
0)</f>
        <v>0</v>
      </c>
      <c r="W37" s="196">
        <f t="array" ref="W37">IFERROR(
(AVERAGE((IF(DATOS_[[Sexo]:[Sexo]]=$B37,IF(DATOS_[[AGRUP. CLAS. PROF.]:[AGRUP. CLAS. PROF.]]=$B36,IF(DATOS_[[Check Periodo Ref.]:[Check Periodo Ref.]]="Dentro",IF(DATOS_[[Check Equiparado]:[Check Equiparado]]="Sí",IF(DATOS!AR$5="Sí",(1/DATOS_[[% anualiz]:[% anualiz]]),1)*IF(DATOS!AR$4="Sí",1/DATOS_[[% normaliz]:[% normaliz]],1)*(DATOS_[Conc.Sal.14])))))))),
0)</f>
        <v>0</v>
      </c>
      <c r="X37" s="196">
        <f t="array" ref="X37">IFERROR(
(AVERAGE((IF(DATOS_[[Sexo]:[Sexo]]=$B37,IF(DATOS_[[AGRUP. CLAS. PROF.]:[AGRUP. CLAS. PROF.]]=$B36,IF(DATOS_[[Check Periodo Ref.]:[Check Periodo Ref.]]="Dentro",IF(DATOS_[[Check Equiparado]:[Check Equiparado]]="Sí",IF(DATOS!AS$5="Sí",(1/DATOS_[[% anualiz]:[% anualiz]]),1)*IF(DATOS!AS$4="Sí",1/DATOS_[[% normaliz]:[% normaliz]],1)*(DATOS_[Conc.Sal.15])))))))),
0)</f>
        <v>0</v>
      </c>
      <c r="Y37" s="196">
        <f t="array" ref="Y37">IFERROR(
(AVERAGE((IF(DATOS_[[Sexo]:[Sexo]]=$B37,IF(DATOS_[[AGRUP. CLAS. PROF.]:[AGRUP. CLAS. PROF.]]=$B36,IF(DATOS_[[Check Periodo Ref.]:[Check Periodo Ref.]]="Dentro",IF(DATOS_[[Check Equiparado]:[Check Equiparado]]="Sí",IF(DATOS!AT$5="Sí",(1/DATOS_[[% anualiz]:[% anualiz]]),1)*IF(DATOS!AT$4="Sí",1/DATOS_[[% normaliz]:[% normaliz]],1)*(DATOS_[Conc.Sal.16])))))))),
0)</f>
        <v>0</v>
      </c>
      <c r="Z37" s="196">
        <f t="array" ref="Z37">IFERROR(
(AVERAGE((IF(DATOS_[[Sexo]:[Sexo]]=$B37,IF(DATOS_[[AGRUP. CLAS. PROF.]:[AGRUP. CLAS. PROF.]]=$B36,IF(DATOS_[[Check Periodo Ref.]:[Check Periodo Ref.]]="Dentro",IF(DATOS_[[Check Equiparado]:[Check Equiparado]]="Sí",IF(DATOS!AU$5="Sí",(1/DATOS_[[% anualiz]:[% anualiz]]),1)*IF(DATOS!AU$4="Sí",1/DATOS_[[% normaliz]:[% normaliz]],1)*(DATOS_[Conc.Sal.17])))))))),
0)</f>
        <v>0</v>
      </c>
      <c r="AA37" s="196">
        <f t="array" ref="AA37">IFERROR(
(AVERAGE((IF(DATOS_[[Sexo]:[Sexo]]=$B37,IF(DATOS_[[AGRUP. CLAS. PROF.]:[AGRUP. CLAS. PROF.]]=$B36,IF(DATOS_[[Check Periodo Ref.]:[Check Periodo Ref.]]="Dentro",IF(DATOS_[[Check Equiparado]:[Check Equiparado]]="Sí",IF(DATOS!AV$5="Sí",(1/DATOS_[[% anualiz]:[% anualiz]]),1)*IF(DATOS!AV$4="Sí",1/DATOS_[[% normaliz]:[% normaliz]],1)*(DATOS_[Conc.Sal.18])))))))),
0)</f>
        <v>0</v>
      </c>
      <c r="AB37" s="196">
        <f t="array" ref="AB37">IFERROR(
(AVERAGE((IF(DATOS_[[Sexo]:[Sexo]]=$B37,IF(DATOS_[[AGRUP. CLAS. PROF.]:[AGRUP. CLAS. PROF.]]=$B36,IF(DATOS_[[Check Periodo Ref.]:[Check Periodo Ref.]]="Dentro",IF(DATOS_[[Check Equiparado]:[Check Equiparado]]="Sí",IF(DATOS!AW$5="Sí",(1/DATOS_[[% anualiz]:[% anualiz]]),1)*IF(DATOS!AW$4="Sí",1/DATOS_[[% normaliz]:[% normaliz]],1)*(DATOS_[Conc.Sal.19])))))))),
0)</f>
        <v>0</v>
      </c>
      <c r="AC37" s="196">
        <f t="array" ref="AC37">IFERROR(
(AVERAGE((IF(DATOS_[[Sexo]:[Sexo]]=$B37,IF(DATOS_[[AGRUP. CLAS. PROF.]:[AGRUP. CLAS. PROF.]]=$B36,IF(DATOS_[[Check Periodo Ref.]:[Check Periodo Ref.]]="Dentro",IF(DATOS_[[Check Equiparado]:[Check Equiparado]]="Sí",IF(DATOS!AX$5="Sí",(1/DATOS_[[% anualiz]:[% anualiz]]),1)*IF(DATOS!AX$4="Sí",1/DATOS_[[% normaliz]:[% normaliz]],1)*(DATOS_[Conc.Sal.20])))))))),
0)</f>
        <v>0</v>
      </c>
      <c r="AD37" s="196">
        <f t="array" ref="AD37">IFERROR(
(AVERAGE((IF(DATOS_[[Sexo]:[Sexo]]=$B37,IF(DATOS_[[AGRUP. CLAS. PROF.]:[AGRUP. CLAS. PROF.]]=$B36,IF(DATOS_[[Check Periodo Ref.]:[Check Periodo Ref.]]="Dentro",IF(DATOS_[[Check Equiparado]:[Check Equiparado]]="Sí",IF(DATOS!AY$5="Sí",(1/DATOS_[[% anualiz]:[% anualiz]]),1)*IF(DATOS!AY$4="Sí",1/DATOS_[[% normaliz]:[% normaliz]],1)*(DATOS_[Conc.Sal.21])))))))),
0)</f>
        <v>0</v>
      </c>
      <c r="AE37" s="196">
        <f t="array" ref="AE37">IFERROR(
(AVERAGE((IF(DATOS_[[Sexo]:[Sexo]]=$B37,IF(DATOS_[[AGRUP. CLAS. PROF.]:[AGRUP. CLAS. PROF.]]=$B36,IF(DATOS_[[Check Periodo Ref.]:[Check Periodo Ref.]]="Dentro",IF(DATOS_[[Check Equiparado]:[Check Equiparado]]="Sí",IF(DATOS!AZ$5="Sí",(1/DATOS_[[% anualiz]:[% anualiz]]),1)*IF(DATOS!AZ$4="Sí",1/DATOS_[[% normaliz]:[% normaliz]],1)*(DATOS_[Conc.Sal.22])))))))),
0)</f>
        <v>0</v>
      </c>
      <c r="AF37" s="196">
        <f t="array" ref="AF37">IFERROR(
(AVERAGE((IF(DATOS_[[Sexo]:[Sexo]]=$B37,IF(DATOS_[[AGRUP. CLAS. PROF.]:[AGRUP. CLAS. PROF.]]=$B36,IF(DATOS_[[Check Periodo Ref.]:[Check Periodo Ref.]]="Dentro",IF(DATOS_[[Check Equiparado]:[Check Equiparado]]="Sí",IF(DATOS!BA$5="Sí",(1/DATOS_[[% anualiz]:[% anualiz]]),1)*IF(DATOS!BA$4="Sí",1/DATOS_[[% normaliz]:[% normaliz]],1)*(DATOS_[Conc.Sal.23])))))))),
0)</f>
        <v>0</v>
      </c>
      <c r="AG37" s="196">
        <f t="array" ref="AG37">IFERROR(
(AVERAGE((IF(DATOS_[[Sexo]:[Sexo]]=$B37,IF(DATOS_[[AGRUP. CLAS. PROF.]:[AGRUP. CLAS. PROF.]]=$B36,IF(DATOS_[[Check Periodo Ref.]:[Check Periodo Ref.]]="Dentro",IF(DATOS_[[Check Equiparado]:[Check Equiparado]]="Sí",IF(DATOS!BB$5="Sí",(1/DATOS_[[% anualiz]:[% anualiz]]),1)*IF(DATOS!BB$4="Sí",1/DATOS_[[% normaliz]:[% normaliz]],1)*(DATOS_[Conc.Sal.24])))))))),
0)</f>
        <v>0</v>
      </c>
      <c r="AH37" s="196">
        <f t="array" ref="AH37">IFERROR(
(AVERAGE((IF(DATOS_[[Sexo]:[Sexo]]=$B37,IF(DATOS_[[AGRUP. CLAS. PROF.]:[AGRUP. CLAS. PROF.]]=$B36,IF(DATOS_[[Check Periodo Ref.]:[Check Periodo Ref.]]="Dentro",IF(DATOS_[[Check Equiparado]:[Check Equiparado]]="Sí",IF(DATOS!BC$5="Sí",(1/DATOS_[[% anualiz]:[% anualiz]]),1)*IF(DATOS!BC$4="Sí",1/DATOS_[[% normaliz]:[% normaliz]],1)*(DATOS_[Conc.Sal.25])))))))),
0)</f>
        <v>0</v>
      </c>
      <c r="AI37" s="196">
        <f t="array" ref="AI37">IFERROR(
(AVERAGE((IF(DATOS_[[Sexo]:[Sexo]]=$B37,IF(DATOS_[[AGRUP. CLAS. PROF.]:[AGRUP. CLAS. PROF.]]=$B36,IF(DATOS_[[Check Periodo Ref.]:[Check Periodo Ref.]]="Dentro",IF(DATOS_[[Check Equiparado]:[Check Equiparado]]="Sí",IF(DATOS!BD$5="Sí",(1/DATOS_[[% anualiz]:[% anualiz]]),1)*IF(DATOS!BD$4="Sí",1/DATOS_[[% normaliz]:[% normaliz]],1)*(DATOS_[Conc.Sal.26])))))))),
0)</f>
        <v>0</v>
      </c>
      <c r="AJ37" s="196">
        <f t="array" ref="AJ37">IFERROR(
(AVERAGE((IF(DATOS_[[Sexo]:[Sexo]]=$B37,IF(DATOS_[[AGRUP. CLAS. PROF.]:[AGRUP. CLAS. PROF.]]=$B36,IF(DATOS_[[Check Periodo Ref.]:[Check Periodo Ref.]]="Dentro",IF(DATOS_[[Check Equiparado]:[Check Equiparado]]="Sí",IF(DATOS!BE$5="Sí",(1/DATOS_[[% anualiz]:[% anualiz]]),1)*IF(DATOS!BE$4="Sí",1/DATOS_[[% normaliz]:[% normaliz]],1)*(DATOS_[Conc.Sal.27])))))))),
0)</f>
        <v>0</v>
      </c>
      <c r="AK37" s="196">
        <f t="array" ref="AK37">IFERROR(
(AVERAGE((IF(DATOS_[[Sexo]:[Sexo]]=$B37,IF(DATOS_[[AGRUP. CLAS. PROF.]:[AGRUP. CLAS. PROF.]]=$B36,IF(DATOS_[[Check Periodo Ref.]:[Check Periodo Ref.]]="Dentro",IF(DATOS_[[Check Equiparado]:[Check Equiparado]]="Sí",IF(DATOS!BF$5="Sí",(1/DATOS_[[% anualiz]:[% anualiz]]),1)*IF(DATOS!BF$4="Sí",1/DATOS_[[% normaliz]:[% normaliz]],1)*(DATOS_[Conc.Sal.28])))))))),
0)</f>
        <v>0</v>
      </c>
      <c r="AL37" s="196">
        <f t="array" ref="AL37">IFERROR(
(AVERAGE((IF(DATOS_[[Sexo]:[Sexo]]=$B37,IF(DATOS_[[AGRUP. CLAS. PROF.]:[AGRUP. CLAS. PROF.]]=$B36,IF(DATOS_[[Check Periodo Ref.]:[Check Periodo Ref.]]="Dentro",IF(DATOS_[[Check Equiparado]:[Check Equiparado]]="Sí",IF(DATOS!BG$5="Sí",(1/DATOS_[[% anualiz]:[% anualiz]]),1)*IF(DATOS!BG$4="Sí",1/DATOS_[[% normaliz]:[% normaliz]],1)*(DATOS_[Conc.Sal.29])))))))),
0)</f>
        <v>0</v>
      </c>
      <c r="AM37" s="196">
        <f t="array" ref="AM37">IFERROR(
(AVERAGE((IF(DATOS_[[Sexo]:[Sexo]]=$B37,IF(DATOS_[[AGRUP. CLAS. PROF.]:[AGRUP. CLAS. PROF.]]=$B36,IF(DATOS_[[Check Periodo Ref.]:[Check Periodo Ref.]]="Dentro",IF(DATOS_[[Check Equiparado]:[Check Equiparado]]="Sí",IF(DATOS!BH$5="Sí",(1/DATOS_[[% anualiz]:[% anualiz]]),1)*IF(DATOS!BH$4="Sí",1/DATOS_[[% normaliz]:[% normaliz]],1)*(DATOS_[Conc.Sal.30])))))))),
0)</f>
        <v>0</v>
      </c>
      <c r="AN37" s="195">
        <f t="array" ref="AN37">IFERROR(
AVERAGE(IF(DATOS_[Sexo]=$B37,IF(DATOS_[[AGRUP. CLAS. PROF.]:[AGRUP. CLAS. PROF.]]=$B36,IF(DATOS_[Check Equiparado]="Sí",IF(DATOS_[Check Periodo Ref.]="Dentro",DATOS_[Tot COMPL.SAL Eq],FALSE))))),
0)</f>
        <v>0</v>
      </c>
      <c r="AO37" s="172">
        <f t="array" ref="AO37">IFERROR(
AVERAGE(IF(DATOS_[Sexo]=$B37,IF(DATOS_[[AGRUP. CLAS. PROF.]:[AGRUP. CLAS. PROF.]]=$B36,IF(DATOS_[Check Equiparado]="Sí",IF(DATOS_[Check Periodo Ref.]="Dentro",DATOS_[TOTAL SALARIO Eq],FALSE))))),
0)</f>
        <v>0</v>
      </c>
      <c r="AP37" s="173">
        <f t="array" ref="AP37">IFERROR(
(AVERAGE((IF(DATOS_[[Sexo]:[Sexo]]=$B37,IF(DATOS_[[AGRUP. CLAS. PROF.]:[AGRUP. CLAS. PROF.]]=$B36,IF(DATOS_[[Check Periodo Ref.]:[Check Periodo Ref.]]="Dentro",IF(DATOS_[[Check Equiparado]:[Check Equiparado]]="Sí",IF(DATOS!BW$5="Sí",(1/DATOS_[[% anualiz]:[% anualiz]]),1)*IF(DATOS!BW$4="Sí",1/DATOS_[[% normaliz]:[% normaliz]],1)*(DATOS_[C.Extra.01])))))))),
0)</f>
        <v>0</v>
      </c>
      <c r="AQ37" s="173">
        <f t="array" ref="AQ37">IFERROR(
(AVERAGE((IF(DATOS_[[Sexo]:[Sexo]]=$B37,IF(DATOS_[[AGRUP. CLAS. PROF.]:[AGRUP. CLAS. PROF.]]=$B36,IF(DATOS_[[Check Periodo Ref.]:[Check Periodo Ref.]]="Dentro",IF(DATOS_[[Check Equiparado]:[Check Equiparado]]="Sí",IF(DATOS!CB$5="Sí",(1/DATOS_[[% anualiz]:[% anualiz]]),1)*IF(DATOS!CB$4="Sí",1/DATOS_[[% normaliz]:[% normaliz]],1)*(DATOS_[C.Extra.06])))))))),
0)</f>
        <v>0</v>
      </c>
      <c r="AR37" s="173">
        <f t="array" ref="AR37">IFERROR(
(AVERAGE((IF(DATOS_[[Sexo]:[Sexo]]=$B37,IF(DATOS_[[AGRUP. CLAS. PROF.]:[AGRUP. CLAS. PROF.]]=$B36,IF(DATOS_[[Check Periodo Ref.]:[Check Periodo Ref.]]="Dentro",IF(DATOS_[[Check Equiparado]:[Check Equiparado]]="Sí",IF(DATOS!CC$5="Sí",(1/DATOS_[[% anualiz]:[% anualiz]]),1)*IF(DATOS!CC$4="Sí",1/DATOS_[[% normaliz]:[% normaliz]],1)*(DATOS_[C.Extra.07])))))))),
0)</f>
        <v>0</v>
      </c>
      <c r="AS37" s="173">
        <f t="array" ref="AS37">IFERROR(
(AVERAGE((IF(DATOS_[[Sexo]:[Sexo]]=$B37,IF(DATOS_[[AGRUP. CLAS. PROF.]:[AGRUP. CLAS. PROF.]]=$B36,IF(DATOS_[[Check Periodo Ref.]:[Check Periodo Ref.]]="Dentro",IF(DATOS_[[Check Equiparado]:[Check Equiparado]]="Sí",IF(DATOS!CD$5="Sí",(1/DATOS_[[% anualiz]:[% anualiz]]),1)*IF(DATOS!CD$4="Sí",1/DATOS_[[% normaliz]:[% normaliz]],1)*(DATOS_[C.Extra.08])))))))),
0)</f>
        <v>0</v>
      </c>
      <c r="AT37" s="173">
        <f t="array" ref="AT37">IFERROR(
(AVERAGE((IF(DATOS_[[Sexo]:[Sexo]]=$B37,IF(DATOS_[[AGRUP. CLAS. PROF.]:[AGRUP. CLAS. PROF.]]=$B36,IF(DATOS_[[Check Periodo Ref.]:[Check Periodo Ref.]]="Dentro",IF(DATOS_[[Check Equiparado]:[Check Equiparado]]="Sí",IF(DATOS!CG$5="Sí",(1/DATOS_[[% anualiz]:[% anualiz]]),1)*IF(DATOS!CG$4="Sí",1/DATOS_[[% normaliz]:[% normaliz]],1)*(DATOS_[C.Extra.11])))))))),
0)</f>
        <v>0</v>
      </c>
      <c r="AU37" s="197">
        <f t="array" ref="AU37">IFERROR(
AVERAGE(IF(DATOS_[Sexo]=$B37,IF(DATOS_[[AGRUP. CLAS. PROF.]:[AGRUP. CLAS. PROF.]]=$B36,IF(DATOS_[Check Equiparado]="Sí",IF(DATOS_[Check Periodo Ref.]="Dentro",DATOS_[Tot Extrasalarial Eq],FALSE))))),
0)</f>
        <v>0</v>
      </c>
      <c r="AV37" s="175">
        <f t="array" ref="AV37">IFERROR(
AVERAGE(IF(DATOS_[Sexo]=$B37,IF(DATOS_[[AGRUP. CLAS. PROF.]:[AGRUP. CLAS. PROF.]]=$B36,IF(DATOS_[Check Equiparado]="Sí",IF(DATOS_[Check Periodo Ref.]="Dentro",DATOS_[TOTAL Retrib Eq],FALSE))))),
0)</f>
        <v>0</v>
      </c>
    </row>
    <row r="38" spans="1:48" hidden="1" x14ac:dyDescent="0.25">
      <c r="A38" s="133" t="str">
        <f t="shared" ref="A38" si="34">+A37</f>
        <v>[ocultar]</v>
      </c>
      <c r="B38" s="202" t="s">
        <v>521</v>
      </c>
      <c r="C38" s="203">
        <f t="array" ref="C38">SUM(IF($B38=DATOS_[Sexo],
IF($B36=DATOS_[AGRUP. CLAS. PROF.],
IF("Dentro"=DATOS_[Check Periodo Ref.],
1/(COUNTIFS(DATOS_[Sexo],$B38,DATOS_[AGRUP. CLAS. PROF.],$B36,DATOS_[Check Periodo Ref.],"Dentro",DATOS_[id/cod],DATOS_[id/cod]))))))</f>
        <v>0</v>
      </c>
      <c r="D38" s="204">
        <f>COUNTIFS(DATOS_[AGRUP. CLAS. PROF.],$B36,DATOS_[Sexo],$B38,DATOS_[Check Periodo Ref.],"Dentro")</f>
        <v>0</v>
      </c>
      <c r="E38" s="204">
        <f>COUNTIFS(DATOS_[AGRUP. CLAS. PROF.],$B36,DATOS_[Sexo],$B38,DATOS_[Check Periodo Ref.],"Dentro",DATOS_[Check Nº SC Norm],"Sí")</f>
        <v>0</v>
      </c>
      <c r="F38" s="204">
        <f>COUNTIFS(DATOS_[AGRUP. CLAS. PROF.],$B36,DATOS_[Sexo],$B38,DATOS_[Check Periodo Ref.],"Dentro",DATOS_[Check Nº SC Anualiz],"Sí")</f>
        <v>0</v>
      </c>
      <c r="G38" s="204">
        <f>COUNTIFS(DATOS_[AGRUP. CLAS. PROF.],$B36,DATOS_[Sexo],$B38,DATOS_[Check Periodo Ref.],"Dentro",DATOS_[Check Nº SC Norm y Anualiz],"Sí")</f>
        <v>0</v>
      </c>
      <c r="H38" s="204">
        <f>COUNTIFS(DATOS_[AGRUP. CLAS. PROF.],$B36,DATOS_[Sexo],$B38,DATOS_[Check Periodo Ref.],"Dentro",DATOS_[Check Equiparación],"Sí")</f>
        <v>0</v>
      </c>
      <c r="I38" s="195" cm="1">
        <f t="array" ref="I38">IFERROR(
AVERAGE(IF(DATOS_[Sexo]=$B38,IF(DATOS_[[AGRUP. CLAS. PROF.]:[AGRUP. CLAS. PROF.]]=$B36,IF(DATOS_[Check Equiparado]="Sí",IF(DATOS_[Check Periodo Ref.]="Dentro",DATOS_[SALARIO BASE Eq],FALSE))))),
0)</f>
        <v>0</v>
      </c>
      <c r="J38" s="196">
        <f t="array" ref="J38">IFERROR(
(AVERAGE((IF(DATOS_[[Sexo]:[Sexo]]=$B38,IF(DATOS_[[AGRUP. CLAS. PROF.]:[AGRUP. CLAS. PROF.]]=$B36,IF(DATOS_[[Check Periodo Ref.]:[Check Periodo Ref.]]="Dentro",IF(DATOS_[[Check Equiparado]:[Check Equiparado]]="Sí",IF(DATOS!AE$5="Sí",(1/DATOS_[[% anualiz]:[% anualiz]]),1)*IF(DATOS!AE$4="Sí",1/DATOS_[[% normaliz]:[% normaliz]],1)*(DATOS_[Conc.Sal.01])))))))),
0)</f>
        <v>0</v>
      </c>
      <c r="K38" s="196">
        <f t="array" ref="K38">IFERROR(
(AVERAGE((IF(DATOS_[[Sexo]:[Sexo]]=$B38,IF(DATOS_[[AGRUP. CLAS. PROF.]:[AGRUP. CLAS. PROF.]]=$B36,IF(DATOS_[[Check Periodo Ref.]:[Check Periodo Ref.]]="Dentro",IF(DATOS_[[Check Equiparado]:[Check Equiparado]]="Sí",IF(DATOS!AF$5="Sí",(1/DATOS_[[% anualiz]:[% anualiz]]),1)*IF(DATOS!AF$4="Sí",1/DATOS_[[% normaliz]:[% normaliz]],1)*(DATOS_[Conc.Sal.02])))))))),
0)</f>
        <v>0</v>
      </c>
      <c r="L38" s="196">
        <f t="array" ref="L38">IFERROR(
(AVERAGE((IF(DATOS_[[Sexo]:[Sexo]]=$B38,IF(DATOS_[[AGRUP. CLAS. PROF.]:[AGRUP. CLAS. PROF.]]=$B36,IF(DATOS_[[Check Periodo Ref.]:[Check Periodo Ref.]]="Dentro",IF(DATOS_[[Check Equiparado]:[Check Equiparado]]="Sí",IF(DATOS!AG$5="Sí",(1/DATOS_[[% anualiz]:[% anualiz]]),1)*IF(DATOS!AG$4="Sí",1/DATOS_[[% normaliz]:[% normaliz]],1)*(DATOS_[Conc.Sal.03])))))))),
0)</f>
        <v>0</v>
      </c>
      <c r="M38" s="196">
        <f t="array" ref="M38">IFERROR(
(AVERAGE((IF(DATOS_[[Sexo]:[Sexo]]=$B38,IF(DATOS_[[AGRUP. CLAS. PROF.]:[AGRUP. CLAS. PROF.]]=$B36,IF(DATOS_[[Check Periodo Ref.]:[Check Periodo Ref.]]="Dentro",IF(DATOS_[[Check Equiparado]:[Check Equiparado]]="Sí",IF(DATOS!AH$5="Sí",(1/DATOS_[[% anualiz]:[% anualiz]]),1)*IF(DATOS!AH$4="Sí",1/DATOS_[[% normaliz]:[% normaliz]],1)*(DATOS_[Conc.Sal.04])))))))),
0)</f>
        <v>0</v>
      </c>
      <c r="N38" s="196">
        <f t="array" ref="N38">IFERROR(
(AVERAGE((IF(DATOS_[[Sexo]:[Sexo]]=$B38,IF(DATOS_[[AGRUP. CLAS. PROF.]:[AGRUP. CLAS. PROF.]]=$B36,IF(DATOS_[[Check Periodo Ref.]:[Check Periodo Ref.]]="Dentro",IF(DATOS_[[Check Equiparado]:[Check Equiparado]]="Sí",IF(DATOS!AI$5="Sí",(1/DATOS_[[% anualiz]:[% anualiz]]),1)*IF(DATOS!AI$4="Sí",1/DATOS_[[% normaliz]:[% normaliz]],1)*(DATOS_[Conc.Sal.05])))))))),
0)</f>
        <v>0</v>
      </c>
      <c r="O38" s="196">
        <f t="array" ref="O38">IFERROR(
(AVERAGE((IF(DATOS_[[Sexo]:[Sexo]]=$B38,IF(DATOS_[[AGRUP. CLAS. PROF.]:[AGRUP. CLAS. PROF.]]=$B36,IF(DATOS_[[Check Periodo Ref.]:[Check Periodo Ref.]]="Dentro",IF(DATOS_[[Check Equiparado]:[Check Equiparado]]="Sí",IF(DATOS!AJ$5="Sí",(1/DATOS_[[% anualiz]:[% anualiz]]),1)*IF(DATOS!AJ$4="Sí",1/DATOS_[[% normaliz]:[% normaliz]],1)*(DATOS_[Conc.Sal.06])))))))),
0)</f>
        <v>0</v>
      </c>
      <c r="P38" s="196">
        <f t="array" ref="P38">IFERROR(
(AVERAGE((IF(DATOS_[[Sexo]:[Sexo]]=$B38,IF(DATOS_[[AGRUP. CLAS. PROF.]:[AGRUP. CLAS. PROF.]]=$B36,IF(DATOS_[[Check Periodo Ref.]:[Check Periodo Ref.]]="Dentro",IF(DATOS_[[Check Equiparado]:[Check Equiparado]]="Sí",IF(DATOS!AK$5="Sí",(1/DATOS_[[% anualiz]:[% anualiz]]),1)*IF(DATOS!AK$4="Sí",1/DATOS_[[% normaliz]:[% normaliz]],1)*(DATOS_[Conc.Sal.07])))))))),
0)</f>
        <v>0</v>
      </c>
      <c r="Q38" s="196">
        <f t="array" ref="Q38">IFERROR(
(AVERAGE((IF(DATOS_[[Sexo]:[Sexo]]=$B38,IF(DATOS_[[AGRUP. CLAS. PROF.]:[AGRUP. CLAS. PROF.]]=$B36,IF(DATOS_[[Check Periodo Ref.]:[Check Periodo Ref.]]="Dentro",IF(DATOS_[[Check Equiparado]:[Check Equiparado]]="Sí",IF(DATOS!AL$5="Sí",(1/DATOS_[[% anualiz]:[% anualiz]]),1)*IF(DATOS!AL$4="Sí",1/DATOS_[[% normaliz]:[% normaliz]],1)*(DATOS_[Conc.Sal.08])))))))),
0)</f>
        <v>0</v>
      </c>
      <c r="R38" s="196">
        <f t="array" ref="R38">IFERROR(
(AVERAGE((IF(DATOS_[[Sexo]:[Sexo]]=$B38,IF(DATOS_[[AGRUP. CLAS. PROF.]:[AGRUP. CLAS. PROF.]]=$B36,IF(DATOS_[[Check Periodo Ref.]:[Check Periodo Ref.]]="Dentro",IF(DATOS_[[Check Equiparado]:[Check Equiparado]]="Sí",IF(DATOS!AM$5="Sí",(1/DATOS_[[% anualiz]:[% anualiz]]),1)*IF(DATOS!AM$4="Sí",1/DATOS_[[% normaliz]:[% normaliz]],1)*(DATOS_[Conc.Sal.09])))))))),
0)</f>
        <v>0</v>
      </c>
      <c r="S38" s="196">
        <f t="array" ref="S38">IFERROR(
(AVERAGE((IF(DATOS_[[Sexo]:[Sexo]]=$B38,IF(DATOS_[[AGRUP. CLAS. PROF.]:[AGRUP. CLAS. PROF.]]=$B36,IF(DATOS_[[Check Periodo Ref.]:[Check Periodo Ref.]]="Dentro",IF(DATOS_[[Check Equiparado]:[Check Equiparado]]="Sí",IF(DATOS!AN$5="Sí",(1/DATOS_[[% anualiz]:[% anualiz]]),1)*IF(DATOS!AN$4="Sí",1/DATOS_[[% normaliz]:[% normaliz]],1)*(DATOS_[Conc.Sal.10])))))))),
0)</f>
        <v>0</v>
      </c>
      <c r="T38" s="196">
        <f t="array" ref="T38">IFERROR(
(AVERAGE((IF(DATOS_[[Sexo]:[Sexo]]=$B38,IF(DATOS_[[AGRUP. CLAS. PROF.]:[AGRUP. CLAS. PROF.]]=$B36,IF(DATOS_[[Check Periodo Ref.]:[Check Periodo Ref.]]="Dentro",IF(DATOS_[[Check Equiparado]:[Check Equiparado]]="Sí",IF(DATOS!AO$5="Sí",(1/DATOS_[[% anualiz]:[% anualiz]]),1)*IF(DATOS!AO$4="Sí",1/DATOS_[[% normaliz]:[% normaliz]],1)*(DATOS_[Conc.Sal.11])))))))),
0)</f>
        <v>0</v>
      </c>
      <c r="U38" s="196">
        <f t="array" ref="U38">IFERROR(
(AVERAGE((IF(DATOS_[[Sexo]:[Sexo]]=$B38,IF(DATOS_[[AGRUP. CLAS. PROF.]:[AGRUP. CLAS. PROF.]]=$B36,IF(DATOS_[[Check Periodo Ref.]:[Check Periodo Ref.]]="Dentro",IF(DATOS_[[Check Equiparado]:[Check Equiparado]]="Sí",IF(DATOS!AP$5="Sí",(1/DATOS_[[% anualiz]:[% anualiz]]),1)*IF(DATOS!AP$4="Sí",1/DATOS_[[% normaliz]:[% normaliz]],1)*(DATOS_[Conc.Sal.12])))))))),
0)</f>
        <v>0</v>
      </c>
      <c r="V38" s="196">
        <f t="array" ref="V38">IFERROR(
(AVERAGE((IF(DATOS_[[Sexo]:[Sexo]]=$B38,IF(DATOS_[[AGRUP. CLAS. PROF.]:[AGRUP. CLAS. PROF.]]=$B36,IF(DATOS_[[Check Periodo Ref.]:[Check Periodo Ref.]]="Dentro",IF(DATOS_[[Check Equiparado]:[Check Equiparado]]="Sí",IF(DATOS!AQ$5="Sí",(1/DATOS_[[% anualiz]:[% anualiz]]),1)*IF(DATOS!AQ$4="Sí",1/DATOS_[[% normaliz]:[% normaliz]],1)*(DATOS_[Conc.Sal.13])))))))),
0)</f>
        <v>0</v>
      </c>
      <c r="W38" s="196">
        <f t="array" ref="W38">IFERROR(
(AVERAGE((IF(DATOS_[[Sexo]:[Sexo]]=$B38,IF(DATOS_[[AGRUP. CLAS. PROF.]:[AGRUP. CLAS. PROF.]]=$B36,IF(DATOS_[[Check Periodo Ref.]:[Check Periodo Ref.]]="Dentro",IF(DATOS_[[Check Equiparado]:[Check Equiparado]]="Sí",IF(DATOS!AR$5="Sí",(1/DATOS_[[% anualiz]:[% anualiz]]),1)*IF(DATOS!AR$4="Sí",1/DATOS_[[% normaliz]:[% normaliz]],1)*(DATOS_[Conc.Sal.14])))))))),
0)</f>
        <v>0</v>
      </c>
      <c r="X38" s="196">
        <f t="array" ref="X38">IFERROR(
(AVERAGE((IF(DATOS_[[Sexo]:[Sexo]]=$B38,IF(DATOS_[[AGRUP. CLAS. PROF.]:[AGRUP. CLAS. PROF.]]=$B36,IF(DATOS_[[Check Periodo Ref.]:[Check Periodo Ref.]]="Dentro",IF(DATOS_[[Check Equiparado]:[Check Equiparado]]="Sí",IF(DATOS!AS$5="Sí",(1/DATOS_[[% anualiz]:[% anualiz]]),1)*IF(DATOS!AS$4="Sí",1/DATOS_[[% normaliz]:[% normaliz]],1)*(DATOS_[Conc.Sal.15])))))))),
0)</f>
        <v>0</v>
      </c>
      <c r="Y38" s="196">
        <f t="array" ref="Y38">IFERROR(
(AVERAGE((IF(DATOS_[[Sexo]:[Sexo]]=$B38,IF(DATOS_[[AGRUP. CLAS. PROF.]:[AGRUP. CLAS. PROF.]]=$B36,IF(DATOS_[[Check Periodo Ref.]:[Check Periodo Ref.]]="Dentro",IF(DATOS_[[Check Equiparado]:[Check Equiparado]]="Sí",IF(DATOS!AT$5="Sí",(1/DATOS_[[% anualiz]:[% anualiz]]),1)*IF(DATOS!AT$4="Sí",1/DATOS_[[% normaliz]:[% normaliz]],1)*(DATOS_[Conc.Sal.16])))))))),
0)</f>
        <v>0</v>
      </c>
      <c r="Z38" s="196">
        <f t="array" ref="Z38">IFERROR(
(AVERAGE((IF(DATOS_[[Sexo]:[Sexo]]=$B38,IF(DATOS_[[AGRUP. CLAS. PROF.]:[AGRUP. CLAS. PROF.]]=$B36,IF(DATOS_[[Check Periodo Ref.]:[Check Periodo Ref.]]="Dentro",IF(DATOS_[[Check Equiparado]:[Check Equiparado]]="Sí",IF(DATOS!AU$5="Sí",(1/DATOS_[[% anualiz]:[% anualiz]]),1)*IF(DATOS!AU$4="Sí",1/DATOS_[[% normaliz]:[% normaliz]],1)*(DATOS_[Conc.Sal.17])))))))),
0)</f>
        <v>0</v>
      </c>
      <c r="AA38" s="196">
        <f t="array" ref="AA38">IFERROR(
(AVERAGE((IF(DATOS_[[Sexo]:[Sexo]]=$B38,IF(DATOS_[[AGRUP. CLAS. PROF.]:[AGRUP. CLAS. PROF.]]=$B36,IF(DATOS_[[Check Periodo Ref.]:[Check Periodo Ref.]]="Dentro",IF(DATOS_[[Check Equiparado]:[Check Equiparado]]="Sí",IF(DATOS!AV$5="Sí",(1/DATOS_[[% anualiz]:[% anualiz]]),1)*IF(DATOS!AV$4="Sí",1/DATOS_[[% normaliz]:[% normaliz]],1)*(DATOS_[Conc.Sal.18])))))))),
0)</f>
        <v>0</v>
      </c>
      <c r="AB38" s="196">
        <f t="array" ref="AB38">IFERROR(
(AVERAGE((IF(DATOS_[[Sexo]:[Sexo]]=$B38,IF(DATOS_[[AGRUP. CLAS. PROF.]:[AGRUP. CLAS. PROF.]]=$B36,IF(DATOS_[[Check Periodo Ref.]:[Check Periodo Ref.]]="Dentro",IF(DATOS_[[Check Equiparado]:[Check Equiparado]]="Sí",IF(DATOS!AW$5="Sí",(1/DATOS_[[% anualiz]:[% anualiz]]),1)*IF(DATOS!AW$4="Sí",1/DATOS_[[% normaliz]:[% normaliz]],1)*(DATOS_[Conc.Sal.19])))))))),
0)</f>
        <v>0</v>
      </c>
      <c r="AC38" s="196">
        <f t="array" ref="AC38">IFERROR(
(AVERAGE((IF(DATOS_[[Sexo]:[Sexo]]=$B38,IF(DATOS_[[AGRUP. CLAS. PROF.]:[AGRUP. CLAS. PROF.]]=$B36,IF(DATOS_[[Check Periodo Ref.]:[Check Periodo Ref.]]="Dentro",IF(DATOS_[[Check Equiparado]:[Check Equiparado]]="Sí",IF(DATOS!AX$5="Sí",(1/DATOS_[[% anualiz]:[% anualiz]]),1)*IF(DATOS!AX$4="Sí",1/DATOS_[[% normaliz]:[% normaliz]],1)*(DATOS_[Conc.Sal.20])))))))),
0)</f>
        <v>0</v>
      </c>
      <c r="AD38" s="196">
        <f t="array" ref="AD38">IFERROR(
(AVERAGE((IF(DATOS_[[Sexo]:[Sexo]]=$B38,IF(DATOS_[[AGRUP. CLAS. PROF.]:[AGRUP. CLAS. PROF.]]=$B36,IF(DATOS_[[Check Periodo Ref.]:[Check Periodo Ref.]]="Dentro",IF(DATOS_[[Check Equiparado]:[Check Equiparado]]="Sí",IF(DATOS!AY$5="Sí",(1/DATOS_[[% anualiz]:[% anualiz]]),1)*IF(DATOS!AY$4="Sí",1/DATOS_[[% normaliz]:[% normaliz]],1)*(DATOS_[Conc.Sal.21])))))))),
0)</f>
        <v>0</v>
      </c>
      <c r="AE38" s="196">
        <f t="array" ref="AE38">IFERROR(
(AVERAGE((IF(DATOS_[[Sexo]:[Sexo]]=$B38,IF(DATOS_[[AGRUP. CLAS. PROF.]:[AGRUP. CLAS. PROF.]]=$B36,IF(DATOS_[[Check Periodo Ref.]:[Check Periodo Ref.]]="Dentro",IF(DATOS_[[Check Equiparado]:[Check Equiparado]]="Sí",IF(DATOS!AZ$5="Sí",(1/DATOS_[[% anualiz]:[% anualiz]]),1)*IF(DATOS!AZ$4="Sí",1/DATOS_[[% normaliz]:[% normaliz]],1)*(DATOS_[Conc.Sal.22])))))))),
0)</f>
        <v>0</v>
      </c>
      <c r="AF38" s="196">
        <f t="array" ref="AF38">IFERROR(
(AVERAGE((IF(DATOS_[[Sexo]:[Sexo]]=$B38,IF(DATOS_[[AGRUP. CLAS. PROF.]:[AGRUP. CLAS. PROF.]]=$B36,IF(DATOS_[[Check Periodo Ref.]:[Check Periodo Ref.]]="Dentro",IF(DATOS_[[Check Equiparado]:[Check Equiparado]]="Sí",IF(DATOS!BA$5="Sí",(1/DATOS_[[% anualiz]:[% anualiz]]),1)*IF(DATOS!BA$4="Sí",1/DATOS_[[% normaliz]:[% normaliz]],1)*(DATOS_[Conc.Sal.23])))))))),
0)</f>
        <v>0</v>
      </c>
      <c r="AG38" s="196">
        <f t="array" ref="AG38">IFERROR(
(AVERAGE((IF(DATOS_[[Sexo]:[Sexo]]=$B38,IF(DATOS_[[AGRUP. CLAS. PROF.]:[AGRUP. CLAS. PROF.]]=$B36,IF(DATOS_[[Check Periodo Ref.]:[Check Periodo Ref.]]="Dentro",IF(DATOS_[[Check Equiparado]:[Check Equiparado]]="Sí",IF(DATOS!BB$5="Sí",(1/DATOS_[[% anualiz]:[% anualiz]]),1)*IF(DATOS!BB$4="Sí",1/DATOS_[[% normaliz]:[% normaliz]],1)*(DATOS_[Conc.Sal.24])))))))),
0)</f>
        <v>0</v>
      </c>
      <c r="AH38" s="196">
        <f t="array" ref="AH38">IFERROR(
(AVERAGE((IF(DATOS_[[Sexo]:[Sexo]]=$B38,IF(DATOS_[[AGRUP. CLAS. PROF.]:[AGRUP. CLAS. PROF.]]=$B36,IF(DATOS_[[Check Periodo Ref.]:[Check Periodo Ref.]]="Dentro",IF(DATOS_[[Check Equiparado]:[Check Equiparado]]="Sí",IF(DATOS!BC$5="Sí",(1/DATOS_[[% anualiz]:[% anualiz]]),1)*IF(DATOS!BC$4="Sí",1/DATOS_[[% normaliz]:[% normaliz]],1)*(DATOS_[Conc.Sal.25])))))))),
0)</f>
        <v>0</v>
      </c>
      <c r="AI38" s="196">
        <f t="array" ref="AI38">IFERROR(
(AVERAGE((IF(DATOS_[[Sexo]:[Sexo]]=$B38,IF(DATOS_[[AGRUP. CLAS. PROF.]:[AGRUP. CLAS. PROF.]]=$B36,IF(DATOS_[[Check Periodo Ref.]:[Check Periodo Ref.]]="Dentro",IF(DATOS_[[Check Equiparado]:[Check Equiparado]]="Sí",IF(DATOS!BD$5="Sí",(1/DATOS_[[% anualiz]:[% anualiz]]),1)*IF(DATOS!BD$4="Sí",1/DATOS_[[% normaliz]:[% normaliz]],1)*(DATOS_[Conc.Sal.26])))))))),
0)</f>
        <v>0</v>
      </c>
      <c r="AJ38" s="196">
        <f t="array" ref="AJ38">IFERROR(
(AVERAGE((IF(DATOS_[[Sexo]:[Sexo]]=$B38,IF(DATOS_[[AGRUP. CLAS. PROF.]:[AGRUP. CLAS. PROF.]]=$B36,IF(DATOS_[[Check Periodo Ref.]:[Check Periodo Ref.]]="Dentro",IF(DATOS_[[Check Equiparado]:[Check Equiparado]]="Sí",IF(DATOS!BE$5="Sí",(1/DATOS_[[% anualiz]:[% anualiz]]),1)*IF(DATOS!BE$4="Sí",1/DATOS_[[% normaliz]:[% normaliz]],1)*(DATOS_[Conc.Sal.27])))))))),
0)</f>
        <v>0</v>
      </c>
      <c r="AK38" s="196">
        <f t="array" ref="AK38">IFERROR(
(AVERAGE((IF(DATOS_[[Sexo]:[Sexo]]=$B38,IF(DATOS_[[AGRUP. CLAS. PROF.]:[AGRUP. CLAS. PROF.]]=$B36,IF(DATOS_[[Check Periodo Ref.]:[Check Periodo Ref.]]="Dentro",IF(DATOS_[[Check Equiparado]:[Check Equiparado]]="Sí",IF(DATOS!BF$5="Sí",(1/DATOS_[[% anualiz]:[% anualiz]]),1)*IF(DATOS!BF$4="Sí",1/DATOS_[[% normaliz]:[% normaliz]],1)*(DATOS_[Conc.Sal.28])))))))),
0)</f>
        <v>0</v>
      </c>
      <c r="AL38" s="196">
        <f t="array" ref="AL38">IFERROR(
(AVERAGE((IF(DATOS_[[Sexo]:[Sexo]]=$B38,IF(DATOS_[[AGRUP. CLAS. PROF.]:[AGRUP. CLAS. PROF.]]=$B36,IF(DATOS_[[Check Periodo Ref.]:[Check Periodo Ref.]]="Dentro",IF(DATOS_[[Check Equiparado]:[Check Equiparado]]="Sí",IF(DATOS!BG$5="Sí",(1/DATOS_[[% anualiz]:[% anualiz]]),1)*IF(DATOS!BG$4="Sí",1/DATOS_[[% normaliz]:[% normaliz]],1)*(DATOS_[Conc.Sal.29])))))))),
0)</f>
        <v>0</v>
      </c>
      <c r="AM38" s="196">
        <f t="array" ref="AM38">IFERROR(
(AVERAGE((IF(DATOS_[[Sexo]:[Sexo]]=$B38,IF(DATOS_[[AGRUP. CLAS. PROF.]:[AGRUP. CLAS. PROF.]]=$B36,IF(DATOS_[[Check Periodo Ref.]:[Check Periodo Ref.]]="Dentro",IF(DATOS_[[Check Equiparado]:[Check Equiparado]]="Sí",IF(DATOS!BH$5="Sí",(1/DATOS_[[% anualiz]:[% anualiz]]),1)*IF(DATOS!BH$4="Sí",1/DATOS_[[% normaliz]:[% normaliz]],1)*(DATOS_[Conc.Sal.30])))))))),
0)</f>
        <v>0</v>
      </c>
      <c r="AN38" s="195">
        <f t="array" ref="AN38">IFERROR(
AVERAGE(IF(DATOS_[Sexo]=$B38,IF(DATOS_[[AGRUP. CLAS. PROF.]:[AGRUP. CLAS. PROF.]]=$B36,IF(DATOS_[Check Equiparado]="Sí",IF(DATOS_[Check Periodo Ref.]="Dentro",DATOS_[Tot COMPL.SAL Eq],FALSE))))),
0)</f>
        <v>0</v>
      </c>
      <c r="AO38" s="172">
        <f t="array" ref="AO38">IFERROR(
AVERAGE(IF(DATOS_[Sexo]=$B38,IF(DATOS_[[AGRUP. CLAS. PROF.]:[AGRUP. CLAS. PROF.]]=$B36,IF(DATOS_[Check Equiparado]="Sí",IF(DATOS_[Check Periodo Ref.]="Dentro",DATOS_[TOTAL SALARIO Eq],FALSE))))),
0)</f>
        <v>0</v>
      </c>
      <c r="AP38" s="173">
        <f t="array" ref="AP38">IFERROR(
(AVERAGE((IF(DATOS_[[Sexo]:[Sexo]]=$B38,IF(DATOS_[[AGRUP. CLAS. PROF.]:[AGRUP. CLAS. PROF.]]=$B36,IF(DATOS_[[Check Periodo Ref.]:[Check Periodo Ref.]]="Dentro",IF(DATOS_[[Check Equiparado]:[Check Equiparado]]="Sí",IF(DATOS!BW$5="Sí",(1/DATOS_[[% anualiz]:[% anualiz]]),1)*IF(DATOS!BW$4="Sí",1/DATOS_[[% normaliz]:[% normaliz]],1)*(DATOS_[C.Extra.01])))))))),
0)</f>
        <v>0</v>
      </c>
      <c r="AQ38" s="173">
        <f t="array" ref="AQ38">IFERROR(
(AVERAGE((IF(DATOS_[[Sexo]:[Sexo]]=$B38,IF(DATOS_[[AGRUP. CLAS. PROF.]:[AGRUP. CLAS. PROF.]]=$B36,IF(DATOS_[[Check Periodo Ref.]:[Check Periodo Ref.]]="Dentro",IF(DATOS_[[Check Equiparado]:[Check Equiparado]]="Sí",IF(DATOS!CB$5="Sí",(1/DATOS_[[% anualiz]:[% anualiz]]),1)*IF(DATOS!CB$4="Sí",1/DATOS_[[% normaliz]:[% normaliz]],1)*(DATOS_[C.Extra.06])))))))),
0)</f>
        <v>0</v>
      </c>
      <c r="AR38" s="173">
        <f t="array" ref="AR38">IFERROR(
(AVERAGE((IF(DATOS_[[Sexo]:[Sexo]]=$B38,IF(DATOS_[[AGRUP. CLAS. PROF.]:[AGRUP. CLAS. PROF.]]=$B36,IF(DATOS_[[Check Periodo Ref.]:[Check Periodo Ref.]]="Dentro",IF(DATOS_[[Check Equiparado]:[Check Equiparado]]="Sí",IF(DATOS!CC$5="Sí",(1/DATOS_[[% anualiz]:[% anualiz]]),1)*IF(DATOS!CC$4="Sí",1/DATOS_[[% normaliz]:[% normaliz]],1)*(DATOS_[C.Extra.07])))))))),
0)</f>
        <v>0</v>
      </c>
      <c r="AS38" s="173">
        <f t="array" ref="AS38">IFERROR(
(AVERAGE((IF(DATOS_[[Sexo]:[Sexo]]=$B38,IF(DATOS_[[AGRUP. CLAS. PROF.]:[AGRUP. CLAS. PROF.]]=$B36,IF(DATOS_[[Check Periodo Ref.]:[Check Periodo Ref.]]="Dentro",IF(DATOS_[[Check Equiparado]:[Check Equiparado]]="Sí",IF(DATOS!CD$5="Sí",(1/DATOS_[[% anualiz]:[% anualiz]]),1)*IF(DATOS!CD$4="Sí",1/DATOS_[[% normaliz]:[% normaliz]],1)*(DATOS_[C.Extra.08])))))))),
0)</f>
        <v>0</v>
      </c>
      <c r="AT38" s="173">
        <f t="array" ref="AT38">IFERROR(
(AVERAGE((IF(DATOS_[[Sexo]:[Sexo]]=$B38,IF(DATOS_[[AGRUP. CLAS. PROF.]:[AGRUP. CLAS. PROF.]]=$B36,IF(DATOS_[[Check Periodo Ref.]:[Check Periodo Ref.]]="Dentro",IF(DATOS_[[Check Equiparado]:[Check Equiparado]]="Sí",IF(DATOS!CG$5="Sí",(1/DATOS_[[% anualiz]:[% anualiz]]),1)*IF(DATOS!CG$4="Sí",1/DATOS_[[% normaliz]:[% normaliz]],1)*(DATOS_[C.Extra.11])))))))),
0)</f>
        <v>0</v>
      </c>
      <c r="AU38" s="197">
        <f t="array" ref="AU38">IFERROR(
AVERAGE(IF(DATOS_[Sexo]=$B38,IF(DATOS_[[AGRUP. CLAS. PROF.]:[AGRUP. CLAS. PROF.]]=$B36,IF(DATOS_[Check Equiparado]="Sí",IF(DATOS_[Check Periodo Ref.]="Dentro",DATOS_[Tot Extrasalarial Eq],FALSE))))),
0)</f>
        <v>0</v>
      </c>
      <c r="AV38" s="175">
        <f t="array" ref="AV38">IFERROR(
AVERAGE(IF(DATOS_[Sexo]=$B38,IF(DATOS_[[AGRUP. CLAS. PROF.]:[AGRUP. CLAS. PROF.]]=$B36,IF(DATOS_[Check Equiparado]="Sí",IF(DATOS_[Check Periodo Ref.]="Dentro",DATOS_[TOTAL Retrib Eq],FALSE))))),
0)</f>
        <v>0</v>
      </c>
    </row>
    <row r="39" spans="1:48" ht="15.6" hidden="1" thickBot="1" x14ac:dyDescent="0.3">
      <c r="A39" s="133" t="str">
        <f t="shared" ref="A39" si="35">+A40</f>
        <v>[ocultar]</v>
      </c>
      <c r="B39" s="199" t="s">
        <v>208</v>
      </c>
      <c r="C39" s="200"/>
      <c r="D39" s="201"/>
      <c r="E39" s="201"/>
      <c r="F39" s="201"/>
      <c r="G39" s="201"/>
      <c r="H39" s="201"/>
      <c r="I39" s="189" t="str">
        <f t="shared" ref="I39:AV39" si="36">IFERROR((I40-I41)/I40,"")</f>
        <v/>
      </c>
      <c r="J39" s="190" t="str">
        <f t="shared" si="36"/>
        <v/>
      </c>
      <c r="K39" s="191" t="str">
        <f t="shared" si="36"/>
        <v/>
      </c>
      <c r="L39" s="191" t="str">
        <f t="shared" si="36"/>
        <v/>
      </c>
      <c r="M39" s="191" t="str">
        <f t="shared" si="36"/>
        <v/>
      </c>
      <c r="N39" s="192" t="str">
        <f t="shared" si="36"/>
        <v/>
      </c>
      <c r="O39" s="193" t="str">
        <f t="shared" si="36"/>
        <v/>
      </c>
      <c r="P39" s="193" t="str">
        <f t="shared" si="36"/>
        <v/>
      </c>
      <c r="Q39" s="193" t="str">
        <f t="shared" si="36"/>
        <v/>
      </c>
      <c r="R39" s="193" t="str">
        <f t="shared" si="36"/>
        <v/>
      </c>
      <c r="S39" s="193" t="str">
        <f t="shared" si="36"/>
        <v/>
      </c>
      <c r="T39" s="193" t="str">
        <f t="shared" si="36"/>
        <v/>
      </c>
      <c r="U39" s="193" t="str">
        <f t="shared" si="36"/>
        <v/>
      </c>
      <c r="V39" s="193" t="str">
        <f t="shared" si="36"/>
        <v/>
      </c>
      <c r="W39" s="193" t="str">
        <f t="shared" si="36"/>
        <v/>
      </c>
      <c r="X39" s="193" t="str">
        <f t="shared" si="36"/>
        <v/>
      </c>
      <c r="Y39" s="193" t="str">
        <f t="shared" si="36"/>
        <v/>
      </c>
      <c r="Z39" s="193" t="str">
        <f t="shared" si="36"/>
        <v/>
      </c>
      <c r="AA39" s="193" t="str">
        <f t="shared" si="36"/>
        <v/>
      </c>
      <c r="AB39" s="193" t="str">
        <f t="shared" si="36"/>
        <v/>
      </c>
      <c r="AC39" s="193" t="str">
        <f t="shared" si="36"/>
        <v/>
      </c>
      <c r="AD39" s="193" t="str">
        <f t="shared" si="36"/>
        <v/>
      </c>
      <c r="AE39" s="193" t="str">
        <f t="shared" si="36"/>
        <v/>
      </c>
      <c r="AF39" s="193" t="str">
        <f t="shared" si="36"/>
        <v/>
      </c>
      <c r="AG39" s="193" t="str">
        <f t="shared" si="36"/>
        <v/>
      </c>
      <c r="AH39" s="193" t="str">
        <f t="shared" si="36"/>
        <v/>
      </c>
      <c r="AI39" s="193" t="str">
        <f t="shared" si="36"/>
        <v/>
      </c>
      <c r="AJ39" s="193" t="str">
        <f t="shared" si="36"/>
        <v/>
      </c>
      <c r="AK39" s="193" t="str">
        <f t="shared" si="36"/>
        <v/>
      </c>
      <c r="AL39" s="193" t="str">
        <f t="shared" si="36"/>
        <v/>
      </c>
      <c r="AM39" s="193" t="str">
        <f t="shared" si="36"/>
        <v/>
      </c>
      <c r="AN39" s="189" t="str">
        <f t="shared" si="36"/>
        <v/>
      </c>
      <c r="AO39" s="162" t="str">
        <f t="shared" si="36"/>
        <v/>
      </c>
      <c r="AP39" s="163" t="str">
        <f t="shared" si="36"/>
        <v/>
      </c>
      <c r="AQ39" s="163" t="str">
        <f t="shared" si="36"/>
        <v/>
      </c>
      <c r="AR39" s="163" t="str">
        <f t="shared" si="36"/>
        <v/>
      </c>
      <c r="AS39" s="163" t="str">
        <f t="shared" si="36"/>
        <v/>
      </c>
      <c r="AT39" s="163" t="str">
        <f t="shared" si="36"/>
        <v/>
      </c>
      <c r="AU39" s="194" t="str">
        <f t="shared" si="36"/>
        <v/>
      </c>
      <c r="AV39" s="165" t="str">
        <f t="shared" si="36"/>
        <v/>
      </c>
    </row>
    <row r="40" spans="1:48" hidden="1" x14ac:dyDescent="0.25">
      <c r="A40" s="133" t="str">
        <f t="shared" ref="A40" si="37">+IF(C40+C41=0,"[ocultar]","")</f>
        <v>[ocultar]</v>
      </c>
      <c r="B40" s="202" t="s">
        <v>394</v>
      </c>
      <c r="C40" s="203">
        <f t="array" ref="C40">SUM(IF($B40=DATOS_[Sexo],
IF($B39=DATOS_[AGRUP. CLAS. PROF.],
IF("Dentro"=DATOS_[Check Periodo Ref.],
1/(COUNTIFS(DATOS_[Sexo],$B40,DATOS_[AGRUP. CLAS. PROF.],$B39,DATOS_[Check Periodo Ref.],"Dentro",DATOS_[id/cod],DATOS_[id/cod]))))))</f>
        <v>0</v>
      </c>
      <c r="D40" s="204">
        <f>COUNTIFS(DATOS_[AGRUP. CLAS. PROF.],$B39,DATOS_[Sexo],$B40,DATOS_[Check Periodo Ref.],"Dentro")</f>
        <v>0</v>
      </c>
      <c r="E40" s="204">
        <f>COUNTIFS(DATOS_[AGRUP. CLAS. PROF.],$B39,DATOS_[Sexo],$B40,DATOS_[Check Periodo Ref.],"Dentro",DATOS_[Check Nº SC Norm],"Sí")</f>
        <v>0</v>
      </c>
      <c r="F40" s="204">
        <f>COUNTIFS(DATOS_[AGRUP. CLAS. PROF.],$B39,DATOS_[Sexo],$B40,DATOS_[Check Periodo Ref.],"Dentro",DATOS_[Check Nº SC Anualiz],"Sí")</f>
        <v>0</v>
      </c>
      <c r="G40" s="204">
        <f>COUNTIFS(DATOS_[AGRUP. CLAS. PROF.],$B39,DATOS_[Sexo],$B40,DATOS_[Check Periodo Ref.],"Dentro",DATOS_[Check Nº SC Norm y Anualiz],"Sí")</f>
        <v>0</v>
      </c>
      <c r="H40" s="204">
        <f>COUNTIFS(DATOS_[AGRUP. CLAS. PROF.],$B39,DATOS_[Sexo],$B40,DATOS_[Check Periodo Ref.],"Dentro",DATOS_[Check Equiparación],"Sí")</f>
        <v>0</v>
      </c>
      <c r="I40" s="195">
        <f t="array" ref="I40">IFERROR(
AVERAGE(IF(DATOS_[Sexo]=$B40,IF(DATOS_[[AGRUP. CLAS. PROF.]:[AGRUP. CLAS. PROF.]]=$B39,IF(DATOS_[Check Equiparado]="Sí",IF(DATOS_[Check Periodo Ref.]="Dentro",DATOS_[SALARIO BASE Eq],FALSE))))),
0)</f>
        <v>0</v>
      </c>
      <c r="J40" s="196">
        <f t="array" ref="J40">IFERROR(
(AVERAGE((IF(DATOS_[[Sexo]:[Sexo]]=$B40,IF(DATOS_[[AGRUP. CLAS. PROF.]:[AGRUP. CLAS. PROF.]]=$B39,IF(DATOS_[[Check Periodo Ref.]:[Check Periodo Ref.]]="Dentro",IF(DATOS_[[Check Equiparado]:[Check Equiparado]]="Sí",IF(DATOS!AE$5="Sí",(1/DATOS_[[% anualiz]:[% anualiz]]),1)*IF(DATOS!AE$4="Sí",1/DATOS_[[% normaliz]:[% normaliz]],1)*(DATOS_[Conc.Sal.01])))))))),
0)</f>
        <v>0</v>
      </c>
      <c r="K40" s="196">
        <f t="array" ref="K40">IFERROR(
(AVERAGE((IF(DATOS_[[Sexo]:[Sexo]]=$B40,IF(DATOS_[[AGRUP. CLAS. PROF.]:[AGRUP. CLAS. PROF.]]=$B39,IF(DATOS_[[Check Periodo Ref.]:[Check Periodo Ref.]]="Dentro",IF(DATOS_[[Check Equiparado]:[Check Equiparado]]="Sí",IF(DATOS!AF$5="Sí",(1/DATOS_[[% anualiz]:[% anualiz]]),1)*IF(DATOS!AF$4="Sí",1/DATOS_[[% normaliz]:[% normaliz]],1)*(DATOS_[Conc.Sal.02])))))))),
0)</f>
        <v>0</v>
      </c>
      <c r="L40" s="196">
        <f t="array" ref="L40">IFERROR(
(AVERAGE((IF(DATOS_[[Sexo]:[Sexo]]=$B40,IF(DATOS_[[AGRUP. CLAS. PROF.]:[AGRUP. CLAS. PROF.]]=$B39,IF(DATOS_[[Check Periodo Ref.]:[Check Periodo Ref.]]="Dentro",IF(DATOS_[[Check Equiparado]:[Check Equiparado]]="Sí",IF(DATOS!AG$5="Sí",(1/DATOS_[[% anualiz]:[% anualiz]]),1)*IF(DATOS!AG$4="Sí",1/DATOS_[[% normaliz]:[% normaliz]],1)*(DATOS_[Conc.Sal.03])))))))),
0)</f>
        <v>0</v>
      </c>
      <c r="M40" s="196">
        <f t="array" ref="M40">IFERROR(
(AVERAGE((IF(DATOS_[[Sexo]:[Sexo]]=$B40,IF(DATOS_[[AGRUP. CLAS. PROF.]:[AGRUP. CLAS. PROF.]]=$B39,IF(DATOS_[[Check Periodo Ref.]:[Check Periodo Ref.]]="Dentro",IF(DATOS_[[Check Equiparado]:[Check Equiparado]]="Sí",IF(DATOS!AH$5="Sí",(1/DATOS_[[% anualiz]:[% anualiz]]),1)*IF(DATOS!AH$4="Sí",1/DATOS_[[% normaliz]:[% normaliz]],1)*(DATOS_[Conc.Sal.04])))))))),
0)</f>
        <v>0</v>
      </c>
      <c r="N40" s="196">
        <f t="array" ref="N40">IFERROR(
(AVERAGE((IF(DATOS_[[Sexo]:[Sexo]]=$B40,IF(DATOS_[[AGRUP. CLAS. PROF.]:[AGRUP. CLAS. PROF.]]=$B39,IF(DATOS_[[Check Periodo Ref.]:[Check Periodo Ref.]]="Dentro",IF(DATOS_[[Check Equiparado]:[Check Equiparado]]="Sí",IF(DATOS!AI$5="Sí",(1/DATOS_[[% anualiz]:[% anualiz]]),1)*IF(DATOS!AI$4="Sí",1/DATOS_[[% normaliz]:[% normaliz]],1)*(DATOS_[Conc.Sal.05])))))))),
0)</f>
        <v>0</v>
      </c>
      <c r="O40" s="196">
        <f t="array" ref="O40">IFERROR(
(AVERAGE((IF(DATOS_[[Sexo]:[Sexo]]=$B40,IF(DATOS_[[AGRUP. CLAS. PROF.]:[AGRUP. CLAS. PROF.]]=$B39,IF(DATOS_[[Check Periodo Ref.]:[Check Periodo Ref.]]="Dentro",IF(DATOS_[[Check Equiparado]:[Check Equiparado]]="Sí",IF(DATOS!AJ$5="Sí",(1/DATOS_[[% anualiz]:[% anualiz]]),1)*IF(DATOS!AJ$4="Sí",1/DATOS_[[% normaliz]:[% normaliz]],1)*(DATOS_[Conc.Sal.06])))))))),
0)</f>
        <v>0</v>
      </c>
      <c r="P40" s="196">
        <f t="array" ref="P40">IFERROR(
(AVERAGE((IF(DATOS_[[Sexo]:[Sexo]]=$B40,IF(DATOS_[[AGRUP. CLAS. PROF.]:[AGRUP. CLAS. PROF.]]=$B39,IF(DATOS_[[Check Periodo Ref.]:[Check Periodo Ref.]]="Dentro",IF(DATOS_[[Check Equiparado]:[Check Equiparado]]="Sí",IF(DATOS!AK$5="Sí",(1/DATOS_[[% anualiz]:[% anualiz]]),1)*IF(DATOS!AK$4="Sí",1/DATOS_[[% normaliz]:[% normaliz]],1)*(DATOS_[Conc.Sal.07])))))))),
0)</f>
        <v>0</v>
      </c>
      <c r="Q40" s="196">
        <f t="array" ref="Q40">IFERROR(
(AVERAGE((IF(DATOS_[[Sexo]:[Sexo]]=$B40,IF(DATOS_[[AGRUP. CLAS. PROF.]:[AGRUP. CLAS. PROF.]]=$B39,IF(DATOS_[[Check Periodo Ref.]:[Check Periodo Ref.]]="Dentro",IF(DATOS_[[Check Equiparado]:[Check Equiparado]]="Sí",IF(DATOS!AL$5="Sí",(1/DATOS_[[% anualiz]:[% anualiz]]),1)*IF(DATOS!AL$4="Sí",1/DATOS_[[% normaliz]:[% normaliz]],1)*(DATOS_[Conc.Sal.08])))))))),
0)</f>
        <v>0</v>
      </c>
      <c r="R40" s="196">
        <f t="array" ref="R40">IFERROR(
(AVERAGE((IF(DATOS_[[Sexo]:[Sexo]]=$B40,IF(DATOS_[[AGRUP. CLAS. PROF.]:[AGRUP. CLAS. PROF.]]=$B39,IF(DATOS_[[Check Periodo Ref.]:[Check Periodo Ref.]]="Dentro",IF(DATOS_[[Check Equiparado]:[Check Equiparado]]="Sí",IF(DATOS!AM$5="Sí",(1/DATOS_[[% anualiz]:[% anualiz]]),1)*IF(DATOS!AM$4="Sí",1/DATOS_[[% normaliz]:[% normaliz]],1)*(DATOS_[Conc.Sal.09])))))))),
0)</f>
        <v>0</v>
      </c>
      <c r="S40" s="196">
        <f t="array" ref="S40">IFERROR(
(AVERAGE((IF(DATOS_[[Sexo]:[Sexo]]=$B40,IF(DATOS_[[AGRUP. CLAS. PROF.]:[AGRUP. CLAS. PROF.]]=$B39,IF(DATOS_[[Check Periodo Ref.]:[Check Periodo Ref.]]="Dentro",IF(DATOS_[[Check Equiparado]:[Check Equiparado]]="Sí",IF(DATOS!AN$5="Sí",(1/DATOS_[[% anualiz]:[% anualiz]]),1)*IF(DATOS!AN$4="Sí",1/DATOS_[[% normaliz]:[% normaliz]],1)*(DATOS_[Conc.Sal.10])))))))),
0)</f>
        <v>0</v>
      </c>
      <c r="T40" s="196">
        <f t="array" ref="T40">IFERROR(
(AVERAGE((IF(DATOS_[[Sexo]:[Sexo]]=$B40,IF(DATOS_[[AGRUP. CLAS. PROF.]:[AGRUP. CLAS. PROF.]]=$B39,IF(DATOS_[[Check Periodo Ref.]:[Check Periodo Ref.]]="Dentro",IF(DATOS_[[Check Equiparado]:[Check Equiparado]]="Sí",IF(DATOS!AO$5="Sí",(1/DATOS_[[% anualiz]:[% anualiz]]),1)*IF(DATOS!AO$4="Sí",1/DATOS_[[% normaliz]:[% normaliz]],1)*(DATOS_[Conc.Sal.11])))))))),
0)</f>
        <v>0</v>
      </c>
      <c r="U40" s="196">
        <f t="array" ref="U40">IFERROR(
(AVERAGE((IF(DATOS_[[Sexo]:[Sexo]]=$B40,IF(DATOS_[[AGRUP. CLAS. PROF.]:[AGRUP. CLAS. PROF.]]=$B39,IF(DATOS_[[Check Periodo Ref.]:[Check Periodo Ref.]]="Dentro",IF(DATOS_[[Check Equiparado]:[Check Equiparado]]="Sí",IF(DATOS!AP$5="Sí",(1/DATOS_[[% anualiz]:[% anualiz]]),1)*IF(DATOS!AP$4="Sí",1/DATOS_[[% normaliz]:[% normaliz]],1)*(DATOS_[Conc.Sal.12])))))))),
0)</f>
        <v>0</v>
      </c>
      <c r="V40" s="196">
        <f t="array" ref="V40">IFERROR(
(AVERAGE((IF(DATOS_[[Sexo]:[Sexo]]=$B40,IF(DATOS_[[AGRUP. CLAS. PROF.]:[AGRUP. CLAS. PROF.]]=$B39,IF(DATOS_[[Check Periodo Ref.]:[Check Periodo Ref.]]="Dentro",IF(DATOS_[[Check Equiparado]:[Check Equiparado]]="Sí",IF(DATOS!AQ$5="Sí",(1/DATOS_[[% anualiz]:[% anualiz]]),1)*IF(DATOS!AQ$4="Sí",1/DATOS_[[% normaliz]:[% normaliz]],1)*(DATOS_[Conc.Sal.13])))))))),
0)</f>
        <v>0</v>
      </c>
      <c r="W40" s="196">
        <f t="array" ref="W40">IFERROR(
(AVERAGE((IF(DATOS_[[Sexo]:[Sexo]]=$B40,IF(DATOS_[[AGRUP. CLAS. PROF.]:[AGRUP. CLAS. PROF.]]=$B39,IF(DATOS_[[Check Periodo Ref.]:[Check Periodo Ref.]]="Dentro",IF(DATOS_[[Check Equiparado]:[Check Equiparado]]="Sí",IF(DATOS!AR$5="Sí",(1/DATOS_[[% anualiz]:[% anualiz]]),1)*IF(DATOS!AR$4="Sí",1/DATOS_[[% normaliz]:[% normaliz]],1)*(DATOS_[Conc.Sal.14])))))))),
0)</f>
        <v>0</v>
      </c>
      <c r="X40" s="196">
        <f t="array" ref="X40">IFERROR(
(AVERAGE((IF(DATOS_[[Sexo]:[Sexo]]=$B40,IF(DATOS_[[AGRUP. CLAS. PROF.]:[AGRUP. CLAS. PROF.]]=$B39,IF(DATOS_[[Check Periodo Ref.]:[Check Periodo Ref.]]="Dentro",IF(DATOS_[[Check Equiparado]:[Check Equiparado]]="Sí",IF(DATOS!AS$5="Sí",(1/DATOS_[[% anualiz]:[% anualiz]]),1)*IF(DATOS!AS$4="Sí",1/DATOS_[[% normaliz]:[% normaliz]],1)*(DATOS_[Conc.Sal.15])))))))),
0)</f>
        <v>0</v>
      </c>
      <c r="Y40" s="196">
        <f t="array" ref="Y40">IFERROR(
(AVERAGE((IF(DATOS_[[Sexo]:[Sexo]]=$B40,IF(DATOS_[[AGRUP. CLAS. PROF.]:[AGRUP. CLAS. PROF.]]=$B39,IF(DATOS_[[Check Periodo Ref.]:[Check Periodo Ref.]]="Dentro",IF(DATOS_[[Check Equiparado]:[Check Equiparado]]="Sí",IF(DATOS!AT$5="Sí",(1/DATOS_[[% anualiz]:[% anualiz]]),1)*IF(DATOS!AT$4="Sí",1/DATOS_[[% normaliz]:[% normaliz]],1)*(DATOS_[Conc.Sal.16])))))))),
0)</f>
        <v>0</v>
      </c>
      <c r="Z40" s="196">
        <f t="array" ref="Z40">IFERROR(
(AVERAGE((IF(DATOS_[[Sexo]:[Sexo]]=$B40,IF(DATOS_[[AGRUP. CLAS. PROF.]:[AGRUP. CLAS. PROF.]]=$B39,IF(DATOS_[[Check Periodo Ref.]:[Check Periodo Ref.]]="Dentro",IF(DATOS_[[Check Equiparado]:[Check Equiparado]]="Sí",IF(DATOS!AU$5="Sí",(1/DATOS_[[% anualiz]:[% anualiz]]),1)*IF(DATOS!AU$4="Sí",1/DATOS_[[% normaliz]:[% normaliz]],1)*(DATOS_[Conc.Sal.17])))))))),
0)</f>
        <v>0</v>
      </c>
      <c r="AA40" s="196">
        <f t="array" ref="AA40">IFERROR(
(AVERAGE((IF(DATOS_[[Sexo]:[Sexo]]=$B40,IF(DATOS_[[AGRUP. CLAS. PROF.]:[AGRUP. CLAS. PROF.]]=$B39,IF(DATOS_[[Check Periodo Ref.]:[Check Periodo Ref.]]="Dentro",IF(DATOS_[[Check Equiparado]:[Check Equiparado]]="Sí",IF(DATOS!AV$5="Sí",(1/DATOS_[[% anualiz]:[% anualiz]]),1)*IF(DATOS!AV$4="Sí",1/DATOS_[[% normaliz]:[% normaliz]],1)*(DATOS_[Conc.Sal.18])))))))),
0)</f>
        <v>0</v>
      </c>
      <c r="AB40" s="196">
        <f t="array" ref="AB40">IFERROR(
(AVERAGE((IF(DATOS_[[Sexo]:[Sexo]]=$B40,IF(DATOS_[[AGRUP. CLAS. PROF.]:[AGRUP. CLAS. PROF.]]=$B39,IF(DATOS_[[Check Periodo Ref.]:[Check Periodo Ref.]]="Dentro",IF(DATOS_[[Check Equiparado]:[Check Equiparado]]="Sí",IF(DATOS!AW$5="Sí",(1/DATOS_[[% anualiz]:[% anualiz]]),1)*IF(DATOS!AW$4="Sí",1/DATOS_[[% normaliz]:[% normaliz]],1)*(DATOS_[Conc.Sal.19])))))))),
0)</f>
        <v>0</v>
      </c>
      <c r="AC40" s="196">
        <f t="array" ref="AC40">IFERROR(
(AVERAGE((IF(DATOS_[[Sexo]:[Sexo]]=$B40,IF(DATOS_[[AGRUP. CLAS. PROF.]:[AGRUP. CLAS. PROF.]]=$B39,IF(DATOS_[[Check Periodo Ref.]:[Check Periodo Ref.]]="Dentro",IF(DATOS_[[Check Equiparado]:[Check Equiparado]]="Sí",IF(DATOS!AX$5="Sí",(1/DATOS_[[% anualiz]:[% anualiz]]),1)*IF(DATOS!AX$4="Sí",1/DATOS_[[% normaliz]:[% normaliz]],1)*(DATOS_[Conc.Sal.20])))))))),
0)</f>
        <v>0</v>
      </c>
      <c r="AD40" s="196">
        <f t="array" ref="AD40">IFERROR(
(AVERAGE((IF(DATOS_[[Sexo]:[Sexo]]=$B40,IF(DATOS_[[AGRUP. CLAS. PROF.]:[AGRUP. CLAS. PROF.]]=$B39,IF(DATOS_[[Check Periodo Ref.]:[Check Periodo Ref.]]="Dentro",IF(DATOS_[[Check Equiparado]:[Check Equiparado]]="Sí",IF(DATOS!AY$5="Sí",(1/DATOS_[[% anualiz]:[% anualiz]]),1)*IF(DATOS!AY$4="Sí",1/DATOS_[[% normaliz]:[% normaliz]],1)*(DATOS_[Conc.Sal.21])))))))),
0)</f>
        <v>0</v>
      </c>
      <c r="AE40" s="196">
        <f t="array" ref="AE40">IFERROR(
(AVERAGE((IF(DATOS_[[Sexo]:[Sexo]]=$B40,IF(DATOS_[[AGRUP. CLAS. PROF.]:[AGRUP. CLAS. PROF.]]=$B39,IF(DATOS_[[Check Periodo Ref.]:[Check Periodo Ref.]]="Dentro",IF(DATOS_[[Check Equiparado]:[Check Equiparado]]="Sí",IF(DATOS!AZ$5="Sí",(1/DATOS_[[% anualiz]:[% anualiz]]),1)*IF(DATOS!AZ$4="Sí",1/DATOS_[[% normaliz]:[% normaliz]],1)*(DATOS_[Conc.Sal.22])))))))),
0)</f>
        <v>0</v>
      </c>
      <c r="AF40" s="196">
        <f t="array" ref="AF40">IFERROR(
(AVERAGE((IF(DATOS_[[Sexo]:[Sexo]]=$B40,IF(DATOS_[[AGRUP. CLAS. PROF.]:[AGRUP. CLAS. PROF.]]=$B39,IF(DATOS_[[Check Periodo Ref.]:[Check Periodo Ref.]]="Dentro",IF(DATOS_[[Check Equiparado]:[Check Equiparado]]="Sí",IF(DATOS!BA$5="Sí",(1/DATOS_[[% anualiz]:[% anualiz]]),1)*IF(DATOS!BA$4="Sí",1/DATOS_[[% normaliz]:[% normaliz]],1)*(DATOS_[Conc.Sal.23])))))))),
0)</f>
        <v>0</v>
      </c>
      <c r="AG40" s="196">
        <f t="array" ref="AG40">IFERROR(
(AVERAGE((IF(DATOS_[[Sexo]:[Sexo]]=$B40,IF(DATOS_[[AGRUP. CLAS. PROF.]:[AGRUP. CLAS. PROF.]]=$B39,IF(DATOS_[[Check Periodo Ref.]:[Check Periodo Ref.]]="Dentro",IF(DATOS_[[Check Equiparado]:[Check Equiparado]]="Sí",IF(DATOS!BB$5="Sí",(1/DATOS_[[% anualiz]:[% anualiz]]),1)*IF(DATOS!BB$4="Sí",1/DATOS_[[% normaliz]:[% normaliz]],1)*(DATOS_[Conc.Sal.24])))))))),
0)</f>
        <v>0</v>
      </c>
      <c r="AH40" s="196">
        <f t="array" ref="AH40">IFERROR(
(AVERAGE((IF(DATOS_[[Sexo]:[Sexo]]=$B40,IF(DATOS_[[AGRUP. CLAS. PROF.]:[AGRUP. CLAS. PROF.]]=$B39,IF(DATOS_[[Check Periodo Ref.]:[Check Periodo Ref.]]="Dentro",IF(DATOS_[[Check Equiparado]:[Check Equiparado]]="Sí",IF(DATOS!BC$5="Sí",(1/DATOS_[[% anualiz]:[% anualiz]]),1)*IF(DATOS!BC$4="Sí",1/DATOS_[[% normaliz]:[% normaliz]],1)*(DATOS_[Conc.Sal.25])))))))),
0)</f>
        <v>0</v>
      </c>
      <c r="AI40" s="196">
        <f t="array" ref="AI40">IFERROR(
(AVERAGE((IF(DATOS_[[Sexo]:[Sexo]]=$B40,IF(DATOS_[[AGRUP. CLAS. PROF.]:[AGRUP. CLAS. PROF.]]=$B39,IF(DATOS_[[Check Periodo Ref.]:[Check Periodo Ref.]]="Dentro",IF(DATOS_[[Check Equiparado]:[Check Equiparado]]="Sí",IF(DATOS!BD$5="Sí",(1/DATOS_[[% anualiz]:[% anualiz]]),1)*IF(DATOS!BD$4="Sí",1/DATOS_[[% normaliz]:[% normaliz]],1)*(DATOS_[Conc.Sal.26])))))))),
0)</f>
        <v>0</v>
      </c>
      <c r="AJ40" s="196">
        <f t="array" ref="AJ40">IFERROR(
(AVERAGE((IF(DATOS_[[Sexo]:[Sexo]]=$B40,IF(DATOS_[[AGRUP. CLAS. PROF.]:[AGRUP. CLAS. PROF.]]=$B39,IF(DATOS_[[Check Periodo Ref.]:[Check Periodo Ref.]]="Dentro",IF(DATOS_[[Check Equiparado]:[Check Equiparado]]="Sí",IF(DATOS!BE$5="Sí",(1/DATOS_[[% anualiz]:[% anualiz]]),1)*IF(DATOS!BE$4="Sí",1/DATOS_[[% normaliz]:[% normaliz]],1)*(DATOS_[Conc.Sal.27])))))))),
0)</f>
        <v>0</v>
      </c>
      <c r="AK40" s="196">
        <f t="array" ref="AK40">IFERROR(
(AVERAGE((IF(DATOS_[[Sexo]:[Sexo]]=$B40,IF(DATOS_[[AGRUP. CLAS. PROF.]:[AGRUP. CLAS. PROF.]]=$B39,IF(DATOS_[[Check Periodo Ref.]:[Check Periodo Ref.]]="Dentro",IF(DATOS_[[Check Equiparado]:[Check Equiparado]]="Sí",IF(DATOS!BF$5="Sí",(1/DATOS_[[% anualiz]:[% anualiz]]),1)*IF(DATOS!BF$4="Sí",1/DATOS_[[% normaliz]:[% normaliz]],1)*(DATOS_[Conc.Sal.28])))))))),
0)</f>
        <v>0</v>
      </c>
      <c r="AL40" s="196">
        <f t="array" ref="AL40">IFERROR(
(AVERAGE((IF(DATOS_[[Sexo]:[Sexo]]=$B40,IF(DATOS_[[AGRUP. CLAS. PROF.]:[AGRUP. CLAS. PROF.]]=$B39,IF(DATOS_[[Check Periodo Ref.]:[Check Periodo Ref.]]="Dentro",IF(DATOS_[[Check Equiparado]:[Check Equiparado]]="Sí",IF(DATOS!BG$5="Sí",(1/DATOS_[[% anualiz]:[% anualiz]]),1)*IF(DATOS!BG$4="Sí",1/DATOS_[[% normaliz]:[% normaliz]],1)*(DATOS_[Conc.Sal.29])))))))),
0)</f>
        <v>0</v>
      </c>
      <c r="AM40" s="196">
        <f t="array" ref="AM40">IFERROR(
(AVERAGE((IF(DATOS_[[Sexo]:[Sexo]]=$B40,IF(DATOS_[[AGRUP. CLAS. PROF.]:[AGRUP. CLAS. PROF.]]=$B39,IF(DATOS_[[Check Periodo Ref.]:[Check Periodo Ref.]]="Dentro",IF(DATOS_[[Check Equiparado]:[Check Equiparado]]="Sí",IF(DATOS!BH$5="Sí",(1/DATOS_[[% anualiz]:[% anualiz]]),1)*IF(DATOS!BH$4="Sí",1/DATOS_[[% normaliz]:[% normaliz]],1)*(DATOS_[Conc.Sal.30])))))))),
0)</f>
        <v>0</v>
      </c>
      <c r="AN40" s="195">
        <f t="array" ref="AN40">IFERROR(
AVERAGE(IF(DATOS_[Sexo]=$B40,IF(DATOS_[[AGRUP. CLAS. PROF.]:[AGRUP. CLAS. PROF.]]=$B39,IF(DATOS_[Check Equiparado]="Sí",IF(DATOS_[Check Periodo Ref.]="Dentro",DATOS_[Tot COMPL.SAL Eq],FALSE))))),
0)</f>
        <v>0</v>
      </c>
      <c r="AO40" s="172">
        <f t="array" ref="AO40">IFERROR(
AVERAGE(IF(DATOS_[Sexo]=$B40,IF(DATOS_[[AGRUP. CLAS. PROF.]:[AGRUP. CLAS. PROF.]]=$B39,IF(DATOS_[Check Equiparado]="Sí",IF(DATOS_[Check Periodo Ref.]="Dentro",DATOS_[TOTAL SALARIO Eq],FALSE))))),
0)</f>
        <v>0</v>
      </c>
      <c r="AP40" s="173">
        <f t="array" ref="AP40">IFERROR(
(AVERAGE((IF(DATOS_[[Sexo]:[Sexo]]=$B40,IF(DATOS_[[AGRUP. CLAS. PROF.]:[AGRUP. CLAS. PROF.]]=$B39,IF(DATOS_[[Check Periodo Ref.]:[Check Periodo Ref.]]="Dentro",IF(DATOS_[[Check Equiparado]:[Check Equiparado]]="Sí",IF(DATOS!BW$5="Sí",(1/DATOS_[[% anualiz]:[% anualiz]]),1)*IF(DATOS!BW$4="Sí",1/DATOS_[[% normaliz]:[% normaliz]],1)*(DATOS_[C.Extra.01])))))))),
0)</f>
        <v>0</v>
      </c>
      <c r="AQ40" s="173">
        <f t="array" ref="AQ40">IFERROR(
(AVERAGE((IF(DATOS_[[Sexo]:[Sexo]]=$B40,IF(DATOS_[[AGRUP. CLAS. PROF.]:[AGRUP. CLAS. PROF.]]=$B39,IF(DATOS_[[Check Periodo Ref.]:[Check Periodo Ref.]]="Dentro",IF(DATOS_[[Check Equiparado]:[Check Equiparado]]="Sí",IF(DATOS!CB$5="Sí",(1/DATOS_[[% anualiz]:[% anualiz]]),1)*IF(DATOS!CB$4="Sí",1/DATOS_[[% normaliz]:[% normaliz]],1)*(DATOS_[C.Extra.06])))))))),
0)</f>
        <v>0</v>
      </c>
      <c r="AR40" s="173">
        <f t="array" ref="AR40">IFERROR(
(AVERAGE((IF(DATOS_[[Sexo]:[Sexo]]=$B40,IF(DATOS_[[AGRUP. CLAS. PROF.]:[AGRUP. CLAS. PROF.]]=$B39,IF(DATOS_[[Check Periodo Ref.]:[Check Periodo Ref.]]="Dentro",IF(DATOS_[[Check Equiparado]:[Check Equiparado]]="Sí",IF(DATOS!CC$5="Sí",(1/DATOS_[[% anualiz]:[% anualiz]]),1)*IF(DATOS!CC$4="Sí",1/DATOS_[[% normaliz]:[% normaliz]],1)*(DATOS_[C.Extra.07])))))))),
0)</f>
        <v>0</v>
      </c>
      <c r="AS40" s="173">
        <f t="array" ref="AS40">IFERROR(
(AVERAGE((IF(DATOS_[[Sexo]:[Sexo]]=$B40,IF(DATOS_[[AGRUP. CLAS. PROF.]:[AGRUP. CLAS. PROF.]]=$B39,IF(DATOS_[[Check Periodo Ref.]:[Check Periodo Ref.]]="Dentro",IF(DATOS_[[Check Equiparado]:[Check Equiparado]]="Sí",IF(DATOS!CD$5="Sí",(1/DATOS_[[% anualiz]:[% anualiz]]),1)*IF(DATOS!CD$4="Sí",1/DATOS_[[% normaliz]:[% normaliz]],1)*(DATOS_[C.Extra.08])))))))),
0)</f>
        <v>0</v>
      </c>
      <c r="AT40" s="173">
        <f t="array" ref="AT40">IFERROR(
(AVERAGE((IF(DATOS_[[Sexo]:[Sexo]]=$B40,IF(DATOS_[[AGRUP. CLAS. PROF.]:[AGRUP. CLAS. PROF.]]=$B39,IF(DATOS_[[Check Periodo Ref.]:[Check Periodo Ref.]]="Dentro",IF(DATOS_[[Check Equiparado]:[Check Equiparado]]="Sí",IF(DATOS!CG$5="Sí",(1/DATOS_[[% anualiz]:[% anualiz]]),1)*IF(DATOS!CG$4="Sí",1/DATOS_[[% normaliz]:[% normaliz]],1)*(DATOS_[C.Extra.11])))))))),
0)</f>
        <v>0</v>
      </c>
      <c r="AU40" s="197">
        <f t="array" ref="AU40">IFERROR(
AVERAGE(IF(DATOS_[Sexo]=$B40,IF(DATOS_[[AGRUP. CLAS. PROF.]:[AGRUP. CLAS. PROF.]]=$B39,IF(DATOS_[Check Equiparado]="Sí",IF(DATOS_[Check Periodo Ref.]="Dentro",DATOS_[Tot Extrasalarial Eq],FALSE))))),
0)</f>
        <v>0</v>
      </c>
      <c r="AV40" s="175">
        <f t="array" ref="AV40">IFERROR(
AVERAGE(IF(DATOS_[Sexo]=$B40,IF(DATOS_[[AGRUP. CLAS. PROF.]:[AGRUP. CLAS. PROF.]]=$B39,IF(DATOS_[Check Equiparado]="Sí",IF(DATOS_[Check Periodo Ref.]="Dentro",DATOS_[TOTAL Retrib Eq],FALSE))))),
0)</f>
        <v>0</v>
      </c>
    </row>
    <row r="41" spans="1:48" hidden="1" x14ac:dyDescent="0.25">
      <c r="A41" s="133" t="str">
        <f t="shared" ref="A41" si="38">+A40</f>
        <v>[ocultar]</v>
      </c>
      <c r="B41" s="202" t="s">
        <v>521</v>
      </c>
      <c r="C41" s="203">
        <f t="array" ref="C41">SUM(IF($B41=DATOS_[Sexo],
IF($B39=DATOS_[AGRUP. CLAS. PROF.],
IF("Dentro"=DATOS_[Check Periodo Ref.],
1/(COUNTIFS(DATOS_[Sexo],$B41,DATOS_[AGRUP. CLAS. PROF.],$B39,DATOS_[Check Periodo Ref.],"Dentro",DATOS_[id/cod],DATOS_[id/cod]))))))</f>
        <v>0</v>
      </c>
      <c r="D41" s="204">
        <f>COUNTIFS(DATOS_[AGRUP. CLAS. PROF.],$B39,DATOS_[Sexo],$B41,DATOS_[Check Periodo Ref.],"Dentro")</f>
        <v>0</v>
      </c>
      <c r="E41" s="204">
        <f>COUNTIFS(DATOS_[AGRUP. CLAS. PROF.],$B39,DATOS_[Sexo],$B41,DATOS_[Check Periodo Ref.],"Dentro",DATOS_[Check Nº SC Norm],"Sí")</f>
        <v>0</v>
      </c>
      <c r="F41" s="204">
        <f>COUNTIFS(DATOS_[AGRUP. CLAS. PROF.],$B39,DATOS_[Sexo],$B41,DATOS_[Check Periodo Ref.],"Dentro",DATOS_[Check Nº SC Anualiz],"Sí")</f>
        <v>0</v>
      </c>
      <c r="G41" s="204">
        <f>COUNTIFS(DATOS_[AGRUP. CLAS. PROF.],$B39,DATOS_[Sexo],$B41,DATOS_[Check Periodo Ref.],"Dentro",DATOS_[Check Nº SC Norm y Anualiz],"Sí")</f>
        <v>0</v>
      </c>
      <c r="H41" s="204">
        <f>COUNTIFS(DATOS_[AGRUP. CLAS. PROF.],$B39,DATOS_[Sexo],$B41,DATOS_[Check Periodo Ref.],"Dentro",DATOS_[Check Equiparación],"Sí")</f>
        <v>0</v>
      </c>
      <c r="I41" s="195" cm="1">
        <f t="array" ref="I41">IFERROR(
AVERAGE(IF(DATOS_[Sexo]=$B41,IF(DATOS_[[AGRUP. CLAS. PROF.]:[AGRUP. CLAS. PROF.]]=$B39,IF(DATOS_[Check Equiparado]="Sí",IF(DATOS_[Check Periodo Ref.]="Dentro",DATOS_[SALARIO BASE Eq],FALSE))))),
0)</f>
        <v>0</v>
      </c>
      <c r="J41" s="196">
        <f t="array" ref="J41">IFERROR(
(AVERAGE((IF(DATOS_[[Sexo]:[Sexo]]=$B41,IF(DATOS_[[AGRUP. CLAS. PROF.]:[AGRUP. CLAS. PROF.]]=$B39,IF(DATOS_[[Check Periodo Ref.]:[Check Periodo Ref.]]="Dentro",IF(DATOS_[[Check Equiparado]:[Check Equiparado]]="Sí",IF(DATOS!AE$5="Sí",(1/DATOS_[[% anualiz]:[% anualiz]]),1)*IF(DATOS!AE$4="Sí",1/DATOS_[[% normaliz]:[% normaliz]],1)*(DATOS_[Conc.Sal.01])))))))),
0)</f>
        <v>0</v>
      </c>
      <c r="K41" s="196">
        <f t="array" ref="K41">IFERROR(
(AVERAGE((IF(DATOS_[[Sexo]:[Sexo]]=$B41,IF(DATOS_[[AGRUP. CLAS. PROF.]:[AGRUP. CLAS. PROF.]]=$B39,IF(DATOS_[[Check Periodo Ref.]:[Check Periodo Ref.]]="Dentro",IF(DATOS_[[Check Equiparado]:[Check Equiparado]]="Sí",IF(DATOS!AF$5="Sí",(1/DATOS_[[% anualiz]:[% anualiz]]),1)*IF(DATOS!AF$4="Sí",1/DATOS_[[% normaliz]:[% normaliz]],1)*(DATOS_[Conc.Sal.02])))))))),
0)</f>
        <v>0</v>
      </c>
      <c r="L41" s="196">
        <f t="array" ref="L41">IFERROR(
(AVERAGE((IF(DATOS_[[Sexo]:[Sexo]]=$B41,IF(DATOS_[[AGRUP. CLAS. PROF.]:[AGRUP. CLAS. PROF.]]=$B39,IF(DATOS_[[Check Periodo Ref.]:[Check Periodo Ref.]]="Dentro",IF(DATOS_[[Check Equiparado]:[Check Equiparado]]="Sí",IF(DATOS!AG$5="Sí",(1/DATOS_[[% anualiz]:[% anualiz]]),1)*IF(DATOS!AG$4="Sí",1/DATOS_[[% normaliz]:[% normaliz]],1)*(DATOS_[Conc.Sal.03])))))))),
0)</f>
        <v>0</v>
      </c>
      <c r="M41" s="196">
        <f t="array" ref="M41">IFERROR(
(AVERAGE((IF(DATOS_[[Sexo]:[Sexo]]=$B41,IF(DATOS_[[AGRUP. CLAS. PROF.]:[AGRUP. CLAS. PROF.]]=$B39,IF(DATOS_[[Check Periodo Ref.]:[Check Periodo Ref.]]="Dentro",IF(DATOS_[[Check Equiparado]:[Check Equiparado]]="Sí",IF(DATOS!AH$5="Sí",(1/DATOS_[[% anualiz]:[% anualiz]]),1)*IF(DATOS!AH$4="Sí",1/DATOS_[[% normaliz]:[% normaliz]],1)*(DATOS_[Conc.Sal.04])))))))),
0)</f>
        <v>0</v>
      </c>
      <c r="N41" s="196">
        <f t="array" ref="N41">IFERROR(
(AVERAGE((IF(DATOS_[[Sexo]:[Sexo]]=$B41,IF(DATOS_[[AGRUP. CLAS. PROF.]:[AGRUP. CLAS. PROF.]]=$B39,IF(DATOS_[[Check Periodo Ref.]:[Check Periodo Ref.]]="Dentro",IF(DATOS_[[Check Equiparado]:[Check Equiparado]]="Sí",IF(DATOS!AI$5="Sí",(1/DATOS_[[% anualiz]:[% anualiz]]),1)*IF(DATOS!AI$4="Sí",1/DATOS_[[% normaliz]:[% normaliz]],1)*(DATOS_[Conc.Sal.05])))))))),
0)</f>
        <v>0</v>
      </c>
      <c r="O41" s="196">
        <f t="array" ref="O41">IFERROR(
(AVERAGE((IF(DATOS_[[Sexo]:[Sexo]]=$B41,IF(DATOS_[[AGRUP. CLAS. PROF.]:[AGRUP. CLAS. PROF.]]=$B39,IF(DATOS_[[Check Periodo Ref.]:[Check Periodo Ref.]]="Dentro",IF(DATOS_[[Check Equiparado]:[Check Equiparado]]="Sí",IF(DATOS!AJ$5="Sí",(1/DATOS_[[% anualiz]:[% anualiz]]),1)*IF(DATOS!AJ$4="Sí",1/DATOS_[[% normaliz]:[% normaliz]],1)*(DATOS_[Conc.Sal.06])))))))),
0)</f>
        <v>0</v>
      </c>
      <c r="P41" s="196">
        <f t="array" ref="P41">IFERROR(
(AVERAGE((IF(DATOS_[[Sexo]:[Sexo]]=$B41,IF(DATOS_[[AGRUP. CLAS. PROF.]:[AGRUP. CLAS. PROF.]]=$B39,IF(DATOS_[[Check Periodo Ref.]:[Check Periodo Ref.]]="Dentro",IF(DATOS_[[Check Equiparado]:[Check Equiparado]]="Sí",IF(DATOS!AK$5="Sí",(1/DATOS_[[% anualiz]:[% anualiz]]),1)*IF(DATOS!AK$4="Sí",1/DATOS_[[% normaliz]:[% normaliz]],1)*(DATOS_[Conc.Sal.07])))))))),
0)</f>
        <v>0</v>
      </c>
      <c r="Q41" s="196">
        <f t="array" ref="Q41">IFERROR(
(AVERAGE((IF(DATOS_[[Sexo]:[Sexo]]=$B41,IF(DATOS_[[AGRUP. CLAS. PROF.]:[AGRUP. CLAS. PROF.]]=$B39,IF(DATOS_[[Check Periodo Ref.]:[Check Periodo Ref.]]="Dentro",IF(DATOS_[[Check Equiparado]:[Check Equiparado]]="Sí",IF(DATOS!AL$5="Sí",(1/DATOS_[[% anualiz]:[% anualiz]]),1)*IF(DATOS!AL$4="Sí",1/DATOS_[[% normaliz]:[% normaliz]],1)*(DATOS_[Conc.Sal.08])))))))),
0)</f>
        <v>0</v>
      </c>
      <c r="R41" s="196">
        <f t="array" ref="R41">IFERROR(
(AVERAGE((IF(DATOS_[[Sexo]:[Sexo]]=$B41,IF(DATOS_[[AGRUP. CLAS. PROF.]:[AGRUP. CLAS. PROF.]]=$B39,IF(DATOS_[[Check Periodo Ref.]:[Check Periodo Ref.]]="Dentro",IF(DATOS_[[Check Equiparado]:[Check Equiparado]]="Sí",IF(DATOS!AM$5="Sí",(1/DATOS_[[% anualiz]:[% anualiz]]),1)*IF(DATOS!AM$4="Sí",1/DATOS_[[% normaliz]:[% normaliz]],1)*(DATOS_[Conc.Sal.09])))))))),
0)</f>
        <v>0</v>
      </c>
      <c r="S41" s="196">
        <f t="array" ref="S41">IFERROR(
(AVERAGE((IF(DATOS_[[Sexo]:[Sexo]]=$B41,IF(DATOS_[[AGRUP. CLAS. PROF.]:[AGRUP. CLAS. PROF.]]=$B39,IF(DATOS_[[Check Periodo Ref.]:[Check Periodo Ref.]]="Dentro",IF(DATOS_[[Check Equiparado]:[Check Equiparado]]="Sí",IF(DATOS!AN$5="Sí",(1/DATOS_[[% anualiz]:[% anualiz]]),1)*IF(DATOS!AN$4="Sí",1/DATOS_[[% normaliz]:[% normaliz]],1)*(DATOS_[Conc.Sal.10])))))))),
0)</f>
        <v>0</v>
      </c>
      <c r="T41" s="196">
        <f t="array" ref="T41">IFERROR(
(AVERAGE((IF(DATOS_[[Sexo]:[Sexo]]=$B41,IF(DATOS_[[AGRUP. CLAS. PROF.]:[AGRUP. CLAS. PROF.]]=$B39,IF(DATOS_[[Check Periodo Ref.]:[Check Periodo Ref.]]="Dentro",IF(DATOS_[[Check Equiparado]:[Check Equiparado]]="Sí",IF(DATOS!AO$5="Sí",(1/DATOS_[[% anualiz]:[% anualiz]]),1)*IF(DATOS!AO$4="Sí",1/DATOS_[[% normaliz]:[% normaliz]],1)*(DATOS_[Conc.Sal.11])))))))),
0)</f>
        <v>0</v>
      </c>
      <c r="U41" s="196">
        <f t="array" ref="U41">IFERROR(
(AVERAGE((IF(DATOS_[[Sexo]:[Sexo]]=$B41,IF(DATOS_[[AGRUP. CLAS. PROF.]:[AGRUP. CLAS. PROF.]]=$B39,IF(DATOS_[[Check Periodo Ref.]:[Check Periodo Ref.]]="Dentro",IF(DATOS_[[Check Equiparado]:[Check Equiparado]]="Sí",IF(DATOS!AP$5="Sí",(1/DATOS_[[% anualiz]:[% anualiz]]),1)*IF(DATOS!AP$4="Sí",1/DATOS_[[% normaliz]:[% normaliz]],1)*(DATOS_[Conc.Sal.12])))))))),
0)</f>
        <v>0</v>
      </c>
      <c r="V41" s="196">
        <f t="array" ref="V41">IFERROR(
(AVERAGE((IF(DATOS_[[Sexo]:[Sexo]]=$B41,IF(DATOS_[[AGRUP. CLAS. PROF.]:[AGRUP. CLAS. PROF.]]=$B39,IF(DATOS_[[Check Periodo Ref.]:[Check Periodo Ref.]]="Dentro",IF(DATOS_[[Check Equiparado]:[Check Equiparado]]="Sí",IF(DATOS!AQ$5="Sí",(1/DATOS_[[% anualiz]:[% anualiz]]),1)*IF(DATOS!AQ$4="Sí",1/DATOS_[[% normaliz]:[% normaliz]],1)*(DATOS_[Conc.Sal.13])))))))),
0)</f>
        <v>0</v>
      </c>
      <c r="W41" s="196">
        <f t="array" ref="W41">IFERROR(
(AVERAGE((IF(DATOS_[[Sexo]:[Sexo]]=$B41,IF(DATOS_[[AGRUP. CLAS. PROF.]:[AGRUP. CLAS. PROF.]]=$B39,IF(DATOS_[[Check Periodo Ref.]:[Check Periodo Ref.]]="Dentro",IF(DATOS_[[Check Equiparado]:[Check Equiparado]]="Sí",IF(DATOS!AR$5="Sí",(1/DATOS_[[% anualiz]:[% anualiz]]),1)*IF(DATOS!AR$4="Sí",1/DATOS_[[% normaliz]:[% normaliz]],1)*(DATOS_[Conc.Sal.14])))))))),
0)</f>
        <v>0</v>
      </c>
      <c r="X41" s="196">
        <f t="array" ref="X41">IFERROR(
(AVERAGE((IF(DATOS_[[Sexo]:[Sexo]]=$B41,IF(DATOS_[[AGRUP. CLAS. PROF.]:[AGRUP. CLAS. PROF.]]=$B39,IF(DATOS_[[Check Periodo Ref.]:[Check Periodo Ref.]]="Dentro",IF(DATOS_[[Check Equiparado]:[Check Equiparado]]="Sí",IF(DATOS!AS$5="Sí",(1/DATOS_[[% anualiz]:[% anualiz]]),1)*IF(DATOS!AS$4="Sí",1/DATOS_[[% normaliz]:[% normaliz]],1)*(DATOS_[Conc.Sal.15])))))))),
0)</f>
        <v>0</v>
      </c>
      <c r="Y41" s="196">
        <f t="array" ref="Y41">IFERROR(
(AVERAGE((IF(DATOS_[[Sexo]:[Sexo]]=$B41,IF(DATOS_[[AGRUP. CLAS. PROF.]:[AGRUP. CLAS. PROF.]]=$B39,IF(DATOS_[[Check Periodo Ref.]:[Check Periodo Ref.]]="Dentro",IF(DATOS_[[Check Equiparado]:[Check Equiparado]]="Sí",IF(DATOS!AT$5="Sí",(1/DATOS_[[% anualiz]:[% anualiz]]),1)*IF(DATOS!AT$4="Sí",1/DATOS_[[% normaliz]:[% normaliz]],1)*(DATOS_[Conc.Sal.16])))))))),
0)</f>
        <v>0</v>
      </c>
      <c r="Z41" s="196">
        <f t="array" ref="Z41">IFERROR(
(AVERAGE((IF(DATOS_[[Sexo]:[Sexo]]=$B41,IF(DATOS_[[AGRUP. CLAS. PROF.]:[AGRUP. CLAS. PROF.]]=$B39,IF(DATOS_[[Check Periodo Ref.]:[Check Periodo Ref.]]="Dentro",IF(DATOS_[[Check Equiparado]:[Check Equiparado]]="Sí",IF(DATOS!AU$5="Sí",(1/DATOS_[[% anualiz]:[% anualiz]]),1)*IF(DATOS!AU$4="Sí",1/DATOS_[[% normaliz]:[% normaliz]],1)*(DATOS_[Conc.Sal.17])))))))),
0)</f>
        <v>0</v>
      </c>
      <c r="AA41" s="196">
        <f t="array" ref="AA41">IFERROR(
(AVERAGE((IF(DATOS_[[Sexo]:[Sexo]]=$B41,IF(DATOS_[[AGRUP. CLAS. PROF.]:[AGRUP. CLAS. PROF.]]=$B39,IF(DATOS_[[Check Periodo Ref.]:[Check Periodo Ref.]]="Dentro",IF(DATOS_[[Check Equiparado]:[Check Equiparado]]="Sí",IF(DATOS!AV$5="Sí",(1/DATOS_[[% anualiz]:[% anualiz]]),1)*IF(DATOS!AV$4="Sí",1/DATOS_[[% normaliz]:[% normaliz]],1)*(DATOS_[Conc.Sal.18])))))))),
0)</f>
        <v>0</v>
      </c>
      <c r="AB41" s="196">
        <f t="array" ref="AB41">IFERROR(
(AVERAGE((IF(DATOS_[[Sexo]:[Sexo]]=$B41,IF(DATOS_[[AGRUP. CLAS. PROF.]:[AGRUP. CLAS. PROF.]]=$B39,IF(DATOS_[[Check Periodo Ref.]:[Check Periodo Ref.]]="Dentro",IF(DATOS_[[Check Equiparado]:[Check Equiparado]]="Sí",IF(DATOS!AW$5="Sí",(1/DATOS_[[% anualiz]:[% anualiz]]),1)*IF(DATOS!AW$4="Sí",1/DATOS_[[% normaliz]:[% normaliz]],1)*(DATOS_[Conc.Sal.19])))))))),
0)</f>
        <v>0</v>
      </c>
      <c r="AC41" s="196">
        <f t="array" ref="AC41">IFERROR(
(AVERAGE((IF(DATOS_[[Sexo]:[Sexo]]=$B41,IF(DATOS_[[AGRUP. CLAS. PROF.]:[AGRUP. CLAS. PROF.]]=$B39,IF(DATOS_[[Check Periodo Ref.]:[Check Periodo Ref.]]="Dentro",IF(DATOS_[[Check Equiparado]:[Check Equiparado]]="Sí",IF(DATOS!AX$5="Sí",(1/DATOS_[[% anualiz]:[% anualiz]]),1)*IF(DATOS!AX$4="Sí",1/DATOS_[[% normaliz]:[% normaliz]],1)*(DATOS_[Conc.Sal.20])))))))),
0)</f>
        <v>0</v>
      </c>
      <c r="AD41" s="196">
        <f t="array" ref="AD41">IFERROR(
(AVERAGE((IF(DATOS_[[Sexo]:[Sexo]]=$B41,IF(DATOS_[[AGRUP. CLAS. PROF.]:[AGRUP. CLAS. PROF.]]=$B39,IF(DATOS_[[Check Periodo Ref.]:[Check Periodo Ref.]]="Dentro",IF(DATOS_[[Check Equiparado]:[Check Equiparado]]="Sí",IF(DATOS!AY$5="Sí",(1/DATOS_[[% anualiz]:[% anualiz]]),1)*IF(DATOS!AY$4="Sí",1/DATOS_[[% normaliz]:[% normaliz]],1)*(DATOS_[Conc.Sal.21])))))))),
0)</f>
        <v>0</v>
      </c>
      <c r="AE41" s="196">
        <f t="array" ref="AE41">IFERROR(
(AVERAGE((IF(DATOS_[[Sexo]:[Sexo]]=$B41,IF(DATOS_[[AGRUP. CLAS. PROF.]:[AGRUP. CLAS. PROF.]]=$B39,IF(DATOS_[[Check Periodo Ref.]:[Check Periodo Ref.]]="Dentro",IF(DATOS_[[Check Equiparado]:[Check Equiparado]]="Sí",IF(DATOS!AZ$5="Sí",(1/DATOS_[[% anualiz]:[% anualiz]]),1)*IF(DATOS!AZ$4="Sí",1/DATOS_[[% normaliz]:[% normaliz]],1)*(DATOS_[Conc.Sal.22])))))))),
0)</f>
        <v>0</v>
      </c>
      <c r="AF41" s="196">
        <f t="array" ref="AF41">IFERROR(
(AVERAGE((IF(DATOS_[[Sexo]:[Sexo]]=$B41,IF(DATOS_[[AGRUP. CLAS. PROF.]:[AGRUP. CLAS. PROF.]]=$B39,IF(DATOS_[[Check Periodo Ref.]:[Check Periodo Ref.]]="Dentro",IF(DATOS_[[Check Equiparado]:[Check Equiparado]]="Sí",IF(DATOS!BA$5="Sí",(1/DATOS_[[% anualiz]:[% anualiz]]),1)*IF(DATOS!BA$4="Sí",1/DATOS_[[% normaliz]:[% normaliz]],1)*(DATOS_[Conc.Sal.23])))))))),
0)</f>
        <v>0</v>
      </c>
      <c r="AG41" s="196">
        <f t="array" ref="AG41">IFERROR(
(AVERAGE((IF(DATOS_[[Sexo]:[Sexo]]=$B41,IF(DATOS_[[AGRUP. CLAS. PROF.]:[AGRUP. CLAS. PROF.]]=$B39,IF(DATOS_[[Check Periodo Ref.]:[Check Periodo Ref.]]="Dentro",IF(DATOS_[[Check Equiparado]:[Check Equiparado]]="Sí",IF(DATOS!BB$5="Sí",(1/DATOS_[[% anualiz]:[% anualiz]]),1)*IF(DATOS!BB$4="Sí",1/DATOS_[[% normaliz]:[% normaliz]],1)*(DATOS_[Conc.Sal.24])))))))),
0)</f>
        <v>0</v>
      </c>
      <c r="AH41" s="196">
        <f t="array" ref="AH41">IFERROR(
(AVERAGE((IF(DATOS_[[Sexo]:[Sexo]]=$B41,IF(DATOS_[[AGRUP. CLAS. PROF.]:[AGRUP. CLAS. PROF.]]=$B39,IF(DATOS_[[Check Periodo Ref.]:[Check Periodo Ref.]]="Dentro",IF(DATOS_[[Check Equiparado]:[Check Equiparado]]="Sí",IF(DATOS!BC$5="Sí",(1/DATOS_[[% anualiz]:[% anualiz]]),1)*IF(DATOS!BC$4="Sí",1/DATOS_[[% normaliz]:[% normaliz]],1)*(DATOS_[Conc.Sal.25])))))))),
0)</f>
        <v>0</v>
      </c>
      <c r="AI41" s="196">
        <f t="array" ref="AI41">IFERROR(
(AVERAGE((IF(DATOS_[[Sexo]:[Sexo]]=$B41,IF(DATOS_[[AGRUP. CLAS. PROF.]:[AGRUP. CLAS. PROF.]]=$B39,IF(DATOS_[[Check Periodo Ref.]:[Check Periodo Ref.]]="Dentro",IF(DATOS_[[Check Equiparado]:[Check Equiparado]]="Sí",IF(DATOS!BD$5="Sí",(1/DATOS_[[% anualiz]:[% anualiz]]),1)*IF(DATOS!BD$4="Sí",1/DATOS_[[% normaliz]:[% normaliz]],1)*(DATOS_[Conc.Sal.26])))))))),
0)</f>
        <v>0</v>
      </c>
      <c r="AJ41" s="196">
        <f t="array" ref="AJ41">IFERROR(
(AVERAGE((IF(DATOS_[[Sexo]:[Sexo]]=$B41,IF(DATOS_[[AGRUP. CLAS. PROF.]:[AGRUP. CLAS. PROF.]]=$B39,IF(DATOS_[[Check Periodo Ref.]:[Check Periodo Ref.]]="Dentro",IF(DATOS_[[Check Equiparado]:[Check Equiparado]]="Sí",IF(DATOS!BE$5="Sí",(1/DATOS_[[% anualiz]:[% anualiz]]),1)*IF(DATOS!BE$4="Sí",1/DATOS_[[% normaliz]:[% normaliz]],1)*(DATOS_[Conc.Sal.27])))))))),
0)</f>
        <v>0</v>
      </c>
      <c r="AK41" s="196">
        <f t="array" ref="AK41">IFERROR(
(AVERAGE((IF(DATOS_[[Sexo]:[Sexo]]=$B41,IF(DATOS_[[AGRUP. CLAS. PROF.]:[AGRUP. CLAS. PROF.]]=$B39,IF(DATOS_[[Check Periodo Ref.]:[Check Periodo Ref.]]="Dentro",IF(DATOS_[[Check Equiparado]:[Check Equiparado]]="Sí",IF(DATOS!BF$5="Sí",(1/DATOS_[[% anualiz]:[% anualiz]]),1)*IF(DATOS!BF$4="Sí",1/DATOS_[[% normaliz]:[% normaliz]],1)*(DATOS_[Conc.Sal.28])))))))),
0)</f>
        <v>0</v>
      </c>
      <c r="AL41" s="196">
        <f t="array" ref="AL41">IFERROR(
(AVERAGE((IF(DATOS_[[Sexo]:[Sexo]]=$B41,IF(DATOS_[[AGRUP. CLAS. PROF.]:[AGRUP. CLAS. PROF.]]=$B39,IF(DATOS_[[Check Periodo Ref.]:[Check Periodo Ref.]]="Dentro",IF(DATOS_[[Check Equiparado]:[Check Equiparado]]="Sí",IF(DATOS!BG$5="Sí",(1/DATOS_[[% anualiz]:[% anualiz]]),1)*IF(DATOS!BG$4="Sí",1/DATOS_[[% normaliz]:[% normaliz]],1)*(DATOS_[Conc.Sal.29])))))))),
0)</f>
        <v>0</v>
      </c>
      <c r="AM41" s="196">
        <f t="array" ref="AM41">IFERROR(
(AVERAGE((IF(DATOS_[[Sexo]:[Sexo]]=$B41,IF(DATOS_[[AGRUP. CLAS. PROF.]:[AGRUP. CLAS. PROF.]]=$B39,IF(DATOS_[[Check Periodo Ref.]:[Check Periodo Ref.]]="Dentro",IF(DATOS_[[Check Equiparado]:[Check Equiparado]]="Sí",IF(DATOS!BH$5="Sí",(1/DATOS_[[% anualiz]:[% anualiz]]),1)*IF(DATOS!BH$4="Sí",1/DATOS_[[% normaliz]:[% normaliz]],1)*(DATOS_[Conc.Sal.30])))))))),
0)</f>
        <v>0</v>
      </c>
      <c r="AN41" s="195">
        <f t="array" ref="AN41">IFERROR(
AVERAGE(IF(DATOS_[Sexo]=$B41,IF(DATOS_[[AGRUP. CLAS. PROF.]:[AGRUP. CLAS. PROF.]]=$B39,IF(DATOS_[Check Equiparado]="Sí",IF(DATOS_[Check Periodo Ref.]="Dentro",DATOS_[Tot COMPL.SAL Eq],FALSE))))),
0)</f>
        <v>0</v>
      </c>
      <c r="AO41" s="172">
        <f t="array" ref="AO41">IFERROR(
AVERAGE(IF(DATOS_[Sexo]=$B41,IF(DATOS_[[AGRUP. CLAS. PROF.]:[AGRUP. CLAS. PROF.]]=$B39,IF(DATOS_[Check Equiparado]="Sí",IF(DATOS_[Check Periodo Ref.]="Dentro",DATOS_[TOTAL SALARIO Eq],FALSE))))),
0)</f>
        <v>0</v>
      </c>
      <c r="AP41" s="173">
        <f t="array" ref="AP41">IFERROR(
(AVERAGE((IF(DATOS_[[Sexo]:[Sexo]]=$B41,IF(DATOS_[[AGRUP. CLAS. PROF.]:[AGRUP. CLAS. PROF.]]=$B39,IF(DATOS_[[Check Periodo Ref.]:[Check Periodo Ref.]]="Dentro",IF(DATOS_[[Check Equiparado]:[Check Equiparado]]="Sí",IF(DATOS!BW$5="Sí",(1/DATOS_[[% anualiz]:[% anualiz]]),1)*IF(DATOS!BW$4="Sí",1/DATOS_[[% normaliz]:[% normaliz]],1)*(DATOS_[C.Extra.01])))))))),
0)</f>
        <v>0</v>
      </c>
      <c r="AQ41" s="173">
        <f t="array" ref="AQ41">IFERROR(
(AVERAGE((IF(DATOS_[[Sexo]:[Sexo]]=$B41,IF(DATOS_[[AGRUP. CLAS. PROF.]:[AGRUP. CLAS. PROF.]]=$B39,IF(DATOS_[[Check Periodo Ref.]:[Check Periodo Ref.]]="Dentro",IF(DATOS_[[Check Equiparado]:[Check Equiparado]]="Sí",IF(DATOS!CB$5="Sí",(1/DATOS_[[% anualiz]:[% anualiz]]),1)*IF(DATOS!CB$4="Sí",1/DATOS_[[% normaliz]:[% normaliz]],1)*(DATOS_[C.Extra.06])))))))),
0)</f>
        <v>0</v>
      </c>
      <c r="AR41" s="173">
        <f t="array" ref="AR41">IFERROR(
(AVERAGE((IF(DATOS_[[Sexo]:[Sexo]]=$B41,IF(DATOS_[[AGRUP. CLAS. PROF.]:[AGRUP. CLAS. PROF.]]=$B39,IF(DATOS_[[Check Periodo Ref.]:[Check Periodo Ref.]]="Dentro",IF(DATOS_[[Check Equiparado]:[Check Equiparado]]="Sí",IF(DATOS!CC$5="Sí",(1/DATOS_[[% anualiz]:[% anualiz]]),1)*IF(DATOS!CC$4="Sí",1/DATOS_[[% normaliz]:[% normaliz]],1)*(DATOS_[C.Extra.07])))))))),
0)</f>
        <v>0</v>
      </c>
      <c r="AS41" s="173">
        <f t="array" ref="AS41">IFERROR(
(AVERAGE((IF(DATOS_[[Sexo]:[Sexo]]=$B41,IF(DATOS_[[AGRUP. CLAS. PROF.]:[AGRUP. CLAS. PROF.]]=$B39,IF(DATOS_[[Check Periodo Ref.]:[Check Periodo Ref.]]="Dentro",IF(DATOS_[[Check Equiparado]:[Check Equiparado]]="Sí",IF(DATOS!CD$5="Sí",(1/DATOS_[[% anualiz]:[% anualiz]]),1)*IF(DATOS!CD$4="Sí",1/DATOS_[[% normaliz]:[% normaliz]],1)*(DATOS_[C.Extra.08])))))))),
0)</f>
        <v>0</v>
      </c>
      <c r="AT41" s="173">
        <f t="array" ref="AT41">IFERROR(
(AVERAGE((IF(DATOS_[[Sexo]:[Sexo]]=$B41,IF(DATOS_[[AGRUP. CLAS. PROF.]:[AGRUP. CLAS. PROF.]]=$B39,IF(DATOS_[[Check Periodo Ref.]:[Check Periodo Ref.]]="Dentro",IF(DATOS_[[Check Equiparado]:[Check Equiparado]]="Sí",IF(DATOS!CG$5="Sí",(1/DATOS_[[% anualiz]:[% anualiz]]),1)*IF(DATOS!CG$4="Sí",1/DATOS_[[% normaliz]:[% normaliz]],1)*(DATOS_[C.Extra.11])))))))),
0)</f>
        <v>0</v>
      </c>
      <c r="AU41" s="197">
        <f t="array" ref="AU41">IFERROR(
AVERAGE(IF(DATOS_[Sexo]=$B41,IF(DATOS_[[AGRUP. CLAS. PROF.]:[AGRUP. CLAS. PROF.]]=$B39,IF(DATOS_[Check Equiparado]="Sí",IF(DATOS_[Check Periodo Ref.]="Dentro",DATOS_[Tot Extrasalarial Eq],FALSE))))),
0)</f>
        <v>0</v>
      </c>
      <c r="AV41" s="175">
        <f t="array" ref="AV41">IFERROR(
AVERAGE(IF(DATOS_[Sexo]=$B41,IF(DATOS_[[AGRUP. CLAS. PROF.]:[AGRUP. CLAS. PROF.]]=$B39,IF(DATOS_[Check Equiparado]="Sí",IF(DATOS_[Check Periodo Ref.]="Dentro",DATOS_[TOTAL Retrib Eq],FALSE))))),
0)</f>
        <v>0</v>
      </c>
    </row>
    <row r="42" spans="1:48" ht="15.6" hidden="1" thickBot="1" x14ac:dyDescent="0.3">
      <c r="A42" s="133" t="str">
        <f t="shared" ref="A42" si="39">+A43</f>
        <v>[ocultar]</v>
      </c>
      <c r="B42" s="199" t="s">
        <v>213</v>
      </c>
      <c r="C42" s="200"/>
      <c r="D42" s="201"/>
      <c r="E42" s="201"/>
      <c r="F42" s="201"/>
      <c r="G42" s="201"/>
      <c r="H42" s="201"/>
      <c r="I42" s="189" t="str">
        <f t="shared" ref="I42:AV42" si="40">IFERROR((I43-I44)/I43,"")</f>
        <v/>
      </c>
      <c r="J42" s="190" t="str">
        <f t="shared" si="40"/>
        <v/>
      </c>
      <c r="K42" s="191" t="str">
        <f t="shared" si="40"/>
        <v/>
      </c>
      <c r="L42" s="191" t="str">
        <f t="shared" si="40"/>
        <v/>
      </c>
      <c r="M42" s="191" t="str">
        <f t="shared" si="40"/>
        <v/>
      </c>
      <c r="N42" s="192" t="str">
        <f t="shared" si="40"/>
        <v/>
      </c>
      <c r="O42" s="193" t="str">
        <f t="shared" si="40"/>
        <v/>
      </c>
      <c r="P42" s="193" t="str">
        <f t="shared" si="40"/>
        <v/>
      </c>
      <c r="Q42" s="193" t="str">
        <f t="shared" si="40"/>
        <v/>
      </c>
      <c r="R42" s="193" t="str">
        <f t="shared" si="40"/>
        <v/>
      </c>
      <c r="S42" s="193" t="str">
        <f t="shared" si="40"/>
        <v/>
      </c>
      <c r="T42" s="193" t="str">
        <f t="shared" si="40"/>
        <v/>
      </c>
      <c r="U42" s="193" t="str">
        <f t="shared" si="40"/>
        <v/>
      </c>
      <c r="V42" s="193" t="str">
        <f t="shared" si="40"/>
        <v/>
      </c>
      <c r="W42" s="193" t="str">
        <f t="shared" si="40"/>
        <v/>
      </c>
      <c r="X42" s="193" t="str">
        <f t="shared" si="40"/>
        <v/>
      </c>
      <c r="Y42" s="193" t="str">
        <f t="shared" si="40"/>
        <v/>
      </c>
      <c r="Z42" s="193" t="str">
        <f t="shared" si="40"/>
        <v/>
      </c>
      <c r="AA42" s="193" t="str">
        <f t="shared" si="40"/>
        <v/>
      </c>
      <c r="AB42" s="193" t="str">
        <f t="shared" si="40"/>
        <v/>
      </c>
      <c r="AC42" s="193" t="str">
        <f t="shared" si="40"/>
        <v/>
      </c>
      <c r="AD42" s="193" t="str">
        <f t="shared" si="40"/>
        <v/>
      </c>
      <c r="AE42" s="193" t="str">
        <f t="shared" si="40"/>
        <v/>
      </c>
      <c r="AF42" s="193" t="str">
        <f t="shared" si="40"/>
        <v/>
      </c>
      <c r="AG42" s="193" t="str">
        <f t="shared" si="40"/>
        <v/>
      </c>
      <c r="AH42" s="193" t="str">
        <f t="shared" si="40"/>
        <v/>
      </c>
      <c r="AI42" s="193" t="str">
        <f t="shared" si="40"/>
        <v/>
      </c>
      <c r="AJ42" s="193" t="str">
        <f t="shared" si="40"/>
        <v/>
      </c>
      <c r="AK42" s="193" t="str">
        <f t="shared" si="40"/>
        <v/>
      </c>
      <c r="AL42" s="193" t="str">
        <f t="shared" si="40"/>
        <v/>
      </c>
      <c r="AM42" s="193" t="str">
        <f t="shared" si="40"/>
        <v/>
      </c>
      <c r="AN42" s="189" t="str">
        <f t="shared" si="40"/>
        <v/>
      </c>
      <c r="AO42" s="162" t="str">
        <f t="shared" si="40"/>
        <v/>
      </c>
      <c r="AP42" s="163" t="str">
        <f t="shared" si="40"/>
        <v/>
      </c>
      <c r="AQ42" s="163" t="str">
        <f t="shared" si="40"/>
        <v/>
      </c>
      <c r="AR42" s="163" t="str">
        <f t="shared" si="40"/>
        <v/>
      </c>
      <c r="AS42" s="163" t="str">
        <f t="shared" si="40"/>
        <v/>
      </c>
      <c r="AT42" s="163" t="str">
        <f t="shared" si="40"/>
        <v/>
      </c>
      <c r="AU42" s="194" t="str">
        <f t="shared" si="40"/>
        <v/>
      </c>
      <c r="AV42" s="165" t="str">
        <f t="shared" si="40"/>
        <v/>
      </c>
    </row>
    <row r="43" spans="1:48" hidden="1" x14ac:dyDescent="0.25">
      <c r="A43" s="133" t="str">
        <f t="shared" ref="A43" si="41">+IF(C43+C44=0,"[ocultar]","")</f>
        <v>[ocultar]</v>
      </c>
      <c r="B43" s="202" t="s">
        <v>394</v>
      </c>
      <c r="C43" s="203">
        <f t="array" ref="C43">SUM(IF($B43=DATOS_[Sexo],
IF($B42=DATOS_[AGRUP. CLAS. PROF.],
IF("Dentro"=DATOS_[Check Periodo Ref.],
1/(COUNTIFS(DATOS_[Sexo],$B43,DATOS_[AGRUP. CLAS. PROF.],$B42,DATOS_[Check Periodo Ref.],"Dentro",DATOS_[id/cod],DATOS_[id/cod]))))))</f>
        <v>0</v>
      </c>
      <c r="D43" s="204">
        <f>COUNTIFS(DATOS_[AGRUP. CLAS. PROF.],$B42,DATOS_[Sexo],$B43,DATOS_[Check Periodo Ref.],"Dentro")</f>
        <v>0</v>
      </c>
      <c r="E43" s="204">
        <f>COUNTIFS(DATOS_[AGRUP. CLAS. PROF.],$B42,DATOS_[Sexo],$B43,DATOS_[Check Periodo Ref.],"Dentro",DATOS_[Check Nº SC Norm],"Sí")</f>
        <v>0</v>
      </c>
      <c r="F43" s="204">
        <f>COUNTIFS(DATOS_[AGRUP. CLAS. PROF.],$B42,DATOS_[Sexo],$B43,DATOS_[Check Periodo Ref.],"Dentro",DATOS_[Check Nº SC Anualiz],"Sí")</f>
        <v>0</v>
      </c>
      <c r="G43" s="204">
        <f>COUNTIFS(DATOS_[AGRUP. CLAS. PROF.],$B42,DATOS_[Sexo],$B43,DATOS_[Check Periodo Ref.],"Dentro",DATOS_[Check Nº SC Norm y Anualiz],"Sí")</f>
        <v>0</v>
      </c>
      <c r="H43" s="204">
        <f>COUNTIFS(DATOS_[AGRUP. CLAS. PROF.],$B42,DATOS_[Sexo],$B43,DATOS_[Check Periodo Ref.],"Dentro",DATOS_[Check Equiparación],"Sí")</f>
        <v>0</v>
      </c>
      <c r="I43" s="195">
        <f t="array" ref="I43">IFERROR(
AVERAGE(IF(DATOS_[Sexo]=$B43,IF(DATOS_[[AGRUP. CLAS. PROF.]:[AGRUP. CLAS. PROF.]]=$B42,IF(DATOS_[Check Equiparado]="Sí",IF(DATOS_[Check Periodo Ref.]="Dentro",DATOS_[SALARIO BASE Eq],FALSE))))),
0)</f>
        <v>0</v>
      </c>
      <c r="J43" s="196">
        <f t="array" ref="J43">IFERROR(
(AVERAGE((IF(DATOS_[[Sexo]:[Sexo]]=$B43,IF(DATOS_[[AGRUP. CLAS. PROF.]:[AGRUP. CLAS. PROF.]]=$B42,IF(DATOS_[[Check Periodo Ref.]:[Check Periodo Ref.]]="Dentro",IF(DATOS_[[Check Equiparado]:[Check Equiparado]]="Sí",IF(DATOS!AE$5="Sí",(1/DATOS_[[% anualiz]:[% anualiz]]),1)*IF(DATOS!AE$4="Sí",1/DATOS_[[% normaliz]:[% normaliz]],1)*(DATOS_[Conc.Sal.01])))))))),
0)</f>
        <v>0</v>
      </c>
      <c r="K43" s="196">
        <f t="array" ref="K43">IFERROR(
(AVERAGE((IF(DATOS_[[Sexo]:[Sexo]]=$B43,IF(DATOS_[[AGRUP. CLAS. PROF.]:[AGRUP. CLAS. PROF.]]=$B42,IF(DATOS_[[Check Periodo Ref.]:[Check Periodo Ref.]]="Dentro",IF(DATOS_[[Check Equiparado]:[Check Equiparado]]="Sí",IF(DATOS!AF$5="Sí",(1/DATOS_[[% anualiz]:[% anualiz]]),1)*IF(DATOS!AF$4="Sí",1/DATOS_[[% normaliz]:[% normaliz]],1)*(DATOS_[Conc.Sal.02])))))))),
0)</f>
        <v>0</v>
      </c>
      <c r="L43" s="196">
        <f t="array" ref="L43">IFERROR(
(AVERAGE((IF(DATOS_[[Sexo]:[Sexo]]=$B43,IF(DATOS_[[AGRUP. CLAS. PROF.]:[AGRUP. CLAS. PROF.]]=$B42,IF(DATOS_[[Check Periodo Ref.]:[Check Periodo Ref.]]="Dentro",IF(DATOS_[[Check Equiparado]:[Check Equiparado]]="Sí",IF(DATOS!AG$5="Sí",(1/DATOS_[[% anualiz]:[% anualiz]]),1)*IF(DATOS!AG$4="Sí",1/DATOS_[[% normaliz]:[% normaliz]],1)*(DATOS_[Conc.Sal.03])))))))),
0)</f>
        <v>0</v>
      </c>
      <c r="M43" s="196">
        <f t="array" ref="M43">IFERROR(
(AVERAGE((IF(DATOS_[[Sexo]:[Sexo]]=$B43,IF(DATOS_[[AGRUP. CLAS. PROF.]:[AGRUP. CLAS. PROF.]]=$B42,IF(DATOS_[[Check Periodo Ref.]:[Check Periodo Ref.]]="Dentro",IF(DATOS_[[Check Equiparado]:[Check Equiparado]]="Sí",IF(DATOS!AH$5="Sí",(1/DATOS_[[% anualiz]:[% anualiz]]),1)*IF(DATOS!AH$4="Sí",1/DATOS_[[% normaliz]:[% normaliz]],1)*(DATOS_[Conc.Sal.04])))))))),
0)</f>
        <v>0</v>
      </c>
      <c r="N43" s="196">
        <f t="array" ref="N43">IFERROR(
(AVERAGE((IF(DATOS_[[Sexo]:[Sexo]]=$B43,IF(DATOS_[[AGRUP. CLAS. PROF.]:[AGRUP. CLAS. PROF.]]=$B42,IF(DATOS_[[Check Periodo Ref.]:[Check Periodo Ref.]]="Dentro",IF(DATOS_[[Check Equiparado]:[Check Equiparado]]="Sí",IF(DATOS!AI$5="Sí",(1/DATOS_[[% anualiz]:[% anualiz]]),1)*IF(DATOS!AI$4="Sí",1/DATOS_[[% normaliz]:[% normaliz]],1)*(DATOS_[Conc.Sal.05])))))))),
0)</f>
        <v>0</v>
      </c>
      <c r="O43" s="196">
        <f t="array" ref="O43">IFERROR(
(AVERAGE((IF(DATOS_[[Sexo]:[Sexo]]=$B43,IF(DATOS_[[AGRUP. CLAS. PROF.]:[AGRUP. CLAS. PROF.]]=$B42,IF(DATOS_[[Check Periodo Ref.]:[Check Periodo Ref.]]="Dentro",IF(DATOS_[[Check Equiparado]:[Check Equiparado]]="Sí",IF(DATOS!AJ$5="Sí",(1/DATOS_[[% anualiz]:[% anualiz]]),1)*IF(DATOS!AJ$4="Sí",1/DATOS_[[% normaliz]:[% normaliz]],1)*(DATOS_[Conc.Sal.06])))))))),
0)</f>
        <v>0</v>
      </c>
      <c r="P43" s="196">
        <f t="array" ref="P43">IFERROR(
(AVERAGE((IF(DATOS_[[Sexo]:[Sexo]]=$B43,IF(DATOS_[[AGRUP. CLAS. PROF.]:[AGRUP. CLAS. PROF.]]=$B42,IF(DATOS_[[Check Periodo Ref.]:[Check Periodo Ref.]]="Dentro",IF(DATOS_[[Check Equiparado]:[Check Equiparado]]="Sí",IF(DATOS!AK$5="Sí",(1/DATOS_[[% anualiz]:[% anualiz]]),1)*IF(DATOS!AK$4="Sí",1/DATOS_[[% normaliz]:[% normaliz]],1)*(DATOS_[Conc.Sal.07])))))))),
0)</f>
        <v>0</v>
      </c>
      <c r="Q43" s="196">
        <f t="array" ref="Q43">IFERROR(
(AVERAGE((IF(DATOS_[[Sexo]:[Sexo]]=$B43,IF(DATOS_[[AGRUP. CLAS. PROF.]:[AGRUP. CLAS. PROF.]]=$B42,IF(DATOS_[[Check Periodo Ref.]:[Check Periodo Ref.]]="Dentro",IF(DATOS_[[Check Equiparado]:[Check Equiparado]]="Sí",IF(DATOS!AL$5="Sí",(1/DATOS_[[% anualiz]:[% anualiz]]),1)*IF(DATOS!AL$4="Sí",1/DATOS_[[% normaliz]:[% normaliz]],1)*(DATOS_[Conc.Sal.08])))))))),
0)</f>
        <v>0</v>
      </c>
      <c r="R43" s="196">
        <f t="array" ref="R43">IFERROR(
(AVERAGE((IF(DATOS_[[Sexo]:[Sexo]]=$B43,IF(DATOS_[[AGRUP. CLAS. PROF.]:[AGRUP. CLAS. PROF.]]=$B42,IF(DATOS_[[Check Periodo Ref.]:[Check Periodo Ref.]]="Dentro",IF(DATOS_[[Check Equiparado]:[Check Equiparado]]="Sí",IF(DATOS!AM$5="Sí",(1/DATOS_[[% anualiz]:[% anualiz]]),1)*IF(DATOS!AM$4="Sí",1/DATOS_[[% normaliz]:[% normaliz]],1)*(DATOS_[Conc.Sal.09])))))))),
0)</f>
        <v>0</v>
      </c>
      <c r="S43" s="196">
        <f t="array" ref="S43">IFERROR(
(AVERAGE((IF(DATOS_[[Sexo]:[Sexo]]=$B43,IF(DATOS_[[AGRUP. CLAS. PROF.]:[AGRUP. CLAS. PROF.]]=$B42,IF(DATOS_[[Check Periodo Ref.]:[Check Periodo Ref.]]="Dentro",IF(DATOS_[[Check Equiparado]:[Check Equiparado]]="Sí",IF(DATOS!AN$5="Sí",(1/DATOS_[[% anualiz]:[% anualiz]]),1)*IF(DATOS!AN$4="Sí",1/DATOS_[[% normaliz]:[% normaliz]],1)*(DATOS_[Conc.Sal.10])))))))),
0)</f>
        <v>0</v>
      </c>
      <c r="T43" s="196">
        <f t="array" ref="T43">IFERROR(
(AVERAGE((IF(DATOS_[[Sexo]:[Sexo]]=$B43,IF(DATOS_[[AGRUP. CLAS. PROF.]:[AGRUP. CLAS. PROF.]]=$B42,IF(DATOS_[[Check Periodo Ref.]:[Check Periodo Ref.]]="Dentro",IF(DATOS_[[Check Equiparado]:[Check Equiparado]]="Sí",IF(DATOS!AO$5="Sí",(1/DATOS_[[% anualiz]:[% anualiz]]),1)*IF(DATOS!AO$4="Sí",1/DATOS_[[% normaliz]:[% normaliz]],1)*(DATOS_[Conc.Sal.11])))))))),
0)</f>
        <v>0</v>
      </c>
      <c r="U43" s="196">
        <f t="array" ref="U43">IFERROR(
(AVERAGE((IF(DATOS_[[Sexo]:[Sexo]]=$B43,IF(DATOS_[[AGRUP. CLAS. PROF.]:[AGRUP. CLAS. PROF.]]=$B42,IF(DATOS_[[Check Periodo Ref.]:[Check Periodo Ref.]]="Dentro",IF(DATOS_[[Check Equiparado]:[Check Equiparado]]="Sí",IF(DATOS!AP$5="Sí",(1/DATOS_[[% anualiz]:[% anualiz]]),1)*IF(DATOS!AP$4="Sí",1/DATOS_[[% normaliz]:[% normaliz]],1)*(DATOS_[Conc.Sal.12])))))))),
0)</f>
        <v>0</v>
      </c>
      <c r="V43" s="196">
        <f t="array" ref="V43">IFERROR(
(AVERAGE((IF(DATOS_[[Sexo]:[Sexo]]=$B43,IF(DATOS_[[AGRUP. CLAS. PROF.]:[AGRUP. CLAS. PROF.]]=$B42,IF(DATOS_[[Check Periodo Ref.]:[Check Periodo Ref.]]="Dentro",IF(DATOS_[[Check Equiparado]:[Check Equiparado]]="Sí",IF(DATOS!AQ$5="Sí",(1/DATOS_[[% anualiz]:[% anualiz]]),1)*IF(DATOS!AQ$4="Sí",1/DATOS_[[% normaliz]:[% normaliz]],1)*(DATOS_[Conc.Sal.13])))))))),
0)</f>
        <v>0</v>
      </c>
      <c r="W43" s="196">
        <f t="array" ref="W43">IFERROR(
(AVERAGE((IF(DATOS_[[Sexo]:[Sexo]]=$B43,IF(DATOS_[[AGRUP. CLAS. PROF.]:[AGRUP. CLAS. PROF.]]=$B42,IF(DATOS_[[Check Periodo Ref.]:[Check Periodo Ref.]]="Dentro",IF(DATOS_[[Check Equiparado]:[Check Equiparado]]="Sí",IF(DATOS!AR$5="Sí",(1/DATOS_[[% anualiz]:[% anualiz]]),1)*IF(DATOS!AR$4="Sí",1/DATOS_[[% normaliz]:[% normaliz]],1)*(DATOS_[Conc.Sal.14])))))))),
0)</f>
        <v>0</v>
      </c>
      <c r="X43" s="196">
        <f t="array" ref="X43">IFERROR(
(AVERAGE((IF(DATOS_[[Sexo]:[Sexo]]=$B43,IF(DATOS_[[AGRUP. CLAS. PROF.]:[AGRUP. CLAS. PROF.]]=$B42,IF(DATOS_[[Check Periodo Ref.]:[Check Periodo Ref.]]="Dentro",IF(DATOS_[[Check Equiparado]:[Check Equiparado]]="Sí",IF(DATOS!AS$5="Sí",(1/DATOS_[[% anualiz]:[% anualiz]]),1)*IF(DATOS!AS$4="Sí",1/DATOS_[[% normaliz]:[% normaliz]],1)*(DATOS_[Conc.Sal.15])))))))),
0)</f>
        <v>0</v>
      </c>
      <c r="Y43" s="196">
        <f t="array" ref="Y43">IFERROR(
(AVERAGE((IF(DATOS_[[Sexo]:[Sexo]]=$B43,IF(DATOS_[[AGRUP. CLAS. PROF.]:[AGRUP. CLAS. PROF.]]=$B42,IF(DATOS_[[Check Periodo Ref.]:[Check Periodo Ref.]]="Dentro",IF(DATOS_[[Check Equiparado]:[Check Equiparado]]="Sí",IF(DATOS!AT$5="Sí",(1/DATOS_[[% anualiz]:[% anualiz]]),1)*IF(DATOS!AT$4="Sí",1/DATOS_[[% normaliz]:[% normaliz]],1)*(DATOS_[Conc.Sal.16])))))))),
0)</f>
        <v>0</v>
      </c>
      <c r="Z43" s="196">
        <f t="array" ref="Z43">IFERROR(
(AVERAGE((IF(DATOS_[[Sexo]:[Sexo]]=$B43,IF(DATOS_[[AGRUP. CLAS. PROF.]:[AGRUP. CLAS. PROF.]]=$B42,IF(DATOS_[[Check Periodo Ref.]:[Check Periodo Ref.]]="Dentro",IF(DATOS_[[Check Equiparado]:[Check Equiparado]]="Sí",IF(DATOS!AU$5="Sí",(1/DATOS_[[% anualiz]:[% anualiz]]),1)*IF(DATOS!AU$4="Sí",1/DATOS_[[% normaliz]:[% normaliz]],1)*(DATOS_[Conc.Sal.17])))))))),
0)</f>
        <v>0</v>
      </c>
      <c r="AA43" s="196">
        <f t="array" ref="AA43">IFERROR(
(AVERAGE((IF(DATOS_[[Sexo]:[Sexo]]=$B43,IF(DATOS_[[AGRUP. CLAS. PROF.]:[AGRUP. CLAS. PROF.]]=$B42,IF(DATOS_[[Check Periodo Ref.]:[Check Periodo Ref.]]="Dentro",IF(DATOS_[[Check Equiparado]:[Check Equiparado]]="Sí",IF(DATOS!AV$5="Sí",(1/DATOS_[[% anualiz]:[% anualiz]]),1)*IF(DATOS!AV$4="Sí",1/DATOS_[[% normaliz]:[% normaliz]],1)*(DATOS_[Conc.Sal.18])))))))),
0)</f>
        <v>0</v>
      </c>
      <c r="AB43" s="196">
        <f t="array" ref="AB43">IFERROR(
(AVERAGE((IF(DATOS_[[Sexo]:[Sexo]]=$B43,IF(DATOS_[[AGRUP. CLAS. PROF.]:[AGRUP. CLAS. PROF.]]=$B42,IF(DATOS_[[Check Periodo Ref.]:[Check Periodo Ref.]]="Dentro",IF(DATOS_[[Check Equiparado]:[Check Equiparado]]="Sí",IF(DATOS!AW$5="Sí",(1/DATOS_[[% anualiz]:[% anualiz]]),1)*IF(DATOS!AW$4="Sí",1/DATOS_[[% normaliz]:[% normaliz]],1)*(DATOS_[Conc.Sal.19])))))))),
0)</f>
        <v>0</v>
      </c>
      <c r="AC43" s="196">
        <f t="array" ref="AC43">IFERROR(
(AVERAGE((IF(DATOS_[[Sexo]:[Sexo]]=$B43,IF(DATOS_[[AGRUP. CLAS. PROF.]:[AGRUP. CLAS. PROF.]]=$B42,IF(DATOS_[[Check Periodo Ref.]:[Check Periodo Ref.]]="Dentro",IF(DATOS_[[Check Equiparado]:[Check Equiparado]]="Sí",IF(DATOS!AX$5="Sí",(1/DATOS_[[% anualiz]:[% anualiz]]),1)*IF(DATOS!AX$4="Sí",1/DATOS_[[% normaliz]:[% normaliz]],1)*(DATOS_[Conc.Sal.20])))))))),
0)</f>
        <v>0</v>
      </c>
      <c r="AD43" s="196">
        <f t="array" ref="AD43">IFERROR(
(AVERAGE((IF(DATOS_[[Sexo]:[Sexo]]=$B43,IF(DATOS_[[AGRUP. CLAS. PROF.]:[AGRUP. CLAS. PROF.]]=$B42,IF(DATOS_[[Check Periodo Ref.]:[Check Periodo Ref.]]="Dentro",IF(DATOS_[[Check Equiparado]:[Check Equiparado]]="Sí",IF(DATOS!AY$5="Sí",(1/DATOS_[[% anualiz]:[% anualiz]]),1)*IF(DATOS!AY$4="Sí",1/DATOS_[[% normaliz]:[% normaliz]],1)*(DATOS_[Conc.Sal.21])))))))),
0)</f>
        <v>0</v>
      </c>
      <c r="AE43" s="196">
        <f t="array" ref="AE43">IFERROR(
(AVERAGE((IF(DATOS_[[Sexo]:[Sexo]]=$B43,IF(DATOS_[[AGRUP. CLAS. PROF.]:[AGRUP. CLAS. PROF.]]=$B42,IF(DATOS_[[Check Periodo Ref.]:[Check Periodo Ref.]]="Dentro",IF(DATOS_[[Check Equiparado]:[Check Equiparado]]="Sí",IF(DATOS!AZ$5="Sí",(1/DATOS_[[% anualiz]:[% anualiz]]),1)*IF(DATOS!AZ$4="Sí",1/DATOS_[[% normaliz]:[% normaliz]],1)*(DATOS_[Conc.Sal.22])))))))),
0)</f>
        <v>0</v>
      </c>
      <c r="AF43" s="196">
        <f t="array" ref="AF43">IFERROR(
(AVERAGE((IF(DATOS_[[Sexo]:[Sexo]]=$B43,IF(DATOS_[[AGRUP. CLAS. PROF.]:[AGRUP. CLAS. PROF.]]=$B42,IF(DATOS_[[Check Periodo Ref.]:[Check Periodo Ref.]]="Dentro",IF(DATOS_[[Check Equiparado]:[Check Equiparado]]="Sí",IF(DATOS!BA$5="Sí",(1/DATOS_[[% anualiz]:[% anualiz]]),1)*IF(DATOS!BA$4="Sí",1/DATOS_[[% normaliz]:[% normaliz]],1)*(DATOS_[Conc.Sal.23])))))))),
0)</f>
        <v>0</v>
      </c>
      <c r="AG43" s="196">
        <f t="array" ref="AG43">IFERROR(
(AVERAGE((IF(DATOS_[[Sexo]:[Sexo]]=$B43,IF(DATOS_[[AGRUP. CLAS. PROF.]:[AGRUP. CLAS. PROF.]]=$B42,IF(DATOS_[[Check Periodo Ref.]:[Check Periodo Ref.]]="Dentro",IF(DATOS_[[Check Equiparado]:[Check Equiparado]]="Sí",IF(DATOS!BB$5="Sí",(1/DATOS_[[% anualiz]:[% anualiz]]),1)*IF(DATOS!BB$4="Sí",1/DATOS_[[% normaliz]:[% normaliz]],1)*(DATOS_[Conc.Sal.24])))))))),
0)</f>
        <v>0</v>
      </c>
      <c r="AH43" s="196">
        <f t="array" ref="AH43">IFERROR(
(AVERAGE((IF(DATOS_[[Sexo]:[Sexo]]=$B43,IF(DATOS_[[AGRUP. CLAS. PROF.]:[AGRUP. CLAS. PROF.]]=$B42,IF(DATOS_[[Check Periodo Ref.]:[Check Periodo Ref.]]="Dentro",IF(DATOS_[[Check Equiparado]:[Check Equiparado]]="Sí",IF(DATOS!BC$5="Sí",(1/DATOS_[[% anualiz]:[% anualiz]]),1)*IF(DATOS!BC$4="Sí",1/DATOS_[[% normaliz]:[% normaliz]],1)*(DATOS_[Conc.Sal.25])))))))),
0)</f>
        <v>0</v>
      </c>
      <c r="AI43" s="196">
        <f t="array" ref="AI43">IFERROR(
(AVERAGE((IF(DATOS_[[Sexo]:[Sexo]]=$B43,IF(DATOS_[[AGRUP. CLAS. PROF.]:[AGRUP. CLAS. PROF.]]=$B42,IF(DATOS_[[Check Periodo Ref.]:[Check Periodo Ref.]]="Dentro",IF(DATOS_[[Check Equiparado]:[Check Equiparado]]="Sí",IF(DATOS!BD$5="Sí",(1/DATOS_[[% anualiz]:[% anualiz]]),1)*IF(DATOS!BD$4="Sí",1/DATOS_[[% normaliz]:[% normaliz]],1)*(DATOS_[Conc.Sal.26])))))))),
0)</f>
        <v>0</v>
      </c>
      <c r="AJ43" s="196">
        <f t="array" ref="AJ43">IFERROR(
(AVERAGE((IF(DATOS_[[Sexo]:[Sexo]]=$B43,IF(DATOS_[[AGRUP. CLAS. PROF.]:[AGRUP. CLAS. PROF.]]=$B42,IF(DATOS_[[Check Periodo Ref.]:[Check Periodo Ref.]]="Dentro",IF(DATOS_[[Check Equiparado]:[Check Equiparado]]="Sí",IF(DATOS!BE$5="Sí",(1/DATOS_[[% anualiz]:[% anualiz]]),1)*IF(DATOS!BE$4="Sí",1/DATOS_[[% normaliz]:[% normaliz]],1)*(DATOS_[Conc.Sal.27])))))))),
0)</f>
        <v>0</v>
      </c>
      <c r="AK43" s="196">
        <f t="array" ref="AK43">IFERROR(
(AVERAGE((IF(DATOS_[[Sexo]:[Sexo]]=$B43,IF(DATOS_[[AGRUP. CLAS. PROF.]:[AGRUP. CLAS. PROF.]]=$B42,IF(DATOS_[[Check Periodo Ref.]:[Check Periodo Ref.]]="Dentro",IF(DATOS_[[Check Equiparado]:[Check Equiparado]]="Sí",IF(DATOS!BF$5="Sí",(1/DATOS_[[% anualiz]:[% anualiz]]),1)*IF(DATOS!BF$4="Sí",1/DATOS_[[% normaliz]:[% normaliz]],1)*(DATOS_[Conc.Sal.28])))))))),
0)</f>
        <v>0</v>
      </c>
      <c r="AL43" s="196">
        <f t="array" ref="AL43">IFERROR(
(AVERAGE((IF(DATOS_[[Sexo]:[Sexo]]=$B43,IF(DATOS_[[AGRUP. CLAS. PROF.]:[AGRUP. CLAS. PROF.]]=$B42,IF(DATOS_[[Check Periodo Ref.]:[Check Periodo Ref.]]="Dentro",IF(DATOS_[[Check Equiparado]:[Check Equiparado]]="Sí",IF(DATOS!BG$5="Sí",(1/DATOS_[[% anualiz]:[% anualiz]]),1)*IF(DATOS!BG$4="Sí",1/DATOS_[[% normaliz]:[% normaliz]],1)*(DATOS_[Conc.Sal.29])))))))),
0)</f>
        <v>0</v>
      </c>
      <c r="AM43" s="196">
        <f t="array" ref="AM43">IFERROR(
(AVERAGE((IF(DATOS_[[Sexo]:[Sexo]]=$B43,IF(DATOS_[[AGRUP. CLAS. PROF.]:[AGRUP. CLAS. PROF.]]=$B42,IF(DATOS_[[Check Periodo Ref.]:[Check Periodo Ref.]]="Dentro",IF(DATOS_[[Check Equiparado]:[Check Equiparado]]="Sí",IF(DATOS!BH$5="Sí",(1/DATOS_[[% anualiz]:[% anualiz]]),1)*IF(DATOS!BH$4="Sí",1/DATOS_[[% normaliz]:[% normaliz]],1)*(DATOS_[Conc.Sal.30])))))))),
0)</f>
        <v>0</v>
      </c>
      <c r="AN43" s="195">
        <f t="array" ref="AN43">IFERROR(
AVERAGE(IF(DATOS_[Sexo]=$B43,IF(DATOS_[[AGRUP. CLAS. PROF.]:[AGRUP. CLAS. PROF.]]=$B42,IF(DATOS_[Check Equiparado]="Sí",IF(DATOS_[Check Periodo Ref.]="Dentro",DATOS_[Tot COMPL.SAL Eq],FALSE))))),
0)</f>
        <v>0</v>
      </c>
      <c r="AO43" s="172">
        <f t="array" ref="AO43">IFERROR(
AVERAGE(IF(DATOS_[Sexo]=$B43,IF(DATOS_[[AGRUP. CLAS. PROF.]:[AGRUP. CLAS. PROF.]]=$B42,IF(DATOS_[Check Equiparado]="Sí",IF(DATOS_[Check Periodo Ref.]="Dentro",DATOS_[TOTAL SALARIO Eq],FALSE))))),
0)</f>
        <v>0</v>
      </c>
      <c r="AP43" s="173">
        <f t="array" ref="AP43">IFERROR(
(AVERAGE((IF(DATOS_[[Sexo]:[Sexo]]=$B43,IF(DATOS_[[AGRUP. CLAS. PROF.]:[AGRUP. CLAS. PROF.]]=$B42,IF(DATOS_[[Check Periodo Ref.]:[Check Periodo Ref.]]="Dentro",IF(DATOS_[[Check Equiparado]:[Check Equiparado]]="Sí",IF(DATOS!BW$5="Sí",(1/DATOS_[[% anualiz]:[% anualiz]]),1)*IF(DATOS!BW$4="Sí",1/DATOS_[[% normaliz]:[% normaliz]],1)*(DATOS_[C.Extra.01])))))))),
0)</f>
        <v>0</v>
      </c>
      <c r="AQ43" s="173">
        <f t="array" ref="AQ43">IFERROR(
(AVERAGE((IF(DATOS_[[Sexo]:[Sexo]]=$B43,IF(DATOS_[[AGRUP. CLAS. PROF.]:[AGRUP. CLAS. PROF.]]=$B42,IF(DATOS_[[Check Periodo Ref.]:[Check Periodo Ref.]]="Dentro",IF(DATOS_[[Check Equiparado]:[Check Equiparado]]="Sí",IF(DATOS!CB$5="Sí",(1/DATOS_[[% anualiz]:[% anualiz]]),1)*IF(DATOS!CB$4="Sí",1/DATOS_[[% normaliz]:[% normaliz]],1)*(DATOS_[C.Extra.06])))))))),
0)</f>
        <v>0</v>
      </c>
      <c r="AR43" s="173">
        <f t="array" ref="AR43">IFERROR(
(AVERAGE((IF(DATOS_[[Sexo]:[Sexo]]=$B43,IF(DATOS_[[AGRUP. CLAS. PROF.]:[AGRUP. CLAS. PROF.]]=$B42,IF(DATOS_[[Check Periodo Ref.]:[Check Periodo Ref.]]="Dentro",IF(DATOS_[[Check Equiparado]:[Check Equiparado]]="Sí",IF(DATOS!CC$5="Sí",(1/DATOS_[[% anualiz]:[% anualiz]]),1)*IF(DATOS!CC$4="Sí",1/DATOS_[[% normaliz]:[% normaliz]],1)*(DATOS_[C.Extra.07])))))))),
0)</f>
        <v>0</v>
      </c>
      <c r="AS43" s="173">
        <f t="array" ref="AS43">IFERROR(
(AVERAGE((IF(DATOS_[[Sexo]:[Sexo]]=$B43,IF(DATOS_[[AGRUP. CLAS. PROF.]:[AGRUP. CLAS. PROF.]]=$B42,IF(DATOS_[[Check Periodo Ref.]:[Check Periodo Ref.]]="Dentro",IF(DATOS_[[Check Equiparado]:[Check Equiparado]]="Sí",IF(DATOS!CD$5="Sí",(1/DATOS_[[% anualiz]:[% anualiz]]),1)*IF(DATOS!CD$4="Sí",1/DATOS_[[% normaliz]:[% normaliz]],1)*(DATOS_[C.Extra.08])))))))),
0)</f>
        <v>0</v>
      </c>
      <c r="AT43" s="173">
        <f t="array" ref="AT43">IFERROR(
(AVERAGE((IF(DATOS_[[Sexo]:[Sexo]]=$B43,IF(DATOS_[[AGRUP. CLAS. PROF.]:[AGRUP. CLAS. PROF.]]=$B42,IF(DATOS_[[Check Periodo Ref.]:[Check Periodo Ref.]]="Dentro",IF(DATOS_[[Check Equiparado]:[Check Equiparado]]="Sí",IF(DATOS!CG$5="Sí",(1/DATOS_[[% anualiz]:[% anualiz]]),1)*IF(DATOS!CG$4="Sí",1/DATOS_[[% normaliz]:[% normaliz]],1)*(DATOS_[C.Extra.11])))))))),
0)</f>
        <v>0</v>
      </c>
      <c r="AU43" s="197">
        <f t="array" ref="AU43">IFERROR(
AVERAGE(IF(DATOS_[Sexo]=$B43,IF(DATOS_[[AGRUP. CLAS. PROF.]:[AGRUP. CLAS. PROF.]]=$B42,IF(DATOS_[Check Equiparado]="Sí",IF(DATOS_[Check Periodo Ref.]="Dentro",DATOS_[Tot Extrasalarial Eq],FALSE))))),
0)</f>
        <v>0</v>
      </c>
      <c r="AV43" s="175">
        <f t="array" ref="AV43">IFERROR(
AVERAGE(IF(DATOS_[Sexo]=$B43,IF(DATOS_[[AGRUP. CLAS. PROF.]:[AGRUP. CLAS. PROF.]]=$B42,IF(DATOS_[Check Equiparado]="Sí",IF(DATOS_[Check Periodo Ref.]="Dentro",DATOS_[TOTAL Retrib Eq],FALSE))))),
0)</f>
        <v>0</v>
      </c>
    </row>
    <row r="44" spans="1:48" hidden="1" x14ac:dyDescent="0.25">
      <c r="A44" s="133" t="str">
        <f t="shared" ref="A44" si="42">+A43</f>
        <v>[ocultar]</v>
      </c>
      <c r="B44" s="202" t="s">
        <v>521</v>
      </c>
      <c r="C44" s="203">
        <f t="array" ref="C44">SUM(IF($B44=DATOS_[Sexo],
IF($B42=DATOS_[AGRUP. CLAS. PROF.],
IF("Dentro"=DATOS_[Check Periodo Ref.],
1/(COUNTIFS(DATOS_[Sexo],$B44,DATOS_[AGRUP. CLAS. PROF.],$B42,DATOS_[Check Periodo Ref.],"Dentro",DATOS_[id/cod],DATOS_[id/cod]))))))</f>
        <v>0</v>
      </c>
      <c r="D44" s="204">
        <f>COUNTIFS(DATOS_[AGRUP. CLAS. PROF.],$B42,DATOS_[Sexo],$B44,DATOS_[Check Periodo Ref.],"Dentro")</f>
        <v>0</v>
      </c>
      <c r="E44" s="204">
        <f>COUNTIFS(DATOS_[AGRUP. CLAS. PROF.],$B42,DATOS_[Sexo],$B44,DATOS_[Check Periodo Ref.],"Dentro",DATOS_[Check Nº SC Norm],"Sí")</f>
        <v>0</v>
      </c>
      <c r="F44" s="204">
        <f>COUNTIFS(DATOS_[AGRUP. CLAS. PROF.],$B42,DATOS_[Sexo],$B44,DATOS_[Check Periodo Ref.],"Dentro",DATOS_[Check Nº SC Anualiz],"Sí")</f>
        <v>0</v>
      </c>
      <c r="G44" s="204">
        <f>COUNTIFS(DATOS_[AGRUP. CLAS. PROF.],$B42,DATOS_[Sexo],$B44,DATOS_[Check Periodo Ref.],"Dentro",DATOS_[Check Nº SC Norm y Anualiz],"Sí")</f>
        <v>0</v>
      </c>
      <c r="H44" s="204">
        <f>COUNTIFS(DATOS_[AGRUP. CLAS. PROF.],$B42,DATOS_[Sexo],$B44,DATOS_[Check Periodo Ref.],"Dentro",DATOS_[Check Equiparación],"Sí")</f>
        <v>0</v>
      </c>
      <c r="I44" s="195" cm="1">
        <f t="array" ref="I44">IFERROR(
AVERAGE(IF(DATOS_[Sexo]=$B44,IF(DATOS_[[AGRUP. CLAS. PROF.]:[AGRUP. CLAS. PROF.]]=$B42,IF(DATOS_[Check Equiparado]="Sí",IF(DATOS_[Check Periodo Ref.]="Dentro",DATOS_[SALARIO BASE Eq],FALSE))))),
0)</f>
        <v>0</v>
      </c>
      <c r="J44" s="196">
        <f t="array" ref="J44">IFERROR(
(AVERAGE((IF(DATOS_[[Sexo]:[Sexo]]=$B44,IF(DATOS_[[AGRUP. CLAS. PROF.]:[AGRUP. CLAS. PROF.]]=$B42,IF(DATOS_[[Check Periodo Ref.]:[Check Periodo Ref.]]="Dentro",IF(DATOS_[[Check Equiparado]:[Check Equiparado]]="Sí",IF(DATOS!AE$5="Sí",(1/DATOS_[[% anualiz]:[% anualiz]]),1)*IF(DATOS!AE$4="Sí",1/DATOS_[[% normaliz]:[% normaliz]],1)*(DATOS_[Conc.Sal.01])))))))),
0)</f>
        <v>0</v>
      </c>
      <c r="K44" s="196">
        <f t="array" ref="K44">IFERROR(
(AVERAGE((IF(DATOS_[[Sexo]:[Sexo]]=$B44,IF(DATOS_[[AGRUP. CLAS. PROF.]:[AGRUP. CLAS. PROF.]]=$B42,IF(DATOS_[[Check Periodo Ref.]:[Check Periodo Ref.]]="Dentro",IF(DATOS_[[Check Equiparado]:[Check Equiparado]]="Sí",IF(DATOS!AF$5="Sí",(1/DATOS_[[% anualiz]:[% anualiz]]),1)*IF(DATOS!AF$4="Sí",1/DATOS_[[% normaliz]:[% normaliz]],1)*(DATOS_[Conc.Sal.02])))))))),
0)</f>
        <v>0</v>
      </c>
      <c r="L44" s="196">
        <f t="array" ref="L44">IFERROR(
(AVERAGE((IF(DATOS_[[Sexo]:[Sexo]]=$B44,IF(DATOS_[[AGRUP. CLAS. PROF.]:[AGRUP. CLAS. PROF.]]=$B42,IF(DATOS_[[Check Periodo Ref.]:[Check Periodo Ref.]]="Dentro",IF(DATOS_[[Check Equiparado]:[Check Equiparado]]="Sí",IF(DATOS!AG$5="Sí",(1/DATOS_[[% anualiz]:[% anualiz]]),1)*IF(DATOS!AG$4="Sí",1/DATOS_[[% normaliz]:[% normaliz]],1)*(DATOS_[Conc.Sal.03])))))))),
0)</f>
        <v>0</v>
      </c>
      <c r="M44" s="196">
        <f t="array" ref="M44">IFERROR(
(AVERAGE((IF(DATOS_[[Sexo]:[Sexo]]=$B44,IF(DATOS_[[AGRUP. CLAS. PROF.]:[AGRUP. CLAS. PROF.]]=$B42,IF(DATOS_[[Check Periodo Ref.]:[Check Periodo Ref.]]="Dentro",IF(DATOS_[[Check Equiparado]:[Check Equiparado]]="Sí",IF(DATOS!AH$5="Sí",(1/DATOS_[[% anualiz]:[% anualiz]]),1)*IF(DATOS!AH$4="Sí",1/DATOS_[[% normaliz]:[% normaliz]],1)*(DATOS_[Conc.Sal.04])))))))),
0)</f>
        <v>0</v>
      </c>
      <c r="N44" s="196">
        <f t="array" ref="N44">IFERROR(
(AVERAGE((IF(DATOS_[[Sexo]:[Sexo]]=$B44,IF(DATOS_[[AGRUP. CLAS. PROF.]:[AGRUP. CLAS. PROF.]]=$B42,IF(DATOS_[[Check Periodo Ref.]:[Check Periodo Ref.]]="Dentro",IF(DATOS_[[Check Equiparado]:[Check Equiparado]]="Sí",IF(DATOS!AI$5="Sí",(1/DATOS_[[% anualiz]:[% anualiz]]),1)*IF(DATOS!AI$4="Sí",1/DATOS_[[% normaliz]:[% normaliz]],1)*(DATOS_[Conc.Sal.05])))))))),
0)</f>
        <v>0</v>
      </c>
      <c r="O44" s="196">
        <f t="array" ref="O44">IFERROR(
(AVERAGE((IF(DATOS_[[Sexo]:[Sexo]]=$B44,IF(DATOS_[[AGRUP. CLAS. PROF.]:[AGRUP. CLAS. PROF.]]=$B42,IF(DATOS_[[Check Periodo Ref.]:[Check Periodo Ref.]]="Dentro",IF(DATOS_[[Check Equiparado]:[Check Equiparado]]="Sí",IF(DATOS!AJ$5="Sí",(1/DATOS_[[% anualiz]:[% anualiz]]),1)*IF(DATOS!AJ$4="Sí",1/DATOS_[[% normaliz]:[% normaliz]],1)*(DATOS_[Conc.Sal.06])))))))),
0)</f>
        <v>0</v>
      </c>
      <c r="P44" s="196">
        <f t="array" ref="P44">IFERROR(
(AVERAGE((IF(DATOS_[[Sexo]:[Sexo]]=$B44,IF(DATOS_[[AGRUP. CLAS. PROF.]:[AGRUP. CLAS. PROF.]]=$B42,IF(DATOS_[[Check Periodo Ref.]:[Check Periodo Ref.]]="Dentro",IF(DATOS_[[Check Equiparado]:[Check Equiparado]]="Sí",IF(DATOS!AK$5="Sí",(1/DATOS_[[% anualiz]:[% anualiz]]),1)*IF(DATOS!AK$4="Sí",1/DATOS_[[% normaliz]:[% normaliz]],1)*(DATOS_[Conc.Sal.07])))))))),
0)</f>
        <v>0</v>
      </c>
      <c r="Q44" s="196">
        <f t="array" ref="Q44">IFERROR(
(AVERAGE((IF(DATOS_[[Sexo]:[Sexo]]=$B44,IF(DATOS_[[AGRUP. CLAS. PROF.]:[AGRUP. CLAS. PROF.]]=$B42,IF(DATOS_[[Check Periodo Ref.]:[Check Periodo Ref.]]="Dentro",IF(DATOS_[[Check Equiparado]:[Check Equiparado]]="Sí",IF(DATOS!AL$5="Sí",(1/DATOS_[[% anualiz]:[% anualiz]]),1)*IF(DATOS!AL$4="Sí",1/DATOS_[[% normaliz]:[% normaliz]],1)*(DATOS_[Conc.Sal.08])))))))),
0)</f>
        <v>0</v>
      </c>
      <c r="R44" s="196">
        <f t="array" ref="R44">IFERROR(
(AVERAGE((IF(DATOS_[[Sexo]:[Sexo]]=$B44,IF(DATOS_[[AGRUP. CLAS. PROF.]:[AGRUP. CLAS. PROF.]]=$B42,IF(DATOS_[[Check Periodo Ref.]:[Check Periodo Ref.]]="Dentro",IF(DATOS_[[Check Equiparado]:[Check Equiparado]]="Sí",IF(DATOS!AM$5="Sí",(1/DATOS_[[% anualiz]:[% anualiz]]),1)*IF(DATOS!AM$4="Sí",1/DATOS_[[% normaliz]:[% normaliz]],1)*(DATOS_[Conc.Sal.09])))))))),
0)</f>
        <v>0</v>
      </c>
      <c r="S44" s="196">
        <f t="array" ref="S44">IFERROR(
(AVERAGE((IF(DATOS_[[Sexo]:[Sexo]]=$B44,IF(DATOS_[[AGRUP. CLAS. PROF.]:[AGRUP. CLAS. PROF.]]=$B42,IF(DATOS_[[Check Periodo Ref.]:[Check Periodo Ref.]]="Dentro",IF(DATOS_[[Check Equiparado]:[Check Equiparado]]="Sí",IF(DATOS!AN$5="Sí",(1/DATOS_[[% anualiz]:[% anualiz]]),1)*IF(DATOS!AN$4="Sí",1/DATOS_[[% normaliz]:[% normaliz]],1)*(DATOS_[Conc.Sal.10])))))))),
0)</f>
        <v>0</v>
      </c>
      <c r="T44" s="196">
        <f t="array" ref="T44">IFERROR(
(AVERAGE((IF(DATOS_[[Sexo]:[Sexo]]=$B44,IF(DATOS_[[AGRUP. CLAS. PROF.]:[AGRUP. CLAS. PROF.]]=$B42,IF(DATOS_[[Check Periodo Ref.]:[Check Periodo Ref.]]="Dentro",IF(DATOS_[[Check Equiparado]:[Check Equiparado]]="Sí",IF(DATOS!AO$5="Sí",(1/DATOS_[[% anualiz]:[% anualiz]]),1)*IF(DATOS!AO$4="Sí",1/DATOS_[[% normaliz]:[% normaliz]],1)*(DATOS_[Conc.Sal.11])))))))),
0)</f>
        <v>0</v>
      </c>
      <c r="U44" s="196">
        <f t="array" ref="U44">IFERROR(
(AVERAGE((IF(DATOS_[[Sexo]:[Sexo]]=$B44,IF(DATOS_[[AGRUP. CLAS. PROF.]:[AGRUP. CLAS. PROF.]]=$B42,IF(DATOS_[[Check Periodo Ref.]:[Check Periodo Ref.]]="Dentro",IF(DATOS_[[Check Equiparado]:[Check Equiparado]]="Sí",IF(DATOS!AP$5="Sí",(1/DATOS_[[% anualiz]:[% anualiz]]),1)*IF(DATOS!AP$4="Sí",1/DATOS_[[% normaliz]:[% normaliz]],1)*(DATOS_[Conc.Sal.12])))))))),
0)</f>
        <v>0</v>
      </c>
      <c r="V44" s="196">
        <f t="array" ref="V44">IFERROR(
(AVERAGE((IF(DATOS_[[Sexo]:[Sexo]]=$B44,IF(DATOS_[[AGRUP. CLAS. PROF.]:[AGRUP. CLAS. PROF.]]=$B42,IF(DATOS_[[Check Periodo Ref.]:[Check Periodo Ref.]]="Dentro",IF(DATOS_[[Check Equiparado]:[Check Equiparado]]="Sí",IF(DATOS!AQ$5="Sí",(1/DATOS_[[% anualiz]:[% anualiz]]),1)*IF(DATOS!AQ$4="Sí",1/DATOS_[[% normaliz]:[% normaliz]],1)*(DATOS_[Conc.Sal.13])))))))),
0)</f>
        <v>0</v>
      </c>
      <c r="W44" s="196">
        <f t="array" ref="W44">IFERROR(
(AVERAGE((IF(DATOS_[[Sexo]:[Sexo]]=$B44,IF(DATOS_[[AGRUP. CLAS. PROF.]:[AGRUP. CLAS. PROF.]]=$B42,IF(DATOS_[[Check Periodo Ref.]:[Check Periodo Ref.]]="Dentro",IF(DATOS_[[Check Equiparado]:[Check Equiparado]]="Sí",IF(DATOS!AR$5="Sí",(1/DATOS_[[% anualiz]:[% anualiz]]),1)*IF(DATOS!AR$4="Sí",1/DATOS_[[% normaliz]:[% normaliz]],1)*(DATOS_[Conc.Sal.14])))))))),
0)</f>
        <v>0</v>
      </c>
      <c r="X44" s="196">
        <f t="array" ref="X44">IFERROR(
(AVERAGE((IF(DATOS_[[Sexo]:[Sexo]]=$B44,IF(DATOS_[[AGRUP. CLAS. PROF.]:[AGRUP. CLAS. PROF.]]=$B42,IF(DATOS_[[Check Periodo Ref.]:[Check Periodo Ref.]]="Dentro",IF(DATOS_[[Check Equiparado]:[Check Equiparado]]="Sí",IF(DATOS!AS$5="Sí",(1/DATOS_[[% anualiz]:[% anualiz]]),1)*IF(DATOS!AS$4="Sí",1/DATOS_[[% normaliz]:[% normaliz]],1)*(DATOS_[Conc.Sal.15])))))))),
0)</f>
        <v>0</v>
      </c>
      <c r="Y44" s="196">
        <f t="array" ref="Y44">IFERROR(
(AVERAGE((IF(DATOS_[[Sexo]:[Sexo]]=$B44,IF(DATOS_[[AGRUP. CLAS. PROF.]:[AGRUP. CLAS. PROF.]]=$B42,IF(DATOS_[[Check Periodo Ref.]:[Check Periodo Ref.]]="Dentro",IF(DATOS_[[Check Equiparado]:[Check Equiparado]]="Sí",IF(DATOS!AT$5="Sí",(1/DATOS_[[% anualiz]:[% anualiz]]),1)*IF(DATOS!AT$4="Sí",1/DATOS_[[% normaliz]:[% normaliz]],1)*(DATOS_[Conc.Sal.16])))))))),
0)</f>
        <v>0</v>
      </c>
      <c r="Z44" s="196">
        <f t="array" ref="Z44">IFERROR(
(AVERAGE((IF(DATOS_[[Sexo]:[Sexo]]=$B44,IF(DATOS_[[AGRUP. CLAS. PROF.]:[AGRUP. CLAS. PROF.]]=$B42,IF(DATOS_[[Check Periodo Ref.]:[Check Periodo Ref.]]="Dentro",IF(DATOS_[[Check Equiparado]:[Check Equiparado]]="Sí",IF(DATOS!AU$5="Sí",(1/DATOS_[[% anualiz]:[% anualiz]]),1)*IF(DATOS!AU$4="Sí",1/DATOS_[[% normaliz]:[% normaliz]],1)*(DATOS_[Conc.Sal.17])))))))),
0)</f>
        <v>0</v>
      </c>
      <c r="AA44" s="196">
        <f t="array" ref="AA44">IFERROR(
(AVERAGE((IF(DATOS_[[Sexo]:[Sexo]]=$B44,IF(DATOS_[[AGRUP. CLAS. PROF.]:[AGRUP. CLAS. PROF.]]=$B42,IF(DATOS_[[Check Periodo Ref.]:[Check Periodo Ref.]]="Dentro",IF(DATOS_[[Check Equiparado]:[Check Equiparado]]="Sí",IF(DATOS!AV$5="Sí",(1/DATOS_[[% anualiz]:[% anualiz]]),1)*IF(DATOS!AV$4="Sí",1/DATOS_[[% normaliz]:[% normaliz]],1)*(DATOS_[Conc.Sal.18])))))))),
0)</f>
        <v>0</v>
      </c>
      <c r="AB44" s="196">
        <f t="array" ref="AB44">IFERROR(
(AVERAGE((IF(DATOS_[[Sexo]:[Sexo]]=$B44,IF(DATOS_[[AGRUP. CLAS. PROF.]:[AGRUP. CLAS. PROF.]]=$B42,IF(DATOS_[[Check Periodo Ref.]:[Check Periodo Ref.]]="Dentro",IF(DATOS_[[Check Equiparado]:[Check Equiparado]]="Sí",IF(DATOS!AW$5="Sí",(1/DATOS_[[% anualiz]:[% anualiz]]),1)*IF(DATOS!AW$4="Sí",1/DATOS_[[% normaliz]:[% normaliz]],1)*(DATOS_[Conc.Sal.19])))))))),
0)</f>
        <v>0</v>
      </c>
      <c r="AC44" s="196">
        <f t="array" ref="AC44">IFERROR(
(AVERAGE((IF(DATOS_[[Sexo]:[Sexo]]=$B44,IF(DATOS_[[AGRUP. CLAS. PROF.]:[AGRUP. CLAS. PROF.]]=$B42,IF(DATOS_[[Check Periodo Ref.]:[Check Periodo Ref.]]="Dentro",IF(DATOS_[[Check Equiparado]:[Check Equiparado]]="Sí",IF(DATOS!AX$5="Sí",(1/DATOS_[[% anualiz]:[% anualiz]]),1)*IF(DATOS!AX$4="Sí",1/DATOS_[[% normaliz]:[% normaliz]],1)*(DATOS_[Conc.Sal.20])))))))),
0)</f>
        <v>0</v>
      </c>
      <c r="AD44" s="196">
        <f t="array" ref="AD44">IFERROR(
(AVERAGE((IF(DATOS_[[Sexo]:[Sexo]]=$B44,IF(DATOS_[[AGRUP. CLAS. PROF.]:[AGRUP. CLAS. PROF.]]=$B42,IF(DATOS_[[Check Periodo Ref.]:[Check Periodo Ref.]]="Dentro",IF(DATOS_[[Check Equiparado]:[Check Equiparado]]="Sí",IF(DATOS!AY$5="Sí",(1/DATOS_[[% anualiz]:[% anualiz]]),1)*IF(DATOS!AY$4="Sí",1/DATOS_[[% normaliz]:[% normaliz]],1)*(DATOS_[Conc.Sal.21])))))))),
0)</f>
        <v>0</v>
      </c>
      <c r="AE44" s="196">
        <f t="array" ref="AE44">IFERROR(
(AVERAGE((IF(DATOS_[[Sexo]:[Sexo]]=$B44,IF(DATOS_[[AGRUP. CLAS. PROF.]:[AGRUP. CLAS. PROF.]]=$B42,IF(DATOS_[[Check Periodo Ref.]:[Check Periodo Ref.]]="Dentro",IF(DATOS_[[Check Equiparado]:[Check Equiparado]]="Sí",IF(DATOS!AZ$5="Sí",(1/DATOS_[[% anualiz]:[% anualiz]]),1)*IF(DATOS!AZ$4="Sí",1/DATOS_[[% normaliz]:[% normaliz]],1)*(DATOS_[Conc.Sal.22])))))))),
0)</f>
        <v>0</v>
      </c>
      <c r="AF44" s="196">
        <f t="array" ref="AF44">IFERROR(
(AVERAGE((IF(DATOS_[[Sexo]:[Sexo]]=$B44,IF(DATOS_[[AGRUP. CLAS. PROF.]:[AGRUP. CLAS. PROF.]]=$B42,IF(DATOS_[[Check Periodo Ref.]:[Check Periodo Ref.]]="Dentro",IF(DATOS_[[Check Equiparado]:[Check Equiparado]]="Sí",IF(DATOS!BA$5="Sí",(1/DATOS_[[% anualiz]:[% anualiz]]),1)*IF(DATOS!BA$4="Sí",1/DATOS_[[% normaliz]:[% normaliz]],1)*(DATOS_[Conc.Sal.23])))))))),
0)</f>
        <v>0</v>
      </c>
      <c r="AG44" s="196">
        <f t="array" ref="AG44">IFERROR(
(AVERAGE((IF(DATOS_[[Sexo]:[Sexo]]=$B44,IF(DATOS_[[AGRUP. CLAS. PROF.]:[AGRUP. CLAS. PROF.]]=$B42,IF(DATOS_[[Check Periodo Ref.]:[Check Periodo Ref.]]="Dentro",IF(DATOS_[[Check Equiparado]:[Check Equiparado]]="Sí",IF(DATOS!BB$5="Sí",(1/DATOS_[[% anualiz]:[% anualiz]]),1)*IF(DATOS!BB$4="Sí",1/DATOS_[[% normaliz]:[% normaliz]],1)*(DATOS_[Conc.Sal.24])))))))),
0)</f>
        <v>0</v>
      </c>
      <c r="AH44" s="196">
        <f t="array" ref="AH44">IFERROR(
(AVERAGE((IF(DATOS_[[Sexo]:[Sexo]]=$B44,IF(DATOS_[[AGRUP. CLAS. PROF.]:[AGRUP. CLAS. PROF.]]=$B42,IF(DATOS_[[Check Periodo Ref.]:[Check Periodo Ref.]]="Dentro",IF(DATOS_[[Check Equiparado]:[Check Equiparado]]="Sí",IF(DATOS!BC$5="Sí",(1/DATOS_[[% anualiz]:[% anualiz]]),1)*IF(DATOS!BC$4="Sí",1/DATOS_[[% normaliz]:[% normaliz]],1)*(DATOS_[Conc.Sal.25])))))))),
0)</f>
        <v>0</v>
      </c>
      <c r="AI44" s="196">
        <f t="array" ref="AI44">IFERROR(
(AVERAGE((IF(DATOS_[[Sexo]:[Sexo]]=$B44,IF(DATOS_[[AGRUP. CLAS. PROF.]:[AGRUP. CLAS. PROF.]]=$B42,IF(DATOS_[[Check Periodo Ref.]:[Check Periodo Ref.]]="Dentro",IF(DATOS_[[Check Equiparado]:[Check Equiparado]]="Sí",IF(DATOS!BD$5="Sí",(1/DATOS_[[% anualiz]:[% anualiz]]),1)*IF(DATOS!BD$4="Sí",1/DATOS_[[% normaliz]:[% normaliz]],1)*(DATOS_[Conc.Sal.26])))))))),
0)</f>
        <v>0</v>
      </c>
      <c r="AJ44" s="196">
        <f t="array" ref="AJ44">IFERROR(
(AVERAGE((IF(DATOS_[[Sexo]:[Sexo]]=$B44,IF(DATOS_[[AGRUP. CLAS. PROF.]:[AGRUP. CLAS. PROF.]]=$B42,IF(DATOS_[[Check Periodo Ref.]:[Check Periodo Ref.]]="Dentro",IF(DATOS_[[Check Equiparado]:[Check Equiparado]]="Sí",IF(DATOS!BE$5="Sí",(1/DATOS_[[% anualiz]:[% anualiz]]),1)*IF(DATOS!BE$4="Sí",1/DATOS_[[% normaliz]:[% normaliz]],1)*(DATOS_[Conc.Sal.27])))))))),
0)</f>
        <v>0</v>
      </c>
      <c r="AK44" s="196">
        <f t="array" ref="AK44">IFERROR(
(AVERAGE((IF(DATOS_[[Sexo]:[Sexo]]=$B44,IF(DATOS_[[AGRUP. CLAS. PROF.]:[AGRUP. CLAS. PROF.]]=$B42,IF(DATOS_[[Check Periodo Ref.]:[Check Periodo Ref.]]="Dentro",IF(DATOS_[[Check Equiparado]:[Check Equiparado]]="Sí",IF(DATOS!BF$5="Sí",(1/DATOS_[[% anualiz]:[% anualiz]]),1)*IF(DATOS!BF$4="Sí",1/DATOS_[[% normaliz]:[% normaliz]],1)*(DATOS_[Conc.Sal.28])))))))),
0)</f>
        <v>0</v>
      </c>
      <c r="AL44" s="196">
        <f t="array" ref="AL44">IFERROR(
(AVERAGE((IF(DATOS_[[Sexo]:[Sexo]]=$B44,IF(DATOS_[[AGRUP. CLAS. PROF.]:[AGRUP. CLAS. PROF.]]=$B42,IF(DATOS_[[Check Periodo Ref.]:[Check Periodo Ref.]]="Dentro",IF(DATOS_[[Check Equiparado]:[Check Equiparado]]="Sí",IF(DATOS!BG$5="Sí",(1/DATOS_[[% anualiz]:[% anualiz]]),1)*IF(DATOS!BG$4="Sí",1/DATOS_[[% normaliz]:[% normaliz]],1)*(DATOS_[Conc.Sal.29])))))))),
0)</f>
        <v>0</v>
      </c>
      <c r="AM44" s="196">
        <f t="array" ref="AM44">IFERROR(
(AVERAGE((IF(DATOS_[[Sexo]:[Sexo]]=$B44,IF(DATOS_[[AGRUP. CLAS. PROF.]:[AGRUP. CLAS. PROF.]]=$B42,IF(DATOS_[[Check Periodo Ref.]:[Check Periodo Ref.]]="Dentro",IF(DATOS_[[Check Equiparado]:[Check Equiparado]]="Sí",IF(DATOS!BH$5="Sí",(1/DATOS_[[% anualiz]:[% anualiz]]),1)*IF(DATOS!BH$4="Sí",1/DATOS_[[% normaliz]:[% normaliz]],1)*(DATOS_[Conc.Sal.30])))))))),
0)</f>
        <v>0</v>
      </c>
      <c r="AN44" s="195">
        <f t="array" ref="AN44">IFERROR(
AVERAGE(IF(DATOS_[Sexo]=$B44,IF(DATOS_[[AGRUP. CLAS. PROF.]:[AGRUP. CLAS. PROF.]]=$B42,IF(DATOS_[Check Equiparado]="Sí",IF(DATOS_[Check Periodo Ref.]="Dentro",DATOS_[Tot COMPL.SAL Eq],FALSE))))),
0)</f>
        <v>0</v>
      </c>
      <c r="AO44" s="172">
        <f t="array" ref="AO44">IFERROR(
AVERAGE(IF(DATOS_[Sexo]=$B44,IF(DATOS_[[AGRUP. CLAS. PROF.]:[AGRUP. CLAS. PROF.]]=$B42,IF(DATOS_[Check Equiparado]="Sí",IF(DATOS_[Check Periodo Ref.]="Dentro",DATOS_[TOTAL SALARIO Eq],FALSE))))),
0)</f>
        <v>0</v>
      </c>
      <c r="AP44" s="173">
        <f t="array" ref="AP44">IFERROR(
(AVERAGE((IF(DATOS_[[Sexo]:[Sexo]]=$B44,IF(DATOS_[[AGRUP. CLAS. PROF.]:[AGRUP. CLAS. PROF.]]=$B42,IF(DATOS_[[Check Periodo Ref.]:[Check Periodo Ref.]]="Dentro",IF(DATOS_[[Check Equiparado]:[Check Equiparado]]="Sí",IF(DATOS!BW$5="Sí",(1/DATOS_[[% anualiz]:[% anualiz]]),1)*IF(DATOS!BW$4="Sí",1/DATOS_[[% normaliz]:[% normaliz]],1)*(DATOS_[C.Extra.01])))))))),
0)</f>
        <v>0</v>
      </c>
      <c r="AQ44" s="173">
        <f t="array" ref="AQ44">IFERROR(
(AVERAGE((IF(DATOS_[[Sexo]:[Sexo]]=$B44,IF(DATOS_[[AGRUP. CLAS. PROF.]:[AGRUP. CLAS. PROF.]]=$B42,IF(DATOS_[[Check Periodo Ref.]:[Check Periodo Ref.]]="Dentro",IF(DATOS_[[Check Equiparado]:[Check Equiparado]]="Sí",IF(DATOS!CB$5="Sí",(1/DATOS_[[% anualiz]:[% anualiz]]),1)*IF(DATOS!CB$4="Sí",1/DATOS_[[% normaliz]:[% normaliz]],1)*(DATOS_[C.Extra.06])))))))),
0)</f>
        <v>0</v>
      </c>
      <c r="AR44" s="173">
        <f t="array" ref="AR44">IFERROR(
(AVERAGE((IF(DATOS_[[Sexo]:[Sexo]]=$B44,IF(DATOS_[[AGRUP. CLAS. PROF.]:[AGRUP. CLAS. PROF.]]=$B42,IF(DATOS_[[Check Periodo Ref.]:[Check Periodo Ref.]]="Dentro",IF(DATOS_[[Check Equiparado]:[Check Equiparado]]="Sí",IF(DATOS!CC$5="Sí",(1/DATOS_[[% anualiz]:[% anualiz]]),1)*IF(DATOS!CC$4="Sí",1/DATOS_[[% normaliz]:[% normaliz]],1)*(DATOS_[C.Extra.07])))))))),
0)</f>
        <v>0</v>
      </c>
      <c r="AS44" s="173">
        <f t="array" ref="AS44">IFERROR(
(AVERAGE((IF(DATOS_[[Sexo]:[Sexo]]=$B44,IF(DATOS_[[AGRUP. CLAS. PROF.]:[AGRUP. CLAS. PROF.]]=$B42,IF(DATOS_[[Check Periodo Ref.]:[Check Periodo Ref.]]="Dentro",IF(DATOS_[[Check Equiparado]:[Check Equiparado]]="Sí",IF(DATOS!CD$5="Sí",(1/DATOS_[[% anualiz]:[% anualiz]]),1)*IF(DATOS!CD$4="Sí",1/DATOS_[[% normaliz]:[% normaliz]],1)*(DATOS_[C.Extra.08])))))))),
0)</f>
        <v>0</v>
      </c>
      <c r="AT44" s="173">
        <f t="array" ref="AT44">IFERROR(
(AVERAGE((IF(DATOS_[[Sexo]:[Sexo]]=$B44,IF(DATOS_[[AGRUP. CLAS. PROF.]:[AGRUP. CLAS. PROF.]]=$B42,IF(DATOS_[[Check Periodo Ref.]:[Check Periodo Ref.]]="Dentro",IF(DATOS_[[Check Equiparado]:[Check Equiparado]]="Sí",IF(DATOS!CG$5="Sí",(1/DATOS_[[% anualiz]:[% anualiz]]),1)*IF(DATOS!CG$4="Sí",1/DATOS_[[% normaliz]:[% normaliz]],1)*(DATOS_[C.Extra.11])))))))),
0)</f>
        <v>0</v>
      </c>
      <c r="AU44" s="197">
        <f t="array" ref="AU44">IFERROR(
AVERAGE(IF(DATOS_[Sexo]=$B44,IF(DATOS_[[AGRUP. CLAS. PROF.]:[AGRUP. CLAS. PROF.]]=$B42,IF(DATOS_[Check Equiparado]="Sí",IF(DATOS_[Check Periodo Ref.]="Dentro",DATOS_[Tot Extrasalarial Eq],FALSE))))),
0)</f>
        <v>0</v>
      </c>
      <c r="AV44" s="175">
        <f t="array" ref="AV44">IFERROR(
AVERAGE(IF(DATOS_[Sexo]=$B44,IF(DATOS_[[AGRUP. CLAS. PROF.]:[AGRUP. CLAS. PROF.]]=$B42,IF(DATOS_[Check Equiparado]="Sí",IF(DATOS_[Check Periodo Ref.]="Dentro",DATOS_[TOTAL Retrib Eq],FALSE))))),
0)</f>
        <v>0</v>
      </c>
    </row>
    <row r="45" spans="1:48" ht="15.6" hidden="1" thickBot="1" x14ac:dyDescent="0.3">
      <c r="A45" s="133" t="str">
        <f t="shared" ref="A45" si="43">+A46</f>
        <v>[ocultar]</v>
      </c>
      <c r="B45" s="199" t="s">
        <v>217</v>
      </c>
      <c r="C45" s="200"/>
      <c r="D45" s="201"/>
      <c r="E45" s="201"/>
      <c r="F45" s="201"/>
      <c r="G45" s="201"/>
      <c r="H45" s="201"/>
      <c r="I45" s="189" t="str">
        <f t="shared" ref="I45:AV45" si="44">IFERROR((I46-I47)/I46,"")</f>
        <v/>
      </c>
      <c r="J45" s="190" t="str">
        <f t="shared" si="44"/>
        <v/>
      </c>
      <c r="K45" s="191" t="str">
        <f t="shared" si="44"/>
        <v/>
      </c>
      <c r="L45" s="191" t="str">
        <f t="shared" si="44"/>
        <v/>
      </c>
      <c r="M45" s="191" t="str">
        <f t="shared" si="44"/>
        <v/>
      </c>
      <c r="N45" s="192" t="str">
        <f t="shared" si="44"/>
        <v/>
      </c>
      <c r="O45" s="193" t="str">
        <f t="shared" si="44"/>
        <v/>
      </c>
      <c r="P45" s="193" t="str">
        <f t="shared" si="44"/>
        <v/>
      </c>
      <c r="Q45" s="193" t="str">
        <f t="shared" si="44"/>
        <v/>
      </c>
      <c r="R45" s="193" t="str">
        <f t="shared" si="44"/>
        <v/>
      </c>
      <c r="S45" s="193" t="str">
        <f t="shared" si="44"/>
        <v/>
      </c>
      <c r="T45" s="193" t="str">
        <f t="shared" si="44"/>
        <v/>
      </c>
      <c r="U45" s="193" t="str">
        <f t="shared" si="44"/>
        <v/>
      </c>
      <c r="V45" s="193" t="str">
        <f t="shared" si="44"/>
        <v/>
      </c>
      <c r="W45" s="193" t="str">
        <f t="shared" si="44"/>
        <v/>
      </c>
      <c r="X45" s="193" t="str">
        <f t="shared" si="44"/>
        <v/>
      </c>
      <c r="Y45" s="193" t="str">
        <f t="shared" si="44"/>
        <v/>
      </c>
      <c r="Z45" s="193" t="str">
        <f t="shared" si="44"/>
        <v/>
      </c>
      <c r="AA45" s="193" t="str">
        <f t="shared" si="44"/>
        <v/>
      </c>
      <c r="AB45" s="193" t="str">
        <f t="shared" si="44"/>
        <v/>
      </c>
      <c r="AC45" s="193" t="str">
        <f t="shared" si="44"/>
        <v/>
      </c>
      <c r="AD45" s="193" t="str">
        <f t="shared" si="44"/>
        <v/>
      </c>
      <c r="AE45" s="193" t="str">
        <f t="shared" si="44"/>
        <v/>
      </c>
      <c r="AF45" s="193" t="str">
        <f t="shared" si="44"/>
        <v/>
      </c>
      <c r="AG45" s="193" t="str">
        <f t="shared" si="44"/>
        <v/>
      </c>
      <c r="AH45" s="193" t="str">
        <f t="shared" si="44"/>
        <v/>
      </c>
      <c r="AI45" s="193" t="str">
        <f t="shared" si="44"/>
        <v/>
      </c>
      <c r="AJ45" s="193" t="str">
        <f t="shared" si="44"/>
        <v/>
      </c>
      <c r="AK45" s="193" t="str">
        <f t="shared" si="44"/>
        <v/>
      </c>
      <c r="AL45" s="193" t="str">
        <f t="shared" si="44"/>
        <v/>
      </c>
      <c r="AM45" s="193" t="str">
        <f t="shared" si="44"/>
        <v/>
      </c>
      <c r="AN45" s="189" t="str">
        <f t="shared" si="44"/>
        <v/>
      </c>
      <c r="AO45" s="162" t="str">
        <f t="shared" si="44"/>
        <v/>
      </c>
      <c r="AP45" s="163" t="str">
        <f t="shared" si="44"/>
        <v/>
      </c>
      <c r="AQ45" s="163" t="str">
        <f t="shared" si="44"/>
        <v/>
      </c>
      <c r="AR45" s="163" t="str">
        <f t="shared" si="44"/>
        <v/>
      </c>
      <c r="AS45" s="163" t="str">
        <f t="shared" si="44"/>
        <v/>
      </c>
      <c r="AT45" s="163" t="str">
        <f t="shared" si="44"/>
        <v/>
      </c>
      <c r="AU45" s="194" t="str">
        <f t="shared" si="44"/>
        <v/>
      </c>
      <c r="AV45" s="269" t="str">
        <f t="shared" si="44"/>
        <v/>
      </c>
    </row>
    <row r="46" spans="1:48" hidden="1" x14ac:dyDescent="0.25">
      <c r="A46" s="133" t="str">
        <f t="shared" ref="A46" si="45">+IF(C46+C47=0,"[ocultar]","")</f>
        <v>[ocultar]</v>
      </c>
      <c r="B46" s="202" t="s">
        <v>394</v>
      </c>
      <c r="C46" s="203">
        <f t="array" ref="C46">SUM(IF($B46=DATOS_[Sexo],
IF($B45=DATOS_[AGRUP. CLAS. PROF.],
IF("Dentro"=DATOS_[Check Periodo Ref.],
1/(COUNTIFS(DATOS_[Sexo],$B46,DATOS_[AGRUP. CLAS. PROF.],$B45,DATOS_[Check Periodo Ref.],"Dentro",DATOS_[id/cod],DATOS_[id/cod]))))))</f>
        <v>0</v>
      </c>
      <c r="D46" s="204">
        <f>COUNTIFS(DATOS_[AGRUP. CLAS. PROF.],$B45,DATOS_[Sexo],$B46,DATOS_[Check Periodo Ref.],"Dentro")</f>
        <v>0</v>
      </c>
      <c r="E46" s="204">
        <f>COUNTIFS(DATOS_[AGRUP. CLAS. PROF.],$B45,DATOS_[Sexo],$B46,DATOS_[Check Periodo Ref.],"Dentro",DATOS_[Check Nº SC Norm],"Sí")</f>
        <v>0</v>
      </c>
      <c r="F46" s="204">
        <f>COUNTIFS(DATOS_[AGRUP. CLAS. PROF.],$B45,DATOS_[Sexo],$B46,DATOS_[Check Periodo Ref.],"Dentro",DATOS_[Check Nº SC Anualiz],"Sí")</f>
        <v>0</v>
      </c>
      <c r="G46" s="204">
        <f>COUNTIFS(DATOS_[AGRUP. CLAS. PROF.],$B45,DATOS_[Sexo],$B46,DATOS_[Check Periodo Ref.],"Dentro",DATOS_[Check Nº SC Norm y Anualiz],"Sí")</f>
        <v>0</v>
      </c>
      <c r="H46" s="204">
        <f>COUNTIFS(DATOS_[AGRUP. CLAS. PROF.],$B45,DATOS_[Sexo],$B46,DATOS_[Check Periodo Ref.],"Dentro",DATOS_[Check Equiparación],"Sí")</f>
        <v>0</v>
      </c>
      <c r="I46" s="195">
        <f t="array" ref="I46">IFERROR(
AVERAGE(IF(DATOS_[Sexo]=$B46,IF(DATOS_[[AGRUP. CLAS. PROF.]:[AGRUP. CLAS. PROF.]]=$B45,IF(DATOS_[Check Equiparado]="Sí",IF(DATOS_[Check Periodo Ref.]="Dentro",DATOS_[SALARIO BASE Eq],FALSE))))),
0)</f>
        <v>0</v>
      </c>
      <c r="J46" s="196">
        <f t="array" ref="J46">IFERROR(
(AVERAGE((IF(DATOS_[[Sexo]:[Sexo]]=$B46,IF(DATOS_[[AGRUP. CLAS. PROF.]:[AGRUP. CLAS. PROF.]]=$B45,IF(DATOS_[[Check Periodo Ref.]:[Check Periodo Ref.]]="Dentro",IF(DATOS_[[Check Equiparado]:[Check Equiparado]]="Sí",IF(DATOS!AE$5="Sí",(1/DATOS_[[% anualiz]:[% anualiz]]),1)*IF(DATOS!AE$4="Sí",1/DATOS_[[% normaliz]:[% normaliz]],1)*(DATOS_[Conc.Sal.01])))))))),
0)</f>
        <v>0</v>
      </c>
      <c r="K46" s="196">
        <f t="array" ref="K46">IFERROR(
(AVERAGE((IF(DATOS_[[Sexo]:[Sexo]]=$B46,IF(DATOS_[[AGRUP. CLAS. PROF.]:[AGRUP. CLAS. PROF.]]=$B45,IF(DATOS_[[Check Periodo Ref.]:[Check Periodo Ref.]]="Dentro",IF(DATOS_[[Check Equiparado]:[Check Equiparado]]="Sí",IF(DATOS!AF$5="Sí",(1/DATOS_[[% anualiz]:[% anualiz]]),1)*IF(DATOS!AF$4="Sí",1/DATOS_[[% normaliz]:[% normaliz]],1)*(DATOS_[Conc.Sal.02])))))))),
0)</f>
        <v>0</v>
      </c>
      <c r="L46" s="196">
        <f t="array" ref="L46">IFERROR(
(AVERAGE((IF(DATOS_[[Sexo]:[Sexo]]=$B46,IF(DATOS_[[AGRUP. CLAS. PROF.]:[AGRUP. CLAS. PROF.]]=$B45,IF(DATOS_[[Check Periodo Ref.]:[Check Periodo Ref.]]="Dentro",IF(DATOS_[[Check Equiparado]:[Check Equiparado]]="Sí",IF(DATOS!AG$5="Sí",(1/DATOS_[[% anualiz]:[% anualiz]]),1)*IF(DATOS!AG$4="Sí",1/DATOS_[[% normaliz]:[% normaliz]],1)*(DATOS_[Conc.Sal.03])))))))),
0)</f>
        <v>0</v>
      </c>
      <c r="M46" s="196">
        <f t="array" ref="M46">IFERROR(
(AVERAGE((IF(DATOS_[[Sexo]:[Sexo]]=$B46,IF(DATOS_[[AGRUP. CLAS. PROF.]:[AGRUP. CLAS. PROF.]]=$B45,IF(DATOS_[[Check Periodo Ref.]:[Check Periodo Ref.]]="Dentro",IF(DATOS_[[Check Equiparado]:[Check Equiparado]]="Sí",IF(DATOS!AH$5="Sí",(1/DATOS_[[% anualiz]:[% anualiz]]),1)*IF(DATOS!AH$4="Sí",1/DATOS_[[% normaliz]:[% normaliz]],1)*(DATOS_[Conc.Sal.04])))))))),
0)</f>
        <v>0</v>
      </c>
      <c r="N46" s="196">
        <f t="array" ref="N46">IFERROR(
(AVERAGE((IF(DATOS_[[Sexo]:[Sexo]]=$B46,IF(DATOS_[[AGRUP. CLAS. PROF.]:[AGRUP. CLAS. PROF.]]=$B45,IF(DATOS_[[Check Periodo Ref.]:[Check Periodo Ref.]]="Dentro",IF(DATOS_[[Check Equiparado]:[Check Equiparado]]="Sí",IF(DATOS!AI$5="Sí",(1/DATOS_[[% anualiz]:[% anualiz]]),1)*IF(DATOS!AI$4="Sí",1/DATOS_[[% normaliz]:[% normaliz]],1)*(DATOS_[Conc.Sal.05])))))))),
0)</f>
        <v>0</v>
      </c>
      <c r="O46" s="196">
        <f t="array" ref="O46">IFERROR(
(AVERAGE((IF(DATOS_[[Sexo]:[Sexo]]=$B46,IF(DATOS_[[AGRUP. CLAS. PROF.]:[AGRUP. CLAS. PROF.]]=$B45,IF(DATOS_[[Check Periodo Ref.]:[Check Periodo Ref.]]="Dentro",IF(DATOS_[[Check Equiparado]:[Check Equiparado]]="Sí",IF(DATOS!AJ$5="Sí",(1/DATOS_[[% anualiz]:[% anualiz]]),1)*IF(DATOS!AJ$4="Sí",1/DATOS_[[% normaliz]:[% normaliz]],1)*(DATOS_[Conc.Sal.06])))))))),
0)</f>
        <v>0</v>
      </c>
      <c r="P46" s="196">
        <f t="array" ref="P46">IFERROR(
(AVERAGE((IF(DATOS_[[Sexo]:[Sexo]]=$B46,IF(DATOS_[[AGRUP. CLAS. PROF.]:[AGRUP. CLAS. PROF.]]=$B45,IF(DATOS_[[Check Periodo Ref.]:[Check Periodo Ref.]]="Dentro",IF(DATOS_[[Check Equiparado]:[Check Equiparado]]="Sí",IF(DATOS!AK$5="Sí",(1/DATOS_[[% anualiz]:[% anualiz]]),1)*IF(DATOS!AK$4="Sí",1/DATOS_[[% normaliz]:[% normaliz]],1)*(DATOS_[Conc.Sal.07])))))))),
0)</f>
        <v>0</v>
      </c>
      <c r="Q46" s="196">
        <f t="array" ref="Q46">IFERROR(
(AVERAGE((IF(DATOS_[[Sexo]:[Sexo]]=$B46,IF(DATOS_[[AGRUP. CLAS. PROF.]:[AGRUP. CLAS. PROF.]]=$B45,IF(DATOS_[[Check Periodo Ref.]:[Check Periodo Ref.]]="Dentro",IF(DATOS_[[Check Equiparado]:[Check Equiparado]]="Sí",IF(DATOS!AL$5="Sí",(1/DATOS_[[% anualiz]:[% anualiz]]),1)*IF(DATOS!AL$4="Sí",1/DATOS_[[% normaliz]:[% normaliz]],1)*(DATOS_[Conc.Sal.08])))))))),
0)</f>
        <v>0</v>
      </c>
      <c r="R46" s="196">
        <f t="array" ref="R46">IFERROR(
(AVERAGE((IF(DATOS_[[Sexo]:[Sexo]]=$B46,IF(DATOS_[[AGRUP. CLAS. PROF.]:[AGRUP. CLAS. PROF.]]=$B45,IF(DATOS_[[Check Periodo Ref.]:[Check Periodo Ref.]]="Dentro",IF(DATOS_[[Check Equiparado]:[Check Equiparado]]="Sí",IF(DATOS!AM$5="Sí",(1/DATOS_[[% anualiz]:[% anualiz]]),1)*IF(DATOS!AM$4="Sí",1/DATOS_[[% normaliz]:[% normaliz]],1)*(DATOS_[Conc.Sal.09])))))))),
0)</f>
        <v>0</v>
      </c>
      <c r="S46" s="196">
        <f t="array" ref="S46">IFERROR(
(AVERAGE((IF(DATOS_[[Sexo]:[Sexo]]=$B46,IF(DATOS_[[AGRUP. CLAS. PROF.]:[AGRUP. CLAS. PROF.]]=$B45,IF(DATOS_[[Check Periodo Ref.]:[Check Periodo Ref.]]="Dentro",IF(DATOS_[[Check Equiparado]:[Check Equiparado]]="Sí",IF(DATOS!AN$5="Sí",(1/DATOS_[[% anualiz]:[% anualiz]]),1)*IF(DATOS!AN$4="Sí",1/DATOS_[[% normaliz]:[% normaliz]],1)*(DATOS_[Conc.Sal.10])))))))),
0)</f>
        <v>0</v>
      </c>
      <c r="T46" s="196">
        <f t="array" ref="T46">IFERROR(
(AVERAGE((IF(DATOS_[[Sexo]:[Sexo]]=$B46,IF(DATOS_[[AGRUP. CLAS. PROF.]:[AGRUP. CLAS. PROF.]]=$B45,IF(DATOS_[[Check Periodo Ref.]:[Check Periodo Ref.]]="Dentro",IF(DATOS_[[Check Equiparado]:[Check Equiparado]]="Sí",IF(DATOS!AO$5="Sí",(1/DATOS_[[% anualiz]:[% anualiz]]),1)*IF(DATOS!AO$4="Sí",1/DATOS_[[% normaliz]:[% normaliz]],1)*(DATOS_[Conc.Sal.11])))))))),
0)</f>
        <v>0</v>
      </c>
      <c r="U46" s="196">
        <f t="array" ref="U46">IFERROR(
(AVERAGE((IF(DATOS_[[Sexo]:[Sexo]]=$B46,IF(DATOS_[[AGRUP. CLAS. PROF.]:[AGRUP. CLAS. PROF.]]=$B45,IF(DATOS_[[Check Periodo Ref.]:[Check Periodo Ref.]]="Dentro",IF(DATOS_[[Check Equiparado]:[Check Equiparado]]="Sí",IF(DATOS!AP$5="Sí",(1/DATOS_[[% anualiz]:[% anualiz]]),1)*IF(DATOS!AP$4="Sí",1/DATOS_[[% normaliz]:[% normaliz]],1)*(DATOS_[Conc.Sal.12])))))))),
0)</f>
        <v>0</v>
      </c>
      <c r="V46" s="196">
        <f t="array" ref="V46">IFERROR(
(AVERAGE((IF(DATOS_[[Sexo]:[Sexo]]=$B46,IF(DATOS_[[AGRUP. CLAS. PROF.]:[AGRUP. CLAS. PROF.]]=$B45,IF(DATOS_[[Check Periodo Ref.]:[Check Periodo Ref.]]="Dentro",IF(DATOS_[[Check Equiparado]:[Check Equiparado]]="Sí",IF(DATOS!AQ$5="Sí",(1/DATOS_[[% anualiz]:[% anualiz]]),1)*IF(DATOS!AQ$4="Sí",1/DATOS_[[% normaliz]:[% normaliz]],1)*(DATOS_[Conc.Sal.13])))))))),
0)</f>
        <v>0</v>
      </c>
      <c r="W46" s="196">
        <f t="array" ref="W46">IFERROR(
(AVERAGE((IF(DATOS_[[Sexo]:[Sexo]]=$B46,IF(DATOS_[[AGRUP. CLAS. PROF.]:[AGRUP. CLAS. PROF.]]=$B45,IF(DATOS_[[Check Periodo Ref.]:[Check Periodo Ref.]]="Dentro",IF(DATOS_[[Check Equiparado]:[Check Equiparado]]="Sí",IF(DATOS!AR$5="Sí",(1/DATOS_[[% anualiz]:[% anualiz]]),1)*IF(DATOS!AR$4="Sí",1/DATOS_[[% normaliz]:[% normaliz]],1)*(DATOS_[Conc.Sal.14])))))))),
0)</f>
        <v>0</v>
      </c>
      <c r="X46" s="196">
        <f t="array" ref="X46">IFERROR(
(AVERAGE((IF(DATOS_[[Sexo]:[Sexo]]=$B46,IF(DATOS_[[AGRUP. CLAS. PROF.]:[AGRUP. CLAS. PROF.]]=$B45,IF(DATOS_[[Check Periodo Ref.]:[Check Periodo Ref.]]="Dentro",IF(DATOS_[[Check Equiparado]:[Check Equiparado]]="Sí",IF(DATOS!AS$5="Sí",(1/DATOS_[[% anualiz]:[% anualiz]]),1)*IF(DATOS!AS$4="Sí",1/DATOS_[[% normaliz]:[% normaliz]],1)*(DATOS_[Conc.Sal.15])))))))),
0)</f>
        <v>0</v>
      </c>
      <c r="Y46" s="196">
        <f t="array" ref="Y46">IFERROR(
(AVERAGE((IF(DATOS_[[Sexo]:[Sexo]]=$B46,IF(DATOS_[[AGRUP. CLAS. PROF.]:[AGRUP. CLAS. PROF.]]=$B45,IF(DATOS_[[Check Periodo Ref.]:[Check Periodo Ref.]]="Dentro",IF(DATOS_[[Check Equiparado]:[Check Equiparado]]="Sí",IF(DATOS!AT$5="Sí",(1/DATOS_[[% anualiz]:[% anualiz]]),1)*IF(DATOS!AT$4="Sí",1/DATOS_[[% normaliz]:[% normaliz]],1)*(DATOS_[Conc.Sal.16])))))))),
0)</f>
        <v>0</v>
      </c>
      <c r="Z46" s="196">
        <f t="array" ref="Z46">IFERROR(
(AVERAGE((IF(DATOS_[[Sexo]:[Sexo]]=$B46,IF(DATOS_[[AGRUP. CLAS. PROF.]:[AGRUP. CLAS. PROF.]]=$B45,IF(DATOS_[[Check Periodo Ref.]:[Check Periodo Ref.]]="Dentro",IF(DATOS_[[Check Equiparado]:[Check Equiparado]]="Sí",IF(DATOS!AU$5="Sí",(1/DATOS_[[% anualiz]:[% anualiz]]),1)*IF(DATOS!AU$4="Sí",1/DATOS_[[% normaliz]:[% normaliz]],1)*(DATOS_[Conc.Sal.17])))))))),
0)</f>
        <v>0</v>
      </c>
      <c r="AA46" s="196">
        <f t="array" ref="AA46">IFERROR(
(AVERAGE((IF(DATOS_[[Sexo]:[Sexo]]=$B46,IF(DATOS_[[AGRUP. CLAS. PROF.]:[AGRUP. CLAS. PROF.]]=$B45,IF(DATOS_[[Check Periodo Ref.]:[Check Periodo Ref.]]="Dentro",IF(DATOS_[[Check Equiparado]:[Check Equiparado]]="Sí",IF(DATOS!AV$5="Sí",(1/DATOS_[[% anualiz]:[% anualiz]]),1)*IF(DATOS!AV$4="Sí",1/DATOS_[[% normaliz]:[% normaliz]],1)*(DATOS_[Conc.Sal.18])))))))),
0)</f>
        <v>0</v>
      </c>
      <c r="AB46" s="196">
        <f t="array" ref="AB46">IFERROR(
(AVERAGE((IF(DATOS_[[Sexo]:[Sexo]]=$B46,IF(DATOS_[[AGRUP. CLAS. PROF.]:[AGRUP. CLAS. PROF.]]=$B45,IF(DATOS_[[Check Periodo Ref.]:[Check Periodo Ref.]]="Dentro",IF(DATOS_[[Check Equiparado]:[Check Equiparado]]="Sí",IF(DATOS!AW$5="Sí",(1/DATOS_[[% anualiz]:[% anualiz]]),1)*IF(DATOS!AW$4="Sí",1/DATOS_[[% normaliz]:[% normaliz]],1)*(DATOS_[Conc.Sal.19])))))))),
0)</f>
        <v>0</v>
      </c>
      <c r="AC46" s="196">
        <f t="array" ref="AC46">IFERROR(
(AVERAGE((IF(DATOS_[[Sexo]:[Sexo]]=$B46,IF(DATOS_[[AGRUP. CLAS. PROF.]:[AGRUP. CLAS. PROF.]]=$B45,IF(DATOS_[[Check Periodo Ref.]:[Check Periodo Ref.]]="Dentro",IF(DATOS_[[Check Equiparado]:[Check Equiparado]]="Sí",IF(DATOS!AX$5="Sí",(1/DATOS_[[% anualiz]:[% anualiz]]),1)*IF(DATOS!AX$4="Sí",1/DATOS_[[% normaliz]:[% normaliz]],1)*(DATOS_[Conc.Sal.20])))))))),
0)</f>
        <v>0</v>
      </c>
      <c r="AD46" s="196">
        <f t="array" ref="AD46">IFERROR(
(AVERAGE((IF(DATOS_[[Sexo]:[Sexo]]=$B46,IF(DATOS_[[AGRUP. CLAS. PROF.]:[AGRUP. CLAS. PROF.]]=$B45,IF(DATOS_[[Check Periodo Ref.]:[Check Periodo Ref.]]="Dentro",IF(DATOS_[[Check Equiparado]:[Check Equiparado]]="Sí",IF(DATOS!AY$5="Sí",(1/DATOS_[[% anualiz]:[% anualiz]]),1)*IF(DATOS!AY$4="Sí",1/DATOS_[[% normaliz]:[% normaliz]],1)*(DATOS_[Conc.Sal.21])))))))),
0)</f>
        <v>0</v>
      </c>
      <c r="AE46" s="196">
        <f t="array" ref="AE46">IFERROR(
(AVERAGE((IF(DATOS_[[Sexo]:[Sexo]]=$B46,IF(DATOS_[[AGRUP. CLAS. PROF.]:[AGRUP. CLAS. PROF.]]=$B45,IF(DATOS_[[Check Periodo Ref.]:[Check Periodo Ref.]]="Dentro",IF(DATOS_[[Check Equiparado]:[Check Equiparado]]="Sí",IF(DATOS!AZ$5="Sí",(1/DATOS_[[% anualiz]:[% anualiz]]),1)*IF(DATOS!AZ$4="Sí",1/DATOS_[[% normaliz]:[% normaliz]],1)*(DATOS_[Conc.Sal.22])))))))),
0)</f>
        <v>0</v>
      </c>
      <c r="AF46" s="196">
        <f t="array" ref="AF46">IFERROR(
(AVERAGE((IF(DATOS_[[Sexo]:[Sexo]]=$B46,IF(DATOS_[[AGRUP. CLAS. PROF.]:[AGRUP. CLAS. PROF.]]=$B45,IF(DATOS_[[Check Periodo Ref.]:[Check Periodo Ref.]]="Dentro",IF(DATOS_[[Check Equiparado]:[Check Equiparado]]="Sí",IF(DATOS!BA$5="Sí",(1/DATOS_[[% anualiz]:[% anualiz]]),1)*IF(DATOS!BA$4="Sí",1/DATOS_[[% normaliz]:[% normaliz]],1)*(DATOS_[Conc.Sal.23])))))))),
0)</f>
        <v>0</v>
      </c>
      <c r="AG46" s="196">
        <f t="array" ref="AG46">IFERROR(
(AVERAGE((IF(DATOS_[[Sexo]:[Sexo]]=$B46,IF(DATOS_[[AGRUP. CLAS. PROF.]:[AGRUP. CLAS. PROF.]]=$B45,IF(DATOS_[[Check Periodo Ref.]:[Check Periodo Ref.]]="Dentro",IF(DATOS_[[Check Equiparado]:[Check Equiparado]]="Sí",IF(DATOS!BB$5="Sí",(1/DATOS_[[% anualiz]:[% anualiz]]),1)*IF(DATOS!BB$4="Sí",1/DATOS_[[% normaliz]:[% normaliz]],1)*(DATOS_[Conc.Sal.24])))))))),
0)</f>
        <v>0</v>
      </c>
      <c r="AH46" s="196">
        <f t="array" ref="AH46">IFERROR(
(AVERAGE((IF(DATOS_[[Sexo]:[Sexo]]=$B46,IF(DATOS_[[AGRUP. CLAS. PROF.]:[AGRUP. CLAS. PROF.]]=$B45,IF(DATOS_[[Check Periodo Ref.]:[Check Periodo Ref.]]="Dentro",IF(DATOS_[[Check Equiparado]:[Check Equiparado]]="Sí",IF(DATOS!BC$5="Sí",(1/DATOS_[[% anualiz]:[% anualiz]]),1)*IF(DATOS!BC$4="Sí",1/DATOS_[[% normaliz]:[% normaliz]],1)*(DATOS_[Conc.Sal.25])))))))),
0)</f>
        <v>0</v>
      </c>
      <c r="AI46" s="196">
        <f t="array" ref="AI46">IFERROR(
(AVERAGE((IF(DATOS_[[Sexo]:[Sexo]]=$B46,IF(DATOS_[[AGRUP. CLAS. PROF.]:[AGRUP. CLAS. PROF.]]=$B45,IF(DATOS_[[Check Periodo Ref.]:[Check Periodo Ref.]]="Dentro",IF(DATOS_[[Check Equiparado]:[Check Equiparado]]="Sí",IF(DATOS!BD$5="Sí",(1/DATOS_[[% anualiz]:[% anualiz]]),1)*IF(DATOS!BD$4="Sí",1/DATOS_[[% normaliz]:[% normaliz]],1)*(DATOS_[Conc.Sal.26])))))))),
0)</f>
        <v>0</v>
      </c>
      <c r="AJ46" s="196">
        <f t="array" ref="AJ46">IFERROR(
(AVERAGE((IF(DATOS_[[Sexo]:[Sexo]]=$B46,IF(DATOS_[[AGRUP. CLAS. PROF.]:[AGRUP. CLAS. PROF.]]=$B45,IF(DATOS_[[Check Periodo Ref.]:[Check Periodo Ref.]]="Dentro",IF(DATOS_[[Check Equiparado]:[Check Equiparado]]="Sí",IF(DATOS!BE$5="Sí",(1/DATOS_[[% anualiz]:[% anualiz]]),1)*IF(DATOS!BE$4="Sí",1/DATOS_[[% normaliz]:[% normaliz]],1)*(DATOS_[Conc.Sal.27])))))))),
0)</f>
        <v>0</v>
      </c>
      <c r="AK46" s="196">
        <f t="array" ref="AK46">IFERROR(
(AVERAGE((IF(DATOS_[[Sexo]:[Sexo]]=$B46,IF(DATOS_[[AGRUP. CLAS. PROF.]:[AGRUP. CLAS. PROF.]]=$B45,IF(DATOS_[[Check Periodo Ref.]:[Check Periodo Ref.]]="Dentro",IF(DATOS_[[Check Equiparado]:[Check Equiparado]]="Sí",IF(DATOS!BF$5="Sí",(1/DATOS_[[% anualiz]:[% anualiz]]),1)*IF(DATOS!BF$4="Sí",1/DATOS_[[% normaliz]:[% normaliz]],1)*(DATOS_[Conc.Sal.28])))))))),
0)</f>
        <v>0</v>
      </c>
      <c r="AL46" s="196">
        <f t="array" ref="AL46">IFERROR(
(AVERAGE((IF(DATOS_[[Sexo]:[Sexo]]=$B46,IF(DATOS_[[AGRUP. CLAS. PROF.]:[AGRUP. CLAS. PROF.]]=$B45,IF(DATOS_[[Check Periodo Ref.]:[Check Periodo Ref.]]="Dentro",IF(DATOS_[[Check Equiparado]:[Check Equiparado]]="Sí",IF(DATOS!BG$5="Sí",(1/DATOS_[[% anualiz]:[% anualiz]]),1)*IF(DATOS!BG$4="Sí",1/DATOS_[[% normaliz]:[% normaliz]],1)*(DATOS_[Conc.Sal.29])))))))),
0)</f>
        <v>0</v>
      </c>
      <c r="AM46" s="196">
        <f t="array" ref="AM46">IFERROR(
(AVERAGE((IF(DATOS_[[Sexo]:[Sexo]]=$B46,IF(DATOS_[[AGRUP. CLAS. PROF.]:[AGRUP. CLAS. PROF.]]=$B45,IF(DATOS_[[Check Periodo Ref.]:[Check Periodo Ref.]]="Dentro",IF(DATOS_[[Check Equiparado]:[Check Equiparado]]="Sí",IF(DATOS!BH$5="Sí",(1/DATOS_[[% anualiz]:[% anualiz]]),1)*IF(DATOS!BH$4="Sí",1/DATOS_[[% normaliz]:[% normaliz]],1)*(DATOS_[Conc.Sal.30])))))))),
0)</f>
        <v>0</v>
      </c>
      <c r="AN46" s="195">
        <f t="array" ref="AN46">IFERROR(
AVERAGE(IF(DATOS_[Sexo]=$B46,IF(DATOS_[[AGRUP. CLAS. PROF.]:[AGRUP. CLAS. PROF.]]=$B45,IF(DATOS_[Check Equiparado]="Sí",IF(DATOS_[Check Periodo Ref.]="Dentro",DATOS_[Tot COMPL.SAL Eq],FALSE))))),
0)</f>
        <v>0</v>
      </c>
      <c r="AO46" s="172">
        <f t="array" ref="AO46">IFERROR(
AVERAGE(IF(DATOS_[Sexo]=$B46,IF(DATOS_[[AGRUP. CLAS. PROF.]:[AGRUP. CLAS. PROF.]]=$B45,IF(DATOS_[Check Equiparado]="Sí",IF(DATOS_[Check Periodo Ref.]="Dentro",DATOS_[TOTAL SALARIO Eq],FALSE))))),
0)</f>
        <v>0</v>
      </c>
      <c r="AP46" s="173">
        <f t="array" ref="AP46">IFERROR(
(AVERAGE((IF(DATOS_[[Sexo]:[Sexo]]=$B46,IF(DATOS_[[AGRUP. CLAS. PROF.]:[AGRUP. CLAS. PROF.]]=$B45,IF(DATOS_[[Check Periodo Ref.]:[Check Periodo Ref.]]="Dentro",IF(DATOS_[[Check Equiparado]:[Check Equiparado]]="Sí",IF(DATOS!BW$5="Sí",(1/DATOS_[[% anualiz]:[% anualiz]]),1)*IF(DATOS!BW$4="Sí",1/DATOS_[[% normaliz]:[% normaliz]],1)*(DATOS_[C.Extra.01])))))))),
0)</f>
        <v>0</v>
      </c>
      <c r="AQ46" s="173">
        <f t="array" ref="AQ46">IFERROR(
(AVERAGE((IF(DATOS_[[Sexo]:[Sexo]]=$B46,IF(DATOS_[[AGRUP. CLAS. PROF.]:[AGRUP. CLAS. PROF.]]=$B45,IF(DATOS_[[Check Periodo Ref.]:[Check Periodo Ref.]]="Dentro",IF(DATOS_[[Check Equiparado]:[Check Equiparado]]="Sí",IF(DATOS!CB$5="Sí",(1/DATOS_[[% anualiz]:[% anualiz]]),1)*IF(DATOS!CB$4="Sí",1/DATOS_[[% normaliz]:[% normaliz]],1)*(DATOS_[C.Extra.06])))))))),
0)</f>
        <v>0</v>
      </c>
      <c r="AR46" s="173">
        <f t="array" ref="AR46">IFERROR(
(AVERAGE((IF(DATOS_[[Sexo]:[Sexo]]=$B46,IF(DATOS_[[AGRUP. CLAS. PROF.]:[AGRUP. CLAS. PROF.]]=$B45,IF(DATOS_[[Check Periodo Ref.]:[Check Periodo Ref.]]="Dentro",IF(DATOS_[[Check Equiparado]:[Check Equiparado]]="Sí",IF(DATOS!CC$5="Sí",(1/DATOS_[[% anualiz]:[% anualiz]]),1)*IF(DATOS!CC$4="Sí",1/DATOS_[[% normaliz]:[% normaliz]],1)*(DATOS_[C.Extra.07])))))))),
0)</f>
        <v>0</v>
      </c>
      <c r="AS46" s="173">
        <f t="array" ref="AS46">IFERROR(
(AVERAGE((IF(DATOS_[[Sexo]:[Sexo]]=$B46,IF(DATOS_[[AGRUP. CLAS. PROF.]:[AGRUP. CLAS. PROF.]]=$B45,IF(DATOS_[[Check Periodo Ref.]:[Check Periodo Ref.]]="Dentro",IF(DATOS_[[Check Equiparado]:[Check Equiparado]]="Sí",IF(DATOS!CD$5="Sí",(1/DATOS_[[% anualiz]:[% anualiz]]),1)*IF(DATOS!CD$4="Sí",1/DATOS_[[% normaliz]:[% normaliz]],1)*(DATOS_[C.Extra.08])))))))),
0)</f>
        <v>0</v>
      </c>
      <c r="AT46" s="173">
        <f t="array" ref="AT46">IFERROR(
(AVERAGE((IF(DATOS_[[Sexo]:[Sexo]]=$B46,IF(DATOS_[[AGRUP. CLAS. PROF.]:[AGRUP. CLAS. PROF.]]=$B45,IF(DATOS_[[Check Periodo Ref.]:[Check Periodo Ref.]]="Dentro",IF(DATOS_[[Check Equiparado]:[Check Equiparado]]="Sí",IF(DATOS!CG$5="Sí",(1/DATOS_[[% anualiz]:[% anualiz]]),1)*IF(DATOS!CG$4="Sí",1/DATOS_[[% normaliz]:[% normaliz]],1)*(DATOS_[C.Extra.11])))))))),
0)</f>
        <v>0</v>
      </c>
      <c r="AU46" s="197">
        <f t="array" ref="AU46">IFERROR(
AVERAGE(IF(DATOS_[Sexo]=$B46,IF(DATOS_[[AGRUP. CLAS. PROF.]:[AGRUP. CLAS. PROF.]]=$B45,IF(DATOS_[Check Equiparado]="Sí",IF(DATOS_[Check Periodo Ref.]="Dentro",DATOS_[Tot Extrasalarial Eq],FALSE))))),
0)</f>
        <v>0</v>
      </c>
      <c r="AV46" s="175">
        <f t="array" ref="AV46">IFERROR(
AVERAGE(IF(DATOS_[Sexo]=$B46,IF(DATOS_[[AGRUP. CLAS. PROF.]:[AGRUP. CLAS. PROF.]]=$B45,IF(DATOS_[Check Equiparado]="Sí",IF(DATOS_[Check Periodo Ref.]="Dentro",DATOS_[TOTAL Retrib Eq],FALSE))))),
0)</f>
        <v>0</v>
      </c>
    </row>
    <row r="47" spans="1:48" hidden="1" x14ac:dyDescent="0.25">
      <c r="A47" s="133" t="str">
        <f t="shared" ref="A47" si="46">+A46</f>
        <v>[ocultar]</v>
      </c>
      <c r="B47" s="202" t="s">
        <v>521</v>
      </c>
      <c r="C47" s="203">
        <f t="array" ref="C47">SUM(IF($B47=DATOS_[Sexo],
IF($B45=DATOS_[AGRUP. CLAS. PROF.],
IF("Dentro"=DATOS_[Check Periodo Ref.],
1/(COUNTIFS(DATOS_[Sexo],$B47,DATOS_[AGRUP. CLAS. PROF.],$B45,DATOS_[Check Periodo Ref.],"Dentro",DATOS_[id/cod],DATOS_[id/cod]))))))</f>
        <v>0</v>
      </c>
      <c r="D47" s="204">
        <f>COUNTIFS(DATOS_[AGRUP. CLAS. PROF.],$B45,DATOS_[Sexo],$B47,DATOS_[Check Periodo Ref.],"Dentro")</f>
        <v>0</v>
      </c>
      <c r="E47" s="204">
        <f>COUNTIFS(DATOS_[AGRUP. CLAS. PROF.],$B45,DATOS_[Sexo],$B47,DATOS_[Check Periodo Ref.],"Dentro",DATOS_[Check Nº SC Norm],"Sí")</f>
        <v>0</v>
      </c>
      <c r="F47" s="204">
        <f>COUNTIFS(DATOS_[AGRUP. CLAS. PROF.],$B45,DATOS_[Sexo],$B47,DATOS_[Check Periodo Ref.],"Dentro",DATOS_[Check Nº SC Anualiz],"Sí")</f>
        <v>0</v>
      </c>
      <c r="G47" s="204">
        <f>COUNTIFS(DATOS_[AGRUP. CLAS. PROF.],$B45,DATOS_[Sexo],$B47,DATOS_[Check Periodo Ref.],"Dentro",DATOS_[Check Nº SC Norm y Anualiz],"Sí")</f>
        <v>0</v>
      </c>
      <c r="H47" s="204">
        <f>COUNTIFS(DATOS_[AGRUP. CLAS. PROF.],$B45,DATOS_[Sexo],$B47,DATOS_[Check Periodo Ref.],"Dentro",DATOS_[Check Equiparación],"Sí")</f>
        <v>0</v>
      </c>
      <c r="I47" s="195" cm="1">
        <f t="array" ref="I47">IFERROR(
AVERAGE(IF(DATOS_[Sexo]=$B47,IF(DATOS_[[AGRUP. CLAS. PROF.]:[AGRUP. CLAS. PROF.]]=$B45,IF(DATOS_[Check Equiparado]="Sí",IF(DATOS_[Check Periodo Ref.]="Dentro",DATOS_[SALARIO BASE Eq],FALSE))))),
0)</f>
        <v>0</v>
      </c>
      <c r="J47" s="196">
        <f t="array" ref="J47">IFERROR(
(AVERAGE((IF(DATOS_[[Sexo]:[Sexo]]=$B47,IF(DATOS_[[AGRUP. CLAS. PROF.]:[AGRUP. CLAS. PROF.]]=$B45,IF(DATOS_[[Check Periodo Ref.]:[Check Periodo Ref.]]="Dentro",IF(DATOS_[[Check Equiparado]:[Check Equiparado]]="Sí",IF(DATOS!AE$5="Sí",(1/DATOS_[[% anualiz]:[% anualiz]]),1)*IF(DATOS!AE$4="Sí",1/DATOS_[[% normaliz]:[% normaliz]],1)*(DATOS_[Conc.Sal.01])))))))),
0)</f>
        <v>0</v>
      </c>
      <c r="K47" s="196">
        <f t="array" ref="K47">IFERROR(
(AVERAGE((IF(DATOS_[[Sexo]:[Sexo]]=$B47,IF(DATOS_[[AGRUP. CLAS. PROF.]:[AGRUP. CLAS. PROF.]]=$B45,IF(DATOS_[[Check Periodo Ref.]:[Check Periodo Ref.]]="Dentro",IF(DATOS_[[Check Equiparado]:[Check Equiparado]]="Sí",IF(DATOS!AF$5="Sí",(1/DATOS_[[% anualiz]:[% anualiz]]),1)*IF(DATOS!AF$4="Sí",1/DATOS_[[% normaliz]:[% normaliz]],1)*(DATOS_[Conc.Sal.02])))))))),
0)</f>
        <v>0</v>
      </c>
      <c r="L47" s="196">
        <f t="array" ref="L47">IFERROR(
(AVERAGE((IF(DATOS_[[Sexo]:[Sexo]]=$B47,IF(DATOS_[[AGRUP. CLAS. PROF.]:[AGRUP. CLAS. PROF.]]=$B45,IF(DATOS_[[Check Periodo Ref.]:[Check Periodo Ref.]]="Dentro",IF(DATOS_[[Check Equiparado]:[Check Equiparado]]="Sí",IF(DATOS!AG$5="Sí",(1/DATOS_[[% anualiz]:[% anualiz]]),1)*IF(DATOS!AG$4="Sí",1/DATOS_[[% normaliz]:[% normaliz]],1)*(DATOS_[Conc.Sal.03])))))))),
0)</f>
        <v>0</v>
      </c>
      <c r="M47" s="196">
        <f t="array" ref="M47">IFERROR(
(AVERAGE((IF(DATOS_[[Sexo]:[Sexo]]=$B47,IF(DATOS_[[AGRUP. CLAS. PROF.]:[AGRUP. CLAS. PROF.]]=$B45,IF(DATOS_[[Check Periodo Ref.]:[Check Periodo Ref.]]="Dentro",IF(DATOS_[[Check Equiparado]:[Check Equiparado]]="Sí",IF(DATOS!AH$5="Sí",(1/DATOS_[[% anualiz]:[% anualiz]]),1)*IF(DATOS!AH$4="Sí",1/DATOS_[[% normaliz]:[% normaliz]],1)*(DATOS_[Conc.Sal.04])))))))),
0)</f>
        <v>0</v>
      </c>
      <c r="N47" s="196">
        <f t="array" ref="N47">IFERROR(
(AVERAGE((IF(DATOS_[[Sexo]:[Sexo]]=$B47,IF(DATOS_[[AGRUP. CLAS. PROF.]:[AGRUP. CLAS. PROF.]]=$B45,IF(DATOS_[[Check Periodo Ref.]:[Check Periodo Ref.]]="Dentro",IF(DATOS_[[Check Equiparado]:[Check Equiparado]]="Sí",IF(DATOS!AI$5="Sí",(1/DATOS_[[% anualiz]:[% anualiz]]),1)*IF(DATOS!AI$4="Sí",1/DATOS_[[% normaliz]:[% normaliz]],1)*(DATOS_[Conc.Sal.05])))))))),
0)</f>
        <v>0</v>
      </c>
      <c r="O47" s="196">
        <f t="array" ref="O47">IFERROR(
(AVERAGE((IF(DATOS_[[Sexo]:[Sexo]]=$B47,IF(DATOS_[[AGRUP. CLAS. PROF.]:[AGRUP. CLAS. PROF.]]=$B45,IF(DATOS_[[Check Periodo Ref.]:[Check Periodo Ref.]]="Dentro",IF(DATOS_[[Check Equiparado]:[Check Equiparado]]="Sí",IF(DATOS!AJ$5="Sí",(1/DATOS_[[% anualiz]:[% anualiz]]),1)*IF(DATOS!AJ$4="Sí",1/DATOS_[[% normaliz]:[% normaliz]],1)*(DATOS_[Conc.Sal.06])))))))),
0)</f>
        <v>0</v>
      </c>
      <c r="P47" s="196">
        <f t="array" ref="P47">IFERROR(
(AVERAGE((IF(DATOS_[[Sexo]:[Sexo]]=$B47,IF(DATOS_[[AGRUP. CLAS. PROF.]:[AGRUP. CLAS. PROF.]]=$B45,IF(DATOS_[[Check Periodo Ref.]:[Check Periodo Ref.]]="Dentro",IF(DATOS_[[Check Equiparado]:[Check Equiparado]]="Sí",IF(DATOS!AK$5="Sí",(1/DATOS_[[% anualiz]:[% anualiz]]),1)*IF(DATOS!AK$4="Sí",1/DATOS_[[% normaliz]:[% normaliz]],1)*(DATOS_[Conc.Sal.07])))))))),
0)</f>
        <v>0</v>
      </c>
      <c r="Q47" s="196">
        <f t="array" ref="Q47">IFERROR(
(AVERAGE((IF(DATOS_[[Sexo]:[Sexo]]=$B47,IF(DATOS_[[AGRUP. CLAS. PROF.]:[AGRUP. CLAS. PROF.]]=$B45,IF(DATOS_[[Check Periodo Ref.]:[Check Periodo Ref.]]="Dentro",IF(DATOS_[[Check Equiparado]:[Check Equiparado]]="Sí",IF(DATOS!AL$5="Sí",(1/DATOS_[[% anualiz]:[% anualiz]]),1)*IF(DATOS!AL$4="Sí",1/DATOS_[[% normaliz]:[% normaliz]],1)*(DATOS_[Conc.Sal.08])))))))),
0)</f>
        <v>0</v>
      </c>
      <c r="R47" s="196">
        <f t="array" ref="R47">IFERROR(
(AVERAGE((IF(DATOS_[[Sexo]:[Sexo]]=$B47,IF(DATOS_[[AGRUP. CLAS. PROF.]:[AGRUP. CLAS. PROF.]]=$B45,IF(DATOS_[[Check Periodo Ref.]:[Check Periodo Ref.]]="Dentro",IF(DATOS_[[Check Equiparado]:[Check Equiparado]]="Sí",IF(DATOS!AM$5="Sí",(1/DATOS_[[% anualiz]:[% anualiz]]),1)*IF(DATOS!AM$4="Sí",1/DATOS_[[% normaliz]:[% normaliz]],1)*(DATOS_[Conc.Sal.09])))))))),
0)</f>
        <v>0</v>
      </c>
      <c r="S47" s="196">
        <f t="array" ref="S47">IFERROR(
(AVERAGE((IF(DATOS_[[Sexo]:[Sexo]]=$B47,IF(DATOS_[[AGRUP. CLAS. PROF.]:[AGRUP. CLAS. PROF.]]=$B45,IF(DATOS_[[Check Periodo Ref.]:[Check Periodo Ref.]]="Dentro",IF(DATOS_[[Check Equiparado]:[Check Equiparado]]="Sí",IF(DATOS!AN$5="Sí",(1/DATOS_[[% anualiz]:[% anualiz]]),1)*IF(DATOS!AN$4="Sí",1/DATOS_[[% normaliz]:[% normaliz]],1)*(DATOS_[Conc.Sal.10])))))))),
0)</f>
        <v>0</v>
      </c>
      <c r="T47" s="196">
        <f t="array" ref="T47">IFERROR(
(AVERAGE((IF(DATOS_[[Sexo]:[Sexo]]=$B47,IF(DATOS_[[AGRUP. CLAS. PROF.]:[AGRUP. CLAS. PROF.]]=$B45,IF(DATOS_[[Check Periodo Ref.]:[Check Periodo Ref.]]="Dentro",IF(DATOS_[[Check Equiparado]:[Check Equiparado]]="Sí",IF(DATOS!AO$5="Sí",(1/DATOS_[[% anualiz]:[% anualiz]]),1)*IF(DATOS!AO$4="Sí",1/DATOS_[[% normaliz]:[% normaliz]],1)*(DATOS_[Conc.Sal.11])))))))),
0)</f>
        <v>0</v>
      </c>
      <c r="U47" s="196">
        <f t="array" ref="U47">IFERROR(
(AVERAGE((IF(DATOS_[[Sexo]:[Sexo]]=$B47,IF(DATOS_[[AGRUP. CLAS. PROF.]:[AGRUP. CLAS. PROF.]]=$B45,IF(DATOS_[[Check Periodo Ref.]:[Check Periodo Ref.]]="Dentro",IF(DATOS_[[Check Equiparado]:[Check Equiparado]]="Sí",IF(DATOS!AP$5="Sí",(1/DATOS_[[% anualiz]:[% anualiz]]),1)*IF(DATOS!AP$4="Sí",1/DATOS_[[% normaliz]:[% normaliz]],1)*(DATOS_[Conc.Sal.12])))))))),
0)</f>
        <v>0</v>
      </c>
      <c r="V47" s="196">
        <f t="array" ref="V47">IFERROR(
(AVERAGE((IF(DATOS_[[Sexo]:[Sexo]]=$B47,IF(DATOS_[[AGRUP. CLAS. PROF.]:[AGRUP. CLAS. PROF.]]=$B45,IF(DATOS_[[Check Periodo Ref.]:[Check Periodo Ref.]]="Dentro",IF(DATOS_[[Check Equiparado]:[Check Equiparado]]="Sí",IF(DATOS!AQ$5="Sí",(1/DATOS_[[% anualiz]:[% anualiz]]),1)*IF(DATOS!AQ$4="Sí",1/DATOS_[[% normaliz]:[% normaliz]],1)*(DATOS_[Conc.Sal.13])))))))),
0)</f>
        <v>0</v>
      </c>
      <c r="W47" s="196">
        <f t="array" ref="W47">IFERROR(
(AVERAGE((IF(DATOS_[[Sexo]:[Sexo]]=$B47,IF(DATOS_[[AGRUP. CLAS. PROF.]:[AGRUP. CLAS. PROF.]]=$B45,IF(DATOS_[[Check Periodo Ref.]:[Check Periodo Ref.]]="Dentro",IF(DATOS_[[Check Equiparado]:[Check Equiparado]]="Sí",IF(DATOS!AR$5="Sí",(1/DATOS_[[% anualiz]:[% anualiz]]),1)*IF(DATOS!AR$4="Sí",1/DATOS_[[% normaliz]:[% normaliz]],1)*(DATOS_[Conc.Sal.14])))))))),
0)</f>
        <v>0</v>
      </c>
      <c r="X47" s="196">
        <f t="array" ref="X47">IFERROR(
(AVERAGE((IF(DATOS_[[Sexo]:[Sexo]]=$B47,IF(DATOS_[[AGRUP. CLAS. PROF.]:[AGRUP. CLAS. PROF.]]=$B45,IF(DATOS_[[Check Periodo Ref.]:[Check Periodo Ref.]]="Dentro",IF(DATOS_[[Check Equiparado]:[Check Equiparado]]="Sí",IF(DATOS!AS$5="Sí",(1/DATOS_[[% anualiz]:[% anualiz]]),1)*IF(DATOS!AS$4="Sí",1/DATOS_[[% normaliz]:[% normaliz]],1)*(DATOS_[Conc.Sal.15])))))))),
0)</f>
        <v>0</v>
      </c>
      <c r="Y47" s="196">
        <f t="array" ref="Y47">IFERROR(
(AVERAGE((IF(DATOS_[[Sexo]:[Sexo]]=$B47,IF(DATOS_[[AGRUP. CLAS. PROF.]:[AGRUP. CLAS. PROF.]]=$B45,IF(DATOS_[[Check Periodo Ref.]:[Check Periodo Ref.]]="Dentro",IF(DATOS_[[Check Equiparado]:[Check Equiparado]]="Sí",IF(DATOS!AT$5="Sí",(1/DATOS_[[% anualiz]:[% anualiz]]),1)*IF(DATOS!AT$4="Sí",1/DATOS_[[% normaliz]:[% normaliz]],1)*(DATOS_[Conc.Sal.16])))))))),
0)</f>
        <v>0</v>
      </c>
      <c r="Z47" s="196">
        <f t="array" ref="Z47">IFERROR(
(AVERAGE((IF(DATOS_[[Sexo]:[Sexo]]=$B47,IF(DATOS_[[AGRUP. CLAS. PROF.]:[AGRUP. CLAS. PROF.]]=$B45,IF(DATOS_[[Check Periodo Ref.]:[Check Periodo Ref.]]="Dentro",IF(DATOS_[[Check Equiparado]:[Check Equiparado]]="Sí",IF(DATOS!AU$5="Sí",(1/DATOS_[[% anualiz]:[% anualiz]]),1)*IF(DATOS!AU$4="Sí",1/DATOS_[[% normaliz]:[% normaliz]],1)*(DATOS_[Conc.Sal.17])))))))),
0)</f>
        <v>0</v>
      </c>
      <c r="AA47" s="196">
        <f t="array" ref="AA47">IFERROR(
(AVERAGE((IF(DATOS_[[Sexo]:[Sexo]]=$B47,IF(DATOS_[[AGRUP. CLAS. PROF.]:[AGRUP. CLAS. PROF.]]=$B45,IF(DATOS_[[Check Periodo Ref.]:[Check Periodo Ref.]]="Dentro",IF(DATOS_[[Check Equiparado]:[Check Equiparado]]="Sí",IF(DATOS!AV$5="Sí",(1/DATOS_[[% anualiz]:[% anualiz]]),1)*IF(DATOS!AV$4="Sí",1/DATOS_[[% normaliz]:[% normaliz]],1)*(DATOS_[Conc.Sal.18])))))))),
0)</f>
        <v>0</v>
      </c>
      <c r="AB47" s="196">
        <f t="array" ref="AB47">IFERROR(
(AVERAGE((IF(DATOS_[[Sexo]:[Sexo]]=$B47,IF(DATOS_[[AGRUP. CLAS. PROF.]:[AGRUP. CLAS. PROF.]]=$B45,IF(DATOS_[[Check Periodo Ref.]:[Check Periodo Ref.]]="Dentro",IF(DATOS_[[Check Equiparado]:[Check Equiparado]]="Sí",IF(DATOS!AW$5="Sí",(1/DATOS_[[% anualiz]:[% anualiz]]),1)*IF(DATOS!AW$4="Sí",1/DATOS_[[% normaliz]:[% normaliz]],1)*(DATOS_[Conc.Sal.19])))))))),
0)</f>
        <v>0</v>
      </c>
      <c r="AC47" s="196">
        <f t="array" ref="AC47">IFERROR(
(AVERAGE((IF(DATOS_[[Sexo]:[Sexo]]=$B47,IF(DATOS_[[AGRUP. CLAS. PROF.]:[AGRUP. CLAS. PROF.]]=$B45,IF(DATOS_[[Check Periodo Ref.]:[Check Periodo Ref.]]="Dentro",IF(DATOS_[[Check Equiparado]:[Check Equiparado]]="Sí",IF(DATOS!AX$5="Sí",(1/DATOS_[[% anualiz]:[% anualiz]]),1)*IF(DATOS!AX$4="Sí",1/DATOS_[[% normaliz]:[% normaliz]],1)*(DATOS_[Conc.Sal.20])))))))),
0)</f>
        <v>0</v>
      </c>
      <c r="AD47" s="196">
        <f t="array" ref="AD47">IFERROR(
(AVERAGE((IF(DATOS_[[Sexo]:[Sexo]]=$B47,IF(DATOS_[[AGRUP. CLAS. PROF.]:[AGRUP. CLAS. PROF.]]=$B45,IF(DATOS_[[Check Periodo Ref.]:[Check Periodo Ref.]]="Dentro",IF(DATOS_[[Check Equiparado]:[Check Equiparado]]="Sí",IF(DATOS!AY$5="Sí",(1/DATOS_[[% anualiz]:[% anualiz]]),1)*IF(DATOS!AY$4="Sí",1/DATOS_[[% normaliz]:[% normaliz]],1)*(DATOS_[Conc.Sal.21])))))))),
0)</f>
        <v>0</v>
      </c>
      <c r="AE47" s="196">
        <f t="array" ref="AE47">IFERROR(
(AVERAGE((IF(DATOS_[[Sexo]:[Sexo]]=$B47,IF(DATOS_[[AGRUP. CLAS. PROF.]:[AGRUP. CLAS. PROF.]]=$B45,IF(DATOS_[[Check Periodo Ref.]:[Check Periodo Ref.]]="Dentro",IF(DATOS_[[Check Equiparado]:[Check Equiparado]]="Sí",IF(DATOS!AZ$5="Sí",(1/DATOS_[[% anualiz]:[% anualiz]]),1)*IF(DATOS!AZ$4="Sí",1/DATOS_[[% normaliz]:[% normaliz]],1)*(DATOS_[Conc.Sal.22])))))))),
0)</f>
        <v>0</v>
      </c>
      <c r="AF47" s="196">
        <f t="array" ref="AF47">IFERROR(
(AVERAGE((IF(DATOS_[[Sexo]:[Sexo]]=$B47,IF(DATOS_[[AGRUP. CLAS. PROF.]:[AGRUP. CLAS. PROF.]]=$B45,IF(DATOS_[[Check Periodo Ref.]:[Check Periodo Ref.]]="Dentro",IF(DATOS_[[Check Equiparado]:[Check Equiparado]]="Sí",IF(DATOS!BA$5="Sí",(1/DATOS_[[% anualiz]:[% anualiz]]),1)*IF(DATOS!BA$4="Sí",1/DATOS_[[% normaliz]:[% normaliz]],1)*(DATOS_[Conc.Sal.23])))))))),
0)</f>
        <v>0</v>
      </c>
      <c r="AG47" s="196">
        <f t="array" ref="AG47">IFERROR(
(AVERAGE((IF(DATOS_[[Sexo]:[Sexo]]=$B47,IF(DATOS_[[AGRUP. CLAS. PROF.]:[AGRUP. CLAS. PROF.]]=$B45,IF(DATOS_[[Check Periodo Ref.]:[Check Periodo Ref.]]="Dentro",IF(DATOS_[[Check Equiparado]:[Check Equiparado]]="Sí",IF(DATOS!BB$5="Sí",(1/DATOS_[[% anualiz]:[% anualiz]]),1)*IF(DATOS!BB$4="Sí",1/DATOS_[[% normaliz]:[% normaliz]],1)*(DATOS_[Conc.Sal.24])))))))),
0)</f>
        <v>0</v>
      </c>
      <c r="AH47" s="196">
        <f t="array" ref="AH47">IFERROR(
(AVERAGE((IF(DATOS_[[Sexo]:[Sexo]]=$B47,IF(DATOS_[[AGRUP. CLAS. PROF.]:[AGRUP. CLAS. PROF.]]=$B45,IF(DATOS_[[Check Periodo Ref.]:[Check Periodo Ref.]]="Dentro",IF(DATOS_[[Check Equiparado]:[Check Equiparado]]="Sí",IF(DATOS!BC$5="Sí",(1/DATOS_[[% anualiz]:[% anualiz]]),1)*IF(DATOS!BC$4="Sí",1/DATOS_[[% normaliz]:[% normaliz]],1)*(DATOS_[Conc.Sal.25])))))))),
0)</f>
        <v>0</v>
      </c>
      <c r="AI47" s="196">
        <f t="array" ref="AI47">IFERROR(
(AVERAGE((IF(DATOS_[[Sexo]:[Sexo]]=$B47,IF(DATOS_[[AGRUP. CLAS. PROF.]:[AGRUP. CLAS. PROF.]]=$B45,IF(DATOS_[[Check Periodo Ref.]:[Check Periodo Ref.]]="Dentro",IF(DATOS_[[Check Equiparado]:[Check Equiparado]]="Sí",IF(DATOS!BD$5="Sí",(1/DATOS_[[% anualiz]:[% anualiz]]),1)*IF(DATOS!BD$4="Sí",1/DATOS_[[% normaliz]:[% normaliz]],1)*(DATOS_[Conc.Sal.26])))))))),
0)</f>
        <v>0</v>
      </c>
      <c r="AJ47" s="196">
        <f t="array" ref="AJ47">IFERROR(
(AVERAGE((IF(DATOS_[[Sexo]:[Sexo]]=$B47,IF(DATOS_[[AGRUP. CLAS. PROF.]:[AGRUP. CLAS. PROF.]]=$B45,IF(DATOS_[[Check Periodo Ref.]:[Check Periodo Ref.]]="Dentro",IF(DATOS_[[Check Equiparado]:[Check Equiparado]]="Sí",IF(DATOS!BE$5="Sí",(1/DATOS_[[% anualiz]:[% anualiz]]),1)*IF(DATOS!BE$4="Sí",1/DATOS_[[% normaliz]:[% normaliz]],1)*(DATOS_[Conc.Sal.27])))))))),
0)</f>
        <v>0</v>
      </c>
      <c r="AK47" s="196">
        <f t="array" ref="AK47">IFERROR(
(AVERAGE((IF(DATOS_[[Sexo]:[Sexo]]=$B47,IF(DATOS_[[AGRUP. CLAS. PROF.]:[AGRUP. CLAS. PROF.]]=$B45,IF(DATOS_[[Check Periodo Ref.]:[Check Periodo Ref.]]="Dentro",IF(DATOS_[[Check Equiparado]:[Check Equiparado]]="Sí",IF(DATOS!BF$5="Sí",(1/DATOS_[[% anualiz]:[% anualiz]]),1)*IF(DATOS!BF$4="Sí",1/DATOS_[[% normaliz]:[% normaliz]],1)*(DATOS_[Conc.Sal.28])))))))),
0)</f>
        <v>0</v>
      </c>
      <c r="AL47" s="196">
        <f t="array" ref="AL47">IFERROR(
(AVERAGE((IF(DATOS_[[Sexo]:[Sexo]]=$B47,IF(DATOS_[[AGRUP. CLAS. PROF.]:[AGRUP. CLAS. PROF.]]=$B45,IF(DATOS_[[Check Periodo Ref.]:[Check Periodo Ref.]]="Dentro",IF(DATOS_[[Check Equiparado]:[Check Equiparado]]="Sí",IF(DATOS!BG$5="Sí",(1/DATOS_[[% anualiz]:[% anualiz]]),1)*IF(DATOS!BG$4="Sí",1/DATOS_[[% normaliz]:[% normaliz]],1)*(DATOS_[Conc.Sal.29])))))))),
0)</f>
        <v>0</v>
      </c>
      <c r="AM47" s="196">
        <f t="array" ref="AM47">IFERROR(
(AVERAGE((IF(DATOS_[[Sexo]:[Sexo]]=$B47,IF(DATOS_[[AGRUP. CLAS. PROF.]:[AGRUP. CLAS. PROF.]]=$B45,IF(DATOS_[[Check Periodo Ref.]:[Check Periodo Ref.]]="Dentro",IF(DATOS_[[Check Equiparado]:[Check Equiparado]]="Sí",IF(DATOS!BH$5="Sí",(1/DATOS_[[% anualiz]:[% anualiz]]),1)*IF(DATOS!BH$4="Sí",1/DATOS_[[% normaliz]:[% normaliz]],1)*(DATOS_[Conc.Sal.30])))))))),
0)</f>
        <v>0</v>
      </c>
      <c r="AN47" s="195">
        <f t="array" ref="AN47">IFERROR(
AVERAGE(IF(DATOS_[Sexo]=$B47,IF(DATOS_[[AGRUP. CLAS. PROF.]:[AGRUP. CLAS. PROF.]]=$B45,IF(DATOS_[Check Equiparado]="Sí",IF(DATOS_[Check Periodo Ref.]="Dentro",DATOS_[Tot COMPL.SAL Eq],FALSE))))),
0)</f>
        <v>0</v>
      </c>
      <c r="AO47" s="172">
        <f t="array" ref="AO47">IFERROR(
AVERAGE(IF(DATOS_[Sexo]=$B47,IF(DATOS_[[AGRUP. CLAS. PROF.]:[AGRUP. CLAS. PROF.]]=$B45,IF(DATOS_[Check Equiparado]="Sí",IF(DATOS_[Check Periodo Ref.]="Dentro",DATOS_[TOTAL SALARIO Eq],FALSE))))),
0)</f>
        <v>0</v>
      </c>
      <c r="AP47" s="173">
        <f t="array" ref="AP47">IFERROR(
(AVERAGE((IF(DATOS_[[Sexo]:[Sexo]]=$B47,IF(DATOS_[[AGRUP. CLAS. PROF.]:[AGRUP. CLAS. PROF.]]=$B45,IF(DATOS_[[Check Periodo Ref.]:[Check Periodo Ref.]]="Dentro",IF(DATOS_[[Check Equiparado]:[Check Equiparado]]="Sí",IF(DATOS!BW$5="Sí",(1/DATOS_[[% anualiz]:[% anualiz]]),1)*IF(DATOS!BW$4="Sí",1/DATOS_[[% normaliz]:[% normaliz]],1)*(DATOS_[C.Extra.01])))))))),
0)</f>
        <v>0</v>
      </c>
      <c r="AQ47" s="173">
        <f t="array" ref="AQ47">IFERROR(
(AVERAGE((IF(DATOS_[[Sexo]:[Sexo]]=$B47,IF(DATOS_[[AGRUP. CLAS. PROF.]:[AGRUP. CLAS. PROF.]]=$B45,IF(DATOS_[[Check Periodo Ref.]:[Check Periodo Ref.]]="Dentro",IF(DATOS_[[Check Equiparado]:[Check Equiparado]]="Sí",IF(DATOS!CB$5="Sí",(1/DATOS_[[% anualiz]:[% anualiz]]),1)*IF(DATOS!CB$4="Sí",1/DATOS_[[% normaliz]:[% normaliz]],1)*(DATOS_[C.Extra.06])))))))),
0)</f>
        <v>0</v>
      </c>
      <c r="AR47" s="173">
        <f t="array" ref="AR47">IFERROR(
(AVERAGE((IF(DATOS_[[Sexo]:[Sexo]]=$B47,IF(DATOS_[[AGRUP. CLAS. PROF.]:[AGRUP. CLAS. PROF.]]=$B45,IF(DATOS_[[Check Periodo Ref.]:[Check Periodo Ref.]]="Dentro",IF(DATOS_[[Check Equiparado]:[Check Equiparado]]="Sí",IF(DATOS!CC$5="Sí",(1/DATOS_[[% anualiz]:[% anualiz]]),1)*IF(DATOS!CC$4="Sí",1/DATOS_[[% normaliz]:[% normaliz]],1)*(DATOS_[C.Extra.07])))))))),
0)</f>
        <v>0</v>
      </c>
      <c r="AS47" s="173">
        <f t="array" ref="AS47">IFERROR(
(AVERAGE((IF(DATOS_[[Sexo]:[Sexo]]=$B47,IF(DATOS_[[AGRUP. CLAS. PROF.]:[AGRUP. CLAS. PROF.]]=$B45,IF(DATOS_[[Check Periodo Ref.]:[Check Periodo Ref.]]="Dentro",IF(DATOS_[[Check Equiparado]:[Check Equiparado]]="Sí",IF(DATOS!CD$5="Sí",(1/DATOS_[[% anualiz]:[% anualiz]]),1)*IF(DATOS!CD$4="Sí",1/DATOS_[[% normaliz]:[% normaliz]],1)*(DATOS_[C.Extra.08])))))))),
0)</f>
        <v>0</v>
      </c>
      <c r="AT47" s="173">
        <f t="array" ref="AT47">IFERROR(
(AVERAGE((IF(DATOS_[[Sexo]:[Sexo]]=$B47,IF(DATOS_[[AGRUP. CLAS. PROF.]:[AGRUP. CLAS. PROF.]]=$B45,IF(DATOS_[[Check Periodo Ref.]:[Check Periodo Ref.]]="Dentro",IF(DATOS_[[Check Equiparado]:[Check Equiparado]]="Sí",IF(DATOS!CG$5="Sí",(1/DATOS_[[% anualiz]:[% anualiz]]),1)*IF(DATOS!CG$4="Sí",1/DATOS_[[% normaliz]:[% normaliz]],1)*(DATOS_[C.Extra.11])))))))),
0)</f>
        <v>0</v>
      </c>
      <c r="AU47" s="197">
        <f t="array" ref="AU47">IFERROR(
AVERAGE(IF(DATOS_[Sexo]=$B47,IF(DATOS_[[AGRUP. CLAS. PROF.]:[AGRUP. CLAS. PROF.]]=$B45,IF(DATOS_[Check Equiparado]="Sí",IF(DATOS_[Check Periodo Ref.]="Dentro",DATOS_[Tot Extrasalarial Eq],FALSE))))),
0)</f>
        <v>0</v>
      </c>
      <c r="AV47" s="175">
        <f t="array" ref="AV47">IFERROR(
AVERAGE(IF(DATOS_[Sexo]=$B47,IF(DATOS_[[AGRUP. CLAS. PROF.]:[AGRUP. CLAS. PROF.]]=$B45,IF(DATOS_[Check Equiparado]="Sí",IF(DATOS_[Check Periodo Ref.]="Dentro",DATOS_[TOTAL Retrib Eq],FALSE))))),
0)</f>
        <v>0</v>
      </c>
    </row>
    <row r="48" spans="1:48" ht="15.6" hidden="1" thickBot="1" x14ac:dyDescent="0.3">
      <c r="A48" s="133" t="str">
        <f t="shared" ref="A48" si="47">+A49</f>
        <v>[ocultar]</v>
      </c>
      <c r="B48" s="199" t="s">
        <v>221</v>
      </c>
      <c r="C48" s="200"/>
      <c r="D48" s="201"/>
      <c r="E48" s="201"/>
      <c r="F48" s="201"/>
      <c r="G48" s="201"/>
      <c r="H48" s="201"/>
      <c r="I48" s="189" t="str">
        <f t="shared" ref="I48:AV48" si="48">IFERROR((I49-I50)/I49,"")</f>
        <v/>
      </c>
      <c r="J48" s="190" t="str">
        <f t="shared" si="48"/>
        <v/>
      </c>
      <c r="K48" s="191" t="str">
        <f t="shared" si="48"/>
        <v/>
      </c>
      <c r="L48" s="191" t="str">
        <f t="shared" si="48"/>
        <v/>
      </c>
      <c r="M48" s="191" t="str">
        <f t="shared" si="48"/>
        <v/>
      </c>
      <c r="N48" s="192" t="str">
        <f t="shared" si="48"/>
        <v/>
      </c>
      <c r="O48" s="193" t="str">
        <f t="shared" si="48"/>
        <v/>
      </c>
      <c r="P48" s="193" t="str">
        <f t="shared" si="48"/>
        <v/>
      </c>
      <c r="Q48" s="193" t="str">
        <f t="shared" si="48"/>
        <v/>
      </c>
      <c r="R48" s="193" t="str">
        <f t="shared" si="48"/>
        <v/>
      </c>
      <c r="S48" s="193" t="str">
        <f t="shared" si="48"/>
        <v/>
      </c>
      <c r="T48" s="193" t="str">
        <f t="shared" si="48"/>
        <v/>
      </c>
      <c r="U48" s="193" t="str">
        <f t="shared" si="48"/>
        <v/>
      </c>
      <c r="V48" s="193" t="str">
        <f t="shared" si="48"/>
        <v/>
      </c>
      <c r="W48" s="193" t="str">
        <f t="shared" si="48"/>
        <v/>
      </c>
      <c r="X48" s="193" t="str">
        <f t="shared" si="48"/>
        <v/>
      </c>
      <c r="Y48" s="193" t="str">
        <f t="shared" si="48"/>
        <v/>
      </c>
      <c r="Z48" s="193" t="str">
        <f t="shared" si="48"/>
        <v/>
      </c>
      <c r="AA48" s="193" t="str">
        <f t="shared" si="48"/>
        <v/>
      </c>
      <c r="AB48" s="193" t="str">
        <f t="shared" si="48"/>
        <v/>
      </c>
      <c r="AC48" s="193" t="str">
        <f t="shared" si="48"/>
        <v/>
      </c>
      <c r="AD48" s="193" t="str">
        <f t="shared" si="48"/>
        <v/>
      </c>
      <c r="AE48" s="193" t="str">
        <f t="shared" si="48"/>
        <v/>
      </c>
      <c r="AF48" s="193" t="str">
        <f t="shared" si="48"/>
        <v/>
      </c>
      <c r="AG48" s="193" t="str">
        <f t="shared" si="48"/>
        <v/>
      </c>
      <c r="AH48" s="193" t="str">
        <f t="shared" si="48"/>
        <v/>
      </c>
      <c r="AI48" s="193" t="str">
        <f t="shared" si="48"/>
        <v/>
      </c>
      <c r="AJ48" s="193" t="str">
        <f t="shared" si="48"/>
        <v/>
      </c>
      <c r="AK48" s="193" t="str">
        <f t="shared" si="48"/>
        <v/>
      </c>
      <c r="AL48" s="193" t="str">
        <f t="shared" si="48"/>
        <v/>
      </c>
      <c r="AM48" s="193" t="str">
        <f t="shared" si="48"/>
        <v/>
      </c>
      <c r="AN48" s="189" t="str">
        <f t="shared" si="48"/>
        <v/>
      </c>
      <c r="AO48" s="162" t="str">
        <f t="shared" si="48"/>
        <v/>
      </c>
      <c r="AP48" s="163" t="str">
        <f t="shared" si="48"/>
        <v/>
      </c>
      <c r="AQ48" s="163" t="str">
        <f t="shared" si="48"/>
        <v/>
      </c>
      <c r="AR48" s="163" t="str">
        <f t="shared" si="48"/>
        <v/>
      </c>
      <c r="AS48" s="163" t="str">
        <f t="shared" si="48"/>
        <v/>
      </c>
      <c r="AT48" s="163" t="str">
        <f t="shared" si="48"/>
        <v/>
      </c>
      <c r="AU48" s="194" t="str">
        <f t="shared" si="48"/>
        <v/>
      </c>
      <c r="AV48" s="165" t="str">
        <f t="shared" si="48"/>
        <v/>
      </c>
    </row>
    <row r="49" spans="1:48" hidden="1" x14ac:dyDescent="0.25">
      <c r="A49" s="133" t="str">
        <f t="shared" ref="A49" si="49">+IF(C49+C50=0,"[ocultar]","")</f>
        <v>[ocultar]</v>
      </c>
      <c r="B49" s="202" t="s">
        <v>394</v>
      </c>
      <c r="C49" s="203">
        <f t="array" ref="C49">SUM(IF($B49=DATOS_[Sexo],
IF($B48=DATOS_[AGRUP. CLAS. PROF.],
IF("Dentro"=DATOS_[Check Periodo Ref.],
1/(COUNTIFS(DATOS_[Sexo],$B49,DATOS_[AGRUP. CLAS. PROF.],$B48,DATOS_[Check Periodo Ref.],"Dentro",DATOS_[id/cod],DATOS_[id/cod]))))))</f>
        <v>0</v>
      </c>
      <c r="D49" s="204">
        <f>COUNTIFS(DATOS_[AGRUP. CLAS. PROF.],$B48,DATOS_[Sexo],$B49,DATOS_[Check Periodo Ref.],"Dentro")</f>
        <v>0</v>
      </c>
      <c r="E49" s="204">
        <f>COUNTIFS(DATOS_[AGRUP. CLAS. PROF.],$B48,DATOS_[Sexo],$B49,DATOS_[Check Periodo Ref.],"Dentro",DATOS_[Check Nº SC Norm],"Sí")</f>
        <v>0</v>
      </c>
      <c r="F49" s="204">
        <f>COUNTIFS(DATOS_[AGRUP. CLAS. PROF.],$B48,DATOS_[Sexo],$B49,DATOS_[Check Periodo Ref.],"Dentro",DATOS_[Check Nº SC Anualiz],"Sí")</f>
        <v>0</v>
      </c>
      <c r="G49" s="204">
        <f>COUNTIFS(DATOS_[AGRUP. CLAS. PROF.],$B48,DATOS_[Sexo],$B49,DATOS_[Check Periodo Ref.],"Dentro",DATOS_[Check Nº SC Norm y Anualiz],"Sí")</f>
        <v>0</v>
      </c>
      <c r="H49" s="204">
        <f>COUNTIFS(DATOS_[AGRUP. CLAS. PROF.],$B48,DATOS_[Sexo],$B49,DATOS_[Check Periodo Ref.],"Dentro",DATOS_[Check Equiparación],"Sí")</f>
        <v>0</v>
      </c>
      <c r="I49" s="195">
        <f t="array" ref="I49">IFERROR(
AVERAGE(IF(DATOS_[Sexo]=$B49,IF(DATOS_[[AGRUP. CLAS. PROF.]:[AGRUP. CLAS. PROF.]]=$B48,IF(DATOS_[Check Equiparado]="Sí",IF(DATOS_[Check Periodo Ref.]="Dentro",DATOS_[SALARIO BASE Eq],FALSE))))),
0)</f>
        <v>0</v>
      </c>
      <c r="J49" s="196">
        <f t="array" ref="J49">IFERROR(
(AVERAGE((IF(DATOS_[[Sexo]:[Sexo]]=$B49,IF(DATOS_[[AGRUP. CLAS. PROF.]:[AGRUP. CLAS. PROF.]]=$B48,IF(DATOS_[[Check Periodo Ref.]:[Check Periodo Ref.]]="Dentro",IF(DATOS_[[Check Equiparado]:[Check Equiparado]]="Sí",IF(DATOS!AE$5="Sí",(1/DATOS_[[% anualiz]:[% anualiz]]),1)*IF(DATOS!AE$4="Sí",1/DATOS_[[% normaliz]:[% normaliz]],1)*(DATOS_[Conc.Sal.01])))))))),
0)</f>
        <v>0</v>
      </c>
      <c r="K49" s="196">
        <f t="array" ref="K49">IFERROR(
(AVERAGE((IF(DATOS_[[Sexo]:[Sexo]]=$B49,IF(DATOS_[[AGRUP. CLAS. PROF.]:[AGRUP. CLAS. PROF.]]=$B48,IF(DATOS_[[Check Periodo Ref.]:[Check Periodo Ref.]]="Dentro",IF(DATOS_[[Check Equiparado]:[Check Equiparado]]="Sí",IF(DATOS!AF$5="Sí",(1/DATOS_[[% anualiz]:[% anualiz]]),1)*IF(DATOS!AF$4="Sí",1/DATOS_[[% normaliz]:[% normaliz]],1)*(DATOS_[Conc.Sal.02])))))))),
0)</f>
        <v>0</v>
      </c>
      <c r="L49" s="196">
        <f t="array" ref="L49">IFERROR(
(AVERAGE((IF(DATOS_[[Sexo]:[Sexo]]=$B49,IF(DATOS_[[AGRUP. CLAS. PROF.]:[AGRUP. CLAS. PROF.]]=$B48,IF(DATOS_[[Check Periodo Ref.]:[Check Periodo Ref.]]="Dentro",IF(DATOS_[[Check Equiparado]:[Check Equiparado]]="Sí",IF(DATOS!AG$5="Sí",(1/DATOS_[[% anualiz]:[% anualiz]]),1)*IF(DATOS!AG$4="Sí",1/DATOS_[[% normaliz]:[% normaliz]],1)*(DATOS_[Conc.Sal.03])))))))),
0)</f>
        <v>0</v>
      </c>
      <c r="M49" s="196">
        <f t="array" ref="M49">IFERROR(
(AVERAGE((IF(DATOS_[[Sexo]:[Sexo]]=$B49,IF(DATOS_[[AGRUP. CLAS. PROF.]:[AGRUP. CLAS. PROF.]]=$B48,IF(DATOS_[[Check Periodo Ref.]:[Check Periodo Ref.]]="Dentro",IF(DATOS_[[Check Equiparado]:[Check Equiparado]]="Sí",IF(DATOS!AH$5="Sí",(1/DATOS_[[% anualiz]:[% anualiz]]),1)*IF(DATOS!AH$4="Sí",1/DATOS_[[% normaliz]:[% normaliz]],1)*(DATOS_[Conc.Sal.04])))))))),
0)</f>
        <v>0</v>
      </c>
      <c r="N49" s="196">
        <f t="array" ref="N49">IFERROR(
(AVERAGE((IF(DATOS_[[Sexo]:[Sexo]]=$B49,IF(DATOS_[[AGRUP. CLAS. PROF.]:[AGRUP. CLAS. PROF.]]=$B48,IF(DATOS_[[Check Periodo Ref.]:[Check Periodo Ref.]]="Dentro",IF(DATOS_[[Check Equiparado]:[Check Equiparado]]="Sí",IF(DATOS!AI$5="Sí",(1/DATOS_[[% anualiz]:[% anualiz]]),1)*IF(DATOS!AI$4="Sí",1/DATOS_[[% normaliz]:[% normaliz]],1)*(DATOS_[Conc.Sal.05])))))))),
0)</f>
        <v>0</v>
      </c>
      <c r="O49" s="196">
        <f t="array" ref="O49">IFERROR(
(AVERAGE((IF(DATOS_[[Sexo]:[Sexo]]=$B49,IF(DATOS_[[AGRUP. CLAS. PROF.]:[AGRUP. CLAS. PROF.]]=$B48,IF(DATOS_[[Check Periodo Ref.]:[Check Periodo Ref.]]="Dentro",IF(DATOS_[[Check Equiparado]:[Check Equiparado]]="Sí",IF(DATOS!AJ$5="Sí",(1/DATOS_[[% anualiz]:[% anualiz]]),1)*IF(DATOS!AJ$4="Sí",1/DATOS_[[% normaliz]:[% normaliz]],1)*(DATOS_[Conc.Sal.06])))))))),
0)</f>
        <v>0</v>
      </c>
      <c r="P49" s="196">
        <f t="array" ref="P49">IFERROR(
(AVERAGE((IF(DATOS_[[Sexo]:[Sexo]]=$B49,IF(DATOS_[[AGRUP. CLAS. PROF.]:[AGRUP. CLAS. PROF.]]=$B48,IF(DATOS_[[Check Periodo Ref.]:[Check Periodo Ref.]]="Dentro",IF(DATOS_[[Check Equiparado]:[Check Equiparado]]="Sí",IF(DATOS!AK$5="Sí",(1/DATOS_[[% anualiz]:[% anualiz]]),1)*IF(DATOS!AK$4="Sí",1/DATOS_[[% normaliz]:[% normaliz]],1)*(DATOS_[Conc.Sal.07])))))))),
0)</f>
        <v>0</v>
      </c>
      <c r="Q49" s="196">
        <f t="array" ref="Q49">IFERROR(
(AVERAGE((IF(DATOS_[[Sexo]:[Sexo]]=$B49,IF(DATOS_[[AGRUP. CLAS. PROF.]:[AGRUP. CLAS. PROF.]]=$B48,IF(DATOS_[[Check Periodo Ref.]:[Check Periodo Ref.]]="Dentro",IF(DATOS_[[Check Equiparado]:[Check Equiparado]]="Sí",IF(DATOS!AL$5="Sí",(1/DATOS_[[% anualiz]:[% anualiz]]),1)*IF(DATOS!AL$4="Sí",1/DATOS_[[% normaliz]:[% normaliz]],1)*(DATOS_[Conc.Sal.08])))))))),
0)</f>
        <v>0</v>
      </c>
      <c r="R49" s="196">
        <f t="array" ref="R49">IFERROR(
(AVERAGE((IF(DATOS_[[Sexo]:[Sexo]]=$B49,IF(DATOS_[[AGRUP. CLAS. PROF.]:[AGRUP. CLAS. PROF.]]=$B48,IF(DATOS_[[Check Periodo Ref.]:[Check Periodo Ref.]]="Dentro",IF(DATOS_[[Check Equiparado]:[Check Equiparado]]="Sí",IF(DATOS!AM$5="Sí",(1/DATOS_[[% anualiz]:[% anualiz]]),1)*IF(DATOS!AM$4="Sí",1/DATOS_[[% normaliz]:[% normaliz]],1)*(DATOS_[Conc.Sal.09])))))))),
0)</f>
        <v>0</v>
      </c>
      <c r="S49" s="196">
        <f t="array" ref="S49">IFERROR(
(AVERAGE((IF(DATOS_[[Sexo]:[Sexo]]=$B49,IF(DATOS_[[AGRUP. CLAS. PROF.]:[AGRUP. CLAS. PROF.]]=$B48,IF(DATOS_[[Check Periodo Ref.]:[Check Periodo Ref.]]="Dentro",IF(DATOS_[[Check Equiparado]:[Check Equiparado]]="Sí",IF(DATOS!AN$5="Sí",(1/DATOS_[[% anualiz]:[% anualiz]]),1)*IF(DATOS!AN$4="Sí",1/DATOS_[[% normaliz]:[% normaliz]],1)*(DATOS_[Conc.Sal.10])))))))),
0)</f>
        <v>0</v>
      </c>
      <c r="T49" s="196">
        <f t="array" ref="T49">IFERROR(
(AVERAGE((IF(DATOS_[[Sexo]:[Sexo]]=$B49,IF(DATOS_[[AGRUP. CLAS. PROF.]:[AGRUP. CLAS. PROF.]]=$B48,IF(DATOS_[[Check Periodo Ref.]:[Check Periodo Ref.]]="Dentro",IF(DATOS_[[Check Equiparado]:[Check Equiparado]]="Sí",IF(DATOS!AO$5="Sí",(1/DATOS_[[% anualiz]:[% anualiz]]),1)*IF(DATOS!AO$4="Sí",1/DATOS_[[% normaliz]:[% normaliz]],1)*(DATOS_[Conc.Sal.11])))))))),
0)</f>
        <v>0</v>
      </c>
      <c r="U49" s="196">
        <f t="array" ref="U49">IFERROR(
(AVERAGE((IF(DATOS_[[Sexo]:[Sexo]]=$B49,IF(DATOS_[[AGRUP. CLAS. PROF.]:[AGRUP. CLAS. PROF.]]=$B48,IF(DATOS_[[Check Periodo Ref.]:[Check Periodo Ref.]]="Dentro",IF(DATOS_[[Check Equiparado]:[Check Equiparado]]="Sí",IF(DATOS!AP$5="Sí",(1/DATOS_[[% anualiz]:[% anualiz]]),1)*IF(DATOS!AP$4="Sí",1/DATOS_[[% normaliz]:[% normaliz]],1)*(DATOS_[Conc.Sal.12])))))))),
0)</f>
        <v>0</v>
      </c>
      <c r="V49" s="196">
        <f t="array" ref="V49">IFERROR(
(AVERAGE((IF(DATOS_[[Sexo]:[Sexo]]=$B49,IF(DATOS_[[AGRUP. CLAS. PROF.]:[AGRUP. CLAS. PROF.]]=$B48,IF(DATOS_[[Check Periodo Ref.]:[Check Periodo Ref.]]="Dentro",IF(DATOS_[[Check Equiparado]:[Check Equiparado]]="Sí",IF(DATOS!AQ$5="Sí",(1/DATOS_[[% anualiz]:[% anualiz]]),1)*IF(DATOS!AQ$4="Sí",1/DATOS_[[% normaliz]:[% normaliz]],1)*(DATOS_[Conc.Sal.13])))))))),
0)</f>
        <v>0</v>
      </c>
      <c r="W49" s="196">
        <f t="array" ref="W49">IFERROR(
(AVERAGE((IF(DATOS_[[Sexo]:[Sexo]]=$B49,IF(DATOS_[[AGRUP. CLAS. PROF.]:[AGRUP. CLAS. PROF.]]=$B48,IF(DATOS_[[Check Periodo Ref.]:[Check Periodo Ref.]]="Dentro",IF(DATOS_[[Check Equiparado]:[Check Equiparado]]="Sí",IF(DATOS!AR$5="Sí",(1/DATOS_[[% anualiz]:[% anualiz]]),1)*IF(DATOS!AR$4="Sí",1/DATOS_[[% normaliz]:[% normaliz]],1)*(DATOS_[Conc.Sal.14])))))))),
0)</f>
        <v>0</v>
      </c>
      <c r="X49" s="196">
        <f t="array" ref="X49">IFERROR(
(AVERAGE((IF(DATOS_[[Sexo]:[Sexo]]=$B49,IF(DATOS_[[AGRUP. CLAS. PROF.]:[AGRUP. CLAS. PROF.]]=$B48,IF(DATOS_[[Check Periodo Ref.]:[Check Periodo Ref.]]="Dentro",IF(DATOS_[[Check Equiparado]:[Check Equiparado]]="Sí",IF(DATOS!AS$5="Sí",(1/DATOS_[[% anualiz]:[% anualiz]]),1)*IF(DATOS!AS$4="Sí",1/DATOS_[[% normaliz]:[% normaliz]],1)*(DATOS_[Conc.Sal.15])))))))),
0)</f>
        <v>0</v>
      </c>
      <c r="Y49" s="196">
        <f t="array" ref="Y49">IFERROR(
(AVERAGE((IF(DATOS_[[Sexo]:[Sexo]]=$B49,IF(DATOS_[[AGRUP. CLAS. PROF.]:[AGRUP. CLAS. PROF.]]=$B48,IF(DATOS_[[Check Periodo Ref.]:[Check Periodo Ref.]]="Dentro",IF(DATOS_[[Check Equiparado]:[Check Equiparado]]="Sí",IF(DATOS!AT$5="Sí",(1/DATOS_[[% anualiz]:[% anualiz]]),1)*IF(DATOS!AT$4="Sí",1/DATOS_[[% normaliz]:[% normaliz]],1)*(DATOS_[Conc.Sal.16])))))))),
0)</f>
        <v>0</v>
      </c>
      <c r="Z49" s="196">
        <f t="array" ref="Z49">IFERROR(
(AVERAGE((IF(DATOS_[[Sexo]:[Sexo]]=$B49,IF(DATOS_[[AGRUP. CLAS. PROF.]:[AGRUP. CLAS. PROF.]]=$B48,IF(DATOS_[[Check Periodo Ref.]:[Check Periodo Ref.]]="Dentro",IF(DATOS_[[Check Equiparado]:[Check Equiparado]]="Sí",IF(DATOS!AU$5="Sí",(1/DATOS_[[% anualiz]:[% anualiz]]),1)*IF(DATOS!AU$4="Sí",1/DATOS_[[% normaliz]:[% normaliz]],1)*(DATOS_[Conc.Sal.17])))))))),
0)</f>
        <v>0</v>
      </c>
      <c r="AA49" s="196">
        <f t="array" ref="AA49">IFERROR(
(AVERAGE((IF(DATOS_[[Sexo]:[Sexo]]=$B49,IF(DATOS_[[AGRUP. CLAS. PROF.]:[AGRUP. CLAS. PROF.]]=$B48,IF(DATOS_[[Check Periodo Ref.]:[Check Periodo Ref.]]="Dentro",IF(DATOS_[[Check Equiparado]:[Check Equiparado]]="Sí",IF(DATOS!AV$5="Sí",(1/DATOS_[[% anualiz]:[% anualiz]]),1)*IF(DATOS!AV$4="Sí",1/DATOS_[[% normaliz]:[% normaliz]],1)*(DATOS_[Conc.Sal.18])))))))),
0)</f>
        <v>0</v>
      </c>
      <c r="AB49" s="196">
        <f t="array" ref="AB49">IFERROR(
(AVERAGE((IF(DATOS_[[Sexo]:[Sexo]]=$B49,IF(DATOS_[[AGRUP. CLAS. PROF.]:[AGRUP. CLAS. PROF.]]=$B48,IF(DATOS_[[Check Periodo Ref.]:[Check Periodo Ref.]]="Dentro",IF(DATOS_[[Check Equiparado]:[Check Equiparado]]="Sí",IF(DATOS!AW$5="Sí",(1/DATOS_[[% anualiz]:[% anualiz]]),1)*IF(DATOS!AW$4="Sí",1/DATOS_[[% normaliz]:[% normaliz]],1)*(DATOS_[Conc.Sal.19])))))))),
0)</f>
        <v>0</v>
      </c>
      <c r="AC49" s="196">
        <f t="array" ref="AC49">IFERROR(
(AVERAGE((IF(DATOS_[[Sexo]:[Sexo]]=$B49,IF(DATOS_[[AGRUP. CLAS. PROF.]:[AGRUP. CLAS. PROF.]]=$B48,IF(DATOS_[[Check Periodo Ref.]:[Check Periodo Ref.]]="Dentro",IF(DATOS_[[Check Equiparado]:[Check Equiparado]]="Sí",IF(DATOS!AX$5="Sí",(1/DATOS_[[% anualiz]:[% anualiz]]),1)*IF(DATOS!AX$4="Sí",1/DATOS_[[% normaliz]:[% normaliz]],1)*(DATOS_[Conc.Sal.20])))))))),
0)</f>
        <v>0</v>
      </c>
      <c r="AD49" s="196">
        <f t="array" ref="AD49">IFERROR(
(AVERAGE((IF(DATOS_[[Sexo]:[Sexo]]=$B49,IF(DATOS_[[AGRUP. CLAS. PROF.]:[AGRUP. CLAS. PROF.]]=$B48,IF(DATOS_[[Check Periodo Ref.]:[Check Periodo Ref.]]="Dentro",IF(DATOS_[[Check Equiparado]:[Check Equiparado]]="Sí",IF(DATOS!AY$5="Sí",(1/DATOS_[[% anualiz]:[% anualiz]]),1)*IF(DATOS!AY$4="Sí",1/DATOS_[[% normaliz]:[% normaliz]],1)*(DATOS_[Conc.Sal.21])))))))),
0)</f>
        <v>0</v>
      </c>
      <c r="AE49" s="196">
        <f t="array" ref="AE49">IFERROR(
(AVERAGE((IF(DATOS_[[Sexo]:[Sexo]]=$B49,IF(DATOS_[[AGRUP. CLAS. PROF.]:[AGRUP. CLAS. PROF.]]=$B48,IF(DATOS_[[Check Periodo Ref.]:[Check Periodo Ref.]]="Dentro",IF(DATOS_[[Check Equiparado]:[Check Equiparado]]="Sí",IF(DATOS!AZ$5="Sí",(1/DATOS_[[% anualiz]:[% anualiz]]),1)*IF(DATOS!AZ$4="Sí",1/DATOS_[[% normaliz]:[% normaliz]],1)*(DATOS_[Conc.Sal.22])))))))),
0)</f>
        <v>0</v>
      </c>
      <c r="AF49" s="196">
        <f t="array" ref="AF49">IFERROR(
(AVERAGE((IF(DATOS_[[Sexo]:[Sexo]]=$B49,IF(DATOS_[[AGRUP. CLAS. PROF.]:[AGRUP. CLAS. PROF.]]=$B48,IF(DATOS_[[Check Periodo Ref.]:[Check Periodo Ref.]]="Dentro",IF(DATOS_[[Check Equiparado]:[Check Equiparado]]="Sí",IF(DATOS!BA$5="Sí",(1/DATOS_[[% anualiz]:[% anualiz]]),1)*IF(DATOS!BA$4="Sí",1/DATOS_[[% normaliz]:[% normaliz]],1)*(DATOS_[Conc.Sal.23])))))))),
0)</f>
        <v>0</v>
      </c>
      <c r="AG49" s="196">
        <f t="array" ref="AG49">IFERROR(
(AVERAGE((IF(DATOS_[[Sexo]:[Sexo]]=$B49,IF(DATOS_[[AGRUP. CLAS. PROF.]:[AGRUP. CLAS. PROF.]]=$B48,IF(DATOS_[[Check Periodo Ref.]:[Check Periodo Ref.]]="Dentro",IF(DATOS_[[Check Equiparado]:[Check Equiparado]]="Sí",IF(DATOS!BB$5="Sí",(1/DATOS_[[% anualiz]:[% anualiz]]),1)*IF(DATOS!BB$4="Sí",1/DATOS_[[% normaliz]:[% normaliz]],1)*(DATOS_[Conc.Sal.24])))))))),
0)</f>
        <v>0</v>
      </c>
      <c r="AH49" s="196">
        <f t="array" ref="AH49">IFERROR(
(AVERAGE((IF(DATOS_[[Sexo]:[Sexo]]=$B49,IF(DATOS_[[AGRUP. CLAS. PROF.]:[AGRUP. CLAS. PROF.]]=$B48,IF(DATOS_[[Check Periodo Ref.]:[Check Periodo Ref.]]="Dentro",IF(DATOS_[[Check Equiparado]:[Check Equiparado]]="Sí",IF(DATOS!BC$5="Sí",(1/DATOS_[[% anualiz]:[% anualiz]]),1)*IF(DATOS!BC$4="Sí",1/DATOS_[[% normaliz]:[% normaliz]],1)*(DATOS_[Conc.Sal.25])))))))),
0)</f>
        <v>0</v>
      </c>
      <c r="AI49" s="196">
        <f t="array" ref="AI49">IFERROR(
(AVERAGE((IF(DATOS_[[Sexo]:[Sexo]]=$B49,IF(DATOS_[[AGRUP. CLAS. PROF.]:[AGRUP. CLAS. PROF.]]=$B48,IF(DATOS_[[Check Periodo Ref.]:[Check Periodo Ref.]]="Dentro",IF(DATOS_[[Check Equiparado]:[Check Equiparado]]="Sí",IF(DATOS!BD$5="Sí",(1/DATOS_[[% anualiz]:[% anualiz]]),1)*IF(DATOS!BD$4="Sí",1/DATOS_[[% normaliz]:[% normaliz]],1)*(DATOS_[Conc.Sal.26])))))))),
0)</f>
        <v>0</v>
      </c>
      <c r="AJ49" s="196">
        <f t="array" ref="AJ49">IFERROR(
(AVERAGE((IF(DATOS_[[Sexo]:[Sexo]]=$B49,IF(DATOS_[[AGRUP. CLAS. PROF.]:[AGRUP. CLAS. PROF.]]=$B48,IF(DATOS_[[Check Periodo Ref.]:[Check Periodo Ref.]]="Dentro",IF(DATOS_[[Check Equiparado]:[Check Equiparado]]="Sí",IF(DATOS!BE$5="Sí",(1/DATOS_[[% anualiz]:[% anualiz]]),1)*IF(DATOS!BE$4="Sí",1/DATOS_[[% normaliz]:[% normaliz]],1)*(DATOS_[Conc.Sal.27])))))))),
0)</f>
        <v>0</v>
      </c>
      <c r="AK49" s="196">
        <f t="array" ref="AK49">IFERROR(
(AVERAGE((IF(DATOS_[[Sexo]:[Sexo]]=$B49,IF(DATOS_[[AGRUP. CLAS. PROF.]:[AGRUP. CLAS. PROF.]]=$B48,IF(DATOS_[[Check Periodo Ref.]:[Check Periodo Ref.]]="Dentro",IF(DATOS_[[Check Equiparado]:[Check Equiparado]]="Sí",IF(DATOS!BF$5="Sí",(1/DATOS_[[% anualiz]:[% anualiz]]),1)*IF(DATOS!BF$4="Sí",1/DATOS_[[% normaliz]:[% normaliz]],1)*(DATOS_[Conc.Sal.28])))))))),
0)</f>
        <v>0</v>
      </c>
      <c r="AL49" s="196">
        <f t="array" ref="AL49">IFERROR(
(AVERAGE((IF(DATOS_[[Sexo]:[Sexo]]=$B49,IF(DATOS_[[AGRUP. CLAS. PROF.]:[AGRUP. CLAS. PROF.]]=$B48,IF(DATOS_[[Check Periodo Ref.]:[Check Periodo Ref.]]="Dentro",IF(DATOS_[[Check Equiparado]:[Check Equiparado]]="Sí",IF(DATOS!BG$5="Sí",(1/DATOS_[[% anualiz]:[% anualiz]]),1)*IF(DATOS!BG$4="Sí",1/DATOS_[[% normaliz]:[% normaliz]],1)*(DATOS_[Conc.Sal.29])))))))),
0)</f>
        <v>0</v>
      </c>
      <c r="AM49" s="196">
        <f t="array" ref="AM49">IFERROR(
(AVERAGE((IF(DATOS_[[Sexo]:[Sexo]]=$B49,IF(DATOS_[[AGRUP. CLAS. PROF.]:[AGRUP. CLAS. PROF.]]=$B48,IF(DATOS_[[Check Periodo Ref.]:[Check Periodo Ref.]]="Dentro",IF(DATOS_[[Check Equiparado]:[Check Equiparado]]="Sí",IF(DATOS!BH$5="Sí",(1/DATOS_[[% anualiz]:[% anualiz]]),1)*IF(DATOS!BH$4="Sí",1/DATOS_[[% normaliz]:[% normaliz]],1)*(DATOS_[Conc.Sal.30])))))))),
0)</f>
        <v>0</v>
      </c>
      <c r="AN49" s="195">
        <f t="array" ref="AN49">IFERROR(
AVERAGE(IF(DATOS_[Sexo]=$B49,IF(DATOS_[[AGRUP. CLAS. PROF.]:[AGRUP. CLAS. PROF.]]=$B48,IF(DATOS_[Check Equiparado]="Sí",IF(DATOS_[Check Periodo Ref.]="Dentro",DATOS_[Tot COMPL.SAL Eq],FALSE))))),
0)</f>
        <v>0</v>
      </c>
      <c r="AO49" s="172">
        <f t="array" ref="AO49">IFERROR(
AVERAGE(IF(DATOS_[Sexo]=$B49,IF(DATOS_[[AGRUP. CLAS. PROF.]:[AGRUP. CLAS. PROF.]]=$B48,IF(DATOS_[Check Equiparado]="Sí",IF(DATOS_[Check Periodo Ref.]="Dentro",DATOS_[TOTAL SALARIO Eq],FALSE))))),
0)</f>
        <v>0</v>
      </c>
      <c r="AP49" s="173">
        <f t="array" ref="AP49">IFERROR(
(AVERAGE((IF(DATOS_[[Sexo]:[Sexo]]=$B49,IF(DATOS_[[AGRUP. CLAS. PROF.]:[AGRUP. CLAS. PROF.]]=$B48,IF(DATOS_[[Check Periodo Ref.]:[Check Periodo Ref.]]="Dentro",IF(DATOS_[[Check Equiparado]:[Check Equiparado]]="Sí",IF(DATOS!BW$5="Sí",(1/DATOS_[[% anualiz]:[% anualiz]]),1)*IF(DATOS!BW$4="Sí",1/DATOS_[[% normaliz]:[% normaliz]],1)*(DATOS_[C.Extra.01])))))))),
0)</f>
        <v>0</v>
      </c>
      <c r="AQ49" s="173">
        <f t="array" ref="AQ49">IFERROR(
(AVERAGE((IF(DATOS_[[Sexo]:[Sexo]]=$B49,IF(DATOS_[[AGRUP. CLAS. PROF.]:[AGRUP. CLAS. PROF.]]=$B48,IF(DATOS_[[Check Periodo Ref.]:[Check Periodo Ref.]]="Dentro",IF(DATOS_[[Check Equiparado]:[Check Equiparado]]="Sí",IF(DATOS!CB$5="Sí",(1/DATOS_[[% anualiz]:[% anualiz]]),1)*IF(DATOS!CB$4="Sí",1/DATOS_[[% normaliz]:[% normaliz]],1)*(DATOS_[C.Extra.06])))))))),
0)</f>
        <v>0</v>
      </c>
      <c r="AR49" s="173">
        <f t="array" ref="AR49">IFERROR(
(AVERAGE((IF(DATOS_[[Sexo]:[Sexo]]=$B49,IF(DATOS_[[AGRUP. CLAS. PROF.]:[AGRUP. CLAS. PROF.]]=$B48,IF(DATOS_[[Check Periodo Ref.]:[Check Periodo Ref.]]="Dentro",IF(DATOS_[[Check Equiparado]:[Check Equiparado]]="Sí",IF(DATOS!CC$5="Sí",(1/DATOS_[[% anualiz]:[% anualiz]]),1)*IF(DATOS!CC$4="Sí",1/DATOS_[[% normaliz]:[% normaliz]],1)*(DATOS_[C.Extra.07])))))))),
0)</f>
        <v>0</v>
      </c>
      <c r="AS49" s="173">
        <f t="array" ref="AS49">IFERROR(
(AVERAGE((IF(DATOS_[[Sexo]:[Sexo]]=$B49,IF(DATOS_[[AGRUP. CLAS. PROF.]:[AGRUP. CLAS. PROF.]]=$B48,IF(DATOS_[[Check Periodo Ref.]:[Check Periodo Ref.]]="Dentro",IF(DATOS_[[Check Equiparado]:[Check Equiparado]]="Sí",IF(DATOS!CD$5="Sí",(1/DATOS_[[% anualiz]:[% anualiz]]),1)*IF(DATOS!CD$4="Sí",1/DATOS_[[% normaliz]:[% normaliz]],1)*(DATOS_[C.Extra.08])))))))),
0)</f>
        <v>0</v>
      </c>
      <c r="AT49" s="173">
        <f t="array" ref="AT49">IFERROR(
(AVERAGE((IF(DATOS_[[Sexo]:[Sexo]]=$B49,IF(DATOS_[[AGRUP. CLAS. PROF.]:[AGRUP. CLAS. PROF.]]=$B48,IF(DATOS_[[Check Periodo Ref.]:[Check Periodo Ref.]]="Dentro",IF(DATOS_[[Check Equiparado]:[Check Equiparado]]="Sí",IF(DATOS!CG$5="Sí",(1/DATOS_[[% anualiz]:[% anualiz]]),1)*IF(DATOS!CG$4="Sí",1/DATOS_[[% normaliz]:[% normaliz]],1)*(DATOS_[C.Extra.11])))))))),
0)</f>
        <v>0</v>
      </c>
      <c r="AU49" s="197">
        <f t="array" ref="AU49">IFERROR(
AVERAGE(IF(DATOS_[Sexo]=$B49,IF(DATOS_[[AGRUP. CLAS. PROF.]:[AGRUP. CLAS. PROF.]]=$B48,IF(DATOS_[Check Equiparado]="Sí",IF(DATOS_[Check Periodo Ref.]="Dentro",DATOS_[Tot Extrasalarial Eq],FALSE))))),
0)</f>
        <v>0</v>
      </c>
      <c r="AV49" s="175">
        <f t="array" ref="AV49">IFERROR(
AVERAGE(IF(DATOS_[Sexo]=$B49,IF(DATOS_[[AGRUP. CLAS. PROF.]:[AGRUP. CLAS. PROF.]]=$B48,IF(DATOS_[Check Equiparado]="Sí",IF(DATOS_[Check Periodo Ref.]="Dentro",DATOS_[TOTAL Retrib Eq],FALSE))))),
0)</f>
        <v>0</v>
      </c>
    </row>
    <row r="50" spans="1:48" hidden="1" x14ac:dyDescent="0.25">
      <c r="A50" s="133" t="str">
        <f t="shared" ref="A50" si="50">+A49</f>
        <v>[ocultar]</v>
      </c>
      <c r="B50" s="202" t="s">
        <v>521</v>
      </c>
      <c r="C50" s="203">
        <f t="array" ref="C50">SUM(IF($B50=DATOS_[Sexo],
IF($B48=DATOS_[AGRUP. CLAS. PROF.],
IF("Dentro"=DATOS_[Check Periodo Ref.],
1/(COUNTIFS(DATOS_[Sexo],$B50,DATOS_[AGRUP. CLAS. PROF.],$B48,DATOS_[Check Periodo Ref.],"Dentro",DATOS_[id/cod],DATOS_[id/cod]))))))</f>
        <v>0</v>
      </c>
      <c r="D50" s="204">
        <f>COUNTIFS(DATOS_[AGRUP. CLAS. PROF.],$B48,DATOS_[Sexo],$B50,DATOS_[Check Periodo Ref.],"Dentro")</f>
        <v>0</v>
      </c>
      <c r="E50" s="204">
        <f>COUNTIFS(DATOS_[AGRUP. CLAS. PROF.],$B48,DATOS_[Sexo],$B50,DATOS_[Check Periodo Ref.],"Dentro",DATOS_[Check Nº SC Norm],"Sí")</f>
        <v>0</v>
      </c>
      <c r="F50" s="204">
        <f>COUNTIFS(DATOS_[AGRUP. CLAS. PROF.],$B48,DATOS_[Sexo],$B50,DATOS_[Check Periodo Ref.],"Dentro",DATOS_[Check Nº SC Anualiz],"Sí")</f>
        <v>0</v>
      </c>
      <c r="G50" s="204">
        <f>COUNTIFS(DATOS_[AGRUP. CLAS. PROF.],$B48,DATOS_[Sexo],$B50,DATOS_[Check Periodo Ref.],"Dentro",DATOS_[Check Nº SC Norm y Anualiz],"Sí")</f>
        <v>0</v>
      </c>
      <c r="H50" s="204">
        <f>COUNTIFS(DATOS_[AGRUP. CLAS. PROF.],$B48,DATOS_[Sexo],$B50,DATOS_[Check Periodo Ref.],"Dentro",DATOS_[Check Equiparación],"Sí")</f>
        <v>0</v>
      </c>
      <c r="I50" s="195" cm="1">
        <f t="array" ref="I50">IFERROR(
AVERAGE(IF(DATOS_[Sexo]=$B50,IF(DATOS_[[AGRUP. CLAS. PROF.]:[AGRUP. CLAS. PROF.]]=$B48,IF(DATOS_[Check Equiparado]="Sí",IF(DATOS_[Check Periodo Ref.]="Dentro",DATOS_[SALARIO BASE Eq],FALSE))))),
0)</f>
        <v>0</v>
      </c>
      <c r="J50" s="196">
        <f t="array" ref="J50">IFERROR(
(AVERAGE((IF(DATOS_[[Sexo]:[Sexo]]=$B50,IF(DATOS_[[AGRUP. CLAS. PROF.]:[AGRUP. CLAS. PROF.]]=$B48,IF(DATOS_[[Check Periodo Ref.]:[Check Periodo Ref.]]="Dentro",IF(DATOS_[[Check Equiparado]:[Check Equiparado]]="Sí",IF(DATOS!AE$5="Sí",(1/DATOS_[[% anualiz]:[% anualiz]]),1)*IF(DATOS!AE$4="Sí",1/DATOS_[[% normaliz]:[% normaliz]],1)*(DATOS_[Conc.Sal.01])))))))),
0)</f>
        <v>0</v>
      </c>
      <c r="K50" s="196">
        <f t="array" ref="K50">IFERROR(
(AVERAGE((IF(DATOS_[[Sexo]:[Sexo]]=$B50,IF(DATOS_[[AGRUP. CLAS. PROF.]:[AGRUP. CLAS. PROF.]]=$B48,IF(DATOS_[[Check Periodo Ref.]:[Check Periodo Ref.]]="Dentro",IF(DATOS_[[Check Equiparado]:[Check Equiparado]]="Sí",IF(DATOS!AF$5="Sí",(1/DATOS_[[% anualiz]:[% anualiz]]),1)*IF(DATOS!AF$4="Sí",1/DATOS_[[% normaliz]:[% normaliz]],1)*(DATOS_[Conc.Sal.02])))))))),
0)</f>
        <v>0</v>
      </c>
      <c r="L50" s="196">
        <f t="array" ref="L50">IFERROR(
(AVERAGE((IF(DATOS_[[Sexo]:[Sexo]]=$B50,IF(DATOS_[[AGRUP. CLAS. PROF.]:[AGRUP. CLAS. PROF.]]=$B48,IF(DATOS_[[Check Periodo Ref.]:[Check Periodo Ref.]]="Dentro",IF(DATOS_[[Check Equiparado]:[Check Equiparado]]="Sí",IF(DATOS!AG$5="Sí",(1/DATOS_[[% anualiz]:[% anualiz]]),1)*IF(DATOS!AG$4="Sí",1/DATOS_[[% normaliz]:[% normaliz]],1)*(DATOS_[Conc.Sal.03])))))))),
0)</f>
        <v>0</v>
      </c>
      <c r="M50" s="196">
        <f t="array" ref="M50">IFERROR(
(AVERAGE((IF(DATOS_[[Sexo]:[Sexo]]=$B50,IF(DATOS_[[AGRUP. CLAS. PROF.]:[AGRUP. CLAS. PROF.]]=$B48,IF(DATOS_[[Check Periodo Ref.]:[Check Periodo Ref.]]="Dentro",IF(DATOS_[[Check Equiparado]:[Check Equiparado]]="Sí",IF(DATOS!AH$5="Sí",(1/DATOS_[[% anualiz]:[% anualiz]]),1)*IF(DATOS!AH$4="Sí",1/DATOS_[[% normaliz]:[% normaliz]],1)*(DATOS_[Conc.Sal.04])))))))),
0)</f>
        <v>0</v>
      </c>
      <c r="N50" s="196">
        <f t="array" ref="N50">IFERROR(
(AVERAGE((IF(DATOS_[[Sexo]:[Sexo]]=$B50,IF(DATOS_[[AGRUP. CLAS. PROF.]:[AGRUP. CLAS. PROF.]]=$B48,IF(DATOS_[[Check Periodo Ref.]:[Check Periodo Ref.]]="Dentro",IF(DATOS_[[Check Equiparado]:[Check Equiparado]]="Sí",IF(DATOS!AI$5="Sí",(1/DATOS_[[% anualiz]:[% anualiz]]),1)*IF(DATOS!AI$4="Sí",1/DATOS_[[% normaliz]:[% normaliz]],1)*(DATOS_[Conc.Sal.05])))))))),
0)</f>
        <v>0</v>
      </c>
      <c r="O50" s="196">
        <f t="array" ref="O50">IFERROR(
(AVERAGE((IF(DATOS_[[Sexo]:[Sexo]]=$B50,IF(DATOS_[[AGRUP. CLAS. PROF.]:[AGRUP. CLAS. PROF.]]=$B48,IF(DATOS_[[Check Periodo Ref.]:[Check Periodo Ref.]]="Dentro",IF(DATOS_[[Check Equiparado]:[Check Equiparado]]="Sí",IF(DATOS!AJ$5="Sí",(1/DATOS_[[% anualiz]:[% anualiz]]),1)*IF(DATOS!AJ$4="Sí",1/DATOS_[[% normaliz]:[% normaliz]],1)*(DATOS_[Conc.Sal.06])))))))),
0)</f>
        <v>0</v>
      </c>
      <c r="P50" s="196">
        <f t="array" ref="P50">IFERROR(
(AVERAGE((IF(DATOS_[[Sexo]:[Sexo]]=$B50,IF(DATOS_[[AGRUP. CLAS. PROF.]:[AGRUP. CLAS. PROF.]]=$B48,IF(DATOS_[[Check Periodo Ref.]:[Check Periodo Ref.]]="Dentro",IF(DATOS_[[Check Equiparado]:[Check Equiparado]]="Sí",IF(DATOS!AK$5="Sí",(1/DATOS_[[% anualiz]:[% anualiz]]),1)*IF(DATOS!AK$4="Sí",1/DATOS_[[% normaliz]:[% normaliz]],1)*(DATOS_[Conc.Sal.07])))))))),
0)</f>
        <v>0</v>
      </c>
      <c r="Q50" s="196">
        <f t="array" ref="Q50">IFERROR(
(AVERAGE((IF(DATOS_[[Sexo]:[Sexo]]=$B50,IF(DATOS_[[AGRUP. CLAS. PROF.]:[AGRUP. CLAS. PROF.]]=$B48,IF(DATOS_[[Check Periodo Ref.]:[Check Periodo Ref.]]="Dentro",IF(DATOS_[[Check Equiparado]:[Check Equiparado]]="Sí",IF(DATOS!AL$5="Sí",(1/DATOS_[[% anualiz]:[% anualiz]]),1)*IF(DATOS!AL$4="Sí",1/DATOS_[[% normaliz]:[% normaliz]],1)*(DATOS_[Conc.Sal.08])))))))),
0)</f>
        <v>0</v>
      </c>
      <c r="R50" s="196">
        <f t="array" ref="R50">IFERROR(
(AVERAGE((IF(DATOS_[[Sexo]:[Sexo]]=$B50,IF(DATOS_[[AGRUP. CLAS. PROF.]:[AGRUP. CLAS. PROF.]]=$B48,IF(DATOS_[[Check Periodo Ref.]:[Check Periodo Ref.]]="Dentro",IF(DATOS_[[Check Equiparado]:[Check Equiparado]]="Sí",IF(DATOS!AM$5="Sí",(1/DATOS_[[% anualiz]:[% anualiz]]),1)*IF(DATOS!AM$4="Sí",1/DATOS_[[% normaliz]:[% normaliz]],1)*(DATOS_[Conc.Sal.09])))))))),
0)</f>
        <v>0</v>
      </c>
      <c r="S50" s="196">
        <f t="array" ref="S50">IFERROR(
(AVERAGE((IF(DATOS_[[Sexo]:[Sexo]]=$B50,IF(DATOS_[[AGRUP. CLAS. PROF.]:[AGRUP. CLAS. PROF.]]=$B48,IF(DATOS_[[Check Periodo Ref.]:[Check Periodo Ref.]]="Dentro",IF(DATOS_[[Check Equiparado]:[Check Equiparado]]="Sí",IF(DATOS!AN$5="Sí",(1/DATOS_[[% anualiz]:[% anualiz]]),1)*IF(DATOS!AN$4="Sí",1/DATOS_[[% normaliz]:[% normaliz]],1)*(DATOS_[Conc.Sal.10])))))))),
0)</f>
        <v>0</v>
      </c>
      <c r="T50" s="196">
        <f t="array" ref="T50">IFERROR(
(AVERAGE((IF(DATOS_[[Sexo]:[Sexo]]=$B50,IF(DATOS_[[AGRUP. CLAS. PROF.]:[AGRUP. CLAS. PROF.]]=$B48,IF(DATOS_[[Check Periodo Ref.]:[Check Periodo Ref.]]="Dentro",IF(DATOS_[[Check Equiparado]:[Check Equiparado]]="Sí",IF(DATOS!AO$5="Sí",(1/DATOS_[[% anualiz]:[% anualiz]]),1)*IF(DATOS!AO$4="Sí",1/DATOS_[[% normaliz]:[% normaliz]],1)*(DATOS_[Conc.Sal.11])))))))),
0)</f>
        <v>0</v>
      </c>
      <c r="U50" s="196">
        <f t="array" ref="U50">IFERROR(
(AVERAGE((IF(DATOS_[[Sexo]:[Sexo]]=$B50,IF(DATOS_[[AGRUP. CLAS. PROF.]:[AGRUP. CLAS. PROF.]]=$B48,IF(DATOS_[[Check Periodo Ref.]:[Check Periodo Ref.]]="Dentro",IF(DATOS_[[Check Equiparado]:[Check Equiparado]]="Sí",IF(DATOS!AP$5="Sí",(1/DATOS_[[% anualiz]:[% anualiz]]),1)*IF(DATOS!AP$4="Sí",1/DATOS_[[% normaliz]:[% normaliz]],1)*(DATOS_[Conc.Sal.12])))))))),
0)</f>
        <v>0</v>
      </c>
      <c r="V50" s="196">
        <f t="array" ref="V50">IFERROR(
(AVERAGE((IF(DATOS_[[Sexo]:[Sexo]]=$B50,IF(DATOS_[[AGRUP. CLAS. PROF.]:[AGRUP. CLAS. PROF.]]=$B48,IF(DATOS_[[Check Periodo Ref.]:[Check Periodo Ref.]]="Dentro",IF(DATOS_[[Check Equiparado]:[Check Equiparado]]="Sí",IF(DATOS!AQ$5="Sí",(1/DATOS_[[% anualiz]:[% anualiz]]),1)*IF(DATOS!AQ$4="Sí",1/DATOS_[[% normaliz]:[% normaliz]],1)*(DATOS_[Conc.Sal.13])))))))),
0)</f>
        <v>0</v>
      </c>
      <c r="W50" s="196">
        <f t="array" ref="W50">IFERROR(
(AVERAGE((IF(DATOS_[[Sexo]:[Sexo]]=$B50,IF(DATOS_[[AGRUP. CLAS. PROF.]:[AGRUP. CLAS. PROF.]]=$B48,IF(DATOS_[[Check Periodo Ref.]:[Check Periodo Ref.]]="Dentro",IF(DATOS_[[Check Equiparado]:[Check Equiparado]]="Sí",IF(DATOS!AR$5="Sí",(1/DATOS_[[% anualiz]:[% anualiz]]),1)*IF(DATOS!AR$4="Sí",1/DATOS_[[% normaliz]:[% normaliz]],1)*(DATOS_[Conc.Sal.14])))))))),
0)</f>
        <v>0</v>
      </c>
      <c r="X50" s="196">
        <f t="array" ref="X50">IFERROR(
(AVERAGE((IF(DATOS_[[Sexo]:[Sexo]]=$B50,IF(DATOS_[[AGRUP. CLAS. PROF.]:[AGRUP. CLAS. PROF.]]=$B48,IF(DATOS_[[Check Periodo Ref.]:[Check Periodo Ref.]]="Dentro",IF(DATOS_[[Check Equiparado]:[Check Equiparado]]="Sí",IF(DATOS!AS$5="Sí",(1/DATOS_[[% anualiz]:[% anualiz]]),1)*IF(DATOS!AS$4="Sí",1/DATOS_[[% normaliz]:[% normaliz]],1)*(DATOS_[Conc.Sal.15])))))))),
0)</f>
        <v>0</v>
      </c>
      <c r="Y50" s="196">
        <f t="array" ref="Y50">IFERROR(
(AVERAGE((IF(DATOS_[[Sexo]:[Sexo]]=$B50,IF(DATOS_[[AGRUP. CLAS. PROF.]:[AGRUP. CLAS. PROF.]]=$B48,IF(DATOS_[[Check Periodo Ref.]:[Check Periodo Ref.]]="Dentro",IF(DATOS_[[Check Equiparado]:[Check Equiparado]]="Sí",IF(DATOS!AT$5="Sí",(1/DATOS_[[% anualiz]:[% anualiz]]),1)*IF(DATOS!AT$4="Sí",1/DATOS_[[% normaliz]:[% normaliz]],1)*(DATOS_[Conc.Sal.16])))))))),
0)</f>
        <v>0</v>
      </c>
      <c r="Z50" s="196">
        <f t="array" ref="Z50">IFERROR(
(AVERAGE((IF(DATOS_[[Sexo]:[Sexo]]=$B50,IF(DATOS_[[AGRUP. CLAS. PROF.]:[AGRUP. CLAS. PROF.]]=$B48,IF(DATOS_[[Check Periodo Ref.]:[Check Periodo Ref.]]="Dentro",IF(DATOS_[[Check Equiparado]:[Check Equiparado]]="Sí",IF(DATOS!AU$5="Sí",(1/DATOS_[[% anualiz]:[% anualiz]]),1)*IF(DATOS!AU$4="Sí",1/DATOS_[[% normaliz]:[% normaliz]],1)*(DATOS_[Conc.Sal.17])))))))),
0)</f>
        <v>0</v>
      </c>
      <c r="AA50" s="196">
        <f t="array" ref="AA50">IFERROR(
(AVERAGE((IF(DATOS_[[Sexo]:[Sexo]]=$B50,IF(DATOS_[[AGRUP. CLAS. PROF.]:[AGRUP. CLAS. PROF.]]=$B48,IF(DATOS_[[Check Periodo Ref.]:[Check Periodo Ref.]]="Dentro",IF(DATOS_[[Check Equiparado]:[Check Equiparado]]="Sí",IF(DATOS!AV$5="Sí",(1/DATOS_[[% anualiz]:[% anualiz]]),1)*IF(DATOS!AV$4="Sí",1/DATOS_[[% normaliz]:[% normaliz]],1)*(DATOS_[Conc.Sal.18])))))))),
0)</f>
        <v>0</v>
      </c>
      <c r="AB50" s="196">
        <f t="array" ref="AB50">IFERROR(
(AVERAGE((IF(DATOS_[[Sexo]:[Sexo]]=$B50,IF(DATOS_[[AGRUP. CLAS. PROF.]:[AGRUP. CLAS. PROF.]]=$B48,IF(DATOS_[[Check Periodo Ref.]:[Check Periodo Ref.]]="Dentro",IF(DATOS_[[Check Equiparado]:[Check Equiparado]]="Sí",IF(DATOS!AW$5="Sí",(1/DATOS_[[% anualiz]:[% anualiz]]),1)*IF(DATOS!AW$4="Sí",1/DATOS_[[% normaliz]:[% normaliz]],1)*(DATOS_[Conc.Sal.19])))))))),
0)</f>
        <v>0</v>
      </c>
      <c r="AC50" s="196">
        <f t="array" ref="AC50">IFERROR(
(AVERAGE((IF(DATOS_[[Sexo]:[Sexo]]=$B50,IF(DATOS_[[AGRUP. CLAS. PROF.]:[AGRUP. CLAS. PROF.]]=$B48,IF(DATOS_[[Check Periodo Ref.]:[Check Periodo Ref.]]="Dentro",IF(DATOS_[[Check Equiparado]:[Check Equiparado]]="Sí",IF(DATOS!AX$5="Sí",(1/DATOS_[[% anualiz]:[% anualiz]]),1)*IF(DATOS!AX$4="Sí",1/DATOS_[[% normaliz]:[% normaliz]],1)*(DATOS_[Conc.Sal.20])))))))),
0)</f>
        <v>0</v>
      </c>
      <c r="AD50" s="196">
        <f t="array" ref="AD50">IFERROR(
(AVERAGE((IF(DATOS_[[Sexo]:[Sexo]]=$B50,IF(DATOS_[[AGRUP. CLAS. PROF.]:[AGRUP. CLAS. PROF.]]=$B48,IF(DATOS_[[Check Periodo Ref.]:[Check Periodo Ref.]]="Dentro",IF(DATOS_[[Check Equiparado]:[Check Equiparado]]="Sí",IF(DATOS!AY$5="Sí",(1/DATOS_[[% anualiz]:[% anualiz]]),1)*IF(DATOS!AY$4="Sí",1/DATOS_[[% normaliz]:[% normaliz]],1)*(DATOS_[Conc.Sal.21])))))))),
0)</f>
        <v>0</v>
      </c>
      <c r="AE50" s="196">
        <f t="array" ref="AE50">IFERROR(
(AVERAGE((IF(DATOS_[[Sexo]:[Sexo]]=$B50,IF(DATOS_[[AGRUP. CLAS. PROF.]:[AGRUP. CLAS. PROF.]]=$B48,IF(DATOS_[[Check Periodo Ref.]:[Check Periodo Ref.]]="Dentro",IF(DATOS_[[Check Equiparado]:[Check Equiparado]]="Sí",IF(DATOS!AZ$5="Sí",(1/DATOS_[[% anualiz]:[% anualiz]]),1)*IF(DATOS!AZ$4="Sí",1/DATOS_[[% normaliz]:[% normaliz]],1)*(DATOS_[Conc.Sal.22])))))))),
0)</f>
        <v>0</v>
      </c>
      <c r="AF50" s="196">
        <f t="array" ref="AF50">IFERROR(
(AVERAGE((IF(DATOS_[[Sexo]:[Sexo]]=$B50,IF(DATOS_[[AGRUP. CLAS. PROF.]:[AGRUP. CLAS. PROF.]]=$B48,IF(DATOS_[[Check Periodo Ref.]:[Check Periodo Ref.]]="Dentro",IF(DATOS_[[Check Equiparado]:[Check Equiparado]]="Sí",IF(DATOS!BA$5="Sí",(1/DATOS_[[% anualiz]:[% anualiz]]),1)*IF(DATOS!BA$4="Sí",1/DATOS_[[% normaliz]:[% normaliz]],1)*(DATOS_[Conc.Sal.23])))))))),
0)</f>
        <v>0</v>
      </c>
      <c r="AG50" s="196">
        <f t="array" ref="AG50">IFERROR(
(AVERAGE((IF(DATOS_[[Sexo]:[Sexo]]=$B50,IF(DATOS_[[AGRUP. CLAS. PROF.]:[AGRUP. CLAS. PROF.]]=$B48,IF(DATOS_[[Check Periodo Ref.]:[Check Periodo Ref.]]="Dentro",IF(DATOS_[[Check Equiparado]:[Check Equiparado]]="Sí",IF(DATOS!BB$5="Sí",(1/DATOS_[[% anualiz]:[% anualiz]]),1)*IF(DATOS!BB$4="Sí",1/DATOS_[[% normaliz]:[% normaliz]],1)*(DATOS_[Conc.Sal.24])))))))),
0)</f>
        <v>0</v>
      </c>
      <c r="AH50" s="196">
        <f t="array" ref="AH50">IFERROR(
(AVERAGE((IF(DATOS_[[Sexo]:[Sexo]]=$B50,IF(DATOS_[[AGRUP. CLAS. PROF.]:[AGRUP. CLAS. PROF.]]=$B48,IF(DATOS_[[Check Periodo Ref.]:[Check Periodo Ref.]]="Dentro",IF(DATOS_[[Check Equiparado]:[Check Equiparado]]="Sí",IF(DATOS!BC$5="Sí",(1/DATOS_[[% anualiz]:[% anualiz]]),1)*IF(DATOS!BC$4="Sí",1/DATOS_[[% normaliz]:[% normaliz]],1)*(DATOS_[Conc.Sal.25])))))))),
0)</f>
        <v>0</v>
      </c>
      <c r="AI50" s="196">
        <f t="array" ref="AI50">IFERROR(
(AVERAGE((IF(DATOS_[[Sexo]:[Sexo]]=$B50,IF(DATOS_[[AGRUP. CLAS. PROF.]:[AGRUP. CLAS. PROF.]]=$B48,IF(DATOS_[[Check Periodo Ref.]:[Check Periodo Ref.]]="Dentro",IF(DATOS_[[Check Equiparado]:[Check Equiparado]]="Sí",IF(DATOS!BD$5="Sí",(1/DATOS_[[% anualiz]:[% anualiz]]),1)*IF(DATOS!BD$4="Sí",1/DATOS_[[% normaliz]:[% normaliz]],1)*(DATOS_[Conc.Sal.26])))))))),
0)</f>
        <v>0</v>
      </c>
      <c r="AJ50" s="196">
        <f t="array" ref="AJ50">IFERROR(
(AVERAGE((IF(DATOS_[[Sexo]:[Sexo]]=$B50,IF(DATOS_[[AGRUP. CLAS. PROF.]:[AGRUP. CLAS. PROF.]]=$B48,IF(DATOS_[[Check Periodo Ref.]:[Check Periodo Ref.]]="Dentro",IF(DATOS_[[Check Equiparado]:[Check Equiparado]]="Sí",IF(DATOS!BE$5="Sí",(1/DATOS_[[% anualiz]:[% anualiz]]),1)*IF(DATOS!BE$4="Sí",1/DATOS_[[% normaliz]:[% normaliz]],1)*(DATOS_[Conc.Sal.27])))))))),
0)</f>
        <v>0</v>
      </c>
      <c r="AK50" s="196">
        <f t="array" ref="AK50">IFERROR(
(AVERAGE((IF(DATOS_[[Sexo]:[Sexo]]=$B50,IF(DATOS_[[AGRUP. CLAS. PROF.]:[AGRUP. CLAS. PROF.]]=$B48,IF(DATOS_[[Check Periodo Ref.]:[Check Periodo Ref.]]="Dentro",IF(DATOS_[[Check Equiparado]:[Check Equiparado]]="Sí",IF(DATOS!BF$5="Sí",(1/DATOS_[[% anualiz]:[% anualiz]]),1)*IF(DATOS!BF$4="Sí",1/DATOS_[[% normaliz]:[% normaliz]],1)*(DATOS_[Conc.Sal.28])))))))),
0)</f>
        <v>0</v>
      </c>
      <c r="AL50" s="196">
        <f t="array" ref="AL50">IFERROR(
(AVERAGE((IF(DATOS_[[Sexo]:[Sexo]]=$B50,IF(DATOS_[[AGRUP. CLAS. PROF.]:[AGRUP. CLAS. PROF.]]=$B48,IF(DATOS_[[Check Periodo Ref.]:[Check Periodo Ref.]]="Dentro",IF(DATOS_[[Check Equiparado]:[Check Equiparado]]="Sí",IF(DATOS!BG$5="Sí",(1/DATOS_[[% anualiz]:[% anualiz]]),1)*IF(DATOS!BG$4="Sí",1/DATOS_[[% normaliz]:[% normaliz]],1)*(DATOS_[Conc.Sal.29])))))))),
0)</f>
        <v>0</v>
      </c>
      <c r="AM50" s="196">
        <f t="array" ref="AM50">IFERROR(
(AVERAGE((IF(DATOS_[[Sexo]:[Sexo]]=$B50,IF(DATOS_[[AGRUP. CLAS. PROF.]:[AGRUP. CLAS. PROF.]]=$B48,IF(DATOS_[[Check Periodo Ref.]:[Check Periodo Ref.]]="Dentro",IF(DATOS_[[Check Equiparado]:[Check Equiparado]]="Sí",IF(DATOS!BH$5="Sí",(1/DATOS_[[% anualiz]:[% anualiz]]),1)*IF(DATOS!BH$4="Sí",1/DATOS_[[% normaliz]:[% normaliz]],1)*(DATOS_[Conc.Sal.30])))))))),
0)</f>
        <v>0</v>
      </c>
      <c r="AN50" s="195">
        <f t="array" ref="AN50">IFERROR(
AVERAGE(IF(DATOS_[Sexo]=$B50,IF(DATOS_[[AGRUP. CLAS. PROF.]:[AGRUP. CLAS. PROF.]]=$B48,IF(DATOS_[Check Equiparado]="Sí",IF(DATOS_[Check Periodo Ref.]="Dentro",DATOS_[Tot COMPL.SAL Eq],FALSE))))),
0)</f>
        <v>0</v>
      </c>
      <c r="AO50" s="172">
        <f t="array" ref="AO50">IFERROR(
AVERAGE(IF(DATOS_[Sexo]=$B50,IF(DATOS_[[AGRUP. CLAS. PROF.]:[AGRUP. CLAS. PROF.]]=$B48,IF(DATOS_[Check Equiparado]="Sí",IF(DATOS_[Check Periodo Ref.]="Dentro",DATOS_[TOTAL SALARIO Eq],FALSE))))),
0)</f>
        <v>0</v>
      </c>
      <c r="AP50" s="173">
        <f t="array" ref="AP50">IFERROR(
(AVERAGE((IF(DATOS_[[Sexo]:[Sexo]]=$B50,IF(DATOS_[[AGRUP. CLAS. PROF.]:[AGRUP. CLAS. PROF.]]=$B48,IF(DATOS_[[Check Periodo Ref.]:[Check Periodo Ref.]]="Dentro",IF(DATOS_[[Check Equiparado]:[Check Equiparado]]="Sí",IF(DATOS!BW$5="Sí",(1/DATOS_[[% anualiz]:[% anualiz]]),1)*IF(DATOS!BW$4="Sí",1/DATOS_[[% normaliz]:[% normaliz]],1)*(DATOS_[C.Extra.01])))))))),
0)</f>
        <v>0</v>
      </c>
      <c r="AQ50" s="173">
        <f t="array" ref="AQ50">IFERROR(
(AVERAGE((IF(DATOS_[[Sexo]:[Sexo]]=$B50,IF(DATOS_[[AGRUP. CLAS. PROF.]:[AGRUP. CLAS. PROF.]]=$B48,IF(DATOS_[[Check Periodo Ref.]:[Check Periodo Ref.]]="Dentro",IF(DATOS_[[Check Equiparado]:[Check Equiparado]]="Sí",IF(DATOS!CB$5="Sí",(1/DATOS_[[% anualiz]:[% anualiz]]),1)*IF(DATOS!CB$4="Sí",1/DATOS_[[% normaliz]:[% normaliz]],1)*(DATOS_[C.Extra.06])))))))),
0)</f>
        <v>0</v>
      </c>
      <c r="AR50" s="173">
        <f t="array" ref="AR50">IFERROR(
(AVERAGE((IF(DATOS_[[Sexo]:[Sexo]]=$B50,IF(DATOS_[[AGRUP. CLAS. PROF.]:[AGRUP. CLAS. PROF.]]=$B48,IF(DATOS_[[Check Periodo Ref.]:[Check Periodo Ref.]]="Dentro",IF(DATOS_[[Check Equiparado]:[Check Equiparado]]="Sí",IF(DATOS!CC$5="Sí",(1/DATOS_[[% anualiz]:[% anualiz]]),1)*IF(DATOS!CC$4="Sí",1/DATOS_[[% normaliz]:[% normaliz]],1)*(DATOS_[C.Extra.07])))))))),
0)</f>
        <v>0</v>
      </c>
      <c r="AS50" s="173">
        <f t="array" ref="AS50">IFERROR(
(AVERAGE((IF(DATOS_[[Sexo]:[Sexo]]=$B50,IF(DATOS_[[AGRUP. CLAS. PROF.]:[AGRUP. CLAS. PROF.]]=$B48,IF(DATOS_[[Check Periodo Ref.]:[Check Periodo Ref.]]="Dentro",IF(DATOS_[[Check Equiparado]:[Check Equiparado]]="Sí",IF(DATOS!CD$5="Sí",(1/DATOS_[[% anualiz]:[% anualiz]]),1)*IF(DATOS!CD$4="Sí",1/DATOS_[[% normaliz]:[% normaliz]],1)*(DATOS_[C.Extra.08])))))))),
0)</f>
        <v>0</v>
      </c>
      <c r="AT50" s="173">
        <f t="array" ref="AT50">IFERROR(
(AVERAGE((IF(DATOS_[[Sexo]:[Sexo]]=$B50,IF(DATOS_[[AGRUP. CLAS. PROF.]:[AGRUP. CLAS. PROF.]]=$B48,IF(DATOS_[[Check Periodo Ref.]:[Check Periodo Ref.]]="Dentro",IF(DATOS_[[Check Equiparado]:[Check Equiparado]]="Sí",IF(DATOS!CG$5="Sí",(1/DATOS_[[% anualiz]:[% anualiz]]),1)*IF(DATOS!CG$4="Sí",1/DATOS_[[% normaliz]:[% normaliz]],1)*(DATOS_[C.Extra.11])))))))),
0)</f>
        <v>0</v>
      </c>
      <c r="AU50" s="197">
        <f t="array" ref="AU50">IFERROR(
AVERAGE(IF(DATOS_[Sexo]=$B50,IF(DATOS_[[AGRUP. CLAS. PROF.]:[AGRUP. CLAS. PROF.]]=$B48,IF(DATOS_[Check Equiparado]="Sí",IF(DATOS_[Check Periodo Ref.]="Dentro",DATOS_[Tot Extrasalarial Eq],FALSE))))),
0)</f>
        <v>0</v>
      </c>
      <c r="AV50" s="175">
        <f t="array" ref="AV50">IFERROR(
AVERAGE(IF(DATOS_[Sexo]=$B50,IF(DATOS_[[AGRUP. CLAS. PROF.]:[AGRUP. CLAS. PROF.]]=$B48,IF(DATOS_[Check Equiparado]="Sí",IF(DATOS_[Check Periodo Ref.]="Dentro",DATOS_[TOTAL Retrib Eq],FALSE))))),
0)</f>
        <v>0</v>
      </c>
    </row>
    <row r="51" spans="1:48" ht="15.6" hidden="1" thickBot="1" x14ac:dyDescent="0.3">
      <c r="A51" s="133" t="str">
        <f t="shared" ref="A51" si="51">+A52</f>
        <v>[ocultar]</v>
      </c>
      <c r="B51" s="199" t="s">
        <v>225</v>
      </c>
      <c r="C51" s="200"/>
      <c r="D51" s="201"/>
      <c r="E51" s="201"/>
      <c r="F51" s="201"/>
      <c r="G51" s="201"/>
      <c r="H51" s="201"/>
      <c r="I51" s="189" t="str">
        <f t="shared" ref="I51:AV51" si="52">IFERROR((I52-I53)/I52,"")</f>
        <v/>
      </c>
      <c r="J51" s="190" t="str">
        <f t="shared" si="52"/>
        <v/>
      </c>
      <c r="K51" s="191" t="str">
        <f t="shared" si="52"/>
        <v/>
      </c>
      <c r="L51" s="191" t="str">
        <f t="shared" si="52"/>
        <v/>
      </c>
      <c r="M51" s="191" t="str">
        <f t="shared" si="52"/>
        <v/>
      </c>
      <c r="N51" s="192" t="str">
        <f t="shared" si="52"/>
        <v/>
      </c>
      <c r="O51" s="193" t="str">
        <f t="shared" si="52"/>
        <v/>
      </c>
      <c r="P51" s="193" t="str">
        <f t="shared" si="52"/>
        <v/>
      </c>
      <c r="Q51" s="193" t="str">
        <f t="shared" si="52"/>
        <v/>
      </c>
      <c r="R51" s="193" t="str">
        <f t="shared" si="52"/>
        <v/>
      </c>
      <c r="S51" s="193" t="str">
        <f t="shared" si="52"/>
        <v/>
      </c>
      <c r="T51" s="193" t="str">
        <f t="shared" si="52"/>
        <v/>
      </c>
      <c r="U51" s="193" t="str">
        <f t="shared" si="52"/>
        <v/>
      </c>
      <c r="V51" s="193" t="str">
        <f t="shared" si="52"/>
        <v/>
      </c>
      <c r="W51" s="193" t="str">
        <f t="shared" si="52"/>
        <v/>
      </c>
      <c r="X51" s="193" t="str">
        <f t="shared" si="52"/>
        <v/>
      </c>
      <c r="Y51" s="193" t="str">
        <f t="shared" si="52"/>
        <v/>
      </c>
      <c r="Z51" s="193" t="str">
        <f t="shared" si="52"/>
        <v/>
      </c>
      <c r="AA51" s="193" t="str">
        <f t="shared" si="52"/>
        <v/>
      </c>
      <c r="AB51" s="193" t="str">
        <f t="shared" si="52"/>
        <v/>
      </c>
      <c r="AC51" s="193" t="str">
        <f t="shared" si="52"/>
        <v/>
      </c>
      <c r="AD51" s="193" t="str">
        <f t="shared" si="52"/>
        <v/>
      </c>
      <c r="AE51" s="193" t="str">
        <f t="shared" si="52"/>
        <v/>
      </c>
      <c r="AF51" s="193" t="str">
        <f t="shared" si="52"/>
        <v/>
      </c>
      <c r="AG51" s="193" t="str">
        <f t="shared" si="52"/>
        <v/>
      </c>
      <c r="AH51" s="193" t="str">
        <f t="shared" si="52"/>
        <v/>
      </c>
      <c r="AI51" s="193" t="str">
        <f t="shared" si="52"/>
        <v/>
      </c>
      <c r="AJ51" s="193" t="str">
        <f t="shared" si="52"/>
        <v/>
      </c>
      <c r="AK51" s="193" t="str">
        <f t="shared" si="52"/>
        <v/>
      </c>
      <c r="AL51" s="193" t="str">
        <f t="shared" si="52"/>
        <v/>
      </c>
      <c r="AM51" s="193" t="str">
        <f t="shared" si="52"/>
        <v/>
      </c>
      <c r="AN51" s="189" t="str">
        <f t="shared" si="52"/>
        <v/>
      </c>
      <c r="AO51" s="162" t="str">
        <f t="shared" si="52"/>
        <v/>
      </c>
      <c r="AP51" s="163" t="str">
        <f t="shared" si="52"/>
        <v/>
      </c>
      <c r="AQ51" s="163" t="str">
        <f t="shared" si="52"/>
        <v/>
      </c>
      <c r="AR51" s="163" t="str">
        <f t="shared" si="52"/>
        <v/>
      </c>
      <c r="AS51" s="163" t="str">
        <f t="shared" si="52"/>
        <v/>
      </c>
      <c r="AT51" s="163" t="str">
        <f t="shared" si="52"/>
        <v/>
      </c>
      <c r="AU51" s="194" t="str">
        <f t="shared" si="52"/>
        <v/>
      </c>
      <c r="AV51" s="165" t="str">
        <f t="shared" si="52"/>
        <v/>
      </c>
    </row>
    <row r="52" spans="1:48" hidden="1" x14ac:dyDescent="0.25">
      <c r="A52" s="133" t="str">
        <f t="shared" ref="A52" si="53">+IF(C52+C53=0,"[ocultar]","")</f>
        <v>[ocultar]</v>
      </c>
      <c r="B52" s="202" t="s">
        <v>394</v>
      </c>
      <c r="C52" s="203">
        <f t="array" ref="C52">SUM(IF($B52=DATOS_[Sexo],
IF($B51=DATOS_[AGRUP. CLAS. PROF.],
IF("Dentro"=DATOS_[Check Periodo Ref.],
1/(COUNTIFS(DATOS_[Sexo],$B52,DATOS_[AGRUP. CLAS. PROF.],$B51,DATOS_[Check Periodo Ref.],"Dentro",DATOS_[id/cod],DATOS_[id/cod]))))))</f>
        <v>0</v>
      </c>
      <c r="D52" s="204">
        <f>COUNTIFS(DATOS_[AGRUP. CLAS. PROF.],$B51,DATOS_[Sexo],$B52,DATOS_[Check Periodo Ref.],"Dentro")</f>
        <v>0</v>
      </c>
      <c r="E52" s="204">
        <f>COUNTIFS(DATOS_[AGRUP. CLAS. PROF.],$B51,DATOS_[Sexo],$B52,DATOS_[Check Periodo Ref.],"Dentro",DATOS_[Check Nº SC Norm],"Sí")</f>
        <v>0</v>
      </c>
      <c r="F52" s="204">
        <f>COUNTIFS(DATOS_[AGRUP. CLAS. PROF.],$B51,DATOS_[Sexo],$B52,DATOS_[Check Periodo Ref.],"Dentro",DATOS_[Check Nº SC Anualiz],"Sí")</f>
        <v>0</v>
      </c>
      <c r="G52" s="204">
        <f>COUNTIFS(DATOS_[AGRUP. CLAS. PROF.],$B51,DATOS_[Sexo],$B52,DATOS_[Check Periodo Ref.],"Dentro",DATOS_[Check Nº SC Norm y Anualiz],"Sí")</f>
        <v>0</v>
      </c>
      <c r="H52" s="204">
        <f>COUNTIFS(DATOS_[AGRUP. CLAS. PROF.],$B51,DATOS_[Sexo],$B52,DATOS_[Check Periodo Ref.],"Dentro",DATOS_[Check Equiparación],"Sí")</f>
        <v>0</v>
      </c>
      <c r="I52" s="195">
        <f t="array" ref="I52">IFERROR(
AVERAGE(IF(DATOS_[Sexo]=$B52,IF(DATOS_[[AGRUP. CLAS. PROF.]:[AGRUP. CLAS. PROF.]]=$B51,IF(DATOS_[Check Equiparado]="Sí",IF(DATOS_[Check Periodo Ref.]="Dentro",DATOS_[SALARIO BASE Eq],FALSE))))),
0)</f>
        <v>0</v>
      </c>
      <c r="J52" s="196">
        <f t="array" ref="J52">IFERROR(
(AVERAGE((IF(DATOS_[[Sexo]:[Sexo]]=$B52,IF(DATOS_[[AGRUP. CLAS. PROF.]:[AGRUP. CLAS. PROF.]]=$B51,IF(DATOS_[[Check Periodo Ref.]:[Check Periodo Ref.]]="Dentro",IF(DATOS_[[Check Equiparado]:[Check Equiparado]]="Sí",IF(DATOS!AE$5="Sí",(1/DATOS_[[% anualiz]:[% anualiz]]),1)*IF(DATOS!AE$4="Sí",1/DATOS_[[% normaliz]:[% normaliz]],1)*(DATOS_[Conc.Sal.01])))))))),
0)</f>
        <v>0</v>
      </c>
      <c r="K52" s="196">
        <f t="array" ref="K52">IFERROR(
(AVERAGE((IF(DATOS_[[Sexo]:[Sexo]]=$B52,IF(DATOS_[[AGRUP. CLAS. PROF.]:[AGRUP. CLAS. PROF.]]=$B51,IF(DATOS_[[Check Periodo Ref.]:[Check Periodo Ref.]]="Dentro",IF(DATOS_[[Check Equiparado]:[Check Equiparado]]="Sí",IF(DATOS!AF$5="Sí",(1/DATOS_[[% anualiz]:[% anualiz]]),1)*IF(DATOS!AF$4="Sí",1/DATOS_[[% normaliz]:[% normaliz]],1)*(DATOS_[Conc.Sal.02])))))))),
0)</f>
        <v>0</v>
      </c>
      <c r="L52" s="196">
        <f t="array" ref="L52">IFERROR(
(AVERAGE((IF(DATOS_[[Sexo]:[Sexo]]=$B52,IF(DATOS_[[AGRUP. CLAS. PROF.]:[AGRUP. CLAS. PROF.]]=$B51,IF(DATOS_[[Check Periodo Ref.]:[Check Periodo Ref.]]="Dentro",IF(DATOS_[[Check Equiparado]:[Check Equiparado]]="Sí",IF(DATOS!AG$5="Sí",(1/DATOS_[[% anualiz]:[% anualiz]]),1)*IF(DATOS!AG$4="Sí",1/DATOS_[[% normaliz]:[% normaliz]],1)*(DATOS_[Conc.Sal.03])))))))),
0)</f>
        <v>0</v>
      </c>
      <c r="M52" s="196">
        <f t="array" ref="M52">IFERROR(
(AVERAGE((IF(DATOS_[[Sexo]:[Sexo]]=$B52,IF(DATOS_[[AGRUP. CLAS. PROF.]:[AGRUP. CLAS. PROF.]]=$B51,IF(DATOS_[[Check Periodo Ref.]:[Check Periodo Ref.]]="Dentro",IF(DATOS_[[Check Equiparado]:[Check Equiparado]]="Sí",IF(DATOS!AH$5="Sí",(1/DATOS_[[% anualiz]:[% anualiz]]),1)*IF(DATOS!AH$4="Sí",1/DATOS_[[% normaliz]:[% normaliz]],1)*(DATOS_[Conc.Sal.04])))))))),
0)</f>
        <v>0</v>
      </c>
      <c r="N52" s="196">
        <f t="array" ref="N52">IFERROR(
(AVERAGE((IF(DATOS_[[Sexo]:[Sexo]]=$B52,IF(DATOS_[[AGRUP. CLAS. PROF.]:[AGRUP. CLAS. PROF.]]=$B51,IF(DATOS_[[Check Periodo Ref.]:[Check Periodo Ref.]]="Dentro",IF(DATOS_[[Check Equiparado]:[Check Equiparado]]="Sí",IF(DATOS!AI$5="Sí",(1/DATOS_[[% anualiz]:[% anualiz]]),1)*IF(DATOS!AI$4="Sí",1/DATOS_[[% normaliz]:[% normaliz]],1)*(DATOS_[Conc.Sal.05])))))))),
0)</f>
        <v>0</v>
      </c>
      <c r="O52" s="196">
        <f t="array" ref="O52">IFERROR(
(AVERAGE((IF(DATOS_[[Sexo]:[Sexo]]=$B52,IF(DATOS_[[AGRUP. CLAS. PROF.]:[AGRUP. CLAS. PROF.]]=$B51,IF(DATOS_[[Check Periodo Ref.]:[Check Periodo Ref.]]="Dentro",IF(DATOS_[[Check Equiparado]:[Check Equiparado]]="Sí",IF(DATOS!AJ$5="Sí",(1/DATOS_[[% anualiz]:[% anualiz]]),1)*IF(DATOS!AJ$4="Sí",1/DATOS_[[% normaliz]:[% normaliz]],1)*(DATOS_[Conc.Sal.06])))))))),
0)</f>
        <v>0</v>
      </c>
      <c r="P52" s="196">
        <f t="array" ref="P52">IFERROR(
(AVERAGE((IF(DATOS_[[Sexo]:[Sexo]]=$B52,IF(DATOS_[[AGRUP. CLAS. PROF.]:[AGRUP. CLAS. PROF.]]=$B51,IF(DATOS_[[Check Periodo Ref.]:[Check Periodo Ref.]]="Dentro",IF(DATOS_[[Check Equiparado]:[Check Equiparado]]="Sí",IF(DATOS!AK$5="Sí",(1/DATOS_[[% anualiz]:[% anualiz]]),1)*IF(DATOS!AK$4="Sí",1/DATOS_[[% normaliz]:[% normaliz]],1)*(DATOS_[Conc.Sal.07])))))))),
0)</f>
        <v>0</v>
      </c>
      <c r="Q52" s="196">
        <f t="array" ref="Q52">IFERROR(
(AVERAGE((IF(DATOS_[[Sexo]:[Sexo]]=$B52,IF(DATOS_[[AGRUP. CLAS. PROF.]:[AGRUP. CLAS. PROF.]]=$B51,IF(DATOS_[[Check Periodo Ref.]:[Check Periodo Ref.]]="Dentro",IF(DATOS_[[Check Equiparado]:[Check Equiparado]]="Sí",IF(DATOS!AL$5="Sí",(1/DATOS_[[% anualiz]:[% anualiz]]),1)*IF(DATOS!AL$4="Sí",1/DATOS_[[% normaliz]:[% normaliz]],1)*(DATOS_[Conc.Sal.08])))))))),
0)</f>
        <v>0</v>
      </c>
      <c r="R52" s="196">
        <f t="array" ref="R52">IFERROR(
(AVERAGE((IF(DATOS_[[Sexo]:[Sexo]]=$B52,IF(DATOS_[[AGRUP. CLAS. PROF.]:[AGRUP. CLAS. PROF.]]=$B51,IF(DATOS_[[Check Periodo Ref.]:[Check Periodo Ref.]]="Dentro",IF(DATOS_[[Check Equiparado]:[Check Equiparado]]="Sí",IF(DATOS!AM$5="Sí",(1/DATOS_[[% anualiz]:[% anualiz]]),1)*IF(DATOS!AM$4="Sí",1/DATOS_[[% normaliz]:[% normaliz]],1)*(DATOS_[Conc.Sal.09])))))))),
0)</f>
        <v>0</v>
      </c>
      <c r="S52" s="196">
        <f t="array" ref="S52">IFERROR(
(AVERAGE((IF(DATOS_[[Sexo]:[Sexo]]=$B52,IF(DATOS_[[AGRUP. CLAS. PROF.]:[AGRUP. CLAS. PROF.]]=$B51,IF(DATOS_[[Check Periodo Ref.]:[Check Periodo Ref.]]="Dentro",IF(DATOS_[[Check Equiparado]:[Check Equiparado]]="Sí",IF(DATOS!AN$5="Sí",(1/DATOS_[[% anualiz]:[% anualiz]]),1)*IF(DATOS!AN$4="Sí",1/DATOS_[[% normaliz]:[% normaliz]],1)*(DATOS_[Conc.Sal.10])))))))),
0)</f>
        <v>0</v>
      </c>
      <c r="T52" s="196">
        <f t="array" ref="T52">IFERROR(
(AVERAGE((IF(DATOS_[[Sexo]:[Sexo]]=$B52,IF(DATOS_[[AGRUP. CLAS. PROF.]:[AGRUP. CLAS. PROF.]]=$B51,IF(DATOS_[[Check Periodo Ref.]:[Check Periodo Ref.]]="Dentro",IF(DATOS_[[Check Equiparado]:[Check Equiparado]]="Sí",IF(DATOS!AO$5="Sí",(1/DATOS_[[% anualiz]:[% anualiz]]),1)*IF(DATOS!AO$4="Sí",1/DATOS_[[% normaliz]:[% normaliz]],1)*(DATOS_[Conc.Sal.11])))))))),
0)</f>
        <v>0</v>
      </c>
      <c r="U52" s="196">
        <f t="array" ref="U52">IFERROR(
(AVERAGE((IF(DATOS_[[Sexo]:[Sexo]]=$B52,IF(DATOS_[[AGRUP. CLAS. PROF.]:[AGRUP. CLAS. PROF.]]=$B51,IF(DATOS_[[Check Periodo Ref.]:[Check Periodo Ref.]]="Dentro",IF(DATOS_[[Check Equiparado]:[Check Equiparado]]="Sí",IF(DATOS!AP$5="Sí",(1/DATOS_[[% anualiz]:[% anualiz]]),1)*IF(DATOS!AP$4="Sí",1/DATOS_[[% normaliz]:[% normaliz]],1)*(DATOS_[Conc.Sal.12])))))))),
0)</f>
        <v>0</v>
      </c>
      <c r="V52" s="196">
        <f t="array" ref="V52">IFERROR(
(AVERAGE((IF(DATOS_[[Sexo]:[Sexo]]=$B52,IF(DATOS_[[AGRUP. CLAS. PROF.]:[AGRUP. CLAS. PROF.]]=$B51,IF(DATOS_[[Check Periodo Ref.]:[Check Periodo Ref.]]="Dentro",IF(DATOS_[[Check Equiparado]:[Check Equiparado]]="Sí",IF(DATOS!AQ$5="Sí",(1/DATOS_[[% anualiz]:[% anualiz]]),1)*IF(DATOS!AQ$4="Sí",1/DATOS_[[% normaliz]:[% normaliz]],1)*(DATOS_[Conc.Sal.13])))))))),
0)</f>
        <v>0</v>
      </c>
      <c r="W52" s="196">
        <f t="array" ref="W52">IFERROR(
(AVERAGE((IF(DATOS_[[Sexo]:[Sexo]]=$B52,IF(DATOS_[[AGRUP. CLAS. PROF.]:[AGRUP. CLAS. PROF.]]=$B51,IF(DATOS_[[Check Periodo Ref.]:[Check Periodo Ref.]]="Dentro",IF(DATOS_[[Check Equiparado]:[Check Equiparado]]="Sí",IF(DATOS!AR$5="Sí",(1/DATOS_[[% anualiz]:[% anualiz]]),1)*IF(DATOS!AR$4="Sí",1/DATOS_[[% normaliz]:[% normaliz]],1)*(DATOS_[Conc.Sal.14])))))))),
0)</f>
        <v>0</v>
      </c>
      <c r="X52" s="196">
        <f t="array" ref="X52">IFERROR(
(AVERAGE((IF(DATOS_[[Sexo]:[Sexo]]=$B52,IF(DATOS_[[AGRUP. CLAS. PROF.]:[AGRUP. CLAS. PROF.]]=$B51,IF(DATOS_[[Check Periodo Ref.]:[Check Periodo Ref.]]="Dentro",IF(DATOS_[[Check Equiparado]:[Check Equiparado]]="Sí",IF(DATOS!AS$5="Sí",(1/DATOS_[[% anualiz]:[% anualiz]]),1)*IF(DATOS!AS$4="Sí",1/DATOS_[[% normaliz]:[% normaliz]],1)*(DATOS_[Conc.Sal.15])))))))),
0)</f>
        <v>0</v>
      </c>
      <c r="Y52" s="196">
        <f t="array" ref="Y52">IFERROR(
(AVERAGE((IF(DATOS_[[Sexo]:[Sexo]]=$B52,IF(DATOS_[[AGRUP. CLAS. PROF.]:[AGRUP. CLAS. PROF.]]=$B51,IF(DATOS_[[Check Periodo Ref.]:[Check Periodo Ref.]]="Dentro",IF(DATOS_[[Check Equiparado]:[Check Equiparado]]="Sí",IF(DATOS!AT$5="Sí",(1/DATOS_[[% anualiz]:[% anualiz]]),1)*IF(DATOS!AT$4="Sí",1/DATOS_[[% normaliz]:[% normaliz]],1)*(DATOS_[Conc.Sal.16])))))))),
0)</f>
        <v>0</v>
      </c>
      <c r="Z52" s="196">
        <f t="array" ref="Z52">IFERROR(
(AVERAGE((IF(DATOS_[[Sexo]:[Sexo]]=$B52,IF(DATOS_[[AGRUP. CLAS. PROF.]:[AGRUP. CLAS. PROF.]]=$B51,IF(DATOS_[[Check Periodo Ref.]:[Check Periodo Ref.]]="Dentro",IF(DATOS_[[Check Equiparado]:[Check Equiparado]]="Sí",IF(DATOS!AU$5="Sí",(1/DATOS_[[% anualiz]:[% anualiz]]),1)*IF(DATOS!AU$4="Sí",1/DATOS_[[% normaliz]:[% normaliz]],1)*(DATOS_[Conc.Sal.17])))))))),
0)</f>
        <v>0</v>
      </c>
      <c r="AA52" s="196">
        <f t="array" ref="AA52">IFERROR(
(AVERAGE((IF(DATOS_[[Sexo]:[Sexo]]=$B52,IF(DATOS_[[AGRUP. CLAS. PROF.]:[AGRUP. CLAS. PROF.]]=$B51,IF(DATOS_[[Check Periodo Ref.]:[Check Periodo Ref.]]="Dentro",IF(DATOS_[[Check Equiparado]:[Check Equiparado]]="Sí",IF(DATOS!AV$5="Sí",(1/DATOS_[[% anualiz]:[% anualiz]]),1)*IF(DATOS!AV$4="Sí",1/DATOS_[[% normaliz]:[% normaliz]],1)*(DATOS_[Conc.Sal.18])))))))),
0)</f>
        <v>0</v>
      </c>
      <c r="AB52" s="196">
        <f t="array" ref="AB52">IFERROR(
(AVERAGE((IF(DATOS_[[Sexo]:[Sexo]]=$B52,IF(DATOS_[[AGRUP. CLAS. PROF.]:[AGRUP. CLAS. PROF.]]=$B51,IF(DATOS_[[Check Periodo Ref.]:[Check Periodo Ref.]]="Dentro",IF(DATOS_[[Check Equiparado]:[Check Equiparado]]="Sí",IF(DATOS!AW$5="Sí",(1/DATOS_[[% anualiz]:[% anualiz]]),1)*IF(DATOS!AW$4="Sí",1/DATOS_[[% normaliz]:[% normaliz]],1)*(DATOS_[Conc.Sal.19])))))))),
0)</f>
        <v>0</v>
      </c>
      <c r="AC52" s="196">
        <f t="array" ref="AC52">IFERROR(
(AVERAGE((IF(DATOS_[[Sexo]:[Sexo]]=$B52,IF(DATOS_[[AGRUP. CLAS. PROF.]:[AGRUP. CLAS. PROF.]]=$B51,IF(DATOS_[[Check Periodo Ref.]:[Check Periodo Ref.]]="Dentro",IF(DATOS_[[Check Equiparado]:[Check Equiparado]]="Sí",IF(DATOS!AX$5="Sí",(1/DATOS_[[% anualiz]:[% anualiz]]),1)*IF(DATOS!AX$4="Sí",1/DATOS_[[% normaliz]:[% normaliz]],1)*(DATOS_[Conc.Sal.20])))))))),
0)</f>
        <v>0</v>
      </c>
      <c r="AD52" s="196">
        <f t="array" ref="AD52">IFERROR(
(AVERAGE((IF(DATOS_[[Sexo]:[Sexo]]=$B52,IF(DATOS_[[AGRUP. CLAS. PROF.]:[AGRUP. CLAS. PROF.]]=$B51,IF(DATOS_[[Check Periodo Ref.]:[Check Periodo Ref.]]="Dentro",IF(DATOS_[[Check Equiparado]:[Check Equiparado]]="Sí",IF(DATOS!AY$5="Sí",(1/DATOS_[[% anualiz]:[% anualiz]]),1)*IF(DATOS!AY$4="Sí",1/DATOS_[[% normaliz]:[% normaliz]],1)*(DATOS_[Conc.Sal.21])))))))),
0)</f>
        <v>0</v>
      </c>
      <c r="AE52" s="196">
        <f t="array" ref="AE52">IFERROR(
(AVERAGE((IF(DATOS_[[Sexo]:[Sexo]]=$B52,IF(DATOS_[[AGRUP. CLAS. PROF.]:[AGRUP. CLAS. PROF.]]=$B51,IF(DATOS_[[Check Periodo Ref.]:[Check Periodo Ref.]]="Dentro",IF(DATOS_[[Check Equiparado]:[Check Equiparado]]="Sí",IF(DATOS!AZ$5="Sí",(1/DATOS_[[% anualiz]:[% anualiz]]),1)*IF(DATOS!AZ$4="Sí",1/DATOS_[[% normaliz]:[% normaliz]],1)*(DATOS_[Conc.Sal.22])))))))),
0)</f>
        <v>0</v>
      </c>
      <c r="AF52" s="196">
        <f t="array" ref="AF52">IFERROR(
(AVERAGE((IF(DATOS_[[Sexo]:[Sexo]]=$B52,IF(DATOS_[[AGRUP. CLAS. PROF.]:[AGRUP. CLAS. PROF.]]=$B51,IF(DATOS_[[Check Periodo Ref.]:[Check Periodo Ref.]]="Dentro",IF(DATOS_[[Check Equiparado]:[Check Equiparado]]="Sí",IF(DATOS!BA$5="Sí",(1/DATOS_[[% anualiz]:[% anualiz]]),1)*IF(DATOS!BA$4="Sí",1/DATOS_[[% normaliz]:[% normaliz]],1)*(DATOS_[Conc.Sal.23])))))))),
0)</f>
        <v>0</v>
      </c>
      <c r="AG52" s="196">
        <f t="array" ref="AG52">IFERROR(
(AVERAGE((IF(DATOS_[[Sexo]:[Sexo]]=$B52,IF(DATOS_[[AGRUP. CLAS. PROF.]:[AGRUP. CLAS. PROF.]]=$B51,IF(DATOS_[[Check Periodo Ref.]:[Check Periodo Ref.]]="Dentro",IF(DATOS_[[Check Equiparado]:[Check Equiparado]]="Sí",IF(DATOS!BB$5="Sí",(1/DATOS_[[% anualiz]:[% anualiz]]),1)*IF(DATOS!BB$4="Sí",1/DATOS_[[% normaliz]:[% normaliz]],1)*(DATOS_[Conc.Sal.24])))))))),
0)</f>
        <v>0</v>
      </c>
      <c r="AH52" s="196">
        <f t="array" ref="AH52">IFERROR(
(AVERAGE((IF(DATOS_[[Sexo]:[Sexo]]=$B52,IF(DATOS_[[AGRUP. CLAS. PROF.]:[AGRUP. CLAS. PROF.]]=$B51,IF(DATOS_[[Check Periodo Ref.]:[Check Periodo Ref.]]="Dentro",IF(DATOS_[[Check Equiparado]:[Check Equiparado]]="Sí",IF(DATOS!BC$5="Sí",(1/DATOS_[[% anualiz]:[% anualiz]]),1)*IF(DATOS!BC$4="Sí",1/DATOS_[[% normaliz]:[% normaliz]],1)*(DATOS_[Conc.Sal.25])))))))),
0)</f>
        <v>0</v>
      </c>
      <c r="AI52" s="196">
        <f t="array" ref="AI52">IFERROR(
(AVERAGE((IF(DATOS_[[Sexo]:[Sexo]]=$B52,IF(DATOS_[[AGRUP. CLAS. PROF.]:[AGRUP. CLAS. PROF.]]=$B51,IF(DATOS_[[Check Periodo Ref.]:[Check Periodo Ref.]]="Dentro",IF(DATOS_[[Check Equiparado]:[Check Equiparado]]="Sí",IF(DATOS!BD$5="Sí",(1/DATOS_[[% anualiz]:[% anualiz]]),1)*IF(DATOS!BD$4="Sí",1/DATOS_[[% normaliz]:[% normaliz]],1)*(DATOS_[Conc.Sal.26])))))))),
0)</f>
        <v>0</v>
      </c>
      <c r="AJ52" s="196">
        <f t="array" ref="AJ52">IFERROR(
(AVERAGE((IF(DATOS_[[Sexo]:[Sexo]]=$B52,IF(DATOS_[[AGRUP. CLAS. PROF.]:[AGRUP. CLAS. PROF.]]=$B51,IF(DATOS_[[Check Periodo Ref.]:[Check Periodo Ref.]]="Dentro",IF(DATOS_[[Check Equiparado]:[Check Equiparado]]="Sí",IF(DATOS!BE$5="Sí",(1/DATOS_[[% anualiz]:[% anualiz]]),1)*IF(DATOS!BE$4="Sí",1/DATOS_[[% normaliz]:[% normaliz]],1)*(DATOS_[Conc.Sal.27])))))))),
0)</f>
        <v>0</v>
      </c>
      <c r="AK52" s="196">
        <f t="array" ref="AK52">IFERROR(
(AVERAGE((IF(DATOS_[[Sexo]:[Sexo]]=$B52,IF(DATOS_[[AGRUP. CLAS. PROF.]:[AGRUP. CLAS. PROF.]]=$B51,IF(DATOS_[[Check Periodo Ref.]:[Check Periodo Ref.]]="Dentro",IF(DATOS_[[Check Equiparado]:[Check Equiparado]]="Sí",IF(DATOS!BF$5="Sí",(1/DATOS_[[% anualiz]:[% anualiz]]),1)*IF(DATOS!BF$4="Sí",1/DATOS_[[% normaliz]:[% normaliz]],1)*(DATOS_[Conc.Sal.28])))))))),
0)</f>
        <v>0</v>
      </c>
      <c r="AL52" s="196">
        <f t="array" ref="AL52">IFERROR(
(AVERAGE((IF(DATOS_[[Sexo]:[Sexo]]=$B52,IF(DATOS_[[AGRUP. CLAS. PROF.]:[AGRUP. CLAS. PROF.]]=$B51,IF(DATOS_[[Check Periodo Ref.]:[Check Periodo Ref.]]="Dentro",IF(DATOS_[[Check Equiparado]:[Check Equiparado]]="Sí",IF(DATOS!BG$5="Sí",(1/DATOS_[[% anualiz]:[% anualiz]]),1)*IF(DATOS!BG$4="Sí",1/DATOS_[[% normaliz]:[% normaliz]],1)*(DATOS_[Conc.Sal.29])))))))),
0)</f>
        <v>0</v>
      </c>
      <c r="AM52" s="196">
        <f t="array" ref="AM52">IFERROR(
(AVERAGE((IF(DATOS_[[Sexo]:[Sexo]]=$B52,IF(DATOS_[[AGRUP. CLAS. PROF.]:[AGRUP. CLAS. PROF.]]=$B51,IF(DATOS_[[Check Periodo Ref.]:[Check Periodo Ref.]]="Dentro",IF(DATOS_[[Check Equiparado]:[Check Equiparado]]="Sí",IF(DATOS!BH$5="Sí",(1/DATOS_[[% anualiz]:[% anualiz]]),1)*IF(DATOS!BH$4="Sí",1/DATOS_[[% normaliz]:[% normaliz]],1)*(DATOS_[Conc.Sal.30])))))))),
0)</f>
        <v>0</v>
      </c>
      <c r="AN52" s="195">
        <f t="array" ref="AN52">IFERROR(
AVERAGE(IF(DATOS_[Sexo]=$B52,IF(DATOS_[[AGRUP. CLAS. PROF.]:[AGRUP. CLAS. PROF.]]=$B51,IF(DATOS_[Check Equiparado]="Sí",IF(DATOS_[Check Periodo Ref.]="Dentro",DATOS_[Tot COMPL.SAL Eq],FALSE))))),
0)</f>
        <v>0</v>
      </c>
      <c r="AO52" s="172">
        <f t="array" ref="AO52">IFERROR(
AVERAGE(IF(DATOS_[Sexo]=$B52,IF(DATOS_[[AGRUP. CLAS. PROF.]:[AGRUP. CLAS. PROF.]]=$B51,IF(DATOS_[Check Equiparado]="Sí",IF(DATOS_[Check Periodo Ref.]="Dentro",DATOS_[TOTAL SALARIO Eq],FALSE))))),
0)</f>
        <v>0</v>
      </c>
      <c r="AP52" s="173">
        <f t="array" ref="AP52">IFERROR(
(AVERAGE((IF(DATOS_[[Sexo]:[Sexo]]=$B52,IF(DATOS_[[AGRUP. CLAS. PROF.]:[AGRUP. CLAS. PROF.]]=$B51,IF(DATOS_[[Check Periodo Ref.]:[Check Periodo Ref.]]="Dentro",IF(DATOS_[[Check Equiparado]:[Check Equiparado]]="Sí",IF(DATOS!BW$5="Sí",(1/DATOS_[[% anualiz]:[% anualiz]]),1)*IF(DATOS!BW$4="Sí",1/DATOS_[[% normaliz]:[% normaliz]],1)*(DATOS_[C.Extra.01])))))))),
0)</f>
        <v>0</v>
      </c>
      <c r="AQ52" s="173">
        <f t="array" ref="AQ52">IFERROR(
(AVERAGE((IF(DATOS_[[Sexo]:[Sexo]]=$B52,IF(DATOS_[[AGRUP. CLAS. PROF.]:[AGRUP. CLAS. PROF.]]=$B51,IF(DATOS_[[Check Periodo Ref.]:[Check Periodo Ref.]]="Dentro",IF(DATOS_[[Check Equiparado]:[Check Equiparado]]="Sí",IF(DATOS!CB$5="Sí",(1/DATOS_[[% anualiz]:[% anualiz]]),1)*IF(DATOS!CB$4="Sí",1/DATOS_[[% normaliz]:[% normaliz]],1)*(DATOS_[C.Extra.06])))))))),
0)</f>
        <v>0</v>
      </c>
      <c r="AR52" s="173">
        <f t="array" ref="AR52">IFERROR(
(AVERAGE((IF(DATOS_[[Sexo]:[Sexo]]=$B52,IF(DATOS_[[AGRUP. CLAS. PROF.]:[AGRUP. CLAS. PROF.]]=$B51,IF(DATOS_[[Check Periodo Ref.]:[Check Periodo Ref.]]="Dentro",IF(DATOS_[[Check Equiparado]:[Check Equiparado]]="Sí",IF(DATOS!CC$5="Sí",(1/DATOS_[[% anualiz]:[% anualiz]]),1)*IF(DATOS!CC$4="Sí",1/DATOS_[[% normaliz]:[% normaliz]],1)*(DATOS_[C.Extra.07])))))))),
0)</f>
        <v>0</v>
      </c>
      <c r="AS52" s="173">
        <f t="array" ref="AS52">IFERROR(
(AVERAGE((IF(DATOS_[[Sexo]:[Sexo]]=$B52,IF(DATOS_[[AGRUP. CLAS. PROF.]:[AGRUP. CLAS. PROF.]]=$B51,IF(DATOS_[[Check Periodo Ref.]:[Check Periodo Ref.]]="Dentro",IF(DATOS_[[Check Equiparado]:[Check Equiparado]]="Sí",IF(DATOS!CD$5="Sí",(1/DATOS_[[% anualiz]:[% anualiz]]),1)*IF(DATOS!CD$4="Sí",1/DATOS_[[% normaliz]:[% normaliz]],1)*(DATOS_[C.Extra.08])))))))),
0)</f>
        <v>0</v>
      </c>
      <c r="AT52" s="173">
        <f t="array" ref="AT52">IFERROR(
(AVERAGE((IF(DATOS_[[Sexo]:[Sexo]]=$B52,IF(DATOS_[[AGRUP. CLAS. PROF.]:[AGRUP. CLAS. PROF.]]=$B51,IF(DATOS_[[Check Periodo Ref.]:[Check Periodo Ref.]]="Dentro",IF(DATOS_[[Check Equiparado]:[Check Equiparado]]="Sí",IF(DATOS!CG$5="Sí",(1/DATOS_[[% anualiz]:[% anualiz]]),1)*IF(DATOS!CG$4="Sí",1/DATOS_[[% normaliz]:[% normaliz]],1)*(DATOS_[C.Extra.11])))))))),
0)</f>
        <v>0</v>
      </c>
      <c r="AU52" s="197">
        <f t="array" ref="AU52">IFERROR(
AVERAGE(IF(DATOS_[Sexo]=$B52,IF(DATOS_[[AGRUP. CLAS. PROF.]:[AGRUP. CLAS. PROF.]]=$B51,IF(DATOS_[Check Equiparado]="Sí",IF(DATOS_[Check Periodo Ref.]="Dentro",DATOS_[Tot Extrasalarial Eq],FALSE))))),
0)</f>
        <v>0</v>
      </c>
      <c r="AV52" s="175">
        <f t="array" ref="AV52">IFERROR(
AVERAGE(IF(DATOS_[Sexo]=$B52,IF(DATOS_[[AGRUP. CLAS. PROF.]:[AGRUP. CLAS. PROF.]]=$B51,IF(DATOS_[Check Equiparado]="Sí",IF(DATOS_[Check Periodo Ref.]="Dentro",DATOS_[TOTAL Retrib Eq],FALSE))))),
0)</f>
        <v>0</v>
      </c>
    </row>
    <row r="53" spans="1:48" hidden="1" x14ac:dyDescent="0.25">
      <c r="A53" s="133" t="str">
        <f t="shared" ref="A53" si="54">+A52</f>
        <v>[ocultar]</v>
      </c>
      <c r="B53" s="202" t="s">
        <v>521</v>
      </c>
      <c r="C53" s="203">
        <f t="array" ref="C53">SUM(IF($B53=DATOS_[Sexo],
IF($B51=DATOS_[AGRUP. CLAS. PROF.],
IF("Dentro"=DATOS_[Check Periodo Ref.],
1/(COUNTIFS(DATOS_[Sexo],$B53,DATOS_[AGRUP. CLAS. PROF.],$B51,DATOS_[Check Periodo Ref.],"Dentro",DATOS_[id/cod],DATOS_[id/cod]))))))</f>
        <v>0</v>
      </c>
      <c r="D53" s="204">
        <f>COUNTIFS(DATOS_[AGRUP. CLAS. PROF.],$B51,DATOS_[Sexo],$B53,DATOS_[Check Periodo Ref.],"Dentro")</f>
        <v>0</v>
      </c>
      <c r="E53" s="204">
        <f>COUNTIFS(DATOS_[AGRUP. CLAS. PROF.],$B51,DATOS_[Sexo],$B53,DATOS_[Check Periodo Ref.],"Dentro",DATOS_[Check Nº SC Norm],"Sí")</f>
        <v>0</v>
      </c>
      <c r="F53" s="204">
        <f>COUNTIFS(DATOS_[AGRUP. CLAS. PROF.],$B51,DATOS_[Sexo],$B53,DATOS_[Check Periodo Ref.],"Dentro",DATOS_[Check Nº SC Anualiz],"Sí")</f>
        <v>0</v>
      </c>
      <c r="G53" s="204">
        <f>COUNTIFS(DATOS_[AGRUP. CLAS. PROF.],$B51,DATOS_[Sexo],$B53,DATOS_[Check Periodo Ref.],"Dentro",DATOS_[Check Nº SC Norm y Anualiz],"Sí")</f>
        <v>0</v>
      </c>
      <c r="H53" s="204">
        <f>COUNTIFS(DATOS_[AGRUP. CLAS. PROF.],$B51,DATOS_[Sexo],$B53,DATOS_[Check Periodo Ref.],"Dentro",DATOS_[Check Equiparación],"Sí")</f>
        <v>0</v>
      </c>
      <c r="I53" s="195" cm="1">
        <f t="array" ref="I53">IFERROR(
AVERAGE(IF(DATOS_[Sexo]=$B53,IF(DATOS_[[AGRUP. CLAS. PROF.]:[AGRUP. CLAS. PROF.]]=$B51,IF(DATOS_[Check Equiparado]="Sí",IF(DATOS_[Check Periodo Ref.]="Dentro",DATOS_[SALARIO BASE Eq],FALSE))))),
0)</f>
        <v>0</v>
      </c>
      <c r="J53" s="196">
        <f t="array" ref="J53">IFERROR(
(AVERAGE((IF(DATOS_[[Sexo]:[Sexo]]=$B53,IF(DATOS_[[AGRUP. CLAS. PROF.]:[AGRUP. CLAS. PROF.]]=$B51,IF(DATOS_[[Check Periodo Ref.]:[Check Periodo Ref.]]="Dentro",IF(DATOS_[[Check Equiparado]:[Check Equiparado]]="Sí",IF(DATOS!AE$5="Sí",(1/DATOS_[[% anualiz]:[% anualiz]]),1)*IF(DATOS!AE$4="Sí",1/DATOS_[[% normaliz]:[% normaliz]],1)*(DATOS_[Conc.Sal.01])))))))),
0)</f>
        <v>0</v>
      </c>
      <c r="K53" s="196">
        <f t="array" ref="K53">IFERROR(
(AVERAGE((IF(DATOS_[[Sexo]:[Sexo]]=$B53,IF(DATOS_[[AGRUP. CLAS. PROF.]:[AGRUP. CLAS. PROF.]]=$B51,IF(DATOS_[[Check Periodo Ref.]:[Check Periodo Ref.]]="Dentro",IF(DATOS_[[Check Equiparado]:[Check Equiparado]]="Sí",IF(DATOS!AF$5="Sí",(1/DATOS_[[% anualiz]:[% anualiz]]),1)*IF(DATOS!AF$4="Sí",1/DATOS_[[% normaliz]:[% normaliz]],1)*(DATOS_[Conc.Sal.02])))))))),
0)</f>
        <v>0</v>
      </c>
      <c r="L53" s="196">
        <f t="array" ref="L53">IFERROR(
(AVERAGE((IF(DATOS_[[Sexo]:[Sexo]]=$B53,IF(DATOS_[[AGRUP. CLAS. PROF.]:[AGRUP. CLAS. PROF.]]=$B51,IF(DATOS_[[Check Periodo Ref.]:[Check Periodo Ref.]]="Dentro",IF(DATOS_[[Check Equiparado]:[Check Equiparado]]="Sí",IF(DATOS!AG$5="Sí",(1/DATOS_[[% anualiz]:[% anualiz]]),1)*IF(DATOS!AG$4="Sí",1/DATOS_[[% normaliz]:[% normaliz]],1)*(DATOS_[Conc.Sal.03])))))))),
0)</f>
        <v>0</v>
      </c>
      <c r="M53" s="196">
        <f t="array" ref="M53">IFERROR(
(AVERAGE((IF(DATOS_[[Sexo]:[Sexo]]=$B53,IF(DATOS_[[AGRUP. CLAS. PROF.]:[AGRUP. CLAS. PROF.]]=$B51,IF(DATOS_[[Check Periodo Ref.]:[Check Periodo Ref.]]="Dentro",IF(DATOS_[[Check Equiparado]:[Check Equiparado]]="Sí",IF(DATOS!AH$5="Sí",(1/DATOS_[[% anualiz]:[% anualiz]]),1)*IF(DATOS!AH$4="Sí",1/DATOS_[[% normaliz]:[% normaliz]],1)*(DATOS_[Conc.Sal.04])))))))),
0)</f>
        <v>0</v>
      </c>
      <c r="N53" s="196">
        <f t="array" ref="N53">IFERROR(
(AVERAGE((IF(DATOS_[[Sexo]:[Sexo]]=$B53,IF(DATOS_[[AGRUP. CLAS. PROF.]:[AGRUP. CLAS. PROF.]]=$B51,IF(DATOS_[[Check Periodo Ref.]:[Check Periodo Ref.]]="Dentro",IF(DATOS_[[Check Equiparado]:[Check Equiparado]]="Sí",IF(DATOS!AI$5="Sí",(1/DATOS_[[% anualiz]:[% anualiz]]),1)*IF(DATOS!AI$4="Sí",1/DATOS_[[% normaliz]:[% normaliz]],1)*(DATOS_[Conc.Sal.05])))))))),
0)</f>
        <v>0</v>
      </c>
      <c r="O53" s="196">
        <f t="array" ref="O53">IFERROR(
(AVERAGE((IF(DATOS_[[Sexo]:[Sexo]]=$B53,IF(DATOS_[[AGRUP. CLAS. PROF.]:[AGRUP. CLAS. PROF.]]=$B51,IF(DATOS_[[Check Periodo Ref.]:[Check Periodo Ref.]]="Dentro",IF(DATOS_[[Check Equiparado]:[Check Equiparado]]="Sí",IF(DATOS!AJ$5="Sí",(1/DATOS_[[% anualiz]:[% anualiz]]),1)*IF(DATOS!AJ$4="Sí",1/DATOS_[[% normaliz]:[% normaliz]],1)*(DATOS_[Conc.Sal.06])))))))),
0)</f>
        <v>0</v>
      </c>
      <c r="P53" s="196">
        <f t="array" ref="P53">IFERROR(
(AVERAGE((IF(DATOS_[[Sexo]:[Sexo]]=$B53,IF(DATOS_[[AGRUP. CLAS. PROF.]:[AGRUP. CLAS. PROF.]]=$B51,IF(DATOS_[[Check Periodo Ref.]:[Check Periodo Ref.]]="Dentro",IF(DATOS_[[Check Equiparado]:[Check Equiparado]]="Sí",IF(DATOS!AK$5="Sí",(1/DATOS_[[% anualiz]:[% anualiz]]),1)*IF(DATOS!AK$4="Sí",1/DATOS_[[% normaliz]:[% normaliz]],1)*(DATOS_[Conc.Sal.07])))))))),
0)</f>
        <v>0</v>
      </c>
      <c r="Q53" s="196">
        <f t="array" ref="Q53">IFERROR(
(AVERAGE((IF(DATOS_[[Sexo]:[Sexo]]=$B53,IF(DATOS_[[AGRUP. CLAS. PROF.]:[AGRUP. CLAS. PROF.]]=$B51,IF(DATOS_[[Check Periodo Ref.]:[Check Periodo Ref.]]="Dentro",IF(DATOS_[[Check Equiparado]:[Check Equiparado]]="Sí",IF(DATOS!AL$5="Sí",(1/DATOS_[[% anualiz]:[% anualiz]]),1)*IF(DATOS!AL$4="Sí",1/DATOS_[[% normaliz]:[% normaliz]],1)*(DATOS_[Conc.Sal.08])))))))),
0)</f>
        <v>0</v>
      </c>
      <c r="R53" s="196">
        <f t="array" ref="R53">IFERROR(
(AVERAGE((IF(DATOS_[[Sexo]:[Sexo]]=$B53,IF(DATOS_[[AGRUP. CLAS. PROF.]:[AGRUP. CLAS. PROF.]]=$B51,IF(DATOS_[[Check Periodo Ref.]:[Check Periodo Ref.]]="Dentro",IF(DATOS_[[Check Equiparado]:[Check Equiparado]]="Sí",IF(DATOS!AM$5="Sí",(1/DATOS_[[% anualiz]:[% anualiz]]),1)*IF(DATOS!AM$4="Sí",1/DATOS_[[% normaliz]:[% normaliz]],1)*(DATOS_[Conc.Sal.09])))))))),
0)</f>
        <v>0</v>
      </c>
      <c r="S53" s="196">
        <f t="array" ref="S53">IFERROR(
(AVERAGE((IF(DATOS_[[Sexo]:[Sexo]]=$B53,IF(DATOS_[[AGRUP. CLAS. PROF.]:[AGRUP. CLAS. PROF.]]=$B51,IF(DATOS_[[Check Periodo Ref.]:[Check Periodo Ref.]]="Dentro",IF(DATOS_[[Check Equiparado]:[Check Equiparado]]="Sí",IF(DATOS!AN$5="Sí",(1/DATOS_[[% anualiz]:[% anualiz]]),1)*IF(DATOS!AN$4="Sí",1/DATOS_[[% normaliz]:[% normaliz]],1)*(DATOS_[Conc.Sal.10])))))))),
0)</f>
        <v>0</v>
      </c>
      <c r="T53" s="196">
        <f t="array" ref="T53">IFERROR(
(AVERAGE((IF(DATOS_[[Sexo]:[Sexo]]=$B53,IF(DATOS_[[AGRUP. CLAS. PROF.]:[AGRUP. CLAS. PROF.]]=$B51,IF(DATOS_[[Check Periodo Ref.]:[Check Periodo Ref.]]="Dentro",IF(DATOS_[[Check Equiparado]:[Check Equiparado]]="Sí",IF(DATOS!AO$5="Sí",(1/DATOS_[[% anualiz]:[% anualiz]]),1)*IF(DATOS!AO$4="Sí",1/DATOS_[[% normaliz]:[% normaliz]],1)*(DATOS_[Conc.Sal.11])))))))),
0)</f>
        <v>0</v>
      </c>
      <c r="U53" s="196">
        <f t="array" ref="U53">IFERROR(
(AVERAGE((IF(DATOS_[[Sexo]:[Sexo]]=$B53,IF(DATOS_[[AGRUP. CLAS. PROF.]:[AGRUP. CLAS. PROF.]]=$B51,IF(DATOS_[[Check Periodo Ref.]:[Check Periodo Ref.]]="Dentro",IF(DATOS_[[Check Equiparado]:[Check Equiparado]]="Sí",IF(DATOS!AP$5="Sí",(1/DATOS_[[% anualiz]:[% anualiz]]),1)*IF(DATOS!AP$4="Sí",1/DATOS_[[% normaliz]:[% normaliz]],1)*(DATOS_[Conc.Sal.12])))))))),
0)</f>
        <v>0</v>
      </c>
      <c r="V53" s="196">
        <f t="array" ref="V53">IFERROR(
(AVERAGE((IF(DATOS_[[Sexo]:[Sexo]]=$B53,IF(DATOS_[[AGRUP. CLAS. PROF.]:[AGRUP. CLAS. PROF.]]=$B51,IF(DATOS_[[Check Periodo Ref.]:[Check Periodo Ref.]]="Dentro",IF(DATOS_[[Check Equiparado]:[Check Equiparado]]="Sí",IF(DATOS!AQ$5="Sí",(1/DATOS_[[% anualiz]:[% anualiz]]),1)*IF(DATOS!AQ$4="Sí",1/DATOS_[[% normaliz]:[% normaliz]],1)*(DATOS_[Conc.Sal.13])))))))),
0)</f>
        <v>0</v>
      </c>
      <c r="W53" s="196">
        <f t="array" ref="W53">IFERROR(
(AVERAGE((IF(DATOS_[[Sexo]:[Sexo]]=$B53,IF(DATOS_[[AGRUP. CLAS. PROF.]:[AGRUP. CLAS. PROF.]]=$B51,IF(DATOS_[[Check Periodo Ref.]:[Check Periodo Ref.]]="Dentro",IF(DATOS_[[Check Equiparado]:[Check Equiparado]]="Sí",IF(DATOS!AR$5="Sí",(1/DATOS_[[% anualiz]:[% anualiz]]),1)*IF(DATOS!AR$4="Sí",1/DATOS_[[% normaliz]:[% normaliz]],1)*(DATOS_[Conc.Sal.14])))))))),
0)</f>
        <v>0</v>
      </c>
      <c r="X53" s="196">
        <f t="array" ref="X53">IFERROR(
(AVERAGE((IF(DATOS_[[Sexo]:[Sexo]]=$B53,IF(DATOS_[[AGRUP. CLAS. PROF.]:[AGRUP. CLAS. PROF.]]=$B51,IF(DATOS_[[Check Periodo Ref.]:[Check Periodo Ref.]]="Dentro",IF(DATOS_[[Check Equiparado]:[Check Equiparado]]="Sí",IF(DATOS!AS$5="Sí",(1/DATOS_[[% anualiz]:[% anualiz]]),1)*IF(DATOS!AS$4="Sí",1/DATOS_[[% normaliz]:[% normaliz]],1)*(DATOS_[Conc.Sal.15])))))))),
0)</f>
        <v>0</v>
      </c>
      <c r="Y53" s="196">
        <f t="array" ref="Y53">IFERROR(
(AVERAGE((IF(DATOS_[[Sexo]:[Sexo]]=$B53,IF(DATOS_[[AGRUP. CLAS. PROF.]:[AGRUP. CLAS. PROF.]]=$B51,IF(DATOS_[[Check Periodo Ref.]:[Check Periodo Ref.]]="Dentro",IF(DATOS_[[Check Equiparado]:[Check Equiparado]]="Sí",IF(DATOS!AT$5="Sí",(1/DATOS_[[% anualiz]:[% anualiz]]),1)*IF(DATOS!AT$4="Sí",1/DATOS_[[% normaliz]:[% normaliz]],1)*(DATOS_[Conc.Sal.16])))))))),
0)</f>
        <v>0</v>
      </c>
      <c r="Z53" s="196">
        <f t="array" ref="Z53">IFERROR(
(AVERAGE((IF(DATOS_[[Sexo]:[Sexo]]=$B53,IF(DATOS_[[AGRUP. CLAS. PROF.]:[AGRUP. CLAS. PROF.]]=$B51,IF(DATOS_[[Check Periodo Ref.]:[Check Periodo Ref.]]="Dentro",IF(DATOS_[[Check Equiparado]:[Check Equiparado]]="Sí",IF(DATOS!AU$5="Sí",(1/DATOS_[[% anualiz]:[% anualiz]]),1)*IF(DATOS!AU$4="Sí",1/DATOS_[[% normaliz]:[% normaliz]],1)*(DATOS_[Conc.Sal.17])))))))),
0)</f>
        <v>0</v>
      </c>
      <c r="AA53" s="196">
        <f t="array" ref="AA53">IFERROR(
(AVERAGE((IF(DATOS_[[Sexo]:[Sexo]]=$B53,IF(DATOS_[[AGRUP. CLAS. PROF.]:[AGRUP. CLAS. PROF.]]=$B51,IF(DATOS_[[Check Periodo Ref.]:[Check Periodo Ref.]]="Dentro",IF(DATOS_[[Check Equiparado]:[Check Equiparado]]="Sí",IF(DATOS!AV$5="Sí",(1/DATOS_[[% anualiz]:[% anualiz]]),1)*IF(DATOS!AV$4="Sí",1/DATOS_[[% normaliz]:[% normaliz]],1)*(DATOS_[Conc.Sal.18])))))))),
0)</f>
        <v>0</v>
      </c>
      <c r="AB53" s="196">
        <f t="array" ref="AB53">IFERROR(
(AVERAGE((IF(DATOS_[[Sexo]:[Sexo]]=$B53,IF(DATOS_[[AGRUP. CLAS. PROF.]:[AGRUP. CLAS. PROF.]]=$B51,IF(DATOS_[[Check Periodo Ref.]:[Check Periodo Ref.]]="Dentro",IF(DATOS_[[Check Equiparado]:[Check Equiparado]]="Sí",IF(DATOS!AW$5="Sí",(1/DATOS_[[% anualiz]:[% anualiz]]),1)*IF(DATOS!AW$4="Sí",1/DATOS_[[% normaliz]:[% normaliz]],1)*(DATOS_[Conc.Sal.19])))))))),
0)</f>
        <v>0</v>
      </c>
      <c r="AC53" s="196">
        <f t="array" ref="AC53">IFERROR(
(AVERAGE((IF(DATOS_[[Sexo]:[Sexo]]=$B53,IF(DATOS_[[AGRUP. CLAS. PROF.]:[AGRUP. CLAS. PROF.]]=$B51,IF(DATOS_[[Check Periodo Ref.]:[Check Periodo Ref.]]="Dentro",IF(DATOS_[[Check Equiparado]:[Check Equiparado]]="Sí",IF(DATOS!AX$5="Sí",(1/DATOS_[[% anualiz]:[% anualiz]]),1)*IF(DATOS!AX$4="Sí",1/DATOS_[[% normaliz]:[% normaliz]],1)*(DATOS_[Conc.Sal.20])))))))),
0)</f>
        <v>0</v>
      </c>
      <c r="AD53" s="196">
        <f t="array" ref="AD53">IFERROR(
(AVERAGE((IF(DATOS_[[Sexo]:[Sexo]]=$B53,IF(DATOS_[[AGRUP. CLAS. PROF.]:[AGRUP. CLAS. PROF.]]=$B51,IF(DATOS_[[Check Periodo Ref.]:[Check Periodo Ref.]]="Dentro",IF(DATOS_[[Check Equiparado]:[Check Equiparado]]="Sí",IF(DATOS!AY$5="Sí",(1/DATOS_[[% anualiz]:[% anualiz]]),1)*IF(DATOS!AY$4="Sí",1/DATOS_[[% normaliz]:[% normaliz]],1)*(DATOS_[Conc.Sal.21])))))))),
0)</f>
        <v>0</v>
      </c>
      <c r="AE53" s="196">
        <f t="array" ref="AE53">IFERROR(
(AVERAGE((IF(DATOS_[[Sexo]:[Sexo]]=$B53,IF(DATOS_[[AGRUP. CLAS. PROF.]:[AGRUP. CLAS. PROF.]]=$B51,IF(DATOS_[[Check Periodo Ref.]:[Check Periodo Ref.]]="Dentro",IF(DATOS_[[Check Equiparado]:[Check Equiparado]]="Sí",IF(DATOS!AZ$5="Sí",(1/DATOS_[[% anualiz]:[% anualiz]]),1)*IF(DATOS!AZ$4="Sí",1/DATOS_[[% normaliz]:[% normaliz]],1)*(DATOS_[Conc.Sal.22])))))))),
0)</f>
        <v>0</v>
      </c>
      <c r="AF53" s="196">
        <f t="array" ref="AF53">IFERROR(
(AVERAGE((IF(DATOS_[[Sexo]:[Sexo]]=$B53,IF(DATOS_[[AGRUP. CLAS. PROF.]:[AGRUP. CLAS. PROF.]]=$B51,IF(DATOS_[[Check Periodo Ref.]:[Check Periodo Ref.]]="Dentro",IF(DATOS_[[Check Equiparado]:[Check Equiparado]]="Sí",IF(DATOS!BA$5="Sí",(1/DATOS_[[% anualiz]:[% anualiz]]),1)*IF(DATOS!BA$4="Sí",1/DATOS_[[% normaliz]:[% normaliz]],1)*(DATOS_[Conc.Sal.23])))))))),
0)</f>
        <v>0</v>
      </c>
      <c r="AG53" s="196">
        <f t="array" ref="AG53">IFERROR(
(AVERAGE((IF(DATOS_[[Sexo]:[Sexo]]=$B53,IF(DATOS_[[AGRUP. CLAS. PROF.]:[AGRUP. CLAS. PROF.]]=$B51,IF(DATOS_[[Check Periodo Ref.]:[Check Periodo Ref.]]="Dentro",IF(DATOS_[[Check Equiparado]:[Check Equiparado]]="Sí",IF(DATOS!BB$5="Sí",(1/DATOS_[[% anualiz]:[% anualiz]]),1)*IF(DATOS!BB$4="Sí",1/DATOS_[[% normaliz]:[% normaliz]],1)*(DATOS_[Conc.Sal.24])))))))),
0)</f>
        <v>0</v>
      </c>
      <c r="AH53" s="196">
        <f t="array" ref="AH53">IFERROR(
(AVERAGE((IF(DATOS_[[Sexo]:[Sexo]]=$B53,IF(DATOS_[[AGRUP. CLAS. PROF.]:[AGRUP. CLAS. PROF.]]=$B51,IF(DATOS_[[Check Periodo Ref.]:[Check Periodo Ref.]]="Dentro",IF(DATOS_[[Check Equiparado]:[Check Equiparado]]="Sí",IF(DATOS!BC$5="Sí",(1/DATOS_[[% anualiz]:[% anualiz]]),1)*IF(DATOS!BC$4="Sí",1/DATOS_[[% normaliz]:[% normaliz]],1)*(DATOS_[Conc.Sal.25])))))))),
0)</f>
        <v>0</v>
      </c>
      <c r="AI53" s="196">
        <f t="array" ref="AI53">IFERROR(
(AVERAGE((IF(DATOS_[[Sexo]:[Sexo]]=$B53,IF(DATOS_[[AGRUP. CLAS. PROF.]:[AGRUP. CLAS. PROF.]]=$B51,IF(DATOS_[[Check Periodo Ref.]:[Check Periodo Ref.]]="Dentro",IF(DATOS_[[Check Equiparado]:[Check Equiparado]]="Sí",IF(DATOS!BD$5="Sí",(1/DATOS_[[% anualiz]:[% anualiz]]),1)*IF(DATOS!BD$4="Sí",1/DATOS_[[% normaliz]:[% normaliz]],1)*(DATOS_[Conc.Sal.26])))))))),
0)</f>
        <v>0</v>
      </c>
      <c r="AJ53" s="196">
        <f t="array" ref="AJ53">IFERROR(
(AVERAGE((IF(DATOS_[[Sexo]:[Sexo]]=$B53,IF(DATOS_[[AGRUP. CLAS. PROF.]:[AGRUP. CLAS. PROF.]]=$B51,IF(DATOS_[[Check Periodo Ref.]:[Check Periodo Ref.]]="Dentro",IF(DATOS_[[Check Equiparado]:[Check Equiparado]]="Sí",IF(DATOS!BE$5="Sí",(1/DATOS_[[% anualiz]:[% anualiz]]),1)*IF(DATOS!BE$4="Sí",1/DATOS_[[% normaliz]:[% normaliz]],1)*(DATOS_[Conc.Sal.27])))))))),
0)</f>
        <v>0</v>
      </c>
      <c r="AK53" s="196">
        <f t="array" ref="AK53">IFERROR(
(AVERAGE((IF(DATOS_[[Sexo]:[Sexo]]=$B53,IF(DATOS_[[AGRUP. CLAS. PROF.]:[AGRUP. CLAS. PROF.]]=$B51,IF(DATOS_[[Check Periodo Ref.]:[Check Periodo Ref.]]="Dentro",IF(DATOS_[[Check Equiparado]:[Check Equiparado]]="Sí",IF(DATOS!BF$5="Sí",(1/DATOS_[[% anualiz]:[% anualiz]]),1)*IF(DATOS!BF$4="Sí",1/DATOS_[[% normaliz]:[% normaliz]],1)*(DATOS_[Conc.Sal.28])))))))),
0)</f>
        <v>0</v>
      </c>
      <c r="AL53" s="196">
        <f t="array" ref="AL53">IFERROR(
(AVERAGE((IF(DATOS_[[Sexo]:[Sexo]]=$B53,IF(DATOS_[[AGRUP. CLAS. PROF.]:[AGRUP. CLAS. PROF.]]=$B51,IF(DATOS_[[Check Periodo Ref.]:[Check Periodo Ref.]]="Dentro",IF(DATOS_[[Check Equiparado]:[Check Equiparado]]="Sí",IF(DATOS!BG$5="Sí",(1/DATOS_[[% anualiz]:[% anualiz]]),1)*IF(DATOS!BG$4="Sí",1/DATOS_[[% normaliz]:[% normaliz]],1)*(DATOS_[Conc.Sal.29])))))))),
0)</f>
        <v>0</v>
      </c>
      <c r="AM53" s="196">
        <f t="array" ref="AM53">IFERROR(
(AVERAGE((IF(DATOS_[[Sexo]:[Sexo]]=$B53,IF(DATOS_[[AGRUP. CLAS. PROF.]:[AGRUP. CLAS. PROF.]]=$B51,IF(DATOS_[[Check Periodo Ref.]:[Check Periodo Ref.]]="Dentro",IF(DATOS_[[Check Equiparado]:[Check Equiparado]]="Sí",IF(DATOS!BH$5="Sí",(1/DATOS_[[% anualiz]:[% anualiz]]),1)*IF(DATOS!BH$4="Sí",1/DATOS_[[% normaliz]:[% normaliz]],1)*(DATOS_[Conc.Sal.30])))))))),
0)</f>
        <v>0</v>
      </c>
      <c r="AN53" s="195">
        <f t="array" ref="AN53">IFERROR(
AVERAGE(IF(DATOS_[Sexo]=$B53,IF(DATOS_[[AGRUP. CLAS. PROF.]:[AGRUP. CLAS. PROF.]]=$B51,IF(DATOS_[Check Equiparado]="Sí",IF(DATOS_[Check Periodo Ref.]="Dentro",DATOS_[Tot COMPL.SAL Eq],FALSE))))),
0)</f>
        <v>0</v>
      </c>
      <c r="AO53" s="172">
        <f t="array" ref="AO53">IFERROR(
AVERAGE(IF(DATOS_[Sexo]=$B53,IF(DATOS_[[AGRUP. CLAS. PROF.]:[AGRUP. CLAS. PROF.]]=$B51,IF(DATOS_[Check Equiparado]="Sí",IF(DATOS_[Check Periodo Ref.]="Dentro",DATOS_[TOTAL SALARIO Eq],FALSE))))),
0)</f>
        <v>0</v>
      </c>
      <c r="AP53" s="173">
        <f t="array" ref="AP53">IFERROR(
(AVERAGE((IF(DATOS_[[Sexo]:[Sexo]]=$B53,IF(DATOS_[[AGRUP. CLAS. PROF.]:[AGRUP. CLAS. PROF.]]=$B51,IF(DATOS_[[Check Periodo Ref.]:[Check Periodo Ref.]]="Dentro",IF(DATOS_[[Check Equiparado]:[Check Equiparado]]="Sí",IF(DATOS!BW$5="Sí",(1/DATOS_[[% anualiz]:[% anualiz]]),1)*IF(DATOS!BW$4="Sí",1/DATOS_[[% normaliz]:[% normaliz]],1)*(DATOS_[C.Extra.01])))))))),
0)</f>
        <v>0</v>
      </c>
      <c r="AQ53" s="173">
        <f t="array" ref="AQ53">IFERROR(
(AVERAGE((IF(DATOS_[[Sexo]:[Sexo]]=$B53,IF(DATOS_[[AGRUP. CLAS. PROF.]:[AGRUP. CLAS. PROF.]]=$B51,IF(DATOS_[[Check Periodo Ref.]:[Check Periodo Ref.]]="Dentro",IF(DATOS_[[Check Equiparado]:[Check Equiparado]]="Sí",IF(DATOS!CB$5="Sí",(1/DATOS_[[% anualiz]:[% anualiz]]),1)*IF(DATOS!CB$4="Sí",1/DATOS_[[% normaliz]:[% normaliz]],1)*(DATOS_[C.Extra.06])))))))),
0)</f>
        <v>0</v>
      </c>
      <c r="AR53" s="173">
        <f t="array" ref="AR53">IFERROR(
(AVERAGE((IF(DATOS_[[Sexo]:[Sexo]]=$B53,IF(DATOS_[[AGRUP. CLAS. PROF.]:[AGRUP. CLAS. PROF.]]=$B51,IF(DATOS_[[Check Periodo Ref.]:[Check Periodo Ref.]]="Dentro",IF(DATOS_[[Check Equiparado]:[Check Equiparado]]="Sí",IF(DATOS!CC$5="Sí",(1/DATOS_[[% anualiz]:[% anualiz]]),1)*IF(DATOS!CC$4="Sí",1/DATOS_[[% normaliz]:[% normaliz]],1)*(DATOS_[C.Extra.07])))))))),
0)</f>
        <v>0</v>
      </c>
      <c r="AS53" s="173">
        <f t="array" ref="AS53">IFERROR(
(AVERAGE((IF(DATOS_[[Sexo]:[Sexo]]=$B53,IF(DATOS_[[AGRUP. CLAS. PROF.]:[AGRUP. CLAS. PROF.]]=$B51,IF(DATOS_[[Check Periodo Ref.]:[Check Periodo Ref.]]="Dentro",IF(DATOS_[[Check Equiparado]:[Check Equiparado]]="Sí",IF(DATOS!CD$5="Sí",(1/DATOS_[[% anualiz]:[% anualiz]]),1)*IF(DATOS!CD$4="Sí",1/DATOS_[[% normaliz]:[% normaliz]],1)*(DATOS_[C.Extra.08])))))))),
0)</f>
        <v>0</v>
      </c>
      <c r="AT53" s="173">
        <f t="array" ref="AT53">IFERROR(
(AVERAGE((IF(DATOS_[[Sexo]:[Sexo]]=$B53,IF(DATOS_[[AGRUP. CLAS. PROF.]:[AGRUP. CLAS. PROF.]]=$B51,IF(DATOS_[[Check Periodo Ref.]:[Check Periodo Ref.]]="Dentro",IF(DATOS_[[Check Equiparado]:[Check Equiparado]]="Sí",IF(DATOS!CG$5="Sí",(1/DATOS_[[% anualiz]:[% anualiz]]),1)*IF(DATOS!CG$4="Sí",1/DATOS_[[% normaliz]:[% normaliz]],1)*(DATOS_[C.Extra.11])))))))),
0)</f>
        <v>0</v>
      </c>
      <c r="AU53" s="197">
        <f t="array" ref="AU53">IFERROR(
AVERAGE(IF(DATOS_[Sexo]=$B53,IF(DATOS_[[AGRUP. CLAS. PROF.]:[AGRUP. CLAS. PROF.]]=$B51,IF(DATOS_[Check Equiparado]="Sí",IF(DATOS_[Check Periodo Ref.]="Dentro",DATOS_[Tot Extrasalarial Eq],FALSE))))),
0)</f>
        <v>0</v>
      </c>
      <c r="AV53" s="175">
        <f t="array" ref="AV53">IFERROR(
AVERAGE(IF(DATOS_[Sexo]=$B53,IF(DATOS_[[AGRUP. CLAS. PROF.]:[AGRUP. CLAS. PROF.]]=$B51,IF(DATOS_[Check Equiparado]="Sí",IF(DATOS_[Check Periodo Ref.]="Dentro",DATOS_[TOTAL Retrib Eq],FALSE))))),
0)</f>
        <v>0</v>
      </c>
    </row>
    <row r="54" spans="1:48" ht="15.6" hidden="1" thickBot="1" x14ac:dyDescent="0.3">
      <c r="A54" s="133" t="str">
        <f t="shared" ref="A54" si="55">+A55</f>
        <v>[ocultar]</v>
      </c>
      <c r="B54" s="199" t="s">
        <v>229</v>
      </c>
      <c r="C54" s="200"/>
      <c r="D54" s="201"/>
      <c r="E54" s="201"/>
      <c r="F54" s="201"/>
      <c r="G54" s="201"/>
      <c r="H54" s="201"/>
      <c r="I54" s="189" t="str">
        <f t="shared" ref="I54:AV54" si="56">IFERROR((I55-I56)/I55,"")</f>
        <v/>
      </c>
      <c r="J54" s="190" t="str">
        <f t="shared" si="56"/>
        <v/>
      </c>
      <c r="K54" s="191" t="str">
        <f t="shared" si="56"/>
        <v/>
      </c>
      <c r="L54" s="191" t="str">
        <f t="shared" si="56"/>
        <v/>
      </c>
      <c r="M54" s="191" t="str">
        <f t="shared" si="56"/>
        <v/>
      </c>
      <c r="N54" s="192" t="str">
        <f t="shared" si="56"/>
        <v/>
      </c>
      <c r="O54" s="193" t="str">
        <f t="shared" si="56"/>
        <v/>
      </c>
      <c r="P54" s="193" t="str">
        <f t="shared" si="56"/>
        <v/>
      </c>
      <c r="Q54" s="193" t="str">
        <f t="shared" si="56"/>
        <v/>
      </c>
      <c r="R54" s="193" t="str">
        <f t="shared" si="56"/>
        <v/>
      </c>
      <c r="S54" s="193" t="str">
        <f t="shared" si="56"/>
        <v/>
      </c>
      <c r="T54" s="193" t="str">
        <f t="shared" si="56"/>
        <v/>
      </c>
      <c r="U54" s="193" t="str">
        <f t="shared" si="56"/>
        <v/>
      </c>
      <c r="V54" s="193" t="str">
        <f t="shared" si="56"/>
        <v/>
      </c>
      <c r="W54" s="193" t="str">
        <f t="shared" si="56"/>
        <v/>
      </c>
      <c r="X54" s="193" t="str">
        <f t="shared" si="56"/>
        <v/>
      </c>
      <c r="Y54" s="193" t="str">
        <f t="shared" si="56"/>
        <v/>
      </c>
      <c r="Z54" s="193" t="str">
        <f t="shared" si="56"/>
        <v/>
      </c>
      <c r="AA54" s="193" t="str">
        <f t="shared" si="56"/>
        <v/>
      </c>
      <c r="AB54" s="193" t="str">
        <f t="shared" si="56"/>
        <v/>
      </c>
      <c r="AC54" s="193" t="str">
        <f t="shared" si="56"/>
        <v/>
      </c>
      <c r="AD54" s="193" t="str">
        <f t="shared" si="56"/>
        <v/>
      </c>
      <c r="AE54" s="193" t="str">
        <f t="shared" si="56"/>
        <v/>
      </c>
      <c r="AF54" s="193" t="str">
        <f t="shared" si="56"/>
        <v/>
      </c>
      <c r="AG54" s="193" t="str">
        <f t="shared" si="56"/>
        <v/>
      </c>
      <c r="AH54" s="193" t="str">
        <f t="shared" si="56"/>
        <v/>
      </c>
      <c r="AI54" s="193" t="str">
        <f t="shared" si="56"/>
        <v/>
      </c>
      <c r="AJ54" s="193" t="str">
        <f t="shared" si="56"/>
        <v/>
      </c>
      <c r="AK54" s="193" t="str">
        <f t="shared" si="56"/>
        <v/>
      </c>
      <c r="AL54" s="193" t="str">
        <f t="shared" si="56"/>
        <v/>
      </c>
      <c r="AM54" s="193" t="str">
        <f t="shared" si="56"/>
        <v/>
      </c>
      <c r="AN54" s="189" t="str">
        <f t="shared" si="56"/>
        <v/>
      </c>
      <c r="AO54" s="162" t="str">
        <f t="shared" si="56"/>
        <v/>
      </c>
      <c r="AP54" s="163" t="str">
        <f t="shared" si="56"/>
        <v/>
      </c>
      <c r="AQ54" s="163" t="str">
        <f t="shared" si="56"/>
        <v/>
      </c>
      <c r="AR54" s="163" t="str">
        <f t="shared" si="56"/>
        <v/>
      </c>
      <c r="AS54" s="163" t="str">
        <f t="shared" si="56"/>
        <v/>
      </c>
      <c r="AT54" s="163" t="str">
        <f t="shared" si="56"/>
        <v/>
      </c>
      <c r="AU54" s="194" t="str">
        <f t="shared" si="56"/>
        <v/>
      </c>
      <c r="AV54" s="165" t="str">
        <f t="shared" si="56"/>
        <v/>
      </c>
    </row>
    <row r="55" spans="1:48" hidden="1" x14ac:dyDescent="0.25">
      <c r="A55" s="133" t="str">
        <f t="shared" ref="A55" si="57">+IF(C55+C56=0,"[ocultar]","")</f>
        <v>[ocultar]</v>
      </c>
      <c r="B55" s="202" t="s">
        <v>394</v>
      </c>
      <c r="C55" s="203">
        <f t="array" ref="C55">SUM(IF($B55=DATOS_[Sexo],
IF($B54=DATOS_[AGRUP. CLAS. PROF.],
IF("Dentro"=DATOS_[Check Periodo Ref.],
1/(COUNTIFS(DATOS_[Sexo],$B55,DATOS_[AGRUP. CLAS. PROF.],$B54,DATOS_[Check Periodo Ref.],"Dentro",DATOS_[id/cod],DATOS_[id/cod]))))))</f>
        <v>0</v>
      </c>
      <c r="D55" s="204">
        <f>COUNTIFS(DATOS_[AGRUP. CLAS. PROF.],$B54,DATOS_[Sexo],$B55,DATOS_[Check Periodo Ref.],"Dentro")</f>
        <v>0</v>
      </c>
      <c r="E55" s="204">
        <f>COUNTIFS(DATOS_[AGRUP. CLAS. PROF.],$B54,DATOS_[Sexo],$B55,DATOS_[Check Periodo Ref.],"Dentro",DATOS_[Check Nº SC Norm],"Sí")</f>
        <v>0</v>
      </c>
      <c r="F55" s="204">
        <f>COUNTIFS(DATOS_[AGRUP. CLAS. PROF.],$B54,DATOS_[Sexo],$B55,DATOS_[Check Periodo Ref.],"Dentro",DATOS_[Check Nº SC Anualiz],"Sí")</f>
        <v>0</v>
      </c>
      <c r="G55" s="204">
        <f>COUNTIFS(DATOS_[AGRUP. CLAS. PROF.],$B54,DATOS_[Sexo],$B55,DATOS_[Check Periodo Ref.],"Dentro",DATOS_[Check Nº SC Norm y Anualiz],"Sí")</f>
        <v>0</v>
      </c>
      <c r="H55" s="204">
        <f>COUNTIFS(DATOS_[AGRUP. CLAS. PROF.],$B54,DATOS_[Sexo],$B55,DATOS_[Check Periodo Ref.],"Dentro",DATOS_[Check Equiparación],"Sí")</f>
        <v>0</v>
      </c>
      <c r="I55" s="195">
        <f t="array" ref="I55">IFERROR(
AVERAGE(IF(DATOS_[Sexo]=$B55,IF(DATOS_[[AGRUP. CLAS. PROF.]:[AGRUP. CLAS. PROF.]]=$B54,IF(DATOS_[Check Equiparado]="Sí",IF(DATOS_[Check Periodo Ref.]="Dentro",DATOS_[SALARIO BASE Eq],FALSE))))),
0)</f>
        <v>0</v>
      </c>
      <c r="J55" s="196">
        <f t="array" ref="J55">IFERROR(
(AVERAGE((IF(DATOS_[[Sexo]:[Sexo]]=$B55,IF(DATOS_[[AGRUP. CLAS. PROF.]:[AGRUP. CLAS. PROF.]]=$B54,IF(DATOS_[[Check Periodo Ref.]:[Check Periodo Ref.]]="Dentro",IF(DATOS_[[Check Equiparado]:[Check Equiparado]]="Sí",IF(DATOS!AE$5="Sí",(1/DATOS_[[% anualiz]:[% anualiz]]),1)*IF(DATOS!AE$4="Sí",1/DATOS_[[% normaliz]:[% normaliz]],1)*(DATOS_[Conc.Sal.01])))))))),
0)</f>
        <v>0</v>
      </c>
      <c r="K55" s="196">
        <f t="array" ref="K55">IFERROR(
(AVERAGE((IF(DATOS_[[Sexo]:[Sexo]]=$B55,IF(DATOS_[[AGRUP. CLAS. PROF.]:[AGRUP. CLAS. PROF.]]=$B54,IF(DATOS_[[Check Periodo Ref.]:[Check Periodo Ref.]]="Dentro",IF(DATOS_[[Check Equiparado]:[Check Equiparado]]="Sí",IF(DATOS!AF$5="Sí",(1/DATOS_[[% anualiz]:[% anualiz]]),1)*IF(DATOS!AF$4="Sí",1/DATOS_[[% normaliz]:[% normaliz]],1)*(DATOS_[Conc.Sal.02])))))))),
0)</f>
        <v>0</v>
      </c>
      <c r="L55" s="196">
        <f t="array" ref="L55">IFERROR(
(AVERAGE((IF(DATOS_[[Sexo]:[Sexo]]=$B55,IF(DATOS_[[AGRUP. CLAS. PROF.]:[AGRUP. CLAS. PROF.]]=$B54,IF(DATOS_[[Check Periodo Ref.]:[Check Periodo Ref.]]="Dentro",IF(DATOS_[[Check Equiparado]:[Check Equiparado]]="Sí",IF(DATOS!AG$5="Sí",(1/DATOS_[[% anualiz]:[% anualiz]]),1)*IF(DATOS!AG$4="Sí",1/DATOS_[[% normaliz]:[% normaliz]],1)*(DATOS_[Conc.Sal.03])))))))),
0)</f>
        <v>0</v>
      </c>
      <c r="M55" s="196">
        <f t="array" ref="M55">IFERROR(
(AVERAGE((IF(DATOS_[[Sexo]:[Sexo]]=$B55,IF(DATOS_[[AGRUP. CLAS. PROF.]:[AGRUP. CLAS. PROF.]]=$B54,IF(DATOS_[[Check Periodo Ref.]:[Check Periodo Ref.]]="Dentro",IF(DATOS_[[Check Equiparado]:[Check Equiparado]]="Sí",IF(DATOS!AH$5="Sí",(1/DATOS_[[% anualiz]:[% anualiz]]),1)*IF(DATOS!AH$4="Sí",1/DATOS_[[% normaliz]:[% normaliz]],1)*(DATOS_[Conc.Sal.04])))))))),
0)</f>
        <v>0</v>
      </c>
      <c r="N55" s="196">
        <f t="array" ref="N55">IFERROR(
(AVERAGE((IF(DATOS_[[Sexo]:[Sexo]]=$B55,IF(DATOS_[[AGRUP. CLAS. PROF.]:[AGRUP. CLAS. PROF.]]=$B54,IF(DATOS_[[Check Periodo Ref.]:[Check Periodo Ref.]]="Dentro",IF(DATOS_[[Check Equiparado]:[Check Equiparado]]="Sí",IF(DATOS!AI$5="Sí",(1/DATOS_[[% anualiz]:[% anualiz]]),1)*IF(DATOS!AI$4="Sí",1/DATOS_[[% normaliz]:[% normaliz]],1)*(DATOS_[Conc.Sal.05])))))))),
0)</f>
        <v>0</v>
      </c>
      <c r="O55" s="196">
        <f t="array" ref="O55">IFERROR(
(AVERAGE((IF(DATOS_[[Sexo]:[Sexo]]=$B55,IF(DATOS_[[AGRUP. CLAS. PROF.]:[AGRUP. CLAS. PROF.]]=$B54,IF(DATOS_[[Check Periodo Ref.]:[Check Periodo Ref.]]="Dentro",IF(DATOS_[[Check Equiparado]:[Check Equiparado]]="Sí",IF(DATOS!AJ$5="Sí",(1/DATOS_[[% anualiz]:[% anualiz]]),1)*IF(DATOS!AJ$4="Sí",1/DATOS_[[% normaliz]:[% normaliz]],1)*(DATOS_[Conc.Sal.06])))))))),
0)</f>
        <v>0</v>
      </c>
      <c r="P55" s="196">
        <f t="array" ref="P55">IFERROR(
(AVERAGE((IF(DATOS_[[Sexo]:[Sexo]]=$B55,IF(DATOS_[[AGRUP. CLAS. PROF.]:[AGRUP. CLAS. PROF.]]=$B54,IF(DATOS_[[Check Periodo Ref.]:[Check Periodo Ref.]]="Dentro",IF(DATOS_[[Check Equiparado]:[Check Equiparado]]="Sí",IF(DATOS!AK$5="Sí",(1/DATOS_[[% anualiz]:[% anualiz]]),1)*IF(DATOS!AK$4="Sí",1/DATOS_[[% normaliz]:[% normaliz]],1)*(DATOS_[Conc.Sal.07])))))))),
0)</f>
        <v>0</v>
      </c>
      <c r="Q55" s="196">
        <f t="array" ref="Q55">IFERROR(
(AVERAGE((IF(DATOS_[[Sexo]:[Sexo]]=$B55,IF(DATOS_[[AGRUP. CLAS. PROF.]:[AGRUP. CLAS. PROF.]]=$B54,IF(DATOS_[[Check Periodo Ref.]:[Check Periodo Ref.]]="Dentro",IF(DATOS_[[Check Equiparado]:[Check Equiparado]]="Sí",IF(DATOS!AL$5="Sí",(1/DATOS_[[% anualiz]:[% anualiz]]),1)*IF(DATOS!AL$4="Sí",1/DATOS_[[% normaliz]:[% normaliz]],1)*(DATOS_[Conc.Sal.08])))))))),
0)</f>
        <v>0</v>
      </c>
      <c r="R55" s="196">
        <f t="array" ref="R55">IFERROR(
(AVERAGE((IF(DATOS_[[Sexo]:[Sexo]]=$B55,IF(DATOS_[[AGRUP. CLAS. PROF.]:[AGRUP. CLAS. PROF.]]=$B54,IF(DATOS_[[Check Periodo Ref.]:[Check Periodo Ref.]]="Dentro",IF(DATOS_[[Check Equiparado]:[Check Equiparado]]="Sí",IF(DATOS!AM$5="Sí",(1/DATOS_[[% anualiz]:[% anualiz]]),1)*IF(DATOS!AM$4="Sí",1/DATOS_[[% normaliz]:[% normaliz]],1)*(DATOS_[Conc.Sal.09])))))))),
0)</f>
        <v>0</v>
      </c>
      <c r="S55" s="196">
        <f t="array" ref="S55">IFERROR(
(AVERAGE((IF(DATOS_[[Sexo]:[Sexo]]=$B55,IF(DATOS_[[AGRUP. CLAS. PROF.]:[AGRUP. CLAS. PROF.]]=$B54,IF(DATOS_[[Check Periodo Ref.]:[Check Periodo Ref.]]="Dentro",IF(DATOS_[[Check Equiparado]:[Check Equiparado]]="Sí",IF(DATOS!AN$5="Sí",(1/DATOS_[[% anualiz]:[% anualiz]]),1)*IF(DATOS!AN$4="Sí",1/DATOS_[[% normaliz]:[% normaliz]],1)*(DATOS_[Conc.Sal.10])))))))),
0)</f>
        <v>0</v>
      </c>
      <c r="T55" s="196">
        <f t="array" ref="T55">IFERROR(
(AVERAGE((IF(DATOS_[[Sexo]:[Sexo]]=$B55,IF(DATOS_[[AGRUP. CLAS. PROF.]:[AGRUP. CLAS. PROF.]]=$B54,IF(DATOS_[[Check Periodo Ref.]:[Check Periodo Ref.]]="Dentro",IF(DATOS_[[Check Equiparado]:[Check Equiparado]]="Sí",IF(DATOS!AO$5="Sí",(1/DATOS_[[% anualiz]:[% anualiz]]),1)*IF(DATOS!AO$4="Sí",1/DATOS_[[% normaliz]:[% normaliz]],1)*(DATOS_[Conc.Sal.11])))))))),
0)</f>
        <v>0</v>
      </c>
      <c r="U55" s="196">
        <f t="array" ref="U55">IFERROR(
(AVERAGE((IF(DATOS_[[Sexo]:[Sexo]]=$B55,IF(DATOS_[[AGRUP. CLAS. PROF.]:[AGRUP. CLAS. PROF.]]=$B54,IF(DATOS_[[Check Periodo Ref.]:[Check Periodo Ref.]]="Dentro",IF(DATOS_[[Check Equiparado]:[Check Equiparado]]="Sí",IF(DATOS!AP$5="Sí",(1/DATOS_[[% anualiz]:[% anualiz]]),1)*IF(DATOS!AP$4="Sí",1/DATOS_[[% normaliz]:[% normaliz]],1)*(DATOS_[Conc.Sal.12])))))))),
0)</f>
        <v>0</v>
      </c>
      <c r="V55" s="196">
        <f t="array" ref="V55">IFERROR(
(AVERAGE((IF(DATOS_[[Sexo]:[Sexo]]=$B55,IF(DATOS_[[AGRUP. CLAS. PROF.]:[AGRUP. CLAS. PROF.]]=$B54,IF(DATOS_[[Check Periodo Ref.]:[Check Periodo Ref.]]="Dentro",IF(DATOS_[[Check Equiparado]:[Check Equiparado]]="Sí",IF(DATOS!AQ$5="Sí",(1/DATOS_[[% anualiz]:[% anualiz]]),1)*IF(DATOS!AQ$4="Sí",1/DATOS_[[% normaliz]:[% normaliz]],1)*(DATOS_[Conc.Sal.13])))))))),
0)</f>
        <v>0</v>
      </c>
      <c r="W55" s="196">
        <f t="array" ref="W55">IFERROR(
(AVERAGE((IF(DATOS_[[Sexo]:[Sexo]]=$B55,IF(DATOS_[[AGRUP. CLAS. PROF.]:[AGRUP. CLAS. PROF.]]=$B54,IF(DATOS_[[Check Periodo Ref.]:[Check Periodo Ref.]]="Dentro",IF(DATOS_[[Check Equiparado]:[Check Equiparado]]="Sí",IF(DATOS!AR$5="Sí",(1/DATOS_[[% anualiz]:[% anualiz]]),1)*IF(DATOS!AR$4="Sí",1/DATOS_[[% normaliz]:[% normaliz]],1)*(DATOS_[Conc.Sal.14])))))))),
0)</f>
        <v>0</v>
      </c>
      <c r="X55" s="196">
        <f t="array" ref="X55">IFERROR(
(AVERAGE((IF(DATOS_[[Sexo]:[Sexo]]=$B55,IF(DATOS_[[AGRUP. CLAS. PROF.]:[AGRUP. CLAS. PROF.]]=$B54,IF(DATOS_[[Check Periodo Ref.]:[Check Periodo Ref.]]="Dentro",IF(DATOS_[[Check Equiparado]:[Check Equiparado]]="Sí",IF(DATOS!AS$5="Sí",(1/DATOS_[[% anualiz]:[% anualiz]]),1)*IF(DATOS!AS$4="Sí",1/DATOS_[[% normaliz]:[% normaliz]],1)*(DATOS_[Conc.Sal.15])))))))),
0)</f>
        <v>0</v>
      </c>
      <c r="Y55" s="196">
        <f t="array" ref="Y55">IFERROR(
(AVERAGE((IF(DATOS_[[Sexo]:[Sexo]]=$B55,IF(DATOS_[[AGRUP. CLAS. PROF.]:[AGRUP. CLAS. PROF.]]=$B54,IF(DATOS_[[Check Periodo Ref.]:[Check Periodo Ref.]]="Dentro",IF(DATOS_[[Check Equiparado]:[Check Equiparado]]="Sí",IF(DATOS!AT$5="Sí",(1/DATOS_[[% anualiz]:[% anualiz]]),1)*IF(DATOS!AT$4="Sí",1/DATOS_[[% normaliz]:[% normaliz]],1)*(DATOS_[Conc.Sal.16])))))))),
0)</f>
        <v>0</v>
      </c>
      <c r="Z55" s="196">
        <f t="array" ref="Z55">IFERROR(
(AVERAGE((IF(DATOS_[[Sexo]:[Sexo]]=$B55,IF(DATOS_[[AGRUP. CLAS. PROF.]:[AGRUP. CLAS. PROF.]]=$B54,IF(DATOS_[[Check Periodo Ref.]:[Check Periodo Ref.]]="Dentro",IF(DATOS_[[Check Equiparado]:[Check Equiparado]]="Sí",IF(DATOS!AU$5="Sí",(1/DATOS_[[% anualiz]:[% anualiz]]),1)*IF(DATOS!AU$4="Sí",1/DATOS_[[% normaliz]:[% normaliz]],1)*(DATOS_[Conc.Sal.17])))))))),
0)</f>
        <v>0</v>
      </c>
      <c r="AA55" s="196">
        <f t="array" ref="AA55">IFERROR(
(AVERAGE((IF(DATOS_[[Sexo]:[Sexo]]=$B55,IF(DATOS_[[AGRUP. CLAS. PROF.]:[AGRUP. CLAS. PROF.]]=$B54,IF(DATOS_[[Check Periodo Ref.]:[Check Periodo Ref.]]="Dentro",IF(DATOS_[[Check Equiparado]:[Check Equiparado]]="Sí",IF(DATOS!AV$5="Sí",(1/DATOS_[[% anualiz]:[% anualiz]]),1)*IF(DATOS!AV$4="Sí",1/DATOS_[[% normaliz]:[% normaliz]],1)*(DATOS_[Conc.Sal.18])))))))),
0)</f>
        <v>0</v>
      </c>
      <c r="AB55" s="196">
        <f t="array" ref="AB55">IFERROR(
(AVERAGE((IF(DATOS_[[Sexo]:[Sexo]]=$B55,IF(DATOS_[[AGRUP. CLAS. PROF.]:[AGRUP. CLAS. PROF.]]=$B54,IF(DATOS_[[Check Periodo Ref.]:[Check Periodo Ref.]]="Dentro",IF(DATOS_[[Check Equiparado]:[Check Equiparado]]="Sí",IF(DATOS!AW$5="Sí",(1/DATOS_[[% anualiz]:[% anualiz]]),1)*IF(DATOS!AW$4="Sí",1/DATOS_[[% normaliz]:[% normaliz]],1)*(DATOS_[Conc.Sal.19])))))))),
0)</f>
        <v>0</v>
      </c>
      <c r="AC55" s="196">
        <f t="array" ref="AC55">IFERROR(
(AVERAGE((IF(DATOS_[[Sexo]:[Sexo]]=$B55,IF(DATOS_[[AGRUP. CLAS. PROF.]:[AGRUP. CLAS. PROF.]]=$B54,IF(DATOS_[[Check Periodo Ref.]:[Check Periodo Ref.]]="Dentro",IF(DATOS_[[Check Equiparado]:[Check Equiparado]]="Sí",IF(DATOS!AX$5="Sí",(1/DATOS_[[% anualiz]:[% anualiz]]),1)*IF(DATOS!AX$4="Sí",1/DATOS_[[% normaliz]:[% normaliz]],1)*(DATOS_[Conc.Sal.20])))))))),
0)</f>
        <v>0</v>
      </c>
      <c r="AD55" s="196">
        <f t="array" ref="AD55">IFERROR(
(AVERAGE((IF(DATOS_[[Sexo]:[Sexo]]=$B55,IF(DATOS_[[AGRUP. CLAS. PROF.]:[AGRUP. CLAS. PROF.]]=$B54,IF(DATOS_[[Check Periodo Ref.]:[Check Periodo Ref.]]="Dentro",IF(DATOS_[[Check Equiparado]:[Check Equiparado]]="Sí",IF(DATOS!AY$5="Sí",(1/DATOS_[[% anualiz]:[% anualiz]]),1)*IF(DATOS!AY$4="Sí",1/DATOS_[[% normaliz]:[% normaliz]],1)*(DATOS_[Conc.Sal.21])))))))),
0)</f>
        <v>0</v>
      </c>
      <c r="AE55" s="196">
        <f t="array" ref="AE55">IFERROR(
(AVERAGE((IF(DATOS_[[Sexo]:[Sexo]]=$B55,IF(DATOS_[[AGRUP. CLAS. PROF.]:[AGRUP. CLAS. PROF.]]=$B54,IF(DATOS_[[Check Periodo Ref.]:[Check Periodo Ref.]]="Dentro",IF(DATOS_[[Check Equiparado]:[Check Equiparado]]="Sí",IF(DATOS!AZ$5="Sí",(1/DATOS_[[% anualiz]:[% anualiz]]),1)*IF(DATOS!AZ$4="Sí",1/DATOS_[[% normaliz]:[% normaliz]],1)*(DATOS_[Conc.Sal.22])))))))),
0)</f>
        <v>0</v>
      </c>
      <c r="AF55" s="196">
        <f t="array" ref="AF55">IFERROR(
(AVERAGE((IF(DATOS_[[Sexo]:[Sexo]]=$B55,IF(DATOS_[[AGRUP. CLAS. PROF.]:[AGRUP. CLAS. PROF.]]=$B54,IF(DATOS_[[Check Periodo Ref.]:[Check Periodo Ref.]]="Dentro",IF(DATOS_[[Check Equiparado]:[Check Equiparado]]="Sí",IF(DATOS!BA$5="Sí",(1/DATOS_[[% anualiz]:[% anualiz]]),1)*IF(DATOS!BA$4="Sí",1/DATOS_[[% normaliz]:[% normaliz]],1)*(DATOS_[Conc.Sal.23])))))))),
0)</f>
        <v>0</v>
      </c>
      <c r="AG55" s="196">
        <f t="array" ref="AG55">IFERROR(
(AVERAGE((IF(DATOS_[[Sexo]:[Sexo]]=$B55,IF(DATOS_[[AGRUP. CLAS. PROF.]:[AGRUP. CLAS. PROF.]]=$B54,IF(DATOS_[[Check Periodo Ref.]:[Check Periodo Ref.]]="Dentro",IF(DATOS_[[Check Equiparado]:[Check Equiparado]]="Sí",IF(DATOS!BB$5="Sí",(1/DATOS_[[% anualiz]:[% anualiz]]),1)*IF(DATOS!BB$4="Sí",1/DATOS_[[% normaliz]:[% normaliz]],1)*(DATOS_[Conc.Sal.24])))))))),
0)</f>
        <v>0</v>
      </c>
      <c r="AH55" s="196">
        <f t="array" ref="AH55">IFERROR(
(AVERAGE((IF(DATOS_[[Sexo]:[Sexo]]=$B55,IF(DATOS_[[AGRUP. CLAS. PROF.]:[AGRUP. CLAS. PROF.]]=$B54,IF(DATOS_[[Check Periodo Ref.]:[Check Periodo Ref.]]="Dentro",IF(DATOS_[[Check Equiparado]:[Check Equiparado]]="Sí",IF(DATOS!BC$5="Sí",(1/DATOS_[[% anualiz]:[% anualiz]]),1)*IF(DATOS!BC$4="Sí",1/DATOS_[[% normaliz]:[% normaliz]],1)*(DATOS_[Conc.Sal.25])))))))),
0)</f>
        <v>0</v>
      </c>
      <c r="AI55" s="196">
        <f t="array" ref="AI55">IFERROR(
(AVERAGE((IF(DATOS_[[Sexo]:[Sexo]]=$B55,IF(DATOS_[[AGRUP. CLAS. PROF.]:[AGRUP. CLAS. PROF.]]=$B54,IF(DATOS_[[Check Periodo Ref.]:[Check Periodo Ref.]]="Dentro",IF(DATOS_[[Check Equiparado]:[Check Equiparado]]="Sí",IF(DATOS!BD$5="Sí",(1/DATOS_[[% anualiz]:[% anualiz]]),1)*IF(DATOS!BD$4="Sí",1/DATOS_[[% normaliz]:[% normaliz]],1)*(DATOS_[Conc.Sal.26])))))))),
0)</f>
        <v>0</v>
      </c>
      <c r="AJ55" s="196">
        <f t="array" ref="AJ55">IFERROR(
(AVERAGE((IF(DATOS_[[Sexo]:[Sexo]]=$B55,IF(DATOS_[[AGRUP. CLAS. PROF.]:[AGRUP. CLAS. PROF.]]=$B54,IF(DATOS_[[Check Periodo Ref.]:[Check Periodo Ref.]]="Dentro",IF(DATOS_[[Check Equiparado]:[Check Equiparado]]="Sí",IF(DATOS!BE$5="Sí",(1/DATOS_[[% anualiz]:[% anualiz]]),1)*IF(DATOS!BE$4="Sí",1/DATOS_[[% normaliz]:[% normaliz]],1)*(DATOS_[Conc.Sal.27])))))))),
0)</f>
        <v>0</v>
      </c>
      <c r="AK55" s="196">
        <f t="array" ref="AK55">IFERROR(
(AVERAGE((IF(DATOS_[[Sexo]:[Sexo]]=$B55,IF(DATOS_[[AGRUP. CLAS. PROF.]:[AGRUP. CLAS. PROF.]]=$B54,IF(DATOS_[[Check Periodo Ref.]:[Check Periodo Ref.]]="Dentro",IF(DATOS_[[Check Equiparado]:[Check Equiparado]]="Sí",IF(DATOS!BF$5="Sí",(1/DATOS_[[% anualiz]:[% anualiz]]),1)*IF(DATOS!BF$4="Sí",1/DATOS_[[% normaliz]:[% normaliz]],1)*(DATOS_[Conc.Sal.28])))))))),
0)</f>
        <v>0</v>
      </c>
      <c r="AL55" s="196">
        <f t="array" ref="AL55">IFERROR(
(AVERAGE((IF(DATOS_[[Sexo]:[Sexo]]=$B55,IF(DATOS_[[AGRUP. CLAS. PROF.]:[AGRUP. CLAS. PROF.]]=$B54,IF(DATOS_[[Check Periodo Ref.]:[Check Periodo Ref.]]="Dentro",IF(DATOS_[[Check Equiparado]:[Check Equiparado]]="Sí",IF(DATOS!BG$5="Sí",(1/DATOS_[[% anualiz]:[% anualiz]]),1)*IF(DATOS!BG$4="Sí",1/DATOS_[[% normaliz]:[% normaliz]],1)*(DATOS_[Conc.Sal.29])))))))),
0)</f>
        <v>0</v>
      </c>
      <c r="AM55" s="196">
        <f t="array" ref="AM55">IFERROR(
(AVERAGE((IF(DATOS_[[Sexo]:[Sexo]]=$B55,IF(DATOS_[[AGRUP. CLAS. PROF.]:[AGRUP. CLAS. PROF.]]=$B54,IF(DATOS_[[Check Periodo Ref.]:[Check Periodo Ref.]]="Dentro",IF(DATOS_[[Check Equiparado]:[Check Equiparado]]="Sí",IF(DATOS!BH$5="Sí",(1/DATOS_[[% anualiz]:[% anualiz]]),1)*IF(DATOS!BH$4="Sí",1/DATOS_[[% normaliz]:[% normaliz]],1)*(DATOS_[Conc.Sal.30])))))))),
0)</f>
        <v>0</v>
      </c>
      <c r="AN55" s="195">
        <f t="array" ref="AN55">IFERROR(
AVERAGE(IF(DATOS_[Sexo]=$B55,IF(DATOS_[[AGRUP. CLAS. PROF.]:[AGRUP. CLAS. PROF.]]=$B54,IF(DATOS_[Check Equiparado]="Sí",IF(DATOS_[Check Periodo Ref.]="Dentro",DATOS_[Tot COMPL.SAL Eq],FALSE))))),
0)</f>
        <v>0</v>
      </c>
      <c r="AO55" s="172">
        <f t="array" ref="AO55">IFERROR(
AVERAGE(IF(DATOS_[Sexo]=$B55,IF(DATOS_[[AGRUP. CLAS. PROF.]:[AGRUP. CLAS. PROF.]]=$B54,IF(DATOS_[Check Equiparado]="Sí",IF(DATOS_[Check Periodo Ref.]="Dentro",DATOS_[TOTAL SALARIO Eq],FALSE))))),
0)</f>
        <v>0</v>
      </c>
      <c r="AP55" s="173">
        <f t="array" ref="AP55">IFERROR(
(AVERAGE((IF(DATOS_[[Sexo]:[Sexo]]=$B55,IF(DATOS_[[AGRUP. CLAS. PROF.]:[AGRUP. CLAS. PROF.]]=$B54,IF(DATOS_[[Check Periodo Ref.]:[Check Periodo Ref.]]="Dentro",IF(DATOS_[[Check Equiparado]:[Check Equiparado]]="Sí",IF(DATOS!BW$5="Sí",(1/DATOS_[[% anualiz]:[% anualiz]]),1)*IF(DATOS!BW$4="Sí",1/DATOS_[[% normaliz]:[% normaliz]],1)*(DATOS_[C.Extra.01])))))))),
0)</f>
        <v>0</v>
      </c>
      <c r="AQ55" s="173">
        <f t="array" ref="AQ55">IFERROR(
(AVERAGE((IF(DATOS_[[Sexo]:[Sexo]]=$B55,IF(DATOS_[[AGRUP. CLAS. PROF.]:[AGRUP. CLAS. PROF.]]=$B54,IF(DATOS_[[Check Periodo Ref.]:[Check Periodo Ref.]]="Dentro",IF(DATOS_[[Check Equiparado]:[Check Equiparado]]="Sí",IF(DATOS!CB$5="Sí",(1/DATOS_[[% anualiz]:[% anualiz]]),1)*IF(DATOS!CB$4="Sí",1/DATOS_[[% normaliz]:[% normaliz]],1)*(DATOS_[C.Extra.06])))))))),
0)</f>
        <v>0</v>
      </c>
      <c r="AR55" s="173">
        <f t="array" ref="AR55">IFERROR(
(AVERAGE((IF(DATOS_[[Sexo]:[Sexo]]=$B55,IF(DATOS_[[AGRUP. CLAS. PROF.]:[AGRUP. CLAS. PROF.]]=$B54,IF(DATOS_[[Check Periodo Ref.]:[Check Periodo Ref.]]="Dentro",IF(DATOS_[[Check Equiparado]:[Check Equiparado]]="Sí",IF(DATOS!CC$5="Sí",(1/DATOS_[[% anualiz]:[% anualiz]]),1)*IF(DATOS!CC$4="Sí",1/DATOS_[[% normaliz]:[% normaliz]],1)*(DATOS_[C.Extra.07])))))))),
0)</f>
        <v>0</v>
      </c>
      <c r="AS55" s="173">
        <f t="array" ref="AS55">IFERROR(
(AVERAGE((IF(DATOS_[[Sexo]:[Sexo]]=$B55,IF(DATOS_[[AGRUP. CLAS. PROF.]:[AGRUP. CLAS. PROF.]]=$B54,IF(DATOS_[[Check Periodo Ref.]:[Check Periodo Ref.]]="Dentro",IF(DATOS_[[Check Equiparado]:[Check Equiparado]]="Sí",IF(DATOS!CD$5="Sí",(1/DATOS_[[% anualiz]:[% anualiz]]),1)*IF(DATOS!CD$4="Sí",1/DATOS_[[% normaliz]:[% normaliz]],1)*(DATOS_[C.Extra.08])))))))),
0)</f>
        <v>0</v>
      </c>
      <c r="AT55" s="173">
        <f t="array" ref="AT55">IFERROR(
(AVERAGE((IF(DATOS_[[Sexo]:[Sexo]]=$B55,IF(DATOS_[[AGRUP. CLAS. PROF.]:[AGRUP. CLAS. PROF.]]=$B54,IF(DATOS_[[Check Periodo Ref.]:[Check Periodo Ref.]]="Dentro",IF(DATOS_[[Check Equiparado]:[Check Equiparado]]="Sí",IF(DATOS!CG$5="Sí",(1/DATOS_[[% anualiz]:[% anualiz]]),1)*IF(DATOS!CG$4="Sí",1/DATOS_[[% normaliz]:[% normaliz]],1)*(DATOS_[C.Extra.11])))))))),
0)</f>
        <v>0</v>
      </c>
      <c r="AU55" s="197">
        <f t="array" ref="AU55">IFERROR(
AVERAGE(IF(DATOS_[Sexo]=$B55,IF(DATOS_[[AGRUP. CLAS. PROF.]:[AGRUP. CLAS. PROF.]]=$B54,IF(DATOS_[Check Equiparado]="Sí",IF(DATOS_[Check Periodo Ref.]="Dentro",DATOS_[Tot Extrasalarial Eq],FALSE))))),
0)</f>
        <v>0</v>
      </c>
      <c r="AV55" s="175">
        <f t="array" ref="AV55">IFERROR(
AVERAGE(IF(DATOS_[Sexo]=$B55,IF(DATOS_[[AGRUP. CLAS. PROF.]:[AGRUP. CLAS. PROF.]]=$B54,IF(DATOS_[Check Equiparado]="Sí",IF(DATOS_[Check Periodo Ref.]="Dentro",DATOS_[TOTAL Retrib Eq],FALSE))))),
0)</f>
        <v>0</v>
      </c>
    </row>
    <row r="56" spans="1:48" hidden="1" x14ac:dyDescent="0.25">
      <c r="A56" s="133" t="str">
        <f t="shared" ref="A56" si="58">+A55</f>
        <v>[ocultar]</v>
      </c>
      <c r="B56" s="202" t="s">
        <v>521</v>
      </c>
      <c r="C56" s="203">
        <f t="array" ref="C56">SUM(IF($B56=DATOS_[Sexo],
IF($B54=DATOS_[AGRUP. CLAS. PROF.],
IF("Dentro"=DATOS_[Check Periodo Ref.],
1/(COUNTIFS(DATOS_[Sexo],$B56,DATOS_[AGRUP. CLAS. PROF.],$B54,DATOS_[Check Periodo Ref.],"Dentro",DATOS_[id/cod],DATOS_[id/cod]))))))</f>
        <v>0</v>
      </c>
      <c r="D56" s="204">
        <f>COUNTIFS(DATOS_[AGRUP. CLAS. PROF.],$B54,DATOS_[Sexo],$B56,DATOS_[Check Periodo Ref.],"Dentro")</f>
        <v>0</v>
      </c>
      <c r="E56" s="204">
        <f>COUNTIFS(DATOS_[AGRUP. CLAS. PROF.],$B54,DATOS_[Sexo],$B56,DATOS_[Check Periodo Ref.],"Dentro",DATOS_[Check Nº SC Norm],"Sí")</f>
        <v>0</v>
      </c>
      <c r="F56" s="204">
        <f>COUNTIFS(DATOS_[AGRUP. CLAS. PROF.],$B54,DATOS_[Sexo],$B56,DATOS_[Check Periodo Ref.],"Dentro",DATOS_[Check Nº SC Anualiz],"Sí")</f>
        <v>0</v>
      </c>
      <c r="G56" s="204">
        <f>COUNTIFS(DATOS_[AGRUP. CLAS. PROF.],$B54,DATOS_[Sexo],$B56,DATOS_[Check Periodo Ref.],"Dentro",DATOS_[Check Nº SC Norm y Anualiz],"Sí")</f>
        <v>0</v>
      </c>
      <c r="H56" s="204">
        <f>COUNTIFS(DATOS_[AGRUP. CLAS. PROF.],$B54,DATOS_[Sexo],$B56,DATOS_[Check Periodo Ref.],"Dentro",DATOS_[Check Equiparación],"Sí")</f>
        <v>0</v>
      </c>
      <c r="I56" s="195" cm="1">
        <f t="array" ref="I56">IFERROR(
AVERAGE(IF(DATOS_[Sexo]=$B56,IF(DATOS_[[AGRUP. CLAS. PROF.]:[AGRUP. CLAS. PROF.]]=$B54,IF(DATOS_[Check Equiparado]="Sí",IF(DATOS_[Check Periodo Ref.]="Dentro",DATOS_[SALARIO BASE Eq],FALSE))))),
0)</f>
        <v>0</v>
      </c>
      <c r="J56" s="196">
        <f t="array" ref="J56">IFERROR(
(AVERAGE((IF(DATOS_[[Sexo]:[Sexo]]=$B56,IF(DATOS_[[AGRUP. CLAS. PROF.]:[AGRUP. CLAS. PROF.]]=$B54,IF(DATOS_[[Check Periodo Ref.]:[Check Periodo Ref.]]="Dentro",IF(DATOS_[[Check Equiparado]:[Check Equiparado]]="Sí",IF(DATOS!AE$5="Sí",(1/DATOS_[[% anualiz]:[% anualiz]]),1)*IF(DATOS!AE$4="Sí",1/DATOS_[[% normaliz]:[% normaliz]],1)*(DATOS_[Conc.Sal.01])))))))),
0)</f>
        <v>0</v>
      </c>
      <c r="K56" s="196">
        <f t="array" ref="K56">IFERROR(
(AVERAGE((IF(DATOS_[[Sexo]:[Sexo]]=$B56,IF(DATOS_[[AGRUP. CLAS. PROF.]:[AGRUP. CLAS. PROF.]]=$B54,IF(DATOS_[[Check Periodo Ref.]:[Check Periodo Ref.]]="Dentro",IF(DATOS_[[Check Equiparado]:[Check Equiparado]]="Sí",IF(DATOS!AF$5="Sí",(1/DATOS_[[% anualiz]:[% anualiz]]),1)*IF(DATOS!AF$4="Sí",1/DATOS_[[% normaliz]:[% normaliz]],1)*(DATOS_[Conc.Sal.02])))))))),
0)</f>
        <v>0</v>
      </c>
      <c r="L56" s="196">
        <f t="array" ref="L56">IFERROR(
(AVERAGE((IF(DATOS_[[Sexo]:[Sexo]]=$B56,IF(DATOS_[[AGRUP. CLAS. PROF.]:[AGRUP. CLAS. PROF.]]=$B54,IF(DATOS_[[Check Periodo Ref.]:[Check Periodo Ref.]]="Dentro",IF(DATOS_[[Check Equiparado]:[Check Equiparado]]="Sí",IF(DATOS!AG$5="Sí",(1/DATOS_[[% anualiz]:[% anualiz]]),1)*IF(DATOS!AG$4="Sí",1/DATOS_[[% normaliz]:[% normaliz]],1)*(DATOS_[Conc.Sal.03])))))))),
0)</f>
        <v>0</v>
      </c>
      <c r="M56" s="196">
        <f t="array" ref="M56">IFERROR(
(AVERAGE((IF(DATOS_[[Sexo]:[Sexo]]=$B56,IF(DATOS_[[AGRUP. CLAS. PROF.]:[AGRUP. CLAS. PROF.]]=$B54,IF(DATOS_[[Check Periodo Ref.]:[Check Periodo Ref.]]="Dentro",IF(DATOS_[[Check Equiparado]:[Check Equiparado]]="Sí",IF(DATOS!AH$5="Sí",(1/DATOS_[[% anualiz]:[% anualiz]]),1)*IF(DATOS!AH$4="Sí",1/DATOS_[[% normaliz]:[% normaliz]],1)*(DATOS_[Conc.Sal.04])))))))),
0)</f>
        <v>0</v>
      </c>
      <c r="N56" s="196">
        <f t="array" ref="N56">IFERROR(
(AVERAGE((IF(DATOS_[[Sexo]:[Sexo]]=$B56,IF(DATOS_[[AGRUP. CLAS. PROF.]:[AGRUP. CLAS. PROF.]]=$B54,IF(DATOS_[[Check Periodo Ref.]:[Check Periodo Ref.]]="Dentro",IF(DATOS_[[Check Equiparado]:[Check Equiparado]]="Sí",IF(DATOS!AI$5="Sí",(1/DATOS_[[% anualiz]:[% anualiz]]),1)*IF(DATOS!AI$4="Sí",1/DATOS_[[% normaliz]:[% normaliz]],1)*(DATOS_[Conc.Sal.05])))))))),
0)</f>
        <v>0</v>
      </c>
      <c r="O56" s="196">
        <f t="array" ref="O56">IFERROR(
(AVERAGE((IF(DATOS_[[Sexo]:[Sexo]]=$B56,IF(DATOS_[[AGRUP. CLAS. PROF.]:[AGRUP. CLAS. PROF.]]=$B54,IF(DATOS_[[Check Periodo Ref.]:[Check Periodo Ref.]]="Dentro",IF(DATOS_[[Check Equiparado]:[Check Equiparado]]="Sí",IF(DATOS!AJ$5="Sí",(1/DATOS_[[% anualiz]:[% anualiz]]),1)*IF(DATOS!AJ$4="Sí",1/DATOS_[[% normaliz]:[% normaliz]],1)*(DATOS_[Conc.Sal.06])))))))),
0)</f>
        <v>0</v>
      </c>
      <c r="P56" s="196">
        <f t="array" ref="P56">IFERROR(
(AVERAGE((IF(DATOS_[[Sexo]:[Sexo]]=$B56,IF(DATOS_[[AGRUP. CLAS. PROF.]:[AGRUP. CLAS. PROF.]]=$B54,IF(DATOS_[[Check Periodo Ref.]:[Check Periodo Ref.]]="Dentro",IF(DATOS_[[Check Equiparado]:[Check Equiparado]]="Sí",IF(DATOS!AK$5="Sí",(1/DATOS_[[% anualiz]:[% anualiz]]),1)*IF(DATOS!AK$4="Sí",1/DATOS_[[% normaliz]:[% normaliz]],1)*(DATOS_[Conc.Sal.07])))))))),
0)</f>
        <v>0</v>
      </c>
      <c r="Q56" s="196">
        <f t="array" ref="Q56">IFERROR(
(AVERAGE((IF(DATOS_[[Sexo]:[Sexo]]=$B56,IF(DATOS_[[AGRUP. CLAS. PROF.]:[AGRUP. CLAS. PROF.]]=$B54,IF(DATOS_[[Check Periodo Ref.]:[Check Periodo Ref.]]="Dentro",IF(DATOS_[[Check Equiparado]:[Check Equiparado]]="Sí",IF(DATOS!AL$5="Sí",(1/DATOS_[[% anualiz]:[% anualiz]]),1)*IF(DATOS!AL$4="Sí",1/DATOS_[[% normaliz]:[% normaliz]],1)*(DATOS_[Conc.Sal.08])))))))),
0)</f>
        <v>0</v>
      </c>
      <c r="R56" s="196">
        <f t="array" ref="R56">IFERROR(
(AVERAGE((IF(DATOS_[[Sexo]:[Sexo]]=$B56,IF(DATOS_[[AGRUP. CLAS. PROF.]:[AGRUP. CLAS. PROF.]]=$B54,IF(DATOS_[[Check Periodo Ref.]:[Check Periodo Ref.]]="Dentro",IF(DATOS_[[Check Equiparado]:[Check Equiparado]]="Sí",IF(DATOS!AM$5="Sí",(1/DATOS_[[% anualiz]:[% anualiz]]),1)*IF(DATOS!AM$4="Sí",1/DATOS_[[% normaliz]:[% normaliz]],1)*(DATOS_[Conc.Sal.09])))))))),
0)</f>
        <v>0</v>
      </c>
      <c r="S56" s="196">
        <f t="array" ref="S56">IFERROR(
(AVERAGE((IF(DATOS_[[Sexo]:[Sexo]]=$B56,IF(DATOS_[[AGRUP. CLAS. PROF.]:[AGRUP. CLAS. PROF.]]=$B54,IF(DATOS_[[Check Periodo Ref.]:[Check Periodo Ref.]]="Dentro",IF(DATOS_[[Check Equiparado]:[Check Equiparado]]="Sí",IF(DATOS!AN$5="Sí",(1/DATOS_[[% anualiz]:[% anualiz]]),1)*IF(DATOS!AN$4="Sí",1/DATOS_[[% normaliz]:[% normaliz]],1)*(DATOS_[Conc.Sal.10])))))))),
0)</f>
        <v>0</v>
      </c>
      <c r="T56" s="196">
        <f t="array" ref="T56">IFERROR(
(AVERAGE((IF(DATOS_[[Sexo]:[Sexo]]=$B56,IF(DATOS_[[AGRUP. CLAS. PROF.]:[AGRUP. CLAS. PROF.]]=$B54,IF(DATOS_[[Check Periodo Ref.]:[Check Periodo Ref.]]="Dentro",IF(DATOS_[[Check Equiparado]:[Check Equiparado]]="Sí",IF(DATOS!AO$5="Sí",(1/DATOS_[[% anualiz]:[% anualiz]]),1)*IF(DATOS!AO$4="Sí",1/DATOS_[[% normaliz]:[% normaliz]],1)*(DATOS_[Conc.Sal.11])))))))),
0)</f>
        <v>0</v>
      </c>
      <c r="U56" s="196">
        <f t="array" ref="U56">IFERROR(
(AVERAGE((IF(DATOS_[[Sexo]:[Sexo]]=$B56,IF(DATOS_[[AGRUP. CLAS. PROF.]:[AGRUP. CLAS. PROF.]]=$B54,IF(DATOS_[[Check Periodo Ref.]:[Check Periodo Ref.]]="Dentro",IF(DATOS_[[Check Equiparado]:[Check Equiparado]]="Sí",IF(DATOS!AP$5="Sí",(1/DATOS_[[% anualiz]:[% anualiz]]),1)*IF(DATOS!AP$4="Sí",1/DATOS_[[% normaliz]:[% normaliz]],1)*(DATOS_[Conc.Sal.12])))))))),
0)</f>
        <v>0</v>
      </c>
      <c r="V56" s="196">
        <f t="array" ref="V56">IFERROR(
(AVERAGE((IF(DATOS_[[Sexo]:[Sexo]]=$B56,IF(DATOS_[[AGRUP. CLAS. PROF.]:[AGRUP. CLAS. PROF.]]=$B54,IF(DATOS_[[Check Periodo Ref.]:[Check Periodo Ref.]]="Dentro",IF(DATOS_[[Check Equiparado]:[Check Equiparado]]="Sí",IF(DATOS!AQ$5="Sí",(1/DATOS_[[% anualiz]:[% anualiz]]),1)*IF(DATOS!AQ$4="Sí",1/DATOS_[[% normaliz]:[% normaliz]],1)*(DATOS_[Conc.Sal.13])))))))),
0)</f>
        <v>0</v>
      </c>
      <c r="W56" s="196">
        <f t="array" ref="W56">IFERROR(
(AVERAGE((IF(DATOS_[[Sexo]:[Sexo]]=$B56,IF(DATOS_[[AGRUP. CLAS. PROF.]:[AGRUP. CLAS. PROF.]]=$B54,IF(DATOS_[[Check Periodo Ref.]:[Check Periodo Ref.]]="Dentro",IF(DATOS_[[Check Equiparado]:[Check Equiparado]]="Sí",IF(DATOS!AR$5="Sí",(1/DATOS_[[% anualiz]:[% anualiz]]),1)*IF(DATOS!AR$4="Sí",1/DATOS_[[% normaliz]:[% normaliz]],1)*(DATOS_[Conc.Sal.14])))))))),
0)</f>
        <v>0</v>
      </c>
      <c r="X56" s="196">
        <f t="array" ref="X56">IFERROR(
(AVERAGE((IF(DATOS_[[Sexo]:[Sexo]]=$B56,IF(DATOS_[[AGRUP. CLAS. PROF.]:[AGRUP. CLAS. PROF.]]=$B54,IF(DATOS_[[Check Periodo Ref.]:[Check Periodo Ref.]]="Dentro",IF(DATOS_[[Check Equiparado]:[Check Equiparado]]="Sí",IF(DATOS!AS$5="Sí",(1/DATOS_[[% anualiz]:[% anualiz]]),1)*IF(DATOS!AS$4="Sí",1/DATOS_[[% normaliz]:[% normaliz]],1)*(DATOS_[Conc.Sal.15])))))))),
0)</f>
        <v>0</v>
      </c>
      <c r="Y56" s="196">
        <f t="array" ref="Y56">IFERROR(
(AVERAGE((IF(DATOS_[[Sexo]:[Sexo]]=$B56,IF(DATOS_[[AGRUP. CLAS. PROF.]:[AGRUP. CLAS. PROF.]]=$B54,IF(DATOS_[[Check Periodo Ref.]:[Check Periodo Ref.]]="Dentro",IF(DATOS_[[Check Equiparado]:[Check Equiparado]]="Sí",IF(DATOS!AT$5="Sí",(1/DATOS_[[% anualiz]:[% anualiz]]),1)*IF(DATOS!AT$4="Sí",1/DATOS_[[% normaliz]:[% normaliz]],1)*(DATOS_[Conc.Sal.16])))))))),
0)</f>
        <v>0</v>
      </c>
      <c r="Z56" s="196">
        <f t="array" ref="Z56">IFERROR(
(AVERAGE((IF(DATOS_[[Sexo]:[Sexo]]=$B56,IF(DATOS_[[AGRUP. CLAS. PROF.]:[AGRUP. CLAS. PROF.]]=$B54,IF(DATOS_[[Check Periodo Ref.]:[Check Periodo Ref.]]="Dentro",IF(DATOS_[[Check Equiparado]:[Check Equiparado]]="Sí",IF(DATOS!AU$5="Sí",(1/DATOS_[[% anualiz]:[% anualiz]]),1)*IF(DATOS!AU$4="Sí",1/DATOS_[[% normaliz]:[% normaliz]],1)*(DATOS_[Conc.Sal.17])))))))),
0)</f>
        <v>0</v>
      </c>
      <c r="AA56" s="196">
        <f t="array" ref="AA56">IFERROR(
(AVERAGE((IF(DATOS_[[Sexo]:[Sexo]]=$B56,IF(DATOS_[[AGRUP. CLAS. PROF.]:[AGRUP. CLAS. PROF.]]=$B54,IF(DATOS_[[Check Periodo Ref.]:[Check Periodo Ref.]]="Dentro",IF(DATOS_[[Check Equiparado]:[Check Equiparado]]="Sí",IF(DATOS!AV$5="Sí",(1/DATOS_[[% anualiz]:[% anualiz]]),1)*IF(DATOS!AV$4="Sí",1/DATOS_[[% normaliz]:[% normaliz]],1)*(DATOS_[Conc.Sal.18])))))))),
0)</f>
        <v>0</v>
      </c>
      <c r="AB56" s="196">
        <f t="array" ref="AB56">IFERROR(
(AVERAGE((IF(DATOS_[[Sexo]:[Sexo]]=$B56,IF(DATOS_[[AGRUP. CLAS. PROF.]:[AGRUP. CLAS. PROF.]]=$B54,IF(DATOS_[[Check Periodo Ref.]:[Check Periodo Ref.]]="Dentro",IF(DATOS_[[Check Equiparado]:[Check Equiparado]]="Sí",IF(DATOS!AW$5="Sí",(1/DATOS_[[% anualiz]:[% anualiz]]),1)*IF(DATOS!AW$4="Sí",1/DATOS_[[% normaliz]:[% normaliz]],1)*(DATOS_[Conc.Sal.19])))))))),
0)</f>
        <v>0</v>
      </c>
      <c r="AC56" s="196">
        <f t="array" ref="AC56">IFERROR(
(AVERAGE((IF(DATOS_[[Sexo]:[Sexo]]=$B56,IF(DATOS_[[AGRUP. CLAS. PROF.]:[AGRUP. CLAS. PROF.]]=$B54,IF(DATOS_[[Check Periodo Ref.]:[Check Periodo Ref.]]="Dentro",IF(DATOS_[[Check Equiparado]:[Check Equiparado]]="Sí",IF(DATOS!AX$5="Sí",(1/DATOS_[[% anualiz]:[% anualiz]]),1)*IF(DATOS!AX$4="Sí",1/DATOS_[[% normaliz]:[% normaliz]],1)*(DATOS_[Conc.Sal.20])))))))),
0)</f>
        <v>0</v>
      </c>
      <c r="AD56" s="196">
        <f t="array" ref="AD56">IFERROR(
(AVERAGE((IF(DATOS_[[Sexo]:[Sexo]]=$B56,IF(DATOS_[[AGRUP. CLAS. PROF.]:[AGRUP. CLAS. PROF.]]=$B54,IF(DATOS_[[Check Periodo Ref.]:[Check Periodo Ref.]]="Dentro",IF(DATOS_[[Check Equiparado]:[Check Equiparado]]="Sí",IF(DATOS!AY$5="Sí",(1/DATOS_[[% anualiz]:[% anualiz]]),1)*IF(DATOS!AY$4="Sí",1/DATOS_[[% normaliz]:[% normaliz]],1)*(DATOS_[Conc.Sal.21])))))))),
0)</f>
        <v>0</v>
      </c>
      <c r="AE56" s="196">
        <f t="array" ref="AE56">IFERROR(
(AVERAGE((IF(DATOS_[[Sexo]:[Sexo]]=$B56,IF(DATOS_[[AGRUP. CLAS. PROF.]:[AGRUP. CLAS. PROF.]]=$B54,IF(DATOS_[[Check Periodo Ref.]:[Check Periodo Ref.]]="Dentro",IF(DATOS_[[Check Equiparado]:[Check Equiparado]]="Sí",IF(DATOS!AZ$5="Sí",(1/DATOS_[[% anualiz]:[% anualiz]]),1)*IF(DATOS!AZ$4="Sí",1/DATOS_[[% normaliz]:[% normaliz]],1)*(DATOS_[Conc.Sal.22])))))))),
0)</f>
        <v>0</v>
      </c>
      <c r="AF56" s="196">
        <f t="array" ref="AF56">IFERROR(
(AVERAGE((IF(DATOS_[[Sexo]:[Sexo]]=$B56,IF(DATOS_[[AGRUP. CLAS. PROF.]:[AGRUP. CLAS. PROF.]]=$B54,IF(DATOS_[[Check Periodo Ref.]:[Check Periodo Ref.]]="Dentro",IF(DATOS_[[Check Equiparado]:[Check Equiparado]]="Sí",IF(DATOS!BA$5="Sí",(1/DATOS_[[% anualiz]:[% anualiz]]),1)*IF(DATOS!BA$4="Sí",1/DATOS_[[% normaliz]:[% normaliz]],1)*(DATOS_[Conc.Sal.23])))))))),
0)</f>
        <v>0</v>
      </c>
      <c r="AG56" s="196">
        <f t="array" ref="AG56">IFERROR(
(AVERAGE((IF(DATOS_[[Sexo]:[Sexo]]=$B56,IF(DATOS_[[AGRUP. CLAS. PROF.]:[AGRUP. CLAS. PROF.]]=$B54,IF(DATOS_[[Check Periodo Ref.]:[Check Periodo Ref.]]="Dentro",IF(DATOS_[[Check Equiparado]:[Check Equiparado]]="Sí",IF(DATOS!BB$5="Sí",(1/DATOS_[[% anualiz]:[% anualiz]]),1)*IF(DATOS!BB$4="Sí",1/DATOS_[[% normaliz]:[% normaliz]],1)*(DATOS_[Conc.Sal.24])))))))),
0)</f>
        <v>0</v>
      </c>
      <c r="AH56" s="196">
        <f t="array" ref="AH56">IFERROR(
(AVERAGE((IF(DATOS_[[Sexo]:[Sexo]]=$B56,IF(DATOS_[[AGRUP. CLAS. PROF.]:[AGRUP. CLAS. PROF.]]=$B54,IF(DATOS_[[Check Periodo Ref.]:[Check Periodo Ref.]]="Dentro",IF(DATOS_[[Check Equiparado]:[Check Equiparado]]="Sí",IF(DATOS!BC$5="Sí",(1/DATOS_[[% anualiz]:[% anualiz]]),1)*IF(DATOS!BC$4="Sí",1/DATOS_[[% normaliz]:[% normaliz]],1)*(DATOS_[Conc.Sal.25])))))))),
0)</f>
        <v>0</v>
      </c>
      <c r="AI56" s="196">
        <f t="array" ref="AI56">IFERROR(
(AVERAGE((IF(DATOS_[[Sexo]:[Sexo]]=$B56,IF(DATOS_[[AGRUP. CLAS. PROF.]:[AGRUP. CLAS. PROF.]]=$B54,IF(DATOS_[[Check Periodo Ref.]:[Check Periodo Ref.]]="Dentro",IF(DATOS_[[Check Equiparado]:[Check Equiparado]]="Sí",IF(DATOS!BD$5="Sí",(1/DATOS_[[% anualiz]:[% anualiz]]),1)*IF(DATOS!BD$4="Sí",1/DATOS_[[% normaliz]:[% normaliz]],1)*(DATOS_[Conc.Sal.26])))))))),
0)</f>
        <v>0</v>
      </c>
      <c r="AJ56" s="196">
        <f t="array" ref="AJ56">IFERROR(
(AVERAGE((IF(DATOS_[[Sexo]:[Sexo]]=$B56,IF(DATOS_[[AGRUP. CLAS. PROF.]:[AGRUP. CLAS. PROF.]]=$B54,IF(DATOS_[[Check Periodo Ref.]:[Check Periodo Ref.]]="Dentro",IF(DATOS_[[Check Equiparado]:[Check Equiparado]]="Sí",IF(DATOS!BE$5="Sí",(1/DATOS_[[% anualiz]:[% anualiz]]),1)*IF(DATOS!BE$4="Sí",1/DATOS_[[% normaliz]:[% normaliz]],1)*(DATOS_[Conc.Sal.27])))))))),
0)</f>
        <v>0</v>
      </c>
      <c r="AK56" s="196">
        <f t="array" ref="AK56">IFERROR(
(AVERAGE((IF(DATOS_[[Sexo]:[Sexo]]=$B56,IF(DATOS_[[AGRUP. CLAS. PROF.]:[AGRUP. CLAS. PROF.]]=$B54,IF(DATOS_[[Check Periodo Ref.]:[Check Periodo Ref.]]="Dentro",IF(DATOS_[[Check Equiparado]:[Check Equiparado]]="Sí",IF(DATOS!BF$5="Sí",(1/DATOS_[[% anualiz]:[% anualiz]]),1)*IF(DATOS!BF$4="Sí",1/DATOS_[[% normaliz]:[% normaliz]],1)*(DATOS_[Conc.Sal.28])))))))),
0)</f>
        <v>0</v>
      </c>
      <c r="AL56" s="196">
        <f t="array" ref="AL56">IFERROR(
(AVERAGE((IF(DATOS_[[Sexo]:[Sexo]]=$B56,IF(DATOS_[[AGRUP. CLAS. PROF.]:[AGRUP. CLAS. PROF.]]=$B54,IF(DATOS_[[Check Periodo Ref.]:[Check Periodo Ref.]]="Dentro",IF(DATOS_[[Check Equiparado]:[Check Equiparado]]="Sí",IF(DATOS!BG$5="Sí",(1/DATOS_[[% anualiz]:[% anualiz]]),1)*IF(DATOS!BG$4="Sí",1/DATOS_[[% normaliz]:[% normaliz]],1)*(DATOS_[Conc.Sal.29])))))))),
0)</f>
        <v>0</v>
      </c>
      <c r="AM56" s="196">
        <f t="array" ref="AM56">IFERROR(
(AVERAGE((IF(DATOS_[[Sexo]:[Sexo]]=$B56,IF(DATOS_[[AGRUP. CLAS. PROF.]:[AGRUP. CLAS. PROF.]]=$B54,IF(DATOS_[[Check Periodo Ref.]:[Check Periodo Ref.]]="Dentro",IF(DATOS_[[Check Equiparado]:[Check Equiparado]]="Sí",IF(DATOS!BH$5="Sí",(1/DATOS_[[% anualiz]:[% anualiz]]),1)*IF(DATOS!BH$4="Sí",1/DATOS_[[% normaliz]:[% normaliz]],1)*(DATOS_[Conc.Sal.30])))))))),
0)</f>
        <v>0</v>
      </c>
      <c r="AN56" s="195">
        <f t="array" ref="AN56">IFERROR(
AVERAGE(IF(DATOS_[Sexo]=$B56,IF(DATOS_[[AGRUP. CLAS. PROF.]:[AGRUP. CLAS. PROF.]]=$B54,IF(DATOS_[Check Equiparado]="Sí",IF(DATOS_[Check Periodo Ref.]="Dentro",DATOS_[Tot COMPL.SAL Eq],FALSE))))),
0)</f>
        <v>0</v>
      </c>
      <c r="AO56" s="172">
        <f t="array" ref="AO56">IFERROR(
AVERAGE(IF(DATOS_[Sexo]=$B56,IF(DATOS_[[AGRUP. CLAS. PROF.]:[AGRUP. CLAS. PROF.]]=$B54,IF(DATOS_[Check Equiparado]="Sí",IF(DATOS_[Check Periodo Ref.]="Dentro",DATOS_[TOTAL SALARIO Eq],FALSE))))),
0)</f>
        <v>0</v>
      </c>
      <c r="AP56" s="173">
        <f t="array" ref="AP56">IFERROR(
(AVERAGE((IF(DATOS_[[Sexo]:[Sexo]]=$B56,IF(DATOS_[[AGRUP. CLAS. PROF.]:[AGRUP. CLAS. PROF.]]=$B54,IF(DATOS_[[Check Periodo Ref.]:[Check Periodo Ref.]]="Dentro",IF(DATOS_[[Check Equiparado]:[Check Equiparado]]="Sí",IF(DATOS!BW$5="Sí",(1/DATOS_[[% anualiz]:[% anualiz]]),1)*IF(DATOS!BW$4="Sí",1/DATOS_[[% normaliz]:[% normaliz]],1)*(DATOS_[C.Extra.01])))))))),
0)</f>
        <v>0</v>
      </c>
      <c r="AQ56" s="173">
        <f t="array" ref="AQ56">IFERROR(
(AVERAGE((IF(DATOS_[[Sexo]:[Sexo]]=$B56,IF(DATOS_[[AGRUP. CLAS. PROF.]:[AGRUP. CLAS. PROF.]]=$B54,IF(DATOS_[[Check Periodo Ref.]:[Check Periodo Ref.]]="Dentro",IF(DATOS_[[Check Equiparado]:[Check Equiparado]]="Sí",IF(DATOS!CB$5="Sí",(1/DATOS_[[% anualiz]:[% anualiz]]),1)*IF(DATOS!CB$4="Sí",1/DATOS_[[% normaliz]:[% normaliz]],1)*(DATOS_[C.Extra.06])))))))),
0)</f>
        <v>0</v>
      </c>
      <c r="AR56" s="173">
        <f t="array" ref="AR56">IFERROR(
(AVERAGE((IF(DATOS_[[Sexo]:[Sexo]]=$B56,IF(DATOS_[[AGRUP. CLAS. PROF.]:[AGRUP. CLAS. PROF.]]=$B54,IF(DATOS_[[Check Periodo Ref.]:[Check Periodo Ref.]]="Dentro",IF(DATOS_[[Check Equiparado]:[Check Equiparado]]="Sí",IF(DATOS!CC$5="Sí",(1/DATOS_[[% anualiz]:[% anualiz]]),1)*IF(DATOS!CC$4="Sí",1/DATOS_[[% normaliz]:[% normaliz]],1)*(DATOS_[C.Extra.07])))))))),
0)</f>
        <v>0</v>
      </c>
      <c r="AS56" s="173">
        <f t="array" ref="AS56">IFERROR(
(AVERAGE((IF(DATOS_[[Sexo]:[Sexo]]=$B56,IF(DATOS_[[AGRUP. CLAS. PROF.]:[AGRUP. CLAS. PROF.]]=$B54,IF(DATOS_[[Check Periodo Ref.]:[Check Periodo Ref.]]="Dentro",IF(DATOS_[[Check Equiparado]:[Check Equiparado]]="Sí",IF(DATOS!CD$5="Sí",(1/DATOS_[[% anualiz]:[% anualiz]]),1)*IF(DATOS!CD$4="Sí",1/DATOS_[[% normaliz]:[% normaliz]],1)*(DATOS_[C.Extra.08])))))))),
0)</f>
        <v>0</v>
      </c>
      <c r="AT56" s="173">
        <f t="array" ref="AT56">IFERROR(
(AVERAGE((IF(DATOS_[[Sexo]:[Sexo]]=$B56,IF(DATOS_[[AGRUP. CLAS. PROF.]:[AGRUP. CLAS. PROF.]]=$B54,IF(DATOS_[[Check Periodo Ref.]:[Check Periodo Ref.]]="Dentro",IF(DATOS_[[Check Equiparado]:[Check Equiparado]]="Sí",IF(DATOS!CG$5="Sí",(1/DATOS_[[% anualiz]:[% anualiz]]),1)*IF(DATOS!CG$4="Sí",1/DATOS_[[% normaliz]:[% normaliz]],1)*(DATOS_[C.Extra.11])))))))),
0)</f>
        <v>0</v>
      </c>
      <c r="AU56" s="197">
        <f t="array" ref="AU56">IFERROR(
AVERAGE(IF(DATOS_[Sexo]=$B56,IF(DATOS_[[AGRUP. CLAS. PROF.]:[AGRUP. CLAS. PROF.]]=$B54,IF(DATOS_[Check Equiparado]="Sí",IF(DATOS_[Check Periodo Ref.]="Dentro",DATOS_[Tot Extrasalarial Eq],FALSE))))),
0)</f>
        <v>0</v>
      </c>
      <c r="AV56" s="175">
        <f t="array" ref="AV56">IFERROR(
AVERAGE(IF(DATOS_[Sexo]=$B56,IF(DATOS_[[AGRUP. CLAS. PROF.]:[AGRUP. CLAS. PROF.]]=$B54,IF(DATOS_[Check Equiparado]="Sí",IF(DATOS_[Check Periodo Ref.]="Dentro",DATOS_[TOTAL Retrib Eq],FALSE))))),
0)</f>
        <v>0</v>
      </c>
    </row>
    <row r="57" spans="1:48" ht="15.6" hidden="1" thickBot="1" x14ac:dyDescent="0.3">
      <c r="A57" s="133" t="str">
        <f t="shared" ref="A57" si="59">+A58</f>
        <v>[ocultar]</v>
      </c>
      <c r="B57" s="199" t="s">
        <v>233</v>
      </c>
      <c r="C57" s="200"/>
      <c r="D57" s="201"/>
      <c r="E57" s="201"/>
      <c r="F57" s="201"/>
      <c r="G57" s="201"/>
      <c r="H57" s="201"/>
      <c r="I57" s="189" t="str">
        <f t="shared" ref="I57:AV57" si="60">IFERROR((I58-I59)/I58,"")</f>
        <v/>
      </c>
      <c r="J57" s="190" t="str">
        <f t="shared" si="60"/>
        <v/>
      </c>
      <c r="K57" s="191" t="str">
        <f t="shared" si="60"/>
        <v/>
      </c>
      <c r="L57" s="191" t="str">
        <f t="shared" si="60"/>
        <v/>
      </c>
      <c r="M57" s="191" t="str">
        <f t="shared" si="60"/>
        <v/>
      </c>
      <c r="N57" s="192" t="str">
        <f t="shared" si="60"/>
        <v/>
      </c>
      <c r="O57" s="193" t="str">
        <f t="shared" si="60"/>
        <v/>
      </c>
      <c r="P57" s="193" t="str">
        <f t="shared" si="60"/>
        <v/>
      </c>
      <c r="Q57" s="193" t="str">
        <f t="shared" si="60"/>
        <v/>
      </c>
      <c r="R57" s="193" t="str">
        <f t="shared" si="60"/>
        <v/>
      </c>
      <c r="S57" s="193" t="str">
        <f t="shared" si="60"/>
        <v/>
      </c>
      <c r="T57" s="193" t="str">
        <f t="shared" si="60"/>
        <v/>
      </c>
      <c r="U57" s="193" t="str">
        <f t="shared" si="60"/>
        <v/>
      </c>
      <c r="V57" s="193" t="str">
        <f t="shared" si="60"/>
        <v/>
      </c>
      <c r="W57" s="193" t="str">
        <f t="shared" si="60"/>
        <v/>
      </c>
      <c r="X57" s="193" t="str">
        <f t="shared" si="60"/>
        <v/>
      </c>
      <c r="Y57" s="193" t="str">
        <f t="shared" si="60"/>
        <v/>
      </c>
      <c r="Z57" s="193" t="str">
        <f t="shared" si="60"/>
        <v/>
      </c>
      <c r="AA57" s="193" t="str">
        <f t="shared" si="60"/>
        <v/>
      </c>
      <c r="AB57" s="193" t="str">
        <f t="shared" si="60"/>
        <v/>
      </c>
      <c r="AC57" s="193" t="str">
        <f t="shared" si="60"/>
        <v/>
      </c>
      <c r="AD57" s="193" t="str">
        <f t="shared" si="60"/>
        <v/>
      </c>
      <c r="AE57" s="193" t="str">
        <f t="shared" si="60"/>
        <v/>
      </c>
      <c r="AF57" s="193" t="str">
        <f t="shared" si="60"/>
        <v/>
      </c>
      <c r="AG57" s="193" t="str">
        <f t="shared" si="60"/>
        <v/>
      </c>
      <c r="AH57" s="193" t="str">
        <f t="shared" si="60"/>
        <v/>
      </c>
      <c r="AI57" s="193" t="str">
        <f t="shared" si="60"/>
        <v/>
      </c>
      <c r="AJ57" s="193" t="str">
        <f t="shared" si="60"/>
        <v/>
      </c>
      <c r="AK57" s="193" t="str">
        <f t="shared" si="60"/>
        <v/>
      </c>
      <c r="AL57" s="193" t="str">
        <f t="shared" si="60"/>
        <v/>
      </c>
      <c r="AM57" s="193" t="str">
        <f t="shared" si="60"/>
        <v/>
      </c>
      <c r="AN57" s="189" t="str">
        <f t="shared" si="60"/>
        <v/>
      </c>
      <c r="AO57" s="162" t="str">
        <f t="shared" si="60"/>
        <v/>
      </c>
      <c r="AP57" s="163" t="str">
        <f t="shared" si="60"/>
        <v/>
      </c>
      <c r="AQ57" s="163" t="str">
        <f t="shared" si="60"/>
        <v/>
      </c>
      <c r="AR57" s="163" t="str">
        <f t="shared" si="60"/>
        <v/>
      </c>
      <c r="AS57" s="163" t="str">
        <f t="shared" si="60"/>
        <v/>
      </c>
      <c r="AT57" s="163" t="str">
        <f t="shared" si="60"/>
        <v/>
      </c>
      <c r="AU57" s="194" t="str">
        <f t="shared" si="60"/>
        <v/>
      </c>
      <c r="AV57" s="165" t="str">
        <f t="shared" si="60"/>
        <v/>
      </c>
    </row>
    <row r="58" spans="1:48" hidden="1" x14ac:dyDescent="0.25">
      <c r="A58" s="133" t="str">
        <f t="shared" ref="A58" si="61">+IF(C58+C59=0,"[ocultar]","")</f>
        <v>[ocultar]</v>
      </c>
      <c r="B58" s="202" t="s">
        <v>394</v>
      </c>
      <c r="C58" s="203">
        <f t="array" ref="C58">SUM(IF($B58=DATOS_[Sexo],
IF($B57=DATOS_[AGRUP. CLAS. PROF.],
IF("Dentro"=DATOS_[Check Periodo Ref.],
1/(COUNTIFS(DATOS_[Sexo],$B58,DATOS_[AGRUP. CLAS. PROF.],$B57,DATOS_[Check Periodo Ref.],"Dentro",DATOS_[id/cod],DATOS_[id/cod]))))))</f>
        <v>0</v>
      </c>
      <c r="D58" s="204">
        <f>COUNTIFS(DATOS_[AGRUP. CLAS. PROF.],$B57,DATOS_[Sexo],$B58,DATOS_[Check Periodo Ref.],"Dentro")</f>
        <v>0</v>
      </c>
      <c r="E58" s="204">
        <f>COUNTIFS(DATOS_[AGRUP. CLAS. PROF.],$B57,DATOS_[Sexo],$B58,DATOS_[Check Periodo Ref.],"Dentro",DATOS_[Check Nº SC Norm],"Sí")</f>
        <v>0</v>
      </c>
      <c r="F58" s="204">
        <f>COUNTIFS(DATOS_[AGRUP. CLAS. PROF.],$B57,DATOS_[Sexo],$B58,DATOS_[Check Periodo Ref.],"Dentro",DATOS_[Check Nº SC Anualiz],"Sí")</f>
        <v>0</v>
      </c>
      <c r="G58" s="204">
        <f>COUNTIFS(DATOS_[AGRUP. CLAS. PROF.],$B57,DATOS_[Sexo],$B58,DATOS_[Check Periodo Ref.],"Dentro",DATOS_[Check Nº SC Norm y Anualiz],"Sí")</f>
        <v>0</v>
      </c>
      <c r="H58" s="204">
        <f>COUNTIFS(DATOS_[AGRUP. CLAS. PROF.],$B57,DATOS_[Sexo],$B58,DATOS_[Check Periodo Ref.],"Dentro",DATOS_[Check Equiparación],"Sí")</f>
        <v>0</v>
      </c>
      <c r="I58" s="195">
        <f t="array" ref="I58">IFERROR(
AVERAGE(IF(DATOS_[Sexo]=$B58,IF(DATOS_[[AGRUP. CLAS. PROF.]:[AGRUP. CLAS. PROF.]]=$B57,IF(DATOS_[Check Equiparado]="Sí",IF(DATOS_[Check Periodo Ref.]="Dentro",DATOS_[SALARIO BASE Eq],FALSE))))),
0)</f>
        <v>0</v>
      </c>
      <c r="J58" s="196">
        <f t="array" ref="J58">IFERROR(
(AVERAGE((IF(DATOS_[[Sexo]:[Sexo]]=$B58,IF(DATOS_[[AGRUP. CLAS. PROF.]:[AGRUP. CLAS. PROF.]]=$B57,IF(DATOS_[[Check Periodo Ref.]:[Check Periodo Ref.]]="Dentro",IF(DATOS_[[Check Equiparado]:[Check Equiparado]]="Sí",IF(DATOS!AE$5="Sí",(1/DATOS_[[% anualiz]:[% anualiz]]),1)*IF(DATOS!AE$4="Sí",1/DATOS_[[% normaliz]:[% normaliz]],1)*(DATOS_[Conc.Sal.01])))))))),
0)</f>
        <v>0</v>
      </c>
      <c r="K58" s="196">
        <f t="array" ref="K58">IFERROR(
(AVERAGE((IF(DATOS_[[Sexo]:[Sexo]]=$B58,IF(DATOS_[[AGRUP. CLAS. PROF.]:[AGRUP. CLAS. PROF.]]=$B57,IF(DATOS_[[Check Periodo Ref.]:[Check Periodo Ref.]]="Dentro",IF(DATOS_[[Check Equiparado]:[Check Equiparado]]="Sí",IF(DATOS!AF$5="Sí",(1/DATOS_[[% anualiz]:[% anualiz]]),1)*IF(DATOS!AF$4="Sí",1/DATOS_[[% normaliz]:[% normaliz]],1)*(DATOS_[Conc.Sal.02])))))))),
0)</f>
        <v>0</v>
      </c>
      <c r="L58" s="196">
        <f t="array" ref="L58">IFERROR(
(AVERAGE((IF(DATOS_[[Sexo]:[Sexo]]=$B58,IF(DATOS_[[AGRUP. CLAS. PROF.]:[AGRUP. CLAS. PROF.]]=$B57,IF(DATOS_[[Check Periodo Ref.]:[Check Periodo Ref.]]="Dentro",IF(DATOS_[[Check Equiparado]:[Check Equiparado]]="Sí",IF(DATOS!AG$5="Sí",(1/DATOS_[[% anualiz]:[% anualiz]]),1)*IF(DATOS!AG$4="Sí",1/DATOS_[[% normaliz]:[% normaliz]],1)*(DATOS_[Conc.Sal.03])))))))),
0)</f>
        <v>0</v>
      </c>
      <c r="M58" s="196">
        <f t="array" ref="M58">IFERROR(
(AVERAGE((IF(DATOS_[[Sexo]:[Sexo]]=$B58,IF(DATOS_[[AGRUP. CLAS. PROF.]:[AGRUP. CLAS. PROF.]]=$B57,IF(DATOS_[[Check Periodo Ref.]:[Check Periodo Ref.]]="Dentro",IF(DATOS_[[Check Equiparado]:[Check Equiparado]]="Sí",IF(DATOS!AH$5="Sí",(1/DATOS_[[% anualiz]:[% anualiz]]),1)*IF(DATOS!AH$4="Sí",1/DATOS_[[% normaliz]:[% normaliz]],1)*(DATOS_[Conc.Sal.04])))))))),
0)</f>
        <v>0</v>
      </c>
      <c r="N58" s="196">
        <f t="array" ref="N58">IFERROR(
(AVERAGE((IF(DATOS_[[Sexo]:[Sexo]]=$B58,IF(DATOS_[[AGRUP. CLAS. PROF.]:[AGRUP. CLAS. PROF.]]=$B57,IF(DATOS_[[Check Periodo Ref.]:[Check Periodo Ref.]]="Dentro",IF(DATOS_[[Check Equiparado]:[Check Equiparado]]="Sí",IF(DATOS!AI$5="Sí",(1/DATOS_[[% anualiz]:[% anualiz]]),1)*IF(DATOS!AI$4="Sí",1/DATOS_[[% normaliz]:[% normaliz]],1)*(DATOS_[Conc.Sal.05])))))))),
0)</f>
        <v>0</v>
      </c>
      <c r="O58" s="196">
        <f t="array" ref="O58">IFERROR(
(AVERAGE((IF(DATOS_[[Sexo]:[Sexo]]=$B58,IF(DATOS_[[AGRUP. CLAS. PROF.]:[AGRUP. CLAS. PROF.]]=$B57,IF(DATOS_[[Check Periodo Ref.]:[Check Periodo Ref.]]="Dentro",IF(DATOS_[[Check Equiparado]:[Check Equiparado]]="Sí",IF(DATOS!AJ$5="Sí",(1/DATOS_[[% anualiz]:[% anualiz]]),1)*IF(DATOS!AJ$4="Sí",1/DATOS_[[% normaliz]:[% normaliz]],1)*(DATOS_[Conc.Sal.06])))))))),
0)</f>
        <v>0</v>
      </c>
      <c r="P58" s="196">
        <f t="array" ref="P58">IFERROR(
(AVERAGE((IF(DATOS_[[Sexo]:[Sexo]]=$B58,IF(DATOS_[[AGRUP. CLAS. PROF.]:[AGRUP. CLAS. PROF.]]=$B57,IF(DATOS_[[Check Periodo Ref.]:[Check Periodo Ref.]]="Dentro",IF(DATOS_[[Check Equiparado]:[Check Equiparado]]="Sí",IF(DATOS!AK$5="Sí",(1/DATOS_[[% anualiz]:[% anualiz]]),1)*IF(DATOS!AK$4="Sí",1/DATOS_[[% normaliz]:[% normaliz]],1)*(DATOS_[Conc.Sal.07])))))))),
0)</f>
        <v>0</v>
      </c>
      <c r="Q58" s="196">
        <f t="array" ref="Q58">IFERROR(
(AVERAGE((IF(DATOS_[[Sexo]:[Sexo]]=$B58,IF(DATOS_[[AGRUP. CLAS. PROF.]:[AGRUP. CLAS. PROF.]]=$B57,IF(DATOS_[[Check Periodo Ref.]:[Check Periodo Ref.]]="Dentro",IF(DATOS_[[Check Equiparado]:[Check Equiparado]]="Sí",IF(DATOS!AL$5="Sí",(1/DATOS_[[% anualiz]:[% anualiz]]),1)*IF(DATOS!AL$4="Sí",1/DATOS_[[% normaliz]:[% normaliz]],1)*(DATOS_[Conc.Sal.08])))))))),
0)</f>
        <v>0</v>
      </c>
      <c r="R58" s="196">
        <f t="array" ref="R58">IFERROR(
(AVERAGE((IF(DATOS_[[Sexo]:[Sexo]]=$B58,IF(DATOS_[[AGRUP. CLAS. PROF.]:[AGRUP. CLAS. PROF.]]=$B57,IF(DATOS_[[Check Periodo Ref.]:[Check Periodo Ref.]]="Dentro",IF(DATOS_[[Check Equiparado]:[Check Equiparado]]="Sí",IF(DATOS!AM$5="Sí",(1/DATOS_[[% anualiz]:[% anualiz]]),1)*IF(DATOS!AM$4="Sí",1/DATOS_[[% normaliz]:[% normaliz]],1)*(DATOS_[Conc.Sal.09])))))))),
0)</f>
        <v>0</v>
      </c>
      <c r="S58" s="196">
        <f t="array" ref="S58">IFERROR(
(AVERAGE((IF(DATOS_[[Sexo]:[Sexo]]=$B58,IF(DATOS_[[AGRUP. CLAS. PROF.]:[AGRUP. CLAS. PROF.]]=$B57,IF(DATOS_[[Check Periodo Ref.]:[Check Periodo Ref.]]="Dentro",IF(DATOS_[[Check Equiparado]:[Check Equiparado]]="Sí",IF(DATOS!AN$5="Sí",(1/DATOS_[[% anualiz]:[% anualiz]]),1)*IF(DATOS!AN$4="Sí",1/DATOS_[[% normaliz]:[% normaliz]],1)*(DATOS_[Conc.Sal.10])))))))),
0)</f>
        <v>0</v>
      </c>
      <c r="T58" s="196">
        <f t="array" ref="T58">IFERROR(
(AVERAGE((IF(DATOS_[[Sexo]:[Sexo]]=$B58,IF(DATOS_[[AGRUP. CLAS. PROF.]:[AGRUP. CLAS. PROF.]]=$B57,IF(DATOS_[[Check Periodo Ref.]:[Check Periodo Ref.]]="Dentro",IF(DATOS_[[Check Equiparado]:[Check Equiparado]]="Sí",IF(DATOS!AO$5="Sí",(1/DATOS_[[% anualiz]:[% anualiz]]),1)*IF(DATOS!AO$4="Sí",1/DATOS_[[% normaliz]:[% normaliz]],1)*(DATOS_[Conc.Sal.11])))))))),
0)</f>
        <v>0</v>
      </c>
      <c r="U58" s="196">
        <f t="array" ref="U58">IFERROR(
(AVERAGE((IF(DATOS_[[Sexo]:[Sexo]]=$B58,IF(DATOS_[[AGRUP. CLAS. PROF.]:[AGRUP. CLAS. PROF.]]=$B57,IF(DATOS_[[Check Periodo Ref.]:[Check Periodo Ref.]]="Dentro",IF(DATOS_[[Check Equiparado]:[Check Equiparado]]="Sí",IF(DATOS!AP$5="Sí",(1/DATOS_[[% anualiz]:[% anualiz]]),1)*IF(DATOS!AP$4="Sí",1/DATOS_[[% normaliz]:[% normaliz]],1)*(DATOS_[Conc.Sal.12])))))))),
0)</f>
        <v>0</v>
      </c>
      <c r="V58" s="196">
        <f t="array" ref="V58">IFERROR(
(AVERAGE((IF(DATOS_[[Sexo]:[Sexo]]=$B58,IF(DATOS_[[AGRUP. CLAS. PROF.]:[AGRUP. CLAS. PROF.]]=$B57,IF(DATOS_[[Check Periodo Ref.]:[Check Periodo Ref.]]="Dentro",IF(DATOS_[[Check Equiparado]:[Check Equiparado]]="Sí",IF(DATOS!AQ$5="Sí",(1/DATOS_[[% anualiz]:[% anualiz]]),1)*IF(DATOS!AQ$4="Sí",1/DATOS_[[% normaliz]:[% normaliz]],1)*(DATOS_[Conc.Sal.13])))))))),
0)</f>
        <v>0</v>
      </c>
      <c r="W58" s="196">
        <f t="array" ref="W58">IFERROR(
(AVERAGE((IF(DATOS_[[Sexo]:[Sexo]]=$B58,IF(DATOS_[[AGRUP. CLAS. PROF.]:[AGRUP. CLAS. PROF.]]=$B57,IF(DATOS_[[Check Periodo Ref.]:[Check Periodo Ref.]]="Dentro",IF(DATOS_[[Check Equiparado]:[Check Equiparado]]="Sí",IF(DATOS!AR$5="Sí",(1/DATOS_[[% anualiz]:[% anualiz]]),1)*IF(DATOS!AR$4="Sí",1/DATOS_[[% normaliz]:[% normaliz]],1)*(DATOS_[Conc.Sal.14])))))))),
0)</f>
        <v>0</v>
      </c>
      <c r="X58" s="196">
        <f t="array" ref="X58">IFERROR(
(AVERAGE((IF(DATOS_[[Sexo]:[Sexo]]=$B58,IF(DATOS_[[AGRUP. CLAS. PROF.]:[AGRUP. CLAS. PROF.]]=$B57,IF(DATOS_[[Check Periodo Ref.]:[Check Periodo Ref.]]="Dentro",IF(DATOS_[[Check Equiparado]:[Check Equiparado]]="Sí",IF(DATOS!AS$5="Sí",(1/DATOS_[[% anualiz]:[% anualiz]]),1)*IF(DATOS!AS$4="Sí",1/DATOS_[[% normaliz]:[% normaliz]],1)*(DATOS_[Conc.Sal.15])))))))),
0)</f>
        <v>0</v>
      </c>
      <c r="Y58" s="196">
        <f t="array" ref="Y58">IFERROR(
(AVERAGE((IF(DATOS_[[Sexo]:[Sexo]]=$B58,IF(DATOS_[[AGRUP. CLAS. PROF.]:[AGRUP. CLAS. PROF.]]=$B57,IF(DATOS_[[Check Periodo Ref.]:[Check Periodo Ref.]]="Dentro",IF(DATOS_[[Check Equiparado]:[Check Equiparado]]="Sí",IF(DATOS!AT$5="Sí",(1/DATOS_[[% anualiz]:[% anualiz]]),1)*IF(DATOS!AT$4="Sí",1/DATOS_[[% normaliz]:[% normaliz]],1)*(DATOS_[Conc.Sal.16])))))))),
0)</f>
        <v>0</v>
      </c>
      <c r="Z58" s="196">
        <f t="array" ref="Z58">IFERROR(
(AVERAGE((IF(DATOS_[[Sexo]:[Sexo]]=$B58,IF(DATOS_[[AGRUP. CLAS. PROF.]:[AGRUP. CLAS. PROF.]]=$B57,IF(DATOS_[[Check Periodo Ref.]:[Check Periodo Ref.]]="Dentro",IF(DATOS_[[Check Equiparado]:[Check Equiparado]]="Sí",IF(DATOS!AU$5="Sí",(1/DATOS_[[% anualiz]:[% anualiz]]),1)*IF(DATOS!AU$4="Sí",1/DATOS_[[% normaliz]:[% normaliz]],1)*(DATOS_[Conc.Sal.17])))))))),
0)</f>
        <v>0</v>
      </c>
      <c r="AA58" s="196">
        <f t="array" ref="AA58">IFERROR(
(AVERAGE((IF(DATOS_[[Sexo]:[Sexo]]=$B58,IF(DATOS_[[AGRUP. CLAS. PROF.]:[AGRUP. CLAS. PROF.]]=$B57,IF(DATOS_[[Check Periodo Ref.]:[Check Periodo Ref.]]="Dentro",IF(DATOS_[[Check Equiparado]:[Check Equiparado]]="Sí",IF(DATOS!AV$5="Sí",(1/DATOS_[[% anualiz]:[% anualiz]]),1)*IF(DATOS!AV$4="Sí",1/DATOS_[[% normaliz]:[% normaliz]],1)*(DATOS_[Conc.Sal.18])))))))),
0)</f>
        <v>0</v>
      </c>
      <c r="AB58" s="196">
        <f t="array" ref="AB58">IFERROR(
(AVERAGE((IF(DATOS_[[Sexo]:[Sexo]]=$B58,IF(DATOS_[[AGRUP. CLAS. PROF.]:[AGRUP. CLAS. PROF.]]=$B57,IF(DATOS_[[Check Periodo Ref.]:[Check Periodo Ref.]]="Dentro",IF(DATOS_[[Check Equiparado]:[Check Equiparado]]="Sí",IF(DATOS!AW$5="Sí",(1/DATOS_[[% anualiz]:[% anualiz]]),1)*IF(DATOS!AW$4="Sí",1/DATOS_[[% normaliz]:[% normaliz]],1)*(DATOS_[Conc.Sal.19])))))))),
0)</f>
        <v>0</v>
      </c>
      <c r="AC58" s="196">
        <f t="array" ref="AC58">IFERROR(
(AVERAGE((IF(DATOS_[[Sexo]:[Sexo]]=$B58,IF(DATOS_[[AGRUP. CLAS. PROF.]:[AGRUP. CLAS. PROF.]]=$B57,IF(DATOS_[[Check Periodo Ref.]:[Check Periodo Ref.]]="Dentro",IF(DATOS_[[Check Equiparado]:[Check Equiparado]]="Sí",IF(DATOS!AX$5="Sí",(1/DATOS_[[% anualiz]:[% anualiz]]),1)*IF(DATOS!AX$4="Sí",1/DATOS_[[% normaliz]:[% normaliz]],1)*(DATOS_[Conc.Sal.20])))))))),
0)</f>
        <v>0</v>
      </c>
      <c r="AD58" s="196">
        <f t="array" ref="AD58">IFERROR(
(AVERAGE((IF(DATOS_[[Sexo]:[Sexo]]=$B58,IF(DATOS_[[AGRUP. CLAS. PROF.]:[AGRUP. CLAS. PROF.]]=$B57,IF(DATOS_[[Check Periodo Ref.]:[Check Periodo Ref.]]="Dentro",IF(DATOS_[[Check Equiparado]:[Check Equiparado]]="Sí",IF(DATOS!AY$5="Sí",(1/DATOS_[[% anualiz]:[% anualiz]]),1)*IF(DATOS!AY$4="Sí",1/DATOS_[[% normaliz]:[% normaliz]],1)*(DATOS_[Conc.Sal.21])))))))),
0)</f>
        <v>0</v>
      </c>
      <c r="AE58" s="196">
        <f t="array" ref="AE58">IFERROR(
(AVERAGE((IF(DATOS_[[Sexo]:[Sexo]]=$B58,IF(DATOS_[[AGRUP. CLAS. PROF.]:[AGRUP. CLAS. PROF.]]=$B57,IF(DATOS_[[Check Periodo Ref.]:[Check Periodo Ref.]]="Dentro",IF(DATOS_[[Check Equiparado]:[Check Equiparado]]="Sí",IF(DATOS!AZ$5="Sí",(1/DATOS_[[% anualiz]:[% anualiz]]),1)*IF(DATOS!AZ$4="Sí",1/DATOS_[[% normaliz]:[% normaliz]],1)*(DATOS_[Conc.Sal.22])))))))),
0)</f>
        <v>0</v>
      </c>
      <c r="AF58" s="196">
        <f t="array" ref="AF58">IFERROR(
(AVERAGE((IF(DATOS_[[Sexo]:[Sexo]]=$B58,IF(DATOS_[[AGRUP. CLAS. PROF.]:[AGRUP. CLAS. PROF.]]=$B57,IF(DATOS_[[Check Periodo Ref.]:[Check Periodo Ref.]]="Dentro",IF(DATOS_[[Check Equiparado]:[Check Equiparado]]="Sí",IF(DATOS!BA$5="Sí",(1/DATOS_[[% anualiz]:[% anualiz]]),1)*IF(DATOS!BA$4="Sí",1/DATOS_[[% normaliz]:[% normaliz]],1)*(DATOS_[Conc.Sal.23])))))))),
0)</f>
        <v>0</v>
      </c>
      <c r="AG58" s="196">
        <f t="array" ref="AG58">IFERROR(
(AVERAGE((IF(DATOS_[[Sexo]:[Sexo]]=$B58,IF(DATOS_[[AGRUP. CLAS. PROF.]:[AGRUP. CLAS. PROF.]]=$B57,IF(DATOS_[[Check Periodo Ref.]:[Check Periodo Ref.]]="Dentro",IF(DATOS_[[Check Equiparado]:[Check Equiparado]]="Sí",IF(DATOS!BB$5="Sí",(1/DATOS_[[% anualiz]:[% anualiz]]),1)*IF(DATOS!BB$4="Sí",1/DATOS_[[% normaliz]:[% normaliz]],1)*(DATOS_[Conc.Sal.24])))))))),
0)</f>
        <v>0</v>
      </c>
      <c r="AH58" s="196">
        <f t="array" ref="AH58">IFERROR(
(AVERAGE((IF(DATOS_[[Sexo]:[Sexo]]=$B58,IF(DATOS_[[AGRUP. CLAS. PROF.]:[AGRUP. CLAS. PROF.]]=$B57,IF(DATOS_[[Check Periodo Ref.]:[Check Periodo Ref.]]="Dentro",IF(DATOS_[[Check Equiparado]:[Check Equiparado]]="Sí",IF(DATOS!BC$5="Sí",(1/DATOS_[[% anualiz]:[% anualiz]]),1)*IF(DATOS!BC$4="Sí",1/DATOS_[[% normaliz]:[% normaliz]],1)*(DATOS_[Conc.Sal.25])))))))),
0)</f>
        <v>0</v>
      </c>
      <c r="AI58" s="196">
        <f t="array" ref="AI58">IFERROR(
(AVERAGE((IF(DATOS_[[Sexo]:[Sexo]]=$B58,IF(DATOS_[[AGRUP. CLAS. PROF.]:[AGRUP. CLAS. PROF.]]=$B57,IF(DATOS_[[Check Periodo Ref.]:[Check Periodo Ref.]]="Dentro",IF(DATOS_[[Check Equiparado]:[Check Equiparado]]="Sí",IF(DATOS!BD$5="Sí",(1/DATOS_[[% anualiz]:[% anualiz]]),1)*IF(DATOS!BD$4="Sí",1/DATOS_[[% normaliz]:[% normaliz]],1)*(DATOS_[Conc.Sal.26])))))))),
0)</f>
        <v>0</v>
      </c>
      <c r="AJ58" s="196">
        <f t="array" ref="AJ58">IFERROR(
(AVERAGE((IF(DATOS_[[Sexo]:[Sexo]]=$B58,IF(DATOS_[[AGRUP. CLAS. PROF.]:[AGRUP. CLAS. PROF.]]=$B57,IF(DATOS_[[Check Periodo Ref.]:[Check Periodo Ref.]]="Dentro",IF(DATOS_[[Check Equiparado]:[Check Equiparado]]="Sí",IF(DATOS!BE$5="Sí",(1/DATOS_[[% anualiz]:[% anualiz]]),1)*IF(DATOS!BE$4="Sí",1/DATOS_[[% normaliz]:[% normaliz]],1)*(DATOS_[Conc.Sal.27])))))))),
0)</f>
        <v>0</v>
      </c>
      <c r="AK58" s="196">
        <f t="array" ref="AK58">IFERROR(
(AVERAGE((IF(DATOS_[[Sexo]:[Sexo]]=$B58,IF(DATOS_[[AGRUP. CLAS. PROF.]:[AGRUP. CLAS. PROF.]]=$B57,IF(DATOS_[[Check Periodo Ref.]:[Check Periodo Ref.]]="Dentro",IF(DATOS_[[Check Equiparado]:[Check Equiparado]]="Sí",IF(DATOS!BF$5="Sí",(1/DATOS_[[% anualiz]:[% anualiz]]),1)*IF(DATOS!BF$4="Sí",1/DATOS_[[% normaliz]:[% normaliz]],1)*(DATOS_[Conc.Sal.28])))))))),
0)</f>
        <v>0</v>
      </c>
      <c r="AL58" s="196">
        <f t="array" ref="AL58">IFERROR(
(AVERAGE((IF(DATOS_[[Sexo]:[Sexo]]=$B58,IF(DATOS_[[AGRUP. CLAS. PROF.]:[AGRUP. CLAS. PROF.]]=$B57,IF(DATOS_[[Check Periodo Ref.]:[Check Periodo Ref.]]="Dentro",IF(DATOS_[[Check Equiparado]:[Check Equiparado]]="Sí",IF(DATOS!BG$5="Sí",(1/DATOS_[[% anualiz]:[% anualiz]]),1)*IF(DATOS!BG$4="Sí",1/DATOS_[[% normaliz]:[% normaliz]],1)*(DATOS_[Conc.Sal.29])))))))),
0)</f>
        <v>0</v>
      </c>
      <c r="AM58" s="196">
        <f t="array" ref="AM58">IFERROR(
(AVERAGE((IF(DATOS_[[Sexo]:[Sexo]]=$B58,IF(DATOS_[[AGRUP. CLAS. PROF.]:[AGRUP. CLAS. PROF.]]=$B57,IF(DATOS_[[Check Periodo Ref.]:[Check Periodo Ref.]]="Dentro",IF(DATOS_[[Check Equiparado]:[Check Equiparado]]="Sí",IF(DATOS!BH$5="Sí",(1/DATOS_[[% anualiz]:[% anualiz]]),1)*IF(DATOS!BH$4="Sí",1/DATOS_[[% normaliz]:[% normaliz]],1)*(DATOS_[Conc.Sal.30])))))))),
0)</f>
        <v>0</v>
      </c>
      <c r="AN58" s="195">
        <f t="array" ref="AN58">IFERROR(
AVERAGE(IF(DATOS_[Sexo]=$B58,IF(DATOS_[[AGRUP. CLAS. PROF.]:[AGRUP. CLAS. PROF.]]=$B57,IF(DATOS_[Check Equiparado]="Sí",IF(DATOS_[Check Periodo Ref.]="Dentro",DATOS_[Tot COMPL.SAL Eq],FALSE))))),
0)</f>
        <v>0</v>
      </c>
      <c r="AO58" s="172">
        <f t="array" ref="AO58">IFERROR(
AVERAGE(IF(DATOS_[Sexo]=$B58,IF(DATOS_[[AGRUP. CLAS. PROF.]:[AGRUP. CLAS. PROF.]]=$B57,IF(DATOS_[Check Equiparado]="Sí",IF(DATOS_[Check Periodo Ref.]="Dentro",DATOS_[TOTAL SALARIO Eq],FALSE))))),
0)</f>
        <v>0</v>
      </c>
      <c r="AP58" s="173">
        <f t="array" ref="AP58">IFERROR(
(AVERAGE((IF(DATOS_[[Sexo]:[Sexo]]=$B58,IF(DATOS_[[AGRUP. CLAS. PROF.]:[AGRUP. CLAS. PROF.]]=$B57,IF(DATOS_[[Check Periodo Ref.]:[Check Periodo Ref.]]="Dentro",IF(DATOS_[[Check Equiparado]:[Check Equiparado]]="Sí",IF(DATOS!BW$5="Sí",(1/DATOS_[[% anualiz]:[% anualiz]]),1)*IF(DATOS!BW$4="Sí",1/DATOS_[[% normaliz]:[% normaliz]],1)*(DATOS_[C.Extra.01])))))))),
0)</f>
        <v>0</v>
      </c>
      <c r="AQ58" s="173">
        <f t="array" ref="AQ58">IFERROR(
(AVERAGE((IF(DATOS_[[Sexo]:[Sexo]]=$B58,IF(DATOS_[[AGRUP. CLAS. PROF.]:[AGRUP. CLAS. PROF.]]=$B57,IF(DATOS_[[Check Periodo Ref.]:[Check Periodo Ref.]]="Dentro",IF(DATOS_[[Check Equiparado]:[Check Equiparado]]="Sí",IF(DATOS!CB$5="Sí",(1/DATOS_[[% anualiz]:[% anualiz]]),1)*IF(DATOS!CB$4="Sí",1/DATOS_[[% normaliz]:[% normaliz]],1)*(DATOS_[C.Extra.06])))))))),
0)</f>
        <v>0</v>
      </c>
      <c r="AR58" s="173">
        <f t="array" ref="AR58">IFERROR(
(AVERAGE((IF(DATOS_[[Sexo]:[Sexo]]=$B58,IF(DATOS_[[AGRUP. CLAS. PROF.]:[AGRUP. CLAS. PROF.]]=$B57,IF(DATOS_[[Check Periodo Ref.]:[Check Periodo Ref.]]="Dentro",IF(DATOS_[[Check Equiparado]:[Check Equiparado]]="Sí",IF(DATOS!CC$5="Sí",(1/DATOS_[[% anualiz]:[% anualiz]]),1)*IF(DATOS!CC$4="Sí",1/DATOS_[[% normaliz]:[% normaliz]],1)*(DATOS_[C.Extra.07])))))))),
0)</f>
        <v>0</v>
      </c>
      <c r="AS58" s="173">
        <f t="array" ref="AS58">IFERROR(
(AVERAGE((IF(DATOS_[[Sexo]:[Sexo]]=$B58,IF(DATOS_[[AGRUP. CLAS. PROF.]:[AGRUP. CLAS. PROF.]]=$B57,IF(DATOS_[[Check Periodo Ref.]:[Check Periodo Ref.]]="Dentro",IF(DATOS_[[Check Equiparado]:[Check Equiparado]]="Sí",IF(DATOS!CD$5="Sí",(1/DATOS_[[% anualiz]:[% anualiz]]),1)*IF(DATOS!CD$4="Sí",1/DATOS_[[% normaliz]:[% normaliz]],1)*(DATOS_[C.Extra.08])))))))),
0)</f>
        <v>0</v>
      </c>
      <c r="AT58" s="173">
        <f t="array" ref="AT58">IFERROR(
(AVERAGE((IF(DATOS_[[Sexo]:[Sexo]]=$B58,IF(DATOS_[[AGRUP. CLAS. PROF.]:[AGRUP. CLAS. PROF.]]=$B57,IF(DATOS_[[Check Periodo Ref.]:[Check Periodo Ref.]]="Dentro",IF(DATOS_[[Check Equiparado]:[Check Equiparado]]="Sí",IF(DATOS!CG$5="Sí",(1/DATOS_[[% anualiz]:[% anualiz]]),1)*IF(DATOS!CG$4="Sí",1/DATOS_[[% normaliz]:[% normaliz]],1)*(DATOS_[C.Extra.11])))))))),
0)</f>
        <v>0</v>
      </c>
      <c r="AU58" s="197">
        <f t="array" ref="AU58">IFERROR(
AVERAGE(IF(DATOS_[Sexo]=$B58,IF(DATOS_[[AGRUP. CLAS. PROF.]:[AGRUP. CLAS. PROF.]]=$B57,IF(DATOS_[Check Equiparado]="Sí",IF(DATOS_[Check Periodo Ref.]="Dentro",DATOS_[Tot Extrasalarial Eq],FALSE))))),
0)</f>
        <v>0</v>
      </c>
      <c r="AV58" s="175">
        <f t="array" ref="AV58">IFERROR(
AVERAGE(IF(DATOS_[Sexo]=$B58,IF(DATOS_[[AGRUP. CLAS. PROF.]:[AGRUP. CLAS. PROF.]]=$B57,IF(DATOS_[Check Equiparado]="Sí",IF(DATOS_[Check Periodo Ref.]="Dentro",DATOS_[TOTAL Retrib Eq],FALSE))))),
0)</f>
        <v>0</v>
      </c>
    </row>
    <row r="59" spans="1:48" hidden="1" x14ac:dyDescent="0.25">
      <c r="A59" s="133" t="str">
        <f t="shared" ref="A59" si="62">+A58</f>
        <v>[ocultar]</v>
      </c>
      <c r="B59" s="202" t="s">
        <v>521</v>
      </c>
      <c r="C59" s="203">
        <f t="array" ref="C59">SUM(IF($B59=DATOS_[Sexo],
IF($B57=DATOS_[AGRUP. CLAS. PROF.],
IF("Dentro"=DATOS_[Check Periodo Ref.],
1/(COUNTIFS(DATOS_[Sexo],$B59,DATOS_[AGRUP. CLAS. PROF.],$B57,DATOS_[Check Periodo Ref.],"Dentro",DATOS_[id/cod],DATOS_[id/cod]))))))</f>
        <v>0</v>
      </c>
      <c r="D59" s="204">
        <f>COUNTIFS(DATOS_[AGRUP. CLAS. PROF.],$B57,DATOS_[Sexo],$B59,DATOS_[Check Periodo Ref.],"Dentro")</f>
        <v>0</v>
      </c>
      <c r="E59" s="204">
        <f>COUNTIFS(DATOS_[AGRUP. CLAS. PROF.],$B57,DATOS_[Sexo],$B59,DATOS_[Check Periodo Ref.],"Dentro",DATOS_[Check Nº SC Norm],"Sí")</f>
        <v>0</v>
      </c>
      <c r="F59" s="204">
        <f>COUNTIFS(DATOS_[AGRUP. CLAS. PROF.],$B57,DATOS_[Sexo],$B59,DATOS_[Check Periodo Ref.],"Dentro",DATOS_[Check Nº SC Anualiz],"Sí")</f>
        <v>0</v>
      </c>
      <c r="G59" s="204">
        <f>COUNTIFS(DATOS_[AGRUP. CLAS. PROF.],$B57,DATOS_[Sexo],$B59,DATOS_[Check Periodo Ref.],"Dentro",DATOS_[Check Nº SC Norm y Anualiz],"Sí")</f>
        <v>0</v>
      </c>
      <c r="H59" s="204">
        <f>COUNTIFS(DATOS_[AGRUP. CLAS. PROF.],$B57,DATOS_[Sexo],$B59,DATOS_[Check Periodo Ref.],"Dentro",DATOS_[Check Equiparación],"Sí")</f>
        <v>0</v>
      </c>
      <c r="I59" s="195" cm="1">
        <f t="array" ref="I59">IFERROR(
AVERAGE(IF(DATOS_[Sexo]=$B59,IF(DATOS_[[AGRUP. CLAS. PROF.]:[AGRUP. CLAS. PROF.]]=$B57,IF(DATOS_[Check Equiparado]="Sí",IF(DATOS_[Check Periodo Ref.]="Dentro",DATOS_[SALARIO BASE Eq],FALSE))))),
0)</f>
        <v>0</v>
      </c>
      <c r="J59" s="196">
        <f t="array" ref="J59">IFERROR(
(AVERAGE((IF(DATOS_[[Sexo]:[Sexo]]=$B59,IF(DATOS_[[AGRUP. CLAS. PROF.]:[AGRUP. CLAS. PROF.]]=$B57,IF(DATOS_[[Check Periodo Ref.]:[Check Periodo Ref.]]="Dentro",IF(DATOS_[[Check Equiparado]:[Check Equiparado]]="Sí",IF(DATOS!AE$5="Sí",(1/DATOS_[[% anualiz]:[% anualiz]]),1)*IF(DATOS!AE$4="Sí",1/DATOS_[[% normaliz]:[% normaliz]],1)*(DATOS_[Conc.Sal.01])))))))),
0)</f>
        <v>0</v>
      </c>
      <c r="K59" s="196">
        <f t="array" ref="K59">IFERROR(
(AVERAGE((IF(DATOS_[[Sexo]:[Sexo]]=$B59,IF(DATOS_[[AGRUP. CLAS. PROF.]:[AGRUP. CLAS. PROF.]]=$B57,IF(DATOS_[[Check Periodo Ref.]:[Check Periodo Ref.]]="Dentro",IF(DATOS_[[Check Equiparado]:[Check Equiparado]]="Sí",IF(DATOS!AF$5="Sí",(1/DATOS_[[% anualiz]:[% anualiz]]),1)*IF(DATOS!AF$4="Sí",1/DATOS_[[% normaliz]:[% normaliz]],1)*(DATOS_[Conc.Sal.02])))))))),
0)</f>
        <v>0</v>
      </c>
      <c r="L59" s="196">
        <f t="array" ref="L59">IFERROR(
(AVERAGE((IF(DATOS_[[Sexo]:[Sexo]]=$B59,IF(DATOS_[[AGRUP. CLAS. PROF.]:[AGRUP. CLAS. PROF.]]=$B57,IF(DATOS_[[Check Periodo Ref.]:[Check Periodo Ref.]]="Dentro",IF(DATOS_[[Check Equiparado]:[Check Equiparado]]="Sí",IF(DATOS!AG$5="Sí",(1/DATOS_[[% anualiz]:[% anualiz]]),1)*IF(DATOS!AG$4="Sí",1/DATOS_[[% normaliz]:[% normaliz]],1)*(DATOS_[Conc.Sal.03])))))))),
0)</f>
        <v>0</v>
      </c>
      <c r="M59" s="196">
        <f t="array" ref="M59">IFERROR(
(AVERAGE((IF(DATOS_[[Sexo]:[Sexo]]=$B59,IF(DATOS_[[AGRUP. CLAS. PROF.]:[AGRUP. CLAS. PROF.]]=$B57,IF(DATOS_[[Check Periodo Ref.]:[Check Periodo Ref.]]="Dentro",IF(DATOS_[[Check Equiparado]:[Check Equiparado]]="Sí",IF(DATOS!AH$5="Sí",(1/DATOS_[[% anualiz]:[% anualiz]]),1)*IF(DATOS!AH$4="Sí",1/DATOS_[[% normaliz]:[% normaliz]],1)*(DATOS_[Conc.Sal.04])))))))),
0)</f>
        <v>0</v>
      </c>
      <c r="N59" s="196">
        <f t="array" ref="N59">IFERROR(
(AVERAGE((IF(DATOS_[[Sexo]:[Sexo]]=$B59,IF(DATOS_[[AGRUP. CLAS. PROF.]:[AGRUP. CLAS. PROF.]]=$B57,IF(DATOS_[[Check Periodo Ref.]:[Check Periodo Ref.]]="Dentro",IF(DATOS_[[Check Equiparado]:[Check Equiparado]]="Sí",IF(DATOS!AI$5="Sí",(1/DATOS_[[% anualiz]:[% anualiz]]),1)*IF(DATOS!AI$4="Sí",1/DATOS_[[% normaliz]:[% normaliz]],1)*(DATOS_[Conc.Sal.05])))))))),
0)</f>
        <v>0</v>
      </c>
      <c r="O59" s="196">
        <f t="array" ref="O59">IFERROR(
(AVERAGE((IF(DATOS_[[Sexo]:[Sexo]]=$B59,IF(DATOS_[[AGRUP. CLAS. PROF.]:[AGRUP. CLAS. PROF.]]=$B57,IF(DATOS_[[Check Periodo Ref.]:[Check Periodo Ref.]]="Dentro",IF(DATOS_[[Check Equiparado]:[Check Equiparado]]="Sí",IF(DATOS!AJ$5="Sí",(1/DATOS_[[% anualiz]:[% anualiz]]),1)*IF(DATOS!AJ$4="Sí",1/DATOS_[[% normaliz]:[% normaliz]],1)*(DATOS_[Conc.Sal.06])))))))),
0)</f>
        <v>0</v>
      </c>
      <c r="P59" s="196">
        <f t="array" ref="P59">IFERROR(
(AVERAGE((IF(DATOS_[[Sexo]:[Sexo]]=$B59,IF(DATOS_[[AGRUP. CLAS. PROF.]:[AGRUP. CLAS. PROF.]]=$B57,IF(DATOS_[[Check Periodo Ref.]:[Check Periodo Ref.]]="Dentro",IF(DATOS_[[Check Equiparado]:[Check Equiparado]]="Sí",IF(DATOS!AK$5="Sí",(1/DATOS_[[% anualiz]:[% anualiz]]),1)*IF(DATOS!AK$4="Sí",1/DATOS_[[% normaliz]:[% normaliz]],1)*(DATOS_[Conc.Sal.07])))))))),
0)</f>
        <v>0</v>
      </c>
      <c r="Q59" s="196">
        <f t="array" ref="Q59">IFERROR(
(AVERAGE((IF(DATOS_[[Sexo]:[Sexo]]=$B59,IF(DATOS_[[AGRUP. CLAS. PROF.]:[AGRUP. CLAS. PROF.]]=$B57,IF(DATOS_[[Check Periodo Ref.]:[Check Periodo Ref.]]="Dentro",IF(DATOS_[[Check Equiparado]:[Check Equiparado]]="Sí",IF(DATOS!AL$5="Sí",(1/DATOS_[[% anualiz]:[% anualiz]]),1)*IF(DATOS!AL$4="Sí",1/DATOS_[[% normaliz]:[% normaliz]],1)*(DATOS_[Conc.Sal.08])))))))),
0)</f>
        <v>0</v>
      </c>
      <c r="R59" s="196">
        <f t="array" ref="R59">IFERROR(
(AVERAGE((IF(DATOS_[[Sexo]:[Sexo]]=$B59,IF(DATOS_[[AGRUP. CLAS. PROF.]:[AGRUP. CLAS. PROF.]]=$B57,IF(DATOS_[[Check Periodo Ref.]:[Check Periodo Ref.]]="Dentro",IF(DATOS_[[Check Equiparado]:[Check Equiparado]]="Sí",IF(DATOS!AM$5="Sí",(1/DATOS_[[% anualiz]:[% anualiz]]),1)*IF(DATOS!AM$4="Sí",1/DATOS_[[% normaliz]:[% normaliz]],1)*(DATOS_[Conc.Sal.09])))))))),
0)</f>
        <v>0</v>
      </c>
      <c r="S59" s="196">
        <f t="array" ref="S59">IFERROR(
(AVERAGE((IF(DATOS_[[Sexo]:[Sexo]]=$B59,IF(DATOS_[[AGRUP. CLAS. PROF.]:[AGRUP. CLAS. PROF.]]=$B57,IF(DATOS_[[Check Periodo Ref.]:[Check Periodo Ref.]]="Dentro",IF(DATOS_[[Check Equiparado]:[Check Equiparado]]="Sí",IF(DATOS!AN$5="Sí",(1/DATOS_[[% anualiz]:[% anualiz]]),1)*IF(DATOS!AN$4="Sí",1/DATOS_[[% normaliz]:[% normaliz]],1)*(DATOS_[Conc.Sal.10])))))))),
0)</f>
        <v>0</v>
      </c>
      <c r="T59" s="196">
        <f t="array" ref="T59">IFERROR(
(AVERAGE((IF(DATOS_[[Sexo]:[Sexo]]=$B59,IF(DATOS_[[AGRUP. CLAS. PROF.]:[AGRUP. CLAS. PROF.]]=$B57,IF(DATOS_[[Check Periodo Ref.]:[Check Periodo Ref.]]="Dentro",IF(DATOS_[[Check Equiparado]:[Check Equiparado]]="Sí",IF(DATOS!AO$5="Sí",(1/DATOS_[[% anualiz]:[% anualiz]]),1)*IF(DATOS!AO$4="Sí",1/DATOS_[[% normaliz]:[% normaliz]],1)*(DATOS_[Conc.Sal.11])))))))),
0)</f>
        <v>0</v>
      </c>
      <c r="U59" s="196">
        <f t="array" ref="U59">IFERROR(
(AVERAGE((IF(DATOS_[[Sexo]:[Sexo]]=$B59,IF(DATOS_[[AGRUP. CLAS. PROF.]:[AGRUP. CLAS. PROF.]]=$B57,IF(DATOS_[[Check Periodo Ref.]:[Check Periodo Ref.]]="Dentro",IF(DATOS_[[Check Equiparado]:[Check Equiparado]]="Sí",IF(DATOS!AP$5="Sí",(1/DATOS_[[% anualiz]:[% anualiz]]),1)*IF(DATOS!AP$4="Sí",1/DATOS_[[% normaliz]:[% normaliz]],1)*(DATOS_[Conc.Sal.12])))))))),
0)</f>
        <v>0</v>
      </c>
      <c r="V59" s="196">
        <f t="array" ref="V59">IFERROR(
(AVERAGE((IF(DATOS_[[Sexo]:[Sexo]]=$B59,IF(DATOS_[[AGRUP. CLAS. PROF.]:[AGRUP. CLAS. PROF.]]=$B57,IF(DATOS_[[Check Periodo Ref.]:[Check Periodo Ref.]]="Dentro",IF(DATOS_[[Check Equiparado]:[Check Equiparado]]="Sí",IF(DATOS!AQ$5="Sí",(1/DATOS_[[% anualiz]:[% anualiz]]),1)*IF(DATOS!AQ$4="Sí",1/DATOS_[[% normaliz]:[% normaliz]],1)*(DATOS_[Conc.Sal.13])))))))),
0)</f>
        <v>0</v>
      </c>
      <c r="W59" s="196">
        <f t="array" ref="W59">IFERROR(
(AVERAGE((IF(DATOS_[[Sexo]:[Sexo]]=$B59,IF(DATOS_[[AGRUP. CLAS. PROF.]:[AGRUP. CLAS. PROF.]]=$B57,IF(DATOS_[[Check Periodo Ref.]:[Check Periodo Ref.]]="Dentro",IF(DATOS_[[Check Equiparado]:[Check Equiparado]]="Sí",IF(DATOS!AR$5="Sí",(1/DATOS_[[% anualiz]:[% anualiz]]),1)*IF(DATOS!AR$4="Sí",1/DATOS_[[% normaliz]:[% normaliz]],1)*(DATOS_[Conc.Sal.14])))))))),
0)</f>
        <v>0</v>
      </c>
      <c r="X59" s="196">
        <f t="array" ref="X59">IFERROR(
(AVERAGE((IF(DATOS_[[Sexo]:[Sexo]]=$B59,IF(DATOS_[[AGRUP. CLAS. PROF.]:[AGRUP. CLAS. PROF.]]=$B57,IF(DATOS_[[Check Periodo Ref.]:[Check Periodo Ref.]]="Dentro",IF(DATOS_[[Check Equiparado]:[Check Equiparado]]="Sí",IF(DATOS!AS$5="Sí",(1/DATOS_[[% anualiz]:[% anualiz]]),1)*IF(DATOS!AS$4="Sí",1/DATOS_[[% normaliz]:[% normaliz]],1)*(DATOS_[Conc.Sal.15])))))))),
0)</f>
        <v>0</v>
      </c>
      <c r="Y59" s="196">
        <f t="array" ref="Y59">IFERROR(
(AVERAGE((IF(DATOS_[[Sexo]:[Sexo]]=$B59,IF(DATOS_[[AGRUP. CLAS. PROF.]:[AGRUP. CLAS. PROF.]]=$B57,IF(DATOS_[[Check Periodo Ref.]:[Check Periodo Ref.]]="Dentro",IF(DATOS_[[Check Equiparado]:[Check Equiparado]]="Sí",IF(DATOS!AT$5="Sí",(1/DATOS_[[% anualiz]:[% anualiz]]),1)*IF(DATOS!AT$4="Sí",1/DATOS_[[% normaliz]:[% normaliz]],1)*(DATOS_[Conc.Sal.16])))))))),
0)</f>
        <v>0</v>
      </c>
      <c r="Z59" s="196">
        <f t="array" ref="Z59">IFERROR(
(AVERAGE((IF(DATOS_[[Sexo]:[Sexo]]=$B59,IF(DATOS_[[AGRUP. CLAS. PROF.]:[AGRUP. CLAS. PROF.]]=$B57,IF(DATOS_[[Check Periodo Ref.]:[Check Periodo Ref.]]="Dentro",IF(DATOS_[[Check Equiparado]:[Check Equiparado]]="Sí",IF(DATOS!AU$5="Sí",(1/DATOS_[[% anualiz]:[% anualiz]]),1)*IF(DATOS!AU$4="Sí",1/DATOS_[[% normaliz]:[% normaliz]],1)*(DATOS_[Conc.Sal.17])))))))),
0)</f>
        <v>0</v>
      </c>
      <c r="AA59" s="196">
        <f t="array" ref="AA59">IFERROR(
(AVERAGE((IF(DATOS_[[Sexo]:[Sexo]]=$B59,IF(DATOS_[[AGRUP. CLAS. PROF.]:[AGRUP. CLAS. PROF.]]=$B57,IF(DATOS_[[Check Periodo Ref.]:[Check Periodo Ref.]]="Dentro",IF(DATOS_[[Check Equiparado]:[Check Equiparado]]="Sí",IF(DATOS!AV$5="Sí",(1/DATOS_[[% anualiz]:[% anualiz]]),1)*IF(DATOS!AV$4="Sí",1/DATOS_[[% normaliz]:[% normaliz]],1)*(DATOS_[Conc.Sal.18])))))))),
0)</f>
        <v>0</v>
      </c>
      <c r="AB59" s="196">
        <f t="array" ref="AB59">IFERROR(
(AVERAGE((IF(DATOS_[[Sexo]:[Sexo]]=$B59,IF(DATOS_[[AGRUP. CLAS. PROF.]:[AGRUP. CLAS. PROF.]]=$B57,IF(DATOS_[[Check Periodo Ref.]:[Check Periodo Ref.]]="Dentro",IF(DATOS_[[Check Equiparado]:[Check Equiparado]]="Sí",IF(DATOS!AW$5="Sí",(1/DATOS_[[% anualiz]:[% anualiz]]),1)*IF(DATOS!AW$4="Sí",1/DATOS_[[% normaliz]:[% normaliz]],1)*(DATOS_[Conc.Sal.19])))))))),
0)</f>
        <v>0</v>
      </c>
      <c r="AC59" s="196">
        <f t="array" ref="AC59">IFERROR(
(AVERAGE((IF(DATOS_[[Sexo]:[Sexo]]=$B59,IF(DATOS_[[AGRUP. CLAS. PROF.]:[AGRUP. CLAS. PROF.]]=$B57,IF(DATOS_[[Check Periodo Ref.]:[Check Periodo Ref.]]="Dentro",IF(DATOS_[[Check Equiparado]:[Check Equiparado]]="Sí",IF(DATOS!AX$5="Sí",(1/DATOS_[[% anualiz]:[% anualiz]]),1)*IF(DATOS!AX$4="Sí",1/DATOS_[[% normaliz]:[% normaliz]],1)*(DATOS_[Conc.Sal.20])))))))),
0)</f>
        <v>0</v>
      </c>
      <c r="AD59" s="196">
        <f t="array" ref="AD59">IFERROR(
(AVERAGE((IF(DATOS_[[Sexo]:[Sexo]]=$B59,IF(DATOS_[[AGRUP. CLAS. PROF.]:[AGRUP. CLAS. PROF.]]=$B57,IF(DATOS_[[Check Periodo Ref.]:[Check Periodo Ref.]]="Dentro",IF(DATOS_[[Check Equiparado]:[Check Equiparado]]="Sí",IF(DATOS!AY$5="Sí",(1/DATOS_[[% anualiz]:[% anualiz]]),1)*IF(DATOS!AY$4="Sí",1/DATOS_[[% normaliz]:[% normaliz]],1)*(DATOS_[Conc.Sal.21])))))))),
0)</f>
        <v>0</v>
      </c>
      <c r="AE59" s="196">
        <f t="array" ref="AE59">IFERROR(
(AVERAGE((IF(DATOS_[[Sexo]:[Sexo]]=$B59,IF(DATOS_[[AGRUP. CLAS. PROF.]:[AGRUP. CLAS. PROF.]]=$B57,IF(DATOS_[[Check Periodo Ref.]:[Check Periodo Ref.]]="Dentro",IF(DATOS_[[Check Equiparado]:[Check Equiparado]]="Sí",IF(DATOS!AZ$5="Sí",(1/DATOS_[[% anualiz]:[% anualiz]]),1)*IF(DATOS!AZ$4="Sí",1/DATOS_[[% normaliz]:[% normaliz]],1)*(DATOS_[Conc.Sal.22])))))))),
0)</f>
        <v>0</v>
      </c>
      <c r="AF59" s="196">
        <f t="array" ref="AF59">IFERROR(
(AVERAGE((IF(DATOS_[[Sexo]:[Sexo]]=$B59,IF(DATOS_[[AGRUP. CLAS. PROF.]:[AGRUP. CLAS. PROF.]]=$B57,IF(DATOS_[[Check Periodo Ref.]:[Check Periodo Ref.]]="Dentro",IF(DATOS_[[Check Equiparado]:[Check Equiparado]]="Sí",IF(DATOS!BA$5="Sí",(1/DATOS_[[% anualiz]:[% anualiz]]),1)*IF(DATOS!BA$4="Sí",1/DATOS_[[% normaliz]:[% normaliz]],1)*(DATOS_[Conc.Sal.23])))))))),
0)</f>
        <v>0</v>
      </c>
      <c r="AG59" s="196">
        <f t="array" ref="AG59">IFERROR(
(AVERAGE((IF(DATOS_[[Sexo]:[Sexo]]=$B59,IF(DATOS_[[AGRUP. CLAS. PROF.]:[AGRUP. CLAS. PROF.]]=$B57,IF(DATOS_[[Check Periodo Ref.]:[Check Periodo Ref.]]="Dentro",IF(DATOS_[[Check Equiparado]:[Check Equiparado]]="Sí",IF(DATOS!BB$5="Sí",(1/DATOS_[[% anualiz]:[% anualiz]]),1)*IF(DATOS!BB$4="Sí",1/DATOS_[[% normaliz]:[% normaliz]],1)*(DATOS_[Conc.Sal.24])))))))),
0)</f>
        <v>0</v>
      </c>
      <c r="AH59" s="196">
        <f t="array" ref="AH59">IFERROR(
(AVERAGE((IF(DATOS_[[Sexo]:[Sexo]]=$B59,IF(DATOS_[[AGRUP. CLAS. PROF.]:[AGRUP. CLAS. PROF.]]=$B57,IF(DATOS_[[Check Periodo Ref.]:[Check Periodo Ref.]]="Dentro",IF(DATOS_[[Check Equiparado]:[Check Equiparado]]="Sí",IF(DATOS!BC$5="Sí",(1/DATOS_[[% anualiz]:[% anualiz]]),1)*IF(DATOS!BC$4="Sí",1/DATOS_[[% normaliz]:[% normaliz]],1)*(DATOS_[Conc.Sal.25])))))))),
0)</f>
        <v>0</v>
      </c>
      <c r="AI59" s="196">
        <f t="array" ref="AI59">IFERROR(
(AVERAGE((IF(DATOS_[[Sexo]:[Sexo]]=$B59,IF(DATOS_[[AGRUP. CLAS. PROF.]:[AGRUP. CLAS. PROF.]]=$B57,IF(DATOS_[[Check Periodo Ref.]:[Check Periodo Ref.]]="Dentro",IF(DATOS_[[Check Equiparado]:[Check Equiparado]]="Sí",IF(DATOS!BD$5="Sí",(1/DATOS_[[% anualiz]:[% anualiz]]),1)*IF(DATOS!BD$4="Sí",1/DATOS_[[% normaliz]:[% normaliz]],1)*(DATOS_[Conc.Sal.26])))))))),
0)</f>
        <v>0</v>
      </c>
      <c r="AJ59" s="196">
        <f t="array" ref="AJ59">IFERROR(
(AVERAGE((IF(DATOS_[[Sexo]:[Sexo]]=$B59,IF(DATOS_[[AGRUP. CLAS. PROF.]:[AGRUP. CLAS. PROF.]]=$B57,IF(DATOS_[[Check Periodo Ref.]:[Check Periodo Ref.]]="Dentro",IF(DATOS_[[Check Equiparado]:[Check Equiparado]]="Sí",IF(DATOS!BE$5="Sí",(1/DATOS_[[% anualiz]:[% anualiz]]),1)*IF(DATOS!BE$4="Sí",1/DATOS_[[% normaliz]:[% normaliz]],1)*(DATOS_[Conc.Sal.27])))))))),
0)</f>
        <v>0</v>
      </c>
      <c r="AK59" s="196">
        <f t="array" ref="AK59">IFERROR(
(AVERAGE((IF(DATOS_[[Sexo]:[Sexo]]=$B59,IF(DATOS_[[AGRUP. CLAS. PROF.]:[AGRUP. CLAS. PROF.]]=$B57,IF(DATOS_[[Check Periodo Ref.]:[Check Periodo Ref.]]="Dentro",IF(DATOS_[[Check Equiparado]:[Check Equiparado]]="Sí",IF(DATOS!BF$5="Sí",(1/DATOS_[[% anualiz]:[% anualiz]]),1)*IF(DATOS!BF$4="Sí",1/DATOS_[[% normaliz]:[% normaliz]],1)*(DATOS_[Conc.Sal.28])))))))),
0)</f>
        <v>0</v>
      </c>
      <c r="AL59" s="196">
        <f t="array" ref="AL59">IFERROR(
(AVERAGE((IF(DATOS_[[Sexo]:[Sexo]]=$B59,IF(DATOS_[[AGRUP. CLAS. PROF.]:[AGRUP. CLAS. PROF.]]=$B57,IF(DATOS_[[Check Periodo Ref.]:[Check Periodo Ref.]]="Dentro",IF(DATOS_[[Check Equiparado]:[Check Equiparado]]="Sí",IF(DATOS!BG$5="Sí",(1/DATOS_[[% anualiz]:[% anualiz]]),1)*IF(DATOS!BG$4="Sí",1/DATOS_[[% normaliz]:[% normaliz]],1)*(DATOS_[Conc.Sal.29])))))))),
0)</f>
        <v>0</v>
      </c>
      <c r="AM59" s="196">
        <f t="array" ref="AM59">IFERROR(
(AVERAGE((IF(DATOS_[[Sexo]:[Sexo]]=$B59,IF(DATOS_[[AGRUP. CLAS. PROF.]:[AGRUP. CLAS. PROF.]]=$B57,IF(DATOS_[[Check Periodo Ref.]:[Check Periodo Ref.]]="Dentro",IF(DATOS_[[Check Equiparado]:[Check Equiparado]]="Sí",IF(DATOS!BH$5="Sí",(1/DATOS_[[% anualiz]:[% anualiz]]),1)*IF(DATOS!BH$4="Sí",1/DATOS_[[% normaliz]:[% normaliz]],1)*(DATOS_[Conc.Sal.30])))))))),
0)</f>
        <v>0</v>
      </c>
      <c r="AN59" s="195">
        <f t="array" ref="AN59">IFERROR(
AVERAGE(IF(DATOS_[Sexo]=$B59,IF(DATOS_[[AGRUP. CLAS. PROF.]:[AGRUP. CLAS. PROF.]]=$B57,IF(DATOS_[Check Equiparado]="Sí",IF(DATOS_[Check Periodo Ref.]="Dentro",DATOS_[Tot COMPL.SAL Eq],FALSE))))),
0)</f>
        <v>0</v>
      </c>
      <c r="AO59" s="172">
        <f t="array" ref="AO59">IFERROR(
AVERAGE(IF(DATOS_[Sexo]=$B59,IF(DATOS_[[AGRUP. CLAS. PROF.]:[AGRUP. CLAS. PROF.]]=$B57,IF(DATOS_[Check Equiparado]="Sí",IF(DATOS_[Check Periodo Ref.]="Dentro",DATOS_[TOTAL SALARIO Eq],FALSE))))),
0)</f>
        <v>0</v>
      </c>
      <c r="AP59" s="173">
        <f t="array" ref="AP59">IFERROR(
(AVERAGE((IF(DATOS_[[Sexo]:[Sexo]]=$B59,IF(DATOS_[[AGRUP. CLAS. PROF.]:[AGRUP. CLAS. PROF.]]=$B57,IF(DATOS_[[Check Periodo Ref.]:[Check Periodo Ref.]]="Dentro",IF(DATOS_[[Check Equiparado]:[Check Equiparado]]="Sí",IF(DATOS!BW$5="Sí",(1/DATOS_[[% anualiz]:[% anualiz]]),1)*IF(DATOS!BW$4="Sí",1/DATOS_[[% normaliz]:[% normaliz]],1)*(DATOS_[C.Extra.01])))))))),
0)</f>
        <v>0</v>
      </c>
      <c r="AQ59" s="173">
        <f t="array" ref="AQ59">IFERROR(
(AVERAGE((IF(DATOS_[[Sexo]:[Sexo]]=$B59,IF(DATOS_[[AGRUP. CLAS. PROF.]:[AGRUP. CLAS. PROF.]]=$B57,IF(DATOS_[[Check Periodo Ref.]:[Check Periodo Ref.]]="Dentro",IF(DATOS_[[Check Equiparado]:[Check Equiparado]]="Sí",IF(DATOS!CB$5="Sí",(1/DATOS_[[% anualiz]:[% anualiz]]),1)*IF(DATOS!CB$4="Sí",1/DATOS_[[% normaliz]:[% normaliz]],1)*(DATOS_[C.Extra.06])))))))),
0)</f>
        <v>0</v>
      </c>
      <c r="AR59" s="173">
        <f t="array" ref="AR59">IFERROR(
(AVERAGE((IF(DATOS_[[Sexo]:[Sexo]]=$B59,IF(DATOS_[[AGRUP. CLAS. PROF.]:[AGRUP. CLAS. PROF.]]=$B57,IF(DATOS_[[Check Periodo Ref.]:[Check Periodo Ref.]]="Dentro",IF(DATOS_[[Check Equiparado]:[Check Equiparado]]="Sí",IF(DATOS!CC$5="Sí",(1/DATOS_[[% anualiz]:[% anualiz]]),1)*IF(DATOS!CC$4="Sí",1/DATOS_[[% normaliz]:[% normaliz]],1)*(DATOS_[C.Extra.07])))))))),
0)</f>
        <v>0</v>
      </c>
      <c r="AS59" s="173">
        <f t="array" ref="AS59">IFERROR(
(AVERAGE((IF(DATOS_[[Sexo]:[Sexo]]=$B59,IF(DATOS_[[AGRUP. CLAS. PROF.]:[AGRUP. CLAS. PROF.]]=$B57,IF(DATOS_[[Check Periodo Ref.]:[Check Periodo Ref.]]="Dentro",IF(DATOS_[[Check Equiparado]:[Check Equiparado]]="Sí",IF(DATOS!CD$5="Sí",(1/DATOS_[[% anualiz]:[% anualiz]]),1)*IF(DATOS!CD$4="Sí",1/DATOS_[[% normaliz]:[% normaliz]],1)*(DATOS_[C.Extra.08])))))))),
0)</f>
        <v>0</v>
      </c>
      <c r="AT59" s="173">
        <f t="array" ref="AT59">IFERROR(
(AVERAGE((IF(DATOS_[[Sexo]:[Sexo]]=$B59,IF(DATOS_[[AGRUP. CLAS. PROF.]:[AGRUP. CLAS. PROF.]]=$B57,IF(DATOS_[[Check Periodo Ref.]:[Check Periodo Ref.]]="Dentro",IF(DATOS_[[Check Equiparado]:[Check Equiparado]]="Sí",IF(DATOS!CG$5="Sí",(1/DATOS_[[% anualiz]:[% anualiz]]),1)*IF(DATOS!CG$4="Sí",1/DATOS_[[% normaliz]:[% normaliz]],1)*(DATOS_[C.Extra.11])))))))),
0)</f>
        <v>0</v>
      </c>
      <c r="AU59" s="197">
        <f t="array" ref="AU59">IFERROR(
AVERAGE(IF(DATOS_[Sexo]=$B59,IF(DATOS_[[AGRUP. CLAS. PROF.]:[AGRUP. CLAS. PROF.]]=$B57,IF(DATOS_[Check Equiparado]="Sí",IF(DATOS_[Check Periodo Ref.]="Dentro",DATOS_[Tot Extrasalarial Eq],FALSE))))),
0)</f>
        <v>0</v>
      </c>
      <c r="AV59" s="175">
        <f t="array" ref="AV59">IFERROR(
AVERAGE(IF(DATOS_[Sexo]=$B59,IF(DATOS_[[AGRUP. CLAS. PROF.]:[AGRUP. CLAS. PROF.]]=$B57,IF(DATOS_[Check Equiparado]="Sí",IF(DATOS_[Check Periodo Ref.]="Dentro",DATOS_[TOTAL Retrib Eq],FALSE))))),
0)</f>
        <v>0</v>
      </c>
    </row>
    <row r="60" spans="1:48" ht="15.6" hidden="1" thickBot="1" x14ac:dyDescent="0.3">
      <c r="A60" s="133" t="str">
        <f t="shared" ref="A60" si="63">+A61</f>
        <v>[ocultar]</v>
      </c>
      <c r="B60" s="199" t="s">
        <v>238</v>
      </c>
      <c r="C60" s="200"/>
      <c r="D60" s="201"/>
      <c r="E60" s="201"/>
      <c r="F60" s="201"/>
      <c r="G60" s="201"/>
      <c r="H60" s="201"/>
      <c r="I60" s="189" t="str">
        <f t="shared" ref="I60:AV60" si="64">IFERROR((I61-I62)/I61,"")</f>
        <v/>
      </c>
      <c r="J60" s="190" t="str">
        <f t="shared" si="64"/>
        <v/>
      </c>
      <c r="K60" s="191" t="str">
        <f t="shared" si="64"/>
        <v/>
      </c>
      <c r="L60" s="191" t="str">
        <f t="shared" si="64"/>
        <v/>
      </c>
      <c r="M60" s="191" t="str">
        <f t="shared" si="64"/>
        <v/>
      </c>
      <c r="N60" s="192" t="str">
        <f t="shared" si="64"/>
        <v/>
      </c>
      <c r="O60" s="193" t="str">
        <f t="shared" si="64"/>
        <v/>
      </c>
      <c r="P60" s="193" t="str">
        <f t="shared" si="64"/>
        <v/>
      </c>
      <c r="Q60" s="193" t="str">
        <f t="shared" si="64"/>
        <v/>
      </c>
      <c r="R60" s="193" t="str">
        <f t="shared" si="64"/>
        <v/>
      </c>
      <c r="S60" s="193" t="str">
        <f t="shared" si="64"/>
        <v/>
      </c>
      <c r="T60" s="193" t="str">
        <f t="shared" si="64"/>
        <v/>
      </c>
      <c r="U60" s="193" t="str">
        <f t="shared" si="64"/>
        <v/>
      </c>
      <c r="V60" s="193" t="str">
        <f t="shared" si="64"/>
        <v/>
      </c>
      <c r="W60" s="193" t="str">
        <f t="shared" si="64"/>
        <v/>
      </c>
      <c r="X60" s="193" t="str">
        <f t="shared" si="64"/>
        <v/>
      </c>
      <c r="Y60" s="193" t="str">
        <f t="shared" si="64"/>
        <v/>
      </c>
      <c r="Z60" s="193" t="str">
        <f t="shared" si="64"/>
        <v/>
      </c>
      <c r="AA60" s="193" t="str">
        <f t="shared" si="64"/>
        <v/>
      </c>
      <c r="AB60" s="193" t="str">
        <f t="shared" si="64"/>
        <v/>
      </c>
      <c r="AC60" s="193" t="str">
        <f t="shared" si="64"/>
        <v/>
      </c>
      <c r="AD60" s="193" t="str">
        <f t="shared" si="64"/>
        <v/>
      </c>
      <c r="AE60" s="193" t="str">
        <f t="shared" si="64"/>
        <v/>
      </c>
      <c r="AF60" s="193" t="str">
        <f t="shared" si="64"/>
        <v/>
      </c>
      <c r="AG60" s="193" t="str">
        <f t="shared" si="64"/>
        <v/>
      </c>
      <c r="AH60" s="193" t="str">
        <f t="shared" si="64"/>
        <v/>
      </c>
      <c r="AI60" s="193" t="str">
        <f t="shared" si="64"/>
        <v/>
      </c>
      <c r="AJ60" s="193" t="str">
        <f t="shared" si="64"/>
        <v/>
      </c>
      <c r="AK60" s="193" t="str">
        <f t="shared" si="64"/>
        <v/>
      </c>
      <c r="AL60" s="193" t="str">
        <f t="shared" si="64"/>
        <v/>
      </c>
      <c r="AM60" s="193" t="str">
        <f t="shared" si="64"/>
        <v/>
      </c>
      <c r="AN60" s="189" t="str">
        <f t="shared" si="64"/>
        <v/>
      </c>
      <c r="AO60" s="162" t="str">
        <f t="shared" si="64"/>
        <v/>
      </c>
      <c r="AP60" s="163" t="str">
        <f t="shared" si="64"/>
        <v/>
      </c>
      <c r="AQ60" s="163" t="str">
        <f t="shared" si="64"/>
        <v/>
      </c>
      <c r="AR60" s="163" t="str">
        <f t="shared" si="64"/>
        <v/>
      </c>
      <c r="AS60" s="163" t="str">
        <f t="shared" si="64"/>
        <v/>
      </c>
      <c r="AT60" s="163" t="str">
        <f t="shared" si="64"/>
        <v/>
      </c>
      <c r="AU60" s="194" t="str">
        <f t="shared" si="64"/>
        <v/>
      </c>
      <c r="AV60" s="165" t="str">
        <f t="shared" si="64"/>
        <v/>
      </c>
    </row>
    <row r="61" spans="1:48" hidden="1" x14ac:dyDescent="0.25">
      <c r="A61" s="133" t="str">
        <f t="shared" ref="A61" si="65">+IF(C61+C62=0,"[ocultar]","")</f>
        <v>[ocultar]</v>
      </c>
      <c r="B61" s="202" t="s">
        <v>394</v>
      </c>
      <c r="C61" s="203">
        <f t="array" ref="C61">SUM(IF($B61=DATOS_[Sexo],
IF($B60=DATOS_[AGRUP. CLAS. PROF.],
IF("Dentro"=DATOS_[Check Periodo Ref.],
1/(COUNTIFS(DATOS_[Sexo],$B61,DATOS_[AGRUP. CLAS. PROF.],$B60,DATOS_[Check Periodo Ref.],"Dentro",DATOS_[id/cod],DATOS_[id/cod]))))))</f>
        <v>0</v>
      </c>
      <c r="D61" s="204">
        <f>COUNTIFS(DATOS_[AGRUP. CLAS. PROF.],$B60,DATOS_[Sexo],$B61,DATOS_[Check Periodo Ref.],"Dentro")</f>
        <v>0</v>
      </c>
      <c r="E61" s="204">
        <f>COUNTIFS(DATOS_[AGRUP. CLAS. PROF.],$B60,DATOS_[Sexo],$B61,DATOS_[Check Periodo Ref.],"Dentro",DATOS_[Check Nº SC Norm],"Sí")</f>
        <v>0</v>
      </c>
      <c r="F61" s="204">
        <f>COUNTIFS(DATOS_[AGRUP. CLAS. PROF.],$B60,DATOS_[Sexo],$B61,DATOS_[Check Periodo Ref.],"Dentro",DATOS_[Check Nº SC Anualiz],"Sí")</f>
        <v>0</v>
      </c>
      <c r="G61" s="204">
        <f>COUNTIFS(DATOS_[AGRUP. CLAS. PROF.],$B60,DATOS_[Sexo],$B61,DATOS_[Check Periodo Ref.],"Dentro",DATOS_[Check Nº SC Norm y Anualiz],"Sí")</f>
        <v>0</v>
      </c>
      <c r="H61" s="204">
        <f>COUNTIFS(DATOS_[AGRUP. CLAS. PROF.],$B60,DATOS_[Sexo],$B61,DATOS_[Check Periodo Ref.],"Dentro",DATOS_[Check Equiparación],"Sí")</f>
        <v>0</v>
      </c>
      <c r="I61" s="195">
        <f t="array" ref="I61">IFERROR(
AVERAGE(IF(DATOS_[Sexo]=$B61,IF(DATOS_[[AGRUP. CLAS. PROF.]:[AGRUP. CLAS. PROF.]]=$B60,IF(DATOS_[Check Equiparado]="Sí",IF(DATOS_[Check Periodo Ref.]="Dentro",DATOS_[SALARIO BASE Eq],FALSE))))),
0)</f>
        <v>0</v>
      </c>
      <c r="J61" s="196">
        <f t="array" ref="J61">IFERROR(
(AVERAGE((IF(DATOS_[[Sexo]:[Sexo]]=$B61,IF(DATOS_[[AGRUP. CLAS. PROF.]:[AGRUP. CLAS. PROF.]]=$B60,IF(DATOS_[[Check Periodo Ref.]:[Check Periodo Ref.]]="Dentro",IF(DATOS_[[Check Equiparado]:[Check Equiparado]]="Sí",IF(DATOS!AE$5="Sí",(1/DATOS_[[% anualiz]:[% anualiz]]),1)*IF(DATOS!AE$4="Sí",1/DATOS_[[% normaliz]:[% normaliz]],1)*(DATOS_[Conc.Sal.01])))))))),
0)</f>
        <v>0</v>
      </c>
      <c r="K61" s="196">
        <f t="array" ref="K61">IFERROR(
(AVERAGE((IF(DATOS_[[Sexo]:[Sexo]]=$B61,IF(DATOS_[[AGRUP. CLAS. PROF.]:[AGRUP. CLAS. PROF.]]=$B60,IF(DATOS_[[Check Periodo Ref.]:[Check Periodo Ref.]]="Dentro",IF(DATOS_[[Check Equiparado]:[Check Equiparado]]="Sí",IF(DATOS!AF$5="Sí",(1/DATOS_[[% anualiz]:[% anualiz]]),1)*IF(DATOS!AF$4="Sí",1/DATOS_[[% normaliz]:[% normaliz]],1)*(DATOS_[Conc.Sal.02])))))))),
0)</f>
        <v>0</v>
      </c>
      <c r="L61" s="196">
        <f t="array" ref="L61">IFERROR(
(AVERAGE((IF(DATOS_[[Sexo]:[Sexo]]=$B61,IF(DATOS_[[AGRUP. CLAS. PROF.]:[AGRUP. CLAS. PROF.]]=$B60,IF(DATOS_[[Check Periodo Ref.]:[Check Periodo Ref.]]="Dentro",IF(DATOS_[[Check Equiparado]:[Check Equiparado]]="Sí",IF(DATOS!AG$5="Sí",(1/DATOS_[[% anualiz]:[% anualiz]]),1)*IF(DATOS!AG$4="Sí",1/DATOS_[[% normaliz]:[% normaliz]],1)*(DATOS_[Conc.Sal.03])))))))),
0)</f>
        <v>0</v>
      </c>
      <c r="M61" s="196">
        <f t="array" ref="M61">IFERROR(
(AVERAGE((IF(DATOS_[[Sexo]:[Sexo]]=$B61,IF(DATOS_[[AGRUP. CLAS. PROF.]:[AGRUP. CLAS. PROF.]]=$B60,IF(DATOS_[[Check Periodo Ref.]:[Check Periodo Ref.]]="Dentro",IF(DATOS_[[Check Equiparado]:[Check Equiparado]]="Sí",IF(DATOS!AH$5="Sí",(1/DATOS_[[% anualiz]:[% anualiz]]),1)*IF(DATOS!AH$4="Sí",1/DATOS_[[% normaliz]:[% normaliz]],1)*(DATOS_[Conc.Sal.04])))))))),
0)</f>
        <v>0</v>
      </c>
      <c r="N61" s="196">
        <f t="array" ref="N61">IFERROR(
(AVERAGE((IF(DATOS_[[Sexo]:[Sexo]]=$B61,IF(DATOS_[[AGRUP. CLAS. PROF.]:[AGRUP. CLAS. PROF.]]=$B60,IF(DATOS_[[Check Periodo Ref.]:[Check Periodo Ref.]]="Dentro",IF(DATOS_[[Check Equiparado]:[Check Equiparado]]="Sí",IF(DATOS!AI$5="Sí",(1/DATOS_[[% anualiz]:[% anualiz]]),1)*IF(DATOS!AI$4="Sí",1/DATOS_[[% normaliz]:[% normaliz]],1)*(DATOS_[Conc.Sal.05])))))))),
0)</f>
        <v>0</v>
      </c>
      <c r="O61" s="196">
        <f t="array" ref="O61">IFERROR(
(AVERAGE((IF(DATOS_[[Sexo]:[Sexo]]=$B61,IF(DATOS_[[AGRUP. CLAS. PROF.]:[AGRUP. CLAS. PROF.]]=$B60,IF(DATOS_[[Check Periodo Ref.]:[Check Periodo Ref.]]="Dentro",IF(DATOS_[[Check Equiparado]:[Check Equiparado]]="Sí",IF(DATOS!AJ$5="Sí",(1/DATOS_[[% anualiz]:[% anualiz]]),1)*IF(DATOS!AJ$4="Sí",1/DATOS_[[% normaliz]:[% normaliz]],1)*(DATOS_[Conc.Sal.06])))))))),
0)</f>
        <v>0</v>
      </c>
      <c r="P61" s="196">
        <f t="array" ref="P61">IFERROR(
(AVERAGE((IF(DATOS_[[Sexo]:[Sexo]]=$B61,IF(DATOS_[[AGRUP. CLAS. PROF.]:[AGRUP. CLAS. PROF.]]=$B60,IF(DATOS_[[Check Periodo Ref.]:[Check Periodo Ref.]]="Dentro",IF(DATOS_[[Check Equiparado]:[Check Equiparado]]="Sí",IF(DATOS!AK$5="Sí",(1/DATOS_[[% anualiz]:[% anualiz]]),1)*IF(DATOS!AK$4="Sí",1/DATOS_[[% normaliz]:[% normaliz]],1)*(DATOS_[Conc.Sal.07])))))))),
0)</f>
        <v>0</v>
      </c>
      <c r="Q61" s="196">
        <f t="array" ref="Q61">IFERROR(
(AVERAGE((IF(DATOS_[[Sexo]:[Sexo]]=$B61,IF(DATOS_[[AGRUP. CLAS. PROF.]:[AGRUP. CLAS. PROF.]]=$B60,IF(DATOS_[[Check Periodo Ref.]:[Check Periodo Ref.]]="Dentro",IF(DATOS_[[Check Equiparado]:[Check Equiparado]]="Sí",IF(DATOS!AL$5="Sí",(1/DATOS_[[% anualiz]:[% anualiz]]),1)*IF(DATOS!AL$4="Sí",1/DATOS_[[% normaliz]:[% normaliz]],1)*(DATOS_[Conc.Sal.08])))))))),
0)</f>
        <v>0</v>
      </c>
      <c r="R61" s="196">
        <f t="array" ref="R61">IFERROR(
(AVERAGE((IF(DATOS_[[Sexo]:[Sexo]]=$B61,IF(DATOS_[[AGRUP. CLAS. PROF.]:[AGRUP. CLAS. PROF.]]=$B60,IF(DATOS_[[Check Periodo Ref.]:[Check Periodo Ref.]]="Dentro",IF(DATOS_[[Check Equiparado]:[Check Equiparado]]="Sí",IF(DATOS!AM$5="Sí",(1/DATOS_[[% anualiz]:[% anualiz]]),1)*IF(DATOS!AM$4="Sí",1/DATOS_[[% normaliz]:[% normaliz]],1)*(DATOS_[Conc.Sal.09])))))))),
0)</f>
        <v>0</v>
      </c>
      <c r="S61" s="196">
        <f t="array" ref="S61">IFERROR(
(AVERAGE((IF(DATOS_[[Sexo]:[Sexo]]=$B61,IF(DATOS_[[AGRUP. CLAS. PROF.]:[AGRUP. CLAS. PROF.]]=$B60,IF(DATOS_[[Check Periodo Ref.]:[Check Periodo Ref.]]="Dentro",IF(DATOS_[[Check Equiparado]:[Check Equiparado]]="Sí",IF(DATOS!AN$5="Sí",(1/DATOS_[[% anualiz]:[% anualiz]]),1)*IF(DATOS!AN$4="Sí",1/DATOS_[[% normaliz]:[% normaliz]],1)*(DATOS_[Conc.Sal.10])))))))),
0)</f>
        <v>0</v>
      </c>
      <c r="T61" s="196">
        <f t="array" ref="T61">IFERROR(
(AVERAGE((IF(DATOS_[[Sexo]:[Sexo]]=$B61,IF(DATOS_[[AGRUP. CLAS. PROF.]:[AGRUP. CLAS. PROF.]]=$B60,IF(DATOS_[[Check Periodo Ref.]:[Check Periodo Ref.]]="Dentro",IF(DATOS_[[Check Equiparado]:[Check Equiparado]]="Sí",IF(DATOS!AO$5="Sí",(1/DATOS_[[% anualiz]:[% anualiz]]),1)*IF(DATOS!AO$4="Sí",1/DATOS_[[% normaliz]:[% normaliz]],1)*(DATOS_[Conc.Sal.11])))))))),
0)</f>
        <v>0</v>
      </c>
      <c r="U61" s="196">
        <f t="array" ref="U61">IFERROR(
(AVERAGE((IF(DATOS_[[Sexo]:[Sexo]]=$B61,IF(DATOS_[[AGRUP. CLAS. PROF.]:[AGRUP. CLAS. PROF.]]=$B60,IF(DATOS_[[Check Periodo Ref.]:[Check Periodo Ref.]]="Dentro",IF(DATOS_[[Check Equiparado]:[Check Equiparado]]="Sí",IF(DATOS!AP$5="Sí",(1/DATOS_[[% anualiz]:[% anualiz]]),1)*IF(DATOS!AP$4="Sí",1/DATOS_[[% normaliz]:[% normaliz]],1)*(DATOS_[Conc.Sal.12])))))))),
0)</f>
        <v>0</v>
      </c>
      <c r="V61" s="196">
        <f t="array" ref="V61">IFERROR(
(AVERAGE((IF(DATOS_[[Sexo]:[Sexo]]=$B61,IF(DATOS_[[AGRUP. CLAS. PROF.]:[AGRUP. CLAS. PROF.]]=$B60,IF(DATOS_[[Check Periodo Ref.]:[Check Periodo Ref.]]="Dentro",IF(DATOS_[[Check Equiparado]:[Check Equiparado]]="Sí",IF(DATOS!AQ$5="Sí",(1/DATOS_[[% anualiz]:[% anualiz]]),1)*IF(DATOS!AQ$4="Sí",1/DATOS_[[% normaliz]:[% normaliz]],1)*(DATOS_[Conc.Sal.13])))))))),
0)</f>
        <v>0</v>
      </c>
      <c r="W61" s="196">
        <f t="array" ref="W61">IFERROR(
(AVERAGE((IF(DATOS_[[Sexo]:[Sexo]]=$B61,IF(DATOS_[[AGRUP. CLAS. PROF.]:[AGRUP. CLAS. PROF.]]=$B60,IF(DATOS_[[Check Periodo Ref.]:[Check Periodo Ref.]]="Dentro",IF(DATOS_[[Check Equiparado]:[Check Equiparado]]="Sí",IF(DATOS!AR$5="Sí",(1/DATOS_[[% anualiz]:[% anualiz]]),1)*IF(DATOS!AR$4="Sí",1/DATOS_[[% normaliz]:[% normaliz]],1)*(DATOS_[Conc.Sal.14])))))))),
0)</f>
        <v>0</v>
      </c>
      <c r="X61" s="196">
        <f t="array" ref="X61">IFERROR(
(AVERAGE((IF(DATOS_[[Sexo]:[Sexo]]=$B61,IF(DATOS_[[AGRUP. CLAS. PROF.]:[AGRUP. CLAS. PROF.]]=$B60,IF(DATOS_[[Check Periodo Ref.]:[Check Periodo Ref.]]="Dentro",IF(DATOS_[[Check Equiparado]:[Check Equiparado]]="Sí",IF(DATOS!AS$5="Sí",(1/DATOS_[[% anualiz]:[% anualiz]]),1)*IF(DATOS!AS$4="Sí",1/DATOS_[[% normaliz]:[% normaliz]],1)*(DATOS_[Conc.Sal.15])))))))),
0)</f>
        <v>0</v>
      </c>
      <c r="Y61" s="196">
        <f t="array" ref="Y61">IFERROR(
(AVERAGE((IF(DATOS_[[Sexo]:[Sexo]]=$B61,IF(DATOS_[[AGRUP. CLAS. PROF.]:[AGRUP. CLAS. PROF.]]=$B60,IF(DATOS_[[Check Periodo Ref.]:[Check Periodo Ref.]]="Dentro",IF(DATOS_[[Check Equiparado]:[Check Equiparado]]="Sí",IF(DATOS!AT$5="Sí",(1/DATOS_[[% anualiz]:[% anualiz]]),1)*IF(DATOS!AT$4="Sí",1/DATOS_[[% normaliz]:[% normaliz]],1)*(DATOS_[Conc.Sal.16])))))))),
0)</f>
        <v>0</v>
      </c>
      <c r="Z61" s="196">
        <f t="array" ref="Z61">IFERROR(
(AVERAGE((IF(DATOS_[[Sexo]:[Sexo]]=$B61,IF(DATOS_[[AGRUP. CLAS. PROF.]:[AGRUP. CLAS. PROF.]]=$B60,IF(DATOS_[[Check Periodo Ref.]:[Check Periodo Ref.]]="Dentro",IF(DATOS_[[Check Equiparado]:[Check Equiparado]]="Sí",IF(DATOS!AU$5="Sí",(1/DATOS_[[% anualiz]:[% anualiz]]),1)*IF(DATOS!AU$4="Sí",1/DATOS_[[% normaliz]:[% normaliz]],1)*(DATOS_[Conc.Sal.17])))))))),
0)</f>
        <v>0</v>
      </c>
      <c r="AA61" s="196">
        <f t="array" ref="AA61">IFERROR(
(AVERAGE((IF(DATOS_[[Sexo]:[Sexo]]=$B61,IF(DATOS_[[AGRUP. CLAS. PROF.]:[AGRUP. CLAS. PROF.]]=$B60,IF(DATOS_[[Check Periodo Ref.]:[Check Periodo Ref.]]="Dentro",IF(DATOS_[[Check Equiparado]:[Check Equiparado]]="Sí",IF(DATOS!AV$5="Sí",(1/DATOS_[[% anualiz]:[% anualiz]]),1)*IF(DATOS!AV$4="Sí",1/DATOS_[[% normaliz]:[% normaliz]],1)*(DATOS_[Conc.Sal.18])))))))),
0)</f>
        <v>0</v>
      </c>
      <c r="AB61" s="196">
        <f t="array" ref="AB61">IFERROR(
(AVERAGE((IF(DATOS_[[Sexo]:[Sexo]]=$B61,IF(DATOS_[[AGRUP. CLAS. PROF.]:[AGRUP. CLAS. PROF.]]=$B60,IF(DATOS_[[Check Periodo Ref.]:[Check Periodo Ref.]]="Dentro",IF(DATOS_[[Check Equiparado]:[Check Equiparado]]="Sí",IF(DATOS!AW$5="Sí",(1/DATOS_[[% anualiz]:[% anualiz]]),1)*IF(DATOS!AW$4="Sí",1/DATOS_[[% normaliz]:[% normaliz]],1)*(DATOS_[Conc.Sal.19])))))))),
0)</f>
        <v>0</v>
      </c>
      <c r="AC61" s="196">
        <f t="array" ref="AC61">IFERROR(
(AVERAGE((IF(DATOS_[[Sexo]:[Sexo]]=$B61,IF(DATOS_[[AGRUP. CLAS. PROF.]:[AGRUP. CLAS. PROF.]]=$B60,IF(DATOS_[[Check Periodo Ref.]:[Check Periodo Ref.]]="Dentro",IF(DATOS_[[Check Equiparado]:[Check Equiparado]]="Sí",IF(DATOS!AX$5="Sí",(1/DATOS_[[% anualiz]:[% anualiz]]),1)*IF(DATOS!AX$4="Sí",1/DATOS_[[% normaliz]:[% normaliz]],1)*(DATOS_[Conc.Sal.20])))))))),
0)</f>
        <v>0</v>
      </c>
      <c r="AD61" s="196">
        <f t="array" ref="AD61">IFERROR(
(AVERAGE((IF(DATOS_[[Sexo]:[Sexo]]=$B61,IF(DATOS_[[AGRUP. CLAS. PROF.]:[AGRUP. CLAS. PROF.]]=$B60,IF(DATOS_[[Check Periodo Ref.]:[Check Periodo Ref.]]="Dentro",IF(DATOS_[[Check Equiparado]:[Check Equiparado]]="Sí",IF(DATOS!AY$5="Sí",(1/DATOS_[[% anualiz]:[% anualiz]]),1)*IF(DATOS!AY$4="Sí",1/DATOS_[[% normaliz]:[% normaliz]],1)*(DATOS_[Conc.Sal.21])))))))),
0)</f>
        <v>0</v>
      </c>
      <c r="AE61" s="196">
        <f t="array" ref="AE61">IFERROR(
(AVERAGE((IF(DATOS_[[Sexo]:[Sexo]]=$B61,IF(DATOS_[[AGRUP. CLAS. PROF.]:[AGRUP. CLAS. PROF.]]=$B60,IF(DATOS_[[Check Periodo Ref.]:[Check Periodo Ref.]]="Dentro",IF(DATOS_[[Check Equiparado]:[Check Equiparado]]="Sí",IF(DATOS!AZ$5="Sí",(1/DATOS_[[% anualiz]:[% anualiz]]),1)*IF(DATOS!AZ$4="Sí",1/DATOS_[[% normaliz]:[% normaliz]],1)*(DATOS_[Conc.Sal.22])))))))),
0)</f>
        <v>0</v>
      </c>
      <c r="AF61" s="196">
        <f t="array" ref="AF61">IFERROR(
(AVERAGE((IF(DATOS_[[Sexo]:[Sexo]]=$B61,IF(DATOS_[[AGRUP. CLAS. PROF.]:[AGRUP. CLAS. PROF.]]=$B60,IF(DATOS_[[Check Periodo Ref.]:[Check Periodo Ref.]]="Dentro",IF(DATOS_[[Check Equiparado]:[Check Equiparado]]="Sí",IF(DATOS!BA$5="Sí",(1/DATOS_[[% anualiz]:[% anualiz]]),1)*IF(DATOS!BA$4="Sí",1/DATOS_[[% normaliz]:[% normaliz]],1)*(DATOS_[Conc.Sal.23])))))))),
0)</f>
        <v>0</v>
      </c>
      <c r="AG61" s="196">
        <f t="array" ref="AG61">IFERROR(
(AVERAGE((IF(DATOS_[[Sexo]:[Sexo]]=$B61,IF(DATOS_[[AGRUP. CLAS. PROF.]:[AGRUP. CLAS. PROF.]]=$B60,IF(DATOS_[[Check Periodo Ref.]:[Check Periodo Ref.]]="Dentro",IF(DATOS_[[Check Equiparado]:[Check Equiparado]]="Sí",IF(DATOS!BB$5="Sí",(1/DATOS_[[% anualiz]:[% anualiz]]),1)*IF(DATOS!BB$4="Sí",1/DATOS_[[% normaliz]:[% normaliz]],1)*(DATOS_[Conc.Sal.24])))))))),
0)</f>
        <v>0</v>
      </c>
      <c r="AH61" s="196">
        <f t="array" ref="AH61">IFERROR(
(AVERAGE((IF(DATOS_[[Sexo]:[Sexo]]=$B61,IF(DATOS_[[AGRUP. CLAS. PROF.]:[AGRUP. CLAS. PROF.]]=$B60,IF(DATOS_[[Check Periodo Ref.]:[Check Periodo Ref.]]="Dentro",IF(DATOS_[[Check Equiparado]:[Check Equiparado]]="Sí",IF(DATOS!BC$5="Sí",(1/DATOS_[[% anualiz]:[% anualiz]]),1)*IF(DATOS!BC$4="Sí",1/DATOS_[[% normaliz]:[% normaliz]],1)*(DATOS_[Conc.Sal.25])))))))),
0)</f>
        <v>0</v>
      </c>
      <c r="AI61" s="196">
        <f t="array" ref="AI61">IFERROR(
(AVERAGE((IF(DATOS_[[Sexo]:[Sexo]]=$B61,IF(DATOS_[[AGRUP. CLAS. PROF.]:[AGRUP. CLAS. PROF.]]=$B60,IF(DATOS_[[Check Periodo Ref.]:[Check Periodo Ref.]]="Dentro",IF(DATOS_[[Check Equiparado]:[Check Equiparado]]="Sí",IF(DATOS!BD$5="Sí",(1/DATOS_[[% anualiz]:[% anualiz]]),1)*IF(DATOS!BD$4="Sí",1/DATOS_[[% normaliz]:[% normaliz]],1)*(DATOS_[Conc.Sal.26])))))))),
0)</f>
        <v>0</v>
      </c>
      <c r="AJ61" s="196">
        <f t="array" ref="AJ61">IFERROR(
(AVERAGE((IF(DATOS_[[Sexo]:[Sexo]]=$B61,IF(DATOS_[[AGRUP. CLAS. PROF.]:[AGRUP. CLAS. PROF.]]=$B60,IF(DATOS_[[Check Periodo Ref.]:[Check Periodo Ref.]]="Dentro",IF(DATOS_[[Check Equiparado]:[Check Equiparado]]="Sí",IF(DATOS!BE$5="Sí",(1/DATOS_[[% anualiz]:[% anualiz]]),1)*IF(DATOS!BE$4="Sí",1/DATOS_[[% normaliz]:[% normaliz]],1)*(DATOS_[Conc.Sal.27])))))))),
0)</f>
        <v>0</v>
      </c>
      <c r="AK61" s="196">
        <f t="array" ref="AK61">IFERROR(
(AVERAGE((IF(DATOS_[[Sexo]:[Sexo]]=$B61,IF(DATOS_[[AGRUP. CLAS. PROF.]:[AGRUP. CLAS. PROF.]]=$B60,IF(DATOS_[[Check Periodo Ref.]:[Check Periodo Ref.]]="Dentro",IF(DATOS_[[Check Equiparado]:[Check Equiparado]]="Sí",IF(DATOS!BF$5="Sí",(1/DATOS_[[% anualiz]:[% anualiz]]),1)*IF(DATOS!BF$4="Sí",1/DATOS_[[% normaliz]:[% normaliz]],1)*(DATOS_[Conc.Sal.28])))))))),
0)</f>
        <v>0</v>
      </c>
      <c r="AL61" s="196">
        <f t="array" ref="AL61">IFERROR(
(AVERAGE((IF(DATOS_[[Sexo]:[Sexo]]=$B61,IF(DATOS_[[AGRUP. CLAS. PROF.]:[AGRUP. CLAS. PROF.]]=$B60,IF(DATOS_[[Check Periodo Ref.]:[Check Periodo Ref.]]="Dentro",IF(DATOS_[[Check Equiparado]:[Check Equiparado]]="Sí",IF(DATOS!BG$5="Sí",(1/DATOS_[[% anualiz]:[% anualiz]]),1)*IF(DATOS!BG$4="Sí",1/DATOS_[[% normaliz]:[% normaliz]],1)*(DATOS_[Conc.Sal.29])))))))),
0)</f>
        <v>0</v>
      </c>
      <c r="AM61" s="196">
        <f t="array" ref="AM61">IFERROR(
(AVERAGE((IF(DATOS_[[Sexo]:[Sexo]]=$B61,IF(DATOS_[[AGRUP. CLAS. PROF.]:[AGRUP. CLAS. PROF.]]=$B60,IF(DATOS_[[Check Periodo Ref.]:[Check Periodo Ref.]]="Dentro",IF(DATOS_[[Check Equiparado]:[Check Equiparado]]="Sí",IF(DATOS!BH$5="Sí",(1/DATOS_[[% anualiz]:[% anualiz]]),1)*IF(DATOS!BH$4="Sí",1/DATOS_[[% normaliz]:[% normaliz]],1)*(DATOS_[Conc.Sal.30])))))))),
0)</f>
        <v>0</v>
      </c>
      <c r="AN61" s="195">
        <f t="array" ref="AN61">IFERROR(
AVERAGE(IF(DATOS_[Sexo]=$B61,IF(DATOS_[[AGRUP. CLAS. PROF.]:[AGRUP. CLAS. PROF.]]=$B60,IF(DATOS_[Check Equiparado]="Sí",IF(DATOS_[Check Periodo Ref.]="Dentro",DATOS_[Tot COMPL.SAL Eq],FALSE))))),
0)</f>
        <v>0</v>
      </c>
      <c r="AO61" s="172">
        <f t="array" ref="AO61">IFERROR(
AVERAGE(IF(DATOS_[Sexo]=$B61,IF(DATOS_[[AGRUP. CLAS. PROF.]:[AGRUP. CLAS. PROF.]]=$B60,IF(DATOS_[Check Equiparado]="Sí",IF(DATOS_[Check Periodo Ref.]="Dentro",DATOS_[TOTAL SALARIO Eq],FALSE))))),
0)</f>
        <v>0</v>
      </c>
      <c r="AP61" s="173">
        <f t="array" ref="AP61">IFERROR(
(AVERAGE((IF(DATOS_[[Sexo]:[Sexo]]=$B61,IF(DATOS_[[AGRUP. CLAS. PROF.]:[AGRUP. CLAS. PROF.]]=$B60,IF(DATOS_[[Check Periodo Ref.]:[Check Periodo Ref.]]="Dentro",IF(DATOS_[[Check Equiparado]:[Check Equiparado]]="Sí",IF(DATOS!BW$5="Sí",(1/DATOS_[[% anualiz]:[% anualiz]]),1)*IF(DATOS!BW$4="Sí",1/DATOS_[[% normaliz]:[% normaliz]],1)*(DATOS_[C.Extra.01])))))))),
0)</f>
        <v>0</v>
      </c>
      <c r="AQ61" s="173">
        <f t="array" ref="AQ61">IFERROR(
(AVERAGE((IF(DATOS_[[Sexo]:[Sexo]]=$B61,IF(DATOS_[[AGRUP. CLAS. PROF.]:[AGRUP. CLAS. PROF.]]=$B60,IF(DATOS_[[Check Periodo Ref.]:[Check Periodo Ref.]]="Dentro",IF(DATOS_[[Check Equiparado]:[Check Equiparado]]="Sí",IF(DATOS!CB$5="Sí",(1/DATOS_[[% anualiz]:[% anualiz]]),1)*IF(DATOS!CB$4="Sí",1/DATOS_[[% normaliz]:[% normaliz]],1)*(DATOS_[C.Extra.06])))))))),
0)</f>
        <v>0</v>
      </c>
      <c r="AR61" s="173">
        <f t="array" ref="AR61">IFERROR(
(AVERAGE((IF(DATOS_[[Sexo]:[Sexo]]=$B61,IF(DATOS_[[AGRUP. CLAS. PROF.]:[AGRUP. CLAS. PROF.]]=$B60,IF(DATOS_[[Check Periodo Ref.]:[Check Periodo Ref.]]="Dentro",IF(DATOS_[[Check Equiparado]:[Check Equiparado]]="Sí",IF(DATOS!CC$5="Sí",(1/DATOS_[[% anualiz]:[% anualiz]]),1)*IF(DATOS!CC$4="Sí",1/DATOS_[[% normaliz]:[% normaliz]],1)*(DATOS_[C.Extra.07])))))))),
0)</f>
        <v>0</v>
      </c>
      <c r="AS61" s="173">
        <f t="array" ref="AS61">IFERROR(
(AVERAGE((IF(DATOS_[[Sexo]:[Sexo]]=$B61,IF(DATOS_[[AGRUP. CLAS. PROF.]:[AGRUP. CLAS. PROF.]]=$B60,IF(DATOS_[[Check Periodo Ref.]:[Check Periodo Ref.]]="Dentro",IF(DATOS_[[Check Equiparado]:[Check Equiparado]]="Sí",IF(DATOS!CD$5="Sí",(1/DATOS_[[% anualiz]:[% anualiz]]),1)*IF(DATOS!CD$4="Sí",1/DATOS_[[% normaliz]:[% normaliz]],1)*(DATOS_[C.Extra.08])))))))),
0)</f>
        <v>0</v>
      </c>
      <c r="AT61" s="173">
        <f t="array" ref="AT61">IFERROR(
(AVERAGE((IF(DATOS_[[Sexo]:[Sexo]]=$B61,IF(DATOS_[[AGRUP. CLAS. PROF.]:[AGRUP. CLAS. PROF.]]=$B60,IF(DATOS_[[Check Periodo Ref.]:[Check Periodo Ref.]]="Dentro",IF(DATOS_[[Check Equiparado]:[Check Equiparado]]="Sí",IF(DATOS!CG$5="Sí",(1/DATOS_[[% anualiz]:[% anualiz]]),1)*IF(DATOS!CG$4="Sí",1/DATOS_[[% normaliz]:[% normaliz]],1)*(DATOS_[C.Extra.11])))))))),
0)</f>
        <v>0</v>
      </c>
      <c r="AU61" s="197">
        <f t="array" ref="AU61">IFERROR(
AVERAGE(IF(DATOS_[Sexo]=$B61,IF(DATOS_[[AGRUP. CLAS. PROF.]:[AGRUP. CLAS. PROF.]]=$B60,IF(DATOS_[Check Equiparado]="Sí",IF(DATOS_[Check Periodo Ref.]="Dentro",DATOS_[Tot Extrasalarial Eq],FALSE))))),
0)</f>
        <v>0</v>
      </c>
      <c r="AV61" s="175">
        <f t="array" ref="AV61">IFERROR(
AVERAGE(IF(DATOS_[Sexo]=$B61,IF(DATOS_[[AGRUP. CLAS. PROF.]:[AGRUP. CLAS. PROF.]]=$B60,IF(DATOS_[Check Equiparado]="Sí",IF(DATOS_[Check Periodo Ref.]="Dentro",DATOS_[TOTAL Retrib Eq],FALSE))))),
0)</f>
        <v>0</v>
      </c>
    </row>
    <row r="62" spans="1:48" hidden="1" x14ac:dyDescent="0.25">
      <c r="A62" s="133" t="str">
        <f t="shared" ref="A62" si="66">+A61</f>
        <v>[ocultar]</v>
      </c>
      <c r="B62" s="202" t="s">
        <v>521</v>
      </c>
      <c r="C62" s="203">
        <f t="array" ref="C62">SUM(IF($B62=DATOS_[Sexo],
IF($B60=DATOS_[AGRUP. CLAS. PROF.],
IF("Dentro"=DATOS_[Check Periodo Ref.],
1/(COUNTIFS(DATOS_[Sexo],$B62,DATOS_[AGRUP. CLAS. PROF.],$B60,DATOS_[Check Periodo Ref.],"Dentro",DATOS_[id/cod],DATOS_[id/cod]))))))</f>
        <v>0</v>
      </c>
      <c r="D62" s="204">
        <f>COUNTIFS(DATOS_[AGRUP. CLAS. PROF.],$B60,DATOS_[Sexo],$B62,DATOS_[Check Periodo Ref.],"Dentro")</f>
        <v>0</v>
      </c>
      <c r="E62" s="204">
        <f>COUNTIFS(DATOS_[AGRUP. CLAS. PROF.],$B60,DATOS_[Sexo],$B62,DATOS_[Check Periodo Ref.],"Dentro",DATOS_[Check Nº SC Norm],"Sí")</f>
        <v>0</v>
      </c>
      <c r="F62" s="204">
        <f>COUNTIFS(DATOS_[AGRUP. CLAS. PROF.],$B60,DATOS_[Sexo],$B62,DATOS_[Check Periodo Ref.],"Dentro",DATOS_[Check Nº SC Anualiz],"Sí")</f>
        <v>0</v>
      </c>
      <c r="G62" s="204">
        <f>COUNTIFS(DATOS_[AGRUP. CLAS. PROF.],$B60,DATOS_[Sexo],$B62,DATOS_[Check Periodo Ref.],"Dentro",DATOS_[Check Nº SC Norm y Anualiz],"Sí")</f>
        <v>0</v>
      </c>
      <c r="H62" s="204">
        <f>COUNTIFS(DATOS_[AGRUP. CLAS. PROF.],$B60,DATOS_[Sexo],$B62,DATOS_[Check Periodo Ref.],"Dentro",DATOS_[Check Equiparación],"Sí")</f>
        <v>0</v>
      </c>
      <c r="I62" s="195" cm="1">
        <f t="array" ref="I62">IFERROR(
AVERAGE(IF(DATOS_[Sexo]=$B62,IF(DATOS_[[AGRUP. CLAS. PROF.]:[AGRUP. CLAS. PROF.]]=$B60,IF(DATOS_[Check Equiparado]="Sí",IF(DATOS_[Check Periodo Ref.]="Dentro",DATOS_[SALARIO BASE Eq],FALSE))))),
0)</f>
        <v>0</v>
      </c>
      <c r="J62" s="196">
        <f t="array" ref="J62">IFERROR(
(AVERAGE((IF(DATOS_[[Sexo]:[Sexo]]=$B62,IF(DATOS_[[AGRUP. CLAS. PROF.]:[AGRUP. CLAS. PROF.]]=$B60,IF(DATOS_[[Check Periodo Ref.]:[Check Periodo Ref.]]="Dentro",IF(DATOS_[[Check Equiparado]:[Check Equiparado]]="Sí",IF(DATOS!AE$5="Sí",(1/DATOS_[[% anualiz]:[% anualiz]]),1)*IF(DATOS!AE$4="Sí",1/DATOS_[[% normaliz]:[% normaliz]],1)*(DATOS_[Conc.Sal.01])))))))),
0)</f>
        <v>0</v>
      </c>
      <c r="K62" s="196">
        <f t="array" ref="K62">IFERROR(
(AVERAGE((IF(DATOS_[[Sexo]:[Sexo]]=$B62,IF(DATOS_[[AGRUP. CLAS. PROF.]:[AGRUP. CLAS. PROF.]]=$B60,IF(DATOS_[[Check Periodo Ref.]:[Check Periodo Ref.]]="Dentro",IF(DATOS_[[Check Equiparado]:[Check Equiparado]]="Sí",IF(DATOS!AF$5="Sí",(1/DATOS_[[% anualiz]:[% anualiz]]),1)*IF(DATOS!AF$4="Sí",1/DATOS_[[% normaliz]:[% normaliz]],1)*(DATOS_[Conc.Sal.02])))))))),
0)</f>
        <v>0</v>
      </c>
      <c r="L62" s="196">
        <f t="array" ref="L62">IFERROR(
(AVERAGE((IF(DATOS_[[Sexo]:[Sexo]]=$B62,IF(DATOS_[[AGRUP. CLAS. PROF.]:[AGRUP. CLAS. PROF.]]=$B60,IF(DATOS_[[Check Periodo Ref.]:[Check Periodo Ref.]]="Dentro",IF(DATOS_[[Check Equiparado]:[Check Equiparado]]="Sí",IF(DATOS!AG$5="Sí",(1/DATOS_[[% anualiz]:[% anualiz]]),1)*IF(DATOS!AG$4="Sí",1/DATOS_[[% normaliz]:[% normaliz]],1)*(DATOS_[Conc.Sal.03])))))))),
0)</f>
        <v>0</v>
      </c>
      <c r="M62" s="196">
        <f t="array" ref="M62">IFERROR(
(AVERAGE((IF(DATOS_[[Sexo]:[Sexo]]=$B62,IF(DATOS_[[AGRUP. CLAS. PROF.]:[AGRUP. CLAS. PROF.]]=$B60,IF(DATOS_[[Check Periodo Ref.]:[Check Periodo Ref.]]="Dentro",IF(DATOS_[[Check Equiparado]:[Check Equiparado]]="Sí",IF(DATOS!AH$5="Sí",(1/DATOS_[[% anualiz]:[% anualiz]]),1)*IF(DATOS!AH$4="Sí",1/DATOS_[[% normaliz]:[% normaliz]],1)*(DATOS_[Conc.Sal.04])))))))),
0)</f>
        <v>0</v>
      </c>
      <c r="N62" s="196">
        <f t="array" ref="N62">IFERROR(
(AVERAGE((IF(DATOS_[[Sexo]:[Sexo]]=$B62,IF(DATOS_[[AGRUP. CLAS. PROF.]:[AGRUP. CLAS. PROF.]]=$B60,IF(DATOS_[[Check Periodo Ref.]:[Check Periodo Ref.]]="Dentro",IF(DATOS_[[Check Equiparado]:[Check Equiparado]]="Sí",IF(DATOS!AI$5="Sí",(1/DATOS_[[% anualiz]:[% anualiz]]),1)*IF(DATOS!AI$4="Sí",1/DATOS_[[% normaliz]:[% normaliz]],1)*(DATOS_[Conc.Sal.05])))))))),
0)</f>
        <v>0</v>
      </c>
      <c r="O62" s="196">
        <f t="array" ref="O62">IFERROR(
(AVERAGE((IF(DATOS_[[Sexo]:[Sexo]]=$B62,IF(DATOS_[[AGRUP. CLAS. PROF.]:[AGRUP. CLAS. PROF.]]=$B60,IF(DATOS_[[Check Periodo Ref.]:[Check Periodo Ref.]]="Dentro",IF(DATOS_[[Check Equiparado]:[Check Equiparado]]="Sí",IF(DATOS!AJ$5="Sí",(1/DATOS_[[% anualiz]:[% anualiz]]),1)*IF(DATOS!AJ$4="Sí",1/DATOS_[[% normaliz]:[% normaliz]],1)*(DATOS_[Conc.Sal.06])))))))),
0)</f>
        <v>0</v>
      </c>
      <c r="P62" s="196">
        <f t="array" ref="P62">IFERROR(
(AVERAGE((IF(DATOS_[[Sexo]:[Sexo]]=$B62,IF(DATOS_[[AGRUP. CLAS. PROF.]:[AGRUP. CLAS. PROF.]]=$B60,IF(DATOS_[[Check Periodo Ref.]:[Check Periodo Ref.]]="Dentro",IF(DATOS_[[Check Equiparado]:[Check Equiparado]]="Sí",IF(DATOS!AK$5="Sí",(1/DATOS_[[% anualiz]:[% anualiz]]),1)*IF(DATOS!AK$4="Sí",1/DATOS_[[% normaliz]:[% normaliz]],1)*(DATOS_[Conc.Sal.07])))))))),
0)</f>
        <v>0</v>
      </c>
      <c r="Q62" s="196">
        <f t="array" ref="Q62">IFERROR(
(AVERAGE((IF(DATOS_[[Sexo]:[Sexo]]=$B62,IF(DATOS_[[AGRUP. CLAS. PROF.]:[AGRUP. CLAS. PROF.]]=$B60,IF(DATOS_[[Check Periodo Ref.]:[Check Periodo Ref.]]="Dentro",IF(DATOS_[[Check Equiparado]:[Check Equiparado]]="Sí",IF(DATOS!AL$5="Sí",(1/DATOS_[[% anualiz]:[% anualiz]]),1)*IF(DATOS!AL$4="Sí",1/DATOS_[[% normaliz]:[% normaliz]],1)*(DATOS_[Conc.Sal.08])))))))),
0)</f>
        <v>0</v>
      </c>
      <c r="R62" s="196">
        <f t="array" ref="R62">IFERROR(
(AVERAGE((IF(DATOS_[[Sexo]:[Sexo]]=$B62,IF(DATOS_[[AGRUP. CLAS. PROF.]:[AGRUP. CLAS. PROF.]]=$B60,IF(DATOS_[[Check Periodo Ref.]:[Check Periodo Ref.]]="Dentro",IF(DATOS_[[Check Equiparado]:[Check Equiparado]]="Sí",IF(DATOS!AM$5="Sí",(1/DATOS_[[% anualiz]:[% anualiz]]),1)*IF(DATOS!AM$4="Sí",1/DATOS_[[% normaliz]:[% normaliz]],1)*(DATOS_[Conc.Sal.09])))))))),
0)</f>
        <v>0</v>
      </c>
      <c r="S62" s="196">
        <f t="array" ref="S62">IFERROR(
(AVERAGE((IF(DATOS_[[Sexo]:[Sexo]]=$B62,IF(DATOS_[[AGRUP. CLAS. PROF.]:[AGRUP. CLAS. PROF.]]=$B60,IF(DATOS_[[Check Periodo Ref.]:[Check Periodo Ref.]]="Dentro",IF(DATOS_[[Check Equiparado]:[Check Equiparado]]="Sí",IF(DATOS!AN$5="Sí",(1/DATOS_[[% anualiz]:[% anualiz]]),1)*IF(DATOS!AN$4="Sí",1/DATOS_[[% normaliz]:[% normaliz]],1)*(DATOS_[Conc.Sal.10])))))))),
0)</f>
        <v>0</v>
      </c>
      <c r="T62" s="196">
        <f t="array" ref="T62">IFERROR(
(AVERAGE((IF(DATOS_[[Sexo]:[Sexo]]=$B62,IF(DATOS_[[AGRUP. CLAS. PROF.]:[AGRUP. CLAS. PROF.]]=$B60,IF(DATOS_[[Check Periodo Ref.]:[Check Periodo Ref.]]="Dentro",IF(DATOS_[[Check Equiparado]:[Check Equiparado]]="Sí",IF(DATOS!AO$5="Sí",(1/DATOS_[[% anualiz]:[% anualiz]]),1)*IF(DATOS!AO$4="Sí",1/DATOS_[[% normaliz]:[% normaliz]],1)*(DATOS_[Conc.Sal.11])))))))),
0)</f>
        <v>0</v>
      </c>
      <c r="U62" s="196">
        <f t="array" ref="U62">IFERROR(
(AVERAGE((IF(DATOS_[[Sexo]:[Sexo]]=$B62,IF(DATOS_[[AGRUP. CLAS. PROF.]:[AGRUP. CLAS. PROF.]]=$B60,IF(DATOS_[[Check Periodo Ref.]:[Check Periodo Ref.]]="Dentro",IF(DATOS_[[Check Equiparado]:[Check Equiparado]]="Sí",IF(DATOS!AP$5="Sí",(1/DATOS_[[% anualiz]:[% anualiz]]),1)*IF(DATOS!AP$4="Sí",1/DATOS_[[% normaliz]:[% normaliz]],1)*(DATOS_[Conc.Sal.12])))))))),
0)</f>
        <v>0</v>
      </c>
      <c r="V62" s="196">
        <f t="array" ref="V62">IFERROR(
(AVERAGE((IF(DATOS_[[Sexo]:[Sexo]]=$B62,IF(DATOS_[[AGRUP. CLAS. PROF.]:[AGRUP. CLAS. PROF.]]=$B60,IF(DATOS_[[Check Periodo Ref.]:[Check Periodo Ref.]]="Dentro",IF(DATOS_[[Check Equiparado]:[Check Equiparado]]="Sí",IF(DATOS!AQ$5="Sí",(1/DATOS_[[% anualiz]:[% anualiz]]),1)*IF(DATOS!AQ$4="Sí",1/DATOS_[[% normaliz]:[% normaliz]],1)*(DATOS_[Conc.Sal.13])))))))),
0)</f>
        <v>0</v>
      </c>
      <c r="W62" s="196">
        <f t="array" ref="W62">IFERROR(
(AVERAGE((IF(DATOS_[[Sexo]:[Sexo]]=$B62,IF(DATOS_[[AGRUP. CLAS. PROF.]:[AGRUP. CLAS. PROF.]]=$B60,IF(DATOS_[[Check Periodo Ref.]:[Check Periodo Ref.]]="Dentro",IF(DATOS_[[Check Equiparado]:[Check Equiparado]]="Sí",IF(DATOS!AR$5="Sí",(1/DATOS_[[% anualiz]:[% anualiz]]),1)*IF(DATOS!AR$4="Sí",1/DATOS_[[% normaliz]:[% normaliz]],1)*(DATOS_[Conc.Sal.14])))))))),
0)</f>
        <v>0</v>
      </c>
      <c r="X62" s="196">
        <f t="array" ref="X62">IFERROR(
(AVERAGE((IF(DATOS_[[Sexo]:[Sexo]]=$B62,IF(DATOS_[[AGRUP. CLAS. PROF.]:[AGRUP. CLAS. PROF.]]=$B60,IF(DATOS_[[Check Periodo Ref.]:[Check Periodo Ref.]]="Dentro",IF(DATOS_[[Check Equiparado]:[Check Equiparado]]="Sí",IF(DATOS!AS$5="Sí",(1/DATOS_[[% anualiz]:[% anualiz]]),1)*IF(DATOS!AS$4="Sí",1/DATOS_[[% normaliz]:[% normaliz]],1)*(DATOS_[Conc.Sal.15])))))))),
0)</f>
        <v>0</v>
      </c>
      <c r="Y62" s="196">
        <f t="array" ref="Y62">IFERROR(
(AVERAGE((IF(DATOS_[[Sexo]:[Sexo]]=$B62,IF(DATOS_[[AGRUP. CLAS. PROF.]:[AGRUP. CLAS. PROF.]]=$B60,IF(DATOS_[[Check Periodo Ref.]:[Check Periodo Ref.]]="Dentro",IF(DATOS_[[Check Equiparado]:[Check Equiparado]]="Sí",IF(DATOS!AT$5="Sí",(1/DATOS_[[% anualiz]:[% anualiz]]),1)*IF(DATOS!AT$4="Sí",1/DATOS_[[% normaliz]:[% normaliz]],1)*(DATOS_[Conc.Sal.16])))))))),
0)</f>
        <v>0</v>
      </c>
      <c r="Z62" s="196">
        <f t="array" ref="Z62">IFERROR(
(AVERAGE((IF(DATOS_[[Sexo]:[Sexo]]=$B62,IF(DATOS_[[AGRUP. CLAS. PROF.]:[AGRUP. CLAS. PROF.]]=$B60,IF(DATOS_[[Check Periodo Ref.]:[Check Periodo Ref.]]="Dentro",IF(DATOS_[[Check Equiparado]:[Check Equiparado]]="Sí",IF(DATOS!AU$5="Sí",(1/DATOS_[[% anualiz]:[% anualiz]]),1)*IF(DATOS!AU$4="Sí",1/DATOS_[[% normaliz]:[% normaliz]],1)*(DATOS_[Conc.Sal.17])))))))),
0)</f>
        <v>0</v>
      </c>
      <c r="AA62" s="196">
        <f t="array" ref="AA62">IFERROR(
(AVERAGE((IF(DATOS_[[Sexo]:[Sexo]]=$B62,IF(DATOS_[[AGRUP. CLAS. PROF.]:[AGRUP. CLAS. PROF.]]=$B60,IF(DATOS_[[Check Periodo Ref.]:[Check Periodo Ref.]]="Dentro",IF(DATOS_[[Check Equiparado]:[Check Equiparado]]="Sí",IF(DATOS!AV$5="Sí",(1/DATOS_[[% anualiz]:[% anualiz]]),1)*IF(DATOS!AV$4="Sí",1/DATOS_[[% normaliz]:[% normaliz]],1)*(DATOS_[Conc.Sal.18])))))))),
0)</f>
        <v>0</v>
      </c>
      <c r="AB62" s="196">
        <f t="array" ref="AB62">IFERROR(
(AVERAGE((IF(DATOS_[[Sexo]:[Sexo]]=$B62,IF(DATOS_[[AGRUP. CLAS. PROF.]:[AGRUP. CLAS. PROF.]]=$B60,IF(DATOS_[[Check Periodo Ref.]:[Check Periodo Ref.]]="Dentro",IF(DATOS_[[Check Equiparado]:[Check Equiparado]]="Sí",IF(DATOS!AW$5="Sí",(1/DATOS_[[% anualiz]:[% anualiz]]),1)*IF(DATOS!AW$4="Sí",1/DATOS_[[% normaliz]:[% normaliz]],1)*(DATOS_[Conc.Sal.19])))))))),
0)</f>
        <v>0</v>
      </c>
      <c r="AC62" s="196">
        <f t="array" ref="AC62">IFERROR(
(AVERAGE((IF(DATOS_[[Sexo]:[Sexo]]=$B62,IF(DATOS_[[AGRUP. CLAS. PROF.]:[AGRUP. CLAS. PROF.]]=$B60,IF(DATOS_[[Check Periodo Ref.]:[Check Periodo Ref.]]="Dentro",IF(DATOS_[[Check Equiparado]:[Check Equiparado]]="Sí",IF(DATOS!AX$5="Sí",(1/DATOS_[[% anualiz]:[% anualiz]]),1)*IF(DATOS!AX$4="Sí",1/DATOS_[[% normaliz]:[% normaliz]],1)*(DATOS_[Conc.Sal.20])))))))),
0)</f>
        <v>0</v>
      </c>
      <c r="AD62" s="196">
        <f t="array" ref="AD62">IFERROR(
(AVERAGE((IF(DATOS_[[Sexo]:[Sexo]]=$B62,IF(DATOS_[[AGRUP. CLAS. PROF.]:[AGRUP. CLAS. PROF.]]=$B60,IF(DATOS_[[Check Periodo Ref.]:[Check Periodo Ref.]]="Dentro",IF(DATOS_[[Check Equiparado]:[Check Equiparado]]="Sí",IF(DATOS!AY$5="Sí",(1/DATOS_[[% anualiz]:[% anualiz]]),1)*IF(DATOS!AY$4="Sí",1/DATOS_[[% normaliz]:[% normaliz]],1)*(DATOS_[Conc.Sal.21])))))))),
0)</f>
        <v>0</v>
      </c>
      <c r="AE62" s="196">
        <f t="array" ref="AE62">IFERROR(
(AVERAGE((IF(DATOS_[[Sexo]:[Sexo]]=$B62,IF(DATOS_[[AGRUP. CLAS. PROF.]:[AGRUP. CLAS. PROF.]]=$B60,IF(DATOS_[[Check Periodo Ref.]:[Check Periodo Ref.]]="Dentro",IF(DATOS_[[Check Equiparado]:[Check Equiparado]]="Sí",IF(DATOS!AZ$5="Sí",(1/DATOS_[[% anualiz]:[% anualiz]]),1)*IF(DATOS!AZ$4="Sí",1/DATOS_[[% normaliz]:[% normaliz]],1)*(DATOS_[Conc.Sal.22])))))))),
0)</f>
        <v>0</v>
      </c>
      <c r="AF62" s="196">
        <f t="array" ref="AF62">IFERROR(
(AVERAGE((IF(DATOS_[[Sexo]:[Sexo]]=$B62,IF(DATOS_[[AGRUP. CLAS. PROF.]:[AGRUP. CLAS. PROF.]]=$B60,IF(DATOS_[[Check Periodo Ref.]:[Check Periodo Ref.]]="Dentro",IF(DATOS_[[Check Equiparado]:[Check Equiparado]]="Sí",IF(DATOS!BA$5="Sí",(1/DATOS_[[% anualiz]:[% anualiz]]),1)*IF(DATOS!BA$4="Sí",1/DATOS_[[% normaliz]:[% normaliz]],1)*(DATOS_[Conc.Sal.23])))))))),
0)</f>
        <v>0</v>
      </c>
      <c r="AG62" s="196">
        <f t="array" ref="AG62">IFERROR(
(AVERAGE((IF(DATOS_[[Sexo]:[Sexo]]=$B62,IF(DATOS_[[AGRUP. CLAS. PROF.]:[AGRUP. CLAS. PROF.]]=$B60,IF(DATOS_[[Check Periodo Ref.]:[Check Periodo Ref.]]="Dentro",IF(DATOS_[[Check Equiparado]:[Check Equiparado]]="Sí",IF(DATOS!BB$5="Sí",(1/DATOS_[[% anualiz]:[% anualiz]]),1)*IF(DATOS!BB$4="Sí",1/DATOS_[[% normaliz]:[% normaliz]],1)*(DATOS_[Conc.Sal.24])))))))),
0)</f>
        <v>0</v>
      </c>
      <c r="AH62" s="196">
        <f t="array" ref="AH62">IFERROR(
(AVERAGE((IF(DATOS_[[Sexo]:[Sexo]]=$B62,IF(DATOS_[[AGRUP. CLAS. PROF.]:[AGRUP. CLAS. PROF.]]=$B60,IF(DATOS_[[Check Periodo Ref.]:[Check Periodo Ref.]]="Dentro",IF(DATOS_[[Check Equiparado]:[Check Equiparado]]="Sí",IF(DATOS!BC$5="Sí",(1/DATOS_[[% anualiz]:[% anualiz]]),1)*IF(DATOS!BC$4="Sí",1/DATOS_[[% normaliz]:[% normaliz]],1)*(DATOS_[Conc.Sal.25])))))))),
0)</f>
        <v>0</v>
      </c>
      <c r="AI62" s="196">
        <f t="array" ref="AI62">IFERROR(
(AVERAGE((IF(DATOS_[[Sexo]:[Sexo]]=$B62,IF(DATOS_[[AGRUP. CLAS. PROF.]:[AGRUP. CLAS. PROF.]]=$B60,IF(DATOS_[[Check Periodo Ref.]:[Check Periodo Ref.]]="Dentro",IF(DATOS_[[Check Equiparado]:[Check Equiparado]]="Sí",IF(DATOS!BD$5="Sí",(1/DATOS_[[% anualiz]:[% anualiz]]),1)*IF(DATOS!BD$4="Sí",1/DATOS_[[% normaliz]:[% normaliz]],1)*(DATOS_[Conc.Sal.26])))))))),
0)</f>
        <v>0</v>
      </c>
      <c r="AJ62" s="196">
        <f t="array" ref="AJ62">IFERROR(
(AVERAGE((IF(DATOS_[[Sexo]:[Sexo]]=$B62,IF(DATOS_[[AGRUP. CLAS. PROF.]:[AGRUP. CLAS. PROF.]]=$B60,IF(DATOS_[[Check Periodo Ref.]:[Check Periodo Ref.]]="Dentro",IF(DATOS_[[Check Equiparado]:[Check Equiparado]]="Sí",IF(DATOS!BE$5="Sí",(1/DATOS_[[% anualiz]:[% anualiz]]),1)*IF(DATOS!BE$4="Sí",1/DATOS_[[% normaliz]:[% normaliz]],1)*(DATOS_[Conc.Sal.27])))))))),
0)</f>
        <v>0</v>
      </c>
      <c r="AK62" s="196">
        <f t="array" ref="AK62">IFERROR(
(AVERAGE((IF(DATOS_[[Sexo]:[Sexo]]=$B62,IF(DATOS_[[AGRUP. CLAS. PROF.]:[AGRUP. CLAS. PROF.]]=$B60,IF(DATOS_[[Check Periodo Ref.]:[Check Periodo Ref.]]="Dentro",IF(DATOS_[[Check Equiparado]:[Check Equiparado]]="Sí",IF(DATOS!BF$5="Sí",(1/DATOS_[[% anualiz]:[% anualiz]]),1)*IF(DATOS!BF$4="Sí",1/DATOS_[[% normaliz]:[% normaliz]],1)*(DATOS_[Conc.Sal.28])))))))),
0)</f>
        <v>0</v>
      </c>
      <c r="AL62" s="196">
        <f t="array" ref="AL62">IFERROR(
(AVERAGE((IF(DATOS_[[Sexo]:[Sexo]]=$B62,IF(DATOS_[[AGRUP. CLAS. PROF.]:[AGRUP. CLAS. PROF.]]=$B60,IF(DATOS_[[Check Periodo Ref.]:[Check Periodo Ref.]]="Dentro",IF(DATOS_[[Check Equiparado]:[Check Equiparado]]="Sí",IF(DATOS!BG$5="Sí",(1/DATOS_[[% anualiz]:[% anualiz]]),1)*IF(DATOS!BG$4="Sí",1/DATOS_[[% normaliz]:[% normaliz]],1)*(DATOS_[Conc.Sal.29])))))))),
0)</f>
        <v>0</v>
      </c>
      <c r="AM62" s="196">
        <f t="array" ref="AM62">IFERROR(
(AVERAGE((IF(DATOS_[[Sexo]:[Sexo]]=$B62,IF(DATOS_[[AGRUP. CLAS. PROF.]:[AGRUP. CLAS. PROF.]]=$B60,IF(DATOS_[[Check Periodo Ref.]:[Check Periodo Ref.]]="Dentro",IF(DATOS_[[Check Equiparado]:[Check Equiparado]]="Sí",IF(DATOS!BH$5="Sí",(1/DATOS_[[% anualiz]:[% anualiz]]),1)*IF(DATOS!BH$4="Sí",1/DATOS_[[% normaliz]:[% normaliz]],1)*(DATOS_[Conc.Sal.30])))))))),
0)</f>
        <v>0</v>
      </c>
      <c r="AN62" s="195">
        <f t="array" ref="AN62">IFERROR(
AVERAGE(IF(DATOS_[Sexo]=$B62,IF(DATOS_[[AGRUP. CLAS. PROF.]:[AGRUP. CLAS. PROF.]]=$B60,IF(DATOS_[Check Equiparado]="Sí",IF(DATOS_[Check Periodo Ref.]="Dentro",DATOS_[Tot COMPL.SAL Eq],FALSE))))),
0)</f>
        <v>0</v>
      </c>
      <c r="AO62" s="172">
        <f t="array" ref="AO62">IFERROR(
AVERAGE(IF(DATOS_[Sexo]=$B62,IF(DATOS_[[AGRUP. CLAS. PROF.]:[AGRUP. CLAS. PROF.]]=$B60,IF(DATOS_[Check Equiparado]="Sí",IF(DATOS_[Check Periodo Ref.]="Dentro",DATOS_[TOTAL SALARIO Eq],FALSE))))),
0)</f>
        <v>0</v>
      </c>
      <c r="AP62" s="173">
        <f t="array" ref="AP62">IFERROR(
(AVERAGE((IF(DATOS_[[Sexo]:[Sexo]]=$B62,IF(DATOS_[[AGRUP. CLAS. PROF.]:[AGRUP. CLAS. PROF.]]=$B60,IF(DATOS_[[Check Periodo Ref.]:[Check Periodo Ref.]]="Dentro",IF(DATOS_[[Check Equiparado]:[Check Equiparado]]="Sí",IF(DATOS!BW$5="Sí",(1/DATOS_[[% anualiz]:[% anualiz]]),1)*IF(DATOS!BW$4="Sí",1/DATOS_[[% normaliz]:[% normaliz]],1)*(DATOS_[C.Extra.01])))))))),
0)</f>
        <v>0</v>
      </c>
      <c r="AQ62" s="173">
        <f t="array" ref="AQ62">IFERROR(
(AVERAGE((IF(DATOS_[[Sexo]:[Sexo]]=$B62,IF(DATOS_[[AGRUP. CLAS. PROF.]:[AGRUP. CLAS. PROF.]]=$B60,IF(DATOS_[[Check Periodo Ref.]:[Check Periodo Ref.]]="Dentro",IF(DATOS_[[Check Equiparado]:[Check Equiparado]]="Sí",IF(DATOS!CB$5="Sí",(1/DATOS_[[% anualiz]:[% anualiz]]),1)*IF(DATOS!CB$4="Sí",1/DATOS_[[% normaliz]:[% normaliz]],1)*(DATOS_[C.Extra.06])))))))),
0)</f>
        <v>0</v>
      </c>
      <c r="AR62" s="173">
        <f t="array" ref="AR62">IFERROR(
(AVERAGE((IF(DATOS_[[Sexo]:[Sexo]]=$B62,IF(DATOS_[[AGRUP. CLAS. PROF.]:[AGRUP. CLAS. PROF.]]=$B60,IF(DATOS_[[Check Periodo Ref.]:[Check Periodo Ref.]]="Dentro",IF(DATOS_[[Check Equiparado]:[Check Equiparado]]="Sí",IF(DATOS!CC$5="Sí",(1/DATOS_[[% anualiz]:[% anualiz]]),1)*IF(DATOS!CC$4="Sí",1/DATOS_[[% normaliz]:[% normaliz]],1)*(DATOS_[C.Extra.07])))))))),
0)</f>
        <v>0</v>
      </c>
      <c r="AS62" s="173">
        <f t="array" ref="AS62">IFERROR(
(AVERAGE((IF(DATOS_[[Sexo]:[Sexo]]=$B62,IF(DATOS_[[AGRUP. CLAS. PROF.]:[AGRUP. CLAS. PROF.]]=$B60,IF(DATOS_[[Check Periodo Ref.]:[Check Periodo Ref.]]="Dentro",IF(DATOS_[[Check Equiparado]:[Check Equiparado]]="Sí",IF(DATOS!CD$5="Sí",(1/DATOS_[[% anualiz]:[% anualiz]]),1)*IF(DATOS!CD$4="Sí",1/DATOS_[[% normaliz]:[% normaliz]],1)*(DATOS_[C.Extra.08])))))))),
0)</f>
        <v>0</v>
      </c>
      <c r="AT62" s="173">
        <f t="array" ref="AT62">IFERROR(
(AVERAGE((IF(DATOS_[[Sexo]:[Sexo]]=$B62,IF(DATOS_[[AGRUP. CLAS. PROF.]:[AGRUP. CLAS. PROF.]]=$B60,IF(DATOS_[[Check Periodo Ref.]:[Check Periodo Ref.]]="Dentro",IF(DATOS_[[Check Equiparado]:[Check Equiparado]]="Sí",IF(DATOS!CG$5="Sí",(1/DATOS_[[% anualiz]:[% anualiz]]),1)*IF(DATOS!CG$4="Sí",1/DATOS_[[% normaliz]:[% normaliz]],1)*(DATOS_[C.Extra.11])))))))),
0)</f>
        <v>0</v>
      </c>
      <c r="AU62" s="197">
        <f t="array" ref="AU62">IFERROR(
AVERAGE(IF(DATOS_[Sexo]=$B62,IF(DATOS_[[AGRUP. CLAS. PROF.]:[AGRUP. CLAS. PROF.]]=$B60,IF(DATOS_[Check Equiparado]="Sí",IF(DATOS_[Check Periodo Ref.]="Dentro",DATOS_[Tot Extrasalarial Eq],FALSE))))),
0)</f>
        <v>0</v>
      </c>
      <c r="AV62" s="175">
        <f t="array" ref="AV62">IFERROR(
AVERAGE(IF(DATOS_[Sexo]=$B62,IF(DATOS_[[AGRUP. CLAS. PROF.]:[AGRUP. CLAS. PROF.]]=$B60,IF(DATOS_[Check Equiparado]="Sí",IF(DATOS_[Check Periodo Ref.]="Dentro",DATOS_[TOTAL Retrib Eq],FALSE))))),
0)</f>
        <v>0</v>
      </c>
    </row>
    <row r="63" spans="1:48" ht="15.6" hidden="1" thickBot="1" x14ac:dyDescent="0.3">
      <c r="A63" s="133" t="str">
        <f t="shared" ref="A63" si="67">+A64</f>
        <v>[ocultar]</v>
      </c>
      <c r="B63" s="199" t="s">
        <v>243</v>
      </c>
      <c r="C63" s="200"/>
      <c r="D63" s="201"/>
      <c r="E63" s="201"/>
      <c r="F63" s="201"/>
      <c r="G63" s="201"/>
      <c r="H63" s="201"/>
      <c r="I63" s="189" t="str">
        <f t="shared" ref="I63:AV63" si="68">IFERROR((I64-I65)/I64,"")</f>
        <v/>
      </c>
      <c r="J63" s="190" t="str">
        <f t="shared" si="68"/>
        <v/>
      </c>
      <c r="K63" s="191" t="str">
        <f t="shared" si="68"/>
        <v/>
      </c>
      <c r="L63" s="191" t="str">
        <f t="shared" si="68"/>
        <v/>
      </c>
      <c r="M63" s="191" t="str">
        <f t="shared" si="68"/>
        <v/>
      </c>
      <c r="N63" s="192" t="str">
        <f t="shared" si="68"/>
        <v/>
      </c>
      <c r="O63" s="193" t="str">
        <f t="shared" si="68"/>
        <v/>
      </c>
      <c r="P63" s="193" t="str">
        <f t="shared" si="68"/>
        <v/>
      </c>
      <c r="Q63" s="193" t="str">
        <f t="shared" si="68"/>
        <v/>
      </c>
      <c r="R63" s="193" t="str">
        <f t="shared" si="68"/>
        <v/>
      </c>
      <c r="S63" s="193" t="str">
        <f t="shared" si="68"/>
        <v/>
      </c>
      <c r="T63" s="193" t="str">
        <f t="shared" si="68"/>
        <v/>
      </c>
      <c r="U63" s="193" t="str">
        <f t="shared" si="68"/>
        <v/>
      </c>
      <c r="V63" s="193" t="str">
        <f t="shared" si="68"/>
        <v/>
      </c>
      <c r="W63" s="193" t="str">
        <f t="shared" si="68"/>
        <v/>
      </c>
      <c r="X63" s="193" t="str">
        <f t="shared" si="68"/>
        <v/>
      </c>
      <c r="Y63" s="193" t="str">
        <f t="shared" si="68"/>
        <v/>
      </c>
      <c r="Z63" s="193" t="str">
        <f t="shared" si="68"/>
        <v/>
      </c>
      <c r="AA63" s="193" t="str">
        <f t="shared" si="68"/>
        <v/>
      </c>
      <c r="AB63" s="193" t="str">
        <f t="shared" si="68"/>
        <v/>
      </c>
      <c r="AC63" s="193" t="str">
        <f t="shared" si="68"/>
        <v/>
      </c>
      <c r="AD63" s="193" t="str">
        <f t="shared" si="68"/>
        <v/>
      </c>
      <c r="AE63" s="193" t="str">
        <f t="shared" si="68"/>
        <v/>
      </c>
      <c r="AF63" s="193" t="str">
        <f t="shared" si="68"/>
        <v/>
      </c>
      <c r="AG63" s="193" t="str">
        <f t="shared" si="68"/>
        <v/>
      </c>
      <c r="AH63" s="193" t="str">
        <f t="shared" si="68"/>
        <v/>
      </c>
      <c r="AI63" s="193" t="str">
        <f t="shared" si="68"/>
        <v/>
      </c>
      <c r="AJ63" s="193" t="str">
        <f t="shared" si="68"/>
        <v/>
      </c>
      <c r="AK63" s="193" t="str">
        <f t="shared" si="68"/>
        <v/>
      </c>
      <c r="AL63" s="193" t="str">
        <f t="shared" si="68"/>
        <v/>
      </c>
      <c r="AM63" s="193" t="str">
        <f t="shared" si="68"/>
        <v/>
      </c>
      <c r="AN63" s="189" t="str">
        <f t="shared" si="68"/>
        <v/>
      </c>
      <c r="AO63" s="162" t="str">
        <f t="shared" si="68"/>
        <v/>
      </c>
      <c r="AP63" s="163" t="str">
        <f t="shared" si="68"/>
        <v/>
      </c>
      <c r="AQ63" s="163" t="str">
        <f t="shared" si="68"/>
        <v/>
      </c>
      <c r="AR63" s="163" t="str">
        <f t="shared" si="68"/>
        <v/>
      </c>
      <c r="AS63" s="163" t="str">
        <f t="shared" si="68"/>
        <v/>
      </c>
      <c r="AT63" s="163" t="str">
        <f t="shared" si="68"/>
        <v/>
      </c>
      <c r="AU63" s="194" t="str">
        <f t="shared" si="68"/>
        <v/>
      </c>
      <c r="AV63" s="165" t="str">
        <f t="shared" si="68"/>
        <v/>
      </c>
    </row>
    <row r="64" spans="1:48" hidden="1" x14ac:dyDescent="0.25">
      <c r="A64" s="133" t="str">
        <f t="shared" ref="A64" si="69">+IF(C64+C65=0,"[ocultar]","")</f>
        <v>[ocultar]</v>
      </c>
      <c r="B64" s="202" t="s">
        <v>394</v>
      </c>
      <c r="C64" s="203">
        <f t="array" ref="C64">SUM(IF($B64=DATOS_[Sexo],
IF($B63=DATOS_[AGRUP. CLAS. PROF.],
IF("Dentro"=DATOS_[Check Periodo Ref.],
1/(COUNTIFS(DATOS_[Sexo],$B64,DATOS_[AGRUP. CLAS. PROF.],$B63,DATOS_[Check Periodo Ref.],"Dentro",DATOS_[id/cod],DATOS_[id/cod]))))))</f>
        <v>0</v>
      </c>
      <c r="D64" s="204">
        <f>COUNTIFS(DATOS_[AGRUP. CLAS. PROF.],$B63,DATOS_[Sexo],$B64,DATOS_[Check Periodo Ref.],"Dentro")</f>
        <v>0</v>
      </c>
      <c r="E64" s="204">
        <f>COUNTIFS(DATOS_[AGRUP. CLAS. PROF.],$B63,DATOS_[Sexo],$B64,DATOS_[Check Periodo Ref.],"Dentro",DATOS_[Check Nº SC Norm],"Sí")</f>
        <v>0</v>
      </c>
      <c r="F64" s="204">
        <f>COUNTIFS(DATOS_[AGRUP. CLAS. PROF.],$B63,DATOS_[Sexo],$B64,DATOS_[Check Periodo Ref.],"Dentro",DATOS_[Check Nº SC Anualiz],"Sí")</f>
        <v>0</v>
      </c>
      <c r="G64" s="204">
        <f>COUNTIFS(DATOS_[AGRUP. CLAS. PROF.],$B63,DATOS_[Sexo],$B64,DATOS_[Check Periodo Ref.],"Dentro",DATOS_[Check Nº SC Norm y Anualiz],"Sí")</f>
        <v>0</v>
      </c>
      <c r="H64" s="204">
        <f>COUNTIFS(DATOS_[AGRUP. CLAS. PROF.],$B63,DATOS_[Sexo],$B64,DATOS_[Check Periodo Ref.],"Dentro",DATOS_[Check Equiparación],"Sí")</f>
        <v>0</v>
      </c>
      <c r="I64" s="195">
        <f t="array" ref="I64">IFERROR(
AVERAGE(IF(DATOS_[Sexo]=$B64,IF(DATOS_[[AGRUP. CLAS. PROF.]:[AGRUP. CLAS. PROF.]]=$B63,IF(DATOS_[Check Equiparado]="Sí",IF(DATOS_[Check Periodo Ref.]="Dentro",DATOS_[SALARIO BASE Eq],FALSE))))),
0)</f>
        <v>0</v>
      </c>
      <c r="J64" s="196">
        <f t="array" ref="J64">IFERROR(
(AVERAGE((IF(DATOS_[[Sexo]:[Sexo]]=$B64,IF(DATOS_[[AGRUP. CLAS. PROF.]:[AGRUP. CLAS. PROF.]]=$B63,IF(DATOS_[[Check Periodo Ref.]:[Check Periodo Ref.]]="Dentro",IF(DATOS_[[Check Equiparado]:[Check Equiparado]]="Sí",IF(DATOS!AE$5="Sí",(1/DATOS_[[% anualiz]:[% anualiz]]),1)*IF(DATOS!AE$4="Sí",1/DATOS_[[% normaliz]:[% normaliz]],1)*(DATOS_[Conc.Sal.01])))))))),
0)</f>
        <v>0</v>
      </c>
      <c r="K64" s="196">
        <f t="array" ref="K64">IFERROR(
(AVERAGE((IF(DATOS_[[Sexo]:[Sexo]]=$B64,IF(DATOS_[[AGRUP. CLAS. PROF.]:[AGRUP. CLAS. PROF.]]=$B63,IF(DATOS_[[Check Periodo Ref.]:[Check Periodo Ref.]]="Dentro",IF(DATOS_[[Check Equiparado]:[Check Equiparado]]="Sí",IF(DATOS!AF$5="Sí",(1/DATOS_[[% anualiz]:[% anualiz]]),1)*IF(DATOS!AF$4="Sí",1/DATOS_[[% normaliz]:[% normaliz]],1)*(DATOS_[Conc.Sal.02])))))))),
0)</f>
        <v>0</v>
      </c>
      <c r="L64" s="196">
        <f t="array" ref="L64">IFERROR(
(AVERAGE((IF(DATOS_[[Sexo]:[Sexo]]=$B64,IF(DATOS_[[AGRUP. CLAS. PROF.]:[AGRUP. CLAS. PROF.]]=$B63,IF(DATOS_[[Check Periodo Ref.]:[Check Periodo Ref.]]="Dentro",IF(DATOS_[[Check Equiparado]:[Check Equiparado]]="Sí",IF(DATOS!AG$5="Sí",(1/DATOS_[[% anualiz]:[% anualiz]]),1)*IF(DATOS!AG$4="Sí",1/DATOS_[[% normaliz]:[% normaliz]],1)*(DATOS_[Conc.Sal.03])))))))),
0)</f>
        <v>0</v>
      </c>
      <c r="M64" s="196">
        <f t="array" ref="M64">IFERROR(
(AVERAGE((IF(DATOS_[[Sexo]:[Sexo]]=$B64,IF(DATOS_[[AGRUP. CLAS. PROF.]:[AGRUP. CLAS. PROF.]]=$B63,IF(DATOS_[[Check Periodo Ref.]:[Check Periodo Ref.]]="Dentro",IF(DATOS_[[Check Equiparado]:[Check Equiparado]]="Sí",IF(DATOS!AH$5="Sí",(1/DATOS_[[% anualiz]:[% anualiz]]),1)*IF(DATOS!AH$4="Sí",1/DATOS_[[% normaliz]:[% normaliz]],1)*(DATOS_[Conc.Sal.04])))))))),
0)</f>
        <v>0</v>
      </c>
      <c r="N64" s="196">
        <f t="array" ref="N64">IFERROR(
(AVERAGE((IF(DATOS_[[Sexo]:[Sexo]]=$B64,IF(DATOS_[[AGRUP. CLAS. PROF.]:[AGRUP. CLAS. PROF.]]=$B63,IF(DATOS_[[Check Periodo Ref.]:[Check Periodo Ref.]]="Dentro",IF(DATOS_[[Check Equiparado]:[Check Equiparado]]="Sí",IF(DATOS!AI$5="Sí",(1/DATOS_[[% anualiz]:[% anualiz]]),1)*IF(DATOS!AI$4="Sí",1/DATOS_[[% normaliz]:[% normaliz]],1)*(DATOS_[Conc.Sal.05])))))))),
0)</f>
        <v>0</v>
      </c>
      <c r="O64" s="196">
        <f t="array" ref="O64">IFERROR(
(AVERAGE((IF(DATOS_[[Sexo]:[Sexo]]=$B64,IF(DATOS_[[AGRUP. CLAS. PROF.]:[AGRUP. CLAS. PROF.]]=$B63,IF(DATOS_[[Check Periodo Ref.]:[Check Periodo Ref.]]="Dentro",IF(DATOS_[[Check Equiparado]:[Check Equiparado]]="Sí",IF(DATOS!AJ$5="Sí",(1/DATOS_[[% anualiz]:[% anualiz]]),1)*IF(DATOS!AJ$4="Sí",1/DATOS_[[% normaliz]:[% normaliz]],1)*(DATOS_[Conc.Sal.06])))))))),
0)</f>
        <v>0</v>
      </c>
      <c r="P64" s="196">
        <f t="array" ref="P64">IFERROR(
(AVERAGE((IF(DATOS_[[Sexo]:[Sexo]]=$B64,IF(DATOS_[[AGRUP. CLAS. PROF.]:[AGRUP. CLAS. PROF.]]=$B63,IF(DATOS_[[Check Periodo Ref.]:[Check Periodo Ref.]]="Dentro",IF(DATOS_[[Check Equiparado]:[Check Equiparado]]="Sí",IF(DATOS!AK$5="Sí",(1/DATOS_[[% anualiz]:[% anualiz]]),1)*IF(DATOS!AK$4="Sí",1/DATOS_[[% normaliz]:[% normaliz]],1)*(DATOS_[Conc.Sal.07])))))))),
0)</f>
        <v>0</v>
      </c>
      <c r="Q64" s="196">
        <f t="array" ref="Q64">IFERROR(
(AVERAGE((IF(DATOS_[[Sexo]:[Sexo]]=$B64,IF(DATOS_[[AGRUP. CLAS. PROF.]:[AGRUP. CLAS. PROF.]]=$B63,IF(DATOS_[[Check Periodo Ref.]:[Check Periodo Ref.]]="Dentro",IF(DATOS_[[Check Equiparado]:[Check Equiparado]]="Sí",IF(DATOS!AL$5="Sí",(1/DATOS_[[% anualiz]:[% anualiz]]),1)*IF(DATOS!AL$4="Sí",1/DATOS_[[% normaliz]:[% normaliz]],1)*(DATOS_[Conc.Sal.08])))))))),
0)</f>
        <v>0</v>
      </c>
      <c r="R64" s="196">
        <f t="array" ref="R64">IFERROR(
(AVERAGE((IF(DATOS_[[Sexo]:[Sexo]]=$B64,IF(DATOS_[[AGRUP. CLAS. PROF.]:[AGRUP. CLAS. PROF.]]=$B63,IF(DATOS_[[Check Periodo Ref.]:[Check Periodo Ref.]]="Dentro",IF(DATOS_[[Check Equiparado]:[Check Equiparado]]="Sí",IF(DATOS!AM$5="Sí",(1/DATOS_[[% anualiz]:[% anualiz]]),1)*IF(DATOS!AM$4="Sí",1/DATOS_[[% normaliz]:[% normaliz]],1)*(DATOS_[Conc.Sal.09])))))))),
0)</f>
        <v>0</v>
      </c>
      <c r="S64" s="196">
        <f t="array" ref="S64">IFERROR(
(AVERAGE((IF(DATOS_[[Sexo]:[Sexo]]=$B64,IF(DATOS_[[AGRUP. CLAS. PROF.]:[AGRUP. CLAS. PROF.]]=$B63,IF(DATOS_[[Check Periodo Ref.]:[Check Periodo Ref.]]="Dentro",IF(DATOS_[[Check Equiparado]:[Check Equiparado]]="Sí",IF(DATOS!AN$5="Sí",(1/DATOS_[[% anualiz]:[% anualiz]]),1)*IF(DATOS!AN$4="Sí",1/DATOS_[[% normaliz]:[% normaliz]],1)*(DATOS_[Conc.Sal.10])))))))),
0)</f>
        <v>0</v>
      </c>
      <c r="T64" s="196">
        <f t="array" ref="T64">IFERROR(
(AVERAGE((IF(DATOS_[[Sexo]:[Sexo]]=$B64,IF(DATOS_[[AGRUP. CLAS. PROF.]:[AGRUP. CLAS. PROF.]]=$B63,IF(DATOS_[[Check Periodo Ref.]:[Check Periodo Ref.]]="Dentro",IF(DATOS_[[Check Equiparado]:[Check Equiparado]]="Sí",IF(DATOS!AO$5="Sí",(1/DATOS_[[% anualiz]:[% anualiz]]),1)*IF(DATOS!AO$4="Sí",1/DATOS_[[% normaliz]:[% normaliz]],1)*(DATOS_[Conc.Sal.11])))))))),
0)</f>
        <v>0</v>
      </c>
      <c r="U64" s="196">
        <f t="array" ref="U64">IFERROR(
(AVERAGE((IF(DATOS_[[Sexo]:[Sexo]]=$B64,IF(DATOS_[[AGRUP. CLAS. PROF.]:[AGRUP. CLAS. PROF.]]=$B63,IF(DATOS_[[Check Periodo Ref.]:[Check Periodo Ref.]]="Dentro",IF(DATOS_[[Check Equiparado]:[Check Equiparado]]="Sí",IF(DATOS!AP$5="Sí",(1/DATOS_[[% anualiz]:[% anualiz]]),1)*IF(DATOS!AP$4="Sí",1/DATOS_[[% normaliz]:[% normaliz]],1)*(DATOS_[Conc.Sal.12])))))))),
0)</f>
        <v>0</v>
      </c>
      <c r="V64" s="196">
        <f t="array" ref="V64">IFERROR(
(AVERAGE((IF(DATOS_[[Sexo]:[Sexo]]=$B64,IF(DATOS_[[AGRUP. CLAS. PROF.]:[AGRUP. CLAS. PROF.]]=$B63,IF(DATOS_[[Check Periodo Ref.]:[Check Periodo Ref.]]="Dentro",IF(DATOS_[[Check Equiparado]:[Check Equiparado]]="Sí",IF(DATOS!AQ$5="Sí",(1/DATOS_[[% anualiz]:[% anualiz]]),1)*IF(DATOS!AQ$4="Sí",1/DATOS_[[% normaliz]:[% normaliz]],1)*(DATOS_[Conc.Sal.13])))))))),
0)</f>
        <v>0</v>
      </c>
      <c r="W64" s="196">
        <f t="array" ref="W64">IFERROR(
(AVERAGE((IF(DATOS_[[Sexo]:[Sexo]]=$B64,IF(DATOS_[[AGRUP. CLAS. PROF.]:[AGRUP. CLAS. PROF.]]=$B63,IF(DATOS_[[Check Periodo Ref.]:[Check Periodo Ref.]]="Dentro",IF(DATOS_[[Check Equiparado]:[Check Equiparado]]="Sí",IF(DATOS!AR$5="Sí",(1/DATOS_[[% anualiz]:[% anualiz]]),1)*IF(DATOS!AR$4="Sí",1/DATOS_[[% normaliz]:[% normaliz]],1)*(DATOS_[Conc.Sal.14])))))))),
0)</f>
        <v>0</v>
      </c>
      <c r="X64" s="196">
        <f t="array" ref="X64">IFERROR(
(AVERAGE((IF(DATOS_[[Sexo]:[Sexo]]=$B64,IF(DATOS_[[AGRUP. CLAS. PROF.]:[AGRUP. CLAS. PROF.]]=$B63,IF(DATOS_[[Check Periodo Ref.]:[Check Periodo Ref.]]="Dentro",IF(DATOS_[[Check Equiparado]:[Check Equiparado]]="Sí",IF(DATOS!AS$5="Sí",(1/DATOS_[[% anualiz]:[% anualiz]]),1)*IF(DATOS!AS$4="Sí",1/DATOS_[[% normaliz]:[% normaliz]],1)*(DATOS_[Conc.Sal.15])))))))),
0)</f>
        <v>0</v>
      </c>
      <c r="Y64" s="196">
        <f t="array" ref="Y64">IFERROR(
(AVERAGE((IF(DATOS_[[Sexo]:[Sexo]]=$B64,IF(DATOS_[[AGRUP. CLAS. PROF.]:[AGRUP. CLAS. PROF.]]=$B63,IF(DATOS_[[Check Periodo Ref.]:[Check Periodo Ref.]]="Dentro",IF(DATOS_[[Check Equiparado]:[Check Equiparado]]="Sí",IF(DATOS!AT$5="Sí",(1/DATOS_[[% anualiz]:[% anualiz]]),1)*IF(DATOS!AT$4="Sí",1/DATOS_[[% normaliz]:[% normaliz]],1)*(DATOS_[Conc.Sal.16])))))))),
0)</f>
        <v>0</v>
      </c>
      <c r="Z64" s="196">
        <f t="array" ref="Z64">IFERROR(
(AVERAGE((IF(DATOS_[[Sexo]:[Sexo]]=$B64,IF(DATOS_[[AGRUP. CLAS. PROF.]:[AGRUP. CLAS. PROF.]]=$B63,IF(DATOS_[[Check Periodo Ref.]:[Check Periodo Ref.]]="Dentro",IF(DATOS_[[Check Equiparado]:[Check Equiparado]]="Sí",IF(DATOS!AU$5="Sí",(1/DATOS_[[% anualiz]:[% anualiz]]),1)*IF(DATOS!AU$4="Sí",1/DATOS_[[% normaliz]:[% normaliz]],1)*(DATOS_[Conc.Sal.17])))))))),
0)</f>
        <v>0</v>
      </c>
      <c r="AA64" s="196">
        <f t="array" ref="AA64">IFERROR(
(AVERAGE((IF(DATOS_[[Sexo]:[Sexo]]=$B64,IF(DATOS_[[AGRUP. CLAS. PROF.]:[AGRUP. CLAS. PROF.]]=$B63,IF(DATOS_[[Check Periodo Ref.]:[Check Periodo Ref.]]="Dentro",IF(DATOS_[[Check Equiparado]:[Check Equiparado]]="Sí",IF(DATOS!AV$5="Sí",(1/DATOS_[[% anualiz]:[% anualiz]]),1)*IF(DATOS!AV$4="Sí",1/DATOS_[[% normaliz]:[% normaliz]],1)*(DATOS_[Conc.Sal.18])))))))),
0)</f>
        <v>0</v>
      </c>
      <c r="AB64" s="196">
        <f t="array" ref="AB64">IFERROR(
(AVERAGE((IF(DATOS_[[Sexo]:[Sexo]]=$B64,IF(DATOS_[[AGRUP. CLAS. PROF.]:[AGRUP. CLAS. PROF.]]=$B63,IF(DATOS_[[Check Periodo Ref.]:[Check Periodo Ref.]]="Dentro",IF(DATOS_[[Check Equiparado]:[Check Equiparado]]="Sí",IF(DATOS!AW$5="Sí",(1/DATOS_[[% anualiz]:[% anualiz]]),1)*IF(DATOS!AW$4="Sí",1/DATOS_[[% normaliz]:[% normaliz]],1)*(DATOS_[Conc.Sal.19])))))))),
0)</f>
        <v>0</v>
      </c>
      <c r="AC64" s="196">
        <f t="array" ref="AC64">IFERROR(
(AVERAGE((IF(DATOS_[[Sexo]:[Sexo]]=$B64,IF(DATOS_[[AGRUP. CLAS. PROF.]:[AGRUP. CLAS. PROF.]]=$B63,IF(DATOS_[[Check Periodo Ref.]:[Check Periodo Ref.]]="Dentro",IF(DATOS_[[Check Equiparado]:[Check Equiparado]]="Sí",IF(DATOS!AX$5="Sí",(1/DATOS_[[% anualiz]:[% anualiz]]),1)*IF(DATOS!AX$4="Sí",1/DATOS_[[% normaliz]:[% normaliz]],1)*(DATOS_[Conc.Sal.20])))))))),
0)</f>
        <v>0</v>
      </c>
      <c r="AD64" s="196">
        <f t="array" ref="AD64">IFERROR(
(AVERAGE((IF(DATOS_[[Sexo]:[Sexo]]=$B64,IF(DATOS_[[AGRUP. CLAS. PROF.]:[AGRUP. CLAS. PROF.]]=$B63,IF(DATOS_[[Check Periodo Ref.]:[Check Periodo Ref.]]="Dentro",IF(DATOS_[[Check Equiparado]:[Check Equiparado]]="Sí",IF(DATOS!AY$5="Sí",(1/DATOS_[[% anualiz]:[% anualiz]]),1)*IF(DATOS!AY$4="Sí",1/DATOS_[[% normaliz]:[% normaliz]],1)*(DATOS_[Conc.Sal.21])))))))),
0)</f>
        <v>0</v>
      </c>
      <c r="AE64" s="196">
        <f t="array" ref="AE64">IFERROR(
(AVERAGE((IF(DATOS_[[Sexo]:[Sexo]]=$B64,IF(DATOS_[[AGRUP. CLAS. PROF.]:[AGRUP. CLAS. PROF.]]=$B63,IF(DATOS_[[Check Periodo Ref.]:[Check Periodo Ref.]]="Dentro",IF(DATOS_[[Check Equiparado]:[Check Equiparado]]="Sí",IF(DATOS!AZ$5="Sí",(1/DATOS_[[% anualiz]:[% anualiz]]),1)*IF(DATOS!AZ$4="Sí",1/DATOS_[[% normaliz]:[% normaliz]],1)*(DATOS_[Conc.Sal.22])))))))),
0)</f>
        <v>0</v>
      </c>
      <c r="AF64" s="196">
        <f t="array" ref="AF64">IFERROR(
(AVERAGE((IF(DATOS_[[Sexo]:[Sexo]]=$B64,IF(DATOS_[[AGRUP. CLAS. PROF.]:[AGRUP. CLAS. PROF.]]=$B63,IF(DATOS_[[Check Periodo Ref.]:[Check Periodo Ref.]]="Dentro",IF(DATOS_[[Check Equiparado]:[Check Equiparado]]="Sí",IF(DATOS!BA$5="Sí",(1/DATOS_[[% anualiz]:[% anualiz]]),1)*IF(DATOS!BA$4="Sí",1/DATOS_[[% normaliz]:[% normaliz]],1)*(DATOS_[Conc.Sal.23])))))))),
0)</f>
        <v>0</v>
      </c>
      <c r="AG64" s="196">
        <f t="array" ref="AG64">IFERROR(
(AVERAGE((IF(DATOS_[[Sexo]:[Sexo]]=$B64,IF(DATOS_[[AGRUP. CLAS. PROF.]:[AGRUP. CLAS. PROF.]]=$B63,IF(DATOS_[[Check Periodo Ref.]:[Check Periodo Ref.]]="Dentro",IF(DATOS_[[Check Equiparado]:[Check Equiparado]]="Sí",IF(DATOS!BB$5="Sí",(1/DATOS_[[% anualiz]:[% anualiz]]),1)*IF(DATOS!BB$4="Sí",1/DATOS_[[% normaliz]:[% normaliz]],1)*(DATOS_[Conc.Sal.24])))))))),
0)</f>
        <v>0</v>
      </c>
      <c r="AH64" s="196">
        <f t="array" ref="AH64">IFERROR(
(AVERAGE((IF(DATOS_[[Sexo]:[Sexo]]=$B64,IF(DATOS_[[AGRUP. CLAS. PROF.]:[AGRUP. CLAS. PROF.]]=$B63,IF(DATOS_[[Check Periodo Ref.]:[Check Periodo Ref.]]="Dentro",IF(DATOS_[[Check Equiparado]:[Check Equiparado]]="Sí",IF(DATOS!BC$5="Sí",(1/DATOS_[[% anualiz]:[% anualiz]]),1)*IF(DATOS!BC$4="Sí",1/DATOS_[[% normaliz]:[% normaliz]],1)*(DATOS_[Conc.Sal.25])))))))),
0)</f>
        <v>0</v>
      </c>
      <c r="AI64" s="196">
        <f t="array" ref="AI64">IFERROR(
(AVERAGE((IF(DATOS_[[Sexo]:[Sexo]]=$B64,IF(DATOS_[[AGRUP. CLAS. PROF.]:[AGRUP. CLAS. PROF.]]=$B63,IF(DATOS_[[Check Periodo Ref.]:[Check Periodo Ref.]]="Dentro",IF(DATOS_[[Check Equiparado]:[Check Equiparado]]="Sí",IF(DATOS!BD$5="Sí",(1/DATOS_[[% anualiz]:[% anualiz]]),1)*IF(DATOS!BD$4="Sí",1/DATOS_[[% normaliz]:[% normaliz]],1)*(DATOS_[Conc.Sal.26])))))))),
0)</f>
        <v>0</v>
      </c>
      <c r="AJ64" s="196">
        <f t="array" ref="AJ64">IFERROR(
(AVERAGE((IF(DATOS_[[Sexo]:[Sexo]]=$B64,IF(DATOS_[[AGRUP. CLAS. PROF.]:[AGRUP. CLAS. PROF.]]=$B63,IF(DATOS_[[Check Periodo Ref.]:[Check Periodo Ref.]]="Dentro",IF(DATOS_[[Check Equiparado]:[Check Equiparado]]="Sí",IF(DATOS!BE$5="Sí",(1/DATOS_[[% anualiz]:[% anualiz]]),1)*IF(DATOS!BE$4="Sí",1/DATOS_[[% normaliz]:[% normaliz]],1)*(DATOS_[Conc.Sal.27])))))))),
0)</f>
        <v>0</v>
      </c>
      <c r="AK64" s="196">
        <f t="array" ref="AK64">IFERROR(
(AVERAGE((IF(DATOS_[[Sexo]:[Sexo]]=$B64,IF(DATOS_[[AGRUP. CLAS. PROF.]:[AGRUP. CLAS. PROF.]]=$B63,IF(DATOS_[[Check Periodo Ref.]:[Check Periodo Ref.]]="Dentro",IF(DATOS_[[Check Equiparado]:[Check Equiparado]]="Sí",IF(DATOS!BF$5="Sí",(1/DATOS_[[% anualiz]:[% anualiz]]),1)*IF(DATOS!BF$4="Sí",1/DATOS_[[% normaliz]:[% normaliz]],1)*(DATOS_[Conc.Sal.28])))))))),
0)</f>
        <v>0</v>
      </c>
      <c r="AL64" s="196">
        <f t="array" ref="AL64">IFERROR(
(AVERAGE((IF(DATOS_[[Sexo]:[Sexo]]=$B64,IF(DATOS_[[AGRUP. CLAS. PROF.]:[AGRUP. CLAS. PROF.]]=$B63,IF(DATOS_[[Check Periodo Ref.]:[Check Periodo Ref.]]="Dentro",IF(DATOS_[[Check Equiparado]:[Check Equiparado]]="Sí",IF(DATOS!BG$5="Sí",(1/DATOS_[[% anualiz]:[% anualiz]]),1)*IF(DATOS!BG$4="Sí",1/DATOS_[[% normaliz]:[% normaliz]],1)*(DATOS_[Conc.Sal.29])))))))),
0)</f>
        <v>0</v>
      </c>
      <c r="AM64" s="196">
        <f t="array" ref="AM64">IFERROR(
(AVERAGE((IF(DATOS_[[Sexo]:[Sexo]]=$B64,IF(DATOS_[[AGRUP. CLAS. PROF.]:[AGRUP. CLAS. PROF.]]=$B63,IF(DATOS_[[Check Periodo Ref.]:[Check Periodo Ref.]]="Dentro",IF(DATOS_[[Check Equiparado]:[Check Equiparado]]="Sí",IF(DATOS!BH$5="Sí",(1/DATOS_[[% anualiz]:[% anualiz]]),1)*IF(DATOS!BH$4="Sí",1/DATOS_[[% normaliz]:[% normaliz]],1)*(DATOS_[Conc.Sal.30])))))))),
0)</f>
        <v>0</v>
      </c>
      <c r="AN64" s="195">
        <f t="array" ref="AN64">IFERROR(
AVERAGE(IF(DATOS_[Sexo]=$B64,IF(DATOS_[[AGRUP. CLAS. PROF.]:[AGRUP. CLAS. PROF.]]=$B63,IF(DATOS_[Check Equiparado]="Sí",IF(DATOS_[Check Periodo Ref.]="Dentro",DATOS_[Tot COMPL.SAL Eq],FALSE))))),
0)</f>
        <v>0</v>
      </c>
      <c r="AO64" s="172">
        <f t="array" ref="AO64">IFERROR(
AVERAGE(IF(DATOS_[Sexo]=$B64,IF(DATOS_[[AGRUP. CLAS. PROF.]:[AGRUP. CLAS. PROF.]]=$B63,IF(DATOS_[Check Equiparado]="Sí",IF(DATOS_[Check Periodo Ref.]="Dentro",DATOS_[TOTAL SALARIO Eq],FALSE))))),
0)</f>
        <v>0</v>
      </c>
      <c r="AP64" s="173">
        <f t="array" ref="AP64">IFERROR(
(AVERAGE((IF(DATOS_[[Sexo]:[Sexo]]=$B64,IF(DATOS_[[AGRUP. CLAS. PROF.]:[AGRUP. CLAS. PROF.]]=$B63,IF(DATOS_[[Check Periodo Ref.]:[Check Periodo Ref.]]="Dentro",IF(DATOS_[[Check Equiparado]:[Check Equiparado]]="Sí",IF(DATOS!BW$5="Sí",(1/DATOS_[[% anualiz]:[% anualiz]]),1)*IF(DATOS!BW$4="Sí",1/DATOS_[[% normaliz]:[% normaliz]],1)*(DATOS_[C.Extra.01])))))))),
0)</f>
        <v>0</v>
      </c>
      <c r="AQ64" s="173">
        <f t="array" ref="AQ64">IFERROR(
(AVERAGE((IF(DATOS_[[Sexo]:[Sexo]]=$B64,IF(DATOS_[[AGRUP. CLAS. PROF.]:[AGRUP. CLAS. PROF.]]=$B63,IF(DATOS_[[Check Periodo Ref.]:[Check Periodo Ref.]]="Dentro",IF(DATOS_[[Check Equiparado]:[Check Equiparado]]="Sí",IF(DATOS!CB$5="Sí",(1/DATOS_[[% anualiz]:[% anualiz]]),1)*IF(DATOS!CB$4="Sí",1/DATOS_[[% normaliz]:[% normaliz]],1)*(DATOS_[C.Extra.06])))))))),
0)</f>
        <v>0</v>
      </c>
      <c r="AR64" s="173">
        <f t="array" ref="AR64">IFERROR(
(AVERAGE((IF(DATOS_[[Sexo]:[Sexo]]=$B64,IF(DATOS_[[AGRUP. CLAS. PROF.]:[AGRUP. CLAS. PROF.]]=$B63,IF(DATOS_[[Check Periodo Ref.]:[Check Periodo Ref.]]="Dentro",IF(DATOS_[[Check Equiparado]:[Check Equiparado]]="Sí",IF(DATOS!CC$5="Sí",(1/DATOS_[[% anualiz]:[% anualiz]]),1)*IF(DATOS!CC$4="Sí",1/DATOS_[[% normaliz]:[% normaliz]],1)*(DATOS_[C.Extra.07])))))))),
0)</f>
        <v>0</v>
      </c>
      <c r="AS64" s="173">
        <f t="array" ref="AS64">IFERROR(
(AVERAGE((IF(DATOS_[[Sexo]:[Sexo]]=$B64,IF(DATOS_[[AGRUP. CLAS. PROF.]:[AGRUP. CLAS. PROF.]]=$B63,IF(DATOS_[[Check Periodo Ref.]:[Check Periodo Ref.]]="Dentro",IF(DATOS_[[Check Equiparado]:[Check Equiparado]]="Sí",IF(DATOS!CD$5="Sí",(1/DATOS_[[% anualiz]:[% anualiz]]),1)*IF(DATOS!CD$4="Sí",1/DATOS_[[% normaliz]:[% normaliz]],1)*(DATOS_[C.Extra.08])))))))),
0)</f>
        <v>0</v>
      </c>
      <c r="AT64" s="173">
        <f t="array" ref="AT64">IFERROR(
(AVERAGE((IF(DATOS_[[Sexo]:[Sexo]]=$B64,IF(DATOS_[[AGRUP. CLAS. PROF.]:[AGRUP. CLAS. PROF.]]=$B63,IF(DATOS_[[Check Periodo Ref.]:[Check Periodo Ref.]]="Dentro",IF(DATOS_[[Check Equiparado]:[Check Equiparado]]="Sí",IF(DATOS!CG$5="Sí",(1/DATOS_[[% anualiz]:[% anualiz]]),1)*IF(DATOS!CG$4="Sí",1/DATOS_[[% normaliz]:[% normaliz]],1)*(DATOS_[C.Extra.11])))))))),
0)</f>
        <v>0</v>
      </c>
      <c r="AU64" s="197">
        <f t="array" ref="AU64">IFERROR(
AVERAGE(IF(DATOS_[Sexo]=$B64,IF(DATOS_[[AGRUP. CLAS. PROF.]:[AGRUP. CLAS. PROF.]]=$B63,IF(DATOS_[Check Equiparado]="Sí",IF(DATOS_[Check Periodo Ref.]="Dentro",DATOS_[Tot Extrasalarial Eq],FALSE))))),
0)</f>
        <v>0</v>
      </c>
      <c r="AV64" s="175">
        <f t="array" ref="AV64">IFERROR(
AVERAGE(IF(DATOS_[Sexo]=$B64,IF(DATOS_[[AGRUP. CLAS. PROF.]:[AGRUP. CLAS. PROF.]]=$B63,IF(DATOS_[Check Equiparado]="Sí",IF(DATOS_[Check Periodo Ref.]="Dentro",DATOS_[TOTAL Retrib Eq],FALSE))))),
0)</f>
        <v>0</v>
      </c>
    </row>
    <row r="65" spans="1:48" hidden="1" x14ac:dyDescent="0.25">
      <c r="A65" s="133" t="str">
        <f t="shared" ref="A65" si="70">+A64</f>
        <v>[ocultar]</v>
      </c>
      <c r="B65" s="202" t="s">
        <v>521</v>
      </c>
      <c r="C65" s="203">
        <f t="array" ref="C65">SUM(IF($B65=DATOS_[Sexo],
IF($B63=DATOS_[AGRUP. CLAS. PROF.],
IF("Dentro"=DATOS_[Check Periodo Ref.],
1/(COUNTIFS(DATOS_[Sexo],$B65,DATOS_[AGRUP. CLAS. PROF.],$B63,DATOS_[Check Periodo Ref.],"Dentro",DATOS_[id/cod],DATOS_[id/cod]))))))</f>
        <v>0</v>
      </c>
      <c r="D65" s="204">
        <f>COUNTIFS(DATOS_[AGRUP. CLAS. PROF.],$B63,DATOS_[Sexo],$B65,DATOS_[Check Periodo Ref.],"Dentro")</f>
        <v>0</v>
      </c>
      <c r="E65" s="204">
        <f>COUNTIFS(DATOS_[AGRUP. CLAS. PROF.],$B63,DATOS_[Sexo],$B65,DATOS_[Check Periodo Ref.],"Dentro",DATOS_[Check Nº SC Norm],"Sí")</f>
        <v>0</v>
      </c>
      <c r="F65" s="204">
        <f>COUNTIFS(DATOS_[AGRUP. CLAS. PROF.],$B63,DATOS_[Sexo],$B65,DATOS_[Check Periodo Ref.],"Dentro",DATOS_[Check Nº SC Anualiz],"Sí")</f>
        <v>0</v>
      </c>
      <c r="G65" s="204">
        <f>COUNTIFS(DATOS_[AGRUP. CLAS. PROF.],$B63,DATOS_[Sexo],$B65,DATOS_[Check Periodo Ref.],"Dentro",DATOS_[Check Nº SC Norm y Anualiz],"Sí")</f>
        <v>0</v>
      </c>
      <c r="H65" s="204">
        <f>COUNTIFS(DATOS_[AGRUP. CLAS. PROF.],$B63,DATOS_[Sexo],$B65,DATOS_[Check Periodo Ref.],"Dentro",DATOS_[Check Equiparación],"Sí")</f>
        <v>0</v>
      </c>
      <c r="I65" s="195" cm="1">
        <f t="array" ref="I65">IFERROR(
AVERAGE(IF(DATOS_[Sexo]=$B65,IF(DATOS_[[AGRUP. CLAS. PROF.]:[AGRUP. CLAS. PROF.]]=$B63,IF(DATOS_[Check Equiparado]="Sí",IF(DATOS_[Check Periodo Ref.]="Dentro",DATOS_[SALARIO BASE Eq],FALSE))))),
0)</f>
        <v>0</v>
      </c>
      <c r="J65" s="196">
        <f t="array" ref="J65">IFERROR(
(AVERAGE((IF(DATOS_[[Sexo]:[Sexo]]=$B65,IF(DATOS_[[AGRUP. CLAS. PROF.]:[AGRUP. CLAS. PROF.]]=$B63,IF(DATOS_[[Check Periodo Ref.]:[Check Periodo Ref.]]="Dentro",IF(DATOS_[[Check Equiparado]:[Check Equiparado]]="Sí",IF(DATOS!AE$5="Sí",(1/DATOS_[[% anualiz]:[% anualiz]]),1)*IF(DATOS!AE$4="Sí",1/DATOS_[[% normaliz]:[% normaliz]],1)*(DATOS_[Conc.Sal.01])))))))),
0)</f>
        <v>0</v>
      </c>
      <c r="K65" s="196">
        <f t="array" ref="K65">IFERROR(
(AVERAGE((IF(DATOS_[[Sexo]:[Sexo]]=$B65,IF(DATOS_[[AGRUP. CLAS. PROF.]:[AGRUP. CLAS. PROF.]]=$B63,IF(DATOS_[[Check Periodo Ref.]:[Check Periodo Ref.]]="Dentro",IF(DATOS_[[Check Equiparado]:[Check Equiparado]]="Sí",IF(DATOS!AF$5="Sí",(1/DATOS_[[% anualiz]:[% anualiz]]),1)*IF(DATOS!AF$4="Sí",1/DATOS_[[% normaliz]:[% normaliz]],1)*(DATOS_[Conc.Sal.02])))))))),
0)</f>
        <v>0</v>
      </c>
      <c r="L65" s="196">
        <f t="array" ref="L65">IFERROR(
(AVERAGE((IF(DATOS_[[Sexo]:[Sexo]]=$B65,IF(DATOS_[[AGRUP. CLAS. PROF.]:[AGRUP. CLAS. PROF.]]=$B63,IF(DATOS_[[Check Periodo Ref.]:[Check Periodo Ref.]]="Dentro",IF(DATOS_[[Check Equiparado]:[Check Equiparado]]="Sí",IF(DATOS!AG$5="Sí",(1/DATOS_[[% anualiz]:[% anualiz]]),1)*IF(DATOS!AG$4="Sí",1/DATOS_[[% normaliz]:[% normaliz]],1)*(DATOS_[Conc.Sal.03])))))))),
0)</f>
        <v>0</v>
      </c>
      <c r="M65" s="196">
        <f t="array" ref="M65">IFERROR(
(AVERAGE((IF(DATOS_[[Sexo]:[Sexo]]=$B65,IF(DATOS_[[AGRUP. CLAS. PROF.]:[AGRUP. CLAS. PROF.]]=$B63,IF(DATOS_[[Check Periodo Ref.]:[Check Periodo Ref.]]="Dentro",IF(DATOS_[[Check Equiparado]:[Check Equiparado]]="Sí",IF(DATOS!AH$5="Sí",(1/DATOS_[[% anualiz]:[% anualiz]]),1)*IF(DATOS!AH$4="Sí",1/DATOS_[[% normaliz]:[% normaliz]],1)*(DATOS_[Conc.Sal.04])))))))),
0)</f>
        <v>0</v>
      </c>
      <c r="N65" s="196">
        <f t="array" ref="N65">IFERROR(
(AVERAGE((IF(DATOS_[[Sexo]:[Sexo]]=$B65,IF(DATOS_[[AGRUP. CLAS. PROF.]:[AGRUP. CLAS. PROF.]]=$B63,IF(DATOS_[[Check Periodo Ref.]:[Check Periodo Ref.]]="Dentro",IF(DATOS_[[Check Equiparado]:[Check Equiparado]]="Sí",IF(DATOS!AI$5="Sí",(1/DATOS_[[% anualiz]:[% anualiz]]),1)*IF(DATOS!AI$4="Sí",1/DATOS_[[% normaliz]:[% normaliz]],1)*(DATOS_[Conc.Sal.05])))))))),
0)</f>
        <v>0</v>
      </c>
      <c r="O65" s="196">
        <f t="array" ref="O65">IFERROR(
(AVERAGE((IF(DATOS_[[Sexo]:[Sexo]]=$B65,IF(DATOS_[[AGRUP. CLAS. PROF.]:[AGRUP. CLAS. PROF.]]=$B63,IF(DATOS_[[Check Periodo Ref.]:[Check Periodo Ref.]]="Dentro",IF(DATOS_[[Check Equiparado]:[Check Equiparado]]="Sí",IF(DATOS!AJ$5="Sí",(1/DATOS_[[% anualiz]:[% anualiz]]),1)*IF(DATOS!AJ$4="Sí",1/DATOS_[[% normaliz]:[% normaliz]],1)*(DATOS_[Conc.Sal.06])))))))),
0)</f>
        <v>0</v>
      </c>
      <c r="P65" s="196">
        <f t="array" ref="P65">IFERROR(
(AVERAGE((IF(DATOS_[[Sexo]:[Sexo]]=$B65,IF(DATOS_[[AGRUP. CLAS. PROF.]:[AGRUP. CLAS. PROF.]]=$B63,IF(DATOS_[[Check Periodo Ref.]:[Check Periodo Ref.]]="Dentro",IF(DATOS_[[Check Equiparado]:[Check Equiparado]]="Sí",IF(DATOS!AK$5="Sí",(1/DATOS_[[% anualiz]:[% anualiz]]),1)*IF(DATOS!AK$4="Sí",1/DATOS_[[% normaliz]:[% normaliz]],1)*(DATOS_[Conc.Sal.07])))))))),
0)</f>
        <v>0</v>
      </c>
      <c r="Q65" s="196">
        <f t="array" ref="Q65">IFERROR(
(AVERAGE((IF(DATOS_[[Sexo]:[Sexo]]=$B65,IF(DATOS_[[AGRUP. CLAS. PROF.]:[AGRUP. CLAS. PROF.]]=$B63,IF(DATOS_[[Check Periodo Ref.]:[Check Periodo Ref.]]="Dentro",IF(DATOS_[[Check Equiparado]:[Check Equiparado]]="Sí",IF(DATOS!AL$5="Sí",(1/DATOS_[[% anualiz]:[% anualiz]]),1)*IF(DATOS!AL$4="Sí",1/DATOS_[[% normaliz]:[% normaliz]],1)*(DATOS_[Conc.Sal.08])))))))),
0)</f>
        <v>0</v>
      </c>
      <c r="R65" s="196">
        <f t="array" ref="R65">IFERROR(
(AVERAGE((IF(DATOS_[[Sexo]:[Sexo]]=$B65,IF(DATOS_[[AGRUP. CLAS. PROF.]:[AGRUP. CLAS. PROF.]]=$B63,IF(DATOS_[[Check Periodo Ref.]:[Check Periodo Ref.]]="Dentro",IF(DATOS_[[Check Equiparado]:[Check Equiparado]]="Sí",IF(DATOS!AM$5="Sí",(1/DATOS_[[% anualiz]:[% anualiz]]),1)*IF(DATOS!AM$4="Sí",1/DATOS_[[% normaliz]:[% normaliz]],1)*(DATOS_[Conc.Sal.09])))))))),
0)</f>
        <v>0</v>
      </c>
      <c r="S65" s="196">
        <f t="array" ref="S65">IFERROR(
(AVERAGE((IF(DATOS_[[Sexo]:[Sexo]]=$B65,IF(DATOS_[[AGRUP. CLAS. PROF.]:[AGRUP. CLAS. PROF.]]=$B63,IF(DATOS_[[Check Periodo Ref.]:[Check Periodo Ref.]]="Dentro",IF(DATOS_[[Check Equiparado]:[Check Equiparado]]="Sí",IF(DATOS!AN$5="Sí",(1/DATOS_[[% anualiz]:[% anualiz]]),1)*IF(DATOS!AN$4="Sí",1/DATOS_[[% normaliz]:[% normaliz]],1)*(DATOS_[Conc.Sal.10])))))))),
0)</f>
        <v>0</v>
      </c>
      <c r="T65" s="196">
        <f t="array" ref="T65">IFERROR(
(AVERAGE((IF(DATOS_[[Sexo]:[Sexo]]=$B65,IF(DATOS_[[AGRUP. CLAS. PROF.]:[AGRUP. CLAS. PROF.]]=$B63,IF(DATOS_[[Check Periodo Ref.]:[Check Periodo Ref.]]="Dentro",IF(DATOS_[[Check Equiparado]:[Check Equiparado]]="Sí",IF(DATOS!AO$5="Sí",(1/DATOS_[[% anualiz]:[% anualiz]]),1)*IF(DATOS!AO$4="Sí",1/DATOS_[[% normaliz]:[% normaliz]],1)*(DATOS_[Conc.Sal.11])))))))),
0)</f>
        <v>0</v>
      </c>
      <c r="U65" s="196">
        <f t="array" ref="U65">IFERROR(
(AVERAGE((IF(DATOS_[[Sexo]:[Sexo]]=$B65,IF(DATOS_[[AGRUP. CLAS. PROF.]:[AGRUP. CLAS. PROF.]]=$B63,IF(DATOS_[[Check Periodo Ref.]:[Check Periodo Ref.]]="Dentro",IF(DATOS_[[Check Equiparado]:[Check Equiparado]]="Sí",IF(DATOS!AP$5="Sí",(1/DATOS_[[% anualiz]:[% anualiz]]),1)*IF(DATOS!AP$4="Sí",1/DATOS_[[% normaliz]:[% normaliz]],1)*(DATOS_[Conc.Sal.12])))))))),
0)</f>
        <v>0</v>
      </c>
      <c r="V65" s="196">
        <f t="array" ref="V65">IFERROR(
(AVERAGE((IF(DATOS_[[Sexo]:[Sexo]]=$B65,IF(DATOS_[[AGRUP. CLAS. PROF.]:[AGRUP. CLAS. PROF.]]=$B63,IF(DATOS_[[Check Periodo Ref.]:[Check Periodo Ref.]]="Dentro",IF(DATOS_[[Check Equiparado]:[Check Equiparado]]="Sí",IF(DATOS!AQ$5="Sí",(1/DATOS_[[% anualiz]:[% anualiz]]),1)*IF(DATOS!AQ$4="Sí",1/DATOS_[[% normaliz]:[% normaliz]],1)*(DATOS_[Conc.Sal.13])))))))),
0)</f>
        <v>0</v>
      </c>
      <c r="W65" s="196">
        <f t="array" ref="W65">IFERROR(
(AVERAGE((IF(DATOS_[[Sexo]:[Sexo]]=$B65,IF(DATOS_[[AGRUP. CLAS. PROF.]:[AGRUP. CLAS. PROF.]]=$B63,IF(DATOS_[[Check Periodo Ref.]:[Check Periodo Ref.]]="Dentro",IF(DATOS_[[Check Equiparado]:[Check Equiparado]]="Sí",IF(DATOS!AR$5="Sí",(1/DATOS_[[% anualiz]:[% anualiz]]),1)*IF(DATOS!AR$4="Sí",1/DATOS_[[% normaliz]:[% normaliz]],1)*(DATOS_[Conc.Sal.14])))))))),
0)</f>
        <v>0</v>
      </c>
      <c r="X65" s="196">
        <f t="array" ref="X65">IFERROR(
(AVERAGE((IF(DATOS_[[Sexo]:[Sexo]]=$B65,IF(DATOS_[[AGRUP. CLAS. PROF.]:[AGRUP. CLAS. PROF.]]=$B63,IF(DATOS_[[Check Periodo Ref.]:[Check Periodo Ref.]]="Dentro",IF(DATOS_[[Check Equiparado]:[Check Equiparado]]="Sí",IF(DATOS!AS$5="Sí",(1/DATOS_[[% anualiz]:[% anualiz]]),1)*IF(DATOS!AS$4="Sí",1/DATOS_[[% normaliz]:[% normaliz]],1)*(DATOS_[Conc.Sal.15])))))))),
0)</f>
        <v>0</v>
      </c>
      <c r="Y65" s="196">
        <f t="array" ref="Y65">IFERROR(
(AVERAGE((IF(DATOS_[[Sexo]:[Sexo]]=$B65,IF(DATOS_[[AGRUP. CLAS. PROF.]:[AGRUP. CLAS. PROF.]]=$B63,IF(DATOS_[[Check Periodo Ref.]:[Check Periodo Ref.]]="Dentro",IF(DATOS_[[Check Equiparado]:[Check Equiparado]]="Sí",IF(DATOS!AT$5="Sí",(1/DATOS_[[% anualiz]:[% anualiz]]),1)*IF(DATOS!AT$4="Sí",1/DATOS_[[% normaliz]:[% normaliz]],1)*(DATOS_[Conc.Sal.16])))))))),
0)</f>
        <v>0</v>
      </c>
      <c r="Z65" s="196">
        <f t="array" ref="Z65">IFERROR(
(AVERAGE((IF(DATOS_[[Sexo]:[Sexo]]=$B65,IF(DATOS_[[AGRUP. CLAS. PROF.]:[AGRUP. CLAS. PROF.]]=$B63,IF(DATOS_[[Check Periodo Ref.]:[Check Periodo Ref.]]="Dentro",IF(DATOS_[[Check Equiparado]:[Check Equiparado]]="Sí",IF(DATOS!AU$5="Sí",(1/DATOS_[[% anualiz]:[% anualiz]]),1)*IF(DATOS!AU$4="Sí",1/DATOS_[[% normaliz]:[% normaliz]],1)*(DATOS_[Conc.Sal.17])))))))),
0)</f>
        <v>0</v>
      </c>
      <c r="AA65" s="196">
        <f t="array" ref="AA65">IFERROR(
(AVERAGE((IF(DATOS_[[Sexo]:[Sexo]]=$B65,IF(DATOS_[[AGRUP. CLAS. PROF.]:[AGRUP. CLAS. PROF.]]=$B63,IF(DATOS_[[Check Periodo Ref.]:[Check Periodo Ref.]]="Dentro",IF(DATOS_[[Check Equiparado]:[Check Equiparado]]="Sí",IF(DATOS!AV$5="Sí",(1/DATOS_[[% anualiz]:[% anualiz]]),1)*IF(DATOS!AV$4="Sí",1/DATOS_[[% normaliz]:[% normaliz]],1)*(DATOS_[Conc.Sal.18])))))))),
0)</f>
        <v>0</v>
      </c>
      <c r="AB65" s="196">
        <f t="array" ref="AB65">IFERROR(
(AVERAGE((IF(DATOS_[[Sexo]:[Sexo]]=$B65,IF(DATOS_[[AGRUP. CLAS. PROF.]:[AGRUP. CLAS. PROF.]]=$B63,IF(DATOS_[[Check Periodo Ref.]:[Check Periodo Ref.]]="Dentro",IF(DATOS_[[Check Equiparado]:[Check Equiparado]]="Sí",IF(DATOS!AW$5="Sí",(1/DATOS_[[% anualiz]:[% anualiz]]),1)*IF(DATOS!AW$4="Sí",1/DATOS_[[% normaliz]:[% normaliz]],1)*(DATOS_[Conc.Sal.19])))))))),
0)</f>
        <v>0</v>
      </c>
      <c r="AC65" s="196">
        <f t="array" ref="AC65">IFERROR(
(AVERAGE((IF(DATOS_[[Sexo]:[Sexo]]=$B65,IF(DATOS_[[AGRUP. CLAS. PROF.]:[AGRUP. CLAS. PROF.]]=$B63,IF(DATOS_[[Check Periodo Ref.]:[Check Periodo Ref.]]="Dentro",IF(DATOS_[[Check Equiparado]:[Check Equiparado]]="Sí",IF(DATOS!AX$5="Sí",(1/DATOS_[[% anualiz]:[% anualiz]]),1)*IF(DATOS!AX$4="Sí",1/DATOS_[[% normaliz]:[% normaliz]],1)*(DATOS_[Conc.Sal.20])))))))),
0)</f>
        <v>0</v>
      </c>
      <c r="AD65" s="196">
        <f t="array" ref="AD65">IFERROR(
(AVERAGE((IF(DATOS_[[Sexo]:[Sexo]]=$B65,IF(DATOS_[[AGRUP. CLAS. PROF.]:[AGRUP. CLAS. PROF.]]=$B63,IF(DATOS_[[Check Periodo Ref.]:[Check Periodo Ref.]]="Dentro",IF(DATOS_[[Check Equiparado]:[Check Equiparado]]="Sí",IF(DATOS!AY$5="Sí",(1/DATOS_[[% anualiz]:[% anualiz]]),1)*IF(DATOS!AY$4="Sí",1/DATOS_[[% normaliz]:[% normaliz]],1)*(DATOS_[Conc.Sal.21])))))))),
0)</f>
        <v>0</v>
      </c>
      <c r="AE65" s="196">
        <f t="array" ref="AE65">IFERROR(
(AVERAGE((IF(DATOS_[[Sexo]:[Sexo]]=$B65,IF(DATOS_[[AGRUP. CLAS. PROF.]:[AGRUP. CLAS. PROF.]]=$B63,IF(DATOS_[[Check Periodo Ref.]:[Check Periodo Ref.]]="Dentro",IF(DATOS_[[Check Equiparado]:[Check Equiparado]]="Sí",IF(DATOS!AZ$5="Sí",(1/DATOS_[[% anualiz]:[% anualiz]]),1)*IF(DATOS!AZ$4="Sí",1/DATOS_[[% normaliz]:[% normaliz]],1)*(DATOS_[Conc.Sal.22])))))))),
0)</f>
        <v>0</v>
      </c>
      <c r="AF65" s="196">
        <f t="array" ref="AF65">IFERROR(
(AVERAGE((IF(DATOS_[[Sexo]:[Sexo]]=$B65,IF(DATOS_[[AGRUP. CLAS. PROF.]:[AGRUP. CLAS. PROF.]]=$B63,IF(DATOS_[[Check Periodo Ref.]:[Check Periodo Ref.]]="Dentro",IF(DATOS_[[Check Equiparado]:[Check Equiparado]]="Sí",IF(DATOS!BA$5="Sí",(1/DATOS_[[% anualiz]:[% anualiz]]),1)*IF(DATOS!BA$4="Sí",1/DATOS_[[% normaliz]:[% normaliz]],1)*(DATOS_[Conc.Sal.23])))))))),
0)</f>
        <v>0</v>
      </c>
      <c r="AG65" s="196">
        <f t="array" ref="AG65">IFERROR(
(AVERAGE((IF(DATOS_[[Sexo]:[Sexo]]=$B65,IF(DATOS_[[AGRUP. CLAS. PROF.]:[AGRUP. CLAS. PROF.]]=$B63,IF(DATOS_[[Check Periodo Ref.]:[Check Periodo Ref.]]="Dentro",IF(DATOS_[[Check Equiparado]:[Check Equiparado]]="Sí",IF(DATOS!BB$5="Sí",(1/DATOS_[[% anualiz]:[% anualiz]]),1)*IF(DATOS!BB$4="Sí",1/DATOS_[[% normaliz]:[% normaliz]],1)*(DATOS_[Conc.Sal.24])))))))),
0)</f>
        <v>0</v>
      </c>
      <c r="AH65" s="196">
        <f t="array" ref="AH65">IFERROR(
(AVERAGE((IF(DATOS_[[Sexo]:[Sexo]]=$B65,IF(DATOS_[[AGRUP. CLAS. PROF.]:[AGRUP. CLAS. PROF.]]=$B63,IF(DATOS_[[Check Periodo Ref.]:[Check Periodo Ref.]]="Dentro",IF(DATOS_[[Check Equiparado]:[Check Equiparado]]="Sí",IF(DATOS!BC$5="Sí",(1/DATOS_[[% anualiz]:[% anualiz]]),1)*IF(DATOS!BC$4="Sí",1/DATOS_[[% normaliz]:[% normaliz]],1)*(DATOS_[Conc.Sal.25])))))))),
0)</f>
        <v>0</v>
      </c>
      <c r="AI65" s="196">
        <f t="array" ref="AI65">IFERROR(
(AVERAGE((IF(DATOS_[[Sexo]:[Sexo]]=$B65,IF(DATOS_[[AGRUP. CLAS. PROF.]:[AGRUP. CLAS. PROF.]]=$B63,IF(DATOS_[[Check Periodo Ref.]:[Check Periodo Ref.]]="Dentro",IF(DATOS_[[Check Equiparado]:[Check Equiparado]]="Sí",IF(DATOS!BD$5="Sí",(1/DATOS_[[% anualiz]:[% anualiz]]),1)*IF(DATOS!BD$4="Sí",1/DATOS_[[% normaliz]:[% normaliz]],1)*(DATOS_[Conc.Sal.26])))))))),
0)</f>
        <v>0</v>
      </c>
      <c r="AJ65" s="196">
        <f t="array" ref="AJ65">IFERROR(
(AVERAGE((IF(DATOS_[[Sexo]:[Sexo]]=$B65,IF(DATOS_[[AGRUP. CLAS. PROF.]:[AGRUP. CLAS. PROF.]]=$B63,IF(DATOS_[[Check Periodo Ref.]:[Check Periodo Ref.]]="Dentro",IF(DATOS_[[Check Equiparado]:[Check Equiparado]]="Sí",IF(DATOS!BE$5="Sí",(1/DATOS_[[% anualiz]:[% anualiz]]),1)*IF(DATOS!BE$4="Sí",1/DATOS_[[% normaliz]:[% normaliz]],1)*(DATOS_[Conc.Sal.27])))))))),
0)</f>
        <v>0</v>
      </c>
      <c r="AK65" s="196">
        <f t="array" ref="AK65">IFERROR(
(AVERAGE((IF(DATOS_[[Sexo]:[Sexo]]=$B65,IF(DATOS_[[AGRUP. CLAS. PROF.]:[AGRUP. CLAS. PROF.]]=$B63,IF(DATOS_[[Check Periodo Ref.]:[Check Periodo Ref.]]="Dentro",IF(DATOS_[[Check Equiparado]:[Check Equiparado]]="Sí",IF(DATOS!BF$5="Sí",(1/DATOS_[[% anualiz]:[% anualiz]]),1)*IF(DATOS!BF$4="Sí",1/DATOS_[[% normaliz]:[% normaliz]],1)*(DATOS_[Conc.Sal.28])))))))),
0)</f>
        <v>0</v>
      </c>
      <c r="AL65" s="196">
        <f t="array" ref="AL65">IFERROR(
(AVERAGE((IF(DATOS_[[Sexo]:[Sexo]]=$B65,IF(DATOS_[[AGRUP. CLAS. PROF.]:[AGRUP. CLAS. PROF.]]=$B63,IF(DATOS_[[Check Periodo Ref.]:[Check Periodo Ref.]]="Dentro",IF(DATOS_[[Check Equiparado]:[Check Equiparado]]="Sí",IF(DATOS!BG$5="Sí",(1/DATOS_[[% anualiz]:[% anualiz]]),1)*IF(DATOS!BG$4="Sí",1/DATOS_[[% normaliz]:[% normaliz]],1)*(DATOS_[Conc.Sal.29])))))))),
0)</f>
        <v>0</v>
      </c>
      <c r="AM65" s="196">
        <f t="array" ref="AM65">IFERROR(
(AVERAGE((IF(DATOS_[[Sexo]:[Sexo]]=$B65,IF(DATOS_[[AGRUP. CLAS. PROF.]:[AGRUP. CLAS. PROF.]]=$B63,IF(DATOS_[[Check Periodo Ref.]:[Check Periodo Ref.]]="Dentro",IF(DATOS_[[Check Equiparado]:[Check Equiparado]]="Sí",IF(DATOS!BH$5="Sí",(1/DATOS_[[% anualiz]:[% anualiz]]),1)*IF(DATOS!BH$4="Sí",1/DATOS_[[% normaliz]:[% normaliz]],1)*(DATOS_[Conc.Sal.30])))))))),
0)</f>
        <v>0</v>
      </c>
      <c r="AN65" s="195">
        <f t="array" ref="AN65">IFERROR(
AVERAGE(IF(DATOS_[Sexo]=$B65,IF(DATOS_[[AGRUP. CLAS. PROF.]:[AGRUP. CLAS. PROF.]]=$B63,IF(DATOS_[Check Equiparado]="Sí",IF(DATOS_[Check Periodo Ref.]="Dentro",DATOS_[Tot COMPL.SAL Eq],FALSE))))),
0)</f>
        <v>0</v>
      </c>
      <c r="AO65" s="172">
        <f t="array" ref="AO65">IFERROR(
AVERAGE(IF(DATOS_[Sexo]=$B65,IF(DATOS_[[AGRUP. CLAS. PROF.]:[AGRUP. CLAS. PROF.]]=$B63,IF(DATOS_[Check Equiparado]="Sí",IF(DATOS_[Check Periodo Ref.]="Dentro",DATOS_[TOTAL SALARIO Eq],FALSE))))),
0)</f>
        <v>0</v>
      </c>
      <c r="AP65" s="173">
        <f t="array" ref="AP65">IFERROR(
(AVERAGE((IF(DATOS_[[Sexo]:[Sexo]]=$B65,IF(DATOS_[[AGRUP. CLAS. PROF.]:[AGRUP. CLAS. PROF.]]=$B63,IF(DATOS_[[Check Periodo Ref.]:[Check Periodo Ref.]]="Dentro",IF(DATOS_[[Check Equiparado]:[Check Equiparado]]="Sí",IF(DATOS!BW$5="Sí",(1/DATOS_[[% anualiz]:[% anualiz]]),1)*IF(DATOS!BW$4="Sí",1/DATOS_[[% normaliz]:[% normaliz]],1)*(DATOS_[C.Extra.01])))))))),
0)</f>
        <v>0</v>
      </c>
      <c r="AQ65" s="173">
        <f t="array" ref="AQ65">IFERROR(
(AVERAGE((IF(DATOS_[[Sexo]:[Sexo]]=$B65,IF(DATOS_[[AGRUP. CLAS. PROF.]:[AGRUP. CLAS. PROF.]]=$B63,IF(DATOS_[[Check Periodo Ref.]:[Check Periodo Ref.]]="Dentro",IF(DATOS_[[Check Equiparado]:[Check Equiparado]]="Sí",IF(DATOS!CB$5="Sí",(1/DATOS_[[% anualiz]:[% anualiz]]),1)*IF(DATOS!CB$4="Sí",1/DATOS_[[% normaliz]:[% normaliz]],1)*(DATOS_[C.Extra.06])))))))),
0)</f>
        <v>0</v>
      </c>
      <c r="AR65" s="173">
        <f t="array" ref="AR65">IFERROR(
(AVERAGE((IF(DATOS_[[Sexo]:[Sexo]]=$B65,IF(DATOS_[[AGRUP. CLAS. PROF.]:[AGRUP. CLAS. PROF.]]=$B63,IF(DATOS_[[Check Periodo Ref.]:[Check Periodo Ref.]]="Dentro",IF(DATOS_[[Check Equiparado]:[Check Equiparado]]="Sí",IF(DATOS!CC$5="Sí",(1/DATOS_[[% anualiz]:[% anualiz]]),1)*IF(DATOS!CC$4="Sí",1/DATOS_[[% normaliz]:[% normaliz]],1)*(DATOS_[C.Extra.07])))))))),
0)</f>
        <v>0</v>
      </c>
      <c r="AS65" s="173">
        <f t="array" ref="AS65">IFERROR(
(AVERAGE((IF(DATOS_[[Sexo]:[Sexo]]=$B65,IF(DATOS_[[AGRUP. CLAS. PROF.]:[AGRUP. CLAS. PROF.]]=$B63,IF(DATOS_[[Check Periodo Ref.]:[Check Periodo Ref.]]="Dentro",IF(DATOS_[[Check Equiparado]:[Check Equiparado]]="Sí",IF(DATOS!CD$5="Sí",(1/DATOS_[[% anualiz]:[% anualiz]]),1)*IF(DATOS!CD$4="Sí",1/DATOS_[[% normaliz]:[% normaliz]],1)*(DATOS_[C.Extra.08])))))))),
0)</f>
        <v>0</v>
      </c>
      <c r="AT65" s="173">
        <f t="array" ref="AT65">IFERROR(
(AVERAGE((IF(DATOS_[[Sexo]:[Sexo]]=$B65,IF(DATOS_[[AGRUP. CLAS. PROF.]:[AGRUP. CLAS. PROF.]]=$B63,IF(DATOS_[[Check Periodo Ref.]:[Check Periodo Ref.]]="Dentro",IF(DATOS_[[Check Equiparado]:[Check Equiparado]]="Sí",IF(DATOS!CG$5="Sí",(1/DATOS_[[% anualiz]:[% anualiz]]),1)*IF(DATOS!CG$4="Sí",1/DATOS_[[% normaliz]:[% normaliz]],1)*(DATOS_[C.Extra.11])))))))),
0)</f>
        <v>0</v>
      </c>
      <c r="AU65" s="197">
        <f t="array" ref="AU65">IFERROR(
AVERAGE(IF(DATOS_[Sexo]=$B65,IF(DATOS_[[AGRUP. CLAS. PROF.]:[AGRUP. CLAS. PROF.]]=$B63,IF(DATOS_[Check Equiparado]="Sí",IF(DATOS_[Check Periodo Ref.]="Dentro",DATOS_[Tot Extrasalarial Eq],FALSE))))),
0)</f>
        <v>0</v>
      </c>
      <c r="AV65" s="175">
        <f t="array" ref="AV65">IFERROR(
AVERAGE(IF(DATOS_[Sexo]=$B65,IF(DATOS_[[AGRUP. CLAS. PROF.]:[AGRUP. CLAS. PROF.]]=$B63,IF(DATOS_[Check Equiparado]="Sí",IF(DATOS_[Check Periodo Ref.]="Dentro",DATOS_[TOTAL Retrib Eq],FALSE))))),
0)</f>
        <v>0</v>
      </c>
    </row>
    <row r="66" spans="1:48" ht="15.6" hidden="1" thickBot="1" x14ac:dyDescent="0.3">
      <c r="A66" s="133" t="str">
        <f t="shared" ref="A66" si="71">+A67</f>
        <v>[ocultar]</v>
      </c>
      <c r="B66" s="199" t="s">
        <v>248</v>
      </c>
      <c r="C66" s="200"/>
      <c r="D66" s="201"/>
      <c r="E66" s="201"/>
      <c r="F66" s="201"/>
      <c r="G66" s="201"/>
      <c r="H66" s="201"/>
      <c r="I66" s="189" t="str">
        <f t="shared" ref="I66:AV66" si="72">IFERROR((I67-I68)/I67,"")</f>
        <v/>
      </c>
      <c r="J66" s="190" t="str">
        <f t="shared" si="72"/>
        <v/>
      </c>
      <c r="K66" s="191" t="str">
        <f t="shared" si="72"/>
        <v/>
      </c>
      <c r="L66" s="191" t="str">
        <f t="shared" si="72"/>
        <v/>
      </c>
      <c r="M66" s="191" t="str">
        <f t="shared" si="72"/>
        <v/>
      </c>
      <c r="N66" s="192" t="str">
        <f t="shared" si="72"/>
        <v/>
      </c>
      <c r="O66" s="193" t="str">
        <f t="shared" si="72"/>
        <v/>
      </c>
      <c r="P66" s="193" t="str">
        <f t="shared" si="72"/>
        <v/>
      </c>
      <c r="Q66" s="193" t="str">
        <f t="shared" si="72"/>
        <v/>
      </c>
      <c r="R66" s="193" t="str">
        <f t="shared" si="72"/>
        <v/>
      </c>
      <c r="S66" s="193" t="str">
        <f t="shared" si="72"/>
        <v/>
      </c>
      <c r="T66" s="193" t="str">
        <f t="shared" si="72"/>
        <v/>
      </c>
      <c r="U66" s="193" t="str">
        <f t="shared" si="72"/>
        <v/>
      </c>
      <c r="V66" s="193" t="str">
        <f t="shared" si="72"/>
        <v/>
      </c>
      <c r="W66" s="193" t="str">
        <f t="shared" si="72"/>
        <v/>
      </c>
      <c r="X66" s="193" t="str">
        <f t="shared" si="72"/>
        <v/>
      </c>
      <c r="Y66" s="193" t="str">
        <f t="shared" si="72"/>
        <v/>
      </c>
      <c r="Z66" s="193" t="str">
        <f t="shared" si="72"/>
        <v/>
      </c>
      <c r="AA66" s="193" t="str">
        <f t="shared" si="72"/>
        <v/>
      </c>
      <c r="AB66" s="193" t="str">
        <f t="shared" si="72"/>
        <v/>
      </c>
      <c r="AC66" s="193" t="str">
        <f t="shared" si="72"/>
        <v/>
      </c>
      <c r="AD66" s="193" t="str">
        <f t="shared" si="72"/>
        <v/>
      </c>
      <c r="AE66" s="193" t="str">
        <f t="shared" si="72"/>
        <v/>
      </c>
      <c r="AF66" s="193" t="str">
        <f t="shared" si="72"/>
        <v/>
      </c>
      <c r="AG66" s="193" t="str">
        <f t="shared" si="72"/>
        <v/>
      </c>
      <c r="AH66" s="193" t="str">
        <f t="shared" si="72"/>
        <v/>
      </c>
      <c r="AI66" s="193" t="str">
        <f t="shared" si="72"/>
        <v/>
      </c>
      <c r="AJ66" s="193" t="str">
        <f t="shared" si="72"/>
        <v/>
      </c>
      <c r="AK66" s="193" t="str">
        <f t="shared" si="72"/>
        <v/>
      </c>
      <c r="AL66" s="193" t="str">
        <f t="shared" si="72"/>
        <v/>
      </c>
      <c r="AM66" s="193" t="str">
        <f t="shared" si="72"/>
        <v/>
      </c>
      <c r="AN66" s="189" t="str">
        <f t="shared" si="72"/>
        <v/>
      </c>
      <c r="AO66" s="162" t="str">
        <f t="shared" si="72"/>
        <v/>
      </c>
      <c r="AP66" s="163" t="str">
        <f t="shared" si="72"/>
        <v/>
      </c>
      <c r="AQ66" s="163" t="str">
        <f t="shared" si="72"/>
        <v/>
      </c>
      <c r="AR66" s="163" t="str">
        <f t="shared" si="72"/>
        <v/>
      </c>
      <c r="AS66" s="163" t="str">
        <f t="shared" si="72"/>
        <v/>
      </c>
      <c r="AT66" s="163" t="str">
        <f t="shared" si="72"/>
        <v/>
      </c>
      <c r="AU66" s="194" t="str">
        <f t="shared" si="72"/>
        <v/>
      </c>
      <c r="AV66" s="165" t="str">
        <f t="shared" si="72"/>
        <v/>
      </c>
    </row>
    <row r="67" spans="1:48" hidden="1" x14ac:dyDescent="0.25">
      <c r="A67" s="133" t="str">
        <f t="shared" ref="A67" si="73">+IF(C67+C68=0,"[ocultar]","")</f>
        <v>[ocultar]</v>
      </c>
      <c r="B67" s="202" t="s">
        <v>394</v>
      </c>
      <c r="C67" s="203">
        <f t="array" ref="C67">SUM(IF($B67=DATOS_[Sexo],
IF($B66=DATOS_[AGRUP. CLAS. PROF.],
IF("Dentro"=DATOS_[Check Periodo Ref.],
1/(COUNTIFS(DATOS_[Sexo],$B67,DATOS_[AGRUP. CLAS. PROF.],$B66,DATOS_[Check Periodo Ref.],"Dentro",DATOS_[id/cod],DATOS_[id/cod]))))))</f>
        <v>0</v>
      </c>
      <c r="D67" s="204">
        <f>COUNTIFS(DATOS_[AGRUP. CLAS. PROF.],$B66,DATOS_[Sexo],$B67,DATOS_[Check Periodo Ref.],"Dentro")</f>
        <v>0</v>
      </c>
      <c r="E67" s="204">
        <f>COUNTIFS(DATOS_[AGRUP. CLAS. PROF.],$B66,DATOS_[Sexo],$B67,DATOS_[Check Periodo Ref.],"Dentro",DATOS_[Check Nº SC Norm],"Sí")</f>
        <v>0</v>
      </c>
      <c r="F67" s="204">
        <f>COUNTIFS(DATOS_[AGRUP. CLAS. PROF.],$B66,DATOS_[Sexo],$B67,DATOS_[Check Periodo Ref.],"Dentro",DATOS_[Check Nº SC Anualiz],"Sí")</f>
        <v>0</v>
      </c>
      <c r="G67" s="204">
        <f>COUNTIFS(DATOS_[AGRUP. CLAS. PROF.],$B66,DATOS_[Sexo],$B67,DATOS_[Check Periodo Ref.],"Dentro",DATOS_[Check Nº SC Norm y Anualiz],"Sí")</f>
        <v>0</v>
      </c>
      <c r="H67" s="204">
        <f>COUNTIFS(DATOS_[AGRUP. CLAS. PROF.],$B66,DATOS_[Sexo],$B67,DATOS_[Check Periodo Ref.],"Dentro",DATOS_[Check Equiparación],"Sí")</f>
        <v>0</v>
      </c>
      <c r="I67" s="195">
        <f t="array" ref="I67">IFERROR(
AVERAGE(IF(DATOS_[Sexo]=$B67,IF(DATOS_[[AGRUP. CLAS. PROF.]:[AGRUP. CLAS. PROF.]]=$B66,IF(DATOS_[Check Equiparado]="Sí",IF(DATOS_[Check Periodo Ref.]="Dentro",DATOS_[SALARIO BASE Eq],FALSE))))),
0)</f>
        <v>0</v>
      </c>
      <c r="J67" s="196">
        <f t="array" ref="J67">IFERROR(
(AVERAGE((IF(DATOS_[[Sexo]:[Sexo]]=$B67,IF(DATOS_[[AGRUP. CLAS. PROF.]:[AGRUP. CLAS. PROF.]]=$B66,IF(DATOS_[[Check Periodo Ref.]:[Check Periodo Ref.]]="Dentro",IF(DATOS_[[Check Equiparado]:[Check Equiparado]]="Sí",IF(DATOS!AE$5="Sí",(1/DATOS_[[% anualiz]:[% anualiz]]),1)*IF(DATOS!AE$4="Sí",1/DATOS_[[% normaliz]:[% normaliz]],1)*(DATOS_[Conc.Sal.01])))))))),
0)</f>
        <v>0</v>
      </c>
      <c r="K67" s="196">
        <f t="array" ref="K67">IFERROR(
(AVERAGE((IF(DATOS_[[Sexo]:[Sexo]]=$B67,IF(DATOS_[[AGRUP. CLAS. PROF.]:[AGRUP. CLAS. PROF.]]=$B66,IF(DATOS_[[Check Periodo Ref.]:[Check Periodo Ref.]]="Dentro",IF(DATOS_[[Check Equiparado]:[Check Equiparado]]="Sí",IF(DATOS!AF$5="Sí",(1/DATOS_[[% anualiz]:[% anualiz]]),1)*IF(DATOS!AF$4="Sí",1/DATOS_[[% normaliz]:[% normaliz]],1)*(DATOS_[Conc.Sal.02])))))))),
0)</f>
        <v>0</v>
      </c>
      <c r="L67" s="196">
        <f t="array" ref="L67">IFERROR(
(AVERAGE((IF(DATOS_[[Sexo]:[Sexo]]=$B67,IF(DATOS_[[AGRUP. CLAS. PROF.]:[AGRUP. CLAS. PROF.]]=$B66,IF(DATOS_[[Check Periodo Ref.]:[Check Periodo Ref.]]="Dentro",IF(DATOS_[[Check Equiparado]:[Check Equiparado]]="Sí",IF(DATOS!AG$5="Sí",(1/DATOS_[[% anualiz]:[% anualiz]]),1)*IF(DATOS!AG$4="Sí",1/DATOS_[[% normaliz]:[% normaliz]],1)*(DATOS_[Conc.Sal.03])))))))),
0)</f>
        <v>0</v>
      </c>
      <c r="M67" s="196">
        <f t="array" ref="M67">IFERROR(
(AVERAGE((IF(DATOS_[[Sexo]:[Sexo]]=$B67,IF(DATOS_[[AGRUP. CLAS. PROF.]:[AGRUP. CLAS. PROF.]]=$B66,IF(DATOS_[[Check Periodo Ref.]:[Check Periodo Ref.]]="Dentro",IF(DATOS_[[Check Equiparado]:[Check Equiparado]]="Sí",IF(DATOS!AH$5="Sí",(1/DATOS_[[% anualiz]:[% anualiz]]),1)*IF(DATOS!AH$4="Sí",1/DATOS_[[% normaliz]:[% normaliz]],1)*(DATOS_[Conc.Sal.04])))))))),
0)</f>
        <v>0</v>
      </c>
      <c r="N67" s="196">
        <f t="array" ref="N67">IFERROR(
(AVERAGE((IF(DATOS_[[Sexo]:[Sexo]]=$B67,IF(DATOS_[[AGRUP. CLAS. PROF.]:[AGRUP. CLAS. PROF.]]=$B66,IF(DATOS_[[Check Periodo Ref.]:[Check Periodo Ref.]]="Dentro",IF(DATOS_[[Check Equiparado]:[Check Equiparado]]="Sí",IF(DATOS!AI$5="Sí",(1/DATOS_[[% anualiz]:[% anualiz]]),1)*IF(DATOS!AI$4="Sí",1/DATOS_[[% normaliz]:[% normaliz]],1)*(DATOS_[Conc.Sal.05])))))))),
0)</f>
        <v>0</v>
      </c>
      <c r="O67" s="196">
        <f t="array" ref="O67">IFERROR(
(AVERAGE((IF(DATOS_[[Sexo]:[Sexo]]=$B67,IF(DATOS_[[AGRUP. CLAS. PROF.]:[AGRUP. CLAS. PROF.]]=$B66,IF(DATOS_[[Check Periodo Ref.]:[Check Periodo Ref.]]="Dentro",IF(DATOS_[[Check Equiparado]:[Check Equiparado]]="Sí",IF(DATOS!AJ$5="Sí",(1/DATOS_[[% anualiz]:[% anualiz]]),1)*IF(DATOS!AJ$4="Sí",1/DATOS_[[% normaliz]:[% normaliz]],1)*(DATOS_[Conc.Sal.06])))))))),
0)</f>
        <v>0</v>
      </c>
      <c r="P67" s="196">
        <f t="array" ref="P67">IFERROR(
(AVERAGE((IF(DATOS_[[Sexo]:[Sexo]]=$B67,IF(DATOS_[[AGRUP. CLAS. PROF.]:[AGRUP. CLAS. PROF.]]=$B66,IF(DATOS_[[Check Periodo Ref.]:[Check Periodo Ref.]]="Dentro",IF(DATOS_[[Check Equiparado]:[Check Equiparado]]="Sí",IF(DATOS!AK$5="Sí",(1/DATOS_[[% anualiz]:[% anualiz]]),1)*IF(DATOS!AK$4="Sí",1/DATOS_[[% normaliz]:[% normaliz]],1)*(DATOS_[Conc.Sal.07])))))))),
0)</f>
        <v>0</v>
      </c>
      <c r="Q67" s="196">
        <f t="array" ref="Q67">IFERROR(
(AVERAGE((IF(DATOS_[[Sexo]:[Sexo]]=$B67,IF(DATOS_[[AGRUP. CLAS. PROF.]:[AGRUP. CLAS. PROF.]]=$B66,IF(DATOS_[[Check Periodo Ref.]:[Check Periodo Ref.]]="Dentro",IF(DATOS_[[Check Equiparado]:[Check Equiparado]]="Sí",IF(DATOS!AL$5="Sí",(1/DATOS_[[% anualiz]:[% anualiz]]),1)*IF(DATOS!AL$4="Sí",1/DATOS_[[% normaliz]:[% normaliz]],1)*(DATOS_[Conc.Sal.08])))))))),
0)</f>
        <v>0</v>
      </c>
      <c r="R67" s="196">
        <f t="array" ref="R67">IFERROR(
(AVERAGE((IF(DATOS_[[Sexo]:[Sexo]]=$B67,IF(DATOS_[[AGRUP. CLAS. PROF.]:[AGRUP. CLAS. PROF.]]=$B66,IF(DATOS_[[Check Periodo Ref.]:[Check Periodo Ref.]]="Dentro",IF(DATOS_[[Check Equiparado]:[Check Equiparado]]="Sí",IF(DATOS!AM$5="Sí",(1/DATOS_[[% anualiz]:[% anualiz]]),1)*IF(DATOS!AM$4="Sí",1/DATOS_[[% normaliz]:[% normaliz]],1)*(DATOS_[Conc.Sal.09])))))))),
0)</f>
        <v>0</v>
      </c>
      <c r="S67" s="196">
        <f t="array" ref="S67">IFERROR(
(AVERAGE((IF(DATOS_[[Sexo]:[Sexo]]=$B67,IF(DATOS_[[AGRUP. CLAS. PROF.]:[AGRUP. CLAS. PROF.]]=$B66,IF(DATOS_[[Check Periodo Ref.]:[Check Periodo Ref.]]="Dentro",IF(DATOS_[[Check Equiparado]:[Check Equiparado]]="Sí",IF(DATOS!AN$5="Sí",(1/DATOS_[[% anualiz]:[% anualiz]]),1)*IF(DATOS!AN$4="Sí",1/DATOS_[[% normaliz]:[% normaliz]],1)*(DATOS_[Conc.Sal.10])))))))),
0)</f>
        <v>0</v>
      </c>
      <c r="T67" s="196">
        <f t="array" ref="T67">IFERROR(
(AVERAGE((IF(DATOS_[[Sexo]:[Sexo]]=$B67,IF(DATOS_[[AGRUP. CLAS. PROF.]:[AGRUP. CLAS. PROF.]]=$B66,IF(DATOS_[[Check Periodo Ref.]:[Check Periodo Ref.]]="Dentro",IF(DATOS_[[Check Equiparado]:[Check Equiparado]]="Sí",IF(DATOS!AO$5="Sí",(1/DATOS_[[% anualiz]:[% anualiz]]),1)*IF(DATOS!AO$4="Sí",1/DATOS_[[% normaliz]:[% normaliz]],1)*(DATOS_[Conc.Sal.11])))))))),
0)</f>
        <v>0</v>
      </c>
      <c r="U67" s="196">
        <f t="array" ref="U67">IFERROR(
(AVERAGE((IF(DATOS_[[Sexo]:[Sexo]]=$B67,IF(DATOS_[[AGRUP. CLAS. PROF.]:[AGRUP. CLAS. PROF.]]=$B66,IF(DATOS_[[Check Periodo Ref.]:[Check Periodo Ref.]]="Dentro",IF(DATOS_[[Check Equiparado]:[Check Equiparado]]="Sí",IF(DATOS!AP$5="Sí",(1/DATOS_[[% anualiz]:[% anualiz]]),1)*IF(DATOS!AP$4="Sí",1/DATOS_[[% normaliz]:[% normaliz]],1)*(DATOS_[Conc.Sal.12])))))))),
0)</f>
        <v>0</v>
      </c>
      <c r="V67" s="196">
        <f t="array" ref="V67">IFERROR(
(AVERAGE((IF(DATOS_[[Sexo]:[Sexo]]=$B67,IF(DATOS_[[AGRUP. CLAS. PROF.]:[AGRUP. CLAS. PROF.]]=$B66,IF(DATOS_[[Check Periodo Ref.]:[Check Periodo Ref.]]="Dentro",IF(DATOS_[[Check Equiparado]:[Check Equiparado]]="Sí",IF(DATOS!AQ$5="Sí",(1/DATOS_[[% anualiz]:[% anualiz]]),1)*IF(DATOS!AQ$4="Sí",1/DATOS_[[% normaliz]:[% normaliz]],1)*(DATOS_[Conc.Sal.13])))))))),
0)</f>
        <v>0</v>
      </c>
      <c r="W67" s="196">
        <f t="array" ref="W67">IFERROR(
(AVERAGE((IF(DATOS_[[Sexo]:[Sexo]]=$B67,IF(DATOS_[[AGRUP. CLAS. PROF.]:[AGRUP. CLAS. PROF.]]=$B66,IF(DATOS_[[Check Periodo Ref.]:[Check Periodo Ref.]]="Dentro",IF(DATOS_[[Check Equiparado]:[Check Equiparado]]="Sí",IF(DATOS!AR$5="Sí",(1/DATOS_[[% anualiz]:[% anualiz]]),1)*IF(DATOS!AR$4="Sí",1/DATOS_[[% normaliz]:[% normaliz]],1)*(DATOS_[Conc.Sal.14])))))))),
0)</f>
        <v>0</v>
      </c>
      <c r="X67" s="196">
        <f t="array" ref="X67">IFERROR(
(AVERAGE((IF(DATOS_[[Sexo]:[Sexo]]=$B67,IF(DATOS_[[AGRUP. CLAS. PROF.]:[AGRUP. CLAS. PROF.]]=$B66,IF(DATOS_[[Check Periodo Ref.]:[Check Periodo Ref.]]="Dentro",IF(DATOS_[[Check Equiparado]:[Check Equiparado]]="Sí",IF(DATOS!AS$5="Sí",(1/DATOS_[[% anualiz]:[% anualiz]]),1)*IF(DATOS!AS$4="Sí",1/DATOS_[[% normaliz]:[% normaliz]],1)*(DATOS_[Conc.Sal.15])))))))),
0)</f>
        <v>0</v>
      </c>
      <c r="Y67" s="196">
        <f t="array" ref="Y67">IFERROR(
(AVERAGE((IF(DATOS_[[Sexo]:[Sexo]]=$B67,IF(DATOS_[[AGRUP. CLAS. PROF.]:[AGRUP. CLAS. PROF.]]=$B66,IF(DATOS_[[Check Periodo Ref.]:[Check Periodo Ref.]]="Dentro",IF(DATOS_[[Check Equiparado]:[Check Equiparado]]="Sí",IF(DATOS!AT$5="Sí",(1/DATOS_[[% anualiz]:[% anualiz]]),1)*IF(DATOS!AT$4="Sí",1/DATOS_[[% normaliz]:[% normaliz]],1)*(DATOS_[Conc.Sal.16])))))))),
0)</f>
        <v>0</v>
      </c>
      <c r="Z67" s="196">
        <f t="array" ref="Z67">IFERROR(
(AVERAGE((IF(DATOS_[[Sexo]:[Sexo]]=$B67,IF(DATOS_[[AGRUP. CLAS. PROF.]:[AGRUP. CLAS. PROF.]]=$B66,IF(DATOS_[[Check Periodo Ref.]:[Check Periodo Ref.]]="Dentro",IF(DATOS_[[Check Equiparado]:[Check Equiparado]]="Sí",IF(DATOS!AU$5="Sí",(1/DATOS_[[% anualiz]:[% anualiz]]),1)*IF(DATOS!AU$4="Sí",1/DATOS_[[% normaliz]:[% normaliz]],1)*(DATOS_[Conc.Sal.17])))))))),
0)</f>
        <v>0</v>
      </c>
      <c r="AA67" s="196">
        <f t="array" ref="AA67">IFERROR(
(AVERAGE((IF(DATOS_[[Sexo]:[Sexo]]=$B67,IF(DATOS_[[AGRUP. CLAS. PROF.]:[AGRUP. CLAS. PROF.]]=$B66,IF(DATOS_[[Check Periodo Ref.]:[Check Periodo Ref.]]="Dentro",IF(DATOS_[[Check Equiparado]:[Check Equiparado]]="Sí",IF(DATOS!AV$5="Sí",(1/DATOS_[[% anualiz]:[% anualiz]]),1)*IF(DATOS!AV$4="Sí",1/DATOS_[[% normaliz]:[% normaliz]],1)*(DATOS_[Conc.Sal.18])))))))),
0)</f>
        <v>0</v>
      </c>
      <c r="AB67" s="196">
        <f t="array" ref="AB67">IFERROR(
(AVERAGE((IF(DATOS_[[Sexo]:[Sexo]]=$B67,IF(DATOS_[[AGRUP. CLAS. PROF.]:[AGRUP. CLAS. PROF.]]=$B66,IF(DATOS_[[Check Periodo Ref.]:[Check Periodo Ref.]]="Dentro",IF(DATOS_[[Check Equiparado]:[Check Equiparado]]="Sí",IF(DATOS!AW$5="Sí",(1/DATOS_[[% anualiz]:[% anualiz]]),1)*IF(DATOS!AW$4="Sí",1/DATOS_[[% normaliz]:[% normaliz]],1)*(DATOS_[Conc.Sal.19])))))))),
0)</f>
        <v>0</v>
      </c>
      <c r="AC67" s="196">
        <f t="array" ref="AC67">IFERROR(
(AVERAGE((IF(DATOS_[[Sexo]:[Sexo]]=$B67,IF(DATOS_[[AGRUP. CLAS. PROF.]:[AGRUP. CLAS. PROF.]]=$B66,IF(DATOS_[[Check Periodo Ref.]:[Check Periodo Ref.]]="Dentro",IF(DATOS_[[Check Equiparado]:[Check Equiparado]]="Sí",IF(DATOS!AX$5="Sí",(1/DATOS_[[% anualiz]:[% anualiz]]),1)*IF(DATOS!AX$4="Sí",1/DATOS_[[% normaliz]:[% normaliz]],1)*(DATOS_[Conc.Sal.20])))))))),
0)</f>
        <v>0</v>
      </c>
      <c r="AD67" s="196">
        <f t="array" ref="AD67">IFERROR(
(AVERAGE((IF(DATOS_[[Sexo]:[Sexo]]=$B67,IF(DATOS_[[AGRUP. CLAS. PROF.]:[AGRUP. CLAS. PROF.]]=$B66,IF(DATOS_[[Check Periodo Ref.]:[Check Periodo Ref.]]="Dentro",IF(DATOS_[[Check Equiparado]:[Check Equiparado]]="Sí",IF(DATOS!AY$5="Sí",(1/DATOS_[[% anualiz]:[% anualiz]]),1)*IF(DATOS!AY$4="Sí",1/DATOS_[[% normaliz]:[% normaliz]],1)*(DATOS_[Conc.Sal.21])))))))),
0)</f>
        <v>0</v>
      </c>
      <c r="AE67" s="196">
        <f t="array" ref="AE67">IFERROR(
(AVERAGE((IF(DATOS_[[Sexo]:[Sexo]]=$B67,IF(DATOS_[[AGRUP. CLAS. PROF.]:[AGRUP. CLAS. PROF.]]=$B66,IF(DATOS_[[Check Periodo Ref.]:[Check Periodo Ref.]]="Dentro",IF(DATOS_[[Check Equiparado]:[Check Equiparado]]="Sí",IF(DATOS!AZ$5="Sí",(1/DATOS_[[% anualiz]:[% anualiz]]),1)*IF(DATOS!AZ$4="Sí",1/DATOS_[[% normaliz]:[% normaliz]],1)*(DATOS_[Conc.Sal.22])))))))),
0)</f>
        <v>0</v>
      </c>
      <c r="AF67" s="196">
        <f t="array" ref="AF67">IFERROR(
(AVERAGE((IF(DATOS_[[Sexo]:[Sexo]]=$B67,IF(DATOS_[[AGRUP. CLAS. PROF.]:[AGRUP. CLAS. PROF.]]=$B66,IF(DATOS_[[Check Periodo Ref.]:[Check Periodo Ref.]]="Dentro",IF(DATOS_[[Check Equiparado]:[Check Equiparado]]="Sí",IF(DATOS!BA$5="Sí",(1/DATOS_[[% anualiz]:[% anualiz]]),1)*IF(DATOS!BA$4="Sí",1/DATOS_[[% normaliz]:[% normaliz]],1)*(DATOS_[Conc.Sal.23])))))))),
0)</f>
        <v>0</v>
      </c>
      <c r="AG67" s="196">
        <f t="array" ref="AG67">IFERROR(
(AVERAGE((IF(DATOS_[[Sexo]:[Sexo]]=$B67,IF(DATOS_[[AGRUP. CLAS. PROF.]:[AGRUP. CLAS. PROF.]]=$B66,IF(DATOS_[[Check Periodo Ref.]:[Check Periodo Ref.]]="Dentro",IF(DATOS_[[Check Equiparado]:[Check Equiparado]]="Sí",IF(DATOS!BB$5="Sí",(1/DATOS_[[% anualiz]:[% anualiz]]),1)*IF(DATOS!BB$4="Sí",1/DATOS_[[% normaliz]:[% normaliz]],1)*(DATOS_[Conc.Sal.24])))))))),
0)</f>
        <v>0</v>
      </c>
      <c r="AH67" s="196">
        <f t="array" ref="AH67">IFERROR(
(AVERAGE((IF(DATOS_[[Sexo]:[Sexo]]=$B67,IF(DATOS_[[AGRUP. CLAS. PROF.]:[AGRUP. CLAS. PROF.]]=$B66,IF(DATOS_[[Check Periodo Ref.]:[Check Periodo Ref.]]="Dentro",IF(DATOS_[[Check Equiparado]:[Check Equiparado]]="Sí",IF(DATOS!BC$5="Sí",(1/DATOS_[[% anualiz]:[% anualiz]]),1)*IF(DATOS!BC$4="Sí",1/DATOS_[[% normaliz]:[% normaliz]],1)*(DATOS_[Conc.Sal.25])))))))),
0)</f>
        <v>0</v>
      </c>
      <c r="AI67" s="196">
        <f t="array" ref="AI67">IFERROR(
(AVERAGE((IF(DATOS_[[Sexo]:[Sexo]]=$B67,IF(DATOS_[[AGRUP. CLAS. PROF.]:[AGRUP. CLAS. PROF.]]=$B66,IF(DATOS_[[Check Periodo Ref.]:[Check Periodo Ref.]]="Dentro",IF(DATOS_[[Check Equiparado]:[Check Equiparado]]="Sí",IF(DATOS!BD$5="Sí",(1/DATOS_[[% anualiz]:[% anualiz]]),1)*IF(DATOS!BD$4="Sí",1/DATOS_[[% normaliz]:[% normaliz]],1)*(DATOS_[Conc.Sal.26])))))))),
0)</f>
        <v>0</v>
      </c>
      <c r="AJ67" s="196">
        <f t="array" ref="AJ67">IFERROR(
(AVERAGE((IF(DATOS_[[Sexo]:[Sexo]]=$B67,IF(DATOS_[[AGRUP. CLAS. PROF.]:[AGRUP. CLAS. PROF.]]=$B66,IF(DATOS_[[Check Periodo Ref.]:[Check Periodo Ref.]]="Dentro",IF(DATOS_[[Check Equiparado]:[Check Equiparado]]="Sí",IF(DATOS!BE$5="Sí",(1/DATOS_[[% anualiz]:[% anualiz]]),1)*IF(DATOS!BE$4="Sí",1/DATOS_[[% normaliz]:[% normaliz]],1)*(DATOS_[Conc.Sal.27])))))))),
0)</f>
        <v>0</v>
      </c>
      <c r="AK67" s="196">
        <f t="array" ref="AK67">IFERROR(
(AVERAGE((IF(DATOS_[[Sexo]:[Sexo]]=$B67,IF(DATOS_[[AGRUP. CLAS. PROF.]:[AGRUP. CLAS. PROF.]]=$B66,IF(DATOS_[[Check Periodo Ref.]:[Check Periodo Ref.]]="Dentro",IF(DATOS_[[Check Equiparado]:[Check Equiparado]]="Sí",IF(DATOS!BF$5="Sí",(1/DATOS_[[% anualiz]:[% anualiz]]),1)*IF(DATOS!BF$4="Sí",1/DATOS_[[% normaliz]:[% normaliz]],1)*(DATOS_[Conc.Sal.28])))))))),
0)</f>
        <v>0</v>
      </c>
      <c r="AL67" s="196">
        <f t="array" ref="AL67">IFERROR(
(AVERAGE((IF(DATOS_[[Sexo]:[Sexo]]=$B67,IF(DATOS_[[AGRUP. CLAS. PROF.]:[AGRUP. CLAS. PROF.]]=$B66,IF(DATOS_[[Check Periodo Ref.]:[Check Periodo Ref.]]="Dentro",IF(DATOS_[[Check Equiparado]:[Check Equiparado]]="Sí",IF(DATOS!BG$5="Sí",(1/DATOS_[[% anualiz]:[% anualiz]]),1)*IF(DATOS!BG$4="Sí",1/DATOS_[[% normaliz]:[% normaliz]],1)*(DATOS_[Conc.Sal.29])))))))),
0)</f>
        <v>0</v>
      </c>
      <c r="AM67" s="196">
        <f t="array" ref="AM67">IFERROR(
(AVERAGE((IF(DATOS_[[Sexo]:[Sexo]]=$B67,IF(DATOS_[[AGRUP. CLAS. PROF.]:[AGRUP. CLAS. PROF.]]=$B66,IF(DATOS_[[Check Periodo Ref.]:[Check Periodo Ref.]]="Dentro",IF(DATOS_[[Check Equiparado]:[Check Equiparado]]="Sí",IF(DATOS!BH$5="Sí",(1/DATOS_[[% anualiz]:[% anualiz]]),1)*IF(DATOS!BH$4="Sí",1/DATOS_[[% normaliz]:[% normaliz]],1)*(DATOS_[Conc.Sal.30])))))))),
0)</f>
        <v>0</v>
      </c>
      <c r="AN67" s="195">
        <f t="array" ref="AN67">IFERROR(
AVERAGE(IF(DATOS_[Sexo]=$B67,IF(DATOS_[[AGRUP. CLAS. PROF.]:[AGRUP. CLAS. PROF.]]=$B66,IF(DATOS_[Check Equiparado]="Sí",IF(DATOS_[Check Periodo Ref.]="Dentro",DATOS_[Tot COMPL.SAL Eq],FALSE))))),
0)</f>
        <v>0</v>
      </c>
      <c r="AO67" s="172">
        <f t="array" ref="AO67">IFERROR(
AVERAGE(IF(DATOS_[Sexo]=$B67,IF(DATOS_[[AGRUP. CLAS. PROF.]:[AGRUP. CLAS. PROF.]]=$B66,IF(DATOS_[Check Equiparado]="Sí",IF(DATOS_[Check Periodo Ref.]="Dentro",DATOS_[TOTAL SALARIO Eq],FALSE))))),
0)</f>
        <v>0</v>
      </c>
      <c r="AP67" s="173">
        <f t="array" ref="AP67">IFERROR(
(AVERAGE((IF(DATOS_[[Sexo]:[Sexo]]=$B67,IF(DATOS_[[AGRUP. CLAS. PROF.]:[AGRUP. CLAS. PROF.]]=$B66,IF(DATOS_[[Check Periodo Ref.]:[Check Periodo Ref.]]="Dentro",IF(DATOS_[[Check Equiparado]:[Check Equiparado]]="Sí",IF(DATOS!BW$5="Sí",(1/DATOS_[[% anualiz]:[% anualiz]]),1)*IF(DATOS!BW$4="Sí",1/DATOS_[[% normaliz]:[% normaliz]],1)*(DATOS_[C.Extra.01])))))))),
0)</f>
        <v>0</v>
      </c>
      <c r="AQ67" s="173">
        <f t="array" ref="AQ67">IFERROR(
(AVERAGE((IF(DATOS_[[Sexo]:[Sexo]]=$B67,IF(DATOS_[[AGRUP. CLAS. PROF.]:[AGRUP. CLAS. PROF.]]=$B66,IF(DATOS_[[Check Periodo Ref.]:[Check Periodo Ref.]]="Dentro",IF(DATOS_[[Check Equiparado]:[Check Equiparado]]="Sí",IF(DATOS!CB$5="Sí",(1/DATOS_[[% anualiz]:[% anualiz]]),1)*IF(DATOS!CB$4="Sí",1/DATOS_[[% normaliz]:[% normaliz]],1)*(DATOS_[C.Extra.06])))))))),
0)</f>
        <v>0</v>
      </c>
      <c r="AR67" s="173">
        <f t="array" ref="AR67">IFERROR(
(AVERAGE((IF(DATOS_[[Sexo]:[Sexo]]=$B67,IF(DATOS_[[AGRUP. CLAS. PROF.]:[AGRUP. CLAS. PROF.]]=$B66,IF(DATOS_[[Check Periodo Ref.]:[Check Periodo Ref.]]="Dentro",IF(DATOS_[[Check Equiparado]:[Check Equiparado]]="Sí",IF(DATOS!CC$5="Sí",(1/DATOS_[[% anualiz]:[% anualiz]]),1)*IF(DATOS!CC$4="Sí",1/DATOS_[[% normaliz]:[% normaliz]],1)*(DATOS_[C.Extra.07])))))))),
0)</f>
        <v>0</v>
      </c>
      <c r="AS67" s="173">
        <f t="array" ref="AS67">IFERROR(
(AVERAGE((IF(DATOS_[[Sexo]:[Sexo]]=$B67,IF(DATOS_[[AGRUP. CLAS. PROF.]:[AGRUP. CLAS. PROF.]]=$B66,IF(DATOS_[[Check Periodo Ref.]:[Check Periodo Ref.]]="Dentro",IF(DATOS_[[Check Equiparado]:[Check Equiparado]]="Sí",IF(DATOS!CD$5="Sí",(1/DATOS_[[% anualiz]:[% anualiz]]),1)*IF(DATOS!CD$4="Sí",1/DATOS_[[% normaliz]:[% normaliz]],1)*(DATOS_[C.Extra.08])))))))),
0)</f>
        <v>0</v>
      </c>
      <c r="AT67" s="173">
        <f t="array" ref="AT67">IFERROR(
(AVERAGE((IF(DATOS_[[Sexo]:[Sexo]]=$B67,IF(DATOS_[[AGRUP. CLAS. PROF.]:[AGRUP. CLAS. PROF.]]=$B66,IF(DATOS_[[Check Periodo Ref.]:[Check Periodo Ref.]]="Dentro",IF(DATOS_[[Check Equiparado]:[Check Equiparado]]="Sí",IF(DATOS!CG$5="Sí",(1/DATOS_[[% anualiz]:[% anualiz]]),1)*IF(DATOS!CG$4="Sí",1/DATOS_[[% normaliz]:[% normaliz]],1)*(DATOS_[C.Extra.11])))))))),
0)</f>
        <v>0</v>
      </c>
      <c r="AU67" s="197">
        <f t="array" ref="AU67">IFERROR(
AVERAGE(IF(DATOS_[Sexo]=$B67,IF(DATOS_[[AGRUP. CLAS. PROF.]:[AGRUP. CLAS. PROF.]]=$B66,IF(DATOS_[Check Equiparado]="Sí",IF(DATOS_[Check Periodo Ref.]="Dentro",DATOS_[Tot Extrasalarial Eq],FALSE))))),
0)</f>
        <v>0</v>
      </c>
      <c r="AV67" s="175">
        <f t="array" ref="AV67">IFERROR(
AVERAGE(IF(DATOS_[Sexo]=$B67,IF(DATOS_[[AGRUP. CLAS. PROF.]:[AGRUP. CLAS. PROF.]]=$B66,IF(DATOS_[Check Equiparado]="Sí",IF(DATOS_[Check Periodo Ref.]="Dentro",DATOS_[TOTAL Retrib Eq],FALSE))))),
0)</f>
        <v>0</v>
      </c>
    </row>
    <row r="68" spans="1:48" hidden="1" x14ac:dyDescent="0.25">
      <c r="A68" s="133" t="str">
        <f t="shared" ref="A68" si="74">+A67</f>
        <v>[ocultar]</v>
      </c>
      <c r="B68" s="202" t="s">
        <v>521</v>
      </c>
      <c r="C68" s="203">
        <f t="array" ref="C68">SUM(IF($B68=DATOS_[Sexo],
IF($B66=DATOS_[AGRUP. CLAS. PROF.],
IF("Dentro"=DATOS_[Check Periodo Ref.],
1/(COUNTIFS(DATOS_[Sexo],$B68,DATOS_[AGRUP. CLAS. PROF.],$B66,DATOS_[Check Periodo Ref.],"Dentro",DATOS_[id/cod],DATOS_[id/cod]))))))</f>
        <v>0</v>
      </c>
      <c r="D68" s="204">
        <f>COUNTIFS(DATOS_[AGRUP. CLAS. PROF.],$B66,DATOS_[Sexo],$B68,DATOS_[Check Periodo Ref.],"Dentro")</f>
        <v>0</v>
      </c>
      <c r="E68" s="204">
        <f>COUNTIFS(DATOS_[AGRUP. CLAS. PROF.],$B66,DATOS_[Sexo],$B68,DATOS_[Check Periodo Ref.],"Dentro",DATOS_[Check Nº SC Norm],"Sí")</f>
        <v>0</v>
      </c>
      <c r="F68" s="204">
        <f>COUNTIFS(DATOS_[AGRUP. CLAS. PROF.],$B66,DATOS_[Sexo],$B68,DATOS_[Check Periodo Ref.],"Dentro",DATOS_[Check Nº SC Anualiz],"Sí")</f>
        <v>0</v>
      </c>
      <c r="G68" s="204">
        <f>COUNTIFS(DATOS_[AGRUP. CLAS. PROF.],$B66,DATOS_[Sexo],$B68,DATOS_[Check Periodo Ref.],"Dentro",DATOS_[Check Nº SC Norm y Anualiz],"Sí")</f>
        <v>0</v>
      </c>
      <c r="H68" s="204">
        <f>COUNTIFS(DATOS_[AGRUP. CLAS. PROF.],$B66,DATOS_[Sexo],$B68,DATOS_[Check Periodo Ref.],"Dentro",DATOS_[Check Equiparación],"Sí")</f>
        <v>0</v>
      </c>
      <c r="I68" s="195" cm="1">
        <f t="array" ref="I68">IFERROR(
AVERAGE(IF(DATOS_[Sexo]=$B68,IF(DATOS_[[AGRUP. CLAS. PROF.]:[AGRUP. CLAS. PROF.]]=$B66,IF(DATOS_[Check Equiparado]="Sí",IF(DATOS_[Check Periodo Ref.]="Dentro",DATOS_[SALARIO BASE Eq],FALSE))))),
0)</f>
        <v>0</v>
      </c>
      <c r="J68" s="196">
        <f t="array" ref="J68">IFERROR(
(AVERAGE((IF(DATOS_[[Sexo]:[Sexo]]=$B68,IF(DATOS_[[AGRUP. CLAS. PROF.]:[AGRUP. CLAS. PROF.]]=$B66,IF(DATOS_[[Check Periodo Ref.]:[Check Periodo Ref.]]="Dentro",IF(DATOS_[[Check Equiparado]:[Check Equiparado]]="Sí",IF(DATOS!AE$5="Sí",(1/DATOS_[[% anualiz]:[% anualiz]]),1)*IF(DATOS!AE$4="Sí",1/DATOS_[[% normaliz]:[% normaliz]],1)*(DATOS_[Conc.Sal.01])))))))),
0)</f>
        <v>0</v>
      </c>
      <c r="K68" s="196">
        <f t="array" ref="K68">IFERROR(
(AVERAGE((IF(DATOS_[[Sexo]:[Sexo]]=$B68,IF(DATOS_[[AGRUP. CLAS. PROF.]:[AGRUP. CLAS. PROF.]]=$B66,IF(DATOS_[[Check Periodo Ref.]:[Check Periodo Ref.]]="Dentro",IF(DATOS_[[Check Equiparado]:[Check Equiparado]]="Sí",IF(DATOS!AF$5="Sí",(1/DATOS_[[% anualiz]:[% anualiz]]),1)*IF(DATOS!AF$4="Sí",1/DATOS_[[% normaliz]:[% normaliz]],1)*(DATOS_[Conc.Sal.02])))))))),
0)</f>
        <v>0</v>
      </c>
      <c r="L68" s="196">
        <f t="array" ref="L68">IFERROR(
(AVERAGE((IF(DATOS_[[Sexo]:[Sexo]]=$B68,IF(DATOS_[[AGRUP. CLAS. PROF.]:[AGRUP. CLAS. PROF.]]=$B66,IF(DATOS_[[Check Periodo Ref.]:[Check Periodo Ref.]]="Dentro",IF(DATOS_[[Check Equiparado]:[Check Equiparado]]="Sí",IF(DATOS!AG$5="Sí",(1/DATOS_[[% anualiz]:[% anualiz]]),1)*IF(DATOS!AG$4="Sí",1/DATOS_[[% normaliz]:[% normaliz]],1)*(DATOS_[Conc.Sal.03])))))))),
0)</f>
        <v>0</v>
      </c>
      <c r="M68" s="196">
        <f t="array" ref="M68">IFERROR(
(AVERAGE((IF(DATOS_[[Sexo]:[Sexo]]=$B68,IF(DATOS_[[AGRUP. CLAS. PROF.]:[AGRUP. CLAS. PROF.]]=$B66,IF(DATOS_[[Check Periodo Ref.]:[Check Periodo Ref.]]="Dentro",IF(DATOS_[[Check Equiparado]:[Check Equiparado]]="Sí",IF(DATOS!AH$5="Sí",(1/DATOS_[[% anualiz]:[% anualiz]]),1)*IF(DATOS!AH$4="Sí",1/DATOS_[[% normaliz]:[% normaliz]],1)*(DATOS_[Conc.Sal.04])))))))),
0)</f>
        <v>0</v>
      </c>
      <c r="N68" s="196">
        <f t="array" ref="N68">IFERROR(
(AVERAGE((IF(DATOS_[[Sexo]:[Sexo]]=$B68,IF(DATOS_[[AGRUP. CLAS. PROF.]:[AGRUP. CLAS. PROF.]]=$B66,IF(DATOS_[[Check Periodo Ref.]:[Check Periodo Ref.]]="Dentro",IF(DATOS_[[Check Equiparado]:[Check Equiparado]]="Sí",IF(DATOS!AI$5="Sí",(1/DATOS_[[% anualiz]:[% anualiz]]),1)*IF(DATOS!AI$4="Sí",1/DATOS_[[% normaliz]:[% normaliz]],1)*(DATOS_[Conc.Sal.05])))))))),
0)</f>
        <v>0</v>
      </c>
      <c r="O68" s="196">
        <f t="array" ref="O68">IFERROR(
(AVERAGE((IF(DATOS_[[Sexo]:[Sexo]]=$B68,IF(DATOS_[[AGRUP. CLAS. PROF.]:[AGRUP. CLAS. PROF.]]=$B66,IF(DATOS_[[Check Periodo Ref.]:[Check Periodo Ref.]]="Dentro",IF(DATOS_[[Check Equiparado]:[Check Equiparado]]="Sí",IF(DATOS!AJ$5="Sí",(1/DATOS_[[% anualiz]:[% anualiz]]),1)*IF(DATOS!AJ$4="Sí",1/DATOS_[[% normaliz]:[% normaliz]],1)*(DATOS_[Conc.Sal.06])))))))),
0)</f>
        <v>0</v>
      </c>
      <c r="P68" s="196">
        <f t="array" ref="P68">IFERROR(
(AVERAGE((IF(DATOS_[[Sexo]:[Sexo]]=$B68,IF(DATOS_[[AGRUP. CLAS. PROF.]:[AGRUP. CLAS. PROF.]]=$B66,IF(DATOS_[[Check Periodo Ref.]:[Check Periodo Ref.]]="Dentro",IF(DATOS_[[Check Equiparado]:[Check Equiparado]]="Sí",IF(DATOS!AK$5="Sí",(1/DATOS_[[% anualiz]:[% anualiz]]),1)*IF(DATOS!AK$4="Sí",1/DATOS_[[% normaliz]:[% normaliz]],1)*(DATOS_[Conc.Sal.07])))))))),
0)</f>
        <v>0</v>
      </c>
      <c r="Q68" s="196">
        <f t="array" ref="Q68">IFERROR(
(AVERAGE((IF(DATOS_[[Sexo]:[Sexo]]=$B68,IF(DATOS_[[AGRUP. CLAS. PROF.]:[AGRUP. CLAS. PROF.]]=$B66,IF(DATOS_[[Check Periodo Ref.]:[Check Periodo Ref.]]="Dentro",IF(DATOS_[[Check Equiparado]:[Check Equiparado]]="Sí",IF(DATOS!AL$5="Sí",(1/DATOS_[[% anualiz]:[% anualiz]]),1)*IF(DATOS!AL$4="Sí",1/DATOS_[[% normaliz]:[% normaliz]],1)*(DATOS_[Conc.Sal.08])))))))),
0)</f>
        <v>0</v>
      </c>
      <c r="R68" s="196">
        <f t="array" ref="R68">IFERROR(
(AVERAGE((IF(DATOS_[[Sexo]:[Sexo]]=$B68,IF(DATOS_[[AGRUP. CLAS. PROF.]:[AGRUP. CLAS. PROF.]]=$B66,IF(DATOS_[[Check Periodo Ref.]:[Check Periodo Ref.]]="Dentro",IF(DATOS_[[Check Equiparado]:[Check Equiparado]]="Sí",IF(DATOS!AM$5="Sí",(1/DATOS_[[% anualiz]:[% anualiz]]),1)*IF(DATOS!AM$4="Sí",1/DATOS_[[% normaliz]:[% normaliz]],1)*(DATOS_[Conc.Sal.09])))))))),
0)</f>
        <v>0</v>
      </c>
      <c r="S68" s="196">
        <f t="array" ref="S68">IFERROR(
(AVERAGE((IF(DATOS_[[Sexo]:[Sexo]]=$B68,IF(DATOS_[[AGRUP. CLAS. PROF.]:[AGRUP. CLAS. PROF.]]=$B66,IF(DATOS_[[Check Periodo Ref.]:[Check Periodo Ref.]]="Dentro",IF(DATOS_[[Check Equiparado]:[Check Equiparado]]="Sí",IF(DATOS!AN$5="Sí",(1/DATOS_[[% anualiz]:[% anualiz]]),1)*IF(DATOS!AN$4="Sí",1/DATOS_[[% normaliz]:[% normaliz]],1)*(DATOS_[Conc.Sal.10])))))))),
0)</f>
        <v>0</v>
      </c>
      <c r="T68" s="196">
        <f t="array" ref="T68">IFERROR(
(AVERAGE((IF(DATOS_[[Sexo]:[Sexo]]=$B68,IF(DATOS_[[AGRUP. CLAS. PROF.]:[AGRUP. CLAS. PROF.]]=$B66,IF(DATOS_[[Check Periodo Ref.]:[Check Periodo Ref.]]="Dentro",IF(DATOS_[[Check Equiparado]:[Check Equiparado]]="Sí",IF(DATOS!AO$5="Sí",(1/DATOS_[[% anualiz]:[% anualiz]]),1)*IF(DATOS!AO$4="Sí",1/DATOS_[[% normaliz]:[% normaliz]],1)*(DATOS_[Conc.Sal.11])))))))),
0)</f>
        <v>0</v>
      </c>
      <c r="U68" s="196">
        <f t="array" ref="U68">IFERROR(
(AVERAGE((IF(DATOS_[[Sexo]:[Sexo]]=$B68,IF(DATOS_[[AGRUP. CLAS. PROF.]:[AGRUP. CLAS. PROF.]]=$B66,IF(DATOS_[[Check Periodo Ref.]:[Check Periodo Ref.]]="Dentro",IF(DATOS_[[Check Equiparado]:[Check Equiparado]]="Sí",IF(DATOS!AP$5="Sí",(1/DATOS_[[% anualiz]:[% anualiz]]),1)*IF(DATOS!AP$4="Sí",1/DATOS_[[% normaliz]:[% normaliz]],1)*(DATOS_[Conc.Sal.12])))))))),
0)</f>
        <v>0</v>
      </c>
      <c r="V68" s="196">
        <f t="array" ref="V68">IFERROR(
(AVERAGE((IF(DATOS_[[Sexo]:[Sexo]]=$B68,IF(DATOS_[[AGRUP. CLAS. PROF.]:[AGRUP. CLAS. PROF.]]=$B66,IF(DATOS_[[Check Periodo Ref.]:[Check Periodo Ref.]]="Dentro",IF(DATOS_[[Check Equiparado]:[Check Equiparado]]="Sí",IF(DATOS!AQ$5="Sí",(1/DATOS_[[% anualiz]:[% anualiz]]),1)*IF(DATOS!AQ$4="Sí",1/DATOS_[[% normaliz]:[% normaliz]],1)*(DATOS_[Conc.Sal.13])))))))),
0)</f>
        <v>0</v>
      </c>
      <c r="W68" s="196">
        <f t="array" ref="W68">IFERROR(
(AVERAGE((IF(DATOS_[[Sexo]:[Sexo]]=$B68,IF(DATOS_[[AGRUP. CLAS. PROF.]:[AGRUP. CLAS. PROF.]]=$B66,IF(DATOS_[[Check Periodo Ref.]:[Check Periodo Ref.]]="Dentro",IF(DATOS_[[Check Equiparado]:[Check Equiparado]]="Sí",IF(DATOS!AR$5="Sí",(1/DATOS_[[% anualiz]:[% anualiz]]),1)*IF(DATOS!AR$4="Sí",1/DATOS_[[% normaliz]:[% normaliz]],1)*(DATOS_[Conc.Sal.14])))))))),
0)</f>
        <v>0</v>
      </c>
      <c r="X68" s="196">
        <f t="array" ref="X68">IFERROR(
(AVERAGE((IF(DATOS_[[Sexo]:[Sexo]]=$B68,IF(DATOS_[[AGRUP. CLAS. PROF.]:[AGRUP. CLAS. PROF.]]=$B66,IF(DATOS_[[Check Periodo Ref.]:[Check Periodo Ref.]]="Dentro",IF(DATOS_[[Check Equiparado]:[Check Equiparado]]="Sí",IF(DATOS!AS$5="Sí",(1/DATOS_[[% anualiz]:[% anualiz]]),1)*IF(DATOS!AS$4="Sí",1/DATOS_[[% normaliz]:[% normaliz]],1)*(DATOS_[Conc.Sal.15])))))))),
0)</f>
        <v>0</v>
      </c>
      <c r="Y68" s="196">
        <f t="array" ref="Y68">IFERROR(
(AVERAGE((IF(DATOS_[[Sexo]:[Sexo]]=$B68,IF(DATOS_[[AGRUP. CLAS. PROF.]:[AGRUP. CLAS. PROF.]]=$B66,IF(DATOS_[[Check Periodo Ref.]:[Check Periodo Ref.]]="Dentro",IF(DATOS_[[Check Equiparado]:[Check Equiparado]]="Sí",IF(DATOS!AT$5="Sí",(1/DATOS_[[% anualiz]:[% anualiz]]),1)*IF(DATOS!AT$4="Sí",1/DATOS_[[% normaliz]:[% normaliz]],1)*(DATOS_[Conc.Sal.16])))))))),
0)</f>
        <v>0</v>
      </c>
      <c r="Z68" s="196">
        <f t="array" ref="Z68">IFERROR(
(AVERAGE((IF(DATOS_[[Sexo]:[Sexo]]=$B68,IF(DATOS_[[AGRUP. CLAS. PROF.]:[AGRUP. CLAS. PROF.]]=$B66,IF(DATOS_[[Check Periodo Ref.]:[Check Periodo Ref.]]="Dentro",IF(DATOS_[[Check Equiparado]:[Check Equiparado]]="Sí",IF(DATOS!AU$5="Sí",(1/DATOS_[[% anualiz]:[% anualiz]]),1)*IF(DATOS!AU$4="Sí",1/DATOS_[[% normaliz]:[% normaliz]],1)*(DATOS_[Conc.Sal.17])))))))),
0)</f>
        <v>0</v>
      </c>
      <c r="AA68" s="196">
        <f t="array" ref="AA68">IFERROR(
(AVERAGE((IF(DATOS_[[Sexo]:[Sexo]]=$B68,IF(DATOS_[[AGRUP. CLAS. PROF.]:[AGRUP. CLAS. PROF.]]=$B66,IF(DATOS_[[Check Periodo Ref.]:[Check Periodo Ref.]]="Dentro",IF(DATOS_[[Check Equiparado]:[Check Equiparado]]="Sí",IF(DATOS!AV$5="Sí",(1/DATOS_[[% anualiz]:[% anualiz]]),1)*IF(DATOS!AV$4="Sí",1/DATOS_[[% normaliz]:[% normaliz]],1)*(DATOS_[Conc.Sal.18])))))))),
0)</f>
        <v>0</v>
      </c>
      <c r="AB68" s="196">
        <f t="array" ref="AB68">IFERROR(
(AVERAGE((IF(DATOS_[[Sexo]:[Sexo]]=$B68,IF(DATOS_[[AGRUP. CLAS. PROF.]:[AGRUP. CLAS. PROF.]]=$B66,IF(DATOS_[[Check Periodo Ref.]:[Check Periodo Ref.]]="Dentro",IF(DATOS_[[Check Equiparado]:[Check Equiparado]]="Sí",IF(DATOS!AW$5="Sí",(1/DATOS_[[% anualiz]:[% anualiz]]),1)*IF(DATOS!AW$4="Sí",1/DATOS_[[% normaliz]:[% normaliz]],1)*(DATOS_[Conc.Sal.19])))))))),
0)</f>
        <v>0</v>
      </c>
      <c r="AC68" s="196">
        <f t="array" ref="AC68">IFERROR(
(AVERAGE((IF(DATOS_[[Sexo]:[Sexo]]=$B68,IF(DATOS_[[AGRUP. CLAS. PROF.]:[AGRUP. CLAS. PROF.]]=$B66,IF(DATOS_[[Check Periodo Ref.]:[Check Periodo Ref.]]="Dentro",IF(DATOS_[[Check Equiparado]:[Check Equiparado]]="Sí",IF(DATOS!AX$5="Sí",(1/DATOS_[[% anualiz]:[% anualiz]]),1)*IF(DATOS!AX$4="Sí",1/DATOS_[[% normaliz]:[% normaliz]],1)*(DATOS_[Conc.Sal.20])))))))),
0)</f>
        <v>0</v>
      </c>
      <c r="AD68" s="196">
        <f t="array" ref="AD68">IFERROR(
(AVERAGE((IF(DATOS_[[Sexo]:[Sexo]]=$B68,IF(DATOS_[[AGRUP. CLAS. PROF.]:[AGRUP. CLAS. PROF.]]=$B66,IF(DATOS_[[Check Periodo Ref.]:[Check Periodo Ref.]]="Dentro",IF(DATOS_[[Check Equiparado]:[Check Equiparado]]="Sí",IF(DATOS!AY$5="Sí",(1/DATOS_[[% anualiz]:[% anualiz]]),1)*IF(DATOS!AY$4="Sí",1/DATOS_[[% normaliz]:[% normaliz]],1)*(DATOS_[Conc.Sal.21])))))))),
0)</f>
        <v>0</v>
      </c>
      <c r="AE68" s="196">
        <f t="array" ref="AE68">IFERROR(
(AVERAGE((IF(DATOS_[[Sexo]:[Sexo]]=$B68,IF(DATOS_[[AGRUP. CLAS. PROF.]:[AGRUP. CLAS. PROF.]]=$B66,IF(DATOS_[[Check Periodo Ref.]:[Check Periodo Ref.]]="Dentro",IF(DATOS_[[Check Equiparado]:[Check Equiparado]]="Sí",IF(DATOS!AZ$5="Sí",(1/DATOS_[[% anualiz]:[% anualiz]]),1)*IF(DATOS!AZ$4="Sí",1/DATOS_[[% normaliz]:[% normaliz]],1)*(DATOS_[Conc.Sal.22])))))))),
0)</f>
        <v>0</v>
      </c>
      <c r="AF68" s="196">
        <f t="array" ref="AF68">IFERROR(
(AVERAGE((IF(DATOS_[[Sexo]:[Sexo]]=$B68,IF(DATOS_[[AGRUP. CLAS. PROF.]:[AGRUP. CLAS. PROF.]]=$B66,IF(DATOS_[[Check Periodo Ref.]:[Check Periodo Ref.]]="Dentro",IF(DATOS_[[Check Equiparado]:[Check Equiparado]]="Sí",IF(DATOS!BA$5="Sí",(1/DATOS_[[% anualiz]:[% anualiz]]),1)*IF(DATOS!BA$4="Sí",1/DATOS_[[% normaliz]:[% normaliz]],1)*(DATOS_[Conc.Sal.23])))))))),
0)</f>
        <v>0</v>
      </c>
      <c r="AG68" s="196">
        <f t="array" ref="AG68">IFERROR(
(AVERAGE((IF(DATOS_[[Sexo]:[Sexo]]=$B68,IF(DATOS_[[AGRUP. CLAS. PROF.]:[AGRUP. CLAS. PROF.]]=$B66,IF(DATOS_[[Check Periodo Ref.]:[Check Periodo Ref.]]="Dentro",IF(DATOS_[[Check Equiparado]:[Check Equiparado]]="Sí",IF(DATOS!BB$5="Sí",(1/DATOS_[[% anualiz]:[% anualiz]]),1)*IF(DATOS!BB$4="Sí",1/DATOS_[[% normaliz]:[% normaliz]],1)*(DATOS_[Conc.Sal.24])))))))),
0)</f>
        <v>0</v>
      </c>
      <c r="AH68" s="196">
        <f t="array" ref="AH68">IFERROR(
(AVERAGE((IF(DATOS_[[Sexo]:[Sexo]]=$B68,IF(DATOS_[[AGRUP. CLAS. PROF.]:[AGRUP. CLAS. PROF.]]=$B66,IF(DATOS_[[Check Periodo Ref.]:[Check Periodo Ref.]]="Dentro",IF(DATOS_[[Check Equiparado]:[Check Equiparado]]="Sí",IF(DATOS!BC$5="Sí",(1/DATOS_[[% anualiz]:[% anualiz]]),1)*IF(DATOS!BC$4="Sí",1/DATOS_[[% normaliz]:[% normaliz]],1)*(DATOS_[Conc.Sal.25])))))))),
0)</f>
        <v>0</v>
      </c>
      <c r="AI68" s="196">
        <f t="array" ref="AI68">IFERROR(
(AVERAGE((IF(DATOS_[[Sexo]:[Sexo]]=$B68,IF(DATOS_[[AGRUP. CLAS. PROF.]:[AGRUP. CLAS. PROF.]]=$B66,IF(DATOS_[[Check Periodo Ref.]:[Check Periodo Ref.]]="Dentro",IF(DATOS_[[Check Equiparado]:[Check Equiparado]]="Sí",IF(DATOS!BD$5="Sí",(1/DATOS_[[% anualiz]:[% anualiz]]),1)*IF(DATOS!BD$4="Sí",1/DATOS_[[% normaliz]:[% normaliz]],1)*(DATOS_[Conc.Sal.26])))))))),
0)</f>
        <v>0</v>
      </c>
      <c r="AJ68" s="196">
        <f t="array" ref="AJ68">IFERROR(
(AVERAGE((IF(DATOS_[[Sexo]:[Sexo]]=$B68,IF(DATOS_[[AGRUP. CLAS. PROF.]:[AGRUP. CLAS. PROF.]]=$B66,IF(DATOS_[[Check Periodo Ref.]:[Check Periodo Ref.]]="Dentro",IF(DATOS_[[Check Equiparado]:[Check Equiparado]]="Sí",IF(DATOS!BE$5="Sí",(1/DATOS_[[% anualiz]:[% anualiz]]),1)*IF(DATOS!BE$4="Sí",1/DATOS_[[% normaliz]:[% normaliz]],1)*(DATOS_[Conc.Sal.27])))))))),
0)</f>
        <v>0</v>
      </c>
      <c r="AK68" s="196">
        <f t="array" ref="AK68">IFERROR(
(AVERAGE((IF(DATOS_[[Sexo]:[Sexo]]=$B68,IF(DATOS_[[AGRUP. CLAS. PROF.]:[AGRUP. CLAS. PROF.]]=$B66,IF(DATOS_[[Check Periodo Ref.]:[Check Periodo Ref.]]="Dentro",IF(DATOS_[[Check Equiparado]:[Check Equiparado]]="Sí",IF(DATOS!BF$5="Sí",(1/DATOS_[[% anualiz]:[% anualiz]]),1)*IF(DATOS!BF$4="Sí",1/DATOS_[[% normaliz]:[% normaliz]],1)*(DATOS_[Conc.Sal.28])))))))),
0)</f>
        <v>0</v>
      </c>
      <c r="AL68" s="196">
        <f t="array" ref="AL68">IFERROR(
(AVERAGE((IF(DATOS_[[Sexo]:[Sexo]]=$B68,IF(DATOS_[[AGRUP. CLAS. PROF.]:[AGRUP. CLAS. PROF.]]=$B66,IF(DATOS_[[Check Periodo Ref.]:[Check Periodo Ref.]]="Dentro",IF(DATOS_[[Check Equiparado]:[Check Equiparado]]="Sí",IF(DATOS!BG$5="Sí",(1/DATOS_[[% anualiz]:[% anualiz]]),1)*IF(DATOS!BG$4="Sí",1/DATOS_[[% normaliz]:[% normaliz]],1)*(DATOS_[Conc.Sal.29])))))))),
0)</f>
        <v>0</v>
      </c>
      <c r="AM68" s="196">
        <f t="array" ref="AM68">IFERROR(
(AVERAGE((IF(DATOS_[[Sexo]:[Sexo]]=$B68,IF(DATOS_[[AGRUP. CLAS. PROF.]:[AGRUP. CLAS. PROF.]]=$B66,IF(DATOS_[[Check Periodo Ref.]:[Check Periodo Ref.]]="Dentro",IF(DATOS_[[Check Equiparado]:[Check Equiparado]]="Sí",IF(DATOS!BH$5="Sí",(1/DATOS_[[% anualiz]:[% anualiz]]),1)*IF(DATOS!BH$4="Sí",1/DATOS_[[% normaliz]:[% normaliz]],1)*(DATOS_[Conc.Sal.30])))))))),
0)</f>
        <v>0</v>
      </c>
      <c r="AN68" s="195">
        <f t="array" ref="AN68">IFERROR(
AVERAGE(IF(DATOS_[Sexo]=$B68,IF(DATOS_[[AGRUP. CLAS. PROF.]:[AGRUP. CLAS. PROF.]]=$B66,IF(DATOS_[Check Equiparado]="Sí",IF(DATOS_[Check Periodo Ref.]="Dentro",DATOS_[Tot COMPL.SAL Eq],FALSE))))),
0)</f>
        <v>0</v>
      </c>
      <c r="AO68" s="172">
        <f t="array" ref="AO68">IFERROR(
AVERAGE(IF(DATOS_[Sexo]=$B68,IF(DATOS_[[AGRUP. CLAS. PROF.]:[AGRUP. CLAS. PROF.]]=$B66,IF(DATOS_[Check Equiparado]="Sí",IF(DATOS_[Check Periodo Ref.]="Dentro",DATOS_[TOTAL SALARIO Eq],FALSE))))),
0)</f>
        <v>0</v>
      </c>
      <c r="AP68" s="173">
        <f t="array" ref="AP68">IFERROR(
(AVERAGE((IF(DATOS_[[Sexo]:[Sexo]]=$B68,IF(DATOS_[[AGRUP. CLAS. PROF.]:[AGRUP. CLAS. PROF.]]=$B66,IF(DATOS_[[Check Periodo Ref.]:[Check Periodo Ref.]]="Dentro",IF(DATOS_[[Check Equiparado]:[Check Equiparado]]="Sí",IF(DATOS!BW$5="Sí",(1/DATOS_[[% anualiz]:[% anualiz]]),1)*IF(DATOS!BW$4="Sí",1/DATOS_[[% normaliz]:[% normaliz]],1)*(DATOS_[C.Extra.01])))))))),
0)</f>
        <v>0</v>
      </c>
      <c r="AQ68" s="173">
        <f t="array" ref="AQ68">IFERROR(
(AVERAGE((IF(DATOS_[[Sexo]:[Sexo]]=$B68,IF(DATOS_[[AGRUP. CLAS. PROF.]:[AGRUP. CLAS. PROF.]]=$B66,IF(DATOS_[[Check Periodo Ref.]:[Check Periodo Ref.]]="Dentro",IF(DATOS_[[Check Equiparado]:[Check Equiparado]]="Sí",IF(DATOS!CB$5="Sí",(1/DATOS_[[% anualiz]:[% anualiz]]),1)*IF(DATOS!CB$4="Sí",1/DATOS_[[% normaliz]:[% normaliz]],1)*(DATOS_[C.Extra.06])))))))),
0)</f>
        <v>0</v>
      </c>
      <c r="AR68" s="173">
        <f t="array" ref="AR68">IFERROR(
(AVERAGE((IF(DATOS_[[Sexo]:[Sexo]]=$B68,IF(DATOS_[[AGRUP. CLAS. PROF.]:[AGRUP. CLAS. PROF.]]=$B66,IF(DATOS_[[Check Periodo Ref.]:[Check Periodo Ref.]]="Dentro",IF(DATOS_[[Check Equiparado]:[Check Equiparado]]="Sí",IF(DATOS!CC$5="Sí",(1/DATOS_[[% anualiz]:[% anualiz]]),1)*IF(DATOS!CC$4="Sí",1/DATOS_[[% normaliz]:[% normaliz]],1)*(DATOS_[C.Extra.07])))))))),
0)</f>
        <v>0</v>
      </c>
      <c r="AS68" s="173">
        <f t="array" ref="AS68">IFERROR(
(AVERAGE((IF(DATOS_[[Sexo]:[Sexo]]=$B68,IF(DATOS_[[AGRUP. CLAS. PROF.]:[AGRUP. CLAS. PROF.]]=$B66,IF(DATOS_[[Check Periodo Ref.]:[Check Periodo Ref.]]="Dentro",IF(DATOS_[[Check Equiparado]:[Check Equiparado]]="Sí",IF(DATOS!CD$5="Sí",(1/DATOS_[[% anualiz]:[% anualiz]]),1)*IF(DATOS!CD$4="Sí",1/DATOS_[[% normaliz]:[% normaliz]],1)*(DATOS_[C.Extra.08])))))))),
0)</f>
        <v>0</v>
      </c>
      <c r="AT68" s="173">
        <f t="array" ref="AT68">IFERROR(
(AVERAGE((IF(DATOS_[[Sexo]:[Sexo]]=$B68,IF(DATOS_[[AGRUP. CLAS. PROF.]:[AGRUP. CLAS. PROF.]]=$B66,IF(DATOS_[[Check Periodo Ref.]:[Check Periodo Ref.]]="Dentro",IF(DATOS_[[Check Equiparado]:[Check Equiparado]]="Sí",IF(DATOS!CG$5="Sí",(1/DATOS_[[% anualiz]:[% anualiz]]),1)*IF(DATOS!CG$4="Sí",1/DATOS_[[% normaliz]:[% normaliz]],1)*(DATOS_[C.Extra.11])))))))),
0)</f>
        <v>0</v>
      </c>
      <c r="AU68" s="197">
        <f t="array" ref="AU68">IFERROR(
AVERAGE(IF(DATOS_[Sexo]=$B68,IF(DATOS_[[AGRUP. CLAS. PROF.]:[AGRUP. CLAS. PROF.]]=$B66,IF(DATOS_[Check Equiparado]="Sí",IF(DATOS_[Check Periodo Ref.]="Dentro",DATOS_[Tot Extrasalarial Eq],FALSE))))),
0)</f>
        <v>0</v>
      </c>
      <c r="AV68" s="175">
        <f t="array" ref="AV68">IFERROR(
AVERAGE(IF(DATOS_[Sexo]=$B68,IF(DATOS_[[AGRUP. CLAS. PROF.]:[AGRUP. CLAS. PROF.]]=$B66,IF(DATOS_[Check Equiparado]="Sí",IF(DATOS_[Check Periodo Ref.]="Dentro",DATOS_[TOTAL Retrib Eq],FALSE))))),
0)</f>
        <v>0</v>
      </c>
    </row>
    <row r="69" spans="1:48" ht="15.6" hidden="1" thickBot="1" x14ac:dyDescent="0.3">
      <c r="A69" s="133" t="str">
        <f t="shared" ref="A69" si="75">+A70</f>
        <v>[ocultar]</v>
      </c>
      <c r="B69" s="199" t="s">
        <v>252</v>
      </c>
      <c r="C69" s="200"/>
      <c r="D69" s="201"/>
      <c r="E69" s="201"/>
      <c r="F69" s="201"/>
      <c r="G69" s="201"/>
      <c r="H69" s="201"/>
      <c r="I69" s="189" t="str">
        <f t="shared" ref="I69:AV69" si="76">IFERROR((I70-I71)/I70,"")</f>
        <v/>
      </c>
      <c r="J69" s="190" t="str">
        <f t="shared" si="76"/>
        <v/>
      </c>
      <c r="K69" s="191" t="str">
        <f t="shared" si="76"/>
        <v/>
      </c>
      <c r="L69" s="191" t="str">
        <f t="shared" si="76"/>
        <v/>
      </c>
      <c r="M69" s="191" t="str">
        <f t="shared" si="76"/>
        <v/>
      </c>
      <c r="N69" s="192" t="str">
        <f t="shared" si="76"/>
        <v/>
      </c>
      <c r="O69" s="193" t="str">
        <f t="shared" si="76"/>
        <v/>
      </c>
      <c r="P69" s="193" t="str">
        <f t="shared" si="76"/>
        <v/>
      </c>
      <c r="Q69" s="193" t="str">
        <f t="shared" si="76"/>
        <v/>
      </c>
      <c r="R69" s="193" t="str">
        <f t="shared" si="76"/>
        <v/>
      </c>
      <c r="S69" s="193" t="str">
        <f t="shared" si="76"/>
        <v/>
      </c>
      <c r="T69" s="193" t="str">
        <f t="shared" si="76"/>
        <v/>
      </c>
      <c r="U69" s="193" t="str">
        <f t="shared" si="76"/>
        <v/>
      </c>
      <c r="V69" s="193" t="str">
        <f t="shared" si="76"/>
        <v/>
      </c>
      <c r="W69" s="193" t="str">
        <f t="shared" si="76"/>
        <v/>
      </c>
      <c r="X69" s="193" t="str">
        <f t="shared" si="76"/>
        <v/>
      </c>
      <c r="Y69" s="193" t="str">
        <f t="shared" si="76"/>
        <v/>
      </c>
      <c r="Z69" s="193" t="str">
        <f t="shared" si="76"/>
        <v/>
      </c>
      <c r="AA69" s="193" t="str">
        <f t="shared" si="76"/>
        <v/>
      </c>
      <c r="AB69" s="193" t="str">
        <f t="shared" si="76"/>
        <v/>
      </c>
      <c r="AC69" s="193" t="str">
        <f t="shared" si="76"/>
        <v/>
      </c>
      <c r="AD69" s="193" t="str">
        <f t="shared" si="76"/>
        <v/>
      </c>
      <c r="AE69" s="193" t="str">
        <f t="shared" si="76"/>
        <v/>
      </c>
      <c r="AF69" s="193" t="str">
        <f t="shared" si="76"/>
        <v/>
      </c>
      <c r="AG69" s="193" t="str">
        <f t="shared" si="76"/>
        <v/>
      </c>
      <c r="AH69" s="193" t="str">
        <f t="shared" si="76"/>
        <v/>
      </c>
      <c r="AI69" s="193" t="str">
        <f t="shared" si="76"/>
        <v/>
      </c>
      <c r="AJ69" s="193" t="str">
        <f t="shared" si="76"/>
        <v/>
      </c>
      <c r="AK69" s="193" t="str">
        <f t="shared" si="76"/>
        <v/>
      </c>
      <c r="AL69" s="193" t="str">
        <f t="shared" si="76"/>
        <v/>
      </c>
      <c r="AM69" s="193" t="str">
        <f t="shared" si="76"/>
        <v/>
      </c>
      <c r="AN69" s="189" t="str">
        <f t="shared" si="76"/>
        <v/>
      </c>
      <c r="AO69" s="162" t="str">
        <f t="shared" si="76"/>
        <v/>
      </c>
      <c r="AP69" s="163" t="str">
        <f t="shared" si="76"/>
        <v/>
      </c>
      <c r="AQ69" s="163" t="str">
        <f t="shared" si="76"/>
        <v/>
      </c>
      <c r="AR69" s="163" t="str">
        <f t="shared" si="76"/>
        <v/>
      </c>
      <c r="AS69" s="163" t="str">
        <f t="shared" si="76"/>
        <v/>
      </c>
      <c r="AT69" s="163" t="str">
        <f t="shared" si="76"/>
        <v/>
      </c>
      <c r="AU69" s="194" t="str">
        <f t="shared" si="76"/>
        <v/>
      </c>
      <c r="AV69" s="165" t="str">
        <f t="shared" si="76"/>
        <v/>
      </c>
    </row>
    <row r="70" spans="1:48" hidden="1" x14ac:dyDescent="0.25">
      <c r="A70" s="133" t="str">
        <f t="shared" ref="A70" si="77">+IF(C70+C71=0,"[ocultar]","")</f>
        <v>[ocultar]</v>
      </c>
      <c r="B70" s="202" t="s">
        <v>394</v>
      </c>
      <c r="C70" s="203">
        <f t="array" ref="C70">SUM(IF($B70=DATOS_[Sexo],
IF($B69=DATOS_[AGRUP. CLAS. PROF.],
IF("Dentro"=DATOS_[Check Periodo Ref.],
1/(COUNTIFS(DATOS_[Sexo],$B70,DATOS_[AGRUP. CLAS. PROF.],$B69,DATOS_[Check Periodo Ref.],"Dentro",DATOS_[id/cod],DATOS_[id/cod]))))))</f>
        <v>0</v>
      </c>
      <c r="D70" s="204">
        <f>COUNTIFS(DATOS_[AGRUP. CLAS. PROF.],$B69,DATOS_[Sexo],$B70,DATOS_[Check Periodo Ref.],"Dentro")</f>
        <v>0</v>
      </c>
      <c r="E70" s="204">
        <f>COUNTIFS(DATOS_[AGRUP. CLAS. PROF.],$B69,DATOS_[Sexo],$B70,DATOS_[Check Periodo Ref.],"Dentro",DATOS_[Check Nº SC Norm],"Sí")</f>
        <v>0</v>
      </c>
      <c r="F70" s="204">
        <f>COUNTIFS(DATOS_[AGRUP. CLAS. PROF.],$B69,DATOS_[Sexo],$B70,DATOS_[Check Periodo Ref.],"Dentro",DATOS_[Check Nº SC Anualiz],"Sí")</f>
        <v>0</v>
      </c>
      <c r="G70" s="204">
        <f>COUNTIFS(DATOS_[AGRUP. CLAS. PROF.],$B69,DATOS_[Sexo],$B70,DATOS_[Check Periodo Ref.],"Dentro",DATOS_[Check Nº SC Norm y Anualiz],"Sí")</f>
        <v>0</v>
      </c>
      <c r="H70" s="204">
        <f>COUNTIFS(DATOS_[AGRUP. CLAS. PROF.],$B69,DATOS_[Sexo],$B70,DATOS_[Check Periodo Ref.],"Dentro",DATOS_[Check Equiparación],"Sí")</f>
        <v>0</v>
      </c>
      <c r="I70" s="195">
        <f t="array" ref="I70">IFERROR(
AVERAGE(IF(DATOS_[Sexo]=$B70,IF(DATOS_[[AGRUP. CLAS. PROF.]:[AGRUP. CLAS. PROF.]]=$B69,IF(DATOS_[Check Equiparado]="Sí",IF(DATOS_[Check Periodo Ref.]="Dentro",DATOS_[SALARIO BASE Eq],FALSE))))),
0)</f>
        <v>0</v>
      </c>
      <c r="J70" s="196">
        <f t="array" ref="J70">IFERROR(
(AVERAGE((IF(DATOS_[[Sexo]:[Sexo]]=$B70,IF(DATOS_[[AGRUP. CLAS. PROF.]:[AGRUP. CLAS. PROF.]]=$B69,IF(DATOS_[[Check Periodo Ref.]:[Check Periodo Ref.]]="Dentro",IF(DATOS_[[Check Equiparado]:[Check Equiparado]]="Sí",IF(DATOS!AE$5="Sí",(1/DATOS_[[% anualiz]:[% anualiz]]),1)*IF(DATOS!AE$4="Sí",1/DATOS_[[% normaliz]:[% normaliz]],1)*(DATOS_[Conc.Sal.01])))))))),
0)</f>
        <v>0</v>
      </c>
      <c r="K70" s="196">
        <f t="array" ref="K70">IFERROR(
(AVERAGE((IF(DATOS_[[Sexo]:[Sexo]]=$B70,IF(DATOS_[[AGRUP. CLAS. PROF.]:[AGRUP. CLAS. PROF.]]=$B69,IF(DATOS_[[Check Periodo Ref.]:[Check Periodo Ref.]]="Dentro",IF(DATOS_[[Check Equiparado]:[Check Equiparado]]="Sí",IF(DATOS!AF$5="Sí",(1/DATOS_[[% anualiz]:[% anualiz]]),1)*IF(DATOS!AF$4="Sí",1/DATOS_[[% normaliz]:[% normaliz]],1)*(DATOS_[Conc.Sal.02])))))))),
0)</f>
        <v>0</v>
      </c>
      <c r="L70" s="196">
        <f t="array" ref="L70">IFERROR(
(AVERAGE((IF(DATOS_[[Sexo]:[Sexo]]=$B70,IF(DATOS_[[AGRUP. CLAS. PROF.]:[AGRUP. CLAS. PROF.]]=$B69,IF(DATOS_[[Check Periodo Ref.]:[Check Periodo Ref.]]="Dentro",IF(DATOS_[[Check Equiparado]:[Check Equiparado]]="Sí",IF(DATOS!AG$5="Sí",(1/DATOS_[[% anualiz]:[% anualiz]]),1)*IF(DATOS!AG$4="Sí",1/DATOS_[[% normaliz]:[% normaliz]],1)*(DATOS_[Conc.Sal.03])))))))),
0)</f>
        <v>0</v>
      </c>
      <c r="M70" s="196">
        <f t="array" ref="M70">IFERROR(
(AVERAGE((IF(DATOS_[[Sexo]:[Sexo]]=$B70,IF(DATOS_[[AGRUP. CLAS. PROF.]:[AGRUP. CLAS. PROF.]]=$B69,IF(DATOS_[[Check Periodo Ref.]:[Check Periodo Ref.]]="Dentro",IF(DATOS_[[Check Equiparado]:[Check Equiparado]]="Sí",IF(DATOS!AH$5="Sí",(1/DATOS_[[% anualiz]:[% anualiz]]),1)*IF(DATOS!AH$4="Sí",1/DATOS_[[% normaliz]:[% normaliz]],1)*(DATOS_[Conc.Sal.04])))))))),
0)</f>
        <v>0</v>
      </c>
      <c r="N70" s="196">
        <f t="array" ref="N70">IFERROR(
(AVERAGE((IF(DATOS_[[Sexo]:[Sexo]]=$B70,IF(DATOS_[[AGRUP. CLAS. PROF.]:[AGRUP. CLAS. PROF.]]=$B69,IF(DATOS_[[Check Periodo Ref.]:[Check Periodo Ref.]]="Dentro",IF(DATOS_[[Check Equiparado]:[Check Equiparado]]="Sí",IF(DATOS!AI$5="Sí",(1/DATOS_[[% anualiz]:[% anualiz]]),1)*IF(DATOS!AI$4="Sí",1/DATOS_[[% normaliz]:[% normaliz]],1)*(DATOS_[Conc.Sal.05])))))))),
0)</f>
        <v>0</v>
      </c>
      <c r="O70" s="196">
        <f t="array" ref="O70">IFERROR(
(AVERAGE((IF(DATOS_[[Sexo]:[Sexo]]=$B70,IF(DATOS_[[AGRUP. CLAS. PROF.]:[AGRUP. CLAS. PROF.]]=$B69,IF(DATOS_[[Check Periodo Ref.]:[Check Periodo Ref.]]="Dentro",IF(DATOS_[[Check Equiparado]:[Check Equiparado]]="Sí",IF(DATOS!AJ$5="Sí",(1/DATOS_[[% anualiz]:[% anualiz]]),1)*IF(DATOS!AJ$4="Sí",1/DATOS_[[% normaliz]:[% normaliz]],1)*(DATOS_[Conc.Sal.06])))))))),
0)</f>
        <v>0</v>
      </c>
      <c r="P70" s="196">
        <f t="array" ref="P70">IFERROR(
(AVERAGE((IF(DATOS_[[Sexo]:[Sexo]]=$B70,IF(DATOS_[[AGRUP. CLAS. PROF.]:[AGRUP. CLAS. PROF.]]=$B69,IF(DATOS_[[Check Periodo Ref.]:[Check Periodo Ref.]]="Dentro",IF(DATOS_[[Check Equiparado]:[Check Equiparado]]="Sí",IF(DATOS!AK$5="Sí",(1/DATOS_[[% anualiz]:[% anualiz]]),1)*IF(DATOS!AK$4="Sí",1/DATOS_[[% normaliz]:[% normaliz]],1)*(DATOS_[Conc.Sal.07])))))))),
0)</f>
        <v>0</v>
      </c>
      <c r="Q70" s="196">
        <f t="array" ref="Q70">IFERROR(
(AVERAGE((IF(DATOS_[[Sexo]:[Sexo]]=$B70,IF(DATOS_[[AGRUP. CLAS. PROF.]:[AGRUP. CLAS. PROF.]]=$B69,IF(DATOS_[[Check Periodo Ref.]:[Check Periodo Ref.]]="Dentro",IF(DATOS_[[Check Equiparado]:[Check Equiparado]]="Sí",IF(DATOS!AL$5="Sí",(1/DATOS_[[% anualiz]:[% anualiz]]),1)*IF(DATOS!AL$4="Sí",1/DATOS_[[% normaliz]:[% normaliz]],1)*(DATOS_[Conc.Sal.08])))))))),
0)</f>
        <v>0</v>
      </c>
      <c r="R70" s="196">
        <f t="array" ref="R70">IFERROR(
(AVERAGE((IF(DATOS_[[Sexo]:[Sexo]]=$B70,IF(DATOS_[[AGRUP. CLAS. PROF.]:[AGRUP. CLAS. PROF.]]=$B69,IF(DATOS_[[Check Periodo Ref.]:[Check Periodo Ref.]]="Dentro",IF(DATOS_[[Check Equiparado]:[Check Equiparado]]="Sí",IF(DATOS!AM$5="Sí",(1/DATOS_[[% anualiz]:[% anualiz]]),1)*IF(DATOS!AM$4="Sí",1/DATOS_[[% normaliz]:[% normaliz]],1)*(DATOS_[Conc.Sal.09])))))))),
0)</f>
        <v>0</v>
      </c>
      <c r="S70" s="196">
        <f t="array" ref="S70">IFERROR(
(AVERAGE((IF(DATOS_[[Sexo]:[Sexo]]=$B70,IF(DATOS_[[AGRUP. CLAS. PROF.]:[AGRUP. CLAS. PROF.]]=$B69,IF(DATOS_[[Check Periodo Ref.]:[Check Periodo Ref.]]="Dentro",IF(DATOS_[[Check Equiparado]:[Check Equiparado]]="Sí",IF(DATOS!AN$5="Sí",(1/DATOS_[[% anualiz]:[% anualiz]]),1)*IF(DATOS!AN$4="Sí",1/DATOS_[[% normaliz]:[% normaliz]],1)*(DATOS_[Conc.Sal.10])))))))),
0)</f>
        <v>0</v>
      </c>
      <c r="T70" s="196">
        <f t="array" ref="T70">IFERROR(
(AVERAGE((IF(DATOS_[[Sexo]:[Sexo]]=$B70,IF(DATOS_[[AGRUP. CLAS. PROF.]:[AGRUP. CLAS. PROF.]]=$B69,IF(DATOS_[[Check Periodo Ref.]:[Check Periodo Ref.]]="Dentro",IF(DATOS_[[Check Equiparado]:[Check Equiparado]]="Sí",IF(DATOS!AO$5="Sí",(1/DATOS_[[% anualiz]:[% anualiz]]),1)*IF(DATOS!AO$4="Sí",1/DATOS_[[% normaliz]:[% normaliz]],1)*(DATOS_[Conc.Sal.11])))))))),
0)</f>
        <v>0</v>
      </c>
      <c r="U70" s="196">
        <f t="array" ref="U70">IFERROR(
(AVERAGE((IF(DATOS_[[Sexo]:[Sexo]]=$B70,IF(DATOS_[[AGRUP. CLAS. PROF.]:[AGRUP. CLAS. PROF.]]=$B69,IF(DATOS_[[Check Periodo Ref.]:[Check Periodo Ref.]]="Dentro",IF(DATOS_[[Check Equiparado]:[Check Equiparado]]="Sí",IF(DATOS!AP$5="Sí",(1/DATOS_[[% anualiz]:[% anualiz]]),1)*IF(DATOS!AP$4="Sí",1/DATOS_[[% normaliz]:[% normaliz]],1)*(DATOS_[Conc.Sal.12])))))))),
0)</f>
        <v>0</v>
      </c>
      <c r="V70" s="196">
        <f t="array" ref="V70">IFERROR(
(AVERAGE((IF(DATOS_[[Sexo]:[Sexo]]=$B70,IF(DATOS_[[AGRUP. CLAS. PROF.]:[AGRUP. CLAS. PROF.]]=$B69,IF(DATOS_[[Check Periodo Ref.]:[Check Periodo Ref.]]="Dentro",IF(DATOS_[[Check Equiparado]:[Check Equiparado]]="Sí",IF(DATOS!AQ$5="Sí",(1/DATOS_[[% anualiz]:[% anualiz]]),1)*IF(DATOS!AQ$4="Sí",1/DATOS_[[% normaliz]:[% normaliz]],1)*(DATOS_[Conc.Sal.13])))))))),
0)</f>
        <v>0</v>
      </c>
      <c r="W70" s="196">
        <f t="array" ref="W70">IFERROR(
(AVERAGE((IF(DATOS_[[Sexo]:[Sexo]]=$B70,IF(DATOS_[[AGRUP. CLAS. PROF.]:[AGRUP. CLAS. PROF.]]=$B69,IF(DATOS_[[Check Periodo Ref.]:[Check Periodo Ref.]]="Dentro",IF(DATOS_[[Check Equiparado]:[Check Equiparado]]="Sí",IF(DATOS!AR$5="Sí",(1/DATOS_[[% anualiz]:[% anualiz]]),1)*IF(DATOS!AR$4="Sí",1/DATOS_[[% normaliz]:[% normaliz]],1)*(DATOS_[Conc.Sal.14])))))))),
0)</f>
        <v>0</v>
      </c>
      <c r="X70" s="196">
        <f t="array" ref="X70">IFERROR(
(AVERAGE((IF(DATOS_[[Sexo]:[Sexo]]=$B70,IF(DATOS_[[AGRUP. CLAS. PROF.]:[AGRUP. CLAS. PROF.]]=$B69,IF(DATOS_[[Check Periodo Ref.]:[Check Periodo Ref.]]="Dentro",IF(DATOS_[[Check Equiparado]:[Check Equiparado]]="Sí",IF(DATOS!AS$5="Sí",(1/DATOS_[[% anualiz]:[% anualiz]]),1)*IF(DATOS!AS$4="Sí",1/DATOS_[[% normaliz]:[% normaliz]],1)*(DATOS_[Conc.Sal.15])))))))),
0)</f>
        <v>0</v>
      </c>
      <c r="Y70" s="196">
        <f t="array" ref="Y70">IFERROR(
(AVERAGE((IF(DATOS_[[Sexo]:[Sexo]]=$B70,IF(DATOS_[[AGRUP. CLAS. PROF.]:[AGRUP. CLAS. PROF.]]=$B69,IF(DATOS_[[Check Periodo Ref.]:[Check Periodo Ref.]]="Dentro",IF(DATOS_[[Check Equiparado]:[Check Equiparado]]="Sí",IF(DATOS!AT$5="Sí",(1/DATOS_[[% anualiz]:[% anualiz]]),1)*IF(DATOS!AT$4="Sí",1/DATOS_[[% normaliz]:[% normaliz]],1)*(DATOS_[Conc.Sal.16])))))))),
0)</f>
        <v>0</v>
      </c>
      <c r="Z70" s="196">
        <f t="array" ref="Z70">IFERROR(
(AVERAGE((IF(DATOS_[[Sexo]:[Sexo]]=$B70,IF(DATOS_[[AGRUP. CLAS. PROF.]:[AGRUP. CLAS. PROF.]]=$B69,IF(DATOS_[[Check Periodo Ref.]:[Check Periodo Ref.]]="Dentro",IF(DATOS_[[Check Equiparado]:[Check Equiparado]]="Sí",IF(DATOS!AU$5="Sí",(1/DATOS_[[% anualiz]:[% anualiz]]),1)*IF(DATOS!AU$4="Sí",1/DATOS_[[% normaliz]:[% normaliz]],1)*(DATOS_[Conc.Sal.17])))))))),
0)</f>
        <v>0</v>
      </c>
      <c r="AA70" s="196">
        <f t="array" ref="AA70">IFERROR(
(AVERAGE((IF(DATOS_[[Sexo]:[Sexo]]=$B70,IF(DATOS_[[AGRUP. CLAS. PROF.]:[AGRUP. CLAS. PROF.]]=$B69,IF(DATOS_[[Check Periodo Ref.]:[Check Periodo Ref.]]="Dentro",IF(DATOS_[[Check Equiparado]:[Check Equiparado]]="Sí",IF(DATOS!AV$5="Sí",(1/DATOS_[[% anualiz]:[% anualiz]]),1)*IF(DATOS!AV$4="Sí",1/DATOS_[[% normaliz]:[% normaliz]],1)*(DATOS_[Conc.Sal.18])))))))),
0)</f>
        <v>0</v>
      </c>
      <c r="AB70" s="196">
        <f t="array" ref="AB70">IFERROR(
(AVERAGE((IF(DATOS_[[Sexo]:[Sexo]]=$B70,IF(DATOS_[[AGRUP. CLAS. PROF.]:[AGRUP. CLAS. PROF.]]=$B69,IF(DATOS_[[Check Periodo Ref.]:[Check Periodo Ref.]]="Dentro",IF(DATOS_[[Check Equiparado]:[Check Equiparado]]="Sí",IF(DATOS!AW$5="Sí",(1/DATOS_[[% anualiz]:[% anualiz]]),1)*IF(DATOS!AW$4="Sí",1/DATOS_[[% normaliz]:[% normaliz]],1)*(DATOS_[Conc.Sal.19])))))))),
0)</f>
        <v>0</v>
      </c>
      <c r="AC70" s="196">
        <f t="array" ref="AC70">IFERROR(
(AVERAGE((IF(DATOS_[[Sexo]:[Sexo]]=$B70,IF(DATOS_[[AGRUP. CLAS. PROF.]:[AGRUP. CLAS. PROF.]]=$B69,IF(DATOS_[[Check Periodo Ref.]:[Check Periodo Ref.]]="Dentro",IF(DATOS_[[Check Equiparado]:[Check Equiparado]]="Sí",IF(DATOS!AX$5="Sí",(1/DATOS_[[% anualiz]:[% anualiz]]),1)*IF(DATOS!AX$4="Sí",1/DATOS_[[% normaliz]:[% normaliz]],1)*(DATOS_[Conc.Sal.20])))))))),
0)</f>
        <v>0</v>
      </c>
      <c r="AD70" s="196">
        <f t="array" ref="AD70">IFERROR(
(AVERAGE((IF(DATOS_[[Sexo]:[Sexo]]=$B70,IF(DATOS_[[AGRUP. CLAS. PROF.]:[AGRUP. CLAS. PROF.]]=$B69,IF(DATOS_[[Check Periodo Ref.]:[Check Periodo Ref.]]="Dentro",IF(DATOS_[[Check Equiparado]:[Check Equiparado]]="Sí",IF(DATOS!AY$5="Sí",(1/DATOS_[[% anualiz]:[% anualiz]]),1)*IF(DATOS!AY$4="Sí",1/DATOS_[[% normaliz]:[% normaliz]],1)*(DATOS_[Conc.Sal.21])))))))),
0)</f>
        <v>0</v>
      </c>
      <c r="AE70" s="196">
        <f t="array" ref="AE70">IFERROR(
(AVERAGE((IF(DATOS_[[Sexo]:[Sexo]]=$B70,IF(DATOS_[[AGRUP. CLAS. PROF.]:[AGRUP. CLAS. PROF.]]=$B69,IF(DATOS_[[Check Periodo Ref.]:[Check Periodo Ref.]]="Dentro",IF(DATOS_[[Check Equiparado]:[Check Equiparado]]="Sí",IF(DATOS!AZ$5="Sí",(1/DATOS_[[% anualiz]:[% anualiz]]),1)*IF(DATOS!AZ$4="Sí",1/DATOS_[[% normaliz]:[% normaliz]],1)*(DATOS_[Conc.Sal.22])))))))),
0)</f>
        <v>0</v>
      </c>
      <c r="AF70" s="196">
        <f t="array" ref="AF70">IFERROR(
(AVERAGE((IF(DATOS_[[Sexo]:[Sexo]]=$B70,IF(DATOS_[[AGRUP. CLAS. PROF.]:[AGRUP. CLAS. PROF.]]=$B69,IF(DATOS_[[Check Periodo Ref.]:[Check Periodo Ref.]]="Dentro",IF(DATOS_[[Check Equiparado]:[Check Equiparado]]="Sí",IF(DATOS!BA$5="Sí",(1/DATOS_[[% anualiz]:[% anualiz]]),1)*IF(DATOS!BA$4="Sí",1/DATOS_[[% normaliz]:[% normaliz]],1)*(DATOS_[Conc.Sal.23])))))))),
0)</f>
        <v>0</v>
      </c>
      <c r="AG70" s="196">
        <f t="array" ref="AG70">IFERROR(
(AVERAGE((IF(DATOS_[[Sexo]:[Sexo]]=$B70,IF(DATOS_[[AGRUP. CLAS. PROF.]:[AGRUP. CLAS. PROF.]]=$B69,IF(DATOS_[[Check Periodo Ref.]:[Check Periodo Ref.]]="Dentro",IF(DATOS_[[Check Equiparado]:[Check Equiparado]]="Sí",IF(DATOS!BB$5="Sí",(1/DATOS_[[% anualiz]:[% anualiz]]),1)*IF(DATOS!BB$4="Sí",1/DATOS_[[% normaliz]:[% normaliz]],1)*(DATOS_[Conc.Sal.24])))))))),
0)</f>
        <v>0</v>
      </c>
      <c r="AH70" s="196">
        <f t="array" ref="AH70">IFERROR(
(AVERAGE((IF(DATOS_[[Sexo]:[Sexo]]=$B70,IF(DATOS_[[AGRUP. CLAS. PROF.]:[AGRUP. CLAS. PROF.]]=$B69,IF(DATOS_[[Check Periodo Ref.]:[Check Periodo Ref.]]="Dentro",IF(DATOS_[[Check Equiparado]:[Check Equiparado]]="Sí",IF(DATOS!BC$5="Sí",(1/DATOS_[[% anualiz]:[% anualiz]]),1)*IF(DATOS!BC$4="Sí",1/DATOS_[[% normaliz]:[% normaliz]],1)*(DATOS_[Conc.Sal.25])))))))),
0)</f>
        <v>0</v>
      </c>
      <c r="AI70" s="196">
        <f t="array" ref="AI70">IFERROR(
(AVERAGE((IF(DATOS_[[Sexo]:[Sexo]]=$B70,IF(DATOS_[[AGRUP. CLAS. PROF.]:[AGRUP. CLAS. PROF.]]=$B69,IF(DATOS_[[Check Periodo Ref.]:[Check Periodo Ref.]]="Dentro",IF(DATOS_[[Check Equiparado]:[Check Equiparado]]="Sí",IF(DATOS!BD$5="Sí",(1/DATOS_[[% anualiz]:[% anualiz]]),1)*IF(DATOS!BD$4="Sí",1/DATOS_[[% normaliz]:[% normaliz]],1)*(DATOS_[Conc.Sal.26])))))))),
0)</f>
        <v>0</v>
      </c>
      <c r="AJ70" s="196">
        <f t="array" ref="AJ70">IFERROR(
(AVERAGE((IF(DATOS_[[Sexo]:[Sexo]]=$B70,IF(DATOS_[[AGRUP. CLAS. PROF.]:[AGRUP. CLAS. PROF.]]=$B69,IF(DATOS_[[Check Periodo Ref.]:[Check Periodo Ref.]]="Dentro",IF(DATOS_[[Check Equiparado]:[Check Equiparado]]="Sí",IF(DATOS!BE$5="Sí",(1/DATOS_[[% anualiz]:[% anualiz]]),1)*IF(DATOS!BE$4="Sí",1/DATOS_[[% normaliz]:[% normaliz]],1)*(DATOS_[Conc.Sal.27])))))))),
0)</f>
        <v>0</v>
      </c>
      <c r="AK70" s="196">
        <f t="array" ref="AK70">IFERROR(
(AVERAGE((IF(DATOS_[[Sexo]:[Sexo]]=$B70,IF(DATOS_[[AGRUP. CLAS. PROF.]:[AGRUP. CLAS. PROF.]]=$B69,IF(DATOS_[[Check Periodo Ref.]:[Check Periodo Ref.]]="Dentro",IF(DATOS_[[Check Equiparado]:[Check Equiparado]]="Sí",IF(DATOS!BF$5="Sí",(1/DATOS_[[% anualiz]:[% anualiz]]),1)*IF(DATOS!BF$4="Sí",1/DATOS_[[% normaliz]:[% normaliz]],1)*(DATOS_[Conc.Sal.28])))))))),
0)</f>
        <v>0</v>
      </c>
      <c r="AL70" s="196">
        <f t="array" ref="AL70">IFERROR(
(AVERAGE((IF(DATOS_[[Sexo]:[Sexo]]=$B70,IF(DATOS_[[AGRUP. CLAS. PROF.]:[AGRUP. CLAS. PROF.]]=$B69,IF(DATOS_[[Check Periodo Ref.]:[Check Periodo Ref.]]="Dentro",IF(DATOS_[[Check Equiparado]:[Check Equiparado]]="Sí",IF(DATOS!BG$5="Sí",(1/DATOS_[[% anualiz]:[% anualiz]]),1)*IF(DATOS!BG$4="Sí",1/DATOS_[[% normaliz]:[% normaliz]],1)*(DATOS_[Conc.Sal.29])))))))),
0)</f>
        <v>0</v>
      </c>
      <c r="AM70" s="196">
        <f t="array" ref="AM70">IFERROR(
(AVERAGE((IF(DATOS_[[Sexo]:[Sexo]]=$B70,IF(DATOS_[[AGRUP. CLAS. PROF.]:[AGRUP. CLAS. PROF.]]=$B69,IF(DATOS_[[Check Periodo Ref.]:[Check Periodo Ref.]]="Dentro",IF(DATOS_[[Check Equiparado]:[Check Equiparado]]="Sí",IF(DATOS!BH$5="Sí",(1/DATOS_[[% anualiz]:[% anualiz]]),1)*IF(DATOS!BH$4="Sí",1/DATOS_[[% normaliz]:[% normaliz]],1)*(DATOS_[Conc.Sal.30])))))))),
0)</f>
        <v>0</v>
      </c>
      <c r="AN70" s="195">
        <f t="array" ref="AN70">IFERROR(
AVERAGE(IF(DATOS_[Sexo]=$B70,IF(DATOS_[[AGRUP. CLAS. PROF.]:[AGRUP. CLAS. PROF.]]=$B69,IF(DATOS_[Check Equiparado]="Sí",IF(DATOS_[Check Periodo Ref.]="Dentro",DATOS_[Tot COMPL.SAL Eq],FALSE))))),
0)</f>
        <v>0</v>
      </c>
      <c r="AO70" s="172">
        <f t="array" ref="AO70">IFERROR(
AVERAGE(IF(DATOS_[Sexo]=$B70,IF(DATOS_[[AGRUP. CLAS. PROF.]:[AGRUP. CLAS. PROF.]]=$B69,IF(DATOS_[Check Equiparado]="Sí",IF(DATOS_[Check Periodo Ref.]="Dentro",DATOS_[TOTAL SALARIO Eq],FALSE))))),
0)</f>
        <v>0</v>
      </c>
      <c r="AP70" s="173">
        <f t="array" ref="AP70">IFERROR(
(AVERAGE((IF(DATOS_[[Sexo]:[Sexo]]=$B70,IF(DATOS_[[AGRUP. CLAS. PROF.]:[AGRUP. CLAS. PROF.]]=$B69,IF(DATOS_[[Check Periodo Ref.]:[Check Periodo Ref.]]="Dentro",IF(DATOS_[[Check Equiparado]:[Check Equiparado]]="Sí",IF(DATOS!BW$5="Sí",(1/DATOS_[[% anualiz]:[% anualiz]]),1)*IF(DATOS!BW$4="Sí",1/DATOS_[[% normaliz]:[% normaliz]],1)*(DATOS_[C.Extra.01])))))))),
0)</f>
        <v>0</v>
      </c>
      <c r="AQ70" s="173">
        <f t="array" ref="AQ70">IFERROR(
(AVERAGE((IF(DATOS_[[Sexo]:[Sexo]]=$B70,IF(DATOS_[[AGRUP. CLAS. PROF.]:[AGRUP. CLAS. PROF.]]=$B69,IF(DATOS_[[Check Periodo Ref.]:[Check Periodo Ref.]]="Dentro",IF(DATOS_[[Check Equiparado]:[Check Equiparado]]="Sí",IF(DATOS!CB$5="Sí",(1/DATOS_[[% anualiz]:[% anualiz]]),1)*IF(DATOS!CB$4="Sí",1/DATOS_[[% normaliz]:[% normaliz]],1)*(DATOS_[C.Extra.06])))))))),
0)</f>
        <v>0</v>
      </c>
      <c r="AR70" s="173">
        <f t="array" ref="AR70">IFERROR(
(AVERAGE((IF(DATOS_[[Sexo]:[Sexo]]=$B70,IF(DATOS_[[AGRUP. CLAS. PROF.]:[AGRUP. CLAS. PROF.]]=$B69,IF(DATOS_[[Check Periodo Ref.]:[Check Periodo Ref.]]="Dentro",IF(DATOS_[[Check Equiparado]:[Check Equiparado]]="Sí",IF(DATOS!CC$5="Sí",(1/DATOS_[[% anualiz]:[% anualiz]]),1)*IF(DATOS!CC$4="Sí",1/DATOS_[[% normaliz]:[% normaliz]],1)*(DATOS_[C.Extra.07])))))))),
0)</f>
        <v>0</v>
      </c>
      <c r="AS70" s="173">
        <f t="array" ref="AS70">IFERROR(
(AVERAGE((IF(DATOS_[[Sexo]:[Sexo]]=$B70,IF(DATOS_[[AGRUP. CLAS. PROF.]:[AGRUP. CLAS. PROF.]]=$B69,IF(DATOS_[[Check Periodo Ref.]:[Check Periodo Ref.]]="Dentro",IF(DATOS_[[Check Equiparado]:[Check Equiparado]]="Sí",IF(DATOS!CD$5="Sí",(1/DATOS_[[% anualiz]:[% anualiz]]),1)*IF(DATOS!CD$4="Sí",1/DATOS_[[% normaliz]:[% normaliz]],1)*(DATOS_[C.Extra.08])))))))),
0)</f>
        <v>0</v>
      </c>
      <c r="AT70" s="173">
        <f t="array" ref="AT70">IFERROR(
(AVERAGE((IF(DATOS_[[Sexo]:[Sexo]]=$B70,IF(DATOS_[[AGRUP. CLAS. PROF.]:[AGRUP. CLAS. PROF.]]=$B69,IF(DATOS_[[Check Periodo Ref.]:[Check Periodo Ref.]]="Dentro",IF(DATOS_[[Check Equiparado]:[Check Equiparado]]="Sí",IF(DATOS!CG$5="Sí",(1/DATOS_[[% anualiz]:[% anualiz]]),1)*IF(DATOS!CG$4="Sí",1/DATOS_[[% normaliz]:[% normaliz]],1)*(DATOS_[C.Extra.11])))))))),
0)</f>
        <v>0</v>
      </c>
      <c r="AU70" s="197">
        <f t="array" ref="AU70">IFERROR(
AVERAGE(IF(DATOS_[Sexo]=$B70,IF(DATOS_[[AGRUP. CLAS. PROF.]:[AGRUP. CLAS. PROF.]]=$B69,IF(DATOS_[Check Equiparado]="Sí",IF(DATOS_[Check Periodo Ref.]="Dentro",DATOS_[Tot Extrasalarial Eq],FALSE))))),
0)</f>
        <v>0</v>
      </c>
      <c r="AV70" s="175">
        <f t="array" ref="AV70">IFERROR(
AVERAGE(IF(DATOS_[Sexo]=$B70,IF(DATOS_[[AGRUP. CLAS. PROF.]:[AGRUP. CLAS. PROF.]]=$B69,IF(DATOS_[Check Equiparado]="Sí",IF(DATOS_[Check Periodo Ref.]="Dentro",DATOS_[TOTAL Retrib Eq],FALSE))))),
0)</f>
        <v>0</v>
      </c>
    </row>
    <row r="71" spans="1:48" hidden="1" x14ac:dyDescent="0.25">
      <c r="A71" s="133" t="str">
        <f t="shared" ref="A71" si="78">+A70</f>
        <v>[ocultar]</v>
      </c>
      <c r="B71" s="202" t="s">
        <v>521</v>
      </c>
      <c r="C71" s="203">
        <f t="array" ref="C71">SUM(IF($B71=DATOS_[Sexo],
IF($B69=DATOS_[AGRUP. CLAS. PROF.],
IF("Dentro"=DATOS_[Check Periodo Ref.],
1/(COUNTIFS(DATOS_[Sexo],$B71,DATOS_[AGRUP. CLAS. PROF.],$B69,DATOS_[Check Periodo Ref.],"Dentro",DATOS_[id/cod],DATOS_[id/cod]))))))</f>
        <v>0</v>
      </c>
      <c r="D71" s="204">
        <f>COUNTIFS(DATOS_[AGRUP. CLAS. PROF.],$B69,DATOS_[Sexo],$B71,DATOS_[Check Periodo Ref.],"Dentro")</f>
        <v>0</v>
      </c>
      <c r="E71" s="204">
        <f>COUNTIFS(DATOS_[AGRUP. CLAS. PROF.],$B69,DATOS_[Sexo],$B71,DATOS_[Check Periodo Ref.],"Dentro",DATOS_[Check Nº SC Norm],"Sí")</f>
        <v>0</v>
      </c>
      <c r="F71" s="204">
        <f>COUNTIFS(DATOS_[AGRUP. CLAS. PROF.],$B69,DATOS_[Sexo],$B71,DATOS_[Check Periodo Ref.],"Dentro",DATOS_[Check Nº SC Anualiz],"Sí")</f>
        <v>0</v>
      </c>
      <c r="G71" s="204">
        <f>COUNTIFS(DATOS_[AGRUP. CLAS. PROF.],$B69,DATOS_[Sexo],$B71,DATOS_[Check Periodo Ref.],"Dentro",DATOS_[Check Nº SC Norm y Anualiz],"Sí")</f>
        <v>0</v>
      </c>
      <c r="H71" s="204">
        <f>COUNTIFS(DATOS_[AGRUP. CLAS. PROF.],$B69,DATOS_[Sexo],$B71,DATOS_[Check Periodo Ref.],"Dentro",DATOS_[Check Equiparación],"Sí")</f>
        <v>0</v>
      </c>
      <c r="I71" s="195" cm="1">
        <f t="array" ref="I71">IFERROR(
AVERAGE(IF(DATOS_[Sexo]=$B71,IF(DATOS_[[AGRUP. CLAS. PROF.]:[AGRUP. CLAS. PROF.]]=$B69,IF(DATOS_[Check Equiparado]="Sí",IF(DATOS_[Check Periodo Ref.]="Dentro",DATOS_[SALARIO BASE Eq],FALSE))))),
0)</f>
        <v>0</v>
      </c>
      <c r="J71" s="196">
        <f t="array" ref="J71">IFERROR(
(AVERAGE((IF(DATOS_[[Sexo]:[Sexo]]=$B71,IF(DATOS_[[AGRUP. CLAS. PROF.]:[AGRUP. CLAS. PROF.]]=$B69,IF(DATOS_[[Check Periodo Ref.]:[Check Periodo Ref.]]="Dentro",IF(DATOS_[[Check Equiparado]:[Check Equiparado]]="Sí",IF(DATOS!AE$5="Sí",(1/DATOS_[[% anualiz]:[% anualiz]]),1)*IF(DATOS!AE$4="Sí",1/DATOS_[[% normaliz]:[% normaliz]],1)*(DATOS_[Conc.Sal.01])))))))),
0)</f>
        <v>0</v>
      </c>
      <c r="K71" s="196">
        <f t="array" ref="K71">IFERROR(
(AVERAGE((IF(DATOS_[[Sexo]:[Sexo]]=$B71,IF(DATOS_[[AGRUP. CLAS. PROF.]:[AGRUP. CLAS. PROF.]]=$B69,IF(DATOS_[[Check Periodo Ref.]:[Check Periodo Ref.]]="Dentro",IF(DATOS_[[Check Equiparado]:[Check Equiparado]]="Sí",IF(DATOS!AF$5="Sí",(1/DATOS_[[% anualiz]:[% anualiz]]),1)*IF(DATOS!AF$4="Sí",1/DATOS_[[% normaliz]:[% normaliz]],1)*(DATOS_[Conc.Sal.02])))))))),
0)</f>
        <v>0</v>
      </c>
      <c r="L71" s="196">
        <f t="array" ref="L71">IFERROR(
(AVERAGE((IF(DATOS_[[Sexo]:[Sexo]]=$B71,IF(DATOS_[[AGRUP. CLAS. PROF.]:[AGRUP. CLAS. PROF.]]=$B69,IF(DATOS_[[Check Periodo Ref.]:[Check Periodo Ref.]]="Dentro",IF(DATOS_[[Check Equiparado]:[Check Equiparado]]="Sí",IF(DATOS!AG$5="Sí",(1/DATOS_[[% anualiz]:[% anualiz]]),1)*IF(DATOS!AG$4="Sí",1/DATOS_[[% normaliz]:[% normaliz]],1)*(DATOS_[Conc.Sal.03])))))))),
0)</f>
        <v>0</v>
      </c>
      <c r="M71" s="196">
        <f t="array" ref="M71">IFERROR(
(AVERAGE((IF(DATOS_[[Sexo]:[Sexo]]=$B71,IF(DATOS_[[AGRUP. CLAS. PROF.]:[AGRUP. CLAS. PROF.]]=$B69,IF(DATOS_[[Check Periodo Ref.]:[Check Periodo Ref.]]="Dentro",IF(DATOS_[[Check Equiparado]:[Check Equiparado]]="Sí",IF(DATOS!AH$5="Sí",(1/DATOS_[[% anualiz]:[% anualiz]]),1)*IF(DATOS!AH$4="Sí",1/DATOS_[[% normaliz]:[% normaliz]],1)*(DATOS_[Conc.Sal.04])))))))),
0)</f>
        <v>0</v>
      </c>
      <c r="N71" s="196">
        <f t="array" ref="N71">IFERROR(
(AVERAGE((IF(DATOS_[[Sexo]:[Sexo]]=$B71,IF(DATOS_[[AGRUP. CLAS. PROF.]:[AGRUP. CLAS. PROF.]]=$B69,IF(DATOS_[[Check Periodo Ref.]:[Check Periodo Ref.]]="Dentro",IF(DATOS_[[Check Equiparado]:[Check Equiparado]]="Sí",IF(DATOS!AI$5="Sí",(1/DATOS_[[% anualiz]:[% anualiz]]),1)*IF(DATOS!AI$4="Sí",1/DATOS_[[% normaliz]:[% normaliz]],1)*(DATOS_[Conc.Sal.05])))))))),
0)</f>
        <v>0</v>
      </c>
      <c r="O71" s="196">
        <f t="array" ref="O71">IFERROR(
(AVERAGE((IF(DATOS_[[Sexo]:[Sexo]]=$B71,IF(DATOS_[[AGRUP. CLAS. PROF.]:[AGRUP. CLAS. PROF.]]=$B69,IF(DATOS_[[Check Periodo Ref.]:[Check Periodo Ref.]]="Dentro",IF(DATOS_[[Check Equiparado]:[Check Equiparado]]="Sí",IF(DATOS!AJ$5="Sí",(1/DATOS_[[% anualiz]:[% anualiz]]),1)*IF(DATOS!AJ$4="Sí",1/DATOS_[[% normaliz]:[% normaliz]],1)*(DATOS_[Conc.Sal.06])))))))),
0)</f>
        <v>0</v>
      </c>
      <c r="P71" s="196">
        <f t="array" ref="P71">IFERROR(
(AVERAGE((IF(DATOS_[[Sexo]:[Sexo]]=$B71,IF(DATOS_[[AGRUP. CLAS. PROF.]:[AGRUP. CLAS. PROF.]]=$B69,IF(DATOS_[[Check Periodo Ref.]:[Check Periodo Ref.]]="Dentro",IF(DATOS_[[Check Equiparado]:[Check Equiparado]]="Sí",IF(DATOS!AK$5="Sí",(1/DATOS_[[% anualiz]:[% anualiz]]),1)*IF(DATOS!AK$4="Sí",1/DATOS_[[% normaliz]:[% normaliz]],1)*(DATOS_[Conc.Sal.07])))))))),
0)</f>
        <v>0</v>
      </c>
      <c r="Q71" s="196">
        <f t="array" ref="Q71">IFERROR(
(AVERAGE((IF(DATOS_[[Sexo]:[Sexo]]=$B71,IF(DATOS_[[AGRUP. CLAS. PROF.]:[AGRUP. CLAS. PROF.]]=$B69,IF(DATOS_[[Check Periodo Ref.]:[Check Periodo Ref.]]="Dentro",IF(DATOS_[[Check Equiparado]:[Check Equiparado]]="Sí",IF(DATOS!AL$5="Sí",(1/DATOS_[[% anualiz]:[% anualiz]]),1)*IF(DATOS!AL$4="Sí",1/DATOS_[[% normaliz]:[% normaliz]],1)*(DATOS_[Conc.Sal.08])))))))),
0)</f>
        <v>0</v>
      </c>
      <c r="R71" s="196">
        <f t="array" ref="R71">IFERROR(
(AVERAGE((IF(DATOS_[[Sexo]:[Sexo]]=$B71,IF(DATOS_[[AGRUP. CLAS. PROF.]:[AGRUP. CLAS. PROF.]]=$B69,IF(DATOS_[[Check Periodo Ref.]:[Check Periodo Ref.]]="Dentro",IF(DATOS_[[Check Equiparado]:[Check Equiparado]]="Sí",IF(DATOS!AM$5="Sí",(1/DATOS_[[% anualiz]:[% anualiz]]),1)*IF(DATOS!AM$4="Sí",1/DATOS_[[% normaliz]:[% normaliz]],1)*(DATOS_[Conc.Sal.09])))))))),
0)</f>
        <v>0</v>
      </c>
      <c r="S71" s="196">
        <f t="array" ref="S71">IFERROR(
(AVERAGE((IF(DATOS_[[Sexo]:[Sexo]]=$B71,IF(DATOS_[[AGRUP. CLAS. PROF.]:[AGRUP. CLAS. PROF.]]=$B69,IF(DATOS_[[Check Periodo Ref.]:[Check Periodo Ref.]]="Dentro",IF(DATOS_[[Check Equiparado]:[Check Equiparado]]="Sí",IF(DATOS!AN$5="Sí",(1/DATOS_[[% anualiz]:[% anualiz]]),1)*IF(DATOS!AN$4="Sí",1/DATOS_[[% normaliz]:[% normaliz]],1)*(DATOS_[Conc.Sal.10])))))))),
0)</f>
        <v>0</v>
      </c>
      <c r="T71" s="196">
        <f t="array" ref="T71">IFERROR(
(AVERAGE((IF(DATOS_[[Sexo]:[Sexo]]=$B71,IF(DATOS_[[AGRUP. CLAS. PROF.]:[AGRUP. CLAS. PROF.]]=$B69,IF(DATOS_[[Check Periodo Ref.]:[Check Periodo Ref.]]="Dentro",IF(DATOS_[[Check Equiparado]:[Check Equiparado]]="Sí",IF(DATOS!AO$5="Sí",(1/DATOS_[[% anualiz]:[% anualiz]]),1)*IF(DATOS!AO$4="Sí",1/DATOS_[[% normaliz]:[% normaliz]],1)*(DATOS_[Conc.Sal.11])))))))),
0)</f>
        <v>0</v>
      </c>
      <c r="U71" s="196">
        <f t="array" ref="U71">IFERROR(
(AVERAGE((IF(DATOS_[[Sexo]:[Sexo]]=$B71,IF(DATOS_[[AGRUP. CLAS. PROF.]:[AGRUP. CLAS. PROF.]]=$B69,IF(DATOS_[[Check Periodo Ref.]:[Check Periodo Ref.]]="Dentro",IF(DATOS_[[Check Equiparado]:[Check Equiparado]]="Sí",IF(DATOS!AP$5="Sí",(1/DATOS_[[% anualiz]:[% anualiz]]),1)*IF(DATOS!AP$4="Sí",1/DATOS_[[% normaliz]:[% normaliz]],1)*(DATOS_[Conc.Sal.12])))))))),
0)</f>
        <v>0</v>
      </c>
      <c r="V71" s="196">
        <f t="array" ref="V71">IFERROR(
(AVERAGE((IF(DATOS_[[Sexo]:[Sexo]]=$B71,IF(DATOS_[[AGRUP. CLAS. PROF.]:[AGRUP. CLAS. PROF.]]=$B69,IF(DATOS_[[Check Periodo Ref.]:[Check Periodo Ref.]]="Dentro",IF(DATOS_[[Check Equiparado]:[Check Equiparado]]="Sí",IF(DATOS!AQ$5="Sí",(1/DATOS_[[% anualiz]:[% anualiz]]),1)*IF(DATOS!AQ$4="Sí",1/DATOS_[[% normaliz]:[% normaliz]],1)*(DATOS_[Conc.Sal.13])))))))),
0)</f>
        <v>0</v>
      </c>
      <c r="W71" s="196">
        <f t="array" ref="W71">IFERROR(
(AVERAGE((IF(DATOS_[[Sexo]:[Sexo]]=$B71,IF(DATOS_[[AGRUP. CLAS. PROF.]:[AGRUP. CLAS. PROF.]]=$B69,IF(DATOS_[[Check Periodo Ref.]:[Check Periodo Ref.]]="Dentro",IF(DATOS_[[Check Equiparado]:[Check Equiparado]]="Sí",IF(DATOS!AR$5="Sí",(1/DATOS_[[% anualiz]:[% anualiz]]),1)*IF(DATOS!AR$4="Sí",1/DATOS_[[% normaliz]:[% normaliz]],1)*(DATOS_[Conc.Sal.14])))))))),
0)</f>
        <v>0</v>
      </c>
      <c r="X71" s="196">
        <f t="array" ref="X71">IFERROR(
(AVERAGE((IF(DATOS_[[Sexo]:[Sexo]]=$B71,IF(DATOS_[[AGRUP. CLAS. PROF.]:[AGRUP. CLAS. PROF.]]=$B69,IF(DATOS_[[Check Periodo Ref.]:[Check Periodo Ref.]]="Dentro",IF(DATOS_[[Check Equiparado]:[Check Equiparado]]="Sí",IF(DATOS!AS$5="Sí",(1/DATOS_[[% anualiz]:[% anualiz]]),1)*IF(DATOS!AS$4="Sí",1/DATOS_[[% normaliz]:[% normaliz]],1)*(DATOS_[Conc.Sal.15])))))))),
0)</f>
        <v>0</v>
      </c>
      <c r="Y71" s="196">
        <f t="array" ref="Y71">IFERROR(
(AVERAGE((IF(DATOS_[[Sexo]:[Sexo]]=$B71,IF(DATOS_[[AGRUP. CLAS. PROF.]:[AGRUP. CLAS. PROF.]]=$B69,IF(DATOS_[[Check Periodo Ref.]:[Check Periodo Ref.]]="Dentro",IF(DATOS_[[Check Equiparado]:[Check Equiparado]]="Sí",IF(DATOS!AT$5="Sí",(1/DATOS_[[% anualiz]:[% anualiz]]),1)*IF(DATOS!AT$4="Sí",1/DATOS_[[% normaliz]:[% normaliz]],1)*(DATOS_[Conc.Sal.16])))))))),
0)</f>
        <v>0</v>
      </c>
      <c r="Z71" s="196">
        <f t="array" ref="Z71">IFERROR(
(AVERAGE((IF(DATOS_[[Sexo]:[Sexo]]=$B71,IF(DATOS_[[AGRUP. CLAS. PROF.]:[AGRUP. CLAS. PROF.]]=$B69,IF(DATOS_[[Check Periodo Ref.]:[Check Periodo Ref.]]="Dentro",IF(DATOS_[[Check Equiparado]:[Check Equiparado]]="Sí",IF(DATOS!AU$5="Sí",(1/DATOS_[[% anualiz]:[% anualiz]]),1)*IF(DATOS!AU$4="Sí",1/DATOS_[[% normaliz]:[% normaliz]],1)*(DATOS_[Conc.Sal.17])))))))),
0)</f>
        <v>0</v>
      </c>
      <c r="AA71" s="196">
        <f t="array" ref="AA71">IFERROR(
(AVERAGE((IF(DATOS_[[Sexo]:[Sexo]]=$B71,IF(DATOS_[[AGRUP. CLAS. PROF.]:[AGRUP. CLAS. PROF.]]=$B69,IF(DATOS_[[Check Periodo Ref.]:[Check Periodo Ref.]]="Dentro",IF(DATOS_[[Check Equiparado]:[Check Equiparado]]="Sí",IF(DATOS!AV$5="Sí",(1/DATOS_[[% anualiz]:[% anualiz]]),1)*IF(DATOS!AV$4="Sí",1/DATOS_[[% normaliz]:[% normaliz]],1)*(DATOS_[Conc.Sal.18])))))))),
0)</f>
        <v>0</v>
      </c>
      <c r="AB71" s="196">
        <f t="array" ref="AB71">IFERROR(
(AVERAGE((IF(DATOS_[[Sexo]:[Sexo]]=$B71,IF(DATOS_[[AGRUP. CLAS. PROF.]:[AGRUP. CLAS. PROF.]]=$B69,IF(DATOS_[[Check Periodo Ref.]:[Check Periodo Ref.]]="Dentro",IF(DATOS_[[Check Equiparado]:[Check Equiparado]]="Sí",IF(DATOS!AW$5="Sí",(1/DATOS_[[% anualiz]:[% anualiz]]),1)*IF(DATOS!AW$4="Sí",1/DATOS_[[% normaliz]:[% normaliz]],1)*(DATOS_[Conc.Sal.19])))))))),
0)</f>
        <v>0</v>
      </c>
      <c r="AC71" s="196">
        <f t="array" ref="AC71">IFERROR(
(AVERAGE((IF(DATOS_[[Sexo]:[Sexo]]=$B71,IF(DATOS_[[AGRUP. CLAS. PROF.]:[AGRUP. CLAS. PROF.]]=$B69,IF(DATOS_[[Check Periodo Ref.]:[Check Periodo Ref.]]="Dentro",IF(DATOS_[[Check Equiparado]:[Check Equiparado]]="Sí",IF(DATOS!AX$5="Sí",(1/DATOS_[[% anualiz]:[% anualiz]]),1)*IF(DATOS!AX$4="Sí",1/DATOS_[[% normaliz]:[% normaliz]],1)*(DATOS_[Conc.Sal.20])))))))),
0)</f>
        <v>0</v>
      </c>
      <c r="AD71" s="196">
        <f t="array" ref="AD71">IFERROR(
(AVERAGE((IF(DATOS_[[Sexo]:[Sexo]]=$B71,IF(DATOS_[[AGRUP. CLAS. PROF.]:[AGRUP. CLAS. PROF.]]=$B69,IF(DATOS_[[Check Periodo Ref.]:[Check Periodo Ref.]]="Dentro",IF(DATOS_[[Check Equiparado]:[Check Equiparado]]="Sí",IF(DATOS!AY$5="Sí",(1/DATOS_[[% anualiz]:[% anualiz]]),1)*IF(DATOS!AY$4="Sí",1/DATOS_[[% normaliz]:[% normaliz]],1)*(DATOS_[Conc.Sal.21])))))))),
0)</f>
        <v>0</v>
      </c>
      <c r="AE71" s="196">
        <f t="array" ref="AE71">IFERROR(
(AVERAGE((IF(DATOS_[[Sexo]:[Sexo]]=$B71,IF(DATOS_[[AGRUP. CLAS. PROF.]:[AGRUP. CLAS. PROF.]]=$B69,IF(DATOS_[[Check Periodo Ref.]:[Check Periodo Ref.]]="Dentro",IF(DATOS_[[Check Equiparado]:[Check Equiparado]]="Sí",IF(DATOS!AZ$5="Sí",(1/DATOS_[[% anualiz]:[% anualiz]]),1)*IF(DATOS!AZ$4="Sí",1/DATOS_[[% normaliz]:[% normaliz]],1)*(DATOS_[Conc.Sal.22])))))))),
0)</f>
        <v>0</v>
      </c>
      <c r="AF71" s="196">
        <f t="array" ref="AF71">IFERROR(
(AVERAGE((IF(DATOS_[[Sexo]:[Sexo]]=$B71,IF(DATOS_[[AGRUP. CLAS. PROF.]:[AGRUP. CLAS. PROF.]]=$B69,IF(DATOS_[[Check Periodo Ref.]:[Check Periodo Ref.]]="Dentro",IF(DATOS_[[Check Equiparado]:[Check Equiparado]]="Sí",IF(DATOS!BA$5="Sí",(1/DATOS_[[% anualiz]:[% anualiz]]),1)*IF(DATOS!BA$4="Sí",1/DATOS_[[% normaliz]:[% normaliz]],1)*(DATOS_[Conc.Sal.23])))))))),
0)</f>
        <v>0</v>
      </c>
      <c r="AG71" s="196">
        <f t="array" ref="AG71">IFERROR(
(AVERAGE((IF(DATOS_[[Sexo]:[Sexo]]=$B71,IF(DATOS_[[AGRUP. CLAS. PROF.]:[AGRUP. CLAS. PROF.]]=$B69,IF(DATOS_[[Check Periodo Ref.]:[Check Periodo Ref.]]="Dentro",IF(DATOS_[[Check Equiparado]:[Check Equiparado]]="Sí",IF(DATOS!BB$5="Sí",(1/DATOS_[[% anualiz]:[% anualiz]]),1)*IF(DATOS!BB$4="Sí",1/DATOS_[[% normaliz]:[% normaliz]],1)*(DATOS_[Conc.Sal.24])))))))),
0)</f>
        <v>0</v>
      </c>
      <c r="AH71" s="196">
        <f t="array" ref="AH71">IFERROR(
(AVERAGE((IF(DATOS_[[Sexo]:[Sexo]]=$B71,IF(DATOS_[[AGRUP. CLAS. PROF.]:[AGRUP. CLAS. PROF.]]=$B69,IF(DATOS_[[Check Periodo Ref.]:[Check Periodo Ref.]]="Dentro",IF(DATOS_[[Check Equiparado]:[Check Equiparado]]="Sí",IF(DATOS!BC$5="Sí",(1/DATOS_[[% anualiz]:[% anualiz]]),1)*IF(DATOS!BC$4="Sí",1/DATOS_[[% normaliz]:[% normaliz]],1)*(DATOS_[Conc.Sal.25])))))))),
0)</f>
        <v>0</v>
      </c>
      <c r="AI71" s="196">
        <f t="array" ref="AI71">IFERROR(
(AVERAGE((IF(DATOS_[[Sexo]:[Sexo]]=$B71,IF(DATOS_[[AGRUP. CLAS. PROF.]:[AGRUP. CLAS. PROF.]]=$B69,IF(DATOS_[[Check Periodo Ref.]:[Check Periodo Ref.]]="Dentro",IF(DATOS_[[Check Equiparado]:[Check Equiparado]]="Sí",IF(DATOS!BD$5="Sí",(1/DATOS_[[% anualiz]:[% anualiz]]),1)*IF(DATOS!BD$4="Sí",1/DATOS_[[% normaliz]:[% normaliz]],1)*(DATOS_[Conc.Sal.26])))))))),
0)</f>
        <v>0</v>
      </c>
      <c r="AJ71" s="196">
        <f t="array" ref="AJ71">IFERROR(
(AVERAGE((IF(DATOS_[[Sexo]:[Sexo]]=$B71,IF(DATOS_[[AGRUP. CLAS. PROF.]:[AGRUP. CLAS. PROF.]]=$B69,IF(DATOS_[[Check Periodo Ref.]:[Check Periodo Ref.]]="Dentro",IF(DATOS_[[Check Equiparado]:[Check Equiparado]]="Sí",IF(DATOS!BE$5="Sí",(1/DATOS_[[% anualiz]:[% anualiz]]),1)*IF(DATOS!BE$4="Sí",1/DATOS_[[% normaliz]:[% normaliz]],1)*(DATOS_[Conc.Sal.27])))))))),
0)</f>
        <v>0</v>
      </c>
      <c r="AK71" s="196">
        <f t="array" ref="AK71">IFERROR(
(AVERAGE((IF(DATOS_[[Sexo]:[Sexo]]=$B71,IF(DATOS_[[AGRUP. CLAS. PROF.]:[AGRUP. CLAS. PROF.]]=$B69,IF(DATOS_[[Check Periodo Ref.]:[Check Periodo Ref.]]="Dentro",IF(DATOS_[[Check Equiparado]:[Check Equiparado]]="Sí",IF(DATOS!BF$5="Sí",(1/DATOS_[[% anualiz]:[% anualiz]]),1)*IF(DATOS!BF$4="Sí",1/DATOS_[[% normaliz]:[% normaliz]],1)*(DATOS_[Conc.Sal.28])))))))),
0)</f>
        <v>0</v>
      </c>
      <c r="AL71" s="196">
        <f t="array" ref="AL71">IFERROR(
(AVERAGE((IF(DATOS_[[Sexo]:[Sexo]]=$B71,IF(DATOS_[[AGRUP. CLAS. PROF.]:[AGRUP. CLAS. PROF.]]=$B69,IF(DATOS_[[Check Periodo Ref.]:[Check Periodo Ref.]]="Dentro",IF(DATOS_[[Check Equiparado]:[Check Equiparado]]="Sí",IF(DATOS!BG$5="Sí",(1/DATOS_[[% anualiz]:[% anualiz]]),1)*IF(DATOS!BG$4="Sí",1/DATOS_[[% normaliz]:[% normaliz]],1)*(DATOS_[Conc.Sal.29])))))))),
0)</f>
        <v>0</v>
      </c>
      <c r="AM71" s="196">
        <f t="array" ref="AM71">IFERROR(
(AVERAGE((IF(DATOS_[[Sexo]:[Sexo]]=$B71,IF(DATOS_[[AGRUP. CLAS. PROF.]:[AGRUP. CLAS. PROF.]]=$B69,IF(DATOS_[[Check Periodo Ref.]:[Check Periodo Ref.]]="Dentro",IF(DATOS_[[Check Equiparado]:[Check Equiparado]]="Sí",IF(DATOS!BH$5="Sí",(1/DATOS_[[% anualiz]:[% anualiz]]),1)*IF(DATOS!BH$4="Sí",1/DATOS_[[% normaliz]:[% normaliz]],1)*(DATOS_[Conc.Sal.30])))))))),
0)</f>
        <v>0</v>
      </c>
      <c r="AN71" s="195">
        <f t="array" ref="AN71">IFERROR(
AVERAGE(IF(DATOS_[Sexo]=$B71,IF(DATOS_[[AGRUP. CLAS. PROF.]:[AGRUP. CLAS. PROF.]]=$B69,IF(DATOS_[Check Equiparado]="Sí",IF(DATOS_[Check Periodo Ref.]="Dentro",DATOS_[Tot COMPL.SAL Eq],FALSE))))),
0)</f>
        <v>0</v>
      </c>
      <c r="AO71" s="172">
        <f t="array" ref="AO71">IFERROR(
AVERAGE(IF(DATOS_[Sexo]=$B71,IF(DATOS_[[AGRUP. CLAS. PROF.]:[AGRUP. CLAS. PROF.]]=$B69,IF(DATOS_[Check Equiparado]="Sí",IF(DATOS_[Check Periodo Ref.]="Dentro",DATOS_[TOTAL SALARIO Eq],FALSE))))),
0)</f>
        <v>0</v>
      </c>
      <c r="AP71" s="173">
        <f t="array" ref="AP71">IFERROR(
(AVERAGE((IF(DATOS_[[Sexo]:[Sexo]]=$B71,IF(DATOS_[[AGRUP. CLAS. PROF.]:[AGRUP. CLAS. PROF.]]=$B69,IF(DATOS_[[Check Periodo Ref.]:[Check Periodo Ref.]]="Dentro",IF(DATOS_[[Check Equiparado]:[Check Equiparado]]="Sí",IF(DATOS!BW$5="Sí",(1/DATOS_[[% anualiz]:[% anualiz]]),1)*IF(DATOS!BW$4="Sí",1/DATOS_[[% normaliz]:[% normaliz]],1)*(DATOS_[C.Extra.01])))))))),
0)</f>
        <v>0</v>
      </c>
      <c r="AQ71" s="173">
        <f t="array" ref="AQ71">IFERROR(
(AVERAGE((IF(DATOS_[[Sexo]:[Sexo]]=$B71,IF(DATOS_[[AGRUP. CLAS. PROF.]:[AGRUP. CLAS. PROF.]]=$B69,IF(DATOS_[[Check Periodo Ref.]:[Check Periodo Ref.]]="Dentro",IF(DATOS_[[Check Equiparado]:[Check Equiparado]]="Sí",IF(DATOS!CB$5="Sí",(1/DATOS_[[% anualiz]:[% anualiz]]),1)*IF(DATOS!CB$4="Sí",1/DATOS_[[% normaliz]:[% normaliz]],1)*(DATOS_[C.Extra.06])))))))),
0)</f>
        <v>0</v>
      </c>
      <c r="AR71" s="173">
        <f t="array" ref="AR71">IFERROR(
(AVERAGE((IF(DATOS_[[Sexo]:[Sexo]]=$B71,IF(DATOS_[[AGRUP. CLAS. PROF.]:[AGRUP. CLAS. PROF.]]=$B69,IF(DATOS_[[Check Periodo Ref.]:[Check Periodo Ref.]]="Dentro",IF(DATOS_[[Check Equiparado]:[Check Equiparado]]="Sí",IF(DATOS!CC$5="Sí",(1/DATOS_[[% anualiz]:[% anualiz]]),1)*IF(DATOS!CC$4="Sí",1/DATOS_[[% normaliz]:[% normaliz]],1)*(DATOS_[C.Extra.07])))))))),
0)</f>
        <v>0</v>
      </c>
      <c r="AS71" s="173">
        <f t="array" ref="AS71">IFERROR(
(AVERAGE((IF(DATOS_[[Sexo]:[Sexo]]=$B71,IF(DATOS_[[AGRUP. CLAS. PROF.]:[AGRUP. CLAS. PROF.]]=$B69,IF(DATOS_[[Check Periodo Ref.]:[Check Periodo Ref.]]="Dentro",IF(DATOS_[[Check Equiparado]:[Check Equiparado]]="Sí",IF(DATOS!CD$5="Sí",(1/DATOS_[[% anualiz]:[% anualiz]]),1)*IF(DATOS!CD$4="Sí",1/DATOS_[[% normaliz]:[% normaliz]],1)*(DATOS_[C.Extra.08])))))))),
0)</f>
        <v>0</v>
      </c>
      <c r="AT71" s="173">
        <f t="array" ref="AT71">IFERROR(
(AVERAGE((IF(DATOS_[[Sexo]:[Sexo]]=$B71,IF(DATOS_[[AGRUP. CLAS. PROF.]:[AGRUP. CLAS. PROF.]]=$B69,IF(DATOS_[[Check Periodo Ref.]:[Check Periodo Ref.]]="Dentro",IF(DATOS_[[Check Equiparado]:[Check Equiparado]]="Sí",IF(DATOS!CG$5="Sí",(1/DATOS_[[% anualiz]:[% anualiz]]),1)*IF(DATOS!CG$4="Sí",1/DATOS_[[% normaliz]:[% normaliz]],1)*(DATOS_[C.Extra.11])))))))),
0)</f>
        <v>0</v>
      </c>
      <c r="AU71" s="197">
        <f t="array" ref="AU71">IFERROR(
AVERAGE(IF(DATOS_[Sexo]=$B71,IF(DATOS_[[AGRUP. CLAS. PROF.]:[AGRUP. CLAS. PROF.]]=$B69,IF(DATOS_[Check Equiparado]="Sí",IF(DATOS_[Check Periodo Ref.]="Dentro",DATOS_[Tot Extrasalarial Eq],FALSE))))),
0)</f>
        <v>0</v>
      </c>
      <c r="AV71" s="175">
        <f t="array" ref="AV71">IFERROR(
AVERAGE(IF(DATOS_[Sexo]=$B71,IF(DATOS_[[AGRUP. CLAS. PROF.]:[AGRUP. CLAS. PROF.]]=$B69,IF(DATOS_[Check Equiparado]="Sí",IF(DATOS_[Check Periodo Ref.]="Dentro",DATOS_[TOTAL Retrib Eq],FALSE))))),
0)</f>
        <v>0</v>
      </c>
    </row>
    <row r="72" spans="1:48" ht="15.6" hidden="1" thickBot="1" x14ac:dyDescent="0.3">
      <c r="A72" s="133" t="str">
        <f t="shared" ref="A72" si="79">+A73</f>
        <v>[ocultar]</v>
      </c>
      <c r="B72" s="199" t="s">
        <v>256</v>
      </c>
      <c r="C72" s="200"/>
      <c r="D72" s="201"/>
      <c r="E72" s="201"/>
      <c r="F72" s="201"/>
      <c r="G72" s="201"/>
      <c r="H72" s="201"/>
      <c r="I72" s="189" t="str">
        <f t="shared" ref="I72:AV72" si="80">IFERROR((I73-I74)/I73,"")</f>
        <v/>
      </c>
      <c r="J72" s="190" t="str">
        <f t="shared" si="80"/>
        <v/>
      </c>
      <c r="K72" s="191" t="str">
        <f t="shared" si="80"/>
        <v/>
      </c>
      <c r="L72" s="191" t="str">
        <f t="shared" si="80"/>
        <v/>
      </c>
      <c r="M72" s="191" t="str">
        <f t="shared" si="80"/>
        <v/>
      </c>
      <c r="N72" s="192" t="str">
        <f t="shared" si="80"/>
        <v/>
      </c>
      <c r="O72" s="193" t="str">
        <f t="shared" si="80"/>
        <v/>
      </c>
      <c r="P72" s="193" t="str">
        <f t="shared" si="80"/>
        <v/>
      </c>
      <c r="Q72" s="193" t="str">
        <f t="shared" si="80"/>
        <v/>
      </c>
      <c r="R72" s="193" t="str">
        <f t="shared" si="80"/>
        <v/>
      </c>
      <c r="S72" s="193" t="str">
        <f t="shared" si="80"/>
        <v/>
      </c>
      <c r="T72" s="193" t="str">
        <f t="shared" si="80"/>
        <v/>
      </c>
      <c r="U72" s="193" t="str">
        <f t="shared" si="80"/>
        <v/>
      </c>
      <c r="V72" s="193" t="str">
        <f t="shared" si="80"/>
        <v/>
      </c>
      <c r="W72" s="193" t="str">
        <f t="shared" si="80"/>
        <v/>
      </c>
      <c r="X72" s="193" t="str">
        <f t="shared" si="80"/>
        <v/>
      </c>
      <c r="Y72" s="193" t="str">
        <f t="shared" si="80"/>
        <v/>
      </c>
      <c r="Z72" s="193" t="str">
        <f t="shared" si="80"/>
        <v/>
      </c>
      <c r="AA72" s="193" t="str">
        <f t="shared" si="80"/>
        <v/>
      </c>
      <c r="AB72" s="193" t="str">
        <f t="shared" si="80"/>
        <v/>
      </c>
      <c r="AC72" s="193" t="str">
        <f t="shared" si="80"/>
        <v/>
      </c>
      <c r="AD72" s="193" t="str">
        <f t="shared" si="80"/>
        <v/>
      </c>
      <c r="AE72" s="193" t="str">
        <f t="shared" si="80"/>
        <v/>
      </c>
      <c r="AF72" s="193" t="str">
        <f t="shared" si="80"/>
        <v/>
      </c>
      <c r="AG72" s="193" t="str">
        <f t="shared" si="80"/>
        <v/>
      </c>
      <c r="AH72" s="193" t="str">
        <f t="shared" si="80"/>
        <v/>
      </c>
      <c r="AI72" s="193" t="str">
        <f t="shared" si="80"/>
        <v/>
      </c>
      <c r="AJ72" s="193" t="str">
        <f t="shared" si="80"/>
        <v/>
      </c>
      <c r="AK72" s="193" t="str">
        <f t="shared" si="80"/>
        <v/>
      </c>
      <c r="AL72" s="193" t="str">
        <f t="shared" si="80"/>
        <v/>
      </c>
      <c r="AM72" s="193" t="str">
        <f t="shared" si="80"/>
        <v/>
      </c>
      <c r="AN72" s="189" t="str">
        <f t="shared" si="80"/>
        <v/>
      </c>
      <c r="AO72" s="162" t="str">
        <f t="shared" si="80"/>
        <v/>
      </c>
      <c r="AP72" s="163" t="str">
        <f t="shared" si="80"/>
        <v/>
      </c>
      <c r="AQ72" s="163" t="str">
        <f t="shared" si="80"/>
        <v/>
      </c>
      <c r="AR72" s="163" t="str">
        <f t="shared" si="80"/>
        <v/>
      </c>
      <c r="AS72" s="163" t="str">
        <f t="shared" si="80"/>
        <v/>
      </c>
      <c r="AT72" s="163" t="str">
        <f t="shared" si="80"/>
        <v/>
      </c>
      <c r="AU72" s="194" t="str">
        <f t="shared" si="80"/>
        <v/>
      </c>
      <c r="AV72" s="165" t="str">
        <f t="shared" si="80"/>
        <v/>
      </c>
    </row>
    <row r="73" spans="1:48" hidden="1" x14ac:dyDescent="0.25">
      <c r="A73" s="133" t="str">
        <f t="shared" ref="A73" si="81">+IF(C73+C74=0,"[ocultar]","")</f>
        <v>[ocultar]</v>
      </c>
      <c r="B73" s="202" t="s">
        <v>394</v>
      </c>
      <c r="C73" s="203">
        <f t="array" ref="C73">SUM(IF($B73=DATOS_[Sexo],
IF($B72=DATOS_[AGRUP. CLAS. PROF.],
IF("Dentro"=DATOS_[Check Periodo Ref.],
1/(COUNTIFS(DATOS_[Sexo],$B73,DATOS_[AGRUP. CLAS. PROF.],$B72,DATOS_[Check Periodo Ref.],"Dentro",DATOS_[id/cod],DATOS_[id/cod]))))))</f>
        <v>0</v>
      </c>
      <c r="D73" s="204">
        <f>COUNTIFS(DATOS_[AGRUP. CLAS. PROF.],$B72,DATOS_[Sexo],$B73,DATOS_[Check Periodo Ref.],"Dentro")</f>
        <v>0</v>
      </c>
      <c r="E73" s="204">
        <f>COUNTIFS(DATOS_[AGRUP. CLAS. PROF.],$B72,DATOS_[Sexo],$B73,DATOS_[Check Periodo Ref.],"Dentro",DATOS_[Check Nº SC Norm],"Sí")</f>
        <v>0</v>
      </c>
      <c r="F73" s="204">
        <f>COUNTIFS(DATOS_[AGRUP. CLAS. PROF.],$B72,DATOS_[Sexo],$B73,DATOS_[Check Periodo Ref.],"Dentro",DATOS_[Check Nº SC Anualiz],"Sí")</f>
        <v>0</v>
      </c>
      <c r="G73" s="204">
        <f>COUNTIFS(DATOS_[AGRUP. CLAS. PROF.],$B72,DATOS_[Sexo],$B73,DATOS_[Check Periodo Ref.],"Dentro",DATOS_[Check Nº SC Norm y Anualiz],"Sí")</f>
        <v>0</v>
      </c>
      <c r="H73" s="204">
        <f>COUNTIFS(DATOS_[AGRUP. CLAS. PROF.],$B72,DATOS_[Sexo],$B73,DATOS_[Check Periodo Ref.],"Dentro",DATOS_[Check Equiparación],"Sí")</f>
        <v>0</v>
      </c>
      <c r="I73" s="195">
        <f t="array" ref="I73">IFERROR(
AVERAGE(IF(DATOS_[Sexo]=$B73,IF(DATOS_[[AGRUP. CLAS. PROF.]:[AGRUP. CLAS. PROF.]]=$B72,IF(DATOS_[Check Equiparado]="Sí",IF(DATOS_[Check Periodo Ref.]="Dentro",DATOS_[SALARIO BASE Eq],FALSE))))),
0)</f>
        <v>0</v>
      </c>
      <c r="J73" s="196">
        <f t="array" ref="J73">IFERROR(
(AVERAGE((IF(DATOS_[[Sexo]:[Sexo]]=$B73,IF(DATOS_[[AGRUP. CLAS. PROF.]:[AGRUP. CLAS. PROF.]]=$B72,IF(DATOS_[[Check Periodo Ref.]:[Check Periodo Ref.]]="Dentro",IF(DATOS_[[Check Equiparado]:[Check Equiparado]]="Sí",IF(DATOS!AE$5="Sí",(1/DATOS_[[% anualiz]:[% anualiz]]),1)*IF(DATOS!AE$4="Sí",1/DATOS_[[% normaliz]:[% normaliz]],1)*(DATOS_[Conc.Sal.01])))))))),
0)</f>
        <v>0</v>
      </c>
      <c r="K73" s="196">
        <f t="array" ref="K73">IFERROR(
(AVERAGE((IF(DATOS_[[Sexo]:[Sexo]]=$B73,IF(DATOS_[[AGRUP. CLAS. PROF.]:[AGRUP. CLAS. PROF.]]=$B72,IF(DATOS_[[Check Periodo Ref.]:[Check Periodo Ref.]]="Dentro",IF(DATOS_[[Check Equiparado]:[Check Equiparado]]="Sí",IF(DATOS!AF$5="Sí",(1/DATOS_[[% anualiz]:[% anualiz]]),1)*IF(DATOS!AF$4="Sí",1/DATOS_[[% normaliz]:[% normaliz]],1)*(DATOS_[Conc.Sal.02])))))))),
0)</f>
        <v>0</v>
      </c>
      <c r="L73" s="196">
        <f t="array" ref="L73">IFERROR(
(AVERAGE((IF(DATOS_[[Sexo]:[Sexo]]=$B73,IF(DATOS_[[AGRUP. CLAS. PROF.]:[AGRUP. CLAS. PROF.]]=$B72,IF(DATOS_[[Check Periodo Ref.]:[Check Periodo Ref.]]="Dentro",IF(DATOS_[[Check Equiparado]:[Check Equiparado]]="Sí",IF(DATOS!AG$5="Sí",(1/DATOS_[[% anualiz]:[% anualiz]]),1)*IF(DATOS!AG$4="Sí",1/DATOS_[[% normaliz]:[% normaliz]],1)*(DATOS_[Conc.Sal.03])))))))),
0)</f>
        <v>0</v>
      </c>
      <c r="M73" s="196">
        <f t="array" ref="M73">IFERROR(
(AVERAGE((IF(DATOS_[[Sexo]:[Sexo]]=$B73,IF(DATOS_[[AGRUP. CLAS. PROF.]:[AGRUP. CLAS. PROF.]]=$B72,IF(DATOS_[[Check Periodo Ref.]:[Check Periodo Ref.]]="Dentro",IF(DATOS_[[Check Equiparado]:[Check Equiparado]]="Sí",IF(DATOS!AH$5="Sí",(1/DATOS_[[% anualiz]:[% anualiz]]),1)*IF(DATOS!AH$4="Sí",1/DATOS_[[% normaliz]:[% normaliz]],1)*(DATOS_[Conc.Sal.04])))))))),
0)</f>
        <v>0</v>
      </c>
      <c r="N73" s="196">
        <f t="array" ref="N73">IFERROR(
(AVERAGE((IF(DATOS_[[Sexo]:[Sexo]]=$B73,IF(DATOS_[[AGRUP. CLAS. PROF.]:[AGRUP. CLAS. PROF.]]=$B72,IF(DATOS_[[Check Periodo Ref.]:[Check Periodo Ref.]]="Dentro",IF(DATOS_[[Check Equiparado]:[Check Equiparado]]="Sí",IF(DATOS!AI$5="Sí",(1/DATOS_[[% anualiz]:[% anualiz]]),1)*IF(DATOS!AI$4="Sí",1/DATOS_[[% normaliz]:[% normaliz]],1)*(DATOS_[Conc.Sal.05])))))))),
0)</f>
        <v>0</v>
      </c>
      <c r="O73" s="196">
        <f t="array" ref="O73">IFERROR(
(AVERAGE((IF(DATOS_[[Sexo]:[Sexo]]=$B73,IF(DATOS_[[AGRUP. CLAS. PROF.]:[AGRUP. CLAS. PROF.]]=$B72,IF(DATOS_[[Check Periodo Ref.]:[Check Periodo Ref.]]="Dentro",IF(DATOS_[[Check Equiparado]:[Check Equiparado]]="Sí",IF(DATOS!AJ$5="Sí",(1/DATOS_[[% anualiz]:[% anualiz]]),1)*IF(DATOS!AJ$4="Sí",1/DATOS_[[% normaliz]:[% normaliz]],1)*(DATOS_[Conc.Sal.06])))))))),
0)</f>
        <v>0</v>
      </c>
      <c r="P73" s="196">
        <f t="array" ref="P73">IFERROR(
(AVERAGE((IF(DATOS_[[Sexo]:[Sexo]]=$B73,IF(DATOS_[[AGRUP. CLAS. PROF.]:[AGRUP. CLAS. PROF.]]=$B72,IF(DATOS_[[Check Periodo Ref.]:[Check Periodo Ref.]]="Dentro",IF(DATOS_[[Check Equiparado]:[Check Equiparado]]="Sí",IF(DATOS!AK$5="Sí",(1/DATOS_[[% anualiz]:[% anualiz]]),1)*IF(DATOS!AK$4="Sí",1/DATOS_[[% normaliz]:[% normaliz]],1)*(DATOS_[Conc.Sal.07])))))))),
0)</f>
        <v>0</v>
      </c>
      <c r="Q73" s="196">
        <f t="array" ref="Q73">IFERROR(
(AVERAGE((IF(DATOS_[[Sexo]:[Sexo]]=$B73,IF(DATOS_[[AGRUP. CLAS. PROF.]:[AGRUP. CLAS. PROF.]]=$B72,IF(DATOS_[[Check Periodo Ref.]:[Check Periodo Ref.]]="Dentro",IF(DATOS_[[Check Equiparado]:[Check Equiparado]]="Sí",IF(DATOS!AL$5="Sí",(1/DATOS_[[% anualiz]:[% anualiz]]),1)*IF(DATOS!AL$4="Sí",1/DATOS_[[% normaliz]:[% normaliz]],1)*(DATOS_[Conc.Sal.08])))))))),
0)</f>
        <v>0</v>
      </c>
      <c r="R73" s="196">
        <f t="array" ref="R73">IFERROR(
(AVERAGE((IF(DATOS_[[Sexo]:[Sexo]]=$B73,IF(DATOS_[[AGRUP. CLAS. PROF.]:[AGRUP. CLAS. PROF.]]=$B72,IF(DATOS_[[Check Periodo Ref.]:[Check Periodo Ref.]]="Dentro",IF(DATOS_[[Check Equiparado]:[Check Equiparado]]="Sí",IF(DATOS!AM$5="Sí",(1/DATOS_[[% anualiz]:[% anualiz]]),1)*IF(DATOS!AM$4="Sí",1/DATOS_[[% normaliz]:[% normaliz]],1)*(DATOS_[Conc.Sal.09])))))))),
0)</f>
        <v>0</v>
      </c>
      <c r="S73" s="196">
        <f t="array" ref="S73">IFERROR(
(AVERAGE((IF(DATOS_[[Sexo]:[Sexo]]=$B73,IF(DATOS_[[AGRUP. CLAS. PROF.]:[AGRUP. CLAS. PROF.]]=$B72,IF(DATOS_[[Check Periodo Ref.]:[Check Periodo Ref.]]="Dentro",IF(DATOS_[[Check Equiparado]:[Check Equiparado]]="Sí",IF(DATOS!AN$5="Sí",(1/DATOS_[[% anualiz]:[% anualiz]]),1)*IF(DATOS!AN$4="Sí",1/DATOS_[[% normaliz]:[% normaliz]],1)*(DATOS_[Conc.Sal.10])))))))),
0)</f>
        <v>0</v>
      </c>
      <c r="T73" s="196">
        <f t="array" ref="T73">IFERROR(
(AVERAGE((IF(DATOS_[[Sexo]:[Sexo]]=$B73,IF(DATOS_[[AGRUP. CLAS. PROF.]:[AGRUP. CLAS. PROF.]]=$B72,IF(DATOS_[[Check Periodo Ref.]:[Check Periodo Ref.]]="Dentro",IF(DATOS_[[Check Equiparado]:[Check Equiparado]]="Sí",IF(DATOS!AO$5="Sí",(1/DATOS_[[% anualiz]:[% anualiz]]),1)*IF(DATOS!AO$4="Sí",1/DATOS_[[% normaliz]:[% normaliz]],1)*(DATOS_[Conc.Sal.11])))))))),
0)</f>
        <v>0</v>
      </c>
      <c r="U73" s="196">
        <f t="array" ref="U73">IFERROR(
(AVERAGE((IF(DATOS_[[Sexo]:[Sexo]]=$B73,IF(DATOS_[[AGRUP. CLAS. PROF.]:[AGRUP. CLAS. PROF.]]=$B72,IF(DATOS_[[Check Periodo Ref.]:[Check Periodo Ref.]]="Dentro",IF(DATOS_[[Check Equiparado]:[Check Equiparado]]="Sí",IF(DATOS!AP$5="Sí",(1/DATOS_[[% anualiz]:[% anualiz]]),1)*IF(DATOS!AP$4="Sí",1/DATOS_[[% normaliz]:[% normaliz]],1)*(DATOS_[Conc.Sal.12])))))))),
0)</f>
        <v>0</v>
      </c>
      <c r="V73" s="196">
        <f t="array" ref="V73">IFERROR(
(AVERAGE((IF(DATOS_[[Sexo]:[Sexo]]=$B73,IF(DATOS_[[AGRUP. CLAS. PROF.]:[AGRUP. CLAS. PROF.]]=$B72,IF(DATOS_[[Check Periodo Ref.]:[Check Periodo Ref.]]="Dentro",IF(DATOS_[[Check Equiparado]:[Check Equiparado]]="Sí",IF(DATOS!AQ$5="Sí",(1/DATOS_[[% anualiz]:[% anualiz]]),1)*IF(DATOS!AQ$4="Sí",1/DATOS_[[% normaliz]:[% normaliz]],1)*(DATOS_[Conc.Sal.13])))))))),
0)</f>
        <v>0</v>
      </c>
      <c r="W73" s="196">
        <f t="array" ref="W73">IFERROR(
(AVERAGE((IF(DATOS_[[Sexo]:[Sexo]]=$B73,IF(DATOS_[[AGRUP. CLAS. PROF.]:[AGRUP. CLAS. PROF.]]=$B72,IF(DATOS_[[Check Periodo Ref.]:[Check Periodo Ref.]]="Dentro",IF(DATOS_[[Check Equiparado]:[Check Equiparado]]="Sí",IF(DATOS!AR$5="Sí",(1/DATOS_[[% anualiz]:[% anualiz]]),1)*IF(DATOS!AR$4="Sí",1/DATOS_[[% normaliz]:[% normaliz]],1)*(DATOS_[Conc.Sal.14])))))))),
0)</f>
        <v>0</v>
      </c>
      <c r="X73" s="196">
        <f t="array" ref="X73">IFERROR(
(AVERAGE((IF(DATOS_[[Sexo]:[Sexo]]=$B73,IF(DATOS_[[AGRUP. CLAS. PROF.]:[AGRUP. CLAS. PROF.]]=$B72,IF(DATOS_[[Check Periodo Ref.]:[Check Periodo Ref.]]="Dentro",IF(DATOS_[[Check Equiparado]:[Check Equiparado]]="Sí",IF(DATOS!AS$5="Sí",(1/DATOS_[[% anualiz]:[% anualiz]]),1)*IF(DATOS!AS$4="Sí",1/DATOS_[[% normaliz]:[% normaliz]],1)*(DATOS_[Conc.Sal.15])))))))),
0)</f>
        <v>0</v>
      </c>
      <c r="Y73" s="196">
        <f t="array" ref="Y73">IFERROR(
(AVERAGE((IF(DATOS_[[Sexo]:[Sexo]]=$B73,IF(DATOS_[[AGRUP. CLAS. PROF.]:[AGRUP. CLAS. PROF.]]=$B72,IF(DATOS_[[Check Periodo Ref.]:[Check Periodo Ref.]]="Dentro",IF(DATOS_[[Check Equiparado]:[Check Equiparado]]="Sí",IF(DATOS!AT$5="Sí",(1/DATOS_[[% anualiz]:[% anualiz]]),1)*IF(DATOS!AT$4="Sí",1/DATOS_[[% normaliz]:[% normaliz]],1)*(DATOS_[Conc.Sal.16])))))))),
0)</f>
        <v>0</v>
      </c>
      <c r="Z73" s="196">
        <f t="array" ref="Z73">IFERROR(
(AVERAGE((IF(DATOS_[[Sexo]:[Sexo]]=$B73,IF(DATOS_[[AGRUP. CLAS. PROF.]:[AGRUP. CLAS. PROF.]]=$B72,IF(DATOS_[[Check Periodo Ref.]:[Check Periodo Ref.]]="Dentro",IF(DATOS_[[Check Equiparado]:[Check Equiparado]]="Sí",IF(DATOS!AU$5="Sí",(1/DATOS_[[% anualiz]:[% anualiz]]),1)*IF(DATOS!AU$4="Sí",1/DATOS_[[% normaliz]:[% normaliz]],1)*(DATOS_[Conc.Sal.17])))))))),
0)</f>
        <v>0</v>
      </c>
      <c r="AA73" s="196">
        <f t="array" ref="AA73">IFERROR(
(AVERAGE((IF(DATOS_[[Sexo]:[Sexo]]=$B73,IF(DATOS_[[AGRUP. CLAS. PROF.]:[AGRUP. CLAS. PROF.]]=$B72,IF(DATOS_[[Check Periodo Ref.]:[Check Periodo Ref.]]="Dentro",IF(DATOS_[[Check Equiparado]:[Check Equiparado]]="Sí",IF(DATOS!AV$5="Sí",(1/DATOS_[[% anualiz]:[% anualiz]]),1)*IF(DATOS!AV$4="Sí",1/DATOS_[[% normaliz]:[% normaliz]],1)*(DATOS_[Conc.Sal.18])))))))),
0)</f>
        <v>0</v>
      </c>
      <c r="AB73" s="196">
        <f t="array" ref="AB73">IFERROR(
(AVERAGE((IF(DATOS_[[Sexo]:[Sexo]]=$B73,IF(DATOS_[[AGRUP. CLAS. PROF.]:[AGRUP. CLAS. PROF.]]=$B72,IF(DATOS_[[Check Periodo Ref.]:[Check Periodo Ref.]]="Dentro",IF(DATOS_[[Check Equiparado]:[Check Equiparado]]="Sí",IF(DATOS!AW$5="Sí",(1/DATOS_[[% anualiz]:[% anualiz]]),1)*IF(DATOS!AW$4="Sí",1/DATOS_[[% normaliz]:[% normaliz]],1)*(DATOS_[Conc.Sal.19])))))))),
0)</f>
        <v>0</v>
      </c>
      <c r="AC73" s="196">
        <f t="array" ref="AC73">IFERROR(
(AVERAGE((IF(DATOS_[[Sexo]:[Sexo]]=$B73,IF(DATOS_[[AGRUP. CLAS. PROF.]:[AGRUP. CLAS. PROF.]]=$B72,IF(DATOS_[[Check Periodo Ref.]:[Check Periodo Ref.]]="Dentro",IF(DATOS_[[Check Equiparado]:[Check Equiparado]]="Sí",IF(DATOS!AX$5="Sí",(1/DATOS_[[% anualiz]:[% anualiz]]),1)*IF(DATOS!AX$4="Sí",1/DATOS_[[% normaliz]:[% normaliz]],1)*(DATOS_[Conc.Sal.20])))))))),
0)</f>
        <v>0</v>
      </c>
      <c r="AD73" s="196">
        <f t="array" ref="AD73">IFERROR(
(AVERAGE((IF(DATOS_[[Sexo]:[Sexo]]=$B73,IF(DATOS_[[AGRUP. CLAS. PROF.]:[AGRUP. CLAS. PROF.]]=$B72,IF(DATOS_[[Check Periodo Ref.]:[Check Periodo Ref.]]="Dentro",IF(DATOS_[[Check Equiparado]:[Check Equiparado]]="Sí",IF(DATOS!AY$5="Sí",(1/DATOS_[[% anualiz]:[% anualiz]]),1)*IF(DATOS!AY$4="Sí",1/DATOS_[[% normaliz]:[% normaliz]],1)*(DATOS_[Conc.Sal.21])))))))),
0)</f>
        <v>0</v>
      </c>
      <c r="AE73" s="196">
        <f t="array" ref="AE73">IFERROR(
(AVERAGE((IF(DATOS_[[Sexo]:[Sexo]]=$B73,IF(DATOS_[[AGRUP. CLAS. PROF.]:[AGRUP. CLAS. PROF.]]=$B72,IF(DATOS_[[Check Periodo Ref.]:[Check Periodo Ref.]]="Dentro",IF(DATOS_[[Check Equiparado]:[Check Equiparado]]="Sí",IF(DATOS!AZ$5="Sí",(1/DATOS_[[% anualiz]:[% anualiz]]),1)*IF(DATOS!AZ$4="Sí",1/DATOS_[[% normaliz]:[% normaliz]],1)*(DATOS_[Conc.Sal.22])))))))),
0)</f>
        <v>0</v>
      </c>
      <c r="AF73" s="196">
        <f t="array" ref="AF73">IFERROR(
(AVERAGE((IF(DATOS_[[Sexo]:[Sexo]]=$B73,IF(DATOS_[[AGRUP. CLAS. PROF.]:[AGRUP. CLAS. PROF.]]=$B72,IF(DATOS_[[Check Periodo Ref.]:[Check Periodo Ref.]]="Dentro",IF(DATOS_[[Check Equiparado]:[Check Equiparado]]="Sí",IF(DATOS!BA$5="Sí",(1/DATOS_[[% anualiz]:[% anualiz]]),1)*IF(DATOS!BA$4="Sí",1/DATOS_[[% normaliz]:[% normaliz]],1)*(DATOS_[Conc.Sal.23])))))))),
0)</f>
        <v>0</v>
      </c>
      <c r="AG73" s="196">
        <f t="array" ref="AG73">IFERROR(
(AVERAGE((IF(DATOS_[[Sexo]:[Sexo]]=$B73,IF(DATOS_[[AGRUP. CLAS. PROF.]:[AGRUP. CLAS. PROF.]]=$B72,IF(DATOS_[[Check Periodo Ref.]:[Check Periodo Ref.]]="Dentro",IF(DATOS_[[Check Equiparado]:[Check Equiparado]]="Sí",IF(DATOS!BB$5="Sí",(1/DATOS_[[% anualiz]:[% anualiz]]),1)*IF(DATOS!BB$4="Sí",1/DATOS_[[% normaliz]:[% normaliz]],1)*(DATOS_[Conc.Sal.24])))))))),
0)</f>
        <v>0</v>
      </c>
      <c r="AH73" s="196">
        <f t="array" ref="AH73">IFERROR(
(AVERAGE((IF(DATOS_[[Sexo]:[Sexo]]=$B73,IF(DATOS_[[AGRUP. CLAS. PROF.]:[AGRUP. CLAS. PROF.]]=$B72,IF(DATOS_[[Check Periodo Ref.]:[Check Periodo Ref.]]="Dentro",IF(DATOS_[[Check Equiparado]:[Check Equiparado]]="Sí",IF(DATOS!BC$5="Sí",(1/DATOS_[[% anualiz]:[% anualiz]]),1)*IF(DATOS!BC$4="Sí",1/DATOS_[[% normaliz]:[% normaliz]],1)*(DATOS_[Conc.Sal.25])))))))),
0)</f>
        <v>0</v>
      </c>
      <c r="AI73" s="196">
        <f t="array" ref="AI73">IFERROR(
(AVERAGE((IF(DATOS_[[Sexo]:[Sexo]]=$B73,IF(DATOS_[[AGRUP. CLAS. PROF.]:[AGRUP. CLAS. PROF.]]=$B72,IF(DATOS_[[Check Periodo Ref.]:[Check Periodo Ref.]]="Dentro",IF(DATOS_[[Check Equiparado]:[Check Equiparado]]="Sí",IF(DATOS!BD$5="Sí",(1/DATOS_[[% anualiz]:[% anualiz]]),1)*IF(DATOS!BD$4="Sí",1/DATOS_[[% normaliz]:[% normaliz]],1)*(DATOS_[Conc.Sal.26])))))))),
0)</f>
        <v>0</v>
      </c>
      <c r="AJ73" s="196">
        <f t="array" ref="AJ73">IFERROR(
(AVERAGE((IF(DATOS_[[Sexo]:[Sexo]]=$B73,IF(DATOS_[[AGRUP. CLAS. PROF.]:[AGRUP. CLAS. PROF.]]=$B72,IF(DATOS_[[Check Periodo Ref.]:[Check Periodo Ref.]]="Dentro",IF(DATOS_[[Check Equiparado]:[Check Equiparado]]="Sí",IF(DATOS!BE$5="Sí",(1/DATOS_[[% anualiz]:[% anualiz]]),1)*IF(DATOS!BE$4="Sí",1/DATOS_[[% normaliz]:[% normaliz]],1)*(DATOS_[Conc.Sal.27])))))))),
0)</f>
        <v>0</v>
      </c>
      <c r="AK73" s="196">
        <f t="array" ref="AK73">IFERROR(
(AVERAGE((IF(DATOS_[[Sexo]:[Sexo]]=$B73,IF(DATOS_[[AGRUP. CLAS. PROF.]:[AGRUP. CLAS. PROF.]]=$B72,IF(DATOS_[[Check Periodo Ref.]:[Check Periodo Ref.]]="Dentro",IF(DATOS_[[Check Equiparado]:[Check Equiparado]]="Sí",IF(DATOS!BF$5="Sí",(1/DATOS_[[% anualiz]:[% anualiz]]),1)*IF(DATOS!BF$4="Sí",1/DATOS_[[% normaliz]:[% normaliz]],1)*(DATOS_[Conc.Sal.28])))))))),
0)</f>
        <v>0</v>
      </c>
      <c r="AL73" s="196">
        <f t="array" ref="AL73">IFERROR(
(AVERAGE((IF(DATOS_[[Sexo]:[Sexo]]=$B73,IF(DATOS_[[AGRUP. CLAS. PROF.]:[AGRUP. CLAS. PROF.]]=$B72,IF(DATOS_[[Check Periodo Ref.]:[Check Periodo Ref.]]="Dentro",IF(DATOS_[[Check Equiparado]:[Check Equiparado]]="Sí",IF(DATOS!BG$5="Sí",(1/DATOS_[[% anualiz]:[% anualiz]]),1)*IF(DATOS!BG$4="Sí",1/DATOS_[[% normaliz]:[% normaliz]],1)*(DATOS_[Conc.Sal.29])))))))),
0)</f>
        <v>0</v>
      </c>
      <c r="AM73" s="196">
        <f t="array" ref="AM73">IFERROR(
(AVERAGE((IF(DATOS_[[Sexo]:[Sexo]]=$B73,IF(DATOS_[[AGRUP. CLAS. PROF.]:[AGRUP. CLAS. PROF.]]=$B72,IF(DATOS_[[Check Periodo Ref.]:[Check Periodo Ref.]]="Dentro",IF(DATOS_[[Check Equiparado]:[Check Equiparado]]="Sí",IF(DATOS!BH$5="Sí",(1/DATOS_[[% anualiz]:[% anualiz]]),1)*IF(DATOS!BH$4="Sí",1/DATOS_[[% normaliz]:[% normaliz]],1)*(DATOS_[Conc.Sal.30])))))))),
0)</f>
        <v>0</v>
      </c>
      <c r="AN73" s="195">
        <f t="array" ref="AN73">IFERROR(
AVERAGE(IF(DATOS_[Sexo]=$B73,IF(DATOS_[[AGRUP. CLAS. PROF.]:[AGRUP. CLAS. PROF.]]=$B72,IF(DATOS_[Check Equiparado]="Sí",IF(DATOS_[Check Periodo Ref.]="Dentro",DATOS_[Tot COMPL.SAL Eq],FALSE))))),
0)</f>
        <v>0</v>
      </c>
      <c r="AO73" s="172">
        <f t="array" ref="AO73">IFERROR(
AVERAGE(IF(DATOS_[Sexo]=$B73,IF(DATOS_[[AGRUP. CLAS. PROF.]:[AGRUP. CLAS. PROF.]]=$B72,IF(DATOS_[Check Equiparado]="Sí",IF(DATOS_[Check Periodo Ref.]="Dentro",DATOS_[TOTAL SALARIO Eq],FALSE))))),
0)</f>
        <v>0</v>
      </c>
      <c r="AP73" s="173">
        <f t="array" ref="AP73">IFERROR(
(AVERAGE((IF(DATOS_[[Sexo]:[Sexo]]=$B73,IF(DATOS_[[AGRUP. CLAS. PROF.]:[AGRUP. CLAS. PROF.]]=$B72,IF(DATOS_[[Check Periodo Ref.]:[Check Periodo Ref.]]="Dentro",IF(DATOS_[[Check Equiparado]:[Check Equiparado]]="Sí",IF(DATOS!BW$5="Sí",(1/DATOS_[[% anualiz]:[% anualiz]]),1)*IF(DATOS!BW$4="Sí",1/DATOS_[[% normaliz]:[% normaliz]],1)*(DATOS_[C.Extra.01])))))))),
0)</f>
        <v>0</v>
      </c>
      <c r="AQ73" s="173">
        <f t="array" ref="AQ73">IFERROR(
(AVERAGE((IF(DATOS_[[Sexo]:[Sexo]]=$B73,IF(DATOS_[[AGRUP. CLAS. PROF.]:[AGRUP. CLAS. PROF.]]=$B72,IF(DATOS_[[Check Periodo Ref.]:[Check Periodo Ref.]]="Dentro",IF(DATOS_[[Check Equiparado]:[Check Equiparado]]="Sí",IF(DATOS!CB$5="Sí",(1/DATOS_[[% anualiz]:[% anualiz]]),1)*IF(DATOS!CB$4="Sí",1/DATOS_[[% normaliz]:[% normaliz]],1)*(DATOS_[C.Extra.06])))))))),
0)</f>
        <v>0</v>
      </c>
      <c r="AR73" s="173">
        <f t="array" ref="AR73">IFERROR(
(AVERAGE((IF(DATOS_[[Sexo]:[Sexo]]=$B73,IF(DATOS_[[AGRUP. CLAS. PROF.]:[AGRUP. CLAS. PROF.]]=$B72,IF(DATOS_[[Check Periodo Ref.]:[Check Periodo Ref.]]="Dentro",IF(DATOS_[[Check Equiparado]:[Check Equiparado]]="Sí",IF(DATOS!CC$5="Sí",(1/DATOS_[[% anualiz]:[% anualiz]]),1)*IF(DATOS!CC$4="Sí",1/DATOS_[[% normaliz]:[% normaliz]],1)*(DATOS_[C.Extra.07])))))))),
0)</f>
        <v>0</v>
      </c>
      <c r="AS73" s="173">
        <f t="array" ref="AS73">IFERROR(
(AVERAGE((IF(DATOS_[[Sexo]:[Sexo]]=$B73,IF(DATOS_[[AGRUP. CLAS. PROF.]:[AGRUP. CLAS. PROF.]]=$B72,IF(DATOS_[[Check Periodo Ref.]:[Check Periodo Ref.]]="Dentro",IF(DATOS_[[Check Equiparado]:[Check Equiparado]]="Sí",IF(DATOS!CD$5="Sí",(1/DATOS_[[% anualiz]:[% anualiz]]),1)*IF(DATOS!CD$4="Sí",1/DATOS_[[% normaliz]:[% normaliz]],1)*(DATOS_[C.Extra.08])))))))),
0)</f>
        <v>0</v>
      </c>
      <c r="AT73" s="173">
        <f t="array" ref="AT73">IFERROR(
(AVERAGE((IF(DATOS_[[Sexo]:[Sexo]]=$B73,IF(DATOS_[[AGRUP. CLAS. PROF.]:[AGRUP. CLAS. PROF.]]=$B72,IF(DATOS_[[Check Periodo Ref.]:[Check Periodo Ref.]]="Dentro",IF(DATOS_[[Check Equiparado]:[Check Equiparado]]="Sí",IF(DATOS!CG$5="Sí",(1/DATOS_[[% anualiz]:[% anualiz]]),1)*IF(DATOS!CG$4="Sí",1/DATOS_[[% normaliz]:[% normaliz]],1)*(DATOS_[C.Extra.11])))))))),
0)</f>
        <v>0</v>
      </c>
      <c r="AU73" s="197">
        <f t="array" ref="AU73">IFERROR(
AVERAGE(IF(DATOS_[Sexo]=$B73,IF(DATOS_[[AGRUP. CLAS. PROF.]:[AGRUP. CLAS. PROF.]]=$B72,IF(DATOS_[Check Equiparado]="Sí",IF(DATOS_[Check Periodo Ref.]="Dentro",DATOS_[Tot Extrasalarial Eq],FALSE))))),
0)</f>
        <v>0</v>
      </c>
      <c r="AV73" s="175">
        <f t="array" ref="AV73">IFERROR(
AVERAGE(IF(DATOS_[Sexo]=$B73,IF(DATOS_[[AGRUP. CLAS. PROF.]:[AGRUP. CLAS. PROF.]]=$B72,IF(DATOS_[Check Equiparado]="Sí",IF(DATOS_[Check Periodo Ref.]="Dentro",DATOS_[TOTAL Retrib Eq],FALSE))))),
0)</f>
        <v>0</v>
      </c>
    </row>
    <row r="74" spans="1:48" hidden="1" x14ac:dyDescent="0.25">
      <c r="A74" s="133" t="str">
        <f t="shared" ref="A74" si="82">+A73</f>
        <v>[ocultar]</v>
      </c>
      <c r="B74" s="202" t="s">
        <v>521</v>
      </c>
      <c r="C74" s="203">
        <f t="array" ref="C74">SUM(IF($B74=DATOS_[Sexo],
IF($B72=DATOS_[AGRUP. CLAS. PROF.],
IF("Dentro"=DATOS_[Check Periodo Ref.],
1/(COUNTIFS(DATOS_[Sexo],$B74,DATOS_[AGRUP. CLAS. PROF.],$B72,DATOS_[Check Periodo Ref.],"Dentro",DATOS_[id/cod],DATOS_[id/cod]))))))</f>
        <v>0</v>
      </c>
      <c r="D74" s="204">
        <f>COUNTIFS(DATOS_[AGRUP. CLAS. PROF.],$B72,DATOS_[Sexo],$B74,DATOS_[Check Periodo Ref.],"Dentro")</f>
        <v>0</v>
      </c>
      <c r="E74" s="204">
        <f>COUNTIFS(DATOS_[AGRUP. CLAS. PROF.],$B72,DATOS_[Sexo],$B74,DATOS_[Check Periodo Ref.],"Dentro",DATOS_[Check Nº SC Norm],"Sí")</f>
        <v>0</v>
      </c>
      <c r="F74" s="204">
        <f>COUNTIFS(DATOS_[AGRUP. CLAS. PROF.],$B72,DATOS_[Sexo],$B74,DATOS_[Check Periodo Ref.],"Dentro",DATOS_[Check Nº SC Anualiz],"Sí")</f>
        <v>0</v>
      </c>
      <c r="G74" s="204">
        <f>COUNTIFS(DATOS_[AGRUP. CLAS. PROF.],$B72,DATOS_[Sexo],$B74,DATOS_[Check Periodo Ref.],"Dentro",DATOS_[Check Nº SC Norm y Anualiz],"Sí")</f>
        <v>0</v>
      </c>
      <c r="H74" s="204">
        <f>COUNTIFS(DATOS_[AGRUP. CLAS. PROF.],$B72,DATOS_[Sexo],$B74,DATOS_[Check Periodo Ref.],"Dentro",DATOS_[Check Equiparación],"Sí")</f>
        <v>0</v>
      </c>
      <c r="I74" s="195" cm="1">
        <f t="array" ref="I74">IFERROR(
AVERAGE(IF(DATOS_[Sexo]=$B74,IF(DATOS_[[AGRUP. CLAS. PROF.]:[AGRUP. CLAS. PROF.]]=$B72,IF(DATOS_[Check Equiparado]="Sí",IF(DATOS_[Check Periodo Ref.]="Dentro",DATOS_[SALARIO BASE Eq],FALSE))))),
0)</f>
        <v>0</v>
      </c>
      <c r="J74" s="196">
        <f t="array" ref="J74">IFERROR(
(AVERAGE((IF(DATOS_[[Sexo]:[Sexo]]=$B74,IF(DATOS_[[AGRUP. CLAS. PROF.]:[AGRUP. CLAS. PROF.]]=$B72,IF(DATOS_[[Check Periodo Ref.]:[Check Periodo Ref.]]="Dentro",IF(DATOS_[[Check Equiparado]:[Check Equiparado]]="Sí",IF(DATOS!AE$5="Sí",(1/DATOS_[[% anualiz]:[% anualiz]]),1)*IF(DATOS!AE$4="Sí",1/DATOS_[[% normaliz]:[% normaliz]],1)*(DATOS_[Conc.Sal.01])))))))),
0)</f>
        <v>0</v>
      </c>
      <c r="K74" s="196">
        <f t="array" ref="K74">IFERROR(
(AVERAGE((IF(DATOS_[[Sexo]:[Sexo]]=$B74,IF(DATOS_[[AGRUP. CLAS. PROF.]:[AGRUP. CLAS. PROF.]]=$B72,IF(DATOS_[[Check Periodo Ref.]:[Check Periodo Ref.]]="Dentro",IF(DATOS_[[Check Equiparado]:[Check Equiparado]]="Sí",IF(DATOS!AF$5="Sí",(1/DATOS_[[% anualiz]:[% anualiz]]),1)*IF(DATOS!AF$4="Sí",1/DATOS_[[% normaliz]:[% normaliz]],1)*(DATOS_[Conc.Sal.02])))))))),
0)</f>
        <v>0</v>
      </c>
      <c r="L74" s="196">
        <f t="array" ref="L74">IFERROR(
(AVERAGE((IF(DATOS_[[Sexo]:[Sexo]]=$B74,IF(DATOS_[[AGRUP. CLAS. PROF.]:[AGRUP. CLAS. PROF.]]=$B72,IF(DATOS_[[Check Periodo Ref.]:[Check Periodo Ref.]]="Dentro",IF(DATOS_[[Check Equiparado]:[Check Equiparado]]="Sí",IF(DATOS!AG$5="Sí",(1/DATOS_[[% anualiz]:[% anualiz]]),1)*IF(DATOS!AG$4="Sí",1/DATOS_[[% normaliz]:[% normaliz]],1)*(DATOS_[Conc.Sal.03])))))))),
0)</f>
        <v>0</v>
      </c>
      <c r="M74" s="196">
        <f t="array" ref="M74">IFERROR(
(AVERAGE((IF(DATOS_[[Sexo]:[Sexo]]=$B74,IF(DATOS_[[AGRUP. CLAS. PROF.]:[AGRUP. CLAS. PROF.]]=$B72,IF(DATOS_[[Check Periodo Ref.]:[Check Periodo Ref.]]="Dentro",IF(DATOS_[[Check Equiparado]:[Check Equiparado]]="Sí",IF(DATOS!AH$5="Sí",(1/DATOS_[[% anualiz]:[% anualiz]]),1)*IF(DATOS!AH$4="Sí",1/DATOS_[[% normaliz]:[% normaliz]],1)*(DATOS_[Conc.Sal.04])))))))),
0)</f>
        <v>0</v>
      </c>
      <c r="N74" s="196">
        <f t="array" ref="N74">IFERROR(
(AVERAGE((IF(DATOS_[[Sexo]:[Sexo]]=$B74,IF(DATOS_[[AGRUP. CLAS. PROF.]:[AGRUP. CLAS. PROF.]]=$B72,IF(DATOS_[[Check Periodo Ref.]:[Check Periodo Ref.]]="Dentro",IF(DATOS_[[Check Equiparado]:[Check Equiparado]]="Sí",IF(DATOS!AI$5="Sí",(1/DATOS_[[% anualiz]:[% anualiz]]),1)*IF(DATOS!AI$4="Sí",1/DATOS_[[% normaliz]:[% normaliz]],1)*(DATOS_[Conc.Sal.05])))))))),
0)</f>
        <v>0</v>
      </c>
      <c r="O74" s="196">
        <f t="array" ref="O74">IFERROR(
(AVERAGE((IF(DATOS_[[Sexo]:[Sexo]]=$B74,IF(DATOS_[[AGRUP. CLAS. PROF.]:[AGRUP. CLAS. PROF.]]=$B72,IF(DATOS_[[Check Periodo Ref.]:[Check Periodo Ref.]]="Dentro",IF(DATOS_[[Check Equiparado]:[Check Equiparado]]="Sí",IF(DATOS!AJ$5="Sí",(1/DATOS_[[% anualiz]:[% anualiz]]),1)*IF(DATOS!AJ$4="Sí",1/DATOS_[[% normaliz]:[% normaliz]],1)*(DATOS_[Conc.Sal.06])))))))),
0)</f>
        <v>0</v>
      </c>
      <c r="P74" s="196">
        <f t="array" ref="P74">IFERROR(
(AVERAGE((IF(DATOS_[[Sexo]:[Sexo]]=$B74,IF(DATOS_[[AGRUP. CLAS. PROF.]:[AGRUP. CLAS. PROF.]]=$B72,IF(DATOS_[[Check Periodo Ref.]:[Check Periodo Ref.]]="Dentro",IF(DATOS_[[Check Equiparado]:[Check Equiparado]]="Sí",IF(DATOS!AK$5="Sí",(1/DATOS_[[% anualiz]:[% anualiz]]),1)*IF(DATOS!AK$4="Sí",1/DATOS_[[% normaliz]:[% normaliz]],1)*(DATOS_[Conc.Sal.07])))))))),
0)</f>
        <v>0</v>
      </c>
      <c r="Q74" s="196">
        <f t="array" ref="Q74">IFERROR(
(AVERAGE((IF(DATOS_[[Sexo]:[Sexo]]=$B74,IF(DATOS_[[AGRUP. CLAS. PROF.]:[AGRUP. CLAS. PROF.]]=$B72,IF(DATOS_[[Check Periodo Ref.]:[Check Periodo Ref.]]="Dentro",IF(DATOS_[[Check Equiparado]:[Check Equiparado]]="Sí",IF(DATOS!AL$5="Sí",(1/DATOS_[[% anualiz]:[% anualiz]]),1)*IF(DATOS!AL$4="Sí",1/DATOS_[[% normaliz]:[% normaliz]],1)*(DATOS_[Conc.Sal.08])))))))),
0)</f>
        <v>0</v>
      </c>
      <c r="R74" s="196">
        <f t="array" ref="R74">IFERROR(
(AVERAGE((IF(DATOS_[[Sexo]:[Sexo]]=$B74,IF(DATOS_[[AGRUP. CLAS. PROF.]:[AGRUP. CLAS. PROF.]]=$B72,IF(DATOS_[[Check Periodo Ref.]:[Check Periodo Ref.]]="Dentro",IF(DATOS_[[Check Equiparado]:[Check Equiparado]]="Sí",IF(DATOS!AM$5="Sí",(1/DATOS_[[% anualiz]:[% anualiz]]),1)*IF(DATOS!AM$4="Sí",1/DATOS_[[% normaliz]:[% normaliz]],1)*(DATOS_[Conc.Sal.09])))))))),
0)</f>
        <v>0</v>
      </c>
      <c r="S74" s="196">
        <f t="array" ref="S74">IFERROR(
(AVERAGE((IF(DATOS_[[Sexo]:[Sexo]]=$B74,IF(DATOS_[[AGRUP. CLAS. PROF.]:[AGRUP. CLAS. PROF.]]=$B72,IF(DATOS_[[Check Periodo Ref.]:[Check Periodo Ref.]]="Dentro",IF(DATOS_[[Check Equiparado]:[Check Equiparado]]="Sí",IF(DATOS!AN$5="Sí",(1/DATOS_[[% anualiz]:[% anualiz]]),1)*IF(DATOS!AN$4="Sí",1/DATOS_[[% normaliz]:[% normaliz]],1)*(DATOS_[Conc.Sal.10])))))))),
0)</f>
        <v>0</v>
      </c>
      <c r="T74" s="196">
        <f t="array" ref="T74">IFERROR(
(AVERAGE((IF(DATOS_[[Sexo]:[Sexo]]=$B74,IF(DATOS_[[AGRUP. CLAS. PROF.]:[AGRUP. CLAS. PROF.]]=$B72,IF(DATOS_[[Check Periodo Ref.]:[Check Periodo Ref.]]="Dentro",IF(DATOS_[[Check Equiparado]:[Check Equiparado]]="Sí",IF(DATOS!AO$5="Sí",(1/DATOS_[[% anualiz]:[% anualiz]]),1)*IF(DATOS!AO$4="Sí",1/DATOS_[[% normaliz]:[% normaliz]],1)*(DATOS_[Conc.Sal.11])))))))),
0)</f>
        <v>0</v>
      </c>
      <c r="U74" s="196">
        <f t="array" ref="U74">IFERROR(
(AVERAGE((IF(DATOS_[[Sexo]:[Sexo]]=$B74,IF(DATOS_[[AGRUP. CLAS. PROF.]:[AGRUP. CLAS. PROF.]]=$B72,IF(DATOS_[[Check Periodo Ref.]:[Check Periodo Ref.]]="Dentro",IF(DATOS_[[Check Equiparado]:[Check Equiparado]]="Sí",IF(DATOS!AP$5="Sí",(1/DATOS_[[% anualiz]:[% anualiz]]),1)*IF(DATOS!AP$4="Sí",1/DATOS_[[% normaliz]:[% normaliz]],1)*(DATOS_[Conc.Sal.12])))))))),
0)</f>
        <v>0</v>
      </c>
      <c r="V74" s="196">
        <f t="array" ref="V74">IFERROR(
(AVERAGE((IF(DATOS_[[Sexo]:[Sexo]]=$B74,IF(DATOS_[[AGRUP. CLAS. PROF.]:[AGRUP. CLAS. PROF.]]=$B72,IF(DATOS_[[Check Periodo Ref.]:[Check Periodo Ref.]]="Dentro",IF(DATOS_[[Check Equiparado]:[Check Equiparado]]="Sí",IF(DATOS!AQ$5="Sí",(1/DATOS_[[% anualiz]:[% anualiz]]),1)*IF(DATOS!AQ$4="Sí",1/DATOS_[[% normaliz]:[% normaliz]],1)*(DATOS_[Conc.Sal.13])))))))),
0)</f>
        <v>0</v>
      </c>
      <c r="W74" s="196">
        <f t="array" ref="W74">IFERROR(
(AVERAGE((IF(DATOS_[[Sexo]:[Sexo]]=$B74,IF(DATOS_[[AGRUP. CLAS. PROF.]:[AGRUP. CLAS. PROF.]]=$B72,IF(DATOS_[[Check Periodo Ref.]:[Check Periodo Ref.]]="Dentro",IF(DATOS_[[Check Equiparado]:[Check Equiparado]]="Sí",IF(DATOS!AR$5="Sí",(1/DATOS_[[% anualiz]:[% anualiz]]),1)*IF(DATOS!AR$4="Sí",1/DATOS_[[% normaliz]:[% normaliz]],1)*(DATOS_[Conc.Sal.14])))))))),
0)</f>
        <v>0</v>
      </c>
      <c r="X74" s="196">
        <f t="array" ref="X74">IFERROR(
(AVERAGE((IF(DATOS_[[Sexo]:[Sexo]]=$B74,IF(DATOS_[[AGRUP. CLAS. PROF.]:[AGRUP. CLAS. PROF.]]=$B72,IF(DATOS_[[Check Periodo Ref.]:[Check Periodo Ref.]]="Dentro",IF(DATOS_[[Check Equiparado]:[Check Equiparado]]="Sí",IF(DATOS!AS$5="Sí",(1/DATOS_[[% anualiz]:[% anualiz]]),1)*IF(DATOS!AS$4="Sí",1/DATOS_[[% normaliz]:[% normaliz]],1)*(DATOS_[Conc.Sal.15])))))))),
0)</f>
        <v>0</v>
      </c>
      <c r="Y74" s="196">
        <f t="array" ref="Y74">IFERROR(
(AVERAGE((IF(DATOS_[[Sexo]:[Sexo]]=$B74,IF(DATOS_[[AGRUP. CLAS. PROF.]:[AGRUP. CLAS. PROF.]]=$B72,IF(DATOS_[[Check Periodo Ref.]:[Check Periodo Ref.]]="Dentro",IF(DATOS_[[Check Equiparado]:[Check Equiparado]]="Sí",IF(DATOS!AT$5="Sí",(1/DATOS_[[% anualiz]:[% anualiz]]),1)*IF(DATOS!AT$4="Sí",1/DATOS_[[% normaliz]:[% normaliz]],1)*(DATOS_[Conc.Sal.16])))))))),
0)</f>
        <v>0</v>
      </c>
      <c r="Z74" s="196">
        <f t="array" ref="Z74">IFERROR(
(AVERAGE((IF(DATOS_[[Sexo]:[Sexo]]=$B74,IF(DATOS_[[AGRUP. CLAS. PROF.]:[AGRUP. CLAS. PROF.]]=$B72,IF(DATOS_[[Check Periodo Ref.]:[Check Periodo Ref.]]="Dentro",IF(DATOS_[[Check Equiparado]:[Check Equiparado]]="Sí",IF(DATOS!AU$5="Sí",(1/DATOS_[[% anualiz]:[% anualiz]]),1)*IF(DATOS!AU$4="Sí",1/DATOS_[[% normaliz]:[% normaliz]],1)*(DATOS_[Conc.Sal.17])))))))),
0)</f>
        <v>0</v>
      </c>
      <c r="AA74" s="196">
        <f t="array" ref="AA74">IFERROR(
(AVERAGE((IF(DATOS_[[Sexo]:[Sexo]]=$B74,IF(DATOS_[[AGRUP. CLAS. PROF.]:[AGRUP. CLAS. PROF.]]=$B72,IF(DATOS_[[Check Periodo Ref.]:[Check Periodo Ref.]]="Dentro",IF(DATOS_[[Check Equiparado]:[Check Equiparado]]="Sí",IF(DATOS!AV$5="Sí",(1/DATOS_[[% anualiz]:[% anualiz]]),1)*IF(DATOS!AV$4="Sí",1/DATOS_[[% normaliz]:[% normaliz]],1)*(DATOS_[Conc.Sal.18])))))))),
0)</f>
        <v>0</v>
      </c>
      <c r="AB74" s="196">
        <f t="array" ref="AB74">IFERROR(
(AVERAGE((IF(DATOS_[[Sexo]:[Sexo]]=$B74,IF(DATOS_[[AGRUP. CLAS. PROF.]:[AGRUP. CLAS. PROF.]]=$B72,IF(DATOS_[[Check Periodo Ref.]:[Check Periodo Ref.]]="Dentro",IF(DATOS_[[Check Equiparado]:[Check Equiparado]]="Sí",IF(DATOS!AW$5="Sí",(1/DATOS_[[% anualiz]:[% anualiz]]),1)*IF(DATOS!AW$4="Sí",1/DATOS_[[% normaliz]:[% normaliz]],1)*(DATOS_[Conc.Sal.19])))))))),
0)</f>
        <v>0</v>
      </c>
      <c r="AC74" s="196">
        <f t="array" ref="AC74">IFERROR(
(AVERAGE((IF(DATOS_[[Sexo]:[Sexo]]=$B74,IF(DATOS_[[AGRUP. CLAS. PROF.]:[AGRUP. CLAS. PROF.]]=$B72,IF(DATOS_[[Check Periodo Ref.]:[Check Periodo Ref.]]="Dentro",IF(DATOS_[[Check Equiparado]:[Check Equiparado]]="Sí",IF(DATOS!AX$5="Sí",(1/DATOS_[[% anualiz]:[% anualiz]]),1)*IF(DATOS!AX$4="Sí",1/DATOS_[[% normaliz]:[% normaliz]],1)*(DATOS_[Conc.Sal.20])))))))),
0)</f>
        <v>0</v>
      </c>
      <c r="AD74" s="196">
        <f t="array" ref="AD74">IFERROR(
(AVERAGE((IF(DATOS_[[Sexo]:[Sexo]]=$B74,IF(DATOS_[[AGRUP. CLAS. PROF.]:[AGRUP. CLAS. PROF.]]=$B72,IF(DATOS_[[Check Periodo Ref.]:[Check Periodo Ref.]]="Dentro",IF(DATOS_[[Check Equiparado]:[Check Equiparado]]="Sí",IF(DATOS!AY$5="Sí",(1/DATOS_[[% anualiz]:[% anualiz]]),1)*IF(DATOS!AY$4="Sí",1/DATOS_[[% normaliz]:[% normaliz]],1)*(DATOS_[Conc.Sal.21])))))))),
0)</f>
        <v>0</v>
      </c>
      <c r="AE74" s="196">
        <f t="array" ref="AE74">IFERROR(
(AVERAGE((IF(DATOS_[[Sexo]:[Sexo]]=$B74,IF(DATOS_[[AGRUP. CLAS. PROF.]:[AGRUP. CLAS. PROF.]]=$B72,IF(DATOS_[[Check Periodo Ref.]:[Check Periodo Ref.]]="Dentro",IF(DATOS_[[Check Equiparado]:[Check Equiparado]]="Sí",IF(DATOS!AZ$5="Sí",(1/DATOS_[[% anualiz]:[% anualiz]]),1)*IF(DATOS!AZ$4="Sí",1/DATOS_[[% normaliz]:[% normaliz]],1)*(DATOS_[Conc.Sal.22])))))))),
0)</f>
        <v>0</v>
      </c>
      <c r="AF74" s="196">
        <f t="array" ref="AF74">IFERROR(
(AVERAGE((IF(DATOS_[[Sexo]:[Sexo]]=$B74,IF(DATOS_[[AGRUP. CLAS. PROF.]:[AGRUP. CLAS. PROF.]]=$B72,IF(DATOS_[[Check Periodo Ref.]:[Check Periodo Ref.]]="Dentro",IF(DATOS_[[Check Equiparado]:[Check Equiparado]]="Sí",IF(DATOS!BA$5="Sí",(1/DATOS_[[% anualiz]:[% anualiz]]),1)*IF(DATOS!BA$4="Sí",1/DATOS_[[% normaliz]:[% normaliz]],1)*(DATOS_[Conc.Sal.23])))))))),
0)</f>
        <v>0</v>
      </c>
      <c r="AG74" s="196">
        <f t="array" ref="AG74">IFERROR(
(AVERAGE((IF(DATOS_[[Sexo]:[Sexo]]=$B74,IF(DATOS_[[AGRUP. CLAS. PROF.]:[AGRUP. CLAS. PROF.]]=$B72,IF(DATOS_[[Check Periodo Ref.]:[Check Periodo Ref.]]="Dentro",IF(DATOS_[[Check Equiparado]:[Check Equiparado]]="Sí",IF(DATOS!BB$5="Sí",(1/DATOS_[[% anualiz]:[% anualiz]]),1)*IF(DATOS!BB$4="Sí",1/DATOS_[[% normaliz]:[% normaliz]],1)*(DATOS_[Conc.Sal.24])))))))),
0)</f>
        <v>0</v>
      </c>
      <c r="AH74" s="196">
        <f t="array" ref="AH74">IFERROR(
(AVERAGE((IF(DATOS_[[Sexo]:[Sexo]]=$B74,IF(DATOS_[[AGRUP. CLAS. PROF.]:[AGRUP. CLAS. PROF.]]=$B72,IF(DATOS_[[Check Periodo Ref.]:[Check Periodo Ref.]]="Dentro",IF(DATOS_[[Check Equiparado]:[Check Equiparado]]="Sí",IF(DATOS!BC$5="Sí",(1/DATOS_[[% anualiz]:[% anualiz]]),1)*IF(DATOS!BC$4="Sí",1/DATOS_[[% normaliz]:[% normaliz]],1)*(DATOS_[Conc.Sal.25])))))))),
0)</f>
        <v>0</v>
      </c>
      <c r="AI74" s="196">
        <f t="array" ref="AI74">IFERROR(
(AVERAGE((IF(DATOS_[[Sexo]:[Sexo]]=$B74,IF(DATOS_[[AGRUP. CLAS. PROF.]:[AGRUP. CLAS. PROF.]]=$B72,IF(DATOS_[[Check Periodo Ref.]:[Check Periodo Ref.]]="Dentro",IF(DATOS_[[Check Equiparado]:[Check Equiparado]]="Sí",IF(DATOS!BD$5="Sí",(1/DATOS_[[% anualiz]:[% anualiz]]),1)*IF(DATOS!BD$4="Sí",1/DATOS_[[% normaliz]:[% normaliz]],1)*(DATOS_[Conc.Sal.26])))))))),
0)</f>
        <v>0</v>
      </c>
      <c r="AJ74" s="196">
        <f t="array" ref="AJ74">IFERROR(
(AVERAGE((IF(DATOS_[[Sexo]:[Sexo]]=$B74,IF(DATOS_[[AGRUP. CLAS. PROF.]:[AGRUP. CLAS. PROF.]]=$B72,IF(DATOS_[[Check Periodo Ref.]:[Check Periodo Ref.]]="Dentro",IF(DATOS_[[Check Equiparado]:[Check Equiparado]]="Sí",IF(DATOS!BE$5="Sí",(1/DATOS_[[% anualiz]:[% anualiz]]),1)*IF(DATOS!BE$4="Sí",1/DATOS_[[% normaliz]:[% normaliz]],1)*(DATOS_[Conc.Sal.27])))))))),
0)</f>
        <v>0</v>
      </c>
      <c r="AK74" s="196">
        <f t="array" ref="AK74">IFERROR(
(AVERAGE((IF(DATOS_[[Sexo]:[Sexo]]=$B74,IF(DATOS_[[AGRUP. CLAS. PROF.]:[AGRUP. CLAS. PROF.]]=$B72,IF(DATOS_[[Check Periodo Ref.]:[Check Periodo Ref.]]="Dentro",IF(DATOS_[[Check Equiparado]:[Check Equiparado]]="Sí",IF(DATOS!BF$5="Sí",(1/DATOS_[[% anualiz]:[% anualiz]]),1)*IF(DATOS!BF$4="Sí",1/DATOS_[[% normaliz]:[% normaliz]],1)*(DATOS_[Conc.Sal.28])))))))),
0)</f>
        <v>0</v>
      </c>
      <c r="AL74" s="196">
        <f t="array" ref="AL74">IFERROR(
(AVERAGE((IF(DATOS_[[Sexo]:[Sexo]]=$B74,IF(DATOS_[[AGRUP. CLAS. PROF.]:[AGRUP. CLAS. PROF.]]=$B72,IF(DATOS_[[Check Periodo Ref.]:[Check Periodo Ref.]]="Dentro",IF(DATOS_[[Check Equiparado]:[Check Equiparado]]="Sí",IF(DATOS!BG$5="Sí",(1/DATOS_[[% anualiz]:[% anualiz]]),1)*IF(DATOS!BG$4="Sí",1/DATOS_[[% normaliz]:[% normaliz]],1)*(DATOS_[Conc.Sal.29])))))))),
0)</f>
        <v>0</v>
      </c>
      <c r="AM74" s="196">
        <f t="array" ref="AM74">IFERROR(
(AVERAGE((IF(DATOS_[[Sexo]:[Sexo]]=$B74,IF(DATOS_[[AGRUP. CLAS. PROF.]:[AGRUP. CLAS. PROF.]]=$B72,IF(DATOS_[[Check Periodo Ref.]:[Check Periodo Ref.]]="Dentro",IF(DATOS_[[Check Equiparado]:[Check Equiparado]]="Sí",IF(DATOS!BH$5="Sí",(1/DATOS_[[% anualiz]:[% anualiz]]),1)*IF(DATOS!BH$4="Sí",1/DATOS_[[% normaliz]:[% normaliz]],1)*(DATOS_[Conc.Sal.30])))))))),
0)</f>
        <v>0</v>
      </c>
      <c r="AN74" s="195">
        <f t="array" ref="AN74">IFERROR(
AVERAGE(IF(DATOS_[Sexo]=$B74,IF(DATOS_[[AGRUP. CLAS. PROF.]:[AGRUP. CLAS. PROF.]]=$B72,IF(DATOS_[Check Equiparado]="Sí",IF(DATOS_[Check Periodo Ref.]="Dentro",DATOS_[Tot COMPL.SAL Eq],FALSE))))),
0)</f>
        <v>0</v>
      </c>
      <c r="AO74" s="172">
        <f t="array" ref="AO74">IFERROR(
AVERAGE(IF(DATOS_[Sexo]=$B74,IF(DATOS_[[AGRUP. CLAS. PROF.]:[AGRUP. CLAS. PROF.]]=$B72,IF(DATOS_[Check Equiparado]="Sí",IF(DATOS_[Check Periodo Ref.]="Dentro",DATOS_[TOTAL SALARIO Eq],FALSE))))),
0)</f>
        <v>0</v>
      </c>
      <c r="AP74" s="173">
        <f t="array" ref="AP74">IFERROR(
(AVERAGE((IF(DATOS_[[Sexo]:[Sexo]]=$B74,IF(DATOS_[[AGRUP. CLAS. PROF.]:[AGRUP. CLAS. PROF.]]=$B72,IF(DATOS_[[Check Periodo Ref.]:[Check Periodo Ref.]]="Dentro",IF(DATOS_[[Check Equiparado]:[Check Equiparado]]="Sí",IF(DATOS!BW$5="Sí",(1/DATOS_[[% anualiz]:[% anualiz]]),1)*IF(DATOS!BW$4="Sí",1/DATOS_[[% normaliz]:[% normaliz]],1)*(DATOS_[C.Extra.01])))))))),
0)</f>
        <v>0</v>
      </c>
      <c r="AQ74" s="173">
        <f t="array" ref="AQ74">IFERROR(
(AVERAGE((IF(DATOS_[[Sexo]:[Sexo]]=$B74,IF(DATOS_[[AGRUP. CLAS. PROF.]:[AGRUP. CLAS. PROF.]]=$B72,IF(DATOS_[[Check Periodo Ref.]:[Check Periodo Ref.]]="Dentro",IF(DATOS_[[Check Equiparado]:[Check Equiparado]]="Sí",IF(DATOS!CB$5="Sí",(1/DATOS_[[% anualiz]:[% anualiz]]),1)*IF(DATOS!CB$4="Sí",1/DATOS_[[% normaliz]:[% normaliz]],1)*(DATOS_[C.Extra.06])))))))),
0)</f>
        <v>0</v>
      </c>
      <c r="AR74" s="173">
        <f t="array" ref="AR74">IFERROR(
(AVERAGE((IF(DATOS_[[Sexo]:[Sexo]]=$B74,IF(DATOS_[[AGRUP. CLAS. PROF.]:[AGRUP. CLAS. PROF.]]=$B72,IF(DATOS_[[Check Periodo Ref.]:[Check Periodo Ref.]]="Dentro",IF(DATOS_[[Check Equiparado]:[Check Equiparado]]="Sí",IF(DATOS!CC$5="Sí",(1/DATOS_[[% anualiz]:[% anualiz]]),1)*IF(DATOS!CC$4="Sí",1/DATOS_[[% normaliz]:[% normaliz]],1)*(DATOS_[C.Extra.07])))))))),
0)</f>
        <v>0</v>
      </c>
      <c r="AS74" s="173">
        <f t="array" ref="AS74">IFERROR(
(AVERAGE((IF(DATOS_[[Sexo]:[Sexo]]=$B74,IF(DATOS_[[AGRUP. CLAS. PROF.]:[AGRUP. CLAS. PROF.]]=$B72,IF(DATOS_[[Check Periodo Ref.]:[Check Periodo Ref.]]="Dentro",IF(DATOS_[[Check Equiparado]:[Check Equiparado]]="Sí",IF(DATOS!CD$5="Sí",(1/DATOS_[[% anualiz]:[% anualiz]]),1)*IF(DATOS!CD$4="Sí",1/DATOS_[[% normaliz]:[% normaliz]],1)*(DATOS_[C.Extra.08])))))))),
0)</f>
        <v>0</v>
      </c>
      <c r="AT74" s="173">
        <f t="array" ref="AT74">IFERROR(
(AVERAGE((IF(DATOS_[[Sexo]:[Sexo]]=$B74,IF(DATOS_[[AGRUP. CLAS. PROF.]:[AGRUP. CLAS. PROF.]]=$B72,IF(DATOS_[[Check Periodo Ref.]:[Check Periodo Ref.]]="Dentro",IF(DATOS_[[Check Equiparado]:[Check Equiparado]]="Sí",IF(DATOS!CG$5="Sí",(1/DATOS_[[% anualiz]:[% anualiz]]),1)*IF(DATOS!CG$4="Sí",1/DATOS_[[% normaliz]:[% normaliz]],1)*(DATOS_[C.Extra.11])))))))),
0)</f>
        <v>0</v>
      </c>
      <c r="AU74" s="197">
        <f t="array" ref="AU74">IFERROR(
AVERAGE(IF(DATOS_[Sexo]=$B74,IF(DATOS_[[AGRUP. CLAS. PROF.]:[AGRUP. CLAS. PROF.]]=$B72,IF(DATOS_[Check Equiparado]="Sí",IF(DATOS_[Check Periodo Ref.]="Dentro",DATOS_[Tot Extrasalarial Eq],FALSE))))),
0)</f>
        <v>0</v>
      </c>
      <c r="AV74" s="175">
        <f t="array" ref="AV74">IFERROR(
AVERAGE(IF(DATOS_[Sexo]=$B74,IF(DATOS_[[AGRUP. CLAS. PROF.]:[AGRUP. CLAS. PROF.]]=$B72,IF(DATOS_[Check Equiparado]="Sí",IF(DATOS_[Check Periodo Ref.]="Dentro",DATOS_[TOTAL Retrib Eq],FALSE))))),
0)</f>
        <v>0</v>
      </c>
    </row>
    <row r="75" spans="1:48" ht="15.6" hidden="1" thickBot="1" x14ac:dyDescent="0.3">
      <c r="A75" s="133" t="str">
        <f t="shared" ref="A75" si="83">+A76</f>
        <v>[ocultar]</v>
      </c>
      <c r="B75" s="199" t="s">
        <v>260</v>
      </c>
      <c r="C75" s="200"/>
      <c r="D75" s="201"/>
      <c r="E75" s="201"/>
      <c r="F75" s="201"/>
      <c r="G75" s="201"/>
      <c r="H75" s="201"/>
      <c r="I75" s="189" t="str">
        <f t="shared" ref="I75:AV75" si="84">IFERROR((I76-I77)/I76,"")</f>
        <v/>
      </c>
      <c r="J75" s="190" t="str">
        <f t="shared" si="84"/>
        <v/>
      </c>
      <c r="K75" s="191" t="str">
        <f t="shared" si="84"/>
        <v/>
      </c>
      <c r="L75" s="191" t="str">
        <f t="shared" si="84"/>
        <v/>
      </c>
      <c r="M75" s="191" t="str">
        <f t="shared" si="84"/>
        <v/>
      </c>
      <c r="N75" s="192" t="str">
        <f t="shared" si="84"/>
        <v/>
      </c>
      <c r="O75" s="193" t="str">
        <f t="shared" si="84"/>
        <v/>
      </c>
      <c r="P75" s="193" t="str">
        <f t="shared" si="84"/>
        <v/>
      </c>
      <c r="Q75" s="193" t="str">
        <f t="shared" si="84"/>
        <v/>
      </c>
      <c r="R75" s="193" t="str">
        <f t="shared" si="84"/>
        <v/>
      </c>
      <c r="S75" s="193" t="str">
        <f t="shared" si="84"/>
        <v/>
      </c>
      <c r="T75" s="193" t="str">
        <f t="shared" si="84"/>
        <v/>
      </c>
      <c r="U75" s="193" t="str">
        <f t="shared" si="84"/>
        <v/>
      </c>
      <c r="V75" s="193" t="str">
        <f t="shared" si="84"/>
        <v/>
      </c>
      <c r="W75" s="193" t="str">
        <f t="shared" si="84"/>
        <v/>
      </c>
      <c r="X75" s="193" t="str">
        <f t="shared" si="84"/>
        <v/>
      </c>
      <c r="Y75" s="193" t="str">
        <f t="shared" si="84"/>
        <v/>
      </c>
      <c r="Z75" s="193" t="str">
        <f t="shared" si="84"/>
        <v/>
      </c>
      <c r="AA75" s="193" t="str">
        <f t="shared" si="84"/>
        <v/>
      </c>
      <c r="AB75" s="193" t="str">
        <f t="shared" si="84"/>
        <v/>
      </c>
      <c r="AC75" s="193" t="str">
        <f t="shared" si="84"/>
        <v/>
      </c>
      <c r="AD75" s="193" t="str">
        <f t="shared" si="84"/>
        <v/>
      </c>
      <c r="AE75" s="193" t="str">
        <f t="shared" si="84"/>
        <v/>
      </c>
      <c r="AF75" s="193" t="str">
        <f t="shared" si="84"/>
        <v/>
      </c>
      <c r="AG75" s="193" t="str">
        <f t="shared" si="84"/>
        <v/>
      </c>
      <c r="AH75" s="193" t="str">
        <f t="shared" si="84"/>
        <v/>
      </c>
      <c r="AI75" s="193" t="str">
        <f t="shared" si="84"/>
        <v/>
      </c>
      <c r="AJ75" s="193" t="str">
        <f t="shared" si="84"/>
        <v/>
      </c>
      <c r="AK75" s="193" t="str">
        <f t="shared" si="84"/>
        <v/>
      </c>
      <c r="AL75" s="193" t="str">
        <f t="shared" si="84"/>
        <v/>
      </c>
      <c r="AM75" s="193" t="str">
        <f t="shared" si="84"/>
        <v/>
      </c>
      <c r="AN75" s="189" t="str">
        <f t="shared" si="84"/>
        <v/>
      </c>
      <c r="AO75" s="162" t="str">
        <f t="shared" si="84"/>
        <v/>
      </c>
      <c r="AP75" s="163" t="str">
        <f t="shared" si="84"/>
        <v/>
      </c>
      <c r="AQ75" s="163" t="str">
        <f t="shared" si="84"/>
        <v/>
      </c>
      <c r="AR75" s="163" t="str">
        <f t="shared" si="84"/>
        <v/>
      </c>
      <c r="AS75" s="163" t="str">
        <f t="shared" si="84"/>
        <v/>
      </c>
      <c r="AT75" s="163" t="str">
        <f t="shared" si="84"/>
        <v/>
      </c>
      <c r="AU75" s="194" t="str">
        <f t="shared" si="84"/>
        <v/>
      </c>
      <c r="AV75" s="165" t="str">
        <f t="shared" si="84"/>
        <v/>
      </c>
    </row>
    <row r="76" spans="1:48" hidden="1" x14ac:dyDescent="0.25">
      <c r="A76" s="133" t="str">
        <f t="shared" ref="A76" si="85">+IF(C76+C77=0,"[ocultar]","")</f>
        <v>[ocultar]</v>
      </c>
      <c r="B76" s="202" t="s">
        <v>394</v>
      </c>
      <c r="C76" s="203">
        <f t="array" ref="C76">SUM(IF($B76=DATOS_[Sexo],
IF($B75=DATOS_[AGRUP. CLAS. PROF.],
IF("Dentro"=DATOS_[Check Periodo Ref.],
1/(COUNTIFS(DATOS_[Sexo],$B76,DATOS_[AGRUP. CLAS. PROF.],$B75,DATOS_[Check Periodo Ref.],"Dentro",DATOS_[id/cod],DATOS_[id/cod]))))))</f>
        <v>0</v>
      </c>
      <c r="D76" s="204">
        <f>COUNTIFS(DATOS_[AGRUP. CLAS. PROF.],$B75,DATOS_[Sexo],$B76,DATOS_[Check Periodo Ref.],"Dentro")</f>
        <v>0</v>
      </c>
      <c r="E76" s="204">
        <f>COUNTIFS(DATOS_[AGRUP. CLAS. PROF.],$B75,DATOS_[Sexo],$B76,DATOS_[Check Periodo Ref.],"Dentro",DATOS_[Check Nº SC Norm],"Sí")</f>
        <v>0</v>
      </c>
      <c r="F76" s="204">
        <f>COUNTIFS(DATOS_[AGRUP. CLAS. PROF.],$B75,DATOS_[Sexo],$B76,DATOS_[Check Periodo Ref.],"Dentro",DATOS_[Check Nº SC Anualiz],"Sí")</f>
        <v>0</v>
      </c>
      <c r="G76" s="204">
        <f>COUNTIFS(DATOS_[AGRUP. CLAS. PROF.],$B75,DATOS_[Sexo],$B76,DATOS_[Check Periodo Ref.],"Dentro",DATOS_[Check Nº SC Norm y Anualiz],"Sí")</f>
        <v>0</v>
      </c>
      <c r="H76" s="204">
        <f>COUNTIFS(DATOS_[AGRUP. CLAS. PROF.],$B75,DATOS_[Sexo],$B76,DATOS_[Check Periodo Ref.],"Dentro",DATOS_[Check Equiparación],"Sí")</f>
        <v>0</v>
      </c>
      <c r="I76" s="195">
        <f t="array" ref="I76">IFERROR(
AVERAGE(IF(DATOS_[Sexo]=$B76,IF(DATOS_[[AGRUP. CLAS. PROF.]:[AGRUP. CLAS. PROF.]]=$B75,IF(DATOS_[Check Equiparado]="Sí",IF(DATOS_[Check Periodo Ref.]="Dentro",DATOS_[SALARIO BASE Eq],FALSE))))),
0)</f>
        <v>0</v>
      </c>
      <c r="J76" s="196">
        <f t="array" ref="J76">IFERROR(
(AVERAGE((IF(DATOS_[[Sexo]:[Sexo]]=$B76,IF(DATOS_[[AGRUP. CLAS. PROF.]:[AGRUP. CLAS. PROF.]]=$B75,IF(DATOS_[[Check Periodo Ref.]:[Check Periodo Ref.]]="Dentro",IF(DATOS_[[Check Equiparado]:[Check Equiparado]]="Sí",IF(DATOS!AE$5="Sí",(1/DATOS_[[% anualiz]:[% anualiz]]),1)*IF(DATOS!AE$4="Sí",1/DATOS_[[% normaliz]:[% normaliz]],1)*(DATOS_[Conc.Sal.01])))))))),
0)</f>
        <v>0</v>
      </c>
      <c r="K76" s="196">
        <f t="array" ref="K76">IFERROR(
(AVERAGE((IF(DATOS_[[Sexo]:[Sexo]]=$B76,IF(DATOS_[[AGRUP. CLAS. PROF.]:[AGRUP. CLAS. PROF.]]=$B75,IF(DATOS_[[Check Periodo Ref.]:[Check Periodo Ref.]]="Dentro",IF(DATOS_[[Check Equiparado]:[Check Equiparado]]="Sí",IF(DATOS!AF$5="Sí",(1/DATOS_[[% anualiz]:[% anualiz]]),1)*IF(DATOS!AF$4="Sí",1/DATOS_[[% normaliz]:[% normaliz]],1)*(DATOS_[Conc.Sal.02])))))))),
0)</f>
        <v>0</v>
      </c>
      <c r="L76" s="196">
        <f t="array" ref="L76">IFERROR(
(AVERAGE((IF(DATOS_[[Sexo]:[Sexo]]=$B76,IF(DATOS_[[AGRUP. CLAS. PROF.]:[AGRUP. CLAS. PROF.]]=$B75,IF(DATOS_[[Check Periodo Ref.]:[Check Periodo Ref.]]="Dentro",IF(DATOS_[[Check Equiparado]:[Check Equiparado]]="Sí",IF(DATOS!AG$5="Sí",(1/DATOS_[[% anualiz]:[% anualiz]]),1)*IF(DATOS!AG$4="Sí",1/DATOS_[[% normaliz]:[% normaliz]],1)*(DATOS_[Conc.Sal.03])))))))),
0)</f>
        <v>0</v>
      </c>
      <c r="M76" s="196">
        <f t="array" ref="M76">IFERROR(
(AVERAGE((IF(DATOS_[[Sexo]:[Sexo]]=$B76,IF(DATOS_[[AGRUP. CLAS. PROF.]:[AGRUP. CLAS. PROF.]]=$B75,IF(DATOS_[[Check Periodo Ref.]:[Check Periodo Ref.]]="Dentro",IF(DATOS_[[Check Equiparado]:[Check Equiparado]]="Sí",IF(DATOS!AH$5="Sí",(1/DATOS_[[% anualiz]:[% anualiz]]),1)*IF(DATOS!AH$4="Sí",1/DATOS_[[% normaliz]:[% normaliz]],1)*(DATOS_[Conc.Sal.04])))))))),
0)</f>
        <v>0</v>
      </c>
      <c r="N76" s="196">
        <f t="array" ref="N76">IFERROR(
(AVERAGE((IF(DATOS_[[Sexo]:[Sexo]]=$B76,IF(DATOS_[[AGRUP. CLAS. PROF.]:[AGRUP. CLAS. PROF.]]=$B75,IF(DATOS_[[Check Periodo Ref.]:[Check Periodo Ref.]]="Dentro",IF(DATOS_[[Check Equiparado]:[Check Equiparado]]="Sí",IF(DATOS!AI$5="Sí",(1/DATOS_[[% anualiz]:[% anualiz]]),1)*IF(DATOS!AI$4="Sí",1/DATOS_[[% normaliz]:[% normaliz]],1)*(DATOS_[Conc.Sal.05])))))))),
0)</f>
        <v>0</v>
      </c>
      <c r="O76" s="196">
        <f t="array" ref="O76">IFERROR(
(AVERAGE((IF(DATOS_[[Sexo]:[Sexo]]=$B76,IF(DATOS_[[AGRUP. CLAS. PROF.]:[AGRUP. CLAS. PROF.]]=$B75,IF(DATOS_[[Check Periodo Ref.]:[Check Periodo Ref.]]="Dentro",IF(DATOS_[[Check Equiparado]:[Check Equiparado]]="Sí",IF(DATOS!AJ$5="Sí",(1/DATOS_[[% anualiz]:[% anualiz]]),1)*IF(DATOS!AJ$4="Sí",1/DATOS_[[% normaliz]:[% normaliz]],1)*(DATOS_[Conc.Sal.06])))))))),
0)</f>
        <v>0</v>
      </c>
      <c r="P76" s="196">
        <f t="array" ref="P76">IFERROR(
(AVERAGE((IF(DATOS_[[Sexo]:[Sexo]]=$B76,IF(DATOS_[[AGRUP. CLAS. PROF.]:[AGRUP. CLAS. PROF.]]=$B75,IF(DATOS_[[Check Periodo Ref.]:[Check Periodo Ref.]]="Dentro",IF(DATOS_[[Check Equiparado]:[Check Equiparado]]="Sí",IF(DATOS!AK$5="Sí",(1/DATOS_[[% anualiz]:[% anualiz]]),1)*IF(DATOS!AK$4="Sí",1/DATOS_[[% normaliz]:[% normaliz]],1)*(DATOS_[Conc.Sal.07])))))))),
0)</f>
        <v>0</v>
      </c>
      <c r="Q76" s="196">
        <f t="array" ref="Q76">IFERROR(
(AVERAGE((IF(DATOS_[[Sexo]:[Sexo]]=$B76,IF(DATOS_[[AGRUP. CLAS. PROF.]:[AGRUP. CLAS. PROF.]]=$B75,IF(DATOS_[[Check Periodo Ref.]:[Check Periodo Ref.]]="Dentro",IF(DATOS_[[Check Equiparado]:[Check Equiparado]]="Sí",IF(DATOS!AL$5="Sí",(1/DATOS_[[% anualiz]:[% anualiz]]),1)*IF(DATOS!AL$4="Sí",1/DATOS_[[% normaliz]:[% normaliz]],1)*(DATOS_[Conc.Sal.08])))))))),
0)</f>
        <v>0</v>
      </c>
      <c r="R76" s="196">
        <f t="array" ref="R76">IFERROR(
(AVERAGE((IF(DATOS_[[Sexo]:[Sexo]]=$B76,IF(DATOS_[[AGRUP. CLAS. PROF.]:[AGRUP. CLAS. PROF.]]=$B75,IF(DATOS_[[Check Periodo Ref.]:[Check Periodo Ref.]]="Dentro",IF(DATOS_[[Check Equiparado]:[Check Equiparado]]="Sí",IF(DATOS!AM$5="Sí",(1/DATOS_[[% anualiz]:[% anualiz]]),1)*IF(DATOS!AM$4="Sí",1/DATOS_[[% normaliz]:[% normaliz]],1)*(DATOS_[Conc.Sal.09])))))))),
0)</f>
        <v>0</v>
      </c>
      <c r="S76" s="196">
        <f t="array" ref="S76">IFERROR(
(AVERAGE((IF(DATOS_[[Sexo]:[Sexo]]=$B76,IF(DATOS_[[AGRUP. CLAS. PROF.]:[AGRUP. CLAS. PROF.]]=$B75,IF(DATOS_[[Check Periodo Ref.]:[Check Periodo Ref.]]="Dentro",IF(DATOS_[[Check Equiparado]:[Check Equiparado]]="Sí",IF(DATOS!AN$5="Sí",(1/DATOS_[[% anualiz]:[% anualiz]]),1)*IF(DATOS!AN$4="Sí",1/DATOS_[[% normaliz]:[% normaliz]],1)*(DATOS_[Conc.Sal.10])))))))),
0)</f>
        <v>0</v>
      </c>
      <c r="T76" s="196">
        <f t="array" ref="T76">IFERROR(
(AVERAGE((IF(DATOS_[[Sexo]:[Sexo]]=$B76,IF(DATOS_[[AGRUP. CLAS. PROF.]:[AGRUP. CLAS. PROF.]]=$B75,IF(DATOS_[[Check Periodo Ref.]:[Check Periodo Ref.]]="Dentro",IF(DATOS_[[Check Equiparado]:[Check Equiparado]]="Sí",IF(DATOS!AO$5="Sí",(1/DATOS_[[% anualiz]:[% anualiz]]),1)*IF(DATOS!AO$4="Sí",1/DATOS_[[% normaliz]:[% normaliz]],1)*(DATOS_[Conc.Sal.11])))))))),
0)</f>
        <v>0</v>
      </c>
      <c r="U76" s="196">
        <f t="array" ref="U76">IFERROR(
(AVERAGE((IF(DATOS_[[Sexo]:[Sexo]]=$B76,IF(DATOS_[[AGRUP. CLAS. PROF.]:[AGRUP. CLAS. PROF.]]=$B75,IF(DATOS_[[Check Periodo Ref.]:[Check Periodo Ref.]]="Dentro",IF(DATOS_[[Check Equiparado]:[Check Equiparado]]="Sí",IF(DATOS!AP$5="Sí",(1/DATOS_[[% anualiz]:[% anualiz]]),1)*IF(DATOS!AP$4="Sí",1/DATOS_[[% normaliz]:[% normaliz]],1)*(DATOS_[Conc.Sal.12])))))))),
0)</f>
        <v>0</v>
      </c>
      <c r="V76" s="196">
        <f t="array" ref="V76">IFERROR(
(AVERAGE((IF(DATOS_[[Sexo]:[Sexo]]=$B76,IF(DATOS_[[AGRUP. CLAS. PROF.]:[AGRUP. CLAS. PROF.]]=$B75,IF(DATOS_[[Check Periodo Ref.]:[Check Periodo Ref.]]="Dentro",IF(DATOS_[[Check Equiparado]:[Check Equiparado]]="Sí",IF(DATOS!AQ$5="Sí",(1/DATOS_[[% anualiz]:[% anualiz]]),1)*IF(DATOS!AQ$4="Sí",1/DATOS_[[% normaliz]:[% normaliz]],1)*(DATOS_[Conc.Sal.13])))))))),
0)</f>
        <v>0</v>
      </c>
      <c r="W76" s="196">
        <f t="array" ref="W76">IFERROR(
(AVERAGE((IF(DATOS_[[Sexo]:[Sexo]]=$B76,IF(DATOS_[[AGRUP. CLAS. PROF.]:[AGRUP. CLAS. PROF.]]=$B75,IF(DATOS_[[Check Periodo Ref.]:[Check Periodo Ref.]]="Dentro",IF(DATOS_[[Check Equiparado]:[Check Equiparado]]="Sí",IF(DATOS!AR$5="Sí",(1/DATOS_[[% anualiz]:[% anualiz]]),1)*IF(DATOS!AR$4="Sí",1/DATOS_[[% normaliz]:[% normaliz]],1)*(DATOS_[Conc.Sal.14])))))))),
0)</f>
        <v>0</v>
      </c>
      <c r="X76" s="196">
        <f t="array" ref="X76">IFERROR(
(AVERAGE((IF(DATOS_[[Sexo]:[Sexo]]=$B76,IF(DATOS_[[AGRUP. CLAS. PROF.]:[AGRUP. CLAS. PROF.]]=$B75,IF(DATOS_[[Check Periodo Ref.]:[Check Periodo Ref.]]="Dentro",IF(DATOS_[[Check Equiparado]:[Check Equiparado]]="Sí",IF(DATOS!AS$5="Sí",(1/DATOS_[[% anualiz]:[% anualiz]]),1)*IF(DATOS!AS$4="Sí",1/DATOS_[[% normaliz]:[% normaliz]],1)*(DATOS_[Conc.Sal.15])))))))),
0)</f>
        <v>0</v>
      </c>
      <c r="Y76" s="196">
        <f t="array" ref="Y76">IFERROR(
(AVERAGE((IF(DATOS_[[Sexo]:[Sexo]]=$B76,IF(DATOS_[[AGRUP. CLAS. PROF.]:[AGRUP. CLAS. PROF.]]=$B75,IF(DATOS_[[Check Periodo Ref.]:[Check Periodo Ref.]]="Dentro",IF(DATOS_[[Check Equiparado]:[Check Equiparado]]="Sí",IF(DATOS!AT$5="Sí",(1/DATOS_[[% anualiz]:[% anualiz]]),1)*IF(DATOS!AT$4="Sí",1/DATOS_[[% normaliz]:[% normaliz]],1)*(DATOS_[Conc.Sal.16])))))))),
0)</f>
        <v>0</v>
      </c>
      <c r="Z76" s="196">
        <f t="array" ref="Z76">IFERROR(
(AVERAGE((IF(DATOS_[[Sexo]:[Sexo]]=$B76,IF(DATOS_[[AGRUP. CLAS. PROF.]:[AGRUP. CLAS. PROF.]]=$B75,IF(DATOS_[[Check Periodo Ref.]:[Check Periodo Ref.]]="Dentro",IF(DATOS_[[Check Equiparado]:[Check Equiparado]]="Sí",IF(DATOS!AU$5="Sí",(1/DATOS_[[% anualiz]:[% anualiz]]),1)*IF(DATOS!AU$4="Sí",1/DATOS_[[% normaliz]:[% normaliz]],1)*(DATOS_[Conc.Sal.17])))))))),
0)</f>
        <v>0</v>
      </c>
      <c r="AA76" s="196">
        <f t="array" ref="AA76">IFERROR(
(AVERAGE((IF(DATOS_[[Sexo]:[Sexo]]=$B76,IF(DATOS_[[AGRUP. CLAS. PROF.]:[AGRUP. CLAS. PROF.]]=$B75,IF(DATOS_[[Check Periodo Ref.]:[Check Periodo Ref.]]="Dentro",IF(DATOS_[[Check Equiparado]:[Check Equiparado]]="Sí",IF(DATOS!AV$5="Sí",(1/DATOS_[[% anualiz]:[% anualiz]]),1)*IF(DATOS!AV$4="Sí",1/DATOS_[[% normaliz]:[% normaliz]],1)*(DATOS_[Conc.Sal.18])))))))),
0)</f>
        <v>0</v>
      </c>
      <c r="AB76" s="196">
        <f t="array" ref="AB76">IFERROR(
(AVERAGE((IF(DATOS_[[Sexo]:[Sexo]]=$B76,IF(DATOS_[[AGRUP. CLAS. PROF.]:[AGRUP. CLAS. PROF.]]=$B75,IF(DATOS_[[Check Periodo Ref.]:[Check Periodo Ref.]]="Dentro",IF(DATOS_[[Check Equiparado]:[Check Equiparado]]="Sí",IF(DATOS!AW$5="Sí",(1/DATOS_[[% anualiz]:[% anualiz]]),1)*IF(DATOS!AW$4="Sí",1/DATOS_[[% normaliz]:[% normaliz]],1)*(DATOS_[Conc.Sal.19])))))))),
0)</f>
        <v>0</v>
      </c>
      <c r="AC76" s="196">
        <f t="array" ref="AC76">IFERROR(
(AVERAGE((IF(DATOS_[[Sexo]:[Sexo]]=$B76,IF(DATOS_[[AGRUP. CLAS. PROF.]:[AGRUP. CLAS. PROF.]]=$B75,IF(DATOS_[[Check Periodo Ref.]:[Check Periodo Ref.]]="Dentro",IF(DATOS_[[Check Equiparado]:[Check Equiparado]]="Sí",IF(DATOS!AX$5="Sí",(1/DATOS_[[% anualiz]:[% anualiz]]),1)*IF(DATOS!AX$4="Sí",1/DATOS_[[% normaliz]:[% normaliz]],1)*(DATOS_[Conc.Sal.20])))))))),
0)</f>
        <v>0</v>
      </c>
      <c r="AD76" s="196">
        <f t="array" ref="AD76">IFERROR(
(AVERAGE((IF(DATOS_[[Sexo]:[Sexo]]=$B76,IF(DATOS_[[AGRUP. CLAS. PROF.]:[AGRUP. CLAS. PROF.]]=$B75,IF(DATOS_[[Check Periodo Ref.]:[Check Periodo Ref.]]="Dentro",IF(DATOS_[[Check Equiparado]:[Check Equiparado]]="Sí",IF(DATOS!AY$5="Sí",(1/DATOS_[[% anualiz]:[% anualiz]]),1)*IF(DATOS!AY$4="Sí",1/DATOS_[[% normaliz]:[% normaliz]],1)*(DATOS_[Conc.Sal.21])))))))),
0)</f>
        <v>0</v>
      </c>
      <c r="AE76" s="196">
        <f t="array" ref="AE76">IFERROR(
(AVERAGE((IF(DATOS_[[Sexo]:[Sexo]]=$B76,IF(DATOS_[[AGRUP. CLAS. PROF.]:[AGRUP. CLAS. PROF.]]=$B75,IF(DATOS_[[Check Periodo Ref.]:[Check Periodo Ref.]]="Dentro",IF(DATOS_[[Check Equiparado]:[Check Equiparado]]="Sí",IF(DATOS!AZ$5="Sí",(1/DATOS_[[% anualiz]:[% anualiz]]),1)*IF(DATOS!AZ$4="Sí",1/DATOS_[[% normaliz]:[% normaliz]],1)*(DATOS_[Conc.Sal.22])))))))),
0)</f>
        <v>0</v>
      </c>
      <c r="AF76" s="196">
        <f t="array" ref="AF76">IFERROR(
(AVERAGE((IF(DATOS_[[Sexo]:[Sexo]]=$B76,IF(DATOS_[[AGRUP. CLAS. PROF.]:[AGRUP. CLAS. PROF.]]=$B75,IF(DATOS_[[Check Periodo Ref.]:[Check Periodo Ref.]]="Dentro",IF(DATOS_[[Check Equiparado]:[Check Equiparado]]="Sí",IF(DATOS!BA$5="Sí",(1/DATOS_[[% anualiz]:[% anualiz]]),1)*IF(DATOS!BA$4="Sí",1/DATOS_[[% normaliz]:[% normaliz]],1)*(DATOS_[Conc.Sal.23])))))))),
0)</f>
        <v>0</v>
      </c>
      <c r="AG76" s="196">
        <f t="array" ref="AG76">IFERROR(
(AVERAGE((IF(DATOS_[[Sexo]:[Sexo]]=$B76,IF(DATOS_[[AGRUP. CLAS. PROF.]:[AGRUP. CLAS. PROF.]]=$B75,IF(DATOS_[[Check Periodo Ref.]:[Check Periodo Ref.]]="Dentro",IF(DATOS_[[Check Equiparado]:[Check Equiparado]]="Sí",IF(DATOS!BB$5="Sí",(1/DATOS_[[% anualiz]:[% anualiz]]),1)*IF(DATOS!BB$4="Sí",1/DATOS_[[% normaliz]:[% normaliz]],1)*(DATOS_[Conc.Sal.24])))))))),
0)</f>
        <v>0</v>
      </c>
      <c r="AH76" s="196">
        <f t="array" ref="AH76">IFERROR(
(AVERAGE((IF(DATOS_[[Sexo]:[Sexo]]=$B76,IF(DATOS_[[AGRUP. CLAS. PROF.]:[AGRUP. CLAS. PROF.]]=$B75,IF(DATOS_[[Check Periodo Ref.]:[Check Periodo Ref.]]="Dentro",IF(DATOS_[[Check Equiparado]:[Check Equiparado]]="Sí",IF(DATOS!BC$5="Sí",(1/DATOS_[[% anualiz]:[% anualiz]]),1)*IF(DATOS!BC$4="Sí",1/DATOS_[[% normaliz]:[% normaliz]],1)*(DATOS_[Conc.Sal.25])))))))),
0)</f>
        <v>0</v>
      </c>
      <c r="AI76" s="196">
        <f t="array" ref="AI76">IFERROR(
(AVERAGE((IF(DATOS_[[Sexo]:[Sexo]]=$B76,IF(DATOS_[[AGRUP. CLAS. PROF.]:[AGRUP. CLAS. PROF.]]=$B75,IF(DATOS_[[Check Periodo Ref.]:[Check Periodo Ref.]]="Dentro",IF(DATOS_[[Check Equiparado]:[Check Equiparado]]="Sí",IF(DATOS!BD$5="Sí",(1/DATOS_[[% anualiz]:[% anualiz]]),1)*IF(DATOS!BD$4="Sí",1/DATOS_[[% normaliz]:[% normaliz]],1)*(DATOS_[Conc.Sal.26])))))))),
0)</f>
        <v>0</v>
      </c>
      <c r="AJ76" s="196">
        <f t="array" ref="AJ76">IFERROR(
(AVERAGE((IF(DATOS_[[Sexo]:[Sexo]]=$B76,IF(DATOS_[[AGRUP. CLAS. PROF.]:[AGRUP. CLAS. PROF.]]=$B75,IF(DATOS_[[Check Periodo Ref.]:[Check Periodo Ref.]]="Dentro",IF(DATOS_[[Check Equiparado]:[Check Equiparado]]="Sí",IF(DATOS!BE$5="Sí",(1/DATOS_[[% anualiz]:[% anualiz]]),1)*IF(DATOS!BE$4="Sí",1/DATOS_[[% normaliz]:[% normaliz]],1)*(DATOS_[Conc.Sal.27])))))))),
0)</f>
        <v>0</v>
      </c>
      <c r="AK76" s="196">
        <f t="array" ref="AK76">IFERROR(
(AVERAGE((IF(DATOS_[[Sexo]:[Sexo]]=$B76,IF(DATOS_[[AGRUP. CLAS. PROF.]:[AGRUP. CLAS. PROF.]]=$B75,IF(DATOS_[[Check Periodo Ref.]:[Check Periodo Ref.]]="Dentro",IF(DATOS_[[Check Equiparado]:[Check Equiparado]]="Sí",IF(DATOS!BF$5="Sí",(1/DATOS_[[% anualiz]:[% anualiz]]),1)*IF(DATOS!BF$4="Sí",1/DATOS_[[% normaliz]:[% normaliz]],1)*(DATOS_[Conc.Sal.28])))))))),
0)</f>
        <v>0</v>
      </c>
      <c r="AL76" s="196">
        <f t="array" ref="AL76">IFERROR(
(AVERAGE((IF(DATOS_[[Sexo]:[Sexo]]=$B76,IF(DATOS_[[AGRUP. CLAS. PROF.]:[AGRUP. CLAS. PROF.]]=$B75,IF(DATOS_[[Check Periodo Ref.]:[Check Periodo Ref.]]="Dentro",IF(DATOS_[[Check Equiparado]:[Check Equiparado]]="Sí",IF(DATOS!BG$5="Sí",(1/DATOS_[[% anualiz]:[% anualiz]]),1)*IF(DATOS!BG$4="Sí",1/DATOS_[[% normaliz]:[% normaliz]],1)*(DATOS_[Conc.Sal.29])))))))),
0)</f>
        <v>0</v>
      </c>
      <c r="AM76" s="196">
        <f t="array" ref="AM76">IFERROR(
(AVERAGE((IF(DATOS_[[Sexo]:[Sexo]]=$B76,IF(DATOS_[[AGRUP. CLAS. PROF.]:[AGRUP. CLAS. PROF.]]=$B75,IF(DATOS_[[Check Periodo Ref.]:[Check Periodo Ref.]]="Dentro",IF(DATOS_[[Check Equiparado]:[Check Equiparado]]="Sí",IF(DATOS!BH$5="Sí",(1/DATOS_[[% anualiz]:[% anualiz]]),1)*IF(DATOS!BH$4="Sí",1/DATOS_[[% normaliz]:[% normaliz]],1)*(DATOS_[Conc.Sal.30])))))))),
0)</f>
        <v>0</v>
      </c>
      <c r="AN76" s="195">
        <f t="array" ref="AN76">IFERROR(
AVERAGE(IF(DATOS_[Sexo]=$B76,IF(DATOS_[[AGRUP. CLAS. PROF.]:[AGRUP. CLAS. PROF.]]=$B75,IF(DATOS_[Check Equiparado]="Sí",IF(DATOS_[Check Periodo Ref.]="Dentro",DATOS_[Tot COMPL.SAL Eq],FALSE))))),
0)</f>
        <v>0</v>
      </c>
      <c r="AO76" s="172">
        <f t="array" ref="AO76">IFERROR(
AVERAGE(IF(DATOS_[Sexo]=$B76,IF(DATOS_[[AGRUP. CLAS. PROF.]:[AGRUP. CLAS. PROF.]]=$B75,IF(DATOS_[Check Equiparado]="Sí",IF(DATOS_[Check Periodo Ref.]="Dentro",DATOS_[TOTAL SALARIO Eq],FALSE))))),
0)</f>
        <v>0</v>
      </c>
      <c r="AP76" s="173">
        <f t="array" ref="AP76">IFERROR(
(AVERAGE((IF(DATOS_[[Sexo]:[Sexo]]=$B76,IF(DATOS_[[AGRUP. CLAS. PROF.]:[AGRUP. CLAS. PROF.]]=$B75,IF(DATOS_[[Check Periodo Ref.]:[Check Periodo Ref.]]="Dentro",IF(DATOS_[[Check Equiparado]:[Check Equiparado]]="Sí",IF(DATOS!BW$5="Sí",(1/DATOS_[[% anualiz]:[% anualiz]]),1)*IF(DATOS!BW$4="Sí",1/DATOS_[[% normaliz]:[% normaliz]],1)*(DATOS_[C.Extra.01])))))))),
0)</f>
        <v>0</v>
      </c>
      <c r="AQ76" s="173">
        <f t="array" ref="AQ76">IFERROR(
(AVERAGE((IF(DATOS_[[Sexo]:[Sexo]]=$B76,IF(DATOS_[[AGRUP. CLAS. PROF.]:[AGRUP. CLAS. PROF.]]=$B75,IF(DATOS_[[Check Periodo Ref.]:[Check Periodo Ref.]]="Dentro",IF(DATOS_[[Check Equiparado]:[Check Equiparado]]="Sí",IF(DATOS!CB$5="Sí",(1/DATOS_[[% anualiz]:[% anualiz]]),1)*IF(DATOS!CB$4="Sí",1/DATOS_[[% normaliz]:[% normaliz]],1)*(DATOS_[C.Extra.06])))))))),
0)</f>
        <v>0</v>
      </c>
      <c r="AR76" s="173">
        <f t="array" ref="AR76">IFERROR(
(AVERAGE((IF(DATOS_[[Sexo]:[Sexo]]=$B76,IF(DATOS_[[AGRUP. CLAS. PROF.]:[AGRUP. CLAS. PROF.]]=$B75,IF(DATOS_[[Check Periodo Ref.]:[Check Periodo Ref.]]="Dentro",IF(DATOS_[[Check Equiparado]:[Check Equiparado]]="Sí",IF(DATOS!CC$5="Sí",(1/DATOS_[[% anualiz]:[% anualiz]]),1)*IF(DATOS!CC$4="Sí",1/DATOS_[[% normaliz]:[% normaliz]],1)*(DATOS_[C.Extra.07])))))))),
0)</f>
        <v>0</v>
      </c>
      <c r="AS76" s="173">
        <f t="array" ref="AS76">IFERROR(
(AVERAGE((IF(DATOS_[[Sexo]:[Sexo]]=$B76,IF(DATOS_[[AGRUP. CLAS. PROF.]:[AGRUP. CLAS. PROF.]]=$B75,IF(DATOS_[[Check Periodo Ref.]:[Check Periodo Ref.]]="Dentro",IF(DATOS_[[Check Equiparado]:[Check Equiparado]]="Sí",IF(DATOS!CD$5="Sí",(1/DATOS_[[% anualiz]:[% anualiz]]),1)*IF(DATOS!CD$4="Sí",1/DATOS_[[% normaliz]:[% normaliz]],1)*(DATOS_[C.Extra.08])))))))),
0)</f>
        <v>0</v>
      </c>
      <c r="AT76" s="173">
        <f t="array" ref="AT76">IFERROR(
(AVERAGE((IF(DATOS_[[Sexo]:[Sexo]]=$B76,IF(DATOS_[[AGRUP. CLAS. PROF.]:[AGRUP. CLAS. PROF.]]=$B75,IF(DATOS_[[Check Periodo Ref.]:[Check Periodo Ref.]]="Dentro",IF(DATOS_[[Check Equiparado]:[Check Equiparado]]="Sí",IF(DATOS!CG$5="Sí",(1/DATOS_[[% anualiz]:[% anualiz]]),1)*IF(DATOS!CG$4="Sí",1/DATOS_[[% normaliz]:[% normaliz]],1)*(DATOS_[C.Extra.11])))))))),
0)</f>
        <v>0</v>
      </c>
      <c r="AU76" s="197">
        <f t="array" ref="AU76">IFERROR(
AVERAGE(IF(DATOS_[Sexo]=$B76,IF(DATOS_[[AGRUP. CLAS. PROF.]:[AGRUP. CLAS. PROF.]]=$B75,IF(DATOS_[Check Equiparado]="Sí",IF(DATOS_[Check Periodo Ref.]="Dentro",DATOS_[Tot Extrasalarial Eq],FALSE))))),
0)</f>
        <v>0</v>
      </c>
      <c r="AV76" s="175">
        <f t="array" ref="AV76">IFERROR(
AVERAGE(IF(DATOS_[Sexo]=$B76,IF(DATOS_[[AGRUP. CLAS. PROF.]:[AGRUP. CLAS. PROF.]]=$B75,IF(DATOS_[Check Equiparado]="Sí",IF(DATOS_[Check Periodo Ref.]="Dentro",DATOS_[TOTAL Retrib Eq],FALSE))))),
0)</f>
        <v>0</v>
      </c>
    </row>
    <row r="77" spans="1:48" hidden="1" x14ac:dyDescent="0.25">
      <c r="A77" s="133" t="str">
        <f t="shared" ref="A77" si="86">+A76</f>
        <v>[ocultar]</v>
      </c>
      <c r="B77" s="202" t="s">
        <v>521</v>
      </c>
      <c r="C77" s="203">
        <f t="array" ref="C77">SUM(IF($B77=DATOS_[Sexo],
IF($B75=DATOS_[AGRUP. CLAS. PROF.],
IF("Dentro"=DATOS_[Check Periodo Ref.],
1/(COUNTIFS(DATOS_[Sexo],$B77,DATOS_[AGRUP. CLAS. PROF.],$B75,DATOS_[Check Periodo Ref.],"Dentro",DATOS_[id/cod],DATOS_[id/cod]))))))</f>
        <v>0</v>
      </c>
      <c r="D77" s="204">
        <f>COUNTIFS(DATOS_[AGRUP. CLAS. PROF.],$B75,DATOS_[Sexo],$B77,DATOS_[Check Periodo Ref.],"Dentro")</f>
        <v>0</v>
      </c>
      <c r="E77" s="204">
        <f>COUNTIFS(DATOS_[AGRUP. CLAS. PROF.],$B75,DATOS_[Sexo],$B77,DATOS_[Check Periodo Ref.],"Dentro",DATOS_[Check Nº SC Norm],"Sí")</f>
        <v>0</v>
      </c>
      <c r="F77" s="204">
        <f>COUNTIFS(DATOS_[AGRUP. CLAS. PROF.],$B75,DATOS_[Sexo],$B77,DATOS_[Check Periodo Ref.],"Dentro",DATOS_[Check Nº SC Anualiz],"Sí")</f>
        <v>0</v>
      </c>
      <c r="G77" s="204">
        <f>COUNTIFS(DATOS_[AGRUP. CLAS. PROF.],$B75,DATOS_[Sexo],$B77,DATOS_[Check Periodo Ref.],"Dentro",DATOS_[Check Nº SC Norm y Anualiz],"Sí")</f>
        <v>0</v>
      </c>
      <c r="H77" s="204">
        <f>COUNTIFS(DATOS_[AGRUP. CLAS. PROF.],$B75,DATOS_[Sexo],$B77,DATOS_[Check Periodo Ref.],"Dentro",DATOS_[Check Equiparación],"Sí")</f>
        <v>0</v>
      </c>
      <c r="I77" s="195" cm="1">
        <f t="array" ref="I77">IFERROR(
AVERAGE(IF(DATOS_[Sexo]=$B77,IF(DATOS_[[AGRUP. CLAS. PROF.]:[AGRUP. CLAS. PROF.]]=$B75,IF(DATOS_[Check Equiparado]="Sí",IF(DATOS_[Check Periodo Ref.]="Dentro",DATOS_[SALARIO BASE Eq],FALSE))))),
0)</f>
        <v>0</v>
      </c>
      <c r="J77" s="196">
        <f t="array" ref="J77">IFERROR(
(AVERAGE((IF(DATOS_[[Sexo]:[Sexo]]=$B77,IF(DATOS_[[AGRUP. CLAS. PROF.]:[AGRUP. CLAS. PROF.]]=$B75,IF(DATOS_[[Check Periodo Ref.]:[Check Periodo Ref.]]="Dentro",IF(DATOS_[[Check Equiparado]:[Check Equiparado]]="Sí",IF(DATOS!AE$5="Sí",(1/DATOS_[[% anualiz]:[% anualiz]]),1)*IF(DATOS!AE$4="Sí",1/DATOS_[[% normaliz]:[% normaliz]],1)*(DATOS_[Conc.Sal.01])))))))),
0)</f>
        <v>0</v>
      </c>
      <c r="K77" s="196">
        <f t="array" ref="K77">IFERROR(
(AVERAGE((IF(DATOS_[[Sexo]:[Sexo]]=$B77,IF(DATOS_[[AGRUP. CLAS. PROF.]:[AGRUP. CLAS. PROF.]]=$B75,IF(DATOS_[[Check Periodo Ref.]:[Check Periodo Ref.]]="Dentro",IF(DATOS_[[Check Equiparado]:[Check Equiparado]]="Sí",IF(DATOS!AF$5="Sí",(1/DATOS_[[% anualiz]:[% anualiz]]),1)*IF(DATOS!AF$4="Sí",1/DATOS_[[% normaliz]:[% normaliz]],1)*(DATOS_[Conc.Sal.02])))))))),
0)</f>
        <v>0</v>
      </c>
      <c r="L77" s="196">
        <f t="array" ref="L77">IFERROR(
(AVERAGE((IF(DATOS_[[Sexo]:[Sexo]]=$B77,IF(DATOS_[[AGRUP. CLAS. PROF.]:[AGRUP. CLAS. PROF.]]=$B75,IF(DATOS_[[Check Periodo Ref.]:[Check Periodo Ref.]]="Dentro",IF(DATOS_[[Check Equiparado]:[Check Equiparado]]="Sí",IF(DATOS!AG$5="Sí",(1/DATOS_[[% anualiz]:[% anualiz]]),1)*IF(DATOS!AG$4="Sí",1/DATOS_[[% normaliz]:[% normaliz]],1)*(DATOS_[Conc.Sal.03])))))))),
0)</f>
        <v>0</v>
      </c>
      <c r="M77" s="196">
        <f t="array" ref="M77">IFERROR(
(AVERAGE((IF(DATOS_[[Sexo]:[Sexo]]=$B77,IF(DATOS_[[AGRUP. CLAS. PROF.]:[AGRUP. CLAS. PROF.]]=$B75,IF(DATOS_[[Check Periodo Ref.]:[Check Periodo Ref.]]="Dentro",IF(DATOS_[[Check Equiparado]:[Check Equiparado]]="Sí",IF(DATOS!AH$5="Sí",(1/DATOS_[[% anualiz]:[% anualiz]]),1)*IF(DATOS!AH$4="Sí",1/DATOS_[[% normaliz]:[% normaliz]],1)*(DATOS_[Conc.Sal.04])))))))),
0)</f>
        <v>0</v>
      </c>
      <c r="N77" s="196">
        <f t="array" ref="N77">IFERROR(
(AVERAGE((IF(DATOS_[[Sexo]:[Sexo]]=$B77,IF(DATOS_[[AGRUP. CLAS. PROF.]:[AGRUP. CLAS. PROF.]]=$B75,IF(DATOS_[[Check Periodo Ref.]:[Check Periodo Ref.]]="Dentro",IF(DATOS_[[Check Equiparado]:[Check Equiparado]]="Sí",IF(DATOS!AI$5="Sí",(1/DATOS_[[% anualiz]:[% anualiz]]),1)*IF(DATOS!AI$4="Sí",1/DATOS_[[% normaliz]:[% normaliz]],1)*(DATOS_[Conc.Sal.05])))))))),
0)</f>
        <v>0</v>
      </c>
      <c r="O77" s="196">
        <f t="array" ref="O77">IFERROR(
(AVERAGE((IF(DATOS_[[Sexo]:[Sexo]]=$B77,IF(DATOS_[[AGRUP. CLAS. PROF.]:[AGRUP. CLAS. PROF.]]=$B75,IF(DATOS_[[Check Periodo Ref.]:[Check Periodo Ref.]]="Dentro",IF(DATOS_[[Check Equiparado]:[Check Equiparado]]="Sí",IF(DATOS!AJ$5="Sí",(1/DATOS_[[% anualiz]:[% anualiz]]),1)*IF(DATOS!AJ$4="Sí",1/DATOS_[[% normaliz]:[% normaliz]],1)*(DATOS_[Conc.Sal.06])))))))),
0)</f>
        <v>0</v>
      </c>
      <c r="P77" s="196">
        <f t="array" ref="P77">IFERROR(
(AVERAGE((IF(DATOS_[[Sexo]:[Sexo]]=$B77,IF(DATOS_[[AGRUP. CLAS. PROF.]:[AGRUP. CLAS. PROF.]]=$B75,IF(DATOS_[[Check Periodo Ref.]:[Check Periodo Ref.]]="Dentro",IF(DATOS_[[Check Equiparado]:[Check Equiparado]]="Sí",IF(DATOS!AK$5="Sí",(1/DATOS_[[% anualiz]:[% anualiz]]),1)*IF(DATOS!AK$4="Sí",1/DATOS_[[% normaliz]:[% normaliz]],1)*(DATOS_[Conc.Sal.07])))))))),
0)</f>
        <v>0</v>
      </c>
      <c r="Q77" s="196">
        <f t="array" ref="Q77">IFERROR(
(AVERAGE((IF(DATOS_[[Sexo]:[Sexo]]=$B77,IF(DATOS_[[AGRUP. CLAS. PROF.]:[AGRUP. CLAS. PROF.]]=$B75,IF(DATOS_[[Check Periodo Ref.]:[Check Periodo Ref.]]="Dentro",IF(DATOS_[[Check Equiparado]:[Check Equiparado]]="Sí",IF(DATOS!AL$5="Sí",(1/DATOS_[[% anualiz]:[% anualiz]]),1)*IF(DATOS!AL$4="Sí",1/DATOS_[[% normaliz]:[% normaliz]],1)*(DATOS_[Conc.Sal.08])))))))),
0)</f>
        <v>0</v>
      </c>
      <c r="R77" s="196">
        <f t="array" ref="R77">IFERROR(
(AVERAGE((IF(DATOS_[[Sexo]:[Sexo]]=$B77,IF(DATOS_[[AGRUP. CLAS. PROF.]:[AGRUP. CLAS. PROF.]]=$B75,IF(DATOS_[[Check Periodo Ref.]:[Check Periodo Ref.]]="Dentro",IF(DATOS_[[Check Equiparado]:[Check Equiparado]]="Sí",IF(DATOS!AM$5="Sí",(1/DATOS_[[% anualiz]:[% anualiz]]),1)*IF(DATOS!AM$4="Sí",1/DATOS_[[% normaliz]:[% normaliz]],1)*(DATOS_[Conc.Sal.09])))))))),
0)</f>
        <v>0</v>
      </c>
      <c r="S77" s="196">
        <f t="array" ref="S77">IFERROR(
(AVERAGE((IF(DATOS_[[Sexo]:[Sexo]]=$B77,IF(DATOS_[[AGRUP. CLAS. PROF.]:[AGRUP. CLAS. PROF.]]=$B75,IF(DATOS_[[Check Periodo Ref.]:[Check Periodo Ref.]]="Dentro",IF(DATOS_[[Check Equiparado]:[Check Equiparado]]="Sí",IF(DATOS!AN$5="Sí",(1/DATOS_[[% anualiz]:[% anualiz]]),1)*IF(DATOS!AN$4="Sí",1/DATOS_[[% normaliz]:[% normaliz]],1)*(DATOS_[Conc.Sal.10])))))))),
0)</f>
        <v>0</v>
      </c>
      <c r="T77" s="196">
        <f t="array" ref="T77">IFERROR(
(AVERAGE((IF(DATOS_[[Sexo]:[Sexo]]=$B77,IF(DATOS_[[AGRUP. CLAS. PROF.]:[AGRUP. CLAS. PROF.]]=$B75,IF(DATOS_[[Check Periodo Ref.]:[Check Periodo Ref.]]="Dentro",IF(DATOS_[[Check Equiparado]:[Check Equiparado]]="Sí",IF(DATOS!AO$5="Sí",(1/DATOS_[[% anualiz]:[% anualiz]]),1)*IF(DATOS!AO$4="Sí",1/DATOS_[[% normaliz]:[% normaliz]],1)*(DATOS_[Conc.Sal.11])))))))),
0)</f>
        <v>0</v>
      </c>
      <c r="U77" s="196">
        <f t="array" ref="U77">IFERROR(
(AVERAGE((IF(DATOS_[[Sexo]:[Sexo]]=$B77,IF(DATOS_[[AGRUP. CLAS. PROF.]:[AGRUP. CLAS. PROF.]]=$B75,IF(DATOS_[[Check Periodo Ref.]:[Check Periodo Ref.]]="Dentro",IF(DATOS_[[Check Equiparado]:[Check Equiparado]]="Sí",IF(DATOS!AP$5="Sí",(1/DATOS_[[% anualiz]:[% anualiz]]),1)*IF(DATOS!AP$4="Sí",1/DATOS_[[% normaliz]:[% normaliz]],1)*(DATOS_[Conc.Sal.12])))))))),
0)</f>
        <v>0</v>
      </c>
      <c r="V77" s="196">
        <f t="array" ref="V77">IFERROR(
(AVERAGE((IF(DATOS_[[Sexo]:[Sexo]]=$B77,IF(DATOS_[[AGRUP. CLAS. PROF.]:[AGRUP. CLAS. PROF.]]=$B75,IF(DATOS_[[Check Periodo Ref.]:[Check Periodo Ref.]]="Dentro",IF(DATOS_[[Check Equiparado]:[Check Equiparado]]="Sí",IF(DATOS!AQ$5="Sí",(1/DATOS_[[% anualiz]:[% anualiz]]),1)*IF(DATOS!AQ$4="Sí",1/DATOS_[[% normaliz]:[% normaliz]],1)*(DATOS_[Conc.Sal.13])))))))),
0)</f>
        <v>0</v>
      </c>
      <c r="W77" s="196">
        <f t="array" ref="W77">IFERROR(
(AVERAGE((IF(DATOS_[[Sexo]:[Sexo]]=$B77,IF(DATOS_[[AGRUP. CLAS. PROF.]:[AGRUP. CLAS. PROF.]]=$B75,IF(DATOS_[[Check Periodo Ref.]:[Check Periodo Ref.]]="Dentro",IF(DATOS_[[Check Equiparado]:[Check Equiparado]]="Sí",IF(DATOS!AR$5="Sí",(1/DATOS_[[% anualiz]:[% anualiz]]),1)*IF(DATOS!AR$4="Sí",1/DATOS_[[% normaliz]:[% normaliz]],1)*(DATOS_[Conc.Sal.14])))))))),
0)</f>
        <v>0</v>
      </c>
      <c r="X77" s="196">
        <f t="array" ref="X77">IFERROR(
(AVERAGE((IF(DATOS_[[Sexo]:[Sexo]]=$B77,IF(DATOS_[[AGRUP. CLAS. PROF.]:[AGRUP. CLAS. PROF.]]=$B75,IF(DATOS_[[Check Periodo Ref.]:[Check Periodo Ref.]]="Dentro",IF(DATOS_[[Check Equiparado]:[Check Equiparado]]="Sí",IF(DATOS!AS$5="Sí",(1/DATOS_[[% anualiz]:[% anualiz]]),1)*IF(DATOS!AS$4="Sí",1/DATOS_[[% normaliz]:[% normaliz]],1)*(DATOS_[Conc.Sal.15])))))))),
0)</f>
        <v>0</v>
      </c>
      <c r="Y77" s="196">
        <f t="array" ref="Y77">IFERROR(
(AVERAGE((IF(DATOS_[[Sexo]:[Sexo]]=$B77,IF(DATOS_[[AGRUP. CLAS. PROF.]:[AGRUP. CLAS. PROF.]]=$B75,IF(DATOS_[[Check Periodo Ref.]:[Check Periodo Ref.]]="Dentro",IF(DATOS_[[Check Equiparado]:[Check Equiparado]]="Sí",IF(DATOS!AT$5="Sí",(1/DATOS_[[% anualiz]:[% anualiz]]),1)*IF(DATOS!AT$4="Sí",1/DATOS_[[% normaliz]:[% normaliz]],1)*(DATOS_[Conc.Sal.16])))))))),
0)</f>
        <v>0</v>
      </c>
      <c r="Z77" s="196">
        <f t="array" ref="Z77">IFERROR(
(AVERAGE((IF(DATOS_[[Sexo]:[Sexo]]=$B77,IF(DATOS_[[AGRUP. CLAS. PROF.]:[AGRUP. CLAS. PROF.]]=$B75,IF(DATOS_[[Check Periodo Ref.]:[Check Periodo Ref.]]="Dentro",IF(DATOS_[[Check Equiparado]:[Check Equiparado]]="Sí",IF(DATOS!AU$5="Sí",(1/DATOS_[[% anualiz]:[% anualiz]]),1)*IF(DATOS!AU$4="Sí",1/DATOS_[[% normaliz]:[% normaliz]],1)*(DATOS_[Conc.Sal.17])))))))),
0)</f>
        <v>0</v>
      </c>
      <c r="AA77" s="196">
        <f t="array" ref="AA77">IFERROR(
(AVERAGE((IF(DATOS_[[Sexo]:[Sexo]]=$B77,IF(DATOS_[[AGRUP. CLAS. PROF.]:[AGRUP. CLAS. PROF.]]=$B75,IF(DATOS_[[Check Periodo Ref.]:[Check Periodo Ref.]]="Dentro",IF(DATOS_[[Check Equiparado]:[Check Equiparado]]="Sí",IF(DATOS!AV$5="Sí",(1/DATOS_[[% anualiz]:[% anualiz]]),1)*IF(DATOS!AV$4="Sí",1/DATOS_[[% normaliz]:[% normaliz]],1)*(DATOS_[Conc.Sal.18])))))))),
0)</f>
        <v>0</v>
      </c>
      <c r="AB77" s="196">
        <f t="array" ref="AB77">IFERROR(
(AVERAGE((IF(DATOS_[[Sexo]:[Sexo]]=$B77,IF(DATOS_[[AGRUP. CLAS. PROF.]:[AGRUP. CLAS. PROF.]]=$B75,IF(DATOS_[[Check Periodo Ref.]:[Check Periodo Ref.]]="Dentro",IF(DATOS_[[Check Equiparado]:[Check Equiparado]]="Sí",IF(DATOS!AW$5="Sí",(1/DATOS_[[% anualiz]:[% anualiz]]),1)*IF(DATOS!AW$4="Sí",1/DATOS_[[% normaliz]:[% normaliz]],1)*(DATOS_[Conc.Sal.19])))))))),
0)</f>
        <v>0</v>
      </c>
      <c r="AC77" s="196">
        <f t="array" ref="AC77">IFERROR(
(AVERAGE((IF(DATOS_[[Sexo]:[Sexo]]=$B77,IF(DATOS_[[AGRUP. CLAS. PROF.]:[AGRUP. CLAS. PROF.]]=$B75,IF(DATOS_[[Check Periodo Ref.]:[Check Periodo Ref.]]="Dentro",IF(DATOS_[[Check Equiparado]:[Check Equiparado]]="Sí",IF(DATOS!AX$5="Sí",(1/DATOS_[[% anualiz]:[% anualiz]]),1)*IF(DATOS!AX$4="Sí",1/DATOS_[[% normaliz]:[% normaliz]],1)*(DATOS_[Conc.Sal.20])))))))),
0)</f>
        <v>0</v>
      </c>
      <c r="AD77" s="196">
        <f t="array" ref="AD77">IFERROR(
(AVERAGE((IF(DATOS_[[Sexo]:[Sexo]]=$B77,IF(DATOS_[[AGRUP. CLAS. PROF.]:[AGRUP. CLAS. PROF.]]=$B75,IF(DATOS_[[Check Periodo Ref.]:[Check Periodo Ref.]]="Dentro",IF(DATOS_[[Check Equiparado]:[Check Equiparado]]="Sí",IF(DATOS!AY$5="Sí",(1/DATOS_[[% anualiz]:[% anualiz]]),1)*IF(DATOS!AY$4="Sí",1/DATOS_[[% normaliz]:[% normaliz]],1)*(DATOS_[Conc.Sal.21])))))))),
0)</f>
        <v>0</v>
      </c>
      <c r="AE77" s="196">
        <f t="array" ref="AE77">IFERROR(
(AVERAGE((IF(DATOS_[[Sexo]:[Sexo]]=$B77,IF(DATOS_[[AGRUP. CLAS. PROF.]:[AGRUP. CLAS. PROF.]]=$B75,IF(DATOS_[[Check Periodo Ref.]:[Check Periodo Ref.]]="Dentro",IF(DATOS_[[Check Equiparado]:[Check Equiparado]]="Sí",IF(DATOS!AZ$5="Sí",(1/DATOS_[[% anualiz]:[% anualiz]]),1)*IF(DATOS!AZ$4="Sí",1/DATOS_[[% normaliz]:[% normaliz]],1)*(DATOS_[Conc.Sal.22])))))))),
0)</f>
        <v>0</v>
      </c>
      <c r="AF77" s="196">
        <f t="array" ref="AF77">IFERROR(
(AVERAGE((IF(DATOS_[[Sexo]:[Sexo]]=$B77,IF(DATOS_[[AGRUP. CLAS. PROF.]:[AGRUP. CLAS. PROF.]]=$B75,IF(DATOS_[[Check Periodo Ref.]:[Check Periodo Ref.]]="Dentro",IF(DATOS_[[Check Equiparado]:[Check Equiparado]]="Sí",IF(DATOS!BA$5="Sí",(1/DATOS_[[% anualiz]:[% anualiz]]),1)*IF(DATOS!BA$4="Sí",1/DATOS_[[% normaliz]:[% normaliz]],1)*(DATOS_[Conc.Sal.23])))))))),
0)</f>
        <v>0</v>
      </c>
      <c r="AG77" s="196">
        <f t="array" ref="AG77">IFERROR(
(AVERAGE((IF(DATOS_[[Sexo]:[Sexo]]=$B77,IF(DATOS_[[AGRUP. CLAS. PROF.]:[AGRUP. CLAS. PROF.]]=$B75,IF(DATOS_[[Check Periodo Ref.]:[Check Periodo Ref.]]="Dentro",IF(DATOS_[[Check Equiparado]:[Check Equiparado]]="Sí",IF(DATOS!BB$5="Sí",(1/DATOS_[[% anualiz]:[% anualiz]]),1)*IF(DATOS!BB$4="Sí",1/DATOS_[[% normaliz]:[% normaliz]],1)*(DATOS_[Conc.Sal.24])))))))),
0)</f>
        <v>0</v>
      </c>
      <c r="AH77" s="196">
        <f t="array" ref="AH77">IFERROR(
(AVERAGE((IF(DATOS_[[Sexo]:[Sexo]]=$B77,IF(DATOS_[[AGRUP. CLAS. PROF.]:[AGRUP. CLAS. PROF.]]=$B75,IF(DATOS_[[Check Periodo Ref.]:[Check Periodo Ref.]]="Dentro",IF(DATOS_[[Check Equiparado]:[Check Equiparado]]="Sí",IF(DATOS!BC$5="Sí",(1/DATOS_[[% anualiz]:[% anualiz]]),1)*IF(DATOS!BC$4="Sí",1/DATOS_[[% normaliz]:[% normaliz]],1)*(DATOS_[Conc.Sal.25])))))))),
0)</f>
        <v>0</v>
      </c>
      <c r="AI77" s="196">
        <f t="array" ref="AI77">IFERROR(
(AVERAGE((IF(DATOS_[[Sexo]:[Sexo]]=$B77,IF(DATOS_[[AGRUP. CLAS. PROF.]:[AGRUP. CLAS. PROF.]]=$B75,IF(DATOS_[[Check Periodo Ref.]:[Check Periodo Ref.]]="Dentro",IF(DATOS_[[Check Equiparado]:[Check Equiparado]]="Sí",IF(DATOS!BD$5="Sí",(1/DATOS_[[% anualiz]:[% anualiz]]),1)*IF(DATOS!BD$4="Sí",1/DATOS_[[% normaliz]:[% normaliz]],1)*(DATOS_[Conc.Sal.26])))))))),
0)</f>
        <v>0</v>
      </c>
      <c r="AJ77" s="196">
        <f t="array" ref="AJ77">IFERROR(
(AVERAGE((IF(DATOS_[[Sexo]:[Sexo]]=$B77,IF(DATOS_[[AGRUP. CLAS. PROF.]:[AGRUP. CLAS. PROF.]]=$B75,IF(DATOS_[[Check Periodo Ref.]:[Check Periodo Ref.]]="Dentro",IF(DATOS_[[Check Equiparado]:[Check Equiparado]]="Sí",IF(DATOS!BE$5="Sí",(1/DATOS_[[% anualiz]:[% anualiz]]),1)*IF(DATOS!BE$4="Sí",1/DATOS_[[% normaliz]:[% normaliz]],1)*(DATOS_[Conc.Sal.27])))))))),
0)</f>
        <v>0</v>
      </c>
      <c r="AK77" s="196">
        <f t="array" ref="AK77">IFERROR(
(AVERAGE((IF(DATOS_[[Sexo]:[Sexo]]=$B77,IF(DATOS_[[AGRUP. CLAS. PROF.]:[AGRUP. CLAS. PROF.]]=$B75,IF(DATOS_[[Check Periodo Ref.]:[Check Periodo Ref.]]="Dentro",IF(DATOS_[[Check Equiparado]:[Check Equiparado]]="Sí",IF(DATOS!BF$5="Sí",(1/DATOS_[[% anualiz]:[% anualiz]]),1)*IF(DATOS!BF$4="Sí",1/DATOS_[[% normaliz]:[% normaliz]],1)*(DATOS_[Conc.Sal.28])))))))),
0)</f>
        <v>0</v>
      </c>
      <c r="AL77" s="196">
        <f t="array" ref="AL77">IFERROR(
(AVERAGE((IF(DATOS_[[Sexo]:[Sexo]]=$B77,IF(DATOS_[[AGRUP. CLAS. PROF.]:[AGRUP. CLAS. PROF.]]=$B75,IF(DATOS_[[Check Periodo Ref.]:[Check Periodo Ref.]]="Dentro",IF(DATOS_[[Check Equiparado]:[Check Equiparado]]="Sí",IF(DATOS!BG$5="Sí",(1/DATOS_[[% anualiz]:[% anualiz]]),1)*IF(DATOS!BG$4="Sí",1/DATOS_[[% normaliz]:[% normaliz]],1)*(DATOS_[Conc.Sal.29])))))))),
0)</f>
        <v>0</v>
      </c>
      <c r="AM77" s="196">
        <f t="array" ref="AM77">IFERROR(
(AVERAGE((IF(DATOS_[[Sexo]:[Sexo]]=$B77,IF(DATOS_[[AGRUP. CLAS. PROF.]:[AGRUP. CLAS. PROF.]]=$B75,IF(DATOS_[[Check Periodo Ref.]:[Check Periodo Ref.]]="Dentro",IF(DATOS_[[Check Equiparado]:[Check Equiparado]]="Sí",IF(DATOS!BH$5="Sí",(1/DATOS_[[% anualiz]:[% anualiz]]),1)*IF(DATOS!BH$4="Sí",1/DATOS_[[% normaliz]:[% normaliz]],1)*(DATOS_[Conc.Sal.30])))))))),
0)</f>
        <v>0</v>
      </c>
      <c r="AN77" s="195">
        <f t="array" ref="AN77">IFERROR(
AVERAGE(IF(DATOS_[Sexo]=$B77,IF(DATOS_[[AGRUP. CLAS. PROF.]:[AGRUP. CLAS. PROF.]]=$B75,IF(DATOS_[Check Equiparado]="Sí",IF(DATOS_[Check Periodo Ref.]="Dentro",DATOS_[Tot COMPL.SAL Eq],FALSE))))),
0)</f>
        <v>0</v>
      </c>
      <c r="AO77" s="172">
        <f t="array" ref="AO77">IFERROR(
AVERAGE(IF(DATOS_[Sexo]=$B77,IF(DATOS_[[AGRUP. CLAS. PROF.]:[AGRUP. CLAS. PROF.]]=$B75,IF(DATOS_[Check Equiparado]="Sí",IF(DATOS_[Check Periodo Ref.]="Dentro",DATOS_[TOTAL SALARIO Eq],FALSE))))),
0)</f>
        <v>0</v>
      </c>
      <c r="AP77" s="173">
        <f t="array" ref="AP77">IFERROR(
(AVERAGE((IF(DATOS_[[Sexo]:[Sexo]]=$B77,IF(DATOS_[[AGRUP. CLAS. PROF.]:[AGRUP. CLAS. PROF.]]=$B75,IF(DATOS_[[Check Periodo Ref.]:[Check Periodo Ref.]]="Dentro",IF(DATOS_[[Check Equiparado]:[Check Equiparado]]="Sí",IF(DATOS!BW$5="Sí",(1/DATOS_[[% anualiz]:[% anualiz]]),1)*IF(DATOS!BW$4="Sí",1/DATOS_[[% normaliz]:[% normaliz]],1)*(DATOS_[C.Extra.01])))))))),
0)</f>
        <v>0</v>
      </c>
      <c r="AQ77" s="173">
        <f t="array" ref="AQ77">IFERROR(
(AVERAGE((IF(DATOS_[[Sexo]:[Sexo]]=$B77,IF(DATOS_[[AGRUP. CLAS. PROF.]:[AGRUP. CLAS. PROF.]]=$B75,IF(DATOS_[[Check Periodo Ref.]:[Check Periodo Ref.]]="Dentro",IF(DATOS_[[Check Equiparado]:[Check Equiparado]]="Sí",IF(DATOS!CB$5="Sí",(1/DATOS_[[% anualiz]:[% anualiz]]),1)*IF(DATOS!CB$4="Sí",1/DATOS_[[% normaliz]:[% normaliz]],1)*(DATOS_[C.Extra.06])))))))),
0)</f>
        <v>0</v>
      </c>
      <c r="AR77" s="173">
        <f t="array" ref="AR77">IFERROR(
(AVERAGE((IF(DATOS_[[Sexo]:[Sexo]]=$B77,IF(DATOS_[[AGRUP. CLAS. PROF.]:[AGRUP. CLAS. PROF.]]=$B75,IF(DATOS_[[Check Periodo Ref.]:[Check Periodo Ref.]]="Dentro",IF(DATOS_[[Check Equiparado]:[Check Equiparado]]="Sí",IF(DATOS!CC$5="Sí",(1/DATOS_[[% anualiz]:[% anualiz]]),1)*IF(DATOS!CC$4="Sí",1/DATOS_[[% normaliz]:[% normaliz]],1)*(DATOS_[C.Extra.07])))))))),
0)</f>
        <v>0</v>
      </c>
      <c r="AS77" s="173">
        <f t="array" ref="AS77">IFERROR(
(AVERAGE((IF(DATOS_[[Sexo]:[Sexo]]=$B77,IF(DATOS_[[AGRUP. CLAS. PROF.]:[AGRUP. CLAS. PROF.]]=$B75,IF(DATOS_[[Check Periodo Ref.]:[Check Periodo Ref.]]="Dentro",IF(DATOS_[[Check Equiparado]:[Check Equiparado]]="Sí",IF(DATOS!CD$5="Sí",(1/DATOS_[[% anualiz]:[% anualiz]]),1)*IF(DATOS!CD$4="Sí",1/DATOS_[[% normaliz]:[% normaliz]],1)*(DATOS_[C.Extra.08])))))))),
0)</f>
        <v>0</v>
      </c>
      <c r="AT77" s="173">
        <f t="array" ref="AT77">IFERROR(
(AVERAGE((IF(DATOS_[[Sexo]:[Sexo]]=$B77,IF(DATOS_[[AGRUP. CLAS. PROF.]:[AGRUP. CLAS. PROF.]]=$B75,IF(DATOS_[[Check Periodo Ref.]:[Check Periodo Ref.]]="Dentro",IF(DATOS_[[Check Equiparado]:[Check Equiparado]]="Sí",IF(DATOS!CG$5="Sí",(1/DATOS_[[% anualiz]:[% anualiz]]),1)*IF(DATOS!CG$4="Sí",1/DATOS_[[% normaliz]:[% normaliz]],1)*(DATOS_[C.Extra.11])))))))),
0)</f>
        <v>0</v>
      </c>
      <c r="AU77" s="197">
        <f t="array" ref="AU77">IFERROR(
AVERAGE(IF(DATOS_[Sexo]=$B77,IF(DATOS_[[AGRUP. CLAS. PROF.]:[AGRUP. CLAS. PROF.]]=$B75,IF(DATOS_[Check Equiparado]="Sí",IF(DATOS_[Check Periodo Ref.]="Dentro",DATOS_[Tot Extrasalarial Eq],FALSE))))),
0)</f>
        <v>0</v>
      </c>
      <c r="AV77" s="175">
        <f t="array" ref="AV77">IFERROR(
AVERAGE(IF(DATOS_[Sexo]=$B77,IF(DATOS_[[AGRUP. CLAS. PROF.]:[AGRUP. CLAS. PROF.]]=$B75,IF(DATOS_[Check Equiparado]="Sí",IF(DATOS_[Check Periodo Ref.]="Dentro",DATOS_[TOTAL Retrib Eq],FALSE))))),
0)</f>
        <v>0</v>
      </c>
    </row>
    <row r="78" spans="1:48" ht="15.6" hidden="1" thickBot="1" x14ac:dyDescent="0.3">
      <c r="A78" s="133" t="str">
        <f t="shared" ref="A78" si="87">+A79</f>
        <v>[ocultar]</v>
      </c>
      <c r="B78" s="199" t="s">
        <v>265</v>
      </c>
      <c r="C78" s="200"/>
      <c r="D78" s="201"/>
      <c r="E78" s="201"/>
      <c r="F78" s="201"/>
      <c r="G78" s="201"/>
      <c r="H78" s="201"/>
      <c r="I78" s="189" t="str">
        <f t="shared" ref="I78:AV78" si="88">IFERROR((I79-I80)/I79,"")</f>
        <v/>
      </c>
      <c r="J78" s="190" t="str">
        <f t="shared" si="88"/>
        <v/>
      </c>
      <c r="K78" s="191" t="str">
        <f t="shared" si="88"/>
        <v/>
      </c>
      <c r="L78" s="191" t="str">
        <f t="shared" si="88"/>
        <v/>
      </c>
      <c r="M78" s="191" t="str">
        <f t="shared" si="88"/>
        <v/>
      </c>
      <c r="N78" s="192" t="str">
        <f t="shared" si="88"/>
        <v/>
      </c>
      <c r="O78" s="193" t="str">
        <f t="shared" si="88"/>
        <v/>
      </c>
      <c r="P78" s="193" t="str">
        <f t="shared" si="88"/>
        <v/>
      </c>
      <c r="Q78" s="193" t="str">
        <f t="shared" si="88"/>
        <v/>
      </c>
      <c r="R78" s="193" t="str">
        <f t="shared" si="88"/>
        <v/>
      </c>
      <c r="S78" s="193" t="str">
        <f t="shared" si="88"/>
        <v/>
      </c>
      <c r="T78" s="193" t="str">
        <f t="shared" si="88"/>
        <v/>
      </c>
      <c r="U78" s="193" t="str">
        <f t="shared" si="88"/>
        <v/>
      </c>
      <c r="V78" s="193" t="str">
        <f t="shared" si="88"/>
        <v/>
      </c>
      <c r="W78" s="193" t="str">
        <f t="shared" si="88"/>
        <v/>
      </c>
      <c r="X78" s="193" t="str">
        <f t="shared" si="88"/>
        <v/>
      </c>
      <c r="Y78" s="193" t="str">
        <f t="shared" si="88"/>
        <v/>
      </c>
      <c r="Z78" s="193" t="str">
        <f t="shared" si="88"/>
        <v/>
      </c>
      <c r="AA78" s="193" t="str">
        <f t="shared" si="88"/>
        <v/>
      </c>
      <c r="AB78" s="193" t="str">
        <f t="shared" si="88"/>
        <v/>
      </c>
      <c r="AC78" s="193" t="str">
        <f t="shared" si="88"/>
        <v/>
      </c>
      <c r="AD78" s="193" t="str">
        <f t="shared" si="88"/>
        <v/>
      </c>
      <c r="AE78" s="193" t="str">
        <f t="shared" si="88"/>
        <v/>
      </c>
      <c r="AF78" s="193" t="str">
        <f t="shared" si="88"/>
        <v/>
      </c>
      <c r="AG78" s="193" t="str">
        <f t="shared" si="88"/>
        <v/>
      </c>
      <c r="AH78" s="193" t="str">
        <f t="shared" si="88"/>
        <v/>
      </c>
      <c r="AI78" s="193" t="str">
        <f t="shared" si="88"/>
        <v/>
      </c>
      <c r="AJ78" s="193" t="str">
        <f t="shared" si="88"/>
        <v/>
      </c>
      <c r="AK78" s="193" t="str">
        <f t="shared" si="88"/>
        <v/>
      </c>
      <c r="AL78" s="193" t="str">
        <f t="shared" si="88"/>
        <v/>
      </c>
      <c r="AM78" s="193" t="str">
        <f t="shared" si="88"/>
        <v/>
      </c>
      <c r="AN78" s="189" t="str">
        <f t="shared" si="88"/>
        <v/>
      </c>
      <c r="AO78" s="162" t="str">
        <f t="shared" si="88"/>
        <v/>
      </c>
      <c r="AP78" s="163" t="str">
        <f t="shared" si="88"/>
        <v/>
      </c>
      <c r="AQ78" s="163" t="str">
        <f t="shared" si="88"/>
        <v/>
      </c>
      <c r="AR78" s="163" t="str">
        <f t="shared" si="88"/>
        <v/>
      </c>
      <c r="AS78" s="163" t="str">
        <f t="shared" si="88"/>
        <v/>
      </c>
      <c r="AT78" s="163" t="str">
        <f t="shared" si="88"/>
        <v/>
      </c>
      <c r="AU78" s="194" t="str">
        <f t="shared" si="88"/>
        <v/>
      </c>
      <c r="AV78" s="165" t="str">
        <f t="shared" si="88"/>
        <v/>
      </c>
    </row>
    <row r="79" spans="1:48" hidden="1" x14ac:dyDescent="0.25">
      <c r="A79" s="133" t="str">
        <f t="shared" ref="A79" si="89">+IF(C79+C80=0,"[ocultar]","")</f>
        <v>[ocultar]</v>
      </c>
      <c r="B79" s="202" t="s">
        <v>394</v>
      </c>
      <c r="C79" s="203">
        <f t="array" ref="C79">SUM(IF($B79=DATOS_[Sexo],
IF($B78=DATOS_[AGRUP. CLAS. PROF.],
IF("Dentro"=DATOS_[Check Periodo Ref.],
1/(COUNTIFS(DATOS_[Sexo],$B79,DATOS_[AGRUP. CLAS. PROF.],$B78,DATOS_[Check Periodo Ref.],"Dentro",DATOS_[id/cod],DATOS_[id/cod]))))))</f>
        <v>0</v>
      </c>
      <c r="D79" s="204">
        <f>COUNTIFS(DATOS_[AGRUP. CLAS. PROF.],$B78,DATOS_[Sexo],$B79,DATOS_[Check Periodo Ref.],"Dentro")</f>
        <v>0</v>
      </c>
      <c r="E79" s="204">
        <f>COUNTIFS(DATOS_[AGRUP. CLAS. PROF.],$B78,DATOS_[Sexo],$B79,DATOS_[Check Periodo Ref.],"Dentro",DATOS_[Check Nº SC Norm],"Sí")</f>
        <v>0</v>
      </c>
      <c r="F79" s="204">
        <f>COUNTIFS(DATOS_[AGRUP. CLAS. PROF.],$B78,DATOS_[Sexo],$B79,DATOS_[Check Periodo Ref.],"Dentro",DATOS_[Check Nº SC Anualiz],"Sí")</f>
        <v>0</v>
      </c>
      <c r="G79" s="204">
        <f>COUNTIFS(DATOS_[AGRUP. CLAS. PROF.],$B78,DATOS_[Sexo],$B79,DATOS_[Check Periodo Ref.],"Dentro",DATOS_[Check Nº SC Norm y Anualiz],"Sí")</f>
        <v>0</v>
      </c>
      <c r="H79" s="204">
        <f>COUNTIFS(DATOS_[AGRUP. CLAS. PROF.],$B78,DATOS_[Sexo],$B79,DATOS_[Check Periodo Ref.],"Dentro",DATOS_[Check Equiparación],"Sí")</f>
        <v>0</v>
      </c>
      <c r="I79" s="195">
        <f t="array" ref="I79">IFERROR(
AVERAGE(IF(DATOS_[Sexo]=$B79,IF(DATOS_[[AGRUP. CLAS. PROF.]:[AGRUP. CLAS. PROF.]]=$B78,IF(DATOS_[Check Equiparado]="Sí",IF(DATOS_[Check Periodo Ref.]="Dentro",DATOS_[SALARIO BASE Eq],FALSE))))),
0)</f>
        <v>0</v>
      </c>
      <c r="J79" s="196">
        <f t="array" ref="J79">IFERROR(
(AVERAGE((IF(DATOS_[[Sexo]:[Sexo]]=$B79,IF(DATOS_[[AGRUP. CLAS. PROF.]:[AGRUP. CLAS. PROF.]]=$B78,IF(DATOS_[[Check Periodo Ref.]:[Check Periodo Ref.]]="Dentro",IF(DATOS_[[Check Equiparado]:[Check Equiparado]]="Sí",IF(DATOS!AE$5="Sí",(1/DATOS_[[% anualiz]:[% anualiz]]),1)*IF(DATOS!AE$4="Sí",1/DATOS_[[% normaliz]:[% normaliz]],1)*(DATOS_[Conc.Sal.01])))))))),
0)</f>
        <v>0</v>
      </c>
      <c r="K79" s="196">
        <f t="array" ref="K79">IFERROR(
(AVERAGE((IF(DATOS_[[Sexo]:[Sexo]]=$B79,IF(DATOS_[[AGRUP. CLAS. PROF.]:[AGRUP. CLAS. PROF.]]=$B78,IF(DATOS_[[Check Periodo Ref.]:[Check Periodo Ref.]]="Dentro",IF(DATOS_[[Check Equiparado]:[Check Equiparado]]="Sí",IF(DATOS!AF$5="Sí",(1/DATOS_[[% anualiz]:[% anualiz]]),1)*IF(DATOS!AF$4="Sí",1/DATOS_[[% normaliz]:[% normaliz]],1)*(DATOS_[Conc.Sal.02])))))))),
0)</f>
        <v>0</v>
      </c>
      <c r="L79" s="196">
        <f t="array" ref="L79">IFERROR(
(AVERAGE((IF(DATOS_[[Sexo]:[Sexo]]=$B79,IF(DATOS_[[AGRUP. CLAS. PROF.]:[AGRUP. CLAS. PROF.]]=$B78,IF(DATOS_[[Check Periodo Ref.]:[Check Periodo Ref.]]="Dentro",IF(DATOS_[[Check Equiparado]:[Check Equiparado]]="Sí",IF(DATOS!AG$5="Sí",(1/DATOS_[[% anualiz]:[% anualiz]]),1)*IF(DATOS!AG$4="Sí",1/DATOS_[[% normaliz]:[% normaliz]],1)*(DATOS_[Conc.Sal.03])))))))),
0)</f>
        <v>0</v>
      </c>
      <c r="M79" s="196">
        <f t="array" ref="M79">IFERROR(
(AVERAGE((IF(DATOS_[[Sexo]:[Sexo]]=$B79,IF(DATOS_[[AGRUP. CLAS. PROF.]:[AGRUP. CLAS. PROF.]]=$B78,IF(DATOS_[[Check Periodo Ref.]:[Check Periodo Ref.]]="Dentro",IF(DATOS_[[Check Equiparado]:[Check Equiparado]]="Sí",IF(DATOS!AH$5="Sí",(1/DATOS_[[% anualiz]:[% anualiz]]),1)*IF(DATOS!AH$4="Sí",1/DATOS_[[% normaliz]:[% normaliz]],1)*(DATOS_[Conc.Sal.04])))))))),
0)</f>
        <v>0</v>
      </c>
      <c r="N79" s="196">
        <f t="array" ref="N79">IFERROR(
(AVERAGE((IF(DATOS_[[Sexo]:[Sexo]]=$B79,IF(DATOS_[[AGRUP. CLAS. PROF.]:[AGRUP. CLAS. PROF.]]=$B78,IF(DATOS_[[Check Periodo Ref.]:[Check Periodo Ref.]]="Dentro",IF(DATOS_[[Check Equiparado]:[Check Equiparado]]="Sí",IF(DATOS!AI$5="Sí",(1/DATOS_[[% anualiz]:[% anualiz]]),1)*IF(DATOS!AI$4="Sí",1/DATOS_[[% normaliz]:[% normaliz]],1)*(DATOS_[Conc.Sal.05])))))))),
0)</f>
        <v>0</v>
      </c>
      <c r="O79" s="196">
        <f t="array" ref="O79">IFERROR(
(AVERAGE((IF(DATOS_[[Sexo]:[Sexo]]=$B79,IF(DATOS_[[AGRUP. CLAS. PROF.]:[AGRUP. CLAS. PROF.]]=$B78,IF(DATOS_[[Check Periodo Ref.]:[Check Periodo Ref.]]="Dentro",IF(DATOS_[[Check Equiparado]:[Check Equiparado]]="Sí",IF(DATOS!AJ$5="Sí",(1/DATOS_[[% anualiz]:[% anualiz]]),1)*IF(DATOS!AJ$4="Sí",1/DATOS_[[% normaliz]:[% normaliz]],1)*(DATOS_[Conc.Sal.06])))))))),
0)</f>
        <v>0</v>
      </c>
      <c r="P79" s="196">
        <f t="array" ref="P79">IFERROR(
(AVERAGE((IF(DATOS_[[Sexo]:[Sexo]]=$B79,IF(DATOS_[[AGRUP. CLAS. PROF.]:[AGRUP. CLAS. PROF.]]=$B78,IF(DATOS_[[Check Periodo Ref.]:[Check Periodo Ref.]]="Dentro",IF(DATOS_[[Check Equiparado]:[Check Equiparado]]="Sí",IF(DATOS!AK$5="Sí",(1/DATOS_[[% anualiz]:[% anualiz]]),1)*IF(DATOS!AK$4="Sí",1/DATOS_[[% normaliz]:[% normaliz]],1)*(DATOS_[Conc.Sal.07])))))))),
0)</f>
        <v>0</v>
      </c>
      <c r="Q79" s="196">
        <f t="array" ref="Q79">IFERROR(
(AVERAGE((IF(DATOS_[[Sexo]:[Sexo]]=$B79,IF(DATOS_[[AGRUP. CLAS. PROF.]:[AGRUP. CLAS. PROF.]]=$B78,IF(DATOS_[[Check Periodo Ref.]:[Check Periodo Ref.]]="Dentro",IF(DATOS_[[Check Equiparado]:[Check Equiparado]]="Sí",IF(DATOS!AL$5="Sí",(1/DATOS_[[% anualiz]:[% anualiz]]),1)*IF(DATOS!AL$4="Sí",1/DATOS_[[% normaliz]:[% normaliz]],1)*(DATOS_[Conc.Sal.08])))))))),
0)</f>
        <v>0</v>
      </c>
      <c r="R79" s="196">
        <f t="array" ref="R79">IFERROR(
(AVERAGE((IF(DATOS_[[Sexo]:[Sexo]]=$B79,IF(DATOS_[[AGRUP. CLAS. PROF.]:[AGRUP. CLAS. PROF.]]=$B78,IF(DATOS_[[Check Periodo Ref.]:[Check Periodo Ref.]]="Dentro",IF(DATOS_[[Check Equiparado]:[Check Equiparado]]="Sí",IF(DATOS!AM$5="Sí",(1/DATOS_[[% anualiz]:[% anualiz]]),1)*IF(DATOS!AM$4="Sí",1/DATOS_[[% normaliz]:[% normaliz]],1)*(DATOS_[Conc.Sal.09])))))))),
0)</f>
        <v>0</v>
      </c>
      <c r="S79" s="196">
        <f t="array" ref="S79">IFERROR(
(AVERAGE((IF(DATOS_[[Sexo]:[Sexo]]=$B79,IF(DATOS_[[AGRUP. CLAS. PROF.]:[AGRUP. CLAS. PROF.]]=$B78,IF(DATOS_[[Check Periodo Ref.]:[Check Periodo Ref.]]="Dentro",IF(DATOS_[[Check Equiparado]:[Check Equiparado]]="Sí",IF(DATOS!AN$5="Sí",(1/DATOS_[[% anualiz]:[% anualiz]]),1)*IF(DATOS!AN$4="Sí",1/DATOS_[[% normaliz]:[% normaliz]],1)*(DATOS_[Conc.Sal.10])))))))),
0)</f>
        <v>0</v>
      </c>
      <c r="T79" s="196">
        <f t="array" ref="T79">IFERROR(
(AVERAGE((IF(DATOS_[[Sexo]:[Sexo]]=$B79,IF(DATOS_[[AGRUP. CLAS. PROF.]:[AGRUP. CLAS. PROF.]]=$B78,IF(DATOS_[[Check Periodo Ref.]:[Check Periodo Ref.]]="Dentro",IF(DATOS_[[Check Equiparado]:[Check Equiparado]]="Sí",IF(DATOS!AO$5="Sí",(1/DATOS_[[% anualiz]:[% anualiz]]),1)*IF(DATOS!AO$4="Sí",1/DATOS_[[% normaliz]:[% normaliz]],1)*(DATOS_[Conc.Sal.11])))))))),
0)</f>
        <v>0</v>
      </c>
      <c r="U79" s="196">
        <f t="array" ref="U79">IFERROR(
(AVERAGE((IF(DATOS_[[Sexo]:[Sexo]]=$B79,IF(DATOS_[[AGRUP. CLAS. PROF.]:[AGRUP. CLAS. PROF.]]=$B78,IF(DATOS_[[Check Periodo Ref.]:[Check Periodo Ref.]]="Dentro",IF(DATOS_[[Check Equiparado]:[Check Equiparado]]="Sí",IF(DATOS!AP$5="Sí",(1/DATOS_[[% anualiz]:[% anualiz]]),1)*IF(DATOS!AP$4="Sí",1/DATOS_[[% normaliz]:[% normaliz]],1)*(DATOS_[Conc.Sal.12])))))))),
0)</f>
        <v>0</v>
      </c>
      <c r="V79" s="196">
        <f t="array" ref="V79">IFERROR(
(AVERAGE((IF(DATOS_[[Sexo]:[Sexo]]=$B79,IF(DATOS_[[AGRUP. CLAS. PROF.]:[AGRUP. CLAS. PROF.]]=$B78,IF(DATOS_[[Check Periodo Ref.]:[Check Periodo Ref.]]="Dentro",IF(DATOS_[[Check Equiparado]:[Check Equiparado]]="Sí",IF(DATOS!AQ$5="Sí",(1/DATOS_[[% anualiz]:[% anualiz]]),1)*IF(DATOS!AQ$4="Sí",1/DATOS_[[% normaliz]:[% normaliz]],1)*(DATOS_[Conc.Sal.13])))))))),
0)</f>
        <v>0</v>
      </c>
      <c r="W79" s="196">
        <f t="array" ref="W79">IFERROR(
(AVERAGE((IF(DATOS_[[Sexo]:[Sexo]]=$B79,IF(DATOS_[[AGRUP. CLAS. PROF.]:[AGRUP. CLAS. PROF.]]=$B78,IF(DATOS_[[Check Periodo Ref.]:[Check Periodo Ref.]]="Dentro",IF(DATOS_[[Check Equiparado]:[Check Equiparado]]="Sí",IF(DATOS!AR$5="Sí",(1/DATOS_[[% anualiz]:[% anualiz]]),1)*IF(DATOS!AR$4="Sí",1/DATOS_[[% normaliz]:[% normaliz]],1)*(DATOS_[Conc.Sal.14])))))))),
0)</f>
        <v>0</v>
      </c>
      <c r="X79" s="196">
        <f t="array" ref="X79">IFERROR(
(AVERAGE((IF(DATOS_[[Sexo]:[Sexo]]=$B79,IF(DATOS_[[AGRUP. CLAS. PROF.]:[AGRUP. CLAS. PROF.]]=$B78,IF(DATOS_[[Check Periodo Ref.]:[Check Periodo Ref.]]="Dentro",IF(DATOS_[[Check Equiparado]:[Check Equiparado]]="Sí",IF(DATOS!AS$5="Sí",(1/DATOS_[[% anualiz]:[% anualiz]]),1)*IF(DATOS!AS$4="Sí",1/DATOS_[[% normaliz]:[% normaliz]],1)*(DATOS_[Conc.Sal.15])))))))),
0)</f>
        <v>0</v>
      </c>
      <c r="Y79" s="196">
        <f t="array" ref="Y79">IFERROR(
(AVERAGE((IF(DATOS_[[Sexo]:[Sexo]]=$B79,IF(DATOS_[[AGRUP. CLAS. PROF.]:[AGRUP. CLAS. PROF.]]=$B78,IF(DATOS_[[Check Periodo Ref.]:[Check Periodo Ref.]]="Dentro",IF(DATOS_[[Check Equiparado]:[Check Equiparado]]="Sí",IF(DATOS!AT$5="Sí",(1/DATOS_[[% anualiz]:[% anualiz]]),1)*IF(DATOS!AT$4="Sí",1/DATOS_[[% normaliz]:[% normaliz]],1)*(DATOS_[Conc.Sal.16])))))))),
0)</f>
        <v>0</v>
      </c>
      <c r="Z79" s="196">
        <f t="array" ref="Z79">IFERROR(
(AVERAGE((IF(DATOS_[[Sexo]:[Sexo]]=$B79,IF(DATOS_[[AGRUP. CLAS. PROF.]:[AGRUP. CLAS. PROF.]]=$B78,IF(DATOS_[[Check Periodo Ref.]:[Check Periodo Ref.]]="Dentro",IF(DATOS_[[Check Equiparado]:[Check Equiparado]]="Sí",IF(DATOS!AU$5="Sí",(1/DATOS_[[% anualiz]:[% anualiz]]),1)*IF(DATOS!AU$4="Sí",1/DATOS_[[% normaliz]:[% normaliz]],1)*(DATOS_[Conc.Sal.17])))))))),
0)</f>
        <v>0</v>
      </c>
      <c r="AA79" s="196">
        <f t="array" ref="AA79">IFERROR(
(AVERAGE((IF(DATOS_[[Sexo]:[Sexo]]=$B79,IF(DATOS_[[AGRUP. CLAS. PROF.]:[AGRUP. CLAS. PROF.]]=$B78,IF(DATOS_[[Check Periodo Ref.]:[Check Periodo Ref.]]="Dentro",IF(DATOS_[[Check Equiparado]:[Check Equiparado]]="Sí",IF(DATOS!AV$5="Sí",(1/DATOS_[[% anualiz]:[% anualiz]]),1)*IF(DATOS!AV$4="Sí",1/DATOS_[[% normaliz]:[% normaliz]],1)*(DATOS_[Conc.Sal.18])))))))),
0)</f>
        <v>0</v>
      </c>
      <c r="AB79" s="196">
        <f t="array" ref="AB79">IFERROR(
(AVERAGE((IF(DATOS_[[Sexo]:[Sexo]]=$B79,IF(DATOS_[[AGRUP. CLAS. PROF.]:[AGRUP. CLAS. PROF.]]=$B78,IF(DATOS_[[Check Periodo Ref.]:[Check Periodo Ref.]]="Dentro",IF(DATOS_[[Check Equiparado]:[Check Equiparado]]="Sí",IF(DATOS!AW$5="Sí",(1/DATOS_[[% anualiz]:[% anualiz]]),1)*IF(DATOS!AW$4="Sí",1/DATOS_[[% normaliz]:[% normaliz]],1)*(DATOS_[Conc.Sal.19])))))))),
0)</f>
        <v>0</v>
      </c>
      <c r="AC79" s="196">
        <f t="array" ref="AC79">IFERROR(
(AVERAGE((IF(DATOS_[[Sexo]:[Sexo]]=$B79,IF(DATOS_[[AGRUP. CLAS. PROF.]:[AGRUP. CLAS. PROF.]]=$B78,IF(DATOS_[[Check Periodo Ref.]:[Check Periodo Ref.]]="Dentro",IF(DATOS_[[Check Equiparado]:[Check Equiparado]]="Sí",IF(DATOS!AX$5="Sí",(1/DATOS_[[% anualiz]:[% anualiz]]),1)*IF(DATOS!AX$4="Sí",1/DATOS_[[% normaliz]:[% normaliz]],1)*(DATOS_[Conc.Sal.20])))))))),
0)</f>
        <v>0</v>
      </c>
      <c r="AD79" s="196">
        <f t="array" ref="AD79">IFERROR(
(AVERAGE((IF(DATOS_[[Sexo]:[Sexo]]=$B79,IF(DATOS_[[AGRUP. CLAS. PROF.]:[AGRUP. CLAS. PROF.]]=$B78,IF(DATOS_[[Check Periodo Ref.]:[Check Periodo Ref.]]="Dentro",IF(DATOS_[[Check Equiparado]:[Check Equiparado]]="Sí",IF(DATOS!AY$5="Sí",(1/DATOS_[[% anualiz]:[% anualiz]]),1)*IF(DATOS!AY$4="Sí",1/DATOS_[[% normaliz]:[% normaliz]],1)*(DATOS_[Conc.Sal.21])))))))),
0)</f>
        <v>0</v>
      </c>
      <c r="AE79" s="196">
        <f t="array" ref="AE79">IFERROR(
(AVERAGE((IF(DATOS_[[Sexo]:[Sexo]]=$B79,IF(DATOS_[[AGRUP. CLAS. PROF.]:[AGRUP. CLAS. PROF.]]=$B78,IF(DATOS_[[Check Periodo Ref.]:[Check Periodo Ref.]]="Dentro",IF(DATOS_[[Check Equiparado]:[Check Equiparado]]="Sí",IF(DATOS!AZ$5="Sí",(1/DATOS_[[% anualiz]:[% anualiz]]),1)*IF(DATOS!AZ$4="Sí",1/DATOS_[[% normaliz]:[% normaliz]],1)*(DATOS_[Conc.Sal.22])))))))),
0)</f>
        <v>0</v>
      </c>
      <c r="AF79" s="196">
        <f t="array" ref="AF79">IFERROR(
(AVERAGE((IF(DATOS_[[Sexo]:[Sexo]]=$B79,IF(DATOS_[[AGRUP. CLAS. PROF.]:[AGRUP. CLAS. PROF.]]=$B78,IF(DATOS_[[Check Periodo Ref.]:[Check Periodo Ref.]]="Dentro",IF(DATOS_[[Check Equiparado]:[Check Equiparado]]="Sí",IF(DATOS!BA$5="Sí",(1/DATOS_[[% anualiz]:[% anualiz]]),1)*IF(DATOS!BA$4="Sí",1/DATOS_[[% normaliz]:[% normaliz]],1)*(DATOS_[Conc.Sal.23])))))))),
0)</f>
        <v>0</v>
      </c>
      <c r="AG79" s="196">
        <f t="array" ref="AG79">IFERROR(
(AVERAGE((IF(DATOS_[[Sexo]:[Sexo]]=$B79,IF(DATOS_[[AGRUP. CLAS. PROF.]:[AGRUP. CLAS. PROF.]]=$B78,IF(DATOS_[[Check Periodo Ref.]:[Check Periodo Ref.]]="Dentro",IF(DATOS_[[Check Equiparado]:[Check Equiparado]]="Sí",IF(DATOS!BB$5="Sí",(1/DATOS_[[% anualiz]:[% anualiz]]),1)*IF(DATOS!BB$4="Sí",1/DATOS_[[% normaliz]:[% normaliz]],1)*(DATOS_[Conc.Sal.24])))))))),
0)</f>
        <v>0</v>
      </c>
      <c r="AH79" s="196">
        <f t="array" ref="AH79">IFERROR(
(AVERAGE((IF(DATOS_[[Sexo]:[Sexo]]=$B79,IF(DATOS_[[AGRUP. CLAS. PROF.]:[AGRUP. CLAS. PROF.]]=$B78,IF(DATOS_[[Check Periodo Ref.]:[Check Periodo Ref.]]="Dentro",IF(DATOS_[[Check Equiparado]:[Check Equiparado]]="Sí",IF(DATOS!BC$5="Sí",(1/DATOS_[[% anualiz]:[% anualiz]]),1)*IF(DATOS!BC$4="Sí",1/DATOS_[[% normaliz]:[% normaliz]],1)*(DATOS_[Conc.Sal.25])))))))),
0)</f>
        <v>0</v>
      </c>
      <c r="AI79" s="196">
        <f t="array" ref="AI79">IFERROR(
(AVERAGE((IF(DATOS_[[Sexo]:[Sexo]]=$B79,IF(DATOS_[[AGRUP. CLAS. PROF.]:[AGRUP. CLAS. PROF.]]=$B78,IF(DATOS_[[Check Periodo Ref.]:[Check Periodo Ref.]]="Dentro",IF(DATOS_[[Check Equiparado]:[Check Equiparado]]="Sí",IF(DATOS!BD$5="Sí",(1/DATOS_[[% anualiz]:[% anualiz]]),1)*IF(DATOS!BD$4="Sí",1/DATOS_[[% normaliz]:[% normaliz]],1)*(DATOS_[Conc.Sal.26])))))))),
0)</f>
        <v>0</v>
      </c>
      <c r="AJ79" s="196">
        <f t="array" ref="AJ79">IFERROR(
(AVERAGE((IF(DATOS_[[Sexo]:[Sexo]]=$B79,IF(DATOS_[[AGRUP. CLAS. PROF.]:[AGRUP. CLAS. PROF.]]=$B78,IF(DATOS_[[Check Periodo Ref.]:[Check Periodo Ref.]]="Dentro",IF(DATOS_[[Check Equiparado]:[Check Equiparado]]="Sí",IF(DATOS!BE$5="Sí",(1/DATOS_[[% anualiz]:[% anualiz]]),1)*IF(DATOS!BE$4="Sí",1/DATOS_[[% normaliz]:[% normaliz]],1)*(DATOS_[Conc.Sal.27])))))))),
0)</f>
        <v>0</v>
      </c>
      <c r="AK79" s="196">
        <f t="array" ref="AK79">IFERROR(
(AVERAGE((IF(DATOS_[[Sexo]:[Sexo]]=$B79,IF(DATOS_[[AGRUP. CLAS. PROF.]:[AGRUP. CLAS. PROF.]]=$B78,IF(DATOS_[[Check Periodo Ref.]:[Check Periodo Ref.]]="Dentro",IF(DATOS_[[Check Equiparado]:[Check Equiparado]]="Sí",IF(DATOS!BF$5="Sí",(1/DATOS_[[% anualiz]:[% anualiz]]),1)*IF(DATOS!BF$4="Sí",1/DATOS_[[% normaliz]:[% normaliz]],1)*(DATOS_[Conc.Sal.28])))))))),
0)</f>
        <v>0</v>
      </c>
      <c r="AL79" s="196">
        <f t="array" ref="AL79">IFERROR(
(AVERAGE((IF(DATOS_[[Sexo]:[Sexo]]=$B79,IF(DATOS_[[AGRUP. CLAS. PROF.]:[AGRUP. CLAS. PROF.]]=$B78,IF(DATOS_[[Check Periodo Ref.]:[Check Periodo Ref.]]="Dentro",IF(DATOS_[[Check Equiparado]:[Check Equiparado]]="Sí",IF(DATOS!BG$5="Sí",(1/DATOS_[[% anualiz]:[% anualiz]]),1)*IF(DATOS!BG$4="Sí",1/DATOS_[[% normaliz]:[% normaliz]],1)*(DATOS_[Conc.Sal.29])))))))),
0)</f>
        <v>0</v>
      </c>
      <c r="AM79" s="196">
        <f t="array" ref="AM79">IFERROR(
(AVERAGE((IF(DATOS_[[Sexo]:[Sexo]]=$B79,IF(DATOS_[[AGRUP. CLAS. PROF.]:[AGRUP. CLAS. PROF.]]=$B78,IF(DATOS_[[Check Periodo Ref.]:[Check Periodo Ref.]]="Dentro",IF(DATOS_[[Check Equiparado]:[Check Equiparado]]="Sí",IF(DATOS!BH$5="Sí",(1/DATOS_[[% anualiz]:[% anualiz]]),1)*IF(DATOS!BH$4="Sí",1/DATOS_[[% normaliz]:[% normaliz]],1)*(DATOS_[Conc.Sal.30])))))))),
0)</f>
        <v>0</v>
      </c>
      <c r="AN79" s="195">
        <f t="array" ref="AN79">IFERROR(
AVERAGE(IF(DATOS_[Sexo]=$B79,IF(DATOS_[[AGRUP. CLAS. PROF.]:[AGRUP. CLAS. PROF.]]=$B78,IF(DATOS_[Check Equiparado]="Sí",IF(DATOS_[Check Periodo Ref.]="Dentro",DATOS_[Tot COMPL.SAL Eq],FALSE))))),
0)</f>
        <v>0</v>
      </c>
      <c r="AO79" s="172">
        <f t="array" ref="AO79">IFERROR(
AVERAGE(IF(DATOS_[Sexo]=$B79,IF(DATOS_[[AGRUP. CLAS. PROF.]:[AGRUP. CLAS. PROF.]]=$B78,IF(DATOS_[Check Equiparado]="Sí",IF(DATOS_[Check Periodo Ref.]="Dentro",DATOS_[TOTAL SALARIO Eq],FALSE))))),
0)</f>
        <v>0</v>
      </c>
      <c r="AP79" s="173">
        <f t="array" ref="AP79">IFERROR(
(AVERAGE((IF(DATOS_[[Sexo]:[Sexo]]=$B79,IF(DATOS_[[AGRUP. CLAS. PROF.]:[AGRUP. CLAS. PROF.]]=$B78,IF(DATOS_[[Check Periodo Ref.]:[Check Periodo Ref.]]="Dentro",IF(DATOS_[[Check Equiparado]:[Check Equiparado]]="Sí",IF(DATOS!BW$5="Sí",(1/DATOS_[[% anualiz]:[% anualiz]]),1)*IF(DATOS!BW$4="Sí",1/DATOS_[[% normaliz]:[% normaliz]],1)*(DATOS_[C.Extra.01])))))))),
0)</f>
        <v>0</v>
      </c>
      <c r="AQ79" s="173">
        <f t="array" ref="AQ79">IFERROR(
(AVERAGE((IF(DATOS_[[Sexo]:[Sexo]]=$B79,IF(DATOS_[[AGRUP. CLAS. PROF.]:[AGRUP. CLAS. PROF.]]=$B78,IF(DATOS_[[Check Periodo Ref.]:[Check Periodo Ref.]]="Dentro",IF(DATOS_[[Check Equiparado]:[Check Equiparado]]="Sí",IF(DATOS!CB$5="Sí",(1/DATOS_[[% anualiz]:[% anualiz]]),1)*IF(DATOS!CB$4="Sí",1/DATOS_[[% normaliz]:[% normaliz]],1)*(DATOS_[C.Extra.06])))))))),
0)</f>
        <v>0</v>
      </c>
      <c r="AR79" s="173">
        <f t="array" ref="AR79">IFERROR(
(AVERAGE((IF(DATOS_[[Sexo]:[Sexo]]=$B79,IF(DATOS_[[AGRUP. CLAS. PROF.]:[AGRUP. CLAS. PROF.]]=$B78,IF(DATOS_[[Check Periodo Ref.]:[Check Periodo Ref.]]="Dentro",IF(DATOS_[[Check Equiparado]:[Check Equiparado]]="Sí",IF(DATOS!CC$5="Sí",(1/DATOS_[[% anualiz]:[% anualiz]]),1)*IF(DATOS!CC$4="Sí",1/DATOS_[[% normaliz]:[% normaliz]],1)*(DATOS_[C.Extra.07])))))))),
0)</f>
        <v>0</v>
      </c>
      <c r="AS79" s="173">
        <f t="array" ref="AS79">IFERROR(
(AVERAGE((IF(DATOS_[[Sexo]:[Sexo]]=$B79,IF(DATOS_[[AGRUP. CLAS. PROF.]:[AGRUP. CLAS. PROF.]]=$B78,IF(DATOS_[[Check Periodo Ref.]:[Check Periodo Ref.]]="Dentro",IF(DATOS_[[Check Equiparado]:[Check Equiparado]]="Sí",IF(DATOS!CD$5="Sí",(1/DATOS_[[% anualiz]:[% anualiz]]),1)*IF(DATOS!CD$4="Sí",1/DATOS_[[% normaliz]:[% normaliz]],1)*(DATOS_[C.Extra.08])))))))),
0)</f>
        <v>0</v>
      </c>
      <c r="AT79" s="173">
        <f t="array" ref="AT79">IFERROR(
(AVERAGE((IF(DATOS_[[Sexo]:[Sexo]]=$B79,IF(DATOS_[[AGRUP. CLAS. PROF.]:[AGRUP. CLAS. PROF.]]=$B78,IF(DATOS_[[Check Periodo Ref.]:[Check Periodo Ref.]]="Dentro",IF(DATOS_[[Check Equiparado]:[Check Equiparado]]="Sí",IF(DATOS!CG$5="Sí",(1/DATOS_[[% anualiz]:[% anualiz]]),1)*IF(DATOS!CG$4="Sí",1/DATOS_[[% normaliz]:[% normaliz]],1)*(DATOS_[C.Extra.11])))))))),
0)</f>
        <v>0</v>
      </c>
      <c r="AU79" s="197">
        <f t="array" ref="AU79">IFERROR(
AVERAGE(IF(DATOS_[Sexo]=$B79,IF(DATOS_[[AGRUP. CLAS. PROF.]:[AGRUP. CLAS. PROF.]]=$B78,IF(DATOS_[Check Equiparado]="Sí",IF(DATOS_[Check Periodo Ref.]="Dentro",DATOS_[Tot Extrasalarial Eq],FALSE))))),
0)</f>
        <v>0</v>
      </c>
      <c r="AV79" s="175">
        <f t="array" ref="AV79">IFERROR(
AVERAGE(IF(DATOS_[Sexo]=$B79,IF(DATOS_[[AGRUP. CLAS. PROF.]:[AGRUP. CLAS. PROF.]]=$B78,IF(DATOS_[Check Equiparado]="Sí",IF(DATOS_[Check Periodo Ref.]="Dentro",DATOS_[TOTAL Retrib Eq],FALSE))))),
0)</f>
        <v>0</v>
      </c>
    </row>
    <row r="80" spans="1:48" hidden="1" x14ac:dyDescent="0.25">
      <c r="A80" s="133" t="str">
        <f t="shared" ref="A80" si="90">+A79</f>
        <v>[ocultar]</v>
      </c>
      <c r="B80" s="202" t="s">
        <v>521</v>
      </c>
      <c r="C80" s="203">
        <f t="array" ref="C80">SUM(IF($B80=DATOS_[Sexo],
IF($B78=DATOS_[AGRUP. CLAS. PROF.],
IF("Dentro"=DATOS_[Check Periodo Ref.],
1/(COUNTIFS(DATOS_[Sexo],$B80,DATOS_[AGRUP. CLAS. PROF.],$B78,DATOS_[Check Periodo Ref.],"Dentro",DATOS_[id/cod],DATOS_[id/cod]))))))</f>
        <v>0</v>
      </c>
      <c r="D80" s="204">
        <f>COUNTIFS(DATOS_[AGRUP. CLAS. PROF.],$B78,DATOS_[Sexo],$B80,DATOS_[Check Periodo Ref.],"Dentro")</f>
        <v>0</v>
      </c>
      <c r="E80" s="204">
        <f>COUNTIFS(DATOS_[AGRUP. CLAS. PROF.],$B78,DATOS_[Sexo],$B80,DATOS_[Check Periodo Ref.],"Dentro",DATOS_[Check Nº SC Norm],"Sí")</f>
        <v>0</v>
      </c>
      <c r="F80" s="204">
        <f>COUNTIFS(DATOS_[AGRUP. CLAS. PROF.],$B78,DATOS_[Sexo],$B80,DATOS_[Check Periodo Ref.],"Dentro",DATOS_[Check Nº SC Anualiz],"Sí")</f>
        <v>0</v>
      </c>
      <c r="G80" s="204">
        <f>COUNTIFS(DATOS_[AGRUP. CLAS. PROF.],$B78,DATOS_[Sexo],$B80,DATOS_[Check Periodo Ref.],"Dentro",DATOS_[Check Nº SC Norm y Anualiz],"Sí")</f>
        <v>0</v>
      </c>
      <c r="H80" s="204">
        <f>COUNTIFS(DATOS_[AGRUP. CLAS. PROF.],$B78,DATOS_[Sexo],$B80,DATOS_[Check Periodo Ref.],"Dentro",DATOS_[Check Equiparación],"Sí")</f>
        <v>0</v>
      </c>
      <c r="I80" s="195" cm="1">
        <f t="array" ref="I80">IFERROR(
AVERAGE(IF(DATOS_[Sexo]=$B80,IF(DATOS_[[AGRUP. CLAS. PROF.]:[AGRUP. CLAS. PROF.]]=$B78,IF(DATOS_[Check Equiparado]="Sí",IF(DATOS_[Check Periodo Ref.]="Dentro",DATOS_[SALARIO BASE Eq],FALSE))))),
0)</f>
        <v>0</v>
      </c>
      <c r="J80" s="196">
        <f t="array" ref="J80">IFERROR(
(AVERAGE((IF(DATOS_[[Sexo]:[Sexo]]=$B80,IF(DATOS_[[AGRUP. CLAS. PROF.]:[AGRUP. CLAS. PROF.]]=$B78,IF(DATOS_[[Check Periodo Ref.]:[Check Periodo Ref.]]="Dentro",IF(DATOS_[[Check Equiparado]:[Check Equiparado]]="Sí",IF(DATOS!AE$5="Sí",(1/DATOS_[[% anualiz]:[% anualiz]]),1)*IF(DATOS!AE$4="Sí",1/DATOS_[[% normaliz]:[% normaliz]],1)*(DATOS_[Conc.Sal.01])))))))),
0)</f>
        <v>0</v>
      </c>
      <c r="K80" s="196">
        <f t="array" ref="K80">IFERROR(
(AVERAGE((IF(DATOS_[[Sexo]:[Sexo]]=$B80,IF(DATOS_[[AGRUP. CLAS. PROF.]:[AGRUP. CLAS. PROF.]]=$B78,IF(DATOS_[[Check Periodo Ref.]:[Check Periodo Ref.]]="Dentro",IF(DATOS_[[Check Equiparado]:[Check Equiparado]]="Sí",IF(DATOS!AF$5="Sí",(1/DATOS_[[% anualiz]:[% anualiz]]),1)*IF(DATOS!AF$4="Sí",1/DATOS_[[% normaliz]:[% normaliz]],1)*(DATOS_[Conc.Sal.02])))))))),
0)</f>
        <v>0</v>
      </c>
      <c r="L80" s="196">
        <f t="array" ref="L80">IFERROR(
(AVERAGE((IF(DATOS_[[Sexo]:[Sexo]]=$B80,IF(DATOS_[[AGRUP. CLAS. PROF.]:[AGRUP. CLAS. PROF.]]=$B78,IF(DATOS_[[Check Periodo Ref.]:[Check Periodo Ref.]]="Dentro",IF(DATOS_[[Check Equiparado]:[Check Equiparado]]="Sí",IF(DATOS!AG$5="Sí",(1/DATOS_[[% anualiz]:[% anualiz]]),1)*IF(DATOS!AG$4="Sí",1/DATOS_[[% normaliz]:[% normaliz]],1)*(DATOS_[Conc.Sal.03])))))))),
0)</f>
        <v>0</v>
      </c>
      <c r="M80" s="196">
        <f t="array" ref="M80">IFERROR(
(AVERAGE((IF(DATOS_[[Sexo]:[Sexo]]=$B80,IF(DATOS_[[AGRUP. CLAS. PROF.]:[AGRUP. CLAS. PROF.]]=$B78,IF(DATOS_[[Check Periodo Ref.]:[Check Periodo Ref.]]="Dentro",IF(DATOS_[[Check Equiparado]:[Check Equiparado]]="Sí",IF(DATOS!AH$5="Sí",(1/DATOS_[[% anualiz]:[% anualiz]]),1)*IF(DATOS!AH$4="Sí",1/DATOS_[[% normaliz]:[% normaliz]],1)*(DATOS_[Conc.Sal.04])))))))),
0)</f>
        <v>0</v>
      </c>
      <c r="N80" s="196">
        <f t="array" ref="N80">IFERROR(
(AVERAGE((IF(DATOS_[[Sexo]:[Sexo]]=$B80,IF(DATOS_[[AGRUP. CLAS. PROF.]:[AGRUP. CLAS. PROF.]]=$B78,IF(DATOS_[[Check Periodo Ref.]:[Check Periodo Ref.]]="Dentro",IF(DATOS_[[Check Equiparado]:[Check Equiparado]]="Sí",IF(DATOS!AI$5="Sí",(1/DATOS_[[% anualiz]:[% anualiz]]),1)*IF(DATOS!AI$4="Sí",1/DATOS_[[% normaliz]:[% normaliz]],1)*(DATOS_[Conc.Sal.05])))))))),
0)</f>
        <v>0</v>
      </c>
      <c r="O80" s="196">
        <f t="array" ref="O80">IFERROR(
(AVERAGE((IF(DATOS_[[Sexo]:[Sexo]]=$B80,IF(DATOS_[[AGRUP. CLAS. PROF.]:[AGRUP. CLAS. PROF.]]=$B78,IF(DATOS_[[Check Periodo Ref.]:[Check Periodo Ref.]]="Dentro",IF(DATOS_[[Check Equiparado]:[Check Equiparado]]="Sí",IF(DATOS!AJ$5="Sí",(1/DATOS_[[% anualiz]:[% anualiz]]),1)*IF(DATOS!AJ$4="Sí",1/DATOS_[[% normaliz]:[% normaliz]],1)*(DATOS_[Conc.Sal.06])))))))),
0)</f>
        <v>0</v>
      </c>
      <c r="P80" s="196">
        <f t="array" ref="P80">IFERROR(
(AVERAGE((IF(DATOS_[[Sexo]:[Sexo]]=$B80,IF(DATOS_[[AGRUP. CLAS. PROF.]:[AGRUP. CLAS. PROF.]]=$B78,IF(DATOS_[[Check Periodo Ref.]:[Check Periodo Ref.]]="Dentro",IF(DATOS_[[Check Equiparado]:[Check Equiparado]]="Sí",IF(DATOS!AK$5="Sí",(1/DATOS_[[% anualiz]:[% anualiz]]),1)*IF(DATOS!AK$4="Sí",1/DATOS_[[% normaliz]:[% normaliz]],1)*(DATOS_[Conc.Sal.07])))))))),
0)</f>
        <v>0</v>
      </c>
      <c r="Q80" s="196">
        <f t="array" ref="Q80">IFERROR(
(AVERAGE((IF(DATOS_[[Sexo]:[Sexo]]=$B80,IF(DATOS_[[AGRUP. CLAS. PROF.]:[AGRUP. CLAS. PROF.]]=$B78,IF(DATOS_[[Check Periodo Ref.]:[Check Periodo Ref.]]="Dentro",IF(DATOS_[[Check Equiparado]:[Check Equiparado]]="Sí",IF(DATOS!AL$5="Sí",(1/DATOS_[[% anualiz]:[% anualiz]]),1)*IF(DATOS!AL$4="Sí",1/DATOS_[[% normaliz]:[% normaliz]],1)*(DATOS_[Conc.Sal.08])))))))),
0)</f>
        <v>0</v>
      </c>
      <c r="R80" s="196">
        <f t="array" ref="R80">IFERROR(
(AVERAGE((IF(DATOS_[[Sexo]:[Sexo]]=$B80,IF(DATOS_[[AGRUP. CLAS. PROF.]:[AGRUP. CLAS. PROF.]]=$B78,IF(DATOS_[[Check Periodo Ref.]:[Check Periodo Ref.]]="Dentro",IF(DATOS_[[Check Equiparado]:[Check Equiparado]]="Sí",IF(DATOS!AM$5="Sí",(1/DATOS_[[% anualiz]:[% anualiz]]),1)*IF(DATOS!AM$4="Sí",1/DATOS_[[% normaliz]:[% normaliz]],1)*(DATOS_[Conc.Sal.09])))))))),
0)</f>
        <v>0</v>
      </c>
      <c r="S80" s="196">
        <f t="array" ref="S80">IFERROR(
(AVERAGE((IF(DATOS_[[Sexo]:[Sexo]]=$B80,IF(DATOS_[[AGRUP. CLAS. PROF.]:[AGRUP. CLAS. PROF.]]=$B78,IF(DATOS_[[Check Periodo Ref.]:[Check Periodo Ref.]]="Dentro",IF(DATOS_[[Check Equiparado]:[Check Equiparado]]="Sí",IF(DATOS!AN$5="Sí",(1/DATOS_[[% anualiz]:[% anualiz]]),1)*IF(DATOS!AN$4="Sí",1/DATOS_[[% normaliz]:[% normaliz]],1)*(DATOS_[Conc.Sal.10])))))))),
0)</f>
        <v>0</v>
      </c>
      <c r="T80" s="196">
        <f t="array" ref="T80">IFERROR(
(AVERAGE((IF(DATOS_[[Sexo]:[Sexo]]=$B80,IF(DATOS_[[AGRUP. CLAS. PROF.]:[AGRUP. CLAS. PROF.]]=$B78,IF(DATOS_[[Check Periodo Ref.]:[Check Periodo Ref.]]="Dentro",IF(DATOS_[[Check Equiparado]:[Check Equiparado]]="Sí",IF(DATOS!AO$5="Sí",(1/DATOS_[[% anualiz]:[% anualiz]]),1)*IF(DATOS!AO$4="Sí",1/DATOS_[[% normaliz]:[% normaliz]],1)*(DATOS_[Conc.Sal.11])))))))),
0)</f>
        <v>0</v>
      </c>
      <c r="U80" s="196">
        <f t="array" ref="U80">IFERROR(
(AVERAGE((IF(DATOS_[[Sexo]:[Sexo]]=$B80,IF(DATOS_[[AGRUP. CLAS. PROF.]:[AGRUP. CLAS. PROF.]]=$B78,IF(DATOS_[[Check Periodo Ref.]:[Check Periodo Ref.]]="Dentro",IF(DATOS_[[Check Equiparado]:[Check Equiparado]]="Sí",IF(DATOS!AP$5="Sí",(1/DATOS_[[% anualiz]:[% anualiz]]),1)*IF(DATOS!AP$4="Sí",1/DATOS_[[% normaliz]:[% normaliz]],1)*(DATOS_[Conc.Sal.12])))))))),
0)</f>
        <v>0</v>
      </c>
      <c r="V80" s="196">
        <f t="array" ref="V80">IFERROR(
(AVERAGE((IF(DATOS_[[Sexo]:[Sexo]]=$B80,IF(DATOS_[[AGRUP. CLAS. PROF.]:[AGRUP. CLAS. PROF.]]=$B78,IF(DATOS_[[Check Periodo Ref.]:[Check Periodo Ref.]]="Dentro",IF(DATOS_[[Check Equiparado]:[Check Equiparado]]="Sí",IF(DATOS!AQ$5="Sí",(1/DATOS_[[% anualiz]:[% anualiz]]),1)*IF(DATOS!AQ$4="Sí",1/DATOS_[[% normaliz]:[% normaliz]],1)*(DATOS_[Conc.Sal.13])))))))),
0)</f>
        <v>0</v>
      </c>
      <c r="W80" s="196">
        <f t="array" ref="W80">IFERROR(
(AVERAGE((IF(DATOS_[[Sexo]:[Sexo]]=$B80,IF(DATOS_[[AGRUP. CLAS. PROF.]:[AGRUP. CLAS. PROF.]]=$B78,IF(DATOS_[[Check Periodo Ref.]:[Check Periodo Ref.]]="Dentro",IF(DATOS_[[Check Equiparado]:[Check Equiparado]]="Sí",IF(DATOS!AR$5="Sí",(1/DATOS_[[% anualiz]:[% anualiz]]),1)*IF(DATOS!AR$4="Sí",1/DATOS_[[% normaliz]:[% normaliz]],1)*(DATOS_[Conc.Sal.14])))))))),
0)</f>
        <v>0</v>
      </c>
      <c r="X80" s="196">
        <f t="array" ref="X80">IFERROR(
(AVERAGE((IF(DATOS_[[Sexo]:[Sexo]]=$B80,IF(DATOS_[[AGRUP. CLAS. PROF.]:[AGRUP. CLAS. PROF.]]=$B78,IF(DATOS_[[Check Periodo Ref.]:[Check Periodo Ref.]]="Dentro",IF(DATOS_[[Check Equiparado]:[Check Equiparado]]="Sí",IF(DATOS!AS$5="Sí",(1/DATOS_[[% anualiz]:[% anualiz]]),1)*IF(DATOS!AS$4="Sí",1/DATOS_[[% normaliz]:[% normaliz]],1)*(DATOS_[Conc.Sal.15])))))))),
0)</f>
        <v>0</v>
      </c>
      <c r="Y80" s="196">
        <f t="array" ref="Y80">IFERROR(
(AVERAGE((IF(DATOS_[[Sexo]:[Sexo]]=$B80,IF(DATOS_[[AGRUP. CLAS. PROF.]:[AGRUP. CLAS. PROF.]]=$B78,IF(DATOS_[[Check Periodo Ref.]:[Check Periodo Ref.]]="Dentro",IF(DATOS_[[Check Equiparado]:[Check Equiparado]]="Sí",IF(DATOS!AT$5="Sí",(1/DATOS_[[% anualiz]:[% anualiz]]),1)*IF(DATOS!AT$4="Sí",1/DATOS_[[% normaliz]:[% normaliz]],1)*(DATOS_[Conc.Sal.16])))))))),
0)</f>
        <v>0</v>
      </c>
      <c r="Z80" s="196">
        <f t="array" ref="Z80">IFERROR(
(AVERAGE((IF(DATOS_[[Sexo]:[Sexo]]=$B80,IF(DATOS_[[AGRUP. CLAS. PROF.]:[AGRUP. CLAS. PROF.]]=$B78,IF(DATOS_[[Check Periodo Ref.]:[Check Periodo Ref.]]="Dentro",IF(DATOS_[[Check Equiparado]:[Check Equiparado]]="Sí",IF(DATOS!AU$5="Sí",(1/DATOS_[[% anualiz]:[% anualiz]]),1)*IF(DATOS!AU$4="Sí",1/DATOS_[[% normaliz]:[% normaliz]],1)*(DATOS_[Conc.Sal.17])))))))),
0)</f>
        <v>0</v>
      </c>
      <c r="AA80" s="196">
        <f t="array" ref="AA80">IFERROR(
(AVERAGE((IF(DATOS_[[Sexo]:[Sexo]]=$B80,IF(DATOS_[[AGRUP. CLAS. PROF.]:[AGRUP. CLAS. PROF.]]=$B78,IF(DATOS_[[Check Periodo Ref.]:[Check Periodo Ref.]]="Dentro",IF(DATOS_[[Check Equiparado]:[Check Equiparado]]="Sí",IF(DATOS!AV$5="Sí",(1/DATOS_[[% anualiz]:[% anualiz]]),1)*IF(DATOS!AV$4="Sí",1/DATOS_[[% normaliz]:[% normaliz]],1)*(DATOS_[Conc.Sal.18])))))))),
0)</f>
        <v>0</v>
      </c>
      <c r="AB80" s="196">
        <f t="array" ref="AB80">IFERROR(
(AVERAGE((IF(DATOS_[[Sexo]:[Sexo]]=$B80,IF(DATOS_[[AGRUP. CLAS. PROF.]:[AGRUP. CLAS. PROF.]]=$B78,IF(DATOS_[[Check Periodo Ref.]:[Check Periodo Ref.]]="Dentro",IF(DATOS_[[Check Equiparado]:[Check Equiparado]]="Sí",IF(DATOS!AW$5="Sí",(1/DATOS_[[% anualiz]:[% anualiz]]),1)*IF(DATOS!AW$4="Sí",1/DATOS_[[% normaliz]:[% normaliz]],1)*(DATOS_[Conc.Sal.19])))))))),
0)</f>
        <v>0</v>
      </c>
      <c r="AC80" s="196">
        <f t="array" ref="AC80">IFERROR(
(AVERAGE((IF(DATOS_[[Sexo]:[Sexo]]=$B80,IF(DATOS_[[AGRUP. CLAS. PROF.]:[AGRUP. CLAS. PROF.]]=$B78,IF(DATOS_[[Check Periodo Ref.]:[Check Periodo Ref.]]="Dentro",IF(DATOS_[[Check Equiparado]:[Check Equiparado]]="Sí",IF(DATOS!AX$5="Sí",(1/DATOS_[[% anualiz]:[% anualiz]]),1)*IF(DATOS!AX$4="Sí",1/DATOS_[[% normaliz]:[% normaliz]],1)*(DATOS_[Conc.Sal.20])))))))),
0)</f>
        <v>0</v>
      </c>
      <c r="AD80" s="196">
        <f t="array" ref="AD80">IFERROR(
(AVERAGE((IF(DATOS_[[Sexo]:[Sexo]]=$B80,IF(DATOS_[[AGRUP. CLAS. PROF.]:[AGRUP. CLAS. PROF.]]=$B78,IF(DATOS_[[Check Periodo Ref.]:[Check Periodo Ref.]]="Dentro",IF(DATOS_[[Check Equiparado]:[Check Equiparado]]="Sí",IF(DATOS!AY$5="Sí",(1/DATOS_[[% anualiz]:[% anualiz]]),1)*IF(DATOS!AY$4="Sí",1/DATOS_[[% normaliz]:[% normaliz]],1)*(DATOS_[Conc.Sal.21])))))))),
0)</f>
        <v>0</v>
      </c>
      <c r="AE80" s="196">
        <f t="array" ref="AE80">IFERROR(
(AVERAGE((IF(DATOS_[[Sexo]:[Sexo]]=$B80,IF(DATOS_[[AGRUP. CLAS. PROF.]:[AGRUP. CLAS. PROF.]]=$B78,IF(DATOS_[[Check Periodo Ref.]:[Check Periodo Ref.]]="Dentro",IF(DATOS_[[Check Equiparado]:[Check Equiparado]]="Sí",IF(DATOS!AZ$5="Sí",(1/DATOS_[[% anualiz]:[% anualiz]]),1)*IF(DATOS!AZ$4="Sí",1/DATOS_[[% normaliz]:[% normaliz]],1)*(DATOS_[Conc.Sal.22])))))))),
0)</f>
        <v>0</v>
      </c>
      <c r="AF80" s="196">
        <f t="array" ref="AF80">IFERROR(
(AVERAGE((IF(DATOS_[[Sexo]:[Sexo]]=$B80,IF(DATOS_[[AGRUP. CLAS. PROF.]:[AGRUP. CLAS. PROF.]]=$B78,IF(DATOS_[[Check Periodo Ref.]:[Check Periodo Ref.]]="Dentro",IF(DATOS_[[Check Equiparado]:[Check Equiparado]]="Sí",IF(DATOS!BA$5="Sí",(1/DATOS_[[% anualiz]:[% anualiz]]),1)*IF(DATOS!BA$4="Sí",1/DATOS_[[% normaliz]:[% normaliz]],1)*(DATOS_[Conc.Sal.23])))))))),
0)</f>
        <v>0</v>
      </c>
      <c r="AG80" s="196">
        <f t="array" ref="AG80">IFERROR(
(AVERAGE((IF(DATOS_[[Sexo]:[Sexo]]=$B80,IF(DATOS_[[AGRUP. CLAS. PROF.]:[AGRUP. CLAS. PROF.]]=$B78,IF(DATOS_[[Check Periodo Ref.]:[Check Periodo Ref.]]="Dentro",IF(DATOS_[[Check Equiparado]:[Check Equiparado]]="Sí",IF(DATOS!BB$5="Sí",(1/DATOS_[[% anualiz]:[% anualiz]]),1)*IF(DATOS!BB$4="Sí",1/DATOS_[[% normaliz]:[% normaliz]],1)*(DATOS_[Conc.Sal.24])))))))),
0)</f>
        <v>0</v>
      </c>
      <c r="AH80" s="196">
        <f t="array" ref="AH80">IFERROR(
(AVERAGE((IF(DATOS_[[Sexo]:[Sexo]]=$B80,IF(DATOS_[[AGRUP. CLAS. PROF.]:[AGRUP. CLAS. PROF.]]=$B78,IF(DATOS_[[Check Periodo Ref.]:[Check Periodo Ref.]]="Dentro",IF(DATOS_[[Check Equiparado]:[Check Equiparado]]="Sí",IF(DATOS!BC$5="Sí",(1/DATOS_[[% anualiz]:[% anualiz]]),1)*IF(DATOS!BC$4="Sí",1/DATOS_[[% normaliz]:[% normaliz]],1)*(DATOS_[Conc.Sal.25])))))))),
0)</f>
        <v>0</v>
      </c>
      <c r="AI80" s="196">
        <f t="array" ref="AI80">IFERROR(
(AVERAGE((IF(DATOS_[[Sexo]:[Sexo]]=$B80,IF(DATOS_[[AGRUP. CLAS. PROF.]:[AGRUP. CLAS. PROF.]]=$B78,IF(DATOS_[[Check Periodo Ref.]:[Check Periodo Ref.]]="Dentro",IF(DATOS_[[Check Equiparado]:[Check Equiparado]]="Sí",IF(DATOS!BD$5="Sí",(1/DATOS_[[% anualiz]:[% anualiz]]),1)*IF(DATOS!BD$4="Sí",1/DATOS_[[% normaliz]:[% normaliz]],1)*(DATOS_[Conc.Sal.26])))))))),
0)</f>
        <v>0</v>
      </c>
      <c r="AJ80" s="196">
        <f t="array" ref="AJ80">IFERROR(
(AVERAGE((IF(DATOS_[[Sexo]:[Sexo]]=$B80,IF(DATOS_[[AGRUP. CLAS. PROF.]:[AGRUP. CLAS. PROF.]]=$B78,IF(DATOS_[[Check Periodo Ref.]:[Check Periodo Ref.]]="Dentro",IF(DATOS_[[Check Equiparado]:[Check Equiparado]]="Sí",IF(DATOS!BE$5="Sí",(1/DATOS_[[% anualiz]:[% anualiz]]),1)*IF(DATOS!BE$4="Sí",1/DATOS_[[% normaliz]:[% normaliz]],1)*(DATOS_[Conc.Sal.27])))))))),
0)</f>
        <v>0</v>
      </c>
      <c r="AK80" s="196">
        <f t="array" ref="AK80">IFERROR(
(AVERAGE((IF(DATOS_[[Sexo]:[Sexo]]=$B80,IF(DATOS_[[AGRUP. CLAS. PROF.]:[AGRUP. CLAS. PROF.]]=$B78,IF(DATOS_[[Check Periodo Ref.]:[Check Periodo Ref.]]="Dentro",IF(DATOS_[[Check Equiparado]:[Check Equiparado]]="Sí",IF(DATOS!BF$5="Sí",(1/DATOS_[[% anualiz]:[% anualiz]]),1)*IF(DATOS!BF$4="Sí",1/DATOS_[[% normaliz]:[% normaliz]],1)*(DATOS_[Conc.Sal.28])))))))),
0)</f>
        <v>0</v>
      </c>
      <c r="AL80" s="196">
        <f t="array" ref="AL80">IFERROR(
(AVERAGE((IF(DATOS_[[Sexo]:[Sexo]]=$B80,IF(DATOS_[[AGRUP. CLAS. PROF.]:[AGRUP. CLAS. PROF.]]=$B78,IF(DATOS_[[Check Periodo Ref.]:[Check Periodo Ref.]]="Dentro",IF(DATOS_[[Check Equiparado]:[Check Equiparado]]="Sí",IF(DATOS!BG$5="Sí",(1/DATOS_[[% anualiz]:[% anualiz]]),1)*IF(DATOS!BG$4="Sí",1/DATOS_[[% normaliz]:[% normaliz]],1)*(DATOS_[Conc.Sal.29])))))))),
0)</f>
        <v>0</v>
      </c>
      <c r="AM80" s="196">
        <f t="array" ref="AM80">IFERROR(
(AVERAGE((IF(DATOS_[[Sexo]:[Sexo]]=$B80,IF(DATOS_[[AGRUP. CLAS. PROF.]:[AGRUP. CLAS. PROF.]]=$B78,IF(DATOS_[[Check Periodo Ref.]:[Check Periodo Ref.]]="Dentro",IF(DATOS_[[Check Equiparado]:[Check Equiparado]]="Sí",IF(DATOS!BH$5="Sí",(1/DATOS_[[% anualiz]:[% anualiz]]),1)*IF(DATOS!BH$4="Sí",1/DATOS_[[% normaliz]:[% normaliz]],1)*(DATOS_[Conc.Sal.30])))))))),
0)</f>
        <v>0</v>
      </c>
      <c r="AN80" s="195">
        <f t="array" ref="AN80">IFERROR(
AVERAGE(IF(DATOS_[Sexo]=$B80,IF(DATOS_[[AGRUP. CLAS. PROF.]:[AGRUP. CLAS. PROF.]]=$B78,IF(DATOS_[Check Equiparado]="Sí",IF(DATOS_[Check Periodo Ref.]="Dentro",DATOS_[Tot COMPL.SAL Eq],FALSE))))),
0)</f>
        <v>0</v>
      </c>
      <c r="AO80" s="172">
        <f t="array" ref="AO80">IFERROR(
AVERAGE(IF(DATOS_[Sexo]=$B80,IF(DATOS_[[AGRUP. CLAS. PROF.]:[AGRUP. CLAS. PROF.]]=$B78,IF(DATOS_[Check Equiparado]="Sí",IF(DATOS_[Check Periodo Ref.]="Dentro",DATOS_[TOTAL SALARIO Eq],FALSE))))),
0)</f>
        <v>0</v>
      </c>
      <c r="AP80" s="173">
        <f t="array" ref="AP80">IFERROR(
(AVERAGE((IF(DATOS_[[Sexo]:[Sexo]]=$B80,IF(DATOS_[[AGRUP. CLAS. PROF.]:[AGRUP. CLAS. PROF.]]=$B78,IF(DATOS_[[Check Periodo Ref.]:[Check Periodo Ref.]]="Dentro",IF(DATOS_[[Check Equiparado]:[Check Equiparado]]="Sí",IF(DATOS!BW$5="Sí",(1/DATOS_[[% anualiz]:[% anualiz]]),1)*IF(DATOS!BW$4="Sí",1/DATOS_[[% normaliz]:[% normaliz]],1)*(DATOS_[C.Extra.01])))))))),
0)</f>
        <v>0</v>
      </c>
      <c r="AQ80" s="173">
        <f t="array" ref="AQ80">IFERROR(
(AVERAGE((IF(DATOS_[[Sexo]:[Sexo]]=$B80,IF(DATOS_[[AGRUP. CLAS. PROF.]:[AGRUP. CLAS. PROF.]]=$B78,IF(DATOS_[[Check Periodo Ref.]:[Check Periodo Ref.]]="Dentro",IF(DATOS_[[Check Equiparado]:[Check Equiparado]]="Sí",IF(DATOS!CB$5="Sí",(1/DATOS_[[% anualiz]:[% anualiz]]),1)*IF(DATOS!CB$4="Sí",1/DATOS_[[% normaliz]:[% normaliz]],1)*(DATOS_[C.Extra.06])))))))),
0)</f>
        <v>0</v>
      </c>
      <c r="AR80" s="173">
        <f t="array" ref="AR80">IFERROR(
(AVERAGE((IF(DATOS_[[Sexo]:[Sexo]]=$B80,IF(DATOS_[[AGRUP. CLAS. PROF.]:[AGRUP. CLAS. PROF.]]=$B78,IF(DATOS_[[Check Periodo Ref.]:[Check Periodo Ref.]]="Dentro",IF(DATOS_[[Check Equiparado]:[Check Equiparado]]="Sí",IF(DATOS!CC$5="Sí",(1/DATOS_[[% anualiz]:[% anualiz]]),1)*IF(DATOS!CC$4="Sí",1/DATOS_[[% normaliz]:[% normaliz]],1)*(DATOS_[C.Extra.07])))))))),
0)</f>
        <v>0</v>
      </c>
      <c r="AS80" s="173">
        <f t="array" ref="AS80">IFERROR(
(AVERAGE((IF(DATOS_[[Sexo]:[Sexo]]=$B80,IF(DATOS_[[AGRUP. CLAS. PROF.]:[AGRUP. CLAS. PROF.]]=$B78,IF(DATOS_[[Check Periodo Ref.]:[Check Periodo Ref.]]="Dentro",IF(DATOS_[[Check Equiparado]:[Check Equiparado]]="Sí",IF(DATOS!CD$5="Sí",(1/DATOS_[[% anualiz]:[% anualiz]]),1)*IF(DATOS!CD$4="Sí",1/DATOS_[[% normaliz]:[% normaliz]],1)*(DATOS_[C.Extra.08])))))))),
0)</f>
        <v>0</v>
      </c>
      <c r="AT80" s="173">
        <f t="array" ref="AT80">IFERROR(
(AVERAGE((IF(DATOS_[[Sexo]:[Sexo]]=$B80,IF(DATOS_[[AGRUP. CLAS. PROF.]:[AGRUP. CLAS. PROF.]]=$B78,IF(DATOS_[[Check Periodo Ref.]:[Check Periodo Ref.]]="Dentro",IF(DATOS_[[Check Equiparado]:[Check Equiparado]]="Sí",IF(DATOS!CG$5="Sí",(1/DATOS_[[% anualiz]:[% anualiz]]),1)*IF(DATOS!CG$4="Sí",1/DATOS_[[% normaliz]:[% normaliz]],1)*(DATOS_[C.Extra.11])))))))),
0)</f>
        <v>0</v>
      </c>
      <c r="AU80" s="197">
        <f t="array" ref="AU80">IFERROR(
AVERAGE(IF(DATOS_[Sexo]=$B80,IF(DATOS_[[AGRUP. CLAS. PROF.]:[AGRUP. CLAS. PROF.]]=$B78,IF(DATOS_[Check Equiparado]="Sí",IF(DATOS_[Check Periodo Ref.]="Dentro",DATOS_[Tot Extrasalarial Eq],FALSE))))),
0)</f>
        <v>0</v>
      </c>
      <c r="AV80" s="175">
        <f t="array" ref="AV80">IFERROR(
AVERAGE(IF(DATOS_[Sexo]=$B80,IF(DATOS_[[AGRUP. CLAS. PROF.]:[AGRUP. CLAS. PROF.]]=$B78,IF(DATOS_[Check Equiparado]="Sí",IF(DATOS_[Check Periodo Ref.]="Dentro",DATOS_[TOTAL Retrib Eq],FALSE))))),
0)</f>
        <v>0</v>
      </c>
    </row>
    <row r="81" spans="1:48" ht="15.6" hidden="1" thickBot="1" x14ac:dyDescent="0.3">
      <c r="A81" s="133" t="str">
        <f t="shared" ref="A81" si="91">+A82</f>
        <v>[ocultar]</v>
      </c>
      <c r="B81" s="199" t="s">
        <v>268</v>
      </c>
      <c r="C81" s="200"/>
      <c r="D81" s="201"/>
      <c r="E81" s="201"/>
      <c r="F81" s="201"/>
      <c r="G81" s="201"/>
      <c r="H81" s="201"/>
      <c r="I81" s="189" t="str">
        <f t="shared" ref="I81:AV81" si="92">IFERROR((I82-I83)/I82,"")</f>
        <v/>
      </c>
      <c r="J81" s="190" t="str">
        <f t="shared" si="92"/>
        <v/>
      </c>
      <c r="K81" s="191" t="str">
        <f t="shared" si="92"/>
        <v/>
      </c>
      <c r="L81" s="191" t="str">
        <f t="shared" si="92"/>
        <v/>
      </c>
      <c r="M81" s="191" t="str">
        <f t="shared" si="92"/>
        <v/>
      </c>
      <c r="N81" s="192" t="str">
        <f t="shared" si="92"/>
        <v/>
      </c>
      <c r="O81" s="193" t="str">
        <f t="shared" si="92"/>
        <v/>
      </c>
      <c r="P81" s="193" t="str">
        <f t="shared" si="92"/>
        <v/>
      </c>
      <c r="Q81" s="193" t="str">
        <f t="shared" si="92"/>
        <v/>
      </c>
      <c r="R81" s="193" t="str">
        <f t="shared" si="92"/>
        <v/>
      </c>
      <c r="S81" s="193" t="str">
        <f t="shared" si="92"/>
        <v/>
      </c>
      <c r="T81" s="193" t="str">
        <f t="shared" si="92"/>
        <v/>
      </c>
      <c r="U81" s="193" t="str">
        <f t="shared" si="92"/>
        <v/>
      </c>
      <c r="V81" s="193" t="str">
        <f t="shared" si="92"/>
        <v/>
      </c>
      <c r="W81" s="193" t="str">
        <f t="shared" si="92"/>
        <v/>
      </c>
      <c r="X81" s="193" t="str">
        <f t="shared" si="92"/>
        <v/>
      </c>
      <c r="Y81" s="193" t="str">
        <f t="shared" si="92"/>
        <v/>
      </c>
      <c r="Z81" s="193" t="str">
        <f t="shared" si="92"/>
        <v/>
      </c>
      <c r="AA81" s="193" t="str">
        <f t="shared" si="92"/>
        <v/>
      </c>
      <c r="AB81" s="193" t="str">
        <f t="shared" si="92"/>
        <v/>
      </c>
      <c r="AC81" s="193" t="str">
        <f t="shared" si="92"/>
        <v/>
      </c>
      <c r="AD81" s="193" t="str">
        <f t="shared" si="92"/>
        <v/>
      </c>
      <c r="AE81" s="193" t="str">
        <f t="shared" si="92"/>
        <v/>
      </c>
      <c r="AF81" s="193" t="str">
        <f t="shared" si="92"/>
        <v/>
      </c>
      <c r="AG81" s="193" t="str">
        <f t="shared" si="92"/>
        <v/>
      </c>
      <c r="AH81" s="193" t="str">
        <f t="shared" si="92"/>
        <v/>
      </c>
      <c r="AI81" s="193" t="str">
        <f t="shared" si="92"/>
        <v/>
      </c>
      <c r="AJ81" s="193" t="str">
        <f t="shared" si="92"/>
        <v/>
      </c>
      <c r="AK81" s="193" t="str">
        <f t="shared" si="92"/>
        <v/>
      </c>
      <c r="AL81" s="193" t="str">
        <f t="shared" si="92"/>
        <v/>
      </c>
      <c r="AM81" s="193" t="str">
        <f t="shared" si="92"/>
        <v/>
      </c>
      <c r="AN81" s="189" t="str">
        <f t="shared" si="92"/>
        <v/>
      </c>
      <c r="AO81" s="162" t="str">
        <f t="shared" si="92"/>
        <v/>
      </c>
      <c r="AP81" s="163" t="str">
        <f t="shared" si="92"/>
        <v/>
      </c>
      <c r="AQ81" s="163" t="str">
        <f t="shared" si="92"/>
        <v/>
      </c>
      <c r="AR81" s="163" t="str">
        <f t="shared" si="92"/>
        <v/>
      </c>
      <c r="AS81" s="163" t="str">
        <f t="shared" si="92"/>
        <v/>
      </c>
      <c r="AT81" s="163" t="str">
        <f t="shared" si="92"/>
        <v/>
      </c>
      <c r="AU81" s="194" t="str">
        <f t="shared" si="92"/>
        <v/>
      </c>
      <c r="AV81" s="165" t="str">
        <f t="shared" si="92"/>
        <v/>
      </c>
    </row>
    <row r="82" spans="1:48" hidden="1" x14ac:dyDescent="0.25">
      <c r="A82" s="133" t="str">
        <f t="shared" ref="A82" si="93">+IF(C82+C83=0,"[ocultar]","")</f>
        <v>[ocultar]</v>
      </c>
      <c r="B82" s="202" t="s">
        <v>394</v>
      </c>
      <c r="C82" s="203">
        <f t="array" ref="C82">SUM(IF($B82=DATOS_[Sexo],
IF($B81=DATOS_[AGRUP. CLAS. PROF.],
IF("Dentro"=DATOS_[Check Periodo Ref.],
1/(COUNTIFS(DATOS_[Sexo],$B82,DATOS_[AGRUP. CLAS. PROF.],$B81,DATOS_[Check Periodo Ref.],"Dentro",DATOS_[id/cod],DATOS_[id/cod]))))))</f>
        <v>0</v>
      </c>
      <c r="D82" s="204">
        <f>COUNTIFS(DATOS_[AGRUP. CLAS. PROF.],$B81,DATOS_[Sexo],$B82,DATOS_[Check Periodo Ref.],"Dentro")</f>
        <v>0</v>
      </c>
      <c r="E82" s="204">
        <f>COUNTIFS(DATOS_[AGRUP. CLAS. PROF.],$B81,DATOS_[Sexo],$B82,DATOS_[Check Periodo Ref.],"Dentro",DATOS_[Check Nº SC Norm],"Sí")</f>
        <v>0</v>
      </c>
      <c r="F82" s="204">
        <f>COUNTIFS(DATOS_[AGRUP. CLAS. PROF.],$B81,DATOS_[Sexo],$B82,DATOS_[Check Periodo Ref.],"Dentro",DATOS_[Check Nº SC Anualiz],"Sí")</f>
        <v>0</v>
      </c>
      <c r="G82" s="204">
        <f>COUNTIFS(DATOS_[AGRUP. CLAS. PROF.],$B81,DATOS_[Sexo],$B82,DATOS_[Check Periodo Ref.],"Dentro",DATOS_[Check Nº SC Norm y Anualiz],"Sí")</f>
        <v>0</v>
      </c>
      <c r="H82" s="204">
        <f>COUNTIFS(DATOS_[AGRUP. CLAS. PROF.],$B81,DATOS_[Sexo],$B82,DATOS_[Check Periodo Ref.],"Dentro",DATOS_[Check Equiparación],"Sí")</f>
        <v>0</v>
      </c>
      <c r="I82" s="195">
        <f t="array" ref="I82">IFERROR(
AVERAGE(IF(DATOS_[Sexo]=$B82,IF(DATOS_[[AGRUP. CLAS. PROF.]:[AGRUP. CLAS. PROF.]]=$B81,IF(DATOS_[Check Equiparado]="Sí",IF(DATOS_[Check Periodo Ref.]="Dentro",DATOS_[SALARIO BASE Eq],FALSE))))),
0)</f>
        <v>0</v>
      </c>
      <c r="J82" s="196">
        <f t="array" ref="J82">IFERROR(
(AVERAGE((IF(DATOS_[[Sexo]:[Sexo]]=$B82,IF(DATOS_[[AGRUP. CLAS. PROF.]:[AGRUP. CLAS. PROF.]]=$B81,IF(DATOS_[[Check Periodo Ref.]:[Check Periodo Ref.]]="Dentro",IF(DATOS_[[Check Equiparado]:[Check Equiparado]]="Sí",IF(DATOS!AE$5="Sí",(1/DATOS_[[% anualiz]:[% anualiz]]),1)*IF(DATOS!AE$4="Sí",1/DATOS_[[% normaliz]:[% normaliz]],1)*(DATOS_[Conc.Sal.01])))))))),
0)</f>
        <v>0</v>
      </c>
      <c r="K82" s="196">
        <f t="array" ref="K82">IFERROR(
(AVERAGE((IF(DATOS_[[Sexo]:[Sexo]]=$B82,IF(DATOS_[[AGRUP. CLAS. PROF.]:[AGRUP. CLAS. PROF.]]=$B81,IF(DATOS_[[Check Periodo Ref.]:[Check Periodo Ref.]]="Dentro",IF(DATOS_[[Check Equiparado]:[Check Equiparado]]="Sí",IF(DATOS!AF$5="Sí",(1/DATOS_[[% anualiz]:[% anualiz]]),1)*IF(DATOS!AF$4="Sí",1/DATOS_[[% normaliz]:[% normaliz]],1)*(DATOS_[Conc.Sal.02])))))))),
0)</f>
        <v>0</v>
      </c>
      <c r="L82" s="196">
        <f t="array" ref="L82">IFERROR(
(AVERAGE((IF(DATOS_[[Sexo]:[Sexo]]=$B82,IF(DATOS_[[AGRUP. CLAS. PROF.]:[AGRUP. CLAS. PROF.]]=$B81,IF(DATOS_[[Check Periodo Ref.]:[Check Periodo Ref.]]="Dentro",IF(DATOS_[[Check Equiparado]:[Check Equiparado]]="Sí",IF(DATOS!AG$5="Sí",(1/DATOS_[[% anualiz]:[% anualiz]]),1)*IF(DATOS!AG$4="Sí",1/DATOS_[[% normaliz]:[% normaliz]],1)*(DATOS_[Conc.Sal.03])))))))),
0)</f>
        <v>0</v>
      </c>
      <c r="M82" s="196">
        <f t="array" ref="M82">IFERROR(
(AVERAGE((IF(DATOS_[[Sexo]:[Sexo]]=$B82,IF(DATOS_[[AGRUP. CLAS. PROF.]:[AGRUP. CLAS. PROF.]]=$B81,IF(DATOS_[[Check Periodo Ref.]:[Check Periodo Ref.]]="Dentro",IF(DATOS_[[Check Equiparado]:[Check Equiparado]]="Sí",IF(DATOS!AH$5="Sí",(1/DATOS_[[% anualiz]:[% anualiz]]),1)*IF(DATOS!AH$4="Sí",1/DATOS_[[% normaliz]:[% normaliz]],1)*(DATOS_[Conc.Sal.04])))))))),
0)</f>
        <v>0</v>
      </c>
      <c r="N82" s="196">
        <f t="array" ref="N82">IFERROR(
(AVERAGE((IF(DATOS_[[Sexo]:[Sexo]]=$B82,IF(DATOS_[[AGRUP. CLAS. PROF.]:[AGRUP. CLAS. PROF.]]=$B81,IF(DATOS_[[Check Periodo Ref.]:[Check Periodo Ref.]]="Dentro",IF(DATOS_[[Check Equiparado]:[Check Equiparado]]="Sí",IF(DATOS!AI$5="Sí",(1/DATOS_[[% anualiz]:[% anualiz]]),1)*IF(DATOS!AI$4="Sí",1/DATOS_[[% normaliz]:[% normaliz]],1)*(DATOS_[Conc.Sal.05])))))))),
0)</f>
        <v>0</v>
      </c>
      <c r="O82" s="196">
        <f t="array" ref="O82">IFERROR(
(AVERAGE((IF(DATOS_[[Sexo]:[Sexo]]=$B82,IF(DATOS_[[AGRUP. CLAS. PROF.]:[AGRUP. CLAS. PROF.]]=$B81,IF(DATOS_[[Check Periodo Ref.]:[Check Periodo Ref.]]="Dentro",IF(DATOS_[[Check Equiparado]:[Check Equiparado]]="Sí",IF(DATOS!AJ$5="Sí",(1/DATOS_[[% anualiz]:[% anualiz]]),1)*IF(DATOS!AJ$4="Sí",1/DATOS_[[% normaliz]:[% normaliz]],1)*(DATOS_[Conc.Sal.06])))))))),
0)</f>
        <v>0</v>
      </c>
      <c r="P82" s="196">
        <f t="array" ref="P82">IFERROR(
(AVERAGE((IF(DATOS_[[Sexo]:[Sexo]]=$B82,IF(DATOS_[[AGRUP. CLAS. PROF.]:[AGRUP. CLAS. PROF.]]=$B81,IF(DATOS_[[Check Periodo Ref.]:[Check Periodo Ref.]]="Dentro",IF(DATOS_[[Check Equiparado]:[Check Equiparado]]="Sí",IF(DATOS!AK$5="Sí",(1/DATOS_[[% anualiz]:[% anualiz]]),1)*IF(DATOS!AK$4="Sí",1/DATOS_[[% normaliz]:[% normaliz]],1)*(DATOS_[Conc.Sal.07])))))))),
0)</f>
        <v>0</v>
      </c>
      <c r="Q82" s="196">
        <f t="array" ref="Q82">IFERROR(
(AVERAGE((IF(DATOS_[[Sexo]:[Sexo]]=$B82,IF(DATOS_[[AGRUP. CLAS. PROF.]:[AGRUP. CLAS. PROF.]]=$B81,IF(DATOS_[[Check Periodo Ref.]:[Check Periodo Ref.]]="Dentro",IF(DATOS_[[Check Equiparado]:[Check Equiparado]]="Sí",IF(DATOS!AL$5="Sí",(1/DATOS_[[% anualiz]:[% anualiz]]),1)*IF(DATOS!AL$4="Sí",1/DATOS_[[% normaliz]:[% normaliz]],1)*(DATOS_[Conc.Sal.08])))))))),
0)</f>
        <v>0</v>
      </c>
      <c r="R82" s="196">
        <f t="array" ref="R82">IFERROR(
(AVERAGE((IF(DATOS_[[Sexo]:[Sexo]]=$B82,IF(DATOS_[[AGRUP. CLAS. PROF.]:[AGRUP. CLAS. PROF.]]=$B81,IF(DATOS_[[Check Periodo Ref.]:[Check Periodo Ref.]]="Dentro",IF(DATOS_[[Check Equiparado]:[Check Equiparado]]="Sí",IF(DATOS!AM$5="Sí",(1/DATOS_[[% anualiz]:[% anualiz]]),1)*IF(DATOS!AM$4="Sí",1/DATOS_[[% normaliz]:[% normaliz]],1)*(DATOS_[Conc.Sal.09])))))))),
0)</f>
        <v>0</v>
      </c>
      <c r="S82" s="196">
        <f t="array" ref="S82">IFERROR(
(AVERAGE((IF(DATOS_[[Sexo]:[Sexo]]=$B82,IF(DATOS_[[AGRUP. CLAS. PROF.]:[AGRUP. CLAS. PROF.]]=$B81,IF(DATOS_[[Check Periodo Ref.]:[Check Periodo Ref.]]="Dentro",IF(DATOS_[[Check Equiparado]:[Check Equiparado]]="Sí",IF(DATOS!AN$5="Sí",(1/DATOS_[[% anualiz]:[% anualiz]]),1)*IF(DATOS!AN$4="Sí",1/DATOS_[[% normaliz]:[% normaliz]],1)*(DATOS_[Conc.Sal.10])))))))),
0)</f>
        <v>0</v>
      </c>
      <c r="T82" s="196">
        <f t="array" ref="T82">IFERROR(
(AVERAGE((IF(DATOS_[[Sexo]:[Sexo]]=$B82,IF(DATOS_[[AGRUP. CLAS. PROF.]:[AGRUP. CLAS. PROF.]]=$B81,IF(DATOS_[[Check Periodo Ref.]:[Check Periodo Ref.]]="Dentro",IF(DATOS_[[Check Equiparado]:[Check Equiparado]]="Sí",IF(DATOS!AO$5="Sí",(1/DATOS_[[% anualiz]:[% anualiz]]),1)*IF(DATOS!AO$4="Sí",1/DATOS_[[% normaliz]:[% normaliz]],1)*(DATOS_[Conc.Sal.11])))))))),
0)</f>
        <v>0</v>
      </c>
      <c r="U82" s="196">
        <f t="array" ref="U82">IFERROR(
(AVERAGE((IF(DATOS_[[Sexo]:[Sexo]]=$B82,IF(DATOS_[[AGRUP. CLAS. PROF.]:[AGRUP. CLAS. PROF.]]=$B81,IF(DATOS_[[Check Periodo Ref.]:[Check Periodo Ref.]]="Dentro",IF(DATOS_[[Check Equiparado]:[Check Equiparado]]="Sí",IF(DATOS!AP$5="Sí",(1/DATOS_[[% anualiz]:[% anualiz]]),1)*IF(DATOS!AP$4="Sí",1/DATOS_[[% normaliz]:[% normaliz]],1)*(DATOS_[Conc.Sal.12])))))))),
0)</f>
        <v>0</v>
      </c>
      <c r="V82" s="196">
        <f t="array" ref="V82">IFERROR(
(AVERAGE((IF(DATOS_[[Sexo]:[Sexo]]=$B82,IF(DATOS_[[AGRUP. CLAS. PROF.]:[AGRUP. CLAS. PROF.]]=$B81,IF(DATOS_[[Check Periodo Ref.]:[Check Periodo Ref.]]="Dentro",IF(DATOS_[[Check Equiparado]:[Check Equiparado]]="Sí",IF(DATOS!AQ$5="Sí",(1/DATOS_[[% anualiz]:[% anualiz]]),1)*IF(DATOS!AQ$4="Sí",1/DATOS_[[% normaliz]:[% normaliz]],1)*(DATOS_[Conc.Sal.13])))))))),
0)</f>
        <v>0</v>
      </c>
      <c r="W82" s="196">
        <f t="array" ref="W82">IFERROR(
(AVERAGE((IF(DATOS_[[Sexo]:[Sexo]]=$B82,IF(DATOS_[[AGRUP. CLAS. PROF.]:[AGRUP. CLAS. PROF.]]=$B81,IF(DATOS_[[Check Periodo Ref.]:[Check Periodo Ref.]]="Dentro",IF(DATOS_[[Check Equiparado]:[Check Equiparado]]="Sí",IF(DATOS!AR$5="Sí",(1/DATOS_[[% anualiz]:[% anualiz]]),1)*IF(DATOS!AR$4="Sí",1/DATOS_[[% normaliz]:[% normaliz]],1)*(DATOS_[Conc.Sal.14])))))))),
0)</f>
        <v>0</v>
      </c>
      <c r="X82" s="196">
        <f t="array" ref="X82">IFERROR(
(AVERAGE((IF(DATOS_[[Sexo]:[Sexo]]=$B82,IF(DATOS_[[AGRUP. CLAS. PROF.]:[AGRUP. CLAS. PROF.]]=$B81,IF(DATOS_[[Check Periodo Ref.]:[Check Periodo Ref.]]="Dentro",IF(DATOS_[[Check Equiparado]:[Check Equiparado]]="Sí",IF(DATOS!AS$5="Sí",(1/DATOS_[[% anualiz]:[% anualiz]]),1)*IF(DATOS!AS$4="Sí",1/DATOS_[[% normaliz]:[% normaliz]],1)*(DATOS_[Conc.Sal.15])))))))),
0)</f>
        <v>0</v>
      </c>
      <c r="Y82" s="196">
        <f t="array" ref="Y82">IFERROR(
(AVERAGE((IF(DATOS_[[Sexo]:[Sexo]]=$B82,IF(DATOS_[[AGRUP. CLAS. PROF.]:[AGRUP. CLAS. PROF.]]=$B81,IF(DATOS_[[Check Periodo Ref.]:[Check Periodo Ref.]]="Dentro",IF(DATOS_[[Check Equiparado]:[Check Equiparado]]="Sí",IF(DATOS!AT$5="Sí",(1/DATOS_[[% anualiz]:[% anualiz]]),1)*IF(DATOS!AT$4="Sí",1/DATOS_[[% normaliz]:[% normaliz]],1)*(DATOS_[Conc.Sal.16])))))))),
0)</f>
        <v>0</v>
      </c>
      <c r="Z82" s="196">
        <f t="array" ref="Z82">IFERROR(
(AVERAGE((IF(DATOS_[[Sexo]:[Sexo]]=$B82,IF(DATOS_[[AGRUP. CLAS. PROF.]:[AGRUP. CLAS. PROF.]]=$B81,IF(DATOS_[[Check Periodo Ref.]:[Check Periodo Ref.]]="Dentro",IF(DATOS_[[Check Equiparado]:[Check Equiparado]]="Sí",IF(DATOS!AU$5="Sí",(1/DATOS_[[% anualiz]:[% anualiz]]),1)*IF(DATOS!AU$4="Sí",1/DATOS_[[% normaliz]:[% normaliz]],1)*(DATOS_[Conc.Sal.17])))))))),
0)</f>
        <v>0</v>
      </c>
      <c r="AA82" s="196">
        <f t="array" ref="AA82">IFERROR(
(AVERAGE((IF(DATOS_[[Sexo]:[Sexo]]=$B82,IF(DATOS_[[AGRUP. CLAS. PROF.]:[AGRUP. CLAS. PROF.]]=$B81,IF(DATOS_[[Check Periodo Ref.]:[Check Periodo Ref.]]="Dentro",IF(DATOS_[[Check Equiparado]:[Check Equiparado]]="Sí",IF(DATOS!AV$5="Sí",(1/DATOS_[[% anualiz]:[% anualiz]]),1)*IF(DATOS!AV$4="Sí",1/DATOS_[[% normaliz]:[% normaliz]],1)*(DATOS_[Conc.Sal.18])))))))),
0)</f>
        <v>0</v>
      </c>
      <c r="AB82" s="196">
        <f t="array" ref="AB82">IFERROR(
(AVERAGE((IF(DATOS_[[Sexo]:[Sexo]]=$B82,IF(DATOS_[[AGRUP. CLAS. PROF.]:[AGRUP. CLAS. PROF.]]=$B81,IF(DATOS_[[Check Periodo Ref.]:[Check Periodo Ref.]]="Dentro",IF(DATOS_[[Check Equiparado]:[Check Equiparado]]="Sí",IF(DATOS!AW$5="Sí",(1/DATOS_[[% anualiz]:[% anualiz]]),1)*IF(DATOS!AW$4="Sí",1/DATOS_[[% normaliz]:[% normaliz]],1)*(DATOS_[Conc.Sal.19])))))))),
0)</f>
        <v>0</v>
      </c>
      <c r="AC82" s="196">
        <f t="array" ref="AC82">IFERROR(
(AVERAGE((IF(DATOS_[[Sexo]:[Sexo]]=$B82,IF(DATOS_[[AGRUP. CLAS. PROF.]:[AGRUP. CLAS. PROF.]]=$B81,IF(DATOS_[[Check Periodo Ref.]:[Check Periodo Ref.]]="Dentro",IF(DATOS_[[Check Equiparado]:[Check Equiparado]]="Sí",IF(DATOS!AX$5="Sí",(1/DATOS_[[% anualiz]:[% anualiz]]),1)*IF(DATOS!AX$4="Sí",1/DATOS_[[% normaliz]:[% normaliz]],1)*(DATOS_[Conc.Sal.20])))))))),
0)</f>
        <v>0</v>
      </c>
      <c r="AD82" s="196">
        <f t="array" ref="AD82">IFERROR(
(AVERAGE((IF(DATOS_[[Sexo]:[Sexo]]=$B82,IF(DATOS_[[AGRUP. CLAS. PROF.]:[AGRUP. CLAS. PROF.]]=$B81,IF(DATOS_[[Check Periodo Ref.]:[Check Periodo Ref.]]="Dentro",IF(DATOS_[[Check Equiparado]:[Check Equiparado]]="Sí",IF(DATOS!AY$5="Sí",(1/DATOS_[[% anualiz]:[% anualiz]]),1)*IF(DATOS!AY$4="Sí",1/DATOS_[[% normaliz]:[% normaliz]],1)*(DATOS_[Conc.Sal.21])))))))),
0)</f>
        <v>0</v>
      </c>
      <c r="AE82" s="196">
        <f t="array" ref="AE82">IFERROR(
(AVERAGE((IF(DATOS_[[Sexo]:[Sexo]]=$B82,IF(DATOS_[[AGRUP. CLAS. PROF.]:[AGRUP. CLAS. PROF.]]=$B81,IF(DATOS_[[Check Periodo Ref.]:[Check Periodo Ref.]]="Dentro",IF(DATOS_[[Check Equiparado]:[Check Equiparado]]="Sí",IF(DATOS!AZ$5="Sí",(1/DATOS_[[% anualiz]:[% anualiz]]),1)*IF(DATOS!AZ$4="Sí",1/DATOS_[[% normaliz]:[% normaliz]],1)*(DATOS_[Conc.Sal.22])))))))),
0)</f>
        <v>0</v>
      </c>
      <c r="AF82" s="196">
        <f t="array" ref="AF82">IFERROR(
(AVERAGE((IF(DATOS_[[Sexo]:[Sexo]]=$B82,IF(DATOS_[[AGRUP. CLAS. PROF.]:[AGRUP. CLAS. PROF.]]=$B81,IF(DATOS_[[Check Periodo Ref.]:[Check Periodo Ref.]]="Dentro",IF(DATOS_[[Check Equiparado]:[Check Equiparado]]="Sí",IF(DATOS!BA$5="Sí",(1/DATOS_[[% anualiz]:[% anualiz]]),1)*IF(DATOS!BA$4="Sí",1/DATOS_[[% normaliz]:[% normaliz]],1)*(DATOS_[Conc.Sal.23])))))))),
0)</f>
        <v>0</v>
      </c>
      <c r="AG82" s="196">
        <f t="array" ref="AG82">IFERROR(
(AVERAGE((IF(DATOS_[[Sexo]:[Sexo]]=$B82,IF(DATOS_[[AGRUP. CLAS. PROF.]:[AGRUP. CLAS. PROF.]]=$B81,IF(DATOS_[[Check Periodo Ref.]:[Check Periodo Ref.]]="Dentro",IF(DATOS_[[Check Equiparado]:[Check Equiparado]]="Sí",IF(DATOS!BB$5="Sí",(1/DATOS_[[% anualiz]:[% anualiz]]),1)*IF(DATOS!BB$4="Sí",1/DATOS_[[% normaliz]:[% normaliz]],1)*(DATOS_[Conc.Sal.24])))))))),
0)</f>
        <v>0</v>
      </c>
      <c r="AH82" s="196">
        <f t="array" ref="AH82">IFERROR(
(AVERAGE((IF(DATOS_[[Sexo]:[Sexo]]=$B82,IF(DATOS_[[AGRUP. CLAS. PROF.]:[AGRUP. CLAS. PROF.]]=$B81,IF(DATOS_[[Check Periodo Ref.]:[Check Periodo Ref.]]="Dentro",IF(DATOS_[[Check Equiparado]:[Check Equiparado]]="Sí",IF(DATOS!BC$5="Sí",(1/DATOS_[[% anualiz]:[% anualiz]]),1)*IF(DATOS!BC$4="Sí",1/DATOS_[[% normaliz]:[% normaliz]],1)*(DATOS_[Conc.Sal.25])))))))),
0)</f>
        <v>0</v>
      </c>
      <c r="AI82" s="196">
        <f t="array" ref="AI82">IFERROR(
(AVERAGE((IF(DATOS_[[Sexo]:[Sexo]]=$B82,IF(DATOS_[[AGRUP. CLAS. PROF.]:[AGRUP. CLAS. PROF.]]=$B81,IF(DATOS_[[Check Periodo Ref.]:[Check Periodo Ref.]]="Dentro",IF(DATOS_[[Check Equiparado]:[Check Equiparado]]="Sí",IF(DATOS!BD$5="Sí",(1/DATOS_[[% anualiz]:[% anualiz]]),1)*IF(DATOS!BD$4="Sí",1/DATOS_[[% normaliz]:[% normaliz]],1)*(DATOS_[Conc.Sal.26])))))))),
0)</f>
        <v>0</v>
      </c>
      <c r="AJ82" s="196">
        <f t="array" ref="AJ82">IFERROR(
(AVERAGE((IF(DATOS_[[Sexo]:[Sexo]]=$B82,IF(DATOS_[[AGRUP. CLAS. PROF.]:[AGRUP. CLAS. PROF.]]=$B81,IF(DATOS_[[Check Periodo Ref.]:[Check Periodo Ref.]]="Dentro",IF(DATOS_[[Check Equiparado]:[Check Equiparado]]="Sí",IF(DATOS!BE$5="Sí",(1/DATOS_[[% anualiz]:[% anualiz]]),1)*IF(DATOS!BE$4="Sí",1/DATOS_[[% normaliz]:[% normaliz]],1)*(DATOS_[Conc.Sal.27])))))))),
0)</f>
        <v>0</v>
      </c>
      <c r="AK82" s="196">
        <f t="array" ref="AK82">IFERROR(
(AVERAGE((IF(DATOS_[[Sexo]:[Sexo]]=$B82,IF(DATOS_[[AGRUP. CLAS. PROF.]:[AGRUP. CLAS. PROF.]]=$B81,IF(DATOS_[[Check Periodo Ref.]:[Check Periodo Ref.]]="Dentro",IF(DATOS_[[Check Equiparado]:[Check Equiparado]]="Sí",IF(DATOS!BF$5="Sí",(1/DATOS_[[% anualiz]:[% anualiz]]),1)*IF(DATOS!BF$4="Sí",1/DATOS_[[% normaliz]:[% normaliz]],1)*(DATOS_[Conc.Sal.28])))))))),
0)</f>
        <v>0</v>
      </c>
      <c r="AL82" s="196">
        <f t="array" ref="AL82">IFERROR(
(AVERAGE((IF(DATOS_[[Sexo]:[Sexo]]=$B82,IF(DATOS_[[AGRUP. CLAS. PROF.]:[AGRUP. CLAS. PROF.]]=$B81,IF(DATOS_[[Check Periodo Ref.]:[Check Periodo Ref.]]="Dentro",IF(DATOS_[[Check Equiparado]:[Check Equiparado]]="Sí",IF(DATOS!BG$5="Sí",(1/DATOS_[[% anualiz]:[% anualiz]]),1)*IF(DATOS!BG$4="Sí",1/DATOS_[[% normaliz]:[% normaliz]],1)*(DATOS_[Conc.Sal.29])))))))),
0)</f>
        <v>0</v>
      </c>
      <c r="AM82" s="196">
        <f t="array" ref="AM82">IFERROR(
(AVERAGE((IF(DATOS_[[Sexo]:[Sexo]]=$B82,IF(DATOS_[[AGRUP. CLAS. PROF.]:[AGRUP. CLAS. PROF.]]=$B81,IF(DATOS_[[Check Periodo Ref.]:[Check Periodo Ref.]]="Dentro",IF(DATOS_[[Check Equiparado]:[Check Equiparado]]="Sí",IF(DATOS!BH$5="Sí",(1/DATOS_[[% anualiz]:[% anualiz]]),1)*IF(DATOS!BH$4="Sí",1/DATOS_[[% normaliz]:[% normaliz]],1)*(DATOS_[Conc.Sal.30])))))))),
0)</f>
        <v>0</v>
      </c>
      <c r="AN82" s="195">
        <f t="array" ref="AN82">IFERROR(
AVERAGE(IF(DATOS_[Sexo]=$B82,IF(DATOS_[[AGRUP. CLAS. PROF.]:[AGRUP. CLAS. PROF.]]=$B81,IF(DATOS_[Check Equiparado]="Sí",IF(DATOS_[Check Periodo Ref.]="Dentro",DATOS_[Tot COMPL.SAL Eq],FALSE))))),
0)</f>
        <v>0</v>
      </c>
      <c r="AO82" s="172">
        <f t="array" ref="AO82">IFERROR(
AVERAGE(IF(DATOS_[Sexo]=$B82,IF(DATOS_[[AGRUP. CLAS. PROF.]:[AGRUP. CLAS. PROF.]]=$B81,IF(DATOS_[Check Equiparado]="Sí",IF(DATOS_[Check Periodo Ref.]="Dentro",DATOS_[TOTAL SALARIO Eq],FALSE))))),
0)</f>
        <v>0</v>
      </c>
      <c r="AP82" s="173">
        <f t="array" ref="AP82">IFERROR(
(AVERAGE((IF(DATOS_[[Sexo]:[Sexo]]=$B82,IF(DATOS_[[AGRUP. CLAS. PROF.]:[AGRUP. CLAS. PROF.]]=$B81,IF(DATOS_[[Check Periodo Ref.]:[Check Periodo Ref.]]="Dentro",IF(DATOS_[[Check Equiparado]:[Check Equiparado]]="Sí",IF(DATOS!BW$5="Sí",(1/DATOS_[[% anualiz]:[% anualiz]]),1)*IF(DATOS!BW$4="Sí",1/DATOS_[[% normaliz]:[% normaliz]],1)*(DATOS_[C.Extra.01])))))))),
0)</f>
        <v>0</v>
      </c>
      <c r="AQ82" s="173">
        <f t="array" ref="AQ82">IFERROR(
(AVERAGE((IF(DATOS_[[Sexo]:[Sexo]]=$B82,IF(DATOS_[[AGRUP. CLAS. PROF.]:[AGRUP. CLAS. PROF.]]=$B81,IF(DATOS_[[Check Periodo Ref.]:[Check Periodo Ref.]]="Dentro",IF(DATOS_[[Check Equiparado]:[Check Equiparado]]="Sí",IF(DATOS!CB$5="Sí",(1/DATOS_[[% anualiz]:[% anualiz]]),1)*IF(DATOS!CB$4="Sí",1/DATOS_[[% normaliz]:[% normaliz]],1)*(DATOS_[C.Extra.06])))))))),
0)</f>
        <v>0</v>
      </c>
      <c r="AR82" s="173">
        <f t="array" ref="AR82">IFERROR(
(AVERAGE((IF(DATOS_[[Sexo]:[Sexo]]=$B82,IF(DATOS_[[AGRUP. CLAS. PROF.]:[AGRUP. CLAS. PROF.]]=$B81,IF(DATOS_[[Check Periodo Ref.]:[Check Periodo Ref.]]="Dentro",IF(DATOS_[[Check Equiparado]:[Check Equiparado]]="Sí",IF(DATOS!CC$5="Sí",(1/DATOS_[[% anualiz]:[% anualiz]]),1)*IF(DATOS!CC$4="Sí",1/DATOS_[[% normaliz]:[% normaliz]],1)*(DATOS_[C.Extra.07])))))))),
0)</f>
        <v>0</v>
      </c>
      <c r="AS82" s="173">
        <f t="array" ref="AS82">IFERROR(
(AVERAGE((IF(DATOS_[[Sexo]:[Sexo]]=$B82,IF(DATOS_[[AGRUP. CLAS. PROF.]:[AGRUP. CLAS. PROF.]]=$B81,IF(DATOS_[[Check Periodo Ref.]:[Check Periodo Ref.]]="Dentro",IF(DATOS_[[Check Equiparado]:[Check Equiparado]]="Sí",IF(DATOS!CD$5="Sí",(1/DATOS_[[% anualiz]:[% anualiz]]),1)*IF(DATOS!CD$4="Sí",1/DATOS_[[% normaliz]:[% normaliz]],1)*(DATOS_[C.Extra.08])))))))),
0)</f>
        <v>0</v>
      </c>
      <c r="AT82" s="173">
        <f t="array" ref="AT82">IFERROR(
(AVERAGE((IF(DATOS_[[Sexo]:[Sexo]]=$B82,IF(DATOS_[[AGRUP. CLAS. PROF.]:[AGRUP. CLAS. PROF.]]=$B81,IF(DATOS_[[Check Periodo Ref.]:[Check Periodo Ref.]]="Dentro",IF(DATOS_[[Check Equiparado]:[Check Equiparado]]="Sí",IF(DATOS!CG$5="Sí",(1/DATOS_[[% anualiz]:[% anualiz]]),1)*IF(DATOS!CG$4="Sí",1/DATOS_[[% normaliz]:[% normaliz]],1)*(DATOS_[C.Extra.11])))))))),
0)</f>
        <v>0</v>
      </c>
      <c r="AU82" s="197">
        <f t="array" ref="AU82">IFERROR(
AVERAGE(IF(DATOS_[Sexo]=$B82,IF(DATOS_[[AGRUP. CLAS. PROF.]:[AGRUP. CLAS. PROF.]]=$B81,IF(DATOS_[Check Equiparado]="Sí",IF(DATOS_[Check Periodo Ref.]="Dentro",DATOS_[Tot Extrasalarial Eq],FALSE))))),
0)</f>
        <v>0</v>
      </c>
      <c r="AV82" s="175">
        <f t="array" ref="AV82">IFERROR(
AVERAGE(IF(DATOS_[Sexo]=$B82,IF(DATOS_[[AGRUP. CLAS. PROF.]:[AGRUP. CLAS. PROF.]]=$B81,IF(DATOS_[Check Equiparado]="Sí",IF(DATOS_[Check Periodo Ref.]="Dentro",DATOS_[TOTAL Retrib Eq],FALSE))))),
0)</f>
        <v>0</v>
      </c>
    </row>
    <row r="83" spans="1:48" hidden="1" x14ac:dyDescent="0.25">
      <c r="A83" s="133" t="str">
        <f t="shared" ref="A83" si="94">+A82</f>
        <v>[ocultar]</v>
      </c>
      <c r="B83" s="202" t="s">
        <v>521</v>
      </c>
      <c r="C83" s="203">
        <f t="array" ref="C83">SUM(IF($B83=DATOS_[Sexo],
IF($B81=DATOS_[AGRUP. CLAS. PROF.],
IF("Dentro"=DATOS_[Check Periodo Ref.],
1/(COUNTIFS(DATOS_[Sexo],$B83,DATOS_[AGRUP. CLAS. PROF.],$B81,DATOS_[Check Periodo Ref.],"Dentro",DATOS_[id/cod],DATOS_[id/cod]))))))</f>
        <v>0</v>
      </c>
      <c r="D83" s="204">
        <f>COUNTIFS(DATOS_[AGRUP. CLAS. PROF.],$B81,DATOS_[Sexo],$B83,DATOS_[Check Periodo Ref.],"Dentro")</f>
        <v>0</v>
      </c>
      <c r="E83" s="204">
        <f>COUNTIFS(DATOS_[AGRUP. CLAS. PROF.],$B81,DATOS_[Sexo],$B83,DATOS_[Check Periodo Ref.],"Dentro",DATOS_[Check Nº SC Norm],"Sí")</f>
        <v>0</v>
      </c>
      <c r="F83" s="204">
        <f>COUNTIFS(DATOS_[AGRUP. CLAS. PROF.],$B81,DATOS_[Sexo],$B83,DATOS_[Check Periodo Ref.],"Dentro",DATOS_[Check Nº SC Anualiz],"Sí")</f>
        <v>0</v>
      </c>
      <c r="G83" s="204">
        <f>COUNTIFS(DATOS_[AGRUP. CLAS. PROF.],$B81,DATOS_[Sexo],$B83,DATOS_[Check Periodo Ref.],"Dentro",DATOS_[Check Nº SC Norm y Anualiz],"Sí")</f>
        <v>0</v>
      </c>
      <c r="H83" s="204">
        <f>COUNTIFS(DATOS_[AGRUP. CLAS. PROF.],$B81,DATOS_[Sexo],$B83,DATOS_[Check Periodo Ref.],"Dentro",DATOS_[Check Equiparación],"Sí")</f>
        <v>0</v>
      </c>
      <c r="I83" s="195" cm="1">
        <f t="array" ref="I83">IFERROR(
AVERAGE(IF(DATOS_[Sexo]=$B83,IF(DATOS_[[AGRUP. CLAS. PROF.]:[AGRUP. CLAS. PROF.]]=$B81,IF(DATOS_[Check Equiparado]="Sí",IF(DATOS_[Check Periodo Ref.]="Dentro",DATOS_[SALARIO BASE Eq],FALSE))))),
0)</f>
        <v>0</v>
      </c>
      <c r="J83" s="196">
        <f t="array" ref="J83">IFERROR(
(AVERAGE((IF(DATOS_[[Sexo]:[Sexo]]=$B83,IF(DATOS_[[AGRUP. CLAS. PROF.]:[AGRUP. CLAS. PROF.]]=$B81,IF(DATOS_[[Check Periodo Ref.]:[Check Periodo Ref.]]="Dentro",IF(DATOS_[[Check Equiparado]:[Check Equiparado]]="Sí",IF(DATOS!AE$5="Sí",(1/DATOS_[[% anualiz]:[% anualiz]]),1)*IF(DATOS!AE$4="Sí",1/DATOS_[[% normaliz]:[% normaliz]],1)*(DATOS_[Conc.Sal.01])))))))),
0)</f>
        <v>0</v>
      </c>
      <c r="K83" s="196">
        <f t="array" ref="K83">IFERROR(
(AVERAGE((IF(DATOS_[[Sexo]:[Sexo]]=$B83,IF(DATOS_[[AGRUP. CLAS. PROF.]:[AGRUP. CLAS. PROF.]]=$B81,IF(DATOS_[[Check Periodo Ref.]:[Check Periodo Ref.]]="Dentro",IF(DATOS_[[Check Equiparado]:[Check Equiparado]]="Sí",IF(DATOS!AF$5="Sí",(1/DATOS_[[% anualiz]:[% anualiz]]),1)*IF(DATOS!AF$4="Sí",1/DATOS_[[% normaliz]:[% normaliz]],1)*(DATOS_[Conc.Sal.02])))))))),
0)</f>
        <v>0</v>
      </c>
      <c r="L83" s="196">
        <f t="array" ref="L83">IFERROR(
(AVERAGE((IF(DATOS_[[Sexo]:[Sexo]]=$B83,IF(DATOS_[[AGRUP. CLAS. PROF.]:[AGRUP. CLAS. PROF.]]=$B81,IF(DATOS_[[Check Periodo Ref.]:[Check Periodo Ref.]]="Dentro",IF(DATOS_[[Check Equiparado]:[Check Equiparado]]="Sí",IF(DATOS!AG$5="Sí",(1/DATOS_[[% anualiz]:[% anualiz]]),1)*IF(DATOS!AG$4="Sí",1/DATOS_[[% normaliz]:[% normaliz]],1)*(DATOS_[Conc.Sal.03])))))))),
0)</f>
        <v>0</v>
      </c>
      <c r="M83" s="196">
        <f t="array" ref="M83">IFERROR(
(AVERAGE((IF(DATOS_[[Sexo]:[Sexo]]=$B83,IF(DATOS_[[AGRUP. CLAS. PROF.]:[AGRUP. CLAS. PROF.]]=$B81,IF(DATOS_[[Check Periodo Ref.]:[Check Periodo Ref.]]="Dentro",IF(DATOS_[[Check Equiparado]:[Check Equiparado]]="Sí",IF(DATOS!AH$5="Sí",(1/DATOS_[[% anualiz]:[% anualiz]]),1)*IF(DATOS!AH$4="Sí",1/DATOS_[[% normaliz]:[% normaliz]],1)*(DATOS_[Conc.Sal.04])))))))),
0)</f>
        <v>0</v>
      </c>
      <c r="N83" s="196">
        <f t="array" ref="N83">IFERROR(
(AVERAGE((IF(DATOS_[[Sexo]:[Sexo]]=$B83,IF(DATOS_[[AGRUP. CLAS. PROF.]:[AGRUP. CLAS. PROF.]]=$B81,IF(DATOS_[[Check Periodo Ref.]:[Check Periodo Ref.]]="Dentro",IF(DATOS_[[Check Equiparado]:[Check Equiparado]]="Sí",IF(DATOS!AI$5="Sí",(1/DATOS_[[% anualiz]:[% anualiz]]),1)*IF(DATOS!AI$4="Sí",1/DATOS_[[% normaliz]:[% normaliz]],1)*(DATOS_[Conc.Sal.05])))))))),
0)</f>
        <v>0</v>
      </c>
      <c r="O83" s="196">
        <f t="array" ref="O83">IFERROR(
(AVERAGE((IF(DATOS_[[Sexo]:[Sexo]]=$B83,IF(DATOS_[[AGRUP. CLAS. PROF.]:[AGRUP. CLAS. PROF.]]=$B81,IF(DATOS_[[Check Periodo Ref.]:[Check Periodo Ref.]]="Dentro",IF(DATOS_[[Check Equiparado]:[Check Equiparado]]="Sí",IF(DATOS!AJ$5="Sí",(1/DATOS_[[% anualiz]:[% anualiz]]),1)*IF(DATOS!AJ$4="Sí",1/DATOS_[[% normaliz]:[% normaliz]],1)*(DATOS_[Conc.Sal.06])))))))),
0)</f>
        <v>0</v>
      </c>
      <c r="P83" s="196">
        <f t="array" ref="P83">IFERROR(
(AVERAGE((IF(DATOS_[[Sexo]:[Sexo]]=$B83,IF(DATOS_[[AGRUP. CLAS. PROF.]:[AGRUP. CLAS. PROF.]]=$B81,IF(DATOS_[[Check Periodo Ref.]:[Check Periodo Ref.]]="Dentro",IF(DATOS_[[Check Equiparado]:[Check Equiparado]]="Sí",IF(DATOS!AK$5="Sí",(1/DATOS_[[% anualiz]:[% anualiz]]),1)*IF(DATOS!AK$4="Sí",1/DATOS_[[% normaliz]:[% normaliz]],1)*(DATOS_[Conc.Sal.07])))))))),
0)</f>
        <v>0</v>
      </c>
      <c r="Q83" s="196">
        <f t="array" ref="Q83">IFERROR(
(AVERAGE((IF(DATOS_[[Sexo]:[Sexo]]=$B83,IF(DATOS_[[AGRUP. CLAS. PROF.]:[AGRUP. CLAS. PROF.]]=$B81,IF(DATOS_[[Check Periodo Ref.]:[Check Periodo Ref.]]="Dentro",IF(DATOS_[[Check Equiparado]:[Check Equiparado]]="Sí",IF(DATOS!AL$5="Sí",(1/DATOS_[[% anualiz]:[% anualiz]]),1)*IF(DATOS!AL$4="Sí",1/DATOS_[[% normaliz]:[% normaliz]],1)*(DATOS_[Conc.Sal.08])))))))),
0)</f>
        <v>0</v>
      </c>
      <c r="R83" s="196">
        <f t="array" ref="R83">IFERROR(
(AVERAGE((IF(DATOS_[[Sexo]:[Sexo]]=$B83,IF(DATOS_[[AGRUP. CLAS. PROF.]:[AGRUP. CLAS. PROF.]]=$B81,IF(DATOS_[[Check Periodo Ref.]:[Check Periodo Ref.]]="Dentro",IF(DATOS_[[Check Equiparado]:[Check Equiparado]]="Sí",IF(DATOS!AM$5="Sí",(1/DATOS_[[% anualiz]:[% anualiz]]),1)*IF(DATOS!AM$4="Sí",1/DATOS_[[% normaliz]:[% normaliz]],1)*(DATOS_[Conc.Sal.09])))))))),
0)</f>
        <v>0</v>
      </c>
      <c r="S83" s="196">
        <f t="array" ref="S83">IFERROR(
(AVERAGE((IF(DATOS_[[Sexo]:[Sexo]]=$B83,IF(DATOS_[[AGRUP. CLAS. PROF.]:[AGRUP. CLAS. PROF.]]=$B81,IF(DATOS_[[Check Periodo Ref.]:[Check Periodo Ref.]]="Dentro",IF(DATOS_[[Check Equiparado]:[Check Equiparado]]="Sí",IF(DATOS!AN$5="Sí",(1/DATOS_[[% anualiz]:[% anualiz]]),1)*IF(DATOS!AN$4="Sí",1/DATOS_[[% normaliz]:[% normaliz]],1)*(DATOS_[Conc.Sal.10])))))))),
0)</f>
        <v>0</v>
      </c>
      <c r="T83" s="196">
        <f t="array" ref="T83">IFERROR(
(AVERAGE((IF(DATOS_[[Sexo]:[Sexo]]=$B83,IF(DATOS_[[AGRUP. CLAS. PROF.]:[AGRUP. CLAS. PROF.]]=$B81,IF(DATOS_[[Check Periodo Ref.]:[Check Periodo Ref.]]="Dentro",IF(DATOS_[[Check Equiparado]:[Check Equiparado]]="Sí",IF(DATOS!AO$5="Sí",(1/DATOS_[[% anualiz]:[% anualiz]]),1)*IF(DATOS!AO$4="Sí",1/DATOS_[[% normaliz]:[% normaliz]],1)*(DATOS_[Conc.Sal.11])))))))),
0)</f>
        <v>0</v>
      </c>
      <c r="U83" s="196">
        <f t="array" ref="U83">IFERROR(
(AVERAGE((IF(DATOS_[[Sexo]:[Sexo]]=$B83,IF(DATOS_[[AGRUP. CLAS. PROF.]:[AGRUP. CLAS. PROF.]]=$B81,IF(DATOS_[[Check Periodo Ref.]:[Check Periodo Ref.]]="Dentro",IF(DATOS_[[Check Equiparado]:[Check Equiparado]]="Sí",IF(DATOS!AP$5="Sí",(1/DATOS_[[% anualiz]:[% anualiz]]),1)*IF(DATOS!AP$4="Sí",1/DATOS_[[% normaliz]:[% normaliz]],1)*(DATOS_[Conc.Sal.12])))))))),
0)</f>
        <v>0</v>
      </c>
      <c r="V83" s="196">
        <f t="array" ref="V83">IFERROR(
(AVERAGE((IF(DATOS_[[Sexo]:[Sexo]]=$B83,IF(DATOS_[[AGRUP. CLAS. PROF.]:[AGRUP. CLAS. PROF.]]=$B81,IF(DATOS_[[Check Periodo Ref.]:[Check Periodo Ref.]]="Dentro",IF(DATOS_[[Check Equiparado]:[Check Equiparado]]="Sí",IF(DATOS!AQ$5="Sí",(1/DATOS_[[% anualiz]:[% anualiz]]),1)*IF(DATOS!AQ$4="Sí",1/DATOS_[[% normaliz]:[% normaliz]],1)*(DATOS_[Conc.Sal.13])))))))),
0)</f>
        <v>0</v>
      </c>
      <c r="W83" s="196">
        <f t="array" ref="W83">IFERROR(
(AVERAGE((IF(DATOS_[[Sexo]:[Sexo]]=$B83,IF(DATOS_[[AGRUP. CLAS. PROF.]:[AGRUP. CLAS. PROF.]]=$B81,IF(DATOS_[[Check Periodo Ref.]:[Check Periodo Ref.]]="Dentro",IF(DATOS_[[Check Equiparado]:[Check Equiparado]]="Sí",IF(DATOS!AR$5="Sí",(1/DATOS_[[% anualiz]:[% anualiz]]),1)*IF(DATOS!AR$4="Sí",1/DATOS_[[% normaliz]:[% normaliz]],1)*(DATOS_[Conc.Sal.14])))))))),
0)</f>
        <v>0</v>
      </c>
      <c r="X83" s="196">
        <f t="array" ref="X83">IFERROR(
(AVERAGE((IF(DATOS_[[Sexo]:[Sexo]]=$B83,IF(DATOS_[[AGRUP. CLAS. PROF.]:[AGRUP. CLAS. PROF.]]=$B81,IF(DATOS_[[Check Periodo Ref.]:[Check Periodo Ref.]]="Dentro",IF(DATOS_[[Check Equiparado]:[Check Equiparado]]="Sí",IF(DATOS!AS$5="Sí",(1/DATOS_[[% anualiz]:[% anualiz]]),1)*IF(DATOS!AS$4="Sí",1/DATOS_[[% normaliz]:[% normaliz]],1)*(DATOS_[Conc.Sal.15])))))))),
0)</f>
        <v>0</v>
      </c>
      <c r="Y83" s="196">
        <f t="array" ref="Y83">IFERROR(
(AVERAGE((IF(DATOS_[[Sexo]:[Sexo]]=$B83,IF(DATOS_[[AGRUP. CLAS. PROF.]:[AGRUP. CLAS. PROF.]]=$B81,IF(DATOS_[[Check Periodo Ref.]:[Check Periodo Ref.]]="Dentro",IF(DATOS_[[Check Equiparado]:[Check Equiparado]]="Sí",IF(DATOS!AT$5="Sí",(1/DATOS_[[% anualiz]:[% anualiz]]),1)*IF(DATOS!AT$4="Sí",1/DATOS_[[% normaliz]:[% normaliz]],1)*(DATOS_[Conc.Sal.16])))))))),
0)</f>
        <v>0</v>
      </c>
      <c r="Z83" s="196">
        <f t="array" ref="Z83">IFERROR(
(AVERAGE((IF(DATOS_[[Sexo]:[Sexo]]=$B83,IF(DATOS_[[AGRUP. CLAS. PROF.]:[AGRUP. CLAS. PROF.]]=$B81,IF(DATOS_[[Check Periodo Ref.]:[Check Periodo Ref.]]="Dentro",IF(DATOS_[[Check Equiparado]:[Check Equiparado]]="Sí",IF(DATOS!AU$5="Sí",(1/DATOS_[[% anualiz]:[% anualiz]]),1)*IF(DATOS!AU$4="Sí",1/DATOS_[[% normaliz]:[% normaliz]],1)*(DATOS_[Conc.Sal.17])))))))),
0)</f>
        <v>0</v>
      </c>
      <c r="AA83" s="196">
        <f t="array" ref="AA83">IFERROR(
(AVERAGE((IF(DATOS_[[Sexo]:[Sexo]]=$B83,IF(DATOS_[[AGRUP. CLAS. PROF.]:[AGRUP. CLAS. PROF.]]=$B81,IF(DATOS_[[Check Periodo Ref.]:[Check Periodo Ref.]]="Dentro",IF(DATOS_[[Check Equiparado]:[Check Equiparado]]="Sí",IF(DATOS!AV$5="Sí",(1/DATOS_[[% anualiz]:[% anualiz]]),1)*IF(DATOS!AV$4="Sí",1/DATOS_[[% normaliz]:[% normaliz]],1)*(DATOS_[Conc.Sal.18])))))))),
0)</f>
        <v>0</v>
      </c>
      <c r="AB83" s="196">
        <f t="array" ref="AB83">IFERROR(
(AVERAGE((IF(DATOS_[[Sexo]:[Sexo]]=$B83,IF(DATOS_[[AGRUP. CLAS. PROF.]:[AGRUP. CLAS. PROF.]]=$B81,IF(DATOS_[[Check Periodo Ref.]:[Check Periodo Ref.]]="Dentro",IF(DATOS_[[Check Equiparado]:[Check Equiparado]]="Sí",IF(DATOS!AW$5="Sí",(1/DATOS_[[% anualiz]:[% anualiz]]),1)*IF(DATOS!AW$4="Sí",1/DATOS_[[% normaliz]:[% normaliz]],1)*(DATOS_[Conc.Sal.19])))))))),
0)</f>
        <v>0</v>
      </c>
      <c r="AC83" s="196">
        <f t="array" ref="AC83">IFERROR(
(AVERAGE((IF(DATOS_[[Sexo]:[Sexo]]=$B83,IF(DATOS_[[AGRUP. CLAS. PROF.]:[AGRUP. CLAS. PROF.]]=$B81,IF(DATOS_[[Check Periodo Ref.]:[Check Periodo Ref.]]="Dentro",IF(DATOS_[[Check Equiparado]:[Check Equiparado]]="Sí",IF(DATOS!AX$5="Sí",(1/DATOS_[[% anualiz]:[% anualiz]]),1)*IF(DATOS!AX$4="Sí",1/DATOS_[[% normaliz]:[% normaliz]],1)*(DATOS_[Conc.Sal.20])))))))),
0)</f>
        <v>0</v>
      </c>
      <c r="AD83" s="196">
        <f t="array" ref="AD83">IFERROR(
(AVERAGE((IF(DATOS_[[Sexo]:[Sexo]]=$B83,IF(DATOS_[[AGRUP. CLAS. PROF.]:[AGRUP. CLAS. PROF.]]=$B81,IF(DATOS_[[Check Periodo Ref.]:[Check Periodo Ref.]]="Dentro",IF(DATOS_[[Check Equiparado]:[Check Equiparado]]="Sí",IF(DATOS!AY$5="Sí",(1/DATOS_[[% anualiz]:[% anualiz]]),1)*IF(DATOS!AY$4="Sí",1/DATOS_[[% normaliz]:[% normaliz]],1)*(DATOS_[Conc.Sal.21])))))))),
0)</f>
        <v>0</v>
      </c>
      <c r="AE83" s="196">
        <f t="array" ref="AE83">IFERROR(
(AVERAGE((IF(DATOS_[[Sexo]:[Sexo]]=$B83,IF(DATOS_[[AGRUP. CLAS. PROF.]:[AGRUP. CLAS. PROF.]]=$B81,IF(DATOS_[[Check Periodo Ref.]:[Check Periodo Ref.]]="Dentro",IF(DATOS_[[Check Equiparado]:[Check Equiparado]]="Sí",IF(DATOS!AZ$5="Sí",(1/DATOS_[[% anualiz]:[% anualiz]]),1)*IF(DATOS!AZ$4="Sí",1/DATOS_[[% normaliz]:[% normaliz]],1)*(DATOS_[Conc.Sal.22])))))))),
0)</f>
        <v>0</v>
      </c>
      <c r="AF83" s="196">
        <f t="array" ref="AF83">IFERROR(
(AVERAGE((IF(DATOS_[[Sexo]:[Sexo]]=$B83,IF(DATOS_[[AGRUP. CLAS. PROF.]:[AGRUP. CLAS. PROF.]]=$B81,IF(DATOS_[[Check Periodo Ref.]:[Check Periodo Ref.]]="Dentro",IF(DATOS_[[Check Equiparado]:[Check Equiparado]]="Sí",IF(DATOS!BA$5="Sí",(1/DATOS_[[% anualiz]:[% anualiz]]),1)*IF(DATOS!BA$4="Sí",1/DATOS_[[% normaliz]:[% normaliz]],1)*(DATOS_[Conc.Sal.23])))))))),
0)</f>
        <v>0</v>
      </c>
      <c r="AG83" s="196">
        <f t="array" ref="AG83">IFERROR(
(AVERAGE((IF(DATOS_[[Sexo]:[Sexo]]=$B83,IF(DATOS_[[AGRUP. CLAS. PROF.]:[AGRUP. CLAS. PROF.]]=$B81,IF(DATOS_[[Check Periodo Ref.]:[Check Periodo Ref.]]="Dentro",IF(DATOS_[[Check Equiparado]:[Check Equiparado]]="Sí",IF(DATOS!BB$5="Sí",(1/DATOS_[[% anualiz]:[% anualiz]]),1)*IF(DATOS!BB$4="Sí",1/DATOS_[[% normaliz]:[% normaliz]],1)*(DATOS_[Conc.Sal.24])))))))),
0)</f>
        <v>0</v>
      </c>
      <c r="AH83" s="196">
        <f t="array" ref="AH83">IFERROR(
(AVERAGE((IF(DATOS_[[Sexo]:[Sexo]]=$B83,IF(DATOS_[[AGRUP. CLAS. PROF.]:[AGRUP. CLAS. PROF.]]=$B81,IF(DATOS_[[Check Periodo Ref.]:[Check Periodo Ref.]]="Dentro",IF(DATOS_[[Check Equiparado]:[Check Equiparado]]="Sí",IF(DATOS!BC$5="Sí",(1/DATOS_[[% anualiz]:[% anualiz]]),1)*IF(DATOS!BC$4="Sí",1/DATOS_[[% normaliz]:[% normaliz]],1)*(DATOS_[Conc.Sal.25])))))))),
0)</f>
        <v>0</v>
      </c>
      <c r="AI83" s="196">
        <f t="array" ref="AI83">IFERROR(
(AVERAGE((IF(DATOS_[[Sexo]:[Sexo]]=$B83,IF(DATOS_[[AGRUP. CLAS. PROF.]:[AGRUP. CLAS. PROF.]]=$B81,IF(DATOS_[[Check Periodo Ref.]:[Check Periodo Ref.]]="Dentro",IF(DATOS_[[Check Equiparado]:[Check Equiparado]]="Sí",IF(DATOS!BD$5="Sí",(1/DATOS_[[% anualiz]:[% anualiz]]),1)*IF(DATOS!BD$4="Sí",1/DATOS_[[% normaliz]:[% normaliz]],1)*(DATOS_[Conc.Sal.26])))))))),
0)</f>
        <v>0</v>
      </c>
      <c r="AJ83" s="196">
        <f t="array" ref="AJ83">IFERROR(
(AVERAGE((IF(DATOS_[[Sexo]:[Sexo]]=$B83,IF(DATOS_[[AGRUP. CLAS. PROF.]:[AGRUP. CLAS. PROF.]]=$B81,IF(DATOS_[[Check Periodo Ref.]:[Check Periodo Ref.]]="Dentro",IF(DATOS_[[Check Equiparado]:[Check Equiparado]]="Sí",IF(DATOS!BE$5="Sí",(1/DATOS_[[% anualiz]:[% anualiz]]),1)*IF(DATOS!BE$4="Sí",1/DATOS_[[% normaliz]:[% normaliz]],1)*(DATOS_[Conc.Sal.27])))))))),
0)</f>
        <v>0</v>
      </c>
      <c r="AK83" s="196">
        <f t="array" ref="AK83">IFERROR(
(AVERAGE((IF(DATOS_[[Sexo]:[Sexo]]=$B83,IF(DATOS_[[AGRUP. CLAS. PROF.]:[AGRUP. CLAS. PROF.]]=$B81,IF(DATOS_[[Check Periodo Ref.]:[Check Periodo Ref.]]="Dentro",IF(DATOS_[[Check Equiparado]:[Check Equiparado]]="Sí",IF(DATOS!BF$5="Sí",(1/DATOS_[[% anualiz]:[% anualiz]]),1)*IF(DATOS!BF$4="Sí",1/DATOS_[[% normaliz]:[% normaliz]],1)*(DATOS_[Conc.Sal.28])))))))),
0)</f>
        <v>0</v>
      </c>
      <c r="AL83" s="196">
        <f t="array" ref="AL83">IFERROR(
(AVERAGE((IF(DATOS_[[Sexo]:[Sexo]]=$B83,IF(DATOS_[[AGRUP. CLAS. PROF.]:[AGRUP. CLAS. PROF.]]=$B81,IF(DATOS_[[Check Periodo Ref.]:[Check Periodo Ref.]]="Dentro",IF(DATOS_[[Check Equiparado]:[Check Equiparado]]="Sí",IF(DATOS!BG$5="Sí",(1/DATOS_[[% anualiz]:[% anualiz]]),1)*IF(DATOS!BG$4="Sí",1/DATOS_[[% normaliz]:[% normaliz]],1)*(DATOS_[Conc.Sal.29])))))))),
0)</f>
        <v>0</v>
      </c>
      <c r="AM83" s="196">
        <f t="array" ref="AM83">IFERROR(
(AVERAGE((IF(DATOS_[[Sexo]:[Sexo]]=$B83,IF(DATOS_[[AGRUP. CLAS. PROF.]:[AGRUP. CLAS. PROF.]]=$B81,IF(DATOS_[[Check Periodo Ref.]:[Check Periodo Ref.]]="Dentro",IF(DATOS_[[Check Equiparado]:[Check Equiparado]]="Sí",IF(DATOS!BH$5="Sí",(1/DATOS_[[% anualiz]:[% anualiz]]),1)*IF(DATOS!BH$4="Sí",1/DATOS_[[% normaliz]:[% normaliz]],1)*(DATOS_[Conc.Sal.30])))))))),
0)</f>
        <v>0</v>
      </c>
      <c r="AN83" s="195">
        <f t="array" ref="AN83">IFERROR(
AVERAGE(IF(DATOS_[Sexo]=$B83,IF(DATOS_[[AGRUP. CLAS. PROF.]:[AGRUP. CLAS. PROF.]]=$B81,IF(DATOS_[Check Equiparado]="Sí",IF(DATOS_[Check Periodo Ref.]="Dentro",DATOS_[Tot COMPL.SAL Eq],FALSE))))),
0)</f>
        <v>0</v>
      </c>
      <c r="AO83" s="172">
        <f t="array" ref="AO83">IFERROR(
AVERAGE(IF(DATOS_[Sexo]=$B83,IF(DATOS_[[AGRUP. CLAS. PROF.]:[AGRUP. CLAS. PROF.]]=$B81,IF(DATOS_[Check Equiparado]="Sí",IF(DATOS_[Check Periodo Ref.]="Dentro",DATOS_[TOTAL SALARIO Eq],FALSE))))),
0)</f>
        <v>0</v>
      </c>
      <c r="AP83" s="173">
        <f t="array" ref="AP83">IFERROR(
(AVERAGE((IF(DATOS_[[Sexo]:[Sexo]]=$B83,IF(DATOS_[[AGRUP. CLAS. PROF.]:[AGRUP. CLAS. PROF.]]=$B81,IF(DATOS_[[Check Periodo Ref.]:[Check Periodo Ref.]]="Dentro",IF(DATOS_[[Check Equiparado]:[Check Equiparado]]="Sí",IF(DATOS!BW$5="Sí",(1/DATOS_[[% anualiz]:[% anualiz]]),1)*IF(DATOS!BW$4="Sí",1/DATOS_[[% normaliz]:[% normaliz]],1)*(DATOS_[C.Extra.01])))))))),
0)</f>
        <v>0</v>
      </c>
      <c r="AQ83" s="173">
        <f t="array" ref="AQ83">IFERROR(
(AVERAGE((IF(DATOS_[[Sexo]:[Sexo]]=$B83,IF(DATOS_[[AGRUP. CLAS. PROF.]:[AGRUP. CLAS. PROF.]]=$B81,IF(DATOS_[[Check Periodo Ref.]:[Check Periodo Ref.]]="Dentro",IF(DATOS_[[Check Equiparado]:[Check Equiparado]]="Sí",IF(DATOS!CB$5="Sí",(1/DATOS_[[% anualiz]:[% anualiz]]),1)*IF(DATOS!CB$4="Sí",1/DATOS_[[% normaliz]:[% normaliz]],1)*(DATOS_[C.Extra.06])))))))),
0)</f>
        <v>0</v>
      </c>
      <c r="AR83" s="173">
        <f t="array" ref="AR83">IFERROR(
(AVERAGE((IF(DATOS_[[Sexo]:[Sexo]]=$B83,IF(DATOS_[[AGRUP. CLAS. PROF.]:[AGRUP. CLAS. PROF.]]=$B81,IF(DATOS_[[Check Periodo Ref.]:[Check Periodo Ref.]]="Dentro",IF(DATOS_[[Check Equiparado]:[Check Equiparado]]="Sí",IF(DATOS!CC$5="Sí",(1/DATOS_[[% anualiz]:[% anualiz]]),1)*IF(DATOS!CC$4="Sí",1/DATOS_[[% normaliz]:[% normaliz]],1)*(DATOS_[C.Extra.07])))))))),
0)</f>
        <v>0</v>
      </c>
      <c r="AS83" s="173">
        <f t="array" ref="AS83">IFERROR(
(AVERAGE((IF(DATOS_[[Sexo]:[Sexo]]=$B83,IF(DATOS_[[AGRUP. CLAS. PROF.]:[AGRUP. CLAS. PROF.]]=$B81,IF(DATOS_[[Check Periodo Ref.]:[Check Periodo Ref.]]="Dentro",IF(DATOS_[[Check Equiparado]:[Check Equiparado]]="Sí",IF(DATOS!CD$5="Sí",(1/DATOS_[[% anualiz]:[% anualiz]]),1)*IF(DATOS!CD$4="Sí",1/DATOS_[[% normaliz]:[% normaliz]],1)*(DATOS_[C.Extra.08])))))))),
0)</f>
        <v>0</v>
      </c>
      <c r="AT83" s="173">
        <f t="array" ref="AT83">IFERROR(
(AVERAGE((IF(DATOS_[[Sexo]:[Sexo]]=$B83,IF(DATOS_[[AGRUP. CLAS. PROF.]:[AGRUP. CLAS. PROF.]]=$B81,IF(DATOS_[[Check Periodo Ref.]:[Check Periodo Ref.]]="Dentro",IF(DATOS_[[Check Equiparado]:[Check Equiparado]]="Sí",IF(DATOS!CG$5="Sí",(1/DATOS_[[% anualiz]:[% anualiz]]),1)*IF(DATOS!CG$4="Sí",1/DATOS_[[% normaliz]:[% normaliz]],1)*(DATOS_[C.Extra.11])))))))),
0)</f>
        <v>0</v>
      </c>
      <c r="AU83" s="197">
        <f t="array" ref="AU83">IFERROR(
AVERAGE(IF(DATOS_[Sexo]=$B83,IF(DATOS_[[AGRUP. CLAS. PROF.]:[AGRUP. CLAS. PROF.]]=$B81,IF(DATOS_[Check Equiparado]="Sí",IF(DATOS_[Check Periodo Ref.]="Dentro",DATOS_[Tot Extrasalarial Eq],FALSE))))),
0)</f>
        <v>0</v>
      </c>
      <c r="AV83" s="175">
        <f t="array" ref="AV83">IFERROR(
AVERAGE(IF(DATOS_[Sexo]=$B83,IF(DATOS_[[AGRUP. CLAS. PROF.]:[AGRUP. CLAS. PROF.]]=$B81,IF(DATOS_[Check Equiparado]="Sí",IF(DATOS_[Check Periodo Ref.]="Dentro",DATOS_[TOTAL Retrib Eq],FALSE))))),
0)</f>
        <v>0</v>
      </c>
    </row>
    <row r="84" spans="1:48" ht="15.6" hidden="1" thickBot="1" x14ac:dyDescent="0.3">
      <c r="A84" s="133" t="str">
        <f t="shared" ref="A84" si="95">+A85</f>
        <v>[ocultar]</v>
      </c>
      <c r="B84" s="199" t="s">
        <v>271</v>
      </c>
      <c r="C84" s="200"/>
      <c r="D84" s="201"/>
      <c r="E84" s="201"/>
      <c r="F84" s="201"/>
      <c r="G84" s="201"/>
      <c r="H84" s="201"/>
      <c r="I84" s="189" t="str">
        <f t="shared" ref="I84:AV84" si="96">IFERROR((I85-I86)/I85,"")</f>
        <v/>
      </c>
      <c r="J84" s="190" t="str">
        <f t="shared" si="96"/>
        <v/>
      </c>
      <c r="K84" s="191" t="str">
        <f t="shared" si="96"/>
        <v/>
      </c>
      <c r="L84" s="191" t="str">
        <f t="shared" si="96"/>
        <v/>
      </c>
      <c r="M84" s="191" t="str">
        <f t="shared" si="96"/>
        <v/>
      </c>
      <c r="N84" s="192" t="str">
        <f t="shared" si="96"/>
        <v/>
      </c>
      <c r="O84" s="193" t="str">
        <f t="shared" si="96"/>
        <v/>
      </c>
      <c r="P84" s="193" t="str">
        <f t="shared" si="96"/>
        <v/>
      </c>
      <c r="Q84" s="193" t="str">
        <f t="shared" si="96"/>
        <v/>
      </c>
      <c r="R84" s="193" t="str">
        <f t="shared" si="96"/>
        <v/>
      </c>
      <c r="S84" s="193" t="str">
        <f t="shared" si="96"/>
        <v/>
      </c>
      <c r="T84" s="193" t="str">
        <f t="shared" si="96"/>
        <v/>
      </c>
      <c r="U84" s="193" t="str">
        <f t="shared" si="96"/>
        <v/>
      </c>
      <c r="V84" s="193" t="str">
        <f t="shared" si="96"/>
        <v/>
      </c>
      <c r="W84" s="193" t="str">
        <f t="shared" si="96"/>
        <v/>
      </c>
      <c r="X84" s="193" t="str">
        <f t="shared" si="96"/>
        <v/>
      </c>
      <c r="Y84" s="193" t="str">
        <f t="shared" si="96"/>
        <v/>
      </c>
      <c r="Z84" s="193" t="str">
        <f t="shared" si="96"/>
        <v/>
      </c>
      <c r="AA84" s="193" t="str">
        <f t="shared" si="96"/>
        <v/>
      </c>
      <c r="AB84" s="193" t="str">
        <f t="shared" si="96"/>
        <v/>
      </c>
      <c r="AC84" s="193" t="str">
        <f t="shared" si="96"/>
        <v/>
      </c>
      <c r="AD84" s="193" t="str">
        <f t="shared" si="96"/>
        <v/>
      </c>
      <c r="AE84" s="193" t="str">
        <f t="shared" si="96"/>
        <v/>
      </c>
      <c r="AF84" s="193" t="str">
        <f t="shared" si="96"/>
        <v/>
      </c>
      <c r="AG84" s="193" t="str">
        <f t="shared" si="96"/>
        <v/>
      </c>
      <c r="AH84" s="193" t="str">
        <f t="shared" si="96"/>
        <v/>
      </c>
      <c r="AI84" s="193" t="str">
        <f t="shared" si="96"/>
        <v/>
      </c>
      <c r="AJ84" s="193" t="str">
        <f t="shared" si="96"/>
        <v/>
      </c>
      <c r="AK84" s="193" t="str">
        <f t="shared" si="96"/>
        <v/>
      </c>
      <c r="AL84" s="193" t="str">
        <f t="shared" si="96"/>
        <v/>
      </c>
      <c r="AM84" s="193" t="str">
        <f t="shared" si="96"/>
        <v/>
      </c>
      <c r="AN84" s="189" t="str">
        <f t="shared" si="96"/>
        <v/>
      </c>
      <c r="AO84" s="162" t="str">
        <f t="shared" si="96"/>
        <v/>
      </c>
      <c r="AP84" s="163" t="str">
        <f t="shared" si="96"/>
        <v/>
      </c>
      <c r="AQ84" s="163" t="str">
        <f t="shared" si="96"/>
        <v/>
      </c>
      <c r="AR84" s="163" t="str">
        <f t="shared" si="96"/>
        <v/>
      </c>
      <c r="AS84" s="163" t="str">
        <f t="shared" si="96"/>
        <v/>
      </c>
      <c r="AT84" s="163" t="str">
        <f t="shared" si="96"/>
        <v/>
      </c>
      <c r="AU84" s="194" t="str">
        <f t="shared" si="96"/>
        <v/>
      </c>
      <c r="AV84" s="165" t="str">
        <f t="shared" si="96"/>
        <v/>
      </c>
    </row>
    <row r="85" spans="1:48" hidden="1" x14ac:dyDescent="0.25">
      <c r="A85" s="133" t="str">
        <f t="shared" ref="A85" si="97">+IF(C85+C86=0,"[ocultar]","")</f>
        <v>[ocultar]</v>
      </c>
      <c r="B85" s="202" t="s">
        <v>394</v>
      </c>
      <c r="C85" s="203">
        <f t="array" ref="C85">SUM(IF($B85=DATOS_[Sexo],
IF($B84=DATOS_[AGRUP. CLAS. PROF.],
IF("Dentro"=DATOS_[Check Periodo Ref.],
1/(COUNTIFS(DATOS_[Sexo],$B85,DATOS_[AGRUP. CLAS. PROF.],$B84,DATOS_[Check Periodo Ref.],"Dentro",DATOS_[id/cod],DATOS_[id/cod]))))))</f>
        <v>0</v>
      </c>
      <c r="D85" s="204">
        <f>COUNTIFS(DATOS_[AGRUP. CLAS. PROF.],$B84,DATOS_[Sexo],$B85,DATOS_[Check Periodo Ref.],"Dentro")</f>
        <v>0</v>
      </c>
      <c r="E85" s="204">
        <f>COUNTIFS(DATOS_[AGRUP. CLAS. PROF.],$B84,DATOS_[Sexo],$B85,DATOS_[Check Periodo Ref.],"Dentro",DATOS_[Check Nº SC Norm],"Sí")</f>
        <v>0</v>
      </c>
      <c r="F85" s="204">
        <f>COUNTIFS(DATOS_[AGRUP. CLAS. PROF.],$B84,DATOS_[Sexo],$B85,DATOS_[Check Periodo Ref.],"Dentro",DATOS_[Check Nº SC Anualiz],"Sí")</f>
        <v>0</v>
      </c>
      <c r="G85" s="204">
        <f>COUNTIFS(DATOS_[AGRUP. CLAS. PROF.],$B84,DATOS_[Sexo],$B85,DATOS_[Check Periodo Ref.],"Dentro",DATOS_[Check Nº SC Norm y Anualiz],"Sí")</f>
        <v>0</v>
      </c>
      <c r="H85" s="204">
        <f>COUNTIFS(DATOS_[AGRUP. CLAS. PROF.],$B84,DATOS_[Sexo],$B85,DATOS_[Check Periodo Ref.],"Dentro",DATOS_[Check Equiparación],"Sí")</f>
        <v>0</v>
      </c>
      <c r="I85" s="195">
        <f t="array" ref="I85">IFERROR(
AVERAGE(IF(DATOS_[Sexo]=$B85,IF(DATOS_[[AGRUP. CLAS. PROF.]:[AGRUP. CLAS. PROF.]]=$B84,IF(DATOS_[Check Equiparado]="Sí",IF(DATOS_[Check Periodo Ref.]="Dentro",DATOS_[SALARIO BASE Eq],FALSE))))),
0)</f>
        <v>0</v>
      </c>
      <c r="J85" s="196">
        <f t="array" ref="J85">IFERROR(
(AVERAGE((IF(DATOS_[[Sexo]:[Sexo]]=$B85,IF(DATOS_[[AGRUP. CLAS. PROF.]:[AGRUP. CLAS. PROF.]]=$B84,IF(DATOS_[[Check Periodo Ref.]:[Check Periodo Ref.]]="Dentro",IF(DATOS_[[Check Equiparado]:[Check Equiparado]]="Sí",IF(DATOS!AE$5="Sí",(1/DATOS_[[% anualiz]:[% anualiz]]),1)*IF(DATOS!AE$4="Sí",1/DATOS_[[% normaliz]:[% normaliz]],1)*(DATOS_[Conc.Sal.01])))))))),
0)</f>
        <v>0</v>
      </c>
      <c r="K85" s="196">
        <f t="array" ref="K85">IFERROR(
(AVERAGE((IF(DATOS_[[Sexo]:[Sexo]]=$B85,IF(DATOS_[[AGRUP. CLAS. PROF.]:[AGRUP. CLAS. PROF.]]=$B84,IF(DATOS_[[Check Periodo Ref.]:[Check Periodo Ref.]]="Dentro",IF(DATOS_[[Check Equiparado]:[Check Equiparado]]="Sí",IF(DATOS!AF$5="Sí",(1/DATOS_[[% anualiz]:[% anualiz]]),1)*IF(DATOS!AF$4="Sí",1/DATOS_[[% normaliz]:[% normaliz]],1)*(DATOS_[Conc.Sal.02])))))))),
0)</f>
        <v>0</v>
      </c>
      <c r="L85" s="196">
        <f t="array" ref="L85">IFERROR(
(AVERAGE((IF(DATOS_[[Sexo]:[Sexo]]=$B85,IF(DATOS_[[AGRUP. CLAS. PROF.]:[AGRUP. CLAS. PROF.]]=$B84,IF(DATOS_[[Check Periodo Ref.]:[Check Periodo Ref.]]="Dentro",IF(DATOS_[[Check Equiparado]:[Check Equiparado]]="Sí",IF(DATOS!AG$5="Sí",(1/DATOS_[[% anualiz]:[% anualiz]]),1)*IF(DATOS!AG$4="Sí",1/DATOS_[[% normaliz]:[% normaliz]],1)*(DATOS_[Conc.Sal.03])))))))),
0)</f>
        <v>0</v>
      </c>
      <c r="M85" s="196">
        <f t="array" ref="M85">IFERROR(
(AVERAGE((IF(DATOS_[[Sexo]:[Sexo]]=$B85,IF(DATOS_[[AGRUP. CLAS. PROF.]:[AGRUP. CLAS. PROF.]]=$B84,IF(DATOS_[[Check Periodo Ref.]:[Check Periodo Ref.]]="Dentro",IF(DATOS_[[Check Equiparado]:[Check Equiparado]]="Sí",IF(DATOS!AH$5="Sí",(1/DATOS_[[% anualiz]:[% anualiz]]),1)*IF(DATOS!AH$4="Sí",1/DATOS_[[% normaliz]:[% normaliz]],1)*(DATOS_[Conc.Sal.04])))))))),
0)</f>
        <v>0</v>
      </c>
      <c r="N85" s="196">
        <f t="array" ref="N85">IFERROR(
(AVERAGE((IF(DATOS_[[Sexo]:[Sexo]]=$B85,IF(DATOS_[[AGRUP. CLAS. PROF.]:[AGRUP. CLAS. PROF.]]=$B84,IF(DATOS_[[Check Periodo Ref.]:[Check Periodo Ref.]]="Dentro",IF(DATOS_[[Check Equiparado]:[Check Equiparado]]="Sí",IF(DATOS!AI$5="Sí",(1/DATOS_[[% anualiz]:[% anualiz]]),1)*IF(DATOS!AI$4="Sí",1/DATOS_[[% normaliz]:[% normaliz]],1)*(DATOS_[Conc.Sal.05])))))))),
0)</f>
        <v>0</v>
      </c>
      <c r="O85" s="196">
        <f t="array" ref="O85">IFERROR(
(AVERAGE((IF(DATOS_[[Sexo]:[Sexo]]=$B85,IF(DATOS_[[AGRUP. CLAS. PROF.]:[AGRUP. CLAS. PROF.]]=$B84,IF(DATOS_[[Check Periodo Ref.]:[Check Periodo Ref.]]="Dentro",IF(DATOS_[[Check Equiparado]:[Check Equiparado]]="Sí",IF(DATOS!AJ$5="Sí",(1/DATOS_[[% anualiz]:[% anualiz]]),1)*IF(DATOS!AJ$4="Sí",1/DATOS_[[% normaliz]:[% normaliz]],1)*(DATOS_[Conc.Sal.06])))))))),
0)</f>
        <v>0</v>
      </c>
      <c r="P85" s="196">
        <f t="array" ref="P85">IFERROR(
(AVERAGE((IF(DATOS_[[Sexo]:[Sexo]]=$B85,IF(DATOS_[[AGRUP. CLAS. PROF.]:[AGRUP. CLAS. PROF.]]=$B84,IF(DATOS_[[Check Periodo Ref.]:[Check Periodo Ref.]]="Dentro",IF(DATOS_[[Check Equiparado]:[Check Equiparado]]="Sí",IF(DATOS!AK$5="Sí",(1/DATOS_[[% anualiz]:[% anualiz]]),1)*IF(DATOS!AK$4="Sí",1/DATOS_[[% normaliz]:[% normaliz]],1)*(DATOS_[Conc.Sal.07])))))))),
0)</f>
        <v>0</v>
      </c>
      <c r="Q85" s="196">
        <f t="array" ref="Q85">IFERROR(
(AVERAGE((IF(DATOS_[[Sexo]:[Sexo]]=$B85,IF(DATOS_[[AGRUP. CLAS. PROF.]:[AGRUP. CLAS. PROF.]]=$B84,IF(DATOS_[[Check Periodo Ref.]:[Check Periodo Ref.]]="Dentro",IF(DATOS_[[Check Equiparado]:[Check Equiparado]]="Sí",IF(DATOS!AL$5="Sí",(1/DATOS_[[% anualiz]:[% anualiz]]),1)*IF(DATOS!AL$4="Sí",1/DATOS_[[% normaliz]:[% normaliz]],1)*(DATOS_[Conc.Sal.08])))))))),
0)</f>
        <v>0</v>
      </c>
      <c r="R85" s="196">
        <f t="array" ref="R85">IFERROR(
(AVERAGE((IF(DATOS_[[Sexo]:[Sexo]]=$B85,IF(DATOS_[[AGRUP. CLAS. PROF.]:[AGRUP. CLAS. PROF.]]=$B84,IF(DATOS_[[Check Periodo Ref.]:[Check Periodo Ref.]]="Dentro",IF(DATOS_[[Check Equiparado]:[Check Equiparado]]="Sí",IF(DATOS!AM$5="Sí",(1/DATOS_[[% anualiz]:[% anualiz]]),1)*IF(DATOS!AM$4="Sí",1/DATOS_[[% normaliz]:[% normaliz]],1)*(DATOS_[Conc.Sal.09])))))))),
0)</f>
        <v>0</v>
      </c>
      <c r="S85" s="196">
        <f t="array" ref="S85">IFERROR(
(AVERAGE((IF(DATOS_[[Sexo]:[Sexo]]=$B85,IF(DATOS_[[AGRUP. CLAS. PROF.]:[AGRUP. CLAS. PROF.]]=$B84,IF(DATOS_[[Check Periodo Ref.]:[Check Periodo Ref.]]="Dentro",IF(DATOS_[[Check Equiparado]:[Check Equiparado]]="Sí",IF(DATOS!AN$5="Sí",(1/DATOS_[[% anualiz]:[% anualiz]]),1)*IF(DATOS!AN$4="Sí",1/DATOS_[[% normaliz]:[% normaliz]],1)*(DATOS_[Conc.Sal.10])))))))),
0)</f>
        <v>0</v>
      </c>
      <c r="T85" s="196">
        <f t="array" ref="T85">IFERROR(
(AVERAGE((IF(DATOS_[[Sexo]:[Sexo]]=$B85,IF(DATOS_[[AGRUP. CLAS. PROF.]:[AGRUP. CLAS. PROF.]]=$B84,IF(DATOS_[[Check Periodo Ref.]:[Check Periodo Ref.]]="Dentro",IF(DATOS_[[Check Equiparado]:[Check Equiparado]]="Sí",IF(DATOS!AO$5="Sí",(1/DATOS_[[% anualiz]:[% anualiz]]),1)*IF(DATOS!AO$4="Sí",1/DATOS_[[% normaliz]:[% normaliz]],1)*(DATOS_[Conc.Sal.11])))))))),
0)</f>
        <v>0</v>
      </c>
      <c r="U85" s="196">
        <f t="array" ref="U85">IFERROR(
(AVERAGE((IF(DATOS_[[Sexo]:[Sexo]]=$B85,IF(DATOS_[[AGRUP. CLAS. PROF.]:[AGRUP. CLAS. PROF.]]=$B84,IF(DATOS_[[Check Periodo Ref.]:[Check Periodo Ref.]]="Dentro",IF(DATOS_[[Check Equiparado]:[Check Equiparado]]="Sí",IF(DATOS!AP$5="Sí",(1/DATOS_[[% anualiz]:[% anualiz]]),1)*IF(DATOS!AP$4="Sí",1/DATOS_[[% normaliz]:[% normaliz]],1)*(DATOS_[Conc.Sal.12])))))))),
0)</f>
        <v>0</v>
      </c>
      <c r="V85" s="196">
        <f t="array" ref="V85">IFERROR(
(AVERAGE((IF(DATOS_[[Sexo]:[Sexo]]=$B85,IF(DATOS_[[AGRUP. CLAS. PROF.]:[AGRUP. CLAS. PROF.]]=$B84,IF(DATOS_[[Check Periodo Ref.]:[Check Periodo Ref.]]="Dentro",IF(DATOS_[[Check Equiparado]:[Check Equiparado]]="Sí",IF(DATOS!AQ$5="Sí",(1/DATOS_[[% anualiz]:[% anualiz]]),1)*IF(DATOS!AQ$4="Sí",1/DATOS_[[% normaliz]:[% normaliz]],1)*(DATOS_[Conc.Sal.13])))))))),
0)</f>
        <v>0</v>
      </c>
      <c r="W85" s="196">
        <f t="array" ref="W85">IFERROR(
(AVERAGE((IF(DATOS_[[Sexo]:[Sexo]]=$B85,IF(DATOS_[[AGRUP. CLAS. PROF.]:[AGRUP. CLAS. PROF.]]=$B84,IF(DATOS_[[Check Periodo Ref.]:[Check Periodo Ref.]]="Dentro",IF(DATOS_[[Check Equiparado]:[Check Equiparado]]="Sí",IF(DATOS!AR$5="Sí",(1/DATOS_[[% anualiz]:[% anualiz]]),1)*IF(DATOS!AR$4="Sí",1/DATOS_[[% normaliz]:[% normaliz]],1)*(DATOS_[Conc.Sal.14])))))))),
0)</f>
        <v>0</v>
      </c>
      <c r="X85" s="196">
        <f t="array" ref="X85">IFERROR(
(AVERAGE((IF(DATOS_[[Sexo]:[Sexo]]=$B85,IF(DATOS_[[AGRUP. CLAS. PROF.]:[AGRUP. CLAS. PROF.]]=$B84,IF(DATOS_[[Check Periodo Ref.]:[Check Periodo Ref.]]="Dentro",IF(DATOS_[[Check Equiparado]:[Check Equiparado]]="Sí",IF(DATOS!AS$5="Sí",(1/DATOS_[[% anualiz]:[% anualiz]]),1)*IF(DATOS!AS$4="Sí",1/DATOS_[[% normaliz]:[% normaliz]],1)*(DATOS_[Conc.Sal.15])))))))),
0)</f>
        <v>0</v>
      </c>
      <c r="Y85" s="196">
        <f t="array" ref="Y85">IFERROR(
(AVERAGE((IF(DATOS_[[Sexo]:[Sexo]]=$B85,IF(DATOS_[[AGRUP. CLAS. PROF.]:[AGRUP. CLAS. PROF.]]=$B84,IF(DATOS_[[Check Periodo Ref.]:[Check Periodo Ref.]]="Dentro",IF(DATOS_[[Check Equiparado]:[Check Equiparado]]="Sí",IF(DATOS!AT$5="Sí",(1/DATOS_[[% anualiz]:[% anualiz]]),1)*IF(DATOS!AT$4="Sí",1/DATOS_[[% normaliz]:[% normaliz]],1)*(DATOS_[Conc.Sal.16])))))))),
0)</f>
        <v>0</v>
      </c>
      <c r="Z85" s="196">
        <f t="array" ref="Z85">IFERROR(
(AVERAGE((IF(DATOS_[[Sexo]:[Sexo]]=$B85,IF(DATOS_[[AGRUP. CLAS. PROF.]:[AGRUP. CLAS. PROF.]]=$B84,IF(DATOS_[[Check Periodo Ref.]:[Check Periodo Ref.]]="Dentro",IF(DATOS_[[Check Equiparado]:[Check Equiparado]]="Sí",IF(DATOS!AU$5="Sí",(1/DATOS_[[% anualiz]:[% anualiz]]),1)*IF(DATOS!AU$4="Sí",1/DATOS_[[% normaliz]:[% normaliz]],1)*(DATOS_[Conc.Sal.17])))))))),
0)</f>
        <v>0</v>
      </c>
      <c r="AA85" s="196">
        <f t="array" ref="AA85">IFERROR(
(AVERAGE((IF(DATOS_[[Sexo]:[Sexo]]=$B85,IF(DATOS_[[AGRUP. CLAS. PROF.]:[AGRUP. CLAS. PROF.]]=$B84,IF(DATOS_[[Check Periodo Ref.]:[Check Periodo Ref.]]="Dentro",IF(DATOS_[[Check Equiparado]:[Check Equiparado]]="Sí",IF(DATOS!AV$5="Sí",(1/DATOS_[[% anualiz]:[% anualiz]]),1)*IF(DATOS!AV$4="Sí",1/DATOS_[[% normaliz]:[% normaliz]],1)*(DATOS_[Conc.Sal.18])))))))),
0)</f>
        <v>0</v>
      </c>
      <c r="AB85" s="196">
        <f t="array" ref="AB85">IFERROR(
(AVERAGE((IF(DATOS_[[Sexo]:[Sexo]]=$B85,IF(DATOS_[[AGRUP. CLAS. PROF.]:[AGRUP. CLAS. PROF.]]=$B84,IF(DATOS_[[Check Periodo Ref.]:[Check Periodo Ref.]]="Dentro",IF(DATOS_[[Check Equiparado]:[Check Equiparado]]="Sí",IF(DATOS!AW$5="Sí",(1/DATOS_[[% anualiz]:[% anualiz]]),1)*IF(DATOS!AW$4="Sí",1/DATOS_[[% normaliz]:[% normaliz]],1)*(DATOS_[Conc.Sal.19])))))))),
0)</f>
        <v>0</v>
      </c>
      <c r="AC85" s="196">
        <f t="array" ref="AC85">IFERROR(
(AVERAGE((IF(DATOS_[[Sexo]:[Sexo]]=$B85,IF(DATOS_[[AGRUP. CLAS. PROF.]:[AGRUP. CLAS. PROF.]]=$B84,IF(DATOS_[[Check Periodo Ref.]:[Check Periodo Ref.]]="Dentro",IF(DATOS_[[Check Equiparado]:[Check Equiparado]]="Sí",IF(DATOS!AX$5="Sí",(1/DATOS_[[% anualiz]:[% anualiz]]),1)*IF(DATOS!AX$4="Sí",1/DATOS_[[% normaliz]:[% normaliz]],1)*(DATOS_[Conc.Sal.20])))))))),
0)</f>
        <v>0</v>
      </c>
      <c r="AD85" s="196">
        <f t="array" ref="AD85">IFERROR(
(AVERAGE((IF(DATOS_[[Sexo]:[Sexo]]=$B85,IF(DATOS_[[AGRUP. CLAS. PROF.]:[AGRUP. CLAS. PROF.]]=$B84,IF(DATOS_[[Check Periodo Ref.]:[Check Periodo Ref.]]="Dentro",IF(DATOS_[[Check Equiparado]:[Check Equiparado]]="Sí",IF(DATOS!AY$5="Sí",(1/DATOS_[[% anualiz]:[% anualiz]]),1)*IF(DATOS!AY$4="Sí",1/DATOS_[[% normaliz]:[% normaliz]],1)*(DATOS_[Conc.Sal.21])))))))),
0)</f>
        <v>0</v>
      </c>
      <c r="AE85" s="196">
        <f t="array" ref="AE85">IFERROR(
(AVERAGE((IF(DATOS_[[Sexo]:[Sexo]]=$B85,IF(DATOS_[[AGRUP. CLAS. PROF.]:[AGRUP. CLAS. PROF.]]=$B84,IF(DATOS_[[Check Periodo Ref.]:[Check Periodo Ref.]]="Dentro",IF(DATOS_[[Check Equiparado]:[Check Equiparado]]="Sí",IF(DATOS!AZ$5="Sí",(1/DATOS_[[% anualiz]:[% anualiz]]),1)*IF(DATOS!AZ$4="Sí",1/DATOS_[[% normaliz]:[% normaliz]],1)*(DATOS_[Conc.Sal.22])))))))),
0)</f>
        <v>0</v>
      </c>
      <c r="AF85" s="196">
        <f t="array" ref="AF85">IFERROR(
(AVERAGE((IF(DATOS_[[Sexo]:[Sexo]]=$B85,IF(DATOS_[[AGRUP. CLAS. PROF.]:[AGRUP. CLAS. PROF.]]=$B84,IF(DATOS_[[Check Periodo Ref.]:[Check Periodo Ref.]]="Dentro",IF(DATOS_[[Check Equiparado]:[Check Equiparado]]="Sí",IF(DATOS!BA$5="Sí",(1/DATOS_[[% anualiz]:[% anualiz]]),1)*IF(DATOS!BA$4="Sí",1/DATOS_[[% normaliz]:[% normaliz]],1)*(DATOS_[Conc.Sal.23])))))))),
0)</f>
        <v>0</v>
      </c>
      <c r="AG85" s="196">
        <f t="array" ref="AG85">IFERROR(
(AVERAGE((IF(DATOS_[[Sexo]:[Sexo]]=$B85,IF(DATOS_[[AGRUP. CLAS. PROF.]:[AGRUP. CLAS. PROF.]]=$B84,IF(DATOS_[[Check Periodo Ref.]:[Check Periodo Ref.]]="Dentro",IF(DATOS_[[Check Equiparado]:[Check Equiparado]]="Sí",IF(DATOS!BB$5="Sí",(1/DATOS_[[% anualiz]:[% anualiz]]),1)*IF(DATOS!BB$4="Sí",1/DATOS_[[% normaliz]:[% normaliz]],1)*(DATOS_[Conc.Sal.24])))))))),
0)</f>
        <v>0</v>
      </c>
      <c r="AH85" s="196">
        <f t="array" ref="AH85">IFERROR(
(AVERAGE((IF(DATOS_[[Sexo]:[Sexo]]=$B85,IF(DATOS_[[AGRUP. CLAS. PROF.]:[AGRUP. CLAS. PROF.]]=$B84,IF(DATOS_[[Check Periodo Ref.]:[Check Periodo Ref.]]="Dentro",IF(DATOS_[[Check Equiparado]:[Check Equiparado]]="Sí",IF(DATOS!BC$5="Sí",(1/DATOS_[[% anualiz]:[% anualiz]]),1)*IF(DATOS!BC$4="Sí",1/DATOS_[[% normaliz]:[% normaliz]],1)*(DATOS_[Conc.Sal.25])))))))),
0)</f>
        <v>0</v>
      </c>
      <c r="AI85" s="196">
        <f t="array" ref="AI85">IFERROR(
(AVERAGE((IF(DATOS_[[Sexo]:[Sexo]]=$B85,IF(DATOS_[[AGRUP. CLAS. PROF.]:[AGRUP. CLAS. PROF.]]=$B84,IF(DATOS_[[Check Periodo Ref.]:[Check Periodo Ref.]]="Dentro",IF(DATOS_[[Check Equiparado]:[Check Equiparado]]="Sí",IF(DATOS!BD$5="Sí",(1/DATOS_[[% anualiz]:[% anualiz]]),1)*IF(DATOS!BD$4="Sí",1/DATOS_[[% normaliz]:[% normaliz]],1)*(DATOS_[Conc.Sal.26])))))))),
0)</f>
        <v>0</v>
      </c>
      <c r="AJ85" s="196">
        <f t="array" ref="AJ85">IFERROR(
(AVERAGE((IF(DATOS_[[Sexo]:[Sexo]]=$B85,IF(DATOS_[[AGRUP. CLAS. PROF.]:[AGRUP. CLAS. PROF.]]=$B84,IF(DATOS_[[Check Periodo Ref.]:[Check Periodo Ref.]]="Dentro",IF(DATOS_[[Check Equiparado]:[Check Equiparado]]="Sí",IF(DATOS!BE$5="Sí",(1/DATOS_[[% anualiz]:[% anualiz]]),1)*IF(DATOS!BE$4="Sí",1/DATOS_[[% normaliz]:[% normaliz]],1)*(DATOS_[Conc.Sal.27])))))))),
0)</f>
        <v>0</v>
      </c>
      <c r="AK85" s="196">
        <f t="array" ref="AK85">IFERROR(
(AVERAGE((IF(DATOS_[[Sexo]:[Sexo]]=$B85,IF(DATOS_[[AGRUP. CLAS. PROF.]:[AGRUP. CLAS. PROF.]]=$B84,IF(DATOS_[[Check Periodo Ref.]:[Check Periodo Ref.]]="Dentro",IF(DATOS_[[Check Equiparado]:[Check Equiparado]]="Sí",IF(DATOS!BF$5="Sí",(1/DATOS_[[% anualiz]:[% anualiz]]),1)*IF(DATOS!BF$4="Sí",1/DATOS_[[% normaliz]:[% normaliz]],1)*(DATOS_[Conc.Sal.28])))))))),
0)</f>
        <v>0</v>
      </c>
      <c r="AL85" s="196">
        <f t="array" ref="AL85">IFERROR(
(AVERAGE((IF(DATOS_[[Sexo]:[Sexo]]=$B85,IF(DATOS_[[AGRUP. CLAS. PROF.]:[AGRUP. CLAS. PROF.]]=$B84,IF(DATOS_[[Check Periodo Ref.]:[Check Periodo Ref.]]="Dentro",IF(DATOS_[[Check Equiparado]:[Check Equiparado]]="Sí",IF(DATOS!BG$5="Sí",(1/DATOS_[[% anualiz]:[% anualiz]]),1)*IF(DATOS!BG$4="Sí",1/DATOS_[[% normaliz]:[% normaliz]],1)*(DATOS_[Conc.Sal.29])))))))),
0)</f>
        <v>0</v>
      </c>
      <c r="AM85" s="196">
        <f t="array" ref="AM85">IFERROR(
(AVERAGE((IF(DATOS_[[Sexo]:[Sexo]]=$B85,IF(DATOS_[[AGRUP. CLAS. PROF.]:[AGRUP. CLAS. PROF.]]=$B84,IF(DATOS_[[Check Periodo Ref.]:[Check Periodo Ref.]]="Dentro",IF(DATOS_[[Check Equiparado]:[Check Equiparado]]="Sí",IF(DATOS!BH$5="Sí",(1/DATOS_[[% anualiz]:[% anualiz]]),1)*IF(DATOS!BH$4="Sí",1/DATOS_[[% normaliz]:[% normaliz]],1)*(DATOS_[Conc.Sal.30])))))))),
0)</f>
        <v>0</v>
      </c>
      <c r="AN85" s="195">
        <f t="array" ref="AN85">IFERROR(
AVERAGE(IF(DATOS_[Sexo]=$B85,IF(DATOS_[[AGRUP. CLAS. PROF.]:[AGRUP. CLAS. PROF.]]=$B84,IF(DATOS_[Check Equiparado]="Sí",IF(DATOS_[Check Periodo Ref.]="Dentro",DATOS_[Tot COMPL.SAL Eq],FALSE))))),
0)</f>
        <v>0</v>
      </c>
      <c r="AO85" s="172">
        <f t="array" ref="AO85">IFERROR(
AVERAGE(IF(DATOS_[Sexo]=$B85,IF(DATOS_[[AGRUP. CLAS. PROF.]:[AGRUP. CLAS. PROF.]]=$B84,IF(DATOS_[Check Equiparado]="Sí",IF(DATOS_[Check Periodo Ref.]="Dentro",DATOS_[TOTAL SALARIO Eq],FALSE))))),
0)</f>
        <v>0</v>
      </c>
      <c r="AP85" s="173">
        <f t="array" ref="AP85">IFERROR(
(AVERAGE((IF(DATOS_[[Sexo]:[Sexo]]=$B85,IF(DATOS_[[AGRUP. CLAS. PROF.]:[AGRUP. CLAS. PROF.]]=$B84,IF(DATOS_[[Check Periodo Ref.]:[Check Periodo Ref.]]="Dentro",IF(DATOS_[[Check Equiparado]:[Check Equiparado]]="Sí",IF(DATOS!BW$5="Sí",(1/DATOS_[[% anualiz]:[% anualiz]]),1)*IF(DATOS!BW$4="Sí",1/DATOS_[[% normaliz]:[% normaliz]],1)*(DATOS_[C.Extra.01])))))))),
0)</f>
        <v>0</v>
      </c>
      <c r="AQ85" s="173">
        <f t="array" ref="AQ85">IFERROR(
(AVERAGE((IF(DATOS_[[Sexo]:[Sexo]]=$B85,IF(DATOS_[[AGRUP. CLAS. PROF.]:[AGRUP. CLAS. PROF.]]=$B84,IF(DATOS_[[Check Periodo Ref.]:[Check Periodo Ref.]]="Dentro",IF(DATOS_[[Check Equiparado]:[Check Equiparado]]="Sí",IF(DATOS!CB$5="Sí",(1/DATOS_[[% anualiz]:[% anualiz]]),1)*IF(DATOS!CB$4="Sí",1/DATOS_[[% normaliz]:[% normaliz]],1)*(DATOS_[C.Extra.06])))))))),
0)</f>
        <v>0</v>
      </c>
      <c r="AR85" s="173">
        <f t="array" ref="AR85">IFERROR(
(AVERAGE((IF(DATOS_[[Sexo]:[Sexo]]=$B85,IF(DATOS_[[AGRUP. CLAS. PROF.]:[AGRUP. CLAS. PROF.]]=$B84,IF(DATOS_[[Check Periodo Ref.]:[Check Periodo Ref.]]="Dentro",IF(DATOS_[[Check Equiparado]:[Check Equiparado]]="Sí",IF(DATOS!CC$5="Sí",(1/DATOS_[[% anualiz]:[% anualiz]]),1)*IF(DATOS!CC$4="Sí",1/DATOS_[[% normaliz]:[% normaliz]],1)*(DATOS_[C.Extra.07])))))))),
0)</f>
        <v>0</v>
      </c>
      <c r="AS85" s="173">
        <f t="array" ref="AS85">IFERROR(
(AVERAGE((IF(DATOS_[[Sexo]:[Sexo]]=$B85,IF(DATOS_[[AGRUP. CLAS. PROF.]:[AGRUP. CLAS. PROF.]]=$B84,IF(DATOS_[[Check Periodo Ref.]:[Check Periodo Ref.]]="Dentro",IF(DATOS_[[Check Equiparado]:[Check Equiparado]]="Sí",IF(DATOS!CD$5="Sí",(1/DATOS_[[% anualiz]:[% anualiz]]),1)*IF(DATOS!CD$4="Sí",1/DATOS_[[% normaliz]:[% normaliz]],1)*(DATOS_[C.Extra.08])))))))),
0)</f>
        <v>0</v>
      </c>
      <c r="AT85" s="173">
        <f t="array" ref="AT85">IFERROR(
(AVERAGE((IF(DATOS_[[Sexo]:[Sexo]]=$B85,IF(DATOS_[[AGRUP. CLAS. PROF.]:[AGRUP. CLAS. PROF.]]=$B84,IF(DATOS_[[Check Periodo Ref.]:[Check Periodo Ref.]]="Dentro",IF(DATOS_[[Check Equiparado]:[Check Equiparado]]="Sí",IF(DATOS!CG$5="Sí",(1/DATOS_[[% anualiz]:[% anualiz]]),1)*IF(DATOS!CG$4="Sí",1/DATOS_[[% normaliz]:[% normaliz]],1)*(DATOS_[C.Extra.11])))))))),
0)</f>
        <v>0</v>
      </c>
      <c r="AU85" s="197">
        <f t="array" ref="AU85">IFERROR(
AVERAGE(IF(DATOS_[Sexo]=$B85,IF(DATOS_[[AGRUP. CLAS. PROF.]:[AGRUP. CLAS. PROF.]]=$B84,IF(DATOS_[Check Equiparado]="Sí",IF(DATOS_[Check Periodo Ref.]="Dentro",DATOS_[Tot Extrasalarial Eq],FALSE))))),
0)</f>
        <v>0</v>
      </c>
      <c r="AV85" s="175">
        <f t="array" ref="AV85">IFERROR(
AVERAGE(IF(DATOS_[Sexo]=$B85,IF(DATOS_[[AGRUP. CLAS. PROF.]:[AGRUP. CLAS. PROF.]]=$B84,IF(DATOS_[Check Equiparado]="Sí",IF(DATOS_[Check Periodo Ref.]="Dentro",DATOS_[TOTAL Retrib Eq],FALSE))))),
0)</f>
        <v>0</v>
      </c>
    </row>
    <row r="86" spans="1:48" hidden="1" x14ac:dyDescent="0.25">
      <c r="A86" s="133" t="str">
        <f t="shared" ref="A86" si="98">+A85</f>
        <v>[ocultar]</v>
      </c>
      <c r="B86" s="202" t="s">
        <v>521</v>
      </c>
      <c r="C86" s="203">
        <f t="array" ref="C86">SUM(IF($B86=DATOS_[Sexo],
IF($B84=DATOS_[AGRUP. CLAS. PROF.],
IF("Dentro"=DATOS_[Check Periodo Ref.],
1/(COUNTIFS(DATOS_[Sexo],$B86,DATOS_[AGRUP. CLAS. PROF.],$B84,DATOS_[Check Periodo Ref.],"Dentro",DATOS_[id/cod],DATOS_[id/cod]))))))</f>
        <v>0</v>
      </c>
      <c r="D86" s="204">
        <f>COUNTIFS(DATOS_[AGRUP. CLAS. PROF.],$B84,DATOS_[Sexo],$B86,DATOS_[Check Periodo Ref.],"Dentro")</f>
        <v>0</v>
      </c>
      <c r="E86" s="204">
        <f>COUNTIFS(DATOS_[AGRUP. CLAS. PROF.],$B84,DATOS_[Sexo],$B86,DATOS_[Check Periodo Ref.],"Dentro",DATOS_[Check Nº SC Norm],"Sí")</f>
        <v>0</v>
      </c>
      <c r="F86" s="204">
        <f>COUNTIFS(DATOS_[AGRUP. CLAS. PROF.],$B84,DATOS_[Sexo],$B86,DATOS_[Check Periodo Ref.],"Dentro",DATOS_[Check Nº SC Anualiz],"Sí")</f>
        <v>0</v>
      </c>
      <c r="G86" s="204">
        <f>COUNTIFS(DATOS_[AGRUP. CLAS. PROF.],$B84,DATOS_[Sexo],$B86,DATOS_[Check Periodo Ref.],"Dentro",DATOS_[Check Nº SC Norm y Anualiz],"Sí")</f>
        <v>0</v>
      </c>
      <c r="H86" s="204">
        <f>COUNTIFS(DATOS_[AGRUP. CLAS. PROF.],$B84,DATOS_[Sexo],$B86,DATOS_[Check Periodo Ref.],"Dentro",DATOS_[Check Equiparación],"Sí")</f>
        <v>0</v>
      </c>
      <c r="I86" s="195" cm="1">
        <f t="array" ref="I86">IFERROR(
AVERAGE(IF(DATOS_[Sexo]=$B86,IF(DATOS_[[AGRUP. CLAS. PROF.]:[AGRUP. CLAS. PROF.]]=$B84,IF(DATOS_[Check Equiparado]="Sí",IF(DATOS_[Check Periodo Ref.]="Dentro",DATOS_[SALARIO BASE Eq],FALSE))))),
0)</f>
        <v>0</v>
      </c>
      <c r="J86" s="196">
        <f t="array" ref="J86">IFERROR(
(AVERAGE((IF(DATOS_[[Sexo]:[Sexo]]=$B86,IF(DATOS_[[AGRUP. CLAS. PROF.]:[AGRUP. CLAS. PROF.]]=$B84,IF(DATOS_[[Check Periodo Ref.]:[Check Periodo Ref.]]="Dentro",IF(DATOS_[[Check Equiparado]:[Check Equiparado]]="Sí",IF(DATOS!AE$5="Sí",(1/DATOS_[[% anualiz]:[% anualiz]]),1)*IF(DATOS!AE$4="Sí",1/DATOS_[[% normaliz]:[% normaliz]],1)*(DATOS_[Conc.Sal.01])))))))),
0)</f>
        <v>0</v>
      </c>
      <c r="K86" s="196">
        <f t="array" ref="K86">IFERROR(
(AVERAGE((IF(DATOS_[[Sexo]:[Sexo]]=$B86,IF(DATOS_[[AGRUP. CLAS. PROF.]:[AGRUP. CLAS. PROF.]]=$B84,IF(DATOS_[[Check Periodo Ref.]:[Check Periodo Ref.]]="Dentro",IF(DATOS_[[Check Equiparado]:[Check Equiparado]]="Sí",IF(DATOS!AF$5="Sí",(1/DATOS_[[% anualiz]:[% anualiz]]),1)*IF(DATOS!AF$4="Sí",1/DATOS_[[% normaliz]:[% normaliz]],1)*(DATOS_[Conc.Sal.02])))))))),
0)</f>
        <v>0</v>
      </c>
      <c r="L86" s="196">
        <f t="array" ref="L86">IFERROR(
(AVERAGE((IF(DATOS_[[Sexo]:[Sexo]]=$B86,IF(DATOS_[[AGRUP. CLAS. PROF.]:[AGRUP. CLAS. PROF.]]=$B84,IF(DATOS_[[Check Periodo Ref.]:[Check Periodo Ref.]]="Dentro",IF(DATOS_[[Check Equiparado]:[Check Equiparado]]="Sí",IF(DATOS!AG$5="Sí",(1/DATOS_[[% anualiz]:[% anualiz]]),1)*IF(DATOS!AG$4="Sí",1/DATOS_[[% normaliz]:[% normaliz]],1)*(DATOS_[Conc.Sal.03])))))))),
0)</f>
        <v>0</v>
      </c>
      <c r="M86" s="196">
        <f t="array" ref="M86">IFERROR(
(AVERAGE((IF(DATOS_[[Sexo]:[Sexo]]=$B86,IF(DATOS_[[AGRUP. CLAS. PROF.]:[AGRUP. CLAS. PROF.]]=$B84,IF(DATOS_[[Check Periodo Ref.]:[Check Periodo Ref.]]="Dentro",IF(DATOS_[[Check Equiparado]:[Check Equiparado]]="Sí",IF(DATOS!AH$5="Sí",(1/DATOS_[[% anualiz]:[% anualiz]]),1)*IF(DATOS!AH$4="Sí",1/DATOS_[[% normaliz]:[% normaliz]],1)*(DATOS_[Conc.Sal.04])))))))),
0)</f>
        <v>0</v>
      </c>
      <c r="N86" s="196">
        <f t="array" ref="N86">IFERROR(
(AVERAGE((IF(DATOS_[[Sexo]:[Sexo]]=$B86,IF(DATOS_[[AGRUP. CLAS. PROF.]:[AGRUP. CLAS. PROF.]]=$B84,IF(DATOS_[[Check Periodo Ref.]:[Check Periodo Ref.]]="Dentro",IF(DATOS_[[Check Equiparado]:[Check Equiparado]]="Sí",IF(DATOS!AI$5="Sí",(1/DATOS_[[% anualiz]:[% anualiz]]),1)*IF(DATOS!AI$4="Sí",1/DATOS_[[% normaliz]:[% normaliz]],1)*(DATOS_[Conc.Sal.05])))))))),
0)</f>
        <v>0</v>
      </c>
      <c r="O86" s="196">
        <f t="array" ref="O86">IFERROR(
(AVERAGE((IF(DATOS_[[Sexo]:[Sexo]]=$B86,IF(DATOS_[[AGRUP. CLAS. PROF.]:[AGRUP. CLAS. PROF.]]=$B84,IF(DATOS_[[Check Periodo Ref.]:[Check Periodo Ref.]]="Dentro",IF(DATOS_[[Check Equiparado]:[Check Equiparado]]="Sí",IF(DATOS!AJ$5="Sí",(1/DATOS_[[% anualiz]:[% anualiz]]),1)*IF(DATOS!AJ$4="Sí",1/DATOS_[[% normaliz]:[% normaliz]],1)*(DATOS_[Conc.Sal.06])))))))),
0)</f>
        <v>0</v>
      </c>
      <c r="P86" s="196">
        <f t="array" ref="P86">IFERROR(
(AVERAGE((IF(DATOS_[[Sexo]:[Sexo]]=$B86,IF(DATOS_[[AGRUP. CLAS. PROF.]:[AGRUP. CLAS. PROF.]]=$B84,IF(DATOS_[[Check Periodo Ref.]:[Check Periodo Ref.]]="Dentro",IF(DATOS_[[Check Equiparado]:[Check Equiparado]]="Sí",IF(DATOS!AK$5="Sí",(1/DATOS_[[% anualiz]:[% anualiz]]),1)*IF(DATOS!AK$4="Sí",1/DATOS_[[% normaliz]:[% normaliz]],1)*(DATOS_[Conc.Sal.07])))))))),
0)</f>
        <v>0</v>
      </c>
      <c r="Q86" s="196">
        <f t="array" ref="Q86">IFERROR(
(AVERAGE((IF(DATOS_[[Sexo]:[Sexo]]=$B86,IF(DATOS_[[AGRUP. CLAS. PROF.]:[AGRUP. CLAS. PROF.]]=$B84,IF(DATOS_[[Check Periodo Ref.]:[Check Periodo Ref.]]="Dentro",IF(DATOS_[[Check Equiparado]:[Check Equiparado]]="Sí",IF(DATOS!AL$5="Sí",(1/DATOS_[[% anualiz]:[% anualiz]]),1)*IF(DATOS!AL$4="Sí",1/DATOS_[[% normaliz]:[% normaliz]],1)*(DATOS_[Conc.Sal.08])))))))),
0)</f>
        <v>0</v>
      </c>
      <c r="R86" s="196">
        <f t="array" ref="R86">IFERROR(
(AVERAGE((IF(DATOS_[[Sexo]:[Sexo]]=$B86,IF(DATOS_[[AGRUP. CLAS. PROF.]:[AGRUP. CLAS. PROF.]]=$B84,IF(DATOS_[[Check Periodo Ref.]:[Check Periodo Ref.]]="Dentro",IF(DATOS_[[Check Equiparado]:[Check Equiparado]]="Sí",IF(DATOS!AM$5="Sí",(1/DATOS_[[% anualiz]:[% anualiz]]),1)*IF(DATOS!AM$4="Sí",1/DATOS_[[% normaliz]:[% normaliz]],1)*(DATOS_[Conc.Sal.09])))))))),
0)</f>
        <v>0</v>
      </c>
      <c r="S86" s="196">
        <f t="array" ref="S86">IFERROR(
(AVERAGE((IF(DATOS_[[Sexo]:[Sexo]]=$B86,IF(DATOS_[[AGRUP. CLAS. PROF.]:[AGRUP. CLAS. PROF.]]=$B84,IF(DATOS_[[Check Periodo Ref.]:[Check Periodo Ref.]]="Dentro",IF(DATOS_[[Check Equiparado]:[Check Equiparado]]="Sí",IF(DATOS!AN$5="Sí",(1/DATOS_[[% anualiz]:[% anualiz]]),1)*IF(DATOS!AN$4="Sí",1/DATOS_[[% normaliz]:[% normaliz]],1)*(DATOS_[Conc.Sal.10])))))))),
0)</f>
        <v>0</v>
      </c>
      <c r="T86" s="196">
        <f t="array" ref="T86">IFERROR(
(AVERAGE((IF(DATOS_[[Sexo]:[Sexo]]=$B86,IF(DATOS_[[AGRUP. CLAS. PROF.]:[AGRUP. CLAS. PROF.]]=$B84,IF(DATOS_[[Check Periodo Ref.]:[Check Periodo Ref.]]="Dentro",IF(DATOS_[[Check Equiparado]:[Check Equiparado]]="Sí",IF(DATOS!AO$5="Sí",(1/DATOS_[[% anualiz]:[% anualiz]]),1)*IF(DATOS!AO$4="Sí",1/DATOS_[[% normaliz]:[% normaliz]],1)*(DATOS_[Conc.Sal.11])))))))),
0)</f>
        <v>0</v>
      </c>
      <c r="U86" s="196">
        <f t="array" ref="U86">IFERROR(
(AVERAGE((IF(DATOS_[[Sexo]:[Sexo]]=$B86,IF(DATOS_[[AGRUP. CLAS. PROF.]:[AGRUP. CLAS. PROF.]]=$B84,IF(DATOS_[[Check Periodo Ref.]:[Check Periodo Ref.]]="Dentro",IF(DATOS_[[Check Equiparado]:[Check Equiparado]]="Sí",IF(DATOS!AP$5="Sí",(1/DATOS_[[% anualiz]:[% anualiz]]),1)*IF(DATOS!AP$4="Sí",1/DATOS_[[% normaliz]:[% normaliz]],1)*(DATOS_[Conc.Sal.12])))))))),
0)</f>
        <v>0</v>
      </c>
      <c r="V86" s="196">
        <f t="array" ref="V86">IFERROR(
(AVERAGE((IF(DATOS_[[Sexo]:[Sexo]]=$B86,IF(DATOS_[[AGRUP. CLAS. PROF.]:[AGRUP. CLAS. PROF.]]=$B84,IF(DATOS_[[Check Periodo Ref.]:[Check Periodo Ref.]]="Dentro",IF(DATOS_[[Check Equiparado]:[Check Equiparado]]="Sí",IF(DATOS!AQ$5="Sí",(1/DATOS_[[% anualiz]:[% anualiz]]),1)*IF(DATOS!AQ$4="Sí",1/DATOS_[[% normaliz]:[% normaliz]],1)*(DATOS_[Conc.Sal.13])))))))),
0)</f>
        <v>0</v>
      </c>
      <c r="W86" s="196">
        <f t="array" ref="W86">IFERROR(
(AVERAGE((IF(DATOS_[[Sexo]:[Sexo]]=$B86,IF(DATOS_[[AGRUP. CLAS. PROF.]:[AGRUP. CLAS. PROF.]]=$B84,IF(DATOS_[[Check Periodo Ref.]:[Check Periodo Ref.]]="Dentro",IF(DATOS_[[Check Equiparado]:[Check Equiparado]]="Sí",IF(DATOS!AR$5="Sí",(1/DATOS_[[% anualiz]:[% anualiz]]),1)*IF(DATOS!AR$4="Sí",1/DATOS_[[% normaliz]:[% normaliz]],1)*(DATOS_[Conc.Sal.14])))))))),
0)</f>
        <v>0</v>
      </c>
      <c r="X86" s="196">
        <f t="array" ref="X86">IFERROR(
(AVERAGE((IF(DATOS_[[Sexo]:[Sexo]]=$B86,IF(DATOS_[[AGRUP. CLAS. PROF.]:[AGRUP. CLAS. PROF.]]=$B84,IF(DATOS_[[Check Periodo Ref.]:[Check Periodo Ref.]]="Dentro",IF(DATOS_[[Check Equiparado]:[Check Equiparado]]="Sí",IF(DATOS!AS$5="Sí",(1/DATOS_[[% anualiz]:[% anualiz]]),1)*IF(DATOS!AS$4="Sí",1/DATOS_[[% normaliz]:[% normaliz]],1)*(DATOS_[Conc.Sal.15])))))))),
0)</f>
        <v>0</v>
      </c>
      <c r="Y86" s="196">
        <f t="array" ref="Y86">IFERROR(
(AVERAGE((IF(DATOS_[[Sexo]:[Sexo]]=$B86,IF(DATOS_[[AGRUP. CLAS. PROF.]:[AGRUP. CLAS. PROF.]]=$B84,IF(DATOS_[[Check Periodo Ref.]:[Check Periodo Ref.]]="Dentro",IF(DATOS_[[Check Equiparado]:[Check Equiparado]]="Sí",IF(DATOS!AT$5="Sí",(1/DATOS_[[% anualiz]:[% anualiz]]),1)*IF(DATOS!AT$4="Sí",1/DATOS_[[% normaliz]:[% normaliz]],1)*(DATOS_[Conc.Sal.16])))))))),
0)</f>
        <v>0</v>
      </c>
      <c r="Z86" s="196">
        <f t="array" ref="Z86">IFERROR(
(AVERAGE((IF(DATOS_[[Sexo]:[Sexo]]=$B86,IF(DATOS_[[AGRUP. CLAS. PROF.]:[AGRUP. CLAS. PROF.]]=$B84,IF(DATOS_[[Check Periodo Ref.]:[Check Periodo Ref.]]="Dentro",IF(DATOS_[[Check Equiparado]:[Check Equiparado]]="Sí",IF(DATOS!AU$5="Sí",(1/DATOS_[[% anualiz]:[% anualiz]]),1)*IF(DATOS!AU$4="Sí",1/DATOS_[[% normaliz]:[% normaliz]],1)*(DATOS_[Conc.Sal.17])))))))),
0)</f>
        <v>0</v>
      </c>
      <c r="AA86" s="196">
        <f t="array" ref="AA86">IFERROR(
(AVERAGE((IF(DATOS_[[Sexo]:[Sexo]]=$B86,IF(DATOS_[[AGRUP. CLAS. PROF.]:[AGRUP. CLAS. PROF.]]=$B84,IF(DATOS_[[Check Periodo Ref.]:[Check Periodo Ref.]]="Dentro",IF(DATOS_[[Check Equiparado]:[Check Equiparado]]="Sí",IF(DATOS!AV$5="Sí",(1/DATOS_[[% anualiz]:[% anualiz]]),1)*IF(DATOS!AV$4="Sí",1/DATOS_[[% normaliz]:[% normaliz]],1)*(DATOS_[Conc.Sal.18])))))))),
0)</f>
        <v>0</v>
      </c>
      <c r="AB86" s="196">
        <f t="array" ref="AB86">IFERROR(
(AVERAGE((IF(DATOS_[[Sexo]:[Sexo]]=$B86,IF(DATOS_[[AGRUP. CLAS. PROF.]:[AGRUP. CLAS. PROF.]]=$B84,IF(DATOS_[[Check Periodo Ref.]:[Check Periodo Ref.]]="Dentro",IF(DATOS_[[Check Equiparado]:[Check Equiparado]]="Sí",IF(DATOS!AW$5="Sí",(1/DATOS_[[% anualiz]:[% anualiz]]),1)*IF(DATOS!AW$4="Sí",1/DATOS_[[% normaliz]:[% normaliz]],1)*(DATOS_[Conc.Sal.19])))))))),
0)</f>
        <v>0</v>
      </c>
      <c r="AC86" s="196">
        <f t="array" ref="AC86">IFERROR(
(AVERAGE((IF(DATOS_[[Sexo]:[Sexo]]=$B86,IF(DATOS_[[AGRUP. CLAS. PROF.]:[AGRUP. CLAS. PROF.]]=$B84,IF(DATOS_[[Check Periodo Ref.]:[Check Periodo Ref.]]="Dentro",IF(DATOS_[[Check Equiparado]:[Check Equiparado]]="Sí",IF(DATOS!AX$5="Sí",(1/DATOS_[[% anualiz]:[% anualiz]]),1)*IF(DATOS!AX$4="Sí",1/DATOS_[[% normaliz]:[% normaliz]],1)*(DATOS_[Conc.Sal.20])))))))),
0)</f>
        <v>0</v>
      </c>
      <c r="AD86" s="196">
        <f t="array" ref="AD86">IFERROR(
(AVERAGE((IF(DATOS_[[Sexo]:[Sexo]]=$B86,IF(DATOS_[[AGRUP. CLAS. PROF.]:[AGRUP. CLAS. PROF.]]=$B84,IF(DATOS_[[Check Periodo Ref.]:[Check Periodo Ref.]]="Dentro",IF(DATOS_[[Check Equiparado]:[Check Equiparado]]="Sí",IF(DATOS!AY$5="Sí",(1/DATOS_[[% anualiz]:[% anualiz]]),1)*IF(DATOS!AY$4="Sí",1/DATOS_[[% normaliz]:[% normaliz]],1)*(DATOS_[Conc.Sal.21])))))))),
0)</f>
        <v>0</v>
      </c>
      <c r="AE86" s="196">
        <f t="array" ref="AE86">IFERROR(
(AVERAGE((IF(DATOS_[[Sexo]:[Sexo]]=$B86,IF(DATOS_[[AGRUP. CLAS. PROF.]:[AGRUP. CLAS. PROF.]]=$B84,IF(DATOS_[[Check Periodo Ref.]:[Check Periodo Ref.]]="Dentro",IF(DATOS_[[Check Equiparado]:[Check Equiparado]]="Sí",IF(DATOS!AZ$5="Sí",(1/DATOS_[[% anualiz]:[% anualiz]]),1)*IF(DATOS!AZ$4="Sí",1/DATOS_[[% normaliz]:[% normaliz]],1)*(DATOS_[Conc.Sal.22])))))))),
0)</f>
        <v>0</v>
      </c>
      <c r="AF86" s="196">
        <f t="array" ref="AF86">IFERROR(
(AVERAGE((IF(DATOS_[[Sexo]:[Sexo]]=$B86,IF(DATOS_[[AGRUP. CLAS. PROF.]:[AGRUP. CLAS. PROF.]]=$B84,IF(DATOS_[[Check Periodo Ref.]:[Check Periodo Ref.]]="Dentro",IF(DATOS_[[Check Equiparado]:[Check Equiparado]]="Sí",IF(DATOS!BA$5="Sí",(1/DATOS_[[% anualiz]:[% anualiz]]),1)*IF(DATOS!BA$4="Sí",1/DATOS_[[% normaliz]:[% normaliz]],1)*(DATOS_[Conc.Sal.23])))))))),
0)</f>
        <v>0</v>
      </c>
      <c r="AG86" s="196">
        <f t="array" ref="AG86">IFERROR(
(AVERAGE((IF(DATOS_[[Sexo]:[Sexo]]=$B86,IF(DATOS_[[AGRUP. CLAS. PROF.]:[AGRUP. CLAS. PROF.]]=$B84,IF(DATOS_[[Check Periodo Ref.]:[Check Periodo Ref.]]="Dentro",IF(DATOS_[[Check Equiparado]:[Check Equiparado]]="Sí",IF(DATOS!BB$5="Sí",(1/DATOS_[[% anualiz]:[% anualiz]]),1)*IF(DATOS!BB$4="Sí",1/DATOS_[[% normaliz]:[% normaliz]],1)*(DATOS_[Conc.Sal.24])))))))),
0)</f>
        <v>0</v>
      </c>
      <c r="AH86" s="196">
        <f t="array" ref="AH86">IFERROR(
(AVERAGE((IF(DATOS_[[Sexo]:[Sexo]]=$B86,IF(DATOS_[[AGRUP. CLAS. PROF.]:[AGRUP. CLAS. PROF.]]=$B84,IF(DATOS_[[Check Periodo Ref.]:[Check Periodo Ref.]]="Dentro",IF(DATOS_[[Check Equiparado]:[Check Equiparado]]="Sí",IF(DATOS!BC$5="Sí",(1/DATOS_[[% anualiz]:[% anualiz]]),1)*IF(DATOS!BC$4="Sí",1/DATOS_[[% normaliz]:[% normaliz]],1)*(DATOS_[Conc.Sal.25])))))))),
0)</f>
        <v>0</v>
      </c>
      <c r="AI86" s="196">
        <f t="array" ref="AI86">IFERROR(
(AVERAGE((IF(DATOS_[[Sexo]:[Sexo]]=$B86,IF(DATOS_[[AGRUP. CLAS. PROF.]:[AGRUP. CLAS. PROF.]]=$B84,IF(DATOS_[[Check Periodo Ref.]:[Check Periodo Ref.]]="Dentro",IF(DATOS_[[Check Equiparado]:[Check Equiparado]]="Sí",IF(DATOS!BD$5="Sí",(1/DATOS_[[% anualiz]:[% anualiz]]),1)*IF(DATOS!BD$4="Sí",1/DATOS_[[% normaliz]:[% normaliz]],1)*(DATOS_[Conc.Sal.26])))))))),
0)</f>
        <v>0</v>
      </c>
      <c r="AJ86" s="196">
        <f t="array" ref="AJ86">IFERROR(
(AVERAGE((IF(DATOS_[[Sexo]:[Sexo]]=$B86,IF(DATOS_[[AGRUP. CLAS. PROF.]:[AGRUP. CLAS. PROF.]]=$B84,IF(DATOS_[[Check Periodo Ref.]:[Check Periodo Ref.]]="Dentro",IF(DATOS_[[Check Equiparado]:[Check Equiparado]]="Sí",IF(DATOS!BE$5="Sí",(1/DATOS_[[% anualiz]:[% anualiz]]),1)*IF(DATOS!BE$4="Sí",1/DATOS_[[% normaliz]:[% normaliz]],1)*(DATOS_[Conc.Sal.27])))))))),
0)</f>
        <v>0</v>
      </c>
      <c r="AK86" s="196">
        <f t="array" ref="AK86">IFERROR(
(AVERAGE((IF(DATOS_[[Sexo]:[Sexo]]=$B86,IF(DATOS_[[AGRUP. CLAS. PROF.]:[AGRUP. CLAS. PROF.]]=$B84,IF(DATOS_[[Check Periodo Ref.]:[Check Periodo Ref.]]="Dentro",IF(DATOS_[[Check Equiparado]:[Check Equiparado]]="Sí",IF(DATOS!BF$5="Sí",(1/DATOS_[[% anualiz]:[% anualiz]]),1)*IF(DATOS!BF$4="Sí",1/DATOS_[[% normaliz]:[% normaliz]],1)*(DATOS_[Conc.Sal.28])))))))),
0)</f>
        <v>0</v>
      </c>
      <c r="AL86" s="196">
        <f t="array" ref="AL86">IFERROR(
(AVERAGE((IF(DATOS_[[Sexo]:[Sexo]]=$B86,IF(DATOS_[[AGRUP. CLAS. PROF.]:[AGRUP. CLAS. PROF.]]=$B84,IF(DATOS_[[Check Periodo Ref.]:[Check Periodo Ref.]]="Dentro",IF(DATOS_[[Check Equiparado]:[Check Equiparado]]="Sí",IF(DATOS!BG$5="Sí",(1/DATOS_[[% anualiz]:[% anualiz]]),1)*IF(DATOS!BG$4="Sí",1/DATOS_[[% normaliz]:[% normaliz]],1)*(DATOS_[Conc.Sal.29])))))))),
0)</f>
        <v>0</v>
      </c>
      <c r="AM86" s="196">
        <f t="array" ref="AM86">IFERROR(
(AVERAGE((IF(DATOS_[[Sexo]:[Sexo]]=$B86,IF(DATOS_[[AGRUP. CLAS. PROF.]:[AGRUP. CLAS. PROF.]]=$B84,IF(DATOS_[[Check Periodo Ref.]:[Check Periodo Ref.]]="Dentro",IF(DATOS_[[Check Equiparado]:[Check Equiparado]]="Sí",IF(DATOS!BH$5="Sí",(1/DATOS_[[% anualiz]:[% anualiz]]),1)*IF(DATOS!BH$4="Sí",1/DATOS_[[% normaliz]:[% normaliz]],1)*(DATOS_[Conc.Sal.30])))))))),
0)</f>
        <v>0</v>
      </c>
      <c r="AN86" s="195">
        <f t="array" ref="AN86">IFERROR(
AVERAGE(IF(DATOS_[Sexo]=$B86,IF(DATOS_[[AGRUP. CLAS. PROF.]:[AGRUP. CLAS. PROF.]]=$B84,IF(DATOS_[Check Equiparado]="Sí",IF(DATOS_[Check Periodo Ref.]="Dentro",DATOS_[Tot COMPL.SAL Eq],FALSE))))),
0)</f>
        <v>0</v>
      </c>
      <c r="AO86" s="172">
        <f t="array" ref="AO86">IFERROR(
AVERAGE(IF(DATOS_[Sexo]=$B86,IF(DATOS_[[AGRUP. CLAS. PROF.]:[AGRUP. CLAS. PROF.]]=$B84,IF(DATOS_[Check Equiparado]="Sí",IF(DATOS_[Check Periodo Ref.]="Dentro",DATOS_[TOTAL SALARIO Eq],FALSE))))),
0)</f>
        <v>0</v>
      </c>
      <c r="AP86" s="173">
        <f t="array" ref="AP86">IFERROR(
(AVERAGE((IF(DATOS_[[Sexo]:[Sexo]]=$B86,IF(DATOS_[[AGRUP. CLAS. PROF.]:[AGRUP. CLAS. PROF.]]=$B84,IF(DATOS_[[Check Periodo Ref.]:[Check Periodo Ref.]]="Dentro",IF(DATOS_[[Check Equiparado]:[Check Equiparado]]="Sí",IF(DATOS!BW$5="Sí",(1/DATOS_[[% anualiz]:[% anualiz]]),1)*IF(DATOS!BW$4="Sí",1/DATOS_[[% normaliz]:[% normaliz]],1)*(DATOS_[C.Extra.01])))))))),
0)</f>
        <v>0</v>
      </c>
      <c r="AQ86" s="173">
        <f t="array" ref="AQ86">IFERROR(
(AVERAGE((IF(DATOS_[[Sexo]:[Sexo]]=$B86,IF(DATOS_[[AGRUP. CLAS. PROF.]:[AGRUP. CLAS. PROF.]]=$B84,IF(DATOS_[[Check Periodo Ref.]:[Check Periodo Ref.]]="Dentro",IF(DATOS_[[Check Equiparado]:[Check Equiparado]]="Sí",IF(DATOS!CB$5="Sí",(1/DATOS_[[% anualiz]:[% anualiz]]),1)*IF(DATOS!CB$4="Sí",1/DATOS_[[% normaliz]:[% normaliz]],1)*(DATOS_[C.Extra.06])))))))),
0)</f>
        <v>0</v>
      </c>
      <c r="AR86" s="173">
        <f t="array" ref="AR86">IFERROR(
(AVERAGE((IF(DATOS_[[Sexo]:[Sexo]]=$B86,IF(DATOS_[[AGRUP. CLAS. PROF.]:[AGRUP. CLAS. PROF.]]=$B84,IF(DATOS_[[Check Periodo Ref.]:[Check Periodo Ref.]]="Dentro",IF(DATOS_[[Check Equiparado]:[Check Equiparado]]="Sí",IF(DATOS!CC$5="Sí",(1/DATOS_[[% anualiz]:[% anualiz]]),1)*IF(DATOS!CC$4="Sí",1/DATOS_[[% normaliz]:[% normaliz]],1)*(DATOS_[C.Extra.07])))))))),
0)</f>
        <v>0</v>
      </c>
      <c r="AS86" s="173">
        <f t="array" ref="AS86">IFERROR(
(AVERAGE((IF(DATOS_[[Sexo]:[Sexo]]=$B86,IF(DATOS_[[AGRUP. CLAS. PROF.]:[AGRUP. CLAS. PROF.]]=$B84,IF(DATOS_[[Check Periodo Ref.]:[Check Periodo Ref.]]="Dentro",IF(DATOS_[[Check Equiparado]:[Check Equiparado]]="Sí",IF(DATOS!CD$5="Sí",(1/DATOS_[[% anualiz]:[% anualiz]]),1)*IF(DATOS!CD$4="Sí",1/DATOS_[[% normaliz]:[% normaliz]],1)*(DATOS_[C.Extra.08])))))))),
0)</f>
        <v>0</v>
      </c>
      <c r="AT86" s="173">
        <f t="array" ref="AT86">IFERROR(
(AVERAGE((IF(DATOS_[[Sexo]:[Sexo]]=$B86,IF(DATOS_[[AGRUP. CLAS. PROF.]:[AGRUP. CLAS. PROF.]]=$B84,IF(DATOS_[[Check Periodo Ref.]:[Check Periodo Ref.]]="Dentro",IF(DATOS_[[Check Equiparado]:[Check Equiparado]]="Sí",IF(DATOS!CG$5="Sí",(1/DATOS_[[% anualiz]:[% anualiz]]),1)*IF(DATOS!CG$4="Sí",1/DATOS_[[% normaliz]:[% normaliz]],1)*(DATOS_[C.Extra.11])))))))),
0)</f>
        <v>0</v>
      </c>
      <c r="AU86" s="197">
        <f t="array" ref="AU86">IFERROR(
AVERAGE(IF(DATOS_[Sexo]=$B86,IF(DATOS_[[AGRUP. CLAS. PROF.]:[AGRUP. CLAS. PROF.]]=$B84,IF(DATOS_[Check Equiparado]="Sí",IF(DATOS_[Check Periodo Ref.]="Dentro",DATOS_[Tot Extrasalarial Eq],FALSE))))),
0)</f>
        <v>0</v>
      </c>
      <c r="AV86" s="175">
        <f t="array" ref="AV86">IFERROR(
AVERAGE(IF(DATOS_[Sexo]=$B86,IF(DATOS_[[AGRUP. CLAS. PROF.]:[AGRUP. CLAS. PROF.]]=$B84,IF(DATOS_[Check Equiparado]="Sí",IF(DATOS_[Check Periodo Ref.]="Dentro",DATOS_[TOTAL Retrib Eq],FALSE))))),
0)</f>
        <v>0</v>
      </c>
    </row>
    <row r="87" spans="1:48" ht="15.6" hidden="1" thickBot="1" x14ac:dyDescent="0.3">
      <c r="A87" s="133" t="str">
        <f t="shared" ref="A87" si="99">+A88</f>
        <v>[ocultar]</v>
      </c>
      <c r="B87" s="199" t="s">
        <v>274</v>
      </c>
      <c r="C87" s="200"/>
      <c r="D87" s="201"/>
      <c r="E87" s="201"/>
      <c r="F87" s="201"/>
      <c r="G87" s="201"/>
      <c r="H87" s="201"/>
      <c r="I87" s="189" t="str">
        <f t="shared" ref="I87:AV87" si="100">IFERROR((I88-I89)/I88,"")</f>
        <v/>
      </c>
      <c r="J87" s="190" t="str">
        <f t="shared" si="100"/>
        <v/>
      </c>
      <c r="K87" s="191" t="str">
        <f t="shared" si="100"/>
        <v/>
      </c>
      <c r="L87" s="191" t="str">
        <f t="shared" si="100"/>
        <v/>
      </c>
      <c r="M87" s="191" t="str">
        <f t="shared" si="100"/>
        <v/>
      </c>
      <c r="N87" s="192" t="str">
        <f t="shared" si="100"/>
        <v/>
      </c>
      <c r="O87" s="193" t="str">
        <f t="shared" si="100"/>
        <v/>
      </c>
      <c r="P87" s="193" t="str">
        <f t="shared" si="100"/>
        <v/>
      </c>
      <c r="Q87" s="193" t="str">
        <f t="shared" si="100"/>
        <v/>
      </c>
      <c r="R87" s="193" t="str">
        <f t="shared" si="100"/>
        <v/>
      </c>
      <c r="S87" s="193" t="str">
        <f t="shared" si="100"/>
        <v/>
      </c>
      <c r="T87" s="193" t="str">
        <f t="shared" si="100"/>
        <v/>
      </c>
      <c r="U87" s="193" t="str">
        <f t="shared" si="100"/>
        <v/>
      </c>
      <c r="V87" s="193" t="str">
        <f t="shared" si="100"/>
        <v/>
      </c>
      <c r="W87" s="193" t="str">
        <f t="shared" si="100"/>
        <v/>
      </c>
      <c r="X87" s="193" t="str">
        <f t="shared" si="100"/>
        <v/>
      </c>
      <c r="Y87" s="193" t="str">
        <f t="shared" si="100"/>
        <v/>
      </c>
      <c r="Z87" s="193" t="str">
        <f t="shared" si="100"/>
        <v/>
      </c>
      <c r="AA87" s="193" t="str">
        <f t="shared" si="100"/>
        <v/>
      </c>
      <c r="AB87" s="193" t="str">
        <f t="shared" si="100"/>
        <v/>
      </c>
      <c r="AC87" s="193" t="str">
        <f t="shared" si="100"/>
        <v/>
      </c>
      <c r="AD87" s="193" t="str">
        <f t="shared" si="100"/>
        <v/>
      </c>
      <c r="AE87" s="193" t="str">
        <f t="shared" si="100"/>
        <v/>
      </c>
      <c r="AF87" s="193" t="str">
        <f t="shared" si="100"/>
        <v/>
      </c>
      <c r="AG87" s="193" t="str">
        <f t="shared" si="100"/>
        <v/>
      </c>
      <c r="AH87" s="193" t="str">
        <f t="shared" si="100"/>
        <v/>
      </c>
      <c r="AI87" s="193" t="str">
        <f t="shared" si="100"/>
        <v/>
      </c>
      <c r="AJ87" s="193" t="str">
        <f t="shared" si="100"/>
        <v/>
      </c>
      <c r="AK87" s="193" t="str">
        <f t="shared" si="100"/>
        <v/>
      </c>
      <c r="AL87" s="193" t="str">
        <f t="shared" si="100"/>
        <v/>
      </c>
      <c r="AM87" s="193" t="str">
        <f t="shared" si="100"/>
        <v/>
      </c>
      <c r="AN87" s="189" t="str">
        <f t="shared" si="100"/>
        <v/>
      </c>
      <c r="AO87" s="162" t="str">
        <f t="shared" si="100"/>
        <v/>
      </c>
      <c r="AP87" s="163" t="str">
        <f t="shared" si="100"/>
        <v/>
      </c>
      <c r="AQ87" s="163" t="str">
        <f t="shared" si="100"/>
        <v/>
      </c>
      <c r="AR87" s="163" t="str">
        <f t="shared" si="100"/>
        <v/>
      </c>
      <c r="AS87" s="163" t="str">
        <f t="shared" si="100"/>
        <v/>
      </c>
      <c r="AT87" s="163" t="str">
        <f t="shared" si="100"/>
        <v/>
      </c>
      <c r="AU87" s="194" t="str">
        <f t="shared" si="100"/>
        <v/>
      </c>
      <c r="AV87" s="165" t="str">
        <f t="shared" si="100"/>
        <v/>
      </c>
    </row>
    <row r="88" spans="1:48" hidden="1" x14ac:dyDescent="0.25">
      <c r="A88" s="133" t="str">
        <f t="shared" ref="A88" si="101">+IF(C88+C89=0,"[ocultar]","")</f>
        <v>[ocultar]</v>
      </c>
      <c r="B88" s="202" t="s">
        <v>394</v>
      </c>
      <c r="C88" s="203">
        <f t="array" ref="C88">SUM(IF($B88=DATOS_[Sexo],
IF($B87=DATOS_[AGRUP. CLAS. PROF.],
IF("Dentro"=DATOS_[Check Periodo Ref.],
1/(COUNTIFS(DATOS_[Sexo],$B88,DATOS_[AGRUP. CLAS. PROF.],$B87,DATOS_[Check Periodo Ref.],"Dentro",DATOS_[id/cod],DATOS_[id/cod]))))))</f>
        <v>0</v>
      </c>
      <c r="D88" s="204">
        <f>COUNTIFS(DATOS_[AGRUP. CLAS. PROF.],$B87,DATOS_[Sexo],$B88,DATOS_[Check Periodo Ref.],"Dentro")</f>
        <v>0</v>
      </c>
      <c r="E88" s="204">
        <f>COUNTIFS(DATOS_[AGRUP. CLAS. PROF.],$B87,DATOS_[Sexo],$B88,DATOS_[Check Periodo Ref.],"Dentro",DATOS_[Check Nº SC Norm],"Sí")</f>
        <v>0</v>
      </c>
      <c r="F88" s="204">
        <f>COUNTIFS(DATOS_[AGRUP. CLAS. PROF.],$B87,DATOS_[Sexo],$B88,DATOS_[Check Periodo Ref.],"Dentro",DATOS_[Check Nº SC Anualiz],"Sí")</f>
        <v>0</v>
      </c>
      <c r="G88" s="204">
        <f>COUNTIFS(DATOS_[AGRUP. CLAS. PROF.],$B87,DATOS_[Sexo],$B88,DATOS_[Check Periodo Ref.],"Dentro",DATOS_[Check Nº SC Norm y Anualiz],"Sí")</f>
        <v>0</v>
      </c>
      <c r="H88" s="204">
        <f>COUNTIFS(DATOS_[AGRUP. CLAS. PROF.],$B87,DATOS_[Sexo],$B88,DATOS_[Check Periodo Ref.],"Dentro",DATOS_[Check Equiparación],"Sí")</f>
        <v>0</v>
      </c>
      <c r="I88" s="195">
        <f t="array" ref="I88">IFERROR(
AVERAGE(IF(DATOS_[Sexo]=$B88,IF(DATOS_[[AGRUP. CLAS. PROF.]:[AGRUP. CLAS. PROF.]]=$B87,IF(DATOS_[Check Equiparado]="Sí",IF(DATOS_[Check Periodo Ref.]="Dentro",DATOS_[SALARIO BASE Eq],FALSE))))),
0)</f>
        <v>0</v>
      </c>
      <c r="J88" s="196">
        <f t="array" ref="J88">IFERROR(
(AVERAGE((IF(DATOS_[[Sexo]:[Sexo]]=$B88,IF(DATOS_[[AGRUP. CLAS. PROF.]:[AGRUP. CLAS. PROF.]]=$B87,IF(DATOS_[[Check Periodo Ref.]:[Check Periodo Ref.]]="Dentro",IF(DATOS_[[Check Equiparado]:[Check Equiparado]]="Sí",IF(DATOS!AE$5="Sí",(1/DATOS_[[% anualiz]:[% anualiz]]),1)*IF(DATOS!AE$4="Sí",1/DATOS_[[% normaliz]:[% normaliz]],1)*(DATOS_[Conc.Sal.01])))))))),
0)</f>
        <v>0</v>
      </c>
      <c r="K88" s="196">
        <f t="array" ref="K88">IFERROR(
(AVERAGE((IF(DATOS_[[Sexo]:[Sexo]]=$B88,IF(DATOS_[[AGRUP. CLAS. PROF.]:[AGRUP. CLAS. PROF.]]=$B87,IF(DATOS_[[Check Periodo Ref.]:[Check Periodo Ref.]]="Dentro",IF(DATOS_[[Check Equiparado]:[Check Equiparado]]="Sí",IF(DATOS!AF$5="Sí",(1/DATOS_[[% anualiz]:[% anualiz]]),1)*IF(DATOS!AF$4="Sí",1/DATOS_[[% normaliz]:[% normaliz]],1)*(DATOS_[Conc.Sal.02])))))))),
0)</f>
        <v>0</v>
      </c>
      <c r="L88" s="196">
        <f t="array" ref="L88">IFERROR(
(AVERAGE((IF(DATOS_[[Sexo]:[Sexo]]=$B88,IF(DATOS_[[AGRUP. CLAS. PROF.]:[AGRUP. CLAS. PROF.]]=$B87,IF(DATOS_[[Check Periodo Ref.]:[Check Periodo Ref.]]="Dentro",IF(DATOS_[[Check Equiparado]:[Check Equiparado]]="Sí",IF(DATOS!AG$5="Sí",(1/DATOS_[[% anualiz]:[% anualiz]]),1)*IF(DATOS!AG$4="Sí",1/DATOS_[[% normaliz]:[% normaliz]],1)*(DATOS_[Conc.Sal.03])))))))),
0)</f>
        <v>0</v>
      </c>
      <c r="M88" s="196">
        <f t="array" ref="M88">IFERROR(
(AVERAGE((IF(DATOS_[[Sexo]:[Sexo]]=$B88,IF(DATOS_[[AGRUP. CLAS. PROF.]:[AGRUP. CLAS. PROF.]]=$B87,IF(DATOS_[[Check Periodo Ref.]:[Check Periodo Ref.]]="Dentro",IF(DATOS_[[Check Equiparado]:[Check Equiparado]]="Sí",IF(DATOS!AH$5="Sí",(1/DATOS_[[% anualiz]:[% anualiz]]),1)*IF(DATOS!AH$4="Sí",1/DATOS_[[% normaliz]:[% normaliz]],1)*(DATOS_[Conc.Sal.04])))))))),
0)</f>
        <v>0</v>
      </c>
      <c r="N88" s="196">
        <f t="array" ref="N88">IFERROR(
(AVERAGE((IF(DATOS_[[Sexo]:[Sexo]]=$B88,IF(DATOS_[[AGRUP. CLAS. PROF.]:[AGRUP. CLAS. PROF.]]=$B87,IF(DATOS_[[Check Periodo Ref.]:[Check Periodo Ref.]]="Dentro",IF(DATOS_[[Check Equiparado]:[Check Equiparado]]="Sí",IF(DATOS!AI$5="Sí",(1/DATOS_[[% anualiz]:[% anualiz]]),1)*IF(DATOS!AI$4="Sí",1/DATOS_[[% normaliz]:[% normaliz]],1)*(DATOS_[Conc.Sal.05])))))))),
0)</f>
        <v>0</v>
      </c>
      <c r="O88" s="196">
        <f t="array" ref="O88">IFERROR(
(AVERAGE((IF(DATOS_[[Sexo]:[Sexo]]=$B88,IF(DATOS_[[AGRUP. CLAS. PROF.]:[AGRUP. CLAS. PROF.]]=$B87,IF(DATOS_[[Check Periodo Ref.]:[Check Periodo Ref.]]="Dentro",IF(DATOS_[[Check Equiparado]:[Check Equiparado]]="Sí",IF(DATOS!AJ$5="Sí",(1/DATOS_[[% anualiz]:[% anualiz]]),1)*IF(DATOS!AJ$4="Sí",1/DATOS_[[% normaliz]:[% normaliz]],1)*(DATOS_[Conc.Sal.06])))))))),
0)</f>
        <v>0</v>
      </c>
      <c r="P88" s="196">
        <f t="array" ref="P88">IFERROR(
(AVERAGE((IF(DATOS_[[Sexo]:[Sexo]]=$B88,IF(DATOS_[[AGRUP. CLAS. PROF.]:[AGRUP. CLAS. PROF.]]=$B87,IF(DATOS_[[Check Periodo Ref.]:[Check Periodo Ref.]]="Dentro",IF(DATOS_[[Check Equiparado]:[Check Equiparado]]="Sí",IF(DATOS!AK$5="Sí",(1/DATOS_[[% anualiz]:[% anualiz]]),1)*IF(DATOS!AK$4="Sí",1/DATOS_[[% normaliz]:[% normaliz]],1)*(DATOS_[Conc.Sal.07])))))))),
0)</f>
        <v>0</v>
      </c>
      <c r="Q88" s="196">
        <f t="array" ref="Q88">IFERROR(
(AVERAGE((IF(DATOS_[[Sexo]:[Sexo]]=$B88,IF(DATOS_[[AGRUP. CLAS. PROF.]:[AGRUP. CLAS. PROF.]]=$B87,IF(DATOS_[[Check Periodo Ref.]:[Check Periodo Ref.]]="Dentro",IF(DATOS_[[Check Equiparado]:[Check Equiparado]]="Sí",IF(DATOS!AL$5="Sí",(1/DATOS_[[% anualiz]:[% anualiz]]),1)*IF(DATOS!AL$4="Sí",1/DATOS_[[% normaliz]:[% normaliz]],1)*(DATOS_[Conc.Sal.08])))))))),
0)</f>
        <v>0</v>
      </c>
      <c r="R88" s="196">
        <f t="array" ref="R88">IFERROR(
(AVERAGE((IF(DATOS_[[Sexo]:[Sexo]]=$B88,IF(DATOS_[[AGRUP. CLAS. PROF.]:[AGRUP. CLAS. PROF.]]=$B87,IF(DATOS_[[Check Periodo Ref.]:[Check Periodo Ref.]]="Dentro",IF(DATOS_[[Check Equiparado]:[Check Equiparado]]="Sí",IF(DATOS!AM$5="Sí",(1/DATOS_[[% anualiz]:[% anualiz]]),1)*IF(DATOS!AM$4="Sí",1/DATOS_[[% normaliz]:[% normaliz]],1)*(DATOS_[Conc.Sal.09])))))))),
0)</f>
        <v>0</v>
      </c>
      <c r="S88" s="196">
        <f t="array" ref="S88">IFERROR(
(AVERAGE((IF(DATOS_[[Sexo]:[Sexo]]=$B88,IF(DATOS_[[AGRUP. CLAS. PROF.]:[AGRUP. CLAS. PROF.]]=$B87,IF(DATOS_[[Check Periodo Ref.]:[Check Periodo Ref.]]="Dentro",IF(DATOS_[[Check Equiparado]:[Check Equiparado]]="Sí",IF(DATOS!AN$5="Sí",(1/DATOS_[[% anualiz]:[% anualiz]]),1)*IF(DATOS!AN$4="Sí",1/DATOS_[[% normaliz]:[% normaliz]],1)*(DATOS_[Conc.Sal.10])))))))),
0)</f>
        <v>0</v>
      </c>
      <c r="T88" s="196">
        <f t="array" ref="T88">IFERROR(
(AVERAGE((IF(DATOS_[[Sexo]:[Sexo]]=$B88,IF(DATOS_[[AGRUP. CLAS. PROF.]:[AGRUP. CLAS. PROF.]]=$B87,IF(DATOS_[[Check Periodo Ref.]:[Check Periodo Ref.]]="Dentro",IF(DATOS_[[Check Equiparado]:[Check Equiparado]]="Sí",IF(DATOS!AO$5="Sí",(1/DATOS_[[% anualiz]:[% anualiz]]),1)*IF(DATOS!AO$4="Sí",1/DATOS_[[% normaliz]:[% normaliz]],1)*(DATOS_[Conc.Sal.11])))))))),
0)</f>
        <v>0</v>
      </c>
      <c r="U88" s="196">
        <f t="array" ref="U88">IFERROR(
(AVERAGE((IF(DATOS_[[Sexo]:[Sexo]]=$B88,IF(DATOS_[[AGRUP. CLAS. PROF.]:[AGRUP. CLAS. PROF.]]=$B87,IF(DATOS_[[Check Periodo Ref.]:[Check Periodo Ref.]]="Dentro",IF(DATOS_[[Check Equiparado]:[Check Equiparado]]="Sí",IF(DATOS!AP$5="Sí",(1/DATOS_[[% anualiz]:[% anualiz]]),1)*IF(DATOS!AP$4="Sí",1/DATOS_[[% normaliz]:[% normaliz]],1)*(DATOS_[Conc.Sal.12])))))))),
0)</f>
        <v>0</v>
      </c>
      <c r="V88" s="196">
        <f t="array" ref="V88">IFERROR(
(AVERAGE((IF(DATOS_[[Sexo]:[Sexo]]=$B88,IF(DATOS_[[AGRUP. CLAS. PROF.]:[AGRUP. CLAS. PROF.]]=$B87,IF(DATOS_[[Check Periodo Ref.]:[Check Periodo Ref.]]="Dentro",IF(DATOS_[[Check Equiparado]:[Check Equiparado]]="Sí",IF(DATOS!AQ$5="Sí",(1/DATOS_[[% anualiz]:[% anualiz]]),1)*IF(DATOS!AQ$4="Sí",1/DATOS_[[% normaliz]:[% normaliz]],1)*(DATOS_[Conc.Sal.13])))))))),
0)</f>
        <v>0</v>
      </c>
      <c r="W88" s="196">
        <f t="array" ref="W88">IFERROR(
(AVERAGE((IF(DATOS_[[Sexo]:[Sexo]]=$B88,IF(DATOS_[[AGRUP. CLAS. PROF.]:[AGRUP. CLAS. PROF.]]=$B87,IF(DATOS_[[Check Periodo Ref.]:[Check Periodo Ref.]]="Dentro",IF(DATOS_[[Check Equiparado]:[Check Equiparado]]="Sí",IF(DATOS!AR$5="Sí",(1/DATOS_[[% anualiz]:[% anualiz]]),1)*IF(DATOS!AR$4="Sí",1/DATOS_[[% normaliz]:[% normaliz]],1)*(DATOS_[Conc.Sal.14])))))))),
0)</f>
        <v>0</v>
      </c>
      <c r="X88" s="196">
        <f t="array" ref="X88">IFERROR(
(AVERAGE((IF(DATOS_[[Sexo]:[Sexo]]=$B88,IF(DATOS_[[AGRUP. CLAS. PROF.]:[AGRUP. CLAS. PROF.]]=$B87,IF(DATOS_[[Check Periodo Ref.]:[Check Periodo Ref.]]="Dentro",IF(DATOS_[[Check Equiparado]:[Check Equiparado]]="Sí",IF(DATOS!AS$5="Sí",(1/DATOS_[[% anualiz]:[% anualiz]]),1)*IF(DATOS!AS$4="Sí",1/DATOS_[[% normaliz]:[% normaliz]],1)*(DATOS_[Conc.Sal.15])))))))),
0)</f>
        <v>0</v>
      </c>
      <c r="Y88" s="196">
        <f t="array" ref="Y88">IFERROR(
(AVERAGE((IF(DATOS_[[Sexo]:[Sexo]]=$B88,IF(DATOS_[[AGRUP. CLAS. PROF.]:[AGRUP. CLAS. PROF.]]=$B87,IF(DATOS_[[Check Periodo Ref.]:[Check Periodo Ref.]]="Dentro",IF(DATOS_[[Check Equiparado]:[Check Equiparado]]="Sí",IF(DATOS!AT$5="Sí",(1/DATOS_[[% anualiz]:[% anualiz]]),1)*IF(DATOS!AT$4="Sí",1/DATOS_[[% normaliz]:[% normaliz]],1)*(DATOS_[Conc.Sal.16])))))))),
0)</f>
        <v>0</v>
      </c>
      <c r="Z88" s="196">
        <f t="array" ref="Z88">IFERROR(
(AVERAGE((IF(DATOS_[[Sexo]:[Sexo]]=$B88,IF(DATOS_[[AGRUP. CLAS. PROF.]:[AGRUP. CLAS. PROF.]]=$B87,IF(DATOS_[[Check Periodo Ref.]:[Check Periodo Ref.]]="Dentro",IF(DATOS_[[Check Equiparado]:[Check Equiparado]]="Sí",IF(DATOS!AU$5="Sí",(1/DATOS_[[% anualiz]:[% anualiz]]),1)*IF(DATOS!AU$4="Sí",1/DATOS_[[% normaliz]:[% normaliz]],1)*(DATOS_[Conc.Sal.17])))))))),
0)</f>
        <v>0</v>
      </c>
      <c r="AA88" s="196">
        <f t="array" ref="AA88">IFERROR(
(AVERAGE((IF(DATOS_[[Sexo]:[Sexo]]=$B88,IF(DATOS_[[AGRUP. CLAS. PROF.]:[AGRUP. CLAS. PROF.]]=$B87,IF(DATOS_[[Check Periodo Ref.]:[Check Periodo Ref.]]="Dentro",IF(DATOS_[[Check Equiparado]:[Check Equiparado]]="Sí",IF(DATOS!AV$5="Sí",(1/DATOS_[[% anualiz]:[% anualiz]]),1)*IF(DATOS!AV$4="Sí",1/DATOS_[[% normaliz]:[% normaliz]],1)*(DATOS_[Conc.Sal.18])))))))),
0)</f>
        <v>0</v>
      </c>
      <c r="AB88" s="196">
        <f t="array" ref="AB88">IFERROR(
(AVERAGE((IF(DATOS_[[Sexo]:[Sexo]]=$B88,IF(DATOS_[[AGRUP. CLAS. PROF.]:[AGRUP. CLAS. PROF.]]=$B87,IF(DATOS_[[Check Periodo Ref.]:[Check Periodo Ref.]]="Dentro",IF(DATOS_[[Check Equiparado]:[Check Equiparado]]="Sí",IF(DATOS!AW$5="Sí",(1/DATOS_[[% anualiz]:[% anualiz]]),1)*IF(DATOS!AW$4="Sí",1/DATOS_[[% normaliz]:[% normaliz]],1)*(DATOS_[Conc.Sal.19])))))))),
0)</f>
        <v>0</v>
      </c>
      <c r="AC88" s="196">
        <f t="array" ref="AC88">IFERROR(
(AVERAGE((IF(DATOS_[[Sexo]:[Sexo]]=$B88,IF(DATOS_[[AGRUP. CLAS. PROF.]:[AGRUP. CLAS. PROF.]]=$B87,IF(DATOS_[[Check Periodo Ref.]:[Check Periodo Ref.]]="Dentro",IF(DATOS_[[Check Equiparado]:[Check Equiparado]]="Sí",IF(DATOS!AX$5="Sí",(1/DATOS_[[% anualiz]:[% anualiz]]),1)*IF(DATOS!AX$4="Sí",1/DATOS_[[% normaliz]:[% normaliz]],1)*(DATOS_[Conc.Sal.20])))))))),
0)</f>
        <v>0</v>
      </c>
      <c r="AD88" s="196">
        <f t="array" ref="AD88">IFERROR(
(AVERAGE((IF(DATOS_[[Sexo]:[Sexo]]=$B88,IF(DATOS_[[AGRUP. CLAS. PROF.]:[AGRUP. CLAS. PROF.]]=$B87,IF(DATOS_[[Check Periodo Ref.]:[Check Periodo Ref.]]="Dentro",IF(DATOS_[[Check Equiparado]:[Check Equiparado]]="Sí",IF(DATOS!AY$5="Sí",(1/DATOS_[[% anualiz]:[% anualiz]]),1)*IF(DATOS!AY$4="Sí",1/DATOS_[[% normaliz]:[% normaliz]],1)*(DATOS_[Conc.Sal.21])))))))),
0)</f>
        <v>0</v>
      </c>
      <c r="AE88" s="196">
        <f t="array" ref="AE88">IFERROR(
(AVERAGE((IF(DATOS_[[Sexo]:[Sexo]]=$B88,IF(DATOS_[[AGRUP. CLAS. PROF.]:[AGRUP. CLAS. PROF.]]=$B87,IF(DATOS_[[Check Periodo Ref.]:[Check Periodo Ref.]]="Dentro",IF(DATOS_[[Check Equiparado]:[Check Equiparado]]="Sí",IF(DATOS!AZ$5="Sí",(1/DATOS_[[% anualiz]:[% anualiz]]),1)*IF(DATOS!AZ$4="Sí",1/DATOS_[[% normaliz]:[% normaliz]],1)*(DATOS_[Conc.Sal.22])))))))),
0)</f>
        <v>0</v>
      </c>
      <c r="AF88" s="196">
        <f t="array" ref="AF88">IFERROR(
(AVERAGE((IF(DATOS_[[Sexo]:[Sexo]]=$B88,IF(DATOS_[[AGRUP. CLAS. PROF.]:[AGRUP. CLAS. PROF.]]=$B87,IF(DATOS_[[Check Periodo Ref.]:[Check Periodo Ref.]]="Dentro",IF(DATOS_[[Check Equiparado]:[Check Equiparado]]="Sí",IF(DATOS!BA$5="Sí",(1/DATOS_[[% anualiz]:[% anualiz]]),1)*IF(DATOS!BA$4="Sí",1/DATOS_[[% normaliz]:[% normaliz]],1)*(DATOS_[Conc.Sal.23])))))))),
0)</f>
        <v>0</v>
      </c>
      <c r="AG88" s="196">
        <f t="array" ref="AG88">IFERROR(
(AVERAGE((IF(DATOS_[[Sexo]:[Sexo]]=$B88,IF(DATOS_[[AGRUP. CLAS. PROF.]:[AGRUP. CLAS. PROF.]]=$B87,IF(DATOS_[[Check Periodo Ref.]:[Check Periodo Ref.]]="Dentro",IF(DATOS_[[Check Equiparado]:[Check Equiparado]]="Sí",IF(DATOS!BB$5="Sí",(1/DATOS_[[% anualiz]:[% anualiz]]),1)*IF(DATOS!BB$4="Sí",1/DATOS_[[% normaliz]:[% normaliz]],1)*(DATOS_[Conc.Sal.24])))))))),
0)</f>
        <v>0</v>
      </c>
      <c r="AH88" s="196">
        <f t="array" ref="AH88">IFERROR(
(AVERAGE((IF(DATOS_[[Sexo]:[Sexo]]=$B88,IF(DATOS_[[AGRUP. CLAS. PROF.]:[AGRUP. CLAS. PROF.]]=$B87,IF(DATOS_[[Check Periodo Ref.]:[Check Periodo Ref.]]="Dentro",IF(DATOS_[[Check Equiparado]:[Check Equiparado]]="Sí",IF(DATOS!BC$5="Sí",(1/DATOS_[[% anualiz]:[% anualiz]]),1)*IF(DATOS!BC$4="Sí",1/DATOS_[[% normaliz]:[% normaliz]],1)*(DATOS_[Conc.Sal.25])))))))),
0)</f>
        <v>0</v>
      </c>
      <c r="AI88" s="196">
        <f t="array" ref="AI88">IFERROR(
(AVERAGE((IF(DATOS_[[Sexo]:[Sexo]]=$B88,IF(DATOS_[[AGRUP. CLAS. PROF.]:[AGRUP. CLAS. PROF.]]=$B87,IF(DATOS_[[Check Periodo Ref.]:[Check Periodo Ref.]]="Dentro",IF(DATOS_[[Check Equiparado]:[Check Equiparado]]="Sí",IF(DATOS!BD$5="Sí",(1/DATOS_[[% anualiz]:[% anualiz]]),1)*IF(DATOS!BD$4="Sí",1/DATOS_[[% normaliz]:[% normaliz]],1)*(DATOS_[Conc.Sal.26])))))))),
0)</f>
        <v>0</v>
      </c>
      <c r="AJ88" s="196">
        <f t="array" ref="AJ88">IFERROR(
(AVERAGE((IF(DATOS_[[Sexo]:[Sexo]]=$B88,IF(DATOS_[[AGRUP. CLAS. PROF.]:[AGRUP. CLAS. PROF.]]=$B87,IF(DATOS_[[Check Periodo Ref.]:[Check Periodo Ref.]]="Dentro",IF(DATOS_[[Check Equiparado]:[Check Equiparado]]="Sí",IF(DATOS!BE$5="Sí",(1/DATOS_[[% anualiz]:[% anualiz]]),1)*IF(DATOS!BE$4="Sí",1/DATOS_[[% normaliz]:[% normaliz]],1)*(DATOS_[Conc.Sal.27])))))))),
0)</f>
        <v>0</v>
      </c>
      <c r="AK88" s="196">
        <f t="array" ref="AK88">IFERROR(
(AVERAGE((IF(DATOS_[[Sexo]:[Sexo]]=$B88,IF(DATOS_[[AGRUP. CLAS. PROF.]:[AGRUP. CLAS. PROF.]]=$B87,IF(DATOS_[[Check Periodo Ref.]:[Check Periodo Ref.]]="Dentro",IF(DATOS_[[Check Equiparado]:[Check Equiparado]]="Sí",IF(DATOS!BF$5="Sí",(1/DATOS_[[% anualiz]:[% anualiz]]),1)*IF(DATOS!BF$4="Sí",1/DATOS_[[% normaliz]:[% normaliz]],1)*(DATOS_[Conc.Sal.28])))))))),
0)</f>
        <v>0</v>
      </c>
      <c r="AL88" s="196">
        <f t="array" ref="AL88">IFERROR(
(AVERAGE((IF(DATOS_[[Sexo]:[Sexo]]=$B88,IF(DATOS_[[AGRUP. CLAS. PROF.]:[AGRUP. CLAS. PROF.]]=$B87,IF(DATOS_[[Check Periodo Ref.]:[Check Periodo Ref.]]="Dentro",IF(DATOS_[[Check Equiparado]:[Check Equiparado]]="Sí",IF(DATOS!BG$5="Sí",(1/DATOS_[[% anualiz]:[% anualiz]]),1)*IF(DATOS!BG$4="Sí",1/DATOS_[[% normaliz]:[% normaliz]],1)*(DATOS_[Conc.Sal.29])))))))),
0)</f>
        <v>0</v>
      </c>
      <c r="AM88" s="196">
        <f t="array" ref="AM88">IFERROR(
(AVERAGE((IF(DATOS_[[Sexo]:[Sexo]]=$B88,IF(DATOS_[[AGRUP. CLAS. PROF.]:[AGRUP. CLAS. PROF.]]=$B87,IF(DATOS_[[Check Periodo Ref.]:[Check Periodo Ref.]]="Dentro",IF(DATOS_[[Check Equiparado]:[Check Equiparado]]="Sí",IF(DATOS!BH$5="Sí",(1/DATOS_[[% anualiz]:[% anualiz]]),1)*IF(DATOS!BH$4="Sí",1/DATOS_[[% normaliz]:[% normaliz]],1)*(DATOS_[Conc.Sal.30])))))))),
0)</f>
        <v>0</v>
      </c>
      <c r="AN88" s="195">
        <f t="array" ref="AN88">IFERROR(
AVERAGE(IF(DATOS_[Sexo]=$B88,IF(DATOS_[[AGRUP. CLAS. PROF.]:[AGRUP. CLAS. PROF.]]=$B87,IF(DATOS_[Check Equiparado]="Sí",IF(DATOS_[Check Periodo Ref.]="Dentro",DATOS_[Tot COMPL.SAL Eq],FALSE))))),
0)</f>
        <v>0</v>
      </c>
      <c r="AO88" s="172">
        <f t="array" ref="AO88">IFERROR(
AVERAGE(IF(DATOS_[Sexo]=$B88,IF(DATOS_[[AGRUP. CLAS. PROF.]:[AGRUP. CLAS. PROF.]]=$B87,IF(DATOS_[Check Equiparado]="Sí",IF(DATOS_[Check Periodo Ref.]="Dentro",DATOS_[TOTAL SALARIO Eq],FALSE))))),
0)</f>
        <v>0</v>
      </c>
      <c r="AP88" s="173">
        <f t="array" ref="AP88">IFERROR(
(AVERAGE((IF(DATOS_[[Sexo]:[Sexo]]=$B88,IF(DATOS_[[AGRUP. CLAS. PROF.]:[AGRUP. CLAS. PROF.]]=$B87,IF(DATOS_[[Check Periodo Ref.]:[Check Periodo Ref.]]="Dentro",IF(DATOS_[[Check Equiparado]:[Check Equiparado]]="Sí",IF(DATOS!BW$5="Sí",(1/DATOS_[[% anualiz]:[% anualiz]]),1)*IF(DATOS!BW$4="Sí",1/DATOS_[[% normaliz]:[% normaliz]],1)*(DATOS_[C.Extra.01])))))))),
0)</f>
        <v>0</v>
      </c>
      <c r="AQ88" s="173">
        <f t="array" ref="AQ88">IFERROR(
(AVERAGE((IF(DATOS_[[Sexo]:[Sexo]]=$B88,IF(DATOS_[[AGRUP. CLAS. PROF.]:[AGRUP. CLAS. PROF.]]=$B87,IF(DATOS_[[Check Periodo Ref.]:[Check Periodo Ref.]]="Dentro",IF(DATOS_[[Check Equiparado]:[Check Equiparado]]="Sí",IF(DATOS!CB$5="Sí",(1/DATOS_[[% anualiz]:[% anualiz]]),1)*IF(DATOS!CB$4="Sí",1/DATOS_[[% normaliz]:[% normaliz]],1)*(DATOS_[C.Extra.06])))))))),
0)</f>
        <v>0</v>
      </c>
      <c r="AR88" s="173">
        <f t="array" ref="AR88">IFERROR(
(AVERAGE((IF(DATOS_[[Sexo]:[Sexo]]=$B88,IF(DATOS_[[AGRUP. CLAS. PROF.]:[AGRUP. CLAS. PROF.]]=$B87,IF(DATOS_[[Check Periodo Ref.]:[Check Periodo Ref.]]="Dentro",IF(DATOS_[[Check Equiparado]:[Check Equiparado]]="Sí",IF(DATOS!CC$5="Sí",(1/DATOS_[[% anualiz]:[% anualiz]]),1)*IF(DATOS!CC$4="Sí",1/DATOS_[[% normaliz]:[% normaliz]],1)*(DATOS_[C.Extra.07])))))))),
0)</f>
        <v>0</v>
      </c>
      <c r="AS88" s="173">
        <f t="array" ref="AS88">IFERROR(
(AVERAGE((IF(DATOS_[[Sexo]:[Sexo]]=$B88,IF(DATOS_[[AGRUP. CLAS. PROF.]:[AGRUP. CLAS. PROF.]]=$B87,IF(DATOS_[[Check Periodo Ref.]:[Check Periodo Ref.]]="Dentro",IF(DATOS_[[Check Equiparado]:[Check Equiparado]]="Sí",IF(DATOS!CD$5="Sí",(1/DATOS_[[% anualiz]:[% anualiz]]),1)*IF(DATOS!CD$4="Sí",1/DATOS_[[% normaliz]:[% normaliz]],1)*(DATOS_[C.Extra.08])))))))),
0)</f>
        <v>0</v>
      </c>
      <c r="AT88" s="173">
        <f t="array" ref="AT88">IFERROR(
(AVERAGE((IF(DATOS_[[Sexo]:[Sexo]]=$B88,IF(DATOS_[[AGRUP. CLAS. PROF.]:[AGRUP. CLAS. PROF.]]=$B87,IF(DATOS_[[Check Periodo Ref.]:[Check Periodo Ref.]]="Dentro",IF(DATOS_[[Check Equiparado]:[Check Equiparado]]="Sí",IF(DATOS!CG$5="Sí",(1/DATOS_[[% anualiz]:[% anualiz]]),1)*IF(DATOS!CG$4="Sí",1/DATOS_[[% normaliz]:[% normaliz]],1)*(DATOS_[C.Extra.11])))))))),
0)</f>
        <v>0</v>
      </c>
      <c r="AU88" s="197">
        <f t="array" ref="AU88">IFERROR(
AVERAGE(IF(DATOS_[Sexo]=$B88,IF(DATOS_[[AGRUP. CLAS. PROF.]:[AGRUP. CLAS. PROF.]]=$B87,IF(DATOS_[Check Equiparado]="Sí",IF(DATOS_[Check Periodo Ref.]="Dentro",DATOS_[Tot Extrasalarial Eq],FALSE))))),
0)</f>
        <v>0</v>
      </c>
      <c r="AV88" s="175">
        <f t="array" ref="AV88">IFERROR(
AVERAGE(IF(DATOS_[Sexo]=$B88,IF(DATOS_[[AGRUP. CLAS. PROF.]:[AGRUP. CLAS. PROF.]]=$B87,IF(DATOS_[Check Equiparado]="Sí",IF(DATOS_[Check Periodo Ref.]="Dentro",DATOS_[TOTAL Retrib Eq],FALSE))))),
0)</f>
        <v>0</v>
      </c>
    </row>
    <row r="89" spans="1:48" hidden="1" x14ac:dyDescent="0.25">
      <c r="A89" s="133" t="str">
        <f t="shared" ref="A89" si="102">+A88</f>
        <v>[ocultar]</v>
      </c>
      <c r="B89" s="202" t="s">
        <v>521</v>
      </c>
      <c r="C89" s="203">
        <f t="array" ref="C89">SUM(IF($B89=DATOS_[Sexo],
IF($B87=DATOS_[AGRUP. CLAS. PROF.],
IF("Dentro"=DATOS_[Check Periodo Ref.],
1/(COUNTIFS(DATOS_[Sexo],$B89,DATOS_[AGRUP. CLAS. PROF.],$B87,DATOS_[Check Periodo Ref.],"Dentro",DATOS_[id/cod],DATOS_[id/cod]))))))</f>
        <v>0</v>
      </c>
      <c r="D89" s="204">
        <f>COUNTIFS(DATOS_[AGRUP. CLAS. PROF.],$B87,DATOS_[Sexo],$B89,DATOS_[Check Periodo Ref.],"Dentro")</f>
        <v>0</v>
      </c>
      <c r="E89" s="204">
        <f>COUNTIFS(DATOS_[AGRUP. CLAS. PROF.],$B87,DATOS_[Sexo],$B89,DATOS_[Check Periodo Ref.],"Dentro",DATOS_[Check Nº SC Norm],"Sí")</f>
        <v>0</v>
      </c>
      <c r="F89" s="204">
        <f>COUNTIFS(DATOS_[AGRUP. CLAS. PROF.],$B87,DATOS_[Sexo],$B89,DATOS_[Check Periodo Ref.],"Dentro",DATOS_[Check Nº SC Anualiz],"Sí")</f>
        <v>0</v>
      </c>
      <c r="G89" s="204">
        <f>COUNTIFS(DATOS_[AGRUP. CLAS. PROF.],$B87,DATOS_[Sexo],$B89,DATOS_[Check Periodo Ref.],"Dentro",DATOS_[Check Nº SC Norm y Anualiz],"Sí")</f>
        <v>0</v>
      </c>
      <c r="H89" s="204">
        <f>COUNTIFS(DATOS_[AGRUP. CLAS. PROF.],$B87,DATOS_[Sexo],$B89,DATOS_[Check Periodo Ref.],"Dentro",DATOS_[Check Equiparación],"Sí")</f>
        <v>0</v>
      </c>
      <c r="I89" s="195" cm="1">
        <f t="array" ref="I89">IFERROR(
AVERAGE(IF(DATOS_[Sexo]=$B89,IF(DATOS_[[AGRUP. CLAS. PROF.]:[AGRUP. CLAS. PROF.]]=$B87,IF(DATOS_[Check Equiparado]="Sí",IF(DATOS_[Check Periodo Ref.]="Dentro",DATOS_[SALARIO BASE Eq],FALSE))))),
0)</f>
        <v>0</v>
      </c>
      <c r="J89" s="196">
        <f t="array" ref="J89">IFERROR(
(AVERAGE((IF(DATOS_[[Sexo]:[Sexo]]=$B89,IF(DATOS_[[AGRUP. CLAS. PROF.]:[AGRUP. CLAS. PROF.]]=$B87,IF(DATOS_[[Check Periodo Ref.]:[Check Periodo Ref.]]="Dentro",IF(DATOS_[[Check Equiparado]:[Check Equiparado]]="Sí",IF(DATOS!AE$5="Sí",(1/DATOS_[[% anualiz]:[% anualiz]]),1)*IF(DATOS!AE$4="Sí",1/DATOS_[[% normaliz]:[% normaliz]],1)*(DATOS_[Conc.Sal.01])))))))),
0)</f>
        <v>0</v>
      </c>
      <c r="K89" s="196">
        <f t="array" ref="K89">IFERROR(
(AVERAGE((IF(DATOS_[[Sexo]:[Sexo]]=$B89,IF(DATOS_[[AGRUP. CLAS. PROF.]:[AGRUP. CLAS. PROF.]]=$B87,IF(DATOS_[[Check Periodo Ref.]:[Check Periodo Ref.]]="Dentro",IF(DATOS_[[Check Equiparado]:[Check Equiparado]]="Sí",IF(DATOS!AF$5="Sí",(1/DATOS_[[% anualiz]:[% anualiz]]),1)*IF(DATOS!AF$4="Sí",1/DATOS_[[% normaliz]:[% normaliz]],1)*(DATOS_[Conc.Sal.02])))))))),
0)</f>
        <v>0</v>
      </c>
      <c r="L89" s="196">
        <f t="array" ref="L89">IFERROR(
(AVERAGE((IF(DATOS_[[Sexo]:[Sexo]]=$B89,IF(DATOS_[[AGRUP. CLAS. PROF.]:[AGRUP. CLAS. PROF.]]=$B87,IF(DATOS_[[Check Periodo Ref.]:[Check Periodo Ref.]]="Dentro",IF(DATOS_[[Check Equiparado]:[Check Equiparado]]="Sí",IF(DATOS!AG$5="Sí",(1/DATOS_[[% anualiz]:[% anualiz]]),1)*IF(DATOS!AG$4="Sí",1/DATOS_[[% normaliz]:[% normaliz]],1)*(DATOS_[Conc.Sal.03])))))))),
0)</f>
        <v>0</v>
      </c>
      <c r="M89" s="196">
        <f t="array" ref="M89">IFERROR(
(AVERAGE((IF(DATOS_[[Sexo]:[Sexo]]=$B89,IF(DATOS_[[AGRUP. CLAS. PROF.]:[AGRUP. CLAS. PROF.]]=$B87,IF(DATOS_[[Check Periodo Ref.]:[Check Periodo Ref.]]="Dentro",IF(DATOS_[[Check Equiparado]:[Check Equiparado]]="Sí",IF(DATOS!AH$5="Sí",(1/DATOS_[[% anualiz]:[% anualiz]]),1)*IF(DATOS!AH$4="Sí",1/DATOS_[[% normaliz]:[% normaliz]],1)*(DATOS_[Conc.Sal.04])))))))),
0)</f>
        <v>0</v>
      </c>
      <c r="N89" s="196">
        <f t="array" ref="N89">IFERROR(
(AVERAGE((IF(DATOS_[[Sexo]:[Sexo]]=$B89,IF(DATOS_[[AGRUP. CLAS. PROF.]:[AGRUP. CLAS. PROF.]]=$B87,IF(DATOS_[[Check Periodo Ref.]:[Check Periodo Ref.]]="Dentro",IF(DATOS_[[Check Equiparado]:[Check Equiparado]]="Sí",IF(DATOS!AI$5="Sí",(1/DATOS_[[% anualiz]:[% anualiz]]),1)*IF(DATOS!AI$4="Sí",1/DATOS_[[% normaliz]:[% normaliz]],1)*(DATOS_[Conc.Sal.05])))))))),
0)</f>
        <v>0</v>
      </c>
      <c r="O89" s="196">
        <f t="array" ref="O89">IFERROR(
(AVERAGE((IF(DATOS_[[Sexo]:[Sexo]]=$B89,IF(DATOS_[[AGRUP. CLAS. PROF.]:[AGRUP. CLAS. PROF.]]=$B87,IF(DATOS_[[Check Periodo Ref.]:[Check Periodo Ref.]]="Dentro",IF(DATOS_[[Check Equiparado]:[Check Equiparado]]="Sí",IF(DATOS!AJ$5="Sí",(1/DATOS_[[% anualiz]:[% anualiz]]),1)*IF(DATOS!AJ$4="Sí",1/DATOS_[[% normaliz]:[% normaliz]],1)*(DATOS_[Conc.Sal.06])))))))),
0)</f>
        <v>0</v>
      </c>
      <c r="P89" s="196">
        <f t="array" ref="P89">IFERROR(
(AVERAGE((IF(DATOS_[[Sexo]:[Sexo]]=$B89,IF(DATOS_[[AGRUP. CLAS. PROF.]:[AGRUP. CLAS. PROF.]]=$B87,IF(DATOS_[[Check Periodo Ref.]:[Check Periodo Ref.]]="Dentro",IF(DATOS_[[Check Equiparado]:[Check Equiparado]]="Sí",IF(DATOS!AK$5="Sí",(1/DATOS_[[% anualiz]:[% anualiz]]),1)*IF(DATOS!AK$4="Sí",1/DATOS_[[% normaliz]:[% normaliz]],1)*(DATOS_[Conc.Sal.07])))))))),
0)</f>
        <v>0</v>
      </c>
      <c r="Q89" s="196">
        <f t="array" ref="Q89">IFERROR(
(AVERAGE((IF(DATOS_[[Sexo]:[Sexo]]=$B89,IF(DATOS_[[AGRUP. CLAS. PROF.]:[AGRUP. CLAS. PROF.]]=$B87,IF(DATOS_[[Check Periodo Ref.]:[Check Periodo Ref.]]="Dentro",IF(DATOS_[[Check Equiparado]:[Check Equiparado]]="Sí",IF(DATOS!AL$5="Sí",(1/DATOS_[[% anualiz]:[% anualiz]]),1)*IF(DATOS!AL$4="Sí",1/DATOS_[[% normaliz]:[% normaliz]],1)*(DATOS_[Conc.Sal.08])))))))),
0)</f>
        <v>0</v>
      </c>
      <c r="R89" s="196">
        <f t="array" ref="R89">IFERROR(
(AVERAGE((IF(DATOS_[[Sexo]:[Sexo]]=$B89,IF(DATOS_[[AGRUP. CLAS. PROF.]:[AGRUP. CLAS. PROF.]]=$B87,IF(DATOS_[[Check Periodo Ref.]:[Check Periodo Ref.]]="Dentro",IF(DATOS_[[Check Equiparado]:[Check Equiparado]]="Sí",IF(DATOS!AM$5="Sí",(1/DATOS_[[% anualiz]:[% anualiz]]),1)*IF(DATOS!AM$4="Sí",1/DATOS_[[% normaliz]:[% normaliz]],1)*(DATOS_[Conc.Sal.09])))))))),
0)</f>
        <v>0</v>
      </c>
      <c r="S89" s="196">
        <f t="array" ref="S89">IFERROR(
(AVERAGE((IF(DATOS_[[Sexo]:[Sexo]]=$B89,IF(DATOS_[[AGRUP. CLAS. PROF.]:[AGRUP. CLAS. PROF.]]=$B87,IF(DATOS_[[Check Periodo Ref.]:[Check Periodo Ref.]]="Dentro",IF(DATOS_[[Check Equiparado]:[Check Equiparado]]="Sí",IF(DATOS!AN$5="Sí",(1/DATOS_[[% anualiz]:[% anualiz]]),1)*IF(DATOS!AN$4="Sí",1/DATOS_[[% normaliz]:[% normaliz]],1)*(DATOS_[Conc.Sal.10])))))))),
0)</f>
        <v>0</v>
      </c>
      <c r="T89" s="196">
        <f t="array" ref="T89">IFERROR(
(AVERAGE((IF(DATOS_[[Sexo]:[Sexo]]=$B89,IF(DATOS_[[AGRUP. CLAS. PROF.]:[AGRUP. CLAS. PROF.]]=$B87,IF(DATOS_[[Check Periodo Ref.]:[Check Periodo Ref.]]="Dentro",IF(DATOS_[[Check Equiparado]:[Check Equiparado]]="Sí",IF(DATOS!AO$5="Sí",(1/DATOS_[[% anualiz]:[% anualiz]]),1)*IF(DATOS!AO$4="Sí",1/DATOS_[[% normaliz]:[% normaliz]],1)*(DATOS_[Conc.Sal.11])))))))),
0)</f>
        <v>0</v>
      </c>
      <c r="U89" s="196">
        <f t="array" ref="U89">IFERROR(
(AVERAGE((IF(DATOS_[[Sexo]:[Sexo]]=$B89,IF(DATOS_[[AGRUP. CLAS. PROF.]:[AGRUP. CLAS. PROF.]]=$B87,IF(DATOS_[[Check Periodo Ref.]:[Check Periodo Ref.]]="Dentro",IF(DATOS_[[Check Equiparado]:[Check Equiparado]]="Sí",IF(DATOS!AP$5="Sí",(1/DATOS_[[% anualiz]:[% anualiz]]),1)*IF(DATOS!AP$4="Sí",1/DATOS_[[% normaliz]:[% normaliz]],1)*(DATOS_[Conc.Sal.12])))))))),
0)</f>
        <v>0</v>
      </c>
      <c r="V89" s="196">
        <f t="array" ref="V89">IFERROR(
(AVERAGE((IF(DATOS_[[Sexo]:[Sexo]]=$B89,IF(DATOS_[[AGRUP. CLAS. PROF.]:[AGRUP. CLAS. PROF.]]=$B87,IF(DATOS_[[Check Periodo Ref.]:[Check Periodo Ref.]]="Dentro",IF(DATOS_[[Check Equiparado]:[Check Equiparado]]="Sí",IF(DATOS!AQ$5="Sí",(1/DATOS_[[% anualiz]:[% anualiz]]),1)*IF(DATOS!AQ$4="Sí",1/DATOS_[[% normaliz]:[% normaliz]],1)*(DATOS_[Conc.Sal.13])))))))),
0)</f>
        <v>0</v>
      </c>
      <c r="W89" s="196">
        <f t="array" ref="W89">IFERROR(
(AVERAGE((IF(DATOS_[[Sexo]:[Sexo]]=$B89,IF(DATOS_[[AGRUP. CLAS. PROF.]:[AGRUP. CLAS. PROF.]]=$B87,IF(DATOS_[[Check Periodo Ref.]:[Check Periodo Ref.]]="Dentro",IF(DATOS_[[Check Equiparado]:[Check Equiparado]]="Sí",IF(DATOS!AR$5="Sí",(1/DATOS_[[% anualiz]:[% anualiz]]),1)*IF(DATOS!AR$4="Sí",1/DATOS_[[% normaliz]:[% normaliz]],1)*(DATOS_[Conc.Sal.14])))))))),
0)</f>
        <v>0</v>
      </c>
      <c r="X89" s="196">
        <f t="array" ref="X89">IFERROR(
(AVERAGE((IF(DATOS_[[Sexo]:[Sexo]]=$B89,IF(DATOS_[[AGRUP. CLAS. PROF.]:[AGRUP. CLAS. PROF.]]=$B87,IF(DATOS_[[Check Periodo Ref.]:[Check Periodo Ref.]]="Dentro",IF(DATOS_[[Check Equiparado]:[Check Equiparado]]="Sí",IF(DATOS!AS$5="Sí",(1/DATOS_[[% anualiz]:[% anualiz]]),1)*IF(DATOS!AS$4="Sí",1/DATOS_[[% normaliz]:[% normaliz]],1)*(DATOS_[Conc.Sal.15])))))))),
0)</f>
        <v>0</v>
      </c>
      <c r="Y89" s="196">
        <f t="array" ref="Y89">IFERROR(
(AVERAGE((IF(DATOS_[[Sexo]:[Sexo]]=$B89,IF(DATOS_[[AGRUP. CLAS. PROF.]:[AGRUP. CLAS. PROF.]]=$B87,IF(DATOS_[[Check Periodo Ref.]:[Check Periodo Ref.]]="Dentro",IF(DATOS_[[Check Equiparado]:[Check Equiparado]]="Sí",IF(DATOS!AT$5="Sí",(1/DATOS_[[% anualiz]:[% anualiz]]),1)*IF(DATOS!AT$4="Sí",1/DATOS_[[% normaliz]:[% normaliz]],1)*(DATOS_[Conc.Sal.16])))))))),
0)</f>
        <v>0</v>
      </c>
      <c r="Z89" s="196">
        <f t="array" ref="Z89">IFERROR(
(AVERAGE((IF(DATOS_[[Sexo]:[Sexo]]=$B89,IF(DATOS_[[AGRUP. CLAS. PROF.]:[AGRUP. CLAS. PROF.]]=$B87,IF(DATOS_[[Check Periodo Ref.]:[Check Periodo Ref.]]="Dentro",IF(DATOS_[[Check Equiparado]:[Check Equiparado]]="Sí",IF(DATOS!AU$5="Sí",(1/DATOS_[[% anualiz]:[% anualiz]]),1)*IF(DATOS!AU$4="Sí",1/DATOS_[[% normaliz]:[% normaliz]],1)*(DATOS_[Conc.Sal.17])))))))),
0)</f>
        <v>0</v>
      </c>
      <c r="AA89" s="196">
        <f t="array" ref="AA89">IFERROR(
(AVERAGE((IF(DATOS_[[Sexo]:[Sexo]]=$B89,IF(DATOS_[[AGRUP. CLAS. PROF.]:[AGRUP. CLAS. PROF.]]=$B87,IF(DATOS_[[Check Periodo Ref.]:[Check Periodo Ref.]]="Dentro",IF(DATOS_[[Check Equiparado]:[Check Equiparado]]="Sí",IF(DATOS!AV$5="Sí",(1/DATOS_[[% anualiz]:[% anualiz]]),1)*IF(DATOS!AV$4="Sí",1/DATOS_[[% normaliz]:[% normaliz]],1)*(DATOS_[Conc.Sal.18])))))))),
0)</f>
        <v>0</v>
      </c>
      <c r="AB89" s="196">
        <f t="array" ref="AB89">IFERROR(
(AVERAGE((IF(DATOS_[[Sexo]:[Sexo]]=$B89,IF(DATOS_[[AGRUP. CLAS. PROF.]:[AGRUP. CLAS. PROF.]]=$B87,IF(DATOS_[[Check Periodo Ref.]:[Check Periodo Ref.]]="Dentro",IF(DATOS_[[Check Equiparado]:[Check Equiparado]]="Sí",IF(DATOS!AW$5="Sí",(1/DATOS_[[% anualiz]:[% anualiz]]),1)*IF(DATOS!AW$4="Sí",1/DATOS_[[% normaliz]:[% normaliz]],1)*(DATOS_[Conc.Sal.19])))))))),
0)</f>
        <v>0</v>
      </c>
      <c r="AC89" s="196">
        <f t="array" ref="AC89">IFERROR(
(AVERAGE((IF(DATOS_[[Sexo]:[Sexo]]=$B89,IF(DATOS_[[AGRUP. CLAS. PROF.]:[AGRUP. CLAS. PROF.]]=$B87,IF(DATOS_[[Check Periodo Ref.]:[Check Periodo Ref.]]="Dentro",IF(DATOS_[[Check Equiparado]:[Check Equiparado]]="Sí",IF(DATOS!AX$5="Sí",(1/DATOS_[[% anualiz]:[% anualiz]]),1)*IF(DATOS!AX$4="Sí",1/DATOS_[[% normaliz]:[% normaliz]],1)*(DATOS_[Conc.Sal.20])))))))),
0)</f>
        <v>0</v>
      </c>
      <c r="AD89" s="196">
        <f t="array" ref="AD89">IFERROR(
(AVERAGE((IF(DATOS_[[Sexo]:[Sexo]]=$B89,IF(DATOS_[[AGRUP. CLAS. PROF.]:[AGRUP. CLAS. PROF.]]=$B87,IF(DATOS_[[Check Periodo Ref.]:[Check Periodo Ref.]]="Dentro",IF(DATOS_[[Check Equiparado]:[Check Equiparado]]="Sí",IF(DATOS!AY$5="Sí",(1/DATOS_[[% anualiz]:[% anualiz]]),1)*IF(DATOS!AY$4="Sí",1/DATOS_[[% normaliz]:[% normaliz]],1)*(DATOS_[Conc.Sal.21])))))))),
0)</f>
        <v>0</v>
      </c>
      <c r="AE89" s="196">
        <f t="array" ref="AE89">IFERROR(
(AVERAGE((IF(DATOS_[[Sexo]:[Sexo]]=$B89,IF(DATOS_[[AGRUP. CLAS. PROF.]:[AGRUP. CLAS. PROF.]]=$B87,IF(DATOS_[[Check Periodo Ref.]:[Check Periodo Ref.]]="Dentro",IF(DATOS_[[Check Equiparado]:[Check Equiparado]]="Sí",IF(DATOS!AZ$5="Sí",(1/DATOS_[[% anualiz]:[% anualiz]]),1)*IF(DATOS!AZ$4="Sí",1/DATOS_[[% normaliz]:[% normaliz]],1)*(DATOS_[Conc.Sal.22])))))))),
0)</f>
        <v>0</v>
      </c>
      <c r="AF89" s="196">
        <f t="array" ref="AF89">IFERROR(
(AVERAGE((IF(DATOS_[[Sexo]:[Sexo]]=$B89,IF(DATOS_[[AGRUP. CLAS. PROF.]:[AGRUP. CLAS. PROF.]]=$B87,IF(DATOS_[[Check Periodo Ref.]:[Check Periodo Ref.]]="Dentro",IF(DATOS_[[Check Equiparado]:[Check Equiparado]]="Sí",IF(DATOS!BA$5="Sí",(1/DATOS_[[% anualiz]:[% anualiz]]),1)*IF(DATOS!BA$4="Sí",1/DATOS_[[% normaliz]:[% normaliz]],1)*(DATOS_[Conc.Sal.23])))))))),
0)</f>
        <v>0</v>
      </c>
      <c r="AG89" s="196">
        <f t="array" ref="AG89">IFERROR(
(AVERAGE((IF(DATOS_[[Sexo]:[Sexo]]=$B89,IF(DATOS_[[AGRUP. CLAS. PROF.]:[AGRUP. CLAS. PROF.]]=$B87,IF(DATOS_[[Check Periodo Ref.]:[Check Periodo Ref.]]="Dentro",IF(DATOS_[[Check Equiparado]:[Check Equiparado]]="Sí",IF(DATOS!BB$5="Sí",(1/DATOS_[[% anualiz]:[% anualiz]]),1)*IF(DATOS!BB$4="Sí",1/DATOS_[[% normaliz]:[% normaliz]],1)*(DATOS_[Conc.Sal.24])))))))),
0)</f>
        <v>0</v>
      </c>
      <c r="AH89" s="196">
        <f t="array" ref="AH89">IFERROR(
(AVERAGE((IF(DATOS_[[Sexo]:[Sexo]]=$B89,IF(DATOS_[[AGRUP. CLAS. PROF.]:[AGRUP. CLAS. PROF.]]=$B87,IF(DATOS_[[Check Periodo Ref.]:[Check Periodo Ref.]]="Dentro",IF(DATOS_[[Check Equiparado]:[Check Equiparado]]="Sí",IF(DATOS!BC$5="Sí",(1/DATOS_[[% anualiz]:[% anualiz]]),1)*IF(DATOS!BC$4="Sí",1/DATOS_[[% normaliz]:[% normaliz]],1)*(DATOS_[Conc.Sal.25])))))))),
0)</f>
        <v>0</v>
      </c>
      <c r="AI89" s="196">
        <f t="array" ref="AI89">IFERROR(
(AVERAGE((IF(DATOS_[[Sexo]:[Sexo]]=$B89,IF(DATOS_[[AGRUP. CLAS. PROF.]:[AGRUP. CLAS. PROF.]]=$B87,IF(DATOS_[[Check Periodo Ref.]:[Check Periodo Ref.]]="Dentro",IF(DATOS_[[Check Equiparado]:[Check Equiparado]]="Sí",IF(DATOS!BD$5="Sí",(1/DATOS_[[% anualiz]:[% anualiz]]),1)*IF(DATOS!BD$4="Sí",1/DATOS_[[% normaliz]:[% normaliz]],1)*(DATOS_[Conc.Sal.26])))))))),
0)</f>
        <v>0</v>
      </c>
      <c r="AJ89" s="196">
        <f t="array" ref="AJ89">IFERROR(
(AVERAGE((IF(DATOS_[[Sexo]:[Sexo]]=$B89,IF(DATOS_[[AGRUP. CLAS. PROF.]:[AGRUP. CLAS. PROF.]]=$B87,IF(DATOS_[[Check Periodo Ref.]:[Check Periodo Ref.]]="Dentro",IF(DATOS_[[Check Equiparado]:[Check Equiparado]]="Sí",IF(DATOS!BE$5="Sí",(1/DATOS_[[% anualiz]:[% anualiz]]),1)*IF(DATOS!BE$4="Sí",1/DATOS_[[% normaliz]:[% normaliz]],1)*(DATOS_[Conc.Sal.27])))))))),
0)</f>
        <v>0</v>
      </c>
      <c r="AK89" s="196">
        <f t="array" ref="AK89">IFERROR(
(AVERAGE((IF(DATOS_[[Sexo]:[Sexo]]=$B89,IF(DATOS_[[AGRUP. CLAS. PROF.]:[AGRUP. CLAS. PROF.]]=$B87,IF(DATOS_[[Check Periodo Ref.]:[Check Periodo Ref.]]="Dentro",IF(DATOS_[[Check Equiparado]:[Check Equiparado]]="Sí",IF(DATOS!BF$5="Sí",(1/DATOS_[[% anualiz]:[% anualiz]]),1)*IF(DATOS!BF$4="Sí",1/DATOS_[[% normaliz]:[% normaliz]],1)*(DATOS_[Conc.Sal.28])))))))),
0)</f>
        <v>0</v>
      </c>
      <c r="AL89" s="196">
        <f t="array" ref="AL89">IFERROR(
(AVERAGE((IF(DATOS_[[Sexo]:[Sexo]]=$B89,IF(DATOS_[[AGRUP. CLAS. PROF.]:[AGRUP. CLAS. PROF.]]=$B87,IF(DATOS_[[Check Periodo Ref.]:[Check Periodo Ref.]]="Dentro",IF(DATOS_[[Check Equiparado]:[Check Equiparado]]="Sí",IF(DATOS!BG$5="Sí",(1/DATOS_[[% anualiz]:[% anualiz]]),1)*IF(DATOS!BG$4="Sí",1/DATOS_[[% normaliz]:[% normaliz]],1)*(DATOS_[Conc.Sal.29])))))))),
0)</f>
        <v>0</v>
      </c>
      <c r="AM89" s="196">
        <f t="array" ref="AM89">IFERROR(
(AVERAGE((IF(DATOS_[[Sexo]:[Sexo]]=$B89,IF(DATOS_[[AGRUP. CLAS. PROF.]:[AGRUP. CLAS. PROF.]]=$B87,IF(DATOS_[[Check Periodo Ref.]:[Check Periodo Ref.]]="Dentro",IF(DATOS_[[Check Equiparado]:[Check Equiparado]]="Sí",IF(DATOS!BH$5="Sí",(1/DATOS_[[% anualiz]:[% anualiz]]),1)*IF(DATOS!BH$4="Sí",1/DATOS_[[% normaliz]:[% normaliz]],1)*(DATOS_[Conc.Sal.30])))))))),
0)</f>
        <v>0</v>
      </c>
      <c r="AN89" s="195">
        <f t="array" ref="AN89">IFERROR(
AVERAGE(IF(DATOS_[Sexo]=$B89,IF(DATOS_[[AGRUP. CLAS. PROF.]:[AGRUP. CLAS. PROF.]]=$B87,IF(DATOS_[Check Equiparado]="Sí",IF(DATOS_[Check Periodo Ref.]="Dentro",DATOS_[Tot COMPL.SAL Eq],FALSE))))),
0)</f>
        <v>0</v>
      </c>
      <c r="AO89" s="172">
        <f t="array" ref="AO89">IFERROR(
AVERAGE(IF(DATOS_[Sexo]=$B89,IF(DATOS_[[AGRUP. CLAS. PROF.]:[AGRUP. CLAS. PROF.]]=$B87,IF(DATOS_[Check Equiparado]="Sí",IF(DATOS_[Check Periodo Ref.]="Dentro",DATOS_[TOTAL SALARIO Eq],FALSE))))),
0)</f>
        <v>0</v>
      </c>
      <c r="AP89" s="173">
        <f t="array" ref="AP89">IFERROR(
(AVERAGE((IF(DATOS_[[Sexo]:[Sexo]]=$B89,IF(DATOS_[[AGRUP. CLAS. PROF.]:[AGRUP. CLAS. PROF.]]=$B87,IF(DATOS_[[Check Periodo Ref.]:[Check Periodo Ref.]]="Dentro",IF(DATOS_[[Check Equiparado]:[Check Equiparado]]="Sí",IF(DATOS!BW$5="Sí",(1/DATOS_[[% anualiz]:[% anualiz]]),1)*IF(DATOS!BW$4="Sí",1/DATOS_[[% normaliz]:[% normaliz]],1)*(DATOS_[C.Extra.01])))))))),
0)</f>
        <v>0</v>
      </c>
      <c r="AQ89" s="173">
        <f t="array" ref="AQ89">IFERROR(
(AVERAGE((IF(DATOS_[[Sexo]:[Sexo]]=$B89,IF(DATOS_[[AGRUP. CLAS. PROF.]:[AGRUP. CLAS. PROF.]]=$B87,IF(DATOS_[[Check Periodo Ref.]:[Check Periodo Ref.]]="Dentro",IF(DATOS_[[Check Equiparado]:[Check Equiparado]]="Sí",IF(DATOS!CB$5="Sí",(1/DATOS_[[% anualiz]:[% anualiz]]),1)*IF(DATOS!CB$4="Sí",1/DATOS_[[% normaliz]:[% normaliz]],1)*(DATOS_[C.Extra.06])))))))),
0)</f>
        <v>0</v>
      </c>
      <c r="AR89" s="173">
        <f t="array" ref="AR89">IFERROR(
(AVERAGE((IF(DATOS_[[Sexo]:[Sexo]]=$B89,IF(DATOS_[[AGRUP. CLAS. PROF.]:[AGRUP. CLAS. PROF.]]=$B87,IF(DATOS_[[Check Periodo Ref.]:[Check Periodo Ref.]]="Dentro",IF(DATOS_[[Check Equiparado]:[Check Equiparado]]="Sí",IF(DATOS!CC$5="Sí",(1/DATOS_[[% anualiz]:[% anualiz]]),1)*IF(DATOS!CC$4="Sí",1/DATOS_[[% normaliz]:[% normaliz]],1)*(DATOS_[C.Extra.07])))))))),
0)</f>
        <v>0</v>
      </c>
      <c r="AS89" s="173">
        <f t="array" ref="AS89">IFERROR(
(AVERAGE((IF(DATOS_[[Sexo]:[Sexo]]=$B89,IF(DATOS_[[AGRUP. CLAS. PROF.]:[AGRUP. CLAS. PROF.]]=$B87,IF(DATOS_[[Check Periodo Ref.]:[Check Periodo Ref.]]="Dentro",IF(DATOS_[[Check Equiparado]:[Check Equiparado]]="Sí",IF(DATOS!CD$5="Sí",(1/DATOS_[[% anualiz]:[% anualiz]]),1)*IF(DATOS!CD$4="Sí",1/DATOS_[[% normaliz]:[% normaliz]],1)*(DATOS_[C.Extra.08])))))))),
0)</f>
        <v>0</v>
      </c>
      <c r="AT89" s="173">
        <f t="array" ref="AT89">IFERROR(
(AVERAGE((IF(DATOS_[[Sexo]:[Sexo]]=$B89,IF(DATOS_[[AGRUP. CLAS. PROF.]:[AGRUP. CLAS. PROF.]]=$B87,IF(DATOS_[[Check Periodo Ref.]:[Check Periodo Ref.]]="Dentro",IF(DATOS_[[Check Equiparado]:[Check Equiparado]]="Sí",IF(DATOS!CG$5="Sí",(1/DATOS_[[% anualiz]:[% anualiz]]),1)*IF(DATOS!CG$4="Sí",1/DATOS_[[% normaliz]:[% normaliz]],1)*(DATOS_[C.Extra.11])))))))),
0)</f>
        <v>0</v>
      </c>
      <c r="AU89" s="197">
        <f t="array" ref="AU89">IFERROR(
AVERAGE(IF(DATOS_[Sexo]=$B89,IF(DATOS_[[AGRUP. CLAS. PROF.]:[AGRUP. CLAS. PROF.]]=$B87,IF(DATOS_[Check Equiparado]="Sí",IF(DATOS_[Check Periodo Ref.]="Dentro",DATOS_[Tot Extrasalarial Eq],FALSE))))),
0)</f>
        <v>0</v>
      </c>
      <c r="AV89" s="175">
        <f t="array" ref="AV89">IFERROR(
AVERAGE(IF(DATOS_[Sexo]=$B89,IF(DATOS_[[AGRUP. CLAS. PROF.]:[AGRUP. CLAS. PROF.]]=$B87,IF(DATOS_[Check Equiparado]="Sí",IF(DATOS_[Check Periodo Ref.]="Dentro",DATOS_[TOTAL Retrib Eq],FALSE))))),
0)</f>
        <v>0</v>
      </c>
    </row>
    <row r="90" spans="1:48" ht="15.6" hidden="1" thickBot="1" x14ac:dyDescent="0.3">
      <c r="A90" s="133" t="str">
        <f t="shared" ref="A90" si="103">+A91</f>
        <v>[ocultar]</v>
      </c>
      <c r="B90" s="199" t="s">
        <v>277</v>
      </c>
      <c r="C90" s="200"/>
      <c r="D90" s="201"/>
      <c r="E90" s="201"/>
      <c r="F90" s="201"/>
      <c r="G90" s="201"/>
      <c r="H90" s="201"/>
      <c r="I90" s="189" t="str">
        <f t="shared" ref="I90:AV90" si="104">IFERROR((I91-I92)/I91,"")</f>
        <v/>
      </c>
      <c r="J90" s="190" t="str">
        <f t="shared" si="104"/>
        <v/>
      </c>
      <c r="K90" s="191" t="str">
        <f t="shared" si="104"/>
        <v/>
      </c>
      <c r="L90" s="191" t="str">
        <f t="shared" si="104"/>
        <v/>
      </c>
      <c r="M90" s="191" t="str">
        <f t="shared" si="104"/>
        <v/>
      </c>
      <c r="N90" s="192" t="str">
        <f t="shared" si="104"/>
        <v/>
      </c>
      <c r="O90" s="193" t="str">
        <f t="shared" si="104"/>
        <v/>
      </c>
      <c r="P90" s="193" t="str">
        <f t="shared" si="104"/>
        <v/>
      </c>
      <c r="Q90" s="193" t="str">
        <f t="shared" si="104"/>
        <v/>
      </c>
      <c r="R90" s="193" t="str">
        <f t="shared" si="104"/>
        <v/>
      </c>
      <c r="S90" s="193" t="str">
        <f t="shared" si="104"/>
        <v/>
      </c>
      <c r="T90" s="193" t="str">
        <f t="shared" si="104"/>
        <v/>
      </c>
      <c r="U90" s="193" t="str">
        <f t="shared" si="104"/>
        <v/>
      </c>
      <c r="V90" s="193" t="str">
        <f t="shared" si="104"/>
        <v/>
      </c>
      <c r="W90" s="193" t="str">
        <f t="shared" si="104"/>
        <v/>
      </c>
      <c r="X90" s="193" t="str">
        <f t="shared" si="104"/>
        <v/>
      </c>
      <c r="Y90" s="193" t="str">
        <f t="shared" si="104"/>
        <v/>
      </c>
      <c r="Z90" s="193" t="str">
        <f t="shared" si="104"/>
        <v/>
      </c>
      <c r="AA90" s="193" t="str">
        <f t="shared" si="104"/>
        <v/>
      </c>
      <c r="AB90" s="193" t="str">
        <f t="shared" si="104"/>
        <v/>
      </c>
      <c r="AC90" s="193" t="str">
        <f t="shared" si="104"/>
        <v/>
      </c>
      <c r="AD90" s="193" t="str">
        <f t="shared" si="104"/>
        <v/>
      </c>
      <c r="AE90" s="193" t="str">
        <f t="shared" si="104"/>
        <v/>
      </c>
      <c r="AF90" s="193" t="str">
        <f t="shared" si="104"/>
        <v/>
      </c>
      <c r="AG90" s="193" t="str">
        <f t="shared" si="104"/>
        <v/>
      </c>
      <c r="AH90" s="193" t="str">
        <f t="shared" si="104"/>
        <v/>
      </c>
      <c r="AI90" s="193" t="str">
        <f t="shared" si="104"/>
        <v/>
      </c>
      <c r="AJ90" s="193" t="str">
        <f t="shared" si="104"/>
        <v/>
      </c>
      <c r="AK90" s="193" t="str">
        <f t="shared" si="104"/>
        <v/>
      </c>
      <c r="AL90" s="193" t="str">
        <f t="shared" si="104"/>
        <v/>
      </c>
      <c r="AM90" s="193" t="str">
        <f t="shared" si="104"/>
        <v/>
      </c>
      <c r="AN90" s="189" t="str">
        <f t="shared" si="104"/>
        <v/>
      </c>
      <c r="AO90" s="162" t="str">
        <f t="shared" si="104"/>
        <v/>
      </c>
      <c r="AP90" s="163" t="str">
        <f t="shared" si="104"/>
        <v/>
      </c>
      <c r="AQ90" s="163" t="str">
        <f t="shared" si="104"/>
        <v/>
      </c>
      <c r="AR90" s="163" t="str">
        <f t="shared" si="104"/>
        <v/>
      </c>
      <c r="AS90" s="163" t="str">
        <f t="shared" si="104"/>
        <v/>
      </c>
      <c r="AT90" s="163" t="str">
        <f t="shared" si="104"/>
        <v/>
      </c>
      <c r="AU90" s="194" t="str">
        <f t="shared" si="104"/>
        <v/>
      </c>
      <c r="AV90" s="165" t="str">
        <f t="shared" si="104"/>
        <v/>
      </c>
    </row>
    <row r="91" spans="1:48" hidden="1" x14ac:dyDescent="0.25">
      <c r="A91" s="133" t="str">
        <f t="shared" ref="A91" si="105">+IF(C91+C92=0,"[ocultar]","")</f>
        <v>[ocultar]</v>
      </c>
      <c r="B91" s="202" t="s">
        <v>394</v>
      </c>
      <c r="C91" s="203">
        <f t="array" ref="C91">SUM(IF($B91=DATOS_[Sexo],
IF($B90=DATOS_[AGRUP. CLAS. PROF.],
IF("Dentro"=DATOS_[Check Periodo Ref.],
1/(COUNTIFS(DATOS_[Sexo],$B91,DATOS_[AGRUP. CLAS. PROF.],$B90,DATOS_[Check Periodo Ref.],"Dentro",DATOS_[id/cod],DATOS_[id/cod]))))))</f>
        <v>0</v>
      </c>
      <c r="D91" s="204">
        <f>COUNTIFS(DATOS_[AGRUP. CLAS. PROF.],$B90,DATOS_[Sexo],$B91,DATOS_[Check Periodo Ref.],"Dentro")</f>
        <v>0</v>
      </c>
      <c r="E91" s="204">
        <f>COUNTIFS(DATOS_[AGRUP. CLAS. PROF.],$B90,DATOS_[Sexo],$B91,DATOS_[Check Periodo Ref.],"Dentro",DATOS_[Check Nº SC Norm],"Sí")</f>
        <v>0</v>
      </c>
      <c r="F91" s="204">
        <f>COUNTIFS(DATOS_[AGRUP. CLAS. PROF.],$B90,DATOS_[Sexo],$B91,DATOS_[Check Periodo Ref.],"Dentro",DATOS_[Check Nº SC Anualiz],"Sí")</f>
        <v>0</v>
      </c>
      <c r="G91" s="204">
        <f>COUNTIFS(DATOS_[AGRUP. CLAS. PROF.],$B90,DATOS_[Sexo],$B91,DATOS_[Check Periodo Ref.],"Dentro",DATOS_[Check Nº SC Norm y Anualiz],"Sí")</f>
        <v>0</v>
      </c>
      <c r="H91" s="204">
        <f>COUNTIFS(DATOS_[AGRUP. CLAS. PROF.],$B90,DATOS_[Sexo],$B91,DATOS_[Check Periodo Ref.],"Dentro",DATOS_[Check Equiparación],"Sí")</f>
        <v>0</v>
      </c>
      <c r="I91" s="195">
        <f t="array" ref="I91">IFERROR(
AVERAGE(IF(DATOS_[Sexo]=$B91,IF(DATOS_[[AGRUP. CLAS. PROF.]:[AGRUP. CLAS. PROF.]]=$B90,IF(DATOS_[Check Equiparado]="Sí",IF(DATOS_[Check Periodo Ref.]="Dentro",DATOS_[SALARIO BASE Eq],FALSE))))),
0)</f>
        <v>0</v>
      </c>
      <c r="J91" s="196">
        <f t="array" ref="J91">IFERROR(
(AVERAGE((IF(DATOS_[[Sexo]:[Sexo]]=$B91,IF(DATOS_[[AGRUP. CLAS. PROF.]:[AGRUP. CLAS. PROF.]]=$B90,IF(DATOS_[[Check Periodo Ref.]:[Check Periodo Ref.]]="Dentro",IF(DATOS_[[Check Equiparado]:[Check Equiparado]]="Sí",IF(DATOS!AE$5="Sí",(1/DATOS_[[% anualiz]:[% anualiz]]),1)*IF(DATOS!AE$4="Sí",1/DATOS_[[% normaliz]:[% normaliz]],1)*(DATOS_[Conc.Sal.01])))))))),
0)</f>
        <v>0</v>
      </c>
      <c r="K91" s="196">
        <f t="array" ref="K91">IFERROR(
(AVERAGE((IF(DATOS_[[Sexo]:[Sexo]]=$B91,IF(DATOS_[[AGRUP. CLAS. PROF.]:[AGRUP. CLAS. PROF.]]=$B90,IF(DATOS_[[Check Periodo Ref.]:[Check Periodo Ref.]]="Dentro",IF(DATOS_[[Check Equiparado]:[Check Equiparado]]="Sí",IF(DATOS!AF$5="Sí",(1/DATOS_[[% anualiz]:[% anualiz]]),1)*IF(DATOS!AF$4="Sí",1/DATOS_[[% normaliz]:[% normaliz]],1)*(DATOS_[Conc.Sal.02])))))))),
0)</f>
        <v>0</v>
      </c>
      <c r="L91" s="196">
        <f t="array" ref="L91">IFERROR(
(AVERAGE((IF(DATOS_[[Sexo]:[Sexo]]=$B91,IF(DATOS_[[AGRUP. CLAS. PROF.]:[AGRUP. CLAS. PROF.]]=$B90,IF(DATOS_[[Check Periodo Ref.]:[Check Periodo Ref.]]="Dentro",IF(DATOS_[[Check Equiparado]:[Check Equiparado]]="Sí",IF(DATOS!AG$5="Sí",(1/DATOS_[[% anualiz]:[% anualiz]]),1)*IF(DATOS!AG$4="Sí",1/DATOS_[[% normaliz]:[% normaliz]],1)*(DATOS_[Conc.Sal.03])))))))),
0)</f>
        <v>0</v>
      </c>
      <c r="M91" s="196">
        <f t="array" ref="M91">IFERROR(
(AVERAGE((IF(DATOS_[[Sexo]:[Sexo]]=$B91,IF(DATOS_[[AGRUP. CLAS. PROF.]:[AGRUP. CLAS. PROF.]]=$B90,IF(DATOS_[[Check Periodo Ref.]:[Check Periodo Ref.]]="Dentro",IF(DATOS_[[Check Equiparado]:[Check Equiparado]]="Sí",IF(DATOS!AH$5="Sí",(1/DATOS_[[% anualiz]:[% anualiz]]),1)*IF(DATOS!AH$4="Sí",1/DATOS_[[% normaliz]:[% normaliz]],1)*(DATOS_[Conc.Sal.04])))))))),
0)</f>
        <v>0</v>
      </c>
      <c r="N91" s="196">
        <f t="array" ref="N91">IFERROR(
(AVERAGE((IF(DATOS_[[Sexo]:[Sexo]]=$B91,IF(DATOS_[[AGRUP. CLAS. PROF.]:[AGRUP. CLAS. PROF.]]=$B90,IF(DATOS_[[Check Periodo Ref.]:[Check Periodo Ref.]]="Dentro",IF(DATOS_[[Check Equiparado]:[Check Equiparado]]="Sí",IF(DATOS!AI$5="Sí",(1/DATOS_[[% anualiz]:[% anualiz]]),1)*IF(DATOS!AI$4="Sí",1/DATOS_[[% normaliz]:[% normaliz]],1)*(DATOS_[Conc.Sal.05])))))))),
0)</f>
        <v>0</v>
      </c>
      <c r="O91" s="196">
        <f t="array" ref="O91">IFERROR(
(AVERAGE((IF(DATOS_[[Sexo]:[Sexo]]=$B91,IF(DATOS_[[AGRUP. CLAS. PROF.]:[AGRUP. CLAS. PROF.]]=$B90,IF(DATOS_[[Check Periodo Ref.]:[Check Periodo Ref.]]="Dentro",IF(DATOS_[[Check Equiparado]:[Check Equiparado]]="Sí",IF(DATOS!AJ$5="Sí",(1/DATOS_[[% anualiz]:[% anualiz]]),1)*IF(DATOS!AJ$4="Sí",1/DATOS_[[% normaliz]:[% normaliz]],1)*(DATOS_[Conc.Sal.06])))))))),
0)</f>
        <v>0</v>
      </c>
      <c r="P91" s="196">
        <f t="array" ref="P91">IFERROR(
(AVERAGE((IF(DATOS_[[Sexo]:[Sexo]]=$B91,IF(DATOS_[[AGRUP. CLAS. PROF.]:[AGRUP. CLAS. PROF.]]=$B90,IF(DATOS_[[Check Periodo Ref.]:[Check Periodo Ref.]]="Dentro",IF(DATOS_[[Check Equiparado]:[Check Equiparado]]="Sí",IF(DATOS!AK$5="Sí",(1/DATOS_[[% anualiz]:[% anualiz]]),1)*IF(DATOS!AK$4="Sí",1/DATOS_[[% normaliz]:[% normaliz]],1)*(DATOS_[Conc.Sal.07])))))))),
0)</f>
        <v>0</v>
      </c>
      <c r="Q91" s="196">
        <f t="array" ref="Q91">IFERROR(
(AVERAGE((IF(DATOS_[[Sexo]:[Sexo]]=$B91,IF(DATOS_[[AGRUP. CLAS. PROF.]:[AGRUP. CLAS. PROF.]]=$B90,IF(DATOS_[[Check Periodo Ref.]:[Check Periodo Ref.]]="Dentro",IF(DATOS_[[Check Equiparado]:[Check Equiparado]]="Sí",IF(DATOS!AL$5="Sí",(1/DATOS_[[% anualiz]:[% anualiz]]),1)*IF(DATOS!AL$4="Sí",1/DATOS_[[% normaliz]:[% normaliz]],1)*(DATOS_[Conc.Sal.08])))))))),
0)</f>
        <v>0</v>
      </c>
      <c r="R91" s="196">
        <f t="array" ref="R91">IFERROR(
(AVERAGE((IF(DATOS_[[Sexo]:[Sexo]]=$B91,IF(DATOS_[[AGRUP. CLAS. PROF.]:[AGRUP. CLAS. PROF.]]=$B90,IF(DATOS_[[Check Periodo Ref.]:[Check Periodo Ref.]]="Dentro",IF(DATOS_[[Check Equiparado]:[Check Equiparado]]="Sí",IF(DATOS!AM$5="Sí",(1/DATOS_[[% anualiz]:[% anualiz]]),1)*IF(DATOS!AM$4="Sí",1/DATOS_[[% normaliz]:[% normaliz]],1)*(DATOS_[Conc.Sal.09])))))))),
0)</f>
        <v>0</v>
      </c>
      <c r="S91" s="196">
        <f t="array" ref="S91">IFERROR(
(AVERAGE((IF(DATOS_[[Sexo]:[Sexo]]=$B91,IF(DATOS_[[AGRUP. CLAS. PROF.]:[AGRUP. CLAS. PROF.]]=$B90,IF(DATOS_[[Check Periodo Ref.]:[Check Periodo Ref.]]="Dentro",IF(DATOS_[[Check Equiparado]:[Check Equiparado]]="Sí",IF(DATOS!AN$5="Sí",(1/DATOS_[[% anualiz]:[% anualiz]]),1)*IF(DATOS!AN$4="Sí",1/DATOS_[[% normaliz]:[% normaliz]],1)*(DATOS_[Conc.Sal.10])))))))),
0)</f>
        <v>0</v>
      </c>
      <c r="T91" s="196">
        <f t="array" ref="T91">IFERROR(
(AVERAGE((IF(DATOS_[[Sexo]:[Sexo]]=$B91,IF(DATOS_[[AGRUP. CLAS. PROF.]:[AGRUP. CLAS. PROF.]]=$B90,IF(DATOS_[[Check Periodo Ref.]:[Check Periodo Ref.]]="Dentro",IF(DATOS_[[Check Equiparado]:[Check Equiparado]]="Sí",IF(DATOS!AO$5="Sí",(1/DATOS_[[% anualiz]:[% anualiz]]),1)*IF(DATOS!AO$4="Sí",1/DATOS_[[% normaliz]:[% normaliz]],1)*(DATOS_[Conc.Sal.11])))))))),
0)</f>
        <v>0</v>
      </c>
      <c r="U91" s="196">
        <f t="array" ref="U91">IFERROR(
(AVERAGE((IF(DATOS_[[Sexo]:[Sexo]]=$B91,IF(DATOS_[[AGRUP. CLAS. PROF.]:[AGRUP. CLAS. PROF.]]=$B90,IF(DATOS_[[Check Periodo Ref.]:[Check Periodo Ref.]]="Dentro",IF(DATOS_[[Check Equiparado]:[Check Equiparado]]="Sí",IF(DATOS!AP$5="Sí",(1/DATOS_[[% anualiz]:[% anualiz]]),1)*IF(DATOS!AP$4="Sí",1/DATOS_[[% normaliz]:[% normaliz]],1)*(DATOS_[Conc.Sal.12])))))))),
0)</f>
        <v>0</v>
      </c>
      <c r="V91" s="196">
        <f t="array" ref="V91">IFERROR(
(AVERAGE((IF(DATOS_[[Sexo]:[Sexo]]=$B91,IF(DATOS_[[AGRUP. CLAS. PROF.]:[AGRUP. CLAS. PROF.]]=$B90,IF(DATOS_[[Check Periodo Ref.]:[Check Periodo Ref.]]="Dentro",IF(DATOS_[[Check Equiparado]:[Check Equiparado]]="Sí",IF(DATOS!AQ$5="Sí",(1/DATOS_[[% anualiz]:[% anualiz]]),1)*IF(DATOS!AQ$4="Sí",1/DATOS_[[% normaliz]:[% normaliz]],1)*(DATOS_[Conc.Sal.13])))))))),
0)</f>
        <v>0</v>
      </c>
      <c r="W91" s="196">
        <f t="array" ref="W91">IFERROR(
(AVERAGE((IF(DATOS_[[Sexo]:[Sexo]]=$B91,IF(DATOS_[[AGRUP. CLAS. PROF.]:[AGRUP. CLAS. PROF.]]=$B90,IF(DATOS_[[Check Periodo Ref.]:[Check Periodo Ref.]]="Dentro",IF(DATOS_[[Check Equiparado]:[Check Equiparado]]="Sí",IF(DATOS!AR$5="Sí",(1/DATOS_[[% anualiz]:[% anualiz]]),1)*IF(DATOS!AR$4="Sí",1/DATOS_[[% normaliz]:[% normaliz]],1)*(DATOS_[Conc.Sal.14])))))))),
0)</f>
        <v>0</v>
      </c>
      <c r="X91" s="196">
        <f t="array" ref="X91">IFERROR(
(AVERAGE((IF(DATOS_[[Sexo]:[Sexo]]=$B91,IF(DATOS_[[AGRUP. CLAS. PROF.]:[AGRUP. CLAS. PROF.]]=$B90,IF(DATOS_[[Check Periodo Ref.]:[Check Periodo Ref.]]="Dentro",IF(DATOS_[[Check Equiparado]:[Check Equiparado]]="Sí",IF(DATOS!AS$5="Sí",(1/DATOS_[[% anualiz]:[% anualiz]]),1)*IF(DATOS!AS$4="Sí",1/DATOS_[[% normaliz]:[% normaliz]],1)*(DATOS_[Conc.Sal.15])))))))),
0)</f>
        <v>0</v>
      </c>
      <c r="Y91" s="196">
        <f t="array" ref="Y91">IFERROR(
(AVERAGE((IF(DATOS_[[Sexo]:[Sexo]]=$B91,IF(DATOS_[[AGRUP. CLAS. PROF.]:[AGRUP. CLAS. PROF.]]=$B90,IF(DATOS_[[Check Periodo Ref.]:[Check Periodo Ref.]]="Dentro",IF(DATOS_[[Check Equiparado]:[Check Equiparado]]="Sí",IF(DATOS!AT$5="Sí",(1/DATOS_[[% anualiz]:[% anualiz]]),1)*IF(DATOS!AT$4="Sí",1/DATOS_[[% normaliz]:[% normaliz]],1)*(DATOS_[Conc.Sal.16])))))))),
0)</f>
        <v>0</v>
      </c>
      <c r="Z91" s="196">
        <f t="array" ref="Z91">IFERROR(
(AVERAGE((IF(DATOS_[[Sexo]:[Sexo]]=$B91,IF(DATOS_[[AGRUP. CLAS. PROF.]:[AGRUP. CLAS. PROF.]]=$B90,IF(DATOS_[[Check Periodo Ref.]:[Check Periodo Ref.]]="Dentro",IF(DATOS_[[Check Equiparado]:[Check Equiparado]]="Sí",IF(DATOS!AU$5="Sí",(1/DATOS_[[% anualiz]:[% anualiz]]),1)*IF(DATOS!AU$4="Sí",1/DATOS_[[% normaliz]:[% normaliz]],1)*(DATOS_[Conc.Sal.17])))))))),
0)</f>
        <v>0</v>
      </c>
      <c r="AA91" s="196">
        <f t="array" ref="AA91">IFERROR(
(AVERAGE((IF(DATOS_[[Sexo]:[Sexo]]=$B91,IF(DATOS_[[AGRUP. CLAS. PROF.]:[AGRUP. CLAS. PROF.]]=$B90,IF(DATOS_[[Check Periodo Ref.]:[Check Periodo Ref.]]="Dentro",IF(DATOS_[[Check Equiparado]:[Check Equiparado]]="Sí",IF(DATOS!AV$5="Sí",(1/DATOS_[[% anualiz]:[% anualiz]]),1)*IF(DATOS!AV$4="Sí",1/DATOS_[[% normaliz]:[% normaliz]],1)*(DATOS_[Conc.Sal.18])))))))),
0)</f>
        <v>0</v>
      </c>
      <c r="AB91" s="196">
        <f t="array" ref="AB91">IFERROR(
(AVERAGE((IF(DATOS_[[Sexo]:[Sexo]]=$B91,IF(DATOS_[[AGRUP. CLAS. PROF.]:[AGRUP. CLAS. PROF.]]=$B90,IF(DATOS_[[Check Periodo Ref.]:[Check Periodo Ref.]]="Dentro",IF(DATOS_[[Check Equiparado]:[Check Equiparado]]="Sí",IF(DATOS!AW$5="Sí",(1/DATOS_[[% anualiz]:[% anualiz]]),1)*IF(DATOS!AW$4="Sí",1/DATOS_[[% normaliz]:[% normaliz]],1)*(DATOS_[Conc.Sal.19])))))))),
0)</f>
        <v>0</v>
      </c>
      <c r="AC91" s="196">
        <f t="array" ref="AC91">IFERROR(
(AVERAGE((IF(DATOS_[[Sexo]:[Sexo]]=$B91,IF(DATOS_[[AGRUP. CLAS. PROF.]:[AGRUP. CLAS. PROF.]]=$B90,IF(DATOS_[[Check Periodo Ref.]:[Check Periodo Ref.]]="Dentro",IF(DATOS_[[Check Equiparado]:[Check Equiparado]]="Sí",IF(DATOS!AX$5="Sí",(1/DATOS_[[% anualiz]:[% anualiz]]),1)*IF(DATOS!AX$4="Sí",1/DATOS_[[% normaliz]:[% normaliz]],1)*(DATOS_[Conc.Sal.20])))))))),
0)</f>
        <v>0</v>
      </c>
      <c r="AD91" s="196">
        <f t="array" ref="AD91">IFERROR(
(AVERAGE((IF(DATOS_[[Sexo]:[Sexo]]=$B91,IF(DATOS_[[AGRUP. CLAS. PROF.]:[AGRUP. CLAS. PROF.]]=$B90,IF(DATOS_[[Check Periodo Ref.]:[Check Periodo Ref.]]="Dentro",IF(DATOS_[[Check Equiparado]:[Check Equiparado]]="Sí",IF(DATOS!AY$5="Sí",(1/DATOS_[[% anualiz]:[% anualiz]]),1)*IF(DATOS!AY$4="Sí",1/DATOS_[[% normaliz]:[% normaliz]],1)*(DATOS_[Conc.Sal.21])))))))),
0)</f>
        <v>0</v>
      </c>
      <c r="AE91" s="196">
        <f t="array" ref="AE91">IFERROR(
(AVERAGE((IF(DATOS_[[Sexo]:[Sexo]]=$B91,IF(DATOS_[[AGRUP. CLAS. PROF.]:[AGRUP. CLAS. PROF.]]=$B90,IF(DATOS_[[Check Periodo Ref.]:[Check Periodo Ref.]]="Dentro",IF(DATOS_[[Check Equiparado]:[Check Equiparado]]="Sí",IF(DATOS!AZ$5="Sí",(1/DATOS_[[% anualiz]:[% anualiz]]),1)*IF(DATOS!AZ$4="Sí",1/DATOS_[[% normaliz]:[% normaliz]],1)*(DATOS_[Conc.Sal.22])))))))),
0)</f>
        <v>0</v>
      </c>
      <c r="AF91" s="196">
        <f t="array" ref="AF91">IFERROR(
(AVERAGE((IF(DATOS_[[Sexo]:[Sexo]]=$B91,IF(DATOS_[[AGRUP. CLAS. PROF.]:[AGRUP. CLAS. PROF.]]=$B90,IF(DATOS_[[Check Periodo Ref.]:[Check Periodo Ref.]]="Dentro",IF(DATOS_[[Check Equiparado]:[Check Equiparado]]="Sí",IF(DATOS!BA$5="Sí",(1/DATOS_[[% anualiz]:[% anualiz]]),1)*IF(DATOS!BA$4="Sí",1/DATOS_[[% normaliz]:[% normaliz]],1)*(DATOS_[Conc.Sal.23])))))))),
0)</f>
        <v>0</v>
      </c>
      <c r="AG91" s="196">
        <f t="array" ref="AG91">IFERROR(
(AVERAGE((IF(DATOS_[[Sexo]:[Sexo]]=$B91,IF(DATOS_[[AGRUP. CLAS. PROF.]:[AGRUP. CLAS. PROF.]]=$B90,IF(DATOS_[[Check Periodo Ref.]:[Check Periodo Ref.]]="Dentro",IF(DATOS_[[Check Equiparado]:[Check Equiparado]]="Sí",IF(DATOS!BB$5="Sí",(1/DATOS_[[% anualiz]:[% anualiz]]),1)*IF(DATOS!BB$4="Sí",1/DATOS_[[% normaliz]:[% normaliz]],1)*(DATOS_[Conc.Sal.24])))))))),
0)</f>
        <v>0</v>
      </c>
      <c r="AH91" s="196">
        <f t="array" ref="AH91">IFERROR(
(AVERAGE((IF(DATOS_[[Sexo]:[Sexo]]=$B91,IF(DATOS_[[AGRUP. CLAS. PROF.]:[AGRUP. CLAS. PROF.]]=$B90,IF(DATOS_[[Check Periodo Ref.]:[Check Periodo Ref.]]="Dentro",IF(DATOS_[[Check Equiparado]:[Check Equiparado]]="Sí",IF(DATOS!BC$5="Sí",(1/DATOS_[[% anualiz]:[% anualiz]]),1)*IF(DATOS!BC$4="Sí",1/DATOS_[[% normaliz]:[% normaliz]],1)*(DATOS_[Conc.Sal.25])))))))),
0)</f>
        <v>0</v>
      </c>
      <c r="AI91" s="196">
        <f t="array" ref="AI91">IFERROR(
(AVERAGE((IF(DATOS_[[Sexo]:[Sexo]]=$B91,IF(DATOS_[[AGRUP. CLAS. PROF.]:[AGRUP. CLAS. PROF.]]=$B90,IF(DATOS_[[Check Periodo Ref.]:[Check Periodo Ref.]]="Dentro",IF(DATOS_[[Check Equiparado]:[Check Equiparado]]="Sí",IF(DATOS!BD$5="Sí",(1/DATOS_[[% anualiz]:[% anualiz]]),1)*IF(DATOS!BD$4="Sí",1/DATOS_[[% normaliz]:[% normaliz]],1)*(DATOS_[Conc.Sal.26])))))))),
0)</f>
        <v>0</v>
      </c>
      <c r="AJ91" s="196">
        <f t="array" ref="AJ91">IFERROR(
(AVERAGE((IF(DATOS_[[Sexo]:[Sexo]]=$B91,IF(DATOS_[[AGRUP. CLAS. PROF.]:[AGRUP. CLAS. PROF.]]=$B90,IF(DATOS_[[Check Periodo Ref.]:[Check Periodo Ref.]]="Dentro",IF(DATOS_[[Check Equiparado]:[Check Equiparado]]="Sí",IF(DATOS!BE$5="Sí",(1/DATOS_[[% anualiz]:[% anualiz]]),1)*IF(DATOS!BE$4="Sí",1/DATOS_[[% normaliz]:[% normaliz]],1)*(DATOS_[Conc.Sal.27])))))))),
0)</f>
        <v>0</v>
      </c>
      <c r="AK91" s="196">
        <f t="array" ref="AK91">IFERROR(
(AVERAGE((IF(DATOS_[[Sexo]:[Sexo]]=$B91,IF(DATOS_[[AGRUP. CLAS. PROF.]:[AGRUP. CLAS. PROF.]]=$B90,IF(DATOS_[[Check Periodo Ref.]:[Check Periodo Ref.]]="Dentro",IF(DATOS_[[Check Equiparado]:[Check Equiparado]]="Sí",IF(DATOS!BF$5="Sí",(1/DATOS_[[% anualiz]:[% anualiz]]),1)*IF(DATOS!BF$4="Sí",1/DATOS_[[% normaliz]:[% normaliz]],1)*(DATOS_[Conc.Sal.28])))))))),
0)</f>
        <v>0</v>
      </c>
      <c r="AL91" s="196">
        <f t="array" ref="AL91">IFERROR(
(AVERAGE((IF(DATOS_[[Sexo]:[Sexo]]=$B91,IF(DATOS_[[AGRUP. CLAS. PROF.]:[AGRUP. CLAS. PROF.]]=$B90,IF(DATOS_[[Check Periodo Ref.]:[Check Periodo Ref.]]="Dentro",IF(DATOS_[[Check Equiparado]:[Check Equiparado]]="Sí",IF(DATOS!BG$5="Sí",(1/DATOS_[[% anualiz]:[% anualiz]]),1)*IF(DATOS!BG$4="Sí",1/DATOS_[[% normaliz]:[% normaliz]],1)*(DATOS_[Conc.Sal.29])))))))),
0)</f>
        <v>0</v>
      </c>
      <c r="AM91" s="196">
        <f t="array" ref="AM91">IFERROR(
(AVERAGE((IF(DATOS_[[Sexo]:[Sexo]]=$B91,IF(DATOS_[[AGRUP. CLAS. PROF.]:[AGRUP. CLAS. PROF.]]=$B90,IF(DATOS_[[Check Periodo Ref.]:[Check Periodo Ref.]]="Dentro",IF(DATOS_[[Check Equiparado]:[Check Equiparado]]="Sí",IF(DATOS!BH$5="Sí",(1/DATOS_[[% anualiz]:[% anualiz]]),1)*IF(DATOS!BH$4="Sí",1/DATOS_[[% normaliz]:[% normaliz]],1)*(DATOS_[Conc.Sal.30])))))))),
0)</f>
        <v>0</v>
      </c>
      <c r="AN91" s="195">
        <f t="array" ref="AN91">IFERROR(
AVERAGE(IF(DATOS_[Sexo]=$B91,IF(DATOS_[[AGRUP. CLAS. PROF.]:[AGRUP. CLAS. PROF.]]=$B90,IF(DATOS_[Check Equiparado]="Sí",IF(DATOS_[Check Periodo Ref.]="Dentro",DATOS_[Tot COMPL.SAL Eq],FALSE))))),
0)</f>
        <v>0</v>
      </c>
      <c r="AO91" s="172">
        <f t="array" ref="AO91">IFERROR(
AVERAGE(IF(DATOS_[Sexo]=$B91,IF(DATOS_[[AGRUP. CLAS. PROF.]:[AGRUP. CLAS. PROF.]]=$B90,IF(DATOS_[Check Equiparado]="Sí",IF(DATOS_[Check Periodo Ref.]="Dentro",DATOS_[TOTAL SALARIO Eq],FALSE))))),
0)</f>
        <v>0</v>
      </c>
      <c r="AP91" s="173">
        <f t="array" ref="AP91">IFERROR(
(AVERAGE((IF(DATOS_[[Sexo]:[Sexo]]=$B91,IF(DATOS_[[AGRUP. CLAS. PROF.]:[AGRUP. CLAS. PROF.]]=$B90,IF(DATOS_[[Check Periodo Ref.]:[Check Periodo Ref.]]="Dentro",IF(DATOS_[[Check Equiparado]:[Check Equiparado]]="Sí",IF(DATOS!BW$5="Sí",(1/DATOS_[[% anualiz]:[% anualiz]]),1)*IF(DATOS!BW$4="Sí",1/DATOS_[[% normaliz]:[% normaliz]],1)*(DATOS_[C.Extra.01])))))))),
0)</f>
        <v>0</v>
      </c>
      <c r="AQ91" s="173">
        <f t="array" ref="AQ91">IFERROR(
(AVERAGE((IF(DATOS_[[Sexo]:[Sexo]]=$B91,IF(DATOS_[[AGRUP. CLAS. PROF.]:[AGRUP. CLAS. PROF.]]=$B90,IF(DATOS_[[Check Periodo Ref.]:[Check Periodo Ref.]]="Dentro",IF(DATOS_[[Check Equiparado]:[Check Equiparado]]="Sí",IF(DATOS!CB$5="Sí",(1/DATOS_[[% anualiz]:[% anualiz]]),1)*IF(DATOS!CB$4="Sí",1/DATOS_[[% normaliz]:[% normaliz]],1)*(DATOS_[C.Extra.06])))))))),
0)</f>
        <v>0</v>
      </c>
      <c r="AR91" s="173">
        <f t="array" ref="AR91">IFERROR(
(AVERAGE((IF(DATOS_[[Sexo]:[Sexo]]=$B91,IF(DATOS_[[AGRUP. CLAS. PROF.]:[AGRUP. CLAS. PROF.]]=$B90,IF(DATOS_[[Check Periodo Ref.]:[Check Periodo Ref.]]="Dentro",IF(DATOS_[[Check Equiparado]:[Check Equiparado]]="Sí",IF(DATOS!CC$5="Sí",(1/DATOS_[[% anualiz]:[% anualiz]]),1)*IF(DATOS!CC$4="Sí",1/DATOS_[[% normaliz]:[% normaliz]],1)*(DATOS_[C.Extra.07])))))))),
0)</f>
        <v>0</v>
      </c>
      <c r="AS91" s="173">
        <f t="array" ref="AS91">IFERROR(
(AVERAGE((IF(DATOS_[[Sexo]:[Sexo]]=$B91,IF(DATOS_[[AGRUP. CLAS. PROF.]:[AGRUP. CLAS. PROF.]]=$B90,IF(DATOS_[[Check Periodo Ref.]:[Check Periodo Ref.]]="Dentro",IF(DATOS_[[Check Equiparado]:[Check Equiparado]]="Sí",IF(DATOS!CD$5="Sí",(1/DATOS_[[% anualiz]:[% anualiz]]),1)*IF(DATOS!CD$4="Sí",1/DATOS_[[% normaliz]:[% normaliz]],1)*(DATOS_[C.Extra.08])))))))),
0)</f>
        <v>0</v>
      </c>
      <c r="AT91" s="173">
        <f t="array" ref="AT91">IFERROR(
(AVERAGE((IF(DATOS_[[Sexo]:[Sexo]]=$B91,IF(DATOS_[[AGRUP. CLAS. PROF.]:[AGRUP. CLAS. PROF.]]=$B90,IF(DATOS_[[Check Periodo Ref.]:[Check Periodo Ref.]]="Dentro",IF(DATOS_[[Check Equiparado]:[Check Equiparado]]="Sí",IF(DATOS!CG$5="Sí",(1/DATOS_[[% anualiz]:[% anualiz]]),1)*IF(DATOS!CG$4="Sí",1/DATOS_[[% normaliz]:[% normaliz]],1)*(DATOS_[C.Extra.11])))))))),
0)</f>
        <v>0</v>
      </c>
      <c r="AU91" s="197">
        <f t="array" ref="AU91">IFERROR(
AVERAGE(IF(DATOS_[Sexo]=$B91,IF(DATOS_[[AGRUP. CLAS. PROF.]:[AGRUP. CLAS. PROF.]]=$B90,IF(DATOS_[Check Equiparado]="Sí",IF(DATOS_[Check Periodo Ref.]="Dentro",DATOS_[Tot Extrasalarial Eq],FALSE))))),
0)</f>
        <v>0</v>
      </c>
      <c r="AV91" s="175">
        <f t="array" ref="AV91">IFERROR(
AVERAGE(IF(DATOS_[Sexo]=$B91,IF(DATOS_[[AGRUP. CLAS. PROF.]:[AGRUP. CLAS. PROF.]]=$B90,IF(DATOS_[Check Equiparado]="Sí",IF(DATOS_[Check Periodo Ref.]="Dentro",DATOS_[TOTAL Retrib Eq],FALSE))))),
0)</f>
        <v>0</v>
      </c>
    </row>
    <row r="92" spans="1:48" hidden="1" x14ac:dyDescent="0.25">
      <c r="A92" s="133" t="str">
        <f t="shared" ref="A92" si="106">+A91</f>
        <v>[ocultar]</v>
      </c>
      <c r="B92" s="202" t="s">
        <v>521</v>
      </c>
      <c r="C92" s="203">
        <f t="array" ref="C92">SUM(IF($B92=DATOS_[Sexo],
IF($B90=DATOS_[AGRUP. CLAS. PROF.],
IF("Dentro"=DATOS_[Check Periodo Ref.],
1/(COUNTIFS(DATOS_[Sexo],$B92,DATOS_[AGRUP. CLAS. PROF.],$B90,DATOS_[Check Periodo Ref.],"Dentro",DATOS_[id/cod],DATOS_[id/cod]))))))</f>
        <v>0</v>
      </c>
      <c r="D92" s="204">
        <f>COUNTIFS(DATOS_[AGRUP. CLAS. PROF.],$B90,DATOS_[Sexo],$B92,DATOS_[Check Periodo Ref.],"Dentro")</f>
        <v>0</v>
      </c>
      <c r="E92" s="204">
        <f>COUNTIFS(DATOS_[AGRUP. CLAS. PROF.],$B90,DATOS_[Sexo],$B92,DATOS_[Check Periodo Ref.],"Dentro",DATOS_[Check Nº SC Norm],"Sí")</f>
        <v>0</v>
      </c>
      <c r="F92" s="204">
        <f>COUNTIFS(DATOS_[AGRUP. CLAS. PROF.],$B90,DATOS_[Sexo],$B92,DATOS_[Check Periodo Ref.],"Dentro",DATOS_[Check Nº SC Anualiz],"Sí")</f>
        <v>0</v>
      </c>
      <c r="G92" s="204">
        <f>COUNTIFS(DATOS_[AGRUP. CLAS. PROF.],$B90,DATOS_[Sexo],$B92,DATOS_[Check Periodo Ref.],"Dentro",DATOS_[Check Nº SC Norm y Anualiz],"Sí")</f>
        <v>0</v>
      </c>
      <c r="H92" s="204">
        <f>COUNTIFS(DATOS_[AGRUP. CLAS. PROF.],$B90,DATOS_[Sexo],$B92,DATOS_[Check Periodo Ref.],"Dentro",DATOS_[Check Equiparación],"Sí")</f>
        <v>0</v>
      </c>
      <c r="I92" s="195" cm="1">
        <f t="array" ref="I92">IFERROR(
AVERAGE(IF(DATOS_[Sexo]=$B92,IF(DATOS_[[AGRUP. CLAS. PROF.]:[AGRUP. CLAS. PROF.]]=$B90,IF(DATOS_[Check Equiparado]="Sí",IF(DATOS_[Check Periodo Ref.]="Dentro",DATOS_[SALARIO BASE Eq],FALSE))))),
0)</f>
        <v>0</v>
      </c>
      <c r="J92" s="196">
        <f t="array" ref="J92">IFERROR(
(AVERAGE((IF(DATOS_[[Sexo]:[Sexo]]=$B92,IF(DATOS_[[AGRUP. CLAS. PROF.]:[AGRUP. CLAS. PROF.]]=$B90,IF(DATOS_[[Check Periodo Ref.]:[Check Periodo Ref.]]="Dentro",IF(DATOS_[[Check Equiparado]:[Check Equiparado]]="Sí",IF(DATOS!AE$5="Sí",(1/DATOS_[[% anualiz]:[% anualiz]]),1)*IF(DATOS!AE$4="Sí",1/DATOS_[[% normaliz]:[% normaliz]],1)*(DATOS_[Conc.Sal.01])))))))),
0)</f>
        <v>0</v>
      </c>
      <c r="K92" s="196">
        <f t="array" ref="K92">IFERROR(
(AVERAGE((IF(DATOS_[[Sexo]:[Sexo]]=$B92,IF(DATOS_[[AGRUP. CLAS. PROF.]:[AGRUP. CLAS. PROF.]]=$B90,IF(DATOS_[[Check Periodo Ref.]:[Check Periodo Ref.]]="Dentro",IF(DATOS_[[Check Equiparado]:[Check Equiparado]]="Sí",IF(DATOS!AF$5="Sí",(1/DATOS_[[% anualiz]:[% anualiz]]),1)*IF(DATOS!AF$4="Sí",1/DATOS_[[% normaliz]:[% normaliz]],1)*(DATOS_[Conc.Sal.02])))))))),
0)</f>
        <v>0</v>
      </c>
      <c r="L92" s="196">
        <f t="array" ref="L92">IFERROR(
(AVERAGE((IF(DATOS_[[Sexo]:[Sexo]]=$B92,IF(DATOS_[[AGRUP. CLAS. PROF.]:[AGRUP. CLAS. PROF.]]=$B90,IF(DATOS_[[Check Periodo Ref.]:[Check Periodo Ref.]]="Dentro",IF(DATOS_[[Check Equiparado]:[Check Equiparado]]="Sí",IF(DATOS!AG$5="Sí",(1/DATOS_[[% anualiz]:[% anualiz]]),1)*IF(DATOS!AG$4="Sí",1/DATOS_[[% normaliz]:[% normaliz]],1)*(DATOS_[Conc.Sal.03])))))))),
0)</f>
        <v>0</v>
      </c>
      <c r="M92" s="196">
        <f t="array" ref="M92">IFERROR(
(AVERAGE((IF(DATOS_[[Sexo]:[Sexo]]=$B92,IF(DATOS_[[AGRUP. CLAS. PROF.]:[AGRUP. CLAS. PROF.]]=$B90,IF(DATOS_[[Check Periodo Ref.]:[Check Periodo Ref.]]="Dentro",IF(DATOS_[[Check Equiparado]:[Check Equiparado]]="Sí",IF(DATOS!AH$5="Sí",(1/DATOS_[[% anualiz]:[% anualiz]]),1)*IF(DATOS!AH$4="Sí",1/DATOS_[[% normaliz]:[% normaliz]],1)*(DATOS_[Conc.Sal.04])))))))),
0)</f>
        <v>0</v>
      </c>
      <c r="N92" s="196">
        <f t="array" ref="N92">IFERROR(
(AVERAGE((IF(DATOS_[[Sexo]:[Sexo]]=$B92,IF(DATOS_[[AGRUP. CLAS. PROF.]:[AGRUP. CLAS. PROF.]]=$B90,IF(DATOS_[[Check Periodo Ref.]:[Check Periodo Ref.]]="Dentro",IF(DATOS_[[Check Equiparado]:[Check Equiparado]]="Sí",IF(DATOS!AI$5="Sí",(1/DATOS_[[% anualiz]:[% anualiz]]),1)*IF(DATOS!AI$4="Sí",1/DATOS_[[% normaliz]:[% normaliz]],1)*(DATOS_[Conc.Sal.05])))))))),
0)</f>
        <v>0</v>
      </c>
      <c r="O92" s="196">
        <f t="array" ref="O92">IFERROR(
(AVERAGE((IF(DATOS_[[Sexo]:[Sexo]]=$B92,IF(DATOS_[[AGRUP. CLAS. PROF.]:[AGRUP. CLAS. PROF.]]=$B90,IF(DATOS_[[Check Periodo Ref.]:[Check Periodo Ref.]]="Dentro",IF(DATOS_[[Check Equiparado]:[Check Equiparado]]="Sí",IF(DATOS!AJ$5="Sí",(1/DATOS_[[% anualiz]:[% anualiz]]),1)*IF(DATOS!AJ$4="Sí",1/DATOS_[[% normaliz]:[% normaliz]],1)*(DATOS_[Conc.Sal.06])))))))),
0)</f>
        <v>0</v>
      </c>
      <c r="P92" s="196">
        <f t="array" ref="P92">IFERROR(
(AVERAGE((IF(DATOS_[[Sexo]:[Sexo]]=$B92,IF(DATOS_[[AGRUP. CLAS. PROF.]:[AGRUP. CLAS. PROF.]]=$B90,IF(DATOS_[[Check Periodo Ref.]:[Check Periodo Ref.]]="Dentro",IF(DATOS_[[Check Equiparado]:[Check Equiparado]]="Sí",IF(DATOS!AK$5="Sí",(1/DATOS_[[% anualiz]:[% anualiz]]),1)*IF(DATOS!AK$4="Sí",1/DATOS_[[% normaliz]:[% normaliz]],1)*(DATOS_[Conc.Sal.07])))))))),
0)</f>
        <v>0</v>
      </c>
      <c r="Q92" s="196">
        <f t="array" ref="Q92">IFERROR(
(AVERAGE((IF(DATOS_[[Sexo]:[Sexo]]=$B92,IF(DATOS_[[AGRUP. CLAS. PROF.]:[AGRUP. CLAS. PROF.]]=$B90,IF(DATOS_[[Check Periodo Ref.]:[Check Periodo Ref.]]="Dentro",IF(DATOS_[[Check Equiparado]:[Check Equiparado]]="Sí",IF(DATOS!AL$5="Sí",(1/DATOS_[[% anualiz]:[% anualiz]]),1)*IF(DATOS!AL$4="Sí",1/DATOS_[[% normaliz]:[% normaliz]],1)*(DATOS_[Conc.Sal.08])))))))),
0)</f>
        <v>0</v>
      </c>
      <c r="R92" s="196">
        <f t="array" ref="R92">IFERROR(
(AVERAGE((IF(DATOS_[[Sexo]:[Sexo]]=$B92,IF(DATOS_[[AGRUP. CLAS. PROF.]:[AGRUP. CLAS. PROF.]]=$B90,IF(DATOS_[[Check Periodo Ref.]:[Check Periodo Ref.]]="Dentro",IF(DATOS_[[Check Equiparado]:[Check Equiparado]]="Sí",IF(DATOS!AM$5="Sí",(1/DATOS_[[% anualiz]:[% anualiz]]),1)*IF(DATOS!AM$4="Sí",1/DATOS_[[% normaliz]:[% normaliz]],1)*(DATOS_[Conc.Sal.09])))))))),
0)</f>
        <v>0</v>
      </c>
      <c r="S92" s="196">
        <f t="array" ref="S92">IFERROR(
(AVERAGE((IF(DATOS_[[Sexo]:[Sexo]]=$B92,IF(DATOS_[[AGRUP. CLAS. PROF.]:[AGRUP. CLAS. PROF.]]=$B90,IF(DATOS_[[Check Periodo Ref.]:[Check Periodo Ref.]]="Dentro",IF(DATOS_[[Check Equiparado]:[Check Equiparado]]="Sí",IF(DATOS!AN$5="Sí",(1/DATOS_[[% anualiz]:[% anualiz]]),1)*IF(DATOS!AN$4="Sí",1/DATOS_[[% normaliz]:[% normaliz]],1)*(DATOS_[Conc.Sal.10])))))))),
0)</f>
        <v>0</v>
      </c>
      <c r="T92" s="196">
        <f t="array" ref="T92">IFERROR(
(AVERAGE((IF(DATOS_[[Sexo]:[Sexo]]=$B92,IF(DATOS_[[AGRUP. CLAS. PROF.]:[AGRUP. CLAS. PROF.]]=$B90,IF(DATOS_[[Check Periodo Ref.]:[Check Periodo Ref.]]="Dentro",IF(DATOS_[[Check Equiparado]:[Check Equiparado]]="Sí",IF(DATOS!AO$5="Sí",(1/DATOS_[[% anualiz]:[% anualiz]]),1)*IF(DATOS!AO$4="Sí",1/DATOS_[[% normaliz]:[% normaliz]],1)*(DATOS_[Conc.Sal.11])))))))),
0)</f>
        <v>0</v>
      </c>
      <c r="U92" s="196">
        <f t="array" ref="U92">IFERROR(
(AVERAGE((IF(DATOS_[[Sexo]:[Sexo]]=$B92,IF(DATOS_[[AGRUP. CLAS. PROF.]:[AGRUP. CLAS. PROF.]]=$B90,IF(DATOS_[[Check Periodo Ref.]:[Check Periodo Ref.]]="Dentro",IF(DATOS_[[Check Equiparado]:[Check Equiparado]]="Sí",IF(DATOS!AP$5="Sí",(1/DATOS_[[% anualiz]:[% anualiz]]),1)*IF(DATOS!AP$4="Sí",1/DATOS_[[% normaliz]:[% normaliz]],1)*(DATOS_[Conc.Sal.12])))))))),
0)</f>
        <v>0</v>
      </c>
      <c r="V92" s="196">
        <f t="array" ref="V92">IFERROR(
(AVERAGE((IF(DATOS_[[Sexo]:[Sexo]]=$B92,IF(DATOS_[[AGRUP. CLAS. PROF.]:[AGRUP. CLAS. PROF.]]=$B90,IF(DATOS_[[Check Periodo Ref.]:[Check Periodo Ref.]]="Dentro",IF(DATOS_[[Check Equiparado]:[Check Equiparado]]="Sí",IF(DATOS!AQ$5="Sí",(1/DATOS_[[% anualiz]:[% anualiz]]),1)*IF(DATOS!AQ$4="Sí",1/DATOS_[[% normaliz]:[% normaliz]],1)*(DATOS_[Conc.Sal.13])))))))),
0)</f>
        <v>0</v>
      </c>
      <c r="W92" s="196">
        <f t="array" ref="W92">IFERROR(
(AVERAGE((IF(DATOS_[[Sexo]:[Sexo]]=$B92,IF(DATOS_[[AGRUP. CLAS. PROF.]:[AGRUP. CLAS. PROF.]]=$B90,IF(DATOS_[[Check Periodo Ref.]:[Check Periodo Ref.]]="Dentro",IF(DATOS_[[Check Equiparado]:[Check Equiparado]]="Sí",IF(DATOS!AR$5="Sí",(1/DATOS_[[% anualiz]:[% anualiz]]),1)*IF(DATOS!AR$4="Sí",1/DATOS_[[% normaliz]:[% normaliz]],1)*(DATOS_[Conc.Sal.14])))))))),
0)</f>
        <v>0</v>
      </c>
      <c r="X92" s="196">
        <f t="array" ref="X92">IFERROR(
(AVERAGE((IF(DATOS_[[Sexo]:[Sexo]]=$B92,IF(DATOS_[[AGRUP. CLAS. PROF.]:[AGRUP. CLAS. PROF.]]=$B90,IF(DATOS_[[Check Periodo Ref.]:[Check Periodo Ref.]]="Dentro",IF(DATOS_[[Check Equiparado]:[Check Equiparado]]="Sí",IF(DATOS!AS$5="Sí",(1/DATOS_[[% anualiz]:[% anualiz]]),1)*IF(DATOS!AS$4="Sí",1/DATOS_[[% normaliz]:[% normaliz]],1)*(DATOS_[Conc.Sal.15])))))))),
0)</f>
        <v>0</v>
      </c>
      <c r="Y92" s="196">
        <f t="array" ref="Y92">IFERROR(
(AVERAGE((IF(DATOS_[[Sexo]:[Sexo]]=$B92,IF(DATOS_[[AGRUP. CLAS. PROF.]:[AGRUP. CLAS. PROF.]]=$B90,IF(DATOS_[[Check Periodo Ref.]:[Check Periodo Ref.]]="Dentro",IF(DATOS_[[Check Equiparado]:[Check Equiparado]]="Sí",IF(DATOS!AT$5="Sí",(1/DATOS_[[% anualiz]:[% anualiz]]),1)*IF(DATOS!AT$4="Sí",1/DATOS_[[% normaliz]:[% normaliz]],1)*(DATOS_[Conc.Sal.16])))))))),
0)</f>
        <v>0</v>
      </c>
      <c r="Z92" s="196">
        <f t="array" ref="Z92">IFERROR(
(AVERAGE((IF(DATOS_[[Sexo]:[Sexo]]=$B92,IF(DATOS_[[AGRUP. CLAS. PROF.]:[AGRUP. CLAS. PROF.]]=$B90,IF(DATOS_[[Check Periodo Ref.]:[Check Periodo Ref.]]="Dentro",IF(DATOS_[[Check Equiparado]:[Check Equiparado]]="Sí",IF(DATOS!AU$5="Sí",(1/DATOS_[[% anualiz]:[% anualiz]]),1)*IF(DATOS!AU$4="Sí",1/DATOS_[[% normaliz]:[% normaliz]],1)*(DATOS_[Conc.Sal.17])))))))),
0)</f>
        <v>0</v>
      </c>
      <c r="AA92" s="196">
        <f t="array" ref="AA92">IFERROR(
(AVERAGE((IF(DATOS_[[Sexo]:[Sexo]]=$B92,IF(DATOS_[[AGRUP. CLAS. PROF.]:[AGRUP. CLAS. PROF.]]=$B90,IF(DATOS_[[Check Periodo Ref.]:[Check Periodo Ref.]]="Dentro",IF(DATOS_[[Check Equiparado]:[Check Equiparado]]="Sí",IF(DATOS!AV$5="Sí",(1/DATOS_[[% anualiz]:[% anualiz]]),1)*IF(DATOS!AV$4="Sí",1/DATOS_[[% normaliz]:[% normaliz]],1)*(DATOS_[Conc.Sal.18])))))))),
0)</f>
        <v>0</v>
      </c>
      <c r="AB92" s="196">
        <f t="array" ref="AB92">IFERROR(
(AVERAGE((IF(DATOS_[[Sexo]:[Sexo]]=$B92,IF(DATOS_[[AGRUP. CLAS. PROF.]:[AGRUP. CLAS. PROF.]]=$B90,IF(DATOS_[[Check Periodo Ref.]:[Check Periodo Ref.]]="Dentro",IF(DATOS_[[Check Equiparado]:[Check Equiparado]]="Sí",IF(DATOS!AW$5="Sí",(1/DATOS_[[% anualiz]:[% anualiz]]),1)*IF(DATOS!AW$4="Sí",1/DATOS_[[% normaliz]:[% normaliz]],1)*(DATOS_[Conc.Sal.19])))))))),
0)</f>
        <v>0</v>
      </c>
      <c r="AC92" s="196">
        <f t="array" ref="AC92">IFERROR(
(AVERAGE((IF(DATOS_[[Sexo]:[Sexo]]=$B92,IF(DATOS_[[AGRUP. CLAS. PROF.]:[AGRUP. CLAS. PROF.]]=$B90,IF(DATOS_[[Check Periodo Ref.]:[Check Periodo Ref.]]="Dentro",IF(DATOS_[[Check Equiparado]:[Check Equiparado]]="Sí",IF(DATOS!AX$5="Sí",(1/DATOS_[[% anualiz]:[% anualiz]]),1)*IF(DATOS!AX$4="Sí",1/DATOS_[[% normaliz]:[% normaliz]],1)*(DATOS_[Conc.Sal.20])))))))),
0)</f>
        <v>0</v>
      </c>
      <c r="AD92" s="196">
        <f t="array" ref="AD92">IFERROR(
(AVERAGE((IF(DATOS_[[Sexo]:[Sexo]]=$B92,IF(DATOS_[[AGRUP. CLAS. PROF.]:[AGRUP. CLAS. PROF.]]=$B90,IF(DATOS_[[Check Periodo Ref.]:[Check Periodo Ref.]]="Dentro",IF(DATOS_[[Check Equiparado]:[Check Equiparado]]="Sí",IF(DATOS!AY$5="Sí",(1/DATOS_[[% anualiz]:[% anualiz]]),1)*IF(DATOS!AY$4="Sí",1/DATOS_[[% normaliz]:[% normaliz]],1)*(DATOS_[Conc.Sal.21])))))))),
0)</f>
        <v>0</v>
      </c>
      <c r="AE92" s="196">
        <f t="array" ref="AE92">IFERROR(
(AVERAGE((IF(DATOS_[[Sexo]:[Sexo]]=$B92,IF(DATOS_[[AGRUP. CLAS. PROF.]:[AGRUP. CLAS. PROF.]]=$B90,IF(DATOS_[[Check Periodo Ref.]:[Check Periodo Ref.]]="Dentro",IF(DATOS_[[Check Equiparado]:[Check Equiparado]]="Sí",IF(DATOS!AZ$5="Sí",(1/DATOS_[[% anualiz]:[% anualiz]]),1)*IF(DATOS!AZ$4="Sí",1/DATOS_[[% normaliz]:[% normaliz]],1)*(DATOS_[Conc.Sal.22])))))))),
0)</f>
        <v>0</v>
      </c>
      <c r="AF92" s="196">
        <f t="array" ref="AF92">IFERROR(
(AVERAGE((IF(DATOS_[[Sexo]:[Sexo]]=$B92,IF(DATOS_[[AGRUP. CLAS. PROF.]:[AGRUP. CLAS. PROF.]]=$B90,IF(DATOS_[[Check Periodo Ref.]:[Check Periodo Ref.]]="Dentro",IF(DATOS_[[Check Equiparado]:[Check Equiparado]]="Sí",IF(DATOS!BA$5="Sí",(1/DATOS_[[% anualiz]:[% anualiz]]),1)*IF(DATOS!BA$4="Sí",1/DATOS_[[% normaliz]:[% normaliz]],1)*(DATOS_[Conc.Sal.23])))))))),
0)</f>
        <v>0</v>
      </c>
      <c r="AG92" s="196">
        <f t="array" ref="AG92">IFERROR(
(AVERAGE((IF(DATOS_[[Sexo]:[Sexo]]=$B92,IF(DATOS_[[AGRUP. CLAS. PROF.]:[AGRUP. CLAS. PROF.]]=$B90,IF(DATOS_[[Check Periodo Ref.]:[Check Periodo Ref.]]="Dentro",IF(DATOS_[[Check Equiparado]:[Check Equiparado]]="Sí",IF(DATOS!BB$5="Sí",(1/DATOS_[[% anualiz]:[% anualiz]]),1)*IF(DATOS!BB$4="Sí",1/DATOS_[[% normaliz]:[% normaliz]],1)*(DATOS_[Conc.Sal.24])))))))),
0)</f>
        <v>0</v>
      </c>
      <c r="AH92" s="196">
        <f t="array" ref="AH92">IFERROR(
(AVERAGE((IF(DATOS_[[Sexo]:[Sexo]]=$B92,IF(DATOS_[[AGRUP. CLAS. PROF.]:[AGRUP. CLAS. PROF.]]=$B90,IF(DATOS_[[Check Periodo Ref.]:[Check Periodo Ref.]]="Dentro",IF(DATOS_[[Check Equiparado]:[Check Equiparado]]="Sí",IF(DATOS!BC$5="Sí",(1/DATOS_[[% anualiz]:[% anualiz]]),1)*IF(DATOS!BC$4="Sí",1/DATOS_[[% normaliz]:[% normaliz]],1)*(DATOS_[Conc.Sal.25])))))))),
0)</f>
        <v>0</v>
      </c>
      <c r="AI92" s="196">
        <f t="array" ref="AI92">IFERROR(
(AVERAGE((IF(DATOS_[[Sexo]:[Sexo]]=$B92,IF(DATOS_[[AGRUP. CLAS. PROF.]:[AGRUP. CLAS. PROF.]]=$B90,IF(DATOS_[[Check Periodo Ref.]:[Check Periodo Ref.]]="Dentro",IF(DATOS_[[Check Equiparado]:[Check Equiparado]]="Sí",IF(DATOS!BD$5="Sí",(1/DATOS_[[% anualiz]:[% anualiz]]),1)*IF(DATOS!BD$4="Sí",1/DATOS_[[% normaliz]:[% normaliz]],1)*(DATOS_[Conc.Sal.26])))))))),
0)</f>
        <v>0</v>
      </c>
      <c r="AJ92" s="196">
        <f t="array" ref="AJ92">IFERROR(
(AVERAGE((IF(DATOS_[[Sexo]:[Sexo]]=$B92,IF(DATOS_[[AGRUP. CLAS. PROF.]:[AGRUP. CLAS. PROF.]]=$B90,IF(DATOS_[[Check Periodo Ref.]:[Check Periodo Ref.]]="Dentro",IF(DATOS_[[Check Equiparado]:[Check Equiparado]]="Sí",IF(DATOS!BE$5="Sí",(1/DATOS_[[% anualiz]:[% anualiz]]),1)*IF(DATOS!BE$4="Sí",1/DATOS_[[% normaliz]:[% normaliz]],1)*(DATOS_[Conc.Sal.27])))))))),
0)</f>
        <v>0</v>
      </c>
      <c r="AK92" s="196">
        <f t="array" ref="AK92">IFERROR(
(AVERAGE((IF(DATOS_[[Sexo]:[Sexo]]=$B92,IF(DATOS_[[AGRUP. CLAS. PROF.]:[AGRUP. CLAS. PROF.]]=$B90,IF(DATOS_[[Check Periodo Ref.]:[Check Periodo Ref.]]="Dentro",IF(DATOS_[[Check Equiparado]:[Check Equiparado]]="Sí",IF(DATOS!BF$5="Sí",(1/DATOS_[[% anualiz]:[% anualiz]]),1)*IF(DATOS!BF$4="Sí",1/DATOS_[[% normaliz]:[% normaliz]],1)*(DATOS_[Conc.Sal.28])))))))),
0)</f>
        <v>0</v>
      </c>
      <c r="AL92" s="196">
        <f t="array" ref="AL92">IFERROR(
(AVERAGE((IF(DATOS_[[Sexo]:[Sexo]]=$B92,IF(DATOS_[[AGRUP. CLAS. PROF.]:[AGRUP. CLAS. PROF.]]=$B90,IF(DATOS_[[Check Periodo Ref.]:[Check Periodo Ref.]]="Dentro",IF(DATOS_[[Check Equiparado]:[Check Equiparado]]="Sí",IF(DATOS!BG$5="Sí",(1/DATOS_[[% anualiz]:[% anualiz]]),1)*IF(DATOS!BG$4="Sí",1/DATOS_[[% normaliz]:[% normaliz]],1)*(DATOS_[Conc.Sal.29])))))))),
0)</f>
        <v>0</v>
      </c>
      <c r="AM92" s="196">
        <f t="array" ref="AM92">IFERROR(
(AVERAGE((IF(DATOS_[[Sexo]:[Sexo]]=$B92,IF(DATOS_[[AGRUP. CLAS. PROF.]:[AGRUP. CLAS. PROF.]]=$B90,IF(DATOS_[[Check Periodo Ref.]:[Check Periodo Ref.]]="Dentro",IF(DATOS_[[Check Equiparado]:[Check Equiparado]]="Sí",IF(DATOS!BH$5="Sí",(1/DATOS_[[% anualiz]:[% anualiz]]),1)*IF(DATOS!BH$4="Sí",1/DATOS_[[% normaliz]:[% normaliz]],1)*(DATOS_[Conc.Sal.30])))))))),
0)</f>
        <v>0</v>
      </c>
      <c r="AN92" s="195">
        <f t="array" ref="AN92">IFERROR(
AVERAGE(IF(DATOS_[Sexo]=$B92,IF(DATOS_[[AGRUP. CLAS. PROF.]:[AGRUP. CLAS. PROF.]]=$B90,IF(DATOS_[Check Equiparado]="Sí",IF(DATOS_[Check Periodo Ref.]="Dentro",DATOS_[Tot COMPL.SAL Eq],FALSE))))),
0)</f>
        <v>0</v>
      </c>
      <c r="AO92" s="172">
        <f t="array" ref="AO92">IFERROR(
AVERAGE(IF(DATOS_[Sexo]=$B92,IF(DATOS_[[AGRUP. CLAS. PROF.]:[AGRUP. CLAS. PROF.]]=$B90,IF(DATOS_[Check Equiparado]="Sí",IF(DATOS_[Check Periodo Ref.]="Dentro",DATOS_[TOTAL SALARIO Eq],FALSE))))),
0)</f>
        <v>0</v>
      </c>
      <c r="AP92" s="173">
        <f t="array" ref="AP92">IFERROR(
(AVERAGE((IF(DATOS_[[Sexo]:[Sexo]]=$B92,IF(DATOS_[[AGRUP. CLAS. PROF.]:[AGRUP. CLAS. PROF.]]=$B90,IF(DATOS_[[Check Periodo Ref.]:[Check Periodo Ref.]]="Dentro",IF(DATOS_[[Check Equiparado]:[Check Equiparado]]="Sí",IF(DATOS!BW$5="Sí",(1/DATOS_[[% anualiz]:[% anualiz]]),1)*IF(DATOS!BW$4="Sí",1/DATOS_[[% normaliz]:[% normaliz]],1)*(DATOS_[C.Extra.01])))))))),
0)</f>
        <v>0</v>
      </c>
      <c r="AQ92" s="173">
        <f t="array" ref="AQ92">IFERROR(
(AVERAGE((IF(DATOS_[[Sexo]:[Sexo]]=$B92,IF(DATOS_[[AGRUP. CLAS. PROF.]:[AGRUP. CLAS. PROF.]]=$B90,IF(DATOS_[[Check Periodo Ref.]:[Check Periodo Ref.]]="Dentro",IF(DATOS_[[Check Equiparado]:[Check Equiparado]]="Sí",IF(DATOS!CB$5="Sí",(1/DATOS_[[% anualiz]:[% anualiz]]),1)*IF(DATOS!CB$4="Sí",1/DATOS_[[% normaliz]:[% normaliz]],1)*(DATOS_[C.Extra.06])))))))),
0)</f>
        <v>0</v>
      </c>
      <c r="AR92" s="173">
        <f t="array" ref="AR92">IFERROR(
(AVERAGE((IF(DATOS_[[Sexo]:[Sexo]]=$B92,IF(DATOS_[[AGRUP. CLAS. PROF.]:[AGRUP. CLAS. PROF.]]=$B90,IF(DATOS_[[Check Periodo Ref.]:[Check Periodo Ref.]]="Dentro",IF(DATOS_[[Check Equiparado]:[Check Equiparado]]="Sí",IF(DATOS!CC$5="Sí",(1/DATOS_[[% anualiz]:[% anualiz]]),1)*IF(DATOS!CC$4="Sí",1/DATOS_[[% normaliz]:[% normaliz]],1)*(DATOS_[C.Extra.07])))))))),
0)</f>
        <v>0</v>
      </c>
      <c r="AS92" s="173">
        <f t="array" ref="AS92">IFERROR(
(AVERAGE((IF(DATOS_[[Sexo]:[Sexo]]=$B92,IF(DATOS_[[AGRUP. CLAS. PROF.]:[AGRUP. CLAS. PROF.]]=$B90,IF(DATOS_[[Check Periodo Ref.]:[Check Periodo Ref.]]="Dentro",IF(DATOS_[[Check Equiparado]:[Check Equiparado]]="Sí",IF(DATOS!CD$5="Sí",(1/DATOS_[[% anualiz]:[% anualiz]]),1)*IF(DATOS!CD$4="Sí",1/DATOS_[[% normaliz]:[% normaliz]],1)*(DATOS_[C.Extra.08])))))))),
0)</f>
        <v>0</v>
      </c>
      <c r="AT92" s="173">
        <f t="array" ref="AT92">IFERROR(
(AVERAGE((IF(DATOS_[[Sexo]:[Sexo]]=$B92,IF(DATOS_[[AGRUP. CLAS. PROF.]:[AGRUP. CLAS. PROF.]]=$B90,IF(DATOS_[[Check Periodo Ref.]:[Check Periodo Ref.]]="Dentro",IF(DATOS_[[Check Equiparado]:[Check Equiparado]]="Sí",IF(DATOS!CG$5="Sí",(1/DATOS_[[% anualiz]:[% anualiz]]),1)*IF(DATOS!CG$4="Sí",1/DATOS_[[% normaliz]:[% normaliz]],1)*(DATOS_[C.Extra.11])))))))),
0)</f>
        <v>0</v>
      </c>
      <c r="AU92" s="197">
        <f t="array" ref="AU92">IFERROR(
AVERAGE(IF(DATOS_[Sexo]=$B92,IF(DATOS_[[AGRUP. CLAS. PROF.]:[AGRUP. CLAS. PROF.]]=$B90,IF(DATOS_[Check Equiparado]="Sí",IF(DATOS_[Check Periodo Ref.]="Dentro",DATOS_[Tot Extrasalarial Eq],FALSE))))),
0)</f>
        <v>0</v>
      </c>
      <c r="AV92" s="175">
        <f t="array" ref="AV92">IFERROR(
AVERAGE(IF(DATOS_[Sexo]=$B92,IF(DATOS_[[AGRUP. CLAS. PROF.]:[AGRUP. CLAS. PROF.]]=$B90,IF(DATOS_[Check Equiparado]="Sí",IF(DATOS_[Check Periodo Ref.]="Dentro",DATOS_[TOTAL Retrib Eq],FALSE))))),
0)</f>
        <v>0</v>
      </c>
    </row>
    <row r="93" spans="1:48" ht="15.6" hidden="1" thickBot="1" x14ac:dyDescent="0.3">
      <c r="A93" s="133" t="str">
        <f t="shared" ref="A93" si="107">+A94</f>
        <v>[ocultar]</v>
      </c>
      <c r="B93" s="199" t="s">
        <v>280</v>
      </c>
      <c r="C93" s="200"/>
      <c r="D93" s="201"/>
      <c r="E93" s="201"/>
      <c r="F93" s="201"/>
      <c r="G93" s="201"/>
      <c r="H93" s="201"/>
      <c r="I93" s="189" t="str">
        <f t="shared" ref="I93:AV93" si="108">IFERROR((I94-I95)/I94,"")</f>
        <v/>
      </c>
      <c r="J93" s="190" t="str">
        <f t="shared" si="108"/>
        <v/>
      </c>
      <c r="K93" s="191" t="str">
        <f t="shared" si="108"/>
        <v/>
      </c>
      <c r="L93" s="191" t="str">
        <f t="shared" si="108"/>
        <v/>
      </c>
      <c r="M93" s="191" t="str">
        <f t="shared" si="108"/>
        <v/>
      </c>
      <c r="N93" s="192" t="str">
        <f t="shared" si="108"/>
        <v/>
      </c>
      <c r="O93" s="193" t="str">
        <f t="shared" si="108"/>
        <v/>
      </c>
      <c r="P93" s="193" t="str">
        <f t="shared" si="108"/>
        <v/>
      </c>
      <c r="Q93" s="193" t="str">
        <f t="shared" si="108"/>
        <v/>
      </c>
      <c r="R93" s="193" t="str">
        <f t="shared" si="108"/>
        <v/>
      </c>
      <c r="S93" s="193" t="str">
        <f t="shared" si="108"/>
        <v/>
      </c>
      <c r="T93" s="193" t="str">
        <f t="shared" si="108"/>
        <v/>
      </c>
      <c r="U93" s="193" t="str">
        <f t="shared" si="108"/>
        <v/>
      </c>
      <c r="V93" s="193" t="str">
        <f t="shared" si="108"/>
        <v/>
      </c>
      <c r="W93" s="193" t="str">
        <f t="shared" si="108"/>
        <v/>
      </c>
      <c r="X93" s="193" t="str">
        <f t="shared" si="108"/>
        <v/>
      </c>
      <c r="Y93" s="193" t="str">
        <f t="shared" si="108"/>
        <v/>
      </c>
      <c r="Z93" s="193" t="str">
        <f t="shared" si="108"/>
        <v/>
      </c>
      <c r="AA93" s="193" t="str">
        <f t="shared" si="108"/>
        <v/>
      </c>
      <c r="AB93" s="193" t="str">
        <f t="shared" si="108"/>
        <v/>
      </c>
      <c r="AC93" s="193" t="str">
        <f t="shared" si="108"/>
        <v/>
      </c>
      <c r="AD93" s="193" t="str">
        <f t="shared" si="108"/>
        <v/>
      </c>
      <c r="AE93" s="193" t="str">
        <f t="shared" si="108"/>
        <v/>
      </c>
      <c r="AF93" s="193" t="str">
        <f t="shared" si="108"/>
        <v/>
      </c>
      <c r="AG93" s="193" t="str">
        <f t="shared" si="108"/>
        <v/>
      </c>
      <c r="AH93" s="193" t="str">
        <f t="shared" si="108"/>
        <v/>
      </c>
      <c r="AI93" s="193" t="str">
        <f t="shared" si="108"/>
        <v/>
      </c>
      <c r="AJ93" s="193" t="str">
        <f t="shared" si="108"/>
        <v/>
      </c>
      <c r="AK93" s="193" t="str">
        <f t="shared" si="108"/>
        <v/>
      </c>
      <c r="AL93" s="193" t="str">
        <f t="shared" si="108"/>
        <v/>
      </c>
      <c r="AM93" s="193" t="str">
        <f t="shared" si="108"/>
        <v/>
      </c>
      <c r="AN93" s="189" t="str">
        <f t="shared" si="108"/>
        <v/>
      </c>
      <c r="AO93" s="162" t="str">
        <f t="shared" si="108"/>
        <v/>
      </c>
      <c r="AP93" s="163" t="str">
        <f t="shared" si="108"/>
        <v/>
      </c>
      <c r="AQ93" s="163" t="str">
        <f t="shared" si="108"/>
        <v/>
      </c>
      <c r="AR93" s="163" t="str">
        <f t="shared" si="108"/>
        <v/>
      </c>
      <c r="AS93" s="163" t="str">
        <f t="shared" si="108"/>
        <v/>
      </c>
      <c r="AT93" s="163" t="str">
        <f t="shared" si="108"/>
        <v/>
      </c>
      <c r="AU93" s="194" t="str">
        <f t="shared" si="108"/>
        <v/>
      </c>
      <c r="AV93" s="165" t="str">
        <f t="shared" si="108"/>
        <v/>
      </c>
    </row>
    <row r="94" spans="1:48" hidden="1" x14ac:dyDescent="0.25">
      <c r="A94" s="133" t="str">
        <f t="shared" ref="A94" si="109">+IF(C94+C95=0,"[ocultar]","")</f>
        <v>[ocultar]</v>
      </c>
      <c r="B94" s="202" t="s">
        <v>394</v>
      </c>
      <c r="C94" s="203">
        <f t="array" ref="C94">SUM(IF($B94=DATOS_[Sexo],
IF($B93=DATOS_[AGRUP. CLAS. PROF.],
IF("Dentro"=DATOS_[Check Periodo Ref.],
1/(COUNTIFS(DATOS_[Sexo],$B94,DATOS_[AGRUP. CLAS. PROF.],$B93,DATOS_[Check Periodo Ref.],"Dentro",DATOS_[id/cod],DATOS_[id/cod]))))))</f>
        <v>0</v>
      </c>
      <c r="D94" s="204">
        <f>COUNTIFS(DATOS_[AGRUP. CLAS. PROF.],$B93,DATOS_[Sexo],$B94,DATOS_[Check Periodo Ref.],"Dentro")</f>
        <v>0</v>
      </c>
      <c r="E94" s="204">
        <f>COUNTIFS(DATOS_[AGRUP. CLAS. PROF.],$B93,DATOS_[Sexo],$B94,DATOS_[Check Periodo Ref.],"Dentro",DATOS_[Check Nº SC Norm],"Sí")</f>
        <v>0</v>
      </c>
      <c r="F94" s="204">
        <f>COUNTIFS(DATOS_[AGRUP. CLAS. PROF.],$B93,DATOS_[Sexo],$B94,DATOS_[Check Periodo Ref.],"Dentro",DATOS_[Check Nº SC Anualiz],"Sí")</f>
        <v>0</v>
      </c>
      <c r="G94" s="204">
        <f>COUNTIFS(DATOS_[AGRUP. CLAS. PROF.],$B93,DATOS_[Sexo],$B94,DATOS_[Check Periodo Ref.],"Dentro",DATOS_[Check Nº SC Norm y Anualiz],"Sí")</f>
        <v>0</v>
      </c>
      <c r="H94" s="204">
        <f>COUNTIFS(DATOS_[AGRUP. CLAS. PROF.],$B93,DATOS_[Sexo],$B94,DATOS_[Check Periodo Ref.],"Dentro",DATOS_[Check Equiparación],"Sí")</f>
        <v>0</v>
      </c>
      <c r="I94" s="195">
        <f t="array" ref="I94">IFERROR(
AVERAGE(IF(DATOS_[Sexo]=$B94,IF(DATOS_[[AGRUP. CLAS. PROF.]:[AGRUP. CLAS. PROF.]]=$B93,IF(DATOS_[Check Equiparado]="Sí",IF(DATOS_[Check Periodo Ref.]="Dentro",DATOS_[SALARIO BASE Eq],FALSE))))),
0)</f>
        <v>0</v>
      </c>
      <c r="J94" s="196">
        <f t="array" ref="J94">IFERROR(
(AVERAGE((IF(DATOS_[[Sexo]:[Sexo]]=$B94,IF(DATOS_[[AGRUP. CLAS. PROF.]:[AGRUP. CLAS. PROF.]]=$B93,IF(DATOS_[[Check Periodo Ref.]:[Check Periodo Ref.]]="Dentro",IF(DATOS_[[Check Equiparado]:[Check Equiparado]]="Sí",IF(DATOS!AE$5="Sí",(1/DATOS_[[% anualiz]:[% anualiz]]),1)*IF(DATOS!AE$4="Sí",1/DATOS_[[% normaliz]:[% normaliz]],1)*(DATOS_[Conc.Sal.01])))))))),
0)</f>
        <v>0</v>
      </c>
      <c r="K94" s="196">
        <f t="array" ref="K94">IFERROR(
(AVERAGE((IF(DATOS_[[Sexo]:[Sexo]]=$B94,IF(DATOS_[[AGRUP. CLAS. PROF.]:[AGRUP. CLAS. PROF.]]=$B93,IF(DATOS_[[Check Periodo Ref.]:[Check Periodo Ref.]]="Dentro",IF(DATOS_[[Check Equiparado]:[Check Equiparado]]="Sí",IF(DATOS!AF$5="Sí",(1/DATOS_[[% anualiz]:[% anualiz]]),1)*IF(DATOS!AF$4="Sí",1/DATOS_[[% normaliz]:[% normaliz]],1)*(DATOS_[Conc.Sal.02])))))))),
0)</f>
        <v>0</v>
      </c>
      <c r="L94" s="196">
        <f t="array" ref="L94">IFERROR(
(AVERAGE((IF(DATOS_[[Sexo]:[Sexo]]=$B94,IF(DATOS_[[AGRUP. CLAS. PROF.]:[AGRUP. CLAS. PROF.]]=$B93,IF(DATOS_[[Check Periodo Ref.]:[Check Periodo Ref.]]="Dentro",IF(DATOS_[[Check Equiparado]:[Check Equiparado]]="Sí",IF(DATOS!AG$5="Sí",(1/DATOS_[[% anualiz]:[% anualiz]]),1)*IF(DATOS!AG$4="Sí",1/DATOS_[[% normaliz]:[% normaliz]],1)*(DATOS_[Conc.Sal.03])))))))),
0)</f>
        <v>0</v>
      </c>
      <c r="M94" s="196">
        <f t="array" ref="M94">IFERROR(
(AVERAGE((IF(DATOS_[[Sexo]:[Sexo]]=$B94,IF(DATOS_[[AGRUP. CLAS. PROF.]:[AGRUP. CLAS. PROF.]]=$B93,IF(DATOS_[[Check Periodo Ref.]:[Check Periodo Ref.]]="Dentro",IF(DATOS_[[Check Equiparado]:[Check Equiparado]]="Sí",IF(DATOS!AH$5="Sí",(1/DATOS_[[% anualiz]:[% anualiz]]),1)*IF(DATOS!AH$4="Sí",1/DATOS_[[% normaliz]:[% normaliz]],1)*(DATOS_[Conc.Sal.04])))))))),
0)</f>
        <v>0</v>
      </c>
      <c r="N94" s="196">
        <f t="array" ref="N94">IFERROR(
(AVERAGE((IF(DATOS_[[Sexo]:[Sexo]]=$B94,IF(DATOS_[[AGRUP. CLAS. PROF.]:[AGRUP. CLAS. PROF.]]=$B93,IF(DATOS_[[Check Periodo Ref.]:[Check Periodo Ref.]]="Dentro",IF(DATOS_[[Check Equiparado]:[Check Equiparado]]="Sí",IF(DATOS!AI$5="Sí",(1/DATOS_[[% anualiz]:[% anualiz]]),1)*IF(DATOS!AI$4="Sí",1/DATOS_[[% normaliz]:[% normaliz]],1)*(DATOS_[Conc.Sal.05])))))))),
0)</f>
        <v>0</v>
      </c>
      <c r="O94" s="196">
        <f t="array" ref="O94">IFERROR(
(AVERAGE((IF(DATOS_[[Sexo]:[Sexo]]=$B94,IF(DATOS_[[AGRUP. CLAS. PROF.]:[AGRUP. CLAS. PROF.]]=$B93,IF(DATOS_[[Check Periodo Ref.]:[Check Periodo Ref.]]="Dentro",IF(DATOS_[[Check Equiparado]:[Check Equiparado]]="Sí",IF(DATOS!AJ$5="Sí",(1/DATOS_[[% anualiz]:[% anualiz]]),1)*IF(DATOS!AJ$4="Sí",1/DATOS_[[% normaliz]:[% normaliz]],1)*(DATOS_[Conc.Sal.06])))))))),
0)</f>
        <v>0</v>
      </c>
      <c r="P94" s="196">
        <f t="array" ref="P94">IFERROR(
(AVERAGE((IF(DATOS_[[Sexo]:[Sexo]]=$B94,IF(DATOS_[[AGRUP. CLAS. PROF.]:[AGRUP. CLAS. PROF.]]=$B93,IF(DATOS_[[Check Periodo Ref.]:[Check Periodo Ref.]]="Dentro",IF(DATOS_[[Check Equiparado]:[Check Equiparado]]="Sí",IF(DATOS!AK$5="Sí",(1/DATOS_[[% anualiz]:[% anualiz]]),1)*IF(DATOS!AK$4="Sí",1/DATOS_[[% normaliz]:[% normaliz]],1)*(DATOS_[Conc.Sal.07])))))))),
0)</f>
        <v>0</v>
      </c>
      <c r="Q94" s="196">
        <f t="array" ref="Q94">IFERROR(
(AVERAGE((IF(DATOS_[[Sexo]:[Sexo]]=$B94,IF(DATOS_[[AGRUP. CLAS. PROF.]:[AGRUP. CLAS. PROF.]]=$B93,IF(DATOS_[[Check Periodo Ref.]:[Check Periodo Ref.]]="Dentro",IF(DATOS_[[Check Equiparado]:[Check Equiparado]]="Sí",IF(DATOS!AL$5="Sí",(1/DATOS_[[% anualiz]:[% anualiz]]),1)*IF(DATOS!AL$4="Sí",1/DATOS_[[% normaliz]:[% normaliz]],1)*(DATOS_[Conc.Sal.08])))))))),
0)</f>
        <v>0</v>
      </c>
      <c r="R94" s="196">
        <f t="array" ref="R94">IFERROR(
(AVERAGE((IF(DATOS_[[Sexo]:[Sexo]]=$B94,IF(DATOS_[[AGRUP. CLAS. PROF.]:[AGRUP. CLAS. PROF.]]=$B93,IF(DATOS_[[Check Periodo Ref.]:[Check Periodo Ref.]]="Dentro",IF(DATOS_[[Check Equiparado]:[Check Equiparado]]="Sí",IF(DATOS!AM$5="Sí",(1/DATOS_[[% anualiz]:[% anualiz]]),1)*IF(DATOS!AM$4="Sí",1/DATOS_[[% normaliz]:[% normaliz]],1)*(DATOS_[Conc.Sal.09])))))))),
0)</f>
        <v>0</v>
      </c>
      <c r="S94" s="196">
        <f t="array" ref="S94">IFERROR(
(AVERAGE((IF(DATOS_[[Sexo]:[Sexo]]=$B94,IF(DATOS_[[AGRUP. CLAS. PROF.]:[AGRUP. CLAS. PROF.]]=$B93,IF(DATOS_[[Check Periodo Ref.]:[Check Periodo Ref.]]="Dentro",IF(DATOS_[[Check Equiparado]:[Check Equiparado]]="Sí",IF(DATOS!AN$5="Sí",(1/DATOS_[[% anualiz]:[% anualiz]]),1)*IF(DATOS!AN$4="Sí",1/DATOS_[[% normaliz]:[% normaliz]],1)*(DATOS_[Conc.Sal.10])))))))),
0)</f>
        <v>0</v>
      </c>
      <c r="T94" s="196">
        <f t="array" ref="T94">IFERROR(
(AVERAGE((IF(DATOS_[[Sexo]:[Sexo]]=$B94,IF(DATOS_[[AGRUP. CLAS. PROF.]:[AGRUP. CLAS. PROF.]]=$B93,IF(DATOS_[[Check Periodo Ref.]:[Check Periodo Ref.]]="Dentro",IF(DATOS_[[Check Equiparado]:[Check Equiparado]]="Sí",IF(DATOS!AO$5="Sí",(1/DATOS_[[% anualiz]:[% anualiz]]),1)*IF(DATOS!AO$4="Sí",1/DATOS_[[% normaliz]:[% normaliz]],1)*(DATOS_[Conc.Sal.11])))))))),
0)</f>
        <v>0</v>
      </c>
      <c r="U94" s="196">
        <f t="array" ref="U94">IFERROR(
(AVERAGE((IF(DATOS_[[Sexo]:[Sexo]]=$B94,IF(DATOS_[[AGRUP. CLAS. PROF.]:[AGRUP. CLAS. PROF.]]=$B93,IF(DATOS_[[Check Periodo Ref.]:[Check Periodo Ref.]]="Dentro",IF(DATOS_[[Check Equiparado]:[Check Equiparado]]="Sí",IF(DATOS!AP$5="Sí",(1/DATOS_[[% anualiz]:[% anualiz]]),1)*IF(DATOS!AP$4="Sí",1/DATOS_[[% normaliz]:[% normaliz]],1)*(DATOS_[Conc.Sal.12])))))))),
0)</f>
        <v>0</v>
      </c>
      <c r="V94" s="196">
        <f t="array" ref="V94">IFERROR(
(AVERAGE((IF(DATOS_[[Sexo]:[Sexo]]=$B94,IF(DATOS_[[AGRUP. CLAS. PROF.]:[AGRUP. CLAS. PROF.]]=$B93,IF(DATOS_[[Check Periodo Ref.]:[Check Periodo Ref.]]="Dentro",IF(DATOS_[[Check Equiparado]:[Check Equiparado]]="Sí",IF(DATOS!AQ$5="Sí",(1/DATOS_[[% anualiz]:[% anualiz]]),1)*IF(DATOS!AQ$4="Sí",1/DATOS_[[% normaliz]:[% normaliz]],1)*(DATOS_[Conc.Sal.13])))))))),
0)</f>
        <v>0</v>
      </c>
      <c r="W94" s="196">
        <f t="array" ref="W94">IFERROR(
(AVERAGE((IF(DATOS_[[Sexo]:[Sexo]]=$B94,IF(DATOS_[[AGRUP. CLAS. PROF.]:[AGRUP. CLAS. PROF.]]=$B93,IF(DATOS_[[Check Periodo Ref.]:[Check Periodo Ref.]]="Dentro",IF(DATOS_[[Check Equiparado]:[Check Equiparado]]="Sí",IF(DATOS!AR$5="Sí",(1/DATOS_[[% anualiz]:[% anualiz]]),1)*IF(DATOS!AR$4="Sí",1/DATOS_[[% normaliz]:[% normaliz]],1)*(DATOS_[Conc.Sal.14])))))))),
0)</f>
        <v>0</v>
      </c>
      <c r="X94" s="196">
        <f t="array" ref="X94">IFERROR(
(AVERAGE((IF(DATOS_[[Sexo]:[Sexo]]=$B94,IF(DATOS_[[AGRUP. CLAS. PROF.]:[AGRUP. CLAS. PROF.]]=$B93,IF(DATOS_[[Check Periodo Ref.]:[Check Periodo Ref.]]="Dentro",IF(DATOS_[[Check Equiparado]:[Check Equiparado]]="Sí",IF(DATOS!AS$5="Sí",(1/DATOS_[[% anualiz]:[% anualiz]]),1)*IF(DATOS!AS$4="Sí",1/DATOS_[[% normaliz]:[% normaliz]],1)*(DATOS_[Conc.Sal.15])))))))),
0)</f>
        <v>0</v>
      </c>
      <c r="Y94" s="196">
        <f t="array" ref="Y94">IFERROR(
(AVERAGE((IF(DATOS_[[Sexo]:[Sexo]]=$B94,IF(DATOS_[[AGRUP. CLAS. PROF.]:[AGRUP. CLAS. PROF.]]=$B93,IF(DATOS_[[Check Periodo Ref.]:[Check Periodo Ref.]]="Dentro",IF(DATOS_[[Check Equiparado]:[Check Equiparado]]="Sí",IF(DATOS!AT$5="Sí",(1/DATOS_[[% anualiz]:[% anualiz]]),1)*IF(DATOS!AT$4="Sí",1/DATOS_[[% normaliz]:[% normaliz]],1)*(DATOS_[Conc.Sal.16])))))))),
0)</f>
        <v>0</v>
      </c>
      <c r="Z94" s="196">
        <f t="array" ref="Z94">IFERROR(
(AVERAGE((IF(DATOS_[[Sexo]:[Sexo]]=$B94,IF(DATOS_[[AGRUP. CLAS. PROF.]:[AGRUP. CLAS. PROF.]]=$B93,IF(DATOS_[[Check Periodo Ref.]:[Check Periodo Ref.]]="Dentro",IF(DATOS_[[Check Equiparado]:[Check Equiparado]]="Sí",IF(DATOS!AU$5="Sí",(1/DATOS_[[% anualiz]:[% anualiz]]),1)*IF(DATOS!AU$4="Sí",1/DATOS_[[% normaliz]:[% normaliz]],1)*(DATOS_[Conc.Sal.17])))))))),
0)</f>
        <v>0</v>
      </c>
      <c r="AA94" s="196">
        <f t="array" ref="AA94">IFERROR(
(AVERAGE((IF(DATOS_[[Sexo]:[Sexo]]=$B94,IF(DATOS_[[AGRUP. CLAS. PROF.]:[AGRUP. CLAS. PROF.]]=$B93,IF(DATOS_[[Check Periodo Ref.]:[Check Periodo Ref.]]="Dentro",IF(DATOS_[[Check Equiparado]:[Check Equiparado]]="Sí",IF(DATOS!AV$5="Sí",(1/DATOS_[[% anualiz]:[% anualiz]]),1)*IF(DATOS!AV$4="Sí",1/DATOS_[[% normaliz]:[% normaliz]],1)*(DATOS_[Conc.Sal.18])))))))),
0)</f>
        <v>0</v>
      </c>
      <c r="AB94" s="196">
        <f t="array" ref="AB94">IFERROR(
(AVERAGE((IF(DATOS_[[Sexo]:[Sexo]]=$B94,IF(DATOS_[[AGRUP. CLAS. PROF.]:[AGRUP. CLAS. PROF.]]=$B93,IF(DATOS_[[Check Periodo Ref.]:[Check Periodo Ref.]]="Dentro",IF(DATOS_[[Check Equiparado]:[Check Equiparado]]="Sí",IF(DATOS!AW$5="Sí",(1/DATOS_[[% anualiz]:[% anualiz]]),1)*IF(DATOS!AW$4="Sí",1/DATOS_[[% normaliz]:[% normaliz]],1)*(DATOS_[Conc.Sal.19])))))))),
0)</f>
        <v>0</v>
      </c>
      <c r="AC94" s="196">
        <f t="array" ref="AC94">IFERROR(
(AVERAGE((IF(DATOS_[[Sexo]:[Sexo]]=$B94,IF(DATOS_[[AGRUP. CLAS. PROF.]:[AGRUP. CLAS. PROF.]]=$B93,IF(DATOS_[[Check Periodo Ref.]:[Check Periodo Ref.]]="Dentro",IF(DATOS_[[Check Equiparado]:[Check Equiparado]]="Sí",IF(DATOS!AX$5="Sí",(1/DATOS_[[% anualiz]:[% anualiz]]),1)*IF(DATOS!AX$4="Sí",1/DATOS_[[% normaliz]:[% normaliz]],1)*(DATOS_[Conc.Sal.20])))))))),
0)</f>
        <v>0</v>
      </c>
      <c r="AD94" s="196">
        <f t="array" ref="AD94">IFERROR(
(AVERAGE((IF(DATOS_[[Sexo]:[Sexo]]=$B94,IF(DATOS_[[AGRUP. CLAS. PROF.]:[AGRUP. CLAS. PROF.]]=$B93,IF(DATOS_[[Check Periodo Ref.]:[Check Periodo Ref.]]="Dentro",IF(DATOS_[[Check Equiparado]:[Check Equiparado]]="Sí",IF(DATOS!AY$5="Sí",(1/DATOS_[[% anualiz]:[% anualiz]]),1)*IF(DATOS!AY$4="Sí",1/DATOS_[[% normaliz]:[% normaliz]],1)*(DATOS_[Conc.Sal.21])))))))),
0)</f>
        <v>0</v>
      </c>
      <c r="AE94" s="196">
        <f t="array" ref="AE94">IFERROR(
(AVERAGE((IF(DATOS_[[Sexo]:[Sexo]]=$B94,IF(DATOS_[[AGRUP. CLAS. PROF.]:[AGRUP. CLAS. PROF.]]=$B93,IF(DATOS_[[Check Periodo Ref.]:[Check Periodo Ref.]]="Dentro",IF(DATOS_[[Check Equiparado]:[Check Equiparado]]="Sí",IF(DATOS!AZ$5="Sí",(1/DATOS_[[% anualiz]:[% anualiz]]),1)*IF(DATOS!AZ$4="Sí",1/DATOS_[[% normaliz]:[% normaliz]],1)*(DATOS_[Conc.Sal.22])))))))),
0)</f>
        <v>0</v>
      </c>
      <c r="AF94" s="196">
        <f t="array" ref="AF94">IFERROR(
(AVERAGE((IF(DATOS_[[Sexo]:[Sexo]]=$B94,IF(DATOS_[[AGRUP. CLAS. PROF.]:[AGRUP. CLAS. PROF.]]=$B93,IF(DATOS_[[Check Periodo Ref.]:[Check Periodo Ref.]]="Dentro",IF(DATOS_[[Check Equiparado]:[Check Equiparado]]="Sí",IF(DATOS!BA$5="Sí",(1/DATOS_[[% anualiz]:[% anualiz]]),1)*IF(DATOS!BA$4="Sí",1/DATOS_[[% normaliz]:[% normaliz]],1)*(DATOS_[Conc.Sal.23])))))))),
0)</f>
        <v>0</v>
      </c>
      <c r="AG94" s="196">
        <f t="array" ref="AG94">IFERROR(
(AVERAGE((IF(DATOS_[[Sexo]:[Sexo]]=$B94,IF(DATOS_[[AGRUP. CLAS. PROF.]:[AGRUP. CLAS. PROF.]]=$B93,IF(DATOS_[[Check Periodo Ref.]:[Check Periodo Ref.]]="Dentro",IF(DATOS_[[Check Equiparado]:[Check Equiparado]]="Sí",IF(DATOS!BB$5="Sí",(1/DATOS_[[% anualiz]:[% anualiz]]),1)*IF(DATOS!BB$4="Sí",1/DATOS_[[% normaliz]:[% normaliz]],1)*(DATOS_[Conc.Sal.24])))))))),
0)</f>
        <v>0</v>
      </c>
      <c r="AH94" s="196">
        <f t="array" ref="AH94">IFERROR(
(AVERAGE((IF(DATOS_[[Sexo]:[Sexo]]=$B94,IF(DATOS_[[AGRUP. CLAS. PROF.]:[AGRUP. CLAS. PROF.]]=$B93,IF(DATOS_[[Check Periodo Ref.]:[Check Periodo Ref.]]="Dentro",IF(DATOS_[[Check Equiparado]:[Check Equiparado]]="Sí",IF(DATOS!BC$5="Sí",(1/DATOS_[[% anualiz]:[% anualiz]]),1)*IF(DATOS!BC$4="Sí",1/DATOS_[[% normaliz]:[% normaliz]],1)*(DATOS_[Conc.Sal.25])))))))),
0)</f>
        <v>0</v>
      </c>
      <c r="AI94" s="196">
        <f t="array" ref="AI94">IFERROR(
(AVERAGE((IF(DATOS_[[Sexo]:[Sexo]]=$B94,IF(DATOS_[[AGRUP. CLAS. PROF.]:[AGRUP. CLAS. PROF.]]=$B93,IF(DATOS_[[Check Periodo Ref.]:[Check Periodo Ref.]]="Dentro",IF(DATOS_[[Check Equiparado]:[Check Equiparado]]="Sí",IF(DATOS!BD$5="Sí",(1/DATOS_[[% anualiz]:[% anualiz]]),1)*IF(DATOS!BD$4="Sí",1/DATOS_[[% normaliz]:[% normaliz]],1)*(DATOS_[Conc.Sal.26])))))))),
0)</f>
        <v>0</v>
      </c>
      <c r="AJ94" s="196">
        <f t="array" ref="AJ94">IFERROR(
(AVERAGE((IF(DATOS_[[Sexo]:[Sexo]]=$B94,IF(DATOS_[[AGRUP. CLAS. PROF.]:[AGRUP. CLAS. PROF.]]=$B93,IF(DATOS_[[Check Periodo Ref.]:[Check Periodo Ref.]]="Dentro",IF(DATOS_[[Check Equiparado]:[Check Equiparado]]="Sí",IF(DATOS!BE$5="Sí",(1/DATOS_[[% anualiz]:[% anualiz]]),1)*IF(DATOS!BE$4="Sí",1/DATOS_[[% normaliz]:[% normaliz]],1)*(DATOS_[Conc.Sal.27])))))))),
0)</f>
        <v>0</v>
      </c>
      <c r="AK94" s="196">
        <f t="array" ref="AK94">IFERROR(
(AVERAGE((IF(DATOS_[[Sexo]:[Sexo]]=$B94,IF(DATOS_[[AGRUP. CLAS. PROF.]:[AGRUP. CLAS. PROF.]]=$B93,IF(DATOS_[[Check Periodo Ref.]:[Check Periodo Ref.]]="Dentro",IF(DATOS_[[Check Equiparado]:[Check Equiparado]]="Sí",IF(DATOS!BF$5="Sí",(1/DATOS_[[% anualiz]:[% anualiz]]),1)*IF(DATOS!BF$4="Sí",1/DATOS_[[% normaliz]:[% normaliz]],1)*(DATOS_[Conc.Sal.28])))))))),
0)</f>
        <v>0</v>
      </c>
      <c r="AL94" s="196">
        <f t="array" ref="AL94">IFERROR(
(AVERAGE((IF(DATOS_[[Sexo]:[Sexo]]=$B94,IF(DATOS_[[AGRUP. CLAS. PROF.]:[AGRUP. CLAS. PROF.]]=$B93,IF(DATOS_[[Check Periodo Ref.]:[Check Periodo Ref.]]="Dentro",IF(DATOS_[[Check Equiparado]:[Check Equiparado]]="Sí",IF(DATOS!BG$5="Sí",(1/DATOS_[[% anualiz]:[% anualiz]]),1)*IF(DATOS!BG$4="Sí",1/DATOS_[[% normaliz]:[% normaliz]],1)*(DATOS_[Conc.Sal.29])))))))),
0)</f>
        <v>0</v>
      </c>
      <c r="AM94" s="196">
        <f t="array" ref="AM94">IFERROR(
(AVERAGE((IF(DATOS_[[Sexo]:[Sexo]]=$B94,IF(DATOS_[[AGRUP. CLAS. PROF.]:[AGRUP. CLAS. PROF.]]=$B93,IF(DATOS_[[Check Periodo Ref.]:[Check Periodo Ref.]]="Dentro",IF(DATOS_[[Check Equiparado]:[Check Equiparado]]="Sí",IF(DATOS!BH$5="Sí",(1/DATOS_[[% anualiz]:[% anualiz]]),1)*IF(DATOS!BH$4="Sí",1/DATOS_[[% normaliz]:[% normaliz]],1)*(DATOS_[Conc.Sal.30])))))))),
0)</f>
        <v>0</v>
      </c>
      <c r="AN94" s="195">
        <f t="array" ref="AN94">IFERROR(
AVERAGE(IF(DATOS_[Sexo]=$B94,IF(DATOS_[[AGRUP. CLAS. PROF.]:[AGRUP. CLAS. PROF.]]=$B93,IF(DATOS_[Check Equiparado]="Sí",IF(DATOS_[Check Periodo Ref.]="Dentro",DATOS_[Tot COMPL.SAL Eq],FALSE))))),
0)</f>
        <v>0</v>
      </c>
      <c r="AO94" s="172">
        <f t="array" ref="AO94">IFERROR(
AVERAGE(IF(DATOS_[Sexo]=$B94,IF(DATOS_[[AGRUP. CLAS. PROF.]:[AGRUP. CLAS. PROF.]]=$B93,IF(DATOS_[Check Equiparado]="Sí",IF(DATOS_[Check Periodo Ref.]="Dentro",DATOS_[TOTAL SALARIO Eq],FALSE))))),
0)</f>
        <v>0</v>
      </c>
      <c r="AP94" s="173">
        <f t="array" ref="AP94">IFERROR(
(AVERAGE((IF(DATOS_[[Sexo]:[Sexo]]=$B94,IF(DATOS_[[AGRUP. CLAS. PROF.]:[AGRUP. CLAS. PROF.]]=$B93,IF(DATOS_[[Check Periodo Ref.]:[Check Periodo Ref.]]="Dentro",IF(DATOS_[[Check Equiparado]:[Check Equiparado]]="Sí",IF(DATOS!BW$5="Sí",(1/DATOS_[[% anualiz]:[% anualiz]]),1)*IF(DATOS!BW$4="Sí",1/DATOS_[[% normaliz]:[% normaliz]],1)*(DATOS_[C.Extra.01])))))))),
0)</f>
        <v>0</v>
      </c>
      <c r="AQ94" s="173">
        <f t="array" ref="AQ94">IFERROR(
(AVERAGE((IF(DATOS_[[Sexo]:[Sexo]]=$B94,IF(DATOS_[[AGRUP. CLAS. PROF.]:[AGRUP. CLAS. PROF.]]=$B93,IF(DATOS_[[Check Periodo Ref.]:[Check Periodo Ref.]]="Dentro",IF(DATOS_[[Check Equiparado]:[Check Equiparado]]="Sí",IF(DATOS!CB$5="Sí",(1/DATOS_[[% anualiz]:[% anualiz]]),1)*IF(DATOS!CB$4="Sí",1/DATOS_[[% normaliz]:[% normaliz]],1)*(DATOS_[C.Extra.06])))))))),
0)</f>
        <v>0</v>
      </c>
      <c r="AR94" s="173">
        <f t="array" ref="AR94">IFERROR(
(AVERAGE((IF(DATOS_[[Sexo]:[Sexo]]=$B94,IF(DATOS_[[AGRUP. CLAS. PROF.]:[AGRUP. CLAS. PROF.]]=$B93,IF(DATOS_[[Check Periodo Ref.]:[Check Periodo Ref.]]="Dentro",IF(DATOS_[[Check Equiparado]:[Check Equiparado]]="Sí",IF(DATOS!CC$5="Sí",(1/DATOS_[[% anualiz]:[% anualiz]]),1)*IF(DATOS!CC$4="Sí",1/DATOS_[[% normaliz]:[% normaliz]],1)*(DATOS_[C.Extra.07])))))))),
0)</f>
        <v>0</v>
      </c>
      <c r="AS94" s="173">
        <f t="array" ref="AS94">IFERROR(
(AVERAGE((IF(DATOS_[[Sexo]:[Sexo]]=$B94,IF(DATOS_[[AGRUP. CLAS. PROF.]:[AGRUP. CLAS. PROF.]]=$B93,IF(DATOS_[[Check Periodo Ref.]:[Check Periodo Ref.]]="Dentro",IF(DATOS_[[Check Equiparado]:[Check Equiparado]]="Sí",IF(DATOS!CD$5="Sí",(1/DATOS_[[% anualiz]:[% anualiz]]),1)*IF(DATOS!CD$4="Sí",1/DATOS_[[% normaliz]:[% normaliz]],1)*(DATOS_[C.Extra.08])))))))),
0)</f>
        <v>0</v>
      </c>
      <c r="AT94" s="173">
        <f t="array" ref="AT94">IFERROR(
(AVERAGE((IF(DATOS_[[Sexo]:[Sexo]]=$B94,IF(DATOS_[[AGRUP. CLAS. PROF.]:[AGRUP. CLAS. PROF.]]=$B93,IF(DATOS_[[Check Periodo Ref.]:[Check Periodo Ref.]]="Dentro",IF(DATOS_[[Check Equiparado]:[Check Equiparado]]="Sí",IF(DATOS!CG$5="Sí",(1/DATOS_[[% anualiz]:[% anualiz]]),1)*IF(DATOS!CG$4="Sí",1/DATOS_[[% normaliz]:[% normaliz]],1)*(DATOS_[C.Extra.11])))))))),
0)</f>
        <v>0</v>
      </c>
      <c r="AU94" s="197">
        <f t="array" ref="AU94">IFERROR(
AVERAGE(IF(DATOS_[Sexo]=$B94,IF(DATOS_[[AGRUP. CLAS. PROF.]:[AGRUP. CLAS. PROF.]]=$B93,IF(DATOS_[Check Equiparado]="Sí",IF(DATOS_[Check Periodo Ref.]="Dentro",DATOS_[Tot Extrasalarial Eq],FALSE))))),
0)</f>
        <v>0</v>
      </c>
      <c r="AV94" s="175">
        <f t="array" ref="AV94">IFERROR(
AVERAGE(IF(DATOS_[Sexo]=$B94,IF(DATOS_[[AGRUP. CLAS. PROF.]:[AGRUP. CLAS. PROF.]]=$B93,IF(DATOS_[Check Equiparado]="Sí",IF(DATOS_[Check Periodo Ref.]="Dentro",DATOS_[TOTAL Retrib Eq],FALSE))))),
0)</f>
        <v>0</v>
      </c>
    </row>
    <row r="95" spans="1:48" hidden="1" x14ac:dyDescent="0.25">
      <c r="A95" s="133" t="str">
        <f t="shared" ref="A95" si="110">+A94</f>
        <v>[ocultar]</v>
      </c>
      <c r="B95" s="202" t="s">
        <v>521</v>
      </c>
      <c r="C95" s="203">
        <f t="array" ref="C95">SUM(IF($B95=DATOS_[Sexo],
IF($B93=DATOS_[AGRUP. CLAS. PROF.],
IF("Dentro"=DATOS_[Check Periodo Ref.],
1/(COUNTIFS(DATOS_[Sexo],$B95,DATOS_[AGRUP. CLAS. PROF.],$B93,DATOS_[Check Periodo Ref.],"Dentro",DATOS_[id/cod],DATOS_[id/cod]))))))</f>
        <v>0</v>
      </c>
      <c r="D95" s="204">
        <f>COUNTIFS(DATOS_[AGRUP. CLAS. PROF.],$B93,DATOS_[Sexo],$B95,DATOS_[Check Periodo Ref.],"Dentro")</f>
        <v>0</v>
      </c>
      <c r="E95" s="204">
        <f>COUNTIFS(DATOS_[AGRUP. CLAS. PROF.],$B93,DATOS_[Sexo],$B95,DATOS_[Check Periodo Ref.],"Dentro",DATOS_[Check Nº SC Norm],"Sí")</f>
        <v>0</v>
      </c>
      <c r="F95" s="204">
        <f>COUNTIFS(DATOS_[AGRUP. CLAS. PROF.],$B93,DATOS_[Sexo],$B95,DATOS_[Check Periodo Ref.],"Dentro",DATOS_[Check Nº SC Anualiz],"Sí")</f>
        <v>0</v>
      </c>
      <c r="G95" s="204">
        <f>COUNTIFS(DATOS_[AGRUP. CLAS. PROF.],$B93,DATOS_[Sexo],$B95,DATOS_[Check Periodo Ref.],"Dentro",DATOS_[Check Nº SC Norm y Anualiz],"Sí")</f>
        <v>0</v>
      </c>
      <c r="H95" s="204">
        <f>COUNTIFS(DATOS_[AGRUP. CLAS. PROF.],$B93,DATOS_[Sexo],$B95,DATOS_[Check Periodo Ref.],"Dentro",DATOS_[Check Equiparación],"Sí")</f>
        <v>0</v>
      </c>
      <c r="I95" s="195" cm="1">
        <f t="array" ref="I95">IFERROR(
AVERAGE(IF(DATOS_[Sexo]=$B95,IF(DATOS_[[AGRUP. CLAS. PROF.]:[AGRUP. CLAS. PROF.]]=$B93,IF(DATOS_[Check Equiparado]="Sí",IF(DATOS_[Check Periodo Ref.]="Dentro",DATOS_[SALARIO BASE Eq],FALSE))))),
0)</f>
        <v>0</v>
      </c>
      <c r="J95" s="196">
        <f t="array" ref="J95">IFERROR(
(AVERAGE((IF(DATOS_[[Sexo]:[Sexo]]=$B95,IF(DATOS_[[AGRUP. CLAS. PROF.]:[AGRUP. CLAS. PROF.]]=$B93,IF(DATOS_[[Check Periodo Ref.]:[Check Periodo Ref.]]="Dentro",IF(DATOS_[[Check Equiparado]:[Check Equiparado]]="Sí",IF(DATOS!AE$5="Sí",(1/DATOS_[[% anualiz]:[% anualiz]]),1)*IF(DATOS!AE$4="Sí",1/DATOS_[[% normaliz]:[% normaliz]],1)*(DATOS_[Conc.Sal.01])))))))),
0)</f>
        <v>0</v>
      </c>
      <c r="K95" s="196">
        <f t="array" ref="K95">IFERROR(
(AVERAGE((IF(DATOS_[[Sexo]:[Sexo]]=$B95,IF(DATOS_[[AGRUP. CLAS. PROF.]:[AGRUP. CLAS. PROF.]]=$B93,IF(DATOS_[[Check Periodo Ref.]:[Check Periodo Ref.]]="Dentro",IF(DATOS_[[Check Equiparado]:[Check Equiparado]]="Sí",IF(DATOS!AF$5="Sí",(1/DATOS_[[% anualiz]:[% anualiz]]),1)*IF(DATOS!AF$4="Sí",1/DATOS_[[% normaliz]:[% normaliz]],1)*(DATOS_[Conc.Sal.02])))))))),
0)</f>
        <v>0</v>
      </c>
      <c r="L95" s="196">
        <f t="array" ref="L95">IFERROR(
(AVERAGE((IF(DATOS_[[Sexo]:[Sexo]]=$B95,IF(DATOS_[[AGRUP. CLAS. PROF.]:[AGRUP. CLAS. PROF.]]=$B93,IF(DATOS_[[Check Periodo Ref.]:[Check Periodo Ref.]]="Dentro",IF(DATOS_[[Check Equiparado]:[Check Equiparado]]="Sí",IF(DATOS!AG$5="Sí",(1/DATOS_[[% anualiz]:[% anualiz]]),1)*IF(DATOS!AG$4="Sí",1/DATOS_[[% normaliz]:[% normaliz]],1)*(DATOS_[Conc.Sal.03])))))))),
0)</f>
        <v>0</v>
      </c>
      <c r="M95" s="196">
        <f t="array" ref="M95">IFERROR(
(AVERAGE((IF(DATOS_[[Sexo]:[Sexo]]=$B95,IF(DATOS_[[AGRUP. CLAS. PROF.]:[AGRUP. CLAS. PROF.]]=$B93,IF(DATOS_[[Check Periodo Ref.]:[Check Periodo Ref.]]="Dentro",IF(DATOS_[[Check Equiparado]:[Check Equiparado]]="Sí",IF(DATOS!AH$5="Sí",(1/DATOS_[[% anualiz]:[% anualiz]]),1)*IF(DATOS!AH$4="Sí",1/DATOS_[[% normaliz]:[% normaliz]],1)*(DATOS_[Conc.Sal.04])))))))),
0)</f>
        <v>0</v>
      </c>
      <c r="N95" s="196">
        <f t="array" ref="N95">IFERROR(
(AVERAGE((IF(DATOS_[[Sexo]:[Sexo]]=$B95,IF(DATOS_[[AGRUP. CLAS. PROF.]:[AGRUP. CLAS. PROF.]]=$B93,IF(DATOS_[[Check Periodo Ref.]:[Check Periodo Ref.]]="Dentro",IF(DATOS_[[Check Equiparado]:[Check Equiparado]]="Sí",IF(DATOS!AI$5="Sí",(1/DATOS_[[% anualiz]:[% anualiz]]),1)*IF(DATOS!AI$4="Sí",1/DATOS_[[% normaliz]:[% normaliz]],1)*(DATOS_[Conc.Sal.05])))))))),
0)</f>
        <v>0</v>
      </c>
      <c r="O95" s="196">
        <f t="array" ref="O95">IFERROR(
(AVERAGE((IF(DATOS_[[Sexo]:[Sexo]]=$B95,IF(DATOS_[[AGRUP. CLAS. PROF.]:[AGRUP. CLAS. PROF.]]=$B93,IF(DATOS_[[Check Periodo Ref.]:[Check Periodo Ref.]]="Dentro",IF(DATOS_[[Check Equiparado]:[Check Equiparado]]="Sí",IF(DATOS!AJ$5="Sí",(1/DATOS_[[% anualiz]:[% anualiz]]),1)*IF(DATOS!AJ$4="Sí",1/DATOS_[[% normaliz]:[% normaliz]],1)*(DATOS_[Conc.Sal.06])))))))),
0)</f>
        <v>0</v>
      </c>
      <c r="P95" s="196">
        <f t="array" ref="P95">IFERROR(
(AVERAGE((IF(DATOS_[[Sexo]:[Sexo]]=$B95,IF(DATOS_[[AGRUP. CLAS. PROF.]:[AGRUP. CLAS. PROF.]]=$B93,IF(DATOS_[[Check Periodo Ref.]:[Check Periodo Ref.]]="Dentro",IF(DATOS_[[Check Equiparado]:[Check Equiparado]]="Sí",IF(DATOS!AK$5="Sí",(1/DATOS_[[% anualiz]:[% anualiz]]),1)*IF(DATOS!AK$4="Sí",1/DATOS_[[% normaliz]:[% normaliz]],1)*(DATOS_[Conc.Sal.07])))))))),
0)</f>
        <v>0</v>
      </c>
      <c r="Q95" s="196">
        <f t="array" ref="Q95">IFERROR(
(AVERAGE((IF(DATOS_[[Sexo]:[Sexo]]=$B95,IF(DATOS_[[AGRUP. CLAS. PROF.]:[AGRUP. CLAS. PROF.]]=$B93,IF(DATOS_[[Check Periodo Ref.]:[Check Periodo Ref.]]="Dentro",IF(DATOS_[[Check Equiparado]:[Check Equiparado]]="Sí",IF(DATOS!AL$5="Sí",(1/DATOS_[[% anualiz]:[% anualiz]]),1)*IF(DATOS!AL$4="Sí",1/DATOS_[[% normaliz]:[% normaliz]],1)*(DATOS_[Conc.Sal.08])))))))),
0)</f>
        <v>0</v>
      </c>
      <c r="R95" s="196">
        <f t="array" ref="R95">IFERROR(
(AVERAGE((IF(DATOS_[[Sexo]:[Sexo]]=$B95,IF(DATOS_[[AGRUP. CLAS. PROF.]:[AGRUP. CLAS. PROF.]]=$B93,IF(DATOS_[[Check Periodo Ref.]:[Check Periodo Ref.]]="Dentro",IF(DATOS_[[Check Equiparado]:[Check Equiparado]]="Sí",IF(DATOS!AM$5="Sí",(1/DATOS_[[% anualiz]:[% anualiz]]),1)*IF(DATOS!AM$4="Sí",1/DATOS_[[% normaliz]:[% normaliz]],1)*(DATOS_[Conc.Sal.09])))))))),
0)</f>
        <v>0</v>
      </c>
      <c r="S95" s="196">
        <f t="array" ref="S95">IFERROR(
(AVERAGE((IF(DATOS_[[Sexo]:[Sexo]]=$B95,IF(DATOS_[[AGRUP. CLAS. PROF.]:[AGRUP. CLAS. PROF.]]=$B93,IF(DATOS_[[Check Periodo Ref.]:[Check Periodo Ref.]]="Dentro",IF(DATOS_[[Check Equiparado]:[Check Equiparado]]="Sí",IF(DATOS!AN$5="Sí",(1/DATOS_[[% anualiz]:[% anualiz]]),1)*IF(DATOS!AN$4="Sí",1/DATOS_[[% normaliz]:[% normaliz]],1)*(DATOS_[Conc.Sal.10])))))))),
0)</f>
        <v>0</v>
      </c>
      <c r="T95" s="196">
        <f t="array" ref="T95">IFERROR(
(AVERAGE((IF(DATOS_[[Sexo]:[Sexo]]=$B95,IF(DATOS_[[AGRUP. CLAS. PROF.]:[AGRUP. CLAS. PROF.]]=$B93,IF(DATOS_[[Check Periodo Ref.]:[Check Periodo Ref.]]="Dentro",IF(DATOS_[[Check Equiparado]:[Check Equiparado]]="Sí",IF(DATOS!AO$5="Sí",(1/DATOS_[[% anualiz]:[% anualiz]]),1)*IF(DATOS!AO$4="Sí",1/DATOS_[[% normaliz]:[% normaliz]],1)*(DATOS_[Conc.Sal.11])))))))),
0)</f>
        <v>0</v>
      </c>
      <c r="U95" s="196">
        <f t="array" ref="U95">IFERROR(
(AVERAGE((IF(DATOS_[[Sexo]:[Sexo]]=$B95,IF(DATOS_[[AGRUP. CLAS. PROF.]:[AGRUP. CLAS. PROF.]]=$B93,IF(DATOS_[[Check Periodo Ref.]:[Check Periodo Ref.]]="Dentro",IF(DATOS_[[Check Equiparado]:[Check Equiparado]]="Sí",IF(DATOS!AP$5="Sí",(1/DATOS_[[% anualiz]:[% anualiz]]),1)*IF(DATOS!AP$4="Sí",1/DATOS_[[% normaliz]:[% normaliz]],1)*(DATOS_[Conc.Sal.12])))))))),
0)</f>
        <v>0</v>
      </c>
      <c r="V95" s="196">
        <f t="array" ref="V95">IFERROR(
(AVERAGE((IF(DATOS_[[Sexo]:[Sexo]]=$B95,IF(DATOS_[[AGRUP. CLAS. PROF.]:[AGRUP. CLAS. PROF.]]=$B93,IF(DATOS_[[Check Periodo Ref.]:[Check Periodo Ref.]]="Dentro",IF(DATOS_[[Check Equiparado]:[Check Equiparado]]="Sí",IF(DATOS!AQ$5="Sí",(1/DATOS_[[% anualiz]:[% anualiz]]),1)*IF(DATOS!AQ$4="Sí",1/DATOS_[[% normaliz]:[% normaliz]],1)*(DATOS_[Conc.Sal.13])))))))),
0)</f>
        <v>0</v>
      </c>
      <c r="W95" s="196">
        <f t="array" ref="W95">IFERROR(
(AVERAGE((IF(DATOS_[[Sexo]:[Sexo]]=$B95,IF(DATOS_[[AGRUP. CLAS. PROF.]:[AGRUP. CLAS. PROF.]]=$B93,IF(DATOS_[[Check Periodo Ref.]:[Check Periodo Ref.]]="Dentro",IF(DATOS_[[Check Equiparado]:[Check Equiparado]]="Sí",IF(DATOS!AR$5="Sí",(1/DATOS_[[% anualiz]:[% anualiz]]),1)*IF(DATOS!AR$4="Sí",1/DATOS_[[% normaliz]:[% normaliz]],1)*(DATOS_[Conc.Sal.14])))))))),
0)</f>
        <v>0</v>
      </c>
      <c r="X95" s="196">
        <f t="array" ref="X95">IFERROR(
(AVERAGE((IF(DATOS_[[Sexo]:[Sexo]]=$B95,IF(DATOS_[[AGRUP. CLAS. PROF.]:[AGRUP. CLAS. PROF.]]=$B93,IF(DATOS_[[Check Periodo Ref.]:[Check Periodo Ref.]]="Dentro",IF(DATOS_[[Check Equiparado]:[Check Equiparado]]="Sí",IF(DATOS!AS$5="Sí",(1/DATOS_[[% anualiz]:[% anualiz]]),1)*IF(DATOS!AS$4="Sí",1/DATOS_[[% normaliz]:[% normaliz]],1)*(DATOS_[Conc.Sal.15])))))))),
0)</f>
        <v>0</v>
      </c>
      <c r="Y95" s="196">
        <f t="array" ref="Y95">IFERROR(
(AVERAGE((IF(DATOS_[[Sexo]:[Sexo]]=$B95,IF(DATOS_[[AGRUP. CLAS. PROF.]:[AGRUP. CLAS. PROF.]]=$B93,IF(DATOS_[[Check Periodo Ref.]:[Check Periodo Ref.]]="Dentro",IF(DATOS_[[Check Equiparado]:[Check Equiparado]]="Sí",IF(DATOS!AT$5="Sí",(1/DATOS_[[% anualiz]:[% anualiz]]),1)*IF(DATOS!AT$4="Sí",1/DATOS_[[% normaliz]:[% normaliz]],1)*(DATOS_[Conc.Sal.16])))))))),
0)</f>
        <v>0</v>
      </c>
      <c r="Z95" s="196">
        <f t="array" ref="Z95">IFERROR(
(AVERAGE((IF(DATOS_[[Sexo]:[Sexo]]=$B95,IF(DATOS_[[AGRUP. CLAS. PROF.]:[AGRUP. CLAS. PROF.]]=$B93,IF(DATOS_[[Check Periodo Ref.]:[Check Periodo Ref.]]="Dentro",IF(DATOS_[[Check Equiparado]:[Check Equiparado]]="Sí",IF(DATOS!AU$5="Sí",(1/DATOS_[[% anualiz]:[% anualiz]]),1)*IF(DATOS!AU$4="Sí",1/DATOS_[[% normaliz]:[% normaliz]],1)*(DATOS_[Conc.Sal.17])))))))),
0)</f>
        <v>0</v>
      </c>
      <c r="AA95" s="196">
        <f t="array" ref="AA95">IFERROR(
(AVERAGE((IF(DATOS_[[Sexo]:[Sexo]]=$B95,IF(DATOS_[[AGRUP. CLAS. PROF.]:[AGRUP. CLAS. PROF.]]=$B93,IF(DATOS_[[Check Periodo Ref.]:[Check Periodo Ref.]]="Dentro",IF(DATOS_[[Check Equiparado]:[Check Equiparado]]="Sí",IF(DATOS!AV$5="Sí",(1/DATOS_[[% anualiz]:[% anualiz]]),1)*IF(DATOS!AV$4="Sí",1/DATOS_[[% normaliz]:[% normaliz]],1)*(DATOS_[Conc.Sal.18])))))))),
0)</f>
        <v>0</v>
      </c>
      <c r="AB95" s="196">
        <f t="array" ref="AB95">IFERROR(
(AVERAGE((IF(DATOS_[[Sexo]:[Sexo]]=$B95,IF(DATOS_[[AGRUP. CLAS. PROF.]:[AGRUP. CLAS. PROF.]]=$B93,IF(DATOS_[[Check Periodo Ref.]:[Check Periodo Ref.]]="Dentro",IF(DATOS_[[Check Equiparado]:[Check Equiparado]]="Sí",IF(DATOS!AW$5="Sí",(1/DATOS_[[% anualiz]:[% anualiz]]),1)*IF(DATOS!AW$4="Sí",1/DATOS_[[% normaliz]:[% normaliz]],1)*(DATOS_[Conc.Sal.19])))))))),
0)</f>
        <v>0</v>
      </c>
      <c r="AC95" s="196">
        <f t="array" ref="AC95">IFERROR(
(AVERAGE((IF(DATOS_[[Sexo]:[Sexo]]=$B95,IF(DATOS_[[AGRUP. CLAS. PROF.]:[AGRUP. CLAS. PROF.]]=$B93,IF(DATOS_[[Check Periodo Ref.]:[Check Periodo Ref.]]="Dentro",IF(DATOS_[[Check Equiparado]:[Check Equiparado]]="Sí",IF(DATOS!AX$5="Sí",(1/DATOS_[[% anualiz]:[% anualiz]]),1)*IF(DATOS!AX$4="Sí",1/DATOS_[[% normaliz]:[% normaliz]],1)*(DATOS_[Conc.Sal.20])))))))),
0)</f>
        <v>0</v>
      </c>
      <c r="AD95" s="196">
        <f t="array" ref="AD95">IFERROR(
(AVERAGE((IF(DATOS_[[Sexo]:[Sexo]]=$B95,IF(DATOS_[[AGRUP. CLAS. PROF.]:[AGRUP. CLAS. PROF.]]=$B93,IF(DATOS_[[Check Periodo Ref.]:[Check Periodo Ref.]]="Dentro",IF(DATOS_[[Check Equiparado]:[Check Equiparado]]="Sí",IF(DATOS!AY$5="Sí",(1/DATOS_[[% anualiz]:[% anualiz]]),1)*IF(DATOS!AY$4="Sí",1/DATOS_[[% normaliz]:[% normaliz]],1)*(DATOS_[Conc.Sal.21])))))))),
0)</f>
        <v>0</v>
      </c>
      <c r="AE95" s="196">
        <f t="array" ref="AE95">IFERROR(
(AVERAGE((IF(DATOS_[[Sexo]:[Sexo]]=$B95,IF(DATOS_[[AGRUP. CLAS. PROF.]:[AGRUP. CLAS. PROF.]]=$B93,IF(DATOS_[[Check Periodo Ref.]:[Check Periodo Ref.]]="Dentro",IF(DATOS_[[Check Equiparado]:[Check Equiparado]]="Sí",IF(DATOS!AZ$5="Sí",(1/DATOS_[[% anualiz]:[% anualiz]]),1)*IF(DATOS!AZ$4="Sí",1/DATOS_[[% normaliz]:[% normaliz]],1)*(DATOS_[Conc.Sal.22])))))))),
0)</f>
        <v>0</v>
      </c>
      <c r="AF95" s="196">
        <f t="array" ref="AF95">IFERROR(
(AVERAGE((IF(DATOS_[[Sexo]:[Sexo]]=$B95,IF(DATOS_[[AGRUP. CLAS. PROF.]:[AGRUP. CLAS. PROF.]]=$B93,IF(DATOS_[[Check Periodo Ref.]:[Check Periodo Ref.]]="Dentro",IF(DATOS_[[Check Equiparado]:[Check Equiparado]]="Sí",IF(DATOS!BA$5="Sí",(1/DATOS_[[% anualiz]:[% anualiz]]),1)*IF(DATOS!BA$4="Sí",1/DATOS_[[% normaliz]:[% normaliz]],1)*(DATOS_[Conc.Sal.23])))))))),
0)</f>
        <v>0</v>
      </c>
      <c r="AG95" s="196">
        <f t="array" ref="AG95">IFERROR(
(AVERAGE((IF(DATOS_[[Sexo]:[Sexo]]=$B95,IF(DATOS_[[AGRUP. CLAS. PROF.]:[AGRUP. CLAS. PROF.]]=$B93,IF(DATOS_[[Check Periodo Ref.]:[Check Periodo Ref.]]="Dentro",IF(DATOS_[[Check Equiparado]:[Check Equiparado]]="Sí",IF(DATOS!BB$5="Sí",(1/DATOS_[[% anualiz]:[% anualiz]]),1)*IF(DATOS!BB$4="Sí",1/DATOS_[[% normaliz]:[% normaliz]],1)*(DATOS_[Conc.Sal.24])))))))),
0)</f>
        <v>0</v>
      </c>
      <c r="AH95" s="196">
        <f t="array" ref="AH95">IFERROR(
(AVERAGE((IF(DATOS_[[Sexo]:[Sexo]]=$B95,IF(DATOS_[[AGRUP. CLAS. PROF.]:[AGRUP. CLAS. PROF.]]=$B93,IF(DATOS_[[Check Periodo Ref.]:[Check Periodo Ref.]]="Dentro",IF(DATOS_[[Check Equiparado]:[Check Equiparado]]="Sí",IF(DATOS!BC$5="Sí",(1/DATOS_[[% anualiz]:[% anualiz]]),1)*IF(DATOS!BC$4="Sí",1/DATOS_[[% normaliz]:[% normaliz]],1)*(DATOS_[Conc.Sal.25])))))))),
0)</f>
        <v>0</v>
      </c>
      <c r="AI95" s="196">
        <f t="array" ref="AI95">IFERROR(
(AVERAGE((IF(DATOS_[[Sexo]:[Sexo]]=$B95,IF(DATOS_[[AGRUP. CLAS. PROF.]:[AGRUP. CLAS. PROF.]]=$B93,IF(DATOS_[[Check Periodo Ref.]:[Check Periodo Ref.]]="Dentro",IF(DATOS_[[Check Equiparado]:[Check Equiparado]]="Sí",IF(DATOS!BD$5="Sí",(1/DATOS_[[% anualiz]:[% anualiz]]),1)*IF(DATOS!BD$4="Sí",1/DATOS_[[% normaliz]:[% normaliz]],1)*(DATOS_[Conc.Sal.26])))))))),
0)</f>
        <v>0</v>
      </c>
      <c r="AJ95" s="196">
        <f t="array" ref="AJ95">IFERROR(
(AVERAGE((IF(DATOS_[[Sexo]:[Sexo]]=$B95,IF(DATOS_[[AGRUP. CLAS. PROF.]:[AGRUP. CLAS. PROF.]]=$B93,IF(DATOS_[[Check Periodo Ref.]:[Check Periodo Ref.]]="Dentro",IF(DATOS_[[Check Equiparado]:[Check Equiparado]]="Sí",IF(DATOS!BE$5="Sí",(1/DATOS_[[% anualiz]:[% anualiz]]),1)*IF(DATOS!BE$4="Sí",1/DATOS_[[% normaliz]:[% normaliz]],1)*(DATOS_[Conc.Sal.27])))))))),
0)</f>
        <v>0</v>
      </c>
      <c r="AK95" s="196">
        <f t="array" ref="AK95">IFERROR(
(AVERAGE((IF(DATOS_[[Sexo]:[Sexo]]=$B95,IF(DATOS_[[AGRUP. CLAS. PROF.]:[AGRUP. CLAS. PROF.]]=$B93,IF(DATOS_[[Check Periodo Ref.]:[Check Periodo Ref.]]="Dentro",IF(DATOS_[[Check Equiparado]:[Check Equiparado]]="Sí",IF(DATOS!BF$5="Sí",(1/DATOS_[[% anualiz]:[% anualiz]]),1)*IF(DATOS!BF$4="Sí",1/DATOS_[[% normaliz]:[% normaliz]],1)*(DATOS_[Conc.Sal.28])))))))),
0)</f>
        <v>0</v>
      </c>
      <c r="AL95" s="196">
        <f t="array" ref="AL95">IFERROR(
(AVERAGE((IF(DATOS_[[Sexo]:[Sexo]]=$B95,IF(DATOS_[[AGRUP. CLAS. PROF.]:[AGRUP. CLAS. PROF.]]=$B93,IF(DATOS_[[Check Periodo Ref.]:[Check Periodo Ref.]]="Dentro",IF(DATOS_[[Check Equiparado]:[Check Equiparado]]="Sí",IF(DATOS!BG$5="Sí",(1/DATOS_[[% anualiz]:[% anualiz]]),1)*IF(DATOS!BG$4="Sí",1/DATOS_[[% normaliz]:[% normaliz]],1)*(DATOS_[Conc.Sal.29])))))))),
0)</f>
        <v>0</v>
      </c>
      <c r="AM95" s="196">
        <f t="array" ref="AM95">IFERROR(
(AVERAGE((IF(DATOS_[[Sexo]:[Sexo]]=$B95,IF(DATOS_[[AGRUP. CLAS. PROF.]:[AGRUP. CLAS. PROF.]]=$B93,IF(DATOS_[[Check Periodo Ref.]:[Check Periodo Ref.]]="Dentro",IF(DATOS_[[Check Equiparado]:[Check Equiparado]]="Sí",IF(DATOS!BH$5="Sí",(1/DATOS_[[% anualiz]:[% anualiz]]),1)*IF(DATOS!BH$4="Sí",1/DATOS_[[% normaliz]:[% normaliz]],1)*(DATOS_[Conc.Sal.30])))))))),
0)</f>
        <v>0</v>
      </c>
      <c r="AN95" s="195">
        <f t="array" ref="AN95">IFERROR(
AVERAGE(IF(DATOS_[Sexo]=$B95,IF(DATOS_[[AGRUP. CLAS. PROF.]:[AGRUP. CLAS. PROF.]]=$B93,IF(DATOS_[Check Equiparado]="Sí",IF(DATOS_[Check Periodo Ref.]="Dentro",DATOS_[Tot COMPL.SAL Eq],FALSE))))),
0)</f>
        <v>0</v>
      </c>
      <c r="AO95" s="172">
        <f t="array" ref="AO95">IFERROR(
AVERAGE(IF(DATOS_[Sexo]=$B95,IF(DATOS_[[AGRUP. CLAS. PROF.]:[AGRUP. CLAS. PROF.]]=$B93,IF(DATOS_[Check Equiparado]="Sí",IF(DATOS_[Check Periodo Ref.]="Dentro",DATOS_[TOTAL SALARIO Eq],FALSE))))),
0)</f>
        <v>0</v>
      </c>
      <c r="AP95" s="173">
        <f t="array" ref="AP95">IFERROR(
(AVERAGE((IF(DATOS_[[Sexo]:[Sexo]]=$B95,IF(DATOS_[[AGRUP. CLAS. PROF.]:[AGRUP. CLAS. PROF.]]=$B93,IF(DATOS_[[Check Periodo Ref.]:[Check Periodo Ref.]]="Dentro",IF(DATOS_[[Check Equiparado]:[Check Equiparado]]="Sí",IF(DATOS!BW$5="Sí",(1/DATOS_[[% anualiz]:[% anualiz]]),1)*IF(DATOS!BW$4="Sí",1/DATOS_[[% normaliz]:[% normaliz]],1)*(DATOS_[C.Extra.01])))))))),
0)</f>
        <v>0</v>
      </c>
      <c r="AQ95" s="173">
        <f t="array" ref="AQ95">IFERROR(
(AVERAGE((IF(DATOS_[[Sexo]:[Sexo]]=$B95,IF(DATOS_[[AGRUP. CLAS. PROF.]:[AGRUP. CLAS. PROF.]]=$B93,IF(DATOS_[[Check Periodo Ref.]:[Check Periodo Ref.]]="Dentro",IF(DATOS_[[Check Equiparado]:[Check Equiparado]]="Sí",IF(DATOS!CB$5="Sí",(1/DATOS_[[% anualiz]:[% anualiz]]),1)*IF(DATOS!CB$4="Sí",1/DATOS_[[% normaliz]:[% normaliz]],1)*(DATOS_[C.Extra.06])))))))),
0)</f>
        <v>0</v>
      </c>
      <c r="AR95" s="173">
        <f t="array" ref="AR95">IFERROR(
(AVERAGE((IF(DATOS_[[Sexo]:[Sexo]]=$B95,IF(DATOS_[[AGRUP. CLAS. PROF.]:[AGRUP. CLAS. PROF.]]=$B93,IF(DATOS_[[Check Periodo Ref.]:[Check Periodo Ref.]]="Dentro",IF(DATOS_[[Check Equiparado]:[Check Equiparado]]="Sí",IF(DATOS!CC$5="Sí",(1/DATOS_[[% anualiz]:[% anualiz]]),1)*IF(DATOS!CC$4="Sí",1/DATOS_[[% normaliz]:[% normaliz]],1)*(DATOS_[C.Extra.07])))))))),
0)</f>
        <v>0</v>
      </c>
      <c r="AS95" s="173">
        <f t="array" ref="AS95">IFERROR(
(AVERAGE((IF(DATOS_[[Sexo]:[Sexo]]=$B95,IF(DATOS_[[AGRUP. CLAS. PROF.]:[AGRUP. CLAS. PROF.]]=$B93,IF(DATOS_[[Check Periodo Ref.]:[Check Periodo Ref.]]="Dentro",IF(DATOS_[[Check Equiparado]:[Check Equiparado]]="Sí",IF(DATOS!CD$5="Sí",(1/DATOS_[[% anualiz]:[% anualiz]]),1)*IF(DATOS!CD$4="Sí",1/DATOS_[[% normaliz]:[% normaliz]],1)*(DATOS_[C.Extra.08])))))))),
0)</f>
        <v>0</v>
      </c>
      <c r="AT95" s="173">
        <f t="array" ref="AT95">IFERROR(
(AVERAGE((IF(DATOS_[[Sexo]:[Sexo]]=$B95,IF(DATOS_[[AGRUP. CLAS. PROF.]:[AGRUP. CLAS. PROF.]]=$B93,IF(DATOS_[[Check Periodo Ref.]:[Check Periodo Ref.]]="Dentro",IF(DATOS_[[Check Equiparado]:[Check Equiparado]]="Sí",IF(DATOS!CG$5="Sí",(1/DATOS_[[% anualiz]:[% anualiz]]),1)*IF(DATOS!CG$4="Sí",1/DATOS_[[% normaliz]:[% normaliz]],1)*(DATOS_[C.Extra.11])))))))),
0)</f>
        <v>0</v>
      </c>
      <c r="AU95" s="197">
        <f t="array" ref="AU95">IFERROR(
AVERAGE(IF(DATOS_[Sexo]=$B95,IF(DATOS_[[AGRUP. CLAS. PROF.]:[AGRUP. CLAS. PROF.]]=$B93,IF(DATOS_[Check Equiparado]="Sí",IF(DATOS_[Check Periodo Ref.]="Dentro",DATOS_[Tot Extrasalarial Eq],FALSE))))),
0)</f>
        <v>0</v>
      </c>
      <c r="AV95" s="175">
        <f t="array" ref="AV95">IFERROR(
AVERAGE(IF(DATOS_[Sexo]=$B95,IF(DATOS_[[AGRUP. CLAS. PROF.]:[AGRUP. CLAS. PROF.]]=$B93,IF(DATOS_[Check Equiparado]="Sí",IF(DATOS_[Check Periodo Ref.]="Dentro",DATOS_[TOTAL Retrib Eq],FALSE))))),
0)</f>
        <v>0</v>
      </c>
    </row>
    <row r="96" spans="1:48" ht="15.6" hidden="1" thickBot="1" x14ac:dyDescent="0.3">
      <c r="A96" s="133" t="str">
        <f t="shared" ref="A96" si="111">+A97</f>
        <v>[ocultar]</v>
      </c>
      <c r="B96" s="199" t="s">
        <v>283</v>
      </c>
      <c r="C96" s="200"/>
      <c r="D96" s="201"/>
      <c r="E96" s="201"/>
      <c r="F96" s="201"/>
      <c r="G96" s="201"/>
      <c r="H96" s="201"/>
      <c r="I96" s="189" t="str">
        <f t="shared" ref="I96:AV96" si="112">IFERROR((I97-I98)/I97,"")</f>
        <v/>
      </c>
      <c r="J96" s="190" t="str">
        <f t="shared" si="112"/>
        <v/>
      </c>
      <c r="K96" s="191" t="str">
        <f t="shared" si="112"/>
        <v/>
      </c>
      <c r="L96" s="191" t="str">
        <f t="shared" si="112"/>
        <v/>
      </c>
      <c r="M96" s="191" t="str">
        <f t="shared" si="112"/>
        <v/>
      </c>
      <c r="N96" s="192" t="str">
        <f t="shared" si="112"/>
        <v/>
      </c>
      <c r="O96" s="193" t="str">
        <f t="shared" si="112"/>
        <v/>
      </c>
      <c r="P96" s="193" t="str">
        <f t="shared" si="112"/>
        <v/>
      </c>
      <c r="Q96" s="193" t="str">
        <f t="shared" si="112"/>
        <v/>
      </c>
      <c r="R96" s="193" t="str">
        <f t="shared" si="112"/>
        <v/>
      </c>
      <c r="S96" s="193" t="str">
        <f t="shared" si="112"/>
        <v/>
      </c>
      <c r="T96" s="193" t="str">
        <f t="shared" si="112"/>
        <v/>
      </c>
      <c r="U96" s="193" t="str">
        <f t="shared" si="112"/>
        <v/>
      </c>
      <c r="V96" s="193" t="str">
        <f t="shared" si="112"/>
        <v/>
      </c>
      <c r="W96" s="193" t="str">
        <f t="shared" si="112"/>
        <v/>
      </c>
      <c r="X96" s="193" t="str">
        <f t="shared" si="112"/>
        <v/>
      </c>
      <c r="Y96" s="193" t="str">
        <f t="shared" si="112"/>
        <v/>
      </c>
      <c r="Z96" s="193" t="str">
        <f t="shared" si="112"/>
        <v/>
      </c>
      <c r="AA96" s="193" t="str">
        <f t="shared" si="112"/>
        <v/>
      </c>
      <c r="AB96" s="193" t="str">
        <f t="shared" si="112"/>
        <v/>
      </c>
      <c r="AC96" s="193" t="str">
        <f t="shared" si="112"/>
        <v/>
      </c>
      <c r="AD96" s="193" t="str">
        <f t="shared" si="112"/>
        <v/>
      </c>
      <c r="AE96" s="193" t="str">
        <f t="shared" si="112"/>
        <v/>
      </c>
      <c r="AF96" s="193" t="str">
        <f t="shared" si="112"/>
        <v/>
      </c>
      <c r="AG96" s="193" t="str">
        <f t="shared" si="112"/>
        <v/>
      </c>
      <c r="AH96" s="193" t="str">
        <f t="shared" si="112"/>
        <v/>
      </c>
      <c r="AI96" s="193" t="str">
        <f t="shared" si="112"/>
        <v/>
      </c>
      <c r="AJ96" s="193" t="str">
        <f t="shared" si="112"/>
        <v/>
      </c>
      <c r="AK96" s="193" t="str">
        <f t="shared" si="112"/>
        <v/>
      </c>
      <c r="AL96" s="193" t="str">
        <f t="shared" si="112"/>
        <v/>
      </c>
      <c r="AM96" s="193" t="str">
        <f t="shared" si="112"/>
        <v/>
      </c>
      <c r="AN96" s="189" t="str">
        <f t="shared" si="112"/>
        <v/>
      </c>
      <c r="AO96" s="162" t="str">
        <f t="shared" si="112"/>
        <v/>
      </c>
      <c r="AP96" s="163" t="str">
        <f t="shared" si="112"/>
        <v/>
      </c>
      <c r="AQ96" s="163" t="str">
        <f t="shared" si="112"/>
        <v/>
      </c>
      <c r="AR96" s="163" t="str">
        <f t="shared" si="112"/>
        <v/>
      </c>
      <c r="AS96" s="163" t="str">
        <f t="shared" si="112"/>
        <v/>
      </c>
      <c r="AT96" s="163" t="str">
        <f t="shared" si="112"/>
        <v/>
      </c>
      <c r="AU96" s="194" t="str">
        <f t="shared" si="112"/>
        <v/>
      </c>
      <c r="AV96" s="165" t="str">
        <f t="shared" si="112"/>
        <v/>
      </c>
    </row>
    <row r="97" spans="1:48" hidden="1" x14ac:dyDescent="0.25">
      <c r="A97" s="133" t="str">
        <f t="shared" ref="A97" si="113">+IF(C97+C98=0,"[ocultar]","")</f>
        <v>[ocultar]</v>
      </c>
      <c r="B97" s="202" t="s">
        <v>394</v>
      </c>
      <c r="C97" s="203">
        <f t="array" ref="C97">SUM(IF($B97=DATOS_[Sexo],
IF($B96=DATOS_[AGRUP. CLAS. PROF.],
IF("Dentro"=DATOS_[Check Periodo Ref.],
1/(COUNTIFS(DATOS_[Sexo],$B97,DATOS_[AGRUP. CLAS. PROF.],$B96,DATOS_[Check Periodo Ref.],"Dentro",DATOS_[id/cod],DATOS_[id/cod]))))))</f>
        <v>0</v>
      </c>
      <c r="D97" s="204">
        <f>COUNTIFS(DATOS_[AGRUP. CLAS. PROF.],$B96,DATOS_[Sexo],$B97,DATOS_[Check Periodo Ref.],"Dentro")</f>
        <v>0</v>
      </c>
      <c r="E97" s="204">
        <f>COUNTIFS(DATOS_[AGRUP. CLAS. PROF.],$B96,DATOS_[Sexo],$B97,DATOS_[Check Periodo Ref.],"Dentro",DATOS_[Check Nº SC Norm],"Sí")</f>
        <v>0</v>
      </c>
      <c r="F97" s="204">
        <f>COUNTIFS(DATOS_[AGRUP. CLAS. PROF.],$B96,DATOS_[Sexo],$B97,DATOS_[Check Periodo Ref.],"Dentro",DATOS_[Check Nº SC Anualiz],"Sí")</f>
        <v>0</v>
      </c>
      <c r="G97" s="204">
        <f>COUNTIFS(DATOS_[AGRUP. CLAS. PROF.],$B96,DATOS_[Sexo],$B97,DATOS_[Check Periodo Ref.],"Dentro",DATOS_[Check Nº SC Norm y Anualiz],"Sí")</f>
        <v>0</v>
      </c>
      <c r="H97" s="204">
        <f>COUNTIFS(DATOS_[AGRUP. CLAS. PROF.],$B96,DATOS_[Sexo],$B97,DATOS_[Check Periodo Ref.],"Dentro",DATOS_[Check Equiparación],"Sí")</f>
        <v>0</v>
      </c>
      <c r="I97" s="195">
        <f t="array" ref="I97">IFERROR(
AVERAGE(IF(DATOS_[Sexo]=$B97,IF(DATOS_[[AGRUP. CLAS. PROF.]:[AGRUP. CLAS. PROF.]]=$B96,IF(DATOS_[Check Equiparado]="Sí",IF(DATOS_[Check Periodo Ref.]="Dentro",DATOS_[SALARIO BASE Eq],FALSE))))),
0)</f>
        <v>0</v>
      </c>
      <c r="J97" s="196">
        <f t="array" ref="J97">IFERROR(
(AVERAGE((IF(DATOS_[[Sexo]:[Sexo]]=$B97,IF(DATOS_[[AGRUP. CLAS. PROF.]:[AGRUP. CLAS. PROF.]]=$B96,IF(DATOS_[[Check Periodo Ref.]:[Check Periodo Ref.]]="Dentro",IF(DATOS_[[Check Equiparado]:[Check Equiparado]]="Sí",IF(DATOS!AE$5="Sí",(1/DATOS_[[% anualiz]:[% anualiz]]),1)*IF(DATOS!AE$4="Sí",1/DATOS_[[% normaliz]:[% normaliz]],1)*(DATOS_[Conc.Sal.01])))))))),
0)</f>
        <v>0</v>
      </c>
      <c r="K97" s="196">
        <f t="array" ref="K97">IFERROR(
(AVERAGE((IF(DATOS_[[Sexo]:[Sexo]]=$B97,IF(DATOS_[[AGRUP. CLAS. PROF.]:[AGRUP. CLAS. PROF.]]=$B96,IF(DATOS_[[Check Periodo Ref.]:[Check Periodo Ref.]]="Dentro",IF(DATOS_[[Check Equiparado]:[Check Equiparado]]="Sí",IF(DATOS!AF$5="Sí",(1/DATOS_[[% anualiz]:[% anualiz]]),1)*IF(DATOS!AF$4="Sí",1/DATOS_[[% normaliz]:[% normaliz]],1)*(DATOS_[Conc.Sal.02])))))))),
0)</f>
        <v>0</v>
      </c>
      <c r="L97" s="196">
        <f t="array" ref="L97">IFERROR(
(AVERAGE((IF(DATOS_[[Sexo]:[Sexo]]=$B97,IF(DATOS_[[AGRUP. CLAS. PROF.]:[AGRUP. CLAS. PROF.]]=$B96,IF(DATOS_[[Check Periodo Ref.]:[Check Periodo Ref.]]="Dentro",IF(DATOS_[[Check Equiparado]:[Check Equiparado]]="Sí",IF(DATOS!AG$5="Sí",(1/DATOS_[[% anualiz]:[% anualiz]]),1)*IF(DATOS!AG$4="Sí",1/DATOS_[[% normaliz]:[% normaliz]],1)*(DATOS_[Conc.Sal.03])))))))),
0)</f>
        <v>0</v>
      </c>
      <c r="M97" s="196">
        <f t="array" ref="M97">IFERROR(
(AVERAGE((IF(DATOS_[[Sexo]:[Sexo]]=$B97,IF(DATOS_[[AGRUP. CLAS. PROF.]:[AGRUP. CLAS. PROF.]]=$B96,IF(DATOS_[[Check Periodo Ref.]:[Check Periodo Ref.]]="Dentro",IF(DATOS_[[Check Equiparado]:[Check Equiparado]]="Sí",IF(DATOS!AH$5="Sí",(1/DATOS_[[% anualiz]:[% anualiz]]),1)*IF(DATOS!AH$4="Sí",1/DATOS_[[% normaliz]:[% normaliz]],1)*(DATOS_[Conc.Sal.04])))))))),
0)</f>
        <v>0</v>
      </c>
      <c r="N97" s="196">
        <f t="array" ref="N97">IFERROR(
(AVERAGE((IF(DATOS_[[Sexo]:[Sexo]]=$B97,IF(DATOS_[[AGRUP. CLAS. PROF.]:[AGRUP. CLAS. PROF.]]=$B96,IF(DATOS_[[Check Periodo Ref.]:[Check Periodo Ref.]]="Dentro",IF(DATOS_[[Check Equiparado]:[Check Equiparado]]="Sí",IF(DATOS!AI$5="Sí",(1/DATOS_[[% anualiz]:[% anualiz]]),1)*IF(DATOS!AI$4="Sí",1/DATOS_[[% normaliz]:[% normaliz]],1)*(DATOS_[Conc.Sal.05])))))))),
0)</f>
        <v>0</v>
      </c>
      <c r="O97" s="196">
        <f t="array" ref="O97">IFERROR(
(AVERAGE((IF(DATOS_[[Sexo]:[Sexo]]=$B97,IF(DATOS_[[AGRUP. CLAS. PROF.]:[AGRUP. CLAS. PROF.]]=$B96,IF(DATOS_[[Check Periodo Ref.]:[Check Periodo Ref.]]="Dentro",IF(DATOS_[[Check Equiparado]:[Check Equiparado]]="Sí",IF(DATOS!AJ$5="Sí",(1/DATOS_[[% anualiz]:[% anualiz]]),1)*IF(DATOS!AJ$4="Sí",1/DATOS_[[% normaliz]:[% normaliz]],1)*(DATOS_[Conc.Sal.06])))))))),
0)</f>
        <v>0</v>
      </c>
      <c r="P97" s="196">
        <f t="array" ref="P97">IFERROR(
(AVERAGE((IF(DATOS_[[Sexo]:[Sexo]]=$B97,IF(DATOS_[[AGRUP. CLAS. PROF.]:[AGRUP. CLAS. PROF.]]=$B96,IF(DATOS_[[Check Periodo Ref.]:[Check Periodo Ref.]]="Dentro",IF(DATOS_[[Check Equiparado]:[Check Equiparado]]="Sí",IF(DATOS!AK$5="Sí",(1/DATOS_[[% anualiz]:[% anualiz]]),1)*IF(DATOS!AK$4="Sí",1/DATOS_[[% normaliz]:[% normaliz]],1)*(DATOS_[Conc.Sal.07])))))))),
0)</f>
        <v>0</v>
      </c>
      <c r="Q97" s="196">
        <f t="array" ref="Q97">IFERROR(
(AVERAGE((IF(DATOS_[[Sexo]:[Sexo]]=$B97,IF(DATOS_[[AGRUP. CLAS. PROF.]:[AGRUP. CLAS. PROF.]]=$B96,IF(DATOS_[[Check Periodo Ref.]:[Check Periodo Ref.]]="Dentro",IF(DATOS_[[Check Equiparado]:[Check Equiparado]]="Sí",IF(DATOS!AL$5="Sí",(1/DATOS_[[% anualiz]:[% anualiz]]),1)*IF(DATOS!AL$4="Sí",1/DATOS_[[% normaliz]:[% normaliz]],1)*(DATOS_[Conc.Sal.08])))))))),
0)</f>
        <v>0</v>
      </c>
      <c r="R97" s="196">
        <f t="array" ref="R97">IFERROR(
(AVERAGE((IF(DATOS_[[Sexo]:[Sexo]]=$B97,IF(DATOS_[[AGRUP. CLAS. PROF.]:[AGRUP. CLAS. PROF.]]=$B96,IF(DATOS_[[Check Periodo Ref.]:[Check Periodo Ref.]]="Dentro",IF(DATOS_[[Check Equiparado]:[Check Equiparado]]="Sí",IF(DATOS!AM$5="Sí",(1/DATOS_[[% anualiz]:[% anualiz]]),1)*IF(DATOS!AM$4="Sí",1/DATOS_[[% normaliz]:[% normaliz]],1)*(DATOS_[Conc.Sal.09])))))))),
0)</f>
        <v>0</v>
      </c>
      <c r="S97" s="196">
        <f t="array" ref="S97">IFERROR(
(AVERAGE((IF(DATOS_[[Sexo]:[Sexo]]=$B97,IF(DATOS_[[AGRUP. CLAS. PROF.]:[AGRUP. CLAS. PROF.]]=$B96,IF(DATOS_[[Check Periodo Ref.]:[Check Periodo Ref.]]="Dentro",IF(DATOS_[[Check Equiparado]:[Check Equiparado]]="Sí",IF(DATOS!AN$5="Sí",(1/DATOS_[[% anualiz]:[% anualiz]]),1)*IF(DATOS!AN$4="Sí",1/DATOS_[[% normaliz]:[% normaliz]],1)*(DATOS_[Conc.Sal.10])))))))),
0)</f>
        <v>0</v>
      </c>
      <c r="T97" s="196">
        <f t="array" ref="T97">IFERROR(
(AVERAGE((IF(DATOS_[[Sexo]:[Sexo]]=$B97,IF(DATOS_[[AGRUP. CLAS. PROF.]:[AGRUP. CLAS. PROF.]]=$B96,IF(DATOS_[[Check Periodo Ref.]:[Check Periodo Ref.]]="Dentro",IF(DATOS_[[Check Equiparado]:[Check Equiparado]]="Sí",IF(DATOS!AO$5="Sí",(1/DATOS_[[% anualiz]:[% anualiz]]),1)*IF(DATOS!AO$4="Sí",1/DATOS_[[% normaliz]:[% normaliz]],1)*(DATOS_[Conc.Sal.11])))))))),
0)</f>
        <v>0</v>
      </c>
      <c r="U97" s="196">
        <f t="array" ref="U97">IFERROR(
(AVERAGE((IF(DATOS_[[Sexo]:[Sexo]]=$B97,IF(DATOS_[[AGRUP. CLAS. PROF.]:[AGRUP. CLAS. PROF.]]=$B96,IF(DATOS_[[Check Periodo Ref.]:[Check Periodo Ref.]]="Dentro",IF(DATOS_[[Check Equiparado]:[Check Equiparado]]="Sí",IF(DATOS!AP$5="Sí",(1/DATOS_[[% anualiz]:[% anualiz]]),1)*IF(DATOS!AP$4="Sí",1/DATOS_[[% normaliz]:[% normaliz]],1)*(DATOS_[Conc.Sal.12])))))))),
0)</f>
        <v>0</v>
      </c>
      <c r="V97" s="196">
        <f t="array" ref="V97">IFERROR(
(AVERAGE((IF(DATOS_[[Sexo]:[Sexo]]=$B97,IF(DATOS_[[AGRUP. CLAS. PROF.]:[AGRUP. CLAS. PROF.]]=$B96,IF(DATOS_[[Check Periodo Ref.]:[Check Periodo Ref.]]="Dentro",IF(DATOS_[[Check Equiparado]:[Check Equiparado]]="Sí",IF(DATOS!AQ$5="Sí",(1/DATOS_[[% anualiz]:[% anualiz]]),1)*IF(DATOS!AQ$4="Sí",1/DATOS_[[% normaliz]:[% normaliz]],1)*(DATOS_[Conc.Sal.13])))))))),
0)</f>
        <v>0</v>
      </c>
      <c r="W97" s="196">
        <f t="array" ref="W97">IFERROR(
(AVERAGE((IF(DATOS_[[Sexo]:[Sexo]]=$B97,IF(DATOS_[[AGRUP. CLAS. PROF.]:[AGRUP. CLAS. PROF.]]=$B96,IF(DATOS_[[Check Periodo Ref.]:[Check Periodo Ref.]]="Dentro",IF(DATOS_[[Check Equiparado]:[Check Equiparado]]="Sí",IF(DATOS!AR$5="Sí",(1/DATOS_[[% anualiz]:[% anualiz]]),1)*IF(DATOS!AR$4="Sí",1/DATOS_[[% normaliz]:[% normaliz]],1)*(DATOS_[Conc.Sal.14])))))))),
0)</f>
        <v>0</v>
      </c>
      <c r="X97" s="196">
        <f t="array" ref="X97">IFERROR(
(AVERAGE((IF(DATOS_[[Sexo]:[Sexo]]=$B97,IF(DATOS_[[AGRUP. CLAS. PROF.]:[AGRUP. CLAS. PROF.]]=$B96,IF(DATOS_[[Check Periodo Ref.]:[Check Periodo Ref.]]="Dentro",IF(DATOS_[[Check Equiparado]:[Check Equiparado]]="Sí",IF(DATOS!AS$5="Sí",(1/DATOS_[[% anualiz]:[% anualiz]]),1)*IF(DATOS!AS$4="Sí",1/DATOS_[[% normaliz]:[% normaliz]],1)*(DATOS_[Conc.Sal.15])))))))),
0)</f>
        <v>0</v>
      </c>
      <c r="Y97" s="196">
        <f t="array" ref="Y97">IFERROR(
(AVERAGE((IF(DATOS_[[Sexo]:[Sexo]]=$B97,IF(DATOS_[[AGRUP. CLAS. PROF.]:[AGRUP. CLAS. PROF.]]=$B96,IF(DATOS_[[Check Periodo Ref.]:[Check Periodo Ref.]]="Dentro",IF(DATOS_[[Check Equiparado]:[Check Equiparado]]="Sí",IF(DATOS!AT$5="Sí",(1/DATOS_[[% anualiz]:[% anualiz]]),1)*IF(DATOS!AT$4="Sí",1/DATOS_[[% normaliz]:[% normaliz]],1)*(DATOS_[Conc.Sal.16])))))))),
0)</f>
        <v>0</v>
      </c>
      <c r="Z97" s="196">
        <f t="array" ref="Z97">IFERROR(
(AVERAGE((IF(DATOS_[[Sexo]:[Sexo]]=$B97,IF(DATOS_[[AGRUP. CLAS. PROF.]:[AGRUP. CLAS. PROF.]]=$B96,IF(DATOS_[[Check Periodo Ref.]:[Check Periodo Ref.]]="Dentro",IF(DATOS_[[Check Equiparado]:[Check Equiparado]]="Sí",IF(DATOS!AU$5="Sí",(1/DATOS_[[% anualiz]:[% anualiz]]),1)*IF(DATOS!AU$4="Sí",1/DATOS_[[% normaliz]:[% normaliz]],1)*(DATOS_[Conc.Sal.17])))))))),
0)</f>
        <v>0</v>
      </c>
      <c r="AA97" s="196">
        <f t="array" ref="AA97">IFERROR(
(AVERAGE((IF(DATOS_[[Sexo]:[Sexo]]=$B97,IF(DATOS_[[AGRUP. CLAS. PROF.]:[AGRUP. CLAS. PROF.]]=$B96,IF(DATOS_[[Check Periodo Ref.]:[Check Periodo Ref.]]="Dentro",IF(DATOS_[[Check Equiparado]:[Check Equiparado]]="Sí",IF(DATOS!AV$5="Sí",(1/DATOS_[[% anualiz]:[% anualiz]]),1)*IF(DATOS!AV$4="Sí",1/DATOS_[[% normaliz]:[% normaliz]],1)*(DATOS_[Conc.Sal.18])))))))),
0)</f>
        <v>0</v>
      </c>
      <c r="AB97" s="196">
        <f t="array" ref="AB97">IFERROR(
(AVERAGE((IF(DATOS_[[Sexo]:[Sexo]]=$B97,IF(DATOS_[[AGRUP. CLAS. PROF.]:[AGRUP. CLAS. PROF.]]=$B96,IF(DATOS_[[Check Periodo Ref.]:[Check Periodo Ref.]]="Dentro",IF(DATOS_[[Check Equiparado]:[Check Equiparado]]="Sí",IF(DATOS!AW$5="Sí",(1/DATOS_[[% anualiz]:[% anualiz]]),1)*IF(DATOS!AW$4="Sí",1/DATOS_[[% normaliz]:[% normaliz]],1)*(DATOS_[Conc.Sal.19])))))))),
0)</f>
        <v>0</v>
      </c>
      <c r="AC97" s="196">
        <f t="array" ref="AC97">IFERROR(
(AVERAGE((IF(DATOS_[[Sexo]:[Sexo]]=$B97,IF(DATOS_[[AGRUP. CLAS. PROF.]:[AGRUP. CLAS. PROF.]]=$B96,IF(DATOS_[[Check Periodo Ref.]:[Check Periodo Ref.]]="Dentro",IF(DATOS_[[Check Equiparado]:[Check Equiparado]]="Sí",IF(DATOS!AX$5="Sí",(1/DATOS_[[% anualiz]:[% anualiz]]),1)*IF(DATOS!AX$4="Sí",1/DATOS_[[% normaliz]:[% normaliz]],1)*(DATOS_[Conc.Sal.20])))))))),
0)</f>
        <v>0</v>
      </c>
      <c r="AD97" s="196">
        <f t="array" ref="AD97">IFERROR(
(AVERAGE((IF(DATOS_[[Sexo]:[Sexo]]=$B97,IF(DATOS_[[AGRUP. CLAS. PROF.]:[AGRUP. CLAS. PROF.]]=$B96,IF(DATOS_[[Check Periodo Ref.]:[Check Periodo Ref.]]="Dentro",IF(DATOS_[[Check Equiparado]:[Check Equiparado]]="Sí",IF(DATOS!AY$5="Sí",(1/DATOS_[[% anualiz]:[% anualiz]]),1)*IF(DATOS!AY$4="Sí",1/DATOS_[[% normaliz]:[% normaliz]],1)*(DATOS_[Conc.Sal.21])))))))),
0)</f>
        <v>0</v>
      </c>
      <c r="AE97" s="196">
        <f t="array" ref="AE97">IFERROR(
(AVERAGE((IF(DATOS_[[Sexo]:[Sexo]]=$B97,IF(DATOS_[[AGRUP. CLAS. PROF.]:[AGRUP. CLAS. PROF.]]=$B96,IF(DATOS_[[Check Periodo Ref.]:[Check Periodo Ref.]]="Dentro",IF(DATOS_[[Check Equiparado]:[Check Equiparado]]="Sí",IF(DATOS!AZ$5="Sí",(1/DATOS_[[% anualiz]:[% anualiz]]),1)*IF(DATOS!AZ$4="Sí",1/DATOS_[[% normaliz]:[% normaliz]],1)*(DATOS_[Conc.Sal.22])))))))),
0)</f>
        <v>0</v>
      </c>
      <c r="AF97" s="196">
        <f t="array" ref="AF97">IFERROR(
(AVERAGE((IF(DATOS_[[Sexo]:[Sexo]]=$B97,IF(DATOS_[[AGRUP. CLAS. PROF.]:[AGRUP. CLAS. PROF.]]=$B96,IF(DATOS_[[Check Periodo Ref.]:[Check Periodo Ref.]]="Dentro",IF(DATOS_[[Check Equiparado]:[Check Equiparado]]="Sí",IF(DATOS!BA$5="Sí",(1/DATOS_[[% anualiz]:[% anualiz]]),1)*IF(DATOS!BA$4="Sí",1/DATOS_[[% normaliz]:[% normaliz]],1)*(DATOS_[Conc.Sal.23])))))))),
0)</f>
        <v>0</v>
      </c>
      <c r="AG97" s="196">
        <f t="array" ref="AG97">IFERROR(
(AVERAGE((IF(DATOS_[[Sexo]:[Sexo]]=$B97,IF(DATOS_[[AGRUP. CLAS. PROF.]:[AGRUP. CLAS. PROF.]]=$B96,IF(DATOS_[[Check Periodo Ref.]:[Check Periodo Ref.]]="Dentro",IF(DATOS_[[Check Equiparado]:[Check Equiparado]]="Sí",IF(DATOS!BB$5="Sí",(1/DATOS_[[% anualiz]:[% anualiz]]),1)*IF(DATOS!BB$4="Sí",1/DATOS_[[% normaliz]:[% normaliz]],1)*(DATOS_[Conc.Sal.24])))))))),
0)</f>
        <v>0</v>
      </c>
      <c r="AH97" s="196">
        <f t="array" ref="AH97">IFERROR(
(AVERAGE((IF(DATOS_[[Sexo]:[Sexo]]=$B97,IF(DATOS_[[AGRUP. CLAS. PROF.]:[AGRUP. CLAS. PROF.]]=$B96,IF(DATOS_[[Check Periodo Ref.]:[Check Periodo Ref.]]="Dentro",IF(DATOS_[[Check Equiparado]:[Check Equiparado]]="Sí",IF(DATOS!BC$5="Sí",(1/DATOS_[[% anualiz]:[% anualiz]]),1)*IF(DATOS!BC$4="Sí",1/DATOS_[[% normaliz]:[% normaliz]],1)*(DATOS_[Conc.Sal.25])))))))),
0)</f>
        <v>0</v>
      </c>
      <c r="AI97" s="196">
        <f t="array" ref="AI97">IFERROR(
(AVERAGE((IF(DATOS_[[Sexo]:[Sexo]]=$B97,IF(DATOS_[[AGRUP. CLAS. PROF.]:[AGRUP. CLAS. PROF.]]=$B96,IF(DATOS_[[Check Periodo Ref.]:[Check Periodo Ref.]]="Dentro",IF(DATOS_[[Check Equiparado]:[Check Equiparado]]="Sí",IF(DATOS!BD$5="Sí",(1/DATOS_[[% anualiz]:[% anualiz]]),1)*IF(DATOS!BD$4="Sí",1/DATOS_[[% normaliz]:[% normaliz]],1)*(DATOS_[Conc.Sal.26])))))))),
0)</f>
        <v>0</v>
      </c>
      <c r="AJ97" s="196">
        <f t="array" ref="AJ97">IFERROR(
(AVERAGE((IF(DATOS_[[Sexo]:[Sexo]]=$B97,IF(DATOS_[[AGRUP. CLAS. PROF.]:[AGRUP. CLAS. PROF.]]=$B96,IF(DATOS_[[Check Periodo Ref.]:[Check Periodo Ref.]]="Dentro",IF(DATOS_[[Check Equiparado]:[Check Equiparado]]="Sí",IF(DATOS!BE$5="Sí",(1/DATOS_[[% anualiz]:[% anualiz]]),1)*IF(DATOS!BE$4="Sí",1/DATOS_[[% normaliz]:[% normaliz]],1)*(DATOS_[Conc.Sal.27])))))))),
0)</f>
        <v>0</v>
      </c>
      <c r="AK97" s="196">
        <f t="array" ref="AK97">IFERROR(
(AVERAGE((IF(DATOS_[[Sexo]:[Sexo]]=$B97,IF(DATOS_[[AGRUP. CLAS. PROF.]:[AGRUP. CLAS. PROF.]]=$B96,IF(DATOS_[[Check Periodo Ref.]:[Check Periodo Ref.]]="Dentro",IF(DATOS_[[Check Equiparado]:[Check Equiparado]]="Sí",IF(DATOS!BF$5="Sí",(1/DATOS_[[% anualiz]:[% anualiz]]),1)*IF(DATOS!BF$4="Sí",1/DATOS_[[% normaliz]:[% normaliz]],1)*(DATOS_[Conc.Sal.28])))))))),
0)</f>
        <v>0</v>
      </c>
      <c r="AL97" s="196">
        <f t="array" ref="AL97">IFERROR(
(AVERAGE((IF(DATOS_[[Sexo]:[Sexo]]=$B97,IF(DATOS_[[AGRUP. CLAS. PROF.]:[AGRUP. CLAS. PROF.]]=$B96,IF(DATOS_[[Check Periodo Ref.]:[Check Periodo Ref.]]="Dentro",IF(DATOS_[[Check Equiparado]:[Check Equiparado]]="Sí",IF(DATOS!BG$5="Sí",(1/DATOS_[[% anualiz]:[% anualiz]]),1)*IF(DATOS!BG$4="Sí",1/DATOS_[[% normaliz]:[% normaliz]],1)*(DATOS_[Conc.Sal.29])))))))),
0)</f>
        <v>0</v>
      </c>
      <c r="AM97" s="196">
        <f t="array" ref="AM97">IFERROR(
(AVERAGE((IF(DATOS_[[Sexo]:[Sexo]]=$B97,IF(DATOS_[[AGRUP. CLAS. PROF.]:[AGRUP. CLAS. PROF.]]=$B96,IF(DATOS_[[Check Periodo Ref.]:[Check Periodo Ref.]]="Dentro",IF(DATOS_[[Check Equiparado]:[Check Equiparado]]="Sí",IF(DATOS!BH$5="Sí",(1/DATOS_[[% anualiz]:[% anualiz]]),1)*IF(DATOS!BH$4="Sí",1/DATOS_[[% normaliz]:[% normaliz]],1)*(DATOS_[Conc.Sal.30])))))))),
0)</f>
        <v>0</v>
      </c>
      <c r="AN97" s="195">
        <f t="array" ref="AN97">IFERROR(
AVERAGE(IF(DATOS_[Sexo]=$B97,IF(DATOS_[[AGRUP. CLAS. PROF.]:[AGRUP. CLAS. PROF.]]=$B96,IF(DATOS_[Check Equiparado]="Sí",IF(DATOS_[Check Periodo Ref.]="Dentro",DATOS_[Tot COMPL.SAL Eq],FALSE))))),
0)</f>
        <v>0</v>
      </c>
      <c r="AO97" s="172">
        <f t="array" ref="AO97">IFERROR(
AVERAGE(IF(DATOS_[Sexo]=$B97,IF(DATOS_[[AGRUP. CLAS. PROF.]:[AGRUP. CLAS. PROF.]]=$B96,IF(DATOS_[Check Equiparado]="Sí",IF(DATOS_[Check Periodo Ref.]="Dentro",DATOS_[TOTAL SALARIO Eq],FALSE))))),
0)</f>
        <v>0</v>
      </c>
      <c r="AP97" s="173">
        <f t="array" ref="AP97">IFERROR(
(AVERAGE((IF(DATOS_[[Sexo]:[Sexo]]=$B97,IF(DATOS_[[AGRUP. CLAS. PROF.]:[AGRUP. CLAS. PROF.]]=$B96,IF(DATOS_[[Check Periodo Ref.]:[Check Periodo Ref.]]="Dentro",IF(DATOS_[[Check Equiparado]:[Check Equiparado]]="Sí",IF(DATOS!BW$5="Sí",(1/DATOS_[[% anualiz]:[% anualiz]]),1)*IF(DATOS!BW$4="Sí",1/DATOS_[[% normaliz]:[% normaliz]],1)*(DATOS_[C.Extra.01])))))))),
0)</f>
        <v>0</v>
      </c>
      <c r="AQ97" s="173">
        <f t="array" ref="AQ97">IFERROR(
(AVERAGE((IF(DATOS_[[Sexo]:[Sexo]]=$B97,IF(DATOS_[[AGRUP. CLAS. PROF.]:[AGRUP. CLAS. PROF.]]=$B96,IF(DATOS_[[Check Periodo Ref.]:[Check Periodo Ref.]]="Dentro",IF(DATOS_[[Check Equiparado]:[Check Equiparado]]="Sí",IF(DATOS!CB$5="Sí",(1/DATOS_[[% anualiz]:[% anualiz]]),1)*IF(DATOS!CB$4="Sí",1/DATOS_[[% normaliz]:[% normaliz]],1)*(DATOS_[C.Extra.06])))))))),
0)</f>
        <v>0</v>
      </c>
      <c r="AR97" s="173">
        <f t="array" ref="AR97">IFERROR(
(AVERAGE((IF(DATOS_[[Sexo]:[Sexo]]=$B97,IF(DATOS_[[AGRUP. CLAS. PROF.]:[AGRUP. CLAS. PROF.]]=$B96,IF(DATOS_[[Check Periodo Ref.]:[Check Periodo Ref.]]="Dentro",IF(DATOS_[[Check Equiparado]:[Check Equiparado]]="Sí",IF(DATOS!CC$5="Sí",(1/DATOS_[[% anualiz]:[% anualiz]]),1)*IF(DATOS!CC$4="Sí",1/DATOS_[[% normaliz]:[% normaliz]],1)*(DATOS_[C.Extra.07])))))))),
0)</f>
        <v>0</v>
      </c>
      <c r="AS97" s="173">
        <f t="array" ref="AS97">IFERROR(
(AVERAGE((IF(DATOS_[[Sexo]:[Sexo]]=$B97,IF(DATOS_[[AGRUP. CLAS. PROF.]:[AGRUP. CLAS. PROF.]]=$B96,IF(DATOS_[[Check Periodo Ref.]:[Check Periodo Ref.]]="Dentro",IF(DATOS_[[Check Equiparado]:[Check Equiparado]]="Sí",IF(DATOS!CD$5="Sí",(1/DATOS_[[% anualiz]:[% anualiz]]),1)*IF(DATOS!CD$4="Sí",1/DATOS_[[% normaliz]:[% normaliz]],1)*(DATOS_[C.Extra.08])))))))),
0)</f>
        <v>0</v>
      </c>
      <c r="AT97" s="173">
        <f t="array" ref="AT97">IFERROR(
(AVERAGE((IF(DATOS_[[Sexo]:[Sexo]]=$B97,IF(DATOS_[[AGRUP. CLAS. PROF.]:[AGRUP. CLAS. PROF.]]=$B96,IF(DATOS_[[Check Periodo Ref.]:[Check Periodo Ref.]]="Dentro",IF(DATOS_[[Check Equiparado]:[Check Equiparado]]="Sí",IF(DATOS!CG$5="Sí",(1/DATOS_[[% anualiz]:[% anualiz]]),1)*IF(DATOS!CG$4="Sí",1/DATOS_[[% normaliz]:[% normaliz]],1)*(DATOS_[C.Extra.11])))))))),
0)</f>
        <v>0</v>
      </c>
      <c r="AU97" s="197">
        <f t="array" ref="AU97">IFERROR(
AVERAGE(IF(DATOS_[Sexo]=$B97,IF(DATOS_[[AGRUP. CLAS. PROF.]:[AGRUP. CLAS. PROF.]]=$B96,IF(DATOS_[Check Equiparado]="Sí",IF(DATOS_[Check Periodo Ref.]="Dentro",DATOS_[Tot Extrasalarial Eq],FALSE))))),
0)</f>
        <v>0</v>
      </c>
      <c r="AV97" s="175">
        <f t="array" ref="AV97">IFERROR(
AVERAGE(IF(DATOS_[Sexo]=$B97,IF(DATOS_[[AGRUP. CLAS. PROF.]:[AGRUP. CLAS. PROF.]]=$B96,IF(DATOS_[Check Equiparado]="Sí",IF(DATOS_[Check Periodo Ref.]="Dentro",DATOS_[TOTAL Retrib Eq],FALSE))))),
0)</f>
        <v>0</v>
      </c>
    </row>
    <row r="98" spans="1:48" hidden="1" x14ac:dyDescent="0.25">
      <c r="A98" s="133" t="str">
        <f t="shared" ref="A98" si="114">+A97</f>
        <v>[ocultar]</v>
      </c>
      <c r="B98" s="202" t="s">
        <v>521</v>
      </c>
      <c r="C98" s="203">
        <f t="array" ref="C98">SUM(IF($B98=DATOS_[Sexo],
IF($B96=DATOS_[AGRUP. CLAS. PROF.],
IF("Dentro"=DATOS_[Check Periodo Ref.],
1/(COUNTIFS(DATOS_[Sexo],$B98,DATOS_[AGRUP. CLAS. PROF.],$B96,DATOS_[Check Periodo Ref.],"Dentro",DATOS_[id/cod],DATOS_[id/cod]))))))</f>
        <v>0</v>
      </c>
      <c r="D98" s="204">
        <f>COUNTIFS(DATOS_[AGRUP. CLAS. PROF.],$B96,DATOS_[Sexo],$B98,DATOS_[Check Periodo Ref.],"Dentro")</f>
        <v>0</v>
      </c>
      <c r="E98" s="204">
        <f>COUNTIFS(DATOS_[AGRUP. CLAS. PROF.],$B96,DATOS_[Sexo],$B98,DATOS_[Check Periodo Ref.],"Dentro",DATOS_[Check Nº SC Norm],"Sí")</f>
        <v>0</v>
      </c>
      <c r="F98" s="204">
        <f>COUNTIFS(DATOS_[AGRUP. CLAS. PROF.],$B96,DATOS_[Sexo],$B98,DATOS_[Check Periodo Ref.],"Dentro",DATOS_[Check Nº SC Anualiz],"Sí")</f>
        <v>0</v>
      </c>
      <c r="G98" s="204">
        <f>COUNTIFS(DATOS_[AGRUP. CLAS. PROF.],$B96,DATOS_[Sexo],$B98,DATOS_[Check Periodo Ref.],"Dentro",DATOS_[Check Nº SC Norm y Anualiz],"Sí")</f>
        <v>0</v>
      </c>
      <c r="H98" s="204">
        <f>COUNTIFS(DATOS_[AGRUP. CLAS. PROF.],$B96,DATOS_[Sexo],$B98,DATOS_[Check Periodo Ref.],"Dentro",DATOS_[Check Equiparación],"Sí")</f>
        <v>0</v>
      </c>
      <c r="I98" s="195" cm="1">
        <f t="array" ref="I98">IFERROR(
AVERAGE(IF(DATOS_[Sexo]=$B98,IF(DATOS_[[AGRUP. CLAS. PROF.]:[AGRUP. CLAS. PROF.]]=$B96,IF(DATOS_[Check Equiparado]="Sí",IF(DATOS_[Check Periodo Ref.]="Dentro",DATOS_[SALARIO BASE Eq],FALSE))))),
0)</f>
        <v>0</v>
      </c>
      <c r="J98" s="196">
        <f t="array" ref="J98">IFERROR(
(AVERAGE((IF(DATOS_[[Sexo]:[Sexo]]=$B98,IF(DATOS_[[AGRUP. CLAS. PROF.]:[AGRUP. CLAS. PROF.]]=$B96,IF(DATOS_[[Check Periodo Ref.]:[Check Periodo Ref.]]="Dentro",IF(DATOS_[[Check Equiparado]:[Check Equiparado]]="Sí",IF(DATOS!AE$5="Sí",(1/DATOS_[[% anualiz]:[% anualiz]]),1)*IF(DATOS!AE$4="Sí",1/DATOS_[[% normaliz]:[% normaliz]],1)*(DATOS_[Conc.Sal.01])))))))),
0)</f>
        <v>0</v>
      </c>
      <c r="K98" s="196">
        <f t="array" ref="K98">IFERROR(
(AVERAGE((IF(DATOS_[[Sexo]:[Sexo]]=$B98,IF(DATOS_[[AGRUP. CLAS. PROF.]:[AGRUP. CLAS. PROF.]]=$B96,IF(DATOS_[[Check Periodo Ref.]:[Check Periodo Ref.]]="Dentro",IF(DATOS_[[Check Equiparado]:[Check Equiparado]]="Sí",IF(DATOS!AF$5="Sí",(1/DATOS_[[% anualiz]:[% anualiz]]),1)*IF(DATOS!AF$4="Sí",1/DATOS_[[% normaliz]:[% normaliz]],1)*(DATOS_[Conc.Sal.02])))))))),
0)</f>
        <v>0</v>
      </c>
      <c r="L98" s="196">
        <f t="array" ref="L98">IFERROR(
(AVERAGE((IF(DATOS_[[Sexo]:[Sexo]]=$B98,IF(DATOS_[[AGRUP. CLAS. PROF.]:[AGRUP. CLAS. PROF.]]=$B96,IF(DATOS_[[Check Periodo Ref.]:[Check Periodo Ref.]]="Dentro",IF(DATOS_[[Check Equiparado]:[Check Equiparado]]="Sí",IF(DATOS!AG$5="Sí",(1/DATOS_[[% anualiz]:[% anualiz]]),1)*IF(DATOS!AG$4="Sí",1/DATOS_[[% normaliz]:[% normaliz]],1)*(DATOS_[Conc.Sal.03])))))))),
0)</f>
        <v>0</v>
      </c>
      <c r="M98" s="196">
        <f t="array" ref="M98">IFERROR(
(AVERAGE((IF(DATOS_[[Sexo]:[Sexo]]=$B98,IF(DATOS_[[AGRUP. CLAS. PROF.]:[AGRUP. CLAS. PROF.]]=$B96,IF(DATOS_[[Check Periodo Ref.]:[Check Periodo Ref.]]="Dentro",IF(DATOS_[[Check Equiparado]:[Check Equiparado]]="Sí",IF(DATOS!AH$5="Sí",(1/DATOS_[[% anualiz]:[% anualiz]]),1)*IF(DATOS!AH$4="Sí",1/DATOS_[[% normaliz]:[% normaliz]],1)*(DATOS_[Conc.Sal.04])))))))),
0)</f>
        <v>0</v>
      </c>
      <c r="N98" s="196">
        <f t="array" ref="N98">IFERROR(
(AVERAGE((IF(DATOS_[[Sexo]:[Sexo]]=$B98,IF(DATOS_[[AGRUP. CLAS. PROF.]:[AGRUP. CLAS. PROF.]]=$B96,IF(DATOS_[[Check Periodo Ref.]:[Check Periodo Ref.]]="Dentro",IF(DATOS_[[Check Equiparado]:[Check Equiparado]]="Sí",IF(DATOS!AI$5="Sí",(1/DATOS_[[% anualiz]:[% anualiz]]),1)*IF(DATOS!AI$4="Sí",1/DATOS_[[% normaliz]:[% normaliz]],1)*(DATOS_[Conc.Sal.05])))))))),
0)</f>
        <v>0</v>
      </c>
      <c r="O98" s="196">
        <f t="array" ref="O98">IFERROR(
(AVERAGE((IF(DATOS_[[Sexo]:[Sexo]]=$B98,IF(DATOS_[[AGRUP. CLAS. PROF.]:[AGRUP. CLAS. PROF.]]=$B96,IF(DATOS_[[Check Periodo Ref.]:[Check Periodo Ref.]]="Dentro",IF(DATOS_[[Check Equiparado]:[Check Equiparado]]="Sí",IF(DATOS!AJ$5="Sí",(1/DATOS_[[% anualiz]:[% anualiz]]),1)*IF(DATOS!AJ$4="Sí",1/DATOS_[[% normaliz]:[% normaliz]],1)*(DATOS_[Conc.Sal.06])))))))),
0)</f>
        <v>0</v>
      </c>
      <c r="P98" s="196">
        <f t="array" ref="P98">IFERROR(
(AVERAGE((IF(DATOS_[[Sexo]:[Sexo]]=$B98,IF(DATOS_[[AGRUP. CLAS. PROF.]:[AGRUP. CLAS. PROF.]]=$B96,IF(DATOS_[[Check Periodo Ref.]:[Check Periodo Ref.]]="Dentro",IF(DATOS_[[Check Equiparado]:[Check Equiparado]]="Sí",IF(DATOS!AK$5="Sí",(1/DATOS_[[% anualiz]:[% anualiz]]),1)*IF(DATOS!AK$4="Sí",1/DATOS_[[% normaliz]:[% normaliz]],1)*(DATOS_[Conc.Sal.07])))))))),
0)</f>
        <v>0</v>
      </c>
      <c r="Q98" s="196">
        <f t="array" ref="Q98">IFERROR(
(AVERAGE((IF(DATOS_[[Sexo]:[Sexo]]=$B98,IF(DATOS_[[AGRUP. CLAS. PROF.]:[AGRUP. CLAS. PROF.]]=$B96,IF(DATOS_[[Check Periodo Ref.]:[Check Periodo Ref.]]="Dentro",IF(DATOS_[[Check Equiparado]:[Check Equiparado]]="Sí",IF(DATOS!AL$5="Sí",(1/DATOS_[[% anualiz]:[% anualiz]]),1)*IF(DATOS!AL$4="Sí",1/DATOS_[[% normaliz]:[% normaliz]],1)*(DATOS_[Conc.Sal.08])))))))),
0)</f>
        <v>0</v>
      </c>
      <c r="R98" s="196">
        <f t="array" ref="R98">IFERROR(
(AVERAGE((IF(DATOS_[[Sexo]:[Sexo]]=$B98,IF(DATOS_[[AGRUP. CLAS. PROF.]:[AGRUP. CLAS. PROF.]]=$B96,IF(DATOS_[[Check Periodo Ref.]:[Check Periodo Ref.]]="Dentro",IF(DATOS_[[Check Equiparado]:[Check Equiparado]]="Sí",IF(DATOS!AM$5="Sí",(1/DATOS_[[% anualiz]:[% anualiz]]),1)*IF(DATOS!AM$4="Sí",1/DATOS_[[% normaliz]:[% normaliz]],1)*(DATOS_[Conc.Sal.09])))))))),
0)</f>
        <v>0</v>
      </c>
      <c r="S98" s="196">
        <f t="array" ref="S98">IFERROR(
(AVERAGE((IF(DATOS_[[Sexo]:[Sexo]]=$B98,IF(DATOS_[[AGRUP. CLAS. PROF.]:[AGRUP. CLAS. PROF.]]=$B96,IF(DATOS_[[Check Periodo Ref.]:[Check Periodo Ref.]]="Dentro",IF(DATOS_[[Check Equiparado]:[Check Equiparado]]="Sí",IF(DATOS!AN$5="Sí",(1/DATOS_[[% anualiz]:[% anualiz]]),1)*IF(DATOS!AN$4="Sí",1/DATOS_[[% normaliz]:[% normaliz]],1)*(DATOS_[Conc.Sal.10])))))))),
0)</f>
        <v>0</v>
      </c>
      <c r="T98" s="196">
        <f t="array" ref="T98">IFERROR(
(AVERAGE((IF(DATOS_[[Sexo]:[Sexo]]=$B98,IF(DATOS_[[AGRUP. CLAS. PROF.]:[AGRUP. CLAS. PROF.]]=$B96,IF(DATOS_[[Check Periodo Ref.]:[Check Periodo Ref.]]="Dentro",IF(DATOS_[[Check Equiparado]:[Check Equiparado]]="Sí",IF(DATOS!AO$5="Sí",(1/DATOS_[[% anualiz]:[% anualiz]]),1)*IF(DATOS!AO$4="Sí",1/DATOS_[[% normaliz]:[% normaliz]],1)*(DATOS_[Conc.Sal.11])))))))),
0)</f>
        <v>0</v>
      </c>
      <c r="U98" s="196">
        <f t="array" ref="U98">IFERROR(
(AVERAGE((IF(DATOS_[[Sexo]:[Sexo]]=$B98,IF(DATOS_[[AGRUP. CLAS. PROF.]:[AGRUP. CLAS. PROF.]]=$B96,IF(DATOS_[[Check Periodo Ref.]:[Check Periodo Ref.]]="Dentro",IF(DATOS_[[Check Equiparado]:[Check Equiparado]]="Sí",IF(DATOS!AP$5="Sí",(1/DATOS_[[% anualiz]:[% anualiz]]),1)*IF(DATOS!AP$4="Sí",1/DATOS_[[% normaliz]:[% normaliz]],1)*(DATOS_[Conc.Sal.12])))))))),
0)</f>
        <v>0</v>
      </c>
      <c r="V98" s="196">
        <f t="array" ref="V98">IFERROR(
(AVERAGE((IF(DATOS_[[Sexo]:[Sexo]]=$B98,IF(DATOS_[[AGRUP. CLAS. PROF.]:[AGRUP. CLAS. PROF.]]=$B96,IF(DATOS_[[Check Periodo Ref.]:[Check Periodo Ref.]]="Dentro",IF(DATOS_[[Check Equiparado]:[Check Equiparado]]="Sí",IF(DATOS!AQ$5="Sí",(1/DATOS_[[% anualiz]:[% anualiz]]),1)*IF(DATOS!AQ$4="Sí",1/DATOS_[[% normaliz]:[% normaliz]],1)*(DATOS_[Conc.Sal.13])))))))),
0)</f>
        <v>0</v>
      </c>
      <c r="W98" s="196">
        <f t="array" ref="W98">IFERROR(
(AVERAGE((IF(DATOS_[[Sexo]:[Sexo]]=$B98,IF(DATOS_[[AGRUP. CLAS. PROF.]:[AGRUP. CLAS. PROF.]]=$B96,IF(DATOS_[[Check Periodo Ref.]:[Check Periodo Ref.]]="Dentro",IF(DATOS_[[Check Equiparado]:[Check Equiparado]]="Sí",IF(DATOS!AR$5="Sí",(1/DATOS_[[% anualiz]:[% anualiz]]),1)*IF(DATOS!AR$4="Sí",1/DATOS_[[% normaliz]:[% normaliz]],1)*(DATOS_[Conc.Sal.14])))))))),
0)</f>
        <v>0</v>
      </c>
      <c r="X98" s="196">
        <f t="array" ref="X98">IFERROR(
(AVERAGE((IF(DATOS_[[Sexo]:[Sexo]]=$B98,IF(DATOS_[[AGRUP. CLAS. PROF.]:[AGRUP. CLAS. PROF.]]=$B96,IF(DATOS_[[Check Periodo Ref.]:[Check Periodo Ref.]]="Dentro",IF(DATOS_[[Check Equiparado]:[Check Equiparado]]="Sí",IF(DATOS!AS$5="Sí",(1/DATOS_[[% anualiz]:[% anualiz]]),1)*IF(DATOS!AS$4="Sí",1/DATOS_[[% normaliz]:[% normaliz]],1)*(DATOS_[Conc.Sal.15])))))))),
0)</f>
        <v>0</v>
      </c>
      <c r="Y98" s="196">
        <f t="array" ref="Y98">IFERROR(
(AVERAGE((IF(DATOS_[[Sexo]:[Sexo]]=$B98,IF(DATOS_[[AGRUP. CLAS. PROF.]:[AGRUP. CLAS. PROF.]]=$B96,IF(DATOS_[[Check Periodo Ref.]:[Check Periodo Ref.]]="Dentro",IF(DATOS_[[Check Equiparado]:[Check Equiparado]]="Sí",IF(DATOS!AT$5="Sí",(1/DATOS_[[% anualiz]:[% anualiz]]),1)*IF(DATOS!AT$4="Sí",1/DATOS_[[% normaliz]:[% normaliz]],1)*(DATOS_[Conc.Sal.16])))))))),
0)</f>
        <v>0</v>
      </c>
      <c r="Z98" s="196">
        <f t="array" ref="Z98">IFERROR(
(AVERAGE((IF(DATOS_[[Sexo]:[Sexo]]=$B98,IF(DATOS_[[AGRUP. CLAS. PROF.]:[AGRUP. CLAS. PROF.]]=$B96,IF(DATOS_[[Check Periodo Ref.]:[Check Periodo Ref.]]="Dentro",IF(DATOS_[[Check Equiparado]:[Check Equiparado]]="Sí",IF(DATOS!AU$5="Sí",(1/DATOS_[[% anualiz]:[% anualiz]]),1)*IF(DATOS!AU$4="Sí",1/DATOS_[[% normaliz]:[% normaliz]],1)*(DATOS_[Conc.Sal.17])))))))),
0)</f>
        <v>0</v>
      </c>
      <c r="AA98" s="196">
        <f t="array" ref="AA98">IFERROR(
(AVERAGE((IF(DATOS_[[Sexo]:[Sexo]]=$B98,IF(DATOS_[[AGRUP. CLAS. PROF.]:[AGRUP. CLAS. PROF.]]=$B96,IF(DATOS_[[Check Periodo Ref.]:[Check Periodo Ref.]]="Dentro",IF(DATOS_[[Check Equiparado]:[Check Equiparado]]="Sí",IF(DATOS!AV$5="Sí",(1/DATOS_[[% anualiz]:[% anualiz]]),1)*IF(DATOS!AV$4="Sí",1/DATOS_[[% normaliz]:[% normaliz]],1)*(DATOS_[Conc.Sal.18])))))))),
0)</f>
        <v>0</v>
      </c>
      <c r="AB98" s="196">
        <f t="array" ref="AB98">IFERROR(
(AVERAGE((IF(DATOS_[[Sexo]:[Sexo]]=$B98,IF(DATOS_[[AGRUP. CLAS. PROF.]:[AGRUP. CLAS. PROF.]]=$B96,IF(DATOS_[[Check Periodo Ref.]:[Check Periodo Ref.]]="Dentro",IF(DATOS_[[Check Equiparado]:[Check Equiparado]]="Sí",IF(DATOS!AW$5="Sí",(1/DATOS_[[% anualiz]:[% anualiz]]),1)*IF(DATOS!AW$4="Sí",1/DATOS_[[% normaliz]:[% normaliz]],1)*(DATOS_[Conc.Sal.19])))))))),
0)</f>
        <v>0</v>
      </c>
      <c r="AC98" s="196">
        <f t="array" ref="AC98">IFERROR(
(AVERAGE((IF(DATOS_[[Sexo]:[Sexo]]=$B98,IF(DATOS_[[AGRUP. CLAS. PROF.]:[AGRUP. CLAS. PROF.]]=$B96,IF(DATOS_[[Check Periodo Ref.]:[Check Periodo Ref.]]="Dentro",IF(DATOS_[[Check Equiparado]:[Check Equiparado]]="Sí",IF(DATOS!AX$5="Sí",(1/DATOS_[[% anualiz]:[% anualiz]]),1)*IF(DATOS!AX$4="Sí",1/DATOS_[[% normaliz]:[% normaliz]],1)*(DATOS_[Conc.Sal.20])))))))),
0)</f>
        <v>0</v>
      </c>
      <c r="AD98" s="196">
        <f t="array" ref="AD98">IFERROR(
(AVERAGE((IF(DATOS_[[Sexo]:[Sexo]]=$B98,IF(DATOS_[[AGRUP. CLAS. PROF.]:[AGRUP. CLAS. PROF.]]=$B96,IF(DATOS_[[Check Periodo Ref.]:[Check Periodo Ref.]]="Dentro",IF(DATOS_[[Check Equiparado]:[Check Equiparado]]="Sí",IF(DATOS!AY$5="Sí",(1/DATOS_[[% anualiz]:[% anualiz]]),1)*IF(DATOS!AY$4="Sí",1/DATOS_[[% normaliz]:[% normaliz]],1)*(DATOS_[Conc.Sal.21])))))))),
0)</f>
        <v>0</v>
      </c>
      <c r="AE98" s="196">
        <f t="array" ref="AE98">IFERROR(
(AVERAGE((IF(DATOS_[[Sexo]:[Sexo]]=$B98,IF(DATOS_[[AGRUP. CLAS. PROF.]:[AGRUP. CLAS. PROF.]]=$B96,IF(DATOS_[[Check Periodo Ref.]:[Check Periodo Ref.]]="Dentro",IF(DATOS_[[Check Equiparado]:[Check Equiparado]]="Sí",IF(DATOS!AZ$5="Sí",(1/DATOS_[[% anualiz]:[% anualiz]]),1)*IF(DATOS!AZ$4="Sí",1/DATOS_[[% normaliz]:[% normaliz]],1)*(DATOS_[Conc.Sal.22])))))))),
0)</f>
        <v>0</v>
      </c>
      <c r="AF98" s="196">
        <f t="array" ref="AF98">IFERROR(
(AVERAGE((IF(DATOS_[[Sexo]:[Sexo]]=$B98,IF(DATOS_[[AGRUP. CLAS. PROF.]:[AGRUP. CLAS. PROF.]]=$B96,IF(DATOS_[[Check Periodo Ref.]:[Check Periodo Ref.]]="Dentro",IF(DATOS_[[Check Equiparado]:[Check Equiparado]]="Sí",IF(DATOS!BA$5="Sí",(1/DATOS_[[% anualiz]:[% anualiz]]),1)*IF(DATOS!BA$4="Sí",1/DATOS_[[% normaliz]:[% normaliz]],1)*(DATOS_[Conc.Sal.23])))))))),
0)</f>
        <v>0</v>
      </c>
      <c r="AG98" s="196">
        <f t="array" ref="AG98">IFERROR(
(AVERAGE((IF(DATOS_[[Sexo]:[Sexo]]=$B98,IF(DATOS_[[AGRUP. CLAS. PROF.]:[AGRUP. CLAS. PROF.]]=$B96,IF(DATOS_[[Check Periodo Ref.]:[Check Periodo Ref.]]="Dentro",IF(DATOS_[[Check Equiparado]:[Check Equiparado]]="Sí",IF(DATOS!BB$5="Sí",(1/DATOS_[[% anualiz]:[% anualiz]]),1)*IF(DATOS!BB$4="Sí",1/DATOS_[[% normaliz]:[% normaliz]],1)*(DATOS_[Conc.Sal.24])))))))),
0)</f>
        <v>0</v>
      </c>
      <c r="AH98" s="196">
        <f t="array" ref="AH98">IFERROR(
(AVERAGE((IF(DATOS_[[Sexo]:[Sexo]]=$B98,IF(DATOS_[[AGRUP. CLAS. PROF.]:[AGRUP. CLAS. PROF.]]=$B96,IF(DATOS_[[Check Periodo Ref.]:[Check Periodo Ref.]]="Dentro",IF(DATOS_[[Check Equiparado]:[Check Equiparado]]="Sí",IF(DATOS!BC$5="Sí",(1/DATOS_[[% anualiz]:[% anualiz]]),1)*IF(DATOS!BC$4="Sí",1/DATOS_[[% normaliz]:[% normaliz]],1)*(DATOS_[Conc.Sal.25])))))))),
0)</f>
        <v>0</v>
      </c>
      <c r="AI98" s="196">
        <f t="array" ref="AI98">IFERROR(
(AVERAGE((IF(DATOS_[[Sexo]:[Sexo]]=$B98,IF(DATOS_[[AGRUP. CLAS. PROF.]:[AGRUP. CLAS. PROF.]]=$B96,IF(DATOS_[[Check Periodo Ref.]:[Check Periodo Ref.]]="Dentro",IF(DATOS_[[Check Equiparado]:[Check Equiparado]]="Sí",IF(DATOS!BD$5="Sí",(1/DATOS_[[% anualiz]:[% anualiz]]),1)*IF(DATOS!BD$4="Sí",1/DATOS_[[% normaliz]:[% normaliz]],1)*(DATOS_[Conc.Sal.26])))))))),
0)</f>
        <v>0</v>
      </c>
      <c r="AJ98" s="196">
        <f t="array" ref="AJ98">IFERROR(
(AVERAGE((IF(DATOS_[[Sexo]:[Sexo]]=$B98,IF(DATOS_[[AGRUP. CLAS. PROF.]:[AGRUP. CLAS. PROF.]]=$B96,IF(DATOS_[[Check Periodo Ref.]:[Check Periodo Ref.]]="Dentro",IF(DATOS_[[Check Equiparado]:[Check Equiparado]]="Sí",IF(DATOS!BE$5="Sí",(1/DATOS_[[% anualiz]:[% anualiz]]),1)*IF(DATOS!BE$4="Sí",1/DATOS_[[% normaliz]:[% normaliz]],1)*(DATOS_[Conc.Sal.27])))))))),
0)</f>
        <v>0</v>
      </c>
      <c r="AK98" s="196">
        <f t="array" ref="AK98">IFERROR(
(AVERAGE((IF(DATOS_[[Sexo]:[Sexo]]=$B98,IF(DATOS_[[AGRUP. CLAS. PROF.]:[AGRUP. CLAS. PROF.]]=$B96,IF(DATOS_[[Check Periodo Ref.]:[Check Periodo Ref.]]="Dentro",IF(DATOS_[[Check Equiparado]:[Check Equiparado]]="Sí",IF(DATOS!BF$5="Sí",(1/DATOS_[[% anualiz]:[% anualiz]]),1)*IF(DATOS!BF$4="Sí",1/DATOS_[[% normaliz]:[% normaliz]],1)*(DATOS_[Conc.Sal.28])))))))),
0)</f>
        <v>0</v>
      </c>
      <c r="AL98" s="196">
        <f t="array" ref="AL98">IFERROR(
(AVERAGE((IF(DATOS_[[Sexo]:[Sexo]]=$B98,IF(DATOS_[[AGRUP. CLAS. PROF.]:[AGRUP. CLAS. PROF.]]=$B96,IF(DATOS_[[Check Periodo Ref.]:[Check Periodo Ref.]]="Dentro",IF(DATOS_[[Check Equiparado]:[Check Equiparado]]="Sí",IF(DATOS!BG$5="Sí",(1/DATOS_[[% anualiz]:[% anualiz]]),1)*IF(DATOS!BG$4="Sí",1/DATOS_[[% normaliz]:[% normaliz]],1)*(DATOS_[Conc.Sal.29])))))))),
0)</f>
        <v>0</v>
      </c>
      <c r="AM98" s="196">
        <f t="array" ref="AM98">IFERROR(
(AVERAGE((IF(DATOS_[[Sexo]:[Sexo]]=$B98,IF(DATOS_[[AGRUP. CLAS. PROF.]:[AGRUP. CLAS. PROF.]]=$B96,IF(DATOS_[[Check Periodo Ref.]:[Check Periodo Ref.]]="Dentro",IF(DATOS_[[Check Equiparado]:[Check Equiparado]]="Sí",IF(DATOS!BH$5="Sí",(1/DATOS_[[% anualiz]:[% anualiz]]),1)*IF(DATOS!BH$4="Sí",1/DATOS_[[% normaliz]:[% normaliz]],1)*(DATOS_[Conc.Sal.30])))))))),
0)</f>
        <v>0</v>
      </c>
      <c r="AN98" s="195">
        <f t="array" ref="AN98">IFERROR(
AVERAGE(IF(DATOS_[Sexo]=$B98,IF(DATOS_[[AGRUP. CLAS. PROF.]:[AGRUP. CLAS. PROF.]]=$B96,IF(DATOS_[Check Equiparado]="Sí",IF(DATOS_[Check Periodo Ref.]="Dentro",DATOS_[Tot COMPL.SAL Eq],FALSE))))),
0)</f>
        <v>0</v>
      </c>
      <c r="AO98" s="172">
        <f t="array" ref="AO98">IFERROR(
AVERAGE(IF(DATOS_[Sexo]=$B98,IF(DATOS_[[AGRUP. CLAS. PROF.]:[AGRUP. CLAS. PROF.]]=$B96,IF(DATOS_[Check Equiparado]="Sí",IF(DATOS_[Check Periodo Ref.]="Dentro",DATOS_[TOTAL SALARIO Eq],FALSE))))),
0)</f>
        <v>0</v>
      </c>
      <c r="AP98" s="173">
        <f t="array" ref="AP98">IFERROR(
(AVERAGE((IF(DATOS_[[Sexo]:[Sexo]]=$B98,IF(DATOS_[[AGRUP. CLAS. PROF.]:[AGRUP. CLAS. PROF.]]=$B96,IF(DATOS_[[Check Periodo Ref.]:[Check Periodo Ref.]]="Dentro",IF(DATOS_[[Check Equiparado]:[Check Equiparado]]="Sí",IF(DATOS!BW$5="Sí",(1/DATOS_[[% anualiz]:[% anualiz]]),1)*IF(DATOS!BW$4="Sí",1/DATOS_[[% normaliz]:[% normaliz]],1)*(DATOS_[C.Extra.01])))))))),
0)</f>
        <v>0</v>
      </c>
      <c r="AQ98" s="173">
        <f t="array" ref="AQ98">IFERROR(
(AVERAGE((IF(DATOS_[[Sexo]:[Sexo]]=$B98,IF(DATOS_[[AGRUP. CLAS. PROF.]:[AGRUP. CLAS. PROF.]]=$B96,IF(DATOS_[[Check Periodo Ref.]:[Check Periodo Ref.]]="Dentro",IF(DATOS_[[Check Equiparado]:[Check Equiparado]]="Sí",IF(DATOS!CB$5="Sí",(1/DATOS_[[% anualiz]:[% anualiz]]),1)*IF(DATOS!CB$4="Sí",1/DATOS_[[% normaliz]:[% normaliz]],1)*(DATOS_[C.Extra.06])))))))),
0)</f>
        <v>0</v>
      </c>
      <c r="AR98" s="173">
        <f t="array" ref="AR98">IFERROR(
(AVERAGE((IF(DATOS_[[Sexo]:[Sexo]]=$B98,IF(DATOS_[[AGRUP. CLAS. PROF.]:[AGRUP. CLAS. PROF.]]=$B96,IF(DATOS_[[Check Periodo Ref.]:[Check Periodo Ref.]]="Dentro",IF(DATOS_[[Check Equiparado]:[Check Equiparado]]="Sí",IF(DATOS!CC$5="Sí",(1/DATOS_[[% anualiz]:[% anualiz]]),1)*IF(DATOS!CC$4="Sí",1/DATOS_[[% normaliz]:[% normaliz]],1)*(DATOS_[C.Extra.07])))))))),
0)</f>
        <v>0</v>
      </c>
      <c r="AS98" s="173">
        <f t="array" ref="AS98">IFERROR(
(AVERAGE((IF(DATOS_[[Sexo]:[Sexo]]=$B98,IF(DATOS_[[AGRUP. CLAS. PROF.]:[AGRUP. CLAS. PROF.]]=$B96,IF(DATOS_[[Check Periodo Ref.]:[Check Periodo Ref.]]="Dentro",IF(DATOS_[[Check Equiparado]:[Check Equiparado]]="Sí",IF(DATOS!CD$5="Sí",(1/DATOS_[[% anualiz]:[% anualiz]]),1)*IF(DATOS!CD$4="Sí",1/DATOS_[[% normaliz]:[% normaliz]],1)*(DATOS_[C.Extra.08])))))))),
0)</f>
        <v>0</v>
      </c>
      <c r="AT98" s="173">
        <f t="array" ref="AT98">IFERROR(
(AVERAGE((IF(DATOS_[[Sexo]:[Sexo]]=$B98,IF(DATOS_[[AGRUP. CLAS. PROF.]:[AGRUP. CLAS. PROF.]]=$B96,IF(DATOS_[[Check Periodo Ref.]:[Check Periodo Ref.]]="Dentro",IF(DATOS_[[Check Equiparado]:[Check Equiparado]]="Sí",IF(DATOS!CG$5="Sí",(1/DATOS_[[% anualiz]:[% anualiz]]),1)*IF(DATOS!CG$4="Sí",1/DATOS_[[% normaliz]:[% normaliz]],1)*(DATOS_[C.Extra.11])))))))),
0)</f>
        <v>0</v>
      </c>
      <c r="AU98" s="197">
        <f t="array" ref="AU98">IFERROR(
AVERAGE(IF(DATOS_[Sexo]=$B98,IF(DATOS_[[AGRUP. CLAS. PROF.]:[AGRUP. CLAS. PROF.]]=$B96,IF(DATOS_[Check Equiparado]="Sí",IF(DATOS_[Check Periodo Ref.]="Dentro",DATOS_[Tot Extrasalarial Eq],FALSE))))),
0)</f>
        <v>0</v>
      </c>
      <c r="AV98" s="175">
        <f t="array" ref="AV98">IFERROR(
AVERAGE(IF(DATOS_[Sexo]=$B98,IF(DATOS_[[AGRUP. CLAS. PROF.]:[AGRUP. CLAS. PROF.]]=$B96,IF(DATOS_[Check Equiparado]="Sí",IF(DATOS_[Check Periodo Ref.]="Dentro",DATOS_[TOTAL Retrib Eq],FALSE))))),
0)</f>
        <v>0</v>
      </c>
    </row>
    <row r="99" spans="1:48" ht="15.6" hidden="1" thickBot="1" x14ac:dyDescent="0.3">
      <c r="A99" s="133" t="str">
        <f t="shared" ref="A99" si="115">+A100</f>
        <v>[ocultar]</v>
      </c>
      <c r="B99" s="199" t="s">
        <v>286</v>
      </c>
      <c r="C99" s="200"/>
      <c r="D99" s="201"/>
      <c r="E99" s="201"/>
      <c r="F99" s="201"/>
      <c r="G99" s="201"/>
      <c r="H99" s="201"/>
      <c r="I99" s="189" t="str">
        <f t="shared" ref="I99:AV99" si="116">IFERROR((I100-I101)/I100,"")</f>
        <v/>
      </c>
      <c r="J99" s="190" t="str">
        <f t="shared" si="116"/>
        <v/>
      </c>
      <c r="K99" s="191" t="str">
        <f t="shared" si="116"/>
        <v/>
      </c>
      <c r="L99" s="191" t="str">
        <f t="shared" si="116"/>
        <v/>
      </c>
      <c r="M99" s="191" t="str">
        <f t="shared" si="116"/>
        <v/>
      </c>
      <c r="N99" s="192" t="str">
        <f t="shared" si="116"/>
        <v/>
      </c>
      <c r="O99" s="193" t="str">
        <f t="shared" si="116"/>
        <v/>
      </c>
      <c r="P99" s="193" t="str">
        <f t="shared" si="116"/>
        <v/>
      </c>
      <c r="Q99" s="193" t="str">
        <f t="shared" si="116"/>
        <v/>
      </c>
      <c r="R99" s="193" t="str">
        <f t="shared" si="116"/>
        <v/>
      </c>
      <c r="S99" s="193" t="str">
        <f t="shared" si="116"/>
        <v/>
      </c>
      <c r="T99" s="193" t="str">
        <f t="shared" si="116"/>
        <v/>
      </c>
      <c r="U99" s="193" t="str">
        <f t="shared" si="116"/>
        <v/>
      </c>
      <c r="V99" s="193" t="str">
        <f t="shared" si="116"/>
        <v/>
      </c>
      <c r="W99" s="193" t="str">
        <f t="shared" si="116"/>
        <v/>
      </c>
      <c r="X99" s="193" t="str">
        <f t="shared" si="116"/>
        <v/>
      </c>
      <c r="Y99" s="193" t="str">
        <f t="shared" si="116"/>
        <v/>
      </c>
      <c r="Z99" s="193" t="str">
        <f t="shared" si="116"/>
        <v/>
      </c>
      <c r="AA99" s="193" t="str">
        <f t="shared" si="116"/>
        <v/>
      </c>
      <c r="AB99" s="193" t="str">
        <f t="shared" si="116"/>
        <v/>
      </c>
      <c r="AC99" s="193" t="str">
        <f t="shared" si="116"/>
        <v/>
      </c>
      <c r="AD99" s="193" t="str">
        <f t="shared" si="116"/>
        <v/>
      </c>
      <c r="AE99" s="193" t="str">
        <f t="shared" si="116"/>
        <v/>
      </c>
      <c r="AF99" s="193" t="str">
        <f t="shared" si="116"/>
        <v/>
      </c>
      <c r="AG99" s="193" t="str">
        <f t="shared" si="116"/>
        <v/>
      </c>
      <c r="AH99" s="193" t="str">
        <f t="shared" si="116"/>
        <v/>
      </c>
      <c r="AI99" s="193" t="str">
        <f t="shared" si="116"/>
        <v/>
      </c>
      <c r="AJ99" s="193" t="str">
        <f t="shared" si="116"/>
        <v/>
      </c>
      <c r="AK99" s="193" t="str">
        <f t="shared" si="116"/>
        <v/>
      </c>
      <c r="AL99" s="193" t="str">
        <f t="shared" si="116"/>
        <v/>
      </c>
      <c r="AM99" s="193" t="str">
        <f t="shared" si="116"/>
        <v/>
      </c>
      <c r="AN99" s="189" t="str">
        <f t="shared" si="116"/>
        <v/>
      </c>
      <c r="AO99" s="162" t="str">
        <f t="shared" si="116"/>
        <v/>
      </c>
      <c r="AP99" s="163" t="str">
        <f t="shared" si="116"/>
        <v/>
      </c>
      <c r="AQ99" s="163" t="str">
        <f t="shared" si="116"/>
        <v/>
      </c>
      <c r="AR99" s="163" t="str">
        <f t="shared" si="116"/>
        <v/>
      </c>
      <c r="AS99" s="163" t="str">
        <f t="shared" si="116"/>
        <v/>
      </c>
      <c r="AT99" s="163" t="str">
        <f t="shared" si="116"/>
        <v/>
      </c>
      <c r="AU99" s="194" t="str">
        <f t="shared" si="116"/>
        <v/>
      </c>
      <c r="AV99" s="165" t="str">
        <f t="shared" si="116"/>
        <v/>
      </c>
    </row>
    <row r="100" spans="1:48" hidden="1" x14ac:dyDescent="0.25">
      <c r="A100" s="133" t="str">
        <f t="shared" ref="A100" si="117">+IF(C100+C101=0,"[ocultar]","")</f>
        <v>[ocultar]</v>
      </c>
      <c r="B100" s="202" t="s">
        <v>394</v>
      </c>
      <c r="C100" s="203">
        <f t="array" ref="C100">SUM(IF($B100=DATOS_[Sexo],
IF($B99=DATOS_[AGRUP. CLAS. PROF.],
IF("Dentro"=DATOS_[Check Periodo Ref.],
1/(COUNTIFS(DATOS_[Sexo],$B100,DATOS_[AGRUP. CLAS. PROF.],$B99,DATOS_[Check Periodo Ref.],"Dentro",DATOS_[id/cod],DATOS_[id/cod]))))))</f>
        <v>0</v>
      </c>
      <c r="D100" s="204">
        <f>COUNTIFS(DATOS_[AGRUP. CLAS. PROF.],$B99,DATOS_[Sexo],$B100,DATOS_[Check Periodo Ref.],"Dentro")</f>
        <v>0</v>
      </c>
      <c r="E100" s="204">
        <f>COUNTIFS(DATOS_[AGRUP. CLAS. PROF.],$B99,DATOS_[Sexo],$B100,DATOS_[Check Periodo Ref.],"Dentro",DATOS_[Check Nº SC Norm],"Sí")</f>
        <v>0</v>
      </c>
      <c r="F100" s="204">
        <f>COUNTIFS(DATOS_[AGRUP. CLAS. PROF.],$B99,DATOS_[Sexo],$B100,DATOS_[Check Periodo Ref.],"Dentro",DATOS_[Check Nº SC Anualiz],"Sí")</f>
        <v>0</v>
      </c>
      <c r="G100" s="204">
        <f>COUNTIFS(DATOS_[AGRUP. CLAS. PROF.],$B99,DATOS_[Sexo],$B100,DATOS_[Check Periodo Ref.],"Dentro",DATOS_[Check Nº SC Norm y Anualiz],"Sí")</f>
        <v>0</v>
      </c>
      <c r="H100" s="204">
        <f>COUNTIFS(DATOS_[AGRUP. CLAS. PROF.],$B99,DATOS_[Sexo],$B100,DATOS_[Check Periodo Ref.],"Dentro",DATOS_[Check Equiparación],"Sí")</f>
        <v>0</v>
      </c>
      <c r="I100" s="195">
        <f t="array" ref="I100">IFERROR(
AVERAGE(IF(DATOS_[Sexo]=$B100,IF(DATOS_[[AGRUP. CLAS. PROF.]:[AGRUP. CLAS. PROF.]]=$B99,IF(DATOS_[Check Equiparado]="Sí",IF(DATOS_[Check Periodo Ref.]="Dentro",DATOS_[SALARIO BASE Eq],FALSE))))),
0)</f>
        <v>0</v>
      </c>
      <c r="J100" s="196">
        <f t="array" ref="J100">IFERROR(
(AVERAGE((IF(DATOS_[[Sexo]:[Sexo]]=$B100,IF(DATOS_[[AGRUP. CLAS. PROF.]:[AGRUP. CLAS. PROF.]]=$B99,IF(DATOS_[[Check Periodo Ref.]:[Check Periodo Ref.]]="Dentro",IF(DATOS_[[Check Equiparado]:[Check Equiparado]]="Sí",IF(DATOS!AE$5="Sí",(1/DATOS_[[% anualiz]:[% anualiz]]),1)*IF(DATOS!AE$4="Sí",1/DATOS_[[% normaliz]:[% normaliz]],1)*(DATOS_[Conc.Sal.01])))))))),
0)</f>
        <v>0</v>
      </c>
      <c r="K100" s="196">
        <f t="array" ref="K100">IFERROR(
(AVERAGE((IF(DATOS_[[Sexo]:[Sexo]]=$B100,IF(DATOS_[[AGRUP. CLAS. PROF.]:[AGRUP. CLAS. PROF.]]=$B99,IF(DATOS_[[Check Periodo Ref.]:[Check Periodo Ref.]]="Dentro",IF(DATOS_[[Check Equiparado]:[Check Equiparado]]="Sí",IF(DATOS!AF$5="Sí",(1/DATOS_[[% anualiz]:[% anualiz]]),1)*IF(DATOS!AF$4="Sí",1/DATOS_[[% normaliz]:[% normaliz]],1)*(DATOS_[Conc.Sal.02])))))))),
0)</f>
        <v>0</v>
      </c>
      <c r="L100" s="196">
        <f t="array" ref="L100">IFERROR(
(AVERAGE((IF(DATOS_[[Sexo]:[Sexo]]=$B100,IF(DATOS_[[AGRUP. CLAS. PROF.]:[AGRUP. CLAS. PROF.]]=$B99,IF(DATOS_[[Check Periodo Ref.]:[Check Periodo Ref.]]="Dentro",IF(DATOS_[[Check Equiparado]:[Check Equiparado]]="Sí",IF(DATOS!AG$5="Sí",(1/DATOS_[[% anualiz]:[% anualiz]]),1)*IF(DATOS!AG$4="Sí",1/DATOS_[[% normaliz]:[% normaliz]],1)*(DATOS_[Conc.Sal.03])))))))),
0)</f>
        <v>0</v>
      </c>
      <c r="M100" s="196">
        <f t="array" ref="M100">IFERROR(
(AVERAGE((IF(DATOS_[[Sexo]:[Sexo]]=$B100,IF(DATOS_[[AGRUP. CLAS. PROF.]:[AGRUP. CLAS. PROF.]]=$B99,IF(DATOS_[[Check Periodo Ref.]:[Check Periodo Ref.]]="Dentro",IF(DATOS_[[Check Equiparado]:[Check Equiparado]]="Sí",IF(DATOS!AH$5="Sí",(1/DATOS_[[% anualiz]:[% anualiz]]),1)*IF(DATOS!AH$4="Sí",1/DATOS_[[% normaliz]:[% normaliz]],1)*(DATOS_[Conc.Sal.04])))))))),
0)</f>
        <v>0</v>
      </c>
      <c r="N100" s="196">
        <f t="array" ref="N100">IFERROR(
(AVERAGE((IF(DATOS_[[Sexo]:[Sexo]]=$B100,IF(DATOS_[[AGRUP. CLAS. PROF.]:[AGRUP. CLAS. PROF.]]=$B99,IF(DATOS_[[Check Periodo Ref.]:[Check Periodo Ref.]]="Dentro",IF(DATOS_[[Check Equiparado]:[Check Equiparado]]="Sí",IF(DATOS!AI$5="Sí",(1/DATOS_[[% anualiz]:[% anualiz]]),1)*IF(DATOS!AI$4="Sí",1/DATOS_[[% normaliz]:[% normaliz]],1)*(DATOS_[Conc.Sal.05])))))))),
0)</f>
        <v>0</v>
      </c>
      <c r="O100" s="196">
        <f t="array" ref="O100">IFERROR(
(AVERAGE((IF(DATOS_[[Sexo]:[Sexo]]=$B100,IF(DATOS_[[AGRUP. CLAS. PROF.]:[AGRUP. CLAS. PROF.]]=$B99,IF(DATOS_[[Check Periodo Ref.]:[Check Periodo Ref.]]="Dentro",IF(DATOS_[[Check Equiparado]:[Check Equiparado]]="Sí",IF(DATOS!AJ$5="Sí",(1/DATOS_[[% anualiz]:[% anualiz]]),1)*IF(DATOS!AJ$4="Sí",1/DATOS_[[% normaliz]:[% normaliz]],1)*(DATOS_[Conc.Sal.06])))))))),
0)</f>
        <v>0</v>
      </c>
      <c r="P100" s="196">
        <f t="array" ref="P100">IFERROR(
(AVERAGE((IF(DATOS_[[Sexo]:[Sexo]]=$B100,IF(DATOS_[[AGRUP. CLAS. PROF.]:[AGRUP. CLAS. PROF.]]=$B99,IF(DATOS_[[Check Periodo Ref.]:[Check Periodo Ref.]]="Dentro",IF(DATOS_[[Check Equiparado]:[Check Equiparado]]="Sí",IF(DATOS!AK$5="Sí",(1/DATOS_[[% anualiz]:[% anualiz]]),1)*IF(DATOS!AK$4="Sí",1/DATOS_[[% normaliz]:[% normaliz]],1)*(DATOS_[Conc.Sal.07])))))))),
0)</f>
        <v>0</v>
      </c>
      <c r="Q100" s="196">
        <f t="array" ref="Q100">IFERROR(
(AVERAGE((IF(DATOS_[[Sexo]:[Sexo]]=$B100,IF(DATOS_[[AGRUP. CLAS. PROF.]:[AGRUP. CLAS. PROF.]]=$B99,IF(DATOS_[[Check Periodo Ref.]:[Check Periodo Ref.]]="Dentro",IF(DATOS_[[Check Equiparado]:[Check Equiparado]]="Sí",IF(DATOS!AL$5="Sí",(1/DATOS_[[% anualiz]:[% anualiz]]),1)*IF(DATOS!AL$4="Sí",1/DATOS_[[% normaliz]:[% normaliz]],1)*(DATOS_[Conc.Sal.08])))))))),
0)</f>
        <v>0</v>
      </c>
      <c r="R100" s="196">
        <f t="array" ref="R100">IFERROR(
(AVERAGE((IF(DATOS_[[Sexo]:[Sexo]]=$B100,IF(DATOS_[[AGRUP. CLAS. PROF.]:[AGRUP. CLAS. PROF.]]=$B99,IF(DATOS_[[Check Periodo Ref.]:[Check Periodo Ref.]]="Dentro",IF(DATOS_[[Check Equiparado]:[Check Equiparado]]="Sí",IF(DATOS!AM$5="Sí",(1/DATOS_[[% anualiz]:[% anualiz]]),1)*IF(DATOS!AM$4="Sí",1/DATOS_[[% normaliz]:[% normaliz]],1)*(DATOS_[Conc.Sal.09])))))))),
0)</f>
        <v>0</v>
      </c>
      <c r="S100" s="196">
        <f t="array" ref="S100">IFERROR(
(AVERAGE((IF(DATOS_[[Sexo]:[Sexo]]=$B100,IF(DATOS_[[AGRUP. CLAS. PROF.]:[AGRUP. CLAS. PROF.]]=$B99,IF(DATOS_[[Check Periodo Ref.]:[Check Periodo Ref.]]="Dentro",IF(DATOS_[[Check Equiparado]:[Check Equiparado]]="Sí",IF(DATOS!AN$5="Sí",(1/DATOS_[[% anualiz]:[% anualiz]]),1)*IF(DATOS!AN$4="Sí",1/DATOS_[[% normaliz]:[% normaliz]],1)*(DATOS_[Conc.Sal.10])))))))),
0)</f>
        <v>0</v>
      </c>
      <c r="T100" s="196">
        <f t="array" ref="T100">IFERROR(
(AVERAGE((IF(DATOS_[[Sexo]:[Sexo]]=$B100,IF(DATOS_[[AGRUP. CLAS. PROF.]:[AGRUP. CLAS. PROF.]]=$B99,IF(DATOS_[[Check Periodo Ref.]:[Check Periodo Ref.]]="Dentro",IF(DATOS_[[Check Equiparado]:[Check Equiparado]]="Sí",IF(DATOS!AO$5="Sí",(1/DATOS_[[% anualiz]:[% anualiz]]),1)*IF(DATOS!AO$4="Sí",1/DATOS_[[% normaliz]:[% normaliz]],1)*(DATOS_[Conc.Sal.11])))))))),
0)</f>
        <v>0</v>
      </c>
      <c r="U100" s="196">
        <f t="array" ref="U100">IFERROR(
(AVERAGE((IF(DATOS_[[Sexo]:[Sexo]]=$B100,IF(DATOS_[[AGRUP. CLAS. PROF.]:[AGRUP. CLAS. PROF.]]=$B99,IF(DATOS_[[Check Periodo Ref.]:[Check Periodo Ref.]]="Dentro",IF(DATOS_[[Check Equiparado]:[Check Equiparado]]="Sí",IF(DATOS!AP$5="Sí",(1/DATOS_[[% anualiz]:[% anualiz]]),1)*IF(DATOS!AP$4="Sí",1/DATOS_[[% normaliz]:[% normaliz]],1)*(DATOS_[Conc.Sal.12])))))))),
0)</f>
        <v>0</v>
      </c>
      <c r="V100" s="196">
        <f t="array" ref="V100">IFERROR(
(AVERAGE((IF(DATOS_[[Sexo]:[Sexo]]=$B100,IF(DATOS_[[AGRUP. CLAS. PROF.]:[AGRUP. CLAS. PROF.]]=$B99,IF(DATOS_[[Check Periodo Ref.]:[Check Periodo Ref.]]="Dentro",IF(DATOS_[[Check Equiparado]:[Check Equiparado]]="Sí",IF(DATOS!AQ$5="Sí",(1/DATOS_[[% anualiz]:[% anualiz]]),1)*IF(DATOS!AQ$4="Sí",1/DATOS_[[% normaliz]:[% normaliz]],1)*(DATOS_[Conc.Sal.13])))))))),
0)</f>
        <v>0</v>
      </c>
      <c r="W100" s="196">
        <f t="array" ref="W100">IFERROR(
(AVERAGE((IF(DATOS_[[Sexo]:[Sexo]]=$B100,IF(DATOS_[[AGRUP. CLAS. PROF.]:[AGRUP. CLAS. PROF.]]=$B99,IF(DATOS_[[Check Periodo Ref.]:[Check Periodo Ref.]]="Dentro",IF(DATOS_[[Check Equiparado]:[Check Equiparado]]="Sí",IF(DATOS!AR$5="Sí",(1/DATOS_[[% anualiz]:[% anualiz]]),1)*IF(DATOS!AR$4="Sí",1/DATOS_[[% normaliz]:[% normaliz]],1)*(DATOS_[Conc.Sal.14])))))))),
0)</f>
        <v>0</v>
      </c>
      <c r="X100" s="196">
        <f t="array" ref="X100">IFERROR(
(AVERAGE((IF(DATOS_[[Sexo]:[Sexo]]=$B100,IF(DATOS_[[AGRUP. CLAS. PROF.]:[AGRUP. CLAS. PROF.]]=$B99,IF(DATOS_[[Check Periodo Ref.]:[Check Periodo Ref.]]="Dentro",IF(DATOS_[[Check Equiparado]:[Check Equiparado]]="Sí",IF(DATOS!AS$5="Sí",(1/DATOS_[[% anualiz]:[% anualiz]]),1)*IF(DATOS!AS$4="Sí",1/DATOS_[[% normaliz]:[% normaliz]],1)*(DATOS_[Conc.Sal.15])))))))),
0)</f>
        <v>0</v>
      </c>
      <c r="Y100" s="196">
        <f t="array" ref="Y100">IFERROR(
(AVERAGE((IF(DATOS_[[Sexo]:[Sexo]]=$B100,IF(DATOS_[[AGRUP. CLAS. PROF.]:[AGRUP. CLAS. PROF.]]=$B99,IF(DATOS_[[Check Periodo Ref.]:[Check Periodo Ref.]]="Dentro",IF(DATOS_[[Check Equiparado]:[Check Equiparado]]="Sí",IF(DATOS!AT$5="Sí",(1/DATOS_[[% anualiz]:[% anualiz]]),1)*IF(DATOS!AT$4="Sí",1/DATOS_[[% normaliz]:[% normaliz]],1)*(DATOS_[Conc.Sal.16])))))))),
0)</f>
        <v>0</v>
      </c>
      <c r="Z100" s="196">
        <f t="array" ref="Z100">IFERROR(
(AVERAGE((IF(DATOS_[[Sexo]:[Sexo]]=$B100,IF(DATOS_[[AGRUP. CLAS. PROF.]:[AGRUP. CLAS. PROF.]]=$B99,IF(DATOS_[[Check Periodo Ref.]:[Check Periodo Ref.]]="Dentro",IF(DATOS_[[Check Equiparado]:[Check Equiparado]]="Sí",IF(DATOS!AU$5="Sí",(1/DATOS_[[% anualiz]:[% anualiz]]),1)*IF(DATOS!AU$4="Sí",1/DATOS_[[% normaliz]:[% normaliz]],1)*(DATOS_[Conc.Sal.17])))))))),
0)</f>
        <v>0</v>
      </c>
      <c r="AA100" s="196">
        <f t="array" ref="AA100">IFERROR(
(AVERAGE((IF(DATOS_[[Sexo]:[Sexo]]=$B100,IF(DATOS_[[AGRUP. CLAS. PROF.]:[AGRUP. CLAS. PROF.]]=$B99,IF(DATOS_[[Check Periodo Ref.]:[Check Periodo Ref.]]="Dentro",IF(DATOS_[[Check Equiparado]:[Check Equiparado]]="Sí",IF(DATOS!AV$5="Sí",(1/DATOS_[[% anualiz]:[% anualiz]]),1)*IF(DATOS!AV$4="Sí",1/DATOS_[[% normaliz]:[% normaliz]],1)*(DATOS_[Conc.Sal.18])))))))),
0)</f>
        <v>0</v>
      </c>
      <c r="AB100" s="196">
        <f t="array" ref="AB100">IFERROR(
(AVERAGE((IF(DATOS_[[Sexo]:[Sexo]]=$B100,IF(DATOS_[[AGRUP. CLAS. PROF.]:[AGRUP. CLAS. PROF.]]=$B99,IF(DATOS_[[Check Periodo Ref.]:[Check Periodo Ref.]]="Dentro",IF(DATOS_[[Check Equiparado]:[Check Equiparado]]="Sí",IF(DATOS!AW$5="Sí",(1/DATOS_[[% anualiz]:[% anualiz]]),1)*IF(DATOS!AW$4="Sí",1/DATOS_[[% normaliz]:[% normaliz]],1)*(DATOS_[Conc.Sal.19])))))))),
0)</f>
        <v>0</v>
      </c>
      <c r="AC100" s="196">
        <f t="array" ref="AC100">IFERROR(
(AVERAGE((IF(DATOS_[[Sexo]:[Sexo]]=$B100,IF(DATOS_[[AGRUP. CLAS. PROF.]:[AGRUP. CLAS. PROF.]]=$B99,IF(DATOS_[[Check Periodo Ref.]:[Check Periodo Ref.]]="Dentro",IF(DATOS_[[Check Equiparado]:[Check Equiparado]]="Sí",IF(DATOS!AX$5="Sí",(1/DATOS_[[% anualiz]:[% anualiz]]),1)*IF(DATOS!AX$4="Sí",1/DATOS_[[% normaliz]:[% normaliz]],1)*(DATOS_[Conc.Sal.20])))))))),
0)</f>
        <v>0</v>
      </c>
      <c r="AD100" s="196">
        <f t="array" ref="AD100">IFERROR(
(AVERAGE((IF(DATOS_[[Sexo]:[Sexo]]=$B100,IF(DATOS_[[AGRUP. CLAS. PROF.]:[AGRUP. CLAS. PROF.]]=$B99,IF(DATOS_[[Check Periodo Ref.]:[Check Periodo Ref.]]="Dentro",IF(DATOS_[[Check Equiparado]:[Check Equiparado]]="Sí",IF(DATOS!AY$5="Sí",(1/DATOS_[[% anualiz]:[% anualiz]]),1)*IF(DATOS!AY$4="Sí",1/DATOS_[[% normaliz]:[% normaliz]],1)*(DATOS_[Conc.Sal.21])))))))),
0)</f>
        <v>0</v>
      </c>
      <c r="AE100" s="196">
        <f t="array" ref="AE100">IFERROR(
(AVERAGE((IF(DATOS_[[Sexo]:[Sexo]]=$B100,IF(DATOS_[[AGRUP. CLAS. PROF.]:[AGRUP. CLAS. PROF.]]=$B99,IF(DATOS_[[Check Periodo Ref.]:[Check Periodo Ref.]]="Dentro",IF(DATOS_[[Check Equiparado]:[Check Equiparado]]="Sí",IF(DATOS!AZ$5="Sí",(1/DATOS_[[% anualiz]:[% anualiz]]),1)*IF(DATOS!AZ$4="Sí",1/DATOS_[[% normaliz]:[% normaliz]],1)*(DATOS_[Conc.Sal.22])))))))),
0)</f>
        <v>0</v>
      </c>
      <c r="AF100" s="196">
        <f t="array" ref="AF100">IFERROR(
(AVERAGE((IF(DATOS_[[Sexo]:[Sexo]]=$B100,IF(DATOS_[[AGRUP. CLAS. PROF.]:[AGRUP. CLAS. PROF.]]=$B99,IF(DATOS_[[Check Periodo Ref.]:[Check Periodo Ref.]]="Dentro",IF(DATOS_[[Check Equiparado]:[Check Equiparado]]="Sí",IF(DATOS!BA$5="Sí",(1/DATOS_[[% anualiz]:[% anualiz]]),1)*IF(DATOS!BA$4="Sí",1/DATOS_[[% normaliz]:[% normaliz]],1)*(DATOS_[Conc.Sal.23])))))))),
0)</f>
        <v>0</v>
      </c>
      <c r="AG100" s="196">
        <f t="array" ref="AG100">IFERROR(
(AVERAGE((IF(DATOS_[[Sexo]:[Sexo]]=$B100,IF(DATOS_[[AGRUP. CLAS. PROF.]:[AGRUP. CLAS. PROF.]]=$B99,IF(DATOS_[[Check Periodo Ref.]:[Check Periodo Ref.]]="Dentro",IF(DATOS_[[Check Equiparado]:[Check Equiparado]]="Sí",IF(DATOS!BB$5="Sí",(1/DATOS_[[% anualiz]:[% anualiz]]),1)*IF(DATOS!BB$4="Sí",1/DATOS_[[% normaliz]:[% normaliz]],1)*(DATOS_[Conc.Sal.24])))))))),
0)</f>
        <v>0</v>
      </c>
      <c r="AH100" s="196">
        <f t="array" ref="AH100">IFERROR(
(AVERAGE((IF(DATOS_[[Sexo]:[Sexo]]=$B100,IF(DATOS_[[AGRUP. CLAS. PROF.]:[AGRUP. CLAS. PROF.]]=$B99,IF(DATOS_[[Check Periodo Ref.]:[Check Periodo Ref.]]="Dentro",IF(DATOS_[[Check Equiparado]:[Check Equiparado]]="Sí",IF(DATOS!BC$5="Sí",(1/DATOS_[[% anualiz]:[% anualiz]]),1)*IF(DATOS!BC$4="Sí",1/DATOS_[[% normaliz]:[% normaliz]],1)*(DATOS_[Conc.Sal.25])))))))),
0)</f>
        <v>0</v>
      </c>
      <c r="AI100" s="196">
        <f t="array" ref="AI100">IFERROR(
(AVERAGE((IF(DATOS_[[Sexo]:[Sexo]]=$B100,IF(DATOS_[[AGRUP. CLAS. PROF.]:[AGRUP. CLAS. PROF.]]=$B99,IF(DATOS_[[Check Periodo Ref.]:[Check Periodo Ref.]]="Dentro",IF(DATOS_[[Check Equiparado]:[Check Equiparado]]="Sí",IF(DATOS!BD$5="Sí",(1/DATOS_[[% anualiz]:[% anualiz]]),1)*IF(DATOS!BD$4="Sí",1/DATOS_[[% normaliz]:[% normaliz]],1)*(DATOS_[Conc.Sal.26])))))))),
0)</f>
        <v>0</v>
      </c>
      <c r="AJ100" s="196">
        <f t="array" ref="AJ100">IFERROR(
(AVERAGE((IF(DATOS_[[Sexo]:[Sexo]]=$B100,IF(DATOS_[[AGRUP. CLAS. PROF.]:[AGRUP. CLAS. PROF.]]=$B99,IF(DATOS_[[Check Periodo Ref.]:[Check Periodo Ref.]]="Dentro",IF(DATOS_[[Check Equiparado]:[Check Equiparado]]="Sí",IF(DATOS!BE$5="Sí",(1/DATOS_[[% anualiz]:[% anualiz]]),1)*IF(DATOS!BE$4="Sí",1/DATOS_[[% normaliz]:[% normaliz]],1)*(DATOS_[Conc.Sal.27])))))))),
0)</f>
        <v>0</v>
      </c>
      <c r="AK100" s="196">
        <f t="array" ref="AK100">IFERROR(
(AVERAGE((IF(DATOS_[[Sexo]:[Sexo]]=$B100,IF(DATOS_[[AGRUP. CLAS. PROF.]:[AGRUP. CLAS. PROF.]]=$B99,IF(DATOS_[[Check Periodo Ref.]:[Check Periodo Ref.]]="Dentro",IF(DATOS_[[Check Equiparado]:[Check Equiparado]]="Sí",IF(DATOS!BF$5="Sí",(1/DATOS_[[% anualiz]:[% anualiz]]),1)*IF(DATOS!BF$4="Sí",1/DATOS_[[% normaliz]:[% normaliz]],1)*(DATOS_[Conc.Sal.28])))))))),
0)</f>
        <v>0</v>
      </c>
      <c r="AL100" s="196">
        <f t="array" ref="AL100">IFERROR(
(AVERAGE((IF(DATOS_[[Sexo]:[Sexo]]=$B100,IF(DATOS_[[AGRUP. CLAS. PROF.]:[AGRUP. CLAS. PROF.]]=$B99,IF(DATOS_[[Check Periodo Ref.]:[Check Periodo Ref.]]="Dentro",IF(DATOS_[[Check Equiparado]:[Check Equiparado]]="Sí",IF(DATOS!BG$5="Sí",(1/DATOS_[[% anualiz]:[% anualiz]]),1)*IF(DATOS!BG$4="Sí",1/DATOS_[[% normaliz]:[% normaliz]],1)*(DATOS_[Conc.Sal.29])))))))),
0)</f>
        <v>0</v>
      </c>
      <c r="AM100" s="196">
        <f t="array" ref="AM100">IFERROR(
(AVERAGE((IF(DATOS_[[Sexo]:[Sexo]]=$B100,IF(DATOS_[[AGRUP. CLAS. PROF.]:[AGRUP. CLAS. PROF.]]=$B99,IF(DATOS_[[Check Periodo Ref.]:[Check Periodo Ref.]]="Dentro",IF(DATOS_[[Check Equiparado]:[Check Equiparado]]="Sí",IF(DATOS!BH$5="Sí",(1/DATOS_[[% anualiz]:[% anualiz]]),1)*IF(DATOS!BH$4="Sí",1/DATOS_[[% normaliz]:[% normaliz]],1)*(DATOS_[Conc.Sal.30])))))))),
0)</f>
        <v>0</v>
      </c>
      <c r="AN100" s="195">
        <f t="array" ref="AN100">IFERROR(
AVERAGE(IF(DATOS_[Sexo]=$B100,IF(DATOS_[[AGRUP. CLAS. PROF.]:[AGRUP. CLAS. PROF.]]=$B99,IF(DATOS_[Check Equiparado]="Sí",IF(DATOS_[Check Periodo Ref.]="Dentro",DATOS_[Tot COMPL.SAL Eq],FALSE))))),
0)</f>
        <v>0</v>
      </c>
      <c r="AO100" s="172">
        <f t="array" ref="AO100">IFERROR(
AVERAGE(IF(DATOS_[Sexo]=$B100,IF(DATOS_[[AGRUP. CLAS. PROF.]:[AGRUP. CLAS. PROF.]]=$B99,IF(DATOS_[Check Equiparado]="Sí",IF(DATOS_[Check Periodo Ref.]="Dentro",DATOS_[TOTAL SALARIO Eq],FALSE))))),
0)</f>
        <v>0</v>
      </c>
      <c r="AP100" s="173">
        <f t="array" ref="AP100">IFERROR(
(AVERAGE((IF(DATOS_[[Sexo]:[Sexo]]=$B100,IF(DATOS_[[AGRUP. CLAS. PROF.]:[AGRUP. CLAS. PROF.]]=$B99,IF(DATOS_[[Check Periodo Ref.]:[Check Periodo Ref.]]="Dentro",IF(DATOS_[[Check Equiparado]:[Check Equiparado]]="Sí",IF(DATOS!BW$5="Sí",(1/DATOS_[[% anualiz]:[% anualiz]]),1)*IF(DATOS!BW$4="Sí",1/DATOS_[[% normaliz]:[% normaliz]],1)*(DATOS_[C.Extra.01])))))))),
0)</f>
        <v>0</v>
      </c>
      <c r="AQ100" s="173">
        <f t="array" ref="AQ100">IFERROR(
(AVERAGE((IF(DATOS_[[Sexo]:[Sexo]]=$B100,IF(DATOS_[[AGRUP. CLAS. PROF.]:[AGRUP. CLAS. PROF.]]=$B99,IF(DATOS_[[Check Periodo Ref.]:[Check Periodo Ref.]]="Dentro",IF(DATOS_[[Check Equiparado]:[Check Equiparado]]="Sí",IF(DATOS!CB$5="Sí",(1/DATOS_[[% anualiz]:[% anualiz]]),1)*IF(DATOS!CB$4="Sí",1/DATOS_[[% normaliz]:[% normaliz]],1)*(DATOS_[C.Extra.06])))))))),
0)</f>
        <v>0</v>
      </c>
      <c r="AR100" s="173">
        <f t="array" ref="AR100">IFERROR(
(AVERAGE((IF(DATOS_[[Sexo]:[Sexo]]=$B100,IF(DATOS_[[AGRUP. CLAS. PROF.]:[AGRUP. CLAS. PROF.]]=$B99,IF(DATOS_[[Check Periodo Ref.]:[Check Periodo Ref.]]="Dentro",IF(DATOS_[[Check Equiparado]:[Check Equiparado]]="Sí",IF(DATOS!CC$5="Sí",(1/DATOS_[[% anualiz]:[% anualiz]]),1)*IF(DATOS!CC$4="Sí",1/DATOS_[[% normaliz]:[% normaliz]],1)*(DATOS_[C.Extra.07])))))))),
0)</f>
        <v>0</v>
      </c>
      <c r="AS100" s="173">
        <f t="array" ref="AS100">IFERROR(
(AVERAGE((IF(DATOS_[[Sexo]:[Sexo]]=$B100,IF(DATOS_[[AGRUP. CLAS. PROF.]:[AGRUP. CLAS. PROF.]]=$B99,IF(DATOS_[[Check Periodo Ref.]:[Check Periodo Ref.]]="Dentro",IF(DATOS_[[Check Equiparado]:[Check Equiparado]]="Sí",IF(DATOS!CD$5="Sí",(1/DATOS_[[% anualiz]:[% anualiz]]),1)*IF(DATOS!CD$4="Sí",1/DATOS_[[% normaliz]:[% normaliz]],1)*(DATOS_[C.Extra.08])))))))),
0)</f>
        <v>0</v>
      </c>
      <c r="AT100" s="173">
        <f t="array" ref="AT100">IFERROR(
(AVERAGE((IF(DATOS_[[Sexo]:[Sexo]]=$B100,IF(DATOS_[[AGRUP. CLAS. PROF.]:[AGRUP. CLAS. PROF.]]=$B99,IF(DATOS_[[Check Periodo Ref.]:[Check Periodo Ref.]]="Dentro",IF(DATOS_[[Check Equiparado]:[Check Equiparado]]="Sí",IF(DATOS!CG$5="Sí",(1/DATOS_[[% anualiz]:[% anualiz]]),1)*IF(DATOS!CG$4="Sí",1/DATOS_[[% normaliz]:[% normaliz]],1)*(DATOS_[C.Extra.11])))))))),
0)</f>
        <v>0</v>
      </c>
      <c r="AU100" s="197">
        <f t="array" ref="AU100">IFERROR(
AVERAGE(IF(DATOS_[Sexo]=$B100,IF(DATOS_[[AGRUP. CLAS. PROF.]:[AGRUP. CLAS. PROF.]]=$B99,IF(DATOS_[Check Equiparado]="Sí",IF(DATOS_[Check Periodo Ref.]="Dentro",DATOS_[Tot Extrasalarial Eq],FALSE))))),
0)</f>
        <v>0</v>
      </c>
      <c r="AV100" s="175">
        <f t="array" ref="AV100">IFERROR(
AVERAGE(IF(DATOS_[Sexo]=$B100,IF(DATOS_[[AGRUP. CLAS. PROF.]:[AGRUP. CLAS. PROF.]]=$B99,IF(DATOS_[Check Equiparado]="Sí",IF(DATOS_[Check Periodo Ref.]="Dentro",DATOS_[TOTAL Retrib Eq],FALSE))))),
0)</f>
        <v>0</v>
      </c>
    </row>
    <row r="101" spans="1:48" hidden="1" x14ac:dyDescent="0.25">
      <c r="A101" s="133" t="str">
        <f t="shared" ref="A101" si="118">+A100</f>
        <v>[ocultar]</v>
      </c>
      <c r="B101" s="202" t="s">
        <v>521</v>
      </c>
      <c r="C101" s="203">
        <f t="array" ref="C101">SUM(IF($B101=DATOS_[Sexo],
IF($B99=DATOS_[AGRUP. CLAS. PROF.],
IF("Dentro"=DATOS_[Check Periodo Ref.],
1/(COUNTIFS(DATOS_[Sexo],$B101,DATOS_[AGRUP. CLAS. PROF.],$B99,DATOS_[Check Periodo Ref.],"Dentro",DATOS_[id/cod],DATOS_[id/cod]))))))</f>
        <v>0</v>
      </c>
      <c r="D101" s="204">
        <f>COUNTIFS(DATOS_[AGRUP. CLAS. PROF.],$B99,DATOS_[Sexo],$B101,DATOS_[Check Periodo Ref.],"Dentro")</f>
        <v>0</v>
      </c>
      <c r="E101" s="204">
        <f>COUNTIFS(DATOS_[AGRUP. CLAS. PROF.],$B99,DATOS_[Sexo],$B101,DATOS_[Check Periodo Ref.],"Dentro",DATOS_[Check Nº SC Norm],"Sí")</f>
        <v>0</v>
      </c>
      <c r="F101" s="204">
        <f>COUNTIFS(DATOS_[AGRUP. CLAS. PROF.],$B99,DATOS_[Sexo],$B101,DATOS_[Check Periodo Ref.],"Dentro",DATOS_[Check Nº SC Anualiz],"Sí")</f>
        <v>0</v>
      </c>
      <c r="G101" s="204">
        <f>COUNTIFS(DATOS_[AGRUP. CLAS. PROF.],$B99,DATOS_[Sexo],$B101,DATOS_[Check Periodo Ref.],"Dentro",DATOS_[Check Nº SC Norm y Anualiz],"Sí")</f>
        <v>0</v>
      </c>
      <c r="H101" s="204">
        <f>COUNTIFS(DATOS_[AGRUP. CLAS. PROF.],$B99,DATOS_[Sexo],$B101,DATOS_[Check Periodo Ref.],"Dentro",DATOS_[Check Equiparación],"Sí")</f>
        <v>0</v>
      </c>
      <c r="I101" s="195" cm="1">
        <f t="array" ref="I101">IFERROR(
AVERAGE(IF(DATOS_[Sexo]=$B101,IF(DATOS_[[AGRUP. CLAS. PROF.]:[AGRUP. CLAS. PROF.]]=$B99,IF(DATOS_[Check Equiparado]="Sí",IF(DATOS_[Check Periodo Ref.]="Dentro",DATOS_[SALARIO BASE Eq],FALSE))))),
0)</f>
        <v>0</v>
      </c>
      <c r="J101" s="196">
        <f t="array" ref="J101">IFERROR(
(AVERAGE((IF(DATOS_[[Sexo]:[Sexo]]=$B101,IF(DATOS_[[AGRUP. CLAS. PROF.]:[AGRUP. CLAS. PROF.]]=$B99,IF(DATOS_[[Check Periodo Ref.]:[Check Periodo Ref.]]="Dentro",IF(DATOS_[[Check Equiparado]:[Check Equiparado]]="Sí",IF(DATOS!AE$5="Sí",(1/DATOS_[[% anualiz]:[% anualiz]]),1)*IF(DATOS!AE$4="Sí",1/DATOS_[[% normaliz]:[% normaliz]],1)*(DATOS_[Conc.Sal.01])))))))),
0)</f>
        <v>0</v>
      </c>
      <c r="K101" s="196">
        <f t="array" ref="K101">IFERROR(
(AVERAGE((IF(DATOS_[[Sexo]:[Sexo]]=$B101,IF(DATOS_[[AGRUP. CLAS. PROF.]:[AGRUP. CLAS. PROF.]]=$B99,IF(DATOS_[[Check Periodo Ref.]:[Check Periodo Ref.]]="Dentro",IF(DATOS_[[Check Equiparado]:[Check Equiparado]]="Sí",IF(DATOS!AF$5="Sí",(1/DATOS_[[% anualiz]:[% anualiz]]),1)*IF(DATOS!AF$4="Sí",1/DATOS_[[% normaliz]:[% normaliz]],1)*(DATOS_[Conc.Sal.02])))))))),
0)</f>
        <v>0</v>
      </c>
      <c r="L101" s="196">
        <f t="array" ref="L101">IFERROR(
(AVERAGE((IF(DATOS_[[Sexo]:[Sexo]]=$B101,IF(DATOS_[[AGRUP. CLAS. PROF.]:[AGRUP. CLAS. PROF.]]=$B99,IF(DATOS_[[Check Periodo Ref.]:[Check Periodo Ref.]]="Dentro",IF(DATOS_[[Check Equiparado]:[Check Equiparado]]="Sí",IF(DATOS!AG$5="Sí",(1/DATOS_[[% anualiz]:[% anualiz]]),1)*IF(DATOS!AG$4="Sí",1/DATOS_[[% normaliz]:[% normaliz]],1)*(DATOS_[Conc.Sal.03])))))))),
0)</f>
        <v>0</v>
      </c>
      <c r="M101" s="196">
        <f t="array" ref="M101">IFERROR(
(AVERAGE((IF(DATOS_[[Sexo]:[Sexo]]=$B101,IF(DATOS_[[AGRUP. CLAS. PROF.]:[AGRUP. CLAS. PROF.]]=$B99,IF(DATOS_[[Check Periodo Ref.]:[Check Periodo Ref.]]="Dentro",IF(DATOS_[[Check Equiparado]:[Check Equiparado]]="Sí",IF(DATOS!AH$5="Sí",(1/DATOS_[[% anualiz]:[% anualiz]]),1)*IF(DATOS!AH$4="Sí",1/DATOS_[[% normaliz]:[% normaliz]],1)*(DATOS_[Conc.Sal.04])))))))),
0)</f>
        <v>0</v>
      </c>
      <c r="N101" s="196">
        <f t="array" ref="N101">IFERROR(
(AVERAGE((IF(DATOS_[[Sexo]:[Sexo]]=$B101,IF(DATOS_[[AGRUP. CLAS. PROF.]:[AGRUP. CLAS. PROF.]]=$B99,IF(DATOS_[[Check Periodo Ref.]:[Check Periodo Ref.]]="Dentro",IF(DATOS_[[Check Equiparado]:[Check Equiparado]]="Sí",IF(DATOS!AI$5="Sí",(1/DATOS_[[% anualiz]:[% anualiz]]),1)*IF(DATOS!AI$4="Sí",1/DATOS_[[% normaliz]:[% normaliz]],1)*(DATOS_[Conc.Sal.05])))))))),
0)</f>
        <v>0</v>
      </c>
      <c r="O101" s="196">
        <f t="array" ref="O101">IFERROR(
(AVERAGE((IF(DATOS_[[Sexo]:[Sexo]]=$B101,IF(DATOS_[[AGRUP. CLAS. PROF.]:[AGRUP. CLAS. PROF.]]=$B99,IF(DATOS_[[Check Periodo Ref.]:[Check Periodo Ref.]]="Dentro",IF(DATOS_[[Check Equiparado]:[Check Equiparado]]="Sí",IF(DATOS!AJ$5="Sí",(1/DATOS_[[% anualiz]:[% anualiz]]),1)*IF(DATOS!AJ$4="Sí",1/DATOS_[[% normaliz]:[% normaliz]],1)*(DATOS_[Conc.Sal.06])))))))),
0)</f>
        <v>0</v>
      </c>
      <c r="P101" s="196">
        <f t="array" ref="P101">IFERROR(
(AVERAGE((IF(DATOS_[[Sexo]:[Sexo]]=$B101,IF(DATOS_[[AGRUP. CLAS. PROF.]:[AGRUP. CLAS. PROF.]]=$B99,IF(DATOS_[[Check Periodo Ref.]:[Check Periodo Ref.]]="Dentro",IF(DATOS_[[Check Equiparado]:[Check Equiparado]]="Sí",IF(DATOS!AK$5="Sí",(1/DATOS_[[% anualiz]:[% anualiz]]),1)*IF(DATOS!AK$4="Sí",1/DATOS_[[% normaliz]:[% normaliz]],1)*(DATOS_[Conc.Sal.07])))))))),
0)</f>
        <v>0</v>
      </c>
      <c r="Q101" s="196">
        <f t="array" ref="Q101">IFERROR(
(AVERAGE((IF(DATOS_[[Sexo]:[Sexo]]=$B101,IF(DATOS_[[AGRUP. CLAS. PROF.]:[AGRUP. CLAS. PROF.]]=$B99,IF(DATOS_[[Check Periodo Ref.]:[Check Periodo Ref.]]="Dentro",IF(DATOS_[[Check Equiparado]:[Check Equiparado]]="Sí",IF(DATOS!AL$5="Sí",(1/DATOS_[[% anualiz]:[% anualiz]]),1)*IF(DATOS!AL$4="Sí",1/DATOS_[[% normaliz]:[% normaliz]],1)*(DATOS_[Conc.Sal.08])))))))),
0)</f>
        <v>0</v>
      </c>
      <c r="R101" s="196">
        <f t="array" ref="R101">IFERROR(
(AVERAGE((IF(DATOS_[[Sexo]:[Sexo]]=$B101,IF(DATOS_[[AGRUP. CLAS. PROF.]:[AGRUP. CLAS. PROF.]]=$B99,IF(DATOS_[[Check Periodo Ref.]:[Check Periodo Ref.]]="Dentro",IF(DATOS_[[Check Equiparado]:[Check Equiparado]]="Sí",IF(DATOS!AM$5="Sí",(1/DATOS_[[% anualiz]:[% anualiz]]),1)*IF(DATOS!AM$4="Sí",1/DATOS_[[% normaliz]:[% normaliz]],1)*(DATOS_[Conc.Sal.09])))))))),
0)</f>
        <v>0</v>
      </c>
      <c r="S101" s="196">
        <f t="array" ref="S101">IFERROR(
(AVERAGE((IF(DATOS_[[Sexo]:[Sexo]]=$B101,IF(DATOS_[[AGRUP. CLAS. PROF.]:[AGRUP. CLAS. PROF.]]=$B99,IF(DATOS_[[Check Periodo Ref.]:[Check Periodo Ref.]]="Dentro",IF(DATOS_[[Check Equiparado]:[Check Equiparado]]="Sí",IF(DATOS!AN$5="Sí",(1/DATOS_[[% anualiz]:[% anualiz]]),1)*IF(DATOS!AN$4="Sí",1/DATOS_[[% normaliz]:[% normaliz]],1)*(DATOS_[Conc.Sal.10])))))))),
0)</f>
        <v>0</v>
      </c>
      <c r="T101" s="196">
        <f t="array" ref="T101">IFERROR(
(AVERAGE((IF(DATOS_[[Sexo]:[Sexo]]=$B101,IF(DATOS_[[AGRUP. CLAS. PROF.]:[AGRUP. CLAS. PROF.]]=$B99,IF(DATOS_[[Check Periodo Ref.]:[Check Periodo Ref.]]="Dentro",IF(DATOS_[[Check Equiparado]:[Check Equiparado]]="Sí",IF(DATOS!AO$5="Sí",(1/DATOS_[[% anualiz]:[% anualiz]]),1)*IF(DATOS!AO$4="Sí",1/DATOS_[[% normaliz]:[% normaliz]],1)*(DATOS_[Conc.Sal.11])))))))),
0)</f>
        <v>0</v>
      </c>
      <c r="U101" s="196">
        <f t="array" ref="U101">IFERROR(
(AVERAGE((IF(DATOS_[[Sexo]:[Sexo]]=$B101,IF(DATOS_[[AGRUP. CLAS. PROF.]:[AGRUP. CLAS. PROF.]]=$B99,IF(DATOS_[[Check Periodo Ref.]:[Check Periodo Ref.]]="Dentro",IF(DATOS_[[Check Equiparado]:[Check Equiparado]]="Sí",IF(DATOS!AP$5="Sí",(1/DATOS_[[% anualiz]:[% anualiz]]),1)*IF(DATOS!AP$4="Sí",1/DATOS_[[% normaliz]:[% normaliz]],1)*(DATOS_[Conc.Sal.12])))))))),
0)</f>
        <v>0</v>
      </c>
      <c r="V101" s="196">
        <f t="array" ref="V101">IFERROR(
(AVERAGE((IF(DATOS_[[Sexo]:[Sexo]]=$B101,IF(DATOS_[[AGRUP. CLAS. PROF.]:[AGRUP. CLAS. PROF.]]=$B99,IF(DATOS_[[Check Periodo Ref.]:[Check Periodo Ref.]]="Dentro",IF(DATOS_[[Check Equiparado]:[Check Equiparado]]="Sí",IF(DATOS!AQ$5="Sí",(1/DATOS_[[% anualiz]:[% anualiz]]),1)*IF(DATOS!AQ$4="Sí",1/DATOS_[[% normaliz]:[% normaliz]],1)*(DATOS_[Conc.Sal.13])))))))),
0)</f>
        <v>0</v>
      </c>
      <c r="W101" s="196">
        <f t="array" ref="W101">IFERROR(
(AVERAGE((IF(DATOS_[[Sexo]:[Sexo]]=$B101,IF(DATOS_[[AGRUP. CLAS. PROF.]:[AGRUP. CLAS. PROF.]]=$B99,IF(DATOS_[[Check Periodo Ref.]:[Check Periodo Ref.]]="Dentro",IF(DATOS_[[Check Equiparado]:[Check Equiparado]]="Sí",IF(DATOS!AR$5="Sí",(1/DATOS_[[% anualiz]:[% anualiz]]),1)*IF(DATOS!AR$4="Sí",1/DATOS_[[% normaliz]:[% normaliz]],1)*(DATOS_[Conc.Sal.14])))))))),
0)</f>
        <v>0</v>
      </c>
      <c r="X101" s="196">
        <f t="array" ref="X101">IFERROR(
(AVERAGE((IF(DATOS_[[Sexo]:[Sexo]]=$B101,IF(DATOS_[[AGRUP. CLAS. PROF.]:[AGRUP. CLAS. PROF.]]=$B99,IF(DATOS_[[Check Periodo Ref.]:[Check Periodo Ref.]]="Dentro",IF(DATOS_[[Check Equiparado]:[Check Equiparado]]="Sí",IF(DATOS!AS$5="Sí",(1/DATOS_[[% anualiz]:[% anualiz]]),1)*IF(DATOS!AS$4="Sí",1/DATOS_[[% normaliz]:[% normaliz]],1)*(DATOS_[Conc.Sal.15])))))))),
0)</f>
        <v>0</v>
      </c>
      <c r="Y101" s="196">
        <f t="array" ref="Y101">IFERROR(
(AVERAGE((IF(DATOS_[[Sexo]:[Sexo]]=$B101,IF(DATOS_[[AGRUP. CLAS. PROF.]:[AGRUP. CLAS. PROF.]]=$B99,IF(DATOS_[[Check Periodo Ref.]:[Check Periodo Ref.]]="Dentro",IF(DATOS_[[Check Equiparado]:[Check Equiparado]]="Sí",IF(DATOS!AT$5="Sí",(1/DATOS_[[% anualiz]:[% anualiz]]),1)*IF(DATOS!AT$4="Sí",1/DATOS_[[% normaliz]:[% normaliz]],1)*(DATOS_[Conc.Sal.16])))))))),
0)</f>
        <v>0</v>
      </c>
      <c r="Z101" s="196">
        <f t="array" ref="Z101">IFERROR(
(AVERAGE((IF(DATOS_[[Sexo]:[Sexo]]=$B101,IF(DATOS_[[AGRUP. CLAS. PROF.]:[AGRUP. CLAS. PROF.]]=$B99,IF(DATOS_[[Check Periodo Ref.]:[Check Periodo Ref.]]="Dentro",IF(DATOS_[[Check Equiparado]:[Check Equiparado]]="Sí",IF(DATOS!AU$5="Sí",(1/DATOS_[[% anualiz]:[% anualiz]]),1)*IF(DATOS!AU$4="Sí",1/DATOS_[[% normaliz]:[% normaliz]],1)*(DATOS_[Conc.Sal.17])))))))),
0)</f>
        <v>0</v>
      </c>
      <c r="AA101" s="196">
        <f t="array" ref="AA101">IFERROR(
(AVERAGE((IF(DATOS_[[Sexo]:[Sexo]]=$B101,IF(DATOS_[[AGRUP. CLAS. PROF.]:[AGRUP. CLAS. PROF.]]=$B99,IF(DATOS_[[Check Periodo Ref.]:[Check Periodo Ref.]]="Dentro",IF(DATOS_[[Check Equiparado]:[Check Equiparado]]="Sí",IF(DATOS!AV$5="Sí",(1/DATOS_[[% anualiz]:[% anualiz]]),1)*IF(DATOS!AV$4="Sí",1/DATOS_[[% normaliz]:[% normaliz]],1)*(DATOS_[Conc.Sal.18])))))))),
0)</f>
        <v>0</v>
      </c>
      <c r="AB101" s="196">
        <f t="array" ref="AB101">IFERROR(
(AVERAGE((IF(DATOS_[[Sexo]:[Sexo]]=$B101,IF(DATOS_[[AGRUP. CLAS. PROF.]:[AGRUP. CLAS. PROF.]]=$B99,IF(DATOS_[[Check Periodo Ref.]:[Check Periodo Ref.]]="Dentro",IF(DATOS_[[Check Equiparado]:[Check Equiparado]]="Sí",IF(DATOS!AW$5="Sí",(1/DATOS_[[% anualiz]:[% anualiz]]),1)*IF(DATOS!AW$4="Sí",1/DATOS_[[% normaliz]:[% normaliz]],1)*(DATOS_[Conc.Sal.19])))))))),
0)</f>
        <v>0</v>
      </c>
      <c r="AC101" s="196">
        <f t="array" ref="AC101">IFERROR(
(AVERAGE((IF(DATOS_[[Sexo]:[Sexo]]=$B101,IF(DATOS_[[AGRUP. CLAS. PROF.]:[AGRUP. CLAS. PROF.]]=$B99,IF(DATOS_[[Check Periodo Ref.]:[Check Periodo Ref.]]="Dentro",IF(DATOS_[[Check Equiparado]:[Check Equiparado]]="Sí",IF(DATOS!AX$5="Sí",(1/DATOS_[[% anualiz]:[% anualiz]]),1)*IF(DATOS!AX$4="Sí",1/DATOS_[[% normaliz]:[% normaliz]],1)*(DATOS_[Conc.Sal.20])))))))),
0)</f>
        <v>0</v>
      </c>
      <c r="AD101" s="196">
        <f t="array" ref="AD101">IFERROR(
(AVERAGE((IF(DATOS_[[Sexo]:[Sexo]]=$B101,IF(DATOS_[[AGRUP. CLAS. PROF.]:[AGRUP. CLAS. PROF.]]=$B99,IF(DATOS_[[Check Periodo Ref.]:[Check Periodo Ref.]]="Dentro",IF(DATOS_[[Check Equiparado]:[Check Equiparado]]="Sí",IF(DATOS!AY$5="Sí",(1/DATOS_[[% anualiz]:[% anualiz]]),1)*IF(DATOS!AY$4="Sí",1/DATOS_[[% normaliz]:[% normaliz]],1)*(DATOS_[Conc.Sal.21])))))))),
0)</f>
        <v>0</v>
      </c>
      <c r="AE101" s="196">
        <f t="array" ref="AE101">IFERROR(
(AVERAGE((IF(DATOS_[[Sexo]:[Sexo]]=$B101,IF(DATOS_[[AGRUP. CLAS. PROF.]:[AGRUP. CLAS. PROF.]]=$B99,IF(DATOS_[[Check Periodo Ref.]:[Check Periodo Ref.]]="Dentro",IF(DATOS_[[Check Equiparado]:[Check Equiparado]]="Sí",IF(DATOS!AZ$5="Sí",(1/DATOS_[[% anualiz]:[% anualiz]]),1)*IF(DATOS!AZ$4="Sí",1/DATOS_[[% normaliz]:[% normaliz]],1)*(DATOS_[Conc.Sal.22])))))))),
0)</f>
        <v>0</v>
      </c>
      <c r="AF101" s="196">
        <f t="array" ref="AF101">IFERROR(
(AVERAGE((IF(DATOS_[[Sexo]:[Sexo]]=$B101,IF(DATOS_[[AGRUP. CLAS. PROF.]:[AGRUP. CLAS. PROF.]]=$B99,IF(DATOS_[[Check Periodo Ref.]:[Check Periodo Ref.]]="Dentro",IF(DATOS_[[Check Equiparado]:[Check Equiparado]]="Sí",IF(DATOS!BA$5="Sí",(1/DATOS_[[% anualiz]:[% anualiz]]),1)*IF(DATOS!BA$4="Sí",1/DATOS_[[% normaliz]:[% normaliz]],1)*(DATOS_[Conc.Sal.23])))))))),
0)</f>
        <v>0</v>
      </c>
      <c r="AG101" s="196">
        <f t="array" ref="AG101">IFERROR(
(AVERAGE((IF(DATOS_[[Sexo]:[Sexo]]=$B101,IF(DATOS_[[AGRUP. CLAS. PROF.]:[AGRUP. CLAS. PROF.]]=$B99,IF(DATOS_[[Check Periodo Ref.]:[Check Periodo Ref.]]="Dentro",IF(DATOS_[[Check Equiparado]:[Check Equiparado]]="Sí",IF(DATOS!BB$5="Sí",(1/DATOS_[[% anualiz]:[% anualiz]]),1)*IF(DATOS!BB$4="Sí",1/DATOS_[[% normaliz]:[% normaliz]],1)*(DATOS_[Conc.Sal.24])))))))),
0)</f>
        <v>0</v>
      </c>
      <c r="AH101" s="196">
        <f t="array" ref="AH101">IFERROR(
(AVERAGE((IF(DATOS_[[Sexo]:[Sexo]]=$B101,IF(DATOS_[[AGRUP. CLAS. PROF.]:[AGRUP. CLAS. PROF.]]=$B99,IF(DATOS_[[Check Periodo Ref.]:[Check Periodo Ref.]]="Dentro",IF(DATOS_[[Check Equiparado]:[Check Equiparado]]="Sí",IF(DATOS!BC$5="Sí",(1/DATOS_[[% anualiz]:[% anualiz]]),1)*IF(DATOS!BC$4="Sí",1/DATOS_[[% normaliz]:[% normaliz]],1)*(DATOS_[Conc.Sal.25])))))))),
0)</f>
        <v>0</v>
      </c>
      <c r="AI101" s="196">
        <f t="array" ref="AI101">IFERROR(
(AVERAGE((IF(DATOS_[[Sexo]:[Sexo]]=$B101,IF(DATOS_[[AGRUP. CLAS. PROF.]:[AGRUP. CLAS. PROF.]]=$B99,IF(DATOS_[[Check Periodo Ref.]:[Check Periodo Ref.]]="Dentro",IF(DATOS_[[Check Equiparado]:[Check Equiparado]]="Sí",IF(DATOS!BD$5="Sí",(1/DATOS_[[% anualiz]:[% anualiz]]),1)*IF(DATOS!BD$4="Sí",1/DATOS_[[% normaliz]:[% normaliz]],1)*(DATOS_[Conc.Sal.26])))))))),
0)</f>
        <v>0</v>
      </c>
      <c r="AJ101" s="196">
        <f t="array" ref="AJ101">IFERROR(
(AVERAGE((IF(DATOS_[[Sexo]:[Sexo]]=$B101,IF(DATOS_[[AGRUP. CLAS. PROF.]:[AGRUP. CLAS. PROF.]]=$B99,IF(DATOS_[[Check Periodo Ref.]:[Check Periodo Ref.]]="Dentro",IF(DATOS_[[Check Equiparado]:[Check Equiparado]]="Sí",IF(DATOS!BE$5="Sí",(1/DATOS_[[% anualiz]:[% anualiz]]),1)*IF(DATOS!BE$4="Sí",1/DATOS_[[% normaliz]:[% normaliz]],1)*(DATOS_[Conc.Sal.27])))))))),
0)</f>
        <v>0</v>
      </c>
      <c r="AK101" s="196">
        <f t="array" ref="AK101">IFERROR(
(AVERAGE((IF(DATOS_[[Sexo]:[Sexo]]=$B101,IF(DATOS_[[AGRUP. CLAS. PROF.]:[AGRUP. CLAS. PROF.]]=$B99,IF(DATOS_[[Check Periodo Ref.]:[Check Periodo Ref.]]="Dentro",IF(DATOS_[[Check Equiparado]:[Check Equiparado]]="Sí",IF(DATOS!BF$5="Sí",(1/DATOS_[[% anualiz]:[% anualiz]]),1)*IF(DATOS!BF$4="Sí",1/DATOS_[[% normaliz]:[% normaliz]],1)*(DATOS_[Conc.Sal.28])))))))),
0)</f>
        <v>0</v>
      </c>
      <c r="AL101" s="196">
        <f t="array" ref="AL101">IFERROR(
(AVERAGE((IF(DATOS_[[Sexo]:[Sexo]]=$B101,IF(DATOS_[[AGRUP. CLAS. PROF.]:[AGRUP. CLAS. PROF.]]=$B99,IF(DATOS_[[Check Periodo Ref.]:[Check Periodo Ref.]]="Dentro",IF(DATOS_[[Check Equiparado]:[Check Equiparado]]="Sí",IF(DATOS!BG$5="Sí",(1/DATOS_[[% anualiz]:[% anualiz]]),1)*IF(DATOS!BG$4="Sí",1/DATOS_[[% normaliz]:[% normaliz]],1)*(DATOS_[Conc.Sal.29])))))))),
0)</f>
        <v>0</v>
      </c>
      <c r="AM101" s="196">
        <f t="array" ref="AM101">IFERROR(
(AVERAGE((IF(DATOS_[[Sexo]:[Sexo]]=$B101,IF(DATOS_[[AGRUP. CLAS. PROF.]:[AGRUP. CLAS. PROF.]]=$B99,IF(DATOS_[[Check Periodo Ref.]:[Check Periodo Ref.]]="Dentro",IF(DATOS_[[Check Equiparado]:[Check Equiparado]]="Sí",IF(DATOS!BH$5="Sí",(1/DATOS_[[% anualiz]:[% anualiz]]),1)*IF(DATOS!BH$4="Sí",1/DATOS_[[% normaliz]:[% normaliz]],1)*(DATOS_[Conc.Sal.30])))))))),
0)</f>
        <v>0</v>
      </c>
      <c r="AN101" s="195">
        <f t="array" ref="AN101">IFERROR(
AVERAGE(IF(DATOS_[Sexo]=$B101,IF(DATOS_[[AGRUP. CLAS. PROF.]:[AGRUP. CLAS. PROF.]]=$B99,IF(DATOS_[Check Equiparado]="Sí",IF(DATOS_[Check Periodo Ref.]="Dentro",DATOS_[Tot COMPL.SAL Eq],FALSE))))),
0)</f>
        <v>0</v>
      </c>
      <c r="AO101" s="172">
        <f t="array" ref="AO101">IFERROR(
AVERAGE(IF(DATOS_[Sexo]=$B101,IF(DATOS_[[AGRUP. CLAS. PROF.]:[AGRUP. CLAS. PROF.]]=$B99,IF(DATOS_[Check Equiparado]="Sí",IF(DATOS_[Check Periodo Ref.]="Dentro",DATOS_[TOTAL SALARIO Eq],FALSE))))),
0)</f>
        <v>0</v>
      </c>
      <c r="AP101" s="173">
        <f t="array" ref="AP101">IFERROR(
(AVERAGE((IF(DATOS_[[Sexo]:[Sexo]]=$B101,IF(DATOS_[[AGRUP. CLAS. PROF.]:[AGRUP. CLAS. PROF.]]=$B99,IF(DATOS_[[Check Periodo Ref.]:[Check Periodo Ref.]]="Dentro",IF(DATOS_[[Check Equiparado]:[Check Equiparado]]="Sí",IF(DATOS!BW$5="Sí",(1/DATOS_[[% anualiz]:[% anualiz]]),1)*IF(DATOS!BW$4="Sí",1/DATOS_[[% normaliz]:[% normaliz]],1)*(DATOS_[C.Extra.01])))))))),
0)</f>
        <v>0</v>
      </c>
      <c r="AQ101" s="173">
        <f t="array" ref="AQ101">IFERROR(
(AVERAGE((IF(DATOS_[[Sexo]:[Sexo]]=$B101,IF(DATOS_[[AGRUP. CLAS. PROF.]:[AGRUP. CLAS. PROF.]]=$B99,IF(DATOS_[[Check Periodo Ref.]:[Check Periodo Ref.]]="Dentro",IF(DATOS_[[Check Equiparado]:[Check Equiparado]]="Sí",IF(DATOS!CB$5="Sí",(1/DATOS_[[% anualiz]:[% anualiz]]),1)*IF(DATOS!CB$4="Sí",1/DATOS_[[% normaliz]:[% normaliz]],1)*(DATOS_[C.Extra.06])))))))),
0)</f>
        <v>0</v>
      </c>
      <c r="AR101" s="173">
        <f t="array" ref="AR101">IFERROR(
(AVERAGE((IF(DATOS_[[Sexo]:[Sexo]]=$B101,IF(DATOS_[[AGRUP. CLAS. PROF.]:[AGRUP. CLAS. PROF.]]=$B99,IF(DATOS_[[Check Periodo Ref.]:[Check Periodo Ref.]]="Dentro",IF(DATOS_[[Check Equiparado]:[Check Equiparado]]="Sí",IF(DATOS!CC$5="Sí",(1/DATOS_[[% anualiz]:[% anualiz]]),1)*IF(DATOS!CC$4="Sí",1/DATOS_[[% normaliz]:[% normaliz]],1)*(DATOS_[C.Extra.07])))))))),
0)</f>
        <v>0</v>
      </c>
      <c r="AS101" s="173">
        <f t="array" ref="AS101">IFERROR(
(AVERAGE((IF(DATOS_[[Sexo]:[Sexo]]=$B101,IF(DATOS_[[AGRUP. CLAS. PROF.]:[AGRUP. CLAS. PROF.]]=$B99,IF(DATOS_[[Check Periodo Ref.]:[Check Periodo Ref.]]="Dentro",IF(DATOS_[[Check Equiparado]:[Check Equiparado]]="Sí",IF(DATOS!CD$5="Sí",(1/DATOS_[[% anualiz]:[% anualiz]]),1)*IF(DATOS!CD$4="Sí",1/DATOS_[[% normaliz]:[% normaliz]],1)*(DATOS_[C.Extra.08])))))))),
0)</f>
        <v>0</v>
      </c>
      <c r="AT101" s="173">
        <f t="array" ref="AT101">IFERROR(
(AVERAGE((IF(DATOS_[[Sexo]:[Sexo]]=$B101,IF(DATOS_[[AGRUP. CLAS. PROF.]:[AGRUP. CLAS. PROF.]]=$B99,IF(DATOS_[[Check Periodo Ref.]:[Check Periodo Ref.]]="Dentro",IF(DATOS_[[Check Equiparado]:[Check Equiparado]]="Sí",IF(DATOS!CG$5="Sí",(1/DATOS_[[% anualiz]:[% anualiz]]),1)*IF(DATOS!CG$4="Sí",1/DATOS_[[% normaliz]:[% normaliz]],1)*(DATOS_[C.Extra.11])))))))),
0)</f>
        <v>0</v>
      </c>
      <c r="AU101" s="197">
        <f t="array" ref="AU101">IFERROR(
AVERAGE(IF(DATOS_[Sexo]=$B101,IF(DATOS_[[AGRUP. CLAS. PROF.]:[AGRUP. CLAS. PROF.]]=$B99,IF(DATOS_[Check Equiparado]="Sí",IF(DATOS_[Check Periodo Ref.]="Dentro",DATOS_[Tot Extrasalarial Eq],FALSE))))),
0)</f>
        <v>0</v>
      </c>
      <c r="AV101" s="175">
        <f t="array" ref="AV101">IFERROR(
AVERAGE(IF(DATOS_[Sexo]=$B101,IF(DATOS_[[AGRUP. CLAS. PROF.]:[AGRUP. CLAS. PROF.]]=$B99,IF(DATOS_[Check Equiparado]="Sí",IF(DATOS_[Check Periodo Ref.]="Dentro",DATOS_[TOTAL Retrib Eq],FALSE))))),
0)</f>
        <v>0</v>
      </c>
    </row>
    <row r="102" spans="1:48" ht="15.6" hidden="1" thickBot="1" x14ac:dyDescent="0.3">
      <c r="A102" s="133" t="str">
        <f t="shared" ref="A102" si="119">+A103</f>
        <v>[ocultar]</v>
      </c>
      <c r="B102" s="199" t="s">
        <v>289</v>
      </c>
      <c r="C102" s="200"/>
      <c r="D102" s="201"/>
      <c r="E102" s="201"/>
      <c r="F102" s="201"/>
      <c r="G102" s="201"/>
      <c r="H102" s="201"/>
      <c r="I102" s="189" t="str">
        <f t="shared" ref="I102:AV102" si="120">IFERROR((I103-I104)/I103,"")</f>
        <v/>
      </c>
      <c r="J102" s="190" t="str">
        <f t="shared" si="120"/>
        <v/>
      </c>
      <c r="K102" s="191" t="str">
        <f t="shared" si="120"/>
        <v/>
      </c>
      <c r="L102" s="191" t="str">
        <f t="shared" si="120"/>
        <v/>
      </c>
      <c r="M102" s="191" t="str">
        <f t="shared" si="120"/>
        <v/>
      </c>
      <c r="N102" s="192" t="str">
        <f t="shared" si="120"/>
        <v/>
      </c>
      <c r="O102" s="193" t="str">
        <f t="shared" si="120"/>
        <v/>
      </c>
      <c r="P102" s="193" t="str">
        <f t="shared" si="120"/>
        <v/>
      </c>
      <c r="Q102" s="193" t="str">
        <f t="shared" si="120"/>
        <v/>
      </c>
      <c r="R102" s="193" t="str">
        <f t="shared" si="120"/>
        <v/>
      </c>
      <c r="S102" s="193" t="str">
        <f t="shared" si="120"/>
        <v/>
      </c>
      <c r="T102" s="193" t="str">
        <f t="shared" si="120"/>
        <v/>
      </c>
      <c r="U102" s="193" t="str">
        <f t="shared" si="120"/>
        <v/>
      </c>
      <c r="V102" s="193" t="str">
        <f t="shared" si="120"/>
        <v/>
      </c>
      <c r="W102" s="193" t="str">
        <f t="shared" si="120"/>
        <v/>
      </c>
      <c r="X102" s="193" t="str">
        <f t="shared" si="120"/>
        <v/>
      </c>
      <c r="Y102" s="193" t="str">
        <f t="shared" si="120"/>
        <v/>
      </c>
      <c r="Z102" s="193" t="str">
        <f t="shared" si="120"/>
        <v/>
      </c>
      <c r="AA102" s="193" t="str">
        <f t="shared" si="120"/>
        <v/>
      </c>
      <c r="AB102" s="193" t="str">
        <f t="shared" si="120"/>
        <v/>
      </c>
      <c r="AC102" s="193" t="str">
        <f t="shared" si="120"/>
        <v/>
      </c>
      <c r="AD102" s="193" t="str">
        <f t="shared" si="120"/>
        <v/>
      </c>
      <c r="AE102" s="193" t="str">
        <f t="shared" si="120"/>
        <v/>
      </c>
      <c r="AF102" s="193" t="str">
        <f t="shared" si="120"/>
        <v/>
      </c>
      <c r="AG102" s="193" t="str">
        <f t="shared" si="120"/>
        <v/>
      </c>
      <c r="AH102" s="193" t="str">
        <f t="shared" si="120"/>
        <v/>
      </c>
      <c r="AI102" s="193" t="str">
        <f t="shared" si="120"/>
        <v/>
      </c>
      <c r="AJ102" s="193" t="str">
        <f t="shared" si="120"/>
        <v/>
      </c>
      <c r="AK102" s="193" t="str">
        <f t="shared" si="120"/>
        <v/>
      </c>
      <c r="AL102" s="193" t="str">
        <f t="shared" si="120"/>
        <v/>
      </c>
      <c r="AM102" s="193" t="str">
        <f t="shared" si="120"/>
        <v/>
      </c>
      <c r="AN102" s="189" t="str">
        <f t="shared" si="120"/>
        <v/>
      </c>
      <c r="AO102" s="162" t="str">
        <f t="shared" si="120"/>
        <v/>
      </c>
      <c r="AP102" s="163" t="str">
        <f t="shared" si="120"/>
        <v/>
      </c>
      <c r="AQ102" s="163" t="str">
        <f t="shared" si="120"/>
        <v/>
      </c>
      <c r="AR102" s="163" t="str">
        <f t="shared" si="120"/>
        <v/>
      </c>
      <c r="AS102" s="163" t="str">
        <f t="shared" si="120"/>
        <v/>
      </c>
      <c r="AT102" s="163" t="str">
        <f t="shared" si="120"/>
        <v/>
      </c>
      <c r="AU102" s="194" t="str">
        <f t="shared" si="120"/>
        <v/>
      </c>
      <c r="AV102" s="165" t="str">
        <f t="shared" si="120"/>
        <v/>
      </c>
    </row>
    <row r="103" spans="1:48" hidden="1" x14ac:dyDescent="0.25">
      <c r="A103" s="133" t="str">
        <f t="shared" ref="A103" si="121">+IF(C103+C104=0,"[ocultar]","")</f>
        <v>[ocultar]</v>
      </c>
      <c r="B103" s="202" t="s">
        <v>394</v>
      </c>
      <c r="C103" s="203">
        <f t="array" ref="C103">SUM(IF($B103=DATOS_[Sexo],
IF($B102=DATOS_[AGRUP. CLAS. PROF.],
IF("Dentro"=DATOS_[Check Periodo Ref.],
1/(COUNTIFS(DATOS_[Sexo],$B103,DATOS_[AGRUP. CLAS. PROF.],$B102,DATOS_[Check Periodo Ref.],"Dentro",DATOS_[id/cod],DATOS_[id/cod]))))))</f>
        <v>0</v>
      </c>
      <c r="D103" s="204">
        <f>COUNTIFS(DATOS_[AGRUP. CLAS. PROF.],$B102,DATOS_[Sexo],$B103,DATOS_[Check Periodo Ref.],"Dentro")</f>
        <v>0</v>
      </c>
      <c r="E103" s="204">
        <f>COUNTIFS(DATOS_[AGRUP. CLAS. PROF.],$B102,DATOS_[Sexo],$B103,DATOS_[Check Periodo Ref.],"Dentro",DATOS_[Check Nº SC Norm],"Sí")</f>
        <v>0</v>
      </c>
      <c r="F103" s="204">
        <f>COUNTIFS(DATOS_[AGRUP. CLAS. PROF.],$B102,DATOS_[Sexo],$B103,DATOS_[Check Periodo Ref.],"Dentro",DATOS_[Check Nº SC Anualiz],"Sí")</f>
        <v>0</v>
      </c>
      <c r="G103" s="204">
        <f>COUNTIFS(DATOS_[AGRUP. CLAS. PROF.],$B102,DATOS_[Sexo],$B103,DATOS_[Check Periodo Ref.],"Dentro",DATOS_[Check Nº SC Norm y Anualiz],"Sí")</f>
        <v>0</v>
      </c>
      <c r="H103" s="204">
        <f>COUNTIFS(DATOS_[AGRUP. CLAS. PROF.],$B102,DATOS_[Sexo],$B103,DATOS_[Check Periodo Ref.],"Dentro",DATOS_[Check Equiparación],"Sí")</f>
        <v>0</v>
      </c>
      <c r="I103" s="195">
        <f t="array" ref="I103">IFERROR(
AVERAGE(IF(DATOS_[Sexo]=$B103,IF(DATOS_[[AGRUP. CLAS. PROF.]:[AGRUP. CLAS. PROF.]]=$B102,IF(DATOS_[Check Equiparado]="Sí",IF(DATOS_[Check Periodo Ref.]="Dentro",DATOS_[SALARIO BASE Eq],FALSE))))),
0)</f>
        <v>0</v>
      </c>
      <c r="J103" s="196">
        <f t="array" ref="J103">IFERROR(
(AVERAGE((IF(DATOS_[[Sexo]:[Sexo]]=$B103,IF(DATOS_[[AGRUP. CLAS. PROF.]:[AGRUP. CLAS. PROF.]]=$B102,IF(DATOS_[[Check Periodo Ref.]:[Check Periodo Ref.]]="Dentro",IF(DATOS_[[Check Equiparado]:[Check Equiparado]]="Sí",IF(DATOS!AE$5="Sí",(1/DATOS_[[% anualiz]:[% anualiz]]),1)*IF(DATOS!AE$4="Sí",1/DATOS_[[% normaliz]:[% normaliz]],1)*(DATOS_[Conc.Sal.01])))))))),
0)</f>
        <v>0</v>
      </c>
      <c r="K103" s="196">
        <f t="array" ref="K103">IFERROR(
(AVERAGE((IF(DATOS_[[Sexo]:[Sexo]]=$B103,IF(DATOS_[[AGRUP. CLAS. PROF.]:[AGRUP. CLAS. PROF.]]=$B102,IF(DATOS_[[Check Periodo Ref.]:[Check Periodo Ref.]]="Dentro",IF(DATOS_[[Check Equiparado]:[Check Equiparado]]="Sí",IF(DATOS!AF$5="Sí",(1/DATOS_[[% anualiz]:[% anualiz]]),1)*IF(DATOS!AF$4="Sí",1/DATOS_[[% normaliz]:[% normaliz]],1)*(DATOS_[Conc.Sal.02])))))))),
0)</f>
        <v>0</v>
      </c>
      <c r="L103" s="196">
        <f t="array" ref="L103">IFERROR(
(AVERAGE((IF(DATOS_[[Sexo]:[Sexo]]=$B103,IF(DATOS_[[AGRUP. CLAS. PROF.]:[AGRUP. CLAS. PROF.]]=$B102,IF(DATOS_[[Check Periodo Ref.]:[Check Periodo Ref.]]="Dentro",IF(DATOS_[[Check Equiparado]:[Check Equiparado]]="Sí",IF(DATOS!AG$5="Sí",(1/DATOS_[[% anualiz]:[% anualiz]]),1)*IF(DATOS!AG$4="Sí",1/DATOS_[[% normaliz]:[% normaliz]],1)*(DATOS_[Conc.Sal.03])))))))),
0)</f>
        <v>0</v>
      </c>
      <c r="M103" s="196">
        <f t="array" ref="M103">IFERROR(
(AVERAGE((IF(DATOS_[[Sexo]:[Sexo]]=$B103,IF(DATOS_[[AGRUP. CLAS. PROF.]:[AGRUP. CLAS. PROF.]]=$B102,IF(DATOS_[[Check Periodo Ref.]:[Check Periodo Ref.]]="Dentro",IF(DATOS_[[Check Equiparado]:[Check Equiparado]]="Sí",IF(DATOS!AH$5="Sí",(1/DATOS_[[% anualiz]:[% anualiz]]),1)*IF(DATOS!AH$4="Sí",1/DATOS_[[% normaliz]:[% normaliz]],1)*(DATOS_[Conc.Sal.04])))))))),
0)</f>
        <v>0</v>
      </c>
      <c r="N103" s="196">
        <f t="array" ref="N103">IFERROR(
(AVERAGE((IF(DATOS_[[Sexo]:[Sexo]]=$B103,IF(DATOS_[[AGRUP. CLAS. PROF.]:[AGRUP. CLAS. PROF.]]=$B102,IF(DATOS_[[Check Periodo Ref.]:[Check Periodo Ref.]]="Dentro",IF(DATOS_[[Check Equiparado]:[Check Equiparado]]="Sí",IF(DATOS!AI$5="Sí",(1/DATOS_[[% anualiz]:[% anualiz]]),1)*IF(DATOS!AI$4="Sí",1/DATOS_[[% normaliz]:[% normaliz]],1)*(DATOS_[Conc.Sal.05])))))))),
0)</f>
        <v>0</v>
      </c>
      <c r="O103" s="196">
        <f t="array" ref="O103">IFERROR(
(AVERAGE((IF(DATOS_[[Sexo]:[Sexo]]=$B103,IF(DATOS_[[AGRUP. CLAS. PROF.]:[AGRUP. CLAS. PROF.]]=$B102,IF(DATOS_[[Check Periodo Ref.]:[Check Periodo Ref.]]="Dentro",IF(DATOS_[[Check Equiparado]:[Check Equiparado]]="Sí",IF(DATOS!AJ$5="Sí",(1/DATOS_[[% anualiz]:[% anualiz]]),1)*IF(DATOS!AJ$4="Sí",1/DATOS_[[% normaliz]:[% normaliz]],1)*(DATOS_[Conc.Sal.06])))))))),
0)</f>
        <v>0</v>
      </c>
      <c r="P103" s="196">
        <f t="array" ref="P103">IFERROR(
(AVERAGE((IF(DATOS_[[Sexo]:[Sexo]]=$B103,IF(DATOS_[[AGRUP. CLAS. PROF.]:[AGRUP. CLAS. PROF.]]=$B102,IF(DATOS_[[Check Periodo Ref.]:[Check Periodo Ref.]]="Dentro",IF(DATOS_[[Check Equiparado]:[Check Equiparado]]="Sí",IF(DATOS!AK$5="Sí",(1/DATOS_[[% anualiz]:[% anualiz]]),1)*IF(DATOS!AK$4="Sí",1/DATOS_[[% normaliz]:[% normaliz]],1)*(DATOS_[Conc.Sal.07])))))))),
0)</f>
        <v>0</v>
      </c>
      <c r="Q103" s="196">
        <f t="array" ref="Q103">IFERROR(
(AVERAGE((IF(DATOS_[[Sexo]:[Sexo]]=$B103,IF(DATOS_[[AGRUP. CLAS. PROF.]:[AGRUP. CLAS. PROF.]]=$B102,IF(DATOS_[[Check Periodo Ref.]:[Check Periodo Ref.]]="Dentro",IF(DATOS_[[Check Equiparado]:[Check Equiparado]]="Sí",IF(DATOS!AL$5="Sí",(1/DATOS_[[% anualiz]:[% anualiz]]),1)*IF(DATOS!AL$4="Sí",1/DATOS_[[% normaliz]:[% normaliz]],1)*(DATOS_[Conc.Sal.08])))))))),
0)</f>
        <v>0</v>
      </c>
      <c r="R103" s="196">
        <f t="array" ref="R103">IFERROR(
(AVERAGE((IF(DATOS_[[Sexo]:[Sexo]]=$B103,IF(DATOS_[[AGRUP. CLAS. PROF.]:[AGRUP. CLAS. PROF.]]=$B102,IF(DATOS_[[Check Periodo Ref.]:[Check Periodo Ref.]]="Dentro",IF(DATOS_[[Check Equiparado]:[Check Equiparado]]="Sí",IF(DATOS!AM$5="Sí",(1/DATOS_[[% anualiz]:[% anualiz]]),1)*IF(DATOS!AM$4="Sí",1/DATOS_[[% normaliz]:[% normaliz]],1)*(DATOS_[Conc.Sal.09])))))))),
0)</f>
        <v>0</v>
      </c>
      <c r="S103" s="196">
        <f t="array" ref="S103">IFERROR(
(AVERAGE((IF(DATOS_[[Sexo]:[Sexo]]=$B103,IF(DATOS_[[AGRUP. CLAS. PROF.]:[AGRUP. CLAS. PROF.]]=$B102,IF(DATOS_[[Check Periodo Ref.]:[Check Periodo Ref.]]="Dentro",IF(DATOS_[[Check Equiparado]:[Check Equiparado]]="Sí",IF(DATOS!AN$5="Sí",(1/DATOS_[[% anualiz]:[% anualiz]]),1)*IF(DATOS!AN$4="Sí",1/DATOS_[[% normaliz]:[% normaliz]],1)*(DATOS_[Conc.Sal.10])))))))),
0)</f>
        <v>0</v>
      </c>
      <c r="T103" s="196">
        <f t="array" ref="T103">IFERROR(
(AVERAGE((IF(DATOS_[[Sexo]:[Sexo]]=$B103,IF(DATOS_[[AGRUP. CLAS. PROF.]:[AGRUP. CLAS. PROF.]]=$B102,IF(DATOS_[[Check Periodo Ref.]:[Check Periodo Ref.]]="Dentro",IF(DATOS_[[Check Equiparado]:[Check Equiparado]]="Sí",IF(DATOS!AO$5="Sí",(1/DATOS_[[% anualiz]:[% anualiz]]),1)*IF(DATOS!AO$4="Sí",1/DATOS_[[% normaliz]:[% normaliz]],1)*(DATOS_[Conc.Sal.11])))))))),
0)</f>
        <v>0</v>
      </c>
      <c r="U103" s="196">
        <f t="array" ref="U103">IFERROR(
(AVERAGE((IF(DATOS_[[Sexo]:[Sexo]]=$B103,IF(DATOS_[[AGRUP. CLAS. PROF.]:[AGRUP. CLAS. PROF.]]=$B102,IF(DATOS_[[Check Periodo Ref.]:[Check Periodo Ref.]]="Dentro",IF(DATOS_[[Check Equiparado]:[Check Equiparado]]="Sí",IF(DATOS!AP$5="Sí",(1/DATOS_[[% anualiz]:[% anualiz]]),1)*IF(DATOS!AP$4="Sí",1/DATOS_[[% normaliz]:[% normaliz]],1)*(DATOS_[Conc.Sal.12])))))))),
0)</f>
        <v>0</v>
      </c>
      <c r="V103" s="196">
        <f t="array" ref="V103">IFERROR(
(AVERAGE((IF(DATOS_[[Sexo]:[Sexo]]=$B103,IF(DATOS_[[AGRUP. CLAS. PROF.]:[AGRUP. CLAS. PROF.]]=$B102,IF(DATOS_[[Check Periodo Ref.]:[Check Periodo Ref.]]="Dentro",IF(DATOS_[[Check Equiparado]:[Check Equiparado]]="Sí",IF(DATOS!AQ$5="Sí",(1/DATOS_[[% anualiz]:[% anualiz]]),1)*IF(DATOS!AQ$4="Sí",1/DATOS_[[% normaliz]:[% normaliz]],1)*(DATOS_[Conc.Sal.13])))))))),
0)</f>
        <v>0</v>
      </c>
      <c r="W103" s="196">
        <f t="array" ref="W103">IFERROR(
(AVERAGE((IF(DATOS_[[Sexo]:[Sexo]]=$B103,IF(DATOS_[[AGRUP. CLAS. PROF.]:[AGRUP. CLAS. PROF.]]=$B102,IF(DATOS_[[Check Periodo Ref.]:[Check Periodo Ref.]]="Dentro",IF(DATOS_[[Check Equiparado]:[Check Equiparado]]="Sí",IF(DATOS!AR$5="Sí",(1/DATOS_[[% anualiz]:[% anualiz]]),1)*IF(DATOS!AR$4="Sí",1/DATOS_[[% normaliz]:[% normaliz]],1)*(DATOS_[Conc.Sal.14])))))))),
0)</f>
        <v>0</v>
      </c>
      <c r="X103" s="196">
        <f t="array" ref="X103">IFERROR(
(AVERAGE((IF(DATOS_[[Sexo]:[Sexo]]=$B103,IF(DATOS_[[AGRUP. CLAS. PROF.]:[AGRUP. CLAS. PROF.]]=$B102,IF(DATOS_[[Check Periodo Ref.]:[Check Periodo Ref.]]="Dentro",IF(DATOS_[[Check Equiparado]:[Check Equiparado]]="Sí",IF(DATOS!AS$5="Sí",(1/DATOS_[[% anualiz]:[% anualiz]]),1)*IF(DATOS!AS$4="Sí",1/DATOS_[[% normaliz]:[% normaliz]],1)*(DATOS_[Conc.Sal.15])))))))),
0)</f>
        <v>0</v>
      </c>
      <c r="Y103" s="196">
        <f t="array" ref="Y103">IFERROR(
(AVERAGE((IF(DATOS_[[Sexo]:[Sexo]]=$B103,IF(DATOS_[[AGRUP. CLAS. PROF.]:[AGRUP. CLAS. PROF.]]=$B102,IF(DATOS_[[Check Periodo Ref.]:[Check Periodo Ref.]]="Dentro",IF(DATOS_[[Check Equiparado]:[Check Equiparado]]="Sí",IF(DATOS!AT$5="Sí",(1/DATOS_[[% anualiz]:[% anualiz]]),1)*IF(DATOS!AT$4="Sí",1/DATOS_[[% normaliz]:[% normaliz]],1)*(DATOS_[Conc.Sal.16])))))))),
0)</f>
        <v>0</v>
      </c>
      <c r="Z103" s="196">
        <f t="array" ref="Z103">IFERROR(
(AVERAGE((IF(DATOS_[[Sexo]:[Sexo]]=$B103,IF(DATOS_[[AGRUP. CLAS. PROF.]:[AGRUP. CLAS. PROF.]]=$B102,IF(DATOS_[[Check Periodo Ref.]:[Check Periodo Ref.]]="Dentro",IF(DATOS_[[Check Equiparado]:[Check Equiparado]]="Sí",IF(DATOS!AU$5="Sí",(1/DATOS_[[% anualiz]:[% anualiz]]),1)*IF(DATOS!AU$4="Sí",1/DATOS_[[% normaliz]:[% normaliz]],1)*(DATOS_[Conc.Sal.17])))))))),
0)</f>
        <v>0</v>
      </c>
      <c r="AA103" s="196">
        <f t="array" ref="AA103">IFERROR(
(AVERAGE((IF(DATOS_[[Sexo]:[Sexo]]=$B103,IF(DATOS_[[AGRUP. CLAS. PROF.]:[AGRUP. CLAS. PROF.]]=$B102,IF(DATOS_[[Check Periodo Ref.]:[Check Periodo Ref.]]="Dentro",IF(DATOS_[[Check Equiparado]:[Check Equiparado]]="Sí",IF(DATOS!AV$5="Sí",(1/DATOS_[[% anualiz]:[% anualiz]]),1)*IF(DATOS!AV$4="Sí",1/DATOS_[[% normaliz]:[% normaliz]],1)*(DATOS_[Conc.Sal.18])))))))),
0)</f>
        <v>0</v>
      </c>
      <c r="AB103" s="196">
        <f t="array" ref="AB103">IFERROR(
(AVERAGE((IF(DATOS_[[Sexo]:[Sexo]]=$B103,IF(DATOS_[[AGRUP. CLAS. PROF.]:[AGRUP. CLAS. PROF.]]=$B102,IF(DATOS_[[Check Periodo Ref.]:[Check Periodo Ref.]]="Dentro",IF(DATOS_[[Check Equiparado]:[Check Equiparado]]="Sí",IF(DATOS!AW$5="Sí",(1/DATOS_[[% anualiz]:[% anualiz]]),1)*IF(DATOS!AW$4="Sí",1/DATOS_[[% normaliz]:[% normaliz]],1)*(DATOS_[Conc.Sal.19])))))))),
0)</f>
        <v>0</v>
      </c>
      <c r="AC103" s="196">
        <f t="array" ref="AC103">IFERROR(
(AVERAGE((IF(DATOS_[[Sexo]:[Sexo]]=$B103,IF(DATOS_[[AGRUP. CLAS. PROF.]:[AGRUP. CLAS. PROF.]]=$B102,IF(DATOS_[[Check Periodo Ref.]:[Check Periodo Ref.]]="Dentro",IF(DATOS_[[Check Equiparado]:[Check Equiparado]]="Sí",IF(DATOS!AX$5="Sí",(1/DATOS_[[% anualiz]:[% anualiz]]),1)*IF(DATOS!AX$4="Sí",1/DATOS_[[% normaliz]:[% normaliz]],1)*(DATOS_[Conc.Sal.20])))))))),
0)</f>
        <v>0</v>
      </c>
      <c r="AD103" s="196">
        <f t="array" ref="AD103">IFERROR(
(AVERAGE((IF(DATOS_[[Sexo]:[Sexo]]=$B103,IF(DATOS_[[AGRUP. CLAS. PROF.]:[AGRUP. CLAS. PROF.]]=$B102,IF(DATOS_[[Check Periodo Ref.]:[Check Periodo Ref.]]="Dentro",IF(DATOS_[[Check Equiparado]:[Check Equiparado]]="Sí",IF(DATOS!AY$5="Sí",(1/DATOS_[[% anualiz]:[% anualiz]]),1)*IF(DATOS!AY$4="Sí",1/DATOS_[[% normaliz]:[% normaliz]],1)*(DATOS_[Conc.Sal.21])))))))),
0)</f>
        <v>0</v>
      </c>
      <c r="AE103" s="196">
        <f t="array" ref="AE103">IFERROR(
(AVERAGE((IF(DATOS_[[Sexo]:[Sexo]]=$B103,IF(DATOS_[[AGRUP. CLAS. PROF.]:[AGRUP. CLAS. PROF.]]=$B102,IF(DATOS_[[Check Periodo Ref.]:[Check Periodo Ref.]]="Dentro",IF(DATOS_[[Check Equiparado]:[Check Equiparado]]="Sí",IF(DATOS!AZ$5="Sí",(1/DATOS_[[% anualiz]:[% anualiz]]),1)*IF(DATOS!AZ$4="Sí",1/DATOS_[[% normaliz]:[% normaliz]],1)*(DATOS_[Conc.Sal.22])))))))),
0)</f>
        <v>0</v>
      </c>
      <c r="AF103" s="196">
        <f t="array" ref="AF103">IFERROR(
(AVERAGE((IF(DATOS_[[Sexo]:[Sexo]]=$B103,IF(DATOS_[[AGRUP. CLAS. PROF.]:[AGRUP. CLAS. PROF.]]=$B102,IF(DATOS_[[Check Periodo Ref.]:[Check Periodo Ref.]]="Dentro",IF(DATOS_[[Check Equiparado]:[Check Equiparado]]="Sí",IF(DATOS!BA$5="Sí",(1/DATOS_[[% anualiz]:[% anualiz]]),1)*IF(DATOS!BA$4="Sí",1/DATOS_[[% normaliz]:[% normaliz]],1)*(DATOS_[Conc.Sal.23])))))))),
0)</f>
        <v>0</v>
      </c>
      <c r="AG103" s="196">
        <f t="array" ref="AG103">IFERROR(
(AVERAGE((IF(DATOS_[[Sexo]:[Sexo]]=$B103,IF(DATOS_[[AGRUP. CLAS. PROF.]:[AGRUP. CLAS. PROF.]]=$B102,IF(DATOS_[[Check Periodo Ref.]:[Check Periodo Ref.]]="Dentro",IF(DATOS_[[Check Equiparado]:[Check Equiparado]]="Sí",IF(DATOS!BB$5="Sí",(1/DATOS_[[% anualiz]:[% anualiz]]),1)*IF(DATOS!BB$4="Sí",1/DATOS_[[% normaliz]:[% normaliz]],1)*(DATOS_[Conc.Sal.24])))))))),
0)</f>
        <v>0</v>
      </c>
      <c r="AH103" s="196">
        <f t="array" ref="AH103">IFERROR(
(AVERAGE((IF(DATOS_[[Sexo]:[Sexo]]=$B103,IF(DATOS_[[AGRUP. CLAS. PROF.]:[AGRUP. CLAS. PROF.]]=$B102,IF(DATOS_[[Check Periodo Ref.]:[Check Periodo Ref.]]="Dentro",IF(DATOS_[[Check Equiparado]:[Check Equiparado]]="Sí",IF(DATOS!BC$5="Sí",(1/DATOS_[[% anualiz]:[% anualiz]]),1)*IF(DATOS!BC$4="Sí",1/DATOS_[[% normaliz]:[% normaliz]],1)*(DATOS_[Conc.Sal.25])))))))),
0)</f>
        <v>0</v>
      </c>
      <c r="AI103" s="196">
        <f t="array" ref="AI103">IFERROR(
(AVERAGE((IF(DATOS_[[Sexo]:[Sexo]]=$B103,IF(DATOS_[[AGRUP. CLAS. PROF.]:[AGRUP. CLAS. PROF.]]=$B102,IF(DATOS_[[Check Periodo Ref.]:[Check Periodo Ref.]]="Dentro",IF(DATOS_[[Check Equiparado]:[Check Equiparado]]="Sí",IF(DATOS!BD$5="Sí",(1/DATOS_[[% anualiz]:[% anualiz]]),1)*IF(DATOS!BD$4="Sí",1/DATOS_[[% normaliz]:[% normaliz]],1)*(DATOS_[Conc.Sal.26])))))))),
0)</f>
        <v>0</v>
      </c>
      <c r="AJ103" s="196">
        <f t="array" ref="AJ103">IFERROR(
(AVERAGE((IF(DATOS_[[Sexo]:[Sexo]]=$B103,IF(DATOS_[[AGRUP. CLAS. PROF.]:[AGRUP. CLAS. PROF.]]=$B102,IF(DATOS_[[Check Periodo Ref.]:[Check Periodo Ref.]]="Dentro",IF(DATOS_[[Check Equiparado]:[Check Equiparado]]="Sí",IF(DATOS!BE$5="Sí",(1/DATOS_[[% anualiz]:[% anualiz]]),1)*IF(DATOS!BE$4="Sí",1/DATOS_[[% normaliz]:[% normaliz]],1)*(DATOS_[Conc.Sal.27])))))))),
0)</f>
        <v>0</v>
      </c>
      <c r="AK103" s="196">
        <f t="array" ref="AK103">IFERROR(
(AVERAGE((IF(DATOS_[[Sexo]:[Sexo]]=$B103,IF(DATOS_[[AGRUP. CLAS. PROF.]:[AGRUP. CLAS. PROF.]]=$B102,IF(DATOS_[[Check Periodo Ref.]:[Check Periodo Ref.]]="Dentro",IF(DATOS_[[Check Equiparado]:[Check Equiparado]]="Sí",IF(DATOS!BF$5="Sí",(1/DATOS_[[% anualiz]:[% anualiz]]),1)*IF(DATOS!BF$4="Sí",1/DATOS_[[% normaliz]:[% normaliz]],1)*(DATOS_[Conc.Sal.28])))))))),
0)</f>
        <v>0</v>
      </c>
      <c r="AL103" s="196">
        <f t="array" ref="AL103">IFERROR(
(AVERAGE((IF(DATOS_[[Sexo]:[Sexo]]=$B103,IF(DATOS_[[AGRUP. CLAS. PROF.]:[AGRUP. CLAS. PROF.]]=$B102,IF(DATOS_[[Check Periodo Ref.]:[Check Periodo Ref.]]="Dentro",IF(DATOS_[[Check Equiparado]:[Check Equiparado]]="Sí",IF(DATOS!BG$5="Sí",(1/DATOS_[[% anualiz]:[% anualiz]]),1)*IF(DATOS!BG$4="Sí",1/DATOS_[[% normaliz]:[% normaliz]],1)*(DATOS_[Conc.Sal.29])))))))),
0)</f>
        <v>0</v>
      </c>
      <c r="AM103" s="196">
        <f t="array" ref="AM103">IFERROR(
(AVERAGE((IF(DATOS_[[Sexo]:[Sexo]]=$B103,IF(DATOS_[[AGRUP. CLAS. PROF.]:[AGRUP. CLAS. PROF.]]=$B102,IF(DATOS_[[Check Periodo Ref.]:[Check Periodo Ref.]]="Dentro",IF(DATOS_[[Check Equiparado]:[Check Equiparado]]="Sí",IF(DATOS!BH$5="Sí",(1/DATOS_[[% anualiz]:[% anualiz]]),1)*IF(DATOS!BH$4="Sí",1/DATOS_[[% normaliz]:[% normaliz]],1)*(DATOS_[Conc.Sal.30])))))))),
0)</f>
        <v>0</v>
      </c>
      <c r="AN103" s="195">
        <f t="array" ref="AN103">IFERROR(
AVERAGE(IF(DATOS_[Sexo]=$B103,IF(DATOS_[[AGRUP. CLAS. PROF.]:[AGRUP. CLAS. PROF.]]=$B102,IF(DATOS_[Check Equiparado]="Sí",IF(DATOS_[Check Periodo Ref.]="Dentro",DATOS_[Tot COMPL.SAL Eq],FALSE))))),
0)</f>
        <v>0</v>
      </c>
      <c r="AO103" s="172">
        <f t="array" ref="AO103">IFERROR(
AVERAGE(IF(DATOS_[Sexo]=$B103,IF(DATOS_[[AGRUP. CLAS. PROF.]:[AGRUP. CLAS. PROF.]]=$B102,IF(DATOS_[Check Equiparado]="Sí",IF(DATOS_[Check Periodo Ref.]="Dentro",DATOS_[TOTAL SALARIO Eq],FALSE))))),
0)</f>
        <v>0</v>
      </c>
      <c r="AP103" s="173">
        <f t="array" ref="AP103">IFERROR(
(AVERAGE((IF(DATOS_[[Sexo]:[Sexo]]=$B103,IF(DATOS_[[AGRUP. CLAS. PROF.]:[AGRUP. CLAS. PROF.]]=$B102,IF(DATOS_[[Check Periodo Ref.]:[Check Periodo Ref.]]="Dentro",IF(DATOS_[[Check Equiparado]:[Check Equiparado]]="Sí",IF(DATOS!BW$5="Sí",(1/DATOS_[[% anualiz]:[% anualiz]]),1)*IF(DATOS!BW$4="Sí",1/DATOS_[[% normaliz]:[% normaliz]],1)*(DATOS_[C.Extra.01])))))))),
0)</f>
        <v>0</v>
      </c>
      <c r="AQ103" s="173">
        <f t="array" ref="AQ103">IFERROR(
(AVERAGE((IF(DATOS_[[Sexo]:[Sexo]]=$B103,IF(DATOS_[[AGRUP. CLAS. PROF.]:[AGRUP. CLAS. PROF.]]=$B102,IF(DATOS_[[Check Periodo Ref.]:[Check Periodo Ref.]]="Dentro",IF(DATOS_[[Check Equiparado]:[Check Equiparado]]="Sí",IF(DATOS!CB$5="Sí",(1/DATOS_[[% anualiz]:[% anualiz]]),1)*IF(DATOS!CB$4="Sí",1/DATOS_[[% normaliz]:[% normaliz]],1)*(DATOS_[C.Extra.06])))))))),
0)</f>
        <v>0</v>
      </c>
      <c r="AR103" s="173">
        <f t="array" ref="AR103">IFERROR(
(AVERAGE((IF(DATOS_[[Sexo]:[Sexo]]=$B103,IF(DATOS_[[AGRUP. CLAS. PROF.]:[AGRUP. CLAS. PROF.]]=$B102,IF(DATOS_[[Check Periodo Ref.]:[Check Periodo Ref.]]="Dentro",IF(DATOS_[[Check Equiparado]:[Check Equiparado]]="Sí",IF(DATOS!CC$5="Sí",(1/DATOS_[[% anualiz]:[% anualiz]]),1)*IF(DATOS!CC$4="Sí",1/DATOS_[[% normaliz]:[% normaliz]],1)*(DATOS_[C.Extra.07])))))))),
0)</f>
        <v>0</v>
      </c>
      <c r="AS103" s="173">
        <f t="array" ref="AS103">IFERROR(
(AVERAGE((IF(DATOS_[[Sexo]:[Sexo]]=$B103,IF(DATOS_[[AGRUP. CLAS. PROF.]:[AGRUP. CLAS. PROF.]]=$B102,IF(DATOS_[[Check Periodo Ref.]:[Check Periodo Ref.]]="Dentro",IF(DATOS_[[Check Equiparado]:[Check Equiparado]]="Sí",IF(DATOS!CD$5="Sí",(1/DATOS_[[% anualiz]:[% anualiz]]),1)*IF(DATOS!CD$4="Sí",1/DATOS_[[% normaliz]:[% normaliz]],1)*(DATOS_[C.Extra.08])))))))),
0)</f>
        <v>0</v>
      </c>
      <c r="AT103" s="173">
        <f t="array" ref="AT103">IFERROR(
(AVERAGE((IF(DATOS_[[Sexo]:[Sexo]]=$B103,IF(DATOS_[[AGRUP. CLAS. PROF.]:[AGRUP. CLAS. PROF.]]=$B102,IF(DATOS_[[Check Periodo Ref.]:[Check Periodo Ref.]]="Dentro",IF(DATOS_[[Check Equiparado]:[Check Equiparado]]="Sí",IF(DATOS!CG$5="Sí",(1/DATOS_[[% anualiz]:[% anualiz]]),1)*IF(DATOS!CG$4="Sí",1/DATOS_[[% normaliz]:[% normaliz]],1)*(DATOS_[C.Extra.11])))))))),
0)</f>
        <v>0</v>
      </c>
      <c r="AU103" s="197">
        <f t="array" ref="AU103">IFERROR(
AVERAGE(IF(DATOS_[Sexo]=$B103,IF(DATOS_[[AGRUP. CLAS. PROF.]:[AGRUP. CLAS. PROF.]]=$B102,IF(DATOS_[Check Equiparado]="Sí",IF(DATOS_[Check Periodo Ref.]="Dentro",DATOS_[Tot Extrasalarial Eq],FALSE))))),
0)</f>
        <v>0</v>
      </c>
      <c r="AV103" s="175">
        <f t="array" ref="AV103">IFERROR(
AVERAGE(IF(DATOS_[Sexo]=$B103,IF(DATOS_[[AGRUP. CLAS. PROF.]:[AGRUP. CLAS. PROF.]]=$B102,IF(DATOS_[Check Equiparado]="Sí",IF(DATOS_[Check Periodo Ref.]="Dentro",DATOS_[TOTAL Retrib Eq],FALSE))))),
0)</f>
        <v>0</v>
      </c>
    </row>
    <row r="104" spans="1:48" hidden="1" x14ac:dyDescent="0.25">
      <c r="A104" s="133" t="str">
        <f t="shared" ref="A104" si="122">+A103</f>
        <v>[ocultar]</v>
      </c>
      <c r="B104" s="202" t="s">
        <v>521</v>
      </c>
      <c r="C104" s="203">
        <f t="array" ref="C104">SUM(IF($B104=DATOS_[Sexo],
IF($B102=DATOS_[AGRUP. CLAS. PROF.],
IF("Dentro"=DATOS_[Check Periodo Ref.],
1/(COUNTIFS(DATOS_[Sexo],$B104,DATOS_[AGRUP. CLAS. PROF.],$B102,DATOS_[Check Periodo Ref.],"Dentro",DATOS_[id/cod],DATOS_[id/cod]))))))</f>
        <v>0</v>
      </c>
      <c r="D104" s="204">
        <f>COUNTIFS(DATOS_[AGRUP. CLAS. PROF.],$B102,DATOS_[Sexo],$B104,DATOS_[Check Periodo Ref.],"Dentro")</f>
        <v>0</v>
      </c>
      <c r="E104" s="204">
        <f>COUNTIFS(DATOS_[AGRUP. CLAS. PROF.],$B102,DATOS_[Sexo],$B104,DATOS_[Check Periodo Ref.],"Dentro",DATOS_[Check Nº SC Norm],"Sí")</f>
        <v>0</v>
      </c>
      <c r="F104" s="204">
        <f>COUNTIFS(DATOS_[AGRUP. CLAS. PROF.],$B102,DATOS_[Sexo],$B104,DATOS_[Check Periodo Ref.],"Dentro",DATOS_[Check Nº SC Anualiz],"Sí")</f>
        <v>0</v>
      </c>
      <c r="G104" s="204">
        <f>COUNTIFS(DATOS_[AGRUP. CLAS. PROF.],$B102,DATOS_[Sexo],$B104,DATOS_[Check Periodo Ref.],"Dentro",DATOS_[Check Nº SC Norm y Anualiz],"Sí")</f>
        <v>0</v>
      </c>
      <c r="H104" s="204">
        <f>COUNTIFS(DATOS_[AGRUP. CLAS. PROF.],$B102,DATOS_[Sexo],$B104,DATOS_[Check Periodo Ref.],"Dentro",DATOS_[Check Equiparación],"Sí")</f>
        <v>0</v>
      </c>
      <c r="I104" s="195" cm="1">
        <f t="array" ref="I104">IFERROR(
AVERAGE(IF(DATOS_[Sexo]=$B104,IF(DATOS_[[AGRUP. CLAS. PROF.]:[AGRUP. CLAS. PROF.]]=$B102,IF(DATOS_[Check Equiparado]="Sí",IF(DATOS_[Check Periodo Ref.]="Dentro",DATOS_[SALARIO BASE Eq],FALSE))))),
0)</f>
        <v>0</v>
      </c>
      <c r="J104" s="196">
        <f t="array" ref="J104">IFERROR(
(AVERAGE((IF(DATOS_[[Sexo]:[Sexo]]=$B104,IF(DATOS_[[AGRUP. CLAS. PROF.]:[AGRUP. CLAS. PROF.]]=$B102,IF(DATOS_[[Check Periodo Ref.]:[Check Periodo Ref.]]="Dentro",IF(DATOS_[[Check Equiparado]:[Check Equiparado]]="Sí",IF(DATOS!AE$5="Sí",(1/DATOS_[[% anualiz]:[% anualiz]]),1)*IF(DATOS!AE$4="Sí",1/DATOS_[[% normaliz]:[% normaliz]],1)*(DATOS_[Conc.Sal.01])))))))),
0)</f>
        <v>0</v>
      </c>
      <c r="K104" s="196">
        <f t="array" ref="K104">IFERROR(
(AVERAGE((IF(DATOS_[[Sexo]:[Sexo]]=$B104,IF(DATOS_[[AGRUP. CLAS. PROF.]:[AGRUP. CLAS. PROF.]]=$B102,IF(DATOS_[[Check Periodo Ref.]:[Check Periodo Ref.]]="Dentro",IF(DATOS_[[Check Equiparado]:[Check Equiparado]]="Sí",IF(DATOS!AF$5="Sí",(1/DATOS_[[% anualiz]:[% anualiz]]),1)*IF(DATOS!AF$4="Sí",1/DATOS_[[% normaliz]:[% normaliz]],1)*(DATOS_[Conc.Sal.02])))))))),
0)</f>
        <v>0</v>
      </c>
      <c r="L104" s="196">
        <f t="array" ref="L104">IFERROR(
(AVERAGE((IF(DATOS_[[Sexo]:[Sexo]]=$B104,IF(DATOS_[[AGRUP. CLAS. PROF.]:[AGRUP. CLAS. PROF.]]=$B102,IF(DATOS_[[Check Periodo Ref.]:[Check Periodo Ref.]]="Dentro",IF(DATOS_[[Check Equiparado]:[Check Equiparado]]="Sí",IF(DATOS!AG$5="Sí",(1/DATOS_[[% anualiz]:[% anualiz]]),1)*IF(DATOS!AG$4="Sí",1/DATOS_[[% normaliz]:[% normaliz]],1)*(DATOS_[Conc.Sal.03])))))))),
0)</f>
        <v>0</v>
      </c>
      <c r="M104" s="196">
        <f t="array" ref="M104">IFERROR(
(AVERAGE((IF(DATOS_[[Sexo]:[Sexo]]=$B104,IF(DATOS_[[AGRUP. CLAS. PROF.]:[AGRUP. CLAS. PROF.]]=$B102,IF(DATOS_[[Check Periodo Ref.]:[Check Periodo Ref.]]="Dentro",IF(DATOS_[[Check Equiparado]:[Check Equiparado]]="Sí",IF(DATOS!AH$5="Sí",(1/DATOS_[[% anualiz]:[% anualiz]]),1)*IF(DATOS!AH$4="Sí",1/DATOS_[[% normaliz]:[% normaliz]],1)*(DATOS_[Conc.Sal.04])))))))),
0)</f>
        <v>0</v>
      </c>
      <c r="N104" s="196">
        <f t="array" ref="N104">IFERROR(
(AVERAGE((IF(DATOS_[[Sexo]:[Sexo]]=$B104,IF(DATOS_[[AGRUP. CLAS. PROF.]:[AGRUP. CLAS. PROF.]]=$B102,IF(DATOS_[[Check Periodo Ref.]:[Check Periodo Ref.]]="Dentro",IF(DATOS_[[Check Equiparado]:[Check Equiparado]]="Sí",IF(DATOS!AI$5="Sí",(1/DATOS_[[% anualiz]:[% anualiz]]),1)*IF(DATOS!AI$4="Sí",1/DATOS_[[% normaliz]:[% normaliz]],1)*(DATOS_[Conc.Sal.05])))))))),
0)</f>
        <v>0</v>
      </c>
      <c r="O104" s="196">
        <f t="array" ref="O104">IFERROR(
(AVERAGE((IF(DATOS_[[Sexo]:[Sexo]]=$B104,IF(DATOS_[[AGRUP. CLAS. PROF.]:[AGRUP. CLAS. PROF.]]=$B102,IF(DATOS_[[Check Periodo Ref.]:[Check Periodo Ref.]]="Dentro",IF(DATOS_[[Check Equiparado]:[Check Equiparado]]="Sí",IF(DATOS!AJ$5="Sí",(1/DATOS_[[% anualiz]:[% anualiz]]),1)*IF(DATOS!AJ$4="Sí",1/DATOS_[[% normaliz]:[% normaliz]],1)*(DATOS_[Conc.Sal.06])))))))),
0)</f>
        <v>0</v>
      </c>
      <c r="P104" s="196">
        <f t="array" ref="P104">IFERROR(
(AVERAGE((IF(DATOS_[[Sexo]:[Sexo]]=$B104,IF(DATOS_[[AGRUP. CLAS. PROF.]:[AGRUP. CLAS. PROF.]]=$B102,IF(DATOS_[[Check Periodo Ref.]:[Check Periodo Ref.]]="Dentro",IF(DATOS_[[Check Equiparado]:[Check Equiparado]]="Sí",IF(DATOS!AK$5="Sí",(1/DATOS_[[% anualiz]:[% anualiz]]),1)*IF(DATOS!AK$4="Sí",1/DATOS_[[% normaliz]:[% normaliz]],1)*(DATOS_[Conc.Sal.07])))))))),
0)</f>
        <v>0</v>
      </c>
      <c r="Q104" s="196">
        <f t="array" ref="Q104">IFERROR(
(AVERAGE((IF(DATOS_[[Sexo]:[Sexo]]=$B104,IF(DATOS_[[AGRUP. CLAS. PROF.]:[AGRUP. CLAS. PROF.]]=$B102,IF(DATOS_[[Check Periodo Ref.]:[Check Periodo Ref.]]="Dentro",IF(DATOS_[[Check Equiparado]:[Check Equiparado]]="Sí",IF(DATOS!AL$5="Sí",(1/DATOS_[[% anualiz]:[% anualiz]]),1)*IF(DATOS!AL$4="Sí",1/DATOS_[[% normaliz]:[% normaliz]],1)*(DATOS_[Conc.Sal.08])))))))),
0)</f>
        <v>0</v>
      </c>
      <c r="R104" s="196">
        <f t="array" ref="R104">IFERROR(
(AVERAGE((IF(DATOS_[[Sexo]:[Sexo]]=$B104,IF(DATOS_[[AGRUP. CLAS. PROF.]:[AGRUP. CLAS. PROF.]]=$B102,IF(DATOS_[[Check Periodo Ref.]:[Check Periodo Ref.]]="Dentro",IF(DATOS_[[Check Equiparado]:[Check Equiparado]]="Sí",IF(DATOS!AM$5="Sí",(1/DATOS_[[% anualiz]:[% anualiz]]),1)*IF(DATOS!AM$4="Sí",1/DATOS_[[% normaliz]:[% normaliz]],1)*(DATOS_[Conc.Sal.09])))))))),
0)</f>
        <v>0</v>
      </c>
      <c r="S104" s="196">
        <f t="array" ref="S104">IFERROR(
(AVERAGE((IF(DATOS_[[Sexo]:[Sexo]]=$B104,IF(DATOS_[[AGRUP. CLAS. PROF.]:[AGRUP. CLAS. PROF.]]=$B102,IF(DATOS_[[Check Periodo Ref.]:[Check Periodo Ref.]]="Dentro",IF(DATOS_[[Check Equiparado]:[Check Equiparado]]="Sí",IF(DATOS!AN$5="Sí",(1/DATOS_[[% anualiz]:[% anualiz]]),1)*IF(DATOS!AN$4="Sí",1/DATOS_[[% normaliz]:[% normaliz]],1)*(DATOS_[Conc.Sal.10])))))))),
0)</f>
        <v>0</v>
      </c>
      <c r="T104" s="196">
        <f t="array" ref="T104">IFERROR(
(AVERAGE((IF(DATOS_[[Sexo]:[Sexo]]=$B104,IF(DATOS_[[AGRUP. CLAS. PROF.]:[AGRUP. CLAS. PROF.]]=$B102,IF(DATOS_[[Check Periodo Ref.]:[Check Periodo Ref.]]="Dentro",IF(DATOS_[[Check Equiparado]:[Check Equiparado]]="Sí",IF(DATOS!AO$5="Sí",(1/DATOS_[[% anualiz]:[% anualiz]]),1)*IF(DATOS!AO$4="Sí",1/DATOS_[[% normaliz]:[% normaliz]],1)*(DATOS_[Conc.Sal.11])))))))),
0)</f>
        <v>0</v>
      </c>
      <c r="U104" s="196">
        <f t="array" ref="U104">IFERROR(
(AVERAGE((IF(DATOS_[[Sexo]:[Sexo]]=$B104,IF(DATOS_[[AGRUP. CLAS. PROF.]:[AGRUP. CLAS. PROF.]]=$B102,IF(DATOS_[[Check Periodo Ref.]:[Check Periodo Ref.]]="Dentro",IF(DATOS_[[Check Equiparado]:[Check Equiparado]]="Sí",IF(DATOS!AP$5="Sí",(1/DATOS_[[% anualiz]:[% anualiz]]),1)*IF(DATOS!AP$4="Sí",1/DATOS_[[% normaliz]:[% normaliz]],1)*(DATOS_[Conc.Sal.12])))))))),
0)</f>
        <v>0</v>
      </c>
      <c r="V104" s="196">
        <f t="array" ref="V104">IFERROR(
(AVERAGE((IF(DATOS_[[Sexo]:[Sexo]]=$B104,IF(DATOS_[[AGRUP. CLAS. PROF.]:[AGRUP. CLAS. PROF.]]=$B102,IF(DATOS_[[Check Periodo Ref.]:[Check Periodo Ref.]]="Dentro",IF(DATOS_[[Check Equiparado]:[Check Equiparado]]="Sí",IF(DATOS!AQ$5="Sí",(1/DATOS_[[% anualiz]:[% anualiz]]),1)*IF(DATOS!AQ$4="Sí",1/DATOS_[[% normaliz]:[% normaliz]],1)*(DATOS_[Conc.Sal.13])))))))),
0)</f>
        <v>0</v>
      </c>
      <c r="W104" s="196">
        <f t="array" ref="W104">IFERROR(
(AVERAGE((IF(DATOS_[[Sexo]:[Sexo]]=$B104,IF(DATOS_[[AGRUP. CLAS. PROF.]:[AGRUP. CLAS. PROF.]]=$B102,IF(DATOS_[[Check Periodo Ref.]:[Check Periodo Ref.]]="Dentro",IF(DATOS_[[Check Equiparado]:[Check Equiparado]]="Sí",IF(DATOS!AR$5="Sí",(1/DATOS_[[% anualiz]:[% anualiz]]),1)*IF(DATOS!AR$4="Sí",1/DATOS_[[% normaliz]:[% normaliz]],1)*(DATOS_[Conc.Sal.14])))))))),
0)</f>
        <v>0</v>
      </c>
      <c r="X104" s="196">
        <f t="array" ref="X104">IFERROR(
(AVERAGE((IF(DATOS_[[Sexo]:[Sexo]]=$B104,IF(DATOS_[[AGRUP. CLAS. PROF.]:[AGRUP. CLAS. PROF.]]=$B102,IF(DATOS_[[Check Periodo Ref.]:[Check Periodo Ref.]]="Dentro",IF(DATOS_[[Check Equiparado]:[Check Equiparado]]="Sí",IF(DATOS!AS$5="Sí",(1/DATOS_[[% anualiz]:[% anualiz]]),1)*IF(DATOS!AS$4="Sí",1/DATOS_[[% normaliz]:[% normaliz]],1)*(DATOS_[Conc.Sal.15])))))))),
0)</f>
        <v>0</v>
      </c>
      <c r="Y104" s="196">
        <f t="array" ref="Y104">IFERROR(
(AVERAGE((IF(DATOS_[[Sexo]:[Sexo]]=$B104,IF(DATOS_[[AGRUP. CLAS. PROF.]:[AGRUP. CLAS. PROF.]]=$B102,IF(DATOS_[[Check Periodo Ref.]:[Check Periodo Ref.]]="Dentro",IF(DATOS_[[Check Equiparado]:[Check Equiparado]]="Sí",IF(DATOS!AT$5="Sí",(1/DATOS_[[% anualiz]:[% anualiz]]),1)*IF(DATOS!AT$4="Sí",1/DATOS_[[% normaliz]:[% normaliz]],1)*(DATOS_[Conc.Sal.16])))))))),
0)</f>
        <v>0</v>
      </c>
      <c r="Z104" s="196">
        <f t="array" ref="Z104">IFERROR(
(AVERAGE((IF(DATOS_[[Sexo]:[Sexo]]=$B104,IF(DATOS_[[AGRUP. CLAS. PROF.]:[AGRUP. CLAS. PROF.]]=$B102,IF(DATOS_[[Check Periodo Ref.]:[Check Periodo Ref.]]="Dentro",IF(DATOS_[[Check Equiparado]:[Check Equiparado]]="Sí",IF(DATOS!AU$5="Sí",(1/DATOS_[[% anualiz]:[% anualiz]]),1)*IF(DATOS!AU$4="Sí",1/DATOS_[[% normaliz]:[% normaliz]],1)*(DATOS_[Conc.Sal.17])))))))),
0)</f>
        <v>0</v>
      </c>
      <c r="AA104" s="196">
        <f t="array" ref="AA104">IFERROR(
(AVERAGE((IF(DATOS_[[Sexo]:[Sexo]]=$B104,IF(DATOS_[[AGRUP. CLAS. PROF.]:[AGRUP. CLAS. PROF.]]=$B102,IF(DATOS_[[Check Periodo Ref.]:[Check Periodo Ref.]]="Dentro",IF(DATOS_[[Check Equiparado]:[Check Equiparado]]="Sí",IF(DATOS!AV$5="Sí",(1/DATOS_[[% anualiz]:[% anualiz]]),1)*IF(DATOS!AV$4="Sí",1/DATOS_[[% normaliz]:[% normaliz]],1)*(DATOS_[Conc.Sal.18])))))))),
0)</f>
        <v>0</v>
      </c>
      <c r="AB104" s="196">
        <f t="array" ref="AB104">IFERROR(
(AVERAGE((IF(DATOS_[[Sexo]:[Sexo]]=$B104,IF(DATOS_[[AGRUP. CLAS. PROF.]:[AGRUP. CLAS. PROF.]]=$B102,IF(DATOS_[[Check Periodo Ref.]:[Check Periodo Ref.]]="Dentro",IF(DATOS_[[Check Equiparado]:[Check Equiparado]]="Sí",IF(DATOS!AW$5="Sí",(1/DATOS_[[% anualiz]:[% anualiz]]),1)*IF(DATOS!AW$4="Sí",1/DATOS_[[% normaliz]:[% normaliz]],1)*(DATOS_[Conc.Sal.19])))))))),
0)</f>
        <v>0</v>
      </c>
      <c r="AC104" s="196">
        <f t="array" ref="AC104">IFERROR(
(AVERAGE((IF(DATOS_[[Sexo]:[Sexo]]=$B104,IF(DATOS_[[AGRUP. CLAS. PROF.]:[AGRUP. CLAS. PROF.]]=$B102,IF(DATOS_[[Check Periodo Ref.]:[Check Periodo Ref.]]="Dentro",IF(DATOS_[[Check Equiparado]:[Check Equiparado]]="Sí",IF(DATOS!AX$5="Sí",(1/DATOS_[[% anualiz]:[% anualiz]]),1)*IF(DATOS!AX$4="Sí",1/DATOS_[[% normaliz]:[% normaliz]],1)*(DATOS_[Conc.Sal.20])))))))),
0)</f>
        <v>0</v>
      </c>
      <c r="AD104" s="196">
        <f t="array" ref="AD104">IFERROR(
(AVERAGE((IF(DATOS_[[Sexo]:[Sexo]]=$B104,IF(DATOS_[[AGRUP. CLAS. PROF.]:[AGRUP. CLAS. PROF.]]=$B102,IF(DATOS_[[Check Periodo Ref.]:[Check Periodo Ref.]]="Dentro",IF(DATOS_[[Check Equiparado]:[Check Equiparado]]="Sí",IF(DATOS!AY$5="Sí",(1/DATOS_[[% anualiz]:[% anualiz]]),1)*IF(DATOS!AY$4="Sí",1/DATOS_[[% normaliz]:[% normaliz]],1)*(DATOS_[Conc.Sal.21])))))))),
0)</f>
        <v>0</v>
      </c>
      <c r="AE104" s="196">
        <f t="array" ref="AE104">IFERROR(
(AVERAGE((IF(DATOS_[[Sexo]:[Sexo]]=$B104,IF(DATOS_[[AGRUP. CLAS. PROF.]:[AGRUP. CLAS. PROF.]]=$B102,IF(DATOS_[[Check Periodo Ref.]:[Check Periodo Ref.]]="Dentro",IF(DATOS_[[Check Equiparado]:[Check Equiparado]]="Sí",IF(DATOS!AZ$5="Sí",(1/DATOS_[[% anualiz]:[% anualiz]]),1)*IF(DATOS!AZ$4="Sí",1/DATOS_[[% normaliz]:[% normaliz]],1)*(DATOS_[Conc.Sal.22])))))))),
0)</f>
        <v>0</v>
      </c>
      <c r="AF104" s="196">
        <f t="array" ref="AF104">IFERROR(
(AVERAGE((IF(DATOS_[[Sexo]:[Sexo]]=$B104,IF(DATOS_[[AGRUP. CLAS. PROF.]:[AGRUP. CLAS. PROF.]]=$B102,IF(DATOS_[[Check Periodo Ref.]:[Check Periodo Ref.]]="Dentro",IF(DATOS_[[Check Equiparado]:[Check Equiparado]]="Sí",IF(DATOS!BA$5="Sí",(1/DATOS_[[% anualiz]:[% anualiz]]),1)*IF(DATOS!BA$4="Sí",1/DATOS_[[% normaliz]:[% normaliz]],1)*(DATOS_[Conc.Sal.23])))))))),
0)</f>
        <v>0</v>
      </c>
      <c r="AG104" s="196">
        <f t="array" ref="AG104">IFERROR(
(AVERAGE((IF(DATOS_[[Sexo]:[Sexo]]=$B104,IF(DATOS_[[AGRUP. CLAS. PROF.]:[AGRUP. CLAS. PROF.]]=$B102,IF(DATOS_[[Check Periodo Ref.]:[Check Periodo Ref.]]="Dentro",IF(DATOS_[[Check Equiparado]:[Check Equiparado]]="Sí",IF(DATOS!BB$5="Sí",(1/DATOS_[[% anualiz]:[% anualiz]]),1)*IF(DATOS!BB$4="Sí",1/DATOS_[[% normaliz]:[% normaliz]],1)*(DATOS_[Conc.Sal.24])))))))),
0)</f>
        <v>0</v>
      </c>
      <c r="AH104" s="196">
        <f t="array" ref="AH104">IFERROR(
(AVERAGE((IF(DATOS_[[Sexo]:[Sexo]]=$B104,IF(DATOS_[[AGRUP. CLAS. PROF.]:[AGRUP. CLAS. PROF.]]=$B102,IF(DATOS_[[Check Periodo Ref.]:[Check Periodo Ref.]]="Dentro",IF(DATOS_[[Check Equiparado]:[Check Equiparado]]="Sí",IF(DATOS!BC$5="Sí",(1/DATOS_[[% anualiz]:[% anualiz]]),1)*IF(DATOS!BC$4="Sí",1/DATOS_[[% normaliz]:[% normaliz]],1)*(DATOS_[Conc.Sal.25])))))))),
0)</f>
        <v>0</v>
      </c>
      <c r="AI104" s="196">
        <f t="array" ref="AI104">IFERROR(
(AVERAGE((IF(DATOS_[[Sexo]:[Sexo]]=$B104,IF(DATOS_[[AGRUP. CLAS. PROF.]:[AGRUP. CLAS. PROF.]]=$B102,IF(DATOS_[[Check Periodo Ref.]:[Check Periodo Ref.]]="Dentro",IF(DATOS_[[Check Equiparado]:[Check Equiparado]]="Sí",IF(DATOS!BD$5="Sí",(1/DATOS_[[% anualiz]:[% anualiz]]),1)*IF(DATOS!BD$4="Sí",1/DATOS_[[% normaliz]:[% normaliz]],1)*(DATOS_[Conc.Sal.26])))))))),
0)</f>
        <v>0</v>
      </c>
      <c r="AJ104" s="196">
        <f t="array" ref="AJ104">IFERROR(
(AVERAGE((IF(DATOS_[[Sexo]:[Sexo]]=$B104,IF(DATOS_[[AGRUP. CLAS. PROF.]:[AGRUP. CLAS. PROF.]]=$B102,IF(DATOS_[[Check Periodo Ref.]:[Check Periodo Ref.]]="Dentro",IF(DATOS_[[Check Equiparado]:[Check Equiparado]]="Sí",IF(DATOS!BE$5="Sí",(1/DATOS_[[% anualiz]:[% anualiz]]),1)*IF(DATOS!BE$4="Sí",1/DATOS_[[% normaliz]:[% normaliz]],1)*(DATOS_[Conc.Sal.27])))))))),
0)</f>
        <v>0</v>
      </c>
      <c r="AK104" s="196">
        <f t="array" ref="AK104">IFERROR(
(AVERAGE((IF(DATOS_[[Sexo]:[Sexo]]=$B104,IF(DATOS_[[AGRUP. CLAS. PROF.]:[AGRUP. CLAS. PROF.]]=$B102,IF(DATOS_[[Check Periodo Ref.]:[Check Periodo Ref.]]="Dentro",IF(DATOS_[[Check Equiparado]:[Check Equiparado]]="Sí",IF(DATOS!BF$5="Sí",(1/DATOS_[[% anualiz]:[% anualiz]]),1)*IF(DATOS!BF$4="Sí",1/DATOS_[[% normaliz]:[% normaliz]],1)*(DATOS_[Conc.Sal.28])))))))),
0)</f>
        <v>0</v>
      </c>
      <c r="AL104" s="196">
        <f t="array" ref="AL104">IFERROR(
(AVERAGE((IF(DATOS_[[Sexo]:[Sexo]]=$B104,IF(DATOS_[[AGRUP. CLAS. PROF.]:[AGRUP. CLAS. PROF.]]=$B102,IF(DATOS_[[Check Periodo Ref.]:[Check Periodo Ref.]]="Dentro",IF(DATOS_[[Check Equiparado]:[Check Equiparado]]="Sí",IF(DATOS!BG$5="Sí",(1/DATOS_[[% anualiz]:[% anualiz]]),1)*IF(DATOS!BG$4="Sí",1/DATOS_[[% normaliz]:[% normaliz]],1)*(DATOS_[Conc.Sal.29])))))))),
0)</f>
        <v>0</v>
      </c>
      <c r="AM104" s="196">
        <f t="array" ref="AM104">IFERROR(
(AVERAGE((IF(DATOS_[[Sexo]:[Sexo]]=$B104,IF(DATOS_[[AGRUP. CLAS. PROF.]:[AGRUP. CLAS. PROF.]]=$B102,IF(DATOS_[[Check Periodo Ref.]:[Check Periodo Ref.]]="Dentro",IF(DATOS_[[Check Equiparado]:[Check Equiparado]]="Sí",IF(DATOS!BH$5="Sí",(1/DATOS_[[% anualiz]:[% anualiz]]),1)*IF(DATOS!BH$4="Sí",1/DATOS_[[% normaliz]:[% normaliz]],1)*(DATOS_[Conc.Sal.30])))))))),
0)</f>
        <v>0</v>
      </c>
      <c r="AN104" s="195">
        <f t="array" ref="AN104">IFERROR(
AVERAGE(IF(DATOS_[Sexo]=$B104,IF(DATOS_[[AGRUP. CLAS. PROF.]:[AGRUP. CLAS. PROF.]]=$B102,IF(DATOS_[Check Equiparado]="Sí",IF(DATOS_[Check Periodo Ref.]="Dentro",DATOS_[Tot COMPL.SAL Eq],FALSE))))),
0)</f>
        <v>0</v>
      </c>
      <c r="AO104" s="172">
        <f t="array" ref="AO104">IFERROR(
AVERAGE(IF(DATOS_[Sexo]=$B104,IF(DATOS_[[AGRUP. CLAS. PROF.]:[AGRUP. CLAS. PROF.]]=$B102,IF(DATOS_[Check Equiparado]="Sí",IF(DATOS_[Check Periodo Ref.]="Dentro",DATOS_[TOTAL SALARIO Eq],FALSE))))),
0)</f>
        <v>0</v>
      </c>
      <c r="AP104" s="173">
        <f t="array" ref="AP104">IFERROR(
(AVERAGE((IF(DATOS_[[Sexo]:[Sexo]]=$B104,IF(DATOS_[[AGRUP. CLAS. PROF.]:[AGRUP. CLAS. PROF.]]=$B102,IF(DATOS_[[Check Periodo Ref.]:[Check Periodo Ref.]]="Dentro",IF(DATOS_[[Check Equiparado]:[Check Equiparado]]="Sí",IF(DATOS!BW$5="Sí",(1/DATOS_[[% anualiz]:[% anualiz]]),1)*IF(DATOS!BW$4="Sí",1/DATOS_[[% normaliz]:[% normaliz]],1)*(DATOS_[C.Extra.01])))))))),
0)</f>
        <v>0</v>
      </c>
      <c r="AQ104" s="173">
        <f t="array" ref="AQ104">IFERROR(
(AVERAGE((IF(DATOS_[[Sexo]:[Sexo]]=$B104,IF(DATOS_[[AGRUP. CLAS. PROF.]:[AGRUP. CLAS. PROF.]]=$B102,IF(DATOS_[[Check Periodo Ref.]:[Check Periodo Ref.]]="Dentro",IF(DATOS_[[Check Equiparado]:[Check Equiparado]]="Sí",IF(DATOS!CB$5="Sí",(1/DATOS_[[% anualiz]:[% anualiz]]),1)*IF(DATOS!CB$4="Sí",1/DATOS_[[% normaliz]:[% normaliz]],1)*(DATOS_[C.Extra.06])))))))),
0)</f>
        <v>0</v>
      </c>
      <c r="AR104" s="173">
        <f t="array" ref="AR104">IFERROR(
(AVERAGE((IF(DATOS_[[Sexo]:[Sexo]]=$B104,IF(DATOS_[[AGRUP. CLAS. PROF.]:[AGRUP. CLAS. PROF.]]=$B102,IF(DATOS_[[Check Periodo Ref.]:[Check Periodo Ref.]]="Dentro",IF(DATOS_[[Check Equiparado]:[Check Equiparado]]="Sí",IF(DATOS!CC$5="Sí",(1/DATOS_[[% anualiz]:[% anualiz]]),1)*IF(DATOS!CC$4="Sí",1/DATOS_[[% normaliz]:[% normaliz]],1)*(DATOS_[C.Extra.07])))))))),
0)</f>
        <v>0</v>
      </c>
      <c r="AS104" s="173">
        <f t="array" ref="AS104">IFERROR(
(AVERAGE((IF(DATOS_[[Sexo]:[Sexo]]=$B104,IF(DATOS_[[AGRUP. CLAS. PROF.]:[AGRUP. CLAS. PROF.]]=$B102,IF(DATOS_[[Check Periodo Ref.]:[Check Periodo Ref.]]="Dentro",IF(DATOS_[[Check Equiparado]:[Check Equiparado]]="Sí",IF(DATOS!CD$5="Sí",(1/DATOS_[[% anualiz]:[% anualiz]]),1)*IF(DATOS!CD$4="Sí",1/DATOS_[[% normaliz]:[% normaliz]],1)*(DATOS_[C.Extra.08])))))))),
0)</f>
        <v>0</v>
      </c>
      <c r="AT104" s="173">
        <f t="array" ref="AT104">IFERROR(
(AVERAGE((IF(DATOS_[[Sexo]:[Sexo]]=$B104,IF(DATOS_[[AGRUP. CLAS. PROF.]:[AGRUP. CLAS. PROF.]]=$B102,IF(DATOS_[[Check Periodo Ref.]:[Check Periodo Ref.]]="Dentro",IF(DATOS_[[Check Equiparado]:[Check Equiparado]]="Sí",IF(DATOS!CG$5="Sí",(1/DATOS_[[% anualiz]:[% anualiz]]),1)*IF(DATOS!CG$4="Sí",1/DATOS_[[% normaliz]:[% normaliz]],1)*(DATOS_[C.Extra.11])))))))),
0)</f>
        <v>0</v>
      </c>
      <c r="AU104" s="197">
        <f t="array" ref="AU104">IFERROR(
AVERAGE(IF(DATOS_[Sexo]=$B104,IF(DATOS_[[AGRUP. CLAS. PROF.]:[AGRUP. CLAS. PROF.]]=$B102,IF(DATOS_[Check Equiparado]="Sí",IF(DATOS_[Check Periodo Ref.]="Dentro",DATOS_[Tot Extrasalarial Eq],FALSE))))),
0)</f>
        <v>0</v>
      </c>
      <c r="AV104" s="175">
        <f t="array" ref="AV104">IFERROR(
AVERAGE(IF(DATOS_[Sexo]=$B104,IF(DATOS_[[AGRUP. CLAS. PROF.]:[AGRUP. CLAS. PROF.]]=$B102,IF(DATOS_[Check Equiparado]="Sí",IF(DATOS_[Check Periodo Ref.]="Dentro",DATOS_[TOTAL Retrib Eq],FALSE))))),
0)</f>
        <v>0</v>
      </c>
    </row>
    <row r="105" spans="1:48" ht="25.65" customHeight="1" x14ac:dyDescent="0.25">
      <c r="B105" s="208"/>
      <c r="C105" s="209"/>
      <c r="D105" s="210"/>
      <c r="E105" s="210"/>
      <c r="F105" s="210"/>
      <c r="G105" s="210"/>
      <c r="H105" s="210"/>
    </row>
    <row r="106" spans="1:48" x14ac:dyDescent="0.25">
      <c r="B106" s="202"/>
      <c r="C106" s="203"/>
      <c r="D106" s="204"/>
      <c r="E106" s="204"/>
      <c r="F106" s="204"/>
      <c r="G106" s="204"/>
      <c r="H106" s="204"/>
    </row>
    <row r="107" spans="1:48" x14ac:dyDescent="0.25">
      <c r="B107" s="202"/>
      <c r="C107" s="203"/>
      <c r="D107" s="204"/>
      <c r="E107" s="204"/>
      <c r="F107" s="204"/>
      <c r="G107" s="204"/>
      <c r="H107" s="204"/>
    </row>
    <row r="108" spans="1:48" x14ac:dyDescent="0.25">
      <c r="B108" s="208"/>
      <c r="C108" s="209"/>
      <c r="D108" s="210"/>
      <c r="E108" s="210"/>
      <c r="F108" s="210"/>
      <c r="G108" s="210"/>
      <c r="H108" s="210"/>
    </row>
    <row r="109" spans="1:48" x14ac:dyDescent="0.25">
      <c r="B109" s="202"/>
      <c r="C109" s="203"/>
      <c r="D109" s="204"/>
      <c r="E109" s="204"/>
      <c r="F109" s="204"/>
      <c r="G109" s="204"/>
      <c r="H109" s="204"/>
    </row>
    <row r="110" spans="1:48" x14ac:dyDescent="0.25">
      <c r="B110" s="202"/>
      <c r="C110" s="203"/>
      <c r="D110" s="204"/>
      <c r="E110" s="204"/>
      <c r="F110" s="204"/>
      <c r="G110" s="204"/>
      <c r="H110" s="204"/>
    </row>
    <row r="111" spans="1:48" x14ac:dyDescent="0.25">
      <c r="B111" s="208"/>
      <c r="C111" s="209"/>
      <c r="D111" s="210"/>
      <c r="E111" s="210"/>
      <c r="F111" s="210"/>
      <c r="G111" s="210"/>
      <c r="H111" s="210"/>
    </row>
    <row r="112" spans="1:48" x14ac:dyDescent="0.25">
      <c r="B112" s="202"/>
      <c r="C112" s="203"/>
      <c r="D112" s="204"/>
      <c r="E112" s="204"/>
      <c r="F112" s="204"/>
      <c r="G112" s="204"/>
      <c r="H112" s="204"/>
    </row>
    <row r="113" spans="2:8" x14ac:dyDescent="0.25">
      <c r="B113" s="202"/>
      <c r="C113" s="203"/>
      <c r="D113" s="204"/>
      <c r="E113" s="204"/>
      <c r="F113" s="204"/>
      <c r="G113" s="204"/>
      <c r="H113" s="204"/>
    </row>
    <row r="114" spans="2:8" x14ac:dyDescent="0.25">
      <c r="B114" s="208"/>
      <c r="C114" s="209"/>
      <c r="D114" s="210"/>
      <c r="E114" s="210"/>
      <c r="F114" s="210"/>
      <c r="G114" s="210"/>
      <c r="H114" s="210"/>
    </row>
    <row r="115" spans="2:8" x14ac:dyDescent="0.25">
      <c r="B115" s="202"/>
      <c r="C115" s="203"/>
      <c r="D115" s="204"/>
      <c r="E115" s="204"/>
      <c r="F115" s="204"/>
      <c r="G115" s="204"/>
      <c r="H115" s="204"/>
    </row>
    <row r="116" spans="2:8" x14ac:dyDescent="0.25">
      <c r="B116" s="202"/>
      <c r="C116" s="203"/>
      <c r="D116" s="204"/>
      <c r="E116" s="204"/>
      <c r="F116" s="204"/>
      <c r="G116" s="204"/>
      <c r="H116" s="204"/>
    </row>
  </sheetData>
  <dataConsolidate/>
  <pageMargins left="0.25" right="0.25" top="0.75" bottom="0.75" header="0.3" footer="0.3"/>
  <pageSetup paperSize="9" scale="85" fitToHeight="0"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tabColor rgb="FFFFCC99"/>
    <pageSetUpPr fitToPage="1"/>
  </sheetPr>
  <dimension ref="A1:AV116"/>
  <sheetViews>
    <sheetView showGridLines="0" zoomScale="80" zoomScaleNormal="80" workbookViewId="0">
      <selection activeCell="Q116" sqref="Q116"/>
    </sheetView>
  </sheetViews>
  <sheetFormatPr baseColWidth="10" defaultColWidth="8.44140625" defaultRowHeight="13.8" outlineLevelCol="1" x14ac:dyDescent="0.25"/>
  <cols>
    <col min="1" max="1" width="8.44140625" style="133"/>
    <col min="2" max="2" width="10.33203125" style="133" customWidth="1"/>
    <col min="3" max="3" width="8.44140625" style="133"/>
    <col min="4" max="4" width="10.44140625" style="133" customWidth="1"/>
    <col min="5" max="8" width="10.44140625" style="133" hidden="1" customWidth="1"/>
    <col min="9" max="9" width="10.44140625" style="133" customWidth="1"/>
    <col min="10" max="19" width="8.88671875" style="133" customWidth="1"/>
    <col min="20" max="31" width="8.88671875" style="133" customWidth="1" outlineLevel="1"/>
    <col min="32" max="39" width="8.88671875" style="133" hidden="1" customWidth="1" outlineLevel="1"/>
    <col min="40" max="40" width="10.33203125" style="133" customWidth="1"/>
    <col min="41" max="41" width="10.44140625" style="133" customWidth="1"/>
    <col min="42" max="43" width="8.6640625" style="133" customWidth="1"/>
    <col min="44" max="46" width="8.6640625" style="133" hidden="1" customWidth="1"/>
    <col min="47" max="47" width="13.33203125" style="133" customWidth="1"/>
    <col min="48" max="48" width="10.44140625" style="133" customWidth="1"/>
    <col min="49" max="16384" width="8.44140625" style="133"/>
  </cols>
  <sheetData>
    <row r="1" spans="1:48" ht="42.6" customHeight="1" x14ac:dyDescent="0.25">
      <c r="I1" s="254" t="s">
        <v>620</v>
      </c>
    </row>
    <row r="2" spans="1:48" ht="20.100000000000001" customHeight="1" x14ac:dyDescent="0.25">
      <c r="K2" s="133" t="str">
        <f>+IF(K8="[ocultar]",K8,"")</f>
        <v/>
      </c>
      <c r="L2" s="133" t="str">
        <f t="shared" ref="L2:AT2" si="0">+IF(L8="[ocultar]",L8,"")</f>
        <v/>
      </c>
      <c r="M2" s="133" t="str">
        <f t="shared" si="0"/>
        <v/>
      </c>
      <c r="N2" s="133" t="str">
        <f t="shared" si="0"/>
        <v/>
      </c>
      <c r="O2" s="133" t="str">
        <f t="shared" si="0"/>
        <v/>
      </c>
      <c r="P2" s="133" t="str">
        <f t="shared" si="0"/>
        <v/>
      </c>
      <c r="Q2" s="133" t="str">
        <f t="shared" si="0"/>
        <v/>
      </c>
      <c r="R2" s="133" t="str">
        <f t="shared" si="0"/>
        <v/>
      </c>
      <c r="S2" s="133" t="str">
        <f t="shared" si="0"/>
        <v/>
      </c>
      <c r="T2" s="133" t="str">
        <f t="shared" si="0"/>
        <v/>
      </c>
      <c r="U2" s="133" t="str">
        <f t="shared" si="0"/>
        <v/>
      </c>
      <c r="V2" s="133" t="str">
        <f t="shared" si="0"/>
        <v/>
      </c>
      <c r="W2" s="133" t="str">
        <f t="shared" si="0"/>
        <v/>
      </c>
      <c r="X2" s="133" t="str">
        <f t="shared" si="0"/>
        <v/>
      </c>
      <c r="Y2" s="133" t="str">
        <f t="shared" si="0"/>
        <v/>
      </c>
      <c r="Z2" s="133" t="str">
        <f t="shared" si="0"/>
        <v/>
      </c>
      <c r="AA2" s="133" t="str">
        <f t="shared" si="0"/>
        <v/>
      </c>
      <c r="AB2" s="133" t="str">
        <f t="shared" si="0"/>
        <v/>
      </c>
      <c r="AC2" s="133" t="str">
        <f t="shared" si="0"/>
        <v/>
      </c>
      <c r="AD2" s="133" t="str">
        <f t="shared" si="0"/>
        <v/>
      </c>
      <c r="AE2" s="133" t="str">
        <f t="shared" si="0"/>
        <v>[ocultar]</v>
      </c>
      <c r="AF2" s="133" t="str">
        <f t="shared" si="0"/>
        <v>[ocultar]</v>
      </c>
      <c r="AG2" s="133" t="str">
        <f t="shared" si="0"/>
        <v>[ocultar]</v>
      </c>
      <c r="AH2" s="133" t="str">
        <f t="shared" si="0"/>
        <v>[ocultar]</v>
      </c>
      <c r="AI2" s="133" t="str">
        <f t="shared" si="0"/>
        <v>[ocultar]</v>
      </c>
      <c r="AJ2" s="133" t="str">
        <f t="shared" si="0"/>
        <v>[ocultar]</v>
      </c>
      <c r="AK2" s="133" t="str">
        <f t="shared" si="0"/>
        <v>[ocultar]</v>
      </c>
      <c r="AL2" s="133" t="str">
        <f t="shared" si="0"/>
        <v>[ocultar]</v>
      </c>
      <c r="AM2" s="133" t="str">
        <f t="shared" si="0"/>
        <v>[ocultar]</v>
      </c>
      <c r="AN2" s="133" t="str">
        <f t="shared" si="0"/>
        <v/>
      </c>
      <c r="AO2" s="133" t="str">
        <f t="shared" si="0"/>
        <v/>
      </c>
      <c r="AP2" s="133" t="str">
        <f t="shared" si="0"/>
        <v>[ocultar]</v>
      </c>
      <c r="AQ2" s="133" t="str">
        <f t="shared" si="0"/>
        <v>[ocultar]</v>
      </c>
      <c r="AR2" s="133" t="str">
        <f t="shared" si="0"/>
        <v>[ocultar]</v>
      </c>
      <c r="AS2" s="133" t="str">
        <f t="shared" si="0"/>
        <v>[ocultar]</v>
      </c>
      <c r="AT2" s="133" t="str">
        <f t="shared" si="0"/>
        <v>[ocultar]</v>
      </c>
    </row>
    <row r="3" spans="1:48" ht="14.1" customHeight="1" x14ac:dyDescent="0.25">
      <c r="I3" s="211" t="str">
        <f>+"Razón Social: "&amp;Inicio!C6&amp;"  -  NIF: "&amp;Inicio!C8</f>
        <v>Razón Social: TANATORIOS DE CORDOBA, SA/Convenio Colectivo de Sector de POMPAS FUNEBRES (14000425011981) de Córdoba  -  NIF: A14087548</v>
      </c>
      <c r="J3" s="212"/>
    </row>
    <row r="4" spans="1:48" ht="14.1" customHeight="1" x14ac:dyDescent="0.25">
      <c r="I4" s="213" t="s">
        <v>4</v>
      </c>
      <c r="J4" s="214"/>
    </row>
    <row r="5" spans="1:48" ht="14.1" customHeight="1" x14ac:dyDescent="0.25">
      <c r="I5" s="215">
        <f>+Inicio!E10</f>
        <v>45292</v>
      </c>
      <c r="J5" s="216" t="str">
        <f>+Inicio!D10</f>
        <v>fecha inicio</v>
      </c>
    </row>
    <row r="6" spans="1:48" ht="14.1" customHeight="1" x14ac:dyDescent="0.25">
      <c r="I6" s="215">
        <f>+Inicio!G10</f>
        <v>45657</v>
      </c>
      <c r="J6" s="216" t="s">
        <v>6</v>
      </c>
    </row>
    <row r="7" spans="1:48" s="143" customFormat="1" ht="20.100000000000001" customHeight="1" x14ac:dyDescent="0.25">
      <c r="H7" s="1"/>
      <c r="I7" s="1"/>
      <c r="J7" s="1"/>
    </row>
    <row r="8" spans="1:48" s="203" customFormat="1" ht="46.35" customHeight="1" x14ac:dyDescent="0.3">
      <c r="B8" s="198"/>
      <c r="C8" s="198" t="s">
        <v>621</v>
      </c>
      <c r="D8" s="198" t="s">
        <v>622</v>
      </c>
      <c r="E8" s="198" t="s">
        <v>314</v>
      </c>
      <c r="F8" s="198" t="s">
        <v>316</v>
      </c>
      <c r="G8" s="198" t="s">
        <v>318</v>
      </c>
      <c r="H8" s="198" t="s">
        <v>624</v>
      </c>
      <c r="I8" s="146" t="s">
        <v>323</v>
      </c>
      <c r="J8" s="147" t="str">
        <f>+IF(DATOS!AE6="","[ocultar]",DATOS!AE6)</f>
        <v>HORAS EXTRAS</v>
      </c>
      <c r="K8" s="147" t="str">
        <f>+IF(DATOS!AF6="","[ocultar]",DATOS!AF6)</f>
        <v>SEGURO CONVENIO</v>
      </c>
      <c r="L8" s="147" t="str">
        <f>+IF(DATOS!AG6="","[ocultar]",DATOS!AG6)</f>
        <v>PLUS UNIFICADO</v>
      </c>
      <c r="M8" s="147" t="str">
        <f>+IF(DATOS!AH6="","[ocultar]",DATOS!AH6)</f>
        <v>GARANTIA AD PERS</v>
      </c>
      <c r="N8" s="147" t="str">
        <f>+IF(DATOS!AI6="","[ocultar]",DATOS!AI6)</f>
        <v>COMISIONES</v>
      </c>
      <c r="O8" s="147" t="str">
        <f>+IF(DATOS!AJ6="","[ocultar]",DATOS!AJ6)</f>
        <v>DOMINGOS Y FESTIVOS</v>
      </c>
      <c r="P8" s="147" t="str">
        <f>+IF(DATOS!AK6="","[ocultar]",DATOS!AK6)</f>
        <v>LOCOMOCION NO</v>
      </c>
      <c r="Q8" s="147" t="str">
        <f>+IF(DATOS!AL6="","[ocultar]",DATOS!AL6)</f>
        <v>PLUS EXTRA VAC</v>
      </c>
      <c r="R8" s="147" t="str">
        <f>+IF(DATOS!AM6="","[ocultar]",DATOS!AM6)</f>
        <v>PLUS DE TRANS</v>
      </c>
      <c r="S8" s="147" t="str">
        <f>+IF(DATOS!AN6="","[ocultar]",DATOS!AN6)</f>
        <v>PLUS ACTIVIDAD</v>
      </c>
      <c r="T8" s="147" t="str">
        <f>+IF(DATOS!AO6="","[ocultar]",DATOS!AO6)</f>
        <v>CUOTA SINDICAL</v>
      </c>
      <c r="U8" s="147" t="str">
        <f>+IF(DATOS!AP6="","[ocultar]",DATOS!AP6)</f>
        <v>AYUDA FAMILIAR</v>
      </c>
      <c r="V8" s="147" t="str">
        <f>+IF(DATOS!AQ6="","[ocultar]",DATOS!AQ6)</f>
        <v>INCENTIVO</v>
      </c>
      <c r="W8" s="147" t="str">
        <f>+IF(DATOS!AR6="","[ocultar]",DATOS!AR6)</f>
        <v>SEGURO MEDICO</v>
      </c>
      <c r="X8" s="147" t="str">
        <f>+IF(DATOS!AS6="","[ocultar]",DATOS!AS6)</f>
        <v>DES. SEGURO MEDICO</v>
      </c>
      <c r="Y8" s="147" t="str">
        <f>+IF(DATOS!AT6="","[ocultar]",DATOS!AT6)</f>
        <v>SEGURO SALUD 2</v>
      </c>
      <c r="Z8" s="147" t="str">
        <f>+IF(DATOS!AU6="","[ocultar]",DATOS!AU6)</f>
        <v>COMP. EMPRESA I.T.</v>
      </c>
      <c r="AA8" s="147" t="str">
        <f>+IF(DATOS!AV6="","[ocultar]",DATOS!AV6)</f>
        <v>I.T. CUENTA EMPRESA</v>
      </c>
      <c r="AB8" s="147" t="str">
        <f>+IF(DATOS!AW6="","[ocultar]",DATOS!AW6)</f>
        <v>SALARIO EN ESPECIE</v>
      </c>
      <c r="AC8" s="147" t="str">
        <f>+IF(DATOS!AX6="","[ocultar]",DATOS!AX6)</f>
        <v>PLUS DE POLIVALENCIA</v>
      </c>
      <c r="AD8" s="147" t="str">
        <f>+IF(DATOS!AY6="","[ocultar]",DATOS!AY6)</f>
        <v>LIQUID  PAGAS EXTRA</v>
      </c>
      <c r="AE8" s="147" t="str">
        <f>+IF(DATOS!AZ6="","[ocultar]",DATOS!AZ6)</f>
        <v>[ocultar]</v>
      </c>
      <c r="AF8" s="147" t="str">
        <f>+IF(DATOS!BA6="","[ocultar]",DATOS!BA6)</f>
        <v>[ocultar]</v>
      </c>
      <c r="AG8" s="147" t="str">
        <f>+IF(DATOS!BB6="","[ocultar]",DATOS!BB6)</f>
        <v>[ocultar]</v>
      </c>
      <c r="AH8" s="147" t="str">
        <f>+IF(DATOS!BC6="","[ocultar]",DATOS!BC6)</f>
        <v>[ocultar]</v>
      </c>
      <c r="AI8" s="147" t="str">
        <f>+IF(DATOS!BD6="","[ocultar]",DATOS!BD6)</f>
        <v>[ocultar]</v>
      </c>
      <c r="AJ8" s="147" t="str">
        <f>+IF(DATOS!BE6="","[ocultar]",DATOS!BE6)</f>
        <v>[ocultar]</v>
      </c>
      <c r="AK8" s="147" t="str">
        <f>+IF(DATOS!BF6="","[ocultar]",DATOS!BF6)</f>
        <v>[ocultar]</v>
      </c>
      <c r="AL8" s="147" t="str">
        <f>+IF(DATOS!BG6="","[ocultar]",DATOS!BG6)</f>
        <v>[ocultar]</v>
      </c>
      <c r="AM8" s="147" t="str">
        <f>+IF(DATOS!BH6="","[ocultar]",DATOS!BH6)</f>
        <v>[ocultar]</v>
      </c>
      <c r="AN8" s="148" t="s">
        <v>324</v>
      </c>
      <c r="AO8" s="149" t="s">
        <v>325</v>
      </c>
      <c r="AP8" s="150" t="str">
        <f>+IF(DATOS!BW6="","[ocultar]",DATOS!BW6)</f>
        <v>[ocultar]</v>
      </c>
      <c r="AQ8" s="150" t="str">
        <f>+IF(DATOS!CB6="","[ocultar]",DATOS!CB6)</f>
        <v>[ocultar]</v>
      </c>
      <c r="AR8" s="150" t="str">
        <f>+IF(DATOS!CC6="","[ocultar]",DATOS!CC6)</f>
        <v>[ocultar]</v>
      </c>
      <c r="AS8" s="150" t="str">
        <f>+IF(DATOS!CD6="","[ocultar]",DATOS!CD6)</f>
        <v>[ocultar]</v>
      </c>
      <c r="AT8" s="150" t="str">
        <f>+IF(DATOS!CG6="","[ocultar]",DATOS!CG6)</f>
        <v>[ocultar]</v>
      </c>
      <c r="AU8" s="151" t="s">
        <v>326</v>
      </c>
      <c r="AV8" s="148" t="s">
        <v>327</v>
      </c>
    </row>
    <row r="9" spans="1:48" ht="15.6" thickBot="1" x14ac:dyDescent="0.3">
      <c r="B9" s="199" t="s">
        <v>623</v>
      </c>
      <c r="C9" s="200"/>
      <c r="D9" s="201"/>
      <c r="E9" s="201"/>
      <c r="F9" s="201"/>
      <c r="G9" s="201"/>
      <c r="H9" s="201"/>
      <c r="I9" s="156" t="str">
        <f t="shared" ref="I9" si="1">IFERROR((I10-I11)/I10,"")</f>
        <v/>
      </c>
      <c r="J9" s="157" t="str">
        <f>IFERROR((J10-J11)/J10,"")</f>
        <v/>
      </c>
      <c r="K9" s="158" t="str">
        <f t="shared" ref="K9:AV9" si="2">IFERROR((K10-K11)/K10,"")</f>
        <v/>
      </c>
      <c r="L9" s="158" t="str">
        <f t="shared" si="2"/>
        <v/>
      </c>
      <c r="M9" s="158" t="str">
        <f t="shared" si="2"/>
        <v/>
      </c>
      <c r="N9" s="159" t="str">
        <f t="shared" si="2"/>
        <v/>
      </c>
      <c r="O9" s="160" t="str">
        <f t="shared" si="2"/>
        <v/>
      </c>
      <c r="P9" s="160" t="str">
        <f t="shared" si="2"/>
        <v/>
      </c>
      <c r="Q9" s="160" t="str">
        <f t="shared" si="2"/>
        <v/>
      </c>
      <c r="R9" s="160" t="str">
        <f t="shared" si="2"/>
        <v/>
      </c>
      <c r="S9" s="160" t="str">
        <f t="shared" si="2"/>
        <v/>
      </c>
      <c r="T9" s="160" t="str">
        <f t="shared" si="2"/>
        <v/>
      </c>
      <c r="U9" s="160" t="str">
        <f t="shared" si="2"/>
        <v/>
      </c>
      <c r="V9" s="160" t="str">
        <f t="shared" si="2"/>
        <v/>
      </c>
      <c r="W9" s="160" t="str">
        <f t="shared" si="2"/>
        <v/>
      </c>
      <c r="X9" s="160" t="str">
        <f t="shared" si="2"/>
        <v/>
      </c>
      <c r="Y9" s="160" t="str">
        <f t="shared" si="2"/>
        <v/>
      </c>
      <c r="Z9" s="159" t="str">
        <f t="shared" si="2"/>
        <v/>
      </c>
      <c r="AA9" s="159" t="str">
        <f t="shared" si="2"/>
        <v/>
      </c>
      <c r="AB9" s="159" t="str">
        <f t="shared" si="2"/>
        <v/>
      </c>
      <c r="AC9" s="159" t="str">
        <f t="shared" si="2"/>
        <v/>
      </c>
      <c r="AD9" s="159" t="str">
        <f t="shared" si="2"/>
        <v/>
      </c>
      <c r="AE9" s="159" t="str">
        <f t="shared" si="2"/>
        <v/>
      </c>
      <c r="AF9" s="159" t="str">
        <f t="shared" si="2"/>
        <v/>
      </c>
      <c r="AG9" s="159" t="str">
        <f t="shared" si="2"/>
        <v/>
      </c>
      <c r="AH9" s="159" t="str">
        <f t="shared" si="2"/>
        <v/>
      </c>
      <c r="AI9" s="159" t="str">
        <f t="shared" si="2"/>
        <v/>
      </c>
      <c r="AJ9" s="159" t="str">
        <f t="shared" si="2"/>
        <v/>
      </c>
      <c r="AK9" s="159" t="str">
        <f t="shared" si="2"/>
        <v/>
      </c>
      <c r="AL9" s="159" t="str">
        <f t="shared" si="2"/>
        <v/>
      </c>
      <c r="AM9" s="159" t="str">
        <f t="shared" si="2"/>
        <v/>
      </c>
      <c r="AN9" s="161" t="str">
        <f t="shared" si="2"/>
        <v/>
      </c>
      <c r="AO9" s="162" t="str">
        <f t="shared" si="2"/>
        <v/>
      </c>
      <c r="AP9" s="163" t="str">
        <f t="shared" si="2"/>
        <v/>
      </c>
      <c r="AQ9" s="163" t="str">
        <f t="shared" si="2"/>
        <v/>
      </c>
      <c r="AR9" s="163" t="str">
        <f t="shared" si="2"/>
        <v/>
      </c>
      <c r="AS9" s="163" t="str">
        <f t="shared" si="2"/>
        <v/>
      </c>
      <c r="AT9" s="163" t="str">
        <f t="shared" si="2"/>
        <v/>
      </c>
      <c r="AU9" s="164" t="str">
        <f t="shared" si="2"/>
        <v/>
      </c>
      <c r="AV9" s="165" t="str">
        <f t="shared" si="2"/>
        <v/>
      </c>
    </row>
    <row r="10" spans="1:48" x14ac:dyDescent="0.25">
      <c r="B10" s="202" t="s">
        <v>394</v>
      </c>
      <c r="C10" s="203">
        <f t="array" ref="C10">SUM(IF($B10=DATOS_[Sexo],
IF("Dentro"=DATOS_[Check Periodo Ref.],
1/(COUNTIFS(DATOS_[Sexo],$B10,DATOS_[Check Periodo Ref.],"Dentro",DATOS_[id/cod],DATOS_[id/cod])))))</f>
        <v>60</v>
      </c>
      <c r="D10" s="204">
        <f>COUNTIFS(DATOS_[AGRUP. CLAS. PROF.],"&lt;&gt;",DATOS_[Sexo],$B10,DATOS_[Check Periodo Ref.],"Dentro")</f>
        <v>15</v>
      </c>
      <c r="E10" s="204">
        <f>COUNTIFS(DATOS_[AGRUP. CLAS. PROF.],"&lt;&gt;",DATOS_[Sexo],$B10,DATOS_[Check Periodo Ref.],"Dentro",DATOS_[Check Nº SC Norm],"Sí")</f>
        <v>2</v>
      </c>
      <c r="F10" s="204">
        <f>COUNTIFS(DATOS_[AGRUP. CLAS. PROF.],"&lt;&gt;",DATOS_[Sexo],$B10,DATOS_[Check Periodo Ref.],"Dentro",DATOS_[Check Nº SC Anualiz],"Sí")</f>
        <v>0</v>
      </c>
      <c r="G10" s="204">
        <f>COUNTIFS(DATOS_[AGRUP. CLAS. PROF.],"&lt;&gt;",DATOS_[Sexo],$B10,DATOS_[Check Periodo Ref.],"Dentro",DATOS_[Check Nº SC Norm y Anualiz],"Sí")</f>
        <v>0</v>
      </c>
      <c r="H10" s="204">
        <f>COUNTIFS(DATOS_[AGRUP. CLAS. PROF.],"&lt;&gt;",DATOS_[Sexo],$B10,DATOS_[Check Periodo Ref.],"Dentro",DATOS_[Check Equiparación],"Sí")</f>
        <v>2</v>
      </c>
      <c r="I10" s="169">
        <f t="array" ref="I10">IFERROR(
MEDIAN(IF(DATOS_[Sexo]=$B10,IF(DATOS_[Check Equiparado]="Sí",IF(DATOS_[Check Periodo Ref.]="Dentro",DATOS_[SALARIO BASE Eq],FALSE)))),
0)</f>
        <v>0</v>
      </c>
      <c r="J10" s="170">
        <f t="array" ref="J10">IFERROR(
(MEDIAN((IF(DATOS_[[Sexo]:[Sexo]]=$B10,IF(DATOS_[[Check Periodo Ref.]:[Check Periodo Ref.]]="Dentro",IF(DATOS_[[Check Equiparado]:[Check Equiparado]]="Sí",IF(DATOS!AE$5="Sí",(1/DATOS_[[% anualiz]:[% anualiz]]),1)*IF(DATOS!AE$4="Sí",1/DATOS_[[% normaliz]:[% normaliz]],1)*(DATOS_[Conc.Sal.01]))))))),
0)</f>
        <v>0</v>
      </c>
      <c r="K10" s="170">
        <f t="array" ref="K10">IFERROR(
(MEDIAN((IF(DATOS_[[Sexo]:[Sexo]]=$B10,IF(DATOS_[[Check Periodo Ref.]:[Check Periodo Ref.]]="Dentro",IF(DATOS_[[Check Equiparado]:[Check Equiparado]]="Sí",IF(DATOS!AF$5="Sí",(1/DATOS_[[% anualiz]:[% anualiz]]),1)*IF(DATOS!AF$4="Sí",1/DATOS_[[% normaliz]:[% normaliz]],1)*(DATOS_[Conc.Sal.02]))))))),
0)</f>
        <v>0</v>
      </c>
      <c r="L10" s="170">
        <f t="array" ref="L10">IFERROR(
(MEDIAN((IF(DATOS_[[Sexo]:[Sexo]]=$B10,IF(DATOS_[[Check Periodo Ref.]:[Check Periodo Ref.]]="Dentro",IF(DATOS_[[Check Equiparado]:[Check Equiparado]]="Sí",IF(DATOS!AG$5="Sí",(1/DATOS_[[% anualiz]:[% anualiz]]),1)*IF(DATOS!AG$4="Sí",1/DATOS_[[% normaliz]:[% normaliz]],1)*(DATOS_[Conc.Sal.03]))))))),
0)</f>
        <v>0</v>
      </c>
      <c r="M10" s="170">
        <f t="array" ref="M10">IFERROR(
(MEDIAN((IF(DATOS_[[Sexo]:[Sexo]]=$B10,IF(DATOS_[[Check Periodo Ref.]:[Check Periodo Ref.]]="Dentro",IF(DATOS_[[Check Equiparado]:[Check Equiparado]]="Sí",IF(DATOS!AH$5="Sí",(1/DATOS_[[% anualiz]:[% anualiz]]),1)*IF(DATOS!AH$4="Sí",1/DATOS_[[% normaliz]:[% normaliz]],1)*(DATOS_[Conc.Sal.04]))))))),
0)</f>
        <v>0</v>
      </c>
      <c r="N10" s="170">
        <f t="array" ref="N10">IFERROR(
(MEDIAN((IF(DATOS_[[Sexo]:[Sexo]]=$B10,IF(DATOS_[[Check Periodo Ref.]:[Check Periodo Ref.]]="Dentro",IF(DATOS_[[Check Equiparado]:[Check Equiparado]]="Sí",IF(DATOS!AI$5="Sí",(1/DATOS_[[% anualiz]:[% anualiz]]),1)*IF(DATOS!AI$4="Sí",1/DATOS_[[% normaliz]:[% normaliz]],1)*(DATOS_[Conc.Sal.05]))))))),
0)</f>
        <v>0</v>
      </c>
      <c r="O10" s="170">
        <f t="array" ref="O10">IFERROR(
(MEDIAN((IF(DATOS_[[Sexo]:[Sexo]]=$B10,IF(DATOS_[[Check Periodo Ref.]:[Check Periodo Ref.]]="Dentro",IF(DATOS_[[Check Equiparado]:[Check Equiparado]]="Sí",IF(DATOS!AJ$5="Sí",(1/DATOS_[[% anualiz]:[% anualiz]]),1)*IF(DATOS!AJ$4="Sí",1/DATOS_[[% normaliz]:[% normaliz]],1)*(DATOS_[Conc.Sal.06]))))))),
0)</f>
        <v>0</v>
      </c>
      <c r="P10" s="170">
        <f t="array" ref="P10">IFERROR(
(MEDIAN((IF(DATOS_[[Sexo]:[Sexo]]=$B10,IF(DATOS_[[Check Periodo Ref.]:[Check Periodo Ref.]]="Dentro",IF(DATOS_[[Check Equiparado]:[Check Equiparado]]="Sí",IF(DATOS!AK$5="Sí",(1/DATOS_[[% anualiz]:[% anualiz]]),1)*IF(DATOS!AK$4="Sí",1/DATOS_[[% normaliz]:[% normaliz]],1)*(DATOS_[Conc.Sal.07]))))))),
0)</f>
        <v>0</v>
      </c>
      <c r="Q10" s="170">
        <f t="array" ref="Q10">IFERROR(
(MEDIAN((IF(DATOS_[[Sexo]:[Sexo]]=$B10,IF(DATOS_[[Check Periodo Ref.]:[Check Periodo Ref.]]="Dentro",IF(DATOS_[[Check Equiparado]:[Check Equiparado]]="Sí",IF(DATOS!AL$5="Sí",(1/DATOS_[[% anualiz]:[% anualiz]]),1)*IF(DATOS!AL$4="Sí",1/DATOS_[[% normaliz]:[% normaliz]],1)*(DATOS_[Conc.Sal.08]))))))),
0)</f>
        <v>0</v>
      </c>
      <c r="R10" s="170">
        <f t="array" ref="R10">IFERROR(
(MEDIAN((IF(DATOS_[[Sexo]:[Sexo]]=$B10,IF(DATOS_[[Check Periodo Ref.]:[Check Periodo Ref.]]="Dentro",IF(DATOS_[[Check Equiparado]:[Check Equiparado]]="Sí",IF(DATOS!AM$5="Sí",(1/DATOS_[[% anualiz]:[% anualiz]]),1)*IF(DATOS!AM$4="Sí",1/DATOS_[[% normaliz]:[% normaliz]],1)*(DATOS_[Conc.Sal.09]))))))),
0)</f>
        <v>0</v>
      </c>
      <c r="S10" s="170">
        <f t="array" ref="S10">IFERROR(
(MEDIAN((IF(DATOS_[[Sexo]:[Sexo]]=$B10,IF(DATOS_[[Check Periodo Ref.]:[Check Periodo Ref.]]="Dentro",IF(DATOS_[[Check Equiparado]:[Check Equiparado]]="Sí",IF(DATOS!AN$5="Sí",(1/DATOS_[[% anualiz]:[% anualiz]]),1)*IF(DATOS!AN$4="Sí",1/DATOS_[[% normaliz]:[% normaliz]],1)*(DATOS_[Conc.Sal.10]))))))),
0)</f>
        <v>0</v>
      </c>
      <c r="T10" s="170">
        <f t="array" ref="T10">IFERROR(
(MEDIAN((IF(DATOS_[[Sexo]:[Sexo]]=$B10,IF(DATOS_[[Check Periodo Ref.]:[Check Periodo Ref.]]="Dentro",IF(DATOS_[[Check Equiparado]:[Check Equiparado]]="Sí",IF(DATOS!AO$5="Sí",(1/DATOS_[[% anualiz]:[% anualiz]]),1)*IF(DATOS!AO$4="Sí",1/DATOS_[[% normaliz]:[% normaliz]],1)*(DATOS_[Conc.Sal.11]))))))),
0)</f>
        <v>0</v>
      </c>
      <c r="U10" s="170">
        <f t="array" ref="U10">IFERROR(
(MEDIAN((IF(DATOS_[[Sexo]:[Sexo]]=$B10,IF(DATOS_[[Check Periodo Ref.]:[Check Periodo Ref.]]="Dentro",IF(DATOS_[[Check Equiparado]:[Check Equiparado]]="Sí",IF(DATOS!AP$5="Sí",(1/DATOS_[[% anualiz]:[% anualiz]]),1)*IF(DATOS!AP$4="Sí",1/DATOS_[[% normaliz]:[% normaliz]],1)*(DATOS_[Conc.Sal.12]))))))),
0)</f>
        <v>0</v>
      </c>
      <c r="V10" s="170">
        <f t="array" ref="V10">IFERROR(
(MEDIAN((IF(DATOS_[[Sexo]:[Sexo]]=$B10,IF(DATOS_[[Check Periodo Ref.]:[Check Periodo Ref.]]="Dentro",IF(DATOS_[[Check Equiparado]:[Check Equiparado]]="Sí",IF(DATOS!AQ$5="Sí",(1/DATOS_[[% anualiz]:[% anualiz]]),1)*IF(DATOS!AQ$4="Sí",1/DATOS_[[% normaliz]:[% normaliz]],1)*(DATOS_[Conc.Sal.13]))))))),
0)</f>
        <v>0</v>
      </c>
      <c r="W10" s="170">
        <f t="array" ref="W10">IFERROR(
(MEDIAN((IF(DATOS_[[Sexo]:[Sexo]]=$B10,IF(DATOS_[[Check Periodo Ref.]:[Check Periodo Ref.]]="Dentro",IF(DATOS_[[Check Equiparado]:[Check Equiparado]]="Sí",IF(DATOS!AR$5="Sí",(1/DATOS_[[% anualiz]:[% anualiz]]),1)*IF(DATOS!AR$4="Sí",1/DATOS_[[% normaliz]:[% normaliz]],1)*(DATOS_[Conc.Sal.14]))))))),
0)</f>
        <v>0</v>
      </c>
      <c r="X10" s="170">
        <f t="array" ref="X10">IFERROR(
(MEDIAN((IF(DATOS_[[Sexo]:[Sexo]]=$B10,IF(DATOS_[[Check Periodo Ref.]:[Check Periodo Ref.]]="Dentro",IF(DATOS_[[Check Equiparado]:[Check Equiparado]]="Sí",IF(DATOS!AS$5="Sí",(1/DATOS_[[% anualiz]:[% anualiz]]),1)*IF(DATOS!AS$4="Sí",1/DATOS_[[% normaliz]:[% normaliz]],1)*(DATOS_[Conc.Sal.15]))))))),
0)</f>
        <v>0</v>
      </c>
      <c r="Y10" s="170">
        <f t="array" ref="Y10">IFERROR(
(MEDIAN((IF(DATOS_[[Sexo]:[Sexo]]=$B10,IF(DATOS_[[Check Periodo Ref.]:[Check Periodo Ref.]]="Dentro",IF(DATOS_[[Check Equiparado]:[Check Equiparado]]="Sí",IF(DATOS!AT$5="Sí",(1/DATOS_[[% anualiz]:[% anualiz]]),1)*IF(DATOS!AT$4="Sí",1/DATOS_[[% normaliz]:[% normaliz]],1)*(DATOS_[Conc.Sal.16]))))))),
0)</f>
        <v>0</v>
      </c>
      <c r="Z10" s="170">
        <f t="array" ref="Z10">IFERROR(
(MEDIAN((IF(DATOS_[[Sexo]:[Sexo]]=$B10,IF(DATOS_[[Check Periodo Ref.]:[Check Periodo Ref.]]="Dentro",IF(DATOS_[[Check Equiparado]:[Check Equiparado]]="Sí",IF(DATOS!AU$5="Sí",(1/DATOS_[[% anualiz]:[% anualiz]]),1)*IF(DATOS!AU$4="Sí",1/DATOS_[[% normaliz]:[% normaliz]],1)*(DATOS_[Conc.Sal.17]))))))),
0)</f>
        <v>0</v>
      </c>
      <c r="AA10" s="170">
        <f t="array" ref="AA10">IFERROR(
(MEDIAN((IF(DATOS_[[Sexo]:[Sexo]]=$B10,IF(DATOS_[[Check Periodo Ref.]:[Check Periodo Ref.]]="Dentro",IF(DATOS_[[Check Equiparado]:[Check Equiparado]]="Sí",IF(DATOS!AV$5="Sí",(1/DATOS_[[% anualiz]:[% anualiz]]),1)*IF(DATOS!AV$4="Sí",1/DATOS_[[% normaliz]:[% normaliz]],1)*(DATOS_[Conc.Sal.18]))))))),
0)</f>
        <v>0</v>
      </c>
      <c r="AB10" s="170">
        <f t="array" ref="AB10">IFERROR(
(MEDIAN((IF(DATOS_[[Sexo]:[Sexo]]=$B10,IF(DATOS_[[Check Periodo Ref.]:[Check Periodo Ref.]]="Dentro",IF(DATOS_[[Check Equiparado]:[Check Equiparado]]="Sí",IF(DATOS!AW$5="Sí",(1/DATOS_[[% anualiz]:[% anualiz]]),1)*IF(DATOS!AW$4="Sí",1/DATOS_[[% normaliz]:[% normaliz]],1)*(DATOS_[Conc.Sal.19]))))))),
0)</f>
        <v>0</v>
      </c>
      <c r="AC10" s="170">
        <f t="array" ref="AC10">IFERROR(
(MEDIAN((IF(DATOS_[[Sexo]:[Sexo]]=$B10,IF(DATOS_[[Check Periodo Ref.]:[Check Periodo Ref.]]="Dentro",IF(DATOS_[[Check Equiparado]:[Check Equiparado]]="Sí",IF(DATOS!AX$5="Sí",(1/DATOS_[[% anualiz]:[% anualiz]]),1)*IF(DATOS!AX$4="Sí",1/DATOS_[[% normaliz]:[% normaliz]],1)*(DATOS_[Conc.Sal.20]))))))),
0)</f>
        <v>0</v>
      </c>
      <c r="AD10" s="170">
        <f t="array" ref="AD10">IFERROR(
(MEDIAN((IF(DATOS_[[Sexo]:[Sexo]]=$B10,IF(DATOS_[[Check Periodo Ref.]:[Check Periodo Ref.]]="Dentro",IF(DATOS_[[Check Equiparado]:[Check Equiparado]]="Sí",IF(DATOS!AY$5="Sí",(1/DATOS_[[% anualiz]:[% anualiz]]),1)*IF(DATOS!AY$4="Sí",1/DATOS_[[% normaliz]:[% normaliz]],1)*(DATOS_[Conc.Sal.21]))))))),
0)</f>
        <v>0</v>
      </c>
      <c r="AE10" s="170">
        <f t="array" ref="AE10">IFERROR(
(MEDIAN((IF(DATOS_[[Sexo]:[Sexo]]=$B10,IF(DATOS_[[Check Periodo Ref.]:[Check Periodo Ref.]]="Dentro",IF(DATOS_[[Check Equiparado]:[Check Equiparado]]="Sí",IF(DATOS!AZ$5="Sí",(1/DATOS_[[% anualiz]:[% anualiz]]),1)*IF(DATOS!AZ$4="Sí",1/DATOS_[[% normaliz]:[% normaliz]],1)*(DATOS_[Conc.Sal.22]))))))),
0)</f>
        <v>0</v>
      </c>
      <c r="AF10" s="170">
        <f t="array" ref="AF10">IFERROR(
(MEDIAN((IF(DATOS_[[Sexo]:[Sexo]]=$B10,IF(DATOS_[[Check Periodo Ref.]:[Check Periodo Ref.]]="Dentro",IF(DATOS_[[Check Equiparado]:[Check Equiparado]]="Sí",IF(DATOS!BA$5="Sí",(1/DATOS_[[% anualiz]:[% anualiz]]),1)*IF(DATOS!BA$4="Sí",1/DATOS_[[% normaliz]:[% normaliz]],1)*(DATOS_[Conc.Sal.23]))))))),
0)</f>
        <v>0</v>
      </c>
      <c r="AG10" s="170">
        <f t="array" ref="AG10">IFERROR(
(MEDIAN((IF(DATOS_[[Sexo]:[Sexo]]=$B10,IF(DATOS_[[Check Periodo Ref.]:[Check Periodo Ref.]]="Dentro",IF(DATOS_[[Check Equiparado]:[Check Equiparado]]="Sí",IF(DATOS!BB$5="Sí",(1/DATOS_[[% anualiz]:[% anualiz]]),1)*IF(DATOS!BB$4="Sí",1/DATOS_[[% normaliz]:[% normaliz]],1)*(DATOS_[Conc.Sal.24]))))))),
0)</f>
        <v>0</v>
      </c>
      <c r="AH10" s="170">
        <f t="array" ref="AH10">IFERROR(
(MEDIAN((IF(DATOS_[[Sexo]:[Sexo]]=$B10,IF(DATOS_[[Check Periodo Ref.]:[Check Periodo Ref.]]="Dentro",IF(DATOS_[[Check Equiparado]:[Check Equiparado]]="Sí",IF(DATOS!BC$5="Sí",(1/DATOS_[[% anualiz]:[% anualiz]]),1)*IF(DATOS!BC$4="Sí",1/DATOS_[[% normaliz]:[% normaliz]],1)*(DATOS_[Conc.Sal.25]))))))),
0)</f>
        <v>0</v>
      </c>
      <c r="AI10" s="170">
        <f t="array" ref="AI10">IFERROR(
(MEDIAN((IF(DATOS_[[Sexo]:[Sexo]]=$B10,IF(DATOS_[[Check Periodo Ref.]:[Check Periodo Ref.]]="Dentro",IF(DATOS_[[Check Equiparado]:[Check Equiparado]]="Sí",IF(DATOS!BD$5="Sí",(1/DATOS_[[% anualiz]:[% anualiz]]),1)*IF(DATOS!BD$4="Sí",1/DATOS_[[% normaliz]:[% normaliz]],1)*(DATOS_[Conc.Sal.26]))))))),
0)</f>
        <v>0</v>
      </c>
      <c r="AJ10" s="170">
        <f t="array" ref="AJ10">IFERROR(
(MEDIAN((IF(DATOS_[[Sexo]:[Sexo]]=$B10,IF(DATOS_[[Check Periodo Ref.]:[Check Periodo Ref.]]="Dentro",IF(DATOS_[[Check Equiparado]:[Check Equiparado]]="Sí",IF(DATOS!BE$5="Sí",(1/DATOS_[[% anualiz]:[% anualiz]]),1)*IF(DATOS!BE$4="Sí",1/DATOS_[[% normaliz]:[% normaliz]],1)*(DATOS_[Conc.Sal.27]))))))),
0)</f>
        <v>0</v>
      </c>
      <c r="AK10" s="170">
        <f t="array" ref="AK10">IFERROR(
(MEDIAN((IF(DATOS_[[Sexo]:[Sexo]]=$B10,IF(DATOS_[[Check Periodo Ref.]:[Check Periodo Ref.]]="Dentro",IF(DATOS_[[Check Equiparado]:[Check Equiparado]]="Sí",IF(DATOS!BF$5="Sí",(1/DATOS_[[% anualiz]:[% anualiz]]),1)*IF(DATOS!BF$4="Sí",1/DATOS_[[% normaliz]:[% normaliz]],1)*(DATOS_[Conc.Sal.28]))))))),
0)</f>
        <v>0</v>
      </c>
      <c r="AL10" s="170">
        <f t="array" ref="AL10">IFERROR(
(MEDIAN((IF(DATOS_[[Sexo]:[Sexo]]=$B10,IF(DATOS_[[Check Periodo Ref.]:[Check Periodo Ref.]]="Dentro",IF(DATOS_[[Check Equiparado]:[Check Equiparado]]="Sí",IF(DATOS!BG$5="Sí",(1/DATOS_[[% anualiz]:[% anualiz]]),1)*IF(DATOS!BG$4="Sí",1/DATOS_[[% normaliz]:[% normaliz]],1)*(DATOS_[Conc.Sal.29]))))))),
0)</f>
        <v>0</v>
      </c>
      <c r="AM10" s="170">
        <f t="array" ref="AM10">IFERROR(
(MEDIAN((IF(DATOS_[[Sexo]:[Sexo]]=$B10,IF(DATOS_[[Check Periodo Ref.]:[Check Periodo Ref.]]="Dentro",IF(DATOS_[[Check Equiparado]:[Check Equiparado]]="Sí",IF(DATOS!BH$5="Sí",(1/DATOS_[[% anualiz]:[% anualiz]]),1)*IF(DATOS!BH$4="Sí",1/DATOS_[[% normaliz]:[% normaliz]],1)*(DATOS_[Conc.Sal.30]))))))),
0)</f>
        <v>0</v>
      </c>
      <c r="AN10" s="171">
        <f t="array" ref="AN10">IFERROR(
MEDIAN(IF(DATOS_[Sexo]=$B10,IF(DATOS_[Check Equiparado]="Sí",IF(DATOS_[Check Periodo Ref.]="Dentro",DATOS_[Tot COMPL.SAL Eq],FALSE)))),
0)</f>
        <v>0</v>
      </c>
      <c r="AO10" s="172">
        <f t="array" ref="AO10">IFERROR(
MEDIAN(IF(DATOS_[Sexo]=$B10,IF(DATOS_[Check Equiparado]="Sí",IF(DATOS_[Check Periodo Ref.]="Dentro",DATOS_[TOTAL SALARIO Eq],FALSE)))),
0)</f>
        <v>0</v>
      </c>
      <c r="AP10" s="173">
        <f t="array" ref="AP10">IFERROR(
(MEDIAN((IF(DATOS_[[Sexo]:[Sexo]]=$B10,IF(DATOS_[[Check Periodo Ref.]:[Check Periodo Ref.]]="Dentro",IF(DATOS_[[Check Equiparado]:[Check Equiparado]]="Sí",IF(DATOS!BW$5="Sí",(1/DATOS_[[% anualiz]:[% anualiz]]),1)*IF(DATOS!BW$4="Sí",1/DATOS_[[% normaliz]:[% normaliz]],1)*(DATOS_[C.Extra.01]))))))),
0)</f>
        <v>0</v>
      </c>
      <c r="AQ10" s="173">
        <f t="array" ref="AQ10">IFERROR(
(MEDIAN((IF(DATOS_[[Sexo]:[Sexo]]=$B10,IF(DATOS_[[Check Periodo Ref.]:[Check Periodo Ref.]]="Dentro",IF(DATOS_[[Check Equiparado]:[Check Equiparado]]="Sí",IF(DATOS!CB$5="Sí",(1/DATOS_[[% anualiz]:[% anualiz]]),1)*IF(DATOS!CB$4="Sí",1/DATOS_[[% normaliz]:[% normaliz]],1)*(DATOS_[C.Extra.06]))))))),
0)</f>
        <v>0</v>
      </c>
      <c r="AR10" s="173">
        <f t="array" ref="AR10">IFERROR(
(MEDIAN((IF(DATOS_[[Sexo]:[Sexo]]=$B10,IF(DATOS_[[Check Periodo Ref.]:[Check Periodo Ref.]]="Dentro",IF(DATOS_[[Check Equiparado]:[Check Equiparado]]="Sí",IF(DATOS!CC$5="Sí",(1/DATOS_[[% anualiz]:[% anualiz]]),1)*IF(DATOS!CC$4="Sí",1/DATOS_[[% normaliz]:[% normaliz]],1)*(DATOS_[C.Extra.07]))))))),
0)</f>
        <v>0</v>
      </c>
      <c r="AS10" s="173">
        <f t="array" ref="AS10">IFERROR(
(MEDIAN((IF(DATOS_[[Sexo]:[Sexo]]=$B10,IF(DATOS_[[Check Periodo Ref.]:[Check Periodo Ref.]]="Dentro",IF(DATOS_[[Check Equiparado]:[Check Equiparado]]="Sí",IF(DATOS!CD$5="Sí",(1/DATOS_[[% anualiz]:[% anualiz]]),1)*IF(DATOS!CD$4="Sí",1/DATOS_[[% normaliz]:[% normaliz]],1)*(DATOS_[C.Extra.08]))))))),
0)</f>
        <v>0</v>
      </c>
      <c r="AT10" s="173">
        <f t="array" ref="AT10">IFERROR(
(MEDIAN((IF(DATOS_[[Sexo]:[Sexo]]=$B10,IF(DATOS_[[Check Periodo Ref.]:[Check Periodo Ref.]]="Dentro",IF(DATOS_[[Check Equiparado]:[Check Equiparado]]="Sí",IF(DATOS!CG$5="Sí",(1/DATOS_[[% anualiz]:[% anualiz]]),1)*IF(DATOS!CG$4="Sí",1/DATOS_[[% normaliz]:[% normaliz]],1)*(DATOS_[C.Extra.11]))))))),
0)</f>
        <v>0</v>
      </c>
      <c r="AU10" s="174">
        <f t="array" ref="AU10">IFERROR(
MEDIAN(IF(DATOS_[Sexo]=$B10,IF(DATOS_[Check Equiparado]="Sí",IF(DATOS_[Check Periodo Ref.]="Dentro",DATOS_[Tot Extrasalarial Eq],FALSE)))),
0)</f>
        <v>0</v>
      </c>
      <c r="AV10" s="175">
        <f t="array" ref="AV10">IFERROR(
MEDIAN(IF(DATOS_[Sexo]=$B10,IF(DATOS_[Check Equiparado]="Sí",IF(DATOS_[Check Periodo Ref.]="Dentro",DATOS_[TOTAL Retrib Eq],FALSE)))),
0)</f>
        <v>0</v>
      </c>
    </row>
    <row r="11" spans="1:48" x14ac:dyDescent="0.25">
      <c r="B11" s="202" t="s">
        <v>521</v>
      </c>
      <c r="C11" s="203">
        <f t="array" ref="C11">SUM(IF($B11=DATOS_[Sexo],
IF("Dentro"=DATOS_[Check Periodo Ref.],
1/(COUNTIFS(DATOS_[Sexo],$B11,DATOS_[Check Periodo Ref.],"Dentro",DATOS_[id/cod],DATOS_[id/cod])))))</f>
        <v>52.000000000000007</v>
      </c>
      <c r="D11" s="204">
        <f>COUNTIFS(DATOS_[AGRUP. CLAS. PROF.],"&lt;&gt;",DATOS_[Sexo],$B11,DATOS_[Check Periodo Ref.],"Dentro")</f>
        <v>27</v>
      </c>
      <c r="E11" s="204">
        <f>COUNTIFS(DATOS_[AGRUP. CLAS. PROF.],"&lt;&gt;",DATOS_[Sexo],$B11,DATOS_[Check Periodo Ref.],"Dentro",DATOS_[Check Nº SC Norm],"Sí")</f>
        <v>7</v>
      </c>
      <c r="F11" s="204">
        <f>COUNTIFS(DATOS_[AGRUP. CLAS. PROF.],"&lt;&gt;",DATOS_[Sexo],$B11,DATOS_[Check Periodo Ref.],"Dentro",DATOS_[Check Nº SC Anualiz],"Sí")</f>
        <v>8</v>
      </c>
      <c r="G11" s="204">
        <f>COUNTIFS(DATOS_[AGRUP. CLAS. PROF.],"&lt;&gt;",DATOS_[Sexo],$B11,DATOS_[Check Periodo Ref.],"Dentro",DATOS_[Check Nº SC Norm y Anualiz],"Sí")</f>
        <v>4</v>
      </c>
      <c r="H11" s="204">
        <f>COUNTIFS(DATOS_[AGRUP. CLAS. PROF.],"&lt;&gt;",DATOS_[Sexo],$B11,DATOS_[Check Periodo Ref.],"Dentro",DATOS_[Check Equiparación],"Sí")</f>
        <v>19</v>
      </c>
      <c r="I11" s="169">
        <f t="array" ref="I11">IFERROR(
MEDIAN(IF(DATOS_[Sexo]=$B11,IF(DATOS_[Check Equiparado]="Sí",IF(DATOS_[Check Periodo Ref.]="Dentro",DATOS_[SALARIO BASE Eq],FALSE)))),
0)</f>
        <v>0</v>
      </c>
      <c r="J11" s="170">
        <f t="array" ref="J11">IFERROR(
(MEDIAN((IF(DATOS_[[Sexo]:[Sexo]]=$B11,IF(DATOS_[[Check Periodo Ref.]:[Check Periodo Ref.]]="Dentro",IF(DATOS_[[Check Equiparado]:[Check Equiparado]]="Sí",IF(DATOS!AE$5="Sí",(1/DATOS_[[% anualiz]:[% anualiz]]),1)*IF(DATOS!AE$4="Sí",1/DATOS_[[% normaliz]:[% normaliz]],1)*(DATOS_[Conc.Sal.01]))))))),
0)</f>
        <v>0</v>
      </c>
      <c r="K11" s="170">
        <f t="array" ref="K11">IFERROR(
(MEDIAN((IF(DATOS_[[Sexo]:[Sexo]]=$B11,IF(DATOS_[[Check Periodo Ref.]:[Check Periodo Ref.]]="Dentro",IF(DATOS_[[Check Equiparado]:[Check Equiparado]]="Sí",IF(DATOS!AF$5="Sí",(1/DATOS_[[% anualiz]:[% anualiz]]),1)*IF(DATOS!AF$4="Sí",1/DATOS_[[% normaliz]:[% normaliz]],1)*(DATOS_[Conc.Sal.02]))))))),
0)</f>
        <v>0</v>
      </c>
      <c r="L11" s="170">
        <f t="array" ref="L11">IFERROR(
(MEDIAN((IF(DATOS_[[Sexo]:[Sexo]]=$B11,IF(DATOS_[[Check Periodo Ref.]:[Check Periodo Ref.]]="Dentro",IF(DATOS_[[Check Equiparado]:[Check Equiparado]]="Sí",IF(DATOS!AG$5="Sí",(1/DATOS_[[% anualiz]:[% anualiz]]),1)*IF(DATOS!AG$4="Sí",1/DATOS_[[% normaliz]:[% normaliz]],1)*(DATOS_[Conc.Sal.03]))))))),
0)</f>
        <v>0</v>
      </c>
      <c r="M11" s="170">
        <f t="array" ref="M11">IFERROR(
(MEDIAN((IF(DATOS_[[Sexo]:[Sexo]]=$B11,IF(DATOS_[[Check Periodo Ref.]:[Check Periodo Ref.]]="Dentro",IF(DATOS_[[Check Equiparado]:[Check Equiparado]]="Sí",IF(DATOS!AH$5="Sí",(1/DATOS_[[% anualiz]:[% anualiz]]),1)*IF(DATOS!AH$4="Sí",1/DATOS_[[% normaliz]:[% normaliz]],1)*(DATOS_[Conc.Sal.04]))))))),
0)</f>
        <v>0</v>
      </c>
      <c r="N11" s="170">
        <f t="array" ref="N11">IFERROR(
(MEDIAN((IF(DATOS_[[Sexo]:[Sexo]]=$B11,IF(DATOS_[[Check Periodo Ref.]:[Check Periodo Ref.]]="Dentro",IF(DATOS_[[Check Equiparado]:[Check Equiparado]]="Sí",IF(DATOS!AI$5="Sí",(1/DATOS_[[% anualiz]:[% anualiz]]),1)*IF(DATOS!AI$4="Sí",1/DATOS_[[% normaliz]:[% normaliz]],1)*(DATOS_[Conc.Sal.05]))))))),
0)</f>
        <v>0</v>
      </c>
      <c r="O11" s="170">
        <f t="array" ref="O11">IFERROR(
(MEDIAN((IF(DATOS_[[Sexo]:[Sexo]]=$B11,IF(DATOS_[[Check Periodo Ref.]:[Check Periodo Ref.]]="Dentro",IF(DATOS_[[Check Equiparado]:[Check Equiparado]]="Sí",IF(DATOS!AJ$5="Sí",(1/DATOS_[[% anualiz]:[% anualiz]]),1)*IF(DATOS!AJ$4="Sí",1/DATOS_[[% normaliz]:[% normaliz]],1)*(DATOS_[Conc.Sal.06]))))))),
0)</f>
        <v>0</v>
      </c>
      <c r="P11" s="170">
        <f t="array" ref="P11">IFERROR(
(MEDIAN((IF(DATOS_[[Sexo]:[Sexo]]=$B11,IF(DATOS_[[Check Periodo Ref.]:[Check Periodo Ref.]]="Dentro",IF(DATOS_[[Check Equiparado]:[Check Equiparado]]="Sí",IF(DATOS!AK$5="Sí",(1/DATOS_[[% anualiz]:[% anualiz]]),1)*IF(DATOS!AK$4="Sí",1/DATOS_[[% normaliz]:[% normaliz]],1)*(DATOS_[Conc.Sal.07]))))))),
0)</f>
        <v>0</v>
      </c>
      <c r="Q11" s="170">
        <f t="array" ref="Q11">IFERROR(
(MEDIAN((IF(DATOS_[[Sexo]:[Sexo]]=$B11,IF(DATOS_[[Check Periodo Ref.]:[Check Periodo Ref.]]="Dentro",IF(DATOS_[[Check Equiparado]:[Check Equiparado]]="Sí",IF(DATOS!AL$5="Sí",(1/DATOS_[[% anualiz]:[% anualiz]]),1)*IF(DATOS!AL$4="Sí",1/DATOS_[[% normaliz]:[% normaliz]],1)*(DATOS_[Conc.Sal.08]))))))),
0)</f>
        <v>0</v>
      </c>
      <c r="R11" s="170">
        <f t="array" ref="R11">IFERROR(
(MEDIAN((IF(DATOS_[[Sexo]:[Sexo]]=$B11,IF(DATOS_[[Check Periodo Ref.]:[Check Periodo Ref.]]="Dentro",IF(DATOS_[[Check Equiparado]:[Check Equiparado]]="Sí",IF(DATOS!AM$5="Sí",(1/DATOS_[[% anualiz]:[% anualiz]]),1)*IF(DATOS!AM$4="Sí",1/DATOS_[[% normaliz]:[% normaliz]],1)*(DATOS_[Conc.Sal.09]))))))),
0)</f>
        <v>0</v>
      </c>
      <c r="S11" s="170">
        <f t="array" ref="S11">IFERROR(
(MEDIAN((IF(DATOS_[[Sexo]:[Sexo]]=$B11,IF(DATOS_[[Check Periodo Ref.]:[Check Periodo Ref.]]="Dentro",IF(DATOS_[[Check Equiparado]:[Check Equiparado]]="Sí",IF(DATOS!AN$5="Sí",(1/DATOS_[[% anualiz]:[% anualiz]]),1)*IF(DATOS!AN$4="Sí",1/DATOS_[[% normaliz]:[% normaliz]],1)*(DATOS_[Conc.Sal.10]))))))),
0)</f>
        <v>0</v>
      </c>
      <c r="T11" s="170">
        <f t="array" ref="T11">IFERROR(
(MEDIAN((IF(DATOS_[[Sexo]:[Sexo]]=$B11,IF(DATOS_[[Check Periodo Ref.]:[Check Periodo Ref.]]="Dentro",IF(DATOS_[[Check Equiparado]:[Check Equiparado]]="Sí",IF(DATOS!AO$5="Sí",(1/DATOS_[[% anualiz]:[% anualiz]]),1)*IF(DATOS!AO$4="Sí",1/DATOS_[[% normaliz]:[% normaliz]],1)*(DATOS_[Conc.Sal.11]))))))),
0)</f>
        <v>0</v>
      </c>
      <c r="U11" s="170">
        <f t="array" ref="U11">IFERROR(
(MEDIAN((IF(DATOS_[[Sexo]:[Sexo]]=$B11,IF(DATOS_[[Check Periodo Ref.]:[Check Periodo Ref.]]="Dentro",IF(DATOS_[[Check Equiparado]:[Check Equiparado]]="Sí",IF(DATOS!AP$5="Sí",(1/DATOS_[[% anualiz]:[% anualiz]]),1)*IF(DATOS!AP$4="Sí",1/DATOS_[[% normaliz]:[% normaliz]],1)*(DATOS_[Conc.Sal.12]))))))),
0)</f>
        <v>0</v>
      </c>
      <c r="V11" s="170">
        <f t="array" ref="V11">IFERROR(
(MEDIAN((IF(DATOS_[[Sexo]:[Sexo]]=$B11,IF(DATOS_[[Check Periodo Ref.]:[Check Periodo Ref.]]="Dentro",IF(DATOS_[[Check Equiparado]:[Check Equiparado]]="Sí",IF(DATOS!AQ$5="Sí",(1/DATOS_[[% anualiz]:[% anualiz]]),1)*IF(DATOS!AQ$4="Sí",1/DATOS_[[% normaliz]:[% normaliz]],1)*(DATOS_[Conc.Sal.13]))))))),
0)</f>
        <v>0</v>
      </c>
      <c r="W11" s="170">
        <f t="array" ref="W11">IFERROR(
(MEDIAN((IF(DATOS_[[Sexo]:[Sexo]]=$B11,IF(DATOS_[[Check Periodo Ref.]:[Check Periodo Ref.]]="Dentro",IF(DATOS_[[Check Equiparado]:[Check Equiparado]]="Sí",IF(DATOS!AR$5="Sí",(1/DATOS_[[% anualiz]:[% anualiz]]),1)*IF(DATOS!AR$4="Sí",1/DATOS_[[% normaliz]:[% normaliz]],1)*(DATOS_[Conc.Sal.14]))))))),
0)</f>
        <v>0</v>
      </c>
      <c r="X11" s="170">
        <f t="array" ref="X11">IFERROR(
(MEDIAN((IF(DATOS_[[Sexo]:[Sexo]]=$B11,IF(DATOS_[[Check Periodo Ref.]:[Check Periodo Ref.]]="Dentro",IF(DATOS_[[Check Equiparado]:[Check Equiparado]]="Sí",IF(DATOS!AS$5="Sí",(1/DATOS_[[% anualiz]:[% anualiz]]),1)*IF(DATOS!AS$4="Sí",1/DATOS_[[% normaliz]:[% normaliz]],1)*(DATOS_[Conc.Sal.15]))))))),
0)</f>
        <v>0</v>
      </c>
      <c r="Y11" s="170">
        <f t="array" ref="Y11">IFERROR(
(MEDIAN((IF(DATOS_[[Sexo]:[Sexo]]=$B11,IF(DATOS_[[Check Periodo Ref.]:[Check Periodo Ref.]]="Dentro",IF(DATOS_[[Check Equiparado]:[Check Equiparado]]="Sí",IF(DATOS!AT$5="Sí",(1/DATOS_[[% anualiz]:[% anualiz]]),1)*IF(DATOS!AT$4="Sí",1/DATOS_[[% normaliz]:[% normaliz]],1)*(DATOS_[Conc.Sal.16]))))))),
0)</f>
        <v>0</v>
      </c>
      <c r="Z11" s="170">
        <f t="array" ref="Z11">IFERROR(
(MEDIAN((IF(DATOS_[[Sexo]:[Sexo]]=$B11,IF(DATOS_[[Check Periodo Ref.]:[Check Periodo Ref.]]="Dentro",IF(DATOS_[[Check Equiparado]:[Check Equiparado]]="Sí",IF(DATOS!AU$5="Sí",(1/DATOS_[[% anualiz]:[% anualiz]]),1)*IF(DATOS!AU$4="Sí",1/DATOS_[[% normaliz]:[% normaliz]],1)*(DATOS_[Conc.Sal.17]))))))),
0)</f>
        <v>0</v>
      </c>
      <c r="AA11" s="170">
        <f t="array" ref="AA11">IFERROR(
(MEDIAN((IF(DATOS_[[Sexo]:[Sexo]]=$B11,IF(DATOS_[[Check Periodo Ref.]:[Check Periodo Ref.]]="Dentro",IF(DATOS_[[Check Equiparado]:[Check Equiparado]]="Sí",IF(DATOS!AV$5="Sí",(1/DATOS_[[% anualiz]:[% anualiz]]),1)*IF(DATOS!AV$4="Sí",1/DATOS_[[% normaliz]:[% normaliz]],1)*(DATOS_[Conc.Sal.18]))))))),
0)</f>
        <v>0</v>
      </c>
      <c r="AB11" s="170">
        <f t="array" ref="AB11">IFERROR(
(MEDIAN((IF(DATOS_[[Sexo]:[Sexo]]=$B11,IF(DATOS_[[Check Periodo Ref.]:[Check Periodo Ref.]]="Dentro",IF(DATOS_[[Check Equiparado]:[Check Equiparado]]="Sí",IF(DATOS!AW$5="Sí",(1/DATOS_[[% anualiz]:[% anualiz]]),1)*IF(DATOS!AW$4="Sí",1/DATOS_[[% normaliz]:[% normaliz]],1)*(DATOS_[Conc.Sal.19]))))))),
0)</f>
        <v>0</v>
      </c>
      <c r="AC11" s="170">
        <f t="array" ref="AC11">IFERROR(
(MEDIAN((IF(DATOS_[[Sexo]:[Sexo]]=$B11,IF(DATOS_[[Check Periodo Ref.]:[Check Periodo Ref.]]="Dentro",IF(DATOS_[[Check Equiparado]:[Check Equiparado]]="Sí",IF(DATOS!AX$5="Sí",(1/DATOS_[[% anualiz]:[% anualiz]]),1)*IF(DATOS!AX$4="Sí",1/DATOS_[[% normaliz]:[% normaliz]],1)*(DATOS_[Conc.Sal.20]))))))),
0)</f>
        <v>0</v>
      </c>
      <c r="AD11" s="170">
        <f t="array" ref="AD11">IFERROR(
(MEDIAN((IF(DATOS_[[Sexo]:[Sexo]]=$B11,IF(DATOS_[[Check Periodo Ref.]:[Check Periodo Ref.]]="Dentro",IF(DATOS_[[Check Equiparado]:[Check Equiparado]]="Sí",IF(DATOS!AY$5="Sí",(1/DATOS_[[% anualiz]:[% anualiz]]),1)*IF(DATOS!AY$4="Sí",1/DATOS_[[% normaliz]:[% normaliz]],1)*(DATOS_[Conc.Sal.21]))))))),
0)</f>
        <v>0</v>
      </c>
      <c r="AE11" s="170">
        <f t="array" ref="AE11">IFERROR(
(MEDIAN((IF(DATOS_[[Sexo]:[Sexo]]=$B11,IF(DATOS_[[Check Periodo Ref.]:[Check Periodo Ref.]]="Dentro",IF(DATOS_[[Check Equiparado]:[Check Equiparado]]="Sí",IF(DATOS!AZ$5="Sí",(1/DATOS_[[% anualiz]:[% anualiz]]),1)*IF(DATOS!AZ$4="Sí",1/DATOS_[[% normaliz]:[% normaliz]],1)*(DATOS_[Conc.Sal.22]))))))),
0)</f>
        <v>0</v>
      </c>
      <c r="AF11" s="170">
        <f t="array" ref="AF11">IFERROR(
(MEDIAN((IF(DATOS_[[Sexo]:[Sexo]]=$B11,IF(DATOS_[[Check Periodo Ref.]:[Check Periodo Ref.]]="Dentro",IF(DATOS_[[Check Equiparado]:[Check Equiparado]]="Sí",IF(DATOS!BA$5="Sí",(1/DATOS_[[% anualiz]:[% anualiz]]),1)*IF(DATOS!BA$4="Sí",1/DATOS_[[% normaliz]:[% normaliz]],1)*(DATOS_[Conc.Sal.23]))))))),
0)</f>
        <v>0</v>
      </c>
      <c r="AG11" s="170">
        <f t="array" ref="AG11">IFERROR(
(MEDIAN((IF(DATOS_[[Sexo]:[Sexo]]=$B11,IF(DATOS_[[Check Periodo Ref.]:[Check Periodo Ref.]]="Dentro",IF(DATOS_[[Check Equiparado]:[Check Equiparado]]="Sí",IF(DATOS!BB$5="Sí",(1/DATOS_[[% anualiz]:[% anualiz]]),1)*IF(DATOS!BB$4="Sí",1/DATOS_[[% normaliz]:[% normaliz]],1)*(DATOS_[Conc.Sal.24]))))))),
0)</f>
        <v>0</v>
      </c>
      <c r="AH11" s="170">
        <f t="array" ref="AH11">IFERROR(
(MEDIAN((IF(DATOS_[[Sexo]:[Sexo]]=$B11,IF(DATOS_[[Check Periodo Ref.]:[Check Periodo Ref.]]="Dentro",IF(DATOS_[[Check Equiparado]:[Check Equiparado]]="Sí",IF(DATOS!BC$5="Sí",(1/DATOS_[[% anualiz]:[% anualiz]]),1)*IF(DATOS!BC$4="Sí",1/DATOS_[[% normaliz]:[% normaliz]],1)*(DATOS_[Conc.Sal.25]))))))),
0)</f>
        <v>0</v>
      </c>
      <c r="AI11" s="170">
        <f t="array" ref="AI11">IFERROR(
(MEDIAN((IF(DATOS_[[Sexo]:[Sexo]]=$B11,IF(DATOS_[[Check Periodo Ref.]:[Check Periodo Ref.]]="Dentro",IF(DATOS_[[Check Equiparado]:[Check Equiparado]]="Sí",IF(DATOS!BD$5="Sí",(1/DATOS_[[% anualiz]:[% anualiz]]),1)*IF(DATOS!BD$4="Sí",1/DATOS_[[% normaliz]:[% normaliz]],1)*(DATOS_[Conc.Sal.26]))))))),
0)</f>
        <v>0</v>
      </c>
      <c r="AJ11" s="170">
        <f t="array" ref="AJ11">IFERROR(
(MEDIAN((IF(DATOS_[[Sexo]:[Sexo]]=$B11,IF(DATOS_[[Check Periodo Ref.]:[Check Periodo Ref.]]="Dentro",IF(DATOS_[[Check Equiparado]:[Check Equiparado]]="Sí",IF(DATOS!BE$5="Sí",(1/DATOS_[[% anualiz]:[% anualiz]]),1)*IF(DATOS!BE$4="Sí",1/DATOS_[[% normaliz]:[% normaliz]],1)*(DATOS_[Conc.Sal.27]))))))),
0)</f>
        <v>0</v>
      </c>
      <c r="AK11" s="170">
        <f t="array" ref="AK11">IFERROR(
(MEDIAN((IF(DATOS_[[Sexo]:[Sexo]]=$B11,IF(DATOS_[[Check Periodo Ref.]:[Check Periodo Ref.]]="Dentro",IF(DATOS_[[Check Equiparado]:[Check Equiparado]]="Sí",IF(DATOS!BF$5="Sí",(1/DATOS_[[% anualiz]:[% anualiz]]),1)*IF(DATOS!BF$4="Sí",1/DATOS_[[% normaliz]:[% normaliz]],1)*(DATOS_[Conc.Sal.28]))))))),
0)</f>
        <v>0</v>
      </c>
      <c r="AL11" s="170">
        <f t="array" ref="AL11">IFERROR(
(MEDIAN((IF(DATOS_[[Sexo]:[Sexo]]=$B11,IF(DATOS_[[Check Periodo Ref.]:[Check Periodo Ref.]]="Dentro",IF(DATOS_[[Check Equiparado]:[Check Equiparado]]="Sí",IF(DATOS!BG$5="Sí",(1/DATOS_[[% anualiz]:[% anualiz]]),1)*IF(DATOS!BG$4="Sí",1/DATOS_[[% normaliz]:[% normaliz]],1)*(DATOS_[Conc.Sal.29]))))))),
0)</f>
        <v>0</v>
      </c>
      <c r="AM11" s="170">
        <f t="array" ref="AM11">IFERROR(
(MEDIAN((IF(DATOS_[[Sexo]:[Sexo]]=$B11,IF(DATOS_[[Check Periodo Ref.]:[Check Periodo Ref.]]="Dentro",IF(DATOS_[[Check Equiparado]:[Check Equiparado]]="Sí",IF(DATOS!BH$5="Sí",(1/DATOS_[[% anualiz]:[% anualiz]]),1)*IF(DATOS!BH$4="Sí",1/DATOS_[[% normaliz]:[% normaliz]],1)*(DATOS_[Conc.Sal.30]))))))),
0)</f>
        <v>0</v>
      </c>
      <c r="AN11" s="171">
        <f t="array" ref="AN11">IFERROR(
MEDIAN(IF(DATOS_[Sexo]=$B11,IF(DATOS_[Check Equiparado]="Sí",IF(DATOS_[Check Periodo Ref.]="Dentro",DATOS_[Tot COMPL.SAL Eq],FALSE)))),
0)</f>
        <v>0</v>
      </c>
      <c r="AO11" s="172">
        <f t="array" ref="AO11">IFERROR(
MEDIAN(IF(DATOS_[Sexo]=$B11,IF(DATOS_[Check Equiparado]="Sí",IF(DATOS_[Check Periodo Ref.]="Dentro",DATOS_[TOTAL SALARIO Eq],FALSE)))),
0)</f>
        <v>0</v>
      </c>
      <c r="AP11" s="173">
        <f t="array" ref="AP11">IFERROR(
(MEDIAN((IF(DATOS_[[Sexo]:[Sexo]]=$B11,IF(DATOS_[[Check Periodo Ref.]:[Check Periodo Ref.]]="Dentro",IF(DATOS_[[Check Equiparado]:[Check Equiparado]]="Sí",IF(DATOS!BW$5="Sí",(1/DATOS_[[% anualiz]:[% anualiz]]),1)*IF(DATOS!BW$4="Sí",1/DATOS_[[% normaliz]:[% normaliz]],1)*(DATOS_[C.Extra.01]))))))),
0)</f>
        <v>0</v>
      </c>
      <c r="AQ11" s="173">
        <f t="array" ref="AQ11">IFERROR(
(MEDIAN((IF(DATOS_[[Sexo]:[Sexo]]=$B11,IF(DATOS_[[Check Periodo Ref.]:[Check Periodo Ref.]]="Dentro",IF(DATOS_[[Check Equiparado]:[Check Equiparado]]="Sí",IF(DATOS!CB$5="Sí",(1/DATOS_[[% anualiz]:[% anualiz]]),1)*IF(DATOS!CB$4="Sí",1/DATOS_[[% normaliz]:[% normaliz]],1)*(DATOS_[C.Extra.06]))))))),
0)</f>
        <v>0</v>
      </c>
      <c r="AR11" s="173">
        <f t="array" ref="AR11">IFERROR(
(MEDIAN((IF(DATOS_[[Sexo]:[Sexo]]=$B11,IF(DATOS_[[Check Periodo Ref.]:[Check Periodo Ref.]]="Dentro",IF(DATOS_[[Check Equiparado]:[Check Equiparado]]="Sí",IF(DATOS!CC$5="Sí",(1/DATOS_[[% anualiz]:[% anualiz]]),1)*IF(DATOS!CC$4="Sí",1/DATOS_[[% normaliz]:[% normaliz]],1)*(DATOS_[C.Extra.07]))))))),
0)</f>
        <v>0</v>
      </c>
      <c r="AS11" s="173">
        <f t="array" ref="AS11">IFERROR(
(MEDIAN((IF(DATOS_[[Sexo]:[Sexo]]=$B11,IF(DATOS_[[Check Periodo Ref.]:[Check Periodo Ref.]]="Dentro",IF(DATOS_[[Check Equiparado]:[Check Equiparado]]="Sí",IF(DATOS!CD$5="Sí",(1/DATOS_[[% anualiz]:[% anualiz]]),1)*IF(DATOS!CD$4="Sí",1/DATOS_[[% normaliz]:[% normaliz]],1)*(DATOS_[C.Extra.08]))))))),
0)</f>
        <v>0</v>
      </c>
      <c r="AT11" s="173">
        <f t="array" ref="AT11">IFERROR(
(MEDIAN((IF(DATOS_[[Sexo]:[Sexo]]=$B11,IF(DATOS_[[Check Periodo Ref.]:[Check Periodo Ref.]]="Dentro",IF(DATOS_[[Check Equiparado]:[Check Equiparado]]="Sí",IF(DATOS!CG$5="Sí",(1/DATOS_[[% anualiz]:[% anualiz]]),1)*IF(DATOS!CG$4="Sí",1/DATOS_[[% normaliz]:[% normaliz]],1)*(DATOS_[C.Extra.11]))))))),
0)</f>
        <v>0</v>
      </c>
      <c r="AU11" s="174">
        <f t="array" ref="AU11">IFERROR(
MEDIAN(IF(DATOS_[Sexo]=$B11,IF(DATOS_[Check Equiparado]="Sí",IF(DATOS_[Check Periodo Ref.]="Dentro",DATOS_[Tot Extrasalarial Eq],FALSE)))),
0)</f>
        <v>0</v>
      </c>
      <c r="AV11" s="175">
        <f t="array" ref="AV11">IFERROR(
MEDIAN(IF(DATOS_[Sexo]=$B11,IF(DATOS_[Check Equiparado]="Sí",IF(DATOS_[Check Periodo Ref.]="Dentro",DATOS_[TOTAL Retrib Eq],FALSE)))),
0)</f>
        <v>0</v>
      </c>
    </row>
    <row r="12" spans="1:48" x14ac:dyDescent="0.25">
      <c r="D12" s="205"/>
      <c r="E12" s="205"/>
      <c r="F12" s="205"/>
      <c r="G12" s="205"/>
      <c r="H12" s="205"/>
      <c r="N12" s="206"/>
      <c r="O12" s="207"/>
      <c r="P12" s="207"/>
      <c r="Q12" s="207"/>
      <c r="R12" s="207"/>
      <c r="S12" s="207"/>
      <c r="T12" s="207"/>
      <c r="U12" s="207"/>
      <c r="V12" s="207"/>
      <c r="W12" s="207"/>
      <c r="X12" s="207"/>
      <c r="Y12" s="207"/>
      <c r="Z12" s="206"/>
      <c r="AA12" s="206"/>
      <c r="AB12" s="206"/>
      <c r="AC12" s="206"/>
      <c r="AD12" s="206"/>
      <c r="AE12" s="206"/>
      <c r="AF12" s="206"/>
      <c r="AG12" s="206"/>
      <c r="AH12" s="206"/>
      <c r="AI12" s="206"/>
      <c r="AJ12" s="206"/>
      <c r="AK12" s="206"/>
      <c r="AL12" s="206"/>
      <c r="AM12" s="206"/>
      <c r="AP12" s="207"/>
      <c r="AQ12" s="207"/>
      <c r="AR12" s="207"/>
      <c r="AS12" s="207"/>
      <c r="AT12" s="207"/>
    </row>
    <row r="13" spans="1:48" x14ac:dyDescent="0.25">
      <c r="D13" s="205"/>
      <c r="E13" s="205"/>
      <c r="F13" s="205"/>
      <c r="G13" s="205"/>
      <c r="H13" s="205"/>
      <c r="N13" s="206"/>
      <c r="O13" s="207"/>
      <c r="P13" s="207"/>
      <c r="Q13" s="207"/>
      <c r="R13" s="207"/>
      <c r="S13" s="207"/>
      <c r="T13" s="207"/>
      <c r="U13" s="207"/>
      <c r="V13" s="207"/>
      <c r="W13" s="207"/>
      <c r="X13" s="207"/>
      <c r="Y13" s="207"/>
      <c r="Z13" s="206"/>
      <c r="AA13" s="206"/>
      <c r="AB13" s="206"/>
      <c r="AC13" s="206"/>
      <c r="AD13" s="206"/>
      <c r="AE13" s="206"/>
      <c r="AF13" s="206"/>
      <c r="AG13" s="206"/>
      <c r="AH13" s="206"/>
      <c r="AI13" s="206"/>
      <c r="AJ13" s="206"/>
      <c r="AK13" s="206"/>
      <c r="AL13" s="206"/>
      <c r="AM13" s="206"/>
      <c r="AP13" s="207"/>
      <c r="AQ13" s="207"/>
      <c r="AR13" s="207"/>
      <c r="AS13" s="207"/>
      <c r="AT13" s="207"/>
    </row>
    <row r="14" spans="1:48" s="203" customFormat="1" ht="46.35" customHeight="1" x14ac:dyDescent="0.3">
      <c r="B14" s="198"/>
      <c r="C14" s="198" t="s">
        <v>621</v>
      </c>
      <c r="D14" s="198" t="s">
        <v>622</v>
      </c>
      <c r="E14" s="198" t="s">
        <v>314</v>
      </c>
      <c r="F14" s="198" t="s">
        <v>316</v>
      </c>
      <c r="G14" s="198" t="s">
        <v>318</v>
      </c>
      <c r="H14" s="198" t="s">
        <v>624</v>
      </c>
      <c r="I14" s="146" t="s">
        <v>323</v>
      </c>
      <c r="J14" s="187" t="str">
        <f>+J8</f>
        <v>HORAS EXTRAS</v>
      </c>
      <c r="K14" s="187" t="str">
        <f t="shared" ref="K14:AM14" si="3">+K8</f>
        <v>SEGURO CONVENIO</v>
      </c>
      <c r="L14" s="187" t="str">
        <f t="shared" si="3"/>
        <v>PLUS UNIFICADO</v>
      </c>
      <c r="M14" s="187" t="str">
        <f t="shared" si="3"/>
        <v>GARANTIA AD PERS</v>
      </c>
      <c r="N14" s="187" t="str">
        <f t="shared" si="3"/>
        <v>COMISIONES</v>
      </c>
      <c r="O14" s="187" t="str">
        <f t="shared" si="3"/>
        <v>DOMINGOS Y FESTIVOS</v>
      </c>
      <c r="P14" s="187" t="str">
        <f t="shared" si="3"/>
        <v>LOCOMOCION NO</v>
      </c>
      <c r="Q14" s="187" t="str">
        <f t="shared" si="3"/>
        <v>PLUS EXTRA VAC</v>
      </c>
      <c r="R14" s="187" t="str">
        <f t="shared" si="3"/>
        <v>PLUS DE TRANS</v>
      </c>
      <c r="S14" s="187" t="str">
        <f t="shared" si="3"/>
        <v>PLUS ACTIVIDAD</v>
      </c>
      <c r="T14" s="187" t="str">
        <f t="shared" si="3"/>
        <v>CUOTA SINDICAL</v>
      </c>
      <c r="U14" s="187" t="str">
        <f t="shared" si="3"/>
        <v>AYUDA FAMILIAR</v>
      </c>
      <c r="V14" s="187" t="str">
        <f t="shared" si="3"/>
        <v>INCENTIVO</v>
      </c>
      <c r="W14" s="187" t="str">
        <f t="shared" si="3"/>
        <v>SEGURO MEDICO</v>
      </c>
      <c r="X14" s="187" t="str">
        <f t="shared" si="3"/>
        <v>DES. SEGURO MEDICO</v>
      </c>
      <c r="Y14" s="187" t="str">
        <f t="shared" si="3"/>
        <v>SEGURO SALUD 2</v>
      </c>
      <c r="Z14" s="187" t="str">
        <f t="shared" si="3"/>
        <v>COMP. EMPRESA I.T.</v>
      </c>
      <c r="AA14" s="187" t="str">
        <f t="shared" si="3"/>
        <v>I.T. CUENTA EMPRESA</v>
      </c>
      <c r="AB14" s="187" t="str">
        <f t="shared" si="3"/>
        <v>SALARIO EN ESPECIE</v>
      </c>
      <c r="AC14" s="187" t="str">
        <f t="shared" si="3"/>
        <v>PLUS DE POLIVALENCIA</v>
      </c>
      <c r="AD14" s="187" t="str">
        <f t="shared" si="3"/>
        <v>LIQUID  PAGAS EXTRA</v>
      </c>
      <c r="AE14" s="187" t="str">
        <f t="shared" si="3"/>
        <v>[ocultar]</v>
      </c>
      <c r="AF14" s="187" t="str">
        <f t="shared" si="3"/>
        <v>[ocultar]</v>
      </c>
      <c r="AG14" s="187" t="str">
        <f t="shared" si="3"/>
        <v>[ocultar]</v>
      </c>
      <c r="AH14" s="187" t="str">
        <f t="shared" si="3"/>
        <v>[ocultar]</v>
      </c>
      <c r="AI14" s="187" t="str">
        <f t="shared" si="3"/>
        <v>[ocultar]</v>
      </c>
      <c r="AJ14" s="187" t="str">
        <f t="shared" si="3"/>
        <v>[ocultar]</v>
      </c>
      <c r="AK14" s="187" t="str">
        <f t="shared" si="3"/>
        <v>[ocultar]</v>
      </c>
      <c r="AL14" s="187" t="str">
        <f t="shared" si="3"/>
        <v>[ocultar]</v>
      </c>
      <c r="AM14" s="187" t="str">
        <f t="shared" si="3"/>
        <v>[ocultar]</v>
      </c>
      <c r="AN14" s="148" t="s">
        <v>324</v>
      </c>
      <c r="AO14" s="188" t="s">
        <v>325</v>
      </c>
      <c r="AP14" s="150" t="str">
        <f>+AP8</f>
        <v>[ocultar]</v>
      </c>
      <c r="AQ14" s="150" t="str">
        <f t="shared" ref="AQ14:AT14" si="4">+AQ8</f>
        <v>[ocultar]</v>
      </c>
      <c r="AR14" s="150" t="str">
        <f t="shared" si="4"/>
        <v>[ocultar]</v>
      </c>
      <c r="AS14" s="150" t="str">
        <f t="shared" si="4"/>
        <v>[ocultar]</v>
      </c>
      <c r="AT14" s="150" t="str">
        <f t="shared" si="4"/>
        <v>[ocultar]</v>
      </c>
      <c r="AU14" s="151" t="s">
        <v>326</v>
      </c>
      <c r="AV14" s="148" t="s">
        <v>327</v>
      </c>
    </row>
    <row r="15" spans="1:48" ht="15.6" thickBot="1" x14ac:dyDescent="0.3">
      <c r="A15" s="133" t="str">
        <f>+A16</f>
        <v>[ocultar]</v>
      </c>
      <c r="B15" s="199" t="s">
        <v>178</v>
      </c>
      <c r="C15" s="200"/>
      <c r="D15" s="201"/>
      <c r="E15" s="201"/>
      <c r="F15" s="201"/>
      <c r="G15" s="201"/>
      <c r="H15" s="201"/>
      <c r="I15" s="189" t="str">
        <f t="shared" ref="I15" si="5">IFERROR((I16-I17)/I16,"")</f>
        <v/>
      </c>
      <c r="J15" s="190" t="str">
        <f>IFERROR((J16-J17)/J16,"")</f>
        <v/>
      </c>
      <c r="K15" s="191" t="str">
        <f t="shared" ref="K15:AV15" si="6">IFERROR((K16-K17)/K16,"")</f>
        <v/>
      </c>
      <c r="L15" s="191" t="str">
        <f t="shared" si="6"/>
        <v/>
      </c>
      <c r="M15" s="191" t="str">
        <f t="shared" si="6"/>
        <v/>
      </c>
      <c r="N15" s="192" t="str">
        <f t="shared" si="6"/>
        <v/>
      </c>
      <c r="O15" s="193" t="str">
        <f t="shared" si="6"/>
        <v/>
      </c>
      <c r="P15" s="193" t="str">
        <f t="shared" si="6"/>
        <v/>
      </c>
      <c r="Q15" s="193" t="str">
        <f t="shared" si="6"/>
        <v/>
      </c>
      <c r="R15" s="193" t="str">
        <f t="shared" si="6"/>
        <v/>
      </c>
      <c r="S15" s="193" t="str">
        <f t="shared" si="6"/>
        <v/>
      </c>
      <c r="T15" s="193" t="str">
        <f t="shared" si="6"/>
        <v/>
      </c>
      <c r="U15" s="193" t="str">
        <f t="shared" si="6"/>
        <v/>
      </c>
      <c r="V15" s="193" t="str">
        <f t="shared" si="6"/>
        <v/>
      </c>
      <c r="W15" s="193" t="str">
        <f t="shared" si="6"/>
        <v/>
      </c>
      <c r="X15" s="193" t="str">
        <f t="shared" si="6"/>
        <v/>
      </c>
      <c r="Y15" s="193" t="str">
        <f t="shared" si="6"/>
        <v/>
      </c>
      <c r="Z15" s="193" t="str">
        <f t="shared" si="6"/>
        <v/>
      </c>
      <c r="AA15" s="193" t="str">
        <f t="shared" si="6"/>
        <v/>
      </c>
      <c r="AB15" s="193" t="str">
        <f t="shared" si="6"/>
        <v/>
      </c>
      <c r="AC15" s="193" t="str">
        <f t="shared" si="6"/>
        <v/>
      </c>
      <c r="AD15" s="193" t="str">
        <f t="shared" si="6"/>
        <v/>
      </c>
      <c r="AE15" s="193" t="str">
        <f t="shared" si="6"/>
        <v/>
      </c>
      <c r="AF15" s="193" t="str">
        <f t="shared" si="6"/>
        <v/>
      </c>
      <c r="AG15" s="193" t="str">
        <f t="shared" si="6"/>
        <v/>
      </c>
      <c r="AH15" s="193" t="str">
        <f t="shared" si="6"/>
        <v/>
      </c>
      <c r="AI15" s="193" t="str">
        <f t="shared" si="6"/>
        <v/>
      </c>
      <c r="AJ15" s="193" t="str">
        <f t="shared" si="6"/>
        <v/>
      </c>
      <c r="AK15" s="193" t="str">
        <f t="shared" si="6"/>
        <v/>
      </c>
      <c r="AL15" s="193" t="str">
        <f t="shared" si="6"/>
        <v/>
      </c>
      <c r="AM15" s="193" t="str">
        <f t="shared" si="6"/>
        <v/>
      </c>
      <c r="AN15" s="189" t="str">
        <f t="shared" si="6"/>
        <v/>
      </c>
      <c r="AO15" s="162" t="str">
        <f t="shared" si="6"/>
        <v/>
      </c>
      <c r="AP15" s="163" t="str">
        <f t="shared" si="6"/>
        <v/>
      </c>
      <c r="AQ15" s="163" t="str">
        <f t="shared" si="6"/>
        <v/>
      </c>
      <c r="AR15" s="163" t="str">
        <f t="shared" si="6"/>
        <v/>
      </c>
      <c r="AS15" s="163" t="str">
        <f t="shared" si="6"/>
        <v/>
      </c>
      <c r="AT15" s="163" t="str">
        <f t="shared" si="6"/>
        <v/>
      </c>
      <c r="AU15" s="194" t="str">
        <f t="shared" si="6"/>
        <v/>
      </c>
      <c r="AV15" s="165" t="str">
        <f t="shared" si="6"/>
        <v/>
      </c>
    </row>
    <row r="16" spans="1:48" x14ac:dyDescent="0.25">
      <c r="A16" s="133" t="str">
        <f>+IF(C16+C17=0,"[ocultar]","")</f>
        <v>[ocultar]</v>
      </c>
      <c r="B16" s="202" t="s">
        <v>394</v>
      </c>
      <c r="C16" s="203">
        <f t="array" ref="C16">SUM(IF($B16=DATOS_[Sexo],
IF($B15=DATOS_[AGRUP. CLAS. PROF.],
IF("Dentro"=DATOS_[Check Periodo Ref.],
1/(COUNTIFS(DATOS_[Sexo],$B16,DATOS_[AGRUP. CLAS. PROF.],$B15,DATOS_[Check Periodo Ref.],"Dentro",DATOS_[id/cod],DATOS_[id/cod]))))))</f>
        <v>0</v>
      </c>
      <c r="D16" s="204">
        <f>COUNTIFS(DATOS_[AGRUP. CLAS. PROF.],$B15,DATOS_[Sexo],$B16,DATOS_[Check Periodo Ref.],"Dentro")</f>
        <v>0</v>
      </c>
      <c r="E16" s="204">
        <f>COUNTIFS(DATOS_[AGRUP. CLAS. PROF.],$B15,DATOS_[Sexo],$B16,DATOS_[Check Periodo Ref.],"Dentro",DATOS_[Check Nº SC Norm],"Sí")</f>
        <v>0</v>
      </c>
      <c r="F16" s="204">
        <f>COUNTIFS(DATOS_[AGRUP. CLAS. PROF.],$B15,DATOS_[Sexo],$B16,DATOS_[Check Periodo Ref.],"Dentro",DATOS_[Check Nº SC Anualiz],"Sí")</f>
        <v>0</v>
      </c>
      <c r="G16" s="204">
        <f>COUNTIFS(DATOS_[AGRUP. CLAS. PROF.],$B15,DATOS_[Sexo],$B16,DATOS_[Check Periodo Ref.],"Dentro",DATOS_[Check Nº SC Norm y Anualiz],"Sí")</f>
        <v>0</v>
      </c>
      <c r="H16" s="204">
        <f>COUNTIFS(DATOS_[AGRUP. CLAS. PROF.],$B15,DATOS_[Sexo],$B16,DATOS_[Check Periodo Ref.],"Dentro",DATOS_[Check Equiparación],"Sí")</f>
        <v>0</v>
      </c>
      <c r="I16" s="195">
        <f t="array" ref="I16">IFERROR(
MEDIAN(IF(DATOS_[Sexo]=$B16,IF(DATOS_[[AGRUP. CLAS. PROF.]:[AGRUP. CLAS. PROF.]]=$B15,IF(DATOS_[Check Equiparado]="Sí",IF(DATOS_[Check Periodo Ref.]="Dentro",DATOS_[SALARIO BASE Eq],FALSE))))),
0)</f>
        <v>0</v>
      </c>
      <c r="J16" s="196">
        <f t="array" ref="J16">IFERROR(
(MEDIAN((IF(DATOS_[[Sexo]:[Sexo]]=$B16,IF(DATOS_[[AGRUP. CLAS. PROF.]:[AGRUP. CLAS. PROF.]]=$B15,IF(DATOS_[[Check Periodo Ref.]:[Check Periodo Ref.]]="Dentro",IF(DATOS_[[Check Equiparado]:[Check Equiparado]]="Sí",IF(DATOS!AE$5="Sí",(1/DATOS_[[% anualiz]:[% anualiz]]),1)*IF(DATOS!AE$4="Sí",1/DATOS_[[% normaliz]:[% normaliz]],1)*(DATOS_[Conc.Sal.01])))))))),
0)</f>
        <v>0</v>
      </c>
      <c r="K16" s="196">
        <f t="array" ref="K16">IFERROR(
(MEDIAN((IF(DATOS_[[Sexo]:[Sexo]]=$B16,IF(DATOS_[[AGRUP. CLAS. PROF.]:[AGRUP. CLAS. PROF.]]=$B15,IF(DATOS_[[Check Periodo Ref.]:[Check Periodo Ref.]]="Dentro",IF(DATOS_[[Check Equiparado]:[Check Equiparado]]="Sí",IF(DATOS!AF$5="Sí",(1/DATOS_[[% anualiz]:[% anualiz]]),1)*IF(DATOS!AF$4="Sí",1/DATOS_[[% normaliz]:[% normaliz]],1)*(DATOS_[Conc.Sal.02])))))))),
0)</f>
        <v>0</v>
      </c>
      <c r="L16" s="196">
        <f t="array" ref="L16">IFERROR(
(MEDIAN((IF(DATOS_[[Sexo]:[Sexo]]=$B16,IF(DATOS_[[AGRUP. CLAS. PROF.]:[AGRUP. CLAS. PROF.]]=$B15,IF(DATOS_[[Check Periodo Ref.]:[Check Periodo Ref.]]="Dentro",IF(DATOS_[[Check Equiparado]:[Check Equiparado]]="Sí",IF(DATOS!AG$5="Sí",(1/DATOS_[[% anualiz]:[% anualiz]]),1)*IF(DATOS!AG$4="Sí",1/DATOS_[[% normaliz]:[% normaliz]],1)*(DATOS_[Conc.Sal.03])))))))),
0)</f>
        <v>0</v>
      </c>
      <c r="M16" s="196">
        <f t="array" ref="M16">IFERROR(
(MEDIAN((IF(DATOS_[[Sexo]:[Sexo]]=$B16,IF(DATOS_[[AGRUP. CLAS. PROF.]:[AGRUP. CLAS. PROF.]]=$B15,IF(DATOS_[[Check Periodo Ref.]:[Check Periodo Ref.]]="Dentro",IF(DATOS_[[Check Equiparado]:[Check Equiparado]]="Sí",IF(DATOS!AH$5="Sí",(1/DATOS_[[% anualiz]:[% anualiz]]),1)*IF(DATOS!AH$4="Sí",1/DATOS_[[% normaliz]:[% normaliz]],1)*(DATOS_[Conc.Sal.04])))))))),
0)</f>
        <v>0</v>
      </c>
      <c r="N16" s="196">
        <f t="array" ref="N16">IFERROR(
(MEDIAN((IF(DATOS_[[Sexo]:[Sexo]]=$B16,IF(DATOS_[[AGRUP. CLAS. PROF.]:[AGRUP. CLAS. PROF.]]=$B15,IF(DATOS_[[Check Periodo Ref.]:[Check Periodo Ref.]]="Dentro",IF(DATOS_[[Check Equiparado]:[Check Equiparado]]="Sí",IF(DATOS!AI$5="Sí",(1/DATOS_[[% anualiz]:[% anualiz]]),1)*IF(DATOS!AI$4="Sí",1/DATOS_[[% normaliz]:[% normaliz]],1)*(DATOS_[Conc.Sal.05])))))))),
0)</f>
        <v>0</v>
      </c>
      <c r="O16" s="196">
        <f t="array" ref="O16">IFERROR(
(MEDIAN((IF(DATOS_[[Sexo]:[Sexo]]=$B16,IF(DATOS_[[AGRUP. CLAS. PROF.]:[AGRUP. CLAS. PROF.]]=$B15,IF(DATOS_[[Check Periodo Ref.]:[Check Periodo Ref.]]="Dentro",IF(DATOS_[[Check Equiparado]:[Check Equiparado]]="Sí",IF(DATOS!AJ$5="Sí",(1/DATOS_[[% anualiz]:[% anualiz]]),1)*IF(DATOS!AJ$4="Sí",1/DATOS_[[% normaliz]:[% normaliz]],1)*(DATOS_[Conc.Sal.06])))))))),
0)</f>
        <v>0</v>
      </c>
      <c r="P16" s="196">
        <f t="array" ref="P16">IFERROR(
(MEDIAN((IF(DATOS_[[Sexo]:[Sexo]]=$B16,IF(DATOS_[[AGRUP. CLAS. PROF.]:[AGRUP. CLAS. PROF.]]=$B15,IF(DATOS_[[Check Periodo Ref.]:[Check Periodo Ref.]]="Dentro",IF(DATOS_[[Check Equiparado]:[Check Equiparado]]="Sí",IF(DATOS!AK$5="Sí",(1/DATOS_[[% anualiz]:[% anualiz]]),1)*IF(DATOS!AK$4="Sí",1/DATOS_[[% normaliz]:[% normaliz]],1)*(DATOS_[Conc.Sal.07])))))))),
0)</f>
        <v>0</v>
      </c>
      <c r="Q16" s="196">
        <f t="array" ref="Q16">IFERROR(
(MEDIAN((IF(DATOS_[[Sexo]:[Sexo]]=$B16,IF(DATOS_[[AGRUP. CLAS. PROF.]:[AGRUP. CLAS. PROF.]]=$B15,IF(DATOS_[[Check Periodo Ref.]:[Check Periodo Ref.]]="Dentro",IF(DATOS_[[Check Equiparado]:[Check Equiparado]]="Sí",IF(DATOS!AL$5="Sí",(1/DATOS_[[% anualiz]:[% anualiz]]),1)*IF(DATOS!AL$4="Sí",1/DATOS_[[% normaliz]:[% normaliz]],1)*(DATOS_[Conc.Sal.08])))))))),
0)</f>
        <v>0</v>
      </c>
      <c r="R16" s="196">
        <f t="array" ref="R16">IFERROR(
(MEDIAN((IF(DATOS_[[Sexo]:[Sexo]]=$B16,IF(DATOS_[[AGRUP. CLAS. PROF.]:[AGRUP. CLAS. PROF.]]=$B15,IF(DATOS_[[Check Periodo Ref.]:[Check Periodo Ref.]]="Dentro",IF(DATOS_[[Check Equiparado]:[Check Equiparado]]="Sí",IF(DATOS!AM$5="Sí",(1/DATOS_[[% anualiz]:[% anualiz]]),1)*IF(DATOS!AM$4="Sí",1/DATOS_[[% normaliz]:[% normaliz]],1)*(DATOS_[Conc.Sal.09])))))))),
0)</f>
        <v>0</v>
      </c>
      <c r="S16" s="196">
        <f t="array" ref="S16">IFERROR(
(MEDIAN((IF(DATOS_[[Sexo]:[Sexo]]=$B16,IF(DATOS_[[AGRUP. CLAS. PROF.]:[AGRUP. CLAS. PROF.]]=$B15,IF(DATOS_[[Check Periodo Ref.]:[Check Periodo Ref.]]="Dentro",IF(DATOS_[[Check Equiparado]:[Check Equiparado]]="Sí",IF(DATOS!AN$5="Sí",(1/DATOS_[[% anualiz]:[% anualiz]]),1)*IF(DATOS!AN$4="Sí",1/DATOS_[[% normaliz]:[% normaliz]],1)*(DATOS_[Conc.Sal.10])))))))),
0)</f>
        <v>0</v>
      </c>
      <c r="T16" s="196">
        <f t="array" ref="T16">IFERROR(
(MEDIAN((IF(DATOS_[[Sexo]:[Sexo]]=$B16,IF(DATOS_[[AGRUP. CLAS. PROF.]:[AGRUP. CLAS. PROF.]]=$B15,IF(DATOS_[[Check Periodo Ref.]:[Check Periodo Ref.]]="Dentro",IF(DATOS_[[Check Equiparado]:[Check Equiparado]]="Sí",IF(DATOS!AO$5="Sí",(1/DATOS_[[% anualiz]:[% anualiz]]),1)*IF(DATOS!AO$4="Sí",1/DATOS_[[% normaliz]:[% normaliz]],1)*(DATOS_[Conc.Sal.11])))))))),
0)</f>
        <v>0</v>
      </c>
      <c r="U16" s="196">
        <f t="array" ref="U16">IFERROR(
(MEDIAN((IF(DATOS_[[Sexo]:[Sexo]]=$B16,IF(DATOS_[[AGRUP. CLAS. PROF.]:[AGRUP. CLAS. PROF.]]=$B15,IF(DATOS_[[Check Periodo Ref.]:[Check Periodo Ref.]]="Dentro",IF(DATOS_[[Check Equiparado]:[Check Equiparado]]="Sí",IF(DATOS!AP$5="Sí",(1/DATOS_[[% anualiz]:[% anualiz]]),1)*IF(DATOS!AP$4="Sí",1/DATOS_[[% normaliz]:[% normaliz]],1)*(DATOS_[Conc.Sal.12])))))))),
0)</f>
        <v>0</v>
      </c>
      <c r="V16" s="196">
        <f t="array" ref="V16">IFERROR(
(MEDIAN((IF(DATOS_[[Sexo]:[Sexo]]=$B16,IF(DATOS_[[AGRUP. CLAS. PROF.]:[AGRUP. CLAS. PROF.]]=$B15,IF(DATOS_[[Check Periodo Ref.]:[Check Periodo Ref.]]="Dentro",IF(DATOS_[[Check Equiparado]:[Check Equiparado]]="Sí",IF(DATOS!AQ$5="Sí",(1/DATOS_[[% anualiz]:[% anualiz]]),1)*IF(DATOS!AQ$4="Sí",1/DATOS_[[% normaliz]:[% normaliz]],1)*(DATOS_[Conc.Sal.13])))))))),
0)</f>
        <v>0</v>
      </c>
      <c r="W16" s="196">
        <f t="array" ref="W16">IFERROR(
(MEDIAN((IF(DATOS_[[Sexo]:[Sexo]]=$B16,IF(DATOS_[[AGRUP. CLAS. PROF.]:[AGRUP. CLAS. PROF.]]=$B15,IF(DATOS_[[Check Periodo Ref.]:[Check Periodo Ref.]]="Dentro",IF(DATOS_[[Check Equiparado]:[Check Equiparado]]="Sí",IF(DATOS!AR$5="Sí",(1/DATOS_[[% anualiz]:[% anualiz]]),1)*IF(DATOS!AR$4="Sí",1/DATOS_[[% normaliz]:[% normaliz]],1)*(DATOS_[Conc.Sal.14])))))))),
0)</f>
        <v>0</v>
      </c>
      <c r="X16" s="196">
        <f t="array" ref="X16">IFERROR(
(MEDIAN((IF(DATOS_[[Sexo]:[Sexo]]=$B16,IF(DATOS_[[AGRUP. CLAS. PROF.]:[AGRUP. CLAS. PROF.]]=$B15,IF(DATOS_[[Check Periodo Ref.]:[Check Periodo Ref.]]="Dentro",IF(DATOS_[[Check Equiparado]:[Check Equiparado]]="Sí",IF(DATOS!AS$5="Sí",(1/DATOS_[[% anualiz]:[% anualiz]]),1)*IF(DATOS!AS$4="Sí",1/DATOS_[[% normaliz]:[% normaliz]],1)*(DATOS_[Conc.Sal.15])))))))),
0)</f>
        <v>0</v>
      </c>
      <c r="Y16" s="196">
        <f t="array" ref="Y16">IFERROR(
(MEDIAN((IF(DATOS_[[Sexo]:[Sexo]]=$B16,IF(DATOS_[[AGRUP. CLAS. PROF.]:[AGRUP. CLAS. PROF.]]=$B15,IF(DATOS_[[Check Periodo Ref.]:[Check Periodo Ref.]]="Dentro",IF(DATOS_[[Check Equiparado]:[Check Equiparado]]="Sí",IF(DATOS!AT$5="Sí",(1/DATOS_[[% anualiz]:[% anualiz]]),1)*IF(DATOS!AT$4="Sí",1/DATOS_[[% normaliz]:[% normaliz]],1)*(DATOS_[Conc.Sal.16])))))))),
0)</f>
        <v>0</v>
      </c>
      <c r="Z16" s="196">
        <f t="array" ref="Z16">IFERROR(
(MEDIAN((IF(DATOS_[[Sexo]:[Sexo]]=$B16,IF(DATOS_[[AGRUP. CLAS. PROF.]:[AGRUP. CLAS. PROF.]]=$B15,IF(DATOS_[[Check Periodo Ref.]:[Check Periodo Ref.]]="Dentro",IF(DATOS_[[Check Equiparado]:[Check Equiparado]]="Sí",IF(DATOS!AU$5="Sí",(1/DATOS_[[% anualiz]:[% anualiz]]),1)*IF(DATOS!AU$4="Sí",1/DATOS_[[% normaliz]:[% normaliz]],1)*(DATOS_[Conc.Sal.17])))))))),
0)</f>
        <v>0</v>
      </c>
      <c r="AA16" s="196">
        <f t="array" ref="AA16">IFERROR(
(MEDIAN((IF(DATOS_[[Sexo]:[Sexo]]=$B16,IF(DATOS_[[AGRUP. CLAS. PROF.]:[AGRUP. CLAS. PROF.]]=$B15,IF(DATOS_[[Check Periodo Ref.]:[Check Periodo Ref.]]="Dentro",IF(DATOS_[[Check Equiparado]:[Check Equiparado]]="Sí",IF(DATOS!AV$5="Sí",(1/DATOS_[[% anualiz]:[% anualiz]]),1)*IF(DATOS!AV$4="Sí",1/DATOS_[[% normaliz]:[% normaliz]],1)*(DATOS_[Conc.Sal.18])))))))),
0)</f>
        <v>0</v>
      </c>
      <c r="AB16" s="196">
        <f t="array" ref="AB16">IFERROR(
(MEDIAN((IF(DATOS_[[Sexo]:[Sexo]]=$B16,IF(DATOS_[[AGRUP. CLAS. PROF.]:[AGRUP. CLAS. PROF.]]=$B15,IF(DATOS_[[Check Periodo Ref.]:[Check Periodo Ref.]]="Dentro",IF(DATOS_[[Check Equiparado]:[Check Equiparado]]="Sí",IF(DATOS!AW$5="Sí",(1/DATOS_[[% anualiz]:[% anualiz]]),1)*IF(DATOS!AW$4="Sí",1/DATOS_[[% normaliz]:[% normaliz]],1)*(DATOS_[Conc.Sal.19])))))))),
0)</f>
        <v>0</v>
      </c>
      <c r="AC16" s="196">
        <f t="array" ref="AC16">IFERROR(
(MEDIAN((IF(DATOS_[[Sexo]:[Sexo]]=$B16,IF(DATOS_[[AGRUP. CLAS. PROF.]:[AGRUP. CLAS. PROF.]]=$B15,IF(DATOS_[[Check Periodo Ref.]:[Check Periodo Ref.]]="Dentro",IF(DATOS_[[Check Equiparado]:[Check Equiparado]]="Sí",IF(DATOS!AX$5="Sí",(1/DATOS_[[% anualiz]:[% anualiz]]),1)*IF(DATOS!AX$4="Sí",1/DATOS_[[% normaliz]:[% normaliz]],1)*(DATOS_[Conc.Sal.20])))))))),
0)</f>
        <v>0</v>
      </c>
      <c r="AD16" s="196">
        <f t="array" ref="AD16">IFERROR(
(MEDIAN((IF(DATOS_[[Sexo]:[Sexo]]=$B16,IF(DATOS_[[AGRUP. CLAS. PROF.]:[AGRUP. CLAS. PROF.]]=$B15,IF(DATOS_[[Check Periodo Ref.]:[Check Periodo Ref.]]="Dentro",IF(DATOS_[[Check Equiparado]:[Check Equiparado]]="Sí",IF(DATOS!AY$5="Sí",(1/DATOS_[[% anualiz]:[% anualiz]]),1)*IF(DATOS!AY$4="Sí",1/DATOS_[[% normaliz]:[% normaliz]],1)*(DATOS_[Conc.Sal.21])))))))),
0)</f>
        <v>0</v>
      </c>
      <c r="AE16" s="196">
        <f t="array" ref="AE16">IFERROR(
(MEDIAN((IF(DATOS_[[Sexo]:[Sexo]]=$B16,IF(DATOS_[[AGRUP. CLAS. PROF.]:[AGRUP. CLAS. PROF.]]=$B15,IF(DATOS_[[Check Periodo Ref.]:[Check Periodo Ref.]]="Dentro",IF(DATOS_[[Check Equiparado]:[Check Equiparado]]="Sí",IF(DATOS!AZ$5="Sí",(1/DATOS_[[% anualiz]:[% anualiz]]),1)*IF(DATOS!AZ$4="Sí",1/DATOS_[[% normaliz]:[% normaliz]],1)*(DATOS_[Conc.Sal.22])))))))),
0)</f>
        <v>0</v>
      </c>
      <c r="AF16" s="196">
        <f t="array" ref="AF16">IFERROR(
(MEDIAN((IF(DATOS_[[Sexo]:[Sexo]]=$B16,IF(DATOS_[[AGRUP. CLAS. PROF.]:[AGRUP. CLAS. PROF.]]=$B15,IF(DATOS_[[Check Periodo Ref.]:[Check Periodo Ref.]]="Dentro",IF(DATOS_[[Check Equiparado]:[Check Equiparado]]="Sí",IF(DATOS!BA$5="Sí",(1/DATOS_[[% anualiz]:[% anualiz]]),1)*IF(DATOS!BA$4="Sí",1/DATOS_[[% normaliz]:[% normaliz]],1)*(DATOS_[Conc.Sal.23])))))))),
0)</f>
        <v>0</v>
      </c>
      <c r="AG16" s="196">
        <f t="array" ref="AG16">IFERROR(
(MEDIAN((IF(DATOS_[[Sexo]:[Sexo]]=$B16,IF(DATOS_[[AGRUP. CLAS. PROF.]:[AGRUP. CLAS. PROF.]]=$B15,IF(DATOS_[[Check Periodo Ref.]:[Check Periodo Ref.]]="Dentro",IF(DATOS_[[Check Equiparado]:[Check Equiparado]]="Sí",IF(DATOS!BB$5="Sí",(1/DATOS_[[% anualiz]:[% anualiz]]),1)*IF(DATOS!BB$4="Sí",1/DATOS_[[% normaliz]:[% normaliz]],1)*(DATOS_[Conc.Sal.24])))))))),
0)</f>
        <v>0</v>
      </c>
      <c r="AH16" s="196">
        <f t="array" ref="AH16">IFERROR(
(MEDIAN((IF(DATOS_[[Sexo]:[Sexo]]=$B16,IF(DATOS_[[AGRUP. CLAS. PROF.]:[AGRUP. CLAS. PROF.]]=$B15,IF(DATOS_[[Check Periodo Ref.]:[Check Periodo Ref.]]="Dentro",IF(DATOS_[[Check Equiparado]:[Check Equiparado]]="Sí",IF(DATOS!BC$5="Sí",(1/DATOS_[[% anualiz]:[% anualiz]]),1)*IF(DATOS!BC$4="Sí",1/DATOS_[[% normaliz]:[% normaliz]],1)*(DATOS_[Conc.Sal.25])))))))),
0)</f>
        <v>0</v>
      </c>
      <c r="AI16" s="196">
        <f t="array" ref="AI16">IFERROR(
(MEDIAN((IF(DATOS_[[Sexo]:[Sexo]]=$B16,IF(DATOS_[[AGRUP. CLAS. PROF.]:[AGRUP. CLAS. PROF.]]=$B15,IF(DATOS_[[Check Periodo Ref.]:[Check Periodo Ref.]]="Dentro",IF(DATOS_[[Check Equiparado]:[Check Equiparado]]="Sí",IF(DATOS!BD$5="Sí",(1/DATOS_[[% anualiz]:[% anualiz]]),1)*IF(DATOS!BD$4="Sí",1/DATOS_[[% normaliz]:[% normaliz]],1)*(DATOS_[Conc.Sal.26])))))))),
0)</f>
        <v>0</v>
      </c>
      <c r="AJ16" s="196">
        <f t="array" ref="AJ16">IFERROR(
(MEDIAN((IF(DATOS_[[Sexo]:[Sexo]]=$B16,IF(DATOS_[[AGRUP. CLAS. PROF.]:[AGRUP. CLAS. PROF.]]=$B15,IF(DATOS_[[Check Periodo Ref.]:[Check Periodo Ref.]]="Dentro",IF(DATOS_[[Check Equiparado]:[Check Equiparado]]="Sí",IF(DATOS!BE$5="Sí",(1/DATOS_[[% anualiz]:[% anualiz]]),1)*IF(DATOS!BE$4="Sí",1/DATOS_[[% normaliz]:[% normaliz]],1)*(DATOS_[Conc.Sal.27])))))))),
0)</f>
        <v>0</v>
      </c>
      <c r="AK16" s="196">
        <f t="array" ref="AK16">IFERROR(
(MEDIAN((IF(DATOS_[[Sexo]:[Sexo]]=$B16,IF(DATOS_[[AGRUP. CLAS. PROF.]:[AGRUP. CLAS. PROF.]]=$B15,IF(DATOS_[[Check Periodo Ref.]:[Check Periodo Ref.]]="Dentro",IF(DATOS_[[Check Equiparado]:[Check Equiparado]]="Sí",IF(DATOS!BF$5="Sí",(1/DATOS_[[% anualiz]:[% anualiz]]),1)*IF(DATOS!BF$4="Sí",1/DATOS_[[% normaliz]:[% normaliz]],1)*(DATOS_[Conc.Sal.28])))))))),
0)</f>
        <v>0</v>
      </c>
      <c r="AL16" s="196">
        <f t="array" ref="AL16">IFERROR(
(MEDIAN((IF(DATOS_[[Sexo]:[Sexo]]=$B16,IF(DATOS_[[AGRUP. CLAS. PROF.]:[AGRUP. CLAS. PROF.]]=$B15,IF(DATOS_[[Check Periodo Ref.]:[Check Periodo Ref.]]="Dentro",IF(DATOS_[[Check Equiparado]:[Check Equiparado]]="Sí",IF(DATOS!BG$5="Sí",(1/DATOS_[[% anualiz]:[% anualiz]]),1)*IF(DATOS!BG$4="Sí",1/DATOS_[[% normaliz]:[% normaliz]],1)*(DATOS_[Conc.Sal.29])))))))),
0)</f>
        <v>0</v>
      </c>
      <c r="AM16" s="196">
        <f t="array" ref="AM16">IFERROR(
(MEDIAN((IF(DATOS_[[Sexo]:[Sexo]]=$B16,IF(DATOS_[[AGRUP. CLAS. PROF.]:[AGRUP. CLAS. PROF.]]=$B15,IF(DATOS_[[Check Periodo Ref.]:[Check Periodo Ref.]]="Dentro",IF(DATOS_[[Check Equiparado]:[Check Equiparado]]="Sí",IF(DATOS!BH$5="Sí",(1/DATOS_[[% anualiz]:[% anualiz]]),1)*IF(DATOS!BH$4="Sí",1/DATOS_[[% normaliz]:[% normaliz]],1)*(DATOS_[Conc.Sal.30])))))))),
0)</f>
        <v>0</v>
      </c>
      <c r="AN16" s="195">
        <f t="array" ref="AN16">IFERROR(
MEDIAN(IF(DATOS_[Sexo]=$B16,IF(DATOS_[[AGRUP. CLAS. PROF.]:[AGRUP. CLAS. PROF.]]=$B15,IF(DATOS_[Check Equiparado]="Sí",IF(DATOS_[Check Periodo Ref.]="Dentro",DATOS_[Tot COMPL.SAL Eq],FALSE))))),
0)</f>
        <v>0</v>
      </c>
      <c r="AO16" s="172">
        <f t="array" ref="AO16">IFERROR(
MEDIAN(IF(DATOS_[Sexo]=$B16,IF(DATOS_[[AGRUP. CLAS. PROF.]:[AGRUP. CLAS. PROF.]]=$B15,IF(DATOS_[Check Equiparado]="Sí",IF(DATOS_[Check Periodo Ref.]="Dentro",DATOS_[TOTAL SALARIO Eq],FALSE))))),
0)</f>
        <v>0</v>
      </c>
      <c r="AP16" s="173">
        <f t="array" ref="AP16">IFERROR(
(MEDIAN((IF(DATOS_[[Sexo]:[Sexo]]=$B16,IF(DATOS_[[AGRUP. CLAS. PROF.]:[AGRUP. CLAS. PROF.]]=$B15,IF(DATOS_[[Check Periodo Ref.]:[Check Periodo Ref.]]="Dentro",IF(DATOS_[[Check Equiparado]:[Check Equiparado]]="Sí",IF(DATOS!BW$5="Sí",(1/DATOS_[[% anualiz]:[% anualiz]]),1)*IF(DATOS!BW$4="Sí",1/DATOS_[[% normaliz]:[% normaliz]],1)*(DATOS_[C.Extra.01])))))))),
0)</f>
        <v>0</v>
      </c>
      <c r="AQ16" s="173">
        <f t="array" ref="AQ16">IFERROR(
(MEDIAN((IF(DATOS_[[Sexo]:[Sexo]]=$B16,IF(DATOS_[[AGRUP. CLAS. PROF.]:[AGRUP. CLAS. PROF.]]=$B15,IF(DATOS_[[Check Periodo Ref.]:[Check Periodo Ref.]]="Dentro",IF(DATOS_[[Check Equiparado]:[Check Equiparado]]="Sí",IF(DATOS!CB$5="Sí",(1/DATOS_[[% anualiz]:[% anualiz]]),1)*IF(DATOS!CB$4="Sí",1/DATOS_[[% normaliz]:[% normaliz]],1)*(DATOS_[C.Extra.06])))))))),
0)</f>
        <v>0</v>
      </c>
      <c r="AR16" s="173">
        <f t="array" ref="AR16">IFERROR(
(MEDIAN((IF(DATOS_[[Sexo]:[Sexo]]=$B16,IF(DATOS_[[AGRUP. CLAS. PROF.]:[AGRUP. CLAS. PROF.]]=$B15,IF(DATOS_[[Check Periodo Ref.]:[Check Periodo Ref.]]="Dentro",IF(DATOS_[[Check Equiparado]:[Check Equiparado]]="Sí",IF(DATOS!CC$5="Sí",(1/DATOS_[[% anualiz]:[% anualiz]]),1)*IF(DATOS!CC$4="Sí",1/DATOS_[[% normaliz]:[% normaliz]],1)*(DATOS_[C.Extra.07])))))))),
0)</f>
        <v>0</v>
      </c>
      <c r="AS16" s="173">
        <f t="array" ref="AS16">IFERROR(
(MEDIAN((IF(DATOS_[[Sexo]:[Sexo]]=$B16,IF(DATOS_[[AGRUP. CLAS. PROF.]:[AGRUP. CLAS. PROF.]]=$B15,IF(DATOS_[[Check Periodo Ref.]:[Check Periodo Ref.]]="Dentro",IF(DATOS_[[Check Equiparado]:[Check Equiparado]]="Sí",IF(DATOS!CD$5="Sí",(1/DATOS_[[% anualiz]:[% anualiz]]),1)*IF(DATOS!CD$4="Sí",1/DATOS_[[% normaliz]:[% normaliz]],1)*(DATOS_[C.Extra.08])))))))),
0)</f>
        <v>0</v>
      </c>
      <c r="AT16" s="173">
        <f t="array" ref="AT16">IFERROR(
(MEDIAN((IF(DATOS_[[Sexo]:[Sexo]]=$B16,IF(DATOS_[[AGRUP. CLAS. PROF.]:[AGRUP. CLAS. PROF.]]=$B15,IF(DATOS_[[Check Periodo Ref.]:[Check Periodo Ref.]]="Dentro",IF(DATOS_[[Check Equiparado]:[Check Equiparado]]="Sí",IF(DATOS!CG$5="Sí",(1/DATOS_[[% anualiz]:[% anualiz]]),1)*IF(DATOS!CG$4="Sí",1/DATOS_[[% normaliz]:[% normaliz]],1)*(DATOS_[C.Extra.11])))))))),
0)</f>
        <v>0</v>
      </c>
      <c r="AU16" s="197">
        <f t="array" ref="AU16">IFERROR(
MEDIAN(IF(DATOS_[Sexo]=$B16,IF(DATOS_[[AGRUP. CLAS. PROF.]:[AGRUP. CLAS. PROF.]]=$B15,IF(DATOS_[Check Equiparado]="Sí",IF(DATOS_[Check Periodo Ref.]="Dentro",DATOS_[Tot Extrasalarial Eq],FALSE))))),
0)</f>
        <v>0</v>
      </c>
      <c r="AV16" s="175">
        <f t="array" ref="AV16">IFERROR(
MEDIAN(IF(DATOS_[Sexo]=$B16,IF(DATOS_[[AGRUP. CLAS. PROF.]:[AGRUP. CLAS. PROF.]]=$B15,IF(DATOS_[Check Equiparado]="Sí",IF(DATOS_[Check Periodo Ref.]="Dentro",DATOS_[TOTAL Retrib Eq],FALSE))))),
0)</f>
        <v>0</v>
      </c>
    </row>
    <row r="17" spans="1:48" x14ac:dyDescent="0.25">
      <c r="A17" s="133" t="str">
        <f>+A16</f>
        <v>[ocultar]</v>
      </c>
      <c r="B17" s="202" t="s">
        <v>521</v>
      </c>
      <c r="C17" s="203">
        <f t="array" ref="C17">SUM(IF($B17=DATOS_[Sexo],
IF($B15=DATOS_[AGRUP. CLAS. PROF.],
IF("Dentro"=DATOS_[Check Periodo Ref.],
1/(COUNTIFS(DATOS_[Sexo],$B17,DATOS_[AGRUP. CLAS. PROF.],$B15,DATOS_[Check Periodo Ref.],"Dentro",DATOS_[id/cod],DATOS_[id/cod]))))))</f>
        <v>0</v>
      </c>
      <c r="D17" s="204">
        <f>COUNTIFS(DATOS_[AGRUP. CLAS. PROF.],$B15,DATOS_[Sexo],$B17,DATOS_[Check Periodo Ref.],"Dentro")</f>
        <v>0</v>
      </c>
      <c r="E17" s="204">
        <f>COUNTIFS(DATOS_[AGRUP. CLAS. PROF.],$B15,DATOS_[Sexo],$B17,DATOS_[Check Periodo Ref.],"Dentro",DATOS_[Check Nº SC Norm],"Sí")</f>
        <v>0</v>
      </c>
      <c r="F17" s="204">
        <f>COUNTIFS(DATOS_[AGRUP. CLAS. PROF.],$B15,DATOS_[Sexo],$B17,DATOS_[Check Periodo Ref.],"Dentro",DATOS_[Check Nº SC Anualiz],"Sí")</f>
        <v>0</v>
      </c>
      <c r="G17" s="204">
        <f>COUNTIFS(DATOS_[AGRUP. CLAS. PROF.],$B15,DATOS_[Sexo],$B17,DATOS_[Check Periodo Ref.],"Dentro",DATOS_[Check Nº SC Norm y Anualiz],"Sí")</f>
        <v>0</v>
      </c>
      <c r="H17" s="204">
        <f>COUNTIFS(DATOS_[AGRUP. CLAS. PROF.],$B15,DATOS_[Sexo],$B17,DATOS_[Check Periodo Ref.],"Dentro",DATOS_[Check Equiparación],"Sí")</f>
        <v>0</v>
      </c>
      <c r="I17" s="195" cm="1">
        <f t="array" ref="I17">IFERROR(
MEDIAN(IF(DATOS_[Sexo]=$B17,IF(DATOS_[[AGRUP. CLAS. PROF.]:[AGRUP. CLAS. PROF.]]=$B15,IF(DATOS_[Check Equiparado]="Sí",IF(DATOS_[Check Periodo Ref.]="Dentro",DATOS_[SALARIO BASE Eq],FALSE))))),
0)</f>
        <v>0</v>
      </c>
      <c r="J17" s="196">
        <f t="array" ref="J17">IFERROR(
(MEDIAN((IF(DATOS_[[Sexo]:[Sexo]]=$B17,IF(DATOS_[[AGRUP. CLAS. PROF.]:[AGRUP. CLAS. PROF.]]=$B15,IF(DATOS_[[Check Periodo Ref.]:[Check Periodo Ref.]]="Dentro",IF(DATOS_[[Check Equiparado]:[Check Equiparado]]="Sí",IF(DATOS!AE$5="Sí",(1/DATOS_[[% anualiz]:[% anualiz]]),1)*IF(DATOS!AE$4="Sí",1/DATOS_[[% normaliz]:[% normaliz]],1)*(DATOS_[Conc.Sal.01])))))))),
0)</f>
        <v>0</v>
      </c>
      <c r="K17" s="196">
        <f t="array" ref="K17">IFERROR(
(MEDIAN((IF(DATOS_[[Sexo]:[Sexo]]=$B17,IF(DATOS_[[AGRUP. CLAS. PROF.]:[AGRUP. CLAS. PROF.]]=$B15,IF(DATOS_[[Check Periodo Ref.]:[Check Periodo Ref.]]="Dentro",IF(DATOS_[[Check Equiparado]:[Check Equiparado]]="Sí",IF(DATOS!AF$5="Sí",(1/DATOS_[[% anualiz]:[% anualiz]]),1)*IF(DATOS!AF$4="Sí",1/DATOS_[[% normaliz]:[% normaliz]],1)*(DATOS_[Conc.Sal.02])))))))),
0)</f>
        <v>0</v>
      </c>
      <c r="L17" s="196">
        <f t="array" ref="L17">IFERROR(
(MEDIAN((IF(DATOS_[[Sexo]:[Sexo]]=$B17,IF(DATOS_[[AGRUP. CLAS. PROF.]:[AGRUP. CLAS. PROF.]]=$B15,IF(DATOS_[[Check Periodo Ref.]:[Check Periodo Ref.]]="Dentro",IF(DATOS_[[Check Equiparado]:[Check Equiparado]]="Sí",IF(DATOS!AG$5="Sí",(1/DATOS_[[% anualiz]:[% anualiz]]),1)*IF(DATOS!AG$4="Sí",1/DATOS_[[% normaliz]:[% normaliz]],1)*(DATOS_[Conc.Sal.03])))))))),
0)</f>
        <v>0</v>
      </c>
      <c r="M17" s="196">
        <f t="array" ref="M17">IFERROR(
(MEDIAN((IF(DATOS_[[Sexo]:[Sexo]]=$B17,IF(DATOS_[[AGRUP. CLAS. PROF.]:[AGRUP. CLAS. PROF.]]=$B15,IF(DATOS_[[Check Periodo Ref.]:[Check Periodo Ref.]]="Dentro",IF(DATOS_[[Check Equiparado]:[Check Equiparado]]="Sí",IF(DATOS!AH$5="Sí",(1/DATOS_[[% anualiz]:[% anualiz]]),1)*IF(DATOS!AH$4="Sí",1/DATOS_[[% normaliz]:[% normaliz]],1)*(DATOS_[Conc.Sal.04])))))))),
0)</f>
        <v>0</v>
      </c>
      <c r="N17" s="196">
        <f t="array" ref="N17">IFERROR(
(MEDIAN((IF(DATOS_[[Sexo]:[Sexo]]=$B17,IF(DATOS_[[AGRUP. CLAS. PROF.]:[AGRUP. CLAS. PROF.]]=$B15,IF(DATOS_[[Check Periodo Ref.]:[Check Periodo Ref.]]="Dentro",IF(DATOS_[[Check Equiparado]:[Check Equiparado]]="Sí",IF(DATOS!AI$5="Sí",(1/DATOS_[[% anualiz]:[% anualiz]]),1)*IF(DATOS!AI$4="Sí",1/DATOS_[[% normaliz]:[% normaliz]],1)*(DATOS_[Conc.Sal.05])))))))),
0)</f>
        <v>0</v>
      </c>
      <c r="O17" s="196">
        <f t="array" ref="O17">IFERROR(
(MEDIAN((IF(DATOS_[[Sexo]:[Sexo]]=$B17,IF(DATOS_[[AGRUP. CLAS. PROF.]:[AGRUP. CLAS. PROF.]]=$B15,IF(DATOS_[[Check Periodo Ref.]:[Check Periodo Ref.]]="Dentro",IF(DATOS_[[Check Equiparado]:[Check Equiparado]]="Sí",IF(DATOS!AJ$5="Sí",(1/DATOS_[[% anualiz]:[% anualiz]]),1)*IF(DATOS!AJ$4="Sí",1/DATOS_[[% normaliz]:[% normaliz]],1)*(DATOS_[Conc.Sal.06])))))))),
0)</f>
        <v>0</v>
      </c>
      <c r="P17" s="196">
        <f t="array" ref="P17">IFERROR(
(MEDIAN((IF(DATOS_[[Sexo]:[Sexo]]=$B17,IF(DATOS_[[AGRUP. CLAS. PROF.]:[AGRUP. CLAS. PROF.]]=$B15,IF(DATOS_[[Check Periodo Ref.]:[Check Periodo Ref.]]="Dentro",IF(DATOS_[[Check Equiparado]:[Check Equiparado]]="Sí",IF(DATOS!AK$5="Sí",(1/DATOS_[[% anualiz]:[% anualiz]]),1)*IF(DATOS!AK$4="Sí",1/DATOS_[[% normaliz]:[% normaliz]],1)*(DATOS_[Conc.Sal.07])))))))),
0)</f>
        <v>0</v>
      </c>
      <c r="Q17" s="196">
        <f t="array" ref="Q17">IFERROR(
(MEDIAN((IF(DATOS_[[Sexo]:[Sexo]]=$B17,IF(DATOS_[[AGRUP. CLAS. PROF.]:[AGRUP. CLAS. PROF.]]=$B15,IF(DATOS_[[Check Periodo Ref.]:[Check Periodo Ref.]]="Dentro",IF(DATOS_[[Check Equiparado]:[Check Equiparado]]="Sí",IF(DATOS!AL$5="Sí",(1/DATOS_[[% anualiz]:[% anualiz]]),1)*IF(DATOS!AL$4="Sí",1/DATOS_[[% normaliz]:[% normaliz]],1)*(DATOS_[Conc.Sal.08])))))))),
0)</f>
        <v>0</v>
      </c>
      <c r="R17" s="196">
        <f t="array" ref="R17">IFERROR(
(MEDIAN((IF(DATOS_[[Sexo]:[Sexo]]=$B17,IF(DATOS_[[AGRUP. CLAS. PROF.]:[AGRUP. CLAS. PROF.]]=$B15,IF(DATOS_[[Check Periodo Ref.]:[Check Periodo Ref.]]="Dentro",IF(DATOS_[[Check Equiparado]:[Check Equiparado]]="Sí",IF(DATOS!AM$5="Sí",(1/DATOS_[[% anualiz]:[% anualiz]]),1)*IF(DATOS!AM$4="Sí",1/DATOS_[[% normaliz]:[% normaliz]],1)*(DATOS_[Conc.Sal.09])))))))),
0)</f>
        <v>0</v>
      </c>
      <c r="S17" s="196">
        <f t="array" ref="S17">IFERROR(
(MEDIAN((IF(DATOS_[[Sexo]:[Sexo]]=$B17,IF(DATOS_[[AGRUP. CLAS. PROF.]:[AGRUP. CLAS. PROF.]]=$B15,IF(DATOS_[[Check Periodo Ref.]:[Check Periodo Ref.]]="Dentro",IF(DATOS_[[Check Equiparado]:[Check Equiparado]]="Sí",IF(DATOS!AN$5="Sí",(1/DATOS_[[% anualiz]:[% anualiz]]),1)*IF(DATOS!AN$4="Sí",1/DATOS_[[% normaliz]:[% normaliz]],1)*(DATOS_[Conc.Sal.10])))))))),
0)</f>
        <v>0</v>
      </c>
      <c r="T17" s="196">
        <f t="array" ref="T17">IFERROR(
(MEDIAN((IF(DATOS_[[Sexo]:[Sexo]]=$B17,IF(DATOS_[[AGRUP. CLAS. PROF.]:[AGRUP. CLAS. PROF.]]=$B15,IF(DATOS_[[Check Periodo Ref.]:[Check Periodo Ref.]]="Dentro",IF(DATOS_[[Check Equiparado]:[Check Equiparado]]="Sí",IF(DATOS!AO$5="Sí",(1/DATOS_[[% anualiz]:[% anualiz]]),1)*IF(DATOS!AO$4="Sí",1/DATOS_[[% normaliz]:[% normaliz]],1)*(DATOS_[Conc.Sal.11])))))))),
0)</f>
        <v>0</v>
      </c>
      <c r="U17" s="196">
        <f t="array" ref="U17">IFERROR(
(MEDIAN((IF(DATOS_[[Sexo]:[Sexo]]=$B17,IF(DATOS_[[AGRUP. CLAS. PROF.]:[AGRUP. CLAS. PROF.]]=$B15,IF(DATOS_[[Check Periodo Ref.]:[Check Periodo Ref.]]="Dentro",IF(DATOS_[[Check Equiparado]:[Check Equiparado]]="Sí",IF(DATOS!AP$5="Sí",(1/DATOS_[[% anualiz]:[% anualiz]]),1)*IF(DATOS!AP$4="Sí",1/DATOS_[[% normaliz]:[% normaliz]],1)*(DATOS_[Conc.Sal.12])))))))),
0)</f>
        <v>0</v>
      </c>
      <c r="V17" s="196">
        <f t="array" ref="V17">IFERROR(
(MEDIAN((IF(DATOS_[[Sexo]:[Sexo]]=$B17,IF(DATOS_[[AGRUP. CLAS. PROF.]:[AGRUP. CLAS. PROF.]]=$B15,IF(DATOS_[[Check Periodo Ref.]:[Check Periodo Ref.]]="Dentro",IF(DATOS_[[Check Equiparado]:[Check Equiparado]]="Sí",IF(DATOS!AQ$5="Sí",(1/DATOS_[[% anualiz]:[% anualiz]]),1)*IF(DATOS!AQ$4="Sí",1/DATOS_[[% normaliz]:[% normaliz]],1)*(DATOS_[Conc.Sal.13])))))))),
0)</f>
        <v>0</v>
      </c>
      <c r="W17" s="196">
        <f t="array" ref="W17">IFERROR(
(MEDIAN((IF(DATOS_[[Sexo]:[Sexo]]=$B17,IF(DATOS_[[AGRUP. CLAS. PROF.]:[AGRUP. CLAS. PROF.]]=$B15,IF(DATOS_[[Check Periodo Ref.]:[Check Periodo Ref.]]="Dentro",IF(DATOS_[[Check Equiparado]:[Check Equiparado]]="Sí",IF(DATOS!AR$5="Sí",(1/DATOS_[[% anualiz]:[% anualiz]]),1)*IF(DATOS!AR$4="Sí",1/DATOS_[[% normaliz]:[% normaliz]],1)*(DATOS_[Conc.Sal.14])))))))),
0)</f>
        <v>0</v>
      </c>
      <c r="X17" s="196">
        <f t="array" ref="X17">IFERROR(
(MEDIAN((IF(DATOS_[[Sexo]:[Sexo]]=$B17,IF(DATOS_[[AGRUP. CLAS. PROF.]:[AGRUP. CLAS. PROF.]]=$B15,IF(DATOS_[[Check Periodo Ref.]:[Check Periodo Ref.]]="Dentro",IF(DATOS_[[Check Equiparado]:[Check Equiparado]]="Sí",IF(DATOS!AS$5="Sí",(1/DATOS_[[% anualiz]:[% anualiz]]),1)*IF(DATOS!AS$4="Sí",1/DATOS_[[% normaliz]:[% normaliz]],1)*(DATOS_[Conc.Sal.15])))))))),
0)</f>
        <v>0</v>
      </c>
      <c r="Y17" s="196">
        <f t="array" ref="Y17">IFERROR(
(MEDIAN((IF(DATOS_[[Sexo]:[Sexo]]=$B17,IF(DATOS_[[AGRUP. CLAS. PROF.]:[AGRUP. CLAS. PROF.]]=$B15,IF(DATOS_[[Check Periodo Ref.]:[Check Periodo Ref.]]="Dentro",IF(DATOS_[[Check Equiparado]:[Check Equiparado]]="Sí",IF(DATOS!AT$5="Sí",(1/DATOS_[[% anualiz]:[% anualiz]]),1)*IF(DATOS!AT$4="Sí",1/DATOS_[[% normaliz]:[% normaliz]],1)*(DATOS_[Conc.Sal.16])))))))),
0)</f>
        <v>0</v>
      </c>
      <c r="Z17" s="196">
        <f t="array" ref="Z17">IFERROR(
(MEDIAN((IF(DATOS_[[Sexo]:[Sexo]]=$B17,IF(DATOS_[[AGRUP. CLAS. PROF.]:[AGRUP. CLAS. PROF.]]=$B15,IF(DATOS_[[Check Periodo Ref.]:[Check Periodo Ref.]]="Dentro",IF(DATOS_[[Check Equiparado]:[Check Equiparado]]="Sí",IF(DATOS!AU$5="Sí",(1/DATOS_[[% anualiz]:[% anualiz]]),1)*IF(DATOS!AU$4="Sí",1/DATOS_[[% normaliz]:[% normaliz]],1)*(DATOS_[Conc.Sal.17])))))))),
0)</f>
        <v>0</v>
      </c>
      <c r="AA17" s="196">
        <f t="array" ref="AA17">IFERROR(
(MEDIAN((IF(DATOS_[[Sexo]:[Sexo]]=$B17,IF(DATOS_[[AGRUP. CLAS. PROF.]:[AGRUP. CLAS. PROF.]]=$B15,IF(DATOS_[[Check Periodo Ref.]:[Check Periodo Ref.]]="Dentro",IF(DATOS_[[Check Equiparado]:[Check Equiparado]]="Sí",IF(DATOS!AV$5="Sí",(1/DATOS_[[% anualiz]:[% anualiz]]),1)*IF(DATOS!AV$4="Sí",1/DATOS_[[% normaliz]:[% normaliz]],1)*(DATOS_[Conc.Sal.18])))))))),
0)</f>
        <v>0</v>
      </c>
      <c r="AB17" s="196">
        <f t="array" ref="AB17">IFERROR(
(MEDIAN((IF(DATOS_[[Sexo]:[Sexo]]=$B17,IF(DATOS_[[AGRUP. CLAS. PROF.]:[AGRUP. CLAS. PROF.]]=$B15,IF(DATOS_[[Check Periodo Ref.]:[Check Periodo Ref.]]="Dentro",IF(DATOS_[[Check Equiparado]:[Check Equiparado]]="Sí",IF(DATOS!AW$5="Sí",(1/DATOS_[[% anualiz]:[% anualiz]]),1)*IF(DATOS!AW$4="Sí",1/DATOS_[[% normaliz]:[% normaliz]],1)*(DATOS_[Conc.Sal.19])))))))),
0)</f>
        <v>0</v>
      </c>
      <c r="AC17" s="196">
        <f t="array" ref="AC17">IFERROR(
(MEDIAN((IF(DATOS_[[Sexo]:[Sexo]]=$B17,IF(DATOS_[[AGRUP. CLAS. PROF.]:[AGRUP. CLAS. PROF.]]=$B15,IF(DATOS_[[Check Periodo Ref.]:[Check Periodo Ref.]]="Dentro",IF(DATOS_[[Check Equiparado]:[Check Equiparado]]="Sí",IF(DATOS!AX$5="Sí",(1/DATOS_[[% anualiz]:[% anualiz]]),1)*IF(DATOS!AX$4="Sí",1/DATOS_[[% normaliz]:[% normaliz]],1)*(DATOS_[Conc.Sal.20])))))))),
0)</f>
        <v>0</v>
      </c>
      <c r="AD17" s="196">
        <f t="array" ref="AD17">IFERROR(
(MEDIAN((IF(DATOS_[[Sexo]:[Sexo]]=$B17,IF(DATOS_[[AGRUP. CLAS. PROF.]:[AGRUP. CLAS. PROF.]]=$B15,IF(DATOS_[[Check Periodo Ref.]:[Check Periodo Ref.]]="Dentro",IF(DATOS_[[Check Equiparado]:[Check Equiparado]]="Sí",IF(DATOS!AY$5="Sí",(1/DATOS_[[% anualiz]:[% anualiz]]),1)*IF(DATOS!AY$4="Sí",1/DATOS_[[% normaliz]:[% normaliz]],1)*(DATOS_[Conc.Sal.21])))))))),
0)</f>
        <v>0</v>
      </c>
      <c r="AE17" s="196">
        <f t="array" ref="AE17">IFERROR(
(MEDIAN((IF(DATOS_[[Sexo]:[Sexo]]=$B17,IF(DATOS_[[AGRUP. CLAS. PROF.]:[AGRUP. CLAS. PROF.]]=$B15,IF(DATOS_[[Check Periodo Ref.]:[Check Periodo Ref.]]="Dentro",IF(DATOS_[[Check Equiparado]:[Check Equiparado]]="Sí",IF(DATOS!AZ$5="Sí",(1/DATOS_[[% anualiz]:[% anualiz]]),1)*IF(DATOS!AZ$4="Sí",1/DATOS_[[% normaliz]:[% normaliz]],1)*(DATOS_[Conc.Sal.22])))))))),
0)</f>
        <v>0</v>
      </c>
      <c r="AF17" s="196">
        <f t="array" ref="AF17">IFERROR(
(MEDIAN((IF(DATOS_[[Sexo]:[Sexo]]=$B17,IF(DATOS_[[AGRUP. CLAS. PROF.]:[AGRUP. CLAS. PROF.]]=$B15,IF(DATOS_[[Check Periodo Ref.]:[Check Periodo Ref.]]="Dentro",IF(DATOS_[[Check Equiparado]:[Check Equiparado]]="Sí",IF(DATOS!BA$5="Sí",(1/DATOS_[[% anualiz]:[% anualiz]]),1)*IF(DATOS!BA$4="Sí",1/DATOS_[[% normaliz]:[% normaliz]],1)*(DATOS_[Conc.Sal.23])))))))),
0)</f>
        <v>0</v>
      </c>
      <c r="AG17" s="196">
        <f t="array" ref="AG17">IFERROR(
(MEDIAN((IF(DATOS_[[Sexo]:[Sexo]]=$B17,IF(DATOS_[[AGRUP. CLAS. PROF.]:[AGRUP. CLAS. PROF.]]=$B15,IF(DATOS_[[Check Periodo Ref.]:[Check Periodo Ref.]]="Dentro",IF(DATOS_[[Check Equiparado]:[Check Equiparado]]="Sí",IF(DATOS!BB$5="Sí",(1/DATOS_[[% anualiz]:[% anualiz]]),1)*IF(DATOS!BB$4="Sí",1/DATOS_[[% normaliz]:[% normaliz]],1)*(DATOS_[Conc.Sal.24])))))))),
0)</f>
        <v>0</v>
      </c>
      <c r="AH17" s="196">
        <f t="array" ref="AH17">IFERROR(
(MEDIAN((IF(DATOS_[[Sexo]:[Sexo]]=$B17,IF(DATOS_[[AGRUP. CLAS. PROF.]:[AGRUP. CLAS. PROF.]]=$B15,IF(DATOS_[[Check Periodo Ref.]:[Check Periodo Ref.]]="Dentro",IF(DATOS_[[Check Equiparado]:[Check Equiparado]]="Sí",IF(DATOS!BC$5="Sí",(1/DATOS_[[% anualiz]:[% anualiz]]),1)*IF(DATOS!BC$4="Sí",1/DATOS_[[% normaliz]:[% normaliz]],1)*(DATOS_[Conc.Sal.25])))))))),
0)</f>
        <v>0</v>
      </c>
      <c r="AI17" s="196">
        <f t="array" ref="AI17">IFERROR(
(MEDIAN((IF(DATOS_[[Sexo]:[Sexo]]=$B17,IF(DATOS_[[AGRUP. CLAS. PROF.]:[AGRUP. CLAS. PROF.]]=$B15,IF(DATOS_[[Check Periodo Ref.]:[Check Periodo Ref.]]="Dentro",IF(DATOS_[[Check Equiparado]:[Check Equiparado]]="Sí",IF(DATOS!BD$5="Sí",(1/DATOS_[[% anualiz]:[% anualiz]]),1)*IF(DATOS!BD$4="Sí",1/DATOS_[[% normaliz]:[% normaliz]],1)*(DATOS_[Conc.Sal.26])))))))),
0)</f>
        <v>0</v>
      </c>
      <c r="AJ17" s="196">
        <f t="array" ref="AJ17">IFERROR(
(MEDIAN((IF(DATOS_[[Sexo]:[Sexo]]=$B17,IF(DATOS_[[AGRUP. CLAS. PROF.]:[AGRUP. CLAS. PROF.]]=$B15,IF(DATOS_[[Check Periodo Ref.]:[Check Periodo Ref.]]="Dentro",IF(DATOS_[[Check Equiparado]:[Check Equiparado]]="Sí",IF(DATOS!BE$5="Sí",(1/DATOS_[[% anualiz]:[% anualiz]]),1)*IF(DATOS!BE$4="Sí",1/DATOS_[[% normaliz]:[% normaliz]],1)*(DATOS_[Conc.Sal.27])))))))),
0)</f>
        <v>0</v>
      </c>
      <c r="AK17" s="196">
        <f t="array" ref="AK17">IFERROR(
(MEDIAN((IF(DATOS_[[Sexo]:[Sexo]]=$B17,IF(DATOS_[[AGRUP. CLAS. PROF.]:[AGRUP. CLAS. PROF.]]=$B15,IF(DATOS_[[Check Periodo Ref.]:[Check Periodo Ref.]]="Dentro",IF(DATOS_[[Check Equiparado]:[Check Equiparado]]="Sí",IF(DATOS!BF$5="Sí",(1/DATOS_[[% anualiz]:[% anualiz]]),1)*IF(DATOS!BF$4="Sí",1/DATOS_[[% normaliz]:[% normaliz]],1)*(DATOS_[Conc.Sal.28])))))))),
0)</f>
        <v>0</v>
      </c>
      <c r="AL17" s="196">
        <f t="array" ref="AL17">IFERROR(
(MEDIAN((IF(DATOS_[[Sexo]:[Sexo]]=$B17,IF(DATOS_[[AGRUP. CLAS. PROF.]:[AGRUP. CLAS. PROF.]]=$B15,IF(DATOS_[[Check Periodo Ref.]:[Check Periodo Ref.]]="Dentro",IF(DATOS_[[Check Equiparado]:[Check Equiparado]]="Sí",IF(DATOS!BG$5="Sí",(1/DATOS_[[% anualiz]:[% anualiz]]),1)*IF(DATOS!BG$4="Sí",1/DATOS_[[% normaliz]:[% normaliz]],1)*(DATOS_[Conc.Sal.29])))))))),
0)</f>
        <v>0</v>
      </c>
      <c r="AM17" s="196">
        <f t="array" ref="AM17">IFERROR(
(MEDIAN((IF(DATOS_[[Sexo]:[Sexo]]=$B17,IF(DATOS_[[AGRUP. CLAS. PROF.]:[AGRUP. CLAS. PROF.]]=$B15,IF(DATOS_[[Check Periodo Ref.]:[Check Periodo Ref.]]="Dentro",IF(DATOS_[[Check Equiparado]:[Check Equiparado]]="Sí",IF(DATOS!BH$5="Sí",(1/DATOS_[[% anualiz]:[% anualiz]]),1)*IF(DATOS!BH$4="Sí",1/DATOS_[[% normaliz]:[% normaliz]],1)*(DATOS_[Conc.Sal.30])))))))),
0)</f>
        <v>0</v>
      </c>
      <c r="AN17" s="195">
        <f t="array" ref="AN17">IFERROR(
MEDIAN(IF(DATOS_[Sexo]=$B17,IF(DATOS_[[AGRUP. CLAS. PROF.]:[AGRUP. CLAS. PROF.]]=$B15,IF(DATOS_[Check Equiparado]="Sí",IF(DATOS_[Check Periodo Ref.]="Dentro",DATOS_[Tot COMPL.SAL Eq],FALSE))))),
0)</f>
        <v>0</v>
      </c>
      <c r="AO17" s="172">
        <f t="array" ref="AO17">IFERROR(
MEDIAN(IF(DATOS_[Sexo]=$B17,IF(DATOS_[[AGRUP. CLAS. PROF.]:[AGRUP. CLAS. PROF.]]=$B15,IF(DATOS_[Check Equiparado]="Sí",IF(DATOS_[Check Periodo Ref.]="Dentro",DATOS_[TOTAL SALARIO Eq],FALSE))))),
0)</f>
        <v>0</v>
      </c>
      <c r="AP17" s="173">
        <f t="array" ref="AP17">IFERROR(
(MEDIAN((IF(DATOS_[[Sexo]:[Sexo]]=$B17,IF(DATOS_[[AGRUP. CLAS. PROF.]:[AGRUP. CLAS. PROF.]]=$B15,IF(DATOS_[[Check Periodo Ref.]:[Check Periodo Ref.]]="Dentro",IF(DATOS_[[Check Equiparado]:[Check Equiparado]]="Sí",IF(DATOS!BW$5="Sí",(1/DATOS_[[% anualiz]:[% anualiz]]),1)*IF(DATOS!BW$4="Sí",1/DATOS_[[% normaliz]:[% normaliz]],1)*(DATOS_[C.Extra.01])))))))),
0)</f>
        <v>0</v>
      </c>
      <c r="AQ17" s="173">
        <f t="array" ref="AQ17">IFERROR(
(MEDIAN((IF(DATOS_[[Sexo]:[Sexo]]=$B17,IF(DATOS_[[AGRUP. CLAS. PROF.]:[AGRUP. CLAS. PROF.]]=$B15,IF(DATOS_[[Check Periodo Ref.]:[Check Periodo Ref.]]="Dentro",IF(DATOS_[[Check Equiparado]:[Check Equiparado]]="Sí",IF(DATOS!CB$5="Sí",(1/DATOS_[[% anualiz]:[% anualiz]]),1)*IF(DATOS!CB$4="Sí",1/DATOS_[[% normaliz]:[% normaliz]],1)*(DATOS_[C.Extra.06])))))))),
0)</f>
        <v>0</v>
      </c>
      <c r="AR17" s="173">
        <f t="array" ref="AR17">IFERROR(
(MEDIAN((IF(DATOS_[[Sexo]:[Sexo]]=$B17,IF(DATOS_[[AGRUP. CLAS. PROF.]:[AGRUP. CLAS. PROF.]]=$B15,IF(DATOS_[[Check Periodo Ref.]:[Check Periodo Ref.]]="Dentro",IF(DATOS_[[Check Equiparado]:[Check Equiparado]]="Sí",IF(DATOS!CC$5="Sí",(1/DATOS_[[% anualiz]:[% anualiz]]),1)*IF(DATOS!CC$4="Sí",1/DATOS_[[% normaliz]:[% normaliz]],1)*(DATOS_[C.Extra.07])))))))),
0)</f>
        <v>0</v>
      </c>
      <c r="AS17" s="173">
        <f t="array" ref="AS17">IFERROR(
(MEDIAN((IF(DATOS_[[Sexo]:[Sexo]]=$B17,IF(DATOS_[[AGRUP. CLAS. PROF.]:[AGRUP. CLAS. PROF.]]=$B15,IF(DATOS_[[Check Periodo Ref.]:[Check Periodo Ref.]]="Dentro",IF(DATOS_[[Check Equiparado]:[Check Equiparado]]="Sí",IF(DATOS!CD$5="Sí",(1/DATOS_[[% anualiz]:[% anualiz]]),1)*IF(DATOS!CD$4="Sí",1/DATOS_[[% normaliz]:[% normaliz]],1)*(DATOS_[C.Extra.08])))))))),
0)</f>
        <v>0</v>
      </c>
      <c r="AT17" s="173">
        <f t="array" ref="AT17">IFERROR(
(MEDIAN((IF(DATOS_[[Sexo]:[Sexo]]=$B17,IF(DATOS_[[AGRUP. CLAS. PROF.]:[AGRUP. CLAS. PROF.]]=$B15,IF(DATOS_[[Check Periodo Ref.]:[Check Periodo Ref.]]="Dentro",IF(DATOS_[[Check Equiparado]:[Check Equiparado]]="Sí",IF(DATOS!CG$5="Sí",(1/DATOS_[[% anualiz]:[% anualiz]]),1)*IF(DATOS!CG$4="Sí",1/DATOS_[[% normaliz]:[% normaliz]],1)*(DATOS_[C.Extra.11])))))))),
0)</f>
        <v>0</v>
      </c>
      <c r="AU17" s="197">
        <f t="array" ref="AU17">IFERROR(
MEDIAN(IF(DATOS_[Sexo]=$B17,IF(DATOS_[[AGRUP. CLAS. PROF.]:[AGRUP. CLAS. PROF.]]=$B15,IF(DATOS_[Check Equiparado]="Sí",IF(DATOS_[Check Periodo Ref.]="Dentro",DATOS_[Tot Extrasalarial Eq],FALSE))))),
0)</f>
        <v>0</v>
      </c>
      <c r="AV17" s="175">
        <f t="array" ref="AV17">IFERROR(
MEDIAN(IF(DATOS_[Sexo]=$B17,IF(DATOS_[[AGRUP. CLAS. PROF.]:[AGRUP. CLAS. PROF.]]=$B15,IF(DATOS_[Check Equiparado]="Sí",IF(DATOS_[Check Periodo Ref.]="Dentro",DATOS_[TOTAL Retrib Eq],FALSE))))),
0)</f>
        <v>0</v>
      </c>
    </row>
    <row r="18" spans="1:48" ht="15.6" thickBot="1" x14ac:dyDescent="0.3">
      <c r="A18" s="133" t="str">
        <f t="shared" ref="A18" si="7">+A19</f>
        <v/>
      </c>
      <c r="B18" s="199" t="s">
        <v>182</v>
      </c>
      <c r="C18" s="200"/>
      <c r="D18" s="201"/>
      <c r="E18" s="201"/>
      <c r="F18" s="201"/>
      <c r="G18" s="201"/>
      <c r="H18" s="201"/>
      <c r="I18" s="189">
        <f t="shared" ref="I18:AV18" si="8">IFERROR((I19-I20)/I19,"")</f>
        <v>0</v>
      </c>
      <c r="J18" s="190">
        <f t="shared" si="8"/>
        <v>-0.64688883834802724</v>
      </c>
      <c r="K18" s="191">
        <f t="shared" si="8"/>
        <v>0</v>
      </c>
      <c r="L18" s="191">
        <f t="shared" si="8"/>
        <v>0</v>
      </c>
      <c r="M18" s="191">
        <f t="shared" si="8"/>
        <v>-0.63767872161480232</v>
      </c>
      <c r="N18" s="192">
        <f t="shared" si="8"/>
        <v>0</v>
      </c>
      <c r="O18" s="193">
        <f t="shared" si="8"/>
        <v>0</v>
      </c>
      <c r="P18" s="193">
        <f t="shared" si="8"/>
        <v>-1.5014358294676389</v>
      </c>
      <c r="Q18" s="193">
        <f t="shared" si="8"/>
        <v>1</v>
      </c>
      <c r="R18" s="193" t="str">
        <f t="shared" si="8"/>
        <v/>
      </c>
      <c r="S18" s="193" t="str">
        <f t="shared" si="8"/>
        <v/>
      </c>
      <c r="T18" s="193" t="str">
        <f t="shared" si="8"/>
        <v/>
      </c>
      <c r="U18" s="193">
        <f t="shared" si="8"/>
        <v>0</v>
      </c>
      <c r="V18" s="193" t="str">
        <f t="shared" si="8"/>
        <v/>
      </c>
      <c r="W18" s="193" t="str">
        <f t="shared" si="8"/>
        <v/>
      </c>
      <c r="X18" s="193" t="str">
        <f t="shared" si="8"/>
        <v/>
      </c>
      <c r="Y18" s="193" t="str">
        <f t="shared" si="8"/>
        <v/>
      </c>
      <c r="Z18" s="193" t="str">
        <f t="shared" si="8"/>
        <v/>
      </c>
      <c r="AA18" s="193" t="str">
        <f t="shared" si="8"/>
        <v/>
      </c>
      <c r="AB18" s="193" t="str">
        <f t="shared" si="8"/>
        <v/>
      </c>
      <c r="AC18" s="193" t="str">
        <f t="shared" si="8"/>
        <v/>
      </c>
      <c r="AD18" s="193" t="str">
        <f t="shared" si="8"/>
        <v/>
      </c>
      <c r="AE18" s="193" t="str">
        <f t="shared" si="8"/>
        <v/>
      </c>
      <c r="AF18" s="193" t="str">
        <f t="shared" si="8"/>
        <v/>
      </c>
      <c r="AG18" s="193" t="str">
        <f t="shared" si="8"/>
        <v/>
      </c>
      <c r="AH18" s="193" t="str">
        <f t="shared" si="8"/>
        <v/>
      </c>
      <c r="AI18" s="193" t="str">
        <f t="shared" si="8"/>
        <v/>
      </c>
      <c r="AJ18" s="193" t="str">
        <f t="shared" si="8"/>
        <v/>
      </c>
      <c r="AK18" s="193" t="str">
        <f t="shared" si="8"/>
        <v/>
      </c>
      <c r="AL18" s="193" t="str">
        <f t="shared" si="8"/>
        <v/>
      </c>
      <c r="AM18" s="193" t="str">
        <f t="shared" si="8"/>
        <v/>
      </c>
      <c r="AN18" s="189">
        <f t="shared" si="8"/>
        <v>-0.39280385159973813</v>
      </c>
      <c r="AO18" s="162">
        <f t="shared" si="8"/>
        <v>-0.21285717320472988</v>
      </c>
      <c r="AP18" s="163" t="str">
        <f t="shared" si="8"/>
        <v/>
      </c>
      <c r="AQ18" s="163" t="str">
        <f t="shared" si="8"/>
        <v/>
      </c>
      <c r="AR18" s="163" t="str">
        <f t="shared" si="8"/>
        <v/>
      </c>
      <c r="AS18" s="163" t="str">
        <f t="shared" si="8"/>
        <v/>
      </c>
      <c r="AT18" s="163" t="str">
        <f t="shared" si="8"/>
        <v/>
      </c>
      <c r="AU18" s="194" t="str">
        <f t="shared" si="8"/>
        <v/>
      </c>
      <c r="AV18" s="165">
        <f t="shared" si="8"/>
        <v>-0.21285717320472988</v>
      </c>
    </row>
    <row r="19" spans="1:48" x14ac:dyDescent="0.25">
      <c r="A19" s="133" t="str">
        <f t="shared" ref="A19" si="9">+IF(C19+C20=0,"[ocultar]","")</f>
        <v/>
      </c>
      <c r="B19" s="202" t="s">
        <v>394</v>
      </c>
      <c r="C19" s="203">
        <f t="array" ref="C19">SUM(IF($B19=DATOS_[Sexo],
IF($B18=DATOS_[AGRUP. CLAS. PROF.],
IF("Dentro"=DATOS_[Check Periodo Ref.],
1/(COUNTIFS(DATOS_[Sexo],$B19,DATOS_[AGRUP. CLAS. PROF.],$B18,DATOS_[Check Periodo Ref.],"Dentro",DATOS_[id/cod],DATOS_[id/cod]))))))</f>
        <v>3</v>
      </c>
      <c r="D19" s="204">
        <f>COUNTIFS(DATOS_[AGRUP. CLAS. PROF.],$B18,DATOS_[Sexo],$B19,DATOS_[Check Periodo Ref.],"Dentro")</f>
        <v>3</v>
      </c>
      <c r="E19" s="204">
        <f>COUNTIFS(DATOS_[AGRUP. CLAS. PROF.],$B18,DATOS_[Sexo],$B19,DATOS_[Check Periodo Ref.],"Dentro",DATOS_[Check Nº SC Norm],"Sí")</f>
        <v>0</v>
      </c>
      <c r="F19" s="204">
        <f>COUNTIFS(DATOS_[AGRUP. CLAS. PROF.],$B18,DATOS_[Sexo],$B19,DATOS_[Check Periodo Ref.],"Dentro",DATOS_[Check Nº SC Anualiz],"Sí")</f>
        <v>0</v>
      </c>
      <c r="G19" s="204">
        <f>COUNTIFS(DATOS_[AGRUP. CLAS. PROF.],$B18,DATOS_[Sexo],$B19,DATOS_[Check Periodo Ref.],"Dentro",DATOS_[Check Nº SC Norm y Anualiz],"Sí")</f>
        <v>0</v>
      </c>
      <c r="H19" s="204">
        <f>COUNTIFS(DATOS_[AGRUP. CLAS. PROF.],$B18,DATOS_[Sexo],$B19,DATOS_[Check Periodo Ref.],"Dentro",DATOS_[Check Equiparación],"Sí")</f>
        <v>0</v>
      </c>
      <c r="I19" s="195">
        <f t="array" ref="I19">IFERROR(
MEDIAN(IF(DATOS_[Sexo]=$B19,IF(DATOS_[[AGRUP. CLAS. PROF.]:[AGRUP. CLAS. PROF.]]=$B18,IF(DATOS_[Check Equiparado]="Sí",IF(DATOS_[Check Periodo Ref.]="Dentro",DATOS_[SALARIO BASE Eq],FALSE))))),
0)</f>
        <v>13448.76</v>
      </c>
      <c r="J19" s="196">
        <f t="array" ref="J19">IFERROR(
(MEDIAN((IF(DATOS_[[Sexo]:[Sexo]]=$B19,IF(DATOS_[[AGRUP. CLAS. PROF.]:[AGRUP. CLAS. PROF.]]=$B18,IF(DATOS_[[Check Periodo Ref.]:[Check Periodo Ref.]]="Dentro",IF(DATOS_[[Check Equiparado]:[Check Equiparado]]="Sí",IF(DATOS!AE$5="Sí",(1/DATOS_[[% anualiz]:[% anualiz]]),1)*IF(DATOS!AE$4="Sí",1/DATOS_[[% normaliz]:[% normaliz]],1)*(DATOS_[Conc.Sal.01])))))))),
0)</f>
        <v>2989.88</v>
      </c>
      <c r="K19" s="196">
        <f t="array" ref="K19">IFERROR(
(MEDIAN((IF(DATOS_[[Sexo]:[Sexo]]=$B19,IF(DATOS_[[AGRUP. CLAS. PROF.]:[AGRUP. CLAS. PROF.]]=$B18,IF(DATOS_[[Check Periodo Ref.]:[Check Periodo Ref.]]="Dentro",IF(DATOS_[[Check Equiparado]:[Check Equiparado]]="Sí",IF(DATOS!AF$5="Sí",(1/DATOS_[[% anualiz]:[% anualiz]]),1)*IF(DATOS!AF$4="Sí",1/DATOS_[[% normaliz]:[% normaliz]],1)*(DATOS_[Conc.Sal.02])))))))),
0)</f>
        <v>37.44</v>
      </c>
      <c r="L19" s="196">
        <f t="array" ref="L19">IFERROR(
(MEDIAN((IF(DATOS_[[Sexo]:[Sexo]]=$B19,IF(DATOS_[[AGRUP. CLAS. PROF.]:[AGRUP. CLAS. PROF.]]=$B18,IF(DATOS_[[Check Periodo Ref.]:[Check Periodo Ref.]]="Dentro",IF(DATOS_[[Check Equiparado]:[Check Equiparado]]="Sí",IF(DATOS!AG$5="Sí",(1/DATOS_[[% anualiz]:[% anualiz]]),1)*IF(DATOS!AG$4="Sí",1/DATOS_[[% normaliz]:[% normaliz]],1)*(DATOS_[Conc.Sal.03])))))))),
0)</f>
        <v>902.4</v>
      </c>
      <c r="M19" s="196">
        <f t="array" ref="M19">IFERROR(
(MEDIAN((IF(DATOS_[[Sexo]:[Sexo]]=$B19,IF(DATOS_[[AGRUP. CLAS. PROF.]:[AGRUP. CLAS. PROF.]]=$B18,IF(DATOS_[[Check Periodo Ref.]:[Check Periodo Ref.]]="Dentro",IF(DATOS_[[Check Equiparado]:[Check Equiparado]]="Sí",IF(DATOS!AH$5="Sí",(1/DATOS_[[% anualiz]:[% anualiz]]),1)*IF(DATOS!AH$4="Sí",1/DATOS_[[% normaliz]:[% normaliz]],1)*(DATOS_[Conc.Sal.04])))))))),
0)</f>
        <v>713.4</v>
      </c>
      <c r="N19" s="196">
        <f t="array" ref="N19">IFERROR(
(MEDIAN((IF(DATOS_[[Sexo]:[Sexo]]=$B19,IF(DATOS_[[AGRUP. CLAS. PROF.]:[AGRUP. CLAS. PROF.]]=$B18,IF(DATOS_[[Check Periodo Ref.]:[Check Periodo Ref.]]="Dentro",IF(DATOS_[[Check Equiparado]:[Check Equiparado]]="Sí",IF(DATOS!AI$5="Sí",(1/DATOS_[[% anualiz]:[% anualiz]]),1)*IF(DATOS!AI$4="Sí",1/DATOS_[[% normaliz]:[% normaliz]],1)*(DATOS_[Conc.Sal.05])))))))),
0)</f>
        <v>426.96</v>
      </c>
      <c r="O19" s="196">
        <f t="array" ref="O19">IFERROR(
(MEDIAN((IF(DATOS_[[Sexo]:[Sexo]]=$B19,IF(DATOS_[[AGRUP. CLAS. PROF.]:[AGRUP. CLAS. PROF.]]=$B18,IF(DATOS_[[Check Periodo Ref.]:[Check Periodo Ref.]]="Dentro",IF(DATOS_[[Check Equiparado]:[Check Equiparado]]="Sí",IF(DATOS!AJ$5="Sí",(1/DATOS_[[% anualiz]:[% anualiz]]),1)*IF(DATOS!AJ$4="Sí",1/DATOS_[[% normaliz]:[% normaliz]],1)*(DATOS_[Conc.Sal.06])))))))),
0)</f>
        <v>843.12</v>
      </c>
      <c r="P19" s="196">
        <f t="array" ref="P19">IFERROR(
(MEDIAN((IF(DATOS_[[Sexo]:[Sexo]]=$B19,IF(DATOS_[[AGRUP. CLAS. PROF.]:[AGRUP. CLAS. PROF.]]=$B18,IF(DATOS_[[Check Periodo Ref.]:[Check Periodo Ref.]]="Dentro",IF(DATOS_[[Check Equiparado]:[Check Equiparado]]="Sí",IF(DATOS!AK$5="Sí",(1/DATOS_[[% anualiz]:[% anualiz]]),1)*IF(DATOS!AK$4="Sí",1/DATOS_[[% normaliz]:[% normaliz]],1)*(DATOS_[Conc.Sal.07])))))))),
0)</f>
        <v>543.24</v>
      </c>
      <c r="Q19" s="196">
        <f t="array" ref="Q19">IFERROR(
(MEDIAN((IF(DATOS_[[Sexo]:[Sexo]]=$B19,IF(DATOS_[[AGRUP. CLAS. PROF.]:[AGRUP. CLAS. PROF.]]=$B18,IF(DATOS_[[Check Periodo Ref.]:[Check Periodo Ref.]]="Dentro",IF(DATOS_[[Check Equiparado]:[Check Equiparado]]="Sí",IF(DATOS!AL$5="Sí",(1/DATOS_[[% anualiz]:[% anualiz]]),1)*IF(DATOS!AL$4="Sí",1/DATOS_[[% normaliz]:[% normaliz]],1)*(DATOS_[Conc.Sal.08])))))))),
0)</f>
        <v>843.12</v>
      </c>
      <c r="R19" s="196">
        <f t="array" ref="R19">IFERROR(
(MEDIAN((IF(DATOS_[[Sexo]:[Sexo]]=$B19,IF(DATOS_[[AGRUP. CLAS. PROF.]:[AGRUP. CLAS. PROF.]]=$B18,IF(DATOS_[[Check Periodo Ref.]:[Check Periodo Ref.]]="Dentro",IF(DATOS_[[Check Equiparado]:[Check Equiparado]]="Sí",IF(DATOS!AM$5="Sí",(1/DATOS_[[% anualiz]:[% anualiz]]),1)*IF(DATOS!AM$4="Sí",1/DATOS_[[% normaliz]:[% normaliz]],1)*(DATOS_[Conc.Sal.09])))))))),
0)</f>
        <v>0</v>
      </c>
      <c r="S19" s="196">
        <f t="array" ref="S19">IFERROR(
(MEDIAN((IF(DATOS_[[Sexo]:[Sexo]]=$B19,IF(DATOS_[[AGRUP. CLAS. PROF.]:[AGRUP. CLAS. PROF.]]=$B18,IF(DATOS_[[Check Periodo Ref.]:[Check Periodo Ref.]]="Dentro",IF(DATOS_[[Check Equiparado]:[Check Equiparado]]="Sí",IF(DATOS!AN$5="Sí",(1/DATOS_[[% anualiz]:[% anualiz]]),1)*IF(DATOS!AN$4="Sí",1/DATOS_[[% normaliz]:[% normaliz]],1)*(DATOS_[Conc.Sal.10])))))))),
0)</f>
        <v>0</v>
      </c>
      <c r="T19" s="196">
        <f t="array" ref="T19">IFERROR(
(MEDIAN((IF(DATOS_[[Sexo]:[Sexo]]=$B19,IF(DATOS_[[AGRUP. CLAS. PROF.]:[AGRUP. CLAS. PROF.]]=$B18,IF(DATOS_[[Check Periodo Ref.]:[Check Periodo Ref.]]="Dentro",IF(DATOS_[[Check Equiparado]:[Check Equiparado]]="Sí",IF(DATOS!AO$5="Sí",(1/DATOS_[[% anualiz]:[% anualiz]]),1)*IF(DATOS!AO$4="Sí",1/DATOS_[[% normaliz]:[% normaliz]],1)*(DATOS_[Conc.Sal.11])))))))),
0)</f>
        <v>0</v>
      </c>
      <c r="U19" s="196">
        <f t="array" ref="U19">IFERROR(
(MEDIAN((IF(DATOS_[[Sexo]:[Sexo]]=$B19,IF(DATOS_[[AGRUP. CLAS. PROF.]:[AGRUP. CLAS. PROF.]]=$B18,IF(DATOS_[[Check Periodo Ref.]:[Check Periodo Ref.]]="Dentro",IF(DATOS_[[Check Equiparado]:[Check Equiparado]]="Sí",IF(DATOS!AP$5="Sí",(1/DATOS_[[% anualiz]:[% anualiz]]),1)*IF(DATOS!AP$4="Sí",1/DATOS_[[% normaliz]:[% normaliz]],1)*(DATOS_[Conc.Sal.12])))))))),
0)</f>
        <v>65</v>
      </c>
      <c r="V19" s="196">
        <f t="array" ref="V19">IFERROR(
(MEDIAN((IF(DATOS_[[Sexo]:[Sexo]]=$B19,IF(DATOS_[[AGRUP. CLAS. PROF.]:[AGRUP. CLAS. PROF.]]=$B18,IF(DATOS_[[Check Periodo Ref.]:[Check Periodo Ref.]]="Dentro",IF(DATOS_[[Check Equiparado]:[Check Equiparado]]="Sí",IF(DATOS!AQ$5="Sí",(1/DATOS_[[% anualiz]:[% anualiz]]),1)*IF(DATOS!AQ$4="Sí",1/DATOS_[[% normaliz]:[% normaliz]],1)*(DATOS_[Conc.Sal.13])))))))),
0)</f>
        <v>0</v>
      </c>
      <c r="W19" s="196">
        <f t="array" ref="W19">IFERROR(
(MEDIAN((IF(DATOS_[[Sexo]:[Sexo]]=$B19,IF(DATOS_[[AGRUP. CLAS. PROF.]:[AGRUP. CLAS. PROF.]]=$B18,IF(DATOS_[[Check Periodo Ref.]:[Check Periodo Ref.]]="Dentro",IF(DATOS_[[Check Equiparado]:[Check Equiparado]]="Sí",IF(DATOS!AR$5="Sí",(1/DATOS_[[% anualiz]:[% anualiz]]),1)*IF(DATOS!AR$4="Sí",1/DATOS_[[% normaliz]:[% normaliz]],1)*(DATOS_[Conc.Sal.14])))))))),
0)</f>
        <v>0</v>
      </c>
      <c r="X19" s="196">
        <f t="array" ref="X19">IFERROR(
(MEDIAN((IF(DATOS_[[Sexo]:[Sexo]]=$B19,IF(DATOS_[[AGRUP. CLAS. PROF.]:[AGRUP. CLAS. PROF.]]=$B18,IF(DATOS_[[Check Periodo Ref.]:[Check Periodo Ref.]]="Dentro",IF(DATOS_[[Check Equiparado]:[Check Equiparado]]="Sí",IF(DATOS!AS$5="Sí",(1/DATOS_[[% anualiz]:[% anualiz]]),1)*IF(DATOS!AS$4="Sí",1/DATOS_[[% normaliz]:[% normaliz]],1)*(DATOS_[Conc.Sal.15])))))))),
0)</f>
        <v>0</v>
      </c>
      <c r="Y19" s="196">
        <f t="array" ref="Y19">IFERROR(
(MEDIAN((IF(DATOS_[[Sexo]:[Sexo]]=$B19,IF(DATOS_[[AGRUP. CLAS. PROF.]:[AGRUP. CLAS. PROF.]]=$B18,IF(DATOS_[[Check Periodo Ref.]:[Check Periodo Ref.]]="Dentro",IF(DATOS_[[Check Equiparado]:[Check Equiparado]]="Sí",IF(DATOS!AT$5="Sí",(1/DATOS_[[% anualiz]:[% anualiz]]),1)*IF(DATOS!AT$4="Sí",1/DATOS_[[% normaliz]:[% normaliz]],1)*(DATOS_[Conc.Sal.16])))))))),
0)</f>
        <v>0</v>
      </c>
      <c r="Z19" s="196">
        <f t="array" ref="Z19">IFERROR(
(MEDIAN((IF(DATOS_[[Sexo]:[Sexo]]=$B19,IF(DATOS_[[AGRUP. CLAS. PROF.]:[AGRUP. CLAS. PROF.]]=$B18,IF(DATOS_[[Check Periodo Ref.]:[Check Periodo Ref.]]="Dentro",IF(DATOS_[[Check Equiparado]:[Check Equiparado]]="Sí",IF(DATOS!AU$5="Sí",(1/DATOS_[[% anualiz]:[% anualiz]]),1)*IF(DATOS!AU$4="Sí",1/DATOS_[[% normaliz]:[% normaliz]],1)*(DATOS_[Conc.Sal.17])))))))),
0)</f>
        <v>0</v>
      </c>
      <c r="AA19" s="196">
        <f t="array" ref="AA19">IFERROR(
(MEDIAN((IF(DATOS_[[Sexo]:[Sexo]]=$B19,IF(DATOS_[[AGRUP. CLAS. PROF.]:[AGRUP. CLAS. PROF.]]=$B18,IF(DATOS_[[Check Periodo Ref.]:[Check Periodo Ref.]]="Dentro",IF(DATOS_[[Check Equiparado]:[Check Equiparado]]="Sí",IF(DATOS!AV$5="Sí",(1/DATOS_[[% anualiz]:[% anualiz]]),1)*IF(DATOS!AV$4="Sí",1/DATOS_[[% normaliz]:[% normaliz]],1)*(DATOS_[Conc.Sal.18])))))))),
0)</f>
        <v>0</v>
      </c>
      <c r="AB19" s="196">
        <f t="array" ref="AB19">IFERROR(
(MEDIAN((IF(DATOS_[[Sexo]:[Sexo]]=$B19,IF(DATOS_[[AGRUP. CLAS. PROF.]:[AGRUP. CLAS. PROF.]]=$B18,IF(DATOS_[[Check Periodo Ref.]:[Check Periodo Ref.]]="Dentro",IF(DATOS_[[Check Equiparado]:[Check Equiparado]]="Sí",IF(DATOS!AW$5="Sí",(1/DATOS_[[% anualiz]:[% anualiz]]),1)*IF(DATOS!AW$4="Sí",1/DATOS_[[% normaliz]:[% normaliz]],1)*(DATOS_[Conc.Sal.19])))))))),
0)</f>
        <v>0</v>
      </c>
      <c r="AC19" s="196">
        <f t="array" ref="AC19">IFERROR(
(MEDIAN((IF(DATOS_[[Sexo]:[Sexo]]=$B19,IF(DATOS_[[AGRUP. CLAS. PROF.]:[AGRUP. CLAS. PROF.]]=$B18,IF(DATOS_[[Check Periodo Ref.]:[Check Periodo Ref.]]="Dentro",IF(DATOS_[[Check Equiparado]:[Check Equiparado]]="Sí",IF(DATOS!AX$5="Sí",(1/DATOS_[[% anualiz]:[% anualiz]]),1)*IF(DATOS!AX$4="Sí",1/DATOS_[[% normaliz]:[% normaliz]],1)*(DATOS_[Conc.Sal.20])))))))),
0)</f>
        <v>0</v>
      </c>
      <c r="AD19" s="196">
        <f t="array" ref="AD19">IFERROR(
(MEDIAN((IF(DATOS_[[Sexo]:[Sexo]]=$B19,IF(DATOS_[[AGRUP. CLAS. PROF.]:[AGRUP. CLAS. PROF.]]=$B18,IF(DATOS_[[Check Periodo Ref.]:[Check Periodo Ref.]]="Dentro",IF(DATOS_[[Check Equiparado]:[Check Equiparado]]="Sí",IF(DATOS!AY$5="Sí",(1/DATOS_[[% anualiz]:[% anualiz]]),1)*IF(DATOS!AY$4="Sí",1/DATOS_[[% normaliz]:[% normaliz]],1)*(DATOS_[Conc.Sal.21])))))))),
0)</f>
        <v>0</v>
      </c>
      <c r="AE19" s="196">
        <f t="array" ref="AE19">IFERROR(
(MEDIAN((IF(DATOS_[[Sexo]:[Sexo]]=$B19,IF(DATOS_[[AGRUP. CLAS. PROF.]:[AGRUP. CLAS. PROF.]]=$B18,IF(DATOS_[[Check Periodo Ref.]:[Check Periodo Ref.]]="Dentro",IF(DATOS_[[Check Equiparado]:[Check Equiparado]]="Sí",IF(DATOS!AZ$5="Sí",(1/DATOS_[[% anualiz]:[% anualiz]]),1)*IF(DATOS!AZ$4="Sí",1/DATOS_[[% normaliz]:[% normaliz]],1)*(DATOS_[Conc.Sal.22])))))))),
0)</f>
        <v>0</v>
      </c>
      <c r="AF19" s="196">
        <f t="array" ref="AF19">IFERROR(
(MEDIAN((IF(DATOS_[[Sexo]:[Sexo]]=$B19,IF(DATOS_[[AGRUP. CLAS. PROF.]:[AGRUP. CLAS. PROF.]]=$B18,IF(DATOS_[[Check Periodo Ref.]:[Check Periodo Ref.]]="Dentro",IF(DATOS_[[Check Equiparado]:[Check Equiparado]]="Sí",IF(DATOS!BA$5="Sí",(1/DATOS_[[% anualiz]:[% anualiz]]),1)*IF(DATOS!BA$4="Sí",1/DATOS_[[% normaliz]:[% normaliz]],1)*(DATOS_[Conc.Sal.23])))))))),
0)</f>
        <v>0</v>
      </c>
      <c r="AG19" s="196">
        <f t="array" ref="AG19">IFERROR(
(MEDIAN((IF(DATOS_[[Sexo]:[Sexo]]=$B19,IF(DATOS_[[AGRUP. CLAS. PROF.]:[AGRUP. CLAS. PROF.]]=$B18,IF(DATOS_[[Check Periodo Ref.]:[Check Periodo Ref.]]="Dentro",IF(DATOS_[[Check Equiparado]:[Check Equiparado]]="Sí",IF(DATOS!BB$5="Sí",(1/DATOS_[[% anualiz]:[% anualiz]]),1)*IF(DATOS!BB$4="Sí",1/DATOS_[[% normaliz]:[% normaliz]],1)*(DATOS_[Conc.Sal.24])))))))),
0)</f>
        <v>0</v>
      </c>
      <c r="AH19" s="196">
        <f t="array" ref="AH19">IFERROR(
(MEDIAN((IF(DATOS_[[Sexo]:[Sexo]]=$B19,IF(DATOS_[[AGRUP. CLAS. PROF.]:[AGRUP. CLAS. PROF.]]=$B18,IF(DATOS_[[Check Periodo Ref.]:[Check Periodo Ref.]]="Dentro",IF(DATOS_[[Check Equiparado]:[Check Equiparado]]="Sí",IF(DATOS!BC$5="Sí",(1/DATOS_[[% anualiz]:[% anualiz]]),1)*IF(DATOS!BC$4="Sí",1/DATOS_[[% normaliz]:[% normaliz]],1)*(DATOS_[Conc.Sal.25])))))))),
0)</f>
        <v>0</v>
      </c>
      <c r="AI19" s="196">
        <f t="array" ref="AI19">IFERROR(
(MEDIAN((IF(DATOS_[[Sexo]:[Sexo]]=$B19,IF(DATOS_[[AGRUP. CLAS. PROF.]:[AGRUP. CLAS. PROF.]]=$B18,IF(DATOS_[[Check Periodo Ref.]:[Check Periodo Ref.]]="Dentro",IF(DATOS_[[Check Equiparado]:[Check Equiparado]]="Sí",IF(DATOS!BD$5="Sí",(1/DATOS_[[% anualiz]:[% anualiz]]),1)*IF(DATOS!BD$4="Sí",1/DATOS_[[% normaliz]:[% normaliz]],1)*(DATOS_[Conc.Sal.26])))))))),
0)</f>
        <v>0</v>
      </c>
      <c r="AJ19" s="196">
        <f t="array" ref="AJ19">IFERROR(
(MEDIAN((IF(DATOS_[[Sexo]:[Sexo]]=$B19,IF(DATOS_[[AGRUP. CLAS. PROF.]:[AGRUP. CLAS. PROF.]]=$B18,IF(DATOS_[[Check Periodo Ref.]:[Check Periodo Ref.]]="Dentro",IF(DATOS_[[Check Equiparado]:[Check Equiparado]]="Sí",IF(DATOS!BE$5="Sí",(1/DATOS_[[% anualiz]:[% anualiz]]),1)*IF(DATOS!BE$4="Sí",1/DATOS_[[% normaliz]:[% normaliz]],1)*(DATOS_[Conc.Sal.27])))))))),
0)</f>
        <v>0</v>
      </c>
      <c r="AK19" s="196">
        <f t="array" ref="AK19">IFERROR(
(MEDIAN((IF(DATOS_[[Sexo]:[Sexo]]=$B19,IF(DATOS_[[AGRUP. CLAS. PROF.]:[AGRUP. CLAS. PROF.]]=$B18,IF(DATOS_[[Check Periodo Ref.]:[Check Periodo Ref.]]="Dentro",IF(DATOS_[[Check Equiparado]:[Check Equiparado]]="Sí",IF(DATOS!BF$5="Sí",(1/DATOS_[[% anualiz]:[% anualiz]]),1)*IF(DATOS!BF$4="Sí",1/DATOS_[[% normaliz]:[% normaliz]],1)*(DATOS_[Conc.Sal.28])))))))),
0)</f>
        <v>0</v>
      </c>
      <c r="AL19" s="196">
        <f t="array" ref="AL19">IFERROR(
(MEDIAN((IF(DATOS_[[Sexo]:[Sexo]]=$B19,IF(DATOS_[[AGRUP. CLAS. PROF.]:[AGRUP. CLAS. PROF.]]=$B18,IF(DATOS_[[Check Periodo Ref.]:[Check Periodo Ref.]]="Dentro",IF(DATOS_[[Check Equiparado]:[Check Equiparado]]="Sí",IF(DATOS!BG$5="Sí",(1/DATOS_[[% anualiz]:[% anualiz]]),1)*IF(DATOS!BG$4="Sí",1/DATOS_[[% normaliz]:[% normaliz]],1)*(DATOS_[Conc.Sal.29])))))))),
0)</f>
        <v>0</v>
      </c>
      <c r="AM19" s="196">
        <f t="array" ref="AM19">IFERROR(
(MEDIAN((IF(DATOS_[[Sexo]:[Sexo]]=$B19,IF(DATOS_[[AGRUP. CLAS. PROF.]:[AGRUP. CLAS. PROF.]]=$B18,IF(DATOS_[[Check Periodo Ref.]:[Check Periodo Ref.]]="Dentro",IF(DATOS_[[Check Equiparado]:[Check Equiparado]]="Sí",IF(DATOS!BH$5="Sí",(1/DATOS_[[% anualiz]:[% anualiz]]),1)*IF(DATOS!BH$4="Sí",1/DATOS_[[% normaliz]:[% normaliz]],1)*(DATOS_[Conc.Sal.30])))))))),
0)</f>
        <v>0</v>
      </c>
      <c r="AN19" s="195">
        <f t="array" ref="AN19">IFERROR(
MEDIAN(IF(DATOS_[Sexo]=$B19,IF(DATOS_[[AGRUP. CLAS. PROF.]:[AGRUP. CLAS. PROF.]]=$B18,IF(DATOS_[Check Equiparado]="Sí",IF(DATOS_[Check Periodo Ref.]="Dentro",DATOS_[Tot COMPL.SAL Eq],FALSE))))),
0)</f>
        <v>12069.789999999999</v>
      </c>
      <c r="AO19" s="172">
        <f t="array" ref="AO19">IFERROR(
MEDIAN(IF(DATOS_[Sexo]=$B19,IF(DATOS_[[AGRUP. CLAS. PROF.]:[AGRUP. CLAS. PROF.]]=$B18,IF(DATOS_[Check Equiparado]="Sí",IF(DATOS_[Check Periodo Ref.]="Dentro",DATOS_[TOTAL SALARIO Eq],FALSE))))),
0)</f>
        <v>24949.03</v>
      </c>
      <c r="AP19" s="173">
        <f t="array" ref="AP19">IFERROR(
(MEDIAN((IF(DATOS_[[Sexo]:[Sexo]]=$B19,IF(DATOS_[[AGRUP. CLAS. PROF.]:[AGRUP. CLAS. PROF.]]=$B18,IF(DATOS_[[Check Periodo Ref.]:[Check Periodo Ref.]]="Dentro",IF(DATOS_[[Check Equiparado]:[Check Equiparado]]="Sí",IF(DATOS!BW$5="Sí",(1/DATOS_[[% anualiz]:[% anualiz]]),1)*IF(DATOS!BW$4="Sí",1/DATOS_[[% normaliz]:[% normaliz]],1)*(DATOS_[C.Extra.01])))))))),
0)</f>
        <v>0</v>
      </c>
      <c r="AQ19" s="173">
        <f t="array" ref="AQ19">IFERROR(
(MEDIAN((IF(DATOS_[[Sexo]:[Sexo]]=$B19,IF(DATOS_[[AGRUP. CLAS. PROF.]:[AGRUP. CLAS. PROF.]]=$B18,IF(DATOS_[[Check Periodo Ref.]:[Check Periodo Ref.]]="Dentro",IF(DATOS_[[Check Equiparado]:[Check Equiparado]]="Sí",IF(DATOS!CB$5="Sí",(1/DATOS_[[% anualiz]:[% anualiz]]),1)*IF(DATOS!CB$4="Sí",1/DATOS_[[% normaliz]:[% normaliz]],1)*(DATOS_[C.Extra.06])))))))),
0)</f>
        <v>0</v>
      </c>
      <c r="AR19" s="173">
        <f t="array" ref="AR19">IFERROR(
(MEDIAN((IF(DATOS_[[Sexo]:[Sexo]]=$B19,IF(DATOS_[[AGRUP. CLAS. PROF.]:[AGRUP. CLAS. PROF.]]=$B18,IF(DATOS_[[Check Periodo Ref.]:[Check Periodo Ref.]]="Dentro",IF(DATOS_[[Check Equiparado]:[Check Equiparado]]="Sí",IF(DATOS!CC$5="Sí",(1/DATOS_[[% anualiz]:[% anualiz]]),1)*IF(DATOS!CC$4="Sí",1/DATOS_[[% normaliz]:[% normaliz]],1)*(DATOS_[C.Extra.07])))))))),
0)</f>
        <v>0</v>
      </c>
      <c r="AS19" s="173">
        <f t="array" ref="AS19">IFERROR(
(MEDIAN((IF(DATOS_[[Sexo]:[Sexo]]=$B19,IF(DATOS_[[AGRUP. CLAS. PROF.]:[AGRUP. CLAS. PROF.]]=$B18,IF(DATOS_[[Check Periodo Ref.]:[Check Periodo Ref.]]="Dentro",IF(DATOS_[[Check Equiparado]:[Check Equiparado]]="Sí",IF(DATOS!CD$5="Sí",(1/DATOS_[[% anualiz]:[% anualiz]]),1)*IF(DATOS!CD$4="Sí",1/DATOS_[[% normaliz]:[% normaliz]],1)*(DATOS_[C.Extra.08])))))))),
0)</f>
        <v>0</v>
      </c>
      <c r="AT19" s="173">
        <f t="array" ref="AT19">IFERROR(
(MEDIAN((IF(DATOS_[[Sexo]:[Sexo]]=$B19,IF(DATOS_[[AGRUP. CLAS. PROF.]:[AGRUP. CLAS. PROF.]]=$B18,IF(DATOS_[[Check Periodo Ref.]:[Check Periodo Ref.]]="Dentro",IF(DATOS_[[Check Equiparado]:[Check Equiparado]]="Sí",IF(DATOS!CG$5="Sí",(1/DATOS_[[% anualiz]:[% anualiz]]),1)*IF(DATOS!CG$4="Sí",1/DATOS_[[% normaliz]:[% normaliz]],1)*(DATOS_[C.Extra.11])))))))),
0)</f>
        <v>0</v>
      </c>
      <c r="AU19" s="197">
        <f t="array" ref="AU19">IFERROR(
MEDIAN(IF(DATOS_[Sexo]=$B19,IF(DATOS_[[AGRUP. CLAS. PROF.]:[AGRUP. CLAS. PROF.]]=$B18,IF(DATOS_[Check Equiparado]="Sí",IF(DATOS_[Check Periodo Ref.]="Dentro",DATOS_[Tot Extrasalarial Eq],FALSE))))),
0)</f>
        <v>0</v>
      </c>
      <c r="AV19" s="175">
        <f t="array" ref="AV19">IFERROR(
MEDIAN(IF(DATOS_[Sexo]=$B19,IF(DATOS_[[AGRUP. CLAS. PROF.]:[AGRUP. CLAS. PROF.]]=$B18,IF(DATOS_[Check Equiparado]="Sí",IF(DATOS_[Check Periodo Ref.]="Dentro",DATOS_[TOTAL Retrib Eq],FALSE))))),
0)</f>
        <v>24949.03</v>
      </c>
    </row>
    <row r="20" spans="1:48" x14ac:dyDescent="0.25">
      <c r="A20" s="133" t="str">
        <f t="shared" ref="A20" si="10">+A19</f>
        <v/>
      </c>
      <c r="B20" s="202" t="s">
        <v>521</v>
      </c>
      <c r="C20" s="203">
        <f t="array" ref="C20">SUM(IF($B20=DATOS_[Sexo],
IF($B18=DATOS_[AGRUP. CLAS. PROF.],
IF("Dentro"=DATOS_[Check Periodo Ref.],
1/(COUNTIFS(DATOS_[Sexo],$B20,DATOS_[AGRUP. CLAS. PROF.],$B18,DATOS_[Check Periodo Ref.],"Dentro",DATOS_[id/cod],DATOS_[id/cod]))))))</f>
        <v>3</v>
      </c>
      <c r="D20" s="204">
        <f>COUNTIFS(DATOS_[AGRUP. CLAS. PROF.],$B18,DATOS_[Sexo],$B20,DATOS_[Check Periodo Ref.],"Dentro")</f>
        <v>3</v>
      </c>
      <c r="E20" s="204">
        <f>COUNTIFS(DATOS_[AGRUP. CLAS. PROF.],$B18,DATOS_[Sexo],$B20,DATOS_[Check Periodo Ref.],"Dentro",DATOS_[Check Nº SC Norm],"Sí")</f>
        <v>0</v>
      </c>
      <c r="F20" s="204">
        <f>COUNTIFS(DATOS_[AGRUP. CLAS. PROF.],$B18,DATOS_[Sexo],$B20,DATOS_[Check Periodo Ref.],"Dentro",DATOS_[Check Nº SC Anualiz],"Sí")</f>
        <v>0</v>
      </c>
      <c r="G20" s="204">
        <f>COUNTIFS(DATOS_[AGRUP. CLAS. PROF.],$B18,DATOS_[Sexo],$B20,DATOS_[Check Periodo Ref.],"Dentro",DATOS_[Check Nº SC Norm y Anualiz],"Sí")</f>
        <v>0</v>
      </c>
      <c r="H20" s="204">
        <f>COUNTIFS(DATOS_[AGRUP. CLAS. PROF.],$B18,DATOS_[Sexo],$B20,DATOS_[Check Periodo Ref.],"Dentro",DATOS_[Check Equiparación],"Sí")</f>
        <v>0</v>
      </c>
      <c r="I20" s="195" cm="1">
        <f t="array" ref="I20">IFERROR(
MEDIAN(IF(DATOS_[Sexo]=$B20,IF(DATOS_[[AGRUP. CLAS. PROF.]:[AGRUP. CLAS. PROF.]]=$B18,IF(DATOS_[Check Equiparado]="Sí",IF(DATOS_[Check Periodo Ref.]="Dentro",DATOS_[SALARIO BASE Eq],FALSE))))),
0)</f>
        <v>13448.76</v>
      </c>
      <c r="J20" s="196">
        <f t="array" ref="J20">IFERROR(
(MEDIAN((IF(DATOS_[[Sexo]:[Sexo]]=$B20,IF(DATOS_[[AGRUP. CLAS. PROF.]:[AGRUP. CLAS. PROF.]]=$B18,IF(DATOS_[[Check Periodo Ref.]:[Check Periodo Ref.]]="Dentro",IF(DATOS_[[Check Equiparado]:[Check Equiparado]]="Sí",IF(DATOS!AE$5="Sí",(1/DATOS_[[% anualiz]:[% anualiz]]),1)*IF(DATOS!AE$4="Sí",1/DATOS_[[% normaliz]:[% normaliz]],1)*(DATOS_[Conc.Sal.01])))))))),
0)</f>
        <v>4924</v>
      </c>
      <c r="K20" s="196">
        <f t="array" ref="K20">IFERROR(
(MEDIAN((IF(DATOS_[[Sexo]:[Sexo]]=$B20,IF(DATOS_[[AGRUP. CLAS. PROF.]:[AGRUP. CLAS. PROF.]]=$B18,IF(DATOS_[[Check Periodo Ref.]:[Check Periodo Ref.]]="Dentro",IF(DATOS_[[Check Equiparado]:[Check Equiparado]]="Sí",IF(DATOS!AF$5="Sí",(1/DATOS_[[% anualiz]:[% anualiz]]),1)*IF(DATOS!AF$4="Sí",1/DATOS_[[% normaliz]:[% normaliz]],1)*(DATOS_[Conc.Sal.02])))))))),
0)</f>
        <v>37.44</v>
      </c>
      <c r="L20" s="196">
        <f t="array" ref="L20">IFERROR(
(MEDIAN((IF(DATOS_[[Sexo]:[Sexo]]=$B20,IF(DATOS_[[AGRUP. CLAS. PROF.]:[AGRUP. CLAS. PROF.]]=$B18,IF(DATOS_[[Check Periodo Ref.]:[Check Periodo Ref.]]="Dentro",IF(DATOS_[[Check Equiparado]:[Check Equiparado]]="Sí",IF(DATOS!AG$5="Sí",(1/DATOS_[[% anualiz]:[% anualiz]]),1)*IF(DATOS!AG$4="Sí",1/DATOS_[[% normaliz]:[% normaliz]],1)*(DATOS_[Conc.Sal.03])))))))),
0)</f>
        <v>902.4</v>
      </c>
      <c r="M20" s="196">
        <f t="array" ref="M20">IFERROR(
(MEDIAN((IF(DATOS_[[Sexo]:[Sexo]]=$B20,IF(DATOS_[[AGRUP. CLAS. PROF.]:[AGRUP. CLAS. PROF.]]=$B18,IF(DATOS_[[Check Periodo Ref.]:[Check Periodo Ref.]]="Dentro",IF(DATOS_[[Check Equiparado]:[Check Equiparado]]="Sí",IF(DATOS!AH$5="Sí",(1/DATOS_[[% anualiz]:[% anualiz]]),1)*IF(DATOS!AH$4="Sí",1/DATOS_[[% normaliz]:[% normaliz]],1)*(DATOS_[Conc.Sal.04])))))))),
0)</f>
        <v>1168.32</v>
      </c>
      <c r="N20" s="196">
        <f t="array" ref="N20">IFERROR(
(MEDIAN((IF(DATOS_[[Sexo]:[Sexo]]=$B20,IF(DATOS_[[AGRUP. CLAS. PROF.]:[AGRUP. CLAS. PROF.]]=$B18,IF(DATOS_[[Check Periodo Ref.]:[Check Periodo Ref.]]="Dentro",IF(DATOS_[[Check Equiparado]:[Check Equiparado]]="Sí",IF(DATOS!AI$5="Sí",(1/DATOS_[[% anualiz]:[% anualiz]]),1)*IF(DATOS!AI$4="Sí",1/DATOS_[[% normaliz]:[% normaliz]],1)*(DATOS_[Conc.Sal.05])))))))),
0)</f>
        <v>426.96</v>
      </c>
      <c r="O20" s="196">
        <f t="array" ref="O20">IFERROR(
(MEDIAN((IF(DATOS_[[Sexo]:[Sexo]]=$B20,IF(DATOS_[[AGRUP. CLAS. PROF.]:[AGRUP. CLAS. PROF.]]=$B18,IF(DATOS_[[Check Periodo Ref.]:[Check Periodo Ref.]]="Dentro",IF(DATOS_[[Check Equiparado]:[Check Equiparado]]="Sí",IF(DATOS!AJ$5="Sí",(1/DATOS_[[% anualiz]:[% anualiz]]),1)*IF(DATOS!AJ$4="Sí",1/DATOS_[[% normaliz]:[% normaliz]],1)*(DATOS_[Conc.Sal.06])))))))),
0)</f>
        <v>843.12</v>
      </c>
      <c r="P20" s="196">
        <f t="array" ref="P20">IFERROR(
(MEDIAN((IF(DATOS_[[Sexo]:[Sexo]]=$B20,IF(DATOS_[[AGRUP. CLAS. PROF.]:[AGRUP. CLAS. PROF.]]=$B18,IF(DATOS_[[Check Periodo Ref.]:[Check Periodo Ref.]]="Dentro",IF(DATOS_[[Check Equiparado]:[Check Equiparado]]="Sí",IF(DATOS!AK$5="Sí",(1/DATOS_[[% anualiz]:[% anualiz]]),1)*IF(DATOS!AK$4="Sí",1/DATOS_[[% normaliz]:[% normaliz]],1)*(DATOS_[Conc.Sal.07])))))))),
0)</f>
        <v>1358.88</v>
      </c>
      <c r="Q20" s="196">
        <f t="array" ref="Q20">IFERROR(
(MEDIAN((IF(DATOS_[[Sexo]:[Sexo]]=$B20,IF(DATOS_[[AGRUP. CLAS. PROF.]:[AGRUP. CLAS. PROF.]]=$B18,IF(DATOS_[[Check Periodo Ref.]:[Check Periodo Ref.]]="Dentro",IF(DATOS_[[Check Equiparado]:[Check Equiparado]]="Sí",IF(DATOS!AL$5="Sí",(1/DATOS_[[% anualiz]:[% anualiz]]),1)*IF(DATOS!AL$4="Sí",1/DATOS_[[% normaliz]:[% normaliz]],1)*(DATOS_[Conc.Sal.08])))))))),
0)</f>
        <v>0</v>
      </c>
      <c r="R20" s="196">
        <f t="array" ref="R20">IFERROR(
(MEDIAN((IF(DATOS_[[Sexo]:[Sexo]]=$B20,IF(DATOS_[[AGRUP. CLAS. PROF.]:[AGRUP. CLAS. PROF.]]=$B18,IF(DATOS_[[Check Periodo Ref.]:[Check Periodo Ref.]]="Dentro",IF(DATOS_[[Check Equiparado]:[Check Equiparado]]="Sí",IF(DATOS!AM$5="Sí",(1/DATOS_[[% anualiz]:[% anualiz]]),1)*IF(DATOS!AM$4="Sí",1/DATOS_[[% normaliz]:[% normaliz]],1)*(DATOS_[Conc.Sal.09])))))))),
0)</f>
        <v>0</v>
      </c>
      <c r="S20" s="196">
        <f t="array" ref="S20">IFERROR(
(MEDIAN((IF(DATOS_[[Sexo]:[Sexo]]=$B20,IF(DATOS_[[AGRUP. CLAS. PROF.]:[AGRUP. CLAS. PROF.]]=$B18,IF(DATOS_[[Check Periodo Ref.]:[Check Periodo Ref.]]="Dentro",IF(DATOS_[[Check Equiparado]:[Check Equiparado]]="Sí",IF(DATOS!AN$5="Sí",(1/DATOS_[[% anualiz]:[% anualiz]]),1)*IF(DATOS!AN$4="Sí",1/DATOS_[[% normaliz]:[% normaliz]],1)*(DATOS_[Conc.Sal.10])))))))),
0)</f>
        <v>0</v>
      </c>
      <c r="T20" s="196">
        <f t="array" ref="T20">IFERROR(
(MEDIAN((IF(DATOS_[[Sexo]:[Sexo]]=$B20,IF(DATOS_[[AGRUP. CLAS. PROF.]:[AGRUP. CLAS. PROF.]]=$B18,IF(DATOS_[[Check Periodo Ref.]:[Check Periodo Ref.]]="Dentro",IF(DATOS_[[Check Equiparado]:[Check Equiparado]]="Sí",IF(DATOS!AO$5="Sí",(1/DATOS_[[% anualiz]:[% anualiz]]),1)*IF(DATOS!AO$4="Sí",1/DATOS_[[% normaliz]:[% normaliz]],1)*(DATOS_[Conc.Sal.11])))))))),
0)</f>
        <v>0</v>
      </c>
      <c r="U20" s="196">
        <f t="array" ref="U20">IFERROR(
(MEDIAN((IF(DATOS_[[Sexo]:[Sexo]]=$B20,IF(DATOS_[[AGRUP. CLAS. PROF.]:[AGRUP. CLAS. PROF.]]=$B18,IF(DATOS_[[Check Periodo Ref.]:[Check Periodo Ref.]]="Dentro",IF(DATOS_[[Check Equiparado]:[Check Equiparado]]="Sí",IF(DATOS!AP$5="Sí",(1/DATOS_[[% anualiz]:[% anualiz]]),1)*IF(DATOS!AP$4="Sí",1/DATOS_[[% normaliz]:[% normaliz]],1)*(DATOS_[Conc.Sal.12])))))))),
0)</f>
        <v>65</v>
      </c>
      <c r="V20" s="196">
        <f t="array" ref="V20">IFERROR(
(MEDIAN((IF(DATOS_[[Sexo]:[Sexo]]=$B20,IF(DATOS_[[AGRUP. CLAS. PROF.]:[AGRUP. CLAS. PROF.]]=$B18,IF(DATOS_[[Check Periodo Ref.]:[Check Periodo Ref.]]="Dentro",IF(DATOS_[[Check Equiparado]:[Check Equiparado]]="Sí",IF(DATOS!AQ$5="Sí",(1/DATOS_[[% anualiz]:[% anualiz]]),1)*IF(DATOS!AQ$4="Sí",1/DATOS_[[% normaliz]:[% normaliz]],1)*(DATOS_[Conc.Sal.13])))))))),
0)</f>
        <v>3766.18</v>
      </c>
      <c r="W20" s="196">
        <f t="array" ref="W20">IFERROR(
(MEDIAN((IF(DATOS_[[Sexo]:[Sexo]]=$B20,IF(DATOS_[[AGRUP. CLAS. PROF.]:[AGRUP. CLAS. PROF.]]=$B18,IF(DATOS_[[Check Periodo Ref.]:[Check Periodo Ref.]]="Dentro",IF(DATOS_[[Check Equiparado]:[Check Equiparado]]="Sí",IF(DATOS!AR$5="Sí",(1/DATOS_[[% anualiz]:[% anualiz]]),1)*IF(DATOS!AR$4="Sí",1/DATOS_[[% normaliz]:[% normaliz]],1)*(DATOS_[Conc.Sal.14])))))))),
0)</f>
        <v>0</v>
      </c>
      <c r="X20" s="196">
        <f t="array" ref="X20">IFERROR(
(MEDIAN((IF(DATOS_[[Sexo]:[Sexo]]=$B20,IF(DATOS_[[AGRUP. CLAS. PROF.]:[AGRUP. CLAS. PROF.]]=$B18,IF(DATOS_[[Check Periodo Ref.]:[Check Periodo Ref.]]="Dentro",IF(DATOS_[[Check Equiparado]:[Check Equiparado]]="Sí",IF(DATOS!AS$5="Sí",(1/DATOS_[[% anualiz]:[% anualiz]]),1)*IF(DATOS!AS$4="Sí",1/DATOS_[[% normaliz]:[% normaliz]],1)*(DATOS_[Conc.Sal.15])))))))),
0)</f>
        <v>0</v>
      </c>
      <c r="Y20" s="196">
        <f t="array" ref="Y20">IFERROR(
(MEDIAN((IF(DATOS_[[Sexo]:[Sexo]]=$B20,IF(DATOS_[[AGRUP. CLAS. PROF.]:[AGRUP. CLAS. PROF.]]=$B18,IF(DATOS_[[Check Periodo Ref.]:[Check Periodo Ref.]]="Dentro",IF(DATOS_[[Check Equiparado]:[Check Equiparado]]="Sí",IF(DATOS!AT$5="Sí",(1/DATOS_[[% anualiz]:[% anualiz]]),1)*IF(DATOS!AT$4="Sí",1/DATOS_[[% normaliz]:[% normaliz]],1)*(DATOS_[Conc.Sal.16])))))))),
0)</f>
        <v>0</v>
      </c>
      <c r="Z20" s="196">
        <f t="array" ref="Z20">IFERROR(
(MEDIAN((IF(DATOS_[[Sexo]:[Sexo]]=$B20,IF(DATOS_[[AGRUP. CLAS. PROF.]:[AGRUP. CLAS. PROF.]]=$B18,IF(DATOS_[[Check Periodo Ref.]:[Check Periodo Ref.]]="Dentro",IF(DATOS_[[Check Equiparado]:[Check Equiparado]]="Sí",IF(DATOS!AU$5="Sí",(1/DATOS_[[% anualiz]:[% anualiz]]),1)*IF(DATOS!AU$4="Sí",1/DATOS_[[% normaliz]:[% normaliz]],1)*(DATOS_[Conc.Sal.17])))))))),
0)</f>
        <v>0</v>
      </c>
      <c r="AA20" s="196">
        <f t="array" ref="AA20">IFERROR(
(MEDIAN((IF(DATOS_[[Sexo]:[Sexo]]=$B20,IF(DATOS_[[AGRUP. CLAS. PROF.]:[AGRUP. CLAS. PROF.]]=$B18,IF(DATOS_[[Check Periodo Ref.]:[Check Periodo Ref.]]="Dentro",IF(DATOS_[[Check Equiparado]:[Check Equiparado]]="Sí",IF(DATOS!AV$5="Sí",(1/DATOS_[[% anualiz]:[% anualiz]]),1)*IF(DATOS!AV$4="Sí",1/DATOS_[[% normaliz]:[% normaliz]],1)*(DATOS_[Conc.Sal.18])))))))),
0)</f>
        <v>0</v>
      </c>
      <c r="AB20" s="196">
        <f t="array" ref="AB20">IFERROR(
(MEDIAN((IF(DATOS_[[Sexo]:[Sexo]]=$B20,IF(DATOS_[[AGRUP. CLAS. PROF.]:[AGRUP. CLAS. PROF.]]=$B18,IF(DATOS_[[Check Periodo Ref.]:[Check Periodo Ref.]]="Dentro",IF(DATOS_[[Check Equiparado]:[Check Equiparado]]="Sí",IF(DATOS!AW$5="Sí",(1/DATOS_[[% anualiz]:[% anualiz]]),1)*IF(DATOS!AW$4="Sí",1/DATOS_[[% normaliz]:[% normaliz]],1)*(DATOS_[Conc.Sal.19])))))))),
0)</f>
        <v>0</v>
      </c>
      <c r="AC20" s="196">
        <f t="array" ref="AC20">IFERROR(
(MEDIAN((IF(DATOS_[[Sexo]:[Sexo]]=$B20,IF(DATOS_[[AGRUP. CLAS. PROF.]:[AGRUP. CLAS. PROF.]]=$B18,IF(DATOS_[[Check Periodo Ref.]:[Check Periodo Ref.]]="Dentro",IF(DATOS_[[Check Equiparado]:[Check Equiparado]]="Sí",IF(DATOS!AX$5="Sí",(1/DATOS_[[% anualiz]:[% anualiz]]),1)*IF(DATOS!AX$4="Sí",1/DATOS_[[% normaliz]:[% normaliz]],1)*(DATOS_[Conc.Sal.20])))))))),
0)</f>
        <v>0</v>
      </c>
      <c r="AD20" s="196">
        <f t="array" ref="AD20">IFERROR(
(MEDIAN((IF(DATOS_[[Sexo]:[Sexo]]=$B20,IF(DATOS_[[AGRUP. CLAS. PROF.]:[AGRUP. CLAS. PROF.]]=$B18,IF(DATOS_[[Check Periodo Ref.]:[Check Periodo Ref.]]="Dentro",IF(DATOS_[[Check Equiparado]:[Check Equiparado]]="Sí",IF(DATOS!AY$5="Sí",(1/DATOS_[[% anualiz]:[% anualiz]]),1)*IF(DATOS!AY$4="Sí",1/DATOS_[[% normaliz]:[% normaliz]],1)*(DATOS_[Conc.Sal.21])))))))),
0)</f>
        <v>0</v>
      </c>
      <c r="AE20" s="196">
        <f t="array" ref="AE20">IFERROR(
(MEDIAN((IF(DATOS_[[Sexo]:[Sexo]]=$B20,IF(DATOS_[[AGRUP. CLAS. PROF.]:[AGRUP. CLAS. PROF.]]=$B18,IF(DATOS_[[Check Periodo Ref.]:[Check Periodo Ref.]]="Dentro",IF(DATOS_[[Check Equiparado]:[Check Equiparado]]="Sí",IF(DATOS!AZ$5="Sí",(1/DATOS_[[% anualiz]:[% anualiz]]),1)*IF(DATOS!AZ$4="Sí",1/DATOS_[[% normaliz]:[% normaliz]],1)*(DATOS_[Conc.Sal.22])))))))),
0)</f>
        <v>0</v>
      </c>
      <c r="AF20" s="196">
        <f t="array" ref="AF20">IFERROR(
(MEDIAN((IF(DATOS_[[Sexo]:[Sexo]]=$B20,IF(DATOS_[[AGRUP. CLAS. PROF.]:[AGRUP. CLAS. PROF.]]=$B18,IF(DATOS_[[Check Periodo Ref.]:[Check Periodo Ref.]]="Dentro",IF(DATOS_[[Check Equiparado]:[Check Equiparado]]="Sí",IF(DATOS!BA$5="Sí",(1/DATOS_[[% anualiz]:[% anualiz]]),1)*IF(DATOS!BA$4="Sí",1/DATOS_[[% normaliz]:[% normaliz]],1)*(DATOS_[Conc.Sal.23])))))))),
0)</f>
        <v>0</v>
      </c>
      <c r="AG20" s="196">
        <f t="array" ref="AG20">IFERROR(
(MEDIAN((IF(DATOS_[[Sexo]:[Sexo]]=$B20,IF(DATOS_[[AGRUP. CLAS. PROF.]:[AGRUP. CLAS. PROF.]]=$B18,IF(DATOS_[[Check Periodo Ref.]:[Check Periodo Ref.]]="Dentro",IF(DATOS_[[Check Equiparado]:[Check Equiparado]]="Sí",IF(DATOS!BB$5="Sí",(1/DATOS_[[% anualiz]:[% anualiz]]),1)*IF(DATOS!BB$4="Sí",1/DATOS_[[% normaliz]:[% normaliz]],1)*(DATOS_[Conc.Sal.24])))))))),
0)</f>
        <v>0</v>
      </c>
      <c r="AH20" s="196">
        <f t="array" ref="AH20">IFERROR(
(MEDIAN((IF(DATOS_[[Sexo]:[Sexo]]=$B20,IF(DATOS_[[AGRUP. CLAS. PROF.]:[AGRUP. CLAS. PROF.]]=$B18,IF(DATOS_[[Check Periodo Ref.]:[Check Periodo Ref.]]="Dentro",IF(DATOS_[[Check Equiparado]:[Check Equiparado]]="Sí",IF(DATOS!BC$5="Sí",(1/DATOS_[[% anualiz]:[% anualiz]]),1)*IF(DATOS!BC$4="Sí",1/DATOS_[[% normaliz]:[% normaliz]],1)*(DATOS_[Conc.Sal.25])))))))),
0)</f>
        <v>0</v>
      </c>
      <c r="AI20" s="196">
        <f t="array" ref="AI20">IFERROR(
(MEDIAN((IF(DATOS_[[Sexo]:[Sexo]]=$B20,IF(DATOS_[[AGRUP. CLAS. PROF.]:[AGRUP. CLAS. PROF.]]=$B18,IF(DATOS_[[Check Periodo Ref.]:[Check Periodo Ref.]]="Dentro",IF(DATOS_[[Check Equiparado]:[Check Equiparado]]="Sí",IF(DATOS!BD$5="Sí",(1/DATOS_[[% anualiz]:[% anualiz]]),1)*IF(DATOS!BD$4="Sí",1/DATOS_[[% normaliz]:[% normaliz]],1)*(DATOS_[Conc.Sal.26])))))))),
0)</f>
        <v>0</v>
      </c>
      <c r="AJ20" s="196">
        <f t="array" ref="AJ20">IFERROR(
(MEDIAN((IF(DATOS_[[Sexo]:[Sexo]]=$B20,IF(DATOS_[[AGRUP. CLAS. PROF.]:[AGRUP. CLAS. PROF.]]=$B18,IF(DATOS_[[Check Periodo Ref.]:[Check Periodo Ref.]]="Dentro",IF(DATOS_[[Check Equiparado]:[Check Equiparado]]="Sí",IF(DATOS!BE$5="Sí",(1/DATOS_[[% anualiz]:[% anualiz]]),1)*IF(DATOS!BE$4="Sí",1/DATOS_[[% normaliz]:[% normaliz]],1)*(DATOS_[Conc.Sal.27])))))))),
0)</f>
        <v>0</v>
      </c>
      <c r="AK20" s="196">
        <f t="array" ref="AK20">IFERROR(
(MEDIAN((IF(DATOS_[[Sexo]:[Sexo]]=$B20,IF(DATOS_[[AGRUP. CLAS. PROF.]:[AGRUP. CLAS. PROF.]]=$B18,IF(DATOS_[[Check Periodo Ref.]:[Check Periodo Ref.]]="Dentro",IF(DATOS_[[Check Equiparado]:[Check Equiparado]]="Sí",IF(DATOS!BF$5="Sí",(1/DATOS_[[% anualiz]:[% anualiz]]),1)*IF(DATOS!BF$4="Sí",1/DATOS_[[% normaliz]:[% normaliz]],1)*(DATOS_[Conc.Sal.28])))))))),
0)</f>
        <v>0</v>
      </c>
      <c r="AL20" s="196">
        <f t="array" ref="AL20">IFERROR(
(MEDIAN((IF(DATOS_[[Sexo]:[Sexo]]=$B20,IF(DATOS_[[AGRUP. CLAS. PROF.]:[AGRUP. CLAS. PROF.]]=$B18,IF(DATOS_[[Check Periodo Ref.]:[Check Periodo Ref.]]="Dentro",IF(DATOS_[[Check Equiparado]:[Check Equiparado]]="Sí",IF(DATOS!BG$5="Sí",(1/DATOS_[[% anualiz]:[% anualiz]]),1)*IF(DATOS!BG$4="Sí",1/DATOS_[[% normaliz]:[% normaliz]],1)*(DATOS_[Conc.Sal.29])))))))),
0)</f>
        <v>0</v>
      </c>
      <c r="AM20" s="196">
        <f t="array" ref="AM20">IFERROR(
(MEDIAN((IF(DATOS_[[Sexo]:[Sexo]]=$B20,IF(DATOS_[[AGRUP. CLAS. PROF.]:[AGRUP. CLAS. PROF.]]=$B18,IF(DATOS_[[Check Periodo Ref.]:[Check Periodo Ref.]]="Dentro",IF(DATOS_[[Check Equiparado]:[Check Equiparado]]="Sí",IF(DATOS!BH$5="Sí",(1/DATOS_[[% anualiz]:[% anualiz]]),1)*IF(DATOS!BH$4="Sí",1/DATOS_[[% normaliz]:[% normaliz]],1)*(DATOS_[Conc.Sal.30])))))))),
0)</f>
        <v>0</v>
      </c>
      <c r="AN20" s="195">
        <f t="array" ref="AN20">IFERROR(
MEDIAN(IF(DATOS_[Sexo]=$B20,IF(DATOS_[[AGRUP. CLAS. PROF.]:[AGRUP. CLAS. PROF.]]=$B18,IF(DATOS_[Check Equiparado]="Sí",IF(DATOS_[Check Periodo Ref.]="Dentro",DATOS_[Tot COMPL.SAL Eq],FALSE))))),
0)</f>
        <v>16810.850000000002</v>
      </c>
      <c r="AO20" s="172">
        <f t="array" ref="AO20">IFERROR(
MEDIAN(IF(DATOS_[Sexo]=$B20,IF(DATOS_[[AGRUP. CLAS. PROF.]:[AGRUP. CLAS. PROF.]]=$B18,IF(DATOS_[Check Equiparado]="Sí",IF(DATOS_[Check Periodo Ref.]="Dentro",DATOS_[TOTAL SALARIO Eq],FALSE))))),
0)</f>
        <v>30259.61</v>
      </c>
      <c r="AP20" s="173">
        <f t="array" ref="AP20">IFERROR(
(MEDIAN((IF(DATOS_[[Sexo]:[Sexo]]=$B20,IF(DATOS_[[AGRUP. CLAS. PROF.]:[AGRUP. CLAS. PROF.]]=$B18,IF(DATOS_[[Check Periodo Ref.]:[Check Periodo Ref.]]="Dentro",IF(DATOS_[[Check Equiparado]:[Check Equiparado]]="Sí",IF(DATOS!BW$5="Sí",(1/DATOS_[[% anualiz]:[% anualiz]]),1)*IF(DATOS!BW$4="Sí",1/DATOS_[[% normaliz]:[% normaliz]],1)*(DATOS_[C.Extra.01])))))))),
0)</f>
        <v>0</v>
      </c>
      <c r="AQ20" s="173">
        <f t="array" ref="AQ20">IFERROR(
(MEDIAN((IF(DATOS_[[Sexo]:[Sexo]]=$B20,IF(DATOS_[[AGRUP. CLAS. PROF.]:[AGRUP. CLAS. PROF.]]=$B18,IF(DATOS_[[Check Periodo Ref.]:[Check Periodo Ref.]]="Dentro",IF(DATOS_[[Check Equiparado]:[Check Equiparado]]="Sí",IF(DATOS!CB$5="Sí",(1/DATOS_[[% anualiz]:[% anualiz]]),1)*IF(DATOS!CB$4="Sí",1/DATOS_[[% normaliz]:[% normaliz]],1)*(DATOS_[C.Extra.06])))))))),
0)</f>
        <v>0</v>
      </c>
      <c r="AR20" s="173">
        <f t="array" ref="AR20">IFERROR(
(MEDIAN((IF(DATOS_[[Sexo]:[Sexo]]=$B20,IF(DATOS_[[AGRUP. CLAS. PROF.]:[AGRUP. CLAS. PROF.]]=$B18,IF(DATOS_[[Check Periodo Ref.]:[Check Periodo Ref.]]="Dentro",IF(DATOS_[[Check Equiparado]:[Check Equiparado]]="Sí",IF(DATOS!CC$5="Sí",(1/DATOS_[[% anualiz]:[% anualiz]]),1)*IF(DATOS!CC$4="Sí",1/DATOS_[[% normaliz]:[% normaliz]],1)*(DATOS_[C.Extra.07])))))))),
0)</f>
        <v>0</v>
      </c>
      <c r="AS20" s="173">
        <f t="array" ref="AS20">IFERROR(
(MEDIAN((IF(DATOS_[[Sexo]:[Sexo]]=$B20,IF(DATOS_[[AGRUP. CLAS. PROF.]:[AGRUP. CLAS. PROF.]]=$B18,IF(DATOS_[[Check Periodo Ref.]:[Check Periodo Ref.]]="Dentro",IF(DATOS_[[Check Equiparado]:[Check Equiparado]]="Sí",IF(DATOS!CD$5="Sí",(1/DATOS_[[% anualiz]:[% anualiz]]),1)*IF(DATOS!CD$4="Sí",1/DATOS_[[% normaliz]:[% normaliz]],1)*(DATOS_[C.Extra.08])))))))),
0)</f>
        <v>0</v>
      </c>
      <c r="AT20" s="173">
        <f t="array" ref="AT20">IFERROR(
(MEDIAN((IF(DATOS_[[Sexo]:[Sexo]]=$B20,IF(DATOS_[[AGRUP. CLAS. PROF.]:[AGRUP. CLAS. PROF.]]=$B18,IF(DATOS_[[Check Periodo Ref.]:[Check Periodo Ref.]]="Dentro",IF(DATOS_[[Check Equiparado]:[Check Equiparado]]="Sí",IF(DATOS!CG$5="Sí",(1/DATOS_[[% anualiz]:[% anualiz]]),1)*IF(DATOS!CG$4="Sí",1/DATOS_[[% normaliz]:[% normaliz]],1)*(DATOS_[C.Extra.11])))))))),
0)</f>
        <v>0</v>
      </c>
      <c r="AU20" s="197">
        <f t="array" ref="AU20">IFERROR(
MEDIAN(IF(DATOS_[Sexo]=$B20,IF(DATOS_[[AGRUP. CLAS. PROF.]:[AGRUP. CLAS. PROF.]]=$B18,IF(DATOS_[Check Equiparado]="Sí",IF(DATOS_[Check Periodo Ref.]="Dentro",DATOS_[Tot Extrasalarial Eq],FALSE))))),
0)</f>
        <v>0</v>
      </c>
      <c r="AV20" s="175">
        <f t="array" ref="AV20">IFERROR(
MEDIAN(IF(DATOS_[Sexo]=$B20,IF(DATOS_[[AGRUP. CLAS. PROF.]:[AGRUP. CLAS. PROF.]]=$B18,IF(DATOS_[Check Equiparado]="Sí",IF(DATOS_[Check Periodo Ref.]="Dentro",DATOS_[TOTAL Retrib Eq],FALSE))))),
0)</f>
        <v>30259.61</v>
      </c>
    </row>
    <row r="21" spans="1:48" ht="15.6" thickBot="1" x14ac:dyDescent="0.3">
      <c r="A21" s="133" t="str">
        <f t="shared" ref="A21" si="11">+A22</f>
        <v/>
      </c>
      <c r="B21" s="199" t="s">
        <v>185</v>
      </c>
      <c r="C21" s="200"/>
      <c r="D21" s="201"/>
      <c r="E21" s="201"/>
      <c r="F21" s="201"/>
      <c r="G21" s="201"/>
      <c r="H21" s="201"/>
      <c r="I21" s="189" t="str">
        <f t="shared" ref="I21:AV21" si="12">IFERROR((I22-I23)/I22,"")</f>
        <v/>
      </c>
      <c r="J21" s="190" t="str">
        <f t="shared" si="12"/>
        <v/>
      </c>
      <c r="K21" s="191" t="str">
        <f t="shared" si="12"/>
        <v/>
      </c>
      <c r="L21" s="191" t="str">
        <f t="shared" si="12"/>
        <v/>
      </c>
      <c r="M21" s="191" t="str">
        <f t="shared" si="12"/>
        <v/>
      </c>
      <c r="N21" s="192" t="str">
        <f t="shared" si="12"/>
        <v/>
      </c>
      <c r="O21" s="193" t="str">
        <f t="shared" si="12"/>
        <v/>
      </c>
      <c r="P21" s="193" t="str">
        <f t="shared" si="12"/>
        <v/>
      </c>
      <c r="Q21" s="193" t="str">
        <f t="shared" si="12"/>
        <v/>
      </c>
      <c r="R21" s="193" t="str">
        <f t="shared" si="12"/>
        <v/>
      </c>
      <c r="S21" s="193" t="str">
        <f t="shared" si="12"/>
        <v/>
      </c>
      <c r="T21" s="193" t="str">
        <f t="shared" si="12"/>
        <v/>
      </c>
      <c r="U21" s="193" t="str">
        <f t="shared" si="12"/>
        <v/>
      </c>
      <c r="V21" s="193" t="str">
        <f t="shared" si="12"/>
        <v/>
      </c>
      <c r="W21" s="193" t="str">
        <f t="shared" si="12"/>
        <v/>
      </c>
      <c r="X21" s="193" t="str">
        <f t="shared" si="12"/>
        <v/>
      </c>
      <c r="Y21" s="193" t="str">
        <f t="shared" si="12"/>
        <v/>
      </c>
      <c r="Z21" s="193" t="str">
        <f t="shared" si="12"/>
        <v/>
      </c>
      <c r="AA21" s="193" t="str">
        <f t="shared" si="12"/>
        <v/>
      </c>
      <c r="AB21" s="193" t="str">
        <f t="shared" si="12"/>
        <v/>
      </c>
      <c r="AC21" s="193" t="str">
        <f t="shared" si="12"/>
        <v/>
      </c>
      <c r="AD21" s="193" t="str">
        <f t="shared" si="12"/>
        <v/>
      </c>
      <c r="AE21" s="193" t="str">
        <f t="shared" si="12"/>
        <v/>
      </c>
      <c r="AF21" s="193" t="str">
        <f t="shared" si="12"/>
        <v/>
      </c>
      <c r="AG21" s="193" t="str">
        <f t="shared" si="12"/>
        <v/>
      </c>
      <c r="AH21" s="193" t="str">
        <f t="shared" si="12"/>
        <v/>
      </c>
      <c r="AI21" s="193" t="str">
        <f t="shared" si="12"/>
        <v/>
      </c>
      <c r="AJ21" s="193" t="str">
        <f t="shared" si="12"/>
        <v/>
      </c>
      <c r="AK21" s="193" t="str">
        <f t="shared" si="12"/>
        <v/>
      </c>
      <c r="AL21" s="193" t="str">
        <f t="shared" si="12"/>
        <v/>
      </c>
      <c r="AM21" s="193" t="str">
        <f t="shared" si="12"/>
        <v/>
      </c>
      <c r="AN21" s="189" t="str">
        <f t="shared" si="12"/>
        <v/>
      </c>
      <c r="AO21" s="162" t="str">
        <f t="shared" si="12"/>
        <v/>
      </c>
      <c r="AP21" s="163" t="str">
        <f t="shared" si="12"/>
        <v/>
      </c>
      <c r="AQ21" s="163" t="str">
        <f t="shared" si="12"/>
        <v/>
      </c>
      <c r="AR21" s="163" t="str">
        <f t="shared" si="12"/>
        <v/>
      </c>
      <c r="AS21" s="163" t="str">
        <f t="shared" si="12"/>
        <v/>
      </c>
      <c r="AT21" s="163" t="str">
        <f t="shared" si="12"/>
        <v/>
      </c>
      <c r="AU21" s="194" t="str">
        <f t="shared" si="12"/>
        <v/>
      </c>
      <c r="AV21" s="165" t="str">
        <f t="shared" si="12"/>
        <v/>
      </c>
    </row>
    <row r="22" spans="1:48" x14ac:dyDescent="0.25">
      <c r="A22" s="133" t="str">
        <f t="shared" ref="A22" si="13">+IF(C22+C23=0,"[ocultar]","")</f>
        <v/>
      </c>
      <c r="B22" s="202" t="s">
        <v>394</v>
      </c>
      <c r="C22" s="203">
        <f t="array" ref="C22">SUM(IF($B22=DATOS_[Sexo],
IF($B21=DATOS_[AGRUP. CLAS. PROF.],
IF("Dentro"=DATOS_[Check Periodo Ref.],
1/(COUNTIFS(DATOS_[Sexo],$B22,DATOS_[AGRUP. CLAS. PROF.],$B21,DATOS_[Check Periodo Ref.],"Dentro",DATOS_[id/cod],DATOS_[id/cod]))))))</f>
        <v>2</v>
      </c>
      <c r="D22" s="204">
        <f>COUNTIFS(DATOS_[AGRUP. CLAS. PROF.],$B21,DATOS_[Sexo],$B22,DATOS_[Check Periodo Ref.],"Dentro")</f>
        <v>2</v>
      </c>
      <c r="E22" s="204">
        <f>COUNTIFS(DATOS_[AGRUP. CLAS. PROF.],$B21,DATOS_[Sexo],$B22,DATOS_[Check Periodo Ref.],"Dentro",DATOS_[Check Nº SC Norm],"Sí")</f>
        <v>1</v>
      </c>
      <c r="F22" s="204">
        <f>COUNTIFS(DATOS_[AGRUP. CLAS. PROF.],$B21,DATOS_[Sexo],$B22,DATOS_[Check Periodo Ref.],"Dentro",DATOS_[Check Nº SC Anualiz],"Sí")</f>
        <v>0</v>
      </c>
      <c r="G22" s="204">
        <f>COUNTIFS(DATOS_[AGRUP. CLAS. PROF.],$B21,DATOS_[Sexo],$B22,DATOS_[Check Periodo Ref.],"Dentro",DATOS_[Check Nº SC Norm y Anualiz],"Sí")</f>
        <v>0</v>
      </c>
      <c r="H22" s="204">
        <f>COUNTIFS(DATOS_[AGRUP. CLAS. PROF.],$B21,DATOS_[Sexo],$B22,DATOS_[Check Periodo Ref.],"Dentro",DATOS_[Check Equiparación],"Sí")</f>
        <v>1</v>
      </c>
      <c r="I22" s="195">
        <f t="array" ref="I22">IFERROR(
MEDIAN(IF(DATOS_[Sexo]=$B22,IF(DATOS_[[AGRUP. CLAS. PROF.]:[AGRUP. CLAS. PROF.]]=$B21,IF(DATOS_[Check Equiparado]="Sí",IF(DATOS_[Check Periodo Ref.]="Dentro",DATOS_[SALARIO BASE Eq],FALSE))))),
0)</f>
        <v>0</v>
      </c>
      <c r="J22" s="196">
        <f t="array" ref="J22">IFERROR(
(MEDIAN((IF(DATOS_[[Sexo]:[Sexo]]=$B22,IF(DATOS_[[AGRUP. CLAS. PROF.]:[AGRUP. CLAS. PROF.]]=$B21,IF(DATOS_[[Check Periodo Ref.]:[Check Periodo Ref.]]="Dentro",IF(DATOS_[[Check Equiparado]:[Check Equiparado]]="Sí",IF(DATOS!AE$5="Sí",(1/DATOS_[[% anualiz]:[% anualiz]]),1)*IF(DATOS!AE$4="Sí",1/DATOS_[[% normaliz]:[% normaliz]],1)*(DATOS_[Conc.Sal.01])))))))),
0)</f>
        <v>0</v>
      </c>
      <c r="K22" s="196">
        <f t="array" ref="K22">IFERROR(
(MEDIAN((IF(DATOS_[[Sexo]:[Sexo]]=$B22,IF(DATOS_[[AGRUP. CLAS. PROF.]:[AGRUP. CLAS. PROF.]]=$B21,IF(DATOS_[[Check Periodo Ref.]:[Check Periodo Ref.]]="Dentro",IF(DATOS_[[Check Equiparado]:[Check Equiparado]]="Sí",IF(DATOS!AF$5="Sí",(1/DATOS_[[% anualiz]:[% anualiz]]),1)*IF(DATOS!AF$4="Sí",1/DATOS_[[% normaliz]:[% normaliz]],1)*(DATOS_[Conc.Sal.02])))))))),
0)</f>
        <v>0</v>
      </c>
      <c r="L22" s="196">
        <f t="array" ref="L22">IFERROR(
(MEDIAN((IF(DATOS_[[Sexo]:[Sexo]]=$B22,IF(DATOS_[[AGRUP. CLAS. PROF.]:[AGRUP. CLAS. PROF.]]=$B21,IF(DATOS_[[Check Periodo Ref.]:[Check Periodo Ref.]]="Dentro",IF(DATOS_[[Check Equiparado]:[Check Equiparado]]="Sí",IF(DATOS!AG$5="Sí",(1/DATOS_[[% anualiz]:[% anualiz]]),1)*IF(DATOS!AG$4="Sí",1/DATOS_[[% normaliz]:[% normaliz]],1)*(DATOS_[Conc.Sal.03])))))))),
0)</f>
        <v>0</v>
      </c>
      <c r="M22" s="196">
        <f t="array" ref="M22">IFERROR(
(MEDIAN((IF(DATOS_[[Sexo]:[Sexo]]=$B22,IF(DATOS_[[AGRUP. CLAS. PROF.]:[AGRUP. CLAS. PROF.]]=$B21,IF(DATOS_[[Check Periodo Ref.]:[Check Periodo Ref.]]="Dentro",IF(DATOS_[[Check Equiparado]:[Check Equiparado]]="Sí",IF(DATOS!AH$5="Sí",(1/DATOS_[[% anualiz]:[% anualiz]]),1)*IF(DATOS!AH$4="Sí",1/DATOS_[[% normaliz]:[% normaliz]],1)*(DATOS_[Conc.Sal.04])))))))),
0)</f>
        <v>0</v>
      </c>
      <c r="N22" s="196">
        <f t="array" ref="N22">IFERROR(
(MEDIAN((IF(DATOS_[[Sexo]:[Sexo]]=$B22,IF(DATOS_[[AGRUP. CLAS. PROF.]:[AGRUP. CLAS. PROF.]]=$B21,IF(DATOS_[[Check Periodo Ref.]:[Check Periodo Ref.]]="Dentro",IF(DATOS_[[Check Equiparado]:[Check Equiparado]]="Sí",IF(DATOS!AI$5="Sí",(1/DATOS_[[% anualiz]:[% anualiz]]),1)*IF(DATOS!AI$4="Sí",1/DATOS_[[% normaliz]:[% normaliz]],1)*(DATOS_[Conc.Sal.05])))))))),
0)</f>
        <v>0</v>
      </c>
      <c r="O22" s="196">
        <f t="array" ref="O22">IFERROR(
(MEDIAN((IF(DATOS_[[Sexo]:[Sexo]]=$B22,IF(DATOS_[[AGRUP. CLAS. PROF.]:[AGRUP. CLAS. PROF.]]=$B21,IF(DATOS_[[Check Periodo Ref.]:[Check Periodo Ref.]]="Dentro",IF(DATOS_[[Check Equiparado]:[Check Equiparado]]="Sí",IF(DATOS!AJ$5="Sí",(1/DATOS_[[% anualiz]:[% anualiz]]),1)*IF(DATOS!AJ$4="Sí",1/DATOS_[[% normaliz]:[% normaliz]],1)*(DATOS_[Conc.Sal.06])))))))),
0)</f>
        <v>0</v>
      </c>
      <c r="P22" s="196">
        <f t="array" ref="P22">IFERROR(
(MEDIAN((IF(DATOS_[[Sexo]:[Sexo]]=$B22,IF(DATOS_[[AGRUP. CLAS. PROF.]:[AGRUP. CLAS. PROF.]]=$B21,IF(DATOS_[[Check Periodo Ref.]:[Check Periodo Ref.]]="Dentro",IF(DATOS_[[Check Equiparado]:[Check Equiparado]]="Sí",IF(DATOS!AK$5="Sí",(1/DATOS_[[% anualiz]:[% anualiz]]),1)*IF(DATOS!AK$4="Sí",1/DATOS_[[% normaliz]:[% normaliz]],1)*(DATOS_[Conc.Sal.07])))))))),
0)</f>
        <v>0</v>
      </c>
      <c r="Q22" s="196">
        <f t="array" ref="Q22">IFERROR(
(MEDIAN((IF(DATOS_[[Sexo]:[Sexo]]=$B22,IF(DATOS_[[AGRUP. CLAS. PROF.]:[AGRUP. CLAS. PROF.]]=$B21,IF(DATOS_[[Check Periodo Ref.]:[Check Periodo Ref.]]="Dentro",IF(DATOS_[[Check Equiparado]:[Check Equiparado]]="Sí",IF(DATOS!AL$5="Sí",(1/DATOS_[[% anualiz]:[% anualiz]]),1)*IF(DATOS!AL$4="Sí",1/DATOS_[[% normaliz]:[% normaliz]],1)*(DATOS_[Conc.Sal.08])))))))),
0)</f>
        <v>0</v>
      </c>
      <c r="R22" s="196">
        <f t="array" ref="R22">IFERROR(
(MEDIAN((IF(DATOS_[[Sexo]:[Sexo]]=$B22,IF(DATOS_[[AGRUP. CLAS. PROF.]:[AGRUP. CLAS. PROF.]]=$B21,IF(DATOS_[[Check Periodo Ref.]:[Check Periodo Ref.]]="Dentro",IF(DATOS_[[Check Equiparado]:[Check Equiparado]]="Sí",IF(DATOS!AM$5="Sí",(1/DATOS_[[% anualiz]:[% anualiz]]),1)*IF(DATOS!AM$4="Sí",1/DATOS_[[% normaliz]:[% normaliz]],1)*(DATOS_[Conc.Sal.09])))))))),
0)</f>
        <v>0</v>
      </c>
      <c r="S22" s="196">
        <f t="array" ref="S22">IFERROR(
(MEDIAN((IF(DATOS_[[Sexo]:[Sexo]]=$B22,IF(DATOS_[[AGRUP. CLAS. PROF.]:[AGRUP. CLAS. PROF.]]=$B21,IF(DATOS_[[Check Periodo Ref.]:[Check Periodo Ref.]]="Dentro",IF(DATOS_[[Check Equiparado]:[Check Equiparado]]="Sí",IF(DATOS!AN$5="Sí",(1/DATOS_[[% anualiz]:[% anualiz]]),1)*IF(DATOS!AN$4="Sí",1/DATOS_[[% normaliz]:[% normaliz]],1)*(DATOS_[Conc.Sal.10])))))))),
0)</f>
        <v>0</v>
      </c>
      <c r="T22" s="196">
        <f t="array" ref="T22">IFERROR(
(MEDIAN((IF(DATOS_[[Sexo]:[Sexo]]=$B22,IF(DATOS_[[AGRUP. CLAS. PROF.]:[AGRUP. CLAS. PROF.]]=$B21,IF(DATOS_[[Check Periodo Ref.]:[Check Periodo Ref.]]="Dentro",IF(DATOS_[[Check Equiparado]:[Check Equiparado]]="Sí",IF(DATOS!AO$5="Sí",(1/DATOS_[[% anualiz]:[% anualiz]]),1)*IF(DATOS!AO$4="Sí",1/DATOS_[[% normaliz]:[% normaliz]],1)*(DATOS_[Conc.Sal.11])))))))),
0)</f>
        <v>0</v>
      </c>
      <c r="U22" s="196">
        <f t="array" ref="U22">IFERROR(
(MEDIAN((IF(DATOS_[[Sexo]:[Sexo]]=$B22,IF(DATOS_[[AGRUP. CLAS. PROF.]:[AGRUP. CLAS. PROF.]]=$B21,IF(DATOS_[[Check Periodo Ref.]:[Check Periodo Ref.]]="Dentro",IF(DATOS_[[Check Equiparado]:[Check Equiparado]]="Sí",IF(DATOS!AP$5="Sí",(1/DATOS_[[% anualiz]:[% anualiz]]),1)*IF(DATOS!AP$4="Sí",1/DATOS_[[% normaliz]:[% normaliz]],1)*(DATOS_[Conc.Sal.12])))))))),
0)</f>
        <v>0</v>
      </c>
      <c r="V22" s="196">
        <f t="array" ref="V22">IFERROR(
(MEDIAN((IF(DATOS_[[Sexo]:[Sexo]]=$B22,IF(DATOS_[[AGRUP. CLAS. PROF.]:[AGRUP. CLAS. PROF.]]=$B21,IF(DATOS_[[Check Periodo Ref.]:[Check Periodo Ref.]]="Dentro",IF(DATOS_[[Check Equiparado]:[Check Equiparado]]="Sí",IF(DATOS!AQ$5="Sí",(1/DATOS_[[% anualiz]:[% anualiz]]),1)*IF(DATOS!AQ$4="Sí",1/DATOS_[[% normaliz]:[% normaliz]],1)*(DATOS_[Conc.Sal.13])))))))),
0)</f>
        <v>0</v>
      </c>
      <c r="W22" s="196">
        <f t="array" ref="W22">IFERROR(
(MEDIAN((IF(DATOS_[[Sexo]:[Sexo]]=$B22,IF(DATOS_[[AGRUP. CLAS. PROF.]:[AGRUP. CLAS. PROF.]]=$B21,IF(DATOS_[[Check Periodo Ref.]:[Check Periodo Ref.]]="Dentro",IF(DATOS_[[Check Equiparado]:[Check Equiparado]]="Sí",IF(DATOS!AR$5="Sí",(1/DATOS_[[% anualiz]:[% anualiz]]),1)*IF(DATOS!AR$4="Sí",1/DATOS_[[% normaliz]:[% normaliz]],1)*(DATOS_[Conc.Sal.14])))))))),
0)</f>
        <v>0</v>
      </c>
      <c r="X22" s="196">
        <f t="array" ref="X22">IFERROR(
(MEDIAN((IF(DATOS_[[Sexo]:[Sexo]]=$B22,IF(DATOS_[[AGRUP. CLAS. PROF.]:[AGRUP. CLAS. PROF.]]=$B21,IF(DATOS_[[Check Periodo Ref.]:[Check Periodo Ref.]]="Dentro",IF(DATOS_[[Check Equiparado]:[Check Equiparado]]="Sí",IF(DATOS!AS$5="Sí",(1/DATOS_[[% anualiz]:[% anualiz]]),1)*IF(DATOS!AS$4="Sí",1/DATOS_[[% normaliz]:[% normaliz]],1)*(DATOS_[Conc.Sal.15])))))))),
0)</f>
        <v>0</v>
      </c>
      <c r="Y22" s="196">
        <f t="array" ref="Y22">IFERROR(
(MEDIAN((IF(DATOS_[[Sexo]:[Sexo]]=$B22,IF(DATOS_[[AGRUP. CLAS. PROF.]:[AGRUP. CLAS. PROF.]]=$B21,IF(DATOS_[[Check Periodo Ref.]:[Check Periodo Ref.]]="Dentro",IF(DATOS_[[Check Equiparado]:[Check Equiparado]]="Sí",IF(DATOS!AT$5="Sí",(1/DATOS_[[% anualiz]:[% anualiz]]),1)*IF(DATOS!AT$4="Sí",1/DATOS_[[% normaliz]:[% normaliz]],1)*(DATOS_[Conc.Sal.16])))))))),
0)</f>
        <v>0</v>
      </c>
      <c r="Z22" s="196">
        <f t="array" ref="Z22">IFERROR(
(MEDIAN((IF(DATOS_[[Sexo]:[Sexo]]=$B22,IF(DATOS_[[AGRUP. CLAS. PROF.]:[AGRUP. CLAS. PROF.]]=$B21,IF(DATOS_[[Check Periodo Ref.]:[Check Periodo Ref.]]="Dentro",IF(DATOS_[[Check Equiparado]:[Check Equiparado]]="Sí",IF(DATOS!AU$5="Sí",(1/DATOS_[[% anualiz]:[% anualiz]]),1)*IF(DATOS!AU$4="Sí",1/DATOS_[[% normaliz]:[% normaliz]],1)*(DATOS_[Conc.Sal.17])))))))),
0)</f>
        <v>0</v>
      </c>
      <c r="AA22" s="196">
        <f t="array" ref="AA22">IFERROR(
(MEDIAN((IF(DATOS_[[Sexo]:[Sexo]]=$B22,IF(DATOS_[[AGRUP. CLAS. PROF.]:[AGRUP. CLAS. PROF.]]=$B21,IF(DATOS_[[Check Periodo Ref.]:[Check Periodo Ref.]]="Dentro",IF(DATOS_[[Check Equiparado]:[Check Equiparado]]="Sí",IF(DATOS!AV$5="Sí",(1/DATOS_[[% anualiz]:[% anualiz]]),1)*IF(DATOS!AV$4="Sí",1/DATOS_[[% normaliz]:[% normaliz]],1)*(DATOS_[Conc.Sal.18])))))))),
0)</f>
        <v>0</v>
      </c>
      <c r="AB22" s="196">
        <f t="array" ref="AB22">IFERROR(
(MEDIAN((IF(DATOS_[[Sexo]:[Sexo]]=$B22,IF(DATOS_[[AGRUP. CLAS. PROF.]:[AGRUP. CLAS. PROF.]]=$B21,IF(DATOS_[[Check Periodo Ref.]:[Check Periodo Ref.]]="Dentro",IF(DATOS_[[Check Equiparado]:[Check Equiparado]]="Sí",IF(DATOS!AW$5="Sí",(1/DATOS_[[% anualiz]:[% anualiz]]),1)*IF(DATOS!AW$4="Sí",1/DATOS_[[% normaliz]:[% normaliz]],1)*(DATOS_[Conc.Sal.19])))))))),
0)</f>
        <v>0</v>
      </c>
      <c r="AC22" s="196">
        <f t="array" ref="AC22">IFERROR(
(MEDIAN((IF(DATOS_[[Sexo]:[Sexo]]=$B22,IF(DATOS_[[AGRUP. CLAS. PROF.]:[AGRUP. CLAS. PROF.]]=$B21,IF(DATOS_[[Check Periodo Ref.]:[Check Periodo Ref.]]="Dentro",IF(DATOS_[[Check Equiparado]:[Check Equiparado]]="Sí",IF(DATOS!AX$5="Sí",(1/DATOS_[[% anualiz]:[% anualiz]]),1)*IF(DATOS!AX$4="Sí",1/DATOS_[[% normaliz]:[% normaliz]],1)*(DATOS_[Conc.Sal.20])))))))),
0)</f>
        <v>0</v>
      </c>
      <c r="AD22" s="196">
        <f t="array" ref="AD22">IFERROR(
(MEDIAN((IF(DATOS_[[Sexo]:[Sexo]]=$B22,IF(DATOS_[[AGRUP. CLAS. PROF.]:[AGRUP. CLAS. PROF.]]=$B21,IF(DATOS_[[Check Periodo Ref.]:[Check Periodo Ref.]]="Dentro",IF(DATOS_[[Check Equiparado]:[Check Equiparado]]="Sí",IF(DATOS!AY$5="Sí",(1/DATOS_[[% anualiz]:[% anualiz]]),1)*IF(DATOS!AY$4="Sí",1/DATOS_[[% normaliz]:[% normaliz]],1)*(DATOS_[Conc.Sal.21])))))))),
0)</f>
        <v>0</v>
      </c>
      <c r="AE22" s="196">
        <f t="array" ref="AE22">IFERROR(
(MEDIAN((IF(DATOS_[[Sexo]:[Sexo]]=$B22,IF(DATOS_[[AGRUP. CLAS. PROF.]:[AGRUP. CLAS. PROF.]]=$B21,IF(DATOS_[[Check Periodo Ref.]:[Check Periodo Ref.]]="Dentro",IF(DATOS_[[Check Equiparado]:[Check Equiparado]]="Sí",IF(DATOS!AZ$5="Sí",(1/DATOS_[[% anualiz]:[% anualiz]]),1)*IF(DATOS!AZ$4="Sí",1/DATOS_[[% normaliz]:[% normaliz]],1)*(DATOS_[Conc.Sal.22])))))))),
0)</f>
        <v>0</v>
      </c>
      <c r="AF22" s="196">
        <f t="array" ref="AF22">IFERROR(
(MEDIAN((IF(DATOS_[[Sexo]:[Sexo]]=$B22,IF(DATOS_[[AGRUP. CLAS. PROF.]:[AGRUP. CLAS. PROF.]]=$B21,IF(DATOS_[[Check Periodo Ref.]:[Check Periodo Ref.]]="Dentro",IF(DATOS_[[Check Equiparado]:[Check Equiparado]]="Sí",IF(DATOS!BA$5="Sí",(1/DATOS_[[% anualiz]:[% anualiz]]),1)*IF(DATOS!BA$4="Sí",1/DATOS_[[% normaliz]:[% normaliz]],1)*(DATOS_[Conc.Sal.23])))))))),
0)</f>
        <v>0</v>
      </c>
      <c r="AG22" s="196">
        <f t="array" ref="AG22">IFERROR(
(MEDIAN((IF(DATOS_[[Sexo]:[Sexo]]=$B22,IF(DATOS_[[AGRUP. CLAS. PROF.]:[AGRUP. CLAS. PROF.]]=$B21,IF(DATOS_[[Check Periodo Ref.]:[Check Periodo Ref.]]="Dentro",IF(DATOS_[[Check Equiparado]:[Check Equiparado]]="Sí",IF(DATOS!BB$5="Sí",(1/DATOS_[[% anualiz]:[% anualiz]]),1)*IF(DATOS!BB$4="Sí",1/DATOS_[[% normaliz]:[% normaliz]],1)*(DATOS_[Conc.Sal.24])))))))),
0)</f>
        <v>0</v>
      </c>
      <c r="AH22" s="196">
        <f t="array" ref="AH22">IFERROR(
(MEDIAN((IF(DATOS_[[Sexo]:[Sexo]]=$B22,IF(DATOS_[[AGRUP. CLAS. PROF.]:[AGRUP. CLAS. PROF.]]=$B21,IF(DATOS_[[Check Periodo Ref.]:[Check Periodo Ref.]]="Dentro",IF(DATOS_[[Check Equiparado]:[Check Equiparado]]="Sí",IF(DATOS!BC$5="Sí",(1/DATOS_[[% anualiz]:[% anualiz]]),1)*IF(DATOS!BC$4="Sí",1/DATOS_[[% normaliz]:[% normaliz]],1)*(DATOS_[Conc.Sal.25])))))))),
0)</f>
        <v>0</v>
      </c>
      <c r="AI22" s="196">
        <f t="array" ref="AI22">IFERROR(
(MEDIAN((IF(DATOS_[[Sexo]:[Sexo]]=$B22,IF(DATOS_[[AGRUP. CLAS. PROF.]:[AGRUP. CLAS. PROF.]]=$B21,IF(DATOS_[[Check Periodo Ref.]:[Check Periodo Ref.]]="Dentro",IF(DATOS_[[Check Equiparado]:[Check Equiparado]]="Sí",IF(DATOS!BD$5="Sí",(1/DATOS_[[% anualiz]:[% anualiz]]),1)*IF(DATOS!BD$4="Sí",1/DATOS_[[% normaliz]:[% normaliz]],1)*(DATOS_[Conc.Sal.26])))))))),
0)</f>
        <v>0</v>
      </c>
      <c r="AJ22" s="196">
        <f t="array" ref="AJ22">IFERROR(
(MEDIAN((IF(DATOS_[[Sexo]:[Sexo]]=$B22,IF(DATOS_[[AGRUP. CLAS. PROF.]:[AGRUP. CLAS. PROF.]]=$B21,IF(DATOS_[[Check Periodo Ref.]:[Check Periodo Ref.]]="Dentro",IF(DATOS_[[Check Equiparado]:[Check Equiparado]]="Sí",IF(DATOS!BE$5="Sí",(1/DATOS_[[% anualiz]:[% anualiz]]),1)*IF(DATOS!BE$4="Sí",1/DATOS_[[% normaliz]:[% normaliz]],1)*(DATOS_[Conc.Sal.27])))))))),
0)</f>
        <v>0</v>
      </c>
      <c r="AK22" s="196">
        <f t="array" ref="AK22">IFERROR(
(MEDIAN((IF(DATOS_[[Sexo]:[Sexo]]=$B22,IF(DATOS_[[AGRUP. CLAS. PROF.]:[AGRUP. CLAS. PROF.]]=$B21,IF(DATOS_[[Check Periodo Ref.]:[Check Periodo Ref.]]="Dentro",IF(DATOS_[[Check Equiparado]:[Check Equiparado]]="Sí",IF(DATOS!BF$5="Sí",(1/DATOS_[[% anualiz]:[% anualiz]]),1)*IF(DATOS!BF$4="Sí",1/DATOS_[[% normaliz]:[% normaliz]],1)*(DATOS_[Conc.Sal.28])))))))),
0)</f>
        <v>0</v>
      </c>
      <c r="AL22" s="196">
        <f t="array" ref="AL22">IFERROR(
(MEDIAN((IF(DATOS_[[Sexo]:[Sexo]]=$B22,IF(DATOS_[[AGRUP. CLAS. PROF.]:[AGRUP. CLAS. PROF.]]=$B21,IF(DATOS_[[Check Periodo Ref.]:[Check Periodo Ref.]]="Dentro",IF(DATOS_[[Check Equiparado]:[Check Equiparado]]="Sí",IF(DATOS!BG$5="Sí",(1/DATOS_[[% anualiz]:[% anualiz]]),1)*IF(DATOS!BG$4="Sí",1/DATOS_[[% normaliz]:[% normaliz]],1)*(DATOS_[Conc.Sal.29])))))))),
0)</f>
        <v>0</v>
      </c>
      <c r="AM22" s="196">
        <f t="array" ref="AM22">IFERROR(
(MEDIAN((IF(DATOS_[[Sexo]:[Sexo]]=$B22,IF(DATOS_[[AGRUP. CLAS. PROF.]:[AGRUP. CLAS. PROF.]]=$B21,IF(DATOS_[[Check Periodo Ref.]:[Check Periodo Ref.]]="Dentro",IF(DATOS_[[Check Equiparado]:[Check Equiparado]]="Sí",IF(DATOS!BH$5="Sí",(1/DATOS_[[% anualiz]:[% anualiz]]),1)*IF(DATOS!BH$4="Sí",1/DATOS_[[% normaliz]:[% normaliz]],1)*(DATOS_[Conc.Sal.30])))))))),
0)</f>
        <v>0</v>
      </c>
      <c r="AN22" s="195">
        <f t="array" ref="AN22">IFERROR(
MEDIAN(IF(DATOS_[Sexo]=$B22,IF(DATOS_[[AGRUP. CLAS. PROF.]:[AGRUP. CLAS. PROF.]]=$B21,IF(DATOS_[Check Equiparado]="Sí",IF(DATOS_[Check Periodo Ref.]="Dentro",DATOS_[Tot COMPL.SAL Eq],FALSE))))),
0)</f>
        <v>0</v>
      </c>
      <c r="AO22" s="172">
        <f t="array" ref="AO22">IFERROR(
MEDIAN(IF(DATOS_[Sexo]=$B22,IF(DATOS_[[AGRUP. CLAS. PROF.]:[AGRUP. CLAS. PROF.]]=$B21,IF(DATOS_[Check Equiparado]="Sí",IF(DATOS_[Check Periodo Ref.]="Dentro",DATOS_[TOTAL SALARIO Eq],FALSE))))),
0)</f>
        <v>0</v>
      </c>
      <c r="AP22" s="173">
        <f t="array" ref="AP22">IFERROR(
(MEDIAN((IF(DATOS_[[Sexo]:[Sexo]]=$B22,IF(DATOS_[[AGRUP. CLAS. PROF.]:[AGRUP. CLAS. PROF.]]=$B21,IF(DATOS_[[Check Periodo Ref.]:[Check Periodo Ref.]]="Dentro",IF(DATOS_[[Check Equiparado]:[Check Equiparado]]="Sí",IF(DATOS!BW$5="Sí",(1/DATOS_[[% anualiz]:[% anualiz]]),1)*IF(DATOS!BW$4="Sí",1/DATOS_[[% normaliz]:[% normaliz]],1)*(DATOS_[C.Extra.01])))))))),
0)</f>
        <v>0</v>
      </c>
      <c r="AQ22" s="173">
        <f t="array" ref="AQ22">IFERROR(
(MEDIAN((IF(DATOS_[[Sexo]:[Sexo]]=$B22,IF(DATOS_[[AGRUP. CLAS. PROF.]:[AGRUP. CLAS. PROF.]]=$B21,IF(DATOS_[[Check Periodo Ref.]:[Check Periodo Ref.]]="Dentro",IF(DATOS_[[Check Equiparado]:[Check Equiparado]]="Sí",IF(DATOS!CB$5="Sí",(1/DATOS_[[% anualiz]:[% anualiz]]),1)*IF(DATOS!CB$4="Sí",1/DATOS_[[% normaliz]:[% normaliz]],1)*(DATOS_[C.Extra.06])))))))),
0)</f>
        <v>0</v>
      </c>
      <c r="AR22" s="173">
        <f t="array" ref="AR22">IFERROR(
(MEDIAN((IF(DATOS_[[Sexo]:[Sexo]]=$B22,IF(DATOS_[[AGRUP. CLAS. PROF.]:[AGRUP. CLAS. PROF.]]=$B21,IF(DATOS_[[Check Periodo Ref.]:[Check Periodo Ref.]]="Dentro",IF(DATOS_[[Check Equiparado]:[Check Equiparado]]="Sí",IF(DATOS!CC$5="Sí",(1/DATOS_[[% anualiz]:[% anualiz]]),1)*IF(DATOS!CC$4="Sí",1/DATOS_[[% normaliz]:[% normaliz]],1)*(DATOS_[C.Extra.07])))))))),
0)</f>
        <v>0</v>
      </c>
      <c r="AS22" s="173">
        <f t="array" ref="AS22">IFERROR(
(MEDIAN((IF(DATOS_[[Sexo]:[Sexo]]=$B22,IF(DATOS_[[AGRUP. CLAS. PROF.]:[AGRUP. CLAS. PROF.]]=$B21,IF(DATOS_[[Check Periodo Ref.]:[Check Periodo Ref.]]="Dentro",IF(DATOS_[[Check Equiparado]:[Check Equiparado]]="Sí",IF(DATOS!CD$5="Sí",(1/DATOS_[[% anualiz]:[% anualiz]]),1)*IF(DATOS!CD$4="Sí",1/DATOS_[[% normaliz]:[% normaliz]],1)*(DATOS_[C.Extra.08])))))))),
0)</f>
        <v>0</v>
      </c>
      <c r="AT22" s="173">
        <f t="array" ref="AT22">IFERROR(
(MEDIAN((IF(DATOS_[[Sexo]:[Sexo]]=$B22,IF(DATOS_[[AGRUP. CLAS. PROF.]:[AGRUP. CLAS. PROF.]]=$B21,IF(DATOS_[[Check Periodo Ref.]:[Check Periodo Ref.]]="Dentro",IF(DATOS_[[Check Equiparado]:[Check Equiparado]]="Sí",IF(DATOS!CG$5="Sí",(1/DATOS_[[% anualiz]:[% anualiz]]),1)*IF(DATOS!CG$4="Sí",1/DATOS_[[% normaliz]:[% normaliz]],1)*(DATOS_[C.Extra.11])))))))),
0)</f>
        <v>0</v>
      </c>
      <c r="AU22" s="197">
        <f t="array" ref="AU22">IFERROR(
MEDIAN(IF(DATOS_[Sexo]=$B22,IF(DATOS_[[AGRUP. CLAS. PROF.]:[AGRUP. CLAS. PROF.]]=$B21,IF(DATOS_[Check Equiparado]="Sí",IF(DATOS_[Check Periodo Ref.]="Dentro",DATOS_[Tot Extrasalarial Eq],FALSE))))),
0)</f>
        <v>0</v>
      </c>
      <c r="AV22" s="175">
        <f t="array" ref="AV22">IFERROR(
MEDIAN(IF(DATOS_[Sexo]=$B22,IF(DATOS_[[AGRUP. CLAS. PROF.]:[AGRUP. CLAS. PROF.]]=$B21,IF(DATOS_[Check Equiparado]="Sí",IF(DATOS_[Check Periodo Ref.]="Dentro",DATOS_[TOTAL Retrib Eq],FALSE))))),
0)</f>
        <v>0</v>
      </c>
    </row>
    <row r="23" spans="1:48" x14ac:dyDescent="0.25">
      <c r="A23" s="133" t="str">
        <f t="shared" ref="A23" si="14">+A22</f>
        <v/>
      </c>
      <c r="B23" s="202" t="s">
        <v>521</v>
      </c>
      <c r="C23" s="203">
        <f t="array" ref="C23">SUM(IF($B23=DATOS_[Sexo],
IF($B21=DATOS_[AGRUP. CLAS. PROF.],
IF("Dentro"=DATOS_[Check Periodo Ref.],
1/(COUNTIFS(DATOS_[Sexo],$B23,DATOS_[AGRUP. CLAS. PROF.],$B21,DATOS_[Check Periodo Ref.],"Dentro",DATOS_[id/cod],DATOS_[id/cod]))))))</f>
        <v>0</v>
      </c>
      <c r="D23" s="204">
        <f>COUNTIFS(DATOS_[AGRUP. CLAS. PROF.],$B21,DATOS_[Sexo],$B23,DATOS_[Check Periodo Ref.],"Dentro")</f>
        <v>0</v>
      </c>
      <c r="E23" s="204">
        <f>COUNTIFS(DATOS_[AGRUP. CLAS. PROF.],$B21,DATOS_[Sexo],$B23,DATOS_[Check Periodo Ref.],"Dentro",DATOS_[Check Nº SC Norm],"Sí")</f>
        <v>0</v>
      </c>
      <c r="F23" s="204">
        <f>COUNTIFS(DATOS_[AGRUP. CLAS. PROF.],$B21,DATOS_[Sexo],$B23,DATOS_[Check Periodo Ref.],"Dentro",DATOS_[Check Nº SC Anualiz],"Sí")</f>
        <v>0</v>
      </c>
      <c r="G23" s="204">
        <f>COUNTIFS(DATOS_[AGRUP. CLAS. PROF.],$B21,DATOS_[Sexo],$B23,DATOS_[Check Periodo Ref.],"Dentro",DATOS_[Check Nº SC Norm y Anualiz],"Sí")</f>
        <v>0</v>
      </c>
      <c r="H23" s="204">
        <f>COUNTIFS(DATOS_[AGRUP. CLAS. PROF.],$B21,DATOS_[Sexo],$B23,DATOS_[Check Periodo Ref.],"Dentro",DATOS_[Check Equiparación],"Sí")</f>
        <v>0</v>
      </c>
      <c r="I23" s="195" cm="1">
        <f t="array" ref="I23">IFERROR(
MEDIAN(IF(DATOS_[Sexo]=$B23,IF(DATOS_[[AGRUP. CLAS. PROF.]:[AGRUP. CLAS. PROF.]]=$B21,IF(DATOS_[Check Equiparado]="Sí",IF(DATOS_[Check Periodo Ref.]="Dentro",DATOS_[SALARIO BASE Eq],FALSE))))),
0)</f>
        <v>0</v>
      </c>
      <c r="J23" s="196">
        <f t="array" ref="J23">IFERROR(
(MEDIAN((IF(DATOS_[[Sexo]:[Sexo]]=$B23,IF(DATOS_[[AGRUP. CLAS. PROF.]:[AGRUP. CLAS. PROF.]]=$B21,IF(DATOS_[[Check Periodo Ref.]:[Check Periodo Ref.]]="Dentro",IF(DATOS_[[Check Equiparado]:[Check Equiparado]]="Sí",IF(DATOS!AE$5="Sí",(1/DATOS_[[% anualiz]:[% anualiz]]),1)*IF(DATOS!AE$4="Sí",1/DATOS_[[% normaliz]:[% normaliz]],1)*(DATOS_[Conc.Sal.01])))))))),
0)</f>
        <v>0</v>
      </c>
      <c r="K23" s="196">
        <f t="array" ref="K23">IFERROR(
(MEDIAN((IF(DATOS_[[Sexo]:[Sexo]]=$B23,IF(DATOS_[[AGRUP. CLAS. PROF.]:[AGRUP. CLAS. PROF.]]=$B21,IF(DATOS_[[Check Periodo Ref.]:[Check Periodo Ref.]]="Dentro",IF(DATOS_[[Check Equiparado]:[Check Equiparado]]="Sí",IF(DATOS!AF$5="Sí",(1/DATOS_[[% anualiz]:[% anualiz]]),1)*IF(DATOS!AF$4="Sí",1/DATOS_[[% normaliz]:[% normaliz]],1)*(DATOS_[Conc.Sal.02])))))))),
0)</f>
        <v>0</v>
      </c>
      <c r="L23" s="196">
        <f t="array" ref="L23">IFERROR(
(MEDIAN((IF(DATOS_[[Sexo]:[Sexo]]=$B23,IF(DATOS_[[AGRUP. CLAS. PROF.]:[AGRUP. CLAS. PROF.]]=$B21,IF(DATOS_[[Check Periodo Ref.]:[Check Periodo Ref.]]="Dentro",IF(DATOS_[[Check Equiparado]:[Check Equiparado]]="Sí",IF(DATOS!AG$5="Sí",(1/DATOS_[[% anualiz]:[% anualiz]]),1)*IF(DATOS!AG$4="Sí",1/DATOS_[[% normaliz]:[% normaliz]],1)*(DATOS_[Conc.Sal.03])))))))),
0)</f>
        <v>0</v>
      </c>
      <c r="M23" s="196">
        <f t="array" ref="M23">IFERROR(
(MEDIAN((IF(DATOS_[[Sexo]:[Sexo]]=$B23,IF(DATOS_[[AGRUP. CLAS. PROF.]:[AGRUP. CLAS. PROF.]]=$B21,IF(DATOS_[[Check Periodo Ref.]:[Check Periodo Ref.]]="Dentro",IF(DATOS_[[Check Equiparado]:[Check Equiparado]]="Sí",IF(DATOS!AH$5="Sí",(1/DATOS_[[% anualiz]:[% anualiz]]),1)*IF(DATOS!AH$4="Sí",1/DATOS_[[% normaliz]:[% normaliz]],1)*(DATOS_[Conc.Sal.04])))))))),
0)</f>
        <v>0</v>
      </c>
      <c r="N23" s="196">
        <f t="array" ref="N23">IFERROR(
(MEDIAN((IF(DATOS_[[Sexo]:[Sexo]]=$B23,IF(DATOS_[[AGRUP. CLAS. PROF.]:[AGRUP. CLAS. PROF.]]=$B21,IF(DATOS_[[Check Periodo Ref.]:[Check Periodo Ref.]]="Dentro",IF(DATOS_[[Check Equiparado]:[Check Equiparado]]="Sí",IF(DATOS!AI$5="Sí",(1/DATOS_[[% anualiz]:[% anualiz]]),1)*IF(DATOS!AI$4="Sí",1/DATOS_[[% normaliz]:[% normaliz]],1)*(DATOS_[Conc.Sal.05])))))))),
0)</f>
        <v>0</v>
      </c>
      <c r="O23" s="196">
        <f t="array" ref="O23">IFERROR(
(MEDIAN((IF(DATOS_[[Sexo]:[Sexo]]=$B23,IF(DATOS_[[AGRUP. CLAS. PROF.]:[AGRUP. CLAS. PROF.]]=$B21,IF(DATOS_[[Check Periodo Ref.]:[Check Periodo Ref.]]="Dentro",IF(DATOS_[[Check Equiparado]:[Check Equiparado]]="Sí",IF(DATOS!AJ$5="Sí",(1/DATOS_[[% anualiz]:[% anualiz]]),1)*IF(DATOS!AJ$4="Sí",1/DATOS_[[% normaliz]:[% normaliz]],1)*(DATOS_[Conc.Sal.06])))))))),
0)</f>
        <v>0</v>
      </c>
      <c r="P23" s="196">
        <f t="array" ref="P23">IFERROR(
(MEDIAN((IF(DATOS_[[Sexo]:[Sexo]]=$B23,IF(DATOS_[[AGRUP. CLAS. PROF.]:[AGRUP. CLAS. PROF.]]=$B21,IF(DATOS_[[Check Periodo Ref.]:[Check Periodo Ref.]]="Dentro",IF(DATOS_[[Check Equiparado]:[Check Equiparado]]="Sí",IF(DATOS!AK$5="Sí",(1/DATOS_[[% anualiz]:[% anualiz]]),1)*IF(DATOS!AK$4="Sí",1/DATOS_[[% normaliz]:[% normaliz]],1)*(DATOS_[Conc.Sal.07])))))))),
0)</f>
        <v>0</v>
      </c>
      <c r="Q23" s="196">
        <f t="array" ref="Q23">IFERROR(
(MEDIAN((IF(DATOS_[[Sexo]:[Sexo]]=$B23,IF(DATOS_[[AGRUP. CLAS. PROF.]:[AGRUP. CLAS. PROF.]]=$B21,IF(DATOS_[[Check Periodo Ref.]:[Check Periodo Ref.]]="Dentro",IF(DATOS_[[Check Equiparado]:[Check Equiparado]]="Sí",IF(DATOS!AL$5="Sí",(1/DATOS_[[% anualiz]:[% anualiz]]),1)*IF(DATOS!AL$4="Sí",1/DATOS_[[% normaliz]:[% normaliz]],1)*(DATOS_[Conc.Sal.08])))))))),
0)</f>
        <v>0</v>
      </c>
      <c r="R23" s="196">
        <f t="array" ref="R23">IFERROR(
(MEDIAN((IF(DATOS_[[Sexo]:[Sexo]]=$B23,IF(DATOS_[[AGRUP. CLAS. PROF.]:[AGRUP. CLAS. PROF.]]=$B21,IF(DATOS_[[Check Periodo Ref.]:[Check Periodo Ref.]]="Dentro",IF(DATOS_[[Check Equiparado]:[Check Equiparado]]="Sí",IF(DATOS!AM$5="Sí",(1/DATOS_[[% anualiz]:[% anualiz]]),1)*IF(DATOS!AM$4="Sí",1/DATOS_[[% normaliz]:[% normaliz]],1)*(DATOS_[Conc.Sal.09])))))))),
0)</f>
        <v>0</v>
      </c>
      <c r="S23" s="196">
        <f t="array" ref="S23">IFERROR(
(MEDIAN((IF(DATOS_[[Sexo]:[Sexo]]=$B23,IF(DATOS_[[AGRUP. CLAS. PROF.]:[AGRUP. CLAS. PROF.]]=$B21,IF(DATOS_[[Check Periodo Ref.]:[Check Periodo Ref.]]="Dentro",IF(DATOS_[[Check Equiparado]:[Check Equiparado]]="Sí",IF(DATOS!AN$5="Sí",(1/DATOS_[[% anualiz]:[% anualiz]]),1)*IF(DATOS!AN$4="Sí",1/DATOS_[[% normaliz]:[% normaliz]],1)*(DATOS_[Conc.Sal.10])))))))),
0)</f>
        <v>0</v>
      </c>
      <c r="T23" s="196">
        <f t="array" ref="T23">IFERROR(
(MEDIAN((IF(DATOS_[[Sexo]:[Sexo]]=$B23,IF(DATOS_[[AGRUP. CLAS. PROF.]:[AGRUP. CLAS. PROF.]]=$B21,IF(DATOS_[[Check Periodo Ref.]:[Check Periodo Ref.]]="Dentro",IF(DATOS_[[Check Equiparado]:[Check Equiparado]]="Sí",IF(DATOS!AO$5="Sí",(1/DATOS_[[% anualiz]:[% anualiz]]),1)*IF(DATOS!AO$4="Sí",1/DATOS_[[% normaliz]:[% normaliz]],1)*(DATOS_[Conc.Sal.11])))))))),
0)</f>
        <v>0</v>
      </c>
      <c r="U23" s="196">
        <f t="array" ref="U23">IFERROR(
(MEDIAN((IF(DATOS_[[Sexo]:[Sexo]]=$B23,IF(DATOS_[[AGRUP. CLAS. PROF.]:[AGRUP. CLAS. PROF.]]=$B21,IF(DATOS_[[Check Periodo Ref.]:[Check Periodo Ref.]]="Dentro",IF(DATOS_[[Check Equiparado]:[Check Equiparado]]="Sí",IF(DATOS!AP$5="Sí",(1/DATOS_[[% anualiz]:[% anualiz]]),1)*IF(DATOS!AP$4="Sí",1/DATOS_[[% normaliz]:[% normaliz]],1)*(DATOS_[Conc.Sal.12])))))))),
0)</f>
        <v>0</v>
      </c>
      <c r="V23" s="196">
        <f t="array" ref="V23">IFERROR(
(MEDIAN((IF(DATOS_[[Sexo]:[Sexo]]=$B23,IF(DATOS_[[AGRUP. CLAS. PROF.]:[AGRUP. CLAS. PROF.]]=$B21,IF(DATOS_[[Check Periodo Ref.]:[Check Periodo Ref.]]="Dentro",IF(DATOS_[[Check Equiparado]:[Check Equiparado]]="Sí",IF(DATOS!AQ$5="Sí",(1/DATOS_[[% anualiz]:[% anualiz]]),1)*IF(DATOS!AQ$4="Sí",1/DATOS_[[% normaliz]:[% normaliz]],1)*(DATOS_[Conc.Sal.13])))))))),
0)</f>
        <v>0</v>
      </c>
      <c r="W23" s="196">
        <f t="array" ref="W23">IFERROR(
(MEDIAN((IF(DATOS_[[Sexo]:[Sexo]]=$B23,IF(DATOS_[[AGRUP. CLAS. PROF.]:[AGRUP. CLAS. PROF.]]=$B21,IF(DATOS_[[Check Periodo Ref.]:[Check Periodo Ref.]]="Dentro",IF(DATOS_[[Check Equiparado]:[Check Equiparado]]="Sí",IF(DATOS!AR$5="Sí",(1/DATOS_[[% anualiz]:[% anualiz]]),1)*IF(DATOS!AR$4="Sí",1/DATOS_[[% normaliz]:[% normaliz]],1)*(DATOS_[Conc.Sal.14])))))))),
0)</f>
        <v>0</v>
      </c>
      <c r="X23" s="196">
        <f t="array" ref="X23">IFERROR(
(MEDIAN((IF(DATOS_[[Sexo]:[Sexo]]=$B23,IF(DATOS_[[AGRUP. CLAS. PROF.]:[AGRUP. CLAS. PROF.]]=$B21,IF(DATOS_[[Check Periodo Ref.]:[Check Periodo Ref.]]="Dentro",IF(DATOS_[[Check Equiparado]:[Check Equiparado]]="Sí",IF(DATOS!AS$5="Sí",(1/DATOS_[[% anualiz]:[% anualiz]]),1)*IF(DATOS!AS$4="Sí",1/DATOS_[[% normaliz]:[% normaliz]],1)*(DATOS_[Conc.Sal.15])))))))),
0)</f>
        <v>0</v>
      </c>
      <c r="Y23" s="196">
        <f t="array" ref="Y23">IFERROR(
(MEDIAN((IF(DATOS_[[Sexo]:[Sexo]]=$B23,IF(DATOS_[[AGRUP. CLAS. PROF.]:[AGRUP. CLAS. PROF.]]=$B21,IF(DATOS_[[Check Periodo Ref.]:[Check Periodo Ref.]]="Dentro",IF(DATOS_[[Check Equiparado]:[Check Equiparado]]="Sí",IF(DATOS!AT$5="Sí",(1/DATOS_[[% anualiz]:[% anualiz]]),1)*IF(DATOS!AT$4="Sí",1/DATOS_[[% normaliz]:[% normaliz]],1)*(DATOS_[Conc.Sal.16])))))))),
0)</f>
        <v>0</v>
      </c>
      <c r="Z23" s="196">
        <f t="array" ref="Z23">IFERROR(
(MEDIAN((IF(DATOS_[[Sexo]:[Sexo]]=$B23,IF(DATOS_[[AGRUP. CLAS. PROF.]:[AGRUP. CLAS. PROF.]]=$B21,IF(DATOS_[[Check Periodo Ref.]:[Check Periodo Ref.]]="Dentro",IF(DATOS_[[Check Equiparado]:[Check Equiparado]]="Sí",IF(DATOS!AU$5="Sí",(1/DATOS_[[% anualiz]:[% anualiz]]),1)*IF(DATOS!AU$4="Sí",1/DATOS_[[% normaliz]:[% normaliz]],1)*(DATOS_[Conc.Sal.17])))))))),
0)</f>
        <v>0</v>
      </c>
      <c r="AA23" s="196">
        <f t="array" ref="AA23">IFERROR(
(MEDIAN((IF(DATOS_[[Sexo]:[Sexo]]=$B23,IF(DATOS_[[AGRUP. CLAS. PROF.]:[AGRUP. CLAS. PROF.]]=$B21,IF(DATOS_[[Check Periodo Ref.]:[Check Periodo Ref.]]="Dentro",IF(DATOS_[[Check Equiparado]:[Check Equiparado]]="Sí",IF(DATOS!AV$5="Sí",(1/DATOS_[[% anualiz]:[% anualiz]]),1)*IF(DATOS!AV$4="Sí",1/DATOS_[[% normaliz]:[% normaliz]],1)*(DATOS_[Conc.Sal.18])))))))),
0)</f>
        <v>0</v>
      </c>
      <c r="AB23" s="196">
        <f t="array" ref="AB23">IFERROR(
(MEDIAN((IF(DATOS_[[Sexo]:[Sexo]]=$B23,IF(DATOS_[[AGRUP. CLAS. PROF.]:[AGRUP. CLAS. PROF.]]=$B21,IF(DATOS_[[Check Periodo Ref.]:[Check Periodo Ref.]]="Dentro",IF(DATOS_[[Check Equiparado]:[Check Equiparado]]="Sí",IF(DATOS!AW$5="Sí",(1/DATOS_[[% anualiz]:[% anualiz]]),1)*IF(DATOS!AW$4="Sí",1/DATOS_[[% normaliz]:[% normaliz]],1)*(DATOS_[Conc.Sal.19])))))))),
0)</f>
        <v>0</v>
      </c>
      <c r="AC23" s="196">
        <f t="array" ref="AC23">IFERROR(
(MEDIAN((IF(DATOS_[[Sexo]:[Sexo]]=$B23,IF(DATOS_[[AGRUP. CLAS. PROF.]:[AGRUP. CLAS. PROF.]]=$B21,IF(DATOS_[[Check Periodo Ref.]:[Check Periodo Ref.]]="Dentro",IF(DATOS_[[Check Equiparado]:[Check Equiparado]]="Sí",IF(DATOS!AX$5="Sí",(1/DATOS_[[% anualiz]:[% anualiz]]),1)*IF(DATOS!AX$4="Sí",1/DATOS_[[% normaliz]:[% normaliz]],1)*(DATOS_[Conc.Sal.20])))))))),
0)</f>
        <v>0</v>
      </c>
      <c r="AD23" s="196">
        <f t="array" ref="AD23">IFERROR(
(MEDIAN((IF(DATOS_[[Sexo]:[Sexo]]=$B23,IF(DATOS_[[AGRUP. CLAS. PROF.]:[AGRUP. CLAS. PROF.]]=$B21,IF(DATOS_[[Check Periodo Ref.]:[Check Periodo Ref.]]="Dentro",IF(DATOS_[[Check Equiparado]:[Check Equiparado]]="Sí",IF(DATOS!AY$5="Sí",(1/DATOS_[[% anualiz]:[% anualiz]]),1)*IF(DATOS!AY$4="Sí",1/DATOS_[[% normaliz]:[% normaliz]],1)*(DATOS_[Conc.Sal.21])))))))),
0)</f>
        <v>0</v>
      </c>
      <c r="AE23" s="196">
        <f t="array" ref="AE23">IFERROR(
(MEDIAN((IF(DATOS_[[Sexo]:[Sexo]]=$B23,IF(DATOS_[[AGRUP. CLAS. PROF.]:[AGRUP. CLAS. PROF.]]=$B21,IF(DATOS_[[Check Periodo Ref.]:[Check Periodo Ref.]]="Dentro",IF(DATOS_[[Check Equiparado]:[Check Equiparado]]="Sí",IF(DATOS!AZ$5="Sí",(1/DATOS_[[% anualiz]:[% anualiz]]),1)*IF(DATOS!AZ$4="Sí",1/DATOS_[[% normaliz]:[% normaliz]],1)*(DATOS_[Conc.Sal.22])))))))),
0)</f>
        <v>0</v>
      </c>
      <c r="AF23" s="196">
        <f t="array" ref="AF23">IFERROR(
(MEDIAN((IF(DATOS_[[Sexo]:[Sexo]]=$B23,IF(DATOS_[[AGRUP. CLAS. PROF.]:[AGRUP. CLAS. PROF.]]=$B21,IF(DATOS_[[Check Periodo Ref.]:[Check Periodo Ref.]]="Dentro",IF(DATOS_[[Check Equiparado]:[Check Equiparado]]="Sí",IF(DATOS!BA$5="Sí",(1/DATOS_[[% anualiz]:[% anualiz]]),1)*IF(DATOS!BA$4="Sí",1/DATOS_[[% normaliz]:[% normaliz]],1)*(DATOS_[Conc.Sal.23])))))))),
0)</f>
        <v>0</v>
      </c>
      <c r="AG23" s="196">
        <f t="array" ref="AG23">IFERROR(
(MEDIAN((IF(DATOS_[[Sexo]:[Sexo]]=$B23,IF(DATOS_[[AGRUP. CLAS. PROF.]:[AGRUP. CLAS. PROF.]]=$B21,IF(DATOS_[[Check Periodo Ref.]:[Check Periodo Ref.]]="Dentro",IF(DATOS_[[Check Equiparado]:[Check Equiparado]]="Sí",IF(DATOS!BB$5="Sí",(1/DATOS_[[% anualiz]:[% anualiz]]),1)*IF(DATOS!BB$4="Sí",1/DATOS_[[% normaliz]:[% normaliz]],1)*(DATOS_[Conc.Sal.24])))))))),
0)</f>
        <v>0</v>
      </c>
      <c r="AH23" s="196">
        <f t="array" ref="AH23">IFERROR(
(MEDIAN((IF(DATOS_[[Sexo]:[Sexo]]=$B23,IF(DATOS_[[AGRUP. CLAS. PROF.]:[AGRUP. CLAS. PROF.]]=$B21,IF(DATOS_[[Check Periodo Ref.]:[Check Periodo Ref.]]="Dentro",IF(DATOS_[[Check Equiparado]:[Check Equiparado]]="Sí",IF(DATOS!BC$5="Sí",(1/DATOS_[[% anualiz]:[% anualiz]]),1)*IF(DATOS!BC$4="Sí",1/DATOS_[[% normaliz]:[% normaliz]],1)*(DATOS_[Conc.Sal.25])))))))),
0)</f>
        <v>0</v>
      </c>
      <c r="AI23" s="196">
        <f t="array" ref="AI23">IFERROR(
(MEDIAN((IF(DATOS_[[Sexo]:[Sexo]]=$B23,IF(DATOS_[[AGRUP. CLAS. PROF.]:[AGRUP. CLAS. PROF.]]=$B21,IF(DATOS_[[Check Periodo Ref.]:[Check Periodo Ref.]]="Dentro",IF(DATOS_[[Check Equiparado]:[Check Equiparado]]="Sí",IF(DATOS!BD$5="Sí",(1/DATOS_[[% anualiz]:[% anualiz]]),1)*IF(DATOS!BD$4="Sí",1/DATOS_[[% normaliz]:[% normaliz]],1)*(DATOS_[Conc.Sal.26])))))))),
0)</f>
        <v>0</v>
      </c>
      <c r="AJ23" s="196">
        <f t="array" ref="AJ23">IFERROR(
(MEDIAN((IF(DATOS_[[Sexo]:[Sexo]]=$B23,IF(DATOS_[[AGRUP. CLAS. PROF.]:[AGRUP. CLAS. PROF.]]=$B21,IF(DATOS_[[Check Periodo Ref.]:[Check Periodo Ref.]]="Dentro",IF(DATOS_[[Check Equiparado]:[Check Equiparado]]="Sí",IF(DATOS!BE$5="Sí",(1/DATOS_[[% anualiz]:[% anualiz]]),1)*IF(DATOS!BE$4="Sí",1/DATOS_[[% normaliz]:[% normaliz]],1)*(DATOS_[Conc.Sal.27])))))))),
0)</f>
        <v>0</v>
      </c>
      <c r="AK23" s="196">
        <f t="array" ref="AK23">IFERROR(
(MEDIAN((IF(DATOS_[[Sexo]:[Sexo]]=$B23,IF(DATOS_[[AGRUP. CLAS. PROF.]:[AGRUP. CLAS. PROF.]]=$B21,IF(DATOS_[[Check Periodo Ref.]:[Check Periodo Ref.]]="Dentro",IF(DATOS_[[Check Equiparado]:[Check Equiparado]]="Sí",IF(DATOS!BF$5="Sí",(1/DATOS_[[% anualiz]:[% anualiz]]),1)*IF(DATOS!BF$4="Sí",1/DATOS_[[% normaliz]:[% normaliz]],1)*(DATOS_[Conc.Sal.28])))))))),
0)</f>
        <v>0</v>
      </c>
      <c r="AL23" s="196">
        <f t="array" ref="AL23">IFERROR(
(MEDIAN((IF(DATOS_[[Sexo]:[Sexo]]=$B23,IF(DATOS_[[AGRUP. CLAS. PROF.]:[AGRUP. CLAS. PROF.]]=$B21,IF(DATOS_[[Check Periodo Ref.]:[Check Periodo Ref.]]="Dentro",IF(DATOS_[[Check Equiparado]:[Check Equiparado]]="Sí",IF(DATOS!BG$5="Sí",(1/DATOS_[[% anualiz]:[% anualiz]]),1)*IF(DATOS!BG$4="Sí",1/DATOS_[[% normaliz]:[% normaliz]],1)*(DATOS_[Conc.Sal.29])))))))),
0)</f>
        <v>0</v>
      </c>
      <c r="AM23" s="196">
        <f t="array" ref="AM23">IFERROR(
(MEDIAN((IF(DATOS_[[Sexo]:[Sexo]]=$B23,IF(DATOS_[[AGRUP. CLAS. PROF.]:[AGRUP. CLAS. PROF.]]=$B21,IF(DATOS_[[Check Periodo Ref.]:[Check Periodo Ref.]]="Dentro",IF(DATOS_[[Check Equiparado]:[Check Equiparado]]="Sí",IF(DATOS!BH$5="Sí",(1/DATOS_[[% anualiz]:[% anualiz]]),1)*IF(DATOS!BH$4="Sí",1/DATOS_[[% normaliz]:[% normaliz]],1)*(DATOS_[Conc.Sal.30])))))))),
0)</f>
        <v>0</v>
      </c>
      <c r="AN23" s="195">
        <f t="array" ref="AN23">IFERROR(
MEDIAN(IF(DATOS_[Sexo]=$B23,IF(DATOS_[[AGRUP. CLAS. PROF.]:[AGRUP. CLAS. PROF.]]=$B21,IF(DATOS_[Check Equiparado]="Sí",IF(DATOS_[Check Periodo Ref.]="Dentro",DATOS_[Tot COMPL.SAL Eq],FALSE))))),
0)</f>
        <v>0</v>
      </c>
      <c r="AO23" s="172">
        <f t="array" ref="AO23">IFERROR(
MEDIAN(IF(DATOS_[Sexo]=$B23,IF(DATOS_[[AGRUP. CLAS. PROF.]:[AGRUP. CLAS. PROF.]]=$B21,IF(DATOS_[Check Equiparado]="Sí",IF(DATOS_[Check Periodo Ref.]="Dentro",DATOS_[TOTAL SALARIO Eq],FALSE))))),
0)</f>
        <v>0</v>
      </c>
      <c r="AP23" s="173">
        <f t="array" ref="AP23">IFERROR(
(MEDIAN((IF(DATOS_[[Sexo]:[Sexo]]=$B23,IF(DATOS_[[AGRUP. CLAS. PROF.]:[AGRUP. CLAS. PROF.]]=$B21,IF(DATOS_[[Check Periodo Ref.]:[Check Periodo Ref.]]="Dentro",IF(DATOS_[[Check Equiparado]:[Check Equiparado]]="Sí",IF(DATOS!BW$5="Sí",(1/DATOS_[[% anualiz]:[% anualiz]]),1)*IF(DATOS!BW$4="Sí",1/DATOS_[[% normaliz]:[% normaliz]],1)*(DATOS_[C.Extra.01])))))))),
0)</f>
        <v>0</v>
      </c>
      <c r="AQ23" s="173">
        <f t="array" ref="AQ23">IFERROR(
(MEDIAN((IF(DATOS_[[Sexo]:[Sexo]]=$B23,IF(DATOS_[[AGRUP. CLAS. PROF.]:[AGRUP. CLAS. PROF.]]=$B21,IF(DATOS_[[Check Periodo Ref.]:[Check Periodo Ref.]]="Dentro",IF(DATOS_[[Check Equiparado]:[Check Equiparado]]="Sí",IF(DATOS!CB$5="Sí",(1/DATOS_[[% anualiz]:[% anualiz]]),1)*IF(DATOS!CB$4="Sí",1/DATOS_[[% normaliz]:[% normaliz]],1)*(DATOS_[C.Extra.06])))))))),
0)</f>
        <v>0</v>
      </c>
      <c r="AR23" s="173">
        <f t="array" ref="AR23">IFERROR(
(MEDIAN((IF(DATOS_[[Sexo]:[Sexo]]=$B23,IF(DATOS_[[AGRUP. CLAS. PROF.]:[AGRUP. CLAS. PROF.]]=$B21,IF(DATOS_[[Check Periodo Ref.]:[Check Periodo Ref.]]="Dentro",IF(DATOS_[[Check Equiparado]:[Check Equiparado]]="Sí",IF(DATOS!CC$5="Sí",(1/DATOS_[[% anualiz]:[% anualiz]]),1)*IF(DATOS!CC$4="Sí",1/DATOS_[[% normaliz]:[% normaliz]],1)*(DATOS_[C.Extra.07])))))))),
0)</f>
        <v>0</v>
      </c>
      <c r="AS23" s="173">
        <f t="array" ref="AS23">IFERROR(
(MEDIAN((IF(DATOS_[[Sexo]:[Sexo]]=$B23,IF(DATOS_[[AGRUP. CLAS. PROF.]:[AGRUP. CLAS. PROF.]]=$B21,IF(DATOS_[[Check Periodo Ref.]:[Check Periodo Ref.]]="Dentro",IF(DATOS_[[Check Equiparado]:[Check Equiparado]]="Sí",IF(DATOS!CD$5="Sí",(1/DATOS_[[% anualiz]:[% anualiz]]),1)*IF(DATOS!CD$4="Sí",1/DATOS_[[% normaliz]:[% normaliz]],1)*(DATOS_[C.Extra.08])))))))),
0)</f>
        <v>0</v>
      </c>
      <c r="AT23" s="173">
        <f t="array" ref="AT23">IFERROR(
(MEDIAN((IF(DATOS_[[Sexo]:[Sexo]]=$B23,IF(DATOS_[[AGRUP. CLAS. PROF.]:[AGRUP. CLAS. PROF.]]=$B21,IF(DATOS_[[Check Periodo Ref.]:[Check Periodo Ref.]]="Dentro",IF(DATOS_[[Check Equiparado]:[Check Equiparado]]="Sí",IF(DATOS!CG$5="Sí",(1/DATOS_[[% anualiz]:[% anualiz]]),1)*IF(DATOS!CG$4="Sí",1/DATOS_[[% normaliz]:[% normaliz]],1)*(DATOS_[C.Extra.11])))))))),
0)</f>
        <v>0</v>
      </c>
      <c r="AU23" s="197">
        <f t="array" ref="AU23">IFERROR(
MEDIAN(IF(DATOS_[Sexo]=$B23,IF(DATOS_[[AGRUP. CLAS. PROF.]:[AGRUP. CLAS. PROF.]]=$B21,IF(DATOS_[Check Equiparado]="Sí",IF(DATOS_[Check Periodo Ref.]="Dentro",DATOS_[Tot Extrasalarial Eq],FALSE))))),
0)</f>
        <v>0</v>
      </c>
      <c r="AV23" s="175">
        <f t="array" ref="AV23">IFERROR(
MEDIAN(IF(DATOS_[Sexo]=$B23,IF(DATOS_[[AGRUP. CLAS. PROF.]:[AGRUP. CLAS. PROF.]]=$B21,IF(DATOS_[Check Equiparado]="Sí",IF(DATOS_[Check Periodo Ref.]="Dentro",DATOS_[TOTAL Retrib Eq],FALSE))))),
0)</f>
        <v>0</v>
      </c>
    </row>
    <row r="24" spans="1:48" ht="15.6" thickBot="1" x14ac:dyDescent="0.3">
      <c r="A24" s="133" t="str">
        <f t="shared" ref="A24" si="15">+A25</f>
        <v/>
      </c>
      <c r="B24" s="199" t="s">
        <v>188</v>
      </c>
      <c r="C24" s="200"/>
      <c r="D24" s="201"/>
      <c r="E24" s="201"/>
      <c r="F24" s="201"/>
      <c r="G24" s="201"/>
      <c r="H24" s="201"/>
      <c r="I24" s="189">
        <f t="shared" ref="I24:AV24" si="16">IFERROR((I25-I26)/I25,"")</f>
        <v>-1.6655291138916881E-2</v>
      </c>
      <c r="J24" s="190" t="str">
        <f t="shared" si="16"/>
        <v/>
      </c>
      <c r="K24" s="191">
        <f t="shared" si="16"/>
        <v>7.7457264957264734E-3</v>
      </c>
      <c r="L24" s="191">
        <f t="shared" si="16"/>
        <v>-0.33577127659574479</v>
      </c>
      <c r="M24" s="191">
        <f t="shared" si="16"/>
        <v>1</v>
      </c>
      <c r="N24" s="192">
        <f t="shared" si="16"/>
        <v>1</v>
      </c>
      <c r="O24" s="193">
        <f t="shared" si="16"/>
        <v>3.1250000000000062E-2</v>
      </c>
      <c r="P24" s="193" t="str">
        <f t="shared" si="16"/>
        <v/>
      </c>
      <c r="Q24" s="193">
        <f t="shared" si="16"/>
        <v>1</v>
      </c>
      <c r="R24" s="193">
        <f t="shared" si="16"/>
        <v>1</v>
      </c>
      <c r="S24" s="193">
        <f t="shared" si="16"/>
        <v>1</v>
      </c>
      <c r="T24" s="193">
        <f t="shared" si="16"/>
        <v>-0.54505305209917709</v>
      </c>
      <c r="U24" s="193" t="str">
        <f t="shared" si="16"/>
        <v/>
      </c>
      <c r="V24" s="193">
        <f t="shared" si="16"/>
        <v>1</v>
      </c>
      <c r="W24" s="193" t="str">
        <f t="shared" si="16"/>
        <v/>
      </c>
      <c r="X24" s="193" t="str">
        <f t="shared" si="16"/>
        <v/>
      </c>
      <c r="Y24" s="193">
        <f t="shared" si="16"/>
        <v>-0.58922843934321734</v>
      </c>
      <c r="Z24" s="193" t="str">
        <f t="shared" si="16"/>
        <v/>
      </c>
      <c r="AA24" s="193" t="str">
        <f t="shared" si="16"/>
        <v/>
      </c>
      <c r="AB24" s="193">
        <f t="shared" si="16"/>
        <v>1</v>
      </c>
      <c r="AC24" s="193">
        <f t="shared" si="16"/>
        <v>0</v>
      </c>
      <c r="AD24" s="193" t="str">
        <f t="shared" si="16"/>
        <v/>
      </c>
      <c r="AE24" s="193" t="str">
        <f t="shared" si="16"/>
        <v/>
      </c>
      <c r="AF24" s="193" t="str">
        <f t="shared" si="16"/>
        <v/>
      </c>
      <c r="AG24" s="193" t="str">
        <f t="shared" si="16"/>
        <v/>
      </c>
      <c r="AH24" s="193" t="str">
        <f t="shared" si="16"/>
        <v/>
      </c>
      <c r="AI24" s="193" t="str">
        <f t="shared" si="16"/>
        <v/>
      </c>
      <c r="AJ24" s="193" t="str">
        <f t="shared" si="16"/>
        <v/>
      </c>
      <c r="AK24" s="193" t="str">
        <f t="shared" si="16"/>
        <v/>
      </c>
      <c r="AL24" s="193" t="str">
        <f t="shared" si="16"/>
        <v/>
      </c>
      <c r="AM24" s="193" t="str">
        <f t="shared" si="16"/>
        <v/>
      </c>
      <c r="AN24" s="189">
        <f t="shared" si="16"/>
        <v>0.16971211200057235</v>
      </c>
      <c r="AO24" s="162">
        <f t="shared" si="16"/>
        <v>3.201764321319632E-2</v>
      </c>
      <c r="AP24" s="163" t="str">
        <f t="shared" si="16"/>
        <v/>
      </c>
      <c r="AQ24" s="163" t="str">
        <f t="shared" si="16"/>
        <v/>
      </c>
      <c r="AR24" s="163" t="str">
        <f t="shared" si="16"/>
        <v/>
      </c>
      <c r="AS24" s="163" t="str">
        <f t="shared" si="16"/>
        <v/>
      </c>
      <c r="AT24" s="163" t="str">
        <f t="shared" si="16"/>
        <v/>
      </c>
      <c r="AU24" s="194">
        <f t="shared" si="16"/>
        <v>-4.9479908098337438E-2</v>
      </c>
      <c r="AV24" s="165">
        <f t="shared" si="16"/>
        <v>0.1058634652523016</v>
      </c>
    </row>
    <row r="25" spans="1:48" x14ac:dyDescent="0.25">
      <c r="A25" s="133" t="str">
        <f t="shared" ref="A25" si="17">+IF(C25+C26=0,"[ocultar]","")</f>
        <v/>
      </c>
      <c r="B25" s="202" t="s">
        <v>394</v>
      </c>
      <c r="C25" s="203">
        <f t="array" ref="C25">SUM(IF($B25=DATOS_[Sexo],
IF($B24=DATOS_[AGRUP. CLAS. PROF.],
IF("Dentro"=DATOS_[Check Periodo Ref.],
1/(COUNTIFS(DATOS_[Sexo],$B25,DATOS_[AGRUP. CLAS. PROF.],$B24,DATOS_[Check Periodo Ref.],"Dentro",DATOS_[id/cod],DATOS_[id/cod]))))))</f>
        <v>7</v>
      </c>
      <c r="D25" s="204">
        <f>COUNTIFS(DATOS_[AGRUP. CLAS. PROF.],$B24,DATOS_[Sexo],$B25,DATOS_[Check Periodo Ref.],"Dentro")</f>
        <v>7</v>
      </c>
      <c r="E25" s="204">
        <f>COUNTIFS(DATOS_[AGRUP. CLAS. PROF.],$B24,DATOS_[Sexo],$B25,DATOS_[Check Periodo Ref.],"Dentro",DATOS_[Check Nº SC Norm],"Sí")</f>
        <v>0</v>
      </c>
      <c r="F25" s="204">
        <f>COUNTIFS(DATOS_[AGRUP. CLAS. PROF.],$B24,DATOS_[Sexo],$B25,DATOS_[Check Periodo Ref.],"Dentro",DATOS_[Check Nº SC Anualiz],"Sí")</f>
        <v>0</v>
      </c>
      <c r="G25" s="204">
        <f>COUNTIFS(DATOS_[AGRUP. CLAS. PROF.],$B24,DATOS_[Sexo],$B25,DATOS_[Check Periodo Ref.],"Dentro",DATOS_[Check Nº SC Norm y Anualiz],"Sí")</f>
        <v>0</v>
      </c>
      <c r="H25" s="204">
        <f>COUNTIFS(DATOS_[AGRUP. CLAS. PROF.],$B24,DATOS_[Sexo],$B25,DATOS_[Check Periodo Ref.],"Dentro",DATOS_[Check Equiparación],"Sí")</f>
        <v>0</v>
      </c>
      <c r="I25" s="195">
        <f t="array" ref="I25">IFERROR(
MEDIAN(IF(DATOS_[Sexo]=$B25,IF(DATOS_[[AGRUP. CLAS. PROF.]:[AGRUP. CLAS. PROF.]]=$B24,IF(DATOS_[Check Equiparado]="Sí",IF(DATOS_[Check Periodo Ref.]="Dentro",DATOS_[SALARIO BASE Eq],FALSE))))),
0)</f>
        <v>11549.76</v>
      </c>
      <c r="J25" s="196">
        <f t="array" ref="J25">IFERROR(
(MEDIAN((IF(DATOS_[[Sexo]:[Sexo]]=$B25,IF(DATOS_[[AGRUP. CLAS. PROF.]:[AGRUP. CLAS. PROF.]]=$B24,IF(DATOS_[[Check Periodo Ref.]:[Check Periodo Ref.]]="Dentro",IF(DATOS_[[Check Equiparado]:[Check Equiparado]]="Sí",IF(DATOS!AE$5="Sí",(1/DATOS_[[% anualiz]:[% anualiz]]),1)*IF(DATOS!AE$4="Sí",1/DATOS_[[% normaliz]:[% normaliz]],1)*(DATOS_[Conc.Sal.01])))))))),
0)</f>
        <v>0</v>
      </c>
      <c r="K25" s="196">
        <f t="array" ref="K25">IFERROR(
(MEDIAN((IF(DATOS_[[Sexo]:[Sexo]]=$B25,IF(DATOS_[[AGRUP. CLAS. PROF.]:[AGRUP. CLAS. PROF.]]=$B24,IF(DATOS_[[Check Periodo Ref.]:[Check Periodo Ref.]]="Dentro",IF(DATOS_[[Check Equiparado]:[Check Equiparado]]="Sí",IF(DATOS!AF$5="Sí",(1/DATOS_[[% anualiz]:[% anualiz]]),1)*IF(DATOS!AF$4="Sí",1/DATOS_[[% normaliz]:[% normaliz]],1)*(DATOS_[Conc.Sal.02])))))))),
0)</f>
        <v>37.44</v>
      </c>
      <c r="L25" s="196">
        <f t="array" ref="L25">IFERROR(
(MEDIAN((IF(DATOS_[[Sexo]:[Sexo]]=$B25,IF(DATOS_[[AGRUP. CLAS. PROF.]:[AGRUP. CLAS. PROF.]]=$B24,IF(DATOS_[[Check Periodo Ref.]:[Check Periodo Ref.]]="Dentro",IF(DATOS_[[Check Equiparado]:[Check Equiparado]]="Sí",IF(DATOS!AG$5="Sí",(1/DATOS_[[% anualiz]:[% anualiz]]),1)*IF(DATOS!AG$4="Sí",1/DATOS_[[% normaliz]:[% normaliz]],1)*(DATOS_[Conc.Sal.03])))))))),
0)</f>
        <v>902.4</v>
      </c>
      <c r="M25" s="196">
        <f t="array" ref="M25">IFERROR(
(MEDIAN((IF(DATOS_[[Sexo]:[Sexo]]=$B25,IF(DATOS_[[AGRUP. CLAS. PROF.]:[AGRUP. CLAS. PROF.]]=$B24,IF(DATOS_[[Check Periodo Ref.]:[Check Periodo Ref.]]="Dentro",IF(DATOS_[[Check Equiparado]:[Check Equiparado]]="Sí",IF(DATOS!AH$5="Sí",(1/DATOS_[[% anualiz]:[% anualiz]]),1)*IF(DATOS!AH$4="Sí",1/DATOS_[[% normaliz]:[% normaliz]],1)*(DATOS_[Conc.Sal.04])))))))),
0)</f>
        <v>713.4</v>
      </c>
      <c r="N25" s="196">
        <f t="array" ref="N25">IFERROR(
(MEDIAN((IF(DATOS_[[Sexo]:[Sexo]]=$B25,IF(DATOS_[[AGRUP. CLAS. PROF.]:[AGRUP. CLAS. PROF.]]=$B24,IF(DATOS_[[Check Periodo Ref.]:[Check Periodo Ref.]]="Dentro",IF(DATOS_[[Check Equiparado]:[Check Equiparado]]="Sí",IF(DATOS!AI$5="Sí",(1/DATOS_[[% anualiz]:[% anualiz]]),1)*IF(DATOS!AI$4="Sí",1/DATOS_[[% normaliz]:[% normaliz]],1)*(DATOS_[Conc.Sal.05])))))))),
0)</f>
        <v>162</v>
      </c>
      <c r="O25" s="196">
        <f t="array" ref="O25">IFERROR(
(MEDIAN((IF(DATOS_[[Sexo]:[Sexo]]=$B25,IF(DATOS_[[AGRUP. CLAS. PROF.]:[AGRUP. CLAS. PROF.]]=$B24,IF(DATOS_[[Check Periodo Ref.]:[Check Periodo Ref.]]="Dentro",IF(DATOS_[[Check Equiparado]:[Check Equiparado]]="Sí",IF(DATOS!AJ$5="Sí",(1/DATOS_[[% anualiz]:[% anualiz]]),1)*IF(DATOS!AJ$4="Sí",1/DATOS_[[% normaliz]:[% normaliz]],1)*(DATOS_[Conc.Sal.06])))))))),
0)</f>
        <v>1676.48</v>
      </c>
      <c r="P25" s="196">
        <f t="array" ref="P25">IFERROR(
(MEDIAN((IF(DATOS_[[Sexo]:[Sexo]]=$B25,IF(DATOS_[[AGRUP. CLAS. PROF.]:[AGRUP. CLAS. PROF.]]=$B24,IF(DATOS_[[Check Periodo Ref.]:[Check Periodo Ref.]]="Dentro",IF(DATOS_[[Check Equiparado]:[Check Equiparado]]="Sí",IF(DATOS!AK$5="Sí",(1/DATOS_[[% anualiz]:[% anualiz]]),1)*IF(DATOS!AK$4="Sí",1/DATOS_[[% normaliz]:[% normaliz]],1)*(DATOS_[Conc.Sal.07])))))))),
0)</f>
        <v>0</v>
      </c>
      <c r="Q25" s="196">
        <f t="array" ref="Q25">IFERROR(
(MEDIAN((IF(DATOS_[[Sexo]:[Sexo]]=$B25,IF(DATOS_[[AGRUP. CLAS. PROF.]:[AGRUP. CLAS. PROF.]]=$B24,IF(DATOS_[[Check Periodo Ref.]:[Check Periodo Ref.]]="Dentro",IF(DATOS_[[Check Equiparado]:[Check Equiparado]]="Sí",IF(DATOS!AL$5="Sí",(1/DATOS_[[% anualiz]:[% anualiz]]),1)*IF(DATOS!AL$4="Sí",1/DATOS_[[% normaliz]:[% normaliz]],1)*(DATOS_[Conc.Sal.08])))))))),
0)</f>
        <v>116.28</v>
      </c>
      <c r="R25" s="196">
        <f t="array" ref="R25">IFERROR(
(MEDIAN((IF(DATOS_[[Sexo]:[Sexo]]=$B25,IF(DATOS_[[AGRUP. CLAS. PROF.]:[AGRUP. CLAS. PROF.]]=$B24,IF(DATOS_[[Check Periodo Ref.]:[Check Periodo Ref.]]="Dentro",IF(DATOS_[[Check Equiparado]:[Check Equiparado]]="Sí",IF(DATOS!AM$5="Sí",(1/DATOS_[[% anualiz]:[% anualiz]]),1)*IF(DATOS!AM$4="Sí",1/DATOS_[[% normaliz]:[% normaliz]],1)*(DATOS_[Conc.Sal.09])))))))),
0)</f>
        <v>217.44</v>
      </c>
      <c r="S25" s="196">
        <f t="array" ref="S25">IFERROR(
(MEDIAN((IF(DATOS_[[Sexo]:[Sexo]]=$B25,IF(DATOS_[[AGRUP. CLAS. PROF.]:[AGRUP. CLAS. PROF.]]=$B24,IF(DATOS_[[Check Periodo Ref.]:[Check Periodo Ref.]]="Dentro",IF(DATOS_[[Check Equiparado]:[Check Equiparado]]="Sí",IF(DATOS!AN$5="Sí",(1/DATOS_[[% anualiz]:[% anualiz]]),1)*IF(DATOS!AN$4="Sí",1/DATOS_[[% normaliz]:[% normaliz]],1)*(DATOS_[Conc.Sal.10])))))))),
0)</f>
        <v>414.1</v>
      </c>
      <c r="T25" s="196">
        <f t="array" ref="T25">IFERROR(
(MEDIAN((IF(DATOS_[[Sexo]:[Sexo]]=$B25,IF(DATOS_[[AGRUP. CLAS. PROF.]:[AGRUP. CLAS. PROF.]]=$B24,IF(DATOS_[[Check Periodo Ref.]:[Check Periodo Ref.]]="Dentro",IF(DATOS_[[Check Equiparado]:[Check Equiparado]]="Sí",IF(DATOS!AO$5="Sí",(1/DATOS_[[% anualiz]:[% anualiz]]),1)*IF(DATOS!AO$4="Sí",1/DATOS_[[% normaliz]:[% normaliz]],1)*(DATOS_[Conc.Sal.11])))))))),
0)</f>
        <v>545.69000000000005</v>
      </c>
      <c r="U25" s="196">
        <f t="array" ref="U25">IFERROR(
(MEDIAN((IF(DATOS_[[Sexo]:[Sexo]]=$B25,IF(DATOS_[[AGRUP. CLAS. PROF.]:[AGRUP. CLAS. PROF.]]=$B24,IF(DATOS_[[Check Periodo Ref.]:[Check Periodo Ref.]]="Dentro",IF(DATOS_[[Check Equiparado]:[Check Equiparado]]="Sí",IF(DATOS!AP$5="Sí",(1/DATOS_[[% anualiz]:[% anualiz]]),1)*IF(DATOS!AP$4="Sí",1/DATOS_[[% normaliz]:[% normaliz]],1)*(DATOS_[Conc.Sal.12])))))))),
0)</f>
        <v>0</v>
      </c>
      <c r="V25" s="196">
        <f t="array" ref="V25">IFERROR(
(MEDIAN((IF(DATOS_[[Sexo]:[Sexo]]=$B25,IF(DATOS_[[AGRUP. CLAS. PROF.]:[AGRUP. CLAS. PROF.]]=$B24,IF(DATOS_[[Check Periodo Ref.]:[Check Periodo Ref.]]="Dentro",IF(DATOS_[[Check Equiparado]:[Check Equiparado]]="Sí",IF(DATOS!AQ$5="Sí",(1/DATOS_[[% anualiz]:[% anualiz]]),1)*IF(DATOS!AQ$4="Sí",1/DATOS_[[% normaliz]:[% normaliz]],1)*(DATOS_[Conc.Sal.13])))))))),
0)</f>
        <v>300</v>
      </c>
      <c r="W25" s="196">
        <f t="array" ref="W25">IFERROR(
(MEDIAN((IF(DATOS_[[Sexo]:[Sexo]]=$B25,IF(DATOS_[[AGRUP. CLAS. PROF.]:[AGRUP. CLAS. PROF.]]=$B24,IF(DATOS_[[Check Periodo Ref.]:[Check Periodo Ref.]]="Dentro",IF(DATOS_[[Check Equiparado]:[Check Equiparado]]="Sí",IF(DATOS!AR$5="Sí",(1/DATOS_[[% anualiz]:[% anualiz]]),1)*IF(DATOS!AR$4="Sí",1/DATOS_[[% normaliz]:[% normaliz]],1)*(DATOS_[Conc.Sal.14])))))))),
0)</f>
        <v>0</v>
      </c>
      <c r="X25" s="196">
        <f t="array" ref="X25">IFERROR(
(MEDIAN((IF(DATOS_[[Sexo]:[Sexo]]=$B25,IF(DATOS_[[AGRUP. CLAS. PROF.]:[AGRUP. CLAS. PROF.]]=$B24,IF(DATOS_[[Check Periodo Ref.]:[Check Periodo Ref.]]="Dentro",IF(DATOS_[[Check Equiparado]:[Check Equiparado]]="Sí",IF(DATOS!AS$5="Sí",(1/DATOS_[[% anualiz]:[% anualiz]]),1)*IF(DATOS!AS$4="Sí",1/DATOS_[[% normaliz]:[% normaliz]],1)*(DATOS_[Conc.Sal.15])))))))),
0)</f>
        <v>0</v>
      </c>
      <c r="Y25" s="196">
        <f t="array" ref="Y25">IFERROR(
(MEDIAN((IF(DATOS_[[Sexo]:[Sexo]]=$B25,IF(DATOS_[[AGRUP. CLAS. PROF.]:[AGRUP. CLAS. PROF.]]=$B24,IF(DATOS_[[Check Periodo Ref.]:[Check Periodo Ref.]]="Dentro",IF(DATOS_[[Check Equiparado]:[Check Equiparado]]="Sí",IF(DATOS!AT$5="Sí",(1/DATOS_[[% anualiz]:[% anualiz]]),1)*IF(DATOS!AT$4="Sí",1/DATOS_[[% normaliz]:[% normaliz]],1)*(DATOS_[Conc.Sal.16])))))))),
0)</f>
        <v>1836</v>
      </c>
      <c r="Z25" s="196">
        <f t="array" ref="Z25">IFERROR(
(MEDIAN((IF(DATOS_[[Sexo]:[Sexo]]=$B25,IF(DATOS_[[AGRUP. CLAS. PROF.]:[AGRUP. CLAS. PROF.]]=$B24,IF(DATOS_[[Check Periodo Ref.]:[Check Periodo Ref.]]="Dentro",IF(DATOS_[[Check Equiparado]:[Check Equiparado]]="Sí",IF(DATOS!AU$5="Sí",(1/DATOS_[[% anualiz]:[% anualiz]]),1)*IF(DATOS!AU$4="Sí",1/DATOS_[[% normaliz]:[% normaliz]],1)*(DATOS_[Conc.Sal.17])))))))),
0)</f>
        <v>0</v>
      </c>
      <c r="AA25" s="196">
        <f t="array" ref="AA25">IFERROR(
(MEDIAN((IF(DATOS_[[Sexo]:[Sexo]]=$B25,IF(DATOS_[[AGRUP. CLAS. PROF.]:[AGRUP. CLAS. PROF.]]=$B24,IF(DATOS_[[Check Periodo Ref.]:[Check Periodo Ref.]]="Dentro",IF(DATOS_[[Check Equiparado]:[Check Equiparado]]="Sí",IF(DATOS!AV$5="Sí",(1/DATOS_[[% anualiz]:[% anualiz]]),1)*IF(DATOS!AV$4="Sí",1/DATOS_[[% normaliz]:[% normaliz]],1)*(DATOS_[Conc.Sal.18])))))))),
0)</f>
        <v>0</v>
      </c>
      <c r="AB25" s="196">
        <f t="array" ref="AB25">IFERROR(
(MEDIAN((IF(DATOS_[[Sexo]:[Sexo]]=$B25,IF(DATOS_[[AGRUP. CLAS. PROF.]:[AGRUP. CLAS. PROF.]]=$B24,IF(DATOS_[[Check Periodo Ref.]:[Check Periodo Ref.]]="Dentro",IF(DATOS_[[Check Equiparado]:[Check Equiparado]]="Sí",IF(DATOS!AW$5="Sí",(1/DATOS_[[% anualiz]:[% anualiz]]),1)*IF(DATOS!AW$4="Sí",1/DATOS_[[% normaliz]:[% normaliz]],1)*(DATOS_[Conc.Sal.19])))))))),
0)</f>
        <v>65</v>
      </c>
      <c r="AC25" s="196">
        <f t="array" ref="AC25">IFERROR(
(MEDIAN((IF(DATOS_[[Sexo]:[Sexo]]=$B25,IF(DATOS_[[AGRUP. CLAS. PROF.]:[AGRUP. CLAS. PROF.]]=$B24,IF(DATOS_[[Check Periodo Ref.]:[Check Periodo Ref.]]="Dentro",IF(DATOS_[[Check Equiparado]:[Check Equiparado]]="Sí",IF(DATOS!AX$5="Sí",(1/DATOS_[[% anualiz]:[% anualiz]]),1)*IF(DATOS!AX$4="Sí",1/DATOS_[[% normaliz]:[% normaliz]],1)*(DATOS_[Conc.Sal.20])))))))),
0)</f>
        <v>107.32</v>
      </c>
      <c r="AD25" s="196">
        <f t="array" ref="AD25">IFERROR(
(MEDIAN((IF(DATOS_[[Sexo]:[Sexo]]=$B25,IF(DATOS_[[AGRUP. CLAS. PROF.]:[AGRUP. CLAS. PROF.]]=$B24,IF(DATOS_[[Check Periodo Ref.]:[Check Periodo Ref.]]="Dentro",IF(DATOS_[[Check Equiparado]:[Check Equiparado]]="Sí",IF(DATOS!AY$5="Sí",(1/DATOS_[[% anualiz]:[% anualiz]]),1)*IF(DATOS!AY$4="Sí",1/DATOS_[[% normaliz]:[% normaliz]],1)*(DATOS_[Conc.Sal.21])))))))),
0)</f>
        <v>0</v>
      </c>
      <c r="AE25" s="196">
        <f t="array" ref="AE25">IFERROR(
(MEDIAN((IF(DATOS_[[Sexo]:[Sexo]]=$B25,IF(DATOS_[[AGRUP. CLAS. PROF.]:[AGRUP. CLAS. PROF.]]=$B24,IF(DATOS_[[Check Periodo Ref.]:[Check Periodo Ref.]]="Dentro",IF(DATOS_[[Check Equiparado]:[Check Equiparado]]="Sí",IF(DATOS!AZ$5="Sí",(1/DATOS_[[% anualiz]:[% anualiz]]),1)*IF(DATOS!AZ$4="Sí",1/DATOS_[[% normaliz]:[% normaliz]],1)*(DATOS_[Conc.Sal.22])))))))),
0)</f>
        <v>0</v>
      </c>
      <c r="AF25" s="196">
        <f t="array" ref="AF25">IFERROR(
(MEDIAN((IF(DATOS_[[Sexo]:[Sexo]]=$B25,IF(DATOS_[[AGRUP. CLAS. PROF.]:[AGRUP. CLAS. PROF.]]=$B24,IF(DATOS_[[Check Periodo Ref.]:[Check Periodo Ref.]]="Dentro",IF(DATOS_[[Check Equiparado]:[Check Equiparado]]="Sí",IF(DATOS!BA$5="Sí",(1/DATOS_[[% anualiz]:[% anualiz]]),1)*IF(DATOS!BA$4="Sí",1/DATOS_[[% normaliz]:[% normaliz]],1)*(DATOS_[Conc.Sal.23])))))))),
0)</f>
        <v>0</v>
      </c>
      <c r="AG25" s="196">
        <f t="array" ref="AG25">IFERROR(
(MEDIAN((IF(DATOS_[[Sexo]:[Sexo]]=$B25,IF(DATOS_[[AGRUP. CLAS. PROF.]:[AGRUP. CLAS. PROF.]]=$B24,IF(DATOS_[[Check Periodo Ref.]:[Check Periodo Ref.]]="Dentro",IF(DATOS_[[Check Equiparado]:[Check Equiparado]]="Sí",IF(DATOS!BB$5="Sí",(1/DATOS_[[% anualiz]:[% anualiz]]),1)*IF(DATOS!BB$4="Sí",1/DATOS_[[% normaliz]:[% normaliz]],1)*(DATOS_[Conc.Sal.24])))))))),
0)</f>
        <v>0</v>
      </c>
      <c r="AH25" s="196">
        <f t="array" ref="AH25">IFERROR(
(MEDIAN((IF(DATOS_[[Sexo]:[Sexo]]=$B25,IF(DATOS_[[AGRUP. CLAS. PROF.]:[AGRUP. CLAS. PROF.]]=$B24,IF(DATOS_[[Check Periodo Ref.]:[Check Periodo Ref.]]="Dentro",IF(DATOS_[[Check Equiparado]:[Check Equiparado]]="Sí",IF(DATOS!BC$5="Sí",(1/DATOS_[[% anualiz]:[% anualiz]]),1)*IF(DATOS!BC$4="Sí",1/DATOS_[[% normaliz]:[% normaliz]],1)*(DATOS_[Conc.Sal.25])))))))),
0)</f>
        <v>0</v>
      </c>
      <c r="AI25" s="196">
        <f t="array" ref="AI25">IFERROR(
(MEDIAN((IF(DATOS_[[Sexo]:[Sexo]]=$B25,IF(DATOS_[[AGRUP. CLAS. PROF.]:[AGRUP. CLAS. PROF.]]=$B24,IF(DATOS_[[Check Periodo Ref.]:[Check Periodo Ref.]]="Dentro",IF(DATOS_[[Check Equiparado]:[Check Equiparado]]="Sí",IF(DATOS!BD$5="Sí",(1/DATOS_[[% anualiz]:[% anualiz]]),1)*IF(DATOS!BD$4="Sí",1/DATOS_[[% normaliz]:[% normaliz]],1)*(DATOS_[Conc.Sal.26])))))))),
0)</f>
        <v>0</v>
      </c>
      <c r="AJ25" s="196">
        <f t="array" ref="AJ25">IFERROR(
(MEDIAN((IF(DATOS_[[Sexo]:[Sexo]]=$B25,IF(DATOS_[[AGRUP. CLAS. PROF.]:[AGRUP. CLAS. PROF.]]=$B24,IF(DATOS_[[Check Periodo Ref.]:[Check Periodo Ref.]]="Dentro",IF(DATOS_[[Check Equiparado]:[Check Equiparado]]="Sí",IF(DATOS!BE$5="Sí",(1/DATOS_[[% anualiz]:[% anualiz]]),1)*IF(DATOS!BE$4="Sí",1/DATOS_[[% normaliz]:[% normaliz]],1)*(DATOS_[Conc.Sal.27])))))))),
0)</f>
        <v>0</v>
      </c>
      <c r="AK25" s="196">
        <f t="array" ref="AK25">IFERROR(
(MEDIAN((IF(DATOS_[[Sexo]:[Sexo]]=$B25,IF(DATOS_[[AGRUP. CLAS. PROF.]:[AGRUP. CLAS. PROF.]]=$B24,IF(DATOS_[[Check Periodo Ref.]:[Check Periodo Ref.]]="Dentro",IF(DATOS_[[Check Equiparado]:[Check Equiparado]]="Sí",IF(DATOS!BF$5="Sí",(1/DATOS_[[% anualiz]:[% anualiz]]),1)*IF(DATOS!BF$4="Sí",1/DATOS_[[% normaliz]:[% normaliz]],1)*(DATOS_[Conc.Sal.28])))))))),
0)</f>
        <v>0</v>
      </c>
      <c r="AL25" s="196">
        <f t="array" ref="AL25">IFERROR(
(MEDIAN((IF(DATOS_[[Sexo]:[Sexo]]=$B25,IF(DATOS_[[AGRUP. CLAS. PROF.]:[AGRUP. CLAS. PROF.]]=$B24,IF(DATOS_[[Check Periodo Ref.]:[Check Periodo Ref.]]="Dentro",IF(DATOS_[[Check Equiparado]:[Check Equiparado]]="Sí",IF(DATOS!BG$5="Sí",(1/DATOS_[[% anualiz]:[% anualiz]]),1)*IF(DATOS!BG$4="Sí",1/DATOS_[[% normaliz]:[% normaliz]],1)*(DATOS_[Conc.Sal.29])))))))),
0)</f>
        <v>0</v>
      </c>
      <c r="AM25" s="196">
        <f t="array" ref="AM25">IFERROR(
(MEDIAN((IF(DATOS_[[Sexo]:[Sexo]]=$B25,IF(DATOS_[[AGRUP. CLAS. PROF.]:[AGRUP. CLAS. PROF.]]=$B24,IF(DATOS_[[Check Periodo Ref.]:[Check Periodo Ref.]]="Dentro",IF(DATOS_[[Check Equiparado]:[Check Equiparado]]="Sí",IF(DATOS!BH$5="Sí",(1/DATOS_[[% anualiz]:[% anualiz]]),1)*IF(DATOS!BH$4="Sí",1/DATOS_[[% normaliz]:[% normaliz]],1)*(DATOS_[Conc.Sal.30])))))))),
0)</f>
        <v>0</v>
      </c>
      <c r="AN25" s="195">
        <f t="array" ref="AN25">IFERROR(
MEDIAN(IF(DATOS_[Sexo]=$B25,IF(DATOS_[[AGRUP. CLAS. PROF.]:[AGRUP. CLAS. PROF.]]=$B24,IF(DATOS_[Check Equiparado]="Sí",IF(DATOS_[Check Periodo Ref.]="Dentro",DATOS_[Tot COMPL.SAL Eq],FALSE))))),
0)</f>
        <v>7179.5000000000009</v>
      </c>
      <c r="AO25" s="172">
        <f t="array" ref="AO25">IFERROR(
MEDIAN(IF(DATOS_[Sexo]=$B25,IF(DATOS_[[AGRUP. CLAS. PROF.]:[AGRUP. CLAS. PROF.]]=$B24,IF(DATOS_[Check Equiparado]="Sí",IF(DATOS_[Check Periodo Ref.]="Dentro",DATOS_[TOTAL SALARIO Eq],FALSE))))),
0)</f>
        <v>17961.060000000001</v>
      </c>
      <c r="AP25" s="173">
        <f t="array" ref="AP25">IFERROR(
(MEDIAN((IF(DATOS_[[Sexo]:[Sexo]]=$B25,IF(DATOS_[[AGRUP. CLAS. PROF.]:[AGRUP. CLAS. PROF.]]=$B24,IF(DATOS_[[Check Periodo Ref.]:[Check Periodo Ref.]]="Dentro",IF(DATOS_[[Check Equiparado]:[Check Equiparado]]="Sí",IF(DATOS!BW$5="Sí",(1/DATOS_[[% anualiz]:[% anualiz]]),1)*IF(DATOS!BW$4="Sí",1/DATOS_[[% normaliz]:[% normaliz]],1)*(DATOS_[C.Extra.01])))))))),
0)</f>
        <v>0</v>
      </c>
      <c r="AQ25" s="173">
        <f t="array" ref="AQ25">IFERROR(
(MEDIAN((IF(DATOS_[[Sexo]:[Sexo]]=$B25,IF(DATOS_[[AGRUP. CLAS. PROF.]:[AGRUP. CLAS. PROF.]]=$B24,IF(DATOS_[[Check Periodo Ref.]:[Check Periodo Ref.]]="Dentro",IF(DATOS_[[Check Equiparado]:[Check Equiparado]]="Sí",IF(DATOS!CB$5="Sí",(1/DATOS_[[% anualiz]:[% anualiz]]),1)*IF(DATOS!CB$4="Sí",1/DATOS_[[% normaliz]:[% normaliz]],1)*(DATOS_[C.Extra.06])))))))),
0)</f>
        <v>0</v>
      </c>
      <c r="AR25" s="173">
        <f t="array" ref="AR25">IFERROR(
(MEDIAN((IF(DATOS_[[Sexo]:[Sexo]]=$B25,IF(DATOS_[[AGRUP. CLAS. PROF.]:[AGRUP. CLAS. PROF.]]=$B24,IF(DATOS_[[Check Periodo Ref.]:[Check Periodo Ref.]]="Dentro",IF(DATOS_[[Check Equiparado]:[Check Equiparado]]="Sí",IF(DATOS!CC$5="Sí",(1/DATOS_[[% anualiz]:[% anualiz]]),1)*IF(DATOS!CC$4="Sí",1/DATOS_[[% normaliz]:[% normaliz]],1)*(DATOS_[C.Extra.07])))))))),
0)</f>
        <v>0</v>
      </c>
      <c r="AS25" s="173">
        <f t="array" ref="AS25">IFERROR(
(MEDIAN((IF(DATOS_[[Sexo]:[Sexo]]=$B25,IF(DATOS_[[AGRUP. CLAS. PROF.]:[AGRUP. CLAS. PROF.]]=$B24,IF(DATOS_[[Check Periodo Ref.]:[Check Periodo Ref.]]="Dentro",IF(DATOS_[[Check Equiparado]:[Check Equiparado]]="Sí",IF(DATOS!CD$5="Sí",(1/DATOS_[[% anualiz]:[% anualiz]]),1)*IF(DATOS!CD$4="Sí",1/DATOS_[[% normaliz]:[% normaliz]],1)*(DATOS_[C.Extra.08])))))))),
0)</f>
        <v>0</v>
      </c>
      <c r="AT25" s="173">
        <f t="array" ref="AT25">IFERROR(
(MEDIAN((IF(DATOS_[[Sexo]:[Sexo]]=$B25,IF(DATOS_[[AGRUP. CLAS. PROF.]:[AGRUP. CLAS. PROF.]]=$B24,IF(DATOS_[[Check Periodo Ref.]:[Check Periodo Ref.]]="Dentro",IF(DATOS_[[Check Equiparado]:[Check Equiparado]]="Sí",IF(DATOS!CG$5="Sí",(1/DATOS_[[% anualiz]:[% anualiz]]),1)*IF(DATOS!CG$4="Sí",1/DATOS_[[% normaliz]:[% normaliz]],1)*(DATOS_[C.Extra.11])))))))),
0)</f>
        <v>0</v>
      </c>
      <c r="AU25" s="197">
        <f t="array" ref="AU25">IFERROR(
MEDIAN(IF(DATOS_[Sexo]=$B25,IF(DATOS_[[AGRUP. CLAS. PROF.]:[AGRUP. CLAS. PROF.]]=$B24,IF(DATOS_[Check Equiparado]="Sí",IF(DATOS_[Check Periodo Ref.]="Dentro",DATOS_[Tot Extrasalarial Eq],FALSE))))),
0)</f>
        <v>3020.62</v>
      </c>
      <c r="AV25" s="175">
        <f t="array" ref="AV25">IFERROR(
MEDIAN(IF(DATOS_[Sexo]=$B25,IF(DATOS_[[AGRUP. CLAS. PROF.]:[AGRUP. CLAS. PROF.]]=$B24,IF(DATOS_[Check Equiparado]="Sí",IF(DATOS_[Check Periodo Ref.]="Dentro",DATOS_[TOTAL Retrib Eq],FALSE))))),
0)</f>
        <v>21309.510000000002</v>
      </c>
    </row>
    <row r="26" spans="1:48" x14ac:dyDescent="0.25">
      <c r="A26" s="133" t="str">
        <f t="shared" ref="A26" si="18">+A25</f>
        <v/>
      </c>
      <c r="B26" s="202" t="s">
        <v>521</v>
      </c>
      <c r="C26" s="203">
        <f t="array" ref="C26">SUM(IF($B26=DATOS_[Sexo],
IF($B24=DATOS_[AGRUP. CLAS. PROF.],
IF("Dentro"=DATOS_[Check Periodo Ref.],
1/(COUNTIFS(DATOS_[Sexo],$B26,DATOS_[AGRUP. CLAS. PROF.],$B24,DATOS_[Check Periodo Ref.],"Dentro",DATOS_[id/cod],DATOS_[id/cod]))))))</f>
        <v>13</v>
      </c>
      <c r="D26" s="204">
        <f>COUNTIFS(DATOS_[AGRUP. CLAS. PROF.],$B24,DATOS_[Sexo],$B26,DATOS_[Check Periodo Ref.],"Dentro")</f>
        <v>13</v>
      </c>
      <c r="E26" s="204">
        <f>COUNTIFS(DATOS_[AGRUP. CLAS. PROF.],$B24,DATOS_[Sexo],$B26,DATOS_[Check Periodo Ref.],"Dentro",DATOS_[Check Nº SC Norm],"Sí")</f>
        <v>1</v>
      </c>
      <c r="F26" s="204">
        <f>COUNTIFS(DATOS_[AGRUP. CLAS. PROF.],$B24,DATOS_[Sexo],$B26,DATOS_[Check Periodo Ref.],"Dentro",DATOS_[Check Nº SC Anualiz],"Sí")</f>
        <v>8</v>
      </c>
      <c r="G26" s="204">
        <f>COUNTIFS(DATOS_[AGRUP. CLAS. PROF.],$B24,DATOS_[Sexo],$B26,DATOS_[Check Periodo Ref.],"Dentro",DATOS_[Check Nº SC Norm y Anualiz],"Sí")</f>
        <v>0</v>
      </c>
      <c r="H26" s="204">
        <f>COUNTIFS(DATOS_[AGRUP. CLAS. PROF.],$B24,DATOS_[Sexo],$B26,DATOS_[Check Periodo Ref.],"Dentro",DATOS_[Check Equiparación],"Sí")</f>
        <v>9</v>
      </c>
      <c r="I26" s="195" cm="1">
        <f t="array" ref="I26">IFERROR(
MEDIAN(IF(DATOS_[Sexo]=$B26,IF(DATOS_[[AGRUP. CLAS. PROF.]:[AGRUP. CLAS. PROF.]]=$B24,IF(DATOS_[Check Equiparado]="Sí",IF(DATOS_[Check Periodo Ref.]="Dentro",DATOS_[SALARIO BASE Eq],FALSE))))),
0)</f>
        <v>11742.124615384617</v>
      </c>
      <c r="J26" s="196">
        <f t="array" ref="J26">IFERROR(
(MEDIAN((IF(DATOS_[[Sexo]:[Sexo]]=$B26,IF(DATOS_[[AGRUP. CLAS. PROF.]:[AGRUP. CLAS. PROF.]]=$B24,IF(DATOS_[[Check Periodo Ref.]:[Check Periodo Ref.]]="Dentro",IF(DATOS_[[Check Equiparado]:[Check Equiparado]]="Sí",IF(DATOS!AE$5="Sí",(1/DATOS_[[% anualiz]:[% anualiz]]),1)*IF(DATOS!AE$4="Sí",1/DATOS_[[% normaliz]:[% normaliz]],1)*(DATOS_[Conc.Sal.01])))))))),
0)</f>
        <v>0</v>
      </c>
      <c r="K26" s="196">
        <f t="array" ref="K26">IFERROR(
(MEDIAN((IF(DATOS_[[Sexo]:[Sexo]]=$B26,IF(DATOS_[[AGRUP. CLAS. PROF.]:[AGRUP. CLAS. PROF.]]=$B24,IF(DATOS_[[Check Periodo Ref.]:[Check Periodo Ref.]]="Dentro",IF(DATOS_[[Check Equiparado]:[Check Equiparado]]="Sí",IF(DATOS!AF$5="Sí",(1/DATOS_[[% anualiz]:[% anualiz]]),1)*IF(DATOS!AF$4="Sí",1/DATOS_[[% normaliz]:[% normaliz]],1)*(DATOS_[Conc.Sal.02])))))))),
0)</f>
        <v>37.15</v>
      </c>
      <c r="L26" s="196">
        <f t="array" ref="L26">IFERROR(
(MEDIAN((IF(DATOS_[[Sexo]:[Sexo]]=$B26,IF(DATOS_[[AGRUP. CLAS. PROF.]:[AGRUP. CLAS. PROF.]]=$B24,IF(DATOS_[[Check Periodo Ref.]:[Check Periodo Ref.]]="Dentro",IF(DATOS_[[Check Equiparado]:[Check Equiparado]]="Sí",IF(DATOS!AG$5="Sí",(1/DATOS_[[% anualiz]:[% anualiz]]),1)*IF(DATOS!AG$4="Sí",1/DATOS_[[% normaliz]:[% normaliz]],1)*(DATOS_[Conc.Sal.03])))))))),
0)</f>
        <v>1205.4000000000001</v>
      </c>
      <c r="M26" s="196">
        <f t="array" ref="M26">IFERROR(
(MEDIAN((IF(DATOS_[[Sexo]:[Sexo]]=$B26,IF(DATOS_[[AGRUP. CLAS. PROF.]:[AGRUP. CLAS. PROF.]]=$B24,IF(DATOS_[[Check Periodo Ref.]:[Check Periodo Ref.]]="Dentro",IF(DATOS_[[Check Equiparado]:[Check Equiparado]]="Sí",IF(DATOS!AH$5="Sí",(1/DATOS_[[% anualiz]:[% anualiz]]),1)*IF(DATOS!AH$4="Sí",1/DATOS_[[% normaliz]:[% normaliz]],1)*(DATOS_[Conc.Sal.04])))))))),
0)</f>
        <v>0</v>
      </c>
      <c r="N26" s="196">
        <f t="array" ref="N26">IFERROR(
(MEDIAN((IF(DATOS_[[Sexo]:[Sexo]]=$B26,IF(DATOS_[[AGRUP. CLAS. PROF.]:[AGRUP. CLAS. PROF.]]=$B24,IF(DATOS_[[Check Periodo Ref.]:[Check Periodo Ref.]]="Dentro",IF(DATOS_[[Check Equiparado]:[Check Equiparado]]="Sí",IF(DATOS!AI$5="Sí",(1/DATOS_[[% anualiz]:[% anualiz]]),1)*IF(DATOS!AI$4="Sí",1/DATOS_[[% normaliz]:[% normaliz]],1)*(DATOS_[Conc.Sal.05])))))))),
0)</f>
        <v>0</v>
      </c>
      <c r="O26" s="196">
        <f t="array" ref="O26">IFERROR(
(MEDIAN((IF(DATOS_[[Sexo]:[Sexo]]=$B26,IF(DATOS_[[AGRUP. CLAS. PROF.]:[AGRUP. CLAS. PROF.]]=$B24,IF(DATOS_[[Check Periodo Ref.]:[Check Periodo Ref.]]="Dentro",IF(DATOS_[[Check Equiparado]:[Check Equiparado]]="Sí",IF(DATOS!AJ$5="Sí",(1/DATOS_[[% anualiz]:[% anualiz]]),1)*IF(DATOS!AJ$4="Sí",1/DATOS_[[% normaliz]:[% normaliz]],1)*(DATOS_[Conc.Sal.06])))))))),
0)</f>
        <v>1624.09</v>
      </c>
      <c r="P26" s="196">
        <f t="array" ref="P26">IFERROR(
(MEDIAN((IF(DATOS_[[Sexo]:[Sexo]]=$B26,IF(DATOS_[[AGRUP. CLAS. PROF.]:[AGRUP. CLAS. PROF.]]=$B24,IF(DATOS_[[Check Periodo Ref.]:[Check Periodo Ref.]]="Dentro",IF(DATOS_[[Check Equiparado]:[Check Equiparado]]="Sí",IF(DATOS!AK$5="Sí",(1/DATOS_[[% anualiz]:[% anualiz]]),1)*IF(DATOS!AK$4="Sí",1/DATOS_[[% normaliz]:[% normaliz]],1)*(DATOS_[Conc.Sal.07])))))))),
0)</f>
        <v>0</v>
      </c>
      <c r="Q26" s="196">
        <f t="array" ref="Q26">IFERROR(
(MEDIAN((IF(DATOS_[[Sexo]:[Sexo]]=$B26,IF(DATOS_[[AGRUP. CLAS. PROF.]:[AGRUP. CLAS. PROF.]]=$B24,IF(DATOS_[[Check Periodo Ref.]:[Check Periodo Ref.]]="Dentro",IF(DATOS_[[Check Equiparado]:[Check Equiparado]]="Sí",IF(DATOS!AL$5="Sí",(1/DATOS_[[% anualiz]:[% anualiz]]),1)*IF(DATOS!AL$4="Sí",1/DATOS_[[% normaliz]:[% normaliz]],1)*(DATOS_[Conc.Sal.08])))))))),
0)</f>
        <v>0</v>
      </c>
      <c r="R26" s="196">
        <f t="array" ref="R26">IFERROR(
(MEDIAN((IF(DATOS_[[Sexo]:[Sexo]]=$B26,IF(DATOS_[[AGRUP. CLAS. PROF.]:[AGRUP. CLAS. PROF.]]=$B24,IF(DATOS_[[Check Periodo Ref.]:[Check Periodo Ref.]]="Dentro",IF(DATOS_[[Check Equiparado]:[Check Equiparado]]="Sí",IF(DATOS!AM$5="Sí",(1/DATOS_[[% anualiz]:[% anualiz]]),1)*IF(DATOS!AM$4="Sí",1/DATOS_[[% normaliz]:[% normaliz]],1)*(DATOS_[Conc.Sal.09])))))))),
0)</f>
        <v>0</v>
      </c>
      <c r="S26" s="196">
        <f t="array" ref="S26">IFERROR(
(MEDIAN((IF(DATOS_[[Sexo]:[Sexo]]=$B26,IF(DATOS_[[AGRUP. CLAS. PROF.]:[AGRUP. CLAS. PROF.]]=$B24,IF(DATOS_[[Check Periodo Ref.]:[Check Periodo Ref.]]="Dentro",IF(DATOS_[[Check Equiparado]:[Check Equiparado]]="Sí",IF(DATOS!AN$5="Sí",(1/DATOS_[[% anualiz]:[% anualiz]]),1)*IF(DATOS!AN$4="Sí",1/DATOS_[[% normaliz]:[% normaliz]],1)*(DATOS_[Conc.Sal.10])))))))),
0)</f>
        <v>0</v>
      </c>
      <c r="T26" s="196">
        <f t="array" ref="T26">IFERROR(
(MEDIAN((IF(DATOS_[[Sexo]:[Sexo]]=$B26,IF(DATOS_[[AGRUP. CLAS. PROF.]:[AGRUP. CLAS. PROF.]]=$B24,IF(DATOS_[[Check Periodo Ref.]:[Check Periodo Ref.]]="Dentro",IF(DATOS_[[Check Equiparado]:[Check Equiparado]]="Sí",IF(DATOS!AO$5="Sí",(1/DATOS_[[% anualiz]:[% anualiz]]),1)*IF(DATOS!AO$4="Sí",1/DATOS_[[% normaliz]:[% normaliz]],1)*(DATOS_[Conc.Sal.11])))))))),
0)</f>
        <v>843.12</v>
      </c>
      <c r="U26" s="196">
        <f t="array" ref="U26">IFERROR(
(MEDIAN((IF(DATOS_[[Sexo]:[Sexo]]=$B26,IF(DATOS_[[AGRUP. CLAS. PROF.]:[AGRUP. CLAS. PROF.]]=$B24,IF(DATOS_[[Check Periodo Ref.]:[Check Periodo Ref.]]="Dentro",IF(DATOS_[[Check Equiparado]:[Check Equiparado]]="Sí",IF(DATOS!AP$5="Sí",(1/DATOS_[[% anualiz]:[% anualiz]]),1)*IF(DATOS!AP$4="Sí",1/DATOS_[[% normaliz]:[% normaliz]],1)*(DATOS_[Conc.Sal.12])))))))),
0)</f>
        <v>0</v>
      </c>
      <c r="V26" s="196">
        <f t="array" ref="V26">IFERROR(
(MEDIAN((IF(DATOS_[[Sexo]:[Sexo]]=$B26,IF(DATOS_[[AGRUP. CLAS. PROF.]:[AGRUP. CLAS. PROF.]]=$B24,IF(DATOS_[[Check Periodo Ref.]:[Check Periodo Ref.]]="Dentro",IF(DATOS_[[Check Equiparado]:[Check Equiparado]]="Sí",IF(DATOS!AQ$5="Sí",(1/DATOS_[[% anualiz]:[% anualiz]]),1)*IF(DATOS!AQ$4="Sí",1/DATOS_[[% normaliz]:[% normaliz]],1)*(DATOS_[Conc.Sal.13])))))))),
0)</f>
        <v>0</v>
      </c>
      <c r="W26" s="196">
        <f t="array" ref="W26">IFERROR(
(MEDIAN((IF(DATOS_[[Sexo]:[Sexo]]=$B26,IF(DATOS_[[AGRUP. CLAS. PROF.]:[AGRUP. CLAS. PROF.]]=$B24,IF(DATOS_[[Check Periodo Ref.]:[Check Periodo Ref.]]="Dentro",IF(DATOS_[[Check Equiparado]:[Check Equiparado]]="Sí",IF(DATOS!AR$5="Sí",(1/DATOS_[[% anualiz]:[% anualiz]]),1)*IF(DATOS!AR$4="Sí",1/DATOS_[[% normaliz]:[% normaliz]],1)*(DATOS_[Conc.Sal.14])))))))),
0)</f>
        <v>0</v>
      </c>
      <c r="X26" s="196">
        <f t="array" ref="X26">IFERROR(
(MEDIAN((IF(DATOS_[[Sexo]:[Sexo]]=$B26,IF(DATOS_[[AGRUP. CLAS. PROF.]:[AGRUP. CLAS. PROF.]]=$B24,IF(DATOS_[[Check Periodo Ref.]:[Check Periodo Ref.]]="Dentro",IF(DATOS_[[Check Equiparado]:[Check Equiparado]]="Sí",IF(DATOS!AS$5="Sí",(1/DATOS_[[% anualiz]:[% anualiz]]),1)*IF(DATOS!AS$4="Sí",1/DATOS_[[% normaliz]:[% normaliz]],1)*(DATOS_[Conc.Sal.15])))))))),
0)</f>
        <v>0</v>
      </c>
      <c r="Y26" s="196">
        <f t="array" ref="Y26">IFERROR(
(MEDIAN((IF(DATOS_[[Sexo]:[Sexo]]=$B26,IF(DATOS_[[AGRUP. CLAS. PROF.]:[AGRUP. CLAS. PROF.]]=$B24,IF(DATOS_[[Check Periodo Ref.]:[Check Periodo Ref.]]="Dentro",IF(DATOS_[[Check Equiparado]:[Check Equiparado]]="Sí",IF(DATOS!AT$5="Sí",(1/DATOS_[[% anualiz]:[% anualiz]]),1)*IF(DATOS!AT$4="Sí",1/DATOS_[[% normaliz]:[% normaliz]],1)*(DATOS_[Conc.Sal.16])))))))),
0)</f>
        <v>2917.823414634147</v>
      </c>
      <c r="Z26" s="196">
        <f t="array" ref="Z26">IFERROR(
(MEDIAN((IF(DATOS_[[Sexo]:[Sexo]]=$B26,IF(DATOS_[[AGRUP. CLAS. PROF.]:[AGRUP. CLAS. PROF.]]=$B24,IF(DATOS_[[Check Periodo Ref.]:[Check Periodo Ref.]]="Dentro",IF(DATOS_[[Check Equiparado]:[Check Equiparado]]="Sí",IF(DATOS!AU$5="Sí",(1/DATOS_[[% anualiz]:[% anualiz]]),1)*IF(DATOS!AU$4="Sí",1/DATOS_[[% normaliz]:[% normaliz]],1)*(DATOS_[Conc.Sal.17])))))))),
0)</f>
        <v>0</v>
      </c>
      <c r="AA26" s="196">
        <f t="array" ref="AA26">IFERROR(
(MEDIAN((IF(DATOS_[[Sexo]:[Sexo]]=$B26,IF(DATOS_[[AGRUP. CLAS. PROF.]:[AGRUP. CLAS. PROF.]]=$B24,IF(DATOS_[[Check Periodo Ref.]:[Check Periodo Ref.]]="Dentro",IF(DATOS_[[Check Equiparado]:[Check Equiparado]]="Sí",IF(DATOS!AV$5="Sí",(1/DATOS_[[% anualiz]:[% anualiz]]),1)*IF(DATOS!AV$4="Sí",1/DATOS_[[% normaliz]:[% normaliz]],1)*(DATOS_[Conc.Sal.18])))))))),
0)</f>
        <v>0</v>
      </c>
      <c r="AB26" s="196">
        <f t="array" ref="AB26">IFERROR(
(MEDIAN((IF(DATOS_[[Sexo]:[Sexo]]=$B26,IF(DATOS_[[AGRUP. CLAS. PROF.]:[AGRUP. CLAS. PROF.]]=$B24,IF(DATOS_[[Check Periodo Ref.]:[Check Periodo Ref.]]="Dentro",IF(DATOS_[[Check Equiparado]:[Check Equiparado]]="Sí",IF(DATOS!AW$5="Sí",(1/DATOS_[[% anualiz]:[% anualiz]]),1)*IF(DATOS!AW$4="Sí",1/DATOS_[[% normaliz]:[% normaliz]],1)*(DATOS_[Conc.Sal.19])))))))),
0)</f>
        <v>0</v>
      </c>
      <c r="AC26" s="196">
        <f t="array" ref="AC26">IFERROR(
(MEDIAN((IF(DATOS_[[Sexo]:[Sexo]]=$B26,IF(DATOS_[[AGRUP. CLAS. PROF.]:[AGRUP. CLAS. PROF.]]=$B24,IF(DATOS_[[Check Periodo Ref.]:[Check Periodo Ref.]]="Dentro",IF(DATOS_[[Check Equiparado]:[Check Equiparado]]="Sí",IF(DATOS!AX$5="Sí",(1/DATOS_[[% anualiz]:[% anualiz]]),1)*IF(DATOS!AX$4="Sí",1/DATOS_[[% normaliz]:[% normaliz]],1)*(DATOS_[Conc.Sal.20])))))))),
0)</f>
        <v>107.32</v>
      </c>
      <c r="AD26" s="196">
        <f t="array" ref="AD26">IFERROR(
(MEDIAN((IF(DATOS_[[Sexo]:[Sexo]]=$B26,IF(DATOS_[[AGRUP. CLAS. PROF.]:[AGRUP. CLAS. PROF.]]=$B24,IF(DATOS_[[Check Periodo Ref.]:[Check Periodo Ref.]]="Dentro",IF(DATOS_[[Check Equiparado]:[Check Equiparado]]="Sí",IF(DATOS!AY$5="Sí",(1/DATOS_[[% anualiz]:[% anualiz]]),1)*IF(DATOS!AY$4="Sí",1/DATOS_[[% normaliz]:[% normaliz]],1)*(DATOS_[Conc.Sal.21])))))))),
0)</f>
        <v>0</v>
      </c>
      <c r="AE26" s="196">
        <f t="array" ref="AE26">IFERROR(
(MEDIAN((IF(DATOS_[[Sexo]:[Sexo]]=$B26,IF(DATOS_[[AGRUP. CLAS. PROF.]:[AGRUP. CLAS. PROF.]]=$B24,IF(DATOS_[[Check Periodo Ref.]:[Check Periodo Ref.]]="Dentro",IF(DATOS_[[Check Equiparado]:[Check Equiparado]]="Sí",IF(DATOS!AZ$5="Sí",(1/DATOS_[[% anualiz]:[% anualiz]]),1)*IF(DATOS!AZ$4="Sí",1/DATOS_[[% normaliz]:[% normaliz]],1)*(DATOS_[Conc.Sal.22])))))))),
0)</f>
        <v>0</v>
      </c>
      <c r="AF26" s="196">
        <f t="array" ref="AF26">IFERROR(
(MEDIAN((IF(DATOS_[[Sexo]:[Sexo]]=$B26,IF(DATOS_[[AGRUP. CLAS. PROF.]:[AGRUP. CLAS. PROF.]]=$B24,IF(DATOS_[[Check Periodo Ref.]:[Check Periodo Ref.]]="Dentro",IF(DATOS_[[Check Equiparado]:[Check Equiparado]]="Sí",IF(DATOS!BA$5="Sí",(1/DATOS_[[% anualiz]:[% anualiz]]),1)*IF(DATOS!BA$4="Sí",1/DATOS_[[% normaliz]:[% normaliz]],1)*(DATOS_[Conc.Sal.23])))))))),
0)</f>
        <v>0</v>
      </c>
      <c r="AG26" s="196">
        <f t="array" ref="AG26">IFERROR(
(MEDIAN((IF(DATOS_[[Sexo]:[Sexo]]=$B26,IF(DATOS_[[AGRUP. CLAS. PROF.]:[AGRUP. CLAS. PROF.]]=$B24,IF(DATOS_[[Check Periodo Ref.]:[Check Periodo Ref.]]="Dentro",IF(DATOS_[[Check Equiparado]:[Check Equiparado]]="Sí",IF(DATOS!BB$5="Sí",(1/DATOS_[[% anualiz]:[% anualiz]]),1)*IF(DATOS!BB$4="Sí",1/DATOS_[[% normaliz]:[% normaliz]],1)*(DATOS_[Conc.Sal.24])))))))),
0)</f>
        <v>0</v>
      </c>
      <c r="AH26" s="196">
        <f t="array" ref="AH26">IFERROR(
(MEDIAN((IF(DATOS_[[Sexo]:[Sexo]]=$B26,IF(DATOS_[[AGRUP. CLAS. PROF.]:[AGRUP. CLAS. PROF.]]=$B24,IF(DATOS_[[Check Periodo Ref.]:[Check Periodo Ref.]]="Dentro",IF(DATOS_[[Check Equiparado]:[Check Equiparado]]="Sí",IF(DATOS!BC$5="Sí",(1/DATOS_[[% anualiz]:[% anualiz]]),1)*IF(DATOS!BC$4="Sí",1/DATOS_[[% normaliz]:[% normaliz]],1)*(DATOS_[Conc.Sal.25])))))))),
0)</f>
        <v>0</v>
      </c>
      <c r="AI26" s="196">
        <f t="array" ref="AI26">IFERROR(
(MEDIAN((IF(DATOS_[[Sexo]:[Sexo]]=$B26,IF(DATOS_[[AGRUP. CLAS. PROF.]:[AGRUP. CLAS. PROF.]]=$B24,IF(DATOS_[[Check Periodo Ref.]:[Check Periodo Ref.]]="Dentro",IF(DATOS_[[Check Equiparado]:[Check Equiparado]]="Sí",IF(DATOS!BD$5="Sí",(1/DATOS_[[% anualiz]:[% anualiz]]),1)*IF(DATOS!BD$4="Sí",1/DATOS_[[% normaliz]:[% normaliz]],1)*(DATOS_[Conc.Sal.26])))))))),
0)</f>
        <v>0</v>
      </c>
      <c r="AJ26" s="196">
        <f t="array" ref="AJ26">IFERROR(
(MEDIAN((IF(DATOS_[[Sexo]:[Sexo]]=$B26,IF(DATOS_[[AGRUP. CLAS. PROF.]:[AGRUP. CLAS. PROF.]]=$B24,IF(DATOS_[[Check Periodo Ref.]:[Check Periodo Ref.]]="Dentro",IF(DATOS_[[Check Equiparado]:[Check Equiparado]]="Sí",IF(DATOS!BE$5="Sí",(1/DATOS_[[% anualiz]:[% anualiz]]),1)*IF(DATOS!BE$4="Sí",1/DATOS_[[% normaliz]:[% normaliz]],1)*(DATOS_[Conc.Sal.27])))))))),
0)</f>
        <v>0</v>
      </c>
      <c r="AK26" s="196">
        <f t="array" ref="AK26">IFERROR(
(MEDIAN((IF(DATOS_[[Sexo]:[Sexo]]=$B26,IF(DATOS_[[AGRUP. CLAS. PROF.]:[AGRUP. CLAS. PROF.]]=$B24,IF(DATOS_[[Check Periodo Ref.]:[Check Periodo Ref.]]="Dentro",IF(DATOS_[[Check Equiparado]:[Check Equiparado]]="Sí",IF(DATOS!BF$5="Sí",(1/DATOS_[[% anualiz]:[% anualiz]]),1)*IF(DATOS!BF$4="Sí",1/DATOS_[[% normaliz]:[% normaliz]],1)*(DATOS_[Conc.Sal.28])))))))),
0)</f>
        <v>0</v>
      </c>
      <c r="AL26" s="196">
        <f t="array" ref="AL26">IFERROR(
(MEDIAN((IF(DATOS_[[Sexo]:[Sexo]]=$B26,IF(DATOS_[[AGRUP. CLAS. PROF.]:[AGRUP. CLAS. PROF.]]=$B24,IF(DATOS_[[Check Periodo Ref.]:[Check Periodo Ref.]]="Dentro",IF(DATOS_[[Check Equiparado]:[Check Equiparado]]="Sí",IF(DATOS!BG$5="Sí",(1/DATOS_[[% anualiz]:[% anualiz]]),1)*IF(DATOS!BG$4="Sí",1/DATOS_[[% normaliz]:[% normaliz]],1)*(DATOS_[Conc.Sal.29])))))))),
0)</f>
        <v>0</v>
      </c>
      <c r="AM26" s="196">
        <f t="array" ref="AM26">IFERROR(
(MEDIAN((IF(DATOS_[[Sexo]:[Sexo]]=$B26,IF(DATOS_[[AGRUP. CLAS. PROF.]:[AGRUP. CLAS. PROF.]]=$B24,IF(DATOS_[[Check Periodo Ref.]:[Check Periodo Ref.]]="Dentro",IF(DATOS_[[Check Equiparado]:[Check Equiparado]]="Sí",IF(DATOS!BH$5="Sí",(1/DATOS_[[% anualiz]:[% anualiz]]),1)*IF(DATOS!BH$4="Sí",1/DATOS_[[% normaliz]:[% normaliz]],1)*(DATOS_[Conc.Sal.30])))))))),
0)</f>
        <v>0</v>
      </c>
      <c r="AN26" s="195">
        <f t="array" ref="AN26">IFERROR(
MEDIAN(IF(DATOS_[Sexo]=$B26,IF(DATOS_[[AGRUP. CLAS. PROF.]:[AGRUP. CLAS. PROF.]]=$B24,IF(DATOS_[Check Equiparado]="Sí",IF(DATOS_[Check Periodo Ref.]="Dentro",DATOS_[Tot COMPL.SAL Eq],FALSE))))),
0)</f>
        <v>5961.0518918918915</v>
      </c>
      <c r="AO26" s="172">
        <f t="array" ref="AO26">IFERROR(
MEDIAN(IF(DATOS_[Sexo]=$B26,IF(DATOS_[[AGRUP. CLAS. PROF.]:[AGRUP. CLAS. PROF.]]=$B24,IF(DATOS_[Check Equiparado]="Sí",IF(DATOS_[Check Periodo Ref.]="Dentro",DATOS_[TOTAL SALARIO Eq],FALSE))))),
0)</f>
        <v>17385.989189189189</v>
      </c>
      <c r="AP26" s="173">
        <f t="array" ref="AP26">IFERROR(
(MEDIAN((IF(DATOS_[[Sexo]:[Sexo]]=$B26,IF(DATOS_[[AGRUP. CLAS. PROF.]:[AGRUP. CLAS. PROF.]]=$B24,IF(DATOS_[[Check Periodo Ref.]:[Check Periodo Ref.]]="Dentro",IF(DATOS_[[Check Equiparado]:[Check Equiparado]]="Sí",IF(DATOS!BW$5="Sí",(1/DATOS_[[% anualiz]:[% anualiz]]),1)*IF(DATOS!BW$4="Sí",1/DATOS_[[% normaliz]:[% normaliz]],1)*(DATOS_[C.Extra.01])))))))),
0)</f>
        <v>0</v>
      </c>
      <c r="AQ26" s="173">
        <f t="array" ref="AQ26">IFERROR(
(MEDIAN((IF(DATOS_[[Sexo]:[Sexo]]=$B26,IF(DATOS_[[AGRUP. CLAS. PROF.]:[AGRUP. CLAS. PROF.]]=$B24,IF(DATOS_[[Check Periodo Ref.]:[Check Periodo Ref.]]="Dentro",IF(DATOS_[[Check Equiparado]:[Check Equiparado]]="Sí",IF(DATOS!CB$5="Sí",(1/DATOS_[[% anualiz]:[% anualiz]]),1)*IF(DATOS!CB$4="Sí",1/DATOS_[[% normaliz]:[% normaliz]],1)*(DATOS_[C.Extra.06])))))))),
0)</f>
        <v>0</v>
      </c>
      <c r="AR26" s="173">
        <f t="array" ref="AR26">IFERROR(
(MEDIAN((IF(DATOS_[[Sexo]:[Sexo]]=$B26,IF(DATOS_[[AGRUP. CLAS. PROF.]:[AGRUP. CLAS. PROF.]]=$B24,IF(DATOS_[[Check Periodo Ref.]:[Check Periodo Ref.]]="Dentro",IF(DATOS_[[Check Equiparado]:[Check Equiparado]]="Sí",IF(DATOS!CC$5="Sí",(1/DATOS_[[% anualiz]:[% anualiz]]),1)*IF(DATOS!CC$4="Sí",1/DATOS_[[% normaliz]:[% normaliz]],1)*(DATOS_[C.Extra.07])))))))),
0)</f>
        <v>0</v>
      </c>
      <c r="AS26" s="173">
        <f t="array" ref="AS26">IFERROR(
(MEDIAN((IF(DATOS_[[Sexo]:[Sexo]]=$B26,IF(DATOS_[[AGRUP. CLAS. PROF.]:[AGRUP. CLAS. PROF.]]=$B24,IF(DATOS_[[Check Periodo Ref.]:[Check Periodo Ref.]]="Dentro",IF(DATOS_[[Check Equiparado]:[Check Equiparado]]="Sí",IF(DATOS!CD$5="Sí",(1/DATOS_[[% anualiz]:[% anualiz]]),1)*IF(DATOS!CD$4="Sí",1/DATOS_[[% normaliz]:[% normaliz]],1)*(DATOS_[C.Extra.08])))))))),
0)</f>
        <v>0</v>
      </c>
      <c r="AT26" s="173">
        <f t="array" ref="AT26">IFERROR(
(MEDIAN((IF(DATOS_[[Sexo]:[Sexo]]=$B26,IF(DATOS_[[AGRUP. CLAS. PROF.]:[AGRUP. CLAS. PROF.]]=$B24,IF(DATOS_[[Check Periodo Ref.]:[Check Periodo Ref.]]="Dentro",IF(DATOS_[[Check Equiparado]:[Check Equiparado]]="Sí",IF(DATOS!CG$5="Sí",(1/DATOS_[[% anualiz]:[% anualiz]]),1)*IF(DATOS!CG$4="Sí",1/DATOS_[[% normaliz]:[% normaliz]],1)*(DATOS_[C.Extra.11])))))))),
0)</f>
        <v>0</v>
      </c>
      <c r="AU26" s="197">
        <f t="array" ref="AU26">IFERROR(
MEDIAN(IF(DATOS_[Sexo]=$B26,IF(DATOS_[[AGRUP. CLAS. PROF.]:[AGRUP. CLAS. PROF.]]=$B24,IF(DATOS_[Check Equiparado]="Sí",IF(DATOS_[Check Periodo Ref.]="Dentro",DATOS_[Tot Extrasalarial Eq],FALSE))))),
0)</f>
        <v>3170.08</v>
      </c>
      <c r="AV26" s="175">
        <f t="array" ref="AV26">IFERROR(
MEDIAN(IF(DATOS_[Sexo]=$B26,IF(DATOS_[[AGRUP. CLAS. PROF.]:[AGRUP. CLAS. PROF.]]=$B24,IF(DATOS_[Check Equiparado]="Sí",IF(DATOS_[Check Periodo Ref.]="Dentro",DATOS_[TOTAL Retrib Eq],FALSE))))),
0)</f>
        <v>19053.611428571428</v>
      </c>
    </row>
    <row r="27" spans="1:48" ht="15.6" thickBot="1" x14ac:dyDescent="0.3">
      <c r="A27" s="133" t="str">
        <f t="shared" ref="A27" si="19">+A28</f>
        <v/>
      </c>
      <c r="B27" s="199" t="s">
        <v>192</v>
      </c>
      <c r="C27" s="200"/>
      <c r="D27" s="201"/>
      <c r="E27" s="201"/>
      <c r="F27" s="201"/>
      <c r="G27" s="201"/>
      <c r="H27" s="201"/>
      <c r="I27" s="189">
        <f t="shared" ref="I27:AV27" si="20">IFERROR((I28-I29)/I28,"")</f>
        <v>8.3119304082696022E-2</v>
      </c>
      <c r="J27" s="190">
        <f t="shared" si="20"/>
        <v>-0.20225122100122092</v>
      </c>
      <c r="K27" s="191">
        <f t="shared" si="20"/>
        <v>1.751668224866015E-2</v>
      </c>
      <c r="L27" s="191">
        <f t="shared" si="20"/>
        <v>0.95745888292879688</v>
      </c>
      <c r="M27" s="191">
        <f t="shared" si="20"/>
        <v>-0.20000928209616242</v>
      </c>
      <c r="N27" s="192">
        <f t="shared" si="20"/>
        <v>1</v>
      </c>
      <c r="O27" s="193">
        <f t="shared" si="20"/>
        <v>-0.16000538355520286</v>
      </c>
      <c r="P27" s="193" t="str">
        <f t="shared" si="20"/>
        <v/>
      </c>
      <c r="Q27" s="193" t="str">
        <f t="shared" si="20"/>
        <v/>
      </c>
      <c r="R27" s="193" t="str">
        <f t="shared" si="20"/>
        <v/>
      </c>
      <c r="S27" s="193" t="str">
        <f t="shared" si="20"/>
        <v/>
      </c>
      <c r="T27" s="193">
        <f t="shared" si="20"/>
        <v>1</v>
      </c>
      <c r="U27" s="193">
        <f t="shared" si="20"/>
        <v>0.5</v>
      </c>
      <c r="V27" s="193" t="str">
        <f t="shared" si="20"/>
        <v/>
      </c>
      <c r="W27" s="193">
        <f t="shared" si="20"/>
        <v>-3.8685830474011942</v>
      </c>
      <c r="X27" s="193" t="str">
        <f t="shared" si="20"/>
        <v/>
      </c>
      <c r="Y27" s="193">
        <f t="shared" si="20"/>
        <v>-0.42481703351265215</v>
      </c>
      <c r="Z27" s="193">
        <f t="shared" si="20"/>
        <v>1</v>
      </c>
      <c r="AA27" s="193" t="str">
        <f t="shared" si="20"/>
        <v/>
      </c>
      <c r="AB27" s="193" t="str">
        <f t="shared" si="20"/>
        <v/>
      </c>
      <c r="AC27" s="193" t="str">
        <f t="shared" si="20"/>
        <v/>
      </c>
      <c r="AD27" s="193">
        <f t="shared" si="20"/>
        <v>-0.1666666666666666</v>
      </c>
      <c r="AE27" s="193" t="str">
        <f t="shared" si="20"/>
        <v/>
      </c>
      <c r="AF27" s="193" t="str">
        <f t="shared" si="20"/>
        <v/>
      </c>
      <c r="AG27" s="193" t="str">
        <f t="shared" si="20"/>
        <v/>
      </c>
      <c r="AH27" s="193" t="str">
        <f t="shared" si="20"/>
        <v/>
      </c>
      <c r="AI27" s="193" t="str">
        <f t="shared" si="20"/>
        <v/>
      </c>
      <c r="AJ27" s="193" t="str">
        <f t="shared" si="20"/>
        <v/>
      </c>
      <c r="AK27" s="193" t="str">
        <f t="shared" si="20"/>
        <v/>
      </c>
      <c r="AL27" s="193" t="str">
        <f t="shared" si="20"/>
        <v/>
      </c>
      <c r="AM27" s="193" t="str">
        <f t="shared" si="20"/>
        <v/>
      </c>
      <c r="AN27" s="189">
        <f t="shared" si="20"/>
        <v>0.29492150848287013</v>
      </c>
      <c r="AO27" s="162">
        <f t="shared" si="20"/>
        <v>0.15139421871047581</v>
      </c>
      <c r="AP27" s="163" t="str">
        <f t="shared" si="20"/>
        <v/>
      </c>
      <c r="AQ27" s="163" t="str">
        <f t="shared" si="20"/>
        <v/>
      </c>
      <c r="AR27" s="163" t="str">
        <f t="shared" si="20"/>
        <v/>
      </c>
      <c r="AS27" s="163" t="str">
        <f t="shared" si="20"/>
        <v/>
      </c>
      <c r="AT27" s="163" t="str">
        <f t="shared" si="20"/>
        <v/>
      </c>
      <c r="AU27" s="194">
        <f t="shared" si="20"/>
        <v>-5.9229557179261996E-2</v>
      </c>
      <c r="AV27" s="165">
        <f t="shared" si="20"/>
        <v>7.874656786913195E-2</v>
      </c>
    </row>
    <row r="28" spans="1:48" x14ac:dyDescent="0.25">
      <c r="A28" s="133" t="str">
        <f t="shared" ref="A28" si="21">+IF(C28+C29=0,"[ocultar]","")</f>
        <v/>
      </c>
      <c r="B28" s="202" t="s">
        <v>394</v>
      </c>
      <c r="C28" s="203">
        <f t="array" ref="C28">SUM(IF($B28=DATOS_[Sexo],
IF($B27=DATOS_[AGRUP. CLAS. PROF.],
IF("Dentro"=DATOS_[Check Periodo Ref.],
1/(COUNTIFS(DATOS_[Sexo],$B28,DATOS_[AGRUP. CLAS. PROF.],$B27,DATOS_[Check Periodo Ref.],"Dentro",DATOS_[id/cod],DATOS_[id/cod]))))))</f>
        <v>3</v>
      </c>
      <c r="D28" s="204">
        <f>COUNTIFS(DATOS_[AGRUP. CLAS. PROF.],$B27,DATOS_[Sexo],$B28,DATOS_[Check Periodo Ref.],"Dentro")</f>
        <v>3</v>
      </c>
      <c r="E28" s="204">
        <f>COUNTIFS(DATOS_[AGRUP. CLAS. PROF.],$B27,DATOS_[Sexo],$B28,DATOS_[Check Periodo Ref.],"Dentro",DATOS_[Check Nº SC Norm],"Sí")</f>
        <v>1</v>
      </c>
      <c r="F28" s="204">
        <f>COUNTIFS(DATOS_[AGRUP. CLAS. PROF.],$B27,DATOS_[Sexo],$B28,DATOS_[Check Periodo Ref.],"Dentro",DATOS_[Check Nº SC Anualiz],"Sí")</f>
        <v>0</v>
      </c>
      <c r="G28" s="204">
        <f>COUNTIFS(DATOS_[AGRUP. CLAS. PROF.],$B27,DATOS_[Sexo],$B28,DATOS_[Check Periodo Ref.],"Dentro",DATOS_[Check Nº SC Norm y Anualiz],"Sí")</f>
        <v>0</v>
      </c>
      <c r="H28" s="204">
        <f>COUNTIFS(DATOS_[AGRUP. CLAS. PROF.],$B27,DATOS_[Sexo],$B28,DATOS_[Check Periodo Ref.],"Dentro",DATOS_[Check Equiparación],"Sí")</f>
        <v>1</v>
      </c>
      <c r="I28" s="195">
        <f t="array" ref="I28">IFERROR(
MEDIAN(IF(DATOS_[Sexo]=$B28,IF(DATOS_[[AGRUP. CLAS. PROF.]:[AGRUP. CLAS. PROF.]]=$B27,IF(DATOS_[Check Equiparado]="Sí",IF(DATOS_[Check Periodo Ref.]="Dentro",DATOS_[SALARIO BASE Eq],FALSE))))),
0)</f>
        <v>10735.77</v>
      </c>
      <c r="J28" s="196">
        <f t="array" ref="J28">IFERROR(
(MEDIAN((IF(DATOS_[[Sexo]:[Sexo]]=$B28,IF(DATOS_[[AGRUP. CLAS. PROF.]:[AGRUP. CLAS. PROF.]]=$B27,IF(DATOS_[[Check Periodo Ref.]:[Check Periodo Ref.]]="Dentro",IF(DATOS_[[Check Equiparado]:[Check Equiparado]]="Sí",IF(DATOS!AE$5="Sí",(1/DATOS_[[% anualiz]:[% anualiz]]),1)*IF(DATOS!AE$4="Sí",1/DATOS_[[% normaliz]:[% normaliz]],1)*(DATOS_[Conc.Sal.01])))))))),
0)</f>
        <v>37.440000000000005</v>
      </c>
      <c r="K28" s="196">
        <f t="array" ref="K28">IFERROR(
(MEDIAN((IF(DATOS_[[Sexo]:[Sexo]]=$B28,IF(DATOS_[[AGRUP. CLAS. PROF.]:[AGRUP. CLAS. PROF.]]=$B27,IF(DATOS_[[Check Periodo Ref.]:[Check Periodo Ref.]]="Dentro",IF(DATOS_[[Check Equiparado]:[Check Equiparado]]="Sí",IF(DATOS!AF$5="Sí",(1/DATOS_[[% anualiz]:[% anualiz]]),1)*IF(DATOS!AF$4="Sí",1/DATOS_[[% normaliz]:[% normaliz]],1)*(DATOS_[Conc.Sal.02])))))))),
0)</f>
        <v>1000.85</v>
      </c>
      <c r="L28" s="196">
        <f t="array" ref="L28">IFERROR(
(MEDIAN((IF(DATOS_[[Sexo]:[Sexo]]=$B28,IF(DATOS_[[AGRUP. CLAS. PROF.]:[AGRUP. CLAS. PROF.]]=$B27,IF(DATOS_[[Check Periodo Ref.]:[Check Periodo Ref.]]="Dentro",IF(DATOS_[[Check Equiparado]:[Check Equiparado]]="Sí",IF(DATOS!AG$5="Sí",(1/DATOS_[[% anualiz]:[% anualiz]]),1)*IF(DATOS!AG$4="Sí",1/DATOS_[[% normaliz]:[% normaliz]],1)*(DATOS_[Conc.Sal.03])))))))),
0)</f>
        <v>697.55</v>
      </c>
      <c r="M28" s="196">
        <f t="array" ref="M28">IFERROR(
(MEDIAN((IF(DATOS_[[Sexo]:[Sexo]]=$B28,IF(DATOS_[[AGRUP. CLAS. PROF.]:[AGRUP. CLAS. PROF.]]=$B27,IF(DATOS_[[Check Periodo Ref.]:[Check Periodo Ref.]]="Dentro",IF(DATOS_[[Check Equiparado]:[Check Equiparado]]="Sí",IF(DATOS!AH$5="Sí",(1/DATOS_[[% anualiz]:[% anualiz]]),1)*IF(DATOS!AH$4="Sí",1/DATOS_[[% normaliz]:[% normaliz]],1)*(DATOS_[Conc.Sal.04])))))))),
0)</f>
        <v>1005.52</v>
      </c>
      <c r="N28" s="196">
        <f t="array" ref="N28">IFERROR(
(MEDIAN((IF(DATOS_[[Sexo]:[Sexo]]=$B28,IF(DATOS_[[AGRUP. CLAS. PROF.]:[AGRUP. CLAS. PROF.]]=$B27,IF(DATOS_[[Check Periodo Ref.]:[Check Periodo Ref.]]="Dentro",IF(DATOS_[[Check Equiparado]:[Check Equiparado]]="Sí",IF(DATOS!AI$5="Sí",(1/DATOS_[[% anualiz]:[% anualiz]]),1)*IF(DATOS!AI$4="Sí",1/DATOS_[[% normaliz]:[% normaliz]],1)*(DATOS_[Conc.Sal.05])))))))),
0)</f>
        <v>82.64</v>
      </c>
      <c r="O28" s="196">
        <f t="array" ref="O28">IFERROR(
(MEDIAN((IF(DATOS_[[Sexo]:[Sexo]]=$B28,IF(DATOS_[[AGRUP. CLAS. PROF.]:[AGRUP. CLAS. PROF.]]=$B27,IF(DATOS_[[Check Periodo Ref.]:[Check Periodo Ref.]]="Dentro",IF(DATOS_[[Check Equiparado]:[Check Equiparado]]="Sí",IF(DATOS!AJ$5="Sí",(1/DATOS_[[% anualiz]:[% anualiz]]),1)*IF(DATOS!AJ$4="Sí",1/DATOS_[[% normaliz]:[% normaliz]],1)*(DATOS_[Conc.Sal.06])))))))),
0)</f>
        <v>824.38</v>
      </c>
      <c r="P28" s="196">
        <f t="array" ref="P28">IFERROR(
(MEDIAN((IF(DATOS_[[Sexo]:[Sexo]]=$B28,IF(DATOS_[[AGRUP. CLAS. PROF.]:[AGRUP. CLAS. PROF.]]=$B27,IF(DATOS_[[Check Periodo Ref.]:[Check Periodo Ref.]]="Dentro",IF(DATOS_[[Check Equiparado]:[Check Equiparado]]="Sí",IF(DATOS!AK$5="Sí",(1/DATOS_[[% anualiz]:[% anualiz]]),1)*IF(DATOS!AK$4="Sí",1/DATOS_[[% normaliz]:[% normaliz]],1)*(DATOS_[Conc.Sal.07])))))))),
0)</f>
        <v>0</v>
      </c>
      <c r="Q28" s="196">
        <f t="array" ref="Q28">IFERROR(
(MEDIAN((IF(DATOS_[[Sexo]:[Sexo]]=$B28,IF(DATOS_[[AGRUP. CLAS. PROF.]:[AGRUP. CLAS. PROF.]]=$B27,IF(DATOS_[[Check Periodo Ref.]:[Check Periodo Ref.]]="Dentro",IF(DATOS_[[Check Equiparado]:[Check Equiparado]]="Sí",IF(DATOS!AL$5="Sí",(1/DATOS_[[% anualiz]:[% anualiz]]),1)*IF(DATOS!AL$4="Sí",1/DATOS_[[% normaliz]:[% normaliz]],1)*(DATOS_[Conc.Sal.08])))))))),
0)</f>
        <v>0</v>
      </c>
      <c r="R28" s="196">
        <f t="array" ref="R28">IFERROR(
(MEDIAN((IF(DATOS_[[Sexo]:[Sexo]]=$B28,IF(DATOS_[[AGRUP. CLAS. PROF.]:[AGRUP. CLAS. PROF.]]=$B27,IF(DATOS_[[Check Periodo Ref.]:[Check Periodo Ref.]]="Dentro",IF(DATOS_[[Check Equiparado]:[Check Equiparado]]="Sí",IF(DATOS!AM$5="Sí",(1/DATOS_[[% anualiz]:[% anualiz]]),1)*IF(DATOS!AM$4="Sí",1/DATOS_[[% normaliz]:[% normaliz]],1)*(DATOS_[Conc.Sal.09])))))))),
0)</f>
        <v>0</v>
      </c>
      <c r="S28" s="196">
        <f t="array" ref="S28">IFERROR(
(MEDIAN((IF(DATOS_[[Sexo]:[Sexo]]=$B28,IF(DATOS_[[AGRUP. CLAS. PROF.]:[AGRUP. CLAS. PROF.]]=$B27,IF(DATOS_[[Check Periodo Ref.]:[Check Periodo Ref.]]="Dentro",IF(DATOS_[[Check Equiparado]:[Check Equiparado]]="Sí",IF(DATOS!AN$5="Sí",(1/DATOS_[[% anualiz]:[% anualiz]]),1)*IF(DATOS!AN$4="Sí",1/DATOS_[[% normaliz]:[% normaliz]],1)*(DATOS_[Conc.Sal.10])))))))),
0)</f>
        <v>0</v>
      </c>
      <c r="T28" s="196">
        <f t="array" ref="T28">IFERROR(
(MEDIAN((IF(DATOS_[[Sexo]:[Sexo]]=$B28,IF(DATOS_[[AGRUP. CLAS. PROF.]:[AGRUP. CLAS. PROF.]]=$B27,IF(DATOS_[[Check Periodo Ref.]:[Check Periodo Ref.]]="Dentro",IF(DATOS_[[Check Equiparado]:[Check Equiparado]]="Sí",IF(DATOS!AO$5="Sí",(1/DATOS_[[% anualiz]:[% anualiz]]),1)*IF(DATOS!AO$4="Sí",1/DATOS_[[% normaliz]:[% normaliz]],1)*(DATOS_[Conc.Sal.11])))))))),
0)</f>
        <v>177.29</v>
      </c>
      <c r="U28" s="196">
        <f t="array" ref="U28">IFERROR(
(MEDIAN((IF(DATOS_[[Sexo]:[Sexo]]=$B28,IF(DATOS_[[AGRUP. CLAS. PROF.]:[AGRUP. CLAS. PROF.]]=$B27,IF(DATOS_[[Check Periodo Ref.]:[Check Periodo Ref.]]="Dentro",IF(DATOS_[[Check Equiparado]:[Check Equiparado]]="Sí",IF(DATOS!AP$5="Sí",(1/DATOS_[[% anualiz]:[% anualiz]]),1)*IF(DATOS!AP$4="Sí",1/DATOS_[[% normaliz]:[% normaliz]],1)*(DATOS_[Conc.Sal.12])))))))),
0)</f>
        <v>300</v>
      </c>
      <c r="V28" s="196">
        <f t="array" ref="V28">IFERROR(
(MEDIAN((IF(DATOS_[[Sexo]:[Sexo]]=$B28,IF(DATOS_[[AGRUP. CLAS. PROF.]:[AGRUP. CLAS. PROF.]]=$B27,IF(DATOS_[[Check Periodo Ref.]:[Check Periodo Ref.]]="Dentro",IF(DATOS_[[Check Equiparado]:[Check Equiparado]]="Sí",IF(DATOS!AQ$5="Sí",(1/DATOS_[[% anualiz]:[% anualiz]]),1)*IF(DATOS!AQ$4="Sí",1/DATOS_[[% normaliz]:[% normaliz]],1)*(DATOS_[Conc.Sal.13])))))))),
0)</f>
        <v>0</v>
      </c>
      <c r="W28" s="196">
        <f t="array" ref="W28">IFERROR(
(MEDIAN((IF(DATOS_[[Sexo]:[Sexo]]=$B28,IF(DATOS_[[AGRUP. CLAS. PROF.]:[AGRUP. CLAS. PROF.]]=$B27,IF(DATOS_[[Check Periodo Ref.]:[Check Periodo Ref.]]="Dentro",IF(DATOS_[[Check Equiparado]:[Check Equiparado]]="Sí",IF(DATOS!AR$5="Sí",(1/DATOS_[[% anualiz]:[% anualiz]]),1)*IF(DATOS!AR$4="Sí",1/DATOS_[[% normaliz]:[% normaliz]],1)*(DATOS_[Conc.Sal.14])))))))),
0)</f>
        <v>61</v>
      </c>
      <c r="X28" s="196">
        <f t="array" ref="X28">IFERROR(
(MEDIAN((IF(DATOS_[[Sexo]:[Sexo]]=$B28,IF(DATOS_[[AGRUP. CLAS. PROF.]:[AGRUP. CLAS. PROF.]]=$B27,IF(DATOS_[[Check Periodo Ref.]:[Check Periodo Ref.]]="Dentro",IF(DATOS_[[Check Equiparado]:[Check Equiparado]]="Sí",IF(DATOS!AS$5="Sí",(1/DATOS_[[% anualiz]:[% anualiz]]),1)*IF(DATOS!AS$4="Sí",1/DATOS_[[% normaliz]:[% normaliz]],1)*(DATOS_[Conc.Sal.15])))))))),
0)</f>
        <v>0</v>
      </c>
      <c r="Y28" s="196">
        <f t="array" ref="Y28">IFERROR(
(MEDIAN((IF(DATOS_[[Sexo]:[Sexo]]=$B28,IF(DATOS_[[AGRUP. CLAS. PROF.]:[AGRUP. CLAS. PROF.]]=$B27,IF(DATOS_[[Check Periodo Ref.]:[Check Periodo Ref.]]="Dentro",IF(DATOS_[[Check Equiparado]:[Check Equiparado]]="Sí",IF(DATOS!AT$5="Sí",(1/DATOS_[[% anualiz]:[% anualiz]]),1)*IF(DATOS!AT$4="Sí",1/DATOS_[[% normaliz]:[% normaliz]],1)*(DATOS_[Conc.Sal.16])))))))),
0)</f>
        <v>2122.63</v>
      </c>
      <c r="Z28" s="196">
        <f t="array" ref="Z28">IFERROR(
(MEDIAN((IF(DATOS_[[Sexo]:[Sexo]]=$B28,IF(DATOS_[[AGRUP. CLAS. PROF.]:[AGRUP. CLAS. PROF.]]=$B27,IF(DATOS_[[Check Periodo Ref.]:[Check Periodo Ref.]]="Dentro",IF(DATOS_[[Check Equiparado]:[Check Equiparado]]="Sí",IF(DATOS!AU$5="Sí",(1/DATOS_[[% anualiz]:[% anualiz]]),1)*IF(DATOS!AU$4="Sí",1/DATOS_[[% normaliz]:[% normaliz]],1)*(DATOS_[Conc.Sal.17])))))))),
0)</f>
        <v>157.69999999999999</v>
      </c>
      <c r="AA28" s="196">
        <f t="array" ref="AA28">IFERROR(
(MEDIAN((IF(DATOS_[[Sexo]:[Sexo]]=$B28,IF(DATOS_[[AGRUP. CLAS. PROF.]:[AGRUP. CLAS. PROF.]]=$B27,IF(DATOS_[[Check Periodo Ref.]:[Check Periodo Ref.]]="Dentro",IF(DATOS_[[Check Equiparado]:[Check Equiparado]]="Sí",IF(DATOS!AV$5="Sí",(1/DATOS_[[% anualiz]:[% anualiz]]),1)*IF(DATOS!AV$4="Sí",1/DATOS_[[% normaliz]:[% normaliz]],1)*(DATOS_[Conc.Sal.18])))))))),
0)</f>
        <v>0</v>
      </c>
      <c r="AB28" s="196">
        <f t="array" ref="AB28">IFERROR(
(MEDIAN((IF(DATOS_[[Sexo]:[Sexo]]=$B28,IF(DATOS_[[AGRUP. CLAS. PROF.]:[AGRUP. CLAS. PROF.]]=$B27,IF(DATOS_[[Check Periodo Ref.]:[Check Periodo Ref.]]="Dentro",IF(DATOS_[[Check Equiparado]:[Check Equiparado]]="Sí",IF(DATOS!AW$5="Sí",(1/DATOS_[[% anualiz]:[% anualiz]]),1)*IF(DATOS!AW$4="Sí",1/DATOS_[[% normaliz]:[% normaliz]],1)*(DATOS_[Conc.Sal.19])))))))),
0)</f>
        <v>0</v>
      </c>
      <c r="AC28" s="196">
        <f t="array" ref="AC28">IFERROR(
(MEDIAN((IF(DATOS_[[Sexo]:[Sexo]]=$B28,IF(DATOS_[[AGRUP. CLAS. PROF.]:[AGRUP. CLAS. PROF.]]=$B27,IF(DATOS_[[Check Periodo Ref.]:[Check Periodo Ref.]]="Dentro",IF(DATOS_[[Check Equiparado]:[Check Equiparado]]="Sí",IF(DATOS!AX$5="Sí",(1/DATOS_[[% anualiz]:[% anualiz]]),1)*IF(DATOS!AX$4="Sí",1/DATOS_[[% normaliz]:[% normaliz]],1)*(DATOS_[Conc.Sal.20])))))))),
0)</f>
        <v>0</v>
      </c>
      <c r="AD28" s="196">
        <f t="array" ref="AD28">IFERROR(
(MEDIAN((IF(DATOS_[[Sexo]:[Sexo]]=$B28,IF(DATOS_[[AGRUP. CLAS. PROF.]:[AGRUP. CLAS. PROF.]]=$B27,IF(DATOS_[[Check Periodo Ref.]:[Check Periodo Ref.]]="Dentro",IF(DATOS_[[Check Equiparado]:[Check Equiparado]]="Sí",IF(DATOS!AY$5="Sí",(1/DATOS_[[% anualiz]:[% anualiz]]),1)*IF(DATOS!AY$4="Sí",1/DATOS_[[% normaliz]:[% normaliz]],1)*(DATOS_[Conc.Sal.21])))))))),
0)</f>
        <v>65</v>
      </c>
      <c r="AE28" s="196">
        <f t="array" ref="AE28">IFERROR(
(MEDIAN((IF(DATOS_[[Sexo]:[Sexo]]=$B28,IF(DATOS_[[AGRUP. CLAS. PROF.]:[AGRUP. CLAS. PROF.]]=$B27,IF(DATOS_[[Check Periodo Ref.]:[Check Periodo Ref.]]="Dentro",IF(DATOS_[[Check Equiparado]:[Check Equiparado]]="Sí",IF(DATOS!AZ$5="Sí",(1/DATOS_[[% anualiz]:[% anualiz]]),1)*IF(DATOS!AZ$4="Sí",1/DATOS_[[% normaliz]:[% normaliz]],1)*(DATOS_[Conc.Sal.22])))))))),
0)</f>
        <v>0</v>
      </c>
      <c r="AF28" s="196">
        <f t="array" ref="AF28">IFERROR(
(MEDIAN((IF(DATOS_[[Sexo]:[Sexo]]=$B28,IF(DATOS_[[AGRUP. CLAS. PROF.]:[AGRUP. CLAS. PROF.]]=$B27,IF(DATOS_[[Check Periodo Ref.]:[Check Periodo Ref.]]="Dentro",IF(DATOS_[[Check Equiparado]:[Check Equiparado]]="Sí",IF(DATOS!BA$5="Sí",(1/DATOS_[[% anualiz]:[% anualiz]]),1)*IF(DATOS!BA$4="Sí",1/DATOS_[[% normaliz]:[% normaliz]],1)*(DATOS_[Conc.Sal.23])))))))),
0)</f>
        <v>0</v>
      </c>
      <c r="AG28" s="196">
        <f t="array" ref="AG28">IFERROR(
(MEDIAN((IF(DATOS_[[Sexo]:[Sexo]]=$B28,IF(DATOS_[[AGRUP. CLAS. PROF.]:[AGRUP. CLAS. PROF.]]=$B27,IF(DATOS_[[Check Periodo Ref.]:[Check Periodo Ref.]]="Dentro",IF(DATOS_[[Check Equiparado]:[Check Equiparado]]="Sí",IF(DATOS!BB$5="Sí",(1/DATOS_[[% anualiz]:[% anualiz]]),1)*IF(DATOS!BB$4="Sí",1/DATOS_[[% normaliz]:[% normaliz]],1)*(DATOS_[Conc.Sal.24])))))))),
0)</f>
        <v>0</v>
      </c>
      <c r="AH28" s="196">
        <f t="array" ref="AH28">IFERROR(
(MEDIAN((IF(DATOS_[[Sexo]:[Sexo]]=$B28,IF(DATOS_[[AGRUP. CLAS. PROF.]:[AGRUP. CLAS. PROF.]]=$B27,IF(DATOS_[[Check Periodo Ref.]:[Check Periodo Ref.]]="Dentro",IF(DATOS_[[Check Equiparado]:[Check Equiparado]]="Sí",IF(DATOS!BC$5="Sí",(1/DATOS_[[% anualiz]:[% anualiz]]),1)*IF(DATOS!BC$4="Sí",1/DATOS_[[% normaliz]:[% normaliz]],1)*(DATOS_[Conc.Sal.25])))))))),
0)</f>
        <v>0</v>
      </c>
      <c r="AI28" s="196">
        <f t="array" ref="AI28">IFERROR(
(MEDIAN((IF(DATOS_[[Sexo]:[Sexo]]=$B28,IF(DATOS_[[AGRUP. CLAS. PROF.]:[AGRUP. CLAS. PROF.]]=$B27,IF(DATOS_[[Check Periodo Ref.]:[Check Periodo Ref.]]="Dentro",IF(DATOS_[[Check Equiparado]:[Check Equiparado]]="Sí",IF(DATOS!BD$5="Sí",(1/DATOS_[[% anualiz]:[% anualiz]]),1)*IF(DATOS!BD$4="Sí",1/DATOS_[[% normaliz]:[% normaliz]],1)*(DATOS_[Conc.Sal.26])))))))),
0)</f>
        <v>0</v>
      </c>
      <c r="AJ28" s="196">
        <f t="array" ref="AJ28">IFERROR(
(MEDIAN((IF(DATOS_[[Sexo]:[Sexo]]=$B28,IF(DATOS_[[AGRUP. CLAS. PROF.]:[AGRUP. CLAS. PROF.]]=$B27,IF(DATOS_[[Check Periodo Ref.]:[Check Periodo Ref.]]="Dentro",IF(DATOS_[[Check Equiparado]:[Check Equiparado]]="Sí",IF(DATOS!BE$5="Sí",(1/DATOS_[[% anualiz]:[% anualiz]]),1)*IF(DATOS!BE$4="Sí",1/DATOS_[[% normaliz]:[% normaliz]],1)*(DATOS_[Conc.Sal.27])))))))),
0)</f>
        <v>0</v>
      </c>
      <c r="AK28" s="196">
        <f t="array" ref="AK28">IFERROR(
(MEDIAN((IF(DATOS_[[Sexo]:[Sexo]]=$B28,IF(DATOS_[[AGRUP. CLAS. PROF.]:[AGRUP. CLAS. PROF.]]=$B27,IF(DATOS_[[Check Periodo Ref.]:[Check Periodo Ref.]]="Dentro",IF(DATOS_[[Check Equiparado]:[Check Equiparado]]="Sí",IF(DATOS!BF$5="Sí",(1/DATOS_[[% anualiz]:[% anualiz]]),1)*IF(DATOS!BF$4="Sí",1/DATOS_[[% normaliz]:[% normaliz]],1)*(DATOS_[Conc.Sal.28])))))))),
0)</f>
        <v>0</v>
      </c>
      <c r="AL28" s="196">
        <f t="array" ref="AL28">IFERROR(
(MEDIAN((IF(DATOS_[[Sexo]:[Sexo]]=$B28,IF(DATOS_[[AGRUP. CLAS. PROF.]:[AGRUP. CLAS. PROF.]]=$B27,IF(DATOS_[[Check Periodo Ref.]:[Check Periodo Ref.]]="Dentro",IF(DATOS_[[Check Equiparado]:[Check Equiparado]]="Sí",IF(DATOS!BG$5="Sí",(1/DATOS_[[% anualiz]:[% anualiz]]),1)*IF(DATOS!BG$4="Sí",1/DATOS_[[% normaliz]:[% normaliz]],1)*(DATOS_[Conc.Sal.29])))))))),
0)</f>
        <v>0</v>
      </c>
      <c r="AM28" s="196">
        <f t="array" ref="AM28">IFERROR(
(MEDIAN((IF(DATOS_[[Sexo]:[Sexo]]=$B28,IF(DATOS_[[AGRUP. CLAS. PROF.]:[AGRUP. CLAS. PROF.]]=$B27,IF(DATOS_[[Check Periodo Ref.]:[Check Periodo Ref.]]="Dentro",IF(DATOS_[[Check Equiparado]:[Check Equiparado]]="Sí",IF(DATOS!BH$5="Sí",(1/DATOS_[[% anualiz]:[% anualiz]]),1)*IF(DATOS!BH$4="Sí",1/DATOS_[[% normaliz]:[% normaliz]],1)*(DATOS_[Conc.Sal.30])))))))),
0)</f>
        <v>0</v>
      </c>
      <c r="AN28" s="195">
        <f t="array" ref="AN28">IFERROR(
MEDIAN(IF(DATOS_[Sexo]=$B28,IF(DATOS_[[AGRUP. CLAS. PROF.]:[AGRUP. CLAS. PROF.]]=$B27,IF(DATOS_[Check Equiparado]="Sí",IF(DATOS_[Check Periodo Ref.]="Dentro",DATOS_[Tot COMPL.SAL Eq],FALSE))))),
0)</f>
        <v>7674.53</v>
      </c>
      <c r="AO28" s="172">
        <f t="array" ref="AO28">IFERROR(
MEDIAN(IF(DATOS_[Sexo]=$B28,IF(DATOS_[[AGRUP. CLAS. PROF.]:[AGRUP. CLAS. PROF.]]=$B27,IF(DATOS_[Check Equiparado]="Sí",IF(DATOS_[Check Periodo Ref.]="Dentro",DATOS_[TOTAL SALARIO Eq],FALSE))))),
0)</f>
        <v>18410.3</v>
      </c>
      <c r="AP28" s="173">
        <f t="array" ref="AP28">IFERROR(
(MEDIAN((IF(DATOS_[[Sexo]:[Sexo]]=$B28,IF(DATOS_[[AGRUP. CLAS. PROF.]:[AGRUP. CLAS. PROF.]]=$B27,IF(DATOS_[[Check Periodo Ref.]:[Check Periodo Ref.]]="Dentro",IF(DATOS_[[Check Equiparado]:[Check Equiparado]]="Sí",IF(DATOS!BW$5="Sí",(1/DATOS_[[% anualiz]:[% anualiz]]),1)*IF(DATOS!BW$4="Sí",1/DATOS_[[% normaliz]:[% normaliz]],1)*(DATOS_[C.Extra.01])))))))),
0)</f>
        <v>0</v>
      </c>
      <c r="AQ28" s="173">
        <f t="array" ref="AQ28">IFERROR(
(MEDIAN((IF(DATOS_[[Sexo]:[Sexo]]=$B28,IF(DATOS_[[AGRUP. CLAS. PROF.]:[AGRUP. CLAS. PROF.]]=$B27,IF(DATOS_[[Check Periodo Ref.]:[Check Periodo Ref.]]="Dentro",IF(DATOS_[[Check Equiparado]:[Check Equiparado]]="Sí",IF(DATOS!CB$5="Sí",(1/DATOS_[[% anualiz]:[% anualiz]]),1)*IF(DATOS!CB$4="Sí",1/DATOS_[[% normaliz]:[% normaliz]],1)*(DATOS_[C.Extra.06])))))))),
0)</f>
        <v>0</v>
      </c>
      <c r="AR28" s="173">
        <f t="array" ref="AR28">IFERROR(
(MEDIAN((IF(DATOS_[[Sexo]:[Sexo]]=$B28,IF(DATOS_[[AGRUP. CLAS. PROF.]:[AGRUP. CLAS. PROF.]]=$B27,IF(DATOS_[[Check Periodo Ref.]:[Check Periodo Ref.]]="Dentro",IF(DATOS_[[Check Equiparado]:[Check Equiparado]]="Sí",IF(DATOS!CC$5="Sí",(1/DATOS_[[% anualiz]:[% anualiz]]),1)*IF(DATOS!CC$4="Sí",1/DATOS_[[% normaliz]:[% normaliz]],1)*(DATOS_[C.Extra.07])))))))),
0)</f>
        <v>0</v>
      </c>
      <c r="AS28" s="173">
        <f t="array" ref="AS28">IFERROR(
(MEDIAN((IF(DATOS_[[Sexo]:[Sexo]]=$B28,IF(DATOS_[[AGRUP. CLAS. PROF.]:[AGRUP. CLAS. PROF.]]=$B27,IF(DATOS_[[Check Periodo Ref.]:[Check Periodo Ref.]]="Dentro",IF(DATOS_[[Check Equiparado]:[Check Equiparado]]="Sí",IF(DATOS!CD$5="Sí",(1/DATOS_[[% anualiz]:[% anualiz]]),1)*IF(DATOS!CD$4="Sí",1/DATOS_[[% normaliz]:[% normaliz]],1)*(DATOS_[C.Extra.08])))))))),
0)</f>
        <v>0</v>
      </c>
      <c r="AT28" s="173">
        <f t="array" ref="AT28">IFERROR(
(MEDIAN((IF(DATOS_[[Sexo]:[Sexo]]=$B28,IF(DATOS_[[AGRUP. CLAS. PROF.]:[AGRUP. CLAS. PROF.]]=$B27,IF(DATOS_[[Check Periodo Ref.]:[Check Periodo Ref.]]="Dentro",IF(DATOS_[[Check Equiparado]:[Check Equiparado]]="Sí",IF(DATOS!CG$5="Sí",(1/DATOS_[[% anualiz]:[% anualiz]]),1)*IF(DATOS!CG$4="Sí",1/DATOS_[[% normaliz]:[% normaliz]],1)*(DATOS_[C.Extra.11])))))))),
0)</f>
        <v>0</v>
      </c>
      <c r="AU28" s="197">
        <f t="array" ref="AU28">IFERROR(
MEDIAN(IF(DATOS_[Sexo]=$B28,IF(DATOS_[[AGRUP. CLAS. PROF.]:[AGRUP. CLAS. PROF.]]=$B27,IF(DATOS_[Check Equiparado]="Sí",IF(DATOS_[Check Periodo Ref.]="Dentro",DATOS_[Tot Extrasalarial Eq],FALSE))))),
0)</f>
        <v>3143.45</v>
      </c>
      <c r="AV28" s="175">
        <f t="array" ref="AV28">IFERROR(
MEDIAN(IF(DATOS_[Sexo]=$B28,IF(DATOS_[[AGRUP. CLAS. PROF.]:[AGRUP. CLAS. PROF.]]=$B27,IF(DATOS_[Check Equiparado]="Sí",IF(DATOS_[Check Periodo Ref.]="Dentro",DATOS_[TOTAL Retrib Eq],FALSE))))),
0)</f>
        <v>21553.75</v>
      </c>
    </row>
    <row r="29" spans="1:48" x14ac:dyDescent="0.25">
      <c r="A29" s="133" t="str">
        <f t="shared" ref="A29" si="22">+A28</f>
        <v/>
      </c>
      <c r="B29" s="202" t="s">
        <v>521</v>
      </c>
      <c r="C29" s="203">
        <f t="array" ref="C29">SUM(IF($B29=DATOS_[Sexo],
IF($B27=DATOS_[AGRUP. CLAS. PROF.],
IF("Dentro"=DATOS_[Check Periodo Ref.],
1/(COUNTIFS(DATOS_[Sexo],$B29,DATOS_[AGRUP. CLAS. PROF.],$B27,DATOS_[Check Periodo Ref.],"Dentro",DATOS_[id/cod],DATOS_[id/cod]))))))</f>
        <v>10</v>
      </c>
      <c r="D29" s="204">
        <f>COUNTIFS(DATOS_[AGRUP. CLAS. PROF.],$B27,DATOS_[Sexo],$B29,DATOS_[Check Periodo Ref.],"Dentro")</f>
        <v>11</v>
      </c>
      <c r="E29" s="204">
        <f>COUNTIFS(DATOS_[AGRUP. CLAS. PROF.],$B27,DATOS_[Sexo],$B29,DATOS_[Check Periodo Ref.],"Dentro",DATOS_[Check Nº SC Norm],"Sí")</f>
        <v>6</v>
      </c>
      <c r="F29" s="204">
        <f>COUNTIFS(DATOS_[AGRUP. CLAS. PROF.],$B27,DATOS_[Sexo],$B29,DATOS_[Check Periodo Ref.],"Dentro",DATOS_[Check Nº SC Anualiz],"Sí")</f>
        <v>0</v>
      </c>
      <c r="G29" s="204">
        <f>COUNTIFS(DATOS_[AGRUP. CLAS. PROF.],$B27,DATOS_[Sexo],$B29,DATOS_[Check Periodo Ref.],"Dentro",DATOS_[Check Nº SC Norm y Anualiz],"Sí")</f>
        <v>4</v>
      </c>
      <c r="H29" s="204">
        <f>COUNTIFS(DATOS_[AGRUP. CLAS. PROF.],$B27,DATOS_[Sexo],$B29,DATOS_[Check Periodo Ref.],"Dentro",DATOS_[Check Equiparación],"Sí")</f>
        <v>10</v>
      </c>
      <c r="I29" s="195" cm="1">
        <f t="array" ref="I29">IFERROR(
MEDIAN(IF(DATOS_[Sexo]=$B29,IF(DATOS_[[AGRUP. CLAS. PROF.]:[AGRUP. CLAS. PROF.]]=$B27,IF(DATOS_[Check Equiparado]="Sí",IF(DATOS_[Check Periodo Ref.]="Dentro",DATOS_[SALARIO BASE Eq],FALSE))))),
0)</f>
        <v>9843.420268808115</v>
      </c>
      <c r="J29" s="196">
        <f t="array" ref="J29">IFERROR(
(MEDIAN((IF(DATOS_[[Sexo]:[Sexo]]=$B29,IF(DATOS_[[AGRUP. CLAS. PROF.]:[AGRUP. CLAS. PROF.]]=$B27,IF(DATOS_[[Check Periodo Ref.]:[Check Periodo Ref.]]="Dentro",IF(DATOS_[[Check Equiparado]:[Check Equiparado]]="Sí",IF(DATOS!AE$5="Sí",(1/DATOS_[[% anualiz]:[% anualiz]]),1)*IF(DATOS!AE$4="Sí",1/DATOS_[[% normaliz]:[% normaliz]],1)*(DATOS_[Conc.Sal.01])))))))),
0)</f>
        <v>45.012285714285717</v>
      </c>
      <c r="K29" s="196">
        <f t="array" ref="K29">IFERROR(
(MEDIAN((IF(DATOS_[[Sexo]:[Sexo]]=$B29,IF(DATOS_[[AGRUP. CLAS. PROF.]:[AGRUP. CLAS. PROF.]]=$B27,IF(DATOS_[[Check Periodo Ref.]:[Check Periodo Ref.]]="Dentro",IF(DATOS_[[Check Equiparado]:[Check Equiparado]]="Sí",IF(DATOS!AF$5="Sí",(1/DATOS_[[% anualiz]:[% anualiz]]),1)*IF(DATOS!AF$4="Sí",1/DATOS_[[% normaliz]:[% normaliz]],1)*(DATOS_[Conc.Sal.02])))))))),
0)</f>
        <v>983.31842857142851</v>
      </c>
      <c r="L29" s="196">
        <f t="array" ref="L29">IFERROR(
(MEDIAN((IF(DATOS_[[Sexo]:[Sexo]]=$B29,IF(DATOS_[[AGRUP. CLAS. PROF.]:[AGRUP. CLAS. PROF.]]=$B27,IF(DATOS_[[Check Periodo Ref.]:[Check Periodo Ref.]]="Dentro",IF(DATOS_[[Check Equiparado]:[Check Equiparado]]="Sí",IF(DATOS!AG$5="Sí",(1/DATOS_[[% anualiz]:[% anualiz]]),1)*IF(DATOS!AG$4="Sí",1/DATOS_[[% normaliz]:[% normaliz]],1)*(DATOS_[Conc.Sal.03])))))))),
0)</f>
        <v>29.674556213017748</v>
      </c>
      <c r="M29" s="196">
        <f t="array" ref="M29">IFERROR(
(MEDIAN((IF(DATOS_[[Sexo]:[Sexo]]=$B29,IF(DATOS_[[AGRUP. CLAS. PROF.]:[AGRUP. CLAS. PROF.]]=$B27,IF(DATOS_[[Check Periodo Ref.]:[Check Periodo Ref.]]="Dentro",IF(DATOS_[[Check Equiparado]:[Check Equiparado]]="Sí",IF(DATOS!AH$5="Sí",(1/DATOS_[[% anualiz]:[% anualiz]]),1)*IF(DATOS!AH$4="Sí",1/DATOS_[[% normaliz]:[% normaliz]],1)*(DATOS_[Conc.Sal.04])))))))),
0)</f>
        <v>1206.6333333333332</v>
      </c>
      <c r="N29" s="196">
        <f t="array" ref="N29">IFERROR(
(MEDIAN((IF(DATOS_[[Sexo]:[Sexo]]=$B29,IF(DATOS_[[AGRUP. CLAS. PROF.]:[AGRUP. CLAS. PROF.]]=$B27,IF(DATOS_[[Check Periodo Ref.]:[Check Periodo Ref.]]="Dentro",IF(DATOS_[[Check Equiparado]:[Check Equiparado]]="Sí",IF(DATOS!AI$5="Sí",(1/DATOS_[[% anualiz]:[% anualiz]]),1)*IF(DATOS!AI$4="Sí",1/DATOS_[[% normaliz]:[% normaliz]],1)*(DATOS_[Conc.Sal.05])))))))),
0)</f>
        <v>0</v>
      </c>
      <c r="O29" s="196">
        <f t="array" ref="O29">IFERROR(
(MEDIAN((IF(DATOS_[[Sexo]:[Sexo]]=$B29,IF(DATOS_[[AGRUP. CLAS. PROF.]:[AGRUP. CLAS. PROF.]]=$B27,IF(DATOS_[[Check Periodo Ref.]:[Check Periodo Ref.]]="Dentro",IF(DATOS_[[Check Equiparado]:[Check Equiparado]]="Sí",IF(DATOS!AJ$5="Sí",(1/DATOS_[[% anualiz]:[% anualiz]]),1)*IF(DATOS!AJ$4="Sí",1/DATOS_[[% normaliz]:[% normaliz]],1)*(DATOS_[Conc.Sal.06])))))))),
0)</f>
        <v>956.28523809523813</v>
      </c>
      <c r="P29" s="196">
        <f t="array" ref="P29">IFERROR(
(MEDIAN((IF(DATOS_[[Sexo]:[Sexo]]=$B29,IF(DATOS_[[AGRUP. CLAS. PROF.]:[AGRUP. CLAS. PROF.]]=$B27,IF(DATOS_[[Check Periodo Ref.]:[Check Periodo Ref.]]="Dentro",IF(DATOS_[[Check Equiparado]:[Check Equiparado]]="Sí",IF(DATOS!AK$5="Sí",(1/DATOS_[[% anualiz]:[% anualiz]]),1)*IF(DATOS!AK$4="Sí",1/DATOS_[[% normaliz]:[% normaliz]],1)*(DATOS_[Conc.Sal.07])))))))),
0)</f>
        <v>0</v>
      </c>
      <c r="Q29" s="196">
        <f t="array" ref="Q29">IFERROR(
(MEDIAN((IF(DATOS_[[Sexo]:[Sexo]]=$B29,IF(DATOS_[[AGRUP. CLAS. PROF.]:[AGRUP. CLAS. PROF.]]=$B27,IF(DATOS_[[Check Periodo Ref.]:[Check Periodo Ref.]]="Dentro",IF(DATOS_[[Check Equiparado]:[Check Equiparado]]="Sí",IF(DATOS!AL$5="Sí",(1/DATOS_[[% anualiz]:[% anualiz]]),1)*IF(DATOS!AL$4="Sí",1/DATOS_[[% normaliz]:[% normaliz]],1)*(DATOS_[Conc.Sal.08])))))))),
0)</f>
        <v>0</v>
      </c>
      <c r="R29" s="196">
        <f t="array" ref="R29">IFERROR(
(MEDIAN((IF(DATOS_[[Sexo]:[Sexo]]=$B29,IF(DATOS_[[AGRUP. CLAS. PROF.]:[AGRUP. CLAS. PROF.]]=$B27,IF(DATOS_[[Check Periodo Ref.]:[Check Periodo Ref.]]="Dentro",IF(DATOS_[[Check Equiparado]:[Check Equiparado]]="Sí",IF(DATOS!AM$5="Sí",(1/DATOS_[[% anualiz]:[% anualiz]]),1)*IF(DATOS!AM$4="Sí",1/DATOS_[[% normaliz]:[% normaliz]],1)*(DATOS_[Conc.Sal.09])))))))),
0)</f>
        <v>0</v>
      </c>
      <c r="S29" s="196">
        <f t="array" ref="S29">IFERROR(
(MEDIAN((IF(DATOS_[[Sexo]:[Sexo]]=$B29,IF(DATOS_[[AGRUP. CLAS. PROF.]:[AGRUP. CLAS. PROF.]]=$B27,IF(DATOS_[[Check Periodo Ref.]:[Check Periodo Ref.]]="Dentro",IF(DATOS_[[Check Equiparado]:[Check Equiparado]]="Sí",IF(DATOS!AN$5="Sí",(1/DATOS_[[% anualiz]:[% anualiz]]),1)*IF(DATOS!AN$4="Sí",1/DATOS_[[% normaliz]:[% normaliz]],1)*(DATOS_[Conc.Sal.10])))))))),
0)</f>
        <v>0</v>
      </c>
      <c r="T29" s="196">
        <f t="array" ref="T29">IFERROR(
(MEDIAN((IF(DATOS_[[Sexo]:[Sexo]]=$B29,IF(DATOS_[[AGRUP. CLAS. PROF.]:[AGRUP. CLAS. PROF.]]=$B27,IF(DATOS_[[Check Periodo Ref.]:[Check Periodo Ref.]]="Dentro",IF(DATOS_[[Check Equiparado]:[Check Equiparado]]="Sí",IF(DATOS!AO$5="Sí",(1/DATOS_[[% anualiz]:[% anualiz]]),1)*IF(DATOS!AO$4="Sí",1/DATOS_[[% normaliz]:[% normaliz]],1)*(DATOS_[Conc.Sal.11])))))))),
0)</f>
        <v>0</v>
      </c>
      <c r="U29" s="196">
        <f t="array" ref="U29">IFERROR(
(MEDIAN((IF(DATOS_[[Sexo]:[Sexo]]=$B29,IF(DATOS_[[AGRUP. CLAS. PROF.]:[AGRUP. CLAS. PROF.]]=$B27,IF(DATOS_[[Check Periodo Ref.]:[Check Periodo Ref.]]="Dentro",IF(DATOS_[[Check Equiparado]:[Check Equiparado]]="Sí",IF(DATOS!AP$5="Sí",(1/DATOS_[[% anualiz]:[% anualiz]]),1)*IF(DATOS!AP$4="Sí",1/DATOS_[[% normaliz]:[% normaliz]],1)*(DATOS_[Conc.Sal.12])))))))),
0)</f>
        <v>150</v>
      </c>
      <c r="V29" s="196">
        <f t="array" ref="V29">IFERROR(
(MEDIAN((IF(DATOS_[[Sexo]:[Sexo]]=$B29,IF(DATOS_[[AGRUP. CLAS. PROF.]:[AGRUP. CLAS. PROF.]]=$B27,IF(DATOS_[[Check Periodo Ref.]:[Check Periodo Ref.]]="Dentro",IF(DATOS_[[Check Equiparado]:[Check Equiparado]]="Sí",IF(DATOS!AQ$5="Sí",(1/DATOS_[[% anualiz]:[% anualiz]]),1)*IF(DATOS!AQ$4="Sí",1/DATOS_[[% normaliz]:[% normaliz]],1)*(DATOS_[Conc.Sal.13])))))))),
0)</f>
        <v>0</v>
      </c>
      <c r="W29" s="196">
        <f t="array" ref="W29">IFERROR(
(MEDIAN((IF(DATOS_[[Sexo]:[Sexo]]=$B29,IF(DATOS_[[AGRUP. CLAS. PROF.]:[AGRUP. CLAS. PROF.]]=$B27,IF(DATOS_[[Check Periodo Ref.]:[Check Periodo Ref.]]="Dentro",IF(DATOS_[[Check Equiparado]:[Check Equiparado]]="Sí",IF(DATOS!AR$5="Sí",(1/DATOS_[[% anualiz]:[% anualiz]]),1)*IF(DATOS!AR$4="Sí",1/DATOS_[[% normaliz]:[% normaliz]],1)*(DATOS_[Conc.Sal.14])))))))),
0)</f>
        <v>296.98356589147284</v>
      </c>
      <c r="X29" s="196">
        <f t="array" ref="X29">IFERROR(
(MEDIAN((IF(DATOS_[[Sexo]:[Sexo]]=$B29,IF(DATOS_[[AGRUP. CLAS. PROF.]:[AGRUP. CLAS. PROF.]]=$B27,IF(DATOS_[[Check Periodo Ref.]:[Check Periodo Ref.]]="Dentro",IF(DATOS_[[Check Equiparado]:[Check Equiparado]]="Sí",IF(DATOS!AS$5="Sí",(1/DATOS_[[% anualiz]:[% anualiz]]),1)*IF(DATOS!AS$4="Sí",1/DATOS_[[% normaliz]:[% normaliz]],1)*(DATOS_[Conc.Sal.15])))))))),
0)</f>
        <v>0</v>
      </c>
      <c r="Y29" s="196">
        <f t="array" ref="Y29">IFERROR(
(MEDIAN((IF(DATOS_[[Sexo]:[Sexo]]=$B29,IF(DATOS_[[AGRUP. CLAS. PROF.]:[AGRUP. CLAS. PROF.]]=$B27,IF(DATOS_[[Check Periodo Ref.]:[Check Periodo Ref.]]="Dentro",IF(DATOS_[[Check Equiparado]:[Check Equiparado]]="Sí",IF(DATOS!AT$5="Sí",(1/DATOS_[[% anualiz]:[% anualiz]]),1)*IF(DATOS!AT$4="Sí",1/DATOS_[[% normaliz]:[% normaliz]],1)*(DATOS_[Conc.Sal.16])))))))),
0)</f>
        <v>3024.359379844961</v>
      </c>
      <c r="Z29" s="196">
        <f t="array" ref="Z29">IFERROR(
(MEDIAN((IF(DATOS_[[Sexo]:[Sexo]]=$B29,IF(DATOS_[[AGRUP. CLAS. PROF.]:[AGRUP. CLAS. PROF.]]=$B27,IF(DATOS_[[Check Periodo Ref.]:[Check Periodo Ref.]]="Dentro",IF(DATOS_[[Check Equiparado]:[Check Equiparado]]="Sí",IF(DATOS!AU$5="Sí",(1/DATOS_[[% anualiz]:[% anualiz]]),1)*IF(DATOS!AU$4="Sí",1/DATOS_[[% normaliz]:[% normaliz]],1)*(DATOS_[Conc.Sal.17])))))))),
0)</f>
        <v>0</v>
      </c>
      <c r="AA29" s="196">
        <f t="array" ref="AA29">IFERROR(
(MEDIAN((IF(DATOS_[[Sexo]:[Sexo]]=$B29,IF(DATOS_[[AGRUP. CLAS. PROF.]:[AGRUP. CLAS. PROF.]]=$B27,IF(DATOS_[[Check Periodo Ref.]:[Check Periodo Ref.]]="Dentro",IF(DATOS_[[Check Equiparado]:[Check Equiparado]]="Sí",IF(DATOS!AV$5="Sí",(1/DATOS_[[% anualiz]:[% anualiz]]),1)*IF(DATOS!AV$4="Sí",1/DATOS_[[% normaliz]:[% normaliz]],1)*(DATOS_[Conc.Sal.18])))))))),
0)</f>
        <v>0</v>
      </c>
      <c r="AB29" s="196">
        <f t="array" ref="AB29">IFERROR(
(MEDIAN((IF(DATOS_[[Sexo]:[Sexo]]=$B29,IF(DATOS_[[AGRUP. CLAS. PROF.]:[AGRUP. CLAS. PROF.]]=$B27,IF(DATOS_[[Check Periodo Ref.]:[Check Periodo Ref.]]="Dentro",IF(DATOS_[[Check Equiparado]:[Check Equiparado]]="Sí",IF(DATOS!AW$5="Sí",(1/DATOS_[[% anualiz]:[% anualiz]]),1)*IF(DATOS!AW$4="Sí",1/DATOS_[[% normaliz]:[% normaliz]],1)*(DATOS_[Conc.Sal.19])))))))),
0)</f>
        <v>0</v>
      </c>
      <c r="AC29" s="196">
        <f t="array" ref="AC29">IFERROR(
(MEDIAN((IF(DATOS_[[Sexo]:[Sexo]]=$B29,IF(DATOS_[[AGRUP. CLAS. PROF.]:[AGRUP. CLAS. PROF.]]=$B27,IF(DATOS_[[Check Periodo Ref.]:[Check Periodo Ref.]]="Dentro",IF(DATOS_[[Check Equiparado]:[Check Equiparado]]="Sí",IF(DATOS!AX$5="Sí",(1/DATOS_[[% anualiz]:[% anualiz]]),1)*IF(DATOS!AX$4="Sí",1/DATOS_[[% normaliz]:[% normaliz]],1)*(DATOS_[Conc.Sal.20])))))))),
0)</f>
        <v>0</v>
      </c>
      <c r="AD29" s="196">
        <f t="array" ref="AD29">IFERROR(
(MEDIAN((IF(DATOS_[[Sexo]:[Sexo]]=$B29,IF(DATOS_[[AGRUP. CLAS. PROF.]:[AGRUP. CLAS. PROF.]]=$B27,IF(DATOS_[[Check Periodo Ref.]:[Check Periodo Ref.]]="Dentro",IF(DATOS_[[Check Equiparado]:[Check Equiparado]]="Sí",IF(DATOS!AY$5="Sí",(1/DATOS_[[% anualiz]:[% anualiz]]),1)*IF(DATOS!AY$4="Sí",1/DATOS_[[% normaliz]:[% normaliz]],1)*(DATOS_[Conc.Sal.21])))))))),
0)</f>
        <v>75.833333333333329</v>
      </c>
      <c r="AE29" s="196">
        <f t="array" ref="AE29">IFERROR(
(MEDIAN((IF(DATOS_[[Sexo]:[Sexo]]=$B29,IF(DATOS_[[AGRUP. CLAS. PROF.]:[AGRUP. CLAS. PROF.]]=$B27,IF(DATOS_[[Check Periodo Ref.]:[Check Periodo Ref.]]="Dentro",IF(DATOS_[[Check Equiparado]:[Check Equiparado]]="Sí",IF(DATOS!AZ$5="Sí",(1/DATOS_[[% anualiz]:[% anualiz]]),1)*IF(DATOS!AZ$4="Sí",1/DATOS_[[% normaliz]:[% normaliz]],1)*(DATOS_[Conc.Sal.22])))))))),
0)</f>
        <v>0</v>
      </c>
      <c r="AF29" s="196">
        <f t="array" ref="AF29">IFERROR(
(MEDIAN((IF(DATOS_[[Sexo]:[Sexo]]=$B29,IF(DATOS_[[AGRUP. CLAS. PROF.]:[AGRUP. CLAS. PROF.]]=$B27,IF(DATOS_[[Check Periodo Ref.]:[Check Periodo Ref.]]="Dentro",IF(DATOS_[[Check Equiparado]:[Check Equiparado]]="Sí",IF(DATOS!BA$5="Sí",(1/DATOS_[[% anualiz]:[% anualiz]]),1)*IF(DATOS!BA$4="Sí",1/DATOS_[[% normaliz]:[% normaliz]],1)*(DATOS_[Conc.Sal.23])))))))),
0)</f>
        <v>0</v>
      </c>
      <c r="AG29" s="196">
        <f t="array" ref="AG29">IFERROR(
(MEDIAN((IF(DATOS_[[Sexo]:[Sexo]]=$B29,IF(DATOS_[[AGRUP. CLAS. PROF.]:[AGRUP. CLAS. PROF.]]=$B27,IF(DATOS_[[Check Periodo Ref.]:[Check Periodo Ref.]]="Dentro",IF(DATOS_[[Check Equiparado]:[Check Equiparado]]="Sí",IF(DATOS!BB$5="Sí",(1/DATOS_[[% anualiz]:[% anualiz]]),1)*IF(DATOS!BB$4="Sí",1/DATOS_[[% normaliz]:[% normaliz]],1)*(DATOS_[Conc.Sal.24])))))))),
0)</f>
        <v>0</v>
      </c>
      <c r="AH29" s="196">
        <f t="array" ref="AH29">IFERROR(
(MEDIAN((IF(DATOS_[[Sexo]:[Sexo]]=$B29,IF(DATOS_[[AGRUP. CLAS. PROF.]:[AGRUP. CLAS. PROF.]]=$B27,IF(DATOS_[[Check Periodo Ref.]:[Check Periodo Ref.]]="Dentro",IF(DATOS_[[Check Equiparado]:[Check Equiparado]]="Sí",IF(DATOS!BC$5="Sí",(1/DATOS_[[% anualiz]:[% anualiz]]),1)*IF(DATOS!BC$4="Sí",1/DATOS_[[% normaliz]:[% normaliz]],1)*(DATOS_[Conc.Sal.25])))))))),
0)</f>
        <v>0</v>
      </c>
      <c r="AI29" s="196">
        <f t="array" ref="AI29">IFERROR(
(MEDIAN((IF(DATOS_[[Sexo]:[Sexo]]=$B29,IF(DATOS_[[AGRUP. CLAS. PROF.]:[AGRUP. CLAS. PROF.]]=$B27,IF(DATOS_[[Check Periodo Ref.]:[Check Periodo Ref.]]="Dentro",IF(DATOS_[[Check Equiparado]:[Check Equiparado]]="Sí",IF(DATOS!BD$5="Sí",(1/DATOS_[[% anualiz]:[% anualiz]]),1)*IF(DATOS!BD$4="Sí",1/DATOS_[[% normaliz]:[% normaliz]],1)*(DATOS_[Conc.Sal.26])))))))),
0)</f>
        <v>0</v>
      </c>
      <c r="AJ29" s="196">
        <f t="array" ref="AJ29">IFERROR(
(MEDIAN((IF(DATOS_[[Sexo]:[Sexo]]=$B29,IF(DATOS_[[AGRUP. CLAS. PROF.]:[AGRUP. CLAS. PROF.]]=$B27,IF(DATOS_[[Check Periodo Ref.]:[Check Periodo Ref.]]="Dentro",IF(DATOS_[[Check Equiparado]:[Check Equiparado]]="Sí",IF(DATOS!BE$5="Sí",(1/DATOS_[[% anualiz]:[% anualiz]]),1)*IF(DATOS!BE$4="Sí",1/DATOS_[[% normaliz]:[% normaliz]],1)*(DATOS_[Conc.Sal.27])))))))),
0)</f>
        <v>0</v>
      </c>
      <c r="AK29" s="196">
        <f t="array" ref="AK29">IFERROR(
(MEDIAN((IF(DATOS_[[Sexo]:[Sexo]]=$B29,IF(DATOS_[[AGRUP. CLAS. PROF.]:[AGRUP. CLAS. PROF.]]=$B27,IF(DATOS_[[Check Periodo Ref.]:[Check Periodo Ref.]]="Dentro",IF(DATOS_[[Check Equiparado]:[Check Equiparado]]="Sí",IF(DATOS!BF$5="Sí",(1/DATOS_[[% anualiz]:[% anualiz]]),1)*IF(DATOS!BF$4="Sí",1/DATOS_[[% normaliz]:[% normaliz]],1)*(DATOS_[Conc.Sal.28])))))))),
0)</f>
        <v>0</v>
      </c>
      <c r="AL29" s="196">
        <f t="array" ref="AL29">IFERROR(
(MEDIAN((IF(DATOS_[[Sexo]:[Sexo]]=$B29,IF(DATOS_[[AGRUP. CLAS. PROF.]:[AGRUP. CLAS. PROF.]]=$B27,IF(DATOS_[[Check Periodo Ref.]:[Check Periodo Ref.]]="Dentro",IF(DATOS_[[Check Equiparado]:[Check Equiparado]]="Sí",IF(DATOS!BG$5="Sí",(1/DATOS_[[% anualiz]:[% anualiz]]),1)*IF(DATOS!BG$4="Sí",1/DATOS_[[% normaliz]:[% normaliz]],1)*(DATOS_[Conc.Sal.29])))))))),
0)</f>
        <v>0</v>
      </c>
      <c r="AM29" s="196">
        <f t="array" ref="AM29">IFERROR(
(MEDIAN((IF(DATOS_[[Sexo]:[Sexo]]=$B29,IF(DATOS_[[AGRUP. CLAS. PROF.]:[AGRUP. CLAS. PROF.]]=$B27,IF(DATOS_[[Check Periodo Ref.]:[Check Periodo Ref.]]="Dentro",IF(DATOS_[[Check Equiparado]:[Check Equiparado]]="Sí",IF(DATOS!BH$5="Sí",(1/DATOS_[[% anualiz]:[% anualiz]]),1)*IF(DATOS!BH$4="Sí",1/DATOS_[[% normaliz]:[% normaliz]],1)*(DATOS_[Conc.Sal.30])))))))),
0)</f>
        <v>0</v>
      </c>
      <c r="AN29" s="195">
        <f t="array" ref="AN29">IFERROR(
MEDIAN(IF(DATOS_[Sexo]=$B29,IF(DATOS_[[AGRUP. CLAS. PROF.]:[AGRUP. CLAS. PROF.]]=$B27,IF(DATOS_[Check Equiparado]="Sí",IF(DATOS_[Check Periodo Ref.]="Dentro",DATOS_[Tot COMPL.SAL Eq],FALSE))))),
0)</f>
        <v>5411.1460355029585</v>
      </c>
      <c r="AO29" s="172">
        <f t="array" ref="AO29">IFERROR(
MEDIAN(IF(DATOS_[Sexo]=$B29,IF(DATOS_[[AGRUP. CLAS. PROF.]:[AGRUP. CLAS. PROF.]]=$B27,IF(DATOS_[Check Equiparado]="Sí",IF(DATOS_[Check Periodo Ref.]="Dentro",DATOS_[TOTAL SALARIO Eq],FALSE))))),
0)</f>
        <v>15623.087015274526</v>
      </c>
      <c r="AP29" s="173">
        <f t="array" ref="AP29">IFERROR(
(MEDIAN((IF(DATOS_[[Sexo]:[Sexo]]=$B29,IF(DATOS_[[AGRUP. CLAS. PROF.]:[AGRUP. CLAS. PROF.]]=$B27,IF(DATOS_[[Check Periodo Ref.]:[Check Periodo Ref.]]="Dentro",IF(DATOS_[[Check Equiparado]:[Check Equiparado]]="Sí",IF(DATOS!BW$5="Sí",(1/DATOS_[[% anualiz]:[% anualiz]]),1)*IF(DATOS!BW$4="Sí",1/DATOS_[[% normaliz]:[% normaliz]],1)*(DATOS_[C.Extra.01])))))))),
0)</f>
        <v>0</v>
      </c>
      <c r="AQ29" s="173">
        <f t="array" ref="AQ29">IFERROR(
(MEDIAN((IF(DATOS_[[Sexo]:[Sexo]]=$B29,IF(DATOS_[[AGRUP. CLAS. PROF.]:[AGRUP. CLAS. PROF.]]=$B27,IF(DATOS_[[Check Periodo Ref.]:[Check Periodo Ref.]]="Dentro",IF(DATOS_[[Check Equiparado]:[Check Equiparado]]="Sí",IF(DATOS!CB$5="Sí",(1/DATOS_[[% anualiz]:[% anualiz]]),1)*IF(DATOS!CB$4="Sí",1/DATOS_[[% normaliz]:[% normaliz]],1)*(DATOS_[C.Extra.06])))))))),
0)</f>
        <v>0</v>
      </c>
      <c r="AR29" s="173">
        <f t="array" ref="AR29">IFERROR(
(MEDIAN((IF(DATOS_[[Sexo]:[Sexo]]=$B29,IF(DATOS_[[AGRUP. CLAS. PROF.]:[AGRUP. CLAS. PROF.]]=$B27,IF(DATOS_[[Check Periodo Ref.]:[Check Periodo Ref.]]="Dentro",IF(DATOS_[[Check Equiparado]:[Check Equiparado]]="Sí",IF(DATOS!CC$5="Sí",(1/DATOS_[[% anualiz]:[% anualiz]]),1)*IF(DATOS!CC$4="Sí",1/DATOS_[[% normaliz]:[% normaliz]],1)*(DATOS_[C.Extra.07])))))))),
0)</f>
        <v>0</v>
      </c>
      <c r="AS29" s="173">
        <f t="array" ref="AS29">IFERROR(
(MEDIAN((IF(DATOS_[[Sexo]:[Sexo]]=$B29,IF(DATOS_[[AGRUP. CLAS. PROF.]:[AGRUP. CLAS. PROF.]]=$B27,IF(DATOS_[[Check Periodo Ref.]:[Check Periodo Ref.]]="Dentro",IF(DATOS_[[Check Equiparado]:[Check Equiparado]]="Sí",IF(DATOS!CD$5="Sí",(1/DATOS_[[% anualiz]:[% anualiz]]),1)*IF(DATOS!CD$4="Sí",1/DATOS_[[% normaliz]:[% normaliz]],1)*(DATOS_[C.Extra.08])))))))),
0)</f>
        <v>0</v>
      </c>
      <c r="AT29" s="173">
        <f t="array" ref="AT29">IFERROR(
(MEDIAN((IF(DATOS_[[Sexo]:[Sexo]]=$B29,IF(DATOS_[[AGRUP. CLAS. PROF.]:[AGRUP. CLAS. PROF.]]=$B27,IF(DATOS_[[Check Periodo Ref.]:[Check Periodo Ref.]]="Dentro",IF(DATOS_[[Check Equiparado]:[Check Equiparado]]="Sí",IF(DATOS!CG$5="Sí",(1/DATOS_[[% anualiz]:[% anualiz]]),1)*IF(DATOS!CG$4="Sí",1/DATOS_[[% normaliz]:[% normaliz]],1)*(DATOS_[C.Extra.11])))))))),
0)</f>
        <v>0</v>
      </c>
      <c r="AU29" s="197">
        <f t="array" ref="AU29">IFERROR(
MEDIAN(IF(DATOS_[Sexo]=$B29,IF(DATOS_[[AGRUP. CLAS. PROF.]:[AGRUP. CLAS. PROF.]]=$B27,IF(DATOS_[Check Equiparado]="Sí",IF(DATOS_[Check Periodo Ref.]="Dentro",DATOS_[Tot Extrasalarial Eq],FALSE))))),
0)</f>
        <v>3329.6351515151509</v>
      </c>
      <c r="AV29" s="175">
        <f t="array" ref="AV29">IFERROR(
MEDIAN(IF(DATOS_[Sexo]=$B29,IF(DATOS_[[AGRUP. CLAS. PROF.]:[AGRUP. CLAS. PROF.]]=$B27,IF(DATOS_[Check Equiparado]="Sí",IF(DATOS_[Check Periodo Ref.]="Dentro",DATOS_[TOTAL Retrib Eq],FALSE))))),
0)</f>
        <v>19856.466162790697</v>
      </c>
    </row>
    <row r="30" spans="1:48" ht="15.6" thickBot="1" x14ac:dyDescent="0.3">
      <c r="A30" s="133" t="str">
        <f t="shared" ref="A30" si="23">+A31</f>
        <v>[ocultar]</v>
      </c>
      <c r="B30" s="199" t="s">
        <v>195</v>
      </c>
      <c r="C30" s="200"/>
      <c r="D30" s="201"/>
      <c r="E30" s="201"/>
      <c r="F30" s="201"/>
      <c r="G30" s="201"/>
      <c r="H30" s="201"/>
      <c r="I30" s="189" t="str">
        <f t="shared" ref="I30:AV30" si="24">IFERROR((I31-I32)/I31,"")</f>
        <v/>
      </c>
      <c r="J30" s="190" t="str">
        <f t="shared" si="24"/>
        <v/>
      </c>
      <c r="K30" s="191" t="str">
        <f t="shared" si="24"/>
        <v/>
      </c>
      <c r="L30" s="191" t="str">
        <f t="shared" si="24"/>
        <v/>
      </c>
      <c r="M30" s="191" t="str">
        <f t="shared" si="24"/>
        <v/>
      </c>
      <c r="N30" s="192" t="str">
        <f t="shared" si="24"/>
        <v/>
      </c>
      <c r="O30" s="193" t="str">
        <f t="shared" si="24"/>
        <v/>
      </c>
      <c r="P30" s="193" t="str">
        <f t="shared" si="24"/>
        <v/>
      </c>
      <c r="Q30" s="193" t="str">
        <f t="shared" si="24"/>
        <v/>
      </c>
      <c r="R30" s="193" t="str">
        <f t="shared" si="24"/>
        <v/>
      </c>
      <c r="S30" s="193" t="str">
        <f t="shared" si="24"/>
        <v/>
      </c>
      <c r="T30" s="193" t="str">
        <f t="shared" si="24"/>
        <v/>
      </c>
      <c r="U30" s="193" t="str">
        <f t="shared" si="24"/>
        <v/>
      </c>
      <c r="V30" s="193" t="str">
        <f t="shared" si="24"/>
        <v/>
      </c>
      <c r="W30" s="193" t="str">
        <f t="shared" si="24"/>
        <v/>
      </c>
      <c r="X30" s="193" t="str">
        <f t="shared" si="24"/>
        <v/>
      </c>
      <c r="Y30" s="193" t="str">
        <f t="shared" si="24"/>
        <v/>
      </c>
      <c r="Z30" s="193" t="str">
        <f t="shared" si="24"/>
        <v/>
      </c>
      <c r="AA30" s="193" t="str">
        <f t="shared" si="24"/>
        <v/>
      </c>
      <c r="AB30" s="193" t="str">
        <f t="shared" si="24"/>
        <v/>
      </c>
      <c r="AC30" s="193" t="str">
        <f t="shared" si="24"/>
        <v/>
      </c>
      <c r="AD30" s="193" t="str">
        <f t="shared" si="24"/>
        <v/>
      </c>
      <c r="AE30" s="193" t="str">
        <f t="shared" si="24"/>
        <v/>
      </c>
      <c r="AF30" s="193" t="str">
        <f t="shared" si="24"/>
        <v/>
      </c>
      <c r="AG30" s="193" t="str">
        <f t="shared" si="24"/>
        <v/>
      </c>
      <c r="AH30" s="193" t="str">
        <f t="shared" si="24"/>
        <v/>
      </c>
      <c r="AI30" s="193" t="str">
        <f t="shared" si="24"/>
        <v/>
      </c>
      <c r="AJ30" s="193" t="str">
        <f t="shared" si="24"/>
        <v/>
      </c>
      <c r="AK30" s="193" t="str">
        <f t="shared" si="24"/>
        <v/>
      </c>
      <c r="AL30" s="193" t="str">
        <f t="shared" si="24"/>
        <v/>
      </c>
      <c r="AM30" s="193" t="str">
        <f t="shared" si="24"/>
        <v/>
      </c>
      <c r="AN30" s="189" t="str">
        <f t="shared" si="24"/>
        <v/>
      </c>
      <c r="AO30" s="162" t="str">
        <f t="shared" si="24"/>
        <v/>
      </c>
      <c r="AP30" s="163" t="str">
        <f t="shared" si="24"/>
        <v/>
      </c>
      <c r="AQ30" s="163" t="str">
        <f t="shared" si="24"/>
        <v/>
      </c>
      <c r="AR30" s="163" t="str">
        <f t="shared" si="24"/>
        <v/>
      </c>
      <c r="AS30" s="163" t="str">
        <f t="shared" si="24"/>
        <v/>
      </c>
      <c r="AT30" s="163" t="str">
        <f t="shared" si="24"/>
        <v/>
      </c>
      <c r="AU30" s="194" t="str">
        <f t="shared" si="24"/>
        <v/>
      </c>
      <c r="AV30" s="165" t="str">
        <f t="shared" si="24"/>
        <v/>
      </c>
    </row>
    <row r="31" spans="1:48" x14ac:dyDescent="0.25">
      <c r="A31" s="133" t="str">
        <f t="shared" ref="A31" si="25">+IF(C31+C32=0,"[ocultar]","")</f>
        <v>[ocultar]</v>
      </c>
      <c r="B31" s="202" t="s">
        <v>394</v>
      </c>
      <c r="C31" s="203">
        <f t="array" ref="C31">SUM(IF($B31=DATOS_[Sexo],
IF($B30=DATOS_[AGRUP. CLAS. PROF.],
IF("Dentro"=DATOS_[Check Periodo Ref.],
1/(COUNTIFS(DATOS_[Sexo],$B31,DATOS_[AGRUP. CLAS. PROF.],$B30,DATOS_[Check Periodo Ref.],"Dentro",DATOS_[id/cod],DATOS_[id/cod]))))))</f>
        <v>0</v>
      </c>
      <c r="D31" s="204">
        <f>COUNTIFS(DATOS_[AGRUP. CLAS. PROF.],$B30,DATOS_[Sexo],$B31,DATOS_[Check Periodo Ref.],"Dentro")</f>
        <v>0</v>
      </c>
      <c r="E31" s="204">
        <f>COUNTIFS(DATOS_[AGRUP. CLAS. PROF.],$B30,DATOS_[Sexo],$B31,DATOS_[Check Periodo Ref.],"Dentro",DATOS_[Check Nº SC Norm],"Sí")</f>
        <v>0</v>
      </c>
      <c r="F31" s="204">
        <f>COUNTIFS(DATOS_[AGRUP. CLAS. PROF.],$B30,DATOS_[Sexo],$B31,DATOS_[Check Periodo Ref.],"Dentro",DATOS_[Check Nº SC Anualiz],"Sí")</f>
        <v>0</v>
      </c>
      <c r="G31" s="204">
        <f>COUNTIFS(DATOS_[AGRUP. CLAS. PROF.],$B30,DATOS_[Sexo],$B31,DATOS_[Check Periodo Ref.],"Dentro",DATOS_[Check Nº SC Norm y Anualiz],"Sí")</f>
        <v>0</v>
      </c>
      <c r="H31" s="204">
        <f>COUNTIFS(DATOS_[AGRUP. CLAS. PROF.],$B30,DATOS_[Sexo],$B31,DATOS_[Check Periodo Ref.],"Dentro",DATOS_[Check Equiparación],"Sí")</f>
        <v>0</v>
      </c>
      <c r="I31" s="195">
        <f t="array" ref="I31">IFERROR(
MEDIAN(IF(DATOS_[Sexo]=$B31,IF(DATOS_[[AGRUP. CLAS. PROF.]:[AGRUP. CLAS. PROF.]]=$B30,IF(DATOS_[Check Equiparado]="Sí",IF(DATOS_[Check Periodo Ref.]="Dentro",DATOS_[SALARIO BASE Eq],FALSE))))),
0)</f>
        <v>0</v>
      </c>
      <c r="J31" s="196">
        <f t="array" ref="J31">IFERROR(
(MEDIAN((IF(DATOS_[[Sexo]:[Sexo]]=$B31,IF(DATOS_[[AGRUP. CLAS. PROF.]:[AGRUP. CLAS. PROF.]]=$B30,IF(DATOS_[[Check Periodo Ref.]:[Check Periodo Ref.]]="Dentro",IF(DATOS_[[Check Equiparado]:[Check Equiparado]]="Sí",IF(DATOS!AE$5="Sí",(1/DATOS_[[% anualiz]:[% anualiz]]),1)*IF(DATOS!AE$4="Sí",1/DATOS_[[% normaliz]:[% normaliz]],1)*(DATOS_[Conc.Sal.01])))))))),
0)</f>
        <v>0</v>
      </c>
      <c r="K31" s="196">
        <f t="array" ref="K31">IFERROR(
(MEDIAN((IF(DATOS_[[Sexo]:[Sexo]]=$B31,IF(DATOS_[[AGRUP. CLAS. PROF.]:[AGRUP. CLAS. PROF.]]=$B30,IF(DATOS_[[Check Periodo Ref.]:[Check Periodo Ref.]]="Dentro",IF(DATOS_[[Check Equiparado]:[Check Equiparado]]="Sí",IF(DATOS!AF$5="Sí",(1/DATOS_[[% anualiz]:[% anualiz]]),1)*IF(DATOS!AF$4="Sí",1/DATOS_[[% normaliz]:[% normaliz]],1)*(DATOS_[Conc.Sal.02])))))))),
0)</f>
        <v>0</v>
      </c>
      <c r="L31" s="196">
        <f t="array" ref="L31">IFERROR(
(MEDIAN((IF(DATOS_[[Sexo]:[Sexo]]=$B31,IF(DATOS_[[AGRUP. CLAS. PROF.]:[AGRUP. CLAS. PROF.]]=$B30,IF(DATOS_[[Check Periodo Ref.]:[Check Periodo Ref.]]="Dentro",IF(DATOS_[[Check Equiparado]:[Check Equiparado]]="Sí",IF(DATOS!AG$5="Sí",(1/DATOS_[[% anualiz]:[% anualiz]]),1)*IF(DATOS!AG$4="Sí",1/DATOS_[[% normaliz]:[% normaliz]],1)*(DATOS_[Conc.Sal.03])))))))),
0)</f>
        <v>0</v>
      </c>
      <c r="M31" s="196">
        <f t="array" ref="M31">IFERROR(
(MEDIAN((IF(DATOS_[[Sexo]:[Sexo]]=$B31,IF(DATOS_[[AGRUP. CLAS. PROF.]:[AGRUP. CLAS. PROF.]]=$B30,IF(DATOS_[[Check Periodo Ref.]:[Check Periodo Ref.]]="Dentro",IF(DATOS_[[Check Equiparado]:[Check Equiparado]]="Sí",IF(DATOS!AH$5="Sí",(1/DATOS_[[% anualiz]:[% anualiz]]),1)*IF(DATOS!AH$4="Sí",1/DATOS_[[% normaliz]:[% normaliz]],1)*(DATOS_[Conc.Sal.04])))))))),
0)</f>
        <v>0</v>
      </c>
      <c r="N31" s="196">
        <f t="array" ref="N31">IFERROR(
(MEDIAN((IF(DATOS_[[Sexo]:[Sexo]]=$B31,IF(DATOS_[[AGRUP. CLAS. PROF.]:[AGRUP. CLAS. PROF.]]=$B30,IF(DATOS_[[Check Periodo Ref.]:[Check Periodo Ref.]]="Dentro",IF(DATOS_[[Check Equiparado]:[Check Equiparado]]="Sí",IF(DATOS!AI$5="Sí",(1/DATOS_[[% anualiz]:[% anualiz]]),1)*IF(DATOS!AI$4="Sí",1/DATOS_[[% normaliz]:[% normaliz]],1)*(DATOS_[Conc.Sal.05])))))))),
0)</f>
        <v>0</v>
      </c>
      <c r="O31" s="196">
        <f t="array" ref="O31">IFERROR(
(MEDIAN((IF(DATOS_[[Sexo]:[Sexo]]=$B31,IF(DATOS_[[AGRUP. CLAS. PROF.]:[AGRUP. CLAS. PROF.]]=$B30,IF(DATOS_[[Check Periodo Ref.]:[Check Periodo Ref.]]="Dentro",IF(DATOS_[[Check Equiparado]:[Check Equiparado]]="Sí",IF(DATOS!AJ$5="Sí",(1/DATOS_[[% anualiz]:[% anualiz]]),1)*IF(DATOS!AJ$4="Sí",1/DATOS_[[% normaliz]:[% normaliz]],1)*(DATOS_[Conc.Sal.06])))))))),
0)</f>
        <v>0</v>
      </c>
      <c r="P31" s="196">
        <f t="array" ref="P31">IFERROR(
(MEDIAN((IF(DATOS_[[Sexo]:[Sexo]]=$B31,IF(DATOS_[[AGRUP. CLAS. PROF.]:[AGRUP. CLAS. PROF.]]=$B30,IF(DATOS_[[Check Periodo Ref.]:[Check Periodo Ref.]]="Dentro",IF(DATOS_[[Check Equiparado]:[Check Equiparado]]="Sí",IF(DATOS!AK$5="Sí",(1/DATOS_[[% anualiz]:[% anualiz]]),1)*IF(DATOS!AK$4="Sí",1/DATOS_[[% normaliz]:[% normaliz]],1)*(DATOS_[Conc.Sal.07])))))))),
0)</f>
        <v>0</v>
      </c>
      <c r="Q31" s="196">
        <f t="array" ref="Q31">IFERROR(
(MEDIAN((IF(DATOS_[[Sexo]:[Sexo]]=$B31,IF(DATOS_[[AGRUP. CLAS. PROF.]:[AGRUP. CLAS. PROF.]]=$B30,IF(DATOS_[[Check Periodo Ref.]:[Check Periodo Ref.]]="Dentro",IF(DATOS_[[Check Equiparado]:[Check Equiparado]]="Sí",IF(DATOS!AL$5="Sí",(1/DATOS_[[% anualiz]:[% anualiz]]),1)*IF(DATOS!AL$4="Sí",1/DATOS_[[% normaliz]:[% normaliz]],1)*(DATOS_[Conc.Sal.08])))))))),
0)</f>
        <v>0</v>
      </c>
      <c r="R31" s="196">
        <f t="array" ref="R31">IFERROR(
(MEDIAN((IF(DATOS_[[Sexo]:[Sexo]]=$B31,IF(DATOS_[[AGRUP. CLAS. PROF.]:[AGRUP. CLAS. PROF.]]=$B30,IF(DATOS_[[Check Periodo Ref.]:[Check Periodo Ref.]]="Dentro",IF(DATOS_[[Check Equiparado]:[Check Equiparado]]="Sí",IF(DATOS!AM$5="Sí",(1/DATOS_[[% anualiz]:[% anualiz]]),1)*IF(DATOS!AM$4="Sí",1/DATOS_[[% normaliz]:[% normaliz]],1)*(DATOS_[Conc.Sal.09])))))))),
0)</f>
        <v>0</v>
      </c>
      <c r="S31" s="196">
        <f t="array" ref="S31">IFERROR(
(MEDIAN((IF(DATOS_[[Sexo]:[Sexo]]=$B31,IF(DATOS_[[AGRUP. CLAS. PROF.]:[AGRUP. CLAS. PROF.]]=$B30,IF(DATOS_[[Check Periodo Ref.]:[Check Periodo Ref.]]="Dentro",IF(DATOS_[[Check Equiparado]:[Check Equiparado]]="Sí",IF(DATOS!AN$5="Sí",(1/DATOS_[[% anualiz]:[% anualiz]]),1)*IF(DATOS!AN$4="Sí",1/DATOS_[[% normaliz]:[% normaliz]],1)*(DATOS_[Conc.Sal.10])))))))),
0)</f>
        <v>0</v>
      </c>
      <c r="T31" s="196">
        <f t="array" ref="T31">IFERROR(
(MEDIAN((IF(DATOS_[[Sexo]:[Sexo]]=$B31,IF(DATOS_[[AGRUP. CLAS. PROF.]:[AGRUP. CLAS. PROF.]]=$B30,IF(DATOS_[[Check Periodo Ref.]:[Check Periodo Ref.]]="Dentro",IF(DATOS_[[Check Equiparado]:[Check Equiparado]]="Sí",IF(DATOS!AO$5="Sí",(1/DATOS_[[% anualiz]:[% anualiz]]),1)*IF(DATOS!AO$4="Sí",1/DATOS_[[% normaliz]:[% normaliz]],1)*(DATOS_[Conc.Sal.11])))))))),
0)</f>
        <v>0</v>
      </c>
      <c r="U31" s="196">
        <f t="array" ref="U31">IFERROR(
(MEDIAN((IF(DATOS_[[Sexo]:[Sexo]]=$B31,IF(DATOS_[[AGRUP. CLAS. PROF.]:[AGRUP. CLAS. PROF.]]=$B30,IF(DATOS_[[Check Periodo Ref.]:[Check Periodo Ref.]]="Dentro",IF(DATOS_[[Check Equiparado]:[Check Equiparado]]="Sí",IF(DATOS!AP$5="Sí",(1/DATOS_[[% anualiz]:[% anualiz]]),1)*IF(DATOS!AP$4="Sí",1/DATOS_[[% normaliz]:[% normaliz]],1)*(DATOS_[Conc.Sal.12])))))))),
0)</f>
        <v>0</v>
      </c>
      <c r="V31" s="196">
        <f t="array" ref="V31">IFERROR(
(MEDIAN((IF(DATOS_[[Sexo]:[Sexo]]=$B31,IF(DATOS_[[AGRUP. CLAS. PROF.]:[AGRUP. CLAS. PROF.]]=$B30,IF(DATOS_[[Check Periodo Ref.]:[Check Periodo Ref.]]="Dentro",IF(DATOS_[[Check Equiparado]:[Check Equiparado]]="Sí",IF(DATOS!AQ$5="Sí",(1/DATOS_[[% anualiz]:[% anualiz]]),1)*IF(DATOS!AQ$4="Sí",1/DATOS_[[% normaliz]:[% normaliz]],1)*(DATOS_[Conc.Sal.13])))))))),
0)</f>
        <v>0</v>
      </c>
      <c r="W31" s="196">
        <f t="array" ref="W31">IFERROR(
(MEDIAN((IF(DATOS_[[Sexo]:[Sexo]]=$B31,IF(DATOS_[[AGRUP. CLAS. PROF.]:[AGRUP. CLAS. PROF.]]=$B30,IF(DATOS_[[Check Periodo Ref.]:[Check Periodo Ref.]]="Dentro",IF(DATOS_[[Check Equiparado]:[Check Equiparado]]="Sí",IF(DATOS!AR$5="Sí",(1/DATOS_[[% anualiz]:[% anualiz]]),1)*IF(DATOS!AR$4="Sí",1/DATOS_[[% normaliz]:[% normaliz]],1)*(DATOS_[Conc.Sal.14])))))))),
0)</f>
        <v>0</v>
      </c>
      <c r="X31" s="196">
        <f t="array" ref="X31">IFERROR(
(MEDIAN((IF(DATOS_[[Sexo]:[Sexo]]=$B31,IF(DATOS_[[AGRUP. CLAS. PROF.]:[AGRUP. CLAS. PROF.]]=$B30,IF(DATOS_[[Check Periodo Ref.]:[Check Periodo Ref.]]="Dentro",IF(DATOS_[[Check Equiparado]:[Check Equiparado]]="Sí",IF(DATOS!AS$5="Sí",(1/DATOS_[[% anualiz]:[% anualiz]]),1)*IF(DATOS!AS$4="Sí",1/DATOS_[[% normaliz]:[% normaliz]],1)*(DATOS_[Conc.Sal.15])))))))),
0)</f>
        <v>0</v>
      </c>
      <c r="Y31" s="196">
        <f t="array" ref="Y31">IFERROR(
(MEDIAN((IF(DATOS_[[Sexo]:[Sexo]]=$B31,IF(DATOS_[[AGRUP. CLAS. PROF.]:[AGRUP. CLAS. PROF.]]=$B30,IF(DATOS_[[Check Periodo Ref.]:[Check Periodo Ref.]]="Dentro",IF(DATOS_[[Check Equiparado]:[Check Equiparado]]="Sí",IF(DATOS!AT$5="Sí",(1/DATOS_[[% anualiz]:[% anualiz]]),1)*IF(DATOS!AT$4="Sí",1/DATOS_[[% normaliz]:[% normaliz]],1)*(DATOS_[Conc.Sal.16])))))))),
0)</f>
        <v>0</v>
      </c>
      <c r="Z31" s="196">
        <f t="array" ref="Z31">IFERROR(
(MEDIAN((IF(DATOS_[[Sexo]:[Sexo]]=$B31,IF(DATOS_[[AGRUP. CLAS. PROF.]:[AGRUP. CLAS. PROF.]]=$B30,IF(DATOS_[[Check Periodo Ref.]:[Check Periodo Ref.]]="Dentro",IF(DATOS_[[Check Equiparado]:[Check Equiparado]]="Sí",IF(DATOS!AU$5="Sí",(1/DATOS_[[% anualiz]:[% anualiz]]),1)*IF(DATOS!AU$4="Sí",1/DATOS_[[% normaliz]:[% normaliz]],1)*(DATOS_[Conc.Sal.17])))))))),
0)</f>
        <v>0</v>
      </c>
      <c r="AA31" s="196">
        <f t="array" ref="AA31">IFERROR(
(MEDIAN((IF(DATOS_[[Sexo]:[Sexo]]=$B31,IF(DATOS_[[AGRUP. CLAS. PROF.]:[AGRUP. CLAS. PROF.]]=$B30,IF(DATOS_[[Check Periodo Ref.]:[Check Periodo Ref.]]="Dentro",IF(DATOS_[[Check Equiparado]:[Check Equiparado]]="Sí",IF(DATOS!AV$5="Sí",(1/DATOS_[[% anualiz]:[% anualiz]]),1)*IF(DATOS!AV$4="Sí",1/DATOS_[[% normaliz]:[% normaliz]],1)*(DATOS_[Conc.Sal.18])))))))),
0)</f>
        <v>0</v>
      </c>
      <c r="AB31" s="196">
        <f t="array" ref="AB31">IFERROR(
(MEDIAN((IF(DATOS_[[Sexo]:[Sexo]]=$B31,IF(DATOS_[[AGRUP. CLAS. PROF.]:[AGRUP. CLAS. PROF.]]=$B30,IF(DATOS_[[Check Periodo Ref.]:[Check Periodo Ref.]]="Dentro",IF(DATOS_[[Check Equiparado]:[Check Equiparado]]="Sí",IF(DATOS!AW$5="Sí",(1/DATOS_[[% anualiz]:[% anualiz]]),1)*IF(DATOS!AW$4="Sí",1/DATOS_[[% normaliz]:[% normaliz]],1)*(DATOS_[Conc.Sal.19])))))))),
0)</f>
        <v>0</v>
      </c>
      <c r="AC31" s="196">
        <f t="array" ref="AC31">IFERROR(
(MEDIAN((IF(DATOS_[[Sexo]:[Sexo]]=$B31,IF(DATOS_[[AGRUP. CLAS. PROF.]:[AGRUP. CLAS. PROF.]]=$B30,IF(DATOS_[[Check Periodo Ref.]:[Check Periodo Ref.]]="Dentro",IF(DATOS_[[Check Equiparado]:[Check Equiparado]]="Sí",IF(DATOS!AX$5="Sí",(1/DATOS_[[% anualiz]:[% anualiz]]),1)*IF(DATOS!AX$4="Sí",1/DATOS_[[% normaliz]:[% normaliz]],1)*(DATOS_[Conc.Sal.20])))))))),
0)</f>
        <v>0</v>
      </c>
      <c r="AD31" s="196">
        <f t="array" ref="AD31">IFERROR(
(MEDIAN((IF(DATOS_[[Sexo]:[Sexo]]=$B31,IF(DATOS_[[AGRUP. CLAS. PROF.]:[AGRUP. CLAS. PROF.]]=$B30,IF(DATOS_[[Check Periodo Ref.]:[Check Periodo Ref.]]="Dentro",IF(DATOS_[[Check Equiparado]:[Check Equiparado]]="Sí",IF(DATOS!AY$5="Sí",(1/DATOS_[[% anualiz]:[% anualiz]]),1)*IF(DATOS!AY$4="Sí",1/DATOS_[[% normaliz]:[% normaliz]],1)*(DATOS_[Conc.Sal.21])))))))),
0)</f>
        <v>0</v>
      </c>
      <c r="AE31" s="196">
        <f t="array" ref="AE31">IFERROR(
(MEDIAN((IF(DATOS_[[Sexo]:[Sexo]]=$B31,IF(DATOS_[[AGRUP. CLAS. PROF.]:[AGRUP. CLAS. PROF.]]=$B30,IF(DATOS_[[Check Periodo Ref.]:[Check Periodo Ref.]]="Dentro",IF(DATOS_[[Check Equiparado]:[Check Equiparado]]="Sí",IF(DATOS!AZ$5="Sí",(1/DATOS_[[% anualiz]:[% anualiz]]),1)*IF(DATOS!AZ$4="Sí",1/DATOS_[[% normaliz]:[% normaliz]],1)*(DATOS_[Conc.Sal.22])))))))),
0)</f>
        <v>0</v>
      </c>
      <c r="AF31" s="196">
        <f t="array" ref="AF31">IFERROR(
(MEDIAN((IF(DATOS_[[Sexo]:[Sexo]]=$B31,IF(DATOS_[[AGRUP. CLAS. PROF.]:[AGRUP. CLAS. PROF.]]=$B30,IF(DATOS_[[Check Periodo Ref.]:[Check Periodo Ref.]]="Dentro",IF(DATOS_[[Check Equiparado]:[Check Equiparado]]="Sí",IF(DATOS!BA$5="Sí",(1/DATOS_[[% anualiz]:[% anualiz]]),1)*IF(DATOS!BA$4="Sí",1/DATOS_[[% normaliz]:[% normaliz]],1)*(DATOS_[Conc.Sal.23])))))))),
0)</f>
        <v>0</v>
      </c>
      <c r="AG31" s="196">
        <f t="array" ref="AG31">IFERROR(
(MEDIAN((IF(DATOS_[[Sexo]:[Sexo]]=$B31,IF(DATOS_[[AGRUP. CLAS. PROF.]:[AGRUP. CLAS. PROF.]]=$B30,IF(DATOS_[[Check Periodo Ref.]:[Check Periodo Ref.]]="Dentro",IF(DATOS_[[Check Equiparado]:[Check Equiparado]]="Sí",IF(DATOS!BB$5="Sí",(1/DATOS_[[% anualiz]:[% anualiz]]),1)*IF(DATOS!BB$4="Sí",1/DATOS_[[% normaliz]:[% normaliz]],1)*(DATOS_[Conc.Sal.24])))))))),
0)</f>
        <v>0</v>
      </c>
      <c r="AH31" s="196">
        <f t="array" ref="AH31">IFERROR(
(MEDIAN((IF(DATOS_[[Sexo]:[Sexo]]=$B31,IF(DATOS_[[AGRUP. CLAS. PROF.]:[AGRUP. CLAS. PROF.]]=$B30,IF(DATOS_[[Check Periodo Ref.]:[Check Periodo Ref.]]="Dentro",IF(DATOS_[[Check Equiparado]:[Check Equiparado]]="Sí",IF(DATOS!BC$5="Sí",(1/DATOS_[[% anualiz]:[% anualiz]]),1)*IF(DATOS!BC$4="Sí",1/DATOS_[[% normaliz]:[% normaliz]],1)*(DATOS_[Conc.Sal.25])))))))),
0)</f>
        <v>0</v>
      </c>
      <c r="AI31" s="196">
        <f t="array" ref="AI31">IFERROR(
(MEDIAN((IF(DATOS_[[Sexo]:[Sexo]]=$B31,IF(DATOS_[[AGRUP. CLAS. PROF.]:[AGRUP. CLAS. PROF.]]=$B30,IF(DATOS_[[Check Periodo Ref.]:[Check Periodo Ref.]]="Dentro",IF(DATOS_[[Check Equiparado]:[Check Equiparado]]="Sí",IF(DATOS!BD$5="Sí",(1/DATOS_[[% anualiz]:[% anualiz]]),1)*IF(DATOS!BD$4="Sí",1/DATOS_[[% normaliz]:[% normaliz]],1)*(DATOS_[Conc.Sal.26])))))))),
0)</f>
        <v>0</v>
      </c>
      <c r="AJ31" s="196">
        <f t="array" ref="AJ31">IFERROR(
(MEDIAN((IF(DATOS_[[Sexo]:[Sexo]]=$B31,IF(DATOS_[[AGRUP. CLAS. PROF.]:[AGRUP. CLAS. PROF.]]=$B30,IF(DATOS_[[Check Periodo Ref.]:[Check Periodo Ref.]]="Dentro",IF(DATOS_[[Check Equiparado]:[Check Equiparado]]="Sí",IF(DATOS!BE$5="Sí",(1/DATOS_[[% anualiz]:[% anualiz]]),1)*IF(DATOS!BE$4="Sí",1/DATOS_[[% normaliz]:[% normaliz]],1)*(DATOS_[Conc.Sal.27])))))))),
0)</f>
        <v>0</v>
      </c>
      <c r="AK31" s="196">
        <f t="array" ref="AK31">IFERROR(
(MEDIAN((IF(DATOS_[[Sexo]:[Sexo]]=$B31,IF(DATOS_[[AGRUP. CLAS. PROF.]:[AGRUP. CLAS. PROF.]]=$B30,IF(DATOS_[[Check Periodo Ref.]:[Check Periodo Ref.]]="Dentro",IF(DATOS_[[Check Equiparado]:[Check Equiparado]]="Sí",IF(DATOS!BF$5="Sí",(1/DATOS_[[% anualiz]:[% anualiz]]),1)*IF(DATOS!BF$4="Sí",1/DATOS_[[% normaliz]:[% normaliz]],1)*(DATOS_[Conc.Sal.28])))))))),
0)</f>
        <v>0</v>
      </c>
      <c r="AL31" s="196">
        <f t="array" ref="AL31">IFERROR(
(MEDIAN((IF(DATOS_[[Sexo]:[Sexo]]=$B31,IF(DATOS_[[AGRUP. CLAS. PROF.]:[AGRUP. CLAS. PROF.]]=$B30,IF(DATOS_[[Check Periodo Ref.]:[Check Periodo Ref.]]="Dentro",IF(DATOS_[[Check Equiparado]:[Check Equiparado]]="Sí",IF(DATOS!BG$5="Sí",(1/DATOS_[[% anualiz]:[% anualiz]]),1)*IF(DATOS!BG$4="Sí",1/DATOS_[[% normaliz]:[% normaliz]],1)*(DATOS_[Conc.Sal.29])))))))),
0)</f>
        <v>0</v>
      </c>
      <c r="AM31" s="196">
        <f t="array" ref="AM31">IFERROR(
(MEDIAN((IF(DATOS_[[Sexo]:[Sexo]]=$B31,IF(DATOS_[[AGRUP. CLAS. PROF.]:[AGRUP. CLAS. PROF.]]=$B30,IF(DATOS_[[Check Periodo Ref.]:[Check Periodo Ref.]]="Dentro",IF(DATOS_[[Check Equiparado]:[Check Equiparado]]="Sí",IF(DATOS!BH$5="Sí",(1/DATOS_[[% anualiz]:[% anualiz]]),1)*IF(DATOS!BH$4="Sí",1/DATOS_[[% normaliz]:[% normaliz]],1)*(DATOS_[Conc.Sal.30])))))))),
0)</f>
        <v>0</v>
      </c>
      <c r="AN31" s="195">
        <f t="array" ref="AN31">IFERROR(
MEDIAN(IF(DATOS_[Sexo]=$B31,IF(DATOS_[[AGRUP. CLAS. PROF.]:[AGRUP. CLAS. PROF.]]=$B30,IF(DATOS_[Check Equiparado]="Sí",IF(DATOS_[Check Periodo Ref.]="Dentro",DATOS_[Tot COMPL.SAL Eq],FALSE))))),
0)</f>
        <v>0</v>
      </c>
      <c r="AO31" s="172">
        <f t="array" ref="AO31">IFERROR(
MEDIAN(IF(DATOS_[Sexo]=$B31,IF(DATOS_[[AGRUP. CLAS. PROF.]:[AGRUP. CLAS. PROF.]]=$B30,IF(DATOS_[Check Equiparado]="Sí",IF(DATOS_[Check Periodo Ref.]="Dentro",DATOS_[TOTAL SALARIO Eq],FALSE))))),
0)</f>
        <v>0</v>
      </c>
      <c r="AP31" s="173">
        <f t="array" ref="AP31">IFERROR(
(MEDIAN((IF(DATOS_[[Sexo]:[Sexo]]=$B31,IF(DATOS_[[AGRUP. CLAS. PROF.]:[AGRUP. CLAS. PROF.]]=$B30,IF(DATOS_[[Check Periodo Ref.]:[Check Periodo Ref.]]="Dentro",IF(DATOS_[[Check Equiparado]:[Check Equiparado]]="Sí",IF(DATOS!BW$5="Sí",(1/DATOS_[[% anualiz]:[% anualiz]]),1)*IF(DATOS!BW$4="Sí",1/DATOS_[[% normaliz]:[% normaliz]],1)*(DATOS_[C.Extra.01])))))))),
0)</f>
        <v>0</v>
      </c>
      <c r="AQ31" s="173">
        <f t="array" ref="AQ31">IFERROR(
(MEDIAN((IF(DATOS_[[Sexo]:[Sexo]]=$B31,IF(DATOS_[[AGRUP. CLAS. PROF.]:[AGRUP. CLAS. PROF.]]=$B30,IF(DATOS_[[Check Periodo Ref.]:[Check Periodo Ref.]]="Dentro",IF(DATOS_[[Check Equiparado]:[Check Equiparado]]="Sí",IF(DATOS!CB$5="Sí",(1/DATOS_[[% anualiz]:[% anualiz]]),1)*IF(DATOS!CB$4="Sí",1/DATOS_[[% normaliz]:[% normaliz]],1)*(DATOS_[C.Extra.06])))))))),
0)</f>
        <v>0</v>
      </c>
      <c r="AR31" s="173">
        <f t="array" ref="AR31">IFERROR(
(MEDIAN((IF(DATOS_[[Sexo]:[Sexo]]=$B31,IF(DATOS_[[AGRUP. CLAS. PROF.]:[AGRUP. CLAS. PROF.]]=$B30,IF(DATOS_[[Check Periodo Ref.]:[Check Periodo Ref.]]="Dentro",IF(DATOS_[[Check Equiparado]:[Check Equiparado]]="Sí",IF(DATOS!CC$5="Sí",(1/DATOS_[[% anualiz]:[% anualiz]]),1)*IF(DATOS!CC$4="Sí",1/DATOS_[[% normaliz]:[% normaliz]],1)*(DATOS_[C.Extra.07])))))))),
0)</f>
        <v>0</v>
      </c>
      <c r="AS31" s="173">
        <f t="array" ref="AS31">IFERROR(
(MEDIAN((IF(DATOS_[[Sexo]:[Sexo]]=$B31,IF(DATOS_[[AGRUP. CLAS. PROF.]:[AGRUP. CLAS. PROF.]]=$B30,IF(DATOS_[[Check Periodo Ref.]:[Check Periodo Ref.]]="Dentro",IF(DATOS_[[Check Equiparado]:[Check Equiparado]]="Sí",IF(DATOS!CD$5="Sí",(1/DATOS_[[% anualiz]:[% anualiz]]),1)*IF(DATOS!CD$4="Sí",1/DATOS_[[% normaliz]:[% normaliz]],1)*(DATOS_[C.Extra.08])))))))),
0)</f>
        <v>0</v>
      </c>
      <c r="AT31" s="173">
        <f t="array" ref="AT31">IFERROR(
(MEDIAN((IF(DATOS_[[Sexo]:[Sexo]]=$B31,IF(DATOS_[[AGRUP. CLAS. PROF.]:[AGRUP. CLAS. PROF.]]=$B30,IF(DATOS_[[Check Periodo Ref.]:[Check Periodo Ref.]]="Dentro",IF(DATOS_[[Check Equiparado]:[Check Equiparado]]="Sí",IF(DATOS!CG$5="Sí",(1/DATOS_[[% anualiz]:[% anualiz]]),1)*IF(DATOS!CG$4="Sí",1/DATOS_[[% normaliz]:[% normaliz]],1)*(DATOS_[C.Extra.11])))))))),
0)</f>
        <v>0</v>
      </c>
      <c r="AU31" s="197">
        <f t="array" ref="AU31">IFERROR(
MEDIAN(IF(DATOS_[Sexo]=$B31,IF(DATOS_[[AGRUP. CLAS. PROF.]:[AGRUP. CLAS. PROF.]]=$B30,IF(DATOS_[Check Equiparado]="Sí",IF(DATOS_[Check Periodo Ref.]="Dentro",DATOS_[Tot Extrasalarial Eq],FALSE))))),
0)</f>
        <v>0</v>
      </c>
      <c r="AV31" s="175">
        <f t="array" ref="AV31">IFERROR(
MEDIAN(IF(DATOS_[Sexo]=$B31,IF(DATOS_[[AGRUP. CLAS. PROF.]:[AGRUP. CLAS. PROF.]]=$B30,IF(DATOS_[Check Equiparado]="Sí",IF(DATOS_[Check Periodo Ref.]="Dentro",DATOS_[TOTAL Retrib Eq],FALSE))))),
0)</f>
        <v>0</v>
      </c>
    </row>
    <row r="32" spans="1:48" x14ac:dyDescent="0.25">
      <c r="A32" s="133" t="str">
        <f t="shared" ref="A32" si="26">+A31</f>
        <v>[ocultar]</v>
      </c>
      <c r="B32" s="202" t="s">
        <v>521</v>
      </c>
      <c r="C32" s="203">
        <f t="array" ref="C32">SUM(IF($B32=DATOS_[Sexo],
IF($B30=DATOS_[AGRUP. CLAS. PROF.],
IF("Dentro"=DATOS_[Check Periodo Ref.],
1/(COUNTIFS(DATOS_[Sexo],$B32,DATOS_[AGRUP. CLAS. PROF.],$B30,DATOS_[Check Periodo Ref.],"Dentro",DATOS_[id/cod],DATOS_[id/cod]))))))</f>
        <v>0</v>
      </c>
      <c r="D32" s="204">
        <f>COUNTIFS(DATOS_[AGRUP. CLAS. PROF.],$B30,DATOS_[Sexo],$B32,DATOS_[Check Periodo Ref.],"Dentro")</f>
        <v>0</v>
      </c>
      <c r="E32" s="204">
        <f>COUNTIFS(DATOS_[AGRUP. CLAS. PROF.],$B30,DATOS_[Sexo],$B32,DATOS_[Check Periodo Ref.],"Dentro",DATOS_[Check Nº SC Norm],"Sí")</f>
        <v>0</v>
      </c>
      <c r="F32" s="204">
        <f>COUNTIFS(DATOS_[AGRUP. CLAS. PROF.],$B30,DATOS_[Sexo],$B32,DATOS_[Check Periodo Ref.],"Dentro",DATOS_[Check Nº SC Anualiz],"Sí")</f>
        <v>0</v>
      </c>
      <c r="G32" s="204">
        <f>COUNTIFS(DATOS_[AGRUP. CLAS. PROF.],$B30,DATOS_[Sexo],$B32,DATOS_[Check Periodo Ref.],"Dentro",DATOS_[Check Nº SC Norm y Anualiz],"Sí")</f>
        <v>0</v>
      </c>
      <c r="H32" s="204">
        <f>COUNTIFS(DATOS_[AGRUP. CLAS. PROF.],$B30,DATOS_[Sexo],$B32,DATOS_[Check Periodo Ref.],"Dentro",DATOS_[Check Equiparación],"Sí")</f>
        <v>0</v>
      </c>
      <c r="I32" s="195" cm="1">
        <f t="array" ref="I32">IFERROR(
MEDIAN(IF(DATOS_[Sexo]=$B32,IF(DATOS_[[AGRUP. CLAS. PROF.]:[AGRUP. CLAS. PROF.]]=$B30,IF(DATOS_[Check Equiparado]="Sí",IF(DATOS_[Check Periodo Ref.]="Dentro",DATOS_[SALARIO BASE Eq],FALSE))))),
0)</f>
        <v>0</v>
      </c>
      <c r="J32" s="196">
        <f t="array" ref="J32">IFERROR(
(MEDIAN((IF(DATOS_[[Sexo]:[Sexo]]=$B32,IF(DATOS_[[AGRUP. CLAS. PROF.]:[AGRUP. CLAS. PROF.]]=$B30,IF(DATOS_[[Check Periodo Ref.]:[Check Periodo Ref.]]="Dentro",IF(DATOS_[[Check Equiparado]:[Check Equiparado]]="Sí",IF(DATOS!AE$5="Sí",(1/DATOS_[[% anualiz]:[% anualiz]]),1)*IF(DATOS!AE$4="Sí",1/DATOS_[[% normaliz]:[% normaliz]],1)*(DATOS_[Conc.Sal.01])))))))),
0)</f>
        <v>0</v>
      </c>
      <c r="K32" s="196">
        <f t="array" ref="K32">IFERROR(
(MEDIAN((IF(DATOS_[[Sexo]:[Sexo]]=$B32,IF(DATOS_[[AGRUP. CLAS. PROF.]:[AGRUP. CLAS. PROF.]]=$B30,IF(DATOS_[[Check Periodo Ref.]:[Check Periodo Ref.]]="Dentro",IF(DATOS_[[Check Equiparado]:[Check Equiparado]]="Sí",IF(DATOS!AF$5="Sí",(1/DATOS_[[% anualiz]:[% anualiz]]),1)*IF(DATOS!AF$4="Sí",1/DATOS_[[% normaliz]:[% normaliz]],1)*(DATOS_[Conc.Sal.02])))))))),
0)</f>
        <v>0</v>
      </c>
      <c r="L32" s="196">
        <f t="array" ref="L32">IFERROR(
(MEDIAN((IF(DATOS_[[Sexo]:[Sexo]]=$B32,IF(DATOS_[[AGRUP. CLAS. PROF.]:[AGRUP. CLAS. PROF.]]=$B30,IF(DATOS_[[Check Periodo Ref.]:[Check Periodo Ref.]]="Dentro",IF(DATOS_[[Check Equiparado]:[Check Equiparado]]="Sí",IF(DATOS!AG$5="Sí",(1/DATOS_[[% anualiz]:[% anualiz]]),1)*IF(DATOS!AG$4="Sí",1/DATOS_[[% normaliz]:[% normaliz]],1)*(DATOS_[Conc.Sal.03])))))))),
0)</f>
        <v>0</v>
      </c>
      <c r="M32" s="196">
        <f t="array" ref="M32">IFERROR(
(MEDIAN((IF(DATOS_[[Sexo]:[Sexo]]=$B32,IF(DATOS_[[AGRUP. CLAS. PROF.]:[AGRUP. CLAS. PROF.]]=$B30,IF(DATOS_[[Check Periodo Ref.]:[Check Periodo Ref.]]="Dentro",IF(DATOS_[[Check Equiparado]:[Check Equiparado]]="Sí",IF(DATOS!AH$5="Sí",(1/DATOS_[[% anualiz]:[% anualiz]]),1)*IF(DATOS!AH$4="Sí",1/DATOS_[[% normaliz]:[% normaliz]],1)*(DATOS_[Conc.Sal.04])))))))),
0)</f>
        <v>0</v>
      </c>
      <c r="N32" s="196">
        <f t="array" ref="N32">IFERROR(
(MEDIAN((IF(DATOS_[[Sexo]:[Sexo]]=$B32,IF(DATOS_[[AGRUP. CLAS. PROF.]:[AGRUP. CLAS. PROF.]]=$B30,IF(DATOS_[[Check Periodo Ref.]:[Check Periodo Ref.]]="Dentro",IF(DATOS_[[Check Equiparado]:[Check Equiparado]]="Sí",IF(DATOS!AI$5="Sí",(1/DATOS_[[% anualiz]:[% anualiz]]),1)*IF(DATOS!AI$4="Sí",1/DATOS_[[% normaliz]:[% normaliz]],1)*(DATOS_[Conc.Sal.05])))))))),
0)</f>
        <v>0</v>
      </c>
      <c r="O32" s="196">
        <f t="array" ref="O32">IFERROR(
(MEDIAN((IF(DATOS_[[Sexo]:[Sexo]]=$B32,IF(DATOS_[[AGRUP. CLAS. PROF.]:[AGRUP. CLAS. PROF.]]=$B30,IF(DATOS_[[Check Periodo Ref.]:[Check Periodo Ref.]]="Dentro",IF(DATOS_[[Check Equiparado]:[Check Equiparado]]="Sí",IF(DATOS!AJ$5="Sí",(1/DATOS_[[% anualiz]:[% anualiz]]),1)*IF(DATOS!AJ$4="Sí",1/DATOS_[[% normaliz]:[% normaliz]],1)*(DATOS_[Conc.Sal.06])))))))),
0)</f>
        <v>0</v>
      </c>
      <c r="P32" s="196">
        <f t="array" ref="P32">IFERROR(
(MEDIAN((IF(DATOS_[[Sexo]:[Sexo]]=$B32,IF(DATOS_[[AGRUP. CLAS. PROF.]:[AGRUP. CLAS. PROF.]]=$B30,IF(DATOS_[[Check Periodo Ref.]:[Check Periodo Ref.]]="Dentro",IF(DATOS_[[Check Equiparado]:[Check Equiparado]]="Sí",IF(DATOS!AK$5="Sí",(1/DATOS_[[% anualiz]:[% anualiz]]),1)*IF(DATOS!AK$4="Sí",1/DATOS_[[% normaliz]:[% normaliz]],1)*(DATOS_[Conc.Sal.07])))))))),
0)</f>
        <v>0</v>
      </c>
      <c r="Q32" s="196">
        <f t="array" ref="Q32">IFERROR(
(MEDIAN((IF(DATOS_[[Sexo]:[Sexo]]=$B32,IF(DATOS_[[AGRUP. CLAS. PROF.]:[AGRUP. CLAS. PROF.]]=$B30,IF(DATOS_[[Check Periodo Ref.]:[Check Periodo Ref.]]="Dentro",IF(DATOS_[[Check Equiparado]:[Check Equiparado]]="Sí",IF(DATOS!AL$5="Sí",(1/DATOS_[[% anualiz]:[% anualiz]]),1)*IF(DATOS!AL$4="Sí",1/DATOS_[[% normaliz]:[% normaliz]],1)*(DATOS_[Conc.Sal.08])))))))),
0)</f>
        <v>0</v>
      </c>
      <c r="R32" s="196">
        <f t="array" ref="R32">IFERROR(
(MEDIAN((IF(DATOS_[[Sexo]:[Sexo]]=$B32,IF(DATOS_[[AGRUP. CLAS. PROF.]:[AGRUP. CLAS. PROF.]]=$B30,IF(DATOS_[[Check Periodo Ref.]:[Check Periodo Ref.]]="Dentro",IF(DATOS_[[Check Equiparado]:[Check Equiparado]]="Sí",IF(DATOS!AM$5="Sí",(1/DATOS_[[% anualiz]:[% anualiz]]),1)*IF(DATOS!AM$4="Sí",1/DATOS_[[% normaliz]:[% normaliz]],1)*(DATOS_[Conc.Sal.09])))))))),
0)</f>
        <v>0</v>
      </c>
      <c r="S32" s="196">
        <f t="array" ref="S32">IFERROR(
(MEDIAN((IF(DATOS_[[Sexo]:[Sexo]]=$B32,IF(DATOS_[[AGRUP. CLAS. PROF.]:[AGRUP. CLAS. PROF.]]=$B30,IF(DATOS_[[Check Periodo Ref.]:[Check Periodo Ref.]]="Dentro",IF(DATOS_[[Check Equiparado]:[Check Equiparado]]="Sí",IF(DATOS!AN$5="Sí",(1/DATOS_[[% anualiz]:[% anualiz]]),1)*IF(DATOS!AN$4="Sí",1/DATOS_[[% normaliz]:[% normaliz]],1)*(DATOS_[Conc.Sal.10])))))))),
0)</f>
        <v>0</v>
      </c>
      <c r="T32" s="196">
        <f t="array" ref="T32">IFERROR(
(MEDIAN((IF(DATOS_[[Sexo]:[Sexo]]=$B32,IF(DATOS_[[AGRUP. CLAS. PROF.]:[AGRUP. CLAS. PROF.]]=$B30,IF(DATOS_[[Check Periodo Ref.]:[Check Periodo Ref.]]="Dentro",IF(DATOS_[[Check Equiparado]:[Check Equiparado]]="Sí",IF(DATOS!AO$5="Sí",(1/DATOS_[[% anualiz]:[% anualiz]]),1)*IF(DATOS!AO$4="Sí",1/DATOS_[[% normaliz]:[% normaliz]],1)*(DATOS_[Conc.Sal.11])))))))),
0)</f>
        <v>0</v>
      </c>
      <c r="U32" s="196">
        <f t="array" ref="U32">IFERROR(
(MEDIAN((IF(DATOS_[[Sexo]:[Sexo]]=$B32,IF(DATOS_[[AGRUP. CLAS. PROF.]:[AGRUP. CLAS. PROF.]]=$B30,IF(DATOS_[[Check Periodo Ref.]:[Check Periodo Ref.]]="Dentro",IF(DATOS_[[Check Equiparado]:[Check Equiparado]]="Sí",IF(DATOS!AP$5="Sí",(1/DATOS_[[% anualiz]:[% anualiz]]),1)*IF(DATOS!AP$4="Sí",1/DATOS_[[% normaliz]:[% normaliz]],1)*(DATOS_[Conc.Sal.12])))))))),
0)</f>
        <v>0</v>
      </c>
      <c r="V32" s="196">
        <f t="array" ref="V32">IFERROR(
(MEDIAN((IF(DATOS_[[Sexo]:[Sexo]]=$B32,IF(DATOS_[[AGRUP. CLAS. PROF.]:[AGRUP. CLAS. PROF.]]=$B30,IF(DATOS_[[Check Periodo Ref.]:[Check Periodo Ref.]]="Dentro",IF(DATOS_[[Check Equiparado]:[Check Equiparado]]="Sí",IF(DATOS!AQ$5="Sí",(1/DATOS_[[% anualiz]:[% anualiz]]),1)*IF(DATOS!AQ$4="Sí",1/DATOS_[[% normaliz]:[% normaliz]],1)*(DATOS_[Conc.Sal.13])))))))),
0)</f>
        <v>0</v>
      </c>
      <c r="W32" s="196">
        <f t="array" ref="W32">IFERROR(
(MEDIAN((IF(DATOS_[[Sexo]:[Sexo]]=$B32,IF(DATOS_[[AGRUP. CLAS. PROF.]:[AGRUP. CLAS. PROF.]]=$B30,IF(DATOS_[[Check Periodo Ref.]:[Check Periodo Ref.]]="Dentro",IF(DATOS_[[Check Equiparado]:[Check Equiparado]]="Sí",IF(DATOS!AR$5="Sí",(1/DATOS_[[% anualiz]:[% anualiz]]),1)*IF(DATOS!AR$4="Sí",1/DATOS_[[% normaliz]:[% normaliz]],1)*(DATOS_[Conc.Sal.14])))))))),
0)</f>
        <v>0</v>
      </c>
      <c r="X32" s="196">
        <f t="array" ref="X32">IFERROR(
(MEDIAN((IF(DATOS_[[Sexo]:[Sexo]]=$B32,IF(DATOS_[[AGRUP. CLAS. PROF.]:[AGRUP. CLAS. PROF.]]=$B30,IF(DATOS_[[Check Periodo Ref.]:[Check Periodo Ref.]]="Dentro",IF(DATOS_[[Check Equiparado]:[Check Equiparado]]="Sí",IF(DATOS!AS$5="Sí",(1/DATOS_[[% anualiz]:[% anualiz]]),1)*IF(DATOS!AS$4="Sí",1/DATOS_[[% normaliz]:[% normaliz]],1)*(DATOS_[Conc.Sal.15])))))))),
0)</f>
        <v>0</v>
      </c>
      <c r="Y32" s="196">
        <f t="array" ref="Y32">IFERROR(
(MEDIAN((IF(DATOS_[[Sexo]:[Sexo]]=$B32,IF(DATOS_[[AGRUP. CLAS. PROF.]:[AGRUP. CLAS. PROF.]]=$B30,IF(DATOS_[[Check Periodo Ref.]:[Check Periodo Ref.]]="Dentro",IF(DATOS_[[Check Equiparado]:[Check Equiparado]]="Sí",IF(DATOS!AT$5="Sí",(1/DATOS_[[% anualiz]:[% anualiz]]),1)*IF(DATOS!AT$4="Sí",1/DATOS_[[% normaliz]:[% normaliz]],1)*(DATOS_[Conc.Sal.16])))))))),
0)</f>
        <v>0</v>
      </c>
      <c r="Z32" s="196">
        <f t="array" ref="Z32">IFERROR(
(MEDIAN((IF(DATOS_[[Sexo]:[Sexo]]=$B32,IF(DATOS_[[AGRUP. CLAS. PROF.]:[AGRUP. CLAS. PROF.]]=$B30,IF(DATOS_[[Check Periodo Ref.]:[Check Periodo Ref.]]="Dentro",IF(DATOS_[[Check Equiparado]:[Check Equiparado]]="Sí",IF(DATOS!AU$5="Sí",(1/DATOS_[[% anualiz]:[% anualiz]]),1)*IF(DATOS!AU$4="Sí",1/DATOS_[[% normaliz]:[% normaliz]],1)*(DATOS_[Conc.Sal.17])))))))),
0)</f>
        <v>0</v>
      </c>
      <c r="AA32" s="196">
        <f t="array" ref="AA32">IFERROR(
(MEDIAN((IF(DATOS_[[Sexo]:[Sexo]]=$B32,IF(DATOS_[[AGRUP. CLAS. PROF.]:[AGRUP. CLAS. PROF.]]=$B30,IF(DATOS_[[Check Periodo Ref.]:[Check Periodo Ref.]]="Dentro",IF(DATOS_[[Check Equiparado]:[Check Equiparado]]="Sí",IF(DATOS!AV$5="Sí",(1/DATOS_[[% anualiz]:[% anualiz]]),1)*IF(DATOS!AV$4="Sí",1/DATOS_[[% normaliz]:[% normaliz]],1)*(DATOS_[Conc.Sal.18])))))))),
0)</f>
        <v>0</v>
      </c>
      <c r="AB32" s="196">
        <f t="array" ref="AB32">IFERROR(
(MEDIAN((IF(DATOS_[[Sexo]:[Sexo]]=$B32,IF(DATOS_[[AGRUP. CLAS. PROF.]:[AGRUP. CLAS. PROF.]]=$B30,IF(DATOS_[[Check Periodo Ref.]:[Check Periodo Ref.]]="Dentro",IF(DATOS_[[Check Equiparado]:[Check Equiparado]]="Sí",IF(DATOS!AW$5="Sí",(1/DATOS_[[% anualiz]:[% anualiz]]),1)*IF(DATOS!AW$4="Sí",1/DATOS_[[% normaliz]:[% normaliz]],1)*(DATOS_[Conc.Sal.19])))))))),
0)</f>
        <v>0</v>
      </c>
      <c r="AC32" s="196">
        <f t="array" ref="AC32">IFERROR(
(MEDIAN((IF(DATOS_[[Sexo]:[Sexo]]=$B32,IF(DATOS_[[AGRUP. CLAS. PROF.]:[AGRUP. CLAS. PROF.]]=$B30,IF(DATOS_[[Check Periodo Ref.]:[Check Periodo Ref.]]="Dentro",IF(DATOS_[[Check Equiparado]:[Check Equiparado]]="Sí",IF(DATOS!AX$5="Sí",(1/DATOS_[[% anualiz]:[% anualiz]]),1)*IF(DATOS!AX$4="Sí",1/DATOS_[[% normaliz]:[% normaliz]],1)*(DATOS_[Conc.Sal.20])))))))),
0)</f>
        <v>0</v>
      </c>
      <c r="AD32" s="196">
        <f t="array" ref="AD32">IFERROR(
(MEDIAN((IF(DATOS_[[Sexo]:[Sexo]]=$B32,IF(DATOS_[[AGRUP. CLAS. PROF.]:[AGRUP. CLAS. PROF.]]=$B30,IF(DATOS_[[Check Periodo Ref.]:[Check Periodo Ref.]]="Dentro",IF(DATOS_[[Check Equiparado]:[Check Equiparado]]="Sí",IF(DATOS!AY$5="Sí",(1/DATOS_[[% anualiz]:[% anualiz]]),1)*IF(DATOS!AY$4="Sí",1/DATOS_[[% normaliz]:[% normaliz]],1)*(DATOS_[Conc.Sal.21])))))))),
0)</f>
        <v>0</v>
      </c>
      <c r="AE32" s="196">
        <f t="array" ref="AE32">IFERROR(
(MEDIAN((IF(DATOS_[[Sexo]:[Sexo]]=$B32,IF(DATOS_[[AGRUP. CLAS. PROF.]:[AGRUP. CLAS. PROF.]]=$B30,IF(DATOS_[[Check Periodo Ref.]:[Check Periodo Ref.]]="Dentro",IF(DATOS_[[Check Equiparado]:[Check Equiparado]]="Sí",IF(DATOS!AZ$5="Sí",(1/DATOS_[[% anualiz]:[% anualiz]]),1)*IF(DATOS!AZ$4="Sí",1/DATOS_[[% normaliz]:[% normaliz]],1)*(DATOS_[Conc.Sal.22])))))))),
0)</f>
        <v>0</v>
      </c>
      <c r="AF32" s="196">
        <f t="array" ref="AF32">IFERROR(
(MEDIAN((IF(DATOS_[[Sexo]:[Sexo]]=$B32,IF(DATOS_[[AGRUP. CLAS. PROF.]:[AGRUP. CLAS. PROF.]]=$B30,IF(DATOS_[[Check Periodo Ref.]:[Check Periodo Ref.]]="Dentro",IF(DATOS_[[Check Equiparado]:[Check Equiparado]]="Sí",IF(DATOS!BA$5="Sí",(1/DATOS_[[% anualiz]:[% anualiz]]),1)*IF(DATOS!BA$4="Sí",1/DATOS_[[% normaliz]:[% normaliz]],1)*(DATOS_[Conc.Sal.23])))))))),
0)</f>
        <v>0</v>
      </c>
      <c r="AG32" s="196">
        <f t="array" ref="AG32">IFERROR(
(MEDIAN((IF(DATOS_[[Sexo]:[Sexo]]=$B32,IF(DATOS_[[AGRUP. CLAS. PROF.]:[AGRUP. CLAS. PROF.]]=$B30,IF(DATOS_[[Check Periodo Ref.]:[Check Periodo Ref.]]="Dentro",IF(DATOS_[[Check Equiparado]:[Check Equiparado]]="Sí",IF(DATOS!BB$5="Sí",(1/DATOS_[[% anualiz]:[% anualiz]]),1)*IF(DATOS!BB$4="Sí",1/DATOS_[[% normaliz]:[% normaliz]],1)*(DATOS_[Conc.Sal.24])))))))),
0)</f>
        <v>0</v>
      </c>
      <c r="AH32" s="196">
        <f t="array" ref="AH32">IFERROR(
(MEDIAN((IF(DATOS_[[Sexo]:[Sexo]]=$B32,IF(DATOS_[[AGRUP. CLAS. PROF.]:[AGRUP. CLAS. PROF.]]=$B30,IF(DATOS_[[Check Periodo Ref.]:[Check Periodo Ref.]]="Dentro",IF(DATOS_[[Check Equiparado]:[Check Equiparado]]="Sí",IF(DATOS!BC$5="Sí",(1/DATOS_[[% anualiz]:[% anualiz]]),1)*IF(DATOS!BC$4="Sí",1/DATOS_[[% normaliz]:[% normaliz]],1)*(DATOS_[Conc.Sal.25])))))))),
0)</f>
        <v>0</v>
      </c>
      <c r="AI32" s="196">
        <f t="array" ref="AI32">IFERROR(
(MEDIAN((IF(DATOS_[[Sexo]:[Sexo]]=$B32,IF(DATOS_[[AGRUP. CLAS. PROF.]:[AGRUP. CLAS. PROF.]]=$B30,IF(DATOS_[[Check Periodo Ref.]:[Check Periodo Ref.]]="Dentro",IF(DATOS_[[Check Equiparado]:[Check Equiparado]]="Sí",IF(DATOS!BD$5="Sí",(1/DATOS_[[% anualiz]:[% anualiz]]),1)*IF(DATOS!BD$4="Sí",1/DATOS_[[% normaliz]:[% normaliz]],1)*(DATOS_[Conc.Sal.26])))))))),
0)</f>
        <v>0</v>
      </c>
      <c r="AJ32" s="196">
        <f t="array" ref="AJ32">IFERROR(
(MEDIAN((IF(DATOS_[[Sexo]:[Sexo]]=$B32,IF(DATOS_[[AGRUP. CLAS. PROF.]:[AGRUP. CLAS. PROF.]]=$B30,IF(DATOS_[[Check Periodo Ref.]:[Check Periodo Ref.]]="Dentro",IF(DATOS_[[Check Equiparado]:[Check Equiparado]]="Sí",IF(DATOS!BE$5="Sí",(1/DATOS_[[% anualiz]:[% anualiz]]),1)*IF(DATOS!BE$4="Sí",1/DATOS_[[% normaliz]:[% normaliz]],1)*(DATOS_[Conc.Sal.27])))))))),
0)</f>
        <v>0</v>
      </c>
      <c r="AK32" s="196">
        <f t="array" ref="AK32">IFERROR(
(MEDIAN((IF(DATOS_[[Sexo]:[Sexo]]=$B32,IF(DATOS_[[AGRUP. CLAS. PROF.]:[AGRUP. CLAS. PROF.]]=$B30,IF(DATOS_[[Check Periodo Ref.]:[Check Periodo Ref.]]="Dentro",IF(DATOS_[[Check Equiparado]:[Check Equiparado]]="Sí",IF(DATOS!BF$5="Sí",(1/DATOS_[[% anualiz]:[% anualiz]]),1)*IF(DATOS!BF$4="Sí",1/DATOS_[[% normaliz]:[% normaliz]],1)*(DATOS_[Conc.Sal.28])))))))),
0)</f>
        <v>0</v>
      </c>
      <c r="AL32" s="196">
        <f t="array" ref="AL32">IFERROR(
(MEDIAN((IF(DATOS_[[Sexo]:[Sexo]]=$B32,IF(DATOS_[[AGRUP. CLAS. PROF.]:[AGRUP. CLAS. PROF.]]=$B30,IF(DATOS_[[Check Periodo Ref.]:[Check Periodo Ref.]]="Dentro",IF(DATOS_[[Check Equiparado]:[Check Equiparado]]="Sí",IF(DATOS!BG$5="Sí",(1/DATOS_[[% anualiz]:[% anualiz]]),1)*IF(DATOS!BG$4="Sí",1/DATOS_[[% normaliz]:[% normaliz]],1)*(DATOS_[Conc.Sal.29])))))))),
0)</f>
        <v>0</v>
      </c>
      <c r="AM32" s="196">
        <f t="array" ref="AM32">IFERROR(
(MEDIAN((IF(DATOS_[[Sexo]:[Sexo]]=$B32,IF(DATOS_[[AGRUP. CLAS. PROF.]:[AGRUP. CLAS. PROF.]]=$B30,IF(DATOS_[[Check Periodo Ref.]:[Check Periodo Ref.]]="Dentro",IF(DATOS_[[Check Equiparado]:[Check Equiparado]]="Sí",IF(DATOS!BH$5="Sí",(1/DATOS_[[% anualiz]:[% anualiz]]),1)*IF(DATOS!BH$4="Sí",1/DATOS_[[% normaliz]:[% normaliz]],1)*(DATOS_[Conc.Sal.30])))))))),
0)</f>
        <v>0</v>
      </c>
      <c r="AN32" s="195">
        <f t="array" ref="AN32">IFERROR(
MEDIAN(IF(DATOS_[Sexo]=$B32,IF(DATOS_[[AGRUP. CLAS. PROF.]:[AGRUP. CLAS. PROF.]]=$B30,IF(DATOS_[Check Equiparado]="Sí",IF(DATOS_[Check Periodo Ref.]="Dentro",DATOS_[Tot COMPL.SAL Eq],FALSE))))),
0)</f>
        <v>0</v>
      </c>
      <c r="AO32" s="172">
        <f t="array" ref="AO32">IFERROR(
MEDIAN(IF(DATOS_[Sexo]=$B32,IF(DATOS_[[AGRUP. CLAS. PROF.]:[AGRUP. CLAS. PROF.]]=$B30,IF(DATOS_[Check Equiparado]="Sí",IF(DATOS_[Check Periodo Ref.]="Dentro",DATOS_[TOTAL SALARIO Eq],FALSE))))),
0)</f>
        <v>0</v>
      </c>
      <c r="AP32" s="173">
        <f t="array" ref="AP32">IFERROR(
(MEDIAN((IF(DATOS_[[Sexo]:[Sexo]]=$B32,IF(DATOS_[[AGRUP. CLAS. PROF.]:[AGRUP. CLAS. PROF.]]=$B30,IF(DATOS_[[Check Periodo Ref.]:[Check Periodo Ref.]]="Dentro",IF(DATOS_[[Check Equiparado]:[Check Equiparado]]="Sí",IF(DATOS!BW$5="Sí",(1/DATOS_[[% anualiz]:[% anualiz]]),1)*IF(DATOS!BW$4="Sí",1/DATOS_[[% normaliz]:[% normaliz]],1)*(DATOS_[C.Extra.01])))))))),
0)</f>
        <v>0</v>
      </c>
      <c r="AQ32" s="173">
        <f t="array" ref="AQ32">IFERROR(
(MEDIAN((IF(DATOS_[[Sexo]:[Sexo]]=$B32,IF(DATOS_[[AGRUP. CLAS. PROF.]:[AGRUP. CLAS. PROF.]]=$B30,IF(DATOS_[[Check Periodo Ref.]:[Check Periodo Ref.]]="Dentro",IF(DATOS_[[Check Equiparado]:[Check Equiparado]]="Sí",IF(DATOS!CB$5="Sí",(1/DATOS_[[% anualiz]:[% anualiz]]),1)*IF(DATOS!CB$4="Sí",1/DATOS_[[% normaliz]:[% normaliz]],1)*(DATOS_[C.Extra.06])))))))),
0)</f>
        <v>0</v>
      </c>
      <c r="AR32" s="173">
        <f t="array" ref="AR32">IFERROR(
(MEDIAN((IF(DATOS_[[Sexo]:[Sexo]]=$B32,IF(DATOS_[[AGRUP. CLAS. PROF.]:[AGRUP. CLAS. PROF.]]=$B30,IF(DATOS_[[Check Periodo Ref.]:[Check Periodo Ref.]]="Dentro",IF(DATOS_[[Check Equiparado]:[Check Equiparado]]="Sí",IF(DATOS!CC$5="Sí",(1/DATOS_[[% anualiz]:[% anualiz]]),1)*IF(DATOS!CC$4="Sí",1/DATOS_[[% normaliz]:[% normaliz]],1)*(DATOS_[C.Extra.07])))))))),
0)</f>
        <v>0</v>
      </c>
      <c r="AS32" s="173">
        <f t="array" ref="AS32">IFERROR(
(MEDIAN((IF(DATOS_[[Sexo]:[Sexo]]=$B32,IF(DATOS_[[AGRUP. CLAS. PROF.]:[AGRUP. CLAS. PROF.]]=$B30,IF(DATOS_[[Check Periodo Ref.]:[Check Periodo Ref.]]="Dentro",IF(DATOS_[[Check Equiparado]:[Check Equiparado]]="Sí",IF(DATOS!CD$5="Sí",(1/DATOS_[[% anualiz]:[% anualiz]]),1)*IF(DATOS!CD$4="Sí",1/DATOS_[[% normaliz]:[% normaliz]],1)*(DATOS_[C.Extra.08])))))))),
0)</f>
        <v>0</v>
      </c>
      <c r="AT32" s="173">
        <f t="array" ref="AT32">IFERROR(
(MEDIAN((IF(DATOS_[[Sexo]:[Sexo]]=$B32,IF(DATOS_[[AGRUP. CLAS. PROF.]:[AGRUP. CLAS. PROF.]]=$B30,IF(DATOS_[[Check Periodo Ref.]:[Check Periodo Ref.]]="Dentro",IF(DATOS_[[Check Equiparado]:[Check Equiparado]]="Sí",IF(DATOS!CG$5="Sí",(1/DATOS_[[% anualiz]:[% anualiz]]),1)*IF(DATOS!CG$4="Sí",1/DATOS_[[% normaliz]:[% normaliz]],1)*(DATOS_[C.Extra.11])))))))),
0)</f>
        <v>0</v>
      </c>
      <c r="AU32" s="197">
        <f t="array" ref="AU32">IFERROR(
MEDIAN(IF(DATOS_[Sexo]=$B32,IF(DATOS_[[AGRUP. CLAS. PROF.]:[AGRUP. CLAS. PROF.]]=$B30,IF(DATOS_[Check Equiparado]="Sí",IF(DATOS_[Check Periodo Ref.]="Dentro",DATOS_[Tot Extrasalarial Eq],FALSE))))),
0)</f>
        <v>0</v>
      </c>
      <c r="AV32" s="175">
        <f t="array" ref="AV32">IFERROR(
MEDIAN(IF(DATOS_[Sexo]=$B32,IF(DATOS_[[AGRUP. CLAS. PROF.]:[AGRUP. CLAS. PROF.]]=$B30,IF(DATOS_[Check Equiparado]="Sí",IF(DATOS_[Check Periodo Ref.]="Dentro",DATOS_[TOTAL Retrib Eq],FALSE))))),
0)</f>
        <v>0</v>
      </c>
    </row>
    <row r="33" spans="1:48" ht="15.6" hidden="1" thickBot="1" x14ac:dyDescent="0.3">
      <c r="A33" s="133" t="str">
        <f t="shared" ref="A33" si="27">+A34</f>
        <v>[ocultar]</v>
      </c>
      <c r="B33" s="199" t="s">
        <v>199</v>
      </c>
      <c r="C33" s="200"/>
      <c r="D33" s="201"/>
      <c r="E33" s="201"/>
      <c r="F33" s="201"/>
      <c r="G33" s="201"/>
      <c r="H33" s="201"/>
      <c r="I33" s="189" t="str">
        <f t="shared" ref="I33:AV33" si="28">IFERROR((I34-I35)/I34,"")</f>
        <v/>
      </c>
      <c r="J33" s="190" t="str">
        <f t="shared" si="28"/>
        <v/>
      </c>
      <c r="K33" s="191" t="str">
        <f t="shared" si="28"/>
        <v/>
      </c>
      <c r="L33" s="191" t="str">
        <f t="shared" si="28"/>
        <v/>
      </c>
      <c r="M33" s="191" t="str">
        <f t="shared" si="28"/>
        <v/>
      </c>
      <c r="N33" s="192" t="str">
        <f t="shared" si="28"/>
        <v/>
      </c>
      <c r="O33" s="193" t="str">
        <f t="shared" si="28"/>
        <v/>
      </c>
      <c r="P33" s="193" t="str">
        <f t="shared" si="28"/>
        <v/>
      </c>
      <c r="Q33" s="193" t="str">
        <f t="shared" si="28"/>
        <v/>
      </c>
      <c r="R33" s="193" t="str">
        <f t="shared" si="28"/>
        <v/>
      </c>
      <c r="S33" s="193" t="str">
        <f t="shared" si="28"/>
        <v/>
      </c>
      <c r="T33" s="193" t="str">
        <f t="shared" si="28"/>
        <v/>
      </c>
      <c r="U33" s="193" t="str">
        <f t="shared" si="28"/>
        <v/>
      </c>
      <c r="V33" s="193" t="str">
        <f t="shared" si="28"/>
        <v/>
      </c>
      <c r="W33" s="193" t="str">
        <f t="shared" si="28"/>
        <v/>
      </c>
      <c r="X33" s="193" t="str">
        <f t="shared" si="28"/>
        <v/>
      </c>
      <c r="Y33" s="193" t="str">
        <f t="shared" si="28"/>
        <v/>
      </c>
      <c r="Z33" s="193" t="str">
        <f t="shared" si="28"/>
        <v/>
      </c>
      <c r="AA33" s="193" t="str">
        <f t="shared" si="28"/>
        <v/>
      </c>
      <c r="AB33" s="193" t="str">
        <f t="shared" si="28"/>
        <v/>
      </c>
      <c r="AC33" s="193" t="str">
        <f t="shared" si="28"/>
        <v/>
      </c>
      <c r="AD33" s="193" t="str">
        <f t="shared" si="28"/>
        <v/>
      </c>
      <c r="AE33" s="193" t="str">
        <f t="shared" si="28"/>
        <v/>
      </c>
      <c r="AF33" s="193" t="str">
        <f t="shared" si="28"/>
        <v/>
      </c>
      <c r="AG33" s="193" t="str">
        <f t="shared" si="28"/>
        <v/>
      </c>
      <c r="AH33" s="193" t="str">
        <f t="shared" si="28"/>
        <v/>
      </c>
      <c r="AI33" s="193" t="str">
        <f t="shared" si="28"/>
        <v/>
      </c>
      <c r="AJ33" s="193" t="str">
        <f t="shared" si="28"/>
        <v/>
      </c>
      <c r="AK33" s="193" t="str">
        <f t="shared" si="28"/>
        <v/>
      </c>
      <c r="AL33" s="193" t="str">
        <f t="shared" si="28"/>
        <v/>
      </c>
      <c r="AM33" s="193" t="str">
        <f t="shared" si="28"/>
        <v/>
      </c>
      <c r="AN33" s="189" t="str">
        <f t="shared" si="28"/>
        <v/>
      </c>
      <c r="AO33" s="162" t="str">
        <f t="shared" si="28"/>
        <v/>
      </c>
      <c r="AP33" s="163" t="str">
        <f t="shared" si="28"/>
        <v/>
      </c>
      <c r="AQ33" s="163" t="str">
        <f t="shared" si="28"/>
        <v/>
      </c>
      <c r="AR33" s="163" t="str">
        <f t="shared" si="28"/>
        <v/>
      </c>
      <c r="AS33" s="163" t="str">
        <f t="shared" si="28"/>
        <v/>
      </c>
      <c r="AT33" s="163" t="str">
        <f t="shared" si="28"/>
        <v/>
      </c>
      <c r="AU33" s="194" t="str">
        <f t="shared" si="28"/>
        <v/>
      </c>
      <c r="AV33" s="165" t="str">
        <f t="shared" si="28"/>
        <v/>
      </c>
    </row>
    <row r="34" spans="1:48" hidden="1" x14ac:dyDescent="0.25">
      <c r="A34" s="133" t="str">
        <f t="shared" ref="A34" si="29">+IF(C34+C35=0,"[ocultar]","")</f>
        <v>[ocultar]</v>
      </c>
      <c r="B34" s="202" t="s">
        <v>394</v>
      </c>
      <c r="C34" s="203">
        <f t="array" ref="C34">SUM(IF($B34=DATOS_[Sexo],
IF($B33=DATOS_[AGRUP. CLAS. PROF.],
IF("Dentro"=DATOS_[Check Periodo Ref.],
1/(COUNTIFS(DATOS_[Sexo],$B34,DATOS_[AGRUP. CLAS. PROF.],$B33,DATOS_[Check Periodo Ref.],"Dentro",DATOS_[id/cod],DATOS_[id/cod]))))))</f>
        <v>0</v>
      </c>
      <c r="D34" s="204">
        <f>COUNTIFS(DATOS_[AGRUP. CLAS. PROF.],$B33,DATOS_[Sexo],$B34,DATOS_[Check Periodo Ref.],"Dentro")</f>
        <v>0</v>
      </c>
      <c r="E34" s="204">
        <f>COUNTIFS(DATOS_[AGRUP. CLAS. PROF.],$B33,DATOS_[Sexo],$B34,DATOS_[Check Periodo Ref.],"Dentro",DATOS_[Check Nº SC Norm],"Sí")</f>
        <v>0</v>
      </c>
      <c r="F34" s="204">
        <f>COUNTIFS(DATOS_[AGRUP. CLAS. PROF.],$B33,DATOS_[Sexo],$B34,DATOS_[Check Periodo Ref.],"Dentro",DATOS_[Check Nº SC Anualiz],"Sí")</f>
        <v>0</v>
      </c>
      <c r="G34" s="204">
        <f>COUNTIFS(DATOS_[AGRUP. CLAS. PROF.],$B33,DATOS_[Sexo],$B34,DATOS_[Check Periodo Ref.],"Dentro",DATOS_[Check Nº SC Norm y Anualiz],"Sí")</f>
        <v>0</v>
      </c>
      <c r="H34" s="204">
        <f>COUNTIFS(DATOS_[AGRUP. CLAS. PROF.],$B33,DATOS_[Sexo],$B34,DATOS_[Check Periodo Ref.],"Dentro",DATOS_[Check Equiparación],"Sí")</f>
        <v>0</v>
      </c>
      <c r="I34" s="195">
        <f t="array" ref="I34">IFERROR(
MEDIAN(IF(DATOS_[Sexo]=$B34,IF(DATOS_[[AGRUP. CLAS. PROF.]:[AGRUP. CLAS. PROF.]]=$B33,IF(DATOS_[Check Equiparado]="Sí",IF(DATOS_[Check Periodo Ref.]="Dentro",DATOS_[SALARIO BASE Eq],FALSE))))),
0)</f>
        <v>0</v>
      </c>
      <c r="J34" s="196">
        <f t="array" ref="J34">IFERROR(
(MEDIAN((IF(DATOS_[[Sexo]:[Sexo]]=$B34,IF(DATOS_[[AGRUP. CLAS. PROF.]:[AGRUP. CLAS. PROF.]]=$B33,IF(DATOS_[[Check Periodo Ref.]:[Check Periodo Ref.]]="Dentro",IF(DATOS_[[Check Equiparado]:[Check Equiparado]]="Sí",IF(DATOS!AE$5="Sí",(1/DATOS_[[% anualiz]:[% anualiz]]),1)*IF(DATOS!AE$4="Sí",1/DATOS_[[% normaliz]:[% normaliz]],1)*(DATOS_[Conc.Sal.01])))))))),
0)</f>
        <v>0</v>
      </c>
      <c r="K34" s="196">
        <f t="array" ref="K34">IFERROR(
(MEDIAN((IF(DATOS_[[Sexo]:[Sexo]]=$B34,IF(DATOS_[[AGRUP. CLAS. PROF.]:[AGRUP. CLAS. PROF.]]=$B33,IF(DATOS_[[Check Periodo Ref.]:[Check Periodo Ref.]]="Dentro",IF(DATOS_[[Check Equiparado]:[Check Equiparado]]="Sí",IF(DATOS!AF$5="Sí",(1/DATOS_[[% anualiz]:[% anualiz]]),1)*IF(DATOS!AF$4="Sí",1/DATOS_[[% normaliz]:[% normaliz]],1)*(DATOS_[Conc.Sal.02])))))))),
0)</f>
        <v>0</v>
      </c>
      <c r="L34" s="196">
        <f t="array" ref="L34">IFERROR(
(MEDIAN((IF(DATOS_[[Sexo]:[Sexo]]=$B34,IF(DATOS_[[AGRUP. CLAS. PROF.]:[AGRUP. CLAS. PROF.]]=$B33,IF(DATOS_[[Check Periodo Ref.]:[Check Periodo Ref.]]="Dentro",IF(DATOS_[[Check Equiparado]:[Check Equiparado]]="Sí",IF(DATOS!AG$5="Sí",(1/DATOS_[[% anualiz]:[% anualiz]]),1)*IF(DATOS!AG$4="Sí",1/DATOS_[[% normaliz]:[% normaliz]],1)*(DATOS_[Conc.Sal.03])))))))),
0)</f>
        <v>0</v>
      </c>
      <c r="M34" s="196">
        <f t="array" ref="M34">IFERROR(
(MEDIAN((IF(DATOS_[[Sexo]:[Sexo]]=$B34,IF(DATOS_[[AGRUP. CLAS. PROF.]:[AGRUP. CLAS. PROF.]]=$B33,IF(DATOS_[[Check Periodo Ref.]:[Check Periodo Ref.]]="Dentro",IF(DATOS_[[Check Equiparado]:[Check Equiparado]]="Sí",IF(DATOS!AH$5="Sí",(1/DATOS_[[% anualiz]:[% anualiz]]),1)*IF(DATOS!AH$4="Sí",1/DATOS_[[% normaliz]:[% normaliz]],1)*(DATOS_[Conc.Sal.04])))))))),
0)</f>
        <v>0</v>
      </c>
      <c r="N34" s="196">
        <f t="array" ref="N34">IFERROR(
(MEDIAN((IF(DATOS_[[Sexo]:[Sexo]]=$B34,IF(DATOS_[[AGRUP. CLAS. PROF.]:[AGRUP. CLAS. PROF.]]=$B33,IF(DATOS_[[Check Periodo Ref.]:[Check Periodo Ref.]]="Dentro",IF(DATOS_[[Check Equiparado]:[Check Equiparado]]="Sí",IF(DATOS!AI$5="Sí",(1/DATOS_[[% anualiz]:[% anualiz]]),1)*IF(DATOS!AI$4="Sí",1/DATOS_[[% normaliz]:[% normaliz]],1)*(DATOS_[Conc.Sal.05])))))))),
0)</f>
        <v>0</v>
      </c>
      <c r="O34" s="196">
        <f t="array" ref="O34">IFERROR(
(MEDIAN((IF(DATOS_[[Sexo]:[Sexo]]=$B34,IF(DATOS_[[AGRUP. CLAS. PROF.]:[AGRUP. CLAS. PROF.]]=$B33,IF(DATOS_[[Check Periodo Ref.]:[Check Periodo Ref.]]="Dentro",IF(DATOS_[[Check Equiparado]:[Check Equiparado]]="Sí",IF(DATOS!AJ$5="Sí",(1/DATOS_[[% anualiz]:[% anualiz]]),1)*IF(DATOS!AJ$4="Sí",1/DATOS_[[% normaliz]:[% normaliz]],1)*(DATOS_[Conc.Sal.06])))))))),
0)</f>
        <v>0</v>
      </c>
      <c r="P34" s="196">
        <f t="array" ref="P34">IFERROR(
(MEDIAN((IF(DATOS_[[Sexo]:[Sexo]]=$B34,IF(DATOS_[[AGRUP. CLAS. PROF.]:[AGRUP. CLAS. PROF.]]=$B33,IF(DATOS_[[Check Periodo Ref.]:[Check Periodo Ref.]]="Dentro",IF(DATOS_[[Check Equiparado]:[Check Equiparado]]="Sí",IF(DATOS!AK$5="Sí",(1/DATOS_[[% anualiz]:[% anualiz]]),1)*IF(DATOS!AK$4="Sí",1/DATOS_[[% normaliz]:[% normaliz]],1)*(DATOS_[Conc.Sal.07])))))))),
0)</f>
        <v>0</v>
      </c>
      <c r="Q34" s="196">
        <f t="array" ref="Q34">IFERROR(
(MEDIAN((IF(DATOS_[[Sexo]:[Sexo]]=$B34,IF(DATOS_[[AGRUP. CLAS. PROF.]:[AGRUP. CLAS. PROF.]]=$B33,IF(DATOS_[[Check Periodo Ref.]:[Check Periodo Ref.]]="Dentro",IF(DATOS_[[Check Equiparado]:[Check Equiparado]]="Sí",IF(DATOS!AL$5="Sí",(1/DATOS_[[% anualiz]:[% anualiz]]),1)*IF(DATOS!AL$4="Sí",1/DATOS_[[% normaliz]:[% normaliz]],1)*(DATOS_[Conc.Sal.08])))))))),
0)</f>
        <v>0</v>
      </c>
      <c r="R34" s="196">
        <f t="array" ref="R34">IFERROR(
(MEDIAN((IF(DATOS_[[Sexo]:[Sexo]]=$B34,IF(DATOS_[[AGRUP. CLAS. PROF.]:[AGRUP. CLAS. PROF.]]=$B33,IF(DATOS_[[Check Periodo Ref.]:[Check Periodo Ref.]]="Dentro",IF(DATOS_[[Check Equiparado]:[Check Equiparado]]="Sí",IF(DATOS!AM$5="Sí",(1/DATOS_[[% anualiz]:[% anualiz]]),1)*IF(DATOS!AM$4="Sí",1/DATOS_[[% normaliz]:[% normaliz]],1)*(DATOS_[Conc.Sal.09])))))))),
0)</f>
        <v>0</v>
      </c>
      <c r="S34" s="196">
        <f t="array" ref="S34">IFERROR(
(MEDIAN((IF(DATOS_[[Sexo]:[Sexo]]=$B34,IF(DATOS_[[AGRUP. CLAS. PROF.]:[AGRUP. CLAS. PROF.]]=$B33,IF(DATOS_[[Check Periodo Ref.]:[Check Periodo Ref.]]="Dentro",IF(DATOS_[[Check Equiparado]:[Check Equiparado]]="Sí",IF(DATOS!AN$5="Sí",(1/DATOS_[[% anualiz]:[% anualiz]]),1)*IF(DATOS!AN$4="Sí",1/DATOS_[[% normaliz]:[% normaliz]],1)*(DATOS_[Conc.Sal.10])))))))),
0)</f>
        <v>0</v>
      </c>
      <c r="T34" s="196">
        <f t="array" ref="T34">IFERROR(
(MEDIAN((IF(DATOS_[[Sexo]:[Sexo]]=$B34,IF(DATOS_[[AGRUP. CLAS. PROF.]:[AGRUP. CLAS. PROF.]]=$B33,IF(DATOS_[[Check Periodo Ref.]:[Check Periodo Ref.]]="Dentro",IF(DATOS_[[Check Equiparado]:[Check Equiparado]]="Sí",IF(DATOS!AO$5="Sí",(1/DATOS_[[% anualiz]:[% anualiz]]),1)*IF(DATOS!AO$4="Sí",1/DATOS_[[% normaliz]:[% normaliz]],1)*(DATOS_[Conc.Sal.11])))))))),
0)</f>
        <v>0</v>
      </c>
      <c r="U34" s="196">
        <f t="array" ref="U34">IFERROR(
(MEDIAN((IF(DATOS_[[Sexo]:[Sexo]]=$B34,IF(DATOS_[[AGRUP. CLAS. PROF.]:[AGRUP. CLAS. PROF.]]=$B33,IF(DATOS_[[Check Periodo Ref.]:[Check Periodo Ref.]]="Dentro",IF(DATOS_[[Check Equiparado]:[Check Equiparado]]="Sí",IF(DATOS!AP$5="Sí",(1/DATOS_[[% anualiz]:[% anualiz]]),1)*IF(DATOS!AP$4="Sí",1/DATOS_[[% normaliz]:[% normaliz]],1)*(DATOS_[Conc.Sal.12])))))))),
0)</f>
        <v>0</v>
      </c>
      <c r="V34" s="196">
        <f t="array" ref="V34">IFERROR(
(MEDIAN((IF(DATOS_[[Sexo]:[Sexo]]=$B34,IF(DATOS_[[AGRUP. CLAS. PROF.]:[AGRUP. CLAS. PROF.]]=$B33,IF(DATOS_[[Check Periodo Ref.]:[Check Periodo Ref.]]="Dentro",IF(DATOS_[[Check Equiparado]:[Check Equiparado]]="Sí",IF(DATOS!AQ$5="Sí",(1/DATOS_[[% anualiz]:[% anualiz]]),1)*IF(DATOS!AQ$4="Sí",1/DATOS_[[% normaliz]:[% normaliz]],1)*(DATOS_[Conc.Sal.13])))))))),
0)</f>
        <v>0</v>
      </c>
      <c r="W34" s="196">
        <f t="array" ref="W34">IFERROR(
(MEDIAN((IF(DATOS_[[Sexo]:[Sexo]]=$B34,IF(DATOS_[[AGRUP. CLAS. PROF.]:[AGRUP. CLAS. PROF.]]=$B33,IF(DATOS_[[Check Periodo Ref.]:[Check Periodo Ref.]]="Dentro",IF(DATOS_[[Check Equiparado]:[Check Equiparado]]="Sí",IF(DATOS!AR$5="Sí",(1/DATOS_[[% anualiz]:[% anualiz]]),1)*IF(DATOS!AR$4="Sí",1/DATOS_[[% normaliz]:[% normaliz]],1)*(DATOS_[Conc.Sal.14])))))))),
0)</f>
        <v>0</v>
      </c>
      <c r="X34" s="196">
        <f t="array" ref="X34">IFERROR(
(MEDIAN((IF(DATOS_[[Sexo]:[Sexo]]=$B34,IF(DATOS_[[AGRUP. CLAS. PROF.]:[AGRUP. CLAS. PROF.]]=$B33,IF(DATOS_[[Check Periodo Ref.]:[Check Periodo Ref.]]="Dentro",IF(DATOS_[[Check Equiparado]:[Check Equiparado]]="Sí",IF(DATOS!AS$5="Sí",(1/DATOS_[[% anualiz]:[% anualiz]]),1)*IF(DATOS!AS$4="Sí",1/DATOS_[[% normaliz]:[% normaliz]],1)*(DATOS_[Conc.Sal.15])))))))),
0)</f>
        <v>0</v>
      </c>
      <c r="Y34" s="196">
        <f t="array" ref="Y34">IFERROR(
(MEDIAN((IF(DATOS_[[Sexo]:[Sexo]]=$B34,IF(DATOS_[[AGRUP. CLAS. PROF.]:[AGRUP. CLAS. PROF.]]=$B33,IF(DATOS_[[Check Periodo Ref.]:[Check Periodo Ref.]]="Dentro",IF(DATOS_[[Check Equiparado]:[Check Equiparado]]="Sí",IF(DATOS!AT$5="Sí",(1/DATOS_[[% anualiz]:[% anualiz]]),1)*IF(DATOS!AT$4="Sí",1/DATOS_[[% normaliz]:[% normaliz]],1)*(DATOS_[Conc.Sal.16])))))))),
0)</f>
        <v>0</v>
      </c>
      <c r="Z34" s="196">
        <f t="array" ref="Z34">IFERROR(
(MEDIAN((IF(DATOS_[[Sexo]:[Sexo]]=$B34,IF(DATOS_[[AGRUP. CLAS. PROF.]:[AGRUP. CLAS. PROF.]]=$B33,IF(DATOS_[[Check Periodo Ref.]:[Check Periodo Ref.]]="Dentro",IF(DATOS_[[Check Equiparado]:[Check Equiparado]]="Sí",IF(DATOS!AU$5="Sí",(1/DATOS_[[% anualiz]:[% anualiz]]),1)*IF(DATOS!AU$4="Sí",1/DATOS_[[% normaliz]:[% normaliz]],1)*(DATOS_[Conc.Sal.17])))))))),
0)</f>
        <v>0</v>
      </c>
      <c r="AA34" s="196">
        <f t="array" ref="AA34">IFERROR(
(MEDIAN((IF(DATOS_[[Sexo]:[Sexo]]=$B34,IF(DATOS_[[AGRUP. CLAS. PROF.]:[AGRUP. CLAS. PROF.]]=$B33,IF(DATOS_[[Check Periodo Ref.]:[Check Periodo Ref.]]="Dentro",IF(DATOS_[[Check Equiparado]:[Check Equiparado]]="Sí",IF(DATOS!AV$5="Sí",(1/DATOS_[[% anualiz]:[% anualiz]]),1)*IF(DATOS!AV$4="Sí",1/DATOS_[[% normaliz]:[% normaliz]],1)*(DATOS_[Conc.Sal.18])))))))),
0)</f>
        <v>0</v>
      </c>
      <c r="AB34" s="196">
        <f t="array" ref="AB34">IFERROR(
(MEDIAN((IF(DATOS_[[Sexo]:[Sexo]]=$B34,IF(DATOS_[[AGRUP. CLAS. PROF.]:[AGRUP. CLAS. PROF.]]=$B33,IF(DATOS_[[Check Periodo Ref.]:[Check Periodo Ref.]]="Dentro",IF(DATOS_[[Check Equiparado]:[Check Equiparado]]="Sí",IF(DATOS!AW$5="Sí",(1/DATOS_[[% anualiz]:[% anualiz]]),1)*IF(DATOS!AW$4="Sí",1/DATOS_[[% normaliz]:[% normaliz]],1)*(DATOS_[Conc.Sal.19])))))))),
0)</f>
        <v>0</v>
      </c>
      <c r="AC34" s="196">
        <f t="array" ref="AC34">IFERROR(
(MEDIAN((IF(DATOS_[[Sexo]:[Sexo]]=$B34,IF(DATOS_[[AGRUP. CLAS. PROF.]:[AGRUP. CLAS. PROF.]]=$B33,IF(DATOS_[[Check Periodo Ref.]:[Check Periodo Ref.]]="Dentro",IF(DATOS_[[Check Equiparado]:[Check Equiparado]]="Sí",IF(DATOS!AX$5="Sí",(1/DATOS_[[% anualiz]:[% anualiz]]),1)*IF(DATOS!AX$4="Sí",1/DATOS_[[% normaliz]:[% normaliz]],1)*(DATOS_[Conc.Sal.20])))))))),
0)</f>
        <v>0</v>
      </c>
      <c r="AD34" s="196">
        <f t="array" ref="AD34">IFERROR(
(MEDIAN((IF(DATOS_[[Sexo]:[Sexo]]=$B34,IF(DATOS_[[AGRUP. CLAS. PROF.]:[AGRUP. CLAS. PROF.]]=$B33,IF(DATOS_[[Check Periodo Ref.]:[Check Periodo Ref.]]="Dentro",IF(DATOS_[[Check Equiparado]:[Check Equiparado]]="Sí",IF(DATOS!AY$5="Sí",(1/DATOS_[[% anualiz]:[% anualiz]]),1)*IF(DATOS!AY$4="Sí",1/DATOS_[[% normaliz]:[% normaliz]],1)*(DATOS_[Conc.Sal.21])))))))),
0)</f>
        <v>0</v>
      </c>
      <c r="AE34" s="196">
        <f t="array" ref="AE34">IFERROR(
(MEDIAN((IF(DATOS_[[Sexo]:[Sexo]]=$B34,IF(DATOS_[[AGRUP. CLAS. PROF.]:[AGRUP. CLAS. PROF.]]=$B33,IF(DATOS_[[Check Periodo Ref.]:[Check Periodo Ref.]]="Dentro",IF(DATOS_[[Check Equiparado]:[Check Equiparado]]="Sí",IF(DATOS!AZ$5="Sí",(1/DATOS_[[% anualiz]:[% anualiz]]),1)*IF(DATOS!AZ$4="Sí",1/DATOS_[[% normaliz]:[% normaliz]],1)*(DATOS_[Conc.Sal.22])))))))),
0)</f>
        <v>0</v>
      </c>
      <c r="AF34" s="196">
        <f t="array" ref="AF34">IFERROR(
(MEDIAN((IF(DATOS_[[Sexo]:[Sexo]]=$B34,IF(DATOS_[[AGRUP. CLAS. PROF.]:[AGRUP. CLAS. PROF.]]=$B33,IF(DATOS_[[Check Periodo Ref.]:[Check Periodo Ref.]]="Dentro",IF(DATOS_[[Check Equiparado]:[Check Equiparado]]="Sí",IF(DATOS!BA$5="Sí",(1/DATOS_[[% anualiz]:[% anualiz]]),1)*IF(DATOS!BA$4="Sí",1/DATOS_[[% normaliz]:[% normaliz]],1)*(DATOS_[Conc.Sal.23])))))))),
0)</f>
        <v>0</v>
      </c>
      <c r="AG34" s="196">
        <f t="array" ref="AG34">IFERROR(
(MEDIAN((IF(DATOS_[[Sexo]:[Sexo]]=$B34,IF(DATOS_[[AGRUP. CLAS. PROF.]:[AGRUP. CLAS. PROF.]]=$B33,IF(DATOS_[[Check Periodo Ref.]:[Check Periodo Ref.]]="Dentro",IF(DATOS_[[Check Equiparado]:[Check Equiparado]]="Sí",IF(DATOS!BB$5="Sí",(1/DATOS_[[% anualiz]:[% anualiz]]),1)*IF(DATOS!BB$4="Sí",1/DATOS_[[% normaliz]:[% normaliz]],1)*(DATOS_[Conc.Sal.24])))))))),
0)</f>
        <v>0</v>
      </c>
      <c r="AH34" s="196">
        <f t="array" ref="AH34">IFERROR(
(MEDIAN((IF(DATOS_[[Sexo]:[Sexo]]=$B34,IF(DATOS_[[AGRUP. CLAS. PROF.]:[AGRUP. CLAS. PROF.]]=$B33,IF(DATOS_[[Check Periodo Ref.]:[Check Periodo Ref.]]="Dentro",IF(DATOS_[[Check Equiparado]:[Check Equiparado]]="Sí",IF(DATOS!BC$5="Sí",(1/DATOS_[[% anualiz]:[% anualiz]]),1)*IF(DATOS!BC$4="Sí",1/DATOS_[[% normaliz]:[% normaliz]],1)*(DATOS_[Conc.Sal.25])))))))),
0)</f>
        <v>0</v>
      </c>
      <c r="AI34" s="196">
        <f t="array" ref="AI34">IFERROR(
(MEDIAN((IF(DATOS_[[Sexo]:[Sexo]]=$B34,IF(DATOS_[[AGRUP. CLAS. PROF.]:[AGRUP. CLAS. PROF.]]=$B33,IF(DATOS_[[Check Periodo Ref.]:[Check Periodo Ref.]]="Dentro",IF(DATOS_[[Check Equiparado]:[Check Equiparado]]="Sí",IF(DATOS!BD$5="Sí",(1/DATOS_[[% anualiz]:[% anualiz]]),1)*IF(DATOS!BD$4="Sí",1/DATOS_[[% normaliz]:[% normaliz]],1)*(DATOS_[Conc.Sal.26])))))))),
0)</f>
        <v>0</v>
      </c>
      <c r="AJ34" s="196">
        <f t="array" ref="AJ34">IFERROR(
(MEDIAN((IF(DATOS_[[Sexo]:[Sexo]]=$B34,IF(DATOS_[[AGRUP. CLAS. PROF.]:[AGRUP. CLAS. PROF.]]=$B33,IF(DATOS_[[Check Periodo Ref.]:[Check Periodo Ref.]]="Dentro",IF(DATOS_[[Check Equiparado]:[Check Equiparado]]="Sí",IF(DATOS!BE$5="Sí",(1/DATOS_[[% anualiz]:[% anualiz]]),1)*IF(DATOS!BE$4="Sí",1/DATOS_[[% normaliz]:[% normaliz]],1)*(DATOS_[Conc.Sal.27])))))))),
0)</f>
        <v>0</v>
      </c>
      <c r="AK34" s="196">
        <f t="array" ref="AK34">IFERROR(
(MEDIAN((IF(DATOS_[[Sexo]:[Sexo]]=$B34,IF(DATOS_[[AGRUP. CLAS. PROF.]:[AGRUP. CLAS. PROF.]]=$B33,IF(DATOS_[[Check Periodo Ref.]:[Check Periodo Ref.]]="Dentro",IF(DATOS_[[Check Equiparado]:[Check Equiparado]]="Sí",IF(DATOS!BF$5="Sí",(1/DATOS_[[% anualiz]:[% anualiz]]),1)*IF(DATOS!BF$4="Sí",1/DATOS_[[% normaliz]:[% normaliz]],1)*(DATOS_[Conc.Sal.28])))))))),
0)</f>
        <v>0</v>
      </c>
      <c r="AL34" s="196">
        <f t="array" ref="AL34">IFERROR(
(MEDIAN((IF(DATOS_[[Sexo]:[Sexo]]=$B34,IF(DATOS_[[AGRUP. CLAS. PROF.]:[AGRUP. CLAS. PROF.]]=$B33,IF(DATOS_[[Check Periodo Ref.]:[Check Periodo Ref.]]="Dentro",IF(DATOS_[[Check Equiparado]:[Check Equiparado]]="Sí",IF(DATOS!BG$5="Sí",(1/DATOS_[[% anualiz]:[% anualiz]]),1)*IF(DATOS!BG$4="Sí",1/DATOS_[[% normaliz]:[% normaliz]],1)*(DATOS_[Conc.Sal.29])))))))),
0)</f>
        <v>0</v>
      </c>
      <c r="AM34" s="196">
        <f t="array" ref="AM34">IFERROR(
(MEDIAN((IF(DATOS_[[Sexo]:[Sexo]]=$B34,IF(DATOS_[[AGRUP. CLAS. PROF.]:[AGRUP. CLAS. PROF.]]=$B33,IF(DATOS_[[Check Periodo Ref.]:[Check Periodo Ref.]]="Dentro",IF(DATOS_[[Check Equiparado]:[Check Equiparado]]="Sí",IF(DATOS!BH$5="Sí",(1/DATOS_[[% anualiz]:[% anualiz]]),1)*IF(DATOS!BH$4="Sí",1/DATOS_[[% normaliz]:[% normaliz]],1)*(DATOS_[Conc.Sal.30])))))))),
0)</f>
        <v>0</v>
      </c>
      <c r="AN34" s="195">
        <f t="array" ref="AN34">IFERROR(
MEDIAN(IF(DATOS_[Sexo]=$B34,IF(DATOS_[[AGRUP. CLAS. PROF.]:[AGRUP. CLAS. PROF.]]=$B33,IF(DATOS_[Check Equiparado]="Sí",IF(DATOS_[Check Periodo Ref.]="Dentro",DATOS_[Tot COMPL.SAL Eq],FALSE))))),
0)</f>
        <v>0</v>
      </c>
      <c r="AO34" s="172">
        <f t="array" ref="AO34">IFERROR(
MEDIAN(IF(DATOS_[Sexo]=$B34,IF(DATOS_[[AGRUP. CLAS. PROF.]:[AGRUP. CLAS. PROF.]]=$B33,IF(DATOS_[Check Equiparado]="Sí",IF(DATOS_[Check Periodo Ref.]="Dentro",DATOS_[TOTAL SALARIO Eq],FALSE))))),
0)</f>
        <v>0</v>
      </c>
      <c r="AP34" s="173">
        <f t="array" ref="AP34">IFERROR(
(MEDIAN((IF(DATOS_[[Sexo]:[Sexo]]=$B34,IF(DATOS_[[AGRUP. CLAS. PROF.]:[AGRUP. CLAS. PROF.]]=$B33,IF(DATOS_[[Check Periodo Ref.]:[Check Periodo Ref.]]="Dentro",IF(DATOS_[[Check Equiparado]:[Check Equiparado]]="Sí",IF(DATOS!BW$5="Sí",(1/DATOS_[[% anualiz]:[% anualiz]]),1)*IF(DATOS!BW$4="Sí",1/DATOS_[[% normaliz]:[% normaliz]],1)*(DATOS_[C.Extra.01])))))))),
0)</f>
        <v>0</v>
      </c>
      <c r="AQ34" s="173">
        <f t="array" ref="AQ34">IFERROR(
(MEDIAN((IF(DATOS_[[Sexo]:[Sexo]]=$B34,IF(DATOS_[[AGRUP. CLAS. PROF.]:[AGRUP. CLAS. PROF.]]=$B33,IF(DATOS_[[Check Periodo Ref.]:[Check Periodo Ref.]]="Dentro",IF(DATOS_[[Check Equiparado]:[Check Equiparado]]="Sí",IF(DATOS!CB$5="Sí",(1/DATOS_[[% anualiz]:[% anualiz]]),1)*IF(DATOS!CB$4="Sí",1/DATOS_[[% normaliz]:[% normaliz]],1)*(DATOS_[C.Extra.06])))))))),
0)</f>
        <v>0</v>
      </c>
      <c r="AR34" s="173">
        <f t="array" ref="AR34">IFERROR(
(MEDIAN((IF(DATOS_[[Sexo]:[Sexo]]=$B34,IF(DATOS_[[AGRUP. CLAS. PROF.]:[AGRUP. CLAS. PROF.]]=$B33,IF(DATOS_[[Check Periodo Ref.]:[Check Periodo Ref.]]="Dentro",IF(DATOS_[[Check Equiparado]:[Check Equiparado]]="Sí",IF(DATOS!CC$5="Sí",(1/DATOS_[[% anualiz]:[% anualiz]]),1)*IF(DATOS!CC$4="Sí",1/DATOS_[[% normaliz]:[% normaliz]],1)*(DATOS_[C.Extra.07])))))))),
0)</f>
        <v>0</v>
      </c>
      <c r="AS34" s="173">
        <f t="array" ref="AS34">IFERROR(
(MEDIAN((IF(DATOS_[[Sexo]:[Sexo]]=$B34,IF(DATOS_[[AGRUP. CLAS. PROF.]:[AGRUP. CLAS. PROF.]]=$B33,IF(DATOS_[[Check Periodo Ref.]:[Check Periodo Ref.]]="Dentro",IF(DATOS_[[Check Equiparado]:[Check Equiparado]]="Sí",IF(DATOS!CD$5="Sí",(1/DATOS_[[% anualiz]:[% anualiz]]),1)*IF(DATOS!CD$4="Sí",1/DATOS_[[% normaliz]:[% normaliz]],1)*(DATOS_[C.Extra.08])))))))),
0)</f>
        <v>0</v>
      </c>
      <c r="AT34" s="173">
        <f t="array" ref="AT34">IFERROR(
(MEDIAN((IF(DATOS_[[Sexo]:[Sexo]]=$B34,IF(DATOS_[[AGRUP. CLAS. PROF.]:[AGRUP. CLAS. PROF.]]=$B33,IF(DATOS_[[Check Periodo Ref.]:[Check Periodo Ref.]]="Dentro",IF(DATOS_[[Check Equiparado]:[Check Equiparado]]="Sí",IF(DATOS!CG$5="Sí",(1/DATOS_[[% anualiz]:[% anualiz]]),1)*IF(DATOS!CG$4="Sí",1/DATOS_[[% normaliz]:[% normaliz]],1)*(DATOS_[C.Extra.11])))))))),
0)</f>
        <v>0</v>
      </c>
      <c r="AU34" s="197">
        <f t="array" ref="AU34">IFERROR(
MEDIAN(IF(DATOS_[Sexo]=$B34,IF(DATOS_[[AGRUP. CLAS. PROF.]:[AGRUP. CLAS. PROF.]]=$B33,IF(DATOS_[Check Equiparado]="Sí",IF(DATOS_[Check Periodo Ref.]="Dentro",DATOS_[Tot Extrasalarial Eq],FALSE))))),
0)</f>
        <v>0</v>
      </c>
      <c r="AV34" s="175">
        <f t="array" ref="AV34">IFERROR(
MEDIAN(IF(DATOS_[Sexo]=$B34,IF(DATOS_[[AGRUP. CLAS. PROF.]:[AGRUP. CLAS. PROF.]]=$B33,IF(DATOS_[Check Equiparado]="Sí",IF(DATOS_[Check Periodo Ref.]="Dentro",DATOS_[TOTAL Retrib Eq],FALSE))))),
0)</f>
        <v>0</v>
      </c>
    </row>
    <row r="35" spans="1:48" hidden="1" x14ac:dyDescent="0.25">
      <c r="A35" s="133" t="str">
        <f t="shared" ref="A35" si="30">+A34</f>
        <v>[ocultar]</v>
      </c>
      <c r="B35" s="202" t="s">
        <v>521</v>
      </c>
      <c r="C35" s="203">
        <f t="array" ref="C35">SUM(IF($B35=DATOS_[Sexo],
IF($B33=DATOS_[AGRUP. CLAS. PROF.],
IF("Dentro"=DATOS_[Check Periodo Ref.],
1/(COUNTIFS(DATOS_[Sexo],$B35,DATOS_[AGRUP. CLAS. PROF.],$B33,DATOS_[Check Periodo Ref.],"Dentro",DATOS_[id/cod],DATOS_[id/cod]))))))</f>
        <v>0</v>
      </c>
      <c r="D35" s="204">
        <f>COUNTIFS(DATOS_[AGRUP. CLAS. PROF.],$B33,DATOS_[Sexo],$B35,DATOS_[Check Periodo Ref.],"Dentro")</f>
        <v>0</v>
      </c>
      <c r="E35" s="204">
        <f>COUNTIFS(DATOS_[AGRUP. CLAS. PROF.],$B33,DATOS_[Sexo],$B35,DATOS_[Check Periodo Ref.],"Dentro",DATOS_[Check Nº SC Norm],"Sí")</f>
        <v>0</v>
      </c>
      <c r="F35" s="204">
        <f>COUNTIFS(DATOS_[AGRUP. CLAS. PROF.],$B33,DATOS_[Sexo],$B35,DATOS_[Check Periodo Ref.],"Dentro",DATOS_[Check Nº SC Anualiz],"Sí")</f>
        <v>0</v>
      </c>
      <c r="G35" s="204">
        <f>COUNTIFS(DATOS_[AGRUP. CLAS. PROF.],$B33,DATOS_[Sexo],$B35,DATOS_[Check Periodo Ref.],"Dentro",DATOS_[Check Nº SC Norm y Anualiz],"Sí")</f>
        <v>0</v>
      </c>
      <c r="H35" s="204">
        <f>COUNTIFS(DATOS_[AGRUP. CLAS. PROF.],$B33,DATOS_[Sexo],$B35,DATOS_[Check Periodo Ref.],"Dentro",DATOS_[Check Equiparación],"Sí")</f>
        <v>0</v>
      </c>
      <c r="I35" s="195" cm="1">
        <f t="array" ref="I35">IFERROR(
MEDIAN(IF(DATOS_[Sexo]=$B35,IF(DATOS_[[AGRUP. CLAS. PROF.]:[AGRUP. CLAS. PROF.]]=$B33,IF(DATOS_[Check Equiparado]="Sí",IF(DATOS_[Check Periodo Ref.]="Dentro",DATOS_[SALARIO BASE Eq],FALSE))))),
0)</f>
        <v>0</v>
      </c>
      <c r="J35" s="196">
        <f t="array" ref="J35">IFERROR(
(MEDIAN((IF(DATOS_[[Sexo]:[Sexo]]=$B35,IF(DATOS_[[AGRUP. CLAS. PROF.]:[AGRUP. CLAS. PROF.]]=$B33,IF(DATOS_[[Check Periodo Ref.]:[Check Periodo Ref.]]="Dentro",IF(DATOS_[[Check Equiparado]:[Check Equiparado]]="Sí",IF(DATOS!AE$5="Sí",(1/DATOS_[[% anualiz]:[% anualiz]]),1)*IF(DATOS!AE$4="Sí",1/DATOS_[[% normaliz]:[% normaliz]],1)*(DATOS_[Conc.Sal.01])))))))),
0)</f>
        <v>0</v>
      </c>
      <c r="K35" s="196">
        <f t="array" ref="K35">IFERROR(
(MEDIAN((IF(DATOS_[[Sexo]:[Sexo]]=$B35,IF(DATOS_[[AGRUP. CLAS. PROF.]:[AGRUP. CLAS. PROF.]]=$B33,IF(DATOS_[[Check Periodo Ref.]:[Check Periodo Ref.]]="Dentro",IF(DATOS_[[Check Equiparado]:[Check Equiparado]]="Sí",IF(DATOS!AF$5="Sí",(1/DATOS_[[% anualiz]:[% anualiz]]),1)*IF(DATOS!AF$4="Sí",1/DATOS_[[% normaliz]:[% normaliz]],1)*(DATOS_[Conc.Sal.02])))))))),
0)</f>
        <v>0</v>
      </c>
      <c r="L35" s="196">
        <f t="array" ref="L35">IFERROR(
(MEDIAN((IF(DATOS_[[Sexo]:[Sexo]]=$B35,IF(DATOS_[[AGRUP. CLAS. PROF.]:[AGRUP. CLAS. PROF.]]=$B33,IF(DATOS_[[Check Periodo Ref.]:[Check Periodo Ref.]]="Dentro",IF(DATOS_[[Check Equiparado]:[Check Equiparado]]="Sí",IF(DATOS!AG$5="Sí",(1/DATOS_[[% anualiz]:[% anualiz]]),1)*IF(DATOS!AG$4="Sí",1/DATOS_[[% normaliz]:[% normaliz]],1)*(DATOS_[Conc.Sal.03])))))))),
0)</f>
        <v>0</v>
      </c>
      <c r="M35" s="196">
        <f t="array" ref="M35">IFERROR(
(MEDIAN((IF(DATOS_[[Sexo]:[Sexo]]=$B35,IF(DATOS_[[AGRUP. CLAS. PROF.]:[AGRUP. CLAS. PROF.]]=$B33,IF(DATOS_[[Check Periodo Ref.]:[Check Periodo Ref.]]="Dentro",IF(DATOS_[[Check Equiparado]:[Check Equiparado]]="Sí",IF(DATOS!AH$5="Sí",(1/DATOS_[[% anualiz]:[% anualiz]]),1)*IF(DATOS!AH$4="Sí",1/DATOS_[[% normaliz]:[% normaliz]],1)*(DATOS_[Conc.Sal.04])))))))),
0)</f>
        <v>0</v>
      </c>
      <c r="N35" s="196">
        <f t="array" ref="N35">IFERROR(
(MEDIAN((IF(DATOS_[[Sexo]:[Sexo]]=$B35,IF(DATOS_[[AGRUP. CLAS. PROF.]:[AGRUP. CLAS. PROF.]]=$B33,IF(DATOS_[[Check Periodo Ref.]:[Check Periodo Ref.]]="Dentro",IF(DATOS_[[Check Equiparado]:[Check Equiparado]]="Sí",IF(DATOS!AI$5="Sí",(1/DATOS_[[% anualiz]:[% anualiz]]),1)*IF(DATOS!AI$4="Sí",1/DATOS_[[% normaliz]:[% normaliz]],1)*(DATOS_[Conc.Sal.05])))))))),
0)</f>
        <v>0</v>
      </c>
      <c r="O35" s="196">
        <f t="array" ref="O35">IFERROR(
(MEDIAN((IF(DATOS_[[Sexo]:[Sexo]]=$B35,IF(DATOS_[[AGRUP. CLAS. PROF.]:[AGRUP. CLAS. PROF.]]=$B33,IF(DATOS_[[Check Periodo Ref.]:[Check Periodo Ref.]]="Dentro",IF(DATOS_[[Check Equiparado]:[Check Equiparado]]="Sí",IF(DATOS!AJ$5="Sí",(1/DATOS_[[% anualiz]:[% anualiz]]),1)*IF(DATOS!AJ$4="Sí",1/DATOS_[[% normaliz]:[% normaliz]],1)*(DATOS_[Conc.Sal.06])))))))),
0)</f>
        <v>0</v>
      </c>
      <c r="P35" s="196">
        <f t="array" ref="P35">IFERROR(
(MEDIAN((IF(DATOS_[[Sexo]:[Sexo]]=$B35,IF(DATOS_[[AGRUP. CLAS. PROF.]:[AGRUP. CLAS. PROF.]]=$B33,IF(DATOS_[[Check Periodo Ref.]:[Check Periodo Ref.]]="Dentro",IF(DATOS_[[Check Equiparado]:[Check Equiparado]]="Sí",IF(DATOS!AK$5="Sí",(1/DATOS_[[% anualiz]:[% anualiz]]),1)*IF(DATOS!AK$4="Sí",1/DATOS_[[% normaliz]:[% normaliz]],1)*(DATOS_[Conc.Sal.07])))))))),
0)</f>
        <v>0</v>
      </c>
      <c r="Q35" s="196">
        <f t="array" ref="Q35">IFERROR(
(MEDIAN((IF(DATOS_[[Sexo]:[Sexo]]=$B35,IF(DATOS_[[AGRUP. CLAS. PROF.]:[AGRUP. CLAS. PROF.]]=$B33,IF(DATOS_[[Check Periodo Ref.]:[Check Periodo Ref.]]="Dentro",IF(DATOS_[[Check Equiparado]:[Check Equiparado]]="Sí",IF(DATOS!AL$5="Sí",(1/DATOS_[[% anualiz]:[% anualiz]]),1)*IF(DATOS!AL$4="Sí",1/DATOS_[[% normaliz]:[% normaliz]],1)*(DATOS_[Conc.Sal.08])))))))),
0)</f>
        <v>0</v>
      </c>
      <c r="R35" s="196">
        <f t="array" ref="R35">IFERROR(
(MEDIAN((IF(DATOS_[[Sexo]:[Sexo]]=$B35,IF(DATOS_[[AGRUP. CLAS. PROF.]:[AGRUP. CLAS. PROF.]]=$B33,IF(DATOS_[[Check Periodo Ref.]:[Check Periodo Ref.]]="Dentro",IF(DATOS_[[Check Equiparado]:[Check Equiparado]]="Sí",IF(DATOS!AM$5="Sí",(1/DATOS_[[% anualiz]:[% anualiz]]),1)*IF(DATOS!AM$4="Sí",1/DATOS_[[% normaliz]:[% normaliz]],1)*(DATOS_[Conc.Sal.09])))))))),
0)</f>
        <v>0</v>
      </c>
      <c r="S35" s="196">
        <f t="array" ref="S35">IFERROR(
(MEDIAN((IF(DATOS_[[Sexo]:[Sexo]]=$B35,IF(DATOS_[[AGRUP. CLAS. PROF.]:[AGRUP. CLAS. PROF.]]=$B33,IF(DATOS_[[Check Periodo Ref.]:[Check Periodo Ref.]]="Dentro",IF(DATOS_[[Check Equiparado]:[Check Equiparado]]="Sí",IF(DATOS!AN$5="Sí",(1/DATOS_[[% anualiz]:[% anualiz]]),1)*IF(DATOS!AN$4="Sí",1/DATOS_[[% normaliz]:[% normaliz]],1)*(DATOS_[Conc.Sal.10])))))))),
0)</f>
        <v>0</v>
      </c>
      <c r="T35" s="196">
        <f t="array" ref="T35">IFERROR(
(MEDIAN((IF(DATOS_[[Sexo]:[Sexo]]=$B35,IF(DATOS_[[AGRUP. CLAS. PROF.]:[AGRUP. CLAS. PROF.]]=$B33,IF(DATOS_[[Check Periodo Ref.]:[Check Periodo Ref.]]="Dentro",IF(DATOS_[[Check Equiparado]:[Check Equiparado]]="Sí",IF(DATOS!AO$5="Sí",(1/DATOS_[[% anualiz]:[% anualiz]]),1)*IF(DATOS!AO$4="Sí",1/DATOS_[[% normaliz]:[% normaliz]],1)*(DATOS_[Conc.Sal.11])))))))),
0)</f>
        <v>0</v>
      </c>
      <c r="U35" s="196">
        <f t="array" ref="U35">IFERROR(
(MEDIAN((IF(DATOS_[[Sexo]:[Sexo]]=$B35,IF(DATOS_[[AGRUP. CLAS. PROF.]:[AGRUP. CLAS. PROF.]]=$B33,IF(DATOS_[[Check Periodo Ref.]:[Check Periodo Ref.]]="Dentro",IF(DATOS_[[Check Equiparado]:[Check Equiparado]]="Sí",IF(DATOS!AP$5="Sí",(1/DATOS_[[% anualiz]:[% anualiz]]),1)*IF(DATOS!AP$4="Sí",1/DATOS_[[% normaliz]:[% normaliz]],1)*(DATOS_[Conc.Sal.12])))))))),
0)</f>
        <v>0</v>
      </c>
      <c r="V35" s="196">
        <f t="array" ref="V35">IFERROR(
(MEDIAN((IF(DATOS_[[Sexo]:[Sexo]]=$B35,IF(DATOS_[[AGRUP. CLAS. PROF.]:[AGRUP. CLAS. PROF.]]=$B33,IF(DATOS_[[Check Periodo Ref.]:[Check Periodo Ref.]]="Dentro",IF(DATOS_[[Check Equiparado]:[Check Equiparado]]="Sí",IF(DATOS!AQ$5="Sí",(1/DATOS_[[% anualiz]:[% anualiz]]),1)*IF(DATOS!AQ$4="Sí",1/DATOS_[[% normaliz]:[% normaliz]],1)*(DATOS_[Conc.Sal.13])))))))),
0)</f>
        <v>0</v>
      </c>
      <c r="W35" s="196">
        <f t="array" ref="W35">IFERROR(
(MEDIAN((IF(DATOS_[[Sexo]:[Sexo]]=$B35,IF(DATOS_[[AGRUP. CLAS. PROF.]:[AGRUP. CLAS. PROF.]]=$B33,IF(DATOS_[[Check Periodo Ref.]:[Check Periodo Ref.]]="Dentro",IF(DATOS_[[Check Equiparado]:[Check Equiparado]]="Sí",IF(DATOS!AR$5="Sí",(1/DATOS_[[% anualiz]:[% anualiz]]),1)*IF(DATOS!AR$4="Sí",1/DATOS_[[% normaliz]:[% normaliz]],1)*(DATOS_[Conc.Sal.14])))))))),
0)</f>
        <v>0</v>
      </c>
      <c r="X35" s="196">
        <f t="array" ref="X35">IFERROR(
(MEDIAN((IF(DATOS_[[Sexo]:[Sexo]]=$B35,IF(DATOS_[[AGRUP. CLAS. PROF.]:[AGRUP. CLAS. PROF.]]=$B33,IF(DATOS_[[Check Periodo Ref.]:[Check Periodo Ref.]]="Dentro",IF(DATOS_[[Check Equiparado]:[Check Equiparado]]="Sí",IF(DATOS!AS$5="Sí",(1/DATOS_[[% anualiz]:[% anualiz]]),1)*IF(DATOS!AS$4="Sí",1/DATOS_[[% normaliz]:[% normaliz]],1)*(DATOS_[Conc.Sal.15])))))))),
0)</f>
        <v>0</v>
      </c>
      <c r="Y35" s="196">
        <f t="array" ref="Y35">IFERROR(
(MEDIAN((IF(DATOS_[[Sexo]:[Sexo]]=$B35,IF(DATOS_[[AGRUP. CLAS. PROF.]:[AGRUP. CLAS. PROF.]]=$B33,IF(DATOS_[[Check Periodo Ref.]:[Check Periodo Ref.]]="Dentro",IF(DATOS_[[Check Equiparado]:[Check Equiparado]]="Sí",IF(DATOS!AT$5="Sí",(1/DATOS_[[% anualiz]:[% anualiz]]),1)*IF(DATOS!AT$4="Sí",1/DATOS_[[% normaliz]:[% normaliz]],1)*(DATOS_[Conc.Sal.16])))))))),
0)</f>
        <v>0</v>
      </c>
      <c r="Z35" s="196">
        <f t="array" ref="Z35">IFERROR(
(MEDIAN((IF(DATOS_[[Sexo]:[Sexo]]=$B35,IF(DATOS_[[AGRUP. CLAS. PROF.]:[AGRUP. CLAS. PROF.]]=$B33,IF(DATOS_[[Check Periodo Ref.]:[Check Periodo Ref.]]="Dentro",IF(DATOS_[[Check Equiparado]:[Check Equiparado]]="Sí",IF(DATOS!AU$5="Sí",(1/DATOS_[[% anualiz]:[% anualiz]]),1)*IF(DATOS!AU$4="Sí",1/DATOS_[[% normaliz]:[% normaliz]],1)*(DATOS_[Conc.Sal.17])))))))),
0)</f>
        <v>0</v>
      </c>
      <c r="AA35" s="196">
        <f t="array" ref="AA35">IFERROR(
(MEDIAN((IF(DATOS_[[Sexo]:[Sexo]]=$B35,IF(DATOS_[[AGRUP. CLAS. PROF.]:[AGRUP. CLAS. PROF.]]=$B33,IF(DATOS_[[Check Periodo Ref.]:[Check Periodo Ref.]]="Dentro",IF(DATOS_[[Check Equiparado]:[Check Equiparado]]="Sí",IF(DATOS!AV$5="Sí",(1/DATOS_[[% anualiz]:[% anualiz]]),1)*IF(DATOS!AV$4="Sí",1/DATOS_[[% normaliz]:[% normaliz]],1)*(DATOS_[Conc.Sal.18])))))))),
0)</f>
        <v>0</v>
      </c>
      <c r="AB35" s="196">
        <f t="array" ref="AB35">IFERROR(
(MEDIAN((IF(DATOS_[[Sexo]:[Sexo]]=$B35,IF(DATOS_[[AGRUP. CLAS. PROF.]:[AGRUP. CLAS. PROF.]]=$B33,IF(DATOS_[[Check Periodo Ref.]:[Check Periodo Ref.]]="Dentro",IF(DATOS_[[Check Equiparado]:[Check Equiparado]]="Sí",IF(DATOS!AW$5="Sí",(1/DATOS_[[% anualiz]:[% anualiz]]),1)*IF(DATOS!AW$4="Sí",1/DATOS_[[% normaliz]:[% normaliz]],1)*(DATOS_[Conc.Sal.19])))))))),
0)</f>
        <v>0</v>
      </c>
      <c r="AC35" s="196">
        <f t="array" ref="AC35">IFERROR(
(MEDIAN((IF(DATOS_[[Sexo]:[Sexo]]=$B35,IF(DATOS_[[AGRUP. CLAS. PROF.]:[AGRUP. CLAS. PROF.]]=$B33,IF(DATOS_[[Check Periodo Ref.]:[Check Periodo Ref.]]="Dentro",IF(DATOS_[[Check Equiparado]:[Check Equiparado]]="Sí",IF(DATOS!AX$5="Sí",(1/DATOS_[[% anualiz]:[% anualiz]]),1)*IF(DATOS!AX$4="Sí",1/DATOS_[[% normaliz]:[% normaliz]],1)*(DATOS_[Conc.Sal.20])))))))),
0)</f>
        <v>0</v>
      </c>
      <c r="AD35" s="196">
        <f t="array" ref="AD35">IFERROR(
(MEDIAN((IF(DATOS_[[Sexo]:[Sexo]]=$B35,IF(DATOS_[[AGRUP. CLAS. PROF.]:[AGRUP. CLAS. PROF.]]=$B33,IF(DATOS_[[Check Periodo Ref.]:[Check Periodo Ref.]]="Dentro",IF(DATOS_[[Check Equiparado]:[Check Equiparado]]="Sí",IF(DATOS!AY$5="Sí",(1/DATOS_[[% anualiz]:[% anualiz]]),1)*IF(DATOS!AY$4="Sí",1/DATOS_[[% normaliz]:[% normaliz]],1)*(DATOS_[Conc.Sal.21])))))))),
0)</f>
        <v>0</v>
      </c>
      <c r="AE35" s="196">
        <f t="array" ref="AE35">IFERROR(
(MEDIAN((IF(DATOS_[[Sexo]:[Sexo]]=$B35,IF(DATOS_[[AGRUP. CLAS. PROF.]:[AGRUP. CLAS. PROF.]]=$B33,IF(DATOS_[[Check Periodo Ref.]:[Check Periodo Ref.]]="Dentro",IF(DATOS_[[Check Equiparado]:[Check Equiparado]]="Sí",IF(DATOS!AZ$5="Sí",(1/DATOS_[[% anualiz]:[% anualiz]]),1)*IF(DATOS!AZ$4="Sí",1/DATOS_[[% normaliz]:[% normaliz]],1)*(DATOS_[Conc.Sal.22])))))))),
0)</f>
        <v>0</v>
      </c>
      <c r="AF35" s="196">
        <f t="array" ref="AF35">IFERROR(
(MEDIAN((IF(DATOS_[[Sexo]:[Sexo]]=$B35,IF(DATOS_[[AGRUP. CLAS. PROF.]:[AGRUP. CLAS. PROF.]]=$B33,IF(DATOS_[[Check Periodo Ref.]:[Check Periodo Ref.]]="Dentro",IF(DATOS_[[Check Equiparado]:[Check Equiparado]]="Sí",IF(DATOS!BA$5="Sí",(1/DATOS_[[% anualiz]:[% anualiz]]),1)*IF(DATOS!BA$4="Sí",1/DATOS_[[% normaliz]:[% normaliz]],1)*(DATOS_[Conc.Sal.23])))))))),
0)</f>
        <v>0</v>
      </c>
      <c r="AG35" s="196">
        <f t="array" ref="AG35">IFERROR(
(MEDIAN((IF(DATOS_[[Sexo]:[Sexo]]=$B35,IF(DATOS_[[AGRUP. CLAS. PROF.]:[AGRUP. CLAS. PROF.]]=$B33,IF(DATOS_[[Check Periodo Ref.]:[Check Periodo Ref.]]="Dentro",IF(DATOS_[[Check Equiparado]:[Check Equiparado]]="Sí",IF(DATOS!BB$5="Sí",(1/DATOS_[[% anualiz]:[% anualiz]]),1)*IF(DATOS!BB$4="Sí",1/DATOS_[[% normaliz]:[% normaliz]],1)*(DATOS_[Conc.Sal.24])))))))),
0)</f>
        <v>0</v>
      </c>
      <c r="AH35" s="196">
        <f t="array" ref="AH35">IFERROR(
(MEDIAN((IF(DATOS_[[Sexo]:[Sexo]]=$B35,IF(DATOS_[[AGRUP. CLAS. PROF.]:[AGRUP. CLAS. PROF.]]=$B33,IF(DATOS_[[Check Periodo Ref.]:[Check Periodo Ref.]]="Dentro",IF(DATOS_[[Check Equiparado]:[Check Equiparado]]="Sí",IF(DATOS!BC$5="Sí",(1/DATOS_[[% anualiz]:[% anualiz]]),1)*IF(DATOS!BC$4="Sí",1/DATOS_[[% normaliz]:[% normaliz]],1)*(DATOS_[Conc.Sal.25])))))))),
0)</f>
        <v>0</v>
      </c>
      <c r="AI35" s="196">
        <f t="array" ref="AI35">IFERROR(
(MEDIAN((IF(DATOS_[[Sexo]:[Sexo]]=$B35,IF(DATOS_[[AGRUP. CLAS. PROF.]:[AGRUP. CLAS. PROF.]]=$B33,IF(DATOS_[[Check Periodo Ref.]:[Check Periodo Ref.]]="Dentro",IF(DATOS_[[Check Equiparado]:[Check Equiparado]]="Sí",IF(DATOS!BD$5="Sí",(1/DATOS_[[% anualiz]:[% anualiz]]),1)*IF(DATOS!BD$4="Sí",1/DATOS_[[% normaliz]:[% normaliz]],1)*(DATOS_[Conc.Sal.26])))))))),
0)</f>
        <v>0</v>
      </c>
      <c r="AJ35" s="196">
        <f t="array" ref="AJ35">IFERROR(
(MEDIAN((IF(DATOS_[[Sexo]:[Sexo]]=$B35,IF(DATOS_[[AGRUP. CLAS. PROF.]:[AGRUP. CLAS. PROF.]]=$B33,IF(DATOS_[[Check Periodo Ref.]:[Check Periodo Ref.]]="Dentro",IF(DATOS_[[Check Equiparado]:[Check Equiparado]]="Sí",IF(DATOS!BE$5="Sí",(1/DATOS_[[% anualiz]:[% anualiz]]),1)*IF(DATOS!BE$4="Sí",1/DATOS_[[% normaliz]:[% normaliz]],1)*(DATOS_[Conc.Sal.27])))))))),
0)</f>
        <v>0</v>
      </c>
      <c r="AK35" s="196">
        <f t="array" ref="AK35">IFERROR(
(MEDIAN((IF(DATOS_[[Sexo]:[Sexo]]=$B35,IF(DATOS_[[AGRUP. CLAS. PROF.]:[AGRUP. CLAS. PROF.]]=$B33,IF(DATOS_[[Check Periodo Ref.]:[Check Periodo Ref.]]="Dentro",IF(DATOS_[[Check Equiparado]:[Check Equiparado]]="Sí",IF(DATOS!BF$5="Sí",(1/DATOS_[[% anualiz]:[% anualiz]]),1)*IF(DATOS!BF$4="Sí",1/DATOS_[[% normaliz]:[% normaliz]],1)*(DATOS_[Conc.Sal.28])))))))),
0)</f>
        <v>0</v>
      </c>
      <c r="AL35" s="196">
        <f t="array" ref="AL35">IFERROR(
(MEDIAN((IF(DATOS_[[Sexo]:[Sexo]]=$B35,IF(DATOS_[[AGRUP. CLAS. PROF.]:[AGRUP. CLAS. PROF.]]=$B33,IF(DATOS_[[Check Periodo Ref.]:[Check Periodo Ref.]]="Dentro",IF(DATOS_[[Check Equiparado]:[Check Equiparado]]="Sí",IF(DATOS!BG$5="Sí",(1/DATOS_[[% anualiz]:[% anualiz]]),1)*IF(DATOS!BG$4="Sí",1/DATOS_[[% normaliz]:[% normaliz]],1)*(DATOS_[Conc.Sal.29])))))))),
0)</f>
        <v>0</v>
      </c>
      <c r="AM35" s="196">
        <f t="array" ref="AM35">IFERROR(
(MEDIAN((IF(DATOS_[[Sexo]:[Sexo]]=$B35,IF(DATOS_[[AGRUP. CLAS. PROF.]:[AGRUP. CLAS. PROF.]]=$B33,IF(DATOS_[[Check Periodo Ref.]:[Check Periodo Ref.]]="Dentro",IF(DATOS_[[Check Equiparado]:[Check Equiparado]]="Sí",IF(DATOS!BH$5="Sí",(1/DATOS_[[% anualiz]:[% anualiz]]),1)*IF(DATOS!BH$4="Sí",1/DATOS_[[% normaliz]:[% normaliz]],1)*(DATOS_[Conc.Sal.30])))))))),
0)</f>
        <v>0</v>
      </c>
      <c r="AN35" s="195">
        <f t="array" ref="AN35">IFERROR(
MEDIAN(IF(DATOS_[Sexo]=$B35,IF(DATOS_[[AGRUP. CLAS. PROF.]:[AGRUP. CLAS. PROF.]]=$B33,IF(DATOS_[Check Equiparado]="Sí",IF(DATOS_[Check Periodo Ref.]="Dentro",DATOS_[Tot COMPL.SAL Eq],FALSE))))),
0)</f>
        <v>0</v>
      </c>
      <c r="AO35" s="172">
        <f t="array" ref="AO35">IFERROR(
MEDIAN(IF(DATOS_[Sexo]=$B35,IF(DATOS_[[AGRUP. CLAS. PROF.]:[AGRUP. CLAS. PROF.]]=$B33,IF(DATOS_[Check Equiparado]="Sí",IF(DATOS_[Check Periodo Ref.]="Dentro",DATOS_[TOTAL SALARIO Eq],FALSE))))),
0)</f>
        <v>0</v>
      </c>
      <c r="AP35" s="173">
        <f t="array" ref="AP35">IFERROR(
(MEDIAN((IF(DATOS_[[Sexo]:[Sexo]]=$B35,IF(DATOS_[[AGRUP. CLAS. PROF.]:[AGRUP. CLAS. PROF.]]=$B33,IF(DATOS_[[Check Periodo Ref.]:[Check Periodo Ref.]]="Dentro",IF(DATOS_[[Check Equiparado]:[Check Equiparado]]="Sí",IF(DATOS!BW$5="Sí",(1/DATOS_[[% anualiz]:[% anualiz]]),1)*IF(DATOS!BW$4="Sí",1/DATOS_[[% normaliz]:[% normaliz]],1)*(DATOS_[C.Extra.01])))))))),
0)</f>
        <v>0</v>
      </c>
      <c r="AQ35" s="173">
        <f t="array" ref="AQ35">IFERROR(
(MEDIAN((IF(DATOS_[[Sexo]:[Sexo]]=$B35,IF(DATOS_[[AGRUP. CLAS. PROF.]:[AGRUP. CLAS. PROF.]]=$B33,IF(DATOS_[[Check Periodo Ref.]:[Check Periodo Ref.]]="Dentro",IF(DATOS_[[Check Equiparado]:[Check Equiparado]]="Sí",IF(DATOS!CB$5="Sí",(1/DATOS_[[% anualiz]:[% anualiz]]),1)*IF(DATOS!CB$4="Sí",1/DATOS_[[% normaliz]:[% normaliz]],1)*(DATOS_[C.Extra.06])))))))),
0)</f>
        <v>0</v>
      </c>
      <c r="AR35" s="173">
        <f t="array" ref="AR35">IFERROR(
(MEDIAN((IF(DATOS_[[Sexo]:[Sexo]]=$B35,IF(DATOS_[[AGRUP. CLAS. PROF.]:[AGRUP. CLAS. PROF.]]=$B33,IF(DATOS_[[Check Periodo Ref.]:[Check Periodo Ref.]]="Dentro",IF(DATOS_[[Check Equiparado]:[Check Equiparado]]="Sí",IF(DATOS!CC$5="Sí",(1/DATOS_[[% anualiz]:[% anualiz]]),1)*IF(DATOS!CC$4="Sí",1/DATOS_[[% normaliz]:[% normaliz]],1)*(DATOS_[C.Extra.07])))))))),
0)</f>
        <v>0</v>
      </c>
      <c r="AS35" s="173">
        <f t="array" ref="AS35">IFERROR(
(MEDIAN((IF(DATOS_[[Sexo]:[Sexo]]=$B35,IF(DATOS_[[AGRUP. CLAS. PROF.]:[AGRUP. CLAS. PROF.]]=$B33,IF(DATOS_[[Check Periodo Ref.]:[Check Periodo Ref.]]="Dentro",IF(DATOS_[[Check Equiparado]:[Check Equiparado]]="Sí",IF(DATOS!CD$5="Sí",(1/DATOS_[[% anualiz]:[% anualiz]]),1)*IF(DATOS!CD$4="Sí",1/DATOS_[[% normaliz]:[% normaliz]],1)*(DATOS_[C.Extra.08])))))))),
0)</f>
        <v>0</v>
      </c>
      <c r="AT35" s="173">
        <f t="array" ref="AT35">IFERROR(
(MEDIAN((IF(DATOS_[[Sexo]:[Sexo]]=$B35,IF(DATOS_[[AGRUP. CLAS. PROF.]:[AGRUP. CLAS. PROF.]]=$B33,IF(DATOS_[[Check Periodo Ref.]:[Check Periodo Ref.]]="Dentro",IF(DATOS_[[Check Equiparado]:[Check Equiparado]]="Sí",IF(DATOS!CG$5="Sí",(1/DATOS_[[% anualiz]:[% anualiz]]),1)*IF(DATOS!CG$4="Sí",1/DATOS_[[% normaliz]:[% normaliz]],1)*(DATOS_[C.Extra.11])))))))),
0)</f>
        <v>0</v>
      </c>
      <c r="AU35" s="197">
        <f t="array" ref="AU35">IFERROR(
MEDIAN(IF(DATOS_[Sexo]=$B35,IF(DATOS_[[AGRUP. CLAS. PROF.]:[AGRUP. CLAS. PROF.]]=$B33,IF(DATOS_[Check Equiparado]="Sí",IF(DATOS_[Check Periodo Ref.]="Dentro",DATOS_[Tot Extrasalarial Eq],FALSE))))),
0)</f>
        <v>0</v>
      </c>
      <c r="AV35" s="175">
        <f t="array" ref="AV35">IFERROR(
MEDIAN(IF(DATOS_[Sexo]=$B35,IF(DATOS_[[AGRUP. CLAS. PROF.]:[AGRUP. CLAS. PROF.]]=$B33,IF(DATOS_[Check Equiparado]="Sí",IF(DATOS_[Check Periodo Ref.]="Dentro",DATOS_[TOTAL Retrib Eq],FALSE))))),
0)</f>
        <v>0</v>
      </c>
    </row>
    <row r="36" spans="1:48" ht="15.6" hidden="1" thickBot="1" x14ac:dyDescent="0.3">
      <c r="A36" s="133" t="str">
        <f t="shared" ref="A36" si="31">+A37</f>
        <v>[ocultar]</v>
      </c>
      <c r="B36" s="199" t="s">
        <v>203</v>
      </c>
      <c r="C36" s="200"/>
      <c r="D36" s="201"/>
      <c r="E36" s="201"/>
      <c r="F36" s="201"/>
      <c r="G36" s="201"/>
      <c r="H36" s="201"/>
      <c r="I36" s="189" t="str">
        <f t="shared" ref="I36:AV36" si="32">IFERROR((I37-I38)/I37,"")</f>
        <v/>
      </c>
      <c r="J36" s="190" t="str">
        <f t="shared" si="32"/>
        <v/>
      </c>
      <c r="K36" s="191" t="str">
        <f t="shared" si="32"/>
        <v/>
      </c>
      <c r="L36" s="191" t="str">
        <f t="shared" si="32"/>
        <v/>
      </c>
      <c r="M36" s="191" t="str">
        <f t="shared" si="32"/>
        <v/>
      </c>
      <c r="N36" s="192" t="str">
        <f t="shared" si="32"/>
        <v/>
      </c>
      <c r="O36" s="193" t="str">
        <f t="shared" si="32"/>
        <v/>
      </c>
      <c r="P36" s="193" t="str">
        <f t="shared" si="32"/>
        <v/>
      </c>
      <c r="Q36" s="193" t="str">
        <f t="shared" si="32"/>
        <v/>
      </c>
      <c r="R36" s="193" t="str">
        <f t="shared" si="32"/>
        <v/>
      </c>
      <c r="S36" s="193" t="str">
        <f t="shared" si="32"/>
        <v/>
      </c>
      <c r="T36" s="193" t="str">
        <f t="shared" si="32"/>
        <v/>
      </c>
      <c r="U36" s="193" t="str">
        <f t="shared" si="32"/>
        <v/>
      </c>
      <c r="V36" s="193" t="str">
        <f t="shared" si="32"/>
        <v/>
      </c>
      <c r="W36" s="193" t="str">
        <f t="shared" si="32"/>
        <v/>
      </c>
      <c r="X36" s="193" t="str">
        <f t="shared" si="32"/>
        <v/>
      </c>
      <c r="Y36" s="193" t="str">
        <f t="shared" si="32"/>
        <v/>
      </c>
      <c r="Z36" s="193" t="str">
        <f t="shared" si="32"/>
        <v/>
      </c>
      <c r="AA36" s="193" t="str">
        <f t="shared" si="32"/>
        <v/>
      </c>
      <c r="AB36" s="193" t="str">
        <f t="shared" si="32"/>
        <v/>
      </c>
      <c r="AC36" s="193" t="str">
        <f t="shared" si="32"/>
        <v/>
      </c>
      <c r="AD36" s="193" t="str">
        <f t="shared" si="32"/>
        <v/>
      </c>
      <c r="AE36" s="193" t="str">
        <f t="shared" si="32"/>
        <v/>
      </c>
      <c r="AF36" s="193" t="str">
        <f t="shared" si="32"/>
        <v/>
      </c>
      <c r="AG36" s="193" t="str">
        <f t="shared" si="32"/>
        <v/>
      </c>
      <c r="AH36" s="193" t="str">
        <f t="shared" si="32"/>
        <v/>
      </c>
      <c r="AI36" s="193" t="str">
        <f t="shared" si="32"/>
        <v/>
      </c>
      <c r="AJ36" s="193" t="str">
        <f t="shared" si="32"/>
        <v/>
      </c>
      <c r="AK36" s="193" t="str">
        <f t="shared" si="32"/>
        <v/>
      </c>
      <c r="AL36" s="193" t="str">
        <f t="shared" si="32"/>
        <v/>
      </c>
      <c r="AM36" s="193" t="str">
        <f t="shared" si="32"/>
        <v/>
      </c>
      <c r="AN36" s="189" t="str">
        <f t="shared" si="32"/>
        <v/>
      </c>
      <c r="AO36" s="162" t="str">
        <f t="shared" si="32"/>
        <v/>
      </c>
      <c r="AP36" s="163" t="str">
        <f t="shared" si="32"/>
        <v/>
      </c>
      <c r="AQ36" s="163" t="str">
        <f t="shared" si="32"/>
        <v/>
      </c>
      <c r="AR36" s="163" t="str">
        <f t="shared" si="32"/>
        <v/>
      </c>
      <c r="AS36" s="163" t="str">
        <f t="shared" si="32"/>
        <v/>
      </c>
      <c r="AT36" s="163" t="str">
        <f t="shared" si="32"/>
        <v/>
      </c>
      <c r="AU36" s="194" t="str">
        <f t="shared" si="32"/>
        <v/>
      </c>
      <c r="AV36" s="165" t="str">
        <f t="shared" si="32"/>
        <v/>
      </c>
    </row>
    <row r="37" spans="1:48" hidden="1" x14ac:dyDescent="0.25">
      <c r="A37" s="133" t="str">
        <f t="shared" ref="A37" si="33">+IF(C37+C38=0,"[ocultar]","")</f>
        <v>[ocultar]</v>
      </c>
      <c r="B37" s="202" t="s">
        <v>394</v>
      </c>
      <c r="C37" s="203">
        <f t="array" ref="C37">SUM(IF($B37=DATOS_[Sexo],
IF($B36=DATOS_[AGRUP. CLAS. PROF.],
IF("Dentro"=DATOS_[Check Periodo Ref.],
1/(COUNTIFS(DATOS_[Sexo],$B37,DATOS_[AGRUP. CLAS. PROF.],$B36,DATOS_[Check Periodo Ref.],"Dentro",DATOS_[id/cod],DATOS_[id/cod]))))))</f>
        <v>0</v>
      </c>
      <c r="D37" s="204">
        <f>COUNTIFS(DATOS_[AGRUP. CLAS. PROF.],$B36,DATOS_[Sexo],$B37,DATOS_[Check Periodo Ref.],"Dentro")</f>
        <v>0</v>
      </c>
      <c r="E37" s="204">
        <f>COUNTIFS(DATOS_[AGRUP. CLAS. PROF.],$B36,DATOS_[Sexo],$B37,DATOS_[Check Periodo Ref.],"Dentro",DATOS_[Check Nº SC Norm],"Sí")</f>
        <v>0</v>
      </c>
      <c r="F37" s="204">
        <f>COUNTIFS(DATOS_[AGRUP. CLAS. PROF.],$B36,DATOS_[Sexo],$B37,DATOS_[Check Periodo Ref.],"Dentro",DATOS_[Check Nº SC Anualiz],"Sí")</f>
        <v>0</v>
      </c>
      <c r="G37" s="204">
        <f>COUNTIFS(DATOS_[AGRUP. CLAS. PROF.],$B36,DATOS_[Sexo],$B37,DATOS_[Check Periodo Ref.],"Dentro",DATOS_[Check Nº SC Norm y Anualiz],"Sí")</f>
        <v>0</v>
      </c>
      <c r="H37" s="204">
        <f>COUNTIFS(DATOS_[AGRUP. CLAS. PROF.],$B36,DATOS_[Sexo],$B37,DATOS_[Check Periodo Ref.],"Dentro",DATOS_[Check Equiparación],"Sí")</f>
        <v>0</v>
      </c>
      <c r="I37" s="195">
        <f t="array" ref="I37">IFERROR(
MEDIAN(IF(DATOS_[Sexo]=$B37,IF(DATOS_[[AGRUP. CLAS. PROF.]:[AGRUP. CLAS. PROF.]]=$B36,IF(DATOS_[Check Equiparado]="Sí",IF(DATOS_[Check Periodo Ref.]="Dentro",DATOS_[SALARIO BASE Eq],FALSE))))),
0)</f>
        <v>0</v>
      </c>
      <c r="J37" s="196">
        <f t="array" ref="J37">IFERROR(
(MEDIAN((IF(DATOS_[[Sexo]:[Sexo]]=$B37,IF(DATOS_[[AGRUP. CLAS. PROF.]:[AGRUP. CLAS. PROF.]]=$B36,IF(DATOS_[[Check Periodo Ref.]:[Check Periodo Ref.]]="Dentro",IF(DATOS_[[Check Equiparado]:[Check Equiparado]]="Sí",IF(DATOS!AE$5="Sí",(1/DATOS_[[% anualiz]:[% anualiz]]),1)*IF(DATOS!AE$4="Sí",1/DATOS_[[% normaliz]:[% normaliz]],1)*(DATOS_[Conc.Sal.01])))))))),
0)</f>
        <v>0</v>
      </c>
      <c r="K37" s="196">
        <f t="array" ref="K37">IFERROR(
(MEDIAN((IF(DATOS_[[Sexo]:[Sexo]]=$B37,IF(DATOS_[[AGRUP. CLAS. PROF.]:[AGRUP. CLAS. PROF.]]=$B36,IF(DATOS_[[Check Periodo Ref.]:[Check Periodo Ref.]]="Dentro",IF(DATOS_[[Check Equiparado]:[Check Equiparado]]="Sí",IF(DATOS!AF$5="Sí",(1/DATOS_[[% anualiz]:[% anualiz]]),1)*IF(DATOS!AF$4="Sí",1/DATOS_[[% normaliz]:[% normaliz]],1)*(DATOS_[Conc.Sal.02])))))))),
0)</f>
        <v>0</v>
      </c>
      <c r="L37" s="196">
        <f t="array" ref="L37">IFERROR(
(MEDIAN((IF(DATOS_[[Sexo]:[Sexo]]=$B37,IF(DATOS_[[AGRUP. CLAS. PROF.]:[AGRUP. CLAS. PROF.]]=$B36,IF(DATOS_[[Check Periodo Ref.]:[Check Periodo Ref.]]="Dentro",IF(DATOS_[[Check Equiparado]:[Check Equiparado]]="Sí",IF(DATOS!AG$5="Sí",(1/DATOS_[[% anualiz]:[% anualiz]]),1)*IF(DATOS!AG$4="Sí",1/DATOS_[[% normaliz]:[% normaliz]],1)*(DATOS_[Conc.Sal.03])))))))),
0)</f>
        <v>0</v>
      </c>
      <c r="M37" s="196">
        <f t="array" ref="M37">IFERROR(
(MEDIAN((IF(DATOS_[[Sexo]:[Sexo]]=$B37,IF(DATOS_[[AGRUP. CLAS. PROF.]:[AGRUP. CLAS. PROF.]]=$B36,IF(DATOS_[[Check Periodo Ref.]:[Check Periodo Ref.]]="Dentro",IF(DATOS_[[Check Equiparado]:[Check Equiparado]]="Sí",IF(DATOS!AH$5="Sí",(1/DATOS_[[% anualiz]:[% anualiz]]),1)*IF(DATOS!AH$4="Sí",1/DATOS_[[% normaliz]:[% normaliz]],1)*(DATOS_[Conc.Sal.04])))))))),
0)</f>
        <v>0</v>
      </c>
      <c r="N37" s="196">
        <f t="array" ref="N37">IFERROR(
(MEDIAN((IF(DATOS_[[Sexo]:[Sexo]]=$B37,IF(DATOS_[[AGRUP. CLAS. PROF.]:[AGRUP. CLAS. PROF.]]=$B36,IF(DATOS_[[Check Periodo Ref.]:[Check Periodo Ref.]]="Dentro",IF(DATOS_[[Check Equiparado]:[Check Equiparado]]="Sí",IF(DATOS!AI$5="Sí",(1/DATOS_[[% anualiz]:[% anualiz]]),1)*IF(DATOS!AI$4="Sí",1/DATOS_[[% normaliz]:[% normaliz]],1)*(DATOS_[Conc.Sal.05])))))))),
0)</f>
        <v>0</v>
      </c>
      <c r="O37" s="196">
        <f t="array" ref="O37">IFERROR(
(MEDIAN((IF(DATOS_[[Sexo]:[Sexo]]=$B37,IF(DATOS_[[AGRUP. CLAS. PROF.]:[AGRUP. CLAS. PROF.]]=$B36,IF(DATOS_[[Check Periodo Ref.]:[Check Periodo Ref.]]="Dentro",IF(DATOS_[[Check Equiparado]:[Check Equiparado]]="Sí",IF(DATOS!AJ$5="Sí",(1/DATOS_[[% anualiz]:[% anualiz]]),1)*IF(DATOS!AJ$4="Sí",1/DATOS_[[% normaliz]:[% normaliz]],1)*(DATOS_[Conc.Sal.06])))))))),
0)</f>
        <v>0</v>
      </c>
      <c r="P37" s="196">
        <f t="array" ref="P37">IFERROR(
(MEDIAN((IF(DATOS_[[Sexo]:[Sexo]]=$B37,IF(DATOS_[[AGRUP. CLAS. PROF.]:[AGRUP. CLAS. PROF.]]=$B36,IF(DATOS_[[Check Periodo Ref.]:[Check Periodo Ref.]]="Dentro",IF(DATOS_[[Check Equiparado]:[Check Equiparado]]="Sí",IF(DATOS!AK$5="Sí",(1/DATOS_[[% anualiz]:[% anualiz]]),1)*IF(DATOS!AK$4="Sí",1/DATOS_[[% normaliz]:[% normaliz]],1)*(DATOS_[Conc.Sal.07])))))))),
0)</f>
        <v>0</v>
      </c>
      <c r="Q37" s="196">
        <f t="array" ref="Q37">IFERROR(
(MEDIAN((IF(DATOS_[[Sexo]:[Sexo]]=$B37,IF(DATOS_[[AGRUP. CLAS. PROF.]:[AGRUP. CLAS. PROF.]]=$B36,IF(DATOS_[[Check Periodo Ref.]:[Check Periodo Ref.]]="Dentro",IF(DATOS_[[Check Equiparado]:[Check Equiparado]]="Sí",IF(DATOS!AL$5="Sí",(1/DATOS_[[% anualiz]:[% anualiz]]),1)*IF(DATOS!AL$4="Sí",1/DATOS_[[% normaliz]:[% normaliz]],1)*(DATOS_[Conc.Sal.08])))))))),
0)</f>
        <v>0</v>
      </c>
      <c r="R37" s="196">
        <f t="array" ref="R37">IFERROR(
(MEDIAN((IF(DATOS_[[Sexo]:[Sexo]]=$B37,IF(DATOS_[[AGRUP. CLAS. PROF.]:[AGRUP. CLAS. PROF.]]=$B36,IF(DATOS_[[Check Periodo Ref.]:[Check Periodo Ref.]]="Dentro",IF(DATOS_[[Check Equiparado]:[Check Equiparado]]="Sí",IF(DATOS!AM$5="Sí",(1/DATOS_[[% anualiz]:[% anualiz]]),1)*IF(DATOS!AM$4="Sí",1/DATOS_[[% normaliz]:[% normaliz]],1)*(DATOS_[Conc.Sal.09])))))))),
0)</f>
        <v>0</v>
      </c>
      <c r="S37" s="196">
        <f t="array" ref="S37">IFERROR(
(MEDIAN((IF(DATOS_[[Sexo]:[Sexo]]=$B37,IF(DATOS_[[AGRUP. CLAS. PROF.]:[AGRUP. CLAS. PROF.]]=$B36,IF(DATOS_[[Check Periodo Ref.]:[Check Periodo Ref.]]="Dentro",IF(DATOS_[[Check Equiparado]:[Check Equiparado]]="Sí",IF(DATOS!AN$5="Sí",(1/DATOS_[[% anualiz]:[% anualiz]]),1)*IF(DATOS!AN$4="Sí",1/DATOS_[[% normaliz]:[% normaliz]],1)*(DATOS_[Conc.Sal.10])))))))),
0)</f>
        <v>0</v>
      </c>
      <c r="T37" s="196">
        <f t="array" ref="T37">IFERROR(
(MEDIAN((IF(DATOS_[[Sexo]:[Sexo]]=$B37,IF(DATOS_[[AGRUP. CLAS. PROF.]:[AGRUP. CLAS. PROF.]]=$B36,IF(DATOS_[[Check Periodo Ref.]:[Check Periodo Ref.]]="Dentro",IF(DATOS_[[Check Equiparado]:[Check Equiparado]]="Sí",IF(DATOS!AO$5="Sí",(1/DATOS_[[% anualiz]:[% anualiz]]),1)*IF(DATOS!AO$4="Sí",1/DATOS_[[% normaliz]:[% normaliz]],1)*(DATOS_[Conc.Sal.11])))))))),
0)</f>
        <v>0</v>
      </c>
      <c r="U37" s="196">
        <f t="array" ref="U37">IFERROR(
(MEDIAN((IF(DATOS_[[Sexo]:[Sexo]]=$B37,IF(DATOS_[[AGRUP. CLAS. PROF.]:[AGRUP. CLAS. PROF.]]=$B36,IF(DATOS_[[Check Periodo Ref.]:[Check Periodo Ref.]]="Dentro",IF(DATOS_[[Check Equiparado]:[Check Equiparado]]="Sí",IF(DATOS!AP$5="Sí",(1/DATOS_[[% anualiz]:[% anualiz]]),1)*IF(DATOS!AP$4="Sí",1/DATOS_[[% normaliz]:[% normaliz]],1)*(DATOS_[Conc.Sal.12])))))))),
0)</f>
        <v>0</v>
      </c>
      <c r="V37" s="196">
        <f t="array" ref="V37">IFERROR(
(MEDIAN((IF(DATOS_[[Sexo]:[Sexo]]=$B37,IF(DATOS_[[AGRUP. CLAS. PROF.]:[AGRUP. CLAS. PROF.]]=$B36,IF(DATOS_[[Check Periodo Ref.]:[Check Periodo Ref.]]="Dentro",IF(DATOS_[[Check Equiparado]:[Check Equiparado]]="Sí",IF(DATOS!AQ$5="Sí",(1/DATOS_[[% anualiz]:[% anualiz]]),1)*IF(DATOS!AQ$4="Sí",1/DATOS_[[% normaliz]:[% normaliz]],1)*(DATOS_[Conc.Sal.13])))))))),
0)</f>
        <v>0</v>
      </c>
      <c r="W37" s="196">
        <f t="array" ref="W37">IFERROR(
(MEDIAN((IF(DATOS_[[Sexo]:[Sexo]]=$B37,IF(DATOS_[[AGRUP. CLAS. PROF.]:[AGRUP. CLAS. PROF.]]=$B36,IF(DATOS_[[Check Periodo Ref.]:[Check Periodo Ref.]]="Dentro",IF(DATOS_[[Check Equiparado]:[Check Equiparado]]="Sí",IF(DATOS!AR$5="Sí",(1/DATOS_[[% anualiz]:[% anualiz]]),1)*IF(DATOS!AR$4="Sí",1/DATOS_[[% normaliz]:[% normaliz]],1)*(DATOS_[Conc.Sal.14])))))))),
0)</f>
        <v>0</v>
      </c>
      <c r="X37" s="196">
        <f t="array" ref="X37">IFERROR(
(MEDIAN((IF(DATOS_[[Sexo]:[Sexo]]=$B37,IF(DATOS_[[AGRUP. CLAS. PROF.]:[AGRUP. CLAS. PROF.]]=$B36,IF(DATOS_[[Check Periodo Ref.]:[Check Periodo Ref.]]="Dentro",IF(DATOS_[[Check Equiparado]:[Check Equiparado]]="Sí",IF(DATOS!AS$5="Sí",(1/DATOS_[[% anualiz]:[% anualiz]]),1)*IF(DATOS!AS$4="Sí",1/DATOS_[[% normaliz]:[% normaliz]],1)*(DATOS_[Conc.Sal.15])))))))),
0)</f>
        <v>0</v>
      </c>
      <c r="Y37" s="196">
        <f t="array" ref="Y37">IFERROR(
(MEDIAN((IF(DATOS_[[Sexo]:[Sexo]]=$B37,IF(DATOS_[[AGRUP. CLAS. PROF.]:[AGRUP. CLAS. PROF.]]=$B36,IF(DATOS_[[Check Periodo Ref.]:[Check Periodo Ref.]]="Dentro",IF(DATOS_[[Check Equiparado]:[Check Equiparado]]="Sí",IF(DATOS!AT$5="Sí",(1/DATOS_[[% anualiz]:[% anualiz]]),1)*IF(DATOS!AT$4="Sí",1/DATOS_[[% normaliz]:[% normaliz]],1)*(DATOS_[Conc.Sal.16])))))))),
0)</f>
        <v>0</v>
      </c>
      <c r="Z37" s="196">
        <f t="array" ref="Z37">IFERROR(
(MEDIAN((IF(DATOS_[[Sexo]:[Sexo]]=$B37,IF(DATOS_[[AGRUP. CLAS. PROF.]:[AGRUP. CLAS. PROF.]]=$B36,IF(DATOS_[[Check Periodo Ref.]:[Check Periodo Ref.]]="Dentro",IF(DATOS_[[Check Equiparado]:[Check Equiparado]]="Sí",IF(DATOS!AU$5="Sí",(1/DATOS_[[% anualiz]:[% anualiz]]),1)*IF(DATOS!AU$4="Sí",1/DATOS_[[% normaliz]:[% normaliz]],1)*(DATOS_[Conc.Sal.17])))))))),
0)</f>
        <v>0</v>
      </c>
      <c r="AA37" s="196">
        <f t="array" ref="AA37">IFERROR(
(MEDIAN((IF(DATOS_[[Sexo]:[Sexo]]=$B37,IF(DATOS_[[AGRUP. CLAS. PROF.]:[AGRUP. CLAS. PROF.]]=$B36,IF(DATOS_[[Check Periodo Ref.]:[Check Periodo Ref.]]="Dentro",IF(DATOS_[[Check Equiparado]:[Check Equiparado]]="Sí",IF(DATOS!AV$5="Sí",(1/DATOS_[[% anualiz]:[% anualiz]]),1)*IF(DATOS!AV$4="Sí",1/DATOS_[[% normaliz]:[% normaliz]],1)*(DATOS_[Conc.Sal.18])))))))),
0)</f>
        <v>0</v>
      </c>
      <c r="AB37" s="196">
        <f t="array" ref="AB37">IFERROR(
(MEDIAN((IF(DATOS_[[Sexo]:[Sexo]]=$B37,IF(DATOS_[[AGRUP. CLAS. PROF.]:[AGRUP. CLAS. PROF.]]=$B36,IF(DATOS_[[Check Periodo Ref.]:[Check Periodo Ref.]]="Dentro",IF(DATOS_[[Check Equiparado]:[Check Equiparado]]="Sí",IF(DATOS!AW$5="Sí",(1/DATOS_[[% anualiz]:[% anualiz]]),1)*IF(DATOS!AW$4="Sí",1/DATOS_[[% normaliz]:[% normaliz]],1)*(DATOS_[Conc.Sal.19])))))))),
0)</f>
        <v>0</v>
      </c>
      <c r="AC37" s="196">
        <f t="array" ref="AC37">IFERROR(
(MEDIAN((IF(DATOS_[[Sexo]:[Sexo]]=$B37,IF(DATOS_[[AGRUP. CLAS. PROF.]:[AGRUP. CLAS. PROF.]]=$B36,IF(DATOS_[[Check Periodo Ref.]:[Check Periodo Ref.]]="Dentro",IF(DATOS_[[Check Equiparado]:[Check Equiparado]]="Sí",IF(DATOS!AX$5="Sí",(1/DATOS_[[% anualiz]:[% anualiz]]),1)*IF(DATOS!AX$4="Sí",1/DATOS_[[% normaliz]:[% normaliz]],1)*(DATOS_[Conc.Sal.20])))))))),
0)</f>
        <v>0</v>
      </c>
      <c r="AD37" s="196">
        <f t="array" ref="AD37">IFERROR(
(MEDIAN((IF(DATOS_[[Sexo]:[Sexo]]=$B37,IF(DATOS_[[AGRUP. CLAS. PROF.]:[AGRUP. CLAS. PROF.]]=$B36,IF(DATOS_[[Check Periodo Ref.]:[Check Periodo Ref.]]="Dentro",IF(DATOS_[[Check Equiparado]:[Check Equiparado]]="Sí",IF(DATOS!AY$5="Sí",(1/DATOS_[[% anualiz]:[% anualiz]]),1)*IF(DATOS!AY$4="Sí",1/DATOS_[[% normaliz]:[% normaliz]],1)*(DATOS_[Conc.Sal.21])))))))),
0)</f>
        <v>0</v>
      </c>
      <c r="AE37" s="196">
        <f t="array" ref="AE37">IFERROR(
(MEDIAN((IF(DATOS_[[Sexo]:[Sexo]]=$B37,IF(DATOS_[[AGRUP. CLAS. PROF.]:[AGRUP. CLAS. PROF.]]=$B36,IF(DATOS_[[Check Periodo Ref.]:[Check Periodo Ref.]]="Dentro",IF(DATOS_[[Check Equiparado]:[Check Equiparado]]="Sí",IF(DATOS!AZ$5="Sí",(1/DATOS_[[% anualiz]:[% anualiz]]),1)*IF(DATOS!AZ$4="Sí",1/DATOS_[[% normaliz]:[% normaliz]],1)*(DATOS_[Conc.Sal.22])))))))),
0)</f>
        <v>0</v>
      </c>
      <c r="AF37" s="196">
        <f t="array" ref="AF37">IFERROR(
(MEDIAN((IF(DATOS_[[Sexo]:[Sexo]]=$B37,IF(DATOS_[[AGRUP. CLAS. PROF.]:[AGRUP. CLAS. PROF.]]=$B36,IF(DATOS_[[Check Periodo Ref.]:[Check Periodo Ref.]]="Dentro",IF(DATOS_[[Check Equiparado]:[Check Equiparado]]="Sí",IF(DATOS!BA$5="Sí",(1/DATOS_[[% anualiz]:[% anualiz]]),1)*IF(DATOS!BA$4="Sí",1/DATOS_[[% normaliz]:[% normaliz]],1)*(DATOS_[Conc.Sal.23])))))))),
0)</f>
        <v>0</v>
      </c>
      <c r="AG37" s="196">
        <f t="array" ref="AG37">IFERROR(
(MEDIAN((IF(DATOS_[[Sexo]:[Sexo]]=$B37,IF(DATOS_[[AGRUP. CLAS. PROF.]:[AGRUP. CLAS. PROF.]]=$B36,IF(DATOS_[[Check Periodo Ref.]:[Check Periodo Ref.]]="Dentro",IF(DATOS_[[Check Equiparado]:[Check Equiparado]]="Sí",IF(DATOS!BB$5="Sí",(1/DATOS_[[% anualiz]:[% anualiz]]),1)*IF(DATOS!BB$4="Sí",1/DATOS_[[% normaliz]:[% normaliz]],1)*(DATOS_[Conc.Sal.24])))))))),
0)</f>
        <v>0</v>
      </c>
      <c r="AH37" s="196">
        <f t="array" ref="AH37">IFERROR(
(MEDIAN((IF(DATOS_[[Sexo]:[Sexo]]=$B37,IF(DATOS_[[AGRUP. CLAS. PROF.]:[AGRUP. CLAS. PROF.]]=$B36,IF(DATOS_[[Check Periodo Ref.]:[Check Periodo Ref.]]="Dentro",IF(DATOS_[[Check Equiparado]:[Check Equiparado]]="Sí",IF(DATOS!BC$5="Sí",(1/DATOS_[[% anualiz]:[% anualiz]]),1)*IF(DATOS!BC$4="Sí",1/DATOS_[[% normaliz]:[% normaliz]],1)*(DATOS_[Conc.Sal.25])))))))),
0)</f>
        <v>0</v>
      </c>
      <c r="AI37" s="196">
        <f t="array" ref="AI37">IFERROR(
(MEDIAN((IF(DATOS_[[Sexo]:[Sexo]]=$B37,IF(DATOS_[[AGRUP. CLAS. PROF.]:[AGRUP. CLAS. PROF.]]=$B36,IF(DATOS_[[Check Periodo Ref.]:[Check Periodo Ref.]]="Dentro",IF(DATOS_[[Check Equiparado]:[Check Equiparado]]="Sí",IF(DATOS!BD$5="Sí",(1/DATOS_[[% anualiz]:[% anualiz]]),1)*IF(DATOS!BD$4="Sí",1/DATOS_[[% normaliz]:[% normaliz]],1)*(DATOS_[Conc.Sal.26])))))))),
0)</f>
        <v>0</v>
      </c>
      <c r="AJ37" s="196">
        <f t="array" ref="AJ37">IFERROR(
(MEDIAN((IF(DATOS_[[Sexo]:[Sexo]]=$B37,IF(DATOS_[[AGRUP. CLAS. PROF.]:[AGRUP. CLAS. PROF.]]=$B36,IF(DATOS_[[Check Periodo Ref.]:[Check Periodo Ref.]]="Dentro",IF(DATOS_[[Check Equiparado]:[Check Equiparado]]="Sí",IF(DATOS!BE$5="Sí",(1/DATOS_[[% anualiz]:[% anualiz]]),1)*IF(DATOS!BE$4="Sí",1/DATOS_[[% normaliz]:[% normaliz]],1)*(DATOS_[Conc.Sal.27])))))))),
0)</f>
        <v>0</v>
      </c>
      <c r="AK37" s="196">
        <f t="array" ref="AK37">IFERROR(
(MEDIAN((IF(DATOS_[[Sexo]:[Sexo]]=$B37,IF(DATOS_[[AGRUP. CLAS. PROF.]:[AGRUP. CLAS. PROF.]]=$B36,IF(DATOS_[[Check Periodo Ref.]:[Check Periodo Ref.]]="Dentro",IF(DATOS_[[Check Equiparado]:[Check Equiparado]]="Sí",IF(DATOS!BF$5="Sí",(1/DATOS_[[% anualiz]:[% anualiz]]),1)*IF(DATOS!BF$4="Sí",1/DATOS_[[% normaliz]:[% normaliz]],1)*(DATOS_[Conc.Sal.28])))))))),
0)</f>
        <v>0</v>
      </c>
      <c r="AL37" s="196">
        <f t="array" ref="AL37">IFERROR(
(MEDIAN((IF(DATOS_[[Sexo]:[Sexo]]=$B37,IF(DATOS_[[AGRUP. CLAS. PROF.]:[AGRUP. CLAS. PROF.]]=$B36,IF(DATOS_[[Check Periodo Ref.]:[Check Periodo Ref.]]="Dentro",IF(DATOS_[[Check Equiparado]:[Check Equiparado]]="Sí",IF(DATOS!BG$5="Sí",(1/DATOS_[[% anualiz]:[% anualiz]]),1)*IF(DATOS!BG$4="Sí",1/DATOS_[[% normaliz]:[% normaliz]],1)*(DATOS_[Conc.Sal.29])))))))),
0)</f>
        <v>0</v>
      </c>
      <c r="AM37" s="196">
        <f t="array" ref="AM37">IFERROR(
(MEDIAN((IF(DATOS_[[Sexo]:[Sexo]]=$B37,IF(DATOS_[[AGRUP. CLAS. PROF.]:[AGRUP. CLAS. PROF.]]=$B36,IF(DATOS_[[Check Periodo Ref.]:[Check Periodo Ref.]]="Dentro",IF(DATOS_[[Check Equiparado]:[Check Equiparado]]="Sí",IF(DATOS!BH$5="Sí",(1/DATOS_[[% anualiz]:[% anualiz]]),1)*IF(DATOS!BH$4="Sí",1/DATOS_[[% normaliz]:[% normaliz]],1)*(DATOS_[Conc.Sal.30])))))))),
0)</f>
        <v>0</v>
      </c>
      <c r="AN37" s="195">
        <f t="array" ref="AN37">IFERROR(
MEDIAN(IF(DATOS_[Sexo]=$B37,IF(DATOS_[[AGRUP. CLAS. PROF.]:[AGRUP. CLAS. PROF.]]=$B36,IF(DATOS_[Check Equiparado]="Sí",IF(DATOS_[Check Periodo Ref.]="Dentro",DATOS_[Tot COMPL.SAL Eq],FALSE))))),
0)</f>
        <v>0</v>
      </c>
      <c r="AO37" s="172">
        <f t="array" ref="AO37">IFERROR(
MEDIAN(IF(DATOS_[Sexo]=$B37,IF(DATOS_[[AGRUP. CLAS. PROF.]:[AGRUP. CLAS. PROF.]]=$B36,IF(DATOS_[Check Equiparado]="Sí",IF(DATOS_[Check Periodo Ref.]="Dentro",DATOS_[TOTAL SALARIO Eq],FALSE))))),
0)</f>
        <v>0</v>
      </c>
      <c r="AP37" s="173">
        <f t="array" ref="AP37">IFERROR(
(MEDIAN((IF(DATOS_[[Sexo]:[Sexo]]=$B37,IF(DATOS_[[AGRUP. CLAS. PROF.]:[AGRUP. CLAS. PROF.]]=$B36,IF(DATOS_[[Check Periodo Ref.]:[Check Periodo Ref.]]="Dentro",IF(DATOS_[[Check Equiparado]:[Check Equiparado]]="Sí",IF(DATOS!BW$5="Sí",(1/DATOS_[[% anualiz]:[% anualiz]]),1)*IF(DATOS!BW$4="Sí",1/DATOS_[[% normaliz]:[% normaliz]],1)*(DATOS_[C.Extra.01])))))))),
0)</f>
        <v>0</v>
      </c>
      <c r="AQ37" s="173">
        <f t="array" ref="AQ37">IFERROR(
(MEDIAN((IF(DATOS_[[Sexo]:[Sexo]]=$B37,IF(DATOS_[[AGRUP. CLAS. PROF.]:[AGRUP. CLAS. PROF.]]=$B36,IF(DATOS_[[Check Periodo Ref.]:[Check Periodo Ref.]]="Dentro",IF(DATOS_[[Check Equiparado]:[Check Equiparado]]="Sí",IF(DATOS!CB$5="Sí",(1/DATOS_[[% anualiz]:[% anualiz]]),1)*IF(DATOS!CB$4="Sí",1/DATOS_[[% normaliz]:[% normaliz]],1)*(DATOS_[C.Extra.06])))))))),
0)</f>
        <v>0</v>
      </c>
      <c r="AR37" s="173">
        <f t="array" ref="AR37">IFERROR(
(MEDIAN((IF(DATOS_[[Sexo]:[Sexo]]=$B37,IF(DATOS_[[AGRUP. CLAS. PROF.]:[AGRUP. CLAS. PROF.]]=$B36,IF(DATOS_[[Check Periodo Ref.]:[Check Periodo Ref.]]="Dentro",IF(DATOS_[[Check Equiparado]:[Check Equiparado]]="Sí",IF(DATOS!CC$5="Sí",(1/DATOS_[[% anualiz]:[% anualiz]]),1)*IF(DATOS!CC$4="Sí",1/DATOS_[[% normaliz]:[% normaliz]],1)*(DATOS_[C.Extra.07])))))))),
0)</f>
        <v>0</v>
      </c>
      <c r="AS37" s="173">
        <f t="array" ref="AS37">IFERROR(
(MEDIAN((IF(DATOS_[[Sexo]:[Sexo]]=$B37,IF(DATOS_[[AGRUP. CLAS. PROF.]:[AGRUP. CLAS. PROF.]]=$B36,IF(DATOS_[[Check Periodo Ref.]:[Check Periodo Ref.]]="Dentro",IF(DATOS_[[Check Equiparado]:[Check Equiparado]]="Sí",IF(DATOS!CD$5="Sí",(1/DATOS_[[% anualiz]:[% anualiz]]),1)*IF(DATOS!CD$4="Sí",1/DATOS_[[% normaliz]:[% normaliz]],1)*(DATOS_[C.Extra.08])))))))),
0)</f>
        <v>0</v>
      </c>
      <c r="AT37" s="173">
        <f t="array" ref="AT37">IFERROR(
(MEDIAN((IF(DATOS_[[Sexo]:[Sexo]]=$B37,IF(DATOS_[[AGRUP. CLAS. PROF.]:[AGRUP. CLAS. PROF.]]=$B36,IF(DATOS_[[Check Periodo Ref.]:[Check Periodo Ref.]]="Dentro",IF(DATOS_[[Check Equiparado]:[Check Equiparado]]="Sí",IF(DATOS!CG$5="Sí",(1/DATOS_[[% anualiz]:[% anualiz]]),1)*IF(DATOS!CG$4="Sí",1/DATOS_[[% normaliz]:[% normaliz]],1)*(DATOS_[C.Extra.11])))))))),
0)</f>
        <v>0</v>
      </c>
      <c r="AU37" s="197">
        <f t="array" ref="AU37">IFERROR(
MEDIAN(IF(DATOS_[Sexo]=$B37,IF(DATOS_[[AGRUP. CLAS. PROF.]:[AGRUP. CLAS. PROF.]]=$B36,IF(DATOS_[Check Equiparado]="Sí",IF(DATOS_[Check Periodo Ref.]="Dentro",DATOS_[Tot Extrasalarial Eq],FALSE))))),
0)</f>
        <v>0</v>
      </c>
      <c r="AV37" s="175">
        <f t="array" ref="AV37">IFERROR(
MEDIAN(IF(DATOS_[Sexo]=$B37,IF(DATOS_[[AGRUP. CLAS. PROF.]:[AGRUP. CLAS. PROF.]]=$B36,IF(DATOS_[Check Equiparado]="Sí",IF(DATOS_[Check Periodo Ref.]="Dentro",DATOS_[TOTAL Retrib Eq],FALSE))))),
0)</f>
        <v>0</v>
      </c>
    </row>
    <row r="38" spans="1:48" hidden="1" x14ac:dyDescent="0.25">
      <c r="A38" s="133" t="str">
        <f t="shared" ref="A38" si="34">+A37</f>
        <v>[ocultar]</v>
      </c>
      <c r="B38" s="202" t="s">
        <v>521</v>
      </c>
      <c r="C38" s="203">
        <f t="array" ref="C38">SUM(IF($B38=DATOS_[Sexo],
IF($B36=DATOS_[AGRUP. CLAS. PROF.],
IF("Dentro"=DATOS_[Check Periodo Ref.],
1/(COUNTIFS(DATOS_[Sexo],$B38,DATOS_[AGRUP. CLAS. PROF.],$B36,DATOS_[Check Periodo Ref.],"Dentro",DATOS_[id/cod],DATOS_[id/cod]))))))</f>
        <v>0</v>
      </c>
      <c r="D38" s="204">
        <f>COUNTIFS(DATOS_[AGRUP. CLAS. PROF.],$B36,DATOS_[Sexo],$B38,DATOS_[Check Periodo Ref.],"Dentro")</f>
        <v>0</v>
      </c>
      <c r="E38" s="204">
        <f>COUNTIFS(DATOS_[AGRUP. CLAS. PROF.],$B36,DATOS_[Sexo],$B38,DATOS_[Check Periodo Ref.],"Dentro",DATOS_[Check Nº SC Norm],"Sí")</f>
        <v>0</v>
      </c>
      <c r="F38" s="204">
        <f>COUNTIFS(DATOS_[AGRUP. CLAS. PROF.],$B36,DATOS_[Sexo],$B38,DATOS_[Check Periodo Ref.],"Dentro",DATOS_[Check Nº SC Anualiz],"Sí")</f>
        <v>0</v>
      </c>
      <c r="G38" s="204">
        <f>COUNTIFS(DATOS_[AGRUP. CLAS. PROF.],$B36,DATOS_[Sexo],$B38,DATOS_[Check Periodo Ref.],"Dentro",DATOS_[Check Nº SC Norm y Anualiz],"Sí")</f>
        <v>0</v>
      </c>
      <c r="H38" s="204">
        <f>COUNTIFS(DATOS_[AGRUP. CLAS. PROF.],$B36,DATOS_[Sexo],$B38,DATOS_[Check Periodo Ref.],"Dentro",DATOS_[Check Equiparación],"Sí")</f>
        <v>0</v>
      </c>
      <c r="I38" s="195" cm="1">
        <f t="array" ref="I38">IFERROR(
MEDIAN(IF(DATOS_[Sexo]=$B38,IF(DATOS_[[AGRUP. CLAS. PROF.]:[AGRUP. CLAS. PROF.]]=$B36,IF(DATOS_[Check Equiparado]="Sí",IF(DATOS_[Check Periodo Ref.]="Dentro",DATOS_[SALARIO BASE Eq],FALSE))))),
0)</f>
        <v>0</v>
      </c>
      <c r="J38" s="196">
        <f t="array" ref="J38">IFERROR(
(MEDIAN((IF(DATOS_[[Sexo]:[Sexo]]=$B38,IF(DATOS_[[AGRUP. CLAS. PROF.]:[AGRUP. CLAS. PROF.]]=$B36,IF(DATOS_[[Check Periodo Ref.]:[Check Periodo Ref.]]="Dentro",IF(DATOS_[[Check Equiparado]:[Check Equiparado]]="Sí",IF(DATOS!AE$5="Sí",(1/DATOS_[[% anualiz]:[% anualiz]]),1)*IF(DATOS!AE$4="Sí",1/DATOS_[[% normaliz]:[% normaliz]],1)*(DATOS_[Conc.Sal.01])))))))),
0)</f>
        <v>0</v>
      </c>
      <c r="K38" s="196">
        <f t="array" ref="K38">IFERROR(
(MEDIAN((IF(DATOS_[[Sexo]:[Sexo]]=$B38,IF(DATOS_[[AGRUP. CLAS. PROF.]:[AGRUP. CLAS. PROF.]]=$B36,IF(DATOS_[[Check Periodo Ref.]:[Check Periodo Ref.]]="Dentro",IF(DATOS_[[Check Equiparado]:[Check Equiparado]]="Sí",IF(DATOS!AF$5="Sí",(1/DATOS_[[% anualiz]:[% anualiz]]),1)*IF(DATOS!AF$4="Sí",1/DATOS_[[% normaliz]:[% normaliz]],1)*(DATOS_[Conc.Sal.02])))))))),
0)</f>
        <v>0</v>
      </c>
      <c r="L38" s="196">
        <f t="array" ref="L38">IFERROR(
(MEDIAN((IF(DATOS_[[Sexo]:[Sexo]]=$B38,IF(DATOS_[[AGRUP. CLAS. PROF.]:[AGRUP. CLAS. PROF.]]=$B36,IF(DATOS_[[Check Periodo Ref.]:[Check Periodo Ref.]]="Dentro",IF(DATOS_[[Check Equiparado]:[Check Equiparado]]="Sí",IF(DATOS!AG$5="Sí",(1/DATOS_[[% anualiz]:[% anualiz]]),1)*IF(DATOS!AG$4="Sí",1/DATOS_[[% normaliz]:[% normaliz]],1)*(DATOS_[Conc.Sal.03])))))))),
0)</f>
        <v>0</v>
      </c>
      <c r="M38" s="196">
        <f t="array" ref="M38">IFERROR(
(MEDIAN((IF(DATOS_[[Sexo]:[Sexo]]=$B38,IF(DATOS_[[AGRUP. CLAS. PROF.]:[AGRUP. CLAS. PROF.]]=$B36,IF(DATOS_[[Check Periodo Ref.]:[Check Periodo Ref.]]="Dentro",IF(DATOS_[[Check Equiparado]:[Check Equiparado]]="Sí",IF(DATOS!AH$5="Sí",(1/DATOS_[[% anualiz]:[% anualiz]]),1)*IF(DATOS!AH$4="Sí",1/DATOS_[[% normaliz]:[% normaliz]],1)*(DATOS_[Conc.Sal.04])))))))),
0)</f>
        <v>0</v>
      </c>
      <c r="N38" s="196">
        <f t="array" ref="N38">IFERROR(
(MEDIAN((IF(DATOS_[[Sexo]:[Sexo]]=$B38,IF(DATOS_[[AGRUP. CLAS. PROF.]:[AGRUP. CLAS. PROF.]]=$B36,IF(DATOS_[[Check Periodo Ref.]:[Check Periodo Ref.]]="Dentro",IF(DATOS_[[Check Equiparado]:[Check Equiparado]]="Sí",IF(DATOS!AI$5="Sí",(1/DATOS_[[% anualiz]:[% anualiz]]),1)*IF(DATOS!AI$4="Sí",1/DATOS_[[% normaliz]:[% normaliz]],1)*(DATOS_[Conc.Sal.05])))))))),
0)</f>
        <v>0</v>
      </c>
      <c r="O38" s="196">
        <f t="array" ref="O38">IFERROR(
(MEDIAN((IF(DATOS_[[Sexo]:[Sexo]]=$B38,IF(DATOS_[[AGRUP. CLAS. PROF.]:[AGRUP. CLAS. PROF.]]=$B36,IF(DATOS_[[Check Periodo Ref.]:[Check Periodo Ref.]]="Dentro",IF(DATOS_[[Check Equiparado]:[Check Equiparado]]="Sí",IF(DATOS!AJ$5="Sí",(1/DATOS_[[% anualiz]:[% anualiz]]),1)*IF(DATOS!AJ$4="Sí",1/DATOS_[[% normaliz]:[% normaliz]],1)*(DATOS_[Conc.Sal.06])))))))),
0)</f>
        <v>0</v>
      </c>
      <c r="P38" s="196">
        <f t="array" ref="P38">IFERROR(
(MEDIAN((IF(DATOS_[[Sexo]:[Sexo]]=$B38,IF(DATOS_[[AGRUP. CLAS. PROF.]:[AGRUP. CLAS. PROF.]]=$B36,IF(DATOS_[[Check Periodo Ref.]:[Check Periodo Ref.]]="Dentro",IF(DATOS_[[Check Equiparado]:[Check Equiparado]]="Sí",IF(DATOS!AK$5="Sí",(1/DATOS_[[% anualiz]:[% anualiz]]),1)*IF(DATOS!AK$4="Sí",1/DATOS_[[% normaliz]:[% normaliz]],1)*(DATOS_[Conc.Sal.07])))))))),
0)</f>
        <v>0</v>
      </c>
      <c r="Q38" s="196">
        <f t="array" ref="Q38">IFERROR(
(MEDIAN((IF(DATOS_[[Sexo]:[Sexo]]=$B38,IF(DATOS_[[AGRUP. CLAS. PROF.]:[AGRUP. CLAS. PROF.]]=$B36,IF(DATOS_[[Check Periodo Ref.]:[Check Periodo Ref.]]="Dentro",IF(DATOS_[[Check Equiparado]:[Check Equiparado]]="Sí",IF(DATOS!AL$5="Sí",(1/DATOS_[[% anualiz]:[% anualiz]]),1)*IF(DATOS!AL$4="Sí",1/DATOS_[[% normaliz]:[% normaliz]],1)*(DATOS_[Conc.Sal.08])))))))),
0)</f>
        <v>0</v>
      </c>
      <c r="R38" s="196">
        <f t="array" ref="R38">IFERROR(
(MEDIAN((IF(DATOS_[[Sexo]:[Sexo]]=$B38,IF(DATOS_[[AGRUP. CLAS. PROF.]:[AGRUP. CLAS. PROF.]]=$B36,IF(DATOS_[[Check Periodo Ref.]:[Check Periodo Ref.]]="Dentro",IF(DATOS_[[Check Equiparado]:[Check Equiparado]]="Sí",IF(DATOS!AM$5="Sí",(1/DATOS_[[% anualiz]:[% anualiz]]),1)*IF(DATOS!AM$4="Sí",1/DATOS_[[% normaliz]:[% normaliz]],1)*(DATOS_[Conc.Sal.09])))))))),
0)</f>
        <v>0</v>
      </c>
      <c r="S38" s="196">
        <f t="array" ref="S38">IFERROR(
(MEDIAN((IF(DATOS_[[Sexo]:[Sexo]]=$B38,IF(DATOS_[[AGRUP. CLAS. PROF.]:[AGRUP. CLAS. PROF.]]=$B36,IF(DATOS_[[Check Periodo Ref.]:[Check Periodo Ref.]]="Dentro",IF(DATOS_[[Check Equiparado]:[Check Equiparado]]="Sí",IF(DATOS!AN$5="Sí",(1/DATOS_[[% anualiz]:[% anualiz]]),1)*IF(DATOS!AN$4="Sí",1/DATOS_[[% normaliz]:[% normaliz]],1)*(DATOS_[Conc.Sal.10])))))))),
0)</f>
        <v>0</v>
      </c>
      <c r="T38" s="196">
        <f t="array" ref="T38">IFERROR(
(MEDIAN((IF(DATOS_[[Sexo]:[Sexo]]=$B38,IF(DATOS_[[AGRUP. CLAS. PROF.]:[AGRUP. CLAS. PROF.]]=$B36,IF(DATOS_[[Check Periodo Ref.]:[Check Periodo Ref.]]="Dentro",IF(DATOS_[[Check Equiparado]:[Check Equiparado]]="Sí",IF(DATOS!AO$5="Sí",(1/DATOS_[[% anualiz]:[% anualiz]]),1)*IF(DATOS!AO$4="Sí",1/DATOS_[[% normaliz]:[% normaliz]],1)*(DATOS_[Conc.Sal.11])))))))),
0)</f>
        <v>0</v>
      </c>
      <c r="U38" s="196">
        <f t="array" ref="U38">IFERROR(
(MEDIAN((IF(DATOS_[[Sexo]:[Sexo]]=$B38,IF(DATOS_[[AGRUP. CLAS. PROF.]:[AGRUP. CLAS. PROF.]]=$B36,IF(DATOS_[[Check Periodo Ref.]:[Check Periodo Ref.]]="Dentro",IF(DATOS_[[Check Equiparado]:[Check Equiparado]]="Sí",IF(DATOS!AP$5="Sí",(1/DATOS_[[% anualiz]:[% anualiz]]),1)*IF(DATOS!AP$4="Sí",1/DATOS_[[% normaliz]:[% normaliz]],1)*(DATOS_[Conc.Sal.12])))))))),
0)</f>
        <v>0</v>
      </c>
      <c r="V38" s="196">
        <f t="array" ref="V38">IFERROR(
(MEDIAN((IF(DATOS_[[Sexo]:[Sexo]]=$B38,IF(DATOS_[[AGRUP. CLAS. PROF.]:[AGRUP. CLAS. PROF.]]=$B36,IF(DATOS_[[Check Periodo Ref.]:[Check Periodo Ref.]]="Dentro",IF(DATOS_[[Check Equiparado]:[Check Equiparado]]="Sí",IF(DATOS!AQ$5="Sí",(1/DATOS_[[% anualiz]:[% anualiz]]),1)*IF(DATOS!AQ$4="Sí",1/DATOS_[[% normaliz]:[% normaliz]],1)*(DATOS_[Conc.Sal.13])))))))),
0)</f>
        <v>0</v>
      </c>
      <c r="W38" s="196">
        <f t="array" ref="W38">IFERROR(
(MEDIAN((IF(DATOS_[[Sexo]:[Sexo]]=$B38,IF(DATOS_[[AGRUP. CLAS. PROF.]:[AGRUP. CLAS. PROF.]]=$B36,IF(DATOS_[[Check Periodo Ref.]:[Check Periodo Ref.]]="Dentro",IF(DATOS_[[Check Equiparado]:[Check Equiparado]]="Sí",IF(DATOS!AR$5="Sí",(1/DATOS_[[% anualiz]:[% anualiz]]),1)*IF(DATOS!AR$4="Sí",1/DATOS_[[% normaliz]:[% normaliz]],1)*(DATOS_[Conc.Sal.14])))))))),
0)</f>
        <v>0</v>
      </c>
      <c r="X38" s="196">
        <f t="array" ref="X38">IFERROR(
(MEDIAN((IF(DATOS_[[Sexo]:[Sexo]]=$B38,IF(DATOS_[[AGRUP. CLAS. PROF.]:[AGRUP. CLAS. PROF.]]=$B36,IF(DATOS_[[Check Periodo Ref.]:[Check Periodo Ref.]]="Dentro",IF(DATOS_[[Check Equiparado]:[Check Equiparado]]="Sí",IF(DATOS!AS$5="Sí",(1/DATOS_[[% anualiz]:[% anualiz]]),1)*IF(DATOS!AS$4="Sí",1/DATOS_[[% normaliz]:[% normaliz]],1)*(DATOS_[Conc.Sal.15])))))))),
0)</f>
        <v>0</v>
      </c>
      <c r="Y38" s="196">
        <f t="array" ref="Y38">IFERROR(
(MEDIAN((IF(DATOS_[[Sexo]:[Sexo]]=$B38,IF(DATOS_[[AGRUP. CLAS. PROF.]:[AGRUP. CLAS. PROF.]]=$B36,IF(DATOS_[[Check Periodo Ref.]:[Check Periodo Ref.]]="Dentro",IF(DATOS_[[Check Equiparado]:[Check Equiparado]]="Sí",IF(DATOS!AT$5="Sí",(1/DATOS_[[% anualiz]:[% anualiz]]),1)*IF(DATOS!AT$4="Sí",1/DATOS_[[% normaliz]:[% normaliz]],1)*(DATOS_[Conc.Sal.16])))))))),
0)</f>
        <v>0</v>
      </c>
      <c r="Z38" s="196">
        <f t="array" ref="Z38">IFERROR(
(MEDIAN((IF(DATOS_[[Sexo]:[Sexo]]=$B38,IF(DATOS_[[AGRUP. CLAS. PROF.]:[AGRUP. CLAS. PROF.]]=$B36,IF(DATOS_[[Check Periodo Ref.]:[Check Periodo Ref.]]="Dentro",IF(DATOS_[[Check Equiparado]:[Check Equiparado]]="Sí",IF(DATOS!AU$5="Sí",(1/DATOS_[[% anualiz]:[% anualiz]]),1)*IF(DATOS!AU$4="Sí",1/DATOS_[[% normaliz]:[% normaliz]],1)*(DATOS_[Conc.Sal.17])))))))),
0)</f>
        <v>0</v>
      </c>
      <c r="AA38" s="196">
        <f t="array" ref="AA38">IFERROR(
(MEDIAN((IF(DATOS_[[Sexo]:[Sexo]]=$B38,IF(DATOS_[[AGRUP. CLAS. PROF.]:[AGRUP. CLAS. PROF.]]=$B36,IF(DATOS_[[Check Periodo Ref.]:[Check Periodo Ref.]]="Dentro",IF(DATOS_[[Check Equiparado]:[Check Equiparado]]="Sí",IF(DATOS!AV$5="Sí",(1/DATOS_[[% anualiz]:[% anualiz]]),1)*IF(DATOS!AV$4="Sí",1/DATOS_[[% normaliz]:[% normaliz]],1)*(DATOS_[Conc.Sal.18])))))))),
0)</f>
        <v>0</v>
      </c>
      <c r="AB38" s="196">
        <f t="array" ref="AB38">IFERROR(
(MEDIAN((IF(DATOS_[[Sexo]:[Sexo]]=$B38,IF(DATOS_[[AGRUP. CLAS. PROF.]:[AGRUP. CLAS. PROF.]]=$B36,IF(DATOS_[[Check Periodo Ref.]:[Check Periodo Ref.]]="Dentro",IF(DATOS_[[Check Equiparado]:[Check Equiparado]]="Sí",IF(DATOS!AW$5="Sí",(1/DATOS_[[% anualiz]:[% anualiz]]),1)*IF(DATOS!AW$4="Sí",1/DATOS_[[% normaliz]:[% normaliz]],1)*(DATOS_[Conc.Sal.19])))))))),
0)</f>
        <v>0</v>
      </c>
      <c r="AC38" s="196">
        <f t="array" ref="AC38">IFERROR(
(MEDIAN((IF(DATOS_[[Sexo]:[Sexo]]=$B38,IF(DATOS_[[AGRUP. CLAS. PROF.]:[AGRUP. CLAS. PROF.]]=$B36,IF(DATOS_[[Check Periodo Ref.]:[Check Periodo Ref.]]="Dentro",IF(DATOS_[[Check Equiparado]:[Check Equiparado]]="Sí",IF(DATOS!AX$5="Sí",(1/DATOS_[[% anualiz]:[% anualiz]]),1)*IF(DATOS!AX$4="Sí",1/DATOS_[[% normaliz]:[% normaliz]],1)*(DATOS_[Conc.Sal.20])))))))),
0)</f>
        <v>0</v>
      </c>
      <c r="AD38" s="196">
        <f t="array" ref="AD38">IFERROR(
(MEDIAN((IF(DATOS_[[Sexo]:[Sexo]]=$B38,IF(DATOS_[[AGRUP. CLAS. PROF.]:[AGRUP. CLAS. PROF.]]=$B36,IF(DATOS_[[Check Periodo Ref.]:[Check Periodo Ref.]]="Dentro",IF(DATOS_[[Check Equiparado]:[Check Equiparado]]="Sí",IF(DATOS!AY$5="Sí",(1/DATOS_[[% anualiz]:[% anualiz]]),1)*IF(DATOS!AY$4="Sí",1/DATOS_[[% normaliz]:[% normaliz]],1)*(DATOS_[Conc.Sal.21])))))))),
0)</f>
        <v>0</v>
      </c>
      <c r="AE38" s="196">
        <f t="array" ref="AE38">IFERROR(
(MEDIAN((IF(DATOS_[[Sexo]:[Sexo]]=$B38,IF(DATOS_[[AGRUP. CLAS. PROF.]:[AGRUP. CLAS. PROF.]]=$B36,IF(DATOS_[[Check Periodo Ref.]:[Check Periodo Ref.]]="Dentro",IF(DATOS_[[Check Equiparado]:[Check Equiparado]]="Sí",IF(DATOS!AZ$5="Sí",(1/DATOS_[[% anualiz]:[% anualiz]]),1)*IF(DATOS!AZ$4="Sí",1/DATOS_[[% normaliz]:[% normaliz]],1)*(DATOS_[Conc.Sal.22])))))))),
0)</f>
        <v>0</v>
      </c>
      <c r="AF38" s="196">
        <f t="array" ref="AF38">IFERROR(
(MEDIAN((IF(DATOS_[[Sexo]:[Sexo]]=$B38,IF(DATOS_[[AGRUP. CLAS. PROF.]:[AGRUP. CLAS. PROF.]]=$B36,IF(DATOS_[[Check Periodo Ref.]:[Check Periodo Ref.]]="Dentro",IF(DATOS_[[Check Equiparado]:[Check Equiparado]]="Sí",IF(DATOS!BA$5="Sí",(1/DATOS_[[% anualiz]:[% anualiz]]),1)*IF(DATOS!BA$4="Sí",1/DATOS_[[% normaliz]:[% normaliz]],1)*(DATOS_[Conc.Sal.23])))))))),
0)</f>
        <v>0</v>
      </c>
      <c r="AG38" s="196">
        <f t="array" ref="AG38">IFERROR(
(MEDIAN((IF(DATOS_[[Sexo]:[Sexo]]=$B38,IF(DATOS_[[AGRUP. CLAS. PROF.]:[AGRUP. CLAS. PROF.]]=$B36,IF(DATOS_[[Check Periodo Ref.]:[Check Periodo Ref.]]="Dentro",IF(DATOS_[[Check Equiparado]:[Check Equiparado]]="Sí",IF(DATOS!BB$5="Sí",(1/DATOS_[[% anualiz]:[% anualiz]]),1)*IF(DATOS!BB$4="Sí",1/DATOS_[[% normaliz]:[% normaliz]],1)*(DATOS_[Conc.Sal.24])))))))),
0)</f>
        <v>0</v>
      </c>
      <c r="AH38" s="196">
        <f t="array" ref="AH38">IFERROR(
(MEDIAN((IF(DATOS_[[Sexo]:[Sexo]]=$B38,IF(DATOS_[[AGRUP. CLAS. PROF.]:[AGRUP. CLAS. PROF.]]=$B36,IF(DATOS_[[Check Periodo Ref.]:[Check Periodo Ref.]]="Dentro",IF(DATOS_[[Check Equiparado]:[Check Equiparado]]="Sí",IF(DATOS!BC$5="Sí",(1/DATOS_[[% anualiz]:[% anualiz]]),1)*IF(DATOS!BC$4="Sí",1/DATOS_[[% normaliz]:[% normaliz]],1)*(DATOS_[Conc.Sal.25])))))))),
0)</f>
        <v>0</v>
      </c>
      <c r="AI38" s="196">
        <f t="array" ref="AI38">IFERROR(
(MEDIAN((IF(DATOS_[[Sexo]:[Sexo]]=$B38,IF(DATOS_[[AGRUP. CLAS. PROF.]:[AGRUP. CLAS. PROF.]]=$B36,IF(DATOS_[[Check Periodo Ref.]:[Check Periodo Ref.]]="Dentro",IF(DATOS_[[Check Equiparado]:[Check Equiparado]]="Sí",IF(DATOS!BD$5="Sí",(1/DATOS_[[% anualiz]:[% anualiz]]),1)*IF(DATOS!BD$4="Sí",1/DATOS_[[% normaliz]:[% normaliz]],1)*(DATOS_[Conc.Sal.26])))))))),
0)</f>
        <v>0</v>
      </c>
      <c r="AJ38" s="196">
        <f t="array" ref="AJ38">IFERROR(
(MEDIAN((IF(DATOS_[[Sexo]:[Sexo]]=$B38,IF(DATOS_[[AGRUP. CLAS. PROF.]:[AGRUP. CLAS. PROF.]]=$B36,IF(DATOS_[[Check Periodo Ref.]:[Check Periodo Ref.]]="Dentro",IF(DATOS_[[Check Equiparado]:[Check Equiparado]]="Sí",IF(DATOS!BE$5="Sí",(1/DATOS_[[% anualiz]:[% anualiz]]),1)*IF(DATOS!BE$4="Sí",1/DATOS_[[% normaliz]:[% normaliz]],1)*(DATOS_[Conc.Sal.27])))))))),
0)</f>
        <v>0</v>
      </c>
      <c r="AK38" s="196">
        <f t="array" ref="AK38">IFERROR(
(MEDIAN((IF(DATOS_[[Sexo]:[Sexo]]=$B38,IF(DATOS_[[AGRUP. CLAS. PROF.]:[AGRUP. CLAS. PROF.]]=$B36,IF(DATOS_[[Check Periodo Ref.]:[Check Periodo Ref.]]="Dentro",IF(DATOS_[[Check Equiparado]:[Check Equiparado]]="Sí",IF(DATOS!BF$5="Sí",(1/DATOS_[[% anualiz]:[% anualiz]]),1)*IF(DATOS!BF$4="Sí",1/DATOS_[[% normaliz]:[% normaliz]],1)*(DATOS_[Conc.Sal.28])))))))),
0)</f>
        <v>0</v>
      </c>
      <c r="AL38" s="196">
        <f t="array" ref="AL38">IFERROR(
(MEDIAN((IF(DATOS_[[Sexo]:[Sexo]]=$B38,IF(DATOS_[[AGRUP. CLAS. PROF.]:[AGRUP. CLAS. PROF.]]=$B36,IF(DATOS_[[Check Periodo Ref.]:[Check Periodo Ref.]]="Dentro",IF(DATOS_[[Check Equiparado]:[Check Equiparado]]="Sí",IF(DATOS!BG$5="Sí",(1/DATOS_[[% anualiz]:[% anualiz]]),1)*IF(DATOS!BG$4="Sí",1/DATOS_[[% normaliz]:[% normaliz]],1)*(DATOS_[Conc.Sal.29])))))))),
0)</f>
        <v>0</v>
      </c>
      <c r="AM38" s="196">
        <f t="array" ref="AM38">IFERROR(
(MEDIAN((IF(DATOS_[[Sexo]:[Sexo]]=$B38,IF(DATOS_[[AGRUP. CLAS. PROF.]:[AGRUP. CLAS. PROF.]]=$B36,IF(DATOS_[[Check Periodo Ref.]:[Check Periodo Ref.]]="Dentro",IF(DATOS_[[Check Equiparado]:[Check Equiparado]]="Sí",IF(DATOS!BH$5="Sí",(1/DATOS_[[% anualiz]:[% anualiz]]),1)*IF(DATOS!BH$4="Sí",1/DATOS_[[% normaliz]:[% normaliz]],1)*(DATOS_[Conc.Sal.30])))))))),
0)</f>
        <v>0</v>
      </c>
      <c r="AN38" s="195">
        <f t="array" ref="AN38">IFERROR(
MEDIAN(IF(DATOS_[Sexo]=$B38,IF(DATOS_[[AGRUP. CLAS. PROF.]:[AGRUP. CLAS. PROF.]]=$B36,IF(DATOS_[Check Equiparado]="Sí",IF(DATOS_[Check Periodo Ref.]="Dentro",DATOS_[Tot COMPL.SAL Eq],FALSE))))),
0)</f>
        <v>0</v>
      </c>
      <c r="AO38" s="172">
        <f t="array" ref="AO38">IFERROR(
MEDIAN(IF(DATOS_[Sexo]=$B38,IF(DATOS_[[AGRUP. CLAS. PROF.]:[AGRUP. CLAS. PROF.]]=$B36,IF(DATOS_[Check Equiparado]="Sí",IF(DATOS_[Check Periodo Ref.]="Dentro",DATOS_[TOTAL SALARIO Eq],FALSE))))),
0)</f>
        <v>0</v>
      </c>
      <c r="AP38" s="173">
        <f t="array" ref="AP38">IFERROR(
(MEDIAN((IF(DATOS_[[Sexo]:[Sexo]]=$B38,IF(DATOS_[[AGRUP. CLAS. PROF.]:[AGRUP. CLAS. PROF.]]=$B36,IF(DATOS_[[Check Periodo Ref.]:[Check Periodo Ref.]]="Dentro",IF(DATOS_[[Check Equiparado]:[Check Equiparado]]="Sí",IF(DATOS!BW$5="Sí",(1/DATOS_[[% anualiz]:[% anualiz]]),1)*IF(DATOS!BW$4="Sí",1/DATOS_[[% normaliz]:[% normaliz]],1)*(DATOS_[C.Extra.01])))))))),
0)</f>
        <v>0</v>
      </c>
      <c r="AQ38" s="173">
        <f t="array" ref="AQ38">IFERROR(
(MEDIAN((IF(DATOS_[[Sexo]:[Sexo]]=$B38,IF(DATOS_[[AGRUP. CLAS. PROF.]:[AGRUP. CLAS. PROF.]]=$B36,IF(DATOS_[[Check Periodo Ref.]:[Check Periodo Ref.]]="Dentro",IF(DATOS_[[Check Equiparado]:[Check Equiparado]]="Sí",IF(DATOS!CB$5="Sí",(1/DATOS_[[% anualiz]:[% anualiz]]),1)*IF(DATOS!CB$4="Sí",1/DATOS_[[% normaliz]:[% normaliz]],1)*(DATOS_[C.Extra.06])))))))),
0)</f>
        <v>0</v>
      </c>
      <c r="AR38" s="173">
        <f t="array" ref="AR38">IFERROR(
(MEDIAN((IF(DATOS_[[Sexo]:[Sexo]]=$B38,IF(DATOS_[[AGRUP. CLAS. PROF.]:[AGRUP. CLAS. PROF.]]=$B36,IF(DATOS_[[Check Periodo Ref.]:[Check Periodo Ref.]]="Dentro",IF(DATOS_[[Check Equiparado]:[Check Equiparado]]="Sí",IF(DATOS!CC$5="Sí",(1/DATOS_[[% anualiz]:[% anualiz]]),1)*IF(DATOS!CC$4="Sí",1/DATOS_[[% normaliz]:[% normaliz]],1)*(DATOS_[C.Extra.07])))))))),
0)</f>
        <v>0</v>
      </c>
      <c r="AS38" s="173">
        <f t="array" ref="AS38">IFERROR(
(MEDIAN((IF(DATOS_[[Sexo]:[Sexo]]=$B38,IF(DATOS_[[AGRUP. CLAS. PROF.]:[AGRUP. CLAS. PROF.]]=$B36,IF(DATOS_[[Check Periodo Ref.]:[Check Periodo Ref.]]="Dentro",IF(DATOS_[[Check Equiparado]:[Check Equiparado]]="Sí",IF(DATOS!CD$5="Sí",(1/DATOS_[[% anualiz]:[% anualiz]]),1)*IF(DATOS!CD$4="Sí",1/DATOS_[[% normaliz]:[% normaliz]],1)*(DATOS_[C.Extra.08])))))))),
0)</f>
        <v>0</v>
      </c>
      <c r="AT38" s="173">
        <f t="array" ref="AT38">IFERROR(
(MEDIAN((IF(DATOS_[[Sexo]:[Sexo]]=$B38,IF(DATOS_[[AGRUP. CLAS. PROF.]:[AGRUP. CLAS. PROF.]]=$B36,IF(DATOS_[[Check Periodo Ref.]:[Check Periodo Ref.]]="Dentro",IF(DATOS_[[Check Equiparado]:[Check Equiparado]]="Sí",IF(DATOS!CG$5="Sí",(1/DATOS_[[% anualiz]:[% anualiz]]),1)*IF(DATOS!CG$4="Sí",1/DATOS_[[% normaliz]:[% normaliz]],1)*(DATOS_[C.Extra.11])))))))),
0)</f>
        <v>0</v>
      </c>
      <c r="AU38" s="197">
        <f t="array" ref="AU38">IFERROR(
MEDIAN(IF(DATOS_[Sexo]=$B38,IF(DATOS_[[AGRUP. CLAS. PROF.]:[AGRUP. CLAS. PROF.]]=$B36,IF(DATOS_[Check Equiparado]="Sí",IF(DATOS_[Check Periodo Ref.]="Dentro",DATOS_[Tot Extrasalarial Eq],FALSE))))),
0)</f>
        <v>0</v>
      </c>
      <c r="AV38" s="175">
        <f t="array" ref="AV38">IFERROR(
MEDIAN(IF(DATOS_[Sexo]=$B38,IF(DATOS_[[AGRUP. CLAS. PROF.]:[AGRUP. CLAS. PROF.]]=$B36,IF(DATOS_[Check Equiparado]="Sí",IF(DATOS_[Check Periodo Ref.]="Dentro",DATOS_[TOTAL Retrib Eq],FALSE))))),
0)</f>
        <v>0</v>
      </c>
    </row>
    <row r="39" spans="1:48" ht="15.6" hidden="1" thickBot="1" x14ac:dyDescent="0.3">
      <c r="A39" s="133" t="str">
        <f t="shared" ref="A39" si="35">+A40</f>
        <v>[ocultar]</v>
      </c>
      <c r="B39" s="199" t="s">
        <v>208</v>
      </c>
      <c r="C39" s="200"/>
      <c r="D39" s="201"/>
      <c r="E39" s="201"/>
      <c r="F39" s="201"/>
      <c r="G39" s="201"/>
      <c r="H39" s="201"/>
      <c r="I39" s="189" t="str">
        <f t="shared" ref="I39:AV39" si="36">IFERROR((I40-I41)/I40,"")</f>
        <v/>
      </c>
      <c r="J39" s="190" t="str">
        <f t="shared" si="36"/>
        <v/>
      </c>
      <c r="K39" s="191" t="str">
        <f t="shared" si="36"/>
        <v/>
      </c>
      <c r="L39" s="191" t="str">
        <f t="shared" si="36"/>
        <v/>
      </c>
      <c r="M39" s="191" t="str">
        <f t="shared" si="36"/>
        <v/>
      </c>
      <c r="N39" s="192" t="str">
        <f t="shared" si="36"/>
        <v/>
      </c>
      <c r="O39" s="193" t="str">
        <f t="shared" si="36"/>
        <v/>
      </c>
      <c r="P39" s="193" t="str">
        <f t="shared" si="36"/>
        <v/>
      </c>
      <c r="Q39" s="193" t="str">
        <f t="shared" si="36"/>
        <v/>
      </c>
      <c r="R39" s="193" t="str">
        <f t="shared" si="36"/>
        <v/>
      </c>
      <c r="S39" s="193" t="str">
        <f t="shared" si="36"/>
        <v/>
      </c>
      <c r="T39" s="193" t="str">
        <f t="shared" si="36"/>
        <v/>
      </c>
      <c r="U39" s="193" t="str">
        <f t="shared" si="36"/>
        <v/>
      </c>
      <c r="V39" s="193" t="str">
        <f t="shared" si="36"/>
        <v/>
      </c>
      <c r="W39" s="193" t="str">
        <f t="shared" si="36"/>
        <v/>
      </c>
      <c r="X39" s="193" t="str">
        <f t="shared" si="36"/>
        <v/>
      </c>
      <c r="Y39" s="193" t="str">
        <f t="shared" si="36"/>
        <v/>
      </c>
      <c r="Z39" s="193" t="str">
        <f t="shared" si="36"/>
        <v/>
      </c>
      <c r="AA39" s="193" t="str">
        <f t="shared" si="36"/>
        <v/>
      </c>
      <c r="AB39" s="193" t="str">
        <f t="shared" si="36"/>
        <v/>
      </c>
      <c r="AC39" s="193" t="str">
        <f t="shared" si="36"/>
        <v/>
      </c>
      <c r="AD39" s="193" t="str">
        <f t="shared" si="36"/>
        <v/>
      </c>
      <c r="AE39" s="193" t="str">
        <f t="shared" si="36"/>
        <v/>
      </c>
      <c r="AF39" s="193" t="str">
        <f t="shared" si="36"/>
        <v/>
      </c>
      <c r="AG39" s="193" t="str">
        <f t="shared" si="36"/>
        <v/>
      </c>
      <c r="AH39" s="193" t="str">
        <f t="shared" si="36"/>
        <v/>
      </c>
      <c r="AI39" s="193" t="str">
        <f t="shared" si="36"/>
        <v/>
      </c>
      <c r="AJ39" s="193" t="str">
        <f t="shared" si="36"/>
        <v/>
      </c>
      <c r="AK39" s="193" t="str">
        <f t="shared" si="36"/>
        <v/>
      </c>
      <c r="AL39" s="193" t="str">
        <f t="shared" si="36"/>
        <v/>
      </c>
      <c r="AM39" s="193" t="str">
        <f t="shared" si="36"/>
        <v/>
      </c>
      <c r="AN39" s="189" t="str">
        <f t="shared" si="36"/>
        <v/>
      </c>
      <c r="AO39" s="162" t="str">
        <f t="shared" si="36"/>
        <v/>
      </c>
      <c r="AP39" s="163" t="str">
        <f t="shared" si="36"/>
        <v/>
      </c>
      <c r="AQ39" s="163" t="str">
        <f t="shared" si="36"/>
        <v/>
      </c>
      <c r="AR39" s="163" t="str">
        <f t="shared" si="36"/>
        <v/>
      </c>
      <c r="AS39" s="163" t="str">
        <f t="shared" si="36"/>
        <v/>
      </c>
      <c r="AT39" s="163" t="str">
        <f t="shared" si="36"/>
        <v/>
      </c>
      <c r="AU39" s="194" t="str">
        <f t="shared" si="36"/>
        <v/>
      </c>
      <c r="AV39" s="165" t="str">
        <f t="shared" si="36"/>
        <v/>
      </c>
    </row>
    <row r="40" spans="1:48" hidden="1" x14ac:dyDescent="0.25">
      <c r="A40" s="133" t="str">
        <f t="shared" ref="A40" si="37">+IF(C40+C41=0,"[ocultar]","")</f>
        <v>[ocultar]</v>
      </c>
      <c r="B40" s="202" t="s">
        <v>394</v>
      </c>
      <c r="C40" s="203">
        <f t="array" ref="C40">SUM(IF($B40=DATOS_[Sexo],
IF($B39=DATOS_[AGRUP. CLAS. PROF.],
IF("Dentro"=DATOS_[Check Periodo Ref.],
1/(COUNTIFS(DATOS_[Sexo],$B40,DATOS_[AGRUP. CLAS. PROF.],$B39,DATOS_[Check Periodo Ref.],"Dentro",DATOS_[id/cod],DATOS_[id/cod]))))))</f>
        <v>0</v>
      </c>
      <c r="D40" s="204">
        <f>COUNTIFS(DATOS_[AGRUP. CLAS. PROF.],$B39,DATOS_[Sexo],$B40,DATOS_[Check Periodo Ref.],"Dentro")</f>
        <v>0</v>
      </c>
      <c r="E40" s="204">
        <f>COUNTIFS(DATOS_[AGRUP. CLAS. PROF.],$B39,DATOS_[Sexo],$B40,DATOS_[Check Periodo Ref.],"Dentro",DATOS_[Check Nº SC Norm],"Sí")</f>
        <v>0</v>
      </c>
      <c r="F40" s="204">
        <f>COUNTIFS(DATOS_[AGRUP. CLAS. PROF.],$B39,DATOS_[Sexo],$B40,DATOS_[Check Periodo Ref.],"Dentro",DATOS_[Check Nº SC Anualiz],"Sí")</f>
        <v>0</v>
      </c>
      <c r="G40" s="204">
        <f>COUNTIFS(DATOS_[AGRUP. CLAS. PROF.],$B39,DATOS_[Sexo],$B40,DATOS_[Check Periodo Ref.],"Dentro",DATOS_[Check Nº SC Norm y Anualiz],"Sí")</f>
        <v>0</v>
      </c>
      <c r="H40" s="204">
        <f>COUNTIFS(DATOS_[AGRUP. CLAS. PROF.],$B39,DATOS_[Sexo],$B40,DATOS_[Check Periodo Ref.],"Dentro",DATOS_[Check Equiparación],"Sí")</f>
        <v>0</v>
      </c>
      <c r="I40" s="195">
        <f t="array" ref="I40">IFERROR(
MEDIAN(IF(DATOS_[Sexo]=$B40,IF(DATOS_[[AGRUP. CLAS. PROF.]:[AGRUP. CLAS. PROF.]]=$B39,IF(DATOS_[Check Equiparado]="Sí",IF(DATOS_[Check Periodo Ref.]="Dentro",DATOS_[SALARIO BASE Eq],FALSE))))),
0)</f>
        <v>0</v>
      </c>
      <c r="J40" s="196">
        <f t="array" ref="J40">IFERROR(
(MEDIAN((IF(DATOS_[[Sexo]:[Sexo]]=$B40,IF(DATOS_[[AGRUP. CLAS. PROF.]:[AGRUP. CLAS. PROF.]]=$B39,IF(DATOS_[[Check Periodo Ref.]:[Check Periodo Ref.]]="Dentro",IF(DATOS_[[Check Equiparado]:[Check Equiparado]]="Sí",IF(DATOS!AE$5="Sí",(1/DATOS_[[% anualiz]:[% anualiz]]),1)*IF(DATOS!AE$4="Sí",1/DATOS_[[% normaliz]:[% normaliz]],1)*(DATOS_[Conc.Sal.01])))))))),
0)</f>
        <v>0</v>
      </c>
      <c r="K40" s="196">
        <f t="array" ref="K40">IFERROR(
(MEDIAN((IF(DATOS_[[Sexo]:[Sexo]]=$B40,IF(DATOS_[[AGRUP. CLAS. PROF.]:[AGRUP. CLAS. PROF.]]=$B39,IF(DATOS_[[Check Periodo Ref.]:[Check Periodo Ref.]]="Dentro",IF(DATOS_[[Check Equiparado]:[Check Equiparado]]="Sí",IF(DATOS!AF$5="Sí",(1/DATOS_[[% anualiz]:[% anualiz]]),1)*IF(DATOS!AF$4="Sí",1/DATOS_[[% normaliz]:[% normaliz]],1)*(DATOS_[Conc.Sal.02])))))))),
0)</f>
        <v>0</v>
      </c>
      <c r="L40" s="196">
        <f t="array" ref="L40">IFERROR(
(MEDIAN((IF(DATOS_[[Sexo]:[Sexo]]=$B40,IF(DATOS_[[AGRUP. CLAS. PROF.]:[AGRUP. CLAS. PROF.]]=$B39,IF(DATOS_[[Check Periodo Ref.]:[Check Periodo Ref.]]="Dentro",IF(DATOS_[[Check Equiparado]:[Check Equiparado]]="Sí",IF(DATOS!AG$5="Sí",(1/DATOS_[[% anualiz]:[% anualiz]]),1)*IF(DATOS!AG$4="Sí",1/DATOS_[[% normaliz]:[% normaliz]],1)*(DATOS_[Conc.Sal.03])))))))),
0)</f>
        <v>0</v>
      </c>
      <c r="M40" s="196">
        <f t="array" ref="M40">IFERROR(
(MEDIAN((IF(DATOS_[[Sexo]:[Sexo]]=$B40,IF(DATOS_[[AGRUP. CLAS. PROF.]:[AGRUP. CLAS. PROF.]]=$B39,IF(DATOS_[[Check Periodo Ref.]:[Check Periodo Ref.]]="Dentro",IF(DATOS_[[Check Equiparado]:[Check Equiparado]]="Sí",IF(DATOS!AH$5="Sí",(1/DATOS_[[% anualiz]:[% anualiz]]),1)*IF(DATOS!AH$4="Sí",1/DATOS_[[% normaliz]:[% normaliz]],1)*(DATOS_[Conc.Sal.04])))))))),
0)</f>
        <v>0</v>
      </c>
      <c r="N40" s="196">
        <f t="array" ref="N40">IFERROR(
(MEDIAN((IF(DATOS_[[Sexo]:[Sexo]]=$B40,IF(DATOS_[[AGRUP. CLAS. PROF.]:[AGRUP. CLAS. PROF.]]=$B39,IF(DATOS_[[Check Periodo Ref.]:[Check Periodo Ref.]]="Dentro",IF(DATOS_[[Check Equiparado]:[Check Equiparado]]="Sí",IF(DATOS!AI$5="Sí",(1/DATOS_[[% anualiz]:[% anualiz]]),1)*IF(DATOS!AI$4="Sí",1/DATOS_[[% normaliz]:[% normaliz]],1)*(DATOS_[Conc.Sal.05])))))))),
0)</f>
        <v>0</v>
      </c>
      <c r="O40" s="196">
        <f t="array" ref="O40">IFERROR(
(MEDIAN((IF(DATOS_[[Sexo]:[Sexo]]=$B40,IF(DATOS_[[AGRUP. CLAS. PROF.]:[AGRUP. CLAS. PROF.]]=$B39,IF(DATOS_[[Check Periodo Ref.]:[Check Periodo Ref.]]="Dentro",IF(DATOS_[[Check Equiparado]:[Check Equiparado]]="Sí",IF(DATOS!AJ$5="Sí",(1/DATOS_[[% anualiz]:[% anualiz]]),1)*IF(DATOS!AJ$4="Sí",1/DATOS_[[% normaliz]:[% normaliz]],1)*(DATOS_[Conc.Sal.06])))))))),
0)</f>
        <v>0</v>
      </c>
      <c r="P40" s="196">
        <f t="array" ref="P40">IFERROR(
(MEDIAN((IF(DATOS_[[Sexo]:[Sexo]]=$B40,IF(DATOS_[[AGRUP. CLAS. PROF.]:[AGRUP. CLAS. PROF.]]=$B39,IF(DATOS_[[Check Periodo Ref.]:[Check Periodo Ref.]]="Dentro",IF(DATOS_[[Check Equiparado]:[Check Equiparado]]="Sí",IF(DATOS!AK$5="Sí",(1/DATOS_[[% anualiz]:[% anualiz]]),1)*IF(DATOS!AK$4="Sí",1/DATOS_[[% normaliz]:[% normaliz]],1)*(DATOS_[Conc.Sal.07])))))))),
0)</f>
        <v>0</v>
      </c>
      <c r="Q40" s="196">
        <f t="array" ref="Q40">IFERROR(
(MEDIAN((IF(DATOS_[[Sexo]:[Sexo]]=$B40,IF(DATOS_[[AGRUP. CLAS. PROF.]:[AGRUP. CLAS. PROF.]]=$B39,IF(DATOS_[[Check Periodo Ref.]:[Check Periodo Ref.]]="Dentro",IF(DATOS_[[Check Equiparado]:[Check Equiparado]]="Sí",IF(DATOS!AL$5="Sí",(1/DATOS_[[% anualiz]:[% anualiz]]),1)*IF(DATOS!AL$4="Sí",1/DATOS_[[% normaliz]:[% normaliz]],1)*(DATOS_[Conc.Sal.08])))))))),
0)</f>
        <v>0</v>
      </c>
      <c r="R40" s="196">
        <f t="array" ref="R40">IFERROR(
(MEDIAN((IF(DATOS_[[Sexo]:[Sexo]]=$B40,IF(DATOS_[[AGRUP. CLAS. PROF.]:[AGRUP. CLAS. PROF.]]=$B39,IF(DATOS_[[Check Periodo Ref.]:[Check Periodo Ref.]]="Dentro",IF(DATOS_[[Check Equiparado]:[Check Equiparado]]="Sí",IF(DATOS!AM$5="Sí",(1/DATOS_[[% anualiz]:[% anualiz]]),1)*IF(DATOS!AM$4="Sí",1/DATOS_[[% normaliz]:[% normaliz]],1)*(DATOS_[Conc.Sal.09])))))))),
0)</f>
        <v>0</v>
      </c>
      <c r="S40" s="196">
        <f t="array" ref="S40">IFERROR(
(MEDIAN((IF(DATOS_[[Sexo]:[Sexo]]=$B40,IF(DATOS_[[AGRUP. CLAS. PROF.]:[AGRUP. CLAS. PROF.]]=$B39,IF(DATOS_[[Check Periodo Ref.]:[Check Periodo Ref.]]="Dentro",IF(DATOS_[[Check Equiparado]:[Check Equiparado]]="Sí",IF(DATOS!AN$5="Sí",(1/DATOS_[[% anualiz]:[% anualiz]]),1)*IF(DATOS!AN$4="Sí",1/DATOS_[[% normaliz]:[% normaliz]],1)*(DATOS_[Conc.Sal.10])))))))),
0)</f>
        <v>0</v>
      </c>
      <c r="T40" s="196">
        <f t="array" ref="T40">IFERROR(
(MEDIAN((IF(DATOS_[[Sexo]:[Sexo]]=$B40,IF(DATOS_[[AGRUP. CLAS. PROF.]:[AGRUP. CLAS. PROF.]]=$B39,IF(DATOS_[[Check Periodo Ref.]:[Check Periodo Ref.]]="Dentro",IF(DATOS_[[Check Equiparado]:[Check Equiparado]]="Sí",IF(DATOS!AO$5="Sí",(1/DATOS_[[% anualiz]:[% anualiz]]),1)*IF(DATOS!AO$4="Sí",1/DATOS_[[% normaliz]:[% normaliz]],1)*(DATOS_[Conc.Sal.11])))))))),
0)</f>
        <v>0</v>
      </c>
      <c r="U40" s="196">
        <f t="array" ref="U40">IFERROR(
(MEDIAN((IF(DATOS_[[Sexo]:[Sexo]]=$B40,IF(DATOS_[[AGRUP. CLAS. PROF.]:[AGRUP. CLAS. PROF.]]=$B39,IF(DATOS_[[Check Periodo Ref.]:[Check Periodo Ref.]]="Dentro",IF(DATOS_[[Check Equiparado]:[Check Equiparado]]="Sí",IF(DATOS!AP$5="Sí",(1/DATOS_[[% anualiz]:[% anualiz]]),1)*IF(DATOS!AP$4="Sí",1/DATOS_[[% normaliz]:[% normaliz]],1)*(DATOS_[Conc.Sal.12])))))))),
0)</f>
        <v>0</v>
      </c>
      <c r="V40" s="196">
        <f t="array" ref="V40">IFERROR(
(MEDIAN((IF(DATOS_[[Sexo]:[Sexo]]=$B40,IF(DATOS_[[AGRUP. CLAS. PROF.]:[AGRUP. CLAS. PROF.]]=$B39,IF(DATOS_[[Check Periodo Ref.]:[Check Periodo Ref.]]="Dentro",IF(DATOS_[[Check Equiparado]:[Check Equiparado]]="Sí",IF(DATOS!AQ$5="Sí",(1/DATOS_[[% anualiz]:[% anualiz]]),1)*IF(DATOS!AQ$4="Sí",1/DATOS_[[% normaliz]:[% normaliz]],1)*(DATOS_[Conc.Sal.13])))))))),
0)</f>
        <v>0</v>
      </c>
      <c r="W40" s="196">
        <f t="array" ref="W40">IFERROR(
(MEDIAN((IF(DATOS_[[Sexo]:[Sexo]]=$B40,IF(DATOS_[[AGRUP. CLAS. PROF.]:[AGRUP. CLAS. PROF.]]=$B39,IF(DATOS_[[Check Periodo Ref.]:[Check Periodo Ref.]]="Dentro",IF(DATOS_[[Check Equiparado]:[Check Equiparado]]="Sí",IF(DATOS!AR$5="Sí",(1/DATOS_[[% anualiz]:[% anualiz]]),1)*IF(DATOS!AR$4="Sí",1/DATOS_[[% normaliz]:[% normaliz]],1)*(DATOS_[Conc.Sal.14])))))))),
0)</f>
        <v>0</v>
      </c>
      <c r="X40" s="196">
        <f t="array" ref="X40">IFERROR(
(MEDIAN((IF(DATOS_[[Sexo]:[Sexo]]=$B40,IF(DATOS_[[AGRUP. CLAS. PROF.]:[AGRUP. CLAS. PROF.]]=$B39,IF(DATOS_[[Check Periodo Ref.]:[Check Periodo Ref.]]="Dentro",IF(DATOS_[[Check Equiparado]:[Check Equiparado]]="Sí",IF(DATOS!AS$5="Sí",(1/DATOS_[[% anualiz]:[% anualiz]]),1)*IF(DATOS!AS$4="Sí",1/DATOS_[[% normaliz]:[% normaliz]],1)*(DATOS_[Conc.Sal.15])))))))),
0)</f>
        <v>0</v>
      </c>
      <c r="Y40" s="196">
        <f t="array" ref="Y40">IFERROR(
(MEDIAN((IF(DATOS_[[Sexo]:[Sexo]]=$B40,IF(DATOS_[[AGRUP. CLAS. PROF.]:[AGRUP. CLAS. PROF.]]=$B39,IF(DATOS_[[Check Periodo Ref.]:[Check Periodo Ref.]]="Dentro",IF(DATOS_[[Check Equiparado]:[Check Equiparado]]="Sí",IF(DATOS!AT$5="Sí",(1/DATOS_[[% anualiz]:[% anualiz]]),1)*IF(DATOS!AT$4="Sí",1/DATOS_[[% normaliz]:[% normaliz]],1)*(DATOS_[Conc.Sal.16])))))))),
0)</f>
        <v>0</v>
      </c>
      <c r="Z40" s="196">
        <f t="array" ref="Z40">IFERROR(
(MEDIAN((IF(DATOS_[[Sexo]:[Sexo]]=$B40,IF(DATOS_[[AGRUP. CLAS. PROF.]:[AGRUP. CLAS. PROF.]]=$B39,IF(DATOS_[[Check Periodo Ref.]:[Check Periodo Ref.]]="Dentro",IF(DATOS_[[Check Equiparado]:[Check Equiparado]]="Sí",IF(DATOS!AU$5="Sí",(1/DATOS_[[% anualiz]:[% anualiz]]),1)*IF(DATOS!AU$4="Sí",1/DATOS_[[% normaliz]:[% normaliz]],1)*(DATOS_[Conc.Sal.17])))))))),
0)</f>
        <v>0</v>
      </c>
      <c r="AA40" s="196">
        <f t="array" ref="AA40">IFERROR(
(MEDIAN((IF(DATOS_[[Sexo]:[Sexo]]=$B40,IF(DATOS_[[AGRUP. CLAS. PROF.]:[AGRUP. CLAS. PROF.]]=$B39,IF(DATOS_[[Check Periodo Ref.]:[Check Periodo Ref.]]="Dentro",IF(DATOS_[[Check Equiparado]:[Check Equiparado]]="Sí",IF(DATOS!AV$5="Sí",(1/DATOS_[[% anualiz]:[% anualiz]]),1)*IF(DATOS!AV$4="Sí",1/DATOS_[[% normaliz]:[% normaliz]],1)*(DATOS_[Conc.Sal.18])))))))),
0)</f>
        <v>0</v>
      </c>
      <c r="AB40" s="196">
        <f t="array" ref="AB40">IFERROR(
(MEDIAN((IF(DATOS_[[Sexo]:[Sexo]]=$B40,IF(DATOS_[[AGRUP. CLAS. PROF.]:[AGRUP. CLAS. PROF.]]=$B39,IF(DATOS_[[Check Periodo Ref.]:[Check Periodo Ref.]]="Dentro",IF(DATOS_[[Check Equiparado]:[Check Equiparado]]="Sí",IF(DATOS!AW$5="Sí",(1/DATOS_[[% anualiz]:[% anualiz]]),1)*IF(DATOS!AW$4="Sí",1/DATOS_[[% normaliz]:[% normaliz]],1)*(DATOS_[Conc.Sal.19])))))))),
0)</f>
        <v>0</v>
      </c>
      <c r="AC40" s="196">
        <f t="array" ref="AC40">IFERROR(
(MEDIAN((IF(DATOS_[[Sexo]:[Sexo]]=$B40,IF(DATOS_[[AGRUP. CLAS. PROF.]:[AGRUP. CLAS. PROF.]]=$B39,IF(DATOS_[[Check Periodo Ref.]:[Check Periodo Ref.]]="Dentro",IF(DATOS_[[Check Equiparado]:[Check Equiparado]]="Sí",IF(DATOS!AX$5="Sí",(1/DATOS_[[% anualiz]:[% anualiz]]),1)*IF(DATOS!AX$4="Sí",1/DATOS_[[% normaliz]:[% normaliz]],1)*(DATOS_[Conc.Sal.20])))))))),
0)</f>
        <v>0</v>
      </c>
      <c r="AD40" s="196">
        <f t="array" ref="AD40">IFERROR(
(MEDIAN((IF(DATOS_[[Sexo]:[Sexo]]=$B40,IF(DATOS_[[AGRUP. CLAS. PROF.]:[AGRUP. CLAS. PROF.]]=$B39,IF(DATOS_[[Check Periodo Ref.]:[Check Periodo Ref.]]="Dentro",IF(DATOS_[[Check Equiparado]:[Check Equiparado]]="Sí",IF(DATOS!AY$5="Sí",(1/DATOS_[[% anualiz]:[% anualiz]]),1)*IF(DATOS!AY$4="Sí",1/DATOS_[[% normaliz]:[% normaliz]],1)*(DATOS_[Conc.Sal.21])))))))),
0)</f>
        <v>0</v>
      </c>
      <c r="AE40" s="196">
        <f t="array" ref="AE40">IFERROR(
(MEDIAN((IF(DATOS_[[Sexo]:[Sexo]]=$B40,IF(DATOS_[[AGRUP. CLAS. PROF.]:[AGRUP. CLAS. PROF.]]=$B39,IF(DATOS_[[Check Periodo Ref.]:[Check Periodo Ref.]]="Dentro",IF(DATOS_[[Check Equiparado]:[Check Equiparado]]="Sí",IF(DATOS!AZ$5="Sí",(1/DATOS_[[% anualiz]:[% anualiz]]),1)*IF(DATOS!AZ$4="Sí",1/DATOS_[[% normaliz]:[% normaliz]],1)*(DATOS_[Conc.Sal.22])))))))),
0)</f>
        <v>0</v>
      </c>
      <c r="AF40" s="196">
        <f t="array" ref="AF40">IFERROR(
(MEDIAN((IF(DATOS_[[Sexo]:[Sexo]]=$B40,IF(DATOS_[[AGRUP. CLAS. PROF.]:[AGRUP. CLAS. PROF.]]=$B39,IF(DATOS_[[Check Periodo Ref.]:[Check Periodo Ref.]]="Dentro",IF(DATOS_[[Check Equiparado]:[Check Equiparado]]="Sí",IF(DATOS!BA$5="Sí",(1/DATOS_[[% anualiz]:[% anualiz]]),1)*IF(DATOS!BA$4="Sí",1/DATOS_[[% normaliz]:[% normaliz]],1)*(DATOS_[Conc.Sal.23])))))))),
0)</f>
        <v>0</v>
      </c>
      <c r="AG40" s="196">
        <f t="array" ref="AG40">IFERROR(
(MEDIAN((IF(DATOS_[[Sexo]:[Sexo]]=$B40,IF(DATOS_[[AGRUP. CLAS. PROF.]:[AGRUP. CLAS. PROF.]]=$B39,IF(DATOS_[[Check Periodo Ref.]:[Check Periodo Ref.]]="Dentro",IF(DATOS_[[Check Equiparado]:[Check Equiparado]]="Sí",IF(DATOS!BB$5="Sí",(1/DATOS_[[% anualiz]:[% anualiz]]),1)*IF(DATOS!BB$4="Sí",1/DATOS_[[% normaliz]:[% normaliz]],1)*(DATOS_[Conc.Sal.24])))))))),
0)</f>
        <v>0</v>
      </c>
      <c r="AH40" s="196">
        <f t="array" ref="AH40">IFERROR(
(MEDIAN((IF(DATOS_[[Sexo]:[Sexo]]=$B40,IF(DATOS_[[AGRUP. CLAS. PROF.]:[AGRUP. CLAS. PROF.]]=$B39,IF(DATOS_[[Check Periodo Ref.]:[Check Periodo Ref.]]="Dentro",IF(DATOS_[[Check Equiparado]:[Check Equiparado]]="Sí",IF(DATOS!BC$5="Sí",(1/DATOS_[[% anualiz]:[% anualiz]]),1)*IF(DATOS!BC$4="Sí",1/DATOS_[[% normaliz]:[% normaliz]],1)*(DATOS_[Conc.Sal.25])))))))),
0)</f>
        <v>0</v>
      </c>
      <c r="AI40" s="196">
        <f t="array" ref="AI40">IFERROR(
(MEDIAN((IF(DATOS_[[Sexo]:[Sexo]]=$B40,IF(DATOS_[[AGRUP. CLAS. PROF.]:[AGRUP. CLAS. PROF.]]=$B39,IF(DATOS_[[Check Periodo Ref.]:[Check Periodo Ref.]]="Dentro",IF(DATOS_[[Check Equiparado]:[Check Equiparado]]="Sí",IF(DATOS!BD$5="Sí",(1/DATOS_[[% anualiz]:[% anualiz]]),1)*IF(DATOS!BD$4="Sí",1/DATOS_[[% normaliz]:[% normaliz]],1)*(DATOS_[Conc.Sal.26])))))))),
0)</f>
        <v>0</v>
      </c>
      <c r="AJ40" s="196">
        <f t="array" ref="AJ40">IFERROR(
(MEDIAN((IF(DATOS_[[Sexo]:[Sexo]]=$B40,IF(DATOS_[[AGRUP. CLAS. PROF.]:[AGRUP. CLAS. PROF.]]=$B39,IF(DATOS_[[Check Periodo Ref.]:[Check Periodo Ref.]]="Dentro",IF(DATOS_[[Check Equiparado]:[Check Equiparado]]="Sí",IF(DATOS!BE$5="Sí",(1/DATOS_[[% anualiz]:[% anualiz]]),1)*IF(DATOS!BE$4="Sí",1/DATOS_[[% normaliz]:[% normaliz]],1)*(DATOS_[Conc.Sal.27])))))))),
0)</f>
        <v>0</v>
      </c>
      <c r="AK40" s="196">
        <f t="array" ref="AK40">IFERROR(
(MEDIAN((IF(DATOS_[[Sexo]:[Sexo]]=$B40,IF(DATOS_[[AGRUP. CLAS. PROF.]:[AGRUP. CLAS. PROF.]]=$B39,IF(DATOS_[[Check Periodo Ref.]:[Check Periodo Ref.]]="Dentro",IF(DATOS_[[Check Equiparado]:[Check Equiparado]]="Sí",IF(DATOS!BF$5="Sí",(1/DATOS_[[% anualiz]:[% anualiz]]),1)*IF(DATOS!BF$4="Sí",1/DATOS_[[% normaliz]:[% normaliz]],1)*(DATOS_[Conc.Sal.28])))))))),
0)</f>
        <v>0</v>
      </c>
      <c r="AL40" s="196">
        <f t="array" ref="AL40">IFERROR(
(MEDIAN((IF(DATOS_[[Sexo]:[Sexo]]=$B40,IF(DATOS_[[AGRUP. CLAS. PROF.]:[AGRUP. CLAS. PROF.]]=$B39,IF(DATOS_[[Check Periodo Ref.]:[Check Periodo Ref.]]="Dentro",IF(DATOS_[[Check Equiparado]:[Check Equiparado]]="Sí",IF(DATOS!BG$5="Sí",(1/DATOS_[[% anualiz]:[% anualiz]]),1)*IF(DATOS!BG$4="Sí",1/DATOS_[[% normaliz]:[% normaliz]],1)*(DATOS_[Conc.Sal.29])))))))),
0)</f>
        <v>0</v>
      </c>
      <c r="AM40" s="196">
        <f t="array" ref="AM40">IFERROR(
(MEDIAN((IF(DATOS_[[Sexo]:[Sexo]]=$B40,IF(DATOS_[[AGRUP. CLAS. PROF.]:[AGRUP. CLAS. PROF.]]=$B39,IF(DATOS_[[Check Periodo Ref.]:[Check Periodo Ref.]]="Dentro",IF(DATOS_[[Check Equiparado]:[Check Equiparado]]="Sí",IF(DATOS!BH$5="Sí",(1/DATOS_[[% anualiz]:[% anualiz]]),1)*IF(DATOS!BH$4="Sí",1/DATOS_[[% normaliz]:[% normaliz]],1)*(DATOS_[Conc.Sal.30])))))))),
0)</f>
        <v>0</v>
      </c>
      <c r="AN40" s="195">
        <f t="array" ref="AN40">IFERROR(
MEDIAN(IF(DATOS_[Sexo]=$B40,IF(DATOS_[[AGRUP. CLAS. PROF.]:[AGRUP. CLAS. PROF.]]=$B39,IF(DATOS_[Check Equiparado]="Sí",IF(DATOS_[Check Periodo Ref.]="Dentro",DATOS_[Tot COMPL.SAL Eq],FALSE))))),
0)</f>
        <v>0</v>
      </c>
      <c r="AO40" s="172">
        <f t="array" ref="AO40">IFERROR(
MEDIAN(IF(DATOS_[Sexo]=$B40,IF(DATOS_[[AGRUP. CLAS. PROF.]:[AGRUP. CLAS. PROF.]]=$B39,IF(DATOS_[Check Equiparado]="Sí",IF(DATOS_[Check Periodo Ref.]="Dentro",DATOS_[TOTAL SALARIO Eq],FALSE))))),
0)</f>
        <v>0</v>
      </c>
      <c r="AP40" s="173">
        <f t="array" ref="AP40">IFERROR(
(MEDIAN((IF(DATOS_[[Sexo]:[Sexo]]=$B40,IF(DATOS_[[AGRUP. CLAS. PROF.]:[AGRUP. CLAS. PROF.]]=$B39,IF(DATOS_[[Check Periodo Ref.]:[Check Periodo Ref.]]="Dentro",IF(DATOS_[[Check Equiparado]:[Check Equiparado]]="Sí",IF(DATOS!BW$5="Sí",(1/DATOS_[[% anualiz]:[% anualiz]]),1)*IF(DATOS!BW$4="Sí",1/DATOS_[[% normaliz]:[% normaliz]],1)*(DATOS_[C.Extra.01])))))))),
0)</f>
        <v>0</v>
      </c>
      <c r="AQ40" s="173">
        <f t="array" ref="AQ40">IFERROR(
(MEDIAN((IF(DATOS_[[Sexo]:[Sexo]]=$B40,IF(DATOS_[[AGRUP. CLAS. PROF.]:[AGRUP. CLAS. PROF.]]=$B39,IF(DATOS_[[Check Periodo Ref.]:[Check Periodo Ref.]]="Dentro",IF(DATOS_[[Check Equiparado]:[Check Equiparado]]="Sí",IF(DATOS!CB$5="Sí",(1/DATOS_[[% anualiz]:[% anualiz]]),1)*IF(DATOS!CB$4="Sí",1/DATOS_[[% normaliz]:[% normaliz]],1)*(DATOS_[C.Extra.06])))))))),
0)</f>
        <v>0</v>
      </c>
      <c r="AR40" s="173">
        <f t="array" ref="AR40">IFERROR(
(MEDIAN((IF(DATOS_[[Sexo]:[Sexo]]=$B40,IF(DATOS_[[AGRUP. CLAS. PROF.]:[AGRUP. CLAS. PROF.]]=$B39,IF(DATOS_[[Check Periodo Ref.]:[Check Periodo Ref.]]="Dentro",IF(DATOS_[[Check Equiparado]:[Check Equiparado]]="Sí",IF(DATOS!CC$5="Sí",(1/DATOS_[[% anualiz]:[% anualiz]]),1)*IF(DATOS!CC$4="Sí",1/DATOS_[[% normaliz]:[% normaliz]],1)*(DATOS_[C.Extra.07])))))))),
0)</f>
        <v>0</v>
      </c>
      <c r="AS40" s="173">
        <f t="array" ref="AS40">IFERROR(
(MEDIAN((IF(DATOS_[[Sexo]:[Sexo]]=$B40,IF(DATOS_[[AGRUP. CLAS. PROF.]:[AGRUP. CLAS. PROF.]]=$B39,IF(DATOS_[[Check Periodo Ref.]:[Check Periodo Ref.]]="Dentro",IF(DATOS_[[Check Equiparado]:[Check Equiparado]]="Sí",IF(DATOS!CD$5="Sí",(1/DATOS_[[% anualiz]:[% anualiz]]),1)*IF(DATOS!CD$4="Sí",1/DATOS_[[% normaliz]:[% normaliz]],1)*(DATOS_[C.Extra.08])))))))),
0)</f>
        <v>0</v>
      </c>
      <c r="AT40" s="173">
        <f t="array" ref="AT40">IFERROR(
(MEDIAN((IF(DATOS_[[Sexo]:[Sexo]]=$B40,IF(DATOS_[[AGRUP. CLAS. PROF.]:[AGRUP. CLAS. PROF.]]=$B39,IF(DATOS_[[Check Periodo Ref.]:[Check Periodo Ref.]]="Dentro",IF(DATOS_[[Check Equiparado]:[Check Equiparado]]="Sí",IF(DATOS!CG$5="Sí",(1/DATOS_[[% anualiz]:[% anualiz]]),1)*IF(DATOS!CG$4="Sí",1/DATOS_[[% normaliz]:[% normaliz]],1)*(DATOS_[C.Extra.11])))))))),
0)</f>
        <v>0</v>
      </c>
      <c r="AU40" s="197">
        <f t="array" ref="AU40">IFERROR(
MEDIAN(IF(DATOS_[Sexo]=$B40,IF(DATOS_[[AGRUP. CLAS. PROF.]:[AGRUP. CLAS. PROF.]]=$B39,IF(DATOS_[Check Equiparado]="Sí",IF(DATOS_[Check Periodo Ref.]="Dentro",DATOS_[Tot Extrasalarial Eq],FALSE))))),
0)</f>
        <v>0</v>
      </c>
      <c r="AV40" s="175">
        <f t="array" ref="AV40">IFERROR(
MEDIAN(IF(DATOS_[Sexo]=$B40,IF(DATOS_[[AGRUP. CLAS. PROF.]:[AGRUP. CLAS. PROF.]]=$B39,IF(DATOS_[Check Equiparado]="Sí",IF(DATOS_[Check Periodo Ref.]="Dentro",DATOS_[TOTAL Retrib Eq],FALSE))))),
0)</f>
        <v>0</v>
      </c>
    </row>
    <row r="41" spans="1:48" hidden="1" x14ac:dyDescent="0.25">
      <c r="A41" s="133" t="str">
        <f t="shared" ref="A41" si="38">+A40</f>
        <v>[ocultar]</v>
      </c>
      <c r="B41" s="202" t="s">
        <v>521</v>
      </c>
      <c r="C41" s="203">
        <f t="array" ref="C41">SUM(IF($B41=DATOS_[Sexo],
IF($B39=DATOS_[AGRUP. CLAS. PROF.],
IF("Dentro"=DATOS_[Check Periodo Ref.],
1/(COUNTIFS(DATOS_[Sexo],$B41,DATOS_[AGRUP. CLAS. PROF.],$B39,DATOS_[Check Periodo Ref.],"Dentro",DATOS_[id/cod],DATOS_[id/cod]))))))</f>
        <v>0</v>
      </c>
      <c r="D41" s="204">
        <f>COUNTIFS(DATOS_[AGRUP. CLAS. PROF.],$B39,DATOS_[Sexo],$B41,DATOS_[Check Periodo Ref.],"Dentro")</f>
        <v>0</v>
      </c>
      <c r="E41" s="204">
        <f>COUNTIFS(DATOS_[AGRUP. CLAS. PROF.],$B39,DATOS_[Sexo],$B41,DATOS_[Check Periodo Ref.],"Dentro",DATOS_[Check Nº SC Norm],"Sí")</f>
        <v>0</v>
      </c>
      <c r="F41" s="204">
        <f>COUNTIFS(DATOS_[AGRUP. CLAS. PROF.],$B39,DATOS_[Sexo],$B41,DATOS_[Check Periodo Ref.],"Dentro",DATOS_[Check Nº SC Anualiz],"Sí")</f>
        <v>0</v>
      </c>
      <c r="G41" s="204">
        <f>COUNTIFS(DATOS_[AGRUP. CLAS. PROF.],$B39,DATOS_[Sexo],$B41,DATOS_[Check Periodo Ref.],"Dentro",DATOS_[Check Nº SC Norm y Anualiz],"Sí")</f>
        <v>0</v>
      </c>
      <c r="H41" s="204">
        <f>COUNTIFS(DATOS_[AGRUP. CLAS. PROF.],$B39,DATOS_[Sexo],$B41,DATOS_[Check Periodo Ref.],"Dentro",DATOS_[Check Equiparación],"Sí")</f>
        <v>0</v>
      </c>
      <c r="I41" s="195" cm="1">
        <f t="array" ref="I41">IFERROR(
MEDIAN(IF(DATOS_[Sexo]=$B41,IF(DATOS_[[AGRUP. CLAS. PROF.]:[AGRUP. CLAS. PROF.]]=$B39,IF(DATOS_[Check Equiparado]="Sí",IF(DATOS_[Check Periodo Ref.]="Dentro",DATOS_[SALARIO BASE Eq],FALSE))))),
0)</f>
        <v>0</v>
      </c>
      <c r="J41" s="196">
        <f t="array" ref="J41">IFERROR(
(MEDIAN((IF(DATOS_[[Sexo]:[Sexo]]=$B41,IF(DATOS_[[AGRUP. CLAS. PROF.]:[AGRUP. CLAS. PROF.]]=$B39,IF(DATOS_[[Check Periodo Ref.]:[Check Periodo Ref.]]="Dentro",IF(DATOS_[[Check Equiparado]:[Check Equiparado]]="Sí",IF(DATOS!AE$5="Sí",(1/DATOS_[[% anualiz]:[% anualiz]]),1)*IF(DATOS!AE$4="Sí",1/DATOS_[[% normaliz]:[% normaliz]],1)*(DATOS_[Conc.Sal.01])))))))),
0)</f>
        <v>0</v>
      </c>
      <c r="K41" s="196">
        <f t="array" ref="K41">IFERROR(
(MEDIAN((IF(DATOS_[[Sexo]:[Sexo]]=$B41,IF(DATOS_[[AGRUP. CLAS. PROF.]:[AGRUP. CLAS. PROF.]]=$B39,IF(DATOS_[[Check Periodo Ref.]:[Check Periodo Ref.]]="Dentro",IF(DATOS_[[Check Equiparado]:[Check Equiparado]]="Sí",IF(DATOS!AF$5="Sí",(1/DATOS_[[% anualiz]:[% anualiz]]),1)*IF(DATOS!AF$4="Sí",1/DATOS_[[% normaliz]:[% normaliz]],1)*(DATOS_[Conc.Sal.02])))))))),
0)</f>
        <v>0</v>
      </c>
      <c r="L41" s="196">
        <f t="array" ref="L41">IFERROR(
(MEDIAN((IF(DATOS_[[Sexo]:[Sexo]]=$B41,IF(DATOS_[[AGRUP. CLAS. PROF.]:[AGRUP. CLAS. PROF.]]=$B39,IF(DATOS_[[Check Periodo Ref.]:[Check Periodo Ref.]]="Dentro",IF(DATOS_[[Check Equiparado]:[Check Equiparado]]="Sí",IF(DATOS!AG$5="Sí",(1/DATOS_[[% anualiz]:[% anualiz]]),1)*IF(DATOS!AG$4="Sí",1/DATOS_[[% normaliz]:[% normaliz]],1)*(DATOS_[Conc.Sal.03])))))))),
0)</f>
        <v>0</v>
      </c>
      <c r="M41" s="196">
        <f t="array" ref="M41">IFERROR(
(MEDIAN((IF(DATOS_[[Sexo]:[Sexo]]=$B41,IF(DATOS_[[AGRUP. CLAS. PROF.]:[AGRUP. CLAS. PROF.]]=$B39,IF(DATOS_[[Check Periodo Ref.]:[Check Periodo Ref.]]="Dentro",IF(DATOS_[[Check Equiparado]:[Check Equiparado]]="Sí",IF(DATOS!AH$5="Sí",(1/DATOS_[[% anualiz]:[% anualiz]]),1)*IF(DATOS!AH$4="Sí",1/DATOS_[[% normaliz]:[% normaliz]],1)*(DATOS_[Conc.Sal.04])))))))),
0)</f>
        <v>0</v>
      </c>
      <c r="N41" s="196">
        <f t="array" ref="N41">IFERROR(
(MEDIAN((IF(DATOS_[[Sexo]:[Sexo]]=$B41,IF(DATOS_[[AGRUP. CLAS. PROF.]:[AGRUP. CLAS. PROF.]]=$B39,IF(DATOS_[[Check Periodo Ref.]:[Check Periodo Ref.]]="Dentro",IF(DATOS_[[Check Equiparado]:[Check Equiparado]]="Sí",IF(DATOS!AI$5="Sí",(1/DATOS_[[% anualiz]:[% anualiz]]),1)*IF(DATOS!AI$4="Sí",1/DATOS_[[% normaliz]:[% normaliz]],1)*(DATOS_[Conc.Sal.05])))))))),
0)</f>
        <v>0</v>
      </c>
      <c r="O41" s="196">
        <f t="array" ref="O41">IFERROR(
(MEDIAN((IF(DATOS_[[Sexo]:[Sexo]]=$B41,IF(DATOS_[[AGRUP. CLAS. PROF.]:[AGRUP. CLAS. PROF.]]=$B39,IF(DATOS_[[Check Periodo Ref.]:[Check Periodo Ref.]]="Dentro",IF(DATOS_[[Check Equiparado]:[Check Equiparado]]="Sí",IF(DATOS!AJ$5="Sí",(1/DATOS_[[% anualiz]:[% anualiz]]),1)*IF(DATOS!AJ$4="Sí",1/DATOS_[[% normaliz]:[% normaliz]],1)*(DATOS_[Conc.Sal.06])))))))),
0)</f>
        <v>0</v>
      </c>
      <c r="P41" s="196">
        <f t="array" ref="P41">IFERROR(
(MEDIAN((IF(DATOS_[[Sexo]:[Sexo]]=$B41,IF(DATOS_[[AGRUP. CLAS. PROF.]:[AGRUP. CLAS. PROF.]]=$B39,IF(DATOS_[[Check Periodo Ref.]:[Check Periodo Ref.]]="Dentro",IF(DATOS_[[Check Equiparado]:[Check Equiparado]]="Sí",IF(DATOS!AK$5="Sí",(1/DATOS_[[% anualiz]:[% anualiz]]),1)*IF(DATOS!AK$4="Sí",1/DATOS_[[% normaliz]:[% normaliz]],1)*(DATOS_[Conc.Sal.07])))))))),
0)</f>
        <v>0</v>
      </c>
      <c r="Q41" s="196">
        <f t="array" ref="Q41">IFERROR(
(MEDIAN((IF(DATOS_[[Sexo]:[Sexo]]=$B41,IF(DATOS_[[AGRUP. CLAS. PROF.]:[AGRUP. CLAS. PROF.]]=$B39,IF(DATOS_[[Check Periodo Ref.]:[Check Periodo Ref.]]="Dentro",IF(DATOS_[[Check Equiparado]:[Check Equiparado]]="Sí",IF(DATOS!AL$5="Sí",(1/DATOS_[[% anualiz]:[% anualiz]]),1)*IF(DATOS!AL$4="Sí",1/DATOS_[[% normaliz]:[% normaliz]],1)*(DATOS_[Conc.Sal.08])))))))),
0)</f>
        <v>0</v>
      </c>
      <c r="R41" s="196">
        <f t="array" ref="R41">IFERROR(
(MEDIAN((IF(DATOS_[[Sexo]:[Sexo]]=$B41,IF(DATOS_[[AGRUP. CLAS. PROF.]:[AGRUP. CLAS. PROF.]]=$B39,IF(DATOS_[[Check Periodo Ref.]:[Check Periodo Ref.]]="Dentro",IF(DATOS_[[Check Equiparado]:[Check Equiparado]]="Sí",IF(DATOS!AM$5="Sí",(1/DATOS_[[% anualiz]:[% anualiz]]),1)*IF(DATOS!AM$4="Sí",1/DATOS_[[% normaliz]:[% normaliz]],1)*(DATOS_[Conc.Sal.09])))))))),
0)</f>
        <v>0</v>
      </c>
      <c r="S41" s="196">
        <f t="array" ref="S41">IFERROR(
(MEDIAN((IF(DATOS_[[Sexo]:[Sexo]]=$B41,IF(DATOS_[[AGRUP. CLAS. PROF.]:[AGRUP. CLAS. PROF.]]=$B39,IF(DATOS_[[Check Periodo Ref.]:[Check Periodo Ref.]]="Dentro",IF(DATOS_[[Check Equiparado]:[Check Equiparado]]="Sí",IF(DATOS!AN$5="Sí",(1/DATOS_[[% anualiz]:[% anualiz]]),1)*IF(DATOS!AN$4="Sí",1/DATOS_[[% normaliz]:[% normaliz]],1)*(DATOS_[Conc.Sal.10])))))))),
0)</f>
        <v>0</v>
      </c>
      <c r="T41" s="196">
        <f t="array" ref="T41">IFERROR(
(MEDIAN((IF(DATOS_[[Sexo]:[Sexo]]=$B41,IF(DATOS_[[AGRUP. CLAS. PROF.]:[AGRUP. CLAS. PROF.]]=$B39,IF(DATOS_[[Check Periodo Ref.]:[Check Periodo Ref.]]="Dentro",IF(DATOS_[[Check Equiparado]:[Check Equiparado]]="Sí",IF(DATOS!AO$5="Sí",(1/DATOS_[[% anualiz]:[% anualiz]]),1)*IF(DATOS!AO$4="Sí",1/DATOS_[[% normaliz]:[% normaliz]],1)*(DATOS_[Conc.Sal.11])))))))),
0)</f>
        <v>0</v>
      </c>
      <c r="U41" s="196">
        <f t="array" ref="U41">IFERROR(
(MEDIAN((IF(DATOS_[[Sexo]:[Sexo]]=$B41,IF(DATOS_[[AGRUP. CLAS. PROF.]:[AGRUP. CLAS. PROF.]]=$B39,IF(DATOS_[[Check Periodo Ref.]:[Check Periodo Ref.]]="Dentro",IF(DATOS_[[Check Equiparado]:[Check Equiparado]]="Sí",IF(DATOS!AP$5="Sí",(1/DATOS_[[% anualiz]:[% anualiz]]),1)*IF(DATOS!AP$4="Sí",1/DATOS_[[% normaliz]:[% normaliz]],1)*(DATOS_[Conc.Sal.12])))))))),
0)</f>
        <v>0</v>
      </c>
      <c r="V41" s="196">
        <f t="array" ref="V41">IFERROR(
(MEDIAN((IF(DATOS_[[Sexo]:[Sexo]]=$B41,IF(DATOS_[[AGRUP. CLAS. PROF.]:[AGRUP. CLAS. PROF.]]=$B39,IF(DATOS_[[Check Periodo Ref.]:[Check Periodo Ref.]]="Dentro",IF(DATOS_[[Check Equiparado]:[Check Equiparado]]="Sí",IF(DATOS!AQ$5="Sí",(1/DATOS_[[% anualiz]:[% anualiz]]),1)*IF(DATOS!AQ$4="Sí",1/DATOS_[[% normaliz]:[% normaliz]],1)*(DATOS_[Conc.Sal.13])))))))),
0)</f>
        <v>0</v>
      </c>
      <c r="W41" s="196">
        <f t="array" ref="W41">IFERROR(
(MEDIAN((IF(DATOS_[[Sexo]:[Sexo]]=$B41,IF(DATOS_[[AGRUP. CLAS. PROF.]:[AGRUP. CLAS. PROF.]]=$B39,IF(DATOS_[[Check Periodo Ref.]:[Check Periodo Ref.]]="Dentro",IF(DATOS_[[Check Equiparado]:[Check Equiparado]]="Sí",IF(DATOS!AR$5="Sí",(1/DATOS_[[% anualiz]:[% anualiz]]),1)*IF(DATOS!AR$4="Sí",1/DATOS_[[% normaliz]:[% normaliz]],1)*(DATOS_[Conc.Sal.14])))))))),
0)</f>
        <v>0</v>
      </c>
      <c r="X41" s="196">
        <f t="array" ref="X41">IFERROR(
(MEDIAN((IF(DATOS_[[Sexo]:[Sexo]]=$B41,IF(DATOS_[[AGRUP. CLAS. PROF.]:[AGRUP. CLAS. PROF.]]=$B39,IF(DATOS_[[Check Periodo Ref.]:[Check Periodo Ref.]]="Dentro",IF(DATOS_[[Check Equiparado]:[Check Equiparado]]="Sí",IF(DATOS!AS$5="Sí",(1/DATOS_[[% anualiz]:[% anualiz]]),1)*IF(DATOS!AS$4="Sí",1/DATOS_[[% normaliz]:[% normaliz]],1)*(DATOS_[Conc.Sal.15])))))))),
0)</f>
        <v>0</v>
      </c>
      <c r="Y41" s="196">
        <f t="array" ref="Y41">IFERROR(
(MEDIAN((IF(DATOS_[[Sexo]:[Sexo]]=$B41,IF(DATOS_[[AGRUP. CLAS. PROF.]:[AGRUP. CLAS. PROF.]]=$B39,IF(DATOS_[[Check Periodo Ref.]:[Check Periodo Ref.]]="Dentro",IF(DATOS_[[Check Equiparado]:[Check Equiparado]]="Sí",IF(DATOS!AT$5="Sí",(1/DATOS_[[% anualiz]:[% anualiz]]),1)*IF(DATOS!AT$4="Sí",1/DATOS_[[% normaliz]:[% normaliz]],1)*(DATOS_[Conc.Sal.16])))))))),
0)</f>
        <v>0</v>
      </c>
      <c r="Z41" s="196">
        <f t="array" ref="Z41">IFERROR(
(MEDIAN((IF(DATOS_[[Sexo]:[Sexo]]=$B41,IF(DATOS_[[AGRUP. CLAS. PROF.]:[AGRUP. CLAS. PROF.]]=$B39,IF(DATOS_[[Check Periodo Ref.]:[Check Periodo Ref.]]="Dentro",IF(DATOS_[[Check Equiparado]:[Check Equiparado]]="Sí",IF(DATOS!AU$5="Sí",(1/DATOS_[[% anualiz]:[% anualiz]]),1)*IF(DATOS!AU$4="Sí",1/DATOS_[[% normaliz]:[% normaliz]],1)*(DATOS_[Conc.Sal.17])))))))),
0)</f>
        <v>0</v>
      </c>
      <c r="AA41" s="196">
        <f t="array" ref="AA41">IFERROR(
(MEDIAN((IF(DATOS_[[Sexo]:[Sexo]]=$B41,IF(DATOS_[[AGRUP. CLAS. PROF.]:[AGRUP. CLAS. PROF.]]=$B39,IF(DATOS_[[Check Periodo Ref.]:[Check Periodo Ref.]]="Dentro",IF(DATOS_[[Check Equiparado]:[Check Equiparado]]="Sí",IF(DATOS!AV$5="Sí",(1/DATOS_[[% anualiz]:[% anualiz]]),1)*IF(DATOS!AV$4="Sí",1/DATOS_[[% normaliz]:[% normaliz]],1)*(DATOS_[Conc.Sal.18])))))))),
0)</f>
        <v>0</v>
      </c>
      <c r="AB41" s="196">
        <f t="array" ref="AB41">IFERROR(
(MEDIAN((IF(DATOS_[[Sexo]:[Sexo]]=$B41,IF(DATOS_[[AGRUP. CLAS. PROF.]:[AGRUP. CLAS. PROF.]]=$B39,IF(DATOS_[[Check Periodo Ref.]:[Check Periodo Ref.]]="Dentro",IF(DATOS_[[Check Equiparado]:[Check Equiparado]]="Sí",IF(DATOS!AW$5="Sí",(1/DATOS_[[% anualiz]:[% anualiz]]),1)*IF(DATOS!AW$4="Sí",1/DATOS_[[% normaliz]:[% normaliz]],1)*(DATOS_[Conc.Sal.19])))))))),
0)</f>
        <v>0</v>
      </c>
      <c r="AC41" s="196">
        <f t="array" ref="AC41">IFERROR(
(MEDIAN((IF(DATOS_[[Sexo]:[Sexo]]=$B41,IF(DATOS_[[AGRUP. CLAS. PROF.]:[AGRUP. CLAS. PROF.]]=$B39,IF(DATOS_[[Check Periodo Ref.]:[Check Periodo Ref.]]="Dentro",IF(DATOS_[[Check Equiparado]:[Check Equiparado]]="Sí",IF(DATOS!AX$5="Sí",(1/DATOS_[[% anualiz]:[% anualiz]]),1)*IF(DATOS!AX$4="Sí",1/DATOS_[[% normaliz]:[% normaliz]],1)*(DATOS_[Conc.Sal.20])))))))),
0)</f>
        <v>0</v>
      </c>
      <c r="AD41" s="196">
        <f t="array" ref="AD41">IFERROR(
(MEDIAN((IF(DATOS_[[Sexo]:[Sexo]]=$B41,IF(DATOS_[[AGRUP. CLAS. PROF.]:[AGRUP. CLAS. PROF.]]=$B39,IF(DATOS_[[Check Periodo Ref.]:[Check Periodo Ref.]]="Dentro",IF(DATOS_[[Check Equiparado]:[Check Equiparado]]="Sí",IF(DATOS!AY$5="Sí",(1/DATOS_[[% anualiz]:[% anualiz]]),1)*IF(DATOS!AY$4="Sí",1/DATOS_[[% normaliz]:[% normaliz]],1)*(DATOS_[Conc.Sal.21])))))))),
0)</f>
        <v>0</v>
      </c>
      <c r="AE41" s="196">
        <f t="array" ref="AE41">IFERROR(
(MEDIAN((IF(DATOS_[[Sexo]:[Sexo]]=$B41,IF(DATOS_[[AGRUP. CLAS. PROF.]:[AGRUP. CLAS. PROF.]]=$B39,IF(DATOS_[[Check Periodo Ref.]:[Check Periodo Ref.]]="Dentro",IF(DATOS_[[Check Equiparado]:[Check Equiparado]]="Sí",IF(DATOS!AZ$5="Sí",(1/DATOS_[[% anualiz]:[% anualiz]]),1)*IF(DATOS!AZ$4="Sí",1/DATOS_[[% normaliz]:[% normaliz]],1)*(DATOS_[Conc.Sal.22])))))))),
0)</f>
        <v>0</v>
      </c>
      <c r="AF41" s="196">
        <f t="array" ref="AF41">IFERROR(
(MEDIAN((IF(DATOS_[[Sexo]:[Sexo]]=$B41,IF(DATOS_[[AGRUP. CLAS. PROF.]:[AGRUP. CLAS. PROF.]]=$B39,IF(DATOS_[[Check Periodo Ref.]:[Check Periodo Ref.]]="Dentro",IF(DATOS_[[Check Equiparado]:[Check Equiparado]]="Sí",IF(DATOS!BA$5="Sí",(1/DATOS_[[% anualiz]:[% anualiz]]),1)*IF(DATOS!BA$4="Sí",1/DATOS_[[% normaliz]:[% normaliz]],1)*(DATOS_[Conc.Sal.23])))))))),
0)</f>
        <v>0</v>
      </c>
      <c r="AG41" s="196">
        <f t="array" ref="AG41">IFERROR(
(MEDIAN((IF(DATOS_[[Sexo]:[Sexo]]=$B41,IF(DATOS_[[AGRUP. CLAS. PROF.]:[AGRUP. CLAS. PROF.]]=$B39,IF(DATOS_[[Check Periodo Ref.]:[Check Periodo Ref.]]="Dentro",IF(DATOS_[[Check Equiparado]:[Check Equiparado]]="Sí",IF(DATOS!BB$5="Sí",(1/DATOS_[[% anualiz]:[% anualiz]]),1)*IF(DATOS!BB$4="Sí",1/DATOS_[[% normaliz]:[% normaliz]],1)*(DATOS_[Conc.Sal.24])))))))),
0)</f>
        <v>0</v>
      </c>
      <c r="AH41" s="196">
        <f t="array" ref="AH41">IFERROR(
(MEDIAN((IF(DATOS_[[Sexo]:[Sexo]]=$B41,IF(DATOS_[[AGRUP. CLAS. PROF.]:[AGRUP. CLAS. PROF.]]=$B39,IF(DATOS_[[Check Periodo Ref.]:[Check Periodo Ref.]]="Dentro",IF(DATOS_[[Check Equiparado]:[Check Equiparado]]="Sí",IF(DATOS!BC$5="Sí",(1/DATOS_[[% anualiz]:[% anualiz]]),1)*IF(DATOS!BC$4="Sí",1/DATOS_[[% normaliz]:[% normaliz]],1)*(DATOS_[Conc.Sal.25])))))))),
0)</f>
        <v>0</v>
      </c>
      <c r="AI41" s="196">
        <f t="array" ref="AI41">IFERROR(
(MEDIAN((IF(DATOS_[[Sexo]:[Sexo]]=$B41,IF(DATOS_[[AGRUP. CLAS. PROF.]:[AGRUP. CLAS. PROF.]]=$B39,IF(DATOS_[[Check Periodo Ref.]:[Check Periodo Ref.]]="Dentro",IF(DATOS_[[Check Equiparado]:[Check Equiparado]]="Sí",IF(DATOS!BD$5="Sí",(1/DATOS_[[% anualiz]:[% anualiz]]),1)*IF(DATOS!BD$4="Sí",1/DATOS_[[% normaliz]:[% normaliz]],1)*(DATOS_[Conc.Sal.26])))))))),
0)</f>
        <v>0</v>
      </c>
      <c r="AJ41" s="196">
        <f t="array" ref="AJ41">IFERROR(
(MEDIAN((IF(DATOS_[[Sexo]:[Sexo]]=$B41,IF(DATOS_[[AGRUP. CLAS. PROF.]:[AGRUP. CLAS. PROF.]]=$B39,IF(DATOS_[[Check Periodo Ref.]:[Check Periodo Ref.]]="Dentro",IF(DATOS_[[Check Equiparado]:[Check Equiparado]]="Sí",IF(DATOS!BE$5="Sí",(1/DATOS_[[% anualiz]:[% anualiz]]),1)*IF(DATOS!BE$4="Sí",1/DATOS_[[% normaliz]:[% normaliz]],1)*(DATOS_[Conc.Sal.27])))))))),
0)</f>
        <v>0</v>
      </c>
      <c r="AK41" s="196">
        <f t="array" ref="AK41">IFERROR(
(MEDIAN((IF(DATOS_[[Sexo]:[Sexo]]=$B41,IF(DATOS_[[AGRUP. CLAS. PROF.]:[AGRUP. CLAS. PROF.]]=$B39,IF(DATOS_[[Check Periodo Ref.]:[Check Periodo Ref.]]="Dentro",IF(DATOS_[[Check Equiparado]:[Check Equiparado]]="Sí",IF(DATOS!BF$5="Sí",(1/DATOS_[[% anualiz]:[% anualiz]]),1)*IF(DATOS!BF$4="Sí",1/DATOS_[[% normaliz]:[% normaliz]],1)*(DATOS_[Conc.Sal.28])))))))),
0)</f>
        <v>0</v>
      </c>
      <c r="AL41" s="196">
        <f t="array" ref="AL41">IFERROR(
(MEDIAN((IF(DATOS_[[Sexo]:[Sexo]]=$B41,IF(DATOS_[[AGRUP. CLAS. PROF.]:[AGRUP. CLAS. PROF.]]=$B39,IF(DATOS_[[Check Periodo Ref.]:[Check Periodo Ref.]]="Dentro",IF(DATOS_[[Check Equiparado]:[Check Equiparado]]="Sí",IF(DATOS!BG$5="Sí",(1/DATOS_[[% anualiz]:[% anualiz]]),1)*IF(DATOS!BG$4="Sí",1/DATOS_[[% normaliz]:[% normaliz]],1)*(DATOS_[Conc.Sal.29])))))))),
0)</f>
        <v>0</v>
      </c>
      <c r="AM41" s="196">
        <f t="array" ref="AM41">IFERROR(
(MEDIAN((IF(DATOS_[[Sexo]:[Sexo]]=$B41,IF(DATOS_[[AGRUP. CLAS. PROF.]:[AGRUP. CLAS. PROF.]]=$B39,IF(DATOS_[[Check Periodo Ref.]:[Check Periodo Ref.]]="Dentro",IF(DATOS_[[Check Equiparado]:[Check Equiparado]]="Sí",IF(DATOS!BH$5="Sí",(1/DATOS_[[% anualiz]:[% anualiz]]),1)*IF(DATOS!BH$4="Sí",1/DATOS_[[% normaliz]:[% normaliz]],1)*(DATOS_[Conc.Sal.30])))))))),
0)</f>
        <v>0</v>
      </c>
      <c r="AN41" s="195">
        <f t="array" ref="AN41">IFERROR(
MEDIAN(IF(DATOS_[Sexo]=$B41,IF(DATOS_[[AGRUP. CLAS. PROF.]:[AGRUP. CLAS. PROF.]]=$B39,IF(DATOS_[Check Equiparado]="Sí",IF(DATOS_[Check Periodo Ref.]="Dentro",DATOS_[Tot COMPL.SAL Eq],FALSE))))),
0)</f>
        <v>0</v>
      </c>
      <c r="AO41" s="172">
        <f t="array" ref="AO41">IFERROR(
MEDIAN(IF(DATOS_[Sexo]=$B41,IF(DATOS_[[AGRUP. CLAS. PROF.]:[AGRUP. CLAS. PROF.]]=$B39,IF(DATOS_[Check Equiparado]="Sí",IF(DATOS_[Check Periodo Ref.]="Dentro",DATOS_[TOTAL SALARIO Eq],FALSE))))),
0)</f>
        <v>0</v>
      </c>
      <c r="AP41" s="173">
        <f t="array" ref="AP41">IFERROR(
(MEDIAN((IF(DATOS_[[Sexo]:[Sexo]]=$B41,IF(DATOS_[[AGRUP. CLAS. PROF.]:[AGRUP. CLAS. PROF.]]=$B39,IF(DATOS_[[Check Periodo Ref.]:[Check Periodo Ref.]]="Dentro",IF(DATOS_[[Check Equiparado]:[Check Equiparado]]="Sí",IF(DATOS!BW$5="Sí",(1/DATOS_[[% anualiz]:[% anualiz]]),1)*IF(DATOS!BW$4="Sí",1/DATOS_[[% normaliz]:[% normaliz]],1)*(DATOS_[C.Extra.01])))))))),
0)</f>
        <v>0</v>
      </c>
      <c r="AQ41" s="173">
        <f t="array" ref="AQ41">IFERROR(
(MEDIAN((IF(DATOS_[[Sexo]:[Sexo]]=$B41,IF(DATOS_[[AGRUP. CLAS. PROF.]:[AGRUP. CLAS. PROF.]]=$B39,IF(DATOS_[[Check Periodo Ref.]:[Check Periodo Ref.]]="Dentro",IF(DATOS_[[Check Equiparado]:[Check Equiparado]]="Sí",IF(DATOS!CB$5="Sí",(1/DATOS_[[% anualiz]:[% anualiz]]),1)*IF(DATOS!CB$4="Sí",1/DATOS_[[% normaliz]:[% normaliz]],1)*(DATOS_[C.Extra.06])))))))),
0)</f>
        <v>0</v>
      </c>
      <c r="AR41" s="173">
        <f t="array" ref="AR41">IFERROR(
(MEDIAN((IF(DATOS_[[Sexo]:[Sexo]]=$B41,IF(DATOS_[[AGRUP. CLAS. PROF.]:[AGRUP. CLAS. PROF.]]=$B39,IF(DATOS_[[Check Periodo Ref.]:[Check Periodo Ref.]]="Dentro",IF(DATOS_[[Check Equiparado]:[Check Equiparado]]="Sí",IF(DATOS!CC$5="Sí",(1/DATOS_[[% anualiz]:[% anualiz]]),1)*IF(DATOS!CC$4="Sí",1/DATOS_[[% normaliz]:[% normaliz]],1)*(DATOS_[C.Extra.07])))))))),
0)</f>
        <v>0</v>
      </c>
      <c r="AS41" s="173">
        <f t="array" ref="AS41">IFERROR(
(MEDIAN((IF(DATOS_[[Sexo]:[Sexo]]=$B41,IF(DATOS_[[AGRUP. CLAS. PROF.]:[AGRUP. CLAS. PROF.]]=$B39,IF(DATOS_[[Check Periodo Ref.]:[Check Periodo Ref.]]="Dentro",IF(DATOS_[[Check Equiparado]:[Check Equiparado]]="Sí",IF(DATOS!CD$5="Sí",(1/DATOS_[[% anualiz]:[% anualiz]]),1)*IF(DATOS!CD$4="Sí",1/DATOS_[[% normaliz]:[% normaliz]],1)*(DATOS_[C.Extra.08])))))))),
0)</f>
        <v>0</v>
      </c>
      <c r="AT41" s="173">
        <f t="array" ref="AT41">IFERROR(
(MEDIAN((IF(DATOS_[[Sexo]:[Sexo]]=$B41,IF(DATOS_[[AGRUP. CLAS. PROF.]:[AGRUP. CLAS. PROF.]]=$B39,IF(DATOS_[[Check Periodo Ref.]:[Check Periodo Ref.]]="Dentro",IF(DATOS_[[Check Equiparado]:[Check Equiparado]]="Sí",IF(DATOS!CG$5="Sí",(1/DATOS_[[% anualiz]:[% anualiz]]),1)*IF(DATOS!CG$4="Sí",1/DATOS_[[% normaliz]:[% normaliz]],1)*(DATOS_[C.Extra.11])))))))),
0)</f>
        <v>0</v>
      </c>
      <c r="AU41" s="197">
        <f t="array" ref="AU41">IFERROR(
MEDIAN(IF(DATOS_[Sexo]=$B41,IF(DATOS_[[AGRUP. CLAS. PROF.]:[AGRUP. CLAS. PROF.]]=$B39,IF(DATOS_[Check Equiparado]="Sí",IF(DATOS_[Check Periodo Ref.]="Dentro",DATOS_[Tot Extrasalarial Eq],FALSE))))),
0)</f>
        <v>0</v>
      </c>
      <c r="AV41" s="175">
        <f t="array" ref="AV41">IFERROR(
MEDIAN(IF(DATOS_[Sexo]=$B41,IF(DATOS_[[AGRUP. CLAS. PROF.]:[AGRUP. CLAS. PROF.]]=$B39,IF(DATOS_[Check Equiparado]="Sí",IF(DATOS_[Check Periodo Ref.]="Dentro",DATOS_[TOTAL Retrib Eq],FALSE))))),
0)</f>
        <v>0</v>
      </c>
    </row>
    <row r="42" spans="1:48" ht="15.6" hidden="1" thickBot="1" x14ac:dyDescent="0.3">
      <c r="A42" s="133" t="str">
        <f t="shared" ref="A42" si="39">+A43</f>
        <v>[ocultar]</v>
      </c>
      <c r="B42" s="199" t="s">
        <v>213</v>
      </c>
      <c r="C42" s="200"/>
      <c r="D42" s="201"/>
      <c r="E42" s="201"/>
      <c r="F42" s="201"/>
      <c r="G42" s="201"/>
      <c r="H42" s="201"/>
      <c r="I42" s="189" t="str">
        <f t="shared" ref="I42:AV42" si="40">IFERROR((I43-I44)/I43,"")</f>
        <v/>
      </c>
      <c r="J42" s="190" t="str">
        <f t="shared" si="40"/>
        <v/>
      </c>
      <c r="K42" s="191" t="str">
        <f t="shared" si="40"/>
        <v/>
      </c>
      <c r="L42" s="191" t="str">
        <f t="shared" si="40"/>
        <v/>
      </c>
      <c r="M42" s="191" t="str">
        <f t="shared" si="40"/>
        <v/>
      </c>
      <c r="N42" s="192" t="str">
        <f t="shared" si="40"/>
        <v/>
      </c>
      <c r="O42" s="193" t="str">
        <f t="shared" si="40"/>
        <v/>
      </c>
      <c r="P42" s="193" t="str">
        <f t="shared" si="40"/>
        <v/>
      </c>
      <c r="Q42" s="193" t="str">
        <f t="shared" si="40"/>
        <v/>
      </c>
      <c r="R42" s="193" t="str">
        <f t="shared" si="40"/>
        <v/>
      </c>
      <c r="S42" s="193" t="str">
        <f t="shared" si="40"/>
        <v/>
      </c>
      <c r="T42" s="193" t="str">
        <f t="shared" si="40"/>
        <v/>
      </c>
      <c r="U42" s="193" t="str">
        <f t="shared" si="40"/>
        <v/>
      </c>
      <c r="V42" s="193" t="str">
        <f t="shared" si="40"/>
        <v/>
      </c>
      <c r="W42" s="193" t="str">
        <f t="shared" si="40"/>
        <v/>
      </c>
      <c r="X42" s="193" t="str">
        <f t="shared" si="40"/>
        <v/>
      </c>
      <c r="Y42" s="193" t="str">
        <f t="shared" si="40"/>
        <v/>
      </c>
      <c r="Z42" s="193" t="str">
        <f t="shared" si="40"/>
        <v/>
      </c>
      <c r="AA42" s="193" t="str">
        <f t="shared" si="40"/>
        <v/>
      </c>
      <c r="AB42" s="193" t="str">
        <f t="shared" si="40"/>
        <v/>
      </c>
      <c r="AC42" s="193" t="str">
        <f t="shared" si="40"/>
        <v/>
      </c>
      <c r="AD42" s="193" t="str">
        <f t="shared" si="40"/>
        <v/>
      </c>
      <c r="AE42" s="193" t="str">
        <f t="shared" si="40"/>
        <v/>
      </c>
      <c r="AF42" s="193" t="str">
        <f t="shared" si="40"/>
        <v/>
      </c>
      <c r="AG42" s="193" t="str">
        <f t="shared" si="40"/>
        <v/>
      </c>
      <c r="AH42" s="193" t="str">
        <f t="shared" si="40"/>
        <v/>
      </c>
      <c r="AI42" s="193" t="str">
        <f t="shared" si="40"/>
        <v/>
      </c>
      <c r="AJ42" s="193" t="str">
        <f t="shared" si="40"/>
        <v/>
      </c>
      <c r="AK42" s="193" t="str">
        <f t="shared" si="40"/>
        <v/>
      </c>
      <c r="AL42" s="193" t="str">
        <f t="shared" si="40"/>
        <v/>
      </c>
      <c r="AM42" s="193" t="str">
        <f t="shared" si="40"/>
        <v/>
      </c>
      <c r="AN42" s="189" t="str">
        <f t="shared" si="40"/>
        <v/>
      </c>
      <c r="AO42" s="162" t="str">
        <f t="shared" si="40"/>
        <v/>
      </c>
      <c r="AP42" s="163" t="str">
        <f t="shared" si="40"/>
        <v/>
      </c>
      <c r="AQ42" s="163" t="str">
        <f t="shared" si="40"/>
        <v/>
      </c>
      <c r="AR42" s="163" t="str">
        <f t="shared" si="40"/>
        <v/>
      </c>
      <c r="AS42" s="163" t="str">
        <f t="shared" si="40"/>
        <v/>
      </c>
      <c r="AT42" s="163" t="str">
        <f t="shared" si="40"/>
        <v/>
      </c>
      <c r="AU42" s="194" t="str">
        <f t="shared" si="40"/>
        <v/>
      </c>
      <c r="AV42" s="165" t="str">
        <f t="shared" si="40"/>
        <v/>
      </c>
    </row>
    <row r="43" spans="1:48" hidden="1" x14ac:dyDescent="0.25">
      <c r="A43" s="133" t="str">
        <f t="shared" ref="A43" si="41">+IF(C43+C44=0,"[ocultar]","")</f>
        <v>[ocultar]</v>
      </c>
      <c r="B43" s="202" t="s">
        <v>394</v>
      </c>
      <c r="C43" s="203">
        <f t="array" ref="C43">SUM(IF($B43=DATOS_[Sexo],
IF($B42=DATOS_[AGRUP. CLAS. PROF.],
IF("Dentro"=DATOS_[Check Periodo Ref.],
1/(COUNTIFS(DATOS_[Sexo],$B43,DATOS_[AGRUP. CLAS. PROF.],$B42,DATOS_[Check Periodo Ref.],"Dentro",DATOS_[id/cod],DATOS_[id/cod]))))))</f>
        <v>0</v>
      </c>
      <c r="D43" s="204">
        <f>COUNTIFS(DATOS_[AGRUP. CLAS. PROF.],$B42,DATOS_[Sexo],$B43,DATOS_[Check Periodo Ref.],"Dentro")</f>
        <v>0</v>
      </c>
      <c r="E43" s="204">
        <f>COUNTIFS(DATOS_[AGRUP. CLAS. PROF.],$B42,DATOS_[Sexo],$B43,DATOS_[Check Periodo Ref.],"Dentro",DATOS_[Check Nº SC Norm],"Sí")</f>
        <v>0</v>
      </c>
      <c r="F43" s="204">
        <f>COUNTIFS(DATOS_[AGRUP. CLAS. PROF.],$B42,DATOS_[Sexo],$B43,DATOS_[Check Periodo Ref.],"Dentro",DATOS_[Check Nº SC Anualiz],"Sí")</f>
        <v>0</v>
      </c>
      <c r="G43" s="204">
        <f>COUNTIFS(DATOS_[AGRUP. CLAS. PROF.],$B42,DATOS_[Sexo],$B43,DATOS_[Check Periodo Ref.],"Dentro",DATOS_[Check Nº SC Norm y Anualiz],"Sí")</f>
        <v>0</v>
      </c>
      <c r="H43" s="204">
        <f>COUNTIFS(DATOS_[AGRUP. CLAS. PROF.],$B42,DATOS_[Sexo],$B43,DATOS_[Check Periodo Ref.],"Dentro",DATOS_[Check Equiparación],"Sí")</f>
        <v>0</v>
      </c>
      <c r="I43" s="195">
        <f t="array" ref="I43">IFERROR(
MEDIAN(IF(DATOS_[Sexo]=$B43,IF(DATOS_[[AGRUP. CLAS. PROF.]:[AGRUP. CLAS. PROF.]]=$B42,IF(DATOS_[Check Equiparado]="Sí",IF(DATOS_[Check Periodo Ref.]="Dentro",DATOS_[SALARIO BASE Eq],FALSE))))),
0)</f>
        <v>0</v>
      </c>
      <c r="J43" s="196">
        <f t="array" ref="J43">IFERROR(
(MEDIAN((IF(DATOS_[[Sexo]:[Sexo]]=$B43,IF(DATOS_[[AGRUP. CLAS. PROF.]:[AGRUP. CLAS. PROF.]]=$B42,IF(DATOS_[[Check Periodo Ref.]:[Check Periodo Ref.]]="Dentro",IF(DATOS_[[Check Equiparado]:[Check Equiparado]]="Sí",IF(DATOS!AE$5="Sí",(1/DATOS_[[% anualiz]:[% anualiz]]),1)*IF(DATOS!AE$4="Sí",1/DATOS_[[% normaliz]:[% normaliz]],1)*(DATOS_[Conc.Sal.01])))))))),
0)</f>
        <v>0</v>
      </c>
      <c r="K43" s="196">
        <f t="array" ref="K43">IFERROR(
(MEDIAN((IF(DATOS_[[Sexo]:[Sexo]]=$B43,IF(DATOS_[[AGRUP. CLAS. PROF.]:[AGRUP. CLAS. PROF.]]=$B42,IF(DATOS_[[Check Periodo Ref.]:[Check Periodo Ref.]]="Dentro",IF(DATOS_[[Check Equiparado]:[Check Equiparado]]="Sí",IF(DATOS!AF$5="Sí",(1/DATOS_[[% anualiz]:[% anualiz]]),1)*IF(DATOS!AF$4="Sí",1/DATOS_[[% normaliz]:[% normaliz]],1)*(DATOS_[Conc.Sal.02])))))))),
0)</f>
        <v>0</v>
      </c>
      <c r="L43" s="196">
        <f t="array" ref="L43">IFERROR(
(MEDIAN((IF(DATOS_[[Sexo]:[Sexo]]=$B43,IF(DATOS_[[AGRUP. CLAS. PROF.]:[AGRUP. CLAS. PROF.]]=$B42,IF(DATOS_[[Check Periodo Ref.]:[Check Periodo Ref.]]="Dentro",IF(DATOS_[[Check Equiparado]:[Check Equiparado]]="Sí",IF(DATOS!AG$5="Sí",(1/DATOS_[[% anualiz]:[% anualiz]]),1)*IF(DATOS!AG$4="Sí",1/DATOS_[[% normaliz]:[% normaliz]],1)*(DATOS_[Conc.Sal.03])))))))),
0)</f>
        <v>0</v>
      </c>
      <c r="M43" s="196">
        <f t="array" ref="M43">IFERROR(
(MEDIAN((IF(DATOS_[[Sexo]:[Sexo]]=$B43,IF(DATOS_[[AGRUP. CLAS. PROF.]:[AGRUP. CLAS. PROF.]]=$B42,IF(DATOS_[[Check Periodo Ref.]:[Check Periodo Ref.]]="Dentro",IF(DATOS_[[Check Equiparado]:[Check Equiparado]]="Sí",IF(DATOS!AH$5="Sí",(1/DATOS_[[% anualiz]:[% anualiz]]),1)*IF(DATOS!AH$4="Sí",1/DATOS_[[% normaliz]:[% normaliz]],1)*(DATOS_[Conc.Sal.04])))))))),
0)</f>
        <v>0</v>
      </c>
      <c r="N43" s="196">
        <f t="array" ref="N43">IFERROR(
(MEDIAN((IF(DATOS_[[Sexo]:[Sexo]]=$B43,IF(DATOS_[[AGRUP. CLAS. PROF.]:[AGRUP. CLAS. PROF.]]=$B42,IF(DATOS_[[Check Periodo Ref.]:[Check Periodo Ref.]]="Dentro",IF(DATOS_[[Check Equiparado]:[Check Equiparado]]="Sí",IF(DATOS!AI$5="Sí",(1/DATOS_[[% anualiz]:[% anualiz]]),1)*IF(DATOS!AI$4="Sí",1/DATOS_[[% normaliz]:[% normaliz]],1)*(DATOS_[Conc.Sal.05])))))))),
0)</f>
        <v>0</v>
      </c>
      <c r="O43" s="196">
        <f t="array" ref="O43">IFERROR(
(MEDIAN((IF(DATOS_[[Sexo]:[Sexo]]=$B43,IF(DATOS_[[AGRUP. CLAS. PROF.]:[AGRUP. CLAS. PROF.]]=$B42,IF(DATOS_[[Check Periodo Ref.]:[Check Periodo Ref.]]="Dentro",IF(DATOS_[[Check Equiparado]:[Check Equiparado]]="Sí",IF(DATOS!AJ$5="Sí",(1/DATOS_[[% anualiz]:[% anualiz]]),1)*IF(DATOS!AJ$4="Sí",1/DATOS_[[% normaliz]:[% normaliz]],1)*(DATOS_[Conc.Sal.06])))))))),
0)</f>
        <v>0</v>
      </c>
      <c r="P43" s="196">
        <f t="array" ref="P43">IFERROR(
(MEDIAN((IF(DATOS_[[Sexo]:[Sexo]]=$B43,IF(DATOS_[[AGRUP. CLAS. PROF.]:[AGRUP. CLAS. PROF.]]=$B42,IF(DATOS_[[Check Periodo Ref.]:[Check Periodo Ref.]]="Dentro",IF(DATOS_[[Check Equiparado]:[Check Equiparado]]="Sí",IF(DATOS!AK$5="Sí",(1/DATOS_[[% anualiz]:[% anualiz]]),1)*IF(DATOS!AK$4="Sí",1/DATOS_[[% normaliz]:[% normaliz]],1)*(DATOS_[Conc.Sal.07])))))))),
0)</f>
        <v>0</v>
      </c>
      <c r="Q43" s="196">
        <f t="array" ref="Q43">IFERROR(
(MEDIAN((IF(DATOS_[[Sexo]:[Sexo]]=$B43,IF(DATOS_[[AGRUP. CLAS. PROF.]:[AGRUP. CLAS. PROF.]]=$B42,IF(DATOS_[[Check Periodo Ref.]:[Check Periodo Ref.]]="Dentro",IF(DATOS_[[Check Equiparado]:[Check Equiparado]]="Sí",IF(DATOS!AL$5="Sí",(1/DATOS_[[% anualiz]:[% anualiz]]),1)*IF(DATOS!AL$4="Sí",1/DATOS_[[% normaliz]:[% normaliz]],1)*(DATOS_[Conc.Sal.08])))))))),
0)</f>
        <v>0</v>
      </c>
      <c r="R43" s="196">
        <f t="array" ref="R43">IFERROR(
(MEDIAN((IF(DATOS_[[Sexo]:[Sexo]]=$B43,IF(DATOS_[[AGRUP. CLAS. PROF.]:[AGRUP. CLAS. PROF.]]=$B42,IF(DATOS_[[Check Periodo Ref.]:[Check Periodo Ref.]]="Dentro",IF(DATOS_[[Check Equiparado]:[Check Equiparado]]="Sí",IF(DATOS!AM$5="Sí",(1/DATOS_[[% anualiz]:[% anualiz]]),1)*IF(DATOS!AM$4="Sí",1/DATOS_[[% normaliz]:[% normaliz]],1)*(DATOS_[Conc.Sal.09])))))))),
0)</f>
        <v>0</v>
      </c>
      <c r="S43" s="196">
        <f t="array" ref="S43">IFERROR(
(MEDIAN((IF(DATOS_[[Sexo]:[Sexo]]=$B43,IF(DATOS_[[AGRUP. CLAS. PROF.]:[AGRUP. CLAS. PROF.]]=$B42,IF(DATOS_[[Check Periodo Ref.]:[Check Periodo Ref.]]="Dentro",IF(DATOS_[[Check Equiparado]:[Check Equiparado]]="Sí",IF(DATOS!AN$5="Sí",(1/DATOS_[[% anualiz]:[% anualiz]]),1)*IF(DATOS!AN$4="Sí",1/DATOS_[[% normaliz]:[% normaliz]],1)*(DATOS_[Conc.Sal.10])))))))),
0)</f>
        <v>0</v>
      </c>
      <c r="T43" s="196">
        <f t="array" ref="T43">IFERROR(
(MEDIAN((IF(DATOS_[[Sexo]:[Sexo]]=$B43,IF(DATOS_[[AGRUP. CLAS. PROF.]:[AGRUP. CLAS. PROF.]]=$B42,IF(DATOS_[[Check Periodo Ref.]:[Check Periodo Ref.]]="Dentro",IF(DATOS_[[Check Equiparado]:[Check Equiparado]]="Sí",IF(DATOS!AO$5="Sí",(1/DATOS_[[% anualiz]:[% anualiz]]),1)*IF(DATOS!AO$4="Sí",1/DATOS_[[% normaliz]:[% normaliz]],1)*(DATOS_[Conc.Sal.11])))))))),
0)</f>
        <v>0</v>
      </c>
      <c r="U43" s="196">
        <f t="array" ref="U43">IFERROR(
(MEDIAN((IF(DATOS_[[Sexo]:[Sexo]]=$B43,IF(DATOS_[[AGRUP. CLAS. PROF.]:[AGRUP. CLAS. PROF.]]=$B42,IF(DATOS_[[Check Periodo Ref.]:[Check Periodo Ref.]]="Dentro",IF(DATOS_[[Check Equiparado]:[Check Equiparado]]="Sí",IF(DATOS!AP$5="Sí",(1/DATOS_[[% anualiz]:[% anualiz]]),1)*IF(DATOS!AP$4="Sí",1/DATOS_[[% normaliz]:[% normaliz]],1)*(DATOS_[Conc.Sal.12])))))))),
0)</f>
        <v>0</v>
      </c>
      <c r="V43" s="196">
        <f t="array" ref="V43">IFERROR(
(MEDIAN((IF(DATOS_[[Sexo]:[Sexo]]=$B43,IF(DATOS_[[AGRUP. CLAS. PROF.]:[AGRUP. CLAS. PROF.]]=$B42,IF(DATOS_[[Check Periodo Ref.]:[Check Periodo Ref.]]="Dentro",IF(DATOS_[[Check Equiparado]:[Check Equiparado]]="Sí",IF(DATOS!AQ$5="Sí",(1/DATOS_[[% anualiz]:[% anualiz]]),1)*IF(DATOS!AQ$4="Sí",1/DATOS_[[% normaliz]:[% normaliz]],1)*(DATOS_[Conc.Sal.13])))))))),
0)</f>
        <v>0</v>
      </c>
      <c r="W43" s="196">
        <f t="array" ref="W43">IFERROR(
(MEDIAN((IF(DATOS_[[Sexo]:[Sexo]]=$B43,IF(DATOS_[[AGRUP. CLAS. PROF.]:[AGRUP. CLAS. PROF.]]=$B42,IF(DATOS_[[Check Periodo Ref.]:[Check Periodo Ref.]]="Dentro",IF(DATOS_[[Check Equiparado]:[Check Equiparado]]="Sí",IF(DATOS!AR$5="Sí",(1/DATOS_[[% anualiz]:[% anualiz]]),1)*IF(DATOS!AR$4="Sí",1/DATOS_[[% normaliz]:[% normaliz]],1)*(DATOS_[Conc.Sal.14])))))))),
0)</f>
        <v>0</v>
      </c>
      <c r="X43" s="196">
        <f t="array" ref="X43">IFERROR(
(MEDIAN((IF(DATOS_[[Sexo]:[Sexo]]=$B43,IF(DATOS_[[AGRUP. CLAS. PROF.]:[AGRUP. CLAS. PROF.]]=$B42,IF(DATOS_[[Check Periodo Ref.]:[Check Periodo Ref.]]="Dentro",IF(DATOS_[[Check Equiparado]:[Check Equiparado]]="Sí",IF(DATOS!AS$5="Sí",(1/DATOS_[[% anualiz]:[% anualiz]]),1)*IF(DATOS!AS$4="Sí",1/DATOS_[[% normaliz]:[% normaliz]],1)*(DATOS_[Conc.Sal.15])))))))),
0)</f>
        <v>0</v>
      </c>
      <c r="Y43" s="196">
        <f t="array" ref="Y43">IFERROR(
(MEDIAN((IF(DATOS_[[Sexo]:[Sexo]]=$B43,IF(DATOS_[[AGRUP. CLAS. PROF.]:[AGRUP. CLAS. PROF.]]=$B42,IF(DATOS_[[Check Periodo Ref.]:[Check Periodo Ref.]]="Dentro",IF(DATOS_[[Check Equiparado]:[Check Equiparado]]="Sí",IF(DATOS!AT$5="Sí",(1/DATOS_[[% anualiz]:[% anualiz]]),1)*IF(DATOS!AT$4="Sí",1/DATOS_[[% normaliz]:[% normaliz]],1)*(DATOS_[Conc.Sal.16])))))))),
0)</f>
        <v>0</v>
      </c>
      <c r="Z43" s="196">
        <f t="array" ref="Z43">IFERROR(
(MEDIAN((IF(DATOS_[[Sexo]:[Sexo]]=$B43,IF(DATOS_[[AGRUP. CLAS. PROF.]:[AGRUP. CLAS. PROF.]]=$B42,IF(DATOS_[[Check Periodo Ref.]:[Check Periodo Ref.]]="Dentro",IF(DATOS_[[Check Equiparado]:[Check Equiparado]]="Sí",IF(DATOS!AU$5="Sí",(1/DATOS_[[% anualiz]:[% anualiz]]),1)*IF(DATOS!AU$4="Sí",1/DATOS_[[% normaliz]:[% normaliz]],1)*(DATOS_[Conc.Sal.17])))))))),
0)</f>
        <v>0</v>
      </c>
      <c r="AA43" s="196">
        <f t="array" ref="AA43">IFERROR(
(MEDIAN((IF(DATOS_[[Sexo]:[Sexo]]=$B43,IF(DATOS_[[AGRUP. CLAS. PROF.]:[AGRUP. CLAS. PROF.]]=$B42,IF(DATOS_[[Check Periodo Ref.]:[Check Periodo Ref.]]="Dentro",IF(DATOS_[[Check Equiparado]:[Check Equiparado]]="Sí",IF(DATOS!AV$5="Sí",(1/DATOS_[[% anualiz]:[% anualiz]]),1)*IF(DATOS!AV$4="Sí",1/DATOS_[[% normaliz]:[% normaliz]],1)*(DATOS_[Conc.Sal.18])))))))),
0)</f>
        <v>0</v>
      </c>
      <c r="AB43" s="196">
        <f t="array" ref="AB43">IFERROR(
(MEDIAN((IF(DATOS_[[Sexo]:[Sexo]]=$B43,IF(DATOS_[[AGRUP. CLAS. PROF.]:[AGRUP. CLAS. PROF.]]=$B42,IF(DATOS_[[Check Periodo Ref.]:[Check Periodo Ref.]]="Dentro",IF(DATOS_[[Check Equiparado]:[Check Equiparado]]="Sí",IF(DATOS!AW$5="Sí",(1/DATOS_[[% anualiz]:[% anualiz]]),1)*IF(DATOS!AW$4="Sí",1/DATOS_[[% normaliz]:[% normaliz]],1)*(DATOS_[Conc.Sal.19])))))))),
0)</f>
        <v>0</v>
      </c>
      <c r="AC43" s="196">
        <f t="array" ref="AC43">IFERROR(
(MEDIAN((IF(DATOS_[[Sexo]:[Sexo]]=$B43,IF(DATOS_[[AGRUP. CLAS. PROF.]:[AGRUP. CLAS. PROF.]]=$B42,IF(DATOS_[[Check Periodo Ref.]:[Check Periodo Ref.]]="Dentro",IF(DATOS_[[Check Equiparado]:[Check Equiparado]]="Sí",IF(DATOS!AX$5="Sí",(1/DATOS_[[% anualiz]:[% anualiz]]),1)*IF(DATOS!AX$4="Sí",1/DATOS_[[% normaliz]:[% normaliz]],1)*(DATOS_[Conc.Sal.20])))))))),
0)</f>
        <v>0</v>
      </c>
      <c r="AD43" s="196">
        <f t="array" ref="AD43">IFERROR(
(MEDIAN((IF(DATOS_[[Sexo]:[Sexo]]=$B43,IF(DATOS_[[AGRUP. CLAS. PROF.]:[AGRUP. CLAS. PROF.]]=$B42,IF(DATOS_[[Check Periodo Ref.]:[Check Periodo Ref.]]="Dentro",IF(DATOS_[[Check Equiparado]:[Check Equiparado]]="Sí",IF(DATOS!AY$5="Sí",(1/DATOS_[[% anualiz]:[% anualiz]]),1)*IF(DATOS!AY$4="Sí",1/DATOS_[[% normaliz]:[% normaliz]],1)*(DATOS_[Conc.Sal.21])))))))),
0)</f>
        <v>0</v>
      </c>
      <c r="AE43" s="196">
        <f t="array" ref="AE43">IFERROR(
(MEDIAN((IF(DATOS_[[Sexo]:[Sexo]]=$B43,IF(DATOS_[[AGRUP. CLAS. PROF.]:[AGRUP. CLAS. PROF.]]=$B42,IF(DATOS_[[Check Periodo Ref.]:[Check Periodo Ref.]]="Dentro",IF(DATOS_[[Check Equiparado]:[Check Equiparado]]="Sí",IF(DATOS!AZ$5="Sí",(1/DATOS_[[% anualiz]:[% anualiz]]),1)*IF(DATOS!AZ$4="Sí",1/DATOS_[[% normaliz]:[% normaliz]],1)*(DATOS_[Conc.Sal.22])))))))),
0)</f>
        <v>0</v>
      </c>
      <c r="AF43" s="196">
        <f t="array" ref="AF43">IFERROR(
(MEDIAN((IF(DATOS_[[Sexo]:[Sexo]]=$B43,IF(DATOS_[[AGRUP. CLAS. PROF.]:[AGRUP. CLAS. PROF.]]=$B42,IF(DATOS_[[Check Periodo Ref.]:[Check Periodo Ref.]]="Dentro",IF(DATOS_[[Check Equiparado]:[Check Equiparado]]="Sí",IF(DATOS!BA$5="Sí",(1/DATOS_[[% anualiz]:[% anualiz]]),1)*IF(DATOS!BA$4="Sí",1/DATOS_[[% normaliz]:[% normaliz]],1)*(DATOS_[Conc.Sal.23])))))))),
0)</f>
        <v>0</v>
      </c>
      <c r="AG43" s="196">
        <f t="array" ref="AG43">IFERROR(
(MEDIAN((IF(DATOS_[[Sexo]:[Sexo]]=$B43,IF(DATOS_[[AGRUP. CLAS. PROF.]:[AGRUP. CLAS. PROF.]]=$B42,IF(DATOS_[[Check Periodo Ref.]:[Check Periodo Ref.]]="Dentro",IF(DATOS_[[Check Equiparado]:[Check Equiparado]]="Sí",IF(DATOS!BB$5="Sí",(1/DATOS_[[% anualiz]:[% anualiz]]),1)*IF(DATOS!BB$4="Sí",1/DATOS_[[% normaliz]:[% normaliz]],1)*(DATOS_[Conc.Sal.24])))))))),
0)</f>
        <v>0</v>
      </c>
      <c r="AH43" s="196">
        <f t="array" ref="AH43">IFERROR(
(MEDIAN((IF(DATOS_[[Sexo]:[Sexo]]=$B43,IF(DATOS_[[AGRUP. CLAS. PROF.]:[AGRUP. CLAS. PROF.]]=$B42,IF(DATOS_[[Check Periodo Ref.]:[Check Periodo Ref.]]="Dentro",IF(DATOS_[[Check Equiparado]:[Check Equiparado]]="Sí",IF(DATOS!BC$5="Sí",(1/DATOS_[[% anualiz]:[% anualiz]]),1)*IF(DATOS!BC$4="Sí",1/DATOS_[[% normaliz]:[% normaliz]],1)*(DATOS_[Conc.Sal.25])))))))),
0)</f>
        <v>0</v>
      </c>
      <c r="AI43" s="196">
        <f t="array" ref="AI43">IFERROR(
(MEDIAN((IF(DATOS_[[Sexo]:[Sexo]]=$B43,IF(DATOS_[[AGRUP. CLAS. PROF.]:[AGRUP. CLAS. PROF.]]=$B42,IF(DATOS_[[Check Periodo Ref.]:[Check Periodo Ref.]]="Dentro",IF(DATOS_[[Check Equiparado]:[Check Equiparado]]="Sí",IF(DATOS!BD$5="Sí",(1/DATOS_[[% anualiz]:[% anualiz]]),1)*IF(DATOS!BD$4="Sí",1/DATOS_[[% normaliz]:[% normaliz]],1)*(DATOS_[Conc.Sal.26])))))))),
0)</f>
        <v>0</v>
      </c>
      <c r="AJ43" s="196">
        <f t="array" ref="AJ43">IFERROR(
(MEDIAN((IF(DATOS_[[Sexo]:[Sexo]]=$B43,IF(DATOS_[[AGRUP. CLAS. PROF.]:[AGRUP. CLAS. PROF.]]=$B42,IF(DATOS_[[Check Periodo Ref.]:[Check Periodo Ref.]]="Dentro",IF(DATOS_[[Check Equiparado]:[Check Equiparado]]="Sí",IF(DATOS!BE$5="Sí",(1/DATOS_[[% anualiz]:[% anualiz]]),1)*IF(DATOS!BE$4="Sí",1/DATOS_[[% normaliz]:[% normaliz]],1)*(DATOS_[Conc.Sal.27])))))))),
0)</f>
        <v>0</v>
      </c>
      <c r="AK43" s="196">
        <f t="array" ref="AK43">IFERROR(
(MEDIAN((IF(DATOS_[[Sexo]:[Sexo]]=$B43,IF(DATOS_[[AGRUP. CLAS. PROF.]:[AGRUP. CLAS. PROF.]]=$B42,IF(DATOS_[[Check Periodo Ref.]:[Check Periodo Ref.]]="Dentro",IF(DATOS_[[Check Equiparado]:[Check Equiparado]]="Sí",IF(DATOS!BF$5="Sí",(1/DATOS_[[% anualiz]:[% anualiz]]),1)*IF(DATOS!BF$4="Sí",1/DATOS_[[% normaliz]:[% normaliz]],1)*(DATOS_[Conc.Sal.28])))))))),
0)</f>
        <v>0</v>
      </c>
      <c r="AL43" s="196">
        <f t="array" ref="AL43">IFERROR(
(MEDIAN((IF(DATOS_[[Sexo]:[Sexo]]=$B43,IF(DATOS_[[AGRUP. CLAS. PROF.]:[AGRUP. CLAS. PROF.]]=$B42,IF(DATOS_[[Check Periodo Ref.]:[Check Periodo Ref.]]="Dentro",IF(DATOS_[[Check Equiparado]:[Check Equiparado]]="Sí",IF(DATOS!BG$5="Sí",(1/DATOS_[[% anualiz]:[% anualiz]]),1)*IF(DATOS!BG$4="Sí",1/DATOS_[[% normaliz]:[% normaliz]],1)*(DATOS_[Conc.Sal.29])))))))),
0)</f>
        <v>0</v>
      </c>
      <c r="AM43" s="196">
        <f t="array" ref="AM43">IFERROR(
(MEDIAN((IF(DATOS_[[Sexo]:[Sexo]]=$B43,IF(DATOS_[[AGRUP. CLAS. PROF.]:[AGRUP. CLAS. PROF.]]=$B42,IF(DATOS_[[Check Periodo Ref.]:[Check Periodo Ref.]]="Dentro",IF(DATOS_[[Check Equiparado]:[Check Equiparado]]="Sí",IF(DATOS!BH$5="Sí",(1/DATOS_[[% anualiz]:[% anualiz]]),1)*IF(DATOS!BH$4="Sí",1/DATOS_[[% normaliz]:[% normaliz]],1)*(DATOS_[Conc.Sal.30])))))))),
0)</f>
        <v>0</v>
      </c>
      <c r="AN43" s="195">
        <f t="array" ref="AN43">IFERROR(
MEDIAN(IF(DATOS_[Sexo]=$B43,IF(DATOS_[[AGRUP. CLAS. PROF.]:[AGRUP. CLAS. PROF.]]=$B42,IF(DATOS_[Check Equiparado]="Sí",IF(DATOS_[Check Periodo Ref.]="Dentro",DATOS_[Tot COMPL.SAL Eq],FALSE))))),
0)</f>
        <v>0</v>
      </c>
      <c r="AO43" s="172">
        <f t="array" ref="AO43">IFERROR(
MEDIAN(IF(DATOS_[Sexo]=$B43,IF(DATOS_[[AGRUP. CLAS. PROF.]:[AGRUP. CLAS. PROF.]]=$B42,IF(DATOS_[Check Equiparado]="Sí",IF(DATOS_[Check Periodo Ref.]="Dentro",DATOS_[TOTAL SALARIO Eq],FALSE))))),
0)</f>
        <v>0</v>
      </c>
      <c r="AP43" s="173">
        <f t="array" ref="AP43">IFERROR(
(MEDIAN((IF(DATOS_[[Sexo]:[Sexo]]=$B43,IF(DATOS_[[AGRUP. CLAS. PROF.]:[AGRUP. CLAS. PROF.]]=$B42,IF(DATOS_[[Check Periodo Ref.]:[Check Periodo Ref.]]="Dentro",IF(DATOS_[[Check Equiparado]:[Check Equiparado]]="Sí",IF(DATOS!BW$5="Sí",(1/DATOS_[[% anualiz]:[% anualiz]]),1)*IF(DATOS!BW$4="Sí",1/DATOS_[[% normaliz]:[% normaliz]],1)*(DATOS_[C.Extra.01])))))))),
0)</f>
        <v>0</v>
      </c>
      <c r="AQ43" s="173">
        <f t="array" ref="AQ43">IFERROR(
(MEDIAN((IF(DATOS_[[Sexo]:[Sexo]]=$B43,IF(DATOS_[[AGRUP. CLAS. PROF.]:[AGRUP. CLAS. PROF.]]=$B42,IF(DATOS_[[Check Periodo Ref.]:[Check Periodo Ref.]]="Dentro",IF(DATOS_[[Check Equiparado]:[Check Equiparado]]="Sí",IF(DATOS!CB$5="Sí",(1/DATOS_[[% anualiz]:[% anualiz]]),1)*IF(DATOS!CB$4="Sí",1/DATOS_[[% normaliz]:[% normaliz]],1)*(DATOS_[C.Extra.06])))))))),
0)</f>
        <v>0</v>
      </c>
      <c r="AR43" s="173">
        <f t="array" ref="AR43">IFERROR(
(MEDIAN((IF(DATOS_[[Sexo]:[Sexo]]=$B43,IF(DATOS_[[AGRUP. CLAS. PROF.]:[AGRUP. CLAS. PROF.]]=$B42,IF(DATOS_[[Check Periodo Ref.]:[Check Periodo Ref.]]="Dentro",IF(DATOS_[[Check Equiparado]:[Check Equiparado]]="Sí",IF(DATOS!CC$5="Sí",(1/DATOS_[[% anualiz]:[% anualiz]]),1)*IF(DATOS!CC$4="Sí",1/DATOS_[[% normaliz]:[% normaliz]],1)*(DATOS_[C.Extra.07])))))))),
0)</f>
        <v>0</v>
      </c>
      <c r="AS43" s="173">
        <f t="array" ref="AS43">IFERROR(
(MEDIAN((IF(DATOS_[[Sexo]:[Sexo]]=$B43,IF(DATOS_[[AGRUP. CLAS. PROF.]:[AGRUP. CLAS. PROF.]]=$B42,IF(DATOS_[[Check Periodo Ref.]:[Check Periodo Ref.]]="Dentro",IF(DATOS_[[Check Equiparado]:[Check Equiparado]]="Sí",IF(DATOS!CD$5="Sí",(1/DATOS_[[% anualiz]:[% anualiz]]),1)*IF(DATOS!CD$4="Sí",1/DATOS_[[% normaliz]:[% normaliz]],1)*(DATOS_[C.Extra.08])))))))),
0)</f>
        <v>0</v>
      </c>
      <c r="AT43" s="173">
        <f t="array" ref="AT43">IFERROR(
(MEDIAN((IF(DATOS_[[Sexo]:[Sexo]]=$B43,IF(DATOS_[[AGRUP. CLAS. PROF.]:[AGRUP. CLAS. PROF.]]=$B42,IF(DATOS_[[Check Periodo Ref.]:[Check Periodo Ref.]]="Dentro",IF(DATOS_[[Check Equiparado]:[Check Equiparado]]="Sí",IF(DATOS!CG$5="Sí",(1/DATOS_[[% anualiz]:[% anualiz]]),1)*IF(DATOS!CG$4="Sí",1/DATOS_[[% normaliz]:[% normaliz]],1)*(DATOS_[C.Extra.11])))))))),
0)</f>
        <v>0</v>
      </c>
      <c r="AU43" s="197">
        <f t="array" ref="AU43">IFERROR(
MEDIAN(IF(DATOS_[Sexo]=$B43,IF(DATOS_[[AGRUP. CLAS. PROF.]:[AGRUP. CLAS. PROF.]]=$B42,IF(DATOS_[Check Equiparado]="Sí",IF(DATOS_[Check Periodo Ref.]="Dentro",DATOS_[Tot Extrasalarial Eq],FALSE))))),
0)</f>
        <v>0</v>
      </c>
      <c r="AV43" s="175">
        <f t="array" ref="AV43">IFERROR(
MEDIAN(IF(DATOS_[Sexo]=$B43,IF(DATOS_[[AGRUP. CLAS. PROF.]:[AGRUP. CLAS. PROF.]]=$B42,IF(DATOS_[Check Equiparado]="Sí",IF(DATOS_[Check Periodo Ref.]="Dentro",DATOS_[TOTAL Retrib Eq],FALSE))))),
0)</f>
        <v>0</v>
      </c>
    </row>
    <row r="44" spans="1:48" hidden="1" x14ac:dyDescent="0.25">
      <c r="A44" s="133" t="str">
        <f t="shared" ref="A44" si="42">+A43</f>
        <v>[ocultar]</v>
      </c>
      <c r="B44" s="202" t="s">
        <v>521</v>
      </c>
      <c r="C44" s="203">
        <f t="array" ref="C44">SUM(IF($B44=DATOS_[Sexo],
IF($B42=DATOS_[AGRUP. CLAS. PROF.],
IF("Dentro"=DATOS_[Check Periodo Ref.],
1/(COUNTIFS(DATOS_[Sexo],$B44,DATOS_[AGRUP. CLAS. PROF.],$B42,DATOS_[Check Periodo Ref.],"Dentro",DATOS_[id/cod],DATOS_[id/cod]))))))</f>
        <v>0</v>
      </c>
      <c r="D44" s="204">
        <f>COUNTIFS(DATOS_[AGRUP. CLAS. PROF.],$B42,DATOS_[Sexo],$B44,DATOS_[Check Periodo Ref.],"Dentro")</f>
        <v>0</v>
      </c>
      <c r="E44" s="204">
        <f>COUNTIFS(DATOS_[AGRUP. CLAS. PROF.],$B42,DATOS_[Sexo],$B44,DATOS_[Check Periodo Ref.],"Dentro",DATOS_[Check Nº SC Norm],"Sí")</f>
        <v>0</v>
      </c>
      <c r="F44" s="204">
        <f>COUNTIFS(DATOS_[AGRUP. CLAS. PROF.],$B42,DATOS_[Sexo],$B44,DATOS_[Check Periodo Ref.],"Dentro",DATOS_[Check Nº SC Anualiz],"Sí")</f>
        <v>0</v>
      </c>
      <c r="G44" s="204">
        <f>COUNTIFS(DATOS_[AGRUP. CLAS. PROF.],$B42,DATOS_[Sexo],$B44,DATOS_[Check Periodo Ref.],"Dentro",DATOS_[Check Nº SC Norm y Anualiz],"Sí")</f>
        <v>0</v>
      </c>
      <c r="H44" s="204">
        <f>COUNTIFS(DATOS_[AGRUP. CLAS. PROF.],$B42,DATOS_[Sexo],$B44,DATOS_[Check Periodo Ref.],"Dentro",DATOS_[Check Equiparación],"Sí")</f>
        <v>0</v>
      </c>
      <c r="I44" s="195" cm="1">
        <f t="array" ref="I44">IFERROR(
MEDIAN(IF(DATOS_[Sexo]=$B44,IF(DATOS_[[AGRUP. CLAS. PROF.]:[AGRUP. CLAS. PROF.]]=$B42,IF(DATOS_[Check Equiparado]="Sí",IF(DATOS_[Check Periodo Ref.]="Dentro",DATOS_[SALARIO BASE Eq],FALSE))))),
0)</f>
        <v>0</v>
      </c>
      <c r="J44" s="196">
        <f t="array" ref="J44">IFERROR(
(MEDIAN((IF(DATOS_[[Sexo]:[Sexo]]=$B44,IF(DATOS_[[AGRUP. CLAS. PROF.]:[AGRUP. CLAS. PROF.]]=$B42,IF(DATOS_[[Check Periodo Ref.]:[Check Periodo Ref.]]="Dentro",IF(DATOS_[[Check Equiparado]:[Check Equiparado]]="Sí",IF(DATOS!AE$5="Sí",(1/DATOS_[[% anualiz]:[% anualiz]]),1)*IF(DATOS!AE$4="Sí",1/DATOS_[[% normaliz]:[% normaliz]],1)*(DATOS_[Conc.Sal.01])))))))),
0)</f>
        <v>0</v>
      </c>
      <c r="K44" s="196">
        <f t="array" ref="K44">IFERROR(
(MEDIAN((IF(DATOS_[[Sexo]:[Sexo]]=$B44,IF(DATOS_[[AGRUP. CLAS. PROF.]:[AGRUP. CLAS. PROF.]]=$B42,IF(DATOS_[[Check Periodo Ref.]:[Check Periodo Ref.]]="Dentro",IF(DATOS_[[Check Equiparado]:[Check Equiparado]]="Sí",IF(DATOS!AF$5="Sí",(1/DATOS_[[% anualiz]:[% anualiz]]),1)*IF(DATOS!AF$4="Sí",1/DATOS_[[% normaliz]:[% normaliz]],1)*(DATOS_[Conc.Sal.02])))))))),
0)</f>
        <v>0</v>
      </c>
      <c r="L44" s="196">
        <f t="array" ref="L44">IFERROR(
(MEDIAN((IF(DATOS_[[Sexo]:[Sexo]]=$B44,IF(DATOS_[[AGRUP. CLAS. PROF.]:[AGRUP. CLAS. PROF.]]=$B42,IF(DATOS_[[Check Periodo Ref.]:[Check Periodo Ref.]]="Dentro",IF(DATOS_[[Check Equiparado]:[Check Equiparado]]="Sí",IF(DATOS!AG$5="Sí",(1/DATOS_[[% anualiz]:[% anualiz]]),1)*IF(DATOS!AG$4="Sí",1/DATOS_[[% normaliz]:[% normaliz]],1)*(DATOS_[Conc.Sal.03])))))))),
0)</f>
        <v>0</v>
      </c>
      <c r="M44" s="196">
        <f t="array" ref="M44">IFERROR(
(MEDIAN((IF(DATOS_[[Sexo]:[Sexo]]=$B44,IF(DATOS_[[AGRUP. CLAS. PROF.]:[AGRUP. CLAS. PROF.]]=$B42,IF(DATOS_[[Check Periodo Ref.]:[Check Periodo Ref.]]="Dentro",IF(DATOS_[[Check Equiparado]:[Check Equiparado]]="Sí",IF(DATOS!AH$5="Sí",(1/DATOS_[[% anualiz]:[% anualiz]]),1)*IF(DATOS!AH$4="Sí",1/DATOS_[[% normaliz]:[% normaliz]],1)*(DATOS_[Conc.Sal.04])))))))),
0)</f>
        <v>0</v>
      </c>
      <c r="N44" s="196">
        <f t="array" ref="N44">IFERROR(
(MEDIAN((IF(DATOS_[[Sexo]:[Sexo]]=$B44,IF(DATOS_[[AGRUP. CLAS. PROF.]:[AGRUP. CLAS. PROF.]]=$B42,IF(DATOS_[[Check Periodo Ref.]:[Check Periodo Ref.]]="Dentro",IF(DATOS_[[Check Equiparado]:[Check Equiparado]]="Sí",IF(DATOS!AI$5="Sí",(1/DATOS_[[% anualiz]:[% anualiz]]),1)*IF(DATOS!AI$4="Sí",1/DATOS_[[% normaliz]:[% normaliz]],1)*(DATOS_[Conc.Sal.05])))))))),
0)</f>
        <v>0</v>
      </c>
      <c r="O44" s="196">
        <f t="array" ref="O44">IFERROR(
(MEDIAN((IF(DATOS_[[Sexo]:[Sexo]]=$B44,IF(DATOS_[[AGRUP. CLAS. PROF.]:[AGRUP. CLAS. PROF.]]=$B42,IF(DATOS_[[Check Periodo Ref.]:[Check Periodo Ref.]]="Dentro",IF(DATOS_[[Check Equiparado]:[Check Equiparado]]="Sí",IF(DATOS!AJ$5="Sí",(1/DATOS_[[% anualiz]:[% anualiz]]),1)*IF(DATOS!AJ$4="Sí",1/DATOS_[[% normaliz]:[% normaliz]],1)*(DATOS_[Conc.Sal.06])))))))),
0)</f>
        <v>0</v>
      </c>
      <c r="P44" s="196">
        <f t="array" ref="P44">IFERROR(
(MEDIAN((IF(DATOS_[[Sexo]:[Sexo]]=$B44,IF(DATOS_[[AGRUP. CLAS. PROF.]:[AGRUP. CLAS. PROF.]]=$B42,IF(DATOS_[[Check Periodo Ref.]:[Check Periodo Ref.]]="Dentro",IF(DATOS_[[Check Equiparado]:[Check Equiparado]]="Sí",IF(DATOS!AK$5="Sí",(1/DATOS_[[% anualiz]:[% anualiz]]),1)*IF(DATOS!AK$4="Sí",1/DATOS_[[% normaliz]:[% normaliz]],1)*(DATOS_[Conc.Sal.07])))))))),
0)</f>
        <v>0</v>
      </c>
      <c r="Q44" s="196">
        <f t="array" ref="Q44">IFERROR(
(MEDIAN((IF(DATOS_[[Sexo]:[Sexo]]=$B44,IF(DATOS_[[AGRUP. CLAS. PROF.]:[AGRUP. CLAS. PROF.]]=$B42,IF(DATOS_[[Check Periodo Ref.]:[Check Periodo Ref.]]="Dentro",IF(DATOS_[[Check Equiparado]:[Check Equiparado]]="Sí",IF(DATOS!AL$5="Sí",(1/DATOS_[[% anualiz]:[% anualiz]]),1)*IF(DATOS!AL$4="Sí",1/DATOS_[[% normaliz]:[% normaliz]],1)*(DATOS_[Conc.Sal.08])))))))),
0)</f>
        <v>0</v>
      </c>
      <c r="R44" s="196">
        <f t="array" ref="R44">IFERROR(
(MEDIAN((IF(DATOS_[[Sexo]:[Sexo]]=$B44,IF(DATOS_[[AGRUP. CLAS. PROF.]:[AGRUP. CLAS. PROF.]]=$B42,IF(DATOS_[[Check Periodo Ref.]:[Check Periodo Ref.]]="Dentro",IF(DATOS_[[Check Equiparado]:[Check Equiparado]]="Sí",IF(DATOS!AM$5="Sí",(1/DATOS_[[% anualiz]:[% anualiz]]),1)*IF(DATOS!AM$4="Sí",1/DATOS_[[% normaliz]:[% normaliz]],1)*(DATOS_[Conc.Sal.09])))))))),
0)</f>
        <v>0</v>
      </c>
      <c r="S44" s="196">
        <f t="array" ref="S44">IFERROR(
(MEDIAN((IF(DATOS_[[Sexo]:[Sexo]]=$B44,IF(DATOS_[[AGRUP. CLAS. PROF.]:[AGRUP. CLAS. PROF.]]=$B42,IF(DATOS_[[Check Periodo Ref.]:[Check Periodo Ref.]]="Dentro",IF(DATOS_[[Check Equiparado]:[Check Equiparado]]="Sí",IF(DATOS!AN$5="Sí",(1/DATOS_[[% anualiz]:[% anualiz]]),1)*IF(DATOS!AN$4="Sí",1/DATOS_[[% normaliz]:[% normaliz]],1)*(DATOS_[Conc.Sal.10])))))))),
0)</f>
        <v>0</v>
      </c>
      <c r="T44" s="196">
        <f t="array" ref="T44">IFERROR(
(MEDIAN((IF(DATOS_[[Sexo]:[Sexo]]=$B44,IF(DATOS_[[AGRUP. CLAS. PROF.]:[AGRUP. CLAS. PROF.]]=$B42,IF(DATOS_[[Check Periodo Ref.]:[Check Periodo Ref.]]="Dentro",IF(DATOS_[[Check Equiparado]:[Check Equiparado]]="Sí",IF(DATOS!AO$5="Sí",(1/DATOS_[[% anualiz]:[% anualiz]]),1)*IF(DATOS!AO$4="Sí",1/DATOS_[[% normaliz]:[% normaliz]],1)*(DATOS_[Conc.Sal.11])))))))),
0)</f>
        <v>0</v>
      </c>
      <c r="U44" s="196">
        <f t="array" ref="U44">IFERROR(
(MEDIAN((IF(DATOS_[[Sexo]:[Sexo]]=$B44,IF(DATOS_[[AGRUP. CLAS. PROF.]:[AGRUP. CLAS. PROF.]]=$B42,IF(DATOS_[[Check Periodo Ref.]:[Check Periodo Ref.]]="Dentro",IF(DATOS_[[Check Equiparado]:[Check Equiparado]]="Sí",IF(DATOS!AP$5="Sí",(1/DATOS_[[% anualiz]:[% anualiz]]),1)*IF(DATOS!AP$4="Sí",1/DATOS_[[% normaliz]:[% normaliz]],1)*(DATOS_[Conc.Sal.12])))))))),
0)</f>
        <v>0</v>
      </c>
      <c r="V44" s="196">
        <f t="array" ref="V44">IFERROR(
(MEDIAN((IF(DATOS_[[Sexo]:[Sexo]]=$B44,IF(DATOS_[[AGRUP. CLAS. PROF.]:[AGRUP. CLAS. PROF.]]=$B42,IF(DATOS_[[Check Periodo Ref.]:[Check Periodo Ref.]]="Dentro",IF(DATOS_[[Check Equiparado]:[Check Equiparado]]="Sí",IF(DATOS!AQ$5="Sí",(1/DATOS_[[% anualiz]:[% anualiz]]),1)*IF(DATOS!AQ$4="Sí",1/DATOS_[[% normaliz]:[% normaliz]],1)*(DATOS_[Conc.Sal.13])))))))),
0)</f>
        <v>0</v>
      </c>
      <c r="W44" s="196">
        <f t="array" ref="W44">IFERROR(
(MEDIAN((IF(DATOS_[[Sexo]:[Sexo]]=$B44,IF(DATOS_[[AGRUP. CLAS. PROF.]:[AGRUP. CLAS. PROF.]]=$B42,IF(DATOS_[[Check Periodo Ref.]:[Check Periodo Ref.]]="Dentro",IF(DATOS_[[Check Equiparado]:[Check Equiparado]]="Sí",IF(DATOS!AR$5="Sí",(1/DATOS_[[% anualiz]:[% anualiz]]),1)*IF(DATOS!AR$4="Sí",1/DATOS_[[% normaliz]:[% normaliz]],1)*(DATOS_[Conc.Sal.14])))))))),
0)</f>
        <v>0</v>
      </c>
      <c r="X44" s="196">
        <f t="array" ref="X44">IFERROR(
(MEDIAN((IF(DATOS_[[Sexo]:[Sexo]]=$B44,IF(DATOS_[[AGRUP. CLAS. PROF.]:[AGRUP. CLAS. PROF.]]=$B42,IF(DATOS_[[Check Periodo Ref.]:[Check Periodo Ref.]]="Dentro",IF(DATOS_[[Check Equiparado]:[Check Equiparado]]="Sí",IF(DATOS!AS$5="Sí",(1/DATOS_[[% anualiz]:[% anualiz]]),1)*IF(DATOS!AS$4="Sí",1/DATOS_[[% normaliz]:[% normaliz]],1)*(DATOS_[Conc.Sal.15])))))))),
0)</f>
        <v>0</v>
      </c>
      <c r="Y44" s="196">
        <f t="array" ref="Y44">IFERROR(
(MEDIAN((IF(DATOS_[[Sexo]:[Sexo]]=$B44,IF(DATOS_[[AGRUP. CLAS. PROF.]:[AGRUP. CLAS. PROF.]]=$B42,IF(DATOS_[[Check Periodo Ref.]:[Check Periodo Ref.]]="Dentro",IF(DATOS_[[Check Equiparado]:[Check Equiparado]]="Sí",IF(DATOS!AT$5="Sí",(1/DATOS_[[% anualiz]:[% anualiz]]),1)*IF(DATOS!AT$4="Sí",1/DATOS_[[% normaliz]:[% normaliz]],1)*(DATOS_[Conc.Sal.16])))))))),
0)</f>
        <v>0</v>
      </c>
      <c r="Z44" s="196">
        <f t="array" ref="Z44">IFERROR(
(MEDIAN((IF(DATOS_[[Sexo]:[Sexo]]=$B44,IF(DATOS_[[AGRUP. CLAS. PROF.]:[AGRUP. CLAS. PROF.]]=$B42,IF(DATOS_[[Check Periodo Ref.]:[Check Periodo Ref.]]="Dentro",IF(DATOS_[[Check Equiparado]:[Check Equiparado]]="Sí",IF(DATOS!AU$5="Sí",(1/DATOS_[[% anualiz]:[% anualiz]]),1)*IF(DATOS!AU$4="Sí",1/DATOS_[[% normaliz]:[% normaliz]],1)*(DATOS_[Conc.Sal.17])))))))),
0)</f>
        <v>0</v>
      </c>
      <c r="AA44" s="196">
        <f t="array" ref="AA44">IFERROR(
(MEDIAN((IF(DATOS_[[Sexo]:[Sexo]]=$B44,IF(DATOS_[[AGRUP. CLAS. PROF.]:[AGRUP. CLAS. PROF.]]=$B42,IF(DATOS_[[Check Periodo Ref.]:[Check Periodo Ref.]]="Dentro",IF(DATOS_[[Check Equiparado]:[Check Equiparado]]="Sí",IF(DATOS!AV$5="Sí",(1/DATOS_[[% anualiz]:[% anualiz]]),1)*IF(DATOS!AV$4="Sí",1/DATOS_[[% normaliz]:[% normaliz]],1)*(DATOS_[Conc.Sal.18])))))))),
0)</f>
        <v>0</v>
      </c>
      <c r="AB44" s="196">
        <f t="array" ref="AB44">IFERROR(
(MEDIAN((IF(DATOS_[[Sexo]:[Sexo]]=$B44,IF(DATOS_[[AGRUP. CLAS. PROF.]:[AGRUP. CLAS. PROF.]]=$B42,IF(DATOS_[[Check Periodo Ref.]:[Check Periodo Ref.]]="Dentro",IF(DATOS_[[Check Equiparado]:[Check Equiparado]]="Sí",IF(DATOS!AW$5="Sí",(1/DATOS_[[% anualiz]:[% anualiz]]),1)*IF(DATOS!AW$4="Sí",1/DATOS_[[% normaliz]:[% normaliz]],1)*(DATOS_[Conc.Sal.19])))))))),
0)</f>
        <v>0</v>
      </c>
      <c r="AC44" s="196">
        <f t="array" ref="AC44">IFERROR(
(MEDIAN((IF(DATOS_[[Sexo]:[Sexo]]=$B44,IF(DATOS_[[AGRUP. CLAS. PROF.]:[AGRUP. CLAS. PROF.]]=$B42,IF(DATOS_[[Check Periodo Ref.]:[Check Periodo Ref.]]="Dentro",IF(DATOS_[[Check Equiparado]:[Check Equiparado]]="Sí",IF(DATOS!AX$5="Sí",(1/DATOS_[[% anualiz]:[% anualiz]]),1)*IF(DATOS!AX$4="Sí",1/DATOS_[[% normaliz]:[% normaliz]],1)*(DATOS_[Conc.Sal.20])))))))),
0)</f>
        <v>0</v>
      </c>
      <c r="AD44" s="196">
        <f t="array" ref="AD44">IFERROR(
(MEDIAN((IF(DATOS_[[Sexo]:[Sexo]]=$B44,IF(DATOS_[[AGRUP. CLAS. PROF.]:[AGRUP. CLAS. PROF.]]=$B42,IF(DATOS_[[Check Periodo Ref.]:[Check Periodo Ref.]]="Dentro",IF(DATOS_[[Check Equiparado]:[Check Equiparado]]="Sí",IF(DATOS!AY$5="Sí",(1/DATOS_[[% anualiz]:[% anualiz]]),1)*IF(DATOS!AY$4="Sí",1/DATOS_[[% normaliz]:[% normaliz]],1)*(DATOS_[Conc.Sal.21])))))))),
0)</f>
        <v>0</v>
      </c>
      <c r="AE44" s="196">
        <f t="array" ref="AE44">IFERROR(
(MEDIAN((IF(DATOS_[[Sexo]:[Sexo]]=$B44,IF(DATOS_[[AGRUP. CLAS. PROF.]:[AGRUP. CLAS. PROF.]]=$B42,IF(DATOS_[[Check Periodo Ref.]:[Check Periodo Ref.]]="Dentro",IF(DATOS_[[Check Equiparado]:[Check Equiparado]]="Sí",IF(DATOS!AZ$5="Sí",(1/DATOS_[[% anualiz]:[% anualiz]]),1)*IF(DATOS!AZ$4="Sí",1/DATOS_[[% normaliz]:[% normaliz]],1)*(DATOS_[Conc.Sal.22])))))))),
0)</f>
        <v>0</v>
      </c>
      <c r="AF44" s="196">
        <f t="array" ref="AF44">IFERROR(
(MEDIAN((IF(DATOS_[[Sexo]:[Sexo]]=$B44,IF(DATOS_[[AGRUP. CLAS. PROF.]:[AGRUP. CLAS. PROF.]]=$B42,IF(DATOS_[[Check Periodo Ref.]:[Check Periodo Ref.]]="Dentro",IF(DATOS_[[Check Equiparado]:[Check Equiparado]]="Sí",IF(DATOS!BA$5="Sí",(1/DATOS_[[% anualiz]:[% anualiz]]),1)*IF(DATOS!BA$4="Sí",1/DATOS_[[% normaliz]:[% normaliz]],1)*(DATOS_[Conc.Sal.23])))))))),
0)</f>
        <v>0</v>
      </c>
      <c r="AG44" s="196">
        <f t="array" ref="AG44">IFERROR(
(MEDIAN((IF(DATOS_[[Sexo]:[Sexo]]=$B44,IF(DATOS_[[AGRUP. CLAS. PROF.]:[AGRUP. CLAS. PROF.]]=$B42,IF(DATOS_[[Check Periodo Ref.]:[Check Periodo Ref.]]="Dentro",IF(DATOS_[[Check Equiparado]:[Check Equiparado]]="Sí",IF(DATOS!BB$5="Sí",(1/DATOS_[[% anualiz]:[% anualiz]]),1)*IF(DATOS!BB$4="Sí",1/DATOS_[[% normaliz]:[% normaliz]],1)*(DATOS_[Conc.Sal.24])))))))),
0)</f>
        <v>0</v>
      </c>
      <c r="AH44" s="196">
        <f t="array" ref="AH44">IFERROR(
(MEDIAN((IF(DATOS_[[Sexo]:[Sexo]]=$B44,IF(DATOS_[[AGRUP. CLAS. PROF.]:[AGRUP. CLAS. PROF.]]=$B42,IF(DATOS_[[Check Periodo Ref.]:[Check Periodo Ref.]]="Dentro",IF(DATOS_[[Check Equiparado]:[Check Equiparado]]="Sí",IF(DATOS!BC$5="Sí",(1/DATOS_[[% anualiz]:[% anualiz]]),1)*IF(DATOS!BC$4="Sí",1/DATOS_[[% normaliz]:[% normaliz]],1)*(DATOS_[Conc.Sal.25])))))))),
0)</f>
        <v>0</v>
      </c>
      <c r="AI44" s="196">
        <f t="array" ref="AI44">IFERROR(
(MEDIAN((IF(DATOS_[[Sexo]:[Sexo]]=$B44,IF(DATOS_[[AGRUP. CLAS. PROF.]:[AGRUP. CLAS. PROF.]]=$B42,IF(DATOS_[[Check Periodo Ref.]:[Check Periodo Ref.]]="Dentro",IF(DATOS_[[Check Equiparado]:[Check Equiparado]]="Sí",IF(DATOS!BD$5="Sí",(1/DATOS_[[% anualiz]:[% anualiz]]),1)*IF(DATOS!BD$4="Sí",1/DATOS_[[% normaliz]:[% normaliz]],1)*(DATOS_[Conc.Sal.26])))))))),
0)</f>
        <v>0</v>
      </c>
      <c r="AJ44" s="196">
        <f t="array" ref="AJ44">IFERROR(
(MEDIAN((IF(DATOS_[[Sexo]:[Sexo]]=$B44,IF(DATOS_[[AGRUP. CLAS. PROF.]:[AGRUP. CLAS. PROF.]]=$B42,IF(DATOS_[[Check Periodo Ref.]:[Check Periodo Ref.]]="Dentro",IF(DATOS_[[Check Equiparado]:[Check Equiparado]]="Sí",IF(DATOS!BE$5="Sí",(1/DATOS_[[% anualiz]:[% anualiz]]),1)*IF(DATOS!BE$4="Sí",1/DATOS_[[% normaliz]:[% normaliz]],1)*(DATOS_[Conc.Sal.27])))))))),
0)</f>
        <v>0</v>
      </c>
      <c r="AK44" s="196">
        <f t="array" ref="AK44">IFERROR(
(MEDIAN((IF(DATOS_[[Sexo]:[Sexo]]=$B44,IF(DATOS_[[AGRUP. CLAS. PROF.]:[AGRUP. CLAS. PROF.]]=$B42,IF(DATOS_[[Check Periodo Ref.]:[Check Periodo Ref.]]="Dentro",IF(DATOS_[[Check Equiparado]:[Check Equiparado]]="Sí",IF(DATOS!BF$5="Sí",(1/DATOS_[[% anualiz]:[% anualiz]]),1)*IF(DATOS!BF$4="Sí",1/DATOS_[[% normaliz]:[% normaliz]],1)*(DATOS_[Conc.Sal.28])))))))),
0)</f>
        <v>0</v>
      </c>
      <c r="AL44" s="196">
        <f t="array" ref="AL44">IFERROR(
(MEDIAN((IF(DATOS_[[Sexo]:[Sexo]]=$B44,IF(DATOS_[[AGRUP. CLAS. PROF.]:[AGRUP. CLAS. PROF.]]=$B42,IF(DATOS_[[Check Periodo Ref.]:[Check Periodo Ref.]]="Dentro",IF(DATOS_[[Check Equiparado]:[Check Equiparado]]="Sí",IF(DATOS!BG$5="Sí",(1/DATOS_[[% anualiz]:[% anualiz]]),1)*IF(DATOS!BG$4="Sí",1/DATOS_[[% normaliz]:[% normaliz]],1)*(DATOS_[Conc.Sal.29])))))))),
0)</f>
        <v>0</v>
      </c>
      <c r="AM44" s="196">
        <f t="array" ref="AM44">IFERROR(
(MEDIAN((IF(DATOS_[[Sexo]:[Sexo]]=$B44,IF(DATOS_[[AGRUP. CLAS. PROF.]:[AGRUP. CLAS. PROF.]]=$B42,IF(DATOS_[[Check Periodo Ref.]:[Check Periodo Ref.]]="Dentro",IF(DATOS_[[Check Equiparado]:[Check Equiparado]]="Sí",IF(DATOS!BH$5="Sí",(1/DATOS_[[% anualiz]:[% anualiz]]),1)*IF(DATOS!BH$4="Sí",1/DATOS_[[% normaliz]:[% normaliz]],1)*(DATOS_[Conc.Sal.30])))))))),
0)</f>
        <v>0</v>
      </c>
      <c r="AN44" s="195">
        <f t="array" ref="AN44">IFERROR(
MEDIAN(IF(DATOS_[Sexo]=$B44,IF(DATOS_[[AGRUP. CLAS. PROF.]:[AGRUP. CLAS. PROF.]]=$B42,IF(DATOS_[Check Equiparado]="Sí",IF(DATOS_[Check Periodo Ref.]="Dentro",DATOS_[Tot COMPL.SAL Eq],FALSE))))),
0)</f>
        <v>0</v>
      </c>
      <c r="AO44" s="172">
        <f t="array" ref="AO44">IFERROR(
MEDIAN(IF(DATOS_[Sexo]=$B44,IF(DATOS_[[AGRUP. CLAS. PROF.]:[AGRUP. CLAS. PROF.]]=$B42,IF(DATOS_[Check Equiparado]="Sí",IF(DATOS_[Check Periodo Ref.]="Dentro",DATOS_[TOTAL SALARIO Eq],FALSE))))),
0)</f>
        <v>0</v>
      </c>
      <c r="AP44" s="173">
        <f t="array" ref="AP44">IFERROR(
(MEDIAN((IF(DATOS_[[Sexo]:[Sexo]]=$B44,IF(DATOS_[[AGRUP. CLAS. PROF.]:[AGRUP. CLAS. PROF.]]=$B42,IF(DATOS_[[Check Periodo Ref.]:[Check Periodo Ref.]]="Dentro",IF(DATOS_[[Check Equiparado]:[Check Equiparado]]="Sí",IF(DATOS!BW$5="Sí",(1/DATOS_[[% anualiz]:[% anualiz]]),1)*IF(DATOS!BW$4="Sí",1/DATOS_[[% normaliz]:[% normaliz]],1)*(DATOS_[C.Extra.01])))))))),
0)</f>
        <v>0</v>
      </c>
      <c r="AQ44" s="173">
        <f t="array" ref="AQ44">IFERROR(
(MEDIAN((IF(DATOS_[[Sexo]:[Sexo]]=$B44,IF(DATOS_[[AGRUP. CLAS. PROF.]:[AGRUP. CLAS. PROF.]]=$B42,IF(DATOS_[[Check Periodo Ref.]:[Check Periodo Ref.]]="Dentro",IF(DATOS_[[Check Equiparado]:[Check Equiparado]]="Sí",IF(DATOS!CB$5="Sí",(1/DATOS_[[% anualiz]:[% anualiz]]),1)*IF(DATOS!CB$4="Sí",1/DATOS_[[% normaliz]:[% normaliz]],1)*(DATOS_[C.Extra.06])))))))),
0)</f>
        <v>0</v>
      </c>
      <c r="AR44" s="173">
        <f t="array" ref="AR44">IFERROR(
(MEDIAN((IF(DATOS_[[Sexo]:[Sexo]]=$B44,IF(DATOS_[[AGRUP. CLAS. PROF.]:[AGRUP. CLAS. PROF.]]=$B42,IF(DATOS_[[Check Periodo Ref.]:[Check Periodo Ref.]]="Dentro",IF(DATOS_[[Check Equiparado]:[Check Equiparado]]="Sí",IF(DATOS!CC$5="Sí",(1/DATOS_[[% anualiz]:[% anualiz]]),1)*IF(DATOS!CC$4="Sí",1/DATOS_[[% normaliz]:[% normaliz]],1)*(DATOS_[C.Extra.07])))))))),
0)</f>
        <v>0</v>
      </c>
      <c r="AS44" s="173">
        <f t="array" ref="AS44">IFERROR(
(MEDIAN((IF(DATOS_[[Sexo]:[Sexo]]=$B44,IF(DATOS_[[AGRUP. CLAS. PROF.]:[AGRUP. CLAS. PROF.]]=$B42,IF(DATOS_[[Check Periodo Ref.]:[Check Periodo Ref.]]="Dentro",IF(DATOS_[[Check Equiparado]:[Check Equiparado]]="Sí",IF(DATOS!CD$5="Sí",(1/DATOS_[[% anualiz]:[% anualiz]]),1)*IF(DATOS!CD$4="Sí",1/DATOS_[[% normaliz]:[% normaliz]],1)*(DATOS_[C.Extra.08])))))))),
0)</f>
        <v>0</v>
      </c>
      <c r="AT44" s="173">
        <f t="array" ref="AT44">IFERROR(
(MEDIAN((IF(DATOS_[[Sexo]:[Sexo]]=$B44,IF(DATOS_[[AGRUP. CLAS. PROF.]:[AGRUP. CLAS. PROF.]]=$B42,IF(DATOS_[[Check Periodo Ref.]:[Check Periodo Ref.]]="Dentro",IF(DATOS_[[Check Equiparado]:[Check Equiparado]]="Sí",IF(DATOS!CG$5="Sí",(1/DATOS_[[% anualiz]:[% anualiz]]),1)*IF(DATOS!CG$4="Sí",1/DATOS_[[% normaliz]:[% normaliz]],1)*(DATOS_[C.Extra.11])))))))),
0)</f>
        <v>0</v>
      </c>
      <c r="AU44" s="197">
        <f t="array" ref="AU44">IFERROR(
MEDIAN(IF(DATOS_[Sexo]=$B44,IF(DATOS_[[AGRUP. CLAS. PROF.]:[AGRUP. CLAS. PROF.]]=$B42,IF(DATOS_[Check Equiparado]="Sí",IF(DATOS_[Check Periodo Ref.]="Dentro",DATOS_[Tot Extrasalarial Eq],FALSE))))),
0)</f>
        <v>0</v>
      </c>
      <c r="AV44" s="175">
        <f t="array" ref="AV44">IFERROR(
MEDIAN(IF(DATOS_[Sexo]=$B44,IF(DATOS_[[AGRUP. CLAS. PROF.]:[AGRUP. CLAS. PROF.]]=$B42,IF(DATOS_[Check Equiparado]="Sí",IF(DATOS_[Check Periodo Ref.]="Dentro",DATOS_[TOTAL Retrib Eq],FALSE))))),
0)</f>
        <v>0</v>
      </c>
    </row>
    <row r="45" spans="1:48" ht="15.6" hidden="1" thickBot="1" x14ac:dyDescent="0.3">
      <c r="A45" s="133" t="str">
        <f t="shared" ref="A45" si="43">+A46</f>
        <v>[ocultar]</v>
      </c>
      <c r="B45" s="199" t="s">
        <v>217</v>
      </c>
      <c r="C45" s="200"/>
      <c r="D45" s="201"/>
      <c r="E45" s="201"/>
      <c r="F45" s="201"/>
      <c r="G45" s="201"/>
      <c r="H45" s="201"/>
      <c r="I45" s="189" t="str">
        <f t="shared" ref="I45:AV45" si="44">IFERROR((I46-I47)/I46,"")</f>
        <v/>
      </c>
      <c r="J45" s="190" t="str">
        <f t="shared" si="44"/>
        <v/>
      </c>
      <c r="K45" s="191" t="str">
        <f t="shared" si="44"/>
        <v/>
      </c>
      <c r="L45" s="191" t="str">
        <f t="shared" si="44"/>
        <v/>
      </c>
      <c r="M45" s="191" t="str">
        <f t="shared" si="44"/>
        <v/>
      </c>
      <c r="N45" s="192" t="str">
        <f t="shared" si="44"/>
        <v/>
      </c>
      <c r="O45" s="193" t="str">
        <f t="shared" si="44"/>
        <v/>
      </c>
      <c r="P45" s="193" t="str">
        <f t="shared" si="44"/>
        <v/>
      </c>
      <c r="Q45" s="193" t="str">
        <f t="shared" si="44"/>
        <v/>
      </c>
      <c r="R45" s="193" t="str">
        <f t="shared" si="44"/>
        <v/>
      </c>
      <c r="S45" s="193" t="str">
        <f t="shared" si="44"/>
        <v/>
      </c>
      <c r="T45" s="193" t="str">
        <f t="shared" si="44"/>
        <v/>
      </c>
      <c r="U45" s="193" t="str">
        <f t="shared" si="44"/>
        <v/>
      </c>
      <c r="V45" s="193" t="str">
        <f t="shared" si="44"/>
        <v/>
      </c>
      <c r="W45" s="193" t="str">
        <f t="shared" si="44"/>
        <v/>
      </c>
      <c r="X45" s="193" t="str">
        <f t="shared" si="44"/>
        <v/>
      </c>
      <c r="Y45" s="193" t="str">
        <f t="shared" si="44"/>
        <v/>
      </c>
      <c r="Z45" s="193" t="str">
        <f t="shared" si="44"/>
        <v/>
      </c>
      <c r="AA45" s="193" t="str">
        <f t="shared" si="44"/>
        <v/>
      </c>
      <c r="AB45" s="193" t="str">
        <f t="shared" si="44"/>
        <v/>
      </c>
      <c r="AC45" s="193" t="str">
        <f t="shared" si="44"/>
        <v/>
      </c>
      <c r="AD45" s="193" t="str">
        <f t="shared" si="44"/>
        <v/>
      </c>
      <c r="AE45" s="193" t="str">
        <f t="shared" si="44"/>
        <v/>
      </c>
      <c r="AF45" s="193" t="str">
        <f t="shared" si="44"/>
        <v/>
      </c>
      <c r="AG45" s="193" t="str">
        <f t="shared" si="44"/>
        <v/>
      </c>
      <c r="AH45" s="193" t="str">
        <f t="shared" si="44"/>
        <v/>
      </c>
      <c r="AI45" s="193" t="str">
        <f t="shared" si="44"/>
        <v/>
      </c>
      <c r="AJ45" s="193" t="str">
        <f t="shared" si="44"/>
        <v/>
      </c>
      <c r="AK45" s="193" t="str">
        <f t="shared" si="44"/>
        <v/>
      </c>
      <c r="AL45" s="193" t="str">
        <f t="shared" si="44"/>
        <v/>
      </c>
      <c r="AM45" s="193" t="str">
        <f t="shared" si="44"/>
        <v/>
      </c>
      <c r="AN45" s="189" t="str">
        <f t="shared" si="44"/>
        <v/>
      </c>
      <c r="AO45" s="162" t="str">
        <f t="shared" si="44"/>
        <v/>
      </c>
      <c r="AP45" s="163" t="str">
        <f t="shared" si="44"/>
        <v/>
      </c>
      <c r="AQ45" s="163" t="str">
        <f t="shared" si="44"/>
        <v/>
      </c>
      <c r="AR45" s="163" t="str">
        <f t="shared" si="44"/>
        <v/>
      </c>
      <c r="AS45" s="163" t="str">
        <f t="shared" si="44"/>
        <v/>
      </c>
      <c r="AT45" s="163" t="str">
        <f t="shared" si="44"/>
        <v/>
      </c>
      <c r="AU45" s="194" t="str">
        <f t="shared" si="44"/>
        <v/>
      </c>
      <c r="AV45" s="269" t="str">
        <f t="shared" si="44"/>
        <v/>
      </c>
    </row>
    <row r="46" spans="1:48" hidden="1" x14ac:dyDescent="0.25">
      <c r="A46" s="133" t="str">
        <f t="shared" ref="A46" si="45">+IF(C46+C47=0,"[ocultar]","")</f>
        <v>[ocultar]</v>
      </c>
      <c r="B46" s="202" t="s">
        <v>394</v>
      </c>
      <c r="C46" s="203">
        <f t="array" ref="C46">SUM(IF($B46=DATOS_[Sexo],
IF($B45=DATOS_[AGRUP. CLAS. PROF.],
IF("Dentro"=DATOS_[Check Periodo Ref.],
1/(COUNTIFS(DATOS_[Sexo],$B46,DATOS_[AGRUP. CLAS. PROF.],$B45,DATOS_[Check Periodo Ref.],"Dentro",DATOS_[id/cod],DATOS_[id/cod]))))))</f>
        <v>0</v>
      </c>
      <c r="D46" s="204">
        <f>COUNTIFS(DATOS_[AGRUP. CLAS. PROF.],$B45,DATOS_[Sexo],$B46,DATOS_[Check Periodo Ref.],"Dentro")</f>
        <v>0</v>
      </c>
      <c r="E46" s="204">
        <f>COUNTIFS(DATOS_[AGRUP. CLAS. PROF.],$B45,DATOS_[Sexo],$B46,DATOS_[Check Periodo Ref.],"Dentro",DATOS_[Check Nº SC Norm],"Sí")</f>
        <v>0</v>
      </c>
      <c r="F46" s="204">
        <f>COUNTIFS(DATOS_[AGRUP. CLAS. PROF.],$B45,DATOS_[Sexo],$B46,DATOS_[Check Periodo Ref.],"Dentro",DATOS_[Check Nº SC Anualiz],"Sí")</f>
        <v>0</v>
      </c>
      <c r="G46" s="204">
        <f>COUNTIFS(DATOS_[AGRUP. CLAS. PROF.],$B45,DATOS_[Sexo],$B46,DATOS_[Check Periodo Ref.],"Dentro",DATOS_[Check Nº SC Norm y Anualiz],"Sí")</f>
        <v>0</v>
      </c>
      <c r="H46" s="204">
        <f>COUNTIFS(DATOS_[AGRUP. CLAS. PROF.],$B45,DATOS_[Sexo],$B46,DATOS_[Check Periodo Ref.],"Dentro",DATOS_[Check Equiparación],"Sí")</f>
        <v>0</v>
      </c>
      <c r="I46" s="195">
        <f t="array" ref="I46">IFERROR(
MEDIAN(IF(DATOS_[Sexo]=$B46,IF(DATOS_[[AGRUP. CLAS. PROF.]:[AGRUP. CLAS. PROF.]]=$B45,IF(DATOS_[Check Equiparado]="Sí",IF(DATOS_[Check Periodo Ref.]="Dentro",DATOS_[SALARIO BASE Eq],FALSE))))),
0)</f>
        <v>0</v>
      </c>
      <c r="J46" s="196">
        <f t="array" ref="J46">IFERROR(
(MEDIAN((IF(DATOS_[[Sexo]:[Sexo]]=$B46,IF(DATOS_[[AGRUP. CLAS. PROF.]:[AGRUP. CLAS. PROF.]]=$B45,IF(DATOS_[[Check Periodo Ref.]:[Check Periodo Ref.]]="Dentro",IF(DATOS_[[Check Equiparado]:[Check Equiparado]]="Sí",IF(DATOS!AE$5="Sí",(1/DATOS_[[% anualiz]:[% anualiz]]),1)*IF(DATOS!AE$4="Sí",1/DATOS_[[% normaliz]:[% normaliz]],1)*(DATOS_[Conc.Sal.01])))))))),
0)</f>
        <v>0</v>
      </c>
      <c r="K46" s="196">
        <f t="array" ref="K46">IFERROR(
(MEDIAN((IF(DATOS_[[Sexo]:[Sexo]]=$B46,IF(DATOS_[[AGRUP. CLAS. PROF.]:[AGRUP. CLAS. PROF.]]=$B45,IF(DATOS_[[Check Periodo Ref.]:[Check Periodo Ref.]]="Dentro",IF(DATOS_[[Check Equiparado]:[Check Equiparado]]="Sí",IF(DATOS!AF$5="Sí",(1/DATOS_[[% anualiz]:[% anualiz]]),1)*IF(DATOS!AF$4="Sí",1/DATOS_[[% normaliz]:[% normaliz]],1)*(DATOS_[Conc.Sal.02])))))))),
0)</f>
        <v>0</v>
      </c>
      <c r="L46" s="196">
        <f t="array" ref="L46">IFERROR(
(MEDIAN((IF(DATOS_[[Sexo]:[Sexo]]=$B46,IF(DATOS_[[AGRUP. CLAS. PROF.]:[AGRUP. CLAS. PROF.]]=$B45,IF(DATOS_[[Check Periodo Ref.]:[Check Periodo Ref.]]="Dentro",IF(DATOS_[[Check Equiparado]:[Check Equiparado]]="Sí",IF(DATOS!AG$5="Sí",(1/DATOS_[[% anualiz]:[% anualiz]]),1)*IF(DATOS!AG$4="Sí",1/DATOS_[[% normaliz]:[% normaliz]],1)*(DATOS_[Conc.Sal.03])))))))),
0)</f>
        <v>0</v>
      </c>
      <c r="M46" s="196">
        <f t="array" ref="M46">IFERROR(
(MEDIAN((IF(DATOS_[[Sexo]:[Sexo]]=$B46,IF(DATOS_[[AGRUP. CLAS. PROF.]:[AGRUP. CLAS. PROF.]]=$B45,IF(DATOS_[[Check Periodo Ref.]:[Check Periodo Ref.]]="Dentro",IF(DATOS_[[Check Equiparado]:[Check Equiparado]]="Sí",IF(DATOS!AH$5="Sí",(1/DATOS_[[% anualiz]:[% anualiz]]),1)*IF(DATOS!AH$4="Sí",1/DATOS_[[% normaliz]:[% normaliz]],1)*(DATOS_[Conc.Sal.04])))))))),
0)</f>
        <v>0</v>
      </c>
      <c r="N46" s="196">
        <f t="array" ref="N46">IFERROR(
(MEDIAN((IF(DATOS_[[Sexo]:[Sexo]]=$B46,IF(DATOS_[[AGRUP. CLAS. PROF.]:[AGRUP. CLAS. PROF.]]=$B45,IF(DATOS_[[Check Periodo Ref.]:[Check Periodo Ref.]]="Dentro",IF(DATOS_[[Check Equiparado]:[Check Equiparado]]="Sí",IF(DATOS!AI$5="Sí",(1/DATOS_[[% anualiz]:[% anualiz]]),1)*IF(DATOS!AI$4="Sí",1/DATOS_[[% normaliz]:[% normaliz]],1)*(DATOS_[Conc.Sal.05])))))))),
0)</f>
        <v>0</v>
      </c>
      <c r="O46" s="196">
        <f t="array" ref="O46">IFERROR(
(MEDIAN((IF(DATOS_[[Sexo]:[Sexo]]=$B46,IF(DATOS_[[AGRUP. CLAS. PROF.]:[AGRUP. CLAS. PROF.]]=$B45,IF(DATOS_[[Check Periodo Ref.]:[Check Periodo Ref.]]="Dentro",IF(DATOS_[[Check Equiparado]:[Check Equiparado]]="Sí",IF(DATOS!AJ$5="Sí",(1/DATOS_[[% anualiz]:[% anualiz]]),1)*IF(DATOS!AJ$4="Sí",1/DATOS_[[% normaliz]:[% normaliz]],1)*(DATOS_[Conc.Sal.06])))))))),
0)</f>
        <v>0</v>
      </c>
      <c r="P46" s="196">
        <f t="array" ref="P46">IFERROR(
(MEDIAN((IF(DATOS_[[Sexo]:[Sexo]]=$B46,IF(DATOS_[[AGRUP. CLAS. PROF.]:[AGRUP. CLAS. PROF.]]=$B45,IF(DATOS_[[Check Periodo Ref.]:[Check Periodo Ref.]]="Dentro",IF(DATOS_[[Check Equiparado]:[Check Equiparado]]="Sí",IF(DATOS!AK$5="Sí",(1/DATOS_[[% anualiz]:[% anualiz]]),1)*IF(DATOS!AK$4="Sí",1/DATOS_[[% normaliz]:[% normaliz]],1)*(DATOS_[Conc.Sal.07])))))))),
0)</f>
        <v>0</v>
      </c>
      <c r="Q46" s="196">
        <f t="array" ref="Q46">IFERROR(
(MEDIAN((IF(DATOS_[[Sexo]:[Sexo]]=$B46,IF(DATOS_[[AGRUP. CLAS. PROF.]:[AGRUP. CLAS. PROF.]]=$B45,IF(DATOS_[[Check Periodo Ref.]:[Check Periodo Ref.]]="Dentro",IF(DATOS_[[Check Equiparado]:[Check Equiparado]]="Sí",IF(DATOS!AL$5="Sí",(1/DATOS_[[% anualiz]:[% anualiz]]),1)*IF(DATOS!AL$4="Sí",1/DATOS_[[% normaliz]:[% normaliz]],1)*(DATOS_[Conc.Sal.08])))))))),
0)</f>
        <v>0</v>
      </c>
      <c r="R46" s="196">
        <f t="array" ref="R46">IFERROR(
(MEDIAN((IF(DATOS_[[Sexo]:[Sexo]]=$B46,IF(DATOS_[[AGRUP. CLAS. PROF.]:[AGRUP. CLAS. PROF.]]=$B45,IF(DATOS_[[Check Periodo Ref.]:[Check Periodo Ref.]]="Dentro",IF(DATOS_[[Check Equiparado]:[Check Equiparado]]="Sí",IF(DATOS!AM$5="Sí",(1/DATOS_[[% anualiz]:[% anualiz]]),1)*IF(DATOS!AM$4="Sí",1/DATOS_[[% normaliz]:[% normaliz]],1)*(DATOS_[Conc.Sal.09])))))))),
0)</f>
        <v>0</v>
      </c>
      <c r="S46" s="196">
        <f t="array" ref="S46">IFERROR(
(MEDIAN((IF(DATOS_[[Sexo]:[Sexo]]=$B46,IF(DATOS_[[AGRUP. CLAS. PROF.]:[AGRUP. CLAS. PROF.]]=$B45,IF(DATOS_[[Check Periodo Ref.]:[Check Periodo Ref.]]="Dentro",IF(DATOS_[[Check Equiparado]:[Check Equiparado]]="Sí",IF(DATOS!AN$5="Sí",(1/DATOS_[[% anualiz]:[% anualiz]]),1)*IF(DATOS!AN$4="Sí",1/DATOS_[[% normaliz]:[% normaliz]],1)*(DATOS_[Conc.Sal.10])))))))),
0)</f>
        <v>0</v>
      </c>
      <c r="T46" s="196">
        <f t="array" ref="T46">IFERROR(
(MEDIAN((IF(DATOS_[[Sexo]:[Sexo]]=$B46,IF(DATOS_[[AGRUP. CLAS. PROF.]:[AGRUP. CLAS. PROF.]]=$B45,IF(DATOS_[[Check Periodo Ref.]:[Check Periodo Ref.]]="Dentro",IF(DATOS_[[Check Equiparado]:[Check Equiparado]]="Sí",IF(DATOS!AO$5="Sí",(1/DATOS_[[% anualiz]:[% anualiz]]),1)*IF(DATOS!AO$4="Sí",1/DATOS_[[% normaliz]:[% normaliz]],1)*(DATOS_[Conc.Sal.11])))))))),
0)</f>
        <v>0</v>
      </c>
      <c r="U46" s="196">
        <f t="array" ref="U46">IFERROR(
(MEDIAN((IF(DATOS_[[Sexo]:[Sexo]]=$B46,IF(DATOS_[[AGRUP. CLAS. PROF.]:[AGRUP. CLAS. PROF.]]=$B45,IF(DATOS_[[Check Periodo Ref.]:[Check Periodo Ref.]]="Dentro",IF(DATOS_[[Check Equiparado]:[Check Equiparado]]="Sí",IF(DATOS!AP$5="Sí",(1/DATOS_[[% anualiz]:[% anualiz]]),1)*IF(DATOS!AP$4="Sí",1/DATOS_[[% normaliz]:[% normaliz]],1)*(DATOS_[Conc.Sal.12])))))))),
0)</f>
        <v>0</v>
      </c>
      <c r="V46" s="196">
        <f t="array" ref="V46">IFERROR(
(MEDIAN((IF(DATOS_[[Sexo]:[Sexo]]=$B46,IF(DATOS_[[AGRUP. CLAS. PROF.]:[AGRUP. CLAS. PROF.]]=$B45,IF(DATOS_[[Check Periodo Ref.]:[Check Periodo Ref.]]="Dentro",IF(DATOS_[[Check Equiparado]:[Check Equiparado]]="Sí",IF(DATOS!AQ$5="Sí",(1/DATOS_[[% anualiz]:[% anualiz]]),1)*IF(DATOS!AQ$4="Sí",1/DATOS_[[% normaliz]:[% normaliz]],1)*(DATOS_[Conc.Sal.13])))))))),
0)</f>
        <v>0</v>
      </c>
      <c r="W46" s="196">
        <f t="array" ref="W46">IFERROR(
(MEDIAN((IF(DATOS_[[Sexo]:[Sexo]]=$B46,IF(DATOS_[[AGRUP. CLAS. PROF.]:[AGRUP. CLAS. PROF.]]=$B45,IF(DATOS_[[Check Periodo Ref.]:[Check Periodo Ref.]]="Dentro",IF(DATOS_[[Check Equiparado]:[Check Equiparado]]="Sí",IF(DATOS!AR$5="Sí",(1/DATOS_[[% anualiz]:[% anualiz]]),1)*IF(DATOS!AR$4="Sí",1/DATOS_[[% normaliz]:[% normaliz]],1)*(DATOS_[Conc.Sal.14])))))))),
0)</f>
        <v>0</v>
      </c>
      <c r="X46" s="196">
        <f t="array" ref="X46">IFERROR(
(MEDIAN((IF(DATOS_[[Sexo]:[Sexo]]=$B46,IF(DATOS_[[AGRUP. CLAS. PROF.]:[AGRUP. CLAS. PROF.]]=$B45,IF(DATOS_[[Check Periodo Ref.]:[Check Periodo Ref.]]="Dentro",IF(DATOS_[[Check Equiparado]:[Check Equiparado]]="Sí",IF(DATOS!AS$5="Sí",(1/DATOS_[[% anualiz]:[% anualiz]]),1)*IF(DATOS!AS$4="Sí",1/DATOS_[[% normaliz]:[% normaliz]],1)*(DATOS_[Conc.Sal.15])))))))),
0)</f>
        <v>0</v>
      </c>
      <c r="Y46" s="196">
        <f t="array" ref="Y46">IFERROR(
(MEDIAN((IF(DATOS_[[Sexo]:[Sexo]]=$B46,IF(DATOS_[[AGRUP. CLAS. PROF.]:[AGRUP. CLAS. PROF.]]=$B45,IF(DATOS_[[Check Periodo Ref.]:[Check Periodo Ref.]]="Dentro",IF(DATOS_[[Check Equiparado]:[Check Equiparado]]="Sí",IF(DATOS!AT$5="Sí",(1/DATOS_[[% anualiz]:[% anualiz]]),1)*IF(DATOS!AT$4="Sí",1/DATOS_[[% normaliz]:[% normaliz]],1)*(DATOS_[Conc.Sal.16])))))))),
0)</f>
        <v>0</v>
      </c>
      <c r="Z46" s="196">
        <f t="array" ref="Z46">IFERROR(
(MEDIAN((IF(DATOS_[[Sexo]:[Sexo]]=$B46,IF(DATOS_[[AGRUP. CLAS. PROF.]:[AGRUP. CLAS. PROF.]]=$B45,IF(DATOS_[[Check Periodo Ref.]:[Check Periodo Ref.]]="Dentro",IF(DATOS_[[Check Equiparado]:[Check Equiparado]]="Sí",IF(DATOS!AU$5="Sí",(1/DATOS_[[% anualiz]:[% anualiz]]),1)*IF(DATOS!AU$4="Sí",1/DATOS_[[% normaliz]:[% normaliz]],1)*(DATOS_[Conc.Sal.17])))))))),
0)</f>
        <v>0</v>
      </c>
      <c r="AA46" s="196">
        <f t="array" ref="AA46">IFERROR(
(MEDIAN((IF(DATOS_[[Sexo]:[Sexo]]=$B46,IF(DATOS_[[AGRUP. CLAS. PROF.]:[AGRUP. CLAS. PROF.]]=$B45,IF(DATOS_[[Check Periodo Ref.]:[Check Periodo Ref.]]="Dentro",IF(DATOS_[[Check Equiparado]:[Check Equiparado]]="Sí",IF(DATOS!AV$5="Sí",(1/DATOS_[[% anualiz]:[% anualiz]]),1)*IF(DATOS!AV$4="Sí",1/DATOS_[[% normaliz]:[% normaliz]],1)*(DATOS_[Conc.Sal.18])))))))),
0)</f>
        <v>0</v>
      </c>
      <c r="AB46" s="196">
        <f t="array" ref="AB46">IFERROR(
(MEDIAN((IF(DATOS_[[Sexo]:[Sexo]]=$B46,IF(DATOS_[[AGRUP. CLAS. PROF.]:[AGRUP. CLAS. PROF.]]=$B45,IF(DATOS_[[Check Periodo Ref.]:[Check Periodo Ref.]]="Dentro",IF(DATOS_[[Check Equiparado]:[Check Equiparado]]="Sí",IF(DATOS!AW$5="Sí",(1/DATOS_[[% anualiz]:[% anualiz]]),1)*IF(DATOS!AW$4="Sí",1/DATOS_[[% normaliz]:[% normaliz]],1)*(DATOS_[Conc.Sal.19])))))))),
0)</f>
        <v>0</v>
      </c>
      <c r="AC46" s="196">
        <f t="array" ref="AC46">IFERROR(
(MEDIAN((IF(DATOS_[[Sexo]:[Sexo]]=$B46,IF(DATOS_[[AGRUP. CLAS. PROF.]:[AGRUP. CLAS. PROF.]]=$B45,IF(DATOS_[[Check Periodo Ref.]:[Check Periodo Ref.]]="Dentro",IF(DATOS_[[Check Equiparado]:[Check Equiparado]]="Sí",IF(DATOS!AX$5="Sí",(1/DATOS_[[% anualiz]:[% anualiz]]),1)*IF(DATOS!AX$4="Sí",1/DATOS_[[% normaliz]:[% normaliz]],1)*(DATOS_[Conc.Sal.20])))))))),
0)</f>
        <v>0</v>
      </c>
      <c r="AD46" s="196">
        <f t="array" ref="AD46">IFERROR(
(MEDIAN((IF(DATOS_[[Sexo]:[Sexo]]=$B46,IF(DATOS_[[AGRUP. CLAS. PROF.]:[AGRUP. CLAS. PROF.]]=$B45,IF(DATOS_[[Check Periodo Ref.]:[Check Periodo Ref.]]="Dentro",IF(DATOS_[[Check Equiparado]:[Check Equiparado]]="Sí",IF(DATOS!AY$5="Sí",(1/DATOS_[[% anualiz]:[% anualiz]]),1)*IF(DATOS!AY$4="Sí",1/DATOS_[[% normaliz]:[% normaliz]],1)*(DATOS_[Conc.Sal.21])))))))),
0)</f>
        <v>0</v>
      </c>
      <c r="AE46" s="196">
        <f t="array" ref="AE46">IFERROR(
(MEDIAN((IF(DATOS_[[Sexo]:[Sexo]]=$B46,IF(DATOS_[[AGRUP. CLAS. PROF.]:[AGRUP. CLAS. PROF.]]=$B45,IF(DATOS_[[Check Periodo Ref.]:[Check Periodo Ref.]]="Dentro",IF(DATOS_[[Check Equiparado]:[Check Equiparado]]="Sí",IF(DATOS!AZ$5="Sí",(1/DATOS_[[% anualiz]:[% anualiz]]),1)*IF(DATOS!AZ$4="Sí",1/DATOS_[[% normaliz]:[% normaliz]],1)*(DATOS_[Conc.Sal.22])))))))),
0)</f>
        <v>0</v>
      </c>
      <c r="AF46" s="196">
        <f t="array" ref="AF46">IFERROR(
(MEDIAN((IF(DATOS_[[Sexo]:[Sexo]]=$B46,IF(DATOS_[[AGRUP. CLAS. PROF.]:[AGRUP. CLAS. PROF.]]=$B45,IF(DATOS_[[Check Periodo Ref.]:[Check Periodo Ref.]]="Dentro",IF(DATOS_[[Check Equiparado]:[Check Equiparado]]="Sí",IF(DATOS!BA$5="Sí",(1/DATOS_[[% anualiz]:[% anualiz]]),1)*IF(DATOS!BA$4="Sí",1/DATOS_[[% normaliz]:[% normaliz]],1)*(DATOS_[Conc.Sal.23])))))))),
0)</f>
        <v>0</v>
      </c>
      <c r="AG46" s="196">
        <f t="array" ref="AG46">IFERROR(
(MEDIAN((IF(DATOS_[[Sexo]:[Sexo]]=$B46,IF(DATOS_[[AGRUP. CLAS. PROF.]:[AGRUP. CLAS. PROF.]]=$B45,IF(DATOS_[[Check Periodo Ref.]:[Check Periodo Ref.]]="Dentro",IF(DATOS_[[Check Equiparado]:[Check Equiparado]]="Sí",IF(DATOS!BB$5="Sí",(1/DATOS_[[% anualiz]:[% anualiz]]),1)*IF(DATOS!BB$4="Sí",1/DATOS_[[% normaliz]:[% normaliz]],1)*(DATOS_[Conc.Sal.24])))))))),
0)</f>
        <v>0</v>
      </c>
      <c r="AH46" s="196">
        <f t="array" ref="AH46">IFERROR(
(MEDIAN((IF(DATOS_[[Sexo]:[Sexo]]=$B46,IF(DATOS_[[AGRUP. CLAS. PROF.]:[AGRUP. CLAS. PROF.]]=$B45,IF(DATOS_[[Check Periodo Ref.]:[Check Periodo Ref.]]="Dentro",IF(DATOS_[[Check Equiparado]:[Check Equiparado]]="Sí",IF(DATOS!BC$5="Sí",(1/DATOS_[[% anualiz]:[% anualiz]]),1)*IF(DATOS!BC$4="Sí",1/DATOS_[[% normaliz]:[% normaliz]],1)*(DATOS_[Conc.Sal.25])))))))),
0)</f>
        <v>0</v>
      </c>
      <c r="AI46" s="196">
        <f t="array" ref="AI46">IFERROR(
(MEDIAN((IF(DATOS_[[Sexo]:[Sexo]]=$B46,IF(DATOS_[[AGRUP. CLAS. PROF.]:[AGRUP. CLAS. PROF.]]=$B45,IF(DATOS_[[Check Periodo Ref.]:[Check Periodo Ref.]]="Dentro",IF(DATOS_[[Check Equiparado]:[Check Equiparado]]="Sí",IF(DATOS!BD$5="Sí",(1/DATOS_[[% anualiz]:[% anualiz]]),1)*IF(DATOS!BD$4="Sí",1/DATOS_[[% normaliz]:[% normaliz]],1)*(DATOS_[Conc.Sal.26])))))))),
0)</f>
        <v>0</v>
      </c>
      <c r="AJ46" s="196">
        <f t="array" ref="AJ46">IFERROR(
(MEDIAN((IF(DATOS_[[Sexo]:[Sexo]]=$B46,IF(DATOS_[[AGRUP. CLAS. PROF.]:[AGRUP. CLAS. PROF.]]=$B45,IF(DATOS_[[Check Periodo Ref.]:[Check Periodo Ref.]]="Dentro",IF(DATOS_[[Check Equiparado]:[Check Equiparado]]="Sí",IF(DATOS!BE$5="Sí",(1/DATOS_[[% anualiz]:[% anualiz]]),1)*IF(DATOS!BE$4="Sí",1/DATOS_[[% normaliz]:[% normaliz]],1)*(DATOS_[Conc.Sal.27])))))))),
0)</f>
        <v>0</v>
      </c>
      <c r="AK46" s="196">
        <f t="array" ref="AK46">IFERROR(
(MEDIAN((IF(DATOS_[[Sexo]:[Sexo]]=$B46,IF(DATOS_[[AGRUP. CLAS. PROF.]:[AGRUP. CLAS. PROF.]]=$B45,IF(DATOS_[[Check Periodo Ref.]:[Check Periodo Ref.]]="Dentro",IF(DATOS_[[Check Equiparado]:[Check Equiparado]]="Sí",IF(DATOS!BF$5="Sí",(1/DATOS_[[% anualiz]:[% anualiz]]),1)*IF(DATOS!BF$4="Sí",1/DATOS_[[% normaliz]:[% normaliz]],1)*(DATOS_[Conc.Sal.28])))))))),
0)</f>
        <v>0</v>
      </c>
      <c r="AL46" s="196">
        <f t="array" ref="AL46">IFERROR(
(MEDIAN((IF(DATOS_[[Sexo]:[Sexo]]=$B46,IF(DATOS_[[AGRUP. CLAS. PROF.]:[AGRUP. CLAS. PROF.]]=$B45,IF(DATOS_[[Check Periodo Ref.]:[Check Periodo Ref.]]="Dentro",IF(DATOS_[[Check Equiparado]:[Check Equiparado]]="Sí",IF(DATOS!BG$5="Sí",(1/DATOS_[[% anualiz]:[% anualiz]]),1)*IF(DATOS!BG$4="Sí",1/DATOS_[[% normaliz]:[% normaliz]],1)*(DATOS_[Conc.Sal.29])))))))),
0)</f>
        <v>0</v>
      </c>
      <c r="AM46" s="196">
        <f t="array" ref="AM46">IFERROR(
(MEDIAN((IF(DATOS_[[Sexo]:[Sexo]]=$B46,IF(DATOS_[[AGRUP. CLAS. PROF.]:[AGRUP. CLAS. PROF.]]=$B45,IF(DATOS_[[Check Periodo Ref.]:[Check Periodo Ref.]]="Dentro",IF(DATOS_[[Check Equiparado]:[Check Equiparado]]="Sí",IF(DATOS!BH$5="Sí",(1/DATOS_[[% anualiz]:[% anualiz]]),1)*IF(DATOS!BH$4="Sí",1/DATOS_[[% normaliz]:[% normaliz]],1)*(DATOS_[Conc.Sal.30])))))))),
0)</f>
        <v>0</v>
      </c>
      <c r="AN46" s="195">
        <f t="array" ref="AN46">IFERROR(
MEDIAN(IF(DATOS_[Sexo]=$B46,IF(DATOS_[[AGRUP. CLAS. PROF.]:[AGRUP. CLAS. PROF.]]=$B45,IF(DATOS_[Check Equiparado]="Sí",IF(DATOS_[Check Periodo Ref.]="Dentro",DATOS_[Tot COMPL.SAL Eq],FALSE))))),
0)</f>
        <v>0</v>
      </c>
      <c r="AO46" s="172">
        <f t="array" ref="AO46">IFERROR(
MEDIAN(IF(DATOS_[Sexo]=$B46,IF(DATOS_[[AGRUP. CLAS. PROF.]:[AGRUP. CLAS. PROF.]]=$B45,IF(DATOS_[Check Equiparado]="Sí",IF(DATOS_[Check Periodo Ref.]="Dentro",DATOS_[TOTAL SALARIO Eq],FALSE))))),
0)</f>
        <v>0</v>
      </c>
      <c r="AP46" s="173">
        <f t="array" ref="AP46">IFERROR(
(MEDIAN((IF(DATOS_[[Sexo]:[Sexo]]=$B46,IF(DATOS_[[AGRUP. CLAS. PROF.]:[AGRUP. CLAS. PROF.]]=$B45,IF(DATOS_[[Check Periodo Ref.]:[Check Periodo Ref.]]="Dentro",IF(DATOS_[[Check Equiparado]:[Check Equiparado]]="Sí",IF(DATOS!BW$5="Sí",(1/DATOS_[[% anualiz]:[% anualiz]]),1)*IF(DATOS!BW$4="Sí",1/DATOS_[[% normaliz]:[% normaliz]],1)*(DATOS_[C.Extra.01])))))))),
0)</f>
        <v>0</v>
      </c>
      <c r="AQ46" s="173">
        <f t="array" ref="AQ46">IFERROR(
(MEDIAN((IF(DATOS_[[Sexo]:[Sexo]]=$B46,IF(DATOS_[[AGRUP. CLAS. PROF.]:[AGRUP. CLAS. PROF.]]=$B45,IF(DATOS_[[Check Periodo Ref.]:[Check Periodo Ref.]]="Dentro",IF(DATOS_[[Check Equiparado]:[Check Equiparado]]="Sí",IF(DATOS!CB$5="Sí",(1/DATOS_[[% anualiz]:[% anualiz]]),1)*IF(DATOS!CB$4="Sí",1/DATOS_[[% normaliz]:[% normaliz]],1)*(DATOS_[C.Extra.06])))))))),
0)</f>
        <v>0</v>
      </c>
      <c r="AR46" s="173">
        <f t="array" ref="AR46">IFERROR(
(MEDIAN((IF(DATOS_[[Sexo]:[Sexo]]=$B46,IF(DATOS_[[AGRUP. CLAS. PROF.]:[AGRUP. CLAS. PROF.]]=$B45,IF(DATOS_[[Check Periodo Ref.]:[Check Periodo Ref.]]="Dentro",IF(DATOS_[[Check Equiparado]:[Check Equiparado]]="Sí",IF(DATOS!CC$5="Sí",(1/DATOS_[[% anualiz]:[% anualiz]]),1)*IF(DATOS!CC$4="Sí",1/DATOS_[[% normaliz]:[% normaliz]],1)*(DATOS_[C.Extra.07])))))))),
0)</f>
        <v>0</v>
      </c>
      <c r="AS46" s="173">
        <f t="array" ref="AS46">IFERROR(
(MEDIAN((IF(DATOS_[[Sexo]:[Sexo]]=$B46,IF(DATOS_[[AGRUP. CLAS. PROF.]:[AGRUP. CLAS. PROF.]]=$B45,IF(DATOS_[[Check Periodo Ref.]:[Check Periodo Ref.]]="Dentro",IF(DATOS_[[Check Equiparado]:[Check Equiparado]]="Sí",IF(DATOS!CD$5="Sí",(1/DATOS_[[% anualiz]:[% anualiz]]),1)*IF(DATOS!CD$4="Sí",1/DATOS_[[% normaliz]:[% normaliz]],1)*(DATOS_[C.Extra.08])))))))),
0)</f>
        <v>0</v>
      </c>
      <c r="AT46" s="173">
        <f t="array" ref="AT46">IFERROR(
(MEDIAN((IF(DATOS_[[Sexo]:[Sexo]]=$B46,IF(DATOS_[[AGRUP. CLAS. PROF.]:[AGRUP. CLAS. PROF.]]=$B45,IF(DATOS_[[Check Periodo Ref.]:[Check Periodo Ref.]]="Dentro",IF(DATOS_[[Check Equiparado]:[Check Equiparado]]="Sí",IF(DATOS!CG$5="Sí",(1/DATOS_[[% anualiz]:[% anualiz]]),1)*IF(DATOS!CG$4="Sí",1/DATOS_[[% normaliz]:[% normaliz]],1)*(DATOS_[C.Extra.11])))))))),
0)</f>
        <v>0</v>
      </c>
      <c r="AU46" s="197">
        <f t="array" ref="AU46">IFERROR(
MEDIAN(IF(DATOS_[Sexo]=$B46,IF(DATOS_[[AGRUP. CLAS. PROF.]:[AGRUP. CLAS. PROF.]]=$B45,IF(DATOS_[Check Equiparado]="Sí",IF(DATOS_[Check Periodo Ref.]="Dentro",DATOS_[Tot Extrasalarial Eq],FALSE))))),
0)</f>
        <v>0</v>
      </c>
      <c r="AV46" s="175">
        <f t="array" ref="AV46">IFERROR(
MEDIAN(IF(DATOS_[Sexo]=$B46,IF(DATOS_[[AGRUP. CLAS. PROF.]:[AGRUP. CLAS. PROF.]]=$B45,IF(DATOS_[Check Equiparado]="Sí",IF(DATOS_[Check Periodo Ref.]="Dentro",DATOS_[TOTAL Retrib Eq],FALSE))))),
0)</f>
        <v>0</v>
      </c>
    </row>
    <row r="47" spans="1:48" hidden="1" x14ac:dyDescent="0.25">
      <c r="A47" s="133" t="str">
        <f t="shared" ref="A47" si="46">+A46</f>
        <v>[ocultar]</v>
      </c>
      <c r="B47" s="202" t="s">
        <v>521</v>
      </c>
      <c r="C47" s="203">
        <f t="array" ref="C47">SUM(IF($B47=DATOS_[Sexo],
IF($B45=DATOS_[AGRUP. CLAS. PROF.],
IF("Dentro"=DATOS_[Check Periodo Ref.],
1/(COUNTIFS(DATOS_[Sexo],$B47,DATOS_[AGRUP. CLAS. PROF.],$B45,DATOS_[Check Periodo Ref.],"Dentro",DATOS_[id/cod],DATOS_[id/cod]))))))</f>
        <v>0</v>
      </c>
      <c r="D47" s="204">
        <f>COUNTIFS(DATOS_[AGRUP. CLAS. PROF.],$B45,DATOS_[Sexo],$B47,DATOS_[Check Periodo Ref.],"Dentro")</f>
        <v>0</v>
      </c>
      <c r="E47" s="204">
        <f>COUNTIFS(DATOS_[AGRUP. CLAS. PROF.],$B45,DATOS_[Sexo],$B47,DATOS_[Check Periodo Ref.],"Dentro",DATOS_[Check Nº SC Norm],"Sí")</f>
        <v>0</v>
      </c>
      <c r="F47" s="204">
        <f>COUNTIFS(DATOS_[AGRUP. CLAS. PROF.],$B45,DATOS_[Sexo],$B47,DATOS_[Check Periodo Ref.],"Dentro",DATOS_[Check Nº SC Anualiz],"Sí")</f>
        <v>0</v>
      </c>
      <c r="G47" s="204">
        <f>COUNTIFS(DATOS_[AGRUP. CLAS. PROF.],$B45,DATOS_[Sexo],$B47,DATOS_[Check Periodo Ref.],"Dentro",DATOS_[Check Nº SC Norm y Anualiz],"Sí")</f>
        <v>0</v>
      </c>
      <c r="H47" s="204">
        <f>COUNTIFS(DATOS_[AGRUP. CLAS. PROF.],$B45,DATOS_[Sexo],$B47,DATOS_[Check Periodo Ref.],"Dentro",DATOS_[Check Equiparación],"Sí")</f>
        <v>0</v>
      </c>
      <c r="I47" s="195" cm="1">
        <f t="array" ref="I47">IFERROR(
MEDIAN(IF(DATOS_[Sexo]=$B47,IF(DATOS_[[AGRUP. CLAS. PROF.]:[AGRUP. CLAS. PROF.]]=$B45,IF(DATOS_[Check Equiparado]="Sí",IF(DATOS_[Check Periodo Ref.]="Dentro",DATOS_[SALARIO BASE Eq],FALSE))))),
0)</f>
        <v>0</v>
      </c>
      <c r="J47" s="196">
        <f t="array" ref="J47">IFERROR(
(MEDIAN((IF(DATOS_[[Sexo]:[Sexo]]=$B47,IF(DATOS_[[AGRUP. CLAS. PROF.]:[AGRUP. CLAS. PROF.]]=$B45,IF(DATOS_[[Check Periodo Ref.]:[Check Periodo Ref.]]="Dentro",IF(DATOS_[[Check Equiparado]:[Check Equiparado]]="Sí",IF(DATOS!AE$5="Sí",(1/DATOS_[[% anualiz]:[% anualiz]]),1)*IF(DATOS!AE$4="Sí",1/DATOS_[[% normaliz]:[% normaliz]],1)*(DATOS_[Conc.Sal.01])))))))),
0)</f>
        <v>0</v>
      </c>
      <c r="K47" s="196">
        <f t="array" ref="K47">IFERROR(
(MEDIAN((IF(DATOS_[[Sexo]:[Sexo]]=$B47,IF(DATOS_[[AGRUP. CLAS. PROF.]:[AGRUP. CLAS. PROF.]]=$B45,IF(DATOS_[[Check Periodo Ref.]:[Check Periodo Ref.]]="Dentro",IF(DATOS_[[Check Equiparado]:[Check Equiparado]]="Sí",IF(DATOS!AF$5="Sí",(1/DATOS_[[% anualiz]:[% anualiz]]),1)*IF(DATOS!AF$4="Sí",1/DATOS_[[% normaliz]:[% normaliz]],1)*(DATOS_[Conc.Sal.02])))))))),
0)</f>
        <v>0</v>
      </c>
      <c r="L47" s="196">
        <f t="array" ref="L47">IFERROR(
(MEDIAN((IF(DATOS_[[Sexo]:[Sexo]]=$B47,IF(DATOS_[[AGRUP. CLAS. PROF.]:[AGRUP. CLAS. PROF.]]=$B45,IF(DATOS_[[Check Periodo Ref.]:[Check Periodo Ref.]]="Dentro",IF(DATOS_[[Check Equiparado]:[Check Equiparado]]="Sí",IF(DATOS!AG$5="Sí",(1/DATOS_[[% anualiz]:[% anualiz]]),1)*IF(DATOS!AG$4="Sí",1/DATOS_[[% normaliz]:[% normaliz]],1)*(DATOS_[Conc.Sal.03])))))))),
0)</f>
        <v>0</v>
      </c>
      <c r="M47" s="196">
        <f t="array" ref="M47">IFERROR(
(MEDIAN((IF(DATOS_[[Sexo]:[Sexo]]=$B47,IF(DATOS_[[AGRUP. CLAS. PROF.]:[AGRUP. CLAS. PROF.]]=$B45,IF(DATOS_[[Check Periodo Ref.]:[Check Periodo Ref.]]="Dentro",IF(DATOS_[[Check Equiparado]:[Check Equiparado]]="Sí",IF(DATOS!AH$5="Sí",(1/DATOS_[[% anualiz]:[% anualiz]]),1)*IF(DATOS!AH$4="Sí",1/DATOS_[[% normaliz]:[% normaliz]],1)*(DATOS_[Conc.Sal.04])))))))),
0)</f>
        <v>0</v>
      </c>
      <c r="N47" s="196">
        <f t="array" ref="N47">IFERROR(
(MEDIAN((IF(DATOS_[[Sexo]:[Sexo]]=$B47,IF(DATOS_[[AGRUP. CLAS. PROF.]:[AGRUP. CLAS. PROF.]]=$B45,IF(DATOS_[[Check Periodo Ref.]:[Check Periodo Ref.]]="Dentro",IF(DATOS_[[Check Equiparado]:[Check Equiparado]]="Sí",IF(DATOS!AI$5="Sí",(1/DATOS_[[% anualiz]:[% anualiz]]),1)*IF(DATOS!AI$4="Sí",1/DATOS_[[% normaliz]:[% normaliz]],1)*(DATOS_[Conc.Sal.05])))))))),
0)</f>
        <v>0</v>
      </c>
      <c r="O47" s="196">
        <f t="array" ref="O47">IFERROR(
(MEDIAN((IF(DATOS_[[Sexo]:[Sexo]]=$B47,IF(DATOS_[[AGRUP. CLAS. PROF.]:[AGRUP. CLAS. PROF.]]=$B45,IF(DATOS_[[Check Periodo Ref.]:[Check Periodo Ref.]]="Dentro",IF(DATOS_[[Check Equiparado]:[Check Equiparado]]="Sí",IF(DATOS!AJ$5="Sí",(1/DATOS_[[% anualiz]:[% anualiz]]),1)*IF(DATOS!AJ$4="Sí",1/DATOS_[[% normaliz]:[% normaliz]],1)*(DATOS_[Conc.Sal.06])))))))),
0)</f>
        <v>0</v>
      </c>
      <c r="P47" s="196">
        <f t="array" ref="P47">IFERROR(
(MEDIAN((IF(DATOS_[[Sexo]:[Sexo]]=$B47,IF(DATOS_[[AGRUP. CLAS. PROF.]:[AGRUP. CLAS. PROF.]]=$B45,IF(DATOS_[[Check Periodo Ref.]:[Check Periodo Ref.]]="Dentro",IF(DATOS_[[Check Equiparado]:[Check Equiparado]]="Sí",IF(DATOS!AK$5="Sí",(1/DATOS_[[% anualiz]:[% anualiz]]),1)*IF(DATOS!AK$4="Sí",1/DATOS_[[% normaliz]:[% normaliz]],1)*(DATOS_[Conc.Sal.07])))))))),
0)</f>
        <v>0</v>
      </c>
      <c r="Q47" s="196">
        <f t="array" ref="Q47">IFERROR(
(MEDIAN((IF(DATOS_[[Sexo]:[Sexo]]=$B47,IF(DATOS_[[AGRUP. CLAS. PROF.]:[AGRUP. CLAS. PROF.]]=$B45,IF(DATOS_[[Check Periodo Ref.]:[Check Periodo Ref.]]="Dentro",IF(DATOS_[[Check Equiparado]:[Check Equiparado]]="Sí",IF(DATOS!AL$5="Sí",(1/DATOS_[[% anualiz]:[% anualiz]]),1)*IF(DATOS!AL$4="Sí",1/DATOS_[[% normaliz]:[% normaliz]],1)*(DATOS_[Conc.Sal.08])))))))),
0)</f>
        <v>0</v>
      </c>
      <c r="R47" s="196">
        <f t="array" ref="R47">IFERROR(
(MEDIAN((IF(DATOS_[[Sexo]:[Sexo]]=$B47,IF(DATOS_[[AGRUP. CLAS. PROF.]:[AGRUP. CLAS. PROF.]]=$B45,IF(DATOS_[[Check Periodo Ref.]:[Check Periodo Ref.]]="Dentro",IF(DATOS_[[Check Equiparado]:[Check Equiparado]]="Sí",IF(DATOS!AM$5="Sí",(1/DATOS_[[% anualiz]:[% anualiz]]),1)*IF(DATOS!AM$4="Sí",1/DATOS_[[% normaliz]:[% normaliz]],1)*(DATOS_[Conc.Sal.09])))))))),
0)</f>
        <v>0</v>
      </c>
      <c r="S47" s="196">
        <f t="array" ref="S47">IFERROR(
(MEDIAN((IF(DATOS_[[Sexo]:[Sexo]]=$B47,IF(DATOS_[[AGRUP. CLAS. PROF.]:[AGRUP. CLAS. PROF.]]=$B45,IF(DATOS_[[Check Periodo Ref.]:[Check Periodo Ref.]]="Dentro",IF(DATOS_[[Check Equiparado]:[Check Equiparado]]="Sí",IF(DATOS!AN$5="Sí",(1/DATOS_[[% anualiz]:[% anualiz]]),1)*IF(DATOS!AN$4="Sí",1/DATOS_[[% normaliz]:[% normaliz]],1)*(DATOS_[Conc.Sal.10])))))))),
0)</f>
        <v>0</v>
      </c>
      <c r="T47" s="196">
        <f t="array" ref="T47">IFERROR(
(MEDIAN((IF(DATOS_[[Sexo]:[Sexo]]=$B47,IF(DATOS_[[AGRUP. CLAS. PROF.]:[AGRUP. CLAS. PROF.]]=$B45,IF(DATOS_[[Check Periodo Ref.]:[Check Periodo Ref.]]="Dentro",IF(DATOS_[[Check Equiparado]:[Check Equiparado]]="Sí",IF(DATOS!AO$5="Sí",(1/DATOS_[[% anualiz]:[% anualiz]]),1)*IF(DATOS!AO$4="Sí",1/DATOS_[[% normaliz]:[% normaliz]],1)*(DATOS_[Conc.Sal.11])))))))),
0)</f>
        <v>0</v>
      </c>
      <c r="U47" s="196">
        <f t="array" ref="U47">IFERROR(
(MEDIAN((IF(DATOS_[[Sexo]:[Sexo]]=$B47,IF(DATOS_[[AGRUP. CLAS. PROF.]:[AGRUP. CLAS. PROF.]]=$B45,IF(DATOS_[[Check Periodo Ref.]:[Check Periodo Ref.]]="Dentro",IF(DATOS_[[Check Equiparado]:[Check Equiparado]]="Sí",IF(DATOS!AP$5="Sí",(1/DATOS_[[% anualiz]:[% anualiz]]),1)*IF(DATOS!AP$4="Sí",1/DATOS_[[% normaliz]:[% normaliz]],1)*(DATOS_[Conc.Sal.12])))))))),
0)</f>
        <v>0</v>
      </c>
      <c r="V47" s="196">
        <f t="array" ref="V47">IFERROR(
(MEDIAN((IF(DATOS_[[Sexo]:[Sexo]]=$B47,IF(DATOS_[[AGRUP. CLAS. PROF.]:[AGRUP. CLAS. PROF.]]=$B45,IF(DATOS_[[Check Periodo Ref.]:[Check Periodo Ref.]]="Dentro",IF(DATOS_[[Check Equiparado]:[Check Equiparado]]="Sí",IF(DATOS!AQ$5="Sí",(1/DATOS_[[% anualiz]:[% anualiz]]),1)*IF(DATOS!AQ$4="Sí",1/DATOS_[[% normaliz]:[% normaliz]],1)*(DATOS_[Conc.Sal.13])))))))),
0)</f>
        <v>0</v>
      </c>
      <c r="W47" s="196">
        <f t="array" ref="W47">IFERROR(
(MEDIAN((IF(DATOS_[[Sexo]:[Sexo]]=$B47,IF(DATOS_[[AGRUP. CLAS. PROF.]:[AGRUP. CLAS. PROF.]]=$B45,IF(DATOS_[[Check Periodo Ref.]:[Check Periodo Ref.]]="Dentro",IF(DATOS_[[Check Equiparado]:[Check Equiparado]]="Sí",IF(DATOS!AR$5="Sí",(1/DATOS_[[% anualiz]:[% anualiz]]),1)*IF(DATOS!AR$4="Sí",1/DATOS_[[% normaliz]:[% normaliz]],1)*(DATOS_[Conc.Sal.14])))))))),
0)</f>
        <v>0</v>
      </c>
      <c r="X47" s="196">
        <f t="array" ref="X47">IFERROR(
(MEDIAN((IF(DATOS_[[Sexo]:[Sexo]]=$B47,IF(DATOS_[[AGRUP. CLAS. PROF.]:[AGRUP. CLAS. PROF.]]=$B45,IF(DATOS_[[Check Periodo Ref.]:[Check Periodo Ref.]]="Dentro",IF(DATOS_[[Check Equiparado]:[Check Equiparado]]="Sí",IF(DATOS!AS$5="Sí",(1/DATOS_[[% anualiz]:[% anualiz]]),1)*IF(DATOS!AS$4="Sí",1/DATOS_[[% normaliz]:[% normaliz]],1)*(DATOS_[Conc.Sal.15])))))))),
0)</f>
        <v>0</v>
      </c>
      <c r="Y47" s="196">
        <f t="array" ref="Y47">IFERROR(
(MEDIAN((IF(DATOS_[[Sexo]:[Sexo]]=$B47,IF(DATOS_[[AGRUP. CLAS. PROF.]:[AGRUP. CLAS. PROF.]]=$B45,IF(DATOS_[[Check Periodo Ref.]:[Check Periodo Ref.]]="Dentro",IF(DATOS_[[Check Equiparado]:[Check Equiparado]]="Sí",IF(DATOS!AT$5="Sí",(1/DATOS_[[% anualiz]:[% anualiz]]),1)*IF(DATOS!AT$4="Sí",1/DATOS_[[% normaliz]:[% normaliz]],1)*(DATOS_[Conc.Sal.16])))))))),
0)</f>
        <v>0</v>
      </c>
      <c r="Z47" s="196">
        <f t="array" ref="Z47">IFERROR(
(MEDIAN((IF(DATOS_[[Sexo]:[Sexo]]=$B47,IF(DATOS_[[AGRUP. CLAS. PROF.]:[AGRUP. CLAS. PROF.]]=$B45,IF(DATOS_[[Check Periodo Ref.]:[Check Periodo Ref.]]="Dentro",IF(DATOS_[[Check Equiparado]:[Check Equiparado]]="Sí",IF(DATOS!AU$5="Sí",(1/DATOS_[[% anualiz]:[% anualiz]]),1)*IF(DATOS!AU$4="Sí",1/DATOS_[[% normaliz]:[% normaliz]],1)*(DATOS_[Conc.Sal.17])))))))),
0)</f>
        <v>0</v>
      </c>
      <c r="AA47" s="196">
        <f t="array" ref="AA47">IFERROR(
(MEDIAN((IF(DATOS_[[Sexo]:[Sexo]]=$B47,IF(DATOS_[[AGRUP. CLAS. PROF.]:[AGRUP. CLAS. PROF.]]=$B45,IF(DATOS_[[Check Periodo Ref.]:[Check Periodo Ref.]]="Dentro",IF(DATOS_[[Check Equiparado]:[Check Equiparado]]="Sí",IF(DATOS!AV$5="Sí",(1/DATOS_[[% anualiz]:[% anualiz]]),1)*IF(DATOS!AV$4="Sí",1/DATOS_[[% normaliz]:[% normaliz]],1)*(DATOS_[Conc.Sal.18])))))))),
0)</f>
        <v>0</v>
      </c>
      <c r="AB47" s="196">
        <f t="array" ref="AB47">IFERROR(
(MEDIAN((IF(DATOS_[[Sexo]:[Sexo]]=$B47,IF(DATOS_[[AGRUP. CLAS. PROF.]:[AGRUP. CLAS. PROF.]]=$B45,IF(DATOS_[[Check Periodo Ref.]:[Check Periodo Ref.]]="Dentro",IF(DATOS_[[Check Equiparado]:[Check Equiparado]]="Sí",IF(DATOS!AW$5="Sí",(1/DATOS_[[% anualiz]:[% anualiz]]),1)*IF(DATOS!AW$4="Sí",1/DATOS_[[% normaliz]:[% normaliz]],1)*(DATOS_[Conc.Sal.19])))))))),
0)</f>
        <v>0</v>
      </c>
      <c r="AC47" s="196">
        <f t="array" ref="AC47">IFERROR(
(MEDIAN((IF(DATOS_[[Sexo]:[Sexo]]=$B47,IF(DATOS_[[AGRUP. CLAS. PROF.]:[AGRUP. CLAS. PROF.]]=$B45,IF(DATOS_[[Check Periodo Ref.]:[Check Periodo Ref.]]="Dentro",IF(DATOS_[[Check Equiparado]:[Check Equiparado]]="Sí",IF(DATOS!AX$5="Sí",(1/DATOS_[[% anualiz]:[% anualiz]]),1)*IF(DATOS!AX$4="Sí",1/DATOS_[[% normaliz]:[% normaliz]],1)*(DATOS_[Conc.Sal.20])))))))),
0)</f>
        <v>0</v>
      </c>
      <c r="AD47" s="196">
        <f t="array" ref="AD47">IFERROR(
(MEDIAN((IF(DATOS_[[Sexo]:[Sexo]]=$B47,IF(DATOS_[[AGRUP. CLAS. PROF.]:[AGRUP. CLAS. PROF.]]=$B45,IF(DATOS_[[Check Periodo Ref.]:[Check Periodo Ref.]]="Dentro",IF(DATOS_[[Check Equiparado]:[Check Equiparado]]="Sí",IF(DATOS!AY$5="Sí",(1/DATOS_[[% anualiz]:[% anualiz]]),1)*IF(DATOS!AY$4="Sí",1/DATOS_[[% normaliz]:[% normaliz]],1)*(DATOS_[Conc.Sal.21])))))))),
0)</f>
        <v>0</v>
      </c>
      <c r="AE47" s="196">
        <f t="array" ref="AE47">IFERROR(
(MEDIAN((IF(DATOS_[[Sexo]:[Sexo]]=$B47,IF(DATOS_[[AGRUP. CLAS. PROF.]:[AGRUP. CLAS. PROF.]]=$B45,IF(DATOS_[[Check Periodo Ref.]:[Check Periodo Ref.]]="Dentro",IF(DATOS_[[Check Equiparado]:[Check Equiparado]]="Sí",IF(DATOS!AZ$5="Sí",(1/DATOS_[[% anualiz]:[% anualiz]]),1)*IF(DATOS!AZ$4="Sí",1/DATOS_[[% normaliz]:[% normaliz]],1)*(DATOS_[Conc.Sal.22])))))))),
0)</f>
        <v>0</v>
      </c>
      <c r="AF47" s="196">
        <f t="array" ref="AF47">IFERROR(
(MEDIAN((IF(DATOS_[[Sexo]:[Sexo]]=$B47,IF(DATOS_[[AGRUP. CLAS. PROF.]:[AGRUP. CLAS. PROF.]]=$B45,IF(DATOS_[[Check Periodo Ref.]:[Check Periodo Ref.]]="Dentro",IF(DATOS_[[Check Equiparado]:[Check Equiparado]]="Sí",IF(DATOS!BA$5="Sí",(1/DATOS_[[% anualiz]:[% anualiz]]),1)*IF(DATOS!BA$4="Sí",1/DATOS_[[% normaliz]:[% normaliz]],1)*(DATOS_[Conc.Sal.23])))))))),
0)</f>
        <v>0</v>
      </c>
      <c r="AG47" s="196">
        <f t="array" ref="AG47">IFERROR(
(MEDIAN((IF(DATOS_[[Sexo]:[Sexo]]=$B47,IF(DATOS_[[AGRUP. CLAS. PROF.]:[AGRUP. CLAS. PROF.]]=$B45,IF(DATOS_[[Check Periodo Ref.]:[Check Periodo Ref.]]="Dentro",IF(DATOS_[[Check Equiparado]:[Check Equiparado]]="Sí",IF(DATOS!BB$5="Sí",(1/DATOS_[[% anualiz]:[% anualiz]]),1)*IF(DATOS!BB$4="Sí",1/DATOS_[[% normaliz]:[% normaliz]],1)*(DATOS_[Conc.Sal.24])))))))),
0)</f>
        <v>0</v>
      </c>
      <c r="AH47" s="196">
        <f t="array" ref="AH47">IFERROR(
(MEDIAN((IF(DATOS_[[Sexo]:[Sexo]]=$B47,IF(DATOS_[[AGRUP. CLAS. PROF.]:[AGRUP. CLAS. PROF.]]=$B45,IF(DATOS_[[Check Periodo Ref.]:[Check Periodo Ref.]]="Dentro",IF(DATOS_[[Check Equiparado]:[Check Equiparado]]="Sí",IF(DATOS!BC$5="Sí",(1/DATOS_[[% anualiz]:[% anualiz]]),1)*IF(DATOS!BC$4="Sí",1/DATOS_[[% normaliz]:[% normaliz]],1)*(DATOS_[Conc.Sal.25])))))))),
0)</f>
        <v>0</v>
      </c>
      <c r="AI47" s="196">
        <f t="array" ref="AI47">IFERROR(
(MEDIAN((IF(DATOS_[[Sexo]:[Sexo]]=$B47,IF(DATOS_[[AGRUP. CLAS. PROF.]:[AGRUP. CLAS. PROF.]]=$B45,IF(DATOS_[[Check Periodo Ref.]:[Check Periodo Ref.]]="Dentro",IF(DATOS_[[Check Equiparado]:[Check Equiparado]]="Sí",IF(DATOS!BD$5="Sí",(1/DATOS_[[% anualiz]:[% anualiz]]),1)*IF(DATOS!BD$4="Sí",1/DATOS_[[% normaliz]:[% normaliz]],1)*(DATOS_[Conc.Sal.26])))))))),
0)</f>
        <v>0</v>
      </c>
      <c r="AJ47" s="196">
        <f t="array" ref="AJ47">IFERROR(
(MEDIAN((IF(DATOS_[[Sexo]:[Sexo]]=$B47,IF(DATOS_[[AGRUP. CLAS. PROF.]:[AGRUP. CLAS. PROF.]]=$B45,IF(DATOS_[[Check Periodo Ref.]:[Check Periodo Ref.]]="Dentro",IF(DATOS_[[Check Equiparado]:[Check Equiparado]]="Sí",IF(DATOS!BE$5="Sí",(1/DATOS_[[% anualiz]:[% anualiz]]),1)*IF(DATOS!BE$4="Sí",1/DATOS_[[% normaliz]:[% normaliz]],1)*(DATOS_[Conc.Sal.27])))))))),
0)</f>
        <v>0</v>
      </c>
      <c r="AK47" s="196">
        <f t="array" ref="AK47">IFERROR(
(MEDIAN((IF(DATOS_[[Sexo]:[Sexo]]=$B47,IF(DATOS_[[AGRUP. CLAS. PROF.]:[AGRUP. CLAS. PROF.]]=$B45,IF(DATOS_[[Check Periodo Ref.]:[Check Periodo Ref.]]="Dentro",IF(DATOS_[[Check Equiparado]:[Check Equiparado]]="Sí",IF(DATOS!BF$5="Sí",(1/DATOS_[[% anualiz]:[% anualiz]]),1)*IF(DATOS!BF$4="Sí",1/DATOS_[[% normaliz]:[% normaliz]],1)*(DATOS_[Conc.Sal.28])))))))),
0)</f>
        <v>0</v>
      </c>
      <c r="AL47" s="196">
        <f t="array" ref="AL47">IFERROR(
(MEDIAN((IF(DATOS_[[Sexo]:[Sexo]]=$B47,IF(DATOS_[[AGRUP. CLAS. PROF.]:[AGRUP. CLAS. PROF.]]=$B45,IF(DATOS_[[Check Periodo Ref.]:[Check Periodo Ref.]]="Dentro",IF(DATOS_[[Check Equiparado]:[Check Equiparado]]="Sí",IF(DATOS!BG$5="Sí",(1/DATOS_[[% anualiz]:[% anualiz]]),1)*IF(DATOS!BG$4="Sí",1/DATOS_[[% normaliz]:[% normaliz]],1)*(DATOS_[Conc.Sal.29])))))))),
0)</f>
        <v>0</v>
      </c>
      <c r="AM47" s="196">
        <f t="array" ref="AM47">IFERROR(
(MEDIAN((IF(DATOS_[[Sexo]:[Sexo]]=$B47,IF(DATOS_[[AGRUP. CLAS. PROF.]:[AGRUP. CLAS. PROF.]]=$B45,IF(DATOS_[[Check Periodo Ref.]:[Check Periodo Ref.]]="Dentro",IF(DATOS_[[Check Equiparado]:[Check Equiparado]]="Sí",IF(DATOS!BH$5="Sí",(1/DATOS_[[% anualiz]:[% anualiz]]),1)*IF(DATOS!BH$4="Sí",1/DATOS_[[% normaliz]:[% normaliz]],1)*(DATOS_[Conc.Sal.30])))))))),
0)</f>
        <v>0</v>
      </c>
      <c r="AN47" s="195">
        <f t="array" ref="AN47">IFERROR(
MEDIAN(IF(DATOS_[Sexo]=$B47,IF(DATOS_[[AGRUP. CLAS. PROF.]:[AGRUP. CLAS. PROF.]]=$B45,IF(DATOS_[Check Equiparado]="Sí",IF(DATOS_[Check Periodo Ref.]="Dentro",DATOS_[Tot COMPL.SAL Eq],FALSE))))),
0)</f>
        <v>0</v>
      </c>
      <c r="AO47" s="172">
        <f t="array" ref="AO47">IFERROR(
MEDIAN(IF(DATOS_[Sexo]=$B47,IF(DATOS_[[AGRUP. CLAS. PROF.]:[AGRUP. CLAS. PROF.]]=$B45,IF(DATOS_[Check Equiparado]="Sí",IF(DATOS_[Check Periodo Ref.]="Dentro",DATOS_[TOTAL SALARIO Eq],FALSE))))),
0)</f>
        <v>0</v>
      </c>
      <c r="AP47" s="173">
        <f t="array" ref="AP47">IFERROR(
(MEDIAN((IF(DATOS_[[Sexo]:[Sexo]]=$B47,IF(DATOS_[[AGRUP. CLAS. PROF.]:[AGRUP. CLAS. PROF.]]=$B45,IF(DATOS_[[Check Periodo Ref.]:[Check Periodo Ref.]]="Dentro",IF(DATOS_[[Check Equiparado]:[Check Equiparado]]="Sí",IF(DATOS!BW$5="Sí",(1/DATOS_[[% anualiz]:[% anualiz]]),1)*IF(DATOS!BW$4="Sí",1/DATOS_[[% normaliz]:[% normaliz]],1)*(DATOS_[C.Extra.01])))))))),
0)</f>
        <v>0</v>
      </c>
      <c r="AQ47" s="173">
        <f t="array" ref="AQ47">IFERROR(
(MEDIAN((IF(DATOS_[[Sexo]:[Sexo]]=$B47,IF(DATOS_[[AGRUP. CLAS. PROF.]:[AGRUP. CLAS. PROF.]]=$B45,IF(DATOS_[[Check Periodo Ref.]:[Check Periodo Ref.]]="Dentro",IF(DATOS_[[Check Equiparado]:[Check Equiparado]]="Sí",IF(DATOS!CB$5="Sí",(1/DATOS_[[% anualiz]:[% anualiz]]),1)*IF(DATOS!CB$4="Sí",1/DATOS_[[% normaliz]:[% normaliz]],1)*(DATOS_[C.Extra.06])))))))),
0)</f>
        <v>0</v>
      </c>
      <c r="AR47" s="173">
        <f t="array" ref="AR47">IFERROR(
(MEDIAN((IF(DATOS_[[Sexo]:[Sexo]]=$B47,IF(DATOS_[[AGRUP. CLAS. PROF.]:[AGRUP. CLAS. PROF.]]=$B45,IF(DATOS_[[Check Periodo Ref.]:[Check Periodo Ref.]]="Dentro",IF(DATOS_[[Check Equiparado]:[Check Equiparado]]="Sí",IF(DATOS!CC$5="Sí",(1/DATOS_[[% anualiz]:[% anualiz]]),1)*IF(DATOS!CC$4="Sí",1/DATOS_[[% normaliz]:[% normaliz]],1)*(DATOS_[C.Extra.07])))))))),
0)</f>
        <v>0</v>
      </c>
      <c r="AS47" s="173">
        <f t="array" ref="AS47">IFERROR(
(MEDIAN((IF(DATOS_[[Sexo]:[Sexo]]=$B47,IF(DATOS_[[AGRUP. CLAS. PROF.]:[AGRUP. CLAS. PROF.]]=$B45,IF(DATOS_[[Check Periodo Ref.]:[Check Periodo Ref.]]="Dentro",IF(DATOS_[[Check Equiparado]:[Check Equiparado]]="Sí",IF(DATOS!CD$5="Sí",(1/DATOS_[[% anualiz]:[% anualiz]]),1)*IF(DATOS!CD$4="Sí",1/DATOS_[[% normaliz]:[% normaliz]],1)*(DATOS_[C.Extra.08])))))))),
0)</f>
        <v>0</v>
      </c>
      <c r="AT47" s="173">
        <f t="array" ref="AT47">IFERROR(
(MEDIAN((IF(DATOS_[[Sexo]:[Sexo]]=$B47,IF(DATOS_[[AGRUP. CLAS. PROF.]:[AGRUP. CLAS. PROF.]]=$B45,IF(DATOS_[[Check Periodo Ref.]:[Check Periodo Ref.]]="Dentro",IF(DATOS_[[Check Equiparado]:[Check Equiparado]]="Sí",IF(DATOS!CG$5="Sí",(1/DATOS_[[% anualiz]:[% anualiz]]),1)*IF(DATOS!CG$4="Sí",1/DATOS_[[% normaliz]:[% normaliz]],1)*(DATOS_[C.Extra.11])))))))),
0)</f>
        <v>0</v>
      </c>
      <c r="AU47" s="197">
        <f t="array" ref="AU47">IFERROR(
MEDIAN(IF(DATOS_[Sexo]=$B47,IF(DATOS_[[AGRUP. CLAS. PROF.]:[AGRUP. CLAS. PROF.]]=$B45,IF(DATOS_[Check Equiparado]="Sí",IF(DATOS_[Check Periodo Ref.]="Dentro",DATOS_[Tot Extrasalarial Eq],FALSE))))),
0)</f>
        <v>0</v>
      </c>
      <c r="AV47" s="175">
        <f t="array" ref="AV47">IFERROR(
MEDIAN(IF(DATOS_[Sexo]=$B47,IF(DATOS_[[AGRUP. CLAS. PROF.]:[AGRUP. CLAS. PROF.]]=$B45,IF(DATOS_[Check Equiparado]="Sí",IF(DATOS_[Check Periodo Ref.]="Dentro",DATOS_[TOTAL Retrib Eq],FALSE))))),
0)</f>
        <v>0</v>
      </c>
    </row>
    <row r="48" spans="1:48" ht="15.6" hidden="1" thickBot="1" x14ac:dyDescent="0.3">
      <c r="A48" s="133" t="str">
        <f t="shared" ref="A48" si="47">+A49</f>
        <v>[ocultar]</v>
      </c>
      <c r="B48" s="199" t="s">
        <v>221</v>
      </c>
      <c r="C48" s="200"/>
      <c r="D48" s="201"/>
      <c r="E48" s="201"/>
      <c r="F48" s="201"/>
      <c r="G48" s="201"/>
      <c r="H48" s="201"/>
      <c r="I48" s="189" t="str">
        <f t="shared" ref="I48:AV48" si="48">IFERROR((I49-I50)/I49,"")</f>
        <v/>
      </c>
      <c r="J48" s="190" t="str">
        <f t="shared" si="48"/>
        <v/>
      </c>
      <c r="K48" s="191" t="str">
        <f t="shared" si="48"/>
        <v/>
      </c>
      <c r="L48" s="191" t="str">
        <f t="shared" si="48"/>
        <v/>
      </c>
      <c r="M48" s="191" t="str">
        <f t="shared" si="48"/>
        <v/>
      </c>
      <c r="N48" s="192" t="str">
        <f t="shared" si="48"/>
        <v/>
      </c>
      <c r="O48" s="193" t="str">
        <f t="shared" si="48"/>
        <v/>
      </c>
      <c r="P48" s="193" t="str">
        <f t="shared" si="48"/>
        <v/>
      </c>
      <c r="Q48" s="193" t="str">
        <f t="shared" si="48"/>
        <v/>
      </c>
      <c r="R48" s="193" t="str">
        <f t="shared" si="48"/>
        <v/>
      </c>
      <c r="S48" s="193" t="str">
        <f t="shared" si="48"/>
        <v/>
      </c>
      <c r="T48" s="193" t="str">
        <f t="shared" si="48"/>
        <v/>
      </c>
      <c r="U48" s="193" t="str">
        <f t="shared" si="48"/>
        <v/>
      </c>
      <c r="V48" s="193" t="str">
        <f t="shared" si="48"/>
        <v/>
      </c>
      <c r="W48" s="193" t="str">
        <f t="shared" si="48"/>
        <v/>
      </c>
      <c r="X48" s="193" t="str">
        <f t="shared" si="48"/>
        <v/>
      </c>
      <c r="Y48" s="193" t="str">
        <f t="shared" si="48"/>
        <v/>
      </c>
      <c r="Z48" s="193" t="str">
        <f t="shared" si="48"/>
        <v/>
      </c>
      <c r="AA48" s="193" t="str">
        <f t="shared" si="48"/>
        <v/>
      </c>
      <c r="AB48" s="193" t="str">
        <f t="shared" si="48"/>
        <v/>
      </c>
      <c r="AC48" s="193" t="str">
        <f t="shared" si="48"/>
        <v/>
      </c>
      <c r="AD48" s="193" t="str">
        <f t="shared" si="48"/>
        <v/>
      </c>
      <c r="AE48" s="193" t="str">
        <f t="shared" si="48"/>
        <v/>
      </c>
      <c r="AF48" s="193" t="str">
        <f t="shared" si="48"/>
        <v/>
      </c>
      <c r="AG48" s="193" t="str">
        <f t="shared" si="48"/>
        <v/>
      </c>
      <c r="AH48" s="193" t="str">
        <f t="shared" si="48"/>
        <v/>
      </c>
      <c r="AI48" s="193" t="str">
        <f t="shared" si="48"/>
        <v/>
      </c>
      <c r="AJ48" s="193" t="str">
        <f t="shared" si="48"/>
        <v/>
      </c>
      <c r="AK48" s="193" t="str">
        <f t="shared" si="48"/>
        <v/>
      </c>
      <c r="AL48" s="193" t="str">
        <f t="shared" si="48"/>
        <v/>
      </c>
      <c r="AM48" s="193" t="str">
        <f t="shared" si="48"/>
        <v/>
      </c>
      <c r="AN48" s="189" t="str">
        <f t="shared" si="48"/>
        <v/>
      </c>
      <c r="AO48" s="162" t="str">
        <f t="shared" si="48"/>
        <v/>
      </c>
      <c r="AP48" s="163" t="str">
        <f t="shared" si="48"/>
        <v/>
      </c>
      <c r="AQ48" s="163" t="str">
        <f t="shared" si="48"/>
        <v/>
      </c>
      <c r="AR48" s="163" t="str">
        <f t="shared" si="48"/>
        <v/>
      </c>
      <c r="AS48" s="163" t="str">
        <f t="shared" si="48"/>
        <v/>
      </c>
      <c r="AT48" s="163" t="str">
        <f t="shared" si="48"/>
        <v/>
      </c>
      <c r="AU48" s="194" t="str">
        <f t="shared" si="48"/>
        <v/>
      </c>
      <c r="AV48" s="165" t="str">
        <f t="shared" si="48"/>
        <v/>
      </c>
    </row>
    <row r="49" spans="1:48" hidden="1" x14ac:dyDescent="0.25">
      <c r="A49" s="133" t="str">
        <f t="shared" ref="A49" si="49">+IF(C49+C50=0,"[ocultar]","")</f>
        <v>[ocultar]</v>
      </c>
      <c r="B49" s="202" t="s">
        <v>394</v>
      </c>
      <c r="C49" s="203">
        <f t="array" ref="C49">SUM(IF($B49=DATOS_[Sexo],
IF($B48=DATOS_[AGRUP. CLAS. PROF.],
IF("Dentro"=DATOS_[Check Periodo Ref.],
1/(COUNTIFS(DATOS_[Sexo],$B49,DATOS_[AGRUP. CLAS. PROF.],$B48,DATOS_[Check Periodo Ref.],"Dentro",DATOS_[id/cod],DATOS_[id/cod]))))))</f>
        <v>0</v>
      </c>
      <c r="D49" s="204">
        <f>COUNTIFS(DATOS_[AGRUP. CLAS. PROF.],$B48,DATOS_[Sexo],$B49,DATOS_[Check Periodo Ref.],"Dentro")</f>
        <v>0</v>
      </c>
      <c r="E49" s="204">
        <f>COUNTIFS(DATOS_[AGRUP. CLAS. PROF.],$B48,DATOS_[Sexo],$B49,DATOS_[Check Periodo Ref.],"Dentro",DATOS_[Check Nº SC Norm],"Sí")</f>
        <v>0</v>
      </c>
      <c r="F49" s="204">
        <f>COUNTIFS(DATOS_[AGRUP. CLAS. PROF.],$B48,DATOS_[Sexo],$B49,DATOS_[Check Periodo Ref.],"Dentro",DATOS_[Check Nº SC Anualiz],"Sí")</f>
        <v>0</v>
      </c>
      <c r="G49" s="204">
        <f>COUNTIFS(DATOS_[AGRUP. CLAS. PROF.],$B48,DATOS_[Sexo],$B49,DATOS_[Check Periodo Ref.],"Dentro",DATOS_[Check Nº SC Norm y Anualiz],"Sí")</f>
        <v>0</v>
      </c>
      <c r="H49" s="204">
        <f>COUNTIFS(DATOS_[AGRUP. CLAS. PROF.],$B48,DATOS_[Sexo],$B49,DATOS_[Check Periodo Ref.],"Dentro",DATOS_[Check Equiparación],"Sí")</f>
        <v>0</v>
      </c>
      <c r="I49" s="195">
        <f t="array" ref="I49">IFERROR(
MEDIAN(IF(DATOS_[Sexo]=$B49,IF(DATOS_[[AGRUP. CLAS. PROF.]:[AGRUP. CLAS. PROF.]]=$B48,IF(DATOS_[Check Equiparado]="Sí",IF(DATOS_[Check Periodo Ref.]="Dentro",DATOS_[SALARIO BASE Eq],FALSE))))),
0)</f>
        <v>0</v>
      </c>
      <c r="J49" s="196">
        <f t="array" ref="J49">IFERROR(
(MEDIAN((IF(DATOS_[[Sexo]:[Sexo]]=$B49,IF(DATOS_[[AGRUP. CLAS. PROF.]:[AGRUP. CLAS. PROF.]]=$B48,IF(DATOS_[[Check Periodo Ref.]:[Check Periodo Ref.]]="Dentro",IF(DATOS_[[Check Equiparado]:[Check Equiparado]]="Sí",IF(DATOS!AE$5="Sí",(1/DATOS_[[% anualiz]:[% anualiz]]),1)*IF(DATOS!AE$4="Sí",1/DATOS_[[% normaliz]:[% normaliz]],1)*(DATOS_[Conc.Sal.01])))))))),
0)</f>
        <v>0</v>
      </c>
      <c r="K49" s="196">
        <f t="array" ref="K49">IFERROR(
(MEDIAN((IF(DATOS_[[Sexo]:[Sexo]]=$B49,IF(DATOS_[[AGRUP. CLAS. PROF.]:[AGRUP. CLAS. PROF.]]=$B48,IF(DATOS_[[Check Periodo Ref.]:[Check Periodo Ref.]]="Dentro",IF(DATOS_[[Check Equiparado]:[Check Equiparado]]="Sí",IF(DATOS!AF$5="Sí",(1/DATOS_[[% anualiz]:[% anualiz]]),1)*IF(DATOS!AF$4="Sí",1/DATOS_[[% normaliz]:[% normaliz]],1)*(DATOS_[Conc.Sal.02])))))))),
0)</f>
        <v>0</v>
      </c>
      <c r="L49" s="196">
        <f t="array" ref="L49">IFERROR(
(MEDIAN((IF(DATOS_[[Sexo]:[Sexo]]=$B49,IF(DATOS_[[AGRUP. CLAS. PROF.]:[AGRUP. CLAS. PROF.]]=$B48,IF(DATOS_[[Check Periodo Ref.]:[Check Periodo Ref.]]="Dentro",IF(DATOS_[[Check Equiparado]:[Check Equiparado]]="Sí",IF(DATOS!AG$5="Sí",(1/DATOS_[[% anualiz]:[% anualiz]]),1)*IF(DATOS!AG$4="Sí",1/DATOS_[[% normaliz]:[% normaliz]],1)*(DATOS_[Conc.Sal.03])))))))),
0)</f>
        <v>0</v>
      </c>
      <c r="M49" s="196">
        <f t="array" ref="M49">IFERROR(
(MEDIAN((IF(DATOS_[[Sexo]:[Sexo]]=$B49,IF(DATOS_[[AGRUP. CLAS. PROF.]:[AGRUP. CLAS. PROF.]]=$B48,IF(DATOS_[[Check Periodo Ref.]:[Check Periodo Ref.]]="Dentro",IF(DATOS_[[Check Equiparado]:[Check Equiparado]]="Sí",IF(DATOS!AH$5="Sí",(1/DATOS_[[% anualiz]:[% anualiz]]),1)*IF(DATOS!AH$4="Sí",1/DATOS_[[% normaliz]:[% normaliz]],1)*(DATOS_[Conc.Sal.04])))))))),
0)</f>
        <v>0</v>
      </c>
      <c r="N49" s="196">
        <f t="array" ref="N49">IFERROR(
(MEDIAN((IF(DATOS_[[Sexo]:[Sexo]]=$B49,IF(DATOS_[[AGRUP. CLAS. PROF.]:[AGRUP. CLAS. PROF.]]=$B48,IF(DATOS_[[Check Periodo Ref.]:[Check Periodo Ref.]]="Dentro",IF(DATOS_[[Check Equiparado]:[Check Equiparado]]="Sí",IF(DATOS!AI$5="Sí",(1/DATOS_[[% anualiz]:[% anualiz]]),1)*IF(DATOS!AI$4="Sí",1/DATOS_[[% normaliz]:[% normaliz]],1)*(DATOS_[Conc.Sal.05])))))))),
0)</f>
        <v>0</v>
      </c>
      <c r="O49" s="196">
        <f t="array" ref="O49">IFERROR(
(MEDIAN((IF(DATOS_[[Sexo]:[Sexo]]=$B49,IF(DATOS_[[AGRUP. CLAS. PROF.]:[AGRUP. CLAS. PROF.]]=$B48,IF(DATOS_[[Check Periodo Ref.]:[Check Periodo Ref.]]="Dentro",IF(DATOS_[[Check Equiparado]:[Check Equiparado]]="Sí",IF(DATOS!AJ$5="Sí",(1/DATOS_[[% anualiz]:[% anualiz]]),1)*IF(DATOS!AJ$4="Sí",1/DATOS_[[% normaliz]:[% normaliz]],1)*(DATOS_[Conc.Sal.06])))))))),
0)</f>
        <v>0</v>
      </c>
      <c r="P49" s="196">
        <f t="array" ref="P49">IFERROR(
(MEDIAN((IF(DATOS_[[Sexo]:[Sexo]]=$B49,IF(DATOS_[[AGRUP. CLAS. PROF.]:[AGRUP. CLAS. PROF.]]=$B48,IF(DATOS_[[Check Periodo Ref.]:[Check Periodo Ref.]]="Dentro",IF(DATOS_[[Check Equiparado]:[Check Equiparado]]="Sí",IF(DATOS!AK$5="Sí",(1/DATOS_[[% anualiz]:[% anualiz]]),1)*IF(DATOS!AK$4="Sí",1/DATOS_[[% normaliz]:[% normaliz]],1)*(DATOS_[Conc.Sal.07])))))))),
0)</f>
        <v>0</v>
      </c>
      <c r="Q49" s="196">
        <f t="array" ref="Q49">IFERROR(
(MEDIAN((IF(DATOS_[[Sexo]:[Sexo]]=$B49,IF(DATOS_[[AGRUP. CLAS. PROF.]:[AGRUP. CLAS. PROF.]]=$B48,IF(DATOS_[[Check Periodo Ref.]:[Check Periodo Ref.]]="Dentro",IF(DATOS_[[Check Equiparado]:[Check Equiparado]]="Sí",IF(DATOS!AL$5="Sí",(1/DATOS_[[% anualiz]:[% anualiz]]),1)*IF(DATOS!AL$4="Sí",1/DATOS_[[% normaliz]:[% normaliz]],1)*(DATOS_[Conc.Sal.08])))))))),
0)</f>
        <v>0</v>
      </c>
      <c r="R49" s="196">
        <f t="array" ref="R49">IFERROR(
(MEDIAN((IF(DATOS_[[Sexo]:[Sexo]]=$B49,IF(DATOS_[[AGRUP. CLAS. PROF.]:[AGRUP. CLAS. PROF.]]=$B48,IF(DATOS_[[Check Periodo Ref.]:[Check Periodo Ref.]]="Dentro",IF(DATOS_[[Check Equiparado]:[Check Equiparado]]="Sí",IF(DATOS!AM$5="Sí",(1/DATOS_[[% anualiz]:[% anualiz]]),1)*IF(DATOS!AM$4="Sí",1/DATOS_[[% normaliz]:[% normaliz]],1)*(DATOS_[Conc.Sal.09])))))))),
0)</f>
        <v>0</v>
      </c>
      <c r="S49" s="196">
        <f t="array" ref="S49">IFERROR(
(MEDIAN((IF(DATOS_[[Sexo]:[Sexo]]=$B49,IF(DATOS_[[AGRUP. CLAS. PROF.]:[AGRUP. CLAS. PROF.]]=$B48,IF(DATOS_[[Check Periodo Ref.]:[Check Periodo Ref.]]="Dentro",IF(DATOS_[[Check Equiparado]:[Check Equiparado]]="Sí",IF(DATOS!AN$5="Sí",(1/DATOS_[[% anualiz]:[% anualiz]]),1)*IF(DATOS!AN$4="Sí",1/DATOS_[[% normaliz]:[% normaliz]],1)*(DATOS_[Conc.Sal.10])))))))),
0)</f>
        <v>0</v>
      </c>
      <c r="T49" s="196">
        <f t="array" ref="T49">IFERROR(
(MEDIAN((IF(DATOS_[[Sexo]:[Sexo]]=$B49,IF(DATOS_[[AGRUP. CLAS. PROF.]:[AGRUP. CLAS. PROF.]]=$B48,IF(DATOS_[[Check Periodo Ref.]:[Check Periodo Ref.]]="Dentro",IF(DATOS_[[Check Equiparado]:[Check Equiparado]]="Sí",IF(DATOS!AO$5="Sí",(1/DATOS_[[% anualiz]:[% anualiz]]),1)*IF(DATOS!AO$4="Sí",1/DATOS_[[% normaliz]:[% normaliz]],1)*(DATOS_[Conc.Sal.11])))))))),
0)</f>
        <v>0</v>
      </c>
      <c r="U49" s="196">
        <f t="array" ref="U49">IFERROR(
(MEDIAN((IF(DATOS_[[Sexo]:[Sexo]]=$B49,IF(DATOS_[[AGRUP. CLAS. PROF.]:[AGRUP. CLAS. PROF.]]=$B48,IF(DATOS_[[Check Periodo Ref.]:[Check Periodo Ref.]]="Dentro",IF(DATOS_[[Check Equiparado]:[Check Equiparado]]="Sí",IF(DATOS!AP$5="Sí",(1/DATOS_[[% anualiz]:[% anualiz]]),1)*IF(DATOS!AP$4="Sí",1/DATOS_[[% normaliz]:[% normaliz]],1)*(DATOS_[Conc.Sal.12])))))))),
0)</f>
        <v>0</v>
      </c>
      <c r="V49" s="196">
        <f t="array" ref="V49">IFERROR(
(MEDIAN((IF(DATOS_[[Sexo]:[Sexo]]=$B49,IF(DATOS_[[AGRUP. CLAS. PROF.]:[AGRUP. CLAS. PROF.]]=$B48,IF(DATOS_[[Check Periodo Ref.]:[Check Periodo Ref.]]="Dentro",IF(DATOS_[[Check Equiparado]:[Check Equiparado]]="Sí",IF(DATOS!AQ$5="Sí",(1/DATOS_[[% anualiz]:[% anualiz]]),1)*IF(DATOS!AQ$4="Sí",1/DATOS_[[% normaliz]:[% normaliz]],1)*(DATOS_[Conc.Sal.13])))))))),
0)</f>
        <v>0</v>
      </c>
      <c r="W49" s="196">
        <f t="array" ref="W49">IFERROR(
(MEDIAN((IF(DATOS_[[Sexo]:[Sexo]]=$B49,IF(DATOS_[[AGRUP. CLAS. PROF.]:[AGRUP. CLAS. PROF.]]=$B48,IF(DATOS_[[Check Periodo Ref.]:[Check Periodo Ref.]]="Dentro",IF(DATOS_[[Check Equiparado]:[Check Equiparado]]="Sí",IF(DATOS!AR$5="Sí",(1/DATOS_[[% anualiz]:[% anualiz]]),1)*IF(DATOS!AR$4="Sí",1/DATOS_[[% normaliz]:[% normaliz]],1)*(DATOS_[Conc.Sal.14])))))))),
0)</f>
        <v>0</v>
      </c>
      <c r="X49" s="196">
        <f t="array" ref="X49">IFERROR(
(MEDIAN((IF(DATOS_[[Sexo]:[Sexo]]=$B49,IF(DATOS_[[AGRUP. CLAS. PROF.]:[AGRUP. CLAS. PROF.]]=$B48,IF(DATOS_[[Check Periodo Ref.]:[Check Periodo Ref.]]="Dentro",IF(DATOS_[[Check Equiparado]:[Check Equiparado]]="Sí",IF(DATOS!AS$5="Sí",(1/DATOS_[[% anualiz]:[% anualiz]]),1)*IF(DATOS!AS$4="Sí",1/DATOS_[[% normaliz]:[% normaliz]],1)*(DATOS_[Conc.Sal.15])))))))),
0)</f>
        <v>0</v>
      </c>
      <c r="Y49" s="196">
        <f t="array" ref="Y49">IFERROR(
(MEDIAN((IF(DATOS_[[Sexo]:[Sexo]]=$B49,IF(DATOS_[[AGRUP. CLAS. PROF.]:[AGRUP. CLAS. PROF.]]=$B48,IF(DATOS_[[Check Periodo Ref.]:[Check Periodo Ref.]]="Dentro",IF(DATOS_[[Check Equiparado]:[Check Equiparado]]="Sí",IF(DATOS!AT$5="Sí",(1/DATOS_[[% anualiz]:[% anualiz]]),1)*IF(DATOS!AT$4="Sí",1/DATOS_[[% normaliz]:[% normaliz]],1)*(DATOS_[Conc.Sal.16])))))))),
0)</f>
        <v>0</v>
      </c>
      <c r="Z49" s="196">
        <f t="array" ref="Z49">IFERROR(
(MEDIAN((IF(DATOS_[[Sexo]:[Sexo]]=$B49,IF(DATOS_[[AGRUP. CLAS. PROF.]:[AGRUP. CLAS. PROF.]]=$B48,IF(DATOS_[[Check Periodo Ref.]:[Check Periodo Ref.]]="Dentro",IF(DATOS_[[Check Equiparado]:[Check Equiparado]]="Sí",IF(DATOS!AU$5="Sí",(1/DATOS_[[% anualiz]:[% anualiz]]),1)*IF(DATOS!AU$4="Sí",1/DATOS_[[% normaliz]:[% normaliz]],1)*(DATOS_[Conc.Sal.17])))))))),
0)</f>
        <v>0</v>
      </c>
      <c r="AA49" s="196">
        <f t="array" ref="AA49">IFERROR(
(MEDIAN((IF(DATOS_[[Sexo]:[Sexo]]=$B49,IF(DATOS_[[AGRUP. CLAS. PROF.]:[AGRUP. CLAS. PROF.]]=$B48,IF(DATOS_[[Check Periodo Ref.]:[Check Periodo Ref.]]="Dentro",IF(DATOS_[[Check Equiparado]:[Check Equiparado]]="Sí",IF(DATOS!AV$5="Sí",(1/DATOS_[[% anualiz]:[% anualiz]]),1)*IF(DATOS!AV$4="Sí",1/DATOS_[[% normaliz]:[% normaliz]],1)*(DATOS_[Conc.Sal.18])))))))),
0)</f>
        <v>0</v>
      </c>
      <c r="AB49" s="196">
        <f t="array" ref="AB49">IFERROR(
(MEDIAN((IF(DATOS_[[Sexo]:[Sexo]]=$B49,IF(DATOS_[[AGRUP. CLAS. PROF.]:[AGRUP. CLAS. PROF.]]=$B48,IF(DATOS_[[Check Periodo Ref.]:[Check Periodo Ref.]]="Dentro",IF(DATOS_[[Check Equiparado]:[Check Equiparado]]="Sí",IF(DATOS!AW$5="Sí",(1/DATOS_[[% anualiz]:[% anualiz]]),1)*IF(DATOS!AW$4="Sí",1/DATOS_[[% normaliz]:[% normaliz]],1)*(DATOS_[Conc.Sal.19])))))))),
0)</f>
        <v>0</v>
      </c>
      <c r="AC49" s="196">
        <f t="array" ref="AC49">IFERROR(
(MEDIAN((IF(DATOS_[[Sexo]:[Sexo]]=$B49,IF(DATOS_[[AGRUP. CLAS. PROF.]:[AGRUP. CLAS. PROF.]]=$B48,IF(DATOS_[[Check Periodo Ref.]:[Check Periodo Ref.]]="Dentro",IF(DATOS_[[Check Equiparado]:[Check Equiparado]]="Sí",IF(DATOS!AX$5="Sí",(1/DATOS_[[% anualiz]:[% anualiz]]),1)*IF(DATOS!AX$4="Sí",1/DATOS_[[% normaliz]:[% normaliz]],1)*(DATOS_[Conc.Sal.20])))))))),
0)</f>
        <v>0</v>
      </c>
      <c r="AD49" s="196">
        <f t="array" ref="AD49">IFERROR(
(MEDIAN((IF(DATOS_[[Sexo]:[Sexo]]=$B49,IF(DATOS_[[AGRUP. CLAS. PROF.]:[AGRUP. CLAS. PROF.]]=$B48,IF(DATOS_[[Check Periodo Ref.]:[Check Periodo Ref.]]="Dentro",IF(DATOS_[[Check Equiparado]:[Check Equiparado]]="Sí",IF(DATOS!AY$5="Sí",(1/DATOS_[[% anualiz]:[% anualiz]]),1)*IF(DATOS!AY$4="Sí",1/DATOS_[[% normaliz]:[% normaliz]],1)*(DATOS_[Conc.Sal.21])))))))),
0)</f>
        <v>0</v>
      </c>
      <c r="AE49" s="196">
        <f t="array" ref="AE49">IFERROR(
(MEDIAN((IF(DATOS_[[Sexo]:[Sexo]]=$B49,IF(DATOS_[[AGRUP. CLAS. PROF.]:[AGRUP. CLAS. PROF.]]=$B48,IF(DATOS_[[Check Periodo Ref.]:[Check Periodo Ref.]]="Dentro",IF(DATOS_[[Check Equiparado]:[Check Equiparado]]="Sí",IF(DATOS!AZ$5="Sí",(1/DATOS_[[% anualiz]:[% anualiz]]),1)*IF(DATOS!AZ$4="Sí",1/DATOS_[[% normaliz]:[% normaliz]],1)*(DATOS_[Conc.Sal.22])))))))),
0)</f>
        <v>0</v>
      </c>
      <c r="AF49" s="196">
        <f t="array" ref="AF49">IFERROR(
(MEDIAN((IF(DATOS_[[Sexo]:[Sexo]]=$B49,IF(DATOS_[[AGRUP. CLAS. PROF.]:[AGRUP. CLAS. PROF.]]=$B48,IF(DATOS_[[Check Periodo Ref.]:[Check Periodo Ref.]]="Dentro",IF(DATOS_[[Check Equiparado]:[Check Equiparado]]="Sí",IF(DATOS!BA$5="Sí",(1/DATOS_[[% anualiz]:[% anualiz]]),1)*IF(DATOS!BA$4="Sí",1/DATOS_[[% normaliz]:[% normaliz]],1)*(DATOS_[Conc.Sal.23])))))))),
0)</f>
        <v>0</v>
      </c>
      <c r="AG49" s="196">
        <f t="array" ref="AG49">IFERROR(
(MEDIAN((IF(DATOS_[[Sexo]:[Sexo]]=$B49,IF(DATOS_[[AGRUP. CLAS. PROF.]:[AGRUP. CLAS. PROF.]]=$B48,IF(DATOS_[[Check Periodo Ref.]:[Check Periodo Ref.]]="Dentro",IF(DATOS_[[Check Equiparado]:[Check Equiparado]]="Sí",IF(DATOS!BB$5="Sí",(1/DATOS_[[% anualiz]:[% anualiz]]),1)*IF(DATOS!BB$4="Sí",1/DATOS_[[% normaliz]:[% normaliz]],1)*(DATOS_[Conc.Sal.24])))))))),
0)</f>
        <v>0</v>
      </c>
      <c r="AH49" s="196">
        <f t="array" ref="AH49">IFERROR(
(MEDIAN((IF(DATOS_[[Sexo]:[Sexo]]=$B49,IF(DATOS_[[AGRUP. CLAS. PROF.]:[AGRUP. CLAS. PROF.]]=$B48,IF(DATOS_[[Check Periodo Ref.]:[Check Periodo Ref.]]="Dentro",IF(DATOS_[[Check Equiparado]:[Check Equiparado]]="Sí",IF(DATOS!BC$5="Sí",(1/DATOS_[[% anualiz]:[% anualiz]]),1)*IF(DATOS!BC$4="Sí",1/DATOS_[[% normaliz]:[% normaliz]],1)*(DATOS_[Conc.Sal.25])))))))),
0)</f>
        <v>0</v>
      </c>
      <c r="AI49" s="196">
        <f t="array" ref="AI49">IFERROR(
(MEDIAN((IF(DATOS_[[Sexo]:[Sexo]]=$B49,IF(DATOS_[[AGRUP. CLAS. PROF.]:[AGRUP. CLAS. PROF.]]=$B48,IF(DATOS_[[Check Periodo Ref.]:[Check Periodo Ref.]]="Dentro",IF(DATOS_[[Check Equiparado]:[Check Equiparado]]="Sí",IF(DATOS!BD$5="Sí",(1/DATOS_[[% anualiz]:[% anualiz]]),1)*IF(DATOS!BD$4="Sí",1/DATOS_[[% normaliz]:[% normaliz]],1)*(DATOS_[Conc.Sal.26])))))))),
0)</f>
        <v>0</v>
      </c>
      <c r="AJ49" s="196">
        <f t="array" ref="AJ49">IFERROR(
(MEDIAN((IF(DATOS_[[Sexo]:[Sexo]]=$B49,IF(DATOS_[[AGRUP. CLAS. PROF.]:[AGRUP. CLAS. PROF.]]=$B48,IF(DATOS_[[Check Periodo Ref.]:[Check Periodo Ref.]]="Dentro",IF(DATOS_[[Check Equiparado]:[Check Equiparado]]="Sí",IF(DATOS!BE$5="Sí",(1/DATOS_[[% anualiz]:[% anualiz]]),1)*IF(DATOS!BE$4="Sí",1/DATOS_[[% normaliz]:[% normaliz]],1)*(DATOS_[Conc.Sal.27])))))))),
0)</f>
        <v>0</v>
      </c>
      <c r="AK49" s="196">
        <f t="array" ref="AK49">IFERROR(
(MEDIAN((IF(DATOS_[[Sexo]:[Sexo]]=$B49,IF(DATOS_[[AGRUP. CLAS. PROF.]:[AGRUP. CLAS. PROF.]]=$B48,IF(DATOS_[[Check Periodo Ref.]:[Check Periodo Ref.]]="Dentro",IF(DATOS_[[Check Equiparado]:[Check Equiparado]]="Sí",IF(DATOS!BF$5="Sí",(1/DATOS_[[% anualiz]:[% anualiz]]),1)*IF(DATOS!BF$4="Sí",1/DATOS_[[% normaliz]:[% normaliz]],1)*(DATOS_[Conc.Sal.28])))))))),
0)</f>
        <v>0</v>
      </c>
      <c r="AL49" s="196">
        <f t="array" ref="AL49">IFERROR(
(MEDIAN((IF(DATOS_[[Sexo]:[Sexo]]=$B49,IF(DATOS_[[AGRUP. CLAS. PROF.]:[AGRUP. CLAS. PROF.]]=$B48,IF(DATOS_[[Check Periodo Ref.]:[Check Periodo Ref.]]="Dentro",IF(DATOS_[[Check Equiparado]:[Check Equiparado]]="Sí",IF(DATOS!BG$5="Sí",(1/DATOS_[[% anualiz]:[% anualiz]]),1)*IF(DATOS!BG$4="Sí",1/DATOS_[[% normaliz]:[% normaliz]],1)*(DATOS_[Conc.Sal.29])))))))),
0)</f>
        <v>0</v>
      </c>
      <c r="AM49" s="196">
        <f t="array" ref="AM49">IFERROR(
(MEDIAN((IF(DATOS_[[Sexo]:[Sexo]]=$B49,IF(DATOS_[[AGRUP. CLAS. PROF.]:[AGRUP. CLAS. PROF.]]=$B48,IF(DATOS_[[Check Periodo Ref.]:[Check Periodo Ref.]]="Dentro",IF(DATOS_[[Check Equiparado]:[Check Equiparado]]="Sí",IF(DATOS!BH$5="Sí",(1/DATOS_[[% anualiz]:[% anualiz]]),1)*IF(DATOS!BH$4="Sí",1/DATOS_[[% normaliz]:[% normaliz]],1)*(DATOS_[Conc.Sal.30])))))))),
0)</f>
        <v>0</v>
      </c>
      <c r="AN49" s="195">
        <f t="array" ref="AN49">IFERROR(
MEDIAN(IF(DATOS_[Sexo]=$B49,IF(DATOS_[[AGRUP. CLAS. PROF.]:[AGRUP. CLAS. PROF.]]=$B48,IF(DATOS_[Check Equiparado]="Sí",IF(DATOS_[Check Periodo Ref.]="Dentro",DATOS_[Tot COMPL.SAL Eq],FALSE))))),
0)</f>
        <v>0</v>
      </c>
      <c r="AO49" s="172">
        <f t="array" ref="AO49">IFERROR(
MEDIAN(IF(DATOS_[Sexo]=$B49,IF(DATOS_[[AGRUP. CLAS. PROF.]:[AGRUP. CLAS. PROF.]]=$B48,IF(DATOS_[Check Equiparado]="Sí",IF(DATOS_[Check Periodo Ref.]="Dentro",DATOS_[TOTAL SALARIO Eq],FALSE))))),
0)</f>
        <v>0</v>
      </c>
      <c r="AP49" s="173">
        <f t="array" ref="AP49">IFERROR(
(MEDIAN((IF(DATOS_[[Sexo]:[Sexo]]=$B49,IF(DATOS_[[AGRUP. CLAS. PROF.]:[AGRUP. CLAS. PROF.]]=$B48,IF(DATOS_[[Check Periodo Ref.]:[Check Periodo Ref.]]="Dentro",IF(DATOS_[[Check Equiparado]:[Check Equiparado]]="Sí",IF(DATOS!BW$5="Sí",(1/DATOS_[[% anualiz]:[% anualiz]]),1)*IF(DATOS!BW$4="Sí",1/DATOS_[[% normaliz]:[% normaliz]],1)*(DATOS_[C.Extra.01])))))))),
0)</f>
        <v>0</v>
      </c>
      <c r="AQ49" s="173">
        <f t="array" ref="AQ49">IFERROR(
(MEDIAN((IF(DATOS_[[Sexo]:[Sexo]]=$B49,IF(DATOS_[[AGRUP. CLAS. PROF.]:[AGRUP. CLAS. PROF.]]=$B48,IF(DATOS_[[Check Periodo Ref.]:[Check Periodo Ref.]]="Dentro",IF(DATOS_[[Check Equiparado]:[Check Equiparado]]="Sí",IF(DATOS!CB$5="Sí",(1/DATOS_[[% anualiz]:[% anualiz]]),1)*IF(DATOS!CB$4="Sí",1/DATOS_[[% normaliz]:[% normaliz]],1)*(DATOS_[C.Extra.06])))))))),
0)</f>
        <v>0</v>
      </c>
      <c r="AR49" s="173">
        <f t="array" ref="AR49">IFERROR(
(MEDIAN((IF(DATOS_[[Sexo]:[Sexo]]=$B49,IF(DATOS_[[AGRUP. CLAS. PROF.]:[AGRUP. CLAS. PROF.]]=$B48,IF(DATOS_[[Check Periodo Ref.]:[Check Periodo Ref.]]="Dentro",IF(DATOS_[[Check Equiparado]:[Check Equiparado]]="Sí",IF(DATOS!CC$5="Sí",(1/DATOS_[[% anualiz]:[% anualiz]]),1)*IF(DATOS!CC$4="Sí",1/DATOS_[[% normaliz]:[% normaliz]],1)*(DATOS_[C.Extra.07])))))))),
0)</f>
        <v>0</v>
      </c>
      <c r="AS49" s="173">
        <f t="array" ref="AS49">IFERROR(
(MEDIAN((IF(DATOS_[[Sexo]:[Sexo]]=$B49,IF(DATOS_[[AGRUP. CLAS. PROF.]:[AGRUP. CLAS. PROF.]]=$B48,IF(DATOS_[[Check Periodo Ref.]:[Check Periodo Ref.]]="Dentro",IF(DATOS_[[Check Equiparado]:[Check Equiparado]]="Sí",IF(DATOS!CD$5="Sí",(1/DATOS_[[% anualiz]:[% anualiz]]),1)*IF(DATOS!CD$4="Sí",1/DATOS_[[% normaliz]:[% normaliz]],1)*(DATOS_[C.Extra.08])))))))),
0)</f>
        <v>0</v>
      </c>
      <c r="AT49" s="173">
        <f t="array" ref="AT49">IFERROR(
(MEDIAN((IF(DATOS_[[Sexo]:[Sexo]]=$B49,IF(DATOS_[[AGRUP. CLAS. PROF.]:[AGRUP. CLAS. PROF.]]=$B48,IF(DATOS_[[Check Periodo Ref.]:[Check Periodo Ref.]]="Dentro",IF(DATOS_[[Check Equiparado]:[Check Equiparado]]="Sí",IF(DATOS!CG$5="Sí",(1/DATOS_[[% anualiz]:[% anualiz]]),1)*IF(DATOS!CG$4="Sí",1/DATOS_[[% normaliz]:[% normaliz]],1)*(DATOS_[C.Extra.11])))))))),
0)</f>
        <v>0</v>
      </c>
      <c r="AU49" s="197">
        <f t="array" ref="AU49">IFERROR(
MEDIAN(IF(DATOS_[Sexo]=$B49,IF(DATOS_[[AGRUP. CLAS. PROF.]:[AGRUP. CLAS. PROF.]]=$B48,IF(DATOS_[Check Equiparado]="Sí",IF(DATOS_[Check Periodo Ref.]="Dentro",DATOS_[Tot Extrasalarial Eq],FALSE))))),
0)</f>
        <v>0</v>
      </c>
      <c r="AV49" s="175">
        <f t="array" ref="AV49">IFERROR(
MEDIAN(IF(DATOS_[Sexo]=$B49,IF(DATOS_[[AGRUP. CLAS. PROF.]:[AGRUP. CLAS. PROF.]]=$B48,IF(DATOS_[Check Equiparado]="Sí",IF(DATOS_[Check Periodo Ref.]="Dentro",DATOS_[TOTAL Retrib Eq],FALSE))))),
0)</f>
        <v>0</v>
      </c>
    </row>
    <row r="50" spans="1:48" hidden="1" x14ac:dyDescent="0.25">
      <c r="A50" s="133" t="str">
        <f t="shared" ref="A50" si="50">+A49</f>
        <v>[ocultar]</v>
      </c>
      <c r="B50" s="202" t="s">
        <v>521</v>
      </c>
      <c r="C50" s="203">
        <f t="array" ref="C50">SUM(IF($B50=DATOS_[Sexo],
IF($B48=DATOS_[AGRUP. CLAS. PROF.],
IF("Dentro"=DATOS_[Check Periodo Ref.],
1/(COUNTIFS(DATOS_[Sexo],$B50,DATOS_[AGRUP. CLAS. PROF.],$B48,DATOS_[Check Periodo Ref.],"Dentro",DATOS_[id/cod],DATOS_[id/cod]))))))</f>
        <v>0</v>
      </c>
      <c r="D50" s="204">
        <f>COUNTIFS(DATOS_[AGRUP. CLAS. PROF.],$B48,DATOS_[Sexo],$B50,DATOS_[Check Periodo Ref.],"Dentro")</f>
        <v>0</v>
      </c>
      <c r="E50" s="204">
        <f>COUNTIFS(DATOS_[AGRUP. CLAS. PROF.],$B48,DATOS_[Sexo],$B50,DATOS_[Check Periodo Ref.],"Dentro",DATOS_[Check Nº SC Norm],"Sí")</f>
        <v>0</v>
      </c>
      <c r="F50" s="204">
        <f>COUNTIFS(DATOS_[AGRUP. CLAS. PROF.],$B48,DATOS_[Sexo],$B50,DATOS_[Check Periodo Ref.],"Dentro",DATOS_[Check Nº SC Anualiz],"Sí")</f>
        <v>0</v>
      </c>
      <c r="G50" s="204">
        <f>COUNTIFS(DATOS_[AGRUP. CLAS. PROF.],$B48,DATOS_[Sexo],$B50,DATOS_[Check Periodo Ref.],"Dentro",DATOS_[Check Nº SC Norm y Anualiz],"Sí")</f>
        <v>0</v>
      </c>
      <c r="H50" s="204">
        <f>COUNTIFS(DATOS_[AGRUP. CLAS. PROF.],$B48,DATOS_[Sexo],$B50,DATOS_[Check Periodo Ref.],"Dentro",DATOS_[Check Equiparación],"Sí")</f>
        <v>0</v>
      </c>
      <c r="I50" s="195" cm="1">
        <f t="array" ref="I50">IFERROR(
MEDIAN(IF(DATOS_[Sexo]=$B50,IF(DATOS_[[AGRUP. CLAS. PROF.]:[AGRUP. CLAS. PROF.]]=$B48,IF(DATOS_[Check Equiparado]="Sí",IF(DATOS_[Check Periodo Ref.]="Dentro",DATOS_[SALARIO BASE Eq],FALSE))))),
0)</f>
        <v>0</v>
      </c>
      <c r="J50" s="196">
        <f t="array" ref="J50">IFERROR(
(MEDIAN((IF(DATOS_[[Sexo]:[Sexo]]=$B50,IF(DATOS_[[AGRUP. CLAS. PROF.]:[AGRUP. CLAS. PROF.]]=$B48,IF(DATOS_[[Check Periodo Ref.]:[Check Periodo Ref.]]="Dentro",IF(DATOS_[[Check Equiparado]:[Check Equiparado]]="Sí",IF(DATOS!AE$5="Sí",(1/DATOS_[[% anualiz]:[% anualiz]]),1)*IF(DATOS!AE$4="Sí",1/DATOS_[[% normaliz]:[% normaliz]],1)*(DATOS_[Conc.Sal.01])))))))),
0)</f>
        <v>0</v>
      </c>
      <c r="K50" s="196">
        <f t="array" ref="K50">IFERROR(
(MEDIAN((IF(DATOS_[[Sexo]:[Sexo]]=$B50,IF(DATOS_[[AGRUP. CLAS. PROF.]:[AGRUP. CLAS. PROF.]]=$B48,IF(DATOS_[[Check Periodo Ref.]:[Check Periodo Ref.]]="Dentro",IF(DATOS_[[Check Equiparado]:[Check Equiparado]]="Sí",IF(DATOS!AF$5="Sí",(1/DATOS_[[% anualiz]:[% anualiz]]),1)*IF(DATOS!AF$4="Sí",1/DATOS_[[% normaliz]:[% normaliz]],1)*(DATOS_[Conc.Sal.02])))))))),
0)</f>
        <v>0</v>
      </c>
      <c r="L50" s="196">
        <f t="array" ref="L50">IFERROR(
(MEDIAN((IF(DATOS_[[Sexo]:[Sexo]]=$B50,IF(DATOS_[[AGRUP. CLAS. PROF.]:[AGRUP. CLAS. PROF.]]=$B48,IF(DATOS_[[Check Periodo Ref.]:[Check Periodo Ref.]]="Dentro",IF(DATOS_[[Check Equiparado]:[Check Equiparado]]="Sí",IF(DATOS!AG$5="Sí",(1/DATOS_[[% anualiz]:[% anualiz]]),1)*IF(DATOS!AG$4="Sí",1/DATOS_[[% normaliz]:[% normaliz]],1)*(DATOS_[Conc.Sal.03])))))))),
0)</f>
        <v>0</v>
      </c>
      <c r="M50" s="196">
        <f t="array" ref="M50">IFERROR(
(MEDIAN((IF(DATOS_[[Sexo]:[Sexo]]=$B50,IF(DATOS_[[AGRUP. CLAS. PROF.]:[AGRUP. CLAS. PROF.]]=$B48,IF(DATOS_[[Check Periodo Ref.]:[Check Periodo Ref.]]="Dentro",IF(DATOS_[[Check Equiparado]:[Check Equiparado]]="Sí",IF(DATOS!AH$5="Sí",(1/DATOS_[[% anualiz]:[% anualiz]]),1)*IF(DATOS!AH$4="Sí",1/DATOS_[[% normaliz]:[% normaliz]],1)*(DATOS_[Conc.Sal.04])))))))),
0)</f>
        <v>0</v>
      </c>
      <c r="N50" s="196">
        <f t="array" ref="N50">IFERROR(
(MEDIAN((IF(DATOS_[[Sexo]:[Sexo]]=$B50,IF(DATOS_[[AGRUP. CLAS. PROF.]:[AGRUP. CLAS. PROF.]]=$B48,IF(DATOS_[[Check Periodo Ref.]:[Check Periodo Ref.]]="Dentro",IF(DATOS_[[Check Equiparado]:[Check Equiparado]]="Sí",IF(DATOS!AI$5="Sí",(1/DATOS_[[% anualiz]:[% anualiz]]),1)*IF(DATOS!AI$4="Sí",1/DATOS_[[% normaliz]:[% normaliz]],1)*(DATOS_[Conc.Sal.05])))))))),
0)</f>
        <v>0</v>
      </c>
      <c r="O50" s="196">
        <f t="array" ref="O50">IFERROR(
(MEDIAN((IF(DATOS_[[Sexo]:[Sexo]]=$B50,IF(DATOS_[[AGRUP. CLAS. PROF.]:[AGRUP. CLAS. PROF.]]=$B48,IF(DATOS_[[Check Periodo Ref.]:[Check Periodo Ref.]]="Dentro",IF(DATOS_[[Check Equiparado]:[Check Equiparado]]="Sí",IF(DATOS!AJ$5="Sí",(1/DATOS_[[% anualiz]:[% anualiz]]),1)*IF(DATOS!AJ$4="Sí",1/DATOS_[[% normaliz]:[% normaliz]],1)*(DATOS_[Conc.Sal.06])))))))),
0)</f>
        <v>0</v>
      </c>
      <c r="P50" s="196">
        <f t="array" ref="P50">IFERROR(
(MEDIAN((IF(DATOS_[[Sexo]:[Sexo]]=$B50,IF(DATOS_[[AGRUP. CLAS. PROF.]:[AGRUP. CLAS. PROF.]]=$B48,IF(DATOS_[[Check Periodo Ref.]:[Check Periodo Ref.]]="Dentro",IF(DATOS_[[Check Equiparado]:[Check Equiparado]]="Sí",IF(DATOS!AK$5="Sí",(1/DATOS_[[% anualiz]:[% anualiz]]),1)*IF(DATOS!AK$4="Sí",1/DATOS_[[% normaliz]:[% normaliz]],1)*(DATOS_[Conc.Sal.07])))))))),
0)</f>
        <v>0</v>
      </c>
      <c r="Q50" s="196">
        <f t="array" ref="Q50">IFERROR(
(MEDIAN((IF(DATOS_[[Sexo]:[Sexo]]=$B50,IF(DATOS_[[AGRUP. CLAS. PROF.]:[AGRUP. CLAS. PROF.]]=$B48,IF(DATOS_[[Check Periodo Ref.]:[Check Periodo Ref.]]="Dentro",IF(DATOS_[[Check Equiparado]:[Check Equiparado]]="Sí",IF(DATOS!AL$5="Sí",(1/DATOS_[[% anualiz]:[% anualiz]]),1)*IF(DATOS!AL$4="Sí",1/DATOS_[[% normaliz]:[% normaliz]],1)*(DATOS_[Conc.Sal.08])))))))),
0)</f>
        <v>0</v>
      </c>
      <c r="R50" s="196">
        <f t="array" ref="R50">IFERROR(
(MEDIAN((IF(DATOS_[[Sexo]:[Sexo]]=$B50,IF(DATOS_[[AGRUP. CLAS. PROF.]:[AGRUP. CLAS. PROF.]]=$B48,IF(DATOS_[[Check Periodo Ref.]:[Check Periodo Ref.]]="Dentro",IF(DATOS_[[Check Equiparado]:[Check Equiparado]]="Sí",IF(DATOS!AM$5="Sí",(1/DATOS_[[% anualiz]:[% anualiz]]),1)*IF(DATOS!AM$4="Sí",1/DATOS_[[% normaliz]:[% normaliz]],1)*(DATOS_[Conc.Sal.09])))))))),
0)</f>
        <v>0</v>
      </c>
      <c r="S50" s="196">
        <f t="array" ref="S50">IFERROR(
(MEDIAN((IF(DATOS_[[Sexo]:[Sexo]]=$B50,IF(DATOS_[[AGRUP. CLAS. PROF.]:[AGRUP. CLAS. PROF.]]=$B48,IF(DATOS_[[Check Periodo Ref.]:[Check Periodo Ref.]]="Dentro",IF(DATOS_[[Check Equiparado]:[Check Equiparado]]="Sí",IF(DATOS!AN$5="Sí",(1/DATOS_[[% anualiz]:[% anualiz]]),1)*IF(DATOS!AN$4="Sí",1/DATOS_[[% normaliz]:[% normaliz]],1)*(DATOS_[Conc.Sal.10])))))))),
0)</f>
        <v>0</v>
      </c>
      <c r="T50" s="196">
        <f t="array" ref="T50">IFERROR(
(MEDIAN((IF(DATOS_[[Sexo]:[Sexo]]=$B50,IF(DATOS_[[AGRUP. CLAS. PROF.]:[AGRUP. CLAS. PROF.]]=$B48,IF(DATOS_[[Check Periodo Ref.]:[Check Periodo Ref.]]="Dentro",IF(DATOS_[[Check Equiparado]:[Check Equiparado]]="Sí",IF(DATOS!AO$5="Sí",(1/DATOS_[[% anualiz]:[% anualiz]]),1)*IF(DATOS!AO$4="Sí",1/DATOS_[[% normaliz]:[% normaliz]],1)*(DATOS_[Conc.Sal.11])))))))),
0)</f>
        <v>0</v>
      </c>
      <c r="U50" s="196">
        <f t="array" ref="U50">IFERROR(
(MEDIAN((IF(DATOS_[[Sexo]:[Sexo]]=$B50,IF(DATOS_[[AGRUP. CLAS. PROF.]:[AGRUP. CLAS. PROF.]]=$B48,IF(DATOS_[[Check Periodo Ref.]:[Check Periodo Ref.]]="Dentro",IF(DATOS_[[Check Equiparado]:[Check Equiparado]]="Sí",IF(DATOS!AP$5="Sí",(1/DATOS_[[% anualiz]:[% anualiz]]),1)*IF(DATOS!AP$4="Sí",1/DATOS_[[% normaliz]:[% normaliz]],1)*(DATOS_[Conc.Sal.12])))))))),
0)</f>
        <v>0</v>
      </c>
      <c r="V50" s="196">
        <f t="array" ref="V50">IFERROR(
(MEDIAN((IF(DATOS_[[Sexo]:[Sexo]]=$B50,IF(DATOS_[[AGRUP. CLAS. PROF.]:[AGRUP. CLAS. PROF.]]=$B48,IF(DATOS_[[Check Periodo Ref.]:[Check Periodo Ref.]]="Dentro",IF(DATOS_[[Check Equiparado]:[Check Equiparado]]="Sí",IF(DATOS!AQ$5="Sí",(1/DATOS_[[% anualiz]:[% anualiz]]),1)*IF(DATOS!AQ$4="Sí",1/DATOS_[[% normaliz]:[% normaliz]],1)*(DATOS_[Conc.Sal.13])))))))),
0)</f>
        <v>0</v>
      </c>
      <c r="W50" s="196">
        <f t="array" ref="W50">IFERROR(
(MEDIAN((IF(DATOS_[[Sexo]:[Sexo]]=$B50,IF(DATOS_[[AGRUP. CLAS. PROF.]:[AGRUP. CLAS. PROF.]]=$B48,IF(DATOS_[[Check Periodo Ref.]:[Check Periodo Ref.]]="Dentro",IF(DATOS_[[Check Equiparado]:[Check Equiparado]]="Sí",IF(DATOS!AR$5="Sí",(1/DATOS_[[% anualiz]:[% anualiz]]),1)*IF(DATOS!AR$4="Sí",1/DATOS_[[% normaliz]:[% normaliz]],1)*(DATOS_[Conc.Sal.14])))))))),
0)</f>
        <v>0</v>
      </c>
      <c r="X50" s="196">
        <f t="array" ref="X50">IFERROR(
(MEDIAN((IF(DATOS_[[Sexo]:[Sexo]]=$B50,IF(DATOS_[[AGRUP. CLAS. PROF.]:[AGRUP. CLAS. PROF.]]=$B48,IF(DATOS_[[Check Periodo Ref.]:[Check Periodo Ref.]]="Dentro",IF(DATOS_[[Check Equiparado]:[Check Equiparado]]="Sí",IF(DATOS!AS$5="Sí",(1/DATOS_[[% anualiz]:[% anualiz]]),1)*IF(DATOS!AS$4="Sí",1/DATOS_[[% normaliz]:[% normaliz]],1)*(DATOS_[Conc.Sal.15])))))))),
0)</f>
        <v>0</v>
      </c>
      <c r="Y50" s="196">
        <f t="array" ref="Y50">IFERROR(
(MEDIAN((IF(DATOS_[[Sexo]:[Sexo]]=$B50,IF(DATOS_[[AGRUP. CLAS. PROF.]:[AGRUP. CLAS. PROF.]]=$B48,IF(DATOS_[[Check Periodo Ref.]:[Check Periodo Ref.]]="Dentro",IF(DATOS_[[Check Equiparado]:[Check Equiparado]]="Sí",IF(DATOS!AT$5="Sí",(1/DATOS_[[% anualiz]:[% anualiz]]),1)*IF(DATOS!AT$4="Sí",1/DATOS_[[% normaliz]:[% normaliz]],1)*(DATOS_[Conc.Sal.16])))))))),
0)</f>
        <v>0</v>
      </c>
      <c r="Z50" s="196">
        <f t="array" ref="Z50">IFERROR(
(MEDIAN((IF(DATOS_[[Sexo]:[Sexo]]=$B50,IF(DATOS_[[AGRUP. CLAS. PROF.]:[AGRUP. CLAS. PROF.]]=$B48,IF(DATOS_[[Check Periodo Ref.]:[Check Periodo Ref.]]="Dentro",IF(DATOS_[[Check Equiparado]:[Check Equiparado]]="Sí",IF(DATOS!AU$5="Sí",(1/DATOS_[[% anualiz]:[% anualiz]]),1)*IF(DATOS!AU$4="Sí",1/DATOS_[[% normaliz]:[% normaliz]],1)*(DATOS_[Conc.Sal.17])))))))),
0)</f>
        <v>0</v>
      </c>
      <c r="AA50" s="196">
        <f t="array" ref="AA50">IFERROR(
(MEDIAN((IF(DATOS_[[Sexo]:[Sexo]]=$B50,IF(DATOS_[[AGRUP. CLAS. PROF.]:[AGRUP. CLAS. PROF.]]=$B48,IF(DATOS_[[Check Periodo Ref.]:[Check Periodo Ref.]]="Dentro",IF(DATOS_[[Check Equiparado]:[Check Equiparado]]="Sí",IF(DATOS!AV$5="Sí",(1/DATOS_[[% anualiz]:[% anualiz]]),1)*IF(DATOS!AV$4="Sí",1/DATOS_[[% normaliz]:[% normaliz]],1)*(DATOS_[Conc.Sal.18])))))))),
0)</f>
        <v>0</v>
      </c>
      <c r="AB50" s="196">
        <f t="array" ref="AB50">IFERROR(
(MEDIAN((IF(DATOS_[[Sexo]:[Sexo]]=$B50,IF(DATOS_[[AGRUP. CLAS. PROF.]:[AGRUP. CLAS. PROF.]]=$B48,IF(DATOS_[[Check Periodo Ref.]:[Check Periodo Ref.]]="Dentro",IF(DATOS_[[Check Equiparado]:[Check Equiparado]]="Sí",IF(DATOS!AW$5="Sí",(1/DATOS_[[% anualiz]:[% anualiz]]),1)*IF(DATOS!AW$4="Sí",1/DATOS_[[% normaliz]:[% normaliz]],1)*(DATOS_[Conc.Sal.19])))))))),
0)</f>
        <v>0</v>
      </c>
      <c r="AC50" s="196">
        <f t="array" ref="AC50">IFERROR(
(MEDIAN((IF(DATOS_[[Sexo]:[Sexo]]=$B50,IF(DATOS_[[AGRUP. CLAS. PROF.]:[AGRUP. CLAS. PROF.]]=$B48,IF(DATOS_[[Check Periodo Ref.]:[Check Periodo Ref.]]="Dentro",IF(DATOS_[[Check Equiparado]:[Check Equiparado]]="Sí",IF(DATOS!AX$5="Sí",(1/DATOS_[[% anualiz]:[% anualiz]]),1)*IF(DATOS!AX$4="Sí",1/DATOS_[[% normaliz]:[% normaliz]],1)*(DATOS_[Conc.Sal.20])))))))),
0)</f>
        <v>0</v>
      </c>
      <c r="AD50" s="196">
        <f t="array" ref="AD50">IFERROR(
(MEDIAN((IF(DATOS_[[Sexo]:[Sexo]]=$B50,IF(DATOS_[[AGRUP. CLAS. PROF.]:[AGRUP. CLAS. PROF.]]=$B48,IF(DATOS_[[Check Periodo Ref.]:[Check Periodo Ref.]]="Dentro",IF(DATOS_[[Check Equiparado]:[Check Equiparado]]="Sí",IF(DATOS!AY$5="Sí",(1/DATOS_[[% anualiz]:[% anualiz]]),1)*IF(DATOS!AY$4="Sí",1/DATOS_[[% normaliz]:[% normaliz]],1)*(DATOS_[Conc.Sal.21])))))))),
0)</f>
        <v>0</v>
      </c>
      <c r="AE50" s="196">
        <f t="array" ref="AE50">IFERROR(
(MEDIAN((IF(DATOS_[[Sexo]:[Sexo]]=$B50,IF(DATOS_[[AGRUP. CLAS. PROF.]:[AGRUP. CLAS. PROF.]]=$B48,IF(DATOS_[[Check Periodo Ref.]:[Check Periodo Ref.]]="Dentro",IF(DATOS_[[Check Equiparado]:[Check Equiparado]]="Sí",IF(DATOS!AZ$5="Sí",(1/DATOS_[[% anualiz]:[% anualiz]]),1)*IF(DATOS!AZ$4="Sí",1/DATOS_[[% normaliz]:[% normaliz]],1)*(DATOS_[Conc.Sal.22])))))))),
0)</f>
        <v>0</v>
      </c>
      <c r="AF50" s="196">
        <f t="array" ref="AF50">IFERROR(
(MEDIAN((IF(DATOS_[[Sexo]:[Sexo]]=$B50,IF(DATOS_[[AGRUP. CLAS. PROF.]:[AGRUP. CLAS. PROF.]]=$B48,IF(DATOS_[[Check Periodo Ref.]:[Check Periodo Ref.]]="Dentro",IF(DATOS_[[Check Equiparado]:[Check Equiparado]]="Sí",IF(DATOS!BA$5="Sí",(1/DATOS_[[% anualiz]:[% anualiz]]),1)*IF(DATOS!BA$4="Sí",1/DATOS_[[% normaliz]:[% normaliz]],1)*(DATOS_[Conc.Sal.23])))))))),
0)</f>
        <v>0</v>
      </c>
      <c r="AG50" s="196">
        <f t="array" ref="AG50">IFERROR(
(MEDIAN((IF(DATOS_[[Sexo]:[Sexo]]=$B50,IF(DATOS_[[AGRUP. CLAS. PROF.]:[AGRUP. CLAS. PROF.]]=$B48,IF(DATOS_[[Check Periodo Ref.]:[Check Periodo Ref.]]="Dentro",IF(DATOS_[[Check Equiparado]:[Check Equiparado]]="Sí",IF(DATOS!BB$5="Sí",(1/DATOS_[[% anualiz]:[% anualiz]]),1)*IF(DATOS!BB$4="Sí",1/DATOS_[[% normaliz]:[% normaliz]],1)*(DATOS_[Conc.Sal.24])))))))),
0)</f>
        <v>0</v>
      </c>
      <c r="AH50" s="196">
        <f t="array" ref="AH50">IFERROR(
(MEDIAN((IF(DATOS_[[Sexo]:[Sexo]]=$B50,IF(DATOS_[[AGRUP. CLAS. PROF.]:[AGRUP. CLAS. PROF.]]=$B48,IF(DATOS_[[Check Periodo Ref.]:[Check Periodo Ref.]]="Dentro",IF(DATOS_[[Check Equiparado]:[Check Equiparado]]="Sí",IF(DATOS!BC$5="Sí",(1/DATOS_[[% anualiz]:[% anualiz]]),1)*IF(DATOS!BC$4="Sí",1/DATOS_[[% normaliz]:[% normaliz]],1)*(DATOS_[Conc.Sal.25])))))))),
0)</f>
        <v>0</v>
      </c>
      <c r="AI50" s="196">
        <f t="array" ref="AI50">IFERROR(
(MEDIAN((IF(DATOS_[[Sexo]:[Sexo]]=$B50,IF(DATOS_[[AGRUP. CLAS. PROF.]:[AGRUP. CLAS. PROF.]]=$B48,IF(DATOS_[[Check Periodo Ref.]:[Check Periodo Ref.]]="Dentro",IF(DATOS_[[Check Equiparado]:[Check Equiparado]]="Sí",IF(DATOS!BD$5="Sí",(1/DATOS_[[% anualiz]:[% anualiz]]),1)*IF(DATOS!BD$4="Sí",1/DATOS_[[% normaliz]:[% normaliz]],1)*(DATOS_[Conc.Sal.26])))))))),
0)</f>
        <v>0</v>
      </c>
      <c r="AJ50" s="196">
        <f t="array" ref="AJ50">IFERROR(
(MEDIAN((IF(DATOS_[[Sexo]:[Sexo]]=$B50,IF(DATOS_[[AGRUP. CLAS. PROF.]:[AGRUP. CLAS. PROF.]]=$B48,IF(DATOS_[[Check Periodo Ref.]:[Check Periodo Ref.]]="Dentro",IF(DATOS_[[Check Equiparado]:[Check Equiparado]]="Sí",IF(DATOS!BE$5="Sí",(1/DATOS_[[% anualiz]:[% anualiz]]),1)*IF(DATOS!BE$4="Sí",1/DATOS_[[% normaliz]:[% normaliz]],1)*(DATOS_[Conc.Sal.27])))))))),
0)</f>
        <v>0</v>
      </c>
      <c r="AK50" s="196">
        <f t="array" ref="AK50">IFERROR(
(MEDIAN((IF(DATOS_[[Sexo]:[Sexo]]=$B50,IF(DATOS_[[AGRUP. CLAS. PROF.]:[AGRUP. CLAS. PROF.]]=$B48,IF(DATOS_[[Check Periodo Ref.]:[Check Periodo Ref.]]="Dentro",IF(DATOS_[[Check Equiparado]:[Check Equiparado]]="Sí",IF(DATOS!BF$5="Sí",(1/DATOS_[[% anualiz]:[% anualiz]]),1)*IF(DATOS!BF$4="Sí",1/DATOS_[[% normaliz]:[% normaliz]],1)*(DATOS_[Conc.Sal.28])))))))),
0)</f>
        <v>0</v>
      </c>
      <c r="AL50" s="196">
        <f t="array" ref="AL50">IFERROR(
(MEDIAN((IF(DATOS_[[Sexo]:[Sexo]]=$B50,IF(DATOS_[[AGRUP. CLAS. PROF.]:[AGRUP. CLAS. PROF.]]=$B48,IF(DATOS_[[Check Periodo Ref.]:[Check Periodo Ref.]]="Dentro",IF(DATOS_[[Check Equiparado]:[Check Equiparado]]="Sí",IF(DATOS!BG$5="Sí",(1/DATOS_[[% anualiz]:[% anualiz]]),1)*IF(DATOS!BG$4="Sí",1/DATOS_[[% normaliz]:[% normaliz]],1)*(DATOS_[Conc.Sal.29])))))))),
0)</f>
        <v>0</v>
      </c>
      <c r="AM50" s="196">
        <f t="array" ref="AM50">IFERROR(
(MEDIAN((IF(DATOS_[[Sexo]:[Sexo]]=$B50,IF(DATOS_[[AGRUP. CLAS. PROF.]:[AGRUP. CLAS. PROF.]]=$B48,IF(DATOS_[[Check Periodo Ref.]:[Check Periodo Ref.]]="Dentro",IF(DATOS_[[Check Equiparado]:[Check Equiparado]]="Sí",IF(DATOS!BH$5="Sí",(1/DATOS_[[% anualiz]:[% anualiz]]),1)*IF(DATOS!BH$4="Sí",1/DATOS_[[% normaliz]:[% normaliz]],1)*(DATOS_[Conc.Sal.30])))))))),
0)</f>
        <v>0</v>
      </c>
      <c r="AN50" s="195">
        <f t="array" ref="AN50">IFERROR(
MEDIAN(IF(DATOS_[Sexo]=$B50,IF(DATOS_[[AGRUP. CLAS. PROF.]:[AGRUP. CLAS. PROF.]]=$B48,IF(DATOS_[Check Equiparado]="Sí",IF(DATOS_[Check Periodo Ref.]="Dentro",DATOS_[Tot COMPL.SAL Eq],FALSE))))),
0)</f>
        <v>0</v>
      </c>
      <c r="AO50" s="172">
        <f t="array" ref="AO50">IFERROR(
MEDIAN(IF(DATOS_[Sexo]=$B50,IF(DATOS_[[AGRUP. CLAS. PROF.]:[AGRUP. CLAS. PROF.]]=$B48,IF(DATOS_[Check Equiparado]="Sí",IF(DATOS_[Check Periodo Ref.]="Dentro",DATOS_[TOTAL SALARIO Eq],FALSE))))),
0)</f>
        <v>0</v>
      </c>
      <c r="AP50" s="173">
        <f t="array" ref="AP50">IFERROR(
(MEDIAN((IF(DATOS_[[Sexo]:[Sexo]]=$B50,IF(DATOS_[[AGRUP. CLAS. PROF.]:[AGRUP. CLAS. PROF.]]=$B48,IF(DATOS_[[Check Periodo Ref.]:[Check Periodo Ref.]]="Dentro",IF(DATOS_[[Check Equiparado]:[Check Equiparado]]="Sí",IF(DATOS!BW$5="Sí",(1/DATOS_[[% anualiz]:[% anualiz]]),1)*IF(DATOS!BW$4="Sí",1/DATOS_[[% normaliz]:[% normaliz]],1)*(DATOS_[C.Extra.01])))))))),
0)</f>
        <v>0</v>
      </c>
      <c r="AQ50" s="173">
        <f t="array" ref="AQ50">IFERROR(
(MEDIAN((IF(DATOS_[[Sexo]:[Sexo]]=$B50,IF(DATOS_[[AGRUP. CLAS. PROF.]:[AGRUP. CLAS. PROF.]]=$B48,IF(DATOS_[[Check Periodo Ref.]:[Check Periodo Ref.]]="Dentro",IF(DATOS_[[Check Equiparado]:[Check Equiparado]]="Sí",IF(DATOS!CB$5="Sí",(1/DATOS_[[% anualiz]:[% anualiz]]),1)*IF(DATOS!CB$4="Sí",1/DATOS_[[% normaliz]:[% normaliz]],1)*(DATOS_[C.Extra.06])))))))),
0)</f>
        <v>0</v>
      </c>
      <c r="AR50" s="173">
        <f t="array" ref="AR50">IFERROR(
(MEDIAN((IF(DATOS_[[Sexo]:[Sexo]]=$B50,IF(DATOS_[[AGRUP. CLAS. PROF.]:[AGRUP. CLAS. PROF.]]=$B48,IF(DATOS_[[Check Periodo Ref.]:[Check Periodo Ref.]]="Dentro",IF(DATOS_[[Check Equiparado]:[Check Equiparado]]="Sí",IF(DATOS!CC$5="Sí",(1/DATOS_[[% anualiz]:[% anualiz]]),1)*IF(DATOS!CC$4="Sí",1/DATOS_[[% normaliz]:[% normaliz]],1)*(DATOS_[C.Extra.07])))))))),
0)</f>
        <v>0</v>
      </c>
      <c r="AS50" s="173">
        <f t="array" ref="AS50">IFERROR(
(MEDIAN((IF(DATOS_[[Sexo]:[Sexo]]=$B50,IF(DATOS_[[AGRUP. CLAS. PROF.]:[AGRUP. CLAS. PROF.]]=$B48,IF(DATOS_[[Check Periodo Ref.]:[Check Periodo Ref.]]="Dentro",IF(DATOS_[[Check Equiparado]:[Check Equiparado]]="Sí",IF(DATOS!CD$5="Sí",(1/DATOS_[[% anualiz]:[% anualiz]]),1)*IF(DATOS!CD$4="Sí",1/DATOS_[[% normaliz]:[% normaliz]],1)*(DATOS_[C.Extra.08])))))))),
0)</f>
        <v>0</v>
      </c>
      <c r="AT50" s="173">
        <f t="array" ref="AT50">IFERROR(
(MEDIAN((IF(DATOS_[[Sexo]:[Sexo]]=$B50,IF(DATOS_[[AGRUP. CLAS. PROF.]:[AGRUP. CLAS. PROF.]]=$B48,IF(DATOS_[[Check Periodo Ref.]:[Check Periodo Ref.]]="Dentro",IF(DATOS_[[Check Equiparado]:[Check Equiparado]]="Sí",IF(DATOS!CG$5="Sí",(1/DATOS_[[% anualiz]:[% anualiz]]),1)*IF(DATOS!CG$4="Sí",1/DATOS_[[% normaliz]:[% normaliz]],1)*(DATOS_[C.Extra.11])))))))),
0)</f>
        <v>0</v>
      </c>
      <c r="AU50" s="197">
        <f t="array" ref="AU50">IFERROR(
MEDIAN(IF(DATOS_[Sexo]=$B50,IF(DATOS_[[AGRUP. CLAS. PROF.]:[AGRUP. CLAS. PROF.]]=$B48,IF(DATOS_[Check Equiparado]="Sí",IF(DATOS_[Check Periodo Ref.]="Dentro",DATOS_[Tot Extrasalarial Eq],FALSE))))),
0)</f>
        <v>0</v>
      </c>
      <c r="AV50" s="175">
        <f t="array" ref="AV50">IFERROR(
MEDIAN(IF(DATOS_[Sexo]=$B50,IF(DATOS_[[AGRUP. CLAS. PROF.]:[AGRUP. CLAS. PROF.]]=$B48,IF(DATOS_[Check Equiparado]="Sí",IF(DATOS_[Check Periodo Ref.]="Dentro",DATOS_[TOTAL Retrib Eq],FALSE))))),
0)</f>
        <v>0</v>
      </c>
    </row>
    <row r="51" spans="1:48" ht="15.6" hidden="1" thickBot="1" x14ac:dyDescent="0.3">
      <c r="A51" s="133" t="str">
        <f t="shared" ref="A51" si="51">+A52</f>
        <v>[ocultar]</v>
      </c>
      <c r="B51" s="199" t="s">
        <v>225</v>
      </c>
      <c r="C51" s="200"/>
      <c r="D51" s="201"/>
      <c r="E51" s="201"/>
      <c r="F51" s="201"/>
      <c r="G51" s="201"/>
      <c r="H51" s="201"/>
      <c r="I51" s="189" t="str">
        <f t="shared" ref="I51:AV51" si="52">IFERROR((I52-I53)/I52,"")</f>
        <v/>
      </c>
      <c r="J51" s="190" t="str">
        <f t="shared" si="52"/>
        <v/>
      </c>
      <c r="K51" s="191" t="str">
        <f t="shared" si="52"/>
        <v/>
      </c>
      <c r="L51" s="191" t="str">
        <f t="shared" si="52"/>
        <v/>
      </c>
      <c r="M51" s="191" t="str">
        <f t="shared" si="52"/>
        <v/>
      </c>
      <c r="N51" s="192" t="str">
        <f t="shared" si="52"/>
        <v/>
      </c>
      <c r="O51" s="193" t="str">
        <f t="shared" si="52"/>
        <v/>
      </c>
      <c r="P51" s="193" t="str">
        <f t="shared" si="52"/>
        <v/>
      </c>
      <c r="Q51" s="193" t="str">
        <f t="shared" si="52"/>
        <v/>
      </c>
      <c r="R51" s="193" t="str">
        <f t="shared" si="52"/>
        <v/>
      </c>
      <c r="S51" s="193" t="str">
        <f t="shared" si="52"/>
        <v/>
      </c>
      <c r="T51" s="193" t="str">
        <f t="shared" si="52"/>
        <v/>
      </c>
      <c r="U51" s="193" t="str">
        <f t="shared" si="52"/>
        <v/>
      </c>
      <c r="V51" s="193" t="str">
        <f t="shared" si="52"/>
        <v/>
      </c>
      <c r="W51" s="193" t="str">
        <f t="shared" si="52"/>
        <v/>
      </c>
      <c r="X51" s="193" t="str">
        <f t="shared" si="52"/>
        <v/>
      </c>
      <c r="Y51" s="193" t="str">
        <f t="shared" si="52"/>
        <v/>
      </c>
      <c r="Z51" s="193" t="str">
        <f t="shared" si="52"/>
        <v/>
      </c>
      <c r="AA51" s="193" t="str">
        <f t="shared" si="52"/>
        <v/>
      </c>
      <c r="AB51" s="193" t="str">
        <f t="shared" si="52"/>
        <v/>
      </c>
      <c r="AC51" s="193" t="str">
        <f t="shared" si="52"/>
        <v/>
      </c>
      <c r="AD51" s="193" t="str">
        <f t="shared" si="52"/>
        <v/>
      </c>
      <c r="AE51" s="193" t="str">
        <f t="shared" si="52"/>
        <v/>
      </c>
      <c r="AF51" s="193" t="str">
        <f t="shared" si="52"/>
        <v/>
      </c>
      <c r="AG51" s="193" t="str">
        <f t="shared" si="52"/>
        <v/>
      </c>
      <c r="AH51" s="193" t="str">
        <f t="shared" si="52"/>
        <v/>
      </c>
      <c r="AI51" s="193" t="str">
        <f t="shared" si="52"/>
        <v/>
      </c>
      <c r="AJ51" s="193" t="str">
        <f t="shared" si="52"/>
        <v/>
      </c>
      <c r="AK51" s="193" t="str">
        <f t="shared" si="52"/>
        <v/>
      </c>
      <c r="AL51" s="193" t="str">
        <f t="shared" si="52"/>
        <v/>
      </c>
      <c r="AM51" s="193" t="str">
        <f t="shared" si="52"/>
        <v/>
      </c>
      <c r="AN51" s="189" t="str">
        <f t="shared" si="52"/>
        <v/>
      </c>
      <c r="AO51" s="162" t="str">
        <f t="shared" si="52"/>
        <v/>
      </c>
      <c r="AP51" s="163" t="str">
        <f t="shared" si="52"/>
        <v/>
      </c>
      <c r="AQ51" s="163" t="str">
        <f t="shared" si="52"/>
        <v/>
      </c>
      <c r="AR51" s="163" t="str">
        <f t="shared" si="52"/>
        <v/>
      </c>
      <c r="AS51" s="163" t="str">
        <f t="shared" si="52"/>
        <v/>
      </c>
      <c r="AT51" s="163" t="str">
        <f t="shared" si="52"/>
        <v/>
      </c>
      <c r="AU51" s="194" t="str">
        <f t="shared" si="52"/>
        <v/>
      </c>
      <c r="AV51" s="165" t="str">
        <f t="shared" si="52"/>
        <v/>
      </c>
    </row>
    <row r="52" spans="1:48" hidden="1" x14ac:dyDescent="0.25">
      <c r="A52" s="133" t="str">
        <f t="shared" ref="A52" si="53">+IF(C52+C53=0,"[ocultar]","")</f>
        <v>[ocultar]</v>
      </c>
      <c r="B52" s="202" t="s">
        <v>394</v>
      </c>
      <c r="C52" s="203">
        <f t="array" ref="C52">SUM(IF($B52=DATOS_[Sexo],
IF($B51=DATOS_[AGRUP. CLAS. PROF.],
IF("Dentro"=DATOS_[Check Periodo Ref.],
1/(COUNTIFS(DATOS_[Sexo],$B52,DATOS_[AGRUP. CLAS. PROF.],$B51,DATOS_[Check Periodo Ref.],"Dentro",DATOS_[id/cod],DATOS_[id/cod]))))))</f>
        <v>0</v>
      </c>
      <c r="D52" s="204">
        <f>COUNTIFS(DATOS_[AGRUP. CLAS. PROF.],$B51,DATOS_[Sexo],$B52,DATOS_[Check Periodo Ref.],"Dentro")</f>
        <v>0</v>
      </c>
      <c r="E52" s="204">
        <f>COUNTIFS(DATOS_[AGRUP. CLAS. PROF.],$B51,DATOS_[Sexo],$B52,DATOS_[Check Periodo Ref.],"Dentro",DATOS_[Check Nº SC Norm],"Sí")</f>
        <v>0</v>
      </c>
      <c r="F52" s="204">
        <f>COUNTIFS(DATOS_[AGRUP. CLAS. PROF.],$B51,DATOS_[Sexo],$B52,DATOS_[Check Periodo Ref.],"Dentro",DATOS_[Check Nº SC Anualiz],"Sí")</f>
        <v>0</v>
      </c>
      <c r="G52" s="204">
        <f>COUNTIFS(DATOS_[AGRUP. CLAS. PROF.],$B51,DATOS_[Sexo],$B52,DATOS_[Check Periodo Ref.],"Dentro",DATOS_[Check Nº SC Norm y Anualiz],"Sí")</f>
        <v>0</v>
      </c>
      <c r="H52" s="204">
        <f>COUNTIFS(DATOS_[AGRUP. CLAS. PROF.],$B51,DATOS_[Sexo],$B52,DATOS_[Check Periodo Ref.],"Dentro",DATOS_[Check Equiparación],"Sí")</f>
        <v>0</v>
      </c>
      <c r="I52" s="195">
        <f t="array" ref="I52">IFERROR(
MEDIAN(IF(DATOS_[Sexo]=$B52,IF(DATOS_[[AGRUP. CLAS. PROF.]:[AGRUP. CLAS. PROF.]]=$B51,IF(DATOS_[Check Equiparado]="Sí",IF(DATOS_[Check Periodo Ref.]="Dentro",DATOS_[SALARIO BASE Eq],FALSE))))),
0)</f>
        <v>0</v>
      </c>
      <c r="J52" s="196">
        <f t="array" ref="J52">IFERROR(
(MEDIAN((IF(DATOS_[[Sexo]:[Sexo]]=$B52,IF(DATOS_[[AGRUP. CLAS. PROF.]:[AGRUP. CLAS. PROF.]]=$B51,IF(DATOS_[[Check Periodo Ref.]:[Check Periodo Ref.]]="Dentro",IF(DATOS_[[Check Equiparado]:[Check Equiparado]]="Sí",IF(DATOS!AE$5="Sí",(1/DATOS_[[% anualiz]:[% anualiz]]),1)*IF(DATOS!AE$4="Sí",1/DATOS_[[% normaliz]:[% normaliz]],1)*(DATOS_[Conc.Sal.01])))))))),
0)</f>
        <v>0</v>
      </c>
      <c r="K52" s="196">
        <f t="array" ref="K52">IFERROR(
(MEDIAN((IF(DATOS_[[Sexo]:[Sexo]]=$B52,IF(DATOS_[[AGRUP. CLAS. PROF.]:[AGRUP. CLAS. PROF.]]=$B51,IF(DATOS_[[Check Periodo Ref.]:[Check Periodo Ref.]]="Dentro",IF(DATOS_[[Check Equiparado]:[Check Equiparado]]="Sí",IF(DATOS!AF$5="Sí",(1/DATOS_[[% anualiz]:[% anualiz]]),1)*IF(DATOS!AF$4="Sí",1/DATOS_[[% normaliz]:[% normaliz]],1)*(DATOS_[Conc.Sal.02])))))))),
0)</f>
        <v>0</v>
      </c>
      <c r="L52" s="196">
        <f t="array" ref="L52">IFERROR(
(MEDIAN((IF(DATOS_[[Sexo]:[Sexo]]=$B52,IF(DATOS_[[AGRUP. CLAS. PROF.]:[AGRUP. CLAS. PROF.]]=$B51,IF(DATOS_[[Check Periodo Ref.]:[Check Periodo Ref.]]="Dentro",IF(DATOS_[[Check Equiparado]:[Check Equiparado]]="Sí",IF(DATOS!AG$5="Sí",(1/DATOS_[[% anualiz]:[% anualiz]]),1)*IF(DATOS!AG$4="Sí",1/DATOS_[[% normaliz]:[% normaliz]],1)*(DATOS_[Conc.Sal.03])))))))),
0)</f>
        <v>0</v>
      </c>
      <c r="M52" s="196">
        <f t="array" ref="M52">IFERROR(
(MEDIAN((IF(DATOS_[[Sexo]:[Sexo]]=$B52,IF(DATOS_[[AGRUP. CLAS. PROF.]:[AGRUP. CLAS. PROF.]]=$B51,IF(DATOS_[[Check Periodo Ref.]:[Check Periodo Ref.]]="Dentro",IF(DATOS_[[Check Equiparado]:[Check Equiparado]]="Sí",IF(DATOS!AH$5="Sí",(1/DATOS_[[% anualiz]:[% anualiz]]),1)*IF(DATOS!AH$4="Sí",1/DATOS_[[% normaliz]:[% normaliz]],1)*(DATOS_[Conc.Sal.04])))))))),
0)</f>
        <v>0</v>
      </c>
      <c r="N52" s="196">
        <f t="array" ref="N52">IFERROR(
(MEDIAN((IF(DATOS_[[Sexo]:[Sexo]]=$B52,IF(DATOS_[[AGRUP. CLAS. PROF.]:[AGRUP. CLAS. PROF.]]=$B51,IF(DATOS_[[Check Periodo Ref.]:[Check Periodo Ref.]]="Dentro",IF(DATOS_[[Check Equiparado]:[Check Equiparado]]="Sí",IF(DATOS!AI$5="Sí",(1/DATOS_[[% anualiz]:[% anualiz]]),1)*IF(DATOS!AI$4="Sí",1/DATOS_[[% normaliz]:[% normaliz]],1)*(DATOS_[Conc.Sal.05])))))))),
0)</f>
        <v>0</v>
      </c>
      <c r="O52" s="196">
        <f t="array" ref="O52">IFERROR(
(MEDIAN((IF(DATOS_[[Sexo]:[Sexo]]=$B52,IF(DATOS_[[AGRUP. CLAS. PROF.]:[AGRUP. CLAS. PROF.]]=$B51,IF(DATOS_[[Check Periodo Ref.]:[Check Periodo Ref.]]="Dentro",IF(DATOS_[[Check Equiparado]:[Check Equiparado]]="Sí",IF(DATOS!AJ$5="Sí",(1/DATOS_[[% anualiz]:[% anualiz]]),1)*IF(DATOS!AJ$4="Sí",1/DATOS_[[% normaliz]:[% normaliz]],1)*(DATOS_[Conc.Sal.06])))))))),
0)</f>
        <v>0</v>
      </c>
      <c r="P52" s="196">
        <f t="array" ref="P52">IFERROR(
(MEDIAN((IF(DATOS_[[Sexo]:[Sexo]]=$B52,IF(DATOS_[[AGRUP. CLAS. PROF.]:[AGRUP. CLAS. PROF.]]=$B51,IF(DATOS_[[Check Periodo Ref.]:[Check Periodo Ref.]]="Dentro",IF(DATOS_[[Check Equiparado]:[Check Equiparado]]="Sí",IF(DATOS!AK$5="Sí",(1/DATOS_[[% anualiz]:[% anualiz]]),1)*IF(DATOS!AK$4="Sí",1/DATOS_[[% normaliz]:[% normaliz]],1)*(DATOS_[Conc.Sal.07])))))))),
0)</f>
        <v>0</v>
      </c>
      <c r="Q52" s="196">
        <f t="array" ref="Q52">IFERROR(
(MEDIAN((IF(DATOS_[[Sexo]:[Sexo]]=$B52,IF(DATOS_[[AGRUP. CLAS. PROF.]:[AGRUP. CLAS. PROF.]]=$B51,IF(DATOS_[[Check Periodo Ref.]:[Check Periodo Ref.]]="Dentro",IF(DATOS_[[Check Equiparado]:[Check Equiparado]]="Sí",IF(DATOS!AL$5="Sí",(1/DATOS_[[% anualiz]:[% anualiz]]),1)*IF(DATOS!AL$4="Sí",1/DATOS_[[% normaliz]:[% normaliz]],1)*(DATOS_[Conc.Sal.08])))))))),
0)</f>
        <v>0</v>
      </c>
      <c r="R52" s="196">
        <f t="array" ref="R52">IFERROR(
(MEDIAN((IF(DATOS_[[Sexo]:[Sexo]]=$B52,IF(DATOS_[[AGRUP. CLAS. PROF.]:[AGRUP. CLAS. PROF.]]=$B51,IF(DATOS_[[Check Periodo Ref.]:[Check Periodo Ref.]]="Dentro",IF(DATOS_[[Check Equiparado]:[Check Equiparado]]="Sí",IF(DATOS!AM$5="Sí",(1/DATOS_[[% anualiz]:[% anualiz]]),1)*IF(DATOS!AM$4="Sí",1/DATOS_[[% normaliz]:[% normaliz]],1)*(DATOS_[Conc.Sal.09])))))))),
0)</f>
        <v>0</v>
      </c>
      <c r="S52" s="196">
        <f t="array" ref="S52">IFERROR(
(MEDIAN((IF(DATOS_[[Sexo]:[Sexo]]=$B52,IF(DATOS_[[AGRUP. CLAS. PROF.]:[AGRUP. CLAS. PROF.]]=$B51,IF(DATOS_[[Check Periodo Ref.]:[Check Periodo Ref.]]="Dentro",IF(DATOS_[[Check Equiparado]:[Check Equiparado]]="Sí",IF(DATOS!AN$5="Sí",(1/DATOS_[[% anualiz]:[% anualiz]]),1)*IF(DATOS!AN$4="Sí",1/DATOS_[[% normaliz]:[% normaliz]],1)*(DATOS_[Conc.Sal.10])))))))),
0)</f>
        <v>0</v>
      </c>
      <c r="T52" s="196">
        <f t="array" ref="T52">IFERROR(
(MEDIAN((IF(DATOS_[[Sexo]:[Sexo]]=$B52,IF(DATOS_[[AGRUP. CLAS. PROF.]:[AGRUP. CLAS. PROF.]]=$B51,IF(DATOS_[[Check Periodo Ref.]:[Check Periodo Ref.]]="Dentro",IF(DATOS_[[Check Equiparado]:[Check Equiparado]]="Sí",IF(DATOS!AO$5="Sí",(1/DATOS_[[% anualiz]:[% anualiz]]),1)*IF(DATOS!AO$4="Sí",1/DATOS_[[% normaliz]:[% normaliz]],1)*(DATOS_[Conc.Sal.11])))))))),
0)</f>
        <v>0</v>
      </c>
      <c r="U52" s="196">
        <f t="array" ref="U52">IFERROR(
(MEDIAN((IF(DATOS_[[Sexo]:[Sexo]]=$B52,IF(DATOS_[[AGRUP. CLAS. PROF.]:[AGRUP. CLAS. PROF.]]=$B51,IF(DATOS_[[Check Periodo Ref.]:[Check Periodo Ref.]]="Dentro",IF(DATOS_[[Check Equiparado]:[Check Equiparado]]="Sí",IF(DATOS!AP$5="Sí",(1/DATOS_[[% anualiz]:[% anualiz]]),1)*IF(DATOS!AP$4="Sí",1/DATOS_[[% normaliz]:[% normaliz]],1)*(DATOS_[Conc.Sal.12])))))))),
0)</f>
        <v>0</v>
      </c>
      <c r="V52" s="196">
        <f t="array" ref="V52">IFERROR(
(MEDIAN((IF(DATOS_[[Sexo]:[Sexo]]=$B52,IF(DATOS_[[AGRUP. CLAS. PROF.]:[AGRUP. CLAS. PROF.]]=$B51,IF(DATOS_[[Check Periodo Ref.]:[Check Periodo Ref.]]="Dentro",IF(DATOS_[[Check Equiparado]:[Check Equiparado]]="Sí",IF(DATOS!AQ$5="Sí",(1/DATOS_[[% anualiz]:[% anualiz]]),1)*IF(DATOS!AQ$4="Sí",1/DATOS_[[% normaliz]:[% normaliz]],1)*(DATOS_[Conc.Sal.13])))))))),
0)</f>
        <v>0</v>
      </c>
      <c r="W52" s="196">
        <f t="array" ref="W52">IFERROR(
(MEDIAN((IF(DATOS_[[Sexo]:[Sexo]]=$B52,IF(DATOS_[[AGRUP. CLAS. PROF.]:[AGRUP. CLAS. PROF.]]=$B51,IF(DATOS_[[Check Periodo Ref.]:[Check Periodo Ref.]]="Dentro",IF(DATOS_[[Check Equiparado]:[Check Equiparado]]="Sí",IF(DATOS!AR$5="Sí",(1/DATOS_[[% anualiz]:[% anualiz]]),1)*IF(DATOS!AR$4="Sí",1/DATOS_[[% normaliz]:[% normaliz]],1)*(DATOS_[Conc.Sal.14])))))))),
0)</f>
        <v>0</v>
      </c>
      <c r="X52" s="196">
        <f t="array" ref="X52">IFERROR(
(MEDIAN((IF(DATOS_[[Sexo]:[Sexo]]=$B52,IF(DATOS_[[AGRUP. CLAS. PROF.]:[AGRUP. CLAS. PROF.]]=$B51,IF(DATOS_[[Check Periodo Ref.]:[Check Periodo Ref.]]="Dentro",IF(DATOS_[[Check Equiparado]:[Check Equiparado]]="Sí",IF(DATOS!AS$5="Sí",(1/DATOS_[[% anualiz]:[% anualiz]]),1)*IF(DATOS!AS$4="Sí",1/DATOS_[[% normaliz]:[% normaliz]],1)*(DATOS_[Conc.Sal.15])))))))),
0)</f>
        <v>0</v>
      </c>
      <c r="Y52" s="196">
        <f t="array" ref="Y52">IFERROR(
(MEDIAN((IF(DATOS_[[Sexo]:[Sexo]]=$B52,IF(DATOS_[[AGRUP. CLAS. PROF.]:[AGRUP. CLAS. PROF.]]=$B51,IF(DATOS_[[Check Periodo Ref.]:[Check Periodo Ref.]]="Dentro",IF(DATOS_[[Check Equiparado]:[Check Equiparado]]="Sí",IF(DATOS!AT$5="Sí",(1/DATOS_[[% anualiz]:[% anualiz]]),1)*IF(DATOS!AT$4="Sí",1/DATOS_[[% normaliz]:[% normaliz]],1)*(DATOS_[Conc.Sal.16])))))))),
0)</f>
        <v>0</v>
      </c>
      <c r="Z52" s="196">
        <f t="array" ref="Z52">IFERROR(
(MEDIAN((IF(DATOS_[[Sexo]:[Sexo]]=$B52,IF(DATOS_[[AGRUP. CLAS. PROF.]:[AGRUP. CLAS. PROF.]]=$B51,IF(DATOS_[[Check Periodo Ref.]:[Check Periodo Ref.]]="Dentro",IF(DATOS_[[Check Equiparado]:[Check Equiparado]]="Sí",IF(DATOS!AU$5="Sí",(1/DATOS_[[% anualiz]:[% anualiz]]),1)*IF(DATOS!AU$4="Sí",1/DATOS_[[% normaliz]:[% normaliz]],1)*(DATOS_[Conc.Sal.17])))))))),
0)</f>
        <v>0</v>
      </c>
      <c r="AA52" s="196">
        <f t="array" ref="AA52">IFERROR(
(MEDIAN((IF(DATOS_[[Sexo]:[Sexo]]=$B52,IF(DATOS_[[AGRUP. CLAS. PROF.]:[AGRUP. CLAS. PROF.]]=$B51,IF(DATOS_[[Check Periodo Ref.]:[Check Periodo Ref.]]="Dentro",IF(DATOS_[[Check Equiparado]:[Check Equiparado]]="Sí",IF(DATOS!AV$5="Sí",(1/DATOS_[[% anualiz]:[% anualiz]]),1)*IF(DATOS!AV$4="Sí",1/DATOS_[[% normaliz]:[% normaliz]],1)*(DATOS_[Conc.Sal.18])))))))),
0)</f>
        <v>0</v>
      </c>
      <c r="AB52" s="196">
        <f t="array" ref="AB52">IFERROR(
(MEDIAN((IF(DATOS_[[Sexo]:[Sexo]]=$B52,IF(DATOS_[[AGRUP. CLAS. PROF.]:[AGRUP. CLAS. PROF.]]=$B51,IF(DATOS_[[Check Periodo Ref.]:[Check Periodo Ref.]]="Dentro",IF(DATOS_[[Check Equiparado]:[Check Equiparado]]="Sí",IF(DATOS!AW$5="Sí",(1/DATOS_[[% anualiz]:[% anualiz]]),1)*IF(DATOS!AW$4="Sí",1/DATOS_[[% normaliz]:[% normaliz]],1)*(DATOS_[Conc.Sal.19])))))))),
0)</f>
        <v>0</v>
      </c>
      <c r="AC52" s="196">
        <f t="array" ref="AC52">IFERROR(
(MEDIAN((IF(DATOS_[[Sexo]:[Sexo]]=$B52,IF(DATOS_[[AGRUP. CLAS. PROF.]:[AGRUP. CLAS. PROF.]]=$B51,IF(DATOS_[[Check Periodo Ref.]:[Check Periodo Ref.]]="Dentro",IF(DATOS_[[Check Equiparado]:[Check Equiparado]]="Sí",IF(DATOS!AX$5="Sí",(1/DATOS_[[% anualiz]:[% anualiz]]),1)*IF(DATOS!AX$4="Sí",1/DATOS_[[% normaliz]:[% normaliz]],1)*(DATOS_[Conc.Sal.20])))))))),
0)</f>
        <v>0</v>
      </c>
      <c r="AD52" s="196">
        <f t="array" ref="AD52">IFERROR(
(MEDIAN((IF(DATOS_[[Sexo]:[Sexo]]=$B52,IF(DATOS_[[AGRUP. CLAS. PROF.]:[AGRUP. CLAS. PROF.]]=$B51,IF(DATOS_[[Check Periodo Ref.]:[Check Periodo Ref.]]="Dentro",IF(DATOS_[[Check Equiparado]:[Check Equiparado]]="Sí",IF(DATOS!AY$5="Sí",(1/DATOS_[[% anualiz]:[% anualiz]]),1)*IF(DATOS!AY$4="Sí",1/DATOS_[[% normaliz]:[% normaliz]],1)*(DATOS_[Conc.Sal.21])))))))),
0)</f>
        <v>0</v>
      </c>
      <c r="AE52" s="196">
        <f t="array" ref="AE52">IFERROR(
(MEDIAN((IF(DATOS_[[Sexo]:[Sexo]]=$B52,IF(DATOS_[[AGRUP. CLAS. PROF.]:[AGRUP. CLAS. PROF.]]=$B51,IF(DATOS_[[Check Periodo Ref.]:[Check Periodo Ref.]]="Dentro",IF(DATOS_[[Check Equiparado]:[Check Equiparado]]="Sí",IF(DATOS!AZ$5="Sí",(1/DATOS_[[% anualiz]:[% anualiz]]),1)*IF(DATOS!AZ$4="Sí",1/DATOS_[[% normaliz]:[% normaliz]],1)*(DATOS_[Conc.Sal.22])))))))),
0)</f>
        <v>0</v>
      </c>
      <c r="AF52" s="196">
        <f t="array" ref="AF52">IFERROR(
(MEDIAN((IF(DATOS_[[Sexo]:[Sexo]]=$B52,IF(DATOS_[[AGRUP. CLAS. PROF.]:[AGRUP. CLAS. PROF.]]=$B51,IF(DATOS_[[Check Periodo Ref.]:[Check Periodo Ref.]]="Dentro",IF(DATOS_[[Check Equiparado]:[Check Equiparado]]="Sí",IF(DATOS!BA$5="Sí",(1/DATOS_[[% anualiz]:[% anualiz]]),1)*IF(DATOS!BA$4="Sí",1/DATOS_[[% normaliz]:[% normaliz]],1)*(DATOS_[Conc.Sal.23])))))))),
0)</f>
        <v>0</v>
      </c>
      <c r="AG52" s="196">
        <f t="array" ref="AG52">IFERROR(
(MEDIAN((IF(DATOS_[[Sexo]:[Sexo]]=$B52,IF(DATOS_[[AGRUP. CLAS. PROF.]:[AGRUP. CLAS. PROF.]]=$B51,IF(DATOS_[[Check Periodo Ref.]:[Check Periodo Ref.]]="Dentro",IF(DATOS_[[Check Equiparado]:[Check Equiparado]]="Sí",IF(DATOS!BB$5="Sí",(1/DATOS_[[% anualiz]:[% anualiz]]),1)*IF(DATOS!BB$4="Sí",1/DATOS_[[% normaliz]:[% normaliz]],1)*(DATOS_[Conc.Sal.24])))))))),
0)</f>
        <v>0</v>
      </c>
      <c r="AH52" s="196">
        <f t="array" ref="AH52">IFERROR(
(MEDIAN((IF(DATOS_[[Sexo]:[Sexo]]=$B52,IF(DATOS_[[AGRUP. CLAS. PROF.]:[AGRUP. CLAS. PROF.]]=$B51,IF(DATOS_[[Check Periodo Ref.]:[Check Periodo Ref.]]="Dentro",IF(DATOS_[[Check Equiparado]:[Check Equiparado]]="Sí",IF(DATOS!BC$5="Sí",(1/DATOS_[[% anualiz]:[% anualiz]]),1)*IF(DATOS!BC$4="Sí",1/DATOS_[[% normaliz]:[% normaliz]],1)*(DATOS_[Conc.Sal.25])))))))),
0)</f>
        <v>0</v>
      </c>
      <c r="AI52" s="196">
        <f t="array" ref="AI52">IFERROR(
(MEDIAN((IF(DATOS_[[Sexo]:[Sexo]]=$B52,IF(DATOS_[[AGRUP. CLAS. PROF.]:[AGRUP. CLAS. PROF.]]=$B51,IF(DATOS_[[Check Periodo Ref.]:[Check Periodo Ref.]]="Dentro",IF(DATOS_[[Check Equiparado]:[Check Equiparado]]="Sí",IF(DATOS!BD$5="Sí",(1/DATOS_[[% anualiz]:[% anualiz]]),1)*IF(DATOS!BD$4="Sí",1/DATOS_[[% normaliz]:[% normaliz]],1)*(DATOS_[Conc.Sal.26])))))))),
0)</f>
        <v>0</v>
      </c>
      <c r="AJ52" s="196">
        <f t="array" ref="AJ52">IFERROR(
(MEDIAN((IF(DATOS_[[Sexo]:[Sexo]]=$B52,IF(DATOS_[[AGRUP. CLAS. PROF.]:[AGRUP. CLAS. PROF.]]=$B51,IF(DATOS_[[Check Periodo Ref.]:[Check Periodo Ref.]]="Dentro",IF(DATOS_[[Check Equiparado]:[Check Equiparado]]="Sí",IF(DATOS!BE$5="Sí",(1/DATOS_[[% anualiz]:[% anualiz]]),1)*IF(DATOS!BE$4="Sí",1/DATOS_[[% normaliz]:[% normaliz]],1)*(DATOS_[Conc.Sal.27])))))))),
0)</f>
        <v>0</v>
      </c>
      <c r="AK52" s="196">
        <f t="array" ref="AK52">IFERROR(
(MEDIAN((IF(DATOS_[[Sexo]:[Sexo]]=$B52,IF(DATOS_[[AGRUP. CLAS. PROF.]:[AGRUP. CLAS. PROF.]]=$B51,IF(DATOS_[[Check Periodo Ref.]:[Check Periodo Ref.]]="Dentro",IF(DATOS_[[Check Equiparado]:[Check Equiparado]]="Sí",IF(DATOS!BF$5="Sí",(1/DATOS_[[% anualiz]:[% anualiz]]),1)*IF(DATOS!BF$4="Sí",1/DATOS_[[% normaliz]:[% normaliz]],1)*(DATOS_[Conc.Sal.28])))))))),
0)</f>
        <v>0</v>
      </c>
      <c r="AL52" s="196">
        <f t="array" ref="AL52">IFERROR(
(MEDIAN((IF(DATOS_[[Sexo]:[Sexo]]=$B52,IF(DATOS_[[AGRUP. CLAS. PROF.]:[AGRUP. CLAS. PROF.]]=$B51,IF(DATOS_[[Check Periodo Ref.]:[Check Periodo Ref.]]="Dentro",IF(DATOS_[[Check Equiparado]:[Check Equiparado]]="Sí",IF(DATOS!BG$5="Sí",(1/DATOS_[[% anualiz]:[% anualiz]]),1)*IF(DATOS!BG$4="Sí",1/DATOS_[[% normaliz]:[% normaliz]],1)*(DATOS_[Conc.Sal.29])))))))),
0)</f>
        <v>0</v>
      </c>
      <c r="AM52" s="196">
        <f t="array" ref="AM52">IFERROR(
(MEDIAN((IF(DATOS_[[Sexo]:[Sexo]]=$B52,IF(DATOS_[[AGRUP. CLAS. PROF.]:[AGRUP. CLAS. PROF.]]=$B51,IF(DATOS_[[Check Periodo Ref.]:[Check Periodo Ref.]]="Dentro",IF(DATOS_[[Check Equiparado]:[Check Equiparado]]="Sí",IF(DATOS!BH$5="Sí",(1/DATOS_[[% anualiz]:[% anualiz]]),1)*IF(DATOS!BH$4="Sí",1/DATOS_[[% normaliz]:[% normaliz]],1)*(DATOS_[Conc.Sal.30])))))))),
0)</f>
        <v>0</v>
      </c>
      <c r="AN52" s="195">
        <f t="array" ref="AN52">IFERROR(
MEDIAN(IF(DATOS_[Sexo]=$B52,IF(DATOS_[[AGRUP. CLAS. PROF.]:[AGRUP. CLAS. PROF.]]=$B51,IF(DATOS_[Check Equiparado]="Sí",IF(DATOS_[Check Periodo Ref.]="Dentro",DATOS_[Tot COMPL.SAL Eq],FALSE))))),
0)</f>
        <v>0</v>
      </c>
      <c r="AO52" s="172">
        <f t="array" ref="AO52">IFERROR(
MEDIAN(IF(DATOS_[Sexo]=$B52,IF(DATOS_[[AGRUP. CLAS. PROF.]:[AGRUP. CLAS. PROF.]]=$B51,IF(DATOS_[Check Equiparado]="Sí",IF(DATOS_[Check Periodo Ref.]="Dentro",DATOS_[TOTAL SALARIO Eq],FALSE))))),
0)</f>
        <v>0</v>
      </c>
      <c r="AP52" s="173">
        <f t="array" ref="AP52">IFERROR(
(MEDIAN((IF(DATOS_[[Sexo]:[Sexo]]=$B52,IF(DATOS_[[AGRUP. CLAS. PROF.]:[AGRUP. CLAS. PROF.]]=$B51,IF(DATOS_[[Check Periodo Ref.]:[Check Periodo Ref.]]="Dentro",IF(DATOS_[[Check Equiparado]:[Check Equiparado]]="Sí",IF(DATOS!BW$5="Sí",(1/DATOS_[[% anualiz]:[% anualiz]]),1)*IF(DATOS!BW$4="Sí",1/DATOS_[[% normaliz]:[% normaliz]],1)*(DATOS_[C.Extra.01])))))))),
0)</f>
        <v>0</v>
      </c>
      <c r="AQ52" s="173">
        <f t="array" ref="AQ52">IFERROR(
(MEDIAN((IF(DATOS_[[Sexo]:[Sexo]]=$B52,IF(DATOS_[[AGRUP. CLAS. PROF.]:[AGRUP. CLAS. PROF.]]=$B51,IF(DATOS_[[Check Periodo Ref.]:[Check Periodo Ref.]]="Dentro",IF(DATOS_[[Check Equiparado]:[Check Equiparado]]="Sí",IF(DATOS!CB$5="Sí",(1/DATOS_[[% anualiz]:[% anualiz]]),1)*IF(DATOS!CB$4="Sí",1/DATOS_[[% normaliz]:[% normaliz]],1)*(DATOS_[C.Extra.06])))))))),
0)</f>
        <v>0</v>
      </c>
      <c r="AR52" s="173">
        <f t="array" ref="AR52">IFERROR(
(MEDIAN((IF(DATOS_[[Sexo]:[Sexo]]=$B52,IF(DATOS_[[AGRUP. CLAS. PROF.]:[AGRUP. CLAS. PROF.]]=$B51,IF(DATOS_[[Check Periodo Ref.]:[Check Periodo Ref.]]="Dentro",IF(DATOS_[[Check Equiparado]:[Check Equiparado]]="Sí",IF(DATOS!CC$5="Sí",(1/DATOS_[[% anualiz]:[% anualiz]]),1)*IF(DATOS!CC$4="Sí",1/DATOS_[[% normaliz]:[% normaliz]],1)*(DATOS_[C.Extra.07])))))))),
0)</f>
        <v>0</v>
      </c>
      <c r="AS52" s="173">
        <f t="array" ref="AS52">IFERROR(
(MEDIAN((IF(DATOS_[[Sexo]:[Sexo]]=$B52,IF(DATOS_[[AGRUP. CLAS. PROF.]:[AGRUP. CLAS. PROF.]]=$B51,IF(DATOS_[[Check Periodo Ref.]:[Check Periodo Ref.]]="Dentro",IF(DATOS_[[Check Equiparado]:[Check Equiparado]]="Sí",IF(DATOS!CD$5="Sí",(1/DATOS_[[% anualiz]:[% anualiz]]),1)*IF(DATOS!CD$4="Sí",1/DATOS_[[% normaliz]:[% normaliz]],1)*(DATOS_[C.Extra.08])))))))),
0)</f>
        <v>0</v>
      </c>
      <c r="AT52" s="173">
        <f t="array" ref="AT52">IFERROR(
(MEDIAN((IF(DATOS_[[Sexo]:[Sexo]]=$B52,IF(DATOS_[[AGRUP. CLAS. PROF.]:[AGRUP. CLAS. PROF.]]=$B51,IF(DATOS_[[Check Periodo Ref.]:[Check Periodo Ref.]]="Dentro",IF(DATOS_[[Check Equiparado]:[Check Equiparado]]="Sí",IF(DATOS!CG$5="Sí",(1/DATOS_[[% anualiz]:[% anualiz]]),1)*IF(DATOS!CG$4="Sí",1/DATOS_[[% normaliz]:[% normaliz]],1)*(DATOS_[C.Extra.11])))))))),
0)</f>
        <v>0</v>
      </c>
      <c r="AU52" s="197">
        <f t="array" ref="AU52">IFERROR(
MEDIAN(IF(DATOS_[Sexo]=$B52,IF(DATOS_[[AGRUP. CLAS. PROF.]:[AGRUP. CLAS. PROF.]]=$B51,IF(DATOS_[Check Equiparado]="Sí",IF(DATOS_[Check Periodo Ref.]="Dentro",DATOS_[Tot Extrasalarial Eq],FALSE))))),
0)</f>
        <v>0</v>
      </c>
      <c r="AV52" s="175">
        <f t="array" ref="AV52">IFERROR(
MEDIAN(IF(DATOS_[Sexo]=$B52,IF(DATOS_[[AGRUP. CLAS. PROF.]:[AGRUP. CLAS. PROF.]]=$B51,IF(DATOS_[Check Equiparado]="Sí",IF(DATOS_[Check Periodo Ref.]="Dentro",DATOS_[TOTAL Retrib Eq],FALSE))))),
0)</f>
        <v>0</v>
      </c>
    </row>
    <row r="53" spans="1:48" hidden="1" x14ac:dyDescent="0.25">
      <c r="A53" s="133" t="str">
        <f t="shared" ref="A53" si="54">+A52</f>
        <v>[ocultar]</v>
      </c>
      <c r="B53" s="202" t="s">
        <v>521</v>
      </c>
      <c r="C53" s="203">
        <f t="array" ref="C53">SUM(IF($B53=DATOS_[Sexo],
IF($B51=DATOS_[AGRUP. CLAS. PROF.],
IF("Dentro"=DATOS_[Check Periodo Ref.],
1/(COUNTIFS(DATOS_[Sexo],$B53,DATOS_[AGRUP. CLAS. PROF.],$B51,DATOS_[Check Periodo Ref.],"Dentro",DATOS_[id/cod],DATOS_[id/cod]))))))</f>
        <v>0</v>
      </c>
      <c r="D53" s="204">
        <f>COUNTIFS(DATOS_[AGRUP. CLAS. PROF.],$B51,DATOS_[Sexo],$B53,DATOS_[Check Periodo Ref.],"Dentro")</f>
        <v>0</v>
      </c>
      <c r="E53" s="204">
        <f>COUNTIFS(DATOS_[AGRUP. CLAS. PROF.],$B51,DATOS_[Sexo],$B53,DATOS_[Check Periodo Ref.],"Dentro",DATOS_[Check Nº SC Norm],"Sí")</f>
        <v>0</v>
      </c>
      <c r="F53" s="204">
        <f>COUNTIFS(DATOS_[AGRUP. CLAS. PROF.],$B51,DATOS_[Sexo],$B53,DATOS_[Check Periodo Ref.],"Dentro",DATOS_[Check Nº SC Anualiz],"Sí")</f>
        <v>0</v>
      </c>
      <c r="G53" s="204">
        <f>COUNTIFS(DATOS_[AGRUP. CLAS. PROF.],$B51,DATOS_[Sexo],$B53,DATOS_[Check Periodo Ref.],"Dentro",DATOS_[Check Nº SC Norm y Anualiz],"Sí")</f>
        <v>0</v>
      </c>
      <c r="H53" s="204">
        <f>COUNTIFS(DATOS_[AGRUP. CLAS. PROF.],$B51,DATOS_[Sexo],$B53,DATOS_[Check Periodo Ref.],"Dentro",DATOS_[Check Equiparación],"Sí")</f>
        <v>0</v>
      </c>
      <c r="I53" s="195" cm="1">
        <f t="array" ref="I53">IFERROR(
MEDIAN(IF(DATOS_[Sexo]=$B53,IF(DATOS_[[AGRUP. CLAS. PROF.]:[AGRUP. CLAS. PROF.]]=$B51,IF(DATOS_[Check Equiparado]="Sí",IF(DATOS_[Check Periodo Ref.]="Dentro",DATOS_[SALARIO BASE Eq],FALSE))))),
0)</f>
        <v>0</v>
      </c>
      <c r="J53" s="196">
        <f t="array" ref="J53">IFERROR(
(MEDIAN((IF(DATOS_[[Sexo]:[Sexo]]=$B53,IF(DATOS_[[AGRUP. CLAS. PROF.]:[AGRUP. CLAS. PROF.]]=$B51,IF(DATOS_[[Check Periodo Ref.]:[Check Periodo Ref.]]="Dentro",IF(DATOS_[[Check Equiparado]:[Check Equiparado]]="Sí",IF(DATOS!AE$5="Sí",(1/DATOS_[[% anualiz]:[% anualiz]]),1)*IF(DATOS!AE$4="Sí",1/DATOS_[[% normaliz]:[% normaliz]],1)*(DATOS_[Conc.Sal.01])))))))),
0)</f>
        <v>0</v>
      </c>
      <c r="K53" s="196">
        <f t="array" ref="K53">IFERROR(
(MEDIAN((IF(DATOS_[[Sexo]:[Sexo]]=$B53,IF(DATOS_[[AGRUP. CLAS. PROF.]:[AGRUP. CLAS. PROF.]]=$B51,IF(DATOS_[[Check Periodo Ref.]:[Check Periodo Ref.]]="Dentro",IF(DATOS_[[Check Equiparado]:[Check Equiparado]]="Sí",IF(DATOS!AF$5="Sí",(1/DATOS_[[% anualiz]:[% anualiz]]),1)*IF(DATOS!AF$4="Sí",1/DATOS_[[% normaliz]:[% normaliz]],1)*(DATOS_[Conc.Sal.02])))))))),
0)</f>
        <v>0</v>
      </c>
      <c r="L53" s="196">
        <f t="array" ref="L53">IFERROR(
(MEDIAN((IF(DATOS_[[Sexo]:[Sexo]]=$B53,IF(DATOS_[[AGRUP. CLAS. PROF.]:[AGRUP. CLAS. PROF.]]=$B51,IF(DATOS_[[Check Periodo Ref.]:[Check Periodo Ref.]]="Dentro",IF(DATOS_[[Check Equiparado]:[Check Equiparado]]="Sí",IF(DATOS!AG$5="Sí",(1/DATOS_[[% anualiz]:[% anualiz]]),1)*IF(DATOS!AG$4="Sí",1/DATOS_[[% normaliz]:[% normaliz]],1)*(DATOS_[Conc.Sal.03])))))))),
0)</f>
        <v>0</v>
      </c>
      <c r="M53" s="196">
        <f t="array" ref="M53">IFERROR(
(MEDIAN((IF(DATOS_[[Sexo]:[Sexo]]=$B53,IF(DATOS_[[AGRUP. CLAS. PROF.]:[AGRUP. CLAS. PROF.]]=$B51,IF(DATOS_[[Check Periodo Ref.]:[Check Periodo Ref.]]="Dentro",IF(DATOS_[[Check Equiparado]:[Check Equiparado]]="Sí",IF(DATOS!AH$5="Sí",(1/DATOS_[[% anualiz]:[% anualiz]]),1)*IF(DATOS!AH$4="Sí",1/DATOS_[[% normaliz]:[% normaliz]],1)*(DATOS_[Conc.Sal.04])))))))),
0)</f>
        <v>0</v>
      </c>
      <c r="N53" s="196">
        <f t="array" ref="N53">IFERROR(
(MEDIAN((IF(DATOS_[[Sexo]:[Sexo]]=$B53,IF(DATOS_[[AGRUP. CLAS. PROF.]:[AGRUP. CLAS. PROF.]]=$B51,IF(DATOS_[[Check Periodo Ref.]:[Check Periodo Ref.]]="Dentro",IF(DATOS_[[Check Equiparado]:[Check Equiparado]]="Sí",IF(DATOS!AI$5="Sí",(1/DATOS_[[% anualiz]:[% anualiz]]),1)*IF(DATOS!AI$4="Sí",1/DATOS_[[% normaliz]:[% normaliz]],1)*(DATOS_[Conc.Sal.05])))))))),
0)</f>
        <v>0</v>
      </c>
      <c r="O53" s="196">
        <f t="array" ref="O53">IFERROR(
(MEDIAN((IF(DATOS_[[Sexo]:[Sexo]]=$B53,IF(DATOS_[[AGRUP. CLAS. PROF.]:[AGRUP. CLAS. PROF.]]=$B51,IF(DATOS_[[Check Periodo Ref.]:[Check Periodo Ref.]]="Dentro",IF(DATOS_[[Check Equiparado]:[Check Equiparado]]="Sí",IF(DATOS!AJ$5="Sí",(1/DATOS_[[% anualiz]:[% anualiz]]),1)*IF(DATOS!AJ$4="Sí",1/DATOS_[[% normaliz]:[% normaliz]],1)*(DATOS_[Conc.Sal.06])))))))),
0)</f>
        <v>0</v>
      </c>
      <c r="P53" s="196">
        <f t="array" ref="P53">IFERROR(
(MEDIAN((IF(DATOS_[[Sexo]:[Sexo]]=$B53,IF(DATOS_[[AGRUP. CLAS. PROF.]:[AGRUP. CLAS. PROF.]]=$B51,IF(DATOS_[[Check Periodo Ref.]:[Check Periodo Ref.]]="Dentro",IF(DATOS_[[Check Equiparado]:[Check Equiparado]]="Sí",IF(DATOS!AK$5="Sí",(1/DATOS_[[% anualiz]:[% anualiz]]),1)*IF(DATOS!AK$4="Sí",1/DATOS_[[% normaliz]:[% normaliz]],1)*(DATOS_[Conc.Sal.07])))))))),
0)</f>
        <v>0</v>
      </c>
      <c r="Q53" s="196">
        <f t="array" ref="Q53">IFERROR(
(MEDIAN((IF(DATOS_[[Sexo]:[Sexo]]=$B53,IF(DATOS_[[AGRUP. CLAS. PROF.]:[AGRUP. CLAS. PROF.]]=$B51,IF(DATOS_[[Check Periodo Ref.]:[Check Periodo Ref.]]="Dentro",IF(DATOS_[[Check Equiparado]:[Check Equiparado]]="Sí",IF(DATOS!AL$5="Sí",(1/DATOS_[[% anualiz]:[% anualiz]]),1)*IF(DATOS!AL$4="Sí",1/DATOS_[[% normaliz]:[% normaliz]],1)*(DATOS_[Conc.Sal.08])))))))),
0)</f>
        <v>0</v>
      </c>
      <c r="R53" s="196">
        <f t="array" ref="R53">IFERROR(
(MEDIAN((IF(DATOS_[[Sexo]:[Sexo]]=$B53,IF(DATOS_[[AGRUP. CLAS. PROF.]:[AGRUP. CLAS. PROF.]]=$B51,IF(DATOS_[[Check Periodo Ref.]:[Check Periodo Ref.]]="Dentro",IF(DATOS_[[Check Equiparado]:[Check Equiparado]]="Sí",IF(DATOS!AM$5="Sí",(1/DATOS_[[% anualiz]:[% anualiz]]),1)*IF(DATOS!AM$4="Sí",1/DATOS_[[% normaliz]:[% normaliz]],1)*(DATOS_[Conc.Sal.09])))))))),
0)</f>
        <v>0</v>
      </c>
      <c r="S53" s="196">
        <f t="array" ref="S53">IFERROR(
(MEDIAN((IF(DATOS_[[Sexo]:[Sexo]]=$B53,IF(DATOS_[[AGRUP. CLAS. PROF.]:[AGRUP. CLAS. PROF.]]=$B51,IF(DATOS_[[Check Periodo Ref.]:[Check Periodo Ref.]]="Dentro",IF(DATOS_[[Check Equiparado]:[Check Equiparado]]="Sí",IF(DATOS!AN$5="Sí",(1/DATOS_[[% anualiz]:[% anualiz]]),1)*IF(DATOS!AN$4="Sí",1/DATOS_[[% normaliz]:[% normaliz]],1)*(DATOS_[Conc.Sal.10])))))))),
0)</f>
        <v>0</v>
      </c>
      <c r="T53" s="196">
        <f t="array" ref="T53">IFERROR(
(MEDIAN((IF(DATOS_[[Sexo]:[Sexo]]=$B53,IF(DATOS_[[AGRUP. CLAS. PROF.]:[AGRUP. CLAS. PROF.]]=$B51,IF(DATOS_[[Check Periodo Ref.]:[Check Periodo Ref.]]="Dentro",IF(DATOS_[[Check Equiparado]:[Check Equiparado]]="Sí",IF(DATOS!AO$5="Sí",(1/DATOS_[[% anualiz]:[% anualiz]]),1)*IF(DATOS!AO$4="Sí",1/DATOS_[[% normaliz]:[% normaliz]],1)*(DATOS_[Conc.Sal.11])))))))),
0)</f>
        <v>0</v>
      </c>
      <c r="U53" s="196">
        <f t="array" ref="U53">IFERROR(
(MEDIAN((IF(DATOS_[[Sexo]:[Sexo]]=$B53,IF(DATOS_[[AGRUP. CLAS. PROF.]:[AGRUP. CLAS. PROF.]]=$B51,IF(DATOS_[[Check Periodo Ref.]:[Check Periodo Ref.]]="Dentro",IF(DATOS_[[Check Equiparado]:[Check Equiparado]]="Sí",IF(DATOS!AP$5="Sí",(1/DATOS_[[% anualiz]:[% anualiz]]),1)*IF(DATOS!AP$4="Sí",1/DATOS_[[% normaliz]:[% normaliz]],1)*(DATOS_[Conc.Sal.12])))))))),
0)</f>
        <v>0</v>
      </c>
      <c r="V53" s="196">
        <f t="array" ref="V53">IFERROR(
(MEDIAN((IF(DATOS_[[Sexo]:[Sexo]]=$B53,IF(DATOS_[[AGRUP. CLAS. PROF.]:[AGRUP. CLAS. PROF.]]=$B51,IF(DATOS_[[Check Periodo Ref.]:[Check Periodo Ref.]]="Dentro",IF(DATOS_[[Check Equiparado]:[Check Equiparado]]="Sí",IF(DATOS!AQ$5="Sí",(1/DATOS_[[% anualiz]:[% anualiz]]),1)*IF(DATOS!AQ$4="Sí",1/DATOS_[[% normaliz]:[% normaliz]],1)*(DATOS_[Conc.Sal.13])))))))),
0)</f>
        <v>0</v>
      </c>
      <c r="W53" s="196">
        <f t="array" ref="W53">IFERROR(
(MEDIAN((IF(DATOS_[[Sexo]:[Sexo]]=$B53,IF(DATOS_[[AGRUP. CLAS. PROF.]:[AGRUP. CLAS. PROF.]]=$B51,IF(DATOS_[[Check Periodo Ref.]:[Check Periodo Ref.]]="Dentro",IF(DATOS_[[Check Equiparado]:[Check Equiparado]]="Sí",IF(DATOS!AR$5="Sí",(1/DATOS_[[% anualiz]:[% anualiz]]),1)*IF(DATOS!AR$4="Sí",1/DATOS_[[% normaliz]:[% normaliz]],1)*(DATOS_[Conc.Sal.14])))))))),
0)</f>
        <v>0</v>
      </c>
      <c r="X53" s="196">
        <f t="array" ref="X53">IFERROR(
(MEDIAN((IF(DATOS_[[Sexo]:[Sexo]]=$B53,IF(DATOS_[[AGRUP. CLAS. PROF.]:[AGRUP. CLAS. PROF.]]=$B51,IF(DATOS_[[Check Periodo Ref.]:[Check Periodo Ref.]]="Dentro",IF(DATOS_[[Check Equiparado]:[Check Equiparado]]="Sí",IF(DATOS!AS$5="Sí",(1/DATOS_[[% anualiz]:[% anualiz]]),1)*IF(DATOS!AS$4="Sí",1/DATOS_[[% normaliz]:[% normaliz]],1)*(DATOS_[Conc.Sal.15])))))))),
0)</f>
        <v>0</v>
      </c>
      <c r="Y53" s="196">
        <f t="array" ref="Y53">IFERROR(
(MEDIAN((IF(DATOS_[[Sexo]:[Sexo]]=$B53,IF(DATOS_[[AGRUP. CLAS. PROF.]:[AGRUP. CLAS. PROF.]]=$B51,IF(DATOS_[[Check Periodo Ref.]:[Check Periodo Ref.]]="Dentro",IF(DATOS_[[Check Equiparado]:[Check Equiparado]]="Sí",IF(DATOS!AT$5="Sí",(1/DATOS_[[% anualiz]:[% anualiz]]),1)*IF(DATOS!AT$4="Sí",1/DATOS_[[% normaliz]:[% normaliz]],1)*(DATOS_[Conc.Sal.16])))))))),
0)</f>
        <v>0</v>
      </c>
      <c r="Z53" s="196">
        <f t="array" ref="Z53">IFERROR(
(MEDIAN((IF(DATOS_[[Sexo]:[Sexo]]=$B53,IF(DATOS_[[AGRUP. CLAS. PROF.]:[AGRUP. CLAS. PROF.]]=$B51,IF(DATOS_[[Check Periodo Ref.]:[Check Periodo Ref.]]="Dentro",IF(DATOS_[[Check Equiparado]:[Check Equiparado]]="Sí",IF(DATOS!AU$5="Sí",(1/DATOS_[[% anualiz]:[% anualiz]]),1)*IF(DATOS!AU$4="Sí",1/DATOS_[[% normaliz]:[% normaliz]],1)*(DATOS_[Conc.Sal.17])))))))),
0)</f>
        <v>0</v>
      </c>
      <c r="AA53" s="196">
        <f t="array" ref="AA53">IFERROR(
(MEDIAN((IF(DATOS_[[Sexo]:[Sexo]]=$B53,IF(DATOS_[[AGRUP. CLAS. PROF.]:[AGRUP. CLAS. PROF.]]=$B51,IF(DATOS_[[Check Periodo Ref.]:[Check Periodo Ref.]]="Dentro",IF(DATOS_[[Check Equiparado]:[Check Equiparado]]="Sí",IF(DATOS!AV$5="Sí",(1/DATOS_[[% anualiz]:[% anualiz]]),1)*IF(DATOS!AV$4="Sí",1/DATOS_[[% normaliz]:[% normaliz]],1)*(DATOS_[Conc.Sal.18])))))))),
0)</f>
        <v>0</v>
      </c>
      <c r="AB53" s="196">
        <f t="array" ref="AB53">IFERROR(
(MEDIAN((IF(DATOS_[[Sexo]:[Sexo]]=$B53,IF(DATOS_[[AGRUP. CLAS. PROF.]:[AGRUP. CLAS. PROF.]]=$B51,IF(DATOS_[[Check Periodo Ref.]:[Check Periodo Ref.]]="Dentro",IF(DATOS_[[Check Equiparado]:[Check Equiparado]]="Sí",IF(DATOS!AW$5="Sí",(1/DATOS_[[% anualiz]:[% anualiz]]),1)*IF(DATOS!AW$4="Sí",1/DATOS_[[% normaliz]:[% normaliz]],1)*(DATOS_[Conc.Sal.19])))))))),
0)</f>
        <v>0</v>
      </c>
      <c r="AC53" s="196">
        <f t="array" ref="AC53">IFERROR(
(MEDIAN((IF(DATOS_[[Sexo]:[Sexo]]=$B53,IF(DATOS_[[AGRUP. CLAS. PROF.]:[AGRUP. CLAS. PROF.]]=$B51,IF(DATOS_[[Check Periodo Ref.]:[Check Periodo Ref.]]="Dentro",IF(DATOS_[[Check Equiparado]:[Check Equiparado]]="Sí",IF(DATOS!AX$5="Sí",(1/DATOS_[[% anualiz]:[% anualiz]]),1)*IF(DATOS!AX$4="Sí",1/DATOS_[[% normaliz]:[% normaliz]],1)*(DATOS_[Conc.Sal.20])))))))),
0)</f>
        <v>0</v>
      </c>
      <c r="AD53" s="196">
        <f t="array" ref="AD53">IFERROR(
(MEDIAN((IF(DATOS_[[Sexo]:[Sexo]]=$B53,IF(DATOS_[[AGRUP. CLAS. PROF.]:[AGRUP. CLAS. PROF.]]=$B51,IF(DATOS_[[Check Periodo Ref.]:[Check Periodo Ref.]]="Dentro",IF(DATOS_[[Check Equiparado]:[Check Equiparado]]="Sí",IF(DATOS!AY$5="Sí",(1/DATOS_[[% anualiz]:[% anualiz]]),1)*IF(DATOS!AY$4="Sí",1/DATOS_[[% normaliz]:[% normaliz]],1)*(DATOS_[Conc.Sal.21])))))))),
0)</f>
        <v>0</v>
      </c>
      <c r="AE53" s="196">
        <f t="array" ref="AE53">IFERROR(
(MEDIAN((IF(DATOS_[[Sexo]:[Sexo]]=$B53,IF(DATOS_[[AGRUP. CLAS. PROF.]:[AGRUP. CLAS. PROF.]]=$B51,IF(DATOS_[[Check Periodo Ref.]:[Check Periodo Ref.]]="Dentro",IF(DATOS_[[Check Equiparado]:[Check Equiparado]]="Sí",IF(DATOS!AZ$5="Sí",(1/DATOS_[[% anualiz]:[% anualiz]]),1)*IF(DATOS!AZ$4="Sí",1/DATOS_[[% normaliz]:[% normaliz]],1)*(DATOS_[Conc.Sal.22])))))))),
0)</f>
        <v>0</v>
      </c>
      <c r="AF53" s="196">
        <f t="array" ref="AF53">IFERROR(
(MEDIAN((IF(DATOS_[[Sexo]:[Sexo]]=$B53,IF(DATOS_[[AGRUP. CLAS. PROF.]:[AGRUP. CLAS. PROF.]]=$B51,IF(DATOS_[[Check Periodo Ref.]:[Check Periodo Ref.]]="Dentro",IF(DATOS_[[Check Equiparado]:[Check Equiparado]]="Sí",IF(DATOS!BA$5="Sí",(1/DATOS_[[% anualiz]:[% anualiz]]),1)*IF(DATOS!BA$4="Sí",1/DATOS_[[% normaliz]:[% normaliz]],1)*(DATOS_[Conc.Sal.23])))))))),
0)</f>
        <v>0</v>
      </c>
      <c r="AG53" s="196">
        <f t="array" ref="AG53">IFERROR(
(MEDIAN((IF(DATOS_[[Sexo]:[Sexo]]=$B53,IF(DATOS_[[AGRUP. CLAS. PROF.]:[AGRUP. CLAS. PROF.]]=$B51,IF(DATOS_[[Check Periodo Ref.]:[Check Periodo Ref.]]="Dentro",IF(DATOS_[[Check Equiparado]:[Check Equiparado]]="Sí",IF(DATOS!BB$5="Sí",(1/DATOS_[[% anualiz]:[% anualiz]]),1)*IF(DATOS!BB$4="Sí",1/DATOS_[[% normaliz]:[% normaliz]],1)*(DATOS_[Conc.Sal.24])))))))),
0)</f>
        <v>0</v>
      </c>
      <c r="AH53" s="196">
        <f t="array" ref="AH53">IFERROR(
(MEDIAN((IF(DATOS_[[Sexo]:[Sexo]]=$B53,IF(DATOS_[[AGRUP. CLAS. PROF.]:[AGRUP. CLAS. PROF.]]=$B51,IF(DATOS_[[Check Periodo Ref.]:[Check Periodo Ref.]]="Dentro",IF(DATOS_[[Check Equiparado]:[Check Equiparado]]="Sí",IF(DATOS!BC$5="Sí",(1/DATOS_[[% anualiz]:[% anualiz]]),1)*IF(DATOS!BC$4="Sí",1/DATOS_[[% normaliz]:[% normaliz]],1)*(DATOS_[Conc.Sal.25])))))))),
0)</f>
        <v>0</v>
      </c>
      <c r="AI53" s="196">
        <f t="array" ref="AI53">IFERROR(
(MEDIAN((IF(DATOS_[[Sexo]:[Sexo]]=$B53,IF(DATOS_[[AGRUP. CLAS. PROF.]:[AGRUP. CLAS. PROF.]]=$B51,IF(DATOS_[[Check Periodo Ref.]:[Check Periodo Ref.]]="Dentro",IF(DATOS_[[Check Equiparado]:[Check Equiparado]]="Sí",IF(DATOS!BD$5="Sí",(1/DATOS_[[% anualiz]:[% anualiz]]),1)*IF(DATOS!BD$4="Sí",1/DATOS_[[% normaliz]:[% normaliz]],1)*(DATOS_[Conc.Sal.26])))))))),
0)</f>
        <v>0</v>
      </c>
      <c r="AJ53" s="196">
        <f t="array" ref="AJ53">IFERROR(
(MEDIAN((IF(DATOS_[[Sexo]:[Sexo]]=$B53,IF(DATOS_[[AGRUP. CLAS. PROF.]:[AGRUP. CLAS. PROF.]]=$B51,IF(DATOS_[[Check Periodo Ref.]:[Check Periodo Ref.]]="Dentro",IF(DATOS_[[Check Equiparado]:[Check Equiparado]]="Sí",IF(DATOS!BE$5="Sí",(1/DATOS_[[% anualiz]:[% anualiz]]),1)*IF(DATOS!BE$4="Sí",1/DATOS_[[% normaliz]:[% normaliz]],1)*(DATOS_[Conc.Sal.27])))))))),
0)</f>
        <v>0</v>
      </c>
      <c r="AK53" s="196">
        <f t="array" ref="AK53">IFERROR(
(MEDIAN((IF(DATOS_[[Sexo]:[Sexo]]=$B53,IF(DATOS_[[AGRUP. CLAS. PROF.]:[AGRUP. CLAS. PROF.]]=$B51,IF(DATOS_[[Check Periodo Ref.]:[Check Periodo Ref.]]="Dentro",IF(DATOS_[[Check Equiparado]:[Check Equiparado]]="Sí",IF(DATOS!BF$5="Sí",(1/DATOS_[[% anualiz]:[% anualiz]]),1)*IF(DATOS!BF$4="Sí",1/DATOS_[[% normaliz]:[% normaliz]],1)*(DATOS_[Conc.Sal.28])))))))),
0)</f>
        <v>0</v>
      </c>
      <c r="AL53" s="196">
        <f t="array" ref="AL53">IFERROR(
(MEDIAN((IF(DATOS_[[Sexo]:[Sexo]]=$B53,IF(DATOS_[[AGRUP. CLAS. PROF.]:[AGRUP. CLAS. PROF.]]=$B51,IF(DATOS_[[Check Periodo Ref.]:[Check Periodo Ref.]]="Dentro",IF(DATOS_[[Check Equiparado]:[Check Equiparado]]="Sí",IF(DATOS!BG$5="Sí",(1/DATOS_[[% anualiz]:[% anualiz]]),1)*IF(DATOS!BG$4="Sí",1/DATOS_[[% normaliz]:[% normaliz]],1)*(DATOS_[Conc.Sal.29])))))))),
0)</f>
        <v>0</v>
      </c>
      <c r="AM53" s="196">
        <f t="array" ref="AM53">IFERROR(
(MEDIAN((IF(DATOS_[[Sexo]:[Sexo]]=$B53,IF(DATOS_[[AGRUP. CLAS. PROF.]:[AGRUP. CLAS. PROF.]]=$B51,IF(DATOS_[[Check Periodo Ref.]:[Check Periodo Ref.]]="Dentro",IF(DATOS_[[Check Equiparado]:[Check Equiparado]]="Sí",IF(DATOS!BH$5="Sí",(1/DATOS_[[% anualiz]:[% anualiz]]),1)*IF(DATOS!BH$4="Sí",1/DATOS_[[% normaliz]:[% normaliz]],1)*(DATOS_[Conc.Sal.30])))))))),
0)</f>
        <v>0</v>
      </c>
      <c r="AN53" s="195">
        <f t="array" ref="AN53">IFERROR(
MEDIAN(IF(DATOS_[Sexo]=$B53,IF(DATOS_[[AGRUP. CLAS. PROF.]:[AGRUP. CLAS. PROF.]]=$B51,IF(DATOS_[Check Equiparado]="Sí",IF(DATOS_[Check Periodo Ref.]="Dentro",DATOS_[Tot COMPL.SAL Eq],FALSE))))),
0)</f>
        <v>0</v>
      </c>
      <c r="AO53" s="172">
        <f t="array" ref="AO53">IFERROR(
MEDIAN(IF(DATOS_[Sexo]=$B53,IF(DATOS_[[AGRUP. CLAS. PROF.]:[AGRUP. CLAS. PROF.]]=$B51,IF(DATOS_[Check Equiparado]="Sí",IF(DATOS_[Check Periodo Ref.]="Dentro",DATOS_[TOTAL SALARIO Eq],FALSE))))),
0)</f>
        <v>0</v>
      </c>
      <c r="AP53" s="173">
        <f t="array" ref="AP53">IFERROR(
(MEDIAN((IF(DATOS_[[Sexo]:[Sexo]]=$B53,IF(DATOS_[[AGRUP. CLAS. PROF.]:[AGRUP. CLAS. PROF.]]=$B51,IF(DATOS_[[Check Periodo Ref.]:[Check Periodo Ref.]]="Dentro",IF(DATOS_[[Check Equiparado]:[Check Equiparado]]="Sí",IF(DATOS!BW$5="Sí",(1/DATOS_[[% anualiz]:[% anualiz]]),1)*IF(DATOS!BW$4="Sí",1/DATOS_[[% normaliz]:[% normaliz]],1)*(DATOS_[C.Extra.01])))))))),
0)</f>
        <v>0</v>
      </c>
      <c r="AQ53" s="173">
        <f t="array" ref="AQ53">IFERROR(
(MEDIAN((IF(DATOS_[[Sexo]:[Sexo]]=$B53,IF(DATOS_[[AGRUP. CLAS. PROF.]:[AGRUP. CLAS. PROF.]]=$B51,IF(DATOS_[[Check Periodo Ref.]:[Check Periodo Ref.]]="Dentro",IF(DATOS_[[Check Equiparado]:[Check Equiparado]]="Sí",IF(DATOS!CB$5="Sí",(1/DATOS_[[% anualiz]:[% anualiz]]),1)*IF(DATOS!CB$4="Sí",1/DATOS_[[% normaliz]:[% normaliz]],1)*(DATOS_[C.Extra.06])))))))),
0)</f>
        <v>0</v>
      </c>
      <c r="AR53" s="173">
        <f t="array" ref="AR53">IFERROR(
(MEDIAN((IF(DATOS_[[Sexo]:[Sexo]]=$B53,IF(DATOS_[[AGRUP. CLAS. PROF.]:[AGRUP. CLAS. PROF.]]=$B51,IF(DATOS_[[Check Periodo Ref.]:[Check Periodo Ref.]]="Dentro",IF(DATOS_[[Check Equiparado]:[Check Equiparado]]="Sí",IF(DATOS!CC$5="Sí",(1/DATOS_[[% anualiz]:[% anualiz]]),1)*IF(DATOS!CC$4="Sí",1/DATOS_[[% normaliz]:[% normaliz]],1)*(DATOS_[C.Extra.07])))))))),
0)</f>
        <v>0</v>
      </c>
      <c r="AS53" s="173">
        <f t="array" ref="AS53">IFERROR(
(MEDIAN((IF(DATOS_[[Sexo]:[Sexo]]=$B53,IF(DATOS_[[AGRUP. CLAS. PROF.]:[AGRUP. CLAS. PROF.]]=$B51,IF(DATOS_[[Check Periodo Ref.]:[Check Periodo Ref.]]="Dentro",IF(DATOS_[[Check Equiparado]:[Check Equiparado]]="Sí",IF(DATOS!CD$5="Sí",(1/DATOS_[[% anualiz]:[% anualiz]]),1)*IF(DATOS!CD$4="Sí",1/DATOS_[[% normaliz]:[% normaliz]],1)*(DATOS_[C.Extra.08])))))))),
0)</f>
        <v>0</v>
      </c>
      <c r="AT53" s="173">
        <f t="array" ref="AT53">IFERROR(
(MEDIAN((IF(DATOS_[[Sexo]:[Sexo]]=$B53,IF(DATOS_[[AGRUP. CLAS. PROF.]:[AGRUP. CLAS. PROF.]]=$B51,IF(DATOS_[[Check Periodo Ref.]:[Check Periodo Ref.]]="Dentro",IF(DATOS_[[Check Equiparado]:[Check Equiparado]]="Sí",IF(DATOS!CG$5="Sí",(1/DATOS_[[% anualiz]:[% anualiz]]),1)*IF(DATOS!CG$4="Sí",1/DATOS_[[% normaliz]:[% normaliz]],1)*(DATOS_[C.Extra.11])))))))),
0)</f>
        <v>0</v>
      </c>
      <c r="AU53" s="197">
        <f t="array" ref="AU53">IFERROR(
MEDIAN(IF(DATOS_[Sexo]=$B53,IF(DATOS_[[AGRUP. CLAS. PROF.]:[AGRUP. CLAS. PROF.]]=$B51,IF(DATOS_[Check Equiparado]="Sí",IF(DATOS_[Check Periodo Ref.]="Dentro",DATOS_[Tot Extrasalarial Eq],FALSE))))),
0)</f>
        <v>0</v>
      </c>
      <c r="AV53" s="175">
        <f t="array" ref="AV53">IFERROR(
MEDIAN(IF(DATOS_[Sexo]=$B53,IF(DATOS_[[AGRUP. CLAS. PROF.]:[AGRUP. CLAS. PROF.]]=$B51,IF(DATOS_[Check Equiparado]="Sí",IF(DATOS_[Check Periodo Ref.]="Dentro",DATOS_[TOTAL Retrib Eq],FALSE))))),
0)</f>
        <v>0</v>
      </c>
    </row>
    <row r="54" spans="1:48" ht="15.6" hidden="1" thickBot="1" x14ac:dyDescent="0.3">
      <c r="A54" s="133" t="str">
        <f t="shared" ref="A54" si="55">+A55</f>
        <v>[ocultar]</v>
      </c>
      <c r="B54" s="199" t="s">
        <v>229</v>
      </c>
      <c r="C54" s="200"/>
      <c r="D54" s="201"/>
      <c r="E54" s="201"/>
      <c r="F54" s="201"/>
      <c r="G54" s="201"/>
      <c r="H54" s="201"/>
      <c r="I54" s="189" t="str">
        <f t="shared" ref="I54:AV54" si="56">IFERROR((I55-I56)/I55,"")</f>
        <v/>
      </c>
      <c r="J54" s="190" t="str">
        <f t="shared" si="56"/>
        <v/>
      </c>
      <c r="K54" s="191" t="str">
        <f t="shared" si="56"/>
        <v/>
      </c>
      <c r="L54" s="191" t="str">
        <f t="shared" si="56"/>
        <v/>
      </c>
      <c r="M54" s="191" t="str">
        <f t="shared" si="56"/>
        <v/>
      </c>
      <c r="N54" s="192" t="str">
        <f t="shared" si="56"/>
        <v/>
      </c>
      <c r="O54" s="193" t="str">
        <f t="shared" si="56"/>
        <v/>
      </c>
      <c r="P54" s="193" t="str">
        <f t="shared" si="56"/>
        <v/>
      </c>
      <c r="Q54" s="193" t="str">
        <f t="shared" si="56"/>
        <v/>
      </c>
      <c r="R54" s="193" t="str">
        <f t="shared" si="56"/>
        <v/>
      </c>
      <c r="S54" s="193" t="str">
        <f t="shared" si="56"/>
        <v/>
      </c>
      <c r="T54" s="193" t="str">
        <f t="shared" si="56"/>
        <v/>
      </c>
      <c r="U54" s="193" t="str">
        <f t="shared" si="56"/>
        <v/>
      </c>
      <c r="V54" s="193" t="str">
        <f t="shared" si="56"/>
        <v/>
      </c>
      <c r="W54" s="193" t="str">
        <f t="shared" si="56"/>
        <v/>
      </c>
      <c r="X54" s="193" t="str">
        <f t="shared" si="56"/>
        <v/>
      </c>
      <c r="Y54" s="193" t="str">
        <f t="shared" si="56"/>
        <v/>
      </c>
      <c r="Z54" s="193" t="str">
        <f t="shared" si="56"/>
        <v/>
      </c>
      <c r="AA54" s="193" t="str">
        <f t="shared" si="56"/>
        <v/>
      </c>
      <c r="AB54" s="193" t="str">
        <f t="shared" si="56"/>
        <v/>
      </c>
      <c r="AC54" s="193" t="str">
        <f t="shared" si="56"/>
        <v/>
      </c>
      <c r="AD54" s="193" t="str">
        <f t="shared" si="56"/>
        <v/>
      </c>
      <c r="AE54" s="193" t="str">
        <f t="shared" si="56"/>
        <v/>
      </c>
      <c r="AF54" s="193" t="str">
        <f t="shared" si="56"/>
        <v/>
      </c>
      <c r="AG54" s="193" t="str">
        <f t="shared" si="56"/>
        <v/>
      </c>
      <c r="AH54" s="193" t="str">
        <f t="shared" si="56"/>
        <v/>
      </c>
      <c r="AI54" s="193" t="str">
        <f t="shared" si="56"/>
        <v/>
      </c>
      <c r="AJ54" s="193" t="str">
        <f t="shared" si="56"/>
        <v/>
      </c>
      <c r="AK54" s="193" t="str">
        <f t="shared" si="56"/>
        <v/>
      </c>
      <c r="AL54" s="193" t="str">
        <f t="shared" si="56"/>
        <v/>
      </c>
      <c r="AM54" s="193" t="str">
        <f t="shared" si="56"/>
        <v/>
      </c>
      <c r="AN54" s="189" t="str">
        <f t="shared" si="56"/>
        <v/>
      </c>
      <c r="AO54" s="162" t="str">
        <f t="shared" si="56"/>
        <v/>
      </c>
      <c r="AP54" s="163" t="str">
        <f t="shared" si="56"/>
        <v/>
      </c>
      <c r="AQ54" s="163" t="str">
        <f t="shared" si="56"/>
        <v/>
      </c>
      <c r="AR54" s="163" t="str">
        <f t="shared" si="56"/>
        <v/>
      </c>
      <c r="AS54" s="163" t="str">
        <f t="shared" si="56"/>
        <v/>
      </c>
      <c r="AT54" s="163" t="str">
        <f t="shared" si="56"/>
        <v/>
      </c>
      <c r="AU54" s="194" t="str">
        <f t="shared" si="56"/>
        <v/>
      </c>
      <c r="AV54" s="165" t="str">
        <f t="shared" si="56"/>
        <v/>
      </c>
    </row>
    <row r="55" spans="1:48" hidden="1" x14ac:dyDescent="0.25">
      <c r="A55" s="133" t="str">
        <f t="shared" ref="A55" si="57">+IF(C55+C56=0,"[ocultar]","")</f>
        <v>[ocultar]</v>
      </c>
      <c r="B55" s="202" t="s">
        <v>394</v>
      </c>
      <c r="C55" s="203">
        <f t="array" ref="C55">SUM(IF($B55=DATOS_[Sexo],
IF($B54=DATOS_[AGRUP. CLAS. PROF.],
IF("Dentro"=DATOS_[Check Periodo Ref.],
1/(COUNTIFS(DATOS_[Sexo],$B55,DATOS_[AGRUP. CLAS. PROF.],$B54,DATOS_[Check Periodo Ref.],"Dentro",DATOS_[id/cod],DATOS_[id/cod]))))))</f>
        <v>0</v>
      </c>
      <c r="D55" s="204">
        <f>COUNTIFS(DATOS_[AGRUP. CLAS. PROF.],$B54,DATOS_[Sexo],$B55,DATOS_[Check Periodo Ref.],"Dentro")</f>
        <v>0</v>
      </c>
      <c r="E55" s="204">
        <f>COUNTIFS(DATOS_[AGRUP. CLAS. PROF.],$B54,DATOS_[Sexo],$B55,DATOS_[Check Periodo Ref.],"Dentro",DATOS_[Check Nº SC Norm],"Sí")</f>
        <v>0</v>
      </c>
      <c r="F55" s="204">
        <f>COUNTIFS(DATOS_[AGRUP. CLAS. PROF.],$B54,DATOS_[Sexo],$B55,DATOS_[Check Periodo Ref.],"Dentro",DATOS_[Check Nº SC Anualiz],"Sí")</f>
        <v>0</v>
      </c>
      <c r="G55" s="204">
        <f>COUNTIFS(DATOS_[AGRUP. CLAS. PROF.],$B54,DATOS_[Sexo],$B55,DATOS_[Check Periodo Ref.],"Dentro",DATOS_[Check Nº SC Norm y Anualiz],"Sí")</f>
        <v>0</v>
      </c>
      <c r="H55" s="204">
        <f>COUNTIFS(DATOS_[AGRUP. CLAS. PROF.],$B54,DATOS_[Sexo],$B55,DATOS_[Check Periodo Ref.],"Dentro",DATOS_[Check Equiparación],"Sí")</f>
        <v>0</v>
      </c>
      <c r="I55" s="195">
        <f t="array" ref="I55">IFERROR(
MEDIAN(IF(DATOS_[Sexo]=$B55,IF(DATOS_[[AGRUP. CLAS. PROF.]:[AGRUP. CLAS. PROF.]]=$B54,IF(DATOS_[Check Equiparado]="Sí",IF(DATOS_[Check Periodo Ref.]="Dentro",DATOS_[SALARIO BASE Eq],FALSE))))),
0)</f>
        <v>0</v>
      </c>
      <c r="J55" s="196">
        <f t="array" ref="J55">IFERROR(
(MEDIAN((IF(DATOS_[[Sexo]:[Sexo]]=$B55,IF(DATOS_[[AGRUP. CLAS. PROF.]:[AGRUP. CLAS. PROF.]]=$B54,IF(DATOS_[[Check Periodo Ref.]:[Check Periodo Ref.]]="Dentro",IF(DATOS_[[Check Equiparado]:[Check Equiparado]]="Sí",IF(DATOS!AE$5="Sí",(1/DATOS_[[% anualiz]:[% anualiz]]),1)*IF(DATOS!AE$4="Sí",1/DATOS_[[% normaliz]:[% normaliz]],1)*(DATOS_[Conc.Sal.01])))))))),
0)</f>
        <v>0</v>
      </c>
      <c r="K55" s="196">
        <f t="array" ref="K55">IFERROR(
(MEDIAN((IF(DATOS_[[Sexo]:[Sexo]]=$B55,IF(DATOS_[[AGRUP. CLAS. PROF.]:[AGRUP. CLAS. PROF.]]=$B54,IF(DATOS_[[Check Periodo Ref.]:[Check Periodo Ref.]]="Dentro",IF(DATOS_[[Check Equiparado]:[Check Equiparado]]="Sí",IF(DATOS!AF$5="Sí",(1/DATOS_[[% anualiz]:[% anualiz]]),1)*IF(DATOS!AF$4="Sí",1/DATOS_[[% normaliz]:[% normaliz]],1)*(DATOS_[Conc.Sal.02])))))))),
0)</f>
        <v>0</v>
      </c>
      <c r="L55" s="196">
        <f t="array" ref="L55">IFERROR(
(MEDIAN((IF(DATOS_[[Sexo]:[Sexo]]=$B55,IF(DATOS_[[AGRUP. CLAS. PROF.]:[AGRUP. CLAS. PROF.]]=$B54,IF(DATOS_[[Check Periodo Ref.]:[Check Periodo Ref.]]="Dentro",IF(DATOS_[[Check Equiparado]:[Check Equiparado]]="Sí",IF(DATOS!AG$5="Sí",(1/DATOS_[[% anualiz]:[% anualiz]]),1)*IF(DATOS!AG$4="Sí",1/DATOS_[[% normaliz]:[% normaliz]],1)*(DATOS_[Conc.Sal.03])))))))),
0)</f>
        <v>0</v>
      </c>
      <c r="M55" s="196">
        <f t="array" ref="M55">IFERROR(
(MEDIAN((IF(DATOS_[[Sexo]:[Sexo]]=$B55,IF(DATOS_[[AGRUP. CLAS. PROF.]:[AGRUP. CLAS. PROF.]]=$B54,IF(DATOS_[[Check Periodo Ref.]:[Check Periodo Ref.]]="Dentro",IF(DATOS_[[Check Equiparado]:[Check Equiparado]]="Sí",IF(DATOS!AH$5="Sí",(1/DATOS_[[% anualiz]:[% anualiz]]),1)*IF(DATOS!AH$4="Sí",1/DATOS_[[% normaliz]:[% normaliz]],1)*(DATOS_[Conc.Sal.04])))))))),
0)</f>
        <v>0</v>
      </c>
      <c r="N55" s="196">
        <f t="array" ref="N55">IFERROR(
(MEDIAN((IF(DATOS_[[Sexo]:[Sexo]]=$B55,IF(DATOS_[[AGRUP. CLAS. PROF.]:[AGRUP. CLAS. PROF.]]=$B54,IF(DATOS_[[Check Periodo Ref.]:[Check Periodo Ref.]]="Dentro",IF(DATOS_[[Check Equiparado]:[Check Equiparado]]="Sí",IF(DATOS!AI$5="Sí",(1/DATOS_[[% anualiz]:[% anualiz]]),1)*IF(DATOS!AI$4="Sí",1/DATOS_[[% normaliz]:[% normaliz]],1)*(DATOS_[Conc.Sal.05])))))))),
0)</f>
        <v>0</v>
      </c>
      <c r="O55" s="196">
        <f t="array" ref="O55">IFERROR(
(MEDIAN((IF(DATOS_[[Sexo]:[Sexo]]=$B55,IF(DATOS_[[AGRUP. CLAS. PROF.]:[AGRUP. CLAS. PROF.]]=$B54,IF(DATOS_[[Check Periodo Ref.]:[Check Periodo Ref.]]="Dentro",IF(DATOS_[[Check Equiparado]:[Check Equiparado]]="Sí",IF(DATOS!AJ$5="Sí",(1/DATOS_[[% anualiz]:[% anualiz]]),1)*IF(DATOS!AJ$4="Sí",1/DATOS_[[% normaliz]:[% normaliz]],1)*(DATOS_[Conc.Sal.06])))))))),
0)</f>
        <v>0</v>
      </c>
      <c r="P55" s="196">
        <f t="array" ref="P55">IFERROR(
(MEDIAN((IF(DATOS_[[Sexo]:[Sexo]]=$B55,IF(DATOS_[[AGRUP. CLAS. PROF.]:[AGRUP. CLAS. PROF.]]=$B54,IF(DATOS_[[Check Periodo Ref.]:[Check Periodo Ref.]]="Dentro",IF(DATOS_[[Check Equiparado]:[Check Equiparado]]="Sí",IF(DATOS!AK$5="Sí",(1/DATOS_[[% anualiz]:[% anualiz]]),1)*IF(DATOS!AK$4="Sí",1/DATOS_[[% normaliz]:[% normaliz]],1)*(DATOS_[Conc.Sal.07])))))))),
0)</f>
        <v>0</v>
      </c>
      <c r="Q55" s="196">
        <f t="array" ref="Q55">IFERROR(
(MEDIAN((IF(DATOS_[[Sexo]:[Sexo]]=$B55,IF(DATOS_[[AGRUP. CLAS. PROF.]:[AGRUP. CLAS. PROF.]]=$B54,IF(DATOS_[[Check Periodo Ref.]:[Check Periodo Ref.]]="Dentro",IF(DATOS_[[Check Equiparado]:[Check Equiparado]]="Sí",IF(DATOS!AL$5="Sí",(1/DATOS_[[% anualiz]:[% anualiz]]),1)*IF(DATOS!AL$4="Sí",1/DATOS_[[% normaliz]:[% normaliz]],1)*(DATOS_[Conc.Sal.08])))))))),
0)</f>
        <v>0</v>
      </c>
      <c r="R55" s="196">
        <f t="array" ref="R55">IFERROR(
(MEDIAN((IF(DATOS_[[Sexo]:[Sexo]]=$B55,IF(DATOS_[[AGRUP. CLAS. PROF.]:[AGRUP. CLAS. PROF.]]=$B54,IF(DATOS_[[Check Periodo Ref.]:[Check Periodo Ref.]]="Dentro",IF(DATOS_[[Check Equiparado]:[Check Equiparado]]="Sí",IF(DATOS!AM$5="Sí",(1/DATOS_[[% anualiz]:[% anualiz]]),1)*IF(DATOS!AM$4="Sí",1/DATOS_[[% normaliz]:[% normaliz]],1)*(DATOS_[Conc.Sal.09])))))))),
0)</f>
        <v>0</v>
      </c>
      <c r="S55" s="196">
        <f t="array" ref="S55">IFERROR(
(MEDIAN((IF(DATOS_[[Sexo]:[Sexo]]=$B55,IF(DATOS_[[AGRUP. CLAS. PROF.]:[AGRUP. CLAS. PROF.]]=$B54,IF(DATOS_[[Check Periodo Ref.]:[Check Periodo Ref.]]="Dentro",IF(DATOS_[[Check Equiparado]:[Check Equiparado]]="Sí",IF(DATOS!AN$5="Sí",(1/DATOS_[[% anualiz]:[% anualiz]]),1)*IF(DATOS!AN$4="Sí",1/DATOS_[[% normaliz]:[% normaliz]],1)*(DATOS_[Conc.Sal.10])))))))),
0)</f>
        <v>0</v>
      </c>
      <c r="T55" s="196">
        <f t="array" ref="T55">IFERROR(
(MEDIAN((IF(DATOS_[[Sexo]:[Sexo]]=$B55,IF(DATOS_[[AGRUP. CLAS. PROF.]:[AGRUP. CLAS. PROF.]]=$B54,IF(DATOS_[[Check Periodo Ref.]:[Check Periodo Ref.]]="Dentro",IF(DATOS_[[Check Equiparado]:[Check Equiparado]]="Sí",IF(DATOS!AO$5="Sí",(1/DATOS_[[% anualiz]:[% anualiz]]),1)*IF(DATOS!AO$4="Sí",1/DATOS_[[% normaliz]:[% normaliz]],1)*(DATOS_[Conc.Sal.11])))))))),
0)</f>
        <v>0</v>
      </c>
      <c r="U55" s="196">
        <f t="array" ref="U55">IFERROR(
(MEDIAN((IF(DATOS_[[Sexo]:[Sexo]]=$B55,IF(DATOS_[[AGRUP. CLAS. PROF.]:[AGRUP. CLAS. PROF.]]=$B54,IF(DATOS_[[Check Periodo Ref.]:[Check Periodo Ref.]]="Dentro",IF(DATOS_[[Check Equiparado]:[Check Equiparado]]="Sí",IF(DATOS!AP$5="Sí",(1/DATOS_[[% anualiz]:[% anualiz]]),1)*IF(DATOS!AP$4="Sí",1/DATOS_[[% normaliz]:[% normaliz]],1)*(DATOS_[Conc.Sal.12])))))))),
0)</f>
        <v>0</v>
      </c>
      <c r="V55" s="196">
        <f t="array" ref="V55">IFERROR(
(MEDIAN((IF(DATOS_[[Sexo]:[Sexo]]=$B55,IF(DATOS_[[AGRUP. CLAS. PROF.]:[AGRUP. CLAS. PROF.]]=$B54,IF(DATOS_[[Check Periodo Ref.]:[Check Periodo Ref.]]="Dentro",IF(DATOS_[[Check Equiparado]:[Check Equiparado]]="Sí",IF(DATOS!AQ$5="Sí",(1/DATOS_[[% anualiz]:[% anualiz]]),1)*IF(DATOS!AQ$4="Sí",1/DATOS_[[% normaliz]:[% normaliz]],1)*(DATOS_[Conc.Sal.13])))))))),
0)</f>
        <v>0</v>
      </c>
      <c r="W55" s="196">
        <f t="array" ref="W55">IFERROR(
(MEDIAN((IF(DATOS_[[Sexo]:[Sexo]]=$B55,IF(DATOS_[[AGRUP. CLAS. PROF.]:[AGRUP. CLAS. PROF.]]=$B54,IF(DATOS_[[Check Periodo Ref.]:[Check Periodo Ref.]]="Dentro",IF(DATOS_[[Check Equiparado]:[Check Equiparado]]="Sí",IF(DATOS!AR$5="Sí",(1/DATOS_[[% anualiz]:[% anualiz]]),1)*IF(DATOS!AR$4="Sí",1/DATOS_[[% normaliz]:[% normaliz]],1)*(DATOS_[Conc.Sal.14])))))))),
0)</f>
        <v>0</v>
      </c>
      <c r="X55" s="196">
        <f t="array" ref="X55">IFERROR(
(MEDIAN((IF(DATOS_[[Sexo]:[Sexo]]=$B55,IF(DATOS_[[AGRUP. CLAS. PROF.]:[AGRUP. CLAS. PROF.]]=$B54,IF(DATOS_[[Check Periodo Ref.]:[Check Periodo Ref.]]="Dentro",IF(DATOS_[[Check Equiparado]:[Check Equiparado]]="Sí",IF(DATOS!AS$5="Sí",(1/DATOS_[[% anualiz]:[% anualiz]]),1)*IF(DATOS!AS$4="Sí",1/DATOS_[[% normaliz]:[% normaliz]],1)*(DATOS_[Conc.Sal.15])))))))),
0)</f>
        <v>0</v>
      </c>
      <c r="Y55" s="196">
        <f t="array" ref="Y55">IFERROR(
(MEDIAN((IF(DATOS_[[Sexo]:[Sexo]]=$B55,IF(DATOS_[[AGRUP. CLAS. PROF.]:[AGRUP. CLAS. PROF.]]=$B54,IF(DATOS_[[Check Periodo Ref.]:[Check Periodo Ref.]]="Dentro",IF(DATOS_[[Check Equiparado]:[Check Equiparado]]="Sí",IF(DATOS!AT$5="Sí",(1/DATOS_[[% anualiz]:[% anualiz]]),1)*IF(DATOS!AT$4="Sí",1/DATOS_[[% normaliz]:[% normaliz]],1)*(DATOS_[Conc.Sal.16])))))))),
0)</f>
        <v>0</v>
      </c>
      <c r="Z55" s="196">
        <f t="array" ref="Z55">IFERROR(
(MEDIAN((IF(DATOS_[[Sexo]:[Sexo]]=$B55,IF(DATOS_[[AGRUP. CLAS. PROF.]:[AGRUP. CLAS. PROF.]]=$B54,IF(DATOS_[[Check Periodo Ref.]:[Check Periodo Ref.]]="Dentro",IF(DATOS_[[Check Equiparado]:[Check Equiparado]]="Sí",IF(DATOS!AU$5="Sí",(1/DATOS_[[% anualiz]:[% anualiz]]),1)*IF(DATOS!AU$4="Sí",1/DATOS_[[% normaliz]:[% normaliz]],1)*(DATOS_[Conc.Sal.17])))))))),
0)</f>
        <v>0</v>
      </c>
      <c r="AA55" s="196">
        <f t="array" ref="AA55">IFERROR(
(MEDIAN((IF(DATOS_[[Sexo]:[Sexo]]=$B55,IF(DATOS_[[AGRUP. CLAS. PROF.]:[AGRUP. CLAS. PROF.]]=$B54,IF(DATOS_[[Check Periodo Ref.]:[Check Periodo Ref.]]="Dentro",IF(DATOS_[[Check Equiparado]:[Check Equiparado]]="Sí",IF(DATOS!AV$5="Sí",(1/DATOS_[[% anualiz]:[% anualiz]]),1)*IF(DATOS!AV$4="Sí",1/DATOS_[[% normaliz]:[% normaliz]],1)*(DATOS_[Conc.Sal.18])))))))),
0)</f>
        <v>0</v>
      </c>
      <c r="AB55" s="196">
        <f t="array" ref="AB55">IFERROR(
(MEDIAN((IF(DATOS_[[Sexo]:[Sexo]]=$B55,IF(DATOS_[[AGRUP. CLAS. PROF.]:[AGRUP. CLAS. PROF.]]=$B54,IF(DATOS_[[Check Periodo Ref.]:[Check Periodo Ref.]]="Dentro",IF(DATOS_[[Check Equiparado]:[Check Equiparado]]="Sí",IF(DATOS!AW$5="Sí",(1/DATOS_[[% anualiz]:[% anualiz]]),1)*IF(DATOS!AW$4="Sí",1/DATOS_[[% normaliz]:[% normaliz]],1)*(DATOS_[Conc.Sal.19])))))))),
0)</f>
        <v>0</v>
      </c>
      <c r="AC55" s="196">
        <f t="array" ref="AC55">IFERROR(
(MEDIAN((IF(DATOS_[[Sexo]:[Sexo]]=$B55,IF(DATOS_[[AGRUP. CLAS. PROF.]:[AGRUP. CLAS. PROF.]]=$B54,IF(DATOS_[[Check Periodo Ref.]:[Check Periodo Ref.]]="Dentro",IF(DATOS_[[Check Equiparado]:[Check Equiparado]]="Sí",IF(DATOS!AX$5="Sí",(1/DATOS_[[% anualiz]:[% anualiz]]),1)*IF(DATOS!AX$4="Sí",1/DATOS_[[% normaliz]:[% normaliz]],1)*(DATOS_[Conc.Sal.20])))))))),
0)</f>
        <v>0</v>
      </c>
      <c r="AD55" s="196">
        <f t="array" ref="AD55">IFERROR(
(MEDIAN((IF(DATOS_[[Sexo]:[Sexo]]=$B55,IF(DATOS_[[AGRUP. CLAS. PROF.]:[AGRUP. CLAS. PROF.]]=$B54,IF(DATOS_[[Check Periodo Ref.]:[Check Periodo Ref.]]="Dentro",IF(DATOS_[[Check Equiparado]:[Check Equiparado]]="Sí",IF(DATOS!AY$5="Sí",(1/DATOS_[[% anualiz]:[% anualiz]]),1)*IF(DATOS!AY$4="Sí",1/DATOS_[[% normaliz]:[% normaliz]],1)*(DATOS_[Conc.Sal.21])))))))),
0)</f>
        <v>0</v>
      </c>
      <c r="AE55" s="196">
        <f t="array" ref="AE55">IFERROR(
(MEDIAN((IF(DATOS_[[Sexo]:[Sexo]]=$B55,IF(DATOS_[[AGRUP. CLAS. PROF.]:[AGRUP. CLAS. PROF.]]=$B54,IF(DATOS_[[Check Periodo Ref.]:[Check Periodo Ref.]]="Dentro",IF(DATOS_[[Check Equiparado]:[Check Equiparado]]="Sí",IF(DATOS!AZ$5="Sí",(1/DATOS_[[% anualiz]:[% anualiz]]),1)*IF(DATOS!AZ$4="Sí",1/DATOS_[[% normaliz]:[% normaliz]],1)*(DATOS_[Conc.Sal.22])))))))),
0)</f>
        <v>0</v>
      </c>
      <c r="AF55" s="196">
        <f t="array" ref="AF55">IFERROR(
(MEDIAN((IF(DATOS_[[Sexo]:[Sexo]]=$B55,IF(DATOS_[[AGRUP. CLAS. PROF.]:[AGRUP. CLAS. PROF.]]=$B54,IF(DATOS_[[Check Periodo Ref.]:[Check Periodo Ref.]]="Dentro",IF(DATOS_[[Check Equiparado]:[Check Equiparado]]="Sí",IF(DATOS!BA$5="Sí",(1/DATOS_[[% anualiz]:[% anualiz]]),1)*IF(DATOS!BA$4="Sí",1/DATOS_[[% normaliz]:[% normaliz]],1)*(DATOS_[Conc.Sal.23])))))))),
0)</f>
        <v>0</v>
      </c>
      <c r="AG55" s="196">
        <f t="array" ref="AG55">IFERROR(
(MEDIAN((IF(DATOS_[[Sexo]:[Sexo]]=$B55,IF(DATOS_[[AGRUP. CLAS. PROF.]:[AGRUP. CLAS. PROF.]]=$B54,IF(DATOS_[[Check Periodo Ref.]:[Check Periodo Ref.]]="Dentro",IF(DATOS_[[Check Equiparado]:[Check Equiparado]]="Sí",IF(DATOS!BB$5="Sí",(1/DATOS_[[% anualiz]:[% anualiz]]),1)*IF(DATOS!BB$4="Sí",1/DATOS_[[% normaliz]:[% normaliz]],1)*(DATOS_[Conc.Sal.24])))))))),
0)</f>
        <v>0</v>
      </c>
      <c r="AH55" s="196">
        <f t="array" ref="AH55">IFERROR(
(MEDIAN((IF(DATOS_[[Sexo]:[Sexo]]=$B55,IF(DATOS_[[AGRUP. CLAS. PROF.]:[AGRUP. CLAS. PROF.]]=$B54,IF(DATOS_[[Check Periodo Ref.]:[Check Periodo Ref.]]="Dentro",IF(DATOS_[[Check Equiparado]:[Check Equiparado]]="Sí",IF(DATOS!BC$5="Sí",(1/DATOS_[[% anualiz]:[% anualiz]]),1)*IF(DATOS!BC$4="Sí",1/DATOS_[[% normaliz]:[% normaliz]],1)*(DATOS_[Conc.Sal.25])))))))),
0)</f>
        <v>0</v>
      </c>
      <c r="AI55" s="196">
        <f t="array" ref="AI55">IFERROR(
(MEDIAN((IF(DATOS_[[Sexo]:[Sexo]]=$B55,IF(DATOS_[[AGRUP. CLAS. PROF.]:[AGRUP. CLAS. PROF.]]=$B54,IF(DATOS_[[Check Periodo Ref.]:[Check Periodo Ref.]]="Dentro",IF(DATOS_[[Check Equiparado]:[Check Equiparado]]="Sí",IF(DATOS!BD$5="Sí",(1/DATOS_[[% anualiz]:[% anualiz]]),1)*IF(DATOS!BD$4="Sí",1/DATOS_[[% normaliz]:[% normaliz]],1)*(DATOS_[Conc.Sal.26])))))))),
0)</f>
        <v>0</v>
      </c>
      <c r="AJ55" s="196">
        <f t="array" ref="AJ55">IFERROR(
(MEDIAN((IF(DATOS_[[Sexo]:[Sexo]]=$B55,IF(DATOS_[[AGRUP. CLAS. PROF.]:[AGRUP. CLAS. PROF.]]=$B54,IF(DATOS_[[Check Periodo Ref.]:[Check Periodo Ref.]]="Dentro",IF(DATOS_[[Check Equiparado]:[Check Equiparado]]="Sí",IF(DATOS!BE$5="Sí",(1/DATOS_[[% anualiz]:[% anualiz]]),1)*IF(DATOS!BE$4="Sí",1/DATOS_[[% normaliz]:[% normaliz]],1)*(DATOS_[Conc.Sal.27])))))))),
0)</f>
        <v>0</v>
      </c>
      <c r="AK55" s="196">
        <f t="array" ref="AK55">IFERROR(
(MEDIAN((IF(DATOS_[[Sexo]:[Sexo]]=$B55,IF(DATOS_[[AGRUP. CLAS. PROF.]:[AGRUP. CLAS. PROF.]]=$B54,IF(DATOS_[[Check Periodo Ref.]:[Check Periodo Ref.]]="Dentro",IF(DATOS_[[Check Equiparado]:[Check Equiparado]]="Sí",IF(DATOS!BF$5="Sí",(1/DATOS_[[% anualiz]:[% anualiz]]),1)*IF(DATOS!BF$4="Sí",1/DATOS_[[% normaliz]:[% normaliz]],1)*(DATOS_[Conc.Sal.28])))))))),
0)</f>
        <v>0</v>
      </c>
      <c r="AL55" s="196">
        <f t="array" ref="AL55">IFERROR(
(MEDIAN((IF(DATOS_[[Sexo]:[Sexo]]=$B55,IF(DATOS_[[AGRUP. CLAS. PROF.]:[AGRUP. CLAS. PROF.]]=$B54,IF(DATOS_[[Check Periodo Ref.]:[Check Periodo Ref.]]="Dentro",IF(DATOS_[[Check Equiparado]:[Check Equiparado]]="Sí",IF(DATOS!BG$5="Sí",(1/DATOS_[[% anualiz]:[% anualiz]]),1)*IF(DATOS!BG$4="Sí",1/DATOS_[[% normaliz]:[% normaliz]],1)*(DATOS_[Conc.Sal.29])))))))),
0)</f>
        <v>0</v>
      </c>
      <c r="AM55" s="196">
        <f t="array" ref="AM55">IFERROR(
(MEDIAN((IF(DATOS_[[Sexo]:[Sexo]]=$B55,IF(DATOS_[[AGRUP. CLAS. PROF.]:[AGRUP. CLAS. PROF.]]=$B54,IF(DATOS_[[Check Periodo Ref.]:[Check Periodo Ref.]]="Dentro",IF(DATOS_[[Check Equiparado]:[Check Equiparado]]="Sí",IF(DATOS!BH$5="Sí",(1/DATOS_[[% anualiz]:[% anualiz]]),1)*IF(DATOS!BH$4="Sí",1/DATOS_[[% normaliz]:[% normaliz]],1)*(DATOS_[Conc.Sal.30])))))))),
0)</f>
        <v>0</v>
      </c>
      <c r="AN55" s="195">
        <f t="array" ref="AN55">IFERROR(
MEDIAN(IF(DATOS_[Sexo]=$B55,IF(DATOS_[[AGRUP. CLAS. PROF.]:[AGRUP. CLAS. PROF.]]=$B54,IF(DATOS_[Check Equiparado]="Sí",IF(DATOS_[Check Periodo Ref.]="Dentro",DATOS_[Tot COMPL.SAL Eq],FALSE))))),
0)</f>
        <v>0</v>
      </c>
      <c r="AO55" s="172">
        <f t="array" ref="AO55">IFERROR(
MEDIAN(IF(DATOS_[Sexo]=$B55,IF(DATOS_[[AGRUP. CLAS. PROF.]:[AGRUP. CLAS. PROF.]]=$B54,IF(DATOS_[Check Equiparado]="Sí",IF(DATOS_[Check Periodo Ref.]="Dentro",DATOS_[TOTAL SALARIO Eq],FALSE))))),
0)</f>
        <v>0</v>
      </c>
      <c r="AP55" s="173">
        <f t="array" ref="AP55">IFERROR(
(MEDIAN((IF(DATOS_[[Sexo]:[Sexo]]=$B55,IF(DATOS_[[AGRUP. CLAS. PROF.]:[AGRUP. CLAS. PROF.]]=$B54,IF(DATOS_[[Check Periodo Ref.]:[Check Periodo Ref.]]="Dentro",IF(DATOS_[[Check Equiparado]:[Check Equiparado]]="Sí",IF(DATOS!BW$5="Sí",(1/DATOS_[[% anualiz]:[% anualiz]]),1)*IF(DATOS!BW$4="Sí",1/DATOS_[[% normaliz]:[% normaliz]],1)*(DATOS_[C.Extra.01])))))))),
0)</f>
        <v>0</v>
      </c>
      <c r="AQ55" s="173">
        <f t="array" ref="AQ55">IFERROR(
(MEDIAN((IF(DATOS_[[Sexo]:[Sexo]]=$B55,IF(DATOS_[[AGRUP. CLAS. PROF.]:[AGRUP. CLAS. PROF.]]=$B54,IF(DATOS_[[Check Periodo Ref.]:[Check Periodo Ref.]]="Dentro",IF(DATOS_[[Check Equiparado]:[Check Equiparado]]="Sí",IF(DATOS!CB$5="Sí",(1/DATOS_[[% anualiz]:[% anualiz]]),1)*IF(DATOS!CB$4="Sí",1/DATOS_[[% normaliz]:[% normaliz]],1)*(DATOS_[C.Extra.06])))))))),
0)</f>
        <v>0</v>
      </c>
      <c r="AR55" s="173">
        <f t="array" ref="AR55">IFERROR(
(MEDIAN((IF(DATOS_[[Sexo]:[Sexo]]=$B55,IF(DATOS_[[AGRUP. CLAS. PROF.]:[AGRUP. CLAS. PROF.]]=$B54,IF(DATOS_[[Check Periodo Ref.]:[Check Periodo Ref.]]="Dentro",IF(DATOS_[[Check Equiparado]:[Check Equiparado]]="Sí",IF(DATOS!CC$5="Sí",(1/DATOS_[[% anualiz]:[% anualiz]]),1)*IF(DATOS!CC$4="Sí",1/DATOS_[[% normaliz]:[% normaliz]],1)*(DATOS_[C.Extra.07])))))))),
0)</f>
        <v>0</v>
      </c>
      <c r="AS55" s="173">
        <f t="array" ref="AS55">IFERROR(
(MEDIAN((IF(DATOS_[[Sexo]:[Sexo]]=$B55,IF(DATOS_[[AGRUP. CLAS. PROF.]:[AGRUP. CLAS. PROF.]]=$B54,IF(DATOS_[[Check Periodo Ref.]:[Check Periodo Ref.]]="Dentro",IF(DATOS_[[Check Equiparado]:[Check Equiparado]]="Sí",IF(DATOS!CD$5="Sí",(1/DATOS_[[% anualiz]:[% anualiz]]),1)*IF(DATOS!CD$4="Sí",1/DATOS_[[% normaliz]:[% normaliz]],1)*(DATOS_[C.Extra.08])))))))),
0)</f>
        <v>0</v>
      </c>
      <c r="AT55" s="173">
        <f t="array" ref="AT55">IFERROR(
(MEDIAN((IF(DATOS_[[Sexo]:[Sexo]]=$B55,IF(DATOS_[[AGRUP. CLAS. PROF.]:[AGRUP. CLAS. PROF.]]=$B54,IF(DATOS_[[Check Periodo Ref.]:[Check Periodo Ref.]]="Dentro",IF(DATOS_[[Check Equiparado]:[Check Equiparado]]="Sí",IF(DATOS!CG$5="Sí",(1/DATOS_[[% anualiz]:[% anualiz]]),1)*IF(DATOS!CG$4="Sí",1/DATOS_[[% normaliz]:[% normaliz]],1)*(DATOS_[C.Extra.11])))))))),
0)</f>
        <v>0</v>
      </c>
      <c r="AU55" s="197">
        <f t="array" ref="AU55">IFERROR(
MEDIAN(IF(DATOS_[Sexo]=$B55,IF(DATOS_[[AGRUP. CLAS. PROF.]:[AGRUP. CLAS. PROF.]]=$B54,IF(DATOS_[Check Equiparado]="Sí",IF(DATOS_[Check Periodo Ref.]="Dentro",DATOS_[Tot Extrasalarial Eq],FALSE))))),
0)</f>
        <v>0</v>
      </c>
      <c r="AV55" s="175">
        <f t="array" ref="AV55">IFERROR(
MEDIAN(IF(DATOS_[Sexo]=$B55,IF(DATOS_[[AGRUP. CLAS. PROF.]:[AGRUP. CLAS. PROF.]]=$B54,IF(DATOS_[Check Equiparado]="Sí",IF(DATOS_[Check Periodo Ref.]="Dentro",DATOS_[TOTAL Retrib Eq],FALSE))))),
0)</f>
        <v>0</v>
      </c>
    </row>
    <row r="56" spans="1:48" hidden="1" x14ac:dyDescent="0.25">
      <c r="A56" s="133" t="str">
        <f t="shared" ref="A56" si="58">+A55</f>
        <v>[ocultar]</v>
      </c>
      <c r="B56" s="202" t="s">
        <v>521</v>
      </c>
      <c r="C56" s="203">
        <f t="array" ref="C56">SUM(IF($B56=DATOS_[Sexo],
IF($B54=DATOS_[AGRUP. CLAS. PROF.],
IF("Dentro"=DATOS_[Check Periodo Ref.],
1/(COUNTIFS(DATOS_[Sexo],$B56,DATOS_[AGRUP. CLAS. PROF.],$B54,DATOS_[Check Periodo Ref.],"Dentro",DATOS_[id/cod],DATOS_[id/cod]))))))</f>
        <v>0</v>
      </c>
      <c r="D56" s="204">
        <f>COUNTIFS(DATOS_[AGRUP. CLAS. PROF.],$B54,DATOS_[Sexo],$B56,DATOS_[Check Periodo Ref.],"Dentro")</f>
        <v>0</v>
      </c>
      <c r="E56" s="204">
        <f>COUNTIFS(DATOS_[AGRUP. CLAS. PROF.],$B54,DATOS_[Sexo],$B56,DATOS_[Check Periodo Ref.],"Dentro",DATOS_[Check Nº SC Norm],"Sí")</f>
        <v>0</v>
      </c>
      <c r="F56" s="204">
        <f>COUNTIFS(DATOS_[AGRUP. CLAS. PROF.],$B54,DATOS_[Sexo],$B56,DATOS_[Check Periodo Ref.],"Dentro",DATOS_[Check Nº SC Anualiz],"Sí")</f>
        <v>0</v>
      </c>
      <c r="G56" s="204">
        <f>COUNTIFS(DATOS_[AGRUP. CLAS. PROF.],$B54,DATOS_[Sexo],$B56,DATOS_[Check Periodo Ref.],"Dentro",DATOS_[Check Nº SC Norm y Anualiz],"Sí")</f>
        <v>0</v>
      </c>
      <c r="H56" s="204">
        <f>COUNTIFS(DATOS_[AGRUP. CLAS. PROF.],$B54,DATOS_[Sexo],$B56,DATOS_[Check Periodo Ref.],"Dentro",DATOS_[Check Equiparación],"Sí")</f>
        <v>0</v>
      </c>
      <c r="I56" s="195" cm="1">
        <f t="array" ref="I56">IFERROR(
MEDIAN(IF(DATOS_[Sexo]=$B56,IF(DATOS_[[AGRUP. CLAS. PROF.]:[AGRUP. CLAS. PROF.]]=$B54,IF(DATOS_[Check Equiparado]="Sí",IF(DATOS_[Check Periodo Ref.]="Dentro",DATOS_[SALARIO BASE Eq],FALSE))))),
0)</f>
        <v>0</v>
      </c>
      <c r="J56" s="196">
        <f t="array" ref="J56">IFERROR(
(MEDIAN((IF(DATOS_[[Sexo]:[Sexo]]=$B56,IF(DATOS_[[AGRUP. CLAS. PROF.]:[AGRUP. CLAS. PROF.]]=$B54,IF(DATOS_[[Check Periodo Ref.]:[Check Periodo Ref.]]="Dentro",IF(DATOS_[[Check Equiparado]:[Check Equiparado]]="Sí",IF(DATOS!AE$5="Sí",(1/DATOS_[[% anualiz]:[% anualiz]]),1)*IF(DATOS!AE$4="Sí",1/DATOS_[[% normaliz]:[% normaliz]],1)*(DATOS_[Conc.Sal.01])))))))),
0)</f>
        <v>0</v>
      </c>
      <c r="K56" s="196">
        <f t="array" ref="K56">IFERROR(
(MEDIAN((IF(DATOS_[[Sexo]:[Sexo]]=$B56,IF(DATOS_[[AGRUP. CLAS. PROF.]:[AGRUP. CLAS. PROF.]]=$B54,IF(DATOS_[[Check Periodo Ref.]:[Check Periodo Ref.]]="Dentro",IF(DATOS_[[Check Equiparado]:[Check Equiparado]]="Sí",IF(DATOS!AF$5="Sí",(1/DATOS_[[% anualiz]:[% anualiz]]),1)*IF(DATOS!AF$4="Sí",1/DATOS_[[% normaliz]:[% normaliz]],1)*(DATOS_[Conc.Sal.02])))))))),
0)</f>
        <v>0</v>
      </c>
      <c r="L56" s="196">
        <f t="array" ref="L56">IFERROR(
(MEDIAN((IF(DATOS_[[Sexo]:[Sexo]]=$B56,IF(DATOS_[[AGRUP. CLAS. PROF.]:[AGRUP. CLAS. PROF.]]=$B54,IF(DATOS_[[Check Periodo Ref.]:[Check Periodo Ref.]]="Dentro",IF(DATOS_[[Check Equiparado]:[Check Equiparado]]="Sí",IF(DATOS!AG$5="Sí",(1/DATOS_[[% anualiz]:[% anualiz]]),1)*IF(DATOS!AG$4="Sí",1/DATOS_[[% normaliz]:[% normaliz]],1)*(DATOS_[Conc.Sal.03])))))))),
0)</f>
        <v>0</v>
      </c>
      <c r="M56" s="196">
        <f t="array" ref="M56">IFERROR(
(MEDIAN((IF(DATOS_[[Sexo]:[Sexo]]=$B56,IF(DATOS_[[AGRUP. CLAS. PROF.]:[AGRUP. CLAS. PROF.]]=$B54,IF(DATOS_[[Check Periodo Ref.]:[Check Periodo Ref.]]="Dentro",IF(DATOS_[[Check Equiparado]:[Check Equiparado]]="Sí",IF(DATOS!AH$5="Sí",(1/DATOS_[[% anualiz]:[% anualiz]]),1)*IF(DATOS!AH$4="Sí",1/DATOS_[[% normaliz]:[% normaliz]],1)*(DATOS_[Conc.Sal.04])))))))),
0)</f>
        <v>0</v>
      </c>
      <c r="N56" s="196">
        <f t="array" ref="N56">IFERROR(
(MEDIAN((IF(DATOS_[[Sexo]:[Sexo]]=$B56,IF(DATOS_[[AGRUP. CLAS. PROF.]:[AGRUP. CLAS. PROF.]]=$B54,IF(DATOS_[[Check Periodo Ref.]:[Check Periodo Ref.]]="Dentro",IF(DATOS_[[Check Equiparado]:[Check Equiparado]]="Sí",IF(DATOS!AI$5="Sí",(1/DATOS_[[% anualiz]:[% anualiz]]),1)*IF(DATOS!AI$4="Sí",1/DATOS_[[% normaliz]:[% normaliz]],1)*(DATOS_[Conc.Sal.05])))))))),
0)</f>
        <v>0</v>
      </c>
      <c r="O56" s="196">
        <f t="array" ref="O56">IFERROR(
(MEDIAN((IF(DATOS_[[Sexo]:[Sexo]]=$B56,IF(DATOS_[[AGRUP. CLAS. PROF.]:[AGRUP. CLAS. PROF.]]=$B54,IF(DATOS_[[Check Periodo Ref.]:[Check Periodo Ref.]]="Dentro",IF(DATOS_[[Check Equiparado]:[Check Equiparado]]="Sí",IF(DATOS!AJ$5="Sí",(1/DATOS_[[% anualiz]:[% anualiz]]),1)*IF(DATOS!AJ$4="Sí",1/DATOS_[[% normaliz]:[% normaliz]],1)*(DATOS_[Conc.Sal.06])))))))),
0)</f>
        <v>0</v>
      </c>
      <c r="P56" s="196">
        <f t="array" ref="P56">IFERROR(
(MEDIAN((IF(DATOS_[[Sexo]:[Sexo]]=$B56,IF(DATOS_[[AGRUP. CLAS. PROF.]:[AGRUP. CLAS. PROF.]]=$B54,IF(DATOS_[[Check Periodo Ref.]:[Check Periodo Ref.]]="Dentro",IF(DATOS_[[Check Equiparado]:[Check Equiparado]]="Sí",IF(DATOS!AK$5="Sí",(1/DATOS_[[% anualiz]:[% anualiz]]),1)*IF(DATOS!AK$4="Sí",1/DATOS_[[% normaliz]:[% normaliz]],1)*(DATOS_[Conc.Sal.07])))))))),
0)</f>
        <v>0</v>
      </c>
      <c r="Q56" s="196">
        <f t="array" ref="Q56">IFERROR(
(MEDIAN((IF(DATOS_[[Sexo]:[Sexo]]=$B56,IF(DATOS_[[AGRUP. CLAS. PROF.]:[AGRUP. CLAS. PROF.]]=$B54,IF(DATOS_[[Check Periodo Ref.]:[Check Periodo Ref.]]="Dentro",IF(DATOS_[[Check Equiparado]:[Check Equiparado]]="Sí",IF(DATOS!AL$5="Sí",(1/DATOS_[[% anualiz]:[% anualiz]]),1)*IF(DATOS!AL$4="Sí",1/DATOS_[[% normaliz]:[% normaliz]],1)*(DATOS_[Conc.Sal.08])))))))),
0)</f>
        <v>0</v>
      </c>
      <c r="R56" s="196">
        <f t="array" ref="R56">IFERROR(
(MEDIAN((IF(DATOS_[[Sexo]:[Sexo]]=$B56,IF(DATOS_[[AGRUP. CLAS. PROF.]:[AGRUP. CLAS. PROF.]]=$B54,IF(DATOS_[[Check Periodo Ref.]:[Check Periodo Ref.]]="Dentro",IF(DATOS_[[Check Equiparado]:[Check Equiparado]]="Sí",IF(DATOS!AM$5="Sí",(1/DATOS_[[% anualiz]:[% anualiz]]),1)*IF(DATOS!AM$4="Sí",1/DATOS_[[% normaliz]:[% normaliz]],1)*(DATOS_[Conc.Sal.09])))))))),
0)</f>
        <v>0</v>
      </c>
      <c r="S56" s="196">
        <f t="array" ref="S56">IFERROR(
(MEDIAN((IF(DATOS_[[Sexo]:[Sexo]]=$B56,IF(DATOS_[[AGRUP. CLAS. PROF.]:[AGRUP. CLAS. PROF.]]=$B54,IF(DATOS_[[Check Periodo Ref.]:[Check Periodo Ref.]]="Dentro",IF(DATOS_[[Check Equiparado]:[Check Equiparado]]="Sí",IF(DATOS!AN$5="Sí",(1/DATOS_[[% anualiz]:[% anualiz]]),1)*IF(DATOS!AN$4="Sí",1/DATOS_[[% normaliz]:[% normaliz]],1)*(DATOS_[Conc.Sal.10])))))))),
0)</f>
        <v>0</v>
      </c>
      <c r="T56" s="196">
        <f t="array" ref="T56">IFERROR(
(MEDIAN((IF(DATOS_[[Sexo]:[Sexo]]=$B56,IF(DATOS_[[AGRUP. CLAS. PROF.]:[AGRUP. CLAS. PROF.]]=$B54,IF(DATOS_[[Check Periodo Ref.]:[Check Periodo Ref.]]="Dentro",IF(DATOS_[[Check Equiparado]:[Check Equiparado]]="Sí",IF(DATOS!AO$5="Sí",(1/DATOS_[[% anualiz]:[% anualiz]]),1)*IF(DATOS!AO$4="Sí",1/DATOS_[[% normaliz]:[% normaliz]],1)*(DATOS_[Conc.Sal.11])))))))),
0)</f>
        <v>0</v>
      </c>
      <c r="U56" s="196">
        <f t="array" ref="U56">IFERROR(
(MEDIAN((IF(DATOS_[[Sexo]:[Sexo]]=$B56,IF(DATOS_[[AGRUP. CLAS. PROF.]:[AGRUP. CLAS. PROF.]]=$B54,IF(DATOS_[[Check Periodo Ref.]:[Check Periodo Ref.]]="Dentro",IF(DATOS_[[Check Equiparado]:[Check Equiparado]]="Sí",IF(DATOS!AP$5="Sí",(1/DATOS_[[% anualiz]:[% anualiz]]),1)*IF(DATOS!AP$4="Sí",1/DATOS_[[% normaliz]:[% normaliz]],1)*(DATOS_[Conc.Sal.12])))))))),
0)</f>
        <v>0</v>
      </c>
      <c r="V56" s="196">
        <f t="array" ref="V56">IFERROR(
(MEDIAN((IF(DATOS_[[Sexo]:[Sexo]]=$B56,IF(DATOS_[[AGRUP. CLAS. PROF.]:[AGRUP. CLAS. PROF.]]=$B54,IF(DATOS_[[Check Periodo Ref.]:[Check Periodo Ref.]]="Dentro",IF(DATOS_[[Check Equiparado]:[Check Equiparado]]="Sí",IF(DATOS!AQ$5="Sí",(1/DATOS_[[% anualiz]:[% anualiz]]),1)*IF(DATOS!AQ$4="Sí",1/DATOS_[[% normaliz]:[% normaliz]],1)*(DATOS_[Conc.Sal.13])))))))),
0)</f>
        <v>0</v>
      </c>
      <c r="W56" s="196">
        <f t="array" ref="W56">IFERROR(
(MEDIAN((IF(DATOS_[[Sexo]:[Sexo]]=$B56,IF(DATOS_[[AGRUP. CLAS. PROF.]:[AGRUP. CLAS. PROF.]]=$B54,IF(DATOS_[[Check Periodo Ref.]:[Check Periodo Ref.]]="Dentro",IF(DATOS_[[Check Equiparado]:[Check Equiparado]]="Sí",IF(DATOS!AR$5="Sí",(1/DATOS_[[% anualiz]:[% anualiz]]),1)*IF(DATOS!AR$4="Sí",1/DATOS_[[% normaliz]:[% normaliz]],1)*(DATOS_[Conc.Sal.14])))))))),
0)</f>
        <v>0</v>
      </c>
      <c r="X56" s="196">
        <f t="array" ref="X56">IFERROR(
(MEDIAN((IF(DATOS_[[Sexo]:[Sexo]]=$B56,IF(DATOS_[[AGRUP. CLAS. PROF.]:[AGRUP. CLAS. PROF.]]=$B54,IF(DATOS_[[Check Periodo Ref.]:[Check Periodo Ref.]]="Dentro",IF(DATOS_[[Check Equiparado]:[Check Equiparado]]="Sí",IF(DATOS!AS$5="Sí",(1/DATOS_[[% anualiz]:[% anualiz]]),1)*IF(DATOS!AS$4="Sí",1/DATOS_[[% normaliz]:[% normaliz]],1)*(DATOS_[Conc.Sal.15])))))))),
0)</f>
        <v>0</v>
      </c>
      <c r="Y56" s="196">
        <f t="array" ref="Y56">IFERROR(
(MEDIAN((IF(DATOS_[[Sexo]:[Sexo]]=$B56,IF(DATOS_[[AGRUP. CLAS. PROF.]:[AGRUP. CLAS. PROF.]]=$B54,IF(DATOS_[[Check Periodo Ref.]:[Check Periodo Ref.]]="Dentro",IF(DATOS_[[Check Equiparado]:[Check Equiparado]]="Sí",IF(DATOS!AT$5="Sí",(1/DATOS_[[% anualiz]:[% anualiz]]),1)*IF(DATOS!AT$4="Sí",1/DATOS_[[% normaliz]:[% normaliz]],1)*(DATOS_[Conc.Sal.16])))))))),
0)</f>
        <v>0</v>
      </c>
      <c r="Z56" s="196">
        <f t="array" ref="Z56">IFERROR(
(MEDIAN((IF(DATOS_[[Sexo]:[Sexo]]=$B56,IF(DATOS_[[AGRUP. CLAS. PROF.]:[AGRUP. CLAS. PROF.]]=$B54,IF(DATOS_[[Check Periodo Ref.]:[Check Periodo Ref.]]="Dentro",IF(DATOS_[[Check Equiparado]:[Check Equiparado]]="Sí",IF(DATOS!AU$5="Sí",(1/DATOS_[[% anualiz]:[% anualiz]]),1)*IF(DATOS!AU$4="Sí",1/DATOS_[[% normaliz]:[% normaliz]],1)*(DATOS_[Conc.Sal.17])))))))),
0)</f>
        <v>0</v>
      </c>
      <c r="AA56" s="196">
        <f t="array" ref="AA56">IFERROR(
(MEDIAN((IF(DATOS_[[Sexo]:[Sexo]]=$B56,IF(DATOS_[[AGRUP. CLAS. PROF.]:[AGRUP. CLAS. PROF.]]=$B54,IF(DATOS_[[Check Periodo Ref.]:[Check Periodo Ref.]]="Dentro",IF(DATOS_[[Check Equiparado]:[Check Equiparado]]="Sí",IF(DATOS!AV$5="Sí",(1/DATOS_[[% anualiz]:[% anualiz]]),1)*IF(DATOS!AV$4="Sí",1/DATOS_[[% normaliz]:[% normaliz]],1)*(DATOS_[Conc.Sal.18])))))))),
0)</f>
        <v>0</v>
      </c>
      <c r="AB56" s="196">
        <f t="array" ref="AB56">IFERROR(
(MEDIAN((IF(DATOS_[[Sexo]:[Sexo]]=$B56,IF(DATOS_[[AGRUP. CLAS. PROF.]:[AGRUP. CLAS. PROF.]]=$B54,IF(DATOS_[[Check Periodo Ref.]:[Check Periodo Ref.]]="Dentro",IF(DATOS_[[Check Equiparado]:[Check Equiparado]]="Sí",IF(DATOS!AW$5="Sí",(1/DATOS_[[% anualiz]:[% anualiz]]),1)*IF(DATOS!AW$4="Sí",1/DATOS_[[% normaliz]:[% normaliz]],1)*(DATOS_[Conc.Sal.19])))))))),
0)</f>
        <v>0</v>
      </c>
      <c r="AC56" s="196">
        <f t="array" ref="AC56">IFERROR(
(MEDIAN((IF(DATOS_[[Sexo]:[Sexo]]=$B56,IF(DATOS_[[AGRUP. CLAS. PROF.]:[AGRUP. CLAS. PROF.]]=$B54,IF(DATOS_[[Check Periodo Ref.]:[Check Periodo Ref.]]="Dentro",IF(DATOS_[[Check Equiparado]:[Check Equiparado]]="Sí",IF(DATOS!AX$5="Sí",(1/DATOS_[[% anualiz]:[% anualiz]]),1)*IF(DATOS!AX$4="Sí",1/DATOS_[[% normaliz]:[% normaliz]],1)*(DATOS_[Conc.Sal.20])))))))),
0)</f>
        <v>0</v>
      </c>
      <c r="AD56" s="196">
        <f t="array" ref="AD56">IFERROR(
(MEDIAN((IF(DATOS_[[Sexo]:[Sexo]]=$B56,IF(DATOS_[[AGRUP. CLAS. PROF.]:[AGRUP. CLAS. PROF.]]=$B54,IF(DATOS_[[Check Periodo Ref.]:[Check Periodo Ref.]]="Dentro",IF(DATOS_[[Check Equiparado]:[Check Equiparado]]="Sí",IF(DATOS!AY$5="Sí",(1/DATOS_[[% anualiz]:[% anualiz]]),1)*IF(DATOS!AY$4="Sí",1/DATOS_[[% normaliz]:[% normaliz]],1)*(DATOS_[Conc.Sal.21])))))))),
0)</f>
        <v>0</v>
      </c>
      <c r="AE56" s="196">
        <f t="array" ref="AE56">IFERROR(
(MEDIAN((IF(DATOS_[[Sexo]:[Sexo]]=$B56,IF(DATOS_[[AGRUP. CLAS. PROF.]:[AGRUP. CLAS. PROF.]]=$B54,IF(DATOS_[[Check Periodo Ref.]:[Check Periodo Ref.]]="Dentro",IF(DATOS_[[Check Equiparado]:[Check Equiparado]]="Sí",IF(DATOS!AZ$5="Sí",(1/DATOS_[[% anualiz]:[% anualiz]]),1)*IF(DATOS!AZ$4="Sí",1/DATOS_[[% normaliz]:[% normaliz]],1)*(DATOS_[Conc.Sal.22])))))))),
0)</f>
        <v>0</v>
      </c>
      <c r="AF56" s="196">
        <f t="array" ref="AF56">IFERROR(
(MEDIAN((IF(DATOS_[[Sexo]:[Sexo]]=$B56,IF(DATOS_[[AGRUP. CLAS. PROF.]:[AGRUP. CLAS. PROF.]]=$B54,IF(DATOS_[[Check Periodo Ref.]:[Check Periodo Ref.]]="Dentro",IF(DATOS_[[Check Equiparado]:[Check Equiparado]]="Sí",IF(DATOS!BA$5="Sí",(1/DATOS_[[% anualiz]:[% anualiz]]),1)*IF(DATOS!BA$4="Sí",1/DATOS_[[% normaliz]:[% normaliz]],1)*(DATOS_[Conc.Sal.23])))))))),
0)</f>
        <v>0</v>
      </c>
      <c r="AG56" s="196">
        <f t="array" ref="AG56">IFERROR(
(MEDIAN((IF(DATOS_[[Sexo]:[Sexo]]=$B56,IF(DATOS_[[AGRUP. CLAS. PROF.]:[AGRUP. CLAS. PROF.]]=$B54,IF(DATOS_[[Check Periodo Ref.]:[Check Periodo Ref.]]="Dentro",IF(DATOS_[[Check Equiparado]:[Check Equiparado]]="Sí",IF(DATOS!BB$5="Sí",(1/DATOS_[[% anualiz]:[% anualiz]]),1)*IF(DATOS!BB$4="Sí",1/DATOS_[[% normaliz]:[% normaliz]],1)*(DATOS_[Conc.Sal.24])))))))),
0)</f>
        <v>0</v>
      </c>
      <c r="AH56" s="196">
        <f t="array" ref="AH56">IFERROR(
(MEDIAN((IF(DATOS_[[Sexo]:[Sexo]]=$B56,IF(DATOS_[[AGRUP. CLAS. PROF.]:[AGRUP. CLAS. PROF.]]=$B54,IF(DATOS_[[Check Periodo Ref.]:[Check Periodo Ref.]]="Dentro",IF(DATOS_[[Check Equiparado]:[Check Equiparado]]="Sí",IF(DATOS!BC$5="Sí",(1/DATOS_[[% anualiz]:[% anualiz]]),1)*IF(DATOS!BC$4="Sí",1/DATOS_[[% normaliz]:[% normaliz]],1)*(DATOS_[Conc.Sal.25])))))))),
0)</f>
        <v>0</v>
      </c>
      <c r="AI56" s="196">
        <f t="array" ref="AI56">IFERROR(
(MEDIAN((IF(DATOS_[[Sexo]:[Sexo]]=$B56,IF(DATOS_[[AGRUP. CLAS. PROF.]:[AGRUP. CLAS. PROF.]]=$B54,IF(DATOS_[[Check Periodo Ref.]:[Check Periodo Ref.]]="Dentro",IF(DATOS_[[Check Equiparado]:[Check Equiparado]]="Sí",IF(DATOS!BD$5="Sí",(1/DATOS_[[% anualiz]:[% anualiz]]),1)*IF(DATOS!BD$4="Sí",1/DATOS_[[% normaliz]:[% normaliz]],1)*(DATOS_[Conc.Sal.26])))))))),
0)</f>
        <v>0</v>
      </c>
      <c r="AJ56" s="196">
        <f t="array" ref="AJ56">IFERROR(
(MEDIAN((IF(DATOS_[[Sexo]:[Sexo]]=$B56,IF(DATOS_[[AGRUP. CLAS. PROF.]:[AGRUP. CLAS. PROF.]]=$B54,IF(DATOS_[[Check Periodo Ref.]:[Check Periodo Ref.]]="Dentro",IF(DATOS_[[Check Equiparado]:[Check Equiparado]]="Sí",IF(DATOS!BE$5="Sí",(1/DATOS_[[% anualiz]:[% anualiz]]),1)*IF(DATOS!BE$4="Sí",1/DATOS_[[% normaliz]:[% normaliz]],1)*(DATOS_[Conc.Sal.27])))))))),
0)</f>
        <v>0</v>
      </c>
      <c r="AK56" s="196">
        <f t="array" ref="AK56">IFERROR(
(MEDIAN((IF(DATOS_[[Sexo]:[Sexo]]=$B56,IF(DATOS_[[AGRUP. CLAS. PROF.]:[AGRUP. CLAS. PROF.]]=$B54,IF(DATOS_[[Check Periodo Ref.]:[Check Periodo Ref.]]="Dentro",IF(DATOS_[[Check Equiparado]:[Check Equiparado]]="Sí",IF(DATOS!BF$5="Sí",(1/DATOS_[[% anualiz]:[% anualiz]]),1)*IF(DATOS!BF$4="Sí",1/DATOS_[[% normaliz]:[% normaliz]],1)*(DATOS_[Conc.Sal.28])))))))),
0)</f>
        <v>0</v>
      </c>
      <c r="AL56" s="196">
        <f t="array" ref="AL56">IFERROR(
(MEDIAN((IF(DATOS_[[Sexo]:[Sexo]]=$B56,IF(DATOS_[[AGRUP. CLAS. PROF.]:[AGRUP. CLAS. PROF.]]=$B54,IF(DATOS_[[Check Periodo Ref.]:[Check Periodo Ref.]]="Dentro",IF(DATOS_[[Check Equiparado]:[Check Equiparado]]="Sí",IF(DATOS!BG$5="Sí",(1/DATOS_[[% anualiz]:[% anualiz]]),1)*IF(DATOS!BG$4="Sí",1/DATOS_[[% normaliz]:[% normaliz]],1)*(DATOS_[Conc.Sal.29])))))))),
0)</f>
        <v>0</v>
      </c>
      <c r="AM56" s="196">
        <f t="array" ref="AM56">IFERROR(
(MEDIAN((IF(DATOS_[[Sexo]:[Sexo]]=$B56,IF(DATOS_[[AGRUP. CLAS. PROF.]:[AGRUP. CLAS. PROF.]]=$B54,IF(DATOS_[[Check Periodo Ref.]:[Check Periodo Ref.]]="Dentro",IF(DATOS_[[Check Equiparado]:[Check Equiparado]]="Sí",IF(DATOS!BH$5="Sí",(1/DATOS_[[% anualiz]:[% anualiz]]),1)*IF(DATOS!BH$4="Sí",1/DATOS_[[% normaliz]:[% normaliz]],1)*(DATOS_[Conc.Sal.30])))))))),
0)</f>
        <v>0</v>
      </c>
      <c r="AN56" s="195">
        <f t="array" ref="AN56">IFERROR(
MEDIAN(IF(DATOS_[Sexo]=$B56,IF(DATOS_[[AGRUP. CLAS. PROF.]:[AGRUP. CLAS. PROF.]]=$B54,IF(DATOS_[Check Equiparado]="Sí",IF(DATOS_[Check Periodo Ref.]="Dentro",DATOS_[Tot COMPL.SAL Eq],FALSE))))),
0)</f>
        <v>0</v>
      </c>
      <c r="AO56" s="172">
        <f t="array" ref="AO56">IFERROR(
MEDIAN(IF(DATOS_[Sexo]=$B56,IF(DATOS_[[AGRUP. CLAS. PROF.]:[AGRUP. CLAS. PROF.]]=$B54,IF(DATOS_[Check Equiparado]="Sí",IF(DATOS_[Check Periodo Ref.]="Dentro",DATOS_[TOTAL SALARIO Eq],FALSE))))),
0)</f>
        <v>0</v>
      </c>
      <c r="AP56" s="173">
        <f t="array" ref="AP56">IFERROR(
(MEDIAN((IF(DATOS_[[Sexo]:[Sexo]]=$B56,IF(DATOS_[[AGRUP. CLAS. PROF.]:[AGRUP. CLAS. PROF.]]=$B54,IF(DATOS_[[Check Periodo Ref.]:[Check Periodo Ref.]]="Dentro",IF(DATOS_[[Check Equiparado]:[Check Equiparado]]="Sí",IF(DATOS!BW$5="Sí",(1/DATOS_[[% anualiz]:[% anualiz]]),1)*IF(DATOS!BW$4="Sí",1/DATOS_[[% normaliz]:[% normaliz]],1)*(DATOS_[C.Extra.01])))))))),
0)</f>
        <v>0</v>
      </c>
      <c r="AQ56" s="173">
        <f t="array" ref="AQ56">IFERROR(
(MEDIAN((IF(DATOS_[[Sexo]:[Sexo]]=$B56,IF(DATOS_[[AGRUP. CLAS. PROF.]:[AGRUP. CLAS. PROF.]]=$B54,IF(DATOS_[[Check Periodo Ref.]:[Check Periodo Ref.]]="Dentro",IF(DATOS_[[Check Equiparado]:[Check Equiparado]]="Sí",IF(DATOS!CB$5="Sí",(1/DATOS_[[% anualiz]:[% anualiz]]),1)*IF(DATOS!CB$4="Sí",1/DATOS_[[% normaliz]:[% normaliz]],1)*(DATOS_[C.Extra.06])))))))),
0)</f>
        <v>0</v>
      </c>
      <c r="AR56" s="173">
        <f t="array" ref="AR56">IFERROR(
(MEDIAN((IF(DATOS_[[Sexo]:[Sexo]]=$B56,IF(DATOS_[[AGRUP. CLAS. PROF.]:[AGRUP. CLAS. PROF.]]=$B54,IF(DATOS_[[Check Periodo Ref.]:[Check Periodo Ref.]]="Dentro",IF(DATOS_[[Check Equiparado]:[Check Equiparado]]="Sí",IF(DATOS!CC$5="Sí",(1/DATOS_[[% anualiz]:[% anualiz]]),1)*IF(DATOS!CC$4="Sí",1/DATOS_[[% normaliz]:[% normaliz]],1)*(DATOS_[C.Extra.07])))))))),
0)</f>
        <v>0</v>
      </c>
      <c r="AS56" s="173">
        <f t="array" ref="AS56">IFERROR(
(MEDIAN((IF(DATOS_[[Sexo]:[Sexo]]=$B56,IF(DATOS_[[AGRUP. CLAS. PROF.]:[AGRUP. CLAS. PROF.]]=$B54,IF(DATOS_[[Check Periodo Ref.]:[Check Periodo Ref.]]="Dentro",IF(DATOS_[[Check Equiparado]:[Check Equiparado]]="Sí",IF(DATOS!CD$5="Sí",(1/DATOS_[[% anualiz]:[% anualiz]]),1)*IF(DATOS!CD$4="Sí",1/DATOS_[[% normaliz]:[% normaliz]],1)*(DATOS_[C.Extra.08])))))))),
0)</f>
        <v>0</v>
      </c>
      <c r="AT56" s="173">
        <f t="array" ref="AT56">IFERROR(
(MEDIAN((IF(DATOS_[[Sexo]:[Sexo]]=$B56,IF(DATOS_[[AGRUP. CLAS. PROF.]:[AGRUP. CLAS. PROF.]]=$B54,IF(DATOS_[[Check Periodo Ref.]:[Check Periodo Ref.]]="Dentro",IF(DATOS_[[Check Equiparado]:[Check Equiparado]]="Sí",IF(DATOS!CG$5="Sí",(1/DATOS_[[% anualiz]:[% anualiz]]),1)*IF(DATOS!CG$4="Sí",1/DATOS_[[% normaliz]:[% normaliz]],1)*(DATOS_[C.Extra.11])))))))),
0)</f>
        <v>0</v>
      </c>
      <c r="AU56" s="197">
        <f t="array" ref="AU56">IFERROR(
MEDIAN(IF(DATOS_[Sexo]=$B56,IF(DATOS_[[AGRUP. CLAS. PROF.]:[AGRUP. CLAS. PROF.]]=$B54,IF(DATOS_[Check Equiparado]="Sí",IF(DATOS_[Check Periodo Ref.]="Dentro",DATOS_[Tot Extrasalarial Eq],FALSE))))),
0)</f>
        <v>0</v>
      </c>
      <c r="AV56" s="175">
        <f t="array" ref="AV56">IFERROR(
MEDIAN(IF(DATOS_[Sexo]=$B56,IF(DATOS_[[AGRUP. CLAS. PROF.]:[AGRUP. CLAS. PROF.]]=$B54,IF(DATOS_[Check Equiparado]="Sí",IF(DATOS_[Check Periodo Ref.]="Dentro",DATOS_[TOTAL Retrib Eq],FALSE))))),
0)</f>
        <v>0</v>
      </c>
    </row>
    <row r="57" spans="1:48" ht="15.6" hidden="1" thickBot="1" x14ac:dyDescent="0.3">
      <c r="A57" s="133" t="str">
        <f t="shared" ref="A57" si="59">+A58</f>
        <v>[ocultar]</v>
      </c>
      <c r="B57" s="199" t="s">
        <v>233</v>
      </c>
      <c r="C57" s="200"/>
      <c r="D57" s="201"/>
      <c r="E57" s="201"/>
      <c r="F57" s="201"/>
      <c r="G57" s="201"/>
      <c r="H57" s="201"/>
      <c r="I57" s="189" t="str">
        <f t="shared" ref="I57:AV57" si="60">IFERROR((I58-I59)/I58,"")</f>
        <v/>
      </c>
      <c r="J57" s="190" t="str">
        <f t="shared" si="60"/>
        <v/>
      </c>
      <c r="K57" s="191" t="str">
        <f t="shared" si="60"/>
        <v/>
      </c>
      <c r="L57" s="191" t="str">
        <f t="shared" si="60"/>
        <v/>
      </c>
      <c r="M57" s="191" t="str">
        <f t="shared" si="60"/>
        <v/>
      </c>
      <c r="N57" s="192" t="str">
        <f t="shared" si="60"/>
        <v/>
      </c>
      <c r="O57" s="193" t="str">
        <f t="shared" si="60"/>
        <v/>
      </c>
      <c r="P57" s="193" t="str">
        <f t="shared" si="60"/>
        <v/>
      </c>
      <c r="Q57" s="193" t="str">
        <f t="shared" si="60"/>
        <v/>
      </c>
      <c r="R57" s="193" t="str">
        <f t="shared" si="60"/>
        <v/>
      </c>
      <c r="S57" s="193" t="str">
        <f t="shared" si="60"/>
        <v/>
      </c>
      <c r="T57" s="193" t="str">
        <f t="shared" si="60"/>
        <v/>
      </c>
      <c r="U57" s="193" t="str">
        <f t="shared" si="60"/>
        <v/>
      </c>
      <c r="V57" s="193" t="str">
        <f t="shared" si="60"/>
        <v/>
      </c>
      <c r="W57" s="193" t="str">
        <f t="shared" si="60"/>
        <v/>
      </c>
      <c r="X57" s="193" t="str">
        <f t="shared" si="60"/>
        <v/>
      </c>
      <c r="Y57" s="193" t="str">
        <f t="shared" si="60"/>
        <v/>
      </c>
      <c r="Z57" s="193" t="str">
        <f t="shared" si="60"/>
        <v/>
      </c>
      <c r="AA57" s="193" t="str">
        <f t="shared" si="60"/>
        <v/>
      </c>
      <c r="AB57" s="193" t="str">
        <f t="shared" si="60"/>
        <v/>
      </c>
      <c r="AC57" s="193" t="str">
        <f t="shared" si="60"/>
        <v/>
      </c>
      <c r="AD57" s="193" t="str">
        <f t="shared" si="60"/>
        <v/>
      </c>
      <c r="AE57" s="193" t="str">
        <f t="shared" si="60"/>
        <v/>
      </c>
      <c r="AF57" s="193" t="str">
        <f t="shared" si="60"/>
        <v/>
      </c>
      <c r="AG57" s="193" t="str">
        <f t="shared" si="60"/>
        <v/>
      </c>
      <c r="AH57" s="193" t="str">
        <f t="shared" si="60"/>
        <v/>
      </c>
      <c r="AI57" s="193" t="str">
        <f t="shared" si="60"/>
        <v/>
      </c>
      <c r="AJ57" s="193" t="str">
        <f t="shared" si="60"/>
        <v/>
      </c>
      <c r="AK57" s="193" t="str">
        <f t="shared" si="60"/>
        <v/>
      </c>
      <c r="AL57" s="193" t="str">
        <f t="shared" si="60"/>
        <v/>
      </c>
      <c r="AM57" s="193" t="str">
        <f t="shared" si="60"/>
        <v/>
      </c>
      <c r="AN57" s="189" t="str">
        <f t="shared" si="60"/>
        <v/>
      </c>
      <c r="AO57" s="162" t="str">
        <f t="shared" si="60"/>
        <v/>
      </c>
      <c r="AP57" s="163" t="str">
        <f t="shared" si="60"/>
        <v/>
      </c>
      <c r="AQ57" s="163" t="str">
        <f t="shared" si="60"/>
        <v/>
      </c>
      <c r="AR57" s="163" t="str">
        <f t="shared" si="60"/>
        <v/>
      </c>
      <c r="AS57" s="163" t="str">
        <f t="shared" si="60"/>
        <v/>
      </c>
      <c r="AT57" s="163" t="str">
        <f t="shared" si="60"/>
        <v/>
      </c>
      <c r="AU57" s="194" t="str">
        <f t="shared" si="60"/>
        <v/>
      </c>
      <c r="AV57" s="165" t="str">
        <f t="shared" si="60"/>
        <v/>
      </c>
    </row>
    <row r="58" spans="1:48" hidden="1" x14ac:dyDescent="0.25">
      <c r="A58" s="133" t="str">
        <f t="shared" ref="A58" si="61">+IF(C58+C59=0,"[ocultar]","")</f>
        <v>[ocultar]</v>
      </c>
      <c r="B58" s="202" t="s">
        <v>394</v>
      </c>
      <c r="C58" s="203">
        <f t="array" ref="C58">SUM(IF($B58=DATOS_[Sexo],
IF($B57=DATOS_[AGRUP. CLAS. PROF.],
IF("Dentro"=DATOS_[Check Periodo Ref.],
1/(COUNTIFS(DATOS_[Sexo],$B58,DATOS_[AGRUP. CLAS. PROF.],$B57,DATOS_[Check Periodo Ref.],"Dentro",DATOS_[id/cod],DATOS_[id/cod]))))))</f>
        <v>0</v>
      </c>
      <c r="D58" s="204">
        <f>COUNTIFS(DATOS_[AGRUP. CLAS. PROF.],$B57,DATOS_[Sexo],$B58,DATOS_[Check Periodo Ref.],"Dentro")</f>
        <v>0</v>
      </c>
      <c r="E58" s="204">
        <f>COUNTIFS(DATOS_[AGRUP. CLAS. PROF.],$B57,DATOS_[Sexo],$B58,DATOS_[Check Periodo Ref.],"Dentro",DATOS_[Check Nº SC Norm],"Sí")</f>
        <v>0</v>
      </c>
      <c r="F58" s="204">
        <f>COUNTIFS(DATOS_[AGRUP. CLAS. PROF.],$B57,DATOS_[Sexo],$B58,DATOS_[Check Periodo Ref.],"Dentro",DATOS_[Check Nº SC Anualiz],"Sí")</f>
        <v>0</v>
      </c>
      <c r="G58" s="204">
        <f>COUNTIFS(DATOS_[AGRUP. CLAS. PROF.],$B57,DATOS_[Sexo],$B58,DATOS_[Check Periodo Ref.],"Dentro",DATOS_[Check Nº SC Norm y Anualiz],"Sí")</f>
        <v>0</v>
      </c>
      <c r="H58" s="204">
        <f>COUNTIFS(DATOS_[AGRUP. CLAS. PROF.],$B57,DATOS_[Sexo],$B58,DATOS_[Check Periodo Ref.],"Dentro",DATOS_[Check Equiparación],"Sí")</f>
        <v>0</v>
      </c>
      <c r="I58" s="195">
        <f t="array" ref="I58">IFERROR(
MEDIAN(IF(DATOS_[Sexo]=$B58,IF(DATOS_[[AGRUP. CLAS. PROF.]:[AGRUP. CLAS. PROF.]]=$B57,IF(DATOS_[Check Equiparado]="Sí",IF(DATOS_[Check Periodo Ref.]="Dentro",DATOS_[SALARIO BASE Eq],FALSE))))),
0)</f>
        <v>0</v>
      </c>
      <c r="J58" s="196">
        <f t="array" ref="J58">IFERROR(
(MEDIAN((IF(DATOS_[[Sexo]:[Sexo]]=$B58,IF(DATOS_[[AGRUP. CLAS. PROF.]:[AGRUP. CLAS. PROF.]]=$B57,IF(DATOS_[[Check Periodo Ref.]:[Check Periodo Ref.]]="Dentro",IF(DATOS_[[Check Equiparado]:[Check Equiparado]]="Sí",IF(DATOS!AE$5="Sí",(1/DATOS_[[% anualiz]:[% anualiz]]),1)*IF(DATOS!AE$4="Sí",1/DATOS_[[% normaliz]:[% normaliz]],1)*(DATOS_[Conc.Sal.01])))))))),
0)</f>
        <v>0</v>
      </c>
      <c r="K58" s="196">
        <f t="array" ref="K58">IFERROR(
(MEDIAN((IF(DATOS_[[Sexo]:[Sexo]]=$B58,IF(DATOS_[[AGRUP. CLAS. PROF.]:[AGRUP. CLAS. PROF.]]=$B57,IF(DATOS_[[Check Periodo Ref.]:[Check Periodo Ref.]]="Dentro",IF(DATOS_[[Check Equiparado]:[Check Equiparado]]="Sí",IF(DATOS!AF$5="Sí",(1/DATOS_[[% anualiz]:[% anualiz]]),1)*IF(DATOS!AF$4="Sí",1/DATOS_[[% normaliz]:[% normaliz]],1)*(DATOS_[Conc.Sal.02])))))))),
0)</f>
        <v>0</v>
      </c>
      <c r="L58" s="196">
        <f t="array" ref="L58">IFERROR(
(MEDIAN((IF(DATOS_[[Sexo]:[Sexo]]=$B58,IF(DATOS_[[AGRUP. CLAS. PROF.]:[AGRUP. CLAS. PROF.]]=$B57,IF(DATOS_[[Check Periodo Ref.]:[Check Periodo Ref.]]="Dentro",IF(DATOS_[[Check Equiparado]:[Check Equiparado]]="Sí",IF(DATOS!AG$5="Sí",(1/DATOS_[[% anualiz]:[% anualiz]]),1)*IF(DATOS!AG$4="Sí",1/DATOS_[[% normaliz]:[% normaliz]],1)*(DATOS_[Conc.Sal.03])))))))),
0)</f>
        <v>0</v>
      </c>
      <c r="M58" s="196">
        <f t="array" ref="M58">IFERROR(
(MEDIAN((IF(DATOS_[[Sexo]:[Sexo]]=$B58,IF(DATOS_[[AGRUP. CLAS. PROF.]:[AGRUP. CLAS. PROF.]]=$B57,IF(DATOS_[[Check Periodo Ref.]:[Check Periodo Ref.]]="Dentro",IF(DATOS_[[Check Equiparado]:[Check Equiparado]]="Sí",IF(DATOS!AH$5="Sí",(1/DATOS_[[% anualiz]:[% anualiz]]),1)*IF(DATOS!AH$4="Sí",1/DATOS_[[% normaliz]:[% normaliz]],1)*(DATOS_[Conc.Sal.04])))))))),
0)</f>
        <v>0</v>
      </c>
      <c r="N58" s="196">
        <f t="array" ref="N58">IFERROR(
(MEDIAN((IF(DATOS_[[Sexo]:[Sexo]]=$B58,IF(DATOS_[[AGRUP. CLAS. PROF.]:[AGRUP. CLAS. PROF.]]=$B57,IF(DATOS_[[Check Periodo Ref.]:[Check Periodo Ref.]]="Dentro",IF(DATOS_[[Check Equiparado]:[Check Equiparado]]="Sí",IF(DATOS!AI$5="Sí",(1/DATOS_[[% anualiz]:[% anualiz]]),1)*IF(DATOS!AI$4="Sí",1/DATOS_[[% normaliz]:[% normaliz]],1)*(DATOS_[Conc.Sal.05])))))))),
0)</f>
        <v>0</v>
      </c>
      <c r="O58" s="196">
        <f t="array" ref="O58">IFERROR(
(MEDIAN((IF(DATOS_[[Sexo]:[Sexo]]=$B58,IF(DATOS_[[AGRUP. CLAS. PROF.]:[AGRUP. CLAS. PROF.]]=$B57,IF(DATOS_[[Check Periodo Ref.]:[Check Periodo Ref.]]="Dentro",IF(DATOS_[[Check Equiparado]:[Check Equiparado]]="Sí",IF(DATOS!AJ$5="Sí",(1/DATOS_[[% anualiz]:[% anualiz]]),1)*IF(DATOS!AJ$4="Sí",1/DATOS_[[% normaliz]:[% normaliz]],1)*(DATOS_[Conc.Sal.06])))))))),
0)</f>
        <v>0</v>
      </c>
      <c r="P58" s="196">
        <f t="array" ref="P58">IFERROR(
(MEDIAN((IF(DATOS_[[Sexo]:[Sexo]]=$B58,IF(DATOS_[[AGRUP. CLAS. PROF.]:[AGRUP. CLAS. PROF.]]=$B57,IF(DATOS_[[Check Periodo Ref.]:[Check Periodo Ref.]]="Dentro",IF(DATOS_[[Check Equiparado]:[Check Equiparado]]="Sí",IF(DATOS!AK$5="Sí",(1/DATOS_[[% anualiz]:[% anualiz]]),1)*IF(DATOS!AK$4="Sí",1/DATOS_[[% normaliz]:[% normaliz]],1)*(DATOS_[Conc.Sal.07])))))))),
0)</f>
        <v>0</v>
      </c>
      <c r="Q58" s="196">
        <f t="array" ref="Q58">IFERROR(
(MEDIAN((IF(DATOS_[[Sexo]:[Sexo]]=$B58,IF(DATOS_[[AGRUP. CLAS. PROF.]:[AGRUP. CLAS. PROF.]]=$B57,IF(DATOS_[[Check Periodo Ref.]:[Check Periodo Ref.]]="Dentro",IF(DATOS_[[Check Equiparado]:[Check Equiparado]]="Sí",IF(DATOS!AL$5="Sí",(1/DATOS_[[% anualiz]:[% anualiz]]),1)*IF(DATOS!AL$4="Sí",1/DATOS_[[% normaliz]:[% normaliz]],1)*(DATOS_[Conc.Sal.08])))))))),
0)</f>
        <v>0</v>
      </c>
      <c r="R58" s="196">
        <f t="array" ref="R58">IFERROR(
(MEDIAN((IF(DATOS_[[Sexo]:[Sexo]]=$B58,IF(DATOS_[[AGRUP. CLAS. PROF.]:[AGRUP. CLAS. PROF.]]=$B57,IF(DATOS_[[Check Periodo Ref.]:[Check Periodo Ref.]]="Dentro",IF(DATOS_[[Check Equiparado]:[Check Equiparado]]="Sí",IF(DATOS!AM$5="Sí",(1/DATOS_[[% anualiz]:[% anualiz]]),1)*IF(DATOS!AM$4="Sí",1/DATOS_[[% normaliz]:[% normaliz]],1)*(DATOS_[Conc.Sal.09])))))))),
0)</f>
        <v>0</v>
      </c>
      <c r="S58" s="196">
        <f t="array" ref="S58">IFERROR(
(MEDIAN((IF(DATOS_[[Sexo]:[Sexo]]=$B58,IF(DATOS_[[AGRUP. CLAS. PROF.]:[AGRUP. CLAS. PROF.]]=$B57,IF(DATOS_[[Check Periodo Ref.]:[Check Periodo Ref.]]="Dentro",IF(DATOS_[[Check Equiparado]:[Check Equiparado]]="Sí",IF(DATOS!AN$5="Sí",(1/DATOS_[[% anualiz]:[% anualiz]]),1)*IF(DATOS!AN$4="Sí",1/DATOS_[[% normaliz]:[% normaliz]],1)*(DATOS_[Conc.Sal.10])))))))),
0)</f>
        <v>0</v>
      </c>
      <c r="T58" s="196">
        <f t="array" ref="T58">IFERROR(
(MEDIAN((IF(DATOS_[[Sexo]:[Sexo]]=$B58,IF(DATOS_[[AGRUP. CLAS. PROF.]:[AGRUP. CLAS. PROF.]]=$B57,IF(DATOS_[[Check Periodo Ref.]:[Check Periodo Ref.]]="Dentro",IF(DATOS_[[Check Equiparado]:[Check Equiparado]]="Sí",IF(DATOS!AO$5="Sí",(1/DATOS_[[% anualiz]:[% anualiz]]),1)*IF(DATOS!AO$4="Sí",1/DATOS_[[% normaliz]:[% normaliz]],1)*(DATOS_[Conc.Sal.11])))))))),
0)</f>
        <v>0</v>
      </c>
      <c r="U58" s="196">
        <f t="array" ref="U58">IFERROR(
(MEDIAN((IF(DATOS_[[Sexo]:[Sexo]]=$B58,IF(DATOS_[[AGRUP. CLAS. PROF.]:[AGRUP. CLAS. PROF.]]=$B57,IF(DATOS_[[Check Periodo Ref.]:[Check Periodo Ref.]]="Dentro",IF(DATOS_[[Check Equiparado]:[Check Equiparado]]="Sí",IF(DATOS!AP$5="Sí",(1/DATOS_[[% anualiz]:[% anualiz]]),1)*IF(DATOS!AP$4="Sí",1/DATOS_[[% normaliz]:[% normaliz]],1)*(DATOS_[Conc.Sal.12])))))))),
0)</f>
        <v>0</v>
      </c>
      <c r="V58" s="196">
        <f t="array" ref="V58">IFERROR(
(MEDIAN((IF(DATOS_[[Sexo]:[Sexo]]=$B58,IF(DATOS_[[AGRUP. CLAS. PROF.]:[AGRUP. CLAS. PROF.]]=$B57,IF(DATOS_[[Check Periodo Ref.]:[Check Periodo Ref.]]="Dentro",IF(DATOS_[[Check Equiparado]:[Check Equiparado]]="Sí",IF(DATOS!AQ$5="Sí",(1/DATOS_[[% anualiz]:[% anualiz]]),1)*IF(DATOS!AQ$4="Sí",1/DATOS_[[% normaliz]:[% normaliz]],1)*(DATOS_[Conc.Sal.13])))))))),
0)</f>
        <v>0</v>
      </c>
      <c r="W58" s="196">
        <f t="array" ref="W58">IFERROR(
(MEDIAN((IF(DATOS_[[Sexo]:[Sexo]]=$B58,IF(DATOS_[[AGRUP. CLAS. PROF.]:[AGRUP. CLAS. PROF.]]=$B57,IF(DATOS_[[Check Periodo Ref.]:[Check Periodo Ref.]]="Dentro",IF(DATOS_[[Check Equiparado]:[Check Equiparado]]="Sí",IF(DATOS!AR$5="Sí",(1/DATOS_[[% anualiz]:[% anualiz]]),1)*IF(DATOS!AR$4="Sí",1/DATOS_[[% normaliz]:[% normaliz]],1)*(DATOS_[Conc.Sal.14])))))))),
0)</f>
        <v>0</v>
      </c>
      <c r="X58" s="196">
        <f t="array" ref="X58">IFERROR(
(MEDIAN((IF(DATOS_[[Sexo]:[Sexo]]=$B58,IF(DATOS_[[AGRUP. CLAS. PROF.]:[AGRUP. CLAS. PROF.]]=$B57,IF(DATOS_[[Check Periodo Ref.]:[Check Periodo Ref.]]="Dentro",IF(DATOS_[[Check Equiparado]:[Check Equiparado]]="Sí",IF(DATOS!AS$5="Sí",(1/DATOS_[[% anualiz]:[% anualiz]]),1)*IF(DATOS!AS$4="Sí",1/DATOS_[[% normaliz]:[% normaliz]],1)*(DATOS_[Conc.Sal.15])))))))),
0)</f>
        <v>0</v>
      </c>
      <c r="Y58" s="196">
        <f t="array" ref="Y58">IFERROR(
(MEDIAN((IF(DATOS_[[Sexo]:[Sexo]]=$B58,IF(DATOS_[[AGRUP. CLAS. PROF.]:[AGRUP. CLAS. PROF.]]=$B57,IF(DATOS_[[Check Periodo Ref.]:[Check Periodo Ref.]]="Dentro",IF(DATOS_[[Check Equiparado]:[Check Equiparado]]="Sí",IF(DATOS!AT$5="Sí",(1/DATOS_[[% anualiz]:[% anualiz]]),1)*IF(DATOS!AT$4="Sí",1/DATOS_[[% normaliz]:[% normaliz]],1)*(DATOS_[Conc.Sal.16])))))))),
0)</f>
        <v>0</v>
      </c>
      <c r="Z58" s="196">
        <f t="array" ref="Z58">IFERROR(
(MEDIAN((IF(DATOS_[[Sexo]:[Sexo]]=$B58,IF(DATOS_[[AGRUP. CLAS. PROF.]:[AGRUP. CLAS. PROF.]]=$B57,IF(DATOS_[[Check Periodo Ref.]:[Check Periodo Ref.]]="Dentro",IF(DATOS_[[Check Equiparado]:[Check Equiparado]]="Sí",IF(DATOS!AU$5="Sí",(1/DATOS_[[% anualiz]:[% anualiz]]),1)*IF(DATOS!AU$4="Sí",1/DATOS_[[% normaliz]:[% normaliz]],1)*(DATOS_[Conc.Sal.17])))))))),
0)</f>
        <v>0</v>
      </c>
      <c r="AA58" s="196">
        <f t="array" ref="AA58">IFERROR(
(MEDIAN((IF(DATOS_[[Sexo]:[Sexo]]=$B58,IF(DATOS_[[AGRUP. CLAS. PROF.]:[AGRUP. CLAS. PROF.]]=$B57,IF(DATOS_[[Check Periodo Ref.]:[Check Periodo Ref.]]="Dentro",IF(DATOS_[[Check Equiparado]:[Check Equiparado]]="Sí",IF(DATOS!AV$5="Sí",(1/DATOS_[[% anualiz]:[% anualiz]]),1)*IF(DATOS!AV$4="Sí",1/DATOS_[[% normaliz]:[% normaliz]],1)*(DATOS_[Conc.Sal.18])))))))),
0)</f>
        <v>0</v>
      </c>
      <c r="AB58" s="196">
        <f t="array" ref="AB58">IFERROR(
(MEDIAN((IF(DATOS_[[Sexo]:[Sexo]]=$B58,IF(DATOS_[[AGRUP. CLAS. PROF.]:[AGRUP. CLAS. PROF.]]=$B57,IF(DATOS_[[Check Periodo Ref.]:[Check Periodo Ref.]]="Dentro",IF(DATOS_[[Check Equiparado]:[Check Equiparado]]="Sí",IF(DATOS!AW$5="Sí",(1/DATOS_[[% anualiz]:[% anualiz]]),1)*IF(DATOS!AW$4="Sí",1/DATOS_[[% normaliz]:[% normaliz]],1)*(DATOS_[Conc.Sal.19])))))))),
0)</f>
        <v>0</v>
      </c>
      <c r="AC58" s="196">
        <f t="array" ref="AC58">IFERROR(
(MEDIAN((IF(DATOS_[[Sexo]:[Sexo]]=$B58,IF(DATOS_[[AGRUP. CLAS. PROF.]:[AGRUP. CLAS. PROF.]]=$B57,IF(DATOS_[[Check Periodo Ref.]:[Check Periodo Ref.]]="Dentro",IF(DATOS_[[Check Equiparado]:[Check Equiparado]]="Sí",IF(DATOS!AX$5="Sí",(1/DATOS_[[% anualiz]:[% anualiz]]),1)*IF(DATOS!AX$4="Sí",1/DATOS_[[% normaliz]:[% normaliz]],1)*(DATOS_[Conc.Sal.20])))))))),
0)</f>
        <v>0</v>
      </c>
      <c r="AD58" s="196">
        <f t="array" ref="AD58">IFERROR(
(MEDIAN((IF(DATOS_[[Sexo]:[Sexo]]=$B58,IF(DATOS_[[AGRUP. CLAS. PROF.]:[AGRUP. CLAS. PROF.]]=$B57,IF(DATOS_[[Check Periodo Ref.]:[Check Periodo Ref.]]="Dentro",IF(DATOS_[[Check Equiparado]:[Check Equiparado]]="Sí",IF(DATOS!AY$5="Sí",(1/DATOS_[[% anualiz]:[% anualiz]]),1)*IF(DATOS!AY$4="Sí",1/DATOS_[[% normaliz]:[% normaliz]],1)*(DATOS_[Conc.Sal.21])))))))),
0)</f>
        <v>0</v>
      </c>
      <c r="AE58" s="196">
        <f t="array" ref="AE58">IFERROR(
(MEDIAN((IF(DATOS_[[Sexo]:[Sexo]]=$B58,IF(DATOS_[[AGRUP. CLAS. PROF.]:[AGRUP. CLAS. PROF.]]=$B57,IF(DATOS_[[Check Periodo Ref.]:[Check Periodo Ref.]]="Dentro",IF(DATOS_[[Check Equiparado]:[Check Equiparado]]="Sí",IF(DATOS!AZ$5="Sí",(1/DATOS_[[% anualiz]:[% anualiz]]),1)*IF(DATOS!AZ$4="Sí",1/DATOS_[[% normaliz]:[% normaliz]],1)*(DATOS_[Conc.Sal.22])))))))),
0)</f>
        <v>0</v>
      </c>
      <c r="AF58" s="196">
        <f t="array" ref="AF58">IFERROR(
(MEDIAN((IF(DATOS_[[Sexo]:[Sexo]]=$B58,IF(DATOS_[[AGRUP. CLAS. PROF.]:[AGRUP. CLAS. PROF.]]=$B57,IF(DATOS_[[Check Periodo Ref.]:[Check Periodo Ref.]]="Dentro",IF(DATOS_[[Check Equiparado]:[Check Equiparado]]="Sí",IF(DATOS!BA$5="Sí",(1/DATOS_[[% anualiz]:[% anualiz]]),1)*IF(DATOS!BA$4="Sí",1/DATOS_[[% normaliz]:[% normaliz]],1)*(DATOS_[Conc.Sal.23])))))))),
0)</f>
        <v>0</v>
      </c>
      <c r="AG58" s="196">
        <f t="array" ref="AG58">IFERROR(
(MEDIAN((IF(DATOS_[[Sexo]:[Sexo]]=$B58,IF(DATOS_[[AGRUP. CLAS. PROF.]:[AGRUP. CLAS. PROF.]]=$B57,IF(DATOS_[[Check Periodo Ref.]:[Check Periodo Ref.]]="Dentro",IF(DATOS_[[Check Equiparado]:[Check Equiparado]]="Sí",IF(DATOS!BB$5="Sí",(1/DATOS_[[% anualiz]:[% anualiz]]),1)*IF(DATOS!BB$4="Sí",1/DATOS_[[% normaliz]:[% normaliz]],1)*(DATOS_[Conc.Sal.24])))))))),
0)</f>
        <v>0</v>
      </c>
      <c r="AH58" s="196">
        <f t="array" ref="AH58">IFERROR(
(MEDIAN((IF(DATOS_[[Sexo]:[Sexo]]=$B58,IF(DATOS_[[AGRUP. CLAS. PROF.]:[AGRUP. CLAS. PROF.]]=$B57,IF(DATOS_[[Check Periodo Ref.]:[Check Periodo Ref.]]="Dentro",IF(DATOS_[[Check Equiparado]:[Check Equiparado]]="Sí",IF(DATOS!BC$5="Sí",(1/DATOS_[[% anualiz]:[% anualiz]]),1)*IF(DATOS!BC$4="Sí",1/DATOS_[[% normaliz]:[% normaliz]],1)*(DATOS_[Conc.Sal.25])))))))),
0)</f>
        <v>0</v>
      </c>
      <c r="AI58" s="196">
        <f t="array" ref="AI58">IFERROR(
(MEDIAN((IF(DATOS_[[Sexo]:[Sexo]]=$B58,IF(DATOS_[[AGRUP. CLAS. PROF.]:[AGRUP. CLAS. PROF.]]=$B57,IF(DATOS_[[Check Periodo Ref.]:[Check Periodo Ref.]]="Dentro",IF(DATOS_[[Check Equiparado]:[Check Equiparado]]="Sí",IF(DATOS!BD$5="Sí",(1/DATOS_[[% anualiz]:[% anualiz]]),1)*IF(DATOS!BD$4="Sí",1/DATOS_[[% normaliz]:[% normaliz]],1)*(DATOS_[Conc.Sal.26])))))))),
0)</f>
        <v>0</v>
      </c>
      <c r="AJ58" s="196">
        <f t="array" ref="AJ58">IFERROR(
(MEDIAN((IF(DATOS_[[Sexo]:[Sexo]]=$B58,IF(DATOS_[[AGRUP. CLAS. PROF.]:[AGRUP. CLAS. PROF.]]=$B57,IF(DATOS_[[Check Periodo Ref.]:[Check Periodo Ref.]]="Dentro",IF(DATOS_[[Check Equiparado]:[Check Equiparado]]="Sí",IF(DATOS!BE$5="Sí",(1/DATOS_[[% anualiz]:[% anualiz]]),1)*IF(DATOS!BE$4="Sí",1/DATOS_[[% normaliz]:[% normaliz]],1)*(DATOS_[Conc.Sal.27])))))))),
0)</f>
        <v>0</v>
      </c>
      <c r="AK58" s="196">
        <f t="array" ref="AK58">IFERROR(
(MEDIAN((IF(DATOS_[[Sexo]:[Sexo]]=$B58,IF(DATOS_[[AGRUP. CLAS. PROF.]:[AGRUP. CLAS. PROF.]]=$B57,IF(DATOS_[[Check Periodo Ref.]:[Check Periodo Ref.]]="Dentro",IF(DATOS_[[Check Equiparado]:[Check Equiparado]]="Sí",IF(DATOS!BF$5="Sí",(1/DATOS_[[% anualiz]:[% anualiz]]),1)*IF(DATOS!BF$4="Sí",1/DATOS_[[% normaliz]:[% normaliz]],1)*(DATOS_[Conc.Sal.28])))))))),
0)</f>
        <v>0</v>
      </c>
      <c r="AL58" s="196">
        <f t="array" ref="AL58">IFERROR(
(MEDIAN((IF(DATOS_[[Sexo]:[Sexo]]=$B58,IF(DATOS_[[AGRUP. CLAS. PROF.]:[AGRUP. CLAS. PROF.]]=$B57,IF(DATOS_[[Check Periodo Ref.]:[Check Periodo Ref.]]="Dentro",IF(DATOS_[[Check Equiparado]:[Check Equiparado]]="Sí",IF(DATOS!BG$5="Sí",(1/DATOS_[[% anualiz]:[% anualiz]]),1)*IF(DATOS!BG$4="Sí",1/DATOS_[[% normaliz]:[% normaliz]],1)*(DATOS_[Conc.Sal.29])))))))),
0)</f>
        <v>0</v>
      </c>
      <c r="AM58" s="196">
        <f t="array" ref="AM58">IFERROR(
(MEDIAN((IF(DATOS_[[Sexo]:[Sexo]]=$B58,IF(DATOS_[[AGRUP. CLAS. PROF.]:[AGRUP. CLAS. PROF.]]=$B57,IF(DATOS_[[Check Periodo Ref.]:[Check Periodo Ref.]]="Dentro",IF(DATOS_[[Check Equiparado]:[Check Equiparado]]="Sí",IF(DATOS!BH$5="Sí",(1/DATOS_[[% anualiz]:[% anualiz]]),1)*IF(DATOS!BH$4="Sí",1/DATOS_[[% normaliz]:[% normaliz]],1)*(DATOS_[Conc.Sal.30])))))))),
0)</f>
        <v>0</v>
      </c>
      <c r="AN58" s="195">
        <f t="array" ref="AN58">IFERROR(
MEDIAN(IF(DATOS_[Sexo]=$B58,IF(DATOS_[[AGRUP. CLAS. PROF.]:[AGRUP. CLAS. PROF.]]=$B57,IF(DATOS_[Check Equiparado]="Sí",IF(DATOS_[Check Periodo Ref.]="Dentro",DATOS_[Tot COMPL.SAL Eq],FALSE))))),
0)</f>
        <v>0</v>
      </c>
      <c r="AO58" s="172">
        <f t="array" ref="AO58">IFERROR(
MEDIAN(IF(DATOS_[Sexo]=$B58,IF(DATOS_[[AGRUP. CLAS. PROF.]:[AGRUP. CLAS. PROF.]]=$B57,IF(DATOS_[Check Equiparado]="Sí",IF(DATOS_[Check Periodo Ref.]="Dentro",DATOS_[TOTAL SALARIO Eq],FALSE))))),
0)</f>
        <v>0</v>
      </c>
      <c r="AP58" s="173">
        <f t="array" ref="AP58">IFERROR(
(MEDIAN((IF(DATOS_[[Sexo]:[Sexo]]=$B58,IF(DATOS_[[AGRUP. CLAS. PROF.]:[AGRUP. CLAS. PROF.]]=$B57,IF(DATOS_[[Check Periodo Ref.]:[Check Periodo Ref.]]="Dentro",IF(DATOS_[[Check Equiparado]:[Check Equiparado]]="Sí",IF(DATOS!BW$5="Sí",(1/DATOS_[[% anualiz]:[% anualiz]]),1)*IF(DATOS!BW$4="Sí",1/DATOS_[[% normaliz]:[% normaliz]],1)*(DATOS_[C.Extra.01])))))))),
0)</f>
        <v>0</v>
      </c>
      <c r="AQ58" s="173">
        <f t="array" ref="AQ58">IFERROR(
(MEDIAN((IF(DATOS_[[Sexo]:[Sexo]]=$B58,IF(DATOS_[[AGRUP. CLAS. PROF.]:[AGRUP. CLAS. PROF.]]=$B57,IF(DATOS_[[Check Periodo Ref.]:[Check Periodo Ref.]]="Dentro",IF(DATOS_[[Check Equiparado]:[Check Equiparado]]="Sí",IF(DATOS!CB$5="Sí",(1/DATOS_[[% anualiz]:[% anualiz]]),1)*IF(DATOS!CB$4="Sí",1/DATOS_[[% normaliz]:[% normaliz]],1)*(DATOS_[C.Extra.06])))))))),
0)</f>
        <v>0</v>
      </c>
      <c r="AR58" s="173">
        <f t="array" ref="AR58">IFERROR(
(MEDIAN((IF(DATOS_[[Sexo]:[Sexo]]=$B58,IF(DATOS_[[AGRUP. CLAS. PROF.]:[AGRUP. CLAS. PROF.]]=$B57,IF(DATOS_[[Check Periodo Ref.]:[Check Periodo Ref.]]="Dentro",IF(DATOS_[[Check Equiparado]:[Check Equiparado]]="Sí",IF(DATOS!CC$5="Sí",(1/DATOS_[[% anualiz]:[% anualiz]]),1)*IF(DATOS!CC$4="Sí",1/DATOS_[[% normaliz]:[% normaliz]],1)*(DATOS_[C.Extra.07])))))))),
0)</f>
        <v>0</v>
      </c>
      <c r="AS58" s="173">
        <f t="array" ref="AS58">IFERROR(
(MEDIAN((IF(DATOS_[[Sexo]:[Sexo]]=$B58,IF(DATOS_[[AGRUP. CLAS. PROF.]:[AGRUP. CLAS. PROF.]]=$B57,IF(DATOS_[[Check Periodo Ref.]:[Check Periodo Ref.]]="Dentro",IF(DATOS_[[Check Equiparado]:[Check Equiparado]]="Sí",IF(DATOS!CD$5="Sí",(1/DATOS_[[% anualiz]:[% anualiz]]),1)*IF(DATOS!CD$4="Sí",1/DATOS_[[% normaliz]:[% normaliz]],1)*(DATOS_[C.Extra.08])))))))),
0)</f>
        <v>0</v>
      </c>
      <c r="AT58" s="173">
        <f t="array" ref="AT58">IFERROR(
(MEDIAN((IF(DATOS_[[Sexo]:[Sexo]]=$B58,IF(DATOS_[[AGRUP. CLAS. PROF.]:[AGRUP. CLAS. PROF.]]=$B57,IF(DATOS_[[Check Periodo Ref.]:[Check Periodo Ref.]]="Dentro",IF(DATOS_[[Check Equiparado]:[Check Equiparado]]="Sí",IF(DATOS!CG$5="Sí",(1/DATOS_[[% anualiz]:[% anualiz]]),1)*IF(DATOS!CG$4="Sí",1/DATOS_[[% normaliz]:[% normaliz]],1)*(DATOS_[C.Extra.11])))))))),
0)</f>
        <v>0</v>
      </c>
      <c r="AU58" s="197">
        <f t="array" ref="AU58">IFERROR(
MEDIAN(IF(DATOS_[Sexo]=$B58,IF(DATOS_[[AGRUP. CLAS. PROF.]:[AGRUP. CLAS. PROF.]]=$B57,IF(DATOS_[Check Equiparado]="Sí",IF(DATOS_[Check Periodo Ref.]="Dentro",DATOS_[Tot Extrasalarial Eq],FALSE))))),
0)</f>
        <v>0</v>
      </c>
      <c r="AV58" s="175">
        <f t="array" ref="AV58">IFERROR(
MEDIAN(IF(DATOS_[Sexo]=$B58,IF(DATOS_[[AGRUP. CLAS. PROF.]:[AGRUP. CLAS. PROF.]]=$B57,IF(DATOS_[Check Equiparado]="Sí",IF(DATOS_[Check Periodo Ref.]="Dentro",DATOS_[TOTAL Retrib Eq],FALSE))))),
0)</f>
        <v>0</v>
      </c>
    </row>
    <row r="59" spans="1:48" hidden="1" x14ac:dyDescent="0.25">
      <c r="A59" s="133" t="str">
        <f t="shared" ref="A59" si="62">+A58</f>
        <v>[ocultar]</v>
      </c>
      <c r="B59" s="202" t="s">
        <v>521</v>
      </c>
      <c r="C59" s="203">
        <f t="array" ref="C59">SUM(IF($B59=DATOS_[Sexo],
IF($B57=DATOS_[AGRUP. CLAS. PROF.],
IF("Dentro"=DATOS_[Check Periodo Ref.],
1/(COUNTIFS(DATOS_[Sexo],$B59,DATOS_[AGRUP. CLAS. PROF.],$B57,DATOS_[Check Periodo Ref.],"Dentro",DATOS_[id/cod],DATOS_[id/cod]))))))</f>
        <v>0</v>
      </c>
      <c r="D59" s="204">
        <f>COUNTIFS(DATOS_[AGRUP. CLAS. PROF.],$B57,DATOS_[Sexo],$B59,DATOS_[Check Periodo Ref.],"Dentro")</f>
        <v>0</v>
      </c>
      <c r="E59" s="204">
        <f>COUNTIFS(DATOS_[AGRUP. CLAS. PROF.],$B57,DATOS_[Sexo],$B59,DATOS_[Check Periodo Ref.],"Dentro",DATOS_[Check Nº SC Norm],"Sí")</f>
        <v>0</v>
      </c>
      <c r="F59" s="204">
        <f>COUNTIFS(DATOS_[AGRUP. CLAS. PROF.],$B57,DATOS_[Sexo],$B59,DATOS_[Check Periodo Ref.],"Dentro",DATOS_[Check Nº SC Anualiz],"Sí")</f>
        <v>0</v>
      </c>
      <c r="G59" s="204">
        <f>COUNTIFS(DATOS_[AGRUP. CLAS. PROF.],$B57,DATOS_[Sexo],$B59,DATOS_[Check Periodo Ref.],"Dentro",DATOS_[Check Nº SC Norm y Anualiz],"Sí")</f>
        <v>0</v>
      </c>
      <c r="H59" s="204">
        <f>COUNTIFS(DATOS_[AGRUP. CLAS. PROF.],$B57,DATOS_[Sexo],$B59,DATOS_[Check Periodo Ref.],"Dentro",DATOS_[Check Equiparación],"Sí")</f>
        <v>0</v>
      </c>
      <c r="I59" s="195" cm="1">
        <f t="array" ref="I59">IFERROR(
MEDIAN(IF(DATOS_[Sexo]=$B59,IF(DATOS_[[AGRUP. CLAS. PROF.]:[AGRUP. CLAS. PROF.]]=$B57,IF(DATOS_[Check Equiparado]="Sí",IF(DATOS_[Check Periodo Ref.]="Dentro",DATOS_[SALARIO BASE Eq],FALSE))))),
0)</f>
        <v>0</v>
      </c>
      <c r="J59" s="196">
        <f t="array" ref="J59">IFERROR(
(MEDIAN((IF(DATOS_[[Sexo]:[Sexo]]=$B59,IF(DATOS_[[AGRUP. CLAS. PROF.]:[AGRUP. CLAS. PROF.]]=$B57,IF(DATOS_[[Check Periodo Ref.]:[Check Periodo Ref.]]="Dentro",IF(DATOS_[[Check Equiparado]:[Check Equiparado]]="Sí",IF(DATOS!AE$5="Sí",(1/DATOS_[[% anualiz]:[% anualiz]]),1)*IF(DATOS!AE$4="Sí",1/DATOS_[[% normaliz]:[% normaliz]],1)*(DATOS_[Conc.Sal.01])))))))),
0)</f>
        <v>0</v>
      </c>
      <c r="K59" s="196">
        <f t="array" ref="K59">IFERROR(
(MEDIAN((IF(DATOS_[[Sexo]:[Sexo]]=$B59,IF(DATOS_[[AGRUP. CLAS. PROF.]:[AGRUP. CLAS. PROF.]]=$B57,IF(DATOS_[[Check Periodo Ref.]:[Check Periodo Ref.]]="Dentro",IF(DATOS_[[Check Equiparado]:[Check Equiparado]]="Sí",IF(DATOS!AF$5="Sí",(1/DATOS_[[% anualiz]:[% anualiz]]),1)*IF(DATOS!AF$4="Sí",1/DATOS_[[% normaliz]:[% normaliz]],1)*(DATOS_[Conc.Sal.02])))))))),
0)</f>
        <v>0</v>
      </c>
      <c r="L59" s="196">
        <f t="array" ref="L59">IFERROR(
(MEDIAN((IF(DATOS_[[Sexo]:[Sexo]]=$B59,IF(DATOS_[[AGRUP. CLAS. PROF.]:[AGRUP. CLAS. PROF.]]=$B57,IF(DATOS_[[Check Periodo Ref.]:[Check Periodo Ref.]]="Dentro",IF(DATOS_[[Check Equiparado]:[Check Equiparado]]="Sí",IF(DATOS!AG$5="Sí",(1/DATOS_[[% anualiz]:[% anualiz]]),1)*IF(DATOS!AG$4="Sí",1/DATOS_[[% normaliz]:[% normaliz]],1)*(DATOS_[Conc.Sal.03])))))))),
0)</f>
        <v>0</v>
      </c>
      <c r="M59" s="196">
        <f t="array" ref="M59">IFERROR(
(MEDIAN((IF(DATOS_[[Sexo]:[Sexo]]=$B59,IF(DATOS_[[AGRUP. CLAS. PROF.]:[AGRUP. CLAS. PROF.]]=$B57,IF(DATOS_[[Check Periodo Ref.]:[Check Periodo Ref.]]="Dentro",IF(DATOS_[[Check Equiparado]:[Check Equiparado]]="Sí",IF(DATOS!AH$5="Sí",(1/DATOS_[[% anualiz]:[% anualiz]]),1)*IF(DATOS!AH$4="Sí",1/DATOS_[[% normaliz]:[% normaliz]],1)*(DATOS_[Conc.Sal.04])))))))),
0)</f>
        <v>0</v>
      </c>
      <c r="N59" s="196">
        <f t="array" ref="N59">IFERROR(
(MEDIAN((IF(DATOS_[[Sexo]:[Sexo]]=$B59,IF(DATOS_[[AGRUP. CLAS. PROF.]:[AGRUP. CLAS. PROF.]]=$B57,IF(DATOS_[[Check Periodo Ref.]:[Check Periodo Ref.]]="Dentro",IF(DATOS_[[Check Equiparado]:[Check Equiparado]]="Sí",IF(DATOS!AI$5="Sí",(1/DATOS_[[% anualiz]:[% anualiz]]),1)*IF(DATOS!AI$4="Sí",1/DATOS_[[% normaliz]:[% normaliz]],1)*(DATOS_[Conc.Sal.05])))))))),
0)</f>
        <v>0</v>
      </c>
      <c r="O59" s="196">
        <f t="array" ref="O59">IFERROR(
(MEDIAN((IF(DATOS_[[Sexo]:[Sexo]]=$B59,IF(DATOS_[[AGRUP. CLAS. PROF.]:[AGRUP. CLAS. PROF.]]=$B57,IF(DATOS_[[Check Periodo Ref.]:[Check Periodo Ref.]]="Dentro",IF(DATOS_[[Check Equiparado]:[Check Equiparado]]="Sí",IF(DATOS!AJ$5="Sí",(1/DATOS_[[% anualiz]:[% anualiz]]),1)*IF(DATOS!AJ$4="Sí",1/DATOS_[[% normaliz]:[% normaliz]],1)*(DATOS_[Conc.Sal.06])))))))),
0)</f>
        <v>0</v>
      </c>
      <c r="P59" s="196">
        <f t="array" ref="P59">IFERROR(
(MEDIAN((IF(DATOS_[[Sexo]:[Sexo]]=$B59,IF(DATOS_[[AGRUP. CLAS. PROF.]:[AGRUP. CLAS. PROF.]]=$B57,IF(DATOS_[[Check Periodo Ref.]:[Check Periodo Ref.]]="Dentro",IF(DATOS_[[Check Equiparado]:[Check Equiparado]]="Sí",IF(DATOS!AK$5="Sí",(1/DATOS_[[% anualiz]:[% anualiz]]),1)*IF(DATOS!AK$4="Sí",1/DATOS_[[% normaliz]:[% normaliz]],1)*(DATOS_[Conc.Sal.07])))))))),
0)</f>
        <v>0</v>
      </c>
      <c r="Q59" s="196">
        <f t="array" ref="Q59">IFERROR(
(MEDIAN((IF(DATOS_[[Sexo]:[Sexo]]=$B59,IF(DATOS_[[AGRUP. CLAS. PROF.]:[AGRUP. CLAS. PROF.]]=$B57,IF(DATOS_[[Check Periodo Ref.]:[Check Periodo Ref.]]="Dentro",IF(DATOS_[[Check Equiparado]:[Check Equiparado]]="Sí",IF(DATOS!AL$5="Sí",(1/DATOS_[[% anualiz]:[% anualiz]]),1)*IF(DATOS!AL$4="Sí",1/DATOS_[[% normaliz]:[% normaliz]],1)*(DATOS_[Conc.Sal.08])))))))),
0)</f>
        <v>0</v>
      </c>
      <c r="R59" s="196">
        <f t="array" ref="R59">IFERROR(
(MEDIAN((IF(DATOS_[[Sexo]:[Sexo]]=$B59,IF(DATOS_[[AGRUP. CLAS. PROF.]:[AGRUP. CLAS. PROF.]]=$B57,IF(DATOS_[[Check Periodo Ref.]:[Check Periodo Ref.]]="Dentro",IF(DATOS_[[Check Equiparado]:[Check Equiparado]]="Sí",IF(DATOS!AM$5="Sí",(1/DATOS_[[% anualiz]:[% anualiz]]),1)*IF(DATOS!AM$4="Sí",1/DATOS_[[% normaliz]:[% normaliz]],1)*(DATOS_[Conc.Sal.09])))))))),
0)</f>
        <v>0</v>
      </c>
      <c r="S59" s="196">
        <f t="array" ref="S59">IFERROR(
(MEDIAN((IF(DATOS_[[Sexo]:[Sexo]]=$B59,IF(DATOS_[[AGRUP. CLAS. PROF.]:[AGRUP. CLAS. PROF.]]=$B57,IF(DATOS_[[Check Periodo Ref.]:[Check Periodo Ref.]]="Dentro",IF(DATOS_[[Check Equiparado]:[Check Equiparado]]="Sí",IF(DATOS!AN$5="Sí",(1/DATOS_[[% anualiz]:[% anualiz]]),1)*IF(DATOS!AN$4="Sí",1/DATOS_[[% normaliz]:[% normaliz]],1)*(DATOS_[Conc.Sal.10])))))))),
0)</f>
        <v>0</v>
      </c>
      <c r="T59" s="196">
        <f t="array" ref="T59">IFERROR(
(MEDIAN((IF(DATOS_[[Sexo]:[Sexo]]=$B59,IF(DATOS_[[AGRUP. CLAS. PROF.]:[AGRUP. CLAS. PROF.]]=$B57,IF(DATOS_[[Check Periodo Ref.]:[Check Periodo Ref.]]="Dentro",IF(DATOS_[[Check Equiparado]:[Check Equiparado]]="Sí",IF(DATOS!AO$5="Sí",(1/DATOS_[[% anualiz]:[% anualiz]]),1)*IF(DATOS!AO$4="Sí",1/DATOS_[[% normaliz]:[% normaliz]],1)*(DATOS_[Conc.Sal.11])))))))),
0)</f>
        <v>0</v>
      </c>
      <c r="U59" s="196">
        <f t="array" ref="U59">IFERROR(
(MEDIAN((IF(DATOS_[[Sexo]:[Sexo]]=$B59,IF(DATOS_[[AGRUP. CLAS. PROF.]:[AGRUP. CLAS. PROF.]]=$B57,IF(DATOS_[[Check Periodo Ref.]:[Check Periodo Ref.]]="Dentro",IF(DATOS_[[Check Equiparado]:[Check Equiparado]]="Sí",IF(DATOS!AP$5="Sí",(1/DATOS_[[% anualiz]:[% anualiz]]),1)*IF(DATOS!AP$4="Sí",1/DATOS_[[% normaliz]:[% normaliz]],1)*(DATOS_[Conc.Sal.12])))))))),
0)</f>
        <v>0</v>
      </c>
      <c r="V59" s="196">
        <f t="array" ref="V59">IFERROR(
(MEDIAN((IF(DATOS_[[Sexo]:[Sexo]]=$B59,IF(DATOS_[[AGRUP. CLAS. PROF.]:[AGRUP. CLAS. PROF.]]=$B57,IF(DATOS_[[Check Periodo Ref.]:[Check Periodo Ref.]]="Dentro",IF(DATOS_[[Check Equiparado]:[Check Equiparado]]="Sí",IF(DATOS!AQ$5="Sí",(1/DATOS_[[% anualiz]:[% anualiz]]),1)*IF(DATOS!AQ$4="Sí",1/DATOS_[[% normaliz]:[% normaliz]],1)*(DATOS_[Conc.Sal.13])))))))),
0)</f>
        <v>0</v>
      </c>
      <c r="W59" s="196">
        <f t="array" ref="W59">IFERROR(
(MEDIAN((IF(DATOS_[[Sexo]:[Sexo]]=$B59,IF(DATOS_[[AGRUP. CLAS. PROF.]:[AGRUP. CLAS. PROF.]]=$B57,IF(DATOS_[[Check Periodo Ref.]:[Check Periodo Ref.]]="Dentro",IF(DATOS_[[Check Equiparado]:[Check Equiparado]]="Sí",IF(DATOS!AR$5="Sí",(1/DATOS_[[% anualiz]:[% anualiz]]),1)*IF(DATOS!AR$4="Sí",1/DATOS_[[% normaliz]:[% normaliz]],1)*(DATOS_[Conc.Sal.14])))))))),
0)</f>
        <v>0</v>
      </c>
      <c r="X59" s="196">
        <f t="array" ref="X59">IFERROR(
(MEDIAN((IF(DATOS_[[Sexo]:[Sexo]]=$B59,IF(DATOS_[[AGRUP. CLAS. PROF.]:[AGRUP. CLAS. PROF.]]=$B57,IF(DATOS_[[Check Periodo Ref.]:[Check Periodo Ref.]]="Dentro",IF(DATOS_[[Check Equiparado]:[Check Equiparado]]="Sí",IF(DATOS!AS$5="Sí",(1/DATOS_[[% anualiz]:[% anualiz]]),1)*IF(DATOS!AS$4="Sí",1/DATOS_[[% normaliz]:[% normaliz]],1)*(DATOS_[Conc.Sal.15])))))))),
0)</f>
        <v>0</v>
      </c>
      <c r="Y59" s="196">
        <f t="array" ref="Y59">IFERROR(
(MEDIAN((IF(DATOS_[[Sexo]:[Sexo]]=$B59,IF(DATOS_[[AGRUP. CLAS. PROF.]:[AGRUP. CLAS. PROF.]]=$B57,IF(DATOS_[[Check Periodo Ref.]:[Check Periodo Ref.]]="Dentro",IF(DATOS_[[Check Equiparado]:[Check Equiparado]]="Sí",IF(DATOS!AT$5="Sí",(1/DATOS_[[% anualiz]:[% anualiz]]),1)*IF(DATOS!AT$4="Sí",1/DATOS_[[% normaliz]:[% normaliz]],1)*(DATOS_[Conc.Sal.16])))))))),
0)</f>
        <v>0</v>
      </c>
      <c r="Z59" s="196">
        <f t="array" ref="Z59">IFERROR(
(MEDIAN((IF(DATOS_[[Sexo]:[Sexo]]=$B59,IF(DATOS_[[AGRUP. CLAS. PROF.]:[AGRUP. CLAS. PROF.]]=$B57,IF(DATOS_[[Check Periodo Ref.]:[Check Periodo Ref.]]="Dentro",IF(DATOS_[[Check Equiparado]:[Check Equiparado]]="Sí",IF(DATOS!AU$5="Sí",(1/DATOS_[[% anualiz]:[% anualiz]]),1)*IF(DATOS!AU$4="Sí",1/DATOS_[[% normaliz]:[% normaliz]],1)*(DATOS_[Conc.Sal.17])))))))),
0)</f>
        <v>0</v>
      </c>
      <c r="AA59" s="196">
        <f t="array" ref="AA59">IFERROR(
(MEDIAN((IF(DATOS_[[Sexo]:[Sexo]]=$B59,IF(DATOS_[[AGRUP. CLAS. PROF.]:[AGRUP. CLAS. PROF.]]=$B57,IF(DATOS_[[Check Periodo Ref.]:[Check Periodo Ref.]]="Dentro",IF(DATOS_[[Check Equiparado]:[Check Equiparado]]="Sí",IF(DATOS!AV$5="Sí",(1/DATOS_[[% anualiz]:[% anualiz]]),1)*IF(DATOS!AV$4="Sí",1/DATOS_[[% normaliz]:[% normaliz]],1)*(DATOS_[Conc.Sal.18])))))))),
0)</f>
        <v>0</v>
      </c>
      <c r="AB59" s="196">
        <f t="array" ref="AB59">IFERROR(
(MEDIAN((IF(DATOS_[[Sexo]:[Sexo]]=$B59,IF(DATOS_[[AGRUP. CLAS. PROF.]:[AGRUP. CLAS. PROF.]]=$B57,IF(DATOS_[[Check Periodo Ref.]:[Check Periodo Ref.]]="Dentro",IF(DATOS_[[Check Equiparado]:[Check Equiparado]]="Sí",IF(DATOS!AW$5="Sí",(1/DATOS_[[% anualiz]:[% anualiz]]),1)*IF(DATOS!AW$4="Sí",1/DATOS_[[% normaliz]:[% normaliz]],1)*(DATOS_[Conc.Sal.19])))))))),
0)</f>
        <v>0</v>
      </c>
      <c r="AC59" s="196">
        <f t="array" ref="AC59">IFERROR(
(MEDIAN((IF(DATOS_[[Sexo]:[Sexo]]=$B59,IF(DATOS_[[AGRUP. CLAS. PROF.]:[AGRUP. CLAS. PROF.]]=$B57,IF(DATOS_[[Check Periodo Ref.]:[Check Periodo Ref.]]="Dentro",IF(DATOS_[[Check Equiparado]:[Check Equiparado]]="Sí",IF(DATOS!AX$5="Sí",(1/DATOS_[[% anualiz]:[% anualiz]]),1)*IF(DATOS!AX$4="Sí",1/DATOS_[[% normaliz]:[% normaliz]],1)*(DATOS_[Conc.Sal.20])))))))),
0)</f>
        <v>0</v>
      </c>
      <c r="AD59" s="196">
        <f t="array" ref="AD59">IFERROR(
(MEDIAN((IF(DATOS_[[Sexo]:[Sexo]]=$B59,IF(DATOS_[[AGRUP. CLAS. PROF.]:[AGRUP. CLAS. PROF.]]=$B57,IF(DATOS_[[Check Periodo Ref.]:[Check Periodo Ref.]]="Dentro",IF(DATOS_[[Check Equiparado]:[Check Equiparado]]="Sí",IF(DATOS!AY$5="Sí",(1/DATOS_[[% anualiz]:[% anualiz]]),1)*IF(DATOS!AY$4="Sí",1/DATOS_[[% normaliz]:[% normaliz]],1)*(DATOS_[Conc.Sal.21])))))))),
0)</f>
        <v>0</v>
      </c>
      <c r="AE59" s="196">
        <f t="array" ref="AE59">IFERROR(
(MEDIAN((IF(DATOS_[[Sexo]:[Sexo]]=$B59,IF(DATOS_[[AGRUP. CLAS. PROF.]:[AGRUP. CLAS. PROF.]]=$B57,IF(DATOS_[[Check Periodo Ref.]:[Check Periodo Ref.]]="Dentro",IF(DATOS_[[Check Equiparado]:[Check Equiparado]]="Sí",IF(DATOS!AZ$5="Sí",(1/DATOS_[[% anualiz]:[% anualiz]]),1)*IF(DATOS!AZ$4="Sí",1/DATOS_[[% normaliz]:[% normaliz]],1)*(DATOS_[Conc.Sal.22])))))))),
0)</f>
        <v>0</v>
      </c>
      <c r="AF59" s="196">
        <f t="array" ref="AF59">IFERROR(
(MEDIAN((IF(DATOS_[[Sexo]:[Sexo]]=$B59,IF(DATOS_[[AGRUP. CLAS. PROF.]:[AGRUP. CLAS. PROF.]]=$B57,IF(DATOS_[[Check Periodo Ref.]:[Check Periodo Ref.]]="Dentro",IF(DATOS_[[Check Equiparado]:[Check Equiparado]]="Sí",IF(DATOS!BA$5="Sí",(1/DATOS_[[% anualiz]:[% anualiz]]),1)*IF(DATOS!BA$4="Sí",1/DATOS_[[% normaliz]:[% normaliz]],1)*(DATOS_[Conc.Sal.23])))))))),
0)</f>
        <v>0</v>
      </c>
      <c r="AG59" s="196">
        <f t="array" ref="AG59">IFERROR(
(MEDIAN((IF(DATOS_[[Sexo]:[Sexo]]=$B59,IF(DATOS_[[AGRUP. CLAS. PROF.]:[AGRUP. CLAS. PROF.]]=$B57,IF(DATOS_[[Check Periodo Ref.]:[Check Periodo Ref.]]="Dentro",IF(DATOS_[[Check Equiparado]:[Check Equiparado]]="Sí",IF(DATOS!BB$5="Sí",(1/DATOS_[[% anualiz]:[% anualiz]]),1)*IF(DATOS!BB$4="Sí",1/DATOS_[[% normaliz]:[% normaliz]],1)*(DATOS_[Conc.Sal.24])))))))),
0)</f>
        <v>0</v>
      </c>
      <c r="AH59" s="196">
        <f t="array" ref="AH59">IFERROR(
(MEDIAN((IF(DATOS_[[Sexo]:[Sexo]]=$B59,IF(DATOS_[[AGRUP. CLAS. PROF.]:[AGRUP. CLAS. PROF.]]=$B57,IF(DATOS_[[Check Periodo Ref.]:[Check Periodo Ref.]]="Dentro",IF(DATOS_[[Check Equiparado]:[Check Equiparado]]="Sí",IF(DATOS!BC$5="Sí",(1/DATOS_[[% anualiz]:[% anualiz]]),1)*IF(DATOS!BC$4="Sí",1/DATOS_[[% normaliz]:[% normaliz]],1)*(DATOS_[Conc.Sal.25])))))))),
0)</f>
        <v>0</v>
      </c>
      <c r="AI59" s="196">
        <f t="array" ref="AI59">IFERROR(
(MEDIAN((IF(DATOS_[[Sexo]:[Sexo]]=$B59,IF(DATOS_[[AGRUP. CLAS. PROF.]:[AGRUP. CLAS. PROF.]]=$B57,IF(DATOS_[[Check Periodo Ref.]:[Check Periodo Ref.]]="Dentro",IF(DATOS_[[Check Equiparado]:[Check Equiparado]]="Sí",IF(DATOS!BD$5="Sí",(1/DATOS_[[% anualiz]:[% anualiz]]),1)*IF(DATOS!BD$4="Sí",1/DATOS_[[% normaliz]:[% normaliz]],1)*(DATOS_[Conc.Sal.26])))))))),
0)</f>
        <v>0</v>
      </c>
      <c r="AJ59" s="196">
        <f t="array" ref="AJ59">IFERROR(
(MEDIAN((IF(DATOS_[[Sexo]:[Sexo]]=$B59,IF(DATOS_[[AGRUP. CLAS. PROF.]:[AGRUP. CLAS. PROF.]]=$B57,IF(DATOS_[[Check Periodo Ref.]:[Check Periodo Ref.]]="Dentro",IF(DATOS_[[Check Equiparado]:[Check Equiparado]]="Sí",IF(DATOS!BE$5="Sí",(1/DATOS_[[% anualiz]:[% anualiz]]),1)*IF(DATOS!BE$4="Sí",1/DATOS_[[% normaliz]:[% normaliz]],1)*(DATOS_[Conc.Sal.27])))))))),
0)</f>
        <v>0</v>
      </c>
      <c r="AK59" s="196">
        <f t="array" ref="AK59">IFERROR(
(MEDIAN((IF(DATOS_[[Sexo]:[Sexo]]=$B59,IF(DATOS_[[AGRUP. CLAS. PROF.]:[AGRUP. CLAS. PROF.]]=$B57,IF(DATOS_[[Check Periodo Ref.]:[Check Periodo Ref.]]="Dentro",IF(DATOS_[[Check Equiparado]:[Check Equiparado]]="Sí",IF(DATOS!BF$5="Sí",(1/DATOS_[[% anualiz]:[% anualiz]]),1)*IF(DATOS!BF$4="Sí",1/DATOS_[[% normaliz]:[% normaliz]],1)*(DATOS_[Conc.Sal.28])))))))),
0)</f>
        <v>0</v>
      </c>
      <c r="AL59" s="196">
        <f t="array" ref="AL59">IFERROR(
(MEDIAN((IF(DATOS_[[Sexo]:[Sexo]]=$B59,IF(DATOS_[[AGRUP. CLAS. PROF.]:[AGRUP. CLAS. PROF.]]=$B57,IF(DATOS_[[Check Periodo Ref.]:[Check Periodo Ref.]]="Dentro",IF(DATOS_[[Check Equiparado]:[Check Equiparado]]="Sí",IF(DATOS!BG$5="Sí",(1/DATOS_[[% anualiz]:[% anualiz]]),1)*IF(DATOS!BG$4="Sí",1/DATOS_[[% normaliz]:[% normaliz]],1)*(DATOS_[Conc.Sal.29])))))))),
0)</f>
        <v>0</v>
      </c>
      <c r="AM59" s="196">
        <f t="array" ref="AM59">IFERROR(
(MEDIAN((IF(DATOS_[[Sexo]:[Sexo]]=$B59,IF(DATOS_[[AGRUP. CLAS. PROF.]:[AGRUP. CLAS. PROF.]]=$B57,IF(DATOS_[[Check Periodo Ref.]:[Check Periodo Ref.]]="Dentro",IF(DATOS_[[Check Equiparado]:[Check Equiparado]]="Sí",IF(DATOS!BH$5="Sí",(1/DATOS_[[% anualiz]:[% anualiz]]),1)*IF(DATOS!BH$4="Sí",1/DATOS_[[% normaliz]:[% normaliz]],1)*(DATOS_[Conc.Sal.30])))))))),
0)</f>
        <v>0</v>
      </c>
      <c r="AN59" s="195">
        <f t="array" ref="AN59">IFERROR(
MEDIAN(IF(DATOS_[Sexo]=$B59,IF(DATOS_[[AGRUP. CLAS. PROF.]:[AGRUP. CLAS. PROF.]]=$B57,IF(DATOS_[Check Equiparado]="Sí",IF(DATOS_[Check Periodo Ref.]="Dentro",DATOS_[Tot COMPL.SAL Eq],FALSE))))),
0)</f>
        <v>0</v>
      </c>
      <c r="AO59" s="172">
        <f t="array" ref="AO59">IFERROR(
MEDIAN(IF(DATOS_[Sexo]=$B59,IF(DATOS_[[AGRUP. CLAS. PROF.]:[AGRUP. CLAS. PROF.]]=$B57,IF(DATOS_[Check Equiparado]="Sí",IF(DATOS_[Check Periodo Ref.]="Dentro",DATOS_[TOTAL SALARIO Eq],FALSE))))),
0)</f>
        <v>0</v>
      </c>
      <c r="AP59" s="173">
        <f t="array" ref="AP59">IFERROR(
(MEDIAN((IF(DATOS_[[Sexo]:[Sexo]]=$B59,IF(DATOS_[[AGRUP. CLAS. PROF.]:[AGRUP. CLAS. PROF.]]=$B57,IF(DATOS_[[Check Periodo Ref.]:[Check Periodo Ref.]]="Dentro",IF(DATOS_[[Check Equiparado]:[Check Equiparado]]="Sí",IF(DATOS!BW$5="Sí",(1/DATOS_[[% anualiz]:[% anualiz]]),1)*IF(DATOS!BW$4="Sí",1/DATOS_[[% normaliz]:[% normaliz]],1)*(DATOS_[C.Extra.01])))))))),
0)</f>
        <v>0</v>
      </c>
      <c r="AQ59" s="173">
        <f t="array" ref="AQ59">IFERROR(
(MEDIAN((IF(DATOS_[[Sexo]:[Sexo]]=$B59,IF(DATOS_[[AGRUP. CLAS. PROF.]:[AGRUP. CLAS. PROF.]]=$B57,IF(DATOS_[[Check Periodo Ref.]:[Check Periodo Ref.]]="Dentro",IF(DATOS_[[Check Equiparado]:[Check Equiparado]]="Sí",IF(DATOS!CB$5="Sí",(1/DATOS_[[% anualiz]:[% anualiz]]),1)*IF(DATOS!CB$4="Sí",1/DATOS_[[% normaliz]:[% normaliz]],1)*(DATOS_[C.Extra.06])))))))),
0)</f>
        <v>0</v>
      </c>
      <c r="AR59" s="173">
        <f t="array" ref="AR59">IFERROR(
(MEDIAN((IF(DATOS_[[Sexo]:[Sexo]]=$B59,IF(DATOS_[[AGRUP. CLAS. PROF.]:[AGRUP. CLAS. PROF.]]=$B57,IF(DATOS_[[Check Periodo Ref.]:[Check Periodo Ref.]]="Dentro",IF(DATOS_[[Check Equiparado]:[Check Equiparado]]="Sí",IF(DATOS!CC$5="Sí",(1/DATOS_[[% anualiz]:[% anualiz]]),1)*IF(DATOS!CC$4="Sí",1/DATOS_[[% normaliz]:[% normaliz]],1)*(DATOS_[C.Extra.07])))))))),
0)</f>
        <v>0</v>
      </c>
      <c r="AS59" s="173">
        <f t="array" ref="AS59">IFERROR(
(MEDIAN((IF(DATOS_[[Sexo]:[Sexo]]=$B59,IF(DATOS_[[AGRUP. CLAS. PROF.]:[AGRUP. CLAS. PROF.]]=$B57,IF(DATOS_[[Check Periodo Ref.]:[Check Periodo Ref.]]="Dentro",IF(DATOS_[[Check Equiparado]:[Check Equiparado]]="Sí",IF(DATOS!CD$5="Sí",(1/DATOS_[[% anualiz]:[% anualiz]]),1)*IF(DATOS!CD$4="Sí",1/DATOS_[[% normaliz]:[% normaliz]],1)*(DATOS_[C.Extra.08])))))))),
0)</f>
        <v>0</v>
      </c>
      <c r="AT59" s="173">
        <f t="array" ref="AT59">IFERROR(
(MEDIAN((IF(DATOS_[[Sexo]:[Sexo]]=$B59,IF(DATOS_[[AGRUP. CLAS. PROF.]:[AGRUP. CLAS. PROF.]]=$B57,IF(DATOS_[[Check Periodo Ref.]:[Check Periodo Ref.]]="Dentro",IF(DATOS_[[Check Equiparado]:[Check Equiparado]]="Sí",IF(DATOS!CG$5="Sí",(1/DATOS_[[% anualiz]:[% anualiz]]),1)*IF(DATOS!CG$4="Sí",1/DATOS_[[% normaliz]:[% normaliz]],1)*(DATOS_[C.Extra.11])))))))),
0)</f>
        <v>0</v>
      </c>
      <c r="AU59" s="197">
        <f t="array" ref="AU59">IFERROR(
MEDIAN(IF(DATOS_[Sexo]=$B59,IF(DATOS_[[AGRUP. CLAS. PROF.]:[AGRUP. CLAS. PROF.]]=$B57,IF(DATOS_[Check Equiparado]="Sí",IF(DATOS_[Check Periodo Ref.]="Dentro",DATOS_[Tot Extrasalarial Eq],FALSE))))),
0)</f>
        <v>0</v>
      </c>
      <c r="AV59" s="175">
        <f t="array" ref="AV59">IFERROR(
MEDIAN(IF(DATOS_[Sexo]=$B59,IF(DATOS_[[AGRUP. CLAS. PROF.]:[AGRUP. CLAS. PROF.]]=$B57,IF(DATOS_[Check Equiparado]="Sí",IF(DATOS_[Check Periodo Ref.]="Dentro",DATOS_[TOTAL Retrib Eq],FALSE))))),
0)</f>
        <v>0</v>
      </c>
    </row>
    <row r="60" spans="1:48" ht="15.6" hidden="1" thickBot="1" x14ac:dyDescent="0.3">
      <c r="A60" s="133" t="str">
        <f t="shared" ref="A60" si="63">+A61</f>
        <v>[ocultar]</v>
      </c>
      <c r="B60" s="199" t="s">
        <v>238</v>
      </c>
      <c r="C60" s="200"/>
      <c r="D60" s="201"/>
      <c r="E60" s="201"/>
      <c r="F60" s="201"/>
      <c r="G60" s="201"/>
      <c r="H60" s="201"/>
      <c r="I60" s="189" t="str">
        <f t="shared" ref="I60:AV60" si="64">IFERROR((I61-I62)/I61,"")</f>
        <v/>
      </c>
      <c r="J60" s="190" t="str">
        <f t="shared" si="64"/>
        <v/>
      </c>
      <c r="K60" s="191" t="str">
        <f t="shared" si="64"/>
        <v/>
      </c>
      <c r="L60" s="191" t="str">
        <f t="shared" si="64"/>
        <v/>
      </c>
      <c r="M60" s="191" t="str">
        <f t="shared" si="64"/>
        <v/>
      </c>
      <c r="N60" s="192" t="str">
        <f t="shared" si="64"/>
        <v/>
      </c>
      <c r="O60" s="193" t="str">
        <f t="shared" si="64"/>
        <v/>
      </c>
      <c r="P60" s="193" t="str">
        <f t="shared" si="64"/>
        <v/>
      </c>
      <c r="Q60" s="193" t="str">
        <f t="shared" si="64"/>
        <v/>
      </c>
      <c r="R60" s="193" t="str">
        <f t="shared" si="64"/>
        <v/>
      </c>
      <c r="S60" s="193" t="str">
        <f t="shared" si="64"/>
        <v/>
      </c>
      <c r="T60" s="193" t="str">
        <f t="shared" si="64"/>
        <v/>
      </c>
      <c r="U60" s="193" t="str">
        <f t="shared" si="64"/>
        <v/>
      </c>
      <c r="V60" s="193" t="str">
        <f t="shared" si="64"/>
        <v/>
      </c>
      <c r="W60" s="193" t="str">
        <f t="shared" si="64"/>
        <v/>
      </c>
      <c r="X60" s="193" t="str">
        <f t="shared" si="64"/>
        <v/>
      </c>
      <c r="Y60" s="193" t="str">
        <f t="shared" si="64"/>
        <v/>
      </c>
      <c r="Z60" s="193" t="str">
        <f t="shared" si="64"/>
        <v/>
      </c>
      <c r="AA60" s="193" t="str">
        <f t="shared" si="64"/>
        <v/>
      </c>
      <c r="AB60" s="193" t="str">
        <f t="shared" si="64"/>
        <v/>
      </c>
      <c r="AC60" s="193" t="str">
        <f t="shared" si="64"/>
        <v/>
      </c>
      <c r="AD60" s="193" t="str">
        <f t="shared" si="64"/>
        <v/>
      </c>
      <c r="AE60" s="193" t="str">
        <f t="shared" si="64"/>
        <v/>
      </c>
      <c r="AF60" s="193" t="str">
        <f t="shared" si="64"/>
        <v/>
      </c>
      <c r="AG60" s="193" t="str">
        <f t="shared" si="64"/>
        <v/>
      </c>
      <c r="AH60" s="193" t="str">
        <f t="shared" si="64"/>
        <v/>
      </c>
      <c r="AI60" s="193" t="str">
        <f t="shared" si="64"/>
        <v/>
      </c>
      <c r="AJ60" s="193" t="str">
        <f t="shared" si="64"/>
        <v/>
      </c>
      <c r="AK60" s="193" t="str">
        <f t="shared" si="64"/>
        <v/>
      </c>
      <c r="AL60" s="193" t="str">
        <f t="shared" si="64"/>
        <v/>
      </c>
      <c r="AM60" s="193" t="str">
        <f t="shared" si="64"/>
        <v/>
      </c>
      <c r="AN60" s="189" t="str">
        <f t="shared" si="64"/>
        <v/>
      </c>
      <c r="AO60" s="162" t="str">
        <f t="shared" si="64"/>
        <v/>
      </c>
      <c r="AP60" s="163" t="str">
        <f t="shared" si="64"/>
        <v/>
      </c>
      <c r="AQ60" s="163" t="str">
        <f t="shared" si="64"/>
        <v/>
      </c>
      <c r="AR60" s="163" t="str">
        <f t="shared" si="64"/>
        <v/>
      </c>
      <c r="AS60" s="163" t="str">
        <f t="shared" si="64"/>
        <v/>
      </c>
      <c r="AT60" s="163" t="str">
        <f t="shared" si="64"/>
        <v/>
      </c>
      <c r="AU60" s="194" t="str">
        <f t="shared" si="64"/>
        <v/>
      </c>
      <c r="AV60" s="165" t="str">
        <f t="shared" si="64"/>
        <v/>
      </c>
    </row>
    <row r="61" spans="1:48" hidden="1" x14ac:dyDescent="0.25">
      <c r="A61" s="133" t="str">
        <f t="shared" ref="A61" si="65">+IF(C61+C62=0,"[ocultar]","")</f>
        <v>[ocultar]</v>
      </c>
      <c r="B61" s="202" t="s">
        <v>394</v>
      </c>
      <c r="C61" s="203">
        <f t="array" ref="C61">SUM(IF($B61=DATOS_[Sexo],
IF($B60=DATOS_[AGRUP. CLAS. PROF.],
IF("Dentro"=DATOS_[Check Periodo Ref.],
1/(COUNTIFS(DATOS_[Sexo],$B61,DATOS_[AGRUP. CLAS. PROF.],$B60,DATOS_[Check Periodo Ref.],"Dentro",DATOS_[id/cod],DATOS_[id/cod]))))))</f>
        <v>0</v>
      </c>
      <c r="D61" s="204">
        <f>COUNTIFS(DATOS_[AGRUP. CLAS. PROF.],$B60,DATOS_[Sexo],$B61,DATOS_[Check Periodo Ref.],"Dentro")</f>
        <v>0</v>
      </c>
      <c r="E61" s="204">
        <f>COUNTIFS(DATOS_[AGRUP. CLAS. PROF.],$B60,DATOS_[Sexo],$B61,DATOS_[Check Periodo Ref.],"Dentro",DATOS_[Check Nº SC Norm],"Sí")</f>
        <v>0</v>
      </c>
      <c r="F61" s="204">
        <f>COUNTIFS(DATOS_[AGRUP. CLAS. PROF.],$B60,DATOS_[Sexo],$B61,DATOS_[Check Periodo Ref.],"Dentro",DATOS_[Check Nº SC Anualiz],"Sí")</f>
        <v>0</v>
      </c>
      <c r="G61" s="204">
        <f>COUNTIFS(DATOS_[AGRUP. CLAS. PROF.],$B60,DATOS_[Sexo],$B61,DATOS_[Check Periodo Ref.],"Dentro",DATOS_[Check Nº SC Norm y Anualiz],"Sí")</f>
        <v>0</v>
      </c>
      <c r="H61" s="204">
        <f>COUNTIFS(DATOS_[AGRUP. CLAS. PROF.],$B60,DATOS_[Sexo],$B61,DATOS_[Check Periodo Ref.],"Dentro",DATOS_[Check Equiparación],"Sí")</f>
        <v>0</v>
      </c>
      <c r="I61" s="195">
        <f t="array" ref="I61">IFERROR(
MEDIAN(IF(DATOS_[Sexo]=$B61,IF(DATOS_[[AGRUP. CLAS. PROF.]:[AGRUP. CLAS. PROF.]]=$B60,IF(DATOS_[Check Equiparado]="Sí",IF(DATOS_[Check Periodo Ref.]="Dentro",DATOS_[SALARIO BASE Eq],FALSE))))),
0)</f>
        <v>0</v>
      </c>
      <c r="J61" s="196">
        <f t="array" ref="J61">IFERROR(
(MEDIAN((IF(DATOS_[[Sexo]:[Sexo]]=$B61,IF(DATOS_[[AGRUP. CLAS. PROF.]:[AGRUP. CLAS. PROF.]]=$B60,IF(DATOS_[[Check Periodo Ref.]:[Check Periodo Ref.]]="Dentro",IF(DATOS_[[Check Equiparado]:[Check Equiparado]]="Sí",IF(DATOS!AE$5="Sí",(1/DATOS_[[% anualiz]:[% anualiz]]),1)*IF(DATOS!AE$4="Sí",1/DATOS_[[% normaliz]:[% normaliz]],1)*(DATOS_[Conc.Sal.01])))))))),
0)</f>
        <v>0</v>
      </c>
      <c r="K61" s="196">
        <f t="array" ref="K61">IFERROR(
(MEDIAN((IF(DATOS_[[Sexo]:[Sexo]]=$B61,IF(DATOS_[[AGRUP. CLAS. PROF.]:[AGRUP. CLAS. PROF.]]=$B60,IF(DATOS_[[Check Periodo Ref.]:[Check Periodo Ref.]]="Dentro",IF(DATOS_[[Check Equiparado]:[Check Equiparado]]="Sí",IF(DATOS!AF$5="Sí",(1/DATOS_[[% anualiz]:[% anualiz]]),1)*IF(DATOS!AF$4="Sí",1/DATOS_[[% normaliz]:[% normaliz]],1)*(DATOS_[Conc.Sal.02])))))))),
0)</f>
        <v>0</v>
      </c>
      <c r="L61" s="196">
        <f t="array" ref="L61">IFERROR(
(MEDIAN((IF(DATOS_[[Sexo]:[Sexo]]=$B61,IF(DATOS_[[AGRUP. CLAS. PROF.]:[AGRUP. CLAS. PROF.]]=$B60,IF(DATOS_[[Check Periodo Ref.]:[Check Periodo Ref.]]="Dentro",IF(DATOS_[[Check Equiparado]:[Check Equiparado]]="Sí",IF(DATOS!AG$5="Sí",(1/DATOS_[[% anualiz]:[% anualiz]]),1)*IF(DATOS!AG$4="Sí",1/DATOS_[[% normaliz]:[% normaliz]],1)*(DATOS_[Conc.Sal.03])))))))),
0)</f>
        <v>0</v>
      </c>
      <c r="M61" s="196">
        <f t="array" ref="M61">IFERROR(
(MEDIAN((IF(DATOS_[[Sexo]:[Sexo]]=$B61,IF(DATOS_[[AGRUP. CLAS. PROF.]:[AGRUP. CLAS. PROF.]]=$B60,IF(DATOS_[[Check Periodo Ref.]:[Check Periodo Ref.]]="Dentro",IF(DATOS_[[Check Equiparado]:[Check Equiparado]]="Sí",IF(DATOS!AH$5="Sí",(1/DATOS_[[% anualiz]:[% anualiz]]),1)*IF(DATOS!AH$4="Sí",1/DATOS_[[% normaliz]:[% normaliz]],1)*(DATOS_[Conc.Sal.04])))))))),
0)</f>
        <v>0</v>
      </c>
      <c r="N61" s="196">
        <f t="array" ref="N61">IFERROR(
(MEDIAN((IF(DATOS_[[Sexo]:[Sexo]]=$B61,IF(DATOS_[[AGRUP. CLAS. PROF.]:[AGRUP. CLAS. PROF.]]=$B60,IF(DATOS_[[Check Periodo Ref.]:[Check Periodo Ref.]]="Dentro",IF(DATOS_[[Check Equiparado]:[Check Equiparado]]="Sí",IF(DATOS!AI$5="Sí",(1/DATOS_[[% anualiz]:[% anualiz]]),1)*IF(DATOS!AI$4="Sí",1/DATOS_[[% normaliz]:[% normaliz]],1)*(DATOS_[Conc.Sal.05])))))))),
0)</f>
        <v>0</v>
      </c>
      <c r="O61" s="196">
        <f t="array" ref="O61">IFERROR(
(MEDIAN((IF(DATOS_[[Sexo]:[Sexo]]=$B61,IF(DATOS_[[AGRUP. CLAS. PROF.]:[AGRUP. CLAS. PROF.]]=$B60,IF(DATOS_[[Check Periodo Ref.]:[Check Periodo Ref.]]="Dentro",IF(DATOS_[[Check Equiparado]:[Check Equiparado]]="Sí",IF(DATOS!AJ$5="Sí",(1/DATOS_[[% anualiz]:[% anualiz]]),1)*IF(DATOS!AJ$4="Sí",1/DATOS_[[% normaliz]:[% normaliz]],1)*(DATOS_[Conc.Sal.06])))))))),
0)</f>
        <v>0</v>
      </c>
      <c r="P61" s="196">
        <f t="array" ref="P61">IFERROR(
(MEDIAN((IF(DATOS_[[Sexo]:[Sexo]]=$B61,IF(DATOS_[[AGRUP. CLAS. PROF.]:[AGRUP. CLAS. PROF.]]=$B60,IF(DATOS_[[Check Periodo Ref.]:[Check Periodo Ref.]]="Dentro",IF(DATOS_[[Check Equiparado]:[Check Equiparado]]="Sí",IF(DATOS!AK$5="Sí",(1/DATOS_[[% anualiz]:[% anualiz]]),1)*IF(DATOS!AK$4="Sí",1/DATOS_[[% normaliz]:[% normaliz]],1)*(DATOS_[Conc.Sal.07])))))))),
0)</f>
        <v>0</v>
      </c>
      <c r="Q61" s="196">
        <f t="array" ref="Q61">IFERROR(
(MEDIAN((IF(DATOS_[[Sexo]:[Sexo]]=$B61,IF(DATOS_[[AGRUP. CLAS. PROF.]:[AGRUP. CLAS. PROF.]]=$B60,IF(DATOS_[[Check Periodo Ref.]:[Check Periodo Ref.]]="Dentro",IF(DATOS_[[Check Equiparado]:[Check Equiparado]]="Sí",IF(DATOS!AL$5="Sí",(1/DATOS_[[% anualiz]:[% anualiz]]),1)*IF(DATOS!AL$4="Sí",1/DATOS_[[% normaliz]:[% normaliz]],1)*(DATOS_[Conc.Sal.08])))))))),
0)</f>
        <v>0</v>
      </c>
      <c r="R61" s="196">
        <f t="array" ref="R61">IFERROR(
(MEDIAN((IF(DATOS_[[Sexo]:[Sexo]]=$B61,IF(DATOS_[[AGRUP. CLAS. PROF.]:[AGRUP. CLAS. PROF.]]=$B60,IF(DATOS_[[Check Periodo Ref.]:[Check Periodo Ref.]]="Dentro",IF(DATOS_[[Check Equiparado]:[Check Equiparado]]="Sí",IF(DATOS!AM$5="Sí",(1/DATOS_[[% anualiz]:[% anualiz]]),1)*IF(DATOS!AM$4="Sí",1/DATOS_[[% normaliz]:[% normaliz]],1)*(DATOS_[Conc.Sal.09])))))))),
0)</f>
        <v>0</v>
      </c>
      <c r="S61" s="196">
        <f t="array" ref="S61">IFERROR(
(MEDIAN((IF(DATOS_[[Sexo]:[Sexo]]=$B61,IF(DATOS_[[AGRUP. CLAS. PROF.]:[AGRUP. CLAS. PROF.]]=$B60,IF(DATOS_[[Check Periodo Ref.]:[Check Periodo Ref.]]="Dentro",IF(DATOS_[[Check Equiparado]:[Check Equiparado]]="Sí",IF(DATOS!AN$5="Sí",(1/DATOS_[[% anualiz]:[% anualiz]]),1)*IF(DATOS!AN$4="Sí",1/DATOS_[[% normaliz]:[% normaliz]],1)*(DATOS_[Conc.Sal.10])))))))),
0)</f>
        <v>0</v>
      </c>
      <c r="T61" s="196">
        <f t="array" ref="T61">IFERROR(
(MEDIAN((IF(DATOS_[[Sexo]:[Sexo]]=$B61,IF(DATOS_[[AGRUP. CLAS. PROF.]:[AGRUP. CLAS. PROF.]]=$B60,IF(DATOS_[[Check Periodo Ref.]:[Check Periodo Ref.]]="Dentro",IF(DATOS_[[Check Equiparado]:[Check Equiparado]]="Sí",IF(DATOS!AO$5="Sí",(1/DATOS_[[% anualiz]:[% anualiz]]),1)*IF(DATOS!AO$4="Sí",1/DATOS_[[% normaliz]:[% normaliz]],1)*(DATOS_[Conc.Sal.11])))))))),
0)</f>
        <v>0</v>
      </c>
      <c r="U61" s="196">
        <f t="array" ref="U61">IFERROR(
(MEDIAN((IF(DATOS_[[Sexo]:[Sexo]]=$B61,IF(DATOS_[[AGRUP. CLAS. PROF.]:[AGRUP. CLAS. PROF.]]=$B60,IF(DATOS_[[Check Periodo Ref.]:[Check Periodo Ref.]]="Dentro",IF(DATOS_[[Check Equiparado]:[Check Equiparado]]="Sí",IF(DATOS!AP$5="Sí",(1/DATOS_[[% anualiz]:[% anualiz]]),1)*IF(DATOS!AP$4="Sí",1/DATOS_[[% normaliz]:[% normaliz]],1)*(DATOS_[Conc.Sal.12])))))))),
0)</f>
        <v>0</v>
      </c>
      <c r="V61" s="196">
        <f t="array" ref="V61">IFERROR(
(MEDIAN((IF(DATOS_[[Sexo]:[Sexo]]=$B61,IF(DATOS_[[AGRUP. CLAS. PROF.]:[AGRUP. CLAS. PROF.]]=$B60,IF(DATOS_[[Check Periodo Ref.]:[Check Periodo Ref.]]="Dentro",IF(DATOS_[[Check Equiparado]:[Check Equiparado]]="Sí",IF(DATOS!AQ$5="Sí",(1/DATOS_[[% anualiz]:[% anualiz]]),1)*IF(DATOS!AQ$4="Sí",1/DATOS_[[% normaliz]:[% normaliz]],1)*(DATOS_[Conc.Sal.13])))))))),
0)</f>
        <v>0</v>
      </c>
      <c r="W61" s="196">
        <f t="array" ref="W61">IFERROR(
(MEDIAN((IF(DATOS_[[Sexo]:[Sexo]]=$B61,IF(DATOS_[[AGRUP. CLAS. PROF.]:[AGRUP. CLAS. PROF.]]=$B60,IF(DATOS_[[Check Periodo Ref.]:[Check Periodo Ref.]]="Dentro",IF(DATOS_[[Check Equiparado]:[Check Equiparado]]="Sí",IF(DATOS!AR$5="Sí",(1/DATOS_[[% anualiz]:[% anualiz]]),1)*IF(DATOS!AR$4="Sí",1/DATOS_[[% normaliz]:[% normaliz]],1)*(DATOS_[Conc.Sal.14])))))))),
0)</f>
        <v>0</v>
      </c>
      <c r="X61" s="196">
        <f t="array" ref="X61">IFERROR(
(MEDIAN((IF(DATOS_[[Sexo]:[Sexo]]=$B61,IF(DATOS_[[AGRUP. CLAS. PROF.]:[AGRUP. CLAS. PROF.]]=$B60,IF(DATOS_[[Check Periodo Ref.]:[Check Periodo Ref.]]="Dentro",IF(DATOS_[[Check Equiparado]:[Check Equiparado]]="Sí",IF(DATOS!AS$5="Sí",(1/DATOS_[[% anualiz]:[% anualiz]]),1)*IF(DATOS!AS$4="Sí",1/DATOS_[[% normaliz]:[% normaliz]],1)*(DATOS_[Conc.Sal.15])))))))),
0)</f>
        <v>0</v>
      </c>
      <c r="Y61" s="196">
        <f t="array" ref="Y61">IFERROR(
(MEDIAN((IF(DATOS_[[Sexo]:[Sexo]]=$B61,IF(DATOS_[[AGRUP. CLAS. PROF.]:[AGRUP. CLAS. PROF.]]=$B60,IF(DATOS_[[Check Periodo Ref.]:[Check Periodo Ref.]]="Dentro",IF(DATOS_[[Check Equiparado]:[Check Equiparado]]="Sí",IF(DATOS!AT$5="Sí",(1/DATOS_[[% anualiz]:[% anualiz]]),1)*IF(DATOS!AT$4="Sí",1/DATOS_[[% normaliz]:[% normaliz]],1)*(DATOS_[Conc.Sal.16])))))))),
0)</f>
        <v>0</v>
      </c>
      <c r="Z61" s="196">
        <f t="array" ref="Z61">IFERROR(
(MEDIAN((IF(DATOS_[[Sexo]:[Sexo]]=$B61,IF(DATOS_[[AGRUP. CLAS. PROF.]:[AGRUP. CLAS. PROF.]]=$B60,IF(DATOS_[[Check Periodo Ref.]:[Check Periodo Ref.]]="Dentro",IF(DATOS_[[Check Equiparado]:[Check Equiparado]]="Sí",IF(DATOS!AU$5="Sí",(1/DATOS_[[% anualiz]:[% anualiz]]),1)*IF(DATOS!AU$4="Sí",1/DATOS_[[% normaliz]:[% normaliz]],1)*(DATOS_[Conc.Sal.17])))))))),
0)</f>
        <v>0</v>
      </c>
      <c r="AA61" s="196">
        <f t="array" ref="AA61">IFERROR(
(MEDIAN((IF(DATOS_[[Sexo]:[Sexo]]=$B61,IF(DATOS_[[AGRUP. CLAS. PROF.]:[AGRUP. CLAS. PROF.]]=$B60,IF(DATOS_[[Check Periodo Ref.]:[Check Periodo Ref.]]="Dentro",IF(DATOS_[[Check Equiparado]:[Check Equiparado]]="Sí",IF(DATOS!AV$5="Sí",(1/DATOS_[[% anualiz]:[% anualiz]]),1)*IF(DATOS!AV$4="Sí",1/DATOS_[[% normaliz]:[% normaliz]],1)*(DATOS_[Conc.Sal.18])))))))),
0)</f>
        <v>0</v>
      </c>
      <c r="AB61" s="196">
        <f t="array" ref="AB61">IFERROR(
(MEDIAN((IF(DATOS_[[Sexo]:[Sexo]]=$B61,IF(DATOS_[[AGRUP. CLAS. PROF.]:[AGRUP. CLAS. PROF.]]=$B60,IF(DATOS_[[Check Periodo Ref.]:[Check Periodo Ref.]]="Dentro",IF(DATOS_[[Check Equiparado]:[Check Equiparado]]="Sí",IF(DATOS!AW$5="Sí",(1/DATOS_[[% anualiz]:[% anualiz]]),1)*IF(DATOS!AW$4="Sí",1/DATOS_[[% normaliz]:[% normaliz]],1)*(DATOS_[Conc.Sal.19])))))))),
0)</f>
        <v>0</v>
      </c>
      <c r="AC61" s="196">
        <f t="array" ref="AC61">IFERROR(
(MEDIAN((IF(DATOS_[[Sexo]:[Sexo]]=$B61,IF(DATOS_[[AGRUP. CLAS. PROF.]:[AGRUP. CLAS. PROF.]]=$B60,IF(DATOS_[[Check Periodo Ref.]:[Check Periodo Ref.]]="Dentro",IF(DATOS_[[Check Equiparado]:[Check Equiparado]]="Sí",IF(DATOS!AX$5="Sí",(1/DATOS_[[% anualiz]:[% anualiz]]),1)*IF(DATOS!AX$4="Sí",1/DATOS_[[% normaliz]:[% normaliz]],1)*(DATOS_[Conc.Sal.20])))))))),
0)</f>
        <v>0</v>
      </c>
      <c r="AD61" s="196">
        <f t="array" ref="AD61">IFERROR(
(MEDIAN((IF(DATOS_[[Sexo]:[Sexo]]=$B61,IF(DATOS_[[AGRUP. CLAS. PROF.]:[AGRUP. CLAS. PROF.]]=$B60,IF(DATOS_[[Check Periodo Ref.]:[Check Periodo Ref.]]="Dentro",IF(DATOS_[[Check Equiparado]:[Check Equiparado]]="Sí",IF(DATOS!AY$5="Sí",(1/DATOS_[[% anualiz]:[% anualiz]]),1)*IF(DATOS!AY$4="Sí",1/DATOS_[[% normaliz]:[% normaliz]],1)*(DATOS_[Conc.Sal.21])))))))),
0)</f>
        <v>0</v>
      </c>
      <c r="AE61" s="196">
        <f t="array" ref="AE61">IFERROR(
(MEDIAN((IF(DATOS_[[Sexo]:[Sexo]]=$B61,IF(DATOS_[[AGRUP. CLAS. PROF.]:[AGRUP. CLAS. PROF.]]=$B60,IF(DATOS_[[Check Periodo Ref.]:[Check Periodo Ref.]]="Dentro",IF(DATOS_[[Check Equiparado]:[Check Equiparado]]="Sí",IF(DATOS!AZ$5="Sí",(1/DATOS_[[% anualiz]:[% anualiz]]),1)*IF(DATOS!AZ$4="Sí",1/DATOS_[[% normaliz]:[% normaliz]],1)*(DATOS_[Conc.Sal.22])))))))),
0)</f>
        <v>0</v>
      </c>
      <c r="AF61" s="196">
        <f t="array" ref="AF61">IFERROR(
(MEDIAN((IF(DATOS_[[Sexo]:[Sexo]]=$B61,IF(DATOS_[[AGRUP. CLAS. PROF.]:[AGRUP. CLAS. PROF.]]=$B60,IF(DATOS_[[Check Periodo Ref.]:[Check Periodo Ref.]]="Dentro",IF(DATOS_[[Check Equiparado]:[Check Equiparado]]="Sí",IF(DATOS!BA$5="Sí",(1/DATOS_[[% anualiz]:[% anualiz]]),1)*IF(DATOS!BA$4="Sí",1/DATOS_[[% normaliz]:[% normaliz]],1)*(DATOS_[Conc.Sal.23])))))))),
0)</f>
        <v>0</v>
      </c>
      <c r="AG61" s="196">
        <f t="array" ref="AG61">IFERROR(
(MEDIAN((IF(DATOS_[[Sexo]:[Sexo]]=$B61,IF(DATOS_[[AGRUP. CLAS. PROF.]:[AGRUP. CLAS. PROF.]]=$B60,IF(DATOS_[[Check Periodo Ref.]:[Check Periodo Ref.]]="Dentro",IF(DATOS_[[Check Equiparado]:[Check Equiparado]]="Sí",IF(DATOS!BB$5="Sí",(1/DATOS_[[% anualiz]:[% anualiz]]),1)*IF(DATOS!BB$4="Sí",1/DATOS_[[% normaliz]:[% normaliz]],1)*(DATOS_[Conc.Sal.24])))))))),
0)</f>
        <v>0</v>
      </c>
      <c r="AH61" s="196">
        <f t="array" ref="AH61">IFERROR(
(MEDIAN((IF(DATOS_[[Sexo]:[Sexo]]=$B61,IF(DATOS_[[AGRUP. CLAS. PROF.]:[AGRUP. CLAS. PROF.]]=$B60,IF(DATOS_[[Check Periodo Ref.]:[Check Periodo Ref.]]="Dentro",IF(DATOS_[[Check Equiparado]:[Check Equiparado]]="Sí",IF(DATOS!BC$5="Sí",(1/DATOS_[[% anualiz]:[% anualiz]]),1)*IF(DATOS!BC$4="Sí",1/DATOS_[[% normaliz]:[% normaliz]],1)*(DATOS_[Conc.Sal.25])))))))),
0)</f>
        <v>0</v>
      </c>
      <c r="AI61" s="196">
        <f t="array" ref="AI61">IFERROR(
(MEDIAN((IF(DATOS_[[Sexo]:[Sexo]]=$B61,IF(DATOS_[[AGRUP. CLAS. PROF.]:[AGRUP. CLAS. PROF.]]=$B60,IF(DATOS_[[Check Periodo Ref.]:[Check Periodo Ref.]]="Dentro",IF(DATOS_[[Check Equiparado]:[Check Equiparado]]="Sí",IF(DATOS!BD$5="Sí",(1/DATOS_[[% anualiz]:[% anualiz]]),1)*IF(DATOS!BD$4="Sí",1/DATOS_[[% normaliz]:[% normaliz]],1)*(DATOS_[Conc.Sal.26])))))))),
0)</f>
        <v>0</v>
      </c>
      <c r="AJ61" s="196">
        <f t="array" ref="AJ61">IFERROR(
(MEDIAN((IF(DATOS_[[Sexo]:[Sexo]]=$B61,IF(DATOS_[[AGRUP. CLAS. PROF.]:[AGRUP. CLAS. PROF.]]=$B60,IF(DATOS_[[Check Periodo Ref.]:[Check Periodo Ref.]]="Dentro",IF(DATOS_[[Check Equiparado]:[Check Equiparado]]="Sí",IF(DATOS!BE$5="Sí",(1/DATOS_[[% anualiz]:[% anualiz]]),1)*IF(DATOS!BE$4="Sí",1/DATOS_[[% normaliz]:[% normaliz]],1)*(DATOS_[Conc.Sal.27])))))))),
0)</f>
        <v>0</v>
      </c>
      <c r="AK61" s="196">
        <f t="array" ref="AK61">IFERROR(
(MEDIAN((IF(DATOS_[[Sexo]:[Sexo]]=$B61,IF(DATOS_[[AGRUP. CLAS. PROF.]:[AGRUP. CLAS. PROF.]]=$B60,IF(DATOS_[[Check Periodo Ref.]:[Check Periodo Ref.]]="Dentro",IF(DATOS_[[Check Equiparado]:[Check Equiparado]]="Sí",IF(DATOS!BF$5="Sí",(1/DATOS_[[% anualiz]:[% anualiz]]),1)*IF(DATOS!BF$4="Sí",1/DATOS_[[% normaliz]:[% normaliz]],1)*(DATOS_[Conc.Sal.28])))))))),
0)</f>
        <v>0</v>
      </c>
      <c r="AL61" s="196">
        <f t="array" ref="AL61">IFERROR(
(MEDIAN((IF(DATOS_[[Sexo]:[Sexo]]=$B61,IF(DATOS_[[AGRUP. CLAS. PROF.]:[AGRUP. CLAS. PROF.]]=$B60,IF(DATOS_[[Check Periodo Ref.]:[Check Periodo Ref.]]="Dentro",IF(DATOS_[[Check Equiparado]:[Check Equiparado]]="Sí",IF(DATOS!BG$5="Sí",(1/DATOS_[[% anualiz]:[% anualiz]]),1)*IF(DATOS!BG$4="Sí",1/DATOS_[[% normaliz]:[% normaliz]],1)*(DATOS_[Conc.Sal.29])))))))),
0)</f>
        <v>0</v>
      </c>
      <c r="AM61" s="196">
        <f t="array" ref="AM61">IFERROR(
(MEDIAN((IF(DATOS_[[Sexo]:[Sexo]]=$B61,IF(DATOS_[[AGRUP. CLAS. PROF.]:[AGRUP. CLAS. PROF.]]=$B60,IF(DATOS_[[Check Periodo Ref.]:[Check Periodo Ref.]]="Dentro",IF(DATOS_[[Check Equiparado]:[Check Equiparado]]="Sí",IF(DATOS!BH$5="Sí",(1/DATOS_[[% anualiz]:[% anualiz]]),1)*IF(DATOS!BH$4="Sí",1/DATOS_[[% normaliz]:[% normaliz]],1)*(DATOS_[Conc.Sal.30])))))))),
0)</f>
        <v>0</v>
      </c>
      <c r="AN61" s="195">
        <f t="array" ref="AN61">IFERROR(
MEDIAN(IF(DATOS_[Sexo]=$B61,IF(DATOS_[[AGRUP. CLAS. PROF.]:[AGRUP. CLAS. PROF.]]=$B60,IF(DATOS_[Check Equiparado]="Sí",IF(DATOS_[Check Periodo Ref.]="Dentro",DATOS_[Tot COMPL.SAL Eq],FALSE))))),
0)</f>
        <v>0</v>
      </c>
      <c r="AO61" s="172">
        <f t="array" ref="AO61">IFERROR(
MEDIAN(IF(DATOS_[Sexo]=$B61,IF(DATOS_[[AGRUP. CLAS. PROF.]:[AGRUP. CLAS. PROF.]]=$B60,IF(DATOS_[Check Equiparado]="Sí",IF(DATOS_[Check Periodo Ref.]="Dentro",DATOS_[TOTAL SALARIO Eq],FALSE))))),
0)</f>
        <v>0</v>
      </c>
      <c r="AP61" s="173">
        <f t="array" ref="AP61">IFERROR(
(MEDIAN((IF(DATOS_[[Sexo]:[Sexo]]=$B61,IF(DATOS_[[AGRUP. CLAS. PROF.]:[AGRUP. CLAS. PROF.]]=$B60,IF(DATOS_[[Check Periodo Ref.]:[Check Periodo Ref.]]="Dentro",IF(DATOS_[[Check Equiparado]:[Check Equiparado]]="Sí",IF(DATOS!BW$5="Sí",(1/DATOS_[[% anualiz]:[% anualiz]]),1)*IF(DATOS!BW$4="Sí",1/DATOS_[[% normaliz]:[% normaliz]],1)*(DATOS_[C.Extra.01])))))))),
0)</f>
        <v>0</v>
      </c>
      <c r="AQ61" s="173">
        <f t="array" ref="AQ61">IFERROR(
(MEDIAN((IF(DATOS_[[Sexo]:[Sexo]]=$B61,IF(DATOS_[[AGRUP. CLAS. PROF.]:[AGRUP. CLAS. PROF.]]=$B60,IF(DATOS_[[Check Periodo Ref.]:[Check Periodo Ref.]]="Dentro",IF(DATOS_[[Check Equiparado]:[Check Equiparado]]="Sí",IF(DATOS!CB$5="Sí",(1/DATOS_[[% anualiz]:[% anualiz]]),1)*IF(DATOS!CB$4="Sí",1/DATOS_[[% normaliz]:[% normaliz]],1)*(DATOS_[C.Extra.06])))))))),
0)</f>
        <v>0</v>
      </c>
      <c r="AR61" s="173">
        <f t="array" ref="AR61">IFERROR(
(MEDIAN((IF(DATOS_[[Sexo]:[Sexo]]=$B61,IF(DATOS_[[AGRUP. CLAS. PROF.]:[AGRUP. CLAS. PROF.]]=$B60,IF(DATOS_[[Check Periodo Ref.]:[Check Periodo Ref.]]="Dentro",IF(DATOS_[[Check Equiparado]:[Check Equiparado]]="Sí",IF(DATOS!CC$5="Sí",(1/DATOS_[[% anualiz]:[% anualiz]]),1)*IF(DATOS!CC$4="Sí",1/DATOS_[[% normaliz]:[% normaliz]],1)*(DATOS_[C.Extra.07])))))))),
0)</f>
        <v>0</v>
      </c>
      <c r="AS61" s="173">
        <f t="array" ref="AS61">IFERROR(
(MEDIAN((IF(DATOS_[[Sexo]:[Sexo]]=$B61,IF(DATOS_[[AGRUP. CLAS. PROF.]:[AGRUP. CLAS. PROF.]]=$B60,IF(DATOS_[[Check Periodo Ref.]:[Check Periodo Ref.]]="Dentro",IF(DATOS_[[Check Equiparado]:[Check Equiparado]]="Sí",IF(DATOS!CD$5="Sí",(1/DATOS_[[% anualiz]:[% anualiz]]),1)*IF(DATOS!CD$4="Sí",1/DATOS_[[% normaliz]:[% normaliz]],1)*(DATOS_[C.Extra.08])))))))),
0)</f>
        <v>0</v>
      </c>
      <c r="AT61" s="173">
        <f t="array" ref="AT61">IFERROR(
(MEDIAN((IF(DATOS_[[Sexo]:[Sexo]]=$B61,IF(DATOS_[[AGRUP. CLAS. PROF.]:[AGRUP. CLAS. PROF.]]=$B60,IF(DATOS_[[Check Periodo Ref.]:[Check Periodo Ref.]]="Dentro",IF(DATOS_[[Check Equiparado]:[Check Equiparado]]="Sí",IF(DATOS!CG$5="Sí",(1/DATOS_[[% anualiz]:[% anualiz]]),1)*IF(DATOS!CG$4="Sí",1/DATOS_[[% normaliz]:[% normaliz]],1)*(DATOS_[C.Extra.11])))))))),
0)</f>
        <v>0</v>
      </c>
      <c r="AU61" s="197">
        <f t="array" ref="AU61">IFERROR(
MEDIAN(IF(DATOS_[Sexo]=$B61,IF(DATOS_[[AGRUP. CLAS. PROF.]:[AGRUP. CLAS. PROF.]]=$B60,IF(DATOS_[Check Equiparado]="Sí",IF(DATOS_[Check Periodo Ref.]="Dentro",DATOS_[Tot Extrasalarial Eq],FALSE))))),
0)</f>
        <v>0</v>
      </c>
      <c r="AV61" s="175">
        <f t="array" ref="AV61">IFERROR(
MEDIAN(IF(DATOS_[Sexo]=$B61,IF(DATOS_[[AGRUP. CLAS. PROF.]:[AGRUP. CLAS. PROF.]]=$B60,IF(DATOS_[Check Equiparado]="Sí",IF(DATOS_[Check Periodo Ref.]="Dentro",DATOS_[TOTAL Retrib Eq],FALSE))))),
0)</f>
        <v>0</v>
      </c>
    </row>
    <row r="62" spans="1:48" hidden="1" x14ac:dyDescent="0.25">
      <c r="A62" s="133" t="str">
        <f t="shared" ref="A62" si="66">+A61</f>
        <v>[ocultar]</v>
      </c>
      <c r="B62" s="202" t="s">
        <v>521</v>
      </c>
      <c r="C62" s="203">
        <f t="array" ref="C62">SUM(IF($B62=DATOS_[Sexo],
IF($B60=DATOS_[AGRUP. CLAS. PROF.],
IF("Dentro"=DATOS_[Check Periodo Ref.],
1/(COUNTIFS(DATOS_[Sexo],$B62,DATOS_[AGRUP. CLAS. PROF.],$B60,DATOS_[Check Periodo Ref.],"Dentro",DATOS_[id/cod],DATOS_[id/cod]))))))</f>
        <v>0</v>
      </c>
      <c r="D62" s="204">
        <f>COUNTIFS(DATOS_[AGRUP. CLAS. PROF.],$B60,DATOS_[Sexo],$B62,DATOS_[Check Periodo Ref.],"Dentro")</f>
        <v>0</v>
      </c>
      <c r="E62" s="204">
        <f>COUNTIFS(DATOS_[AGRUP. CLAS. PROF.],$B60,DATOS_[Sexo],$B62,DATOS_[Check Periodo Ref.],"Dentro",DATOS_[Check Nº SC Norm],"Sí")</f>
        <v>0</v>
      </c>
      <c r="F62" s="204">
        <f>COUNTIFS(DATOS_[AGRUP. CLAS. PROF.],$B60,DATOS_[Sexo],$B62,DATOS_[Check Periodo Ref.],"Dentro",DATOS_[Check Nº SC Anualiz],"Sí")</f>
        <v>0</v>
      </c>
      <c r="G62" s="204">
        <f>COUNTIFS(DATOS_[AGRUP. CLAS. PROF.],$B60,DATOS_[Sexo],$B62,DATOS_[Check Periodo Ref.],"Dentro",DATOS_[Check Nº SC Norm y Anualiz],"Sí")</f>
        <v>0</v>
      </c>
      <c r="H62" s="204">
        <f>COUNTIFS(DATOS_[AGRUP. CLAS. PROF.],$B60,DATOS_[Sexo],$B62,DATOS_[Check Periodo Ref.],"Dentro",DATOS_[Check Equiparación],"Sí")</f>
        <v>0</v>
      </c>
      <c r="I62" s="195" cm="1">
        <f t="array" ref="I62">IFERROR(
MEDIAN(IF(DATOS_[Sexo]=$B62,IF(DATOS_[[AGRUP. CLAS. PROF.]:[AGRUP. CLAS. PROF.]]=$B60,IF(DATOS_[Check Equiparado]="Sí",IF(DATOS_[Check Periodo Ref.]="Dentro",DATOS_[SALARIO BASE Eq],FALSE))))),
0)</f>
        <v>0</v>
      </c>
      <c r="J62" s="196">
        <f t="array" ref="J62">IFERROR(
(MEDIAN((IF(DATOS_[[Sexo]:[Sexo]]=$B62,IF(DATOS_[[AGRUP. CLAS. PROF.]:[AGRUP. CLAS. PROF.]]=$B60,IF(DATOS_[[Check Periodo Ref.]:[Check Periodo Ref.]]="Dentro",IF(DATOS_[[Check Equiparado]:[Check Equiparado]]="Sí",IF(DATOS!AE$5="Sí",(1/DATOS_[[% anualiz]:[% anualiz]]),1)*IF(DATOS!AE$4="Sí",1/DATOS_[[% normaliz]:[% normaliz]],1)*(DATOS_[Conc.Sal.01])))))))),
0)</f>
        <v>0</v>
      </c>
      <c r="K62" s="196">
        <f t="array" ref="K62">IFERROR(
(MEDIAN((IF(DATOS_[[Sexo]:[Sexo]]=$B62,IF(DATOS_[[AGRUP. CLAS. PROF.]:[AGRUP. CLAS. PROF.]]=$B60,IF(DATOS_[[Check Periodo Ref.]:[Check Periodo Ref.]]="Dentro",IF(DATOS_[[Check Equiparado]:[Check Equiparado]]="Sí",IF(DATOS!AF$5="Sí",(1/DATOS_[[% anualiz]:[% anualiz]]),1)*IF(DATOS!AF$4="Sí",1/DATOS_[[% normaliz]:[% normaliz]],1)*(DATOS_[Conc.Sal.02])))))))),
0)</f>
        <v>0</v>
      </c>
      <c r="L62" s="196">
        <f t="array" ref="L62">IFERROR(
(MEDIAN((IF(DATOS_[[Sexo]:[Sexo]]=$B62,IF(DATOS_[[AGRUP. CLAS. PROF.]:[AGRUP. CLAS. PROF.]]=$B60,IF(DATOS_[[Check Periodo Ref.]:[Check Periodo Ref.]]="Dentro",IF(DATOS_[[Check Equiparado]:[Check Equiparado]]="Sí",IF(DATOS!AG$5="Sí",(1/DATOS_[[% anualiz]:[% anualiz]]),1)*IF(DATOS!AG$4="Sí",1/DATOS_[[% normaliz]:[% normaliz]],1)*(DATOS_[Conc.Sal.03])))))))),
0)</f>
        <v>0</v>
      </c>
      <c r="M62" s="196">
        <f t="array" ref="M62">IFERROR(
(MEDIAN((IF(DATOS_[[Sexo]:[Sexo]]=$B62,IF(DATOS_[[AGRUP. CLAS. PROF.]:[AGRUP. CLAS. PROF.]]=$B60,IF(DATOS_[[Check Periodo Ref.]:[Check Periodo Ref.]]="Dentro",IF(DATOS_[[Check Equiparado]:[Check Equiparado]]="Sí",IF(DATOS!AH$5="Sí",(1/DATOS_[[% anualiz]:[% anualiz]]),1)*IF(DATOS!AH$4="Sí",1/DATOS_[[% normaliz]:[% normaliz]],1)*(DATOS_[Conc.Sal.04])))))))),
0)</f>
        <v>0</v>
      </c>
      <c r="N62" s="196">
        <f t="array" ref="N62">IFERROR(
(MEDIAN((IF(DATOS_[[Sexo]:[Sexo]]=$B62,IF(DATOS_[[AGRUP. CLAS. PROF.]:[AGRUP. CLAS. PROF.]]=$B60,IF(DATOS_[[Check Periodo Ref.]:[Check Periodo Ref.]]="Dentro",IF(DATOS_[[Check Equiparado]:[Check Equiparado]]="Sí",IF(DATOS!AI$5="Sí",(1/DATOS_[[% anualiz]:[% anualiz]]),1)*IF(DATOS!AI$4="Sí",1/DATOS_[[% normaliz]:[% normaliz]],1)*(DATOS_[Conc.Sal.05])))))))),
0)</f>
        <v>0</v>
      </c>
      <c r="O62" s="196">
        <f t="array" ref="O62">IFERROR(
(MEDIAN((IF(DATOS_[[Sexo]:[Sexo]]=$B62,IF(DATOS_[[AGRUP. CLAS. PROF.]:[AGRUP. CLAS. PROF.]]=$B60,IF(DATOS_[[Check Periodo Ref.]:[Check Periodo Ref.]]="Dentro",IF(DATOS_[[Check Equiparado]:[Check Equiparado]]="Sí",IF(DATOS!AJ$5="Sí",(1/DATOS_[[% anualiz]:[% anualiz]]),1)*IF(DATOS!AJ$4="Sí",1/DATOS_[[% normaliz]:[% normaliz]],1)*(DATOS_[Conc.Sal.06])))))))),
0)</f>
        <v>0</v>
      </c>
      <c r="P62" s="196">
        <f t="array" ref="P62">IFERROR(
(MEDIAN((IF(DATOS_[[Sexo]:[Sexo]]=$B62,IF(DATOS_[[AGRUP. CLAS. PROF.]:[AGRUP. CLAS. PROF.]]=$B60,IF(DATOS_[[Check Periodo Ref.]:[Check Periodo Ref.]]="Dentro",IF(DATOS_[[Check Equiparado]:[Check Equiparado]]="Sí",IF(DATOS!AK$5="Sí",(1/DATOS_[[% anualiz]:[% anualiz]]),1)*IF(DATOS!AK$4="Sí",1/DATOS_[[% normaliz]:[% normaliz]],1)*(DATOS_[Conc.Sal.07])))))))),
0)</f>
        <v>0</v>
      </c>
      <c r="Q62" s="196">
        <f t="array" ref="Q62">IFERROR(
(MEDIAN((IF(DATOS_[[Sexo]:[Sexo]]=$B62,IF(DATOS_[[AGRUP. CLAS. PROF.]:[AGRUP. CLAS. PROF.]]=$B60,IF(DATOS_[[Check Periodo Ref.]:[Check Periodo Ref.]]="Dentro",IF(DATOS_[[Check Equiparado]:[Check Equiparado]]="Sí",IF(DATOS!AL$5="Sí",(1/DATOS_[[% anualiz]:[% anualiz]]),1)*IF(DATOS!AL$4="Sí",1/DATOS_[[% normaliz]:[% normaliz]],1)*(DATOS_[Conc.Sal.08])))))))),
0)</f>
        <v>0</v>
      </c>
      <c r="R62" s="196">
        <f t="array" ref="R62">IFERROR(
(MEDIAN((IF(DATOS_[[Sexo]:[Sexo]]=$B62,IF(DATOS_[[AGRUP. CLAS. PROF.]:[AGRUP. CLAS. PROF.]]=$B60,IF(DATOS_[[Check Periodo Ref.]:[Check Periodo Ref.]]="Dentro",IF(DATOS_[[Check Equiparado]:[Check Equiparado]]="Sí",IF(DATOS!AM$5="Sí",(1/DATOS_[[% anualiz]:[% anualiz]]),1)*IF(DATOS!AM$4="Sí",1/DATOS_[[% normaliz]:[% normaliz]],1)*(DATOS_[Conc.Sal.09])))))))),
0)</f>
        <v>0</v>
      </c>
      <c r="S62" s="196">
        <f t="array" ref="S62">IFERROR(
(MEDIAN((IF(DATOS_[[Sexo]:[Sexo]]=$B62,IF(DATOS_[[AGRUP. CLAS. PROF.]:[AGRUP. CLAS. PROF.]]=$B60,IF(DATOS_[[Check Periodo Ref.]:[Check Periodo Ref.]]="Dentro",IF(DATOS_[[Check Equiparado]:[Check Equiparado]]="Sí",IF(DATOS!AN$5="Sí",(1/DATOS_[[% anualiz]:[% anualiz]]),1)*IF(DATOS!AN$4="Sí",1/DATOS_[[% normaliz]:[% normaliz]],1)*(DATOS_[Conc.Sal.10])))))))),
0)</f>
        <v>0</v>
      </c>
      <c r="T62" s="196">
        <f t="array" ref="T62">IFERROR(
(MEDIAN((IF(DATOS_[[Sexo]:[Sexo]]=$B62,IF(DATOS_[[AGRUP. CLAS. PROF.]:[AGRUP. CLAS. PROF.]]=$B60,IF(DATOS_[[Check Periodo Ref.]:[Check Periodo Ref.]]="Dentro",IF(DATOS_[[Check Equiparado]:[Check Equiparado]]="Sí",IF(DATOS!AO$5="Sí",(1/DATOS_[[% anualiz]:[% anualiz]]),1)*IF(DATOS!AO$4="Sí",1/DATOS_[[% normaliz]:[% normaliz]],1)*(DATOS_[Conc.Sal.11])))))))),
0)</f>
        <v>0</v>
      </c>
      <c r="U62" s="196">
        <f t="array" ref="U62">IFERROR(
(MEDIAN((IF(DATOS_[[Sexo]:[Sexo]]=$B62,IF(DATOS_[[AGRUP. CLAS. PROF.]:[AGRUP. CLAS. PROF.]]=$B60,IF(DATOS_[[Check Periodo Ref.]:[Check Periodo Ref.]]="Dentro",IF(DATOS_[[Check Equiparado]:[Check Equiparado]]="Sí",IF(DATOS!AP$5="Sí",(1/DATOS_[[% anualiz]:[% anualiz]]),1)*IF(DATOS!AP$4="Sí",1/DATOS_[[% normaliz]:[% normaliz]],1)*(DATOS_[Conc.Sal.12])))))))),
0)</f>
        <v>0</v>
      </c>
      <c r="V62" s="196">
        <f t="array" ref="V62">IFERROR(
(MEDIAN((IF(DATOS_[[Sexo]:[Sexo]]=$B62,IF(DATOS_[[AGRUP. CLAS. PROF.]:[AGRUP. CLAS. PROF.]]=$B60,IF(DATOS_[[Check Periodo Ref.]:[Check Periodo Ref.]]="Dentro",IF(DATOS_[[Check Equiparado]:[Check Equiparado]]="Sí",IF(DATOS!AQ$5="Sí",(1/DATOS_[[% anualiz]:[% anualiz]]),1)*IF(DATOS!AQ$4="Sí",1/DATOS_[[% normaliz]:[% normaliz]],1)*(DATOS_[Conc.Sal.13])))))))),
0)</f>
        <v>0</v>
      </c>
      <c r="W62" s="196">
        <f t="array" ref="W62">IFERROR(
(MEDIAN((IF(DATOS_[[Sexo]:[Sexo]]=$B62,IF(DATOS_[[AGRUP. CLAS. PROF.]:[AGRUP. CLAS. PROF.]]=$B60,IF(DATOS_[[Check Periodo Ref.]:[Check Periodo Ref.]]="Dentro",IF(DATOS_[[Check Equiparado]:[Check Equiparado]]="Sí",IF(DATOS!AR$5="Sí",(1/DATOS_[[% anualiz]:[% anualiz]]),1)*IF(DATOS!AR$4="Sí",1/DATOS_[[% normaliz]:[% normaliz]],1)*(DATOS_[Conc.Sal.14])))))))),
0)</f>
        <v>0</v>
      </c>
      <c r="X62" s="196">
        <f t="array" ref="X62">IFERROR(
(MEDIAN((IF(DATOS_[[Sexo]:[Sexo]]=$B62,IF(DATOS_[[AGRUP. CLAS. PROF.]:[AGRUP. CLAS. PROF.]]=$B60,IF(DATOS_[[Check Periodo Ref.]:[Check Periodo Ref.]]="Dentro",IF(DATOS_[[Check Equiparado]:[Check Equiparado]]="Sí",IF(DATOS!AS$5="Sí",(1/DATOS_[[% anualiz]:[% anualiz]]),1)*IF(DATOS!AS$4="Sí",1/DATOS_[[% normaliz]:[% normaliz]],1)*(DATOS_[Conc.Sal.15])))))))),
0)</f>
        <v>0</v>
      </c>
      <c r="Y62" s="196">
        <f t="array" ref="Y62">IFERROR(
(MEDIAN((IF(DATOS_[[Sexo]:[Sexo]]=$B62,IF(DATOS_[[AGRUP. CLAS. PROF.]:[AGRUP. CLAS. PROF.]]=$B60,IF(DATOS_[[Check Periodo Ref.]:[Check Periodo Ref.]]="Dentro",IF(DATOS_[[Check Equiparado]:[Check Equiparado]]="Sí",IF(DATOS!AT$5="Sí",(1/DATOS_[[% anualiz]:[% anualiz]]),1)*IF(DATOS!AT$4="Sí",1/DATOS_[[% normaliz]:[% normaliz]],1)*(DATOS_[Conc.Sal.16])))))))),
0)</f>
        <v>0</v>
      </c>
      <c r="Z62" s="196">
        <f t="array" ref="Z62">IFERROR(
(MEDIAN((IF(DATOS_[[Sexo]:[Sexo]]=$B62,IF(DATOS_[[AGRUP. CLAS. PROF.]:[AGRUP. CLAS. PROF.]]=$B60,IF(DATOS_[[Check Periodo Ref.]:[Check Periodo Ref.]]="Dentro",IF(DATOS_[[Check Equiparado]:[Check Equiparado]]="Sí",IF(DATOS!AU$5="Sí",(1/DATOS_[[% anualiz]:[% anualiz]]),1)*IF(DATOS!AU$4="Sí",1/DATOS_[[% normaliz]:[% normaliz]],1)*(DATOS_[Conc.Sal.17])))))))),
0)</f>
        <v>0</v>
      </c>
      <c r="AA62" s="196">
        <f t="array" ref="AA62">IFERROR(
(MEDIAN((IF(DATOS_[[Sexo]:[Sexo]]=$B62,IF(DATOS_[[AGRUP. CLAS. PROF.]:[AGRUP. CLAS. PROF.]]=$B60,IF(DATOS_[[Check Periodo Ref.]:[Check Periodo Ref.]]="Dentro",IF(DATOS_[[Check Equiparado]:[Check Equiparado]]="Sí",IF(DATOS!AV$5="Sí",(1/DATOS_[[% anualiz]:[% anualiz]]),1)*IF(DATOS!AV$4="Sí",1/DATOS_[[% normaliz]:[% normaliz]],1)*(DATOS_[Conc.Sal.18])))))))),
0)</f>
        <v>0</v>
      </c>
      <c r="AB62" s="196">
        <f t="array" ref="AB62">IFERROR(
(MEDIAN((IF(DATOS_[[Sexo]:[Sexo]]=$B62,IF(DATOS_[[AGRUP. CLAS. PROF.]:[AGRUP. CLAS. PROF.]]=$B60,IF(DATOS_[[Check Periodo Ref.]:[Check Periodo Ref.]]="Dentro",IF(DATOS_[[Check Equiparado]:[Check Equiparado]]="Sí",IF(DATOS!AW$5="Sí",(1/DATOS_[[% anualiz]:[% anualiz]]),1)*IF(DATOS!AW$4="Sí",1/DATOS_[[% normaliz]:[% normaliz]],1)*(DATOS_[Conc.Sal.19])))))))),
0)</f>
        <v>0</v>
      </c>
      <c r="AC62" s="196">
        <f t="array" ref="AC62">IFERROR(
(MEDIAN((IF(DATOS_[[Sexo]:[Sexo]]=$B62,IF(DATOS_[[AGRUP. CLAS. PROF.]:[AGRUP. CLAS. PROF.]]=$B60,IF(DATOS_[[Check Periodo Ref.]:[Check Periodo Ref.]]="Dentro",IF(DATOS_[[Check Equiparado]:[Check Equiparado]]="Sí",IF(DATOS!AX$5="Sí",(1/DATOS_[[% anualiz]:[% anualiz]]),1)*IF(DATOS!AX$4="Sí",1/DATOS_[[% normaliz]:[% normaliz]],1)*(DATOS_[Conc.Sal.20])))))))),
0)</f>
        <v>0</v>
      </c>
      <c r="AD62" s="196">
        <f t="array" ref="AD62">IFERROR(
(MEDIAN((IF(DATOS_[[Sexo]:[Sexo]]=$B62,IF(DATOS_[[AGRUP. CLAS. PROF.]:[AGRUP. CLAS. PROF.]]=$B60,IF(DATOS_[[Check Periodo Ref.]:[Check Periodo Ref.]]="Dentro",IF(DATOS_[[Check Equiparado]:[Check Equiparado]]="Sí",IF(DATOS!AY$5="Sí",(1/DATOS_[[% anualiz]:[% anualiz]]),1)*IF(DATOS!AY$4="Sí",1/DATOS_[[% normaliz]:[% normaliz]],1)*(DATOS_[Conc.Sal.21])))))))),
0)</f>
        <v>0</v>
      </c>
      <c r="AE62" s="196">
        <f t="array" ref="AE62">IFERROR(
(MEDIAN((IF(DATOS_[[Sexo]:[Sexo]]=$B62,IF(DATOS_[[AGRUP. CLAS. PROF.]:[AGRUP. CLAS. PROF.]]=$B60,IF(DATOS_[[Check Periodo Ref.]:[Check Periodo Ref.]]="Dentro",IF(DATOS_[[Check Equiparado]:[Check Equiparado]]="Sí",IF(DATOS!AZ$5="Sí",(1/DATOS_[[% anualiz]:[% anualiz]]),1)*IF(DATOS!AZ$4="Sí",1/DATOS_[[% normaliz]:[% normaliz]],1)*(DATOS_[Conc.Sal.22])))))))),
0)</f>
        <v>0</v>
      </c>
      <c r="AF62" s="196">
        <f t="array" ref="AF62">IFERROR(
(MEDIAN((IF(DATOS_[[Sexo]:[Sexo]]=$B62,IF(DATOS_[[AGRUP. CLAS. PROF.]:[AGRUP. CLAS. PROF.]]=$B60,IF(DATOS_[[Check Periodo Ref.]:[Check Periodo Ref.]]="Dentro",IF(DATOS_[[Check Equiparado]:[Check Equiparado]]="Sí",IF(DATOS!BA$5="Sí",(1/DATOS_[[% anualiz]:[% anualiz]]),1)*IF(DATOS!BA$4="Sí",1/DATOS_[[% normaliz]:[% normaliz]],1)*(DATOS_[Conc.Sal.23])))))))),
0)</f>
        <v>0</v>
      </c>
      <c r="AG62" s="196">
        <f t="array" ref="AG62">IFERROR(
(MEDIAN((IF(DATOS_[[Sexo]:[Sexo]]=$B62,IF(DATOS_[[AGRUP. CLAS. PROF.]:[AGRUP. CLAS. PROF.]]=$B60,IF(DATOS_[[Check Periodo Ref.]:[Check Periodo Ref.]]="Dentro",IF(DATOS_[[Check Equiparado]:[Check Equiparado]]="Sí",IF(DATOS!BB$5="Sí",(1/DATOS_[[% anualiz]:[% anualiz]]),1)*IF(DATOS!BB$4="Sí",1/DATOS_[[% normaliz]:[% normaliz]],1)*(DATOS_[Conc.Sal.24])))))))),
0)</f>
        <v>0</v>
      </c>
      <c r="AH62" s="196">
        <f t="array" ref="AH62">IFERROR(
(MEDIAN((IF(DATOS_[[Sexo]:[Sexo]]=$B62,IF(DATOS_[[AGRUP. CLAS. PROF.]:[AGRUP. CLAS. PROF.]]=$B60,IF(DATOS_[[Check Periodo Ref.]:[Check Periodo Ref.]]="Dentro",IF(DATOS_[[Check Equiparado]:[Check Equiparado]]="Sí",IF(DATOS!BC$5="Sí",(1/DATOS_[[% anualiz]:[% anualiz]]),1)*IF(DATOS!BC$4="Sí",1/DATOS_[[% normaliz]:[% normaliz]],1)*(DATOS_[Conc.Sal.25])))))))),
0)</f>
        <v>0</v>
      </c>
      <c r="AI62" s="196">
        <f t="array" ref="AI62">IFERROR(
(MEDIAN((IF(DATOS_[[Sexo]:[Sexo]]=$B62,IF(DATOS_[[AGRUP. CLAS. PROF.]:[AGRUP. CLAS. PROF.]]=$B60,IF(DATOS_[[Check Periodo Ref.]:[Check Periodo Ref.]]="Dentro",IF(DATOS_[[Check Equiparado]:[Check Equiparado]]="Sí",IF(DATOS!BD$5="Sí",(1/DATOS_[[% anualiz]:[% anualiz]]),1)*IF(DATOS!BD$4="Sí",1/DATOS_[[% normaliz]:[% normaliz]],1)*(DATOS_[Conc.Sal.26])))))))),
0)</f>
        <v>0</v>
      </c>
      <c r="AJ62" s="196">
        <f t="array" ref="AJ62">IFERROR(
(MEDIAN((IF(DATOS_[[Sexo]:[Sexo]]=$B62,IF(DATOS_[[AGRUP. CLAS. PROF.]:[AGRUP. CLAS. PROF.]]=$B60,IF(DATOS_[[Check Periodo Ref.]:[Check Periodo Ref.]]="Dentro",IF(DATOS_[[Check Equiparado]:[Check Equiparado]]="Sí",IF(DATOS!BE$5="Sí",(1/DATOS_[[% anualiz]:[% anualiz]]),1)*IF(DATOS!BE$4="Sí",1/DATOS_[[% normaliz]:[% normaliz]],1)*(DATOS_[Conc.Sal.27])))))))),
0)</f>
        <v>0</v>
      </c>
      <c r="AK62" s="196">
        <f t="array" ref="AK62">IFERROR(
(MEDIAN((IF(DATOS_[[Sexo]:[Sexo]]=$B62,IF(DATOS_[[AGRUP. CLAS. PROF.]:[AGRUP. CLAS. PROF.]]=$B60,IF(DATOS_[[Check Periodo Ref.]:[Check Periodo Ref.]]="Dentro",IF(DATOS_[[Check Equiparado]:[Check Equiparado]]="Sí",IF(DATOS!BF$5="Sí",(1/DATOS_[[% anualiz]:[% anualiz]]),1)*IF(DATOS!BF$4="Sí",1/DATOS_[[% normaliz]:[% normaliz]],1)*(DATOS_[Conc.Sal.28])))))))),
0)</f>
        <v>0</v>
      </c>
      <c r="AL62" s="196">
        <f t="array" ref="AL62">IFERROR(
(MEDIAN((IF(DATOS_[[Sexo]:[Sexo]]=$B62,IF(DATOS_[[AGRUP. CLAS. PROF.]:[AGRUP. CLAS. PROF.]]=$B60,IF(DATOS_[[Check Periodo Ref.]:[Check Periodo Ref.]]="Dentro",IF(DATOS_[[Check Equiparado]:[Check Equiparado]]="Sí",IF(DATOS!BG$5="Sí",(1/DATOS_[[% anualiz]:[% anualiz]]),1)*IF(DATOS!BG$4="Sí",1/DATOS_[[% normaliz]:[% normaliz]],1)*(DATOS_[Conc.Sal.29])))))))),
0)</f>
        <v>0</v>
      </c>
      <c r="AM62" s="196">
        <f t="array" ref="AM62">IFERROR(
(MEDIAN((IF(DATOS_[[Sexo]:[Sexo]]=$B62,IF(DATOS_[[AGRUP. CLAS. PROF.]:[AGRUP. CLAS. PROF.]]=$B60,IF(DATOS_[[Check Periodo Ref.]:[Check Periodo Ref.]]="Dentro",IF(DATOS_[[Check Equiparado]:[Check Equiparado]]="Sí",IF(DATOS!BH$5="Sí",(1/DATOS_[[% anualiz]:[% anualiz]]),1)*IF(DATOS!BH$4="Sí",1/DATOS_[[% normaliz]:[% normaliz]],1)*(DATOS_[Conc.Sal.30])))))))),
0)</f>
        <v>0</v>
      </c>
      <c r="AN62" s="195">
        <f t="array" ref="AN62">IFERROR(
MEDIAN(IF(DATOS_[Sexo]=$B62,IF(DATOS_[[AGRUP. CLAS. PROF.]:[AGRUP. CLAS. PROF.]]=$B60,IF(DATOS_[Check Equiparado]="Sí",IF(DATOS_[Check Periodo Ref.]="Dentro",DATOS_[Tot COMPL.SAL Eq],FALSE))))),
0)</f>
        <v>0</v>
      </c>
      <c r="AO62" s="172">
        <f t="array" ref="AO62">IFERROR(
MEDIAN(IF(DATOS_[Sexo]=$B62,IF(DATOS_[[AGRUP. CLAS. PROF.]:[AGRUP. CLAS. PROF.]]=$B60,IF(DATOS_[Check Equiparado]="Sí",IF(DATOS_[Check Periodo Ref.]="Dentro",DATOS_[TOTAL SALARIO Eq],FALSE))))),
0)</f>
        <v>0</v>
      </c>
      <c r="AP62" s="173">
        <f t="array" ref="AP62">IFERROR(
(MEDIAN((IF(DATOS_[[Sexo]:[Sexo]]=$B62,IF(DATOS_[[AGRUP. CLAS. PROF.]:[AGRUP. CLAS. PROF.]]=$B60,IF(DATOS_[[Check Periodo Ref.]:[Check Periodo Ref.]]="Dentro",IF(DATOS_[[Check Equiparado]:[Check Equiparado]]="Sí",IF(DATOS!BW$5="Sí",(1/DATOS_[[% anualiz]:[% anualiz]]),1)*IF(DATOS!BW$4="Sí",1/DATOS_[[% normaliz]:[% normaliz]],1)*(DATOS_[C.Extra.01])))))))),
0)</f>
        <v>0</v>
      </c>
      <c r="AQ62" s="173">
        <f t="array" ref="AQ62">IFERROR(
(MEDIAN((IF(DATOS_[[Sexo]:[Sexo]]=$B62,IF(DATOS_[[AGRUP. CLAS. PROF.]:[AGRUP. CLAS. PROF.]]=$B60,IF(DATOS_[[Check Periodo Ref.]:[Check Periodo Ref.]]="Dentro",IF(DATOS_[[Check Equiparado]:[Check Equiparado]]="Sí",IF(DATOS!CB$5="Sí",(1/DATOS_[[% anualiz]:[% anualiz]]),1)*IF(DATOS!CB$4="Sí",1/DATOS_[[% normaliz]:[% normaliz]],1)*(DATOS_[C.Extra.06])))))))),
0)</f>
        <v>0</v>
      </c>
      <c r="AR62" s="173">
        <f t="array" ref="AR62">IFERROR(
(MEDIAN((IF(DATOS_[[Sexo]:[Sexo]]=$B62,IF(DATOS_[[AGRUP. CLAS. PROF.]:[AGRUP. CLAS. PROF.]]=$B60,IF(DATOS_[[Check Periodo Ref.]:[Check Periodo Ref.]]="Dentro",IF(DATOS_[[Check Equiparado]:[Check Equiparado]]="Sí",IF(DATOS!CC$5="Sí",(1/DATOS_[[% anualiz]:[% anualiz]]),1)*IF(DATOS!CC$4="Sí",1/DATOS_[[% normaliz]:[% normaliz]],1)*(DATOS_[C.Extra.07])))))))),
0)</f>
        <v>0</v>
      </c>
      <c r="AS62" s="173">
        <f t="array" ref="AS62">IFERROR(
(MEDIAN((IF(DATOS_[[Sexo]:[Sexo]]=$B62,IF(DATOS_[[AGRUP. CLAS. PROF.]:[AGRUP. CLAS. PROF.]]=$B60,IF(DATOS_[[Check Periodo Ref.]:[Check Periodo Ref.]]="Dentro",IF(DATOS_[[Check Equiparado]:[Check Equiparado]]="Sí",IF(DATOS!CD$5="Sí",(1/DATOS_[[% anualiz]:[% anualiz]]),1)*IF(DATOS!CD$4="Sí",1/DATOS_[[% normaliz]:[% normaliz]],1)*(DATOS_[C.Extra.08])))))))),
0)</f>
        <v>0</v>
      </c>
      <c r="AT62" s="173">
        <f t="array" ref="AT62">IFERROR(
(MEDIAN((IF(DATOS_[[Sexo]:[Sexo]]=$B62,IF(DATOS_[[AGRUP. CLAS. PROF.]:[AGRUP. CLAS. PROF.]]=$B60,IF(DATOS_[[Check Periodo Ref.]:[Check Periodo Ref.]]="Dentro",IF(DATOS_[[Check Equiparado]:[Check Equiparado]]="Sí",IF(DATOS!CG$5="Sí",(1/DATOS_[[% anualiz]:[% anualiz]]),1)*IF(DATOS!CG$4="Sí",1/DATOS_[[% normaliz]:[% normaliz]],1)*(DATOS_[C.Extra.11])))))))),
0)</f>
        <v>0</v>
      </c>
      <c r="AU62" s="197">
        <f t="array" ref="AU62">IFERROR(
MEDIAN(IF(DATOS_[Sexo]=$B62,IF(DATOS_[[AGRUP. CLAS. PROF.]:[AGRUP. CLAS. PROF.]]=$B60,IF(DATOS_[Check Equiparado]="Sí",IF(DATOS_[Check Periodo Ref.]="Dentro",DATOS_[Tot Extrasalarial Eq],FALSE))))),
0)</f>
        <v>0</v>
      </c>
      <c r="AV62" s="175">
        <f t="array" ref="AV62">IFERROR(
MEDIAN(IF(DATOS_[Sexo]=$B62,IF(DATOS_[[AGRUP. CLAS. PROF.]:[AGRUP. CLAS. PROF.]]=$B60,IF(DATOS_[Check Equiparado]="Sí",IF(DATOS_[Check Periodo Ref.]="Dentro",DATOS_[TOTAL Retrib Eq],FALSE))))),
0)</f>
        <v>0</v>
      </c>
    </row>
    <row r="63" spans="1:48" ht="15.6" hidden="1" thickBot="1" x14ac:dyDescent="0.3">
      <c r="A63" s="133" t="str">
        <f t="shared" ref="A63" si="67">+A64</f>
        <v>[ocultar]</v>
      </c>
      <c r="B63" s="199" t="s">
        <v>243</v>
      </c>
      <c r="C63" s="200"/>
      <c r="D63" s="201"/>
      <c r="E63" s="201"/>
      <c r="F63" s="201"/>
      <c r="G63" s="201"/>
      <c r="H63" s="201"/>
      <c r="I63" s="189" t="str">
        <f t="shared" ref="I63:AV63" si="68">IFERROR((I64-I65)/I64,"")</f>
        <v/>
      </c>
      <c r="J63" s="190" t="str">
        <f t="shared" si="68"/>
        <v/>
      </c>
      <c r="K63" s="191" t="str">
        <f t="shared" si="68"/>
        <v/>
      </c>
      <c r="L63" s="191" t="str">
        <f t="shared" si="68"/>
        <v/>
      </c>
      <c r="M63" s="191" t="str">
        <f t="shared" si="68"/>
        <v/>
      </c>
      <c r="N63" s="192" t="str">
        <f t="shared" si="68"/>
        <v/>
      </c>
      <c r="O63" s="193" t="str">
        <f t="shared" si="68"/>
        <v/>
      </c>
      <c r="P63" s="193" t="str">
        <f t="shared" si="68"/>
        <v/>
      </c>
      <c r="Q63" s="193" t="str">
        <f t="shared" si="68"/>
        <v/>
      </c>
      <c r="R63" s="193" t="str">
        <f t="shared" si="68"/>
        <v/>
      </c>
      <c r="S63" s="193" t="str">
        <f t="shared" si="68"/>
        <v/>
      </c>
      <c r="T63" s="193" t="str">
        <f t="shared" si="68"/>
        <v/>
      </c>
      <c r="U63" s="193" t="str">
        <f t="shared" si="68"/>
        <v/>
      </c>
      <c r="V63" s="193" t="str">
        <f t="shared" si="68"/>
        <v/>
      </c>
      <c r="W63" s="193" t="str">
        <f t="shared" si="68"/>
        <v/>
      </c>
      <c r="X63" s="193" t="str">
        <f t="shared" si="68"/>
        <v/>
      </c>
      <c r="Y63" s="193" t="str">
        <f t="shared" si="68"/>
        <v/>
      </c>
      <c r="Z63" s="193" t="str">
        <f t="shared" si="68"/>
        <v/>
      </c>
      <c r="AA63" s="193" t="str">
        <f t="shared" si="68"/>
        <v/>
      </c>
      <c r="AB63" s="193" t="str">
        <f t="shared" si="68"/>
        <v/>
      </c>
      <c r="AC63" s="193" t="str">
        <f t="shared" si="68"/>
        <v/>
      </c>
      <c r="AD63" s="193" t="str">
        <f t="shared" si="68"/>
        <v/>
      </c>
      <c r="AE63" s="193" t="str">
        <f t="shared" si="68"/>
        <v/>
      </c>
      <c r="AF63" s="193" t="str">
        <f t="shared" si="68"/>
        <v/>
      </c>
      <c r="AG63" s="193" t="str">
        <f t="shared" si="68"/>
        <v/>
      </c>
      <c r="AH63" s="193" t="str">
        <f t="shared" si="68"/>
        <v/>
      </c>
      <c r="AI63" s="193" t="str">
        <f t="shared" si="68"/>
        <v/>
      </c>
      <c r="AJ63" s="193" t="str">
        <f t="shared" si="68"/>
        <v/>
      </c>
      <c r="AK63" s="193" t="str">
        <f t="shared" si="68"/>
        <v/>
      </c>
      <c r="AL63" s="193" t="str">
        <f t="shared" si="68"/>
        <v/>
      </c>
      <c r="AM63" s="193" t="str">
        <f t="shared" si="68"/>
        <v/>
      </c>
      <c r="AN63" s="189" t="str">
        <f t="shared" si="68"/>
        <v/>
      </c>
      <c r="AO63" s="162" t="str">
        <f t="shared" si="68"/>
        <v/>
      </c>
      <c r="AP63" s="163" t="str">
        <f t="shared" si="68"/>
        <v/>
      </c>
      <c r="AQ63" s="163" t="str">
        <f t="shared" si="68"/>
        <v/>
      </c>
      <c r="AR63" s="163" t="str">
        <f t="shared" si="68"/>
        <v/>
      </c>
      <c r="AS63" s="163" t="str">
        <f t="shared" si="68"/>
        <v/>
      </c>
      <c r="AT63" s="163" t="str">
        <f t="shared" si="68"/>
        <v/>
      </c>
      <c r="AU63" s="194" t="str">
        <f t="shared" si="68"/>
        <v/>
      </c>
      <c r="AV63" s="165" t="str">
        <f t="shared" si="68"/>
        <v/>
      </c>
    </row>
    <row r="64" spans="1:48" hidden="1" x14ac:dyDescent="0.25">
      <c r="A64" s="133" t="str">
        <f t="shared" ref="A64" si="69">+IF(C64+C65=0,"[ocultar]","")</f>
        <v>[ocultar]</v>
      </c>
      <c r="B64" s="202" t="s">
        <v>394</v>
      </c>
      <c r="C64" s="203">
        <f t="array" ref="C64">SUM(IF($B64=DATOS_[Sexo],
IF($B63=DATOS_[AGRUP. CLAS. PROF.],
IF("Dentro"=DATOS_[Check Periodo Ref.],
1/(COUNTIFS(DATOS_[Sexo],$B64,DATOS_[AGRUP. CLAS. PROF.],$B63,DATOS_[Check Periodo Ref.],"Dentro",DATOS_[id/cod],DATOS_[id/cod]))))))</f>
        <v>0</v>
      </c>
      <c r="D64" s="204">
        <f>COUNTIFS(DATOS_[AGRUP. CLAS. PROF.],$B63,DATOS_[Sexo],$B64,DATOS_[Check Periodo Ref.],"Dentro")</f>
        <v>0</v>
      </c>
      <c r="E64" s="204">
        <f>COUNTIFS(DATOS_[AGRUP. CLAS. PROF.],$B63,DATOS_[Sexo],$B64,DATOS_[Check Periodo Ref.],"Dentro",DATOS_[Check Nº SC Norm],"Sí")</f>
        <v>0</v>
      </c>
      <c r="F64" s="204">
        <f>COUNTIFS(DATOS_[AGRUP. CLAS. PROF.],$B63,DATOS_[Sexo],$B64,DATOS_[Check Periodo Ref.],"Dentro",DATOS_[Check Nº SC Anualiz],"Sí")</f>
        <v>0</v>
      </c>
      <c r="G64" s="204">
        <f>COUNTIFS(DATOS_[AGRUP. CLAS. PROF.],$B63,DATOS_[Sexo],$B64,DATOS_[Check Periodo Ref.],"Dentro",DATOS_[Check Nº SC Norm y Anualiz],"Sí")</f>
        <v>0</v>
      </c>
      <c r="H64" s="204">
        <f>COUNTIFS(DATOS_[AGRUP. CLAS. PROF.],$B63,DATOS_[Sexo],$B64,DATOS_[Check Periodo Ref.],"Dentro",DATOS_[Check Equiparación],"Sí")</f>
        <v>0</v>
      </c>
      <c r="I64" s="195">
        <f t="array" ref="I64">IFERROR(
MEDIAN(IF(DATOS_[Sexo]=$B64,IF(DATOS_[[AGRUP. CLAS. PROF.]:[AGRUP. CLAS. PROF.]]=$B63,IF(DATOS_[Check Equiparado]="Sí",IF(DATOS_[Check Periodo Ref.]="Dentro",DATOS_[SALARIO BASE Eq],FALSE))))),
0)</f>
        <v>0</v>
      </c>
      <c r="J64" s="196">
        <f t="array" ref="J64">IFERROR(
(MEDIAN((IF(DATOS_[[Sexo]:[Sexo]]=$B64,IF(DATOS_[[AGRUP. CLAS. PROF.]:[AGRUP. CLAS. PROF.]]=$B63,IF(DATOS_[[Check Periodo Ref.]:[Check Periodo Ref.]]="Dentro",IF(DATOS_[[Check Equiparado]:[Check Equiparado]]="Sí",IF(DATOS!AE$5="Sí",(1/DATOS_[[% anualiz]:[% anualiz]]),1)*IF(DATOS!AE$4="Sí",1/DATOS_[[% normaliz]:[% normaliz]],1)*(DATOS_[Conc.Sal.01])))))))),
0)</f>
        <v>0</v>
      </c>
      <c r="K64" s="196">
        <f t="array" ref="K64">IFERROR(
(MEDIAN((IF(DATOS_[[Sexo]:[Sexo]]=$B64,IF(DATOS_[[AGRUP. CLAS. PROF.]:[AGRUP. CLAS. PROF.]]=$B63,IF(DATOS_[[Check Periodo Ref.]:[Check Periodo Ref.]]="Dentro",IF(DATOS_[[Check Equiparado]:[Check Equiparado]]="Sí",IF(DATOS!AF$5="Sí",(1/DATOS_[[% anualiz]:[% anualiz]]),1)*IF(DATOS!AF$4="Sí",1/DATOS_[[% normaliz]:[% normaliz]],1)*(DATOS_[Conc.Sal.02])))))))),
0)</f>
        <v>0</v>
      </c>
      <c r="L64" s="196">
        <f t="array" ref="L64">IFERROR(
(MEDIAN((IF(DATOS_[[Sexo]:[Sexo]]=$B64,IF(DATOS_[[AGRUP. CLAS. PROF.]:[AGRUP. CLAS. PROF.]]=$B63,IF(DATOS_[[Check Periodo Ref.]:[Check Periodo Ref.]]="Dentro",IF(DATOS_[[Check Equiparado]:[Check Equiparado]]="Sí",IF(DATOS!AG$5="Sí",(1/DATOS_[[% anualiz]:[% anualiz]]),1)*IF(DATOS!AG$4="Sí",1/DATOS_[[% normaliz]:[% normaliz]],1)*(DATOS_[Conc.Sal.03])))))))),
0)</f>
        <v>0</v>
      </c>
      <c r="M64" s="196">
        <f t="array" ref="M64">IFERROR(
(MEDIAN((IF(DATOS_[[Sexo]:[Sexo]]=$B64,IF(DATOS_[[AGRUP. CLAS. PROF.]:[AGRUP. CLAS. PROF.]]=$B63,IF(DATOS_[[Check Periodo Ref.]:[Check Periodo Ref.]]="Dentro",IF(DATOS_[[Check Equiparado]:[Check Equiparado]]="Sí",IF(DATOS!AH$5="Sí",(1/DATOS_[[% anualiz]:[% anualiz]]),1)*IF(DATOS!AH$4="Sí",1/DATOS_[[% normaliz]:[% normaliz]],1)*(DATOS_[Conc.Sal.04])))))))),
0)</f>
        <v>0</v>
      </c>
      <c r="N64" s="196">
        <f t="array" ref="N64">IFERROR(
(MEDIAN((IF(DATOS_[[Sexo]:[Sexo]]=$B64,IF(DATOS_[[AGRUP. CLAS. PROF.]:[AGRUP. CLAS. PROF.]]=$B63,IF(DATOS_[[Check Periodo Ref.]:[Check Periodo Ref.]]="Dentro",IF(DATOS_[[Check Equiparado]:[Check Equiparado]]="Sí",IF(DATOS!AI$5="Sí",(1/DATOS_[[% anualiz]:[% anualiz]]),1)*IF(DATOS!AI$4="Sí",1/DATOS_[[% normaliz]:[% normaliz]],1)*(DATOS_[Conc.Sal.05])))))))),
0)</f>
        <v>0</v>
      </c>
      <c r="O64" s="196">
        <f t="array" ref="O64">IFERROR(
(MEDIAN((IF(DATOS_[[Sexo]:[Sexo]]=$B64,IF(DATOS_[[AGRUP. CLAS. PROF.]:[AGRUP. CLAS. PROF.]]=$B63,IF(DATOS_[[Check Periodo Ref.]:[Check Periodo Ref.]]="Dentro",IF(DATOS_[[Check Equiparado]:[Check Equiparado]]="Sí",IF(DATOS!AJ$5="Sí",(1/DATOS_[[% anualiz]:[% anualiz]]),1)*IF(DATOS!AJ$4="Sí",1/DATOS_[[% normaliz]:[% normaliz]],1)*(DATOS_[Conc.Sal.06])))))))),
0)</f>
        <v>0</v>
      </c>
      <c r="P64" s="196">
        <f t="array" ref="P64">IFERROR(
(MEDIAN((IF(DATOS_[[Sexo]:[Sexo]]=$B64,IF(DATOS_[[AGRUP. CLAS. PROF.]:[AGRUP. CLAS. PROF.]]=$B63,IF(DATOS_[[Check Periodo Ref.]:[Check Periodo Ref.]]="Dentro",IF(DATOS_[[Check Equiparado]:[Check Equiparado]]="Sí",IF(DATOS!AK$5="Sí",(1/DATOS_[[% anualiz]:[% anualiz]]),1)*IF(DATOS!AK$4="Sí",1/DATOS_[[% normaliz]:[% normaliz]],1)*(DATOS_[Conc.Sal.07])))))))),
0)</f>
        <v>0</v>
      </c>
      <c r="Q64" s="196">
        <f t="array" ref="Q64">IFERROR(
(MEDIAN((IF(DATOS_[[Sexo]:[Sexo]]=$B64,IF(DATOS_[[AGRUP. CLAS. PROF.]:[AGRUP. CLAS. PROF.]]=$B63,IF(DATOS_[[Check Periodo Ref.]:[Check Periodo Ref.]]="Dentro",IF(DATOS_[[Check Equiparado]:[Check Equiparado]]="Sí",IF(DATOS!AL$5="Sí",(1/DATOS_[[% anualiz]:[% anualiz]]),1)*IF(DATOS!AL$4="Sí",1/DATOS_[[% normaliz]:[% normaliz]],1)*(DATOS_[Conc.Sal.08])))))))),
0)</f>
        <v>0</v>
      </c>
      <c r="R64" s="196">
        <f t="array" ref="R64">IFERROR(
(MEDIAN((IF(DATOS_[[Sexo]:[Sexo]]=$B64,IF(DATOS_[[AGRUP. CLAS. PROF.]:[AGRUP. CLAS. PROF.]]=$B63,IF(DATOS_[[Check Periodo Ref.]:[Check Periodo Ref.]]="Dentro",IF(DATOS_[[Check Equiparado]:[Check Equiparado]]="Sí",IF(DATOS!AM$5="Sí",(1/DATOS_[[% anualiz]:[% anualiz]]),1)*IF(DATOS!AM$4="Sí",1/DATOS_[[% normaliz]:[% normaliz]],1)*(DATOS_[Conc.Sal.09])))))))),
0)</f>
        <v>0</v>
      </c>
      <c r="S64" s="196">
        <f t="array" ref="S64">IFERROR(
(MEDIAN((IF(DATOS_[[Sexo]:[Sexo]]=$B64,IF(DATOS_[[AGRUP. CLAS. PROF.]:[AGRUP. CLAS. PROF.]]=$B63,IF(DATOS_[[Check Periodo Ref.]:[Check Periodo Ref.]]="Dentro",IF(DATOS_[[Check Equiparado]:[Check Equiparado]]="Sí",IF(DATOS!AN$5="Sí",(1/DATOS_[[% anualiz]:[% anualiz]]),1)*IF(DATOS!AN$4="Sí",1/DATOS_[[% normaliz]:[% normaliz]],1)*(DATOS_[Conc.Sal.10])))))))),
0)</f>
        <v>0</v>
      </c>
      <c r="T64" s="196">
        <f t="array" ref="T64">IFERROR(
(MEDIAN((IF(DATOS_[[Sexo]:[Sexo]]=$B64,IF(DATOS_[[AGRUP. CLAS. PROF.]:[AGRUP. CLAS. PROF.]]=$B63,IF(DATOS_[[Check Periodo Ref.]:[Check Periodo Ref.]]="Dentro",IF(DATOS_[[Check Equiparado]:[Check Equiparado]]="Sí",IF(DATOS!AO$5="Sí",(1/DATOS_[[% anualiz]:[% anualiz]]),1)*IF(DATOS!AO$4="Sí",1/DATOS_[[% normaliz]:[% normaliz]],1)*(DATOS_[Conc.Sal.11])))))))),
0)</f>
        <v>0</v>
      </c>
      <c r="U64" s="196">
        <f t="array" ref="U64">IFERROR(
(MEDIAN((IF(DATOS_[[Sexo]:[Sexo]]=$B64,IF(DATOS_[[AGRUP. CLAS. PROF.]:[AGRUP. CLAS. PROF.]]=$B63,IF(DATOS_[[Check Periodo Ref.]:[Check Periodo Ref.]]="Dentro",IF(DATOS_[[Check Equiparado]:[Check Equiparado]]="Sí",IF(DATOS!AP$5="Sí",(1/DATOS_[[% anualiz]:[% anualiz]]),1)*IF(DATOS!AP$4="Sí",1/DATOS_[[% normaliz]:[% normaliz]],1)*(DATOS_[Conc.Sal.12])))))))),
0)</f>
        <v>0</v>
      </c>
      <c r="V64" s="196">
        <f t="array" ref="V64">IFERROR(
(MEDIAN((IF(DATOS_[[Sexo]:[Sexo]]=$B64,IF(DATOS_[[AGRUP. CLAS. PROF.]:[AGRUP. CLAS. PROF.]]=$B63,IF(DATOS_[[Check Periodo Ref.]:[Check Periodo Ref.]]="Dentro",IF(DATOS_[[Check Equiparado]:[Check Equiparado]]="Sí",IF(DATOS!AQ$5="Sí",(1/DATOS_[[% anualiz]:[% anualiz]]),1)*IF(DATOS!AQ$4="Sí",1/DATOS_[[% normaliz]:[% normaliz]],1)*(DATOS_[Conc.Sal.13])))))))),
0)</f>
        <v>0</v>
      </c>
      <c r="W64" s="196">
        <f t="array" ref="W64">IFERROR(
(MEDIAN((IF(DATOS_[[Sexo]:[Sexo]]=$B64,IF(DATOS_[[AGRUP. CLAS. PROF.]:[AGRUP. CLAS. PROF.]]=$B63,IF(DATOS_[[Check Periodo Ref.]:[Check Periodo Ref.]]="Dentro",IF(DATOS_[[Check Equiparado]:[Check Equiparado]]="Sí",IF(DATOS!AR$5="Sí",(1/DATOS_[[% anualiz]:[% anualiz]]),1)*IF(DATOS!AR$4="Sí",1/DATOS_[[% normaliz]:[% normaliz]],1)*(DATOS_[Conc.Sal.14])))))))),
0)</f>
        <v>0</v>
      </c>
      <c r="X64" s="196">
        <f t="array" ref="X64">IFERROR(
(MEDIAN((IF(DATOS_[[Sexo]:[Sexo]]=$B64,IF(DATOS_[[AGRUP. CLAS. PROF.]:[AGRUP. CLAS. PROF.]]=$B63,IF(DATOS_[[Check Periodo Ref.]:[Check Periodo Ref.]]="Dentro",IF(DATOS_[[Check Equiparado]:[Check Equiparado]]="Sí",IF(DATOS!AS$5="Sí",(1/DATOS_[[% anualiz]:[% anualiz]]),1)*IF(DATOS!AS$4="Sí",1/DATOS_[[% normaliz]:[% normaliz]],1)*(DATOS_[Conc.Sal.15])))))))),
0)</f>
        <v>0</v>
      </c>
      <c r="Y64" s="196">
        <f t="array" ref="Y64">IFERROR(
(MEDIAN((IF(DATOS_[[Sexo]:[Sexo]]=$B64,IF(DATOS_[[AGRUP. CLAS. PROF.]:[AGRUP. CLAS. PROF.]]=$B63,IF(DATOS_[[Check Periodo Ref.]:[Check Periodo Ref.]]="Dentro",IF(DATOS_[[Check Equiparado]:[Check Equiparado]]="Sí",IF(DATOS!AT$5="Sí",(1/DATOS_[[% anualiz]:[% anualiz]]),1)*IF(DATOS!AT$4="Sí",1/DATOS_[[% normaliz]:[% normaliz]],1)*(DATOS_[Conc.Sal.16])))))))),
0)</f>
        <v>0</v>
      </c>
      <c r="Z64" s="196">
        <f t="array" ref="Z64">IFERROR(
(MEDIAN((IF(DATOS_[[Sexo]:[Sexo]]=$B64,IF(DATOS_[[AGRUP. CLAS. PROF.]:[AGRUP. CLAS. PROF.]]=$B63,IF(DATOS_[[Check Periodo Ref.]:[Check Periodo Ref.]]="Dentro",IF(DATOS_[[Check Equiparado]:[Check Equiparado]]="Sí",IF(DATOS!AU$5="Sí",(1/DATOS_[[% anualiz]:[% anualiz]]),1)*IF(DATOS!AU$4="Sí",1/DATOS_[[% normaliz]:[% normaliz]],1)*(DATOS_[Conc.Sal.17])))))))),
0)</f>
        <v>0</v>
      </c>
      <c r="AA64" s="196">
        <f t="array" ref="AA64">IFERROR(
(MEDIAN((IF(DATOS_[[Sexo]:[Sexo]]=$B64,IF(DATOS_[[AGRUP. CLAS. PROF.]:[AGRUP. CLAS. PROF.]]=$B63,IF(DATOS_[[Check Periodo Ref.]:[Check Periodo Ref.]]="Dentro",IF(DATOS_[[Check Equiparado]:[Check Equiparado]]="Sí",IF(DATOS!AV$5="Sí",(1/DATOS_[[% anualiz]:[% anualiz]]),1)*IF(DATOS!AV$4="Sí",1/DATOS_[[% normaliz]:[% normaliz]],1)*(DATOS_[Conc.Sal.18])))))))),
0)</f>
        <v>0</v>
      </c>
      <c r="AB64" s="196">
        <f t="array" ref="AB64">IFERROR(
(MEDIAN((IF(DATOS_[[Sexo]:[Sexo]]=$B64,IF(DATOS_[[AGRUP. CLAS. PROF.]:[AGRUP. CLAS. PROF.]]=$B63,IF(DATOS_[[Check Periodo Ref.]:[Check Periodo Ref.]]="Dentro",IF(DATOS_[[Check Equiparado]:[Check Equiparado]]="Sí",IF(DATOS!AW$5="Sí",(1/DATOS_[[% anualiz]:[% anualiz]]),1)*IF(DATOS!AW$4="Sí",1/DATOS_[[% normaliz]:[% normaliz]],1)*(DATOS_[Conc.Sal.19])))))))),
0)</f>
        <v>0</v>
      </c>
      <c r="AC64" s="196">
        <f t="array" ref="AC64">IFERROR(
(MEDIAN((IF(DATOS_[[Sexo]:[Sexo]]=$B64,IF(DATOS_[[AGRUP. CLAS. PROF.]:[AGRUP. CLAS. PROF.]]=$B63,IF(DATOS_[[Check Periodo Ref.]:[Check Periodo Ref.]]="Dentro",IF(DATOS_[[Check Equiparado]:[Check Equiparado]]="Sí",IF(DATOS!AX$5="Sí",(1/DATOS_[[% anualiz]:[% anualiz]]),1)*IF(DATOS!AX$4="Sí",1/DATOS_[[% normaliz]:[% normaliz]],1)*(DATOS_[Conc.Sal.20])))))))),
0)</f>
        <v>0</v>
      </c>
      <c r="AD64" s="196">
        <f t="array" ref="AD64">IFERROR(
(MEDIAN((IF(DATOS_[[Sexo]:[Sexo]]=$B64,IF(DATOS_[[AGRUP. CLAS. PROF.]:[AGRUP. CLAS. PROF.]]=$B63,IF(DATOS_[[Check Periodo Ref.]:[Check Periodo Ref.]]="Dentro",IF(DATOS_[[Check Equiparado]:[Check Equiparado]]="Sí",IF(DATOS!AY$5="Sí",(1/DATOS_[[% anualiz]:[% anualiz]]),1)*IF(DATOS!AY$4="Sí",1/DATOS_[[% normaliz]:[% normaliz]],1)*(DATOS_[Conc.Sal.21])))))))),
0)</f>
        <v>0</v>
      </c>
      <c r="AE64" s="196">
        <f t="array" ref="AE64">IFERROR(
(MEDIAN((IF(DATOS_[[Sexo]:[Sexo]]=$B64,IF(DATOS_[[AGRUP. CLAS. PROF.]:[AGRUP. CLAS. PROF.]]=$B63,IF(DATOS_[[Check Periodo Ref.]:[Check Periodo Ref.]]="Dentro",IF(DATOS_[[Check Equiparado]:[Check Equiparado]]="Sí",IF(DATOS!AZ$5="Sí",(1/DATOS_[[% anualiz]:[% anualiz]]),1)*IF(DATOS!AZ$4="Sí",1/DATOS_[[% normaliz]:[% normaliz]],1)*(DATOS_[Conc.Sal.22])))))))),
0)</f>
        <v>0</v>
      </c>
      <c r="AF64" s="196">
        <f t="array" ref="AF64">IFERROR(
(MEDIAN((IF(DATOS_[[Sexo]:[Sexo]]=$B64,IF(DATOS_[[AGRUP. CLAS. PROF.]:[AGRUP. CLAS. PROF.]]=$B63,IF(DATOS_[[Check Periodo Ref.]:[Check Periodo Ref.]]="Dentro",IF(DATOS_[[Check Equiparado]:[Check Equiparado]]="Sí",IF(DATOS!BA$5="Sí",(1/DATOS_[[% anualiz]:[% anualiz]]),1)*IF(DATOS!BA$4="Sí",1/DATOS_[[% normaliz]:[% normaliz]],1)*(DATOS_[Conc.Sal.23])))))))),
0)</f>
        <v>0</v>
      </c>
      <c r="AG64" s="196">
        <f t="array" ref="AG64">IFERROR(
(MEDIAN((IF(DATOS_[[Sexo]:[Sexo]]=$B64,IF(DATOS_[[AGRUP. CLAS. PROF.]:[AGRUP. CLAS. PROF.]]=$B63,IF(DATOS_[[Check Periodo Ref.]:[Check Periodo Ref.]]="Dentro",IF(DATOS_[[Check Equiparado]:[Check Equiparado]]="Sí",IF(DATOS!BB$5="Sí",(1/DATOS_[[% anualiz]:[% anualiz]]),1)*IF(DATOS!BB$4="Sí",1/DATOS_[[% normaliz]:[% normaliz]],1)*(DATOS_[Conc.Sal.24])))))))),
0)</f>
        <v>0</v>
      </c>
      <c r="AH64" s="196">
        <f t="array" ref="AH64">IFERROR(
(MEDIAN((IF(DATOS_[[Sexo]:[Sexo]]=$B64,IF(DATOS_[[AGRUP. CLAS. PROF.]:[AGRUP. CLAS. PROF.]]=$B63,IF(DATOS_[[Check Periodo Ref.]:[Check Periodo Ref.]]="Dentro",IF(DATOS_[[Check Equiparado]:[Check Equiparado]]="Sí",IF(DATOS!BC$5="Sí",(1/DATOS_[[% anualiz]:[% anualiz]]),1)*IF(DATOS!BC$4="Sí",1/DATOS_[[% normaliz]:[% normaliz]],1)*(DATOS_[Conc.Sal.25])))))))),
0)</f>
        <v>0</v>
      </c>
      <c r="AI64" s="196">
        <f t="array" ref="AI64">IFERROR(
(MEDIAN((IF(DATOS_[[Sexo]:[Sexo]]=$B64,IF(DATOS_[[AGRUP. CLAS. PROF.]:[AGRUP. CLAS. PROF.]]=$B63,IF(DATOS_[[Check Periodo Ref.]:[Check Periodo Ref.]]="Dentro",IF(DATOS_[[Check Equiparado]:[Check Equiparado]]="Sí",IF(DATOS!BD$5="Sí",(1/DATOS_[[% anualiz]:[% anualiz]]),1)*IF(DATOS!BD$4="Sí",1/DATOS_[[% normaliz]:[% normaliz]],1)*(DATOS_[Conc.Sal.26])))))))),
0)</f>
        <v>0</v>
      </c>
      <c r="AJ64" s="196">
        <f t="array" ref="AJ64">IFERROR(
(MEDIAN((IF(DATOS_[[Sexo]:[Sexo]]=$B64,IF(DATOS_[[AGRUP. CLAS. PROF.]:[AGRUP. CLAS. PROF.]]=$B63,IF(DATOS_[[Check Periodo Ref.]:[Check Periodo Ref.]]="Dentro",IF(DATOS_[[Check Equiparado]:[Check Equiparado]]="Sí",IF(DATOS!BE$5="Sí",(1/DATOS_[[% anualiz]:[% anualiz]]),1)*IF(DATOS!BE$4="Sí",1/DATOS_[[% normaliz]:[% normaliz]],1)*(DATOS_[Conc.Sal.27])))))))),
0)</f>
        <v>0</v>
      </c>
      <c r="AK64" s="196">
        <f t="array" ref="AK64">IFERROR(
(MEDIAN((IF(DATOS_[[Sexo]:[Sexo]]=$B64,IF(DATOS_[[AGRUP. CLAS. PROF.]:[AGRUP. CLAS. PROF.]]=$B63,IF(DATOS_[[Check Periodo Ref.]:[Check Periodo Ref.]]="Dentro",IF(DATOS_[[Check Equiparado]:[Check Equiparado]]="Sí",IF(DATOS!BF$5="Sí",(1/DATOS_[[% anualiz]:[% anualiz]]),1)*IF(DATOS!BF$4="Sí",1/DATOS_[[% normaliz]:[% normaliz]],1)*(DATOS_[Conc.Sal.28])))))))),
0)</f>
        <v>0</v>
      </c>
      <c r="AL64" s="196">
        <f t="array" ref="AL64">IFERROR(
(MEDIAN((IF(DATOS_[[Sexo]:[Sexo]]=$B64,IF(DATOS_[[AGRUP. CLAS. PROF.]:[AGRUP. CLAS. PROF.]]=$B63,IF(DATOS_[[Check Periodo Ref.]:[Check Periodo Ref.]]="Dentro",IF(DATOS_[[Check Equiparado]:[Check Equiparado]]="Sí",IF(DATOS!BG$5="Sí",(1/DATOS_[[% anualiz]:[% anualiz]]),1)*IF(DATOS!BG$4="Sí",1/DATOS_[[% normaliz]:[% normaliz]],1)*(DATOS_[Conc.Sal.29])))))))),
0)</f>
        <v>0</v>
      </c>
      <c r="AM64" s="196">
        <f t="array" ref="AM64">IFERROR(
(MEDIAN((IF(DATOS_[[Sexo]:[Sexo]]=$B64,IF(DATOS_[[AGRUP. CLAS. PROF.]:[AGRUP. CLAS. PROF.]]=$B63,IF(DATOS_[[Check Periodo Ref.]:[Check Periodo Ref.]]="Dentro",IF(DATOS_[[Check Equiparado]:[Check Equiparado]]="Sí",IF(DATOS!BH$5="Sí",(1/DATOS_[[% anualiz]:[% anualiz]]),1)*IF(DATOS!BH$4="Sí",1/DATOS_[[% normaliz]:[% normaliz]],1)*(DATOS_[Conc.Sal.30])))))))),
0)</f>
        <v>0</v>
      </c>
      <c r="AN64" s="195">
        <f t="array" ref="AN64">IFERROR(
MEDIAN(IF(DATOS_[Sexo]=$B64,IF(DATOS_[[AGRUP. CLAS. PROF.]:[AGRUP. CLAS. PROF.]]=$B63,IF(DATOS_[Check Equiparado]="Sí",IF(DATOS_[Check Periodo Ref.]="Dentro",DATOS_[Tot COMPL.SAL Eq],FALSE))))),
0)</f>
        <v>0</v>
      </c>
      <c r="AO64" s="172">
        <f t="array" ref="AO64">IFERROR(
MEDIAN(IF(DATOS_[Sexo]=$B64,IF(DATOS_[[AGRUP. CLAS. PROF.]:[AGRUP. CLAS. PROF.]]=$B63,IF(DATOS_[Check Equiparado]="Sí",IF(DATOS_[Check Periodo Ref.]="Dentro",DATOS_[TOTAL SALARIO Eq],FALSE))))),
0)</f>
        <v>0</v>
      </c>
      <c r="AP64" s="173">
        <f t="array" ref="AP64">IFERROR(
(MEDIAN((IF(DATOS_[[Sexo]:[Sexo]]=$B64,IF(DATOS_[[AGRUP. CLAS. PROF.]:[AGRUP. CLAS. PROF.]]=$B63,IF(DATOS_[[Check Periodo Ref.]:[Check Periodo Ref.]]="Dentro",IF(DATOS_[[Check Equiparado]:[Check Equiparado]]="Sí",IF(DATOS!BW$5="Sí",(1/DATOS_[[% anualiz]:[% anualiz]]),1)*IF(DATOS!BW$4="Sí",1/DATOS_[[% normaliz]:[% normaliz]],1)*(DATOS_[C.Extra.01])))))))),
0)</f>
        <v>0</v>
      </c>
      <c r="AQ64" s="173">
        <f t="array" ref="AQ64">IFERROR(
(MEDIAN((IF(DATOS_[[Sexo]:[Sexo]]=$B64,IF(DATOS_[[AGRUP. CLAS. PROF.]:[AGRUP. CLAS. PROF.]]=$B63,IF(DATOS_[[Check Periodo Ref.]:[Check Periodo Ref.]]="Dentro",IF(DATOS_[[Check Equiparado]:[Check Equiparado]]="Sí",IF(DATOS!CB$5="Sí",(1/DATOS_[[% anualiz]:[% anualiz]]),1)*IF(DATOS!CB$4="Sí",1/DATOS_[[% normaliz]:[% normaliz]],1)*(DATOS_[C.Extra.06])))))))),
0)</f>
        <v>0</v>
      </c>
      <c r="AR64" s="173">
        <f t="array" ref="AR64">IFERROR(
(MEDIAN((IF(DATOS_[[Sexo]:[Sexo]]=$B64,IF(DATOS_[[AGRUP. CLAS. PROF.]:[AGRUP. CLAS. PROF.]]=$B63,IF(DATOS_[[Check Periodo Ref.]:[Check Periodo Ref.]]="Dentro",IF(DATOS_[[Check Equiparado]:[Check Equiparado]]="Sí",IF(DATOS!CC$5="Sí",(1/DATOS_[[% anualiz]:[% anualiz]]),1)*IF(DATOS!CC$4="Sí",1/DATOS_[[% normaliz]:[% normaliz]],1)*(DATOS_[C.Extra.07])))))))),
0)</f>
        <v>0</v>
      </c>
      <c r="AS64" s="173">
        <f t="array" ref="AS64">IFERROR(
(MEDIAN((IF(DATOS_[[Sexo]:[Sexo]]=$B64,IF(DATOS_[[AGRUP. CLAS. PROF.]:[AGRUP. CLAS. PROF.]]=$B63,IF(DATOS_[[Check Periodo Ref.]:[Check Periodo Ref.]]="Dentro",IF(DATOS_[[Check Equiparado]:[Check Equiparado]]="Sí",IF(DATOS!CD$5="Sí",(1/DATOS_[[% anualiz]:[% anualiz]]),1)*IF(DATOS!CD$4="Sí",1/DATOS_[[% normaliz]:[% normaliz]],1)*(DATOS_[C.Extra.08])))))))),
0)</f>
        <v>0</v>
      </c>
      <c r="AT64" s="173">
        <f t="array" ref="AT64">IFERROR(
(MEDIAN((IF(DATOS_[[Sexo]:[Sexo]]=$B64,IF(DATOS_[[AGRUP. CLAS. PROF.]:[AGRUP. CLAS. PROF.]]=$B63,IF(DATOS_[[Check Periodo Ref.]:[Check Periodo Ref.]]="Dentro",IF(DATOS_[[Check Equiparado]:[Check Equiparado]]="Sí",IF(DATOS!CG$5="Sí",(1/DATOS_[[% anualiz]:[% anualiz]]),1)*IF(DATOS!CG$4="Sí",1/DATOS_[[% normaliz]:[% normaliz]],1)*(DATOS_[C.Extra.11])))))))),
0)</f>
        <v>0</v>
      </c>
      <c r="AU64" s="197">
        <f t="array" ref="AU64">IFERROR(
MEDIAN(IF(DATOS_[Sexo]=$B64,IF(DATOS_[[AGRUP. CLAS. PROF.]:[AGRUP. CLAS. PROF.]]=$B63,IF(DATOS_[Check Equiparado]="Sí",IF(DATOS_[Check Periodo Ref.]="Dentro",DATOS_[Tot Extrasalarial Eq],FALSE))))),
0)</f>
        <v>0</v>
      </c>
      <c r="AV64" s="175">
        <f t="array" ref="AV64">IFERROR(
MEDIAN(IF(DATOS_[Sexo]=$B64,IF(DATOS_[[AGRUP. CLAS. PROF.]:[AGRUP. CLAS. PROF.]]=$B63,IF(DATOS_[Check Equiparado]="Sí",IF(DATOS_[Check Periodo Ref.]="Dentro",DATOS_[TOTAL Retrib Eq],FALSE))))),
0)</f>
        <v>0</v>
      </c>
    </row>
    <row r="65" spans="1:48" hidden="1" x14ac:dyDescent="0.25">
      <c r="A65" s="133" t="str">
        <f t="shared" ref="A65" si="70">+A64</f>
        <v>[ocultar]</v>
      </c>
      <c r="B65" s="202" t="s">
        <v>521</v>
      </c>
      <c r="C65" s="203">
        <f t="array" ref="C65">SUM(IF($B65=DATOS_[Sexo],
IF($B63=DATOS_[AGRUP. CLAS. PROF.],
IF("Dentro"=DATOS_[Check Periodo Ref.],
1/(COUNTIFS(DATOS_[Sexo],$B65,DATOS_[AGRUP. CLAS. PROF.],$B63,DATOS_[Check Periodo Ref.],"Dentro",DATOS_[id/cod],DATOS_[id/cod]))))))</f>
        <v>0</v>
      </c>
      <c r="D65" s="204">
        <f>COUNTIFS(DATOS_[AGRUP. CLAS. PROF.],$B63,DATOS_[Sexo],$B65,DATOS_[Check Periodo Ref.],"Dentro")</f>
        <v>0</v>
      </c>
      <c r="E65" s="204">
        <f>COUNTIFS(DATOS_[AGRUP. CLAS. PROF.],$B63,DATOS_[Sexo],$B65,DATOS_[Check Periodo Ref.],"Dentro",DATOS_[Check Nº SC Norm],"Sí")</f>
        <v>0</v>
      </c>
      <c r="F65" s="204">
        <f>COUNTIFS(DATOS_[AGRUP. CLAS. PROF.],$B63,DATOS_[Sexo],$B65,DATOS_[Check Periodo Ref.],"Dentro",DATOS_[Check Nº SC Anualiz],"Sí")</f>
        <v>0</v>
      </c>
      <c r="G65" s="204">
        <f>COUNTIFS(DATOS_[AGRUP. CLAS. PROF.],$B63,DATOS_[Sexo],$B65,DATOS_[Check Periodo Ref.],"Dentro",DATOS_[Check Nº SC Norm y Anualiz],"Sí")</f>
        <v>0</v>
      </c>
      <c r="H65" s="204">
        <f>COUNTIFS(DATOS_[AGRUP. CLAS. PROF.],$B63,DATOS_[Sexo],$B65,DATOS_[Check Periodo Ref.],"Dentro",DATOS_[Check Equiparación],"Sí")</f>
        <v>0</v>
      </c>
      <c r="I65" s="195" cm="1">
        <f t="array" ref="I65">IFERROR(
MEDIAN(IF(DATOS_[Sexo]=$B65,IF(DATOS_[[AGRUP. CLAS. PROF.]:[AGRUP. CLAS. PROF.]]=$B63,IF(DATOS_[Check Equiparado]="Sí",IF(DATOS_[Check Periodo Ref.]="Dentro",DATOS_[SALARIO BASE Eq],FALSE))))),
0)</f>
        <v>0</v>
      </c>
      <c r="J65" s="196">
        <f t="array" ref="J65">IFERROR(
(MEDIAN((IF(DATOS_[[Sexo]:[Sexo]]=$B65,IF(DATOS_[[AGRUP. CLAS. PROF.]:[AGRUP. CLAS. PROF.]]=$B63,IF(DATOS_[[Check Periodo Ref.]:[Check Periodo Ref.]]="Dentro",IF(DATOS_[[Check Equiparado]:[Check Equiparado]]="Sí",IF(DATOS!AE$5="Sí",(1/DATOS_[[% anualiz]:[% anualiz]]),1)*IF(DATOS!AE$4="Sí",1/DATOS_[[% normaliz]:[% normaliz]],1)*(DATOS_[Conc.Sal.01])))))))),
0)</f>
        <v>0</v>
      </c>
      <c r="K65" s="196">
        <f t="array" ref="K65">IFERROR(
(MEDIAN((IF(DATOS_[[Sexo]:[Sexo]]=$B65,IF(DATOS_[[AGRUP. CLAS. PROF.]:[AGRUP. CLAS. PROF.]]=$B63,IF(DATOS_[[Check Periodo Ref.]:[Check Periodo Ref.]]="Dentro",IF(DATOS_[[Check Equiparado]:[Check Equiparado]]="Sí",IF(DATOS!AF$5="Sí",(1/DATOS_[[% anualiz]:[% anualiz]]),1)*IF(DATOS!AF$4="Sí",1/DATOS_[[% normaliz]:[% normaliz]],1)*(DATOS_[Conc.Sal.02])))))))),
0)</f>
        <v>0</v>
      </c>
      <c r="L65" s="196">
        <f t="array" ref="L65">IFERROR(
(MEDIAN((IF(DATOS_[[Sexo]:[Sexo]]=$B65,IF(DATOS_[[AGRUP. CLAS. PROF.]:[AGRUP. CLAS. PROF.]]=$B63,IF(DATOS_[[Check Periodo Ref.]:[Check Periodo Ref.]]="Dentro",IF(DATOS_[[Check Equiparado]:[Check Equiparado]]="Sí",IF(DATOS!AG$5="Sí",(1/DATOS_[[% anualiz]:[% anualiz]]),1)*IF(DATOS!AG$4="Sí",1/DATOS_[[% normaliz]:[% normaliz]],1)*(DATOS_[Conc.Sal.03])))))))),
0)</f>
        <v>0</v>
      </c>
      <c r="M65" s="196">
        <f t="array" ref="M65">IFERROR(
(MEDIAN((IF(DATOS_[[Sexo]:[Sexo]]=$B65,IF(DATOS_[[AGRUP. CLAS. PROF.]:[AGRUP. CLAS. PROF.]]=$B63,IF(DATOS_[[Check Periodo Ref.]:[Check Periodo Ref.]]="Dentro",IF(DATOS_[[Check Equiparado]:[Check Equiparado]]="Sí",IF(DATOS!AH$5="Sí",(1/DATOS_[[% anualiz]:[% anualiz]]),1)*IF(DATOS!AH$4="Sí",1/DATOS_[[% normaliz]:[% normaliz]],1)*(DATOS_[Conc.Sal.04])))))))),
0)</f>
        <v>0</v>
      </c>
      <c r="N65" s="196">
        <f t="array" ref="N65">IFERROR(
(MEDIAN((IF(DATOS_[[Sexo]:[Sexo]]=$B65,IF(DATOS_[[AGRUP. CLAS. PROF.]:[AGRUP. CLAS. PROF.]]=$B63,IF(DATOS_[[Check Periodo Ref.]:[Check Periodo Ref.]]="Dentro",IF(DATOS_[[Check Equiparado]:[Check Equiparado]]="Sí",IF(DATOS!AI$5="Sí",(1/DATOS_[[% anualiz]:[% anualiz]]),1)*IF(DATOS!AI$4="Sí",1/DATOS_[[% normaliz]:[% normaliz]],1)*(DATOS_[Conc.Sal.05])))))))),
0)</f>
        <v>0</v>
      </c>
      <c r="O65" s="196">
        <f t="array" ref="O65">IFERROR(
(MEDIAN((IF(DATOS_[[Sexo]:[Sexo]]=$B65,IF(DATOS_[[AGRUP. CLAS. PROF.]:[AGRUP. CLAS. PROF.]]=$B63,IF(DATOS_[[Check Periodo Ref.]:[Check Periodo Ref.]]="Dentro",IF(DATOS_[[Check Equiparado]:[Check Equiparado]]="Sí",IF(DATOS!AJ$5="Sí",(1/DATOS_[[% anualiz]:[% anualiz]]),1)*IF(DATOS!AJ$4="Sí",1/DATOS_[[% normaliz]:[% normaliz]],1)*(DATOS_[Conc.Sal.06])))))))),
0)</f>
        <v>0</v>
      </c>
      <c r="P65" s="196">
        <f t="array" ref="P65">IFERROR(
(MEDIAN((IF(DATOS_[[Sexo]:[Sexo]]=$B65,IF(DATOS_[[AGRUP. CLAS. PROF.]:[AGRUP. CLAS. PROF.]]=$B63,IF(DATOS_[[Check Periodo Ref.]:[Check Periodo Ref.]]="Dentro",IF(DATOS_[[Check Equiparado]:[Check Equiparado]]="Sí",IF(DATOS!AK$5="Sí",(1/DATOS_[[% anualiz]:[% anualiz]]),1)*IF(DATOS!AK$4="Sí",1/DATOS_[[% normaliz]:[% normaliz]],1)*(DATOS_[Conc.Sal.07])))))))),
0)</f>
        <v>0</v>
      </c>
      <c r="Q65" s="196">
        <f t="array" ref="Q65">IFERROR(
(MEDIAN((IF(DATOS_[[Sexo]:[Sexo]]=$B65,IF(DATOS_[[AGRUP. CLAS. PROF.]:[AGRUP. CLAS. PROF.]]=$B63,IF(DATOS_[[Check Periodo Ref.]:[Check Periodo Ref.]]="Dentro",IF(DATOS_[[Check Equiparado]:[Check Equiparado]]="Sí",IF(DATOS!AL$5="Sí",(1/DATOS_[[% anualiz]:[% anualiz]]),1)*IF(DATOS!AL$4="Sí",1/DATOS_[[% normaliz]:[% normaliz]],1)*(DATOS_[Conc.Sal.08])))))))),
0)</f>
        <v>0</v>
      </c>
      <c r="R65" s="196">
        <f t="array" ref="R65">IFERROR(
(MEDIAN((IF(DATOS_[[Sexo]:[Sexo]]=$B65,IF(DATOS_[[AGRUP. CLAS. PROF.]:[AGRUP. CLAS. PROF.]]=$B63,IF(DATOS_[[Check Periodo Ref.]:[Check Periodo Ref.]]="Dentro",IF(DATOS_[[Check Equiparado]:[Check Equiparado]]="Sí",IF(DATOS!AM$5="Sí",(1/DATOS_[[% anualiz]:[% anualiz]]),1)*IF(DATOS!AM$4="Sí",1/DATOS_[[% normaliz]:[% normaliz]],1)*(DATOS_[Conc.Sal.09])))))))),
0)</f>
        <v>0</v>
      </c>
      <c r="S65" s="196">
        <f t="array" ref="S65">IFERROR(
(MEDIAN((IF(DATOS_[[Sexo]:[Sexo]]=$B65,IF(DATOS_[[AGRUP. CLAS. PROF.]:[AGRUP. CLAS. PROF.]]=$B63,IF(DATOS_[[Check Periodo Ref.]:[Check Periodo Ref.]]="Dentro",IF(DATOS_[[Check Equiparado]:[Check Equiparado]]="Sí",IF(DATOS!AN$5="Sí",(1/DATOS_[[% anualiz]:[% anualiz]]),1)*IF(DATOS!AN$4="Sí",1/DATOS_[[% normaliz]:[% normaliz]],1)*(DATOS_[Conc.Sal.10])))))))),
0)</f>
        <v>0</v>
      </c>
      <c r="T65" s="196">
        <f t="array" ref="T65">IFERROR(
(MEDIAN((IF(DATOS_[[Sexo]:[Sexo]]=$B65,IF(DATOS_[[AGRUP. CLAS. PROF.]:[AGRUP. CLAS. PROF.]]=$B63,IF(DATOS_[[Check Periodo Ref.]:[Check Periodo Ref.]]="Dentro",IF(DATOS_[[Check Equiparado]:[Check Equiparado]]="Sí",IF(DATOS!AO$5="Sí",(1/DATOS_[[% anualiz]:[% anualiz]]),1)*IF(DATOS!AO$4="Sí",1/DATOS_[[% normaliz]:[% normaliz]],1)*(DATOS_[Conc.Sal.11])))))))),
0)</f>
        <v>0</v>
      </c>
      <c r="U65" s="196">
        <f t="array" ref="U65">IFERROR(
(MEDIAN((IF(DATOS_[[Sexo]:[Sexo]]=$B65,IF(DATOS_[[AGRUP. CLAS. PROF.]:[AGRUP. CLAS. PROF.]]=$B63,IF(DATOS_[[Check Periodo Ref.]:[Check Periodo Ref.]]="Dentro",IF(DATOS_[[Check Equiparado]:[Check Equiparado]]="Sí",IF(DATOS!AP$5="Sí",(1/DATOS_[[% anualiz]:[% anualiz]]),1)*IF(DATOS!AP$4="Sí",1/DATOS_[[% normaliz]:[% normaliz]],1)*(DATOS_[Conc.Sal.12])))))))),
0)</f>
        <v>0</v>
      </c>
      <c r="V65" s="196">
        <f t="array" ref="V65">IFERROR(
(MEDIAN((IF(DATOS_[[Sexo]:[Sexo]]=$B65,IF(DATOS_[[AGRUP. CLAS. PROF.]:[AGRUP. CLAS. PROF.]]=$B63,IF(DATOS_[[Check Periodo Ref.]:[Check Periodo Ref.]]="Dentro",IF(DATOS_[[Check Equiparado]:[Check Equiparado]]="Sí",IF(DATOS!AQ$5="Sí",(1/DATOS_[[% anualiz]:[% anualiz]]),1)*IF(DATOS!AQ$4="Sí",1/DATOS_[[% normaliz]:[% normaliz]],1)*(DATOS_[Conc.Sal.13])))))))),
0)</f>
        <v>0</v>
      </c>
      <c r="W65" s="196">
        <f t="array" ref="W65">IFERROR(
(MEDIAN((IF(DATOS_[[Sexo]:[Sexo]]=$B65,IF(DATOS_[[AGRUP. CLAS. PROF.]:[AGRUP. CLAS. PROF.]]=$B63,IF(DATOS_[[Check Periodo Ref.]:[Check Periodo Ref.]]="Dentro",IF(DATOS_[[Check Equiparado]:[Check Equiparado]]="Sí",IF(DATOS!AR$5="Sí",(1/DATOS_[[% anualiz]:[% anualiz]]),1)*IF(DATOS!AR$4="Sí",1/DATOS_[[% normaliz]:[% normaliz]],1)*(DATOS_[Conc.Sal.14])))))))),
0)</f>
        <v>0</v>
      </c>
      <c r="X65" s="196">
        <f t="array" ref="X65">IFERROR(
(MEDIAN((IF(DATOS_[[Sexo]:[Sexo]]=$B65,IF(DATOS_[[AGRUP. CLAS. PROF.]:[AGRUP. CLAS. PROF.]]=$B63,IF(DATOS_[[Check Periodo Ref.]:[Check Periodo Ref.]]="Dentro",IF(DATOS_[[Check Equiparado]:[Check Equiparado]]="Sí",IF(DATOS!AS$5="Sí",(1/DATOS_[[% anualiz]:[% anualiz]]),1)*IF(DATOS!AS$4="Sí",1/DATOS_[[% normaliz]:[% normaliz]],1)*(DATOS_[Conc.Sal.15])))))))),
0)</f>
        <v>0</v>
      </c>
      <c r="Y65" s="196">
        <f t="array" ref="Y65">IFERROR(
(MEDIAN((IF(DATOS_[[Sexo]:[Sexo]]=$B65,IF(DATOS_[[AGRUP. CLAS. PROF.]:[AGRUP. CLAS. PROF.]]=$B63,IF(DATOS_[[Check Periodo Ref.]:[Check Periodo Ref.]]="Dentro",IF(DATOS_[[Check Equiparado]:[Check Equiparado]]="Sí",IF(DATOS!AT$5="Sí",(1/DATOS_[[% anualiz]:[% anualiz]]),1)*IF(DATOS!AT$4="Sí",1/DATOS_[[% normaliz]:[% normaliz]],1)*(DATOS_[Conc.Sal.16])))))))),
0)</f>
        <v>0</v>
      </c>
      <c r="Z65" s="196">
        <f t="array" ref="Z65">IFERROR(
(MEDIAN((IF(DATOS_[[Sexo]:[Sexo]]=$B65,IF(DATOS_[[AGRUP. CLAS. PROF.]:[AGRUP. CLAS. PROF.]]=$B63,IF(DATOS_[[Check Periodo Ref.]:[Check Periodo Ref.]]="Dentro",IF(DATOS_[[Check Equiparado]:[Check Equiparado]]="Sí",IF(DATOS!AU$5="Sí",(1/DATOS_[[% anualiz]:[% anualiz]]),1)*IF(DATOS!AU$4="Sí",1/DATOS_[[% normaliz]:[% normaliz]],1)*(DATOS_[Conc.Sal.17])))))))),
0)</f>
        <v>0</v>
      </c>
      <c r="AA65" s="196">
        <f t="array" ref="AA65">IFERROR(
(MEDIAN((IF(DATOS_[[Sexo]:[Sexo]]=$B65,IF(DATOS_[[AGRUP. CLAS. PROF.]:[AGRUP. CLAS. PROF.]]=$B63,IF(DATOS_[[Check Periodo Ref.]:[Check Periodo Ref.]]="Dentro",IF(DATOS_[[Check Equiparado]:[Check Equiparado]]="Sí",IF(DATOS!AV$5="Sí",(1/DATOS_[[% anualiz]:[% anualiz]]),1)*IF(DATOS!AV$4="Sí",1/DATOS_[[% normaliz]:[% normaliz]],1)*(DATOS_[Conc.Sal.18])))))))),
0)</f>
        <v>0</v>
      </c>
      <c r="AB65" s="196">
        <f t="array" ref="AB65">IFERROR(
(MEDIAN((IF(DATOS_[[Sexo]:[Sexo]]=$B65,IF(DATOS_[[AGRUP. CLAS. PROF.]:[AGRUP. CLAS. PROF.]]=$B63,IF(DATOS_[[Check Periodo Ref.]:[Check Periodo Ref.]]="Dentro",IF(DATOS_[[Check Equiparado]:[Check Equiparado]]="Sí",IF(DATOS!AW$5="Sí",(1/DATOS_[[% anualiz]:[% anualiz]]),1)*IF(DATOS!AW$4="Sí",1/DATOS_[[% normaliz]:[% normaliz]],1)*(DATOS_[Conc.Sal.19])))))))),
0)</f>
        <v>0</v>
      </c>
      <c r="AC65" s="196">
        <f t="array" ref="AC65">IFERROR(
(MEDIAN((IF(DATOS_[[Sexo]:[Sexo]]=$B65,IF(DATOS_[[AGRUP. CLAS. PROF.]:[AGRUP. CLAS. PROF.]]=$B63,IF(DATOS_[[Check Periodo Ref.]:[Check Periodo Ref.]]="Dentro",IF(DATOS_[[Check Equiparado]:[Check Equiparado]]="Sí",IF(DATOS!AX$5="Sí",(1/DATOS_[[% anualiz]:[% anualiz]]),1)*IF(DATOS!AX$4="Sí",1/DATOS_[[% normaliz]:[% normaliz]],1)*(DATOS_[Conc.Sal.20])))))))),
0)</f>
        <v>0</v>
      </c>
      <c r="AD65" s="196">
        <f t="array" ref="AD65">IFERROR(
(MEDIAN((IF(DATOS_[[Sexo]:[Sexo]]=$B65,IF(DATOS_[[AGRUP. CLAS. PROF.]:[AGRUP. CLAS. PROF.]]=$B63,IF(DATOS_[[Check Periodo Ref.]:[Check Periodo Ref.]]="Dentro",IF(DATOS_[[Check Equiparado]:[Check Equiparado]]="Sí",IF(DATOS!AY$5="Sí",(1/DATOS_[[% anualiz]:[% anualiz]]),1)*IF(DATOS!AY$4="Sí",1/DATOS_[[% normaliz]:[% normaliz]],1)*(DATOS_[Conc.Sal.21])))))))),
0)</f>
        <v>0</v>
      </c>
      <c r="AE65" s="196">
        <f t="array" ref="AE65">IFERROR(
(MEDIAN((IF(DATOS_[[Sexo]:[Sexo]]=$B65,IF(DATOS_[[AGRUP. CLAS. PROF.]:[AGRUP. CLAS. PROF.]]=$B63,IF(DATOS_[[Check Periodo Ref.]:[Check Periodo Ref.]]="Dentro",IF(DATOS_[[Check Equiparado]:[Check Equiparado]]="Sí",IF(DATOS!AZ$5="Sí",(1/DATOS_[[% anualiz]:[% anualiz]]),1)*IF(DATOS!AZ$4="Sí",1/DATOS_[[% normaliz]:[% normaliz]],1)*(DATOS_[Conc.Sal.22])))))))),
0)</f>
        <v>0</v>
      </c>
      <c r="AF65" s="196">
        <f t="array" ref="AF65">IFERROR(
(MEDIAN((IF(DATOS_[[Sexo]:[Sexo]]=$B65,IF(DATOS_[[AGRUP. CLAS. PROF.]:[AGRUP. CLAS. PROF.]]=$B63,IF(DATOS_[[Check Periodo Ref.]:[Check Periodo Ref.]]="Dentro",IF(DATOS_[[Check Equiparado]:[Check Equiparado]]="Sí",IF(DATOS!BA$5="Sí",(1/DATOS_[[% anualiz]:[% anualiz]]),1)*IF(DATOS!BA$4="Sí",1/DATOS_[[% normaliz]:[% normaliz]],1)*(DATOS_[Conc.Sal.23])))))))),
0)</f>
        <v>0</v>
      </c>
      <c r="AG65" s="196">
        <f t="array" ref="AG65">IFERROR(
(MEDIAN((IF(DATOS_[[Sexo]:[Sexo]]=$B65,IF(DATOS_[[AGRUP. CLAS. PROF.]:[AGRUP. CLAS. PROF.]]=$B63,IF(DATOS_[[Check Periodo Ref.]:[Check Periodo Ref.]]="Dentro",IF(DATOS_[[Check Equiparado]:[Check Equiparado]]="Sí",IF(DATOS!BB$5="Sí",(1/DATOS_[[% anualiz]:[% anualiz]]),1)*IF(DATOS!BB$4="Sí",1/DATOS_[[% normaliz]:[% normaliz]],1)*(DATOS_[Conc.Sal.24])))))))),
0)</f>
        <v>0</v>
      </c>
      <c r="AH65" s="196">
        <f t="array" ref="AH65">IFERROR(
(MEDIAN((IF(DATOS_[[Sexo]:[Sexo]]=$B65,IF(DATOS_[[AGRUP. CLAS. PROF.]:[AGRUP. CLAS. PROF.]]=$B63,IF(DATOS_[[Check Periodo Ref.]:[Check Periodo Ref.]]="Dentro",IF(DATOS_[[Check Equiparado]:[Check Equiparado]]="Sí",IF(DATOS!BC$5="Sí",(1/DATOS_[[% anualiz]:[% anualiz]]),1)*IF(DATOS!BC$4="Sí",1/DATOS_[[% normaliz]:[% normaliz]],1)*(DATOS_[Conc.Sal.25])))))))),
0)</f>
        <v>0</v>
      </c>
      <c r="AI65" s="196">
        <f t="array" ref="AI65">IFERROR(
(MEDIAN((IF(DATOS_[[Sexo]:[Sexo]]=$B65,IF(DATOS_[[AGRUP. CLAS. PROF.]:[AGRUP. CLAS. PROF.]]=$B63,IF(DATOS_[[Check Periodo Ref.]:[Check Periodo Ref.]]="Dentro",IF(DATOS_[[Check Equiparado]:[Check Equiparado]]="Sí",IF(DATOS!BD$5="Sí",(1/DATOS_[[% anualiz]:[% anualiz]]),1)*IF(DATOS!BD$4="Sí",1/DATOS_[[% normaliz]:[% normaliz]],1)*(DATOS_[Conc.Sal.26])))))))),
0)</f>
        <v>0</v>
      </c>
      <c r="AJ65" s="196">
        <f t="array" ref="AJ65">IFERROR(
(MEDIAN((IF(DATOS_[[Sexo]:[Sexo]]=$B65,IF(DATOS_[[AGRUP. CLAS. PROF.]:[AGRUP. CLAS. PROF.]]=$B63,IF(DATOS_[[Check Periodo Ref.]:[Check Periodo Ref.]]="Dentro",IF(DATOS_[[Check Equiparado]:[Check Equiparado]]="Sí",IF(DATOS!BE$5="Sí",(1/DATOS_[[% anualiz]:[% anualiz]]),1)*IF(DATOS!BE$4="Sí",1/DATOS_[[% normaliz]:[% normaliz]],1)*(DATOS_[Conc.Sal.27])))))))),
0)</f>
        <v>0</v>
      </c>
      <c r="AK65" s="196">
        <f t="array" ref="AK65">IFERROR(
(MEDIAN((IF(DATOS_[[Sexo]:[Sexo]]=$B65,IF(DATOS_[[AGRUP. CLAS. PROF.]:[AGRUP. CLAS. PROF.]]=$B63,IF(DATOS_[[Check Periodo Ref.]:[Check Periodo Ref.]]="Dentro",IF(DATOS_[[Check Equiparado]:[Check Equiparado]]="Sí",IF(DATOS!BF$5="Sí",(1/DATOS_[[% anualiz]:[% anualiz]]),1)*IF(DATOS!BF$4="Sí",1/DATOS_[[% normaliz]:[% normaliz]],1)*(DATOS_[Conc.Sal.28])))))))),
0)</f>
        <v>0</v>
      </c>
      <c r="AL65" s="196">
        <f t="array" ref="AL65">IFERROR(
(MEDIAN((IF(DATOS_[[Sexo]:[Sexo]]=$B65,IF(DATOS_[[AGRUP. CLAS. PROF.]:[AGRUP. CLAS. PROF.]]=$B63,IF(DATOS_[[Check Periodo Ref.]:[Check Periodo Ref.]]="Dentro",IF(DATOS_[[Check Equiparado]:[Check Equiparado]]="Sí",IF(DATOS!BG$5="Sí",(1/DATOS_[[% anualiz]:[% anualiz]]),1)*IF(DATOS!BG$4="Sí",1/DATOS_[[% normaliz]:[% normaliz]],1)*(DATOS_[Conc.Sal.29])))))))),
0)</f>
        <v>0</v>
      </c>
      <c r="AM65" s="196">
        <f t="array" ref="AM65">IFERROR(
(MEDIAN((IF(DATOS_[[Sexo]:[Sexo]]=$B65,IF(DATOS_[[AGRUP. CLAS. PROF.]:[AGRUP. CLAS. PROF.]]=$B63,IF(DATOS_[[Check Periodo Ref.]:[Check Periodo Ref.]]="Dentro",IF(DATOS_[[Check Equiparado]:[Check Equiparado]]="Sí",IF(DATOS!BH$5="Sí",(1/DATOS_[[% anualiz]:[% anualiz]]),1)*IF(DATOS!BH$4="Sí",1/DATOS_[[% normaliz]:[% normaliz]],1)*(DATOS_[Conc.Sal.30])))))))),
0)</f>
        <v>0</v>
      </c>
      <c r="AN65" s="195">
        <f t="array" ref="AN65">IFERROR(
MEDIAN(IF(DATOS_[Sexo]=$B65,IF(DATOS_[[AGRUP. CLAS. PROF.]:[AGRUP. CLAS. PROF.]]=$B63,IF(DATOS_[Check Equiparado]="Sí",IF(DATOS_[Check Periodo Ref.]="Dentro",DATOS_[Tot COMPL.SAL Eq],FALSE))))),
0)</f>
        <v>0</v>
      </c>
      <c r="AO65" s="172">
        <f t="array" ref="AO65">IFERROR(
MEDIAN(IF(DATOS_[Sexo]=$B65,IF(DATOS_[[AGRUP. CLAS. PROF.]:[AGRUP. CLAS. PROF.]]=$B63,IF(DATOS_[Check Equiparado]="Sí",IF(DATOS_[Check Periodo Ref.]="Dentro",DATOS_[TOTAL SALARIO Eq],FALSE))))),
0)</f>
        <v>0</v>
      </c>
      <c r="AP65" s="173">
        <f t="array" ref="AP65">IFERROR(
(MEDIAN((IF(DATOS_[[Sexo]:[Sexo]]=$B65,IF(DATOS_[[AGRUP. CLAS. PROF.]:[AGRUP. CLAS. PROF.]]=$B63,IF(DATOS_[[Check Periodo Ref.]:[Check Periodo Ref.]]="Dentro",IF(DATOS_[[Check Equiparado]:[Check Equiparado]]="Sí",IF(DATOS!BW$5="Sí",(1/DATOS_[[% anualiz]:[% anualiz]]),1)*IF(DATOS!BW$4="Sí",1/DATOS_[[% normaliz]:[% normaliz]],1)*(DATOS_[C.Extra.01])))))))),
0)</f>
        <v>0</v>
      </c>
      <c r="AQ65" s="173">
        <f t="array" ref="AQ65">IFERROR(
(MEDIAN((IF(DATOS_[[Sexo]:[Sexo]]=$B65,IF(DATOS_[[AGRUP. CLAS. PROF.]:[AGRUP. CLAS. PROF.]]=$B63,IF(DATOS_[[Check Periodo Ref.]:[Check Periodo Ref.]]="Dentro",IF(DATOS_[[Check Equiparado]:[Check Equiparado]]="Sí",IF(DATOS!CB$5="Sí",(1/DATOS_[[% anualiz]:[% anualiz]]),1)*IF(DATOS!CB$4="Sí",1/DATOS_[[% normaliz]:[% normaliz]],1)*(DATOS_[C.Extra.06])))))))),
0)</f>
        <v>0</v>
      </c>
      <c r="AR65" s="173">
        <f t="array" ref="AR65">IFERROR(
(MEDIAN((IF(DATOS_[[Sexo]:[Sexo]]=$B65,IF(DATOS_[[AGRUP. CLAS. PROF.]:[AGRUP. CLAS. PROF.]]=$B63,IF(DATOS_[[Check Periodo Ref.]:[Check Periodo Ref.]]="Dentro",IF(DATOS_[[Check Equiparado]:[Check Equiparado]]="Sí",IF(DATOS!CC$5="Sí",(1/DATOS_[[% anualiz]:[% anualiz]]),1)*IF(DATOS!CC$4="Sí",1/DATOS_[[% normaliz]:[% normaliz]],1)*(DATOS_[C.Extra.07])))))))),
0)</f>
        <v>0</v>
      </c>
      <c r="AS65" s="173">
        <f t="array" ref="AS65">IFERROR(
(MEDIAN((IF(DATOS_[[Sexo]:[Sexo]]=$B65,IF(DATOS_[[AGRUP. CLAS. PROF.]:[AGRUP. CLAS. PROF.]]=$B63,IF(DATOS_[[Check Periodo Ref.]:[Check Periodo Ref.]]="Dentro",IF(DATOS_[[Check Equiparado]:[Check Equiparado]]="Sí",IF(DATOS!CD$5="Sí",(1/DATOS_[[% anualiz]:[% anualiz]]),1)*IF(DATOS!CD$4="Sí",1/DATOS_[[% normaliz]:[% normaliz]],1)*(DATOS_[C.Extra.08])))))))),
0)</f>
        <v>0</v>
      </c>
      <c r="AT65" s="173">
        <f t="array" ref="AT65">IFERROR(
(MEDIAN((IF(DATOS_[[Sexo]:[Sexo]]=$B65,IF(DATOS_[[AGRUP. CLAS. PROF.]:[AGRUP. CLAS. PROF.]]=$B63,IF(DATOS_[[Check Periodo Ref.]:[Check Periodo Ref.]]="Dentro",IF(DATOS_[[Check Equiparado]:[Check Equiparado]]="Sí",IF(DATOS!CG$5="Sí",(1/DATOS_[[% anualiz]:[% anualiz]]),1)*IF(DATOS!CG$4="Sí",1/DATOS_[[% normaliz]:[% normaliz]],1)*(DATOS_[C.Extra.11])))))))),
0)</f>
        <v>0</v>
      </c>
      <c r="AU65" s="197">
        <f t="array" ref="AU65">IFERROR(
MEDIAN(IF(DATOS_[Sexo]=$B65,IF(DATOS_[[AGRUP. CLAS. PROF.]:[AGRUP. CLAS. PROF.]]=$B63,IF(DATOS_[Check Equiparado]="Sí",IF(DATOS_[Check Periodo Ref.]="Dentro",DATOS_[Tot Extrasalarial Eq],FALSE))))),
0)</f>
        <v>0</v>
      </c>
      <c r="AV65" s="175">
        <f t="array" ref="AV65">IFERROR(
MEDIAN(IF(DATOS_[Sexo]=$B65,IF(DATOS_[[AGRUP. CLAS. PROF.]:[AGRUP. CLAS. PROF.]]=$B63,IF(DATOS_[Check Equiparado]="Sí",IF(DATOS_[Check Periodo Ref.]="Dentro",DATOS_[TOTAL Retrib Eq],FALSE))))),
0)</f>
        <v>0</v>
      </c>
    </row>
    <row r="66" spans="1:48" ht="15.6" hidden="1" thickBot="1" x14ac:dyDescent="0.3">
      <c r="A66" s="133" t="str">
        <f t="shared" ref="A66" si="71">+A67</f>
        <v>[ocultar]</v>
      </c>
      <c r="B66" s="199" t="s">
        <v>248</v>
      </c>
      <c r="C66" s="200"/>
      <c r="D66" s="201"/>
      <c r="E66" s="201"/>
      <c r="F66" s="201"/>
      <c r="G66" s="201"/>
      <c r="H66" s="201"/>
      <c r="I66" s="189" t="str">
        <f t="shared" ref="I66:AV66" si="72">IFERROR((I67-I68)/I67,"")</f>
        <v/>
      </c>
      <c r="J66" s="190" t="str">
        <f t="shared" si="72"/>
        <v/>
      </c>
      <c r="K66" s="191" t="str">
        <f t="shared" si="72"/>
        <v/>
      </c>
      <c r="L66" s="191" t="str">
        <f t="shared" si="72"/>
        <v/>
      </c>
      <c r="M66" s="191" t="str">
        <f t="shared" si="72"/>
        <v/>
      </c>
      <c r="N66" s="192" t="str">
        <f t="shared" si="72"/>
        <v/>
      </c>
      <c r="O66" s="193" t="str">
        <f t="shared" si="72"/>
        <v/>
      </c>
      <c r="P66" s="193" t="str">
        <f t="shared" si="72"/>
        <v/>
      </c>
      <c r="Q66" s="193" t="str">
        <f t="shared" si="72"/>
        <v/>
      </c>
      <c r="R66" s="193" t="str">
        <f t="shared" si="72"/>
        <v/>
      </c>
      <c r="S66" s="193" t="str">
        <f t="shared" si="72"/>
        <v/>
      </c>
      <c r="T66" s="193" t="str">
        <f t="shared" si="72"/>
        <v/>
      </c>
      <c r="U66" s="193" t="str">
        <f t="shared" si="72"/>
        <v/>
      </c>
      <c r="V66" s="193" t="str">
        <f t="shared" si="72"/>
        <v/>
      </c>
      <c r="W66" s="193" t="str">
        <f t="shared" si="72"/>
        <v/>
      </c>
      <c r="X66" s="193" t="str">
        <f t="shared" si="72"/>
        <v/>
      </c>
      <c r="Y66" s="193" t="str">
        <f t="shared" si="72"/>
        <v/>
      </c>
      <c r="Z66" s="193" t="str">
        <f t="shared" si="72"/>
        <v/>
      </c>
      <c r="AA66" s="193" t="str">
        <f t="shared" si="72"/>
        <v/>
      </c>
      <c r="AB66" s="193" t="str">
        <f t="shared" si="72"/>
        <v/>
      </c>
      <c r="AC66" s="193" t="str">
        <f t="shared" si="72"/>
        <v/>
      </c>
      <c r="AD66" s="193" t="str">
        <f t="shared" si="72"/>
        <v/>
      </c>
      <c r="AE66" s="193" t="str">
        <f t="shared" si="72"/>
        <v/>
      </c>
      <c r="AF66" s="193" t="str">
        <f t="shared" si="72"/>
        <v/>
      </c>
      <c r="AG66" s="193" t="str">
        <f t="shared" si="72"/>
        <v/>
      </c>
      <c r="AH66" s="193" t="str">
        <f t="shared" si="72"/>
        <v/>
      </c>
      <c r="AI66" s="193" t="str">
        <f t="shared" si="72"/>
        <v/>
      </c>
      <c r="AJ66" s="193" t="str">
        <f t="shared" si="72"/>
        <v/>
      </c>
      <c r="AK66" s="193" t="str">
        <f t="shared" si="72"/>
        <v/>
      </c>
      <c r="AL66" s="193" t="str">
        <f t="shared" si="72"/>
        <v/>
      </c>
      <c r="AM66" s="193" t="str">
        <f t="shared" si="72"/>
        <v/>
      </c>
      <c r="AN66" s="189" t="str">
        <f t="shared" si="72"/>
        <v/>
      </c>
      <c r="AO66" s="162" t="str">
        <f t="shared" si="72"/>
        <v/>
      </c>
      <c r="AP66" s="163" t="str">
        <f t="shared" si="72"/>
        <v/>
      </c>
      <c r="AQ66" s="163" t="str">
        <f t="shared" si="72"/>
        <v/>
      </c>
      <c r="AR66" s="163" t="str">
        <f t="shared" si="72"/>
        <v/>
      </c>
      <c r="AS66" s="163" t="str">
        <f t="shared" si="72"/>
        <v/>
      </c>
      <c r="AT66" s="163" t="str">
        <f t="shared" si="72"/>
        <v/>
      </c>
      <c r="AU66" s="194" t="str">
        <f t="shared" si="72"/>
        <v/>
      </c>
      <c r="AV66" s="165" t="str">
        <f t="shared" si="72"/>
        <v/>
      </c>
    </row>
    <row r="67" spans="1:48" hidden="1" x14ac:dyDescent="0.25">
      <c r="A67" s="133" t="str">
        <f t="shared" ref="A67" si="73">+IF(C67+C68=0,"[ocultar]","")</f>
        <v>[ocultar]</v>
      </c>
      <c r="B67" s="202" t="s">
        <v>394</v>
      </c>
      <c r="C67" s="203">
        <f t="array" ref="C67">SUM(IF($B67=DATOS_[Sexo],
IF($B66=DATOS_[AGRUP. CLAS. PROF.],
IF("Dentro"=DATOS_[Check Periodo Ref.],
1/(COUNTIFS(DATOS_[Sexo],$B67,DATOS_[AGRUP. CLAS. PROF.],$B66,DATOS_[Check Periodo Ref.],"Dentro",DATOS_[id/cod],DATOS_[id/cod]))))))</f>
        <v>0</v>
      </c>
      <c r="D67" s="204">
        <f>COUNTIFS(DATOS_[AGRUP. CLAS. PROF.],$B66,DATOS_[Sexo],$B67,DATOS_[Check Periodo Ref.],"Dentro")</f>
        <v>0</v>
      </c>
      <c r="E67" s="204">
        <f>COUNTIFS(DATOS_[AGRUP. CLAS. PROF.],$B66,DATOS_[Sexo],$B67,DATOS_[Check Periodo Ref.],"Dentro",DATOS_[Check Nº SC Norm],"Sí")</f>
        <v>0</v>
      </c>
      <c r="F67" s="204">
        <f>COUNTIFS(DATOS_[AGRUP. CLAS. PROF.],$B66,DATOS_[Sexo],$B67,DATOS_[Check Periodo Ref.],"Dentro",DATOS_[Check Nº SC Anualiz],"Sí")</f>
        <v>0</v>
      </c>
      <c r="G67" s="204">
        <f>COUNTIFS(DATOS_[AGRUP. CLAS. PROF.],$B66,DATOS_[Sexo],$B67,DATOS_[Check Periodo Ref.],"Dentro",DATOS_[Check Nº SC Norm y Anualiz],"Sí")</f>
        <v>0</v>
      </c>
      <c r="H67" s="204">
        <f>COUNTIFS(DATOS_[AGRUP. CLAS. PROF.],$B66,DATOS_[Sexo],$B67,DATOS_[Check Periodo Ref.],"Dentro",DATOS_[Check Equiparación],"Sí")</f>
        <v>0</v>
      </c>
      <c r="I67" s="195">
        <f t="array" ref="I67">IFERROR(
MEDIAN(IF(DATOS_[Sexo]=$B67,IF(DATOS_[[AGRUP. CLAS. PROF.]:[AGRUP. CLAS. PROF.]]=$B66,IF(DATOS_[Check Equiparado]="Sí",IF(DATOS_[Check Periodo Ref.]="Dentro",DATOS_[SALARIO BASE Eq],FALSE))))),
0)</f>
        <v>0</v>
      </c>
      <c r="J67" s="196">
        <f t="array" ref="J67">IFERROR(
(MEDIAN((IF(DATOS_[[Sexo]:[Sexo]]=$B67,IF(DATOS_[[AGRUP. CLAS. PROF.]:[AGRUP. CLAS. PROF.]]=$B66,IF(DATOS_[[Check Periodo Ref.]:[Check Periodo Ref.]]="Dentro",IF(DATOS_[[Check Equiparado]:[Check Equiparado]]="Sí",IF(DATOS!AE$5="Sí",(1/DATOS_[[% anualiz]:[% anualiz]]),1)*IF(DATOS!AE$4="Sí",1/DATOS_[[% normaliz]:[% normaliz]],1)*(DATOS_[Conc.Sal.01])))))))),
0)</f>
        <v>0</v>
      </c>
      <c r="K67" s="196">
        <f t="array" ref="K67">IFERROR(
(MEDIAN((IF(DATOS_[[Sexo]:[Sexo]]=$B67,IF(DATOS_[[AGRUP. CLAS. PROF.]:[AGRUP. CLAS. PROF.]]=$B66,IF(DATOS_[[Check Periodo Ref.]:[Check Periodo Ref.]]="Dentro",IF(DATOS_[[Check Equiparado]:[Check Equiparado]]="Sí",IF(DATOS!AF$5="Sí",(1/DATOS_[[% anualiz]:[% anualiz]]),1)*IF(DATOS!AF$4="Sí",1/DATOS_[[% normaliz]:[% normaliz]],1)*(DATOS_[Conc.Sal.02])))))))),
0)</f>
        <v>0</v>
      </c>
      <c r="L67" s="196">
        <f t="array" ref="L67">IFERROR(
(MEDIAN((IF(DATOS_[[Sexo]:[Sexo]]=$B67,IF(DATOS_[[AGRUP. CLAS. PROF.]:[AGRUP. CLAS. PROF.]]=$B66,IF(DATOS_[[Check Periodo Ref.]:[Check Periodo Ref.]]="Dentro",IF(DATOS_[[Check Equiparado]:[Check Equiparado]]="Sí",IF(DATOS!AG$5="Sí",(1/DATOS_[[% anualiz]:[% anualiz]]),1)*IF(DATOS!AG$4="Sí",1/DATOS_[[% normaliz]:[% normaliz]],1)*(DATOS_[Conc.Sal.03])))))))),
0)</f>
        <v>0</v>
      </c>
      <c r="M67" s="196">
        <f t="array" ref="M67">IFERROR(
(MEDIAN((IF(DATOS_[[Sexo]:[Sexo]]=$B67,IF(DATOS_[[AGRUP. CLAS. PROF.]:[AGRUP. CLAS. PROF.]]=$B66,IF(DATOS_[[Check Periodo Ref.]:[Check Periodo Ref.]]="Dentro",IF(DATOS_[[Check Equiparado]:[Check Equiparado]]="Sí",IF(DATOS!AH$5="Sí",(1/DATOS_[[% anualiz]:[% anualiz]]),1)*IF(DATOS!AH$4="Sí",1/DATOS_[[% normaliz]:[% normaliz]],1)*(DATOS_[Conc.Sal.04])))))))),
0)</f>
        <v>0</v>
      </c>
      <c r="N67" s="196">
        <f t="array" ref="N67">IFERROR(
(MEDIAN((IF(DATOS_[[Sexo]:[Sexo]]=$B67,IF(DATOS_[[AGRUP. CLAS. PROF.]:[AGRUP. CLAS. PROF.]]=$B66,IF(DATOS_[[Check Periodo Ref.]:[Check Periodo Ref.]]="Dentro",IF(DATOS_[[Check Equiparado]:[Check Equiparado]]="Sí",IF(DATOS!AI$5="Sí",(1/DATOS_[[% anualiz]:[% anualiz]]),1)*IF(DATOS!AI$4="Sí",1/DATOS_[[% normaliz]:[% normaliz]],1)*(DATOS_[Conc.Sal.05])))))))),
0)</f>
        <v>0</v>
      </c>
      <c r="O67" s="196">
        <f t="array" ref="O67">IFERROR(
(MEDIAN((IF(DATOS_[[Sexo]:[Sexo]]=$B67,IF(DATOS_[[AGRUP. CLAS. PROF.]:[AGRUP. CLAS. PROF.]]=$B66,IF(DATOS_[[Check Periodo Ref.]:[Check Periodo Ref.]]="Dentro",IF(DATOS_[[Check Equiparado]:[Check Equiparado]]="Sí",IF(DATOS!AJ$5="Sí",(1/DATOS_[[% anualiz]:[% anualiz]]),1)*IF(DATOS!AJ$4="Sí",1/DATOS_[[% normaliz]:[% normaliz]],1)*(DATOS_[Conc.Sal.06])))))))),
0)</f>
        <v>0</v>
      </c>
      <c r="P67" s="196">
        <f t="array" ref="P67">IFERROR(
(MEDIAN((IF(DATOS_[[Sexo]:[Sexo]]=$B67,IF(DATOS_[[AGRUP. CLAS. PROF.]:[AGRUP. CLAS. PROF.]]=$B66,IF(DATOS_[[Check Periodo Ref.]:[Check Periodo Ref.]]="Dentro",IF(DATOS_[[Check Equiparado]:[Check Equiparado]]="Sí",IF(DATOS!AK$5="Sí",(1/DATOS_[[% anualiz]:[% anualiz]]),1)*IF(DATOS!AK$4="Sí",1/DATOS_[[% normaliz]:[% normaliz]],1)*(DATOS_[Conc.Sal.07])))))))),
0)</f>
        <v>0</v>
      </c>
      <c r="Q67" s="196">
        <f t="array" ref="Q67">IFERROR(
(MEDIAN((IF(DATOS_[[Sexo]:[Sexo]]=$B67,IF(DATOS_[[AGRUP. CLAS. PROF.]:[AGRUP. CLAS. PROF.]]=$B66,IF(DATOS_[[Check Periodo Ref.]:[Check Periodo Ref.]]="Dentro",IF(DATOS_[[Check Equiparado]:[Check Equiparado]]="Sí",IF(DATOS!AL$5="Sí",(1/DATOS_[[% anualiz]:[% anualiz]]),1)*IF(DATOS!AL$4="Sí",1/DATOS_[[% normaliz]:[% normaliz]],1)*(DATOS_[Conc.Sal.08])))))))),
0)</f>
        <v>0</v>
      </c>
      <c r="R67" s="196">
        <f t="array" ref="R67">IFERROR(
(MEDIAN((IF(DATOS_[[Sexo]:[Sexo]]=$B67,IF(DATOS_[[AGRUP. CLAS. PROF.]:[AGRUP. CLAS. PROF.]]=$B66,IF(DATOS_[[Check Periodo Ref.]:[Check Periodo Ref.]]="Dentro",IF(DATOS_[[Check Equiparado]:[Check Equiparado]]="Sí",IF(DATOS!AM$5="Sí",(1/DATOS_[[% anualiz]:[% anualiz]]),1)*IF(DATOS!AM$4="Sí",1/DATOS_[[% normaliz]:[% normaliz]],1)*(DATOS_[Conc.Sal.09])))))))),
0)</f>
        <v>0</v>
      </c>
      <c r="S67" s="196">
        <f t="array" ref="S67">IFERROR(
(MEDIAN((IF(DATOS_[[Sexo]:[Sexo]]=$B67,IF(DATOS_[[AGRUP. CLAS. PROF.]:[AGRUP. CLAS. PROF.]]=$B66,IF(DATOS_[[Check Periodo Ref.]:[Check Periodo Ref.]]="Dentro",IF(DATOS_[[Check Equiparado]:[Check Equiparado]]="Sí",IF(DATOS!AN$5="Sí",(1/DATOS_[[% anualiz]:[% anualiz]]),1)*IF(DATOS!AN$4="Sí",1/DATOS_[[% normaliz]:[% normaliz]],1)*(DATOS_[Conc.Sal.10])))))))),
0)</f>
        <v>0</v>
      </c>
      <c r="T67" s="196">
        <f t="array" ref="T67">IFERROR(
(MEDIAN((IF(DATOS_[[Sexo]:[Sexo]]=$B67,IF(DATOS_[[AGRUP. CLAS. PROF.]:[AGRUP. CLAS. PROF.]]=$B66,IF(DATOS_[[Check Periodo Ref.]:[Check Periodo Ref.]]="Dentro",IF(DATOS_[[Check Equiparado]:[Check Equiparado]]="Sí",IF(DATOS!AO$5="Sí",(1/DATOS_[[% anualiz]:[% anualiz]]),1)*IF(DATOS!AO$4="Sí",1/DATOS_[[% normaliz]:[% normaliz]],1)*(DATOS_[Conc.Sal.11])))))))),
0)</f>
        <v>0</v>
      </c>
      <c r="U67" s="196">
        <f t="array" ref="U67">IFERROR(
(MEDIAN((IF(DATOS_[[Sexo]:[Sexo]]=$B67,IF(DATOS_[[AGRUP. CLAS. PROF.]:[AGRUP. CLAS. PROF.]]=$B66,IF(DATOS_[[Check Periodo Ref.]:[Check Periodo Ref.]]="Dentro",IF(DATOS_[[Check Equiparado]:[Check Equiparado]]="Sí",IF(DATOS!AP$5="Sí",(1/DATOS_[[% anualiz]:[% anualiz]]),1)*IF(DATOS!AP$4="Sí",1/DATOS_[[% normaliz]:[% normaliz]],1)*(DATOS_[Conc.Sal.12])))))))),
0)</f>
        <v>0</v>
      </c>
      <c r="V67" s="196">
        <f t="array" ref="V67">IFERROR(
(MEDIAN((IF(DATOS_[[Sexo]:[Sexo]]=$B67,IF(DATOS_[[AGRUP. CLAS. PROF.]:[AGRUP. CLAS. PROF.]]=$B66,IF(DATOS_[[Check Periodo Ref.]:[Check Periodo Ref.]]="Dentro",IF(DATOS_[[Check Equiparado]:[Check Equiparado]]="Sí",IF(DATOS!AQ$5="Sí",(1/DATOS_[[% anualiz]:[% anualiz]]),1)*IF(DATOS!AQ$4="Sí",1/DATOS_[[% normaliz]:[% normaliz]],1)*(DATOS_[Conc.Sal.13])))))))),
0)</f>
        <v>0</v>
      </c>
      <c r="W67" s="196">
        <f t="array" ref="W67">IFERROR(
(MEDIAN((IF(DATOS_[[Sexo]:[Sexo]]=$B67,IF(DATOS_[[AGRUP. CLAS. PROF.]:[AGRUP. CLAS. PROF.]]=$B66,IF(DATOS_[[Check Periodo Ref.]:[Check Periodo Ref.]]="Dentro",IF(DATOS_[[Check Equiparado]:[Check Equiparado]]="Sí",IF(DATOS!AR$5="Sí",(1/DATOS_[[% anualiz]:[% anualiz]]),1)*IF(DATOS!AR$4="Sí",1/DATOS_[[% normaliz]:[% normaliz]],1)*(DATOS_[Conc.Sal.14])))))))),
0)</f>
        <v>0</v>
      </c>
      <c r="X67" s="196">
        <f t="array" ref="X67">IFERROR(
(MEDIAN((IF(DATOS_[[Sexo]:[Sexo]]=$B67,IF(DATOS_[[AGRUP. CLAS. PROF.]:[AGRUP. CLAS. PROF.]]=$B66,IF(DATOS_[[Check Periodo Ref.]:[Check Periodo Ref.]]="Dentro",IF(DATOS_[[Check Equiparado]:[Check Equiparado]]="Sí",IF(DATOS!AS$5="Sí",(1/DATOS_[[% anualiz]:[% anualiz]]),1)*IF(DATOS!AS$4="Sí",1/DATOS_[[% normaliz]:[% normaliz]],1)*(DATOS_[Conc.Sal.15])))))))),
0)</f>
        <v>0</v>
      </c>
      <c r="Y67" s="196">
        <f t="array" ref="Y67">IFERROR(
(MEDIAN((IF(DATOS_[[Sexo]:[Sexo]]=$B67,IF(DATOS_[[AGRUP. CLAS. PROF.]:[AGRUP. CLAS. PROF.]]=$B66,IF(DATOS_[[Check Periodo Ref.]:[Check Periodo Ref.]]="Dentro",IF(DATOS_[[Check Equiparado]:[Check Equiparado]]="Sí",IF(DATOS!AT$5="Sí",(1/DATOS_[[% anualiz]:[% anualiz]]),1)*IF(DATOS!AT$4="Sí",1/DATOS_[[% normaliz]:[% normaliz]],1)*(DATOS_[Conc.Sal.16])))))))),
0)</f>
        <v>0</v>
      </c>
      <c r="Z67" s="196">
        <f t="array" ref="Z67">IFERROR(
(MEDIAN((IF(DATOS_[[Sexo]:[Sexo]]=$B67,IF(DATOS_[[AGRUP. CLAS. PROF.]:[AGRUP. CLAS. PROF.]]=$B66,IF(DATOS_[[Check Periodo Ref.]:[Check Periodo Ref.]]="Dentro",IF(DATOS_[[Check Equiparado]:[Check Equiparado]]="Sí",IF(DATOS!AU$5="Sí",(1/DATOS_[[% anualiz]:[% anualiz]]),1)*IF(DATOS!AU$4="Sí",1/DATOS_[[% normaliz]:[% normaliz]],1)*(DATOS_[Conc.Sal.17])))))))),
0)</f>
        <v>0</v>
      </c>
      <c r="AA67" s="196">
        <f t="array" ref="AA67">IFERROR(
(MEDIAN((IF(DATOS_[[Sexo]:[Sexo]]=$B67,IF(DATOS_[[AGRUP. CLAS. PROF.]:[AGRUP. CLAS. PROF.]]=$B66,IF(DATOS_[[Check Periodo Ref.]:[Check Periodo Ref.]]="Dentro",IF(DATOS_[[Check Equiparado]:[Check Equiparado]]="Sí",IF(DATOS!AV$5="Sí",(1/DATOS_[[% anualiz]:[% anualiz]]),1)*IF(DATOS!AV$4="Sí",1/DATOS_[[% normaliz]:[% normaliz]],1)*(DATOS_[Conc.Sal.18])))))))),
0)</f>
        <v>0</v>
      </c>
      <c r="AB67" s="196">
        <f t="array" ref="AB67">IFERROR(
(MEDIAN((IF(DATOS_[[Sexo]:[Sexo]]=$B67,IF(DATOS_[[AGRUP. CLAS. PROF.]:[AGRUP. CLAS. PROF.]]=$B66,IF(DATOS_[[Check Periodo Ref.]:[Check Periodo Ref.]]="Dentro",IF(DATOS_[[Check Equiparado]:[Check Equiparado]]="Sí",IF(DATOS!AW$5="Sí",(1/DATOS_[[% anualiz]:[% anualiz]]),1)*IF(DATOS!AW$4="Sí",1/DATOS_[[% normaliz]:[% normaliz]],1)*(DATOS_[Conc.Sal.19])))))))),
0)</f>
        <v>0</v>
      </c>
      <c r="AC67" s="196">
        <f t="array" ref="AC67">IFERROR(
(MEDIAN((IF(DATOS_[[Sexo]:[Sexo]]=$B67,IF(DATOS_[[AGRUP. CLAS. PROF.]:[AGRUP. CLAS. PROF.]]=$B66,IF(DATOS_[[Check Periodo Ref.]:[Check Periodo Ref.]]="Dentro",IF(DATOS_[[Check Equiparado]:[Check Equiparado]]="Sí",IF(DATOS!AX$5="Sí",(1/DATOS_[[% anualiz]:[% anualiz]]),1)*IF(DATOS!AX$4="Sí",1/DATOS_[[% normaliz]:[% normaliz]],1)*(DATOS_[Conc.Sal.20])))))))),
0)</f>
        <v>0</v>
      </c>
      <c r="AD67" s="196">
        <f t="array" ref="AD67">IFERROR(
(MEDIAN((IF(DATOS_[[Sexo]:[Sexo]]=$B67,IF(DATOS_[[AGRUP. CLAS. PROF.]:[AGRUP. CLAS. PROF.]]=$B66,IF(DATOS_[[Check Periodo Ref.]:[Check Periodo Ref.]]="Dentro",IF(DATOS_[[Check Equiparado]:[Check Equiparado]]="Sí",IF(DATOS!AY$5="Sí",(1/DATOS_[[% anualiz]:[% anualiz]]),1)*IF(DATOS!AY$4="Sí",1/DATOS_[[% normaliz]:[% normaliz]],1)*(DATOS_[Conc.Sal.21])))))))),
0)</f>
        <v>0</v>
      </c>
      <c r="AE67" s="196">
        <f t="array" ref="AE67">IFERROR(
(MEDIAN((IF(DATOS_[[Sexo]:[Sexo]]=$B67,IF(DATOS_[[AGRUP. CLAS. PROF.]:[AGRUP. CLAS. PROF.]]=$B66,IF(DATOS_[[Check Periodo Ref.]:[Check Periodo Ref.]]="Dentro",IF(DATOS_[[Check Equiparado]:[Check Equiparado]]="Sí",IF(DATOS!AZ$5="Sí",(1/DATOS_[[% anualiz]:[% anualiz]]),1)*IF(DATOS!AZ$4="Sí",1/DATOS_[[% normaliz]:[% normaliz]],1)*(DATOS_[Conc.Sal.22])))))))),
0)</f>
        <v>0</v>
      </c>
      <c r="AF67" s="196">
        <f t="array" ref="AF67">IFERROR(
(MEDIAN((IF(DATOS_[[Sexo]:[Sexo]]=$B67,IF(DATOS_[[AGRUP. CLAS. PROF.]:[AGRUP. CLAS. PROF.]]=$B66,IF(DATOS_[[Check Periodo Ref.]:[Check Periodo Ref.]]="Dentro",IF(DATOS_[[Check Equiparado]:[Check Equiparado]]="Sí",IF(DATOS!BA$5="Sí",(1/DATOS_[[% anualiz]:[% anualiz]]),1)*IF(DATOS!BA$4="Sí",1/DATOS_[[% normaliz]:[% normaliz]],1)*(DATOS_[Conc.Sal.23])))))))),
0)</f>
        <v>0</v>
      </c>
      <c r="AG67" s="196">
        <f t="array" ref="AG67">IFERROR(
(MEDIAN((IF(DATOS_[[Sexo]:[Sexo]]=$B67,IF(DATOS_[[AGRUP. CLAS. PROF.]:[AGRUP. CLAS. PROF.]]=$B66,IF(DATOS_[[Check Periodo Ref.]:[Check Periodo Ref.]]="Dentro",IF(DATOS_[[Check Equiparado]:[Check Equiparado]]="Sí",IF(DATOS!BB$5="Sí",(1/DATOS_[[% anualiz]:[% anualiz]]),1)*IF(DATOS!BB$4="Sí",1/DATOS_[[% normaliz]:[% normaliz]],1)*(DATOS_[Conc.Sal.24])))))))),
0)</f>
        <v>0</v>
      </c>
      <c r="AH67" s="196">
        <f t="array" ref="AH67">IFERROR(
(MEDIAN((IF(DATOS_[[Sexo]:[Sexo]]=$B67,IF(DATOS_[[AGRUP. CLAS. PROF.]:[AGRUP. CLAS. PROF.]]=$B66,IF(DATOS_[[Check Periodo Ref.]:[Check Periodo Ref.]]="Dentro",IF(DATOS_[[Check Equiparado]:[Check Equiparado]]="Sí",IF(DATOS!BC$5="Sí",(1/DATOS_[[% anualiz]:[% anualiz]]),1)*IF(DATOS!BC$4="Sí",1/DATOS_[[% normaliz]:[% normaliz]],1)*(DATOS_[Conc.Sal.25])))))))),
0)</f>
        <v>0</v>
      </c>
      <c r="AI67" s="196">
        <f t="array" ref="AI67">IFERROR(
(MEDIAN((IF(DATOS_[[Sexo]:[Sexo]]=$B67,IF(DATOS_[[AGRUP. CLAS. PROF.]:[AGRUP. CLAS. PROF.]]=$B66,IF(DATOS_[[Check Periodo Ref.]:[Check Periodo Ref.]]="Dentro",IF(DATOS_[[Check Equiparado]:[Check Equiparado]]="Sí",IF(DATOS!BD$5="Sí",(1/DATOS_[[% anualiz]:[% anualiz]]),1)*IF(DATOS!BD$4="Sí",1/DATOS_[[% normaliz]:[% normaliz]],1)*(DATOS_[Conc.Sal.26])))))))),
0)</f>
        <v>0</v>
      </c>
      <c r="AJ67" s="196">
        <f t="array" ref="AJ67">IFERROR(
(MEDIAN((IF(DATOS_[[Sexo]:[Sexo]]=$B67,IF(DATOS_[[AGRUP. CLAS. PROF.]:[AGRUP. CLAS. PROF.]]=$B66,IF(DATOS_[[Check Periodo Ref.]:[Check Periodo Ref.]]="Dentro",IF(DATOS_[[Check Equiparado]:[Check Equiparado]]="Sí",IF(DATOS!BE$5="Sí",(1/DATOS_[[% anualiz]:[% anualiz]]),1)*IF(DATOS!BE$4="Sí",1/DATOS_[[% normaliz]:[% normaliz]],1)*(DATOS_[Conc.Sal.27])))))))),
0)</f>
        <v>0</v>
      </c>
      <c r="AK67" s="196">
        <f t="array" ref="AK67">IFERROR(
(MEDIAN((IF(DATOS_[[Sexo]:[Sexo]]=$B67,IF(DATOS_[[AGRUP. CLAS. PROF.]:[AGRUP. CLAS. PROF.]]=$B66,IF(DATOS_[[Check Periodo Ref.]:[Check Periodo Ref.]]="Dentro",IF(DATOS_[[Check Equiparado]:[Check Equiparado]]="Sí",IF(DATOS!BF$5="Sí",(1/DATOS_[[% anualiz]:[% anualiz]]),1)*IF(DATOS!BF$4="Sí",1/DATOS_[[% normaliz]:[% normaliz]],1)*(DATOS_[Conc.Sal.28])))))))),
0)</f>
        <v>0</v>
      </c>
      <c r="AL67" s="196">
        <f t="array" ref="AL67">IFERROR(
(MEDIAN((IF(DATOS_[[Sexo]:[Sexo]]=$B67,IF(DATOS_[[AGRUP. CLAS. PROF.]:[AGRUP. CLAS. PROF.]]=$B66,IF(DATOS_[[Check Periodo Ref.]:[Check Periodo Ref.]]="Dentro",IF(DATOS_[[Check Equiparado]:[Check Equiparado]]="Sí",IF(DATOS!BG$5="Sí",(1/DATOS_[[% anualiz]:[% anualiz]]),1)*IF(DATOS!BG$4="Sí",1/DATOS_[[% normaliz]:[% normaliz]],1)*(DATOS_[Conc.Sal.29])))))))),
0)</f>
        <v>0</v>
      </c>
      <c r="AM67" s="196">
        <f t="array" ref="AM67">IFERROR(
(MEDIAN((IF(DATOS_[[Sexo]:[Sexo]]=$B67,IF(DATOS_[[AGRUP. CLAS. PROF.]:[AGRUP. CLAS. PROF.]]=$B66,IF(DATOS_[[Check Periodo Ref.]:[Check Periodo Ref.]]="Dentro",IF(DATOS_[[Check Equiparado]:[Check Equiparado]]="Sí",IF(DATOS!BH$5="Sí",(1/DATOS_[[% anualiz]:[% anualiz]]),1)*IF(DATOS!BH$4="Sí",1/DATOS_[[% normaliz]:[% normaliz]],1)*(DATOS_[Conc.Sal.30])))))))),
0)</f>
        <v>0</v>
      </c>
      <c r="AN67" s="195">
        <f t="array" ref="AN67">IFERROR(
MEDIAN(IF(DATOS_[Sexo]=$B67,IF(DATOS_[[AGRUP. CLAS. PROF.]:[AGRUP. CLAS. PROF.]]=$B66,IF(DATOS_[Check Equiparado]="Sí",IF(DATOS_[Check Periodo Ref.]="Dentro",DATOS_[Tot COMPL.SAL Eq],FALSE))))),
0)</f>
        <v>0</v>
      </c>
      <c r="AO67" s="172">
        <f t="array" ref="AO67">IFERROR(
MEDIAN(IF(DATOS_[Sexo]=$B67,IF(DATOS_[[AGRUP. CLAS. PROF.]:[AGRUP. CLAS. PROF.]]=$B66,IF(DATOS_[Check Equiparado]="Sí",IF(DATOS_[Check Periodo Ref.]="Dentro",DATOS_[TOTAL SALARIO Eq],FALSE))))),
0)</f>
        <v>0</v>
      </c>
      <c r="AP67" s="173">
        <f t="array" ref="AP67">IFERROR(
(MEDIAN((IF(DATOS_[[Sexo]:[Sexo]]=$B67,IF(DATOS_[[AGRUP. CLAS. PROF.]:[AGRUP. CLAS. PROF.]]=$B66,IF(DATOS_[[Check Periodo Ref.]:[Check Periodo Ref.]]="Dentro",IF(DATOS_[[Check Equiparado]:[Check Equiparado]]="Sí",IF(DATOS!BW$5="Sí",(1/DATOS_[[% anualiz]:[% anualiz]]),1)*IF(DATOS!BW$4="Sí",1/DATOS_[[% normaliz]:[% normaliz]],1)*(DATOS_[C.Extra.01])))))))),
0)</f>
        <v>0</v>
      </c>
      <c r="AQ67" s="173">
        <f t="array" ref="AQ67">IFERROR(
(MEDIAN((IF(DATOS_[[Sexo]:[Sexo]]=$B67,IF(DATOS_[[AGRUP. CLAS. PROF.]:[AGRUP. CLAS. PROF.]]=$B66,IF(DATOS_[[Check Periodo Ref.]:[Check Periodo Ref.]]="Dentro",IF(DATOS_[[Check Equiparado]:[Check Equiparado]]="Sí",IF(DATOS!CB$5="Sí",(1/DATOS_[[% anualiz]:[% anualiz]]),1)*IF(DATOS!CB$4="Sí",1/DATOS_[[% normaliz]:[% normaliz]],1)*(DATOS_[C.Extra.06])))))))),
0)</f>
        <v>0</v>
      </c>
      <c r="AR67" s="173">
        <f t="array" ref="AR67">IFERROR(
(MEDIAN((IF(DATOS_[[Sexo]:[Sexo]]=$B67,IF(DATOS_[[AGRUP. CLAS. PROF.]:[AGRUP. CLAS. PROF.]]=$B66,IF(DATOS_[[Check Periodo Ref.]:[Check Periodo Ref.]]="Dentro",IF(DATOS_[[Check Equiparado]:[Check Equiparado]]="Sí",IF(DATOS!CC$5="Sí",(1/DATOS_[[% anualiz]:[% anualiz]]),1)*IF(DATOS!CC$4="Sí",1/DATOS_[[% normaliz]:[% normaliz]],1)*(DATOS_[C.Extra.07])))))))),
0)</f>
        <v>0</v>
      </c>
      <c r="AS67" s="173">
        <f t="array" ref="AS67">IFERROR(
(MEDIAN((IF(DATOS_[[Sexo]:[Sexo]]=$B67,IF(DATOS_[[AGRUP. CLAS. PROF.]:[AGRUP. CLAS. PROF.]]=$B66,IF(DATOS_[[Check Periodo Ref.]:[Check Periodo Ref.]]="Dentro",IF(DATOS_[[Check Equiparado]:[Check Equiparado]]="Sí",IF(DATOS!CD$5="Sí",(1/DATOS_[[% anualiz]:[% anualiz]]),1)*IF(DATOS!CD$4="Sí",1/DATOS_[[% normaliz]:[% normaliz]],1)*(DATOS_[C.Extra.08])))))))),
0)</f>
        <v>0</v>
      </c>
      <c r="AT67" s="173">
        <f t="array" ref="AT67">IFERROR(
(MEDIAN((IF(DATOS_[[Sexo]:[Sexo]]=$B67,IF(DATOS_[[AGRUP. CLAS. PROF.]:[AGRUP. CLAS. PROF.]]=$B66,IF(DATOS_[[Check Periodo Ref.]:[Check Periodo Ref.]]="Dentro",IF(DATOS_[[Check Equiparado]:[Check Equiparado]]="Sí",IF(DATOS!CG$5="Sí",(1/DATOS_[[% anualiz]:[% anualiz]]),1)*IF(DATOS!CG$4="Sí",1/DATOS_[[% normaliz]:[% normaliz]],1)*(DATOS_[C.Extra.11])))))))),
0)</f>
        <v>0</v>
      </c>
      <c r="AU67" s="197">
        <f t="array" ref="AU67">IFERROR(
MEDIAN(IF(DATOS_[Sexo]=$B67,IF(DATOS_[[AGRUP. CLAS. PROF.]:[AGRUP. CLAS. PROF.]]=$B66,IF(DATOS_[Check Equiparado]="Sí",IF(DATOS_[Check Periodo Ref.]="Dentro",DATOS_[Tot Extrasalarial Eq],FALSE))))),
0)</f>
        <v>0</v>
      </c>
      <c r="AV67" s="175">
        <f t="array" ref="AV67">IFERROR(
MEDIAN(IF(DATOS_[Sexo]=$B67,IF(DATOS_[[AGRUP. CLAS. PROF.]:[AGRUP. CLAS. PROF.]]=$B66,IF(DATOS_[Check Equiparado]="Sí",IF(DATOS_[Check Periodo Ref.]="Dentro",DATOS_[TOTAL Retrib Eq],FALSE))))),
0)</f>
        <v>0</v>
      </c>
    </row>
    <row r="68" spans="1:48" hidden="1" x14ac:dyDescent="0.25">
      <c r="A68" s="133" t="str">
        <f t="shared" ref="A68" si="74">+A67</f>
        <v>[ocultar]</v>
      </c>
      <c r="B68" s="202" t="s">
        <v>521</v>
      </c>
      <c r="C68" s="203">
        <f t="array" ref="C68">SUM(IF($B68=DATOS_[Sexo],
IF($B66=DATOS_[AGRUP. CLAS. PROF.],
IF("Dentro"=DATOS_[Check Periodo Ref.],
1/(COUNTIFS(DATOS_[Sexo],$B68,DATOS_[AGRUP. CLAS. PROF.],$B66,DATOS_[Check Periodo Ref.],"Dentro",DATOS_[id/cod],DATOS_[id/cod]))))))</f>
        <v>0</v>
      </c>
      <c r="D68" s="204">
        <f>COUNTIFS(DATOS_[AGRUP. CLAS. PROF.],$B66,DATOS_[Sexo],$B68,DATOS_[Check Periodo Ref.],"Dentro")</f>
        <v>0</v>
      </c>
      <c r="E68" s="204">
        <f>COUNTIFS(DATOS_[AGRUP. CLAS. PROF.],$B66,DATOS_[Sexo],$B68,DATOS_[Check Periodo Ref.],"Dentro",DATOS_[Check Nº SC Norm],"Sí")</f>
        <v>0</v>
      </c>
      <c r="F68" s="204">
        <f>COUNTIFS(DATOS_[AGRUP. CLAS. PROF.],$B66,DATOS_[Sexo],$B68,DATOS_[Check Periodo Ref.],"Dentro",DATOS_[Check Nº SC Anualiz],"Sí")</f>
        <v>0</v>
      </c>
      <c r="G68" s="204">
        <f>COUNTIFS(DATOS_[AGRUP. CLAS. PROF.],$B66,DATOS_[Sexo],$B68,DATOS_[Check Periodo Ref.],"Dentro",DATOS_[Check Nº SC Norm y Anualiz],"Sí")</f>
        <v>0</v>
      </c>
      <c r="H68" s="204">
        <f>COUNTIFS(DATOS_[AGRUP. CLAS. PROF.],$B66,DATOS_[Sexo],$B68,DATOS_[Check Periodo Ref.],"Dentro",DATOS_[Check Equiparación],"Sí")</f>
        <v>0</v>
      </c>
      <c r="I68" s="195" cm="1">
        <f t="array" ref="I68">IFERROR(
MEDIAN(IF(DATOS_[Sexo]=$B68,IF(DATOS_[[AGRUP. CLAS. PROF.]:[AGRUP. CLAS. PROF.]]=$B66,IF(DATOS_[Check Equiparado]="Sí",IF(DATOS_[Check Periodo Ref.]="Dentro",DATOS_[SALARIO BASE Eq],FALSE))))),
0)</f>
        <v>0</v>
      </c>
      <c r="J68" s="196">
        <f t="array" ref="J68">IFERROR(
(MEDIAN((IF(DATOS_[[Sexo]:[Sexo]]=$B68,IF(DATOS_[[AGRUP. CLAS. PROF.]:[AGRUP. CLAS. PROF.]]=$B66,IF(DATOS_[[Check Periodo Ref.]:[Check Periodo Ref.]]="Dentro",IF(DATOS_[[Check Equiparado]:[Check Equiparado]]="Sí",IF(DATOS!AE$5="Sí",(1/DATOS_[[% anualiz]:[% anualiz]]),1)*IF(DATOS!AE$4="Sí",1/DATOS_[[% normaliz]:[% normaliz]],1)*(DATOS_[Conc.Sal.01])))))))),
0)</f>
        <v>0</v>
      </c>
      <c r="K68" s="196">
        <f t="array" ref="K68">IFERROR(
(MEDIAN((IF(DATOS_[[Sexo]:[Sexo]]=$B68,IF(DATOS_[[AGRUP. CLAS. PROF.]:[AGRUP. CLAS. PROF.]]=$B66,IF(DATOS_[[Check Periodo Ref.]:[Check Periodo Ref.]]="Dentro",IF(DATOS_[[Check Equiparado]:[Check Equiparado]]="Sí",IF(DATOS!AF$5="Sí",(1/DATOS_[[% anualiz]:[% anualiz]]),1)*IF(DATOS!AF$4="Sí",1/DATOS_[[% normaliz]:[% normaliz]],1)*(DATOS_[Conc.Sal.02])))))))),
0)</f>
        <v>0</v>
      </c>
      <c r="L68" s="196">
        <f t="array" ref="L68">IFERROR(
(MEDIAN((IF(DATOS_[[Sexo]:[Sexo]]=$B68,IF(DATOS_[[AGRUP. CLAS. PROF.]:[AGRUP. CLAS. PROF.]]=$B66,IF(DATOS_[[Check Periodo Ref.]:[Check Periodo Ref.]]="Dentro",IF(DATOS_[[Check Equiparado]:[Check Equiparado]]="Sí",IF(DATOS!AG$5="Sí",(1/DATOS_[[% anualiz]:[% anualiz]]),1)*IF(DATOS!AG$4="Sí",1/DATOS_[[% normaliz]:[% normaliz]],1)*(DATOS_[Conc.Sal.03])))))))),
0)</f>
        <v>0</v>
      </c>
      <c r="M68" s="196">
        <f t="array" ref="M68">IFERROR(
(MEDIAN((IF(DATOS_[[Sexo]:[Sexo]]=$B68,IF(DATOS_[[AGRUP. CLAS. PROF.]:[AGRUP. CLAS. PROF.]]=$B66,IF(DATOS_[[Check Periodo Ref.]:[Check Periodo Ref.]]="Dentro",IF(DATOS_[[Check Equiparado]:[Check Equiparado]]="Sí",IF(DATOS!AH$5="Sí",(1/DATOS_[[% anualiz]:[% anualiz]]),1)*IF(DATOS!AH$4="Sí",1/DATOS_[[% normaliz]:[% normaliz]],1)*(DATOS_[Conc.Sal.04])))))))),
0)</f>
        <v>0</v>
      </c>
      <c r="N68" s="196">
        <f t="array" ref="N68">IFERROR(
(MEDIAN((IF(DATOS_[[Sexo]:[Sexo]]=$B68,IF(DATOS_[[AGRUP. CLAS. PROF.]:[AGRUP. CLAS. PROF.]]=$B66,IF(DATOS_[[Check Periodo Ref.]:[Check Periodo Ref.]]="Dentro",IF(DATOS_[[Check Equiparado]:[Check Equiparado]]="Sí",IF(DATOS!AI$5="Sí",(1/DATOS_[[% anualiz]:[% anualiz]]),1)*IF(DATOS!AI$4="Sí",1/DATOS_[[% normaliz]:[% normaliz]],1)*(DATOS_[Conc.Sal.05])))))))),
0)</f>
        <v>0</v>
      </c>
      <c r="O68" s="196">
        <f t="array" ref="O68">IFERROR(
(MEDIAN((IF(DATOS_[[Sexo]:[Sexo]]=$B68,IF(DATOS_[[AGRUP. CLAS. PROF.]:[AGRUP. CLAS. PROF.]]=$B66,IF(DATOS_[[Check Periodo Ref.]:[Check Periodo Ref.]]="Dentro",IF(DATOS_[[Check Equiparado]:[Check Equiparado]]="Sí",IF(DATOS!AJ$5="Sí",(1/DATOS_[[% anualiz]:[% anualiz]]),1)*IF(DATOS!AJ$4="Sí",1/DATOS_[[% normaliz]:[% normaliz]],1)*(DATOS_[Conc.Sal.06])))))))),
0)</f>
        <v>0</v>
      </c>
      <c r="P68" s="196">
        <f t="array" ref="P68">IFERROR(
(MEDIAN((IF(DATOS_[[Sexo]:[Sexo]]=$B68,IF(DATOS_[[AGRUP. CLAS. PROF.]:[AGRUP. CLAS. PROF.]]=$B66,IF(DATOS_[[Check Periodo Ref.]:[Check Periodo Ref.]]="Dentro",IF(DATOS_[[Check Equiparado]:[Check Equiparado]]="Sí",IF(DATOS!AK$5="Sí",(1/DATOS_[[% anualiz]:[% anualiz]]),1)*IF(DATOS!AK$4="Sí",1/DATOS_[[% normaliz]:[% normaliz]],1)*(DATOS_[Conc.Sal.07])))))))),
0)</f>
        <v>0</v>
      </c>
      <c r="Q68" s="196">
        <f t="array" ref="Q68">IFERROR(
(MEDIAN((IF(DATOS_[[Sexo]:[Sexo]]=$B68,IF(DATOS_[[AGRUP. CLAS. PROF.]:[AGRUP. CLAS. PROF.]]=$B66,IF(DATOS_[[Check Periodo Ref.]:[Check Periodo Ref.]]="Dentro",IF(DATOS_[[Check Equiparado]:[Check Equiparado]]="Sí",IF(DATOS!AL$5="Sí",(1/DATOS_[[% anualiz]:[% anualiz]]),1)*IF(DATOS!AL$4="Sí",1/DATOS_[[% normaliz]:[% normaliz]],1)*(DATOS_[Conc.Sal.08])))))))),
0)</f>
        <v>0</v>
      </c>
      <c r="R68" s="196">
        <f t="array" ref="R68">IFERROR(
(MEDIAN((IF(DATOS_[[Sexo]:[Sexo]]=$B68,IF(DATOS_[[AGRUP. CLAS. PROF.]:[AGRUP. CLAS. PROF.]]=$B66,IF(DATOS_[[Check Periodo Ref.]:[Check Periodo Ref.]]="Dentro",IF(DATOS_[[Check Equiparado]:[Check Equiparado]]="Sí",IF(DATOS!AM$5="Sí",(1/DATOS_[[% anualiz]:[% anualiz]]),1)*IF(DATOS!AM$4="Sí",1/DATOS_[[% normaliz]:[% normaliz]],1)*(DATOS_[Conc.Sal.09])))))))),
0)</f>
        <v>0</v>
      </c>
      <c r="S68" s="196">
        <f t="array" ref="S68">IFERROR(
(MEDIAN((IF(DATOS_[[Sexo]:[Sexo]]=$B68,IF(DATOS_[[AGRUP. CLAS. PROF.]:[AGRUP. CLAS. PROF.]]=$B66,IF(DATOS_[[Check Periodo Ref.]:[Check Periodo Ref.]]="Dentro",IF(DATOS_[[Check Equiparado]:[Check Equiparado]]="Sí",IF(DATOS!AN$5="Sí",(1/DATOS_[[% anualiz]:[% anualiz]]),1)*IF(DATOS!AN$4="Sí",1/DATOS_[[% normaliz]:[% normaliz]],1)*(DATOS_[Conc.Sal.10])))))))),
0)</f>
        <v>0</v>
      </c>
      <c r="T68" s="196">
        <f t="array" ref="T68">IFERROR(
(MEDIAN((IF(DATOS_[[Sexo]:[Sexo]]=$B68,IF(DATOS_[[AGRUP. CLAS. PROF.]:[AGRUP. CLAS. PROF.]]=$B66,IF(DATOS_[[Check Periodo Ref.]:[Check Periodo Ref.]]="Dentro",IF(DATOS_[[Check Equiparado]:[Check Equiparado]]="Sí",IF(DATOS!AO$5="Sí",(1/DATOS_[[% anualiz]:[% anualiz]]),1)*IF(DATOS!AO$4="Sí",1/DATOS_[[% normaliz]:[% normaliz]],1)*(DATOS_[Conc.Sal.11])))))))),
0)</f>
        <v>0</v>
      </c>
      <c r="U68" s="196">
        <f t="array" ref="U68">IFERROR(
(MEDIAN((IF(DATOS_[[Sexo]:[Sexo]]=$B68,IF(DATOS_[[AGRUP. CLAS. PROF.]:[AGRUP. CLAS. PROF.]]=$B66,IF(DATOS_[[Check Periodo Ref.]:[Check Periodo Ref.]]="Dentro",IF(DATOS_[[Check Equiparado]:[Check Equiparado]]="Sí",IF(DATOS!AP$5="Sí",(1/DATOS_[[% anualiz]:[% anualiz]]),1)*IF(DATOS!AP$4="Sí",1/DATOS_[[% normaliz]:[% normaliz]],1)*(DATOS_[Conc.Sal.12])))))))),
0)</f>
        <v>0</v>
      </c>
      <c r="V68" s="196">
        <f t="array" ref="V68">IFERROR(
(MEDIAN((IF(DATOS_[[Sexo]:[Sexo]]=$B68,IF(DATOS_[[AGRUP. CLAS. PROF.]:[AGRUP. CLAS. PROF.]]=$B66,IF(DATOS_[[Check Periodo Ref.]:[Check Periodo Ref.]]="Dentro",IF(DATOS_[[Check Equiparado]:[Check Equiparado]]="Sí",IF(DATOS!AQ$5="Sí",(1/DATOS_[[% anualiz]:[% anualiz]]),1)*IF(DATOS!AQ$4="Sí",1/DATOS_[[% normaliz]:[% normaliz]],1)*(DATOS_[Conc.Sal.13])))))))),
0)</f>
        <v>0</v>
      </c>
      <c r="W68" s="196">
        <f t="array" ref="W68">IFERROR(
(MEDIAN((IF(DATOS_[[Sexo]:[Sexo]]=$B68,IF(DATOS_[[AGRUP. CLAS. PROF.]:[AGRUP. CLAS. PROF.]]=$B66,IF(DATOS_[[Check Periodo Ref.]:[Check Periodo Ref.]]="Dentro",IF(DATOS_[[Check Equiparado]:[Check Equiparado]]="Sí",IF(DATOS!AR$5="Sí",(1/DATOS_[[% anualiz]:[% anualiz]]),1)*IF(DATOS!AR$4="Sí",1/DATOS_[[% normaliz]:[% normaliz]],1)*(DATOS_[Conc.Sal.14])))))))),
0)</f>
        <v>0</v>
      </c>
      <c r="X68" s="196">
        <f t="array" ref="X68">IFERROR(
(MEDIAN((IF(DATOS_[[Sexo]:[Sexo]]=$B68,IF(DATOS_[[AGRUP. CLAS. PROF.]:[AGRUP. CLAS. PROF.]]=$B66,IF(DATOS_[[Check Periodo Ref.]:[Check Periodo Ref.]]="Dentro",IF(DATOS_[[Check Equiparado]:[Check Equiparado]]="Sí",IF(DATOS!AS$5="Sí",(1/DATOS_[[% anualiz]:[% anualiz]]),1)*IF(DATOS!AS$4="Sí",1/DATOS_[[% normaliz]:[% normaliz]],1)*(DATOS_[Conc.Sal.15])))))))),
0)</f>
        <v>0</v>
      </c>
      <c r="Y68" s="196">
        <f t="array" ref="Y68">IFERROR(
(MEDIAN((IF(DATOS_[[Sexo]:[Sexo]]=$B68,IF(DATOS_[[AGRUP. CLAS. PROF.]:[AGRUP. CLAS. PROF.]]=$B66,IF(DATOS_[[Check Periodo Ref.]:[Check Periodo Ref.]]="Dentro",IF(DATOS_[[Check Equiparado]:[Check Equiparado]]="Sí",IF(DATOS!AT$5="Sí",(1/DATOS_[[% anualiz]:[% anualiz]]),1)*IF(DATOS!AT$4="Sí",1/DATOS_[[% normaliz]:[% normaliz]],1)*(DATOS_[Conc.Sal.16])))))))),
0)</f>
        <v>0</v>
      </c>
      <c r="Z68" s="196">
        <f t="array" ref="Z68">IFERROR(
(MEDIAN((IF(DATOS_[[Sexo]:[Sexo]]=$B68,IF(DATOS_[[AGRUP. CLAS. PROF.]:[AGRUP. CLAS. PROF.]]=$B66,IF(DATOS_[[Check Periodo Ref.]:[Check Periodo Ref.]]="Dentro",IF(DATOS_[[Check Equiparado]:[Check Equiparado]]="Sí",IF(DATOS!AU$5="Sí",(1/DATOS_[[% anualiz]:[% anualiz]]),1)*IF(DATOS!AU$4="Sí",1/DATOS_[[% normaliz]:[% normaliz]],1)*(DATOS_[Conc.Sal.17])))))))),
0)</f>
        <v>0</v>
      </c>
      <c r="AA68" s="196">
        <f t="array" ref="AA68">IFERROR(
(MEDIAN((IF(DATOS_[[Sexo]:[Sexo]]=$B68,IF(DATOS_[[AGRUP. CLAS. PROF.]:[AGRUP. CLAS. PROF.]]=$B66,IF(DATOS_[[Check Periodo Ref.]:[Check Periodo Ref.]]="Dentro",IF(DATOS_[[Check Equiparado]:[Check Equiparado]]="Sí",IF(DATOS!AV$5="Sí",(1/DATOS_[[% anualiz]:[% anualiz]]),1)*IF(DATOS!AV$4="Sí",1/DATOS_[[% normaliz]:[% normaliz]],1)*(DATOS_[Conc.Sal.18])))))))),
0)</f>
        <v>0</v>
      </c>
      <c r="AB68" s="196">
        <f t="array" ref="AB68">IFERROR(
(MEDIAN((IF(DATOS_[[Sexo]:[Sexo]]=$B68,IF(DATOS_[[AGRUP. CLAS. PROF.]:[AGRUP. CLAS. PROF.]]=$B66,IF(DATOS_[[Check Periodo Ref.]:[Check Periodo Ref.]]="Dentro",IF(DATOS_[[Check Equiparado]:[Check Equiparado]]="Sí",IF(DATOS!AW$5="Sí",(1/DATOS_[[% anualiz]:[% anualiz]]),1)*IF(DATOS!AW$4="Sí",1/DATOS_[[% normaliz]:[% normaliz]],1)*(DATOS_[Conc.Sal.19])))))))),
0)</f>
        <v>0</v>
      </c>
      <c r="AC68" s="196">
        <f t="array" ref="AC68">IFERROR(
(MEDIAN((IF(DATOS_[[Sexo]:[Sexo]]=$B68,IF(DATOS_[[AGRUP. CLAS. PROF.]:[AGRUP. CLAS. PROF.]]=$B66,IF(DATOS_[[Check Periodo Ref.]:[Check Periodo Ref.]]="Dentro",IF(DATOS_[[Check Equiparado]:[Check Equiparado]]="Sí",IF(DATOS!AX$5="Sí",(1/DATOS_[[% anualiz]:[% anualiz]]),1)*IF(DATOS!AX$4="Sí",1/DATOS_[[% normaliz]:[% normaliz]],1)*(DATOS_[Conc.Sal.20])))))))),
0)</f>
        <v>0</v>
      </c>
      <c r="AD68" s="196">
        <f t="array" ref="AD68">IFERROR(
(MEDIAN((IF(DATOS_[[Sexo]:[Sexo]]=$B68,IF(DATOS_[[AGRUP. CLAS. PROF.]:[AGRUP. CLAS. PROF.]]=$B66,IF(DATOS_[[Check Periodo Ref.]:[Check Periodo Ref.]]="Dentro",IF(DATOS_[[Check Equiparado]:[Check Equiparado]]="Sí",IF(DATOS!AY$5="Sí",(1/DATOS_[[% anualiz]:[% anualiz]]),1)*IF(DATOS!AY$4="Sí",1/DATOS_[[% normaliz]:[% normaliz]],1)*(DATOS_[Conc.Sal.21])))))))),
0)</f>
        <v>0</v>
      </c>
      <c r="AE68" s="196">
        <f t="array" ref="AE68">IFERROR(
(MEDIAN((IF(DATOS_[[Sexo]:[Sexo]]=$B68,IF(DATOS_[[AGRUP. CLAS. PROF.]:[AGRUP. CLAS. PROF.]]=$B66,IF(DATOS_[[Check Periodo Ref.]:[Check Periodo Ref.]]="Dentro",IF(DATOS_[[Check Equiparado]:[Check Equiparado]]="Sí",IF(DATOS!AZ$5="Sí",(1/DATOS_[[% anualiz]:[% anualiz]]),1)*IF(DATOS!AZ$4="Sí",1/DATOS_[[% normaliz]:[% normaliz]],1)*(DATOS_[Conc.Sal.22])))))))),
0)</f>
        <v>0</v>
      </c>
      <c r="AF68" s="196">
        <f t="array" ref="AF68">IFERROR(
(MEDIAN((IF(DATOS_[[Sexo]:[Sexo]]=$B68,IF(DATOS_[[AGRUP. CLAS. PROF.]:[AGRUP. CLAS. PROF.]]=$B66,IF(DATOS_[[Check Periodo Ref.]:[Check Periodo Ref.]]="Dentro",IF(DATOS_[[Check Equiparado]:[Check Equiparado]]="Sí",IF(DATOS!BA$5="Sí",(1/DATOS_[[% anualiz]:[% anualiz]]),1)*IF(DATOS!BA$4="Sí",1/DATOS_[[% normaliz]:[% normaliz]],1)*(DATOS_[Conc.Sal.23])))))))),
0)</f>
        <v>0</v>
      </c>
      <c r="AG68" s="196">
        <f t="array" ref="AG68">IFERROR(
(MEDIAN((IF(DATOS_[[Sexo]:[Sexo]]=$B68,IF(DATOS_[[AGRUP. CLAS. PROF.]:[AGRUP. CLAS. PROF.]]=$B66,IF(DATOS_[[Check Periodo Ref.]:[Check Periodo Ref.]]="Dentro",IF(DATOS_[[Check Equiparado]:[Check Equiparado]]="Sí",IF(DATOS!BB$5="Sí",(1/DATOS_[[% anualiz]:[% anualiz]]),1)*IF(DATOS!BB$4="Sí",1/DATOS_[[% normaliz]:[% normaliz]],1)*(DATOS_[Conc.Sal.24])))))))),
0)</f>
        <v>0</v>
      </c>
      <c r="AH68" s="196">
        <f t="array" ref="AH68">IFERROR(
(MEDIAN((IF(DATOS_[[Sexo]:[Sexo]]=$B68,IF(DATOS_[[AGRUP. CLAS. PROF.]:[AGRUP. CLAS. PROF.]]=$B66,IF(DATOS_[[Check Periodo Ref.]:[Check Periodo Ref.]]="Dentro",IF(DATOS_[[Check Equiparado]:[Check Equiparado]]="Sí",IF(DATOS!BC$5="Sí",(1/DATOS_[[% anualiz]:[% anualiz]]),1)*IF(DATOS!BC$4="Sí",1/DATOS_[[% normaliz]:[% normaliz]],1)*(DATOS_[Conc.Sal.25])))))))),
0)</f>
        <v>0</v>
      </c>
      <c r="AI68" s="196">
        <f t="array" ref="AI68">IFERROR(
(MEDIAN((IF(DATOS_[[Sexo]:[Sexo]]=$B68,IF(DATOS_[[AGRUP. CLAS. PROF.]:[AGRUP. CLAS. PROF.]]=$B66,IF(DATOS_[[Check Periodo Ref.]:[Check Periodo Ref.]]="Dentro",IF(DATOS_[[Check Equiparado]:[Check Equiparado]]="Sí",IF(DATOS!BD$5="Sí",(1/DATOS_[[% anualiz]:[% anualiz]]),1)*IF(DATOS!BD$4="Sí",1/DATOS_[[% normaliz]:[% normaliz]],1)*(DATOS_[Conc.Sal.26])))))))),
0)</f>
        <v>0</v>
      </c>
      <c r="AJ68" s="196">
        <f t="array" ref="AJ68">IFERROR(
(MEDIAN((IF(DATOS_[[Sexo]:[Sexo]]=$B68,IF(DATOS_[[AGRUP. CLAS. PROF.]:[AGRUP. CLAS. PROF.]]=$B66,IF(DATOS_[[Check Periodo Ref.]:[Check Periodo Ref.]]="Dentro",IF(DATOS_[[Check Equiparado]:[Check Equiparado]]="Sí",IF(DATOS!BE$5="Sí",(1/DATOS_[[% anualiz]:[% anualiz]]),1)*IF(DATOS!BE$4="Sí",1/DATOS_[[% normaliz]:[% normaliz]],1)*(DATOS_[Conc.Sal.27])))))))),
0)</f>
        <v>0</v>
      </c>
      <c r="AK68" s="196">
        <f t="array" ref="AK68">IFERROR(
(MEDIAN((IF(DATOS_[[Sexo]:[Sexo]]=$B68,IF(DATOS_[[AGRUP. CLAS. PROF.]:[AGRUP. CLAS. PROF.]]=$B66,IF(DATOS_[[Check Periodo Ref.]:[Check Periodo Ref.]]="Dentro",IF(DATOS_[[Check Equiparado]:[Check Equiparado]]="Sí",IF(DATOS!BF$5="Sí",(1/DATOS_[[% anualiz]:[% anualiz]]),1)*IF(DATOS!BF$4="Sí",1/DATOS_[[% normaliz]:[% normaliz]],1)*(DATOS_[Conc.Sal.28])))))))),
0)</f>
        <v>0</v>
      </c>
      <c r="AL68" s="196">
        <f t="array" ref="AL68">IFERROR(
(MEDIAN((IF(DATOS_[[Sexo]:[Sexo]]=$B68,IF(DATOS_[[AGRUP. CLAS. PROF.]:[AGRUP. CLAS. PROF.]]=$B66,IF(DATOS_[[Check Periodo Ref.]:[Check Periodo Ref.]]="Dentro",IF(DATOS_[[Check Equiparado]:[Check Equiparado]]="Sí",IF(DATOS!BG$5="Sí",(1/DATOS_[[% anualiz]:[% anualiz]]),1)*IF(DATOS!BG$4="Sí",1/DATOS_[[% normaliz]:[% normaliz]],1)*(DATOS_[Conc.Sal.29])))))))),
0)</f>
        <v>0</v>
      </c>
      <c r="AM68" s="196">
        <f t="array" ref="AM68">IFERROR(
(MEDIAN((IF(DATOS_[[Sexo]:[Sexo]]=$B68,IF(DATOS_[[AGRUP. CLAS. PROF.]:[AGRUP. CLAS. PROF.]]=$B66,IF(DATOS_[[Check Periodo Ref.]:[Check Periodo Ref.]]="Dentro",IF(DATOS_[[Check Equiparado]:[Check Equiparado]]="Sí",IF(DATOS!BH$5="Sí",(1/DATOS_[[% anualiz]:[% anualiz]]),1)*IF(DATOS!BH$4="Sí",1/DATOS_[[% normaliz]:[% normaliz]],1)*(DATOS_[Conc.Sal.30])))))))),
0)</f>
        <v>0</v>
      </c>
      <c r="AN68" s="195">
        <f t="array" ref="AN68">IFERROR(
MEDIAN(IF(DATOS_[Sexo]=$B68,IF(DATOS_[[AGRUP. CLAS. PROF.]:[AGRUP. CLAS. PROF.]]=$B66,IF(DATOS_[Check Equiparado]="Sí",IF(DATOS_[Check Periodo Ref.]="Dentro",DATOS_[Tot COMPL.SAL Eq],FALSE))))),
0)</f>
        <v>0</v>
      </c>
      <c r="AO68" s="172">
        <f t="array" ref="AO68">IFERROR(
MEDIAN(IF(DATOS_[Sexo]=$B68,IF(DATOS_[[AGRUP. CLAS. PROF.]:[AGRUP. CLAS. PROF.]]=$B66,IF(DATOS_[Check Equiparado]="Sí",IF(DATOS_[Check Periodo Ref.]="Dentro",DATOS_[TOTAL SALARIO Eq],FALSE))))),
0)</f>
        <v>0</v>
      </c>
      <c r="AP68" s="173">
        <f t="array" ref="AP68">IFERROR(
(MEDIAN((IF(DATOS_[[Sexo]:[Sexo]]=$B68,IF(DATOS_[[AGRUP. CLAS. PROF.]:[AGRUP. CLAS. PROF.]]=$B66,IF(DATOS_[[Check Periodo Ref.]:[Check Periodo Ref.]]="Dentro",IF(DATOS_[[Check Equiparado]:[Check Equiparado]]="Sí",IF(DATOS!BW$5="Sí",(1/DATOS_[[% anualiz]:[% anualiz]]),1)*IF(DATOS!BW$4="Sí",1/DATOS_[[% normaliz]:[% normaliz]],1)*(DATOS_[C.Extra.01])))))))),
0)</f>
        <v>0</v>
      </c>
      <c r="AQ68" s="173">
        <f t="array" ref="AQ68">IFERROR(
(MEDIAN((IF(DATOS_[[Sexo]:[Sexo]]=$B68,IF(DATOS_[[AGRUP. CLAS. PROF.]:[AGRUP. CLAS. PROF.]]=$B66,IF(DATOS_[[Check Periodo Ref.]:[Check Periodo Ref.]]="Dentro",IF(DATOS_[[Check Equiparado]:[Check Equiparado]]="Sí",IF(DATOS!CB$5="Sí",(1/DATOS_[[% anualiz]:[% anualiz]]),1)*IF(DATOS!CB$4="Sí",1/DATOS_[[% normaliz]:[% normaliz]],1)*(DATOS_[C.Extra.06])))))))),
0)</f>
        <v>0</v>
      </c>
      <c r="AR68" s="173">
        <f t="array" ref="AR68">IFERROR(
(MEDIAN((IF(DATOS_[[Sexo]:[Sexo]]=$B68,IF(DATOS_[[AGRUP. CLAS. PROF.]:[AGRUP. CLAS. PROF.]]=$B66,IF(DATOS_[[Check Periodo Ref.]:[Check Periodo Ref.]]="Dentro",IF(DATOS_[[Check Equiparado]:[Check Equiparado]]="Sí",IF(DATOS!CC$5="Sí",(1/DATOS_[[% anualiz]:[% anualiz]]),1)*IF(DATOS!CC$4="Sí",1/DATOS_[[% normaliz]:[% normaliz]],1)*(DATOS_[C.Extra.07])))))))),
0)</f>
        <v>0</v>
      </c>
      <c r="AS68" s="173">
        <f t="array" ref="AS68">IFERROR(
(MEDIAN((IF(DATOS_[[Sexo]:[Sexo]]=$B68,IF(DATOS_[[AGRUP. CLAS. PROF.]:[AGRUP. CLAS. PROF.]]=$B66,IF(DATOS_[[Check Periodo Ref.]:[Check Periodo Ref.]]="Dentro",IF(DATOS_[[Check Equiparado]:[Check Equiparado]]="Sí",IF(DATOS!CD$5="Sí",(1/DATOS_[[% anualiz]:[% anualiz]]),1)*IF(DATOS!CD$4="Sí",1/DATOS_[[% normaliz]:[% normaliz]],1)*(DATOS_[C.Extra.08])))))))),
0)</f>
        <v>0</v>
      </c>
      <c r="AT68" s="173">
        <f t="array" ref="AT68">IFERROR(
(MEDIAN((IF(DATOS_[[Sexo]:[Sexo]]=$B68,IF(DATOS_[[AGRUP. CLAS. PROF.]:[AGRUP. CLAS. PROF.]]=$B66,IF(DATOS_[[Check Periodo Ref.]:[Check Periodo Ref.]]="Dentro",IF(DATOS_[[Check Equiparado]:[Check Equiparado]]="Sí",IF(DATOS!CG$5="Sí",(1/DATOS_[[% anualiz]:[% anualiz]]),1)*IF(DATOS!CG$4="Sí",1/DATOS_[[% normaliz]:[% normaliz]],1)*(DATOS_[C.Extra.11])))))))),
0)</f>
        <v>0</v>
      </c>
      <c r="AU68" s="197">
        <f t="array" ref="AU68">IFERROR(
MEDIAN(IF(DATOS_[Sexo]=$B68,IF(DATOS_[[AGRUP. CLAS. PROF.]:[AGRUP. CLAS. PROF.]]=$B66,IF(DATOS_[Check Equiparado]="Sí",IF(DATOS_[Check Periodo Ref.]="Dentro",DATOS_[Tot Extrasalarial Eq],FALSE))))),
0)</f>
        <v>0</v>
      </c>
      <c r="AV68" s="175">
        <f t="array" ref="AV68">IFERROR(
MEDIAN(IF(DATOS_[Sexo]=$B68,IF(DATOS_[[AGRUP. CLAS. PROF.]:[AGRUP. CLAS. PROF.]]=$B66,IF(DATOS_[Check Equiparado]="Sí",IF(DATOS_[Check Periodo Ref.]="Dentro",DATOS_[TOTAL Retrib Eq],FALSE))))),
0)</f>
        <v>0</v>
      </c>
    </row>
    <row r="69" spans="1:48" ht="15.6" hidden="1" thickBot="1" x14ac:dyDescent="0.3">
      <c r="A69" s="133" t="str">
        <f t="shared" ref="A69" si="75">+A70</f>
        <v>[ocultar]</v>
      </c>
      <c r="B69" s="199" t="s">
        <v>252</v>
      </c>
      <c r="C69" s="200"/>
      <c r="D69" s="201"/>
      <c r="E69" s="201"/>
      <c r="F69" s="201"/>
      <c r="G69" s="201"/>
      <c r="H69" s="201"/>
      <c r="I69" s="189" t="str">
        <f t="shared" ref="I69:AV69" si="76">IFERROR((I70-I71)/I70,"")</f>
        <v/>
      </c>
      <c r="J69" s="190" t="str">
        <f t="shared" si="76"/>
        <v/>
      </c>
      <c r="K69" s="191" t="str">
        <f t="shared" si="76"/>
        <v/>
      </c>
      <c r="L69" s="191" t="str">
        <f t="shared" si="76"/>
        <v/>
      </c>
      <c r="M69" s="191" t="str">
        <f t="shared" si="76"/>
        <v/>
      </c>
      <c r="N69" s="192" t="str">
        <f t="shared" si="76"/>
        <v/>
      </c>
      <c r="O69" s="193" t="str">
        <f t="shared" si="76"/>
        <v/>
      </c>
      <c r="P69" s="193" t="str">
        <f t="shared" si="76"/>
        <v/>
      </c>
      <c r="Q69" s="193" t="str">
        <f t="shared" si="76"/>
        <v/>
      </c>
      <c r="R69" s="193" t="str">
        <f t="shared" si="76"/>
        <v/>
      </c>
      <c r="S69" s="193" t="str">
        <f t="shared" si="76"/>
        <v/>
      </c>
      <c r="T69" s="193" t="str">
        <f t="shared" si="76"/>
        <v/>
      </c>
      <c r="U69" s="193" t="str">
        <f t="shared" si="76"/>
        <v/>
      </c>
      <c r="V69" s="193" t="str">
        <f t="shared" si="76"/>
        <v/>
      </c>
      <c r="W69" s="193" t="str">
        <f t="shared" si="76"/>
        <v/>
      </c>
      <c r="X69" s="193" t="str">
        <f t="shared" si="76"/>
        <v/>
      </c>
      <c r="Y69" s="193" t="str">
        <f t="shared" si="76"/>
        <v/>
      </c>
      <c r="Z69" s="193" t="str">
        <f t="shared" si="76"/>
        <v/>
      </c>
      <c r="AA69" s="193" t="str">
        <f t="shared" si="76"/>
        <v/>
      </c>
      <c r="AB69" s="193" t="str">
        <f t="shared" si="76"/>
        <v/>
      </c>
      <c r="AC69" s="193" t="str">
        <f t="shared" si="76"/>
        <v/>
      </c>
      <c r="AD69" s="193" t="str">
        <f t="shared" si="76"/>
        <v/>
      </c>
      <c r="AE69" s="193" t="str">
        <f t="shared" si="76"/>
        <v/>
      </c>
      <c r="AF69" s="193" t="str">
        <f t="shared" si="76"/>
        <v/>
      </c>
      <c r="AG69" s="193" t="str">
        <f t="shared" si="76"/>
        <v/>
      </c>
      <c r="AH69" s="193" t="str">
        <f t="shared" si="76"/>
        <v/>
      </c>
      <c r="AI69" s="193" t="str">
        <f t="shared" si="76"/>
        <v/>
      </c>
      <c r="AJ69" s="193" t="str">
        <f t="shared" si="76"/>
        <v/>
      </c>
      <c r="AK69" s="193" t="str">
        <f t="shared" si="76"/>
        <v/>
      </c>
      <c r="AL69" s="193" t="str">
        <f t="shared" si="76"/>
        <v/>
      </c>
      <c r="AM69" s="193" t="str">
        <f t="shared" si="76"/>
        <v/>
      </c>
      <c r="AN69" s="189" t="str">
        <f t="shared" si="76"/>
        <v/>
      </c>
      <c r="AO69" s="162" t="str">
        <f t="shared" si="76"/>
        <v/>
      </c>
      <c r="AP69" s="163" t="str">
        <f t="shared" si="76"/>
        <v/>
      </c>
      <c r="AQ69" s="163" t="str">
        <f t="shared" si="76"/>
        <v/>
      </c>
      <c r="AR69" s="163" t="str">
        <f t="shared" si="76"/>
        <v/>
      </c>
      <c r="AS69" s="163" t="str">
        <f t="shared" si="76"/>
        <v/>
      </c>
      <c r="AT69" s="163" t="str">
        <f t="shared" si="76"/>
        <v/>
      </c>
      <c r="AU69" s="194" t="str">
        <f t="shared" si="76"/>
        <v/>
      </c>
      <c r="AV69" s="165" t="str">
        <f t="shared" si="76"/>
        <v/>
      </c>
    </row>
    <row r="70" spans="1:48" hidden="1" x14ac:dyDescent="0.25">
      <c r="A70" s="133" t="str">
        <f t="shared" ref="A70" si="77">+IF(C70+C71=0,"[ocultar]","")</f>
        <v>[ocultar]</v>
      </c>
      <c r="B70" s="202" t="s">
        <v>394</v>
      </c>
      <c r="C70" s="203">
        <f t="array" ref="C70">SUM(IF($B70=DATOS_[Sexo],
IF($B69=DATOS_[AGRUP. CLAS. PROF.],
IF("Dentro"=DATOS_[Check Periodo Ref.],
1/(COUNTIFS(DATOS_[Sexo],$B70,DATOS_[AGRUP. CLAS. PROF.],$B69,DATOS_[Check Periodo Ref.],"Dentro",DATOS_[id/cod],DATOS_[id/cod]))))))</f>
        <v>0</v>
      </c>
      <c r="D70" s="204">
        <f>COUNTIFS(DATOS_[AGRUP. CLAS. PROF.],$B69,DATOS_[Sexo],$B70,DATOS_[Check Periodo Ref.],"Dentro")</f>
        <v>0</v>
      </c>
      <c r="E70" s="204">
        <f>COUNTIFS(DATOS_[AGRUP. CLAS. PROF.],$B69,DATOS_[Sexo],$B70,DATOS_[Check Periodo Ref.],"Dentro",DATOS_[Check Nº SC Norm],"Sí")</f>
        <v>0</v>
      </c>
      <c r="F70" s="204">
        <f>COUNTIFS(DATOS_[AGRUP. CLAS. PROF.],$B69,DATOS_[Sexo],$B70,DATOS_[Check Periodo Ref.],"Dentro",DATOS_[Check Nº SC Anualiz],"Sí")</f>
        <v>0</v>
      </c>
      <c r="G70" s="204">
        <f>COUNTIFS(DATOS_[AGRUP. CLAS. PROF.],$B69,DATOS_[Sexo],$B70,DATOS_[Check Periodo Ref.],"Dentro",DATOS_[Check Nº SC Norm y Anualiz],"Sí")</f>
        <v>0</v>
      </c>
      <c r="H70" s="204">
        <f>COUNTIFS(DATOS_[AGRUP. CLAS. PROF.],$B69,DATOS_[Sexo],$B70,DATOS_[Check Periodo Ref.],"Dentro",DATOS_[Check Equiparación],"Sí")</f>
        <v>0</v>
      </c>
      <c r="I70" s="195">
        <f t="array" ref="I70">IFERROR(
MEDIAN(IF(DATOS_[Sexo]=$B70,IF(DATOS_[[AGRUP. CLAS. PROF.]:[AGRUP. CLAS. PROF.]]=$B69,IF(DATOS_[Check Equiparado]="Sí",IF(DATOS_[Check Periodo Ref.]="Dentro",DATOS_[SALARIO BASE Eq],FALSE))))),
0)</f>
        <v>0</v>
      </c>
      <c r="J70" s="196">
        <f t="array" ref="J70">IFERROR(
(MEDIAN((IF(DATOS_[[Sexo]:[Sexo]]=$B70,IF(DATOS_[[AGRUP. CLAS. PROF.]:[AGRUP. CLAS. PROF.]]=$B69,IF(DATOS_[[Check Periodo Ref.]:[Check Periodo Ref.]]="Dentro",IF(DATOS_[[Check Equiparado]:[Check Equiparado]]="Sí",IF(DATOS!AE$5="Sí",(1/DATOS_[[% anualiz]:[% anualiz]]),1)*IF(DATOS!AE$4="Sí",1/DATOS_[[% normaliz]:[% normaliz]],1)*(DATOS_[Conc.Sal.01])))))))),
0)</f>
        <v>0</v>
      </c>
      <c r="K70" s="196">
        <f t="array" ref="K70">IFERROR(
(MEDIAN((IF(DATOS_[[Sexo]:[Sexo]]=$B70,IF(DATOS_[[AGRUP. CLAS. PROF.]:[AGRUP. CLAS. PROF.]]=$B69,IF(DATOS_[[Check Periodo Ref.]:[Check Periodo Ref.]]="Dentro",IF(DATOS_[[Check Equiparado]:[Check Equiparado]]="Sí",IF(DATOS!AF$5="Sí",(1/DATOS_[[% anualiz]:[% anualiz]]),1)*IF(DATOS!AF$4="Sí",1/DATOS_[[% normaliz]:[% normaliz]],1)*(DATOS_[Conc.Sal.02])))))))),
0)</f>
        <v>0</v>
      </c>
      <c r="L70" s="196">
        <f t="array" ref="L70">IFERROR(
(MEDIAN((IF(DATOS_[[Sexo]:[Sexo]]=$B70,IF(DATOS_[[AGRUP. CLAS. PROF.]:[AGRUP. CLAS. PROF.]]=$B69,IF(DATOS_[[Check Periodo Ref.]:[Check Periodo Ref.]]="Dentro",IF(DATOS_[[Check Equiparado]:[Check Equiparado]]="Sí",IF(DATOS!AG$5="Sí",(1/DATOS_[[% anualiz]:[% anualiz]]),1)*IF(DATOS!AG$4="Sí",1/DATOS_[[% normaliz]:[% normaliz]],1)*(DATOS_[Conc.Sal.03])))))))),
0)</f>
        <v>0</v>
      </c>
      <c r="M70" s="196">
        <f t="array" ref="M70">IFERROR(
(MEDIAN((IF(DATOS_[[Sexo]:[Sexo]]=$B70,IF(DATOS_[[AGRUP. CLAS. PROF.]:[AGRUP. CLAS. PROF.]]=$B69,IF(DATOS_[[Check Periodo Ref.]:[Check Periodo Ref.]]="Dentro",IF(DATOS_[[Check Equiparado]:[Check Equiparado]]="Sí",IF(DATOS!AH$5="Sí",(1/DATOS_[[% anualiz]:[% anualiz]]),1)*IF(DATOS!AH$4="Sí",1/DATOS_[[% normaliz]:[% normaliz]],1)*(DATOS_[Conc.Sal.04])))))))),
0)</f>
        <v>0</v>
      </c>
      <c r="N70" s="196">
        <f t="array" ref="N70">IFERROR(
(MEDIAN((IF(DATOS_[[Sexo]:[Sexo]]=$B70,IF(DATOS_[[AGRUP. CLAS. PROF.]:[AGRUP. CLAS. PROF.]]=$B69,IF(DATOS_[[Check Periodo Ref.]:[Check Periodo Ref.]]="Dentro",IF(DATOS_[[Check Equiparado]:[Check Equiparado]]="Sí",IF(DATOS!AI$5="Sí",(1/DATOS_[[% anualiz]:[% anualiz]]),1)*IF(DATOS!AI$4="Sí",1/DATOS_[[% normaliz]:[% normaliz]],1)*(DATOS_[Conc.Sal.05])))))))),
0)</f>
        <v>0</v>
      </c>
      <c r="O70" s="196">
        <f t="array" ref="O70">IFERROR(
(MEDIAN((IF(DATOS_[[Sexo]:[Sexo]]=$B70,IF(DATOS_[[AGRUP. CLAS. PROF.]:[AGRUP. CLAS. PROF.]]=$B69,IF(DATOS_[[Check Periodo Ref.]:[Check Periodo Ref.]]="Dentro",IF(DATOS_[[Check Equiparado]:[Check Equiparado]]="Sí",IF(DATOS!AJ$5="Sí",(1/DATOS_[[% anualiz]:[% anualiz]]),1)*IF(DATOS!AJ$4="Sí",1/DATOS_[[% normaliz]:[% normaliz]],1)*(DATOS_[Conc.Sal.06])))))))),
0)</f>
        <v>0</v>
      </c>
      <c r="P70" s="196">
        <f t="array" ref="P70">IFERROR(
(MEDIAN((IF(DATOS_[[Sexo]:[Sexo]]=$B70,IF(DATOS_[[AGRUP. CLAS. PROF.]:[AGRUP. CLAS. PROF.]]=$B69,IF(DATOS_[[Check Periodo Ref.]:[Check Periodo Ref.]]="Dentro",IF(DATOS_[[Check Equiparado]:[Check Equiparado]]="Sí",IF(DATOS!AK$5="Sí",(1/DATOS_[[% anualiz]:[% anualiz]]),1)*IF(DATOS!AK$4="Sí",1/DATOS_[[% normaliz]:[% normaliz]],1)*(DATOS_[Conc.Sal.07])))))))),
0)</f>
        <v>0</v>
      </c>
      <c r="Q70" s="196">
        <f t="array" ref="Q70">IFERROR(
(MEDIAN((IF(DATOS_[[Sexo]:[Sexo]]=$B70,IF(DATOS_[[AGRUP. CLAS. PROF.]:[AGRUP. CLAS. PROF.]]=$B69,IF(DATOS_[[Check Periodo Ref.]:[Check Periodo Ref.]]="Dentro",IF(DATOS_[[Check Equiparado]:[Check Equiparado]]="Sí",IF(DATOS!AL$5="Sí",(1/DATOS_[[% anualiz]:[% anualiz]]),1)*IF(DATOS!AL$4="Sí",1/DATOS_[[% normaliz]:[% normaliz]],1)*(DATOS_[Conc.Sal.08])))))))),
0)</f>
        <v>0</v>
      </c>
      <c r="R70" s="196">
        <f t="array" ref="R70">IFERROR(
(MEDIAN((IF(DATOS_[[Sexo]:[Sexo]]=$B70,IF(DATOS_[[AGRUP. CLAS. PROF.]:[AGRUP. CLAS. PROF.]]=$B69,IF(DATOS_[[Check Periodo Ref.]:[Check Periodo Ref.]]="Dentro",IF(DATOS_[[Check Equiparado]:[Check Equiparado]]="Sí",IF(DATOS!AM$5="Sí",(1/DATOS_[[% anualiz]:[% anualiz]]),1)*IF(DATOS!AM$4="Sí",1/DATOS_[[% normaliz]:[% normaliz]],1)*(DATOS_[Conc.Sal.09])))))))),
0)</f>
        <v>0</v>
      </c>
      <c r="S70" s="196">
        <f t="array" ref="S70">IFERROR(
(MEDIAN((IF(DATOS_[[Sexo]:[Sexo]]=$B70,IF(DATOS_[[AGRUP. CLAS. PROF.]:[AGRUP. CLAS. PROF.]]=$B69,IF(DATOS_[[Check Periodo Ref.]:[Check Periodo Ref.]]="Dentro",IF(DATOS_[[Check Equiparado]:[Check Equiparado]]="Sí",IF(DATOS!AN$5="Sí",(1/DATOS_[[% anualiz]:[% anualiz]]),1)*IF(DATOS!AN$4="Sí",1/DATOS_[[% normaliz]:[% normaliz]],1)*(DATOS_[Conc.Sal.10])))))))),
0)</f>
        <v>0</v>
      </c>
      <c r="T70" s="196">
        <f t="array" ref="T70">IFERROR(
(MEDIAN((IF(DATOS_[[Sexo]:[Sexo]]=$B70,IF(DATOS_[[AGRUP. CLAS. PROF.]:[AGRUP. CLAS. PROF.]]=$B69,IF(DATOS_[[Check Periodo Ref.]:[Check Periodo Ref.]]="Dentro",IF(DATOS_[[Check Equiparado]:[Check Equiparado]]="Sí",IF(DATOS!AO$5="Sí",(1/DATOS_[[% anualiz]:[% anualiz]]),1)*IF(DATOS!AO$4="Sí",1/DATOS_[[% normaliz]:[% normaliz]],1)*(DATOS_[Conc.Sal.11])))))))),
0)</f>
        <v>0</v>
      </c>
      <c r="U70" s="196">
        <f t="array" ref="U70">IFERROR(
(MEDIAN((IF(DATOS_[[Sexo]:[Sexo]]=$B70,IF(DATOS_[[AGRUP. CLAS. PROF.]:[AGRUP. CLAS. PROF.]]=$B69,IF(DATOS_[[Check Periodo Ref.]:[Check Periodo Ref.]]="Dentro",IF(DATOS_[[Check Equiparado]:[Check Equiparado]]="Sí",IF(DATOS!AP$5="Sí",(1/DATOS_[[% anualiz]:[% anualiz]]),1)*IF(DATOS!AP$4="Sí",1/DATOS_[[% normaliz]:[% normaliz]],1)*(DATOS_[Conc.Sal.12])))))))),
0)</f>
        <v>0</v>
      </c>
      <c r="V70" s="196">
        <f t="array" ref="V70">IFERROR(
(MEDIAN((IF(DATOS_[[Sexo]:[Sexo]]=$B70,IF(DATOS_[[AGRUP. CLAS. PROF.]:[AGRUP. CLAS. PROF.]]=$B69,IF(DATOS_[[Check Periodo Ref.]:[Check Periodo Ref.]]="Dentro",IF(DATOS_[[Check Equiparado]:[Check Equiparado]]="Sí",IF(DATOS!AQ$5="Sí",(1/DATOS_[[% anualiz]:[% anualiz]]),1)*IF(DATOS!AQ$4="Sí",1/DATOS_[[% normaliz]:[% normaliz]],1)*(DATOS_[Conc.Sal.13])))))))),
0)</f>
        <v>0</v>
      </c>
      <c r="W70" s="196">
        <f t="array" ref="W70">IFERROR(
(MEDIAN((IF(DATOS_[[Sexo]:[Sexo]]=$B70,IF(DATOS_[[AGRUP. CLAS. PROF.]:[AGRUP. CLAS. PROF.]]=$B69,IF(DATOS_[[Check Periodo Ref.]:[Check Periodo Ref.]]="Dentro",IF(DATOS_[[Check Equiparado]:[Check Equiparado]]="Sí",IF(DATOS!AR$5="Sí",(1/DATOS_[[% anualiz]:[% anualiz]]),1)*IF(DATOS!AR$4="Sí",1/DATOS_[[% normaliz]:[% normaliz]],1)*(DATOS_[Conc.Sal.14])))))))),
0)</f>
        <v>0</v>
      </c>
      <c r="X70" s="196">
        <f t="array" ref="X70">IFERROR(
(MEDIAN((IF(DATOS_[[Sexo]:[Sexo]]=$B70,IF(DATOS_[[AGRUP. CLAS. PROF.]:[AGRUP. CLAS. PROF.]]=$B69,IF(DATOS_[[Check Periodo Ref.]:[Check Periodo Ref.]]="Dentro",IF(DATOS_[[Check Equiparado]:[Check Equiparado]]="Sí",IF(DATOS!AS$5="Sí",(1/DATOS_[[% anualiz]:[% anualiz]]),1)*IF(DATOS!AS$4="Sí",1/DATOS_[[% normaliz]:[% normaliz]],1)*(DATOS_[Conc.Sal.15])))))))),
0)</f>
        <v>0</v>
      </c>
      <c r="Y70" s="196">
        <f t="array" ref="Y70">IFERROR(
(MEDIAN((IF(DATOS_[[Sexo]:[Sexo]]=$B70,IF(DATOS_[[AGRUP. CLAS. PROF.]:[AGRUP. CLAS. PROF.]]=$B69,IF(DATOS_[[Check Periodo Ref.]:[Check Periodo Ref.]]="Dentro",IF(DATOS_[[Check Equiparado]:[Check Equiparado]]="Sí",IF(DATOS!AT$5="Sí",(1/DATOS_[[% anualiz]:[% anualiz]]),1)*IF(DATOS!AT$4="Sí",1/DATOS_[[% normaliz]:[% normaliz]],1)*(DATOS_[Conc.Sal.16])))))))),
0)</f>
        <v>0</v>
      </c>
      <c r="Z70" s="196">
        <f t="array" ref="Z70">IFERROR(
(MEDIAN((IF(DATOS_[[Sexo]:[Sexo]]=$B70,IF(DATOS_[[AGRUP. CLAS. PROF.]:[AGRUP. CLAS. PROF.]]=$B69,IF(DATOS_[[Check Periodo Ref.]:[Check Periodo Ref.]]="Dentro",IF(DATOS_[[Check Equiparado]:[Check Equiparado]]="Sí",IF(DATOS!AU$5="Sí",(1/DATOS_[[% anualiz]:[% anualiz]]),1)*IF(DATOS!AU$4="Sí",1/DATOS_[[% normaliz]:[% normaliz]],1)*(DATOS_[Conc.Sal.17])))))))),
0)</f>
        <v>0</v>
      </c>
      <c r="AA70" s="196">
        <f t="array" ref="AA70">IFERROR(
(MEDIAN((IF(DATOS_[[Sexo]:[Sexo]]=$B70,IF(DATOS_[[AGRUP. CLAS. PROF.]:[AGRUP. CLAS. PROF.]]=$B69,IF(DATOS_[[Check Periodo Ref.]:[Check Periodo Ref.]]="Dentro",IF(DATOS_[[Check Equiparado]:[Check Equiparado]]="Sí",IF(DATOS!AV$5="Sí",(1/DATOS_[[% anualiz]:[% anualiz]]),1)*IF(DATOS!AV$4="Sí",1/DATOS_[[% normaliz]:[% normaliz]],1)*(DATOS_[Conc.Sal.18])))))))),
0)</f>
        <v>0</v>
      </c>
      <c r="AB70" s="196">
        <f t="array" ref="AB70">IFERROR(
(MEDIAN((IF(DATOS_[[Sexo]:[Sexo]]=$B70,IF(DATOS_[[AGRUP. CLAS. PROF.]:[AGRUP. CLAS. PROF.]]=$B69,IF(DATOS_[[Check Periodo Ref.]:[Check Periodo Ref.]]="Dentro",IF(DATOS_[[Check Equiparado]:[Check Equiparado]]="Sí",IF(DATOS!AW$5="Sí",(1/DATOS_[[% anualiz]:[% anualiz]]),1)*IF(DATOS!AW$4="Sí",1/DATOS_[[% normaliz]:[% normaliz]],1)*(DATOS_[Conc.Sal.19])))))))),
0)</f>
        <v>0</v>
      </c>
      <c r="AC70" s="196">
        <f t="array" ref="AC70">IFERROR(
(MEDIAN((IF(DATOS_[[Sexo]:[Sexo]]=$B70,IF(DATOS_[[AGRUP. CLAS. PROF.]:[AGRUP. CLAS. PROF.]]=$B69,IF(DATOS_[[Check Periodo Ref.]:[Check Periodo Ref.]]="Dentro",IF(DATOS_[[Check Equiparado]:[Check Equiparado]]="Sí",IF(DATOS!AX$5="Sí",(1/DATOS_[[% anualiz]:[% anualiz]]),1)*IF(DATOS!AX$4="Sí",1/DATOS_[[% normaliz]:[% normaliz]],1)*(DATOS_[Conc.Sal.20])))))))),
0)</f>
        <v>0</v>
      </c>
      <c r="AD70" s="196">
        <f t="array" ref="AD70">IFERROR(
(MEDIAN((IF(DATOS_[[Sexo]:[Sexo]]=$B70,IF(DATOS_[[AGRUP. CLAS. PROF.]:[AGRUP. CLAS. PROF.]]=$B69,IF(DATOS_[[Check Periodo Ref.]:[Check Periodo Ref.]]="Dentro",IF(DATOS_[[Check Equiparado]:[Check Equiparado]]="Sí",IF(DATOS!AY$5="Sí",(1/DATOS_[[% anualiz]:[% anualiz]]),1)*IF(DATOS!AY$4="Sí",1/DATOS_[[% normaliz]:[% normaliz]],1)*(DATOS_[Conc.Sal.21])))))))),
0)</f>
        <v>0</v>
      </c>
      <c r="AE70" s="196">
        <f t="array" ref="AE70">IFERROR(
(MEDIAN((IF(DATOS_[[Sexo]:[Sexo]]=$B70,IF(DATOS_[[AGRUP. CLAS. PROF.]:[AGRUP. CLAS. PROF.]]=$B69,IF(DATOS_[[Check Periodo Ref.]:[Check Periodo Ref.]]="Dentro",IF(DATOS_[[Check Equiparado]:[Check Equiparado]]="Sí",IF(DATOS!AZ$5="Sí",(1/DATOS_[[% anualiz]:[% anualiz]]),1)*IF(DATOS!AZ$4="Sí",1/DATOS_[[% normaliz]:[% normaliz]],1)*(DATOS_[Conc.Sal.22])))))))),
0)</f>
        <v>0</v>
      </c>
      <c r="AF70" s="196">
        <f t="array" ref="AF70">IFERROR(
(MEDIAN((IF(DATOS_[[Sexo]:[Sexo]]=$B70,IF(DATOS_[[AGRUP. CLAS. PROF.]:[AGRUP. CLAS. PROF.]]=$B69,IF(DATOS_[[Check Periodo Ref.]:[Check Periodo Ref.]]="Dentro",IF(DATOS_[[Check Equiparado]:[Check Equiparado]]="Sí",IF(DATOS!BA$5="Sí",(1/DATOS_[[% anualiz]:[% anualiz]]),1)*IF(DATOS!BA$4="Sí",1/DATOS_[[% normaliz]:[% normaliz]],1)*(DATOS_[Conc.Sal.23])))))))),
0)</f>
        <v>0</v>
      </c>
      <c r="AG70" s="196">
        <f t="array" ref="AG70">IFERROR(
(MEDIAN((IF(DATOS_[[Sexo]:[Sexo]]=$B70,IF(DATOS_[[AGRUP. CLAS. PROF.]:[AGRUP. CLAS. PROF.]]=$B69,IF(DATOS_[[Check Periodo Ref.]:[Check Periodo Ref.]]="Dentro",IF(DATOS_[[Check Equiparado]:[Check Equiparado]]="Sí",IF(DATOS!BB$5="Sí",(1/DATOS_[[% anualiz]:[% anualiz]]),1)*IF(DATOS!BB$4="Sí",1/DATOS_[[% normaliz]:[% normaliz]],1)*(DATOS_[Conc.Sal.24])))))))),
0)</f>
        <v>0</v>
      </c>
      <c r="AH70" s="196">
        <f t="array" ref="AH70">IFERROR(
(MEDIAN((IF(DATOS_[[Sexo]:[Sexo]]=$B70,IF(DATOS_[[AGRUP. CLAS. PROF.]:[AGRUP. CLAS. PROF.]]=$B69,IF(DATOS_[[Check Periodo Ref.]:[Check Periodo Ref.]]="Dentro",IF(DATOS_[[Check Equiparado]:[Check Equiparado]]="Sí",IF(DATOS!BC$5="Sí",(1/DATOS_[[% anualiz]:[% anualiz]]),1)*IF(DATOS!BC$4="Sí",1/DATOS_[[% normaliz]:[% normaliz]],1)*(DATOS_[Conc.Sal.25])))))))),
0)</f>
        <v>0</v>
      </c>
      <c r="AI70" s="196">
        <f t="array" ref="AI70">IFERROR(
(MEDIAN((IF(DATOS_[[Sexo]:[Sexo]]=$B70,IF(DATOS_[[AGRUP. CLAS. PROF.]:[AGRUP. CLAS. PROF.]]=$B69,IF(DATOS_[[Check Periodo Ref.]:[Check Periodo Ref.]]="Dentro",IF(DATOS_[[Check Equiparado]:[Check Equiparado]]="Sí",IF(DATOS!BD$5="Sí",(1/DATOS_[[% anualiz]:[% anualiz]]),1)*IF(DATOS!BD$4="Sí",1/DATOS_[[% normaliz]:[% normaliz]],1)*(DATOS_[Conc.Sal.26])))))))),
0)</f>
        <v>0</v>
      </c>
      <c r="AJ70" s="196">
        <f t="array" ref="AJ70">IFERROR(
(MEDIAN((IF(DATOS_[[Sexo]:[Sexo]]=$B70,IF(DATOS_[[AGRUP. CLAS. PROF.]:[AGRUP. CLAS. PROF.]]=$B69,IF(DATOS_[[Check Periodo Ref.]:[Check Periodo Ref.]]="Dentro",IF(DATOS_[[Check Equiparado]:[Check Equiparado]]="Sí",IF(DATOS!BE$5="Sí",(1/DATOS_[[% anualiz]:[% anualiz]]),1)*IF(DATOS!BE$4="Sí",1/DATOS_[[% normaliz]:[% normaliz]],1)*(DATOS_[Conc.Sal.27])))))))),
0)</f>
        <v>0</v>
      </c>
      <c r="AK70" s="196">
        <f t="array" ref="AK70">IFERROR(
(MEDIAN((IF(DATOS_[[Sexo]:[Sexo]]=$B70,IF(DATOS_[[AGRUP. CLAS. PROF.]:[AGRUP. CLAS. PROF.]]=$B69,IF(DATOS_[[Check Periodo Ref.]:[Check Periodo Ref.]]="Dentro",IF(DATOS_[[Check Equiparado]:[Check Equiparado]]="Sí",IF(DATOS!BF$5="Sí",(1/DATOS_[[% anualiz]:[% anualiz]]),1)*IF(DATOS!BF$4="Sí",1/DATOS_[[% normaliz]:[% normaliz]],1)*(DATOS_[Conc.Sal.28])))))))),
0)</f>
        <v>0</v>
      </c>
      <c r="AL70" s="196">
        <f t="array" ref="AL70">IFERROR(
(MEDIAN((IF(DATOS_[[Sexo]:[Sexo]]=$B70,IF(DATOS_[[AGRUP. CLAS. PROF.]:[AGRUP. CLAS. PROF.]]=$B69,IF(DATOS_[[Check Periodo Ref.]:[Check Periodo Ref.]]="Dentro",IF(DATOS_[[Check Equiparado]:[Check Equiparado]]="Sí",IF(DATOS!BG$5="Sí",(1/DATOS_[[% anualiz]:[% anualiz]]),1)*IF(DATOS!BG$4="Sí",1/DATOS_[[% normaliz]:[% normaliz]],1)*(DATOS_[Conc.Sal.29])))))))),
0)</f>
        <v>0</v>
      </c>
      <c r="AM70" s="196">
        <f t="array" ref="AM70">IFERROR(
(MEDIAN((IF(DATOS_[[Sexo]:[Sexo]]=$B70,IF(DATOS_[[AGRUP. CLAS. PROF.]:[AGRUP. CLAS. PROF.]]=$B69,IF(DATOS_[[Check Periodo Ref.]:[Check Periodo Ref.]]="Dentro",IF(DATOS_[[Check Equiparado]:[Check Equiparado]]="Sí",IF(DATOS!BH$5="Sí",(1/DATOS_[[% anualiz]:[% anualiz]]),1)*IF(DATOS!BH$4="Sí",1/DATOS_[[% normaliz]:[% normaliz]],1)*(DATOS_[Conc.Sal.30])))))))),
0)</f>
        <v>0</v>
      </c>
      <c r="AN70" s="195">
        <f t="array" ref="AN70">IFERROR(
MEDIAN(IF(DATOS_[Sexo]=$B70,IF(DATOS_[[AGRUP. CLAS. PROF.]:[AGRUP. CLAS. PROF.]]=$B69,IF(DATOS_[Check Equiparado]="Sí",IF(DATOS_[Check Periodo Ref.]="Dentro",DATOS_[Tot COMPL.SAL Eq],FALSE))))),
0)</f>
        <v>0</v>
      </c>
      <c r="AO70" s="172">
        <f t="array" ref="AO70">IFERROR(
MEDIAN(IF(DATOS_[Sexo]=$B70,IF(DATOS_[[AGRUP. CLAS. PROF.]:[AGRUP. CLAS. PROF.]]=$B69,IF(DATOS_[Check Equiparado]="Sí",IF(DATOS_[Check Periodo Ref.]="Dentro",DATOS_[TOTAL SALARIO Eq],FALSE))))),
0)</f>
        <v>0</v>
      </c>
      <c r="AP70" s="173">
        <f t="array" ref="AP70">IFERROR(
(MEDIAN((IF(DATOS_[[Sexo]:[Sexo]]=$B70,IF(DATOS_[[AGRUP. CLAS. PROF.]:[AGRUP. CLAS. PROF.]]=$B69,IF(DATOS_[[Check Periodo Ref.]:[Check Periodo Ref.]]="Dentro",IF(DATOS_[[Check Equiparado]:[Check Equiparado]]="Sí",IF(DATOS!BW$5="Sí",(1/DATOS_[[% anualiz]:[% anualiz]]),1)*IF(DATOS!BW$4="Sí",1/DATOS_[[% normaliz]:[% normaliz]],1)*(DATOS_[C.Extra.01])))))))),
0)</f>
        <v>0</v>
      </c>
      <c r="AQ70" s="173">
        <f t="array" ref="AQ70">IFERROR(
(MEDIAN((IF(DATOS_[[Sexo]:[Sexo]]=$B70,IF(DATOS_[[AGRUP. CLAS. PROF.]:[AGRUP. CLAS. PROF.]]=$B69,IF(DATOS_[[Check Periodo Ref.]:[Check Periodo Ref.]]="Dentro",IF(DATOS_[[Check Equiparado]:[Check Equiparado]]="Sí",IF(DATOS!CB$5="Sí",(1/DATOS_[[% anualiz]:[% anualiz]]),1)*IF(DATOS!CB$4="Sí",1/DATOS_[[% normaliz]:[% normaliz]],1)*(DATOS_[C.Extra.06])))))))),
0)</f>
        <v>0</v>
      </c>
      <c r="AR70" s="173">
        <f t="array" ref="AR70">IFERROR(
(MEDIAN((IF(DATOS_[[Sexo]:[Sexo]]=$B70,IF(DATOS_[[AGRUP. CLAS. PROF.]:[AGRUP. CLAS. PROF.]]=$B69,IF(DATOS_[[Check Periodo Ref.]:[Check Periodo Ref.]]="Dentro",IF(DATOS_[[Check Equiparado]:[Check Equiparado]]="Sí",IF(DATOS!CC$5="Sí",(1/DATOS_[[% anualiz]:[% anualiz]]),1)*IF(DATOS!CC$4="Sí",1/DATOS_[[% normaliz]:[% normaliz]],1)*(DATOS_[C.Extra.07])))))))),
0)</f>
        <v>0</v>
      </c>
      <c r="AS70" s="173">
        <f t="array" ref="AS70">IFERROR(
(MEDIAN((IF(DATOS_[[Sexo]:[Sexo]]=$B70,IF(DATOS_[[AGRUP. CLAS. PROF.]:[AGRUP. CLAS. PROF.]]=$B69,IF(DATOS_[[Check Periodo Ref.]:[Check Periodo Ref.]]="Dentro",IF(DATOS_[[Check Equiparado]:[Check Equiparado]]="Sí",IF(DATOS!CD$5="Sí",(1/DATOS_[[% anualiz]:[% anualiz]]),1)*IF(DATOS!CD$4="Sí",1/DATOS_[[% normaliz]:[% normaliz]],1)*(DATOS_[C.Extra.08])))))))),
0)</f>
        <v>0</v>
      </c>
      <c r="AT70" s="173">
        <f t="array" ref="AT70">IFERROR(
(MEDIAN((IF(DATOS_[[Sexo]:[Sexo]]=$B70,IF(DATOS_[[AGRUP. CLAS. PROF.]:[AGRUP. CLAS. PROF.]]=$B69,IF(DATOS_[[Check Periodo Ref.]:[Check Periodo Ref.]]="Dentro",IF(DATOS_[[Check Equiparado]:[Check Equiparado]]="Sí",IF(DATOS!CG$5="Sí",(1/DATOS_[[% anualiz]:[% anualiz]]),1)*IF(DATOS!CG$4="Sí",1/DATOS_[[% normaliz]:[% normaliz]],1)*(DATOS_[C.Extra.11])))))))),
0)</f>
        <v>0</v>
      </c>
      <c r="AU70" s="197">
        <f t="array" ref="AU70">IFERROR(
MEDIAN(IF(DATOS_[Sexo]=$B70,IF(DATOS_[[AGRUP. CLAS. PROF.]:[AGRUP. CLAS. PROF.]]=$B69,IF(DATOS_[Check Equiparado]="Sí",IF(DATOS_[Check Periodo Ref.]="Dentro",DATOS_[Tot Extrasalarial Eq],FALSE))))),
0)</f>
        <v>0</v>
      </c>
      <c r="AV70" s="175">
        <f t="array" ref="AV70">IFERROR(
MEDIAN(IF(DATOS_[Sexo]=$B70,IF(DATOS_[[AGRUP. CLAS. PROF.]:[AGRUP. CLAS. PROF.]]=$B69,IF(DATOS_[Check Equiparado]="Sí",IF(DATOS_[Check Periodo Ref.]="Dentro",DATOS_[TOTAL Retrib Eq],FALSE))))),
0)</f>
        <v>0</v>
      </c>
    </row>
    <row r="71" spans="1:48" hidden="1" x14ac:dyDescent="0.25">
      <c r="A71" s="133" t="str">
        <f t="shared" ref="A71" si="78">+A70</f>
        <v>[ocultar]</v>
      </c>
      <c r="B71" s="202" t="s">
        <v>521</v>
      </c>
      <c r="C71" s="203">
        <f t="array" ref="C71">SUM(IF($B71=DATOS_[Sexo],
IF($B69=DATOS_[AGRUP. CLAS. PROF.],
IF("Dentro"=DATOS_[Check Periodo Ref.],
1/(COUNTIFS(DATOS_[Sexo],$B71,DATOS_[AGRUP. CLAS. PROF.],$B69,DATOS_[Check Periodo Ref.],"Dentro",DATOS_[id/cod],DATOS_[id/cod]))))))</f>
        <v>0</v>
      </c>
      <c r="D71" s="204">
        <f>COUNTIFS(DATOS_[AGRUP. CLAS. PROF.],$B69,DATOS_[Sexo],$B71,DATOS_[Check Periodo Ref.],"Dentro")</f>
        <v>0</v>
      </c>
      <c r="E71" s="204">
        <f>COUNTIFS(DATOS_[AGRUP. CLAS. PROF.],$B69,DATOS_[Sexo],$B71,DATOS_[Check Periodo Ref.],"Dentro",DATOS_[Check Nº SC Norm],"Sí")</f>
        <v>0</v>
      </c>
      <c r="F71" s="204">
        <f>COUNTIFS(DATOS_[AGRUP. CLAS. PROF.],$B69,DATOS_[Sexo],$B71,DATOS_[Check Periodo Ref.],"Dentro",DATOS_[Check Nº SC Anualiz],"Sí")</f>
        <v>0</v>
      </c>
      <c r="G71" s="204">
        <f>COUNTIFS(DATOS_[AGRUP. CLAS. PROF.],$B69,DATOS_[Sexo],$B71,DATOS_[Check Periodo Ref.],"Dentro",DATOS_[Check Nº SC Norm y Anualiz],"Sí")</f>
        <v>0</v>
      </c>
      <c r="H71" s="204">
        <f>COUNTIFS(DATOS_[AGRUP. CLAS. PROF.],$B69,DATOS_[Sexo],$B71,DATOS_[Check Periodo Ref.],"Dentro",DATOS_[Check Equiparación],"Sí")</f>
        <v>0</v>
      </c>
      <c r="I71" s="195" cm="1">
        <f t="array" ref="I71">IFERROR(
MEDIAN(IF(DATOS_[Sexo]=$B71,IF(DATOS_[[AGRUP. CLAS. PROF.]:[AGRUP. CLAS. PROF.]]=$B69,IF(DATOS_[Check Equiparado]="Sí",IF(DATOS_[Check Periodo Ref.]="Dentro",DATOS_[SALARIO BASE Eq],FALSE))))),
0)</f>
        <v>0</v>
      </c>
      <c r="J71" s="196">
        <f t="array" ref="J71">IFERROR(
(MEDIAN((IF(DATOS_[[Sexo]:[Sexo]]=$B71,IF(DATOS_[[AGRUP. CLAS. PROF.]:[AGRUP. CLAS. PROF.]]=$B69,IF(DATOS_[[Check Periodo Ref.]:[Check Periodo Ref.]]="Dentro",IF(DATOS_[[Check Equiparado]:[Check Equiparado]]="Sí",IF(DATOS!AE$5="Sí",(1/DATOS_[[% anualiz]:[% anualiz]]),1)*IF(DATOS!AE$4="Sí",1/DATOS_[[% normaliz]:[% normaliz]],1)*(DATOS_[Conc.Sal.01])))))))),
0)</f>
        <v>0</v>
      </c>
      <c r="K71" s="196">
        <f t="array" ref="K71">IFERROR(
(MEDIAN((IF(DATOS_[[Sexo]:[Sexo]]=$B71,IF(DATOS_[[AGRUP. CLAS. PROF.]:[AGRUP. CLAS. PROF.]]=$B69,IF(DATOS_[[Check Periodo Ref.]:[Check Periodo Ref.]]="Dentro",IF(DATOS_[[Check Equiparado]:[Check Equiparado]]="Sí",IF(DATOS!AF$5="Sí",(1/DATOS_[[% anualiz]:[% anualiz]]),1)*IF(DATOS!AF$4="Sí",1/DATOS_[[% normaliz]:[% normaliz]],1)*(DATOS_[Conc.Sal.02])))))))),
0)</f>
        <v>0</v>
      </c>
      <c r="L71" s="196">
        <f t="array" ref="L71">IFERROR(
(MEDIAN((IF(DATOS_[[Sexo]:[Sexo]]=$B71,IF(DATOS_[[AGRUP. CLAS. PROF.]:[AGRUP. CLAS. PROF.]]=$B69,IF(DATOS_[[Check Periodo Ref.]:[Check Periodo Ref.]]="Dentro",IF(DATOS_[[Check Equiparado]:[Check Equiparado]]="Sí",IF(DATOS!AG$5="Sí",(1/DATOS_[[% anualiz]:[% anualiz]]),1)*IF(DATOS!AG$4="Sí",1/DATOS_[[% normaliz]:[% normaliz]],1)*(DATOS_[Conc.Sal.03])))))))),
0)</f>
        <v>0</v>
      </c>
      <c r="M71" s="196">
        <f t="array" ref="M71">IFERROR(
(MEDIAN((IF(DATOS_[[Sexo]:[Sexo]]=$B71,IF(DATOS_[[AGRUP. CLAS. PROF.]:[AGRUP. CLAS. PROF.]]=$B69,IF(DATOS_[[Check Periodo Ref.]:[Check Periodo Ref.]]="Dentro",IF(DATOS_[[Check Equiparado]:[Check Equiparado]]="Sí",IF(DATOS!AH$5="Sí",(1/DATOS_[[% anualiz]:[% anualiz]]),1)*IF(DATOS!AH$4="Sí",1/DATOS_[[% normaliz]:[% normaliz]],1)*(DATOS_[Conc.Sal.04])))))))),
0)</f>
        <v>0</v>
      </c>
      <c r="N71" s="196">
        <f t="array" ref="N71">IFERROR(
(MEDIAN((IF(DATOS_[[Sexo]:[Sexo]]=$B71,IF(DATOS_[[AGRUP. CLAS. PROF.]:[AGRUP. CLAS. PROF.]]=$B69,IF(DATOS_[[Check Periodo Ref.]:[Check Periodo Ref.]]="Dentro",IF(DATOS_[[Check Equiparado]:[Check Equiparado]]="Sí",IF(DATOS!AI$5="Sí",(1/DATOS_[[% anualiz]:[% anualiz]]),1)*IF(DATOS!AI$4="Sí",1/DATOS_[[% normaliz]:[% normaliz]],1)*(DATOS_[Conc.Sal.05])))))))),
0)</f>
        <v>0</v>
      </c>
      <c r="O71" s="196">
        <f t="array" ref="O71">IFERROR(
(MEDIAN((IF(DATOS_[[Sexo]:[Sexo]]=$B71,IF(DATOS_[[AGRUP. CLAS. PROF.]:[AGRUP. CLAS. PROF.]]=$B69,IF(DATOS_[[Check Periodo Ref.]:[Check Periodo Ref.]]="Dentro",IF(DATOS_[[Check Equiparado]:[Check Equiparado]]="Sí",IF(DATOS!AJ$5="Sí",(1/DATOS_[[% anualiz]:[% anualiz]]),1)*IF(DATOS!AJ$4="Sí",1/DATOS_[[% normaliz]:[% normaliz]],1)*(DATOS_[Conc.Sal.06])))))))),
0)</f>
        <v>0</v>
      </c>
      <c r="P71" s="196">
        <f t="array" ref="P71">IFERROR(
(MEDIAN((IF(DATOS_[[Sexo]:[Sexo]]=$B71,IF(DATOS_[[AGRUP. CLAS. PROF.]:[AGRUP. CLAS. PROF.]]=$B69,IF(DATOS_[[Check Periodo Ref.]:[Check Periodo Ref.]]="Dentro",IF(DATOS_[[Check Equiparado]:[Check Equiparado]]="Sí",IF(DATOS!AK$5="Sí",(1/DATOS_[[% anualiz]:[% anualiz]]),1)*IF(DATOS!AK$4="Sí",1/DATOS_[[% normaliz]:[% normaliz]],1)*(DATOS_[Conc.Sal.07])))))))),
0)</f>
        <v>0</v>
      </c>
      <c r="Q71" s="196">
        <f t="array" ref="Q71">IFERROR(
(MEDIAN((IF(DATOS_[[Sexo]:[Sexo]]=$B71,IF(DATOS_[[AGRUP. CLAS. PROF.]:[AGRUP. CLAS. PROF.]]=$B69,IF(DATOS_[[Check Periodo Ref.]:[Check Periodo Ref.]]="Dentro",IF(DATOS_[[Check Equiparado]:[Check Equiparado]]="Sí",IF(DATOS!AL$5="Sí",(1/DATOS_[[% anualiz]:[% anualiz]]),1)*IF(DATOS!AL$4="Sí",1/DATOS_[[% normaliz]:[% normaliz]],1)*(DATOS_[Conc.Sal.08])))))))),
0)</f>
        <v>0</v>
      </c>
      <c r="R71" s="196">
        <f t="array" ref="R71">IFERROR(
(MEDIAN((IF(DATOS_[[Sexo]:[Sexo]]=$B71,IF(DATOS_[[AGRUP. CLAS. PROF.]:[AGRUP. CLAS. PROF.]]=$B69,IF(DATOS_[[Check Periodo Ref.]:[Check Periodo Ref.]]="Dentro",IF(DATOS_[[Check Equiparado]:[Check Equiparado]]="Sí",IF(DATOS!AM$5="Sí",(1/DATOS_[[% anualiz]:[% anualiz]]),1)*IF(DATOS!AM$4="Sí",1/DATOS_[[% normaliz]:[% normaliz]],1)*(DATOS_[Conc.Sal.09])))))))),
0)</f>
        <v>0</v>
      </c>
      <c r="S71" s="196">
        <f t="array" ref="S71">IFERROR(
(MEDIAN((IF(DATOS_[[Sexo]:[Sexo]]=$B71,IF(DATOS_[[AGRUP. CLAS. PROF.]:[AGRUP. CLAS. PROF.]]=$B69,IF(DATOS_[[Check Periodo Ref.]:[Check Periodo Ref.]]="Dentro",IF(DATOS_[[Check Equiparado]:[Check Equiparado]]="Sí",IF(DATOS!AN$5="Sí",(1/DATOS_[[% anualiz]:[% anualiz]]),1)*IF(DATOS!AN$4="Sí",1/DATOS_[[% normaliz]:[% normaliz]],1)*(DATOS_[Conc.Sal.10])))))))),
0)</f>
        <v>0</v>
      </c>
      <c r="T71" s="196">
        <f t="array" ref="T71">IFERROR(
(MEDIAN((IF(DATOS_[[Sexo]:[Sexo]]=$B71,IF(DATOS_[[AGRUP. CLAS. PROF.]:[AGRUP. CLAS. PROF.]]=$B69,IF(DATOS_[[Check Periodo Ref.]:[Check Periodo Ref.]]="Dentro",IF(DATOS_[[Check Equiparado]:[Check Equiparado]]="Sí",IF(DATOS!AO$5="Sí",(1/DATOS_[[% anualiz]:[% anualiz]]),1)*IF(DATOS!AO$4="Sí",1/DATOS_[[% normaliz]:[% normaliz]],1)*(DATOS_[Conc.Sal.11])))))))),
0)</f>
        <v>0</v>
      </c>
      <c r="U71" s="196">
        <f t="array" ref="U71">IFERROR(
(MEDIAN((IF(DATOS_[[Sexo]:[Sexo]]=$B71,IF(DATOS_[[AGRUP. CLAS. PROF.]:[AGRUP. CLAS. PROF.]]=$B69,IF(DATOS_[[Check Periodo Ref.]:[Check Periodo Ref.]]="Dentro",IF(DATOS_[[Check Equiparado]:[Check Equiparado]]="Sí",IF(DATOS!AP$5="Sí",(1/DATOS_[[% anualiz]:[% anualiz]]),1)*IF(DATOS!AP$4="Sí",1/DATOS_[[% normaliz]:[% normaliz]],1)*(DATOS_[Conc.Sal.12])))))))),
0)</f>
        <v>0</v>
      </c>
      <c r="V71" s="196">
        <f t="array" ref="V71">IFERROR(
(MEDIAN((IF(DATOS_[[Sexo]:[Sexo]]=$B71,IF(DATOS_[[AGRUP. CLAS. PROF.]:[AGRUP. CLAS. PROF.]]=$B69,IF(DATOS_[[Check Periodo Ref.]:[Check Periodo Ref.]]="Dentro",IF(DATOS_[[Check Equiparado]:[Check Equiparado]]="Sí",IF(DATOS!AQ$5="Sí",(1/DATOS_[[% anualiz]:[% anualiz]]),1)*IF(DATOS!AQ$4="Sí",1/DATOS_[[% normaliz]:[% normaliz]],1)*(DATOS_[Conc.Sal.13])))))))),
0)</f>
        <v>0</v>
      </c>
      <c r="W71" s="196">
        <f t="array" ref="W71">IFERROR(
(MEDIAN((IF(DATOS_[[Sexo]:[Sexo]]=$B71,IF(DATOS_[[AGRUP. CLAS. PROF.]:[AGRUP. CLAS. PROF.]]=$B69,IF(DATOS_[[Check Periodo Ref.]:[Check Periodo Ref.]]="Dentro",IF(DATOS_[[Check Equiparado]:[Check Equiparado]]="Sí",IF(DATOS!AR$5="Sí",(1/DATOS_[[% anualiz]:[% anualiz]]),1)*IF(DATOS!AR$4="Sí",1/DATOS_[[% normaliz]:[% normaliz]],1)*(DATOS_[Conc.Sal.14])))))))),
0)</f>
        <v>0</v>
      </c>
      <c r="X71" s="196">
        <f t="array" ref="X71">IFERROR(
(MEDIAN((IF(DATOS_[[Sexo]:[Sexo]]=$B71,IF(DATOS_[[AGRUP. CLAS. PROF.]:[AGRUP. CLAS. PROF.]]=$B69,IF(DATOS_[[Check Periodo Ref.]:[Check Periodo Ref.]]="Dentro",IF(DATOS_[[Check Equiparado]:[Check Equiparado]]="Sí",IF(DATOS!AS$5="Sí",(1/DATOS_[[% anualiz]:[% anualiz]]),1)*IF(DATOS!AS$4="Sí",1/DATOS_[[% normaliz]:[% normaliz]],1)*(DATOS_[Conc.Sal.15])))))))),
0)</f>
        <v>0</v>
      </c>
      <c r="Y71" s="196">
        <f t="array" ref="Y71">IFERROR(
(MEDIAN((IF(DATOS_[[Sexo]:[Sexo]]=$B71,IF(DATOS_[[AGRUP. CLAS. PROF.]:[AGRUP. CLAS. PROF.]]=$B69,IF(DATOS_[[Check Periodo Ref.]:[Check Periodo Ref.]]="Dentro",IF(DATOS_[[Check Equiparado]:[Check Equiparado]]="Sí",IF(DATOS!AT$5="Sí",(1/DATOS_[[% anualiz]:[% anualiz]]),1)*IF(DATOS!AT$4="Sí",1/DATOS_[[% normaliz]:[% normaliz]],1)*(DATOS_[Conc.Sal.16])))))))),
0)</f>
        <v>0</v>
      </c>
      <c r="Z71" s="196">
        <f t="array" ref="Z71">IFERROR(
(MEDIAN((IF(DATOS_[[Sexo]:[Sexo]]=$B71,IF(DATOS_[[AGRUP. CLAS. PROF.]:[AGRUP. CLAS. PROF.]]=$B69,IF(DATOS_[[Check Periodo Ref.]:[Check Periodo Ref.]]="Dentro",IF(DATOS_[[Check Equiparado]:[Check Equiparado]]="Sí",IF(DATOS!AU$5="Sí",(1/DATOS_[[% anualiz]:[% anualiz]]),1)*IF(DATOS!AU$4="Sí",1/DATOS_[[% normaliz]:[% normaliz]],1)*(DATOS_[Conc.Sal.17])))))))),
0)</f>
        <v>0</v>
      </c>
      <c r="AA71" s="196">
        <f t="array" ref="AA71">IFERROR(
(MEDIAN((IF(DATOS_[[Sexo]:[Sexo]]=$B71,IF(DATOS_[[AGRUP. CLAS. PROF.]:[AGRUP. CLAS. PROF.]]=$B69,IF(DATOS_[[Check Periodo Ref.]:[Check Periodo Ref.]]="Dentro",IF(DATOS_[[Check Equiparado]:[Check Equiparado]]="Sí",IF(DATOS!AV$5="Sí",(1/DATOS_[[% anualiz]:[% anualiz]]),1)*IF(DATOS!AV$4="Sí",1/DATOS_[[% normaliz]:[% normaliz]],1)*(DATOS_[Conc.Sal.18])))))))),
0)</f>
        <v>0</v>
      </c>
      <c r="AB71" s="196">
        <f t="array" ref="AB71">IFERROR(
(MEDIAN((IF(DATOS_[[Sexo]:[Sexo]]=$B71,IF(DATOS_[[AGRUP. CLAS. PROF.]:[AGRUP. CLAS. PROF.]]=$B69,IF(DATOS_[[Check Periodo Ref.]:[Check Periodo Ref.]]="Dentro",IF(DATOS_[[Check Equiparado]:[Check Equiparado]]="Sí",IF(DATOS!AW$5="Sí",(1/DATOS_[[% anualiz]:[% anualiz]]),1)*IF(DATOS!AW$4="Sí",1/DATOS_[[% normaliz]:[% normaliz]],1)*(DATOS_[Conc.Sal.19])))))))),
0)</f>
        <v>0</v>
      </c>
      <c r="AC71" s="196">
        <f t="array" ref="AC71">IFERROR(
(MEDIAN((IF(DATOS_[[Sexo]:[Sexo]]=$B71,IF(DATOS_[[AGRUP. CLAS. PROF.]:[AGRUP. CLAS. PROF.]]=$B69,IF(DATOS_[[Check Periodo Ref.]:[Check Periodo Ref.]]="Dentro",IF(DATOS_[[Check Equiparado]:[Check Equiparado]]="Sí",IF(DATOS!AX$5="Sí",(1/DATOS_[[% anualiz]:[% anualiz]]),1)*IF(DATOS!AX$4="Sí",1/DATOS_[[% normaliz]:[% normaliz]],1)*(DATOS_[Conc.Sal.20])))))))),
0)</f>
        <v>0</v>
      </c>
      <c r="AD71" s="196">
        <f t="array" ref="AD71">IFERROR(
(MEDIAN((IF(DATOS_[[Sexo]:[Sexo]]=$B71,IF(DATOS_[[AGRUP. CLAS. PROF.]:[AGRUP. CLAS. PROF.]]=$B69,IF(DATOS_[[Check Periodo Ref.]:[Check Periodo Ref.]]="Dentro",IF(DATOS_[[Check Equiparado]:[Check Equiparado]]="Sí",IF(DATOS!AY$5="Sí",(1/DATOS_[[% anualiz]:[% anualiz]]),1)*IF(DATOS!AY$4="Sí",1/DATOS_[[% normaliz]:[% normaliz]],1)*(DATOS_[Conc.Sal.21])))))))),
0)</f>
        <v>0</v>
      </c>
      <c r="AE71" s="196">
        <f t="array" ref="AE71">IFERROR(
(MEDIAN((IF(DATOS_[[Sexo]:[Sexo]]=$B71,IF(DATOS_[[AGRUP. CLAS. PROF.]:[AGRUP. CLAS. PROF.]]=$B69,IF(DATOS_[[Check Periodo Ref.]:[Check Periodo Ref.]]="Dentro",IF(DATOS_[[Check Equiparado]:[Check Equiparado]]="Sí",IF(DATOS!AZ$5="Sí",(1/DATOS_[[% anualiz]:[% anualiz]]),1)*IF(DATOS!AZ$4="Sí",1/DATOS_[[% normaliz]:[% normaliz]],1)*(DATOS_[Conc.Sal.22])))))))),
0)</f>
        <v>0</v>
      </c>
      <c r="AF71" s="196">
        <f t="array" ref="AF71">IFERROR(
(MEDIAN((IF(DATOS_[[Sexo]:[Sexo]]=$B71,IF(DATOS_[[AGRUP. CLAS. PROF.]:[AGRUP. CLAS. PROF.]]=$B69,IF(DATOS_[[Check Periodo Ref.]:[Check Periodo Ref.]]="Dentro",IF(DATOS_[[Check Equiparado]:[Check Equiparado]]="Sí",IF(DATOS!BA$5="Sí",(1/DATOS_[[% anualiz]:[% anualiz]]),1)*IF(DATOS!BA$4="Sí",1/DATOS_[[% normaliz]:[% normaliz]],1)*(DATOS_[Conc.Sal.23])))))))),
0)</f>
        <v>0</v>
      </c>
      <c r="AG71" s="196">
        <f t="array" ref="AG71">IFERROR(
(MEDIAN((IF(DATOS_[[Sexo]:[Sexo]]=$B71,IF(DATOS_[[AGRUP. CLAS. PROF.]:[AGRUP. CLAS. PROF.]]=$B69,IF(DATOS_[[Check Periodo Ref.]:[Check Periodo Ref.]]="Dentro",IF(DATOS_[[Check Equiparado]:[Check Equiparado]]="Sí",IF(DATOS!BB$5="Sí",(1/DATOS_[[% anualiz]:[% anualiz]]),1)*IF(DATOS!BB$4="Sí",1/DATOS_[[% normaliz]:[% normaliz]],1)*(DATOS_[Conc.Sal.24])))))))),
0)</f>
        <v>0</v>
      </c>
      <c r="AH71" s="196">
        <f t="array" ref="AH71">IFERROR(
(MEDIAN((IF(DATOS_[[Sexo]:[Sexo]]=$B71,IF(DATOS_[[AGRUP. CLAS. PROF.]:[AGRUP. CLAS. PROF.]]=$B69,IF(DATOS_[[Check Periodo Ref.]:[Check Periodo Ref.]]="Dentro",IF(DATOS_[[Check Equiparado]:[Check Equiparado]]="Sí",IF(DATOS!BC$5="Sí",(1/DATOS_[[% anualiz]:[% anualiz]]),1)*IF(DATOS!BC$4="Sí",1/DATOS_[[% normaliz]:[% normaliz]],1)*(DATOS_[Conc.Sal.25])))))))),
0)</f>
        <v>0</v>
      </c>
      <c r="AI71" s="196">
        <f t="array" ref="AI71">IFERROR(
(MEDIAN((IF(DATOS_[[Sexo]:[Sexo]]=$B71,IF(DATOS_[[AGRUP. CLAS. PROF.]:[AGRUP. CLAS. PROF.]]=$B69,IF(DATOS_[[Check Periodo Ref.]:[Check Periodo Ref.]]="Dentro",IF(DATOS_[[Check Equiparado]:[Check Equiparado]]="Sí",IF(DATOS!BD$5="Sí",(1/DATOS_[[% anualiz]:[% anualiz]]),1)*IF(DATOS!BD$4="Sí",1/DATOS_[[% normaliz]:[% normaliz]],1)*(DATOS_[Conc.Sal.26])))))))),
0)</f>
        <v>0</v>
      </c>
      <c r="AJ71" s="196">
        <f t="array" ref="AJ71">IFERROR(
(MEDIAN((IF(DATOS_[[Sexo]:[Sexo]]=$B71,IF(DATOS_[[AGRUP. CLAS. PROF.]:[AGRUP. CLAS. PROF.]]=$B69,IF(DATOS_[[Check Periodo Ref.]:[Check Periodo Ref.]]="Dentro",IF(DATOS_[[Check Equiparado]:[Check Equiparado]]="Sí",IF(DATOS!BE$5="Sí",(1/DATOS_[[% anualiz]:[% anualiz]]),1)*IF(DATOS!BE$4="Sí",1/DATOS_[[% normaliz]:[% normaliz]],1)*(DATOS_[Conc.Sal.27])))))))),
0)</f>
        <v>0</v>
      </c>
      <c r="AK71" s="196">
        <f t="array" ref="AK71">IFERROR(
(MEDIAN((IF(DATOS_[[Sexo]:[Sexo]]=$B71,IF(DATOS_[[AGRUP. CLAS. PROF.]:[AGRUP. CLAS. PROF.]]=$B69,IF(DATOS_[[Check Periodo Ref.]:[Check Periodo Ref.]]="Dentro",IF(DATOS_[[Check Equiparado]:[Check Equiparado]]="Sí",IF(DATOS!BF$5="Sí",(1/DATOS_[[% anualiz]:[% anualiz]]),1)*IF(DATOS!BF$4="Sí",1/DATOS_[[% normaliz]:[% normaliz]],1)*(DATOS_[Conc.Sal.28])))))))),
0)</f>
        <v>0</v>
      </c>
      <c r="AL71" s="196">
        <f t="array" ref="AL71">IFERROR(
(MEDIAN((IF(DATOS_[[Sexo]:[Sexo]]=$B71,IF(DATOS_[[AGRUP. CLAS. PROF.]:[AGRUP. CLAS. PROF.]]=$B69,IF(DATOS_[[Check Periodo Ref.]:[Check Periodo Ref.]]="Dentro",IF(DATOS_[[Check Equiparado]:[Check Equiparado]]="Sí",IF(DATOS!BG$5="Sí",(1/DATOS_[[% anualiz]:[% anualiz]]),1)*IF(DATOS!BG$4="Sí",1/DATOS_[[% normaliz]:[% normaliz]],1)*(DATOS_[Conc.Sal.29])))))))),
0)</f>
        <v>0</v>
      </c>
      <c r="AM71" s="196">
        <f t="array" ref="AM71">IFERROR(
(MEDIAN((IF(DATOS_[[Sexo]:[Sexo]]=$B71,IF(DATOS_[[AGRUP. CLAS. PROF.]:[AGRUP. CLAS. PROF.]]=$B69,IF(DATOS_[[Check Periodo Ref.]:[Check Periodo Ref.]]="Dentro",IF(DATOS_[[Check Equiparado]:[Check Equiparado]]="Sí",IF(DATOS!BH$5="Sí",(1/DATOS_[[% anualiz]:[% anualiz]]),1)*IF(DATOS!BH$4="Sí",1/DATOS_[[% normaliz]:[% normaliz]],1)*(DATOS_[Conc.Sal.30])))))))),
0)</f>
        <v>0</v>
      </c>
      <c r="AN71" s="195">
        <f t="array" ref="AN71">IFERROR(
MEDIAN(IF(DATOS_[Sexo]=$B71,IF(DATOS_[[AGRUP. CLAS. PROF.]:[AGRUP. CLAS. PROF.]]=$B69,IF(DATOS_[Check Equiparado]="Sí",IF(DATOS_[Check Periodo Ref.]="Dentro",DATOS_[Tot COMPL.SAL Eq],FALSE))))),
0)</f>
        <v>0</v>
      </c>
      <c r="AO71" s="172">
        <f t="array" ref="AO71">IFERROR(
MEDIAN(IF(DATOS_[Sexo]=$B71,IF(DATOS_[[AGRUP. CLAS. PROF.]:[AGRUP. CLAS. PROF.]]=$B69,IF(DATOS_[Check Equiparado]="Sí",IF(DATOS_[Check Periodo Ref.]="Dentro",DATOS_[TOTAL SALARIO Eq],FALSE))))),
0)</f>
        <v>0</v>
      </c>
      <c r="AP71" s="173">
        <f t="array" ref="AP71">IFERROR(
(MEDIAN((IF(DATOS_[[Sexo]:[Sexo]]=$B71,IF(DATOS_[[AGRUP. CLAS. PROF.]:[AGRUP. CLAS. PROF.]]=$B69,IF(DATOS_[[Check Periodo Ref.]:[Check Periodo Ref.]]="Dentro",IF(DATOS_[[Check Equiparado]:[Check Equiparado]]="Sí",IF(DATOS!BW$5="Sí",(1/DATOS_[[% anualiz]:[% anualiz]]),1)*IF(DATOS!BW$4="Sí",1/DATOS_[[% normaliz]:[% normaliz]],1)*(DATOS_[C.Extra.01])))))))),
0)</f>
        <v>0</v>
      </c>
      <c r="AQ71" s="173">
        <f t="array" ref="AQ71">IFERROR(
(MEDIAN((IF(DATOS_[[Sexo]:[Sexo]]=$B71,IF(DATOS_[[AGRUP. CLAS. PROF.]:[AGRUP. CLAS. PROF.]]=$B69,IF(DATOS_[[Check Periodo Ref.]:[Check Periodo Ref.]]="Dentro",IF(DATOS_[[Check Equiparado]:[Check Equiparado]]="Sí",IF(DATOS!CB$5="Sí",(1/DATOS_[[% anualiz]:[% anualiz]]),1)*IF(DATOS!CB$4="Sí",1/DATOS_[[% normaliz]:[% normaliz]],1)*(DATOS_[C.Extra.06])))))))),
0)</f>
        <v>0</v>
      </c>
      <c r="AR71" s="173">
        <f t="array" ref="AR71">IFERROR(
(MEDIAN((IF(DATOS_[[Sexo]:[Sexo]]=$B71,IF(DATOS_[[AGRUP. CLAS. PROF.]:[AGRUP. CLAS. PROF.]]=$B69,IF(DATOS_[[Check Periodo Ref.]:[Check Periodo Ref.]]="Dentro",IF(DATOS_[[Check Equiparado]:[Check Equiparado]]="Sí",IF(DATOS!CC$5="Sí",(1/DATOS_[[% anualiz]:[% anualiz]]),1)*IF(DATOS!CC$4="Sí",1/DATOS_[[% normaliz]:[% normaliz]],1)*(DATOS_[C.Extra.07])))))))),
0)</f>
        <v>0</v>
      </c>
      <c r="AS71" s="173">
        <f t="array" ref="AS71">IFERROR(
(MEDIAN((IF(DATOS_[[Sexo]:[Sexo]]=$B71,IF(DATOS_[[AGRUP. CLAS. PROF.]:[AGRUP. CLAS. PROF.]]=$B69,IF(DATOS_[[Check Periodo Ref.]:[Check Periodo Ref.]]="Dentro",IF(DATOS_[[Check Equiparado]:[Check Equiparado]]="Sí",IF(DATOS!CD$5="Sí",(1/DATOS_[[% anualiz]:[% anualiz]]),1)*IF(DATOS!CD$4="Sí",1/DATOS_[[% normaliz]:[% normaliz]],1)*(DATOS_[C.Extra.08])))))))),
0)</f>
        <v>0</v>
      </c>
      <c r="AT71" s="173">
        <f t="array" ref="AT71">IFERROR(
(MEDIAN((IF(DATOS_[[Sexo]:[Sexo]]=$B71,IF(DATOS_[[AGRUP. CLAS. PROF.]:[AGRUP. CLAS. PROF.]]=$B69,IF(DATOS_[[Check Periodo Ref.]:[Check Periodo Ref.]]="Dentro",IF(DATOS_[[Check Equiparado]:[Check Equiparado]]="Sí",IF(DATOS!CG$5="Sí",(1/DATOS_[[% anualiz]:[% anualiz]]),1)*IF(DATOS!CG$4="Sí",1/DATOS_[[% normaliz]:[% normaliz]],1)*(DATOS_[C.Extra.11])))))))),
0)</f>
        <v>0</v>
      </c>
      <c r="AU71" s="197">
        <f t="array" ref="AU71">IFERROR(
MEDIAN(IF(DATOS_[Sexo]=$B71,IF(DATOS_[[AGRUP. CLAS. PROF.]:[AGRUP. CLAS. PROF.]]=$B69,IF(DATOS_[Check Equiparado]="Sí",IF(DATOS_[Check Periodo Ref.]="Dentro",DATOS_[Tot Extrasalarial Eq],FALSE))))),
0)</f>
        <v>0</v>
      </c>
      <c r="AV71" s="175">
        <f t="array" ref="AV71">IFERROR(
MEDIAN(IF(DATOS_[Sexo]=$B71,IF(DATOS_[[AGRUP. CLAS. PROF.]:[AGRUP. CLAS. PROF.]]=$B69,IF(DATOS_[Check Equiparado]="Sí",IF(DATOS_[Check Periodo Ref.]="Dentro",DATOS_[TOTAL Retrib Eq],FALSE))))),
0)</f>
        <v>0</v>
      </c>
    </row>
    <row r="72" spans="1:48" ht="15.6" hidden="1" thickBot="1" x14ac:dyDescent="0.3">
      <c r="A72" s="133" t="str">
        <f t="shared" ref="A72" si="79">+A73</f>
        <v>[ocultar]</v>
      </c>
      <c r="B72" s="199" t="s">
        <v>256</v>
      </c>
      <c r="C72" s="200"/>
      <c r="D72" s="201"/>
      <c r="E72" s="201"/>
      <c r="F72" s="201"/>
      <c r="G72" s="201"/>
      <c r="H72" s="201"/>
      <c r="I72" s="189" t="str">
        <f t="shared" ref="I72:AV72" si="80">IFERROR((I73-I74)/I73,"")</f>
        <v/>
      </c>
      <c r="J72" s="190" t="str">
        <f t="shared" si="80"/>
        <v/>
      </c>
      <c r="K72" s="191" t="str">
        <f t="shared" si="80"/>
        <v/>
      </c>
      <c r="L72" s="191" t="str">
        <f t="shared" si="80"/>
        <v/>
      </c>
      <c r="M72" s="191" t="str">
        <f t="shared" si="80"/>
        <v/>
      </c>
      <c r="N72" s="192" t="str">
        <f t="shared" si="80"/>
        <v/>
      </c>
      <c r="O72" s="193" t="str">
        <f t="shared" si="80"/>
        <v/>
      </c>
      <c r="P72" s="193" t="str">
        <f t="shared" si="80"/>
        <v/>
      </c>
      <c r="Q72" s="193" t="str">
        <f t="shared" si="80"/>
        <v/>
      </c>
      <c r="R72" s="193" t="str">
        <f t="shared" si="80"/>
        <v/>
      </c>
      <c r="S72" s="193" t="str">
        <f t="shared" si="80"/>
        <v/>
      </c>
      <c r="T72" s="193" t="str">
        <f t="shared" si="80"/>
        <v/>
      </c>
      <c r="U72" s="193" t="str">
        <f t="shared" si="80"/>
        <v/>
      </c>
      <c r="V72" s="193" t="str">
        <f t="shared" si="80"/>
        <v/>
      </c>
      <c r="W72" s="193" t="str">
        <f t="shared" si="80"/>
        <v/>
      </c>
      <c r="X72" s="193" t="str">
        <f t="shared" si="80"/>
        <v/>
      </c>
      <c r="Y72" s="193" t="str">
        <f t="shared" si="80"/>
        <v/>
      </c>
      <c r="Z72" s="193" t="str">
        <f t="shared" si="80"/>
        <v/>
      </c>
      <c r="AA72" s="193" t="str">
        <f t="shared" si="80"/>
        <v/>
      </c>
      <c r="AB72" s="193" t="str">
        <f t="shared" si="80"/>
        <v/>
      </c>
      <c r="AC72" s="193" t="str">
        <f t="shared" si="80"/>
        <v/>
      </c>
      <c r="AD72" s="193" t="str">
        <f t="shared" si="80"/>
        <v/>
      </c>
      <c r="AE72" s="193" t="str">
        <f t="shared" si="80"/>
        <v/>
      </c>
      <c r="AF72" s="193" t="str">
        <f t="shared" si="80"/>
        <v/>
      </c>
      <c r="AG72" s="193" t="str">
        <f t="shared" si="80"/>
        <v/>
      </c>
      <c r="AH72" s="193" t="str">
        <f t="shared" si="80"/>
        <v/>
      </c>
      <c r="AI72" s="193" t="str">
        <f t="shared" si="80"/>
        <v/>
      </c>
      <c r="AJ72" s="193" t="str">
        <f t="shared" si="80"/>
        <v/>
      </c>
      <c r="AK72" s="193" t="str">
        <f t="shared" si="80"/>
        <v/>
      </c>
      <c r="AL72" s="193" t="str">
        <f t="shared" si="80"/>
        <v/>
      </c>
      <c r="AM72" s="193" t="str">
        <f t="shared" si="80"/>
        <v/>
      </c>
      <c r="AN72" s="189" t="str">
        <f t="shared" si="80"/>
        <v/>
      </c>
      <c r="AO72" s="162" t="str">
        <f t="shared" si="80"/>
        <v/>
      </c>
      <c r="AP72" s="163" t="str">
        <f t="shared" si="80"/>
        <v/>
      </c>
      <c r="AQ72" s="163" t="str">
        <f t="shared" si="80"/>
        <v/>
      </c>
      <c r="AR72" s="163" t="str">
        <f t="shared" si="80"/>
        <v/>
      </c>
      <c r="AS72" s="163" t="str">
        <f t="shared" si="80"/>
        <v/>
      </c>
      <c r="AT72" s="163" t="str">
        <f t="shared" si="80"/>
        <v/>
      </c>
      <c r="AU72" s="194" t="str">
        <f t="shared" si="80"/>
        <v/>
      </c>
      <c r="AV72" s="165" t="str">
        <f t="shared" si="80"/>
        <v/>
      </c>
    </row>
    <row r="73" spans="1:48" hidden="1" x14ac:dyDescent="0.25">
      <c r="A73" s="133" t="str">
        <f t="shared" ref="A73" si="81">+IF(C73+C74=0,"[ocultar]","")</f>
        <v>[ocultar]</v>
      </c>
      <c r="B73" s="202" t="s">
        <v>394</v>
      </c>
      <c r="C73" s="203">
        <f t="array" ref="C73">SUM(IF($B73=DATOS_[Sexo],
IF($B72=DATOS_[AGRUP. CLAS. PROF.],
IF("Dentro"=DATOS_[Check Periodo Ref.],
1/(COUNTIFS(DATOS_[Sexo],$B73,DATOS_[AGRUP. CLAS. PROF.],$B72,DATOS_[Check Periodo Ref.],"Dentro",DATOS_[id/cod],DATOS_[id/cod]))))))</f>
        <v>0</v>
      </c>
      <c r="D73" s="204">
        <f>COUNTIFS(DATOS_[AGRUP. CLAS. PROF.],$B72,DATOS_[Sexo],$B73,DATOS_[Check Periodo Ref.],"Dentro")</f>
        <v>0</v>
      </c>
      <c r="E73" s="204">
        <f>COUNTIFS(DATOS_[AGRUP. CLAS. PROF.],$B72,DATOS_[Sexo],$B73,DATOS_[Check Periodo Ref.],"Dentro",DATOS_[Check Nº SC Norm],"Sí")</f>
        <v>0</v>
      </c>
      <c r="F73" s="204">
        <f>COUNTIFS(DATOS_[AGRUP. CLAS. PROF.],$B72,DATOS_[Sexo],$B73,DATOS_[Check Periodo Ref.],"Dentro",DATOS_[Check Nº SC Anualiz],"Sí")</f>
        <v>0</v>
      </c>
      <c r="G73" s="204">
        <f>COUNTIFS(DATOS_[AGRUP. CLAS. PROF.],$B72,DATOS_[Sexo],$B73,DATOS_[Check Periodo Ref.],"Dentro",DATOS_[Check Nº SC Norm y Anualiz],"Sí")</f>
        <v>0</v>
      </c>
      <c r="H73" s="204">
        <f>COUNTIFS(DATOS_[AGRUP. CLAS. PROF.],$B72,DATOS_[Sexo],$B73,DATOS_[Check Periodo Ref.],"Dentro",DATOS_[Check Equiparación],"Sí")</f>
        <v>0</v>
      </c>
      <c r="I73" s="195">
        <f t="array" ref="I73">IFERROR(
MEDIAN(IF(DATOS_[Sexo]=$B73,IF(DATOS_[[AGRUP. CLAS. PROF.]:[AGRUP. CLAS. PROF.]]=$B72,IF(DATOS_[Check Equiparado]="Sí",IF(DATOS_[Check Periodo Ref.]="Dentro",DATOS_[SALARIO BASE Eq],FALSE))))),
0)</f>
        <v>0</v>
      </c>
      <c r="J73" s="196">
        <f t="array" ref="J73">IFERROR(
(MEDIAN((IF(DATOS_[[Sexo]:[Sexo]]=$B73,IF(DATOS_[[AGRUP. CLAS. PROF.]:[AGRUP. CLAS. PROF.]]=$B72,IF(DATOS_[[Check Periodo Ref.]:[Check Periodo Ref.]]="Dentro",IF(DATOS_[[Check Equiparado]:[Check Equiparado]]="Sí",IF(DATOS!AE$5="Sí",(1/DATOS_[[% anualiz]:[% anualiz]]),1)*IF(DATOS!AE$4="Sí",1/DATOS_[[% normaliz]:[% normaliz]],1)*(DATOS_[Conc.Sal.01])))))))),
0)</f>
        <v>0</v>
      </c>
      <c r="K73" s="196">
        <f t="array" ref="K73">IFERROR(
(MEDIAN((IF(DATOS_[[Sexo]:[Sexo]]=$B73,IF(DATOS_[[AGRUP. CLAS. PROF.]:[AGRUP. CLAS. PROF.]]=$B72,IF(DATOS_[[Check Periodo Ref.]:[Check Periodo Ref.]]="Dentro",IF(DATOS_[[Check Equiparado]:[Check Equiparado]]="Sí",IF(DATOS!AF$5="Sí",(1/DATOS_[[% anualiz]:[% anualiz]]),1)*IF(DATOS!AF$4="Sí",1/DATOS_[[% normaliz]:[% normaliz]],1)*(DATOS_[Conc.Sal.02])))))))),
0)</f>
        <v>0</v>
      </c>
      <c r="L73" s="196">
        <f t="array" ref="L73">IFERROR(
(MEDIAN((IF(DATOS_[[Sexo]:[Sexo]]=$B73,IF(DATOS_[[AGRUP. CLAS. PROF.]:[AGRUP. CLAS. PROF.]]=$B72,IF(DATOS_[[Check Periodo Ref.]:[Check Periodo Ref.]]="Dentro",IF(DATOS_[[Check Equiparado]:[Check Equiparado]]="Sí",IF(DATOS!AG$5="Sí",(1/DATOS_[[% anualiz]:[% anualiz]]),1)*IF(DATOS!AG$4="Sí",1/DATOS_[[% normaliz]:[% normaliz]],1)*(DATOS_[Conc.Sal.03])))))))),
0)</f>
        <v>0</v>
      </c>
      <c r="M73" s="196">
        <f t="array" ref="M73">IFERROR(
(MEDIAN((IF(DATOS_[[Sexo]:[Sexo]]=$B73,IF(DATOS_[[AGRUP. CLAS. PROF.]:[AGRUP. CLAS. PROF.]]=$B72,IF(DATOS_[[Check Periodo Ref.]:[Check Periodo Ref.]]="Dentro",IF(DATOS_[[Check Equiparado]:[Check Equiparado]]="Sí",IF(DATOS!AH$5="Sí",(1/DATOS_[[% anualiz]:[% anualiz]]),1)*IF(DATOS!AH$4="Sí",1/DATOS_[[% normaliz]:[% normaliz]],1)*(DATOS_[Conc.Sal.04])))))))),
0)</f>
        <v>0</v>
      </c>
      <c r="N73" s="196">
        <f t="array" ref="N73">IFERROR(
(MEDIAN((IF(DATOS_[[Sexo]:[Sexo]]=$B73,IF(DATOS_[[AGRUP. CLAS. PROF.]:[AGRUP. CLAS. PROF.]]=$B72,IF(DATOS_[[Check Periodo Ref.]:[Check Periodo Ref.]]="Dentro",IF(DATOS_[[Check Equiparado]:[Check Equiparado]]="Sí",IF(DATOS!AI$5="Sí",(1/DATOS_[[% anualiz]:[% anualiz]]),1)*IF(DATOS!AI$4="Sí",1/DATOS_[[% normaliz]:[% normaliz]],1)*(DATOS_[Conc.Sal.05])))))))),
0)</f>
        <v>0</v>
      </c>
      <c r="O73" s="196">
        <f t="array" ref="O73">IFERROR(
(MEDIAN((IF(DATOS_[[Sexo]:[Sexo]]=$B73,IF(DATOS_[[AGRUP. CLAS. PROF.]:[AGRUP. CLAS. PROF.]]=$B72,IF(DATOS_[[Check Periodo Ref.]:[Check Periodo Ref.]]="Dentro",IF(DATOS_[[Check Equiparado]:[Check Equiparado]]="Sí",IF(DATOS!AJ$5="Sí",(1/DATOS_[[% anualiz]:[% anualiz]]),1)*IF(DATOS!AJ$4="Sí",1/DATOS_[[% normaliz]:[% normaliz]],1)*(DATOS_[Conc.Sal.06])))))))),
0)</f>
        <v>0</v>
      </c>
      <c r="P73" s="196">
        <f t="array" ref="P73">IFERROR(
(MEDIAN((IF(DATOS_[[Sexo]:[Sexo]]=$B73,IF(DATOS_[[AGRUP. CLAS. PROF.]:[AGRUP. CLAS. PROF.]]=$B72,IF(DATOS_[[Check Periodo Ref.]:[Check Periodo Ref.]]="Dentro",IF(DATOS_[[Check Equiparado]:[Check Equiparado]]="Sí",IF(DATOS!AK$5="Sí",(1/DATOS_[[% anualiz]:[% anualiz]]),1)*IF(DATOS!AK$4="Sí",1/DATOS_[[% normaliz]:[% normaliz]],1)*(DATOS_[Conc.Sal.07])))))))),
0)</f>
        <v>0</v>
      </c>
      <c r="Q73" s="196">
        <f t="array" ref="Q73">IFERROR(
(MEDIAN((IF(DATOS_[[Sexo]:[Sexo]]=$B73,IF(DATOS_[[AGRUP. CLAS. PROF.]:[AGRUP. CLAS. PROF.]]=$B72,IF(DATOS_[[Check Periodo Ref.]:[Check Periodo Ref.]]="Dentro",IF(DATOS_[[Check Equiparado]:[Check Equiparado]]="Sí",IF(DATOS!AL$5="Sí",(1/DATOS_[[% anualiz]:[% anualiz]]),1)*IF(DATOS!AL$4="Sí",1/DATOS_[[% normaliz]:[% normaliz]],1)*(DATOS_[Conc.Sal.08])))))))),
0)</f>
        <v>0</v>
      </c>
      <c r="R73" s="196">
        <f t="array" ref="R73">IFERROR(
(MEDIAN((IF(DATOS_[[Sexo]:[Sexo]]=$B73,IF(DATOS_[[AGRUP. CLAS. PROF.]:[AGRUP. CLAS. PROF.]]=$B72,IF(DATOS_[[Check Periodo Ref.]:[Check Periodo Ref.]]="Dentro",IF(DATOS_[[Check Equiparado]:[Check Equiparado]]="Sí",IF(DATOS!AM$5="Sí",(1/DATOS_[[% anualiz]:[% anualiz]]),1)*IF(DATOS!AM$4="Sí",1/DATOS_[[% normaliz]:[% normaliz]],1)*(DATOS_[Conc.Sal.09])))))))),
0)</f>
        <v>0</v>
      </c>
      <c r="S73" s="196">
        <f t="array" ref="S73">IFERROR(
(MEDIAN((IF(DATOS_[[Sexo]:[Sexo]]=$B73,IF(DATOS_[[AGRUP. CLAS. PROF.]:[AGRUP. CLAS. PROF.]]=$B72,IF(DATOS_[[Check Periodo Ref.]:[Check Periodo Ref.]]="Dentro",IF(DATOS_[[Check Equiparado]:[Check Equiparado]]="Sí",IF(DATOS!AN$5="Sí",(1/DATOS_[[% anualiz]:[% anualiz]]),1)*IF(DATOS!AN$4="Sí",1/DATOS_[[% normaliz]:[% normaliz]],1)*(DATOS_[Conc.Sal.10])))))))),
0)</f>
        <v>0</v>
      </c>
      <c r="T73" s="196">
        <f t="array" ref="T73">IFERROR(
(MEDIAN((IF(DATOS_[[Sexo]:[Sexo]]=$B73,IF(DATOS_[[AGRUP. CLAS. PROF.]:[AGRUP. CLAS. PROF.]]=$B72,IF(DATOS_[[Check Periodo Ref.]:[Check Periodo Ref.]]="Dentro",IF(DATOS_[[Check Equiparado]:[Check Equiparado]]="Sí",IF(DATOS!AO$5="Sí",(1/DATOS_[[% anualiz]:[% anualiz]]),1)*IF(DATOS!AO$4="Sí",1/DATOS_[[% normaliz]:[% normaliz]],1)*(DATOS_[Conc.Sal.11])))))))),
0)</f>
        <v>0</v>
      </c>
      <c r="U73" s="196">
        <f t="array" ref="U73">IFERROR(
(MEDIAN((IF(DATOS_[[Sexo]:[Sexo]]=$B73,IF(DATOS_[[AGRUP. CLAS. PROF.]:[AGRUP. CLAS. PROF.]]=$B72,IF(DATOS_[[Check Periodo Ref.]:[Check Periodo Ref.]]="Dentro",IF(DATOS_[[Check Equiparado]:[Check Equiparado]]="Sí",IF(DATOS!AP$5="Sí",(1/DATOS_[[% anualiz]:[% anualiz]]),1)*IF(DATOS!AP$4="Sí",1/DATOS_[[% normaliz]:[% normaliz]],1)*(DATOS_[Conc.Sal.12])))))))),
0)</f>
        <v>0</v>
      </c>
      <c r="V73" s="196">
        <f t="array" ref="V73">IFERROR(
(MEDIAN((IF(DATOS_[[Sexo]:[Sexo]]=$B73,IF(DATOS_[[AGRUP. CLAS. PROF.]:[AGRUP. CLAS. PROF.]]=$B72,IF(DATOS_[[Check Periodo Ref.]:[Check Periodo Ref.]]="Dentro",IF(DATOS_[[Check Equiparado]:[Check Equiparado]]="Sí",IF(DATOS!AQ$5="Sí",(1/DATOS_[[% anualiz]:[% anualiz]]),1)*IF(DATOS!AQ$4="Sí",1/DATOS_[[% normaliz]:[% normaliz]],1)*(DATOS_[Conc.Sal.13])))))))),
0)</f>
        <v>0</v>
      </c>
      <c r="W73" s="196">
        <f t="array" ref="W73">IFERROR(
(MEDIAN((IF(DATOS_[[Sexo]:[Sexo]]=$B73,IF(DATOS_[[AGRUP. CLAS. PROF.]:[AGRUP. CLAS. PROF.]]=$B72,IF(DATOS_[[Check Periodo Ref.]:[Check Periodo Ref.]]="Dentro",IF(DATOS_[[Check Equiparado]:[Check Equiparado]]="Sí",IF(DATOS!AR$5="Sí",(1/DATOS_[[% anualiz]:[% anualiz]]),1)*IF(DATOS!AR$4="Sí",1/DATOS_[[% normaliz]:[% normaliz]],1)*(DATOS_[Conc.Sal.14])))))))),
0)</f>
        <v>0</v>
      </c>
      <c r="X73" s="196">
        <f t="array" ref="X73">IFERROR(
(MEDIAN((IF(DATOS_[[Sexo]:[Sexo]]=$B73,IF(DATOS_[[AGRUP. CLAS. PROF.]:[AGRUP. CLAS. PROF.]]=$B72,IF(DATOS_[[Check Periodo Ref.]:[Check Periodo Ref.]]="Dentro",IF(DATOS_[[Check Equiparado]:[Check Equiparado]]="Sí",IF(DATOS!AS$5="Sí",(1/DATOS_[[% anualiz]:[% anualiz]]),1)*IF(DATOS!AS$4="Sí",1/DATOS_[[% normaliz]:[% normaliz]],1)*(DATOS_[Conc.Sal.15])))))))),
0)</f>
        <v>0</v>
      </c>
      <c r="Y73" s="196">
        <f t="array" ref="Y73">IFERROR(
(MEDIAN((IF(DATOS_[[Sexo]:[Sexo]]=$B73,IF(DATOS_[[AGRUP. CLAS. PROF.]:[AGRUP. CLAS. PROF.]]=$B72,IF(DATOS_[[Check Periodo Ref.]:[Check Periodo Ref.]]="Dentro",IF(DATOS_[[Check Equiparado]:[Check Equiparado]]="Sí",IF(DATOS!AT$5="Sí",(1/DATOS_[[% anualiz]:[% anualiz]]),1)*IF(DATOS!AT$4="Sí",1/DATOS_[[% normaliz]:[% normaliz]],1)*(DATOS_[Conc.Sal.16])))))))),
0)</f>
        <v>0</v>
      </c>
      <c r="Z73" s="196">
        <f t="array" ref="Z73">IFERROR(
(MEDIAN((IF(DATOS_[[Sexo]:[Sexo]]=$B73,IF(DATOS_[[AGRUP. CLAS. PROF.]:[AGRUP. CLAS. PROF.]]=$B72,IF(DATOS_[[Check Periodo Ref.]:[Check Periodo Ref.]]="Dentro",IF(DATOS_[[Check Equiparado]:[Check Equiparado]]="Sí",IF(DATOS!AU$5="Sí",(1/DATOS_[[% anualiz]:[% anualiz]]),1)*IF(DATOS!AU$4="Sí",1/DATOS_[[% normaliz]:[% normaliz]],1)*(DATOS_[Conc.Sal.17])))))))),
0)</f>
        <v>0</v>
      </c>
      <c r="AA73" s="196">
        <f t="array" ref="AA73">IFERROR(
(MEDIAN((IF(DATOS_[[Sexo]:[Sexo]]=$B73,IF(DATOS_[[AGRUP. CLAS. PROF.]:[AGRUP. CLAS. PROF.]]=$B72,IF(DATOS_[[Check Periodo Ref.]:[Check Periodo Ref.]]="Dentro",IF(DATOS_[[Check Equiparado]:[Check Equiparado]]="Sí",IF(DATOS!AV$5="Sí",(1/DATOS_[[% anualiz]:[% anualiz]]),1)*IF(DATOS!AV$4="Sí",1/DATOS_[[% normaliz]:[% normaliz]],1)*(DATOS_[Conc.Sal.18])))))))),
0)</f>
        <v>0</v>
      </c>
      <c r="AB73" s="196">
        <f t="array" ref="AB73">IFERROR(
(MEDIAN((IF(DATOS_[[Sexo]:[Sexo]]=$B73,IF(DATOS_[[AGRUP. CLAS. PROF.]:[AGRUP. CLAS. PROF.]]=$B72,IF(DATOS_[[Check Periodo Ref.]:[Check Periodo Ref.]]="Dentro",IF(DATOS_[[Check Equiparado]:[Check Equiparado]]="Sí",IF(DATOS!AW$5="Sí",(1/DATOS_[[% anualiz]:[% anualiz]]),1)*IF(DATOS!AW$4="Sí",1/DATOS_[[% normaliz]:[% normaliz]],1)*(DATOS_[Conc.Sal.19])))))))),
0)</f>
        <v>0</v>
      </c>
      <c r="AC73" s="196">
        <f t="array" ref="AC73">IFERROR(
(MEDIAN((IF(DATOS_[[Sexo]:[Sexo]]=$B73,IF(DATOS_[[AGRUP. CLAS. PROF.]:[AGRUP. CLAS. PROF.]]=$B72,IF(DATOS_[[Check Periodo Ref.]:[Check Periodo Ref.]]="Dentro",IF(DATOS_[[Check Equiparado]:[Check Equiparado]]="Sí",IF(DATOS!AX$5="Sí",(1/DATOS_[[% anualiz]:[% anualiz]]),1)*IF(DATOS!AX$4="Sí",1/DATOS_[[% normaliz]:[% normaliz]],1)*(DATOS_[Conc.Sal.20])))))))),
0)</f>
        <v>0</v>
      </c>
      <c r="AD73" s="196">
        <f t="array" ref="AD73">IFERROR(
(MEDIAN((IF(DATOS_[[Sexo]:[Sexo]]=$B73,IF(DATOS_[[AGRUP. CLAS. PROF.]:[AGRUP. CLAS. PROF.]]=$B72,IF(DATOS_[[Check Periodo Ref.]:[Check Periodo Ref.]]="Dentro",IF(DATOS_[[Check Equiparado]:[Check Equiparado]]="Sí",IF(DATOS!AY$5="Sí",(1/DATOS_[[% anualiz]:[% anualiz]]),1)*IF(DATOS!AY$4="Sí",1/DATOS_[[% normaliz]:[% normaliz]],1)*(DATOS_[Conc.Sal.21])))))))),
0)</f>
        <v>0</v>
      </c>
      <c r="AE73" s="196">
        <f t="array" ref="AE73">IFERROR(
(MEDIAN((IF(DATOS_[[Sexo]:[Sexo]]=$B73,IF(DATOS_[[AGRUP. CLAS. PROF.]:[AGRUP. CLAS. PROF.]]=$B72,IF(DATOS_[[Check Periodo Ref.]:[Check Periodo Ref.]]="Dentro",IF(DATOS_[[Check Equiparado]:[Check Equiparado]]="Sí",IF(DATOS!AZ$5="Sí",(1/DATOS_[[% anualiz]:[% anualiz]]),1)*IF(DATOS!AZ$4="Sí",1/DATOS_[[% normaliz]:[% normaliz]],1)*(DATOS_[Conc.Sal.22])))))))),
0)</f>
        <v>0</v>
      </c>
      <c r="AF73" s="196">
        <f t="array" ref="AF73">IFERROR(
(MEDIAN((IF(DATOS_[[Sexo]:[Sexo]]=$B73,IF(DATOS_[[AGRUP. CLAS. PROF.]:[AGRUP. CLAS. PROF.]]=$B72,IF(DATOS_[[Check Periodo Ref.]:[Check Periodo Ref.]]="Dentro",IF(DATOS_[[Check Equiparado]:[Check Equiparado]]="Sí",IF(DATOS!BA$5="Sí",(1/DATOS_[[% anualiz]:[% anualiz]]),1)*IF(DATOS!BA$4="Sí",1/DATOS_[[% normaliz]:[% normaliz]],1)*(DATOS_[Conc.Sal.23])))))))),
0)</f>
        <v>0</v>
      </c>
      <c r="AG73" s="196">
        <f t="array" ref="AG73">IFERROR(
(MEDIAN((IF(DATOS_[[Sexo]:[Sexo]]=$B73,IF(DATOS_[[AGRUP. CLAS. PROF.]:[AGRUP. CLAS. PROF.]]=$B72,IF(DATOS_[[Check Periodo Ref.]:[Check Periodo Ref.]]="Dentro",IF(DATOS_[[Check Equiparado]:[Check Equiparado]]="Sí",IF(DATOS!BB$5="Sí",(1/DATOS_[[% anualiz]:[% anualiz]]),1)*IF(DATOS!BB$4="Sí",1/DATOS_[[% normaliz]:[% normaliz]],1)*(DATOS_[Conc.Sal.24])))))))),
0)</f>
        <v>0</v>
      </c>
      <c r="AH73" s="196">
        <f t="array" ref="AH73">IFERROR(
(MEDIAN((IF(DATOS_[[Sexo]:[Sexo]]=$B73,IF(DATOS_[[AGRUP. CLAS. PROF.]:[AGRUP. CLAS. PROF.]]=$B72,IF(DATOS_[[Check Periodo Ref.]:[Check Periodo Ref.]]="Dentro",IF(DATOS_[[Check Equiparado]:[Check Equiparado]]="Sí",IF(DATOS!BC$5="Sí",(1/DATOS_[[% anualiz]:[% anualiz]]),1)*IF(DATOS!BC$4="Sí",1/DATOS_[[% normaliz]:[% normaliz]],1)*(DATOS_[Conc.Sal.25])))))))),
0)</f>
        <v>0</v>
      </c>
      <c r="AI73" s="196">
        <f t="array" ref="AI73">IFERROR(
(MEDIAN((IF(DATOS_[[Sexo]:[Sexo]]=$B73,IF(DATOS_[[AGRUP. CLAS. PROF.]:[AGRUP. CLAS. PROF.]]=$B72,IF(DATOS_[[Check Periodo Ref.]:[Check Periodo Ref.]]="Dentro",IF(DATOS_[[Check Equiparado]:[Check Equiparado]]="Sí",IF(DATOS!BD$5="Sí",(1/DATOS_[[% anualiz]:[% anualiz]]),1)*IF(DATOS!BD$4="Sí",1/DATOS_[[% normaliz]:[% normaliz]],1)*(DATOS_[Conc.Sal.26])))))))),
0)</f>
        <v>0</v>
      </c>
      <c r="AJ73" s="196">
        <f t="array" ref="AJ73">IFERROR(
(MEDIAN((IF(DATOS_[[Sexo]:[Sexo]]=$B73,IF(DATOS_[[AGRUP. CLAS. PROF.]:[AGRUP. CLAS. PROF.]]=$B72,IF(DATOS_[[Check Periodo Ref.]:[Check Periodo Ref.]]="Dentro",IF(DATOS_[[Check Equiparado]:[Check Equiparado]]="Sí",IF(DATOS!BE$5="Sí",(1/DATOS_[[% anualiz]:[% anualiz]]),1)*IF(DATOS!BE$4="Sí",1/DATOS_[[% normaliz]:[% normaliz]],1)*(DATOS_[Conc.Sal.27])))))))),
0)</f>
        <v>0</v>
      </c>
      <c r="AK73" s="196">
        <f t="array" ref="AK73">IFERROR(
(MEDIAN((IF(DATOS_[[Sexo]:[Sexo]]=$B73,IF(DATOS_[[AGRUP. CLAS. PROF.]:[AGRUP. CLAS. PROF.]]=$B72,IF(DATOS_[[Check Periodo Ref.]:[Check Periodo Ref.]]="Dentro",IF(DATOS_[[Check Equiparado]:[Check Equiparado]]="Sí",IF(DATOS!BF$5="Sí",(1/DATOS_[[% anualiz]:[% anualiz]]),1)*IF(DATOS!BF$4="Sí",1/DATOS_[[% normaliz]:[% normaliz]],1)*(DATOS_[Conc.Sal.28])))))))),
0)</f>
        <v>0</v>
      </c>
      <c r="AL73" s="196">
        <f t="array" ref="AL73">IFERROR(
(MEDIAN((IF(DATOS_[[Sexo]:[Sexo]]=$B73,IF(DATOS_[[AGRUP. CLAS. PROF.]:[AGRUP. CLAS. PROF.]]=$B72,IF(DATOS_[[Check Periodo Ref.]:[Check Periodo Ref.]]="Dentro",IF(DATOS_[[Check Equiparado]:[Check Equiparado]]="Sí",IF(DATOS!BG$5="Sí",(1/DATOS_[[% anualiz]:[% anualiz]]),1)*IF(DATOS!BG$4="Sí",1/DATOS_[[% normaliz]:[% normaliz]],1)*(DATOS_[Conc.Sal.29])))))))),
0)</f>
        <v>0</v>
      </c>
      <c r="AM73" s="196">
        <f t="array" ref="AM73">IFERROR(
(MEDIAN((IF(DATOS_[[Sexo]:[Sexo]]=$B73,IF(DATOS_[[AGRUP. CLAS. PROF.]:[AGRUP. CLAS. PROF.]]=$B72,IF(DATOS_[[Check Periodo Ref.]:[Check Periodo Ref.]]="Dentro",IF(DATOS_[[Check Equiparado]:[Check Equiparado]]="Sí",IF(DATOS!BH$5="Sí",(1/DATOS_[[% anualiz]:[% anualiz]]),1)*IF(DATOS!BH$4="Sí",1/DATOS_[[% normaliz]:[% normaliz]],1)*(DATOS_[Conc.Sal.30])))))))),
0)</f>
        <v>0</v>
      </c>
      <c r="AN73" s="195">
        <f t="array" ref="AN73">IFERROR(
MEDIAN(IF(DATOS_[Sexo]=$B73,IF(DATOS_[[AGRUP. CLAS. PROF.]:[AGRUP. CLAS. PROF.]]=$B72,IF(DATOS_[Check Equiparado]="Sí",IF(DATOS_[Check Periodo Ref.]="Dentro",DATOS_[Tot COMPL.SAL Eq],FALSE))))),
0)</f>
        <v>0</v>
      </c>
      <c r="AO73" s="172">
        <f t="array" ref="AO73">IFERROR(
MEDIAN(IF(DATOS_[Sexo]=$B73,IF(DATOS_[[AGRUP. CLAS. PROF.]:[AGRUP. CLAS. PROF.]]=$B72,IF(DATOS_[Check Equiparado]="Sí",IF(DATOS_[Check Periodo Ref.]="Dentro",DATOS_[TOTAL SALARIO Eq],FALSE))))),
0)</f>
        <v>0</v>
      </c>
      <c r="AP73" s="173">
        <f t="array" ref="AP73">IFERROR(
(MEDIAN((IF(DATOS_[[Sexo]:[Sexo]]=$B73,IF(DATOS_[[AGRUP. CLAS. PROF.]:[AGRUP. CLAS. PROF.]]=$B72,IF(DATOS_[[Check Periodo Ref.]:[Check Periodo Ref.]]="Dentro",IF(DATOS_[[Check Equiparado]:[Check Equiparado]]="Sí",IF(DATOS!BW$5="Sí",(1/DATOS_[[% anualiz]:[% anualiz]]),1)*IF(DATOS!BW$4="Sí",1/DATOS_[[% normaliz]:[% normaliz]],1)*(DATOS_[C.Extra.01])))))))),
0)</f>
        <v>0</v>
      </c>
      <c r="AQ73" s="173">
        <f t="array" ref="AQ73">IFERROR(
(MEDIAN((IF(DATOS_[[Sexo]:[Sexo]]=$B73,IF(DATOS_[[AGRUP. CLAS. PROF.]:[AGRUP. CLAS. PROF.]]=$B72,IF(DATOS_[[Check Periodo Ref.]:[Check Periodo Ref.]]="Dentro",IF(DATOS_[[Check Equiparado]:[Check Equiparado]]="Sí",IF(DATOS!CB$5="Sí",(1/DATOS_[[% anualiz]:[% anualiz]]),1)*IF(DATOS!CB$4="Sí",1/DATOS_[[% normaliz]:[% normaliz]],1)*(DATOS_[C.Extra.06])))))))),
0)</f>
        <v>0</v>
      </c>
      <c r="AR73" s="173">
        <f t="array" ref="AR73">IFERROR(
(MEDIAN((IF(DATOS_[[Sexo]:[Sexo]]=$B73,IF(DATOS_[[AGRUP. CLAS. PROF.]:[AGRUP. CLAS. PROF.]]=$B72,IF(DATOS_[[Check Periodo Ref.]:[Check Periodo Ref.]]="Dentro",IF(DATOS_[[Check Equiparado]:[Check Equiparado]]="Sí",IF(DATOS!CC$5="Sí",(1/DATOS_[[% anualiz]:[% anualiz]]),1)*IF(DATOS!CC$4="Sí",1/DATOS_[[% normaliz]:[% normaliz]],1)*(DATOS_[C.Extra.07])))))))),
0)</f>
        <v>0</v>
      </c>
      <c r="AS73" s="173">
        <f t="array" ref="AS73">IFERROR(
(MEDIAN((IF(DATOS_[[Sexo]:[Sexo]]=$B73,IF(DATOS_[[AGRUP. CLAS. PROF.]:[AGRUP. CLAS. PROF.]]=$B72,IF(DATOS_[[Check Periodo Ref.]:[Check Periodo Ref.]]="Dentro",IF(DATOS_[[Check Equiparado]:[Check Equiparado]]="Sí",IF(DATOS!CD$5="Sí",(1/DATOS_[[% anualiz]:[% anualiz]]),1)*IF(DATOS!CD$4="Sí",1/DATOS_[[% normaliz]:[% normaliz]],1)*(DATOS_[C.Extra.08])))))))),
0)</f>
        <v>0</v>
      </c>
      <c r="AT73" s="173">
        <f t="array" ref="AT73">IFERROR(
(MEDIAN((IF(DATOS_[[Sexo]:[Sexo]]=$B73,IF(DATOS_[[AGRUP. CLAS. PROF.]:[AGRUP. CLAS. PROF.]]=$B72,IF(DATOS_[[Check Periodo Ref.]:[Check Periodo Ref.]]="Dentro",IF(DATOS_[[Check Equiparado]:[Check Equiparado]]="Sí",IF(DATOS!CG$5="Sí",(1/DATOS_[[% anualiz]:[% anualiz]]),1)*IF(DATOS!CG$4="Sí",1/DATOS_[[% normaliz]:[% normaliz]],1)*(DATOS_[C.Extra.11])))))))),
0)</f>
        <v>0</v>
      </c>
      <c r="AU73" s="197">
        <f t="array" ref="AU73">IFERROR(
MEDIAN(IF(DATOS_[Sexo]=$B73,IF(DATOS_[[AGRUP. CLAS. PROF.]:[AGRUP. CLAS. PROF.]]=$B72,IF(DATOS_[Check Equiparado]="Sí",IF(DATOS_[Check Periodo Ref.]="Dentro",DATOS_[Tot Extrasalarial Eq],FALSE))))),
0)</f>
        <v>0</v>
      </c>
      <c r="AV73" s="175">
        <f t="array" ref="AV73">IFERROR(
MEDIAN(IF(DATOS_[Sexo]=$B73,IF(DATOS_[[AGRUP. CLAS. PROF.]:[AGRUP. CLAS. PROF.]]=$B72,IF(DATOS_[Check Equiparado]="Sí",IF(DATOS_[Check Periodo Ref.]="Dentro",DATOS_[TOTAL Retrib Eq],FALSE))))),
0)</f>
        <v>0</v>
      </c>
    </row>
    <row r="74" spans="1:48" hidden="1" x14ac:dyDescent="0.25">
      <c r="A74" s="133" t="str">
        <f t="shared" ref="A74" si="82">+A73</f>
        <v>[ocultar]</v>
      </c>
      <c r="B74" s="202" t="s">
        <v>521</v>
      </c>
      <c r="C74" s="203">
        <f t="array" ref="C74">SUM(IF($B74=DATOS_[Sexo],
IF($B72=DATOS_[AGRUP. CLAS. PROF.],
IF("Dentro"=DATOS_[Check Periodo Ref.],
1/(COUNTIFS(DATOS_[Sexo],$B74,DATOS_[AGRUP. CLAS. PROF.],$B72,DATOS_[Check Periodo Ref.],"Dentro",DATOS_[id/cod],DATOS_[id/cod]))))))</f>
        <v>0</v>
      </c>
      <c r="D74" s="204">
        <f>COUNTIFS(DATOS_[AGRUP. CLAS. PROF.],$B72,DATOS_[Sexo],$B74,DATOS_[Check Periodo Ref.],"Dentro")</f>
        <v>0</v>
      </c>
      <c r="E74" s="204">
        <f>COUNTIFS(DATOS_[AGRUP. CLAS. PROF.],$B72,DATOS_[Sexo],$B74,DATOS_[Check Periodo Ref.],"Dentro",DATOS_[Check Nº SC Norm],"Sí")</f>
        <v>0</v>
      </c>
      <c r="F74" s="204">
        <f>COUNTIFS(DATOS_[AGRUP. CLAS. PROF.],$B72,DATOS_[Sexo],$B74,DATOS_[Check Periodo Ref.],"Dentro",DATOS_[Check Nº SC Anualiz],"Sí")</f>
        <v>0</v>
      </c>
      <c r="G74" s="204">
        <f>COUNTIFS(DATOS_[AGRUP. CLAS. PROF.],$B72,DATOS_[Sexo],$B74,DATOS_[Check Periodo Ref.],"Dentro",DATOS_[Check Nº SC Norm y Anualiz],"Sí")</f>
        <v>0</v>
      </c>
      <c r="H74" s="204">
        <f>COUNTIFS(DATOS_[AGRUP. CLAS. PROF.],$B72,DATOS_[Sexo],$B74,DATOS_[Check Periodo Ref.],"Dentro",DATOS_[Check Equiparación],"Sí")</f>
        <v>0</v>
      </c>
      <c r="I74" s="195" cm="1">
        <f t="array" ref="I74">IFERROR(
MEDIAN(IF(DATOS_[Sexo]=$B74,IF(DATOS_[[AGRUP. CLAS. PROF.]:[AGRUP. CLAS. PROF.]]=$B72,IF(DATOS_[Check Equiparado]="Sí",IF(DATOS_[Check Periodo Ref.]="Dentro",DATOS_[SALARIO BASE Eq],FALSE))))),
0)</f>
        <v>0</v>
      </c>
      <c r="J74" s="196">
        <f t="array" ref="J74">IFERROR(
(MEDIAN((IF(DATOS_[[Sexo]:[Sexo]]=$B74,IF(DATOS_[[AGRUP. CLAS. PROF.]:[AGRUP. CLAS. PROF.]]=$B72,IF(DATOS_[[Check Periodo Ref.]:[Check Periodo Ref.]]="Dentro",IF(DATOS_[[Check Equiparado]:[Check Equiparado]]="Sí",IF(DATOS!AE$5="Sí",(1/DATOS_[[% anualiz]:[% anualiz]]),1)*IF(DATOS!AE$4="Sí",1/DATOS_[[% normaliz]:[% normaliz]],1)*(DATOS_[Conc.Sal.01])))))))),
0)</f>
        <v>0</v>
      </c>
      <c r="K74" s="196">
        <f t="array" ref="K74">IFERROR(
(MEDIAN((IF(DATOS_[[Sexo]:[Sexo]]=$B74,IF(DATOS_[[AGRUP. CLAS. PROF.]:[AGRUP. CLAS. PROF.]]=$B72,IF(DATOS_[[Check Periodo Ref.]:[Check Periodo Ref.]]="Dentro",IF(DATOS_[[Check Equiparado]:[Check Equiparado]]="Sí",IF(DATOS!AF$5="Sí",(1/DATOS_[[% anualiz]:[% anualiz]]),1)*IF(DATOS!AF$4="Sí",1/DATOS_[[% normaliz]:[% normaliz]],1)*(DATOS_[Conc.Sal.02])))))))),
0)</f>
        <v>0</v>
      </c>
      <c r="L74" s="196">
        <f t="array" ref="L74">IFERROR(
(MEDIAN((IF(DATOS_[[Sexo]:[Sexo]]=$B74,IF(DATOS_[[AGRUP. CLAS. PROF.]:[AGRUP. CLAS. PROF.]]=$B72,IF(DATOS_[[Check Periodo Ref.]:[Check Periodo Ref.]]="Dentro",IF(DATOS_[[Check Equiparado]:[Check Equiparado]]="Sí",IF(DATOS!AG$5="Sí",(1/DATOS_[[% anualiz]:[% anualiz]]),1)*IF(DATOS!AG$4="Sí",1/DATOS_[[% normaliz]:[% normaliz]],1)*(DATOS_[Conc.Sal.03])))))))),
0)</f>
        <v>0</v>
      </c>
      <c r="M74" s="196">
        <f t="array" ref="M74">IFERROR(
(MEDIAN((IF(DATOS_[[Sexo]:[Sexo]]=$B74,IF(DATOS_[[AGRUP. CLAS. PROF.]:[AGRUP. CLAS. PROF.]]=$B72,IF(DATOS_[[Check Periodo Ref.]:[Check Periodo Ref.]]="Dentro",IF(DATOS_[[Check Equiparado]:[Check Equiparado]]="Sí",IF(DATOS!AH$5="Sí",(1/DATOS_[[% anualiz]:[% anualiz]]),1)*IF(DATOS!AH$4="Sí",1/DATOS_[[% normaliz]:[% normaliz]],1)*(DATOS_[Conc.Sal.04])))))))),
0)</f>
        <v>0</v>
      </c>
      <c r="N74" s="196">
        <f t="array" ref="N74">IFERROR(
(MEDIAN((IF(DATOS_[[Sexo]:[Sexo]]=$B74,IF(DATOS_[[AGRUP. CLAS. PROF.]:[AGRUP. CLAS. PROF.]]=$B72,IF(DATOS_[[Check Periodo Ref.]:[Check Periodo Ref.]]="Dentro",IF(DATOS_[[Check Equiparado]:[Check Equiparado]]="Sí",IF(DATOS!AI$5="Sí",(1/DATOS_[[% anualiz]:[% anualiz]]),1)*IF(DATOS!AI$4="Sí",1/DATOS_[[% normaliz]:[% normaliz]],1)*(DATOS_[Conc.Sal.05])))))))),
0)</f>
        <v>0</v>
      </c>
      <c r="O74" s="196">
        <f t="array" ref="O74">IFERROR(
(MEDIAN((IF(DATOS_[[Sexo]:[Sexo]]=$B74,IF(DATOS_[[AGRUP. CLAS. PROF.]:[AGRUP. CLAS. PROF.]]=$B72,IF(DATOS_[[Check Periodo Ref.]:[Check Periodo Ref.]]="Dentro",IF(DATOS_[[Check Equiparado]:[Check Equiparado]]="Sí",IF(DATOS!AJ$5="Sí",(1/DATOS_[[% anualiz]:[% anualiz]]),1)*IF(DATOS!AJ$4="Sí",1/DATOS_[[% normaliz]:[% normaliz]],1)*(DATOS_[Conc.Sal.06])))))))),
0)</f>
        <v>0</v>
      </c>
      <c r="P74" s="196">
        <f t="array" ref="P74">IFERROR(
(MEDIAN((IF(DATOS_[[Sexo]:[Sexo]]=$B74,IF(DATOS_[[AGRUP. CLAS. PROF.]:[AGRUP. CLAS. PROF.]]=$B72,IF(DATOS_[[Check Periodo Ref.]:[Check Periodo Ref.]]="Dentro",IF(DATOS_[[Check Equiparado]:[Check Equiparado]]="Sí",IF(DATOS!AK$5="Sí",(1/DATOS_[[% anualiz]:[% anualiz]]),1)*IF(DATOS!AK$4="Sí",1/DATOS_[[% normaliz]:[% normaliz]],1)*(DATOS_[Conc.Sal.07])))))))),
0)</f>
        <v>0</v>
      </c>
      <c r="Q74" s="196">
        <f t="array" ref="Q74">IFERROR(
(MEDIAN((IF(DATOS_[[Sexo]:[Sexo]]=$B74,IF(DATOS_[[AGRUP. CLAS. PROF.]:[AGRUP. CLAS. PROF.]]=$B72,IF(DATOS_[[Check Periodo Ref.]:[Check Periodo Ref.]]="Dentro",IF(DATOS_[[Check Equiparado]:[Check Equiparado]]="Sí",IF(DATOS!AL$5="Sí",(1/DATOS_[[% anualiz]:[% anualiz]]),1)*IF(DATOS!AL$4="Sí",1/DATOS_[[% normaliz]:[% normaliz]],1)*(DATOS_[Conc.Sal.08])))))))),
0)</f>
        <v>0</v>
      </c>
      <c r="R74" s="196">
        <f t="array" ref="R74">IFERROR(
(MEDIAN((IF(DATOS_[[Sexo]:[Sexo]]=$B74,IF(DATOS_[[AGRUP. CLAS. PROF.]:[AGRUP. CLAS. PROF.]]=$B72,IF(DATOS_[[Check Periodo Ref.]:[Check Periodo Ref.]]="Dentro",IF(DATOS_[[Check Equiparado]:[Check Equiparado]]="Sí",IF(DATOS!AM$5="Sí",(1/DATOS_[[% anualiz]:[% anualiz]]),1)*IF(DATOS!AM$4="Sí",1/DATOS_[[% normaliz]:[% normaliz]],1)*(DATOS_[Conc.Sal.09])))))))),
0)</f>
        <v>0</v>
      </c>
      <c r="S74" s="196">
        <f t="array" ref="S74">IFERROR(
(MEDIAN((IF(DATOS_[[Sexo]:[Sexo]]=$B74,IF(DATOS_[[AGRUP. CLAS. PROF.]:[AGRUP. CLAS. PROF.]]=$B72,IF(DATOS_[[Check Periodo Ref.]:[Check Periodo Ref.]]="Dentro",IF(DATOS_[[Check Equiparado]:[Check Equiparado]]="Sí",IF(DATOS!AN$5="Sí",(1/DATOS_[[% anualiz]:[% anualiz]]),1)*IF(DATOS!AN$4="Sí",1/DATOS_[[% normaliz]:[% normaliz]],1)*(DATOS_[Conc.Sal.10])))))))),
0)</f>
        <v>0</v>
      </c>
      <c r="T74" s="196">
        <f t="array" ref="T74">IFERROR(
(MEDIAN((IF(DATOS_[[Sexo]:[Sexo]]=$B74,IF(DATOS_[[AGRUP. CLAS. PROF.]:[AGRUP. CLAS. PROF.]]=$B72,IF(DATOS_[[Check Periodo Ref.]:[Check Periodo Ref.]]="Dentro",IF(DATOS_[[Check Equiparado]:[Check Equiparado]]="Sí",IF(DATOS!AO$5="Sí",(1/DATOS_[[% anualiz]:[% anualiz]]),1)*IF(DATOS!AO$4="Sí",1/DATOS_[[% normaliz]:[% normaliz]],1)*(DATOS_[Conc.Sal.11])))))))),
0)</f>
        <v>0</v>
      </c>
      <c r="U74" s="196">
        <f t="array" ref="U74">IFERROR(
(MEDIAN((IF(DATOS_[[Sexo]:[Sexo]]=$B74,IF(DATOS_[[AGRUP. CLAS. PROF.]:[AGRUP. CLAS. PROF.]]=$B72,IF(DATOS_[[Check Periodo Ref.]:[Check Periodo Ref.]]="Dentro",IF(DATOS_[[Check Equiparado]:[Check Equiparado]]="Sí",IF(DATOS!AP$5="Sí",(1/DATOS_[[% anualiz]:[% anualiz]]),1)*IF(DATOS!AP$4="Sí",1/DATOS_[[% normaliz]:[% normaliz]],1)*(DATOS_[Conc.Sal.12])))))))),
0)</f>
        <v>0</v>
      </c>
      <c r="V74" s="196">
        <f t="array" ref="V74">IFERROR(
(MEDIAN((IF(DATOS_[[Sexo]:[Sexo]]=$B74,IF(DATOS_[[AGRUP. CLAS. PROF.]:[AGRUP. CLAS. PROF.]]=$B72,IF(DATOS_[[Check Periodo Ref.]:[Check Periodo Ref.]]="Dentro",IF(DATOS_[[Check Equiparado]:[Check Equiparado]]="Sí",IF(DATOS!AQ$5="Sí",(1/DATOS_[[% anualiz]:[% anualiz]]),1)*IF(DATOS!AQ$4="Sí",1/DATOS_[[% normaliz]:[% normaliz]],1)*(DATOS_[Conc.Sal.13])))))))),
0)</f>
        <v>0</v>
      </c>
      <c r="W74" s="196">
        <f t="array" ref="W74">IFERROR(
(MEDIAN((IF(DATOS_[[Sexo]:[Sexo]]=$B74,IF(DATOS_[[AGRUP. CLAS. PROF.]:[AGRUP. CLAS. PROF.]]=$B72,IF(DATOS_[[Check Periodo Ref.]:[Check Periodo Ref.]]="Dentro",IF(DATOS_[[Check Equiparado]:[Check Equiparado]]="Sí",IF(DATOS!AR$5="Sí",(1/DATOS_[[% anualiz]:[% anualiz]]),1)*IF(DATOS!AR$4="Sí",1/DATOS_[[% normaliz]:[% normaliz]],1)*(DATOS_[Conc.Sal.14])))))))),
0)</f>
        <v>0</v>
      </c>
      <c r="X74" s="196">
        <f t="array" ref="X74">IFERROR(
(MEDIAN((IF(DATOS_[[Sexo]:[Sexo]]=$B74,IF(DATOS_[[AGRUP. CLAS. PROF.]:[AGRUP. CLAS. PROF.]]=$B72,IF(DATOS_[[Check Periodo Ref.]:[Check Periodo Ref.]]="Dentro",IF(DATOS_[[Check Equiparado]:[Check Equiparado]]="Sí",IF(DATOS!AS$5="Sí",(1/DATOS_[[% anualiz]:[% anualiz]]),1)*IF(DATOS!AS$4="Sí",1/DATOS_[[% normaliz]:[% normaliz]],1)*(DATOS_[Conc.Sal.15])))))))),
0)</f>
        <v>0</v>
      </c>
      <c r="Y74" s="196">
        <f t="array" ref="Y74">IFERROR(
(MEDIAN((IF(DATOS_[[Sexo]:[Sexo]]=$B74,IF(DATOS_[[AGRUP. CLAS. PROF.]:[AGRUP. CLAS. PROF.]]=$B72,IF(DATOS_[[Check Periodo Ref.]:[Check Periodo Ref.]]="Dentro",IF(DATOS_[[Check Equiparado]:[Check Equiparado]]="Sí",IF(DATOS!AT$5="Sí",(1/DATOS_[[% anualiz]:[% anualiz]]),1)*IF(DATOS!AT$4="Sí",1/DATOS_[[% normaliz]:[% normaliz]],1)*(DATOS_[Conc.Sal.16])))))))),
0)</f>
        <v>0</v>
      </c>
      <c r="Z74" s="196">
        <f t="array" ref="Z74">IFERROR(
(MEDIAN((IF(DATOS_[[Sexo]:[Sexo]]=$B74,IF(DATOS_[[AGRUP. CLAS. PROF.]:[AGRUP. CLAS. PROF.]]=$B72,IF(DATOS_[[Check Periodo Ref.]:[Check Periodo Ref.]]="Dentro",IF(DATOS_[[Check Equiparado]:[Check Equiparado]]="Sí",IF(DATOS!AU$5="Sí",(1/DATOS_[[% anualiz]:[% anualiz]]),1)*IF(DATOS!AU$4="Sí",1/DATOS_[[% normaliz]:[% normaliz]],1)*(DATOS_[Conc.Sal.17])))))))),
0)</f>
        <v>0</v>
      </c>
      <c r="AA74" s="196">
        <f t="array" ref="AA74">IFERROR(
(MEDIAN((IF(DATOS_[[Sexo]:[Sexo]]=$B74,IF(DATOS_[[AGRUP. CLAS. PROF.]:[AGRUP. CLAS. PROF.]]=$B72,IF(DATOS_[[Check Periodo Ref.]:[Check Periodo Ref.]]="Dentro",IF(DATOS_[[Check Equiparado]:[Check Equiparado]]="Sí",IF(DATOS!AV$5="Sí",(1/DATOS_[[% anualiz]:[% anualiz]]),1)*IF(DATOS!AV$4="Sí",1/DATOS_[[% normaliz]:[% normaliz]],1)*(DATOS_[Conc.Sal.18])))))))),
0)</f>
        <v>0</v>
      </c>
      <c r="AB74" s="196">
        <f t="array" ref="AB74">IFERROR(
(MEDIAN((IF(DATOS_[[Sexo]:[Sexo]]=$B74,IF(DATOS_[[AGRUP. CLAS. PROF.]:[AGRUP. CLAS. PROF.]]=$B72,IF(DATOS_[[Check Periodo Ref.]:[Check Periodo Ref.]]="Dentro",IF(DATOS_[[Check Equiparado]:[Check Equiparado]]="Sí",IF(DATOS!AW$5="Sí",(1/DATOS_[[% anualiz]:[% anualiz]]),1)*IF(DATOS!AW$4="Sí",1/DATOS_[[% normaliz]:[% normaliz]],1)*(DATOS_[Conc.Sal.19])))))))),
0)</f>
        <v>0</v>
      </c>
      <c r="AC74" s="196">
        <f t="array" ref="AC74">IFERROR(
(MEDIAN((IF(DATOS_[[Sexo]:[Sexo]]=$B74,IF(DATOS_[[AGRUP. CLAS. PROF.]:[AGRUP. CLAS. PROF.]]=$B72,IF(DATOS_[[Check Periodo Ref.]:[Check Periodo Ref.]]="Dentro",IF(DATOS_[[Check Equiparado]:[Check Equiparado]]="Sí",IF(DATOS!AX$5="Sí",(1/DATOS_[[% anualiz]:[% anualiz]]),1)*IF(DATOS!AX$4="Sí",1/DATOS_[[% normaliz]:[% normaliz]],1)*(DATOS_[Conc.Sal.20])))))))),
0)</f>
        <v>0</v>
      </c>
      <c r="AD74" s="196">
        <f t="array" ref="AD74">IFERROR(
(MEDIAN((IF(DATOS_[[Sexo]:[Sexo]]=$B74,IF(DATOS_[[AGRUP. CLAS. PROF.]:[AGRUP. CLAS. PROF.]]=$B72,IF(DATOS_[[Check Periodo Ref.]:[Check Periodo Ref.]]="Dentro",IF(DATOS_[[Check Equiparado]:[Check Equiparado]]="Sí",IF(DATOS!AY$5="Sí",(1/DATOS_[[% anualiz]:[% anualiz]]),1)*IF(DATOS!AY$4="Sí",1/DATOS_[[% normaliz]:[% normaliz]],1)*(DATOS_[Conc.Sal.21])))))))),
0)</f>
        <v>0</v>
      </c>
      <c r="AE74" s="196">
        <f t="array" ref="AE74">IFERROR(
(MEDIAN((IF(DATOS_[[Sexo]:[Sexo]]=$B74,IF(DATOS_[[AGRUP. CLAS. PROF.]:[AGRUP. CLAS. PROF.]]=$B72,IF(DATOS_[[Check Periodo Ref.]:[Check Periodo Ref.]]="Dentro",IF(DATOS_[[Check Equiparado]:[Check Equiparado]]="Sí",IF(DATOS!AZ$5="Sí",(1/DATOS_[[% anualiz]:[% anualiz]]),1)*IF(DATOS!AZ$4="Sí",1/DATOS_[[% normaliz]:[% normaliz]],1)*(DATOS_[Conc.Sal.22])))))))),
0)</f>
        <v>0</v>
      </c>
      <c r="AF74" s="196">
        <f t="array" ref="AF74">IFERROR(
(MEDIAN((IF(DATOS_[[Sexo]:[Sexo]]=$B74,IF(DATOS_[[AGRUP. CLAS. PROF.]:[AGRUP. CLAS. PROF.]]=$B72,IF(DATOS_[[Check Periodo Ref.]:[Check Periodo Ref.]]="Dentro",IF(DATOS_[[Check Equiparado]:[Check Equiparado]]="Sí",IF(DATOS!BA$5="Sí",(1/DATOS_[[% anualiz]:[% anualiz]]),1)*IF(DATOS!BA$4="Sí",1/DATOS_[[% normaliz]:[% normaliz]],1)*(DATOS_[Conc.Sal.23])))))))),
0)</f>
        <v>0</v>
      </c>
      <c r="AG74" s="196">
        <f t="array" ref="AG74">IFERROR(
(MEDIAN((IF(DATOS_[[Sexo]:[Sexo]]=$B74,IF(DATOS_[[AGRUP. CLAS. PROF.]:[AGRUP. CLAS. PROF.]]=$B72,IF(DATOS_[[Check Periodo Ref.]:[Check Periodo Ref.]]="Dentro",IF(DATOS_[[Check Equiparado]:[Check Equiparado]]="Sí",IF(DATOS!BB$5="Sí",(1/DATOS_[[% anualiz]:[% anualiz]]),1)*IF(DATOS!BB$4="Sí",1/DATOS_[[% normaliz]:[% normaliz]],1)*(DATOS_[Conc.Sal.24])))))))),
0)</f>
        <v>0</v>
      </c>
      <c r="AH74" s="196">
        <f t="array" ref="AH74">IFERROR(
(MEDIAN((IF(DATOS_[[Sexo]:[Sexo]]=$B74,IF(DATOS_[[AGRUP. CLAS. PROF.]:[AGRUP. CLAS. PROF.]]=$B72,IF(DATOS_[[Check Periodo Ref.]:[Check Periodo Ref.]]="Dentro",IF(DATOS_[[Check Equiparado]:[Check Equiparado]]="Sí",IF(DATOS!BC$5="Sí",(1/DATOS_[[% anualiz]:[% anualiz]]),1)*IF(DATOS!BC$4="Sí",1/DATOS_[[% normaliz]:[% normaliz]],1)*(DATOS_[Conc.Sal.25])))))))),
0)</f>
        <v>0</v>
      </c>
      <c r="AI74" s="196">
        <f t="array" ref="AI74">IFERROR(
(MEDIAN((IF(DATOS_[[Sexo]:[Sexo]]=$B74,IF(DATOS_[[AGRUP. CLAS. PROF.]:[AGRUP. CLAS. PROF.]]=$B72,IF(DATOS_[[Check Periodo Ref.]:[Check Periodo Ref.]]="Dentro",IF(DATOS_[[Check Equiparado]:[Check Equiparado]]="Sí",IF(DATOS!BD$5="Sí",(1/DATOS_[[% anualiz]:[% anualiz]]),1)*IF(DATOS!BD$4="Sí",1/DATOS_[[% normaliz]:[% normaliz]],1)*(DATOS_[Conc.Sal.26])))))))),
0)</f>
        <v>0</v>
      </c>
      <c r="AJ74" s="196">
        <f t="array" ref="AJ74">IFERROR(
(MEDIAN((IF(DATOS_[[Sexo]:[Sexo]]=$B74,IF(DATOS_[[AGRUP. CLAS. PROF.]:[AGRUP. CLAS. PROF.]]=$B72,IF(DATOS_[[Check Periodo Ref.]:[Check Periodo Ref.]]="Dentro",IF(DATOS_[[Check Equiparado]:[Check Equiparado]]="Sí",IF(DATOS!BE$5="Sí",(1/DATOS_[[% anualiz]:[% anualiz]]),1)*IF(DATOS!BE$4="Sí",1/DATOS_[[% normaliz]:[% normaliz]],1)*(DATOS_[Conc.Sal.27])))))))),
0)</f>
        <v>0</v>
      </c>
      <c r="AK74" s="196">
        <f t="array" ref="AK74">IFERROR(
(MEDIAN((IF(DATOS_[[Sexo]:[Sexo]]=$B74,IF(DATOS_[[AGRUP. CLAS. PROF.]:[AGRUP. CLAS. PROF.]]=$B72,IF(DATOS_[[Check Periodo Ref.]:[Check Periodo Ref.]]="Dentro",IF(DATOS_[[Check Equiparado]:[Check Equiparado]]="Sí",IF(DATOS!BF$5="Sí",(1/DATOS_[[% anualiz]:[% anualiz]]),1)*IF(DATOS!BF$4="Sí",1/DATOS_[[% normaliz]:[% normaliz]],1)*(DATOS_[Conc.Sal.28])))))))),
0)</f>
        <v>0</v>
      </c>
      <c r="AL74" s="196">
        <f t="array" ref="AL74">IFERROR(
(MEDIAN((IF(DATOS_[[Sexo]:[Sexo]]=$B74,IF(DATOS_[[AGRUP. CLAS. PROF.]:[AGRUP. CLAS. PROF.]]=$B72,IF(DATOS_[[Check Periodo Ref.]:[Check Periodo Ref.]]="Dentro",IF(DATOS_[[Check Equiparado]:[Check Equiparado]]="Sí",IF(DATOS!BG$5="Sí",(1/DATOS_[[% anualiz]:[% anualiz]]),1)*IF(DATOS!BG$4="Sí",1/DATOS_[[% normaliz]:[% normaliz]],1)*(DATOS_[Conc.Sal.29])))))))),
0)</f>
        <v>0</v>
      </c>
      <c r="AM74" s="196">
        <f t="array" ref="AM74">IFERROR(
(MEDIAN((IF(DATOS_[[Sexo]:[Sexo]]=$B74,IF(DATOS_[[AGRUP. CLAS. PROF.]:[AGRUP. CLAS. PROF.]]=$B72,IF(DATOS_[[Check Periodo Ref.]:[Check Periodo Ref.]]="Dentro",IF(DATOS_[[Check Equiparado]:[Check Equiparado]]="Sí",IF(DATOS!BH$5="Sí",(1/DATOS_[[% anualiz]:[% anualiz]]),1)*IF(DATOS!BH$4="Sí",1/DATOS_[[% normaliz]:[% normaliz]],1)*(DATOS_[Conc.Sal.30])))))))),
0)</f>
        <v>0</v>
      </c>
      <c r="AN74" s="195">
        <f t="array" ref="AN74">IFERROR(
MEDIAN(IF(DATOS_[Sexo]=$B74,IF(DATOS_[[AGRUP. CLAS. PROF.]:[AGRUP. CLAS. PROF.]]=$B72,IF(DATOS_[Check Equiparado]="Sí",IF(DATOS_[Check Periodo Ref.]="Dentro",DATOS_[Tot COMPL.SAL Eq],FALSE))))),
0)</f>
        <v>0</v>
      </c>
      <c r="AO74" s="172">
        <f t="array" ref="AO74">IFERROR(
MEDIAN(IF(DATOS_[Sexo]=$B74,IF(DATOS_[[AGRUP. CLAS. PROF.]:[AGRUP. CLAS. PROF.]]=$B72,IF(DATOS_[Check Equiparado]="Sí",IF(DATOS_[Check Periodo Ref.]="Dentro",DATOS_[TOTAL SALARIO Eq],FALSE))))),
0)</f>
        <v>0</v>
      </c>
      <c r="AP74" s="173">
        <f t="array" ref="AP74">IFERROR(
(MEDIAN((IF(DATOS_[[Sexo]:[Sexo]]=$B74,IF(DATOS_[[AGRUP. CLAS. PROF.]:[AGRUP. CLAS. PROF.]]=$B72,IF(DATOS_[[Check Periodo Ref.]:[Check Periodo Ref.]]="Dentro",IF(DATOS_[[Check Equiparado]:[Check Equiparado]]="Sí",IF(DATOS!BW$5="Sí",(1/DATOS_[[% anualiz]:[% anualiz]]),1)*IF(DATOS!BW$4="Sí",1/DATOS_[[% normaliz]:[% normaliz]],1)*(DATOS_[C.Extra.01])))))))),
0)</f>
        <v>0</v>
      </c>
      <c r="AQ74" s="173">
        <f t="array" ref="AQ74">IFERROR(
(MEDIAN((IF(DATOS_[[Sexo]:[Sexo]]=$B74,IF(DATOS_[[AGRUP. CLAS. PROF.]:[AGRUP. CLAS. PROF.]]=$B72,IF(DATOS_[[Check Periodo Ref.]:[Check Periodo Ref.]]="Dentro",IF(DATOS_[[Check Equiparado]:[Check Equiparado]]="Sí",IF(DATOS!CB$5="Sí",(1/DATOS_[[% anualiz]:[% anualiz]]),1)*IF(DATOS!CB$4="Sí",1/DATOS_[[% normaliz]:[% normaliz]],1)*(DATOS_[C.Extra.06])))))))),
0)</f>
        <v>0</v>
      </c>
      <c r="AR74" s="173">
        <f t="array" ref="AR74">IFERROR(
(MEDIAN((IF(DATOS_[[Sexo]:[Sexo]]=$B74,IF(DATOS_[[AGRUP. CLAS. PROF.]:[AGRUP. CLAS. PROF.]]=$B72,IF(DATOS_[[Check Periodo Ref.]:[Check Periodo Ref.]]="Dentro",IF(DATOS_[[Check Equiparado]:[Check Equiparado]]="Sí",IF(DATOS!CC$5="Sí",(1/DATOS_[[% anualiz]:[% anualiz]]),1)*IF(DATOS!CC$4="Sí",1/DATOS_[[% normaliz]:[% normaliz]],1)*(DATOS_[C.Extra.07])))))))),
0)</f>
        <v>0</v>
      </c>
      <c r="AS74" s="173">
        <f t="array" ref="AS74">IFERROR(
(MEDIAN((IF(DATOS_[[Sexo]:[Sexo]]=$B74,IF(DATOS_[[AGRUP. CLAS. PROF.]:[AGRUP. CLAS. PROF.]]=$B72,IF(DATOS_[[Check Periodo Ref.]:[Check Periodo Ref.]]="Dentro",IF(DATOS_[[Check Equiparado]:[Check Equiparado]]="Sí",IF(DATOS!CD$5="Sí",(1/DATOS_[[% anualiz]:[% anualiz]]),1)*IF(DATOS!CD$4="Sí",1/DATOS_[[% normaliz]:[% normaliz]],1)*(DATOS_[C.Extra.08])))))))),
0)</f>
        <v>0</v>
      </c>
      <c r="AT74" s="173">
        <f t="array" ref="AT74">IFERROR(
(MEDIAN((IF(DATOS_[[Sexo]:[Sexo]]=$B74,IF(DATOS_[[AGRUP. CLAS. PROF.]:[AGRUP. CLAS. PROF.]]=$B72,IF(DATOS_[[Check Periodo Ref.]:[Check Periodo Ref.]]="Dentro",IF(DATOS_[[Check Equiparado]:[Check Equiparado]]="Sí",IF(DATOS!CG$5="Sí",(1/DATOS_[[% anualiz]:[% anualiz]]),1)*IF(DATOS!CG$4="Sí",1/DATOS_[[% normaliz]:[% normaliz]],1)*(DATOS_[C.Extra.11])))))))),
0)</f>
        <v>0</v>
      </c>
      <c r="AU74" s="197">
        <f t="array" ref="AU74">IFERROR(
MEDIAN(IF(DATOS_[Sexo]=$B74,IF(DATOS_[[AGRUP. CLAS. PROF.]:[AGRUP. CLAS. PROF.]]=$B72,IF(DATOS_[Check Equiparado]="Sí",IF(DATOS_[Check Periodo Ref.]="Dentro",DATOS_[Tot Extrasalarial Eq],FALSE))))),
0)</f>
        <v>0</v>
      </c>
      <c r="AV74" s="175">
        <f t="array" ref="AV74">IFERROR(
MEDIAN(IF(DATOS_[Sexo]=$B74,IF(DATOS_[[AGRUP. CLAS. PROF.]:[AGRUP. CLAS. PROF.]]=$B72,IF(DATOS_[Check Equiparado]="Sí",IF(DATOS_[Check Periodo Ref.]="Dentro",DATOS_[TOTAL Retrib Eq],FALSE))))),
0)</f>
        <v>0</v>
      </c>
    </row>
    <row r="75" spans="1:48" ht="15.6" hidden="1" thickBot="1" x14ac:dyDescent="0.3">
      <c r="A75" s="133" t="str">
        <f t="shared" ref="A75" si="83">+A76</f>
        <v>[ocultar]</v>
      </c>
      <c r="B75" s="199" t="s">
        <v>260</v>
      </c>
      <c r="C75" s="200"/>
      <c r="D75" s="201"/>
      <c r="E75" s="201"/>
      <c r="F75" s="201"/>
      <c r="G75" s="201"/>
      <c r="H75" s="201"/>
      <c r="I75" s="189" t="str">
        <f t="shared" ref="I75:AV75" si="84">IFERROR((I76-I77)/I76,"")</f>
        <v/>
      </c>
      <c r="J75" s="190" t="str">
        <f t="shared" si="84"/>
        <v/>
      </c>
      <c r="K75" s="191" t="str">
        <f t="shared" si="84"/>
        <v/>
      </c>
      <c r="L75" s="191" t="str">
        <f t="shared" si="84"/>
        <v/>
      </c>
      <c r="M75" s="191" t="str">
        <f t="shared" si="84"/>
        <v/>
      </c>
      <c r="N75" s="192" t="str">
        <f t="shared" si="84"/>
        <v/>
      </c>
      <c r="O75" s="193" t="str">
        <f t="shared" si="84"/>
        <v/>
      </c>
      <c r="P75" s="193" t="str">
        <f t="shared" si="84"/>
        <v/>
      </c>
      <c r="Q75" s="193" t="str">
        <f t="shared" si="84"/>
        <v/>
      </c>
      <c r="R75" s="193" t="str">
        <f t="shared" si="84"/>
        <v/>
      </c>
      <c r="S75" s="193" t="str">
        <f t="shared" si="84"/>
        <v/>
      </c>
      <c r="T75" s="193" t="str">
        <f t="shared" si="84"/>
        <v/>
      </c>
      <c r="U75" s="193" t="str">
        <f t="shared" si="84"/>
        <v/>
      </c>
      <c r="V75" s="193" t="str">
        <f t="shared" si="84"/>
        <v/>
      </c>
      <c r="W75" s="193" t="str">
        <f t="shared" si="84"/>
        <v/>
      </c>
      <c r="X75" s="193" t="str">
        <f t="shared" si="84"/>
        <v/>
      </c>
      <c r="Y75" s="193" t="str">
        <f t="shared" si="84"/>
        <v/>
      </c>
      <c r="Z75" s="193" t="str">
        <f t="shared" si="84"/>
        <v/>
      </c>
      <c r="AA75" s="193" t="str">
        <f t="shared" si="84"/>
        <v/>
      </c>
      <c r="AB75" s="193" t="str">
        <f t="shared" si="84"/>
        <v/>
      </c>
      <c r="AC75" s="193" t="str">
        <f t="shared" si="84"/>
        <v/>
      </c>
      <c r="AD75" s="193" t="str">
        <f t="shared" si="84"/>
        <v/>
      </c>
      <c r="AE75" s="193" t="str">
        <f t="shared" si="84"/>
        <v/>
      </c>
      <c r="AF75" s="193" t="str">
        <f t="shared" si="84"/>
        <v/>
      </c>
      <c r="AG75" s="193" t="str">
        <f t="shared" si="84"/>
        <v/>
      </c>
      <c r="AH75" s="193" t="str">
        <f t="shared" si="84"/>
        <v/>
      </c>
      <c r="AI75" s="193" t="str">
        <f t="shared" si="84"/>
        <v/>
      </c>
      <c r="AJ75" s="193" t="str">
        <f t="shared" si="84"/>
        <v/>
      </c>
      <c r="AK75" s="193" t="str">
        <f t="shared" si="84"/>
        <v/>
      </c>
      <c r="AL75" s="193" t="str">
        <f t="shared" si="84"/>
        <v/>
      </c>
      <c r="AM75" s="193" t="str">
        <f t="shared" si="84"/>
        <v/>
      </c>
      <c r="AN75" s="189" t="str">
        <f t="shared" si="84"/>
        <v/>
      </c>
      <c r="AO75" s="162" t="str">
        <f t="shared" si="84"/>
        <v/>
      </c>
      <c r="AP75" s="163" t="str">
        <f t="shared" si="84"/>
        <v/>
      </c>
      <c r="AQ75" s="163" t="str">
        <f t="shared" si="84"/>
        <v/>
      </c>
      <c r="AR75" s="163" t="str">
        <f t="shared" si="84"/>
        <v/>
      </c>
      <c r="AS75" s="163" t="str">
        <f t="shared" si="84"/>
        <v/>
      </c>
      <c r="AT75" s="163" t="str">
        <f t="shared" si="84"/>
        <v/>
      </c>
      <c r="AU75" s="194" t="str">
        <f t="shared" si="84"/>
        <v/>
      </c>
      <c r="AV75" s="165" t="str">
        <f t="shared" si="84"/>
        <v/>
      </c>
    </row>
    <row r="76" spans="1:48" hidden="1" x14ac:dyDescent="0.25">
      <c r="A76" s="133" t="str">
        <f t="shared" ref="A76" si="85">+IF(C76+C77=0,"[ocultar]","")</f>
        <v>[ocultar]</v>
      </c>
      <c r="B76" s="202" t="s">
        <v>394</v>
      </c>
      <c r="C76" s="203">
        <f t="array" ref="C76">SUM(IF($B76=DATOS_[Sexo],
IF($B75=DATOS_[AGRUP. CLAS. PROF.],
IF("Dentro"=DATOS_[Check Periodo Ref.],
1/(COUNTIFS(DATOS_[Sexo],$B76,DATOS_[AGRUP. CLAS. PROF.],$B75,DATOS_[Check Periodo Ref.],"Dentro",DATOS_[id/cod],DATOS_[id/cod]))))))</f>
        <v>0</v>
      </c>
      <c r="D76" s="204">
        <f>COUNTIFS(DATOS_[AGRUP. CLAS. PROF.],$B75,DATOS_[Sexo],$B76,DATOS_[Check Periodo Ref.],"Dentro")</f>
        <v>0</v>
      </c>
      <c r="E76" s="204">
        <f>COUNTIFS(DATOS_[AGRUP. CLAS. PROF.],$B75,DATOS_[Sexo],$B76,DATOS_[Check Periodo Ref.],"Dentro",DATOS_[Check Nº SC Norm],"Sí")</f>
        <v>0</v>
      </c>
      <c r="F76" s="204">
        <f>COUNTIFS(DATOS_[AGRUP. CLAS. PROF.],$B75,DATOS_[Sexo],$B76,DATOS_[Check Periodo Ref.],"Dentro",DATOS_[Check Nº SC Anualiz],"Sí")</f>
        <v>0</v>
      </c>
      <c r="G76" s="204">
        <f>COUNTIFS(DATOS_[AGRUP. CLAS. PROF.],$B75,DATOS_[Sexo],$B76,DATOS_[Check Periodo Ref.],"Dentro",DATOS_[Check Nº SC Norm y Anualiz],"Sí")</f>
        <v>0</v>
      </c>
      <c r="H76" s="204">
        <f>COUNTIFS(DATOS_[AGRUP. CLAS. PROF.],$B75,DATOS_[Sexo],$B76,DATOS_[Check Periodo Ref.],"Dentro",DATOS_[Check Equiparación],"Sí")</f>
        <v>0</v>
      </c>
      <c r="I76" s="195">
        <f t="array" ref="I76">IFERROR(
MEDIAN(IF(DATOS_[Sexo]=$B76,IF(DATOS_[[AGRUP. CLAS. PROF.]:[AGRUP. CLAS. PROF.]]=$B75,IF(DATOS_[Check Equiparado]="Sí",IF(DATOS_[Check Periodo Ref.]="Dentro",DATOS_[SALARIO BASE Eq],FALSE))))),
0)</f>
        <v>0</v>
      </c>
      <c r="J76" s="196">
        <f t="array" ref="J76">IFERROR(
(MEDIAN((IF(DATOS_[[Sexo]:[Sexo]]=$B76,IF(DATOS_[[AGRUP. CLAS. PROF.]:[AGRUP. CLAS. PROF.]]=$B75,IF(DATOS_[[Check Periodo Ref.]:[Check Periodo Ref.]]="Dentro",IF(DATOS_[[Check Equiparado]:[Check Equiparado]]="Sí",IF(DATOS!AE$5="Sí",(1/DATOS_[[% anualiz]:[% anualiz]]),1)*IF(DATOS!AE$4="Sí",1/DATOS_[[% normaliz]:[% normaliz]],1)*(DATOS_[Conc.Sal.01])))))))),
0)</f>
        <v>0</v>
      </c>
      <c r="K76" s="196">
        <f t="array" ref="K76">IFERROR(
(MEDIAN((IF(DATOS_[[Sexo]:[Sexo]]=$B76,IF(DATOS_[[AGRUP. CLAS. PROF.]:[AGRUP. CLAS. PROF.]]=$B75,IF(DATOS_[[Check Periodo Ref.]:[Check Periodo Ref.]]="Dentro",IF(DATOS_[[Check Equiparado]:[Check Equiparado]]="Sí",IF(DATOS!AF$5="Sí",(1/DATOS_[[% anualiz]:[% anualiz]]),1)*IF(DATOS!AF$4="Sí",1/DATOS_[[% normaliz]:[% normaliz]],1)*(DATOS_[Conc.Sal.02])))))))),
0)</f>
        <v>0</v>
      </c>
      <c r="L76" s="196">
        <f t="array" ref="L76">IFERROR(
(MEDIAN((IF(DATOS_[[Sexo]:[Sexo]]=$B76,IF(DATOS_[[AGRUP. CLAS. PROF.]:[AGRUP. CLAS. PROF.]]=$B75,IF(DATOS_[[Check Periodo Ref.]:[Check Periodo Ref.]]="Dentro",IF(DATOS_[[Check Equiparado]:[Check Equiparado]]="Sí",IF(DATOS!AG$5="Sí",(1/DATOS_[[% anualiz]:[% anualiz]]),1)*IF(DATOS!AG$4="Sí",1/DATOS_[[% normaliz]:[% normaliz]],1)*(DATOS_[Conc.Sal.03])))))))),
0)</f>
        <v>0</v>
      </c>
      <c r="M76" s="196">
        <f t="array" ref="M76">IFERROR(
(MEDIAN((IF(DATOS_[[Sexo]:[Sexo]]=$B76,IF(DATOS_[[AGRUP. CLAS. PROF.]:[AGRUP. CLAS. PROF.]]=$B75,IF(DATOS_[[Check Periodo Ref.]:[Check Periodo Ref.]]="Dentro",IF(DATOS_[[Check Equiparado]:[Check Equiparado]]="Sí",IF(DATOS!AH$5="Sí",(1/DATOS_[[% anualiz]:[% anualiz]]),1)*IF(DATOS!AH$4="Sí",1/DATOS_[[% normaliz]:[% normaliz]],1)*(DATOS_[Conc.Sal.04])))))))),
0)</f>
        <v>0</v>
      </c>
      <c r="N76" s="196">
        <f t="array" ref="N76">IFERROR(
(MEDIAN((IF(DATOS_[[Sexo]:[Sexo]]=$B76,IF(DATOS_[[AGRUP. CLAS. PROF.]:[AGRUP. CLAS. PROF.]]=$B75,IF(DATOS_[[Check Periodo Ref.]:[Check Periodo Ref.]]="Dentro",IF(DATOS_[[Check Equiparado]:[Check Equiparado]]="Sí",IF(DATOS!AI$5="Sí",(1/DATOS_[[% anualiz]:[% anualiz]]),1)*IF(DATOS!AI$4="Sí",1/DATOS_[[% normaliz]:[% normaliz]],1)*(DATOS_[Conc.Sal.05])))))))),
0)</f>
        <v>0</v>
      </c>
      <c r="O76" s="196">
        <f t="array" ref="O76">IFERROR(
(MEDIAN((IF(DATOS_[[Sexo]:[Sexo]]=$B76,IF(DATOS_[[AGRUP. CLAS. PROF.]:[AGRUP. CLAS. PROF.]]=$B75,IF(DATOS_[[Check Periodo Ref.]:[Check Periodo Ref.]]="Dentro",IF(DATOS_[[Check Equiparado]:[Check Equiparado]]="Sí",IF(DATOS!AJ$5="Sí",(1/DATOS_[[% anualiz]:[% anualiz]]),1)*IF(DATOS!AJ$4="Sí",1/DATOS_[[% normaliz]:[% normaliz]],1)*(DATOS_[Conc.Sal.06])))))))),
0)</f>
        <v>0</v>
      </c>
      <c r="P76" s="196">
        <f t="array" ref="P76">IFERROR(
(MEDIAN((IF(DATOS_[[Sexo]:[Sexo]]=$B76,IF(DATOS_[[AGRUP. CLAS. PROF.]:[AGRUP. CLAS. PROF.]]=$B75,IF(DATOS_[[Check Periodo Ref.]:[Check Periodo Ref.]]="Dentro",IF(DATOS_[[Check Equiparado]:[Check Equiparado]]="Sí",IF(DATOS!AK$5="Sí",(1/DATOS_[[% anualiz]:[% anualiz]]),1)*IF(DATOS!AK$4="Sí",1/DATOS_[[% normaliz]:[% normaliz]],1)*(DATOS_[Conc.Sal.07])))))))),
0)</f>
        <v>0</v>
      </c>
      <c r="Q76" s="196">
        <f t="array" ref="Q76">IFERROR(
(MEDIAN((IF(DATOS_[[Sexo]:[Sexo]]=$B76,IF(DATOS_[[AGRUP. CLAS. PROF.]:[AGRUP. CLAS. PROF.]]=$B75,IF(DATOS_[[Check Periodo Ref.]:[Check Periodo Ref.]]="Dentro",IF(DATOS_[[Check Equiparado]:[Check Equiparado]]="Sí",IF(DATOS!AL$5="Sí",(1/DATOS_[[% anualiz]:[% anualiz]]),1)*IF(DATOS!AL$4="Sí",1/DATOS_[[% normaliz]:[% normaliz]],1)*(DATOS_[Conc.Sal.08])))))))),
0)</f>
        <v>0</v>
      </c>
      <c r="R76" s="196">
        <f t="array" ref="R76">IFERROR(
(MEDIAN((IF(DATOS_[[Sexo]:[Sexo]]=$B76,IF(DATOS_[[AGRUP. CLAS. PROF.]:[AGRUP. CLAS. PROF.]]=$B75,IF(DATOS_[[Check Periodo Ref.]:[Check Periodo Ref.]]="Dentro",IF(DATOS_[[Check Equiparado]:[Check Equiparado]]="Sí",IF(DATOS!AM$5="Sí",(1/DATOS_[[% anualiz]:[% anualiz]]),1)*IF(DATOS!AM$4="Sí",1/DATOS_[[% normaliz]:[% normaliz]],1)*(DATOS_[Conc.Sal.09])))))))),
0)</f>
        <v>0</v>
      </c>
      <c r="S76" s="196">
        <f t="array" ref="S76">IFERROR(
(MEDIAN((IF(DATOS_[[Sexo]:[Sexo]]=$B76,IF(DATOS_[[AGRUP. CLAS. PROF.]:[AGRUP. CLAS. PROF.]]=$B75,IF(DATOS_[[Check Periodo Ref.]:[Check Periodo Ref.]]="Dentro",IF(DATOS_[[Check Equiparado]:[Check Equiparado]]="Sí",IF(DATOS!AN$5="Sí",(1/DATOS_[[% anualiz]:[% anualiz]]),1)*IF(DATOS!AN$4="Sí",1/DATOS_[[% normaliz]:[% normaliz]],1)*(DATOS_[Conc.Sal.10])))))))),
0)</f>
        <v>0</v>
      </c>
      <c r="T76" s="196">
        <f t="array" ref="T76">IFERROR(
(MEDIAN((IF(DATOS_[[Sexo]:[Sexo]]=$B76,IF(DATOS_[[AGRUP. CLAS. PROF.]:[AGRUP. CLAS. PROF.]]=$B75,IF(DATOS_[[Check Periodo Ref.]:[Check Periodo Ref.]]="Dentro",IF(DATOS_[[Check Equiparado]:[Check Equiparado]]="Sí",IF(DATOS!AO$5="Sí",(1/DATOS_[[% anualiz]:[% anualiz]]),1)*IF(DATOS!AO$4="Sí",1/DATOS_[[% normaliz]:[% normaliz]],1)*(DATOS_[Conc.Sal.11])))))))),
0)</f>
        <v>0</v>
      </c>
      <c r="U76" s="196">
        <f t="array" ref="U76">IFERROR(
(MEDIAN((IF(DATOS_[[Sexo]:[Sexo]]=$B76,IF(DATOS_[[AGRUP. CLAS. PROF.]:[AGRUP. CLAS. PROF.]]=$B75,IF(DATOS_[[Check Periodo Ref.]:[Check Periodo Ref.]]="Dentro",IF(DATOS_[[Check Equiparado]:[Check Equiparado]]="Sí",IF(DATOS!AP$5="Sí",(1/DATOS_[[% anualiz]:[% anualiz]]),1)*IF(DATOS!AP$4="Sí",1/DATOS_[[% normaliz]:[% normaliz]],1)*(DATOS_[Conc.Sal.12])))))))),
0)</f>
        <v>0</v>
      </c>
      <c r="V76" s="196">
        <f t="array" ref="V76">IFERROR(
(MEDIAN((IF(DATOS_[[Sexo]:[Sexo]]=$B76,IF(DATOS_[[AGRUP. CLAS. PROF.]:[AGRUP. CLAS. PROF.]]=$B75,IF(DATOS_[[Check Periodo Ref.]:[Check Periodo Ref.]]="Dentro",IF(DATOS_[[Check Equiparado]:[Check Equiparado]]="Sí",IF(DATOS!AQ$5="Sí",(1/DATOS_[[% anualiz]:[% anualiz]]),1)*IF(DATOS!AQ$4="Sí",1/DATOS_[[% normaliz]:[% normaliz]],1)*(DATOS_[Conc.Sal.13])))))))),
0)</f>
        <v>0</v>
      </c>
      <c r="W76" s="196">
        <f t="array" ref="W76">IFERROR(
(MEDIAN((IF(DATOS_[[Sexo]:[Sexo]]=$B76,IF(DATOS_[[AGRUP. CLAS. PROF.]:[AGRUP. CLAS. PROF.]]=$B75,IF(DATOS_[[Check Periodo Ref.]:[Check Periodo Ref.]]="Dentro",IF(DATOS_[[Check Equiparado]:[Check Equiparado]]="Sí",IF(DATOS!AR$5="Sí",(1/DATOS_[[% anualiz]:[% anualiz]]),1)*IF(DATOS!AR$4="Sí",1/DATOS_[[% normaliz]:[% normaliz]],1)*(DATOS_[Conc.Sal.14])))))))),
0)</f>
        <v>0</v>
      </c>
      <c r="X76" s="196">
        <f t="array" ref="X76">IFERROR(
(MEDIAN((IF(DATOS_[[Sexo]:[Sexo]]=$B76,IF(DATOS_[[AGRUP. CLAS. PROF.]:[AGRUP. CLAS. PROF.]]=$B75,IF(DATOS_[[Check Periodo Ref.]:[Check Periodo Ref.]]="Dentro",IF(DATOS_[[Check Equiparado]:[Check Equiparado]]="Sí",IF(DATOS!AS$5="Sí",(1/DATOS_[[% anualiz]:[% anualiz]]),1)*IF(DATOS!AS$4="Sí",1/DATOS_[[% normaliz]:[% normaliz]],1)*(DATOS_[Conc.Sal.15])))))))),
0)</f>
        <v>0</v>
      </c>
      <c r="Y76" s="196">
        <f t="array" ref="Y76">IFERROR(
(MEDIAN((IF(DATOS_[[Sexo]:[Sexo]]=$B76,IF(DATOS_[[AGRUP. CLAS. PROF.]:[AGRUP. CLAS. PROF.]]=$B75,IF(DATOS_[[Check Periodo Ref.]:[Check Periodo Ref.]]="Dentro",IF(DATOS_[[Check Equiparado]:[Check Equiparado]]="Sí",IF(DATOS!AT$5="Sí",(1/DATOS_[[% anualiz]:[% anualiz]]),1)*IF(DATOS!AT$4="Sí",1/DATOS_[[% normaliz]:[% normaliz]],1)*(DATOS_[Conc.Sal.16])))))))),
0)</f>
        <v>0</v>
      </c>
      <c r="Z76" s="196">
        <f t="array" ref="Z76">IFERROR(
(MEDIAN((IF(DATOS_[[Sexo]:[Sexo]]=$B76,IF(DATOS_[[AGRUP. CLAS. PROF.]:[AGRUP. CLAS. PROF.]]=$B75,IF(DATOS_[[Check Periodo Ref.]:[Check Periodo Ref.]]="Dentro",IF(DATOS_[[Check Equiparado]:[Check Equiparado]]="Sí",IF(DATOS!AU$5="Sí",(1/DATOS_[[% anualiz]:[% anualiz]]),1)*IF(DATOS!AU$4="Sí",1/DATOS_[[% normaliz]:[% normaliz]],1)*(DATOS_[Conc.Sal.17])))))))),
0)</f>
        <v>0</v>
      </c>
      <c r="AA76" s="196">
        <f t="array" ref="AA76">IFERROR(
(MEDIAN((IF(DATOS_[[Sexo]:[Sexo]]=$B76,IF(DATOS_[[AGRUP. CLAS. PROF.]:[AGRUP. CLAS. PROF.]]=$B75,IF(DATOS_[[Check Periodo Ref.]:[Check Periodo Ref.]]="Dentro",IF(DATOS_[[Check Equiparado]:[Check Equiparado]]="Sí",IF(DATOS!AV$5="Sí",(1/DATOS_[[% anualiz]:[% anualiz]]),1)*IF(DATOS!AV$4="Sí",1/DATOS_[[% normaliz]:[% normaliz]],1)*(DATOS_[Conc.Sal.18])))))))),
0)</f>
        <v>0</v>
      </c>
      <c r="AB76" s="196">
        <f t="array" ref="AB76">IFERROR(
(MEDIAN((IF(DATOS_[[Sexo]:[Sexo]]=$B76,IF(DATOS_[[AGRUP. CLAS. PROF.]:[AGRUP. CLAS. PROF.]]=$B75,IF(DATOS_[[Check Periodo Ref.]:[Check Periodo Ref.]]="Dentro",IF(DATOS_[[Check Equiparado]:[Check Equiparado]]="Sí",IF(DATOS!AW$5="Sí",(1/DATOS_[[% anualiz]:[% anualiz]]),1)*IF(DATOS!AW$4="Sí",1/DATOS_[[% normaliz]:[% normaliz]],1)*(DATOS_[Conc.Sal.19])))))))),
0)</f>
        <v>0</v>
      </c>
      <c r="AC76" s="196">
        <f t="array" ref="AC76">IFERROR(
(MEDIAN((IF(DATOS_[[Sexo]:[Sexo]]=$B76,IF(DATOS_[[AGRUP. CLAS. PROF.]:[AGRUP. CLAS. PROF.]]=$B75,IF(DATOS_[[Check Periodo Ref.]:[Check Periodo Ref.]]="Dentro",IF(DATOS_[[Check Equiparado]:[Check Equiparado]]="Sí",IF(DATOS!AX$5="Sí",(1/DATOS_[[% anualiz]:[% anualiz]]),1)*IF(DATOS!AX$4="Sí",1/DATOS_[[% normaliz]:[% normaliz]],1)*(DATOS_[Conc.Sal.20])))))))),
0)</f>
        <v>0</v>
      </c>
      <c r="AD76" s="196">
        <f t="array" ref="AD76">IFERROR(
(MEDIAN((IF(DATOS_[[Sexo]:[Sexo]]=$B76,IF(DATOS_[[AGRUP. CLAS. PROF.]:[AGRUP. CLAS. PROF.]]=$B75,IF(DATOS_[[Check Periodo Ref.]:[Check Periodo Ref.]]="Dentro",IF(DATOS_[[Check Equiparado]:[Check Equiparado]]="Sí",IF(DATOS!AY$5="Sí",(1/DATOS_[[% anualiz]:[% anualiz]]),1)*IF(DATOS!AY$4="Sí",1/DATOS_[[% normaliz]:[% normaliz]],1)*(DATOS_[Conc.Sal.21])))))))),
0)</f>
        <v>0</v>
      </c>
      <c r="AE76" s="196">
        <f t="array" ref="AE76">IFERROR(
(MEDIAN((IF(DATOS_[[Sexo]:[Sexo]]=$B76,IF(DATOS_[[AGRUP. CLAS. PROF.]:[AGRUP. CLAS. PROF.]]=$B75,IF(DATOS_[[Check Periodo Ref.]:[Check Periodo Ref.]]="Dentro",IF(DATOS_[[Check Equiparado]:[Check Equiparado]]="Sí",IF(DATOS!AZ$5="Sí",(1/DATOS_[[% anualiz]:[% anualiz]]),1)*IF(DATOS!AZ$4="Sí",1/DATOS_[[% normaliz]:[% normaliz]],1)*(DATOS_[Conc.Sal.22])))))))),
0)</f>
        <v>0</v>
      </c>
      <c r="AF76" s="196">
        <f t="array" ref="AF76">IFERROR(
(MEDIAN((IF(DATOS_[[Sexo]:[Sexo]]=$B76,IF(DATOS_[[AGRUP. CLAS. PROF.]:[AGRUP. CLAS. PROF.]]=$B75,IF(DATOS_[[Check Periodo Ref.]:[Check Periodo Ref.]]="Dentro",IF(DATOS_[[Check Equiparado]:[Check Equiparado]]="Sí",IF(DATOS!BA$5="Sí",(1/DATOS_[[% anualiz]:[% anualiz]]),1)*IF(DATOS!BA$4="Sí",1/DATOS_[[% normaliz]:[% normaliz]],1)*(DATOS_[Conc.Sal.23])))))))),
0)</f>
        <v>0</v>
      </c>
      <c r="AG76" s="196">
        <f t="array" ref="AG76">IFERROR(
(MEDIAN((IF(DATOS_[[Sexo]:[Sexo]]=$B76,IF(DATOS_[[AGRUP. CLAS. PROF.]:[AGRUP. CLAS. PROF.]]=$B75,IF(DATOS_[[Check Periodo Ref.]:[Check Periodo Ref.]]="Dentro",IF(DATOS_[[Check Equiparado]:[Check Equiparado]]="Sí",IF(DATOS!BB$5="Sí",(1/DATOS_[[% anualiz]:[% anualiz]]),1)*IF(DATOS!BB$4="Sí",1/DATOS_[[% normaliz]:[% normaliz]],1)*(DATOS_[Conc.Sal.24])))))))),
0)</f>
        <v>0</v>
      </c>
      <c r="AH76" s="196">
        <f t="array" ref="AH76">IFERROR(
(MEDIAN((IF(DATOS_[[Sexo]:[Sexo]]=$B76,IF(DATOS_[[AGRUP. CLAS. PROF.]:[AGRUP. CLAS. PROF.]]=$B75,IF(DATOS_[[Check Periodo Ref.]:[Check Periodo Ref.]]="Dentro",IF(DATOS_[[Check Equiparado]:[Check Equiparado]]="Sí",IF(DATOS!BC$5="Sí",(1/DATOS_[[% anualiz]:[% anualiz]]),1)*IF(DATOS!BC$4="Sí",1/DATOS_[[% normaliz]:[% normaliz]],1)*(DATOS_[Conc.Sal.25])))))))),
0)</f>
        <v>0</v>
      </c>
      <c r="AI76" s="196">
        <f t="array" ref="AI76">IFERROR(
(MEDIAN((IF(DATOS_[[Sexo]:[Sexo]]=$B76,IF(DATOS_[[AGRUP. CLAS. PROF.]:[AGRUP. CLAS. PROF.]]=$B75,IF(DATOS_[[Check Periodo Ref.]:[Check Periodo Ref.]]="Dentro",IF(DATOS_[[Check Equiparado]:[Check Equiparado]]="Sí",IF(DATOS!BD$5="Sí",(1/DATOS_[[% anualiz]:[% anualiz]]),1)*IF(DATOS!BD$4="Sí",1/DATOS_[[% normaliz]:[% normaliz]],1)*(DATOS_[Conc.Sal.26])))))))),
0)</f>
        <v>0</v>
      </c>
      <c r="AJ76" s="196">
        <f t="array" ref="AJ76">IFERROR(
(MEDIAN((IF(DATOS_[[Sexo]:[Sexo]]=$B76,IF(DATOS_[[AGRUP. CLAS. PROF.]:[AGRUP. CLAS. PROF.]]=$B75,IF(DATOS_[[Check Periodo Ref.]:[Check Periodo Ref.]]="Dentro",IF(DATOS_[[Check Equiparado]:[Check Equiparado]]="Sí",IF(DATOS!BE$5="Sí",(1/DATOS_[[% anualiz]:[% anualiz]]),1)*IF(DATOS!BE$4="Sí",1/DATOS_[[% normaliz]:[% normaliz]],1)*(DATOS_[Conc.Sal.27])))))))),
0)</f>
        <v>0</v>
      </c>
      <c r="AK76" s="196">
        <f t="array" ref="AK76">IFERROR(
(MEDIAN((IF(DATOS_[[Sexo]:[Sexo]]=$B76,IF(DATOS_[[AGRUP. CLAS. PROF.]:[AGRUP. CLAS. PROF.]]=$B75,IF(DATOS_[[Check Periodo Ref.]:[Check Periodo Ref.]]="Dentro",IF(DATOS_[[Check Equiparado]:[Check Equiparado]]="Sí",IF(DATOS!BF$5="Sí",(1/DATOS_[[% anualiz]:[% anualiz]]),1)*IF(DATOS!BF$4="Sí",1/DATOS_[[% normaliz]:[% normaliz]],1)*(DATOS_[Conc.Sal.28])))))))),
0)</f>
        <v>0</v>
      </c>
      <c r="AL76" s="196">
        <f t="array" ref="AL76">IFERROR(
(MEDIAN((IF(DATOS_[[Sexo]:[Sexo]]=$B76,IF(DATOS_[[AGRUP. CLAS. PROF.]:[AGRUP. CLAS. PROF.]]=$B75,IF(DATOS_[[Check Periodo Ref.]:[Check Periodo Ref.]]="Dentro",IF(DATOS_[[Check Equiparado]:[Check Equiparado]]="Sí",IF(DATOS!BG$5="Sí",(1/DATOS_[[% anualiz]:[% anualiz]]),1)*IF(DATOS!BG$4="Sí",1/DATOS_[[% normaliz]:[% normaliz]],1)*(DATOS_[Conc.Sal.29])))))))),
0)</f>
        <v>0</v>
      </c>
      <c r="AM76" s="196">
        <f t="array" ref="AM76">IFERROR(
(MEDIAN((IF(DATOS_[[Sexo]:[Sexo]]=$B76,IF(DATOS_[[AGRUP. CLAS. PROF.]:[AGRUP. CLAS. PROF.]]=$B75,IF(DATOS_[[Check Periodo Ref.]:[Check Periodo Ref.]]="Dentro",IF(DATOS_[[Check Equiparado]:[Check Equiparado]]="Sí",IF(DATOS!BH$5="Sí",(1/DATOS_[[% anualiz]:[% anualiz]]),1)*IF(DATOS!BH$4="Sí",1/DATOS_[[% normaliz]:[% normaliz]],1)*(DATOS_[Conc.Sal.30])))))))),
0)</f>
        <v>0</v>
      </c>
      <c r="AN76" s="195">
        <f t="array" ref="AN76">IFERROR(
MEDIAN(IF(DATOS_[Sexo]=$B76,IF(DATOS_[[AGRUP. CLAS. PROF.]:[AGRUP. CLAS. PROF.]]=$B75,IF(DATOS_[Check Equiparado]="Sí",IF(DATOS_[Check Periodo Ref.]="Dentro",DATOS_[Tot COMPL.SAL Eq],FALSE))))),
0)</f>
        <v>0</v>
      </c>
      <c r="AO76" s="172">
        <f t="array" ref="AO76">IFERROR(
MEDIAN(IF(DATOS_[Sexo]=$B76,IF(DATOS_[[AGRUP. CLAS. PROF.]:[AGRUP. CLAS. PROF.]]=$B75,IF(DATOS_[Check Equiparado]="Sí",IF(DATOS_[Check Periodo Ref.]="Dentro",DATOS_[TOTAL SALARIO Eq],FALSE))))),
0)</f>
        <v>0</v>
      </c>
      <c r="AP76" s="173">
        <f t="array" ref="AP76">IFERROR(
(MEDIAN((IF(DATOS_[[Sexo]:[Sexo]]=$B76,IF(DATOS_[[AGRUP. CLAS. PROF.]:[AGRUP. CLAS. PROF.]]=$B75,IF(DATOS_[[Check Periodo Ref.]:[Check Periodo Ref.]]="Dentro",IF(DATOS_[[Check Equiparado]:[Check Equiparado]]="Sí",IF(DATOS!BW$5="Sí",(1/DATOS_[[% anualiz]:[% anualiz]]),1)*IF(DATOS!BW$4="Sí",1/DATOS_[[% normaliz]:[% normaliz]],1)*(DATOS_[C.Extra.01])))))))),
0)</f>
        <v>0</v>
      </c>
      <c r="AQ76" s="173">
        <f t="array" ref="AQ76">IFERROR(
(MEDIAN((IF(DATOS_[[Sexo]:[Sexo]]=$B76,IF(DATOS_[[AGRUP. CLAS. PROF.]:[AGRUP. CLAS. PROF.]]=$B75,IF(DATOS_[[Check Periodo Ref.]:[Check Periodo Ref.]]="Dentro",IF(DATOS_[[Check Equiparado]:[Check Equiparado]]="Sí",IF(DATOS!CB$5="Sí",(1/DATOS_[[% anualiz]:[% anualiz]]),1)*IF(DATOS!CB$4="Sí",1/DATOS_[[% normaliz]:[% normaliz]],1)*(DATOS_[C.Extra.06])))))))),
0)</f>
        <v>0</v>
      </c>
      <c r="AR76" s="173">
        <f t="array" ref="AR76">IFERROR(
(MEDIAN((IF(DATOS_[[Sexo]:[Sexo]]=$B76,IF(DATOS_[[AGRUP. CLAS. PROF.]:[AGRUP. CLAS. PROF.]]=$B75,IF(DATOS_[[Check Periodo Ref.]:[Check Periodo Ref.]]="Dentro",IF(DATOS_[[Check Equiparado]:[Check Equiparado]]="Sí",IF(DATOS!CC$5="Sí",(1/DATOS_[[% anualiz]:[% anualiz]]),1)*IF(DATOS!CC$4="Sí",1/DATOS_[[% normaliz]:[% normaliz]],1)*(DATOS_[C.Extra.07])))))))),
0)</f>
        <v>0</v>
      </c>
      <c r="AS76" s="173">
        <f t="array" ref="AS76">IFERROR(
(MEDIAN((IF(DATOS_[[Sexo]:[Sexo]]=$B76,IF(DATOS_[[AGRUP. CLAS. PROF.]:[AGRUP. CLAS. PROF.]]=$B75,IF(DATOS_[[Check Periodo Ref.]:[Check Periodo Ref.]]="Dentro",IF(DATOS_[[Check Equiparado]:[Check Equiparado]]="Sí",IF(DATOS!CD$5="Sí",(1/DATOS_[[% anualiz]:[% anualiz]]),1)*IF(DATOS!CD$4="Sí",1/DATOS_[[% normaliz]:[% normaliz]],1)*(DATOS_[C.Extra.08])))))))),
0)</f>
        <v>0</v>
      </c>
      <c r="AT76" s="173">
        <f t="array" ref="AT76">IFERROR(
(MEDIAN((IF(DATOS_[[Sexo]:[Sexo]]=$B76,IF(DATOS_[[AGRUP. CLAS. PROF.]:[AGRUP. CLAS. PROF.]]=$B75,IF(DATOS_[[Check Periodo Ref.]:[Check Periodo Ref.]]="Dentro",IF(DATOS_[[Check Equiparado]:[Check Equiparado]]="Sí",IF(DATOS!CG$5="Sí",(1/DATOS_[[% anualiz]:[% anualiz]]),1)*IF(DATOS!CG$4="Sí",1/DATOS_[[% normaliz]:[% normaliz]],1)*(DATOS_[C.Extra.11])))))))),
0)</f>
        <v>0</v>
      </c>
      <c r="AU76" s="197">
        <f t="array" ref="AU76">IFERROR(
MEDIAN(IF(DATOS_[Sexo]=$B76,IF(DATOS_[[AGRUP. CLAS. PROF.]:[AGRUP. CLAS. PROF.]]=$B75,IF(DATOS_[Check Equiparado]="Sí",IF(DATOS_[Check Periodo Ref.]="Dentro",DATOS_[Tot Extrasalarial Eq],FALSE))))),
0)</f>
        <v>0</v>
      </c>
      <c r="AV76" s="175">
        <f t="array" ref="AV76">IFERROR(
MEDIAN(IF(DATOS_[Sexo]=$B76,IF(DATOS_[[AGRUP. CLAS. PROF.]:[AGRUP. CLAS. PROF.]]=$B75,IF(DATOS_[Check Equiparado]="Sí",IF(DATOS_[Check Periodo Ref.]="Dentro",DATOS_[TOTAL Retrib Eq],FALSE))))),
0)</f>
        <v>0</v>
      </c>
    </row>
    <row r="77" spans="1:48" hidden="1" x14ac:dyDescent="0.25">
      <c r="A77" s="133" t="str">
        <f t="shared" ref="A77" si="86">+A76</f>
        <v>[ocultar]</v>
      </c>
      <c r="B77" s="202" t="s">
        <v>521</v>
      </c>
      <c r="C77" s="203">
        <f t="array" ref="C77">SUM(IF($B77=DATOS_[Sexo],
IF($B75=DATOS_[AGRUP. CLAS. PROF.],
IF("Dentro"=DATOS_[Check Periodo Ref.],
1/(COUNTIFS(DATOS_[Sexo],$B77,DATOS_[AGRUP. CLAS. PROF.],$B75,DATOS_[Check Periodo Ref.],"Dentro",DATOS_[id/cod],DATOS_[id/cod]))))))</f>
        <v>0</v>
      </c>
      <c r="D77" s="204">
        <f>COUNTIFS(DATOS_[AGRUP. CLAS. PROF.],$B75,DATOS_[Sexo],$B77,DATOS_[Check Periodo Ref.],"Dentro")</f>
        <v>0</v>
      </c>
      <c r="E77" s="204">
        <f>COUNTIFS(DATOS_[AGRUP. CLAS. PROF.],$B75,DATOS_[Sexo],$B77,DATOS_[Check Periodo Ref.],"Dentro",DATOS_[Check Nº SC Norm],"Sí")</f>
        <v>0</v>
      </c>
      <c r="F77" s="204">
        <f>COUNTIFS(DATOS_[AGRUP. CLAS. PROF.],$B75,DATOS_[Sexo],$B77,DATOS_[Check Periodo Ref.],"Dentro",DATOS_[Check Nº SC Anualiz],"Sí")</f>
        <v>0</v>
      </c>
      <c r="G77" s="204">
        <f>COUNTIFS(DATOS_[AGRUP. CLAS. PROF.],$B75,DATOS_[Sexo],$B77,DATOS_[Check Periodo Ref.],"Dentro",DATOS_[Check Nº SC Norm y Anualiz],"Sí")</f>
        <v>0</v>
      </c>
      <c r="H77" s="204">
        <f>COUNTIFS(DATOS_[AGRUP. CLAS. PROF.],$B75,DATOS_[Sexo],$B77,DATOS_[Check Periodo Ref.],"Dentro",DATOS_[Check Equiparación],"Sí")</f>
        <v>0</v>
      </c>
      <c r="I77" s="195" cm="1">
        <f t="array" ref="I77">IFERROR(
MEDIAN(IF(DATOS_[Sexo]=$B77,IF(DATOS_[[AGRUP. CLAS. PROF.]:[AGRUP. CLAS. PROF.]]=$B75,IF(DATOS_[Check Equiparado]="Sí",IF(DATOS_[Check Periodo Ref.]="Dentro",DATOS_[SALARIO BASE Eq],FALSE))))),
0)</f>
        <v>0</v>
      </c>
      <c r="J77" s="196">
        <f t="array" ref="J77">IFERROR(
(MEDIAN((IF(DATOS_[[Sexo]:[Sexo]]=$B77,IF(DATOS_[[AGRUP. CLAS. PROF.]:[AGRUP. CLAS. PROF.]]=$B75,IF(DATOS_[[Check Periodo Ref.]:[Check Periodo Ref.]]="Dentro",IF(DATOS_[[Check Equiparado]:[Check Equiparado]]="Sí",IF(DATOS!AE$5="Sí",(1/DATOS_[[% anualiz]:[% anualiz]]),1)*IF(DATOS!AE$4="Sí",1/DATOS_[[% normaliz]:[% normaliz]],1)*(DATOS_[Conc.Sal.01])))))))),
0)</f>
        <v>0</v>
      </c>
      <c r="K77" s="196">
        <f t="array" ref="K77">IFERROR(
(MEDIAN((IF(DATOS_[[Sexo]:[Sexo]]=$B77,IF(DATOS_[[AGRUP. CLAS. PROF.]:[AGRUP. CLAS. PROF.]]=$B75,IF(DATOS_[[Check Periodo Ref.]:[Check Periodo Ref.]]="Dentro",IF(DATOS_[[Check Equiparado]:[Check Equiparado]]="Sí",IF(DATOS!AF$5="Sí",(1/DATOS_[[% anualiz]:[% anualiz]]),1)*IF(DATOS!AF$4="Sí",1/DATOS_[[% normaliz]:[% normaliz]],1)*(DATOS_[Conc.Sal.02])))))))),
0)</f>
        <v>0</v>
      </c>
      <c r="L77" s="196">
        <f t="array" ref="L77">IFERROR(
(MEDIAN((IF(DATOS_[[Sexo]:[Sexo]]=$B77,IF(DATOS_[[AGRUP. CLAS. PROF.]:[AGRUP. CLAS. PROF.]]=$B75,IF(DATOS_[[Check Periodo Ref.]:[Check Periodo Ref.]]="Dentro",IF(DATOS_[[Check Equiparado]:[Check Equiparado]]="Sí",IF(DATOS!AG$5="Sí",(1/DATOS_[[% anualiz]:[% anualiz]]),1)*IF(DATOS!AG$4="Sí",1/DATOS_[[% normaliz]:[% normaliz]],1)*(DATOS_[Conc.Sal.03])))))))),
0)</f>
        <v>0</v>
      </c>
      <c r="M77" s="196">
        <f t="array" ref="M77">IFERROR(
(MEDIAN((IF(DATOS_[[Sexo]:[Sexo]]=$B77,IF(DATOS_[[AGRUP. CLAS. PROF.]:[AGRUP. CLAS. PROF.]]=$B75,IF(DATOS_[[Check Periodo Ref.]:[Check Periodo Ref.]]="Dentro",IF(DATOS_[[Check Equiparado]:[Check Equiparado]]="Sí",IF(DATOS!AH$5="Sí",(1/DATOS_[[% anualiz]:[% anualiz]]),1)*IF(DATOS!AH$4="Sí",1/DATOS_[[% normaliz]:[% normaliz]],1)*(DATOS_[Conc.Sal.04])))))))),
0)</f>
        <v>0</v>
      </c>
      <c r="N77" s="196">
        <f t="array" ref="N77">IFERROR(
(MEDIAN((IF(DATOS_[[Sexo]:[Sexo]]=$B77,IF(DATOS_[[AGRUP. CLAS. PROF.]:[AGRUP. CLAS. PROF.]]=$B75,IF(DATOS_[[Check Periodo Ref.]:[Check Periodo Ref.]]="Dentro",IF(DATOS_[[Check Equiparado]:[Check Equiparado]]="Sí",IF(DATOS!AI$5="Sí",(1/DATOS_[[% anualiz]:[% anualiz]]),1)*IF(DATOS!AI$4="Sí",1/DATOS_[[% normaliz]:[% normaliz]],1)*(DATOS_[Conc.Sal.05])))))))),
0)</f>
        <v>0</v>
      </c>
      <c r="O77" s="196">
        <f t="array" ref="O77">IFERROR(
(MEDIAN((IF(DATOS_[[Sexo]:[Sexo]]=$B77,IF(DATOS_[[AGRUP. CLAS. PROF.]:[AGRUP. CLAS. PROF.]]=$B75,IF(DATOS_[[Check Periodo Ref.]:[Check Periodo Ref.]]="Dentro",IF(DATOS_[[Check Equiparado]:[Check Equiparado]]="Sí",IF(DATOS!AJ$5="Sí",(1/DATOS_[[% anualiz]:[% anualiz]]),1)*IF(DATOS!AJ$4="Sí",1/DATOS_[[% normaliz]:[% normaliz]],1)*(DATOS_[Conc.Sal.06])))))))),
0)</f>
        <v>0</v>
      </c>
      <c r="P77" s="196">
        <f t="array" ref="P77">IFERROR(
(MEDIAN((IF(DATOS_[[Sexo]:[Sexo]]=$B77,IF(DATOS_[[AGRUP. CLAS. PROF.]:[AGRUP. CLAS. PROF.]]=$B75,IF(DATOS_[[Check Periodo Ref.]:[Check Periodo Ref.]]="Dentro",IF(DATOS_[[Check Equiparado]:[Check Equiparado]]="Sí",IF(DATOS!AK$5="Sí",(1/DATOS_[[% anualiz]:[% anualiz]]),1)*IF(DATOS!AK$4="Sí",1/DATOS_[[% normaliz]:[% normaliz]],1)*(DATOS_[Conc.Sal.07])))))))),
0)</f>
        <v>0</v>
      </c>
      <c r="Q77" s="196">
        <f t="array" ref="Q77">IFERROR(
(MEDIAN((IF(DATOS_[[Sexo]:[Sexo]]=$B77,IF(DATOS_[[AGRUP. CLAS. PROF.]:[AGRUP. CLAS. PROF.]]=$B75,IF(DATOS_[[Check Periodo Ref.]:[Check Periodo Ref.]]="Dentro",IF(DATOS_[[Check Equiparado]:[Check Equiparado]]="Sí",IF(DATOS!AL$5="Sí",(1/DATOS_[[% anualiz]:[% anualiz]]),1)*IF(DATOS!AL$4="Sí",1/DATOS_[[% normaliz]:[% normaliz]],1)*(DATOS_[Conc.Sal.08])))))))),
0)</f>
        <v>0</v>
      </c>
      <c r="R77" s="196">
        <f t="array" ref="R77">IFERROR(
(MEDIAN((IF(DATOS_[[Sexo]:[Sexo]]=$B77,IF(DATOS_[[AGRUP. CLAS. PROF.]:[AGRUP. CLAS. PROF.]]=$B75,IF(DATOS_[[Check Periodo Ref.]:[Check Periodo Ref.]]="Dentro",IF(DATOS_[[Check Equiparado]:[Check Equiparado]]="Sí",IF(DATOS!AM$5="Sí",(1/DATOS_[[% anualiz]:[% anualiz]]),1)*IF(DATOS!AM$4="Sí",1/DATOS_[[% normaliz]:[% normaliz]],1)*(DATOS_[Conc.Sal.09])))))))),
0)</f>
        <v>0</v>
      </c>
      <c r="S77" s="196">
        <f t="array" ref="S77">IFERROR(
(MEDIAN((IF(DATOS_[[Sexo]:[Sexo]]=$B77,IF(DATOS_[[AGRUP. CLAS. PROF.]:[AGRUP. CLAS. PROF.]]=$B75,IF(DATOS_[[Check Periodo Ref.]:[Check Periodo Ref.]]="Dentro",IF(DATOS_[[Check Equiparado]:[Check Equiparado]]="Sí",IF(DATOS!AN$5="Sí",(1/DATOS_[[% anualiz]:[% anualiz]]),1)*IF(DATOS!AN$4="Sí",1/DATOS_[[% normaliz]:[% normaliz]],1)*(DATOS_[Conc.Sal.10])))))))),
0)</f>
        <v>0</v>
      </c>
      <c r="T77" s="196">
        <f t="array" ref="T77">IFERROR(
(MEDIAN((IF(DATOS_[[Sexo]:[Sexo]]=$B77,IF(DATOS_[[AGRUP. CLAS. PROF.]:[AGRUP. CLAS. PROF.]]=$B75,IF(DATOS_[[Check Periodo Ref.]:[Check Periodo Ref.]]="Dentro",IF(DATOS_[[Check Equiparado]:[Check Equiparado]]="Sí",IF(DATOS!AO$5="Sí",(1/DATOS_[[% anualiz]:[% anualiz]]),1)*IF(DATOS!AO$4="Sí",1/DATOS_[[% normaliz]:[% normaliz]],1)*(DATOS_[Conc.Sal.11])))))))),
0)</f>
        <v>0</v>
      </c>
      <c r="U77" s="196">
        <f t="array" ref="U77">IFERROR(
(MEDIAN((IF(DATOS_[[Sexo]:[Sexo]]=$B77,IF(DATOS_[[AGRUP. CLAS. PROF.]:[AGRUP. CLAS. PROF.]]=$B75,IF(DATOS_[[Check Periodo Ref.]:[Check Periodo Ref.]]="Dentro",IF(DATOS_[[Check Equiparado]:[Check Equiparado]]="Sí",IF(DATOS!AP$5="Sí",(1/DATOS_[[% anualiz]:[% anualiz]]),1)*IF(DATOS!AP$4="Sí",1/DATOS_[[% normaliz]:[% normaliz]],1)*(DATOS_[Conc.Sal.12])))))))),
0)</f>
        <v>0</v>
      </c>
      <c r="V77" s="196">
        <f t="array" ref="V77">IFERROR(
(MEDIAN((IF(DATOS_[[Sexo]:[Sexo]]=$B77,IF(DATOS_[[AGRUP. CLAS. PROF.]:[AGRUP. CLAS. PROF.]]=$B75,IF(DATOS_[[Check Periodo Ref.]:[Check Periodo Ref.]]="Dentro",IF(DATOS_[[Check Equiparado]:[Check Equiparado]]="Sí",IF(DATOS!AQ$5="Sí",(1/DATOS_[[% anualiz]:[% anualiz]]),1)*IF(DATOS!AQ$4="Sí",1/DATOS_[[% normaliz]:[% normaliz]],1)*(DATOS_[Conc.Sal.13])))))))),
0)</f>
        <v>0</v>
      </c>
      <c r="W77" s="196">
        <f t="array" ref="W77">IFERROR(
(MEDIAN((IF(DATOS_[[Sexo]:[Sexo]]=$B77,IF(DATOS_[[AGRUP. CLAS. PROF.]:[AGRUP. CLAS. PROF.]]=$B75,IF(DATOS_[[Check Periodo Ref.]:[Check Periodo Ref.]]="Dentro",IF(DATOS_[[Check Equiparado]:[Check Equiparado]]="Sí",IF(DATOS!AR$5="Sí",(1/DATOS_[[% anualiz]:[% anualiz]]),1)*IF(DATOS!AR$4="Sí",1/DATOS_[[% normaliz]:[% normaliz]],1)*(DATOS_[Conc.Sal.14])))))))),
0)</f>
        <v>0</v>
      </c>
      <c r="X77" s="196">
        <f t="array" ref="X77">IFERROR(
(MEDIAN((IF(DATOS_[[Sexo]:[Sexo]]=$B77,IF(DATOS_[[AGRUP. CLAS. PROF.]:[AGRUP. CLAS. PROF.]]=$B75,IF(DATOS_[[Check Periodo Ref.]:[Check Periodo Ref.]]="Dentro",IF(DATOS_[[Check Equiparado]:[Check Equiparado]]="Sí",IF(DATOS!AS$5="Sí",(1/DATOS_[[% anualiz]:[% anualiz]]),1)*IF(DATOS!AS$4="Sí",1/DATOS_[[% normaliz]:[% normaliz]],1)*(DATOS_[Conc.Sal.15])))))))),
0)</f>
        <v>0</v>
      </c>
      <c r="Y77" s="196">
        <f t="array" ref="Y77">IFERROR(
(MEDIAN((IF(DATOS_[[Sexo]:[Sexo]]=$B77,IF(DATOS_[[AGRUP. CLAS. PROF.]:[AGRUP. CLAS. PROF.]]=$B75,IF(DATOS_[[Check Periodo Ref.]:[Check Periodo Ref.]]="Dentro",IF(DATOS_[[Check Equiparado]:[Check Equiparado]]="Sí",IF(DATOS!AT$5="Sí",(1/DATOS_[[% anualiz]:[% anualiz]]),1)*IF(DATOS!AT$4="Sí",1/DATOS_[[% normaliz]:[% normaliz]],1)*(DATOS_[Conc.Sal.16])))))))),
0)</f>
        <v>0</v>
      </c>
      <c r="Z77" s="196">
        <f t="array" ref="Z77">IFERROR(
(MEDIAN((IF(DATOS_[[Sexo]:[Sexo]]=$B77,IF(DATOS_[[AGRUP. CLAS. PROF.]:[AGRUP. CLAS. PROF.]]=$B75,IF(DATOS_[[Check Periodo Ref.]:[Check Periodo Ref.]]="Dentro",IF(DATOS_[[Check Equiparado]:[Check Equiparado]]="Sí",IF(DATOS!AU$5="Sí",(1/DATOS_[[% anualiz]:[% anualiz]]),1)*IF(DATOS!AU$4="Sí",1/DATOS_[[% normaliz]:[% normaliz]],1)*(DATOS_[Conc.Sal.17])))))))),
0)</f>
        <v>0</v>
      </c>
      <c r="AA77" s="196">
        <f t="array" ref="AA77">IFERROR(
(MEDIAN((IF(DATOS_[[Sexo]:[Sexo]]=$B77,IF(DATOS_[[AGRUP. CLAS. PROF.]:[AGRUP. CLAS. PROF.]]=$B75,IF(DATOS_[[Check Periodo Ref.]:[Check Periodo Ref.]]="Dentro",IF(DATOS_[[Check Equiparado]:[Check Equiparado]]="Sí",IF(DATOS!AV$5="Sí",(1/DATOS_[[% anualiz]:[% anualiz]]),1)*IF(DATOS!AV$4="Sí",1/DATOS_[[% normaliz]:[% normaliz]],1)*(DATOS_[Conc.Sal.18])))))))),
0)</f>
        <v>0</v>
      </c>
      <c r="AB77" s="196">
        <f t="array" ref="AB77">IFERROR(
(MEDIAN((IF(DATOS_[[Sexo]:[Sexo]]=$B77,IF(DATOS_[[AGRUP. CLAS. PROF.]:[AGRUP. CLAS. PROF.]]=$B75,IF(DATOS_[[Check Periodo Ref.]:[Check Periodo Ref.]]="Dentro",IF(DATOS_[[Check Equiparado]:[Check Equiparado]]="Sí",IF(DATOS!AW$5="Sí",(1/DATOS_[[% anualiz]:[% anualiz]]),1)*IF(DATOS!AW$4="Sí",1/DATOS_[[% normaliz]:[% normaliz]],1)*(DATOS_[Conc.Sal.19])))))))),
0)</f>
        <v>0</v>
      </c>
      <c r="AC77" s="196">
        <f t="array" ref="AC77">IFERROR(
(MEDIAN((IF(DATOS_[[Sexo]:[Sexo]]=$B77,IF(DATOS_[[AGRUP. CLAS. PROF.]:[AGRUP. CLAS. PROF.]]=$B75,IF(DATOS_[[Check Periodo Ref.]:[Check Periodo Ref.]]="Dentro",IF(DATOS_[[Check Equiparado]:[Check Equiparado]]="Sí",IF(DATOS!AX$5="Sí",(1/DATOS_[[% anualiz]:[% anualiz]]),1)*IF(DATOS!AX$4="Sí",1/DATOS_[[% normaliz]:[% normaliz]],1)*(DATOS_[Conc.Sal.20])))))))),
0)</f>
        <v>0</v>
      </c>
      <c r="AD77" s="196">
        <f t="array" ref="AD77">IFERROR(
(MEDIAN((IF(DATOS_[[Sexo]:[Sexo]]=$B77,IF(DATOS_[[AGRUP. CLAS. PROF.]:[AGRUP. CLAS. PROF.]]=$B75,IF(DATOS_[[Check Periodo Ref.]:[Check Periodo Ref.]]="Dentro",IF(DATOS_[[Check Equiparado]:[Check Equiparado]]="Sí",IF(DATOS!AY$5="Sí",(1/DATOS_[[% anualiz]:[% anualiz]]),1)*IF(DATOS!AY$4="Sí",1/DATOS_[[% normaliz]:[% normaliz]],1)*(DATOS_[Conc.Sal.21])))))))),
0)</f>
        <v>0</v>
      </c>
      <c r="AE77" s="196">
        <f t="array" ref="AE77">IFERROR(
(MEDIAN((IF(DATOS_[[Sexo]:[Sexo]]=$B77,IF(DATOS_[[AGRUP. CLAS. PROF.]:[AGRUP. CLAS. PROF.]]=$B75,IF(DATOS_[[Check Periodo Ref.]:[Check Periodo Ref.]]="Dentro",IF(DATOS_[[Check Equiparado]:[Check Equiparado]]="Sí",IF(DATOS!AZ$5="Sí",(1/DATOS_[[% anualiz]:[% anualiz]]),1)*IF(DATOS!AZ$4="Sí",1/DATOS_[[% normaliz]:[% normaliz]],1)*(DATOS_[Conc.Sal.22])))))))),
0)</f>
        <v>0</v>
      </c>
      <c r="AF77" s="196">
        <f t="array" ref="AF77">IFERROR(
(MEDIAN((IF(DATOS_[[Sexo]:[Sexo]]=$B77,IF(DATOS_[[AGRUP. CLAS. PROF.]:[AGRUP. CLAS. PROF.]]=$B75,IF(DATOS_[[Check Periodo Ref.]:[Check Periodo Ref.]]="Dentro",IF(DATOS_[[Check Equiparado]:[Check Equiparado]]="Sí",IF(DATOS!BA$5="Sí",(1/DATOS_[[% anualiz]:[% anualiz]]),1)*IF(DATOS!BA$4="Sí",1/DATOS_[[% normaliz]:[% normaliz]],1)*(DATOS_[Conc.Sal.23])))))))),
0)</f>
        <v>0</v>
      </c>
      <c r="AG77" s="196">
        <f t="array" ref="AG77">IFERROR(
(MEDIAN((IF(DATOS_[[Sexo]:[Sexo]]=$B77,IF(DATOS_[[AGRUP. CLAS. PROF.]:[AGRUP. CLAS. PROF.]]=$B75,IF(DATOS_[[Check Periodo Ref.]:[Check Periodo Ref.]]="Dentro",IF(DATOS_[[Check Equiparado]:[Check Equiparado]]="Sí",IF(DATOS!BB$5="Sí",(1/DATOS_[[% anualiz]:[% anualiz]]),1)*IF(DATOS!BB$4="Sí",1/DATOS_[[% normaliz]:[% normaliz]],1)*(DATOS_[Conc.Sal.24])))))))),
0)</f>
        <v>0</v>
      </c>
      <c r="AH77" s="196">
        <f t="array" ref="AH77">IFERROR(
(MEDIAN((IF(DATOS_[[Sexo]:[Sexo]]=$B77,IF(DATOS_[[AGRUP. CLAS. PROF.]:[AGRUP. CLAS. PROF.]]=$B75,IF(DATOS_[[Check Periodo Ref.]:[Check Periodo Ref.]]="Dentro",IF(DATOS_[[Check Equiparado]:[Check Equiparado]]="Sí",IF(DATOS!BC$5="Sí",(1/DATOS_[[% anualiz]:[% anualiz]]),1)*IF(DATOS!BC$4="Sí",1/DATOS_[[% normaliz]:[% normaliz]],1)*(DATOS_[Conc.Sal.25])))))))),
0)</f>
        <v>0</v>
      </c>
      <c r="AI77" s="196">
        <f t="array" ref="AI77">IFERROR(
(MEDIAN((IF(DATOS_[[Sexo]:[Sexo]]=$B77,IF(DATOS_[[AGRUP. CLAS. PROF.]:[AGRUP. CLAS. PROF.]]=$B75,IF(DATOS_[[Check Periodo Ref.]:[Check Periodo Ref.]]="Dentro",IF(DATOS_[[Check Equiparado]:[Check Equiparado]]="Sí",IF(DATOS!BD$5="Sí",(1/DATOS_[[% anualiz]:[% anualiz]]),1)*IF(DATOS!BD$4="Sí",1/DATOS_[[% normaliz]:[% normaliz]],1)*(DATOS_[Conc.Sal.26])))))))),
0)</f>
        <v>0</v>
      </c>
      <c r="AJ77" s="196">
        <f t="array" ref="AJ77">IFERROR(
(MEDIAN((IF(DATOS_[[Sexo]:[Sexo]]=$B77,IF(DATOS_[[AGRUP. CLAS. PROF.]:[AGRUP. CLAS. PROF.]]=$B75,IF(DATOS_[[Check Periodo Ref.]:[Check Periodo Ref.]]="Dentro",IF(DATOS_[[Check Equiparado]:[Check Equiparado]]="Sí",IF(DATOS!BE$5="Sí",(1/DATOS_[[% anualiz]:[% anualiz]]),1)*IF(DATOS!BE$4="Sí",1/DATOS_[[% normaliz]:[% normaliz]],1)*(DATOS_[Conc.Sal.27])))))))),
0)</f>
        <v>0</v>
      </c>
      <c r="AK77" s="196">
        <f t="array" ref="AK77">IFERROR(
(MEDIAN((IF(DATOS_[[Sexo]:[Sexo]]=$B77,IF(DATOS_[[AGRUP. CLAS. PROF.]:[AGRUP. CLAS. PROF.]]=$B75,IF(DATOS_[[Check Periodo Ref.]:[Check Periodo Ref.]]="Dentro",IF(DATOS_[[Check Equiparado]:[Check Equiparado]]="Sí",IF(DATOS!BF$5="Sí",(1/DATOS_[[% anualiz]:[% anualiz]]),1)*IF(DATOS!BF$4="Sí",1/DATOS_[[% normaliz]:[% normaliz]],1)*(DATOS_[Conc.Sal.28])))))))),
0)</f>
        <v>0</v>
      </c>
      <c r="AL77" s="196">
        <f t="array" ref="AL77">IFERROR(
(MEDIAN((IF(DATOS_[[Sexo]:[Sexo]]=$B77,IF(DATOS_[[AGRUP. CLAS. PROF.]:[AGRUP. CLAS. PROF.]]=$B75,IF(DATOS_[[Check Periodo Ref.]:[Check Periodo Ref.]]="Dentro",IF(DATOS_[[Check Equiparado]:[Check Equiparado]]="Sí",IF(DATOS!BG$5="Sí",(1/DATOS_[[% anualiz]:[% anualiz]]),1)*IF(DATOS!BG$4="Sí",1/DATOS_[[% normaliz]:[% normaliz]],1)*(DATOS_[Conc.Sal.29])))))))),
0)</f>
        <v>0</v>
      </c>
      <c r="AM77" s="196">
        <f t="array" ref="AM77">IFERROR(
(MEDIAN((IF(DATOS_[[Sexo]:[Sexo]]=$B77,IF(DATOS_[[AGRUP. CLAS. PROF.]:[AGRUP. CLAS. PROF.]]=$B75,IF(DATOS_[[Check Periodo Ref.]:[Check Periodo Ref.]]="Dentro",IF(DATOS_[[Check Equiparado]:[Check Equiparado]]="Sí",IF(DATOS!BH$5="Sí",(1/DATOS_[[% anualiz]:[% anualiz]]),1)*IF(DATOS!BH$4="Sí",1/DATOS_[[% normaliz]:[% normaliz]],1)*(DATOS_[Conc.Sal.30])))))))),
0)</f>
        <v>0</v>
      </c>
      <c r="AN77" s="195">
        <f t="array" ref="AN77">IFERROR(
MEDIAN(IF(DATOS_[Sexo]=$B77,IF(DATOS_[[AGRUP. CLAS. PROF.]:[AGRUP. CLAS. PROF.]]=$B75,IF(DATOS_[Check Equiparado]="Sí",IF(DATOS_[Check Periodo Ref.]="Dentro",DATOS_[Tot COMPL.SAL Eq],FALSE))))),
0)</f>
        <v>0</v>
      </c>
      <c r="AO77" s="172">
        <f t="array" ref="AO77">IFERROR(
MEDIAN(IF(DATOS_[Sexo]=$B77,IF(DATOS_[[AGRUP. CLAS. PROF.]:[AGRUP. CLAS. PROF.]]=$B75,IF(DATOS_[Check Equiparado]="Sí",IF(DATOS_[Check Periodo Ref.]="Dentro",DATOS_[TOTAL SALARIO Eq],FALSE))))),
0)</f>
        <v>0</v>
      </c>
      <c r="AP77" s="173">
        <f t="array" ref="AP77">IFERROR(
(MEDIAN((IF(DATOS_[[Sexo]:[Sexo]]=$B77,IF(DATOS_[[AGRUP. CLAS. PROF.]:[AGRUP. CLAS. PROF.]]=$B75,IF(DATOS_[[Check Periodo Ref.]:[Check Periodo Ref.]]="Dentro",IF(DATOS_[[Check Equiparado]:[Check Equiparado]]="Sí",IF(DATOS!BW$5="Sí",(1/DATOS_[[% anualiz]:[% anualiz]]),1)*IF(DATOS!BW$4="Sí",1/DATOS_[[% normaliz]:[% normaliz]],1)*(DATOS_[C.Extra.01])))))))),
0)</f>
        <v>0</v>
      </c>
      <c r="AQ77" s="173">
        <f t="array" ref="AQ77">IFERROR(
(MEDIAN((IF(DATOS_[[Sexo]:[Sexo]]=$B77,IF(DATOS_[[AGRUP. CLAS. PROF.]:[AGRUP. CLAS. PROF.]]=$B75,IF(DATOS_[[Check Periodo Ref.]:[Check Periodo Ref.]]="Dentro",IF(DATOS_[[Check Equiparado]:[Check Equiparado]]="Sí",IF(DATOS!CB$5="Sí",(1/DATOS_[[% anualiz]:[% anualiz]]),1)*IF(DATOS!CB$4="Sí",1/DATOS_[[% normaliz]:[% normaliz]],1)*(DATOS_[C.Extra.06])))))))),
0)</f>
        <v>0</v>
      </c>
      <c r="AR77" s="173">
        <f t="array" ref="AR77">IFERROR(
(MEDIAN((IF(DATOS_[[Sexo]:[Sexo]]=$B77,IF(DATOS_[[AGRUP. CLAS. PROF.]:[AGRUP. CLAS. PROF.]]=$B75,IF(DATOS_[[Check Periodo Ref.]:[Check Periodo Ref.]]="Dentro",IF(DATOS_[[Check Equiparado]:[Check Equiparado]]="Sí",IF(DATOS!CC$5="Sí",(1/DATOS_[[% anualiz]:[% anualiz]]),1)*IF(DATOS!CC$4="Sí",1/DATOS_[[% normaliz]:[% normaliz]],1)*(DATOS_[C.Extra.07])))))))),
0)</f>
        <v>0</v>
      </c>
      <c r="AS77" s="173">
        <f t="array" ref="AS77">IFERROR(
(MEDIAN((IF(DATOS_[[Sexo]:[Sexo]]=$B77,IF(DATOS_[[AGRUP. CLAS. PROF.]:[AGRUP. CLAS. PROF.]]=$B75,IF(DATOS_[[Check Periodo Ref.]:[Check Periodo Ref.]]="Dentro",IF(DATOS_[[Check Equiparado]:[Check Equiparado]]="Sí",IF(DATOS!CD$5="Sí",(1/DATOS_[[% anualiz]:[% anualiz]]),1)*IF(DATOS!CD$4="Sí",1/DATOS_[[% normaliz]:[% normaliz]],1)*(DATOS_[C.Extra.08])))))))),
0)</f>
        <v>0</v>
      </c>
      <c r="AT77" s="173">
        <f t="array" ref="AT77">IFERROR(
(MEDIAN((IF(DATOS_[[Sexo]:[Sexo]]=$B77,IF(DATOS_[[AGRUP. CLAS. PROF.]:[AGRUP. CLAS. PROF.]]=$B75,IF(DATOS_[[Check Periodo Ref.]:[Check Periodo Ref.]]="Dentro",IF(DATOS_[[Check Equiparado]:[Check Equiparado]]="Sí",IF(DATOS!CG$5="Sí",(1/DATOS_[[% anualiz]:[% anualiz]]),1)*IF(DATOS!CG$4="Sí",1/DATOS_[[% normaliz]:[% normaliz]],1)*(DATOS_[C.Extra.11])))))))),
0)</f>
        <v>0</v>
      </c>
      <c r="AU77" s="197">
        <f t="array" ref="AU77">IFERROR(
MEDIAN(IF(DATOS_[Sexo]=$B77,IF(DATOS_[[AGRUP. CLAS. PROF.]:[AGRUP. CLAS. PROF.]]=$B75,IF(DATOS_[Check Equiparado]="Sí",IF(DATOS_[Check Periodo Ref.]="Dentro",DATOS_[Tot Extrasalarial Eq],FALSE))))),
0)</f>
        <v>0</v>
      </c>
      <c r="AV77" s="175">
        <f t="array" ref="AV77">IFERROR(
MEDIAN(IF(DATOS_[Sexo]=$B77,IF(DATOS_[[AGRUP. CLAS. PROF.]:[AGRUP. CLAS. PROF.]]=$B75,IF(DATOS_[Check Equiparado]="Sí",IF(DATOS_[Check Periodo Ref.]="Dentro",DATOS_[TOTAL Retrib Eq],FALSE))))),
0)</f>
        <v>0</v>
      </c>
    </row>
    <row r="78" spans="1:48" ht="15.6" hidden="1" thickBot="1" x14ac:dyDescent="0.3">
      <c r="A78" s="133" t="str">
        <f t="shared" ref="A78" si="87">+A79</f>
        <v>[ocultar]</v>
      </c>
      <c r="B78" s="199" t="s">
        <v>265</v>
      </c>
      <c r="C78" s="200"/>
      <c r="D78" s="201"/>
      <c r="E78" s="201"/>
      <c r="F78" s="201"/>
      <c r="G78" s="201"/>
      <c r="H78" s="201"/>
      <c r="I78" s="189" t="str">
        <f t="shared" ref="I78:AV78" si="88">IFERROR((I79-I80)/I79,"")</f>
        <v/>
      </c>
      <c r="J78" s="190" t="str">
        <f t="shared" si="88"/>
        <v/>
      </c>
      <c r="K78" s="191" t="str">
        <f t="shared" si="88"/>
        <v/>
      </c>
      <c r="L78" s="191" t="str">
        <f t="shared" si="88"/>
        <v/>
      </c>
      <c r="M78" s="191" t="str">
        <f t="shared" si="88"/>
        <v/>
      </c>
      <c r="N78" s="192" t="str">
        <f t="shared" si="88"/>
        <v/>
      </c>
      <c r="O78" s="193" t="str">
        <f t="shared" si="88"/>
        <v/>
      </c>
      <c r="P78" s="193" t="str">
        <f t="shared" si="88"/>
        <v/>
      </c>
      <c r="Q78" s="193" t="str">
        <f t="shared" si="88"/>
        <v/>
      </c>
      <c r="R78" s="193" t="str">
        <f t="shared" si="88"/>
        <v/>
      </c>
      <c r="S78" s="193" t="str">
        <f t="shared" si="88"/>
        <v/>
      </c>
      <c r="T78" s="193" t="str">
        <f t="shared" si="88"/>
        <v/>
      </c>
      <c r="U78" s="193" t="str">
        <f t="shared" si="88"/>
        <v/>
      </c>
      <c r="V78" s="193" t="str">
        <f t="shared" si="88"/>
        <v/>
      </c>
      <c r="W78" s="193" t="str">
        <f t="shared" si="88"/>
        <v/>
      </c>
      <c r="X78" s="193" t="str">
        <f t="shared" si="88"/>
        <v/>
      </c>
      <c r="Y78" s="193" t="str">
        <f t="shared" si="88"/>
        <v/>
      </c>
      <c r="Z78" s="193" t="str">
        <f t="shared" si="88"/>
        <v/>
      </c>
      <c r="AA78" s="193" t="str">
        <f t="shared" si="88"/>
        <v/>
      </c>
      <c r="AB78" s="193" t="str">
        <f t="shared" si="88"/>
        <v/>
      </c>
      <c r="AC78" s="193" t="str">
        <f t="shared" si="88"/>
        <v/>
      </c>
      <c r="AD78" s="193" t="str">
        <f t="shared" si="88"/>
        <v/>
      </c>
      <c r="AE78" s="193" t="str">
        <f t="shared" si="88"/>
        <v/>
      </c>
      <c r="AF78" s="193" t="str">
        <f t="shared" si="88"/>
        <v/>
      </c>
      <c r="AG78" s="193" t="str">
        <f t="shared" si="88"/>
        <v/>
      </c>
      <c r="AH78" s="193" t="str">
        <f t="shared" si="88"/>
        <v/>
      </c>
      <c r="AI78" s="193" t="str">
        <f t="shared" si="88"/>
        <v/>
      </c>
      <c r="AJ78" s="193" t="str">
        <f t="shared" si="88"/>
        <v/>
      </c>
      <c r="AK78" s="193" t="str">
        <f t="shared" si="88"/>
        <v/>
      </c>
      <c r="AL78" s="193" t="str">
        <f t="shared" si="88"/>
        <v/>
      </c>
      <c r="AM78" s="193" t="str">
        <f t="shared" si="88"/>
        <v/>
      </c>
      <c r="AN78" s="189" t="str">
        <f t="shared" si="88"/>
        <v/>
      </c>
      <c r="AO78" s="162" t="str">
        <f t="shared" si="88"/>
        <v/>
      </c>
      <c r="AP78" s="163" t="str">
        <f t="shared" si="88"/>
        <v/>
      </c>
      <c r="AQ78" s="163" t="str">
        <f t="shared" si="88"/>
        <v/>
      </c>
      <c r="AR78" s="163" t="str">
        <f t="shared" si="88"/>
        <v/>
      </c>
      <c r="AS78" s="163" t="str">
        <f t="shared" si="88"/>
        <v/>
      </c>
      <c r="AT78" s="163" t="str">
        <f t="shared" si="88"/>
        <v/>
      </c>
      <c r="AU78" s="194" t="str">
        <f t="shared" si="88"/>
        <v/>
      </c>
      <c r="AV78" s="165" t="str">
        <f t="shared" si="88"/>
        <v/>
      </c>
    </row>
    <row r="79" spans="1:48" hidden="1" x14ac:dyDescent="0.25">
      <c r="A79" s="133" t="str">
        <f t="shared" ref="A79" si="89">+IF(C79+C80=0,"[ocultar]","")</f>
        <v>[ocultar]</v>
      </c>
      <c r="B79" s="202" t="s">
        <v>394</v>
      </c>
      <c r="C79" s="203">
        <f t="array" ref="C79">SUM(IF($B79=DATOS_[Sexo],
IF($B78=DATOS_[AGRUP. CLAS. PROF.],
IF("Dentro"=DATOS_[Check Periodo Ref.],
1/(COUNTIFS(DATOS_[Sexo],$B79,DATOS_[AGRUP. CLAS. PROF.],$B78,DATOS_[Check Periodo Ref.],"Dentro",DATOS_[id/cod],DATOS_[id/cod]))))))</f>
        <v>0</v>
      </c>
      <c r="D79" s="204">
        <f>COUNTIFS(DATOS_[AGRUP. CLAS. PROF.],$B78,DATOS_[Sexo],$B79,DATOS_[Check Periodo Ref.],"Dentro")</f>
        <v>0</v>
      </c>
      <c r="E79" s="204">
        <f>COUNTIFS(DATOS_[AGRUP. CLAS. PROF.],$B78,DATOS_[Sexo],$B79,DATOS_[Check Periodo Ref.],"Dentro",DATOS_[Check Nº SC Norm],"Sí")</f>
        <v>0</v>
      </c>
      <c r="F79" s="204">
        <f>COUNTIFS(DATOS_[AGRUP. CLAS. PROF.],$B78,DATOS_[Sexo],$B79,DATOS_[Check Periodo Ref.],"Dentro",DATOS_[Check Nº SC Anualiz],"Sí")</f>
        <v>0</v>
      </c>
      <c r="G79" s="204">
        <f>COUNTIFS(DATOS_[AGRUP. CLAS. PROF.],$B78,DATOS_[Sexo],$B79,DATOS_[Check Periodo Ref.],"Dentro",DATOS_[Check Nº SC Norm y Anualiz],"Sí")</f>
        <v>0</v>
      </c>
      <c r="H79" s="204">
        <f>COUNTIFS(DATOS_[AGRUP. CLAS. PROF.],$B78,DATOS_[Sexo],$B79,DATOS_[Check Periodo Ref.],"Dentro",DATOS_[Check Equiparación],"Sí")</f>
        <v>0</v>
      </c>
      <c r="I79" s="195">
        <f t="array" ref="I79">IFERROR(
MEDIAN(IF(DATOS_[Sexo]=$B79,IF(DATOS_[[AGRUP. CLAS. PROF.]:[AGRUP. CLAS. PROF.]]=$B78,IF(DATOS_[Check Equiparado]="Sí",IF(DATOS_[Check Periodo Ref.]="Dentro",DATOS_[SALARIO BASE Eq],FALSE))))),
0)</f>
        <v>0</v>
      </c>
      <c r="J79" s="196">
        <f t="array" ref="J79">IFERROR(
(MEDIAN((IF(DATOS_[[Sexo]:[Sexo]]=$B79,IF(DATOS_[[AGRUP. CLAS. PROF.]:[AGRUP. CLAS. PROF.]]=$B78,IF(DATOS_[[Check Periodo Ref.]:[Check Periodo Ref.]]="Dentro",IF(DATOS_[[Check Equiparado]:[Check Equiparado]]="Sí",IF(DATOS!AE$5="Sí",(1/DATOS_[[% anualiz]:[% anualiz]]),1)*IF(DATOS!AE$4="Sí",1/DATOS_[[% normaliz]:[% normaliz]],1)*(DATOS_[Conc.Sal.01])))))))),
0)</f>
        <v>0</v>
      </c>
      <c r="K79" s="196">
        <f t="array" ref="K79">IFERROR(
(MEDIAN((IF(DATOS_[[Sexo]:[Sexo]]=$B79,IF(DATOS_[[AGRUP. CLAS. PROF.]:[AGRUP. CLAS. PROF.]]=$B78,IF(DATOS_[[Check Periodo Ref.]:[Check Periodo Ref.]]="Dentro",IF(DATOS_[[Check Equiparado]:[Check Equiparado]]="Sí",IF(DATOS!AF$5="Sí",(1/DATOS_[[% anualiz]:[% anualiz]]),1)*IF(DATOS!AF$4="Sí",1/DATOS_[[% normaliz]:[% normaliz]],1)*(DATOS_[Conc.Sal.02])))))))),
0)</f>
        <v>0</v>
      </c>
      <c r="L79" s="196">
        <f t="array" ref="L79">IFERROR(
(MEDIAN((IF(DATOS_[[Sexo]:[Sexo]]=$B79,IF(DATOS_[[AGRUP. CLAS. PROF.]:[AGRUP. CLAS. PROF.]]=$B78,IF(DATOS_[[Check Periodo Ref.]:[Check Periodo Ref.]]="Dentro",IF(DATOS_[[Check Equiparado]:[Check Equiparado]]="Sí",IF(DATOS!AG$5="Sí",(1/DATOS_[[% anualiz]:[% anualiz]]),1)*IF(DATOS!AG$4="Sí",1/DATOS_[[% normaliz]:[% normaliz]],1)*(DATOS_[Conc.Sal.03])))))))),
0)</f>
        <v>0</v>
      </c>
      <c r="M79" s="196">
        <f t="array" ref="M79">IFERROR(
(MEDIAN((IF(DATOS_[[Sexo]:[Sexo]]=$B79,IF(DATOS_[[AGRUP. CLAS. PROF.]:[AGRUP. CLAS. PROF.]]=$B78,IF(DATOS_[[Check Periodo Ref.]:[Check Periodo Ref.]]="Dentro",IF(DATOS_[[Check Equiparado]:[Check Equiparado]]="Sí",IF(DATOS!AH$5="Sí",(1/DATOS_[[% anualiz]:[% anualiz]]),1)*IF(DATOS!AH$4="Sí",1/DATOS_[[% normaliz]:[% normaliz]],1)*(DATOS_[Conc.Sal.04])))))))),
0)</f>
        <v>0</v>
      </c>
      <c r="N79" s="196">
        <f t="array" ref="N79">IFERROR(
(MEDIAN((IF(DATOS_[[Sexo]:[Sexo]]=$B79,IF(DATOS_[[AGRUP. CLAS. PROF.]:[AGRUP. CLAS. PROF.]]=$B78,IF(DATOS_[[Check Periodo Ref.]:[Check Periodo Ref.]]="Dentro",IF(DATOS_[[Check Equiparado]:[Check Equiparado]]="Sí",IF(DATOS!AI$5="Sí",(1/DATOS_[[% anualiz]:[% anualiz]]),1)*IF(DATOS!AI$4="Sí",1/DATOS_[[% normaliz]:[% normaliz]],1)*(DATOS_[Conc.Sal.05])))))))),
0)</f>
        <v>0</v>
      </c>
      <c r="O79" s="196">
        <f t="array" ref="O79">IFERROR(
(MEDIAN((IF(DATOS_[[Sexo]:[Sexo]]=$B79,IF(DATOS_[[AGRUP. CLAS. PROF.]:[AGRUP. CLAS. PROF.]]=$B78,IF(DATOS_[[Check Periodo Ref.]:[Check Periodo Ref.]]="Dentro",IF(DATOS_[[Check Equiparado]:[Check Equiparado]]="Sí",IF(DATOS!AJ$5="Sí",(1/DATOS_[[% anualiz]:[% anualiz]]),1)*IF(DATOS!AJ$4="Sí",1/DATOS_[[% normaliz]:[% normaliz]],1)*(DATOS_[Conc.Sal.06])))))))),
0)</f>
        <v>0</v>
      </c>
      <c r="P79" s="196">
        <f t="array" ref="P79">IFERROR(
(MEDIAN((IF(DATOS_[[Sexo]:[Sexo]]=$B79,IF(DATOS_[[AGRUP. CLAS. PROF.]:[AGRUP. CLAS. PROF.]]=$B78,IF(DATOS_[[Check Periodo Ref.]:[Check Periodo Ref.]]="Dentro",IF(DATOS_[[Check Equiparado]:[Check Equiparado]]="Sí",IF(DATOS!AK$5="Sí",(1/DATOS_[[% anualiz]:[% anualiz]]),1)*IF(DATOS!AK$4="Sí",1/DATOS_[[% normaliz]:[% normaliz]],1)*(DATOS_[Conc.Sal.07])))))))),
0)</f>
        <v>0</v>
      </c>
      <c r="Q79" s="196">
        <f t="array" ref="Q79">IFERROR(
(MEDIAN((IF(DATOS_[[Sexo]:[Sexo]]=$B79,IF(DATOS_[[AGRUP. CLAS. PROF.]:[AGRUP. CLAS. PROF.]]=$B78,IF(DATOS_[[Check Periodo Ref.]:[Check Periodo Ref.]]="Dentro",IF(DATOS_[[Check Equiparado]:[Check Equiparado]]="Sí",IF(DATOS!AL$5="Sí",(1/DATOS_[[% anualiz]:[% anualiz]]),1)*IF(DATOS!AL$4="Sí",1/DATOS_[[% normaliz]:[% normaliz]],1)*(DATOS_[Conc.Sal.08])))))))),
0)</f>
        <v>0</v>
      </c>
      <c r="R79" s="196">
        <f t="array" ref="R79">IFERROR(
(MEDIAN((IF(DATOS_[[Sexo]:[Sexo]]=$B79,IF(DATOS_[[AGRUP. CLAS. PROF.]:[AGRUP. CLAS. PROF.]]=$B78,IF(DATOS_[[Check Periodo Ref.]:[Check Periodo Ref.]]="Dentro",IF(DATOS_[[Check Equiparado]:[Check Equiparado]]="Sí",IF(DATOS!AM$5="Sí",(1/DATOS_[[% anualiz]:[% anualiz]]),1)*IF(DATOS!AM$4="Sí",1/DATOS_[[% normaliz]:[% normaliz]],1)*(DATOS_[Conc.Sal.09])))))))),
0)</f>
        <v>0</v>
      </c>
      <c r="S79" s="196">
        <f t="array" ref="S79">IFERROR(
(MEDIAN((IF(DATOS_[[Sexo]:[Sexo]]=$B79,IF(DATOS_[[AGRUP. CLAS. PROF.]:[AGRUP. CLAS. PROF.]]=$B78,IF(DATOS_[[Check Periodo Ref.]:[Check Periodo Ref.]]="Dentro",IF(DATOS_[[Check Equiparado]:[Check Equiparado]]="Sí",IF(DATOS!AN$5="Sí",(1/DATOS_[[% anualiz]:[% anualiz]]),1)*IF(DATOS!AN$4="Sí",1/DATOS_[[% normaliz]:[% normaliz]],1)*(DATOS_[Conc.Sal.10])))))))),
0)</f>
        <v>0</v>
      </c>
      <c r="T79" s="196">
        <f t="array" ref="T79">IFERROR(
(MEDIAN((IF(DATOS_[[Sexo]:[Sexo]]=$B79,IF(DATOS_[[AGRUP. CLAS. PROF.]:[AGRUP. CLAS. PROF.]]=$B78,IF(DATOS_[[Check Periodo Ref.]:[Check Periodo Ref.]]="Dentro",IF(DATOS_[[Check Equiparado]:[Check Equiparado]]="Sí",IF(DATOS!AO$5="Sí",(1/DATOS_[[% anualiz]:[% anualiz]]),1)*IF(DATOS!AO$4="Sí",1/DATOS_[[% normaliz]:[% normaliz]],1)*(DATOS_[Conc.Sal.11])))))))),
0)</f>
        <v>0</v>
      </c>
      <c r="U79" s="196">
        <f t="array" ref="U79">IFERROR(
(MEDIAN((IF(DATOS_[[Sexo]:[Sexo]]=$B79,IF(DATOS_[[AGRUP. CLAS. PROF.]:[AGRUP. CLAS. PROF.]]=$B78,IF(DATOS_[[Check Periodo Ref.]:[Check Periodo Ref.]]="Dentro",IF(DATOS_[[Check Equiparado]:[Check Equiparado]]="Sí",IF(DATOS!AP$5="Sí",(1/DATOS_[[% anualiz]:[% anualiz]]),1)*IF(DATOS!AP$4="Sí",1/DATOS_[[% normaliz]:[% normaliz]],1)*(DATOS_[Conc.Sal.12])))))))),
0)</f>
        <v>0</v>
      </c>
      <c r="V79" s="196">
        <f t="array" ref="V79">IFERROR(
(MEDIAN((IF(DATOS_[[Sexo]:[Sexo]]=$B79,IF(DATOS_[[AGRUP. CLAS. PROF.]:[AGRUP. CLAS. PROF.]]=$B78,IF(DATOS_[[Check Periodo Ref.]:[Check Periodo Ref.]]="Dentro",IF(DATOS_[[Check Equiparado]:[Check Equiparado]]="Sí",IF(DATOS!AQ$5="Sí",(1/DATOS_[[% anualiz]:[% anualiz]]),1)*IF(DATOS!AQ$4="Sí",1/DATOS_[[% normaliz]:[% normaliz]],1)*(DATOS_[Conc.Sal.13])))))))),
0)</f>
        <v>0</v>
      </c>
      <c r="W79" s="196">
        <f t="array" ref="W79">IFERROR(
(MEDIAN((IF(DATOS_[[Sexo]:[Sexo]]=$B79,IF(DATOS_[[AGRUP. CLAS. PROF.]:[AGRUP. CLAS. PROF.]]=$B78,IF(DATOS_[[Check Periodo Ref.]:[Check Periodo Ref.]]="Dentro",IF(DATOS_[[Check Equiparado]:[Check Equiparado]]="Sí",IF(DATOS!AR$5="Sí",(1/DATOS_[[% anualiz]:[% anualiz]]),1)*IF(DATOS!AR$4="Sí",1/DATOS_[[% normaliz]:[% normaliz]],1)*(DATOS_[Conc.Sal.14])))))))),
0)</f>
        <v>0</v>
      </c>
      <c r="X79" s="196">
        <f t="array" ref="X79">IFERROR(
(MEDIAN((IF(DATOS_[[Sexo]:[Sexo]]=$B79,IF(DATOS_[[AGRUP. CLAS. PROF.]:[AGRUP. CLAS. PROF.]]=$B78,IF(DATOS_[[Check Periodo Ref.]:[Check Periodo Ref.]]="Dentro",IF(DATOS_[[Check Equiparado]:[Check Equiparado]]="Sí",IF(DATOS!AS$5="Sí",(1/DATOS_[[% anualiz]:[% anualiz]]),1)*IF(DATOS!AS$4="Sí",1/DATOS_[[% normaliz]:[% normaliz]],1)*(DATOS_[Conc.Sal.15])))))))),
0)</f>
        <v>0</v>
      </c>
      <c r="Y79" s="196">
        <f t="array" ref="Y79">IFERROR(
(MEDIAN((IF(DATOS_[[Sexo]:[Sexo]]=$B79,IF(DATOS_[[AGRUP. CLAS. PROF.]:[AGRUP. CLAS. PROF.]]=$B78,IF(DATOS_[[Check Periodo Ref.]:[Check Periodo Ref.]]="Dentro",IF(DATOS_[[Check Equiparado]:[Check Equiparado]]="Sí",IF(DATOS!AT$5="Sí",(1/DATOS_[[% anualiz]:[% anualiz]]),1)*IF(DATOS!AT$4="Sí",1/DATOS_[[% normaliz]:[% normaliz]],1)*(DATOS_[Conc.Sal.16])))))))),
0)</f>
        <v>0</v>
      </c>
      <c r="Z79" s="196">
        <f t="array" ref="Z79">IFERROR(
(MEDIAN((IF(DATOS_[[Sexo]:[Sexo]]=$B79,IF(DATOS_[[AGRUP. CLAS. PROF.]:[AGRUP. CLAS. PROF.]]=$B78,IF(DATOS_[[Check Periodo Ref.]:[Check Periodo Ref.]]="Dentro",IF(DATOS_[[Check Equiparado]:[Check Equiparado]]="Sí",IF(DATOS!AU$5="Sí",(1/DATOS_[[% anualiz]:[% anualiz]]),1)*IF(DATOS!AU$4="Sí",1/DATOS_[[% normaliz]:[% normaliz]],1)*(DATOS_[Conc.Sal.17])))))))),
0)</f>
        <v>0</v>
      </c>
      <c r="AA79" s="196">
        <f t="array" ref="AA79">IFERROR(
(MEDIAN((IF(DATOS_[[Sexo]:[Sexo]]=$B79,IF(DATOS_[[AGRUP. CLAS. PROF.]:[AGRUP. CLAS. PROF.]]=$B78,IF(DATOS_[[Check Periodo Ref.]:[Check Periodo Ref.]]="Dentro",IF(DATOS_[[Check Equiparado]:[Check Equiparado]]="Sí",IF(DATOS!AV$5="Sí",(1/DATOS_[[% anualiz]:[% anualiz]]),1)*IF(DATOS!AV$4="Sí",1/DATOS_[[% normaliz]:[% normaliz]],1)*(DATOS_[Conc.Sal.18])))))))),
0)</f>
        <v>0</v>
      </c>
      <c r="AB79" s="196">
        <f t="array" ref="AB79">IFERROR(
(MEDIAN((IF(DATOS_[[Sexo]:[Sexo]]=$B79,IF(DATOS_[[AGRUP. CLAS. PROF.]:[AGRUP. CLAS. PROF.]]=$B78,IF(DATOS_[[Check Periodo Ref.]:[Check Periodo Ref.]]="Dentro",IF(DATOS_[[Check Equiparado]:[Check Equiparado]]="Sí",IF(DATOS!AW$5="Sí",(1/DATOS_[[% anualiz]:[% anualiz]]),1)*IF(DATOS!AW$4="Sí",1/DATOS_[[% normaliz]:[% normaliz]],1)*(DATOS_[Conc.Sal.19])))))))),
0)</f>
        <v>0</v>
      </c>
      <c r="AC79" s="196">
        <f t="array" ref="AC79">IFERROR(
(MEDIAN((IF(DATOS_[[Sexo]:[Sexo]]=$B79,IF(DATOS_[[AGRUP. CLAS. PROF.]:[AGRUP. CLAS. PROF.]]=$B78,IF(DATOS_[[Check Periodo Ref.]:[Check Periodo Ref.]]="Dentro",IF(DATOS_[[Check Equiparado]:[Check Equiparado]]="Sí",IF(DATOS!AX$5="Sí",(1/DATOS_[[% anualiz]:[% anualiz]]),1)*IF(DATOS!AX$4="Sí",1/DATOS_[[% normaliz]:[% normaliz]],1)*(DATOS_[Conc.Sal.20])))))))),
0)</f>
        <v>0</v>
      </c>
      <c r="AD79" s="196">
        <f t="array" ref="AD79">IFERROR(
(MEDIAN((IF(DATOS_[[Sexo]:[Sexo]]=$B79,IF(DATOS_[[AGRUP. CLAS. PROF.]:[AGRUP. CLAS. PROF.]]=$B78,IF(DATOS_[[Check Periodo Ref.]:[Check Periodo Ref.]]="Dentro",IF(DATOS_[[Check Equiparado]:[Check Equiparado]]="Sí",IF(DATOS!AY$5="Sí",(1/DATOS_[[% anualiz]:[% anualiz]]),1)*IF(DATOS!AY$4="Sí",1/DATOS_[[% normaliz]:[% normaliz]],1)*(DATOS_[Conc.Sal.21])))))))),
0)</f>
        <v>0</v>
      </c>
      <c r="AE79" s="196">
        <f t="array" ref="AE79">IFERROR(
(MEDIAN((IF(DATOS_[[Sexo]:[Sexo]]=$B79,IF(DATOS_[[AGRUP. CLAS. PROF.]:[AGRUP. CLAS. PROF.]]=$B78,IF(DATOS_[[Check Periodo Ref.]:[Check Periodo Ref.]]="Dentro",IF(DATOS_[[Check Equiparado]:[Check Equiparado]]="Sí",IF(DATOS!AZ$5="Sí",(1/DATOS_[[% anualiz]:[% anualiz]]),1)*IF(DATOS!AZ$4="Sí",1/DATOS_[[% normaliz]:[% normaliz]],1)*(DATOS_[Conc.Sal.22])))))))),
0)</f>
        <v>0</v>
      </c>
      <c r="AF79" s="196">
        <f t="array" ref="AF79">IFERROR(
(MEDIAN((IF(DATOS_[[Sexo]:[Sexo]]=$B79,IF(DATOS_[[AGRUP. CLAS. PROF.]:[AGRUP. CLAS. PROF.]]=$B78,IF(DATOS_[[Check Periodo Ref.]:[Check Periodo Ref.]]="Dentro",IF(DATOS_[[Check Equiparado]:[Check Equiparado]]="Sí",IF(DATOS!BA$5="Sí",(1/DATOS_[[% anualiz]:[% anualiz]]),1)*IF(DATOS!BA$4="Sí",1/DATOS_[[% normaliz]:[% normaliz]],1)*(DATOS_[Conc.Sal.23])))))))),
0)</f>
        <v>0</v>
      </c>
      <c r="AG79" s="196">
        <f t="array" ref="AG79">IFERROR(
(MEDIAN((IF(DATOS_[[Sexo]:[Sexo]]=$B79,IF(DATOS_[[AGRUP. CLAS. PROF.]:[AGRUP. CLAS. PROF.]]=$B78,IF(DATOS_[[Check Periodo Ref.]:[Check Periodo Ref.]]="Dentro",IF(DATOS_[[Check Equiparado]:[Check Equiparado]]="Sí",IF(DATOS!BB$5="Sí",(1/DATOS_[[% anualiz]:[% anualiz]]),1)*IF(DATOS!BB$4="Sí",1/DATOS_[[% normaliz]:[% normaliz]],1)*(DATOS_[Conc.Sal.24])))))))),
0)</f>
        <v>0</v>
      </c>
      <c r="AH79" s="196">
        <f t="array" ref="AH79">IFERROR(
(MEDIAN((IF(DATOS_[[Sexo]:[Sexo]]=$B79,IF(DATOS_[[AGRUP. CLAS. PROF.]:[AGRUP. CLAS. PROF.]]=$B78,IF(DATOS_[[Check Periodo Ref.]:[Check Periodo Ref.]]="Dentro",IF(DATOS_[[Check Equiparado]:[Check Equiparado]]="Sí",IF(DATOS!BC$5="Sí",(1/DATOS_[[% anualiz]:[% anualiz]]),1)*IF(DATOS!BC$4="Sí",1/DATOS_[[% normaliz]:[% normaliz]],1)*(DATOS_[Conc.Sal.25])))))))),
0)</f>
        <v>0</v>
      </c>
      <c r="AI79" s="196">
        <f t="array" ref="AI79">IFERROR(
(MEDIAN((IF(DATOS_[[Sexo]:[Sexo]]=$B79,IF(DATOS_[[AGRUP. CLAS. PROF.]:[AGRUP. CLAS. PROF.]]=$B78,IF(DATOS_[[Check Periodo Ref.]:[Check Periodo Ref.]]="Dentro",IF(DATOS_[[Check Equiparado]:[Check Equiparado]]="Sí",IF(DATOS!BD$5="Sí",(1/DATOS_[[% anualiz]:[% anualiz]]),1)*IF(DATOS!BD$4="Sí",1/DATOS_[[% normaliz]:[% normaliz]],1)*(DATOS_[Conc.Sal.26])))))))),
0)</f>
        <v>0</v>
      </c>
      <c r="AJ79" s="196">
        <f t="array" ref="AJ79">IFERROR(
(MEDIAN((IF(DATOS_[[Sexo]:[Sexo]]=$B79,IF(DATOS_[[AGRUP. CLAS. PROF.]:[AGRUP. CLAS. PROF.]]=$B78,IF(DATOS_[[Check Periodo Ref.]:[Check Periodo Ref.]]="Dentro",IF(DATOS_[[Check Equiparado]:[Check Equiparado]]="Sí",IF(DATOS!BE$5="Sí",(1/DATOS_[[% anualiz]:[% anualiz]]),1)*IF(DATOS!BE$4="Sí",1/DATOS_[[% normaliz]:[% normaliz]],1)*(DATOS_[Conc.Sal.27])))))))),
0)</f>
        <v>0</v>
      </c>
      <c r="AK79" s="196">
        <f t="array" ref="AK79">IFERROR(
(MEDIAN((IF(DATOS_[[Sexo]:[Sexo]]=$B79,IF(DATOS_[[AGRUP. CLAS. PROF.]:[AGRUP. CLAS. PROF.]]=$B78,IF(DATOS_[[Check Periodo Ref.]:[Check Periodo Ref.]]="Dentro",IF(DATOS_[[Check Equiparado]:[Check Equiparado]]="Sí",IF(DATOS!BF$5="Sí",(1/DATOS_[[% anualiz]:[% anualiz]]),1)*IF(DATOS!BF$4="Sí",1/DATOS_[[% normaliz]:[% normaliz]],1)*(DATOS_[Conc.Sal.28])))))))),
0)</f>
        <v>0</v>
      </c>
      <c r="AL79" s="196">
        <f t="array" ref="AL79">IFERROR(
(MEDIAN((IF(DATOS_[[Sexo]:[Sexo]]=$B79,IF(DATOS_[[AGRUP. CLAS. PROF.]:[AGRUP. CLAS. PROF.]]=$B78,IF(DATOS_[[Check Periodo Ref.]:[Check Periodo Ref.]]="Dentro",IF(DATOS_[[Check Equiparado]:[Check Equiparado]]="Sí",IF(DATOS!BG$5="Sí",(1/DATOS_[[% anualiz]:[% anualiz]]),1)*IF(DATOS!BG$4="Sí",1/DATOS_[[% normaliz]:[% normaliz]],1)*(DATOS_[Conc.Sal.29])))))))),
0)</f>
        <v>0</v>
      </c>
      <c r="AM79" s="196">
        <f t="array" ref="AM79">IFERROR(
(MEDIAN((IF(DATOS_[[Sexo]:[Sexo]]=$B79,IF(DATOS_[[AGRUP. CLAS. PROF.]:[AGRUP. CLAS. PROF.]]=$B78,IF(DATOS_[[Check Periodo Ref.]:[Check Periodo Ref.]]="Dentro",IF(DATOS_[[Check Equiparado]:[Check Equiparado]]="Sí",IF(DATOS!BH$5="Sí",(1/DATOS_[[% anualiz]:[% anualiz]]),1)*IF(DATOS!BH$4="Sí",1/DATOS_[[% normaliz]:[% normaliz]],1)*(DATOS_[Conc.Sal.30])))))))),
0)</f>
        <v>0</v>
      </c>
      <c r="AN79" s="195">
        <f t="array" ref="AN79">IFERROR(
MEDIAN(IF(DATOS_[Sexo]=$B79,IF(DATOS_[[AGRUP. CLAS. PROF.]:[AGRUP. CLAS. PROF.]]=$B78,IF(DATOS_[Check Equiparado]="Sí",IF(DATOS_[Check Periodo Ref.]="Dentro",DATOS_[Tot COMPL.SAL Eq],FALSE))))),
0)</f>
        <v>0</v>
      </c>
      <c r="AO79" s="172">
        <f t="array" ref="AO79">IFERROR(
MEDIAN(IF(DATOS_[Sexo]=$B79,IF(DATOS_[[AGRUP. CLAS. PROF.]:[AGRUP. CLAS. PROF.]]=$B78,IF(DATOS_[Check Equiparado]="Sí",IF(DATOS_[Check Periodo Ref.]="Dentro",DATOS_[TOTAL SALARIO Eq],FALSE))))),
0)</f>
        <v>0</v>
      </c>
      <c r="AP79" s="173">
        <f t="array" ref="AP79">IFERROR(
(MEDIAN((IF(DATOS_[[Sexo]:[Sexo]]=$B79,IF(DATOS_[[AGRUP. CLAS. PROF.]:[AGRUP. CLAS. PROF.]]=$B78,IF(DATOS_[[Check Periodo Ref.]:[Check Periodo Ref.]]="Dentro",IF(DATOS_[[Check Equiparado]:[Check Equiparado]]="Sí",IF(DATOS!BW$5="Sí",(1/DATOS_[[% anualiz]:[% anualiz]]),1)*IF(DATOS!BW$4="Sí",1/DATOS_[[% normaliz]:[% normaliz]],1)*(DATOS_[C.Extra.01])))))))),
0)</f>
        <v>0</v>
      </c>
      <c r="AQ79" s="173">
        <f t="array" ref="AQ79">IFERROR(
(MEDIAN((IF(DATOS_[[Sexo]:[Sexo]]=$B79,IF(DATOS_[[AGRUP. CLAS. PROF.]:[AGRUP. CLAS. PROF.]]=$B78,IF(DATOS_[[Check Periodo Ref.]:[Check Periodo Ref.]]="Dentro",IF(DATOS_[[Check Equiparado]:[Check Equiparado]]="Sí",IF(DATOS!CB$5="Sí",(1/DATOS_[[% anualiz]:[% anualiz]]),1)*IF(DATOS!CB$4="Sí",1/DATOS_[[% normaliz]:[% normaliz]],1)*(DATOS_[C.Extra.06])))))))),
0)</f>
        <v>0</v>
      </c>
      <c r="AR79" s="173">
        <f t="array" ref="AR79">IFERROR(
(MEDIAN((IF(DATOS_[[Sexo]:[Sexo]]=$B79,IF(DATOS_[[AGRUP. CLAS. PROF.]:[AGRUP. CLAS. PROF.]]=$B78,IF(DATOS_[[Check Periodo Ref.]:[Check Periodo Ref.]]="Dentro",IF(DATOS_[[Check Equiparado]:[Check Equiparado]]="Sí",IF(DATOS!CC$5="Sí",(1/DATOS_[[% anualiz]:[% anualiz]]),1)*IF(DATOS!CC$4="Sí",1/DATOS_[[% normaliz]:[% normaliz]],1)*(DATOS_[C.Extra.07])))))))),
0)</f>
        <v>0</v>
      </c>
      <c r="AS79" s="173">
        <f t="array" ref="AS79">IFERROR(
(MEDIAN((IF(DATOS_[[Sexo]:[Sexo]]=$B79,IF(DATOS_[[AGRUP. CLAS. PROF.]:[AGRUP. CLAS. PROF.]]=$B78,IF(DATOS_[[Check Periodo Ref.]:[Check Periodo Ref.]]="Dentro",IF(DATOS_[[Check Equiparado]:[Check Equiparado]]="Sí",IF(DATOS!CD$5="Sí",(1/DATOS_[[% anualiz]:[% anualiz]]),1)*IF(DATOS!CD$4="Sí",1/DATOS_[[% normaliz]:[% normaliz]],1)*(DATOS_[C.Extra.08])))))))),
0)</f>
        <v>0</v>
      </c>
      <c r="AT79" s="173">
        <f t="array" ref="AT79">IFERROR(
(MEDIAN((IF(DATOS_[[Sexo]:[Sexo]]=$B79,IF(DATOS_[[AGRUP. CLAS. PROF.]:[AGRUP. CLAS. PROF.]]=$B78,IF(DATOS_[[Check Periodo Ref.]:[Check Periodo Ref.]]="Dentro",IF(DATOS_[[Check Equiparado]:[Check Equiparado]]="Sí",IF(DATOS!CG$5="Sí",(1/DATOS_[[% anualiz]:[% anualiz]]),1)*IF(DATOS!CG$4="Sí",1/DATOS_[[% normaliz]:[% normaliz]],1)*(DATOS_[C.Extra.11])))))))),
0)</f>
        <v>0</v>
      </c>
      <c r="AU79" s="197">
        <f t="array" ref="AU79">IFERROR(
MEDIAN(IF(DATOS_[Sexo]=$B79,IF(DATOS_[[AGRUP. CLAS. PROF.]:[AGRUP. CLAS. PROF.]]=$B78,IF(DATOS_[Check Equiparado]="Sí",IF(DATOS_[Check Periodo Ref.]="Dentro",DATOS_[Tot Extrasalarial Eq],FALSE))))),
0)</f>
        <v>0</v>
      </c>
      <c r="AV79" s="175">
        <f t="array" ref="AV79">IFERROR(
MEDIAN(IF(DATOS_[Sexo]=$B79,IF(DATOS_[[AGRUP. CLAS. PROF.]:[AGRUP. CLAS. PROF.]]=$B78,IF(DATOS_[Check Equiparado]="Sí",IF(DATOS_[Check Periodo Ref.]="Dentro",DATOS_[TOTAL Retrib Eq],FALSE))))),
0)</f>
        <v>0</v>
      </c>
    </row>
    <row r="80" spans="1:48" hidden="1" x14ac:dyDescent="0.25">
      <c r="A80" s="133" t="str">
        <f t="shared" ref="A80" si="90">+A79</f>
        <v>[ocultar]</v>
      </c>
      <c r="B80" s="202" t="s">
        <v>521</v>
      </c>
      <c r="C80" s="203">
        <f t="array" ref="C80">SUM(IF($B80=DATOS_[Sexo],
IF($B78=DATOS_[AGRUP. CLAS. PROF.],
IF("Dentro"=DATOS_[Check Periodo Ref.],
1/(COUNTIFS(DATOS_[Sexo],$B80,DATOS_[AGRUP. CLAS. PROF.],$B78,DATOS_[Check Periodo Ref.],"Dentro",DATOS_[id/cod],DATOS_[id/cod]))))))</f>
        <v>0</v>
      </c>
      <c r="D80" s="204">
        <f>COUNTIFS(DATOS_[AGRUP. CLAS. PROF.],$B78,DATOS_[Sexo],$B80,DATOS_[Check Periodo Ref.],"Dentro")</f>
        <v>0</v>
      </c>
      <c r="E80" s="204">
        <f>COUNTIFS(DATOS_[AGRUP. CLAS. PROF.],$B78,DATOS_[Sexo],$B80,DATOS_[Check Periodo Ref.],"Dentro",DATOS_[Check Nº SC Norm],"Sí")</f>
        <v>0</v>
      </c>
      <c r="F80" s="204">
        <f>COUNTIFS(DATOS_[AGRUP. CLAS. PROF.],$B78,DATOS_[Sexo],$B80,DATOS_[Check Periodo Ref.],"Dentro",DATOS_[Check Nº SC Anualiz],"Sí")</f>
        <v>0</v>
      </c>
      <c r="G80" s="204">
        <f>COUNTIFS(DATOS_[AGRUP. CLAS. PROF.],$B78,DATOS_[Sexo],$B80,DATOS_[Check Periodo Ref.],"Dentro",DATOS_[Check Nº SC Norm y Anualiz],"Sí")</f>
        <v>0</v>
      </c>
      <c r="H80" s="204">
        <f>COUNTIFS(DATOS_[AGRUP. CLAS. PROF.],$B78,DATOS_[Sexo],$B80,DATOS_[Check Periodo Ref.],"Dentro",DATOS_[Check Equiparación],"Sí")</f>
        <v>0</v>
      </c>
      <c r="I80" s="195" cm="1">
        <f t="array" ref="I80">IFERROR(
MEDIAN(IF(DATOS_[Sexo]=$B80,IF(DATOS_[[AGRUP. CLAS. PROF.]:[AGRUP. CLAS. PROF.]]=$B78,IF(DATOS_[Check Equiparado]="Sí",IF(DATOS_[Check Periodo Ref.]="Dentro",DATOS_[SALARIO BASE Eq],FALSE))))),
0)</f>
        <v>0</v>
      </c>
      <c r="J80" s="196">
        <f t="array" ref="J80">IFERROR(
(MEDIAN((IF(DATOS_[[Sexo]:[Sexo]]=$B80,IF(DATOS_[[AGRUP. CLAS. PROF.]:[AGRUP. CLAS. PROF.]]=$B78,IF(DATOS_[[Check Periodo Ref.]:[Check Periodo Ref.]]="Dentro",IF(DATOS_[[Check Equiparado]:[Check Equiparado]]="Sí",IF(DATOS!AE$5="Sí",(1/DATOS_[[% anualiz]:[% anualiz]]),1)*IF(DATOS!AE$4="Sí",1/DATOS_[[% normaliz]:[% normaliz]],1)*(DATOS_[Conc.Sal.01])))))))),
0)</f>
        <v>0</v>
      </c>
      <c r="K80" s="196">
        <f t="array" ref="K80">IFERROR(
(MEDIAN((IF(DATOS_[[Sexo]:[Sexo]]=$B80,IF(DATOS_[[AGRUP. CLAS. PROF.]:[AGRUP. CLAS. PROF.]]=$B78,IF(DATOS_[[Check Periodo Ref.]:[Check Periodo Ref.]]="Dentro",IF(DATOS_[[Check Equiparado]:[Check Equiparado]]="Sí",IF(DATOS!AF$5="Sí",(1/DATOS_[[% anualiz]:[% anualiz]]),1)*IF(DATOS!AF$4="Sí",1/DATOS_[[% normaliz]:[% normaliz]],1)*(DATOS_[Conc.Sal.02])))))))),
0)</f>
        <v>0</v>
      </c>
      <c r="L80" s="196">
        <f t="array" ref="L80">IFERROR(
(MEDIAN((IF(DATOS_[[Sexo]:[Sexo]]=$B80,IF(DATOS_[[AGRUP. CLAS. PROF.]:[AGRUP. CLAS. PROF.]]=$B78,IF(DATOS_[[Check Periodo Ref.]:[Check Periodo Ref.]]="Dentro",IF(DATOS_[[Check Equiparado]:[Check Equiparado]]="Sí",IF(DATOS!AG$5="Sí",(1/DATOS_[[% anualiz]:[% anualiz]]),1)*IF(DATOS!AG$4="Sí",1/DATOS_[[% normaliz]:[% normaliz]],1)*(DATOS_[Conc.Sal.03])))))))),
0)</f>
        <v>0</v>
      </c>
      <c r="M80" s="196">
        <f t="array" ref="M80">IFERROR(
(MEDIAN((IF(DATOS_[[Sexo]:[Sexo]]=$B80,IF(DATOS_[[AGRUP. CLAS. PROF.]:[AGRUP. CLAS. PROF.]]=$B78,IF(DATOS_[[Check Periodo Ref.]:[Check Periodo Ref.]]="Dentro",IF(DATOS_[[Check Equiparado]:[Check Equiparado]]="Sí",IF(DATOS!AH$5="Sí",(1/DATOS_[[% anualiz]:[% anualiz]]),1)*IF(DATOS!AH$4="Sí",1/DATOS_[[% normaliz]:[% normaliz]],1)*(DATOS_[Conc.Sal.04])))))))),
0)</f>
        <v>0</v>
      </c>
      <c r="N80" s="196">
        <f t="array" ref="N80">IFERROR(
(MEDIAN((IF(DATOS_[[Sexo]:[Sexo]]=$B80,IF(DATOS_[[AGRUP. CLAS. PROF.]:[AGRUP. CLAS. PROF.]]=$B78,IF(DATOS_[[Check Periodo Ref.]:[Check Periodo Ref.]]="Dentro",IF(DATOS_[[Check Equiparado]:[Check Equiparado]]="Sí",IF(DATOS!AI$5="Sí",(1/DATOS_[[% anualiz]:[% anualiz]]),1)*IF(DATOS!AI$4="Sí",1/DATOS_[[% normaliz]:[% normaliz]],1)*(DATOS_[Conc.Sal.05])))))))),
0)</f>
        <v>0</v>
      </c>
      <c r="O80" s="196">
        <f t="array" ref="O80">IFERROR(
(MEDIAN((IF(DATOS_[[Sexo]:[Sexo]]=$B80,IF(DATOS_[[AGRUP. CLAS. PROF.]:[AGRUP. CLAS. PROF.]]=$B78,IF(DATOS_[[Check Periodo Ref.]:[Check Periodo Ref.]]="Dentro",IF(DATOS_[[Check Equiparado]:[Check Equiparado]]="Sí",IF(DATOS!AJ$5="Sí",(1/DATOS_[[% anualiz]:[% anualiz]]),1)*IF(DATOS!AJ$4="Sí",1/DATOS_[[% normaliz]:[% normaliz]],1)*(DATOS_[Conc.Sal.06])))))))),
0)</f>
        <v>0</v>
      </c>
      <c r="P80" s="196">
        <f t="array" ref="P80">IFERROR(
(MEDIAN((IF(DATOS_[[Sexo]:[Sexo]]=$B80,IF(DATOS_[[AGRUP. CLAS. PROF.]:[AGRUP. CLAS. PROF.]]=$B78,IF(DATOS_[[Check Periodo Ref.]:[Check Periodo Ref.]]="Dentro",IF(DATOS_[[Check Equiparado]:[Check Equiparado]]="Sí",IF(DATOS!AK$5="Sí",(1/DATOS_[[% anualiz]:[% anualiz]]),1)*IF(DATOS!AK$4="Sí",1/DATOS_[[% normaliz]:[% normaliz]],1)*(DATOS_[Conc.Sal.07])))))))),
0)</f>
        <v>0</v>
      </c>
      <c r="Q80" s="196">
        <f t="array" ref="Q80">IFERROR(
(MEDIAN((IF(DATOS_[[Sexo]:[Sexo]]=$B80,IF(DATOS_[[AGRUP. CLAS. PROF.]:[AGRUP. CLAS. PROF.]]=$B78,IF(DATOS_[[Check Periodo Ref.]:[Check Periodo Ref.]]="Dentro",IF(DATOS_[[Check Equiparado]:[Check Equiparado]]="Sí",IF(DATOS!AL$5="Sí",(1/DATOS_[[% anualiz]:[% anualiz]]),1)*IF(DATOS!AL$4="Sí",1/DATOS_[[% normaliz]:[% normaliz]],1)*(DATOS_[Conc.Sal.08])))))))),
0)</f>
        <v>0</v>
      </c>
      <c r="R80" s="196">
        <f t="array" ref="R80">IFERROR(
(MEDIAN((IF(DATOS_[[Sexo]:[Sexo]]=$B80,IF(DATOS_[[AGRUP. CLAS. PROF.]:[AGRUP. CLAS. PROF.]]=$B78,IF(DATOS_[[Check Periodo Ref.]:[Check Periodo Ref.]]="Dentro",IF(DATOS_[[Check Equiparado]:[Check Equiparado]]="Sí",IF(DATOS!AM$5="Sí",(1/DATOS_[[% anualiz]:[% anualiz]]),1)*IF(DATOS!AM$4="Sí",1/DATOS_[[% normaliz]:[% normaliz]],1)*(DATOS_[Conc.Sal.09])))))))),
0)</f>
        <v>0</v>
      </c>
      <c r="S80" s="196">
        <f t="array" ref="S80">IFERROR(
(MEDIAN((IF(DATOS_[[Sexo]:[Sexo]]=$B80,IF(DATOS_[[AGRUP. CLAS. PROF.]:[AGRUP. CLAS. PROF.]]=$B78,IF(DATOS_[[Check Periodo Ref.]:[Check Periodo Ref.]]="Dentro",IF(DATOS_[[Check Equiparado]:[Check Equiparado]]="Sí",IF(DATOS!AN$5="Sí",(1/DATOS_[[% anualiz]:[% anualiz]]),1)*IF(DATOS!AN$4="Sí",1/DATOS_[[% normaliz]:[% normaliz]],1)*(DATOS_[Conc.Sal.10])))))))),
0)</f>
        <v>0</v>
      </c>
      <c r="T80" s="196">
        <f t="array" ref="T80">IFERROR(
(MEDIAN((IF(DATOS_[[Sexo]:[Sexo]]=$B80,IF(DATOS_[[AGRUP. CLAS. PROF.]:[AGRUP. CLAS. PROF.]]=$B78,IF(DATOS_[[Check Periodo Ref.]:[Check Periodo Ref.]]="Dentro",IF(DATOS_[[Check Equiparado]:[Check Equiparado]]="Sí",IF(DATOS!AO$5="Sí",(1/DATOS_[[% anualiz]:[% anualiz]]),1)*IF(DATOS!AO$4="Sí",1/DATOS_[[% normaliz]:[% normaliz]],1)*(DATOS_[Conc.Sal.11])))))))),
0)</f>
        <v>0</v>
      </c>
      <c r="U80" s="196">
        <f t="array" ref="U80">IFERROR(
(MEDIAN((IF(DATOS_[[Sexo]:[Sexo]]=$B80,IF(DATOS_[[AGRUP. CLAS. PROF.]:[AGRUP. CLAS. PROF.]]=$B78,IF(DATOS_[[Check Periodo Ref.]:[Check Periodo Ref.]]="Dentro",IF(DATOS_[[Check Equiparado]:[Check Equiparado]]="Sí",IF(DATOS!AP$5="Sí",(1/DATOS_[[% anualiz]:[% anualiz]]),1)*IF(DATOS!AP$4="Sí",1/DATOS_[[% normaliz]:[% normaliz]],1)*(DATOS_[Conc.Sal.12])))))))),
0)</f>
        <v>0</v>
      </c>
      <c r="V80" s="196">
        <f t="array" ref="V80">IFERROR(
(MEDIAN((IF(DATOS_[[Sexo]:[Sexo]]=$B80,IF(DATOS_[[AGRUP. CLAS. PROF.]:[AGRUP. CLAS. PROF.]]=$B78,IF(DATOS_[[Check Periodo Ref.]:[Check Periodo Ref.]]="Dentro",IF(DATOS_[[Check Equiparado]:[Check Equiparado]]="Sí",IF(DATOS!AQ$5="Sí",(1/DATOS_[[% anualiz]:[% anualiz]]),1)*IF(DATOS!AQ$4="Sí",1/DATOS_[[% normaliz]:[% normaliz]],1)*(DATOS_[Conc.Sal.13])))))))),
0)</f>
        <v>0</v>
      </c>
      <c r="W80" s="196">
        <f t="array" ref="W80">IFERROR(
(MEDIAN((IF(DATOS_[[Sexo]:[Sexo]]=$B80,IF(DATOS_[[AGRUP. CLAS. PROF.]:[AGRUP. CLAS. PROF.]]=$B78,IF(DATOS_[[Check Periodo Ref.]:[Check Periodo Ref.]]="Dentro",IF(DATOS_[[Check Equiparado]:[Check Equiparado]]="Sí",IF(DATOS!AR$5="Sí",(1/DATOS_[[% anualiz]:[% anualiz]]),1)*IF(DATOS!AR$4="Sí",1/DATOS_[[% normaliz]:[% normaliz]],1)*(DATOS_[Conc.Sal.14])))))))),
0)</f>
        <v>0</v>
      </c>
      <c r="X80" s="196">
        <f t="array" ref="X80">IFERROR(
(MEDIAN((IF(DATOS_[[Sexo]:[Sexo]]=$B80,IF(DATOS_[[AGRUP. CLAS. PROF.]:[AGRUP. CLAS. PROF.]]=$B78,IF(DATOS_[[Check Periodo Ref.]:[Check Periodo Ref.]]="Dentro",IF(DATOS_[[Check Equiparado]:[Check Equiparado]]="Sí",IF(DATOS!AS$5="Sí",(1/DATOS_[[% anualiz]:[% anualiz]]),1)*IF(DATOS!AS$4="Sí",1/DATOS_[[% normaliz]:[% normaliz]],1)*(DATOS_[Conc.Sal.15])))))))),
0)</f>
        <v>0</v>
      </c>
      <c r="Y80" s="196">
        <f t="array" ref="Y80">IFERROR(
(MEDIAN((IF(DATOS_[[Sexo]:[Sexo]]=$B80,IF(DATOS_[[AGRUP. CLAS. PROF.]:[AGRUP. CLAS. PROF.]]=$B78,IF(DATOS_[[Check Periodo Ref.]:[Check Periodo Ref.]]="Dentro",IF(DATOS_[[Check Equiparado]:[Check Equiparado]]="Sí",IF(DATOS!AT$5="Sí",(1/DATOS_[[% anualiz]:[% anualiz]]),1)*IF(DATOS!AT$4="Sí",1/DATOS_[[% normaliz]:[% normaliz]],1)*(DATOS_[Conc.Sal.16])))))))),
0)</f>
        <v>0</v>
      </c>
      <c r="Z80" s="196">
        <f t="array" ref="Z80">IFERROR(
(MEDIAN((IF(DATOS_[[Sexo]:[Sexo]]=$B80,IF(DATOS_[[AGRUP. CLAS. PROF.]:[AGRUP. CLAS. PROF.]]=$B78,IF(DATOS_[[Check Periodo Ref.]:[Check Periodo Ref.]]="Dentro",IF(DATOS_[[Check Equiparado]:[Check Equiparado]]="Sí",IF(DATOS!AU$5="Sí",(1/DATOS_[[% anualiz]:[% anualiz]]),1)*IF(DATOS!AU$4="Sí",1/DATOS_[[% normaliz]:[% normaliz]],1)*(DATOS_[Conc.Sal.17])))))))),
0)</f>
        <v>0</v>
      </c>
      <c r="AA80" s="196">
        <f t="array" ref="AA80">IFERROR(
(MEDIAN((IF(DATOS_[[Sexo]:[Sexo]]=$B80,IF(DATOS_[[AGRUP. CLAS. PROF.]:[AGRUP. CLAS. PROF.]]=$B78,IF(DATOS_[[Check Periodo Ref.]:[Check Periodo Ref.]]="Dentro",IF(DATOS_[[Check Equiparado]:[Check Equiparado]]="Sí",IF(DATOS!AV$5="Sí",(1/DATOS_[[% anualiz]:[% anualiz]]),1)*IF(DATOS!AV$4="Sí",1/DATOS_[[% normaliz]:[% normaliz]],1)*(DATOS_[Conc.Sal.18])))))))),
0)</f>
        <v>0</v>
      </c>
      <c r="AB80" s="196">
        <f t="array" ref="AB80">IFERROR(
(MEDIAN((IF(DATOS_[[Sexo]:[Sexo]]=$B80,IF(DATOS_[[AGRUP. CLAS. PROF.]:[AGRUP. CLAS. PROF.]]=$B78,IF(DATOS_[[Check Periodo Ref.]:[Check Periodo Ref.]]="Dentro",IF(DATOS_[[Check Equiparado]:[Check Equiparado]]="Sí",IF(DATOS!AW$5="Sí",(1/DATOS_[[% anualiz]:[% anualiz]]),1)*IF(DATOS!AW$4="Sí",1/DATOS_[[% normaliz]:[% normaliz]],1)*(DATOS_[Conc.Sal.19])))))))),
0)</f>
        <v>0</v>
      </c>
      <c r="AC80" s="196">
        <f t="array" ref="AC80">IFERROR(
(MEDIAN((IF(DATOS_[[Sexo]:[Sexo]]=$B80,IF(DATOS_[[AGRUP. CLAS. PROF.]:[AGRUP. CLAS. PROF.]]=$B78,IF(DATOS_[[Check Periodo Ref.]:[Check Periodo Ref.]]="Dentro",IF(DATOS_[[Check Equiparado]:[Check Equiparado]]="Sí",IF(DATOS!AX$5="Sí",(1/DATOS_[[% anualiz]:[% anualiz]]),1)*IF(DATOS!AX$4="Sí",1/DATOS_[[% normaliz]:[% normaliz]],1)*(DATOS_[Conc.Sal.20])))))))),
0)</f>
        <v>0</v>
      </c>
      <c r="AD80" s="196">
        <f t="array" ref="AD80">IFERROR(
(MEDIAN((IF(DATOS_[[Sexo]:[Sexo]]=$B80,IF(DATOS_[[AGRUP. CLAS. PROF.]:[AGRUP. CLAS. PROF.]]=$B78,IF(DATOS_[[Check Periodo Ref.]:[Check Periodo Ref.]]="Dentro",IF(DATOS_[[Check Equiparado]:[Check Equiparado]]="Sí",IF(DATOS!AY$5="Sí",(1/DATOS_[[% anualiz]:[% anualiz]]),1)*IF(DATOS!AY$4="Sí",1/DATOS_[[% normaliz]:[% normaliz]],1)*(DATOS_[Conc.Sal.21])))))))),
0)</f>
        <v>0</v>
      </c>
      <c r="AE80" s="196">
        <f t="array" ref="AE80">IFERROR(
(MEDIAN((IF(DATOS_[[Sexo]:[Sexo]]=$B80,IF(DATOS_[[AGRUP. CLAS. PROF.]:[AGRUP. CLAS. PROF.]]=$B78,IF(DATOS_[[Check Periodo Ref.]:[Check Periodo Ref.]]="Dentro",IF(DATOS_[[Check Equiparado]:[Check Equiparado]]="Sí",IF(DATOS!AZ$5="Sí",(1/DATOS_[[% anualiz]:[% anualiz]]),1)*IF(DATOS!AZ$4="Sí",1/DATOS_[[% normaliz]:[% normaliz]],1)*(DATOS_[Conc.Sal.22])))))))),
0)</f>
        <v>0</v>
      </c>
      <c r="AF80" s="196">
        <f t="array" ref="AF80">IFERROR(
(MEDIAN((IF(DATOS_[[Sexo]:[Sexo]]=$B80,IF(DATOS_[[AGRUP. CLAS. PROF.]:[AGRUP. CLAS. PROF.]]=$B78,IF(DATOS_[[Check Periodo Ref.]:[Check Periodo Ref.]]="Dentro",IF(DATOS_[[Check Equiparado]:[Check Equiparado]]="Sí",IF(DATOS!BA$5="Sí",(1/DATOS_[[% anualiz]:[% anualiz]]),1)*IF(DATOS!BA$4="Sí",1/DATOS_[[% normaliz]:[% normaliz]],1)*(DATOS_[Conc.Sal.23])))))))),
0)</f>
        <v>0</v>
      </c>
      <c r="AG80" s="196">
        <f t="array" ref="AG80">IFERROR(
(MEDIAN((IF(DATOS_[[Sexo]:[Sexo]]=$B80,IF(DATOS_[[AGRUP. CLAS. PROF.]:[AGRUP. CLAS. PROF.]]=$B78,IF(DATOS_[[Check Periodo Ref.]:[Check Periodo Ref.]]="Dentro",IF(DATOS_[[Check Equiparado]:[Check Equiparado]]="Sí",IF(DATOS!BB$5="Sí",(1/DATOS_[[% anualiz]:[% anualiz]]),1)*IF(DATOS!BB$4="Sí",1/DATOS_[[% normaliz]:[% normaliz]],1)*(DATOS_[Conc.Sal.24])))))))),
0)</f>
        <v>0</v>
      </c>
      <c r="AH80" s="196">
        <f t="array" ref="AH80">IFERROR(
(MEDIAN((IF(DATOS_[[Sexo]:[Sexo]]=$B80,IF(DATOS_[[AGRUP. CLAS. PROF.]:[AGRUP. CLAS. PROF.]]=$B78,IF(DATOS_[[Check Periodo Ref.]:[Check Periodo Ref.]]="Dentro",IF(DATOS_[[Check Equiparado]:[Check Equiparado]]="Sí",IF(DATOS!BC$5="Sí",(1/DATOS_[[% anualiz]:[% anualiz]]),1)*IF(DATOS!BC$4="Sí",1/DATOS_[[% normaliz]:[% normaliz]],1)*(DATOS_[Conc.Sal.25])))))))),
0)</f>
        <v>0</v>
      </c>
      <c r="AI80" s="196">
        <f t="array" ref="AI80">IFERROR(
(MEDIAN((IF(DATOS_[[Sexo]:[Sexo]]=$B80,IF(DATOS_[[AGRUP. CLAS. PROF.]:[AGRUP. CLAS. PROF.]]=$B78,IF(DATOS_[[Check Periodo Ref.]:[Check Periodo Ref.]]="Dentro",IF(DATOS_[[Check Equiparado]:[Check Equiparado]]="Sí",IF(DATOS!BD$5="Sí",(1/DATOS_[[% anualiz]:[% anualiz]]),1)*IF(DATOS!BD$4="Sí",1/DATOS_[[% normaliz]:[% normaliz]],1)*(DATOS_[Conc.Sal.26])))))))),
0)</f>
        <v>0</v>
      </c>
      <c r="AJ80" s="196">
        <f t="array" ref="AJ80">IFERROR(
(MEDIAN((IF(DATOS_[[Sexo]:[Sexo]]=$B80,IF(DATOS_[[AGRUP. CLAS. PROF.]:[AGRUP. CLAS. PROF.]]=$B78,IF(DATOS_[[Check Periodo Ref.]:[Check Periodo Ref.]]="Dentro",IF(DATOS_[[Check Equiparado]:[Check Equiparado]]="Sí",IF(DATOS!BE$5="Sí",(1/DATOS_[[% anualiz]:[% anualiz]]),1)*IF(DATOS!BE$4="Sí",1/DATOS_[[% normaliz]:[% normaliz]],1)*(DATOS_[Conc.Sal.27])))))))),
0)</f>
        <v>0</v>
      </c>
      <c r="AK80" s="196">
        <f t="array" ref="AK80">IFERROR(
(MEDIAN((IF(DATOS_[[Sexo]:[Sexo]]=$B80,IF(DATOS_[[AGRUP. CLAS. PROF.]:[AGRUP. CLAS. PROF.]]=$B78,IF(DATOS_[[Check Periodo Ref.]:[Check Periodo Ref.]]="Dentro",IF(DATOS_[[Check Equiparado]:[Check Equiparado]]="Sí",IF(DATOS!BF$5="Sí",(1/DATOS_[[% anualiz]:[% anualiz]]),1)*IF(DATOS!BF$4="Sí",1/DATOS_[[% normaliz]:[% normaliz]],1)*(DATOS_[Conc.Sal.28])))))))),
0)</f>
        <v>0</v>
      </c>
      <c r="AL80" s="196">
        <f t="array" ref="AL80">IFERROR(
(MEDIAN((IF(DATOS_[[Sexo]:[Sexo]]=$B80,IF(DATOS_[[AGRUP. CLAS. PROF.]:[AGRUP. CLAS. PROF.]]=$B78,IF(DATOS_[[Check Periodo Ref.]:[Check Periodo Ref.]]="Dentro",IF(DATOS_[[Check Equiparado]:[Check Equiparado]]="Sí",IF(DATOS!BG$5="Sí",(1/DATOS_[[% anualiz]:[% anualiz]]),1)*IF(DATOS!BG$4="Sí",1/DATOS_[[% normaliz]:[% normaliz]],1)*(DATOS_[Conc.Sal.29])))))))),
0)</f>
        <v>0</v>
      </c>
      <c r="AM80" s="196">
        <f t="array" ref="AM80">IFERROR(
(MEDIAN((IF(DATOS_[[Sexo]:[Sexo]]=$B80,IF(DATOS_[[AGRUP. CLAS. PROF.]:[AGRUP. CLAS. PROF.]]=$B78,IF(DATOS_[[Check Periodo Ref.]:[Check Periodo Ref.]]="Dentro",IF(DATOS_[[Check Equiparado]:[Check Equiparado]]="Sí",IF(DATOS!BH$5="Sí",(1/DATOS_[[% anualiz]:[% anualiz]]),1)*IF(DATOS!BH$4="Sí",1/DATOS_[[% normaliz]:[% normaliz]],1)*(DATOS_[Conc.Sal.30])))))))),
0)</f>
        <v>0</v>
      </c>
      <c r="AN80" s="195">
        <f t="array" ref="AN80">IFERROR(
MEDIAN(IF(DATOS_[Sexo]=$B80,IF(DATOS_[[AGRUP. CLAS. PROF.]:[AGRUP. CLAS. PROF.]]=$B78,IF(DATOS_[Check Equiparado]="Sí",IF(DATOS_[Check Periodo Ref.]="Dentro",DATOS_[Tot COMPL.SAL Eq],FALSE))))),
0)</f>
        <v>0</v>
      </c>
      <c r="AO80" s="172">
        <f t="array" ref="AO80">IFERROR(
MEDIAN(IF(DATOS_[Sexo]=$B80,IF(DATOS_[[AGRUP. CLAS. PROF.]:[AGRUP. CLAS. PROF.]]=$B78,IF(DATOS_[Check Equiparado]="Sí",IF(DATOS_[Check Periodo Ref.]="Dentro",DATOS_[TOTAL SALARIO Eq],FALSE))))),
0)</f>
        <v>0</v>
      </c>
      <c r="AP80" s="173">
        <f t="array" ref="AP80">IFERROR(
(MEDIAN((IF(DATOS_[[Sexo]:[Sexo]]=$B80,IF(DATOS_[[AGRUP. CLAS. PROF.]:[AGRUP. CLAS. PROF.]]=$B78,IF(DATOS_[[Check Periodo Ref.]:[Check Periodo Ref.]]="Dentro",IF(DATOS_[[Check Equiparado]:[Check Equiparado]]="Sí",IF(DATOS!BW$5="Sí",(1/DATOS_[[% anualiz]:[% anualiz]]),1)*IF(DATOS!BW$4="Sí",1/DATOS_[[% normaliz]:[% normaliz]],1)*(DATOS_[C.Extra.01])))))))),
0)</f>
        <v>0</v>
      </c>
      <c r="AQ80" s="173">
        <f t="array" ref="AQ80">IFERROR(
(MEDIAN((IF(DATOS_[[Sexo]:[Sexo]]=$B80,IF(DATOS_[[AGRUP. CLAS. PROF.]:[AGRUP. CLAS. PROF.]]=$B78,IF(DATOS_[[Check Periodo Ref.]:[Check Periodo Ref.]]="Dentro",IF(DATOS_[[Check Equiparado]:[Check Equiparado]]="Sí",IF(DATOS!CB$5="Sí",(1/DATOS_[[% anualiz]:[% anualiz]]),1)*IF(DATOS!CB$4="Sí",1/DATOS_[[% normaliz]:[% normaliz]],1)*(DATOS_[C.Extra.06])))))))),
0)</f>
        <v>0</v>
      </c>
      <c r="AR80" s="173">
        <f t="array" ref="AR80">IFERROR(
(MEDIAN((IF(DATOS_[[Sexo]:[Sexo]]=$B80,IF(DATOS_[[AGRUP. CLAS. PROF.]:[AGRUP. CLAS. PROF.]]=$B78,IF(DATOS_[[Check Periodo Ref.]:[Check Periodo Ref.]]="Dentro",IF(DATOS_[[Check Equiparado]:[Check Equiparado]]="Sí",IF(DATOS!CC$5="Sí",(1/DATOS_[[% anualiz]:[% anualiz]]),1)*IF(DATOS!CC$4="Sí",1/DATOS_[[% normaliz]:[% normaliz]],1)*(DATOS_[C.Extra.07])))))))),
0)</f>
        <v>0</v>
      </c>
      <c r="AS80" s="173">
        <f t="array" ref="AS80">IFERROR(
(MEDIAN((IF(DATOS_[[Sexo]:[Sexo]]=$B80,IF(DATOS_[[AGRUP. CLAS. PROF.]:[AGRUP. CLAS. PROF.]]=$B78,IF(DATOS_[[Check Periodo Ref.]:[Check Periodo Ref.]]="Dentro",IF(DATOS_[[Check Equiparado]:[Check Equiparado]]="Sí",IF(DATOS!CD$5="Sí",(1/DATOS_[[% anualiz]:[% anualiz]]),1)*IF(DATOS!CD$4="Sí",1/DATOS_[[% normaliz]:[% normaliz]],1)*(DATOS_[C.Extra.08])))))))),
0)</f>
        <v>0</v>
      </c>
      <c r="AT80" s="173">
        <f t="array" ref="AT80">IFERROR(
(MEDIAN((IF(DATOS_[[Sexo]:[Sexo]]=$B80,IF(DATOS_[[AGRUP. CLAS. PROF.]:[AGRUP. CLAS. PROF.]]=$B78,IF(DATOS_[[Check Periodo Ref.]:[Check Periodo Ref.]]="Dentro",IF(DATOS_[[Check Equiparado]:[Check Equiparado]]="Sí",IF(DATOS!CG$5="Sí",(1/DATOS_[[% anualiz]:[% anualiz]]),1)*IF(DATOS!CG$4="Sí",1/DATOS_[[% normaliz]:[% normaliz]],1)*(DATOS_[C.Extra.11])))))))),
0)</f>
        <v>0</v>
      </c>
      <c r="AU80" s="197">
        <f t="array" ref="AU80">IFERROR(
MEDIAN(IF(DATOS_[Sexo]=$B80,IF(DATOS_[[AGRUP. CLAS. PROF.]:[AGRUP. CLAS. PROF.]]=$B78,IF(DATOS_[Check Equiparado]="Sí",IF(DATOS_[Check Periodo Ref.]="Dentro",DATOS_[Tot Extrasalarial Eq],FALSE))))),
0)</f>
        <v>0</v>
      </c>
      <c r="AV80" s="175">
        <f t="array" ref="AV80">IFERROR(
MEDIAN(IF(DATOS_[Sexo]=$B80,IF(DATOS_[[AGRUP. CLAS. PROF.]:[AGRUP. CLAS. PROF.]]=$B78,IF(DATOS_[Check Equiparado]="Sí",IF(DATOS_[Check Periodo Ref.]="Dentro",DATOS_[TOTAL Retrib Eq],FALSE))))),
0)</f>
        <v>0</v>
      </c>
    </row>
    <row r="81" spans="1:48" ht="15.6" hidden="1" thickBot="1" x14ac:dyDescent="0.3">
      <c r="A81" s="133" t="str">
        <f t="shared" ref="A81" si="91">+A82</f>
        <v>[ocultar]</v>
      </c>
      <c r="B81" s="199" t="s">
        <v>268</v>
      </c>
      <c r="C81" s="200"/>
      <c r="D81" s="201"/>
      <c r="E81" s="201"/>
      <c r="F81" s="201"/>
      <c r="G81" s="201"/>
      <c r="H81" s="201"/>
      <c r="I81" s="189" t="str">
        <f t="shared" ref="I81:AV81" si="92">IFERROR((I82-I83)/I82,"")</f>
        <v/>
      </c>
      <c r="J81" s="190" t="str">
        <f t="shared" si="92"/>
        <v/>
      </c>
      <c r="K81" s="191" t="str">
        <f t="shared" si="92"/>
        <v/>
      </c>
      <c r="L81" s="191" t="str">
        <f t="shared" si="92"/>
        <v/>
      </c>
      <c r="M81" s="191" t="str">
        <f t="shared" si="92"/>
        <v/>
      </c>
      <c r="N81" s="192" t="str">
        <f t="shared" si="92"/>
        <v/>
      </c>
      <c r="O81" s="193" t="str">
        <f t="shared" si="92"/>
        <v/>
      </c>
      <c r="P81" s="193" t="str">
        <f t="shared" si="92"/>
        <v/>
      </c>
      <c r="Q81" s="193" t="str">
        <f t="shared" si="92"/>
        <v/>
      </c>
      <c r="R81" s="193" t="str">
        <f t="shared" si="92"/>
        <v/>
      </c>
      <c r="S81" s="193" t="str">
        <f t="shared" si="92"/>
        <v/>
      </c>
      <c r="T81" s="193" t="str">
        <f t="shared" si="92"/>
        <v/>
      </c>
      <c r="U81" s="193" t="str">
        <f t="shared" si="92"/>
        <v/>
      </c>
      <c r="V81" s="193" t="str">
        <f t="shared" si="92"/>
        <v/>
      </c>
      <c r="W81" s="193" t="str">
        <f t="shared" si="92"/>
        <v/>
      </c>
      <c r="X81" s="193" t="str">
        <f t="shared" si="92"/>
        <v/>
      </c>
      <c r="Y81" s="193" t="str">
        <f t="shared" si="92"/>
        <v/>
      </c>
      <c r="Z81" s="193" t="str">
        <f t="shared" si="92"/>
        <v/>
      </c>
      <c r="AA81" s="193" t="str">
        <f t="shared" si="92"/>
        <v/>
      </c>
      <c r="AB81" s="193" t="str">
        <f t="shared" si="92"/>
        <v/>
      </c>
      <c r="AC81" s="193" t="str">
        <f t="shared" si="92"/>
        <v/>
      </c>
      <c r="AD81" s="193" t="str">
        <f t="shared" si="92"/>
        <v/>
      </c>
      <c r="AE81" s="193" t="str">
        <f t="shared" si="92"/>
        <v/>
      </c>
      <c r="AF81" s="193" t="str">
        <f t="shared" si="92"/>
        <v/>
      </c>
      <c r="AG81" s="193" t="str">
        <f t="shared" si="92"/>
        <v/>
      </c>
      <c r="AH81" s="193" t="str">
        <f t="shared" si="92"/>
        <v/>
      </c>
      <c r="AI81" s="193" t="str">
        <f t="shared" si="92"/>
        <v/>
      </c>
      <c r="AJ81" s="193" t="str">
        <f t="shared" si="92"/>
        <v/>
      </c>
      <c r="AK81" s="193" t="str">
        <f t="shared" si="92"/>
        <v/>
      </c>
      <c r="AL81" s="193" t="str">
        <f t="shared" si="92"/>
        <v/>
      </c>
      <c r="AM81" s="193" t="str">
        <f t="shared" si="92"/>
        <v/>
      </c>
      <c r="AN81" s="189" t="str">
        <f t="shared" si="92"/>
        <v/>
      </c>
      <c r="AO81" s="162" t="str">
        <f t="shared" si="92"/>
        <v/>
      </c>
      <c r="AP81" s="163" t="str">
        <f t="shared" si="92"/>
        <v/>
      </c>
      <c r="AQ81" s="163" t="str">
        <f t="shared" si="92"/>
        <v/>
      </c>
      <c r="AR81" s="163" t="str">
        <f t="shared" si="92"/>
        <v/>
      </c>
      <c r="AS81" s="163" t="str">
        <f t="shared" si="92"/>
        <v/>
      </c>
      <c r="AT81" s="163" t="str">
        <f t="shared" si="92"/>
        <v/>
      </c>
      <c r="AU81" s="194" t="str">
        <f t="shared" si="92"/>
        <v/>
      </c>
      <c r="AV81" s="165" t="str">
        <f t="shared" si="92"/>
        <v/>
      </c>
    </row>
    <row r="82" spans="1:48" hidden="1" x14ac:dyDescent="0.25">
      <c r="A82" s="133" t="str">
        <f t="shared" ref="A82" si="93">+IF(C82+C83=0,"[ocultar]","")</f>
        <v>[ocultar]</v>
      </c>
      <c r="B82" s="202" t="s">
        <v>394</v>
      </c>
      <c r="C82" s="203">
        <f t="array" ref="C82">SUM(IF($B82=DATOS_[Sexo],
IF($B81=DATOS_[AGRUP. CLAS. PROF.],
IF("Dentro"=DATOS_[Check Periodo Ref.],
1/(COUNTIFS(DATOS_[Sexo],$B82,DATOS_[AGRUP. CLAS. PROF.],$B81,DATOS_[Check Periodo Ref.],"Dentro",DATOS_[id/cod],DATOS_[id/cod]))))))</f>
        <v>0</v>
      </c>
      <c r="D82" s="204">
        <f>COUNTIFS(DATOS_[AGRUP. CLAS. PROF.],$B81,DATOS_[Sexo],$B82,DATOS_[Check Periodo Ref.],"Dentro")</f>
        <v>0</v>
      </c>
      <c r="E82" s="204">
        <f>COUNTIFS(DATOS_[AGRUP. CLAS. PROF.],$B81,DATOS_[Sexo],$B82,DATOS_[Check Periodo Ref.],"Dentro",DATOS_[Check Nº SC Norm],"Sí")</f>
        <v>0</v>
      </c>
      <c r="F82" s="204">
        <f>COUNTIFS(DATOS_[AGRUP. CLAS. PROF.],$B81,DATOS_[Sexo],$B82,DATOS_[Check Periodo Ref.],"Dentro",DATOS_[Check Nº SC Anualiz],"Sí")</f>
        <v>0</v>
      </c>
      <c r="G82" s="204">
        <f>COUNTIFS(DATOS_[AGRUP. CLAS. PROF.],$B81,DATOS_[Sexo],$B82,DATOS_[Check Periodo Ref.],"Dentro",DATOS_[Check Nº SC Norm y Anualiz],"Sí")</f>
        <v>0</v>
      </c>
      <c r="H82" s="204">
        <f>COUNTIFS(DATOS_[AGRUP. CLAS. PROF.],$B81,DATOS_[Sexo],$B82,DATOS_[Check Periodo Ref.],"Dentro",DATOS_[Check Equiparación],"Sí")</f>
        <v>0</v>
      </c>
      <c r="I82" s="195">
        <f t="array" ref="I82">IFERROR(
MEDIAN(IF(DATOS_[Sexo]=$B82,IF(DATOS_[[AGRUP. CLAS. PROF.]:[AGRUP. CLAS. PROF.]]=$B81,IF(DATOS_[Check Equiparado]="Sí",IF(DATOS_[Check Periodo Ref.]="Dentro",DATOS_[SALARIO BASE Eq],FALSE))))),
0)</f>
        <v>0</v>
      </c>
      <c r="J82" s="196">
        <f t="array" ref="J82">IFERROR(
(MEDIAN((IF(DATOS_[[Sexo]:[Sexo]]=$B82,IF(DATOS_[[AGRUP. CLAS. PROF.]:[AGRUP. CLAS. PROF.]]=$B81,IF(DATOS_[[Check Periodo Ref.]:[Check Periodo Ref.]]="Dentro",IF(DATOS_[[Check Equiparado]:[Check Equiparado]]="Sí",IF(DATOS!AE$5="Sí",(1/DATOS_[[% anualiz]:[% anualiz]]),1)*IF(DATOS!AE$4="Sí",1/DATOS_[[% normaliz]:[% normaliz]],1)*(DATOS_[Conc.Sal.01])))))))),
0)</f>
        <v>0</v>
      </c>
      <c r="K82" s="196">
        <f t="array" ref="K82">IFERROR(
(MEDIAN((IF(DATOS_[[Sexo]:[Sexo]]=$B82,IF(DATOS_[[AGRUP. CLAS. PROF.]:[AGRUP. CLAS. PROF.]]=$B81,IF(DATOS_[[Check Periodo Ref.]:[Check Periodo Ref.]]="Dentro",IF(DATOS_[[Check Equiparado]:[Check Equiparado]]="Sí",IF(DATOS!AF$5="Sí",(1/DATOS_[[% anualiz]:[% anualiz]]),1)*IF(DATOS!AF$4="Sí",1/DATOS_[[% normaliz]:[% normaliz]],1)*(DATOS_[Conc.Sal.02])))))))),
0)</f>
        <v>0</v>
      </c>
      <c r="L82" s="196">
        <f t="array" ref="L82">IFERROR(
(MEDIAN((IF(DATOS_[[Sexo]:[Sexo]]=$B82,IF(DATOS_[[AGRUP. CLAS. PROF.]:[AGRUP. CLAS. PROF.]]=$B81,IF(DATOS_[[Check Periodo Ref.]:[Check Periodo Ref.]]="Dentro",IF(DATOS_[[Check Equiparado]:[Check Equiparado]]="Sí",IF(DATOS!AG$5="Sí",(1/DATOS_[[% anualiz]:[% anualiz]]),1)*IF(DATOS!AG$4="Sí",1/DATOS_[[% normaliz]:[% normaliz]],1)*(DATOS_[Conc.Sal.03])))))))),
0)</f>
        <v>0</v>
      </c>
      <c r="M82" s="196">
        <f t="array" ref="M82">IFERROR(
(MEDIAN((IF(DATOS_[[Sexo]:[Sexo]]=$B82,IF(DATOS_[[AGRUP. CLAS. PROF.]:[AGRUP. CLAS. PROF.]]=$B81,IF(DATOS_[[Check Periodo Ref.]:[Check Periodo Ref.]]="Dentro",IF(DATOS_[[Check Equiparado]:[Check Equiparado]]="Sí",IF(DATOS!AH$5="Sí",(1/DATOS_[[% anualiz]:[% anualiz]]),1)*IF(DATOS!AH$4="Sí",1/DATOS_[[% normaliz]:[% normaliz]],1)*(DATOS_[Conc.Sal.04])))))))),
0)</f>
        <v>0</v>
      </c>
      <c r="N82" s="196">
        <f t="array" ref="N82">IFERROR(
(MEDIAN((IF(DATOS_[[Sexo]:[Sexo]]=$B82,IF(DATOS_[[AGRUP. CLAS. PROF.]:[AGRUP. CLAS. PROF.]]=$B81,IF(DATOS_[[Check Periodo Ref.]:[Check Periodo Ref.]]="Dentro",IF(DATOS_[[Check Equiparado]:[Check Equiparado]]="Sí",IF(DATOS!AI$5="Sí",(1/DATOS_[[% anualiz]:[% anualiz]]),1)*IF(DATOS!AI$4="Sí",1/DATOS_[[% normaliz]:[% normaliz]],1)*(DATOS_[Conc.Sal.05])))))))),
0)</f>
        <v>0</v>
      </c>
      <c r="O82" s="196">
        <f t="array" ref="O82">IFERROR(
(MEDIAN((IF(DATOS_[[Sexo]:[Sexo]]=$B82,IF(DATOS_[[AGRUP. CLAS. PROF.]:[AGRUP. CLAS. PROF.]]=$B81,IF(DATOS_[[Check Periodo Ref.]:[Check Periodo Ref.]]="Dentro",IF(DATOS_[[Check Equiparado]:[Check Equiparado]]="Sí",IF(DATOS!AJ$5="Sí",(1/DATOS_[[% anualiz]:[% anualiz]]),1)*IF(DATOS!AJ$4="Sí",1/DATOS_[[% normaliz]:[% normaliz]],1)*(DATOS_[Conc.Sal.06])))))))),
0)</f>
        <v>0</v>
      </c>
      <c r="P82" s="196">
        <f t="array" ref="P82">IFERROR(
(MEDIAN((IF(DATOS_[[Sexo]:[Sexo]]=$B82,IF(DATOS_[[AGRUP. CLAS. PROF.]:[AGRUP. CLAS. PROF.]]=$B81,IF(DATOS_[[Check Periodo Ref.]:[Check Periodo Ref.]]="Dentro",IF(DATOS_[[Check Equiparado]:[Check Equiparado]]="Sí",IF(DATOS!AK$5="Sí",(1/DATOS_[[% anualiz]:[% anualiz]]),1)*IF(DATOS!AK$4="Sí",1/DATOS_[[% normaliz]:[% normaliz]],1)*(DATOS_[Conc.Sal.07])))))))),
0)</f>
        <v>0</v>
      </c>
      <c r="Q82" s="196">
        <f t="array" ref="Q82">IFERROR(
(MEDIAN((IF(DATOS_[[Sexo]:[Sexo]]=$B82,IF(DATOS_[[AGRUP. CLAS. PROF.]:[AGRUP. CLAS. PROF.]]=$B81,IF(DATOS_[[Check Periodo Ref.]:[Check Periodo Ref.]]="Dentro",IF(DATOS_[[Check Equiparado]:[Check Equiparado]]="Sí",IF(DATOS!AL$5="Sí",(1/DATOS_[[% anualiz]:[% anualiz]]),1)*IF(DATOS!AL$4="Sí",1/DATOS_[[% normaliz]:[% normaliz]],1)*(DATOS_[Conc.Sal.08])))))))),
0)</f>
        <v>0</v>
      </c>
      <c r="R82" s="196">
        <f t="array" ref="R82">IFERROR(
(MEDIAN((IF(DATOS_[[Sexo]:[Sexo]]=$B82,IF(DATOS_[[AGRUP. CLAS. PROF.]:[AGRUP. CLAS. PROF.]]=$B81,IF(DATOS_[[Check Periodo Ref.]:[Check Periodo Ref.]]="Dentro",IF(DATOS_[[Check Equiparado]:[Check Equiparado]]="Sí",IF(DATOS!AM$5="Sí",(1/DATOS_[[% anualiz]:[% anualiz]]),1)*IF(DATOS!AM$4="Sí",1/DATOS_[[% normaliz]:[% normaliz]],1)*(DATOS_[Conc.Sal.09])))))))),
0)</f>
        <v>0</v>
      </c>
      <c r="S82" s="196">
        <f t="array" ref="S82">IFERROR(
(MEDIAN((IF(DATOS_[[Sexo]:[Sexo]]=$B82,IF(DATOS_[[AGRUP. CLAS. PROF.]:[AGRUP. CLAS. PROF.]]=$B81,IF(DATOS_[[Check Periodo Ref.]:[Check Periodo Ref.]]="Dentro",IF(DATOS_[[Check Equiparado]:[Check Equiparado]]="Sí",IF(DATOS!AN$5="Sí",(1/DATOS_[[% anualiz]:[% anualiz]]),1)*IF(DATOS!AN$4="Sí",1/DATOS_[[% normaliz]:[% normaliz]],1)*(DATOS_[Conc.Sal.10])))))))),
0)</f>
        <v>0</v>
      </c>
      <c r="T82" s="196">
        <f t="array" ref="T82">IFERROR(
(MEDIAN((IF(DATOS_[[Sexo]:[Sexo]]=$B82,IF(DATOS_[[AGRUP. CLAS. PROF.]:[AGRUP. CLAS. PROF.]]=$B81,IF(DATOS_[[Check Periodo Ref.]:[Check Periodo Ref.]]="Dentro",IF(DATOS_[[Check Equiparado]:[Check Equiparado]]="Sí",IF(DATOS!AO$5="Sí",(1/DATOS_[[% anualiz]:[% anualiz]]),1)*IF(DATOS!AO$4="Sí",1/DATOS_[[% normaliz]:[% normaliz]],1)*(DATOS_[Conc.Sal.11])))))))),
0)</f>
        <v>0</v>
      </c>
      <c r="U82" s="196">
        <f t="array" ref="U82">IFERROR(
(MEDIAN((IF(DATOS_[[Sexo]:[Sexo]]=$B82,IF(DATOS_[[AGRUP. CLAS. PROF.]:[AGRUP. CLAS. PROF.]]=$B81,IF(DATOS_[[Check Periodo Ref.]:[Check Periodo Ref.]]="Dentro",IF(DATOS_[[Check Equiparado]:[Check Equiparado]]="Sí",IF(DATOS!AP$5="Sí",(1/DATOS_[[% anualiz]:[% anualiz]]),1)*IF(DATOS!AP$4="Sí",1/DATOS_[[% normaliz]:[% normaliz]],1)*(DATOS_[Conc.Sal.12])))))))),
0)</f>
        <v>0</v>
      </c>
      <c r="V82" s="196">
        <f t="array" ref="V82">IFERROR(
(MEDIAN((IF(DATOS_[[Sexo]:[Sexo]]=$B82,IF(DATOS_[[AGRUP. CLAS. PROF.]:[AGRUP. CLAS. PROF.]]=$B81,IF(DATOS_[[Check Periodo Ref.]:[Check Periodo Ref.]]="Dentro",IF(DATOS_[[Check Equiparado]:[Check Equiparado]]="Sí",IF(DATOS!AQ$5="Sí",(1/DATOS_[[% anualiz]:[% anualiz]]),1)*IF(DATOS!AQ$4="Sí",1/DATOS_[[% normaliz]:[% normaliz]],1)*(DATOS_[Conc.Sal.13])))))))),
0)</f>
        <v>0</v>
      </c>
      <c r="W82" s="196">
        <f t="array" ref="W82">IFERROR(
(MEDIAN((IF(DATOS_[[Sexo]:[Sexo]]=$B82,IF(DATOS_[[AGRUP. CLAS. PROF.]:[AGRUP. CLAS. PROF.]]=$B81,IF(DATOS_[[Check Periodo Ref.]:[Check Periodo Ref.]]="Dentro",IF(DATOS_[[Check Equiparado]:[Check Equiparado]]="Sí",IF(DATOS!AR$5="Sí",(1/DATOS_[[% anualiz]:[% anualiz]]),1)*IF(DATOS!AR$4="Sí",1/DATOS_[[% normaliz]:[% normaliz]],1)*(DATOS_[Conc.Sal.14])))))))),
0)</f>
        <v>0</v>
      </c>
      <c r="X82" s="196">
        <f t="array" ref="X82">IFERROR(
(MEDIAN((IF(DATOS_[[Sexo]:[Sexo]]=$B82,IF(DATOS_[[AGRUP. CLAS. PROF.]:[AGRUP. CLAS. PROF.]]=$B81,IF(DATOS_[[Check Periodo Ref.]:[Check Periodo Ref.]]="Dentro",IF(DATOS_[[Check Equiparado]:[Check Equiparado]]="Sí",IF(DATOS!AS$5="Sí",(1/DATOS_[[% anualiz]:[% anualiz]]),1)*IF(DATOS!AS$4="Sí",1/DATOS_[[% normaliz]:[% normaliz]],1)*(DATOS_[Conc.Sal.15])))))))),
0)</f>
        <v>0</v>
      </c>
      <c r="Y82" s="196">
        <f t="array" ref="Y82">IFERROR(
(MEDIAN((IF(DATOS_[[Sexo]:[Sexo]]=$B82,IF(DATOS_[[AGRUP. CLAS. PROF.]:[AGRUP. CLAS. PROF.]]=$B81,IF(DATOS_[[Check Periodo Ref.]:[Check Periodo Ref.]]="Dentro",IF(DATOS_[[Check Equiparado]:[Check Equiparado]]="Sí",IF(DATOS!AT$5="Sí",(1/DATOS_[[% anualiz]:[% anualiz]]),1)*IF(DATOS!AT$4="Sí",1/DATOS_[[% normaliz]:[% normaliz]],1)*(DATOS_[Conc.Sal.16])))))))),
0)</f>
        <v>0</v>
      </c>
      <c r="Z82" s="196">
        <f t="array" ref="Z82">IFERROR(
(MEDIAN((IF(DATOS_[[Sexo]:[Sexo]]=$B82,IF(DATOS_[[AGRUP. CLAS. PROF.]:[AGRUP. CLAS. PROF.]]=$B81,IF(DATOS_[[Check Periodo Ref.]:[Check Periodo Ref.]]="Dentro",IF(DATOS_[[Check Equiparado]:[Check Equiparado]]="Sí",IF(DATOS!AU$5="Sí",(1/DATOS_[[% anualiz]:[% anualiz]]),1)*IF(DATOS!AU$4="Sí",1/DATOS_[[% normaliz]:[% normaliz]],1)*(DATOS_[Conc.Sal.17])))))))),
0)</f>
        <v>0</v>
      </c>
      <c r="AA82" s="196">
        <f t="array" ref="AA82">IFERROR(
(MEDIAN((IF(DATOS_[[Sexo]:[Sexo]]=$B82,IF(DATOS_[[AGRUP. CLAS. PROF.]:[AGRUP. CLAS. PROF.]]=$B81,IF(DATOS_[[Check Periodo Ref.]:[Check Periodo Ref.]]="Dentro",IF(DATOS_[[Check Equiparado]:[Check Equiparado]]="Sí",IF(DATOS!AV$5="Sí",(1/DATOS_[[% anualiz]:[% anualiz]]),1)*IF(DATOS!AV$4="Sí",1/DATOS_[[% normaliz]:[% normaliz]],1)*(DATOS_[Conc.Sal.18])))))))),
0)</f>
        <v>0</v>
      </c>
      <c r="AB82" s="196">
        <f t="array" ref="AB82">IFERROR(
(MEDIAN((IF(DATOS_[[Sexo]:[Sexo]]=$B82,IF(DATOS_[[AGRUP. CLAS. PROF.]:[AGRUP. CLAS. PROF.]]=$B81,IF(DATOS_[[Check Periodo Ref.]:[Check Periodo Ref.]]="Dentro",IF(DATOS_[[Check Equiparado]:[Check Equiparado]]="Sí",IF(DATOS!AW$5="Sí",(1/DATOS_[[% anualiz]:[% anualiz]]),1)*IF(DATOS!AW$4="Sí",1/DATOS_[[% normaliz]:[% normaliz]],1)*(DATOS_[Conc.Sal.19])))))))),
0)</f>
        <v>0</v>
      </c>
      <c r="AC82" s="196">
        <f t="array" ref="AC82">IFERROR(
(MEDIAN((IF(DATOS_[[Sexo]:[Sexo]]=$B82,IF(DATOS_[[AGRUP. CLAS. PROF.]:[AGRUP. CLAS. PROF.]]=$B81,IF(DATOS_[[Check Periodo Ref.]:[Check Periodo Ref.]]="Dentro",IF(DATOS_[[Check Equiparado]:[Check Equiparado]]="Sí",IF(DATOS!AX$5="Sí",(1/DATOS_[[% anualiz]:[% anualiz]]),1)*IF(DATOS!AX$4="Sí",1/DATOS_[[% normaliz]:[% normaliz]],1)*(DATOS_[Conc.Sal.20])))))))),
0)</f>
        <v>0</v>
      </c>
      <c r="AD82" s="196">
        <f t="array" ref="AD82">IFERROR(
(MEDIAN((IF(DATOS_[[Sexo]:[Sexo]]=$B82,IF(DATOS_[[AGRUP. CLAS. PROF.]:[AGRUP. CLAS. PROF.]]=$B81,IF(DATOS_[[Check Periodo Ref.]:[Check Periodo Ref.]]="Dentro",IF(DATOS_[[Check Equiparado]:[Check Equiparado]]="Sí",IF(DATOS!AY$5="Sí",(1/DATOS_[[% anualiz]:[% anualiz]]),1)*IF(DATOS!AY$4="Sí",1/DATOS_[[% normaliz]:[% normaliz]],1)*(DATOS_[Conc.Sal.21])))))))),
0)</f>
        <v>0</v>
      </c>
      <c r="AE82" s="196">
        <f t="array" ref="AE82">IFERROR(
(MEDIAN((IF(DATOS_[[Sexo]:[Sexo]]=$B82,IF(DATOS_[[AGRUP. CLAS. PROF.]:[AGRUP. CLAS. PROF.]]=$B81,IF(DATOS_[[Check Periodo Ref.]:[Check Periodo Ref.]]="Dentro",IF(DATOS_[[Check Equiparado]:[Check Equiparado]]="Sí",IF(DATOS!AZ$5="Sí",(1/DATOS_[[% anualiz]:[% anualiz]]),1)*IF(DATOS!AZ$4="Sí",1/DATOS_[[% normaliz]:[% normaliz]],1)*(DATOS_[Conc.Sal.22])))))))),
0)</f>
        <v>0</v>
      </c>
      <c r="AF82" s="196">
        <f t="array" ref="AF82">IFERROR(
(MEDIAN((IF(DATOS_[[Sexo]:[Sexo]]=$B82,IF(DATOS_[[AGRUP. CLAS. PROF.]:[AGRUP. CLAS. PROF.]]=$B81,IF(DATOS_[[Check Periodo Ref.]:[Check Periodo Ref.]]="Dentro",IF(DATOS_[[Check Equiparado]:[Check Equiparado]]="Sí",IF(DATOS!BA$5="Sí",(1/DATOS_[[% anualiz]:[% anualiz]]),1)*IF(DATOS!BA$4="Sí",1/DATOS_[[% normaliz]:[% normaliz]],1)*(DATOS_[Conc.Sal.23])))))))),
0)</f>
        <v>0</v>
      </c>
      <c r="AG82" s="196">
        <f t="array" ref="AG82">IFERROR(
(MEDIAN((IF(DATOS_[[Sexo]:[Sexo]]=$B82,IF(DATOS_[[AGRUP. CLAS. PROF.]:[AGRUP. CLAS. PROF.]]=$B81,IF(DATOS_[[Check Periodo Ref.]:[Check Periodo Ref.]]="Dentro",IF(DATOS_[[Check Equiparado]:[Check Equiparado]]="Sí",IF(DATOS!BB$5="Sí",(1/DATOS_[[% anualiz]:[% anualiz]]),1)*IF(DATOS!BB$4="Sí",1/DATOS_[[% normaliz]:[% normaliz]],1)*(DATOS_[Conc.Sal.24])))))))),
0)</f>
        <v>0</v>
      </c>
      <c r="AH82" s="196">
        <f t="array" ref="AH82">IFERROR(
(MEDIAN((IF(DATOS_[[Sexo]:[Sexo]]=$B82,IF(DATOS_[[AGRUP. CLAS. PROF.]:[AGRUP. CLAS. PROF.]]=$B81,IF(DATOS_[[Check Periodo Ref.]:[Check Periodo Ref.]]="Dentro",IF(DATOS_[[Check Equiparado]:[Check Equiparado]]="Sí",IF(DATOS!BC$5="Sí",(1/DATOS_[[% anualiz]:[% anualiz]]),1)*IF(DATOS!BC$4="Sí",1/DATOS_[[% normaliz]:[% normaliz]],1)*(DATOS_[Conc.Sal.25])))))))),
0)</f>
        <v>0</v>
      </c>
      <c r="AI82" s="196">
        <f t="array" ref="AI82">IFERROR(
(MEDIAN((IF(DATOS_[[Sexo]:[Sexo]]=$B82,IF(DATOS_[[AGRUP. CLAS. PROF.]:[AGRUP. CLAS. PROF.]]=$B81,IF(DATOS_[[Check Periodo Ref.]:[Check Periodo Ref.]]="Dentro",IF(DATOS_[[Check Equiparado]:[Check Equiparado]]="Sí",IF(DATOS!BD$5="Sí",(1/DATOS_[[% anualiz]:[% anualiz]]),1)*IF(DATOS!BD$4="Sí",1/DATOS_[[% normaliz]:[% normaliz]],1)*(DATOS_[Conc.Sal.26])))))))),
0)</f>
        <v>0</v>
      </c>
      <c r="AJ82" s="196">
        <f t="array" ref="AJ82">IFERROR(
(MEDIAN((IF(DATOS_[[Sexo]:[Sexo]]=$B82,IF(DATOS_[[AGRUP. CLAS. PROF.]:[AGRUP. CLAS. PROF.]]=$B81,IF(DATOS_[[Check Periodo Ref.]:[Check Periodo Ref.]]="Dentro",IF(DATOS_[[Check Equiparado]:[Check Equiparado]]="Sí",IF(DATOS!BE$5="Sí",(1/DATOS_[[% anualiz]:[% anualiz]]),1)*IF(DATOS!BE$4="Sí",1/DATOS_[[% normaliz]:[% normaliz]],1)*(DATOS_[Conc.Sal.27])))))))),
0)</f>
        <v>0</v>
      </c>
      <c r="AK82" s="196">
        <f t="array" ref="AK82">IFERROR(
(MEDIAN((IF(DATOS_[[Sexo]:[Sexo]]=$B82,IF(DATOS_[[AGRUP. CLAS. PROF.]:[AGRUP. CLAS. PROF.]]=$B81,IF(DATOS_[[Check Periodo Ref.]:[Check Periodo Ref.]]="Dentro",IF(DATOS_[[Check Equiparado]:[Check Equiparado]]="Sí",IF(DATOS!BF$5="Sí",(1/DATOS_[[% anualiz]:[% anualiz]]),1)*IF(DATOS!BF$4="Sí",1/DATOS_[[% normaliz]:[% normaliz]],1)*(DATOS_[Conc.Sal.28])))))))),
0)</f>
        <v>0</v>
      </c>
      <c r="AL82" s="196">
        <f t="array" ref="AL82">IFERROR(
(MEDIAN((IF(DATOS_[[Sexo]:[Sexo]]=$B82,IF(DATOS_[[AGRUP. CLAS. PROF.]:[AGRUP. CLAS. PROF.]]=$B81,IF(DATOS_[[Check Periodo Ref.]:[Check Periodo Ref.]]="Dentro",IF(DATOS_[[Check Equiparado]:[Check Equiparado]]="Sí",IF(DATOS!BG$5="Sí",(1/DATOS_[[% anualiz]:[% anualiz]]),1)*IF(DATOS!BG$4="Sí",1/DATOS_[[% normaliz]:[% normaliz]],1)*(DATOS_[Conc.Sal.29])))))))),
0)</f>
        <v>0</v>
      </c>
      <c r="AM82" s="196">
        <f t="array" ref="AM82">IFERROR(
(MEDIAN((IF(DATOS_[[Sexo]:[Sexo]]=$B82,IF(DATOS_[[AGRUP. CLAS. PROF.]:[AGRUP. CLAS. PROF.]]=$B81,IF(DATOS_[[Check Periodo Ref.]:[Check Periodo Ref.]]="Dentro",IF(DATOS_[[Check Equiparado]:[Check Equiparado]]="Sí",IF(DATOS!BH$5="Sí",(1/DATOS_[[% anualiz]:[% anualiz]]),1)*IF(DATOS!BH$4="Sí",1/DATOS_[[% normaliz]:[% normaliz]],1)*(DATOS_[Conc.Sal.30])))))))),
0)</f>
        <v>0</v>
      </c>
      <c r="AN82" s="195">
        <f t="array" ref="AN82">IFERROR(
MEDIAN(IF(DATOS_[Sexo]=$B82,IF(DATOS_[[AGRUP. CLAS. PROF.]:[AGRUP. CLAS. PROF.]]=$B81,IF(DATOS_[Check Equiparado]="Sí",IF(DATOS_[Check Periodo Ref.]="Dentro",DATOS_[Tot COMPL.SAL Eq],FALSE))))),
0)</f>
        <v>0</v>
      </c>
      <c r="AO82" s="172">
        <f t="array" ref="AO82">IFERROR(
MEDIAN(IF(DATOS_[Sexo]=$B82,IF(DATOS_[[AGRUP. CLAS. PROF.]:[AGRUP. CLAS. PROF.]]=$B81,IF(DATOS_[Check Equiparado]="Sí",IF(DATOS_[Check Periodo Ref.]="Dentro",DATOS_[TOTAL SALARIO Eq],FALSE))))),
0)</f>
        <v>0</v>
      </c>
      <c r="AP82" s="173">
        <f t="array" ref="AP82">IFERROR(
(MEDIAN((IF(DATOS_[[Sexo]:[Sexo]]=$B82,IF(DATOS_[[AGRUP. CLAS. PROF.]:[AGRUP. CLAS. PROF.]]=$B81,IF(DATOS_[[Check Periodo Ref.]:[Check Periodo Ref.]]="Dentro",IF(DATOS_[[Check Equiparado]:[Check Equiparado]]="Sí",IF(DATOS!BW$5="Sí",(1/DATOS_[[% anualiz]:[% anualiz]]),1)*IF(DATOS!BW$4="Sí",1/DATOS_[[% normaliz]:[% normaliz]],1)*(DATOS_[C.Extra.01])))))))),
0)</f>
        <v>0</v>
      </c>
      <c r="AQ82" s="173">
        <f t="array" ref="AQ82">IFERROR(
(MEDIAN((IF(DATOS_[[Sexo]:[Sexo]]=$B82,IF(DATOS_[[AGRUP. CLAS. PROF.]:[AGRUP. CLAS. PROF.]]=$B81,IF(DATOS_[[Check Periodo Ref.]:[Check Periodo Ref.]]="Dentro",IF(DATOS_[[Check Equiparado]:[Check Equiparado]]="Sí",IF(DATOS!CB$5="Sí",(1/DATOS_[[% anualiz]:[% anualiz]]),1)*IF(DATOS!CB$4="Sí",1/DATOS_[[% normaliz]:[% normaliz]],1)*(DATOS_[C.Extra.06])))))))),
0)</f>
        <v>0</v>
      </c>
      <c r="AR82" s="173">
        <f t="array" ref="AR82">IFERROR(
(MEDIAN((IF(DATOS_[[Sexo]:[Sexo]]=$B82,IF(DATOS_[[AGRUP. CLAS. PROF.]:[AGRUP. CLAS. PROF.]]=$B81,IF(DATOS_[[Check Periodo Ref.]:[Check Periodo Ref.]]="Dentro",IF(DATOS_[[Check Equiparado]:[Check Equiparado]]="Sí",IF(DATOS!CC$5="Sí",(1/DATOS_[[% anualiz]:[% anualiz]]),1)*IF(DATOS!CC$4="Sí",1/DATOS_[[% normaliz]:[% normaliz]],1)*(DATOS_[C.Extra.07])))))))),
0)</f>
        <v>0</v>
      </c>
      <c r="AS82" s="173">
        <f t="array" ref="AS82">IFERROR(
(MEDIAN((IF(DATOS_[[Sexo]:[Sexo]]=$B82,IF(DATOS_[[AGRUP. CLAS. PROF.]:[AGRUP. CLAS. PROF.]]=$B81,IF(DATOS_[[Check Periodo Ref.]:[Check Periodo Ref.]]="Dentro",IF(DATOS_[[Check Equiparado]:[Check Equiparado]]="Sí",IF(DATOS!CD$5="Sí",(1/DATOS_[[% anualiz]:[% anualiz]]),1)*IF(DATOS!CD$4="Sí",1/DATOS_[[% normaliz]:[% normaliz]],1)*(DATOS_[C.Extra.08])))))))),
0)</f>
        <v>0</v>
      </c>
      <c r="AT82" s="173">
        <f t="array" ref="AT82">IFERROR(
(MEDIAN((IF(DATOS_[[Sexo]:[Sexo]]=$B82,IF(DATOS_[[AGRUP. CLAS. PROF.]:[AGRUP. CLAS. PROF.]]=$B81,IF(DATOS_[[Check Periodo Ref.]:[Check Periodo Ref.]]="Dentro",IF(DATOS_[[Check Equiparado]:[Check Equiparado]]="Sí",IF(DATOS!CG$5="Sí",(1/DATOS_[[% anualiz]:[% anualiz]]),1)*IF(DATOS!CG$4="Sí",1/DATOS_[[% normaliz]:[% normaliz]],1)*(DATOS_[C.Extra.11])))))))),
0)</f>
        <v>0</v>
      </c>
      <c r="AU82" s="197">
        <f t="array" ref="AU82">IFERROR(
MEDIAN(IF(DATOS_[Sexo]=$B82,IF(DATOS_[[AGRUP. CLAS. PROF.]:[AGRUP. CLAS. PROF.]]=$B81,IF(DATOS_[Check Equiparado]="Sí",IF(DATOS_[Check Periodo Ref.]="Dentro",DATOS_[Tot Extrasalarial Eq],FALSE))))),
0)</f>
        <v>0</v>
      </c>
      <c r="AV82" s="175">
        <f t="array" ref="AV82">IFERROR(
MEDIAN(IF(DATOS_[Sexo]=$B82,IF(DATOS_[[AGRUP. CLAS. PROF.]:[AGRUP. CLAS. PROF.]]=$B81,IF(DATOS_[Check Equiparado]="Sí",IF(DATOS_[Check Periodo Ref.]="Dentro",DATOS_[TOTAL Retrib Eq],FALSE))))),
0)</f>
        <v>0</v>
      </c>
    </row>
    <row r="83" spans="1:48" hidden="1" x14ac:dyDescent="0.25">
      <c r="A83" s="133" t="str">
        <f t="shared" ref="A83" si="94">+A82</f>
        <v>[ocultar]</v>
      </c>
      <c r="B83" s="202" t="s">
        <v>521</v>
      </c>
      <c r="C83" s="203">
        <f t="array" ref="C83">SUM(IF($B83=DATOS_[Sexo],
IF($B81=DATOS_[AGRUP. CLAS. PROF.],
IF("Dentro"=DATOS_[Check Periodo Ref.],
1/(COUNTIFS(DATOS_[Sexo],$B83,DATOS_[AGRUP. CLAS. PROF.],$B81,DATOS_[Check Periodo Ref.],"Dentro",DATOS_[id/cod],DATOS_[id/cod]))))))</f>
        <v>0</v>
      </c>
      <c r="D83" s="204">
        <f>COUNTIFS(DATOS_[AGRUP. CLAS. PROF.],$B81,DATOS_[Sexo],$B83,DATOS_[Check Periodo Ref.],"Dentro")</f>
        <v>0</v>
      </c>
      <c r="E83" s="204">
        <f>COUNTIFS(DATOS_[AGRUP. CLAS. PROF.],$B81,DATOS_[Sexo],$B83,DATOS_[Check Periodo Ref.],"Dentro",DATOS_[Check Nº SC Norm],"Sí")</f>
        <v>0</v>
      </c>
      <c r="F83" s="204">
        <f>COUNTIFS(DATOS_[AGRUP. CLAS. PROF.],$B81,DATOS_[Sexo],$B83,DATOS_[Check Periodo Ref.],"Dentro",DATOS_[Check Nº SC Anualiz],"Sí")</f>
        <v>0</v>
      </c>
      <c r="G83" s="204">
        <f>COUNTIFS(DATOS_[AGRUP. CLAS. PROF.],$B81,DATOS_[Sexo],$B83,DATOS_[Check Periodo Ref.],"Dentro",DATOS_[Check Nº SC Norm y Anualiz],"Sí")</f>
        <v>0</v>
      </c>
      <c r="H83" s="204">
        <f>COUNTIFS(DATOS_[AGRUP. CLAS. PROF.],$B81,DATOS_[Sexo],$B83,DATOS_[Check Periodo Ref.],"Dentro",DATOS_[Check Equiparación],"Sí")</f>
        <v>0</v>
      </c>
      <c r="I83" s="195" cm="1">
        <f t="array" ref="I83">IFERROR(
MEDIAN(IF(DATOS_[Sexo]=$B83,IF(DATOS_[[AGRUP. CLAS. PROF.]:[AGRUP. CLAS. PROF.]]=$B81,IF(DATOS_[Check Equiparado]="Sí",IF(DATOS_[Check Periodo Ref.]="Dentro",DATOS_[SALARIO BASE Eq],FALSE))))),
0)</f>
        <v>0</v>
      </c>
      <c r="J83" s="196">
        <f t="array" ref="J83">IFERROR(
(MEDIAN((IF(DATOS_[[Sexo]:[Sexo]]=$B83,IF(DATOS_[[AGRUP. CLAS. PROF.]:[AGRUP. CLAS. PROF.]]=$B81,IF(DATOS_[[Check Periodo Ref.]:[Check Periodo Ref.]]="Dentro",IF(DATOS_[[Check Equiparado]:[Check Equiparado]]="Sí",IF(DATOS!AE$5="Sí",(1/DATOS_[[% anualiz]:[% anualiz]]),1)*IF(DATOS!AE$4="Sí",1/DATOS_[[% normaliz]:[% normaliz]],1)*(DATOS_[Conc.Sal.01])))))))),
0)</f>
        <v>0</v>
      </c>
      <c r="K83" s="196">
        <f t="array" ref="K83">IFERROR(
(MEDIAN((IF(DATOS_[[Sexo]:[Sexo]]=$B83,IF(DATOS_[[AGRUP. CLAS. PROF.]:[AGRUP. CLAS. PROF.]]=$B81,IF(DATOS_[[Check Periodo Ref.]:[Check Periodo Ref.]]="Dentro",IF(DATOS_[[Check Equiparado]:[Check Equiparado]]="Sí",IF(DATOS!AF$5="Sí",(1/DATOS_[[% anualiz]:[% anualiz]]),1)*IF(DATOS!AF$4="Sí",1/DATOS_[[% normaliz]:[% normaliz]],1)*(DATOS_[Conc.Sal.02])))))))),
0)</f>
        <v>0</v>
      </c>
      <c r="L83" s="196">
        <f t="array" ref="L83">IFERROR(
(MEDIAN((IF(DATOS_[[Sexo]:[Sexo]]=$B83,IF(DATOS_[[AGRUP. CLAS. PROF.]:[AGRUP. CLAS. PROF.]]=$B81,IF(DATOS_[[Check Periodo Ref.]:[Check Periodo Ref.]]="Dentro",IF(DATOS_[[Check Equiparado]:[Check Equiparado]]="Sí",IF(DATOS!AG$5="Sí",(1/DATOS_[[% anualiz]:[% anualiz]]),1)*IF(DATOS!AG$4="Sí",1/DATOS_[[% normaliz]:[% normaliz]],1)*(DATOS_[Conc.Sal.03])))))))),
0)</f>
        <v>0</v>
      </c>
      <c r="M83" s="196">
        <f t="array" ref="M83">IFERROR(
(MEDIAN((IF(DATOS_[[Sexo]:[Sexo]]=$B83,IF(DATOS_[[AGRUP. CLAS. PROF.]:[AGRUP. CLAS. PROF.]]=$B81,IF(DATOS_[[Check Periodo Ref.]:[Check Periodo Ref.]]="Dentro",IF(DATOS_[[Check Equiparado]:[Check Equiparado]]="Sí",IF(DATOS!AH$5="Sí",(1/DATOS_[[% anualiz]:[% anualiz]]),1)*IF(DATOS!AH$4="Sí",1/DATOS_[[% normaliz]:[% normaliz]],1)*(DATOS_[Conc.Sal.04])))))))),
0)</f>
        <v>0</v>
      </c>
      <c r="N83" s="196">
        <f t="array" ref="N83">IFERROR(
(MEDIAN((IF(DATOS_[[Sexo]:[Sexo]]=$B83,IF(DATOS_[[AGRUP. CLAS. PROF.]:[AGRUP. CLAS. PROF.]]=$B81,IF(DATOS_[[Check Periodo Ref.]:[Check Periodo Ref.]]="Dentro",IF(DATOS_[[Check Equiparado]:[Check Equiparado]]="Sí",IF(DATOS!AI$5="Sí",(1/DATOS_[[% anualiz]:[% anualiz]]),1)*IF(DATOS!AI$4="Sí",1/DATOS_[[% normaliz]:[% normaliz]],1)*(DATOS_[Conc.Sal.05])))))))),
0)</f>
        <v>0</v>
      </c>
      <c r="O83" s="196">
        <f t="array" ref="O83">IFERROR(
(MEDIAN((IF(DATOS_[[Sexo]:[Sexo]]=$B83,IF(DATOS_[[AGRUP. CLAS. PROF.]:[AGRUP. CLAS. PROF.]]=$B81,IF(DATOS_[[Check Periodo Ref.]:[Check Periodo Ref.]]="Dentro",IF(DATOS_[[Check Equiparado]:[Check Equiparado]]="Sí",IF(DATOS!AJ$5="Sí",(1/DATOS_[[% anualiz]:[% anualiz]]),1)*IF(DATOS!AJ$4="Sí",1/DATOS_[[% normaliz]:[% normaliz]],1)*(DATOS_[Conc.Sal.06])))))))),
0)</f>
        <v>0</v>
      </c>
      <c r="P83" s="196">
        <f t="array" ref="P83">IFERROR(
(MEDIAN((IF(DATOS_[[Sexo]:[Sexo]]=$B83,IF(DATOS_[[AGRUP. CLAS. PROF.]:[AGRUP. CLAS. PROF.]]=$B81,IF(DATOS_[[Check Periodo Ref.]:[Check Periodo Ref.]]="Dentro",IF(DATOS_[[Check Equiparado]:[Check Equiparado]]="Sí",IF(DATOS!AK$5="Sí",(1/DATOS_[[% anualiz]:[% anualiz]]),1)*IF(DATOS!AK$4="Sí",1/DATOS_[[% normaliz]:[% normaliz]],1)*(DATOS_[Conc.Sal.07])))))))),
0)</f>
        <v>0</v>
      </c>
      <c r="Q83" s="196">
        <f t="array" ref="Q83">IFERROR(
(MEDIAN((IF(DATOS_[[Sexo]:[Sexo]]=$B83,IF(DATOS_[[AGRUP. CLAS. PROF.]:[AGRUP. CLAS. PROF.]]=$B81,IF(DATOS_[[Check Periodo Ref.]:[Check Periodo Ref.]]="Dentro",IF(DATOS_[[Check Equiparado]:[Check Equiparado]]="Sí",IF(DATOS!AL$5="Sí",(1/DATOS_[[% anualiz]:[% anualiz]]),1)*IF(DATOS!AL$4="Sí",1/DATOS_[[% normaliz]:[% normaliz]],1)*(DATOS_[Conc.Sal.08])))))))),
0)</f>
        <v>0</v>
      </c>
      <c r="R83" s="196">
        <f t="array" ref="R83">IFERROR(
(MEDIAN((IF(DATOS_[[Sexo]:[Sexo]]=$B83,IF(DATOS_[[AGRUP. CLAS. PROF.]:[AGRUP. CLAS. PROF.]]=$B81,IF(DATOS_[[Check Periodo Ref.]:[Check Periodo Ref.]]="Dentro",IF(DATOS_[[Check Equiparado]:[Check Equiparado]]="Sí",IF(DATOS!AM$5="Sí",(1/DATOS_[[% anualiz]:[% anualiz]]),1)*IF(DATOS!AM$4="Sí",1/DATOS_[[% normaliz]:[% normaliz]],1)*(DATOS_[Conc.Sal.09])))))))),
0)</f>
        <v>0</v>
      </c>
      <c r="S83" s="196">
        <f t="array" ref="S83">IFERROR(
(MEDIAN((IF(DATOS_[[Sexo]:[Sexo]]=$B83,IF(DATOS_[[AGRUP. CLAS. PROF.]:[AGRUP. CLAS. PROF.]]=$B81,IF(DATOS_[[Check Periodo Ref.]:[Check Periodo Ref.]]="Dentro",IF(DATOS_[[Check Equiparado]:[Check Equiparado]]="Sí",IF(DATOS!AN$5="Sí",(1/DATOS_[[% anualiz]:[% anualiz]]),1)*IF(DATOS!AN$4="Sí",1/DATOS_[[% normaliz]:[% normaliz]],1)*(DATOS_[Conc.Sal.10])))))))),
0)</f>
        <v>0</v>
      </c>
      <c r="T83" s="196">
        <f t="array" ref="T83">IFERROR(
(MEDIAN((IF(DATOS_[[Sexo]:[Sexo]]=$B83,IF(DATOS_[[AGRUP. CLAS. PROF.]:[AGRUP. CLAS. PROF.]]=$B81,IF(DATOS_[[Check Periodo Ref.]:[Check Periodo Ref.]]="Dentro",IF(DATOS_[[Check Equiparado]:[Check Equiparado]]="Sí",IF(DATOS!AO$5="Sí",(1/DATOS_[[% anualiz]:[% anualiz]]),1)*IF(DATOS!AO$4="Sí",1/DATOS_[[% normaliz]:[% normaliz]],1)*(DATOS_[Conc.Sal.11])))))))),
0)</f>
        <v>0</v>
      </c>
      <c r="U83" s="196">
        <f t="array" ref="U83">IFERROR(
(MEDIAN((IF(DATOS_[[Sexo]:[Sexo]]=$B83,IF(DATOS_[[AGRUP. CLAS. PROF.]:[AGRUP. CLAS. PROF.]]=$B81,IF(DATOS_[[Check Periodo Ref.]:[Check Periodo Ref.]]="Dentro",IF(DATOS_[[Check Equiparado]:[Check Equiparado]]="Sí",IF(DATOS!AP$5="Sí",(1/DATOS_[[% anualiz]:[% anualiz]]),1)*IF(DATOS!AP$4="Sí",1/DATOS_[[% normaliz]:[% normaliz]],1)*(DATOS_[Conc.Sal.12])))))))),
0)</f>
        <v>0</v>
      </c>
      <c r="V83" s="196">
        <f t="array" ref="V83">IFERROR(
(MEDIAN((IF(DATOS_[[Sexo]:[Sexo]]=$B83,IF(DATOS_[[AGRUP. CLAS. PROF.]:[AGRUP. CLAS. PROF.]]=$B81,IF(DATOS_[[Check Periodo Ref.]:[Check Periodo Ref.]]="Dentro",IF(DATOS_[[Check Equiparado]:[Check Equiparado]]="Sí",IF(DATOS!AQ$5="Sí",(1/DATOS_[[% anualiz]:[% anualiz]]),1)*IF(DATOS!AQ$4="Sí",1/DATOS_[[% normaliz]:[% normaliz]],1)*(DATOS_[Conc.Sal.13])))))))),
0)</f>
        <v>0</v>
      </c>
      <c r="W83" s="196">
        <f t="array" ref="W83">IFERROR(
(MEDIAN((IF(DATOS_[[Sexo]:[Sexo]]=$B83,IF(DATOS_[[AGRUP. CLAS. PROF.]:[AGRUP. CLAS. PROF.]]=$B81,IF(DATOS_[[Check Periodo Ref.]:[Check Periodo Ref.]]="Dentro",IF(DATOS_[[Check Equiparado]:[Check Equiparado]]="Sí",IF(DATOS!AR$5="Sí",(1/DATOS_[[% anualiz]:[% anualiz]]),1)*IF(DATOS!AR$4="Sí",1/DATOS_[[% normaliz]:[% normaliz]],1)*(DATOS_[Conc.Sal.14])))))))),
0)</f>
        <v>0</v>
      </c>
      <c r="X83" s="196">
        <f t="array" ref="X83">IFERROR(
(MEDIAN((IF(DATOS_[[Sexo]:[Sexo]]=$B83,IF(DATOS_[[AGRUP. CLAS. PROF.]:[AGRUP. CLAS. PROF.]]=$B81,IF(DATOS_[[Check Periodo Ref.]:[Check Periodo Ref.]]="Dentro",IF(DATOS_[[Check Equiparado]:[Check Equiparado]]="Sí",IF(DATOS!AS$5="Sí",(1/DATOS_[[% anualiz]:[% anualiz]]),1)*IF(DATOS!AS$4="Sí",1/DATOS_[[% normaliz]:[% normaliz]],1)*(DATOS_[Conc.Sal.15])))))))),
0)</f>
        <v>0</v>
      </c>
      <c r="Y83" s="196">
        <f t="array" ref="Y83">IFERROR(
(MEDIAN((IF(DATOS_[[Sexo]:[Sexo]]=$B83,IF(DATOS_[[AGRUP. CLAS. PROF.]:[AGRUP. CLAS. PROF.]]=$B81,IF(DATOS_[[Check Periodo Ref.]:[Check Periodo Ref.]]="Dentro",IF(DATOS_[[Check Equiparado]:[Check Equiparado]]="Sí",IF(DATOS!AT$5="Sí",(1/DATOS_[[% anualiz]:[% anualiz]]),1)*IF(DATOS!AT$4="Sí",1/DATOS_[[% normaliz]:[% normaliz]],1)*(DATOS_[Conc.Sal.16])))))))),
0)</f>
        <v>0</v>
      </c>
      <c r="Z83" s="196">
        <f t="array" ref="Z83">IFERROR(
(MEDIAN((IF(DATOS_[[Sexo]:[Sexo]]=$B83,IF(DATOS_[[AGRUP. CLAS. PROF.]:[AGRUP. CLAS. PROF.]]=$B81,IF(DATOS_[[Check Periodo Ref.]:[Check Periodo Ref.]]="Dentro",IF(DATOS_[[Check Equiparado]:[Check Equiparado]]="Sí",IF(DATOS!AU$5="Sí",(1/DATOS_[[% anualiz]:[% anualiz]]),1)*IF(DATOS!AU$4="Sí",1/DATOS_[[% normaliz]:[% normaliz]],1)*(DATOS_[Conc.Sal.17])))))))),
0)</f>
        <v>0</v>
      </c>
      <c r="AA83" s="196">
        <f t="array" ref="AA83">IFERROR(
(MEDIAN((IF(DATOS_[[Sexo]:[Sexo]]=$B83,IF(DATOS_[[AGRUP. CLAS. PROF.]:[AGRUP. CLAS. PROF.]]=$B81,IF(DATOS_[[Check Periodo Ref.]:[Check Periodo Ref.]]="Dentro",IF(DATOS_[[Check Equiparado]:[Check Equiparado]]="Sí",IF(DATOS!AV$5="Sí",(1/DATOS_[[% anualiz]:[% anualiz]]),1)*IF(DATOS!AV$4="Sí",1/DATOS_[[% normaliz]:[% normaliz]],1)*(DATOS_[Conc.Sal.18])))))))),
0)</f>
        <v>0</v>
      </c>
      <c r="AB83" s="196">
        <f t="array" ref="AB83">IFERROR(
(MEDIAN((IF(DATOS_[[Sexo]:[Sexo]]=$B83,IF(DATOS_[[AGRUP. CLAS. PROF.]:[AGRUP. CLAS. PROF.]]=$B81,IF(DATOS_[[Check Periodo Ref.]:[Check Periodo Ref.]]="Dentro",IF(DATOS_[[Check Equiparado]:[Check Equiparado]]="Sí",IF(DATOS!AW$5="Sí",(1/DATOS_[[% anualiz]:[% anualiz]]),1)*IF(DATOS!AW$4="Sí",1/DATOS_[[% normaliz]:[% normaliz]],1)*(DATOS_[Conc.Sal.19])))))))),
0)</f>
        <v>0</v>
      </c>
      <c r="AC83" s="196">
        <f t="array" ref="AC83">IFERROR(
(MEDIAN((IF(DATOS_[[Sexo]:[Sexo]]=$B83,IF(DATOS_[[AGRUP. CLAS. PROF.]:[AGRUP. CLAS. PROF.]]=$B81,IF(DATOS_[[Check Periodo Ref.]:[Check Periodo Ref.]]="Dentro",IF(DATOS_[[Check Equiparado]:[Check Equiparado]]="Sí",IF(DATOS!AX$5="Sí",(1/DATOS_[[% anualiz]:[% anualiz]]),1)*IF(DATOS!AX$4="Sí",1/DATOS_[[% normaliz]:[% normaliz]],1)*(DATOS_[Conc.Sal.20])))))))),
0)</f>
        <v>0</v>
      </c>
      <c r="AD83" s="196">
        <f t="array" ref="AD83">IFERROR(
(MEDIAN((IF(DATOS_[[Sexo]:[Sexo]]=$B83,IF(DATOS_[[AGRUP. CLAS. PROF.]:[AGRUP. CLAS. PROF.]]=$B81,IF(DATOS_[[Check Periodo Ref.]:[Check Periodo Ref.]]="Dentro",IF(DATOS_[[Check Equiparado]:[Check Equiparado]]="Sí",IF(DATOS!AY$5="Sí",(1/DATOS_[[% anualiz]:[% anualiz]]),1)*IF(DATOS!AY$4="Sí",1/DATOS_[[% normaliz]:[% normaliz]],1)*(DATOS_[Conc.Sal.21])))))))),
0)</f>
        <v>0</v>
      </c>
      <c r="AE83" s="196">
        <f t="array" ref="AE83">IFERROR(
(MEDIAN((IF(DATOS_[[Sexo]:[Sexo]]=$B83,IF(DATOS_[[AGRUP. CLAS. PROF.]:[AGRUP. CLAS. PROF.]]=$B81,IF(DATOS_[[Check Periodo Ref.]:[Check Periodo Ref.]]="Dentro",IF(DATOS_[[Check Equiparado]:[Check Equiparado]]="Sí",IF(DATOS!AZ$5="Sí",(1/DATOS_[[% anualiz]:[% anualiz]]),1)*IF(DATOS!AZ$4="Sí",1/DATOS_[[% normaliz]:[% normaliz]],1)*(DATOS_[Conc.Sal.22])))))))),
0)</f>
        <v>0</v>
      </c>
      <c r="AF83" s="196">
        <f t="array" ref="AF83">IFERROR(
(MEDIAN((IF(DATOS_[[Sexo]:[Sexo]]=$B83,IF(DATOS_[[AGRUP. CLAS. PROF.]:[AGRUP. CLAS. PROF.]]=$B81,IF(DATOS_[[Check Periodo Ref.]:[Check Periodo Ref.]]="Dentro",IF(DATOS_[[Check Equiparado]:[Check Equiparado]]="Sí",IF(DATOS!BA$5="Sí",(1/DATOS_[[% anualiz]:[% anualiz]]),1)*IF(DATOS!BA$4="Sí",1/DATOS_[[% normaliz]:[% normaliz]],1)*(DATOS_[Conc.Sal.23])))))))),
0)</f>
        <v>0</v>
      </c>
      <c r="AG83" s="196">
        <f t="array" ref="AG83">IFERROR(
(MEDIAN((IF(DATOS_[[Sexo]:[Sexo]]=$B83,IF(DATOS_[[AGRUP. CLAS. PROF.]:[AGRUP. CLAS. PROF.]]=$B81,IF(DATOS_[[Check Periodo Ref.]:[Check Periodo Ref.]]="Dentro",IF(DATOS_[[Check Equiparado]:[Check Equiparado]]="Sí",IF(DATOS!BB$5="Sí",(1/DATOS_[[% anualiz]:[% anualiz]]),1)*IF(DATOS!BB$4="Sí",1/DATOS_[[% normaliz]:[% normaliz]],1)*(DATOS_[Conc.Sal.24])))))))),
0)</f>
        <v>0</v>
      </c>
      <c r="AH83" s="196">
        <f t="array" ref="AH83">IFERROR(
(MEDIAN((IF(DATOS_[[Sexo]:[Sexo]]=$B83,IF(DATOS_[[AGRUP. CLAS. PROF.]:[AGRUP. CLAS. PROF.]]=$B81,IF(DATOS_[[Check Periodo Ref.]:[Check Periodo Ref.]]="Dentro",IF(DATOS_[[Check Equiparado]:[Check Equiparado]]="Sí",IF(DATOS!BC$5="Sí",(1/DATOS_[[% anualiz]:[% anualiz]]),1)*IF(DATOS!BC$4="Sí",1/DATOS_[[% normaliz]:[% normaliz]],1)*(DATOS_[Conc.Sal.25])))))))),
0)</f>
        <v>0</v>
      </c>
      <c r="AI83" s="196">
        <f t="array" ref="AI83">IFERROR(
(MEDIAN((IF(DATOS_[[Sexo]:[Sexo]]=$B83,IF(DATOS_[[AGRUP. CLAS. PROF.]:[AGRUP. CLAS. PROF.]]=$B81,IF(DATOS_[[Check Periodo Ref.]:[Check Periodo Ref.]]="Dentro",IF(DATOS_[[Check Equiparado]:[Check Equiparado]]="Sí",IF(DATOS!BD$5="Sí",(1/DATOS_[[% anualiz]:[% anualiz]]),1)*IF(DATOS!BD$4="Sí",1/DATOS_[[% normaliz]:[% normaliz]],1)*(DATOS_[Conc.Sal.26])))))))),
0)</f>
        <v>0</v>
      </c>
      <c r="AJ83" s="196">
        <f t="array" ref="AJ83">IFERROR(
(MEDIAN((IF(DATOS_[[Sexo]:[Sexo]]=$B83,IF(DATOS_[[AGRUP. CLAS. PROF.]:[AGRUP. CLAS. PROF.]]=$B81,IF(DATOS_[[Check Periodo Ref.]:[Check Periodo Ref.]]="Dentro",IF(DATOS_[[Check Equiparado]:[Check Equiparado]]="Sí",IF(DATOS!BE$5="Sí",(1/DATOS_[[% anualiz]:[% anualiz]]),1)*IF(DATOS!BE$4="Sí",1/DATOS_[[% normaliz]:[% normaliz]],1)*(DATOS_[Conc.Sal.27])))))))),
0)</f>
        <v>0</v>
      </c>
      <c r="AK83" s="196">
        <f t="array" ref="AK83">IFERROR(
(MEDIAN((IF(DATOS_[[Sexo]:[Sexo]]=$B83,IF(DATOS_[[AGRUP. CLAS. PROF.]:[AGRUP. CLAS. PROF.]]=$B81,IF(DATOS_[[Check Periodo Ref.]:[Check Periodo Ref.]]="Dentro",IF(DATOS_[[Check Equiparado]:[Check Equiparado]]="Sí",IF(DATOS!BF$5="Sí",(1/DATOS_[[% anualiz]:[% anualiz]]),1)*IF(DATOS!BF$4="Sí",1/DATOS_[[% normaliz]:[% normaliz]],1)*(DATOS_[Conc.Sal.28])))))))),
0)</f>
        <v>0</v>
      </c>
      <c r="AL83" s="196">
        <f t="array" ref="AL83">IFERROR(
(MEDIAN((IF(DATOS_[[Sexo]:[Sexo]]=$B83,IF(DATOS_[[AGRUP. CLAS. PROF.]:[AGRUP. CLAS. PROF.]]=$B81,IF(DATOS_[[Check Periodo Ref.]:[Check Periodo Ref.]]="Dentro",IF(DATOS_[[Check Equiparado]:[Check Equiparado]]="Sí",IF(DATOS!BG$5="Sí",(1/DATOS_[[% anualiz]:[% anualiz]]),1)*IF(DATOS!BG$4="Sí",1/DATOS_[[% normaliz]:[% normaliz]],1)*(DATOS_[Conc.Sal.29])))))))),
0)</f>
        <v>0</v>
      </c>
      <c r="AM83" s="196">
        <f t="array" ref="AM83">IFERROR(
(MEDIAN((IF(DATOS_[[Sexo]:[Sexo]]=$B83,IF(DATOS_[[AGRUP. CLAS. PROF.]:[AGRUP. CLAS. PROF.]]=$B81,IF(DATOS_[[Check Periodo Ref.]:[Check Periodo Ref.]]="Dentro",IF(DATOS_[[Check Equiparado]:[Check Equiparado]]="Sí",IF(DATOS!BH$5="Sí",(1/DATOS_[[% anualiz]:[% anualiz]]),1)*IF(DATOS!BH$4="Sí",1/DATOS_[[% normaliz]:[% normaliz]],1)*(DATOS_[Conc.Sal.30])))))))),
0)</f>
        <v>0</v>
      </c>
      <c r="AN83" s="195">
        <f t="array" ref="AN83">IFERROR(
MEDIAN(IF(DATOS_[Sexo]=$B83,IF(DATOS_[[AGRUP. CLAS. PROF.]:[AGRUP. CLAS. PROF.]]=$B81,IF(DATOS_[Check Equiparado]="Sí",IF(DATOS_[Check Periodo Ref.]="Dentro",DATOS_[Tot COMPL.SAL Eq],FALSE))))),
0)</f>
        <v>0</v>
      </c>
      <c r="AO83" s="172">
        <f t="array" ref="AO83">IFERROR(
MEDIAN(IF(DATOS_[Sexo]=$B83,IF(DATOS_[[AGRUP. CLAS. PROF.]:[AGRUP. CLAS. PROF.]]=$B81,IF(DATOS_[Check Equiparado]="Sí",IF(DATOS_[Check Periodo Ref.]="Dentro",DATOS_[TOTAL SALARIO Eq],FALSE))))),
0)</f>
        <v>0</v>
      </c>
      <c r="AP83" s="173">
        <f t="array" ref="AP83">IFERROR(
(MEDIAN((IF(DATOS_[[Sexo]:[Sexo]]=$B83,IF(DATOS_[[AGRUP. CLAS. PROF.]:[AGRUP. CLAS. PROF.]]=$B81,IF(DATOS_[[Check Periodo Ref.]:[Check Periodo Ref.]]="Dentro",IF(DATOS_[[Check Equiparado]:[Check Equiparado]]="Sí",IF(DATOS!BW$5="Sí",(1/DATOS_[[% anualiz]:[% anualiz]]),1)*IF(DATOS!BW$4="Sí",1/DATOS_[[% normaliz]:[% normaliz]],1)*(DATOS_[C.Extra.01])))))))),
0)</f>
        <v>0</v>
      </c>
      <c r="AQ83" s="173">
        <f t="array" ref="AQ83">IFERROR(
(MEDIAN((IF(DATOS_[[Sexo]:[Sexo]]=$B83,IF(DATOS_[[AGRUP. CLAS. PROF.]:[AGRUP. CLAS. PROF.]]=$B81,IF(DATOS_[[Check Periodo Ref.]:[Check Periodo Ref.]]="Dentro",IF(DATOS_[[Check Equiparado]:[Check Equiparado]]="Sí",IF(DATOS!CB$5="Sí",(1/DATOS_[[% anualiz]:[% anualiz]]),1)*IF(DATOS!CB$4="Sí",1/DATOS_[[% normaliz]:[% normaliz]],1)*(DATOS_[C.Extra.06])))))))),
0)</f>
        <v>0</v>
      </c>
      <c r="AR83" s="173">
        <f t="array" ref="AR83">IFERROR(
(MEDIAN((IF(DATOS_[[Sexo]:[Sexo]]=$B83,IF(DATOS_[[AGRUP. CLAS. PROF.]:[AGRUP. CLAS. PROF.]]=$B81,IF(DATOS_[[Check Periodo Ref.]:[Check Periodo Ref.]]="Dentro",IF(DATOS_[[Check Equiparado]:[Check Equiparado]]="Sí",IF(DATOS!CC$5="Sí",(1/DATOS_[[% anualiz]:[% anualiz]]),1)*IF(DATOS!CC$4="Sí",1/DATOS_[[% normaliz]:[% normaliz]],1)*(DATOS_[C.Extra.07])))))))),
0)</f>
        <v>0</v>
      </c>
      <c r="AS83" s="173">
        <f t="array" ref="AS83">IFERROR(
(MEDIAN((IF(DATOS_[[Sexo]:[Sexo]]=$B83,IF(DATOS_[[AGRUP. CLAS. PROF.]:[AGRUP. CLAS. PROF.]]=$B81,IF(DATOS_[[Check Periodo Ref.]:[Check Periodo Ref.]]="Dentro",IF(DATOS_[[Check Equiparado]:[Check Equiparado]]="Sí",IF(DATOS!CD$5="Sí",(1/DATOS_[[% anualiz]:[% anualiz]]),1)*IF(DATOS!CD$4="Sí",1/DATOS_[[% normaliz]:[% normaliz]],1)*(DATOS_[C.Extra.08])))))))),
0)</f>
        <v>0</v>
      </c>
      <c r="AT83" s="173">
        <f t="array" ref="AT83">IFERROR(
(MEDIAN((IF(DATOS_[[Sexo]:[Sexo]]=$B83,IF(DATOS_[[AGRUP. CLAS. PROF.]:[AGRUP. CLAS. PROF.]]=$B81,IF(DATOS_[[Check Periodo Ref.]:[Check Periodo Ref.]]="Dentro",IF(DATOS_[[Check Equiparado]:[Check Equiparado]]="Sí",IF(DATOS!CG$5="Sí",(1/DATOS_[[% anualiz]:[% anualiz]]),1)*IF(DATOS!CG$4="Sí",1/DATOS_[[% normaliz]:[% normaliz]],1)*(DATOS_[C.Extra.11])))))))),
0)</f>
        <v>0</v>
      </c>
      <c r="AU83" s="197">
        <f t="array" ref="AU83">IFERROR(
MEDIAN(IF(DATOS_[Sexo]=$B83,IF(DATOS_[[AGRUP. CLAS. PROF.]:[AGRUP. CLAS. PROF.]]=$B81,IF(DATOS_[Check Equiparado]="Sí",IF(DATOS_[Check Periodo Ref.]="Dentro",DATOS_[Tot Extrasalarial Eq],FALSE))))),
0)</f>
        <v>0</v>
      </c>
      <c r="AV83" s="175">
        <f t="array" ref="AV83">IFERROR(
MEDIAN(IF(DATOS_[Sexo]=$B83,IF(DATOS_[[AGRUP. CLAS. PROF.]:[AGRUP. CLAS. PROF.]]=$B81,IF(DATOS_[Check Equiparado]="Sí",IF(DATOS_[Check Periodo Ref.]="Dentro",DATOS_[TOTAL Retrib Eq],FALSE))))),
0)</f>
        <v>0</v>
      </c>
    </row>
    <row r="84" spans="1:48" ht="15.6" hidden="1" thickBot="1" x14ac:dyDescent="0.3">
      <c r="A84" s="133" t="str">
        <f t="shared" ref="A84" si="95">+A85</f>
        <v>[ocultar]</v>
      </c>
      <c r="B84" s="199" t="s">
        <v>271</v>
      </c>
      <c r="C84" s="200"/>
      <c r="D84" s="201"/>
      <c r="E84" s="201"/>
      <c r="F84" s="201"/>
      <c r="G84" s="201"/>
      <c r="H84" s="201"/>
      <c r="I84" s="189" t="str">
        <f t="shared" ref="I84:AV84" si="96">IFERROR((I85-I86)/I85,"")</f>
        <v/>
      </c>
      <c r="J84" s="190" t="str">
        <f t="shared" si="96"/>
        <v/>
      </c>
      <c r="K84" s="191" t="str">
        <f t="shared" si="96"/>
        <v/>
      </c>
      <c r="L84" s="191" t="str">
        <f t="shared" si="96"/>
        <v/>
      </c>
      <c r="M84" s="191" t="str">
        <f t="shared" si="96"/>
        <v/>
      </c>
      <c r="N84" s="192" t="str">
        <f t="shared" si="96"/>
        <v/>
      </c>
      <c r="O84" s="193" t="str">
        <f t="shared" si="96"/>
        <v/>
      </c>
      <c r="P84" s="193" t="str">
        <f t="shared" si="96"/>
        <v/>
      </c>
      <c r="Q84" s="193" t="str">
        <f t="shared" si="96"/>
        <v/>
      </c>
      <c r="R84" s="193" t="str">
        <f t="shared" si="96"/>
        <v/>
      </c>
      <c r="S84" s="193" t="str">
        <f t="shared" si="96"/>
        <v/>
      </c>
      <c r="T84" s="193" t="str">
        <f t="shared" si="96"/>
        <v/>
      </c>
      <c r="U84" s="193" t="str">
        <f t="shared" si="96"/>
        <v/>
      </c>
      <c r="V84" s="193" t="str">
        <f t="shared" si="96"/>
        <v/>
      </c>
      <c r="W84" s="193" t="str">
        <f t="shared" si="96"/>
        <v/>
      </c>
      <c r="X84" s="193" t="str">
        <f t="shared" si="96"/>
        <v/>
      </c>
      <c r="Y84" s="193" t="str">
        <f t="shared" si="96"/>
        <v/>
      </c>
      <c r="Z84" s="193" t="str">
        <f t="shared" si="96"/>
        <v/>
      </c>
      <c r="AA84" s="193" t="str">
        <f t="shared" si="96"/>
        <v/>
      </c>
      <c r="AB84" s="193" t="str">
        <f t="shared" si="96"/>
        <v/>
      </c>
      <c r="AC84" s="193" t="str">
        <f t="shared" si="96"/>
        <v/>
      </c>
      <c r="AD84" s="193" t="str">
        <f t="shared" si="96"/>
        <v/>
      </c>
      <c r="AE84" s="193" t="str">
        <f t="shared" si="96"/>
        <v/>
      </c>
      <c r="AF84" s="193" t="str">
        <f t="shared" si="96"/>
        <v/>
      </c>
      <c r="AG84" s="193" t="str">
        <f t="shared" si="96"/>
        <v/>
      </c>
      <c r="AH84" s="193" t="str">
        <f t="shared" si="96"/>
        <v/>
      </c>
      <c r="AI84" s="193" t="str">
        <f t="shared" si="96"/>
        <v/>
      </c>
      <c r="AJ84" s="193" t="str">
        <f t="shared" si="96"/>
        <v/>
      </c>
      <c r="AK84" s="193" t="str">
        <f t="shared" si="96"/>
        <v/>
      </c>
      <c r="AL84" s="193" t="str">
        <f t="shared" si="96"/>
        <v/>
      </c>
      <c r="AM84" s="193" t="str">
        <f t="shared" si="96"/>
        <v/>
      </c>
      <c r="AN84" s="189" t="str">
        <f t="shared" si="96"/>
        <v/>
      </c>
      <c r="AO84" s="162" t="str">
        <f t="shared" si="96"/>
        <v/>
      </c>
      <c r="AP84" s="163" t="str">
        <f t="shared" si="96"/>
        <v/>
      </c>
      <c r="AQ84" s="163" t="str">
        <f t="shared" si="96"/>
        <v/>
      </c>
      <c r="AR84" s="163" t="str">
        <f t="shared" si="96"/>
        <v/>
      </c>
      <c r="AS84" s="163" t="str">
        <f t="shared" si="96"/>
        <v/>
      </c>
      <c r="AT84" s="163" t="str">
        <f t="shared" si="96"/>
        <v/>
      </c>
      <c r="AU84" s="194" t="str">
        <f t="shared" si="96"/>
        <v/>
      </c>
      <c r="AV84" s="165" t="str">
        <f t="shared" si="96"/>
        <v/>
      </c>
    </row>
    <row r="85" spans="1:48" hidden="1" x14ac:dyDescent="0.25">
      <c r="A85" s="133" t="str">
        <f t="shared" ref="A85" si="97">+IF(C85+C86=0,"[ocultar]","")</f>
        <v>[ocultar]</v>
      </c>
      <c r="B85" s="202" t="s">
        <v>394</v>
      </c>
      <c r="C85" s="203">
        <f t="array" ref="C85">SUM(IF($B85=DATOS_[Sexo],
IF($B84=DATOS_[AGRUP. CLAS. PROF.],
IF("Dentro"=DATOS_[Check Periodo Ref.],
1/(COUNTIFS(DATOS_[Sexo],$B85,DATOS_[AGRUP. CLAS. PROF.],$B84,DATOS_[Check Periodo Ref.],"Dentro",DATOS_[id/cod],DATOS_[id/cod]))))))</f>
        <v>0</v>
      </c>
      <c r="D85" s="204">
        <f>COUNTIFS(DATOS_[AGRUP. CLAS. PROF.],$B84,DATOS_[Sexo],$B85,DATOS_[Check Periodo Ref.],"Dentro")</f>
        <v>0</v>
      </c>
      <c r="E85" s="204">
        <f>COUNTIFS(DATOS_[AGRUP. CLAS. PROF.],$B84,DATOS_[Sexo],$B85,DATOS_[Check Periodo Ref.],"Dentro",DATOS_[Check Nº SC Norm],"Sí")</f>
        <v>0</v>
      </c>
      <c r="F85" s="204">
        <f>COUNTIFS(DATOS_[AGRUP. CLAS. PROF.],$B84,DATOS_[Sexo],$B85,DATOS_[Check Periodo Ref.],"Dentro",DATOS_[Check Nº SC Anualiz],"Sí")</f>
        <v>0</v>
      </c>
      <c r="G85" s="204">
        <f>COUNTIFS(DATOS_[AGRUP. CLAS. PROF.],$B84,DATOS_[Sexo],$B85,DATOS_[Check Periodo Ref.],"Dentro",DATOS_[Check Nº SC Norm y Anualiz],"Sí")</f>
        <v>0</v>
      </c>
      <c r="H85" s="204">
        <f>COUNTIFS(DATOS_[AGRUP. CLAS. PROF.],$B84,DATOS_[Sexo],$B85,DATOS_[Check Periodo Ref.],"Dentro",DATOS_[Check Equiparación],"Sí")</f>
        <v>0</v>
      </c>
      <c r="I85" s="195">
        <f t="array" ref="I85">IFERROR(
MEDIAN(IF(DATOS_[Sexo]=$B85,IF(DATOS_[[AGRUP. CLAS. PROF.]:[AGRUP. CLAS. PROF.]]=$B84,IF(DATOS_[Check Equiparado]="Sí",IF(DATOS_[Check Periodo Ref.]="Dentro",DATOS_[SALARIO BASE Eq],FALSE))))),
0)</f>
        <v>0</v>
      </c>
      <c r="J85" s="196">
        <f t="array" ref="J85">IFERROR(
(MEDIAN((IF(DATOS_[[Sexo]:[Sexo]]=$B85,IF(DATOS_[[AGRUP. CLAS. PROF.]:[AGRUP. CLAS. PROF.]]=$B84,IF(DATOS_[[Check Periodo Ref.]:[Check Periodo Ref.]]="Dentro",IF(DATOS_[[Check Equiparado]:[Check Equiparado]]="Sí",IF(DATOS!AE$5="Sí",(1/DATOS_[[% anualiz]:[% anualiz]]),1)*IF(DATOS!AE$4="Sí",1/DATOS_[[% normaliz]:[% normaliz]],1)*(DATOS_[Conc.Sal.01])))))))),
0)</f>
        <v>0</v>
      </c>
      <c r="K85" s="196">
        <f t="array" ref="K85">IFERROR(
(MEDIAN((IF(DATOS_[[Sexo]:[Sexo]]=$B85,IF(DATOS_[[AGRUP. CLAS. PROF.]:[AGRUP. CLAS. PROF.]]=$B84,IF(DATOS_[[Check Periodo Ref.]:[Check Periodo Ref.]]="Dentro",IF(DATOS_[[Check Equiparado]:[Check Equiparado]]="Sí",IF(DATOS!AF$5="Sí",(1/DATOS_[[% anualiz]:[% anualiz]]),1)*IF(DATOS!AF$4="Sí",1/DATOS_[[% normaliz]:[% normaliz]],1)*(DATOS_[Conc.Sal.02])))))))),
0)</f>
        <v>0</v>
      </c>
      <c r="L85" s="196">
        <f t="array" ref="L85">IFERROR(
(MEDIAN((IF(DATOS_[[Sexo]:[Sexo]]=$B85,IF(DATOS_[[AGRUP. CLAS. PROF.]:[AGRUP. CLAS. PROF.]]=$B84,IF(DATOS_[[Check Periodo Ref.]:[Check Periodo Ref.]]="Dentro",IF(DATOS_[[Check Equiparado]:[Check Equiparado]]="Sí",IF(DATOS!AG$5="Sí",(1/DATOS_[[% anualiz]:[% anualiz]]),1)*IF(DATOS!AG$4="Sí",1/DATOS_[[% normaliz]:[% normaliz]],1)*(DATOS_[Conc.Sal.03])))))))),
0)</f>
        <v>0</v>
      </c>
      <c r="M85" s="196">
        <f t="array" ref="M85">IFERROR(
(MEDIAN((IF(DATOS_[[Sexo]:[Sexo]]=$B85,IF(DATOS_[[AGRUP. CLAS. PROF.]:[AGRUP. CLAS. PROF.]]=$B84,IF(DATOS_[[Check Periodo Ref.]:[Check Periodo Ref.]]="Dentro",IF(DATOS_[[Check Equiparado]:[Check Equiparado]]="Sí",IF(DATOS!AH$5="Sí",(1/DATOS_[[% anualiz]:[% anualiz]]),1)*IF(DATOS!AH$4="Sí",1/DATOS_[[% normaliz]:[% normaliz]],1)*(DATOS_[Conc.Sal.04])))))))),
0)</f>
        <v>0</v>
      </c>
      <c r="N85" s="196">
        <f t="array" ref="N85">IFERROR(
(MEDIAN((IF(DATOS_[[Sexo]:[Sexo]]=$B85,IF(DATOS_[[AGRUP. CLAS. PROF.]:[AGRUP. CLAS. PROF.]]=$B84,IF(DATOS_[[Check Periodo Ref.]:[Check Periodo Ref.]]="Dentro",IF(DATOS_[[Check Equiparado]:[Check Equiparado]]="Sí",IF(DATOS!AI$5="Sí",(1/DATOS_[[% anualiz]:[% anualiz]]),1)*IF(DATOS!AI$4="Sí",1/DATOS_[[% normaliz]:[% normaliz]],1)*(DATOS_[Conc.Sal.05])))))))),
0)</f>
        <v>0</v>
      </c>
      <c r="O85" s="196">
        <f t="array" ref="O85">IFERROR(
(MEDIAN((IF(DATOS_[[Sexo]:[Sexo]]=$B85,IF(DATOS_[[AGRUP. CLAS. PROF.]:[AGRUP. CLAS. PROF.]]=$B84,IF(DATOS_[[Check Periodo Ref.]:[Check Periodo Ref.]]="Dentro",IF(DATOS_[[Check Equiparado]:[Check Equiparado]]="Sí",IF(DATOS!AJ$5="Sí",(1/DATOS_[[% anualiz]:[% anualiz]]),1)*IF(DATOS!AJ$4="Sí",1/DATOS_[[% normaliz]:[% normaliz]],1)*(DATOS_[Conc.Sal.06])))))))),
0)</f>
        <v>0</v>
      </c>
      <c r="P85" s="196">
        <f t="array" ref="P85">IFERROR(
(MEDIAN((IF(DATOS_[[Sexo]:[Sexo]]=$B85,IF(DATOS_[[AGRUP. CLAS. PROF.]:[AGRUP. CLAS. PROF.]]=$B84,IF(DATOS_[[Check Periodo Ref.]:[Check Periodo Ref.]]="Dentro",IF(DATOS_[[Check Equiparado]:[Check Equiparado]]="Sí",IF(DATOS!AK$5="Sí",(1/DATOS_[[% anualiz]:[% anualiz]]),1)*IF(DATOS!AK$4="Sí",1/DATOS_[[% normaliz]:[% normaliz]],1)*(DATOS_[Conc.Sal.07])))))))),
0)</f>
        <v>0</v>
      </c>
      <c r="Q85" s="196">
        <f t="array" ref="Q85">IFERROR(
(MEDIAN((IF(DATOS_[[Sexo]:[Sexo]]=$B85,IF(DATOS_[[AGRUP. CLAS. PROF.]:[AGRUP. CLAS. PROF.]]=$B84,IF(DATOS_[[Check Periodo Ref.]:[Check Periodo Ref.]]="Dentro",IF(DATOS_[[Check Equiparado]:[Check Equiparado]]="Sí",IF(DATOS!AL$5="Sí",(1/DATOS_[[% anualiz]:[% anualiz]]),1)*IF(DATOS!AL$4="Sí",1/DATOS_[[% normaliz]:[% normaliz]],1)*(DATOS_[Conc.Sal.08])))))))),
0)</f>
        <v>0</v>
      </c>
      <c r="R85" s="196">
        <f t="array" ref="R85">IFERROR(
(MEDIAN((IF(DATOS_[[Sexo]:[Sexo]]=$B85,IF(DATOS_[[AGRUP. CLAS. PROF.]:[AGRUP. CLAS. PROF.]]=$B84,IF(DATOS_[[Check Periodo Ref.]:[Check Periodo Ref.]]="Dentro",IF(DATOS_[[Check Equiparado]:[Check Equiparado]]="Sí",IF(DATOS!AM$5="Sí",(1/DATOS_[[% anualiz]:[% anualiz]]),1)*IF(DATOS!AM$4="Sí",1/DATOS_[[% normaliz]:[% normaliz]],1)*(DATOS_[Conc.Sal.09])))))))),
0)</f>
        <v>0</v>
      </c>
      <c r="S85" s="196">
        <f t="array" ref="S85">IFERROR(
(MEDIAN((IF(DATOS_[[Sexo]:[Sexo]]=$B85,IF(DATOS_[[AGRUP. CLAS. PROF.]:[AGRUP. CLAS. PROF.]]=$B84,IF(DATOS_[[Check Periodo Ref.]:[Check Periodo Ref.]]="Dentro",IF(DATOS_[[Check Equiparado]:[Check Equiparado]]="Sí",IF(DATOS!AN$5="Sí",(1/DATOS_[[% anualiz]:[% anualiz]]),1)*IF(DATOS!AN$4="Sí",1/DATOS_[[% normaliz]:[% normaliz]],1)*(DATOS_[Conc.Sal.10])))))))),
0)</f>
        <v>0</v>
      </c>
      <c r="T85" s="196">
        <f t="array" ref="T85">IFERROR(
(MEDIAN((IF(DATOS_[[Sexo]:[Sexo]]=$B85,IF(DATOS_[[AGRUP. CLAS. PROF.]:[AGRUP. CLAS. PROF.]]=$B84,IF(DATOS_[[Check Periodo Ref.]:[Check Periodo Ref.]]="Dentro",IF(DATOS_[[Check Equiparado]:[Check Equiparado]]="Sí",IF(DATOS!AO$5="Sí",(1/DATOS_[[% anualiz]:[% anualiz]]),1)*IF(DATOS!AO$4="Sí",1/DATOS_[[% normaliz]:[% normaliz]],1)*(DATOS_[Conc.Sal.11])))))))),
0)</f>
        <v>0</v>
      </c>
      <c r="U85" s="196">
        <f t="array" ref="U85">IFERROR(
(MEDIAN((IF(DATOS_[[Sexo]:[Sexo]]=$B85,IF(DATOS_[[AGRUP. CLAS. PROF.]:[AGRUP. CLAS. PROF.]]=$B84,IF(DATOS_[[Check Periodo Ref.]:[Check Periodo Ref.]]="Dentro",IF(DATOS_[[Check Equiparado]:[Check Equiparado]]="Sí",IF(DATOS!AP$5="Sí",(1/DATOS_[[% anualiz]:[% anualiz]]),1)*IF(DATOS!AP$4="Sí",1/DATOS_[[% normaliz]:[% normaliz]],1)*(DATOS_[Conc.Sal.12])))))))),
0)</f>
        <v>0</v>
      </c>
      <c r="V85" s="196">
        <f t="array" ref="V85">IFERROR(
(MEDIAN((IF(DATOS_[[Sexo]:[Sexo]]=$B85,IF(DATOS_[[AGRUP. CLAS. PROF.]:[AGRUP. CLAS. PROF.]]=$B84,IF(DATOS_[[Check Periodo Ref.]:[Check Periodo Ref.]]="Dentro",IF(DATOS_[[Check Equiparado]:[Check Equiparado]]="Sí",IF(DATOS!AQ$5="Sí",(1/DATOS_[[% anualiz]:[% anualiz]]),1)*IF(DATOS!AQ$4="Sí",1/DATOS_[[% normaliz]:[% normaliz]],1)*(DATOS_[Conc.Sal.13])))))))),
0)</f>
        <v>0</v>
      </c>
      <c r="W85" s="196">
        <f t="array" ref="W85">IFERROR(
(MEDIAN((IF(DATOS_[[Sexo]:[Sexo]]=$B85,IF(DATOS_[[AGRUP. CLAS. PROF.]:[AGRUP. CLAS. PROF.]]=$B84,IF(DATOS_[[Check Periodo Ref.]:[Check Periodo Ref.]]="Dentro",IF(DATOS_[[Check Equiparado]:[Check Equiparado]]="Sí",IF(DATOS!AR$5="Sí",(1/DATOS_[[% anualiz]:[% anualiz]]),1)*IF(DATOS!AR$4="Sí",1/DATOS_[[% normaliz]:[% normaliz]],1)*(DATOS_[Conc.Sal.14])))))))),
0)</f>
        <v>0</v>
      </c>
      <c r="X85" s="196">
        <f t="array" ref="X85">IFERROR(
(MEDIAN((IF(DATOS_[[Sexo]:[Sexo]]=$B85,IF(DATOS_[[AGRUP. CLAS. PROF.]:[AGRUP. CLAS. PROF.]]=$B84,IF(DATOS_[[Check Periodo Ref.]:[Check Periodo Ref.]]="Dentro",IF(DATOS_[[Check Equiparado]:[Check Equiparado]]="Sí",IF(DATOS!AS$5="Sí",(1/DATOS_[[% anualiz]:[% anualiz]]),1)*IF(DATOS!AS$4="Sí",1/DATOS_[[% normaliz]:[% normaliz]],1)*(DATOS_[Conc.Sal.15])))))))),
0)</f>
        <v>0</v>
      </c>
      <c r="Y85" s="196">
        <f t="array" ref="Y85">IFERROR(
(MEDIAN((IF(DATOS_[[Sexo]:[Sexo]]=$B85,IF(DATOS_[[AGRUP. CLAS. PROF.]:[AGRUP. CLAS. PROF.]]=$B84,IF(DATOS_[[Check Periodo Ref.]:[Check Periodo Ref.]]="Dentro",IF(DATOS_[[Check Equiparado]:[Check Equiparado]]="Sí",IF(DATOS!AT$5="Sí",(1/DATOS_[[% anualiz]:[% anualiz]]),1)*IF(DATOS!AT$4="Sí",1/DATOS_[[% normaliz]:[% normaliz]],1)*(DATOS_[Conc.Sal.16])))))))),
0)</f>
        <v>0</v>
      </c>
      <c r="Z85" s="196">
        <f t="array" ref="Z85">IFERROR(
(MEDIAN((IF(DATOS_[[Sexo]:[Sexo]]=$B85,IF(DATOS_[[AGRUP. CLAS. PROF.]:[AGRUP. CLAS. PROF.]]=$B84,IF(DATOS_[[Check Periodo Ref.]:[Check Periodo Ref.]]="Dentro",IF(DATOS_[[Check Equiparado]:[Check Equiparado]]="Sí",IF(DATOS!AU$5="Sí",(1/DATOS_[[% anualiz]:[% anualiz]]),1)*IF(DATOS!AU$4="Sí",1/DATOS_[[% normaliz]:[% normaliz]],1)*(DATOS_[Conc.Sal.17])))))))),
0)</f>
        <v>0</v>
      </c>
      <c r="AA85" s="196">
        <f t="array" ref="AA85">IFERROR(
(MEDIAN((IF(DATOS_[[Sexo]:[Sexo]]=$B85,IF(DATOS_[[AGRUP. CLAS. PROF.]:[AGRUP. CLAS. PROF.]]=$B84,IF(DATOS_[[Check Periodo Ref.]:[Check Periodo Ref.]]="Dentro",IF(DATOS_[[Check Equiparado]:[Check Equiparado]]="Sí",IF(DATOS!AV$5="Sí",(1/DATOS_[[% anualiz]:[% anualiz]]),1)*IF(DATOS!AV$4="Sí",1/DATOS_[[% normaliz]:[% normaliz]],1)*(DATOS_[Conc.Sal.18])))))))),
0)</f>
        <v>0</v>
      </c>
      <c r="AB85" s="196">
        <f t="array" ref="AB85">IFERROR(
(MEDIAN((IF(DATOS_[[Sexo]:[Sexo]]=$B85,IF(DATOS_[[AGRUP. CLAS. PROF.]:[AGRUP. CLAS. PROF.]]=$B84,IF(DATOS_[[Check Periodo Ref.]:[Check Periodo Ref.]]="Dentro",IF(DATOS_[[Check Equiparado]:[Check Equiparado]]="Sí",IF(DATOS!AW$5="Sí",(1/DATOS_[[% anualiz]:[% anualiz]]),1)*IF(DATOS!AW$4="Sí",1/DATOS_[[% normaliz]:[% normaliz]],1)*(DATOS_[Conc.Sal.19])))))))),
0)</f>
        <v>0</v>
      </c>
      <c r="AC85" s="196">
        <f t="array" ref="AC85">IFERROR(
(MEDIAN((IF(DATOS_[[Sexo]:[Sexo]]=$B85,IF(DATOS_[[AGRUP. CLAS. PROF.]:[AGRUP. CLAS. PROF.]]=$B84,IF(DATOS_[[Check Periodo Ref.]:[Check Periodo Ref.]]="Dentro",IF(DATOS_[[Check Equiparado]:[Check Equiparado]]="Sí",IF(DATOS!AX$5="Sí",(1/DATOS_[[% anualiz]:[% anualiz]]),1)*IF(DATOS!AX$4="Sí",1/DATOS_[[% normaliz]:[% normaliz]],1)*(DATOS_[Conc.Sal.20])))))))),
0)</f>
        <v>0</v>
      </c>
      <c r="AD85" s="196">
        <f t="array" ref="AD85">IFERROR(
(MEDIAN((IF(DATOS_[[Sexo]:[Sexo]]=$B85,IF(DATOS_[[AGRUP. CLAS. PROF.]:[AGRUP. CLAS. PROF.]]=$B84,IF(DATOS_[[Check Periodo Ref.]:[Check Periodo Ref.]]="Dentro",IF(DATOS_[[Check Equiparado]:[Check Equiparado]]="Sí",IF(DATOS!AY$5="Sí",(1/DATOS_[[% anualiz]:[% anualiz]]),1)*IF(DATOS!AY$4="Sí",1/DATOS_[[% normaliz]:[% normaliz]],1)*(DATOS_[Conc.Sal.21])))))))),
0)</f>
        <v>0</v>
      </c>
      <c r="AE85" s="196">
        <f t="array" ref="AE85">IFERROR(
(MEDIAN((IF(DATOS_[[Sexo]:[Sexo]]=$B85,IF(DATOS_[[AGRUP. CLAS. PROF.]:[AGRUP. CLAS. PROF.]]=$B84,IF(DATOS_[[Check Periodo Ref.]:[Check Periodo Ref.]]="Dentro",IF(DATOS_[[Check Equiparado]:[Check Equiparado]]="Sí",IF(DATOS!AZ$5="Sí",(1/DATOS_[[% anualiz]:[% anualiz]]),1)*IF(DATOS!AZ$4="Sí",1/DATOS_[[% normaliz]:[% normaliz]],1)*(DATOS_[Conc.Sal.22])))))))),
0)</f>
        <v>0</v>
      </c>
      <c r="AF85" s="196">
        <f t="array" ref="AF85">IFERROR(
(MEDIAN((IF(DATOS_[[Sexo]:[Sexo]]=$B85,IF(DATOS_[[AGRUP. CLAS. PROF.]:[AGRUP. CLAS. PROF.]]=$B84,IF(DATOS_[[Check Periodo Ref.]:[Check Periodo Ref.]]="Dentro",IF(DATOS_[[Check Equiparado]:[Check Equiparado]]="Sí",IF(DATOS!BA$5="Sí",(1/DATOS_[[% anualiz]:[% anualiz]]),1)*IF(DATOS!BA$4="Sí",1/DATOS_[[% normaliz]:[% normaliz]],1)*(DATOS_[Conc.Sal.23])))))))),
0)</f>
        <v>0</v>
      </c>
      <c r="AG85" s="196">
        <f t="array" ref="AG85">IFERROR(
(MEDIAN((IF(DATOS_[[Sexo]:[Sexo]]=$B85,IF(DATOS_[[AGRUP. CLAS. PROF.]:[AGRUP. CLAS. PROF.]]=$B84,IF(DATOS_[[Check Periodo Ref.]:[Check Periodo Ref.]]="Dentro",IF(DATOS_[[Check Equiparado]:[Check Equiparado]]="Sí",IF(DATOS!BB$5="Sí",(1/DATOS_[[% anualiz]:[% anualiz]]),1)*IF(DATOS!BB$4="Sí",1/DATOS_[[% normaliz]:[% normaliz]],1)*(DATOS_[Conc.Sal.24])))))))),
0)</f>
        <v>0</v>
      </c>
      <c r="AH85" s="196">
        <f t="array" ref="AH85">IFERROR(
(MEDIAN((IF(DATOS_[[Sexo]:[Sexo]]=$B85,IF(DATOS_[[AGRUP. CLAS. PROF.]:[AGRUP. CLAS. PROF.]]=$B84,IF(DATOS_[[Check Periodo Ref.]:[Check Periodo Ref.]]="Dentro",IF(DATOS_[[Check Equiparado]:[Check Equiparado]]="Sí",IF(DATOS!BC$5="Sí",(1/DATOS_[[% anualiz]:[% anualiz]]),1)*IF(DATOS!BC$4="Sí",1/DATOS_[[% normaliz]:[% normaliz]],1)*(DATOS_[Conc.Sal.25])))))))),
0)</f>
        <v>0</v>
      </c>
      <c r="AI85" s="196">
        <f t="array" ref="AI85">IFERROR(
(MEDIAN((IF(DATOS_[[Sexo]:[Sexo]]=$B85,IF(DATOS_[[AGRUP. CLAS. PROF.]:[AGRUP. CLAS. PROF.]]=$B84,IF(DATOS_[[Check Periodo Ref.]:[Check Periodo Ref.]]="Dentro",IF(DATOS_[[Check Equiparado]:[Check Equiparado]]="Sí",IF(DATOS!BD$5="Sí",(1/DATOS_[[% anualiz]:[% anualiz]]),1)*IF(DATOS!BD$4="Sí",1/DATOS_[[% normaliz]:[% normaliz]],1)*(DATOS_[Conc.Sal.26])))))))),
0)</f>
        <v>0</v>
      </c>
      <c r="AJ85" s="196">
        <f t="array" ref="AJ85">IFERROR(
(MEDIAN((IF(DATOS_[[Sexo]:[Sexo]]=$B85,IF(DATOS_[[AGRUP. CLAS. PROF.]:[AGRUP. CLAS. PROF.]]=$B84,IF(DATOS_[[Check Periodo Ref.]:[Check Periodo Ref.]]="Dentro",IF(DATOS_[[Check Equiparado]:[Check Equiparado]]="Sí",IF(DATOS!BE$5="Sí",(1/DATOS_[[% anualiz]:[% anualiz]]),1)*IF(DATOS!BE$4="Sí",1/DATOS_[[% normaliz]:[% normaliz]],1)*(DATOS_[Conc.Sal.27])))))))),
0)</f>
        <v>0</v>
      </c>
      <c r="AK85" s="196">
        <f t="array" ref="AK85">IFERROR(
(MEDIAN((IF(DATOS_[[Sexo]:[Sexo]]=$B85,IF(DATOS_[[AGRUP. CLAS. PROF.]:[AGRUP. CLAS. PROF.]]=$B84,IF(DATOS_[[Check Periodo Ref.]:[Check Periodo Ref.]]="Dentro",IF(DATOS_[[Check Equiparado]:[Check Equiparado]]="Sí",IF(DATOS!BF$5="Sí",(1/DATOS_[[% anualiz]:[% anualiz]]),1)*IF(DATOS!BF$4="Sí",1/DATOS_[[% normaliz]:[% normaliz]],1)*(DATOS_[Conc.Sal.28])))))))),
0)</f>
        <v>0</v>
      </c>
      <c r="AL85" s="196">
        <f t="array" ref="AL85">IFERROR(
(MEDIAN((IF(DATOS_[[Sexo]:[Sexo]]=$B85,IF(DATOS_[[AGRUP. CLAS. PROF.]:[AGRUP. CLAS. PROF.]]=$B84,IF(DATOS_[[Check Periodo Ref.]:[Check Periodo Ref.]]="Dentro",IF(DATOS_[[Check Equiparado]:[Check Equiparado]]="Sí",IF(DATOS!BG$5="Sí",(1/DATOS_[[% anualiz]:[% anualiz]]),1)*IF(DATOS!BG$4="Sí",1/DATOS_[[% normaliz]:[% normaliz]],1)*(DATOS_[Conc.Sal.29])))))))),
0)</f>
        <v>0</v>
      </c>
      <c r="AM85" s="196">
        <f t="array" ref="AM85">IFERROR(
(MEDIAN((IF(DATOS_[[Sexo]:[Sexo]]=$B85,IF(DATOS_[[AGRUP. CLAS. PROF.]:[AGRUP. CLAS. PROF.]]=$B84,IF(DATOS_[[Check Periodo Ref.]:[Check Periodo Ref.]]="Dentro",IF(DATOS_[[Check Equiparado]:[Check Equiparado]]="Sí",IF(DATOS!BH$5="Sí",(1/DATOS_[[% anualiz]:[% anualiz]]),1)*IF(DATOS!BH$4="Sí",1/DATOS_[[% normaliz]:[% normaliz]],1)*(DATOS_[Conc.Sal.30])))))))),
0)</f>
        <v>0</v>
      </c>
      <c r="AN85" s="195">
        <f t="array" ref="AN85">IFERROR(
MEDIAN(IF(DATOS_[Sexo]=$B85,IF(DATOS_[[AGRUP. CLAS. PROF.]:[AGRUP. CLAS. PROF.]]=$B84,IF(DATOS_[Check Equiparado]="Sí",IF(DATOS_[Check Periodo Ref.]="Dentro",DATOS_[Tot COMPL.SAL Eq],FALSE))))),
0)</f>
        <v>0</v>
      </c>
      <c r="AO85" s="172">
        <f t="array" ref="AO85">IFERROR(
MEDIAN(IF(DATOS_[Sexo]=$B85,IF(DATOS_[[AGRUP. CLAS. PROF.]:[AGRUP. CLAS. PROF.]]=$B84,IF(DATOS_[Check Equiparado]="Sí",IF(DATOS_[Check Periodo Ref.]="Dentro",DATOS_[TOTAL SALARIO Eq],FALSE))))),
0)</f>
        <v>0</v>
      </c>
      <c r="AP85" s="173">
        <f t="array" ref="AP85">IFERROR(
(MEDIAN((IF(DATOS_[[Sexo]:[Sexo]]=$B85,IF(DATOS_[[AGRUP. CLAS. PROF.]:[AGRUP. CLAS. PROF.]]=$B84,IF(DATOS_[[Check Periodo Ref.]:[Check Periodo Ref.]]="Dentro",IF(DATOS_[[Check Equiparado]:[Check Equiparado]]="Sí",IF(DATOS!BW$5="Sí",(1/DATOS_[[% anualiz]:[% anualiz]]),1)*IF(DATOS!BW$4="Sí",1/DATOS_[[% normaliz]:[% normaliz]],1)*(DATOS_[C.Extra.01])))))))),
0)</f>
        <v>0</v>
      </c>
      <c r="AQ85" s="173">
        <f t="array" ref="AQ85">IFERROR(
(MEDIAN((IF(DATOS_[[Sexo]:[Sexo]]=$B85,IF(DATOS_[[AGRUP. CLAS. PROF.]:[AGRUP. CLAS. PROF.]]=$B84,IF(DATOS_[[Check Periodo Ref.]:[Check Periodo Ref.]]="Dentro",IF(DATOS_[[Check Equiparado]:[Check Equiparado]]="Sí",IF(DATOS!CB$5="Sí",(1/DATOS_[[% anualiz]:[% anualiz]]),1)*IF(DATOS!CB$4="Sí",1/DATOS_[[% normaliz]:[% normaliz]],1)*(DATOS_[C.Extra.06])))))))),
0)</f>
        <v>0</v>
      </c>
      <c r="AR85" s="173">
        <f t="array" ref="AR85">IFERROR(
(MEDIAN((IF(DATOS_[[Sexo]:[Sexo]]=$B85,IF(DATOS_[[AGRUP. CLAS. PROF.]:[AGRUP. CLAS. PROF.]]=$B84,IF(DATOS_[[Check Periodo Ref.]:[Check Periodo Ref.]]="Dentro",IF(DATOS_[[Check Equiparado]:[Check Equiparado]]="Sí",IF(DATOS!CC$5="Sí",(1/DATOS_[[% anualiz]:[% anualiz]]),1)*IF(DATOS!CC$4="Sí",1/DATOS_[[% normaliz]:[% normaliz]],1)*(DATOS_[C.Extra.07])))))))),
0)</f>
        <v>0</v>
      </c>
      <c r="AS85" s="173">
        <f t="array" ref="AS85">IFERROR(
(MEDIAN((IF(DATOS_[[Sexo]:[Sexo]]=$B85,IF(DATOS_[[AGRUP. CLAS. PROF.]:[AGRUP. CLAS. PROF.]]=$B84,IF(DATOS_[[Check Periodo Ref.]:[Check Periodo Ref.]]="Dentro",IF(DATOS_[[Check Equiparado]:[Check Equiparado]]="Sí",IF(DATOS!CD$5="Sí",(1/DATOS_[[% anualiz]:[% anualiz]]),1)*IF(DATOS!CD$4="Sí",1/DATOS_[[% normaliz]:[% normaliz]],1)*(DATOS_[C.Extra.08])))))))),
0)</f>
        <v>0</v>
      </c>
      <c r="AT85" s="173">
        <f t="array" ref="AT85">IFERROR(
(MEDIAN((IF(DATOS_[[Sexo]:[Sexo]]=$B85,IF(DATOS_[[AGRUP. CLAS. PROF.]:[AGRUP. CLAS. PROF.]]=$B84,IF(DATOS_[[Check Periodo Ref.]:[Check Periodo Ref.]]="Dentro",IF(DATOS_[[Check Equiparado]:[Check Equiparado]]="Sí",IF(DATOS!CG$5="Sí",(1/DATOS_[[% anualiz]:[% anualiz]]),1)*IF(DATOS!CG$4="Sí",1/DATOS_[[% normaliz]:[% normaliz]],1)*(DATOS_[C.Extra.11])))))))),
0)</f>
        <v>0</v>
      </c>
      <c r="AU85" s="197">
        <f t="array" ref="AU85">IFERROR(
MEDIAN(IF(DATOS_[Sexo]=$B85,IF(DATOS_[[AGRUP. CLAS. PROF.]:[AGRUP. CLAS. PROF.]]=$B84,IF(DATOS_[Check Equiparado]="Sí",IF(DATOS_[Check Periodo Ref.]="Dentro",DATOS_[Tot Extrasalarial Eq],FALSE))))),
0)</f>
        <v>0</v>
      </c>
      <c r="AV85" s="175">
        <f t="array" ref="AV85">IFERROR(
MEDIAN(IF(DATOS_[Sexo]=$B85,IF(DATOS_[[AGRUP. CLAS. PROF.]:[AGRUP. CLAS. PROF.]]=$B84,IF(DATOS_[Check Equiparado]="Sí",IF(DATOS_[Check Periodo Ref.]="Dentro",DATOS_[TOTAL Retrib Eq],FALSE))))),
0)</f>
        <v>0</v>
      </c>
    </row>
    <row r="86" spans="1:48" hidden="1" x14ac:dyDescent="0.25">
      <c r="A86" s="133" t="str">
        <f t="shared" ref="A86" si="98">+A85</f>
        <v>[ocultar]</v>
      </c>
      <c r="B86" s="202" t="s">
        <v>521</v>
      </c>
      <c r="C86" s="203">
        <f t="array" ref="C86">SUM(IF($B86=DATOS_[Sexo],
IF($B84=DATOS_[AGRUP. CLAS. PROF.],
IF("Dentro"=DATOS_[Check Periodo Ref.],
1/(COUNTIFS(DATOS_[Sexo],$B86,DATOS_[AGRUP. CLAS. PROF.],$B84,DATOS_[Check Periodo Ref.],"Dentro",DATOS_[id/cod],DATOS_[id/cod]))))))</f>
        <v>0</v>
      </c>
      <c r="D86" s="204">
        <f>COUNTIFS(DATOS_[AGRUP. CLAS. PROF.],$B84,DATOS_[Sexo],$B86,DATOS_[Check Periodo Ref.],"Dentro")</f>
        <v>0</v>
      </c>
      <c r="E86" s="204">
        <f>COUNTIFS(DATOS_[AGRUP. CLAS. PROF.],$B84,DATOS_[Sexo],$B86,DATOS_[Check Periodo Ref.],"Dentro",DATOS_[Check Nº SC Norm],"Sí")</f>
        <v>0</v>
      </c>
      <c r="F86" s="204">
        <f>COUNTIFS(DATOS_[AGRUP. CLAS. PROF.],$B84,DATOS_[Sexo],$B86,DATOS_[Check Periodo Ref.],"Dentro",DATOS_[Check Nº SC Anualiz],"Sí")</f>
        <v>0</v>
      </c>
      <c r="G86" s="204">
        <f>COUNTIFS(DATOS_[AGRUP. CLAS. PROF.],$B84,DATOS_[Sexo],$B86,DATOS_[Check Periodo Ref.],"Dentro",DATOS_[Check Nº SC Norm y Anualiz],"Sí")</f>
        <v>0</v>
      </c>
      <c r="H86" s="204">
        <f>COUNTIFS(DATOS_[AGRUP. CLAS. PROF.],$B84,DATOS_[Sexo],$B86,DATOS_[Check Periodo Ref.],"Dentro",DATOS_[Check Equiparación],"Sí")</f>
        <v>0</v>
      </c>
      <c r="I86" s="195" cm="1">
        <f t="array" ref="I86">IFERROR(
MEDIAN(IF(DATOS_[Sexo]=$B86,IF(DATOS_[[AGRUP. CLAS. PROF.]:[AGRUP. CLAS. PROF.]]=$B84,IF(DATOS_[Check Equiparado]="Sí",IF(DATOS_[Check Periodo Ref.]="Dentro",DATOS_[SALARIO BASE Eq],FALSE))))),
0)</f>
        <v>0</v>
      </c>
      <c r="J86" s="196">
        <f t="array" ref="J86">IFERROR(
(MEDIAN((IF(DATOS_[[Sexo]:[Sexo]]=$B86,IF(DATOS_[[AGRUP. CLAS. PROF.]:[AGRUP. CLAS. PROF.]]=$B84,IF(DATOS_[[Check Periodo Ref.]:[Check Periodo Ref.]]="Dentro",IF(DATOS_[[Check Equiparado]:[Check Equiparado]]="Sí",IF(DATOS!AE$5="Sí",(1/DATOS_[[% anualiz]:[% anualiz]]),1)*IF(DATOS!AE$4="Sí",1/DATOS_[[% normaliz]:[% normaliz]],1)*(DATOS_[Conc.Sal.01])))))))),
0)</f>
        <v>0</v>
      </c>
      <c r="K86" s="196">
        <f t="array" ref="K86">IFERROR(
(MEDIAN((IF(DATOS_[[Sexo]:[Sexo]]=$B86,IF(DATOS_[[AGRUP. CLAS. PROF.]:[AGRUP. CLAS. PROF.]]=$B84,IF(DATOS_[[Check Periodo Ref.]:[Check Periodo Ref.]]="Dentro",IF(DATOS_[[Check Equiparado]:[Check Equiparado]]="Sí",IF(DATOS!AF$5="Sí",(1/DATOS_[[% anualiz]:[% anualiz]]),1)*IF(DATOS!AF$4="Sí",1/DATOS_[[% normaliz]:[% normaliz]],1)*(DATOS_[Conc.Sal.02])))))))),
0)</f>
        <v>0</v>
      </c>
      <c r="L86" s="196">
        <f t="array" ref="L86">IFERROR(
(MEDIAN((IF(DATOS_[[Sexo]:[Sexo]]=$B86,IF(DATOS_[[AGRUP. CLAS. PROF.]:[AGRUP. CLAS. PROF.]]=$B84,IF(DATOS_[[Check Periodo Ref.]:[Check Periodo Ref.]]="Dentro",IF(DATOS_[[Check Equiparado]:[Check Equiparado]]="Sí",IF(DATOS!AG$5="Sí",(1/DATOS_[[% anualiz]:[% anualiz]]),1)*IF(DATOS!AG$4="Sí",1/DATOS_[[% normaliz]:[% normaliz]],1)*(DATOS_[Conc.Sal.03])))))))),
0)</f>
        <v>0</v>
      </c>
      <c r="M86" s="196">
        <f t="array" ref="M86">IFERROR(
(MEDIAN((IF(DATOS_[[Sexo]:[Sexo]]=$B86,IF(DATOS_[[AGRUP. CLAS. PROF.]:[AGRUP. CLAS. PROF.]]=$B84,IF(DATOS_[[Check Periodo Ref.]:[Check Periodo Ref.]]="Dentro",IF(DATOS_[[Check Equiparado]:[Check Equiparado]]="Sí",IF(DATOS!AH$5="Sí",(1/DATOS_[[% anualiz]:[% anualiz]]),1)*IF(DATOS!AH$4="Sí",1/DATOS_[[% normaliz]:[% normaliz]],1)*(DATOS_[Conc.Sal.04])))))))),
0)</f>
        <v>0</v>
      </c>
      <c r="N86" s="196">
        <f t="array" ref="N86">IFERROR(
(MEDIAN((IF(DATOS_[[Sexo]:[Sexo]]=$B86,IF(DATOS_[[AGRUP. CLAS. PROF.]:[AGRUP. CLAS. PROF.]]=$B84,IF(DATOS_[[Check Periodo Ref.]:[Check Periodo Ref.]]="Dentro",IF(DATOS_[[Check Equiparado]:[Check Equiparado]]="Sí",IF(DATOS!AI$5="Sí",(1/DATOS_[[% anualiz]:[% anualiz]]),1)*IF(DATOS!AI$4="Sí",1/DATOS_[[% normaliz]:[% normaliz]],1)*(DATOS_[Conc.Sal.05])))))))),
0)</f>
        <v>0</v>
      </c>
      <c r="O86" s="196">
        <f t="array" ref="O86">IFERROR(
(MEDIAN((IF(DATOS_[[Sexo]:[Sexo]]=$B86,IF(DATOS_[[AGRUP. CLAS. PROF.]:[AGRUP. CLAS. PROF.]]=$B84,IF(DATOS_[[Check Periodo Ref.]:[Check Periodo Ref.]]="Dentro",IF(DATOS_[[Check Equiparado]:[Check Equiparado]]="Sí",IF(DATOS!AJ$5="Sí",(1/DATOS_[[% anualiz]:[% anualiz]]),1)*IF(DATOS!AJ$4="Sí",1/DATOS_[[% normaliz]:[% normaliz]],1)*(DATOS_[Conc.Sal.06])))))))),
0)</f>
        <v>0</v>
      </c>
      <c r="P86" s="196">
        <f t="array" ref="P86">IFERROR(
(MEDIAN((IF(DATOS_[[Sexo]:[Sexo]]=$B86,IF(DATOS_[[AGRUP. CLAS. PROF.]:[AGRUP. CLAS. PROF.]]=$B84,IF(DATOS_[[Check Periodo Ref.]:[Check Periodo Ref.]]="Dentro",IF(DATOS_[[Check Equiparado]:[Check Equiparado]]="Sí",IF(DATOS!AK$5="Sí",(1/DATOS_[[% anualiz]:[% anualiz]]),1)*IF(DATOS!AK$4="Sí",1/DATOS_[[% normaliz]:[% normaliz]],1)*(DATOS_[Conc.Sal.07])))))))),
0)</f>
        <v>0</v>
      </c>
      <c r="Q86" s="196">
        <f t="array" ref="Q86">IFERROR(
(MEDIAN((IF(DATOS_[[Sexo]:[Sexo]]=$B86,IF(DATOS_[[AGRUP. CLAS. PROF.]:[AGRUP. CLAS. PROF.]]=$B84,IF(DATOS_[[Check Periodo Ref.]:[Check Periodo Ref.]]="Dentro",IF(DATOS_[[Check Equiparado]:[Check Equiparado]]="Sí",IF(DATOS!AL$5="Sí",(1/DATOS_[[% anualiz]:[% anualiz]]),1)*IF(DATOS!AL$4="Sí",1/DATOS_[[% normaliz]:[% normaliz]],1)*(DATOS_[Conc.Sal.08])))))))),
0)</f>
        <v>0</v>
      </c>
      <c r="R86" s="196">
        <f t="array" ref="R86">IFERROR(
(MEDIAN((IF(DATOS_[[Sexo]:[Sexo]]=$B86,IF(DATOS_[[AGRUP. CLAS. PROF.]:[AGRUP. CLAS. PROF.]]=$B84,IF(DATOS_[[Check Periodo Ref.]:[Check Periodo Ref.]]="Dentro",IF(DATOS_[[Check Equiparado]:[Check Equiparado]]="Sí",IF(DATOS!AM$5="Sí",(1/DATOS_[[% anualiz]:[% anualiz]]),1)*IF(DATOS!AM$4="Sí",1/DATOS_[[% normaliz]:[% normaliz]],1)*(DATOS_[Conc.Sal.09])))))))),
0)</f>
        <v>0</v>
      </c>
      <c r="S86" s="196">
        <f t="array" ref="S86">IFERROR(
(MEDIAN((IF(DATOS_[[Sexo]:[Sexo]]=$B86,IF(DATOS_[[AGRUP. CLAS. PROF.]:[AGRUP. CLAS. PROF.]]=$B84,IF(DATOS_[[Check Periodo Ref.]:[Check Periodo Ref.]]="Dentro",IF(DATOS_[[Check Equiparado]:[Check Equiparado]]="Sí",IF(DATOS!AN$5="Sí",(1/DATOS_[[% anualiz]:[% anualiz]]),1)*IF(DATOS!AN$4="Sí",1/DATOS_[[% normaliz]:[% normaliz]],1)*(DATOS_[Conc.Sal.10])))))))),
0)</f>
        <v>0</v>
      </c>
      <c r="T86" s="196">
        <f t="array" ref="T86">IFERROR(
(MEDIAN((IF(DATOS_[[Sexo]:[Sexo]]=$B86,IF(DATOS_[[AGRUP. CLAS. PROF.]:[AGRUP. CLAS. PROF.]]=$B84,IF(DATOS_[[Check Periodo Ref.]:[Check Periodo Ref.]]="Dentro",IF(DATOS_[[Check Equiparado]:[Check Equiparado]]="Sí",IF(DATOS!AO$5="Sí",(1/DATOS_[[% anualiz]:[% anualiz]]),1)*IF(DATOS!AO$4="Sí",1/DATOS_[[% normaliz]:[% normaliz]],1)*(DATOS_[Conc.Sal.11])))))))),
0)</f>
        <v>0</v>
      </c>
      <c r="U86" s="196">
        <f t="array" ref="U86">IFERROR(
(MEDIAN((IF(DATOS_[[Sexo]:[Sexo]]=$B86,IF(DATOS_[[AGRUP. CLAS. PROF.]:[AGRUP. CLAS. PROF.]]=$B84,IF(DATOS_[[Check Periodo Ref.]:[Check Periodo Ref.]]="Dentro",IF(DATOS_[[Check Equiparado]:[Check Equiparado]]="Sí",IF(DATOS!AP$5="Sí",(1/DATOS_[[% anualiz]:[% anualiz]]),1)*IF(DATOS!AP$4="Sí",1/DATOS_[[% normaliz]:[% normaliz]],1)*(DATOS_[Conc.Sal.12])))))))),
0)</f>
        <v>0</v>
      </c>
      <c r="V86" s="196">
        <f t="array" ref="V86">IFERROR(
(MEDIAN((IF(DATOS_[[Sexo]:[Sexo]]=$B86,IF(DATOS_[[AGRUP. CLAS. PROF.]:[AGRUP. CLAS. PROF.]]=$B84,IF(DATOS_[[Check Periodo Ref.]:[Check Periodo Ref.]]="Dentro",IF(DATOS_[[Check Equiparado]:[Check Equiparado]]="Sí",IF(DATOS!AQ$5="Sí",(1/DATOS_[[% anualiz]:[% anualiz]]),1)*IF(DATOS!AQ$4="Sí",1/DATOS_[[% normaliz]:[% normaliz]],1)*(DATOS_[Conc.Sal.13])))))))),
0)</f>
        <v>0</v>
      </c>
      <c r="W86" s="196">
        <f t="array" ref="W86">IFERROR(
(MEDIAN((IF(DATOS_[[Sexo]:[Sexo]]=$B86,IF(DATOS_[[AGRUP. CLAS. PROF.]:[AGRUP. CLAS. PROF.]]=$B84,IF(DATOS_[[Check Periodo Ref.]:[Check Periodo Ref.]]="Dentro",IF(DATOS_[[Check Equiparado]:[Check Equiparado]]="Sí",IF(DATOS!AR$5="Sí",(1/DATOS_[[% anualiz]:[% anualiz]]),1)*IF(DATOS!AR$4="Sí",1/DATOS_[[% normaliz]:[% normaliz]],1)*(DATOS_[Conc.Sal.14])))))))),
0)</f>
        <v>0</v>
      </c>
      <c r="X86" s="196">
        <f t="array" ref="X86">IFERROR(
(MEDIAN((IF(DATOS_[[Sexo]:[Sexo]]=$B86,IF(DATOS_[[AGRUP. CLAS. PROF.]:[AGRUP. CLAS. PROF.]]=$B84,IF(DATOS_[[Check Periodo Ref.]:[Check Periodo Ref.]]="Dentro",IF(DATOS_[[Check Equiparado]:[Check Equiparado]]="Sí",IF(DATOS!AS$5="Sí",(1/DATOS_[[% anualiz]:[% anualiz]]),1)*IF(DATOS!AS$4="Sí",1/DATOS_[[% normaliz]:[% normaliz]],1)*(DATOS_[Conc.Sal.15])))))))),
0)</f>
        <v>0</v>
      </c>
      <c r="Y86" s="196">
        <f t="array" ref="Y86">IFERROR(
(MEDIAN((IF(DATOS_[[Sexo]:[Sexo]]=$B86,IF(DATOS_[[AGRUP. CLAS. PROF.]:[AGRUP. CLAS. PROF.]]=$B84,IF(DATOS_[[Check Periodo Ref.]:[Check Periodo Ref.]]="Dentro",IF(DATOS_[[Check Equiparado]:[Check Equiparado]]="Sí",IF(DATOS!AT$5="Sí",(1/DATOS_[[% anualiz]:[% anualiz]]),1)*IF(DATOS!AT$4="Sí",1/DATOS_[[% normaliz]:[% normaliz]],1)*(DATOS_[Conc.Sal.16])))))))),
0)</f>
        <v>0</v>
      </c>
      <c r="Z86" s="196">
        <f t="array" ref="Z86">IFERROR(
(MEDIAN((IF(DATOS_[[Sexo]:[Sexo]]=$B86,IF(DATOS_[[AGRUP. CLAS. PROF.]:[AGRUP. CLAS. PROF.]]=$B84,IF(DATOS_[[Check Periodo Ref.]:[Check Periodo Ref.]]="Dentro",IF(DATOS_[[Check Equiparado]:[Check Equiparado]]="Sí",IF(DATOS!AU$5="Sí",(1/DATOS_[[% anualiz]:[% anualiz]]),1)*IF(DATOS!AU$4="Sí",1/DATOS_[[% normaliz]:[% normaliz]],1)*(DATOS_[Conc.Sal.17])))))))),
0)</f>
        <v>0</v>
      </c>
      <c r="AA86" s="196">
        <f t="array" ref="AA86">IFERROR(
(MEDIAN((IF(DATOS_[[Sexo]:[Sexo]]=$B86,IF(DATOS_[[AGRUP. CLAS. PROF.]:[AGRUP. CLAS. PROF.]]=$B84,IF(DATOS_[[Check Periodo Ref.]:[Check Periodo Ref.]]="Dentro",IF(DATOS_[[Check Equiparado]:[Check Equiparado]]="Sí",IF(DATOS!AV$5="Sí",(1/DATOS_[[% anualiz]:[% anualiz]]),1)*IF(DATOS!AV$4="Sí",1/DATOS_[[% normaliz]:[% normaliz]],1)*(DATOS_[Conc.Sal.18])))))))),
0)</f>
        <v>0</v>
      </c>
      <c r="AB86" s="196">
        <f t="array" ref="AB86">IFERROR(
(MEDIAN((IF(DATOS_[[Sexo]:[Sexo]]=$B86,IF(DATOS_[[AGRUP. CLAS. PROF.]:[AGRUP. CLAS. PROF.]]=$B84,IF(DATOS_[[Check Periodo Ref.]:[Check Periodo Ref.]]="Dentro",IF(DATOS_[[Check Equiparado]:[Check Equiparado]]="Sí",IF(DATOS!AW$5="Sí",(1/DATOS_[[% anualiz]:[% anualiz]]),1)*IF(DATOS!AW$4="Sí",1/DATOS_[[% normaliz]:[% normaliz]],1)*(DATOS_[Conc.Sal.19])))))))),
0)</f>
        <v>0</v>
      </c>
      <c r="AC86" s="196">
        <f t="array" ref="AC86">IFERROR(
(MEDIAN((IF(DATOS_[[Sexo]:[Sexo]]=$B86,IF(DATOS_[[AGRUP. CLAS. PROF.]:[AGRUP. CLAS. PROF.]]=$B84,IF(DATOS_[[Check Periodo Ref.]:[Check Periodo Ref.]]="Dentro",IF(DATOS_[[Check Equiparado]:[Check Equiparado]]="Sí",IF(DATOS!AX$5="Sí",(1/DATOS_[[% anualiz]:[% anualiz]]),1)*IF(DATOS!AX$4="Sí",1/DATOS_[[% normaliz]:[% normaliz]],1)*(DATOS_[Conc.Sal.20])))))))),
0)</f>
        <v>0</v>
      </c>
      <c r="AD86" s="196">
        <f t="array" ref="AD86">IFERROR(
(MEDIAN((IF(DATOS_[[Sexo]:[Sexo]]=$B86,IF(DATOS_[[AGRUP. CLAS. PROF.]:[AGRUP. CLAS. PROF.]]=$B84,IF(DATOS_[[Check Periodo Ref.]:[Check Periodo Ref.]]="Dentro",IF(DATOS_[[Check Equiparado]:[Check Equiparado]]="Sí",IF(DATOS!AY$5="Sí",(1/DATOS_[[% anualiz]:[% anualiz]]),1)*IF(DATOS!AY$4="Sí",1/DATOS_[[% normaliz]:[% normaliz]],1)*(DATOS_[Conc.Sal.21])))))))),
0)</f>
        <v>0</v>
      </c>
      <c r="AE86" s="196">
        <f t="array" ref="AE86">IFERROR(
(MEDIAN((IF(DATOS_[[Sexo]:[Sexo]]=$B86,IF(DATOS_[[AGRUP. CLAS. PROF.]:[AGRUP. CLAS. PROF.]]=$B84,IF(DATOS_[[Check Periodo Ref.]:[Check Periodo Ref.]]="Dentro",IF(DATOS_[[Check Equiparado]:[Check Equiparado]]="Sí",IF(DATOS!AZ$5="Sí",(1/DATOS_[[% anualiz]:[% anualiz]]),1)*IF(DATOS!AZ$4="Sí",1/DATOS_[[% normaliz]:[% normaliz]],1)*(DATOS_[Conc.Sal.22])))))))),
0)</f>
        <v>0</v>
      </c>
      <c r="AF86" s="196">
        <f t="array" ref="AF86">IFERROR(
(MEDIAN((IF(DATOS_[[Sexo]:[Sexo]]=$B86,IF(DATOS_[[AGRUP. CLAS. PROF.]:[AGRUP. CLAS. PROF.]]=$B84,IF(DATOS_[[Check Periodo Ref.]:[Check Periodo Ref.]]="Dentro",IF(DATOS_[[Check Equiparado]:[Check Equiparado]]="Sí",IF(DATOS!BA$5="Sí",(1/DATOS_[[% anualiz]:[% anualiz]]),1)*IF(DATOS!BA$4="Sí",1/DATOS_[[% normaliz]:[% normaliz]],1)*(DATOS_[Conc.Sal.23])))))))),
0)</f>
        <v>0</v>
      </c>
      <c r="AG86" s="196">
        <f t="array" ref="AG86">IFERROR(
(MEDIAN((IF(DATOS_[[Sexo]:[Sexo]]=$B86,IF(DATOS_[[AGRUP. CLAS. PROF.]:[AGRUP. CLAS. PROF.]]=$B84,IF(DATOS_[[Check Periodo Ref.]:[Check Periodo Ref.]]="Dentro",IF(DATOS_[[Check Equiparado]:[Check Equiparado]]="Sí",IF(DATOS!BB$5="Sí",(1/DATOS_[[% anualiz]:[% anualiz]]),1)*IF(DATOS!BB$4="Sí",1/DATOS_[[% normaliz]:[% normaliz]],1)*(DATOS_[Conc.Sal.24])))))))),
0)</f>
        <v>0</v>
      </c>
      <c r="AH86" s="196">
        <f t="array" ref="AH86">IFERROR(
(MEDIAN((IF(DATOS_[[Sexo]:[Sexo]]=$B86,IF(DATOS_[[AGRUP. CLAS. PROF.]:[AGRUP. CLAS. PROF.]]=$B84,IF(DATOS_[[Check Periodo Ref.]:[Check Periodo Ref.]]="Dentro",IF(DATOS_[[Check Equiparado]:[Check Equiparado]]="Sí",IF(DATOS!BC$5="Sí",(1/DATOS_[[% anualiz]:[% anualiz]]),1)*IF(DATOS!BC$4="Sí",1/DATOS_[[% normaliz]:[% normaliz]],1)*(DATOS_[Conc.Sal.25])))))))),
0)</f>
        <v>0</v>
      </c>
      <c r="AI86" s="196">
        <f t="array" ref="AI86">IFERROR(
(MEDIAN((IF(DATOS_[[Sexo]:[Sexo]]=$B86,IF(DATOS_[[AGRUP. CLAS. PROF.]:[AGRUP. CLAS. PROF.]]=$B84,IF(DATOS_[[Check Periodo Ref.]:[Check Periodo Ref.]]="Dentro",IF(DATOS_[[Check Equiparado]:[Check Equiparado]]="Sí",IF(DATOS!BD$5="Sí",(1/DATOS_[[% anualiz]:[% anualiz]]),1)*IF(DATOS!BD$4="Sí",1/DATOS_[[% normaliz]:[% normaliz]],1)*(DATOS_[Conc.Sal.26])))))))),
0)</f>
        <v>0</v>
      </c>
      <c r="AJ86" s="196">
        <f t="array" ref="AJ86">IFERROR(
(MEDIAN((IF(DATOS_[[Sexo]:[Sexo]]=$B86,IF(DATOS_[[AGRUP. CLAS. PROF.]:[AGRUP. CLAS. PROF.]]=$B84,IF(DATOS_[[Check Periodo Ref.]:[Check Periodo Ref.]]="Dentro",IF(DATOS_[[Check Equiparado]:[Check Equiparado]]="Sí",IF(DATOS!BE$5="Sí",(1/DATOS_[[% anualiz]:[% anualiz]]),1)*IF(DATOS!BE$4="Sí",1/DATOS_[[% normaliz]:[% normaliz]],1)*(DATOS_[Conc.Sal.27])))))))),
0)</f>
        <v>0</v>
      </c>
      <c r="AK86" s="196">
        <f t="array" ref="AK86">IFERROR(
(MEDIAN((IF(DATOS_[[Sexo]:[Sexo]]=$B86,IF(DATOS_[[AGRUP. CLAS. PROF.]:[AGRUP. CLAS. PROF.]]=$B84,IF(DATOS_[[Check Periodo Ref.]:[Check Periodo Ref.]]="Dentro",IF(DATOS_[[Check Equiparado]:[Check Equiparado]]="Sí",IF(DATOS!BF$5="Sí",(1/DATOS_[[% anualiz]:[% anualiz]]),1)*IF(DATOS!BF$4="Sí",1/DATOS_[[% normaliz]:[% normaliz]],1)*(DATOS_[Conc.Sal.28])))))))),
0)</f>
        <v>0</v>
      </c>
      <c r="AL86" s="196">
        <f t="array" ref="AL86">IFERROR(
(MEDIAN((IF(DATOS_[[Sexo]:[Sexo]]=$B86,IF(DATOS_[[AGRUP. CLAS. PROF.]:[AGRUP. CLAS. PROF.]]=$B84,IF(DATOS_[[Check Periodo Ref.]:[Check Periodo Ref.]]="Dentro",IF(DATOS_[[Check Equiparado]:[Check Equiparado]]="Sí",IF(DATOS!BG$5="Sí",(1/DATOS_[[% anualiz]:[% anualiz]]),1)*IF(DATOS!BG$4="Sí",1/DATOS_[[% normaliz]:[% normaliz]],1)*(DATOS_[Conc.Sal.29])))))))),
0)</f>
        <v>0</v>
      </c>
      <c r="AM86" s="196">
        <f t="array" ref="AM86">IFERROR(
(MEDIAN((IF(DATOS_[[Sexo]:[Sexo]]=$B86,IF(DATOS_[[AGRUP. CLAS. PROF.]:[AGRUP. CLAS. PROF.]]=$B84,IF(DATOS_[[Check Periodo Ref.]:[Check Periodo Ref.]]="Dentro",IF(DATOS_[[Check Equiparado]:[Check Equiparado]]="Sí",IF(DATOS!BH$5="Sí",(1/DATOS_[[% anualiz]:[% anualiz]]),1)*IF(DATOS!BH$4="Sí",1/DATOS_[[% normaliz]:[% normaliz]],1)*(DATOS_[Conc.Sal.30])))))))),
0)</f>
        <v>0</v>
      </c>
      <c r="AN86" s="195">
        <f t="array" ref="AN86">IFERROR(
MEDIAN(IF(DATOS_[Sexo]=$B86,IF(DATOS_[[AGRUP. CLAS. PROF.]:[AGRUP. CLAS. PROF.]]=$B84,IF(DATOS_[Check Equiparado]="Sí",IF(DATOS_[Check Periodo Ref.]="Dentro",DATOS_[Tot COMPL.SAL Eq],FALSE))))),
0)</f>
        <v>0</v>
      </c>
      <c r="AO86" s="172">
        <f t="array" ref="AO86">IFERROR(
MEDIAN(IF(DATOS_[Sexo]=$B86,IF(DATOS_[[AGRUP. CLAS. PROF.]:[AGRUP. CLAS. PROF.]]=$B84,IF(DATOS_[Check Equiparado]="Sí",IF(DATOS_[Check Periodo Ref.]="Dentro",DATOS_[TOTAL SALARIO Eq],FALSE))))),
0)</f>
        <v>0</v>
      </c>
      <c r="AP86" s="173">
        <f t="array" ref="AP86">IFERROR(
(MEDIAN((IF(DATOS_[[Sexo]:[Sexo]]=$B86,IF(DATOS_[[AGRUP. CLAS. PROF.]:[AGRUP. CLAS. PROF.]]=$B84,IF(DATOS_[[Check Periodo Ref.]:[Check Periodo Ref.]]="Dentro",IF(DATOS_[[Check Equiparado]:[Check Equiparado]]="Sí",IF(DATOS!BW$5="Sí",(1/DATOS_[[% anualiz]:[% anualiz]]),1)*IF(DATOS!BW$4="Sí",1/DATOS_[[% normaliz]:[% normaliz]],1)*(DATOS_[C.Extra.01])))))))),
0)</f>
        <v>0</v>
      </c>
      <c r="AQ86" s="173">
        <f t="array" ref="AQ86">IFERROR(
(MEDIAN((IF(DATOS_[[Sexo]:[Sexo]]=$B86,IF(DATOS_[[AGRUP. CLAS. PROF.]:[AGRUP. CLAS. PROF.]]=$B84,IF(DATOS_[[Check Periodo Ref.]:[Check Periodo Ref.]]="Dentro",IF(DATOS_[[Check Equiparado]:[Check Equiparado]]="Sí",IF(DATOS!CB$5="Sí",(1/DATOS_[[% anualiz]:[% anualiz]]),1)*IF(DATOS!CB$4="Sí",1/DATOS_[[% normaliz]:[% normaliz]],1)*(DATOS_[C.Extra.06])))))))),
0)</f>
        <v>0</v>
      </c>
      <c r="AR86" s="173">
        <f t="array" ref="AR86">IFERROR(
(MEDIAN((IF(DATOS_[[Sexo]:[Sexo]]=$B86,IF(DATOS_[[AGRUP. CLAS. PROF.]:[AGRUP. CLAS. PROF.]]=$B84,IF(DATOS_[[Check Periodo Ref.]:[Check Periodo Ref.]]="Dentro",IF(DATOS_[[Check Equiparado]:[Check Equiparado]]="Sí",IF(DATOS!CC$5="Sí",(1/DATOS_[[% anualiz]:[% anualiz]]),1)*IF(DATOS!CC$4="Sí",1/DATOS_[[% normaliz]:[% normaliz]],1)*(DATOS_[C.Extra.07])))))))),
0)</f>
        <v>0</v>
      </c>
      <c r="AS86" s="173">
        <f t="array" ref="AS86">IFERROR(
(MEDIAN((IF(DATOS_[[Sexo]:[Sexo]]=$B86,IF(DATOS_[[AGRUP. CLAS. PROF.]:[AGRUP. CLAS. PROF.]]=$B84,IF(DATOS_[[Check Periodo Ref.]:[Check Periodo Ref.]]="Dentro",IF(DATOS_[[Check Equiparado]:[Check Equiparado]]="Sí",IF(DATOS!CD$5="Sí",(1/DATOS_[[% anualiz]:[% anualiz]]),1)*IF(DATOS!CD$4="Sí",1/DATOS_[[% normaliz]:[% normaliz]],1)*(DATOS_[C.Extra.08])))))))),
0)</f>
        <v>0</v>
      </c>
      <c r="AT86" s="173">
        <f t="array" ref="AT86">IFERROR(
(MEDIAN((IF(DATOS_[[Sexo]:[Sexo]]=$B86,IF(DATOS_[[AGRUP. CLAS. PROF.]:[AGRUP. CLAS. PROF.]]=$B84,IF(DATOS_[[Check Periodo Ref.]:[Check Periodo Ref.]]="Dentro",IF(DATOS_[[Check Equiparado]:[Check Equiparado]]="Sí",IF(DATOS!CG$5="Sí",(1/DATOS_[[% anualiz]:[% anualiz]]),1)*IF(DATOS!CG$4="Sí",1/DATOS_[[% normaliz]:[% normaliz]],1)*(DATOS_[C.Extra.11])))))))),
0)</f>
        <v>0</v>
      </c>
      <c r="AU86" s="197">
        <f t="array" ref="AU86">IFERROR(
MEDIAN(IF(DATOS_[Sexo]=$B86,IF(DATOS_[[AGRUP. CLAS. PROF.]:[AGRUP. CLAS. PROF.]]=$B84,IF(DATOS_[Check Equiparado]="Sí",IF(DATOS_[Check Periodo Ref.]="Dentro",DATOS_[Tot Extrasalarial Eq],FALSE))))),
0)</f>
        <v>0</v>
      </c>
      <c r="AV86" s="175">
        <f t="array" ref="AV86">IFERROR(
MEDIAN(IF(DATOS_[Sexo]=$B86,IF(DATOS_[[AGRUP. CLAS. PROF.]:[AGRUP. CLAS. PROF.]]=$B84,IF(DATOS_[Check Equiparado]="Sí",IF(DATOS_[Check Periodo Ref.]="Dentro",DATOS_[TOTAL Retrib Eq],FALSE))))),
0)</f>
        <v>0</v>
      </c>
    </row>
    <row r="87" spans="1:48" ht="15.6" hidden="1" thickBot="1" x14ac:dyDescent="0.3">
      <c r="A87" s="133" t="str">
        <f t="shared" ref="A87" si="99">+A88</f>
        <v>[ocultar]</v>
      </c>
      <c r="B87" s="199" t="s">
        <v>274</v>
      </c>
      <c r="C87" s="200"/>
      <c r="D87" s="201"/>
      <c r="E87" s="201"/>
      <c r="F87" s="201"/>
      <c r="G87" s="201"/>
      <c r="H87" s="201"/>
      <c r="I87" s="189" t="str">
        <f t="shared" ref="I87:AV87" si="100">IFERROR((I88-I89)/I88,"")</f>
        <v/>
      </c>
      <c r="J87" s="190" t="str">
        <f t="shared" si="100"/>
        <v/>
      </c>
      <c r="K87" s="191" t="str">
        <f t="shared" si="100"/>
        <v/>
      </c>
      <c r="L87" s="191" t="str">
        <f t="shared" si="100"/>
        <v/>
      </c>
      <c r="M87" s="191" t="str">
        <f t="shared" si="100"/>
        <v/>
      </c>
      <c r="N87" s="192" t="str">
        <f t="shared" si="100"/>
        <v/>
      </c>
      <c r="O87" s="193" t="str">
        <f t="shared" si="100"/>
        <v/>
      </c>
      <c r="P87" s="193" t="str">
        <f t="shared" si="100"/>
        <v/>
      </c>
      <c r="Q87" s="193" t="str">
        <f t="shared" si="100"/>
        <v/>
      </c>
      <c r="R87" s="193" t="str">
        <f t="shared" si="100"/>
        <v/>
      </c>
      <c r="S87" s="193" t="str">
        <f t="shared" si="100"/>
        <v/>
      </c>
      <c r="T87" s="193" t="str">
        <f t="shared" si="100"/>
        <v/>
      </c>
      <c r="U87" s="193" t="str">
        <f t="shared" si="100"/>
        <v/>
      </c>
      <c r="V87" s="193" t="str">
        <f t="shared" si="100"/>
        <v/>
      </c>
      <c r="W87" s="193" t="str">
        <f t="shared" si="100"/>
        <v/>
      </c>
      <c r="X87" s="193" t="str">
        <f t="shared" si="100"/>
        <v/>
      </c>
      <c r="Y87" s="193" t="str">
        <f t="shared" si="100"/>
        <v/>
      </c>
      <c r="Z87" s="193" t="str">
        <f t="shared" si="100"/>
        <v/>
      </c>
      <c r="AA87" s="193" t="str">
        <f t="shared" si="100"/>
        <v/>
      </c>
      <c r="AB87" s="193" t="str">
        <f t="shared" si="100"/>
        <v/>
      </c>
      <c r="AC87" s="193" t="str">
        <f t="shared" si="100"/>
        <v/>
      </c>
      <c r="AD87" s="193" t="str">
        <f t="shared" si="100"/>
        <v/>
      </c>
      <c r="AE87" s="193" t="str">
        <f t="shared" si="100"/>
        <v/>
      </c>
      <c r="AF87" s="193" t="str">
        <f t="shared" si="100"/>
        <v/>
      </c>
      <c r="AG87" s="193" t="str">
        <f t="shared" si="100"/>
        <v/>
      </c>
      <c r="AH87" s="193" t="str">
        <f t="shared" si="100"/>
        <v/>
      </c>
      <c r="AI87" s="193" t="str">
        <f t="shared" si="100"/>
        <v/>
      </c>
      <c r="AJ87" s="193" t="str">
        <f t="shared" si="100"/>
        <v/>
      </c>
      <c r="AK87" s="193" t="str">
        <f t="shared" si="100"/>
        <v/>
      </c>
      <c r="AL87" s="193" t="str">
        <f t="shared" si="100"/>
        <v/>
      </c>
      <c r="AM87" s="193" t="str">
        <f t="shared" si="100"/>
        <v/>
      </c>
      <c r="AN87" s="189" t="str">
        <f t="shared" si="100"/>
        <v/>
      </c>
      <c r="AO87" s="162" t="str">
        <f t="shared" si="100"/>
        <v/>
      </c>
      <c r="AP87" s="163" t="str">
        <f t="shared" si="100"/>
        <v/>
      </c>
      <c r="AQ87" s="163" t="str">
        <f t="shared" si="100"/>
        <v/>
      </c>
      <c r="AR87" s="163" t="str">
        <f t="shared" si="100"/>
        <v/>
      </c>
      <c r="AS87" s="163" t="str">
        <f t="shared" si="100"/>
        <v/>
      </c>
      <c r="AT87" s="163" t="str">
        <f t="shared" si="100"/>
        <v/>
      </c>
      <c r="AU87" s="194" t="str">
        <f t="shared" si="100"/>
        <v/>
      </c>
      <c r="AV87" s="165" t="str">
        <f t="shared" si="100"/>
        <v/>
      </c>
    </row>
    <row r="88" spans="1:48" hidden="1" x14ac:dyDescent="0.25">
      <c r="A88" s="133" t="str">
        <f t="shared" ref="A88" si="101">+IF(C88+C89=0,"[ocultar]","")</f>
        <v>[ocultar]</v>
      </c>
      <c r="B88" s="202" t="s">
        <v>394</v>
      </c>
      <c r="C88" s="203">
        <f t="array" ref="C88">SUM(IF($B88=DATOS_[Sexo],
IF($B87=DATOS_[AGRUP. CLAS. PROF.],
IF("Dentro"=DATOS_[Check Periodo Ref.],
1/(COUNTIFS(DATOS_[Sexo],$B88,DATOS_[AGRUP. CLAS. PROF.],$B87,DATOS_[Check Periodo Ref.],"Dentro",DATOS_[id/cod],DATOS_[id/cod]))))))</f>
        <v>0</v>
      </c>
      <c r="D88" s="204">
        <f>COUNTIFS(DATOS_[AGRUP. CLAS. PROF.],$B87,DATOS_[Sexo],$B88,DATOS_[Check Periodo Ref.],"Dentro")</f>
        <v>0</v>
      </c>
      <c r="E88" s="204">
        <f>COUNTIFS(DATOS_[AGRUP. CLAS. PROF.],$B87,DATOS_[Sexo],$B88,DATOS_[Check Periodo Ref.],"Dentro",DATOS_[Check Nº SC Norm],"Sí")</f>
        <v>0</v>
      </c>
      <c r="F88" s="204">
        <f>COUNTIFS(DATOS_[AGRUP. CLAS. PROF.],$B87,DATOS_[Sexo],$B88,DATOS_[Check Periodo Ref.],"Dentro",DATOS_[Check Nº SC Anualiz],"Sí")</f>
        <v>0</v>
      </c>
      <c r="G88" s="204">
        <f>COUNTIFS(DATOS_[AGRUP. CLAS. PROF.],$B87,DATOS_[Sexo],$B88,DATOS_[Check Periodo Ref.],"Dentro",DATOS_[Check Nº SC Norm y Anualiz],"Sí")</f>
        <v>0</v>
      </c>
      <c r="H88" s="204">
        <f>COUNTIFS(DATOS_[AGRUP. CLAS. PROF.],$B87,DATOS_[Sexo],$B88,DATOS_[Check Periodo Ref.],"Dentro",DATOS_[Check Equiparación],"Sí")</f>
        <v>0</v>
      </c>
      <c r="I88" s="195">
        <f t="array" ref="I88">IFERROR(
MEDIAN(IF(DATOS_[Sexo]=$B88,IF(DATOS_[[AGRUP. CLAS. PROF.]:[AGRUP. CLAS. PROF.]]=$B87,IF(DATOS_[Check Equiparado]="Sí",IF(DATOS_[Check Periodo Ref.]="Dentro",DATOS_[SALARIO BASE Eq],FALSE))))),
0)</f>
        <v>0</v>
      </c>
      <c r="J88" s="196">
        <f t="array" ref="J88">IFERROR(
(MEDIAN((IF(DATOS_[[Sexo]:[Sexo]]=$B88,IF(DATOS_[[AGRUP. CLAS. PROF.]:[AGRUP. CLAS. PROF.]]=$B87,IF(DATOS_[[Check Periodo Ref.]:[Check Periodo Ref.]]="Dentro",IF(DATOS_[[Check Equiparado]:[Check Equiparado]]="Sí",IF(DATOS!AE$5="Sí",(1/DATOS_[[% anualiz]:[% anualiz]]),1)*IF(DATOS!AE$4="Sí",1/DATOS_[[% normaliz]:[% normaliz]],1)*(DATOS_[Conc.Sal.01])))))))),
0)</f>
        <v>0</v>
      </c>
      <c r="K88" s="196">
        <f t="array" ref="K88">IFERROR(
(MEDIAN((IF(DATOS_[[Sexo]:[Sexo]]=$B88,IF(DATOS_[[AGRUP. CLAS. PROF.]:[AGRUP. CLAS. PROF.]]=$B87,IF(DATOS_[[Check Periodo Ref.]:[Check Periodo Ref.]]="Dentro",IF(DATOS_[[Check Equiparado]:[Check Equiparado]]="Sí",IF(DATOS!AF$5="Sí",(1/DATOS_[[% anualiz]:[% anualiz]]),1)*IF(DATOS!AF$4="Sí",1/DATOS_[[% normaliz]:[% normaliz]],1)*(DATOS_[Conc.Sal.02])))))))),
0)</f>
        <v>0</v>
      </c>
      <c r="L88" s="196">
        <f t="array" ref="L88">IFERROR(
(MEDIAN((IF(DATOS_[[Sexo]:[Sexo]]=$B88,IF(DATOS_[[AGRUP. CLAS. PROF.]:[AGRUP. CLAS. PROF.]]=$B87,IF(DATOS_[[Check Periodo Ref.]:[Check Periodo Ref.]]="Dentro",IF(DATOS_[[Check Equiparado]:[Check Equiparado]]="Sí",IF(DATOS!AG$5="Sí",(1/DATOS_[[% anualiz]:[% anualiz]]),1)*IF(DATOS!AG$4="Sí",1/DATOS_[[% normaliz]:[% normaliz]],1)*(DATOS_[Conc.Sal.03])))))))),
0)</f>
        <v>0</v>
      </c>
      <c r="M88" s="196">
        <f t="array" ref="M88">IFERROR(
(MEDIAN((IF(DATOS_[[Sexo]:[Sexo]]=$B88,IF(DATOS_[[AGRUP. CLAS. PROF.]:[AGRUP. CLAS. PROF.]]=$B87,IF(DATOS_[[Check Periodo Ref.]:[Check Periodo Ref.]]="Dentro",IF(DATOS_[[Check Equiparado]:[Check Equiparado]]="Sí",IF(DATOS!AH$5="Sí",(1/DATOS_[[% anualiz]:[% anualiz]]),1)*IF(DATOS!AH$4="Sí",1/DATOS_[[% normaliz]:[% normaliz]],1)*(DATOS_[Conc.Sal.04])))))))),
0)</f>
        <v>0</v>
      </c>
      <c r="N88" s="196">
        <f t="array" ref="N88">IFERROR(
(MEDIAN((IF(DATOS_[[Sexo]:[Sexo]]=$B88,IF(DATOS_[[AGRUP. CLAS. PROF.]:[AGRUP. CLAS. PROF.]]=$B87,IF(DATOS_[[Check Periodo Ref.]:[Check Periodo Ref.]]="Dentro",IF(DATOS_[[Check Equiparado]:[Check Equiparado]]="Sí",IF(DATOS!AI$5="Sí",(1/DATOS_[[% anualiz]:[% anualiz]]),1)*IF(DATOS!AI$4="Sí",1/DATOS_[[% normaliz]:[% normaliz]],1)*(DATOS_[Conc.Sal.05])))))))),
0)</f>
        <v>0</v>
      </c>
      <c r="O88" s="196">
        <f t="array" ref="O88">IFERROR(
(MEDIAN((IF(DATOS_[[Sexo]:[Sexo]]=$B88,IF(DATOS_[[AGRUP. CLAS. PROF.]:[AGRUP. CLAS. PROF.]]=$B87,IF(DATOS_[[Check Periodo Ref.]:[Check Periodo Ref.]]="Dentro",IF(DATOS_[[Check Equiparado]:[Check Equiparado]]="Sí",IF(DATOS!AJ$5="Sí",(1/DATOS_[[% anualiz]:[% anualiz]]),1)*IF(DATOS!AJ$4="Sí",1/DATOS_[[% normaliz]:[% normaliz]],1)*(DATOS_[Conc.Sal.06])))))))),
0)</f>
        <v>0</v>
      </c>
      <c r="P88" s="196">
        <f t="array" ref="P88">IFERROR(
(MEDIAN((IF(DATOS_[[Sexo]:[Sexo]]=$B88,IF(DATOS_[[AGRUP. CLAS. PROF.]:[AGRUP. CLAS. PROF.]]=$B87,IF(DATOS_[[Check Periodo Ref.]:[Check Periodo Ref.]]="Dentro",IF(DATOS_[[Check Equiparado]:[Check Equiparado]]="Sí",IF(DATOS!AK$5="Sí",(1/DATOS_[[% anualiz]:[% anualiz]]),1)*IF(DATOS!AK$4="Sí",1/DATOS_[[% normaliz]:[% normaliz]],1)*(DATOS_[Conc.Sal.07])))))))),
0)</f>
        <v>0</v>
      </c>
      <c r="Q88" s="196">
        <f t="array" ref="Q88">IFERROR(
(MEDIAN((IF(DATOS_[[Sexo]:[Sexo]]=$B88,IF(DATOS_[[AGRUP. CLAS. PROF.]:[AGRUP. CLAS. PROF.]]=$B87,IF(DATOS_[[Check Periodo Ref.]:[Check Periodo Ref.]]="Dentro",IF(DATOS_[[Check Equiparado]:[Check Equiparado]]="Sí",IF(DATOS!AL$5="Sí",(1/DATOS_[[% anualiz]:[% anualiz]]),1)*IF(DATOS!AL$4="Sí",1/DATOS_[[% normaliz]:[% normaliz]],1)*(DATOS_[Conc.Sal.08])))))))),
0)</f>
        <v>0</v>
      </c>
      <c r="R88" s="196">
        <f t="array" ref="R88">IFERROR(
(MEDIAN((IF(DATOS_[[Sexo]:[Sexo]]=$B88,IF(DATOS_[[AGRUP. CLAS. PROF.]:[AGRUP. CLAS. PROF.]]=$B87,IF(DATOS_[[Check Periodo Ref.]:[Check Periodo Ref.]]="Dentro",IF(DATOS_[[Check Equiparado]:[Check Equiparado]]="Sí",IF(DATOS!AM$5="Sí",(1/DATOS_[[% anualiz]:[% anualiz]]),1)*IF(DATOS!AM$4="Sí",1/DATOS_[[% normaliz]:[% normaliz]],1)*(DATOS_[Conc.Sal.09])))))))),
0)</f>
        <v>0</v>
      </c>
      <c r="S88" s="196">
        <f t="array" ref="S88">IFERROR(
(MEDIAN((IF(DATOS_[[Sexo]:[Sexo]]=$B88,IF(DATOS_[[AGRUP. CLAS. PROF.]:[AGRUP. CLAS. PROF.]]=$B87,IF(DATOS_[[Check Periodo Ref.]:[Check Periodo Ref.]]="Dentro",IF(DATOS_[[Check Equiparado]:[Check Equiparado]]="Sí",IF(DATOS!AN$5="Sí",(1/DATOS_[[% anualiz]:[% anualiz]]),1)*IF(DATOS!AN$4="Sí",1/DATOS_[[% normaliz]:[% normaliz]],1)*(DATOS_[Conc.Sal.10])))))))),
0)</f>
        <v>0</v>
      </c>
      <c r="T88" s="196">
        <f t="array" ref="T88">IFERROR(
(MEDIAN((IF(DATOS_[[Sexo]:[Sexo]]=$B88,IF(DATOS_[[AGRUP. CLAS. PROF.]:[AGRUP. CLAS. PROF.]]=$B87,IF(DATOS_[[Check Periodo Ref.]:[Check Periodo Ref.]]="Dentro",IF(DATOS_[[Check Equiparado]:[Check Equiparado]]="Sí",IF(DATOS!AO$5="Sí",(1/DATOS_[[% anualiz]:[% anualiz]]),1)*IF(DATOS!AO$4="Sí",1/DATOS_[[% normaliz]:[% normaliz]],1)*(DATOS_[Conc.Sal.11])))))))),
0)</f>
        <v>0</v>
      </c>
      <c r="U88" s="196">
        <f t="array" ref="U88">IFERROR(
(MEDIAN((IF(DATOS_[[Sexo]:[Sexo]]=$B88,IF(DATOS_[[AGRUP. CLAS. PROF.]:[AGRUP. CLAS. PROF.]]=$B87,IF(DATOS_[[Check Periodo Ref.]:[Check Periodo Ref.]]="Dentro",IF(DATOS_[[Check Equiparado]:[Check Equiparado]]="Sí",IF(DATOS!AP$5="Sí",(1/DATOS_[[% anualiz]:[% anualiz]]),1)*IF(DATOS!AP$4="Sí",1/DATOS_[[% normaliz]:[% normaliz]],1)*(DATOS_[Conc.Sal.12])))))))),
0)</f>
        <v>0</v>
      </c>
      <c r="V88" s="196">
        <f t="array" ref="V88">IFERROR(
(MEDIAN((IF(DATOS_[[Sexo]:[Sexo]]=$B88,IF(DATOS_[[AGRUP. CLAS. PROF.]:[AGRUP. CLAS. PROF.]]=$B87,IF(DATOS_[[Check Periodo Ref.]:[Check Periodo Ref.]]="Dentro",IF(DATOS_[[Check Equiparado]:[Check Equiparado]]="Sí",IF(DATOS!AQ$5="Sí",(1/DATOS_[[% anualiz]:[% anualiz]]),1)*IF(DATOS!AQ$4="Sí",1/DATOS_[[% normaliz]:[% normaliz]],1)*(DATOS_[Conc.Sal.13])))))))),
0)</f>
        <v>0</v>
      </c>
      <c r="W88" s="196">
        <f t="array" ref="W88">IFERROR(
(MEDIAN((IF(DATOS_[[Sexo]:[Sexo]]=$B88,IF(DATOS_[[AGRUP. CLAS. PROF.]:[AGRUP. CLAS. PROF.]]=$B87,IF(DATOS_[[Check Periodo Ref.]:[Check Periodo Ref.]]="Dentro",IF(DATOS_[[Check Equiparado]:[Check Equiparado]]="Sí",IF(DATOS!AR$5="Sí",(1/DATOS_[[% anualiz]:[% anualiz]]),1)*IF(DATOS!AR$4="Sí",1/DATOS_[[% normaliz]:[% normaliz]],1)*(DATOS_[Conc.Sal.14])))))))),
0)</f>
        <v>0</v>
      </c>
      <c r="X88" s="196">
        <f t="array" ref="X88">IFERROR(
(MEDIAN((IF(DATOS_[[Sexo]:[Sexo]]=$B88,IF(DATOS_[[AGRUP. CLAS. PROF.]:[AGRUP. CLAS. PROF.]]=$B87,IF(DATOS_[[Check Periodo Ref.]:[Check Periodo Ref.]]="Dentro",IF(DATOS_[[Check Equiparado]:[Check Equiparado]]="Sí",IF(DATOS!AS$5="Sí",(1/DATOS_[[% anualiz]:[% anualiz]]),1)*IF(DATOS!AS$4="Sí",1/DATOS_[[% normaliz]:[% normaliz]],1)*(DATOS_[Conc.Sal.15])))))))),
0)</f>
        <v>0</v>
      </c>
      <c r="Y88" s="196">
        <f t="array" ref="Y88">IFERROR(
(MEDIAN((IF(DATOS_[[Sexo]:[Sexo]]=$B88,IF(DATOS_[[AGRUP. CLAS. PROF.]:[AGRUP. CLAS. PROF.]]=$B87,IF(DATOS_[[Check Periodo Ref.]:[Check Periodo Ref.]]="Dentro",IF(DATOS_[[Check Equiparado]:[Check Equiparado]]="Sí",IF(DATOS!AT$5="Sí",(1/DATOS_[[% anualiz]:[% anualiz]]),1)*IF(DATOS!AT$4="Sí",1/DATOS_[[% normaliz]:[% normaliz]],1)*(DATOS_[Conc.Sal.16])))))))),
0)</f>
        <v>0</v>
      </c>
      <c r="Z88" s="196">
        <f t="array" ref="Z88">IFERROR(
(MEDIAN((IF(DATOS_[[Sexo]:[Sexo]]=$B88,IF(DATOS_[[AGRUP. CLAS. PROF.]:[AGRUP. CLAS. PROF.]]=$B87,IF(DATOS_[[Check Periodo Ref.]:[Check Periodo Ref.]]="Dentro",IF(DATOS_[[Check Equiparado]:[Check Equiparado]]="Sí",IF(DATOS!AU$5="Sí",(1/DATOS_[[% anualiz]:[% anualiz]]),1)*IF(DATOS!AU$4="Sí",1/DATOS_[[% normaliz]:[% normaliz]],1)*(DATOS_[Conc.Sal.17])))))))),
0)</f>
        <v>0</v>
      </c>
      <c r="AA88" s="196">
        <f t="array" ref="AA88">IFERROR(
(MEDIAN((IF(DATOS_[[Sexo]:[Sexo]]=$B88,IF(DATOS_[[AGRUP. CLAS. PROF.]:[AGRUP. CLAS. PROF.]]=$B87,IF(DATOS_[[Check Periodo Ref.]:[Check Periodo Ref.]]="Dentro",IF(DATOS_[[Check Equiparado]:[Check Equiparado]]="Sí",IF(DATOS!AV$5="Sí",(1/DATOS_[[% anualiz]:[% anualiz]]),1)*IF(DATOS!AV$4="Sí",1/DATOS_[[% normaliz]:[% normaliz]],1)*(DATOS_[Conc.Sal.18])))))))),
0)</f>
        <v>0</v>
      </c>
      <c r="AB88" s="196">
        <f t="array" ref="AB88">IFERROR(
(MEDIAN((IF(DATOS_[[Sexo]:[Sexo]]=$B88,IF(DATOS_[[AGRUP. CLAS. PROF.]:[AGRUP. CLAS. PROF.]]=$B87,IF(DATOS_[[Check Periodo Ref.]:[Check Periodo Ref.]]="Dentro",IF(DATOS_[[Check Equiparado]:[Check Equiparado]]="Sí",IF(DATOS!AW$5="Sí",(1/DATOS_[[% anualiz]:[% anualiz]]),1)*IF(DATOS!AW$4="Sí",1/DATOS_[[% normaliz]:[% normaliz]],1)*(DATOS_[Conc.Sal.19])))))))),
0)</f>
        <v>0</v>
      </c>
      <c r="AC88" s="196">
        <f t="array" ref="AC88">IFERROR(
(MEDIAN((IF(DATOS_[[Sexo]:[Sexo]]=$B88,IF(DATOS_[[AGRUP. CLAS. PROF.]:[AGRUP. CLAS. PROF.]]=$B87,IF(DATOS_[[Check Periodo Ref.]:[Check Periodo Ref.]]="Dentro",IF(DATOS_[[Check Equiparado]:[Check Equiparado]]="Sí",IF(DATOS!AX$5="Sí",(1/DATOS_[[% anualiz]:[% anualiz]]),1)*IF(DATOS!AX$4="Sí",1/DATOS_[[% normaliz]:[% normaliz]],1)*(DATOS_[Conc.Sal.20])))))))),
0)</f>
        <v>0</v>
      </c>
      <c r="AD88" s="196">
        <f t="array" ref="AD88">IFERROR(
(MEDIAN((IF(DATOS_[[Sexo]:[Sexo]]=$B88,IF(DATOS_[[AGRUP. CLAS. PROF.]:[AGRUP. CLAS. PROF.]]=$B87,IF(DATOS_[[Check Periodo Ref.]:[Check Periodo Ref.]]="Dentro",IF(DATOS_[[Check Equiparado]:[Check Equiparado]]="Sí",IF(DATOS!AY$5="Sí",(1/DATOS_[[% anualiz]:[% anualiz]]),1)*IF(DATOS!AY$4="Sí",1/DATOS_[[% normaliz]:[% normaliz]],1)*(DATOS_[Conc.Sal.21])))))))),
0)</f>
        <v>0</v>
      </c>
      <c r="AE88" s="196">
        <f t="array" ref="AE88">IFERROR(
(MEDIAN((IF(DATOS_[[Sexo]:[Sexo]]=$B88,IF(DATOS_[[AGRUP. CLAS. PROF.]:[AGRUP. CLAS. PROF.]]=$B87,IF(DATOS_[[Check Periodo Ref.]:[Check Periodo Ref.]]="Dentro",IF(DATOS_[[Check Equiparado]:[Check Equiparado]]="Sí",IF(DATOS!AZ$5="Sí",(1/DATOS_[[% anualiz]:[% anualiz]]),1)*IF(DATOS!AZ$4="Sí",1/DATOS_[[% normaliz]:[% normaliz]],1)*(DATOS_[Conc.Sal.22])))))))),
0)</f>
        <v>0</v>
      </c>
      <c r="AF88" s="196">
        <f t="array" ref="AF88">IFERROR(
(MEDIAN((IF(DATOS_[[Sexo]:[Sexo]]=$B88,IF(DATOS_[[AGRUP. CLAS. PROF.]:[AGRUP. CLAS. PROF.]]=$B87,IF(DATOS_[[Check Periodo Ref.]:[Check Periodo Ref.]]="Dentro",IF(DATOS_[[Check Equiparado]:[Check Equiparado]]="Sí",IF(DATOS!BA$5="Sí",(1/DATOS_[[% anualiz]:[% anualiz]]),1)*IF(DATOS!BA$4="Sí",1/DATOS_[[% normaliz]:[% normaliz]],1)*(DATOS_[Conc.Sal.23])))))))),
0)</f>
        <v>0</v>
      </c>
      <c r="AG88" s="196">
        <f t="array" ref="AG88">IFERROR(
(MEDIAN((IF(DATOS_[[Sexo]:[Sexo]]=$B88,IF(DATOS_[[AGRUP. CLAS. PROF.]:[AGRUP. CLAS. PROF.]]=$B87,IF(DATOS_[[Check Periodo Ref.]:[Check Periodo Ref.]]="Dentro",IF(DATOS_[[Check Equiparado]:[Check Equiparado]]="Sí",IF(DATOS!BB$5="Sí",(1/DATOS_[[% anualiz]:[% anualiz]]),1)*IF(DATOS!BB$4="Sí",1/DATOS_[[% normaliz]:[% normaliz]],1)*(DATOS_[Conc.Sal.24])))))))),
0)</f>
        <v>0</v>
      </c>
      <c r="AH88" s="196">
        <f t="array" ref="AH88">IFERROR(
(MEDIAN((IF(DATOS_[[Sexo]:[Sexo]]=$B88,IF(DATOS_[[AGRUP. CLAS. PROF.]:[AGRUP. CLAS. PROF.]]=$B87,IF(DATOS_[[Check Periodo Ref.]:[Check Periodo Ref.]]="Dentro",IF(DATOS_[[Check Equiparado]:[Check Equiparado]]="Sí",IF(DATOS!BC$5="Sí",(1/DATOS_[[% anualiz]:[% anualiz]]),1)*IF(DATOS!BC$4="Sí",1/DATOS_[[% normaliz]:[% normaliz]],1)*(DATOS_[Conc.Sal.25])))))))),
0)</f>
        <v>0</v>
      </c>
      <c r="AI88" s="196">
        <f t="array" ref="AI88">IFERROR(
(MEDIAN((IF(DATOS_[[Sexo]:[Sexo]]=$B88,IF(DATOS_[[AGRUP. CLAS. PROF.]:[AGRUP. CLAS. PROF.]]=$B87,IF(DATOS_[[Check Periodo Ref.]:[Check Periodo Ref.]]="Dentro",IF(DATOS_[[Check Equiparado]:[Check Equiparado]]="Sí",IF(DATOS!BD$5="Sí",(1/DATOS_[[% anualiz]:[% anualiz]]),1)*IF(DATOS!BD$4="Sí",1/DATOS_[[% normaliz]:[% normaliz]],1)*(DATOS_[Conc.Sal.26])))))))),
0)</f>
        <v>0</v>
      </c>
      <c r="AJ88" s="196">
        <f t="array" ref="AJ88">IFERROR(
(MEDIAN((IF(DATOS_[[Sexo]:[Sexo]]=$B88,IF(DATOS_[[AGRUP. CLAS. PROF.]:[AGRUP. CLAS. PROF.]]=$B87,IF(DATOS_[[Check Periodo Ref.]:[Check Periodo Ref.]]="Dentro",IF(DATOS_[[Check Equiparado]:[Check Equiparado]]="Sí",IF(DATOS!BE$5="Sí",(1/DATOS_[[% anualiz]:[% anualiz]]),1)*IF(DATOS!BE$4="Sí",1/DATOS_[[% normaliz]:[% normaliz]],1)*(DATOS_[Conc.Sal.27])))))))),
0)</f>
        <v>0</v>
      </c>
      <c r="AK88" s="196">
        <f t="array" ref="AK88">IFERROR(
(MEDIAN((IF(DATOS_[[Sexo]:[Sexo]]=$B88,IF(DATOS_[[AGRUP. CLAS. PROF.]:[AGRUP. CLAS. PROF.]]=$B87,IF(DATOS_[[Check Periodo Ref.]:[Check Periodo Ref.]]="Dentro",IF(DATOS_[[Check Equiparado]:[Check Equiparado]]="Sí",IF(DATOS!BF$5="Sí",(1/DATOS_[[% anualiz]:[% anualiz]]),1)*IF(DATOS!BF$4="Sí",1/DATOS_[[% normaliz]:[% normaliz]],1)*(DATOS_[Conc.Sal.28])))))))),
0)</f>
        <v>0</v>
      </c>
      <c r="AL88" s="196">
        <f t="array" ref="AL88">IFERROR(
(MEDIAN((IF(DATOS_[[Sexo]:[Sexo]]=$B88,IF(DATOS_[[AGRUP. CLAS. PROF.]:[AGRUP. CLAS. PROF.]]=$B87,IF(DATOS_[[Check Periodo Ref.]:[Check Periodo Ref.]]="Dentro",IF(DATOS_[[Check Equiparado]:[Check Equiparado]]="Sí",IF(DATOS!BG$5="Sí",(1/DATOS_[[% anualiz]:[% anualiz]]),1)*IF(DATOS!BG$4="Sí",1/DATOS_[[% normaliz]:[% normaliz]],1)*(DATOS_[Conc.Sal.29])))))))),
0)</f>
        <v>0</v>
      </c>
      <c r="AM88" s="196">
        <f t="array" ref="AM88">IFERROR(
(MEDIAN((IF(DATOS_[[Sexo]:[Sexo]]=$B88,IF(DATOS_[[AGRUP. CLAS. PROF.]:[AGRUP. CLAS. PROF.]]=$B87,IF(DATOS_[[Check Periodo Ref.]:[Check Periodo Ref.]]="Dentro",IF(DATOS_[[Check Equiparado]:[Check Equiparado]]="Sí",IF(DATOS!BH$5="Sí",(1/DATOS_[[% anualiz]:[% anualiz]]),1)*IF(DATOS!BH$4="Sí",1/DATOS_[[% normaliz]:[% normaliz]],1)*(DATOS_[Conc.Sal.30])))))))),
0)</f>
        <v>0</v>
      </c>
      <c r="AN88" s="195">
        <f t="array" ref="AN88">IFERROR(
MEDIAN(IF(DATOS_[Sexo]=$B88,IF(DATOS_[[AGRUP. CLAS. PROF.]:[AGRUP. CLAS. PROF.]]=$B87,IF(DATOS_[Check Equiparado]="Sí",IF(DATOS_[Check Periodo Ref.]="Dentro",DATOS_[Tot COMPL.SAL Eq],FALSE))))),
0)</f>
        <v>0</v>
      </c>
      <c r="AO88" s="172">
        <f t="array" ref="AO88">IFERROR(
MEDIAN(IF(DATOS_[Sexo]=$B88,IF(DATOS_[[AGRUP. CLAS. PROF.]:[AGRUP. CLAS. PROF.]]=$B87,IF(DATOS_[Check Equiparado]="Sí",IF(DATOS_[Check Periodo Ref.]="Dentro",DATOS_[TOTAL SALARIO Eq],FALSE))))),
0)</f>
        <v>0</v>
      </c>
      <c r="AP88" s="173">
        <f t="array" ref="AP88">IFERROR(
(MEDIAN((IF(DATOS_[[Sexo]:[Sexo]]=$B88,IF(DATOS_[[AGRUP. CLAS. PROF.]:[AGRUP. CLAS. PROF.]]=$B87,IF(DATOS_[[Check Periodo Ref.]:[Check Periodo Ref.]]="Dentro",IF(DATOS_[[Check Equiparado]:[Check Equiparado]]="Sí",IF(DATOS!BW$5="Sí",(1/DATOS_[[% anualiz]:[% anualiz]]),1)*IF(DATOS!BW$4="Sí",1/DATOS_[[% normaliz]:[% normaliz]],1)*(DATOS_[C.Extra.01])))))))),
0)</f>
        <v>0</v>
      </c>
      <c r="AQ88" s="173">
        <f t="array" ref="AQ88">IFERROR(
(MEDIAN((IF(DATOS_[[Sexo]:[Sexo]]=$B88,IF(DATOS_[[AGRUP. CLAS. PROF.]:[AGRUP. CLAS. PROF.]]=$B87,IF(DATOS_[[Check Periodo Ref.]:[Check Periodo Ref.]]="Dentro",IF(DATOS_[[Check Equiparado]:[Check Equiparado]]="Sí",IF(DATOS!CB$5="Sí",(1/DATOS_[[% anualiz]:[% anualiz]]),1)*IF(DATOS!CB$4="Sí",1/DATOS_[[% normaliz]:[% normaliz]],1)*(DATOS_[C.Extra.06])))))))),
0)</f>
        <v>0</v>
      </c>
      <c r="AR88" s="173">
        <f t="array" ref="AR88">IFERROR(
(MEDIAN((IF(DATOS_[[Sexo]:[Sexo]]=$B88,IF(DATOS_[[AGRUP. CLAS. PROF.]:[AGRUP. CLAS. PROF.]]=$B87,IF(DATOS_[[Check Periodo Ref.]:[Check Periodo Ref.]]="Dentro",IF(DATOS_[[Check Equiparado]:[Check Equiparado]]="Sí",IF(DATOS!CC$5="Sí",(1/DATOS_[[% anualiz]:[% anualiz]]),1)*IF(DATOS!CC$4="Sí",1/DATOS_[[% normaliz]:[% normaliz]],1)*(DATOS_[C.Extra.07])))))))),
0)</f>
        <v>0</v>
      </c>
      <c r="AS88" s="173">
        <f t="array" ref="AS88">IFERROR(
(MEDIAN((IF(DATOS_[[Sexo]:[Sexo]]=$B88,IF(DATOS_[[AGRUP. CLAS. PROF.]:[AGRUP. CLAS. PROF.]]=$B87,IF(DATOS_[[Check Periodo Ref.]:[Check Periodo Ref.]]="Dentro",IF(DATOS_[[Check Equiparado]:[Check Equiparado]]="Sí",IF(DATOS!CD$5="Sí",(1/DATOS_[[% anualiz]:[% anualiz]]),1)*IF(DATOS!CD$4="Sí",1/DATOS_[[% normaliz]:[% normaliz]],1)*(DATOS_[C.Extra.08])))))))),
0)</f>
        <v>0</v>
      </c>
      <c r="AT88" s="173">
        <f t="array" ref="AT88">IFERROR(
(MEDIAN((IF(DATOS_[[Sexo]:[Sexo]]=$B88,IF(DATOS_[[AGRUP. CLAS. PROF.]:[AGRUP. CLAS. PROF.]]=$B87,IF(DATOS_[[Check Periodo Ref.]:[Check Periodo Ref.]]="Dentro",IF(DATOS_[[Check Equiparado]:[Check Equiparado]]="Sí",IF(DATOS!CG$5="Sí",(1/DATOS_[[% anualiz]:[% anualiz]]),1)*IF(DATOS!CG$4="Sí",1/DATOS_[[% normaliz]:[% normaliz]],1)*(DATOS_[C.Extra.11])))))))),
0)</f>
        <v>0</v>
      </c>
      <c r="AU88" s="197">
        <f t="array" ref="AU88">IFERROR(
MEDIAN(IF(DATOS_[Sexo]=$B88,IF(DATOS_[[AGRUP. CLAS. PROF.]:[AGRUP. CLAS. PROF.]]=$B87,IF(DATOS_[Check Equiparado]="Sí",IF(DATOS_[Check Periodo Ref.]="Dentro",DATOS_[Tot Extrasalarial Eq],FALSE))))),
0)</f>
        <v>0</v>
      </c>
      <c r="AV88" s="175">
        <f t="array" ref="AV88">IFERROR(
MEDIAN(IF(DATOS_[Sexo]=$B88,IF(DATOS_[[AGRUP. CLAS. PROF.]:[AGRUP. CLAS. PROF.]]=$B87,IF(DATOS_[Check Equiparado]="Sí",IF(DATOS_[Check Periodo Ref.]="Dentro",DATOS_[TOTAL Retrib Eq],FALSE))))),
0)</f>
        <v>0</v>
      </c>
    </row>
    <row r="89" spans="1:48" hidden="1" x14ac:dyDescent="0.25">
      <c r="A89" s="133" t="str">
        <f t="shared" ref="A89" si="102">+A88</f>
        <v>[ocultar]</v>
      </c>
      <c r="B89" s="202" t="s">
        <v>521</v>
      </c>
      <c r="C89" s="203">
        <f t="array" ref="C89">SUM(IF($B89=DATOS_[Sexo],
IF($B87=DATOS_[AGRUP. CLAS. PROF.],
IF("Dentro"=DATOS_[Check Periodo Ref.],
1/(COUNTIFS(DATOS_[Sexo],$B89,DATOS_[AGRUP. CLAS. PROF.],$B87,DATOS_[Check Periodo Ref.],"Dentro",DATOS_[id/cod],DATOS_[id/cod]))))))</f>
        <v>0</v>
      </c>
      <c r="D89" s="204">
        <f>COUNTIFS(DATOS_[AGRUP. CLAS. PROF.],$B87,DATOS_[Sexo],$B89,DATOS_[Check Periodo Ref.],"Dentro")</f>
        <v>0</v>
      </c>
      <c r="E89" s="204">
        <f>COUNTIFS(DATOS_[AGRUP. CLAS. PROF.],$B87,DATOS_[Sexo],$B89,DATOS_[Check Periodo Ref.],"Dentro",DATOS_[Check Nº SC Norm],"Sí")</f>
        <v>0</v>
      </c>
      <c r="F89" s="204">
        <f>COUNTIFS(DATOS_[AGRUP. CLAS. PROF.],$B87,DATOS_[Sexo],$B89,DATOS_[Check Periodo Ref.],"Dentro",DATOS_[Check Nº SC Anualiz],"Sí")</f>
        <v>0</v>
      </c>
      <c r="G89" s="204">
        <f>COUNTIFS(DATOS_[AGRUP. CLAS. PROF.],$B87,DATOS_[Sexo],$B89,DATOS_[Check Periodo Ref.],"Dentro",DATOS_[Check Nº SC Norm y Anualiz],"Sí")</f>
        <v>0</v>
      </c>
      <c r="H89" s="204">
        <f>COUNTIFS(DATOS_[AGRUP. CLAS. PROF.],$B87,DATOS_[Sexo],$B89,DATOS_[Check Periodo Ref.],"Dentro",DATOS_[Check Equiparación],"Sí")</f>
        <v>0</v>
      </c>
      <c r="I89" s="195" cm="1">
        <f t="array" ref="I89">IFERROR(
MEDIAN(IF(DATOS_[Sexo]=$B89,IF(DATOS_[[AGRUP. CLAS. PROF.]:[AGRUP. CLAS. PROF.]]=$B87,IF(DATOS_[Check Equiparado]="Sí",IF(DATOS_[Check Periodo Ref.]="Dentro",DATOS_[SALARIO BASE Eq],FALSE))))),
0)</f>
        <v>0</v>
      </c>
      <c r="J89" s="196">
        <f t="array" ref="J89">IFERROR(
(MEDIAN((IF(DATOS_[[Sexo]:[Sexo]]=$B89,IF(DATOS_[[AGRUP. CLAS. PROF.]:[AGRUP. CLAS. PROF.]]=$B87,IF(DATOS_[[Check Periodo Ref.]:[Check Periodo Ref.]]="Dentro",IF(DATOS_[[Check Equiparado]:[Check Equiparado]]="Sí",IF(DATOS!AE$5="Sí",(1/DATOS_[[% anualiz]:[% anualiz]]),1)*IF(DATOS!AE$4="Sí",1/DATOS_[[% normaliz]:[% normaliz]],1)*(DATOS_[Conc.Sal.01])))))))),
0)</f>
        <v>0</v>
      </c>
      <c r="K89" s="196">
        <f t="array" ref="K89">IFERROR(
(MEDIAN((IF(DATOS_[[Sexo]:[Sexo]]=$B89,IF(DATOS_[[AGRUP. CLAS. PROF.]:[AGRUP. CLAS. PROF.]]=$B87,IF(DATOS_[[Check Periodo Ref.]:[Check Periodo Ref.]]="Dentro",IF(DATOS_[[Check Equiparado]:[Check Equiparado]]="Sí",IF(DATOS!AF$5="Sí",(1/DATOS_[[% anualiz]:[% anualiz]]),1)*IF(DATOS!AF$4="Sí",1/DATOS_[[% normaliz]:[% normaliz]],1)*(DATOS_[Conc.Sal.02])))))))),
0)</f>
        <v>0</v>
      </c>
      <c r="L89" s="196">
        <f t="array" ref="L89">IFERROR(
(MEDIAN((IF(DATOS_[[Sexo]:[Sexo]]=$B89,IF(DATOS_[[AGRUP. CLAS. PROF.]:[AGRUP. CLAS. PROF.]]=$B87,IF(DATOS_[[Check Periodo Ref.]:[Check Periodo Ref.]]="Dentro",IF(DATOS_[[Check Equiparado]:[Check Equiparado]]="Sí",IF(DATOS!AG$5="Sí",(1/DATOS_[[% anualiz]:[% anualiz]]),1)*IF(DATOS!AG$4="Sí",1/DATOS_[[% normaliz]:[% normaliz]],1)*(DATOS_[Conc.Sal.03])))))))),
0)</f>
        <v>0</v>
      </c>
      <c r="M89" s="196">
        <f t="array" ref="M89">IFERROR(
(MEDIAN((IF(DATOS_[[Sexo]:[Sexo]]=$B89,IF(DATOS_[[AGRUP. CLAS. PROF.]:[AGRUP. CLAS. PROF.]]=$B87,IF(DATOS_[[Check Periodo Ref.]:[Check Periodo Ref.]]="Dentro",IF(DATOS_[[Check Equiparado]:[Check Equiparado]]="Sí",IF(DATOS!AH$5="Sí",(1/DATOS_[[% anualiz]:[% anualiz]]),1)*IF(DATOS!AH$4="Sí",1/DATOS_[[% normaliz]:[% normaliz]],1)*(DATOS_[Conc.Sal.04])))))))),
0)</f>
        <v>0</v>
      </c>
      <c r="N89" s="196">
        <f t="array" ref="N89">IFERROR(
(MEDIAN((IF(DATOS_[[Sexo]:[Sexo]]=$B89,IF(DATOS_[[AGRUP. CLAS. PROF.]:[AGRUP. CLAS. PROF.]]=$B87,IF(DATOS_[[Check Periodo Ref.]:[Check Periodo Ref.]]="Dentro",IF(DATOS_[[Check Equiparado]:[Check Equiparado]]="Sí",IF(DATOS!AI$5="Sí",(1/DATOS_[[% anualiz]:[% anualiz]]),1)*IF(DATOS!AI$4="Sí",1/DATOS_[[% normaliz]:[% normaliz]],1)*(DATOS_[Conc.Sal.05])))))))),
0)</f>
        <v>0</v>
      </c>
      <c r="O89" s="196">
        <f t="array" ref="O89">IFERROR(
(MEDIAN((IF(DATOS_[[Sexo]:[Sexo]]=$B89,IF(DATOS_[[AGRUP. CLAS. PROF.]:[AGRUP. CLAS. PROF.]]=$B87,IF(DATOS_[[Check Periodo Ref.]:[Check Periodo Ref.]]="Dentro",IF(DATOS_[[Check Equiparado]:[Check Equiparado]]="Sí",IF(DATOS!AJ$5="Sí",(1/DATOS_[[% anualiz]:[% anualiz]]),1)*IF(DATOS!AJ$4="Sí",1/DATOS_[[% normaliz]:[% normaliz]],1)*(DATOS_[Conc.Sal.06])))))))),
0)</f>
        <v>0</v>
      </c>
      <c r="P89" s="196">
        <f t="array" ref="P89">IFERROR(
(MEDIAN((IF(DATOS_[[Sexo]:[Sexo]]=$B89,IF(DATOS_[[AGRUP. CLAS. PROF.]:[AGRUP. CLAS. PROF.]]=$B87,IF(DATOS_[[Check Periodo Ref.]:[Check Periodo Ref.]]="Dentro",IF(DATOS_[[Check Equiparado]:[Check Equiparado]]="Sí",IF(DATOS!AK$5="Sí",(1/DATOS_[[% anualiz]:[% anualiz]]),1)*IF(DATOS!AK$4="Sí",1/DATOS_[[% normaliz]:[% normaliz]],1)*(DATOS_[Conc.Sal.07])))))))),
0)</f>
        <v>0</v>
      </c>
      <c r="Q89" s="196">
        <f t="array" ref="Q89">IFERROR(
(MEDIAN((IF(DATOS_[[Sexo]:[Sexo]]=$B89,IF(DATOS_[[AGRUP. CLAS. PROF.]:[AGRUP. CLAS. PROF.]]=$B87,IF(DATOS_[[Check Periodo Ref.]:[Check Periodo Ref.]]="Dentro",IF(DATOS_[[Check Equiparado]:[Check Equiparado]]="Sí",IF(DATOS!AL$5="Sí",(1/DATOS_[[% anualiz]:[% anualiz]]),1)*IF(DATOS!AL$4="Sí",1/DATOS_[[% normaliz]:[% normaliz]],1)*(DATOS_[Conc.Sal.08])))))))),
0)</f>
        <v>0</v>
      </c>
      <c r="R89" s="196">
        <f t="array" ref="R89">IFERROR(
(MEDIAN((IF(DATOS_[[Sexo]:[Sexo]]=$B89,IF(DATOS_[[AGRUP. CLAS. PROF.]:[AGRUP. CLAS. PROF.]]=$B87,IF(DATOS_[[Check Periodo Ref.]:[Check Periodo Ref.]]="Dentro",IF(DATOS_[[Check Equiparado]:[Check Equiparado]]="Sí",IF(DATOS!AM$5="Sí",(1/DATOS_[[% anualiz]:[% anualiz]]),1)*IF(DATOS!AM$4="Sí",1/DATOS_[[% normaliz]:[% normaliz]],1)*(DATOS_[Conc.Sal.09])))))))),
0)</f>
        <v>0</v>
      </c>
      <c r="S89" s="196">
        <f t="array" ref="S89">IFERROR(
(MEDIAN((IF(DATOS_[[Sexo]:[Sexo]]=$B89,IF(DATOS_[[AGRUP. CLAS. PROF.]:[AGRUP. CLAS. PROF.]]=$B87,IF(DATOS_[[Check Periodo Ref.]:[Check Periodo Ref.]]="Dentro",IF(DATOS_[[Check Equiparado]:[Check Equiparado]]="Sí",IF(DATOS!AN$5="Sí",(1/DATOS_[[% anualiz]:[% anualiz]]),1)*IF(DATOS!AN$4="Sí",1/DATOS_[[% normaliz]:[% normaliz]],1)*(DATOS_[Conc.Sal.10])))))))),
0)</f>
        <v>0</v>
      </c>
      <c r="T89" s="196">
        <f t="array" ref="T89">IFERROR(
(MEDIAN((IF(DATOS_[[Sexo]:[Sexo]]=$B89,IF(DATOS_[[AGRUP. CLAS. PROF.]:[AGRUP. CLAS. PROF.]]=$B87,IF(DATOS_[[Check Periodo Ref.]:[Check Periodo Ref.]]="Dentro",IF(DATOS_[[Check Equiparado]:[Check Equiparado]]="Sí",IF(DATOS!AO$5="Sí",(1/DATOS_[[% anualiz]:[% anualiz]]),1)*IF(DATOS!AO$4="Sí",1/DATOS_[[% normaliz]:[% normaliz]],1)*(DATOS_[Conc.Sal.11])))))))),
0)</f>
        <v>0</v>
      </c>
      <c r="U89" s="196">
        <f t="array" ref="U89">IFERROR(
(MEDIAN((IF(DATOS_[[Sexo]:[Sexo]]=$B89,IF(DATOS_[[AGRUP. CLAS. PROF.]:[AGRUP. CLAS. PROF.]]=$B87,IF(DATOS_[[Check Periodo Ref.]:[Check Periodo Ref.]]="Dentro",IF(DATOS_[[Check Equiparado]:[Check Equiparado]]="Sí",IF(DATOS!AP$5="Sí",(1/DATOS_[[% anualiz]:[% anualiz]]),1)*IF(DATOS!AP$4="Sí",1/DATOS_[[% normaliz]:[% normaliz]],1)*(DATOS_[Conc.Sal.12])))))))),
0)</f>
        <v>0</v>
      </c>
      <c r="V89" s="196">
        <f t="array" ref="V89">IFERROR(
(MEDIAN((IF(DATOS_[[Sexo]:[Sexo]]=$B89,IF(DATOS_[[AGRUP. CLAS. PROF.]:[AGRUP. CLAS. PROF.]]=$B87,IF(DATOS_[[Check Periodo Ref.]:[Check Periodo Ref.]]="Dentro",IF(DATOS_[[Check Equiparado]:[Check Equiparado]]="Sí",IF(DATOS!AQ$5="Sí",(1/DATOS_[[% anualiz]:[% anualiz]]),1)*IF(DATOS!AQ$4="Sí",1/DATOS_[[% normaliz]:[% normaliz]],1)*(DATOS_[Conc.Sal.13])))))))),
0)</f>
        <v>0</v>
      </c>
      <c r="W89" s="196">
        <f t="array" ref="W89">IFERROR(
(MEDIAN((IF(DATOS_[[Sexo]:[Sexo]]=$B89,IF(DATOS_[[AGRUP. CLAS. PROF.]:[AGRUP. CLAS. PROF.]]=$B87,IF(DATOS_[[Check Periodo Ref.]:[Check Periodo Ref.]]="Dentro",IF(DATOS_[[Check Equiparado]:[Check Equiparado]]="Sí",IF(DATOS!AR$5="Sí",(1/DATOS_[[% anualiz]:[% anualiz]]),1)*IF(DATOS!AR$4="Sí",1/DATOS_[[% normaliz]:[% normaliz]],1)*(DATOS_[Conc.Sal.14])))))))),
0)</f>
        <v>0</v>
      </c>
      <c r="X89" s="196">
        <f t="array" ref="X89">IFERROR(
(MEDIAN((IF(DATOS_[[Sexo]:[Sexo]]=$B89,IF(DATOS_[[AGRUP. CLAS. PROF.]:[AGRUP. CLAS. PROF.]]=$B87,IF(DATOS_[[Check Periodo Ref.]:[Check Periodo Ref.]]="Dentro",IF(DATOS_[[Check Equiparado]:[Check Equiparado]]="Sí",IF(DATOS!AS$5="Sí",(1/DATOS_[[% anualiz]:[% anualiz]]),1)*IF(DATOS!AS$4="Sí",1/DATOS_[[% normaliz]:[% normaliz]],1)*(DATOS_[Conc.Sal.15])))))))),
0)</f>
        <v>0</v>
      </c>
      <c r="Y89" s="196">
        <f t="array" ref="Y89">IFERROR(
(MEDIAN((IF(DATOS_[[Sexo]:[Sexo]]=$B89,IF(DATOS_[[AGRUP. CLAS. PROF.]:[AGRUP. CLAS. PROF.]]=$B87,IF(DATOS_[[Check Periodo Ref.]:[Check Periodo Ref.]]="Dentro",IF(DATOS_[[Check Equiparado]:[Check Equiparado]]="Sí",IF(DATOS!AT$5="Sí",(1/DATOS_[[% anualiz]:[% anualiz]]),1)*IF(DATOS!AT$4="Sí",1/DATOS_[[% normaliz]:[% normaliz]],1)*(DATOS_[Conc.Sal.16])))))))),
0)</f>
        <v>0</v>
      </c>
      <c r="Z89" s="196">
        <f t="array" ref="Z89">IFERROR(
(MEDIAN((IF(DATOS_[[Sexo]:[Sexo]]=$B89,IF(DATOS_[[AGRUP. CLAS. PROF.]:[AGRUP. CLAS. PROF.]]=$B87,IF(DATOS_[[Check Periodo Ref.]:[Check Periodo Ref.]]="Dentro",IF(DATOS_[[Check Equiparado]:[Check Equiparado]]="Sí",IF(DATOS!AU$5="Sí",(1/DATOS_[[% anualiz]:[% anualiz]]),1)*IF(DATOS!AU$4="Sí",1/DATOS_[[% normaliz]:[% normaliz]],1)*(DATOS_[Conc.Sal.17])))))))),
0)</f>
        <v>0</v>
      </c>
      <c r="AA89" s="196">
        <f t="array" ref="AA89">IFERROR(
(MEDIAN((IF(DATOS_[[Sexo]:[Sexo]]=$B89,IF(DATOS_[[AGRUP. CLAS. PROF.]:[AGRUP. CLAS. PROF.]]=$B87,IF(DATOS_[[Check Periodo Ref.]:[Check Periodo Ref.]]="Dentro",IF(DATOS_[[Check Equiparado]:[Check Equiparado]]="Sí",IF(DATOS!AV$5="Sí",(1/DATOS_[[% anualiz]:[% anualiz]]),1)*IF(DATOS!AV$4="Sí",1/DATOS_[[% normaliz]:[% normaliz]],1)*(DATOS_[Conc.Sal.18])))))))),
0)</f>
        <v>0</v>
      </c>
      <c r="AB89" s="196">
        <f t="array" ref="AB89">IFERROR(
(MEDIAN((IF(DATOS_[[Sexo]:[Sexo]]=$B89,IF(DATOS_[[AGRUP. CLAS. PROF.]:[AGRUP. CLAS. PROF.]]=$B87,IF(DATOS_[[Check Periodo Ref.]:[Check Periodo Ref.]]="Dentro",IF(DATOS_[[Check Equiparado]:[Check Equiparado]]="Sí",IF(DATOS!AW$5="Sí",(1/DATOS_[[% anualiz]:[% anualiz]]),1)*IF(DATOS!AW$4="Sí",1/DATOS_[[% normaliz]:[% normaliz]],1)*(DATOS_[Conc.Sal.19])))))))),
0)</f>
        <v>0</v>
      </c>
      <c r="AC89" s="196">
        <f t="array" ref="AC89">IFERROR(
(MEDIAN((IF(DATOS_[[Sexo]:[Sexo]]=$B89,IF(DATOS_[[AGRUP. CLAS. PROF.]:[AGRUP. CLAS. PROF.]]=$B87,IF(DATOS_[[Check Periodo Ref.]:[Check Periodo Ref.]]="Dentro",IF(DATOS_[[Check Equiparado]:[Check Equiparado]]="Sí",IF(DATOS!AX$5="Sí",(1/DATOS_[[% anualiz]:[% anualiz]]),1)*IF(DATOS!AX$4="Sí",1/DATOS_[[% normaliz]:[% normaliz]],1)*(DATOS_[Conc.Sal.20])))))))),
0)</f>
        <v>0</v>
      </c>
      <c r="AD89" s="196">
        <f t="array" ref="AD89">IFERROR(
(MEDIAN((IF(DATOS_[[Sexo]:[Sexo]]=$B89,IF(DATOS_[[AGRUP. CLAS. PROF.]:[AGRUP. CLAS. PROF.]]=$B87,IF(DATOS_[[Check Periodo Ref.]:[Check Periodo Ref.]]="Dentro",IF(DATOS_[[Check Equiparado]:[Check Equiparado]]="Sí",IF(DATOS!AY$5="Sí",(1/DATOS_[[% anualiz]:[% anualiz]]),1)*IF(DATOS!AY$4="Sí",1/DATOS_[[% normaliz]:[% normaliz]],1)*(DATOS_[Conc.Sal.21])))))))),
0)</f>
        <v>0</v>
      </c>
      <c r="AE89" s="196">
        <f t="array" ref="AE89">IFERROR(
(MEDIAN((IF(DATOS_[[Sexo]:[Sexo]]=$B89,IF(DATOS_[[AGRUP. CLAS. PROF.]:[AGRUP. CLAS. PROF.]]=$B87,IF(DATOS_[[Check Periodo Ref.]:[Check Periodo Ref.]]="Dentro",IF(DATOS_[[Check Equiparado]:[Check Equiparado]]="Sí",IF(DATOS!AZ$5="Sí",(1/DATOS_[[% anualiz]:[% anualiz]]),1)*IF(DATOS!AZ$4="Sí",1/DATOS_[[% normaliz]:[% normaliz]],1)*(DATOS_[Conc.Sal.22])))))))),
0)</f>
        <v>0</v>
      </c>
      <c r="AF89" s="196">
        <f t="array" ref="AF89">IFERROR(
(MEDIAN((IF(DATOS_[[Sexo]:[Sexo]]=$B89,IF(DATOS_[[AGRUP. CLAS. PROF.]:[AGRUP. CLAS. PROF.]]=$B87,IF(DATOS_[[Check Periodo Ref.]:[Check Periodo Ref.]]="Dentro",IF(DATOS_[[Check Equiparado]:[Check Equiparado]]="Sí",IF(DATOS!BA$5="Sí",(1/DATOS_[[% anualiz]:[% anualiz]]),1)*IF(DATOS!BA$4="Sí",1/DATOS_[[% normaliz]:[% normaliz]],1)*(DATOS_[Conc.Sal.23])))))))),
0)</f>
        <v>0</v>
      </c>
      <c r="AG89" s="196">
        <f t="array" ref="AG89">IFERROR(
(MEDIAN((IF(DATOS_[[Sexo]:[Sexo]]=$B89,IF(DATOS_[[AGRUP. CLAS. PROF.]:[AGRUP. CLAS. PROF.]]=$B87,IF(DATOS_[[Check Periodo Ref.]:[Check Periodo Ref.]]="Dentro",IF(DATOS_[[Check Equiparado]:[Check Equiparado]]="Sí",IF(DATOS!BB$5="Sí",(1/DATOS_[[% anualiz]:[% anualiz]]),1)*IF(DATOS!BB$4="Sí",1/DATOS_[[% normaliz]:[% normaliz]],1)*(DATOS_[Conc.Sal.24])))))))),
0)</f>
        <v>0</v>
      </c>
      <c r="AH89" s="196">
        <f t="array" ref="AH89">IFERROR(
(MEDIAN((IF(DATOS_[[Sexo]:[Sexo]]=$B89,IF(DATOS_[[AGRUP. CLAS. PROF.]:[AGRUP. CLAS. PROF.]]=$B87,IF(DATOS_[[Check Periodo Ref.]:[Check Periodo Ref.]]="Dentro",IF(DATOS_[[Check Equiparado]:[Check Equiparado]]="Sí",IF(DATOS!BC$5="Sí",(1/DATOS_[[% anualiz]:[% anualiz]]),1)*IF(DATOS!BC$4="Sí",1/DATOS_[[% normaliz]:[% normaliz]],1)*(DATOS_[Conc.Sal.25])))))))),
0)</f>
        <v>0</v>
      </c>
      <c r="AI89" s="196">
        <f t="array" ref="AI89">IFERROR(
(MEDIAN((IF(DATOS_[[Sexo]:[Sexo]]=$B89,IF(DATOS_[[AGRUP. CLAS. PROF.]:[AGRUP. CLAS. PROF.]]=$B87,IF(DATOS_[[Check Periodo Ref.]:[Check Periodo Ref.]]="Dentro",IF(DATOS_[[Check Equiparado]:[Check Equiparado]]="Sí",IF(DATOS!BD$5="Sí",(1/DATOS_[[% anualiz]:[% anualiz]]),1)*IF(DATOS!BD$4="Sí",1/DATOS_[[% normaliz]:[% normaliz]],1)*(DATOS_[Conc.Sal.26])))))))),
0)</f>
        <v>0</v>
      </c>
      <c r="AJ89" s="196">
        <f t="array" ref="AJ89">IFERROR(
(MEDIAN((IF(DATOS_[[Sexo]:[Sexo]]=$B89,IF(DATOS_[[AGRUP. CLAS. PROF.]:[AGRUP. CLAS. PROF.]]=$B87,IF(DATOS_[[Check Periodo Ref.]:[Check Periodo Ref.]]="Dentro",IF(DATOS_[[Check Equiparado]:[Check Equiparado]]="Sí",IF(DATOS!BE$5="Sí",(1/DATOS_[[% anualiz]:[% anualiz]]),1)*IF(DATOS!BE$4="Sí",1/DATOS_[[% normaliz]:[% normaliz]],1)*(DATOS_[Conc.Sal.27])))))))),
0)</f>
        <v>0</v>
      </c>
      <c r="AK89" s="196">
        <f t="array" ref="AK89">IFERROR(
(MEDIAN((IF(DATOS_[[Sexo]:[Sexo]]=$B89,IF(DATOS_[[AGRUP. CLAS. PROF.]:[AGRUP. CLAS. PROF.]]=$B87,IF(DATOS_[[Check Periodo Ref.]:[Check Periodo Ref.]]="Dentro",IF(DATOS_[[Check Equiparado]:[Check Equiparado]]="Sí",IF(DATOS!BF$5="Sí",(1/DATOS_[[% anualiz]:[% anualiz]]),1)*IF(DATOS!BF$4="Sí",1/DATOS_[[% normaliz]:[% normaliz]],1)*(DATOS_[Conc.Sal.28])))))))),
0)</f>
        <v>0</v>
      </c>
      <c r="AL89" s="196">
        <f t="array" ref="AL89">IFERROR(
(MEDIAN((IF(DATOS_[[Sexo]:[Sexo]]=$B89,IF(DATOS_[[AGRUP. CLAS. PROF.]:[AGRUP. CLAS. PROF.]]=$B87,IF(DATOS_[[Check Periodo Ref.]:[Check Periodo Ref.]]="Dentro",IF(DATOS_[[Check Equiparado]:[Check Equiparado]]="Sí",IF(DATOS!BG$5="Sí",(1/DATOS_[[% anualiz]:[% anualiz]]),1)*IF(DATOS!BG$4="Sí",1/DATOS_[[% normaliz]:[% normaliz]],1)*(DATOS_[Conc.Sal.29])))))))),
0)</f>
        <v>0</v>
      </c>
      <c r="AM89" s="196">
        <f t="array" ref="AM89">IFERROR(
(MEDIAN((IF(DATOS_[[Sexo]:[Sexo]]=$B89,IF(DATOS_[[AGRUP. CLAS. PROF.]:[AGRUP. CLAS. PROF.]]=$B87,IF(DATOS_[[Check Periodo Ref.]:[Check Periodo Ref.]]="Dentro",IF(DATOS_[[Check Equiparado]:[Check Equiparado]]="Sí",IF(DATOS!BH$5="Sí",(1/DATOS_[[% anualiz]:[% anualiz]]),1)*IF(DATOS!BH$4="Sí",1/DATOS_[[% normaliz]:[% normaliz]],1)*(DATOS_[Conc.Sal.30])))))))),
0)</f>
        <v>0</v>
      </c>
      <c r="AN89" s="195">
        <f t="array" ref="AN89">IFERROR(
MEDIAN(IF(DATOS_[Sexo]=$B89,IF(DATOS_[[AGRUP. CLAS. PROF.]:[AGRUP. CLAS. PROF.]]=$B87,IF(DATOS_[Check Equiparado]="Sí",IF(DATOS_[Check Periodo Ref.]="Dentro",DATOS_[Tot COMPL.SAL Eq],FALSE))))),
0)</f>
        <v>0</v>
      </c>
      <c r="AO89" s="172">
        <f t="array" ref="AO89">IFERROR(
MEDIAN(IF(DATOS_[Sexo]=$B89,IF(DATOS_[[AGRUP. CLAS. PROF.]:[AGRUP. CLAS. PROF.]]=$B87,IF(DATOS_[Check Equiparado]="Sí",IF(DATOS_[Check Periodo Ref.]="Dentro",DATOS_[TOTAL SALARIO Eq],FALSE))))),
0)</f>
        <v>0</v>
      </c>
      <c r="AP89" s="173">
        <f t="array" ref="AP89">IFERROR(
(MEDIAN((IF(DATOS_[[Sexo]:[Sexo]]=$B89,IF(DATOS_[[AGRUP. CLAS. PROF.]:[AGRUP. CLAS. PROF.]]=$B87,IF(DATOS_[[Check Periodo Ref.]:[Check Periodo Ref.]]="Dentro",IF(DATOS_[[Check Equiparado]:[Check Equiparado]]="Sí",IF(DATOS!BW$5="Sí",(1/DATOS_[[% anualiz]:[% anualiz]]),1)*IF(DATOS!BW$4="Sí",1/DATOS_[[% normaliz]:[% normaliz]],1)*(DATOS_[C.Extra.01])))))))),
0)</f>
        <v>0</v>
      </c>
      <c r="AQ89" s="173">
        <f t="array" ref="AQ89">IFERROR(
(MEDIAN((IF(DATOS_[[Sexo]:[Sexo]]=$B89,IF(DATOS_[[AGRUP. CLAS. PROF.]:[AGRUP. CLAS. PROF.]]=$B87,IF(DATOS_[[Check Periodo Ref.]:[Check Periodo Ref.]]="Dentro",IF(DATOS_[[Check Equiparado]:[Check Equiparado]]="Sí",IF(DATOS!CB$5="Sí",(1/DATOS_[[% anualiz]:[% anualiz]]),1)*IF(DATOS!CB$4="Sí",1/DATOS_[[% normaliz]:[% normaliz]],1)*(DATOS_[C.Extra.06])))))))),
0)</f>
        <v>0</v>
      </c>
      <c r="AR89" s="173">
        <f t="array" ref="AR89">IFERROR(
(MEDIAN((IF(DATOS_[[Sexo]:[Sexo]]=$B89,IF(DATOS_[[AGRUP. CLAS. PROF.]:[AGRUP. CLAS. PROF.]]=$B87,IF(DATOS_[[Check Periodo Ref.]:[Check Periodo Ref.]]="Dentro",IF(DATOS_[[Check Equiparado]:[Check Equiparado]]="Sí",IF(DATOS!CC$5="Sí",(1/DATOS_[[% anualiz]:[% anualiz]]),1)*IF(DATOS!CC$4="Sí",1/DATOS_[[% normaliz]:[% normaliz]],1)*(DATOS_[C.Extra.07])))))))),
0)</f>
        <v>0</v>
      </c>
      <c r="AS89" s="173">
        <f t="array" ref="AS89">IFERROR(
(MEDIAN((IF(DATOS_[[Sexo]:[Sexo]]=$B89,IF(DATOS_[[AGRUP. CLAS. PROF.]:[AGRUP. CLAS. PROF.]]=$B87,IF(DATOS_[[Check Periodo Ref.]:[Check Periodo Ref.]]="Dentro",IF(DATOS_[[Check Equiparado]:[Check Equiparado]]="Sí",IF(DATOS!CD$5="Sí",(1/DATOS_[[% anualiz]:[% anualiz]]),1)*IF(DATOS!CD$4="Sí",1/DATOS_[[% normaliz]:[% normaliz]],1)*(DATOS_[C.Extra.08])))))))),
0)</f>
        <v>0</v>
      </c>
      <c r="AT89" s="173">
        <f t="array" ref="AT89">IFERROR(
(MEDIAN((IF(DATOS_[[Sexo]:[Sexo]]=$B89,IF(DATOS_[[AGRUP. CLAS. PROF.]:[AGRUP. CLAS. PROF.]]=$B87,IF(DATOS_[[Check Periodo Ref.]:[Check Periodo Ref.]]="Dentro",IF(DATOS_[[Check Equiparado]:[Check Equiparado]]="Sí",IF(DATOS!CG$5="Sí",(1/DATOS_[[% anualiz]:[% anualiz]]),1)*IF(DATOS!CG$4="Sí",1/DATOS_[[% normaliz]:[% normaliz]],1)*(DATOS_[C.Extra.11])))))))),
0)</f>
        <v>0</v>
      </c>
      <c r="AU89" s="197">
        <f t="array" ref="AU89">IFERROR(
MEDIAN(IF(DATOS_[Sexo]=$B89,IF(DATOS_[[AGRUP. CLAS. PROF.]:[AGRUP. CLAS. PROF.]]=$B87,IF(DATOS_[Check Equiparado]="Sí",IF(DATOS_[Check Periodo Ref.]="Dentro",DATOS_[Tot Extrasalarial Eq],FALSE))))),
0)</f>
        <v>0</v>
      </c>
      <c r="AV89" s="175">
        <f t="array" ref="AV89">IFERROR(
MEDIAN(IF(DATOS_[Sexo]=$B89,IF(DATOS_[[AGRUP. CLAS. PROF.]:[AGRUP. CLAS. PROF.]]=$B87,IF(DATOS_[Check Equiparado]="Sí",IF(DATOS_[Check Periodo Ref.]="Dentro",DATOS_[TOTAL Retrib Eq],FALSE))))),
0)</f>
        <v>0</v>
      </c>
    </row>
    <row r="90" spans="1:48" ht="15.6" hidden="1" thickBot="1" x14ac:dyDescent="0.3">
      <c r="A90" s="133" t="str">
        <f t="shared" ref="A90" si="103">+A91</f>
        <v>[ocultar]</v>
      </c>
      <c r="B90" s="199" t="s">
        <v>277</v>
      </c>
      <c r="C90" s="200"/>
      <c r="D90" s="201"/>
      <c r="E90" s="201"/>
      <c r="F90" s="201"/>
      <c r="G90" s="201"/>
      <c r="H90" s="201"/>
      <c r="I90" s="189" t="str">
        <f t="shared" ref="I90:AV90" si="104">IFERROR((I91-I92)/I91,"")</f>
        <v/>
      </c>
      <c r="J90" s="190" t="str">
        <f t="shared" si="104"/>
        <v/>
      </c>
      <c r="K90" s="191" t="str">
        <f t="shared" si="104"/>
        <v/>
      </c>
      <c r="L90" s="191" t="str">
        <f t="shared" si="104"/>
        <v/>
      </c>
      <c r="M90" s="191" t="str">
        <f t="shared" si="104"/>
        <v/>
      </c>
      <c r="N90" s="192" t="str">
        <f t="shared" si="104"/>
        <v/>
      </c>
      <c r="O90" s="193" t="str">
        <f t="shared" si="104"/>
        <v/>
      </c>
      <c r="P90" s="193" t="str">
        <f t="shared" si="104"/>
        <v/>
      </c>
      <c r="Q90" s="193" t="str">
        <f t="shared" si="104"/>
        <v/>
      </c>
      <c r="R90" s="193" t="str">
        <f t="shared" si="104"/>
        <v/>
      </c>
      <c r="S90" s="193" t="str">
        <f t="shared" si="104"/>
        <v/>
      </c>
      <c r="T90" s="193" t="str">
        <f t="shared" si="104"/>
        <v/>
      </c>
      <c r="U90" s="193" t="str">
        <f t="shared" si="104"/>
        <v/>
      </c>
      <c r="V90" s="193" t="str">
        <f t="shared" si="104"/>
        <v/>
      </c>
      <c r="W90" s="193" t="str">
        <f t="shared" si="104"/>
        <v/>
      </c>
      <c r="X90" s="193" t="str">
        <f t="shared" si="104"/>
        <v/>
      </c>
      <c r="Y90" s="193" t="str">
        <f t="shared" si="104"/>
        <v/>
      </c>
      <c r="Z90" s="193" t="str">
        <f t="shared" si="104"/>
        <v/>
      </c>
      <c r="AA90" s="193" t="str">
        <f t="shared" si="104"/>
        <v/>
      </c>
      <c r="AB90" s="193" t="str">
        <f t="shared" si="104"/>
        <v/>
      </c>
      <c r="AC90" s="193" t="str">
        <f t="shared" si="104"/>
        <v/>
      </c>
      <c r="AD90" s="193" t="str">
        <f t="shared" si="104"/>
        <v/>
      </c>
      <c r="AE90" s="193" t="str">
        <f t="shared" si="104"/>
        <v/>
      </c>
      <c r="AF90" s="193" t="str">
        <f t="shared" si="104"/>
        <v/>
      </c>
      <c r="AG90" s="193" t="str">
        <f t="shared" si="104"/>
        <v/>
      </c>
      <c r="AH90" s="193" t="str">
        <f t="shared" si="104"/>
        <v/>
      </c>
      <c r="AI90" s="193" t="str">
        <f t="shared" si="104"/>
        <v/>
      </c>
      <c r="AJ90" s="193" t="str">
        <f t="shared" si="104"/>
        <v/>
      </c>
      <c r="AK90" s="193" t="str">
        <f t="shared" si="104"/>
        <v/>
      </c>
      <c r="AL90" s="193" t="str">
        <f t="shared" si="104"/>
        <v/>
      </c>
      <c r="AM90" s="193" t="str">
        <f t="shared" si="104"/>
        <v/>
      </c>
      <c r="AN90" s="189" t="str">
        <f t="shared" si="104"/>
        <v/>
      </c>
      <c r="AO90" s="162" t="str">
        <f t="shared" si="104"/>
        <v/>
      </c>
      <c r="AP90" s="163" t="str">
        <f t="shared" si="104"/>
        <v/>
      </c>
      <c r="AQ90" s="163" t="str">
        <f t="shared" si="104"/>
        <v/>
      </c>
      <c r="AR90" s="163" t="str">
        <f t="shared" si="104"/>
        <v/>
      </c>
      <c r="AS90" s="163" t="str">
        <f t="shared" si="104"/>
        <v/>
      </c>
      <c r="AT90" s="163" t="str">
        <f t="shared" si="104"/>
        <v/>
      </c>
      <c r="AU90" s="194" t="str">
        <f t="shared" si="104"/>
        <v/>
      </c>
      <c r="AV90" s="165" t="str">
        <f t="shared" si="104"/>
        <v/>
      </c>
    </row>
    <row r="91" spans="1:48" hidden="1" x14ac:dyDescent="0.25">
      <c r="A91" s="133" t="str">
        <f t="shared" ref="A91" si="105">+IF(C91+C92=0,"[ocultar]","")</f>
        <v>[ocultar]</v>
      </c>
      <c r="B91" s="202" t="s">
        <v>394</v>
      </c>
      <c r="C91" s="203">
        <f t="array" ref="C91">SUM(IF($B91=DATOS_[Sexo],
IF($B90=DATOS_[AGRUP. CLAS. PROF.],
IF("Dentro"=DATOS_[Check Periodo Ref.],
1/(COUNTIFS(DATOS_[Sexo],$B91,DATOS_[AGRUP. CLAS. PROF.],$B90,DATOS_[Check Periodo Ref.],"Dentro",DATOS_[id/cod],DATOS_[id/cod]))))))</f>
        <v>0</v>
      </c>
      <c r="D91" s="204">
        <f>COUNTIFS(DATOS_[AGRUP. CLAS. PROF.],$B90,DATOS_[Sexo],$B91,DATOS_[Check Periodo Ref.],"Dentro")</f>
        <v>0</v>
      </c>
      <c r="E91" s="204">
        <f>COUNTIFS(DATOS_[AGRUP. CLAS. PROF.],$B90,DATOS_[Sexo],$B91,DATOS_[Check Periodo Ref.],"Dentro",DATOS_[Check Nº SC Norm],"Sí")</f>
        <v>0</v>
      </c>
      <c r="F91" s="204">
        <f>COUNTIFS(DATOS_[AGRUP. CLAS. PROF.],$B90,DATOS_[Sexo],$B91,DATOS_[Check Periodo Ref.],"Dentro",DATOS_[Check Nº SC Anualiz],"Sí")</f>
        <v>0</v>
      </c>
      <c r="G91" s="204">
        <f>COUNTIFS(DATOS_[AGRUP. CLAS. PROF.],$B90,DATOS_[Sexo],$B91,DATOS_[Check Periodo Ref.],"Dentro",DATOS_[Check Nº SC Norm y Anualiz],"Sí")</f>
        <v>0</v>
      </c>
      <c r="H91" s="204">
        <f>COUNTIFS(DATOS_[AGRUP. CLAS. PROF.],$B90,DATOS_[Sexo],$B91,DATOS_[Check Periodo Ref.],"Dentro",DATOS_[Check Equiparación],"Sí")</f>
        <v>0</v>
      </c>
      <c r="I91" s="195">
        <f t="array" ref="I91">IFERROR(
MEDIAN(IF(DATOS_[Sexo]=$B91,IF(DATOS_[[AGRUP. CLAS. PROF.]:[AGRUP. CLAS. PROF.]]=$B90,IF(DATOS_[Check Equiparado]="Sí",IF(DATOS_[Check Periodo Ref.]="Dentro",DATOS_[SALARIO BASE Eq],FALSE))))),
0)</f>
        <v>0</v>
      </c>
      <c r="J91" s="196">
        <f t="array" ref="J91">IFERROR(
(MEDIAN((IF(DATOS_[[Sexo]:[Sexo]]=$B91,IF(DATOS_[[AGRUP. CLAS. PROF.]:[AGRUP. CLAS. PROF.]]=$B90,IF(DATOS_[[Check Periodo Ref.]:[Check Periodo Ref.]]="Dentro",IF(DATOS_[[Check Equiparado]:[Check Equiparado]]="Sí",IF(DATOS!AE$5="Sí",(1/DATOS_[[% anualiz]:[% anualiz]]),1)*IF(DATOS!AE$4="Sí",1/DATOS_[[% normaliz]:[% normaliz]],1)*(DATOS_[Conc.Sal.01])))))))),
0)</f>
        <v>0</v>
      </c>
      <c r="K91" s="196">
        <f t="array" ref="K91">IFERROR(
(MEDIAN((IF(DATOS_[[Sexo]:[Sexo]]=$B91,IF(DATOS_[[AGRUP. CLAS. PROF.]:[AGRUP. CLAS. PROF.]]=$B90,IF(DATOS_[[Check Periodo Ref.]:[Check Periodo Ref.]]="Dentro",IF(DATOS_[[Check Equiparado]:[Check Equiparado]]="Sí",IF(DATOS!AF$5="Sí",(1/DATOS_[[% anualiz]:[% anualiz]]),1)*IF(DATOS!AF$4="Sí",1/DATOS_[[% normaliz]:[% normaliz]],1)*(DATOS_[Conc.Sal.02])))))))),
0)</f>
        <v>0</v>
      </c>
      <c r="L91" s="196">
        <f t="array" ref="L91">IFERROR(
(MEDIAN((IF(DATOS_[[Sexo]:[Sexo]]=$B91,IF(DATOS_[[AGRUP. CLAS. PROF.]:[AGRUP. CLAS. PROF.]]=$B90,IF(DATOS_[[Check Periodo Ref.]:[Check Periodo Ref.]]="Dentro",IF(DATOS_[[Check Equiparado]:[Check Equiparado]]="Sí",IF(DATOS!AG$5="Sí",(1/DATOS_[[% anualiz]:[% anualiz]]),1)*IF(DATOS!AG$4="Sí",1/DATOS_[[% normaliz]:[% normaliz]],1)*(DATOS_[Conc.Sal.03])))))))),
0)</f>
        <v>0</v>
      </c>
      <c r="M91" s="196">
        <f t="array" ref="M91">IFERROR(
(MEDIAN((IF(DATOS_[[Sexo]:[Sexo]]=$B91,IF(DATOS_[[AGRUP. CLAS. PROF.]:[AGRUP. CLAS. PROF.]]=$B90,IF(DATOS_[[Check Periodo Ref.]:[Check Periodo Ref.]]="Dentro",IF(DATOS_[[Check Equiparado]:[Check Equiparado]]="Sí",IF(DATOS!AH$5="Sí",(1/DATOS_[[% anualiz]:[% anualiz]]),1)*IF(DATOS!AH$4="Sí",1/DATOS_[[% normaliz]:[% normaliz]],1)*(DATOS_[Conc.Sal.04])))))))),
0)</f>
        <v>0</v>
      </c>
      <c r="N91" s="196">
        <f t="array" ref="N91">IFERROR(
(MEDIAN((IF(DATOS_[[Sexo]:[Sexo]]=$B91,IF(DATOS_[[AGRUP. CLAS. PROF.]:[AGRUP. CLAS. PROF.]]=$B90,IF(DATOS_[[Check Periodo Ref.]:[Check Periodo Ref.]]="Dentro",IF(DATOS_[[Check Equiparado]:[Check Equiparado]]="Sí",IF(DATOS!AI$5="Sí",(1/DATOS_[[% anualiz]:[% anualiz]]),1)*IF(DATOS!AI$4="Sí",1/DATOS_[[% normaliz]:[% normaliz]],1)*(DATOS_[Conc.Sal.05])))))))),
0)</f>
        <v>0</v>
      </c>
      <c r="O91" s="196">
        <f t="array" ref="O91">IFERROR(
(MEDIAN((IF(DATOS_[[Sexo]:[Sexo]]=$B91,IF(DATOS_[[AGRUP. CLAS. PROF.]:[AGRUP. CLAS. PROF.]]=$B90,IF(DATOS_[[Check Periodo Ref.]:[Check Periodo Ref.]]="Dentro",IF(DATOS_[[Check Equiparado]:[Check Equiparado]]="Sí",IF(DATOS!AJ$5="Sí",(1/DATOS_[[% anualiz]:[% anualiz]]),1)*IF(DATOS!AJ$4="Sí",1/DATOS_[[% normaliz]:[% normaliz]],1)*(DATOS_[Conc.Sal.06])))))))),
0)</f>
        <v>0</v>
      </c>
      <c r="P91" s="196">
        <f t="array" ref="P91">IFERROR(
(MEDIAN((IF(DATOS_[[Sexo]:[Sexo]]=$B91,IF(DATOS_[[AGRUP. CLAS. PROF.]:[AGRUP. CLAS. PROF.]]=$B90,IF(DATOS_[[Check Periodo Ref.]:[Check Periodo Ref.]]="Dentro",IF(DATOS_[[Check Equiparado]:[Check Equiparado]]="Sí",IF(DATOS!AK$5="Sí",(1/DATOS_[[% anualiz]:[% anualiz]]),1)*IF(DATOS!AK$4="Sí",1/DATOS_[[% normaliz]:[% normaliz]],1)*(DATOS_[Conc.Sal.07])))))))),
0)</f>
        <v>0</v>
      </c>
      <c r="Q91" s="196">
        <f t="array" ref="Q91">IFERROR(
(MEDIAN((IF(DATOS_[[Sexo]:[Sexo]]=$B91,IF(DATOS_[[AGRUP. CLAS. PROF.]:[AGRUP. CLAS. PROF.]]=$B90,IF(DATOS_[[Check Periodo Ref.]:[Check Periodo Ref.]]="Dentro",IF(DATOS_[[Check Equiparado]:[Check Equiparado]]="Sí",IF(DATOS!AL$5="Sí",(1/DATOS_[[% anualiz]:[% anualiz]]),1)*IF(DATOS!AL$4="Sí",1/DATOS_[[% normaliz]:[% normaliz]],1)*(DATOS_[Conc.Sal.08])))))))),
0)</f>
        <v>0</v>
      </c>
      <c r="R91" s="196">
        <f t="array" ref="R91">IFERROR(
(MEDIAN((IF(DATOS_[[Sexo]:[Sexo]]=$B91,IF(DATOS_[[AGRUP. CLAS. PROF.]:[AGRUP. CLAS. PROF.]]=$B90,IF(DATOS_[[Check Periodo Ref.]:[Check Periodo Ref.]]="Dentro",IF(DATOS_[[Check Equiparado]:[Check Equiparado]]="Sí",IF(DATOS!AM$5="Sí",(1/DATOS_[[% anualiz]:[% anualiz]]),1)*IF(DATOS!AM$4="Sí",1/DATOS_[[% normaliz]:[% normaliz]],1)*(DATOS_[Conc.Sal.09])))))))),
0)</f>
        <v>0</v>
      </c>
      <c r="S91" s="196">
        <f t="array" ref="S91">IFERROR(
(MEDIAN((IF(DATOS_[[Sexo]:[Sexo]]=$B91,IF(DATOS_[[AGRUP. CLAS. PROF.]:[AGRUP. CLAS. PROF.]]=$B90,IF(DATOS_[[Check Periodo Ref.]:[Check Periodo Ref.]]="Dentro",IF(DATOS_[[Check Equiparado]:[Check Equiparado]]="Sí",IF(DATOS!AN$5="Sí",(1/DATOS_[[% anualiz]:[% anualiz]]),1)*IF(DATOS!AN$4="Sí",1/DATOS_[[% normaliz]:[% normaliz]],1)*(DATOS_[Conc.Sal.10])))))))),
0)</f>
        <v>0</v>
      </c>
      <c r="T91" s="196">
        <f t="array" ref="T91">IFERROR(
(MEDIAN((IF(DATOS_[[Sexo]:[Sexo]]=$B91,IF(DATOS_[[AGRUP. CLAS. PROF.]:[AGRUP. CLAS. PROF.]]=$B90,IF(DATOS_[[Check Periodo Ref.]:[Check Periodo Ref.]]="Dentro",IF(DATOS_[[Check Equiparado]:[Check Equiparado]]="Sí",IF(DATOS!AO$5="Sí",(1/DATOS_[[% anualiz]:[% anualiz]]),1)*IF(DATOS!AO$4="Sí",1/DATOS_[[% normaliz]:[% normaliz]],1)*(DATOS_[Conc.Sal.11])))))))),
0)</f>
        <v>0</v>
      </c>
      <c r="U91" s="196">
        <f t="array" ref="U91">IFERROR(
(MEDIAN((IF(DATOS_[[Sexo]:[Sexo]]=$B91,IF(DATOS_[[AGRUP. CLAS. PROF.]:[AGRUP. CLAS. PROF.]]=$B90,IF(DATOS_[[Check Periodo Ref.]:[Check Periodo Ref.]]="Dentro",IF(DATOS_[[Check Equiparado]:[Check Equiparado]]="Sí",IF(DATOS!AP$5="Sí",(1/DATOS_[[% anualiz]:[% anualiz]]),1)*IF(DATOS!AP$4="Sí",1/DATOS_[[% normaliz]:[% normaliz]],1)*(DATOS_[Conc.Sal.12])))))))),
0)</f>
        <v>0</v>
      </c>
      <c r="V91" s="196">
        <f t="array" ref="V91">IFERROR(
(MEDIAN((IF(DATOS_[[Sexo]:[Sexo]]=$B91,IF(DATOS_[[AGRUP. CLAS. PROF.]:[AGRUP. CLAS. PROF.]]=$B90,IF(DATOS_[[Check Periodo Ref.]:[Check Periodo Ref.]]="Dentro",IF(DATOS_[[Check Equiparado]:[Check Equiparado]]="Sí",IF(DATOS!AQ$5="Sí",(1/DATOS_[[% anualiz]:[% anualiz]]),1)*IF(DATOS!AQ$4="Sí",1/DATOS_[[% normaliz]:[% normaliz]],1)*(DATOS_[Conc.Sal.13])))))))),
0)</f>
        <v>0</v>
      </c>
      <c r="W91" s="196">
        <f t="array" ref="W91">IFERROR(
(MEDIAN((IF(DATOS_[[Sexo]:[Sexo]]=$B91,IF(DATOS_[[AGRUP. CLAS. PROF.]:[AGRUP. CLAS. PROF.]]=$B90,IF(DATOS_[[Check Periodo Ref.]:[Check Periodo Ref.]]="Dentro",IF(DATOS_[[Check Equiparado]:[Check Equiparado]]="Sí",IF(DATOS!AR$5="Sí",(1/DATOS_[[% anualiz]:[% anualiz]]),1)*IF(DATOS!AR$4="Sí",1/DATOS_[[% normaliz]:[% normaliz]],1)*(DATOS_[Conc.Sal.14])))))))),
0)</f>
        <v>0</v>
      </c>
      <c r="X91" s="196">
        <f t="array" ref="X91">IFERROR(
(MEDIAN((IF(DATOS_[[Sexo]:[Sexo]]=$B91,IF(DATOS_[[AGRUP. CLAS. PROF.]:[AGRUP. CLAS. PROF.]]=$B90,IF(DATOS_[[Check Periodo Ref.]:[Check Periodo Ref.]]="Dentro",IF(DATOS_[[Check Equiparado]:[Check Equiparado]]="Sí",IF(DATOS!AS$5="Sí",(1/DATOS_[[% anualiz]:[% anualiz]]),1)*IF(DATOS!AS$4="Sí",1/DATOS_[[% normaliz]:[% normaliz]],1)*(DATOS_[Conc.Sal.15])))))))),
0)</f>
        <v>0</v>
      </c>
      <c r="Y91" s="196">
        <f t="array" ref="Y91">IFERROR(
(MEDIAN((IF(DATOS_[[Sexo]:[Sexo]]=$B91,IF(DATOS_[[AGRUP. CLAS. PROF.]:[AGRUP. CLAS. PROF.]]=$B90,IF(DATOS_[[Check Periodo Ref.]:[Check Periodo Ref.]]="Dentro",IF(DATOS_[[Check Equiparado]:[Check Equiparado]]="Sí",IF(DATOS!AT$5="Sí",(1/DATOS_[[% anualiz]:[% anualiz]]),1)*IF(DATOS!AT$4="Sí",1/DATOS_[[% normaliz]:[% normaliz]],1)*(DATOS_[Conc.Sal.16])))))))),
0)</f>
        <v>0</v>
      </c>
      <c r="Z91" s="196">
        <f t="array" ref="Z91">IFERROR(
(MEDIAN((IF(DATOS_[[Sexo]:[Sexo]]=$B91,IF(DATOS_[[AGRUP. CLAS. PROF.]:[AGRUP. CLAS. PROF.]]=$B90,IF(DATOS_[[Check Periodo Ref.]:[Check Periodo Ref.]]="Dentro",IF(DATOS_[[Check Equiparado]:[Check Equiparado]]="Sí",IF(DATOS!AU$5="Sí",(1/DATOS_[[% anualiz]:[% anualiz]]),1)*IF(DATOS!AU$4="Sí",1/DATOS_[[% normaliz]:[% normaliz]],1)*(DATOS_[Conc.Sal.17])))))))),
0)</f>
        <v>0</v>
      </c>
      <c r="AA91" s="196">
        <f t="array" ref="AA91">IFERROR(
(MEDIAN((IF(DATOS_[[Sexo]:[Sexo]]=$B91,IF(DATOS_[[AGRUP. CLAS. PROF.]:[AGRUP. CLAS. PROF.]]=$B90,IF(DATOS_[[Check Periodo Ref.]:[Check Periodo Ref.]]="Dentro",IF(DATOS_[[Check Equiparado]:[Check Equiparado]]="Sí",IF(DATOS!AV$5="Sí",(1/DATOS_[[% anualiz]:[% anualiz]]),1)*IF(DATOS!AV$4="Sí",1/DATOS_[[% normaliz]:[% normaliz]],1)*(DATOS_[Conc.Sal.18])))))))),
0)</f>
        <v>0</v>
      </c>
      <c r="AB91" s="196">
        <f t="array" ref="AB91">IFERROR(
(MEDIAN((IF(DATOS_[[Sexo]:[Sexo]]=$B91,IF(DATOS_[[AGRUP. CLAS. PROF.]:[AGRUP. CLAS. PROF.]]=$B90,IF(DATOS_[[Check Periodo Ref.]:[Check Periodo Ref.]]="Dentro",IF(DATOS_[[Check Equiparado]:[Check Equiparado]]="Sí",IF(DATOS!AW$5="Sí",(1/DATOS_[[% anualiz]:[% anualiz]]),1)*IF(DATOS!AW$4="Sí",1/DATOS_[[% normaliz]:[% normaliz]],1)*(DATOS_[Conc.Sal.19])))))))),
0)</f>
        <v>0</v>
      </c>
      <c r="AC91" s="196">
        <f t="array" ref="AC91">IFERROR(
(MEDIAN((IF(DATOS_[[Sexo]:[Sexo]]=$B91,IF(DATOS_[[AGRUP. CLAS. PROF.]:[AGRUP. CLAS. PROF.]]=$B90,IF(DATOS_[[Check Periodo Ref.]:[Check Periodo Ref.]]="Dentro",IF(DATOS_[[Check Equiparado]:[Check Equiparado]]="Sí",IF(DATOS!AX$5="Sí",(1/DATOS_[[% anualiz]:[% anualiz]]),1)*IF(DATOS!AX$4="Sí",1/DATOS_[[% normaliz]:[% normaliz]],1)*(DATOS_[Conc.Sal.20])))))))),
0)</f>
        <v>0</v>
      </c>
      <c r="AD91" s="196">
        <f t="array" ref="AD91">IFERROR(
(MEDIAN((IF(DATOS_[[Sexo]:[Sexo]]=$B91,IF(DATOS_[[AGRUP. CLAS. PROF.]:[AGRUP. CLAS. PROF.]]=$B90,IF(DATOS_[[Check Periodo Ref.]:[Check Periodo Ref.]]="Dentro",IF(DATOS_[[Check Equiparado]:[Check Equiparado]]="Sí",IF(DATOS!AY$5="Sí",(1/DATOS_[[% anualiz]:[% anualiz]]),1)*IF(DATOS!AY$4="Sí",1/DATOS_[[% normaliz]:[% normaliz]],1)*(DATOS_[Conc.Sal.21])))))))),
0)</f>
        <v>0</v>
      </c>
      <c r="AE91" s="196">
        <f t="array" ref="AE91">IFERROR(
(MEDIAN((IF(DATOS_[[Sexo]:[Sexo]]=$B91,IF(DATOS_[[AGRUP. CLAS. PROF.]:[AGRUP. CLAS. PROF.]]=$B90,IF(DATOS_[[Check Periodo Ref.]:[Check Periodo Ref.]]="Dentro",IF(DATOS_[[Check Equiparado]:[Check Equiparado]]="Sí",IF(DATOS!AZ$5="Sí",(1/DATOS_[[% anualiz]:[% anualiz]]),1)*IF(DATOS!AZ$4="Sí",1/DATOS_[[% normaliz]:[% normaliz]],1)*(DATOS_[Conc.Sal.22])))))))),
0)</f>
        <v>0</v>
      </c>
      <c r="AF91" s="196">
        <f t="array" ref="AF91">IFERROR(
(MEDIAN((IF(DATOS_[[Sexo]:[Sexo]]=$B91,IF(DATOS_[[AGRUP. CLAS. PROF.]:[AGRUP. CLAS. PROF.]]=$B90,IF(DATOS_[[Check Periodo Ref.]:[Check Periodo Ref.]]="Dentro",IF(DATOS_[[Check Equiparado]:[Check Equiparado]]="Sí",IF(DATOS!BA$5="Sí",(1/DATOS_[[% anualiz]:[% anualiz]]),1)*IF(DATOS!BA$4="Sí",1/DATOS_[[% normaliz]:[% normaliz]],1)*(DATOS_[Conc.Sal.23])))))))),
0)</f>
        <v>0</v>
      </c>
      <c r="AG91" s="196">
        <f t="array" ref="AG91">IFERROR(
(MEDIAN((IF(DATOS_[[Sexo]:[Sexo]]=$B91,IF(DATOS_[[AGRUP. CLAS. PROF.]:[AGRUP. CLAS. PROF.]]=$B90,IF(DATOS_[[Check Periodo Ref.]:[Check Periodo Ref.]]="Dentro",IF(DATOS_[[Check Equiparado]:[Check Equiparado]]="Sí",IF(DATOS!BB$5="Sí",(1/DATOS_[[% anualiz]:[% anualiz]]),1)*IF(DATOS!BB$4="Sí",1/DATOS_[[% normaliz]:[% normaliz]],1)*(DATOS_[Conc.Sal.24])))))))),
0)</f>
        <v>0</v>
      </c>
      <c r="AH91" s="196">
        <f t="array" ref="AH91">IFERROR(
(MEDIAN((IF(DATOS_[[Sexo]:[Sexo]]=$B91,IF(DATOS_[[AGRUP. CLAS. PROF.]:[AGRUP. CLAS. PROF.]]=$B90,IF(DATOS_[[Check Periodo Ref.]:[Check Periodo Ref.]]="Dentro",IF(DATOS_[[Check Equiparado]:[Check Equiparado]]="Sí",IF(DATOS!BC$5="Sí",(1/DATOS_[[% anualiz]:[% anualiz]]),1)*IF(DATOS!BC$4="Sí",1/DATOS_[[% normaliz]:[% normaliz]],1)*(DATOS_[Conc.Sal.25])))))))),
0)</f>
        <v>0</v>
      </c>
      <c r="AI91" s="196">
        <f t="array" ref="AI91">IFERROR(
(MEDIAN((IF(DATOS_[[Sexo]:[Sexo]]=$B91,IF(DATOS_[[AGRUP. CLAS. PROF.]:[AGRUP. CLAS. PROF.]]=$B90,IF(DATOS_[[Check Periodo Ref.]:[Check Periodo Ref.]]="Dentro",IF(DATOS_[[Check Equiparado]:[Check Equiparado]]="Sí",IF(DATOS!BD$5="Sí",(1/DATOS_[[% anualiz]:[% anualiz]]),1)*IF(DATOS!BD$4="Sí",1/DATOS_[[% normaliz]:[% normaliz]],1)*(DATOS_[Conc.Sal.26])))))))),
0)</f>
        <v>0</v>
      </c>
      <c r="AJ91" s="196">
        <f t="array" ref="AJ91">IFERROR(
(MEDIAN((IF(DATOS_[[Sexo]:[Sexo]]=$B91,IF(DATOS_[[AGRUP. CLAS. PROF.]:[AGRUP. CLAS. PROF.]]=$B90,IF(DATOS_[[Check Periodo Ref.]:[Check Periodo Ref.]]="Dentro",IF(DATOS_[[Check Equiparado]:[Check Equiparado]]="Sí",IF(DATOS!BE$5="Sí",(1/DATOS_[[% anualiz]:[% anualiz]]),1)*IF(DATOS!BE$4="Sí",1/DATOS_[[% normaliz]:[% normaliz]],1)*(DATOS_[Conc.Sal.27])))))))),
0)</f>
        <v>0</v>
      </c>
      <c r="AK91" s="196">
        <f t="array" ref="AK91">IFERROR(
(MEDIAN((IF(DATOS_[[Sexo]:[Sexo]]=$B91,IF(DATOS_[[AGRUP. CLAS. PROF.]:[AGRUP. CLAS. PROF.]]=$B90,IF(DATOS_[[Check Periodo Ref.]:[Check Periodo Ref.]]="Dentro",IF(DATOS_[[Check Equiparado]:[Check Equiparado]]="Sí",IF(DATOS!BF$5="Sí",(1/DATOS_[[% anualiz]:[% anualiz]]),1)*IF(DATOS!BF$4="Sí",1/DATOS_[[% normaliz]:[% normaliz]],1)*(DATOS_[Conc.Sal.28])))))))),
0)</f>
        <v>0</v>
      </c>
      <c r="AL91" s="196">
        <f t="array" ref="AL91">IFERROR(
(MEDIAN((IF(DATOS_[[Sexo]:[Sexo]]=$B91,IF(DATOS_[[AGRUP. CLAS. PROF.]:[AGRUP. CLAS. PROF.]]=$B90,IF(DATOS_[[Check Periodo Ref.]:[Check Periodo Ref.]]="Dentro",IF(DATOS_[[Check Equiparado]:[Check Equiparado]]="Sí",IF(DATOS!BG$5="Sí",(1/DATOS_[[% anualiz]:[% anualiz]]),1)*IF(DATOS!BG$4="Sí",1/DATOS_[[% normaliz]:[% normaliz]],1)*(DATOS_[Conc.Sal.29])))))))),
0)</f>
        <v>0</v>
      </c>
      <c r="AM91" s="196">
        <f t="array" ref="AM91">IFERROR(
(MEDIAN((IF(DATOS_[[Sexo]:[Sexo]]=$B91,IF(DATOS_[[AGRUP. CLAS. PROF.]:[AGRUP. CLAS. PROF.]]=$B90,IF(DATOS_[[Check Periodo Ref.]:[Check Periodo Ref.]]="Dentro",IF(DATOS_[[Check Equiparado]:[Check Equiparado]]="Sí",IF(DATOS!BH$5="Sí",(1/DATOS_[[% anualiz]:[% anualiz]]),1)*IF(DATOS!BH$4="Sí",1/DATOS_[[% normaliz]:[% normaliz]],1)*(DATOS_[Conc.Sal.30])))))))),
0)</f>
        <v>0</v>
      </c>
      <c r="AN91" s="195">
        <f t="array" ref="AN91">IFERROR(
MEDIAN(IF(DATOS_[Sexo]=$B91,IF(DATOS_[[AGRUP. CLAS. PROF.]:[AGRUP. CLAS. PROF.]]=$B90,IF(DATOS_[Check Equiparado]="Sí",IF(DATOS_[Check Periodo Ref.]="Dentro",DATOS_[Tot COMPL.SAL Eq],FALSE))))),
0)</f>
        <v>0</v>
      </c>
      <c r="AO91" s="172">
        <f t="array" ref="AO91">IFERROR(
MEDIAN(IF(DATOS_[Sexo]=$B91,IF(DATOS_[[AGRUP. CLAS. PROF.]:[AGRUP. CLAS. PROF.]]=$B90,IF(DATOS_[Check Equiparado]="Sí",IF(DATOS_[Check Periodo Ref.]="Dentro",DATOS_[TOTAL SALARIO Eq],FALSE))))),
0)</f>
        <v>0</v>
      </c>
      <c r="AP91" s="173">
        <f t="array" ref="AP91">IFERROR(
(MEDIAN((IF(DATOS_[[Sexo]:[Sexo]]=$B91,IF(DATOS_[[AGRUP. CLAS. PROF.]:[AGRUP. CLAS. PROF.]]=$B90,IF(DATOS_[[Check Periodo Ref.]:[Check Periodo Ref.]]="Dentro",IF(DATOS_[[Check Equiparado]:[Check Equiparado]]="Sí",IF(DATOS!BW$5="Sí",(1/DATOS_[[% anualiz]:[% anualiz]]),1)*IF(DATOS!BW$4="Sí",1/DATOS_[[% normaliz]:[% normaliz]],1)*(DATOS_[C.Extra.01])))))))),
0)</f>
        <v>0</v>
      </c>
      <c r="AQ91" s="173">
        <f t="array" ref="AQ91">IFERROR(
(MEDIAN((IF(DATOS_[[Sexo]:[Sexo]]=$B91,IF(DATOS_[[AGRUP. CLAS. PROF.]:[AGRUP. CLAS. PROF.]]=$B90,IF(DATOS_[[Check Periodo Ref.]:[Check Periodo Ref.]]="Dentro",IF(DATOS_[[Check Equiparado]:[Check Equiparado]]="Sí",IF(DATOS!CB$5="Sí",(1/DATOS_[[% anualiz]:[% anualiz]]),1)*IF(DATOS!CB$4="Sí",1/DATOS_[[% normaliz]:[% normaliz]],1)*(DATOS_[C.Extra.06])))))))),
0)</f>
        <v>0</v>
      </c>
      <c r="AR91" s="173">
        <f t="array" ref="AR91">IFERROR(
(MEDIAN((IF(DATOS_[[Sexo]:[Sexo]]=$B91,IF(DATOS_[[AGRUP. CLAS. PROF.]:[AGRUP. CLAS. PROF.]]=$B90,IF(DATOS_[[Check Periodo Ref.]:[Check Periodo Ref.]]="Dentro",IF(DATOS_[[Check Equiparado]:[Check Equiparado]]="Sí",IF(DATOS!CC$5="Sí",(1/DATOS_[[% anualiz]:[% anualiz]]),1)*IF(DATOS!CC$4="Sí",1/DATOS_[[% normaliz]:[% normaliz]],1)*(DATOS_[C.Extra.07])))))))),
0)</f>
        <v>0</v>
      </c>
      <c r="AS91" s="173">
        <f t="array" ref="AS91">IFERROR(
(MEDIAN((IF(DATOS_[[Sexo]:[Sexo]]=$B91,IF(DATOS_[[AGRUP. CLAS. PROF.]:[AGRUP. CLAS. PROF.]]=$B90,IF(DATOS_[[Check Periodo Ref.]:[Check Periodo Ref.]]="Dentro",IF(DATOS_[[Check Equiparado]:[Check Equiparado]]="Sí",IF(DATOS!CD$5="Sí",(1/DATOS_[[% anualiz]:[% anualiz]]),1)*IF(DATOS!CD$4="Sí",1/DATOS_[[% normaliz]:[% normaliz]],1)*(DATOS_[C.Extra.08])))))))),
0)</f>
        <v>0</v>
      </c>
      <c r="AT91" s="173">
        <f t="array" ref="AT91">IFERROR(
(MEDIAN((IF(DATOS_[[Sexo]:[Sexo]]=$B91,IF(DATOS_[[AGRUP. CLAS. PROF.]:[AGRUP. CLAS. PROF.]]=$B90,IF(DATOS_[[Check Periodo Ref.]:[Check Periodo Ref.]]="Dentro",IF(DATOS_[[Check Equiparado]:[Check Equiparado]]="Sí",IF(DATOS!CG$5="Sí",(1/DATOS_[[% anualiz]:[% anualiz]]),1)*IF(DATOS!CG$4="Sí",1/DATOS_[[% normaliz]:[% normaliz]],1)*(DATOS_[C.Extra.11])))))))),
0)</f>
        <v>0</v>
      </c>
      <c r="AU91" s="197">
        <f t="array" ref="AU91">IFERROR(
MEDIAN(IF(DATOS_[Sexo]=$B91,IF(DATOS_[[AGRUP. CLAS. PROF.]:[AGRUP. CLAS. PROF.]]=$B90,IF(DATOS_[Check Equiparado]="Sí",IF(DATOS_[Check Periodo Ref.]="Dentro",DATOS_[Tot Extrasalarial Eq],FALSE))))),
0)</f>
        <v>0</v>
      </c>
      <c r="AV91" s="175">
        <f t="array" ref="AV91">IFERROR(
MEDIAN(IF(DATOS_[Sexo]=$B91,IF(DATOS_[[AGRUP. CLAS. PROF.]:[AGRUP. CLAS. PROF.]]=$B90,IF(DATOS_[Check Equiparado]="Sí",IF(DATOS_[Check Periodo Ref.]="Dentro",DATOS_[TOTAL Retrib Eq],FALSE))))),
0)</f>
        <v>0</v>
      </c>
    </row>
    <row r="92" spans="1:48" hidden="1" x14ac:dyDescent="0.25">
      <c r="A92" s="133" t="str">
        <f t="shared" ref="A92" si="106">+A91</f>
        <v>[ocultar]</v>
      </c>
      <c r="B92" s="202" t="s">
        <v>521</v>
      </c>
      <c r="C92" s="203">
        <f t="array" ref="C92">SUM(IF($B92=DATOS_[Sexo],
IF($B90=DATOS_[AGRUP. CLAS. PROF.],
IF("Dentro"=DATOS_[Check Periodo Ref.],
1/(COUNTIFS(DATOS_[Sexo],$B92,DATOS_[AGRUP. CLAS. PROF.],$B90,DATOS_[Check Periodo Ref.],"Dentro",DATOS_[id/cod],DATOS_[id/cod]))))))</f>
        <v>0</v>
      </c>
      <c r="D92" s="204">
        <f>COUNTIFS(DATOS_[AGRUP. CLAS. PROF.],$B90,DATOS_[Sexo],$B92,DATOS_[Check Periodo Ref.],"Dentro")</f>
        <v>0</v>
      </c>
      <c r="E92" s="204">
        <f>COUNTIFS(DATOS_[AGRUP. CLAS. PROF.],$B90,DATOS_[Sexo],$B92,DATOS_[Check Periodo Ref.],"Dentro",DATOS_[Check Nº SC Norm],"Sí")</f>
        <v>0</v>
      </c>
      <c r="F92" s="204">
        <f>COUNTIFS(DATOS_[AGRUP. CLAS. PROF.],$B90,DATOS_[Sexo],$B92,DATOS_[Check Periodo Ref.],"Dentro",DATOS_[Check Nº SC Anualiz],"Sí")</f>
        <v>0</v>
      </c>
      <c r="G92" s="204">
        <f>COUNTIFS(DATOS_[AGRUP. CLAS. PROF.],$B90,DATOS_[Sexo],$B92,DATOS_[Check Periodo Ref.],"Dentro",DATOS_[Check Nº SC Norm y Anualiz],"Sí")</f>
        <v>0</v>
      </c>
      <c r="H92" s="204">
        <f>COUNTIFS(DATOS_[AGRUP. CLAS. PROF.],$B90,DATOS_[Sexo],$B92,DATOS_[Check Periodo Ref.],"Dentro",DATOS_[Check Equiparación],"Sí")</f>
        <v>0</v>
      </c>
      <c r="I92" s="195" cm="1">
        <f t="array" ref="I92">IFERROR(
MEDIAN(IF(DATOS_[Sexo]=$B92,IF(DATOS_[[AGRUP. CLAS. PROF.]:[AGRUP. CLAS. PROF.]]=$B90,IF(DATOS_[Check Equiparado]="Sí",IF(DATOS_[Check Periodo Ref.]="Dentro",DATOS_[SALARIO BASE Eq],FALSE))))),
0)</f>
        <v>0</v>
      </c>
      <c r="J92" s="196">
        <f t="array" ref="J92">IFERROR(
(MEDIAN((IF(DATOS_[[Sexo]:[Sexo]]=$B92,IF(DATOS_[[AGRUP. CLAS. PROF.]:[AGRUP. CLAS. PROF.]]=$B90,IF(DATOS_[[Check Periodo Ref.]:[Check Periodo Ref.]]="Dentro",IF(DATOS_[[Check Equiparado]:[Check Equiparado]]="Sí",IF(DATOS!AE$5="Sí",(1/DATOS_[[% anualiz]:[% anualiz]]),1)*IF(DATOS!AE$4="Sí",1/DATOS_[[% normaliz]:[% normaliz]],1)*(DATOS_[Conc.Sal.01])))))))),
0)</f>
        <v>0</v>
      </c>
      <c r="K92" s="196">
        <f t="array" ref="K92">IFERROR(
(MEDIAN((IF(DATOS_[[Sexo]:[Sexo]]=$B92,IF(DATOS_[[AGRUP. CLAS. PROF.]:[AGRUP. CLAS. PROF.]]=$B90,IF(DATOS_[[Check Periodo Ref.]:[Check Periodo Ref.]]="Dentro",IF(DATOS_[[Check Equiparado]:[Check Equiparado]]="Sí",IF(DATOS!AF$5="Sí",(1/DATOS_[[% anualiz]:[% anualiz]]),1)*IF(DATOS!AF$4="Sí",1/DATOS_[[% normaliz]:[% normaliz]],1)*(DATOS_[Conc.Sal.02])))))))),
0)</f>
        <v>0</v>
      </c>
      <c r="L92" s="196">
        <f t="array" ref="L92">IFERROR(
(MEDIAN((IF(DATOS_[[Sexo]:[Sexo]]=$B92,IF(DATOS_[[AGRUP. CLAS. PROF.]:[AGRUP. CLAS. PROF.]]=$B90,IF(DATOS_[[Check Periodo Ref.]:[Check Periodo Ref.]]="Dentro",IF(DATOS_[[Check Equiparado]:[Check Equiparado]]="Sí",IF(DATOS!AG$5="Sí",(1/DATOS_[[% anualiz]:[% anualiz]]),1)*IF(DATOS!AG$4="Sí",1/DATOS_[[% normaliz]:[% normaliz]],1)*(DATOS_[Conc.Sal.03])))))))),
0)</f>
        <v>0</v>
      </c>
      <c r="M92" s="196">
        <f t="array" ref="M92">IFERROR(
(MEDIAN((IF(DATOS_[[Sexo]:[Sexo]]=$B92,IF(DATOS_[[AGRUP. CLAS. PROF.]:[AGRUP. CLAS. PROF.]]=$B90,IF(DATOS_[[Check Periodo Ref.]:[Check Periodo Ref.]]="Dentro",IF(DATOS_[[Check Equiparado]:[Check Equiparado]]="Sí",IF(DATOS!AH$5="Sí",(1/DATOS_[[% anualiz]:[% anualiz]]),1)*IF(DATOS!AH$4="Sí",1/DATOS_[[% normaliz]:[% normaliz]],1)*(DATOS_[Conc.Sal.04])))))))),
0)</f>
        <v>0</v>
      </c>
      <c r="N92" s="196">
        <f t="array" ref="N92">IFERROR(
(MEDIAN((IF(DATOS_[[Sexo]:[Sexo]]=$B92,IF(DATOS_[[AGRUP. CLAS. PROF.]:[AGRUP. CLAS. PROF.]]=$B90,IF(DATOS_[[Check Periodo Ref.]:[Check Periodo Ref.]]="Dentro",IF(DATOS_[[Check Equiparado]:[Check Equiparado]]="Sí",IF(DATOS!AI$5="Sí",(1/DATOS_[[% anualiz]:[% anualiz]]),1)*IF(DATOS!AI$4="Sí",1/DATOS_[[% normaliz]:[% normaliz]],1)*(DATOS_[Conc.Sal.05])))))))),
0)</f>
        <v>0</v>
      </c>
      <c r="O92" s="196">
        <f t="array" ref="O92">IFERROR(
(MEDIAN((IF(DATOS_[[Sexo]:[Sexo]]=$B92,IF(DATOS_[[AGRUP. CLAS. PROF.]:[AGRUP. CLAS. PROF.]]=$B90,IF(DATOS_[[Check Periodo Ref.]:[Check Periodo Ref.]]="Dentro",IF(DATOS_[[Check Equiparado]:[Check Equiparado]]="Sí",IF(DATOS!AJ$5="Sí",(1/DATOS_[[% anualiz]:[% anualiz]]),1)*IF(DATOS!AJ$4="Sí",1/DATOS_[[% normaliz]:[% normaliz]],1)*(DATOS_[Conc.Sal.06])))))))),
0)</f>
        <v>0</v>
      </c>
      <c r="P92" s="196">
        <f t="array" ref="P92">IFERROR(
(MEDIAN((IF(DATOS_[[Sexo]:[Sexo]]=$B92,IF(DATOS_[[AGRUP. CLAS. PROF.]:[AGRUP. CLAS. PROF.]]=$B90,IF(DATOS_[[Check Periodo Ref.]:[Check Periodo Ref.]]="Dentro",IF(DATOS_[[Check Equiparado]:[Check Equiparado]]="Sí",IF(DATOS!AK$5="Sí",(1/DATOS_[[% anualiz]:[% anualiz]]),1)*IF(DATOS!AK$4="Sí",1/DATOS_[[% normaliz]:[% normaliz]],1)*(DATOS_[Conc.Sal.07])))))))),
0)</f>
        <v>0</v>
      </c>
      <c r="Q92" s="196">
        <f t="array" ref="Q92">IFERROR(
(MEDIAN((IF(DATOS_[[Sexo]:[Sexo]]=$B92,IF(DATOS_[[AGRUP. CLAS. PROF.]:[AGRUP. CLAS. PROF.]]=$B90,IF(DATOS_[[Check Periodo Ref.]:[Check Periodo Ref.]]="Dentro",IF(DATOS_[[Check Equiparado]:[Check Equiparado]]="Sí",IF(DATOS!AL$5="Sí",(1/DATOS_[[% anualiz]:[% anualiz]]),1)*IF(DATOS!AL$4="Sí",1/DATOS_[[% normaliz]:[% normaliz]],1)*(DATOS_[Conc.Sal.08])))))))),
0)</f>
        <v>0</v>
      </c>
      <c r="R92" s="196">
        <f t="array" ref="R92">IFERROR(
(MEDIAN((IF(DATOS_[[Sexo]:[Sexo]]=$B92,IF(DATOS_[[AGRUP. CLAS. PROF.]:[AGRUP. CLAS. PROF.]]=$B90,IF(DATOS_[[Check Periodo Ref.]:[Check Periodo Ref.]]="Dentro",IF(DATOS_[[Check Equiparado]:[Check Equiparado]]="Sí",IF(DATOS!AM$5="Sí",(1/DATOS_[[% anualiz]:[% anualiz]]),1)*IF(DATOS!AM$4="Sí",1/DATOS_[[% normaliz]:[% normaliz]],1)*(DATOS_[Conc.Sal.09])))))))),
0)</f>
        <v>0</v>
      </c>
      <c r="S92" s="196">
        <f t="array" ref="S92">IFERROR(
(MEDIAN((IF(DATOS_[[Sexo]:[Sexo]]=$B92,IF(DATOS_[[AGRUP. CLAS. PROF.]:[AGRUP. CLAS. PROF.]]=$B90,IF(DATOS_[[Check Periodo Ref.]:[Check Periodo Ref.]]="Dentro",IF(DATOS_[[Check Equiparado]:[Check Equiparado]]="Sí",IF(DATOS!AN$5="Sí",(1/DATOS_[[% anualiz]:[% anualiz]]),1)*IF(DATOS!AN$4="Sí",1/DATOS_[[% normaliz]:[% normaliz]],1)*(DATOS_[Conc.Sal.10])))))))),
0)</f>
        <v>0</v>
      </c>
      <c r="T92" s="196">
        <f t="array" ref="T92">IFERROR(
(MEDIAN((IF(DATOS_[[Sexo]:[Sexo]]=$B92,IF(DATOS_[[AGRUP. CLAS. PROF.]:[AGRUP. CLAS. PROF.]]=$B90,IF(DATOS_[[Check Periodo Ref.]:[Check Periodo Ref.]]="Dentro",IF(DATOS_[[Check Equiparado]:[Check Equiparado]]="Sí",IF(DATOS!AO$5="Sí",(1/DATOS_[[% anualiz]:[% anualiz]]),1)*IF(DATOS!AO$4="Sí",1/DATOS_[[% normaliz]:[% normaliz]],1)*(DATOS_[Conc.Sal.11])))))))),
0)</f>
        <v>0</v>
      </c>
      <c r="U92" s="196">
        <f t="array" ref="U92">IFERROR(
(MEDIAN((IF(DATOS_[[Sexo]:[Sexo]]=$B92,IF(DATOS_[[AGRUP. CLAS. PROF.]:[AGRUP. CLAS. PROF.]]=$B90,IF(DATOS_[[Check Periodo Ref.]:[Check Periodo Ref.]]="Dentro",IF(DATOS_[[Check Equiparado]:[Check Equiparado]]="Sí",IF(DATOS!AP$5="Sí",(1/DATOS_[[% anualiz]:[% anualiz]]),1)*IF(DATOS!AP$4="Sí",1/DATOS_[[% normaliz]:[% normaliz]],1)*(DATOS_[Conc.Sal.12])))))))),
0)</f>
        <v>0</v>
      </c>
      <c r="V92" s="196">
        <f t="array" ref="V92">IFERROR(
(MEDIAN((IF(DATOS_[[Sexo]:[Sexo]]=$B92,IF(DATOS_[[AGRUP. CLAS. PROF.]:[AGRUP. CLAS. PROF.]]=$B90,IF(DATOS_[[Check Periodo Ref.]:[Check Periodo Ref.]]="Dentro",IF(DATOS_[[Check Equiparado]:[Check Equiparado]]="Sí",IF(DATOS!AQ$5="Sí",(1/DATOS_[[% anualiz]:[% anualiz]]),1)*IF(DATOS!AQ$4="Sí",1/DATOS_[[% normaliz]:[% normaliz]],1)*(DATOS_[Conc.Sal.13])))))))),
0)</f>
        <v>0</v>
      </c>
      <c r="W92" s="196">
        <f t="array" ref="W92">IFERROR(
(MEDIAN((IF(DATOS_[[Sexo]:[Sexo]]=$B92,IF(DATOS_[[AGRUP. CLAS. PROF.]:[AGRUP. CLAS. PROF.]]=$B90,IF(DATOS_[[Check Periodo Ref.]:[Check Periodo Ref.]]="Dentro",IF(DATOS_[[Check Equiparado]:[Check Equiparado]]="Sí",IF(DATOS!AR$5="Sí",(1/DATOS_[[% anualiz]:[% anualiz]]),1)*IF(DATOS!AR$4="Sí",1/DATOS_[[% normaliz]:[% normaliz]],1)*(DATOS_[Conc.Sal.14])))))))),
0)</f>
        <v>0</v>
      </c>
      <c r="X92" s="196">
        <f t="array" ref="X92">IFERROR(
(MEDIAN((IF(DATOS_[[Sexo]:[Sexo]]=$B92,IF(DATOS_[[AGRUP. CLAS. PROF.]:[AGRUP. CLAS. PROF.]]=$B90,IF(DATOS_[[Check Periodo Ref.]:[Check Periodo Ref.]]="Dentro",IF(DATOS_[[Check Equiparado]:[Check Equiparado]]="Sí",IF(DATOS!AS$5="Sí",(1/DATOS_[[% anualiz]:[% anualiz]]),1)*IF(DATOS!AS$4="Sí",1/DATOS_[[% normaliz]:[% normaliz]],1)*(DATOS_[Conc.Sal.15])))))))),
0)</f>
        <v>0</v>
      </c>
      <c r="Y92" s="196">
        <f t="array" ref="Y92">IFERROR(
(MEDIAN((IF(DATOS_[[Sexo]:[Sexo]]=$B92,IF(DATOS_[[AGRUP. CLAS. PROF.]:[AGRUP. CLAS. PROF.]]=$B90,IF(DATOS_[[Check Periodo Ref.]:[Check Periodo Ref.]]="Dentro",IF(DATOS_[[Check Equiparado]:[Check Equiparado]]="Sí",IF(DATOS!AT$5="Sí",(1/DATOS_[[% anualiz]:[% anualiz]]),1)*IF(DATOS!AT$4="Sí",1/DATOS_[[% normaliz]:[% normaliz]],1)*(DATOS_[Conc.Sal.16])))))))),
0)</f>
        <v>0</v>
      </c>
      <c r="Z92" s="196">
        <f t="array" ref="Z92">IFERROR(
(MEDIAN((IF(DATOS_[[Sexo]:[Sexo]]=$B92,IF(DATOS_[[AGRUP. CLAS. PROF.]:[AGRUP. CLAS. PROF.]]=$B90,IF(DATOS_[[Check Periodo Ref.]:[Check Periodo Ref.]]="Dentro",IF(DATOS_[[Check Equiparado]:[Check Equiparado]]="Sí",IF(DATOS!AU$5="Sí",(1/DATOS_[[% anualiz]:[% anualiz]]),1)*IF(DATOS!AU$4="Sí",1/DATOS_[[% normaliz]:[% normaliz]],1)*(DATOS_[Conc.Sal.17])))))))),
0)</f>
        <v>0</v>
      </c>
      <c r="AA92" s="196">
        <f t="array" ref="AA92">IFERROR(
(MEDIAN((IF(DATOS_[[Sexo]:[Sexo]]=$B92,IF(DATOS_[[AGRUP. CLAS. PROF.]:[AGRUP. CLAS. PROF.]]=$B90,IF(DATOS_[[Check Periodo Ref.]:[Check Periodo Ref.]]="Dentro",IF(DATOS_[[Check Equiparado]:[Check Equiparado]]="Sí",IF(DATOS!AV$5="Sí",(1/DATOS_[[% anualiz]:[% anualiz]]),1)*IF(DATOS!AV$4="Sí",1/DATOS_[[% normaliz]:[% normaliz]],1)*(DATOS_[Conc.Sal.18])))))))),
0)</f>
        <v>0</v>
      </c>
      <c r="AB92" s="196">
        <f t="array" ref="AB92">IFERROR(
(MEDIAN((IF(DATOS_[[Sexo]:[Sexo]]=$B92,IF(DATOS_[[AGRUP. CLAS. PROF.]:[AGRUP. CLAS. PROF.]]=$B90,IF(DATOS_[[Check Periodo Ref.]:[Check Periodo Ref.]]="Dentro",IF(DATOS_[[Check Equiparado]:[Check Equiparado]]="Sí",IF(DATOS!AW$5="Sí",(1/DATOS_[[% anualiz]:[% anualiz]]),1)*IF(DATOS!AW$4="Sí",1/DATOS_[[% normaliz]:[% normaliz]],1)*(DATOS_[Conc.Sal.19])))))))),
0)</f>
        <v>0</v>
      </c>
      <c r="AC92" s="196">
        <f t="array" ref="AC92">IFERROR(
(MEDIAN((IF(DATOS_[[Sexo]:[Sexo]]=$B92,IF(DATOS_[[AGRUP. CLAS. PROF.]:[AGRUP. CLAS. PROF.]]=$B90,IF(DATOS_[[Check Periodo Ref.]:[Check Periodo Ref.]]="Dentro",IF(DATOS_[[Check Equiparado]:[Check Equiparado]]="Sí",IF(DATOS!AX$5="Sí",(1/DATOS_[[% anualiz]:[% anualiz]]),1)*IF(DATOS!AX$4="Sí",1/DATOS_[[% normaliz]:[% normaliz]],1)*(DATOS_[Conc.Sal.20])))))))),
0)</f>
        <v>0</v>
      </c>
      <c r="AD92" s="196">
        <f t="array" ref="AD92">IFERROR(
(MEDIAN((IF(DATOS_[[Sexo]:[Sexo]]=$B92,IF(DATOS_[[AGRUP. CLAS. PROF.]:[AGRUP. CLAS. PROF.]]=$B90,IF(DATOS_[[Check Periodo Ref.]:[Check Periodo Ref.]]="Dentro",IF(DATOS_[[Check Equiparado]:[Check Equiparado]]="Sí",IF(DATOS!AY$5="Sí",(1/DATOS_[[% anualiz]:[% anualiz]]),1)*IF(DATOS!AY$4="Sí",1/DATOS_[[% normaliz]:[% normaliz]],1)*(DATOS_[Conc.Sal.21])))))))),
0)</f>
        <v>0</v>
      </c>
      <c r="AE92" s="196">
        <f t="array" ref="AE92">IFERROR(
(MEDIAN((IF(DATOS_[[Sexo]:[Sexo]]=$B92,IF(DATOS_[[AGRUP. CLAS. PROF.]:[AGRUP. CLAS. PROF.]]=$B90,IF(DATOS_[[Check Periodo Ref.]:[Check Periodo Ref.]]="Dentro",IF(DATOS_[[Check Equiparado]:[Check Equiparado]]="Sí",IF(DATOS!AZ$5="Sí",(1/DATOS_[[% anualiz]:[% anualiz]]),1)*IF(DATOS!AZ$4="Sí",1/DATOS_[[% normaliz]:[% normaliz]],1)*(DATOS_[Conc.Sal.22])))))))),
0)</f>
        <v>0</v>
      </c>
      <c r="AF92" s="196">
        <f t="array" ref="AF92">IFERROR(
(MEDIAN((IF(DATOS_[[Sexo]:[Sexo]]=$B92,IF(DATOS_[[AGRUP. CLAS. PROF.]:[AGRUP. CLAS. PROF.]]=$B90,IF(DATOS_[[Check Periodo Ref.]:[Check Periodo Ref.]]="Dentro",IF(DATOS_[[Check Equiparado]:[Check Equiparado]]="Sí",IF(DATOS!BA$5="Sí",(1/DATOS_[[% anualiz]:[% anualiz]]),1)*IF(DATOS!BA$4="Sí",1/DATOS_[[% normaliz]:[% normaliz]],1)*(DATOS_[Conc.Sal.23])))))))),
0)</f>
        <v>0</v>
      </c>
      <c r="AG92" s="196">
        <f t="array" ref="AG92">IFERROR(
(MEDIAN((IF(DATOS_[[Sexo]:[Sexo]]=$B92,IF(DATOS_[[AGRUP. CLAS. PROF.]:[AGRUP. CLAS. PROF.]]=$B90,IF(DATOS_[[Check Periodo Ref.]:[Check Periodo Ref.]]="Dentro",IF(DATOS_[[Check Equiparado]:[Check Equiparado]]="Sí",IF(DATOS!BB$5="Sí",(1/DATOS_[[% anualiz]:[% anualiz]]),1)*IF(DATOS!BB$4="Sí",1/DATOS_[[% normaliz]:[% normaliz]],1)*(DATOS_[Conc.Sal.24])))))))),
0)</f>
        <v>0</v>
      </c>
      <c r="AH92" s="196">
        <f t="array" ref="AH92">IFERROR(
(MEDIAN((IF(DATOS_[[Sexo]:[Sexo]]=$B92,IF(DATOS_[[AGRUP. CLAS. PROF.]:[AGRUP. CLAS. PROF.]]=$B90,IF(DATOS_[[Check Periodo Ref.]:[Check Periodo Ref.]]="Dentro",IF(DATOS_[[Check Equiparado]:[Check Equiparado]]="Sí",IF(DATOS!BC$5="Sí",(1/DATOS_[[% anualiz]:[% anualiz]]),1)*IF(DATOS!BC$4="Sí",1/DATOS_[[% normaliz]:[% normaliz]],1)*(DATOS_[Conc.Sal.25])))))))),
0)</f>
        <v>0</v>
      </c>
      <c r="AI92" s="196">
        <f t="array" ref="AI92">IFERROR(
(MEDIAN((IF(DATOS_[[Sexo]:[Sexo]]=$B92,IF(DATOS_[[AGRUP. CLAS. PROF.]:[AGRUP. CLAS. PROF.]]=$B90,IF(DATOS_[[Check Periodo Ref.]:[Check Periodo Ref.]]="Dentro",IF(DATOS_[[Check Equiparado]:[Check Equiparado]]="Sí",IF(DATOS!BD$5="Sí",(1/DATOS_[[% anualiz]:[% anualiz]]),1)*IF(DATOS!BD$4="Sí",1/DATOS_[[% normaliz]:[% normaliz]],1)*(DATOS_[Conc.Sal.26])))))))),
0)</f>
        <v>0</v>
      </c>
      <c r="AJ92" s="196">
        <f t="array" ref="AJ92">IFERROR(
(MEDIAN((IF(DATOS_[[Sexo]:[Sexo]]=$B92,IF(DATOS_[[AGRUP. CLAS. PROF.]:[AGRUP. CLAS. PROF.]]=$B90,IF(DATOS_[[Check Periodo Ref.]:[Check Periodo Ref.]]="Dentro",IF(DATOS_[[Check Equiparado]:[Check Equiparado]]="Sí",IF(DATOS!BE$5="Sí",(1/DATOS_[[% anualiz]:[% anualiz]]),1)*IF(DATOS!BE$4="Sí",1/DATOS_[[% normaliz]:[% normaliz]],1)*(DATOS_[Conc.Sal.27])))))))),
0)</f>
        <v>0</v>
      </c>
      <c r="AK92" s="196">
        <f t="array" ref="AK92">IFERROR(
(MEDIAN((IF(DATOS_[[Sexo]:[Sexo]]=$B92,IF(DATOS_[[AGRUP. CLAS. PROF.]:[AGRUP. CLAS. PROF.]]=$B90,IF(DATOS_[[Check Periodo Ref.]:[Check Periodo Ref.]]="Dentro",IF(DATOS_[[Check Equiparado]:[Check Equiparado]]="Sí",IF(DATOS!BF$5="Sí",(1/DATOS_[[% anualiz]:[% anualiz]]),1)*IF(DATOS!BF$4="Sí",1/DATOS_[[% normaliz]:[% normaliz]],1)*(DATOS_[Conc.Sal.28])))))))),
0)</f>
        <v>0</v>
      </c>
      <c r="AL92" s="196">
        <f t="array" ref="AL92">IFERROR(
(MEDIAN((IF(DATOS_[[Sexo]:[Sexo]]=$B92,IF(DATOS_[[AGRUP. CLAS. PROF.]:[AGRUP. CLAS. PROF.]]=$B90,IF(DATOS_[[Check Periodo Ref.]:[Check Periodo Ref.]]="Dentro",IF(DATOS_[[Check Equiparado]:[Check Equiparado]]="Sí",IF(DATOS!BG$5="Sí",(1/DATOS_[[% anualiz]:[% anualiz]]),1)*IF(DATOS!BG$4="Sí",1/DATOS_[[% normaliz]:[% normaliz]],1)*(DATOS_[Conc.Sal.29])))))))),
0)</f>
        <v>0</v>
      </c>
      <c r="AM92" s="196">
        <f t="array" ref="AM92">IFERROR(
(MEDIAN((IF(DATOS_[[Sexo]:[Sexo]]=$B92,IF(DATOS_[[AGRUP. CLAS. PROF.]:[AGRUP. CLAS. PROF.]]=$B90,IF(DATOS_[[Check Periodo Ref.]:[Check Periodo Ref.]]="Dentro",IF(DATOS_[[Check Equiparado]:[Check Equiparado]]="Sí",IF(DATOS!BH$5="Sí",(1/DATOS_[[% anualiz]:[% anualiz]]),1)*IF(DATOS!BH$4="Sí",1/DATOS_[[% normaliz]:[% normaliz]],1)*(DATOS_[Conc.Sal.30])))))))),
0)</f>
        <v>0</v>
      </c>
      <c r="AN92" s="195">
        <f t="array" ref="AN92">IFERROR(
MEDIAN(IF(DATOS_[Sexo]=$B92,IF(DATOS_[[AGRUP. CLAS. PROF.]:[AGRUP. CLAS. PROF.]]=$B90,IF(DATOS_[Check Equiparado]="Sí",IF(DATOS_[Check Periodo Ref.]="Dentro",DATOS_[Tot COMPL.SAL Eq],FALSE))))),
0)</f>
        <v>0</v>
      </c>
      <c r="AO92" s="172">
        <f t="array" ref="AO92">IFERROR(
MEDIAN(IF(DATOS_[Sexo]=$B92,IF(DATOS_[[AGRUP. CLAS. PROF.]:[AGRUP. CLAS. PROF.]]=$B90,IF(DATOS_[Check Equiparado]="Sí",IF(DATOS_[Check Periodo Ref.]="Dentro",DATOS_[TOTAL SALARIO Eq],FALSE))))),
0)</f>
        <v>0</v>
      </c>
      <c r="AP92" s="173">
        <f t="array" ref="AP92">IFERROR(
(MEDIAN((IF(DATOS_[[Sexo]:[Sexo]]=$B92,IF(DATOS_[[AGRUP. CLAS. PROF.]:[AGRUP. CLAS. PROF.]]=$B90,IF(DATOS_[[Check Periodo Ref.]:[Check Periodo Ref.]]="Dentro",IF(DATOS_[[Check Equiparado]:[Check Equiparado]]="Sí",IF(DATOS!BW$5="Sí",(1/DATOS_[[% anualiz]:[% anualiz]]),1)*IF(DATOS!BW$4="Sí",1/DATOS_[[% normaliz]:[% normaliz]],1)*(DATOS_[C.Extra.01])))))))),
0)</f>
        <v>0</v>
      </c>
      <c r="AQ92" s="173">
        <f t="array" ref="AQ92">IFERROR(
(MEDIAN((IF(DATOS_[[Sexo]:[Sexo]]=$B92,IF(DATOS_[[AGRUP. CLAS. PROF.]:[AGRUP. CLAS. PROF.]]=$B90,IF(DATOS_[[Check Periodo Ref.]:[Check Periodo Ref.]]="Dentro",IF(DATOS_[[Check Equiparado]:[Check Equiparado]]="Sí",IF(DATOS!CB$5="Sí",(1/DATOS_[[% anualiz]:[% anualiz]]),1)*IF(DATOS!CB$4="Sí",1/DATOS_[[% normaliz]:[% normaliz]],1)*(DATOS_[C.Extra.06])))))))),
0)</f>
        <v>0</v>
      </c>
      <c r="AR92" s="173">
        <f t="array" ref="AR92">IFERROR(
(MEDIAN((IF(DATOS_[[Sexo]:[Sexo]]=$B92,IF(DATOS_[[AGRUP. CLAS. PROF.]:[AGRUP. CLAS. PROF.]]=$B90,IF(DATOS_[[Check Periodo Ref.]:[Check Periodo Ref.]]="Dentro",IF(DATOS_[[Check Equiparado]:[Check Equiparado]]="Sí",IF(DATOS!CC$5="Sí",(1/DATOS_[[% anualiz]:[% anualiz]]),1)*IF(DATOS!CC$4="Sí",1/DATOS_[[% normaliz]:[% normaliz]],1)*(DATOS_[C.Extra.07])))))))),
0)</f>
        <v>0</v>
      </c>
      <c r="AS92" s="173">
        <f t="array" ref="AS92">IFERROR(
(MEDIAN((IF(DATOS_[[Sexo]:[Sexo]]=$B92,IF(DATOS_[[AGRUP. CLAS. PROF.]:[AGRUP. CLAS. PROF.]]=$B90,IF(DATOS_[[Check Periodo Ref.]:[Check Periodo Ref.]]="Dentro",IF(DATOS_[[Check Equiparado]:[Check Equiparado]]="Sí",IF(DATOS!CD$5="Sí",(1/DATOS_[[% anualiz]:[% anualiz]]),1)*IF(DATOS!CD$4="Sí",1/DATOS_[[% normaliz]:[% normaliz]],1)*(DATOS_[C.Extra.08])))))))),
0)</f>
        <v>0</v>
      </c>
      <c r="AT92" s="173">
        <f t="array" ref="AT92">IFERROR(
(MEDIAN((IF(DATOS_[[Sexo]:[Sexo]]=$B92,IF(DATOS_[[AGRUP. CLAS. PROF.]:[AGRUP. CLAS. PROF.]]=$B90,IF(DATOS_[[Check Periodo Ref.]:[Check Periodo Ref.]]="Dentro",IF(DATOS_[[Check Equiparado]:[Check Equiparado]]="Sí",IF(DATOS!CG$5="Sí",(1/DATOS_[[% anualiz]:[% anualiz]]),1)*IF(DATOS!CG$4="Sí",1/DATOS_[[% normaliz]:[% normaliz]],1)*(DATOS_[C.Extra.11])))))))),
0)</f>
        <v>0</v>
      </c>
      <c r="AU92" s="197">
        <f t="array" ref="AU92">IFERROR(
MEDIAN(IF(DATOS_[Sexo]=$B92,IF(DATOS_[[AGRUP. CLAS. PROF.]:[AGRUP. CLAS. PROF.]]=$B90,IF(DATOS_[Check Equiparado]="Sí",IF(DATOS_[Check Periodo Ref.]="Dentro",DATOS_[Tot Extrasalarial Eq],FALSE))))),
0)</f>
        <v>0</v>
      </c>
      <c r="AV92" s="175">
        <f t="array" ref="AV92">IFERROR(
MEDIAN(IF(DATOS_[Sexo]=$B92,IF(DATOS_[[AGRUP. CLAS. PROF.]:[AGRUP. CLAS. PROF.]]=$B90,IF(DATOS_[Check Equiparado]="Sí",IF(DATOS_[Check Periodo Ref.]="Dentro",DATOS_[TOTAL Retrib Eq],FALSE))))),
0)</f>
        <v>0</v>
      </c>
    </row>
    <row r="93" spans="1:48" ht="15.6" hidden="1" thickBot="1" x14ac:dyDescent="0.3">
      <c r="A93" s="133" t="str">
        <f t="shared" ref="A93" si="107">+A94</f>
        <v>[ocultar]</v>
      </c>
      <c r="B93" s="199" t="s">
        <v>280</v>
      </c>
      <c r="C93" s="200"/>
      <c r="D93" s="201"/>
      <c r="E93" s="201"/>
      <c r="F93" s="201"/>
      <c r="G93" s="201"/>
      <c r="H93" s="201"/>
      <c r="I93" s="189" t="str">
        <f t="shared" ref="I93:AV93" si="108">IFERROR((I94-I95)/I94,"")</f>
        <v/>
      </c>
      <c r="J93" s="190" t="str">
        <f t="shared" si="108"/>
        <v/>
      </c>
      <c r="K93" s="191" t="str">
        <f t="shared" si="108"/>
        <v/>
      </c>
      <c r="L93" s="191" t="str">
        <f t="shared" si="108"/>
        <v/>
      </c>
      <c r="M93" s="191" t="str">
        <f t="shared" si="108"/>
        <v/>
      </c>
      <c r="N93" s="192" t="str">
        <f t="shared" si="108"/>
        <v/>
      </c>
      <c r="O93" s="193" t="str">
        <f t="shared" si="108"/>
        <v/>
      </c>
      <c r="P93" s="193" t="str">
        <f t="shared" si="108"/>
        <v/>
      </c>
      <c r="Q93" s="193" t="str">
        <f t="shared" si="108"/>
        <v/>
      </c>
      <c r="R93" s="193" t="str">
        <f t="shared" si="108"/>
        <v/>
      </c>
      <c r="S93" s="193" t="str">
        <f t="shared" si="108"/>
        <v/>
      </c>
      <c r="T93" s="193" t="str">
        <f t="shared" si="108"/>
        <v/>
      </c>
      <c r="U93" s="193" t="str">
        <f t="shared" si="108"/>
        <v/>
      </c>
      <c r="V93" s="193" t="str">
        <f t="shared" si="108"/>
        <v/>
      </c>
      <c r="W93" s="193" t="str">
        <f t="shared" si="108"/>
        <v/>
      </c>
      <c r="X93" s="193" t="str">
        <f t="shared" si="108"/>
        <v/>
      </c>
      <c r="Y93" s="193" t="str">
        <f t="shared" si="108"/>
        <v/>
      </c>
      <c r="Z93" s="193" t="str">
        <f t="shared" si="108"/>
        <v/>
      </c>
      <c r="AA93" s="193" t="str">
        <f t="shared" si="108"/>
        <v/>
      </c>
      <c r="AB93" s="193" t="str">
        <f t="shared" si="108"/>
        <v/>
      </c>
      <c r="AC93" s="193" t="str">
        <f t="shared" si="108"/>
        <v/>
      </c>
      <c r="AD93" s="193" t="str">
        <f t="shared" si="108"/>
        <v/>
      </c>
      <c r="AE93" s="193" t="str">
        <f t="shared" si="108"/>
        <v/>
      </c>
      <c r="AF93" s="193" t="str">
        <f t="shared" si="108"/>
        <v/>
      </c>
      <c r="AG93" s="193" t="str">
        <f t="shared" si="108"/>
        <v/>
      </c>
      <c r="AH93" s="193" t="str">
        <f t="shared" si="108"/>
        <v/>
      </c>
      <c r="AI93" s="193" t="str">
        <f t="shared" si="108"/>
        <v/>
      </c>
      <c r="AJ93" s="193" t="str">
        <f t="shared" si="108"/>
        <v/>
      </c>
      <c r="AK93" s="193" t="str">
        <f t="shared" si="108"/>
        <v/>
      </c>
      <c r="AL93" s="193" t="str">
        <f t="shared" si="108"/>
        <v/>
      </c>
      <c r="AM93" s="193" t="str">
        <f t="shared" si="108"/>
        <v/>
      </c>
      <c r="AN93" s="189" t="str">
        <f t="shared" si="108"/>
        <v/>
      </c>
      <c r="AO93" s="162" t="str">
        <f t="shared" si="108"/>
        <v/>
      </c>
      <c r="AP93" s="163" t="str">
        <f t="shared" si="108"/>
        <v/>
      </c>
      <c r="AQ93" s="163" t="str">
        <f t="shared" si="108"/>
        <v/>
      </c>
      <c r="AR93" s="163" t="str">
        <f t="shared" si="108"/>
        <v/>
      </c>
      <c r="AS93" s="163" t="str">
        <f t="shared" si="108"/>
        <v/>
      </c>
      <c r="AT93" s="163" t="str">
        <f t="shared" si="108"/>
        <v/>
      </c>
      <c r="AU93" s="194" t="str">
        <f t="shared" si="108"/>
        <v/>
      </c>
      <c r="AV93" s="165" t="str">
        <f t="shared" si="108"/>
        <v/>
      </c>
    </row>
    <row r="94" spans="1:48" hidden="1" x14ac:dyDescent="0.25">
      <c r="A94" s="133" t="str">
        <f t="shared" ref="A94" si="109">+IF(C94+C95=0,"[ocultar]","")</f>
        <v>[ocultar]</v>
      </c>
      <c r="B94" s="202" t="s">
        <v>394</v>
      </c>
      <c r="C94" s="203">
        <f t="array" ref="C94">SUM(IF($B94=DATOS_[Sexo],
IF($B93=DATOS_[AGRUP. CLAS. PROF.],
IF("Dentro"=DATOS_[Check Periodo Ref.],
1/(COUNTIFS(DATOS_[Sexo],$B94,DATOS_[AGRUP. CLAS. PROF.],$B93,DATOS_[Check Periodo Ref.],"Dentro",DATOS_[id/cod],DATOS_[id/cod]))))))</f>
        <v>0</v>
      </c>
      <c r="D94" s="204">
        <f>COUNTIFS(DATOS_[AGRUP. CLAS. PROF.],$B93,DATOS_[Sexo],$B94,DATOS_[Check Periodo Ref.],"Dentro")</f>
        <v>0</v>
      </c>
      <c r="E94" s="204">
        <f>COUNTIFS(DATOS_[AGRUP. CLAS. PROF.],$B93,DATOS_[Sexo],$B94,DATOS_[Check Periodo Ref.],"Dentro",DATOS_[Check Nº SC Norm],"Sí")</f>
        <v>0</v>
      </c>
      <c r="F94" s="204">
        <f>COUNTIFS(DATOS_[AGRUP. CLAS. PROF.],$B93,DATOS_[Sexo],$B94,DATOS_[Check Periodo Ref.],"Dentro",DATOS_[Check Nº SC Anualiz],"Sí")</f>
        <v>0</v>
      </c>
      <c r="G94" s="204">
        <f>COUNTIFS(DATOS_[AGRUP. CLAS. PROF.],$B93,DATOS_[Sexo],$B94,DATOS_[Check Periodo Ref.],"Dentro",DATOS_[Check Nº SC Norm y Anualiz],"Sí")</f>
        <v>0</v>
      </c>
      <c r="H94" s="204">
        <f>COUNTIFS(DATOS_[AGRUP. CLAS. PROF.],$B93,DATOS_[Sexo],$B94,DATOS_[Check Periodo Ref.],"Dentro",DATOS_[Check Equiparación],"Sí")</f>
        <v>0</v>
      </c>
      <c r="I94" s="195">
        <f t="array" ref="I94">IFERROR(
MEDIAN(IF(DATOS_[Sexo]=$B94,IF(DATOS_[[AGRUP. CLAS. PROF.]:[AGRUP. CLAS. PROF.]]=$B93,IF(DATOS_[Check Equiparado]="Sí",IF(DATOS_[Check Periodo Ref.]="Dentro",DATOS_[SALARIO BASE Eq],FALSE))))),
0)</f>
        <v>0</v>
      </c>
      <c r="J94" s="196">
        <f t="array" ref="J94">IFERROR(
(MEDIAN((IF(DATOS_[[Sexo]:[Sexo]]=$B94,IF(DATOS_[[AGRUP. CLAS. PROF.]:[AGRUP. CLAS. PROF.]]=$B93,IF(DATOS_[[Check Periodo Ref.]:[Check Periodo Ref.]]="Dentro",IF(DATOS_[[Check Equiparado]:[Check Equiparado]]="Sí",IF(DATOS!AE$5="Sí",(1/DATOS_[[% anualiz]:[% anualiz]]),1)*IF(DATOS!AE$4="Sí",1/DATOS_[[% normaliz]:[% normaliz]],1)*(DATOS_[Conc.Sal.01])))))))),
0)</f>
        <v>0</v>
      </c>
      <c r="K94" s="196">
        <f t="array" ref="K94">IFERROR(
(MEDIAN((IF(DATOS_[[Sexo]:[Sexo]]=$B94,IF(DATOS_[[AGRUP. CLAS. PROF.]:[AGRUP. CLAS. PROF.]]=$B93,IF(DATOS_[[Check Periodo Ref.]:[Check Periodo Ref.]]="Dentro",IF(DATOS_[[Check Equiparado]:[Check Equiparado]]="Sí",IF(DATOS!AF$5="Sí",(1/DATOS_[[% anualiz]:[% anualiz]]),1)*IF(DATOS!AF$4="Sí",1/DATOS_[[% normaliz]:[% normaliz]],1)*(DATOS_[Conc.Sal.02])))))))),
0)</f>
        <v>0</v>
      </c>
      <c r="L94" s="196">
        <f t="array" ref="L94">IFERROR(
(MEDIAN((IF(DATOS_[[Sexo]:[Sexo]]=$B94,IF(DATOS_[[AGRUP. CLAS. PROF.]:[AGRUP. CLAS. PROF.]]=$B93,IF(DATOS_[[Check Periodo Ref.]:[Check Periodo Ref.]]="Dentro",IF(DATOS_[[Check Equiparado]:[Check Equiparado]]="Sí",IF(DATOS!AG$5="Sí",(1/DATOS_[[% anualiz]:[% anualiz]]),1)*IF(DATOS!AG$4="Sí",1/DATOS_[[% normaliz]:[% normaliz]],1)*(DATOS_[Conc.Sal.03])))))))),
0)</f>
        <v>0</v>
      </c>
      <c r="M94" s="196">
        <f t="array" ref="M94">IFERROR(
(MEDIAN((IF(DATOS_[[Sexo]:[Sexo]]=$B94,IF(DATOS_[[AGRUP. CLAS. PROF.]:[AGRUP. CLAS. PROF.]]=$B93,IF(DATOS_[[Check Periodo Ref.]:[Check Periodo Ref.]]="Dentro",IF(DATOS_[[Check Equiparado]:[Check Equiparado]]="Sí",IF(DATOS!AH$5="Sí",(1/DATOS_[[% anualiz]:[% anualiz]]),1)*IF(DATOS!AH$4="Sí",1/DATOS_[[% normaliz]:[% normaliz]],1)*(DATOS_[Conc.Sal.04])))))))),
0)</f>
        <v>0</v>
      </c>
      <c r="N94" s="196">
        <f t="array" ref="N94">IFERROR(
(MEDIAN((IF(DATOS_[[Sexo]:[Sexo]]=$B94,IF(DATOS_[[AGRUP. CLAS. PROF.]:[AGRUP. CLAS. PROF.]]=$B93,IF(DATOS_[[Check Periodo Ref.]:[Check Periodo Ref.]]="Dentro",IF(DATOS_[[Check Equiparado]:[Check Equiparado]]="Sí",IF(DATOS!AI$5="Sí",(1/DATOS_[[% anualiz]:[% anualiz]]),1)*IF(DATOS!AI$4="Sí",1/DATOS_[[% normaliz]:[% normaliz]],1)*(DATOS_[Conc.Sal.05])))))))),
0)</f>
        <v>0</v>
      </c>
      <c r="O94" s="196">
        <f t="array" ref="O94">IFERROR(
(MEDIAN((IF(DATOS_[[Sexo]:[Sexo]]=$B94,IF(DATOS_[[AGRUP. CLAS. PROF.]:[AGRUP. CLAS. PROF.]]=$B93,IF(DATOS_[[Check Periodo Ref.]:[Check Periodo Ref.]]="Dentro",IF(DATOS_[[Check Equiparado]:[Check Equiparado]]="Sí",IF(DATOS!AJ$5="Sí",(1/DATOS_[[% anualiz]:[% anualiz]]),1)*IF(DATOS!AJ$4="Sí",1/DATOS_[[% normaliz]:[% normaliz]],1)*(DATOS_[Conc.Sal.06])))))))),
0)</f>
        <v>0</v>
      </c>
      <c r="P94" s="196">
        <f t="array" ref="P94">IFERROR(
(MEDIAN((IF(DATOS_[[Sexo]:[Sexo]]=$B94,IF(DATOS_[[AGRUP. CLAS. PROF.]:[AGRUP. CLAS. PROF.]]=$B93,IF(DATOS_[[Check Periodo Ref.]:[Check Periodo Ref.]]="Dentro",IF(DATOS_[[Check Equiparado]:[Check Equiparado]]="Sí",IF(DATOS!AK$5="Sí",(1/DATOS_[[% anualiz]:[% anualiz]]),1)*IF(DATOS!AK$4="Sí",1/DATOS_[[% normaliz]:[% normaliz]],1)*(DATOS_[Conc.Sal.07])))))))),
0)</f>
        <v>0</v>
      </c>
      <c r="Q94" s="196">
        <f t="array" ref="Q94">IFERROR(
(MEDIAN((IF(DATOS_[[Sexo]:[Sexo]]=$B94,IF(DATOS_[[AGRUP. CLAS. PROF.]:[AGRUP. CLAS. PROF.]]=$B93,IF(DATOS_[[Check Periodo Ref.]:[Check Periodo Ref.]]="Dentro",IF(DATOS_[[Check Equiparado]:[Check Equiparado]]="Sí",IF(DATOS!AL$5="Sí",(1/DATOS_[[% anualiz]:[% anualiz]]),1)*IF(DATOS!AL$4="Sí",1/DATOS_[[% normaliz]:[% normaliz]],1)*(DATOS_[Conc.Sal.08])))))))),
0)</f>
        <v>0</v>
      </c>
      <c r="R94" s="196">
        <f t="array" ref="R94">IFERROR(
(MEDIAN((IF(DATOS_[[Sexo]:[Sexo]]=$B94,IF(DATOS_[[AGRUP. CLAS. PROF.]:[AGRUP. CLAS. PROF.]]=$B93,IF(DATOS_[[Check Periodo Ref.]:[Check Periodo Ref.]]="Dentro",IF(DATOS_[[Check Equiparado]:[Check Equiparado]]="Sí",IF(DATOS!AM$5="Sí",(1/DATOS_[[% anualiz]:[% anualiz]]),1)*IF(DATOS!AM$4="Sí",1/DATOS_[[% normaliz]:[% normaliz]],1)*(DATOS_[Conc.Sal.09])))))))),
0)</f>
        <v>0</v>
      </c>
      <c r="S94" s="196">
        <f t="array" ref="S94">IFERROR(
(MEDIAN((IF(DATOS_[[Sexo]:[Sexo]]=$B94,IF(DATOS_[[AGRUP. CLAS. PROF.]:[AGRUP. CLAS. PROF.]]=$B93,IF(DATOS_[[Check Periodo Ref.]:[Check Periodo Ref.]]="Dentro",IF(DATOS_[[Check Equiparado]:[Check Equiparado]]="Sí",IF(DATOS!AN$5="Sí",(1/DATOS_[[% anualiz]:[% anualiz]]),1)*IF(DATOS!AN$4="Sí",1/DATOS_[[% normaliz]:[% normaliz]],1)*(DATOS_[Conc.Sal.10])))))))),
0)</f>
        <v>0</v>
      </c>
      <c r="T94" s="196">
        <f t="array" ref="T94">IFERROR(
(MEDIAN((IF(DATOS_[[Sexo]:[Sexo]]=$B94,IF(DATOS_[[AGRUP. CLAS. PROF.]:[AGRUP. CLAS. PROF.]]=$B93,IF(DATOS_[[Check Periodo Ref.]:[Check Periodo Ref.]]="Dentro",IF(DATOS_[[Check Equiparado]:[Check Equiparado]]="Sí",IF(DATOS!AO$5="Sí",(1/DATOS_[[% anualiz]:[% anualiz]]),1)*IF(DATOS!AO$4="Sí",1/DATOS_[[% normaliz]:[% normaliz]],1)*(DATOS_[Conc.Sal.11])))))))),
0)</f>
        <v>0</v>
      </c>
      <c r="U94" s="196">
        <f t="array" ref="U94">IFERROR(
(MEDIAN((IF(DATOS_[[Sexo]:[Sexo]]=$B94,IF(DATOS_[[AGRUP. CLAS. PROF.]:[AGRUP. CLAS. PROF.]]=$B93,IF(DATOS_[[Check Periodo Ref.]:[Check Periodo Ref.]]="Dentro",IF(DATOS_[[Check Equiparado]:[Check Equiparado]]="Sí",IF(DATOS!AP$5="Sí",(1/DATOS_[[% anualiz]:[% anualiz]]),1)*IF(DATOS!AP$4="Sí",1/DATOS_[[% normaliz]:[% normaliz]],1)*(DATOS_[Conc.Sal.12])))))))),
0)</f>
        <v>0</v>
      </c>
      <c r="V94" s="196">
        <f t="array" ref="V94">IFERROR(
(MEDIAN((IF(DATOS_[[Sexo]:[Sexo]]=$B94,IF(DATOS_[[AGRUP. CLAS. PROF.]:[AGRUP. CLAS. PROF.]]=$B93,IF(DATOS_[[Check Periodo Ref.]:[Check Periodo Ref.]]="Dentro",IF(DATOS_[[Check Equiparado]:[Check Equiparado]]="Sí",IF(DATOS!AQ$5="Sí",(1/DATOS_[[% anualiz]:[% anualiz]]),1)*IF(DATOS!AQ$4="Sí",1/DATOS_[[% normaliz]:[% normaliz]],1)*(DATOS_[Conc.Sal.13])))))))),
0)</f>
        <v>0</v>
      </c>
      <c r="W94" s="196">
        <f t="array" ref="W94">IFERROR(
(MEDIAN((IF(DATOS_[[Sexo]:[Sexo]]=$B94,IF(DATOS_[[AGRUP. CLAS. PROF.]:[AGRUP. CLAS. PROF.]]=$B93,IF(DATOS_[[Check Periodo Ref.]:[Check Periodo Ref.]]="Dentro",IF(DATOS_[[Check Equiparado]:[Check Equiparado]]="Sí",IF(DATOS!AR$5="Sí",(1/DATOS_[[% anualiz]:[% anualiz]]),1)*IF(DATOS!AR$4="Sí",1/DATOS_[[% normaliz]:[% normaliz]],1)*(DATOS_[Conc.Sal.14])))))))),
0)</f>
        <v>0</v>
      </c>
      <c r="X94" s="196">
        <f t="array" ref="X94">IFERROR(
(MEDIAN((IF(DATOS_[[Sexo]:[Sexo]]=$B94,IF(DATOS_[[AGRUP. CLAS. PROF.]:[AGRUP. CLAS. PROF.]]=$B93,IF(DATOS_[[Check Periodo Ref.]:[Check Periodo Ref.]]="Dentro",IF(DATOS_[[Check Equiparado]:[Check Equiparado]]="Sí",IF(DATOS!AS$5="Sí",(1/DATOS_[[% anualiz]:[% anualiz]]),1)*IF(DATOS!AS$4="Sí",1/DATOS_[[% normaliz]:[% normaliz]],1)*(DATOS_[Conc.Sal.15])))))))),
0)</f>
        <v>0</v>
      </c>
      <c r="Y94" s="196">
        <f t="array" ref="Y94">IFERROR(
(MEDIAN((IF(DATOS_[[Sexo]:[Sexo]]=$B94,IF(DATOS_[[AGRUP. CLAS. PROF.]:[AGRUP. CLAS. PROF.]]=$B93,IF(DATOS_[[Check Periodo Ref.]:[Check Periodo Ref.]]="Dentro",IF(DATOS_[[Check Equiparado]:[Check Equiparado]]="Sí",IF(DATOS!AT$5="Sí",(1/DATOS_[[% anualiz]:[% anualiz]]),1)*IF(DATOS!AT$4="Sí",1/DATOS_[[% normaliz]:[% normaliz]],1)*(DATOS_[Conc.Sal.16])))))))),
0)</f>
        <v>0</v>
      </c>
      <c r="Z94" s="196">
        <f t="array" ref="Z94">IFERROR(
(MEDIAN((IF(DATOS_[[Sexo]:[Sexo]]=$B94,IF(DATOS_[[AGRUP. CLAS. PROF.]:[AGRUP. CLAS. PROF.]]=$B93,IF(DATOS_[[Check Periodo Ref.]:[Check Periodo Ref.]]="Dentro",IF(DATOS_[[Check Equiparado]:[Check Equiparado]]="Sí",IF(DATOS!AU$5="Sí",(1/DATOS_[[% anualiz]:[% anualiz]]),1)*IF(DATOS!AU$4="Sí",1/DATOS_[[% normaliz]:[% normaliz]],1)*(DATOS_[Conc.Sal.17])))))))),
0)</f>
        <v>0</v>
      </c>
      <c r="AA94" s="196">
        <f t="array" ref="AA94">IFERROR(
(MEDIAN((IF(DATOS_[[Sexo]:[Sexo]]=$B94,IF(DATOS_[[AGRUP. CLAS. PROF.]:[AGRUP. CLAS. PROF.]]=$B93,IF(DATOS_[[Check Periodo Ref.]:[Check Periodo Ref.]]="Dentro",IF(DATOS_[[Check Equiparado]:[Check Equiparado]]="Sí",IF(DATOS!AV$5="Sí",(1/DATOS_[[% anualiz]:[% anualiz]]),1)*IF(DATOS!AV$4="Sí",1/DATOS_[[% normaliz]:[% normaliz]],1)*(DATOS_[Conc.Sal.18])))))))),
0)</f>
        <v>0</v>
      </c>
      <c r="AB94" s="196">
        <f t="array" ref="AB94">IFERROR(
(MEDIAN((IF(DATOS_[[Sexo]:[Sexo]]=$B94,IF(DATOS_[[AGRUP. CLAS. PROF.]:[AGRUP. CLAS. PROF.]]=$B93,IF(DATOS_[[Check Periodo Ref.]:[Check Periodo Ref.]]="Dentro",IF(DATOS_[[Check Equiparado]:[Check Equiparado]]="Sí",IF(DATOS!AW$5="Sí",(1/DATOS_[[% anualiz]:[% anualiz]]),1)*IF(DATOS!AW$4="Sí",1/DATOS_[[% normaliz]:[% normaliz]],1)*(DATOS_[Conc.Sal.19])))))))),
0)</f>
        <v>0</v>
      </c>
      <c r="AC94" s="196">
        <f t="array" ref="AC94">IFERROR(
(MEDIAN((IF(DATOS_[[Sexo]:[Sexo]]=$B94,IF(DATOS_[[AGRUP. CLAS. PROF.]:[AGRUP. CLAS. PROF.]]=$B93,IF(DATOS_[[Check Periodo Ref.]:[Check Periodo Ref.]]="Dentro",IF(DATOS_[[Check Equiparado]:[Check Equiparado]]="Sí",IF(DATOS!AX$5="Sí",(1/DATOS_[[% anualiz]:[% anualiz]]),1)*IF(DATOS!AX$4="Sí",1/DATOS_[[% normaliz]:[% normaliz]],1)*(DATOS_[Conc.Sal.20])))))))),
0)</f>
        <v>0</v>
      </c>
      <c r="AD94" s="196">
        <f t="array" ref="AD94">IFERROR(
(MEDIAN((IF(DATOS_[[Sexo]:[Sexo]]=$B94,IF(DATOS_[[AGRUP. CLAS. PROF.]:[AGRUP. CLAS. PROF.]]=$B93,IF(DATOS_[[Check Periodo Ref.]:[Check Periodo Ref.]]="Dentro",IF(DATOS_[[Check Equiparado]:[Check Equiparado]]="Sí",IF(DATOS!AY$5="Sí",(1/DATOS_[[% anualiz]:[% anualiz]]),1)*IF(DATOS!AY$4="Sí",1/DATOS_[[% normaliz]:[% normaliz]],1)*(DATOS_[Conc.Sal.21])))))))),
0)</f>
        <v>0</v>
      </c>
      <c r="AE94" s="196">
        <f t="array" ref="AE94">IFERROR(
(MEDIAN((IF(DATOS_[[Sexo]:[Sexo]]=$B94,IF(DATOS_[[AGRUP. CLAS. PROF.]:[AGRUP. CLAS. PROF.]]=$B93,IF(DATOS_[[Check Periodo Ref.]:[Check Periodo Ref.]]="Dentro",IF(DATOS_[[Check Equiparado]:[Check Equiparado]]="Sí",IF(DATOS!AZ$5="Sí",(1/DATOS_[[% anualiz]:[% anualiz]]),1)*IF(DATOS!AZ$4="Sí",1/DATOS_[[% normaliz]:[% normaliz]],1)*(DATOS_[Conc.Sal.22])))))))),
0)</f>
        <v>0</v>
      </c>
      <c r="AF94" s="196">
        <f t="array" ref="AF94">IFERROR(
(MEDIAN((IF(DATOS_[[Sexo]:[Sexo]]=$B94,IF(DATOS_[[AGRUP. CLAS. PROF.]:[AGRUP. CLAS. PROF.]]=$B93,IF(DATOS_[[Check Periodo Ref.]:[Check Periodo Ref.]]="Dentro",IF(DATOS_[[Check Equiparado]:[Check Equiparado]]="Sí",IF(DATOS!BA$5="Sí",(1/DATOS_[[% anualiz]:[% anualiz]]),1)*IF(DATOS!BA$4="Sí",1/DATOS_[[% normaliz]:[% normaliz]],1)*(DATOS_[Conc.Sal.23])))))))),
0)</f>
        <v>0</v>
      </c>
      <c r="AG94" s="196">
        <f t="array" ref="AG94">IFERROR(
(MEDIAN((IF(DATOS_[[Sexo]:[Sexo]]=$B94,IF(DATOS_[[AGRUP. CLAS. PROF.]:[AGRUP. CLAS. PROF.]]=$B93,IF(DATOS_[[Check Periodo Ref.]:[Check Periodo Ref.]]="Dentro",IF(DATOS_[[Check Equiparado]:[Check Equiparado]]="Sí",IF(DATOS!BB$5="Sí",(1/DATOS_[[% anualiz]:[% anualiz]]),1)*IF(DATOS!BB$4="Sí",1/DATOS_[[% normaliz]:[% normaliz]],1)*(DATOS_[Conc.Sal.24])))))))),
0)</f>
        <v>0</v>
      </c>
      <c r="AH94" s="196">
        <f t="array" ref="AH94">IFERROR(
(MEDIAN((IF(DATOS_[[Sexo]:[Sexo]]=$B94,IF(DATOS_[[AGRUP. CLAS. PROF.]:[AGRUP. CLAS. PROF.]]=$B93,IF(DATOS_[[Check Periodo Ref.]:[Check Periodo Ref.]]="Dentro",IF(DATOS_[[Check Equiparado]:[Check Equiparado]]="Sí",IF(DATOS!BC$5="Sí",(1/DATOS_[[% anualiz]:[% anualiz]]),1)*IF(DATOS!BC$4="Sí",1/DATOS_[[% normaliz]:[% normaliz]],1)*(DATOS_[Conc.Sal.25])))))))),
0)</f>
        <v>0</v>
      </c>
      <c r="AI94" s="196">
        <f t="array" ref="AI94">IFERROR(
(MEDIAN((IF(DATOS_[[Sexo]:[Sexo]]=$B94,IF(DATOS_[[AGRUP. CLAS. PROF.]:[AGRUP. CLAS. PROF.]]=$B93,IF(DATOS_[[Check Periodo Ref.]:[Check Periodo Ref.]]="Dentro",IF(DATOS_[[Check Equiparado]:[Check Equiparado]]="Sí",IF(DATOS!BD$5="Sí",(1/DATOS_[[% anualiz]:[% anualiz]]),1)*IF(DATOS!BD$4="Sí",1/DATOS_[[% normaliz]:[% normaliz]],1)*(DATOS_[Conc.Sal.26])))))))),
0)</f>
        <v>0</v>
      </c>
      <c r="AJ94" s="196">
        <f t="array" ref="AJ94">IFERROR(
(MEDIAN((IF(DATOS_[[Sexo]:[Sexo]]=$B94,IF(DATOS_[[AGRUP. CLAS. PROF.]:[AGRUP. CLAS. PROF.]]=$B93,IF(DATOS_[[Check Periodo Ref.]:[Check Periodo Ref.]]="Dentro",IF(DATOS_[[Check Equiparado]:[Check Equiparado]]="Sí",IF(DATOS!BE$5="Sí",(1/DATOS_[[% anualiz]:[% anualiz]]),1)*IF(DATOS!BE$4="Sí",1/DATOS_[[% normaliz]:[% normaliz]],1)*(DATOS_[Conc.Sal.27])))))))),
0)</f>
        <v>0</v>
      </c>
      <c r="AK94" s="196">
        <f t="array" ref="AK94">IFERROR(
(MEDIAN((IF(DATOS_[[Sexo]:[Sexo]]=$B94,IF(DATOS_[[AGRUP. CLAS. PROF.]:[AGRUP. CLAS. PROF.]]=$B93,IF(DATOS_[[Check Periodo Ref.]:[Check Periodo Ref.]]="Dentro",IF(DATOS_[[Check Equiparado]:[Check Equiparado]]="Sí",IF(DATOS!BF$5="Sí",(1/DATOS_[[% anualiz]:[% anualiz]]),1)*IF(DATOS!BF$4="Sí",1/DATOS_[[% normaliz]:[% normaliz]],1)*(DATOS_[Conc.Sal.28])))))))),
0)</f>
        <v>0</v>
      </c>
      <c r="AL94" s="196">
        <f t="array" ref="AL94">IFERROR(
(MEDIAN((IF(DATOS_[[Sexo]:[Sexo]]=$B94,IF(DATOS_[[AGRUP. CLAS. PROF.]:[AGRUP. CLAS. PROF.]]=$B93,IF(DATOS_[[Check Periodo Ref.]:[Check Periodo Ref.]]="Dentro",IF(DATOS_[[Check Equiparado]:[Check Equiparado]]="Sí",IF(DATOS!BG$5="Sí",(1/DATOS_[[% anualiz]:[% anualiz]]),1)*IF(DATOS!BG$4="Sí",1/DATOS_[[% normaliz]:[% normaliz]],1)*(DATOS_[Conc.Sal.29])))))))),
0)</f>
        <v>0</v>
      </c>
      <c r="AM94" s="196">
        <f t="array" ref="AM94">IFERROR(
(MEDIAN((IF(DATOS_[[Sexo]:[Sexo]]=$B94,IF(DATOS_[[AGRUP. CLAS. PROF.]:[AGRUP. CLAS. PROF.]]=$B93,IF(DATOS_[[Check Periodo Ref.]:[Check Periodo Ref.]]="Dentro",IF(DATOS_[[Check Equiparado]:[Check Equiparado]]="Sí",IF(DATOS!BH$5="Sí",(1/DATOS_[[% anualiz]:[% anualiz]]),1)*IF(DATOS!BH$4="Sí",1/DATOS_[[% normaliz]:[% normaliz]],1)*(DATOS_[Conc.Sal.30])))))))),
0)</f>
        <v>0</v>
      </c>
      <c r="AN94" s="195">
        <f t="array" ref="AN94">IFERROR(
MEDIAN(IF(DATOS_[Sexo]=$B94,IF(DATOS_[[AGRUP. CLAS. PROF.]:[AGRUP. CLAS. PROF.]]=$B93,IF(DATOS_[Check Equiparado]="Sí",IF(DATOS_[Check Periodo Ref.]="Dentro",DATOS_[Tot COMPL.SAL Eq],FALSE))))),
0)</f>
        <v>0</v>
      </c>
      <c r="AO94" s="172">
        <f t="array" ref="AO94">IFERROR(
MEDIAN(IF(DATOS_[Sexo]=$B94,IF(DATOS_[[AGRUP. CLAS. PROF.]:[AGRUP. CLAS. PROF.]]=$B93,IF(DATOS_[Check Equiparado]="Sí",IF(DATOS_[Check Periodo Ref.]="Dentro",DATOS_[TOTAL SALARIO Eq],FALSE))))),
0)</f>
        <v>0</v>
      </c>
      <c r="AP94" s="173">
        <f t="array" ref="AP94">IFERROR(
(MEDIAN((IF(DATOS_[[Sexo]:[Sexo]]=$B94,IF(DATOS_[[AGRUP. CLAS. PROF.]:[AGRUP. CLAS. PROF.]]=$B93,IF(DATOS_[[Check Periodo Ref.]:[Check Periodo Ref.]]="Dentro",IF(DATOS_[[Check Equiparado]:[Check Equiparado]]="Sí",IF(DATOS!BW$5="Sí",(1/DATOS_[[% anualiz]:[% anualiz]]),1)*IF(DATOS!BW$4="Sí",1/DATOS_[[% normaliz]:[% normaliz]],1)*(DATOS_[C.Extra.01])))))))),
0)</f>
        <v>0</v>
      </c>
      <c r="AQ94" s="173">
        <f t="array" ref="AQ94">IFERROR(
(MEDIAN((IF(DATOS_[[Sexo]:[Sexo]]=$B94,IF(DATOS_[[AGRUP. CLAS. PROF.]:[AGRUP. CLAS. PROF.]]=$B93,IF(DATOS_[[Check Periodo Ref.]:[Check Periodo Ref.]]="Dentro",IF(DATOS_[[Check Equiparado]:[Check Equiparado]]="Sí",IF(DATOS!CB$5="Sí",(1/DATOS_[[% anualiz]:[% anualiz]]),1)*IF(DATOS!CB$4="Sí",1/DATOS_[[% normaliz]:[% normaliz]],1)*(DATOS_[C.Extra.06])))))))),
0)</f>
        <v>0</v>
      </c>
      <c r="AR94" s="173">
        <f t="array" ref="AR94">IFERROR(
(MEDIAN((IF(DATOS_[[Sexo]:[Sexo]]=$B94,IF(DATOS_[[AGRUP. CLAS. PROF.]:[AGRUP. CLAS. PROF.]]=$B93,IF(DATOS_[[Check Periodo Ref.]:[Check Periodo Ref.]]="Dentro",IF(DATOS_[[Check Equiparado]:[Check Equiparado]]="Sí",IF(DATOS!CC$5="Sí",(1/DATOS_[[% anualiz]:[% anualiz]]),1)*IF(DATOS!CC$4="Sí",1/DATOS_[[% normaliz]:[% normaliz]],1)*(DATOS_[C.Extra.07])))))))),
0)</f>
        <v>0</v>
      </c>
      <c r="AS94" s="173">
        <f t="array" ref="AS94">IFERROR(
(MEDIAN((IF(DATOS_[[Sexo]:[Sexo]]=$B94,IF(DATOS_[[AGRUP. CLAS. PROF.]:[AGRUP. CLAS. PROF.]]=$B93,IF(DATOS_[[Check Periodo Ref.]:[Check Periodo Ref.]]="Dentro",IF(DATOS_[[Check Equiparado]:[Check Equiparado]]="Sí",IF(DATOS!CD$5="Sí",(1/DATOS_[[% anualiz]:[% anualiz]]),1)*IF(DATOS!CD$4="Sí",1/DATOS_[[% normaliz]:[% normaliz]],1)*(DATOS_[C.Extra.08])))))))),
0)</f>
        <v>0</v>
      </c>
      <c r="AT94" s="173">
        <f t="array" ref="AT94">IFERROR(
(MEDIAN((IF(DATOS_[[Sexo]:[Sexo]]=$B94,IF(DATOS_[[AGRUP. CLAS. PROF.]:[AGRUP. CLAS. PROF.]]=$B93,IF(DATOS_[[Check Periodo Ref.]:[Check Periodo Ref.]]="Dentro",IF(DATOS_[[Check Equiparado]:[Check Equiparado]]="Sí",IF(DATOS!CG$5="Sí",(1/DATOS_[[% anualiz]:[% anualiz]]),1)*IF(DATOS!CG$4="Sí",1/DATOS_[[% normaliz]:[% normaliz]],1)*(DATOS_[C.Extra.11])))))))),
0)</f>
        <v>0</v>
      </c>
      <c r="AU94" s="197">
        <f t="array" ref="AU94">IFERROR(
MEDIAN(IF(DATOS_[Sexo]=$B94,IF(DATOS_[[AGRUP. CLAS. PROF.]:[AGRUP. CLAS. PROF.]]=$B93,IF(DATOS_[Check Equiparado]="Sí",IF(DATOS_[Check Periodo Ref.]="Dentro",DATOS_[Tot Extrasalarial Eq],FALSE))))),
0)</f>
        <v>0</v>
      </c>
      <c r="AV94" s="175">
        <f t="array" ref="AV94">IFERROR(
MEDIAN(IF(DATOS_[Sexo]=$B94,IF(DATOS_[[AGRUP. CLAS. PROF.]:[AGRUP. CLAS. PROF.]]=$B93,IF(DATOS_[Check Equiparado]="Sí",IF(DATOS_[Check Periodo Ref.]="Dentro",DATOS_[TOTAL Retrib Eq],FALSE))))),
0)</f>
        <v>0</v>
      </c>
    </row>
    <row r="95" spans="1:48" hidden="1" x14ac:dyDescent="0.25">
      <c r="A95" s="133" t="str">
        <f t="shared" ref="A95" si="110">+A94</f>
        <v>[ocultar]</v>
      </c>
      <c r="B95" s="202" t="s">
        <v>521</v>
      </c>
      <c r="C95" s="203">
        <f t="array" ref="C95">SUM(IF($B95=DATOS_[Sexo],
IF($B93=DATOS_[AGRUP. CLAS. PROF.],
IF("Dentro"=DATOS_[Check Periodo Ref.],
1/(COUNTIFS(DATOS_[Sexo],$B95,DATOS_[AGRUP. CLAS. PROF.],$B93,DATOS_[Check Periodo Ref.],"Dentro",DATOS_[id/cod],DATOS_[id/cod]))))))</f>
        <v>0</v>
      </c>
      <c r="D95" s="204">
        <f>COUNTIFS(DATOS_[AGRUP. CLAS. PROF.],$B93,DATOS_[Sexo],$B95,DATOS_[Check Periodo Ref.],"Dentro")</f>
        <v>0</v>
      </c>
      <c r="E95" s="204">
        <f>COUNTIFS(DATOS_[AGRUP. CLAS. PROF.],$B93,DATOS_[Sexo],$B95,DATOS_[Check Periodo Ref.],"Dentro",DATOS_[Check Nº SC Norm],"Sí")</f>
        <v>0</v>
      </c>
      <c r="F95" s="204">
        <f>COUNTIFS(DATOS_[AGRUP. CLAS. PROF.],$B93,DATOS_[Sexo],$B95,DATOS_[Check Periodo Ref.],"Dentro",DATOS_[Check Nº SC Anualiz],"Sí")</f>
        <v>0</v>
      </c>
      <c r="G95" s="204">
        <f>COUNTIFS(DATOS_[AGRUP. CLAS. PROF.],$B93,DATOS_[Sexo],$B95,DATOS_[Check Periodo Ref.],"Dentro",DATOS_[Check Nº SC Norm y Anualiz],"Sí")</f>
        <v>0</v>
      </c>
      <c r="H95" s="204">
        <f>COUNTIFS(DATOS_[AGRUP. CLAS. PROF.],$B93,DATOS_[Sexo],$B95,DATOS_[Check Periodo Ref.],"Dentro",DATOS_[Check Equiparación],"Sí")</f>
        <v>0</v>
      </c>
      <c r="I95" s="195" cm="1">
        <f t="array" ref="I95">IFERROR(
MEDIAN(IF(DATOS_[Sexo]=$B95,IF(DATOS_[[AGRUP. CLAS. PROF.]:[AGRUP. CLAS. PROF.]]=$B93,IF(DATOS_[Check Equiparado]="Sí",IF(DATOS_[Check Periodo Ref.]="Dentro",DATOS_[SALARIO BASE Eq],FALSE))))),
0)</f>
        <v>0</v>
      </c>
      <c r="J95" s="196">
        <f t="array" ref="J95">IFERROR(
(MEDIAN((IF(DATOS_[[Sexo]:[Sexo]]=$B95,IF(DATOS_[[AGRUP. CLAS. PROF.]:[AGRUP. CLAS. PROF.]]=$B93,IF(DATOS_[[Check Periodo Ref.]:[Check Periodo Ref.]]="Dentro",IF(DATOS_[[Check Equiparado]:[Check Equiparado]]="Sí",IF(DATOS!AE$5="Sí",(1/DATOS_[[% anualiz]:[% anualiz]]),1)*IF(DATOS!AE$4="Sí",1/DATOS_[[% normaliz]:[% normaliz]],1)*(DATOS_[Conc.Sal.01])))))))),
0)</f>
        <v>0</v>
      </c>
      <c r="K95" s="196">
        <f t="array" ref="K95">IFERROR(
(MEDIAN((IF(DATOS_[[Sexo]:[Sexo]]=$B95,IF(DATOS_[[AGRUP. CLAS. PROF.]:[AGRUP. CLAS. PROF.]]=$B93,IF(DATOS_[[Check Periodo Ref.]:[Check Periodo Ref.]]="Dentro",IF(DATOS_[[Check Equiparado]:[Check Equiparado]]="Sí",IF(DATOS!AF$5="Sí",(1/DATOS_[[% anualiz]:[% anualiz]]),1)*IF(DATOS!AF$4="Sí",1/DATOS_[[% normaliz]:[% normaliz]],1)*(DATOS_[Conc.Sal.02])))))))),
0)</f>
        <v>0</v>
      </c>
      <c r="L95" s="196">
        <f t="array" ref="L95">IFERROR(
(MEDIAN((IF(DATOS_[[Sexo]:[Sexo]]=$B95,IF(DATOS_[[AGRUP. CLAS. PROF.]:[AGRUP. CLAS. PROF.]]=$B93,IF(DATOS_[[Check Periodo Ref.]:[Check Periodo Ref.]]="Dentro",IF(DATOS_[[Check Equiparado]:[Check Equiparado]]="Sí",IF(DATOS!AG$5="Sí",(1/DATOS_[[% anualiz]:[% anualiz]]),1)*IF(DATOS!AG$4="Sí",1/DATOS_[[% normaliz]:[% normaliz]],1)*(DATOS_[Conc.Sal.03])))))))),
0)</f>
        <v>0</v>
      </c>
      <c r="M95" s="196">
        <f t="array" ref="M95">IFERROR(
(MEDIAN((IF(DATOS_[[Sexo]:[Sexo]]=$B95,IF(DATOS_[[AGRUP. CLAS. PROF.]:[AGRUP. CLAS. PROF.]]=$B93,IF(DATOS_[[Check Periodo Ref.]:[Check Periodo Ref.]]="Dentro",IF(DATOS_[[Check Equiparado]:[Check Equiparado]]="Sí",IF(DATOS!AH$5="Sí",(1/DATOS_[[% anualiz]:[% anualiz]]),1)*IF(DATOS!AH$4="Sí",1/DATOS_[[% normaliz]:[% normaliz]],1)*(DATOS_[Conc.Sal.04])))))))),
0)</f>
        <v>0</v>
      </c>
      <c r="N95" s="196">
        <f t="array" ref="N95">IFERROR(
(MEDIAN((IF(DATOS_[[Sexo]:[Sexo]]=$B95,IF(DATOS_[[AGRUP. CLAS. PROF.]:[AGRUP. CLAS. PROF.]]=$B93,IF(DATOS_[[Check Periodo Ref.]:[Check Periodo Ref.]]="Dentro",IF(DATOS_[[Check Equiparado]:[Check Equiparado]]="Sí",IF(DATOS!AI$5="Sí",(1/DATOS_[[% anualiz]:[% anualiz]]),1)*IF(DATOS!AI$4="Sí",1/DATOS_[[% normaliz]:[% normaliz]],1)*(DATOS_[Conc.Sal.05])))))))),
0)</f>
        <v>0</v>
      </c>
      <c r="O95" s="196">
        <f t="array" ref="O95">IFERROR(
(MEDIAN((IF(DATOS_[[Sexo]:[Sexo]]=$B95,IF(DATOS_[[AGRUP. CLAS. PROF.]:[AGRUP. CLAS. PROF.]]=$B93,IF(DATOS_[[Check Periodo Ref.]:[Check Periodo Ref.]]="Dentro",IF(DATOS_[[Check Equiparado]:[Check Equiparado]]="Sí",IF(DATOS!AJ$5="Sí",(1/DATOS_[[% anualiz]:[% anualiz]]),1)*IF(DATOS!AJ$4="Sí",1/DATOS_[[% normaliz]:[% normaliz]],1)*(DATOS_[Conc.Sal.06])))))))),
0)</f>
        <v>0</v>
      </c>
      <c r="P95" s="196">
        <f t="array" ref="P95">IFERROR(
(MEDIAN((IF(DATOS_[[Sexo]:[Sexo]]=$B95,IF(DATOS_[[AGRUP. CLAS. PROF.]:[AGRUP. CLAS. PROF.]]=$B93,IF(DATOS_[[Check Periodo Ref.]:[Check Periodo Ref.]]="Dentro",IF(DATOS_[[Check Equiparado]:[Check Equiparado]]="Sí",IF(DATOS!AK$5="Sí",(1/DATOS_[[% anualiz]:[% anualiz]]),1)*IF(DATOS!AK$4="Sí",1/DATOS_[[% normaliz]:[% normaliz]],1)*(DATOS_[Conc.Sal.07])))))))),
0)</f>
        <v>0</v>
      </c>
      <c r="Q95" s="196">
        <f t="array" ref="Q95">IFERROR(
(MEDIAN((IF(DATOS_[[Sexo]:[Sexo]]=$B95,IF(DATOS_[[AGRUP. CLAS. PROF.]:[AGRUP. CLAS. PROF.]]=$B93,IF(DATOS_[[Check Periodo Ref.]:[Check Periodo Ref.]]="Dentro",IF(DATOS_[[Check Equiparado]:[Check Equiparado]]="Sí",IF(DATOS!AL$5="Sí",(1/DATOS_[[% anualiz]:[% anualiz]]),1)*IF(DATOS!AL$4="Sí",1/DATOS_[[% normaliz]:[% normaliz]],1)*(DATOS_[Conc.Sal.08])))))))),
0)</f>
        <v>0</v>
      </c>
      <c r="R95" s="196">
        <f t="array" ref="R95">IFERROR(
(MEDIAN((IF(DATOS_[[Sexo]:[Sexo]]=$B95,IF(DATOS_[[AGRUP. CLAS. PROF.]:[AGRUP. CLAS. PROF.]]=$B93,IF(DATOS_[[Check Periodo Ref.]:[Check Periodo Ref.]]="Dentro",IF(DATOS_[[Check Equiparado]:[Check Equiparado]]="Sí",IF(DATOS!AM$5="Sí",(1/DATOS_[[% anualiz]:[% anualiz]]),1)*IF(DATOS!AM$4="Sí",1/DATOS_[[% normaliz]:[% normaliz]],1)*(DATOS_[Conc.Sal.09])))))))),
0)</f>
        <v>0</v>
      </c>
      <c r="S95" s="196">
        <f t="array" ref="S95">IFERROR(
(MEDIAN((IF(DATOS_[[Sexo]:[Sexo]]=$B95,IF(DATOS_[[AGRUP. CLAS. PROF.]:[AGRUP. CLAS. PROF.]]=$B93,IF(DATOS_[[Check Periodo Ref.]:[Check Periodo Ref.]]="Dentro",IF(DATOS_[[Check Equiparado]:[Check Equiparado]]="Sí",IF(DATOS!AN$5="Sí",(1/DATOS_[[% anualiz]:[% anualiz]]),1)*IF(DATOS!AN$4="Sí",1/DATOS_[[% normaliz]:[% normaliz]],1)*(DATOS_[Conc.Sal.10])))))))),
0)</f>
        <v>0</v>
      </c>
      <c r="T95" s="196">
        <f t="array" ref="T95">IFERROR(
(MEDIAN((IF(DATOS_[[Sexo]:[Sexo]]=$B95,IF(DATOS_[[AGRUP. CLAS. PROF.]:[AGRUP. CLAS. PROF.]]=$B93,IF(DATOS_[[Check Periodo Ref.]:[Check Periodo Ref.]]="Dentro",IF(DATOS_[[Check Equiparado]:[Check Equiparado]]="Sí",IF(DATOS!AO$5="Sí",(1/DATOS_[[% anualiz]:[% anualiz]]),1)*IF(DATOS!AO$4="Sí",1/DATOS_[[% normaliz]:[% normaliz]],1)*(DATOS_[Conc.Sal.11])))))))),
0)</f>
        <v>0</v>
      </c>
      <c r="U95" s="196">
        <f t="array" ref="U95">IFERROR(
(MEDIAN((IF(DATOS_[[Sexo]:[Sexo]]=$B95,IF(DATOS_[[AGRUP. CLAS. PROF.]:[AGRUP. CLAS. PROF.]]=$B93,IF(DATOS_[[Check Periodo Ref.]:[Check Periodo Ref.]]="Dentro",IF(DATOS_[[Check Equiparado]:[Check Equiparado]]="Sí",IF(DATOS!AP$5="Sí",(1/DATOS_[[% anualiz]:[% anualiz]]),1)*IF(DATOS!AP$4="Sí",1/DATOS_[[% normaliz]:[% normaliz]],1)*(DATOS_[Conc.Sal.12])))))))),
0)</f>
        <v>0</v>
      </c>
      <c r="V95" s="196">
        <f t="array" ref="V95">IFERROR(
(MEDIAN((IF(DATOS_[[Sexo]:[Sexo]]=$B95,IF(DATOS_[[AGRUP. CLAS. PROF.]:[AGRUP. CLAS. PROF.]]=$B93,IF(DATOS_[[Check Periodo Ref.]:[Check Periodo Ref.]]="Dentro",IF(DATOS_[[Check Equiparado]:[Check Equiparado]]="Sí",IF(DATOS!AQ$5="Sí",(1/DATOS_[[% anualiz]:[% anualiz]]),1)*IF(DATOS!AQ$4="Sí",1/DATOS_[[% normaliz]:[% normaliz]],1)*(DATOS_[Conc.Sal.13])))))))),
0)</f>
        <v>0</v>
      </c>
      <c r="W95" s="196">
        <f t="array" ref="W95">IFERROR(
(MEDIAN((IF(DATOS_[[Sexo]:[Sexo]]=$B95,IF(DATOS_[[AGRUP. CLAS. PROF.]:[AGRUP. CLAS. PROF.]]=$B93,IF(DATOS_[[Check Periodo Ref.]:[Check Periodo Ref.]]="Dentro",IF(DATOS_[[Check Equiparado]:[Check Equiparado]]="Sí",IF(DATOS!AR$5="Sí",(1/DATOS_[[% anualiz]:[% anualiz]]),1)*IF(DATOS!AR$4="Sí",1/DATOS_[[% normaliz]:[% normaliz]],1)*(DATOS_[Conc.Sal.14])))))))),
0)</f>
        <v>0</v>
      </c>
      <c r="X95" s="196">
        <f t="array" ref="X95">IFERROR(
(MEDIAN((IF(DATOS_[[Sexo]:[Sexo]]=$B95,IF(DATOS_[[AGRUP. CLAS. PROF.]:[AGRUP. CLAS. PROF.]]=$B93,IF(DATOS_[[Check Periodo Ref.]:[Check Periodo Ref.]]="Dentro",IF(DATOS_[[Check Equiparado]:[Check Equiparado]]="Sí",IF(DATOS!AS$5="Sí",(1/DATOS_[[% anualiz]:[% anualiz]]),1)*IF(DATOS!AS$4="Sí",1/DATOS_[[% normaliz]:[% normaliz]],1)*(DATOS_[Conc.Sal.15])))))))),
0)</f>
        <v>0</v>
      </c>
      <c r="Y95" s="196">
        <f t="array" ref="Y95">IFERROR(
(MEDIAN((IF(DATOS_[[Sexo]:[Sexo]]=$B95,IF(DATOS_[[AGRUP. CLAS. PROF.]:[AGRUP. CLAS. PROF.]]=$B93,IF(DATOS_[[Check Periodo Ref.]:[Check Periodo Ref.]]="Dentro",IF(DATOS_[[Check Equiparado]:[Check Equiparado]]="Sí",IF(DATOS!AT$5="Sí",(1/DATOS_[[% anualiz]:[% anualiz]]),1)*IF(DATOS!AT$4="Sí",1/DATOS_[[% normaliz]:[% normaliz]],1)*(DATOS_[Conc.Sal.16])))))))),
0)</f>
        <v>0</v>
      </c>
      <c r="Z95" s="196">
        <f t="array" ref="Z95">IFERROR(
(MEDIAN((IF(DATOS_[[Sexo]:[Sexo]]=$B95,IF(DATOS_[[AGRUP. CLAS. PROF.]:[AGRUP. CLAS. PROF.]]=$B93,IF(DATOS_[[Check Periodo Ref.]:[Check Periodo Ref.]]="Dentro",IF(DATOS_[[Check Equiparado]:[Check Equiparado]]="Sí",IF(DATOS!AU$5="Sí",(1/DATOS_[[% anualiz]:[% anualiz]]),1)*IF(DATOS!AU$4="Sí",1/DATOS_[[% normaliz]:[% normaliz]],1)*(DATOS_[Conc.Sal.17])))))))),
0)</f>
        <v>0</v>
      </c>
      <c r="AA95" s="196">
        <f t="array" ref="AA95">IFERROR(
(MEDIAN((IF(DATOS_[[Sexo]:[Sexo]]=$B95,IF(DATOS_[[AGRUP. CLAS. PROF.]:[AGRUP. CLAS. PROF.]]=$B93,IF(DATOS_[[Check Periodo Ref.]:[Check Periodo Ref.]]="Dentro",IF(DATOS_[[Check Equiparado]:[Check Equiparado]]="Sí",IF(DATOS!AV$5="Sí",(1/DATOS_[[% anualiz]:[% anualiz]]),1)*IF(DATOS!AV$4="Sí",1/DATOS_[[% normaliz]:[% normaliz]],1)*(DATOS_[Conc.Sal.18])))))))),
0)</f>
        <v>0</v>
      </c>
      <c r="AB95" s="196">
        <f t="array" ref="AB95">IFERROR(
(MEDIAN((IF(DATOS_[[Sexo]:[Sexo]]=$B95,IF(DATOS_[[AGRUP. CLAS. PROF.]:[AGRUP. CLAS. PROF.]]=$B93,IF(DATOS_[[Check Periodo Ref.]:[Check Periodo Ref.]]="Dentro",IF(DATOS_[[Check Equiparado]:[Check Equiparado]]="Sí",IF(DATOS!AW$5="Sí",(1/DATOS_[[% anualiz]:[% anualiz]]),1)*IF(DATOS!AW$4="Sí",1/DATOS_[[% normaliz]:[% normaliz]],1)*(DATOS_[Conc.Sal.19])))))))),
0)</f>
        <v>0</v>
      </c>
      <c r="AC95" s="196">
        <f t="array" ref="AC95">IFERROR(
(MEDIAN((IF(DATOS_[[Sexo]:[Sexo]]=$B95,IF(DATOS_[[AGRUP. CLAS. PROF.]:[AGRUP. CLAS. PROF.]]=$B93,IF(DATOS_[[Check Periodo Ref.]:[Check Periodo Ref.]]="Dentro",IF(DATOS_[[Check Equiparado]:[Check Equiparado]]="Sí",IF(DATOS!AX$5="Sí",(1/DATOS_[[% anualiz]:[% anualiz]]),1)*IF(DATOS!AX$4="Sí",1/DATOS_[[% normaliz]:[% normaliz]],1)*(DATOS_[Conc.Sal.20])))))))),
0)</f>
        <v>0</v>
      </c>
      <c r="AD95" s="196">
        <f t="array" ref="AD95">IFERROR(
(MEDIAN((IF(DATOS_[[Sexo]:[Sexo]]=$B95,IF(DATOS_[[AGRUP. CLAS. PROF.]:[AGRUP. CLAS. PROF.]]=$B93,IF(DATOS_[[Check Periodo Ref.]:[Check Periodo Ref.]]="Dentro",IF(DATOS_[[Check Equiparado]:[Check Equiparado]]="Sí",IF(DATOS!AY$5="Sí",(1/DATOS_[[% anualiz]:[% anualiz]]),1)*IF(DATOS!AY$4="Sí",1/DATOS_[[% normaliz]:[% normaliz]],1)*(DATOS_[Conc.Sal.21])))))))),
0)</f>
        <v>0</v>
      </c>
      <c r="AE95" s="196">
        <f t="array" ref="AE95">IFERROR(
(MEDIAN((IF(DATOS_[[Sexo]:[Sexo]]=$B95,IF(DATOS_[[AGRUP. CLAS. PROF.]:[AGRUP. CLAS. PROF.]]=$B93,IF(DATOS_[[Check Periodo Ref.]:[Check Periodo Ref.]]="Dentro",IF(DATOS_[[Check Equiparado]:[Check Equiparado]]="Sí",IF(DATOS!AZ$5="Sí",(1/DATOS_[[% anualiz]:[% anualiz]]),1)*IF(DATOS!AZ$4="Sí",1/DATOS_[[% normaliz]:[% normaliz]],1)*(DATOS_[Conc.Sal.22])))))))),
0)</f>
        <v>0</v>
      </c>
      <c r="AF95" s="196">
        <f t="array" ref="AF95">IFERROR(
(MEDIAN((IF(DATOS_[[Sexo]:[Sexo]]=$B95,IF(DATOS_[[AGRUP. CLAS. PROF.]:[AGRUP. CLAS. PROF.]]=$B93,IF(DATOS_[[Check Periodo Ref.]:[Check Periodo Ref.]]="Dentro",IF(DATOS_[[Check Equiparado]:[Check Equiparado]]="Sí",IF(DATOS!BA$5="Sí",(1/DATOS_[[% anualiz]:[% anualiz]]),1)*IF(DATOS!BA$4="Sí",1/DATOS_[[% normaliz]:[% normaliz]],1)*(DATOS_[Conc.Sal.23])))))))),
0)</f>
        <v>0</v>
      </c>
      <c r="AG95" s="196">
        <f t="array" ref="AG95">IFERROR(
(MEDIAN((IF(DATOS_[[Sexo]:[Sexo]]=$B95,IF(DATOS_[[AGRUP. CLAS. PROF.]:[AGRUP. CLAS. PROF.]]=$B93,IF(DATOS_[[Check Periodo Ref.]:[Check Periodo Ref.]]="Dentro",IF(DATOS_[[Check Equiparado]:[Check Equiparado]]="Sí",IF(DATOS!BB$5="Sí",(1/DATOS_[[% anualiz]:[% anualiz]]),1)*IF(DATOS!BB$4="Sí",1/DATOS_[[% normaliz]:[% normaliz]],1)*(DATOS_[Conc.Sal.24])))))))),
0)</f>
        <v>0</v>
      </c>
      <c r="AH95" s="196">
        <f t="array" ref="AH95">IFERROR(
(MEDIAN((IF(DATOS_[[Sexo]:[Sexo]]=$B95,IF(DATOS_[[AGRUP. CLAS. PROF.]:[AGRUP. CLAS. PROF.]]=$B93,IF(DATOS_[[Check Periodo Ref.]:[Check Periodo Ref.]]="Dentro",IF(DATOS_[[Check Equiparado]:[Check Equiparado]]="Sí",IF(DATOS!BC$5="Sí",(1/DATOS_[[% anualiz]:[% anualiz]]),1)*IF(DATOS!BC$4="Sí",1/DATOS_[[% normaliz]:[% normaliz]],1)*(DATOS_[Conc.Sal.25])))))))),
0)</f>
        <v>0</v>
      </c>
      <c r="AI95" s="196">
        <f t="array" ref="AI95">IFERROR(
(MEDIAN((IF(DATOS_[[Sexo]:[Sexo]]=$B95,IF(DATOS_[[AGRUP. CLAS. PROF.]:[AGRUP. CLAS. PROF.]]=$B93,IF(DATOS_[[Check Periodo Ref.]:[Check Periodo Ref.]]="Dentro",IF(DATOS_[[Check Equiparado]:[Check Equiparado]]="Sí",IF(DATOS!BD$5="Sí",(1/DATOS_[[% anualiz]:[% anualiz]]),1)*IF(DATOS!BD$4="Sí",1/DATOS_[[% normaliz]:[% normaliz]],1)*(DATOS_[Conc.Sal.26])))))))),
0)</f>
        <v>0</v>
      </c>
      <c r="AJ95" s="196">
        <f t="array" ref="AJ95">IFERROR(
(MEDIAN((IF(DATOS_[[Sexo]:[Sexo]]=$B95,IF(DATOS_[[AGRUP. CLAS. PROF.]:[AGRUP. CLAS. PROF.]]=$B93,IF(DATOS_[[Check Periodo Ref.]:[Check Periodo Ref.]]="Dentro",IF(DATOS_[[Check Equiparado]:[Check Equiparado]]="Sí",IF(DATOS!BE$5="Sí",(1/DATOS_[[% anualiz]:[% anualiz]]),1)*IF(DATOS!BE$4="Sí",1/DATOS_[[% normaliz]:[% normaliz]],1)*(DATOS_[Conc.Sal.27])))))))),
0)</f>
        <v>0</v>
      </c>
      <c r="AK95" s="196">
        <f t="array" ref="AK95">IFERROR(
(MEDIAN((IF(DATOS_[[Sexo]:[Sexo]]=$B95,IF(DATOS_[[AGRUP. CLAS. PROF.]:[AGRUP. CLAS. PROF.]]=$B93,IF(DATOS_[[Check Periodo Ref.]:[Check Periodo Ref.]]="Dentro",IF(DATOS_[[Check Equiparado]:[Check Equiparado]]="Sí",IF(DATOS!BF$5="Sí",(1/DATOS_[[% anualiz]:[% anualiz]]),1)*IF(DATOS!BF$4="Sí",1/DATOS_[[% normaliz]:[% normaliz]],1)*(DATOS_[Conc.Sal.28])))))))),
0)</f>
        <v>0</v>
      </c>
      <c r="AL95" s="196">
        <f t="array" ref="AL95">IFERROR(
(MEDIAN((IF(DATOS_[[Sexo]:[Sexo]]=$B95,IF(DATOS_[[AGRUP. CLAS. PROF.]:[AGRUP. CLAS. PROF.]]=$B93,IF(DATOS_[[Check Periodo Ref.]:[Check Periodo Ref.]]="Dentro",IF(DATOS_[[Check Equiparado]:[Check Equiparado]]="Sí",IF(DATOS!BG$5="Sí",(1/DATOS_[[% anualiz]:[% anualiz]]),1)*IF(DATOS!BG$4="Sí",1/DATOS_[[% normaliz]:[% normaliz]],1)*(DATOS_[Conc.Sal.29])))))))),
0)</f>
        <v>0</v>
      </c>
      <c r="AM95" s="196">
        <f t="array" ref="AM95">IFERROR(
(MEDIAN((IF(DATOS_[[Sexo]:[Sexo]]=$B95,IF(DATOS_[[AGRUP. CLAS. PROF.]:[AGRUP. CLAS. PROF.]]=$B93,IF(DATOS_[[Check Periodo Ref.]:[Check Periodo Ref.]]="Dentro",IF(DATOS_[[Check Equiparado]:[Check Equiparado]]="Sí",IF(DATOS!BH$5="Sí",(1/DATOS_[[% anualiz]:[% anualiz]]),1)*IF(DATOS!BH$4="Sí",1/DATOS_[[% normaliz]:[% normaliz]],1)*(DATOS_[Conc.Sal.30])))))))),
0)</f>
        <v>0</v>
      </c>
      <c r="AN95" s="195">
        <f t="array" ref="AN95">IFERROR(
MEDIAN(IF(DATOS_[Sexo]=$B95,IF(DATOS_[[AGRUP. CLAS. PROF.]:[AGRUP. CLAS. PROF.]]=$B93,IF(DATOS_[Check Equiparado]="Sí",IF(DATOS_[Check Periodo Ref.]="Dentro",DATOS_[Tot COMPL.SAL Eq],FALSE))))),
0)</f>
        <v>0</v>
      </c>
      <c r="AO95" s="172">
        <f t="array" ref="AO95">IFERROR(
MEDIAN(IF(DATOS_[Sexo]=$B95,IF(DATOS_[[AGRUP. CLAS. PROF.]:[AGRUP. CLAS. PROF.]]=$B93,IF(DATOS_[Check Equiparado]="Sí",IF(DATOS_[Check Periodo Ref.]="Dentro",DATOS_[TOTAL SALARIO Eq],FALSE))))),
0)</f>
        <v>0</v>
      </c>
      <c r="AP95" s="173">
        <f t="array" ref="AP95">IFERROR(
(MEDIAN((IF(DATOS_[[Sexo]:[Sexo]]=$B95,IF(DATOS_[[AGRUP. CLAS. PROF.]:[AGRUP. CLAS. PROF.]]=$B93,IF(DATOS_[[Check Periodo Ref.]:[Check Periodo Ref.]]="Dentro",IF(DATOS_[[Check Equiparado]:[Check Equiparado]]="Sí",IF(DATOS!BW$5="Sí",(1/DATOS_[[% anualiz]:[% anualiz]]),1)*IF(DATOS!BW$4="Sí",1/DATOS_[[% normaliz]:[% normaliz]],1)*(DATOS_[C.Extra.01])))))))),
0)</f>
        <v>0</v>
      </c>
      <c r="AQ95" s="173">
        <f t="array" ref="AQ95">IFERROR(
(MEDIAN((IF(DATOS_[[Sexo]:[Sexo]]=$B95,IF(DATOS_[[AGRUP. CLAS. PROF.]:[AGRUP. CLAS. PROF.]]=$B93,IF(DATOS_[[Check Periodo Ref.]:[Check Periodo Ref.]]="Dentro",IF(DATOS_[[Check Equiparado]:[Check Equiparado]]="Sí",IF(DATOS!CB$5="Sí",(1/DATOS_[[% anualiz]:[% anualiz]]),1)*IF(DATOS!CB$4="Sí",1/DATOS_[[% normaliz]:[% normaliz]],1)*(DATOS_[C.Extra.06])))))))),
0)</f>
        <v>0</v>
      </c>
      <c r="AR95" s="173">
        <f t="array" ref="AR95">IFERROR(
(MEDIAN((IF(DATOS_[[Sexo]:[Sexo]]=$B95,IF(DATOS_[[AGRUP. CLAS. PROF.]:[AGRUP. CLAS. PROF.]]=$B93,IF(DATOS_[[Check Periodo Ref.]:[Check Periodo Ref.]]="Dentro",IF(DATOS_[[Check Equiparado]:[Check Equiparado]]="Sí",IF(DATOS!CC$5="Sí",(1/DATOS_[[% anualiz]:[% anualiz]]),1)*IF(DATOS!CC$4="Sí",1/DATOS_[[% normaliz]:[% normaliz]],1)*(DATOS_[C.Extra.07])))))))),
0)</f>
        <v>0</v>
      </c>
      <c r="AS95" s="173">
        <f t="array" ref="AS95">IFERROR(
(MEDIAN((IF(DATOS_[[Sexo]:[Sexo]]=$B95,IF(DATOS_[[AGRUP. CLAS. PROF.]:[AGRUP. CLAS. PROF.]]=$B93,IF(DATOS_[[Check Periodo Ref.]:[Check Periodo Ref.]]="Dentro",IF(DATOS_[[Check Equiparado]:[Check Equiparado]]="Sí",IF(DATOS!CD$5="Sí",(1/DATOS_[[% anualiz]:[% anualiz]]),1)*IF(DATOS!CD$4="Sí",1/DATOS_[[% normaliz]:[% normaliz]],1)*(DATOS_[C.Extra.08])))))))),
0)</f>
        <v>0</v>
      </c>
      <c r="AT95" s="173">
        <f t="array" ref="AT95">IFERROR(
(MEDIAN((IF(DATOS_[[Sexo]:[Sexo]]=$B95,IF(DATOS_[[AGRUP. CLAS. PROF.]:[AGRUP. CLAS. PROF.]]=$B93,IF(DATOS_[[Check Periodo Ref.]:[Check Periodo Ref.]]="Dentro",IF(DATOS_[[Check Equiparado]:[Check Equiparado]]="Sí",IF(DATOS!CG$5="Sí",(1/DATOS_[[% anualiz]:[% anualiz]]),1)*IF(DATOS!CG$4="Sí",1/DATOS_[[% normaliz]:[% normaliz]],1)*(DATOS_[C.Extra.11])))))))),
0)</f>
        <v>0</v>
      </c>
      <c r="AU95" s="197">
        <f t="array" ref="AU95">IFERROR(
MEDIAN(IF(DATOS_[Sexo]=$B95,IF(DATOS_[[AGRUP. CLAS. PROF.]:[AGRUP. CLAS. PROF.]]=$B93,IF(DATOS_[Check Equiparado]="Sí",IF(DATOS_[Check Periodo Ref.]="Dentro",DATOS_[Tot Extrasalarial Eq],FALSE))))),
0)</f>
        <v>0</v>
      </c>
      <c r="AV95" s="175">
        <f t="array" ref="AV95">IFERROR(
MEDIAN(IF(DATOS_[Sexo]=$B95,IF(DATOS_[[AGRUP. CLAS. PROF.]:[AGRUP. CLAS. PROF.]]=$B93,IF(DATOS_[Check Equiparado]="Sí",IF(DATOS_[Check Periodo Ref.]="Dentro",DATOS_[TOTAL Retrib Eq],FALSE))))),
0)</f>
        <v>0</v>
      </c>
    </row>
    <row r="96" spans="1:48" ht="15.6" hidden="1" thickBot="1" x14ac:dyDescent="0.3">
      <c r="A96" s="133" t="str">
        <f t="shared" ref="A96" si="111">+A97</f>
        <v>[ocultar]</v>
      </c>
      <c r="B96" s="199" t="s">
        <v>283</v>
      </c>
      <c r="C96" s="200"/>
      <c r="D96" s="201"/>
      <c r="E96" s="201"/>
      <c r="F96" s="201"/>
      <c r="G96" s="201"/>
      <c r="H96" s="201"/>
      <c r="I96" s="189" t="str">
        <f t="shared" ref="I96:AV96" si="112">IFERROR((I97-I98)/I97,"")</f>
        <v/>
      </c>
      <c r="J96" s="190" t="str">
        <f t="shared" si="112"/>
        <v/>
      </c>
      <c r="K96" s="191" t="str">
        <f t="shared" si="112"/>
        <v/>
      </c>
      <c r="L96" s="191" t="str">
        <f t="shared" si="112"/>
        <v/>
      </c>
      <c r="M96" s="191" t="str">
        <f t="shared" si="112"/>
        <v/>
      </c>
      <c r="N96" s="192" t="str">
        <f t="shared" si="112"/>
        <v/>
      </c>
      <c r="O96" s="193" t="str">
        <f t="shared" si="112"/>
        <v/>
      </c>
      <c r="P96" s="193" t="str">
        <f t="shared" si="112"/>
        <v/>
      </c>
      <c r="Q96" s="193" t="str">
        <f t="shared" si="112"/>
        <v/>
      </c>
      <c r="R96" s="193" t="str">
        <f t="shared" si="112"/>
        <v/>
      </c>
      <c r="S96" s="193" t="str">
        <f t="shared" si="112"/>
        <v/>
      </c>
      <c r="T96" s="193" t="str">
        <f t="shared" si="112"/>
        <v/>
      </c>
      <c r="U96" s="193" t="str">
        <f t="shared" si="112"/>
        <v/>
      </c>
      <c r="V96" s="193" t="str">
        <f t="shared" si="112"/>
        <v/>
      </c>
      <c r="W96" s="193" t="str">
        <f t="shared" si="112"/>
        <v/>
      </c>
      <c r="X96" s="193" t="str">
        <f t="shared" si="112"/>
        <v/>
      </c>
      <c r="Y96" s="193" t="str">
        <f t="shared" si="112"/>
        <v/>
      </c>
      <c r="Z96" s="193" t="str">
        <f t="shared" si="112"/>
        <v/>
      </c>
      <c r="AA96" s="193" t="str">
        <f t="shared" si="112"/>
        <v/>
      </c>
      <c r="AB96" s="193" t="str">
        <f t="shared" si="112"/>
        <v/>
      </c>
      <c r="AC96" s="193" t="str">
        <f t="shared" si="112"/>
        <v/>
      </c>
      <c r="AD96" s="193" t="str">
        <f t="shared" si="112"/>
        <v/>
      </c>
      <c r="AE96" s="193" t="str">
        <f t="shared" si="112"/>
        <v/>
      </c>
      <c r="AF96" s="193" t="str">
        <f t="shared" si="112"/>
        <v/>
      </c>
      <c r="AG96" s="193" t="str">
        <f t="shared" si="112"/>
        <v/>
      </c>
      <c r="AH96" s="193" t="str">
        <f t="shared" si="112"/>
        <v/>
      </c>
      <c r="AI96" s="193" t="str">
        <f t="shared" si="112"/>
        <v/>
      </c>
      <c r="AJ96" s="193" t="str">
        <f t="shared" si="112"/>
        <v/>
      </c>
      <c r="AK96" s="193" t="str">
        <f t="shared" si="112"/>
        <v/>
      </c>
      <c r="AL96" s="193" t="str">
        <f t="shared" si="112"/>
        <v/>
      </c>
      <c r="AM96" s="193" t="str">
        <f t="shared" si="112"/>
        <v/>
      </c>
      <c r="AN96" s="189" t="str">
        <f t="shared" si="112"/>
        <v/>
      </c>
      <c r="AO96" s="162" t="str">
        <f t="shared" si="112"/>
        <v/>
      </c>
      <c r="AP96" s="163" t="str">
        <f t="shared" si="112"/>
        <v/>
      </c>
      <c r="AQ96" s="163" t="str">
        <f t="shared" si="112"/>
        <v/>
      </c>
      <c r="AR96" s="163" t="str">
        <f t="shared" si="112"/>
        <v/>
      </c>
      <c r="AS96" s="163" t="str">
        <f t="shared" si="112"/>
        <v/>
      </c>
      <c r="AT96" s="163" t="str">
        <f t="shared" si="112"/>
        <v/>
      </c>
      <c r="AU96" s="194" t="str">
        <f t="shared" si="112"/>
        <v/>
      </c>
      <c r="AV96" s="165" t="str">
        <f t="shared" si="112"/>
        <v/>
      </c>
    </row>
    <row r="97" spans="1:48" hidden="1" x14ac:dyDescent="0.25">
      <c r="A97" s="133" t="str">
        <f t="shared" ref="A97" si="113">+IF(C97+C98=0,"[ocultar]","")</f>
        <v>[ocultar]</v>
      </c>
      <c r="B97" s="202" t="s">
        <v>394</v>
      </c>
      <c r="C97" s="203">
        <f t="array" ref="C97">SUM(IF($B97=DATOS_[Sexo],
IF($B96=DATOS_[AGRUP. CLAS. PROF.],
IF("Dentro"=DATOS_[Check Periodo Ref.],
1/(COUNTIFS(DATOS_[Sexo],$B97,DATOS_[AGRUP. CLAS. PROF.],$B96,DATOS_[Check Periodo Ref.],"Dentro",DATOS_[id/cod],DATOS_[id/cod]))))))</f>
        <v>0</v>
      </c>
      <c r="D97" s="204">
        <f>COUNTIFS(DATOS_[AGRUP. CLAS. PROF.],$B96,DATOS_[Sexo],$B97,DATOS_[Check Periodo Ref.],"Dentro")</f>
        <v>0</v>
      </c>
      <c r="E97" s="204">
        <f>COUNTIFS(DATOS_[AGRUP. CLAS. PROF.],$B96,DATOS_[Sexo],$B97,DATOS_[Check Periodo Ref.],"Dentro",DATOS_[Check Nº SC Norm],"Sí")</f>
        <v>0</v>
      </c>
      <c r="F97" s="204">
        <f>COUNTIFS(DATOS_[AGRUP. CLAS. PROF.],$B96,DATOS_[Sexo],$B97,DATOS_[Check Periodo Ref.],"Dentro",DATOS_[Check Nº SC Anualiz],"Sí")</f>
        <v>0</v>
      </c>
      <c r="G97" s="204">
        <f>COUNTIFS(DATOS_[AGRUP. CLAS. PROF.],$B96,DATOS_[Sexo],$B97,DATOS_[Check Periodo Ref.],"Dentro",DATOS_[Check Nº SC Norm y Anualiz],"Sí")</f>
        <v>0</v>
      </c>
      <c r="H97" s="204">
        <f>COUNTIFS(DATOS_[AGRUP. CLAS. PROF.],$B96,DATOS_[Sexo],$B97,DATOS_[Check Periodo Ref.],"Dentro",DATOS_[Check Equiparación],"Sí")</f>
        <v>0</v>
      </c>
      <c r="I97" s="195">
        <f t="array" ref="I97">IFERROR(
MEDIAN(IF(DATOS_[Sexo]=$B97,IF(DATOS_[[AGRUP. CLAS. PROF.]:[AGRUP. CLAS. PROF.]]=$B96,IF(DATOS_[Check Equiparado]="Sí",IF(DATOS_[Check Periodo Ref.]="Dentro",DATOS_[SALARIO BASE Eq],FALSE))))),
0)</f>
        <v>0</v>
      </c>
      <c r="J97" s="196">
        <f t="array" ref="J97">IFERROR(
(MEDIAN((IF(DATOS_[[Sexo]:[Sexo]]=$B97,IF(DATOS_[[AGRUP. CLAS. PROF.]:[AGRUP. CLAS. PROF.]]=$B96,IF(DATOS_[[Check Periodo Ref.]:[Check Periodo Ref.]]="Dentro",IF(DATOS_[[Check Equiparado]:[Check Equiparado]]="Sí",IF(DATOS!AE$5="Sí",(1/DATOS_[[% anualiz]:[% anualiz]]),1)*IF(DATOS!AE$4="Sí",1/DATOS_[[% normaliz]:[% normaliz]],1)*(DATOS_[Conc.Sal.01])))))))),
0)</f>
        <v>0</v>
      </c>
      <c r="K97" s="196">
        <f t="array" ref="K97">IFERROR(
(MEDIAN((IF(DATOS_[[Sexo]:[Sexo]]=$B97,IF(DATOS_[[AGRUP. CLAS. PROF.]:[AGRUP. CLAS. PROF.]]=$B96,IF(DATOS_[[Check Periodo Ref.]:[Check Periodo Ref.]]="Dentro",IF(DATOS_[[Check Equiparado]:[Check Equiparado]]="Sí",IF(DATOS!AF$5="Sí",(1/DATOS_[[% anualiz]:[% anualiz]]),1)*IF(DATOS!AF$4="Sí",1/DATOS_[[% normaliz]:[% normaliz]],1)*(DATOS_[Conc.Sal.02])))))))),
0)</f>
        <v>0</v>
      </c>
      <c r="L97" s="196">
        <f t="array" ref="L97">IFERROR(
(MEDIAN((IF(DATOS_[[Sexo]:[Sexo]]=$B97,IF(DATOS_[[AGRUP. CLAS. PROF.]:[AGRUP. CLAS. PROF.]]=$B96,IF(DATOS_[[Check Periodo Ref.]:[Check Periodo Ref.]]="Dentro",IF(DATOS_[[Check Equiparado]:[Check Equiparado]]="Sí",IF(DATOS!AG$5="Sí",(1/DATOS_[[% anualiz]:[% anualiz]]),1)*IF(DATOS!AG$4="Sí",1/DATOS_[[% normaliz]:[% normaliz]],1)*(DATOS_[Conc.Sal.03])))))))),
0)</f>
        <v>0</v>
      </c>
      <c r="M97" s="196">
        <f t="array" ref="M97">IFERROR(
(MEDIAN((IF(DATOS_[[Sexo]:[Sexo]]=$B97,IF(DATOS_[[AGRUP. CLAS. PROF.]:[AGRUP. CLAS. PROF.]]=$B96,IF(DATOS_[[Check Periodo Ref.]:[Check Periodo Ref.]]="Dentro",IF(DATOS_[[Check Equiparado]:[Check Equiparado]]="Sí",IF(DATOS!AH$5="Sí",(1/DATOS_[[% anualiz]:[% anualiz]]),1)*IF(DATOS!AH$4="Sí",1/DATOS_[[% normaliz]:[% normaliz]],1)*(DATOS_[Conc.Sal.04])))))))),
0)</f>
        <v>0</v>
      </c>
      <c r="N97" s="196">
        <f t="array" ref="N97">IFERROR(
(MEDIAN((IF(DATOS_[[Sexo]:[Sexo]]=$B97,IF(DATOS_[[AGRUP. CLAS. PROF.]:[AGRUP. CLAS. PROF.]]=$B96,IF(DATOS_[[Check Periodo Ref.]:[Check Periodo Ref.]]="Dentro",IF(DATOS_[[Check Equiparado]:[Check Equiparado]]="Sí",IF(DATOS!AI$5="Sí",(1/DATOS_[[% anualiz]:[% anualiz]]),1)*IF(DATOS!AI$4="Sí",1/DATOS_[[% normaliz]:[% normaliz]],1)*(DATOS_[Conc.Sal.05])))))))),
0)</f>
        <v>0</v>
      </c>
      <c r="O97" s="196">
        <f t="array" ref="O97">IFERROR(
(MEDIAN((IF(DATOS_[[Sexo]:[Sexo]]=$B97,IF(DATOS_[[AGRUP. CLAS. PROF.]:[AGRUP. CLAS. PROF.]]=$B96,IF(DATOS_[[Check Periodo Ref.]:[Check Periodo Ref.]]="Dentro",IF(DATOS_[[Check Equiparado]:[Check Equiparado]]="Sí",IF(DATOS!AJ$5="Sí",(1/DATOS_[[% anualiz]:[% anualiz]]),1)*IF(DATOS!AJ$4="Sí",1/DATOS_[[% normaliz]:[% normaliz]],1)*(DATOS_[Conc.Sal.06])))))))),
0)</f>
        <v>0</v>
      </c>
      <c r="P97" s="196">
        <f t="array" ref="P97">IFERROR(
(MEDIAN((IF(DATOS_[[Sexo]:[Sexo]]=$B97,IF(DATOS_[[AGRUP. CLAS. PROF.]:[AGRUP. CLAS. PROF.]]=$B96,IF(DATOS_[[Check Periodo Ref.]:[Check Periodo Ref.]]="Dentro",IF(DATOS_[[Check Equiparado]:[Check Equiparado]]="Sí",IF(DATOS!AK$5="Sí",(1/DATOS_[[% anualiz]:[% anualiz]]),1)*IF(DATOS!AK$4="Sí",1/DATOS_[[% normaliz]:[% normaliz]],1)*(DATOS_[Conc.Sal.07])))))))),
0)</f>
        <v>0</v>
      </c>
      <c r="Q97" s="196">
        <f t="array" ref="Q97">IFERROR(
(MEDIAN((IF(DATOS_[[Sexo]:[Sexo]]=$B97,IF(DATOS_[[AGRUP. CLAS. PROF.]:[AGRUP. CLAS. PROF.]]=$B96,IF(DATOS_[[Check Periodo Ref.]:[Check Periodo Ref.]]="Dentro",IF(DATOS_[[Check Equiparado]:[Check Equiparado]]="Sí",IF(DATOS!AL$5="Sí",(1/DATOS_[[% anualiz]:[% anualiz]]),1)*IF(DATOS!AL$4="Sí",1/DATOS_[[% normaliz]:[% normaliz]],1)*(DATOS_[Conc.Sal.08])))))))),
0)</f>
        <v>0</v>
      </c>
      <c r="R97" s="196">
        <f t="array" ref="R97">IFERROR(
(MEDIAN((IF(DATOS_[[Sexo]:[Sexo]]=$B97,IF(DATOS_[[AGRUP. CLAS. PROF.]:[AGRUP. CLAS. PROF.]]=$B96,IF(DATOS_[[Check Periodo Ref.]:[Check Periodo Ref.]]="Dentro",IF(DATOS_[[Check Equiparado]:[Check Equiparado]]="Sí",IF(DATOS!AM$5="Sí",(1/DATOS_[[% anualiz]:[% anualiz]]),1)*IF(DATOS!AM$4="Sí",1/DATOS_[[% normaliz]:[% normaliz]],1)*(DATOS_[Conc.Sal.09])))))))),
0)</f>
        <v>0</v>
      </c>
      <c r="S97" s="196">
        <f t="array" ref="S97">IFERROR(
(MEDIAN((IF(DATOS_[[Sexo]:[Sexo]]=$B97,IF(DATOS_[[AGRUP. CLAS. PROF.]:[AGRUP. CLAS. PROF.]]=$B96,IF(DATOS_[[Check Periodo Ref.]:[Check Periodo Ref.]]="Dentro",IF(DATOS_[[Check Equiparado]:[Check Equiparado]]="Sí",IF(DATOS!AN$5="Sí",(1/DATOS_[[% anualiz]:[% anualiz]]),1)*IF(DATOS!AN$4="Sí",1/DATOS_[[% normaliz]:[% normaliz]],1)*(DATOS_[Conc.Sal.10])))))))),
0)</f>
        <v>0</v>
      </c>
      <c r="T97" s="196">
        <f t="array" ref="T97">IFERROR(
(MEDIAN((IF(DATOS_[[Sexo]:[Sexo]]=$B97,IF(DATOS_[[AGRUP. CLAS. PROF.]:[AGRUP. CLAS. PROF.]]=$B96,IF(DATOS_[[Check Periodo Ref.]:[Check Periodo Ref.]]="Dentro",IF(DATOS_[[Check Equiparado]:[Check Equiparado]]="Sí",IF(DATOS!AO$5="Sí",(1/DATOS_[[% anualiz]:[% anualiz]]),1)*IF(DATOS!AO$4="Sí",1/DATOS_[[% normaliz]:[% normaliz]],1)*(DATOS_[Conc.Sal.11])))))))),
0)</f>
        <v>0</v>
      </c>
      <c r="U97" s="196">
        <f t="array" ref="U97">IFERROR(
(MEDIAN((IF(DATOS_[[Sexo]:[Sexo]]=$B97,IF(DATOS_[[AGRUP. CLAS. PROF.]:[AGRUP. CLAS. PROF.]]=$B96,IF(DATOS_[[Check Periodo Ref.]:[Check Periodo Ref.]]="Dentro",IF(DATOS_[[Check Equiparado]:[Check Equiparado]]="Sí",IF(DATOS!AP$5="Sí",(1/DATOS_[[% anualiz]:[% anualiz]]),1)*IF(DATOS!AP$4="Sí",1/DATOS_[[% normaliz]:[% normaliz]],1)*(DATOS_[Conc.Sal.12])))))))),
0)</f>
        <v>0</v>
      </c>
      <c r="V97" s="196">
        <f t="array" ref="V97">IFERROR(
(MEDIAN((IF(DATOS_[[Sexo]:[Sexo]]=$B97,IF(DATOS_[[AGRUP. CLAS. PROF.]:[AGRUP. CLAS. PROF.]]=$B96,IF(DATOS_[[Check Periodo Ref.]:[Check Periodo Ref.]]="Dentro",IF(DATOS_[[Check Equiparado]:[Check Equiparado]]="Sí",IF(DATOS!AQ$5="Sí",(1/DATOS_[[% anualiz]:[% anualiz]]),1)*IF(DATOS!AQ$4="Sí",1/DATOS_[[% normaliz]:[% normaliz]],1)*(DATOS_[Conc.Sal.13])))))))),
0)</f>
        <v>0</v>
      </c>
      <c r="W97" s="196">
        <f t="array" ref="W97">IFERROR(
(MEDIAN((IF(DATOS_[[Sexo]:[Sexo]]=$B97,IF(DATOS_[[AGRUP. CLAS. PROF.]:[AGRUP. CLAS. PROF.]]=$B96,IF(DATOS_[[Check Periodo Ref.]:[Check Periodo Ref.]]="Dentro",IF(DATOS_[[Check Equiparado]:[Check Equiparado]]="Sí",IF(DATOS!AR$5="Sí",(1/DATOS_[[% anualiz]:[% anualiz]]),1)*IF(DATOS!AR$4="Sí",1/DATOS_[[% normaliz]:[% normaliz]],1)*(DATOS_[Conc.Sal.14])))))))),
0)</f>
        <v>0</v>
      </c>
      <c r="X97" s="196">
        <f t="array" ref="X97">IFERROR(
(MEDIAN((IF(DATOS_[[Sexo]:[Sexo]]=$B97,IF(DATOS_[[AGRUP. CLAS. PROF.]:[AGRUP. CLAS. PROF.]]=$B96,IF(DATOS_[[Check Periodo Ref.]:[Check Periodo Ref.]]="Dentro",IF(DATOS_[[Check Equiparado]:[Check Equiparado]]="Sí",IF(DATOS!AS$5="Sí",(1/DATOS_[[% anualiz]:[% anualiz]]),1)*IF(DATOS!AS$4="Sí",1/DATOS_[[% normaliz]:[% normaliz]],1)*(DATOS_[Conc.Sal.15])))))))),
0)</f>
        <v>0</v>
      </c>
      <c r="Y97" s="196">
        <f t="array" ref="Y97">IFERROR(
(MEDIAN((IF(DATOS_[[Sexo]:[Sexo]]=$B97,IF(DATOS_[[AGRUP. CLAS. PROF.]:[AGRUP. CLAS. PROF.]]=$B96,IF(DATOS_[[Check Periodo Ref.]:[Check Periodo Ref.]]="Dentro",IF(DATOS_[[Check Equiparado]:[Check Equiparado]]="Sí",IF(DATOS!AT$5="Sí",(1/DATOS_[[% anualiz]:[% anualiz]]),1)*IF(DATOS!AT$4="Sí",1/DATOS_[[% normaliz]:[% normaliz]],1)*(DATOS_[Conc.Sal.16])))))))),
0)</f>
        <v>0</v>
      </c>
      <c r="Z97" s="196">
        <f t="array" ref="Z97">IFERROR(
(MEDIAN((IF(DATOS_[[Sexo]:[Sexo]]=$B97,IF(DATOS_[[AGRUP. CLAS. PROF.]:[AGRUP. CLAS. PROF.]]=$B96,IF(DATOS_[[Check Periodo Ref.]:[Check Periodo Ref.]]="Dentro",IF(DATOS_[[Check Equiparado]:[Check Equiparado]]="Sí",IF(DATOS!AU$5="Sí",(1/DATOS_[[% anualiz]:[% anualiz]]),1)*IF(DATOS!AU$4="Sí",1/DATOS_[[% normaliz]:[% normaliz]],1)*(DATOS_[Conc.Sal.17])))))))),
0)</f>
        <v>0</v>
      </c>
      <c r="AA97" s="196">
        <f t="array" ref="AA97">IFERROR(
(MEDIAN((IF(DATOS_[[Sexo]:[Sexo]]=$B97,IF(DATOS_[[AGRUP. CLAS. PROF.]:[AGRUP. CLAS. PROF.]]=$B96,IF(DATOS_[[Check Periodo Ref.]:[Check Periodo Ref.]]="Dentro",IF(DATOS_[[Check Equiparado]:[Check Equiparado]]="Sí",IF(DATOS!AV$5="Sí",(1/DATOS_[[% anualiz]:[% anualiz]]),1)*IF(DATOS!AV$4="Sí",1/DATOS_[[% normaliz]:[% normaliz]],1)*(DATOS_[Conc.Sal.18])))))))),
0)</f>
        <v>0</v>
      </c>
      <c r="AB97" s="196">
        <f t="array" ref="AB97">IFERROR(
(MEDIAN((IF(DATOS_[[Sexo]:[Sexo]]=$B97,IF(DATOS_[[AGRUP. CLAS. PROF.]:[AGRUP. CLAS. PROF.]]=$B96,IF(DATOS_[[Check Periodo Ref.]:[Check Periodo Ref.]]="Dentro",IF(DATOS_[[Check Equiparado]:[Check Equiparado]]="Sí",IF(DATOS!AW$5="Sí",(1/DATOS_[[% anualiz]:[% anualiz]]),1)*IF(DATOS!AW$4="Sí",1/DATOS_[[% normaliz]:[% normaliz]],1)*(DATOS_[Conc.Sal.19])))))))),
0)</f>
        <v>0</v>
      </c>
      <c r="AC97" s="196">
        <f t="array" ref="AC97">IFERROR(
(MEDIAN((IF(DATOS_[[Sexo]:[Sexo]]=$B97,IF(DATOS_[[AGRUP. CLAS. PROF.]:[AGRUP. CLAS. PROF.]]=$B96,IF(DATOS_[[Check Periodo Ref.]:[Check Periodo Ref.]]="Dentro",IF(DATOS_[[Check Equiparado]:[Check Equiparado]]="Sí",IF(DATOS!AX$5="Sí",(1/DATOS_[[% anualiz]:[% anualiz]]),1)*IF(DATOS!AX$4="Sí",1/DATOS_[[% normaliz]:[% normaliz]],1)*(DATOS_[Conc.Sal.20])))))))),
0)</f>
        <v>0</v>
      </c>
      <c r="AD97" s="196">
        <f t="array" ref="AD97">IFERROR(
(MEDIAN((IF(DATOS_[[Sexo]:[Sexo]]=$B97,IF(DATOS_[[AGRUP. CLAS. PROF.]:[AGRUP. CLAS. PROF.]]=$B96,IF(DATOS_[[Check Periodo Ref.]:[Check Periodo Ref.]]="Dentro",IF(DATOS_[[Check Equiparado]:[Check Equiparado]]="Sí",IF(DATOS!AY$5="Sí",(1/DATOS_[[% anualiz]:[% anualiz]]),1)*IF(DATOS!AY$4="Sí",1/DATOS_[[% normaliz]:[% normaliz]],1)*(DATOS_[Conc.Sal.21])))))))),
0)</f>
        <v>0</v>
      </c>
      <c r="AE97" s="196">
        <f t="array" ref="AE97">IFERROR(
(MEDIAN((IF(DATOS_[[Sexo]:[Sexo]]=$B97,IF(DATOS_[[AGRUP. CLAS. PROF.]:[AGRUP. CLAS. PROF.]]=$B96,IF(DATOS_[[Check Periodo Ref.]:[Check Periodo Ref.]]="Dentro",IF(DATOS_[[Check Equiparado]:[Check Equiparado]]="Sí",IF(DATOS!AZ$5="Sí",(1/DATOS_[[% anualiz]:[% anualiz]]),1)*IF(DATOS!AZ$4="Sí",1/DATOS_[[% normaliz]:[% normaliz]],1)*(DATOS_[Conc.Sal.22])))))))),
0)</f>
        <v>0</v>
      </c>
      <c r="AF97" s="196">
        <f t="array" ref="AF97">IFERROR(
(MEDIAN((IF(DATOS_[[Sexo]:[Sexo]]=$B97,IF(DATOS_[[AGRUP. CLAS. PROF.]:[AGRUP. CLAS. PROF.]]=$B96,IF(DATOS_[[Check Periodo Ref.]:[Check Periodo Ref.]]="Dentro",IF(DATOS_[[Check Equiparado]:[Check Equiparado]]="Sí",IF(DATOS!BA$5="Sí",(1/DATOS_[[% anualiz]:[% anualiz]]),1)*IF(DATOS!BA$4="Sí",1/DATOS_[[% normaliz]:[% normaliz]],1)*(DATOS_[Conc.Sal.23])))))))),
0)</f>
        <v>0</v>
      </c>
      <c r="AG97" s="196">
        <f t="array" ref="AG97">IFERROR(
(MEDIAN((IF(DATOS_[[Sexo]:[Sexo]]=$B97,IF(DATOS_[[AGRUP. CLAS. PROF.]:[AGRUP. CLAS. PROF.]]=$B96,IF(DATOS_[[Check Periodo Ref.]:[Check Periodo Ref.]]="Dentro",IF(DATOS_[[Check Equiparado]:[Check Equiparado]]="Sí",IF(DATOS!BB$5="Sí",(1/DATOS_[[% anualiz]:[% anualiz]]),1)*IF(DATOS!BB$4="Sí",1/DATOS_[[% normaliz]:[% normaliz]],1)*(DATOS_[Conc.Sal.24])))))))),
0)</f>
        <v>0</v>
      </c>
      <c r="AH97" s="196">
        <f t="array" ref="AH97">IFERROR(
(MEDIAN((IF(DATOS_[[Sexo]:[Sexo]]=$B97,IF(DATOS_[[AGRUP. CLAS. PROF.]:[AGRUP. CLAS. PROF.]]=$B96,IF(DATOS_[[Check Periodo Ref.]:[Check Periodo Ref.]]="Dentro",IF(DATOS_[[Check Equiparado]:[Check Equiparado]]="Sí",IF(DATOS!BC$5="Sí",(1/DATOS_[[% anualiz]:[% anualiz]]),1)*IF(DATOS!BC$4="Sí",1/DATOS_[[% normaliz]:[% normaliz]],1)*(DATOS_[Conc.Sal.25])))))))),
0)</f>
        <v>0</v>
      </c>
      <c r="AI97" s="196">
        <f t="array" ref="AI97">IFERROR(
(MEDIAN((IF(DATOS_[[Sexo]:[Sexo]]=$B97,IF(DATOS_[[AGRUP. CLAS. PROF.]:[AGRUP. CLAS. PROF.]]=$B96,IF(DATOS_[[Check Periodo Ref.]:[Check Periodo Ref.]]="Dentro",IF(DATOS_[[Check Equiparado]:[Check Equiparado]]="Sí",IF(DATOS!BD$5="Sí",(1/DATOS_[[% anualiz]:[% anualiz]]),1)*IF(DATOS!BD$4="Sí",1/DATOS_[[% normaliz]:[% normaliz]],1)*(DATOS_[Conc.Sal.26])))))))),
0)</f>
        <v>0</v>
      </c>
      <c r="AJ97" s="196">
        <f t="array" ref="AJ97">IFERROR(
(MEDIAN((IF(DATOS_[[Sexo]:[Sexo]]=$B97,IF(DATOS_[[AGRUP. CLAS. PROF.]:[AGRUP. CLAS. PROF.]]=$B96,IF(DATOS_[[Check Periodo Ref.]:[Check Periodo Ref.]]="Dentro",IF(DATOS_[[Check Equiparado]:[Check Equiparado]]="Sí",IF(DATOS!BE$5="Sí",(1/DATOS_[[% anualiz]:[% anualiz]]),1)*IF(DATOS!BE$4="Sí",1/DATOS_[[% normaliz]:[% normaliz]],1)*(DATOS_[Conc.Sal.27])))))))),
0)</f>
        <v>0</v>
      </c>
      <c r="AK97" s="196">
        <f t="array" ref="AK97">IFERROR(
(MEDIAN((IF(DATOS_[[Sexo]:[Sexo]]=$B97,IF(DATOS_[[AGRUP. CLAS. PROF.]:[AGRUP. CLAS. PROF.]]=$B96,IF(DATOS_[[Check Periodo Ref.]:[Check Periodo Ref.]]="Dentro",IF(DATOS_[[Check Equiparado]:[Check Equiparado]]="Sí",IF(DATOS!BF$5="Sí",(1/DATOS_[[% anualiz]:[% anualiz]]),1)*IF(DATOS!BF$4="Sí",1/DATOS_[[% normaliz]:[% normaliz]],1)*(DATOS_[Conc.Sal.28])))))))),
0)</f>
        <v>0</v>
      </c>
      <c r="AL97" s="196">
        <f t="array" ref="AL97">IFERROR(
(MEDIAN((IF(DATOS_[[Sexo]:[Sexo]]=$B97,IF(DATOS_[[AGRUP. CLAS. PROF.]:[AGRUP. CLAS. PROF.]]=$B96,IF(DATOS_[[Check Periodo Ref.]:[Check Periodo Ref.]]="Dentro",IF(DATOS_[[Check Equiparado]:[Check Equiparado]]="Sí",IF(DATOS!BG$5="Sí",(1/DATOS_[[% anualiz]:[% anualiz]]),1)*IF(DATOS!BG$4="Sí",1/DATOS_[[% normaliz]:[% normaliz]],1)*(DATOS_[Conc.Sal.29])))))))),
0)</f>
        <v>0</v>
      </c>
      <c r="AM97" s="196">
        <f t="array" ref="AM97">IFERROR(
(MEDIAN((IF(DATOS_[[Sexo]:[Sexo]]=$B97,IF(DATOS_[[AGRUP. CLAS. PROF.]:[AGRUP. CLAS. PROF.]]=$B96,IF(DATOS_[[Check Periodo Ref.]:[Check Periodo Ref.]]="Dentro",IF(DATOS_[[Check Equiparado]:[Check Equiparado]]="Sí",IF(DATOS!BH$5="Sí",(1/DATOS_[[% anualiz]:[% anualiz]]),1)*IF(DATOS!BH$4="Sí",1/DATOS_[[% normaliz]:[% normaliz]],1)*(DATOS_[Conc.Sal.30])))))))),
0)</f>
        <v>0</v>
      </c>
      <c r="AN97" s="195">
        <f t="array" ref="AN97">IFERROR(
MEDIAN(IF(DATOS_[Sexo]=$B97,IF(DATOS_[[AGRUP. CLAS. PROF.]:[AGRUP. CLAS. PROF.]]=$B96,IF(DATOS_[Check Equiparado]="Sí",IF(DATOS_[Check Periodo Ref.]="Dentro",DATOS_[Tot COMPL.SAL Eq],FALSE))))),
0)</f>
        <v>0</v>
      </c>
      <c r="AO97" s="172">
        <f t="array" ref="AO97">IFERROR(
MEDIAN(IF(DATOS_[Sexo]=$B97,IF(DATOS_[[AGRUP. CLAS. PROF.]:[AGRUP. CLAS. PROF.]]=$B96,IF(DATOS_[Check Equiparado]="Sí",IF(DATOS_[Check Periodo Ref.]="Dentro",DATOS_[TOTAL SALARIO Eq],FALSE))))),
0)</f>
        <v>0</v>
      </c>
      <c r="AP97" s="173">
        <f t="array" ref="AP97">IFERROR(
(MEDIAN((IF(DATOS_[[Sexo]:[Sexo]]=$B97,IF(DATOS_[[AGRUP. CLAS. PROF.]:[AGRUP. CLAS. PROF.]]=$B96,IF(DATOS_[[Check Periodo Ref.]:[Check Periodo Ref.]]="Dentro",IF(DATOS_[[Check Equiparado]:[Check Equiparado]]="Sí",IF(DATOS!BW$5="Sí",(1/DATOS_[[% anualiz]:[% anualiz]]),1)*IF(DATOS!BW$4="Sí",1/DATOS_[[% normaliz]:[% normaliz]],1)*(DATOS_[C.Extra.01])))))))),
0)</f>
        <v>0</v>
      </c>
      <c r="AQ97" s="173">
        <f t="array" ref="AQ97">IFERROR(
(MEDIAN((IF(DATOS_[[Sexo]:[Sexo]]=$B97,IF(DATOS_[[AGRUP. CLAS. PROF.]:[AGRUP. CLAS. PROF.]]=$B96,IF(DATOS_[[Check Periodo Ref.]:[Check Periodo Ref.]]="Dentro",IF(DATOS_[[Check Equiparado]:[Check Equiparado]]="Sí",IF(DATOS!CB$5="Sí",(1/DATOS_[[% anualiz]:[% anualiz]]),1)*IF(DATOS!CB$4="Sí",1/DATOS_[[% normaliz]:[% normaliz]],1)*(DATOS_[C.Extra.06])))))))),
0)</f>
        <v>0</v>
      </c>
      <c r="AR97" s="173">
        <f t="array" ref="AR97">IFERROR(
(MEDIAN((IF(DATOS_[[Sexo]:[Sexo]]=$B97,IF(DATOS_[[AGRUP. CLAS. PROF.]:[AGRUP. CLAS. PROF.]]=$B96,IF(DATOS_[[Check Periodo Ref.]:[Check Periodo Ref.]]="Dentro",IF(DATOS_[[Check Equiparado]:[Check Equiparado]]="Sí",IF(DATOS!CC$5="Sí",(1/DATOS_[[% anualiz]:[% anualiz]]),1)*IF(DATOS!CC$4="Sí",1/DATOS_[[% normaliz]:[% normaliz]],1)*(DATOS_[C.Extra.07])))))))),
0)</f>
        <v>0</v>
      </c>
      <c r="AS97" s="173">
        <f t="array" ref="AS97">IFERROR(
(MEDIAN((IF(DATOS_[[Sexo]:[Sexo]]=$B97,IF(DATOS_[[AGRUP. CLAS. PROF.]:[AGRUP. CLAS. PROF.]]=$B96,IF(DATOS_[[Check Periodo Ref.]:[Check Periodo Ref.]]="Dentro",IF(DATOS_[[Check Equiparado]:[Check Equiparado]]="Sí",IF(DATOS!CD$5="Sí",(1/DATOS_[[% anualiz]:[% anualiz]]),1)*IF(DATOS!CD$4="Sí",1/DATOS_[[% normaliz]:[% normaliz]],1)*(DATOS_[C.Extra.08])))))))),
0)</f>
        <v>0</v>
      </c>
      <c r="AT97" s="173">
        <f t="array" ref="AT97">IFERROR(
(MEDIAN((IF(DATOS_[[Sexo]:[Sexo]]=$B97,IF(DATOS_[[AGRUP. CLAS. PROF.]:[AGRUP. CLAS. PROF.]]=$B96,IF(DATOS_[[Check Periodo Ref.]:[Check Periodo Ref.]]="Dentro",IF(DATOS_[[Check Equiparado]:[Check Equiparado]]="Sí",IF(DATOS!CG$5="Sí",(1/DATOS_[[% anualiz]:[% anualiz]]),1)*IF(DATOS!CG$4="Sí",1/DATOS_[[% normaliz]:[% normaliz]],1)*(DATOS_[C.Extra.11])))))))),
0)</f>
        <v>0</v>
      </c>
      <c r="AU97" s="197">
        <f t="array" ref="AU97">IFERROR(
MEDIAN(IF(DATOS_[Sexo]=$B97,IF(DATOS_[[AGRUP. CLAS. PROF.]:[AGRUP. CLAS. PROF.]]=$B96,IF(DATOS_[Check Equiparado]="Sí",IF(DATOS_[Check Periodo Ref.]="Dentro",DATOS_[Tot Extrasalarial Eq],FALSE))))),
0)</f>
        <v>0</v>
      </c>
      <c r="AV97" s="175">
        <f t="array" ref="AV97">IFERROR(
MEDIAN(IF(DATOS_[Sexo]=$B97,IF(DATOS_[[AGRUP. CLAS. PROF.]:[AGRUP. CLAS. PROF.]]=$B96,IF(DATOS_[Check Equiparado]="Sí",IF(DATOS_[Check Periodo Ref.]="Dentro",DATOS_[TOTAL Retrib Eq],FALSE))))),
0)</f>
        <v>0</v>
      </c>
    </row>
    <row r="98" spans="1:48" hidden="1" x14ac:dyDescent="0.25">
      <c r="A98" s="133" t="str">
        <f t="shared" ref="A98" si="114">+A97</f>
        <v>[ocultar]</v>
      </c>
      <c r="B98" s="202" t="s">
        <v>521</v>
      </c>
      <c r="C98" s="203">
        <f t="array" ref="C98">SUM(IF($B98=DATOS_[Sexo],
IF($B96=DATOS_[AGRUP. CLAS. PROF.],
IF("Dentro"=DATOS_[Check Periodo Ref.],
1/(COUNTIFS(DATOS_[Sexo],$B98,DATOS_[AGRUP. CLAS. PROF.],$B96,DATOS_[Check Periodo Ref.],"Dentro",DATOS_[id/cod],DATOS_[id/cod]))))))</f>
        <v>0</v>
      </c>
      <c r="D98" s="204">
        <f>COUNTIFS(DATOS_[AGRUP. CLAS. PROF.],$B96,DATOS_[Sexo],$B98,DATOS_[Check Periodo Ref.],"Dentro")</f>
        <v>0</v>
      </c>
      <c r="E98" s="204">
        <f>COUNTIFS(DATOS_[AGRUP. CLAS. PROF.],$B96,DATOS_[Sexo],$B98,DATOS_[Check Periodo Ref.],"Dentro",DATOS_[Check Nº SC Norm],"Sí")</f>
        <v>0</v>
      </c>
      <c r="F98" s="204">
        <f>COUNTIFS(DATOS_[AGRUP. CLAS. PROF.],$B96,DATOS_[Sexo],$B98,DATOS_[Check Periodo Ref.],"Dentro",DATOS_[Check Nº SC Anualiz],"Sí")</f>
        <v>0</v>
      </c>
      <c r="G98" s="204">
        <f>COUNTIFS(DATOS_[AGRUP. CLAS. PROF.],$B96,DATOS_[Sexo],$B98,DATOS_[Check Periodo Ref.],"Dentro",DATOS_[Check Nº SC Norm y Anualiz],"Sí")</f>
        <v>0</v>
      </c>
      <c r="H98" s="204">
        <f>COUNTIFS(DATOS_[AGRUP. CLAS. PROF.],$B96,DATOS_[Sexo],$B98,DATOS_[Check Periodo Ref.],"Dentro",DATOS_[Check Equiparación],"Sí")</f>
        <v>0</v>
      </c>
      <c r="I98" s="195" cm="1">
        <f t="array" ref="I98">IFERROR(
MEDIAN(IF(DATOS_[Sexo]=$B98,IF(DATOS_[[AGRUP. CLAS. PROF.]:[AGRUP. CLAS. PROF.]]=$B96,IF(DATOS_[Check Equiparado]="Sí",IF(DATOS_[Check Periodo Ref.]="Dentro",DATOS_[SALARIO BASE Eq],FALSE))))),
0)</f>
        <v>0</v>
      </c>
      <c r="J98" s="196">
        <f t="array" ref="J98">IFERROR(
(MEDIAN((IF(DATOS_[[Sexo]:[Sexo]]=$B98,IF(DATOS_[[AGRUP. CLAS. PROF.]:[AGRUP. CLAS. PROF.]]=$B96,IF(DATOS_[[Check Periodo Ref.]:[Check Periodo Ref.]]="Dentro",IF(DATOS_[[Check Equiparado]:[Check Equiparado]]="Sí",IF(DATOS!AE$5="Sí",(1/DATOS_[[% anualiz]:[% anualiz]]),1)*IF(DATOS!AE$4="Sí",1/DATOS_[[% normaliz]:[% normaliz]],1)*(DATOS_[Conc.Sal.01])))))))),
0)</f>
        <v>0</v>
      </c>
      <c r="K98" s="196">
        <f t="array" ref="K98">IFERROR(
(MEDIAN((IF(DATOS_[[Sexo]:[Sexo]]=$B98,IF(DATOS_[[AGRUP. CLAS. PROF.]:[AGRUP. CLAS. PROF.]]=$B96,IF(DATOS_[[Check Periodo Ref.]:[Check Periodo Ref.]]="Dentro",IF(DATOS_[[Check Equiparado]:[Check Equiparado]]="Sí",IF(DATOS!AF$5="Sí",(1/DATOS_[[% anualiz]:[% anualiz]]),1)*IF(DATOS!AF$4="Sí",1/DATOS_[[% normaliz]:[% normaliz]],1)*(DATOS_[Conc.Sal.02])))))))),
0)</f>
        <v>0</v>
      </c>
      <c r="L98" s="196">
        <f t="array" ref="L98">IFERROR(
(MEDIAN((IF(DATOS_[[Sexo]:[Sexo]]=$B98,IF(DATOS_[[AGRUP. CLAS. PROF.]:[AGRUP. CLAS. PROF.]]=$B96,IF(DATOS_[[Check Periodo Ref.]:[Check Periodo Ref.]]="Dentro",IF(DATOS_[[Check Equiparado]:[Check Equiparado]]="Sí",IF(DATOS!AG$5="Sí",(1/DATOS_[[% anualiz]:[% anualiz]]),1)*IF(DATOS!AG$4="Sí",1/DATOS_[[% normaliz]:[% normaliz]],1)*(DATOS_[Conc.Sal.03])))))))),
0)</f>
        <v>0</v>
      </c>
      <c r="M98" s="196">
        <f t="array" ref="M98">IFERROR(
(MEDIAN((IF(DATOS_[[Sexo]:[Sexo]]=$B98,IF(DATOS_[[AGRUP. CLAS. PROF.]:[AGRUP. CLAS. PROF.]]=$B96,IF(DATOS_[[Check Periodo Ref.]:[Check Periodo Ref.]]="Dentro",IF(DATOS_[[Check Equiparado]:[Check Equiparado]]="Sí",IF(DATOS!AH$5="Sí",(1/DATOS_[[% anualiz]:[% anualiz]]),1)*IF(DATOS!AH$4="Sí",1/DATOS_[[% normaliz]:[% normaliz]],1)*(DATOS_[Conc.Sal.04])))))))),
0)</f>
        <v>0</v>
      </c>
      <c r="N98" s="196">
        <f t="array" ref="N98">IFERROR(
(MEDIAN((IF(DATOS_[[Sexo]:[Sexo]]=$B98,IF(DATOS_[[AGRUP. CLAS. PROF.]:[AGRUP. CLAS. PROF.]]=$B96,IF(DATOS_[[Check Periodo Ref.]:[Check Periodo Ref.]]="Dentro",IF(DATOS_[[Check Equiparado]:[Check Equiparado]]="Sí",IF(DATOS!AI$5="Sí",(1/DATOS_[[% anualiz]:[% anualiz]]),1)*IF(DATOS!AI$4="Sí",1/DATOS_[[% normaliz]:[% normaliz]],1)*(DATOS_[Conc.Sal.05])))))))),
0)</f>
        <v>0</v>
      </c>
      <c r="O98" s="196">
        <f t="array" ref="O98">IFERROR(
(MEDIAN((IF(DATOS_[[Sexo]:[Sexo]]=$B98,IF(DATOS_[[AGRUP. CLAS. PROF.]:[AGRUP. CLAS. PROF.]]=$B96,IF(DATOS_[[Check Periodo Ref.]:[Check Periodo Ref.]]="Dentro",IF(DATOS_[[Check Equiparado]:[Check Equiparado]]="Sí",IF(DATOS!AJ$5="Sí",(1/DATOS_[[% anualiz]:[% anualiz]]),1)*IF(DATOS!AJ$4="Sí",1/DATOS_[[% normaliz]:[% normaliz]],1)*(DATOS_[Conc.Sal.06])))))))),
0)</f>
        <v>0</v>
      </c>
      <c r="P98" s="196">
        <f t="array" ref="P98">IFERROR(
(MEDIAN((IF(DATOS_[[Sexo]:[Sexo]]=$B98,IF(DATOS_[[AGRUP. CLAS. PROF.]:[AGRUP. CLAS. PROF.]]=$B96,IF(DATOS_[[Check Periodo Ref.]:[Check Periodo Ref.]]="Dentro",IF(DATOS_[[Check Equiparado]:[Check Equiparado]]="Sí",IF(DATOS!AK$5="Sí",(1/DATOS_[[% anualiz]:[% anualiz]]),1)*IF(DATOS!AK$4="Sí",1/DATOS_[[% normaliz]:[% normaliz]],1)*(DATOS_[Conc.Sal.07])))))))),
0)</f>
        <v>0</v>
      </c>
      <c r="Q98" s="196">
        <f t="array" ref="Q98">IFERROR(
(MEDIAN((IF(DATOS_[[Sexo]:[Sexo]]=$B98,IF(DATOS_[[AGRUP. CLAS. PROF.]:[AGRUP. CLAS. PROF.]]=$B96,IF(DATOS_[[Check Periodo Ref.]:[Check Periodo Ref.]]="Dentro",IF(DATOS_[[Check Equiparado]:[Check Equiparado]]="Sí",IF(DATOS!AL$5="Sí",(1/DATOS_[[% anualiz]:[% anualiz]]),1)*IF(DATOS!AL$4="Sí",1/DATOS_[[% normaliz]:[% normaliz]],1)*(DATOS_[Conc.Sal.08])))))))),
0)</f>
        <v>0</v>
      </c>
      <c r="R98" s="196">
        <f t="array" ref="R98">IFERROR(
(MEDIAN((IF(DATOS_[[Sexo]:[Sexo]]=$B98,IF(DATOS_[[AGRUP. CLAS. PROF.]:[AGRUP. CLAS. PROF.]]=$B96,IF(DATOS_[[Check Periodo Ref.]:[Check Periodo Ref.]]="Dentro",IF(DATOS_[[Check Equiparado]:[Check Equiparado]]="Sí",IF(DATOS!AM$5="Sí",(1/DATOS_[[% anualiz]:[% anualiz]]),1)*IF(DATOS!AM$4="Sí",1/DATOS_[[% normaliz]:[% normaliz]],1)*(DATOS_[Conc.Sal.09])))))))),
0)</f>
        <v>0</v>
      </c>
      <c r="S98" s="196">
        <f t="array" ref="S98">IFERROR(
(MEDIAN((IF(DATOS_[[Sexo]:[Sexo]]=$B98,IF(DATOS_[[AGRUP. CLAS. PROF.]:[AGRUP. CLAS. PROF.]]=$B96,IF(DATOS_[[Check Periodo Ref.]:[Check Periodo Ref.]]="Dentro",IF(DATOS_[[Check Equiparado]:[Check Equiparado]]="Sí",IF(DATOS!AN$5="Sí",(1/DATOS_[[% anualiz]:[% anualiz]]),1)*IF(DATOS!AN$4="Sí",1/DATOS_[[% normaliz]:[% normaliz]],1)*(DATOS_[Conc.Sal.10])))))))),
0)</f>
        <v>0</v>
      </c>
      <c r="T98" s="196">
        <f t="array" ref="T98">IFERROR(
(MEDIAN((IF(DATOS_[[Sexo]:[Sexo]]=$B98,IF(DATOS_[[AGRUP. CLAS. PROF.]:[AGRUP. CLAS. PROF.]]=$B96,IF(DATOS_[[Check Periodo Ref.]:[Check Periodo Ref.]]="Dentro",IF(DATOS_[[Check Equiparado]:[Check Equiparado]]="Sí",IF(DATOS!AO$5="Sí",(1/DATOS_[[% anualiz]:[% anualiz]]),1)*IF(DATOS!AO$4="Sí",1/DATOS_[[% normaliz]:[% normaliz]],1)*(DATOS_[Conc.Sal.11])))))))),
0)</f>
        <v>0</v>
      </c>
      <c r="U98" s="196">
        <f t="array" ref="U98">IFERROR(
(MEDIAN((IF(DATOS_[[Sexo]:[Sexo]]=$B98,IF(DATOS_[[AGRUP. CLAS. PROF.]:[AGRUP. CLAS. PROF.]]=$B96,IF(DATOS_[[Check Periodo Ref.]:[Check Periodo Ref.]]="Dentro",IF(DATOS_[[Check Equiparado]:[Check Equiparado]]="Sí",IF(DATOS!AP$5="Sí",(1/DATOS_[[% anualiz]:[% anualiz]]),1)*IF(DATOS!AP$4="Sí",1/DATOS_[[% normaliz]:[% normaliz]],1)*(DATOS_[Conc.Sal.12])))))))),
0)</f>
        <v>0</v>
      </c>
      <c r="V98" s="196">
        <f t="array" ref="V98">IFERROR(
(MEDIAN((IF(DATOS_[[Sexo]:[Sexo]]=$B98,IF(DATOS_[[AGRUP. CLAS. PROF.]:[AGRUP. CLAS. PROF.]]=$B96,IF(DATOS_[[Check Periodo Ref.]:[Check Periodo Ref.]]="Dentro",IF(DATOS_[[Check Equiparado]:[Check Equiparado]]="Sí",IF(DATOS!AQ$5="Sí",(1/DATOS_[[% anualiz]:[% anualiz]]),1)*IF(DATOS!AQ$4="Sí",1/DATOS_[[% normaliz]:[% normaliz]],1)*(DATOS_[Conc.Sal.13])))))))),
0)</f>
        <v>0</v>
      </c>
      <c r="W98" s="196">
        <f t="array" ref="W98">IFERROR(
(MEDIAN((IF(DATOS_[[Sexo]:[Sexo]]=$B98,IF(DATOS_[[AGRUP. CLAS. PROF.]:[AGRUP. CLAS. PROF.]]=$B96,IF(DATOS_[[Check Periodo Ref.]:[Check Periodo Ref.]]="Dentro",IF(DATOS_[[Check Equiparado]:[Check Equiparado]]="Sí",IF(DATOS!AR$5="Sí",(1/DATOS_[[% anualiz]:[% anualiz]]),1)*IF(DATOS!AR$4="Sí",1/DATOS_[[% normaliz]:[% normaliz]],1)*(DATOS_[Conc.Sal.14])))))))),
0)</f>
        <v>0</v>
      </c>
      <c r="X98" s="196">
        <f t="array" ref="X98">IFERROR(
(MEDIAN((IF(DATOS_[[Sexo]:[Sexo]]=$B98,IF(DATOS_[[AGRUP. CLAS. PROF.]:[AGRUP. CLAS. PROF.]]=$B96,IF(DATOS_[[Check Periodo Ref.]:[Check Periodo Ref.]]="Dentro",IF(DATOS_[[Check Equiparado]:[Check Equiparado]]="Sí",IF(DATOS!AS$5="Sí",(1/DATOS_[[% anualiz]:[% anualiz]]),1)*IF(DATOS!AS$4="Sí",1/DATOS_[[% normaliz]:[% normaliz]],1)*(DATOS_[Conc.Sal.15])))))))),
0)</f>
        <v>0</v>
      </c>
      <c r="Y98" s="196">
        <f t="array" ref="Y98">IFERROR(
(MEDIAN((IF(DATOS_[[Sexo]:[Sexo]]=$B98,IF(DATOS_[[AGRUP. CLAS. PROF.]:[AGRUP. CLAS. PROF.]]=$B96,IF(DATOS_[[Check Periodo Ref.]:[Check Periodo Ref.]]="Dentro",IF(DATOS_[[Check Equiparado]:[Check Equiparado]]="Sí",IF(DATOS!AT$5="Sí",(1/DATOS_[[% anualiz]:[% anualiz]]),1)*IF(DATOS!AT$4="Sí",1/DATOS_[[% normaliz]:[% normaliz]],1)*(DATOS_[Conc.Sal.16])))))))),
0)</f>
        <v>0</v>
      </c>
      <c r="Z98" s="196">
        <f t="array" ref="Z98">IFERROR(
(MEDIAN((IF(DATOS_[[Sexo]:[Sexo]]=$B98,IF(DATOS_[[AGRUP. CLAS. PROF.]:[AGRUP. CLAS. PROF.]]=$B96,IF(DATOS_[[Check Periodo Ref.]:[Check Periodo Ref.]]="Dentro",IF(DATOS_[[Check Equiparado]:[Check Equiparado]]="Sí",IF(DATOS!AU$5="Sí",(1/DATOS_[[% anualiz]:[% anualiz]]),1)*IF(DATOS!AU$4="Sí",1/DATOS_[[% normaliz]:[% normaliz]],1)*(DATOS_[Conc.Sal.17])))))))),
0)</f>
        <v>0</v>
      </c>
      <c r="AA98" s="196">
        <f t="array" ref="AA98">IFERROR(
(MEDIAN((IF(DATOS_[[Sexo]:[Sexo]]=$B98,IF(DATOS_[[AGRUP. CLAS. PROF.]:[AGRUP. CLAS. PROF.]]=$B96,IF(DATOS_[[Check Periodo Ref.]:[Check Periodo Ref.]]="Dentro",IF(DATOS_[[Check Equiparado]:[Check Equiparado]]="Sí",IF(DATOS!AV$5="Sí",(1/DATOS_[[% anualiz]:[% anualiz]]),1)*IF(DATOS!AV$4="Sí",1/DATOS_[[% normaliz]:[% normaliz]],1)*(DATOS_[Conc.Sal.18])))))))),
0)</f>
        <v>0</v>
      </c>
      <c r="AB98" s="196">
        <f t="array" ref="AB98">IFERROR(
(MEDIAN((IF(DATOS_[[Sexo]:[Sexo]]=$B98,IF(DATOS_[[AGRUP. CLAS. PROF.]:[AGRUP. CLAS. PROF.]]=$B96,IF(DATOS_[[Check Periodo Ref.]:[Check Periodo Ref.]]="Dentro",IF(DATOS_[[Check Equiparado]:[Check Equiparado]]="Sí",IF(DATOS!AW$5="Sí",(1/DATOS_[[% anualiz]:[% anualiz]]),1)*IF(DATOS!AW$4="Sí",1/DATOS_[[% normaliz]:[% normaliz]],1)*(DATOS_[Conc.Sal.19])))))))),
0)</f>
        <v>0</v>
      </c>
      <c r="AC98" s="196">
        <f t="array" ref="AC98">IFERROR(
(MEDIAN((IF(DATOS_[[Sexo]:[Sexo]]=$B98,IF(DATOS_[[AGRUP. CLAS. PROF.]:[AGRUP. CLAS. PROF.]]=$B96,IF(DATOS_[[Check Periodo Ref.]:[Check Periodo Ref.]]="Dentro",IF(DATOS_[[Check Equiparado]:[Check Equiparado]]="Sí",IF(DATOS!AX$5="Sí",(1/DATOS_[[% anualiz]:[% anualiz]]),1)*IF(DATOS!AX$4="Sí",1/DATOS_[[% normaliz]:[% normaliz]],1)*(DATOS_[Conc.Sal.20])))))))),
0)</f>
        <v>0</v>
      </c>
      <c r="AD98" s="196">
        <f t="array" ref="AD98">IFERROR(
(MEDIAN((IF(DATOS_[[Sexo]:[Sexo]]=$B98,IF(DATOS_[[AGRUP. CLAS. PROF.]:[AGRUP. CLAS. PROF.]]=$B96,IF(DATOS_[[Check Periodo Ref.]:[Check Periodo Ref.]]="Dentro",IF(DATOS_[[Check Equiparado]:[Check Equiparado]]="Sí",IF(DATOS!AY$5="Sí",(1/DATOS_[[% anualiz]:[% anualiz]]),1)*IF(DATOS!AY$4="Sí",1/DATOS_[[% normaliz]:[% normaliz]],1)*(DATOS_[Conc.Sal.21])))))))),
0)</f>
        <v>0</v>
      </c>
      <c r="AE98" s="196">
        <f t="array" ref="AE98">IFERROR(
(MEDIAN((IF(DATOS_[[Sexo]:[Sexo]]=$B98,IF(DATOS_[[AGRUP. CLAS. PROF.]:[AGRUP. CLAS. PROF.]]=$B96,IF(DATOS_[[Check Periodo Ref.]:[Check Periodo Ref.]]="Dentro",IF(DATOS_[[Check Equiparado]:[Check Equiparado]]="Sí",IF(DATOS!AZ$5="Sí",(1/DATOS_[[% anualiz]:[% anualiz]]),1)*IF(DATOS!AZ$4="Sí",1/DATOS_[[% normaliz]:[% normaliz]],1)*(DATOS_[Conc.Sal.22])))))))),
0)</f>
        <v>0</v>
      </c>
      <c r="AF98" s="196">
        <f t="array" ref="AF98">IFERROR(
(MEDIAN((IF(DATOS_[[Sexo]:[Sexo]]=$B98,IF(DATOS_[[AGRUP. CLAS. PROF.]:[AGRUP. CLAS. PROF.]]=$B96,IF(DATOS_[[Check Periodo Ref.]:[Check Periodo Ref.]]="Dentro",IF(DATOS_[[Check Equiparado]:[Check Equiparado]]="Sí",IF(DATOS!BA$5="Sí",(1/DATOS_[[% anualiz]:[% anualiz]]),1)*IF(DATOS!BA$4="Sí",1/DATOS_[[% normaliz]:[% normaliz]],1)*(DATOS_[Conc.Sal.23])))))))),
0)</f>
        <v>0</v>
      </c>
      <c r="AG98" s="196">
        <f t="array" ref="AG98">IFERROR(
(MEDIAN((IF(DATOS_[[Sexo]:[Sexo]]=$B98,IF(DATOS_[[AGRUP. CLAS. PROF.]:[AGRUP. CLAS. PROF.]]=$B96,IF(DATOS_[[Check Periodo Ref.]:[Check Periodo Ref.]]="Dentro",IF(DATOS_[[Check Equiparado]:[Check Equiparado]]="Sí",IF(DATOS!BB$5="Sí",(1/DATOS_[[% anualiz]:[% anualiz]]),1)*IF(DATOS!BB$4="Sí",1/DATOS_[[% normaliz]:[% normaliz]],1)*(DATOS_[Conc.Sal.24])))))))),
0)</f>
        <v>0</v>
      </c>
      <c r="AH98" s="196">
        <f t="array" ref="AH98">IFERROR(
(MEDIAN((IF(DATOS_[[Sexo]:[Sexo]]=$B98,IF(DATOS_[[AGRUP. CLAS. PROF.]:[AGRUP. CLAS. PROF.]]=$B96,IF(DATOS_[[Check Periodo Ref.]:[Check Periodo Ref.]]="Dentro",IF(DATOS_[[Check Equiparado]:[Check Equiparado]]="Sí",IF(DATOS!BC$5="Sí",(1/DATOS_[[% anualiz]:[% anualiz]]),1)*IF(DATOS!BC$4="Sí",1/DATOS_[[% normaliz]:[% normaliz]],1)*(DATOS_[Conc.Sal.25])))))))),
0)</f>
        <v>0</v>
      </c>
      <c r="AI98" s="196">
        <f t="array" ref="AI98">IFERROR(
(MEDIAN((IF(DATOS_[[Sexo]:[Sexo]]=$B98,IF(DATOS_[[AGRUP. CLAS. PROF.]:[AGRUP. CLAS. PROF.]]=$B96,IF(DATOS_[[Check Periodo Ref.]:[Check Periodo Ref.]]="Dentro",IF(DATOS_[[Check Equiparado]:[Check Equiparado]]="Sí",IF(DATOS!BD$5="Sí",(1/DATOS_[[% anualiz]:[% anualiz]]),1)*IF(DATOS!BD$4="Sí",1/DATOS_[[% normaliz]:[% normaliz]],1)*(DATOS_[Conc.Sal.26])))))))),
0)</f>
        <v>0</v>
      </c>
      <c r="AJ98" s="196">
        <f t="array" ref="AJ98">IFERROR(
(MEDIAN((IF(DATOS_[[Sexo]:[Sexo]]=$B98,IF(DATOS_[[AGRUP. CLAS. PROF.]:[AGRUP. CLAS. PROF.]]=$B96,IF(DATOS_[[Check Periodo Ref.]:[Check Periodo Ref.]]="Dentro",IF(DATOS_[[Check Equiparado]:[Check Equiparado]]="Sí",IF(DATOS!BE$5="Sí",(1/DATOS_[[% anualiz]:[% anualiz]]),1)*IF(DATOS!BE$4="Sí",1/DATOS_[[% normaliz]:[% normaliz]],1)*(DATOS_[Conc.Sal.27])))))))),
0)</f>
        <v>0</v>
      </c>
      <c r="AK98" s="196">
        <f t="array" ref="AK98">IFERROR(
(MEDIAN((IF(DATOS_[[Sexo]:[Sexo]]=$B98,IF(DATOS_[[AGRUP. CLAS. PROF.]:[AGRUP. CLAS. PROF.]]=$B96,IF(DATOS_[[Check Periodo Ref.]:[Check Periodo Ref.]]="Dentro",IF(DATOS_[[Check Equiparado]:[Check Equiparado]]="Sí",IF(DATOS!BF$5="Sí",(1/DATOS_[[% anualiz]:[% anualiz]]),1)*IF(DATOS!BF$4="Sí",1/DATOS_[[% normaliz]:[% normaliz]],1)*(DATOS_[Conc.Sal.28])))))))),
0)</f>
        <v>0</v>
      </c>
      <c r="AL98" s="196">
        <f t="array" ref="AL98">IFERROR(
(MEDIAN((IF(DATOS_[[Sexo]:[Sexo]]=$B98,IF(DATOS_[[AGRUP. CLAS. PROF.]:[AGRUP. CLAS. PROF.]]=$B96,IF(DATOS_[[Check Periodo Ref.]:[Check Periodo Ref.]]="Dentro",IF(DATOS_[[Check Equiparado]:[Check Equiparado]]="Sí",IF(DATOS!BG$5="Sí",(1/DATOS_[[% anualiz]:[% anualiz]]),1)*IF(DATOS!BG$4="Sí",1/DATOS_[[% normaliz]:[% normaliz]],1)*(DATOS_[Conc.Sal.29])))))))),
0)</f>
        <v>0</v>
      </c>
      <c r="AM98" s="196">
        <f t="array" ref="AM98">IFERROR(
(MEDIAN((IF(DATOS_[[Sexo]:[Sexo]]=$B98,IF(DATOS_[[AGRUP. CLAS. PROF.]:[AGRUP. CLAS. PROF.]]=$B96,IF(DATOS_[[Check Periodo Ref.]:[Check Periodo Ref.]]="Dentro",IF(DATOS_[[Check Equiparado]:[Check Equiparado]]="Sí",IF(DATOS!BH$5="Sí",(1/DATOS_[[% anualiz]:[% anualiz]]),1)*IF(DATOS!BH$4="Sí",1/DATOS_[[% normaliz]:[% normaliz]],1)*(DATOS_[Conc.Sal.30])))))))),
0)</f>
        <v>0</v>
      </c>
      <c r="AN98" s="195">
        <f t="array" ref="AN98">IFERROR(
MEDIAN(IF(DATOS_[Sexo]=$B98,IF(DATOS_[[AGRUP. CLAS. PROF.]:[AGRUP. CLAS. PROF.]]=$B96,IF(DATOS_[Check Equiparado]="Sí",IF(DATOS_[Check Periodo Ref.]="Dentro",DATOS_[Tot COMPL.SAL Eq],FALSE))))),
0)</f>
        <v>0</v>
      </c>
      <c r="AO98" s="172">
        <f t="array" ref="AO98">IFERROR(
MEDIAN(IF(DATOS_[Sexo]=$B98,IF(DATOS_[[AGRUP. CLAS. PROF.]:[AGRUP. CLAS. PROF.]]=$B96,IF(DATOS_[Check Equiparado]="Sí",IF(DATOS_[Check Periodo Ref.]="Dentro",DATOS_[TOTAL SALARIO Eq],FALSE))))),
0)</f>
        <v>0</v>
      </c>
      <c r="AP98" s="173">
        <f t="array" ref="AP98">IFERROR(
(MEDIAN((IF(DATOS_[[Sexo]:[Sexo]]=$B98,IF(DATOS_[[AGRUP. CLAS. PROF.]:[AGRUP. CLAS. PROF.]]=$B96,IF(DATOS_[[Check Periodo Ref.]:[Check Periodo Ref.]]="Dentro",IF(DATOS_[[Check Equiparado]:[Check Equiparado]]="Sí",IF(DATOS!BW$5="Sí",(1/DATOS_[[% anualiz]:[% anualiz]]),1)*IF(DATOS!BW$4="Sí",1/DATOS_[[% normaliz]:[% normaliz]],1)*(DATOS_[C.Extra.01])))))))),
0)</f>
        <v>0</v>
      </c>
      <c r="AQ98" s="173">
        <f t="array" ref="AQ98">IFERROR(
(MEDIAN((IF(DATOS_[[Sexo]:[Sexo]]=$B98,IF(DATOS_[[AGRUP. CLAS. PROF.]:[AGRUP. CLAS. PROF.]]=$B96,IF(DATOS_[[Check Periodo Ref.]:[Check Periodo Ref.]]="Dentro",IF(DATOS_[[Check Equiparado]:[Check Equiparado]]="Sí",IF(DATOS!CB$5="Sí",(1/DATOS_[[% anualiz]:[% anualiz]]),1)*IF(DATOS!CB$4="Sí",1/DATOS_[[% normaliz]:[% normaliz]],1)*(DATOS_[C.Extra.06])))))))),
0)</f>
        <v>0</v>
      </c>
      <c r="AR98" s="173">
        <f t="array" ref="AR98">IFERROR(
(MEDIAN((IF(DATOS_[[Sexo]:[Sexo]]=$B98,IF(DATOS_[[AGRUP. CLAS. PROF.]:[AGRUP. CLAS. PROF.]]=$B96,IF(DATOS_[[Check Periodo Ref.]:[Check Periodo Ref.]]="Dentro",IF(DATOS_[[Check Equiparado]:[Check Equiparado]]="Sí",IF(DATOS!CC$5="Sí",(1/DATOS_[[% anualiz]:[% anualiz]]),1)*IF(DATOS!CC$4="Sí",1/DATOS_[[% normaliz]:[% normaliz]],1)*(DATOS_[C.Extra.07])))))))),
0)</f>
        <v>0</v>
      </c>
      <c r="AS98" s="173">
        <f t="array" ref="AS98">IFERROR(
(MEDIAN((IF(DATOS_[[Sexo]:[Sexo]]=$B98,IF(DATOS_[[AGRUP. CLAS. PROF.]:[AGRUP. CLAS. PROF.]]=$B96,IF(DATOS_[[Check Periodo Ref.]:[Check Periodo Ref.]]="Dentro",IF(DATOS_[[Check Equiparado]:[Check Equiparado]]="Sí",IF(DATOS!CD$5="Sí",(1/DATOS_[[% anualiz]:[% anualiz]]),1)*IF(DATOS!CD$4="Sí",1/DATOS_[[% normaliz]:[% normaliz]],1)*(DATOS_[C.Extra.08])))))))),
0)</f>
        <v>0</v>
      </c>
      <c r="AT98" s="173">
        <f t="array" ref="AT98">IFERROR(
(MEDIAN((IF(DATOS_[[Sexo]:[Sexo]]=$B98,IF(DATOS_[[AGRUP. CLAS. PROF.]:[AGRUP. CLAS. PROF.]]=$B96,IF(DATOS_[[Check Periodo Ref.]:[Check Periodo Ref.]]="Dentro",IF(DATOS_[[Check Equiparado]:[Check Equiparado]]="Sí",IF(DATOS!CG$5="Sí",(1/DATOS_[[% anualiz]:[% anualiz]]),1)*IF(DATOS!CG$4="Sí",1/DATOS_[[% normaliz]:[% normaliz]],1)*(DATOS_[C.Extra.11])))))))),
0)</f>
        <v>0</v>
      </c>
      <c r="AU98" s="197">
        <f t="array" ref="AU98">IFERROR(
MEDIAN(IF(DATOS_[Sexo]=$B98,IF(DATOS_[[AGRUP. CLAS. PROF.]:[AGRUP. CLAS. PROF.]]=$B96,IF(DATOS_[Check Equiparado]="Sí",IF(DATOS_[Check Periodo Ref.]="Dentro",DATOS_[Tot Extrasalarial Eq],FALSE))))),
0)</f>
        <v>0</v>
      </c>
      <c r="AV98" s="175">
        <f t="array" ref="AV98">IFERROR(
MEDIAN(IF(DATOS_[Sexo]=$B98,IF(DATOS_[[AGRUP. CLAS. PROF.]:[AGRUP. CLAS. PROF.]]=$B96,IF(DATOS_[Check Equiparado]="Sí",IF(DATOS_[Check Periodo Ref.]="Dentro",DATOS_[TOTAL Retrib Eq],FALSE))))),
0)</f>
        <v>0</v>
      </c>
    </row>
    <row r="99" spans="1:48" ht="15.6" hidden="1" thickBot="1" x14ac:dyDescent="0.3">
      <c r="A99" s="133" t="str">
        <f t="shared" ref="A99" si="115">+A100</f>
        <v>[ocultar]</v>
      </c>
      <c r="B99" s="199" t="s">
        <v>286</v>
      </c>
      <c r="C99" s="200"/>
      <c r="D99" s="201"/>
      <c r="E99" s="201"/>
      <c r="F99" s="201"/>
      <c r="G99" s="201"/>
      <c r="H99" s="201"/>
      <c r="I99" s="189" t="str">
        <f t="shared" ref="I99:AV99" si="116">IFERROR((I100-I101)/I100,"")</f>
        <v/>
      </c>
      <c r="J99" s="190" t="str">
        <f t="shared" si="116"/>
        <v/>
      </c>
      <c r="K99" s="191" t="str">
        <f t="shared" si="116"/>
        <v/>
      </c>
      <c r="L99" s="191" t="str">
        <f t="shared" si="116"/>
        <v/>
      </c>
      <c r="M99" s="191" t="str">
        <f t="shared" si="116"/>
        <v/>
      </c>
      <c r="N99" s="192" t="str">
        <f t="shared" si="116"/>
        <v/>
      </c>
      <c r="O99" s="193" t="str">
        <f t="shared" si="116"/>
        <v/>
      </c>
      <c r="P99" s="193" t="str">
        <f t="shared" si="116"/>
        <v/>
      </c>
      <c r="Q99" s="193" t="str">
        <f t="shared" si="116"/>
        <v/>
      </c>
      <c r="R99" s="193" t="str">
        <f t="shared" si="116"/>
        <v/>
      </c>
      <c r="S99" s="193" t="str">
        <f t="shared" si="116"/>
        <v/>
      </c>
      <c r="T99" s="193" t="str">
        <f t="shared" si="116"/>
        <v/>
      </c>
      <c r="U99" s="193" t="str">
        <f t="shared" si="116"/>
        <v/>
      </c>
      <c r="V99" s="193" t="str">
        <f t="shared" si="116"/>
        <v/>
      </c>
      <c r="W99" s="193" t="str">
        <f t="shared" si="116"/>
        <v/>
      </c>
      <c r="X99" s="193" t="str">
        <f t="shared" si="116"/>
        <v/>
      </c>
      <c r="Y99" s="193" t="str">
        <f t="shared" si="116"/>
        <v/>
      </c>
      <c r="Z99" s="193" t="str">
        <f t="shared" si="116"/>
        <v/>
      </c>
      <c r="AA99" s="193" t="str">
        <f t="shared" si="116"/>
        <v/>
      </c>
      <c r="AB99" s="193" t="str">
        <f t="shared" si="116"/>
        <v/>
      </c>
      <c r="AC99" s="193" t="str">
        <f t="shared" si="116"/>
        <v/>
      </c>
      <c r="AD99" s="193" t="str">
        <f t="shared" si="116"/>
        <v/>
      </c>
      <c r="AE99" s="193" t="str">
        <f t="shared" si="116"/>
        <v/>
      </c>
      <c r="AF99" s="193" t="str">
        <f t="shared" si="116"/>
        <v/>
      </c>
      <c r="AG99" s="193" t="str">
        <f t="shared" si="116"/>
        <v/>
      </c>
      <c r="AH99" s="193" t="str">
        <f t="shared" si="116"/>
        <v/>
      </c>
      <c r="AI99" s="193" t="str">
        <f t="shared" si="116"/>
        <v/>
      </c>
      <c r="AJ99" s="193" t="str">
        <f t="shared" si="116"/>
        <v/>
      </c>
      <c r="AK99" s="193" t="str">
        <f t="shared" si="116"/>
        <v/>
      </c>
      <c r="AL99" s="193" t="str">
        <f t="shared" si="116"/>
        <v/>
      </c>
      <c r="AM99" s="193" t="str">
        <f t="shared" si="116"/>
        <v/>
      </c>
      <c r="AN99" s="189" t="str">
        <f t="shared" si="116"/>
        <v/>
      </c>
      <c r="AO99" s="162" t="str">
        <f t="shared" si="116"/>
        <v/>
      </c>
      <c r="AP99" s="163" t="str">
        <f t="shared" si="116"/>
        <v/>
      </c>
      <c r="AQ99" s="163" t="str">
        <f t="shared" si="116"/>
        <v/>
      </c>
      <c r="AR99" s="163" t="str">
        <f t="shared" si="116"/>
        <v/>
      </c>
      <c r="AS99" s="163" t="str">
        <f t="shared" si="116"/>
        <v/>
      </c>
      <c r="AT99" s="163" t="str">
        <f t="shared" si="116"/>
        <v/>
      </c>
      <c r="AU99" s="194" t="str">
        <f t="shared" si="116"/>
        <v/>
      </c>
      <c r="AV99" s="165" t="str">
        <f t="shared" si="116"/>
        <v/>
      </c>
    </row>
    <row r="100" spans="1:48" hidden="1" x14ac:dyDescent="0.25">
      <c r="A100" s="133" t="str">
        <f t="shared" ref="A100" si="117">+IF(C100+C101=0,"[ocultar]","")</f>
        <v>[ocultar]</v>
      </c>
      <c r="B100" s="202" t="s">
        <v>394</v>
      </c>
      <c r="C100" s="203">
        <f t="array" ref="C100">SUM(IF($B100=DATOS_[Sexo],
IF($B99=DATOS_[AGRUP. CLAS. PROF.],
IF("Dentro"=DATOS_[Check Periodo Ref.],
1/(COUNTIFS(DATOS_[Sexo],$B100,DATOS_[AGRUP. CLAS. PROF.],$B99,DATOS_[Check Periodo Ref.],"Dentro",DATOS_[id/cod],DATOS_[id/cod]))))))</f>
        <v>0</v>
      </c>
      <c r="D100" s="204">
        <f>COUNTIFS(DATOS_[AGRUP. CLAS. PROF.],$B99,DATOS_[Sexo],$B100,DATOS_[Check Periodo Ref.],"Dentro")</f>
        <v>0</v>
      </c>
      <c r="E100" s="204">
        <f>COUNTIFS(DATOS_[AGRUP. CLAS. PROF.],$B99,DATOS_[Sexo],$B100,DATOS_[Check Periodo Ref.],"Dentro",DATOS_[Check Nº SC Norm],"Sí")</f>
        <v>0</v>
      </c>
      <c r="F100" s="204">
        <f>COUNTIFS(DATOS_[AGRUP. CLAS. PROF.],$B99,DATOS_[Sexo],$B100,DATOS_[Check Periodo Ref.],"Dentro",DATOS_[Check Nº SC Anualiz],"Sí")</f>
        <v>0</v>
      </c>
      <c r="G100" s="204">
        <f>COUNTIFS(DATOS_[AGRUP. CLAS. PROF.],$B99,DATOS_[Sexo],$B100,DATOS_[Check Periodo Ref.],"Dentro",DATOS_[Check Nº SC Norm y Anualiz],"Sí")</f>
        <v>0</v>
      </c>
      <c r="H100" s="204">
        <f>COUNTIFS(DATOS_[AGRUP. CLAS. PROF.],$B99,DATOS_[Sexo],$B100,DATOS_[Check Periodo Ref.],"Dentro",DATOS_[Check Equiparación],"Sí")</f>
        <v>0</v>
      </c>
      <c r="I100" s="195">
        <f t="array" ref="I100">IFERROR(
MEDIAN(IF(DATOS_[Sexo]=$B100,IF(DATOS_[[AGRUP. CLAS. PROF.]:[AGRUP. CLAS. PROF.]]=$B99,IF(DATOS_[Check Equiparado]="Sí",IF(DATOS_[Check Periodo Ref.]="Dentro",DATOS_[SALARIO BASE Eq],FALSE))))),
0)</f>
        <v>0</v>
      </c>
      <c r="J100" s="196">
        <f t="array" ref="J100">IFERROR(
(MEDIAN((IF(DATOS_[[Sexo]:[Sexo]]=$B100,IF(DATOS_[[AGRUP. CLAS. PROF.]:[AGRUP. CLAS. PROF.]]=$B99,IF(DATOS_[[Check Periodo Ref.]:[Check Periodo Ref.]]="Dentro",IF(DATOS_[[Check Equiparado]:[Check Equiparado]]="Sí",IF(DATOS!AE$5="Sí",(1/DATOS_[[% anualiz]:[% anualiz]]),1)*IF(DATOS!AE$4="Sí",1/DATOS_[[% normaliz]:[% normaliz]],1)*(DATOS_[Conc.Sal.01])))))))),
0)</f>
        <v>0</v>
      </c>
      <c r="K100" s="196">
        <f t="array" ref="K100">IFERROR(
(MEDIAN((IF(DATOS_[[Sexo]:[Sexo]]=$B100,IF(DATOS_[[AGRUP. CLAS. PROF.]:[AGRUP. CLAS. PROF.]]=$B99,IF(DATOS_[[Check Periodo Ref.]:[Check Periodo Ref.]]="Dentro",IF(DATOS_[[Check Equiparado]:[Check Equiparado]]="Sí",IF(DATOS!AF$5="Sí",(1/DATOS_[[% anualiz]:[% anualiz]]),1)*IF(DATOS!AF$4="Sí",1/DATOS_[[% normaliz]:[% normaliz]],1)*(DATOS_[Conc.Sal.02])))))))),
0)</f>
        <v>0</v>
      </c>
      <c r="L100" s="196">
        <f t="array" ref="L100">IFERROR(
(MEDIAN((IF(DATOS_[[Sexo]:[Sexo]]=$B100,IF(DATOS_[[AGRUP. CLAS. PROF.]:[AGRUP. CLAS. PROF.]]=$B99,IF(DATOS_[[Check Periodo Ref.]:[Check Periodo Ref.]]="Dentro",IF(DATOS_[[Check Equiparado]:[Check Equiparado]]="Sí",IF(DATOS!AG$5="Sí",(1/DATOS_[[% anualiz]:[% anualiz]]),1)*IF(DATOS!AG$4="Sí",1/DATOS_[[% normaliz]:[% normaliz]],1)*(DATOS_[Conc.Sal.03])))))))),
0)</f>
        <v>0</v>
      </c>
      <c r="M100" s="196">
        <f t="array" ref="M100">IFERROR(
(MEDIAN((IF(DATOS_[[Sexo]:[Sexo]]=$B100,IF(DATOS_[[AGRUP. CLAS. PROF.]:[AGRUP. CLAS. PROF.]]=$B99,IF(DATOS_[[Check Periodo Ref.]:[Check Periodo Ref.]]="Dentro",IF(DATOS_[[Check Equiparado]:[Check Equiparado]]="Sí",IF(DATOS!AH$5="Sí",(1/DATOS_[[% anualiz]:[% anualiz]]),1)*IF(DATOS!AH$4="Sí",1/DATOS_[[% normaliz]:[% normaliz]],1)*(DATOS_[Conc.Sal.04])))))))),
0)</f>
        <v>0</v>
      </c>
      <c r="N100" s="196">
        <f t="array" ref="N100">IFERROR(
(MEDIAN((IF(DATOS_[[Sexo]:[Sexo]]=$B100,IF(DATOS_[[AGRUP. CLAS. PROF.]:[AGRUP. CLAS. PROF.]]=$B99,IF(DATOS_[[Check Periodo Ref.]:[Check Periodo Ref.]]="Dentro",IF(DATOS_[[Check Equiparado]:[Check Equiparado]]="Sí",IF(DATOS!AI$5="Sí",(1/DATOS_[[% anualiz]:[% anualiz]]),1)*IF(DATOS!AI$4="Sí",1/DATOS_[[% normaliz]:[% normaliz]],1)*(DATOS_[Conc.Sal.05])))))))),
0)</f>
        <v>0</v>
      </c>
      <c r="O100" s="196">
        <f t="array" ref="O100">IFERROR(
(MEDIAN((IF(DATOS_[[Sexo]:[Sexo]]=$B100,IF(DATOS_[[AGRUP. CLAS. PROF.]:[AGRUP. CLAS. PROF.]]=$B99,IF(DATOS_[[Check Periodo Ref.]:[Check Periodo Ref.]]="Dentro",IF(DATOS_[[Check Equiparado]:[Check Equiparado]]="Sí",IF(DATOS!AJ$5="Sí",(1/DATOS_[[% anualiz]:[% anualiz]]),1)*IF(DATOS!AJ$4="Sí",1/DATOS_[[% normaliz]:[% normaliz]],1)*(DATOS_[Conc.Sal.06])))))))),
0)</f>
        <v>0</v>
      </c>
      <c r="P100" s="196">
        <f t="array" ref="P100">IFERROR(
(MEDIAN((IF(DATOS_[[Sexo]:[Sexo]]=$B100,IF(DATOS_[[AGRUP. CLAS. PROF.]:[AGRUP. CLAS. PROF.]]=$B99,IF(DATOS_[[Check Periodo Ref.]:[Check Periodo Ref.]]="Dentro",IF(DATOS_[[Check Equiparado]:[Check Equiparado]]="Sí",IF(DATOS!AK$5="Sí",(1/DATOS_[[% anualiz]:[% anualiz]]),1)*IF(DATOS!AK$4="Sí",1/DATOS_[[% normaliz]:[% normaliz]],1)*(DATOS_[Conc.Sal.07])))))))),
0)</f>
        <v>0</v>
      </c>
      <c r="Q100" s="196">
        <f t="array" ref="Q100">IFERROR(
(MEDIAN((IF(DATOS_[[Sexo]:[Sexo]]=$B100,IF(DATOS_[[AGRUP. CLAS. PROF.]:[AGRUP. CLAS. PROF.]]=$B99,IF(DATOS_[[Check Periodo Ref.]:[Check Periodo Ref.]]="Dentro",IF(DATOS_[[Check Equiparado]:[Check Equiparado]]="Sí",IF(DATOS!AL$5="Sí",(1/DATOS_[[% anualiz]:[% anualiz]]),1)*IF(DATOS!AL$4="Sí",1/DATOS_[[% normaliz]:[% normaliz]],1)*(DATOS_[Conc.Sal.08])))))))),
0)</f>
        <v>0</v>
      </c>
      <c r="R100" s="196">
        <f t="array" ref="R100">IFERROR(
(MEDIAN((IF(DATOS_[[Sexo]:[Sexo]]=$B100,IF(DATOS_[[AGRUP. CLAS. PROF.]:[AGRUP. CLAS. PROF.]]=$B99,IF(DATOS_[[Check Periodo Ref.]:[Check Periodo Ref.]]="Dentro",IF(DATOS_[[Check Equiparado]:[Check Equiparado]]="Sí",IF(DATOS!AM$5="Sí",(1/DATOS_[[% anualiz]:[% anualiz]]),1)*IF(DATOS!AM$4="Sí",1/DATOS_[[% normaliz]:[% normaliz]],1)*(DATOS_[Conc.Sal.09])))))))),
0)</f>
        <v>0</v>
      </c>
      <c r="S100" s="196">
        <f t="array" ref="S100">IFERROR(
(MEDIAN((IF(DATOS_[[Sexo]:[Sexo]]=$B100,IF(DATOS_[[AGRUP. CLAS. PROF.]:[AGRUP. CLAS. PROF.]]=$B99,IF(DATOS_[[Check Periodo Ref.]:[Check Periodo Ref.]]="Dentro",IF(DATOS_[[Check Equiparado]:[Check Equiparado]]="Sí",IF(DATOS!AN$5="Sí",(1/DATOS_[[% anualiz]:[% anualiz]]),1)*IF(DATOS!AN$4="Sí",1/DATOS_[[% normaliz]:[% normaliz]],1)*(DATOS_[Conc.Sal.10])))))))),
0)</f>
        <v>0</v>
      </c>
      <c r="T100" s="196">
        <f t="array" ref="T100">IFERROR(
(MEDIAN((IF(DATOS_[[Sexo]:[Sexo]]=$B100,IF(DATOS_[[AGRUP. CLAS. PROF.]:[AGRUP. CLAS. PROF.]]=$B99,IF(DATOS_[[Check Periodo Ref.]:[Check Periodo Ref.]]="Dentro",IF(DATOS_[[Check Equiparado]:[Check Equiparado]]="Sí",IF(DATOS!AO$5="Sí",(1/DATOS_[[% anualiz]:[% anualiz]]),1)*IF(DATOS!AO$4="Sí",1/DATOS_[[% normaliz]:[% normaliz]],1)*(DATOS_[Conc.Sal.11])))))))),
0)</f>
        <v>0</v>
      </c>
      <c r="U100" s="196">
        <f t="array" ref="U100">IFERROR(
(MEDIAN((IF(DATOS_[[Sexo]:[Sexo]]=$B100,IF(DATOS_[[AGRUP. CLAS. PROF.]:[AGRUP. CLAS. PROF.]]=$B99,IF(DATOS_[[Check Periodo Ref.]:[Check Periodo Ref.]]="Dentro",IF(DATOS_[[Check Equiparado]:[Check Equiparado]]="Sí",IF(DATOS!AP$5="Sí",(1/DATOS_[[% anualiz]:[% anualiz]]),1)*IF(DATOS!AP$4="Sí",1/DATOS_[[% normaliz]:[% normaliz]],1)*(DATOS_[Conc.Sal.12])))))))),
0)</f>
        <v>0</v>
      </c>
      <c r="V100" s="196">
        <f t="array" ref="V100">IFERROR(
(MEDIAN((IF(DATOS_[[Sexo]:[Sexo]]=$B100,IF(DATOS_[[AGRUP. CLAS. PROF.]:[AGRUP. CLAS. PROF.]]=$B99,IF(DATOS_[[Check Periodo Ref.]:[Check Periodo Ref.]]="Dentro",IF(DATOS_[[Check Equiparado]:[Check Equiparado]]="Sí",IF(DATOS!AQ$5="Sí",(1/DATOS_[[% anualiz]:[% anualiz]]),1)*IF(DATOS!AQ$4="Sí",1/DATOS_[[% normaliz]:[% normaliz]],1)*(DATOS_[Conc.Sal.13])))))))),
0)</f>
        <v>0</v>
      </c>
      <c r="W100" s="196">
        <f t="array" ref="W100">IFERROR(
(MEDIAN((IF(DATOS_[[Sexo]:[Sexo]]=$B100,IF(DATOS_[[AGRUP. CLAS. PROF.]:[AGRUP. CLAS. PROF.]]=$B99,IF(DATOS_[[Check Periodo Ref.]:[Check Periodo Ref.]]="Dentro",IF(DATOS_[[Check Equiparado]:[Check Equiparado]]="Sí",IF(DATOS!AR$5="Sí",(1/DATOS_[[% anualiz]:[% anualiz]]),1)*IF(DATOS!AR$4="Sí",1/DATOS_[[% normaliz]:[% normaliz]],1)*(DATOS_[Conc.Sal.14])))))))),
0)</f>
        <v>0</v>
      </c>
      <c r="X100" s="196">
        <f t="array" ref="X100">IFERROR(
(MEDIAN((IF(DATOS_[[Sexo]:[Sexo]]=$B100,IF(DATOS_[[AGRUP. CLAS. PROF.]:[AGRUP. CLAS. PROF.]]=$B99,IF(DATOS_[[Check Periodo Ref.]:[Check Periodo Ref.]]="Dentro",IF(DATOS_[[Check Equiparado]:[Check Equiparado]]="Sí",IF(DATOS!AS$5="Sí",(1/DATOS_[[% anualiz]:[% anualiz]]),1)*IF(DATOS!AS$4="Sí",1/DATOS_[[% normaliz]:[% normaliz]],1)*(DATOS_[Conc.Sal.15])))))))),
0)</f>
        <v>0</v>
      </c>
      <c r="Y100" s="196">
        <f t="array" ref="Y100">IFERROR(
(MEDIAN((IF(DATOS_[[Sexo]:[Sexo]]=$B100,IF(DATOS_[[AGRUP. CLAS. PROF.]:[AGRUP. CLAS. PROF.]]=$B99,IF(DATOS_[[Check Periodo Ref.]:[Check Periodo Ref.]]="Dentro",IF(DATOS_[[Check Equiparado]:[Check Equiparado]]="Sí",IF(DATOS!AT$5="Sí",(1/DATOS_[[% anualiz]:[% anualiz]]),1)*IF(DATOS!AT$4="Sí",1/DATOS_[[% normaliz]:[% normaliz]],1)*(DATOS_[Conc.Sal.16])))))))),
0)</f>
        <v>0</v>
      </c>
      <c r="Z100" s="196">
        <f t="array" ref="Z100">IFERROR(
(MEDIAN((IF(DATOS_[[Sexo]:[Sexo]]=$B100,IF(DATOS_[[AGRUP. CLAS. PROF.]:[AGRUP. CLAS. PROF.]]=$B99,IF(DATOS_[[Check Periodo Ref.]:[Check Periodo Ref.]]="Dentro",IF(DATOS_[[Check Equiparado]:[Check Equiparado]]="Sí",IF(DATOS!AU$5="Sí",(1/DATOS_[[% anualiz]:[% anualiz]]),1)*IF(DATOS!AU$4="Sí",1/DATOS_[[% normaliz]:[% normaliz]],1)*(DATOS_[Conc.Sal.17])))))))),
0)</f>
        <v>0</v>
      </c>
      <c r="AA100" s="196">
        <f t="array" ref="AA100">IFERROR(
(MEDIAN((IF(DATOS_[[Sexo]:[Sexo]]=$B100,IF(DATOS_[[AGRUP. CLAS. PROF.]:[AGRUP. CLAS. PROF.]]=$B99,IF(DATOS_[[Check Periodo Ref.]:[Check Periodo Ref.]]="Dentro",IF(DATOS_[[Check Equiparado]:[Check Equiparado]]="Sí",IF(DATOS!AV$5="Sí",(1/DATOS_[[% anualiz]:[% anualiz]]),1)*IF(DATOS!AV$4="Sí",1/DATOS_[[% normaliz]:[% normaliz]],1)*(DATOS_[Conc.Sal.18])))))))),
0)</f>
        <v>0</v>
      </c>
      <c r="AB100" s="196">
        <f t="array" ref="AB100">IFERROR(
(MEDIAN((IF(DATOS_[[Sexo]:[Sexo]]=$B100,IF(DATOS_[[AGRUP. CLAS. PROF.]:[AGRUP. CLAS. PROF.]]=$B99,IF(DATOS_[[Check Periodo Ref.]:[Check Periodo Ref.]]="Dentro",IF(DATOS_[[Check Equiparado]:[Check Equiparado]]="Sí",IF(DATOS!AW$5="Sí",(1/DATOS_[[% anualiz]:[% anualiz]]),1)*IF(DATOS!AW$4="Sí",1/DATOS_[[% normaliz]:[% normaliz]],1)*(DATOS_[Conc.Sal.19])))))))),
0)</f>
        <v>0</v>
      </c>
      <c r="AC100" s="196">
        <f t="array" ref="AC100">IFERROR(
(MEDIAN((IF(DATOS_[[Sexo]:[Sexo]]=$B100,IF(DATOS_[[AGRUP. CLAS. PROF.]:[AGRUP. CLAS. PROF.]]=$B99,IF(DATOS_[[Check Periodo Ref.]:[Check Periodo Ref.]]="Dentro",IF(DATOS_[[Check Equiparado]:[Check Equiparado]]="Sí",IF(DATOS!AX$5="Sí",(1/DATOS_[[% anualiz]:[% anualiz]]),1)*IF(DATOS!AX$4="Sí",1/DATOS_[[% normaliz]:[% normaliz]],1)*(DATOS_[Conc.Sal.20])))))))),
0)</f>
        <v>0</v>
      </c>
      <c r="AD100" s="196">
        <f t="array" ref="AD100">IFERROR(
(MEDIAN((IF(DATOS_[[Sexo]:[Sexo]]=$B100,IF(DATOS_[[AGRUP. CLAS. PROF.]:[AGRUP. CLAS. PROF.]]=$B99,IF(DATOS_[[Check Periodo Ref.]:[Check Periodo Ref.]]="Dentro",IF(DATOS_[[Check Equiparado]:[Check Equiparado]]="Sí",IF(DATOS!AY$5="Sí",(1/DATOS_[[% anualiz]:[% anualiz]]),1)*IF(DATOS!AY$4="Sí",1/DATOS_[[% normaliz]:[% normaliz]],1)*(DATOS_[Conc.Sal.21])))))))),
0)</f>
        <v>0</v>
      </c>
      <c r="AE100" s="196">
        <f t="array" ref="AE100">IFERROR(
(MEDIAN((IF(DATOS_[[Sexo]:[Sexo]]=$B100,IF(DATOS_[[AGRUP. CLAS. PROF.]:[AGRUP. CLAS. PROF.]]=$B99,IF(DATOS_[[Check Periodo Ref.]:[Check Periodo Ref.]]="Dentro",IF(DATOS_[[Check Equiparado]:[Check Equiparado]]="Sí",IF(DATOS!AZ$5="Sí",(1/DATOS_[[% anualiz]:[% anualiz]]),1)*IF(DATOS!AZ$4="Sí",1/DATOS_[[% normaliz]:[% normaliz]],1)*(DATOS_[Conc.Sal.22])))))))),
0)</f>
        <v>0</v>
      </c>
      <c r="AF100" s="196">
        <f t="array" ref="AF100">IFERROR(
(MEDIAN((IF(DATOS_[[Sexo]:[Sexo]]=$B100,IF(DATOS_[[AGRUP. CLAS. PROF.]:[AGRUP. CLAS. PROF.]]=$B99,IF(DATOS_[[Check Periodo Ref.]:[Check Periodo Ref.]]="Dentro",IF(DATOS_[[Check Equiparado]:[Check Equiparado]]="Sí",IF(DATOS!BA$5="Sí",(1/DATOS_[[% anualiz]:[% anualiz]]),1)*IF(DATOS!BA$4="Sí",1/DATOS_[[% normaliz]:[% normaliz]],1)*(DATOS_[Conc.Sal.23])))))))),
0)</f>
        <v>0</v>
      </c>
      <c r="AG100" s="196">
        <f t="array" ref="AG100">IFERROR(
(MEDIAN((IF(DATOS_[[Sexo]:[Sexo]]=$B100,IF(DATOS_[[AGRUP. CLAS. PROF.]:[AGRUP. CLAS. PROF.]]=$B99,IF(DATOS_[[Check Periodo Ref.]:[Check Periodo Ref.]]="Dentro",IF(DATOS_[[Check Equiparado]:[Check Equiparado]]="Sí",IF(DATOS!BB$5="Sí",(1/DATOS_[[% anualiz]:[% anualiz]]),1)*IF(DATOS!BB$4="Sí",1/DATOS_[[% normaliz]:[% normaliz]],1)*(DATOS_[Conc.Sal.24])))))))),
0)</f>
        <v>0</v>
      </c>
      <c r="AH100" s="196">
        <f t="array" ref="AH100">IFERROR(
(MEDIAN((IF(DATOS_[[Sexo]:[Sexo]]=$B100,IF(DATOS_[[AGRUP. CLAS. PROF.]:[AGRUP. CLAS. PROF.]]=$B99,IF(DATOS_[[Check Periodo Ref.]:[Check Periodo Ref.]]="Dentro",IF(DATOS_[[Check Equiparado]:[Check Equiparado]]="Sí",IF(DATOS!BC$5="Sí",(1/DATOS_[[% anualiz]:[% anualiz]]),1)*IF(DATOS!BC$4="Sí",1/DATOS_[[% normaliz]:[% normaliz]],1)*(DATOS_[Conc.Sal.25])))))))),
0)</f>
        <v>0</v>
      </c>
      <c r="AI100" s="196">
        <f t="array" ref="AI100">IFERROR(
(MEDIAN((IF(DATOS_[[Sexo]:[Sexo]]=$B100,IF(DATOS_[[AGRUP. CLAS. PROF.]:[AGRUP. CLAS. PROF.]]=$B99,IF(DATOS_[[Check Periodo Ref.]:[Check Periodo Ref.]]="Dentro",IF(DATOS_[[Check Equiparado]:[Check Equiparado]]="Sí",IF(DATOS!BD$5="Sí",(1/DATOS_[[% anualiz]:[% anualiz]]),1)*IF(DATOS!BD$4="Sí",1/DATOS_[[% normaliz]:[% normaliz]],1)*(DATOS_[Conc.Sal.26])))))))),
0)</f>
        <v>0</v>
      </c>
      <c r="AJ100" s="196">
        <f t="array" ref="AJ100">IFERROR(
(MEDIAN((IF(DATOS_[[Sexo]:[Sexo]]=$B100,IF(DATOS_[[AGRUP. CLAS. PROF.]:[AGRUP. CLAS. PROF.]]=$B99,IF(DATOS_[[Check Periodo Ref.]:[Check Periodo Ref.]]="Dentro",IF(DATOS_[[Check Equiparado]:[Check Equiparado]]="Sí",IF(DATOS!BE$5="Sí",(1/DATOS_[[% anualiz]:[% anualiz]]),1)*IF(DATOS!BE$4="Sí",1/DATOS_[[% normaliz]:[% normaliz]],1)*(DATOS_[Conc.Sal.27])))))))),
0)</f>
        <v>0</v>
      </c>
      <c r="AK100" s="196">
        <f t="array" ref="AK100">IFERROR(
(MEDIAN((IF(DATOS_[[Sexo]:[Sexo]]=$B100,IF(DATOS_[[AGRUP. CLAS. PROF.]:[AGRUP. CLAS. PROF.]]=$B99,IF(DATOS_[[Check Periodo Ref.]:[Check Periodo Ref.]]="Dentro",IF(DATOS_[[Check Equiparado]:[Check Equiparado]]="Sí",IF(DATOS!BF$5="Sí",(1/DATOS_[[% anualiz]:[% anualiz]]),1)*IF(DATOS!BF$4="Sí",1/DATOS_[[% normaliz]:[% normaliz]],1)*(DATOS_[Conc.Sal.28])))))))),
0)</f>
        <v>0</v>
      </c>
      <c r="AL100" s="196">
        <f t="array" ref="AL100">IFERROR(
(MEDIAN((IF(DATOS_[[Sexo]:[Sexo]]=$B100,IF(DATOS_[[AGRUP. CLAS. PROF.]:[AGRUP. CLAS. PROF.]]=$B99,IF(DATOS_[[Check Periodo Ref.]:[Check Periodo Ref.]]="Dentro",IF(DATOS_[[Check Equiparado]:[Check Equiparado]]="Sí",IF(DATOS!BG$5="Sí",(1/DATOS_[[% anualiz]:[% anualiz]]),1)*IF(DATOS!BG$4="Sí",1/DATOS_[[% normaliz]:[% normaliz]],1)*(DATOS_[Conc.Sal.29])))))))),
0)</f>
        <v>0</v>
      </c>
      <c r="AM100" s="196">
        <f t="array" ref="AM100">IFERROR(
(MEDIAN((IF(DATOS_[[Sexo]:[Sexo]]=$B100,IF(DATOS_[[AGRUP. CLAS. PROF.]:[AGRUP. CLAS. PROF.]]=$B99,IF(DATOS_[[Check Periodo Ref.]:[Check Periodo Ref.]]="Dentro",IF(DATOS_[[Check Equiparado]:[Check Equiparado]]="Sí",IF(DATOS!BH$5="Sí",(1/DATOS_[[% anualiz]:[% anualiz]]),1)*IF(DATOS!BH$4="Sí",1/DATOS_[[% normaliz]:[% normaliz]],1)*(DATOS_[Conc.Sal.30])))))))),
0)</f>
        <v>0</v>
      </c>
      <c r="AN100" s="195">
        <f t="array" ref="AN100">IFERROR(
MEDIAN(IF(DATOS_[Sexo]=$B100,IF(DATOS_[[AGRUP. CLAS. PROF.]:[AGRUP. CLAS. PROF.]]=$B99,IF(DATOS_[Check Equiparado]="Sí",IF(DATOS_[Check Periodo Ref.]="Dentro",DATOS_[Tot COMPL.SAL Eq],FALSE))))),
0)</f>
        <v>0</v>
      </c>
      <c r="AO100" s="172">
        <f t="array" ref="AO100">IFERROR(
MEDIAN(IF(DATOS_[Sexo]=$B100,IF(DATOS_[[AGRUP. CLAS. PROF.]:[AGRUP. CLAS. PROF.]]=$B99,IF(DATOS_[Check Equiparado]="Sí",IF(DATOS_[Check Periodo Ref.]="Dentro",DATOS_[TOTAL SALARIO Eq],FALSE))))),
0)</f>
        <v>0</v>
      </c>
      <c r="AP100" s="173">
        <f t="array" ref="AP100">IFERROR(
(MEDIAN((IF(DATOS_[[Sexo]:[Sexo]]=$B100,IF(DATOS_[[AGRUP. CLAS. PROF.]:[AGRUP. CLAS. PROF.]]=$B99,IF(DATOS_[[Check Periodo Ref.]:[Check Periodo Ref.]]="Dentro",IF(DATOS_[[Check Equiparado]:[Check Equiparado]]="Sí",IF(DATOS!BW$5="Sí",(1/DATOS_[[% anualiz]:[% anualiz]]),1)*IF(DATOS!BW$4="Sí",1/DATOS_[[% normaliz]:[% normaliz]],1)*(DATOS_[C.Extra.01])))))))),
0)</f>
        <v>0</v>
      </c>
      <c r="AQ100" s="173">
        <f t="array" ref="AQ100">IFERROR(
(MEDIAN((IF(DATOS_[[Sexo]:[Sexo]]=$B100,IF(DATOS_[[AGRUP. CLAS. PROF.]:[AGRUP. CLAS. PROF.]]=$B99,IF(DATOS_[[Check Periodo Ref.]:[Check Periodo Ref.]]="Dentro",IF(DATOS_[[Check Equiparado]:[Check Equiparado]]="Sí",IF(DATOS!CB$5="Sí",(1/DATOS_[[% anualiz]:[% anualiz]]),1)*IF(DATOS!CB$4="Sí",1/DATOS_[[% normaliz]:[% normaliz]],1)*(DATOS_[C.Extra.06])))))))),
0)</f>
        <v>0</v>
      </c>
      <c r="AR100" s="173">
        <f t="array" ref="AR100">IFERROR(
(MEDIAN((IF(DATOS_[[Sexo]:[Sexo]]=$B100,IF(DATOS_[[AGRUP. CLAS. PROF.]:[AGRUP. CLAS. PROF.]]=$B99,IF(DATOS_[[Check Periodo Ref.]:[Check Periodo Ref.]]="Dentro",IF(DATOS_[[Check Equiparado]:[Check Equiparado]]="Sí",IF(DATOS!CC$5="Sí",(1/DATOS_[[% anualiz]:[% anualiz]]),1)*IF(DATOS!CC$4="Sí",1/DATOS_[[% normaliz]:[% normaliz]],1)*(DATOS_[C.Extra.07])))))))),
0)</f>
        <v>0</v>
      </c>
      <c r="AS100" s="173">
        <f t="array" ref="AS100">IFERROR(
(MEDIAN((IF(DATOS_[[Sexo]:[Sexo]]=$B100,IF(DATOS_[[AGRUP. CLAS. PROF.]:[AGRUP. CLAS. PROF.]]=$B99,IF(DATOS_[[Check Periodo Ref.]:[Check Periodo Ref.]]="Dentro",IF(DATOS_[[Check Equiparado]:[Check Equiparado]]="Sí",IF(DATOS!CD$5="Sí",(1/DATOS_[[% anualiz]:[% anualiz]]),1)*IF(DATOS!CD$4="Sí",1/DATOS_[[% normaliz]:[% normaliz]],1)*(DATOS_[C.Extra.08])))))))),
0)</f>
        <v>0</v>
      </c>
      <c r="AT100" s="173">
        <f t="array" ref="AT100">IFERROR(
(MEDIAN((IF(DATOS_[[Sexo]:[Sexo]]=$B100,IF(DATOS_[[AGRUP. CLAS. PROF.]:[AGRUP. CLAS. PROF.]]=$B99,IF(DATOS_[[Check Periodo Ref.]:[Check Periodo Ref.]]="Dentro",IF(DATOS_[[Check Equiparado]:[Check Equiparado]]="Sí",IF(DATOS!CG$5="Sí",(1/DATOS_[[% anualiz]:[% anualiz]]),1)*IF(DATOS!CG$4="Sí",1/DATOS_[[% normaliz]:[% normaliz]],1)*(DATOS_[C.Extra.11])))))))),
0)</f>
        <v>0</v>
      </c>
      <c r="AU100" s="197">
        <f t="array" ref="AU100">IFERROR(
MEDIAN(IF(DATOS_[Sexo]=$B100,IF(DATOS_[[AGRUP. CLAS. PROF.]:[AGRUP. CLAS. PROF.]]=$B99,IF(DATOS_[Check Equiparado]="Sí",IF(DATOS_[Check Periodo Ref.]="Dentro",DATOS_[Tot Extrasalarial Eq],FALSE))))),
0)</f>
        <v>0</v>
      </c>
      <c r="AV100" s="175">
        <f t="array" ref="AV100">IFERROR(
MEDIAN(IF(DATOS_[Sexo]=$B100,IF(DATOS_[[AGRUP. CLAS. PROF.]:[AGRUP. CLAS. PROF.]]=$B99,IF(DATOS_[Check Equiparado]="Sí",IF(DATOS_[Check Periodo Ref.]="Dentro",DATOS_[TOTAL Retrib Eq],FALSE))))),
0)</f>
        <v>0</v>
      </c>
    </row>
    <row r="101" spans="1:48" hidden="1" x14ac:dyDescent="0.25">
      <c r="A101" s="133" t="str">
        <f t="shared" ref="A101" si="118">+A100</f>
        <v>[ocultar]</v>
      </c>
      <c r="B101" s="202" t="s">
        <v>521</v>
      </c>
      <c r="C101" s="203">
        <f t="array" ref="C101">SUM(IF($B101=DATOS_[Sexo],
IF($B99=DATOS_[AGRUP. CLAS. PROF.],
IF("Dentro"=DATOS_[Check Periodo Ref.],
1/(COUNTIFS(DATOS_[Sexo],$B101,DATOS_[AGRUP. CLAS. PROF.],$B99,DATOS_[Check Periodo Ref.],"Dentro",DATOS_[id/cod],DATOS_[id/cod]))))))</f>
        <v>0</v>
      </c>
      <c r="D101" s="204">
        <f>COUNTIFS(DATOS_[AGRUP. CLAS. PROF.],$B99,DATOS_[Sexo],$B101,DATOS_[Check Periodo Ref.],"Dentro")</f>
        <v>0</v>
      </c>
      <c r="E101" s="204">
        <f>COUNTIFS(DATOS_[AGRUP. CLAS. PROF.],$B99,DATOS_[Sexo],$B101,DATOS_[Check Periodo Ref.],"Dentro",DATOS_[Check Nº SC Norm],"Sí")</f>
        <v>0</v>
      </c>
      <c r="F101" s="204">
        <f>COUNTIFS(DATOS_[AGRUP. CLAS. PROF.],$B99,DATOS_[Sexo],$B101,DATOS_[Check Periodo Ref.],"Dentro",DATOS_[Check Nº SC Anualiz],"Sí")</f>
        <v>0</v>
      </c>
      <c r="G101" s="204">
        <f>COUNTIFS(DATOS_[AGRUP. CLAS. PROF.],$B99,DATOS_[Sexo],$B101,DATOS_[Check Periodo Ref.],"Dentro",DATOS_[Check Nº SC Norm y Anualiz],"Sí")</f>
        <v>0</v>
      </c>
      <c r="H101" s="204">
        <f>COUNTIFS(DATOS_[AGRUP. CLAS. PROF.],$B99,DATOS_[Sexo],$B101,DATOS_[Check Periodo Ref.],"Dentro",DATOS_[Check Equiparación],"Sí")</f>
        <v>0</v>
      </c>
      <c r="I101" s="195" cm="1">
        <f t="array" ref="I101">IFERROR(
MEDIAN(IF(DATOS_[Sexo]=$B101,IF(DATOS_[[AGRUP. CLAS. PROF.]:[AGRUP. CLAS. PROF.]]=$B99,IF(DATOS_[Check Equiparado]="Sí",IF(DATOS_[Check Periodo Ref.]="Dentro",DATOS_[SALARIO BASE Eq],FALSE))))),
0)</f>
        <v>0</v>
      </c>
      <c r="J101" s="196">
        <f t="array" ref="J101">IFERROR(
(MEDIAN((IF(DATOS_[[Sexo]:[Sexo]]=$B101,IF(DATOS_[[AGRUP. CLAS. PROF.]:[AGRUP. CLAS. PROF.]]=$B99,IF(DATOS_[[Check Periodo Ref.]:[Check Periodo Ref.]]="Dentro",IF(DATOS_[[Check Equiparado]:[Check Equiparado]]="Sí",IF(DATOS!AE$5="Sí",(1/DATOS_[[% anualiz]:[% anualiz]]),1)*IF(DATOS!AE$4="Sí",1/DATOS_[[% normaliz]:[% normaliz]],1)*(DATOS_[Conc.Sal.01])))))))),
0)</f>
        <v>0</v>
      </c>
      <c r="K101" s="196">
        <f t="array" ref="K101">IFERROR(
(MEDIAN((IF(DATOS_[[Sexo]:[Sexo]]=$B101,IF(DATOS_[[AGRUP. CLAS. PROF.]:[AGRUP. CLAS. PROF.]]=$B99,IF(DATOS_[[Check Periodo Ref.]:[Check Periodo Ref.]]="Dentro",IF(DATOS_[[Check Equiparado]:[Check Equiparado]]="Sí",IF(DATOS!AF$5="Sí",(1/DATOS_[[% anualiz]:[% anualiz]]),1)*IF(DATOS!AF$4="Sí",1/DATOS_[[% normaliz]:[% normaliz]],1)*(DATOS_[Conc.Sal.02])))))))),
0)</f>
        <v>0</v>
      </c>
      <c r="L101" s="196">
        <f t="array" ref="L101">IFERROR(
(MEDIAN((IF(DATOS_[[Sexo]:[Sexo]]=$B101,IF(DATOS_[[AGRUP. CLAS. PROF.]:[AGRUP. CLAS. PROF.]]=$B99,IF(DATOS_[[Check Periodo Ref.]:[Check Periodo Ref.]]="Dentro",IF(DATOS_[[Check Equiparado]:[Check Equiparado]]="Sí",IF(DATOS!AG$5="Sí",(1/DATOS_[[% anualiz]:[% anualiz]]),1)*IF(DATOS!AG$4="Sí",1/DATOS_[[% normaliz]:[% normaliz]],1)*(DATOS_[Conc.Sal.03])))))))),
0)</f>
        <v>0</v>
      </c>
      <c r="M101" s="196">
        <f t="array" ref="M101">IFERROR(
(MEDIAN((IF(DATOS_[[Sexo]:[Sexo]]=$B101,IF(DATOS_[[AGRUP. CLAS. PROF.]:[AGRUP. CLAS. PROF.]]=$B99,IF(DATOS_[[Check Periodo Ref.]:[Check Periodo Ref.]]="Dentro",IF(DATOS_[[Check Equiparado]:[Check Equiparado]]="Sí",IF(DATOS!AH$5="Sí",(1/DATOS_[[% anualiz]:[% anualiz]]),1)*IF(DATOS!AH$4="Sí",1/DATOS_[[% normaliz]:[% normaliz]],1)*(DATOS_[Conc.Sal.04])))))))),
0)</f>
        <v>0</v>
      </c>
      <c r="N101" s="196">
        <f t="array" ref="N101">IFERROR(
(MEDIAN((IF(DATOS_[[Sexo]:[Sexo]]=$B101,IF(DATOS_[[AGRUP. CLAS. PROF.]:[AGRUP. CLAS. PROF.]]=$B99,IF(DATOS_[[Check Periodo Ref.]:[Check Periodo Ref.]]="Dentro",IF(DATOS_[[Check Equiparado]:[Check Equiparado]]="Sí",IF(DATOS!AI$5="Sí",(1/DATOS_[[% anualiz]:[% anualiz]]),1)*IF(DATOS!AI$4="Sí",1/DATOS_[[% normaliz]:[% normaliz]],1)*(DATOS_[Conc.Sal.05])))))))),
0)</f>
        <v>0</v>
      </c>
      <c r="O101" s="196">
        <f t="array" ref="O101">IFERROR(
(MEDIAN((IF(DATOS_[[Sexo]:[Sexo]]=$B101,IF(DATOS_[[AGRUP. CLAS. PROF.]:[AGRUP. CLAS. PROF.]]=$B99,IF(DATOS_[[Check Periodo Ref.]:[Check Periodo Ref.]]="Dentro",IF(DATOS_[[Check Equiparado]:[Check Equiparado]]="Sí",IF(DATOS!AJ$5="Sí",(1/DATOS_[[% anualiz]:[% anualiz]]),1)*IF(DATOS!AJ$4="Sí",1/DATOS_[[% normaliz]:[% normaliz]],1)*(DATOS_[Conc.Sal.06])))))))),
0)</f>
        <v>0</v>
      </c>
      <c r="P101" s="196">
        <f t="array" ref="P101">IFERROR(
(MEDIAN((IF(DATOS_[[Sexo]:[Sexo]]=$B101,IF(DATOS_[[AGRUP. CLAS. PROF.]:[AGRUP. CLAS. PROF.]]=$B99,IF(DATOS_[[Check Periodo Ref.]:[Check Periodo Ref.]]="Dentro",IF(DATOS_[[Check Equiparado]:[Check Equiparado]]="Sí",IF(DATOS!AK$5="Sí",(1/DATOS_[[% anualiz]:[% anualiz]]),1)*IF(DATOS!AK$4="Sí",1/DATOS_[[% normaliz]:[% normaliz]],1)*(DATOS_[Conc.Sal.07])))))))),
0)</f>
        <v>0</v>
      </c>
      <c r="Q101" s="196">
        <f t="array" ref="Q101">IFERROR(
(MEDIAN((IF(DATOS_[[Sexo]:[Sexo]]=$B101,IF(DATOS_[[AGRUP. CLAS. PROF.]:[AGRUP. CLAS. PROF.]]=$B99,IF(DATOS_[[Check Periodo Ref.]:[Check Periodo Ref.]]="Dentro",IF(DATOS_[[Check Equiparado]:[Check Equiparado]]="Sí",IF(DATOS!AL$5="Sí",(1/DATOS_[[% anualiz]:[% anualiz]]),1)*IF(DATOS!AL$4="Sí",1/DATOS_[[% normaliz]:[% normaliz]],1)*(DATOS_[Conc.Sal.08])))))))),
0)</f>
        <v>0</v>
      </c>
      <c r="R101" s="196">
        <f t="array" ref="R101">IFERROR(
(MEDIAN((IF(DATOS_[[Sexo]:[Sexo]]=$B101,IF(DATOS_[[AGRUP. CLAS. PROF.]:[AGRUP. CLAS. PROF.]]=$B99,IF(DATOS_[[Check Periodo Ref.]:[Check Periodo Ref.]]="Dentro",IF(DATOS_[[Check Equiparado]:[Check Equiparado]]="Sí",IF(DATOS!AM$5="Sí",(1/DATOS_[[% anualiz]:[% anualiz]]),1)*IF(DATOS!AM$4="Sí",1/DATOS_[[% normaliz]:[% normaliz]],1)*(DATOS_[Conc.Sal.09])))))))),
0)</f>
        <v>0</v>
      </c>
      <c r="S101" s="196">
        <f t="array" ref="S101">IFERROR(
(MEDIAN((IF(DATOS_[[Sexo]:[Sexo]]=$B101,IF(DATOS_[[AGRUP. CLAS. PROF.]:[AGRUP. CLAS. PROF.]]=$B99,IF(DATOS_[[Check Periodo Ref.]:[Check Periodo Ref.]]="Dentro",IF(DATOS_[[Check Equiparado]:[Check Equiparado]]="Sí",IF(DATOS!AN$5="Sí",(1/DATOS_[[% anualiz]:[% anualiz]]),1)*IF(DATOS!AN$4="Sí",1/DATOS_[[% normaliz]:[% normaliz]],1)*(DATOS_[Conc.Sal.10])))))))),
0)</f>
        <v>0</v>
      </c>
      <c r="T101" s="196">
        <f t="array" ref="T101">IFERROR(
(MEDIAN((IF(DATOS_[[Sexo]:[Sexo]]=$B101,IF(DATOS_[[AGRUP. CLAS. PROF.]:[AGRUP. CLAS. PROF.]]=$B99,IF(DATOS_[[Check Periodo Ref.]:[Check Periodo Ref.]]="Dentro",IF(DATOS_[[Check Equiparado]:[Check Equiparado]]="Sí",IF(DATOS!AO$5="Sí",(1/DATOS_[[% anualiz]:[% anualiz]]),1)*IF(DATOS!AO$4="Sí",1/DATOS_[[% normaliz]:[% normaliz]],1)*(DATOS_[Conc.Sal.11])))))))),
0)</f>
        <v>0</v>
      </c>
      <c r="U101" s="196">
        <f t="array" ref="U101">IFERROR(
(MEDIAN((IF(DATOS_[[Sexo]:[Sexo]]=$B101,IF(DATOS_[[AGRUP. CLAS. PROF.]:[AGRUP. CLAS. PROF.]]=$B99,IF(DATOS_[[Check Periodo Ref.]:[Check Periodo Ref.]]="Dentro",IF(DATOS_[[Check Equiparado]:[Check Equiparado]]="Sí",IF(DATOS!AP$5="Sí",(1/DATOS_[[% anualiz]:[% anualiz]]),1)*IF(DATOS!AP$4="Sí",1/DATOS_[[% normaliz]:[% normaliz]],1)*(DATOS_[Conc.Sal.12])))))))),
0)</f>
        <v>0</v>
      </c>
      <c r="V101" s="196">
        <f t="array" ref="V101">IFERROR(
(MEDIAN((IF(DATOS_[[Sexo]:[Sexo]]=$B101,IF(DATOS_[[AGRUP. CLAS. PROF.]:[AGRUP. CLAS. PROF.]]=$B99,IF(DATOS_[[Check Periodo Ref.]:[Check Periodo Ref.]]="Dentro",IF(DATOS_[[Check Equiparado]:[Check Equiparado]]="Sí",IF(DATOS!AQ$5="Sí",(1/DATOS_[[% anualiz]:[% anualiz]]),1)*IF(DATOS!AQ$4="Sí",1/DATOS_[[% normaliz]:[% normaliz]],1)*(DATOS_[Conc.Sal.13])))))))),
0)</f>
        <v>0</v>
      </c>
      <c r="W101" s="196">
        <f t="array" ref="W101">IFERROR(
(MEDIAN((IF(DATOS_[[Sexo]:[Sexo]]=$B101,IF(DATOS_[[AGRUP. CLAS. PROF.]:[AGRUP. CLAS. PROF.]]=$B99,IF(DATOS_[[Check Periodo Ref.]:[Check Periodo Ref.]]="Dentro",IF(DATOS_[[Check Equiparado]:[Check Equiparado]]="Sí",IF(DATOS!AR$5="Sí",(1/DATOS_[[% anualiz]:[% anualiz]]),1)*IF(DATOS!AR$4="Sí",1/DATOS_[[% normaliz]:[% normaliz]],1)*(DATOS_[Conc.Sal.14])))))))),
0)</f>
        <v>0</v>
      </c>
      <c r="X101" s="196">
        <f t="array" ref="X101">IFERROR(
(MEDIAN((IF(DATOS_[[Sexo]:[Sexo]]=$B101,IF(DATOS_[[AGRUP. CLAS. PROF.]:[AGRUP. CLAS. PROF.]]=$B99,IF(DATOS_[[Check Periodo Ref.]:[Check Periodo Ref.]]="Dentro",IF(DATOS_[[Check Equiparado]:[Check Equiparado]]="Sí",IF(DATOS!AS$5="Sí",(1/DATOS_[[% anualiz]:[% anualiz]]),1)*IF(DATOS!AS$4="Sí",1/DATOS_[[% normaliz]:[% normaliz]],1)*(DATOS_[Conc.Sal.15])))))))),
0)</f>
        <v>0</v>
      </c>
      <c r="Y101" s="196">
        <f t="array" ref="Y101">IFERROR(
(MEDIAN((IF(DATOS_[[Sexo]:[Sexo]]=$B101,IF(DATOS_[[AGRUP. CLAS. PROF.]:[AGRUP. CLAS. PROF.]]=$B99,IF(DATOS_[[Check Periodo Ref.]:[Check Periodo Ref.]]="Dentro",IF(DATOS_[[Check Equiparado]:[Check Equiparado]]="Sí",IF(DATOS!AT$5="Sí",(1/DATOS_[[% anualiz]:[% anualiz]]),1)*IF(DATOS!AT$4="Sí",1/DATOS_[[% normaliz]:[% normaliz]],1)*(DATOS_[Conc.Sal.16])))))))),
0)</f>
        <v>0</v>
      </c>
      <c r="Z101" s="196">
        <f t="array" ref="Z101">IFERROR(
(MEDIAN((IF(DATOS_[[Sexo]:[Sexo]]=$B101,IF(DATOS_[[AGRUP. CLAS. PROF.]:[AGRUP. CLAS. PROF.]]=$B99,IF(DATOS_[[Check Periodo Ref.]:[Check Periodo Ref.]]="Dentro",IF(DATOS_[[Check Equiparado]:[Check Equiparado]]="Sí",IF(DATOS!AU$5="Sí",(1/DATOS_[[% anualiz]:[% anualiz]]),1)*IF(DATOS!AU$4="Sí",1/DATOS_[[% normaliz]:[% normaliz]],1)*(DATOS_[Conc.Sal.17])))))))),
0)</f>
        <v>0</v>
      </c>
      <c r="AA101" s="196">
        <f t="array" ref="AA101">IFERROR(
(MEDIAN((IF(DATOS_[[Sexo]:[Sexo]]=$B101,IF(DATOS_[[AGRUP. CLAS. PROF.]:[AGRUP. CLAS. PROF.]]=$B99,IF(DATOS_[[Check Periodo Ref.]:[Check Periodo Ref.]]="Dentro",IF(DATOS_[[Check Equiparado]:[Check Equiparado]]="Sí",IF(DATOS!AV$5="Sí",(1/DATOS_[[% anualiz]:[% anualiz]]),1)*IF(DATOS!AV$4="Sí",1/DATOS_[[% normaliz]:[% normaliz]],1)*(DATOS_[Conc.Sal.18])))))))),
0)</f>
        <v>0</v>
      </c>
      <c r="AB101" s="196">
        <f t="array" ref="AB101">IFERROR(
(MEDIAN((IF(DATOS_[[Sexo]:[Sexo]]=$B101,IF(DATOS_[[AGRUP. CLAS. PROF.]:[AGRUP. CLAS. PROF.]]=$B99,IF(DATOS_[[Check Periodo Ref.]:[Check Periodo Ref.]]="Dentro",IF(DATOS_[[Check Equiparado]:[Check Equiparado]]="Sí",IF(DATOS!AW$5="Sí",(1/DATOS_[[% anualiz]:[% anualiz]]),1)*IF(DATOS!AW$4="Sí",1/DATOS_[[% normaliz]:[% normaliz]],1)*(DATOS_[Conc.Sal.19])))))))),
0)</f>
        <v>0</v>
      </c>
      <c r="AC101" s="196">
        <f t="array" ref="AC101">IFERROR(
(MEDIAN((IF(DATOS_[[Sexo]:[Sexo]]=$B101,IF(DATOS_[[AGRUP. CLAS. PROF.]:[AGRUP. CLAS. PROF.]]=$B99,IF(DATOS_[[Check Periodo Ref.]:[Check Periodo Ref.]]="Dentro",IF(DATOS_[[Check Equiparado]:[Check Equiparado]]="Sí",IF(DATOS!AX$5="Sí",(1/DATOS_[[% anualiz]:[% anualiz]]),1)*IF(DATOS!AX$4="Sí",1/DATOS_[[% normaliz]:[% normaliz]],1)*(DATOS_[Conc.Sal.20])))))))),
0)</f>
        <v>0</v>
      </c>
      <c r="AD101" s="196">
        <f t="array" ref="AD101">IFERROR(
(MEDIAN((IF(DATOS_[[Sexo]:[Sexo]]=$B101,IF(DATOS_[[AGRUP. CLAS. PROF.]:[AGRUP. CLAS. PROF.]]=$B99,IF(DATOS_[[Check Periodo Ref.]:[Check Periodo Ref.]]="Dentro",IF(DATOS_[[Check Equiparado]:[Check Equiparado]]="Sí",IF(DATOS!AY$5="Sí",(1/DATOS_[[% anualiz]:[% anualiz]]),1)*IF(DATOS!AY$4="Sí",1/DATOS_[[% normaliz]:[% normaliz]],1)*(DATOS_[Conc.Sal.21])))))))),
0)</f>
        <v>0</v>
      </c>
      <c r="AE101" s="196">
        <f t="array" ref="AE101">IFERROR(
(MEDIAN((IF(DATOS_[[Sexo]:[Sexo]]=$B101,IF(DATOS_[[AGRUP. CLAS. PROF.]:[AGRUP. CLAS. PROF.]]=$B99,IF(DATOS_[[Check Periodo Ref.]:[Check Periodo Ref.]]="Dentro",IF(DATOS_[[Check Equiparado]:[Check Equiparado]]="Sí",IF(DATOS!AZ$5="Sí",(1/DATOS_[[% anualiz]:[% anualiz]]),1)*IF(DATOS!AZ$4="Sí",1/DATOS_[[% normaliz]:[% normaliz]],1)*(DATOS_[Conc.Sal.22])))))))),
0)</f>
        <v>0</v>
      </c>
      <c r="AF101" s="196">
        <f t="array" ref="AF101">IFERROR(
(MEDIAN((IF(DATOS_[[Sexo]:[Sexo]]=$B101,IF(DATOS_[[AGRUP. CLAS. PROF.]:[AGRUP. CLAS. PROF.]]=$B99,IF(DATOS_[[Check Periodo Ref.]:[Check Periodo Ref.]]="Dentro",IF(DATOS_[[Check Equiparado]:[Check Equiparado]]="Sí",IF(DATOS!BA$5="Sí",(1/DATOS_[[% anualiz]:[% anualiz]]),1)*IF(DATOS!BA$4="Sí",1/DATOS_[[% normaliz]:[% normaliz]],1)*(DATOS_[Conc.Sal.23])))))))),
0)</f>
        <v>0</v>
      </c>
      <c r="AG101" s="196">
        <f t="array" ref="AG101">IFERROR(
(MEDIAN((IF(DATOS_[[Sexo]:[Sexo]]=$B101,IF(DATOS_[[AGRUP. CLAS. PROF.]:[AGRUP. CLAS. PROF.]]=$B99,IF(DATOS_[[Check Periodo Ref.]:[Check Periodo Ref.]]="Dentro",IF(DATOS_[[Check Equiparado]:[Check Equiparado]]="Sí",IF(DATOS!BB$5="Sí",(1/DATOS_[[% anualiz]:[% anualiz]]),1)*IF(DATOS!BB$4="Sí",1/DATOS_[[% normaliz]:[% normaliz]],1)*(DATOS_[Conc.Sal.24])))))))),
0)</f>
        <v>0</v>
      </c>
      <c r="AH101" s="196">
        <f t="array" ref="AH101">IFERROR(
(MEDIAN((IF(DATOS_[[Sexo]:[Sexo]]=$B101,IF(DATOS_[[AGRUP. CLAS. PROF.]:[AGRUP. CLAS. PROF.]]=$B99,IF(DATOS_[[Check Periodo Ref.]:[Check Periodo Ref.]]="Dentro",IF(DATOS_[[Check Equiparado]:[Check Equiparado]]="Sí",IF(DATOS!BC$5="Sí",(1/DATOS_[[% anualiz]:[% anualiz]]),1)*IF(DATOS!BC$4="Sí",1/DATOS_[[% normaliz]:[% normaliz]],1)*(DATOS_[Conc.Sal.25])))))))),
0)</f>
        <v>0</v>
      </c>
      <c r="AI101" s="196">
        <f t="array" ref="AI101">IFERROR(
(MEDIAN((IF(DATOS_[[Sexo]:[Sexo]]=$B101,IF(DATOS_[[AGRUP. CLAS. PROF.]:[AGRUP. CLAS. PROF.]]=$B99,IF(DATOS_[[Check Periodo Ref.]:[Check Periodo Ref.]]="Dentro",IF(DATOS_[[Check Equiparado]:[Check Equiparado]]="Sí",IF(DATOS!BD$5="Sí",(1/DATOS_[[% anualiz]:[% anualiz]]),1)*IF(DATOS!BD$4="Sí",1/DATOS_[[% normaliz]:[% normaliz]],1)*(DATOS_[Conc.Sal.26])))))))),
0)</f>
        <v>0</v>
      </c>
      <c r="AJ101" s="196">
        <f t="array" ref="AJ101">IFERROR(
(MEDIAN((IF(DATOS_[[Sexo]:[Sexo]]=$B101,IF(DATOS_[[AGRUP. CLAS. PROF.]:[AGRUP. CLAS. PROF.]]=$B99,IF(DATOS_[[Check Periodo Ref.]:[Check Periodo Ref.]]="Dentro",IF(DATOS_[[Check Equiparado]:[Check Equiparado]]="Sí",IF(DATOS!BE$5="Sí",(1/DATOS_[[% anualiz]:[% anualiz]]),1)*IF(DATOS!BE$4="Sí",1/DATOS_[[% normaliz]:[% normaliz]],1)*(DATOS_[Conc.Sal.27])))))))),
0)</f>
        <v>0</v>
      </c>
      <c r="AK101" s="196">
        <f t="array" ref="AK101">IFERROR(
(MEDIAN((IF(DATOS_[[Sexo]:[Sexo]]=$B101,IF(DATOS_[[AGRUP. CLAS. PROF.]:[AGRUP. CLAS. PROF.]]=$B99,IF(DATOS_[[Check Periodo Ref.]:[Check Periodo Ref.]]="Dentro",IF(DATOS_[[Check Equiparado]:[Check Equiparado]]="Sí",IF(DATOS!BF$5="Sí",(1/DATOS_[[% anualiz]:[% anualiz]]),1)*IF(DATOS!BF$4="Sí",1/DATOS_[[% normaliz]:[% normaliz]],1)*(DATOS_[Conc.Sal.28])))))))),
0)</f>
        <v>0</v>
      </c>
      <c r="AL101" s="196">
        <f t="array" ref="AL101">IFERROR(
(MEDIAN((IF(DATOS_[[Sexo]:[Sexo]]=$B101,IF(DATOS_[[AGRUP. CLAS. PROF.]:[AGRUP. CLAS. PROF.]]=$B99,IF(DATOS_[[Check Periodo Ref.]:[Check Periodo Ref.]]="Dentro",IF(DATOS_[[Check Equiparado]:[Check Equiparado]]="Sí",IF(DATOS!BG$5="Sí",(1/DATOS_[[% anualiz]:[% anualiz]]),1)*IF(DATOS!BG$4="Sí",1/DATOS_[[% normaliz]:[% normaliz]],1)*(DATOS_[Conc.Sal.29])))))))),
0)</f>
        <v>0</v>
      </c>
      <c r="AM101" s="196">
        <f t="array" ref="AM101">IFERROR(
(MEDIAN((IF(DATOS_[[Sexo]:[Sexo]]=$B101,IF(DATOS_[[AGRUP. CLAS. PROF.]:[AGRUP. CLAS. PROF.]]=$B99,IF(DATOS_[[Check Periodo Ref.]:[Check Periodo Ref.]]="Dentro",IF(DATOS_[[Check Equiparado]:[Check Equiparado]]="Sí",IF(DATOS!BH$5="Sí",(1/DATOS_[[% anualiz]:[% anualiz]]),1)*IF(DATOS!BH$4="Sí",1/DATOS_[[% normaliz]:[% normaliz]],1)*(DATOS_[Conc.Sal.30])))))))),
0)</f>
        <v>0</v>
      </c>
      <c r="AN101" s="195">
        <f t="array" ref="AN101">IFERROR(
MEDIAN(IF(DATOS_[Sexo]=$B101,IF(DATOS_[[AGRUP. CLAS. PROF.]:[AGRUP. CLAS. PROF.]]=$B99,IF(DATOS_[Check Equiparado]="Sí",IF(DATOS_[Check Periodo Ref.]="Dentro",DATOS_[Tot COMPL.SAL Eq],FALSE))))),
0)</f>
        <v>0</v>
      </c>
      <c r="AO101" s="172">
        <f t="array" ref="AO101">IFERROR(
MEDIAN(IF(DATOS_[Sexo]=$B101,IF(DATOS_[[AGRUP. CLAS. PROF.]:[AGRUP. CLAS. PROF.]]=$B99,IF(DATOS_[Check Equiparado]="Sí",IF(DATOS_[Check Periodo Ref.]="Dentro",DATOS_[TOTAL SALARIO Eq],FALSE))))),
0)</f>
        <v>0</v>
      </c>
      <c r="AP101" s="173">
        <f t="array" ref="AP101">IFERROR(
(MEDIAN((IF(DATOS_[[Sexo]:[Sexo]]=$B101,IF(DATOS_[[AGRUP. CLAS. PROF.]:[AGRUP. CLAS. PROF.]]=$B99,IF(DATOS_[[Check Periodo Ref.]:[Check Periodo Ref.]]="Dentro",IF(DATOS_[[Check Equiparado]:[Check Equiparado]]="Sí",IF(DATOS!BW$5="Sí",(1/DATOS_[[% anualiz]:[% anualiz]]),1)*IF(DATOS!BW$4="Sí",1/DATOS_[[% normaliz]:[% normaliz]],1)*(DATOS_[C.Extra.01])))))))),
0)</f>
        <v>0</v>
      </c>
      <c r="AQ101" s="173">
        <f t="array" ref="AQ101">IFERROR(
(MEDIAN((IF(DATOS_[[Sexo]:[Sexo]]=$B101,IF(DATOS_[[AGRUP. CLAS. PROF.]:[AGRUP. CLAS. PROF.]]=$B99,IF(DATOS_[[Check Periodo Ref.]:[Check Periodo Ref.]]="Dentro",IF(DATOS_[[Check Equiparado]:[Check Equiparado]]="Sí",IF(DATOS!CB$5="Sí",(1/DATOS_[[% anualiz]:[% anualiz]]),1)*IF(DATOS!CB$4="Sí",1/DATOS_[[% normaliz]:[% normaliz]],1)*(DATOS_[C.Extra.06])))))))),
0)</f>
        <v>0</v>
      </c>
      <c r="AR101" s="173">
        <f t="array" ref="AR101">IFERROR(
(MEDIAN((IF(DATOS_[[Sexo]:[Sexo]]=$B101,IF(DATOS_[[AGRUP. CLAS. PROF.]:[AGRUP. CLAS. PROF.]]=$B99,IF(DATOS_[[Check Periodo Ref.]:[Check Periodo Ref.]]="Dentro",IF(DATOS_[[Check Equiparado]:[Check Equiparado]]="Sí",IF(DATOS!CC$5="Sí",(1/DATOS_[[% anualiz]:[% anualiz]]),1)*IF(DATOS!CC$4="Sí",1/DATOS_[[% normaliz]:[% normaliz]],1)*(DATOS_[C.Extra.07])))))))),
0)</f>
        <v>0</v>
      </c>
      <c r="AS101" s="173">
        <f t="array" ref="AS101">IFERROR(
(MEDIAN((IF(DATOS_[[Sexo]:[Sexo]]=$B101,IF(DATOS_[[AGRUP. CLAS. PROF.]:[AGRUP. CLAS. PROF.]]=$B99,IF(DATOS_[[Check Periodo Ref.]:[Check Periodo Ref.]]="Dentro",IF(DATOS_[[Check Equiparado]:[Check Equiparado]]="Sí",IF(DATOS!CD$5="Sí",(1/DATOS_[[% anualiz]:[% anualiz]]),1)*IF(DATOS!CD$4="Sí",1/DATOS_[[% normaliz]:[% normaliz]],1)*(DATOS_[C.Extra.08])))))))),
0)</f>
        <v>0</v>
      </c>
      <c r="AT101" s="173">
        <f t="array" ref="AT101">IFERROR(
(MEDIAN((IF(DATOS_[[Sexo]:[Sexo]]=$B101,IF(DATOS_[[AGRUP. CLAS. PROF.]:[AGRUP. CLAS. PROF.]]=$B99,IF(DATOS_[[Check Periodo Ref.]:[Check Periodo Ref.]]="Dentro",IF(DATOS_[[Check Equiparado]:[Check Equiparado]]="Sí",IF(DATOS!CG$5="Sí",(1/DATOS_[[% anualiz]:[% anualiz]]),1)*IF(DATOS!CG$4="Sí",1/DATOS_[[% normaliz]:[% normaliz]],1)*(DATOS_[C.Extra.11])))))))),
0)</f>
        <v>0</v>
      </c>
      <c r="AU101" s="197">
        <f t="array" ref="AU101">IFERROR(
MEDIAN(IF(DATOS_[Sexo]=$B101,IF(DATOS_[[AGRUP. CLAS. PROF.]:[AGRUP. CLAS. PROF.]]=$B99,IF(DATOS_[Check Equiparado]="Sí",IF(DATOS_[Check Periodo Ref.]="Dentro",DATOS_[Tot Extrasalarial Eq],FALSE))))),
0)</f>
        <v>0</v>
      </c>
      <c r="AV101" s="175">
        <f t="array" ref="AV101">IFERROR(
MEDIAN(IF(DATOS_[Sexo]=$B101,IF(DATOS_[[AGRUP. CLAS. PROF.]:[AGRUP. CLAS. PROF.]]=$B99,IF(DATOS_[Check Equiparado]="Sí",IF(DATOS_[Check Periodo Ref.]="Dentro",DATOS_[TOTAL Retrib Eq],FALSE))))),
0)</f>
        <v>0</v>
      </c>
    </row>
    <row r="102" spans="1:48" ht="15.6" hidden="1" thickBot="1" x14ac:dyDescent="0.3">
      <c r="A102" s="133" t="str">
        <f t="shared" ref="A102" si="119">+A103</f>
        <v>[ocultar]</v>
      </c>
      <c r="B102" s="199" t="s">
        <v>289</v>
      </c>
      <c r="C102" s="200"/>
      <c r="D102" s="201"/>
      <c r="E102" s="201"/>
      <c r="F102" s="201"/>
      <c r="G102" s="201"/>
      <c r="H102" s="201"/>
      <c r="I102" s="189" t="str">
        <f t="shared" ref="I102:AV102" si="120">IFERROR((I103-I104)/I103,"")</f>
        <v/>
      </c>
      <c r="J102" s="190" t="str">
        <f t="shared" si="120"/>
        <v/>
      </c>
      <c r="K102" s="191" t="str">
        <f t="shared" si="120"/>
        <v/>
      </c>
      <c r="L102" s="191" t="str">
        <f t="shared" si="120"/>
        <v/>
      </c>
      <c r="M102" s="191" t="str">
        <f t="shared" si="120"/>
        <v/>
      </c>
      <c r="N102" s="192" t="str">
        <f t="shared" si="120"/>
        <v/>
      </c>
      <c r="O102" s="193" t="str">
        <f t="shared" si="120"/>
        <v/>
      </c>
      <c r="P102" s="193" t="str">
        <f t="shared" si="120"/>
        <v/>
      </c>
      <c r="Q102" s="193" t="str">
        <f t="shared" si="120"/>
        <v/>
      </c>
      <c r="R102" s="193" t="str">
        <f t="shared" si="120"/>
        <v/>
      </c>
      <c r="S102" s="193" t="str">
        <f t="shared" si="120"/>
        <v/>
      </c>
      <c r="T102" s="193" t="str">
        <f t="shared" si="120"/>
        <v/>
      </c>
      <c r="U102" s="193" t="str">
        <f t="shared" si="120"/>
        <v/>
      </c>
      <c r="V102" s="193" t="str">
        <f t="shared" si="120"/>
        <v/>
      </c>
      <c r="W102" s="193" t="str">
        <f t="shared" si="120"/>
        <v/>
      </c>
      <c r="X102" s="193" t="str">
        <f t="shared" si="120"/>
        <v/>
      </c>
      <c r="Y102" s="193" t="str">
        <f t="shared" si="120"/>
        <v/>
      </c>
      <c r="Z102" s="193" t="str">
        <f t="shared" si="120"/>
        <v/>
      </c>
      <c r="AA102" s="193" t="str">
        <f t="shared" si="120"/>
        <v/>
      </c>
      <c r="AB102" s="193" t="str">
        <f t="shared" si="120"/>
        <v/>
      </c>
      <c r="AC102" s="193" t="str">
        <f t="shared" si="120"/>
        <v/>
      </c>
      <c r="AD102" s="193" t="str">
        <f t="shared" si="120"/>
        <v/>
      </c>
      <c r="AE102" s="193" t="str">
        <f t="shared" si="120"/>
        <v/>
      </c>
      <c r="AF102" s="193" t="str">
        <f t="shared" si="120"/>
        <v/>
      </c>
      <c r="AG102" s="193" t="str">
        <f t="shared" si="120"/>
        <v/>
      </c>
      <c r="AH102" s="193" t="str">
        <f t="shared" si="120"/>
        <v/>
      </c>
      <c r="AI102" s="193" t="str">
        <f t="shared" si="120"/>
        <v/>
      </c>
      <c r="AJ102" s="193" t="str">
        <f t="shared" si="120"/>
        <v/>
      </c>
      <c r="AK102" s="193" t="str">
        <f t="shared" si="120"/>
        <v/>
      </c>
      <c r="AL102" s="193" t="str">
        <f t="shared" si="120"/>
        <v/>
      </c>
      <c r="AM102" s="193" t="str">
        <f t="shared" si="120"/>
        <v/>
      </c>
      <c r="AN102" s="189" t="str">
        <f t="shared" si="120"/>
        <v/>
      </c>
      <c r="AO102" s="162" t="str">
        <f t="shared" si="120"/>
        <v/>
      </c>
      <c r="AP102" s="163" t="str">
        <f t="shared" si="120"/>
        <v/>
      </c>
      <c r="AQ102" s="163" t="str">
        <f t="shared" si="120"/>
        <v/>
      </c>
      <c r="AR102" s="163" t="str">
        <f t="shared" si="120"/>
        <v/>
      </c>
      <c r="AS102" s="163" t="str">
        <f t="shared" si="120"/>
        <v/>
      </c>
      <c r="AT102" s="163" t="str">
        <f t="shared" si="120"/>
        <v/>
      </c>
      <c r="AU102" s="194" t="str">
        <f t="shared" si="120"/>
        <v/>
      </c>
      <c r="AV102" s="165" t="str">
        <f t="shared" si="120"/>
        <v/>
      </c>
    </row>
    <row r="103" spans="1:48" hidden="1" x14ac:dyDescent="0.25">
      <c r="A103" s="133" t="str">
        <f t="shared" ref="A103" si="121">+IF(C103+C104=0,"[ocultar]","")</f>
        <v>[ocultar]</v>
      </c>
      <c r="B103" s="202" t="s">
        <v>394</v>
      </c>
      <c r="C103" s="203">
        <f t="array" ref="C103">SUM(IF($B103=DATOS_[Sexo],
IF($B102=DATOS_[AGRUP. CLAS. PROF.],
IF("Dentro"=DATOS_[Check Periodo Ref.],
1/(COUNTIFS(DATOS_[Sexo],$B103,DATOS_[AGRUP. CLAS. PROF.],$B102,DATOS_[Check Periodo Ref.],"Dentro",DATOS_[id/cod],DATOS_[id/cod]))))))</f>
        <v>0</v>
      </c>
      <c r="D103" s="204">
        <f>COUNTIFS(DATOS_[AGRUP. CLAS. PROF.],$B102,DATOS_[Sexo],$B103,DATOS_[Check Periodo Ref.],"Dentro")</f>
        <v>0</v>
      </c>
      <c r="E103" s="204">
        <f>COUNTIFS(DATOS_[AGRUP. CLAS. PROF.],$B102,DATOS_[Sexo],$B103,DATOS_[Check Periodo Ref.],"Dentro",DATOS_[Check Nº SC Norm],"Sí")</f>
        <v>0</v>
      </c>
      <c r="F103" s="204">
        <f>COUNTIFS(DATOS_[AGRUP. CLAS. PROF.],$B102,DATOS_[Sexo],$B103,DATOS_[Check Periodo Ref.],"Dentro",DATOS_[Check Nº SC Anualiz],"Sí")</f>
        <v>0</v>
      </c>
      <c r="G103" s="204">
        <f>COUNTIFS(DATOS_[AGRUP. CLAS. PROF.],$B102,DATOS_[Sexo],$B103,DATOS_[Check Periodo Ref.],"Dentro",DATOS_[Check Nº SC Norm y Anualiz],"Sí")</f>
        <v>0</v>
      </c>
      <c r="H103" s="204">
        <f>COUNTIFS(DATOS_[AGRUP. CLAS. PROF.],$B102,DATOS_[Sexo],$B103,DATOS_[Check Periodo Ref.],"Dentro",DATOS_[Check Equiparación],"Sí")</f>
        <v>0</v>
      </c>
      <c r="I103" s="195">
        <f t="array" ref="I103">IFERROR(
MEDIAN(IF(DATOS_[Sexo]=$B103,IF(DATOS_[[AGRUP. CLAS. PROF.]:[AGRUP. CLAS. PROF.]]=$B102,IF(DATOS_[Check Equiparado]="Sí",IF(DATOS_[Check Periodo Ref.]="Dentro",DATOS_[SALARIO BASE Eq],FALSE))))),
0)</f>
        <v>0</v>
      </c>
      <c r="J103" s="196">
        <f t="array" ref="J103">IFERROR(
(MEDIAN((IF(DATOS_[[Sexo]:[Sexo]]=$B103,IF(DATOS_[[AGRUP. CLAS. PROF.]:[AGRUP. CLAS. PROF.]]=$B102,IF(DATOS_[[Check Periodo Ref.]:[Check Periodo Ref.]]="Dentro",IF(DATOS_[[Check Equiparado]:[Check Equiparado]]="Sí",IF(DATOS!AE$5="Sí",(1/DATOS_[[% anualiz]:[% anualiz]]),1)*IF(DATOS!AE$4="Sí",1/DATOS_[[% normaliz]:[% normaliz]],1)*(DATOS_[Conc.Sal.01])))))))),
0)</f>
        <v>0</v>
      </c>
      <c r="K103" s="196">
        <f t="array" ref="K103">IFERROR(
(MEDIAN((IF(DATOS_[[Sexo]:[Sexo]]=$B103,IF(DATOS_[[AGRUP. CLAS. PROF.]:[AGRUP. CLAS. PROF.]]=$B102,IF(DATOS_[[Check Periodo Ref.]:[Check Periodo Ref.]]="Dentro",IF(DATOS_[[Check Equiparado]:[Check Equiparado]]="Sí",IF(DATOS!AF$5="Sí",(1/DATOS_[[% anualiz]:[% anualiz]]),1)*IF(DATOS!AF$4="Sí",1/DATOS_[[% normaliz]:[% normaliz]],1)*(DATOS_[Conc.Sal.02])))))))),
0)</f>
        <v>0</v>
      </c>
      <c r="L103" s="196">
        <f t="array" ref="L103">IFERROR(
(MEDIAN((IF(DATOS_[[Sexo]:[Sexo]]=$B103,IF(DATOS_[[AGRUP. CLAS. PROF.]:[AGRUP. CLAS. PROF.]]=$B102,IF(DATOS_[[Check Periodo Ref.]:[Check Periodo Ref.]]="Dentro",IF(DATOS_[[Check Equiparado]:[Check Equiparado]]="Sí",IF(DATOS!AG$5="Sí",(1/DATOS_[[% anualiz]:[% anualiz]]),1)*IF(DATOS!AG$4="Sí",1/DATOS_[[% normaliz]:[% normaliz]],1)*(DATOS_[Conc.Sal.03])))))))),
0)</f>
        <v>0</v>
      </c>
      <c r="M103" s="196">
        <f t="array" ref="M103">IFERROR(
(MEDIAN((IF(DATOS_[[Sexo]:[Sexo]]=$B103,IF(DATOS_[[AGRUP. CLAS. PROF.]:[AGRUP. CLAS. PROF.]]=$B102,IF(DATOS_[[Check Periodo Ref.]:[Check Periodo Ref.]]="Dentro",IF(DATOS_[[Check Equiparado]:[Check Equiparado]]="Sí",IF(DATOS!AH$5="Sí",(1/DATOS_[[% anualiz]:[% anualiz]]),1)*IF(DATOS!AH$4="Sí",1/DATOS_[[% normaliz]:[% normaliz]],1)*(DATOS_[Conc.Sal.04])))))))),
0)</f>
        <v>0</v>
      </c>
      <c r="N103" s="196">
        <f t="array" ref="N103">IFERROR(
(MEDIAN((IF(DATOS_[[Sexo]:[Sexo]]=$B103,IF(DATOS_[[AGRUP. CLAS. PROF.]:[AGRUP. CLAS. PROF.]]=$B102,IF(DATOS_[[Check Periodo Ref.]:[Check Periodo Ref.]]="Dentro",IF(DATOS_[[Check Equiparado]:[Check Equiparado]]="Sí",IF(DATOS!AI$5="Sí",(1/DATOS_[[% anualiz]:[% anualiz]]),1)*IF(DATOS!AI$4="Sí",1/DATOS_[[% normaliz]:[% normaliz]],1)*(DATOS_[Conc.Sal.05])))))))),
0)</f>
        <v>0</v>
      </c>
      <c r="O103" s="196">
        <f t="array" ref="O103">IFERROR(
(MEDIAN((IF(DATOS_[[Sexo]:[Sexo]]=$B103,IF(DATOS_[[AGRUP. CLAS. PROF.]:[AGRUP. CLAS. PROF.]]=$B102,IF(DATOS_[[Check Periodo Ref.]:[Check Periodo Ref.]]="Dentro",IF(DATOS_[[Check Equiparado]:[Check Equiparado]]="Sí",IF(DATOS!AJ$5="Sí",(1/DATOS_[[% anualiz]:[% anualiz]]),1)*IF(DATOS!AJ$4="Sí",1/DATOS_[[% normaliz]:[% normaliz]],1)*(DATOS_[Conc.Sal.06])))))))),
0)</f>
        <v>0</v>
      </c>
      <c r="P103" s="196">
        <f t="array" ref="P103">IFERROR(
(MEDIAN((IF(DATOS_[[Sexo]:[Sexo]]=$B103,IF(DATOS_[[AGRUP. CLAS. PROF.]:[AGRUP. CLAS. PROF.]]=$B102,IF(DATOS_[[Check Periodo Ref.]:[Check Periodo Ref.]]="Dentro",IF(DATOS_[[Check Equiparado]:[Check Equiparado]]="Sí",IF(DATOS!AK$5="Sí",(1/DATOS_[[% anualiz]:[% anualiz]]),1)*IF(DATOS!AK$4="Sí",1/DATOS_[[% normaliz]:[% normaliz]],1)*(DATOS_[Conc.Sal.07])))))))),
0)</f>
        <v>0</v>
      </c>
      <c r="Q103" s="196">
        <f t="array" ref="Q103">IFERROR(
(MEDIAN((IF(DATOS_[[Sexo]:[Sexo]]=$B103,IF(DATOS_[[AGRUP. CLAS. PROF.]:[AGRUP. CLAS. PROF.]]=$B102,IF(DATOS_[[Check Periodo Ref.]:[Check Periodo Ref.]]="Dentro",IF(DATOS_[[Check Equiparado]:[Check Equiparado]]="Sí",IF(DATOS!AL$5="Sí",(1/DATOS_[[% anualiz]:[% anualiz]]),1)*IF(DATOS!AL$4="Sí",1/DATOS_[[% normaliz]:[% normaliz]],1)*(DATOS_[Conc.Sal.08])))))))),
0)</f>
        <v>0</v>
      </c>
      <c r="R103" s="196">
        <f t="array" ref="R103">IFERROR(
(MEDIAN((IF(DATOS_[[Sexo]:[Sexo]]=$B103,IF(DATOS_[[AGRUP. CLAS. PROF.]:[AGRUP. CLAS. PROF.]]=$B102,IF(DATOS_[[Check Periodo Ref.]:[Check Periodo Ref.]]="Dentro",IF(DATOS_[[Check Equiparado]:[Check Equiparado]]="Sí",IF(DATOS!AM$5="Sí",(1/DATOS_[[% anualiz]:[% anualiz]]),1)*IF(DATOS!AM$4="Sí",1/DATOS_[[% normaliz]:[% normaliz]],1)*(DATOS_[Conc.Sal.09])))))))),
0)</f>
        <v>0</v>
      </c>
      <c r="S103" s="196">
        <f t="array" ref="S103">IFERROR(
(MEDIAN((IF(DATOS_[[Sexo]:[Sexo]]=$B103,IF(DATOS_[[AGRUP. CLAS. PROF.]:[AGRUP. CLAS. PROF.]]=$B102,IF(DATOS_[[Check Periodo Ref.]:[Check Periodo Ref.]]="Dentro",IF(DATOS_[[Check Equiparado]:[Check Equiparado]]="Sí",IF(DATOS!AN$5="Sí",(1/DATOS_[[% anualiz]:[% anualiz]]),1)*IF(DATOS!AN$4="Sí",1/DATOS_[[% normaliz]:[% normaliz]],1)*(DATOS_[Conc.Sal.10])))))))),
0)</f>
        <v>0</v>
      </c>
      <c r="T103" s="196">
        <f t="array" ref="T103">IFERROR(
(MEDIAN((IF(DATOS_[[Sexo]:[Sexo]]=$B103,IF(DATOS_[[AGRUP. CLAS. PROF.]:[AGRUP. CLAS. PROF.]]=$B102,IF(DATOS_[[Check Periodo Ref.]:[Check Periodo Ref.]]="Dentro",IF(DATOS_[[Check Equiparado]:[Check Equiparado]]="Sí",IF(DATOS!AO$5="Sí",(1/DATOS_[[% anualiz]:[% anualiz]]),1)*IF(DATOS!AO$4="Sí",1/DATOS_[[% normaliz]:[% normaliz]],1)*(DATOS_[Conc.Sal.11])))))))),
0)</f>
        <v>0</v>
      </c>
      <c r="U103" s="196">
        <f t="array" ref="U103">IFERROR(
(MEDIAN((IF(DATOS_[[Sexo]:[Sexo]]=$B103,IF(DATOS_[[AGRUP. CLAS. PROF.]:[AGRUP. CLAS. PROF.]]=$B102,IF(DATOS_[[Check Periodo Ref.]:[Check Periodo Ref.]]="Dentro",IF(DATOS_[[Check Equiparado]:[Check Equiparado]]="Sí",IF(DATOS!AP$5="Sí",(1/DATOS_[[% anualiz]:[% anualiz]]),1)*IF(DATOS!AP$4="Sí",1/DATOS_[[% normaliz]:[% normaliz]],1)*(DATOS_[Conc.Sal.12])))))))),
0)</f>
        <v>0</v>
      </c>
      <c r="V103" s="196">
        <f t="array" ref="V103">IFERROR(
(MEDIAN((IF(DATOS_[[Sexo]:[Sexo]]=$B103,IF(DATOS_[[AGRUP. CLAS. PROF.]:[AGRUP. CLAS. PROF.]]=$B102,IF(DATOS_[[Check Periodo Ref.]:[Check Periodo Ref.]]="Dentro",IF(DATOS_[[Check Equiparado]:[Check Equiparado]]="Sí",IF(DATOS!AQ$5="Sí",(1/DATOS_[[% anualiz]:[% anualiz]]),1)*IF(DATOS!AQ$4="Sí",1/DATOS_[[% normaliz]:[% normaliz]],1)*(DATOS_[Conc.Sal.13])))))))),
0)</f>
        <v>0</v>
      </c>
      <c r="W103" s="196">
        <f t="array" ref="W103">IFERROR(
(MEDIAN((IF(DATOS_[[Sexo]:[Sexo]]=$B103,IF(DATOS_[[AGRUP. CLAS. PROF.]:[AGRUP. CLAS. PROF.]]=$B102,IF(DATOS_[[Check Periodo Ref.]:[Check Periodo Ref.]]="Dentro",IF(DATOS_[[Check Equiparado]:[Check Equiparado]]="Sí",IF(DATOS!AR$5="Sí",(1/DATOS_[[% anualiz]:[% anualiz]]),1)*IF(DATOS!AR$4="Sí",1/DATOS_[[% normaliz]:[% normaliz]],1)*(DATOS_[Conc.Sal.14])))))))),
0)</f>
        <v>0</v>
      </c>
      <c r="X103" s="196">
        <f t="array" ref="X103">IFERROR(
(MEDIAN((IF(DATOS_[[Sexo]:[Sexo]]=$B103,IF(DATOS_[[AGRUP. CLAS. PROF.]:[AGRUP. CLAS. PROF.]]=$B102,IF(DATOS_[[Check Periodo Ref.]:[Check Periodo Ref.]]="Dentro",IF(DATOS_[[Check Equiparado]:[Check Equiparado]]="Sí",IF(DATOS!AS$5="Sí",(1/DATOS_[[% anualiz]:[% anualiz]]),1)*IF(DATOS!AS$4="Sí",1/DATOS_[[% normaliz]:[% normaliz]],1)*(DATOS_[Conc.Sal.15])))))))),
0)</f>
        <v>0</v>
      </c>
      <c r="Y103" s="196">
        <f t="array" ref="Y103">IFERROR(
(MEDIAN((IF(DATOS_[[Sexo]:[Sexo]]=$B103,IF(DATOS_[[AGRUP. CLAS. PROF.]:[AGRUP. CLAS. PROF.]]=$B102,IF(DATOS_[[Check Periodo Ref.]:[Check Periodo Ref.]]="Dentro",IF(DATOS_[[Check Equiparado]:[Check Equiparado]]="Sí",IF(DATOS!AT$5="Sí",(1/DATOS_[[% anualiz]:[% anualiz]]),1)*IF(DATOS!AT$4="Sí",1/DATOS_[[% normaliz]:[% normaliz]],1)*(DATOS_[Conc.Sal.16])))))))),
0)</f>
        <v>0</v>
      </c>
      <c r="Z103" s="196">
        <f t="array" ref="Z103">IFERROR(
(MEDIAN((IF(DATOS_[[Sexo]:[Sexo]]=$B103,IF(DATOS_[[AGRUP. CLAS. PROF.]:[AGRUP. CLAS. PROF.]]=$B102,IF(DATOS_[[Check Periodo Ref.]:[Check Periodo Ref.]]="Dentro",IF(DATOS_[[Check Equiparado]:[Check Equiparado]]="Sí",IF(DATOS!AU$5="Sí",(1/DATOS_[[% anualiz]:[% anualiz]]),1)*IF(DATOS!AU$4="Sí",1/DATOS_[[% normaliz]:[% normaliz]],1)*(DATOS_[Conc.Sal.17])))))))),
0)</f>
        <v>0</v>
      </c>
      <c r="AA103" s="196">
        <f t="array" ref="AA103">IFERROR(
(MEDIAN((IF(DATOS_[[Sexo]:[Sexo]]=$B103,IF(DATOS_[[AGRUP. CLAS. PROF.]:[AGRUP. CLAS. PROF.]]=$B102,IF(DATOS_[[Check Periodo Ref.]:[Check Periodo Ref.]]="Dentro",IF(DATOS_[[Check Equiparado]:[Check Equiparado]]="Sí",IF(DATOS!AV$5="Sí",(1/DATOS_[[% anualiz]:[% anualiz]]),1)*IF(DATOS!AV$4="Sí",1/DATOS_[[% normaliz]:[% normaliz]],1)*(DATOS_[Conc.Sal.18])))))))),
0)</f>
        <v>0</v>
      </c>
      <c r="AB103" s="196">
        <f t="array" ref="AB103">IFERROR(
(MEDIAN((IF(DATOS_[[Sexo]:[Sexo]]=$B103,IF(DATOS_[[AGRUP. CLAS. PROF.]:[AGRUP. CLAS. PROF.]]=$B102,IF(DATOS_[[Check Periodo Ref.]:[Check Periodo Ref.]]="Dentro",IF(DATOS_[[Check Equiparado]:[Check Equiparado]]="Sí",IF(DATOS!AW$5="Sí",(1/DATOS_[[% anualiz]:[% anualiz]]),1)*IF(DATOS!AW$4="Sí",1/DATOS_[[% normaliz]:[% normaliz]],1)*(DATOS_[Conc.Sal.19])))))))),
0)</f>
        <v>0</v>
      </c>
      <c r="AC103" s="196">
        <f t="array" ref="AC103">IFERROR(
(MEDIAN((IF(DATOS_[[Sexo]:[Sexo]]=$B103,IF(DATOS_[[AGRUP. CLAS. PROF.]:[AGRUP. CLAS. PROF.]]=$B102,IF(DATOS_[[Check Periodo Ref.]:[Check Periodo Ref.]]="Dentro",IF(DATOS_[[Check Equiparado]:[Check Equiparado]]="Sí",IF(DATOS!AX$5="Sí",(1/DATOS_[[% anualiz]:[% anualiz]]),1)*IF(DATOS!AX$4="Sí",1/DATOS_[[% normaliz]:[% normaliz]],1)*(DATOS_[Conc.Sal.20])))))))),
0)</f>
        <v>0</v>
      </c>
      <c r="AD103" s="196">
        <f t="array" ref="AD103">IFERROR(
(MEDIAN((IF(DATOS_[[Sexo]:[Sexo]]=$B103,IF(DATOS_[[AGRUP. CLAS. PROF.]:[AGRUP. CLAS. PROF.]]=$B102,IF(DATOS_[[Check Periodo Ref.]:[Check Periodo Ref.]]="Dentro",IF(DATOS_[[Check Equiparado]:[Check Equiparado]]="Sí",IF(DATOS!AY$5="Sí",(1/DATOS_[[% anualiz]:[% anualiz]]),1)*IF(DATOS!AY$4="Sí",1/DATOS_[[% normaliz]:[% normaliz]],1)*(DATOS_[Conc.Sal.21])))))))),
0)</f>
        <v>0</v>
      </c>
      <c r="AE103" s="196">
        <f t="array" ref="AE103">IFERROR(
(MEDIAN((IF(DATOS_[[Sexo]:[Sexo]]=$B103,IF(DATOS_[[AGRUP. CLAS. PROF.]:[AGRUP. CLAS. PROF.]]=$B102,IF(DATOS_[[Check Periodo Ref.]:[Check Periodo Ref.]]="Dentro",IF(DATOS_[[Check Equiparado]:[Check Equiparado]]="Sí",IF(DATOS!AZ$5="Sí",(1/DATOS_[[% anualiz]:[% anualiz]]),1)*IF(DATOS!AZ$4="Sí",1/DATOS_[[% normaliz]:[% normaliz]],1)*(DATOS_[Conc.Sal.22])))))))),
0)</f>
        <v>0</v>
      </c>
      <c r="AF103" s="196">
        <f t="array" ref="AF103">IFERROR(
(MEDIAN((IF(DATOS_[[Sexo]:[Sexo]]=$B103,IF(DATOS_[[AGRUP. CLAS. PROF.]:[AGRUP. CLAS. PROF.]]=$B102,IF(DATOS_[[Check Periodo Ref.]:[Check Periodo Ref.]]="Dentro",IF(DATOS_[[Check Equiparado]:[Check Equiparado]]="Sí",IF(DATOS!BA$5="Sí",(1/DATOS_[[% anualiz]:[% anualiz]]),1)*IF(DATOS!BA$4="Sí",1/DATOS_[[% normaliz]:[% normaliz]],1)*(DATOS_[Conc.Sal.23])))))))),
0)</f>
        <v>0</v>
      </c>
      <c r="AG103" s="196">
        <f t="array" ref="AG103">IFERROR(
(MEDIAN((IF(DATOS_[[Sexo]:[Sexo]]=$B103,IF(DATOS_[[AGRUP. CLAS. PROF.]:[AGRUP. CLAS. PROF.]]=$B102,IF(DATOS_[[Check Periodo Ref.]:[Check Periodo Ref.]]="Dentro",IF(DATOS_[[Check Equiparado]:[Check Equiparado]]="Sí",IF(DATOS!BB$5="Sí",(1/DATOS_[[% anualiz]:[% anualiz]]),1)*IF(DATOS!BB$4="Sí",1/DATOS_[[% normaliz]:[% normaliz]],1)*(DATOS_[Conc.Sal.24])))))))),
0)</f>
        <v>0</v>
      </c>
      <c r="AH103" s="196">
        <f t="array" ref="AH103">IFERROR(
(MEDIAN((IF(DATOS_[[Sexo]:[Sexo]]=$B103,IF(DATOS_[[AGRUP. CLAS. PROF.]:[AGRUP. CLAS. PROF.]]=$B102,IF(DATOS_[[Check Periodo Ref.]:[Check Periodo Ref.]]="Dentro",IF(DATOS_[[Check Equiparado]:[Check Equiparado]]="Sí",IF(DATOS!BC$5="Sí",(1/DATOS_[[% anualiz]:[% anualiz]]),1)*IF(DATOS!BC$4="Sí",1/DATOS_[[% normaliz]:[% normaliz]],1)*(DATOS_[Conc.Sal.25])))))))),
0)</f>
        <v>0</v>
      </c>
      <c r="AI103" s="196">
        <f t="array" ref="AI103">IFERROR(
(MEDIAN((IF(DATOS_[[Sexo]:[Sexo]]=$B103,IF(DATOS_[[AGRUP. CLAS. PROF.]:[AGRUP. CLAS. PROF.]]=$B102,IF(DATOS_[[Check Periodo Ref.]:[Check Periodo Ref.]]="Dentro",IF(DATOS_[[Check Equiparado]:[Check Equiparado]]="Sí",IF(DATOS!BD$5="Sí",(1/DATOS_[[% anualiz]:[% anualiz]]),1)*IF(DATOS!BD$4="Sí",1/DATOS_[[% normaliz]:[% normaliz]],1)*(DATOS_[Conc.Sal.26])))))))),
0)</f>
        <v>0</v>
      </c>
      <c r="AJ103" s="196">
        <f t="array" ref="AJ103">IFERROR(
(MEDIAN((IF(DATOS_[[Sexo]:[Sexo]]=$B103,IF(DATOS_[[AGRUP. CLAS. PROF.]:[AGRUP. CLAS. PROF.]]=$B102,IF(DATOS_[[Check Periodo Ref.]:[Check Periodo Ref.]]="Dentro",IF(DATOS_[[Check Equiparado]:[Check Equiparado]]="Sí",IF(DATOS!BE$5="Sí",(1/DATOS_[[% anualiz]:[% anualiz]]),1)*IF(DATOS!BE$4="Sí",1/DATOS_[[% normaliz]:[% normaliz]],1)*(DATOS_[Conc.Sal.27])))))))),
0)</f>
        <v>0</v>
      </c>
      <c r="AK103" s="196">
        <f t="array" ref="AK103">IFERROR(
(MEDIAN((IF(DATOS_[[Sexo]:[Sexo]]=$B103,IF(DATOS_[[AGRUP. CLAS. PROF.]:[AGRUP. CLAS. PROF.]]=$B102,IF(DATOS_[[Check Periodo Ref.]:[Check Periodo Ref.]]="Dentro",IF(DATOS_[[Check Equiparado]:[Check Equiparado]]="Sí",IF(DATOS!BF$5="Sí",(1/DATOS_[[% anualiz]:[% anualiz]]),1)*IF(DATOS!BF$4="Sí",1/DATOS_[[% normaliz]:[% normaliz]],1)*(DATOS_[Conc.Sal.28])))))))),
0)</f>
        <v>0</v>
      </c>
      <c r="AL103" s="196">
        <f t="array" ref="AL103">IFERROR(
(MEDIAN((IF(DATOS_[[Sexo]:[Sexo]]=$B103,IF(DATOS_[[AGRUP. CLAS. PROF.]:[AGRUP. CLAS. PROF.]]=$B102,IF(DATOS_[[Check Periodo Ref.]:[Check Periodo Ref.]]="Dentro",IF(DATOS_[[Check Equiparado]:[Check Equiparado]]="Sí",IF(DATOS!BG$5="Sí",(1/DATOS_[[% anualiz]:[% anualiz]]),1)*IF(DATOS!BG$4="Sí",1/DATOS_[[% normaliz]:[% normaliz]],1)*(DATOS_[Conc.Sal.29])))))))),
0)</f>
        <v>0</v>
      </c>
      <c r="AM103" s="196">
        <f t="array" ref="AM103">IFERROR(
(MEDIAN((IF(DATOS_[[Sexo]:[Sexo]]=$B103,IF(DATOS_[[AGRUP. CLAS. PROF.]:[AGRUP. CLAS. PROF.]]=$B102,IF(DATOS_[[Check Periodo Ref.]:[Check Periodo Ref.]]="Dentro",IF(DATOS_[[Check Equiparado]:[Check Equiparado]]="Sí",IF(DATOS!BH$5="Sí",(1/DATOS_[[% anualiz]:[% anualiz]]),1)*IF(DATOS!BH$4="Sí",1/DATOS_[[% normaliz]:[% normaliz]],1)*(DATOS_[Conc.Sal.30])))))))),
0)</f>
        <v>0</v>
      </c>
      <c r="AN103" s="195">
        <f t="array" ref="AN103">IFERROR(
MEDIAN(IF(DATOS_[Sexo]=$B103,IF(DATOS_[[AGRUP. CLAS. PROF.]:[AGRUP. CLAS. PROF.]]=$B102,IF(DATOS_[Check Equiparado]="Sí",IF(DATOS_[Check Periodo Ref.]="Dentro",DATOS_[Tot COMPL.SAL Eq],FALSE))))),
0)</f>
        <v>0</v>
      </c>
      <c r="AO103" s="172">
        <f t="array" ref="AO103">IFERROR(
MEDIAN(IF(DATOS_[Sexo]=$B103,IF(DATOS_[[AGRUP. CLAS. PROF.]:[AGRUP. CLAS. PROF.]]=$B102,IF(DATOS_[Check Equiparado]="Sí",IF(DATOS_[Check Periodo Ref.]="Dentro",DATOS_[TOTAL SALARIO Eq],FALSE))))),
0)</f>
        <v>0</v>
      </c>
      <c r="AP103" s="173">
        <f t="array" ref="AP103">IFERROR(
(MEDIAN((IF(DATOS_[[Sexo]:[Sexo]]=$B103,IF(DATOS_[[AGRUP. CLAS. PROF.]:[AGRUP. CLAS. PROF.]]=$B102,IF(DATOS_[[Check Periodo Ref.]:[Check Periodo Ref.]]="Dentro",IF(DATOS_[[Check Equiparado]:[Check Equiparado]]="Sí",IF(DATOS!BW$5="Sí",(1/DATOS_[[% anualiz]:[% anualiz]]),1)*IF(DATOS!BW$4="Sí",1/DATOS_[[% normaliz]:[% normaliz]],1)*(DATOS_[C.Extra.01])))))))),
0)</f>
        <v>0</v>
      </c>
      <c r="AQ103" s="173">
        <f t="array" ref="AQ103">IFERROR(
(MEDIAN((IF(DATOS_[[Sexo]:[Sexo]]=$B103,IF(DATOS_[[AGRUP. CLAS. PROF.]:[AGRUP. CLAS. PROF.]]=$B102,IF(DATOS_[[Check Periodo Ref.]:[Check Periodo Ref.]]="Dentro",IF(DATOS_[[Check Equiparado]:[Check Equiparado]]="Sí",IF(DATOS!CB$5="Sí",(1/DATOS_[[% anualiz]:[% anualiz]]),1)*IF(DATOS!CB$4="Sí",1/DATOS_[[% normaliz]:[% normaliz]],1)*(DATOS_[C.Extra.06])))))))),
0)</f>
        <v>0</v>
      </c>
      <c r="AR103" s="173">
        <f t="array" ref="AR103">IFERROR(
(MEDIAN((IF(DATOS_[[Sexo]:[Sexo]]=$B103,IF(DATOS_[[AGRUP. CLAS. PROF.]:[AGRUP. CLAS. PROF.]]=$B102,IF(DATOS_[[Check Periodo Ref.]:[Check Periodo Ref.]]="Dentro",IF(DATOS_[[Check Equiparado]:[Check Equiparado]]="Sí",IF(DATOS!CC$5="Sí",(1/DATOS_[[% anualiz]:[% anualiz]]),1)*IF(DATOS!CC$4="Sí",1/DATOS_[[% normaliz]:[% normaliz]],1)*(DATOS_[C.Extra.07])))))))),
0)</f>
        <v>0</v>
      </c>
      <c r="AS103" s="173">
        <f t="array" ref="AS103">IFERROR(
(MEDIAN((IF(DATOS_[[Sexo]:[Sexo]]=$B103,IF(DATOS_[[AGRUP. CLAS. PROF.]:[AGRUP. CLAS. PROF.]]=$B102,IF(DATOS_[[Check Periodo Ref.]:[Check Periodo Ref.]]="Dentro",IF(DATOS_[[Check Equiparado]:[Check Equiparado]]="Sí",IF(DATOS!CD$5="Sí",(1/DATOS_[[% anualiz]:[% anualiz]]),1)*IF(DATOS!CD$4="Sí",1/DATOS_[[% normaliz]:[% normaliz]],1)*(DATOS_[C.Extra.08])))))))),
0)</f>
        <v>0</v>
      </c>
      <c r="AT103" s="173">
        <f t="array" ref="AT103">IFERROR(
(MEDIAN((IF(DATOS_[[Sexo]:[Sexo]]=$B103,IF(DATOS_[[AGRUP. CLAS. PROF.]:[AGRUP. CLAS. PROF.]]=$B102,IF(DATOS_[[Check Periodo Ref.]:[Check Periodo Ref.]]="Dentro",IF(DATOS_[[Check Equiparado]:[Check Equiparado]]="Sí",IF(DATOS!CG$5="Sí",(1/DATOS_[[% anualiz]:[% anualiz]]),1)*IF(DATOS!CG$4="Sí",1/DATOS_[[% normaliz]:[% normaliz]],1)*(DATOS_[C.Extra.11])))))))),
0)</f>
        <v>0</v>
      </c>
      <c r="AU103" s="197">
        <f t="array" ref="AU103">IFERROR(
MEDIAN(IF(DATOS_[Sexo]=$B103,IF(DATOS_[[AGRUP. CLAS. PROF.]:[AGRUP. CLAS. PROF.]]=$B102,IF(DATOS_[Check Equiparado]="Sí",IF(DATOS_[Check Periodo Ref.]="Dentro",DATOS_[Tot Extrasalarial Eq],FALSE))))),
0)</f>
        <v>0</v>
      </c>
      <c r="AV103" s="175">
        <f t="array" ref="AV103">IFERROR(
MEDIAN(IF(DATOS_[Sexo]=$B103,IF(DATOS_[[AGRUP. CLAS. PROF.]:[AGRUP. CLAS. PROF.]]=$B102,IF(DATOS_[Check Equiparado]="Sí",IF(DATOS_[Check Periodo Ref.]="Dentro",DATOS_[TOTAL Retrib Eq],FALSE))))),
0)</f>
        <v>0</v>
      </c>
    </row>
    <row r="104" spans="1:48" hidden="1" x14ac:dyDescent="0.25">
      <c r="A104" s="133" t="str">
        <f t="shared" ref="A104" si="122">+A103</f>
        <v>[ocultar]</v>
      </c>
      <c r="B104" s="202" t="s">
        <v>521</v>
      </c>
      <c r="C104" s="203">
        <f t="array" ref="C104">SUM(IF($B104=DATOS_[Sexo],
IF($B102=DATOS_[AGRUP. CLAS. PROF.],
IF("Dentro"=DATOS_[Check Periodo Ref.],
1/(COUNTIFS(DATOS_[Sexo],$B104,DATOS_[AGRUP. CLAS. PROF.],$B102,DATOS_[Check Periodo Ref.],"Dentro",DATOS_[id/cod],DATOS_[id/cod]))))))</f>
        <v>0</v>
      </c>
      <c r="D104" s="204">
        <f>COUNTIFS(DATOS_[AGRUP. CLAS. PROF.],$B102,DATOS_[Sexo],$B104,DATOS_[Check Periodo Ref.],"Dentro")</f>
        <v>0</v>
      </c>
      <c r="E104" s="204">
        <f>COUNTIFS(DATOS_[AGRUP. CLAS. PROF.],$B102,DATOS_[Sexo],$B104,DATOS_[Check Periodo Ref.],"Dentro",DATOS_[Check Nº SC Norm],"Sí")</f>
        <v>0</v>
      </c>
      <c r="F104" s="204">
        <f>COUNTIFS(DATOS_[AGRUP. CLAS. PROF.],$B102,DATOS_[Sexo],$B104,DATOS_[Check Periodo Ref.],"Dentro",DATOS_[Check Nº SC Anualiz],"Sí")</f>
        <v>0</v>
      </c>
      <c r="G104" s="204">
        <f>COUNTIFS(DATOS_[AGRUP. CLAS. PROF.],$B102,DATOS_[Sexo],$B104,DATOS_[Check Periodo Ref.],"Dentro",DATOS_[Check Nº SC Norm y Anualiz],"Sí")</f>
        <v>0</v>
      </c>
      <c r="H104" s="204">
        <f>COUNTIFS(DATOS_[AGRUP. CLAS. PROF.],$B102,DATOS_[Sexo],$B104,DATOS_[Check Periodo Ref.],"Dentro",DATOS_[Check Equiparación],"Sí")</f>
        <v>0</v>
      </c>
      <c r="I104" s="195" cm="1">
        <f t="array" ref="I104">IFERROR(
MEDIAN(IF(DATOS_[Sexo]=$B104,IF(DATOS_[[AGRUP. CLAS. PROF.]:[AGRUP. CLAS. PROF.]]=$B102,IF(DATOS_[Check Equiparado]="Sí",IF(DATOS_[Check Periodo Ref.]="Dentro",DATOS_[SALARIO BASE Eq],FALSE))))),
0)</f>
        <v>0</v>
      </c>
      <c r="J104" s="196">
        <f t="array" ref="J104">IFERROR(
(MEDIAN((IF(DATOS_[[Sexo]:[Sexo]]=$B104,IF(DATOS_[[AGRUP. CLAS. PROF.]:[AGRUP. CLAS. PROF.]]=$B102,IF(DATOS_[[Check Periodo Ref.]:[Check Periodo Ref.]]="Dentro",IF(DATOS_[[Check Equiparado]:[Check Equiparado]]="Sí",IF(DATOS!AE$5="Sí",(1/DATOS_[[% anualiz]:[% anualiz]]),1)*IF(DATOS!AE$4="Sí",1/DATOS_[[% normaliz]:[% normaliz]],1)*(DATOS_[Conc.Sal.01])))))))),
0)</f>
        <v>0</v>
      </c>
      <c r="K104" s="196">
        <f t="array" ref="K104">IFERROR(
(MEDIAN((IF(DATOS_[[Sexo]:[Sexo]]=$B104,IF(DATOS_[[AGRUP. CLAS. PROF.]:[AGRUP. CLAS. PROF.]]=$B102,IF(DATOS_[[Check Periodo Ref.]:[Check Periodo Ref.]]="Dentro",IF(DATOS_[[Check Equiparado]:[Check Equiparado]]="Sí",IF(DATOS!AF$5="Sí",(1/DATOS_[[% anualiz]:[% anualiz]]),1)*IF(DATOS!AF$4="Sí",1/DATOS_[[% normaliz]:[% normaliz]],1)*(DATOS_[Conc.Sal.02])))))))),
0)</f>
        <v>0</v>
      </c>
      <c r="L104" s="196">
        <f t="array" ref="L104">IFERROR(
(MEDIAN((IF(DATOS_[[Sexo]:[Sexo]]=$B104,IF(DATOS_[[AGRUP. CLAS. PROF.]:[AGRUP. CLAS. PROF.]]=$B102,IF(DATOS_[[Check Periodo Ref.]:[Check Periodo Ref.]]="Dentro",IF(DATOS_[[Check Equiparado]:[Check Equiparado]]="Sí",IF(DATOS!AG$5="Sí",(1/DATOS_[[% anualiz]:[% anualiz]]),1)*IF(DATOS!AG$4="Sí",1/DATOS_[[% normaliz]:[% normaliz]],1)*(DATOS_[Conc.Sal.03])))))))),
0)</f>
        <v>0</v>
      </c>
      <c r="M104" s="196">
        <f t="array" ref="M104">IFERROR(
(MEDIAN((IF(DATOS_[[Sexo]:[Sexo]]=$B104,IF(DATOS_[[AGRUP. CLAS. PROF.]:[AGRUP. CLAS. PROF.]]=$B102,IF(DATOS_[[Check Periodo Ref.]:[Check Periodo Ref.]]="Dentro",IF(DATOS_[[Check Equiparado]:[Check Equiparado]]="Sí",IF(DATOS!AH$5="Sí",(1/DATOS_[[% anualiz]:[% anualiz]]),1)*IF(DATOS!AH$4="Sí",1/DATOS_[[% normaliz]:[% normaliz]],1)*(DATOS_[Conc.Sal.04])))))))),
0)</f>
        <v>0</v>
      </c>
      <c r="N104" s="196">
        <f t="array" ref="N104">IFERROR(
(MEDIAN((IF(DATOS_[[Sexo]:[Sexo]]=$B104,IF(DATOS_[[AGRUP. CLAS. PROF.]:[AGRUP. CLAS. PROF.]]=$B102,IF(DATOS_[[Check Periodo Ref.]:[Check Periodo Ref.]]="Dentro",IF(DATOS_[[Check Equiparado]:[Check Equiparado]]="Sí",IF(DATOS!AI$5="Sí",(1/DATOS_[[% anualiz]:[% anualiz]]),1)*IF(DATOS!AI$4="Sí",1/DATOS_[[% normaliz]:[% normaliz]],1)*(DATOS_[Conc.Sal.05])))))))),
0)</f>
        <v>0</v>
      </c>
      <c r="O104" s="196">
        <f t="array" ref="O104">IFERROR(
(MEDIAN((IF(DATOS_[[Sexo]:[Sexo]]=$B104,IF(DATOS_[[AGRUP. CLAS. PROF.]:[AGRUP. CLAS. PROF.]]=$B102,IF(DATOS_[[Check Periodo Ref.]:[Check Periodo Ref.]]="Dentro",IF(DATOS_[[Check Equiparado]:[Check Equiparado]]="Sí",IF(DATOS!AJ$5="Sí",(1/DATOS_[[% anualiz]:[% anualiz]]),1)*IF(DATOS!AJ$4="Sí",1/DATOS_[[% normaliz]:[% normaliz]],1)*(DATOS_[Conc.Sal.06])))))))),
0)</f>
        <v>0</v>
      </c>
      <c r="P104" s="196">
        <f t="array" ref="P104">IFERROR(
(MEDIAN((IF(DATOS_[[Sexo]:[Sexo]]=$B104,IF(DATOS_[[AGRUP. CLAS. PROF.]:[AGRUP. CLAS. PROF.]]=$B102,IF(DATOS_[[Check Periodo Ref.]:[Check Periodo Ref.]]="Dentro",IF(DATOS_[[Check Equiparado]:[Check Equiparado]]="Sí",IF(DATOS!AK$5="Sí",(1/DATOS_[[% anualiz]:[% anualiz]]),1)*IF(DATOS!AK$4="Sí",1/DATOS_[[% normaliz]:[% normaliz]],1)*(DATOS_[Conc.Sal.07])))))))),
0)</f>
        <v>0</v>
      </c>
      <c r="Q104" s="196">
        <f t="array" ref="Q104">IFERROR(
(MEDIAN((IF(DATOS_[[Sexo]:[Sexo]]=$B104,IF(DATOS_[[AGRUP. CLAS. PROF.]:[AGRUP. CLAS. PROF.]]=$B102,IF(DATOS_[[Check Periodo Ref.]:[Check Periodo Ref.]]="Dentro",IF(DATOS_[[Check Equiparado]:[Check Equiparado]]="Sí",IF(DATOS!AL$5="Sí",(1/DATOS_[[% anualiz]:[% anualiz]]),1)*IF(DATOS!AL$4="Sí",1/DATOS_[[% normaliz]:[% normaliz]],1)*(DATOS_[Conc.Sal.08])))))))),
0)</f>
        <v>0</v>
      </c>
      <c r="R104" s="196">
        <f t="array" ref="R104">IFERROR(
(MEDIAN((IF(DATOS_[[Sexo]:[Sexo]]=$B104,IF(DATOS_[[AGRUP. CLAS. PROF.]:[AGRUP. CLAS. PROF.]]=$B102,IF(DATOS_[[Check Periodo Ref.]:[Check Periodo Ref.]]="Dentro",IF(DATOS_[[Check Equiparado]:[Check Equiparado]]="Sí",IF(DATOS!AM$5="Sí",(1/DATOS_[[% anualiz]:[% anualiz]]),1)*IF(DATOS!AM$4="Sí",1/DATOS_[[% normaliz]:[% normaliz]],1)*(DATOS_[Conc.Sal.09])))))))),
0)</f>
        <v>0</v>
      </c>
      <c r="S104" s="196">
        <f t="array" ref="S104">IFERROR(
(MEDIAN((IF(DATOS_[[Sexo]:[Sexo]]=$B104,IF(DATOS_[[AGRUP. CLAS. PROF.]:[AGRUP. CLAS. PROF.]]=$B102,IF(DATOS_[[Check Periodo Ref.]:[Check Periodo Ref.]]="Dentro",IF(DATOS_[[Check Equiparado]:[Check Equiparado]]="Sí",IF(DATOS!AN$5="Sí",(1/DATOS_[[% anualiz]:[% anualiz]]),1)*IF(DATOS!AN$4="Sí",1/DATOS_[[% normaliz]:[% normaliz]],1)*(DATOS_[Conc.Sal.10])))))))),
0)</f>
        <v>0</v>
      </c>
      <c r="T104" s="196">
        <f t="array" ref="T104">IFERROR(
(MEDIAN((IF(DATOS_[[Sexo]:[Sexo]]=$B104,IF(DATOS_[[AGRUP. CLAS. PROF.]:[AGRUP. CLAS. PROF.]]=$B102,IF(DATOS_[[Check Periodo Ref.]:[Check Periodo Ref.]]="Dentro",IF(DATOS_[[Check Equiparado]:[Check Equiparado]]="Sí",IF(DATOS!AO$5="Sí",(1/DATOS_[[% anualiz]:[% anualiz]]),1)*IF(DATOS!AO$4="Sí",1/DATOS_[[% normaliz]:[% normaliz]],1)*(DATOS_[Conc.Sal.11])))))))),
0)</f>
        <v>0</v>
      </c>
      <c r="U104" s="196">
        <f t="array" ref="U104">IFERROR(
(MEDIAN((IF(DATOS_[[Sexo]:[Sexo]]=$B104,IF(DATOS_[[AGRUP. CLAS. PROF.]:[AGRUP. CLAS. PROF.]]=$B102,IF(DATOS_[[Check Periodo Ref.]:[Check Periodo Ref.]]="Dentro",IF(DATOS_[[Check Equiparado]:[Check Equiparado]]="Sí",IF(DATOS!AP$5="Sí",(1/DATOS_[[% anualiz]:[% anualiz]]),1)*IF(DATOS!AP$4="Sí",1/DATOS_[[% normaliz]:[% normaliz]],1)*(DATOS_[Conc.Sal.12])))))))),
0)</f>
        <v>0</v>
      </c>
      <c r="V104" s="196">
        <f t="array" ref="V104">IFERROR(
(MEDIAN((IF(DATOS_[[Sexo]:[Sexo]]=$B104,IF(DATOS_[[AGRUP. CLAS. PROF.]:[AGRUP. CLAS. PROF.]]=$B102,IF(DATOS_[[Check Periodo Ref.]:[Check Periodo Ref.]]="Dentro",IF(DATOS_[[Check Equiparado]:[Check Equiparado]]="Sí",IF(DATOS!AQ$5="Sí",(1/DATOS_[[% anualiz]:[% anualiz]]),1)*IF(DATOS!AQ$4="Sí",1/DATOS_[[% normaliz]:[% normaliz]],1)*(DATOS_[Conc.Sal.13])))))))),
0)</f>
        <v>0</v>
      </c>
      <c r="W104" s="196">
        <f t="array" ref="W104">IFERROR(
(MEDIAN((IF(DATOS_[[Sexo]:[Sexo]]=$B104,IF(DATOS_[[AGRUP. CLAS. PROF.]:[AGRUP. CLAS. PROF.]]=$B102,IF(DATOS_[[Check Periodo Ref.]:[Check Periodo Ref.]]="Dentro",IF(DATOS_[[Check Equiparado]:[Check Equiparado]]="Sí",IF(DATOS!AR$5="Sí",(1/DATOS_[[% anualiz]:[% anualiz]]),1)*IF(DATOS!AR$4="Sí",1/DATOS_[[% normaliz]:[% normaliz]],1)*(DATOS_[Conc.Sal.14])))))))),
0)</f>
        <v>0</v>
      </c>
      <c r="X104" s="196">
        <f t="array" ref="X104">IFERROR(
(MEDIAN((IF(DATOS_[[Sexo]:[Sexo]]=$B104,IF(DATOS_[[AGRUP. CLAS. PROF.]:[AGRUP. CLAS. PROF.]]=$B102,IF(DATOS_[[Check Periodo Ref.]:[Check Periodo Ref.]]="Dentro",IF(DATOS_[[Check Equiparado]:[Check Equiparado]]="Sí",IF(DATOS!AS$5="Sí",(1/DATOS_[[% anualiz]:[% anualiz]]),1)*IF(DATOS!AS$4="Sí",1/DATOS_[[% normaliz]:[% normaliz]],1)*(DATOS_[Conc.Sal.15])))))))),
0)</f>
        <v>0</v>
      </c>
      <c r="Y104" s="196">
        <f t="array" ref="Y104">IFERROR(
(MEDIAN((IF(DATOS_[[Sexo]:[Sexo]]=$B104,IF(DATOS_[[AGRUP. CLAS. PROF.]:[AGRUP. CLAS. PROF.]]=$B102,IF(DATOS_[[Check Periodo Ref.]:[Check Periodo Ref.]]="Dentro",IF(DATOS_[[Check Equiparado]:[Check Equiparado]]="Sí",IF(DATOS!AT$5="Sí",(1/DATOS_[[% anualiz]:[% anualiz]]),1)*IF(DATOS!AT$4="Sí",1/DATOS_[[% normaliz]:[% normaliz]],1)*(DATOS_[Conc.Sal.16])))))))),
0)</f>
        <v>0</v>
      </c>
      <c r="Z104" s="196">
        <f t="array" ref="Z104">IFERROR(
(MEDIAN((IF(DATOS_[[Sexo]:[Sexo]]=$B104,IF(DATOS_[[AGRUP. CLAS. PROF.]:[AGRUP. CLAS. PROF.]]=$B102,IF(DATOS_[[Check Periodo Ref.]:[Check Periodo Ref.]]="Dentro",IF(DATOS_[[Check Equiparado]:[Check Equiparado]]="Sí",IF(DATOS!AU$5="Sí",(1/DATOS_[[% anualiz]:[% anualiz]]),1)*IF(DATOS!AU$4="Sí",1/DATOS_[[% normaliz]:[% normaliz]],1)*(DATOS_[Conc.Sal.17])))))))),
0)</f>
        <v>0</v>
      </c>
      <c r="AA104" s="196">
        <f t="array" ref="AA104">IFERROR(
(MEDIAN((IF(DATOS_[[Sexo]:[Sexo]]=$B104,IF(DATOS_[[AGRUP. CLAS. PROF.]:[AGRUP. CLAS. PROF.]]=$B102,IF(DATOS_[[Check Periodo Ref.]:[Check Periodo Ref.]]="Dentro",IF(DATOS_[[Check Equiparado]:[Check Equiparado]]="Sí",IF(DATOS!AV$5="Sí",(1/DATOS_[[% anualiz]:[% anualiz]]),1)*IF(DATOS!AV$4="Sí",1/DATOS_[[% normaliz]:[% normaliz]],1)*(DATOS_[Conc.Sal.18])))))))),
0)</f>
        <v>0</v>
      </c>
      <c r="AB104" s="196">
        <f t="array" ref="AB104">IFERROR(
(MEDIAN((IF(DATOS_[[Sexo]:[Sexo]]=$B104,IF(DATOS_[[AGRUP. CLAS. PROF.]:[AGRUP. CLAS. PROF.]]=$B102,IF(DATOS_[[Check Periodo Ref.]:[Check Periodo Ref.]]="Dentro",IF(DATOS_[[Check Equiparado]:[Check Equiparado]]="Sí",IF(DATOS!AW$5="Sí",(1/DATOS_[[% anualiz]:[% anualiz]]),1)*IF(DATOS!AW$4="Sí",1/DATOS_[[% normaliz]:[% normaliz]],1)*(DATOS_[Conc.Sal.19])))))))),
0)</f>
        <v>0</v>
      </c>
      <c r="AC104" s="196">
        <f t="array" ref="AC104">IFERROR(
(MEDIAN((IF(DATOS_[[Sexo]:[Sexo]]=$B104,IF(DATOS_[[AGRUP. CLAS. PROF.]:[AGRUP. CLAS. PROF.]]=$B102,IF(DATOS_[[Check Periodo Ref.]:[Check Periodo Ref.]]="Dentro",IF(DATOS_[[Check Equiparado]:[Check Equiparado]]="Sí",IF(DATOS!AX$5="Sí",(1/DATOS_[[% anualiz]:[% anualiz]]),1)*IF(DATOS!AX$4="Sí",1/DATOS_[[% normaliz]:[% normaliz]],1)*(DATOS_[Conc.Sal.20])))))))),
0)</f>
        <v>0</v>
      </c>
      <c r="AD104" s="196">
        <f t="array" ref="AD104">IFERROR(
(MEDIAN((IF(DATOS_[[Sexo]:[Sexo]]=$B104,IF(DATOS_[[AGRUP. CLAS. PROF.]:[AGRUP. CLAS. PROF.]]=$B102,IF(DATOS_[[Check Periodo Ref.]:[Check Periodo Ref.]]="Dentro",IF(DATOS_[[Check Equiparado]:[Check Equiparado]]="Sí",IF(DATOS!AY$5="Sí",(1/DATOS_[[% anualiz]:[% anualiz]]),1)*IF(DATOS!AY$4="Sí",1/DATOS_[[% normaliz]:[% normaliz]],1)*(DATOS_[Conc.Sal.21])))))))),
0)</f>
        <v>0</v>
      </c>
      <c r="AE104" s="196">
        <f t="array" ref="AE104">IFERROR(
(MEDIAN((IF(DATOS_[[Sexo]:[Sexo]]=$B104,IF(DATOS_[[AGRUP. CLAS. PROF.]:[AGRUP. CLAS. PROF.]]=$B102,IF(DATOS_[[Check Periodo Ref.]:[Check Periodo Ref.]]="Dentro",IF(DATOS_[[Check Equiparado]:[Check Equiparado]]="Sí",IF(DATOS!AZ$5="Sí",(1/DATOS_[[% anualiz]:[% anualiz]]),1)*IF(DATOS!AZ$4="Sí",1/DATOS_[[% normaliz]:[% normaliz]],1)*(DATOS_[Conc.Sal.22])))))))),
0)</f>
        <v>0</v>
      </c>
      <c r="AF104" s="196">
        <f t="array" ref="AF104">IFERROR(
(MEDIAN((IF(DATOS_[[Sexo]:[Sexo]]=$B104,IF(DATOS_[[AGRUP. CLAS. PROF.]:[AGRUP. CLAS. PROF.]]=$B102,IF(DATOS_[[Check Periodo Ref.]:[Check Periodo Ref.]]="Dentro",IF(DATOS_[[Check Equiparado]:[Check Equiparado]]="Sí",IF(DATOS!BA$5="Sí",(1/DATOS_[[% anualiz]:[% anualiz]]),1)*IF(DATOS!BA$4="Sí",1/DATOS_[[% normaliz]:[% normaliz]],1)*(DATOS_[Conc.Sal.23])))))))),
0)</f>
        <v>0</v>
      </c>
      <c r="AG104" s="196">
        <f t="array" ref="AG104">IFERROR(
(MEDIAN((IF(DATOS_[[Sexo]:[Sexo]]=$B104,IF(DATOS_[[AGRUP. CLAS. PROF.]:[AGRUP. CLAS. PROF.]]=$B102,IF(DATOS_[[Check Periodo Ref.]:[Check Periodo Ref.]]="Dentro",IF(DATOS_[[Check Equiparado]:[Check Equiparado]]="Sí",IF(DATOS!BB$5="Sí",(1/DATOS_[[% anualiz]:[% anualiz]]),1)*IF(DATOS!BB$4="Sí",1/DATOS_[[% normaliz]:[% normaliz]],1)*(DATOS_[Conc.Sal.24])))))))),
0)</f>
        <v>0</v>
      </c>
      <c r="AH104" s="196">
        <f t="array" ref="AH104">IFERROR(
(MEDIAN((IF(DATOS_[[Sexo]:[Sexo]]=$B104,IF(DATOS_[[AGRUP. CLAS. PROF.]:[AGRUP. CLAS. PROF.]]=$B102,IF(DATOS_[[Check Periodo Ref.]:[Check Periodo Ref.]]="Dentro",IF(DATOS_[[Check Equiparado]:[Check Equiparado]]="Sí",IF(DATOS!BC$5="Sí",(1/DATOS_[[% anualiz]:[% anualiz]]),1)*IF(DATOS!BC$4="Sí",1/DATOS_[[% normaliz]:[% normaliz]],1)*(DATOS_[Conc.Sal.25])))))))),
0)</f>
        <v>0</v>
      </c>
      <c r="AI104" s="196">
        <f t="array" ref="AI104">IFERROR(
(MEDIAN((IF(DATOS_[[Sexo]:[Sexo]]=$B104,IF(DATOS_[[AGRUP. CLAS. PROF.]:[AGRUP. CLAS. PROF.]]=$B102,IF(DATOS_[[Check Periodo Ref.]:[Check Periodo Ref.]]="Dentro",IF(DATOS_[[Check Equiparado]:[Check Equiparado]]="Sí",IF(DATOS!BD$5="Sí",(1/DATOS_[[% anualiz]:[% anualiz]]),1)*IF(DATOS!BD$4="Sí",1/DATOS_[[% normaliz]:[% normaliz]],1)*(DATOS_[Conc.Sal.26])))))))),
0)</f>
        <v>0</v>
      </c>
      <c r="AJ104" s="196">
        <f t="array" ref="AJ104">IFERROR(
(MEDIAN((IF(DATOS_[[Sexo]:[Sexo]]=$B104,IF(DATOS_[[AGRUP. CLAS. PROF.]:[AGRUP. CLAS. PROF.]]=$B102,IF(DATOS_[[Check Periodo Ref.]:[Check Periodo Ref.]]="Dentro",IF(DATOS_[[Check Equiparado]:[Check Equiparado]]="Sí",IF(DATOS!BE$5="Sí",(1/DATOS_[[% anualiz]:[% anualiz]]),1)*IF(DATOS!BE$4="Sí",1/DATOS_[[% normaliz]:[% normaliz]],1)*(DATOS_[Conc.Sal.27])))))))),
0)</f>
        <v>0</v>
      </c>
      <c r="AK104" s="196">
        <f t="array" ref="AK104">IFERROR(
(MEDIAN((IF(DATOS_[[Sexo]:[Sexo]]=$B104,IF(DATOS_[[AGRUP. CLAS. PROF.]:[AGRUP. CLAS. PROF.]]=$B102,IF(DATOS_[[Check Periodo Ref.]:[Check Periodo Ref.]]="Dentro",IF(DATOS_[[Check Equiparado]:[Check Equiparado]]="Sí",IF(DATOS!BF$5="Sí",(1/DATOS_[[% anualiz]:[% anualiz]]),1)*IF(DATOS!BF$4="Sí",1/DATOS_[[% normaliz]:[% normaliz]],1)*(DATOS_[Conc.Sal.28])))))))),
0)</f>
        <v>0</v>
      </c>
      <c r="AL104" s="196">
        <f t="array" ref="AL104">IFERROR(
(MEDIAN((IF(DATOS_[[Sexo]:[Sexo]]=$B104,IF(DATOS_[[AGRUP. CLAS. PROF.]:[AGRUP. CLAS. PROF.]]=$B102,IF(DATOS_[[Check Periodo Ref.]:[Check Periodo Ref.]]="Dentro",IF(DATOS_[[Check Equiparado]:[Check Equiparado]]="Sí",IF(DATOS!BG$5="Sí",(1/DATOS_[[% anualiz]:[% anualiz]]),1)*IF(DATOS!BG$4="Sí",1/DATOS_[[% normaliz]:[% normaliz]],1)*(DATOS_[Conc.Sal.29])))))))),
0)</f>
        <v>0</v>
      </c>
      <c r="AM104" s="196">
        <f t="array" ref="AM104">IFERROR(
(MEDIAN((IF(DATOS_[[Sexo]:[Sexo]]=$B104,IF(DATOS_[[AGRUP. CLAS. PROF.]:[AGRUP. CLAS. PROF.]]=$B102,IF(DATOS_[[Check Periodo Ref.]:[Check Periodo Ref.]]="Dentro",IF(DATOS_[[Check Equiparado]:[Check Equiparado]]="Sí",IF(DATOS!BH$5="Sí",(1/DATOS_[[% anualiz]:[% anualiz]]),1)*IF(DATOS!BH$4="Sí",1/DATOS_[[% normaliz]:[% normaliz]],1)*(DATOS_[Conc.Sal.30])))))))),
0)</f>
        <v>0</v>
      </c>
      <c r="AN104" s="195">
        <f t="array" ref="AN104">IFERROR(
MEDIAN(IF(DATOS_[Sexo]=$B104,IF(DATOS_[[AGRUP. CLAS. PROF.]:[AGRUP. CLAS. PROF.]]=$B102,IF(DATOS_[Check Equiparado]="Sí",IF(DATOS_[Check Periodo Ref.]="Dentro",DATOS_[Tot COMPL.SAL Eq],FALSE))))),
0)</f>
        <v>0</v>
      </c>
      <c r="AO104" s="172">
        <f t="array" ref="AO104">IFERROR(
MEDIAN(IF(DATOS_[Sexo]=$B104,IF(DATOS_[[AGRUP. CLAS. PROF.]:[AGRUP. CLAS. PROF.]]=$B102,IF(DATOS_[Check Equiparado]="Sí",IF(DATOS_[Check Periodo Ref.]="Dentro",DATOS_[TOTAL SALARIO Eq],FALSE))))),
0)</f>
        <v>0</v>
      </c>
      <c r="AP104" s="173">
        <f t="array" ref="AP104">IFERROR(
(MEDIAN((IF(DATOS_[[Sexo]:[Sexo]]=$B104,IF(DATOS_[[AGRUP. CLAS. PROF.]:[AGRUP. CLAS. PROF.]]=$B102,IF(DATOS_[[Check Periodo Ref.]:[Check Periodo Ref.]]="Dentro",IF(DATOS_[[Check Equiparado]:[Check Equiparado]]="Sí",IF(DATOS!BW$5="Sí",(1/DATOS_[[% anualiz]:[% anualiz]]),1)*IF(DATOS!BW$4="Sí",1/DATOS_[[% normaliz]:[% normaliz]],1)*(DATOS_[C.Extra.01])))))))),
0)</f>
        <v>0</v>
      </c>
      <c r="AQ104" s="173">
        <f t="array" ref="AQ104">IFERROR(
(MEDIAN((IF(DATOS_[[Sexo]:[Sexo]]=$B104,IF(DATOS_[[AGRUP. CLAS. PROF.]:[AGRUP. CLAS. PROF.]]=$B102,IF(DATOS_[[Check Periodo Ref.]:[Check Periodo Ref.]]="Dentro",IF(DATOS_[[Check Equiparado]:[Check Equiparado]]="Sí",IF(DATOS!CB$5="Sí",(1/DATOS_[[% anualiz]:[% anualiz]]),1)*IF(DATOS!CB$4="Sí",1/DATOS_[[% normaliz]:[% normaliz]],1)*(DATOS_[C.Extra.06])))))))),
0)</f>
        <v>0</v>
      </c>
      <c r="AR104" s="173">
        <f t="array" ref="AR104">IFERROR(
(MEDIAN((IF(DATOS_[[Sexo]:[Sexo]]=$B104,IF(DATOS_[[AGRUP. CLAS. PROF.]:[AGRUP. CLAS. PROF.]]=$B102,IF(DATOS_[[Check Periodo Ref.]:[Check Periodo Ref.]]="Dentro",IF(DATOS_[[Check Equiparado]:[Check Equiparado]]="Sí",IF(DATOS!CC$5="Sí",(1/DATOS_[[% anualiz]:[% anualiz]]),1)*IF(DATOS!CC$4="Sí",1/DATOS_[[% normaliz]:[% normaliz]],1)*(DATOS_[C.Extra.07])))))))),
0)</f>
        <v>0</v>
      </c>
      <c r="AS104" s="173">
        <f t="array" ref="AS104">IFERROR(
(MEDIAN((IF(DATOS_[[Sexo]:[Sexo]]=$B104,IF(DATOS_[[AGRUP. CLAS. PROF.]:[AGRUP. CLAS. PROF.]]=$B102,IF(DATOS_[[Check Periodo Ref.]:[Check Periodo Ref.]]="Dentro",IF(DATOS_[[Check Equiparado]:[Check Equiparado]]="Sí",IF(DATOS!CD$5="Sí",(1/DATOS_[[% anualiz]:[% anualiz]]),1)*IF(DATOS!CD$4="Sí",1/DATOS_[[% normaliz]:[% normaliz]],1)*(DATOS_[C.Extra.08])))))))),
0)</f>
        <v>0</v>
      </c>
      <c r="AT104" s="173">
        <f t="array" ref="AT104">IFERROR(
(MEDIAN((IF(DATOS_[[Sexo]:[Sexo]]=$B104,IF(DATOS_[[AGRUP. CLAS. PROF.]:[AGRUP. CLAS. PROF.]]=$B102,IF(DATOS_[[Check Periodo Ref.]:[Check Periodo Ref.]]="Dentro",IF(DATOS_[[Check Equiparado]:[Check Equiparado]]="Sí",IF(DATOS!CG$5="Sí",(1/DATOS_[[% anualiz]:[% anualiz]]),1)*IF(DATOS!CG$4="Sí",1/DATOS_[[% normaliz]:[% normaliz]],1)*(DATOS_[C.Extra.11])))))))),
0)</f>
        <v>0</v>
      </c>
      <c r="AU104" s="197">
        <f t="array" ref="AU104">IFERROR(
MEDIAN(IF(DATOS_[Sexo]=$B104,IF(DATOS_[[AGRUP. CLAS. PROF.]:[AGRUP. CLAS. PROF.]]=$B102,IF(DATOS_[Check Equiparado]="Sí",IF(DATOS_[Check Periodo Ref.]="Dentro",DATOS_[Tot Extrasalarial Eq],FALSE))))),
0)</f>
        <v>0</v>
      </c>
      <c r="AV104" s="175">
        <f t="array" ref="AV104">IFERROR(
MEDIAN(IF(DATOS_[Sexo]=$B104,IF(DATOS_[[AGRUP. CLAS. PROF.]:[AGRUP. CLAS. PROF.]]=$B102,IF(DATOS_[Check Equiparado]="Sí",IF(DATOS_[Check Periodo Ref.]="Dentro",DATOS_[TOTAL Retrib Eq],FALSE))))),
0)</f>
        <v>0</v>
      </c>
    </row>
    <row r="105" spans="1:48" ht="25.65" customHeight="1" x14ac:dyDescent="0.25">
      <c r="B105" s="208"/>
      <c r="C105" s="209"/>
      <c r="D105" s="210"/>
      <c r="E105" s="210"/>
      <c r="F105" s="210"/>
      <c r="G105" s="210"/>
      <c r="H105" s="210"/>
    </row>
    <row r="106" spans="1:48" x14ac:dyDescent="0.25">
      <c r="B106" s="202"/>
      <c r="C106" s="203"/>
      <c r="D106" s="204"/>
      <c r="E106" s="204"/>
      <c r="F106" s="204"/>
      <c r="G106" s="204"/>
      <c r="H106" s="204"/>
    </row>
    <row r="107" spans="1:48" x14ac:dyDescent="0.25">
      <c r="B107" s="202"/>
      <c r="C107" s="203"/>
      <c r="D107" s="204"/>
      <c r="E107" s="204"/>
      <c r="F107" s="204"/>
      <c r="G107" s="204"/>
      <c r="H107" s="204"/>
    </row>
    <row r="108" spans="1:48" x14ac:dyDescent="0.25">
      <c r="B108" s="208"/>
      <c r="C108" s="209"/>
      <c r="D108" s="210"/>
      <c r="E108" s="210"/>
      <c r="F108" s="210"/>
      <c r="G108" s="210"/>
      <c r="H108" s="210"/>
    </row>
    <row r="109" spans="1:48" x14ac:dyDescent="0.25">
      <c r="B109" s="202"/>
      <c r="C109" s="203"/>
      <c r="D109" s="204"/>
      <c r="E109" s="204"/>
      <c r="F109" s="204"/>
      <c r="G109" s="204"/>
      <c r="H109" s="204"/>
    </row>
    <row r="110" spans="1:48" x14ac:dyDescent="0.25">
      <c r="B110" s="202"/>
      <c r="C110" s="203"/>
      <c r="D110" s="204"/>
      <c r="E110" s="204"/>
      <c r="F110" s="204"/>
      <c r="G110" s="204"/>
      <c r="H110" s="204"/>
    </row>
    <row r="111" spans="1:48" x14ac:dyDescent="0.25">
      <c r="B111" s="208"/>
      <c r="C111" s="209"/>
      <c r="D111" s="210"/>
      <c r="E111" s="210"/>
      <c r="F111" s="210"/>
      <c r="G111" s="210"/>
      <c r="H111" s="210"/>
    </row>
    <row r="112" spans="1:48" x14ac:dyDescent="0.25">
      <c r="B112" s="202"/>
      <c r="C112" s="203"/>
      <c r="D112" s="204"/>
      <c r="E112" s="204"/>
      <c r="F112" s="204"/>
      <c r="G112" s="204"/>
      <c r="H112" s="204"/>
    </row>
    <row r="113" spans="2:8" x14ac:dyDescent="0.25">
      <c r="B113" s="202"/>
      <c r="C113" s="203"/>
      <c r="D113" s="204"/>
      <c r="E113" s="204"/>
      <c r="F113" s="204"/>
      <c r="G113" s="204"/>
      <c r="H113" s="204"/>
    </row>
    <row r="114" spans="2:8" x14ac:dyDescent="0.25">
      <c r="B114" s="208"/>
      <c r="C114" s="209"/>
      <c r="D114" s="210"/>
      <c r="E114" s="210"/>
      <c r="F114" s="210"/>
      <c r="G114" s="210"/>
      <c r="H114" s="210"/>
    </row>
    <row r="115" spans="2:8" x14ac:dyDescent="0.25">
      <c r="B115" s="202"/>
      <c r="C115" s="203"/>
      <c r="D115" s="204"/>
      <c r="E115" s="204"/>
      <c r="F115" s="204"/>
      <c r="G115" s="204"/>
      <c r="H115" s="204"/>
    </row>
    <row r="116" spans="2:8" x14ac:dyDescent="0.25">
      <c r="B116" s="202"/>
      <c r="C116" s="203"/>
      <c r="D116" s="204"/>
      <c r="E116" s="204"/>
      <c r="F116" s="204"/>
      <c r="G116" s="204"/>
      <c r="H116" s="204"/>
    </row>
  </sheetData>
  <dataConsolidate/>
  <pageMargins left="0.25" right="0.25" top="0.75" bottom="0.75" header="0.3" footer="0.3"/>
  <pageSetup paperSize="9" scale="84" fitToHeight="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tint="0.39997558519241921"/>
    <pageSetUpPr fitToPage="1"/>
  </sheetPr>
  <dimension ref="A1:AR104"/>
  <sheetViews>
    <sheetView showGridLines="0" zoomScale="80" zoomScaleNormal="80" workbookViewId="0">
      <selection activeCell="S4" sqref="S4"/>
    </sheetView>
  </sheetViews>
  <sheetFormatPr baseColWidth="10" defaultColWidth="7.33203125" defaultRowHeight="13.8" outlineLevelCol="1" x14ac:dyDescent="0.25"/>
  <cols>
    <col min="1" max="1" width="8.88671875" style="178" customWidth="1"/>
    <col min="2" max="2" width="10.44140625" style="178" bestFit="1" customWidth="1"/>
    <col min="3" max="3" width="7.33203125" style="178" customWidth="1"/>
    <col min="4" max="4" width="8" style="178" customWidth="1"/>
    <col min="5" max="5" width="10.44140625" style="178" customWidth="1"/>
    <col min="6" max="15" width="8.6640625" style="178" customWidth="1"/>
    <col min="16" max="27" width="8.6640625" style="178" customWidth="1" outlineLevel="1"/>
    <col min="28" max="35" width="8.6640625" style="178" hidden="1" customWidth="1" outlineLevel="1"/>
    <col min="36" max="36" width="10.88671875" style="178" customWidth="1"/>
    <col min="37" max="37" width="9.44140625" style="178" customWidth="1"/>
    <col min="38" max="39" width="8.6640625" style="178" customWidth="1"/>
    <col min="40" max="42" width="8.6640625" style="178" hidden="1" customWidth="1"/>
    <col min="43" max="43" width="13.109375" style="178" customWidth="1"/>
    <col min="44" max="44" width="10.6640625" style="178" customWidth="1"/>
    <col min="45" max="16384" width="7.33203125" style="178"/>
  </cols>
  <sheetData>
    <row r="1" spans="1:44" s="133" customFormat="1" ht="42.6" customHeight="1" x14ac:dyDescent="0.25">
      <c r="E1" s="254" t="s">
        <v>625</v>
      </c>
    </row>
    <row r="2" spans="1:44" ht="18" hidden="1" customHeight="1" x14ac:dyDescent="0.25">
      <c r="G2" s="178" t="str">
        <f>+IF(G8="[ocultar]",G8,"")</f>
        <v/>
      </c>
      <c r="H2" s="178" t="str">
        <f t="shared" ref="H2:AP2" si="0">+IF(H8="[ocultar]",H8,"")</f>
        <v/>
      </c>
      <c r="I2" s="178" t="str">
        <f t="shared" si="0"/>
        <v/>
      </c>
      <c r="J2" s="178" t="str">
        <f t="shared" si="0"/>
        <v/>
      </c>
      <c r="K2" s="178" t="str">
        <f t="shared" si="0"/>
        <v/>
      </c>
      <c r="L2" s="178" t="str">
        <f t="shared" si="0"/>
        <v/>
      </c>
      <c r="M2" s="178" t="str">
        <f t="shared" si="0"/>
        <v/>
      </c>
      <c r="N2" s="178" t="str">
        <f t="shared" si="0"/>
        <v/>
      </c>
      <c r="O2" s="178" t="str">
        <f t="shared" si="0"/>
        <v/>
      </c>
      <c r="P2" s="178" t="str">
        <f t="shared" si="0"/>
        <v/>
      </c>
      <c r="Q2" s="178" t="str">
        <f t="shared" si="0"/>
        <v/>
      </c>
      <c r="R2" s="178" t="str">
        <f t="shared" si="0"/>
        <v/>
      </c>
      <c r="S2" s="178" t="str">
        <f t="shared" si="0"/>
        <v/>
      </c>
      <c r="T2" s="178" t="str">
        <f t="shared" si="0"/>
        <v/>
      </c>
      <c r="U2" s="178" t="str">
        <f t="shared" si="0"/>
        <v/>
      </c>
      <c r="V2" s="178" t="str">
        <f t="shared" si="0"/>
        <v/>
      </c>
      <c r="W2" s="178" t="str">
        <f t="shared" si="0"/>
        <v/>
      </c>
      <c r="X2" s="178" t="str">
        <f t="shared" si="0"/>
        <v/>
      </c>
      <c r="Y2" s="178" t="str">
        <f t="shared" si="0"/>
        <v/>
      </c>
      <c r="Z2" s="178" t="str">
        <f t="shared" si="0"/>
        <v/>
      </c>
      <c r="AA2" s="178" t="str">
        <f t="shared" si="0"/>
        <v>[ocultar]</v>
      </c>
      <c r="AB2" s="178" t="str">
        <f t="shared" si="0"/>
        <v>[ocultar]</v>
      </c>
      <c r="AC2" s="178" t="str">
        <f t="shared" si="0"/>
        <v>[ocultar]</v>
      </c>
      <c r="AD2" s="178" t="str">
        <f t="shared" si="0"/>
        <v>[ocultar]</v>
      </c>
      <c r="AE2" s="178" t="str">
        <f t="shared" si="0"/>
        <v>[ocultar]</v>
      </c>
      <c r="AF2" s="178" t="str">
        <f t="shared" si="0"/>
        <v>[ocultar]</v>
      </c>
      <c r="AG2" s="178" t="str">
        <f t="shared" si="0"/>
        <v>[ocultar]</v>
      </c>
      <c r="AH2" s="178" t="str">
        <f t="shared" si="0"/>
        <v>[ocultar]</v>
      </c>
      <c r="AI2" s="178" t="str">
        <f t="shared" si="0"/>
        <v>[ocultar]</v>
      </c>
      <c r="AJ2" s="178" t="str">
        <f t="shared" si="0"/>
        <v/>
      </c>
      <c r="AK2" s="178" t="str">
        <f t="shared" si="0"/>
        <v/>
      </c>
      <c r="AL2" s="178" t="str">
        <f t="shared" si="0"/>
        <v>[ocultar]</v>
      </c>
      <c r="AM2" s="178" t="str">
        <f t="shared" si="0"/>
        <v>[ocultar]</v>
      </c>
      <c r="AN2" s="178" t="str">
        <f t="shared" si="0"/>
        <v>[ocultar]</v>
      </c>
      <c r="AO2" s="178" t="str">
        <f t="shared" si="0"/>
        <v>[ocultar]</v>
      </c>
      <c r="AP2" s="178" t="str">
        <f t="shared" si="0"/>
        <v>[ocultar]</v>
      </c>
    </row>
    <row r="3" spans="1:44" ht="14.1" customHeight="1" x14ac:dyDescent="0.25">
      <c r="E3" s="179" t="str">
        <f>+"Razón Social: "&amp;Inicio!C6&amp;"  -  NIF: "&amp;Inicio!C8</f>
        <v>Razón Social: TANATORIOS DE CORDOBA, SA/Convenio Colectivo de Sector de POMPAS FUNEBRES (14000425011981) de Córdoba  -  NIF: A14087548</v>
      </c>
      <c r="F3" s="180"/>
    </row>
    <row r="4" spans="1:44" ht="14.1" customHeight="1" x14ac:dyDescent="0.25">
      <c r="E4" s="181" t="s">
        <v>4</v>
      </c>
      <c r="F4" s="182"/>
    </row>
    <row r="5" spans="1:44" ht="14.1" customHeight="1" x14ac:dyDescent="0.25">
      <c r="E5" s="183">
        <f>+Inicio!E10</f>
        <v>45292</v>
      </c>
      <c r="F5" s="184" t="str">
        <f>+Inicio!D10</f>
        <v>fecha inicio</v>
      </c>
    </row>
    <row r="6" spans="1:44" ht="14.1" customHeight="1" x14ac:dyDescent="0.25">
      <c r="E6" s="183">
        <f>+Inicio!G10</f>
        <v>45657</v>
      </c>
      <c r="F6" s="184" t="s">
        <v>6</v>
      </c>
    </row>
    <row r="7" spans="1:44" s="143" customFormat="1" ht="23.1" customHeight="1" x14ac:dyDescent="0.3"/>
    <row r="8" spans="1:44" s="185" customFormat="1" ht="46.35" customHeight="1" x14ac:dyDescent="0.3">
      <c r="B8" s="145"/>
      <c r="C8" s="145" t="s">
        <v>621</v>
      </c>
      <c r="D8" s="145" t="s">
        <v>622</v>
      </c>
      <c r="E8" s="146" t="s">
        <v>151</v>
      </c>
      <c r="F8" s="147" t="str">
        <f>+IF(DATOS!AE6="","[ocultar]",DATOS!AE6)</f>
        <v>HORAS EXTRAS</v>
      </c>
      <c r="G8" s="147" t="str">
        <f>+IF(DATOS!AF6="","[ocultar]",DATOS!AF6)</f>
        <v>SEGURO CONVENIO</v>
      </c>
      <c r="H8" s="147" t="str">
        <f>+IF(DATOS!AG6="","[ocultar]",DATOS!AG6)</f>
        <v>PLUS UNIFICADO</v>
      </c>
      <c r="I8" s="147" t="str">
        <f>+IF(DATOS!AH6="","[ocultar]",DATOS!AH6)</f>
        <v>GARANTIA AD PERS</v>
      </c>
      <c r="J8" s="147" t="str">
        <f>+IF(DATOS!AI6="","[ocultar]",DATOS!AI6)</f>
        <v>COMISIONES</v>
      </c>
      <c r="K8" s="147" t="str">
        <f>+IF(DATOS!AJ6="","[ocultar]",DATOS!AJ6)</f>
        <v>DOMINGOS Y FESTIVOS</v>
      </c>
      <c r="L8" s="147" t="str">
        <f>+IF(DATOS!AK6="","[ocultar]",DATOS!AK6)</f>
        <v>LOCOMOCION NO</v>
      </c>
      <c r="M8" s="147" t="str">
        <f>+IF(DATOS!AL6="","[ocultar]",DATOS!AL6)</f>
        <v>PLUS EXTRA VAC</v>
      </c>
      <c r="N8" s="147" t="str">
        <f>+IF(DATOS!AM6="","[ocultar]",DATOS!AM6)</f>
        <v>PLUS DE TRANS</v>
      </c>
      <c r="O8" s="147" t="str">
        <f>+IF(DATOS!AN6="","[ocultar]",DATOS!AN6)</f>
        <v>PLUS ACTIVIDAD</v>
      </c>
      <c r="P8" s="147" t="str">
        <f>+IF(DATOS!AO6="","[ocultar]",DATOS!AO6)</f>
        <v>CUOTA SINDICAL</v>
      </c>
      <c r="Q8" s="147" t="str">
        <f>+IF(DATOS!AP6="","[ocultar]",DATOS!AP6)</f>
        <v>AYUDA FAMILIAR</v>
      </c>
      <c r="R8" s="147" t="str">
        <f>+IF(DATOS!AQ6="","[ocultar]",DATOS!AQ6)</f>
        <v>INCENTIVO</v>
      </c>
      <c r="S8" s="147" t="str">
        <f>+IF(DATOS!AR6="","[ocultar]",DATOS!AR6)</f>
        <v>SEGURO MEDICO</v>
      </c>
      <c r="T8" s="147" t="str">
        <f>+IF(DATOS!AS6="","[ocultar]",DATOS!AS6)</f>
        <v>DES. SEGURO MEDICO</v>
      </c>
      <c r="U8" s="147" t="str">
        <f>+IF(DATOS!AT6="","[ocultar]",DATOS!AT6)</f>
        <v>SEGURO SALUD 2</v>
      </c>
      <c r="V8" s="147" t="str">
        <f>+IF(DATOS!AU6="","[ocultar]",DATOS!AU6)</f>
        <v>COMP. EMPRESA I.T.</v>
      </c>
      <c r="W8" s="147" t="str">
        <f>+IF(DATOS!AV6="","[ocultar]",DATOS!AV6)</f>
        <v>I.T. CUENTA EMPRESA</v>
      </c>
      <c r="X8" s="147" t="str">
        <f>+IF(DATOS!AW6="","[ocultar]",DATOS!AW6)</f>
        <v>SALARIO EN ESPECIE</v>
      </c>
      <c r="Y8" s="147" t="str">
        <f>+IF(DATOS!AX6="","[ocultar]",DATOS!AX6)</f>
        <v>PLUS DE POLIVALENCIA</v>
      </c>
      <c r="Z8" s="147" t="str">
        <f>+IF(DATOS!AY6="","[ocultar]",DATOS!AY6)</f>
        <v>LIQUID  PAGAS EXTRA</v>
      </c>
      <c r="AA8" s="147" t="str">
        <f>+IF(DATOS!AZ6="","[ocultar]",DATOS!AZ6)</f>
        <v>[ocultar]</v>
      </c>
      <c r="AB8" s="147" t="str">
        <f>+IF(DATOS!BA6="","[ocultar]",DATOS!BA6)</f>
        <v>[ocultar]</v>
      </c>
      <c r="AC8" s="147" t="str">
        <f>+IF(DATOS!BB6="","[ocultar]",DATOS!BB6)</f>
        <v>[ocultar]</v>
      </c>
      <c r="AD8" s="147" t="str">
        <f>+IF(DATOS!BC6="","[ocultar]",DATOS!BC6)</f>
        <v>[ocultar]</v>
      </c>
      <c r="AE8" s="147" t="str">
        <f>+IF(DATOS!BD6="","[ocultar]",DATOS!BD6)</f>
        <v>[ocultar]</v>
      </c>
      <c r="AF8" s="147" t="str">
        <f>+IF(DATOS!BE6="","[ocultar]",DATOS!BE6)</f>
        <v>[ocultar]</v>
      </c>
      <c r="AG8" s="147" t="str">
        <f>+IF(DATOS!BF6="","[ocultar]",DATOS!BF6)</f>
        <v>[ocultar]</v>
      </c>
      <c r="AH8" s="147" t="str">
        <f>+IF(DATOS!BG6="","[ocultar]",DATOS!BG6)</f>
        <v>[ocultar]</v>
      </c>
      <c r="AI8" s="147" t="str">
        <f>+IF(DATOS!BH6="","[ocultar]",DATOS!BH6)</f>
        <v>[ocultar]</v>
      </c>
      <c r="AJ8" s="148" t="s">
        <v>153</v>
      </c>
      <c r="AK8" s="149" t="s">
        <v>155</v>
      </c>
      <c r="AL8" s="150" t="str">
        <f>+IF(DATOS!BW6="","[ocultar]",DATOS!BW6)</f>
        <v>[ocultar]</v>
      </c>
      <c r="AM8" s="150" t="str">
        <f>+IF(DATOS!CB6="","[ocultar]",DATOS!CB6)</f>
        <v>[ocultar]</v>
      </c>
      <c r="AN8" s="150" t="str">
        <f>+IF(DATOS!CC6="","[ocultar]",DATOS!CC6)</f>
        <v>[ocultar]</v>
      </c>
      <c r="AO8" s="150" t="str">
        <f>+IF(DATOS!CD6="","[ocultar]",DATOS!CD6)</f>
        <v>[ocultar]</v>
      </c>
      <c r="AP8" s="150" t="str">
        <f>+IF(DATOS!CG6="","[ocultar]",DATOS!CG6)</f>
        <v>[ocultar]</v>
      </c>
      <c r="AQ8" s="151" t="s">
        <v>157</v>
      </c>
      <c r="AR8" s="148" t="s">
        <v>159</v>
      </c>
    </row>
    <row r="9" spans="1:44" s="186" customFormat="1" ht="15.6" thickBot="1" x14ac:dyDescent="0.3">
      <c r="B9" s="153" t="s">
        <v>623</v>
      </c>
      <c r="C9" s="154"/>
      <c r="D9" s="155"/>
      <c r="E9" s="156">
        <f t="shared" ref="E9" si="1">IFERROR((E10-E11)/E10,"")</f>
        <v>-6.1519257360041206E-2</v>
      </c>
      <c r="F9" s="157">
        <f>IFERROR((F10-F11)/F10,"")</f>
        <v>0.45178616499474861</v>
      </c>
      <c r="G9" s="158">
        <f t="shared" ref="G9:AR9" si="2">IFERROR((G10-G11)/G10,"")</f>
        <v>-1.2111349151788404</v>
      </c>
      <c r="H9" s="158">
        <f t="shared" si="2"/>
        <v>7.8635098568371198E-2</v>
      </c>
      <c r="I9" s="158">
        <f t="shared" si="2"/>
        <v>-0.44385002184638556</v>
      </c>
      <c r="J9" s="159">
        <f t="shared" si="2"/>
        <v>-1.9670234892169638E-2</v>
      </c>
      <c r="K9" s="160">
        <f t="shared" si="2"/>
        <v>-0.13863259037711298</v>
      </c>
      <c r="L9" s="160">
        <f t="shared" si="2"/>
        <v>-4.1260012005173971E-2</v>
      </c>
      <c r="M9" s="160">
        <f t="shared" si="2"/>
        <v>0.73889394610106462</v>
      </c>
      <c r="N9" s="160">
        <f t="shared" si="2"/>
        <v>2.8887961804107052E-2</v>
      </c>
      <c r="O9" s="160">
        <f t="shared" si="2"/>
        <v>-1.2269827580119816</v>
      </c>
      <c r="P9" s="160">
        <f t="shared" si="2"/>
        <v>-0.55553460334690596</v>
      </c>
      <c r="Q9" s="160">
        <f t="shared" si="2"/>
        <v>0.48142871143074695</v>
      </c>
      <c r="R9" s="160">
        <f t="shared" si="2"/>
        <v>0.10464478460780466</v>
      </c>
      <c r="S9" s="160">
        <f t="shared" si="2"/>
        <v>-0.4187770782365377</v>
      </c>
      <c r="T9" s="160">
        <f t="shared" si="2"/>
        <v>0.23178508028725897</v>
      </c>
      <c r="U9" s="160">
        <f t="shared" si="2"/>
        <v>-0.60849118343287545</v>
      </c>
      <c r="V9" s="159">
        <f t="shared" si="2"/>
        <v>0.25851653532896646</v>
      </c>
      <c r="W9" s="159">
        <f t="shared" si="2"/>
        <v>-2.8170295978252025</v>
      </c>
      <c r="X9" s="159">
        <f t="shared" si="2"/>
        <v>-0.89801754926143851</v>
      </c>
      <c r="Y9" s="159">
        <f t="shared" si="2"/>
        <v>-1.5245080551245647</v>
      </c>
      <c r="Z9" s="159">
        <f t="shared" si="2"/>
        <v>0.20630436732131646</v>
      </c>
      <c r="AA9" s="159" t="str">
        <f t="shared" si="2"/>
        <v/>
      </c>
      <c r="AB9" s="159">
        <f t="shared" si="2"/>
        <v>-1.2962962962962963</v>
      </c>
      <c r="AC9" s="159" t="str">
        <f t="shared" si="2"/>
        <v/>
      </c>
      <c r="AD9" s="159" t="str">
        <f t="shared" si="2"/>
        <v/>
      </c>
      <c r="AE9" s="159" t="str">
        <f t="shared" si="2"/>
        <v/>
      </c>
      <c r="AF9" s="159" t="str">
        <f t="shared" si="2"/>
        <v/>
      </c>
      <c r="AG9" s="159" t="str">
        <f t="shared" si="2"/>
        <v/>
      </c>
      <c r="AH9" s="159" t="str">
        <f t="shared" si="2"/>
        <v/>
      </c>
      <c r="AI9" s="159" t="str">
        <f t="shared" si="2"/>
        <v/>
      </c>
      <c r="AJ9" s="161">
        <f t="shared" si="2"/>
        <v>-8.5198090484929767E-2</v>
      </c>
      <c r="AK9" s="162">
        <f t="shared" si="2"/>
        <v>-7.3603900658249524E-2</v>
      </c>
      <c r="AL9" s="163" t="str">
        <f t="shared" si="2"/>
        <v/>
      </c>
      <c r="AM9" s="163" t="str">
        <f t="shared" si="2"/>
        <v/>
      </c>
      <c r="AN9" s="163" t="str">
        <f t="shared" si="2"/>
        <v/>
      </c>
      <c r="AO9" s="163" t="str">
        <f t="shared" si="2"/>
        <v/>
      </c>
      <c r="AP9" s="163" t="str">
        <f t="shared" si="2"/>
        <v/>
      </c>
      <c r="AQ9" s="164" t="str">
        <f t="shared" si="2"/>
        <v/>
      </c>
      <c r="AR9" s="165">
        <f t="shared" si="2"/>
        <v>-7.3603900658249524E-2</v>
      </c>
    </row>
    <row r="10" spans="1:44" s="186" customFormat="1" x14ac:dyDescent="0.25">
      <c r="B10" s="166" t="s">
        <v>394</v>
      </c>
      <c r="C10" s="167">
        <f t="array" ref="C10">SUM(IF($B10=DATOS_[Sexo],
IF("Dentro"=DATOS_[Check Periodo Ref.],
1/(COUNTIFS(DATOS_[Sexo],$B10,DATOS_[Check Periodo Ref.],"Dentro",DATOS_[id/cod],DATOS_[id/cod])))))</f>
        <v>60</v>
      </c>
      <c r="D10" s="168">
        <f>COUNTIFS(DATOS_[AGRUP. VALOR. PTO.],"&lt;&gt;",DATOS_[Sexo],$B10,DATOS_[Check Periodo Ref.],"Dentro")</f>
        <v>0</v>
      </c>
      <c r="E10" s="169">
        <f t="array" ref="E10">IFERROR(
AVERAGE(IF(DATOS_[Sexo]=$B10,IF(DATOS_[Check Periodo Ref.]="Dentro",DATOS_[SALARIO BASE Ef],FALSE))),
0)</f>
        <v>2618.3827419354834</v>
      </c>
      <c r="F10" s="170">
        <f t="array" ref="F10">IFERROR(
(AVERAGE((IF(DATOS_[[Sexo]:[Sexo]]=$B10,IF(DATOS_[[Check Periodo Ref.]:[Check Periodo Ref.]]="Dentro",DATOS_[Conc.Sal.01]))))),
0)</f>
        <v>580.26661290322579</v>
      </c>
      <c r="G10" s="170">
        <f t="array" ref="G10">IFERROR(
(AVERAGE((IF(DATOS_[[Sexo]:[Sexo]]=$B10,IF(DATOS_[[Check Periodo Ref.]:[Check Periodo Ref.]]="Dentro",DATOS_[Conc.Sal.02]))))),
0)</f>
        <v>41.683387096774197</v>
      </c>
      <c r="H10" s="170">
        <f t="array" ref="H10">IFERROR(
(AVERAGE((IF(DATOS_[[Sexo]:[Sexo]]=$B10,IF(DATOS_[[Check Periodo Ref.]:[Check Periodo Ref.]]="Dentro",DATOS_[Conc.Sal.03]))))),
0)</f>
        <v>211.06709677419352</v>
      </c>
      <c r="I10" s="170">
        <f t="array" ref="I10">IFERROR(
(AVERAGE((IF(DATOS_[[Sexo]:[Sexo]]=$B10,IF(DATOS_[[Check Periodo Ref.]:[Check Periodo Ref.]]="Dentro",DATOS_[Conc.Sal.04]))))),
0)</f>
        <v>210.50919354838709</v>
      </c>
      <c r="J10" s="170">
        <f t="array" ref="J10">IFERROR(
(AVERAGE((IF(DATOS_[[Sexo]:[Sexo]]=$B10,IF(DATOS_[[Check Periodo Ref.]:[Check Periodo Ref.]]="Dentro",DATOS_[Conc.Sal.05]))))),
0)</f>
        <v>53.172419354838709</v>
      </c>
      <c r="K10" s="170">
        <f t="array" ref="K10">IFERROR(
(AVERAGE((IF(DATOS_[[Sexo]:[Sexo]]=$B10,IF(DATOS_[[Check Periodo Ref.]:[Check Periodo Ref.]]="Dentro",DATOS_[Conc.Sal.06]))))),
0)</f>
        <v>273.62596774193548</v>
      </c>
      <c r="L10" s="170">
        <f t="array" ref="L10">IFERROR(
(AVERAGE((IF(DATOS_[[Sexo]:[Sexo]]=$B10,IF(DATOS_[[Check Periodo Ref.]:[Check Periodo Ref.]]="Dentro",DATOS_[Conc.Sal.07]))))),
0)</f>
        <v>123.91112903225806</v>
      </c>
      <c r="M10" s="170">
        <f t="array" ref="M10">IFERROR(
(AVERAGE((IF(DATOS_[[Sexo]:[Sexo]]=$B10,IF(DATOS_[[Check Periodo Ref.]:[Check Periodo Ref.]]="Dentro",DATOS_[Conc.Sal.08]))))),
0)</f>
        <v>81.859032258064516</v>
      </c>
      <c r="N10" s="170">
        <f t="array" ref="N10">IFERROR(
(AVERAGE((IF(DATOS_[[Sexo]:[Sexo]]=$B10,IF(DATOS_[[Check Periodo Ref.]:[Check Periodo Ref.]]="Dentro",DATOS_[Conc.Sal.09]))))),
0)</f>
        <v>69.590322580645164</v>
      </c>
      <c r="O10" s="170">
        <f t="array" ref="O10">IFERROR(
(AVERAGE((IF(DATOS_[[Sexo]:[Sexo]]=$B10,IF(DATOS_[[Check Periodo Ref.]:[Check Periodo Ref.]]="Dentro",DATOS_[Conc.Sal.10]))))),
0)</f>
        <v>59.220967741935482</v>
      </c>
      <c r="P10" s="170">
        <f t="array" ref="P10">IFERROR(
(AVERAGE((IF(DATOS_[[Sexo]:[Sexo]]=$B10,IF(DATOS_[[Check Periodo Ref.]:[Check Periodo Ref.]]="Dentro",DATOS_[Conc.Sal.11]))))),
0)</f>
        <v>65.575645161290325</v>
      </c>
      <c r="Q10" s="170">
        <f t="array" ref="Q10">IFERROR(
(AVERAGE((IF(DATOS_[[Sexo]:[Sexo]]=$B10,IF(DATOS_[[Check Periodo Ref.]:[Check Periodo Ref.]]="Dentro",DATOS_[Conc.Sal.12]))))),
0)</f>
        <v>102.22209677419356</v>
      </c>
      <c r="R10" s="170">
        <f t="array" ref="R10">IFERROR(
(AVERAGE((IF(DATOS_[[Sexo]:[Sexo]]=$B10,IF(DATOS_[[Check Periodo Ref.]:[Check Periodo Ref.]]="Dentro",DATOS_[Conc.Sal.13]))))),
0)</f>
        <v>186.84887096774196</v>
      </c>
      <c r="S10" s="170">
        <f t="array" ref="S10">IFERROR(
(AVERAGE((IF(DATOS_[[Sexo]:[Sexo]]=$B10,IF(DATOS_[[Check Periodo Ref.]:[Check Periodo Ref.]]="Dentro",DATOS_[Conc.Sal.14]))))),
0)</f>
        <v>30.912903225806449</v>
      </c>
      <c r="T10" s="170">
        <f t="array" ref="T10">IFERROR(
(AVERAGE((IF(DATOS_[[Sexo]:[Sexo]]=$B10,IF(DATOS_[[Check Periodo Ref.]:[Check Periodo Ref.]]="Dentro",DATOS_[Conc.Sal.15]))))),
0)</f>
        <v>29.612903225806452</v>
      </c>
      <c r="U10" s="170">
        <f t="array" ref="U10">IFERROR(
(AVERAGE((IF(DATOS_[[Sexo]:[Sexo]]=$B10,IF(DATOS_[[Check Periodo Ref.]:[Check Periodo Ref.]]="Dentro",DATOS_[Conc.Sal.16]))))),
0)</f>
        <v>292.87177419354839</v>
      </c>
      <c r="V10" s="170">
        <f t="array" ref="V10">IFERROR(
(AVERAGE((IF(DATOS_[[Sexo]:[Sexo]]=$B10,IF(DATOS_[[Check Periodo Ref.]:[Check Periodo Ref.]]="Dentro",DATOS_[Conc.Sal.17]))))),
0)</f>
        <v>24.57935483870968</v>
      </c>
      <c r="W10" s="170">
        <f t="array" ref="W10">IFERROR(
(AVERAGE((IF(DATOS_[[Sexo]:[Sexo]]=$B10,IF(DATOS_[[Check Periodo Ref.]:[Check Periodo Ref.]]="Dentro",DATOS_[Conc.Sal.18]))))),
0)</f>
        <v>48.196290322580637</v>
      </c>
      <c r="X10" s="170">
        <f t="array" ref="X10">IFERROR(
(AVERAGE((IF(DATOS_[[Sexo]:[Sexo]]=$B10,IF(DATOS_[[Check Periodo Ref.]:[Check Periodo Ref.]]="Dentro",DATOS_[Conc.Sal.19]))))),
0)</f>
        <v>41.441290322580649</v>
      </c>
      <c r="Y10" s="170">
        <f t="array" ref="Y10">IFERROR(
(AVERAGE((IF(DATOS_[[Sexo]:[Sexo]]=$B10,IF(DATOS_[[Check Periodo Ref.]:[Check Periodo Ref.]]="Dentro",DATOS_[Conc.Sal.20]))))),
0)</f>
        <v>16.979032258064517</v>
      </c>
      <c r="Z10" s="170">
        <f t="array" ref="Z10">IFERROR(
(AVERAGE((IF(DATOS_[[Sexo]:[Sexo]]=$B10,IF(DATOS_[[Check Periodo Ref.]:[Check Periodo Ref.]]="Dentro",DATOS_[Conc.Sal.21]))))),
0)</f>
        <v>181.8532258064516</v>
      </c>
      <c r="AA10" s="170">
        <f t="array" ref="AA10">IFERROR(
(AVERAGE((IF(DATOS_[[Sexo]:[Sexo]]=$B10,IF(DATOS_[[Check Periodo Ref.]:[Check Periodo Ref.]]="Dentro",DATOS_[Conc.Sal.22]))))),
0)</f>
        <v>0</v>
      </c>
      <c r="AB10" s="170">
        <f t="array" ref="AB10">IFERROR(
(AVERAGE((IF(DATOS_[[Sexo]:[Sexo]]=$B10,IF(DATOS_[[Check Periodo Ref.]:[Check Periodo Ref.]]="Dentro",DATOS_[Conc.Sal.23]))))),
0)</f>
        <v>3.1451612903225805</v>
      </c>
      <c r="AC10" s="170">
        <f t="array" ref="AC10">IFERROR(
(AVERAGE((IF(DATOS_[[Sexo]:[Sexo]]=$B10,IF(DATOS_[[Check Periodo Ref.]:[Check Periodo Ref.]]="Dentro",DATOS_[Conc.Sal.24]))))),
0)</f>
        <v>0</v>
      </c>
      <c r="AD10" s="170">
        <f t="array" ref="AD10">IFERROR(
(AVERAGE((IF(DATOS_[[Sexo]:[Sexo]]=$B10,IF(DATOS_[[Check Periodo Ref.]:[Check Periodo Ref.]]="Dentro",DATOS_[Conc.Sal.25]))))),
0)</f>
        <v>0</v>
      </c>
      <c r="AE10" s="170">
        <f t="array" ref="AE10">IFERROR(
(AVERAGE((IF(DATOS_[[Sexo]:[Sexo]]=$B10,IF(DATOS_[[Check Periodo Ref.]:[Check Periodo Ref.]]="Dentro",DATOS_[Conc.Sal.26]))))),
0)</f>
        <v>0</v>
      </c>
      <c r="AF10" s="170">
        <f t="array" ref="AF10">IFERROR(
(AVERAGE((IF(DATOS_[[Sexo]:[Sexo]]=$B10,IF(DATOS_[[Check Periodo Ref.]:[Check Periodo Ref.]]="Dentro",DATOS_[Conc.Sal.27]))))),
0)</f>
        <v>0</v>
      </c>
      <c r="AG10" s="170">
        <f t="array" ref="AG10">IFERROR(
(AVERAGE((IF(DATOS_[[Sexo]:[Sexo]]=$B10,IF(DATOS_[[Check Periodo Ref.]:[Check Periodo Ref.]]="Dentro",DATOS_[Conc.Sal.28]))))),
0)</f>
        <v>0</v>
      </c>
      <c r="AH10" s="170">
        <f t="array" ref="AH10">IFERROR(
(AVERAGE((IF(DATOS_[[Sexo]:[Sexo]]=$B10,IF(DATOS_[[Check Periodo Ref.]:[Check Periodo Ref.]]="Dentro",DATOS_[Conc.Sal.29]))))),
0)</f>
        <v>0</v>
      </c>
      <c r="AI10" s="170">
        <f t="array" ref="AI10">IFERROR(
(AVERAGE((IF(DATOS_[[Sexo]:[Sexo]]=$B10,IF(DATOS_[[Check Periodo Ref.]:[Check Periodo Ref.]]="Dentro",DATOS_[Conc.Sal.30]))))),
0)</f>
        <v>0</v>
      </c>
      <c r="AJ10" s="171">
        <f t="array" ref="AJ10">IFERROR(
AVERAGE(IF(DATOS_[Sexo]=$B10,IF(DATOS_[Check Periodo Ref.]="Dentro",DATOS_[Tot COMPL.SAL Ef],FALSE))),
0)</f>
        <v>2729.1446774193546</v>
      </c>
      <c r="AK10" s="172">
        <f t="array" ref="AK10">IFERROR(
AVERAGE(IF(DATOS_[Sexo]=$B10,IF(DATOS_[Check Periodo Ref.]="Dentro",DATOS_[TOTAL SALARIO Ef],FALSE))),
0)</f>
        <v>5347.5274193548375</v>
      </c>
      <c r="AL10" s="173">
        <f t="array" ref="AL10">IFERROR(
(AVERAGE((IF(DATOS_[[Sexo]:[Sexo]]=$B10,IF(DATOS_[[Check Periodo Ref.]:[Check Periodo Ref.]]="Dentro",DATOS_[C.Extra.01]))))),
0)</f>
        <v>0</v>
      </c>
      <c r="AM10" s="173">
        <f t="array" ref="AM10">IFERROR(
(AVERAGE((IF(DATOS_[[Sexo]:[Sexo]]=$B10,IF(DATOS_[[Check Periodo Ref.]:[Check Periodo Ref.]]="Dentro",DATOS_[C.Extra.06]))))),
0)</f>
        <v>0</v>
      </c>
      <c r="AN10" s="173">
        <f t="array" ref="AN10">IFERROR(
(AVERAGE((IF(DATOS_[[Sexo]:[Sexo]]=$B10,IF(DATOS_[[Check Periodo Ref.]:[Check Periodo Ref.]]="Dentro",DATOS_[C.Extra.07]))))),
0)</f>
        <v>0</v>
      </c>
      <c r="AO10" s="173">
        <f t="array" ref="AO10">IFERROR(
(AVERAGE((IF(DATOS_[[Sexo]:[Sexo]]=$B10,IF(DATOS_[[Check Periodo Ref.]:[Check Periodo Ref.]]="Dentro",DATOS_[C.Extra.08]))))),
0)</f>
        <v>0</v>
      </c>
      <c r="AP10" s="173">
        <f t="array" ref="AP10">IFERROR(
(AVERAGE((IF(DATOS_[[Sexo]:[Sexo]]=$B10,IF(DATOS_[[Check Periodo Ref.]:[Check Periodo Ref.]]="Dentro",DATOS_[C.Extra.11]))))),
0)</f>
        <v>0</v>
      </c>
      <c r="AQ10" s="174">
        <f t="array" ref="AQ10">IFERROR(
AVERAGE(IF(DATOS_[Sexo]=$B10,IF(DATOS_[Check Periodo Ref.]="Dentro",DATOS_[Tot Extrasalarial Ef],FALSE))),
0)</f>
        <v>0</v>
      </c>
      <c r="AR10" s="175">
        <f t="array" ref="AR10">IFERROR(
AVERAGE(IF(DATOS_[Sexo]=$B10,IF(DATOS_[Check Periodo Ref.]="Dentro",DATOS_[TOTAL Retrib Ef],FALSE))),
0)</f>
        <v>5347.5274193548375</v>
      </c>
    </row>
    <row r="11" spans="1:44" s="186" customFormat="1" x14ac:dyDescent="0.25">
      <c r="B11" s="166" t="s">
        <v>521</v>
      </c>
      <c r="C11" s="167">
        <f t="array" ref="C11">SUM(IF($B11=DATOS_[Sexo],
IF("Dentro"=DATOS_[Check Periodo Ref.],
1/(COUNTIFS(DATOS_[Sexo],$B11,DATOS_[Check Periodo Ref.],"Dentro",DATOS_[id/cod],DATOS_[id/cod])))))</f>
        <v>52.000000000000007</v>
      </c>
      <c r="D11" s="168">
        <f>COUNTIFS(DATOS_[AGRUP. VALOR. PTO.],"&lt;&gt;",DATOS_[Sexo],$B11,DATOS_[Check Periodo Ref.],"Dentro")</f>
        <v>0</v>
      </c>
      <c r="E11" s="169">
        <f t="array" ref="E11">IFERROR(
AVERAGE(IF(DATOS_[Sexo]=$B11,IF(DATOS_[Check Periodo Ref.]="Dentro",DATOS_[SALARIO BASE Ef],FALSE))),
0)</f>
        <v>2779.4637037037028</v>
      </c>
      <c r="F11" s="170">
        <f t="array" ref="F11">IFERROR(
(AVERAGE((IF(DATOS_[[Sexo]:[Sexo]]=$B11,IF(DATOS_[[Check Periodo Ref.]:[Check Periodo Ref.]]="Dentro",DATOS_[Conc.Sal.01]))))),
0)</f>
        <v>318.11018518518512</v>
      </c>
      <c r="G11" s="170">
        <f t="array" ref="G11">IFERROR(
(AVERAGE((IF(DATOS_[[Sexo]:[Sexo]]=$B11,IF(DATOS_[[Check Periodo Ref.]:[Check Periodo Ref.]]="Dentro",DATOS_[Conc.Sal.02]))))),
0)</f>
        <v>92.167592592592584</v>
      </c>
      <c r="H11" s="170">
        <f t="array" ref="H11">IFERROR(
(AVERAGE((IF(DATOS_[[Sexo]:[Sexo]]=$B11,IF(DATOS_[[Check Periodo Ref.]:[Check Periodo Ref.]]="Dentro",DATOS_[Conc.Sal.03]))))),
0)</f>
        <v>194.46981481481487</v>
      </c>
      <c r="I11" s="170">
        <f t="array" ref="I11">IFERROR(
(AVERAGE((IF(DATOS_[[Sexo]:[Sexo]]=$B11,IF(DATOS_[[Check Periodo Ref.]:[Check Periodo Ref.]]="Dentro",DATOS_[Conc.Sal.04]))))),
0)</f>
        <v>303.9437037037037</v>
      </c>
      <c r="J11" s="170">
        <f t="array" ref="J11">IFERROR(
(AVERAGE((IF(DATOS_[[Sexo]:[Sexo]]=$B11,IF(DATOS_[[Check Periodo Ref.]:[Check Periodo Ref.]]="Dentro",DATOS_[Conc.Sal.05]))))),
0)</f>
        <v>54.218333333333334</v>
      </c>
      <c r="K11" s="170">
        <f t="array" ref="K11">IFERROR(
(AVERAGE((IF(DATOS_[[Sexo]:[Sexo]]=$B11,IF(DATOS_[[Check Periodo Ref.]:[Check Periodo Ref.]]="Dentro",DATOS_[Conc.Sal.06]))))),
0)</f>
        <v>311.55944444444435</v>
      </c>
      <c r="L11" s="170">
        <f t="array" ref="L11">IFERROR(
(AVERAGE((IF(DATOS_[[Sexo]:[Sexo]]=$B11,IF(DATOS_[[Check Periodo Ref.]:[Check Periodo Ref.]]="Dentro",DATOS_[Conc.Sal.07]))))),
0)</f>
        <v>129.02370370370369</v>
      </c>
      <c r="M11" s="170">
        <f t="array" ref="M11">IFERROR(
(AVERAGE((IF(DATOS_[[Sexo]:[Sexo]]=$B11,IF(DATOS_[[Check Periodo Ref.]:[Check Periodo Ref.]]="Dentro",DATOS_[Conc.Sal.08]))))),
0)</f>
        <v>21.373888888888889</v>
      </c>
      <c r="N11" s="170">
        <f t="array" ref="N11">IFERROR(
(AVERAGE((IF(DATOS_[[Sexo]:[Sexo]]=$B11,IF(DATOS_[[Check Periodo Ref.]:[Check Periodo Ref.]]="Dentro",DATOS_[Conc.Sal.09]))))),
0)</f>
        <v>67.58</v>
      </c>
      <c r="O11" s="170">
        <f t="array" ref="O11">IFERROR(
(AVERAGE((IF(DATOS_[[Sexo]:[Sexo]]=$B11,IF(DATOS_[[Check Periodo Ref.]:[Check Periodo Ref.]]="Dentro",DATOS_[Conc.Sal.10]))))),
0)</f>
        <v>131.88407407407408</v>
      </c>
      <c r="P11" s="170">
        <f t="array" ref="P11">IFERROR(
(AVERAGE((IF(DATOS_[[Sexo]:[Sexo]]=$B11,IF(DATOS_[[Check Periodo Ref.]:[Check Periodo Ref.]]="Dentro",DATOS_[Conc.Sal.11]))))),
0)</f>
        <v>102.0051851851852</v>
      </c>
      <c r="Q11" s="170">
        <f t="array" ref="Q11">IFERROR(
(AVERAGE((IF(DATOS_[[Sexo]:[Sexo]]=$B11,IF(DATOS_[[Check Periodo Ref.]:[Check Periodo Ref.]]="Dentro",DATOS_[Conc.Sal.12]))))),
0)</f>
        <v>53.009444444444441</v>
      </c>
      <c r="R11" s="170">
        <f t="array" ref="R11">IFERROR(
(AVERAGE((IF(DATOS_[[Sexo]:[Sexo]]=$B11,IF(DATOS_[[Check Periodo Ref.]:[Check Periodo Ref.]]="Dentro",DATOS_[Conc.Sal.13]))))),
0)</f>
        <v>167.29611111111112</v>
      </c>
      <c r="S11" s="170">
        <f t="array" ref="S11">IFERROR(
(AVERAGE((IF(DATOS_[[Sexo]:[Sexo]]=$B11,IF(DATOS_[[Check Periodo Ref.]:[Check Periodo Ref.]]="Dentro",DATOS_[Conc.Sal.14]))))),
0)</f>
        <v>43.858518518518515</v>
      </c>
      <c r="T11" s="170">
        <f t="array" ref="T11">IFERROR(
(AVERAGE((IF(DATOS_[[Sexo]:[Sexo]]=$B11,IF(DATOS_[[Check Periodo Ref.]:[Check Periodo Ref.]]="Dentro",DATOS_[Conc.Sal.15]))))),
0)</f>
        <v>22.749074074074073</v>
      </c>
      <c r="U11" s="170">
        <f t="array" ref="U11">IFERROR(
(AVERAGE((IF(DATOS_[[Sexo]:[Sexo]]=$B11,IF(DATOS_[[Check Periodo Ref.]:[Check Periodo Ref.]]="Dentro",DATOS_[Conc.Sal.16]))))),
0)</f>
        <v>471.08166666666654</v>
      </c>
      <c r="V11" s="170">
        <f t="array" ref="V11">IFERROR(
(AVERAGE((IF(DATOS_[[Sexo]:[Sexo]]=$B11,IF(DATOS_[[Check Periodo Ref.]:[Check Periodo Ref.]]="Dentro",DATOS_[Conc.Sal.17]))))),
0)</f>
        <v>18.225185185185186</v>
      </c>
      <c r="W11" s="170">
        <f t="array" ref="W11">IFERROR(
(AVERAGE((IF(DATOS_[[Sexo]:[Sexo]]=$B11,IF(DATOS_[[Check Periodo Ref.]:[Check Periodo Ref.]]="Dentro",DATOS_[Conc.Sal.18]))))),
0)</f>
        <v>183.96666666666667</v>
      </c>
      <c r="X11" s="170">
        <f t="array" ref="X11">IFERROR(
(AVERAGE((IF(DATOS_[[Sexo]:[Sexo]]=$B11,IF(DATOS_[[Check Periodo Ref.]:[Check Periodo Ref.]]="Dentro",DATOS_[Conc.Sal.19]))))),
0)</f>
        <v>78.65629629629629</v>
      </c>
      <c r="Y11" s="170">
        <f t="array" ref="Y11">IFERROR(
(AVERAGE((IF(DATOS_[[Sexo]:[Sexo]]=$B11,IF(DATOS_[[Check Periodo Ref.]:[Check Periodo Ref.]]="Dentro",DATOS_[Conc.Sal.20]))))),
0)</f>
        <v>42.863703703703699</v>
      </c>
      <c r="Z11" s="170">
        <f t="array" ref="Z11">IFERROR(
(AVERAGE((IF(DATOS_[[Sexo]:[Sexo]]=$B11,IF(DATOS_[[Check Periodo Ref.]:[Check Periodo Ref.]]="Dentro",DATOS_[Conc.Sal.21]))))),
0)</f>
        <v>144.33611111111111</v>
      </c>
      <c r="AA11" s="170">
        <f t="array" ref="AA11">IFERROR(
(AVERAGE((IF(DATOS_[[Sexo]:[Sexo]]=$B11,IF(DATOS_[[Check Periodo Ref.]:[Check Periodo Ref.]]="Dentro",DATOS_[Conc.Sal.22]))))),
0)</f>
        <v>2.0616666666666665</v>
      </c>
      <c r="AB11" s="170">
        <f t="array" ref="AB11">IFERROR(
(AVERAGE((IF(DATOS_[[Sexo]:[Sexo]]=$B11,IF(DATOS_[[Check Periodo Ref.]:[Check Periodo Ref.]]="Dentro",DATOS_[Conc.Sal.23]))))),
0)</f>
        <v>7.2222222222222223</v>
      </c>
      <c r="AC11" s="170">
        <f t="array" ref="AC11">IFERROR(
(AVERAGE((IF(DATOS_[[Sexo]:[Sexo]]=$B11,IF(DATOS_[[Check Periodo Ref.]:[Check Periodo Ref.]]="Dentro",DATOS_[Conc.Sal.24]))))),
0)</f>
        <v>0</v>
      </c>
      <c r="AD11" s="170">
        <f t="array" ref="AD11">IFERROR(
(AVERAGE((IF(DATOS_[[Sexo]:[Sexo]]=$B11,IF(DATOS_[[Check Periodo Ref.]:[Check Periodo Ref.]]="Dentro",DATOS_[Conc.Sal.25]))))),
0)</f>
        <v>0</v>
      </c>
      <c r="AE11" s="170">
        <f t="array" ref="AE11">IFERROR(
(AVERAGE((IF(DATOS_[[Sexo]:[Sexo]]=$B11,IF(DATOS_[[Check Periodo Ref.]:[Check Periodo Ref.]]="Dentro",DATOS_[Conc.Sal.26]))))),
0)</f>
        <v>0</v>
      </c>
      <c r="AF11" s="170">
        <f t="array" ref="AF11">IFERROR(
(AVERAGE((IF(DATOS_[[Sexo]:[Sexo]]=$B11,IF(DATOS_[[Check Periodo Ref.]:[Check Periodo Ref.]]="Dentro",DATOS_[Conc.Sal.27]))))),
0)</f>
        <v>0</v>
      </c>
      <c r="AG11" s="170">
        <f t="array" ref="AG11">IFERROR(
(AVERAGE((IF(DATOS_[[Sexo]:[Sexo]]=$B11,IF(DATOS_[[Check Periodo Ref.]:[Check Periodo Ref.]]="Dentro",DATOS_[Conc.Sal.28]))))),
0)</f>
        <v>0</v>
      </c>
      <c r="AH11" s="170">
        <f t="array" ref="AH11">IFERROR(
(AVERAGE((IF(DATOS_[[Sexo]:[Sexo]]=$B11,IF(DATOS_[[Check Periodo Ref.]:[Check Periodo Ref.]]="Dentro",DATOS_[Conc.Sal.29]))))),
0)</f>
        <v>0</v>
      </c>
      <c r="AI11" s="170">
        <f t="array" ref="AI11">IFERROR(
(AVERAGE((IF(DATOS_[[Sexo]:[Sexo]]=$B11,IF(DATOS_[[Check Periodo Ref.]:[Check Periodo Ref.]]="Dentro",DATOS_[Conc.Sal.30]))))),
0)</f>
        <v>0</v>
      </c>
      <c r="AJ11" s="171">
        <f t="array" ref="AJ11">IFERROR(
AVERAGE(IF(DATOS_[Sexo]=$B11,IF(DATOS_[Check Periodo Ref.]="Dentro",DATOS_[Tot COMPL.SAL Ef],FALSE))),
0)</f>
        <v>2961.6625925925932</v>
      </c>
      <c r="AK11" s="172">
        <f t="array" ref="AK11">IFERROR(
AVERAGE(IF(DATOS_[Sexo]=$B11,IF(DATOS_[Check Periodo Ref.]="Dentro",DATOS_[TOTAL SALARIO Ef],FALSE))),
0)</f>
        <v>5741.1262962962965</v>
      </c>
      <c r="AL11" s="173">
        <f t="array" ref="AL11">IFERROR(
(AVERAGE((IF(DATOS_[[Sexo]:[Sexo]]=$B11,IF(DATOS_[[Check Periodo Ref.]:[Check Periodo Ref.]]="Dentro",DATOS_[C.Extra.01]))))),
0)</f>
        <v>0</v>
      </c>
      <c r="AM11" s="173">
        <f t="array" ref="AM11">IFERROR(
(AVERAGE((IF(DATOS_[[Sexo]:[Sexo]]=$B11,IF(DATOS_[[Check Periodo Ref.]:[Check Periodo Ref.]]="Dentro",DATOS_[C.Extra.06]))))),
0)</f>
        <v>0</v>
      </c>
      <c r="AN11" s="173">
        <f t="array" ref="AN11">IFERROR(
(AVERAGE((IF(DATOS_[[Sexo]:[Sexo]]=$B11,IF(DATOS_[[Check Periodo Ref.]:[Check Periodo Ref.]]="Dentro",DATOS_[C.Extra.07]))))),
0)</f>
        <v>0</v>
      </c>
      <c r="AO11" s="173">
        <f t="array" ref="AO11">IFERROR(
(AVERAGE((IF(DATOS_[[Sexo]:[Sexo]]=$B11,IF(DATOS_[[Check Periodo Ref.]:[Check Periodo Ref.]]="Dentro",DATOS_[C.Extra.08]))))),
0)</f>
        <v>0</v>
      </c>
      <c r="AP11" s="173">
        <f t="array" ref="AP11">IFERROR(
(AVERAGE((IF(DATOS_[[Sexo]:[Sexo]]=$B11,IF(DATOS_[[Check Periodo Ref.]:[Check Periodo Ref.]]="Dentro",DATOS_[C.Extra.11]))))),
0)</f>
        <v>0</v>
      </c>
      <c r="AQ11" s="174">
        <f t="array" ref="AQ11">IFERROR(
AVERAGE(IF(DATOS_[Sexo]=$B11,IF(DATOS_[Check Periodo Ref.]="Dentro",DATOS_[Tot Extrasalarial Ef],FALSE))),
0)</f>
        <v>0</v>
      </c>
      <c r="AR11" s="175">
        <f t="array" ref="AR11">IFERROR(
AVERAGE(IF(DATOS_[Sexo]=$B11,IF(DATOS_[Check Periodo Ref.]="Dentro",DATOS_[TOTAL Retrib Ef],FALSE))),
0)</f>
        <v>5741.1262962962965</v>
      </c>
    </row>
    <row r="12" spans="1:44" s="186" customFormat="1" x14ac:dyDescent="0.25">
      <c r="B12" s="135"/>
      <c r="C12" s="135"/>
      <c r="D12" s="176"/>
      <c r="E12" s="135"/>
      <c r="F12" s="135"/>
      <c r="G12" s="135"/>
      <c r="H12" s="135"/>
      <c r="I12" s="135"/>
      <c r="J12" s="176"/>
      <c r="K12" s="177"/>
      <c r="L12" s="177"/>
      <c r="M12" s="177"/>
      <c r="N12" s="177"/>
      <c r="O12" s="177"/>
      <c r="P12" s="177"/>
      <c r="Q12" s="177"/>
      <c r="R12" s="177"/>
      <c r="S12" s="177"/>
      <c r="T12" s="177"/>
      <c r="U12" s="177"/>
      <c r="V12" s="176"/>
      <c r="W12" s="176"/>
      <c r="X12" s="176"/>
      <c r="Y12" s="176"/>
      <c r="Z12" s="176"/>
      <c r="AA12" s="176"/>
      <c r="AB12" s="176"/>
      <c r="AC12" s="176"/>
      <c r="AD12" s="176"/>
      <c r="AE12" s="176"/>
      <c r="AF12" s="176"/>
      <c r="AG12" s="176"/>
      <c r="AH12" s="176"/>
      <c r="AI12" s="176"/>
      <c r="AJ12" s="135"/>
      <c r="AK12" s="135"/>
      <c r="AL12" s="177"/>
      <c r="AM12" s="177"/>
      <c r="AN12" s="177"/>
      <c r="AO12" s="177"/>
      <c r="AP12" s="177"/>
      <c r="AQ12" s="135"/>
      <c r="AR12" s="135"/>
    </row>
    <row r="13" spans="1:44" s="186" customFormat="1" x14ac:dyDescent="0.25">
      <c r="B13" s="135"/>
      <c r="C13" s="135"/>
      <c r="D13" s="176"/>
      <c r="E13" s="135"/>
      <c r="F13" s="135"/>
      <c r="G13" s="135"/>
      <c r="H13" s="135"/>
      <c r="I13" s="135"/>
      <c r="J13" s="176"/>
      <c r="K13" s="177"/>
      <c r="L13" s="177"/>
      <c r="M13" s="177"/>
      <c r="N13" s="177"/>
      <c r="O13" s="177"/>
      <c r="P13" s="177"/>
      <c r="Q13" s="177"/>
      <c r="R13" s="177"/>
      <c r="S13" s="177"/>
      <c r="T13" s="177"/>
      <c r="U13" s="177"/>
      <c r="V13" s="176"/>
      <c r="W13" s="176"/>
      <c r="X13" s="176"/>
      <c r="Y13" s="176"/>
      <c r="Z13" s="176"/>
      <c r="AA13" s="176"/>
      <c r="AB13" s="176"/>
      <c r="AC13" s="176"/>
      <c r="AD13" s="176"/>
      <c r="AE13" s="176"/>
      <c r="AF13" s="176"/>
      <c r="AG13" s="176"/>
      <c r="AH13" s="176"/>
      <c r="AI13" s="176"/>
      <c r="AJ13" s="135"/>
      <c r="AK13" s="135"/>
      <c r="AL13" s="177"/>
      <c r="AM13" s="177"/>
      <c r="AN13" s="177"/>
      <c r="AO13" s="177"/>
      <c r="AP13" s="177"/>
      <c r="AQ13" s="135"/>
      <c r="AR13" s="135"/>
    </row>
    <row r="14" spans="1:44" s="185" customFormat="1" ht="46.35" customHeight="1" x14ac:dyDescent="0.3">
      <c r="B14" s="145"/>
      <c r="C14" s="145" t="s">
        <v>621</v>
      </c>
      <c r="D14" s="145" t="s">
        <v>622</v>
      </c>
      <c r="E14" s="146" t="s">
        <v>151</v>
      </c>
      <c r="F14" s="147" t="str">
        <f>+F8</f>
        <v>HORAS EXTRAS</v>
      </c>
      <c r="G14" s="147" t="str">
        <f t="shared" ref="G14:AI14" si="3">+G8</f>
        <v>SEGURO CONVENIO</v>
      </c>
      <c r="H14" s="147" t="str">
        <f t="shared" si="3"/>
        <v>PLUS UNIFICADO</v>
      </c>
      <c r="I14" s="147" t="str">
        <f t="shared" si="3"/>
        <v>GARANTIA AD PERS</v>
      </c>
      <c r="J14" s="147" t="str">
        <f t="shared" si="3"/>
        <v>COMISIONES</v>
      </c>
      <c r="K14" s="147" t="str">
        <f t="shared" si="3"/>
        <v>DOMINGOS Y FESTIVOS</v>
      </c>
      <c r="L14" s="147" t="str">
        <f t="shared" si="3"/>
        <v>LOCOMOCION NO</v>
      </c>
      <c r="M14" s="147" t="str">
        <f t="shared" si="3"/>
        <v>PLUS EXTRA VAC</v>
      </c>
      <c r="N14" s="147" t="str">
        <f t="shared" si="3"/>
        <v>PLUS DE TRANS</v>
      </c>
      <c r="O14" s="147" t="str">
        <f t="shared" si="3"/>
        <v>PLUS ACTIVIDAD</v>
      </c>
      <c r="P14" s="147" t="str">
        <f t="shared" si="3"/>
        <v>CUOTA SINDICAL</v>
      </c>
      <c r="Q14" s="147" t="str">
        <f t="shared" si="3"/>
        <v>AYUDA FAMILIAR</v>
      </c>
      <c r="R14" s="147" t="str">
        <f t="shared" si="3"/>
        <v>INCENTIVO</v>
      </c>
      <c r="S14" s="147" t="str">
        <f t="shared" si="3"/>
        <v>SEGURO MEDICO</v>
      </c>
      <c r="T14" s="147" t="str">
        <f t="shared" si="3"/>
        <v>DES. SEGURO MEDICO</v>
      </c>
      <c r="U14" s="147" t="str">
        <f t="shared" si="3"/>
        <v>SEGURO SALUD 2</v>
      </c>
      <c r="V14" s="147" t="str">
        <f t="shared" si="3"/>
        <v>COMP. EMPRESA I.T.</v>
      </c>
      <c r="W14" s="147" t="str">
        <f t="shared" si="3"/>
        <v>I.T. CUENTA EMPRESA</v>
      </c>
      <c r="X14" s="147" t="str">
        <f t="shared" si="3"/>
        <v>SALARIO EN ESPECIE</v>
      </c>
      <c r="Y14" s="147" t="str">
        <f t="shared" si="3"/>
        <v>PLUS DE POLIVALENCIA</v>
      </c>
      <c r="Z14" s="147" t="str">
        <f t="shared" si="3"/>
        <v>LIQUID  PAGAS EXTRA</v>
      </c>
      <c r="AA14" s="147" t="str">
        <f t="shared" si="3"/>
        <v>[ocultar]</v>
      </c>
      <c r="AB14" s="147" t="str">
        <f t="shared" si="3"/>
        <v>[ocultar]</v>
      </c>
      <c r="AC14" s="147" t="str">
        <f t="shared" si="3"/>
        <v>[ocultar]</v>
      </c>
      <c r="AD14" s="147" t="str">
        <f t="shared" si="3"/>
        <v>[ocultar]</v>
      </c>
      <c r="AE14" s="147" t="str">
        <f t="shared" si="3"/>
        <v>[ocultar]</v>
      </c>
      <c r="AF14" s="147" t="str">
        <f t="shared" si="3"/>
        <v>[ocultar]</v>
      </c>
      <c r="AG14" s="147" t="str">
        <f t="shared" si="3"/>
        <v>[ocultar]</v>
      </c>
      <c r="AH14" s="147" t="str">
        <f t="shared" si="3"/>
        <v>[ocultar]</v>
      </c>
      <c r="AI14" s="147" t="str">
        <f t="shared" si="3"/>
        <v>[ocultar]</v>
      </c>
      <c r="AJ14" s="148" t="s">
        <v>153</v>
      </c>
      <c r="AK14" s="149" t="s">
        <v>155</v>
      </c>
      <c r="AL14" s="150" t="str">
        <f>+AL8</f>
        <v>[ocultar]</v>
      </c>
      <c r="AM14" s="150" t="str">
        <f t="shared" ref="AM14:AP14" si="4">+AM8</f>
        <v>[ocultar]</v>
      </c>
      <c r="AN14" s="150" t="str">
        <f t="shared" si="4"/>
        <v>[ocultar]</v>
      </c>
      <c r="AO14" s="150" t="str">
        <f t="shared" si="4"/>
        <v>[ocultar]</v>
      </c>
      <c r="AP14" s="150" t="str">
        <f t="shared" si="4"/>
        <v>[ocultar]</v>
      </c>
      <c r="AQ14" s="151" t="s">
        <v>157</v>
      </c>
      <c r="AR14" s="148" t="s">
        <v>159</v>
      </c>
    </row>
    <row r="15" spans="1:44" s="186" customFormat="1" ht="14.4" thickBot="1" x14ac:dyDescent="0.3">
      <c r="A15" s="186" t="str">
        <f>+A16</f>
        <v>[ocultar]</v>
      </c>
      <c r="B15" s="153" t="s">
        <v>179</v>
      </c>
      <c r="C15" s="154"/>
      <c r="D15" s="155"/>
      <c r="E15" s="156" t="str">
        <f t="shared" ref="E15" si="5">IFERROR((E16-E17)/E16,"")</f>
        <v/>
      </c>
      <c r="F15" s="157" t="str">
        <f>IFERROR((F16-F17)/F16,"")</f>
        <v/>
      </c>
      <c r="G15" s="158" t="str">
        <f t="shared" ref="G15:AR15" si="6">IFERROR((G16-G17)/G16,"")</f>
        <v/>
      </c>
      <c r="H15" s="158" t="str">
        <f t="shared" si="6"/>
        <v/>
      </c>
      <c r="I15" s="158" t="str">
        <f t="shared" si="6"/>
        <v/>
      </c>
      <c r="J15" s="159" t="str">
        <f t="shared" si="6"/>
        <v/>
      </c>
      <c r="K15" s="160" t="str">
        <f t="shared" si="6"/>
        <v/>
      </c>
      <c r="L15" s="160" t="str">
        <f t="shared" si="6"/>
        <v/>
      </c>
      <c r="M15" s="160" t="str">
        <f t="shared" si="6"/>
        <v/>
      </c>
      <c r="N15" s="160" t="str">
        <f t="shared" si="6"/>
        <v/>
      </c>
      <c r="O15" s="160" t="str">
        <f t="shared" si="6"/>
        <v/>
      </c>
      <c r="P15" s="160" t="str">
        <f t="shared" si="6"/>
        <v/>
      </c>
      <c r="Q15" s="160" t="str">
        <f t="shared" si="6"/>
        <v/>
      </c>
      <c r="R15" s="160" t="str">
        <f t="shared" si="6"/>
        <v/>
      </c>
      <c r="S15" s="160" t="str">
        <f t="shared" si="6"/>
        <v/>
      </c>
      <c r="T15" s="160" t="str">
        <f t="shared" si="6"/>
        <v/>
      </c>
      <c r="U15" s="160" t="str">
        <f t="shared" si="6"/>
        <v/>
      </c>
      <c r="V15" s="159" t="str">
        <f t="shared" si="6"/>
        <v/>
      </c>
      <c r="W15" s="159" t="str">
        <f t="shared" si="6"/>
        <v/>
      </c>
      <c r="X15" s="159" t="str">
        <f t="shared" si="6"/>
        <v/>
      </c>
      <c r="Y15" s="159" t="str">
        <f t="shared" si="6"/>
        <v/>
      </c>
      <c r="Z15" s="159" t="str">
        <f t="shared" si="6"/>
        <v/>
      </c>
      <c r="AA15" s="159" t="str">
        <f t="shared" si="6"/>
        <v/>
      </c>
      <c r="AB15" s="159" t="str">
        <f t="shared" si="6"/>
        <v/>
      </c>
      <c r="AC15" s="159" t="str">
        <f t="shared" si="6"/>
        <v/>
      </c>
      <c r="AD15" s="159" t="str">
        <f t="shared" si="6"/>
        <v/>
      </c>
      <c r="AE15" s="159" t="str">
        <f t="shared" si="6"/>
        <v/>
      </c>
      <c r="AF15" s="159" t="str">
        <f t="shared" si="6"/>
        <v/>
      </c>
      <c r="AG15" s="159" t="str">
        <f t="shared" si="6"/>
        <v/>
      </c>
      <c r="AH15" s="159" t="str">
        <f t="shared" si="6"/>
        <v/>
      </c>
      <c r="AI15" s="159" t="str">
        <f t="shared" si="6"/>
        <v/>
      </c>
      <c r="AJ15" s="161" t="str">
        <f t="shared" si="6"/>
        <v/>
      </c>
      <c r="AK15" s="162" t="str">
        <f t="shared" si="6"/>
        <v/>
      </c>
      <c r="AL15" s="163" t="str">
        <f t="shared" si="6"/>
        <v/>
      </c>
      <c r="AM15" s="163" t="str">
        <f t="shared" si="6"/>
        <v/>
      </c>
      <c r="AN15" s="163" t="str">
        <f t="shared" si="6"/>
        <v/>
      </c>
      <c r="AO15" s="163" t="str">
        <f t="shared" si="6"/>
        <v/>
      </c>
      <c r="AP15" s="163" t="str">
        <f t="shared" si="6"/>
        <v/>
      </c>
      <c r="AQ15" s="164" t="str">
        <f t="shared" si="6"/>
        <v/>
      </c>
      <c r="AR15" s="161" t="str">
        <f t="shared" si="6"/>
        <v/>
      </c>
    </row>
    <row r="16" spans="1:44" s="186" customFormat="1" x14ac:dyDescent="0.25">
      <c r="A16" s="186" t="str">
        <f>+IF(C16+C17=0,"[ocultar]","")</f>
        <v>[ocultar]</v>
      </c>
      <c r="B16" s="166" t="s">
        <v>394</v>
      </c>
      <c r="C16" s="167">
        <f t="array" ref="C16">SUM(IF($B16=DATOS_[Sexo],
IF($B15=DATOS_[AGRUP. VALOR. PTO.],
IF("Dentro"=DATOS_[Check Periodo Ref.],
1/(COUNTIFS(DATOS_[Sexo],$B16,DATOS_[AGRUP. VALOR. PTO.],$B15,DATOS_[Check Periodo Ref.],"Dentro",DATOS_[id/cod],DATOS_[id/cod]))))))</f>
        <v>0</v>
      </c>
      <c r="D16" s="168">
        <f>COUNTIFS(DATOS_[AGRUP. VALOR. PTO.],$B15,DATOS_[Sexo],$B16,DATOS_[Check Periodo Ref.],"Dentro")</f>
        <v>0</v>
      </c>
      <c r="E16" s="169">
        <f t="array" ref="E16">IFERROR(
AVERAGE(IF(DATOS_[Sexo]=$B16,IF(DATOS_[AGRUP. VALOR. PTO.]=$B15,IF(DATOS_[Check Periodo Ref.]="Dentro",DATOS_[SALARIO BASE Ef],FALSE)))),
0)</f>
        <v>0</v>
      </c>
      <c r="F16" s="170">
        <f t="array" ref="F16">IFERROR(
AVERAGE((IF(DATOS_[[Sexo]:[Sexo]]=$B16,IF(DATOS_[[AGRUP. VALOR. PTO.]:[AGRUP. VALOR. PTO.]]=$B15,IF(DATOS_[[Check Periodo Ref.]:[Check Periodo Ref.]]="Dentro",DATOS_[Conc.Sal.01]))))),
0)</f>
        <v>0</v>
      </c>
      <c r="G16" s="170">
        <f t="array" ref="G16">IFERROR(
AVERAGE((IF(DATOS_[[Sexo]:[Sexo]]=$B16,IF(DATOS_[[AGRUP. VALOR. PTO.]:[AGRUP. VALOR. PTO.]]=$B15,IF(DATOS_[[Check Periodo Ref.]:[Check Periodo Ref.]]="Dentro",DATOS_[Conc.Sal.02]))))),
0)</f>
        <v>0</v>
      </c>
      <c r="H16" s="170">
        <f t="array" ref="H16">IFERROR(
AVERAGE((IF(DATOS_[[Sexo]:[Sexo]]=$B16,IF(DATOS_[[AGRUP. VALOR. PTO.]:[AGRUP. VALOR. PTO.]]=$B15,IF(DATOS_[[Check Periodo Ref.]:[Check Periodo Ref.]]="Dentro",DATOS_[Conc.Sal.03]))))),
0)</f>
        <v>0</v>
      </c>
      <c r="I16" s="170">
        <f t="array" ref="I16">IFERROR(
AVERAGE((IF(DATOS_[[Sexo]:[Sexo]]=$B16,IF(DATOS_[[AGRUP. VALOR. PTO.]:[AGRUP. VALOR. PTO.]]=$B15,IF(DATOS_[[Check Periodo Ref.]:[Check Periodo Ref.]]="Dentro",DATOS_[Conc.Sal.04]))))),
0)</f>
        <v>0</v>
      </c>
      <c r="J16" s="170">
        <f t="array" ref="J16">IFERROR(
AVERAGE((IF(DATOS_[[Sexo]:[Sexo]]=$B16,IF(DATOS_[[AGRUP. VALOR. PTO.]:[AGRUP. VALOR. PTO.]]=$B15,IF(DATOS_[[Check Periodo Ref.]:[Check Periodo Ref.]]="Dentro",DATOS_[Conc.Sal.05]))))),
0)</f>
        <v>0</v>
      </c>
      <c r="K16" s="170">
        <f t="array" ref="K16">IFERROR(
AVERAGE((IF(DATOS_[[Sexo]:[Sexo]]=$B16,IF(DATOS_[[AGRUP. VALOR. PTO.]:[AGRUP. VALOR. PTO.]]=$B15,IF(DATOS_[[Check Periodo Ref.]:[Check Periodo Ref.]]="Dentro",DATOS_[Conc.Sal.06]))))),
0)</f>
        <v>0</v>
      </c>
      <c r="L16" s="170">
        <f t="array" ref="L16">IFERROR(
AVERAGE((IF(DATOS_[[Sexo]:[Sexo]]=$B16,IF(DATOS_[[AGRUP. VALOR. PTO.]:[AGRUP. VALOR. PTO.]]=$B15,IF(DATOS_[[Check Periodo Ref.]:[Check Periodo Ref.]]="Dentro",DATOS_[Conc.Sal.07]))))),
0)</f>
        <v>0</v>
      </c>
      <c r="M16" s="170">
        <f t="array" ref="M16">IFERROR(
AVERAGE((IF(DATOS_[[Sexo]:[Sexo]]=$B16,IF(DATOS_[[AGRUP. VALOR. PTO.]:[AGRUP. VALOR. PTO.]]=$B15,IF(DATOS_[[Check Periodo Ref.]:[Check Periodo Ref.]]="Dentro",DATOS_[Conc.Sal.08]))))),
0)</f>
        <v>0</v>
      </c>
      <c r="N16" s="170">
        <f t="array" ref="N16">IFERROR(
AVERAGE((IF(DATOS_[[Sexo]:[Sexo]]=$B16,IF(DATOS_[[AGRUP. VALOR. PTO.]:[AGRUP. VALOR. PTO.]]=$B15,IF(DATOS_[[Check Periodo Ref.]:[Check Periodo Ref.]]="Dentro",DATOS_[Conc.Sal.09]))))),
0)</f>
        <v>0</v>
      </c>
      <c r="O16" s="170">
        <f t="array" ref="O16">IFERROR(
AVERAGE((IF(DATOS_[[Sexo]:[Sexo]]=$B16,IF(DATOS_[[AGRUP. VALOR. PTO.]:[AGRUP. VALOR. PTO.]]=$B15,IF(DATOS_[[Check Periodo Ref.]:[Check Periodo Ref.]]="Dentro",DATOS_[Conc.Sal.10]))))),
0)</f>
        <v>0</v>
      </c>
      <c r="P16" s="170">
        <f t="array" ref="P16">IFERROR(
AVERAGE((IF(DATOS_[[Sexo]:[Sexo]]=$B16,IF(DATOS_[[AGRUP. VALOR. PTO.]:[AGRUP. VALOR. PTO.]]=$B15,IF(DATOS_[[Check Periodo Ref.]:[Check Periodo Ref.]]="Dentro",DATOS_[Conc.Sal.11]))))),
0)</f>
        <v>0</v>
      </c>
      <c r="Q16" s="170">
        <f t="array" ref="Q16">IFERROR(
AVERAGE((IF(DATOS_[[Sexo]:[Sexo]]=$B16,IF(DATOS_[[AGRUP. VALOR. PTO.]:[AGRUP. VALOR. PTO.]]=$B15,IF(DATOS_[[Check Periodo Ref.]:[Check Periodo Ref.]]="Dentro",DATOS_[Conc.Sal.12]))))),
0)</f>
        <v>0</v>
      </c>
      <c r="R16" s="170">
        <f t="array" ref="R16">IFERROR(
AVERAGE((IF(DATOS_[[Sexo]:[Sexo]]=$B16,IF(DATOS_[[AGRUP. VALOR. PTO.]:[AGRUP. VALOR. PTO.]]=$B15,IF(DATOS_[[Check Periodo Ref.]:[Check Periodo Ref.]]="Dentro",DATOS_[Conc.Sal.13]))))),
0)</f>
        <v>0</v>
      </c>
      <c r="S16" s="170">
        <f t="array" ref="S16">IFERROR(
AVERAGE((IF(DATOS_[[Sexo]:[Sexo]]=$B16,IF(DATOS_[[AGRUP. VALOR. PTO.]:[AGRUP. VALOR. PTO.]]=$B15,IF(DATOS_[[Check Periodo Ref.]:[Check Periodo Ref.]]="Dentro",DATOS_[Conc.Sal.14]))))),
0)</f>
        <v>0</v>
      </c>
      <c r="T16" s="170">
        <f t="array" ref="T16">IFERROR(
AVERAGE((IF(DATOS_[[Sexo]:[Sexo]]=$B16,IF(DATOS_[[AGRUP. VALOR. PTO.]:[AGRUP. VALOR. PTO.]]=$B15,IF(DATOS_[[Check Periodo Ref.]:[Check Periodo Ref.]]="Dentro",DATOS_[Conc.Sal.15]))))),
0)</f>
        <v>0</v>
      </c>
      <c r="U16" s="170">
        <f t="array" ref="U16">IFERROR(
AVERAGE((IF(DATOS_[[Sexo]:[Sexo]]=$B16,IF(DATOS_[[AGRUP. VALOR. PTO.]:[AGRUP. VALOR. PTO.]]=$B15,IF(DATOS_[[Check Periodo Ref.]:[Check Periodo Ref.]]="Dentro",DATOS_[Conc.Sal.16]))))),
0)</f>
        <v>0</v>
      </c>
      <c r="V16" s="170">
        <f t="array" ref="V16">IFERROR(
AVERAGE((IF(DATOS_[[Sexo]:[Sexo]]=$B16,IF(DATOS_[[AGRUP. VALOR. PTO.]:[AGRUP. VALOR. PTO.]]=$B15,IF(DATOS_[[Check Periodo Ref.]:[Check Periodo Ref.]]="Dentro",DATOS_[Conc.Sal.17]))))),
0)</f>
        <v>0</v>
      </c>
      <c r="W16" s="170">
        <f t="array" ref="W16">IFERROR(
AVERAGE((IF(DATOS_[[Sexo]:[Sexo]]=$B16,IF(DATOS_[[AGRUP. VALOR. PTO.]:[AGRUP. VALOR. PTO.]]=$B15,IF(DATOS_[[Check Periodo Ref.]:[Check Periodo Ref.]]="Dentro",DATOS_[Conc.Sal.18]))))),
0)</f>
        <v>0</v>
      </c>
      <c r="X16" s="170">
        <f t="array" ref="X16">IFERROR(
AVERAGE((IF(DATOS_[[Sexo]:[Sexo]]=$B16,IF(DATOS_[[AGRUP. VALOR. PTO.]:[AGRUP. VALOR. PTO.]]=$B15,IF(DATOS_[[Check Periodo Ref.]:[Check Periodo Ref.]]="Dentro",DATOS_[Conc.Sal.19]))))),
0)</f>
        <v>0</v>
      </c>
      <c r="Y16" s="170">
        <f t="array" ref="Y16">IFERROR(
AVERAGE((IF(DATOS_[[Sexo]:[Sexo]]=$B16,IF(DATOS_[[AGRUP. VALOR. PTO.]:[AGRUP. VALOR. PTO.]]=$B15,IF(DATOS_[[Check Periodo Ref.]:[Check Periodo Ref.]]="Dentro",DATOS_[Conc.Sal.20]))))),
0)</f>
        <v>0</v>
      </c>
      <c r="Z16" s="170">
        <f t="array" ref="Z16">IFERROR(
AVERAGE((IF(DATOS_[[Sexo]:[Sexo]]=$B16,IF(DATOS_[[AGRUP. VALOR. PTO.]:[AGRUP. VALOR. PTO.]]=$B15,IF(DATOS_[[Check Periodo Ref.]:[Check Periodo Ref.]]="Dentro",DATOS_[Conc.Sal.21]))))),
0)</f>
        <v>0</v>
      </c>
      <c r="AA16" s="170">
        <f t="array" ref="AA16">IFERROR(
AVERAGE((IF(DATOS_[[Sexo]:[Sexo]]=$B16,IF(DATOS_[[AGRUP. VALOR. PTO.]:[AGRUP. VALOR. PTO.]]=$B15,IF(DATOS_[[Check Periodo Ref.]:[Check Periodo Ref.]]="Dentro",DATOS_[Conc.Sal.22]))))),
0)</f>
        <v>0</v>
      </c>
      <c r="AB16" s="170">
        <f t="array" ref="AB16">IFERROR(
AVERAGE((IF(DATOS_[[Sexo]:[Sexo]]=$B16,IF(DATOS_[[AGRUP. VALOR. PTO.]:[AGRUP. VALOR. PTO.]]=$B15,IF(DATOS_[[Check Periodo Ref.]:[Check Periodo Ref.]]="Dentro",DATOS_[Conc.Sal.23]))))),
0)</f>
        <v>0</v>
      </c>
      <c r="AC16" s="170">
        <f t="array" ref="AC16">IFERROR(
AVERAGE((IF(DATOS_[[Sexo]:[Sexo]]=$B16,IF(DATOS_[[AGRUP. VALOR. PTO.]:[AGRUP. VALOR. PTO.]]=$B15,IF(DATOS_[[Check Periodo Ref.]:[Check Periodo Ref.]]="Dentro",DATOS_[Conc.Sal.24]))))),
0)</f>
        <v>0</v>
      </c>
      <c r="AD16" s="170">
        <f t="array" ref="AD16">IFERROR(
AVERAGE((IF(DATOS_[[Sexo]:[Sexo]]=$B16,IF(DATOS_[[AGRUP. VALOR. PTO.]:[AGRUP. VALOR. PTO.]]=$B15,IF(DATOS_[[Check Periodo Ref.]:[Check Periodo Ref.]]="Dentro",DATOS_[Conc.Sal.25]))))),
0)</f>
        <v>0</v>
      </c>
      <c r="AE16" s="170">
        <f t="array" ref="AE16">IFERROR(
AVERAGE((IF(DATOS_[[Sexo]:[Sexo]]=$B16,IF(DATOS_[[AGRUP. VALOR. PTO.]:[AGRUP. VALOR. PTO.]]=$B15,IF(DATOS_[[Check Periodo Ref.]:[Check Periodo Ref.]]="Dentro",DATOS_[Conc.Sal.26]))))),
0)</f>
        <v>0</v>
      </c>
      <c r="AF16" s="170">
        <f t="array" ref="AF16">IFERROR(
AVERAGE((IF(DATOS_[[Sexo]:[Sexo]]=$B16,IF(DATOS_[[AGRUP. VALOR. PTO.]:[AGRUP. VALOR. PTO.]]=$B15,IF(DATOS_[[Check Periodo Ref.]:[Check Periodo Ref.]]="Dentro",DATOS_[Conc.Sal.27]))))),
0)</f>
        <v>0</v>
      </c>
      <c r="AG16" s="170">
        <f t="array" ref="AG16">IFERROR(
AVERAGE((IF(DATOS_[[Sexo]:[Sexo]]=$B16,IF(DATOS_[[AGRUP. VALOR. PTO.]:[AGRUP. VALOR. PTO.]]=$B15,IF(DATOS_[[Check Periodo Ref.]:[Check Periodo Ref.]]="Dentro",DATOS_[Conc.Sal.28]))))),
0)</f>
        <v>0</v>
      </c>
      <c r="AH16" s="170">
        <f t="array" ref="AH16">IFERROR(
AVERAGE((IF(DATOS_[[Sexo]:[Sexo]]=$B16,IF(DATOS_[[AGRUP. VALOR. PTO.]:[AGRUP. VALOR. PTO.]]=$B15,IF(DATOS_[[Check Periodo Ref.]:[Check Periodo Ref.]]="Dentro",DATOS_[Conc.Sal.29]))))),
0)</f>
        <v>0</v>
      </c>
      <c r="AI16" s="170">
        <f t="array" ref="AI16">IFERROR(
AVERAGE((IF(DATOS_[[Sexo]:[Sexo]]=$B16,IF(DATOS_[[AGRUP. VALOR. PTO.]:[AGRUP. VALOR. PTO.]]=$B15,IF(DATOS_[[Check Periodo Ref.]:[Check Periodo Ref.]]="Dentro",DATOS_[Conc.Sal.30]))))),
0)</f>
        <v>0</v>
      </c>
      <c r="AJ16" s="171">
        <f t="array" ref="AJ16">IFERROR(
AVERAGE(IF(DATOS_[Sexo]=$B16,IF(DATOS_[AGRUP. VALOR. PTO.]=$B15,IF(DATOS_[Check Periodo Ref.]="Dentro",DATOS_[Tot COMPL.SAL Ef],FALSE)))),
0)</f>
        <v>0</v>
      </c>
      <c r="AK16" s="172">
        <f t="array" ref="AK16">IFERROR(
AVERAGE(IF(DATOS_[Sexo]=$B16,IF(DATOS_[AGRUP. VALOR. PTO.]=$B15,IF(DATOS_[Check Periodo Ref.]="Dentro",DATOS_[TOTAL SALARIO Ef],FALSE)))),
0)</f>
        <v>0</v>
      </c>
      <c r="AL16" s="173">
        <f t="array" ref="AL16">IFERROR(
AVERAGE((IF(DATOS_[[Sexo]:[Sexo]]=$B16,IF(DATOS_[[AGRUP. VALOR. PTO.]:[AGRUP. VALOR. PTO.]]=$B15,IF(DATOS_[[Check Periodo Ref.]:[Check Periodo Ref.]]="Dentro",DATOS_[C.Extra.01]))))),
0)</f>
        <v>0</v>
      </c>
      <c r="AM16" s="173">
        <f t="array" ref="AM16">IFERROR(
AVERAGE((IF(DATOS_[[Sexo]:[Sexo]]=$B16,IF(DATOS_[[AGRUP. VALOR. PTO.]:[AGRUP. VALOR. PTO.]]=$B15,IF(DATOS_[[Check Periodo Ref.]:[Check Periodo Ref.]]="Dentro",DATOS_[C.Extra.06]))))),
0)</f>
        <v>0</v>
      </c>
      <c r="AN16" s="173">
        <f t="array" ref="AN16">IFERROR(
AVERAGE((IF(DATOS_[[Sexo]:[Sexo]]=$B16,IF(DATOS_[[AGRUP. VALOR. PTO.]:[AGRUP. VALOR. PTO.]]=$B15,IF(DATOS_[[Check Periodo Ref.]:[Check Periodo Ref.]]="Dentro",DATOS_[C.Extra.07]))))),
0)</f>
        <v>0</v>
      </c>
      <c r="AO16" s="173">
        <f t="array" ref="AO16">IFERROR(
AVERAGE((IF(DATOS_[[Sexo]:[Sexo]]=$B16,IF(DATOS_[[AGRUP. VALOR. PTO.]:[AGRUP. VALOR. PTO.]]=$B15,IF(DATOS_[[Check Periodo Ref.]:[Check Periodo Ref.]]="Dentro",DATOS_[C.Extra.08]))))),
0)</f>
        <v>0</v>
      </c>
      <c r="AP16" s="173">
        <f t="array" ref="AP16">IFERROR(
AVERAGE((IF(DATOS_[[Sexo]:[Sexo]]=$B16,IF(DATOS_[[AGRUP. VALOR. PTO.]:[AGRUP. VALOR. PTO.]]=$B15,IF(DATOS_[[Check Periodo Ref.]:[Check Periodo Ref.]]="Dentro",DATOS_[C.Extra.11]))))),
0)</f>
        <v>0</v>
      </c>
      <c r="AQ16" s="174">
        <f t="array" ref="AQ16">IFERROR(
AVERAGE(IF(DATOS_[Sexo]=$B16,IF(DATOS_[AGRUP. VALOR. PTO.]=$B15,IF(DATOS_[Check Periodo Ref.]="Dentro",DATOS_[Tot Extrasalarial Ef],FALSE)))),
0)</f>
        <v>0</v>
      </c>
      <c r="AR16" s="171">
        <f t="array" ref="AR16">IFERROR(
AVERAGE(IF(DATOS_[Sexo]=$B16,IF(DATOS_[AGRUP. VALOR. PTO.]=$B15,IF(DATOS_[Check Periodo Ref.]="Dentro",DATOS_[TOTAL Retrib Ef],FALSE)))),
0)</f>
        <v>0</v>
      </c>
    </row>
    <row r="17" spans="1:44" s="186" customFormat="1" x14ac:dyDescent="0.25">
      <c r="A17" s="186" t="str">
        <f>+A16</f>
        <v>[ocultar]</v>
      </c>
      <c r="B17" s="166" t="s">
        <v>521</v>
      </c>
      <c r="C17" s="167">
        <f t="array" ref="C17">SUM(IF($B17=DATOS_[Sexo],
IF($B15=DATOS_[AGRUP. VALOR. PTO.],
IF("Dentro"=DATOS_[Check Periodo Ref.],
1/(COUNTIFS(DATOS_[Sexo],$B17,DATOS_[AGRUP. VALOR. PTO.],$B15,DATOS_[Check Periodo Ref.],"Dentro",DATOS_[id/cod],DATOS_[id/cod]))))))</f>
        <v>0</v>
      </c>
      <c r="D17" s="168">
        <f>COUNTIFS(DATOS_[AGRUP. VALOR. PTO.],$B15,DATOS_[Sexo],$B17,DATOS_[Check Periodo Ref.],"Dentro")</f>
        <v>0</v>
      </c>
      <c r="E17" s="169">
        <f t="array" ref="E17">IFERROR(
AVERAGE(IF(DATOS_[Sexo]=$B17,IF(DATOS_[AGRUP. VALOR. PTO.]=$B15,IF(DATOS_[Check Periodo Ref.]="Dentro",DATOS_[SALARIO BASE Ef],FALSE)))),
0)</f>
        <v>0</v>
      </c>
      <c r="F17" s="170">
        <f t="array" ref="F17">IFERROR(
AVERAGE((IF(DATOS_[[Sexo]:[Sexo]]=$B17,IF(DATOS_[[AGRUP. VALOR. PTO.]:[AGRUP. VALOR. PTO.]]=$B15,IF(DATOS_[[Check Periodo Ref.]:[Check Periodo Ref.]]="Dentro",DATOS_[Conc.Sal.01]))))),
0)</f>
        <v>0</v>
      </c>
      <c r="G17" s="170">
        <f t="array" ref="G17">IFERROR(
AVERAGE((IF(DATOS_[[Sexo]:[Sexo]]=$B17,IF(DATOS_[[AGRUP. VALOR. PTO.]:[AGRUP. VALOR. PTO.]]=$B15,IF(DATOS_[[Check Periodo Ref.]:[Check Periodo Ref.]]="Dentro",DATOS_[Conc.Sal.02]))))),
0)</f>
        <v>0</v>
      </c>
      <c r="H17" s="170">
        <f t="array" ref="H17">IFERROR(
AVERAGE((IF(DATOS_[[Sexo]:[Sexo]]=$B17,IF(DATOS_[[AGRUP. VALOR. PTO.]:[AGRUP. VALOR. PTO.]]=$B15,IF(DATOS_[[Check Periodo Ref.]:[Check Periodo Ref.]]="Dentro",DATOS_[Conc.Sal.03]))))),
0)</f>
        <v>0</v>
      </c>
      <c r="I17" s="170">
        <f t="array" ref="I17">IFERROR(
AVERAGE((IF(DATOS_[[Sexo]:[Sexo]]=$B17,IF(DATOS_[[AGRUP. VALOR. PTO.]:[AGRUP. VALOR. PTO.]]=$B15,IF(DATOS_[[Check Periodo Ref.]:[Check Periodo Ref.]]="Dentro",DATOS_[Conc.Sal.04]))))),
0)</f>
        <v>0</v>
      </c>
      <c r="J17" s="170">
        <f t="array" ref="J17">IFERROR(
AVERAGE((IF(DATOS_[[Sexo]:[Sexo]]=$B17,IF(DATOS_[[AGRUP. VALOR. PTO.]:[AGRUP. VALOR. PTO.]]=$B15,IF(DATOS_[[Check Periodo Ref.]:[Check Periodo Ref.]]="Dentro",DATOS_[Conc.Sal.05]))))),
0)</f>
        <v>0</v>
      </c>
      <c r="K17" s="170">
        <f t="array" ref="K17">IFERROR(
AVERAGE((IF(DATOS_[[Sexo]:[Sexo]]=$B17,IF(DATOS_[[AGRUP. VALOR. PTO.]:[AGRUP. VALOR. PTO.]]=$B15,IF(DATOS_[[Check Periodo Ref.]:[Check Periodo Ref.]]="Dentro",DATOS_[Conc.Sal.06]))))),
0)</f>
        <v>0</v>
      </c>
      <c r="L17" s="170">
        <f t="array" ref="L17">IFERROR(
AVERAGE((IF(DATOS_[[Sexo]:[Sexo]]=$B17,IF(DATOS_[[AGRUP. VALOR. PTO.]:[AGRUP. VALOR. PTO.]]=$B15,IF(DATOS_[[Check Periodo Ref.]:[Check Periodo Ref.]]="Dentro",DATOS_[Conc.Sal.07]))))),
0)</f>
        <v>0</v>
      </c>
      <c r="M17" s="170">
        <f t="array" ref="M17">IFERROR(
AVERAGE((IF(DATOS_[[Sexo]:[Sexo]]=$B17,IF(DATOS_[[AGRUP. VALOR. PTO.]:[AGRUP. VALOR. PTO.]]=$B15,IF(DATOS_[[Check Periodo Ref.]:[Check Periodo Ref.]]="Dentro",DATOS_[Conc.Sal.08]))))),
0)</f>
        <v>0</v>
      </c>
      <c r="N17" s="170">
        <f t="array" ref="N17">IFERROR(
AVERAGE((IF(DATOS_[[Sexo]:[Sexo]]=$B17,IF(DATOS_[[AGRUP. VALOR. PTO.]:[AGRUP. VALOR. PTO.]]=$B15,IF(DATOS_[[Check Periodo Ref.]:[Check Periodo Ref.]]="Dentro",DATOS_[Conc.Sal.09]))))),
0)</f>
        <v>0</v>
      </c>
      <c r="O17" s="170">
        <f t="array" ref="O17">IFERROR(
AVERAGE((IF(DATOS_[[Sexo]:[Sexo]]=$B17,IF(DATOS_[[AGRUP. VALOR. PTO.]:[AGRUP. VALOR. PTO.]]=$B15,IF(DATOS_[[Check Periodo Ref.]:[Check Periodo Ref.]]="Dentro",DATOS_[Conc.Sal.10]))))),
0)</f>
        <v>0</v>
      </c>
      <c r="P17" s="170">
        <f t="array" ref="P17">IFERROR(
AVERAGE((IF(DATOS_[[Sexo]:[Sexo]]=$B17,IF(DATOS_[[AGRUP. VALOR. PTO.]:[AGRUP. VALOR. PTO.]]=$B15,IF(DATOS_[[Check Periodo Ref.]:[Check Periodo Ref.]]="Dentro",DATOS_[Conc.Sal.11]))))),
0)</f>
        <v>0</v>
      </c>
      <c r="Q17" s="170">
        <f t="array" ref="Q17">IFERROR(
AVERAGE((IF(DATOS_[[Sexo]:[Sexo]]=$B17,IF(DATOS_[[AGRUP. VALOR. PTO.]:[AGRUP. VALOR. PTO.]]=$B15,IF(DATOS_[[Check Periodo Ref.]:[Check Periodo Ref.]]="Dentro",DATOS_[Conc.Sal.12]))))),
0)</f>
        <v>0</v>
      </c>
      <c r="R17" s="170">
        <f t="array" ref="R17">IFERROR(
AVERAGE((IF(DATOS_[[Sexo]:[Sexo]]=$B17,IF(DATOS_[[AGRUP. VALOR. PTO.]:[AGRUP. VALOR. PTO.]]=$B15,IF(DATOS_[[Check Periodo Ref.]:[Check Periodo Ref.]]="Dentro",DATOS_[Conc.Sal.13]))))),
0)</f>
        <v>0</v>
      </c>
      <c r="S17" s="170">
        <f t="array" ref="S17">IFERROR(
AVERAGE((IF(DATOS_[[Sexo]:[Sexo]]=$B17,IF(DATOS_[[AGRUP. VALOR. PTO.]:[AGRUP. VALOR. PTO.]]=$B15,IF(DATOS_[[Check Periodo Ref.]:[Check Periodo Ref.]]="Dentro",DATOS_[Conc.Sal.14]))))),
0)</f>
        <v>0</v>
      </c>
      <c r="T17" s="170">
        <f t="array" ref="T17">IFERROR(
AVERAGE((IF(DATOS_[[Sexo]:[Sexo]]=$B17,IF(DATOS_[[AGRUP. VALOR. PTO.]:[AGRUP. VALOR. PTO.]]=$B15,IF(DATOS_[[Check Periodo Ref.]:[Check Periodo Ref.]]="Dentro",DATOS_[Conc.Sal.15]))))),
0)</f>
        <v>0</v>
      </c>
      <c r="U17" s="170">
        <f t="array" ref="U17">IFERROR(
AVERAGE((IF(DATOS_[[Sexo]:[Sexo]]=$B17,IF(DATOS_[[AGRUP. VALOR. PTO.]:[AGRUP. VALOR. PTO.]]=$B15,IF(DATOS_[[Check Periodo Ref.]:[Check Periodo Ref.]]="Dentro",DATOS_[Conc.Sal.16]))))),
0)</f>
        <v>0</v>
      </c>
      <c r="V17" s="170">
        <f t="array" ref="V17">IFERROR(
AVERAGE((IF(DATOS_[[Sexo]:[Sexo]]=$B17,IF(DATOS_[[AGRUP. VALOR. PTO.]:[AGRUP. VALOR. PTO.]]=$B15,IF(DATOS_[[Check Periodo Ref.]:[Check Periodo Ref.]]="Dentro",DATOS_[Conc.Sal.17]))))),
0)</f>
        <v>0</v>
      </c>
      <c r="W17" s="170">
        <f t="array" ref="W17">IFERROR(
AVERAGE((IF(DATOS_[[Sexo]:[Sexo]]=$B17,IF(DATOS_[[AGRUP. VALOR. PTO.]:[AGRUP. VALOR. PTO.]]=$B15,IF(DATOS_[[Check Periodo Ref.]:[Check Periodo Ref.]]="Dentro",DATOS_[Conc.Sal.18]))))),
0)</f>
        <v>0</v>
      </c>
      <c r="X17" s="170">
        <f t="array" ref="X17">IFERROR(
AVERAGE((IF(DATOS_[[Sexo]:[Sexo]]=$B17,IF(DATOS_[[AGRUP. VALOR. PTO.]:[AGRUP. VALOR. PTO.]]=$B15,IF(DATOS_[[Check Periodo Ref.]:[Check Periodo Ref.]]="Dentro",DATOS_[Conc.Sal.19]))))),
0)</f>
        <v>0</v>
      </c>
      <c r="Y17" s="170">
        <f t="array" ref="Y17">IFERROR(
AVERAGE((IF(DATOS_[[Sexo]:[Sexo]]=$B17,IF(DATOS_[[AGRUP. VALOR. PTO.]:[AGRUP. VALOR. PTO.]]=$B15,IF(DATOS_[[Check Periodo Ref.]:[Check Periodo Ref.]]="Dentro",DATOS_[Conc.Sal.20]))))),
0)</f>
        <v>0</v>
      </c>
      <c r="Z17" s="170">
        <f t="array" ref="Z17">IFERROR(
AVERAGE((IF(DATOS_[[Sexo]:[Sexo]]=$B17,IF(DATOS_[[AGRUP. VALOR. PTO.]:[AGRUP. VALOR. PTO.]]=$B15,IF(DATOS_[[Check Periodo Ref.]:[Check Periodo Ref.]]="Dentro",DATOS_[Conc.Sal.21]))))),
0)</f>
        <v>0</v>
      </c>
      <c r="AA17" s="170">
        <f t="array" ref="AA17">IFERROR(
AVERAGE((IF(DATOS_[[Sexo]:[Sexo]]=$B17,IF(DATOS_[[AGRUP. VALOR. PTO.]:[AGRUP. VALOR. PTO.]]=$B15,IF(DATOS_[[Check Periodo Ref.]:[Check Periodo Ref.]]="Dentro",DATOS_[Conc.Sal.22]))))),
0)</f>
        <v>0</v>
      </c>
      <c r="AB17" s="170">
        <f t="array" ref="AB17">IFERROR(
AVERAGE((IF(DATOS_[[Sexo]:[Sexo]]=$B17,IF(DATOS_[[AGRUP. VALOR. PTO.]:[AGRUP. VALOR. PTO.]]=$B15,IF(DATOS_[[Check Periodo Ref.]:[Check Periodo Ref.]]="Dentro",DATOS_[Conc.Sal.23]))))),
0)</f>
        <v>0</v>
      </c>
      <c r="AC17" s="170">
        <f t="array" ref="AC17">IFERROR(
AVERAGE((IF(DATOS_[[Sexo]:[Sexo]]=$B17,IF(DATOS_[[AGRUP. VALOR. PTO.]:[AGRUP. VALOR. PTO.]]=$B15,IF(DATOS_[[Check Periodo Ref.]:[Check Periodo Ref.]]="Dentro",DATOS_[Conc.Sal.24]))))),
0)</f>
        <v>0</v>
      </c>
      <c r="AD17" s="170">
        <f t="array" ref="AD17">IFERROR(
AVERAGE((IF(DATOS_[[Sexo]:[Sexo]]=$B17,IF(DATOS_[[AGRUP. VALOR. PTO.]:[AGRUP. VALOR. PTO.]]=$B15,IF(DATOS_[[Check Periodo Ref.]:[Check Periodo Ref.]]="Dentro",DATOS_[Conc.Sal.25]))))),
0)</f>
        <v>0</v>
      </c>
      <c r="AE17" s="170">
        <f t="array" ref="AE17">IFERROR(
AVERAGE((IF(DATOS_[[Sexo]:[Sexo]]=$B17,IF(DATOS_[[AGRUP. VALOR. PTO.]:[AGRUP. VALOR. PTO.]]=$B15,IF(DATOS_[[Check Periodo Ref.]:[Check Periodo Ref.]]="Dentro",DATOS_[Conc.Sal.26]))))),
0)</f>
        <v>0</v>
      </c>
      <c r="AF17" s="170">
        <f t="array" ref="AF17">IFERROR(
AVERAGE((IF(DATOS_[[Sexo]:[Sexo]]=$B17,IF(DATOS_[[AGRUP. VALOR. PTO.]:[AGRUP. VALOR. PTO.]]=$B15,IF(DATOS_[[Check Periodo Ref.]:[Check Periodo Ref.]]="Dentro",DATOS_[Conc.Sal.27]))))),
0)</f>
        <v>0</v>
      </c>
      <c r="AG17" s="170">
        <f t="array" ref="AG17">IFERROR(
AVERAGE((IF(DATOS_[[Sexo]:[Sexo]]=$B17,IF(DATOS_[[AGRUP. VALOR. PTO.]:[AGRUP. VALOR. PTO.]]=$B15,IF(DATOS_[[Check Periodo Ref.]:[Check Periodo Ref.]]="Dentro",DATOS_[Conc.Sal.28]))))),
0)</f>
        <v>0</v>
      </c>
      <c r="AH17" s="170">
        <f t="array" ref="AH17">IFERROR(
AVERAGE((IF(DATOS_[[Sexo]:[Sexo]]=$B17,IF(DATOS_[[AGRUP. VALOR. PTO.]:[AGRUP. VALOR. PTO.]]=$B15,IF(DATOS_[[Check Periodo Ref.]:[Check Periodo Ref.]]="Dentro",DATOS_[Conc.Sal.29]))))),
0)</f>
        <v>0</v>
      </c>
      <c r="AI17" s="170">
        <f t="array" ref="AI17">IFERROR(
AVERAGE((IF(DATOS_[[Sexo]:[Sexo]]=$B17,IF(DATOS_[[AGRUP. VALOR. PTO.]:[AGRUP. VALOR. PTO.]]=$B15,IF(DATOS_[[Check Periodo Ref.]:[Check Periodo Ref.]]="Dentro",DATOS_[Conc.Sal.30]))))),
0)</f>
        <v>0</v>
      </c>
      <c r="AJ17" s="171">
        <f t="array" ref="AJ17">IFERROR(
AVERAGE(IF(DATOS_[Sexo]=$B17,IF(DATOS_[AGRUP. VALOR. PTO.]=$B15,IF(DATOS_[Check Periodo Ref.]="Dentro",DATOS_[Tot COMPL.SAL Ef],FALSE)))),
0)</f>
        <v>0</v>
      </c>
      <c r="AK17" s="172">
        <f t="array" ref="AK17">IFERROR(
AVERAGE(IF(DATOS_[Sexo]=$B17,IF(DATOS_[AGRUP. VALOR. PTO.]=$B15,IF(DATOS_[Check Periodo Ref.]="Dentro",DATOS_[TOTAL SALARIO Ef],FALSE)))),
0)</f>
        <v>0</v>
      </c>
      <c r="AL17" s="173">
        <f t="array" ref="AL17">IFERROR(
AVERAGE((IF(DATOS_[[Sexo]:[Sexo]]=$B17,IF(DATOS_[[AGRUP. VALOR. PTO.]:[AGRUP. VALOR. PTO.]]=$B15,IF(DATOS_[[Check Periodo Ref.]:[Check Periodo Ref.]]="Dentro",DATOS_[C.Extra.01]))))),
0)</f>
        <v>0</v>
      </c>
      <c r="AM17" s="173">
        <f t="array" ref="AM17">IFERROR(
AVERAGE((IF(DATOS_[[Sexo]:[Sexo]]=$B17,IF(DATOS_[[AGRUP. VALOR. PTO.]:[AGRUP. VALOR. PTO.]]=$B15,IF(DATOS_[[Check Periodo Ref.]:[Check Periodo Ref.]]="Dentro",DATOS_[C.Extra.06]))))),
0)</f>
        <v>0</v>
      </c>
      <c r="AN17" s="173">
        <f t="array" ref="AN17">IFERROR(
AVERAGE((IF(DATOS_[[Sexo]:[Sexo]]=$B17,IF(DATOS_[[AGRUP. VALOR. PTO.]:[AGRUP. VALOR. PTO.]]=$B15,IF(DATOS_[[Check Periodo Ref.]:[Check Periodo Ref.]]="Dentro",DATOS_[C.Extra.07]))))),
0)</f>
        <v>0</v>
      </c>
      <c r="AO17" s="173">
        <f t="array" ref="AO17">IFERROR(
AVERAGE((IF(DATOS_[[Sexo]:[Sexo]]=$B17,IF(DATOS_[[AGRUP. VALOR. PTO.]:[AGRUP. VALOR. PTO.]]=$B15,IF(DATOS_[[Check Periodo Ref.]:[Check Periodo Ref.]]="Dentro",DATOS_[C.Extra.08]))))),
0)</f>
        <v>0</v>
      </c>
      <c r="AP17" s="173">
        <f t="array" ref="AP17">IFERROR(
AVERAGE((IF(DATOS_[[Sexo]:[Sexo]]=$B17,IF(DATOS_[[AGRUP. VALOR. PTO.]:[AGRUP. VALOR. PTO.]]=$B15,IF(DATOS_[[Check Periodo Ref.]:[Check Periodo Ref.]]="Dentro",DATOS_[C.Extra.11]))))),
0)</f>
        <v>0</v>
      </c>
      <c r="AQ17" s="174">
        <f t="array" ref="AQ17">IFERROR(
AVERAGE(IF(DATOS_[Sexo]=$B17,IF(DATOS_[AGRUP. VALOR. PTO.]=$B15,IF(DATOS_[Check Periodo Ref.]="Dentro",DATOS_[Tot Extrasalarial Ef],FALSE)))),
0)</f>
        <v>0</v>
      </c>
      <c r="AR17" s="171">
        <f t="array" ref="AR17">IFERROR(
AVERAGE(IF(DATOS_[Sexo]=$B17,IF(DATOS_[AGRUP. VALOR. PTO.]=$B15,IF(DATOS_[Check Periodo Ref.]="Dentro",DATOS_[TOTAL Retrib Ef],FALSE)))),
0)</f>
        <v>0</v>
      </c>
    </row>
    <row r="18" spans="1:44" s="186" customFormat="1" ht="14.4" thickBot="1" x14ac:dyDescent="0.3">
      <c r="A18" s="186" t="str">
        <f t="shared" ref="A18" si="7">+A19</f>
        <v>[ocultar]</v>
      </c>
      <c r="B18" s="153" t="s">
        <v>183</v>
      </c>
      <c r="C18" s="154"/>
      <c r="D18" s="155"/>
      <c r="E18" s="156" t="str">
        <f t="shared" ref="E18:AR18" si="8">IFERROR((E19-E20)/E19,"")</f>
        <v/>
      </c>
      <c r="F18" s="157" t="str">
        <f t="shared" si="8"/>
        <v/>
      </c>
      <c r="G18" s="158" t="str">
        <f t="shared" si="8"/>
        <v/>
      </c>
      <c r="H18" s="158" t="str">
        <f t="shared" si="8"/>
        <v/>
      </c>
      <c r="I18" s="158" t="str">
        <f t="shared" si="8"/>
        <v/>
      </c>
      <c r="J18" s="159" t="str">
        <f t="shared" si="8"/>
        <v/>
      </c>
      <c r="K18" s="160" t="str">
        <f t="shared" si="8"/>
        <v/>
      </c>
      <c r="L18" s="160" t="str">
        <f t="shared" si="8"/>
        <v/>
      </c>
      <c r="M18" s="160" t="str">
        <f t="shared" si="8"/>
        <v/>
      </c>
      <c r="N18" s="160" t="str">
        <f t="shared" si="8"/>
        <v/>
      </c>
      <c r="O18" s="160" t="str">
        <f t="shared" si="8"/>
        <v/>
      </c>
      <c r="P18" s="160" t="str">
        <f t="shared" si="8"/>
        <v/>
      </c>
      <c r="Q18" s="160" t="str">
        <f t="shared" si="8"/>
        <v/>
      </c>
      <c r="R18" s="160" t="str">
        <f t="shared" si="8"/>
        <v/>
      </c>
      <c r="S18" s="160" t="str">
        <f t="shared" si="8"/>
        <v/>
      </c>
      <c r="T18" s="160" t="str">
        <f t="shared" si="8"/>
        <v/>
      </c>
      <c r="U18" s="160" t="str">
        <f t="shared" si="8"/>
        <v/>
      </c>
      <c r="V18" s="159" t="str">
        <f t="shared" si="8"/>
        <v/>
      </c>
      <c r="W18" s="159" t="str">
        <f t="shared" si="8"/>
        <v/>
      </c>
      <c r="X18" s="159" t="str">
        <f t="shared" si="8"/>
        <v/>
      </c>
      <c r="Y18" s="159" t="str">
        <f t="shared" si="8"/>
        <v/>
      </c>
      <c r="Z18" s="159" t="str">
        <f t="shared" si="8"/>
        <v/>
      </c>
      <c r="AA18" s="159" t="str">
        <f t="shared" si="8"/>
        <v/>
      </c>
      <c r="AB18" s="159" t="str">
        <f t="shared" si="8"/>
        <v/>
      </c>
      <c r="AC18" s="159" t="str">
        <f t="shared" si="8"/>
        <v/>
      </c>
      <c r="AD18" s="159" t="str">
        <f t="shared" si="8"/>
        <v/>
      </c>
      <c r="AE18" s="159" t="str">
        <f t="shared" si="8"/>
        <v/>
      </c>
      <c r="AF18" s="159" t="str">
        <f t="shared" si="8"/>
        <v/>
      </c>
      <c r="AG18" s="159" t="str">
        <f t="shared" si="8"/>
        <v/>
      </c>
      <c r="AH18" s="159" t="str">
        <f t="shared" si="8"/>
        <v/>
      </c>
      <c r="AI18" s="159" t="str">
        <f t="shared" si="8"/>
        <v/>
      </c>
      <c r="AJ18" s="161" t="str">
        <f t="shared" si="8"/>
        <v/>
      </c>
      <c r="AK18" s="162" t="str">
        <f t="shared" si="8"/>
        <v/>
      </c>
      <c r="AL18" s="163" t="str">
        <f t="shared" si="8"/>
        <v/>
      </c>
      <c r="AM18" s="163" t="str">
        <f t="shared" si="8"/>
        <v/>
      </c>
      <c r="AN18" s="163" t="str">
        <f t="shared" si="8"/>
        <v/>
      </c>
      <c r="AO18" s="163" t="str">
        <f t="shared" si="8"/>
        <v/>
      </c>
      <c r="AP18" s="163" t="str">
        <f t="shared" si="8"/>
        <v/>
      </c>
      <c r="AQ18" s="164" t="str">
        <f t="shared" si="8"/>
        <v/>
      </c>
      <c r="AR18" s="161" t="str">
        <f t="shared" si="8"/>
        <v/>
      </c>
    </row>
    <row r="19" spans="1:44" s="186" customFormat="1" x14ac:dyDescent="0.25">
      <c r="A19" s="186" t="str">
        <f t="shared" ref="A19" si="9">+IF(C19+C20=0,"[ocultar]","")</f>
        <v>[ocultar]</v>
      </c>
      <c r="B19" s="166" t="s">
        <v>394</v>
      </c>
      <c r="C19" s="167">
        <f t="array" ref="C19">SUM(IF($B19=DATOS_[Sexo],
IF($B18=DATOS_[AGRUP. VALOR. PTO.],
IF("Dentro"=DATOS_[Check Periodo Ref.],
1/(COUNTIFS(DATOS_[Sexo],$B19,DATOS_[AGRUP. VALOR. PTO.],$B18,DATOS_[Check Periodo Ref.],"Dentro",DATOS_[id/cod],DATOS_[id/cod]))))))</f>
        <v>0</v>
      </c>
      <c r="D19" s="168">
        <f>COUNTIFS(DATOS_[AGRUP. VALOR. PTO.],$B18,DATOS_[Sexo],$B19,DATOS_[Check Periodo Ref.],"Dentro")</f>
        <v>0</v>
      </c>
      <c r="E19" s="169">
        <f t="array" ref="E19">IFERROR(
AVERAGE(IF(DATOS_[Sexo]=$B19,IF(DATOS_[AGRUP. VALOR. PTO.]=$B18,IF(DATOS_[Check Periodo Ref.]="Dentro",DATOS_[SALARIO BASE Ef],FALSE)))),
0)</f>
        <v>0</v>
      </c>
      <c r="F19" s="170">
        <f t="array" ref="F19">IFERROR(
AVERAGE((IF(DATOS_[[Sexo]:[Sexo]]=$B19,IF(DATOS_[[AGRUP. VALOR. PTO.]:[AGRUP. VALOR. PTO.]]=$B18,IF(DATOS_[[Check Periodo Ref.]:[Check Periodo Ref.]]="Dentro",DATOS_[Conc.Sal.01]))))),
0)</f>
        <v>0</v>
      </c>
      <c r="G19" s="170">
        <f t="array" ref="G19">IFERROR(
AVERAGE((IF(DATOS_[[Sexo]:[Sexo]]=$B19,IF(DATOS_[[AGRUP. VALOR. PTO.]:[AGRUP. VALOR. PTO.]]=$B18,IF(DATOS_[[Check Periodo Ref.]:[Check Periodo Ref.]]="Dentro",DATOS_[Conc.Sal.02]))))),
0)</f>
        <v>0</v>
      </c>
      <c r="H19" s="170">
        <f t="array" ref="H19">IFERROR(
AVERAGE((IF(DATOS_[[Sexo]:[Sexo]]=$B19,IF(DATOS_[[AGRUP. VALOR. PTO.]:[AGRUP. VALOR. PTO.]]=$B18,IF(DATOS_[[Check Periodo Ref.]:[Check Periodo Ref.]]="Dentro",DATOS_[Conc.Sal.03]))))),
0)</f>
        <v>0</v>
      </c>
      <c r="I19" s="170">
        <f t="array" ref="I19">IFERROR(
AVERAGE((IF(DATOS_[[Sexo]:[Sexo]]=$B19,IF(DATOS_[[AGRUP. VALOR. PTO.]:[AGRUP. VALOR. PTO.]]=$B18,IF(DATOS_[[Check Periodo Ref.]:[Check Periodo Ref.]]="Dentro",DATOS_[Conc.Sal.04]))))),
0)</f>
        <v>0</v>
      </c>
      <c r="J19" s="170">
        <f t="array" ref="J19">IFERROR(
AVERAGE((IF(DATOS_[[Sexo]:[Sexo]]=$B19,IF(DATOS_[[AGRUP. VALOR. PTO.]:[AGRUP. VALOR. PTO.]]=$B18,IF(DATOS_[[Check Periodo Ref.]:[Check Periodo Ref.]]="Dentro",DATOS_[Conc.Sal.05]))))),
0)</f>
        <v>0</v>
      </c>
      <c r="K19" s="170">
        <f t="array" ref="K19">IFERROR(
AVERAGE((IF(DATOS_[[Sexo]:[Sexo]]=$B19,IF(DATOS_[[AGRUP. VALOR. PTO.]:[AGRUP. VALOR. PTO.]]=$B18,IF(DATOS_[[Check Periodo Ref.]:[Check Periodo Ref.]]="Dentro",DATOS_[Conc.Sal.06]))))),
0)</f>
        <v>0</v>
      </c>
      <c r="L19" s="170">
        <f t="array" ref="L19">IFERROR(
AVERAGE((IF(DATOS_[[Sexo]:[Sexo]]=$B19,IF(DATOS_[[AGRUP. VALOR. PTO.]:[AGRUP. VALOR. PTO.]]=$B18,IF(DATOS_[[Check Periodo Ref.]:[Check Periodo Ref.]]="Dentro",DATOS_[Conc.Sal.07]))))),
0)</f>
        <v>0</v>
      </c>
      <c r="M19" s="170">
        <f t="array" ref="M19">IFERROR(
AVERAGE((IF(DATOS_[[Sexo]:[Sexo]]=$B19,IF(DATOS_[[AGRUP. VALOR. PTO.]:[AGRUP. VALOR. PTO.]]=$B18,IF(DATOS_[[Check Periodo Ref.]:[Check Periodo Ref.]]="Dentro",DATOS_[Conc.Sal.08]))))),
0)</f>
        <v>0</v>
      </c>
      <c r="N19" s="170">
        <f t="array" ref="N19">IFERROR(
AVERAGE((IF(DATOS_[[Sexo]:[Sexo]]=$B19,IF(DATOS_[[AGRUP. VALOR. PTO.]:[AGRUP. VALOR. PTO.]]=$B18,IF(DATOS_[[Check Periodo Ref.]:[Check Periodo Ref.]]="Dentro",DATOS_[Conc.Sal.09]))))),
0)</f>
        <v>0</v>
      </c>
      <c r="O19" s="170">
        <f t="array" ref="O19">IFERROR(
AVERAGE((IF(DATOS_[[Sexo]:[Sexo]]=$B19,IF(DATOS_[[AGRUP. VALOR. PTO.]:[AGRUP. VALOR. PTO.]]=$B18,IF(DATOS_[[Check Periodo Ref.]:[Check Periodo Ref.]]="Dentro",DATOS_[Conc.Sal.10]))))),
0)</f>
        <v>0</v>
      </c>
      <c r="P19" s="170">
        <f t="array" ref="P19">IFERROR(
AVERAGE((IF(DATOS_[[Sexo]:[Sexo]]=$B19,IF(DATOS_[[AGRUP. VALOR. PTO.]:[AGRUP. VALOR. PTO.]]=$B18,IF(DATOS_[[Check Periodo Ref.]:[Check Periodo Ref.]]="Dentro",DATOS_[Conc.Sal.11]))))),
0)</f>
        <v>0</v>
      </c>
      <c r="Q19" s="170">
        <f t="array" ref="Q19">IFERROR(
AVERAGE((IF(DATOS_[[Sexo]:[Sexo]]=$B19,IF(DATOS_[[AGRUP. VALOR. PTO.]:[AGRUP. VALOR. PTO.]]=$B18,IF(DATOS_[[Check Periodo Ref.]:[Check Periodo Ref.]]="Dentro",DATOS_[Conc.Sal.12]))))),
0)</f>
        <v>0</v>
      </c>
      <c r="R19" s="170">
        <f t="array" ref="R19">IFERROR(
AVERAGE((IF(DATOS_[[Sexo]:[Sexo]]=$B19,IF(DATOS_[[AGRUP. VALOR. PTO.]:[AGRUP. VALOR. PTO.]]=$B18,IF(DATOS_[[Check Periodo Ref.]:[Check Periodo Ref.]]="Dentro",DATOS_[Conc.Sal.13]))))),
0)</f>
        <v>0</v>
      </c>
      <c r="S19" s="170">
        <f t="array" ref="S19">IFERROR(
AVERAGE((IF(DATOS_[[Sexo]:[Sexo]]=$B19,IF(DATOS_[[AGRUP. VALOR. PTO.]:[AGRUP. VALOR. PTO.]]=$B18,IF(DATOS_[[Check Periodo Ref.]:[Check Periodo Ref.]]="Dentro",DATOS_[Conc.Sal.14]))))),
0)</f>
        <v>0</v>
      </c>
      <c r="T19" s="170">
        <f t="array" ref="T19">IFERROR(
AVERAGE((IF(DATOS_[[Sexo]:[Sexo]]=$B19,IF(DATOS_[[AGRUP. VALOR. PTO.]:[AGRUP. VALOR. PTO.]]=$B18,IF(DATOS_[[Check Periodo Ref.]:[Check Periodo Ref.]]="Dentro",DATOS_[Conc.Sal.15]))))),
0)</f>
        <v>0</v>
      </c>
      <c r="U19" s="170">
        <f t="array" ref="U19">IFERROR(
AVERAGE((IF(DATOS_[[Sexo]:[Sexo]]=$B19,IF(DATOS_[[AGRUP. VALOR. PTO.]:[AGRUP. VALOR. PTO.]]=$B18,IF(DATOS_[[Check Periodo Ref.]:[Check Periodo Ref.]]="Dentro",DATOS_[Conc.Sal.16]))))),
0)</f>
        <v>0</v>
      </c>
      <c r="V19" s="170">
        <f t="array" ref="V19">IFERROR(
AVERAGE((IF(DATOS_[[Sexo]:[Sexo]]=$B19,IF(DATOS_[[AGRUP. VALOR. PTO.]:[AGRUP. VALOR. PTO.]]=$B18,IF(DATOS_[[Check Periodo Ref.]:[Check Periodo Ref.]]="Dentro",DATOS_[Conc.Sal.17]))))),
0)</f>
        <v>0</v>
      </c>
      <c r="W19" s="170">
        <f t="array" ref="W19">IFERROR(
AVERAGE((IF(DATOS_[[Sexo]:[Sexo]]=$B19,IF(DATOS_[[AGRUP. VALOR. PTO.]:[AGRUP. VALOR. PTO.]]=$B18,IF(DATOS_[[Check Periodo Ref.]:[Check Periodo Ref.]]="Dentro",DATOS_[Conc.Sal.18]))))),
0)</f>
        <v>0</v>
      </c>
      <c r="X19" s="170">
        <f t="array" ref="X19">IFERROR(
AVERAGE((IF(DATOS_[[Sexo]:[Sexo]]=$B19,IF(DATOS_[[AGRUP. VALOR. PTO.]:[AGRUP. VALOR. PTO.]]=$B18,IF(DATOS_[[Check Periodo Ref.]:[Check Periodo Ref.]]="Dentro",DATOS_[Conc.Sal.19]))))),
0)</f>
        <v>0</v>
      </c>
      <c r="Y19" s="170">
        <f t="array" ref="Y19">IFERROR(
AVERAGE((IF(DATOS_[[Sexo]:[Sexo]]=$B19,IF(DATOS_[[AGRUP. VALOR. PTO.]:[AGRUP. VALOR. PTO.]]=$B18,IF(DATOS_[[Check Periodo Ref.]:[Check Periodo Ref.]]="Dentro",DATOS_[Conc.Sal.20]))))),
0)</f>
        <v>0</v>
      </c>
      <c r="Z19" s="170">
        <f t="array" ref="Z19">IFERROR(
AVERAGE((IF(DATOS_[[Sexo]:[Sexo]]=$B19,IF(DATOS_[[AGRUP. VALOR. PTO.]:[AGRUP. VALOR. PTO.]]=$B18,IF(DATOS_[[Check Periodo Ref.]:[Check Periodo Ref.]]="Dentro",DATOS_[Conc.Sal.21]))))),
0)</f>
        <v>0</v>
      </c>
      <c r="AA19" s="170">
        <f t="array" ref="AA19">IFERROR(
AVERAGE((IF(DATOS_[[Sexo]:[Sexo]]=$B19,IF(DATOS_[[AGRUP. VALOR. PTO.]:[AGRUP. VALOR. PTO.]]=$B18,IF(DATOS_[[Check Periodo Ref.]:[Check Periodo Ref.]]="Dentro",DATOS_[Conc.Sal.22]))))),
0)</f>
        <v>0</v>
      </c>
      <c r="AB19" s="170">
        <f t="array" ref="AB19">IFERROR(
AVERAGE((IF(DATOS_[[Sexo]:[Sexo]]=$B19,IF(DATOS_[[AGRUP. VALOR. PTO.]:[AGRUP. VALOR. PTO.]]=$B18,IF(DATOS_[[Check Periodo Ref.]:[Check Periodo Ref.]]="Dentro",DATOS_[Conc.Sal.23]))))),
0)</f>
        <v>0</v>
      </c>
      <c r="AC19" s="170">
        <f t="array" ref="AC19">IFERROR(
AVERAGE((IF(DATOS_[[Sexo]:[Sexo]]=$B19,IF(DATOS_[[AGRUP. VALOR. PTO.]:[AGRUP. VALOR. PTO.]]=$B18,IF(DATOS_[[Check Periodo Ref.]:[Check Periodo Ref.]]="Dentro",DATOS_[Conc.Sal.24]))))),
0)</f>
        <v>0</v>
      </c>
      <c r="AD19" s="170">
        <f t="array" ref="AD19">IFERROR(
AVERAGE((IF(DATOS_[[Sexo]:[Sexo]]=$B19,IF(DATOS_[[AGRUP. VALOR. PTO.]:[AGRUP. VALOR. PTO.]]=$B18,IF(DATOS_[[Check Periodo Ref.]:[Check Periodo Ref.]]="Dentro",DATOS_[Conc.Sal.25]))))),
0)</f>
        <v>0</v>
      </c>
      <c r="AE19" s="170">
        <f t="array" ref="AE19">IFERROR(
AVERAGE((IF(DATOS_[[Sexo]:[Sexo]]=$B19,IF(DATOS_[[AGRUP. VALOR. PTO.]:[AGRUP. VALOR. PTO.]]=$B18,IF(DATOS_[[Check Periodo Ref.]:[Check Periodo Ref.]]="Dentro",DATOS_[Conc.Sal.26]))))),
0)</f>
        <v>0</v>
      </c>
      <c r="AF19" s="170">
        <f t="array" ref="AF19">IFERROR(
AVERAGE((IF(DATOS_[[Sexo]:[Sexo]]=$B19,IF(DATOS_[[AGRUP. VALOR. PTO.]:[AGRUP. VALOR. PTO.]]=$B18,IF(DATOS_[[Check Periodo Ref.]:[Check Periodo Ref.]]="Dentro",DATOS_[Conc.Sal.27]))))),
0)</f>
        <v>0</v>
      </c>
      <c r="AG19" s="170">
        <f t="array" ref="AG19">IFERROR(
AVERAGE((IF(DATOS_[[Sexo]:[Sexo]]=$B19,IF(DATOS_[[AGRUP. VALOR. PTO.]:[AGRUP. VALOR. PTO.]]=$B18,IF(DATOS_[[Check Periodo Ref.]:[Check Periodo Ref.]]="Dentro",DATOS_[Conc.Sal.28]))))),
0)</f>
        <v>0</v>
      </c>
      <c r="AH19" s="170">
        <f t="array" ref="AH19">IFERROR(
AVERAGE((IF(DATOS_[[Sexo]:[Sexo]]=$B19,IF(DATOS_[[AGRUP. VALOR. PTO.]:[AGRUP. VALOR. PTO.]]=$B18,IF(DATOS_[[Check Periodo Ref.]:[Check Periodo Ref.]]="Dentro",DATOS_[Conc.Sal.29]))))),
0)</f>
        <v>0</v>
      </c>
      <c r="AI19" s="170">
        <f t="array" ref="AI19">IFERROR(
AVERAGE((IF(DATOS_[[Sexo]:[Sexo]]=$B19,IF(DATOS_[[AGRUP. VALOR. PTO.]:[AGRUP. VALOR. PTO.]]=$B18,IF(DATOS_[[Check Periodo Ref.]:[Check Periodo Ref.]]="Dentro",DATOS_[Conc.Sal.30]))))),
0)</f>
        <v>0</v>
      </c>
      <c r="AJ19" s="171">
        <f t="array" ref="AJ19">IFERROR(
AVERAGE(IF(DATOS_[Sexo]=$B19,IF(DATOS_[AGRUP. VALOR. PTO.]=$B18,IF(DATOS_[Check Periodo Ref.]="Dentro",DATOS_[Tot COMPL.SAL Ef],FALSE)))),
0)</f>
        <v>0</v>
      </c>
      <c r="AK19" s="172">
        <f t="array" ref="AK19">IFERROR(
AVERAGE(IF(DATOS_[Sexo]=$B19,IF(DATOS_[AGRUP. VALOR. PTO.]=$B18,IF(DATOS_[Check Periodo Ref.]="Dentro",DATOS_[TOTAL SALARIO Ef],FALSE)))),
0)</f>
        <v>0</v>
      </c>
      <c r="AL19" s="173">
        <f t="array" ref="AL19">IFERROR(
AVERAGE((IF(DATOS_[[Sexo]:[Sexo]]=$B19,IF(DATOS_[[AGRUP. VALOR. PTO.]:[AGRUP. VALOR. PTO.]]=$B18,IF(DATOS_[[Check Periodo Ref.]:[Check Periodo Ref.]]="Dentro",DATOS_[C.Extra.01]))))),
0)</f>
        <v>0</v>
      </c>
      <c r="AM19" s="173">
        <f t="array" ref="AM19">IFERROR(
AVERAGE((IF(DATOS_[[Sexo]:[Sexo]]=$B19,IF(DATOS_[[AGRUP. VALOR. PTO.]:[AGRUP. VALOR. PTO.]]=$B18,IF(DATOS_[[Check Periodo Ref.]:[Check Periodo Ref.]]="Dentro",DATOS_[C.Extra.06]))))),
0)</f>
        <v>0</v>
      </c>
      <c r="AN19" s="173">
        <f t="array" ref="AN19">IFERROR(
AVERAGE((IF(DATOS_[[Sexo]:[Sexo]]=$B19,IF(DATOS_[[AGRUP. VALOR. PTO.]:[AGRUP. VALOR. PTO.]]=$B18,IF(DATOS_[[Check Periodo Ref.]:[Check Periodo Ref.]]="Dentro",DATOS_[C.Extra.07]))))),
0)</f>
        <v>0</v>
      </c>
      <c r="AO19" s="173">
        <f t="array" ref="AO19">IFERROR(
AVERAGE((IF(DATOS_[[Sexo]:[Sexo]]=$B19,IF(DATOS_[[AGRUP. VALOR. PTO.]:[AGRUP. VALOR. PTO.]]=$B18,IF(DATOS_[[Check Periodo Ref.]:[Check Periodo Ref.]]="Dentro",DATOS_[C.Extra.08]))))),
0)</f>
        <v>0</v>
      </c>
      <c r="AP19" s="173">
        <f t="array" ref="AP19">IFERROR(
AVERAGE((IF(DATOS_[[Sexo]:[Sexo]]=$B19,IF(DATOS_[[AGRUP. VALOR. PTO.]:[AGRUP. VALOR. PTO.]]=$B18,IF(DATOS_[[Check Periodo Ref.]:[Check Periodo Ref.]]="Dentro",DATOS_[C.Extra.11]))))),
0)</f>
        <v>0</v>
      </c>
      <c r="AQ19" s="174">
        <f t="array" ref="AQ19">IFERROR(
AVERAGE(IF(DATOS_[Sexo]=$B19,IF(DATOS_[AGRUP. VALOR. PTO.]=$B18,IF(DATOS_[Check Periodo Ref.]="Dentro",DATOS_[Tot Extrasalarial Ef],FALSE)))),
0)</f>
        <v>0</v>
      </c>
      <c r="AR19" s="171">
        <f t="array" ref="AR19">IFERROR(
AVERAGE(IF(DATOS_[Sexo]=$B19,IF(DATOS_[AGRUP. VALOR. PTO.]=$B18,IF(DATOS_[Check Periodo Ref.]="Dentro",DATOS_[TOTAL Retrib Ef],FALSE)))),
0)</f>
        <v>0</v>
      </c>
    </row>
    <row r="20" spans="1:44" s="186" customFormat="1" x14ac:dyDescent="0.25">
      <c r="A20" s="186" t="str">
        <f t="shared" ref="A20" si="10">+A19</f>
        <v>[ocultar]</v>
      </c>
      <c r="B20" s="166" t="s">
        <v>521</v>
      </c>
      <c r="C20" s="167">
        <f t="array" ref="C20">SUM(IF($B20=DATOS_[Sexo],
IF($B18=DATOS_[AGRUP. VALOR. PTO.],
IF("Dentro"=DATOS_[Check Periodo Ref.],
1/(COUNTIFS(DATOS_[Sexo],$B20,DATOS_[AGRUP. VALOR. PTO.],$B18,DATOS_[Check Periodo Ref.],"Dentro",DATOS_[id/cod],DATOS_[id/cod]))))))</f>
        <v>0</v>
      </c>
      <c r="D20" s="168">
        <f>COUNTIFS(DATOS_[AGRUP. VALOR. PTO.],$B18,DATOS_[Sexo],$B20,DATOS_[Check Periodo Ref.],"Dentro")</f>
        <v>0</v>
      </c>
      <c r="E20" s="169">
        <f t="array" ref="E20">IFERROR(
AVERAGE(IF(DATOS_[Sexo]=$B20,IF(DATOS_[AGRUP. VALOR. PTO.]=$B18,IF(DATOS_[Check Periodo Ref.]="Dentro",DATOS_[SALARIO BASE Ef],FALSE)))),
0)</f>
        <v>0</v>
      </c>
      <c r="F20" s="170">
        <f t="array" ref="F20">IFERROR(
AVERAGE((IF(DATOS_[[Sexo]:[Sexo]]=$B20,IF(DATOS_[[AGRUP. VALOR. PTO.]:[AGRUP. VALOR. PTO.]]=$B18,IF(DATOS_[[Check Periodo Ref.]:[Check Periodo Ref.]]="Dentro",DATOS_[Conc.Sal.01]))))),
0)</f>
        <v>0</v>
      </c>
      <c r="G20" s="170">
        <f t="array" ref="G20">IFERROR(
AVERAGE((IF(DATOS_[[Sexo]:[Sexo]]=$B20,IF(DATOS_[[AGRUP. VALOR. PTO.]:[AGRUP. VALOR. PTO.]]=$B18,IF(DATOS_[[Check Periodo Ref.]:[Check Periodo Ref.]]="Dentro",DATOS_[Conc.Sal.02]))))),
0)</f>
        <v>0</v>
      </c>
      <c r="H20" s="170">
        <f t="array" ref="H20">IFERROR(
AVERAGE((IF(DATOS_[[Sexo]:[Sexo]]=$B20,IF(DATOS_[[AGRUP. VALOR. PTO.]:[AGRUP. VALOR. PTO.]]=$B18,IF(DATOS_[[Check Periodo Ref.]:[Check Periodo Ref.]]="Dentro",DATOS_[Conc.Sal.03]))))),
0)</f>
        <v>0</v>
      </c>
      <c r="I20" s="170">
        <f t="array" ref="I20">IFERROR(
AVERAGE((IF(DATOS_[[Sexo]:[Sexo]]=$B20,IF(DATOS_[[AGRUP. VALOR. PTO.]:[AGRUP. VALOR. PTO.]]=$B18,IF(DATOS_[[Check Periodo Ref.]:[Check Periodo Ref.]]="Dentro",DATOS_[Conc.Sal.04]))))),
0)</f>
        <v>0</v>
      </c>
      <c r="J20" s="170">
        <f t="array" ref="J20">IFERROR(
AVERAGE((IF(DATOS_[[Sexo]:[Sexo]]=$B20,IF(DATOS_[[AGRUP. VALOR. PTO.]:[AGRUP. VALOR. PTO.]]=$B18,IF(DATOS_[[Check Periodo Ref.]:[Check Periodo Ref.]]="Dentro",DATOS_[Conc.Sal.05]))))),
0)</f>
        <v>0</v>
      </c>
      <c r="K20" s="170">
        <f t="array" ref="K20">IFERROR(
AVERAGE((IF(DATOS_[[Sexo]:[Sexo]]=$B20,IF(DATOS_[[AGRUP. VALOR. PTO.]:[AGRUP. VALOR. PTO.]]=$B18,IF(DATOS_[[Check Periodo Ref.]:[Check Periodo Ref.]]="Dentro",DATOS_[Conc.Sal.06]))))),
0)</f>
        <v>0</v>
      </c>
      <c r="L20" s="170">
        <f t="array" ref="L20">IFERROR(
AVERAGE((IF(DATOS_[[Sexo]:[Sexo]]=$B20,IF(DATOS_[[AGRUP. VALOR. PTO.]:[AGRUP. VALOR. PTO.]]=$B18,IF(DATOS_[[Check Periodo Ref.]:[Check Periodo Ref.]]="Dentro",DATOS_[Conc.Sal.07]))))),
0)</f>
        <v>0</v>
      </c>
      <c r="M20" s="170">
        <f t="array" ref="M20">IFERROR(
AVERAGE((IF(DATOS_[[Sexo]:[Sexo]]=$B20,IF(DATOS_[[AGRUP. VALOR. PTO.]:[AGRUP. VALOR. PTO.]]=$B18,IF(DATOS_[[Check Periodo Ref.]:[Check Periodo Ref.]]="Dentro",DATOS_[Conc.Sal.08]))))),
0)</f>
        <v>0</v>
      </c>
      <c r="N20" s="170">
        <f t="array" ref="N20">IFERROR(
AVERAGE((IF(DATOS_[[Sexo]:[Sexo]]=$B20,IF(DATOS_[[AGRUP. VALOR. PTO.]:[AGRUP. VALOR. PTO.]]=$B18,IF(DATOS_[[Check Periodo Ref.]:[Check Periodo Ref.]]="Dentro",DATOS_[Conc.Sal.09]))))),
0)</f>
        <v>0</v>
      </c>
      <c r="O20" s="170">
        <f t="array" ref="O20">IFERROR(
AVERAGE((IF(DATOS_[[Sexo]:[Sexo]]=$B20,IF(DATOS_[[AGRUP. VALOR. PTO.]:[AGRUP. VALOR. PTO.]]=$B18,IF(DATOS_[[Check Periodo Ref.]:[Check Periodo Ref.]]="Dentro",DATOS_[Conc.Sal.10]))))),
0)</f>
        <v>0</v>
      </c>
      <c r="P20" s="170">
        <f t="array" ref="P20">IFERROR(
AVERAGE((IF(DATOS_[[Sexo]:[Sexo]]=$B20,IF(DATOS_[[AGRUP. VALOR. PTO.]:[AGRUP. VALOR. PTO.]]=$B18,IF(DATOS_[[Check Periodo Ref.]:[Check Periodo Ref.]]="Dentro",DATOS_[Conc.Sal.11]))))),
0)</f>
        <v>0</v>
      </c>
      <c r="Q20" s="170">
        <f t="array" ref="Q20">IFERROR(
AVERAGE((IF(DATOS_[[Sexo]:[Sexo]]=$B20,IF(DATOS_[[AGRUP. VALOR. PTO.]:[AGRUP. VALOR. PTO.]]=$B18,IF(DATOS_[[Check Periodo Ref.]:[Check Periodo Ref.]]="Dentro",DATOS_[Conc.Sal.12]))))),
0)</f>
        <v>0</v>
      </c>
      <c r="R20" s="170">
        <f t="array" ref="R20">IFERROR(
AVERAGE((IF(DATOS_[[Sexo]:[Sexo]]=$B20,IF(DATOS_[[AGRUP. VALOR. PTO.]:[AGRUP. VALOR. PTO.]]=$B18,IF(DATOS_[[Check Periodo Ref.]:[Check Periodo Ref.]]="Dentro",DATOS_[Conc.Sal.13]))))),
0)</f>
        <v>0</v>
      </c>
      <c r="S20" s="170">
        <f t="array" ref="S20">IFERROR(
AVERAGE((IF(DATOS_[[Sexo]:[Sexo]]=$B20,IF(DATOS_[[AGRUP. VALOR. PTO.]:[AGRUP. VALOR. PTO.]]=$B18,IF(DATOS_[[Check Periodo Ref.]:[Check Periodo Ref.]]="Dentro",DATOS_[Conc.Sal.14]))))),
0)</f>
        <v>0</v>
      </c>
      <c r="T20" s="170">
        <f t="array" ref="T20">IFERROR(
AVERAGE((IF(DATOS_[[Sexo]:[Sexo]]=$B20,IF(DATOS_[[AGRUP. VALOR. PTO.]:[AGRUP. VALOR. PTO.]]=$B18,IF(DATOS_[[Check Periodo Ref.]:[Check Periodo Ref.]]="Dentro",DATOS_[Conc.Sal.15]))))),
0)</f>
        <v>0</v>
      </c>
      <c r="U20" s="170">
        <f t="array" ref="U20">IFERROR(
AVERAGE((IF(DATOS_[[Sexo]:[Sexo]]=$B20,IF(DATOS_[[AGRUP. VALOR. PTO.]:[AGRUP. VALOR. PTO.]]=$B18,IF(DATOS_[[Check Periodo Ref.]:[Check Periodo Ref.]]="Dentro",DATOS_[Conc.Sal.16]))))),
0)</f>
        <v>0</v>
      </c>
      <c r="V20" s="170">
        <f t="array" ref="V20">IFERROR(
AVERAGE((IF(DATOS_[[Sexo]:[Sexo]]=$B20,IF(DATOS_[[AGRUP. VALOR. PTO.]:[AGRUP. VALOR. PTO.]]=$B18,IF(DATOS_[[Check Periodo Ref.]:[Check Periodo Ref.]]="Dentro",DATOS_[Conc.Sal.17]))))),
0)</f>
        <v>0</v>
      </c>
      <c r="W20" s="170">
        <f t="array" ref="W20">IFERROR(
AVERAGE((IF(DATOS_[[Sexo]:[Sexo]]=$B20,IF(DATOS_[[AGRUP. VALOR. PTO.]:[AGRUP. VALOR. PTO.]]=$B18,IF(DATOS_[[Check Periodo Ref.]:[Check Periodo Ref.]]="Dentro",DATOS_[Conc.Sal.18]))))),
0)</f>
        <v>0</v>
      </c>
      <c r="X20" s="170">
        <f t="array" ref="X20">IFERROR(
AVERAGE((IF(DATOS_[[Sexo]:[Sexo]]=$B20,IF(DATOS_[[AGRUP. VALOR. PTO.]:[AGRUP. VALOR. PTO.]]=$B18,IF(DATOS_[[Check Periodo Ref.]:[Check Periodo Ref.]]="Dentro",DATOS_[Conc.Sal.19]))))),
0)</f>
        <v>0</v>
      </c>
      <c r="Y20" s="170">
        <f t="array" ref="Y20">IFERROR(
AVERAGE((IF(DATOS_[[Sexo]:[Sexo]]=$B20,IF(DATOS_[[AGRUP. VALOR. PTO.]:[AGRUP. VALOR. PTO.]]=$B18,IF(DATOS_[[Check Periodo Ref.]:[Check Periodo Ref.]]="Dentro",DATOS_[Conc.Sal.20]))))),
0)</f>
        <v>0</v>
      </c>
      <c r="Z20" s="170">
        <f t="array" ref="Z20">IFERROR(
AVERAGE((IF(DATOS_[[Sexo]:[Sexo]]=$B20,IF(DATOS_[[AGRUP. VALOR. PTO.]:[AGRUP. VALOR. PTO.]]=$B18,IF(DATOS_[[Check Periodo Ref.]:[Check Periodo Ref.]]="Dentro",DATOS_[Conc.Sal.21]))))),
0)</f>
        <v>0</v>
      </c>
      <c r="AA20" s="170">
        <f t="array" ref="AA20">IFERROR(
AVERAGE((IF(DATOS_[[Sexo]:[Sexo]]=$B20,IF(DATOS_[[AGRUP. VALOR. PTO.]:[AGRUP. VALOR. PTO.]]=$B18,IF(DATOS_[[Check Periodo Ref.]:[Check Periodo Ref.]]="Dentro",DATOS_[Conc.Sal.22]))))),
0)</f>
        <v>0</v>
      </c>
      <c r="AB20" s="170">
        <f t="array" ref="AB20">IFERROR(
AVERAGE((IF(DATOS_[[Sexo]:[Sexo]]=$B20,IF(DATOS_[[AGRUP. VALOR. PTO.]:[AGRUP. VALOR. PTO.]]=$B18,IF(DATOS_[[Check Periodo Ref.]:[Check Periodo Ref.]]="Dentro",DATOS_[Conc.Sal.23]))))),
0)</f>
        <v>0</v>
      </c>
      <c r="AC20" s="170">
        <f t="array" ref="AC20">IFERROR(
AVERAGE((IF(DATOS_[[Sexo]:[Sexo]]=$B20,IF(DATOS_[[AGRUP. VALOR. PTO.]:[AGRUP. VALOR. PTO.]]=$B18,IF(DATOS_[[Check Periodo Ref.]:[Check Periodo Ref.]]="Dentro",DATOS_[Conc.Sal.24]))))),
0)</f>
        <v>0</v>
      </c>
      <c r="AD20" s="170">
        <f t="array" ref="AD20">IFERROR(
AVERAGE((IF(DATOS_[[Sexo]:[Sexo]]=$B20,IF(DATOS_[[AGRUP. VALOR. PTO.]:[AGRUP. VALOR. PTO.]]=$B18,IF(DATOS_[[Check Periodo Ref.]:[Check Periodo Ref.]]="Dentro",DATOS_[Conc.Sal.25]))))),
0)</f>
        <v>0</v>
      </c>
      <c r="AE20" s="170">
        <f t="array" ref="AE20">IFERROR(
AVERAGE((IF(DATOS_[[Sexo]:[Sexo]]=$B20,IF(DATOS_[[AGRUP. VALOR. PTO.]:[AGRUP. VALOR. PTO.]]=$B18,IF(DATOS_[[Check Periodo Ref.]:[Check Periodo Ref.]]="Dentro",DATOS_[Conc.Sal.26]))))),
0)</f>
        <v>0</v>
      </c>
      <c r="AF20" s="170">
        <f t="array" ref="AF20">IFERROR(
AVERAGE((IF(DATOS_[[Sexo]:[Sexo]]=$B20,IF(DATOS_[[AGRUP. VALOR. PTO.]:[AGRUP. VALOR. PTO.]]=$B18,IF(DATOS_[[Check Periodo Ref.]:[Check Periodo Ref.]]="Dentro",DATOS_[Conc.Sal.27]))))),
0)</f>
        <v>0</v>
      </c>
      <c r="AG20" s="170">
        <f t="array" ref="AG20">IFERROR(
AVERAGE((IF(DATOS_[[Sexo]:[Sexo]]=$B20,IF(DATOS_[[AGRUP. VALOR. PTO.]:[AGRUP. VALOR. PTO.]]=$B18,IF(DATOS_[[Check Periodo Ref.]:[Check Periodo Ref.]]="Dentro",DATOS_[Conc.Sal.28]))))),
0)</f>
        <v>0</v>
      </c>
      <c r="AH20" s="170">
        <f t="array" ref="AH20">IFERROR(
AVERAGE((IF(DATOS_[[Sexo]:[Sexo]]=$B20,IF(DATOS_[[AGRUP. VALOR. PTO.]:[AGRUP. VALOR. PTO.]]=$B18,IF(DATOS_[[Check Periodo Ref.]:[Check Periodo Ref.]]="Dentro",DATOS_[Conc.Sal.29]))))),
0)</f>
        <v>0</v>
      </c>
      <c r="AI20" s="170">
        <f t="array" ref="AI20">IFERROR(
AVERAGE((IF(DATOS_[[Sexo]:[Sexo]]=$B20,IF(DATOS_[[AGRUP. VALOR. PTO.]:[AGRUP. VALOR. PTO.]]=$B18,IF(DATOS_[[Check Periodo Ref.]:[Check Periodo Ref.]]="Dentro",DATOS_[Conc.Sal.30]))))),
0)</f>
        <v>0</v>
      </c>
      <c r="AJ20" s="171">
        <f t="array" ref="AJ20">IFERROR(
AVERAGE(IF(DATOS_[Sexo]=$B20,IF(DATOS_[AGRUP. VALOR. PTO.]=$B18,IF(DATOS_[Check Periodo Ref.]="Dentro",DATOS_[Tot COMPL.SAL Ef],FALSE)))),
0)</f>
        <v>0</v>
      </c>
      <c r="AK20" s="172">
        <f t="array" ref="AK20">IFERROR(
AVERAGE(IF(DATOS_[Sexo]=$B20,IF(DATOS_[AGRUP. VALOR. PTO.]=$B18,IF(DATOS_[Check Periodo Ref.]="Dentro",DATOS_[TOTAL SALARIO Ef],FALSE)))),
0)</f>
        <v>0</v>
      </c>
      <c r="AL20" s="173">
        <f t="array" ref="AL20">IFERROR(
AVERAGE((IF(DATOS_[[Sexo]:[Sexo]]=$B20,IF(DATOS_[[AGRUP. VALOR. PTO.]:[AGRUP. VALOR. PTO.]]=$B18,IF(DATOS_[[Check Periodo Ref.]:[Check Periodo Ref.]]="Dentro",DATOS_[C.Extra.01]))))),
0)</f>
        <v>0</v>
      </c>
      <c r="AM20" s="173">
        <f t="array" ref="AM20">IFERROR(
AVERAGE((IF(DATOS_[[Sexo]:[Sexo]]=$B20,IF(DATOS_[[AGRUP. VALOR. PTO.]:[AGRUP. VALOR. PTO.]]=$B18,IF(DATOS_[[Check Periodo Ref.]:[Check Periodo Ref.]]="Dentro",DATOS_[C.Extra.06]))))),
0)</f>
        <v>0</v>
      </c>
      <c r="AN20" s="173">
        <f t="array" ref="AN20">IFERROR(
AVERAGE((IF(DATOS_[[Sexo]:[Sexo]]=$B20,IF(DATOS_[[AGRUP. VALOR. PTO.]:[AGRUP. VALOR. PTO.]]=$B18,IF(DATOS_[[Check Periodo Ref.]:[Check Periodo Ref.]]="Dentro",DATOS_[C.Extra.07]))))),
0)</f>
        <v>0</v>
      </c>
      <c r="AO20" s="173">
        <f t="array" ref="AO20">IFERROR(
AVERAGE((IF(DATOS_[[Sexo]:[Sexo]]=$B20,IF(DATOS_[[AGRUP. VALOR. PTO.]:[AGRUP. VALOR. PTO.]]=$B18,IF(DATOS_[[Check Periodo Ref.]:[Check Periodo Ref.]]="Dentro",DATOS_[C.Extra.08]))))),
0)</f>
        <v>0</v>
      </c>
      <c r="AP20" s="173">
        <f t="array" ref="AP20">IFERROR(
AVERAGE((IF(DATOS_[[Sexo]:[Sexo]]=$B20,IF(DATOS_[[AGRUP. VALOR. PTO.]:[AGRUP. VALOR. PTO.]]=$B18,IF(DATOS_[[Check Periodo Ref.]:[Check Periodo Ref.]]="Dentro",DATOS_[C.Extra.11]))))),
0)</f>
        <v>0</v>
      </c>
      <c r="AQ20" s="174">
        <f t="array" ref="AQ20">IFERROR(
AVERAGE(IF(DATOS_[Sexo]=$B20,IF(DATOS_[AGRUP. VALOR. PTO.]=$B18,IF(DATOS_[Check Periodo Ref.]="Dentro",DATOS_[Tot Extrasalarial Ef],FALSE)))),
0)</f>
        <v>0</v>
      </c>
      <c r="AR20" s="171">
        <f t="array" ref="AR20">IFERROR(
AVERAGE(IF(DATOS_[Sexo]=$B20,IF(DATOS_[AGRUP. VALOR. PTO.]=$B18,IF(DATOS_[Check Periodo Ref.]="Dentro",DATOS_[TOTAL Retrib Ef],FALSE)))),
0)</f>
        <v>0</v>
      </c>
    </row>
    <row r="21" spans="1:44" ht="14.4" thickBot="1" x14ac:dyDescent="0.3">
      <c r="A21" s="178" t="str">
        <f t="shared" ref="A21" si="11">+A22</f>
        <v>[ocultar]</v>
      </c>
      <c r="B21" s="153" t="s">
        <v>186</v>
      </c>
      <c r="C21" s="154"/>
      <c r="D21" s="155"/>
      <c r="E21" s="156" t="str">
        <f t="shared" ref="E21:AR21" si="12">IFERROR((E22-E23)/E22,"")</f>
        <v/>
      </c>
      <c r="F21" s="157" t="str">
        <f t="shared" si="12"/>
        <v/>
      </c>
      <c r="G21" s="158" t="str">
        <f t="shared" si="12"/>
        <v/>
      </c>
      <c r="H21" s="158" t="str">
        <f t="shared" si="12"/>
        <v/>
      </c>
      <c r="I21" s="158" t="str">
        <f t="shared" si="12"/>
        <v/>
      </c>
      <c r="J21" s="159" t="str">
        <f t="shared" si="12"/>
        <v/>
      </c>
      <c r="K21" s="160" t="str">
        <f t="shared" si="12"/>
        <v/>
      </c>
      <c r="L21" s="160" t="str">
        <f t="shared" si="12"/>
        <v/>
      </c>
      <c r="M21" s="160" t="str">
        <f t="shared" si="12"/>
        <v/>
      </c>
      <c r="N21" s="160" t="str">
        <f t="shared" si="12"/>
        <v/>
      </c>
      <c r="O21" s="160" t="str">
        <f t="shared" si="12"/>
        <v/>
      </c>
      <c r="P21" s="160" t="str">
        <f t="shared" si="12"/>
        <v/>
      </c>
      <c r="Q21" s="160" t="str">
        <f t="shared" si="12"/>
        <v/>
      </c>
      <c r="R21" s="160" t="str">
        <f t="shared" si="12"/>
        <v/>
      </c>
      <c r="S21" s="160" t="str">
        <f t="shared" si="12"/>
        <v/>
      </c>
      <c r="T21" s="160" t="str">
        <f t="shared" si="12"/>
        <v/>
      </c>
      <c r="U21" s="160" t="str">
        <f t="shared" si="12"/>
        <v/>
      </c>
      <c r="V21" s="159" t="str">
        <f t="shared" si="12"/>
        <v/>
      </c>
      <c r="W21" s="159" t="str">
        <f t="shared" si="12"/>
        <v/>
      </c>
      <c r="X21" s="159" t="str">
        <f t="shared" si="12"/>
        <v/>
      </c>
      <c r="Y21" s="159" t="str">
        <f t="shared" si="12"/>
        <v/>
      </c>
      <c r="Z21" s="159" t="str">
        <f t="shared" si="12"/>
        <v/>
      </c>
      <c r="AA21" s="159" t="str">
        <f t="shared" si="12"/>
        <v/>
      </c>
      <c r="AB21" s="159" t="str">
        <f t="shared" si="12"/>
        <v/>
      </c>
      <c r="AC21" s="159" t="str">
        <f t="shared" si="12"/>
        <v/>
      </c>
      <c r="AD21" s="159" t="str">
        <f t="shared" si="12"/>
        <v/>
      </c>
      <c r="AE21" s="159" t="str">
        <f t="shared" si="12"/>
        <v/>
      </c>
      <c r="AF21" s="159" t="str">
        <f t="shared" si="12"/>
        <v/>
      </c>
      <c r="AG21" s="159" t="str">
        <f t="shared" si="12"/>
        <v/>
      </c>
      <c r="AH21" s="159" t="str">
        <f t="shared" si="12"/>
        <v/>
      </c>
      <c r="AI21" s="159" t="str">
        <f t="shared" si="12"/>
        <v/>
      </c>
      <c r="AJ21" s="161" t="str">
        <f t="shared" si="12"/>
        <v/>
      </c>
      <c r="AK21" s="162" t="str">
        <f t="shared" si="12"/>
        <v/>
      </c>
      <c r="AL21" s="163" t="str">
        <f t="shared" si="12"/>
        <v/>
      </c>
      <c r="AM21" s="163" t="str">
        <f t="shared" si="12"/>
        <v/>
      </c>
      <c r="AN21" s="163" t="str">
        <f t="shared" si="12"/>
        <v/>
      </c>
      <c r="AO21" s="163" t="str">
        <f t="shared" si="12"/>
        <v/>
      </c>
      <c r="AP21" s="163" t="str">
        <f t="shared" si="12"/>
        <v/>
      </c>
      <c r="AQ21" s="164" t="str">
        <f t="shared" si="12"/>
        <v/>
      </c>
      <c r="AR21" s="161" t="str">
        <f t="shared" si="12"/>
        <v/>
      </c>
    </row>
    <row r="22" spans="1:44" x14ac:dyDescent="0.25">
      <c r="A22" s="178" t="str">
        <f t="shared" ref="A22" si="13">+IF(C22+C23=0,"[ocultar]","")</f>
        <v>[ocultar]</v>
      </c>
      <c r="B22" s="166" t="s">
        <v>394</v>
      </c>
      <c r="C22" s="167">
        <f t="array" ref="C22">SUM(IF($B22=DATOS_[Sexo],
IF($B21=DATOS_[AGRUP. VALOR. PTO.],
IF("Dentro"=DATOS_[Check Periodo Ref.],
1/(COUNTIFS(DATOS_[Sexo],$B22,DATOS_[AGRUP. VALOR. PTO.],$B21,DATOS_[Check Periodo Ref.],"Dentro",DATOS_[id/cod],DATOS_[id/cod]))))))</f>
        <v>0</v>
      </c>
      <c r="D22" s="168">
        <f>COUNTIFS(DATOS_[AGRUP. VALOR. PTO.],$B21,DATOS_[Sexo],$B22,DATOS_[Check Periodo Ref.],"Dentro")</f>
        <v>0</v>
      </c>
      <c r="E22" s="169">
        <f t="array" ref="E22">IFERROR(
AVERAGE(IF(DATOS_[Sexo]=$B22,IF(DATOS_[AGRUP. VALOR. PTO.]=$B21,IF(DATOS_[Check Periodo Ref.]="Dentro",DATOS_[SALARIO BASE Ef],FALSE)))),
0)</f>
        <v>0</v>
      </c>
      <c r="F22" s="170">
        <f t="array" ref="F22">IFERROR(
AVERAGE((IF(DATOS_[[Sexo]:[Sexo]]=$B22,IF(DATOS_[[AGRUP. VALOR. PTO.]:[AGRUP. VALOR. PTO.]]=$B21,IF(DATOS_[[Check Periodo Ref.]:[Check Periodo Ref.]]="Dentro",DATOS_[Conc.Sal.01]))))),
0)</f>
        <v>0</v>
      </c>
      <c r="G22" s="170">
        <f t="array" ref="G22">IFERROR(
AVERAGE((IF(DATOS_[[Sexo]:[Sexo]]=$B22,IF(DATOS_[[AGRUP. VALOR. PTO.]:[AGRUP. VALOR. PTO.]]=$B21,IF(DATOS_[[Check Periodo Ref.]:[Check Periodo Ref.]]="Dentro",DATOS_[Conc.Sal.02]))))),
0)</f>
        <v>0</v>
      </c>
      <c r="H22" s="170">
        <f t="array" ref="H22">IFERROR(
AVERAGE((IF(DATOS_[[Sexo]:[Sexo]]=$B22,IF(DATOS_[[AGRUP. VALOR. PTO.]:[AGRUP. VALOR. PTO.]]=$B21,IF(DATOS_[[Check Periodo Ref.]:[Check Periodo Ref.]]="Dentro",DATOS_[Conc.Sal.03]))))),
0)</f>
        <v>0</v>
      </c>
      <c r="I22" s="170">
        <f t="array" ref="I22">IFERROR(
AVERAGE((IF(DATOS_[[Sexo]:[Sexo]]=$B22,IF(DATOS_[[AGRUP. VALOR. PTO.]:[AGRUP. VALOR. PTO.]]=$B21,IF(DATOS_[[Check Periodo Ref.]:[Check Periodo Ref.]]="Dentro",DATOS_[Conc.Sal.04]))))),
0)</f>
        <v>0</v>
      </c>
      <c r="J22" s="170">
        <f t="array" ref="J22">IFERROR(
AVERAGE((IF(DATOS_[[Sexo]:[Sexo]]=$B22,IF(DATOS_[[AGRUP. VALOR. PTO.]:[AGRUP. VALOR. PTO.]]=$B21,IF(DATOS_[[Check Periodo Ref.]:[Check Periodo Ref.]]="Dentro",DATOS_[Conc.Sal.05]))))),
0)</f>
        <v>0</v>
      </c>
      <c r="K22" s="170">
        <f t="array" ref="K22">IFERROR(
AVERAGE((IF(DATOS_[[Sexo]:[Sexo]]=$B22,IF(DATOS_[[AGRUP. VALOR. PTO.]:[AGRUP. VALOR. PTO.]]=$B21,IF(DATOS_[[Check Periodo Ref.]:[Check Periodo Ref.]]="Dentro",DATOS_[Conc.Sal.06]))))),
0)</f>
        <v>0</v>
      </c>
      <c r="L22" s="170">
        <f t="array" ref="L22">IFERROR(
AVERAGE((IF(DATOS_[[Sexo]:[Sexo]]=$B22,IF(DATOS_[[AGRUP. VALOR. PTO.]:[AGRUP. VALOR. PTO.]]=$B21,IF(DATOS_[[Check Periodo Ref.]:[Check Periodo Ref.]]="Dentro",DATOS_[Conc.Sal.07]))))),
0)</f>
        <v>0</v>
      </c>
      <c r="M22" s="170">
        <f t="array" ref="M22">IFERROR(
AVERAGE((IF(DATOS_[[Sexo]:[Sexo]]=$B22,IF(DATOS_[[AGRUP. VALOR. PTO.]:[AGRUP. VALOR. PTO.]]=$B21,IF(DATOS_[[Check Periodo Ref.]:[Check Periodo Ref.]]="Dentro",DATOS_[Conc.Sal.08]))))),
0)</f>
        <v>0</v>
      </c>
      <c r="N22" s="170">
        <f t="array" ref="N22">IFERROR(
AVERAGE((IF(DATOS_[[Sexo]:[Sexo]]=$B22,IF(DATOS_[[AGRUP. VALOR. PTO.]:[AGRUP. VALOR. PTO.]]=$B21,IF(DATOS_[[Check Periodo Ref.]:[Check Periodo Ref.]]="Dentro",DATOS_[Conc.Sal.09]))))),
0)</f>
        <v>0</v>
      </c>
      <c r="O22" s="170">
        <f t="array" ref="O22">IFERROR(
AVERAGE((IF(DATOS_[[Sexo]:[Sexo]]=$B22,IF(DATOS_[[AGRUP. VALOR. PTO.]:[AGRUP. VALOR. PTO.]]=$B21,IF(DATOS_[[Check Periodo Ref.]:[Check Periodo Ref.]]="Dentro",DATOS_[Conc.Sal.10]))))),
0)</f>
        <v>0</v>
      </c>
      <c r="P22" s="170">
        <f t="array" ref="P22">IFERROR(
AVERAGE((IF(DATOS_[[Sexo]:[Sexo]]=$B22,IF(DATOS_[[AGRUP. VALOR. PTO.]:[AGRUP. VALOR. PTO.]]=$B21,IF(DATOS_[[Check Periodo Ref.]:[Check Periodo Ref.]]="Dentro",DATOS_[Conc.Sal.11]))))),
0)</f>
        <v>0</v>
      </c>
      <c r="Q22" s="170">
        <f t="array" ref="Q22">IFERROR(
AVERAGE((IF(DATOS_[[Sexo]:[Sexo]]=$B22,IF(DATOS_[[AGRUP. VALOR. PTO.]:[AGRUP. VALOR. PTO.]]=$B21,IF(DATOS_[[Check Periodo Ref.]:[Check Periodo Ref.]]="Dentro",DATOS_[Conc.Sal.12]))))),
0)</f>
        <v>0</v>
      </c>
      <c r="R22" s="170">
        <f t="array" ref="R22">IFERROR(
AVERAGE((IF(DATOS_[[Sexo]:[Sexo]]=$B22,IF(DATOS_[[AGRUP. VALOR. PTO.]:[AGRUP. VALOR. PTO.]]=$B21,IF(DATOS_[[Check Periodo Ref.]:[Check Periodo Ref.]]="Dentro",DATOS_[Conc.Sal.13]))))),
0)</f>
        <v>0</v>
      </c>
      <c r="S22" s="170">
        <f t="array" ref="S22">IFERROR(
AVERAGE((IF(DATOS_[[Sexo]:[Sexo]]=$B22,IF(DATOS_[[AGRUP. VALOR. PTO.]:[AGRUP. VALOR. PTO.]]=$B21,IF(DATOS_[[Check Periodo Ref.]:[Check Periodo Ref.]]="Dentro",DATOS_[Conc.Sal.14]))))),
0)</f>
        <v>0</v>
      </c>
      <c r="T22" s="170">
        <f t="array" ref="T22">IFERROR(
AVERAGE((IF(DATOS_[[Sexo]:[Sexo]]=$B22,IF(DATOS_[[AGRUP. VALOR. PTO.]:[AGRUP. VALOR. PTO.]]=$B21,IF(DATOS_[[Check Periodo Ref.]:[Check Periodo Ref.]]="Dentro",DATOS_[Conc.Sal.15]))))),
0)</f>
        <v>0</v>
      </c>
      <c r="U22" s="170">
        <f t="array" ref="U22">IFERROR(
AVERAGE((IF(DATOS_[[Sexo]:[Sexo]]=$B22,IF(DATOS_[[AGRUP. VALOR. PTO.]:[AGRUP. VALOR. PTO.]]=$B21,IF(DATOS_[[Check Periodo Ref.]:[Check Periodo Ref.]]="Dentro",DATOS_[Conc.Sal.16]))))),
0)</f>
        <v>0</v>
      </c>
      <c r="V22" s="170">
        <f t="array" ref="V22">IFERROR(
AVERAGE((IF(DATOS_[[Sexo]:[Sexo]]=$B22,IF(DATOS_[[AGRUP. VALOR. PTO.]:[AGRUP. VALOR. PTO.]]=$B21,IF(DATOS_[[Check Periodo Ref.]:[Check Periodo Ref.]]="Dentro",DATOS_[Conc.Sal.17]))))),
0)</f>
        <v>0</v>
      </c>
      <c r="W22" s="170">
        <f t="array" ref="W22">IFERROR(
AVERAGE((IF(DATOS_[[Sexo]:[Sexo]]=$B22,IF(DATOS_[[AGRUP. VALOR. PTO.]:[AGRUP. VALOR. PTO.]]=$B21,IF(DATOS_[[Check Periodo Ref.]:[Check Periodo Ref.]]="Dentro",DATOS_[Conc.Sal.18]))))),
0)</f>
        <v>0</v>
      </c>
      <c r="X22" s="170">
        <f t="array" ref="X22">IFERROR(
AVERAGE((IF(DATOS_[[Sexo]:[Sexo]]=$B22,IF(DATOS_[[AGRUP. VALOR. PTO.]:[AGRUP. VALOR. PTO.]]=$B21,IF(DATOS_[[Check Periodo Ref.]:[Check Periodo Ref.]]="Dentro",DATOS_[Conc.Sal.19]))))),
0)</f>
        <v>0</v>
      </c>
      <c r="Y22" s="170">
        <f t="array" ref="Y22">IFERROR(
AVERAGE((IF(DATOS_[[Sexo]:[Sexo]]=$B22,IF(DATOS_[[AGRUP. VALOR. PTO.]:[AGRUP. VALOR. PTO.]]=$B21,IF(DATOS_[[Check Periodo Ref.]:[Check Periodo Ref.]]="Dentro",DATOS_[Conc.Sal.20]))))),
0)</f>
        <v>0</v>
      </c>
      <c r="Z22" s="170">
        <f t="array" ref="Z22">IFERROR(
AVERAGE((IF(DATOS_[[Sexo]:[Sexo]]=$B22,IF(DATOS_[[AGRUP. VALOR. PTO.]:[AGRUP. VALOR. PTO.]]=$B21,IF(DATOS_[[Check Periodo Ref.]:[Check Periodo Ref.]]="Dentro",DATOS_[Conc.Sal.21]))))),
0)</f>
        <v>0</v>
      </c>
      <c r="AA22" s="170">
        <f t="array" ref="AA22">IFERROR(
AVERAGE((IF(DATOS_[[Sexo]:[Sexo]]=$B22,IF(DATOS_[[AGRUP. VALOR. PTO.]:[AGRUP. VALOR. PTO.]]=$B21,IF(DATOS_[[Check Periodo Ref.]:[Check Periodo Ref.]]="Dentro",DATOS_[Conc.Sal.22]))))),
0)</f>
        <v>0</v>
      </c>
      <c r="AB22" s="170">
        <f t="array" ref="AB22">IFERROR(
AVERAGE((IF(DATOS_[[Sexo]:[Sexo]]=$B22,IF(DATOS_[[AGRUP. VALOR. PTO.]:[AGRUP. VALOR. PTO.]]=$B21,IF(DATOS_[[Check Periodo Ref.]:[Check Periodo Ref.]]="Dentro",DATOS_[Conc.Sal.23]))))),
0)</f>
        <v>0</v>
      </c>
      <c r="AC22" s="170">
        <f t="array" ref="AC22">IFERROR(
AVERAGE((IF(DATOS_[[Sexo]:[Sexo]]=$B22,IF(DATOS_[[AGRUP. VALOR. PTO.]:[AGRUP. VALOR. PTO.]]=$B21,IF(DATOS_[[Check Periodo Ref.]:[Check Periodo Ref.]]="Dentro",DATOS_[Conc.Sal.24]))))),
0)</f>
        <v>0</v>
      </c>
      <c r="AD22" s="170">
        <f t="array" ref="AD22">IFERROR(
AVERAGE((IF(DATOS_[[Sexo]:[Sexo]]=$B22,IF(DATOS_[[AGRUP. VALOR. PTO.]:[AGRUP. VALOR. PTO.]]=$B21,IF(DATOS_[[Check Periodo Ref.]:[Check Periodo Ref.]]="Dentro",DATOS_[Conc.Sal.25]))))),
0)</f>
        <v>0</v>
      </c>
      <c r="AE22" s="170">
        <f t="array" ref="AE22">IFERROR(
AVERAGE((IF(DATOS_[[Sexo]:[Sexo]]=$B22,IF(DATOS_[[AGRUP. VALOR. PTO.]:[AGRUP. VALOR. PTO.]]=$B21,IF(DATOS_[[Check Periodo Ref.]:[Check Periodo Ref.]]="Dentro",DATOS_[Conc.Sal.26]))))),
0)</f>
        <v>0</v>
      </c>
      <c r="AF22" s="170">
        <f t="array" ref="AF22">IFERROR(
AVERAGE((IF(DATOS_[[Sexo]:[Sexo]]=$B22,IF(DATOS_[[AGRUP. VALOR. PTO.]:[AGRUP. VALOR. PTO.]]=$B21,IF(DATOS_[[Check Periodo Ref.]:[Check Periodo Ref.]]="Dentro",DATOS_[Conc.Sal.27]))))),
0)</f>
        <v>0</v>
      </c>
      <c r="AG22" s="170">
        <f t="array" ref="AG22">IFERROR(
AVERAGE((IF(DATOS_[[Sexo]:[Sexo]]=$B22,IF(DATOS_[[AGRUP. VALOR. PTO.]:[AGRUP. VALOR. PTO.]]=$B21,IF(DATOS_[[Check Periodo Ref.]:[Check Periodo Ref.]]="Dentro",DATOS_[Conc.Sal.28]))))),
0)</f>
        <v>0</v>
      </c>
      <c r="AH22" s="170">
        <f t="array" ref="AH22">IFERROR(
AVERAGE((IF(DATOS_[[Sexo]:[Sexo]]=$B22,IF(DATOS_[[AGRUP. VALOR. PTO.]:[AGRUP. VALOR. PTO.]]=$B21,IF(DATOS_[[Check Periodo Ref.]:[Check Periodo Ref.]]="Dentro",DATOS_[Conc.Sal.29]))))),
0)</f>
        <v>0</v>
      </c>
      <c r="AI22" s="170">
        <f t="array" ref="AI22">IFERROR(
AVERAGE((IF(DATOS_[[Sexo]:[Sexo]]=$B22,IF(DATOS_[[AGRUP. VALOR. PTO.]:[AGRUP. VALOR. PTO.]]=$B21,IF(DATOS_[[Check Periodo Ref.]:[Check Periodo Ref.]]="Dentro",DATOS_[Conc.Sal.30]))))),
0)</f>
        <v>0</v>
      </c>
      <c r="AJ22" s="171">
        <f t="array" ref="AJ22">IFERROR(
AVERAGE(IF(DATOS_[Sexo]=$B22,IF(DATOS_[AGRUP. VALOR. PTO.]=$B21,IF(DATOS_[Check Periodo Ref.]="Dentro",DATOS_[Tot COMPL.SAL Ef],FALSE)))),
0)</f>
        <v>0</v>
      </c>
      <c r="AK22" s="172">
        <f t="array" ref="AK22">IFERROR(
AVERAGE(IF(DATOS_[Sexo]=$B22,IF(DATOS_[AGRUP. VALOR. PTO.]=$B21,IF(DATOS_[Check Periodo Ref.]="Dentro",DATOS_[TOTAL SALARIO Ef],FALSE)))),
0)</f>
        <v>0</v>
      </c>
      <c r="AL22" s="173">
        <f t="array" ref="AL22">IFERROR(
AVERAGE((IF(DATOS_[[Sexo]:[Sexo]]=$B22,IF(DATOS_[[AGRUP. VALOR. PTO.]:[AGRUP. VALOR. PTO.]]=$B21,IF(DATOS_[[Check Periodo Ref.]:[Check Periodo Ref.]]="Dentro",DATOS_[C.Extra.01]))))),
0)</f>
        <v>0</v>
      </c>
      <c r="AM22" s="173">
        <f t="array" ref="AM22">IFERROR(
AVERAGE((IF(DATOS_[[Sexo]:[Sexo]]=$B22,IF(DATOS_[[AGRUP. VALOR. PTO.]:[AGRUP. VALOR. PTO.]]=$B21,IF(DATOS_[[Check Periodo Ref.]:[Check Periodo Ref.]]="Dentro",DATOS_[C.Extra.06]))))),
0)</f>
        <v>0</v>
      </c>
      <c r="AN22" s="173">
        <f t="array" ref="AN22">IFERROR(
AVERAGE((IF(DATOS_[[Sexo]:[Sexo]]=$B22,IF(DATOS_[[AGRUP. VALOR. PTO.]:[AGRUP. VALOR. PTO.]]=$B21,IF(DATOS_[[Check Periodo Ref.]:[Check Periodo Ref.]]="Dentro",DATOS_[C.Extra.07]))))),
0)</f>
        <v>0</v>
      </c>
      <c r="AO22" s="173">
        <f t="array" ref="AO22">IFERROR(
AVERAGE((IF(DATOS_[[Sexo]:[Sexo]]=$B22,IF(DATOS_[[AGRUP. VALOR. PTO.]:[AGRUP. VALOR. PTO.]]=$B21,IF(DATOS_[[Check Periodo Ref.]:[Check Periodo Ref.]]="Dentro",DATOS_[C.Extra.08]))))),
0)</f>
        <v>0</v>
      </c>
      <c r="AP22" s="173">
        <f t="array" ref="AP22">IFERROR(
AVERAGE((IF(DATOS_[[Sexo]:[Sexo]]=$B22,IF(DATOS_[[AGRUP. VALOR. PTO.]:[AGRUP. VALOR. PTO.]]=$B21,IF(DATOS_[[Check Periodo Ref.]:[Check Periodo Ref.]]="Dentro",DATOS_[C.Extra.11]))))),
0)</f>
        <v>0</v>
      </c>
      <c r="AQ22" s="174">
        <f t="array" ref="AQ22">IFERROR(
AVERAGE(IF(DATOS_[Sexo]=$B22,IF(DATOS_[AGRUP. VALOR. PTO.]=$B21,IF(DATOS_[Check Periodo Ref.]="Dentro",DATOS_[Tot Extrasalarial Ef],FALSE)))),
0)</f>
        <v>0</v>
      </c>
      <c r="AR22" s="171">
        <f t="array" ref="AR22">IFERROR(
AVERAGE(IF(DATOS_[Sexo]=$B22,IF(DATOS_[AGRUP. VALOR. PTO.]=$B21,IF(DATOS_[Check Periodo Ref.]="Dentro",DATOS_[TOTAL Retrib Ef],FALSE)))),
0)</f>
        <v>0</v>
      </c>
    </row>
    <row r="23" spans="1:44" x14ac:dyDescent="0.25">
      <c r="A23" s="178" t="str">
        <f t="shared" ref="A23" si="14">+A22</f>
        <v>[ocultar]</v>
      </c>
      <c r="B23" s="166" t="s">
        <v>521</v>
      </c>
      <c r="C23" s="167">
        <f t="array" ref="C23">SUM(IF($B23=DATOS_[Sexo],
IF($B21=DATOS_[AGRUP. VALOR. PTO.],
IF("Dentro"=DATOS_[Check Periodo Ref.],
1/(COUNTIFS(DATOS_[Sexo],$B23,DATOS_[AGRUP. VALOR. PTO.],$B21,DATOS_[Check Periodo Ref.],"Dentro",DATOS_[id/cod],DATOS_[id/cod]))))))</f>
        <v>0</v>
      </c>
      <c r="D23" s="168">
        <f>COUNTIFS(DATOS_[AGRUP. VALOR. PTO.],$B21,DATOS_[Sexo],$B23,DATOS_[Check Periodo Ref.],"Dentro")</f>
        <v>0</v>
      </c>
      <c r="E23" s="169">
        <f t="array" ref="E23">IFERROR(
AVERAGE(IF(DATOS_[Sexo]=$B23,IF(DATOS_[AGRUP. VALOR. PTO.]=$B21,IF(DATOS_[Check Periodo Ref.]="Dentro",DATOS_[SALARIO BASE Ef],FALSE)))),
0)</f>
        <v>0</v>
      </c>
      <c r="F23" s="170">
        <f t="array" ref="F23">IFERROR(
AVERAGE((IF(DATOS_[[Sexo]:[Sexo]]=$B23,IF(DATOS_[[AGRUP. VALOR. PTO.]:[AGRUP. VALOR. PTO.]]=$B21,IF(DATOS_[[Check Periodo Ref.]:[Check Periodo Ref.]]="Dentro",DATOS_[Conc.Sal.01]))))),
0)</f>
        <v>0</v>
      </c>
      <c r="G23" s="170">
        <f t="array" ref="G23">IFERROR(
AVERAGE((IF(DATOS_[[Sexo]:[Sexo]]=$B23,IF(DATOS_[[AGRUP. VALOR. PTO.]:[AGRUP. VALOR. PTO.]]=$B21,IF(DATOS_[[Check Periodo Ref.]:[Check Periodo Ref.]]="Dentro",DATOS_[Conc.Sal.02]))))),
0)</f>
        <v>0</v>
      </c>
      <c r="H23" s="170">
        <f t="array" ref="H23">IFERROR(
AVERAGE((IF(DATOS_[[Sexo]:[Sexo]]=$B23,IF(DATOS_[[AGRUP. VALOR. PTO.]:[AGRUP. VALOR. PTO.]]=$B21,IF(DATOS_[[Check Periodo Ref.]:[Check Periodo Ref.]]="Dentro",DATOS_[Conc.Sal.03]))))),
0)</f>
        <v>0</v>
      </c>
      <c r="I23" s="170">
        <f t="array" ref="I23">IFERROR(
AVERAGE((IF(DATOS_[[Sexo]:[Sexo]]=$B23,IF(DATOS_[[AGRUP. VALOR. PTO.]:[AGRUP. VALOR. PTO.]]=$B21,IF(DATOS_[[Check Periodo Ref.]:[Check Periodo Ref.]]="Dentro",DATOS_[Conc.Sal.04]))))),
0)</f>
        <v>0</v>
      </c>
      <c r="J23" s="170">
        <f t="array" ref="J23">IFERROR(
AVERAGE((IF(DATOS_[[Sexo]:[Sexo]]=$B23,IF(DATOS_[[AGRUP. VALOR. PTO.]:[AGRUP. VALOR. PTO.]]=$B21,IF(DATOS_[[Check Periodo Ref.]:[Check Periodo Ref.]]="Dentro",DATOS_[Conc.Sal.05]))))),
0)</f>
        <v>0</v>
      </c>
      <c r="K23" s="170">
        <f t="array" ref="K23">IFERROR(
AVERAGE((IF(DATOS_[[Sexo]:[Sexo]]=$B23,IF(DATOS_[[AGRUP. VALOR. PTO.]:[AGRUP. VALOR. PTO.]]=$B21,IF(DATOS_[[Check Periodo Ref.]:[Check Periodo Ref.]]="Dentro",DATOS_[Conc.Sal.06]))))),
0)</f>
        <v>0</v>
      </c>
      <c r="L23" s="170">
        <f t="array" ref="L23">IFERROR(
AVERAGE((IF(DATOS_[[Sexo]:[Sexo]]=$B23,IF(DATOS_[[AGRUP. VALOR. PTO.]:[AGRUP. VALOR. PTO.]]=$B21,IF(DATOS_[[Check Periodo Ref.]:[Check Periodo Ref.]]="Dentro",DATOS_[Conc.Sal.07]))))),
0)</f>
        <v>0</v>
      </c>
      <c r="M23" s="170">
        <f t="array" ref="M23">IFERROR(
AVERAGE((IF(DATOS_[[Sexo]:[Sexo]]=$B23,IF(DATOS_[[AGRUP. VALOR. PTO.]:[AGRUP. VALOR. PTO.]]=$B21,IF(DATOS_[[Check Periodo Ref.]:[Check Periodo Ref.]]="Dentro",DATOS_[Conc.Sal.08]))))),
0)</f>
        <v>0</v>
      </c>
      <c r="N23" s="170">
        <f t="array" ref="N23">IFERROR(
AVERAGE((IF(DATOS_[[Sexo]:[Sexo]]=$B23,IF(DATOS_[[AGRUP. VALOR. PTO.]:[AGRUP. VALOR. PTO.]]=$B21,IF(DATOS_[[Check Periodo Ref.]:[Check Periodo Ref.]]="Dentro",DATOS_[Conc.Sal.09]))))),
0)</f>
        <v>0</v>
      </c>
      <c r="O23" s="170">
        <f t="array" ref="O23">IFERROR(
AVERAGE((IF(DATOS_[[Sexo]:[Sexo]]=$B23,IF(DATOS_[[AGRUP. VALOR. PTO.]:[AGRUP. VALOR. PTO.]]=$B21,IF(DATOS_[[Check Periodo Ref.]:[Check Periodo Ref.]]="Dentro",DATOS_[Conc.Sal.10]))))),
0)</f>
        <v>0</v>
      </c>
      <c r="P23" s="170">
        <f t="array" ref="P23">IFERROR(
AVERAGE((IF(DATOS_[[Sexo]:[Sexo]]=$B23,IF(DATOS_[[AGRUP. VALOR. PTO.]:[AGRUP. VALOR. PTO.]]=$B21,IF(DATOS_[[Check Periodo Ref.]:[Check Periodo Ref.]]="Dentro",DATOS_[Conc.Sal.11]))))),
0)</f>
        <v>0</v>
      </c>
      <c r="Q23" s="170">
        <f t="array" ref="Q23">IFERROR(
AVERAGE((IF(DATOS_[[Sexo]:[Sexo]]=$B23,IF(DATOS_[[AGRUP. VALOR. PTO.]:[AGRUP. VALOR. PTO.]]=$B21,IF(DATOS_[[Check Periodo Ref.]:[Check Periodo Ref.]]="Dentro",DATOS_[Conc.Sal.12]))))),
0)</f>
        <v>0</v>
      </c>
      <c r="R23" s="170">
        <f t="array" ref="R23">IFERROR(
AVERAGE((IF(DATOS_[[Sexo]:[Sexo]]=$B23,IF(DATOS_[[AGRUP. VALOR. PTO.]:[AGRUP. VALOR. PTO.]]=$B21,IF(DATOS_[[Check Periodo Ref.]:[Check Periodo Ref.]]="Dentro",DATOS_[Conc.Sal.13]))))),
0)</f>
        <v>0</v>
      </c>
      <c r="S23" s="170">
        <f t="array" ref="S23">IFERROR(
AVERAGE((IF(DATOS_[[Sexo]:[Sexo]]=$B23,IF(DATOS_[[AGRUP. VALOR. PTO.]:[AGRUP. VALOR. PTO.]]=$B21,IF(DATOS_[[Check Periodo Ref.]:[Check Periodo Ref.]]="Dentro",DATOS_[Conc.Sal.14]))))),
0)</f>
        <v>0</v>
      </c>
      <c r="T23" s="170">
        <f t="array" ref="T23">IFERROR(
AVERAGE((IF(DATOS_[[Sexo]:[Sexo]]=$B23,IF(DATOS_[[AGRUP. VALOR. PTO.]:[AGRUP. VALOR. PTO.]]=$B21,IF(DATOS_[[Check Periodo Ref.]:[Check Periodo Ref.]]="Dentro",DATOS_[Conc.Sal.15]))))),
0)</f>
        <v>0</v>
      </c>
      <c r="U23" s="170">
        <f t="array" ref="U23">IFERROR(
AVERAGE((IF(DATOS_[[Sexo]:[Sexo]]=$B23,IF(DATOS_[[AGRUP. VALOR. PTO.]:[AGRUP. VALOR. PTO.]]=$B21,IF(DATOS_[[Check Periodo Ref.]:[Check Periodo Ref.]]="Dentro",DATOS_[Conc.Sal.16]))))),
0)</f>
        <v>0</v>
      </c>
      <c r="V23" s="170">
        <f t="array" ref="V23">IFERROR(
AVERAGE((IF(DATOS_[[Sexo]:[Sexo]]=$B23,IF(DATOS_[[AGRUP. VALOR. PTO.]:[AGRUP. VALOR. PTO.]]=$B21,IF(DATOS_[[Check Periodo Ref.]:[Check Periodo Ref.]]="Dentro",DATOS_[Conc.Sal.17]))))),
0)</f>
        <v>0</v>
      </c>
      <c r="W23" s="170">
        <f t="array" ref="W23">IFERROR(
AVERAGE((IF(DATOS_[[Sexo]:[Sexo]]=$B23,IF(DATOS_[[AGRUP. VALOR. PTO.]:[AGRUP. VALOR. PTO.]]=$B21,IF(DATOS_[[Check Periodo Ref.]:[Check Periodo Ref.]]="Dentro",DATOS_[Conc.Sal.18]))))),
0)</f>
        <v>0</v>
      </c>
      <c r="X23" s="170">
        <f t="array" ref="X23">IFERROR(
AVERAGE((IF(DATOS_[[Sexo]:[Sexo]]=$B23,IF(DATOS_[[AGRUP. VALOR. PTO.]:[AGRUP. VALOR. PTO.]]=$B21,IF(DATOS_[[Check Periodo Ref.]:[Check Periodo Ref.]]="Dentro",DATOS_[Conc.Sal.19]))))),
0)</f>
        <v>0</v>
      </c>
      <c r="Y23" s="170">
        <f t="array" ref="Y23">IFERROR(
AVERAGE((IF(DATOS_[[Sexo]:[Sexo]]=$B23,IF(DATOS_[[AGRUP. VALOR. PTO.]:[AGRUP. VALOR. PTO.]]=$B21,IF(DATOS_[[Check Periodo Ref.]:[Check Periodo Ref.]]="Dentro",DATOS_[Conc.Sal.20]))))),
0)</f>
        <v>0</v>
      </c>
      <c r="Z23" s="170">
        <f t="array" ref="Z23">IFERROR(
AVERAGE((IF(DATOS_[[Sexo]:[Sexo]]=$B23,IF(DATOS_[[AGRUP. VALOR. PTO.]:[AGRUP. VALOR. PTO.]]=$B21,IF(DATOS_[[Check Periodo Ref.]:[Check Periodo Ref.]]="Dentro",DATOS_[Conc.Sal.21]))))),
0)</f>
        <v>0</v>
      </c>
      <c r="AA23" s="170">
        <f t="array" ref="AA23">IFERROR(
AVERAGE((IF(DATOS_[[Sexo]:[Sexo]]=$B23,IF(DATOS_[[AGRUP. VALOR. PTO.]:[AGRUP. VALOR. PTO.]]=$B21,IF(DATOS_[[Check Periodo Ref.]:[Check Periodo Ref.]]="Dentro",DATOS_[Conc.Sal.22]))))),
0)</f>
        <v>0</v>
      </c>
      <c r="AB23" s="170">
        <f t="array" ref="AB23">IFERROR(
AVERAGE((IF(DATOS_[[Sexo]:[Sexo]]=$B23,IF(DATOS_[[AGRUP. VALOR. PTO.]:[AGRUP. VALOR. PTO.]]=$B21,IF(DATOS_[[Check Periodo Ref.]:[Check Periodo Ref.]]="Dentro",DATOS_[Conc.Sal.23]))))),
0)</f>
        <v>0</v>
      </c>
      <c r="AC23" s="170">
        <f t="array" ref="AC23">IFERROR(
AVERAGE((IF(DATOS_[[Sexo]:[Sexo]]=$B23,IF(DATOS_[[AGRUP. VALOR. PTO.]:[AGRUP. VALOR. PTO.]]=$B21,IF(DATOS_[[Check Periodo Ref.]:[Check Periodo Ref.]]="Dentro",DATOS_[Conc.Sal.24]))))),
0)</f>
        <v>0</v>
      </c>
      <c r="AD23" s="170">
        <f t="array" ref="AD23">IFERROR(
AVERAGE((IF(DATOS_[[Sexo]:[Sexo]]=$B23,IF(DATOS_[[AGRUP. VALOR. PTO.]:[AGRUP. VALOR. PTO.]]=$B21,IF(DATOS_[[Check Periodo Ref.]:[Check Periodo Ref.]]="Dentro",DATOS_[Conc.Sal.25]))))),
0)</f>
        <v>0</v>
      </c>
      <c r="AE23" s="170">
        <f t="array" ref="AE23">IFERROR(
AVERAGE((IF(DATOS_[[Sexo]:[Sexo]]=$B23,IF(DATOS_[[AGRUP. VALOR. PTO.]:[AGRUP. VALOR. PTO.]]=$B21,IF(DATOS_[[Check Periodo Ref.]:[Check Periodo Ref.]]="Dentro",DATOS_[Conc.Sal.26]))))),
0)</f>
        <v>0</v>
      </c>
      <c r="AF23" s="170">
        <f t="array" ref="AF23">IFERROR(
AVERAGE((IF(DATOS_[[Sexo]:[Sexo]]=$B23,IF(DATOS_[[AGRUP. VALOR. PTO.]:[AGRUP. VALOR. PTO.]]=$B21,IF(DATOS_[[Check Periodo Ref.]:[Check Periodo Ref.]]="Dentro",DATOS_[Conc.Sal.27]))))),
0)</f>
        <v>0</v>
      </c>
      <c r="AG23" s="170">
        <f t="array" ref="AG23">IFERROR(
AVERAGE((IF(DATOS_[[Sexo]:[Sexo]]=$B23,IF(DATOS_[[AGRUP. VALOR. PTO.]:[AGRUP. VALOR. PTO.]]=$B21,IF(DATOS_[[Check Periodo Ref.]:[Check Periodo Ref.]]="Dentro",DATOS_[Conc.Sal.28]))))),
0)</f>
        <v>0</v>
      </c>
      <c r="AH23" s="170">
        <f t="array" ref="AH23">IFERROR(
AVERAGE((IF(DATOS_[[Sexo]:[Sexo]]=$B23,IF(DATOS_[[AGRUP. VALOR. PTO.]:[AGRUP. VALOR. PTO.]]=$B21,IF(DATOS_[[Check Periodo Ref.]:[Check Periodo Ref.]]="Dentro",DATOS_[Conc.Sal.29]))))),
0)</f>
        <v>0</v>
      </c>
      <c r="AI23" s="170">
        <f t="array" ref="AI23">IFERROR(
AVERAGE((IF(DATOS_[[Sexo]:[Sexo]]=$B23,IF(DATOS_[[AGRUP. VALOR. PTO.]:[AGRUP. VALOR. PTO.]]=$B21,IF(DATOS_[[Check Periodo Ref.]:[Check Periodo Ref.]]="Dentro",DATOS_[Conc.Sal.30]))))),
0)</f>
        <v>0</v>
      </c>
      <c r="AJ23" s="171">
        <f t="array" ref="AJ23">IFERROR(
AVERAGE(IF(DATOS_[Sexo]=$B23,IF(DATOS_[AGRUP. VALOR. PTO.]=$B21,IF(DATOS_[Check Periodo Ref.]="Dentro",DATOS_[Tot COMPL.SAL Ef],FALSE)))),
0)</f>
        <v>0</v>
      </c>
      <c r="AK23" s="172">
        <f t="array" ref="AK23">IFERROR(
AVERAGE(IF(DATOS_[Sexo]=$B23,IF(DATOS_[AGRUP. VALOR. PTO.]=$B21,IF(DATOS_[Check Periodo Ref.]="Dentro",DATOS_[TOTAL SALARIO Ef],FALSE)))),
0)</f>
        <v>0</v>
      </c>
      <c r="AL23" s="173">
        <f t="array" ref="AL23">IFERROR(
AVERAGE((IF(DATOS_[[Sexo]:[Sexo]]=$B23,IF(DATOS_[[AGRUP. VALOR. PTO.]:[AGRUP. VALOR. PTO.]]=$B21,IF(DATOS_[[Check Periodo Ref.]:[Check Periodo Ref.]]="Dentro",DATOS_[C.Extra.01]))))),
0)</f>
        <v>0</v>
      </c>
      <c r="AM23" s="173">
        <f t="array" ref="AM23">IFERROR(
AVERAGE((IF(DATOS_[[Sexo]:[Sexo]]=$B23,IF(DATOS_[[AGRUP. VALOR. PTO.]:[AGRUP. VALOR. PTO.]]=$B21,IF(DATOS_[[Check Periodo Ref.]:[Check Periodo Ref.]]="Dentro",DATOS_[C.Extra.06]))))),
0)</f>
        <v>0</v>
      </c>
      <c r="AN23" s="173">
        <f t="array" ref="AN23">IFERROR(
AVERAGE((IF(DATOS_[[Sexo]:[Sexo]]=$B23,IF(DATOS_[[AGRUP. VALOR. PTO.]:[AGRUP. VALOR. PTO.]]=$B21,IF(DATOS_[[Check Periodo Ref.]:[Check Periodo Ref.]]="Dentro",DATOS_[C.Extra.07]))))),
0)</f>
        <v>0</v>
      </c>
      <c r="AO23" s="173">
        <f t="array" ref="AO23">IFERROR(
AVERAGE((IF(DATOS_[[Sexo]:[Sexo]]=$B23,IF(DATOS_[[AGRUP. VALOR. PTO.]:[AGRUP. VALOR. PTO.]]=$B21,IF(DATOS_[[Check Periodo Ref.]:[Check Periodo Ref.]]="Dentro",DATOS_[C.Extra.08]))))),
0)</f>
        <v>0</v>
      </c>
      <c r="AP23" s="173">
        <f t="array" ref="AP23">IFERROR(
AVERAGE((IF(DATOS_[[Sexo]:[Sexo]]=$B23,IF(DATOS_[[AGRUP. VALOR. PTO.]:[AGRUP. VALOR. PTO.]]=$B21,IF(DATOS_[[Check Periodo Ref.]:[Check Periodo Ref.]]="Dentro",DATOS_[C.Extra.11]))))),
0)</f>
        <v>0</v>
      </c>
      <c r="AQ23" s="174">
        <f t="array" ref="AQ23">IFERROR(
AVERAGE(IF(DATOS_[Sexo]=$B23,IF(DATOS_[AGRUP. VALOR. PTO.]=$B21,IF(DATOS_[Check Periodo Ref.]="Dentro",DATOS_[Tot Extrasalarial Ef],FALSE)))),
0)</f>
        <v>0</v>
      </c>
      <c r="AR23" s="171">
        <f t="array" ref="AR23">IFERROR(
AVERAGE(IF(DATOS_[Sexo]=$B23,IF(DATOS_[AGRUP. VALOR. PTO.]=$B21,IF(DATOS_[Check Periodo Ref.]="Dentro",DATOS_[TOTAL Retrib Ef],FALSE)))),
0)</f>
        <v>0</v>
      </c>
    </row>
    <row r="24" spans="1:44" ht="14.4" thickBot="1" x14ac:dyDescent="0.3">
      <c r="A24" s="178" t="str">
        <f t="shared" ref="A24" si="15">+A25</f>
        <v>[ocultar]</v>
      </c>
      <c r="B24" s="153" t="s">
        <v>189</v>
      </c>
      <c r="C24" s="154"/>
      <c r="D24" s="155"/>
      <c r="E24" s="156" t="str">
        <f t="shared" ref="E24:AR24" si="16">IFERROR((E25-E26)/E25,"")</f>
        <v/>
      </c>
      <c r="F24" s="157" t="str">
        <f t="shared" si="16"/>
        <v/>
      </c>
      <c r="G24" s="158" t="str">
        <f t="shared" si="16"/>
        <v/>
      </c>
      <c r="H24" s="158" t="str">
        <f t="shared" si="16"/>
        <v/>
      </c>
      <c r="I24" s="158" t="str">
        <f t="shared" si="16"/>
        <v/>
      </c>
      <c r="J24" s="159" t="str">
        <f t="shared" si="16"/>
        <v/>
      </c>
      <c r="K24" s="160" t="str">
        <f t="shared" si="16"/>
        <v/>
      </c>
      <c r="L24" s="160" t="str">
        <f t="shared" si="16"/>
        <v/>
      </c>
      <c r="M24" s="160" t="str">
        <f t="shared" si="16"/>
        <v/>
      </c>
      <c r="N24" s="160" t="str">
        <f t="shared" si="16"/>
        <v/>
      </c>
      <c r="O24" s="160" t="str">
        <f t="shared" si="16"/>
        <v/>
      </c>
      <c r="P24" s="160" t="str">
        <f t="shared" si="16"/>
        <v/>
      </c>
      <c r="Q24" s="160" t="str">
        <f t="shared" si="16"/>
        <v/>
      </c>
      <c r="R24" s="160" t="str">
        <f t="shared" si="16"/>
        <v/>
      </c>
      <c r="S24" s="160" t="str">
        <f t="shared" si="16"/>
        <v/>
      </c>
      <c r="T24" s="160" t="str">
        <f t="shared" si="16"/>
        <v/>
      </c>
      <c r="U24" s="160" t="str">
        <f t="shared" si="16"/>
        <v/>
      </c>
      <c r="V24" s="159" t="str">
        <f t="shared" si="16"/>
        <v/>
      </c>
      <c r="W24" s="159" t="str">
        <f t="shared" si="16"/>
        <v/>
      </c>
      <c r="X24" s="159" t="str">
        <f t="shared" si="16"/>
        <v/>
      </c>
      <c r="Y24" s="159" t="str">
        <f t="shared" si="16"/>
        <v/>
      </c>
      <c r="Z24" s="159" t="str">
        <f t="shared" si="16"/>
        <v/>
      </c>
      <c r="AA24" s="159" t="str">
        <f t="shared" si="16"/>
        <v/>
      </c>
      <c r="AB24" s="159" t="str">
        <f t="shared" si="16"/>
        <v/>
      </c>
      <c r="AC24" s="159" t="str">
        <f t="shared" si="16"/>
        <v/>
      </c>
      <c r="AD24" s="159" t="str">
        <f t="shared" si="16"/>
        <v/>
      </c>
      <c r="AE24" s="159" t="str">
        <f t="shared" si="16"/>
        <v/>
      </c>
      <c r="AF24" s="159" t="str">
        <f t="shared" si="16"/>
        <v/>
      </c>
      <c r="AG24" s="159" t="str">
        <f t="shared" si="16"/>
        <v/>
      </c>
      <c r="AH24" s="159" t="str">
        <f t="shared" si="16"/>
        <v/>
      </c>
      <c r="AI24" s="159" t="str">
        <f t="shared" si="16"/>
        <v/>
      </c>
      <c r="AJ24" s="161" t="str">
        <f t="shared" si="16"/>
        <v/>
      </c>
      <c r="AK24" s="162" t="str">
        <f t="shared" si="16"/>
        <v/>
      </c>
      <c r="AL24" s="163" t="str">
        <f t="shared" si="16"/>
        <v/>
      </c>
      <c r="AM24" s="163" t="str">
        <f t="shared" si="16"/>
        <v/>
      </c>
      <c r="AN24" s="163" t="str">
        <f t="shared" si="16"/>
        <v/>
      </c>
      <c r="AO24" s="163" t="str">
        <f t="shared" si="16"/>
        <v/>
      </c>
      <c r="AP24" s="163" t="str">
        <f t="shared" si="16"/>
        <v/>
      </c>
      <c r="AQ24" s="164" t="str">
        <f t="shared" si="16"/>
        <v/>
      </c>
      <c r="AR24" s="161" t="str">
        <f t="shared" si="16"/>
        <v/>
      </c>
    </row>
    <row r="25" spans="1:44" x14ac:dyDescent="0.25">
      <c r="A25" s="178" t="str">
        <f t="shared" ref="A25" si="17">+IF(C25+C26=0,"[ocultar]","")</f>
        <v>[ocultar]</v>
      </c>
      <c r="B25" s="166" t="s">
        <v>394</v>
      </c>
      <c r="C25" s="167">
        <f t="array" ref="C25">SUM(IF($B25=DATOS_[Sexo],
IF($B24=DATOS_[AGRUP. VALOR. PTO.],
IF("Dentro"=DATOS_[Check Periodo Ref.],
1/(COUNTIFS(DATOS_[Sexo],$B25,DATOS_[AGRUP. VALOR. PTO.],$B24,DATOS_[Check Periodo Ref.],"Dentro",DATOS_[id/cod],DATOS_[id/cod]))))))</f>
        <v>0</v>
      </c>
      <c r="D25" s="168">
        <f>COUNTIFS(DATOS_[AGRUP. VALOR. PTO.],$B24,DATOS_[Sexo],$B25,DATOS_[Check Periodo Ref.],"Dentro")</f>
        <v>0</v>
      </c>
      <c r="E25" s="169">
        <f t="array" ref="E25">IFERROR(
AVERAGE(IF(DATOS_[Sexo]=$B25,IF(DATOS_[AGRUP. VALOR. PTO.]=$B24,IF(DATOS_[Check Periodo Ref.]="Dentro",DATOS_[SALARIO BASE Ef],FALSE)))),
0)</f>
        <v>0</v>
      </c>
      <c r="F25" s="170">
        <f t="array" ref="F25">IFERROR(
AVERAGE((IF(DATOS_[[Sexo]:[Sexo]]=$B25,IF(DATOS_[[AGRUP. VALOR. PTO.]:[AGRUP. VALOR. PTO.]]=$B24,IF(DATOS_[[Check Periodo Ref.]:[Check Periodo Ref.]]="Dentro",DATOS_[Conc.Sal.01]))))),
0)</f>
        <v>0</v>
      </c>
      <c r="G25" s="170">
        <f t="array" ref="G25">IFERROR(
AVERAGE((IF(DATOS_[[Sexo]:[Sexo]]=$B25,IF(DATOS_[[AGRUP. VALOR. PTO.]:[AGRUP. VALOR. PTO.]]=$B24,IF(DATOS_[[Check Periodo Ref.]:[Check Periodo Ref.]]="Dentro",DATOS_[Conc.Sal.02]))))),
0)</f>
        <v>0</v>
      </c>
      <c r="H25" s="170">
        <f t="array" ref="H25">IFERROR(
AVERAGE((IF(DATOS_[[Sexo]:[Sexo]]=$B25,IF(DATOS_[[AGRUP. VALOR. PTO.]:[AGRUP. VALOR. PTO.]]=$B24,IF(DATOS_[[Check Periodo Ref.]:[Check Periodo Ref.]]="Dentro",DATOS_[Conc.Sal.03]))))),
0)</f>
        <v>0</v>
      </c>
      <c r="I25" s="170">
        <f t="array" ref="I25">IFERROR(
AVERAGE((IF(DATOS_[[Sexo]:[Sexo]]=$B25,IF(DATOS_[[AGRUP. VALOR. PTO.]:[AGRUP. VALOR. PTO.]]=$B24,IF(DATOS_[[Check Periodo Ref.]:[Check Periodo Ref.]]="Dentro",DATOS_[Conc.Sal.04]))))),
0)</f>
        <v>0</v>
      </c>
      <c r="J25" s="170">
        <f t="array" ref="J25">IFERROR(
AVERAGE((IF(DATOS_[[Sexo]:[Sexo]]=$B25,IF(DATOS_[[AGRUP. VALOR. PTO.]:[AGRUP. VALOR. PTO.]]=$B24,IF(DATOS_[[Check Periodo Ref.]:[Check Periodo Ref.]]="Dentro",DATOS_[Conc.Sal.05]))))),
0)</f>
        <v>0</v>
      </c>
      <c r="K25" s="170">
        <f t="array" ref="K25">IFERROR(
AVERAGE((IF(DATOS_[[Sexo]:[Sexo]]=$B25,IF(DATOS_[[AGRUP. VALOR. PTO.]:[AGRUP. VALOR. PTO.]]=$B24,IF(DATOS_[[Check Periodo Ref.]:[Check Periodo Ref.]]="Dentro",DATOS_[Conc.Sal.06]))))),
0)</f>
        <v>0</v>
      </c>
      <c r="L25" s="170">
        <f t="array" ref="L25">IFERROR(
AVERAGE((IF(DATOS_[[Sexo]:[Sexo]]=$B25,IF(DATOS_[[AGRUP. VALOR. PTO.]:[AGRUP. VALOR. PTO.]]=$B24,IF(DATOS_[[Check Periodo Ref.]:[Check Periodo Ref.]]="Dentro",DATOS_[Conc.Sal.07]))))),
0)</f>
        <v>0</v>
      </c>
      <c r="M25" s="170">
        <f t="array" ref="M25">IFERROR(
AVERAGE((IF(DATOS_[[Sexo]:[Sexo]]=$B25,IF(DATOS_[[AGRUP. VALOR. PTO.]:[AGRUP. VALOR. PTO.]]=$B24,IF(DATOS_[[Check Periodo Ref.]:[Check Periodo Ref.]]="Dentro",DATOS_[Conc.Sal.08]))))),
0)</f>
        <v>0</v>
      </c>
      <c r="N25" s="170">
        <f t="array" ref="N25">IFERROR(
AVERAGE((IF(DATOS_[[Sexo]:[Sexo]]=$B25,IF(DATOS_[[AGRUP. VALOR. PTO.]:[AGRUP. VALOR. PTO.]]=$B24,IF(DATOS_[[Check Periodo Ref.]:[Check Periodo Ref.]]="Dentro",DATOS_[Conc.Sal.09]))))),
0)</f>
        <v>0</v>
      </c>
      <c r="O25" s="170">
        <f t="array" ref="O25">IFERROR(
AVERAGE((IF(DATOS_[[Sexo]:[Sexo]]=$B25,IF(DATOS_[[AGRUP. VALOR. PTO.]:[AGRUP. VALOR. PTO.]]=$B24,IF(DATOS_[[Check Periodo Ref.]:[Check Periodo Ref.]]="Dentro",DATOS_[Conc.Sal.10]))))),
0)</f>
        <v>0</v>
      </c>
      <c r="P25" s="170">
        <f t="array" ref="P25">IFERROR(
AVERAGE((IF(DATOS_[[Sexo]:[Sexo]]=$B25,IF(DATOS_[[AGRUP. VALOR. PTO.]:[AGRUP. VALOR. PTO.]]=$B24,IF(DATOS_[[Check Periodo Ref.]:[Check Periodo Ref.]]="Dentro",DATOS_[Conc.Sal.11]))))),
0)</f>
        <v>0</v>
      </c>
      <c r="Q25" s="170">
        <f t="array" ref="Q25">IFERROR(
AVERAGE((IF(DATOS_[[Sexo]:[Sexo]]=$B25,IF(DATOS_[[AGRUP. VALOR. PTO.]:[AGRUP. VALOR. PTO.]]=$B24,IF(DATOS_[[Check Periodo Ref.]:[Check Periodo Ref.]]="Dentro",DATOS_[Conc.Sal.12]))))),
0)</f>
        <v>0</v>
      </c>
      <c r="R25" s="170">
        <f t="array" ref="R25">IFERROR(
AVERAGE((IF(DATOS_[[Sexo]:[Sexo]]=$B25,IF(DATOS_[[AGRUP. VALOR. PTO.]:[AGRUP. VALOR. PTO.]]=$B24,IF(DATOS_[[Check Periodo Ref.]:[Check Periodo Ref.]]="Dentro",DATOS_[Conc.Sal.13]))))),
0)</f>
        <v>0</v>
      </c>
      <c r="S25" s="170">
        <f t="array" ref="S25">IFERROR(
AVERAGE((IF(DATOS_[[Sexo]:[Sexo]]=$B25,IF(DATOS_[[AGRUP. VALOR. PTO.]:[AGRUP. VALOR. PTO.]]=$B24,IF(DATOS_[[Check Periodo Ref.]:[Check Periodo Ref.]]="Dentro",DATOS_[Conc.Sal.14]))))),
0)</f>
        <v>0</v>
      </c>
      <c r="T25" s="170">
        <f t="array" ref="T25">IFERROR(
AVERAGE((IF(DATOS_[[Sexo]:[Sexo]]=$B25,IF(DATOS_[[AGRUP. VALOR. PTO.]:[AGRUP. VALOR. PTO.]]=$B24,IF(DATOS_[[Check Periodo Ref.]:[Check Periodo Ref.]]="Dentro",DATOS_[Conc.Sal.15]))))),
0)</f>
        <v>0</v>
      </c>
      <c r="U25" s="170">
        <f t="array" ref="U25">IFERROR(
AVERAGE((IF(DATOS_[[Sexo]:[Sexo]]=$B25,IF(DATOS_[[AGRUP. VALOR. PTO.]:[AGRUP. VALOR. PTO.]]=$B24,IF(DATOS_[[Check Periodo Ref.]:[Check Periodo Ref.]]="Dentro",DATOS_[Conc.Sal.16]))))),
0)</f>
        <v>0</v>
      </c>
      <c r="V25" s="170">
        <f t="array" ref="V25">IFERROR(
AVERAGE((IF(DATOS_[[Sexo]:[Sexo]]=$B25,IF(DATOS_[[AGRUP. VALOR. PTO.]:[AGRUP. VALOR. PTO.]]=$B24,IF(DATOS_[[Check Periodo Ref.]:[Check Periodo Ref.]]="Dentro",DATOS_[Conc.Sal.17]))))),
0)</f>
        <v>0</v>
      </c>
      <c r="W25" s="170">
        <f t="array" ref="W25">IFERROR(
AVERAGE((IF(DATOS_[[Sexo]:[Sexo]]=$B25,IF(DATOS_[[AGRUP. VALOR. PTO.]:[AGRUP. VALOR. PTO.]]=$B24,IF(DATOS_[[Check Periodo Ref.]:[Check Periodo Ref.]]="Dentro",DATOS_[Conc.Sal.18]))))),
0)</f>
        <v>0</v>
      </c>
      <c r="X25" s="170">
        <f t="array" ref="X25">IFERROR(
AVERAGE((IF(DATOS_[[Sexo]:[Sexo]]=$B25,IF(DATOS_[[AGRUP. VALOR. PTO.]:[AGRUP. VALOR. PTO.]]=$B24,IF(DATOS_[[Check Periodo Ref.]:[Check Periodo Ref.]]="Dentro",DATOS_[Conc.Sal.19]))))),
0)</f>
        <v>0</v>
      </c>
      <c r="Y25" s="170">
        <f t="array" ref="Y25">IFERROR(
AVERAGE((IF(DATOS_[[Sexo]:[Sexo]]=$B25,IF(DATOS_[[AGRUP. VALOR. PTO.]:[AGRUP. VALOR. PTO.]]=$B24,IF(DATOS_[[Check Periodo Ref.]:[Check Periodo Ref.]]="Dentro",DATOS_[Conc.Sal.20]))))),
0)</f>
        <v>0</v>
      </c>
      <c r="Z25" s="170">
        <f t="array" ref="Z25">IFERROR(
AVERAGE((IF(DATOS_[[Sexo]:[Sexo]]=$B25,IF(DATOS_[[AGRUP. VALOR. PTO.]:[AGRUP. VALOR. PTO.]]=$B24,IF(DATOS_[[Check Periodo Ref.]:[Check Periodo Ref.]]="Dentro",DATOS_[Conc.Sal.21]))))),
0)</f>
        <v>0</v>
      </c>
      <c r="AA25" s="170">
        <f t="array" ref="AA25">IFERROR(
AVERAGE((IF(DATOS_[[Sexo]:[Sexo]]=$B25,IF(DATOS_[[AGRUP. VALOR. PTO.]:[AGRUP. VALOR. PTO.]]=$B24,IF(DATOS_[[Check Periodo Ref.]:[Check Periodo Ref.]]="Dentro",DATOS_[Conc.Sal.22]))))),
0)</f>
        <v>0</v>
      </c>
      <c r="AB25" s="170">
        <f t="array" ref="AB25">IFERROR(
AVERAGE((IF(DATOS_[[Sexo]:[Sexo]]=$B25,IF(DATOS_[[AGRUP. VALOR. PTO.]:[AGRUP. VALOR. PTO.]]=$B24,IF(DATOS_[[Check Periodo Ref.]:[Check Periodo Ref.]]="Dentro",DATOS_[Conc.Sal.23]))))),
0)</f>
        <v>0</v>
      </c>
      <c r="AC25" s="170">
        <f t="array" ref="AC25">IFERROR(
AVERAGE((IF(DATOS_[[Sexo]:[Sexo]]=$B25,IF(DATOS_[[AGRUP. VALOR. PTO.]:[AGRUP. VALOR. PTO.]]=$B24,IF(DATOS_[[Check Periodo Ref.]:[Check Periodo Ref.]]="Dentro",DATOS_[Conc.Sal.24]))))),
0)</f>
        <v>0</v>
      </c>
      <c r="AD25" s="170">
        <f t="array" ref="AD25">IFERROR(
AVERAGE((IF(DATOS_[[Sexo]:[Sexo]]=$B25,IF(DATOS_[[AGRUP. VALOR. PTO.]:[AGRUP. VALOR. PTO.]]=$B24,IF(DATOS_[[Check Periodo Ref.]:[Check Periodo Ref.]]="Dentro",DATOS_[Conc.Sal.25]))))),
0)</f>
        <v>0</v>
      </c>
      <c r="AE25" s="170">
        <f t="array" ref="AE25">IFERROR(
AVERAGE((IF(DATOS_[[Sexo]:[Sexo]]=$B25,IF(DATOS_[[AGRUP. VALOR. PTO.]:[AGRUP. VALOR. PTO.]]=$B24,IF(DATOS_[[Check Periodo Ref.]:[Check Periodo Ref.]]="Dentro",DATOS_[Conc.Sal.26]))))),
0)</f>
        <v>0</v>
      </c>
      <c r="AF25" s="170">
        <f t="array" ref="AF25">IFERROR(
AVERAGE((IF(DATOS_[[Sexo]:[Sexo]]=$B25,IF(DATOS_[[AGRUP. VALOR. PTO.]:[AGRUP. VALOR. PTO.]]=$B24,IF(DATOS_[[Check Periodo Ref.]:[Check Periodo Ref.]]="Dentro",DATOS_[Conc.Sal.27]))))),
0)</f>
        <v>0</v>
      </c>
      <c r="AG25" s="170">
        <f t="array" ref="AG25">IFERROR(
AVERAGE((IF(DATOS_[[Sexo]:[Sexo]]=$B25,IF(DATOS_[[AGRUP. VALOR. PTO.]:[AGRUP. VALOR. PTO.]]=$B24,IF(DATOS_[[Check Periodo Ref.]:[Check Periodo Ref.]]="Dentro",DATOS_[Conc.Sal.28]))))),
0)</f>
        <v>0</v>
      </c>
      <c r="AH25" s="170">
        <f t="array" ref="AH25">IFERROR(
AVERAGE((IF(DATOS_[[Sexo]:[Sexo]]=$B25,IF(DATOS_[[AGRUP. VALOR. PTO.]:[AGRUP. VALOR. PTO.]]=$B24,IF(DATOS_[[Check Periodo Ref.]:[Check Periodo Ref.]]="Dentro",DATOS_[Conc.Sal.29]))))),
0)</f>
        <v>0</v>
      </c>
      <c r="AI25" s="170">
        <f t="array" ref="AI25">IFERROR(
AVERAGE((IF(DATOS_[[Sexo]:[Sexo]]=$B25,IF(DATOS_[[AGRUP. VALOR. PTO.]:[AGRUP. VALOR. PTO.]]=$B24,IF(DATOS_[[Check Periodo Ref.]:[Check Periodo Ref.]]="Dentro",DATOS_[Conc.Sal.30]))))),
0)</f>
        <v>0</v>
      </c>
      <c r="AJ25" s="171">
        <f t="array" ref="AJ25">IFERROR(
AVERAGE(IF(DATOS_[Sexo]=$B25,IF(DATOS_[AGRUP. VALOR. PTO.]=$B24,IF(DATOS_[Check Periodo Ref.]="Dentro",DATOS_[Tot COMPL.SAL Ef],FALSE)))),
0)</f>
        <v>0</v>
      </c>
      <c r="AK25" s="172">
        <f t="array" ref="AK25">IFERROR(
AVERAGE(IF(DATOS_[Sexo]=$B25,IF(DATOS_[AGRUP. VALOR. PTO.]=$B24,IF(DATOS_[Check Periodo Ref.]="Dentro",DATOS_[TOTAL SALARIO Ef],FALSE)))),
0)</f>
        <v>0</v>
      </c>
      <c r="AL25" s="173">
        <f t="array" ref="AL25">IFERROR(
AVERAGE((IF(DATOS_[[Sexo]:[Sexo]]=$B25,IF(DATOS_[[AGRUP. VALOR. PTO.]:[AGRUP. VALOR. PTO.]]=$B24,IF(DATOS_[[Check Periodo Ref.]:[Check Periodo Ref.]]="Dentro",DATOS_[C.Extra.01]))))),
0)</f>
        <v>0</v>
      </c>
      <c r="AM25" s="173">
        <f t="array" ref="AM25">IFERROR(
AVERAGE((IF(DATOS_[[Sexo]:[Sexo]]=$B25,IF(DATOS_[[AGRUP. VALOR. PTO.]:[AGRUP. VALOR. PTO.]]=$B24,IF(DATOS_[[Check Periodo Ref.]:[Check Periodo Ref.]]="Dentro",DATOS_[C.Extra.06]))))),
0)</f>
        <v>0</v>
      </c>
      <c r="AN25" s="173">
        <f t="array" ref="AN25">IFERROR(
AVERAGE((IF(DATOS_[[Sexo]:[Sexo]]=$B25,IF(DATOS_[[AGRUP. VALOR. PTO.]:[AGRUP. VALOR. PTO.]]=$B24,IF(DATOS_[[Check Periodo Ref.]:[Check Periodo Ref.]]="Dentro",DATOS_[C.Extra.07]))))),
0)</f>
        <v>0</v>
      </c>
      <c r="AO25" s="173">
        <f t="array" ref="AO25">IFERROR(
AVERAGE((IF(DATOS_[[Sexo]:[Sexo]]=$B25,IF(DATOS_[[AGRUP. VALOR. PTO.]:[AGRUP. VALOR. PTO.]]=$B24,IF(DATOS_[[Check Periodo Ref.]:[Check Periodo Ref.]]="Dentro",DATOS_[C.Extra.08]))))),
0)</f>
        <v>0</v>
      </c>
      <c r="AP25" s="173">
        <f t="array" ref="AP25">IFERROR(
AVERAGE((IF(DATOS_[[Sexo]:[Sexo]]=$B25,IF(DATOS_[[AGRUP. VALOR. PTO.]:[AGRUP. VALOR. PTO.]]=$B24,IF(DATOS_[[Check Periodo Ref.]:[Check Periodo Ref.]]="Dentro",DATOS_[C.Extra.11]))))),
0)</f>
        <v>0</v>
      </c>
      <c r="AQ25" s="174">
        <f t="array" ref="AQ25">IFERROR(
AVERAGE(IF(DATOS_[Sexo]=$B25,IF(DATOS_[AGRUP. VALOR. PTO.]=$B24,IF(DATOS_[Check Periodo Ref.]="Dentro",DATOS_[Tot Extrasalarial Ef],FALSE)))),
0)</f>
        <v>0</v>
      </c>
      <c r="AR25" s="171">
        <f t="array" ref="AR25">IFERROR(
AVERAGE(IF(DATOS_[Sexo]=$B25,IF(DATOS_[AGRUP. VALOR. PTO.]=$B24,IF(DATOS_[Check Periodo Ref.]="Dentro",DATOS_[TOTAL Retrib Ef],FALSE)))),
0)</f>
        <v>0</v>
      </c>
    </row>
    <row r="26" spans="1:44" x14ac:dyDescent="0.25">
      <c r="A26" s="178" t="str">
        <f t="shared" ref="A26" si="18">+A25</f>
        <v>[ocultar]</v>
      </c>
      <c r="B26" s="166" t="s">
        <v>521</v>
      </c>
      <c r="C26" s="167">
        <f t="array" ref="C26">SUM(IF($B26=DATOS_[Sexo],
IF($B24=DATOS_[AGRUP. VALOR. PTO.],
IF("Dentro"=DATOS_[Check Periodo Ref.],
1/(COUNTIFS(DATOS_[Sexo],$B26,DATOS_[AGRUP. VALOR. PTO.],$B24,DATOS_[Check Periodo Ref.],"Dentro",DATOS_[id/cod],DATOS_[id/cod]))))))</f>
        <v>0</v>
      </c>
      <c r="D26" s="168">
        <f>COUNTIFS(DATOS_[AGRUP. VALOR. PTO.],$B24,DATOS_[Sexo],$B26,DATOS_[Check Periodo Ref.],"Dentro")</f>
        <v>0</v>
      </c>
      <c r="E26" s="169">
        <f t="array" ref="E26">IFERROR(
AVERAGE(IF(DATOS_[Sexo]=$B26,IF(DATOS_[AGRUP. VALOR. PTO.]=$B24,IF(DATOS_[Check Periodo Ref.]="Dentro",DATOS_[SALARIO BASE Ef],FALSE)))),
0)</f>
        <v>0</v>
      </c>
      <c r="F26" s="170">
        <f t="array" ref="F26">IFERROR(
AVERAGE((IF(DATOS_[[Sexo]:[Sexo]]=$B26,IF(DATOS_[[AGRUP. VALOR. PTO.]:[AGRUP. VALOR. PTO.]]=$B24,IF(DATOS_[[Check Periodo Ref.]:[Check Periodo Ref.]]="Dentro",DATOS_[Conc.Sal.01]))))),
0)</f>
        <v>0</v>
      </c>
      <c r="G26" s="170">
        <f t="array" ref="G26">IFERROR(
AVERAGE((IF(DATOS_[[Sexo]:[Sexo]]=$B26,IF(DATOS_[[AGRUP. VALOR. PTO.]:[AGRUP. VALOR. PTO.]]=$B24,IF(DATOS_[[Check Periodo Ref.]:[Check Periodo Ref.]]="Dentro",DATOS_[Conc.Sal.02]))))),
0)</f>
        <v>0</v>
      </c>
      <c r="H26" s="170">
        <f t="array" ref="H26">IFERROR(
AVERAGE((IF(DATOS_[[Sexo]:[Sexo]]=$B26,IF(DATOS_[[AGRUP. VALOR. PTO.]:[AGRUP. VALOR. PTO.]]=$B24,IF(DATOS_[[Check Periodo Ref.]:[Check Periodo Ref.]]="Dentro",DATOS_[Conc.Sal.03]))))),
0)</f>
        <v>0</v>
      </c>
      <c r="I26" s="170">
        <f t="array" ref="I26">IFERROR(
AVERAGE((IF(DATOS_[[Sexo]:[Sexo]]=$B26,IF(DATOS_[[AGRUP. VALOR. PTO.]:[AGRUP. VALOR. PTO.]]=$B24,IF(DATOS_[[Check Periodo Ref.]:[Check Periodo Ref.]]="Dentro",DATOS_[Conc.Sal.04]))))),
0)</f>
        <v>0</v>
      </c>
      <c r="J26" s="170">
        <f t="array" ref="J26">IFERROR(
AVERAGE((IF(DATOS_[[Sexo]:[Sexo]]=$B26,IF(DATOS_[[AGRUP. VALOR. PTO.]:[AGRUP. VALOR. PTO.]]=$B24,IF(DATOS_[[Check Periodo Ref.]:[Check Periodo Ref.]]="Dentro",DATOS_[Conc.Sal.05]))))),
0)</f>
        <v>0</v>
      </c>
      <c r="K26" s="170">
        <f t="array" ref="K26">IFERROR(
AVERAGE((IF(DATOS_[[Sexo]:[Sexo]]=$B26,IF(DATOS_[[AGRUP. VALOR. PTO.]:[AGRUP. VALOR. PTO.]]=$B24,IF(DATOS_[[Check Periodo Ref.]:[Check Periodo Ref.]]="Dentro",DATOS_[Conc.Sal.06]))))),
0)</f>
        <v>0</v>
      </c>
      <c r="L26" s="170">
        <f t="array" ref="L26">IFERROR(
AVERAGE((IF(DATOS_[[Sexo]:[Sexo]]=$B26,IF(DATOS_[[AGRUP. VALOR. PTO.]:[AGRUP. VALOR. PTO.]]=$B24,IF(DATOS_[[Check Periodo Ref.]:[Check Periodo Ref.]]="Dentro",DATOS_[Conc.Sal.07]))))),
0)</f>
        <v>0</v>
      </c>
      <c r="M26" s="170">
        <f t="array" ref="M26">IFERROR(
AVERAGE((IF(DATOS_[[Sexo]:[Sexo]]=$B26,IF(DATOS_[[AGRUP. VALOR. PTO.]:[AGRUP. VALOR. PTO.]]=$B24,IF(DATOS_[[Check Periodo Ref.]:[Check Periodo Ref.]]="Dentro",DATOS_[Conc.Sal.08]))))),
0)</f>
        <v>0</v>
      </c>
      <c r="N26" s="170">
        <f t="array" ref="N26">IFERROR(
AVERAGE((IF(DATOS_[[Sexo]:[Sexo]]=$B26,IF(DATOS_[[AGRUP. VALOR. PTO.]:[AGRUP. VALOR. PTO.]]=$B24,IF(DATOS_[[Check Periodo Ref.]:[Check Periodo Ref.]]="Dentro",DATOS_[Conc.Sal.09]))))),
0)</f>
        <v>0</v>
      </c>
      <c r="O26" s="170">
        <f t="array" ref="O26">IFERROR(
AVERAGE((IF(DATOS_[[Sexo]:[Sexo]]=$B26,IF(DATOS_[[AGRUP. VALOR. PTO.]:[AGRUP. VALOR. PTO.]]=$B24,IF(DATOS_[[Check Periodo Ref.]:[Check Periodo Ref.]]="Dentro",DATOS_[Conc.Sal.10]))))),
0)</f>
        <v>0</v>
      </c>
      <c r="P26" s="170">
        <f t="array" ref="P26">IFERROR(
AVERAGE((IF(DATOS_[[Sexo]:[Sexo]]=$B26,IF(DATOS_[[AGRUP. VALOR. PTO.]:[AGRUP. VALOR. PTO.]]=$B24,IF(DATOS_[[Check Periodo Ref.]:[Check Periodo Ref.]]="Dentro",DATOS_[Conc.Sal.11]))))),
0)</f>
        <v>0</v>
      </c>
      <c r="Q26" s="170">
        <f t="array" ref="Q26">IFERROR(
AVERAGE((IF(DATOS_[[Sexo]:[Sexo]]=$B26,IF(DATOS_[[AGRUP. VALOR. PTO.]:[AGRUP. VALOR. PTO.]]=$B24,IF(DATOS_[[Check Periodo Ref.]:[Check Periodo Ref.]]="Dentro",DATOS_[Conc.Sal.12]))))),
0)</f>
        <v>0</v>
      </c>
      <c r="R26" s="170">
        <f t="array" ref="R26">IFERROR(
AVERAGE((IF(DATOS_[[Sexo]:[Sexo]]=$B26,IF(DATOS_[[AGRUP. VALOR. PTO.]:[AGRUP. VALOR. PTO.]]=$B24,IF(DATOS_[[Check Periodo Ref.]:[Check Periodo Ref.]]="Dentro",DATOS_[Conc.Sal.13]))))),
0)</f>
        <v>0</v>
      </c>
      <c r="S26" s="170">
        <f t="array" ref="S26">IFERROR(
AVERAGE((IF(DATOS_[[Sexo]:[Sexo]]=$B26,IF(DATOS_[[AGRUP. VALOR. PTO.]:[AGRUP. VALOR. PTO.]]=$B24,IF(DATOS_[[Check Periodo Ref.]:[Check Periodo Ref.]]="Dentro",DATOS_[Conc.Sal.14]))))),
0)</f>
        <v>0</v>
      </c>
      <c r="T26" s="170">
        <f t="array" ref="T26">IFERROR(
AVERAGE((IF(DATOS_[[Sexo]:[Sexo]]=$B26,IF(DATOS_[[AGRUP. VALOR. PTO.]:[AGRUP. VALOR. PTO.]]=$B24,IF(DATOS_[[Check Periodo Ref.]:[Check Periodo Ref.]]="Dentro",DATOS_[Conc.Sal.15]))))),
0)</f>
        <v>0</v>
      </c>
      <c r="U26" s="170">
        <f t="array" ref="U26">IFERROR(
AVERAGE((IF(DATOS_[[Sexo]:[Sexo]]=$B26,IF(DATOS_[[AGRUP. VALOR. PTO.]:[AGRUP. VALOR. PTO.]]=$B24,IF(DATOS_[[Check Periodo Ref.]:[Check Periodo Ref.]]="Dentro",DATOS_[Conc.Sal.16]))))),
0)</f>
        <v>0</v>
      </c>
      <c r="V26" s="170">
        <f t="array" ref="V26">IFERROR(
AVERAGE((IF(DATOS_[[Sexo]:[Sexo]]=$B26,IF(DATOS_[[AGRUP. VALOR. PTO.]:[AGRUP. VALOR. PTO.]]=$B24,IF(DATOS_[[Check Periodo Ref.]:[Check Periodo Ref.]]="Dentro",DATOS_[Conc.Sal.17]))))),
0)</f>
        <v>0</v>
      </c>
      <c r="W26" s="170">
        <f t="array" ref="W26">IFERROR(
AVERAGE((IF(DATOS_[[Sexo]:[Sexo]]=$B26,IF(DATOS_[[AGRUP. VALOR. PTO.]:[AGRUP. VALOR. PTO.]]=$B24,IF(DATOS_[[Check Periodo Ref.]:[Check Periodo Ref.]]="Dentro",DATOS_[Conc.Sal.18]))))),
0)</f>
        <v>0</v>
      </c>
      <c r="X26" s="170">
        <f t="array" ref="X26">IFERROR(
AVERAGE((IF(DATOS_[[Sexo]:[Sexo]]=$B26,IF(DATOS_[[AGRUP. VALOR. PTO.]:[AGRUP. VALOR. PTO.]]=$B24,IF(DATOS_[[Check Periodo Ref.]:[Check Periodo Ref.]]="Dentro",DATOS_[Conc.Sal.19]))))),
0)</f>
        <v>0</v>
      </c>
      <c r="Y26" s="170">
        <f t="array" ref="Y26">IFERROR(
AVERAGE((IF(DATOS_[[Sexo]:[Sexo]]=$B26,IF(DATOS_[[AGRUP. VALOR. PTO.]:[AGRUP. VALOR. PTO.]]=$B24,IF(DATOS_[[Check Periodo Ref.]:[Check Periodo Ref.]]="Dentro",DATOS_[Conc.Sal.20]))))),
0)</f>
        <v>0</v>
      </c>
      <c r="Z26" s="170">
        <f t="array" ref="Z26">IFERROR(
AVERAGE((IF(DATOS_[[Sexo]:[Sexo]]=$B26,IF(DATOS_[[AGRUP. VALOR. PTO.]:[AGRUP. VALOR. PTO.]]=$B24,IF(DATOS_[[Check Periodo Ref.]:[Check Periodo Ref.]]="Dentro",DATOS_[Conc.Sal.21]))))),
0)</f>
        <v>0</v>
      </c>
      <c r="AA26" s="170">
        <f t="array" ref="AA26">IFERROR(
AVERAGE((IF(DATOS_[[Sexo]:[Sexo]]=$B26,IF(DATOS_[[AGRUP. VALOR. PTO.]:[AGRUP. VALOR. PTO.]]=$B24,IF(DATOS_[[Check Periodo Ref.]:[Check Periodo Ref.]]="Dentro",DATOS_[Conc.Sal.22]))))),
0)</f>
        <v>0</v>
      </c>
      <c r="AB26" s="170">
        <f t="array" ref="AB26">IFERROR(
AVERAGE((IF(DATOS_[[Sexo]:[Sexo]]=$B26,IF(DATOS_[[AGRUP. VALOR. PTO.]:[AGRUP. VALOR. PTO.]]=$B24,IF(DATOS_[[Check Periodo Ref.]:[Check Periodo Ref.]]="Dentro",DATOS_[Conc.Sal.23]))))),
0)</f>
        <v>0</v>
      </c>
      <c r="AC26" s="170">
        <f t="array" ref="AC26">IFERROR(
AVERAGE((IF(DATOS_[[Sexo]:[Sexo]]=$B26,IF(DATOS_[[AGRUP. VALOR. PTO.]:[AGRUP. VALOR. PTO.]]=$B24,IF(DATOS_[[Check Periodo Ref.]:[Check Periodo Ref.]]="Dentro",DATOS_[Conc.Sal.24]))))),
0)</f>
        <v>0</v>
      </c>
      <c r="AD26" s="170">
        <f t="array" ref="AD26">IFERROR(
AVERAGE((IF(DATOS_[[Sexo]:[Sexo]]=$B26,IF(DATOS_[[AGRUP. VALOR. PTO.]:[AGRUP. VALOR. PTO.]]=$B24,IF(DATOS_[[Check Periodo Ref.]:[Check Periodo Ref.]]="Dentro",DATOS_[Conc.Sal.25]))))),
0)</f>
        <v>0</v>
      </c>
      <c r="AE26" s="170">
        <f t="array" ref="AE26">IFERROR(
AVERAGE((IF(DATOS_[[Sexo]:[Sexo]]=$B26,IF(DATOS_[[AGRUP. VALOR. PTO.]:[AGRUP. VALOR. PTO.]]=$B24,IF(DATOS_[[Check Periodo Ref.]:[Check Periodo Ref.]]="Dentro",DATOS_[Conc.Sal.26]))))),
0)</f>
        <v>0</v>
      </c>
      <c r="AF26" s="170">
        <f t="array" ref="AF26">IFERROR(
AVERAGE((IF(DATOS_[[Sexo]:[Sexo]]=$B26,IF(DATOS_[[AGRUP. VALOR. PTO.]:[AGRUP. VALOR. PTO.]]=$B24,IF(DATOS_[[Check Periodo Ref.]:[Check Periodo Ref.]]="Dentro",DATOS_[Conc.Sal.27]))))),
0)</f>
        <v>0</v>
      </c>
      <c r="AG26" s="170">
        <f t="array" ref="AG26">IFERROR(
AVERAGE((IF(DATOS_[[Sexo]:[Sexo]]=$B26,IF(DATOS_[[AGRUP. VALOR. PTO.]:[AGRUP. VALOR. PTO.]]=$B24,IF(DATOS_[[Check Periodo Ref.]:[Check Periodo Ref.]]="Dentro",DATOS_[Conc.Sal.28]))))),
0)</f>
        <v>0</v>
      </c>
      <c r="AH26" s="170">
        <f t="array" ref="AH26">IFERROR(
AVERAGE((IF(DATOS_[[Sexo]:[Sexo]]=$B26,IF(DATOS_[[AGRUP. VALOR. PTO.]:[AGRUP. VALOR. PTO.]]=$B24,IF(DATOS_[[Check Periodo Ref.]:[Check Periodo Ref.]]="Dentro",DATOS_[Conc.Sal.29]))))),
0)</f>
        <v>0</v>
      </c>
      <c r="AI26" s="170">
        <f t="array" ref="AI26">IFERROR(
AVERAGE((IF(DATOS_[[Sexo]:[Sexo]]=$B26,IF(DATOS_[[AGRUP. VALOR. PTO.]:[AGRUP. VALOR. PTO.]]=$B24,IF(DATOS_[[Check Periodo Ref.]:[Check Periodo Ref.]]="Dentro",DATOS_[Conc.Sal.30]))))),
0)</f>
        <v>0</v>
      </c>
      <c r="AJ26" s="171">
        <f t="array" ref="AJ26">IFERROR(
AVERAGE(IF(DATOS_[Sexo]=$B26,IF(DATOS_[AGRUP. VALOR. PTO.]=$B24,IF(DATOS_[Check Periodo Ref.]="Dentro",DATOS_[Tot COMPL.SAL Ef],FALSE)))),
0)</f>
        <v>0</v>
      </c>
      <c r="AK26" s="172">
        <f t="array" ref="AK26">IFERROR(
AVERAGE(IF(DATOS_[Sexo]=$B26,IF(DATOS_[AGRUP. VALOR. PTO.]=$B24,IF(DATOS_[Check Periodo Ref.]="Dentro",DATOS_[TOTAL SALARIO Ef],FALSE)))),
0)</f>
        <v>0</v>
      </c>
      <c r="AL26" s="173">
        <f t="array" ref="AL26">IFERROR(
AVERAGE((IF(DATOS_[[Sexo]:[Sexo]]=$B26,IF(DATOS_[[AGRUP. VALOR. PTO.]:[AGRUP. VALOR. PTO.]]=$B24,IF(DATOS_[[Check Periodo Ref.]:[Check Periodo Ref.]]="Dentro",DATOS_[C.Extra.01]))))),
0)</f>
        <v>0</v>
      </c>
      <c r="AM26" s="173">
        <f t="array" ref="AM26">IFERROR(
AVERAGE((IF(DATOS_[[Sexo]:[Sexo]]=$B26,IF(DATOS_[[AGRUP. VALOR. PTO.]:[AGRUP. VALOR. PTO.]]=$B24,IF(DATOS_[[Check Periodo Ref.]:[Check Periodo Ref.]]="Dentro",DATOS_[C.Extra.06]))))),
0)</f>
        <v>0</v>
      </c>
      <c r="AN26" s="173">
        <f t="array" ref="AN26">IFERROR(
AVERAGE((IF(DATOS_[[Sexo]:[Sexo]]=$B26,IF(DATOS_[[AGRUP. VALOR. PTO.]:[AGRUP. VALOR. PTO.]]=$B24,IF(DATOS_[[Check Periodo Ref.]:[Check Periodo Ref.]]="Dentro",DATOS_[C.Extra.07]))))),
0)</f>
        <v>0</v>
      </c>
      <c r="AO26" s="173">
        <f t="array" ref="AO26">IFERROR(
AVERAGE((IF(DATOS_[[Sexo]:[Sexo]]=$B26,IF(DATOS_[[AGRUP. VALOR. PTO.]:[AGRUP. VALOR. PTO.]]=$B24,IF(DATOS_[[Check Periodo Ref.]:[Check Periodo Ref.]]="Dentro",DATOS_[C.Extra.08]))))),
0)</f>
        <v>0</v>
      </c>
      <c r="AP26" s="173">
        <f t="array" ref="AP26">IFERROR(
AVERAGE((IF(DATOS_[[Sexo]:[Sexo]]=$B26,IF(DATOS_[[AGRUP. VALOR. PTO.]:[AGRUP. VALOR. PTO.]]=$B24,IF(DATOS_[[Check Periodo Ref.]:[Check Periodo Ref.]]="Dentro",DATOS_[C.Extra.11]))))),
0)</f>
        <v>0</v>
      </c>
      <c r="AQ26" s="174">
        <f t="array" ref="AQ26">IFERROR(
AVERAGE(IF(DATOS_[Sexo]=$B26,IF(DATOS_[AGRUP. VALOR. PTO.]=$B24,IF(DATOS_[Check Periodo Ref.]="Dentro",DATOS_[Tot Extrasalarial Ef],FALSE)))),
0)</f>
        <v>0</v>
      </c>
      <c r="AR26" s="171">
        <f t="array" ref="AR26">IFERROR(
AVERAGE(IF(DATOS_[Sexo]=$B26,IF(DATOS_[AGRUP. VALOR. PTO.]=$B24,IF(DATOS_[Check Periodo Ref.]="Dentro",DATOS_[TOTAL Retrib Ef],FALSE)))),
0)</f>
        <v>0</v>
      </c>
    </row>
    <row r="27" spans="1:44" ht="14.4" thickBot="1" x14ac:dyDescent="0.3">
      <c r="A27" s="178" t="str">
        <f t="shared" ref="A27" si="19">+A28</f>
        <v>[ocultar]</v>
      </c>
      <c r="B27" s="153" t="s">
        <v>193</v>
      </c>
      <c r="C27" s="154"/>
      <c r="D27" s="155"/>
      <c r="E27" s="156" t="str">
        <f t="shared" ref="E27:AR27" si="20">IFERROR((E28-E29)/E28,"")</f>
        <v/>
      </c>
      <c r="F27" s="157" t="str">
        <f t="shared" si="20"/>
        <v/>
      </c>
      <c r="G27" s="158" t="str">
        <f t="shared" si="20"/>
        <v/>
      </c>
      <c r="H27" s="158" t="str">
        <f t="shared" si="20"/>
        <v/>
      </c>
      <c r="I27" s="158" t="str">
        <f t="shared" si="20"/>
        <v/>
      </c>
      <c r="J27" s="159" t="str">
        <f t="shared" si="20"/>
        <v/>
      </c>
      <c r="K27" s="160" t="str">
        <f t="shared" si="20"/>
        <v/>
      </c>
      <c r="L27" s="160" t="str">
        <f t="shared" si="20"/>
        <v/>
      </c>
      <c r="M27" s="160" t="str">
        <f t="shared" si="20"/>
        <v/>
      </c>
      <c r="N27" s="160" t="str">
        <f t="shared" si="20"/>
        <v/>
      </c>
      <c r="O27" s="160" t="str">
        <f t="shared" si="20"/>
        <v/>
      </c>
      <c r="P27" s="160" t="str">
        <f t="shared" si="20"/>
        <v/>
      </c>
      <c r="Q27" s="160" t="str">
        <f t="shared" si="20"/>
        <v/>
      </c>
      <c r="R27" s="160" t="str">
        <f t="shared" si="20"/>
        <v/>
      </c>
      <c r="S27" s="160" t="str">
        <f t="shared" si="20"/>
        <v/>
      </c>
      <c r="T27" s="160" t="str">
        <f t="shared" si="20"/>
        <v/>
      </c>
      <c r="U27" s="160" t="str">
        <f t="shared" si="20"/>
        <v/>
      </c>
      <c r="V27" s="159" t="str">
        <f t="shared" si="20"/>
        <v/>
      </c>
      <c r="W27" s="159" t="str">
        <f t="shared" si="20"/>
        <v/>
      </c>
      <c r="X27" s="159" t="str">
        <f t="shared" si="20"/>
        <v/>
      </c>
      <c r="Y27" s="159" t="str">
        <f t="shared" si="20"/>
        <v/>
      </c>
      <c r="Z27" s="159" t="str">
        <f t="shared" si="20"/>
        <v/>
      </c>
      <c r="AA27" s="159" t="str">
        <f t="shared" si="20"/>
        <v/>
      </c>
      <c r="AB27" s="159" t="str">
        <f t="shared" si="20"/>
        <v/>
      </c>
      <c r="AC27" s="159" t="str">
        <f t="shared" si="20"/>
        <v/>
      </c>
      <c r="AD27" s="159" t="str">
        <f t="shared" si="20"/>
        <v/>
      </c>
      <c r="AE27" s="159" t="str">
        <f t="shared" si="20"/>
        <v/>
      </c>
      <c r="AF27" s="159" t="str">
        <f t="shared" si="20"/>
        <v/>
      </c>
      <c r="AG27" s="159" t="str">
        <f t="shared" si="20"/>
        <v/>
      </c>
      <c r="AH27" s="159" t="str">
        <f t="shared" si="20"/>
        <v/>
      </c>
      <c r="AI27" s="159" t="str">
        <f t="shared" si="20"/>
        <v/>
      </c>
      <c r="AJ27" s="161" t="str">
        <f t="shared" si="20"/>
        <v/>
      </c>
      <c r="AK27" s="162" t="str">
        <f t="shared" si="20"/>
        <v/>
      </c>
      <c r="AL27" s="163" t="str">
        <f t="shared" si="20"/>
        <v/>
      </c>
      <c r="AM27" s="163" t="str">
        <f t="shared" si="20"/>
        <v/>
      </c>
      <c r="AN27" s="163" t="str">
        <f t="shared" si="20"/>
        <v/>
      </c>
      <c r="AO27" s="163" t="str">
        <f t="shared" si="20"/>
        <v/>
      </c>
      <c r="AP27" s="163" t="str">
        <f t="shared" si="20"/>
        <v/>
      </c>
      <c r="AQ27" s="164" t="str">
        <f t="shared" si="20"/>
        <v/>
      </c>
      <c r="AR27" s="161" t="str">
        <f t="shared" si="20"/>
        <v/>
      </c>
    </row>
    <row r="28" spans="1:44" x14ac:dyDescent="0.25">
      <c r="A28" s="178" t="str">
        <f t="shared" ref="A28" si="21">+IF(C28+C29=0,"[ocultar]","")</f>
        <v>[ocultar]</v>
      </c>
      <c r="B28" s="166" t="s">
        <v>394</v>
      </c>
      <c r="C28" s="167">
        <f t="array" ref="C28">SUM(IF($B28=DATOS_[Sexo],
IF($B27=DATOS_[AGRUP. VALOR. PTO.],
IF("Dentro"=DATOS_[Check Periodo Ref.],
1/(COUNTIFS(DATOS_[Sexo],$B28,DATOS_[AGRUP. VALOR. PTO.],$B27,DATOS_[Check Periodo Ref.],"Dentro",DATOS_[id/cod],DATOS_[id/cod]))))))</f>
        <v>0</v>
      </c>
      <c r="D28" s="168">
        <f>COUNTIFS(DATOS_[AGRUP. VALOR. PTO.],$B27,DATOS_[Sexo],$B28,DATOS_[Check Periodo Ref.],"Dentro")</f>
        <v>0</v>
      </c>
      <c r="E28" s="169">
        <f t="array" ref="E28">IFERROR(
AVERAGE(IF(DATOS_[Sexo]=$B28,IF(DATOS_[AGRUP. VALOR. PTO.]=$B27,IF(DATOS_[Check Periodo Ref.]="Dentro",DATOS_[SALARIO BASE Ef],FALSE)))),
0)</f>
        <v>0</v>
      </c>
      <c r="F28" s="170">
        <f t="array" ref="F28">IFERROR(
AVERAGE((IF(DATOS_[[Sexo]:[Sexo]]=$B28,IF(DATOS_[[AGRUP. VALOR. PTO.]:[AGRUP. VALOR. PTO.]]=$B27,IF(DATOS_[[Check Periodo Ref.]:[Check Periodo Ref.]]="Dentro",DATOS_[Conc.Sal.01]))))),
0)</f>
        <v>0</v>
      </c>
      <c r="G28" s="170">
        <f t="array" ref="G28">IFERROR(
AVERAGE((IF(DATOS_[[Sexo]:[Sexo]]=$B28,IF(DATOS_[[AGRUP. VALOR. PTO.]:[AGRUP. VALOR. PTO.]]=$B27,IF(DATOS_[[Check Periodo Ref.]:[Check Periodo Ref.]]="Dentro",DATOS_[Conc.Sal.02]))))),
0)</f>
        <v>0</v>
      </c>
      <c r="H28" s="170">
        <f t="array" ref="H28">IFERROR(
AVERAGE((IF(DATOS_[[Sexo]:[Sexo]]=$B28,IF(DATOS_[[AGRUP. VALOR. PTO.]:[AGRUP. VALOR. PTO.]]=$B27,IF(DATOS_[[Check Periodo Ref.]:[Check Periodo Ref.]]="Dentro",DATOS_[Conc.Sal.03]))))),
0)</f>
        <v>0</v>
      </c>
      <c r="I28" s="170">
        <f t="array" ref="I28">IFERROR(
AVERAGE((IF(DATOS_[[Sexo]:[Sexo]]=$B28,IF(DATOS_[[AGRUP. VALOR. PTO.]:[AGRUP. VALOR. PTO.]]=$B27,IF(DATOS_[[Check Periodo Ref.]:[Check Periodo Ref.]]="Dentro",DATOS_[Conc.Sal.04]))))),
0)</f>
        <v>0</v>
      </c>
      <c r="J28" s="170">
        <f t="array" ref="J28">IFERROR(
AVERAGE((IF(DATOS_[[Sexo]:[Sexo]]=$B28,IF(DATOS_[[AGRUP. VALOR. PTO.]:[AGRUP. VALOR. PTO.]]=$B27,IF(DATOS_[[Check Periodo Ref.]:[Check Periodo Ref.]]="Dentro",DATOS_[Conc.Sal.05]))))),
0)</f>
        <v>0</v>
      </c>
      <c r="K28" s="170">
        <f t="array" ref="K28">IFERROR(
AVERAGE((IF(DATOS_[[Sexo]:[Sexo]]=$B28,IF(DATOS_[[AGRUP. VALOR. PTO.]:[AGRUP. VALOR. PTO.]]=$B27,IF(DATOS_[[Check Periodo Ref.]:[Check Periodo Ref.]]="Dentro",DATOS_[Conc.Sal.06]))))),
0)</f>
        <v>0</v>
      </c>
      <c r="L28" s="170">
        <f t="array" ref="L28">IFERROR(
AVERAGE((IF(DATOS_[[Sexo]:[Sexo]]=$B28,IF(DATOS_[[AGRUP. VALOR. PTO.]:[AGRUP. VALOR. PTO.]]=$B27,IF(DATOS_[[Check Periodo Ref.]:[Check Periodo Ref.]]="Dentro",DATOS_[Conc.Sal.07]))))),
0)</f>
        <v>0</v>
      </c>
      <c r="M28" s="170">
        <f t="array" ref="M28">IFERROR(
AVERAGE((IF(DATOS_[[Sexo]:[Sexo]]=$B28,IF(DATOS_[[AGRUP. VALOR. PTO.]:[AGRUP. VALOR. PTO.]]=$B27,IF(DATOS_[[Check Periodo Ref.]:[Check Periodo Ref.]]="Dentro",DATOS_[Conc.Sal.08]))))),
0)</f>
        <v>0</v>
      </c>
      <c r="N28" s="170">
        <f t="array" ref="N28">IFERROR(
AVERAGE((IF(DATOS_[[Sexo]:[Sexo]]=$B28,IF(DATOS_[[AGRUP. VALOR. PTO.]:[AGRUP. VALOR. PTO.]]=$B27,IF(DATOS_[[Check Periodo Ref.]:[Check Periodo Ref.]]="Dentro",DATOS_[Conc.Sal.09]))))),
0)</f>
        <v>0</v>
      </c>
      <c r="O28" s="170">
        <f t="array" ref="O28">IFERROR(
AVERAGE((IF(DATOS_[[Sexo]:[Sexo]]=$B28,IF(DATOS_[[AGRUP. VALOR. PTO.]:[AGRUP. VALOR. PTO.]]=$B27,IF(DATOS_[[Check Periodo Ref.]:[Check Periodo Ref.]]="Dentro",DATOS_[Conc.Sal.10]))))),
0)</f>
        <v>0</v>
      </c>
      <c r="P28" s="170">
        <f t="array" ref="P28">IFERROR(
AVERAGE((IF(DATOS_[[Sexo]:[Sexo]]=$B28,IF(DATOS_[[AGRUP. VALOR. PTO.]:[AGRUP. VALOR. PTO.]]=$B27,IF(DATOS_[[Check Periodo Ref.]:[Check Periodo Ref.]]="Dentro",DATOS_[Conc.Sal.11]))))),
0)</f>
        <v>0</v>
      </c>
      <c r="Q28" s="170">
        <f t="array" ref="Q28">IFERROR(
AVERAGE((IF(DATOS_[[Sexo]:[Sexo]]=$B28,IF(DATOS_[[AGRUP. VALOR. PTO.]:[AGRUP. VALOR. PTO.]]=$B27,IF(DATOS_[[Check Periodo Ref.]:[Check Periodo Ref.]]="Dentro",DATOS_[Conc.Sal.12]))))),
0)</f>
        <v>0</v>
      </c>
      <c r="R28" s="170">
        <f t="array" ref="R28">IFERROR(
AVERAGE((IF(DATOS_[[Sexo]:[Sexo]]=$B28,IF(DATOS_[[AGRUP. VALOR. PTO.]:[AGRUP. VALOR. PTO.]]=$B27,IF(DATOS_[[Check Periodo Ref.]:[Check Periodo Ref.]]="Dentro",DATOS_[Conc.Sal.13]))))),
0)</f>
        <v>0</v>
      </c>
      <c r="S28" s="170">
        <f t="array" ref="S28">IFERROR(
AVERAGE((IF(DATOS_[[Sexo]:[Sexo]]=$B28,IF(DATOS_[[AGRUP. VALOR. PTO.]:[AGRUP. VALOR. PTO.]]=$B27,IF(DATOS_[[Check Periodo Ref.]:[Check Periodo Ref.]]="Dentro",DATOS_[Conc.Sal.14]))))),
0)</f>
        <v>0</v>
      </c>
      <c r="T28" s="170">
        <f t="array" ref="T28">IFERROR(
AVERAGE((IF(DATOS_[[Sexo]:[Sexo]]=$B28,IF(DATOS_[[AGRUP. VALOR. PTO.]:[AGRUP. VALOR. PTO.]]=$B27,IF(DATOS_[[Check Periodo Ref.]:[Check Periodo Ref.]]="Dentro",DATOS_[Conc.Sal.15]))))),
0)</f>
        <v>0</v>
      </c>
      <c r="U28" s="170">
        <f t="array" ref="U28">IFERROR(
AVERAGE((IF(DATOS_[[Sexo]:[Sexo]]=$B28,IF(DATOS_[[AGRUP. VALOR. PTO.]:[AGRUP. VALOR. PTO.]]=$B27,IF(DATOS_[[Check Periodo Ref.]:[Check Periodo Ref.]]="Dentro",DATOS_[Conc.Sal.16]))))),
0)</f>
        <v>0</v>
      </c>
      <c r="V28" s="170">
        <f t="array" ref="V28">IFERROR(
AVERAGE((IF(DATOS_[[Sexo]:[Sexo]]=$B28,IF(DATOS_[[AGRUP. VALOR. PTO.]:[AGRUP. VALOR. PTO.]]=$B27,IF(DATOS_[[Check Periodo Ref.]:[Check Periodo Ref.]]="Dentro",DATOS_[Conc.Sal.17]))))),
0)</f>
        <v>0</v>
      </c>
      <c r="W28" s="170">
        <f t="array" ref="W28">IFERROR(
AVERAGE((IF(DATOS_[[Sexo]:[Sexo]]=$B28,IF(DATOS_[[AGRUP. VALOR. PTO.]:[AGRUP. VALOR. PTO.]]=$B27,IF(DATOS_[[Check Periodo Ref.]:[Check Periodo Ref.]]="Dentro",DATOS_[Conc.Sal.18]))))),
0)</f>
        <v>0</v>
      </c>
      <c r="X28" s="170">
        <f t="array" ref="X28">IFERROR(
AVERAGE((IF(DATOS_[[Sexo]:[Sexo]]=$B28,IF(DATOS_[[AGRUP. VALOR. PTO.]:[AGRUP. VALOR. PTO.]]=$B27,IF(DATOS_[[Check Periodo Ref.]:[Check Periodo Ref.]]="Dentro",DATOS_[Conc.Sal.19]))))),
0)</f>
        <v>0</v>
      </c>
      <c r="Y28" s="170">
        <f t="array" ref="Y28">IFERROR(
AVERAGE((IF(DATOS_[[Sexo]:[Sexo]]=$B28,IF(DATOS_[[AGRUP. VALOR. PTO.]:[AGRUP. VALOR. PTO.]]=$B27,IF(DATOS_[[Check Periodo Ref.]:[Check Periodo Ref.]]="Dentro",DATOS_[Conc.Sal.20]))))),
0)</f>
        <v>0</v>
      </c>
      <c r="Z28" s="170">
        <f t="array" ref="Z28">IFERROR(
AVERAGE((IF(DATOS_[[Sexo]:[Sexo]]=$B28,IF(DATOS_[[AGRUP. VALOR. PTO.]:[AGRUP. VALOR. PTO.]]=$B27,IF(DATOS_[[Check Periodo Ref.]:[Check Periodo Ref.]]="Dentro",DATOS_[Conc.Sal.21]))))),
0)</f>
        <v>0</v>
      </c>
      <c r="AA28" s="170">
        <f t="array" ref="AA28">IFERROR(
AVERAGE((IF(DATOS_[[Sexo]:[Sexo]]=$B28,IF(DATOS_[[AGRUP. VALOR. PTO.]:[AGRUP. VALOR. PTO.]]=$B27,IF(DATOS_[[Check Periodo Ref.]:[Check Periodo Ref.]]="Dentro",DATOS_[Conc.Sal.22]))))),
0)</f>
        <v>0</v>
      </c>
      <c r="AB28" s="170">
        <f t="array" ref="AB28">IFERROR(
AVERAGE((IF(DATOS_[[Sexo]:[Sexo]]=$B28,IF(DATOS_[[AGRUP. VALOR. PTO.]:[AGRUP. VALOR. PTO.]]=$B27,IF(DATOS_[[Check Periodo Ref.]:[Check Periodo Ref.]]="Dentro",DATOS_[Conc.Sal.23]))))),
0)</f>
        <v>0</v>
      </c>
      <c r="AC28" s="170">
        <f t="array" ref="AC28">IFERROR(
AVERAGE((IF(DATOS_[[Sexo]:[Sexo]]=$B28,IF(DATOS_[[AGRUP. VALOR. PTO.]:[AGRUP. VALOR. PTO.]]=$B27,IF(DATOS_[[Check Periodo Ref.]:[Check Periodo Ref.]]="Dentro",DATOS_[Conc.Sal.24]))))),
0)</f>
        <v>0</v>
      </c>
      <c r="AD28" s="170">
        <f t="array" ref="AD28">IFERROR(
AVERAGE((IF(DATOS_[[Sexo]:[Sexo]]=$B28,IF(DATOS_[[AGRUP. VALOR. PTO.]:[AGRUP. VALOR. PTO.]]=$B27,IF(DATOS_[[Check Periodo Ref.]:[Check Periodo Ref.]]="Dentro",DATOS_[Conc.Sal.25]))))),
0)</f>
        <v>0</v>
      </c>
      <c r="AE28" s="170">
        <f t="array" ref="AE28">IFERROR(
AVERAGE((IF(DATOS_[[Sexo]:[Sexo]]=$B28,IF(DATOS_[[AGRUP. VALOR. PTO.]:[AGRUP. VALOR. PTO.]]=$B27,IF(DATOS_[[Check Periodo Ref.]:[Check Periodo Ref.]]="Dentro",DATOS_[Conc.Sal.26]))))),
0)</f>
        <v>0</v>
      </c>
      <c r="AF28" s="170">
        <f t="array" ref="AF28">IFERROR(
AVERAGE((IF(DATOS_[[Sexo]:[Sexo]]=$B28,IF(DATOS_[[AGRUP. VALOR. PTO.]:[AGRUP. VALOR. PTO.]]=$B27,IF(DATOS_[[Check Periodo Ref.]:[Check Periodo Ref.]]="Dentro",DATOS_[Conc.Sal.27]))))),
0)</f>
        <v>0</v>
      </c>
      <c r="AG28" s="170">
        <f t="array" ref="AG28">IFERROR(
AVERAGE((IF(DATOS_[[Sexo]:[Sexo]]=$B28,IF(DATOS_[[AGRUP. VALOR. PTO.]:[AGRUP. VALOR. PTO.]]=$B27,IF(DATOS_[[Check Periodo Ref.]:[Check Periodo Ref.]]="Dentro",DATOS_[Conc.Sal.28]))))),
0)</f>
        <v>0</v>
      </c>
      <c r="AH28" s="170">
        <f t="array" ref="AH28">IFERROR(
AVERAGE((IF(DATOS_[[Sexo]:[Sexo]]=$B28,IF(DATOS_[[AGRUP. VALOR. PTO.]:[AGRUP. VALOR. PTO.]]=$B27,IF(DATOS_[[Check Periodo Ref.]:[Check Periodo Ref.]]="Dentro",DATOS_[Conc.Sal.29]))))),
0)</f>
        <v>0</v>
      </c>
      <c r="AI28" s="170">
        <f t="array" ref="AI28">IFERROR(
AVERAGE((IF(DATOS_[[Sexo]:[Sexo]]=$B28,IF(DATOS_[[AGRUP. VALOR. PTO.]:[AGRUP. VALOR. PTO.]]=$B27,IF(DATOS_[[Check Periodo Ref.]:[Check Periodo Ref.]]="Dentro",DATOS_[Conc.Sal.30]))))),
0)</f>
        <v>0</v>
      </c>
      <c r="AJ28" s="171">
        <f t="array" ref="AJ28">IFERROR(
AVERAGE(IF(DATOS_[Sexo]=$B28,IF(DATOS_[AGRUP. VALOR. PTO.]=$B27,IF(DATOS_[Check Periodo Ref.]="Dentro",DATOS_[Tot COMPL.SAL Ef],FALSE)))),
0)</f>
        <v>0</v>
      </c>
      <c r="AK28" s="172">
        <f t="array" ref="AK28">IFERROR(
AVERAGE(IF(DATOS_[Sexo]=$B28,IF(DATOS_[AGRUP. VALOR. PTO.]=$B27,IF(DATOS_[Check Periodo Ref.]="Dentro",DATOS_[TOTAL SALARIO Ef],FALSE)))),
0)</f>
        <v>0</v>
      </c>
      <c r="AL28" s="173">
        <f t="array" ref="AL28">IFERROR(
AVERAGE((IF(DATOS_[[Sexo]:[Sexo]]=$B28,IF(DATOS_[[AGRUP. VALOR. PTO.]:[AGRUP. VALOR. PTO.]]=$B27,IF(DATOS_[[Check Periodo Ref.]:[Check Periodo Ref.]]="Dentro",DATOS_[C.Extra.01]))))),
0)</f>
        <v>0</v>
      </c>
      <c r="AM28" s="173">
        <f t="array" ref="AM28">IFERROR(
AVERAGE((IF(DATOS_[[Sexo]:[Sexo]]=$B28,IF(DATOS_[[AGRUP. VALOR. PTO.]:[AGRUP. VALOR. PTO.]]=$B27,IF(DATOS_[[Check Periodo Ref.]:[Check Periodo Ref.]]="Dentro",DATOS_[C.Extra.06]))))),
0)</f>
        <v>0</v>
      </c>
      <c r="AN28" s="173">
        <f t="array" ref="AN28">IFERROR(
AVERAGE((IF(DATOS_[[Sexo]:[Sexo]]=$B28,IF(DATOS_[[AGRUP. VALOR. PTO.]:[AGRUP. VALOR. PTO.]]=$B27,IF(DATOS_[[Check Periodo Ref.]:[Check Periodo Ref.]]="Dentro",DATOS_[C.Extra.07]))))),
0)</f>
        <v>0</v>
      </c>
      <c r="AO28" s="173">
        <f t="array" ref="AO28">IFERROR(
AVERAGE((IF(DATOS_[[Sexo]:[Sexo]]=$B28,IF(DATOS_[[AGRUP. VALOR. PTO.]:[AGRUP. VALOR. PTO.]]=$B27,IF(DATOS_[[Check Periodo Ref.]:[Check Periodo Ref.]]="Dentro",DATOS_[C.Extra.08]))))),
0)</f>
        <v>0</v>
      </c>
      <c r="AP28" s="173">
        <f t="array" ref="AP28">IFERROR(
AVERAGE((IF(DATOS_[[Sexo]:[Sexo]]=$B28,IF(DATOS_[[AGRUP. VALOR. PTO.]:[AGRUP. VALOR. PTO.]]=$B27,IF(DATOS_[[Check Periodo Ref.]:[Check Periodo Ref.]]="Dentro",DATOS_[C.Extra.11]))))),
0)</f>
        <v>0</v>
      </c>
      <c r="AQ28" s="174">
        <f t="array" ref="AQ28">IFERROR(
AVERAGE(IF(DATOS_[Sexo]=$B28,IF(DATOS_[AGRUP. VALOR. PTO.]=$B27,IF(DATOS_[Check Periodo Ref.]="Dentro",DATOS_[Tot Extrasalarial Ef],FALSE)))),
0)</f>
        <v>0</v>
      </c>
      <c r="AR28" s="171">
        <f t="array" ref="AR28">IFERROR(
AVERAGE(IF(DATOS_[Sexo]=$B28,IF(DATOS_[AGRUP. VALOR. PTO.]=$B27,IF(DATOS_[Check Periodo Ref.]="Dentro",DATOS_[TOTAL Retrib Ef],FALSE)))),
0)</f>
        <v>0</v>
      </c>
    </row>
    <row r="29" spans="1:44" x14ac:dyDescent="0.25">
      <c r="A29" s="178" t="str">
        <f t="shared" ref="A29" si="22">+A28</f>
        <v>[ocultar]</v>
      </c>
      <c r="B29" s="166" t="s">
        <v>521</v>
      </c>
      <c r="C29" s="167">
        <f t="array" ref="C29">SUM(IF($B29=DATOS_[Sexo],
IF($B27=DATOS_[AGRUP. VALOR. PTO.],
IF("Dentro"=DATOS_[Check Periodo Ref.],
1/(COUNTIFS(DATOS_[Sexo],$B29,DATOS_[AGRUP. VALOR. PTO.],$B27,DATOS_[Check Periodo Ref.],"Dentro",DATOS_[id/cod],DATOS_[id/cod]))))))</f>
        <v>0</v>
      </c>
      <c r="D29" s="168">
        <f>COUNTIFS(DATOS_[AGRUP. VALOR. PTO.],$B27,DATOS_[Sexo],$B29,DATOS_[Check Periodo Ref.],"Dentro")</f>
        <v>0</v>
      </c>
      <c r="E29" s="169">
        <f t="array" ref="E29">IFERROR(
AVERAGE(IF(DATOS_[Sexo]=$B29,IF(DATOS_[AGRUP. VALOR. PTO.]=$B27,IF(DATOS_[Check Periodo Ref.]="Dentro",DATOS_[SALARIO BASE Ef],FALSE)))),
0)</f>
        <v>0</v>
      </c>
      <c r="F29" s="170">
        <f t="array" ref="F29">IFERROR(
AVERAGE((IF(DATOS_[[Sexo]:[Sexo]]=$B29,IF(DATOS_[[AGRUP. VALOR. PTO.]:[AGRUP. VALOR. PTO.]]=$B27,IF(DATOS_[[Check Periodo Ref.]:[Check Periodo Ref.]]="Dentro",DATOS_[Conc.Sal.01]))))),
0)</f>
        <v>0</v>
      </c>
      <c r="G29" s="170">
        <f t="array" ref="G29">IFERROR(
AVERAGE((IF(DATOS_[[Sexo]:[Sexo]]=$B29,IF(DATOS_[[AGRUP. VALOR. PTO.]:[AGRUP. VALOR. PTO.]]=$B27,IF(DATOS_[[Check Periodo Ref.]:[Check Periodo Ref.]]="Dentro",DATOS_[Conc.Sal.02]))))),
0)</f>
        <v>0</v>
      </c>
      <c r="H29" s="170">
        <f t="array" ref="H29">IFERROR(
AVERAGE((IF(DATOS_[[Sexo]:[Sexo]]=$B29,IF(DATOS_[[AGRUP. VALOR. PTO.]:[AGRUP. VALOR. PTO.]]=$B27,IF(DATOS_[[Check Periodo Ref.]:[Check Periodo Ref.]]="Dentro",DATOS_[Conc.Sal.03]))))),
0)</f>
        <v>0</v>
      </c>
      <c r="I29" s="170">
        <f t="array" ref="I29">IFERROR(
AVERAGE((IF(DATOS_[[Sexo]:[Sexo]]=$B29,IF(DATOS_[[AGRUP. VALOR. PTO.]:[AGRUP. VALOR. PTO.]]=$B27,IF(DATOS_[[Check Periodo Ref.]:[Check Periodo Ref.]]="Dentro",DATOS_[Conc.Sal.04]))))),
0)</f>
        <v>0</v>
      </c>
      <c r="J29" s="170">
        <f t="array" ref="J29">IFERROR(
AVERAGE((IF(DATOS_[[Sexo]:[Sexo]]=$B29,IF(DATOS_[[AGRUP. VALOR. PTO.]:[AGRUP. VALOR. PTO.]]=$B27,IF(DATOS_[[Check Periodo Ref.]:[Check Periodo Ref.]]="Dentro",DATOS_[Conc.Sal.05]))))),
0)</f>
        <v>0</v>
      </c>
      <c r="K29" s="170">
        <f t="array" ref="K29">IFERROR(
AVERAGE((IF(DATOS_[[Sexo]:[Sexo]]=$B29,IF(DATOS_[[AGRUP. VALOR. PTO.]:[AGRUP. VALOR. PTO.]]=$B27,IF(DATOS_[[Check Periodo Ref.]:[Check Periodo Ref.]]="Dentro",DATOS_[Conc.Sal.06]))))),
0)</f>
        <v>0</v>
      </c>
      <c r="L29" s="170">
        <f t="array" ref="L29">IFERROR(
AVERAGE((IF(DATOS_[[Sexo]:[Sexo]]=$B29,IF(DATOS_[[AGRUP. VALOR. PTO.]:[AGRUP. VALOR. PTO.]]=$B27,IF(DATOS_[[Check Periodo Ref.]:[Check Periodo Ref.]]="Dentro",DATOS_[Conc.Sal.07]))))),
0)</f>
        <v>0</v>
      </c>
      <c r="M29" s="170">
        <f t="array" ref="M29">IFERROR(
AVERAGE((IF(DATOS_[[Sexo]:[Sexo]]=$B29,IF(DATOS_[[AGRUP. VALOR. PTO.]:[AGRUP. VALOR. PTO.]]=$B27,IF(DATOS_[[Check Periodo Ref.]:[Check Periodo Ref.]]="Dentro",DATOS_[Conc.Sal.08]))))),
0)</f>
        <v>0</v>
      </c>
      <c r="N29" s="170">
        <f t="array" ref="N29">IFERROR(
AVERAGE((IF(DATOS_[[Sexo]:[Sexo]]=$B29,IF(DATOS_[[AGRUP. VALOR. PTO.]:[AGRUP. VALOR. PTO.]]=$B27,IF(DATOS_[[Check Periodo Ref.]:[Check Periodo Ref.]]="Dentro",DATOS_[Conc.Sal.09]))))),
0)</f>
        <v>0</v>
      </c>
      <c r="O29" s="170">
        <f t="array" ref="O29">IFERROR(
AVERAGE((IF(DATOS_[[Sexo]:[Sexo]]=$B29,IF(DATOS_[[AGRUP. VALOR. PTO.]:[AGRUP. VALOR. PTO.]]=$B27,IF(DATOS_[[Check Periodo Ref.]:[Check Periodo Ref.]]="Dentro",DATOS_[Conc.Sal.10]))))),
0)</f>
        <v>0</v>
      </c>
      <c r="P29" s="170">
        <f t="array" ref="P29">IFERROR(
AVERAGE((IF(DATOS_[[Sexo]:[Sexo]]=$B29,IF(DATOS_[[AGRUP. VALOR. PTO.]:[AGRUP. VALOR. PTO.]]=$B27,IF(DATOS_[[Check Periodo Ref.]:[Check Periodo Ref.]]="Dentro",DATOS_[Conc.Sal.11]))))),
0)</f>
        <v>0</v>
      </c>
      <c r="Q29" s="170">
        <f t="array" ref="Q29">IFERROR(
AVERAGE((IF(DATOS_[[Sexo]:[Sexo]]=$B29,IF(DATOS_[[AGRUP. VALOR. PTO.]:[AGRUP. VALOR. PTO.]]=$B27,IF(DATOS_[[Check Periodo Ref.]:[Check Periodo Ref.]]="Dentro",DATOS_[Conc.Sal.12]))))),
0)</f>
        <v>0</v>
      </c>
      <c r="R29" s="170">
        <f t="array" ref="R29">IFERROR(
AVERAGE((IF(DATOS_[[Sexo]:[Sexo]]=$B29,IF(DATOS_[[AGRUP. VALOR. PTO.]:[AGRUP. VALOR. PTO.]]=$B27,IF(DATOS_[[Check Periodo Ref.]:[Check Periodo Ref.]]="Dentro",DATOS_[Conc.Sal.13]))))),
0)</f>
        <v>0</v>
      </c>
      <c r="S29" s="170">
        <f t="array" ref="S29">IFERROR(
AVERAGE((IF(DATOS_[[Sexo]:[Sexo]]=$B29,IF(DATOS_[[AGRUP. VALOR. PTO.]:[AGRUP. VALOR. PTO.]]=$B27,IF(DATOS_[[Check Periodo Ref.]:[Check Periodo Ref.]]="Dentro",DATOS_[Conc.Sal.14]))))),
0)</f>
        <v>0</v>
      </c>
      <c r="T29" s="170">
        <f t="array" ref="T29">IFERROR(
AVERAGE((IF(DATOS_[[Sexo]:[Sexo]]=$B29,IF(DATOS_[[AGRUP. VALOR. PTO.]:[AGRUP. VALOR. PTO.]]=$B27,IF(DATOS_[[Check Periodo Ref.]:[Check Periodo Ref.]]="Dentro",DATOS_[Conc.Sal.15]))))),
0)</f>
        <v>0</v>
      </c>
      <c r="U29" s="170">
        <f t="array" ref="U29">IFERROR(
AVERAGE((IF(DATOS_[[Sexo]:[Sexo]]=$B29,IF(DATOS_[[AGRUP. VALOR. PTO.]:[AGRUP. VALOR. PTO.]]=$B27,IF(DATOS_[[Check Periodo Ref.]:[Check Periodo Ref.]]="Dentro",DATOS_[Conc.Sal.16]))))),
0)</f>
        <v>0</v>
      </c>
      <c r="V29" s="170">
        <f t="array" ref="V29">IFERROR(
AVERAGE((IF(DATOS_[[Sexo]:[Sexo]]=$B29,IF(DATOS_[[AGRUP. VALOR. PTO.]:[AGRUP. VALOR. PTO.]]=$B27,IF(DATOS_[[Check Periodo Ref.]:[Check Periodo Ref.]]="Dentro",DATOS_[Conc.Sal.17]))))),
0)</f>
        <v>0</v>
      </c>
      <c r="W29" s="170">
        <f t="array" ref="W29">IFERROR(
AVERAGE((IF(DATOS_[[Sexo]:[Sexo]]=$B29,IF(DATOS_[[AGRUP. VALOR. PTO.]:[AGRUP. VALOR. PTO.]]=$B27,IF(DATOS_[[Check Periodo Ref.]:[Check Periodo Ref.]]="Dentro",DATOS_[Conc.Sal.18]))))),
0)</f>
        <v>0</v>
      </c>
      <c r="X29" s="170">
        <f t="array" ref="X29">IFERROR(
AVERAGE((IF(DATOS_[[Sexo]:[Sexo]]=$B29,IF(DATOS_[[AGRUP. VALOR. PTO.]:[AGRUP. VALOR. PTO.]]=$B27,IF(DATOS_[[Check Periodo Ref.]:[Check Periodo Ref.]]="Dentro",DATOS_[Conc.Sal.19]))))),
0)</f>
        <v>0</v>
      </c>
      <c r="Y29" s="170">
        <f t="array" ref="Y29">IFERROR(
AVERAGE((IF(DATOS_[[Sexo]:[Sexo]]=$B29,IF(DATOS_[[AGRUP. VALOR. PTO.]:[AGRUP. VALOR. PTO.]]=$B27,IF(DATOS_[[Check Periodo Ref.]:[Check Periodo Ref.]]="Dentro",DATOS_[Conc.Sal.20]))))),
0)</f>
        <v>0</v>
      </c>
      <c r="Z29" s="170">
        <f t="array" ref="Z29">IFERROR(
AVERAGE((IF(DATOS_[[Sexo]:[Sexo]]=$B29,IF(DATOS_[[AGRUP. VALOR. PTO.]:[AGRUP. VALOR. PTO.]]=$B27,IF(DATOS_[[Check Periodo Ref.]:[Check Periodo Ref.]]="Dentro",DATOS_[Conc.Sal.21]))))),
0)</f>
        <v>0</v>
      </c>
      <c r="AA29" s="170">
        <f t="array" ref="AA29">IFERROR(
AVERAGE((IF(DATOS_[[Sexo]:[Sexo]]=$B29,IF(DATOS_[[AGRUP. VALOR. PTO.]:[AGRUP. VALOR. PTO.]]=$B27,IF(DATOS_[[Check Periodo Ref.]:[Check Periodo Ref.]]="Dentro",DATOS_[Conc.Sal.22]))))),
0)</f>
        <v>0</v>
      </c>
      <c r="AB29" s="170">
        <f t="array" ref="AB29">IFERROR(
AVERAGE((IF(DATOS_[[Sexo]:[Sexo]]=$B29,IF(DATOS_[[AGRUP. VALOR. PTO.]:[AGRUP. VALOR. PTO.]]=$B27,IF(DATOS_[[Check Periodo Ref.]:[Check Periodo Ref.]]="Dentro",DATOS_[Conc.Sal.23]))))),
0)</f>
        <v>0</v>
      </c>
      <c r="AC29" s="170">
        <f t="array" ref="AC29">IFERROR(
AVERAGE((IF(DATOS_[[Sexo]:[Sexo]]=$B29,IF(DATOS_[[AGRUP. VALOR. PTO.]:[AGRUP. VALOR. PTO.]]=$B27,IF(DATOS_[[Check Periodo Ref.]:[Check Periodo Ref.]]="Dentro",DATOS_[Conc.Sal.24]))))),
0)</f>
        <v>0</v>
      </c>
      <c r="AD29" s="170">
        <f t="array" ref="AD29">IFERROR(
AVERAGE((IF(DATOS_[[Sexo]:[Sexo]]=$B29,IF(DATOS_[[AGRUP. VALOR. PTO.]:[AGRUP. VALOR. PTO.]]=$B27,IF(DATOS_[[Check Periodo Ref.]:[Check Periodo Ref.]]="Dentro",DATOS_[Conc.Sal.25]))))),
0)</f>
        <v>0</v>
      </c>
      <c r="AE29" s="170">
        <f t="array" ref="AE29">IFERROR(
AVERAGE((IF(DATOS_[[Sexo]:[Sexo]]=$B29,IF(DATOS_[[AGRUP. VALOR. PTO.]:[AGRUP. VALOR. PTO.]]=$B27,IF(DATOS_[[Check Periodo Ref.]:[Check Periodo Ref.]]="Dentro",DATOS_[Conc.Sal.26]))))),
0)</f>
        <v>0</v>
      </c>
      <c r="AF29" s="170">
        <f t="array" ref="AF29">IFERROR(
AVERAGE((IF(DATOS_[[Sexo]:[Sexo]]=$B29,IF(DATOS_[[AGRUP. VALOR. PTO.]:[AGRUP. VALOR. PTO.]]=$B27,IF(DATOS_[[Check Periodo Ref.]:[Check Periodo Ref.]]="Dentro",DATOS_[Conc.Sal.27]))))),
0)</f>
        <v>0</v>
      </c>
      <c r="AG29" s="170">
        <f t="array" ref="AG29">IFERROR(
AVERAGE((IF(DATOS_[[Sexo]:[Sexo]]=$B29,IF(DATOS_[[AGRUP. VALOR. PTO.]:[AGRUP. VALOR. PTO.]]=$B27,IF(DATOS_[[Check Periodo Ref.]:[Check Periodo Ref.]]="Dentro",DATOS_[Conc.Sal.28]))))),
0)</f>
        <v>0</v>
      </c>
      <c r="AH29" s="170">
        <f t="array" ref="AH29">IFERROR(
AVERAGE((IF(DATOS_[[Sexo]:[Sexo]]=$B29,IF(DATOS_[[AGRUP. VALOR. PTO.]:[AGRUP. VALOR. PTO.]]=$B27,IF(DATOS_[[Check Periodo Ref.]:[Check Periodo Ref.]]="Dentro",DATOS_[Conc.Sal.29]))))),
0)</f>
        <v>0</v>
      </c>
      <c r="AI29" s="170">
        <f t="array" ref="AI29">IFERROR(
AVERAGE((IF(DATOS_[[Sexo]:[Sexo]]=$B29,IF(DATOS_[[AGRUP. VALOR. PTO.]:[AGRUP. VALOR. PTO.]]=$B27,IF(DATOS_[[Check Periodo Ref.]:[Check Periodo Ref.]]="Dentro",DATOS_[Conc.Sal.30]))))),
0)</f>
        <v>0</v>
      </c>
      <c r="AJ29" s="171">
        <f t="array" ref="AJ29">IFERROR(
AVERAGE(IF(DATOS_[Sexo]=$B29,IF(DATOS_[AGRUP. VALOR. PTO.]=$B27,IF(DATOS_[Check Periodo Ref.]="Dentro",DATOS_[Tot COMPL.SAL Ef],FALSE)))),
0)</f>
        <v>0</v>
      </c>
      <c r="AK29" s="172">
        <f t="array" ref="AK29">IFERROR(
AVERAGE(IF(DATOS_[Sexo]=$B29,IF(DATOS_[AGRUP. VALOR. PTO.]=$B27,IF(DATOS_[Check Periodo Ref.]="Dentro",DATOS_[TOTAL SALARIO Ef],FALSE)))),
0)</f>
        <v>0</v>
      </c>
      <c r="AL29" s="173">
        <f t="array" ref="AL29">IFERROR(
AVERAGE((IF(DATOS_[[Sexo]:[Sexo]]=$B29,IF(DATOS_[[AGRUP. VALOR. PTO.]:[AGRUP. VALOR. PTO.]]=$B27,IF(DATOS_[[Check Periodo Ref.]:[Check Periodo Ref.]]="Dentro",DATOS_[C.Extra.01]))))),
0)</f>
        <v>0</v>
      </c>
      <c r="AM29" s="173">
        <f t="array" ref="AM29">IFERROR(
AVERAGE((IF(DATOS_[[Sexo]:[Sexo]]=$B29,IF(DATOS_[[AGRUP. VALOR. PTO.]:[AGRUP. VALOR. PTO.]]=$B27,IF(DATOS_[[Check Periodo Ref.]:[Check Periodo Ref.]]="Dentro",DATOS_[C.Extra.06]))))),
0)</f>
        <v>0</v>
      </c>
      <c r="AN29" s="173">
        <f t="array" ref="AN29">IFERROR(
AVERAGE((IF(DATOS_[[Sexo]:[Sexo]]=$B29,IF(DATOS_[[AGRUP. VALOR. PTO.]:[AGRUP. VALOR. PTO.]]=$B27,IF(DATOS_[[Check Periodo Ref.]:[Check Periodo Ref.]]="Dentro",DATOS_[C.Extra.07]))))),
0)</f>
        <v>0</v>
      </c>
      <c r="AO29" s="173">
        <f t="array" ref="AO29">IFERROR(
AVERAGE((IF(DATOS_[[Sexo]:[Sexo]]=$B29,IF(DATOS_[[AGRUP. VALOR. PTO.]:[AGRUP. VALOR. PTO.]]=$B27,IF(DATOS_[[Check Periodo Ref.]:[Check Periodo Ref.]]="Dentro",DATOS_[C.Extra.08]))))),
0)</f>
        <v>0</v>
      </c>
      <c r="AP29" s="173">
        <f t="array" ref="AP29">IFERROR(
AVERAGE((IF(DATOS_[[Sexo]:[Sexo]]=$B29,IF(DATOS_[[AGRUP. VALOR. PTO.]:[AGRUP. VALOR. PTO.]]=$B27,IF(DATOS_[[Check Periodo Ref.]:[Check Periodo Ref.]]="Dentro",DATOS_[C.Extra.11]))))),
0)</f>
        <v>0</v>
      </c>
      <c r="AQ29" s="174">
        <f t="array" ref="AQ29">IFERROR(
AVERAGE(IF(DATOS_[Sexo]=$B29,IF(DATOS_[AGRUP. VALOR. PTO.]=$B27,IF(DATOS_[Check Periodo Ref.]="Dentro",DATOS_[Tot Extrasalarial Ef],FALSE)))),
0)</f>
        <v>0</v>
      </c>
      <c r="AR29" s="171">
        <f t="array" ref="AR29">IFERROR(
AVERAGE(IF(DATOS_[Sexo]=$B29,IF(DATOS_[AGRUP. VALOR. PTO.]=$B27,IF(DATOS_[Check Periodo Ref.]="Dentro",DATOS_[TOTAL Retrib Ef],FALSE)))),
0)</f>
        <v>0</v>
      </c>
    </row>
    <row r="30" spans="1:44" ht="14.4" thickBot="1" x14ac:dyDescent="0.3">
      <c r="A30" s="178" t="str">
        <f t="shared" ref="A30" si="23">+A31</f>
        <v>[ocultar]</v>
      </c>
      <c r="B30" s="153" t="s">
        <v>196</v>
      </c>
      <c r="C30" s="154"/>
      <c r="D30" s="155"/>
      <c r="E30" s="156" t="str">
        <f t="shared" ref="E30:AR30" si="24">IFERROR((E31-E32)/E31,"")</f>
        <v/>
      </c>
      <c r="F30" s="157" t="str">
        <f t="shared" si="24"/>
        <v/>
      </c>
      <c r="G30" s="158" t="str">
        <f t="shared" si="24"/>
        <v/>
      </c>
      <c r="H30" s="158" t="str">
        <f t="shared" si="24"/>
        <v/>
      </c>
      <c r="I30" s="158" t="str">
        <f t="shared" si="24"/>
        <v/>
      </c>
      <c r="J30" s="159" t="str">
        <f t="shared" si="24"/>
        <v/>
      </c>
      <c r="K30" s="160" t="str">
        <f t="shared" si="24"/>
        <v/>
      </c>
      <c r="L30" s="160" t="str">
        <f t="shared" si="24"/>
        <v/>
      </c>
      <c r="M30" s="160" t="str">
        <f t="shared" si="24"/>
        <v/>
      </c>
      <c r="N30" s="160" t="str">
        <f t="shared" si="24"/>
        <v/>
      </c>
      <c r="O30" s="160" t="str">
        <f t="shared" si="24"/>
        <v/>
      </c>
      <c r="P30" s="160" t="str">
        <f t="shared" si="24"/>
        <v/>
      </c>
      <c r="Q30" s="160" t="str">
        <f t="shared" si="24"/>
        <v/>
      </c>
      <c r="R30" s="160" t="str">
        <f t="shared" si="24"/>
        <v/>
      </c>
      <c r="S30" s="160" t="str">
        <f t="shared" si="24"/>
        <v/>
      </c>
      <c r="T30" s="160" t="str">
        <f t="shared" si="24"/>
        <v/>
      </c>
      <c r="U30" s="160" t="str">
        <f t="shared" si="24"/>
        <v/>
      </c>
      <c r="V30" s="159" t="str">
        <f t="shared" si="24"/>
        <v/>
      </c>
      <c r="W30" s="159" t="str">
        <f t="shared" si="24"/>
        <v/>
      </c>
      <c r="X30" s="159" t="str">
        <f t="shared" si="24"/>
        <v/>
      </c>
      <c r="Y30" s="159" t="str">
        <f t="shared" si="24"/>
        <v/>
      </c>
      <c r="Z30" s="159" t="str">
        <f t="shared" si="24"/>
        <v/>
      </c>
      <c r="AA30" s="159" t="str">
        <f t="shared" si="24"/>
        <v/>
      </c>
      <c r="AB30" s="159" t="str">
        <f t="shared" si="24"/>
        <v/>
      </c>
      <c r="AC30" s="159" t="str">
        <f t="shared" si="24"/>
        <v/>
      </c>
      <c r="AD30" s="159" t="str">
        <f t="shared" si="24"/>
        <v/>
      </c>
      <c r="AE30" s="159" t="str">
        <f t="shared" si="24"/>
        <v/>
      </c>
      <c r="AF30" s="159" t="str">
        <f t="shared" si="24"/>
        <v/>
      </c>
      <c r="AG30" s="159" t="str">
        <f t="shared" si="24"/>
        <v/>
      </c>
      <c r="AH30" s="159" t="str">
        <f t="shared" si="24"/>
        <v/>
      </c>
      <c r="AI30" s="159" t="str">
        <f t="shared" si="24"/>
        <v/>
      </c>
      <c r="AJ30" s="161" t="str">
        <f t="shared" si="24"/>
        <v/>
      </c>
      <c r="AK30" s="162" t="str">
        <f t="shared" si="24"/>
        <v/>
      </c>
      <c r="AL30" s="163" t="str">
        <f t="shared" si="24"/>
        <v/>
      </c>
      <c r="AM30" s="163" t="str">
        <f t="shared" si="24"/>
        <v/>
      </c>
      <c r="AN30" s="163" t="str">
        <f t="shared" si="24"/>
        <v/>
      </c>
      <c r="AO30" s="163" t="str">
        <f t="shared" si="24"/>
        <v/>
      </c>
      <c r="AP30" s="163" t="str">
        <f t="shared" si="24"/>
        <v/>
      </c>
      <c r="AQ30" s="164" t="str">
        <f t="shared" si="24"/>
        <v/>
      </c>
      <c r="AR30" s="161" t="str">
        <f t="shared" si="24"/>
        <v/>
      </c>
    </row>
    <row r="31" spans="1:44" x14ac:dyDescent="0.25">
      <c r="A31" s="178" t="str">
        <f t="shared" ref="A31" si="25">+IF(C31+C32=0,"[ocultar]","")</f>
        <v>[ocultar]</v>
      </c>
      <c r="B31" s="166" t="s">
        <v>394</v>
      </c>
      <c r="C31" s="167">
        <f t="array" ref="C31">SUM(IF($B31=DATOS_[Sexo],
IF($B30=DATOS_[AGRUP. VALOR. PTO.],
IF("Dentro"=DATOS_[Check Periodo Ref.],
1/(COUNTIFS(DATOS_[Sexo],$B31,DATOS_[AGRUP. VALOR. PTO.],$B30,DATOS_[Check Periodo Ref.],"Dentro",DATOS_[id/cod],DATOS_[id/cod]))))))</f>
        <v>0</v>
      </c>
      <c r="D31" s="168">
        <f>COUNTIFS(DATOS_[AGRUP. VALOR. PTO.],$B30,DATOS_[Sexo],$B31,DATOS_[Check Periodo Ref.],"Dentro")</f>
        <v>0</v>
      </c>
      <c r="E31" s="169">
        <f t="array" ref="E31">IFERROR(
AVERAGE(IF(DATOS_[Sexo]=$B31,IF(DATOS_[AGRUP. VALOR. PTO.]=$B30,IF(DATOS_[Check Periodo Ref.]="Dentro",DATOS_[SALARIO BASE Ef],FALSE)))),
0)</f>
        <v>0</v>
      </c>
      <c r="F31" s="170">
        <f t="array" ref="F31">IFERROR(
AVERAGE((IF(DATOS_[[Sexo]:[Sexo]]=$B31,IF(DATOS_[[AGRUP. VALOR. PTO.]:[AGRUP. VALOR. PTO.]]=$B30,IF(DATOS_[[Check Periodo Ref.]:[Check Periodo Ref.]]="Dentro",DATOS_[Conc.Sal.01]))))),
0)</f>
        <v>0</v>
      </c>
      <c r="G31" s="170">
        <f t="array" ref="G31">IFERROR(
AVERAGE((IF(DATOS_[[Sexo]:[Sexo]]=$B31,IF(DATOS_[[AGRUP. VALOR. PTO.]:[AGRUP. VALOR. PTO.]]=$B30,IF(DATOS_[[Check Periodo Ref.]:[Check Periodo Ref.]]="Dentro",DATOS_[Conc.Sal.02]))))),
0)</f>
        <v>0</v>
      </c>
      <c r="H31" s="170">
        <f t="array" ref="H31">IFERROR(
AVERAGE((IF(DATOS_[[Sexo]:[Sexo]]=$B31,IF(DATOS_[[AGRUP. VALOR. PTO.]:[AGRUP. VALOR. PTO.]]=$B30,IF(DATOS_[[Check Periodo Ref.]:[Check Periodo Ref.]]="Dentro",DATOS_[Conc.Sal.03]))))),
0)</f>
        <v>0</v>
      </c>
      <c r="I31" s="170">
        <f t="array" ref="I31">IFERROR(
AVERAGE((IF(DATOS_[[Sexo]:[Sexo]]=$B31,IF(DATOS_[[AGRUP. VALOR. PTO.]:[AGRUP. VALOR. PTO.]]=$B30,IF(DATOS_[[Check Periodo Ref.]:[Check Periodo Ref.]]="Dentro",DATOS_[Conc.Sal.04]))))),
0)</f>
        <v>0</v>
      </c>
      <c r="J31" s="170">
        <f t="array" ref="J31">IFERROR(
AVERAGE((IF(DATOS_[[Sexo]:[Sexo]]=$B31,IF(DATOS_[[AGRUP. VALOR. PTO.]:[AGRUP. VALOR. PTO.]]=$B30,IF(DATOS_[[Check Periodo Ref.]:[Check Periodo Ref.]]="Dentro",DATOS_[Conc.Sal.05]))))),
0)</f>
        <v>0</v>
      </c>
      <c r="K31" s="170">
        <f t="array" ref="K31">IFERROR(
AVERAGE((IF(DATOS_[[Sexo]:[Sexo]]=$B31,IF(DATOS_[[AGRUP. VALOR. PTO.]:[AGRUP. VALOR. PTO.]]=$B30,IF(DATOS_[[Check Periodo Ref.]:[Check Periodo Ref.]]="Dentro",DATOS_[Conc.Sal.06]))))),
0)</f>
        <v>0</v>
      </c>
      <c r="L31" s="170">
        <f t="array" ref="L31">IFERROR(
AVERAGE((IF(DATOS_[[Sexo]:[Sexo]]=$B31,IF(DATOS_[[AGRUP. VALOR. PTO.]:[AGRUP. VALOR. PTO.]]=$B30,IF(DATOS_[[Check Periodo Ref.]:[Check Periodo Ref.]]="Dentro",DATOS_[Conc.Sal.07]))))),
0)</f>
        <v>0</v>
      </c>
      <c r="M31" s="170">
        <f t="array" ref="M31">IFERROR(
AVERAGE((IF(DATOS_[[Sexo]:[Sexo]]=$B31,IF(DATOS_[[AGRUP. VALOR. PTO.]:[AGRUP. VALOR. PTO.]]=$B30,IF(DATOS_[[Check Periodo Ref.]:[Check Periodo Ref.]]="Dentro",DATOS_[Conc.Sal.08]))))),
0)</f>
        <v>0</v>
      </c>
      <c r="N31" s="170">
        <f t="array" ref="N31">IFERROR(
AVERAGE((IF(DATOS_[[Sexo]:[Sexo]]=$B31,IF(DATOS_[[AGRUP. VALOR. PTO.]:[AGRUP. VALOR. PTO.]]=$B30,IF(DATOS_[[Check Periodo Ref.]:[Check Periodo Ref.]]="Dentro",DATOS_[Conc.Sal.09]))))),
0)</f>
        <v>0</v>
      </c>
      <c r="O31" s="170">
        <f t="array" ref="O31">IFERROR(
AVERAGE((IF(DATOS_[[Sexo]:[Sexo]]=$B31,IF(DATOS_[[AGRUP. VALOR. PTO.]:[AGRUP. VALOR. PTO.]]=$B30,IF(DATOS_[[Check Periodo Ref.]:[Check Periodo Ref.]]="Dentro",DATOS_[Conc.Sal.10]))))),
0)</f>
        <v>0</v>
      </c>
      <c r="P31" s="170">
        <f t="array" ref="P31">IFERROR(
AVERAGE((IF(DATOS_[[Sexo]:[Sexo]]=$B31,IF(DATOS_[[AGRUP. VALOR. PTO.]:[AGRUP. VALOR. PTO.]]=$B30,IF(DATOS_[[Check Periodo Ref.]:[Check Periodo Ref.]]="Dentro",DATOS_[Conc.Sal.11]))))),
0)</f>
        <v>0</v>
      </c>
      <c r="Q31" s="170">
        <f t="array" ref="Q31">IFERROR(
AVERAGE((IF(DATOS_[[Sexo]:[Sexo]]=$B31,IF(DATOS_[[AGRUP. VALOR. PTO.]:[AGRUP. VALOR. PTO.]]=$B30,IF(DATOS_[[Check Periodo Ref.]:[Check Periodo Ref.]]="Dentro",DATOS_[Conc.Sal.12]))))),
0)</f>
        <v>0</v>
      </c>
      <c r="R31" s="170">
        <f t="array" ref="R31">IFERROR(
AVERAGE((IF(DATOS_[[Sexo]:[Sexo]]=$B31,IF(DATOS_[[AGRUP. VALOR. PTO.]:[AGRUP. VALOR. PTO.]]=$B30,IF(DATOS_[[Check Periodo Ref.]:[Check Periodo Ref.]]="Dentro",DATOS_[Conc.Sal.13]))))),
0)</f>
        <v>0</v>
      </c>
      <c r="S31" s="170">
        <f t="array" ref="S31">IFERROR(
AVERAGE((IF(DATOS_[[Sexo]:[Sexo]]=$B31,IF(DATOS_[[AGRUP. VALOR. PTO.]:[AGRUP. VALOR. PTO.]]=$B30,IF(DATOS_[[Check Periodo Ref.]:[Check Periodo Ref.]]="Dentro",DATOS_[Conc.Sal.14]))))),
0)</f>
        <v>0</v>
      </c>
      <c r="T31" s="170">
        <f t="array" ref="T31">IFERROR(
AVERAGE((IF(DATOS_[[Sexo]:[Sexo]]=$B31,IF(DATOS_[[AGRUP. VALOR. PTO.]:[AGRUP. VALOR. PTO.]]=$B30,IF(DATOS_[[Check Periodo Ref.]:[Check Periodo Ref.]]="Dentro",DATOS_[Conc.Sal.15]))))),
0)</f>
        <v>0</v>
      </c>
      <c r="U31" s="170">
        <f t="array" ref="U31">IFERROR(
AVERAGE((IF(DATOS_[[Sexo]:[Sexo]]=$B31,IF(DATOS_[[AGRUP. VALOR. PTO.]:[AGRUP. VALOR. PTO.]]=$B30,IF(DATOS_[[Check Periodo Ref.]:[Check Periodo Ref.]]="Dentro",DATOS_[Conc.Sal.16]))))),
0)</f>
        <v>0</v>
      </c>
      <c r="V31" s="170">
        <f t="array" ref="V31">IFERROR(
AVERAGE((IF(DATOS_[[Sexo]:[Sexo]]=$B31,IF(DATOS_[[AGRUP. VALOR. PTO.]:[AGRUP. VALOR. PTO.]]=$B30,IF(DATOS_[[Check Periodo Ref.]:[Check Periodo Ref.]]="Dentro",DATOS_[Conc.Sal.17]))))),
0)</f>
        <v>0</v>
      </c>
      <c r="W31" s="170">
        <f t="array" ref="W31">IFERROR(
AVERAGE((IF(DATOS_[[Sexo]:[Sexo]]=$B31,IF(DATOS_[[AGRUP. VALOR. PTO.]:[AGRUP. VALOR. PTO.]]=$B30,IF(DATOS_[[Check Periodo Ref.]:[Check Periodo Ref.]]="Dentro",DATOS_[Conc.Sal.18]))))),
0)</f>
        <v>0</v>
      </c>
      <c r="X31" s="170">
        <f t="array" ref="X31">IFERROR(
AVERAGE((IF(DATOS_[[Sexo]:[Sexo]]=$B31,IF(DATOS_[[AGRUP. VALOR. PTO.]:[AGRUP. VALOR. PTO.]]=$B30,IF(DATOS_[[Check Periodo Ref.]:[Check Periodo Ref.]]="Dentro",DATOS_[Conc.Sal.19]))))),
0)</f>
        <v>0</v>
      </c>
      <c r="Y31" s="170">
        <f t="array" ref="Y31">IFERROR(
AVERAGE((IF(DATOS_[[Sexo]:[Sexo]]=$B31,IF(DATOS_[[AGRUP. VALOR. PTO.]:[AGRUP. VALOR. PTO.]]=$B30,IF(DATOS_[[Check Periodo Ref.]:[Check Periodo Ref.]]="Dentro",DATOS_[Conc.Sal.20]))))),
0)</f>
        <v>0</v>
      </c>
      <c r="Z31" s="170">
        <f t="array" ref="Z31">IFERROR(
AVERAGE((IF(DATOS_[[Sexo]:[Sexo]]=$B31,IF(DATOS_[[AGRUP. VALOR. PTO.]:[AGRUP. VALOR. PTO.]]=$B30,IF(DATOS_[[Check Periodo Ref.]:[Check Periodo Ref.]]="Dentro",DATOS_[Conc.Sal.21]))))),
0)</f>
        <v>0</v>
      </c>
      <c r="AA31" s="170">
        <f t="array" ref="AA31">IFERROR(
AVERAGE((IF(DATOS_[[Sexo]:[Sexo]]=$B31,IF(DATOS_[[AGRUP. VALOR. PTO.]:[AGRUP. VALOR. PTO.]]=$B30,IF(DATOS_[[Check Periodo Ref.]:[Check Periodo Ref.]]="Dentro",DATOS_[Conc.Sal.22]))))),
0)</f>
        <v>0</v>
      </c>
      <c r="AB31" s="170">
        <f t="array" ref="AB31">IFERROR(
AVERAGE((IF(DATOS_[[Sexo]:[Sexo]]=$B31,IF(DATOS_[[AGRUP. VALOR. PTO.]:[AGRUP. VALOR. PTO.]]=$B30,IF(DATOS_[[Check Periodo Ref.]:[Check Periodo Ref.]]="Dentro",DATOS_[Conc.Sal.23]))))),
0)</f>
        <v>0</v>
      </c>
      <c r="AC31" s="170">
        <f t="array" ref="AC31">IFERROR(
AVERAGE((IF(DATOS_[[Sexo]:[Sexo]]=$B31,IF(DATOS_[[AGRUP. VALOR. PTO.]:[AGRUP. VALOR. PTO.]]=$B30,IF(DATOS_[[Check Periodo Ref.]:[Check Periodo Ref.]]="Dentro",DATOS_[Conc.Sal.24]))))),
0)</f>
        <v>0</v>
      </c>
      <c r="AD31" s="170">
        <f t="array" ref="AD31">IFERROR(
AVERAGE((IF(DATOS_[[Sexo]:[Sexo]]=$B31,IF(DATOS_[[AGRUP. VALOR. PTO.]:[AGRUP. VALOR. PTO.]]=$B30,IF(DATOS_[[Check Periodo Ref.]:[Check Periodo Ref.]]="Dentro",DATOS_[Conc.Sal.25]))))),
0)</f>
        <v>0</v>
      </c>
      <c r="AE31" s="170">
        <f t="array" ref="AE31">IFERROR(
AVERAGE((IF(DATOS_[[Sexo]:[Sexo]]=$B31,IF(DATOS_[[AGRUP. VALOR. PTO.]:[AGRUP. VALOR. PTO.]]=$B30,IF(DATOS_[[Check Periodo Ref.]:[Check Periodo Ref.]]="Dentro",DATOS_[Conc.Sal.26]))))),
0)</f>
        <v>0</v>
      </c>
      <c r="AF31" s="170">
        <f t="array" ref="AF31">IFERROR(
AVERAGE((IF(DATOS_[[Sexo]:[Sexo]]=$B31,IF(DATOS_[[AGRUP. VALOR. PTO.]:[AGRUP. VALOR. PTO.]]=$B30,IF(DATOS_[[Check Periodo Ref.]:[Check Periodo Ref.]]="Dentro",DATOS_[Conc.Sal.27]))))),
0)</f>
        <v>0</v>
      </c>
      <c r="AG31" s="170">
        <f t="array" ref="AG31">IFERROR(
AVERAGE((IF(DATOS_[[Sexo]:[Sexo]]=$B31,IF(DATOS_[[AGRUP. VALOR. PTO.]:[AGRUP. VALOR. PTO.]]=$B30,IF(DATOS_[[Check Periodo Ref.]:[Check Periodo Ref.]]="Dentro",DATOS_[Conc.Sal.28]))))),
0)</f>
        <v>0</v>
      </c>
      <c r="AH31" s="170">
        <f t="array" ref="AH31">IFERROR(
AVERAGE((IF(DATOS_[[Sexo]:[Sexo]]=$B31,IF(DATOS_[[AGRUP. VALOR. PTO.]:[AGRUP. VALOR. PTO.]]=$B30,IF(DATOS_[[Check Periodo Ref.]:[Check Periodo Ref.]]="Dentro",DATOS_[Conc.Sal.29]))))),
0)</f>
        <v>0</v>
      </c>
      <c r="AI31" s="170">
        <f t="array" ref="AI31">IFERROR(
AVERAGE((IF(DATOS_[[Sexo]:[Sexo]]=$B31,IF(DATOS_[[AGRUP. VALOR. PTO.]:[AGRUP. VALOR. PTO.]]=$B30,IF(DATOS_[[Check Periodo Ref.]:[Check Periodo Ref.]]="Dentro",DATOS_[Conc.Sal.30]))))),
0)</f>
        <v>0</v>
      </c>
      <c r="AJ31" s="171">
        <f t="array" ref="AJ31">IFERROR(
AVERAGE(IF(DATOS_[Sexo]=$B31,IF(DATOS_[AGRUP. VALOR. PTO.]=$B30,IF(DATOS_[Check Periodo Ref.]="Dentro",DATOS_[Tot COMPL.SAL Ef],FALSE)))),
0)</f>
        <v>0</v>
      </c>
      <c r="AK31" s="172">
        <f t="array" ref="AK31">IFERROR(
AVERAGE(IF(DATOS_[Sexo]=$B31,IF(DATOS_[AGRUP. VALOR. PTO.]=$B30,IF(DATOS_[Check Periodo Ref.]="Dentro",DATOS_[TOTAL SALARIO Ef],FALSE)))),
0)</f>
        <v>0</v>
      </c>
      <c r="AL31" s="173">
        <f t="array" ref="AL31">IFERROR(
AVERAGE((IF(DATOS_[[Sexo]:[Sexo]]=$B31,IF(DATOS_[[AGRUP. VALOR. PTO.]:[AGRUP. VALOR. PTO.]]=$B30,IF(DATOS_[[Check Periodo Ref.]:[Check Periodo Ref.]]="Dentro",DATOS_[C.Extra.01]))))),
0)</f>
        <v>0</v>
      </c>
      <c r="AM31" s="173">
        <f t="array" ref="AM31">IFERROR(
AVERAGE((IF(DATOS_[[Sexo]:[Sexo]]=$B31,IF(DATOS_[[AGRUP. VALOR. PTO.]:[AGRUP. VALOR. PTO.]]=$B30,IF(DATOS_[[Check Periodo Ref.]:[Check Periodo Ref.]]="Dentro",DATOS_[C.Extra.06]))))),
0)</f>
        <v>0</v>
      </c>
      <c r="AN31" s="173">
        <f t="array" ref="AN31">IFERROR(
AVERAGE((IF(DATOS_[[Sexo]:[Sexo]]=$B31,IF(DATOS_[[AGRUP. VALOR. PTO.]:[AGRUP. VALOR. PTO.]]=$B30,IF(DATOS_[[Check Periodo Ref.]:[Check Periodo Ref.]]="Dentro",DATOS_[C.Extra.07]))))),
0)</f>
        <v>0</v>
      </c>
      <c r="AO31" s="173">
        <f t="array" ref="AO31">IFERROR(
AVERAGE((IF(DATOS_[[Sexo]:[Sexo]]=$B31,IF(DATOS_[[AGRUP. VALOR. PTO.]:[AGRUP. VALOR. PTO.]]=$B30,IF(DATOS_[[Check Periodo Ref.]:[Check Periodo Ref.]]="Dentro",DATOS_[C.Extra.08]))))),
0)</f>
        <v>0</v>
      </c>
      <c r="AP31" s="173">
        <f t="array" ref="AP31">IFERROR(
AVERAGE((IF(DATOS_[[Sexo]:[Sexo]]=$B31,IF(DATOS_[[AGRUP. VALOR. PTO.]:[AGRUP. VALOR. PTO.]]=$B30,IF(DATOS_[[Check Periodo Ref.]:[Check Periodo Ref.]]="Dentro",DATOS_[C.Extra.11]))))),
0)</f>
        <v>0</v>
      </c>
      <c r="AQ31" s="174">
        <f t="array" ref="AQ31">IFERROR(
AVERAGE(IF(DATOS_[Sexo]=$B31,IF(DATOS_[AGRUP. VALOR. PTO.]=$B30,IF(DATOS_[Check Periodo Ref.]="Dentro",DATOS_[Tot Extrasalarial Ef],FALSE)))),
0)</f>
        <v>0</v>
      </c>
      <c r="AR31" s="171">
        <f t="array" ref="AR31">IFERROR(
AVERAGE(IF(DATOS_[Sexo]=$B31,IF(DATOS_[AGRUP. VALOR. PTO.]=$B30,IF(DATOS_[Check Periodo Ref.]="Dentro",DATOS_[TOTAL Retrib Ef],FALSE)))),
0)</f>
        <v>0</v>
      </c>
    </row>
    <row r="32" spans="1:44" x14ac:dyDescent="0.25">
      <c r="A32" s="178" t="str">
        <f t="shared" ref="A32" si="26">+A31</f>
        <v>[ocultar]</v>
      </c>
      <c r="B32" s="166" t="s">
        <v>521</v>
      </c>
      <c r="C32" s="167">
        <f t="array" ref="C32">SUM(IF($B32=DATOS_[Sexo],
IF($B30=DATOS_[AGRUP. VALOR. PTO.],
IF("Dentro"=DATOS_[Check Periodo Ref.],
1/(COUNTIFS(DATOS_[Sexo],$B32,DATOS_[AGRUP. VALOR. PTO.],$B30,DATOS_[Check Periodo Ref.],"Dentro",DATOS_[id/cod],DATOS_[id/cod]))))))</f>
        <v>0</v>
      </c>
      <c r="D32" s="168">
        <f>COUNTIFS(DATOS_[AGRUP. VALOR. PTO.],$B30,DATOS_[Sexo],$B32,DATOS_[Check Periodo Ref.],"Dentro")</f>
        <v>0</v>
      </c>
      <c r="E32" s="169">
        <f t="array" ref="E32">IFERROR(
AVERAGE(IF(DATOS_[Sexo]=$B32,IF(DATOS_[AGRUP. VALOR. PTO.]=$B30,IF(DATOS_[Check Periodo Ref.]="Dentro",DATOS_[SALARIO BASE Ef],FALSE)))),
0)</f>
        <v>0</v>
      </c>
      <c r="F32" s="170">
        <f t="array" ref="F32">IFERROR(
AVERAGE((IF(DATOS_[[Sexo]:[Sexo]]=$B32,IF(DATOS_[[AGRUP. VALOR. PTO.]:[AGRUP. VALOR. PTO.]]=$B30,IF(DATOS_[[Check Periodo Ref.]:[Check Periodo Ref.]]="Dentro",DATOS_[Conc.Sal.01]))))),
0)</f>
        <v>0</v>
      </c>
      <c r="G32" s="170">
        <f t="array" ref="G32">IFERROR(
AVERAGE((IF(DATOS_[[Sexo]:[Sexo]]=$B32,IF(DATOS_[[AGRUP. VALOR. PTO.]:[AGRUP. VALOR. PTO.]]=$B30,IF(DATOS_[[Check Periodo Ref.]:[Check Periodo Ref.]]="Dentro",DATOS_[Conc.Sal.02]))))),
0)</f>
        <v>0</v>
      </c>
      <c r="H32" s="170">
        <f t="array" ref="H32">IFERROR(
AVERAGE((IF(DATOS_[[Sexo]:[Sexo]]=$B32,IF(DATOS_[[AGRUP. VALOR. PTO.]:[AGRUP. VALOR. PTO.]]=$B30,IF(DATOS_[[Check Periodo Ref.]:[Check Periodo Ref.]]="Dentro",DATOS_[Conc.Sal.03]))))),
0)</f>
        <v>0</v>
      </c>
      <c r="I32" s="170">
        <f t="array" ref="I32">IFERROR(
AVERAGE((IF(DATOS_[[Sexo]:[Sexo]]=$B32,IF(DATOS_[[AGRUP. VALOR. PTO.]:[AGRUP. VALOR. PTO.]]=$B30,IF(DATOS_[[Check Periodo Ref.]:[Check Periodo Ref.]]="Dentro",DATOS_[Conc.Sal.04]))))),
0)</f>
        <v>0</v>
      </c>
      <c r="J32" s="170">
        <f t="array" ref="J32">IFERROR(
AVERAGE((IF(DATOS_[[Sexo]:[Sexo]]=$B32,IF(DATOS_[[AGRUP. VALOR. PTO.]:[AGRUP. VALOR. PTO.]]=$B30,IF(DATOS_[[Check Periodo Ref.]:[Check Periodo Ref.]]="Dentro",DATOS_[Conc.Sal.05]))))),
0)</f>
        <v>0</v>
      </c>
      <c r="K32" s="170">
        <f t="array" ref="K32">IFERROR(
AVERAGE((IF(DATOS_[[Sexo]:[Sexo]]=$B32,IF(DATOS_[[AGRUP. VALOR. PTO.]:[AGRUP. VALOR. PTO.]]=$B30,IF(DATOS_[[Check Periodo Ref.]:[Check Periodo Ref.]]="Dentro",DATOS_[Conc.Sal.06]))))),
0)</f>
        <v>0</v>
      </c>
      <c r="L32" s="170">
        <f t="array" ref="L32">IFERROR(
AVERAGE((IF(DATOS_[[Sexo]:[Sexo]]=$B32,IF(DATOS_[[AGRUP. VALOR. PTO.]:[AGRUP. VALOR. PTO.]]=$B30,IF(DATOS_[[Check Periodo Ref.]:[Check Periodo Ref.]]="Dentro",DATOS_[Conc.Sal.07]))))),
0)</f>
        <v>0</v>
      </c>
      <c r="M32" s="170">
        <f t="array" ref="M32">IFERROR(
AVERAGE((IF(DATOS_[[Sexo]:[Sexo]]=$B32,IF(DATOS_[[AGRUP. VALOR. PTO.]:[AGRUP. VALOR. PTO.]]=$B30,IF(DATOS_[[Check Periodo Ref.]:[Check Periodo Ref.]]="Dentro",DATOS_[Conc.Sal.08]))))),
0)</f>
        <v>0</v>
      </c>
      <c r="N32" s="170">
        <f t="array" ref="N32">IFERROR(
AVERAGE((IF(DATOS_[[Sexo]:[Sexo]]=$B32,IF(DATOS_[[AGRUP. VALOR. PTO.]:[AGRUP. VALOR. PTO.]]=$B30,IF(DATOS_[[Check Periodo Ref.]:[Check Periodo Ref.]]="Dentro",DATOS_[Conc.Sal.09]))))),
0)</f>
        <v>0</v>
      </c>
      <c r="O32" s="170">
        <f t="array" ref="O32">IFERROR(
AVERAGE((IF(DATOS_[[Sexo]:[Sexo]]=$B32,IF(DATOS_[[AGRUP. VALOR. PTO.]:[AGRUP. VALOR. PTO.]]=$B30,IF(DATOS_[[Check Periodo Ref.]:[Check Periodo Ref.]]="Dentro",DATOS_[Conc.Sal.10]))))),
0)</f>
        <v>0</v>
      </c>
      <c r="P32" s="170">
        <f t="array" ref="P32">IFERROR(
AVERAGE((IF(DATOS_[[Sexo]:[Sexo]]=$B32,IF(DATOS_[[AGRUP. VALOR. PTO.]:[AGRUP. VALOR. PTO.]]=$B30,IF(DATOS_[[Check Periodo Ref.]:[Check Periodo Ref.]]="Dentro",DATOS_[Conc.Sal.11]))))),
0)</f>
        <v>0</v>
      </c>
      <c r="Q32" s="170">
        <f t="array" ref="Q32">IFERROR(
AVERAGE((IF(DATOS_[[Sexo]:[Sexo]]=$B32,IF(DATOS_[[AGRUP. VALOR. PTO.]:[AGRUP. VALOR. PTO.]]=$B30,IF(DATOS_[[Check Periodo Ref.]:[Check Periodo Ref.]]="Dentro",DATOS_[Conc.Sal.12]))))),
0)</f>
        <v>0</v>
      </c>
      <c r="R32" s="170">
        <f t="array" ref="R32">IFERROR(
AVERAGE((IF(DATOS_[[Sexo]:[Sexo]]=$B32,IF(DATOS_[[AGRUP. VALOR. PTO.]:[AGRUP. VALOR. PTO.]]=$B30,IF(DATOS_[[Check Periodo Ref.]:[Check Periodo Ref.]]="Dentro",DATOS_[Conc.Sal.13]))))),
0)</f>
        <v>0</v>
      </c>
      <c r="S32" s="170">
        <f t="array" ref="S32">IFERROR(
AVERAGE((IF(DATOS_[[Sexo]:[Sexo]]=$B32,IF(DATOS_[[AGRUP. VALOR. PTO.]:[AGRUP. VALOR. PTO.]]=$B30,IF(DATOS_[[Check Periodo Ref.]:[Check Periodo Ref.]]="Dentro",DATOS_[Conc.Sal.14]))))),
0)</f>
        <v>0</v>
      </c>
      <c r="T32" s="170">
        <f t="array" ref="T32">IFERROR(
AVERAGE((IF(DATOS_[[Sexo]:[Sexo]]=$B32,IF(DATOS_[[AGRUP. VALOR. PTO.]:[AGRUP. VALOR. PTO.]]=$B30,IF(DATOS_[[Check Periodo Ref.]:[Check Periodo Ref.]]="Dentro",DATOS_[Conc.Sal.15]))))),
0)</f>
        <v>0</v>
      </c>
      <c r="U32" s="170">
        <f t="array" ref="U32">IFERROR(
AVERAGE((IF(DATOS_[[Sexo]:[Sexo]]=$B32,IF(DATOS_[[AGRUP. VALOR. PTO.]:[AGRUP. VALOR. PTO.]]=$B30,IF(DATOS_[[Check Periodo Ref.]:[Check Periodo Ref.]]="Dentro",DATOS_[Conc.Sal.16]))))),
0)</f>
        <v>0</v>
      </c>
      <c r="V32" s="170">
        <f t="array" ref="V32">IFERROR(
AVERAGE((IF(DATOS_[[Sexo]:[Sexo]]=$B32,IF(DATOS_[[AGRUP. VALOR. PTO.]:[AGRUP. VALOR. PTO.]]=$B30,IF(DATOS_[[Check Periodo Ref.]:[Check Periodo Ref.]]="Dentro",DATOS_[Conc.Sal.17]))))),
0)</f>
        <v>0</v>
      </c>
      <c r="W32" s="170">
        <f t="array" ref="W32">IFERROR(
AVERAGE((IF(DATOS_[[Sexo]:[Sexo]]=$B32,IF(DATOS_[[AGRUP. VALOR. PTO.]:[AGRUP. VALOR. PTO.]]=$B30,IF(DATOS_[[Check Periodo Ref.]:[Check Periodo Ref.]]="Dentro",DATOS_[Conc.Sal.18]))))),
0)</f>
        <v>0</v>
      </c>
      <c r="X32" s="170">
        <f t="array" ref="X32">IFERROR(
AVERAGE((IF(DATOS_[[Sexo]:[Sexo]]=$B32,IF(DATOS_[[AGRUP. VALOR. PTO.]:[AGRUP. VALOR. PTO.]]=$B30,IF(DATOS_[[Check Periodo Ref.]:[Check Periodo Ref.]]="Dentro",DATOS_[Conc.Sal.19]))))),
0)</f>
        <v>0</v>
      </c>
      <c r="Y32" s="170">
        <f t="array" ref="Y32">IFERROR(
AVERAGE((IF(DATOS_[[Sexo]:[Sexo]]=$B32,IF(DATOS_[[AGRUP. VALOR. PTO.]:[AGRUP. VALOR. PTO.]]=$B30,IF(DATOS_[[Check Periodo Ref.]:[Check Periodo Ref.]]="Dentro",DATOS_[Conc.Sal.20]))))),
0)</f>
        <v>0</v>
      </c>
      <c r="Z32" s="170">
        <f t="array" ref="Z32">IFERROR(
AVERAGE((IF(DATOS_[[Sexo]:[Sexo]]=$B32,IF(DATOS_[[AGRUP. VALOR. PTO.]:[AGRUP. VALOR. PTO.]]=$B30,IF(DATOS_[[Check Periodo Ref.]:[Check Periodo Ref.]]="Dentro",DATOS_[Conc.Sal.21]))))),
0)</f>
        <v>0</v>
      </c>
      <c r="AA32" s="170">
        <f t="array" ref="AA32">IFERROR(
AVERAGE((IF(DATOS_[[Sexo]:[Sexo]]=$B32,IF(DATOS_[[AGRUP. VALOR. PTO.]:[AGRUP. VALOR. PTO.]]=$B30,IF(DATOS_[[Check Periodo Ref.]:[Check Periodo Ref.]]="Dentro",DATOS_[Conc.Sal.22]))))),
0)</f>
        <v>0</v>
      </c>
      <c r="AB32" s="170">
        <f t="array" ref="AB32">IFERROR(
AVERAGE((IF(DATOS_[[Sexo]:[Sexo]]=$B32,IF(DATOS_[[AGRUP. VALOR. PTO.]:[AGRUP. VALOR. PTO.]]=$B30,IF(DATOS_[[Check Periodo Ref.]:[Check Periodo Ref.]]="Dentro",DATOS_[Conc.Sal.23]))))),
0)</f>
        <v>0</v>
      </c>
      <c r="AC32" s="170">
        <f t="array" ref="AC32">IFERROR(
AVERAGE((IF(DATOS_[[Sexo]:[Sexo]]=$B32,IF(DATOS_[[AGRUP. VALOR. PTO.]:[AGRUP. VALOR. PTO.]]=$B30,IF(DATOS_[[Check Periodo Ref.]:[Check Periodo Ref.]]="Dentro",DATOS_[Conc.Sal.24]))))),
0)</f>
        <v>0</v>
      </c>
      <c r="AD32" s="170">
        <f t="array" ref="AD32">IFERROR(
AVERAGE((IF(DATOS_[[Sexo]:[Sexo]]=$B32,IF(DATOS_[[AGRUP. VALOR. PTO.]:[AGRUP. VALOR. PTO.]]=$B30,IF(DATOS_[[Check Periodo Ref.]:[Check Periodo Ref.]]="Dentro",DATOS_[Conc.Sal.25]))))),
0)</f>
        <v>0</v>
      </c>
      <c r="AE32" s="170">
        <f t="array" ref="AE32">IFERROR(
AVERAGE((IF(DATOS_[[Sexo]:[Sexo]]=$B32,IF(DATOS_[[AGRUP. VALOR. PTO.]:[AGRUP. VALOR. PTO.]]=$B30,IF(DATOS_[[Check Periodo Ref.]:[Check Periodo Ref.]]="Dentro",DATOS_[Conc.Sal.26]))))),
0)</f>
        <v>0</v>
      </c>
      <c r="AF32" s="170">
        <f t="array" ref="AF32">IFERROR(
AVERAGE((IF(DATOS_[[Sexo]:[Sexo]]=$B32,IF(DATOS_[[AGRUP. VALOR. PTO.]:[AGRUP. VALOR. PTO.]]=$B30,IF(DATOS_[[Check Periodo Ref.]:[Check Periodo Ref.]]="Dentro",DATOS_[Conc.Sal.27]))))),
0)</f>
        <v>0</v>
      </c>
      <c r="AG32" s="170">
        <f t="array" ref="AG32">IFERROR(
AVERAGE((IF(DATOS_[[Sexo]:[Sexo]]=$B32,IF(DATOS_[[AGRUP. VALOR. PTO.]:[AGRUP. VALOR. PTO.]]=$B30,IF(DATOS_[[Check Periodo Ref.]:[Check Periodo Ref.]]="Dentro",DATOS_[Conc.Sal.28]))))),
0)</f>
        <v>0</v>
      </c>
      <c r="AH32" s="170">
        <f t="array" ref="AH32">IFERROR(
AVERAGE((IF(DATOS_[[Sexo]:[Sexo]]=$B32,IF(DATOS_[[AGRUP. VALOR. PTO.]:[AGRUP. VALOR. PTO.]]=$B30,IF(DATOS_[[Check Periodo Ref.]:[Check Periodo Ref.]]="Dentro",DATOS_[Conc.Sal.29]))))),
0)</f>
        <v>0</v>
      </c>
      <c r="AI32" s="170">
        <f t="array" ref="AI32">IFERROR(
AVERAGE((IF(DATOS_[[Sexo]:[Sexo]]=$B32,IF(DATOS_[[AGRUP. VALOR. PTO.]:[AGRUP. VALOR. PTO.]]=$B30,IF(DATOS_[[Check Periodo Ref.]:[Check Periodo Ref.]]="Dentro",DATOS_[Conc.Sal.30]))))),
0)</f>
        <v>0</v>
      </c>
      <c r="AJ32" s="171">
        <f t="array" ref="AJ32">IFERROR(
AVERAGE(IF(DATOS_[Sexo]=$B32,IF(DATOS_[AGRUP. VALOR. PTO.]=$B30,IF(DATOS_[Check Periodo Ref.]="Dentro",DATOS_[Tot COMPL.SAL Ef],FALSE)))),
0)</f>
        <v>0</v>
      </c>
      <c r="AK32" s="172">
        <f t="array" ref="AK32">IFERROR(
AVERAGE(IF(DATOS_[Sexo]=$B32,IF(DATOS_[AGRUP. VALOR. PTO.]=$B30,IF(DATOS_[Check Periodo Ref.]="Dentro",DATOS_[TOTAL SALARIO Ef],FALSE)))),
0)</f>
        <v>0</v>
      </c>
      <c r="AL32" s="173">
        <f t="array" ref="AL32">IFERROR(
AVERAGE((IF(DATOS_[[Sexo]:[Sexo]]=$B32,IF(DATOS_[[AGRUP. VALOR. PTO.]:[AGRUP. VALOR. PTO.]]=$B30,IF(DATOS_[[Check Periodo Ref.]:[Check Periodo Ref.]]="Dentro",DATOS_[C.Extra.01]))))),
0)</f>
        <v>0</v>
      </c>
      <c r="AM32" s="173">
        <f t="array" ref="AM32">IFERROR(
AVERAGE((IF(DATOS_[[Sexo]:[Sexo]]=$B32,IF(DATOS_[[AGRUP. VALOR. PTO.]:[AGRUP. VALOR. PTO.]]=$B30,IF(DATOS_[[Check Periodo Ref.]:[Check Periodo Ref.]]="Dentro",DATOS_[C.Extra.06]))))),
0)</f>
        <v>0</v>
      </c>
      <c r="AN32" s="173">
        <f t="array" ref="AN32">IFERROR(
AVERAGE((IF(DATOS_[[Sexo]:[Sexo]]=$B32,IF(DATOS_[[AGRUP. VALOR. PTO.]:[AGRUP. VALOR. PTO.]]=$B30,IF(DATOS_[[Check Periodo Ref.]:[Check Periodo Ref.]]="Dentro",DATOS_[C.Extra.07]))))),
0)</f>
        <v>0</v>
      </c>
      <c r="AO32" s="173">
        <f t="array" ref="AO32">IFERROR(
AVERAGE((IF(DATOS_[[Sexo]:[Sexo]]=$B32,IF(DATOS_[[AGRUP. VALOR. PTO.]:[AGRUP. VALOR. PTO.]]=$B30,IF(DATOS_[[Check Periodo Ref.]:[Check Periodo Ref.]]="Dentro",DATOS_[C.Extra.08]))))),
0)</f>
        <v>0</v>
      </c>
      <c r="AP32" s="173">
        <f t="array" ref="AP32">IFERROR(
AVERAGE((IF(DATOS_[[Sexo]:[Sexo]]=$B32,IF(DATOS_[[AGRUP. VALOR. PTO.]:[AGRUP. VALOR. PTO.]]=$B30,IF(DATOS_[[Check Periodo Ref.]:[Check Periodo Ref.]]="Dentro",DATOS_[C.Extra.11]))))),
0)</f>
        <v>0</v>
      </c>
      <c r="AQ32" s="174">
        <f t="array" ref="AQ32">IFERROR(
AVERAGE(IF(DATOS_[Sexo]=$B32,IF(DATOS_[AGRUP. VALOR. PTO.]=$B30,IF(DATOS_[Check Periodo Ref.]="Dentro",DATOS_[Tot Extrasalarial Ef],FALSE)))),
0)</f>
        <v>0</v>
      </c>
      <c r="AR32" s="171">
        <f t="array" ref="AR32">IFERROR(
AVERAGE(IF(DATOS_[Sexo]=$B32,IF(DATOS_[AGRUP. VALOR. PTO.]=$B30,IF(DATOS_[Check Periodo Ref.]="Dentro",DATOS_[TOTAL Retrib Ef],FALSE)))),
0)</f>
        <v>0</v>
      </c>
    </row>
    <row r="33" spans="1:44" ht="14.4" thickBot="1" x14ac:dyDescent="0.3">
      <c r="A33" s="178" t="str">
        <f t="shared" ref="A33" si="27">+A34</f>
        <v>[ocultar]</v>
      </c>
      <c r="B33" s="153" t="s">
        <v>200</v>
      </c>
      <c r="C33" s="154"/>
      <c r="D33" s="155"/>
      <c r="E33" s="156" t="str">
        <f t="shared" ref="E33:AR33" si="28">IFERROR((E34-E35)/E34,"")</f>
        <v/>
      </c>
      <c r="F33" s="157" t="str">
        <f t="shared" si="28"/>
        <v/>
      </c>
      <c r="G33" s="158" t="str">
        <f t="shared" si="28"/>
        <v/>
      </c>
      <c r="H33" s="158" t="str">
        <f t="shared" si="28"/>
        <v/>
      </c>
      <c r="I33" s="158" t="str">
        <f t="shared" si="28"/>
        <v/>
      </c>
      <c r="J33" s="159" t="str">
        <f t="shared" si="28"/>
        <v/>
      </c>
      <c r="K33" s="160" t="str">
        <f t="shared" si="28"/>
        <v/>
      </c>
      <c r="L33" s="160" t="str">
        <f t="shared" si="28"/>
        <v/>
      </c>
      <c r="M33" s="160" t="str">
        <f t="shared" si="28"/>
        <v/>
      </c>
      <c r="N33" s="160" t="str">
        <f t="shared" si="28"/>
        <v/>
      </c>
      <c r="O33" s="160" t="str">
        <f t="shared" si="28"/>
        <v/>
      </c>
      <c r="P33" s="160" t="str">
        <f t="shared" si="28"/>
        <v/>
      </c>
      <c r="Q33" s="160" t="str">
        <f t="shared" si="28"/>
        <v/>
      </c>
      <c r="R33" s="160" t="str">
        <f t="shared" si="28"/>
        <v/>
      </c>
      <c r="S33" s="160" t="str">
        <f t="shared" si="28"/>
        <v/>
      </c>
      <c r="T33" s="160" t="str">
        <f t="shared" si="28"/>
        <v/>
      </c>
      <c r="U33" s="160" t="str">
        <f t="shared" si="28"/>
        <v/>
      </c>
      <c r="V33" s="159" t="str">
        <f t="shared" si="28"/>
        <v/>
      </c>
      <c r="W33" s="159" t="str">
        <f t="shared" si="28"/>
        <v/>
      </c>
      <c r="X33" s="159" t="str">
        <f t="shared" si="28"/>
        <v/>
      </c>
      <c r="Y33" s="159" t="str">
        <f t="shared" si="28"/>
        <v/>
      </c>
      <c r="Z33" s="159" t="str">
        <f t="shared" si="28"/>
        <v/>
      </c>
      <c r="AA33" s="159" t="str">
        <f t="shared" si="28"/>
        <v/>
      </c>
      <c r="AB33" s="159" t="str">
        <f t="shared" si="28"/>
        <v/>
      </c>
      <c r="AC33" s="159" t="str">
        <f t="shared" si="28"/>
        <v/>
      </c>
      <c r="AD33" s="159" t="str">
        <f t="shared" si="28"/>
        <v/>
      </c>
      <c r="AE33" s="159" t="str">
        <f t="shared" si="28"/>
        <v/>
      </c>
      <c r="AF33" s="159" t="str">
        <f t="shared" si="28"/>
        <v/>
      </c>
      <c r="AG33" s="159" t="str">
        <f t="shared" si="28"/>
        <v/>
      </c>
      <c r="AH33" s="159" t="str">
        <f t="shared" si="28"/>
        <v/>
      </c>
      <c r="AI33" s="159" t="str">
        <f t="shared" si="28"/>
        <v/>
      </c>
      <c r="AJ33" s="161" t="str">
        <f t="shared" si="28"/>
        <v/>
      </c>
      <c r="AK33" s="162" t="str">
        <f t="shared" si="28"/>
        <v/>
      </c>
      <c r="AL33" s="163" t="str">
        <f t="shared" si="28"/>
        <v/>
      </c>
      <c r="AM33" s="163" t="str">
        <f t="shared" si="28"/>
        <v/>
      </c>
      <c r="AN33" s="163" t="str">
        <f t="shared" si="28"/>
        <v/>
      </c>
      <c r="AO33" s="163" t="str">
        <f t="shared" si="28"/>
        <v/>
      </c>
      <c r="AP33" s="163" t="str">
        <f t="shared" si="28"/>
        <v/>
      </c>
      <c r="AQ33" s="164" t="str">
        <f t="shared" si="28"/>
        <v/>
      </c>
      <c r="AR33" s="161" t="str">
        <f t="shared" si="28"/>
        <v/>
      </c>
    </row>
    <row r="34" spans="1:44" x14ac:dyDescent="0.25">
      <c r="A34" s="178" t="str">
        <f t="shared" ref="A34" si="29">+IF(C34+C35=0,"[ocultar]","")</f>
        <v>[ocultar]</v>
      </c>
      <c r="B34" s="166" t="s">
        <v>394</v>
      </c>
      <c r="C34" s="167">
        <f t="array" ref="C34">SUM(IF($B34=DATOS_[Sexo],
IF($B33=DATOS_[AGRUP. VALOR. PTO.],
IF("Dentro"=DATOS_[Check Periodo Ref.],
1/(COUNTIFS(DATOS_[Sexo],$B34,DATOS_[AGRUP. VALOR. PTO.],$B33,DATOS_[Check Periodo Ref.],"Dentro",DATOS_[id/cod],DATOS_[id/cod]))))))</f>
        <v>0</v>
      </c>
      <c r="D34" s="168">
        <f>COUNTIFS(DATOS_[AGRUP. VALOR. PTO.],$B33,DATOS_[Sexo],$B34,DATOS_[Check Periodo Ref.],"Dentro")</f>
        <v>0</v>
      </c>
      <c r="E34" s="169">
        <f t="array" ref="E34">IFERROR(
AVERAGE(IF(DATOS_[Sexo]=$B34,IF(DATOS_[AGRUP. VALOR. PTO.]=$B33,IF(DATOS_[Check Periodo Ref.]="Dentro",DATOS_[SALARIO BASE Ef],FALSE)))),
0)</f>
        <v>0</v>
      </c>
      <c r="F34" s="170">
        <f t="array" ref="F34">IFERROR(
AVERAGE((IF(DATOS_[[Sexo]:[Sexo]]=$B34,IF(DATOS_[[AGRUP. VALOR. PTO.]:[AGRUP. VALOR. PTO.]]=$B33,IF(DATOS_[[Check Periodo Ref.]:[Check Periodo Ref.]]="Dentro",DATOS_[Conc.Sal.01]))))),
0)</f>
        <v>0</v>
      </c>
      <c r="G34" s="170">
        <f t="array" ref="G34">IFERROR(
AVERAGE((IF(DATOS_[[Sexo]:[Sexo]]=$B34,IF(DATOS_[[AGRUP. VALOR. PTO.]:[AGRUP. VALOR. PTO.]]=$B33,IF(DATOS_[[Check Periodo Ref.]:[Check Periodo Ref.]]="Dentro",DATOS_[Conc.Sal.02]))))),
0)</f>
        <v>0</v>
      </c>
      <c r="H34" s="170">
        <f t="array" ref="H34">IFERROR(
AVERAGE((IF(DATOS_[[Sexo]:[Sexo]]=$B34,IF(DATOS_[[AGRUP. VALOR. PTO.]:[AGRUP. VALOR. PTO.]]=$B33,IF(DATOS_[[Check Periodo Ref.]:[Check Periodo Ref.]]="Dentro",DATOS_[Conc.Sal.03]))))),
0)</f>
        <v>0</v>
      </c>
      <c r="I34" s="170">
        <f t="array" ref="I34">IFERROR(
AVERAGE((IF(DATOS_[[Sexo]:[Sexo]]=$B34,IF(DATOS_[[AGRUP. VALOR. PTO.]:[AGRUP. VALOR. PTO.]]=$B33,IF(DATOS_[[Check Periodo Ref.]:[Check Periodo Ref.]]="Dentro",DATOS_[Conc.Sal.04]))))),
0)</f>
        <v>0</v>
      </c>
      <c r="J34" s="170">
        <f t="array" ref="J34">IFERROR(
AVERAGE((IF(DATOS_[[Sexo]:[Sexo]]=$B34,IF(DATOS_[[AGRUP. VALOR. PTO.]:[AGRUP. VALOR. PTO.]]=$B33,IF(DATOS_[[Check Periodo Ref.]:[Check Periodo Ref.]]="Dentro",DATOS_[Conc.Sal.05]))))),
0)</f>
        <v>0</v>
      </c>
      <c r="K34" s="170">
        <f t="array" ref="K34">IFERROR(
AVERAGE((IF(DATOS_[[Sexo]:[Sexo]]=$B34,IF(DATOS_[[AGRUP. VALOR. PTO.]:[AGRUP. VALOR. PTO.]]=$B33,IF(DATOS_[[Check Periodo Ref.]:[Check Periodo Ref.]]="Dentro",DATOS_[Conc.Sal.06]))))),
0)</f>
        <v>0</v>
      </c>
      <c r="L34" s="170">
        <f t="array" ref="L34">IFERROR(
AVERAGE((IF(DATOS_[[Sexo]:[Sexo]]=$B34,IF(DATOS_[[AGRUP. VALOR. PTO.]:[AGRUP. VALOR. PTO.]]=$B33,IF(DATOS_[[Check Periodo Ref.]:[Check Periodo Ref.]]="Dentro",DATOS_[Conc.Sal.07]))))),
0)</f>
        <v>0</v>
      </c>
      <c r="M34" s="170">
        <f t="array" ref="M34">IFERROR(
AVERAGE((IF(DATOS_[[Sexo]:[Sexo]]=$B34,IF(DATOS_[[AGRUP. VALOR. PTO.]:[AGRUP. VALOR. PTO.]]=$B33,IF(DATOS_[[Check Periodo Ref.]:[Check Periodo Ref.]]="Dentro",DATOS_[Conc.Sal.08]))))),
0)</f>
        <v>0</v>
      </c>
      <c r="N34" s="170">
        <f t="array" ref="N34">IFERROR(
AVERAGE((IF(DATOS_[[Sexo]:[Sexo]]=$B34,IF(DATOS_[[AGRUP. VALOR. PTO.]:[AGRUP. VALOR. PTO.]]=$B33,IF(DATOS_[[Check Periodo Ref.]:[Check Periodo Ref.]]="Dentro",DATOS_[Conc.Sal.09]))))),
0)</f>
        <v>0</v>
      </c>
      <c r="O34" s="170">
        <f t="array" ref="O34">IFERROR(
AVERAGE((IF(DATOS_[[Sexo]:[Sexo]]=$B34,IF(DATOS_[[AGRUP. VALOR. PTO.]:[AGRUP. VALOR. PTO.]]=$B33,IF(DATOS_[[Check Periodo Ref.]:[Check Periodo Ref.]]="Dentro",DATOS_[Conc.Sal.10]))))),
0)</f>
        <v>0</v>
      </c>
      <c r="P34" s="170">
        <f t="array" ref="P34">IFERROR(
AVERAGE((IF(DATOS_[[Sexo]:[Sexo]]=$B34,IF(DATOS_[[AGRUP. VALOR. PTO.]:[AGRUP. VALOR. PTO.]]=$B33,IF(DATOS_[[Check Periodo Ref.]:[Check Periodo Ref.]]="Dentro",DATOS_[Conc.Sal.11]))))),
0)</f>
        <v>0</v>
      </c>
      <c r="Q34" s="170">
        <f t="array" ref="Q34">IFERROR(
AVERAGE((IF(DATOS_[[Sexo]:[Sexo]]=$B34,IF(DATOS_[[AGRUP. VALOR. PTO.]:[AGRUP. VALOR. PTO.]]=$B33,IF(DATOS_[[Check Periodo Ref.]:[Check Periodo Ref.]]="Dentro",DATOS_[Conc.Sal.12]))))),
0)</f>
        <v>0</v>
      </c>
      <c r="R34" s="170">
        <f t="array" ref="R34">IFERROR(
AVERAGE((IF(DATOS_[[Sexo]:[Sexo]]=$B34,IF(DATOS_[[AGRUP. VALOR. PTO.]:[AGRUP. VALOR. PTO.]]=$B33,IF(DATOS_[[Check Periodo Ref.]:[Check Periodo Ref.]]="Dentro",DATOS_[Conc.Sal.13]))))),
0)</f>
        <v>0</v>
      </c>
      <c r="S34" s="170">
        <f t="array" ref="S34">IFERROR(
AVERAGE((IF(DATOS_[[Sexo]:[Sexo]]=$B34,IF(DATOS_[[AGRUP. VALOR. PTO.]:[AGRUP. VALOR. PTO.]]=$B33,IF(DATOS_[[Check Periodo Ref.]:[Check Periodo Ref.]]="Dentro",DATOS_[Conc.Sal.14]))))),
0)</f>
        <v>0</v>
      </c>
      <c r="T34" s="170">
        <f t="array" ref="T34">IFERROR(
AVERAGE((IF(DATOS_[[Sexo]:[Sexo]]=$B34,IF(DATOS_[[AGRUP. VALOR. PTO.]:[AGRUP. VALOR. PTO.]]=$B33,IF(DATOS_[[Check Periodo Ref.]:[Check Periodo Ref.]]="Dentro",DATOS_[Conc.Sal.15]))))),
0)</f>
        <v>0</v>
      </c>
      <c r="U34" s="170">
        <f t="array" ref="U34">IFERROR(
AVERAGE((IF(DATOS_[[Sexo]:[Sexo]]=$B34,IF(DATOS_[[AGRUP. VALOR. PTO.]:[AGRUP. VALOR. PTO.]]=$B33,IF(DATOS_[[Check Periodo Ref.]:[Check Periodo Ref.]]="Dentro",DATOS_[Conc.Sal.16]))))),
0)</f>
        <v>0</v>
      </c>
      <c r="V34" s="170">
        <f t="array" ref="V34">IFERROR(
AVERAGE((IF(DATOS_[[Sexo]:[Sexo]]=$B34,IF(DATOS_[[AGRUP. VALOR. PTO.]:[AGRUP. VALOR. PTO.]]=$B33,IF(DATOS_[[Check Periodo Ref.]:[Check Periodo Ref.]]="Dentro",DATOS_[Conc.Sal.17]))))),
0)</f>
        <v>0</v>
      </c>
      <c r="W34" s="170">
        <f t="array" ref="W34">IFERROR(
AVERAGE((IF(DATOS_[[Sexo]:[Sexo]]=$B34,IF(DATOS_[[AGRUP. VALOR. PTO.]:[AGRUP. VALOR. PTO.]]=$B33,IF(DATOS_[[Check Periodo Ref.]:[Check Periodo Ref.]]="Dentro",DATOS_[Conc.Sal.18]))))),
0)</f>
        <v>0</v>
      </c>
      <c r="X34" s="170">
        <f t="array" ref="X34">IFERROR(
AVERAGE((IF(DATOS_[[Sexo]:[Sexo]]=$B34,IF(DATOS_[[AGRUP. VALOR. PTO.]:[AGRUP. VALOR. PTO.]]=$B33,IF(DATOS_[[Check Periodo Ref.]:[Check Periodo Ref.]]="Dentro",DATOS_[Conc.Sal.19]))))),
0)</f>
        <v>0</v>
      </c>
      <c r="Y34" s="170">
        <f t="array" ref="Y34">IFERROR(
AVERAGE((IF(DATOS_[[Sexo]:[Sexo]]=$B34,IF(DATOS_[[AGRUP. VALOR. PTO.]:[AGRUP. VALOR. PTO.]]=$B33,IF(DATOS_[[Check Periodo Ref.]:[Check Periodo Ref.]]="Dentro",DATOS_[Conc.Sal.20]))))),
0)</f>
        <v>0</v>
      </c>
      <c r="Z34" s="170">
        <f t="array" ref="Z34">IFERROR(
AVERAGE((IF(DATOS_[[Sexo]:[Sexo]]=$B34,IF(DATOS_[[AGRUP. VALOR. PTO.]:[AGRUP. VALOR. PTO.]]=$B33,IF(DATOS_[[Check Periodo Ref.]:[Check Periodo Ref.]]="Dentro",DATOS_[Conc.Sal.21]))))),
0)</f>
        <v>0</v>
      </c>
      <c r="AA34" s="170">
        <f t="array" ref="AA34">IFERROR(
AVERAGE((IF(DATOS_[[Sexo]:[Sexo]]=$B34,IF(DATOS_[[AGRUP. VALOR. PTO.]:[AGRUP. VALOR. PTO.]]=$B33,IF(DATOS_[[Check Periodo Ref.]:[Check Periodo Ref.]]="Dentro",DATOS_[Conc.Sal.22]))))),
0)</f>
        <v>0</v>
      </c>
      <c r="AB34" s="170">
        <f t="array" ref="AB34">IFERROR(
AVERAGE((IF(DATOS_[[Sexo]:[Sexo]]=$B34,IF(DATOS_[[AGRUP. VALOR. PTO.]:[AGRUP. VALOR. PTO.]]=$B33,IF(DATOS_[[Check Periodo Ref.]:[Check Periodo Ref.]]="Dentro",DATOS_[Conc.Sal.23]))))),
0)</f>
        <v>0</v>
      </c>
      <c r="AC34" s="170">
        <f t="array" ref="AC34">IFERROR(
AVERAGE((IF(DATOS_[[Sexo]:[Sexo]]=$B34,IF(DATOS_[[AGRUP. VALOR. PTO.]:[AGRUP. VALOR. PTO.]]=$B33,IF(DATOS_[[Check Periodo Ref.]:[Check Periodo Ref.]]="Dentro",DATOS_[Conc.Sal.24]))))),
0)</f>
        <v>0</v>
      </c>
      <c r="AD34" s="170">
        <f t="array" ref="AD34">IFERROR(
AVERAGE((IF(DATOS_[[Sexo]:[Sexo]]=$B34,IF(DATOS_[[AGRUP. VALOR. PTO.]:[AGRUP. VALOR. PTO.]]=$B33,IF(DATOS_[[Check Periodo Ref.]:[Check Periodo Ref.]]="Dentro",DATOS_[Conc.Sal.25]))))),
0)</f>
        <v>0</v>
      </c>
      <c r="AE34" s="170">
        <f t="array" ref="AE34">IFERROR(
AVERAGE((IF(DATOS_[[Sexo]:[Sexo]]=$B34,IF(DATOS_[[AGRUP. VALOR. PTO.]:[AGRUP. VALOR. PTO.]]=$B33,IF(DATOS_[[Check Periodo Ref.]:[Check Periodo Ref.]]="Dentro",DATOS_[Conc.Sal.26]))))),
0)</f>
        <v>0</v>
      </c>
      <c r="AF34" s="170">
        <f t="array" ref="AF34">IFERROR(
AVERAGE((IF(DATOS_[[Sexo]:[Sexo]]=$B34,IF(DATOS_[[AGRUP. VALOR. PTO.]:[AGRUP. VALOR. PTO.]]=$B33,IF(DATOS_[[Check Periodo Ref.]:[Check Periodo Ref.]]="Dentro",DATOS_[Conc.Sal.27]))))),
0)</f>
        <v>0</v>
      </c>
      <c r="AG34" s="170">
        <f t="array" ref="AG34">IFERROR(
AVERAGE((IF(DATOS_[[Sexo]:[Sexo]]=$B34,IF(DATOS_[[AGRUP. VALOR. PTO.]:[AGRUP. VALOR. PTO.]]=$B33,IF(DATOS_[[Check Periodo Ref.]:[Check Periodo Ref.]]="Dentro",DATOS_[Conc.Sal.28]))))),
0)</f>
        <v>0</v>
      </c>
      <c r="AH34" s="170">
        <f t="array" ref="AH34">IFERROR(
AVERAGE((IF(DATOS_[[Sexo]:[Sexo]]=$B34,IF(DATOS_[[AGRUP. VALOR. PTO.]:[AGRUP. VALOR. PTO.]]=$B33,IF(DATOS_[[Check Periodo Ref.]:[Check Periodo Ref.]]="Dentro",DATOS_[Conc.Sal.29]))))),
0)</f>
        <v>0</v>
      </c>
      <c r="AI34" s="170">
        <f t="array" ref="AI34">IFERROR(
AVERAGE((IF(DATOS_[[Sexo]:[Sexo]]=$B34,IF(DATOS_[[AGRUP. VALOR. PTO.]:[AGRUP. VALOR. PTO.]]=$B33,IF(DATOS_[[Check Periodo Ref.]:[Check Periodo Ref.]]="Dentro",DATOS_[Conc.Sal.30]))))),
0)</f>
        <v>0</v>
      </c>
      <c r="AJ34" s="171">
        <f t="array" ref="AJ34">IFERROR(
AVERAGE(IF(DATOS_[Sexo]=$B34,IF(DATOS_[AGRUP. VALOR. PTO.]=$B33,IF(DATOS_[Check Periodo Ref.]="Dentro",DATOS_[Tot COMPL.SAL Ef],FALSE)))),
0)</f>
        <v>0</v>
      </c>
      <c r="AK34" s="172">
        <f t="array" ref="AK34">IFERROR(
AVERAGE(IF(DATOS_[Sexo]=$B34,IF(DATOS_[AGRUP. VALOR. PTO.]=$B33,IF(DATOS_[Check Periodo Ref.]="Dentro",DATOS_[TOTAL SALARIO Ef],FALSE)))),
0)</f>
        <v>0</v>
      </c>
      <c r="AL34" s="173">
        <f t="array" ref="AL34">IFERROR(
AVERAGE((IF(DATOS_[[Sexo]:[Sexo]]=$B34,IF(DATOS_[[AGRUP. VALOR. PTO.]:[AGRUP. VALOR. PTO.]]=$B33,IF(DATOS_[[Check Periodo Ref.]:[Check Periodo Ref.]]="Dentro",DATOS_[C.Extra.01]))))),
0)</f>
        <v>0</v>
      </c>
      <c r="AM34" s="173">
        <f t="array" ref="AM34">IFERROR(
AVERAGE((IF(DATOS_[[Sexo]:[Sexo]]=$B34,IF(DATOS_[[AGRUP. VALOR. PTO.]:[AGRUP. VALOR. PTO.]]=$B33,IF(DATOS_[[Check Periodo Ref.]:[Check Periodo Ref.]]="Dentro",DATOS_[C.Extra.06]))))),
0)</f>
        <v>0</v>
      </c>
      <c r="AN34" s="173">
        <f t="array" ref="AN34">IFERROR(
AVERAGE((IF(DATOS_[[Sexo]:[Sexo]]=$B34,IF(DATOS_[[AGRUP. VALOR. PTO.]:[AGRUP. VALOR. PTO.]]=$B33,IF(DATOS_[[Check Periodo Ref.]:[Check Periodo Ref.]]="Dentro",DATOS_[C.Extra.07]))))),
0)</f>
        <v>0</v>
      </c>
      <c r="AO34" s="173">
        <f t="array" ref="AO34">IFERROR(
AVERAGE((IF(DATOS_[[Sexo]:[Sexo]]=$B34,IF(DATOS_[[AGRUP. VALOR. PTO.]:[AGRUP. VALOR. PTO.]]=$B33,IF(DATOS_[[Check Periodo Ref.]:[Check Periodo Ref.]]="Dentro",DATOS_[C.Extra.08]))))),
0)</f>
        <v>0</v>
      </c>
      <c r="AP34" s="173">
        <f t="array" ref="AP34">IFERROR(
AVERAGE((IF(DATOS_[[Sexo]:[Sexo]]=$B34,IF(DATOS_[[AGRUP. VALOR. PTO.]:[AGRUP. VALOR. PTO.]]=$B33,IF(DATOS_[[Check Periodo Ref.]:[Check Periodo Ref.]]="Dentro",DATOS_[C.Extra.11]))))),
0)</f>
        <v>0</v>
      </c>
      <c r="AQ34" s="174">
        <f t="array" ref="AQ34">IFERROR(
AVERAGE(IF(DATOS_[Sexo]=$B34,IF(DATOS_[AGRUP. VALOR. PTO.]=$B33,IF(DATOS_[Check Periodo Ref.]="Dentro",DATOS_[Tot Extrasalarial Ef],FALSE)))),
0)</f>
        <v>0</v>
      </c>
      <c r="AR34" s="171">
        <f t="array" ref="AR34">IFERROR(
AVERAGE(IF(DATOS_[Sexo]=$B34,IF(DATOS_[AGRUP. VALOR. PTO.]=$B33,IF(DATOS_[Check Periodo Ref.]="Dentro",DATOS_[TOTAL Retrib Ef],FALSE)))),
0)</f>
        <v>0</v>
      </c>
    </row>
    <row r="35" spans="1:44" x14ac:dyDescent="0.25">
      <c r="A35" s="178" t="str">
        <f t="shared" ref="A35" si="30">+A34</f>
        <v>[ocultar]</v>
      </c>
      <c r="B35" s="166" t="s">
        <v>521</v>
      </c>
      <c r="C35" s="167">
        <f t="array" ref="C35">SUM(IF($B35=DATOS_[Sexo],
IF($B33=DATOS_[AGRUP. VALOR. PTO.],
IF("Dentro"=DATOS_[Check Periodo Ref.],
1/(COUNTIFS(DATOS_[Sexo],$B35,DATOS_[AGRUP. VALOR. PTO.],$B33,DATOS_[Check Periodo Ref.],"Dentro",DATOS_[id/cod],DATOS_[id/cod]))))))</f>
        <v>0</v>
      </c>
      <c r="D35" s="168">
        <f>COUNTIFS(DATOS_[AGRUP. VALOR. PTO.],$B33,DATOS_[Sexo],$B35,DATOS_[Check Periodo Ref.],"Dentro")</f>
        <v>0</v>
      </c>
      <c r="E35" s="169">
        <f t="array" ref="E35">IFERROR(
AVERAGE(IF(DATOS_[Sexo]=$B35,IF(DATOS_[AGRUP. VALOR. PTO.]=$B33,IF(DATOS_[Check Periodo Ref.]="Dentro",DATOS_[SALARIO BASE Ef],FALSE)))),
0)</f>
        <v>0</v>
      </c>
      <c r="F35" s="170">
        <f t="array" ref="F35">IFERROR(
AVERAGE((IF(DATOS_[[Sexo]:[Sexo]]=$B35,IF(DATOS_[[AGRUP. VALOR. PTO.]:[AGRUP. VALOR. PTO.]]=$B33,IF(DATOS_[[Check Periodo Ref.]:[Check Periodo Ref.]]="Dentro",DATOS_[Conc.Sal.01]))))),
0)</f>
        <v>0</v>
      </c>
      <c r="G35" s="170">
        <f t="array" ref="G35">IFERROR(
AVERAGE((IF(DATOS_[[Sexo]:[Sexo]]=$B35,IF(DATOS_[[AGRUP. VALOR. PTO.]:[AGRUP. VALOR. PTO.]]=$B33,IF(DATOS_[[Check Periodo Ref.]:[Check Periodo Ref.]]="Dentro",DATOS_[Conc.Sal.02]))))),
0)</f>
        <v>0</v>
      </c>
      <c r="H35" s="170">
        <f t="array" ref="H35">IFERROR(
AVERAGE((IF(DATOS_[[Sexo]:[Sexo]]=$B35,IF(DATOS_[[AGRUP. VALOR. PTO.]:[AGRUP. VALOR. PTO.]]=$B33,IF(DATOS_[[Check Periodo Ref.]:[Check Periodo Ref.]]="Dentro",DATOS_[Conc.Sal.03]))))),
0)</f>
        <v>0</v>
      </c>
      <c r="I35" s="170">
        <f t="array" ref="I35">IFERROR(
AVERAGE((IF(DATOS_[[Sexo]:[Sexo]]=$B35,IF(DATOS_[[AGRUP. VALOR. PTO.]:[AGRUP. VALOR. PTO.]]=$B33,IF(DATOS_[[Check Periodo Ref.]:[Check Periodo Ref.]]="Dentro",DATOS_[Conc.Sal.04]))))),
0)</f>
        <v>0</v>
      </c>
      <c r="J35" s="170">
        <f t="array" ref="J35">IFERROR(
AVERAGE((IF(DATOS_[[Sexo]:[Sexo]]=$B35,IF(DATOS_[[AGRUP. VALOR. PTO.]:[AGRUP. VALOR. PTO.]]=$B33,IF(DATOS_[[Check Periodo Ref.]:[Check Periodo Ref.]]="Dentro",DATOS_[Conc.Sal.05]))))),
0)</f>
        <v>0</v>
      </c>
      <c r="K35" s="170">
        <f t="array" ref="K35">IFERROR(
AVERAGE((IF(DATOS_[[Sexo]:[Sexo]]=$B35,IF(DATOS_[[AGRUP. VALOR. PTO.]:[AGRUP. VALOR. PTO.]]=$B33,IF(DATOS_[[Check Periodo Ref.]:[Check Periodo Ref.]]="Dentro",DATOS_[Conc.Sal.06]))))),
0)</f>
        <v>0</v>
      </c>
      <c r="L35" s="170">
        <f t="array" ref="L35">IFERROR(
AVERAGE((IF(DATOS_[[Sexo]:[Sexo]]=$B35,IF(DATOS_[[AGRUP. VALOR. PTO.]:[AGRUP. VALOR. PTO.]]=$B33,IF(DATOS_[[Check Periodo Ref.]:[Check Periodo Ref.]]="Dentro",DATOS_[Conc.Sal.07]))))),
0)</f>
        <v>0</v>
      </c>
      <c r="M35" s="170">
        <f t="array" ref="M35">IFERROR(
AVERAGE((IF(DATOS_[[Sexo]:[Sexo]]=$B35,IF(DATOS_[[AGRUP. VALOR. PTO.]:[AGRUP. VALOR. PTO.]]=$B33,IF(DATOS_[[Check Periodo Ref.]:[Check Periodo Ref.]]="Dentro",DATOS_[Conc.Sal.08]))))),
0)</f>
        <v>0</v>
      </c>
      <c r="N35" s="170">
        <f t="array" ref="N35">IFERROR(
AVERAGE((IF(DATOS_[[Sexo]:[Sexo]]=$B35,IF(DATOS_[[AGRUP. VALOR. PTO.]:[AGRUP. VALOR. PTO.]]=$B33,IF(DATOS_[[Check Periodo Ref.]:[Check Periodo Ref.]]="Dentro",DATOS_[Conc.Sal.09]))))),
0)</f>
        <v>0</v>
      </c>
      <c r="O35" s="170">
        <f t="array" ref="O35">IFERROR(
AVERAGE((IF(DATOS_[[Sexo]:[Sexo]]=$B35,IF(DATOS_[[AGRUP. VALOR. PTO.]:[AGRUP. VALOR. PTO.]]=$B33,IF(DATOS_[[Check Periodo Ref.]:[Check Periodo Ref.]]="Dentro",DATOS_[Conc.Sal.10]))))),
0)</f>
        <v>0</v>
      </c>
      <c r="P35" s="170">
        <f t="array" ref="P35">IFERROR(
AVERAGE((IF(DATOS_[[Sexo]:[Sexo]]=$B35,IF(DATOS_[[AGRUP. VALOR. PTO.]:[AGRUP. VALOR. PTO.]]=$B33,IF(DATOS_[[Check Periodo Ref.]:[Check Periodo Ref.]]="Dentro",DATOS_[Conc.Sal.11]))))),
0)</f>
        <v>0</v>
      </c>
      <c r="Q35" s="170">
        <f t="array" ref="Q35">IFERROR(
AVERAGE((IF(DATOS_[[Sexo]:[Sexo]]=$B35,IF(DATOS_[[AGRUP. VALOR. PTO.]:[AGRUP. VALOR. PTO.]]=$B33,IF(DATOS_[[Check Periodo Ref.]:[Check Periodo Ref.]]="Dentro",DATOS_[Conc.Sal.12]))))),
0)</f>
        <v>0</v>
      </c>
      <c r="R35" s="170">
        <f t="array" ref="R35">IFERROR(
AVERAGE((IF(DATOS_[[Sexo]:[Sexo]]=$B35,IF(DATOS_[[AGRUP. VALOR. PTO.]:[AGRUP. VALOR. PTO.]]=$B33,IF(DATOS_[[Check Periodo Ref.]:[Check Periodo Ref.]]="Dentro",DATOS_[Conc.Sal.13]))))),
0)</f>
        <v>0</v>
      </c>
      <c r="S35" s="170">
        <f t="array" ref="S35">IFERROR(
AVERAGE((IF(DATOS_[[Sexo]:[Sexo]]=$B35,IF(DATOS_[[AGRUP. VALOR. PTO.]:[AGRUP. VALOR. PTO.]]=$B33,IF(DATOS_[[Check Periodo Ref.]:[Check Periodo Ref.]]="Dentro",DATOS_[Conc.Sal.14]))))),
0)</f>
        <v>0</v>
      </c>
      <c r="T35" s="170">
        <f t="array" ref="T35">IFERROR(
AVERAGE((IF(DATOS_[[Sexo]:[Sexo]]=$B35,IF(DATOS_[[AGRUP. VALOR. PTO.]:[AGRUP. VALOR. PTO.]]=$B33,IF(DATOS_[[Check Periodo Ref.]:[Check Periodo Ref.]]="Dentro",DATOS_[Conc.Sal.15]))))),
0)</f>
        <v>0</v>
      </c>
      <c r="U35" s="170">
        <f t="array" ref="U35">IFERROR(
AVERAGE((IF(DATOS_[[Sexo]:[Sexo]]=$B35,IF(DATOS_[[AGRUP. VALOR. PTO.]:[AGRUP. VALOR. PTO.]]=$B33,IF(DATOS_[[Check Periodo Ref.]:[Check Periodo Ref.]]="Dentro",DATOS_[Conc.Sal.16]))))),
0)</f>
        <v>0</v>
      </c>
      <c r="V35" s="170">
        <f t="array" ref="V35">IFERROR(
AVERAGE((IF(DATOS_[[Sexo]:[Sexo]]=$B35,IF(DATOS_[[AGRUP. VALOR. PTO.]:[AGRUP. VALOR. PTO.]]=$B33,IF(DATOS_[[Check Periodo Ref.]:[Check Periodo Ref.]]="Dentro",DATOS_[Conc.Sal.17]))))),
0)</f>
        <v>0</v>
      </c>
      <c r="W35" s="170">
        <f t="array" ref="W35">IFERROR(
AVERAGE((IF(DATOS_[[Sexo]:[Sexo]]=$B35,IF(DATOS_[[AGRUP. VALOR. PTO.]:[AGRUP. VALOR. PTO.]]=$B33,IF(DATOS_[[Check Periodo Ref.]:[Check Periodo Ref.]]="Dentro",DATOS_[Conc.Sal.18]))))),
0)</f>
        <v>0</v>
      </c>
      <c r="X35" s="170">
        <f t="array" ref="X35">IFERROR(
AVERAGE((IF(DATOS_[[Sexo]:[Sexo]]=$B35,IF(DATOS_[[AGRUP. VALOR. PTO.]:[AGRUP. VALOR. PTO.]]=$B33,IF(DATOS_[[Check Periodo Ref.]:[Check Periodo Ref.]]="Dentro",DATOS_[Conc.Sal.19]))))),
0)</f>
        <v>0</v>
      </c>
      <c r="Y35" s="170">
        <f t="array" ref="Y35">IFERROR(
AVERAGE((IF(DATOS_[[Sexo]:[Sexo]]=$B35,IF(DATOS_[[AGRUP. VALOR. PTO.]:[AGRUP. VALOR. PTO.]]=$B33,IF(DATOS_[[Check Periodo Ref.]:[Check Periodo Ref.]]="Dentro",DATOS_[Conc.Sal.20]))))),
0)</f>
        <v>0</v>
      </c>
      <c r="Z35" s="170">
        <f t="array" ref="Z35">IFERROR(
AVERAGE((IF(DATOS_[[Sexo]:[Sexo]]=$B35,IF(DATOS_[[AGRUP. VALOR. PTO.]:[AGRUP. VALOR. PTO.]]=$B33,IF(DATOS_[[Check Periodo Ref.]:[Check Periodo Ref.]]="Dentro",DATOS_[Conc.Sal.21]))))),
0)</f>
        <v>0</v>
      </c>
      <c r="AA35" s="170">
        <f t="array" ref="AA35">IFERROR(
AVERAGE((IF(DATOS_[[Sexo]:[Sexo]]=$B35,IF(DATOS_[[AGRUP. VALOR. PTO.]:[AGRUP. VALOR. PTO.]]=$B33,IF(DATOS_[[Check Periodo Ref.]:[Check Periodo Ref.]]="Dentro",DATOS_[Conc.Sal.22]))))),
0)</f>
        <v>0</v>
      </c>
      <c r="AB35" s="170">
        <f t="array" ref="AB35">IFERROR(
AVERAGE((IF(DATOS_[[Sexo]:[Sexo]]=$B35,IF(DATOS_[[AGRUP. VALOR. PTO.]:[AGRUP. VALOR. PTO.]]=$B33,IF(DATOS_[[Check Periodo Ref.]:[Check Periodo Ref.]]="Dentro",DATOS_[Conc.Sal.23]))))),
0)</f>
        <v>0</v>
      </c>
      <c r="AC35" s="170">
        <f t="array" ref="AC35">IFERROR(
AVERAGE((IF(DATOS_[[Sexo]:[Sexo]]=$B35,IF(DATOS_[[AGRUP. VALOR. PTO.]:[AGRUP. VALOR. PTO.]]=$B33,IF(DATOS_[[Check Periodo Ref.]:[Check Periodo Ref.]]="Dentro",DATOS_[Conc.Sal.24]))))),
0)</f>
        <v>0</v>
      </c>
      <c r="AD35" s="170">
        <f t="array" ref="AD35">IFERROR(
AVERAGE((IF(DATOS_[[Sexo]:[Sexo]]=$B35,IF(DATOS_[[AGRUP. VALOR. PTO.]:[AGRUP. VALOR. PTO.]]=$B33,IF(DATOS_[[Check Periodo Ref.]:[Check Periodo Ref.]]="Dentro",DATOS_[Conc.Sal.25]))))),
0)</f>
        <v>0</v>
      </c>
      <c r="AE35" s="170">
        <f t="array" ref="AE35">IFERROR(
AVERAGE((IF(DATOS_[[Sexo]:[Sexo]]=$B35,IF(DATOS_[[AGRUP. VALOR. PTO.]:[AGRUP. VALOR. PTO.]]=$B33,IF(DATOS_[[Check Periodo Ref.]:[Check Periodo Ref.]]="Dentro",DATOS_[Conc.Sal.26]))))),
0)</f>
        <v>0</v>
      </c>
      <c r="AF35" s="170">
        <f t="array" ref="AF35">IFERROR(
AVERAGE((IF(DATOS_[[Sexo]:[Sexo]]=$B35,IF(DATOS_[[AGRUP. VALOR. PTO.]:[AGRUP. VALOR. PTO.]]=$B33,IF(DATOS_[[Check Periodo Ref.]:[Check Periodo Ref.]]="Dentro",DATOS_[Conc.Sal.27]))))),
0)</f>
        <v>0</v>
      </c>
      <c r="AG35" s="170">
        <f t="array" ref="AG35">IFERROR(
AVERAGE((IF(DATOS_[[Sexo]:[Sexo]]=$B35,IF(DATOS_[[AGRUP. VALOR. PTO.]:[AGRUP. VALOR. PTO.]]=$B33,IF(DATOS_[[Check Periodo Ref.]:[Check Periodo Ref.]]="Dentro",DATOS_[Conc.Sal.28]))))),
0)</f>
        <v>0</v>
      </c>
      <c r="AH35" s="170">
        <f t="array" ref="AH35">IFERROR(
AVERAGE((IF(DATOS_[[Sexo]:[Sexo]]=$B35,IF(DATOS_[[AGRUP. VALOR. PTO.]:[AGRUP. VALOR. PTO.]]=$B33,IF(DATOS_[[Check Periodo Ref.]:[Check Periodo Ref.]]="Dentro",DATOS_[Conc.Sal.29]))))),
0)</f>
        <v>0</v>
      </c>
      <c r="AI35" s="170">
        <f t="array" ref="AI35">IFERROR(
AVERAGE((IF(DATOS_[[Sexo]:[Sexo]]=$B35,IF(DATOS_[[AGRUP. VALOR. PTO.]:[AGRUP. VALOR. PTO.]]=$B33,IF(DATOS_[[Check Periodo Ref.]:[Check Periodo Ref.]]="Dentro",DATOS_[Conc.Sal.30]))))),
0)</f>
        <v>0</v>
      </c>
      <c r="AJ35" s="171">
        <f t="array" ref="AJ35">IFERROR(
AVERAGE(IF(DATOS_[Sexo]=$B35,IF(DATOS_[AGRUP. VALOR. PTO.]=$B33,IF(DATOS_[Check Periodo Ref.]="Dentro",DATOS_[Tot COMPL.SAL Ef],FALSE)))),
0)</f>
        <v>0</v>
      </c>
      <c r="AK35" s="172">
        <f t="array" ref="AK35">IFERROR(
AVERAGE(IF(DATOS_[Sexo]=$B35,IF(DATOS_[AGRUP. VALOR. PTO.]=$B33,IF(DATOS_[Check Periodo Ref.]="Dentro",DATOS_[TOTAL SALARIO Ef],FALSE)))),
0)</f>
        <v>0</v>
      </c>
      <c r="AL35" s="173">
        <f t="array" ref="AL35">IFERROR(
AVERAGE((IF(DATOS_[[Sexo]:[Sexo]]=$B35,IF(DATOS_[[AGRUP. VALOR. PTO.]:[AGRUP. VALOR. PTO.]]=$B33,IF(DATOS_[[Check Periodo Ref.]:[Check Periodo Ref.]]="Dentro",DATOS_[C.Extra.01]))))),
0)</f>
        <v>0</v>
      </c>
      <c r="AM35" s="173">
        <f t="array" ref="AM35">IFERROR(
AVERAGE((IF(DATOS_[[Sexo]:[Sexo]]=$B35,IF(DATOS_[[AGRUP. VALOR. PTO.]:[AGRUP. VALOR. PTO.]]=$B33,IF(DATOS_[[Check Periodo Ref.]:[Check Periodo Ref.]]="Dentro",DATOS_[C.Extra.06]))))),
0)</f>
        <v>0</v>
      </c>
      <c r="AN35" s="173">
        <f t="array" ref="AN35">IFERROR(
AVERAGE((IF(DATOS_[[Sexo]:[Sexo]]=$B35,IF(DATOS_[[AGRUP. VALOR. PTO.]:[AGRUP. VALOR. PTO.]]=$B33,IF(DATOS_[[Check Periodo Ref.]:[Check Periodo Ref.]]="Dentro",DATOS_[C.Extra.07]))))),
0)</f>
        <v>0</v>
      </c>
      <c r="AO35" s="173">
        <f t="array" ref="AO35">IFERROR(
AVERAGE((IF(DATOS_[[Sexo]:[Sexo]]=$B35,IF(DATOS_[[AGRUP. VALOR. PTO.]:[AGRUP. VALOR. PTO.]]=$B33,IF(DATOS_[[Check Periodo Ref.]:[Check Periodo Ref.]]="Dentro",DATOS_[C.Extra.08]))))),
0)</f>
        <v>0</v>
      </c>
      <c r="AP35" s="173">
        <f t="array" ref="AP35">IFERROR(
AVERAGE((IF(DATOS_[[Sexo]:[Sexo]]=$B35,IF(DATOS_[[AGRUP. VALOR. PTO.]:[AGRUP. VALOR. PTO.]]=$B33,IF(DATOS_[[Check Periodo Ref.]:[Check Periodo Ref.]]="Dentro",DATOS_[C.Extra.11]))))),
0)</f>
        <v>0</v>
      </c>
      <c r="AQ35" s="174">
        <f t="array" ref="AQ35">IFERROR(
AVERAGE(IF(DATOS_[Sexo]=$B35,IF(DATOS_[AGRUP. VALOR. PTO.]=$B33,IF(DATOS_[Check Periodo Ref.]="Dentro",DATOS_[Tot Extrasalarial Ef],FALSE)))),
0)</f>
        <v>0</v>
      </c>
      <c r="AR35" s="171">
        <f t="array" ref="AR35">IFERROR(
AVERAGE(IF(DATOS_[Sexo]=$B35,IF(DATOS_[AGRUP. VALOR. PTO.]=$B33,IF(DATOS_[Check Periodo Ref.]="Dentro",DATOS_[TOTAL Retrib Ef],FALSE)))),
0)</f>
        <v>0</v>
      </c>
    </row>
    <row r="36" spans="1:44" ht="14.4" thickBot="1" x14ac:dyDescent="0.3">
      <c r="A36" s="178" t="str">
        <f t="shared" ref="A36" si="31">+A37</f>
        <v>[ocultar]</v>
      </c>
      <c r="B36" s="153" t="s">
        <v>204</v>
      </c>
      <c r="C36" s="154"/>
      <c r="D36" s="155"/>
      <c r="E36" s="156" t="str">
        <f t="shared" ref="E36:AR36" si="32">IFERROR((E37-E38)/E37,"")</f>
        <v/>
      </c>
      <c r="F36" s="157" t="str">
        <f t="shared" si="32"/>
        <v/>
      </c>
      <c r="G36" s="158" t="str">
        <f t="shared" si="32"/>
        <v/>
      </c>
      <c r="H36" s="158" t="str">
        <f t="shared" si="32"/>
        <v/>
      </c>
      <c r="I36" s="158" t="str">
        <f t="shared" si="32"/>
        <v/>
      </c>
      <c r="J36" s="159" t="str">
        <f t="shared" si="32"/>
        <v/>
      </c>
      <c r="K36" s="160" t="str">
        <f t="shared" si="32"/>
        <v/>
      </c>
      <c r="L36" s="160" t="str">
        <f t="shared" si="32"/>
        <v/>
      </c>
      <c r="M36" s="160" t="str">
        <f t="shared" si="32"/>
        <v/>
      </c>
      <c r="N36" s="160" t="str">
        <f t="shared" si="32"/>
        <v/>
      </c>
      <c r="O36" s="160" t="str">
        <f t="shared" si="32"/>
        <v/>
      </c>
      <c r="P36" s="160" t="str">
        <f t="shared" si="32"/>
        <v/>
      </c>
      <c r="Q36" s="160" t="str">
        <f t="shared" si="32"/>
        <v/>
      </c>
      <c r="R36" s="160" t="str">
        <f t="shared" si="32"/>
        <v/>
      </c>
      <c r="S36" s="160" t="str">
        <f t="shared" si="32"/>
        <v/>
      </c>
      <c r="T36" s="160" t="str">
        <f t="shared" si="32"/>
        <v/>
      </c>
      <c r="U36" s="160" t="str">
        <f t="shared" si="32"/>
        <v/>
      </c>
      <c r="V36" s="159" t="str">
        <f t="shared" si="32"/>
        <v/>
      </c>
      <c r="W36" s="159" t="str">
        <f t="shared" si="32"/>
        <v/>
      </c>
      <c r="X36" s="159" t="str">
        <f t="shared" si="32"/>
        <v/>
      </c>
      <c r="Y36" s="159" t="str">
        <f t="shared" si="32"/>
        <v/>
      </c>
      <c r="Z36" s="159" t="str">
        <f t="shared" si="32"/>
        <v/>
      </c>
      <c r="AA36" s="159" t="str">
        <f t="shared" si="32"/>
        <v/>
      </c>
      <c r="AB36" s="159" t="str">
        <f t="shared" si="32"/>
        <v/>
      </c>
      <c r="AC36" s="159" t="str">
        <f t="shared" si="32"/>
        <v/>
      </c>
      <c r="AD36" s="159" t="str">
        <f t="shared" si="32"/>
        <v/>
      </c>
      <c r="AE36" s="159" t="str">
        <f t="shared" si="32"/>
        <v/>
      </c>
      <c r="AF36" s="159" t="str">
        <f t="shared" si="32"/>
        <v/>
      </c>
      <c r="AG36" s="159" t="str">
        <f t="shared" si="32"/>
        <v/>
      </c>
      <c r="AH36" s="159" t="str">
        <f t="shared" si="32"/>
        <v/>
      </c>
      <c r="AI36" s="159" t="str">
        <f t="shared" si="32"/>
        <v/>
      </c>
      <c r="AJ36" s="161" t="str">
        <f t="shared" si="32"/>
        <v/>
      </c>
      <c r="AK36" s="162" t="str">
        <f t="shared" si="32"/>
        <v/>
      </c>
      <c r="AL36" s="163" t="str">
        <f t="shared" si="32"/>
        <v/>
      </c>
      <c r="AM36" s="163" t="str">
        <f t="shared" si="32"/>
        <v/>
      </c>
      <c r="AN36" s="163" t="str">
        <f t="shared" si="32"/>
        <v/>
      </c>
      <c r="AO36" s="163" t="str">
        <f t="shared" si="32"/>
        <v/>
      </c>
      <c r="AP36" s="163" t="str">
        <f t="shared" si="32"/>
        <v/>
      </c>
      <c r="AQ36" s="164" t="str">
        <f t="shared" si="32"/>
        <v/>
      </c>
      <c r="AR36" s="161" t="str">
        <f t="shared" si="32"/>
        <v/>
      </c>
    </row>
    <row r="37" spans="1:44" x14ac:dyDescent="0.25">
      <c r="A37" s="178" t="str">
        <f t="shared" ref="A37" si="33">+IF(C37+C38=0,"[ocultar]","")</f>
        <v>[ocultar]</v>
      </c>
      <c r="B37" s="166" t="s">
        <v>394</v>
      </c>
      <c r="C37" s="167">
        <f t="array" ref="C37">SUM(IF($B37=DATOS_[Sexo],
IF($B36=DATOS_[AGRUP. VALOR. PTO.],
IF("Dentro"=DATOS_[Check Periodo Ref.],
1/(COUNTIFS(DATOS_[Sexo],$B37,DATOS_[AGRUP. VALOR. PTO.],$B36,DATOS_[Check Periodo Ref.],"Dentro",DATOS_[id/cod],DATOS_[id/cod]))))))</f>
        <v>0</v>
      </c>
      <c r="D37" s="168">
        <f>COUNTIFS(DATOS_[AGRUP. VALOR. PTO.],$B36,DATOS_[Sexo],$B37,DATOS_[Check Periodo Ref.],"Dentro")</f>
        <v>0</v>
      </c>
      <c r="E37" s="169">
        <f t="array" ref="E37">IFERROR(
AVERAGE(IF(DATOS_[Sexo]=$B37,IF(DATOS_[AGRUP. VALOR. PTO.]=$B36,IF(DATOS_[Check Periodo Ref.]="Dentro",DATOS_[SALARIO BASE Ef],FALSE)))),
0)</f>
        <v>0</v>
      </c>
      <c r="F37" s="170">
        <f t="array" ref="F37">IFERROR(
AVERAGE((IF(DATOS_[[Sexo]:[Sexo]]=$B37,IF(DATOS_[[AGRUP. VALOR. PTO.]:[AGRUP. VALOR. PTO.]]=$B36,IF(DATOS_[[Check Periodo Ref.]:[Check Periodo Ref.]]="Dentro",DATOS_[Conc.Sal.01]))))),
0)</f>
        <v>0</v>
      </c>
      <c r="G37" s="170">
        <f t="array" ref="G37">IFERROR(
AVERAGE((IF(DATOS_[[Sexo]:[Sexo]]=$B37,IF(DATOS_[[AGRUP. VALOR. PTO.]:[AGRUP. VALOR. PTO.]]=$B36,IF(DATOS_[[Check Periodo Ref.]:[Check Periodo Ref.]]="Dentro",DATOS_[Conc.Sal.02]))))),
0)</f>
        <v>0</v>
      </c>
      <c r="H37" s="170">
        <f t="array" ref="H37">IFERROR(
AVERAGE((IF(DATOS_[[Sexo]:[Sexo]]=$B37,IF(DATOS_[[AGRUP. VALOR. PTO.]:[AGRUP. VALOR. PTO.]]=$B36,IF(DATOS_[[Check Periodo Ref.]:[Check Periodo Ref.]]="Dentro",DATOS_[Conc.Sal.03]))))),
0)</f>
        <v>0</v>
      </c>
      <c r="I37" s="170">
        <f t="array" ref="I37">IFERROR(
AVERAGE((IF(DATOS_[[Sexo]:[Sexo]]=$B37,IF(DATOS_[[AGRUP. VALOR. PTO.]:[AGRUP. VALOR. PTO.]]=$B36,IF(DATOS_[[Check Periodo Ref.]:[Check Periodo Ref.]]="Dentro",DATOS_[Conc.Sal.04]))))),
0)</f>
        <v>0</v>
      </c>
      <c r="J37" s="170">
        <f t="array" ref="J37">IFERROR(
AVERAGE((IF(DATOS_[[Sexo]:[Sexo]]=$B37,IF(DATOS_[[AGRUP. VALOR. PTO.]:[AGRUP. VALOR. PTO.]]=$B36,IF(DATOS_[[Check Periodo Ref.]:[Check Periodo Ref.]]="Dentro",DATOS_[Conc.Sal.05]))))),
0)</f>
        <v>0</v>
      </c>
      <c r="K37" s="170">
        <f t="array" ref="K37">IFERROR(
AVERAGE((IF(DATOS_[[Sexo]:[Sexo]]=$B37,IF(DATOS_[[AGRUP. VALOR. PTO.]:[AGRUP. VALOR. PTO.]]=$B36,IF(DATOS_[[Check Periodo Ref.]:[Check Periodo Ref.]]="Dentro",DATOS_[Conc.Sal.06]))))),
0)</f>
        <v>0</v>
      </c>
      <c r="L37" s="170">
        <f t="array" ref="L37">IFERROR(
AVERAGE((IF(DATOS_[[Sexo]:[Sexo]]=$B37,IF(DATOS_[[AGRUP. VALOR. PTO.]:[AGRUP. VALOR. PTO.]]=$B36,IF(DATOS_[[Check Periodo Ref.]:[Check Periodo Ref.]]="Dentro",DATOS_[Conc.Sal.07]))))),
0)</f>
        <v>0</v>
      </c>
      <c r="M37" s="170">
        <f t="array" ref="M37">IFERROR(
AVERAGE((IF(DATOS_[[Sexo]:[Sexo]]=$B37,IF(DATOS_[[AGRUP. VALOR. PTO.]:[AGRUP. VALOR. PTO.]]=$B36,IF(DATOS_[[Check Periodo Ref.]:[Check Periodo Ref.]]="Dentro",DATOS_[Conc.Sal.08]))))),
0)</f>
        <v>0</v>
      </c>
      <c r="N37" s="170">
        <f t="array" ref="N37">IFERROR(
AVERAGE((IF(DATOS_[[Sexo]:[Sexo]]=$B37,IF(DATOS_[[AGRUP. VALOR. PTO.]:[AGRUP. VALOR. PTO.]]=$B36,IF(DATOS_[[Check Periodo Ref.]:[Check Periodo Ref.]]="Dentro",DATOS_[Conc.Sal.09]))))),
0)</f>
        <v>0</v>
      </c>
      <c r="O37" s="170">
        <f t="array" ref="O37">IFERROR(
AVERAGE((IF(DATOS_[[Sexo]:[Sexo]]=$B37,IF(DATOS_[[AGRUP. VALOR. PTO.]:[AGRUP. VALOR. PTO.]]=$B36,IF(DATOS_[[Check Periodo Ref.]:[Check Periodo Ref.]]="Dentro",DATOS_[Conc.Sal.10]))))),
0)</f>
        <v>0</v>
      </c>
      <c r="P37" s="170">
        <f t="array" ref="P37">IFERROR(
AVERAGE((IF(DATOS_[[Sexo]:[Sexo]]=$B37,IF(DATOS_[[AGRUP. VALOR. PTO.]:[AGRUP. VALOR. PTO.]]=$B36,IF(DATOS_[[Check Periodo Ref.]:[Check Periodo Ref.]]="Dentro",DATOS_[Conc.Sal.11]))))),
0)</f>
        <v>0</v>
      </c>
      <c r="Q37" s="170">
        <f t="array" ref="Q37">IFERROR(
AVERAGE((IF(DATOS_[[Sexo]:[Sexo]]=$B37,IF(DATOS_[[AGRUP. VALOR. PTO.]:[AGRUP. VALOR. PTO.]]=$B36,IF(DATOS_[[Check Periodo Ref.]:[Check Periodo Ref.]]="Dentro",DATOS_[Conc.Sal.12]))))),
0)</f>
        <v>0</v>
      </c>
      <c r="R37" s="170">
        <f t="array" ref="R37">IFERROR(
AVERAGE((IF(DATOS_[[Sexo]:[Sexo]]=$B37,IF(DATOS_[[AGRUP. VALOR. PTO.]:[AGRUP. VALOR. PTO.]]=$B36,IF(DATOS_[[Check Periodo Ref.]:[Check Periodo Ref.]]="Dentro",DATOS_[Conc.Sal.13]))))),
0)</f>
        <v>0</v>
      </c>
      <c r="S37" s="170">
        <f t="array" ref="S37">IFERROR(
AVERAGE((IF(DATOS_[[Sexo]:[Sexo]]=$B37,IF(DATOS_[[AGRUP. VALOR. PTO.]:[AGRUP. VALOR. PTO.]]=$B36,IF(DATOS_[[Check Periodo Ref.]:[Check Periodo Ref.]]="Dentro",DATOS_[Conc.Sal.14]))))),
0)</f>
        <v>0</v>
      </c>
      <c r="T37" s="170">
        <f t="array" ref="T37">IFERROR(
AVERAGE((IF(DATOS_[[Sexo]:[Sexo]]=$B37,IF(DATOS_[[AGRUP. VALOR. PTO.]:[AGRUP. VALOR. PTO.]]=$B36,IF(DATOS_[[Check Periodo Ref.]:[Check Periodo Ref.]]="Dentro",DATOS_[Conc.Sal.15]))))),
0)</f>
        <v>0</v>
      </c>
      <c r="U37" s="170">
        <f t="array" ref="U37">IFERROR(
AVERAGE((IF(DATOS_[[Sexo]:[Sexo]]=$B37,IF(DATOS_[[AGRUP. VALOR. PTO.]:[AGRUP. VALOR. PTO.]]=$B36,IF(DATOS_[[Check Periodo Ref.]:[Check Periodo Ref.]]="Dentro",DATOS_[Conc.Sal.16]))))),
0)</f>
        <v>0</v>
      </c>
      <c r="V37" s="170">
        <f t="array" ref="V37">IFERROR(
AVERAGE((IF(DATOS_[[Sexo]:[Sexo]]=$B37,IF(DATOS_[[AGRUP. VALOR. PTO.]:[AGRUP. VALOR. PTO.]]=$B36,IF(DATOS_[[Check Periodo Ref.]:[Check Periodo Ref.]]="Dentro",DATOS_[Conc.Sal.17]))))),
0)</f>
        <v>0</v>
      </c>
      <c r="W37" s="170">
        <f t="array" ref="W37">IFERROR(
AVERAGE((IF(DATOS_[[Sexo]:[Sexo]]=$B37,IF(DATOS_[[AGRUP. VALOR. PTO.]:[AGRUP. VALOR. PTO.]]=$B36,IF(DATOS_[[Check Periodo Ref.]:[Check Periodo Ref.]]="Dentro",DATOS_[Conc.Sal.18]))))),
0)</f>
        <v>0</v>
      </c>
      <c r="X37" s="170">
        <f t="array" ref="X37">IFERROR(
AVERAGE((IF(DATOS_[[Sexo]:[Sexo]]=$B37,IF(DATOS_[[AGRUP. VALOR. PTO.]:[AGRUP. VALOR. PTO.]]=$B36,IF(DATOS_[[Check Periodo Ref.]:[Check Periodo Ref.]]="Dentro",DATOS_[Conc.Sal.19]))))),
0)</f>
        <v>0</v>
      </c>
      <c r="Y37" s="170">
        <f t="array" ref="Y37">IFERROR(
AVERAGE((IF(DATOS_[[Sexo]:[Sexo]]=$B37,IF(DATOS_[[AGRUP. VALOR. PTO.]:[AGRUP. VALOR. PTO.]]=$B36,IF(DATOS_[[Check Periodo Ref.]:[Check Periodo Ref.]]="Dentro",DATOS_[Conc.Sal.20]))))),
0)</f>
        <v>0</v>
      </c>
      <c r="Z37" s="170">
        <f t="array" ref="Z37">IFERROR(
AVERAGE((IF(DATOS_[[Sexo]:[Sexo]]=$B37,IF(DATOS_[[AGRUP. VALOR. PTO.]:[AGRUP. VALOR. PTO.]]=$B36,IF(DATOS_[[Check Periodo Ref.]:[Check Periodo Ref.]]="Dentro",DATOS_[Conc.Sal.21]))))),
0)</f>
        <v>0</v>
      </c>
      <c r="AA37" s="170">
        <f t="array" ref="AA37">IFERROR(
AVERAGE((IF(DATOS_[[Sexo]:[Sexo]]=$B37,IF(DATOS_[[AGRUP. VALOR. PTO.]:[AGRUP. VALOR. PTO.]]=$B36,IF(DATOS_[[Check Periodo Ref.]:[Check Periodo Ref.]]="Dentro",DATOS_[Conc.Sal.22]))))),
0)</f>
        <v>0</v>
      </c>
      <c r="AB37" s="170">
        <f t="array" ref="AB37">IFERROR(
AVERAGE((IF(DATOS_[[Sexo]:[Sexo]]=$B37,IF(DATOS_[[AGRUP. VALOR. PTO.]:[AGRUP. VALOR. PTO.]]=$B36,IF(DATOS_[[Check Periodo Ref.]:[Check Periodo Ref.]]="Dentro",DATOS_[Conc.Sal.23]))))),
0)</f>
        <v>0</v>
      </c>
      <c r="AC37" s="170">
        <f t="array" ref="AC37">IFERROR(
AVERAGE((IF(DATOS_[[Sexo]:[Sexo]]=$B37,IF(DATOS_[[AGRUP. VALOR. PTO.]:[AGRUP. VALOR. PTO.]]=$B36,IF(DATOS_[[Check Periodo Ref.]:[Check Periodo Ref.]]="Dentro",DATOS_[Conc.Sal.24]))))),
0)</f>
        <v>0</v>
      </c>
      <c r="AD37" s="170">
        <f t="array" ref="AD37">IFERROR(
AVERAGE((IF(DATOS_[[Sexo]:[Sexo]]=$B37,IF(DATOS_[[AGRUP. VALOR. PTO.]:[AGRUP. VALOR. PTO.]]=$B36,IF(DATOS_[[Check Periodo Ref.]:[Check Periodo Ref.]]="Dentro",DATOS_[Conc.Sal.25]))))),
0)</f>
        <v>0</v>
      </c>
      <c r="AE37" s="170">
        <f t="array" ref="AE37">IFERROR(
AVERAGE((IF(DATOS_[[Sexo]:[Sexo]]=$B37,IF(DATOS_[[AGRUP. VALOR. PTO.]:[AGRUP. VALOR. PTO.]]=$B36,IF(DATOS_[[Check Periodo Ref.]:[Check Periodo Ref.]]="Dentro",DATOS_[Conc.Sal.26]))))),
0)</f>
        <v>0</v>
      </c>
      <c r="AF37" s="170">
        <f t="array" ref="AF37">IFERROR(
AVERAGE((IF(DATOS_[[Sexo]:[Sexo]]=$B37,IF(DATOS_[[AGRUP. VALOR. PTO.]:[AGRUP. VALOR. PTO.]]=$B36,IF(DATOS_[[Check Periodo Ref.]:[Check Periodo Ref.]]="Dentro",DATOS_[Conc.Sal.27]))))),
0)</f>
        <v>0</v>
      </c>
      <c r="AG37" s="170">
        <f t="array" ref="AG37">IFERROR(
AVERAGE((IF(DATOS_[[Sexo]:[Sexo]]=$B37,IF(DATOS_[[AGRUP. VALOR. PTO.]:[AGRUP. VALOR. PTO.]]=$B36,IF(DATOS_[[Check Periodo Ref.]:[Check Periodo Ref.]]="Dentro",DATOS_[Conc.Sal.28]))))),
0)</f>
        <v>0</v>
      </c>
      <c r="AH37" s="170">
        <f t="array" ref="AH37">IFERROR(
AVERAGE((IF(DATOS_[[Sexo]:[Sexo]]=$B37,IF(DATOS_[[AGRUP. VALOR. PTO.]:[AGRUP. VALOR. PTO.]]=$B36,IF(DATOS_[[Check Periodo Ref.]:[Check Periodo Ref.]]="Dentro",DATOS_[Conc.Sal.29]))))),
0)</f>
        <v>0</v>
      </c>
      <c r="AI37" s="170">
        <f t="array" ref="AI37">IFERROR(
AVERAGE((IF(DATOS_[[Sexo]:[Sexo]]=$B37,IF(DATOS_[[AGRUP. VALOR. PTO.]:[AGRUP. VALOR. PTO.]]=$B36,IF(DATOS_[[Check Periodo Ref.]:[Check Periodo Ref.]]="Dentro",DATOS_[Conc.Sal.30]))))),
0)</f>
        <v>0</v>
      </c>
      <c r="AJ37" s="171">
        <f t="array" ref="AJ37">IFERROR(
AVERAGE(IF(DATOS_[Sexo]=$B37,IF(DATOS_[AGRUP. VALOR. PTO.]=$B36,IF(DATOS_[Check Periodo Ref.]="Dentro",DATOS_[Tot COMPL.SAL Ef],FALSE)))),
0)</f>
        <v>0</v>
      </c>
      <c r="AK37" s="172">
        <f t="array" ref="AK37">IFERROR(
AVERAGE(IF(DATOS_[Sexo]=$B37,IF(DATOS_[AGRUP. VALOR. PTO.]=$B36,IF(DATOS_[Check Periodo Ref.]="Dentro",DATOS_[TOTAL SALARIO Ef],FALSE)))),
0)</f>
        <v>0</v>
      </c>
      <c r="AL37" s="173">
        <f t="array" ref="AL37">IFERROR(
AVERAGE((IF(DATOS_[[Sexo]:[Sexo]]=$B37,IF(DATOS_[[AGRUP. VALOR. PTO.]:[AGRUP. VALOR. PTO.]]=$B36,IF(DATOS_[[Check Periodo Ref.]:[Check Periodo Ref.]]="Dentro",DATOS_[C.Extra.01]))))),
0)</f>
        <v>0</v>
      </c>
      <c r="AM37" s="173">
        <f t="array" ref="AM37">IFERROR(
AVERAGE((IF(DATOS_[[Sexo]:[Sexo]]=$B37,IF(DATOS_[[AGRUP. VALOR. PTO.]:[AGRUP. VALOR. PTO.]]=$B36,IF(DATOS_[[Check Periodo Ref.]:[Check Periodo Ref.]]="Dentro",DATOS_[C.Extra.06]))))),
0)</f>
        <v>0</v>
      </c>
      <c r="AN37" s="173">
        <f t="array" ref="AN37">IFERROR(
AVERAGE((IF(DATOS_[[Sexo]:[Sexo]]=$B37,IF(DATOS_[[AGRUP. VALOR. PTO.]:[AGRUP. VALOR. PTO.]]=$B36,IF(DATOS_[[Check Periodo Ref.]:[Check Periodo Ref.]]="Dentro",DATOS_[C.Extra.07]))))),
0)</f>
        <v>0</v>
      </c>
      <c r="AO37" s="173">
        <f t="array" ref="AO37">IFERROR(
AVERAGE((IF(DATOS_[[Sexo]:[Sexo]]=$B37,IF(DATOS_[[AGRUP. VALOR. PTO.]:[AGRUP. VALOR. PTO.]]=$B36,IF(DATOS_[[Check Periodo Ref.]:[Check Periodo Ref.]]="Dentro",DATOS_[C.Extra.08]))))),
0)</f>
        <v>0</v>
      </c>
      <c r="AP37" s="173">
        <f t="array" ref="AP37">IFERROR(
AVERAGE((IF(DATOS_[[Sexo]:[Sexo]]=$B37,IF(DATOS_[[AGRUP. VALOR. PTO.]:[AGRUP. VALOR. PTO.]]=$B36,IF(DATOS_[[Check Periodo Ref.]:[Check Periodo Ref.]]="Dentro",DATOS_[C.Extra.11]))))),
0)</f>
        <v>0</v>
      </c>
      <c r="AQ37" s="174">
        <f t="array" ref="AQ37">IFERROR(
AVERAGE(IF(DATOS_[Sexo]=$B37,IF(DATOS_[AGRUP. VALOR. PTO.]=$B36,IF(DATOS_[Check Periodo Ref.]="Dentro",DATOS_[Tot Extrasalarial Ef],FALSE)))),
0)</f>
        <v>0</v>
      </c>
      <c r="AR37" s="171">
        <f t="array" ref="AR37">IFERROR(
AVERAGE(IF(DATOS_[Sexo]=$B37,IF(DATOS_[AGRUP. VALOR. PTO.]=$B36,IF(DATOS_[Check Periodo Ref.]="Dentro",DATOS_[TOTAL Retrib Ef],FALSE)))),
0)</f>
        <v>0</v>
      </c>
    </row>
    <row r="38" spans="1:44" x14ac:dyDescent="0.25">
      <c r="A38" s="178" t="str">
        <f t="shared" ref="A38" si="34">+A37</f>
        <v>[ocultar]</v>
      </c>
      <c r="B38" s="166" t="s">
        <v>521</v>
      </c>
      <c r="C38" s="167">
        <f t="array" ref="C38">SUM(IF($B38=DATOS_[Sexo],
IF($B36=DATOS_[AGRUP. VALOR. PTO.],
IF("Dentro"=DATOS_[Check Periodo Ref.],
1/(COUNTIFS(DATOS_[Sexo],$B38,DATOS_[AGRUP. VALOR. PTO.],$B36,DATOS_[Check Periodo Ref.],"Dentro",DATOS_[id/cod],DATOS_[id/cod]))))))</f>
        <v>0</v>
      </c>
      <c r="D38" s="168">
        <f>COUNTIFS(DATOS_[AGRUP. VALOR. PTO.],$B36,DATOS_[Sexo],$B38,DATOS_[Check Periodo Ref.],"Dentro")</f>
        <v>0</v>
      </c>
      <c r="E38" s="169">
        <f t="array" ref="E38">IFERROR(
AVERAGE(IF(DATOS_[Sexo]=$B38,IF(DATOS_[AGRUP. VALOR. PTO.]=$B36,IF(DATOS_[Check Periodo Ref.]="Dentro",DATOS_[SALARIO BASE Ef],FALSE)))),
0)</f>
        <v>0</v>
      </c>
      <c r="F38" s="170">
        <f t="array" ref="F38">IFERROR(
AVERAGE((IF(DATOS_[[Sexo]:[Sexo]]=$B38,IF(DATOS_[[AGRUP. VALOR. PTO.]:[AGRUP. VALOR. PTO.]]=$B36,IF(DATOS_[[Check Periodo Ref.]:[Check Periodo Ref.]]="Dentro",DATOS_[Conc.Sal.01]))))),
0)</f>
        <v>0</v>
      </c>
      <c r="G38" s="170">
        <f t="array" ref="G38">IFERROR(
AVERAGE((IF(DATOS_[[Sexo]:[Sexo]]=$B38,IF(DATOS_[[AGRUP. VALOR. PTO.]:[AGRUP. VALOR. PTO.]]=$B36,IF(DATOS_[[Check Periodo Ref.]:[Check Periodo Ref.]]="Dentro",DATOS_[Conc.Sal.02]))))),
0)</f>
        <v>0</v>
      </c>
      <c r="H38" s="170">
        <f t="array" ref="H38">IFERROR(
AVERAGE((IF(DATOS_[[Sexo]:[Sexo]]=$B38,IF(DATOS_[[AGRUP. VALOR. PTO.]:[AGRUP. VALOR. PTO.]]=$B36,IF(DATOS_[[Check Periodo Ref.]:[Check Periodo Ref.]]="Dentro",DATOS_[Conc.Sal.03]))))),
0)</f>
        <v>0</v>
      </c>
      <c r="I38" s="170">
        <f t="array" ref="I38">IFERROR(
AVERAGE((IF(DATOS_[[Sexo]:[Sexo]]=$B38,IF(DATOS_[[AGRUP. VALOR. PTO.]:[AGRUP. VALOR. PTO.]]=$B36,IF(DATOS_[[Check Periodo Ref.]:[Check Periodo Ref.]]="Dentro",DATOS_[Conc.Sal.04]))))),
0)</f>
        <v>0</v>
      </c>
      <c r="J38" s="170">
        <f t="array" ref="J38">IFERROR(
AVERAGE((IF(DATOS_[[Sexo]:[Sexo]]=$B38,IF(DATOS_[[AGRUP. VALOR. PTO.]:[AGRUP. VALOR. PTO.]]=$B36,IF(DATOS_[[Check Periodo Ref.]:[Check Periodo Ref.]]="Dentro",DATOS_[Conc.Sal.05]))))),
0)</f>
        <v>0</v>
      </c>
      <c r="K38" s="170">
        <f t="array" ref="K38">IFERROR(
AVERAGE((IF(DATOS_[[Sexo]:[Sexo]]=$B38,IF(DATOS_[[AGRUP. VALOR. PTO.]:[AGRUP. VALOR. PTO.]]=$B36,IF(DATOS_[[Check Periodo Ref.]:[Check Periodo Ref.]]="Dentro",DATOS_[Conc.Sal.06]))))),
0)</f>
        <v>0</v>
      </c>
      <c r="L38" s="170">
        <f t="array" ref="L38">IFERROR(
AVERAGE((IF(DATOS_[[Sexo]:[Sexo]]=$B38,IF(DATOS_[[AGRUP. VALOR. PTO.]:[AGRUP. VALOR. PTO.]]=$B36,IF(DATOS_[[Check Periodo Ref.]:[Check Periodo Ref.]]="Dentro",DATOS_[Conc.Sal.07]))))),
0)</f>
        <v>0</v>
      </c>
      <c r="M38" s="170">
        <f t="array" ref="M38">IFERROR(
AVERAGE((IF(DATOS_[[Sexo]:[Sexo]]=$B38,IF(DATOS_[[AGRUP. VALOR. PTO.]:[AGRUP. VALOR. PTO.]]=$B36,IF(DATOS_[[Check Periodo Ref.]:[Check Periodo Ref.]]="Dentro",DATOS_[Conc.Sal.08]))))),
0)</f>
        <v>0</v>
      </c>
      <c r="N38" s="170">
        <f t="array" ref="N38">IFERROR(
AVERAGE((IF(DATOS_[[Sexo]:[Sexo]]=$B38,IF(DATOS_[[AGRUP. VALOR. PTO.]:[AGRUP. VALOR. PTO.]]=$B36,IF(DATOS_[[Check Periodo Ref.]:[Check Periodo Ref.]]="Dentro",DATOS_[Conc.Sal.09]))))),
0)</f>
        <v>0</v>
      </c>
      <c r="O38" s="170">
        <f t="array" ref="O38">IFERROR(
AVERAGE((IF(DATOS_[[Sexo]:[Sexo]]=$B38,IF(DATOS_[[AGRUP. VALOR. PTO.]:[AGRUP. VALOR. PTO.]]=$B36,IF(DATOS_[[Check Periodo Ref.]:[Check Periodo Ref.]]="Dentro",DATOS_[Conc.Sal.10]))))),
0)</f>
        <v>0</v>
      </c>
      <c r="P38" s="170">
        <f t="array" ref="P38">IFERROR(
AVERAGE((IF(DATOS_[[Sexo]:[Sexo]]=$B38,IF(DATOS_[[AGRUP. VALOR. PTO.]:[AGRUP. VALOR. PTO.]]=$B36,IF(DATOS_[[Check Periodo Ref.]:[Check Periodo Ref.]]="Dentro",DATOS_[Conc.Sal.11]))))),
0)</f>
        <v>0</v>
      </c>
      <c r="Q38" s="170">
        <f t="array" ref="Q38">IFERROR(
AVERAGE((IF(DATOS_[[Sexo]:[Sexo]]=$B38,IF(DATOS_[[AGRUP. VALOR. PTO.]:[AGRUP. VALOR. PTO.]]=$B36,IF(DATOS_[[Check Periodo Ref.]:[Check Periodo Ref.]]="Dentro",DATOS_[Conc.Sal.12]))))),
0)</f>
        <v>0</v>
      </c>
      <c r="R38" s="170">
        <f t="array" ref="R38">IFERROR(
AVERAGE((IF(DATOS_[[Sexo]:[Sexo]]=$B38,IF(DATOS_[[AGRUP. VALOR. PTO.]:[AGRUP. VALOR. PTO.]]=$B36,IF(DATOS_[[Check Periodo Ref.]:[Check Periodo Ref.]]="Dentro",DATOS_[Conc.Sal.13]))))),
0)</f>
        <v>0</v>
      </c>
      <c r="S38" s="170">
        <f t="array" ref="S38">IFERROR(
AVERAGE((IF(DATOS_[[Sexo]:[Sexo]]=$B38,IF(DATOS_[[AGRUP. VALOR. PTO.]:[AGRUP. VALOR. PTO.]]=$B36,IF(DATOS_[[Check Periodo Ref.]:[Check Periodo Ref.]]="Dentro",DATOS_[Conc.Sal.14]))))),
0)</f>
        <v>0</v>
      </c>
      <c r="T38" s="170">
        <f t="array" ref="T38">IFERROR(
AVERAGE((IF(DATOS_[[Sexo]:[Sexo]]=$B38,IF(DATOS_[[AGRUP. VALOR. PTO.]:[AGRUP. VALOR. PTO.]]=$B36,IF(DATOS_[[Check Periodo Ref.]:[Check Periodo Ref.]]="Dentro",DATOS_[Conc.Sal.15]))))),
0)</f>
        <v>0</v>
      </c>
      <c r="U38" s="170">
        <f t="array" ref="U38">IFERROR(
AVERAGE((IF(DATOS_[[Sexo]:[Sexo]]=$B38,IF(DATOS_[[AGRUP. VALOR. PTO.]:[AGRUP. VALOR. PTO.]]=$B36,IF(DATOS_[[Check Periodo Ref.]:[Check Periodo Ref.]]="Dentro",DATOS_[Conc.Sal.16]))))),
0)</f>
        <v>0</v>
      </c>
      <c r="V38" s="170">
        <f t="array" ref="V38">IFERROR(
AVERAGE((IF(DATOS_[[Sexo]:[Sexo]]=$B38,IF(DATOS_[[AGRUP. VALOR. PTO.]:[AGRUP. VALOR. PTO.]]=$B36,IF(DATOS_[[Check Periodo Ref.]:[Check Periodo Ref.]]="Dentro",DATOS_[Conc.Sal.17]))))),
0)</f>
        <v>0</v>
      </c>
      <c r="W38" s="170">
        <f t="array" ref="W38">IFERROR(
AVERAGE((IF(DATOS_[[Sexo]:[Sexo]]=$B38,IF(DATOS_[[AGRUP. VALOR. PTO.]:[AGRUP. VALOR. PTO.]]=$B36,IF(DATOS_[[Check Periodo Ref.]:[Check Periodo Ref.]]="Dentro",DATOS_[Conc.Sal.18]))))),
0)</f>
        <v>0</v>
      </c>
      <c r="X38" s="170">
        <f t="array" ref="X38">IFERROR(
AVERAGE((IF(DATOS_[[Sexo]:[Sexo]]=$B38,IF(DATOS_[[AGRUP. VALOR. PTO.]:[AGRUP. VALOR. PTO.]]=$B36,IF(DATOS_[[Check Periodo Ref.]:[Check Periodo Ref.]]="Dentro",DATOS_[Conc.Sal.19]))))),
0)</f>
        <v>0</v>
      </c>
      <c r="Y38" s="170">
        <f t="array" ref="Y38">IFERROR(
AVERAGE((IF(DATOS_[[Sexo]:[Sexo]]=$B38,IF(DATOS_[[AGRUP. VALOR. PTO.]:[AGRUP. VALOR. PTO.]]=$B36,IF(DATOS_[[Check Periodo Ref.]:[Check Periodo Ref.]]="Dentro",DATOS_[Conc.Sal.20]))))),
0)</f>
        <v>0</v>
      </c>
      <c r="Z38" s="170">
        <f t="array" ref="Z38">IFERROR(
AVERAGE((IF(DATOS_[[Sexo]:[Sexo]]=$B38,IF(DATOS_[[AGRUP. VALOR. PTO.]:[AGRUP. VALOR. PTO.]]=$B36,IF(DATOS_[[Check Periodo Ref.]:[Check Periodo Ref.]]="Dentro",DATOS_[Conc.Sal.21]))))),
0)</f>
        <v>0</v>
      </c>
      <c r="AA38" s="170">
        <f t="array" ref="AA38">IFERROR(
AVERAGE((IF(DATOS_[[Sexo]:[Sexo]]=$B38,IF(DATOS_[[AGRUP. VALOR. PTO.]:[AGRUP. VALOR. PTO.]]=$B36,IF(DATOS_[[Check Periodo Ref.]:[Check Periodo Ref.]]="Dentro",DATOS_[Conc.Sal.22]))))),
0)</f>
        <v>0</v>
      </c>
      <c r="AB38" s="170">
        <f t="array" ref="AB38">IFERROR(
AVERAGE((IF(DATOS_[[Sexo]:[Sexo]]=$B38,IF(DATOS_[[AGRUP. VALOR. PTO.]:[AGRUP. VALOR. PTO.]]=$B36,IF(DATOS_[[Check Periodo Ref.]:[Check Periodo Ref.]]="Dentro",DATOS_[Conc.Sal.23]))))),
0)</f>
        <v>0</v>
      </c>
      <c r="AC38" s="170">
        <f t="array" ref="AC38">IFERROR(
AVERAGE((IF(DATOS_[[Sexo]:[Sexo]]=$B38,IF(DATOS_[[AGRUP. VALOR. PTO.]:[AGRUP. VALOR. PTO.]]=$B36,IF(DATOS_[[Check Periodo Ref.]:[Check Periodo Ref.]]="Dentro",DATOS_[Conc.Sal.24]))))),
0)</f>
        <v>0</v>
      </c>
      <c r="AD38" s="170">
        <f t="array" ref="AD38">IFERROR(
AVERAGE((IF(DATOS_[[Sexo]:[Sexo]]=$B38,IF(DATOS_[[AGRUP. VALOR. PTO.]:[AGRUP. VALOR. PTO.]]=$B36,IF(DATOS_[[Check Periodo Ref.]:[Check Periodo Ref.]]="Dentro",DATOS_[Conc.Sal.25]))))),
0)</f>
        <v>0</v>
      </c>
      <c r="AE38" s="170">
        <f t="array" ref="AE38">IFERROR(
AVERAGE((IF(DATOS_[[Sexo]:[Sexo]]=$B38,IF(DATOS_[[AGRUP. VALOR. PTO.]:[AGRUP. VALOR. PTO.]]=$B36,IF(DATOS_[[Check Periodo Ref.]:[Check Periodo Ref.]]="Dentro",DATOS_[Conc.Sal.26]))))),
0)</f>
        <v>0</v>
      </c>
      <c r="AF38" s="170">
        <f t="array" ref="AF38">IFERROR(
AVERAGE((IF(DATOS_[[Sexo]:[Sexo]]=$B38,IF(DATOS_[[AGRUP. VALOR. PTO.]:[AGRUP. VALOR. PTO.]]=$B36,IF(DATOS_[[Check Periodo Ref.]:[Check Periodo Ref.]]="Dentro",DATOS_[Conc.Sal.27]))))),
0)</f>
        <v>0</v>
      </c>
      <c r="AG38" s="170">
        <f t="array" ref="AG38">IFERROR(
AVERAGE((IF(DATOS_[[Sexo]:[Sexo]]=$B38,IF(DATOS_[[AGRUP. VALOR. PTO.]:[AGRUP. VALOR. PTO.]]=$B36,IF(DATOS_[[Check Periodo Ref.]:[Check Periodo Ref.]]="Dentro",DATOS_[Conc.Sal.28]))))),
0)</f>
        <v>0</v>
      </c>
      <c r="AH38" s="170">
        <f t="array" ref="AH38">IFERROR(
AVERAGE((IF(DATOS_[[Sexo]:[Sexo]]=$B38,IF(DATOS_[[AGRUP. VALOR. PTO.]:[AGRUP. VALOR. PTO.]]=$B36,IF(DATOS_[[Check Periodo Ref.]:[Check Periodo Ref.]]="Dentro",DATOS_[Conc.Sal.29]))))),
0)</f>
        <v>0</v>
      </c>
      <c r="AI38" s="170">
        <f t="array" ref="AI38">IFERROR(
AVERAGE((IF(DATOS_[[Sexo]:[Sexo]]=$B38,IF(DATOS_[[AGRUP. VALOR. PTO.]:[AGRUP. VALOR. PTO.]]=$B36,IF(DATOS_[[Check Periodo Ref.]:[Check Periodo Ref.]]="Dentro",DATOS_[Conc.Sal.30]))))),
0)</f>
        <v>0</v>
      </c>
      <c r="AJ38" s="171">
        <f t="array" ref="AJ38">IFERROR(
AVERAGE(IF(DATOS_[Sexo]=$B38,IF(DATOS_[AGRUP. VALOR. PTO.]=$B36,IF(DATOS_[Check Periodo Ref.]="Dentro",DATOS_[Tot COMPL.SAL Ef],FALSE)))),
0)</f>
        <v>0</v>
      </c>
      <c r="AK38" s="172">
        <f t="array" ref="AK38">IFERROR(
AVERAGE(IF(DATOS_[Sexo]=$B38,IF(DATOS_[AGRUP. VALOR. PTO.]=$B36,IF(DATOS_[Check Periodo Ref.]="Dentro",DATOS_[TOTAL SALARIO Ef],FALSE)))),
0)</f>
        <v>0</v>
      </c>
      <c r="AL38" s="173">
        <f t="array" ref="AL38">IFERROR(
AVERAGE((IF(DATOS_[[Sexo]:[Sexo]]=$B38,IF(DATOS_[[AGRUP. VALOR. PTO.]:[AGRUP. VALOR. PTO.]]=$B36,IF(DATOS_[[Check Periodo Ref.]:[Check Periodo Ref.]]="Dentro",DATOS_[C.Extra.01]))))),
0)</f>
        <v>0</v>
      </c>
      <c r="AM38" s="173">
        <f t="array" ref="AM38">IFERROR(
AVERAGE((IF(DATOS_[[Sexo]:[Sexo]]=$B38,IF(DATOS_[[AGRUP. VALOR. PTO.]:[AGRUP. VALOR. PTO.]]=$B36,IF(DATOS_[[Check Periodo Ref.]:[Check Periodo Ref.]]="Dentro",DATOS_[C.Extra.06]))))),
0)</f>
        <v>0</v>
      </c>
      <c r="AN38" s="173">
        <f t="array" ref="AN38">IFERROR(
AVERAGE((IF(DATOS_[[Sexo]:[Sexo]]=$B38,IF(DATOS_[[AGRUP. VALOR. PTO.]:[AGRUP. VALOR. PTO.]]=$B36,IF(DATOS_[[Check Periodo Ref.]:[Check Periodo Ref.]]="Dentro",DATOS_[C.Extra.07]))))),
0)</f>
        <v>0</v>
      </c>
      <c r="AO38" s="173">
        <f t="array" ref="AO38">IFERROR(
AVERAGE((IF(DATOS_[[Sexo]:[Sexo]]=$B38,IF(DATOS_[[AGRUP. VALOR. PTO.]:[AGRUP. VALOR. PTO.]]=$B36,IF(DATOS_[[Check Periodo Ref.]:[Check Periodo Ref.]]="Dentro",DATOS_[C.Extra.08]))))),
0)</f>
        <v>0</v>
      </c>
      <c r="AP38" s="173">
        <f t="array" ref="AP38">IFERROR(
AVERAGE((IF(DATOS_[[Sexo]:[Sexo]]=$B38,IF(DATOS_[[AGRUP. VALOR. PTO.]:[AGRUP. VALOR. PTO.]]=$B36,IF(DATOS_[[Check Periodo Ref.]:[Check Periodo Ref.]]="Dentro",DATOS_[C.Extra.11]))))),
0)</f>
        <v>0</v>
      </c>
      <c r="AQ38" s="174">
        <f t="array" ref="AQ38">IFERROR(
AVERAGE(IF(DATOS_[Sexo]=$B38,IF(DATOS_[AGRUP. VALOR. PTO.]=$B36,IF(DATOS_[Check Periodo Ref.]="Dentro",DATOS_[Tot Extrasalarial Ef],FALSE)))),
0)</f>
        <v>0</v>
      </c>
      <c r="AR38" s="171">
        <f t="array" ref="AR38">IFERROR(
AVERAGE(IF(DATOS_[Sexo]=$B38,IF(DATOS_[AGRUP. VALOR. PTO.]=$B36,IF(DATOS_[Check Periodo Ref.]="Dentro",DATOS_[TOTAL Retrib Ef],FALSE)))),
0)</f>
        <v>0</v>
      </c>
    </row>
    <row r="39" spans="1:44" ht="14.4" thickBot="1" x14ac:dyDescent="0.3">
      <c r="A39" s="178" t="str">
        <f t="shared" ref="A39" si="35">+A40</f>
        <v>[ocultar]</v>
      </c>
      <c r="B39" s="153" t="s">
        <v>209</v>
      </c>
      <c r="C39" s="154"/>
      <c r="D39" s="155"/>
      <c r="E39" s="156" t="str">
        <f t="shared" ref="E39:AR39" si="36">IFERROR((E40-E41)/E40,"")</f>
        <v/>
      </c>
      <c r="F39" s="157" t="str">
        <f t="shared" si="36"/>
        <v/>
      </c>
      <c r="G39" s="158" t="str">
        <f t="shared" si="36"/>
        <v/>
      </c>
      <c r="H39" s="158" t="str">
        <f t="shared" si="36"/>
        <v/>
      </c>
      <c r="I39" s="158" t="str">
        <f t="shared" si="36"/>
        <v/>
      </c>
      <c r="J39" s="159" t="str">
        <f t="shared" si="36"/>
        <v/>
      </c>
      <c r="K39" s="160" t="str">
        <f t="shared" si="36"/>
        <v/>
      </c>
      <c r="L39" s="160" t="str">
        <f t="shared" si="36"/>
        <v/>
      </c>
      <c r="M39" s="160" t="str">
        <f t="shared" si="36"/>
        <v/>
      </c>
      <c r="N39" s="160" t="str">
        <f t="shared" si="36"/>
        <v/>
      </c>
      <c r="O39" s="160" t="str">
        <f t="shared" si="36"/>
        <v/>
      </c>
      <c r="P39" s="160" t="str">
        <f t="shared" si="36"/>
        <v/>
      </c>
      <c r="Q39" s="160" t="str">
        <f t="shared" si="36"/>
        <v/>
      </c>
      <c r="R39" s="160" t="str">
        <f t="shared" si="36"/>
        <v/>
      </c>
      <c r="S39" s="160" t="str">
        <f t="shared" si="36"/>
        <v/>
      </c>
      <c r="T39" s="160" t="str">
        <f t="shared" si="36"/>
        <v/>
      </c>
      <c r="U39" s="160" t="str">
        <f t="shared" si="36"/>
        <v/>
      </c>
      <c r="V39" s="159" t="str">
        <f t="shared" si="36"/>
        <v/>
      </c>
      <c r="W39" s="159" t="str">
        <f t="shared" si="36"/>
        <v/>
      </c>
      <c r="X39" s="159" t="str">
        <f t="shared" si="36"/>
        <v/>
      </c>
      <c r="Y39" s="159" t="str">
        <f t="shared" si="36"/>
        <v/>
      </c>
      <c r="Z39" s="159" t="str">
        <f t="shared" si="36"/>
        <v/>
      </c>
      <c r="AA39" s="159" t="str">
        <f t="shared" si="36"/>
        <v/>
      </c>
      <c r="AB39" s="159" t="str">
        <f t="shared" si="36"/>
        <v/>
      </c>
      <c r="AC39" s="159" t="str">
        <f t="shared" si="36"/>
        <v/>
      </c>
      <c r="AD39" s="159" t="str">
        <f t="shared" si="36"/>
        <v/>
      </c>
      <c r="AE39" s="159" t="str">
        <f t="shared" si="36"/>
        <v/>
      </c>
      <c r="AF39" s="159" t="str">
        <f t="shared" si="36"/>
        <v/>
      </c>
      <c r="AG39" s="159" t="str">
        <f t="shared" si="36"/>
        <v/>
      </c>
      <c r="AH39" s="159" t="str">
        <f t="shared" si="36"/>
        <v/>
      </c>
      <c r="AI39" s="159" t="str">
        <f t="shared" si="36"/>
        <v/>
      </c>
      <c r="AJ39" s="161" t="str">
        <f t="shared" si="36"/>
        <v/>
      </c>
      <c r="AK39" s="162" t="str">
        <f t="shared" si="36"/>
        <v/>
      </c>
      <c r="AL39" s="163" t="str">
        <f t="shared" si="36"/>
        <v/>
      </c>
      <c r="AM39" s="163" t="str">
        <f t="shared" si="36"/>
        <v/>
      </c>
      <c r="AN39" s="163" t="str">
        <f t="shared" si="36"/>
        <v/>
      </c>
      <c r="AO39" s="163" t="str">
        <f t="shared" si="36"/>
        <v/>
      </c>
      <c r="AP39" s="163" t="str">
        <f t="shared" si="36"/>
        <v/>
      </c>
      <c r="AQ39" s="164" t="str">
        <f t="shared" si="36"/>
        <v/>
      </c>
      <c r="AR39" s="161" t="str">
        <f t="shared" si="36"/>
        <v/>
      </c>
    </row>
    <row r="40" spans="1:44" x14ac:dyDescent="0.25">
      <c r="A40" s="178" t="str">
        <f t="shared" ref="A40" si="37">+IF(C40+C41=0,"[ocultar]","")</f>
        <v>[ocultar]</v>
      </c>
      <c r="B40" s="166" t="s">
        <v>394</v>
      </c>
      <c r="C40" s="167">
        <f t="array" ref="C40">SUM(IF($B40=DATOS_[Sexo],
IF($B39=DATOS_[AGRUP. VALOR. PTO.],
IF("Dentro"=DATOS_[Check Periodo Ref.],
1/(COUNTIFS(DATOS_[Sexo],$B40,DATOS_[AGRUP. VALOR. PTO.],$B39,DATOS_[Check Periodo Ref.],"Dentro",DATOS_[id/cod],DATOS_[id/cod]))))))</f>
        <v>0</v>
      </c>
      <c r="D40" s="168">
        <f>COUNTIFS(DATOS_[AGRUP. VALOR. PTO.],$B39,DATOS_[Sexo],$B40,DATOS_[Check Periodo Ref.],"Dentro")</f>
        <v>0</v>
      </c>
      <c r="E40" s="169">
        <f t="array" ref="E40">IFERROR(
AVERAGE(IF(DATOS_[Sexo]=$B40,IF(DATOS_[AGRUP. VALOR. PTO.]=$B39,IF(DATOS_[Check Periodo Ref.]="Dentro",DATOS_[SALARIO BASE Ef],FALSE)))),
0)</f>
        <v>0</v>
      </c>
      <c r="F40" s="170">
        <f t="array" ref="F40">IFERROR(
AVERAGE((IF(DATOS_[[Sexo]:[Sexo]]=$B40,IF(DATOS_[[AGRUP. VALOR. PTO.]:[AGRUP. VALOR. PTO.]]=$B39,IF(DATOS_[[Check Periodo Ref.]:[Check Periodo Ref.]]="Dentro",DATOS_[Conc.Sal.01]))))),
0)</f>
        <v>0</v>
      </c>
      <c r="G40" s="170">
        <f t="array" ref="G40">IFERROR(
AVERAGE((IF(DATOS_[[Sexo]:[Sexo]]=$B40,IF(DATOS_[[AGRUP. VALOR. PTO.]:[AGRUP. VALOR. PTO.]]=$B39,IF(DATOS_[[Check Periodo Ref.]:[Check Periodo Ref.]]="Dentro",DATOS_[Conc.Sal.02]))))),
0)</f>
        <v>0</v>
      </c>
      <c r="H40" s="170">
        <f t="array" ref="H40">IFERROR(
AVERAGE((IF(DATOS_[[Sexo]:[Sexo]]=$B40,IF(DATOS_[[AGRUP. VALOR. PTO.]:[AGRUP. VALOR. PTO.]]=$B39,IF(DATOS_[[Check Periodo Ref.]:[Check Periodo Ref.]]="Dentro",DATOS_[Conc.Sal.03]))))),
0)</f>
        <v>0</v>
      </c>
      <c r="I40" s="170">
        <f t="array" ref="I40">IFERROR(
AVERAGE((IF(DATOS_[[Sexo]:[Sexo]]=$B40,IF(DATOS_[[AGRUP. VALOR. PTO.]:[AGRUP. VALOR. PTO.]]=$B39,IF(DATOS_[[Check Periodo Ref.]:[Check Periodo Ref.]]="Dentro",DATOS_[Conc.Sal.04]))))),
0)</f>
        <v>0</v>
      </c>
      <c r="J40" s="170">
        <f t="array" ref="J40">IFERROR(
AVERAGE((IF(DATOS_[[Sexo]:[Sexo]]=$B40,IF(DATOS_[[AGRUP. VALOR. PTO.]:[AGRUP. VALOR. PTO.]]=$B39,IF(DATOS_[[Check Periodo Ref.]:[Check Periodo Ref.]]="Dentro",DATOS_[Conc.Sal.05]))))),
0)</f>
        <v>0</v>
      </c>
      <c r="K40" s="170">
        <f t="array" ref="K40">IFERROR(
AVERAGE((IF(DATOS_[[Sexo]:[Sexo]]=$B40,IF(DATOS_[[AGRUP. VALOR. PTO.]:[AGRUP. VALOR. PTO.]]=$B39,IF(DATOS_[[Check Periodo Ref.]:[Check Periodo Ref.]]="Dentro",DATOS_[Conc.Sal.06]))))),
0)</f>
        <v>0</v>
      </c>
      <c r="L40" s="170">
        <f t="array" ref="L40">IFERROR(
AVERAGE((IF(DATOS_[[Sexo]:[Sexo]]=$B40,IF(DATOS_[[AGRUP. VALOR. PTO.]:[AGRUP. VALOR. PTO.]]=$B39,IF(DATOS_[[Check Periodo Ref.]:[Check Periodo Ref.]]="Dentro",DATOS_[Conc.Sal.07]))))),
0)</f>
        <v>0</v>
      </c>
      <c r="M40" s="170">
        <f t="array" ref="M40">IFERROR(
AVERAGE((IF(DATOS_[[Sexo]:[Sexo]]=$B40,IF(DATOS_[[AGRUP. VALOR. PTO.]:[AGRUP. VALOR. PTO.]]=$B39,IF(DATOS_[[Check Periodo Ref.]:[Check Periodo Ref.]]="Dentro",DATOS_[Conc.Sal.08]))))),
0)</f>
        <v>0</v>
      </c>
      <c r="N40" s="170">
        <f t="array" ref="N40">IFERROR(
AVERAGE((IF(DATOS_[[Sexo]:[Sexo]]=$B40,IF(DATOS_[[AGRUP. VALOR. PTO.]:[AGRUP. VALOR. PTO.]]=$B39,IF(DATOS_[[Check Periodo Ref.]:[Check Periodo Ref.]]="Dentro",DATOS_[Conc.Sal.09]))))),
0)</f>
        <v>0</v>
      </c>
      <c r="O40" s="170">
        <f t="array" ref="O40">IFERROR(
AVERAGE((IF(DATOS_[[Sexo]:[Sexo]]=$B40,IF(DATOS_[[AGRUP. VALOR. PTO.]:[AGRUP. VALOR. PTO.]]=$B39,IF(DATOS_[[Check Periodo Ref.]:[Check Periodo Ref.]]="Dentro",DATOS_[Conc.Sal.10]))))),
0)</f>
        <v>0</v>
      </c>
      <c r="P40" s="170">
        <f t="array" ref="P40">IFERROR(
AVERAGE((IF(DATOS_[[Sexo]:[Sexo]]=$B40,IF(DATOS_[[AGRUP. VALOR. PTO.]:[AGRUP. VALOR. PTO.]]=$B39,IF(DATOS_[[Check Periodo Ref.]:[Check Periodo Ref.]]="Dentro",DATOS_[Conc.Sal.11]))))),
0)</f>
        <v>0</v>
      </c>
      <c r="Q40" s="170">
        <f t="array" ref="Q40">IFERROR(
AVERAGE((IF(DATOS_[[Sexo]:[Sexo]]=$B40,IF(DATOS_[[AGRUP. VALOR. PTO.]:[AGRUP. VALOR. PTO.]]=$B39,IF(DATOS_[[Check Periodo Ref.]:[Check Periodo Ref.]]="Dentro",DATOS_[Conc.Sal.12]))))),
0)</f>
        <v>0</v>
      </c>
      <c r="R40" s="170">
        <f t="array" ref="R40">IFERROR(
AVERAGE((IF(DATOS_[[Sexo]:[Sexo]]=$B40,IF(DATOS_[[AGRUP. VALOR. PTO.]:[AGRUP. VALOR. PTO.]]=$B39,IF(DATOS_[[Check Periodo Ref.]:[Check Periodo Ref.]]="Dentro",DATOS_[Conc.Sal.13]))))),
0)</f>
        <v>0</v>
      </c>
      <c r="S40" s="170">
        <f t="array" ref="S40">IFERROR(
AVERAGE((IF(DATOS_[[Sexo]:[Sexo]]=$B40,IF(DATOS_[[AGRUP. VALOR. PTO.]:[AGRUP. VALOR. PTO.]]=$B39,IF(DATOS_[[Check Periodo Ref.]:[Check Periodo Ref.]]="Dentro",DATOS_[Conc.Sal.14]))))),
0)</f>
        <v>0</v>
      </c>
      <c r="T40" s="170">
        <f t="array" ref="T40">IFERROR(
AVERAGE((IF(DATOS_[[Sexo]:[Sexo]]=$B40,IF(DATOS_[[AGRUP. VALOR. PTO.]:[AGRUP. VALOR. PTO.]]=$B39,IF(DATOS_[[Check Periodo Ref.]:[Check Periodo Ref.]]="Dentro",DATOS_[Conc.Sal.15]))))),
0)</f>
        <v>0</v>
      </c>
      <c r="U40" s="170">
        <f t="array" ref="U40">IFERROR(
AVERAGE((IF(DATOS_[[Sexo]:[Sexo]]=$B40,IF(DATOS_[[AGRUP. VALOR. PTO.]:[AGRUP. VALOR. PTO.]]=$B39,IF(DATOS_[[Check Periodo Ref.]:[Check Periodo Ref.]]="Dentro",DATOS_[Conc.Sal.16]))))),
0)</f>
        <v>0</v>
      </c>
      <c r="V40" s="170">
        <f t="array" ref="V40">IFERROR(
AVERAGE((IF(DATOS_[[Sexo]:[Sexo]]=$B40,IF(DATOS_[[AGRUP. VALOR. PTO.]:[AGRUP. VALOR. PTO.]]=$B39,IF(DATOS_[[Check Periodo Ref.]:[Check Periodo Ref.]]="Dentro",DATOS_[Conc.Sal.17]))))),
0)</f>
        <v>0</v>
      </c>
      <c r="W40" s="170">
        <f t="array" ref="W40">IFERROR(
AVERAGE((IF(DATOS_[[Sexo]:[Sexo]]=$B40,IF(DATOS_[[AGRUP. VALOR. PTO.]:[AGRUP. VALOR. PTO.]]=$B39,IF(DATOS_[[Check Periodo Ref.]:[Check Periodo Ref.]]="Dentro",DATOS_[Conc.Sal.18]))))),
0)</f>
        <v>0</v>
      </c>
      <c r="X40" s="170">
        <f t="array" ref="X40">IFERROR(
AVERAGE((IF(DATOS_[[Sexo]:[Sexo]]=$B40,IF(DATOS_[[AGRUP. VALOR. PTO.]:[AGRUP. VALOR. PTO.]]=$B39,IF(DATOS_[[Check Periodo Ref.]:[Check Periodo Ref.]]="Dentro",DATOS_[Conc.Sal.19]))))),
0)</f>
        <v>0</v>
      </c>
      <c r="Y40" s="170">
        <f t="array" ref="Y40">IFERROR(
AVERAGE((IF(DATOS_[[Sexo]:[Sexo]]=$B40,IF(DATOS_[[AGRUP. VALOR. PTO.]:[AGRUP. VALOR. PTO.]]=$B39,IF(DATOS_[[Check Periodo Ref.]:[Check Periodo Ref.]]="Dentro",DATOS_[Conc.Sal.20]))))),
0)</f>
        <v>0</v>
      </c>
      <c r="Z40" s="170">
        <f t="array" ref="Z40">IFERROR(
AVERAGE((IF(DATOS_[[Sexo]:[Sexo]]=$B40,IF(DATOS_[[AGRUP. VALOR. PTO.]:[AGRUP. VALOR. PTO.]]=$B39,IF(DATOS_[[Check Periodo Ref.]:[Check Periodo Ref.]]="Dentro",DATOS_[Conc.Sal.21]))))),
0)</f>
        <v>0</v>
      </c>
      <c r="AA40" s="170">
        <f t="array" ref="AA40">IFERROR(
AVERAGE((IF(DATOS_[[Sexo]:[Sexo]]=$B40,IF(DATOS_[[AGRUP. VALOR. PTO.]:[AGRUP. VALOR. PTO.]]=$B39,IF(DATOS_[[Check Periodo Ref.]:[Check Periodo Ref.]]="Dentro",DATOS_[Conc.Sal.22]))))),
0)</f>
        <v>0</v>
      </c>
      <c r="AB40" s="170">
        <f t="array" ref="AB40">IFERROR(
AVERAGE((IF(DATOS_[[Sexo]:[Sexo]]=$B40,IF(DATOS_[[AGRUP. VALOR. PTO.]:[AGRUP. VALOR. PTO.]]=$B39,IF(DATOS_[[Check Periodo Ref.]:[Check Periodo Ref.]]="Dentro",DATOS_[Conc.Sal.23]))))),
0)</f>
        <v>0</v>
      </c>
      <c r="AC40" s="170">
        <f t="array" ref="AC40">IFERROR(
AVERAGE((IF(DATOS_[[Sexo]:[Sexo]]=$B40,IF(DATOS_[[AGRUP. VALOR. PTO.]:[AGRUP. VALOR. PTO.]]=$B39,IF(DATOS_[[Check Periodo Ref.]:[Check Periodo Ref.]]="Dentro",DATOS_[Conc.Sal.24]))))),
0)</f>
        <v>0</v>
      </c>
      <c r="AD40" s="170">
        <f t="array" ref="AD40">IFERROR(
AVERAGE((IF(DATOS_[[Sexo]:[Sexo]]=$B40,IF(DATOS_[[AGRUP. VALOR. PTO.]:[AGRUP. VALOR. PTO.]]=$B39,IF(DATOS_[[Check Periodo Ref.]:[Check Periodo Ref.]]="Dentro",DATOS_[Conc.Sal.25]))))),
0)</f>
        <v>0</v>
      </c>
      <c r="AE40" s="170">
        <f t="array" ref="AE40">IFERROR(
AVERAGE((IF(DATOS_[[Sexo]:[Sexo]]=$B40,IF(DATOS_[[AGRUP. VALOR. PTO.]:[AGRUP. VALOR. PTO.]]=$B39,IF(DATOS_[[Check Periodo Ref.]:[Check Periodo Ref.]]="Dentro",DATOS_[Conc.Sal.26]))))),
0)</f>
        <v>0</v>
      </c>
      <c r="AF40" s="170">
        <f t="array" ref="AF40">IFERROR(
AVERAGE((IF(DATOS_[[Sexo]:[Sexo]]=$B40,IF(DATOS_[[AGRUP. VALOR. PTO.]:[AGRUP. VALOR. PTO.]]=$B39,IF(DATOS_[[Check Periodo Ref.]:[Check Periodo Ref.]]="Dentro",DATOS_[Conc.Sal.27]))))),
0)</f>
        <v>0</v>
      </c>
      <c r="AG40" s="170">
        <f t="array" ref="AG40">IFERROR(
AVERAGE((IF(DATOS_[[Sexo]:[Sexo]]=$B40,IF(DATOS_[[AGRUP. VALOR. PTO.]:[AGRUP. VALOR. PTO.]]=$B39,IF(DATOS_[[Check Periodo Ref.]:[Check Periodo Ref.]]="Dentro",DATOS_[Conc.Sal.28]))))),
0)</f>
        <v>0</v>
      </c>
      <c r="AH40" s="170">
        <f t="array" ref="AH40">IFERROR(
AVERAGE((IF(DATOS_[[Sexo]:[Sexo]]=$B40,IF(DATOS_[[AGRUP. VALOR. PTO.]:[AGRUP. VALOR. PTO.]]=$B39,IF(DATOS_[[Check Periodo Ref.]:[Check Periodo Ref.]]="Dentro",DATOS_[Conc.Sal.29]))))),
0)</f>
        <v>0</v>
      </c>
      <c r="AI40" s="170">
        <f t="array" ref="AI40">IFERROR(
AVERAGE((IF(DATOS_[[Sexo]:[Sexo]]=$B40,IF(DATOS_[[AGRUP. VALOR. PTO.]:[AGRUP. VALOR. PTO.]]=$B39,IF(DATOS_[[Check Periodo Ref.]:[Check Periodo Ref.]]="Dentro",DATOS_[Conc.Sal.30]))))),
0)</f>
        <v>0</v>
      </c>
      <c r="AJ40" s="171">
        <f t="array" ref="AJ40">IFERROR(
AVERAGE(IF(DATOS_[Sexo]=$B40,IF(DATOS_[AGRUP. VALOR. PTO.]=$B39,IF(DATOS_[Check Periodo Ref.]="Dentro",DATOS_[Tot COMPL.SAL Ef],FALSE)))),
0)</f>
        <v>0</v>
      </c>
      <c r="AK40" s="172">
        <f t="array" ref="AK40">IFERROR(
AVERAGE(IF(DATOS_[Sexo]=$B40,IF(DATOS_[AGRUP. VALOR. PTO.]=$B39,IF(DATOS_[Check Periodo Ref.]="Dentro",DATOS_[TOTAL SALARIO Ef],FALSE)))),
0)</f>
        <v>0</v>
      </c>
      <c r="AL40" s="173">
        <f t="array" ref="AL40">IFERROR(
AVERAGE((IF(DATOS_[[Sexo]:[Sexo]]=$B40,IF(DATOS_[[AGRUP. VALOR. PTO.]:[AGRUP. VALOR. PTO.]]=$B39,IF(DATOS_[[Check Periodo Ref.]:[Check Periodo Ref.]]="Dentro",DATOS_[C.Extra.01]))))),
0)</f>
        <v>0</v>
      </c>
      <c r="AM40" s="173">
        <f t="array" ref="AM40">IFERROR(
AVERAGE((IF(DATOS_[[Sexo]:[Sexo]]=$B40,IF(DATOS_[[AGRUP. VALOR. PTO.]:[AGRUP. VALOR. PTO.]]=$B39,IF(DATOS_[[Check Periodo Ref.]:[Check Periodo Ref.]]="Dentro",DATOS_[C.Extra.06]))))),
0)</f>
        <v>0</v>
      </c>
      <c r="AN40" s="173">
        <f t="array" ref="AN40">IFERROR(
AVERAGE((IF(DATOS_[[Sexo]:[Sexo]]=$B40,IF(DATOS_[[AGRUP. VALOR. PTO.]:[AGRUP. VALOR. PTO.]]=$B39,IF(DATOS_[[Check Periodo Ref.]:[Check Periodo Ref.]]="Dentro",DATOS_[C.Extra.07]))))),
0)</f>
        <v>0</v>
      </c>
      <c r="AO40" s="173">
        <f t="array" ref="AO40">IFERROR(
AVERAGE((IF(DATOS_[[Sexo]:[Sexo]]=$B40,IF(DATOS_[[AGRUP. VALOR. PTO.]:[AGRUP. VALOR. PTO.]]=$B39,IF(DATOS_[[Check Periodo Ref.]:[Check Periodo Ref.]]="Dentro",DATOS_[C.Extra.08]))))),
0)</f>
        <v>0</v>
      </c>
      <c r="AP40" s="173">
        <f t="array" ref="AP40">IFERROR(
AVERAGE((IF(DATOS_[[Sexo]:[Sexo]]=$B40,IF(DATOS_[[AGRUP. VALOR. PTO.]:[AGRUP. VALOR. PTO.]]=$B39,IF(DATOS_[[Check Periodo Ref.]:[Check Periodo Ref.]]="Dentro",DATOS_[C.Extra.11]))))),
0)</f>
        <v>0</v>
      </c>
      <c r="AQ40" s="174">
        <f t="array" ref="AQ40">IFERROR(
AVERAGE(IF(DATOS_[Sexo]=$B40,IF(DATOS_[AGRUP. VALOR. PTO.]=$B39,IF(DATOS_[Check Periodo Ref.]="Dentro",DATOS_[Tot Extrasalarial Ef],FALSE)))),
0)</f>
        <v>0</v>
      </c>
      <c r="AR40" s="171">
        <f t="array" ref="AR40">IFERROR(
AVERAGE(IF(DATOS_[Sexo]=$B40,IF(DATOS_[AGRUP. VALOR. PTO.]=$B39,IF(DATOS_[Check Periodo Ref.]="Dentro",DATOS_[TOTAL Retrib Ef],FALSE)))),
0)</f>
        <v>0</v>
      </c>
    </row>
    <row r="41" spans="1:44" x14ac:dyDescent="0.25">
      <c r="A41" s="178" t="str">
        <f t="shared" ref="A41" si="38">+A40</f>
        <v>[ocultar]</v>
      </c>
      <c r="B41" s="166" t="s">
        <v>521</v>
      </c>
      <c r="C41" s="167">
        <f t="array" ref="C41">SUM(IF($B41=DATOS_[Sexo],
IF($B39=DATOS_[AGRUP. VALOR. PTO.],
IF("Dentro"=DATOS_[Check Periodo Ref.],
1/(COUNTIFS(DATOS_[Sexo],$B41,DATOS_[AGRUP. VALOR. PTO.],$B39,DATOS_[Check Periodo Ref.],"Dentro",DATOS_[id/cod],DATOS_[id/cod]))))))</f>
        <v>0</v>
      </c>
      <c r="D41" s="168">
        <f>COUNTIFS(DATOS_[AGRUP. VALOR. PTO.],$B39,DATOS_[Sexo],$B41,DATOS_[Check Periodo Ref.],"Dentro")</f>
        <v>0</v>
      </c>
      <c r="E41" s="169">
        <f t="array" ref="E41">IFERROR(
AVERAGE(IF(DATOS_[Sexo]=$B41,IF(DATOS_[AGRUP. VALOR. PTO.]=$B39,IF(DATOS_[Check Periodo Ref.]="Dentro",DATOS_[SALARIO BASE Ef],FALSE)))),
0)</f>
        <v>0</v>
      </c>
      <c r="F41" s="170">
        <f t="array" ref="F41">IFERROR(
AVERAGE((IF(DATOS_[[Sexo]:[Sexo]]=$B41,IF(DATOS_[[AGRUP. VALOR. PTO.]:[AGRUP. VALOR. PTO.]]=$B39,IF(DATOS_[[Check Periodo Ref.]:[Check Periodo Ref.]]="Dentro",DATOS_[Conc.Sal.01]))))),
0)</f>
        <v>0</v>
      </c>
      <c r="G41" s="170">
        <f t="array" ref="G41">IFERROR(
AVERAGE((IF(DATOS_[[Sexo]:[Sexo]]=$B41,IF(DATOS_[[AGRUP. VALOR. PTO.]:[AGRUP. VALOR. PTO.]]=$B39,IF(DATOS_[[Check Periodo Ref.]:[Check Periodo Ref.]]="Dentro",DATOS_[Conc.Sal.02]))))),
0)</f>
        <v>0</v>
      </c>
      <c r="H41" s="170">
        <f t="array" ref="H41">IFERROR(
AVERAGE((IF(DATOS_[[Sexo]:[Sexo]]=$B41,IF(DATOS_[[AGRUP. VALOR. PTO.]:[AGRUP. VALOR. PTO.]]=$B39,IF(DATOS_[[Check Periodo Ref.]:[Check Periodo Ref.]]="Dentro",DATOS_[Conc.Sal.03]))))),
0)</f>
        <v>0</v>
      </c>
      <c r="I41" s="170">
        <f t="array" ref="I41">IFERROR(
AVERAGE((IF(DATOS_[[Sexo]:[Sexo]]=$B41,IF(DATOS_[[AGRUP. VALOR. PTO.]:[AGRUP. VALOR. PTO.]]=$B39,IF(DATOS_[[Check Periodo Ref.]:[Check Periodo Ref.]]="Dentro",DATOS_[Conc.Sal.04]))))),
0)</f>
        <v>0</v>
      </c>
      <c r="J41" s="170">
        <f t="array" ref="J41">IFERROR(
AVERAGE((IF(DATOS_[[Sexo]:[Sexo]]=$B41,IF(DATOS_[[AGRUP. VALOR. PTO.]:[AGRUP. VALOR. PTO.]]=$B39,IF(DATOS_[[Check Periodo Ref.]:[Check Periodo Ref.]]="Dentro",DATOS_[Conc.Sal.05]))))),
0)</f>
        <v>0</v>
      </c>
      <c r="K41" s="170">
        <f t="array" ref="K41">IFERROR(
AVERAGE((IF(DATOS_[[Sexo]:[Sexo]]=$B41,IF(DATOS_[[AGRUP. VALOR. PTO.]:[AGRUP. VALOR. PTO.]]=$B39,IF(DATOS_[[Check Periodo Ref.]:[Check Periodo Ref.]]="Dentro",DATOS_[Conc.Sal.06]))))),
0)</f>
        <v>0</v>
      </c>
      <c r="L41" s="170">
        <f t="array" ref="L41">IFERROR(
AVERAGE((IF(DATOS_[[Sexo]:[Sexo]]=$B41,IF(DATOS_[[AGRUP. VALOR. PTO.]:[AGRUP. VALOR. PTO.]]=$B39,IF(DATOS_[[Check Periodo Ref.]:[Check Periodo Ref.]]="Dentro",DATOS_[Conc.Sal.07]))))),
0)</f>
        <v>0</v>
      </c>
      <c r="M41" s="170">
        <f t="array" ref="M41">IFERROR(
AVERAGE((IF(DATOS_[[Sexo]:[Sexo]]=$B41,IF(DATOS_[[AGRUP. VALOR. PTO.]:[AGRUP. VALOR. PTO.]]=$B39,IF(DATOS_[[Check Periodo Ref.]:[Check Periodo Ref.]]="Dentro",DATOS_[Conc.Sal.08]))))),
0)</f>
        <v>0</v>
      </c>
      <c r="N41" s="170">
        <f t="array" ref="N41">IFERROR(
AVERAGE((IF(DATOS_[[Sexo]:[Sexo]]=$B41,IF(DATOS_[[AGRUP. VALOR. PTO.]:[AGRUP. VALOR. PTO.]]=$B39,IF(DATOS_[[Check Periodo Ref.]:[Check Periodo Ref.]]="Dentro",DATOS_[Conc.Sal.09]))))),
0)</f>
        <v>0</v>
      </c>
      <c r="O41" s="170">
        <f t="array" ref="O41">IFERROR(
AVERAGE((IF(DATOS_[[Sexo]:[Sexo]]=$B41,IF(DATOS_[[AGRUP. VALOR. PTO.]:[AGRUP. VALOR. PTO.]]=$B39,IF(DATOS_[[Check Periodo Ref.]:[Check Periodo Ref.]]="Dentro",DATOS_[Conc.Sal.10]))))),
0)</f>
        <v>0</v>
      </c>
      <c r="P41" s="170">
        <f t="array" ref="P41">IFERROR(
AVERAGE((IF(DATOS_[[Sexo]:[Sexo]]=$B41,IF(DATOS_[[AGRUP. VALOR. PTO.]:[AGRUP. VALOR. PTO.]]=$B39,IF(DATOS_[[Check Periodo Ref.]:[Check Periodo Ref.]]="Dentro",DATOS_[Conc.Sal.11]))))),
0)</f>
        <v>0</v>
      </c>
      <c r="Q41" s="170">
        <f t="array" ref="Q41">IFERROR(
AVERAGE((IF(DATOS_[[Sexo]:[Sexo]]=$B41,IF(DATOS_[[AGRUP. VALOR. PTO.]:[AGRUP. VALOR. PTO.]]=$B39,IF(DATOS_[[Check Periodo Ref.]:[Check Periodo Ref.]]="Dentro",DATOS_[Conc.Sal.12]))))),
0)</f>
        <v>0</v>
      </c>
      <c r="R41" s="170">
        <f t="array" ref="R41">IFERROR(
AVERAGE((IF(DATOS_[[Sexo]:[Sexo]]=$B41,IF(DATOS_[[AGRUP. VALOR. PTO.]:[AGRUP. VALOR. PTO.]]=$B39,IF(DATOS_[[Check Periodo Ref.]:[Check Periodo Ref.]]="Dentro",DATOS_[Conc.Sal.13]))))),
0)</f>
        <v>0</v>
      </c>
      <c r="S41" s="170">
        <f t="array" ref="S41">IFERROR(
AVERAGE((IF(DATOS_[[Sexo]:[Sexo]]=$B41,IF(DATOS_[[AGRUP. VALOR. PTO.]:[AGRUP. VALOR. PTO.]]=$B39,IF(DATOS_[[Check Periodo Ref.]:[Check Periodo Ref.]]="Dentro",DATOS_[Conc.Sal.14]))))),
0)</f>
        <v>0</v>
      </c>
      <c r="T41" s="170">
        <f t="array" ref="T41">IFERROR(
AVERAGE((IF(DATOS_[[Sexo]:[Sexo]]=$B41,IF(DATOS_[[AGRUP. VALOR. PTO.]:[AGRUP. VALOR. PTO.]]=$B39,IF(DATOS_[[Check Periodo Ref.]:[Check Periodo Ref.]]="Dentro",DATOS_[Conc.Sal.15]))))),
0)</f>
        <v>0</v>
      </c>
      <c r="U41" s="170">
        <f t="array" ref="U41">IFERROR(
AVERAGE((IF(DATOS_[[Sexo]:[Sexo]]=$B41,IF(DATOS_[[AGRUP. VALOR. PTO.]:[AGRUP. VALOR. PTO.]]=$B39,IF(DATOS_[[Check Periodo Ref.]:[Check Periodo Ref.]]="Dentro",DATOS_[Conc.Sal.16]))))),
0)</f>
        <v>0</v>
      </c>
      <c r="V41" s="170">
        <f t="array" ref="V41">IFERROR(
AVERAGE((IF(DATOS_[[Sexo]:[Sexo]]=$B41,IF(DATOS_[[AGRUP. VALOR. PTO.]:[AGRUP. VALOR. PTO.]]=$B39,IF(DATOS_[[Check Periodo Ref.]:[Check Periodo Ref.]]="Dentro",DATOS_[Conc.Sal.17]))))),
0)</f>
        <v>0</v>
      </c>
      <c r="W41" s="170">
        <f t="array" ref="W41">IFERROR(
AVERAGE((IF(DATOS_[[Sexo]:[Sexo]]=$B41,IF(DATOS_[[AGRUP. VALOR. PTO.]:[AGRUP. VALOR. PTO.]]=$B39,IF(DATOS_[[Check Periodo Ref.]:[Check Periodo Ref.]]="Dentro",DATOS_[Conc.Sal.18]))))),
0)</f>
        <v>0</v>
      </c>
      <c r="X41" s="170">
        <f t="array" ref="X41">IFERROR(
AVERAGE((IF(DATOS_[[Sexo]:[Sexo]]=$B41,IF(DATOS_[[AGRUP. VALOR. PTO.]:[AGRUP. VALOR. PTO.]]=$B39,IF(DATOS_[[Check Periodo Ref.]:[Check Periodo Ref.]]="Dentro",DATOS_[Conc.Sal.19]))))),
0)</f>
        <v>0</v>
      </c>
      <c r="Y41" s="170">
        <f t="array" ref="Y41">IFERROR(
AVERAGE((IF(DATOS_[[Sexo]:[Sexo]]=$B41,IF(DATOS_[[AGRUP. VALOR. PTO.]:[AGRUP. VALOR. PTO.]]=$B39,IF(DATOS_[[Check Periodo Ref.]:[Check Periodo Ref.]]="Dentro",DATOS_[Conc.Sal.20]))))),
0)</f>
        <v>0</v>
      </c>
      <c r="Z41" s="170">
        <f t="array" ref="Z41">IFERROR(
AVERAGE((IF(DATOS_[[Sexo]:[Sexo]]=$B41,IF(DATOS_[[AGRUP. VALOR. PTO.]:[AGRUP. VALOR. PTO.]]=$B39,IF(DATOS_[[Check Periodo Ref.]:[Check Periodo Ref.]]="Dentro",DATOS_[Conc.Sal.21]))))),
0)</f>
        <v>0</v>
      </c>
      <c r="AA41" s="170">
        <f t="array" ref="AA41">IFERROR(
AVERAGE((IF(DATOS_[[Sexo]:[Sexo]]=$B41,IF(DATOS_[[AGRUP. VALOR. PTO.]:[AGRUP. VALOR. PTO.]]=$B39,IF(DATOS_[[Check Periodo Ref.]:[Check Periodo Ref.]]="Dentro",DATOS_[Conc.Sal.22]))))),
0)</f>
        <v>0</v>
      </c>
      <c r="AB41" s="170">
        <f t="array" ref="AB41">IFERROR(
AVERAGE((IF(DATOS_[[Sexo]:[Sexo]]=$B41,IF(DATOS_[[AGRUP. VALOR. PTO.]:[AGRUP. VALOR. PTO.]]=$B39,IF(DATOS_[[Check Periodo Ref.]:[Check Periodo Ref.]]="Dentro",DATOS_[Conc.Sal.23]))))),
0)</f>
        <v>0</v>
      </c>
      <c r="AC41" s="170">
        <f t="array" ref="AC41">IFERROR(
AVERAGE((IF(DATOS_[[Sexo]:[Sexo]]=$B41,IF(DATOS_[[AGRUP. VALOR. PTO.]:[AGRUP. VALOR. PTO.]]=$B39,IF(DATOS_[[Check Periodo Ref.]:[Check Periodo Ref.]]="Dentro",DATOS_[Conc.Sal.24]))))),
0)</f>
        <v>0</v>
      </c>
      <c r="AD41" s="170">
        <f t="array" ref="AD41">IFERROR(
AVERAGE((IF(DATOS_[[Sexo]:[Sexo]]=$B41,IF(DATOS_[[AGRUP. VALOR. PTO.]:[AGRUP. VALOR. PTO.]]=$B39,IF(DATOS_[[Check Periodo Ref.]:[Check Periodo Ref.]]="Dentro",DATOS_[Conc.Sal.25]))))),
0)</f>
        <v>0</v>
      </c>
      <c r="AE41" s="170">
        <f t="array" ref="AE41">IFERROR(
AVERAGE((IF(DATOS_[[Sexo]:[Sexo]]=$B41,IF(DATOS_[[AGRUP. VALOR. PTO.]:[AGRUP. VALOR. PTO.]]=$B39,IF(DATOS_[[Check Periodo Ref.]:[Check Periodo Ref.]]="Dentro",DATOS_[Conc.Sal.26]))))),
0)</f>
        <v>0</v>
      </c>
      <c r="AF41" s="170">
        <f t="array" ref="AF41">IFERROR(
AVERAGE((IF(DATOS_[[Sexo]:[Sexo]]=$B41,IF(DATOS_[[AGRUP. VALOR. PTO.]:[AGRUP. VALOR. PTO.]]=$B39,IF(DATOS_[[Check Periodo Ref.]:[Check Periodo Ref.]]="Dentro",DATOS_[Conc.Sal.27]))))),
0)</f>
        <v>0</v>
      </c>
      <c r="AG41" s="170">
        <f t="array" ref="AG41">IFERROR(
AVERAGE((IF(DATOS_[[Sexo]:[Sexo]]=$B41,IF(DATOS_[[AGRUP. VALOR. PTO.]:[AGRUP. VALOR. PTO.]]=$B39,IF(DATOS_[[Check Periodo Ref.]:[Check Periodo Ref.]]="Dentro",DATOS_[Conc.Sal.28]))))),
0)</f>
        <v>0</v>
      </c>
      <c r="AH41" s="170">
        <f t="array" ref="AH41">IFERROR(
AVERAGE((IF(DATOS_[[Sexo]:[Sexo]]=$B41,IF(DATOS_[[AGRUP. VALOR. PTO.]:[AGRUP. VALOR. PTO.]]=$B39,IF(DATOS_[[Check Periodo Ref.]:[Check Periodo Ref.]]="Dentro",DATOS_[Conc.Sal.29]))))),
0)</f>
        <v>0</v>
      </c>
      <c r="AI41" s="170">
        <f t="array" ref="AI41">IFERROR(
AVERAGE((IF(DATOS_[[Sexo]:[Sexo]]=$B41,IF(DATOS_[[AGRUP. VALOR. PTO.]:[AGRUP. VALOR. PTO.]]=$B39,IF(DATOS_[[Check Periodo Ref.]:[Check Periodo Ref.]]="Dentro",DATOS_[Conc.Sal.30]))))),
0)</f>
        <v>0</v>
      </c>
      <c r="AJ41" s="171">
        <f t="array" ref="AJ41">IFERROR(
AVERAGE(IF(DATOS_[Sexo]=$B41,IF(DATOS_[AGRUP. VALOR. PTO.]=$B39,IF(DATOS_[Check Periodo Ref.]="Dentro",DATOS_[Tot COMPL.SAL Ef],FALSE)))),
0)</f>
        <v>0</v>
      </c>
      <c r="AK41" s="172">
        <f t="array" ref="AK41">IFERROR(
AVERAGE(IF(DATOS_[Sexo]=$B41,IF(DATOS_[AGRUP. VALOR. PTO.]=$B39,IF(DATOS_[Check Periodo Ref.]="Dentro",DATOS_[TOTAL SALARIO Ef],FALSE)))),
0)</f>
        <v>0</v>
      </c>
      <c r="AL41" s="173">
        <f t="array" ref="AL41">IFERROR(
AVERAGE((IF(DATOS_[[Sexo]:[Sexo]]=$B41,IF(DATOS_[[AGRUP. VALOR. PTO.]:[AGRUP. VALOR. PTO.]]=$B39,IF(DATOS_[[Check Periodo Ref.]:[Check Periodo Ref.]]="Dentro",DATOS_[C.Extra.01]))))),
0)</f>
        <v>0</v>
      </c>
      <c r="AM41" s="173">
        <f t="array" ref="AM41">IFERROR(
AVERAGE((IF(DATOS_[[Sexo]:[Sexo]]=$B41,IF(DATOS_[[AGRUP. VALOR. PTO.]:[AGRUP. VALOR. PTO.]]=$B39,IF(DATOS_[[Check Periodo Ref.]:[Check Periodo Ref.]]="Dentro",DATOS_[C.Extra.06]))))),
0)</f>
        <v>0</v>
      </c>
      <c r="AN41" s="173">
        <f t="array" ref="AN41">IFERROR(
AVERAGE((IF(DATOS_[[Sexo]:[Sexo]]=$B41,IF(DATOS_[[AGRUP. VALOR. PTO.]:[AGRUP. VALOR. PTO.]]=$B39,IF(DATOS_[[Check Periodo Ref.]:[Check Periodo Ref.]]="Dentro",DATOS_[C.Extra.07]))))),
0)</f>
        <v>0</v>
      </c>
      <c r="AO41" s="173">
        <f t="array" ref="AO41">IFERROR(
AVERAGE((IF(DATOS_[[Sexo]:[Sexo]]=$B41,IF(DATOS_[[AGRUP. VALOR. PTO.]:[AGRUP. VALOR. PTO.]]=$B39,IF(DATOS_[[Check Periodo Ref.]:[Check Periodo Ref.]]="Dentro",DATOS_[C.Extra.08]))))),
0)</f>
        <v>0</v>
      </c>
      <c r="AP41" s="173">
        <f t="array" ref="AP41">IFERROR(
AVERAGE((IF(DATOS_[[Sexo]:[Sexo]]=$B41,IF(DATOS_[[AGRUP. VALOR. PTO.]:[AGRUP. VALOR. PTO.]]=$B39,IF(DATOS_[[Check Periodo Ref.]:[Check Periodo Ref.]]="Dentro",DATOS_[C.Extra.11]))))),
0)</f>
        <v>0</v>
      </c>
      <c r="AQ41" s="174">
        <f t="array" ref="AQ41">IFERROR(
AVERAGE(IF(DATOS_[Sexo]=$B41,IF(DATOS_[AGRUP. VALOR. PTO.]=$B39,IF(DATOS_[Check Periodo Ref.]="Dentro",DATOS_[Tot Extrasalarial Ef],FALSE)))),
0)</f>
        <v>0</v>
      </c>
      <c r="AR41" s="171">
        <f t="array" ref="AR41">IFERROR(
AVERAGE(IF(DATOS_[Sexo]=$B41,IF(DATOS_[AGRUP. VALOR. PTO.]=$B39,IF(DATOS_[Check Periodo Ref.]="Dentro",DATOS_[TOTAL Retrib Ef],FALSE)))),
0)</f>
        <v>0</v>
      </c>
    </row>
    <row r="42" spans="1:44" ht="14.4" thickBot="1" x14ac:dyDescent="0.3">
      <c r="A42" s="178" t="str">
        <f t="shared" ref="A42" si="39">+A43</f>
        <v>[ocultar]</v>
      </c>
      <c r="B42" s="153" t="s">
        <v>214</v>
      </c>
      <c r="C42" s="154"/>
      <c r="D42" s="155"/>
      <c r="E42" s="156" t="str">
        <f t="shared" ref="E42:AR42" si="40">IFERROR((E43-E44)/E43,"")</f>
        <v/>
      </c>
      <c r="F42" s="157" t="str">
        <f t="shared" si="40"/>
        <v/>
      </c>
      <c r="G42" s="158" t="str">
        <f t="shared" si="40"/>
        <v/>
      </c>
      <c r="H42" s="158" t="str">
        <f t="shared" si="40"/>
        <v/>
      </c>
      <c r="I42" s="158" t="str">
        <f t="shared" si="40"/>
        <v/>
      </c>
      <c r="J42" s="159" t="str">
        <f t="shared" si="40"/>
        <v/>
      </c>
      <c r="K42" s="160" t="str">
        <f t="shared" si="40"/>
        <v/>
      </c>
      <c r="L42" s="160" t="str">
        <f t="shared" si="40"/>
        <v/>
      </c>
      <c r="M42" s="160" t="str">
        <f t="shared" si="40"/>
        <v/>
      </c>
      <c r="N42" s="160" t="str">
        <f t="shared" si="40"/>
        <v/>
      </c>
      <c r="O42" s="160" t="str">
        <f t="shared" si="40"/>
        <v/>
      </c>
      <c r="P42" s="160" t="str">
        <f t="shared" si="40"/>
        <v/>
      </c>
      <c r="Q42" s="160" t="str">
        <f t="shared" si="40"/>
        <v/>
      </c>
      <c r="R42" s="160" t="str">
        <f t="shared" si="40"/>
        <v/>
      </c>
      <c r="S42" s="160" t="str">
        <f t="shared" si="40"/>
        <v/>
      </c>
      <c r="T42" s="160" t="str">
        <f t="shared" si="40"/>
        <v/>
      </c>
      <c r="U42" s="160" t="str">
        <f t="shared" si="40"/>
        <v/>
      </c>
      <c r="V42" s="159" t="str">
        <f t="shared" si="40"/>
        <v/>
      </c>
      <c r="W42" s="159" t="str">
        <f t="shared" si="40"/>
        <v/>
      </c>
      <c r="X42" s="159" t="str">
        <f t="shared" si="40"/>
        <v/>
      </c>
      <c r="Y42" s="159" t="str">
        <f t="shared" si="40"/>
        <v/>
      </c>
      <c r="Z42" s="159" t="str">
        <f t="shared" si="40"/>
        <v/>
      </c>
      <c r="AA42" s="159" t="str">
        <f t="shared" si="40"/>
        <v/>
      </c>
      <c r="AB42" s="159" t="str">
        <f t="shared" si="40"/>
        <v/>
      </c>
      <c r="AC42" s="159" t="str">
        <f t="shared" si="40"/>
        <v/>
      </c>
      <c r="AD42" s="159" t="str">
        <f t="shared" si="40"/>
        <v/>
      </c>
      <c r="AE42" s="159" t="str">
        <f t="shared" si="40"/>
        <v/>
      </c>
      <c r="AF42" s="159" t="str">
        <f t="shared" si="40"/>
        <v/>
      </c>
      <c r="AG42" s="159" t="str">
        <f t="shared" si="40"/>
        <v/>
      </c>
      <c r="AH42" s="159" t="str">
        <f t="shared" si="40"/>
        <v/>
      </c>
      <c r="AI42" s="159" t="str">
        <f t="shared" si="40"/>
        <v/>
      </c>
      <c r="AJ42" s="161" t="str">
        <f t="shared" si="40"/>
        <v/>
      </c>
      <c r="AK42" s="162" t="str">
        <f t="shared" si="40"/>
        <v/>
      </c>
      <c r="AL42" s="163" t="str">
        <f t="shared" si="40"/>
        <v/>
      </c>
      <c r="AM42" s="163" t="str">
        <f t="shared" si="40"/>
        <v/>
      </c>
      <c r="AN42" s="163" t="str">
        <f t="shared" si="40"/>
        <v/>
      </c>
      <c r="AO42" s="163" t="str">
        <f t="shared" si="40"/>
        <v/>
      </c>
      <c r="AP42" s="163" t="str">
        <f t="shared" si="40"/>
        <v/>
      </c>
      <c r="AQ42" s="164" t="str">
        <f t="shared" si="40"/>
        <v/>
      </c>
      <c r="AR42" s="161" t="str">
        <f t="shared" si="40"/>
        <v/>
      </c>
    </row>
    <row r="43" spans="1:44" x14ac:dyDescent="0.25">
      <c r="A43" s="178" t="str">
        <f t="shared" ref="A43" si="41">+IF(C43+C44=0,"[ocultar]","")</f>
        <v>[ocultar]</v>
      </c>
      <c r="B43" s="166" t="s">
        <v>394</v>
      </c>
      <c r="C43" s="167">
        <f t="array" ref="C43">SUM(IF($B43=DATOS_[Sexo],
IF($B42=DATOS_[AGRUP. VALOR. PTO.],
IF("Dentro"=DATOS_[Check Periodo Ref.],
1/(COUNTIFS(DATOS_[Sexo],$B43,DATOS_[AGRUP. VALOR. PTO.],$B42,DATOS_[Check Periodo Ref.],"Dentro",DATOS_[id/cod],DATOS_[id/cod]))))))</f>
        <v>0</v>
      </c>
      <c r="D43" s="168">
        <f>COUNTIFS(DATOS_[AGRUP. VALOR. PTO.],$B42,DATOS_[Sexo],$B43,DATOS_[Check Periodo Ref.],"Dentro")</f>
        <v>0</v>
      </c>
      <c r="E43" s="169">
        <f t="array" ref="E43">IFERROR(
AVERAGE(IF(DATOS_[Sexo]=$B43,IF(DATOS_[AGRUP. VALOR. PTO.]=$B42,IF(DATOS_[Check Periodo Ref.]="Dentro",DATOS_[SALARIO BASE Ef],FALSE)))),
0)</f>
        <v>0</v>
      </c>
      <c r="F43" s="170">
        <f t="array" ref="F43">IFERROR(
AVERAGE((IF(DATOS_[[Sexo]:[Sexo]]=$B43,IF(DATOS_[[AGRUP. VALOR. PTO.]:[AGRUP. VALOR. PTO.]]=$B42,IF(DATOS_[[Check Periodo Ref.]:[Check Periodo Ref.]]="Dentro",DATOS_[Conc.Sal.01]))))),
0)</f>
        <v>0</v>
      </c>
      <c r="G43" s="170">
        <f t="array" ref="G43">IFERROR(
AVERAGE((IF(DATOS_[[Sexo]:[Sexo]]=$B43,IF(DATOS_[[AGRUP. VALOR. PTO.]:[AGRUP. VALOR. PTO.]]=$B42,IF(DATOS_[[Check Periodo Ref.]:[Check Periodo Ref.]]="Dentro",DATOS_[Conc.Sal.02]))))),
0)</f>
        <v>0</v>
      </c>
      <c r="H43" s="170">
        <f t="array" ref="H43">IFERROR(
AVERAGE((IF(DATOS_[[Sexo]:[Sexo]]=$B43,IF(DATOS_[[AGRUP. VALOR. PTO.]:[AGRUP. VALOR. PTO.]]=$B42,IF(DATOS_[[Check Periodo Ref.]:[Check Periodo Ref.]]="Dentro",DATOS_[Conc.Sal.03]))))),
0)</f>
        <v>0</v>
      </c>
      <c r="I43" s="170">
        <f t="array" ref="I43">IFERROR(
AVERAGE((IF(DATOS_[[Sexo]:[Sexo]]=$B43,IF(DATOS_[[AGRUP. VALOR. PTO.]:[AGRUP. VALOR. PTO.]]=$B42,IF(DATOS_[[Check Periodo Ref.]:[Check Periodo Ref.]]="Dentro",DATOS_[Conc.Sal.04]))))),
0)</f>
        <v>0</v>
      </c>
      <c r="J43" s="170">
        <f t="array" ref="J43">IFERROR(
AVERAGE((IF(DATOS_[[Sexo]:[Sexo]]=$B43,IF(DATOS_[[AGRUP. VALOR. PTO.]:[AGRUP. VALOR. PTO.]]=$B42,IF(DATOS_[[Check Periodo Ref.]:[Check Periodo Ref.]]="Dentro",DATOS_[Conc.Sal.05]))))),
0)</f>
        <v>0</v>
      </c>
      <c r="K43" s="170">
        <f t="array" ref="K43">IFERROR(
AVERAGE((IF(DATOS_[[Sexo]:[Sexo]]=$B43,IF(DATOS_[[AGRUP. VALOR. PTO.]:[AGRUP. VALOR. PTO.]]=$B42,IF(DATOS_[[Check Periodo Ref.]:[Check Periodo Ref.]]="Dentro",DATOS_[Conc.Sal.06]))))),
0)</f>
        <v>0</v>
      </c>
      <c r="L43" s="170">
        <f t="array" ref="L43">IFERROR(
AVERAGE((IF(DATOS_[[Sexo]:[Sexo]]=$B43,IF(DATOS_[[AGRUP. VALOR. PTO.]:[AGRUP. VALOR. PTO.]]=$B42,IF(DATOS_[[Check Periodo Ref.]:[Check Periodo Ref.]]="Dentro",DATOS_[Conc.Sal.07]))))),
0)</f>
        <v>0</v>
      </c>
      <c r="M43" s="170">
        <f t="array" ref="M43">IFERROR(
AVERAGE((IF(DATOS_[[Sexo]:[Sexo]]=$B43,IF(DATOS_[[AGRUP. VALOR. PTO.]:[AGRUP. VALOR. PTO.]]=$B42,IF(DATOS_[[Check Periodo Ref.]:[Check Periodo Ref.]]="Dentro",DATOS_[Conc.Sal.08]))))),
0)</f>
        <v>0</v>
      </c>
      <c r="N43" s="170">
        <f t="array" ref="N43">IFERROR(
AVERAGE((IF(DATOS_[[Sexo]:[Sexo]]=$B43,IF(DATOS_[[AGRUP. VALOR. PTO.]:[AGRUP. VALOR. PTO.]]=$B42,IF(DATOS_[[Check Periodo Ref.]:[Check Periodo Ref.]]="Dentro",DATOS_[Conc.Sal.09]))))),
0)</f>
        <v>0</v>
      </c>
      <c r="O43" s="170">
        <f t="array" ref="O43">IFERROR(
AVERAGE((IF(DATOS_[[Sexo]:[Sexo]]=$B43,IF(DATOS_[[AGRUP. VALOR. PTO.]:[AGRUP. VALOR. PTO.]]=$B42,IF(DATOS_[[Check Periodo Ref.]:[Check Periodo Ref.]]="Dentro",DATOS_[Conc.Sal.10]))))),
0)</f>
        <v>0</v>
      </c>
      <c r="P43" s="170">
        <f t="array" ref="P43">IFERROR(
AVERAGE((IF(DATOS_[[Sexo]:[Sexo]]=$B43,IF(DATOS_[[AGRUP. VALOR. PTO.]:[AGRUP. VALOR. PTO.]]=$B42,IF(DATOS_[[Check Periodo Ref.]:[Check Periodo Ref.]]="Dentro",DATOS_[Conc.Sal.11]))))),
0)</f>
        <v>0</v>
      </c>
      <c r="Q43" s="170">
        <f t="array" ref="Q43">IFERROR(
AVERAGE((IF(DATOS_[[Sexo]:[Sexo]]=$B43,IF(DATOS_[[AGRUP. VALOR. PTO.]:[AGRUP. VALOR. PTO.]]=$B42,IF(DATOS_[[Check Periodo Ref.]:[Check Periodo Ref.]]="Dentro",DATOS_[Conc.Sal.12]))))),
0)</f>
        <v>0</v>
      </c>
      <c r="R43" s="170">
        <f t="array" ref="R43">IFERROR(
AVERAGE((IF(DATOS_[[Sexo]:[Sexo]]=$B43,IF(DATOS_[[AGRUP. VALOR. PTO.]:[AGRUP. VALOR. PTO.]]=$B42,IF(DATOS_[[Check Periodo Ref.]:[Check Periodo Ref.]]="Dentro",DATOS_[Conc.Sal.13]))))),
0)</f>
        <v>0</v>
      </c>
      <c r="S43" s="170">
        <f t="array" ref="S43">IFERROR(
AVERAGE((IF(DATOS_[[Sexo]:[Sexo]]=$B43,IF(DATOS_[[AGRUP. VALOR. PTO.]:[AGRUP. VALOR. PTO.]]=$B42,IF(DATOS_[[Check Periodo Ref.]:[Check Periodo Ref.]]="Dentro",DATOS_[Conc.Sal.14]))))),
0)</f>
        <v>0</v>
      </c>
      <c r="T43" s="170">
        <f t="array" ref="T43">IFERROR(
AVERAGE((IF(DATOS_[[Sexo]:[Sexo]]=$B43,IF(DATOS_[[AGRUP. VALOR. PTO.]:[AGRUP. VALOR. PTO.]]=$B42,IF(DATOS_[[Check Periodo Ref.]:[Check Periodo Ref.]]="Dentro",DATOS_[Conc.Sal.15]))))),
0)</f>
        <v>0</v>
      </c>
      <c r="U43" s="170">
        <f t="array" ref="U43">IFERROR(
AVERAGE((IF(DATOS_[[Sexo]:[Sexo]]=$B43,IF(DATOS_[[AGRUP. VALOR. PTO.]:[AGRUP. VALOR. PTO.]]=$B42,IF(DATOS_[[Check Periodo Ref.]:[Check Periodo Ref.]]="Dentro",DATOS_[Conc.Sal.16]))))),
0)</f>
        <v>0</v>
      </c>
      <c r="V43" s="170">
        <f t="array" ref="V43">IFERROR(
AVERAGE((IF(DATOS_[[Sexo]:[Sexo]]=$B43,IF(DATOS_[[AGRUP. VALOR. PTO.]:[AGRUP. VALOR. PTO.]]=$B42,IF(DATOS_[[Check Periodo Ref.]:[Check Periodo Ref.]]="Dentro",DATOS_[Conc.Sal.17]))))),
0)</f>
        <v>0</v>
      </c>
      <c r="W43" s="170">
        <f t="array" ref="W43">IFERROR(
AVERAGE((IF(DATOS_[[Sexo]:[Sexo]]=$B43,IF(DATOS_[[AGRUP. VALOR. PTO.]:[AGRUP. VALOR. PTO.]]=$B42,IF(DATOS_[[Check Periodo Ref.]:[Check Periodo Ref.]]="Dentro",DATOS_[Conc.Sal.18]))))),
0)</f>
        <v>0</v>
      </c>
      <c r="X43" s="170">
        <f t="array" ref="X43">IFERROR(
AVERAGE((IF(DATOS_[[Sexo]:[Sexo]]=$B43,IF(DATOS_[[AGRUP. VALOR. PTO.]:[AGRUP. VALOR. PTO.]]=$B42,IF(DATOS_[[Check Periodo Ref.]:[Check Periodo Ref.]]="Dentro",DATOS_[Conc.Sal.19]))))),
0)</f>
        <v>0</v>
      </c>
      <c r="Y43" s="170">
        <f t="array" ref="Y43">IFERROR(
AVERAGE((IF(DATOS_[[Sexo]:[Sexo]]=$B43,IF(DATOS_[[AGRUP. VALOR. PTO.]:[AGRUP. VALOR. PTO.]]=$B42,IF(DATOS_[[Check Periodo Ref.]:[Check Periodo Ref.]]="Dentro",DATOS_[Conc.Sal.20]))))),
0)</f>
        <v>0</v>
      </c>
      <c r="Z43" s="170">
        <f t="array" ref="Z43">IFERROR(
AVERAGE((IF(DATOS_[[Sexo]:[Sexo]]=$B43,IF(DATOS_[[AGRUP. VALOR. PTO.]:[AGRUP. VALOR. PTO.]]=$B42,IF(DATOS_[[Check Periodo Ref.]:[Check Periodo Ref.]]="Dentro",DATOS_[Conc.Sal.21]))))),
0)</f>
        <v>0</v>
      </c>
      <c r="AA43" s="170">
        <f t="array" ref="AA43">IFERROR(
AVERAGE((IF(DATOS_[[Sexo]:[Sexo]]=$B43,IF(DATOS_[[AGRUP. VALOR. PTO.]:[AGRUP. VALOR. PTO.]]=$B42,IF(DATOS_[[Check Periodo Ref.]:[Check Periodo Ref.]]="Dentro",DATOS_[Conc.Sal.22]))))),
0)</f>
        <v>0</v>
      </c>
      <c r="AB43" s="170">
        <f t="array" ref="AB43">IFERROR(
AVERAGE((IF(DATOS_[[Sexo]:[Sexo]]=$B43,IF(DATOS_[[AGRUP. VALOR. PTO.]:[AGRUP. VALOR. PTO.]]=$B42,IF(DATOS_[[Check Periodo Ref.]:[Check Periodo Ref.]]="Dentro",DATOS_[Conc.Sal.23]))))),
0)</f>
        <v>0</v>
      </c>
      <c r="AC43" s="170">
        <f t="array" ref="AC43">IFERROR(
AVERAGE((IF(DATOS_[[Sexo]:[Sexo]]=$B43,IF(DATOS_[[AGRUP. VALOR. PTO.]:[AGRUP. VALOR. PTO.]]=$B42,IF(DATOS_[[Check Periodo Ref.]:[Check Periodo Ref.]]="Dentro",DATOS_[Conc.Sal.24]))))),
0)</f>
        <v>0</v>
      </c>
      <c r="AD43" s="170">
        <f t="array" ref="AD43">IFERROR(
AVERAGE((IF(DATOS_[[Sexo]:[Sexo]]=$B43,IF(DATOS_[[AGRUP. VALOR. PTO.]:[AGRUP. VALOR. PTO.]]=$B42,IF(DATOS_[[Check Periodo Ref.]:[Check Periodo Ref.]]="Dentro",DATOS_[Conc.Sal.25]))))),
0)</f>
        <v>0</v>
      </c>
      <c r="AE43" s="170">
        <f t="array" ref="AE43">IFERROR(
AVERAGE((IF(DATOS_[[Sexo]:[Sexo]]=$B43,IF(DATOS_[[AGRUP. VALOR. PTO.]:[AGRUP. VALOR. PTO.]]=$B42,IF(DATOS_[[Check Periodo Ref.]:[Check Periodo Ref.]]="Dentro",DATOS_[Conc.Sal.26]))))),
0)</f>
        <v>0</v>
      </c>
      <c r="AF43" s="170">
        <f t="array" ref="AF43">IFERROR(
AVERAGE((IF(DATOS_[[Sexo]:[Sexo]]=$B43,IF(DATOS_[[AGRUP. VALOR. PTO.]:[AGRUP. VALOR. PTO.]]=$B42,IF(DATOS_[[Check Periodo Ref.]:[Check Periodo Ref.]]="Dentro",DATOS_[Conc.Sal.27]))))),
0)</f>
        <v>0</v>
      </c>
      <c r="AG43" s="170">
        <f t="array" ref="AG43">IFERROR(
AVERAGE((IF(DATOS_[[Sexo]:[Sexo]]=$B43,IF(DATOS_[[AGRUP. VALOR. PTO.]:[AGRUP. VALOR. PTO.]]=$B42,IF(DATOS_[[Check Periodo Ref.]:[Check Periodo Ref.]]="Dentro",DATOS_[Conc.Sal.28]))))),
0)</f>
        <v>0</v>
      </c>
      <c r="AH43" s="170">
        <f t="array" ref="AH43">IFERROR(
AVERAGE((IF(DATOS_[[Sexo]:[Sexo]]=$B43,IF(DATOS_[[AGRUP. VALOR. PTO.]:[AGRUP. VALOR. PTO.]]=$B42,IF(DATOS_[[Check Periodo Ref.]:[Check Periodo Ref.]]="Dentro",DATOS_[Conc.Sal.29]))))),
0)</f>
        <v>0</v>
      </c>
      <c r="AI43" s="170">
        <f t="array" ref="AI43">IFERROR(
AVERAGE((IF(DATOS_[[Sexo]:[Sexo]]=$B43,IF(DATOS_[[AGRUP. VALOR. PTO.]:[AGRUP. VALOR. PTO.]]=$B42,IF(DATOS_[[Check Periodo Ref.]:[Check Periodo Ref.]]="Dentro",DATOS_[Conc.Sal.30]))))),
0)</f>
        <v>0</v>
      </c>
      <c r="AJ43" s="171">
        <f t="array" ref="AJ43">IFERROR(
AVERAGE(IF(DATOS_[Sexo]=$B43,IF(DATOS_[AGRUP. VALOR. PTO.]=$B42,IF(DATOS_[Check Periodo Ref.]="Dentro",DATOS_[Tot COMPL.SAL Ef],FALSE)))),
0)</f>
        <v>0</v>
      </c>
      <c r="AK43" s="172">
        <f t="array" ref="AK43">IFERROR(
AVERAGE(IF(DATOS_[Sexo]=$B43,IF(DATOS_[AGRUP. VALOR. PTO.]=$B42,IF(DATOS_[Check Periodo Ref.]="Dentro",DATOS_[TOTAL SALARIO Ef],FALSE)))),
0)</f>
        <v>0</v>
      </c>
      <c r="AL43" s="173">
        <f t="array" ref="AL43">IFERROR(
AVERAGE((IF(DATOS_[[Sexo]:[Sexo]]=$B43,IF(DATOS_[[AGRUP. VALOR. PTO.]:[AGRUP. VALOR. PTO.]]=$B42,IF(DATOS_[[Check Periodo Ref.]:[Check Periodo Ref.]]="Dentro",DATOS_[C.Extra.01]))))),
0)</f>
        <v>0</v>
      </c>
      <c r="AM43" s="173">
        <f t="array" ref="AM43">IFERROR(
AVERAGE((IF(DATOS_[[Sexo]:[Sexo]]=$B43,IF(DATOS_[[AGRUP. VALOR. PTO.]:[AGRUP. VALOR. PTO.]]=$B42,IF(DATOS_[[Check Periodo Ref.]:[Check Periodo Ref.]]="Dentro",DATOS_[C.Extra.06]))))),
0)</f>
        <v>0</v>
      </c>
      <c r="AN43" s="173">
        <f t="array" ref="AN43">IFERROR(
AVERAGE((IF(DATOS_[[Sexo]:[Sexo]]=$B43,IF(DATOS_[[AGRUP. VALOR. PTO.]:[AGRUP. VALOR. PTO.]]=$B42,IF(DATOS_[[Check Periodo Ref.]:[Check Periodo Ref.]]="Dentro",DATOS_[C.Extra.07]))))),
0)</f>
        <v>0</v>
      </c>
      <c r="AO43" s="173">
        <f t="array" ref="AO43">IFERROR(
AVERAGE((IF(DATOS_[[Sexo]:[Sexo]]=$B43,IF(DATOS_[[AGRUP. VALOR. PTO.]:[AGRUP. VALOR. PTO.]]=$B42,IF(DATOS_[[Check Periodo Ref.]:[Check Periodo Ref.]]="Dentro",DATOS_[C.Extra.08]))))),
0)</f>
        <v>0</v>
      </c>
      <c r="AP43" s="173">
        <f t="array" ref="AP43">IFERROR(
AVERAGE((IF(DATOS_[[Sexo]:[Sexo]]=$B43,IF(DATOS_[[AGRUP. VALOR. PTO.]:[AGRUP. VALOR. PTO.]]=$B42,IF(DATOS_[[Check Periodo Ref.]:[Check Periodo Ref.]]="Dentro",DATOS_[C.Extra.11]))))),
0)</f>
        <v>0</v>
      </c>
      <c r="AQ43" s="174">
        <f t="array" ref="AQ43">IFERROR(
AVERAGE(IF(DATOS_[Sexo]=$B43,IF(DATOS_[AGRUP. VALOR. PTO.]=$B42,IF(DATOS_[Check Periodo Ref.]="Dentro",DATOS_[Tot Extrasalarial Ef],FALSE)))),
0)</f>
        <v>0</v>
      </c>
      <c r="AR43" s="171">
        <f t="array" ref="AR43">IFERROR(
AVERAGE(IF(DATOS_[Sexo]=$B43,IF(DATOS_[AGRUP. VALOR. PTO.]=$B42,IF(DATOS_[Check Periodo Ref.]="Dentro",DATOS_[TOTAL Retrib Ef],FALSE)))),
0)</f>
        <v>0</v>
      </c>
    </row>
    <row r="44" spans="1:44" x14ac:dyDescent="0.25">
      <c r="A44" s="178" t="str">
        <f t="shared" ref="A44" si="42">+A43</f>
        <v>[ocultar]</v>
      </c>
      <c r="B44" s="166" t="s">
        <v>521</v>
      </c>
      <c r="C44" s="167">
        <f t="array" ref="C44">SUM(IF($B44=DATOS_[Sexo],
IF($B42=DATOS_[AGRUP. VALOR. PTO.],
IF("Dentro"=DATOS_[Check Periodo Ref.],
1/(COUNTIFS(DATOS_[Sexo],$B44,DATOS_[AGRUP. VALOR. PTO.],$B42,DATOS_[Check Periodo Ref.],"Dentro",DATOS_[id/cod],DATOS_[id/cod]))))))</f>
        <v>0</v>
      </c>
      <c r="D44" s="168">
        <f>COUNTIFS(DATOS_[AGRUP. VALOR. PTO.],$B42,DATOS_[Sexo],$B44,DATOS_[Check Periodo Ref.],"Dentro")</f>
        <v>0</v>
      </c>
      <c r="E44" s="169">
        <f t="array" ref="E44">IFERROR(
AVERAGE(IF(DATOS_[Sexo]=$B44,IF(DATOS_[AGRUP. VALOR. PTO.]=$B42,IF(DATOS_[Check Periodo Ref.]="Dentro",DATOS_[SALARIO BASE Ef],FALSE)))),
0)</f>
        <v>0</v>
      </c>
      <c r="F44" s="170">
        <f t="array" ref="F44">IFERROR(
AVERAGE((IF(DATOS_[[Sexo]:[Sexo]]=$B44,IF(DATOS_[[AGRUP. VALOR. PTO.]:[AGRUP. VALOR. PTO.]]=$B42,IF(DATOS_[[Check Periodo Ref.]:[Check Periodo Ref.]]="Dentro",DATOS_[Conc.Sal.01]))))),
0)</f>
        <v>0</v>
      </c>
      <c r="G44" s="170">
        <f t="array" ref="G44">IFERROR(
AVERAGE((IF(DATOS_[[Sexo]:[Sexo]]=$B44,IF(DATOS_[[AGRUP. VALOR. PTO.]:[AGRUP. VALOR. PTO.]]=$B42,IF(DATOS_[[Check Periodo Ref.]:[Check Periodo Ref.]]="Dentro",DATOS_[Conc.Sal.02]))))),
0)</f>
        <v>0</v>
      </c>
      <c r="H44" s="170">
        <f t="array" ref="H44">IFERROR(
AVERAGE((IF(DATOS_[[Sexo]:[Sexo]]=$B44,IF(DATOS_[[AGRUP. VALOR. PTO.]:[AGRUP. VALOR. PTO.]]=$B42,IF(DATOS_[[Check Periodo Ref.]:[Check Periodo Ref.]]="Dentro",DATOS_[Conc.Sal.03]))))),
0)</f>
        <v>0</v>
      </c>
      <c r="I44" s="170">
        <f t="array" ref="I44">IFERROR(
AVERAGE((IF(DATOS_[[Sexo]:[Sexo]]=$B44,IF(DATOS_[[AGRUP. VALOR. PTO.]:[AGRUP. VALOR. PTO.]]=$B42,IF(DATOS_[[Check Periodo Ref.]:[Check Periodo Ref.]]="Dentro",DATOS_[Conc.Sal.04]))))),
0)</f>
        <v>0</v>
      </c>
      <c r="J44" s="170">
        <f t="array" ref="J44">IFERROR(
AVERAGE((IF(DATOS_[[Sexo]:[Sexo]]=$B44,IF(DATOS_[[AGRUP. VALOR. PTO.]:[AGRUP. VALOR. PTO.]]=$B42,IF(DATOS_[[Check Periodo Ref.]:[Check Periodo Ref.]]="Dentro",DATOS_[Conc.Sal.05]))))),
0)</f>
        <v>0</v>
      </c>
      <c r="K44" s="170">
        <f t="array" ref="K44">IFERROR(
AVERAGE((IF(DATOS_[[Sexo]:[Sexo]]=$B44,IF(DATOS_[[AGRUP. VALOR. PTO.]:[AGRUP. VALOR. PTO.]]=$B42,IF(DATOS_[[Check Periodo Ref.]:[Check Periodo Ref.]]="Dentro",DATOS_[Conc.Sal.06]))))),
0)</f>
        <v>0</v>
      </c>
      <c r="L44" s="170">
        <f t="array" ref="L44">IFERROR(
AVERAGE((IF(DATOS_[[Sexo]:[Sexo]]=$B44,IF(DATOS_[[AGRUP. VALOR. PTO.]:[AGRUP. VALOR. PTO.]]=$B42,IF(DATOS_[[Check Periodo Ref.]:[Check Periodo Ref.]]="Dentro",DATOS_[Conc.Sal.07]))))),
0)</f>
        <v>0</v>
      </c>
      <c r="M44" s="170">
        <f t="array" ref="M44">IFERROR(
AVERAGE((IF(DATOS_[[Sexo]:[Sexo]]=$B44,IF(DATOS_[[AGRUP. VALOR. PTO.]:[AGRUP. VALOR. PTO.]]=$B42,IF(DATOS_[[Check Periodo Ref.]:[Check Periodo Ref.]]="Dentro",DATOS_[Conc.Sal.08]))))),
0)</f>
        <v>0</v>
      </c>
      <c r="N44" s="170">
        <f t="array" ref="N44">IFERROR(
AVERAGE((IF(DATOS_[[Sexo]:[Sexo]]=$B44,IF(DATOS_[[AGRUP. VALOR. PTO.]:[AGRUP. VALOR. PTO.]]=$B42,IF(DATOS_[[Check Periodo Ref.]:[Check Periodo Ref.]]="Dentro",DATOS_[Conc.Sal.09]))))),
0)</f>
        <v>0</v>
      </c>
      <c r="O44" s="170">
        <f t="array" ref="O44">IFERROR(
AVERAGE((IF(DATOS_[[Sexo]:[Sexo]]=$B44,IF(DATOS_[[AGRUP. VALOR. PTO.]:[AGRUP. VALOR. PTO.]]=$B42,IF(DATOS_[[Check Periodo Ref.]:[Check Periodo Ref.]]="Dentro",DATOS_[Conc.Sal.10]))))),
0)</f>
        <v>0</v>
      </c>
      <c r="P44" s="170">
        <f t="array" ref="P44">IFERROR(
AVERAGE((IF(DATOS_[[Sexo]:[Sexo]]=$B44,IF(DATOS_[[AGRUP. VALOR. PTO.]:[AGRUP. VALOR. PTO.]]=$B42,IF(DATOS_[[Check Periodo Ref.]:[Check Periodo Ref.]]="Dentro",DATOS_[Conc.Sal.11]))))),
0)</f>
        <v>0</v>
      </c>
      <c r="Q44" s="170">
        <f t="array" ref="Q44">IFERROR(
AVERAGE((IF(DATOS_[[Sexo]:[Sexo]]=$B44,IF(DATOS_[[AGRUP. VALOR. PTO.]:[AGRUP. VALOR. PTO.]]=$B42,IF(DATOS_[[Check Periodo Ref.]:[Check Periodo Ref.]]="Dentro",DATOS_[Conc.Sal.12]))))),
0)</f>
        <v>0</v>
      </c>
      <c r="R44" s="170">
        <f t="array" ref="R44">IFERROR(
AVERAGE((IF(DATOS_[[Sexo]:[Sexo]]=$B44,IF(DATOS_[[AGRUP. VALOR. PTO.]:[AGRUP. VALOR. PTO.]]=$B42,IF(DATOS_[[Check Periodo Ref.]:[Check Periodo Ref.]]="Dentro",DATOS_[Conc.Sal.13]))))),
0)</f>
        <v>0</v>
      </c>
      <c r="S44" s="170">
        <f t="array" ref="S44">IFERROR(
AVERAGE((IF(DATOS_[[Sexo]:[Sexo]]=$B44,IF(DATOS_[[AGRUP. VALOR. PTO.]:[AGRUP. VALOR. PTO.]]=$B42,IF(DATOS_[[Check Periodo Ref.]:[Check Periodo Ref.]]="Dentro",DATOS_[Conc.Sal.14]))))),
0)</f>
        <v>0</v>
      </c>
      <c r="T44" s="170">
        <f t="array" ref="T44">IFERROR(
AVERAGE((IF(DATOS_[[Sexo]:[Sexo]]=$B44,IF(DATOS_[[AGRUP. VALOR. PTO.]:[AGRUP. VALOR. PTO.]]=$B42,IF(DATOS_[[Check Periodo Ref.]:[Check Periodo Ref.]]="Dentro",DATOS_[Conc.Sal.15]))))),
0)</f>
        <v>0</v>
      </c>
      <c r="U44" s="170">
        <f t="array" ref="U44">IFERROR(
AVERAGE((IF(DATOS_[[Sexo]:[Sexo]]=$B44,IF(DATOS_[[AGRUP. VALOR. PTO.]:[AGRUP. VALOR. PTO.]]=$B42,IF(DATOS_[[Check Periodo Ref.]:[Check Periodo Ref.]]="Dentro",DATOS_[Conc.Sal.16]))))),
0)</f>
        <v>0</v>
      </c>
      <c r="V44" s="170">
        <f t="array" ref="V44">IFERROR(
AVERAGE((IF(DATOS_[[Sexo]:[Sexo]]=$B44,IF(DATOS_[[AGRUP. VALOR. PTO.]:[AGRUP. VALOR. PTO.]]=$B42,IF(DATOS_[[Check Periodo Ref.]:[Check Periodo Ref.]]="Dentro",DATOS_[Conc.Sal.17]))))),
0)</f>
        <v>0</v>
      </c>
      <c r="W44" s="170">
        <f t="array" ref="W44">IFERROR(
AVERAGE((IF(DATOS_[[Sexo]:[Sexo]]=$B44,IF(DATOS_[[AGRUP. VALOR. PTO.]:[AGRUP. VALOR. PTO.]]=$B42,IF(DATOS_[[Check Periodo Ref.]:[Check Periodo Ref.]]="Dentro",DATOS_[Conc.Sal.18]))))),
0)</f>
        <v>0</v>
      </c>
      <c r="X44" s="170">
        <f t="array" ref="X44">IFERROR(
AVERAGE((IF(DATOS_[[Sexo]:[Sexo]]=$B44,IF(DATOS_[[AGRUP. VALOR. PTO.]:[AGRUP. VALOR. PTO.]]=$B42,IF(DATOS_[[Check Periodo Ref.]:[Check Periodo Ref.]]="Dentro",DATOS_[Conc.Sal.19]))))),
0)</f>
        <v>0</v>
      </c>
      <c r="Y44" s="170">
        <f t="array" ref="Y44">IFERROR(
AVERAGE((IF(DATOS_[[Sexo]:[Sexo]]=$B44,IF(DATOS_[[AGRUP. VALOR. PTO.]:[AGRUP. VALOR. PTO.]]=$B42,IF(DATOS_[[Check Periodo Ref.]:[Check Periodo Ref.]]="Dentro",DATOS_[Conc.Sal.20]))))),
0)</f>
        <v>0</v>
      </c>
      <c r="Z44" s="170">
        <f t="array" ref="Z44">IFERROR(
AVERAGE((IF(DATOS_[[Sexo]:[Sexo]]=$B44,IF(DATOS_[[AGRUP. VALOR. PTO.]:[AGRUP. VALOR. PTO.]]=$B42,IF(DATOS_[[Check Periodo Ref.]:[Check Periodo Ref.]]="Dentro",DATOS_[Conc.Sal.21]))))),
0)</f>
        <v>0</v>
      </c>
      <c r="AA44" s="170">
        <f t="array" ref="AA44">IFERROR(
AVERAGE((IF(DATOS_[[Sexo]:[Sexo]]=$B44,IF(DATOS_[[AGRUP. VALOR. PTO.]:[AGRUP. VALOR. PTO.]]=$B42,IF(DATOS_[[Check Periodo Ref.]:[Check Periodo Ref.]]="Dentro",DATOS_[Conc.Sal.22]))))),
0)</f>
        <v>0</v>
      </c>
      <c r="AB44" s="170">
        <f t="array" ref="AB44">IFERROR(
AVERAGE((IF(DATOS_[[Sexo]:[Sexo]]=$B44,IF(DATOS_[[AGRUP. VALOR. PTO.]:[AGRUP. VALOR. PTO.]]=$B42,IF(DATOS_[[Check Periodo Ref.]:[Check Periodo Ref.]]="Dentro",DATOS_[Conc.Sal.23]))))),
0)</f>
        <v>0</v>
      </c>
      <c r="AC44" s="170">
        <f t="array" ref="AC44">IFERROR(
AVERAGE((IF(DATOS_[[Sexo]:[Sexo]]=$B44,IF(DATOS_[[AGRUP. VALOR. PTO.]:[AGRUP. VALOR. PTO.]]=$B42,IF(DATOS_[[Check Periodo Ref.]:[Check Periodo Ref.]]="Dentro",DATOS_[Conc.Sal.24]))))),
0)</f>
        <v>0</v>
      </c>
      <c r="AD44" s="170">
        <f t="array" ref="AD44">IFERROR(
AVERAGE((IF(DATOS_[[Sexo]:[Sexo]]=$B44,IF(DATOS_[[AGRUP. VALOR. PTO.]:[AGRUP. VALOR. PTO.]]=$B42,IF(DATOS_[[Check Periodo Ref.]:[Check Periodo Ref.]]="Dentro",DATOS_[Conc.Sal.25]))))),
0)</f>
        <v>0</v>
      </c>
      <c r="AE44" s="170">
        <f t="array" ref="AE44">IFERROR(
AVERAGE((IF(DATOS_[[Sexo]:[Sexo]]=$B44,IF(DATOS_[[AGRUP. VALOR. PTO.]:[AGRUP. VALOR. PTO.]]=$B42,IF(DATOS_[[Check Periodo Ref.]:[Check Periodo Ref.]]="Dentro",DATOS_[Conc.Sal.26]))))),
0)</f>
        <v>0</v>
      </c>
      <c r="AF44" s="170">
        <f t="array" ref="AF44">IFERROR(
AVERAGE((IF(DATOS_[[Sexo]:[Sexo]]=$B44,IF(DATOS_[[AGRUP. VALOR. PTO.]:[AGRUP. VALOR. PTO.]]=$B42,IF(DATOS_[[Check Periodo Ref.]:[Check Periodo Ref.]]="Dentro",DATOS_[Conc.Sal.27]))))),
0)</f>
        <v>0</v>
      </c>
      <c r="AG44" s="170">
        <f t="array" ref="AG44">IFERROR(
AVERAGE((IF(DATOS_[[Sexo]:[Sexo]]=$B44,IF(DATOS_[[AGRUP. VALOR. PTO.]:[AGRUP. VALOR. PTO.]]=$B42,IF(DATOS_[[Check Periodo Ref.]:[Check Periodo Ref.]]="Dentro",DATOS_[Conc.Sal.28]))))),
0)</f>
        <v>0</v>
      </c>
      <c r="AH44" s="170">
        <f t="array" ref="AH44">IFERROR(
AVERAGE((IF(DATOS_[[Sexo]:[Sexo]]=$B44,IF(DATOS_[[AGRUP. VALOR. PTO.]:[AGRUP. VALOR. PTO.]]=$B42,IF(DATOS_[[Check Periodo Ref.]:[Check Periodo Ref.]]="Dentro",DATOS_[Conc.Sal.29]))))),
0)</f>
        <v>0</v>
      </c>
      <c r="AI44" s="170">
        <f t="array" ref="AI44">IFERROR(
AVERAGE((IF(DATOS_[[Sexo]:[Sexo]]=$B44,IF(DATOS_[[AGRUP. VALOR. PTO.]:[AGRUP. VALOR. PTO.]]=$B42,IF(DATOS_[[Check Periodo Ref.]:[Check Periodo Ref.]]="Dentro",DATOS_[Conc.Sal.30]))))),
0)</f>
        <v>0</v>
      </c>
      <c r="AJ44" s="171">
        <f t="array" ref="AJ44">IFERROR(
AVERAGE(IF(DATOS_[Sexo]=$B44,IF(DATOS_[AGRUP. VALOR. PTO.]=$B42,IF(DATOS_[Check Periodo Ref.]="Dentro",DATOS_[Tot COMPL.SAL Ef],FALSE)))),
0)</f>
        <v>0</v>
      </c>
      <c r="AK44" s="172">
        <f t="array" ref="AK44">IFERROR(
AVERAGE(IF(DATOS_[Sexo]=$B44,IF(DATOS_[AGRUP. VALOR. PTO.]=$B42,IF(DATOS_[Check Periodo Ref.]="Dentro",DATOS_[TOTAL SALARIO Ef],FALSE)))),
0)</f>
        <v>0</v>
      </c>
      <c r="AL44" s="173">
        <f t="array" ref="AL44">IFERROR(
AVERAGE((IF(DATOS_[[Sexo]:[Sexo]]=$B44,IF(DATOS_[[AGRUP. VALOR. PTO.]:[AGRUP. VALOR. PTO.]]=$B42,IF(DATOS_[[Check Periodo Ref.]:[Check Periodo Ref.]]="Dentro",DATOS_[C.Extra.01]))))),
0)</f>
        <v>0</v>
      </c>
      <c r="AM44" s="173">
        <f t="array" ref="AM44">IFERROR(
AVERAGE((IF(DATOS_[[Sexo]:[Sexo]]=$B44,IF(DATOS_[[AGRUP. VALOR. PTO.]:[AGRUP. VALOR. PTO.]]=$B42,IF(DATOS_[[Check Periodo Ref.]:[Check Periodo Ref.]]="Dentro",DATOS_[C.Extra.06]))))),
0)</f>
        <v>0</v>
      </c>
      <c r="AN44" s="173">
        <f t="array" ref="AN44">IFERROR(
AVERAGE((IF(DATOS_[[Sexo]:[Sexo]]=$B44,IF(DATOS_[[AGRUP. VALOR. PTO.]:[AGRUP. VALOR. PTO.]]=$B42,IF(DATOS_[[Check Periodo Ref.]:[Check Periodo Ref.]]="Dentro",DATOS_[C.Extra.07]))))),
0)</f>
        <v>0</v>
      </c>
      <c r="AO44" s="173">
        <f t="array" ref="AO44">IFERROR(
AVERAGE((IF(DATOS_[[Sexo]:[Sexo]]=$B44,IF(DATOS_[[AGRUP. VALOR. PTO.]:[AGRUP. VALOR. PTO.]]=$B42,IF(DATOS_[[Check Periodo Ref.]:[Check Periodo Ref.]]="Dentro",DATOS_[C.Extra.08]))))),
0)</f>
        <v>0</v>
      </c>
      <c r="AP44" s="173">
        <f t="array" ref="AP44">IFERROR(
AVERAGE((IF(DATOS_[[Sexo]:[Sexo]]=$B44,IF(DATOS_[[AGRUP. VALOR. PTO.]:[AGRUP. VALOR. PTO.]]=$B42,IF(DATOS_[[Check Periodo Ref.]:[Check Periodo Ref.]]="Dentro",DATOS_[C.Extra.11]))))),
0)</f>
        <v>0</v>
      </c>
      <c r="AQ44" s="174">
        <f t="array" ref="AQ44">IFERROR(
AVERAGE(IF(DATOS_[Sexo]=$B44,IF(DATOS_[AGRUP. VALOR. PTO.]=$B42,IF(DATOS_[Check Periodo Ref.]="Dentro",DATOS_[Tot Extrasalarial Ef],FALSE)))),
0)</f>
        <v>0</v>
      </c>
      <c r="AR44" s="171">
        <f t="array" ref="AR44">IFERROR(
AVERAGE(IF(DATOS_[Sexo]=$B44,IF(DATOS_[AGRUP. VALOR. PTO.]=$B42,IF(DATOS_[Check Periodo Ref.]="Dentro",DATOS_[TOTAL Retrib Ef],FALSE)))),
0)</f>
        <v>0</v>
      </c>
    </row>
    <row r="45" spans="1:44" ht="14.4" thickBot="1" x14ac:dyDescent="0.3">
      <c r="A45" s="178" t="str">
        <f t="shared" ref="A45" si="43">+A46</f>
        <v>[ocultar]</v>
      </c>
      <c r="B45" s="153" t="s">
        <v>218</v>
      </c>
      <c r="C45" s="154"/>
      <c r="D45" s="155"/>
      <c r="E45" s="156" t="str">
        <f t="shared" ref="E45:AR45" si="44">IFERROR((E46-E47)/E46,"")</f>
        <v/>
      </c>
      <c r="F45" s="157" t="str">
        <f t="shared" si="44"/>
        <v/>
      </c>
      <c r="G45" s="158" t="str">
        <f t="shared" si="44"/>
        <v/>
      </c>
      <c r="H45" s="158" t="str">
        <f t="shared" si="44"/>
        <v/>
      </c>
      <c r="I45" s="158" t="str">
        <f t="shared" si="44"/>
        <v/>
      </c>
      <c r="J45" s="159" t="str">
        <f t="shared" si="44"/>
        <v/>
      </c>
      <c r="K45" s="160" t="str">
        <f t="shared" si="44"/>
        <v/>
      </c>
      <c r="L45" s="160" t="str">
        <f t="shared" si="44"/>
        <v/>
      </c>
      <c r="M45" s="160" t="str">
        <f t="shared" si="44"/>
        <v/>
      </c>
      <c r="N45" s="160" t="str">
        <f t="shared" si="44"/>
        <v/>
      </c>
      <c r="O45" s="160" t="str">
        <f t="shared" si="44"/>
        <v/>
      </c>
      <c r="P45" s="160" t="str">
        <f t="shared" si="44"/>
        <v/>
      </c>
      <c r="Q45" s="160" t="str">
        <f t="shared" si="44"/>
        <v/>
      </c>
      <c r="R45" s="160" t="str">
        <f t="shared" si="44"/>
        <v/>
      </c>
      <c r="S45" s="160" t="str">
        <f t="shared" si="44"/>
        <v/>
      </c>
      <c r="T45" s="160" t="str">
        <f t="shared" si="44"/>
        <v/>
      </c>
      <c r="U45" s="160" t="str">
        <f t="shared" si="44"/>
        <v/>
      </c>
      <c r="V45" s="159" t="str">
        <f t="shared" si="44"/>
        <v/>
      </c>
      <c r="W45" s="159" t="str">
        <f t="shared" si="44"/>
        <v/>
      </c>
      <c r="X45" s="159" t="str">
        <f t="shared" si="44"/>
        <v/>
      </c>
      <c r="Y45" s="159" t="str">
        <f t="shared" si="44"/>
        <v/>
      </c>
      <c r="Z45" s="159" t="str">
        <f t="shared" si="44"/>
        <v/>
      </c>
      <c r="AA45" s="159" t="str">
        <f t="shared" si="44"/>
        <v/>
      </c>
      <c r="AB45" s="159" t="str">
        <f t="shared" si="44"/>
        <v/>
      </c>
      <c r="AC45" s="159" t="str">
        <f t="shared" si="44"/>
        <v/>
      </c>
      <c r="AD45" s="159" t="str">
        <f t="shared" si="44"/>
        <v/>
      </c>
      <c r="AE45" s="159" t="str">
        <f t="shared" si="44"/>
        <v/>
      </c>
      <c r="AF45" s="159" t="str">
        <f t="shared" si="44"/>
        <v/>
      </c>
      <c r="AG45" s="159" t="str">
        <f t="shared" si="44"/>
        <v/>
      </c>
      <c r="AH45" s="159" t="str">
        <f t="shared" si="44"/>
        <v/>
      </c>
      <c r="AI45" s="159" t="str">
        <f t="shared" si="44"/>
        <v/>
      </c>
      <c r="AJ45" s="161" t="str">
        <f t="shared" si="44"/>
        <v/>
      </c>
      <c r="AK45" s="162" t="str">
        <f t="shared" si="44"/>
        <v/>
      </c>
      <c r="AL45" s="163" t="str">
        <f t="shared" si="44"/>
        <v/>
      </c>
      <c r="AM45" s="163" t="str">
        <f t="shared" si="44"/>
        <v/>
      </c>
      <c r="AN45" s="163" t="str">
        <f t="shared" si="44"/>
        <v/>
      </c>
      <c r="AO45" s="163" t="str">
        <f t="shared" si="44"/>
        <v/>
      </c>
      <c r="AP45" s="163" t="str">
        <f t="shared" si="44"/>
        <v/>
      </c>
      <c r="AQ45" s="164" t="str">
        <f t="shared" si="44"/>
        <v/>
      </c>
      <c r="AR45" s="161" t="str">
        <f t="shared" si="44"/>
        <v/>
      </c>
    </row>
    <row r="46" spans="1:44" x14ac:dyDescent="0.25">
      <c r="A46" s="178" t="str">
        <f t="shared" ref="A46" si="45">+IF(C46+C47=0,"[ocultar]","")</f>
        <v>[ocultar]</v>
      </c>
      <c r="B46" s="166" t="s">
        <v>394</v>
      </c>
      <c r="C46" s="167">
        <f t="array" ref="C46">SUM(IF($B46=DATOS_[Sexo],
IF($B45=DATOS_[AGRUP. VALOR. PTO.],
IF("Dentro"=DATOS_[Check Periodo Ref.],
1/(COUNTIFS(DATOS_[Sexo],$B46,DATOS_[AGRUP. VALOR. PTO.],$B45,DATOS_[Check Periodo Ref.],"Dentro",DATOS_[id/cod],DATOS_[id/cod]))))))</f>
        <v>0</v>
      </c>
      <c r="D46" s="168">
        <f>COUNTIFS(DATOS_[AGRUP. VALOR. PTO.],$B45,DATOS_[Sexo],$B46,DATOS_[Check Periodo Ref.],"Dentro")</f>
        <v>0</v>
      </c>
      <c r="E46" s="169">
        <f t="array" ref="E46">IFERROR(
AVERAGE(IF(DATOS_[Sexo]=$B46,IF(DATOS_[AGRUP. VALOR. PTO.]=$B45,IF(DATOS_[Check Periodo Ref.]="Dentro",DATOS_[SALARIO BASE Ef],FALSE)))),
0)</f>
        <v>0</v>
      </c>
      <c r="F46" s="170">
        <f t="array" ref="F46">IFERROR(
AVERAGE((IF(DATOS_[[Sexo]:[Sexo]]=$B46,IF(DATOS_[[AGRUP. VALOR. PTO.]:[AGRUP. VALOR. PTO.]]=$B45,IF(DATOS_[[Check Periodo Ref.]:[Check Periodo Ref.]]="Dentro",DATOS_[Conc.Sal.01]))))),
0)</f>
        <v>0</v>
      </c>
      <c r="G46" s="170">
        <f t="array" ref="G46">IFERROR(
AVERAGE((IF(DATOS_[[Sexo]:[Sexo]]=$B46,IF(DATOS_[[AGRUP. VALOR. PTO.]:[AGRUP. VALOR. PTO.]]=$B45,IF(DATOS_[[Check Periodo Ref.]:[Check Periodo Ref.]]="Dentro",DATOS_[Conc.Sal.02]))))),
0)</f>
        <v>0</v>
      </c>
      <c r="H46" s="170">
        <f t="array" ref="H46">IFERROR(
AVERAGE((IF(DATOS_[[Sexo]:[Sexo]]=$B46,IF(DATOS_[[AGRUP. VALOR. PTO.]:[AGRUP. VALOR. PTO.]]=$B45,IF(DATOS_[[Check Periodo Ref.]:[Check Periodo Ref.]]="Dentro",DATOS_[Conc.Sal.03]))))),
0)</f>
        <v>0</v>
      </c>
      <c r="I46" s="170">
        <f t="array" ref="I46">IFERROR(
AVERAGE((IF(DATOS_[[Sexo]:[Sexo]]=$B46,IF(DATOS_[[AGRUP. VALOR. PTO.]:[AGRUP. VALOR. PTO.]]=$B45,IF(DATOS_[[Check Periodo Ref.]:[Check Periodo Ref.]]="Dentro",DATOS_[Conc.Sal.04]))))),
0)</f>
        <v>0</v>
      </c>
      <c r="J46" s="170">
        <f t="array" ref="J46">IFERROR(
AVERAGE((IF(DATOS_[[Sexo]:[Sexo]]=$B46,IF(DATOS_[[AGRUP. VALOR. PTO.]:[AGRUP. VALOR. PTO.]]=$B45,IF(DATOS_[[Check Periodo Ref.]:[Check Periodo Ref.]]="Dentro",DATOS_[Conc.Sal.05]))))),
0)</f>
        <v>0</v>
      </c>
      <c r="K46" s="170">
        <f t="array" ref="K46">IFERROR(
AVERAGE((IF(DATOS_[[Sexo]:[Sexo]]=$B46,IF(DATOS_[[AGRUP. VALOR. PTO.]:[AGRUP. VALOR. PTO.]]=$B45,IF(DATOS_[[Check Periodo Ref.]:[Check Periodo Ref.]]="Dentro",DATOS_[Conc.Sal.06]))))),
0)</f>
        <v>0</v>
      </c>
      <c r="L46" s="170">
        <f t="array" ref="L46">IFERROR(
AVERAGE((IF(DATOS_[[Sexo]:[Sexo]]=$B46,IF(DATOS_[[AGRUP. VALOR. PTO.]:[AGRUP. VALOR. PTO.]]=$B45,IF(DATOS_[[Check Periodo Ref.]:[Check Periodo Ref.]]="Dentro",DATOS_[Conc.Sal.07]))))),
0)</f>
        <v>0</v>
      </c>
      <c r="M46" s="170">
        <f t="array" ref="M46">IFERROR(
AVERAGE((IF(DATOS_[[Sexo]:[Sexo]]=$B46,IF(DATOS_[[AGRUP. VALOR. PTO.]:[AGRUP. VALOR. PTO.]]=$B45,IF(DATOS_[[Check Periodo Ref.]:[Check Periodo Ref.]]="Dentro",DATOS_[Conc.Sal.08]))))),
0)</f>
        <v>0</v>
      </c>
      <c r="N46" s="170">
        <f t="array" ref="N46">IFERROR(
AVERAGE((IF(DATOS_[[Sexo]:[Sexo]]=$B46,IF(DATOS_[[AGRUP. VALOR. PTO.]:[AGRUP. VALOR. PTO.]]=$B45,IF(DATOS_[[Check Periodo Ref.]:[Check Periodo Ref.]]="Dentro",DATOS_[Conc.Sal.09]))))),
0)</f>
        <v>0</v>
      </c>
      <c r="O46" s="170">
        <f t="array" ref="O46">IFERROR(
AVERAGE((IF(DATOS_[[Sexo]:[Sexo]]=$B46,IF(DATOS_[[AGRUP. VALOR. PTO.]:[AGRUP. VALOR. PTO.]]=$B45,IF(DATOS_[[Check Periodo Ref.]:[Check Periodo Ref.]]="Dentro",DATOS_[Conc.Sal.10]))))),
0)</f>
        <v>0</v>
      </c>
      <c r="P46" s="170">
        <f t="array" ref="P46">IFERROR(
AVERAGE((IF(DATOS_[[Sexo]:[Sexo]]=$B46,IF(DATOS_[[AGRUP. VALOR. PTO.]:[AGRUP. VALOR. PTO.]]=$B45,IF(DATOS_[[Check Periodo Ref.]:[Check Periodo Ref.]]="Dentro",DATOS_[Conc.Sal.11]))))),
0)</f>
        <v>0</v>
      </c>
      <c r="Q46" s="170">
        <f t="array" ref="Q46">IFERROR(
AVERAGE((IF(DATOS_[[Sexo]:[Sexo]]=$B46,IF(DATOS_[[AGRUP. VALOR. PTO.]:[AGRUP. VALOR. PTO.]]=$B45,IF(DATOS_[[Check Periodo Ref.]:[Check Periodo Ref.]]="Dentro",DATOS_[Conc.Sal.12]))))),
0)</f>
        <v>0</v>
      </c>
      <c r="R46" s="170">
        <f t="array" ref="R46">IFERROR(
AVERAGE((IF(DATOS_[[Sexo]:[Sexo]]=$B46,IF(DATOS_[[AGRUP. VALOR. PTO.]:[AGRUP. VALOR. PTO.]]=$B45,IF(DATOS_[[Check Periodo Ref.]:[Check Periodo Ref.]]="Dentro",DATOS_[Conc.Sal.13]))))),
0)</f>
        <v>0</v>
      </c>
      <c r="S46" s="170">
        <f t="array" ref="S46">IFERROR(
AVERAGE((IF(DATOS_[[Sexo]:[Sexo]]=$B46,IF(DATOS_[[AGRUP. VALOR. PTO.]:[AGRUP. VALOR. PTO.]]=$B45,IF(DATOS_[[Check Periodo Ref.]:[Check Periodo Ref.]]="Dentro",DATOS_[Conc.Sal.14]))))),
0)</f>
        <v>0</v>
      </c>
      <c r="T46" s="170">
        <f t="array" ref="T46">IFERROR(
AVERAGE((IF(DATOS_[[Sexo]:[Sexo]]=$B46,IF(DATOS_[[AGRUP. VALOR. PTO.]:[AGRUP. VALOR. PTO.]]=$B45,IF(DATOS_[[Check Periodo Ref.]:[Check Periodo Ref.]]="Dentro",DATOS_[Conc.Sal.15]))))),
0)</f>
        <v>0</v>
      </c>
      <c r="U46" s="170">
        <f t="array" ref="U46">IFERROR(
AVERAGE((IF(DATOS_[[Sexo]:[Sexo]]=$B46,IF(DATOS_[[AGRUP. VALOR. PTO.]:[AGRUP. VALOR. PTO.]]=$B45,IF(DATOS_[[Check Periodo Ref.]:[Check Periodo Ref.]]="Dentro",DATOS_[Conc.Sal.16]))))),
0)</f>
        <v>0</v>
      </c>
      <c r="V46" s="170">
        <f t="array" ref="V46">IFERROR(
AVERAGE((IF(DATOS_[[Sexo]:[Sexo]]=$B46,IF(DATOS_[[AGRUP. VALOR. PTO.]:[AGRUP. VALOR. PTO.]]=$B45,IF(DATOS_[[Check Periodo Ref.]:[Check Periodo Ref.]]="Dentro",DATOS_[Conc.Sal.17]))))),
0)</f>
        <v>0</v>
      </c>
      <c r="W46" s="170">
        <f t="array" ref="W46">IFERROR(
AVERAGE((IF(DATOS_[[Sexo]:[Sexo]]=$B46,IF(DATOS_[[AGRUP. VALOR. PTO.]:[AGRUP. VALOR. PTO.]]=$B45,IF(DATOS_[[Check Periodo Ref.]:[Check Periodo Ref.]]="Dentro",DATOS_[Conc.Sal.18]))))),
0)</f>
        <v>0</v>
      </c>
      <c r="X46" s="170">
        <f t="array" ref="X46">IFERROR(
AVERAGE((IF(DATOS_[[Sexo]:[Sexo]]=$B46,IF(DATOS_[[AGRUP. VALOR. PTO.]:[AGRUP. VALOR. PTO.]]=$B45,IF(DATOS_[[Check Periodo Ref.]:[Check Periodo Ref.]]="Dentro",DATOS_[Conc.Sal.19]))))),
0)</f>
        <v>0</v>
      </c>
      <c r="Y46" s="170">
        <f t="array" ref="Y46">IFERROR(
AVERAGE((IF(DATOS_[[Sexo]:[Sexo]]=$B46,IF(DATOS_[[AGRUP. VALOR. PTO.]:[AGRUP. VALOR. PTO.]]=$B45,IF(DATOS_[[Check Periodo Ref.]:[Check Periodo Ref.]]="Dentro",DATOS_[Conc.Sal.20]))))),
0)</f>
        <v>0</v>
      </c>
      <c r="Z46" s="170">
        <f t="array" ref="Z46">IFERROR(
AVERAGE((IF(DATOS_[[Sexo]:[Sexo]]=$B46,IF(DATOS_[[AGRUP. VALOR. PTO.]:[AGRUP. VALOR. PTO.]]=$B45,IF(DATOS_[[Check Periodo Ref.]:[Check Periodo Ref.]]="Dentro",DATOS_[Conc.Sal.21]))))),
0)</f>
        <v>0</v>
      </c>
      <c r="AA46" s="170">
        <f t="array" ref="AA46">IFERROR(
AVERAGE((IF(DATOS_[[Sexo]:[Sexo]]=$B46,IF(DATOS_[[AGRUP. VALOR. PTO.]:[AGRUP. VALOR. PTO.]]=$B45,IF(DATOS_[[Check Periodo Ref.]:[Check Periodo Ref.]]="Dentro",DATOS_[Conc.Sal.22]))))),
0)</f>
        <v>0</v>
      </c>
      <c r="AB46" s="170">
        <f t="array" ref="AB46">IFERROR(
AVERAGE((IF(DATOS_[[Sexo]:[Sexo]]=$B46,IF(DATOS_[[AGRUP. VALOR. PTO.]:[AGRUP. VALOR. PTO.]]=$B45,IF(DATOS_[[Check Periodo Ref.]:[Check Periodo Ref.]]="Dentro",DATOS_[Conc.Sal.23]))))),
0)</f>
        <v>0</v>
      </c>
      <c r="AC46" s="170">
        <f t="array" ref="AC46">IFERROR(
AVERAGE((IF(DATOS_[[Sexo]:[Sexo]]=$B46,IF(DATOS_[[AGRUP. VALOR. PTO.]:[AGRUP. VALOR. PTO.]]=$B45,IF(DATOS_[[Check Periodo Ref.]:[Check Periodo Ref.]]="Dentro",DATOS_[Conc.Sal.24]))))),
0)</f>
        <v>0</v>
      </c>
      <c r="AD46" s="170">
        <f t="array" ref="AD46">IFERROR(
AVERAGE((IF(DATOS_[[Sexo]:[Sexo]]=$B46,IF(DATOS_[[AGRUP. VALOR. PTO.]:[AGRUP. VALOR. PTO.]]=$B45,IF(DATOS_[[Check Periodo Ref.]:[Check Periodo Ref.]]="Dentro",DATOS_[Conc.Sal.25]))))),
0)</f>
        <v>0</v>
      </c>
      <c r="AE46" s="170">
        <f t="array" ref="AE46">IFERROR(
AVERAGE((IF(DATOS_[[Sexo]:[Sexo]]=$B46,IF(DATOS_[[AGRUP. VALOR. PTO.]:[AGRUP. VALOR. PTO.]]=$B45,IF(DATOS_[[Check Periodo Ref.]:[Check Periodo Ref.]]="Dentro",DATOS_[Conc.Sal.26]))))),
0)</f>
        <v>0</v>
      </c>
      <c r="AF46" s="170">
        <f t="array" ref="AF46">IFERROR(
AVERAGE((IF(DATOS_[[Sexo]:[Sexo]]=$B46,IF(DATOS_[[AGRUP. VALOR. PTO.]:[AGRUP. VALOR. PTO.]]=$B45,IF(DATOS_[[Check Periodo Ref.]:[Check Periodo Ref.]]="Dentro",DATOS_[Conc.Sal.27]))))),
0)</f>
        <v>0</v>
      </c>
      <c r="AG46" s="170">
        <f t="array" ref="AG46">IFERROR(
AVERAGE((IF(DATOS_[[Sexo]:[Sexo]]=$B46,IF(DATOS_[[AGRUP. VALOR. PTO.]:[AGRUP. VALOR. PTO.]]=$B45,IF(DATOS_[[Check Periodo Ref.]:[Check Periodo Ref.]]="Dentro",DATOS_[Conc.Sal.28]))))),
0)</f>
        <v>0</v>
      </c>
      <c r="AH46" s="170">
        <f t="array" ref="AH46">IFERROR(
AVERAGE((IF(DATOS_[[Sexo]:[Sexo]]=$B46,IF(DATOS_[[AGRUP. VALOR. PTO.]:[AGRUP. VALOR. PTO.]]=$B45,IF(DATOS_[[Check Periodo Ref.]:[Check Periodo Ref.]]="Dentro",DATOS_[Conc.Sal.29]))))),
0)</f>
        <v>0</v>
      </c>
      <c r="AI46" s="170">
        <f t="array" ref="AI46">IFERROR(
AVERAGE((IF(DATOS_[[Sexo]:[Sexo]]=$B46,IF(DATOS_[[AGRUP. VALOR. PTO.]:[AGRUP. VALOR. PTO.]]=$B45,IF(DATOS_[[Check Periodo Ref.]:[Check Periodo Ref.]]="Dentro",DATOS_[Conc.Sal.30]))))),
0)</f>
        <v>0</v>
      </c>
      <c r="AJ46" s="171">
        <f t="array" ref="AJ46">IFERROR(
AVERAGE(IF(DATOS_[Sexo]=$B46,IF(DATOS_[AGRUP. VALOR. PTO.]=$B45,IF(DATOS_[Check Periodo Ref.]="Dentro",DATOS_[Tot COMPL.SAL Ef],FALSE)))),
0)</f>
        <v>0</v>
      </c>
      <c r="AK46" s="172">
        <f t="array" ref="AK46">IFERROR(
AVERAGE(IF(DATOS_[Sexo]=$B46,IF(DATOS_[AGRUP. VALOR. PTO.]=$B45,IF(DATOS_[Check Periodo Ref.]="Dentro",DATOS_[TOTAL SALARIO Ef],FALSE)))),
0)</f>
        <v>0</v>
      </c>
      <c r="AL46" s="173">
        <f t="array" ref="AL46">IFERROR(
AVERAGE((IF(DATOS_[[Sexo]:[Sexo]]=$B46,IF(DATOS_[[AGRUP. VALOR. PTO.]:[AGRUP. VALOR. PTO.]]=$B45,IF(DATOS_[[Check Periodo Ref.]:[Check Periodo Ref.]]="Dentro",DATOS_[C.Extra.01]))))),
0)</f>
        <v>0</v>
      </c>
      <c r="AM46" s="173">
        <f t="array" ref="AM46">IFERROR(
AVERAGE((IF(DATOS_[[Sexo]:[Sexo]]=$B46,IF(DATOS_[[AGRUP. VALOR. PTO.]:[AGRUP. VALOR. PTO.]]=$B45,IF(DATOS_[[Check Periodo Ref.]:[Check Periodo Ref.]]="Dentro",DATOS_[C.Extra.06]))))),
0)</f>
        <v>0</v>
      </c>
      <c r="AN46" s="173">
        <f t="array" ref="AN46">IFERROR(
AVERAGE((IF(DATOS_[[Sexo]:[Sexo]]=$B46,IF(DATOS_[[AGRUP. VALOR. PTO.]:[AGRUP. VALOR. PTO.]]=$B45,IF(DATOS_[[Check Periodo Ref.]:[Check Periodo Ref.]]="Dentro",DATOS_[C.Extra.07]))))),
0)</f>
        <v>0</v>
      </c>
      <c r="AO46" s="173">
        <f t="array" ref="AO46">IFERROR(
AVERAGE((IF(DATOS_[[Sexo]:[Sexo]]=$B46,IF(DATOS_[[AGRUP. VALOR. PTO.]:[AGRUP. VALOR. PTO.]]=$B45,IF(DATOS_[[Check Periodo Ref.]:[Check Periodo Ref.]]="Dentro",DATOS_[C.Extra.08]))))),
0)</f>
        <v>0</v>
      </c>
      <c r="AP46" s="173">
        <f t="array" ref="AP46">IFERROR(
AVERAGE((IF(DATOS_[[Sexo]:[Sexo]]=$B46,IF(DATOS_[[AGRUP. VALOR. PTO.]:[AGRUP. VALOR. PTO.]]=$B45,IF(DATOS_[[Check Periodo Ref.]:[Check Periodo Ref.]]="Dentro",DATOS_[C.Extra.11]))))),
0)</f>
        <v>0</v>
      </c>
      <c r="AQ46" s="174">
        <f t="array" ref="AQ46">IFERROR(
AVERAGE(IF(DATOS_[Sexo]=$B46,IF(DATOS_[AGRUP. VALOR. PTO.]=$B45,IF(DATOS_[Check Periodo Ref.]="Dentro",DATOS_[Tot Extrasalarial Ef],FALSE)))),
0)</f>
        <v>0</v>
      </c>
      <c r="AR46" s="171">
        <f t="array" ref="AR46">IFERROR(
AVERAGE(IF(DATOS_[Sexo]=$B46,IF(DATOS_[AGRUP. VALOR. PTO.]=$B45,IF(DATOS_[Check Periodo Ref.]="Dentro",DATOS_[TOTAL Retrib Ef],FALSE)))),
0)</f>
        <v>0</v>
      </c>
    </row>
    <row r="47" spans="1:44" x14ac:dyDescent="0.25">
      <c r="A47" s="178" t="str">
        <f t="shared" ref="A47" si="46">+A46</f>
        <v>[ocultar]</v>
      </c>
      <c r="B47" s="166" t="s">
        <v>521</v>
      </c>
      <c r="C47" s="167">
        <f t="array" ref="C47">SUM(IF($B47=DATOS_[Sexo],
IF($B45=DATOS_[AGRUP. VALOR. PTO.],
IF("Dentro"=DATOS_[Check Periodo Ref.],
1/(COUNTIFS(DATOS_[Sexo],$B47,DATOS_[AGRUP. VALOR. PTO.],$B45,DATOS_[Check Periodo Ref.],"Dentro",DATOS_[id/cod],DATOS_[id/cod]))))))</f>
        <v>0</v>
      </c>
      <c r="D47" s="168">
        <f>COUNTIFS(DATOS_[AGRUP. VALOR. PTO.],$B45,DATOS_[Sexo],$B47,DATOS_[Check Periodo Ref.],"Dentro")</f>
        <v>0</v>
      </c>
      <c r="E47" s="169">
        <f t="array" ref="E47">IFERROR(
AVERAGE(IF(DATOS_[Sexo]=$B47,IF(DATOS_[AGRUP. VALOR. PTO.]=$B45,IF(DATOS_[Check Periodo Ref.]="Dentro",DATOS_[SALARIO BASE Ef],FALSE)))),
0)</f>
        <v>0</v>
      </c>
      <c r="F47" s="170">
        <f t="array" ref="F47">IFERROR(
AVERAGE((IF(DATOS_[[Sexo]:[Sexo]]=$B47,IF(DATOS_[[AGRUP. VALOR. PTO.]:[AGRUP. VALOR. PTO.]]=$B45,IF(DATOS_[[Check Periodo Ref.]:[Check Periodo Ref.]]="Dentro",DATOS_[Conc.Sal.01]))))),
0)</f>
        <v>0</v>
      </c>
      <c r="G47" s="170">
        <f t="array" ref="G47">IFERROR(
AVERAGE((IF(DATOS_[[Sexo]:[Sexo]]=$B47,IF(DATOS_[[AGRUP. VALOR. PTO.]:[AGRUP. VALOR. PTO.]]=$B45,IF(DATOS_[[Check Periodo Ref.]:[Check Periodo Ref.]]="Dentro",DATOS_[Conc.Sal.02]))))),
0)</f>
        <v>0</v>
      </c>
      <c r="H47" s="170">
        <f t="array" ref="H47">IFERROR(
AVERAGE((IF(DATOS_[[Sexo]:[Sexo]]=$B47,IF(DATOS_[[AGRUP. VALOR. PTO.]:[AGRUP. VALOR. PTO.]]=$B45,IF(DATOS_[[Check Periodo Ref.]:[Check Periodo Ref.]]="Dentro",DATOS_[Conc.Sal.03]))))),
0)</f>
        <v>0</v>
      </c>
      <c r="I47" s="170">
        <f t="array" ref="I47">IFERROR(
AVERAGE((IF(DATOS_[[Sexo]:[Sexo]]=$B47,IF(DATOS_[[AGRUP. VALOR. PTO.]:[AGRUP. VALOR. PTO.]]=$B45,IF(DATOS_[[Check Periodo Ref.]:[Check Periodo Ref.]]="Dentro",DATOS_[Conc.Sal.04]))))),
0)</f>
        <v>0</v>
      </c>
      <c r="J47" s="170">
        <f t="array" ref="J47">IFERROR(
AVERAGE((IF(DATOS_[[Sexo]:[Sexo]]=$B47,IF(DATOS_[[AGRUP. VALOR. PTO.]:[AGRUP. VALOR. PTO.]]=$B45,IF(DATOS_[[Check Periodo Ref.]:[Check Periodo Ref.]]="Dentro",DATOS_[Conc.Sal.05]))))),
0)</f>
        <v>0</v>
      </c>
      <c r="K47" s="170">
        <f t="array" ref="K47">IFERROR(
AVERAGE((IF(DATOS_[[Sexo]:[Sexo]]=$B47,IF(DATOS_[[AGRUP. VALOR. PTO.]:[AGRUP. VALOR. PTO.]]=$B45,IF(DATOS_[[Check Periodo Ref.]:[Check Periodo Ref.]]="Dentro",DATOS_[Conc.Sal.06]))))),
0)</f>
        <v>0</v>
      </c>
      <c r="L47" s="170">
        <f t="array" ref="L47">IFERROR(
AVERAGE((IF(DATOS_[[Sexo]:[Sexo]]=$B47,IF(DATOS_[[AGRUP. VALOR. PTO.]:[AGRUP. VALOR. PTO.]]=$B45,IF(DATOS_[[Check Periodo Ref.]:[Check Periodo Ref.]]="Dentro",DATOS_[Conc.Sal.07]))))),
0)</f>
        <v>0</v>
      </c>
      <c r="M47" s="170">
        <f t="array" ref="M47">IFERROR(
AVERAGE((IF(DATOS_[[Sexo]:[Sexo]]=$B47,IF(DATOS_[[AGRUP. VALOR. PTO.]:[AGRUP. VALOR. PTO.]]=$B45,IF(DATOS_[[Check Periodo Ref.]:[Check Periodo Ref.]]="Dentro",DATOS_[Conc.Sal.08]))))),
0)</f>
        <v>0</v>
      </c>
      <c r="N47" s="170">
        <f t="array" ref="N47">IFERROR(
AVERAGE((IF(DATOS_[[Sexo]:[Sexo]]=$B47,IF(DATOS_[[AGRUP. VALOR. PTO.]:[AGRUP. VALOR. PTO.]]=$B45,IF(DATOS_[[Check Periodo Ref.]:[Check Periodo Ref.]]="Dentro",DATOS_[Conc.Sal.09]))))),
0)</f>
        <v>0</v>
      </c>
      <c r="O47" s="170">
        <f t="array" ref="O47">IFERROR(
AVERAGE((IF(DATOS_[[Sexo]:[Sexo]]=$B47,IF(DATOS_[[AGRUP. VALOR. PTO.]:[AGRUP. VALOR. PTO.]]=$B45,IF(DATOS_[[Check Periodo Ref.]:[Check Periodo Ref.]]="Dentro",DATOS_[Conc.Sal.10]))))),
0)</f>
        <v>0</v>
      </c>
      <c r="P47" s="170">
        <f t="array" ref="P47">IFERROR(
AVERAGE((IF(DATOS_[[Sexo]:[Sexo]]=$B47,IF(DATOS_[[AGRUP. VALOR. PTO.]:[AGRUP. VALOR. PTO.]]=$B45,IF(DATOS_[[Check Periodo Ref.]:[Check Periodo Ref.]]="Dentro",DATOS_[Conc.Sal.11]))))),
0)</f>
        <v>0</v>
      </c>
      <c r="Q47" s="170">
        <f t="array" ref="Q47">IFERROR(
AVERAGE((IF(DATOS_[[Sexo]:[Sexo]]=$B47,IF(DATOS_[[AGRUP. VALOR. PTO.]:[AGRUP. VALOR. PTO.]]=$B45,IF(DATOS_[[Check Periodo Ref.]:[Check Periodo Ref.]]="Dentro",DATOS_[Conc.Sal.12]))))),
0)</f>
        <v>0</v>
      </c>
      <c r="R47" s="170">
        <f t="array" ref="R47">IFERROR(
AVERAGE((IF(DATOS_[[Sexo]:[Sexo]]=$B47,IF(DATOS_[[AGRUP. VALOR. PTO.]:[AGRUP. VALOR. PTO.]]=$B45,IF(DATOS_[[Check Periodo Ref.]:[Check Periodo Ref.]]="Dentro",DATOS_[Conc.Sal.13]))))),
0)</f>
        <v>0</v>
      </c>
      <c r="S47" s="170">
        <f t="array" ref="S47">IFERROR(
AVERAGE((IF(DATOS_[[Sexo]:[Sexo]]=$B47,IF(DATOS_[[AGRUP. VALOR. PTO.]:[AGRUP. VALOR. PTO.]]=$B45,IF(DATOS_[[Check Periodo Ref.]:[Check Periodo Ref.]]="Dentro",DATOS_[Conc.Sal.14]))))),
0)</f>
        <v>0</v>
      </c>
      <c r="T47" s="170">
        <f t="array" ref="T47">IFERROR(
AVERAGE((IF(DATOS_[[Sexo]:[Sexo]]=$B47,IF(DATOS_[[AGRUP. VALOR. PTO.]:[AGRUP. VALOR. PTO.]]=$B45,IF(DATOS_[[Check Periodo Ref.]:[Check Periodo Ref.]]="Dentro",DATOS_[Conc.Sal.15]))))),
0)</f>
        <v>0</v>
      </c>
      <c r="U47" s="170">
        <f t="array" ref="U47">IFERROR(
AVERAGE((IF(DATOS_[[Sexo]:[Sexo]]=$B47,IF(DATOS_[[AGRUP. VALOR. PTO.]:[AGRUP. VALOR. PTO.]]=$B45,IF(DATOS_[[Check Periodo Ref.]:[Check Periodo Ref.]]="Dentro",DATOS_[Conc.Sal.16]))))),
0)</f>
        <v>0</v>
      </c>
      <c r="V47" s="170">
        <f t="array" ref="V47">IFERROR(
AVERAGE((IF(DATOS_[[Sexo]:[Sexo]]=$B47,IF(DATOS_[[AGRUP. VALOR. PTO.]:[AGRUP. VALOR. PTO.]]=$B45,IF(DATOS_[[Check Periodo Ref.]:[Check Periodo Ref.]]="Dentro",DATOS_[Conc.Sal.17]))))),
0)</f>
        <v>0</v>
      </c>
      <c r="W47" s="170">
        <f t="array" ref="W47">IFERROR(
AVERAGE((IF(DATOS_[[Sexo]:[Sexo]]=$B47,IF(DATOS_[[AGRUP. VALOR. PTO.]:[AGRUP. VALOR. PTO.]]=$B45,IF(DATOS_[[Check Periodo Ref.]:[Check Periodo Ref.]]="Dentro",DATOS_[Conc.Sal.18]))))),
0)</f>
        <v>0</v>
      </c>
      <c r="X47" s="170">
        <f t="array" ref="X47">IFERROR(
AVERAGE((IF(DATOS_[[Sexo]:[Sexo]]=$B47,IF(DATOS_[[AGRUP. VALOR. PTO.]:[AGRUP. VALOR. PTO.]]=$B45,IF(DATOS_[[Check Periodo Ref.]:[Check Periodo Ref.]]="Dentro",DATOS_[Conc.Sal.19]))))),
0)</f>
        <v>0</v>
      </c>
      <c r="Y47" s="170">
        <f t="array" ref="Y47">IFERROR(
AVERAGE((IF(DATOS_[[Sexo]:[Sexo]]=$B47,IF(DATOS_[[AGRUP. VALOR. PTO.]:[AGRUP. VALOR. PTO.]]=$B45,IF(DATOS_[[Check Periodo Ref.]:[Check Periodo Ref.]]="Dentro",DATOS_[Conc.Sal.20]))))),
0)</f>
        <v>0</v>
      </c>
      <c r="Z47" s="170">
        <f t="array" ref="Z47">IFERROR(
AVERAGE((IF(DATOS_[[Sexo]:[Sexo]]=$B47,IF(DATOS_[[AGRUP. VALOR. PTO.]:[AGRUP. VALOR. PTO.]]=$B45,IF(DATOS_[[Check Periodo Ref.]:[Check Periodo Ref.]]="Dentro",DATOS_[Conc.Sal.21]))))),
0)</f>
        <v>0</v>
      </c>
      <c r="AA47" s="170">
        <f t="array" ref="AA47">IFERROR(
AVERAGE((IF(DATOS_[[Sexo]:[Sexo]]=$B47,IF(DATOS_[[AGRUP. VALOR. PTO.]:[AGRUP. VALOR. PTO.]]=$B45,IF(DATOS_[[Check Periodo Ref.]:[Check Periodo Ref.]]="Dentro",DATOS_[Conc.Sal.22]))))),
0)</f>
        <v>0</v>
      </c>
      <c r="AB47" s="170">
        <f t="array" ref="AB47">IFERROR(
AVERAGE((IF(DATOS_[[Sexo]:[Sexo]]=$B47,IF(DATOS_[[AGRUP. VALOR. PTO.]:[AGRUP. VALOR. PTO.]]=$B45,IF(DATOS_[[Check Periodo Ref.]:[Check Periodo Ref.]]="Dentro",DATOS_[Conc.Sal.23]))))),
0)</f>
        <v>0</v>
      </c>
      <c r="AC47" s="170">
        <f t="array" ref="AC47">IFERROR(
AVERAGE((IF(DATOS_[[Sexo]:[Sexo]]=$B47,IF(DATOS_[[AGRUP. VALOR. PTO.]:[AGRUP. VALOR. PTO.]]=$B45,IF(DATOS_[[Check Periodo Ref.]:[Check Periodo Ref.]]="Dentro",DATOS_[Conc.Sal.24]))))),
0)</f>
        <v>0</v>
      </c>
      <c r="AD47" s="170">
        <f t="array" ref="AD47">IFERROR(
AVERAGE((IF(DATOS_[[Sexo]:[Sexo]]=$B47,IF(DATOS_[[AGRUP. VALOR. PTO.]:[AGRUP. VALOR. PTO.]]=$B45,IF(DATOS_[[Check Periodo Ref.]:[Check Periodo Ref.]]="Dentro",DATOS_[Conc.Sal.25]))))),
0)</f>
        <v>0</v>
      </c>
      <c r="AE47" s="170">
        <f t="array" ref="AE47">IFERROR(
AVERAGE((IF(DATOS_[[Sexo]:[Sexo]]=$B47,IF(DATOS_[[AGRUP. VALOR. PTO.]:[AGRUP. VALOR. PTO.]]=$B45,IF(DATOS_[[Check Periodo Ref.]:[Check Periodo Ref.]]="Dentro",DATOS_[Conc.Sal.26]))))),
0)</f>
        <v>0</v>
      </c>
      <c r="AF47" s="170">
        <f t="array" ref="AF47">IFERROR(
AVERAGE((IF(DATOS_[[Sexo]:[Sexo]]=$B47,IF(DATOS_[[AGRUP. VALOR. PTO.]:[AGRUP. VALOR. PTO.]]=$B45,IF(DATOS_[[Check Periodo Ref.]:[Check Periodo Ref.]]="Dentro",DATOS_[Conc.Sal.27]))))),
0)</f>
        <v>0</v>
      </c>
      <c r="AG47" s="170">
        <f t="array" ref="AG47">IFERROR(
AVERAGE((IF(DATOS_[[Sexo]:[Sexo]]=$B47,IF(DATOS_[[AGRUP. VALOR. PTO.]:[AGRUP. VALOR. PTO.]]=$B45,IF(DATOS_[[Check Periodo Ref.]:[Check Periodo Ref.]]="Dentro",DATOS_[Conc.Sal.28]))))),
0)</f>
        <v>0</v>
      </c>
      <c r="AH47" s="170">
        <f t="array" ref="AH47">IFERROR(
AVERAGE((IF(DATOS_[[Sexo]:[Sexo]]=$B47,IF(DATOS_[[AGRUP. VALOR. PTO.]:[AGRUP. VALOR. PTO.]]=$B45,IF(DATOS_[[Check Periodo Ref.]:[Check Periodo Ref.]]="Dentro",DATOS_[Conc.Sal.29]))))),
0)</f>
        <v>0</v>
      </c>
      <c r="AI47" s="170">
        <f t="array" ref="AI47">IFERROR(
AVERAGE((IF(DATOS_[[Sexo]:[Sexo]]=$B47,IF(DATOS_[[AGRUP. VALOR. PTO.]:[AGRUP. VALOR. PTO.]]=$B45,IF(DATOS_[[Check Periodo Ref.]:[Check Periodo Ref.]]="Dentro",DATOS_[Conc.Sal.30]))))),
0)</f>
        <v>0</v>
      </c>
      <c r="AJ47" s="171">
        <f t="array" ref="AJ47">IFERROR(
AVERAGE(IF(DATOS_[Sexo]=$B47,IF(DATOS_[AGRUP. VALOR. PTO.]=$B45,IF(DATOS_[Check Periodo Ref.]="Dentro",DATOS_[Tot COMPL.SAL Ef],FALSE)))),
0)</f>
        <v>0</v>
      </c>
      <c r="AK47" s="172">
        <f t="array" ref="AK47">IFERROR(
AVERAGE(IF(DATOS_[Sexo]=$B47,IF(DATOS_[AGRUP. VALOR. PTO.]=$B45,IF(DATOS_[Check Periodo Ref.]="Dentro",DATOS_[TOTAL SALARIO Ef],FALSE)))),
0)</f>
        <v>0</v>
      </c>
      <c r="AL47" s="173">
        <f t="array" ref="AL47">IFERROR(
AVERAGE((IF(DATOS_[[Sexo]:[Sexo]]=$B47,IF(DATOS_[[AGRUP. VALOR. PTO.]:[AGRUP. VALOR. PTO.]]=$B45,IF(DATOS_[[Check Periodo Ref.]:[Check Periodo Ref.]]="Dentro",DATOS_[C.Extra.01]))))),
0)</f>
        <v>0</v>
      </c>
      <c r="AM47" s="173">
        <f t="array" ref="AM47">IFERROR(
AVERAGE((IF(DATOS_[[Sexo]:[Sexo]]=$B47,IF(DATOS_[[AGRUP. VALOR. PTO.]:[AGRUP. VALOR. PTO.]]=$B45,IF(DATOS_[[Check Periodo Ref.]:[Check Periodo Ref.]]="Dentro",DATOS_[C.Extra.06]))))),
0)</f>
        <v>0</v>
      </c>
      <c r="AN47" s="173">
        <f t="array" ref="AN47">IFERROR(
AVERAGE((IF(DATOS_[[Sexo]:[Sexo]]=$B47,IF(DATOS_[[AGRUP. VALOR. PTO.]:[AGRUP. VALOR. PTO.]]=$B45,IF(DATOS_[[Check Periodo Ref.]:[Check Periodo Ref.]]="Dentro",DATOS_[C.Extra.07]))))),
0)</f>
        <v>0</v>
      </c>
      <c r="AO47" s="173">
        <f t="array" ref="AO47">IFERROR(
AVERAGE((IF(DATOS_[[Sexo]:[Sexo]]=$B47,IF(DATOS_[[AGRUP. VALOR. PTO.]:[AGRUP. VALOR. PTO.]]=$B45,IF(DATOS_[[Check Periodo Ref.]:[Check Periodo Ref.]]="Dentro",DATOS_[C.Extra.08]))))),
0)</f>
        <v>0</v>
      </c>
      <c r="AP47" s="173">
        <f t="array" ref="AP47">IFERROR(
AVERAGE((IF(DATOS_[[Sexo]:[Sexo]]=$B47,IF(DATOS_[[AGRUP. VALOR. PTO.]:[AGRUP. VALOR. PTO.]]=$B45,IF(DATOS_[[Check Periodo Ref.]:[Check Periodo Ref.]]="Dentro",DATOS_[C.Extra.11]))))),
0)</f>
        <v>0</v>
      </c>
      <c r="AQ47" s="174">
        <f t="array" ref="AQ47">IFERROR(
AVERAGE(IF(DATOS_[Sexo]=$B47,IF(DATOS_[AGRUP. VALOR. PTO.]=$B45,IF(DATOS_[Check Periodo Ref.]="Dentro",DATOS_[Tot Extrasalarial Ef],FALSE)))),
0)</f>
        <v>0</v>
      </c>
      <c r="AR47" s="171">
        <f t="array" ref="AR47">IFERROR(
AVERAGE(IF(DATOS_[Sexo]=$B47,IF(DATOS_[AGRUP. VALOR. PTO.]=$B45,IF(DATOS_[Check Periodo Ref.]="Dentro",DATOS_[TOTAL Retrib Ef],FALSE)))),
0)</f>
        <v>0</v>
      </c>
    </row>
    <row r="48" spans="1:44" ht="14.4" thickBot="1" x14ac:dyDescent="0.3">
      <c r="A48" s="178" t="str">
        <f t="shared" ref="A48" si="47">+A49</f>
        <v>[ocultar]</v>
      </c>
      <c r="B48" s="153" t="s">
        <v>222</v>
      </c>
      <c r="C48" s="154"/>
      <c r="D48" s="155"/>
      <c r="E48" s="156" t="str">
        <f t="shared" ref="E48:AR48" si="48">IFERROR((E49-E50)/E49,"")</f>
        <v/>
      </c>
      <c r="F48" s="157" t="str">
        <f t="shared" si="48"/>
        <v/>
      </c>
      <c r="G48" s="158" t="str">
        <f t="shared" si="48"/>
        <v/>
      </c>
      <c r="H48" s="158" t="str">
        <f t="shared" si="48"/>
        <v/>
      </c>
      <c r="I48" s="158" t="str">
        <f t="shared" si="48"/>
        <v/>
      </c>
      <c r="J48" s="159" t="str">
        <f t="shared" si="48"/>
        <v/>
      </c>
      <c r="K48" s="160" t="str">
        <f t="shared" si="48"/>
        <v/>
      </c>
      <c r="L48" s="160" t="str">
        <f t="shared" si="48"/>
        <v/>
      </c>
      <c r="M48" s="160" t="str">
        <f t="shared" si="48"/>
        <v/>
      </c>
      <c r="N48" s="160" t="str">
        <f t="shared" si="48"/>
        <v/>
      </c>
      <c r="O48" s="160" t="str">
        <f t="shared" si="48"/>
        <v/>
      </c>
      <c r="P48" s="160" t="str">
        <f t="shared" si="48"/>
        <v/>
      </c>
      <c r="Q48" s="160" t="str">
        <f t="shared" si="48"/>
        <v/>
      </c>
      <c r="R48" s="160" t="str">
        <f t="shared" si="48"/>
        <v/>
      </c>
      <c r="S48" s="160" t="str">
        <f t="shared" si="48"/>
        <v/>
      </c>
      <c r="T48" s="160" t="str">
        <f t="shared" si="48"/>
        <v/>
      </c>
      <c r="U48" s="160" t="str">
        <f t="shared" si="48"/>
        <v/>
      </c>
      <c r="V48" s="159" t="str">
        <f t="shared" si="48"/>
        <v/>
      </c>
      <c r="W48" s="159" t="str">
        <f t="shared" si="48"/>
        <v/>
      </c>
      <c r="X48" s="159" t="str">
        <f t="shared" si="48"/>
        <v/>
      </c>
      <c r="Y48" s="159" t="str">
        <f t="shared" si="48"/>
        <v/>
      </c>
      <c r="Z48" s="159" t="str">
        <f t="shared" si="48"/>
        <v/>
      </c>
      <c r="AA48" s="159" t="str">
        <f t="shared" si="48"/>
        <v/>
      </c>
      <c r="AB48" s="159" t="str">
        <f t="shared" si="48"/>
        <v/>
      </c>
      <c r="AC48" s="159" t="str">
        <f t="shared" si="48"/>
        <v/>
      </c>
      <c r="AD48" s="159" t="str">
        <f t="shared" si="48"/>
        <v/>
      </c>
      <c r="AE48" s="159" t="str">
        <f t="shared" si="48"/>
        <v/>
      </c>
      <c r="AF48" s="159" t="str">
        <f t="shared" si="48"/>
        <v/>
      </c>
      <c r="AG48" s="159" t="str">
        <f t="shared" si="48"/>
        <v/>
      </c>
      <c r="AH48" s="159" t="str">
        <f t="shared" si="48"/>
        <v/>
      </c>
      <c r="AI48" s="159" t="str">
        <f t="shared" si="48"/>
        <v/>
      </c>
      <c r="AJ48" s="161" t="str">
        <f t="shared" si="48"/>
        <v/>
      </c>
      <c r="AK48" s="162" t="str">
        <f t="shared" si="48"/>
        <v/>
      </c>
      <c r="AL48" s="163" t="str">
        <f t="shared" si="48"/>
        <v/>
      </c>
      <c r="AM48" s="163" t="str">
        <f t="shared" si="48"/>
        <v/>
      </c>
      <c r="AN48" s="163" t="str">
        <f t="shared" si="48"/>
        <v/>
      </c>
      <c r="AO48" s="163" t="str">
        <f t="shared" si="48"/>
        <v/>
      </c>
      <c r="AP48" s="163" t="str">
        <f t="shared" si="48"/>
        <v/>
      </c>
      <c r="AQ48" s="164" t="str">
        <f t="shared" si="48"/>
        <v/>
      </c>
      <c r="AR48" s="161" t="str">
        <f t="shared" si="48"/>
        <v/>
      </c>
    </row>
    <row r="49" spans="1:44" x14ac:dyDescent="0.25">
      <c r="A49" s="178" t="str">
        <f t="shared" ref="A49" si="49">+IF(C49+C50=0,"[ocultar]","")</f>
        <v>[ocultar]</v>
      </c>
      <c r="B49" s="166" t="s">
        <v>394</v>
      </c>
      <c r="C49" s="167">
        <f t="array" ref="C49">SUM(IF($B49=DATOS_[Sexo],
IF($B48=DATOS_[AGRUP. VALOR. PTO.],
IF("Dentro"=DATOS_[Check Periodo Ref.],
1/(COUNTIFS(DATOS_[Sexo],$B49,DATOS_[AGRUP. VALOR. PTO.],$B48,DATOS_[Check Periodo Ref.],"Dentro",DATOS_[id/cod],DATOS_[id/cod]))))))</f>
        <v>0</v>
      </c>
      <c r="D49" s="168">
        <f>COUNTIFS(DATOS_[AGRUP. VALOR. PTO.],$B48,DATOS_[Sexo],$B49,DATOS_[Check Periodo Ref.],"Dentro")</f>
        <v>0</v>
      </c>
      <c r="E49" s="169">
        <f t="array" ref="E49">IFERROR(
AVERAGE(IF(DATOS_[Sexo]=$B49,IF(DATOS_[AGRUP. VALOR. PTO.]=$B48,IF(DATOS_[Check Periodo Ref.]="Dentro",DATOS_[SALARIO BASE Ef],FALSE)))),
0)</f>
        <v>0</v>
      </c>
      <c r="F49" s="170">
        <f t="array" ref="F49">IFERROR(
AVERAGE((IF(DATOS_[[Sexo]:[Sexo]]=$B49,IF(DATOS_[[AGRUP. VALOR. PTO.]:[AGRUP. VALOR. PTO.]]=$B48,IF(DATOS_[[Check Periodo Ref.]:[Check Periodo Ref.]]="Dentro",DATOS_[Conc.Sal.01]))))),
0)</f>
        <v>0</v>
      </c>
      <c r="G49" s="170">
        <f t="array" ref="G49">IFERROR(
AVERAGE((IF(DATOS_[[Sexo]:[Sexo]]=$B49,IF(DATOS_[[AGRUP. VALOR. PTO.]:[AGRUP. VALOR. PTO.]]=$B48,IF(DATOS_[[Check Periodo Ref.]:[Check Periodo Ref.]]="Dentro",DATOS_[Conc.Sal.02]))))),
0)</f>
        <v>0</v>
      </c>
      <c r="H49" s="170">
        <f t="array" ref="H49">IFERROR(
AVERAGE((IF(DATOS_[[Sexo]:[Sexo]]=$B49,IF(DATOS_[[AGRUP. VALOR. PTO.]:[AGRUP. VALOR. PTO.]]=$B48,IF(DATOS_[[Check Periodo Ref.]:[Check Periodo Ref.]]="Dentro",DATOS_[Conc.Sal.03]))))),
0)</f>
        <v>0</v>
      </c>
      <c r="I49" s="170">
        <f t="array" ref="I49">IFERROR(
AVERAGE((IF(DATOS_[[Sexo]:[Sexo]]=$B49,IF(DATOS_[[AGRUP. VALOR. PTO.]:[AGRUP. VALOR. PTO.]]=$B48,IF(DATOS_[[Check Periodo Ref.]:[Check Periodo Ref.]]="Dentro",DATOS_[Conc.Sal.04]))))),
0)</f>
        <v>0</v>
      </c>
      <c r="J49" s="170">
        <f t="array" ref="J49">IFERROR(
AVERAGE((IF(DATOS_[[Sexo]:[Sexo]]=$B49,IF(DATOS_[[AGRUP. VALOR. PTO.]:[AGRUP. VALOR. PTO.]]=$B48,IF(DATOS_[[Check Periodo Ref.]:[Check Periodo Ref.]]="Dentro",DATOS_[Conc.Sal.05]))))),
0)</f>
        <v>0</v>
      </c>
      <c r="K49" s="170">
        <f t="array" ref="K49">IFERROR(
AVERAGE((IF(DATOS_[[Sexo]:[Sexo]]=$B49,IF(DATOS_[[AGRUP. VALOR. PTO.]:[AGRUP. VALOR. PTO.]]=$B48,IF(DATOS_[[Check Periodo Ref.]:[Check Periodo Ref.]]="Dentro",DATOS_[Conc.Sal.06]))))),
0)</f>
        <v>0</v>
      </c>
      <c r="L49" s="170">
        <f t="array" ref="L49">IFERROR(
AVERAGE((IF(DATOS_[[Sexo]:[Sexo]]=$B49,IF(DATOS_[[AGRUP. VALOR. PTO.]:[AGRUP. VALOR. PTO.]]=$B48,IF(DATOS_[[Check Periodo Ref.]:[Check Periodo Ref.]]="Dentro",DATOS_[Conc.Sal.07]))))),
0)</f>
        <v>0</v>
      </c>
      <c r="M49" s="170">
        <f t="array" ref="M49">IFERROR(
AVERAGE((IF(DATOS_[[Sexo]:[Sexo]]=$B49,IF(DATOS_[[AGRUP. VALOR. PTO.]:[AGRUP. VALOR. PTO.]]=$B48,IF(DATOS_[[Check Periodo Ref.]:[Check Periodo Ref.]]="Dentro",DATOS_[Conc.Sal.08]))))),
0)</f>
        <v>0</v>
      </c>
      <c r="N49" s="170">
        <f t="array" ref="N49">IFERROR(
AVERAGE((IF(DATOS_[[Sexo]:[Sexo]]=$B49,IF(DATOS_[[AGRUP. VALOR. PTO.]:[AGRUP. VALOR. PTO.]]=$B48,IF(DATOS_[[Check Periodo Ref.]:[Check Periodo Ref.]]="Dentro",DATOS_[Conc.Sal.09]))))),
0)</f>
        <v>0</v>
      </c>
      <c r="O49" s="170">
        <f t="array" ref="O49">IFERROR(
AVERAGE((IF(DATOS_[[Sexo]:[Sexo]]=$B49,IF(DATOS_[[AGRUP. VALOR. PTO.]:[AGRUP. VALOR. PTO.]]=$B48,IF(DATOS_[[Check Periodo Ref.]:[Check Periodo Ref.]]="Dentro",DATOS_[Conc.Sal.10]))))),
0)</f>
        <v>0</v>
      </c>
      <c r="P49" s="170">
        <f t="array" ref="P49">IFERROR(
AVERAGE((IF(DATOS_[[Sexo]:[Sexo]]=$B49,IF(DATOS_[[AGRUP. VALOR. PTO.]:[AGRUP. VALOR. PTO.]]=$B48,IF(DATOS_[[Check Periodo Ref.]:[Check Periodo Ref.]]="Dentro",DATOS_[Conc.Sal.11]))))),
0)</f>
        <v>0</v>
      </c>
      <c r="Q49" s="170">
        <f t="array" ref="Q49">IFERROR(
AVERAGE((IF(DATOS_[[Sexo]:[Sexo]]=$B49,IF(DATOS_[[AGRUP. VALOR. PTO.]:[AGRUP. VALOR. PTO.]]=$B48,IF(DATOS_[[Check Periodo Ref.]:[Check Periodo Ref.]]="Dentro",DATOS_[Conc.Sal.12]))))),
0)</f>
        <v>0</v>
      </c>
      <c r="R49" s="170">
        <f t="array" ref="R49">IFERROR(
AVERAGE((IF(DATOS_[[Sexo]:[Sexo]]=$B49,IF(DATOS_[[AGRUP. VALOR. PTO.]:[AGRUP. VALOR. PTO.]]=$B48,IF(DATOS_[[Check Periodo Ref.]:[Check Periodo Ref.]]="Dentro",DATOS_[Conc.Sal.13]))))),
0)</f>
        <v>0</v>
      </c>
      <c r="S49" s="170">
        <f t="array" ref="S49">IFERROR(
AVERAGE((IF(DATOS_[[Sexo]:[Sexo]]=$B49,IF(DATOS_[[AGRUP. VALOR. PTO.]:[AGRUP. VALOR. PTO.]]=$B48,IF(DATOS_[[Check Periodo Ref.]:[Check Periodo Ref.]]="Dentro",DATOS_[Conc.Sal.14]))))),
0)</f>
        <v>0</v>
      </c>
      <c r="T49" s="170">
        <f t="array" ref="T49">IFERROR(
AVERAGE((IF(DATOS_[[Sexo]:[Sexo]]=$B49,IF(DATOS_[[AGRUP. VALOR. PTO.]:[AGRUP. VALOR. PTO.]]=$B48,IF(DATOS_[[Check Periodo Ref.]:[Check Periodo Ref.]]="Dentro",DATOS_[Conc.Sal.15]))))),
0)</f>
        <v>0</v>
      </c>
      <c r="U49" s="170">
        <f t="array" ref="U49">IFERROR(
AVERAGE((IF(DATOS_[[Sexo]:[Sexo]]=$B49,IF(DATOS_[[AGRUP. VALOR. PTO.]:[AGRUP. VALOR. PTO.]]=$B48,IF(DATOS_[[Check Periodo Ref.]:[Check Periodo Ref.]]="Dentro",DATOS_[Conc.Sal.16]))))),
0)</f>
        <v>0</v>
      </c>
      <c r="V49" s="170">
        <f t="array" ref="V49">IFERROR(
AVERAGE((IF(DATOS_[[Sexo]:[Sexo]]=$B49,IF(DATOS_[[AGRUP. VALOR. PTO.]:[AGRUP. VALOR. PTO.]]=$B48,IF(DATOS_[[Check Periodo Ref.]:[Check Periodo Ref.]]="Dentro",DATOS_[Conc.Sal.17]))))),
0)</f>
        <v>0</v>
      </c>
      <c r="W49" s="170">
        <f t="array" ref="W49">IFERROR(
AVERAGE((IF(DATOS_[[Sexo]:[Sexo]]=$B49,IF(DATOS_[[AGRUP. VALOR. PTO.]:[AGRUP. VALOR. PTO.]]=$B48,IF(DATOS_[[Check Periodo Ref.]:[Check Periodo Ref.]]="Dentro",DATOS_[Conc.Sal.18]))))),
0)</f>
        <v>0</v>
      </c>
      <c r="X49" s="170">
        <f t="array" ref="X49">IFERROR(
AVERAGE((IF(DATOS_[[Sexo]:[Sexo]]=$B49,IF(DATOS_[[AGRUP. VALOR. PTO.]:[AGRUP. VALOR. PTO.]]=$B48,IF(DATOS_[[Check Periodo Ref.]:[Check Periodo Ref.]]="Dentro",DATOS_[Conc.Sal.19]))))),
0)</f>
        <v>0</v>
      </c>
      <c r="Y49" s="170">
        <f t="array" ref="Y49">IFERROR(
AVERAGE((IF(DATOS_[[Sexo]:[Sexo]]=$B49,IF(DATOS_[[AGRUP. VALOR. PTO.]:[AGRUP. VALOR. PTO.]]=$B48,IF(DATOS_[[Check Periodo Ref.]:[Check Periodo Ref.]]="Dentro",DATOS_[Conc.Sal.20]))))),
0)</f>
        <v>0</v>
      </c>
      <c r="Z49" s="170">
        <f t="array" ref="Z49">IFERROR(
AVERAGE((IF(DATOS_[[Sexo]:[Sexo]]=$B49,IF(DATOS_[[AGRUP. VALOR. PTO.]:[AGRUP. VALOR. PTO.]]=$B48,IF(DATOS_[[Check Periodo Ref.]:[Check Periodo Ref.]]="Dentro",DATOS_[Conc.Sal.21]))))),
0)</f>
        <v>0</v>
      </c>
      <c r="AA49" s="170">
        <f t="array" ref="AA49">IFERROR(
AVERAGE((IF(DATOS_[[Sexo]:[Sexo]]=$B49,IF(DATOS_[[AGRUP. VALOR. PTO.]:[AGRUP. VALOR. PTO.]]=$B48,IF(DATOS_[[Check Periodo Ref.]:[Check Periodo Ref.]]="Dentro",DATOS_[Conc.Sal.22]))))),
0)</f>
        <v>0</v>
      </c>
      <c r="AB49" s="170">
        <f t="array" ref="AB49">IFERROR(
AVERAGE((IF(DATOS_[[Sexo]:[Sexo]]=$B49,IF(DATOS_[[AGRUP. VALOR. PTO.]:[AGRUP. VALOR. PTO.]]=$B48,IF(DATOS_[[Check Periodo Ref.]:[Check Periodo Ref.]]="Dentro",DATOS_[Conc.Sal.23]))))),
0)</f>
        <v>0</v>
      </c>
      <c r="AC49" s="170">
        <f t="array" ref="AC49">IFERROR(
AVERAGE((IF(DATOS_[[Sexo]:[Sexo]]=$B49,IF(DATOS_[[AGRUP. VALOR. PTO.]:[AGRUP. VALOR. PTO.]]=$B48,IF(DATOS_[[Check Periodo Ref.]:[Check Periodo Ref.]]="Dentro",DATOS_[Conc.Sal.24]))))),
0)</f>
        <v>0</v>
      </c>
      <c r="AD49" s="170">
        <f t="array" ref="AD49">IFERROR(
AVERAGE((IF(DATOS_[[Sexo]:[Sexo]]=$B49,IF(DATOS_[[AGRUP. VALOR. PTO.]:[AGRUP. VALOR. PTO.]]=$B48,IF(DATOS_[[Check Periodo Ref.]:[Check Periodo Ref.]]="Dentro",DATOS_[Conc.Sal.25]))))),
0)</f>
        <v>0</v>
      </c>
      <c r="AE49" s="170">
        <f t="array" ref="AE49">IFERROR(
AVERAGE((IF(DATOS_[[Sexo]:[Sexo]]=$B49,IF(DATOS_[[AGRUP. VALOR. PTO.]:[AGRUP. VALOR. PTO.]]=$B48,IF(DATOS_[[Check Periodo Ref.]:[Check Periodo Ref.]]="Dentro",DATOS_[Conc.Sal.26]))))),
0)</f>
        <v>0</v>
      </c>
      <c r="AF49" s="170">
        <f t="array" ref="AF49">IFERROR(
AVERAGE((IF(DATOS_[[Sexo]:[Sexo]]=$B49,IF(DATOS_[[AGRUP. VALOR. PTO.]:[AGRUP. VALOR. PTO.]]=$B48,IF(DATOS_[[Check Periodo Ref.]:[Check Periodo Ref.]]="Dentro",DATOS_[Conc.Sal.27]))))),
0)</f>
        <v>0</v>
      </c>
      <c r="AG49" s="170">
        <f t="array" ref="AG49">IFERROR(
AVERAGE((IF(DATOS_[[Sexo]:[Sexo]]=$B49,IF(DATOS_[[AGRUP. VALOR. PTO.]:[AGRUP. VALOR. PTO.]]=$B48,IF(DATOS_[[Check Periodo Ref.]:[Check Periodo Ref.]]="Dentro",DATOS_[Conc.Sal.28]))))),
0)</f>
        <v>0</v>
      </c>
      <c r="AH49" s="170">
        <f t="array" ref="AH49">IFERROR(
AVERAGE((IF(DATOS_[[Sexo]:[Sexo]]=$B49,IF(DATOS_[[AGRUP. VALOR. PTO.]:[AGRUP. VALOR. PTO.]]=$B48,IF(DATOS_[[Check Periodo Ref.]:[Check Periodo Ref.]]="Dentro",DATOS_[Conc.Sal.29]))))),
0)</f>
        <v>0</v>
      </c>
      <c r="AI49" s="170">
        <f t="array" ref="AI49">IFERROR(
AVERAGE((IF(DATOS_[[Sexo]:[Sexo]]=$B49,IF(DATOS_[[AGRUP. VALOR. PTO.]:[AGRUP. VALOR. PTO.]]=$B48,IF(DATOS_[[Check Periodo Ref.]:[Check Periodo Ref.]]="Dentro",DATOS_[Conc.Sal.30]))))),
0)</f>
        <v>0</v>
      </c>
      <c r="AJ49" s="171">
        <f t="array" ref="AJ49">IFERROR(
AVERAGE(IF(DATOS_[Sexo]=$B49,IF(DATOS_[AGRUP. VALOR. PTO.]=$B48,IF(DATOS_[Check Periodo Ref.]="Dentro",DATOS_[Tot COMPL.SAL Ef],FALSE)))),
0)</f>
        <v>0</v>
      </c>
      <c r="AK49" s="172">
        <f t="array" ref="AK49">IFERROR(
AVERAGE(IF(DATOS_[Sexo]=$B49,IF(DATOS_[AGRUP. VALOR. PTO.]=$B48,IF(DATOS_[Check Periodo Ref.]="Dentro",DATOS_[TOTAL SALARIO Ef],FALSE)))),
0)</f>
        <v>0</v>
      </c>
      <c r="AL49" s="173">
        <f t="array" ref="AL49">IFERROR(
AVERAGE((IF(DATOS_[[Sexo]:[Sexo]]=$B49,IF(DATOS_[[AGRUP. VALOR. PTO.]:[AGRUP. VALOR. PTO.]]=$B48,IF(DATOS_[[Check Periodo Ref.]:[Check Periodo Ref.]]="Dentro",DATOS_[C.Extra.01]))))),
0)</f>
        <v>0</v>
      </c>
      <c r="AM49" s="173">
        <f t="array" ref="AM49">IFERROR(
AVERAGE((IF(DATOS_[[Sexo]:[Sexo]]=$B49,IF(DATOS_[[AGRUP. VALOR. PTO.]:[AGRUP. VALOR. PTO.]]=$B48,IF(DATOS_[[Check Periodo Ref.]:[Check Periodo Ref.]]="Dentro",DATOS_[C.Extra.06]))))),
0)</f>
        <v>0</v>
      </c>
      <c r="AN49" s="173">
        <f t="array" ref="AN49">IFERROR(
AVERAGE((IF(DATOS_[[Sexo]:[Sexo]]=$B49,IF(DATOS_[[AGRUP. VALOR. PTO.]:[AGRUP. VALOR. PTO.]]=$B48,IF(DATOS_[[Check Periodo Ref.]:[Check Periodo Ref.]]="Dentro",DATOS_[C.Extra.07]))))),
0)</f>
        <v>0</v>
      </c>
      <c r="AO49" s="173">
        <f t="array" ref="AO49">IFERROR(
AVERAGE((IF(DATOS_[[Sexo]:[Sexo]]=$B49,IF(DATOS_[[AGRUP. VALOR. PTO.]:[AGRUP. VALOR. PTO.]]=$B48,IF(DATOS_[[Check Periodo Ref.]:[Check Periodo Ref.]]="Dentro",DATOS_[C.Extra.08]))))),
0)</f>
        <v>0</v>
      </c>
      <c r="AP49" s="173">
        <f t="array" ref="AP49">IFERROR(
AVERAGE((IF(DATOS_[[Sexo]:[Sexo]]=$B49,IF(DATOS_[[AGRUP. VALOR. PTO.]:[AGRUP. VALOR. PTO.]]=$B48,IF(DATOS_[[Check Periodo Ref.]:[Check Periodo Ref.]]="Dentro",DATOS_[C.Extra.11]))))),
0)</f>
        <v>0</v>
      </c>
      <c r="AQ49" s="174">
        <f t="array" ref="AQ49">IFERROR(
AVERAGE(IF(DATOS_[Sexo]=$B49,IF(DATOS_[AGRUP. VALOR. PTO.]=$B48,IF(DATOS_[Check Periodo Ref.]="Dentro",DATOS_[Tot Extrasalarial Ef],FALSE)))),
0)</f>
        <v>0</v>
      </c>
      <c r="AR49" s="171">
        <f t="array" ref="AR49">IFERROR(
AVERAGE(IF(DATOS_[Sexo]=$B49,IF(DATOS_[AGRUP. VALOR. PTO.]=$B48,IF(DATOS_[Check Periodo Ref.]="Dentro",DATOS_[TOTAL Retrib Ef],FALSE)))),
0)</f>
        <v>0</v>
      </c>
    </row>
    <row r="50" spans="1:44" x14ac:dyDescent="0.25">
      <c r="A50" s="178" t="str">
        <f t="shared" ref="A50" si="50">+A49</f>
        <v>[ocultar]</v>
      </c>
      <c r="B50" s="166" t="s">
        <v>521</v>
      </c>
      <c r="C50" s="167">
        <f t="array" ref="C50">SUM(IF($B50=DATOS_[Sexo],
IF($B48=DATOS_[AGRUP. VALOR. PTO.],
IF("Dentro"=DATOS_[Check Periodo Ref.],
1/(COUNTIFS(DATOS_[Sexo],$B50,DATOS_[AGRUP. VALOR. PTO.],$B48,DATOS_[Check Periodo Ref.],"Dentro",DATOS_[id/cod],DATOS_[id/cod]))))))</f>
        <v>0</v>
      </c>
      <c r="D50" s="168">
        <f>COUNTIFS(DATOS_[AGRUP. VALOR. PTO.],$B48,DATOS_[Sexo],$B50,DATOS_[Check Periodo Ref.],"Dentro")</f>
        <v>0</v>
      </c>
      <c r="E50" s="169">
        <f t="array" ref="E50">IFERROR(
AVERAGE(IF(DATOS_[Sexo]=$B50,IF(DATOS_[AGRUP. VALOR. PTO.]=$B48,IF(DATOS_[Check Periodo Ref.]="Dentro",DATOS_[SALARIO BASE Ef],FALSE)))),
0)</f>
        <v>0</v>
      </c>
      <c r="F50" s="170">
        <f t="array" ref="F50">IFERROR(
AVERAGE((IF(DATOS_[[Sexo]:[Sexo]]=$B50,IF(DATOS_[[AGRUP. VALOR. PTO.]:[AGRUP. VALOR. PTO.]]=$B48,IF(DATOS_[[Check Periodo Ref.]:[Check Periodo Ref.]]="Dentro",DATOS_[Conc.Sal.01]))))),
0)</f>
        <v>0</v>
      </c>
      <c r="G50" s="170">
        <f t="array" ref="G50">IFERROR(
AVERAGE((IF(DATOS_[[Sexo]:[Sexo]]=$B50,IF(DATOS_[[AGRUP. VALOR. PTO.]:[AGRUP. VALOR. PTO.]]=$B48,IF(DATOS_[[Check Periodo Ref.]:[Check Periodo Ref.]]="Dentro",DATOS_[Conc.Sal.02]))))),
0)</f>
        <v>0</v>
      </c>
      <c r="H50" s="170">
        <f t="array" ref="H50">IFERROR(
AVERAGE((IF(DATOS_[[Sexo]:[Sexo]]=$B50,IF(DATOS_[[AGRUP. VALOR. PTO.]:[AGRUP. VALOR. PTO.]]=$B48,IF(DATOS_[[Check Periodo Ref.]:[Check Periodo Ref.]]="Dentro",DATOS_[Conc.Sal.03]))))),
0)</f>
        <v>0</v>
      </c>
      <c r="I50" s="170">
        <f t="array" ref="I50">IFERROR(
AVERAGE((IF(DATOS_[[Sexo]:[Sexo]]=$B50,IF(DATOS_[[AGRUP. VALOR. PTO.]:[AGRUP. VALOR. PTO.]]=$B48,IF(DATOS_[[Check Periodo Ref.]:[Check Periodo Ref.]]="Dentro",DATOS_[Conc.Sal.04]))))),
0)</f>
        <v>0</v>
      </c>
      <c r="J50" s="170">
        <f t="array" ref="J50">IFERROR(
AVERAGE((IF(DATOS_[[Sexo]:[Sexo]]=$B50,IF(DATOS_[[AGRUP. VALOR. PTO.]:[AGRUP. VALOR. PTO.]]=$B48,IF(DATOS_[[Check Periodo Ref.]:[Check Periodo Ref.]]="Dentro",DATOS_[Conc.Sal.05]))))),
0)</f>
        <v>0</v>
      </c>
      <c r="K50" s="170">
        <f t="array" ref="K50">IFERROR(
AVERAGE((IF(DATOS_[[Sexo]:[Sexo]]=$B50,IF(DATOS_[[AGRUP. VALOR. PTO.]:[AGRUP. VALOR. PTO.]]=$B48,IF(DATOS_[[Check Periodo Ref.]:[Check Periodo Ref.]]="Dentro",DATOS_[Conc.Sal.06]))))),
0)</f>
        <v>0</v>
      </c>
      <c r="L50" s="170">
        <f t="array" ref="L50">IFERROR(
AVERAGE((IF(DATOS_[[Sexo]:[Sexo]]=$B50,IF(DATOS_[[AGRUP. VALOR. PTO.]:[AGRUP. VALOR. PTO.]]=$B48,IF(DATOS_[[Check Periodo Ref.]:[Check Periodo Ref.]]="Dentro",DATOS_[Conc.Sal.07]))))),
0)</f>
        <v>0</v>
      </c>
      <c r="M50" s="170">
        <f t="array" ref="M50">IFERROR(
AVERAGE((IF(DATOS_[[Sexo]:[Sexo]]=$B50,IF(DATOS_[[AGRUP. VALOR. PTO.]:[AGRUP. VALOR. PTO.]]=$B48,IF(DATOS_[[Check Periodo Ref.]:[Check Periodo Ref.]]="Dentro",DATOS_[Conc.Sal.08]))))),
0)</f>
        <v>0</v>
      </c>
      <c r="N50" s="170">
        <f t="array" ref="N50">IFERROR(
AVERAGE((IF(DATOS_[[Sexo]:[Sexo]]=$B50,IF(DATOS_[[AGRUP. VALOR. PTO.]:[AGRUP. VALOR. PTO.]]=$B48,IF(DATOS_[[Check Periodo Ref.]:[Check Periodo Ref.]]="Dentro",DATOS_[Conc.Sal.09]))))),
0)</f>
        <v>0</v>
      </c>
      <c r="O50" s="170">
        <f t="array" ref="O50">IFERROR(
AVERAGE((IF(DATOS_[[Sexo]:[Sexo]]=$B50,IF(DATOS_[[AGRUP. VALOR. PTO.]:[AGRUP. VALOR. PTO.]]=$B48,IF(DATOS_[[Check Periodo Ref.]:[Check Periodo Ref.]]="Dentro",DATOS_[Conc.Sal.10]))))),
0)</f>
        <v>0</v>
      </c>
      <c r="P50" s="170">
        <f t="array" ref="P50">IFERROR(
AVERAGE((IF(DATOS_[[Sexo]:[Sexo]]=$B50,IF(DATOS_[[AGRUP. VALOR. PTO.]:[AGRUP. VALOR. PTO.]]=$B48,IF(DATOS_[[Check Periodo Ref.]:[Check Periodo Ref.]]="Dentro",DATOS_[Conc.Sal.11]))))),
0)</f>
        <v>0</v>
      </c>
      <c r="Q50" s="170">
        <f t="array" ref="Q50">IFERROR(
AVERAGE((IF(DATOS_[[Sexo]:[Sexo]]=$B50,IF(DATOS_[[AGRUP. VALOR. PTO.]:[AGRUP. VALOR. PTO.]]=$B48,IF(DATOS_[[Check Periodo Ref.]:[Check Periodo Ref.]]="Dentro",DATOS_[Conc.Sal.12]))))),
0)</f>
        <v>0</v>
      </c>
      <c r="R50" s="170">
        <f t="array" ref="R50">IFERROR(
AVERAGE((IF(DATOS_[[Sexo]:[Sexo]]=$B50,IF(DATOS_[[AGRUP. VALOR. PTO.]:[AGRUP. VALOR. PTO.]]=$B48,IF(DATOS_[[Check Periodo Ref.]:[Check Periodo Ref.]]="Dentro",DATOS_[Conc.Sal.13]))))),
0)</f>
        <v>0</v>
      </c>
      <c r="S50" s="170">
        <f t="array" ref="S50">IFERROR(
AVERAGE((IF(DATOS_[[Sexo]:[Sexo]]=$B50,IF(DATOS_[[AGRUP. VALOR. PTO.]:[AGRUP. VALOR. PTO.]]=$B48,IF(DATOS_[[Check Periodo Ref.]:[Check Periodo Ref.]]="Dentro",DATOS_[Conc.Sal.14]))))),
0)</f>
        <v>0</v>
      </c>
      <c r="T50" s="170">
        <f t="array" ref="T50">IFERROR(
AVERAGE((IF(DATOS_[[Sexo]:[Sexo]]=$B50,IF(DATOS_[[AGRUP. VALOR. PTO.]:[AGRUP. VALOR. PTO.]]=$B48,IF(DATOS_[[Check Periodo Ref.]:[Check Periodo Ref.]]="Dentro",DATOS_[Conc.Sal.15]))))),
0)</f>
        <v>0</v>
      </c>
      <c r="U50" s="170">
        <f t="array" ref="U50">IFERROR(
AVERAGE((IF(DATOS_[[Sexo]:[Sexo]]=$B50,IF(DATOS_[[AGRUP. VALOR. PTO.]:[AGRUP. VALOR. PTO.]]=$B48,IF(DATOS_[[Check Periodo Ref.]:[Check Periodo Ref.]]="Dentro",DATOS_[Conc.Sal.16]))))),
0)</f>
        <v>0</v>
      </c>
      <c r="V50" s="170">
        <f t="array" ref="V50">IFERROR(
AVERAGE((IF(DATOS_[[Sexo]:[Sexo]]=$B50,IF(DATOS_[[AGRUP. VALOR. PTO.]:[AGRUP. VALOR. PTO.]]=$B48,IF(DATOS_[[Check Periodo Ref.]:[Check Periodo Ref.]]="Dentro",DATOS_[Conc.Sal.17]))))),
0)</f>
        <v>0</v>
      </c>
      <c r="W50" s="170">
        <f t="array" ref="W50">IFERROR(
AVERAGE((IF(DATOS_[[Sexo]:[Sexo]]=$B50,IF(DATOS_[[AGRUP. VALOR. PTO.]:[AGRUP. VALOR. PTO.]]=$B48,IF(DATOS_[[Check Periodo Ref.]:[Check Periodo Ref.]]="Dentro",DATOS_[Conc.Sal.18]))))),
0)</f>
        <v>0</v>
      </c>
      <c r="X50" s="170">
        <f t="array" ref="X50">IFERROR(
AVERAGE((IF(DATOS_[[Sexo]:[Sexo]]=$B50,IF(DATOS_[[AGRUP. VALOR. PTO.]:[AGRUP. VALOR. PTO.]]=$B48,IF(DATOS_[[Check Periodo Ref.]:[Check Periodo Ref.]]="Dentro",DATOS_[Conc.Sal.19]))))),
0)</f>
        <v>0</v>
      </c>
      <c r="Y50" s="170">
        <f t="array" ref="Y50">IFERROR(
AVERAGE((IF(DATOS_[[Sexo]:[Sexo]]=$B50,IF(DATOS_[[AGRUP. VALOR. PTO.]:[AGRUP. VALOR. PTO.]]=$B48,IF(DATOS_[[Check Periodo Ref.]:[Check Periodo Ref.]]="Dentro",DATOS_[Conc.Sal.20]))))),
0)</f>
        <v>0</v>
      </c>
      <c r="Z50" s="170">
        <f t="array" ref="Z50">IFERROR(
AVERAGE((IF(DATOS_[[Sexo]:[Sexo]]=$B50,IF(DATOS_[[AGRUP. VALOR. PTO.]:[AGRUP. VALOR. PTO.]]=$B48,IF(DATOS_[[Check Periodo Ref.]:[Check Periodo Ref.]]="Dentro",DATOS_[Conc.Sal.21]))))),
0)</f>
        <v>0</v>
      </c>
      <c r="AA50" s="170">
        <f t="array" ref="AA50">IFERROR(
AVERAGE((IF(DATOS_[[Sexo]:[Sexo]]=$B50,IF(DATOS_[[AGRUP. VALOR. PTO.]:[AGRUP. VALOR. PTO.]]=$B48,IF(DATOS_[[Check Periodo Ref.]:[Check Periodo Ref.]]="Dentro",DATOS_[Conc.Sal.22]))))),
0)</f>
        <v>0</v>
      </c>
      <c r="AB50" s="170">
        <f t="array" ref="AB50">IFERROR(
AVERAGE((IF(DATOS_[[Sexo]:[Sexo]]=$B50,IF(DATOS_[[AGRUP. VALOR. PTO.]:[AGRUP. VALOR. PTO.]]=$B48,IF(DATOS_[[Check Periodo Ref.]:[Check Periodo Ref.]]="Dentro",DATOS_[Conc.Sal.23]))))),
0)</f>
        <v>0</v>
      </c>
      <c r="AC50" s="170">
        <f t="array" ref="AC50">IFERROR(
AVERAGE((IF(DATOS_[[Sexo]:[Sexo]]=$B50,IF(DATOS_[[AGRUP. VALOR. PTO.]:[AGRUP. VALOR. PTO.]]=$B48,IF(DATOS_[[Check Periodo Ref.]:[Check Periodo Ref.]]="Dentro",DATOS_[Conc.Sal.24]))))),
0)</f>
        <v>0</v>
      </c>
      <c r="AD50" s="170">
        <f t="array" ref="AD50">IFERROR(
AVERAGE((IF(DATOS_[[Sexo]:[Sexo]]=$B50,IF(DATOS_[[AGRUP. VALOR. PTO.]:[AGRUP. VALOR. PTO.]]=$B48,IF(DATOS_[[Check Periodo Ref.]:[Check Periodo Ref.]]="Dentro",DATOS_[Conc.Sal.25]))))),
0)</f>
        <v>0</v>
      </c>
      <c r="AE50" s="170">
        <f t="array" ref="AE50">IFERROR(
AVERAGE((IF(DATOS_[[Sexo]:[Sexo]]=$B50,IF(DATOS_[[AGRUP. VALOR. PTO.]:[AGRUP. VALOR. PTO.]]=$B48,IF(DATOS_[[Check Periodo Ref.]:[Check Periodo Ref.]]="Dentro",DATOS_[Conc.Sal.26]))))),
0)</f>
        <v>0</v>
      </c>
      <c r="AF50" s="170">
        <f t="array" ref="AF50">IFERROR(
AVERAGE((IF(DATOS_[[Sexo]:[Sexo]]=$B50,IF(DATOS_[[AGRUP. VALOR. PTO.]:[AGRUP. VALOR. PTO.]]=$B48,IF(DATOS_[[Check Periodo Ref.]:[Check Periodo Ref.]]="Dentro",DATOS_[Conc.Sal.27]))))),
0)</f>
        <v>0</v>
      </c>
      <c r="AG50" s="170">
        <f t="array" ref="AG50">IFERROR(
AVERAGE((IF(DATOS_[[Sexo]:[Sexo]]=$B50,IF(DATOS_[[AGRUP. VALOR. PTO.]:[AGRUP. VALOR. PTO.]]=$B48,IF(DATOS_[[Check Periodo Ref.]:[Check Periodo Ref.]]="Dentro",DATOS_[Conc.Sal.28]))))),
0)</f>
        <v>0</v>
      </c>
      <c r="AH50" s="170">
        <f t="array" ref="AH50">IFERROR(
AVERAGE((IF(DATOS_[[Sexo]:[Sexo]]=$B50,IF(DATOS_[[AGRUP. VALOR. PTO.]:[AGRUP. VALOR. PTO.]]=$B48,IF(DATOS_[[Check Periodo Ref.]:[Check Periodo Ref.]]="Dentro",DATOS_[Conc.Sal.29]))))),
0)</f>
        <v>0</v>
      </c>
      <c r="AI50" s="170">
        <f t="array" ref="AI50">IFERROR(
AVERAGE((IF(DATOS_[[Sexo]:[Sexo]]=$B50,IF(DATOS_[[AGRUP. VALOR. PTO.]:[AGRUP. VALOR. PTO.]]=$B48,IF(DATOS_[[Check Periodo Ref.]:[Check Periodo Ref.]]="Dentro",DATOS_[Conc.Sal.30]))))),
0)</f>
        <v>0</v>
      </c>
      <c r="AJ50" s="171">
        <f t="array" ref="AJ50">IFERROR(
AVERAGE(IF(DATOS_[Sexo]=$B50,IF(DATOS_[AGRUP. VALOR. PTO.]=$B48,IF(DATOS_[Check Periodo Ref.]="Dentro",DATOS_[Tot COMPL.SAL Ef],FALSE)))),
0)</f>
        <v>0</v>
      </c>
      <c r="AK50" s="172">
        <f t="array" ref="AK50">IFERROR(
AVERAGE(IF(DATOS_[Sexo]=$B50,IF(DATOS_[AGRUP. VALOR. PTO.]=$B48,IF(DATOS_[Check Periodo Ref.]="Dentro",DATOS_[TOTAL SALARIO Ef],FALSE)))),
0)</f>
        <v>0</v>
      </c>
      <c r="AL50" s="173">
        <f t="array" ref="AL50">IFERROR(
AVERAGE((IF(DATOS_[[Sexo]:[Sexo]]=$B50,IF(DATOS_[[AGRUP. VALOR. PTO.]:[AGRUP. VALOR. PTO.]]=$B48,IF(DATOS_[[Check Periodo Ref.]:[Check Periodo Ref.]]="Dentro",DATOS_[C.Extra.01]))))),
0)</f>
        <v>0</v>
      </c>
      <c r="AM50" s="173">
        <f t="array" ref="AM50">IFERROR(
AVERAGE((IF(DATOS_[[Sexo]:[Sexo]]=$B50,IF(DATOS_[[AGRUP. VALOR. PTO.]:[AGRUP. VALOR. PTO.]]=$B48,IF(DATOS_[[Check Periodo Ref.]:[Check Periodo Ref.]]="Dentro",DATOS_[C.Extra.06]))))),
0)</f>
        <v>0</v>
      </c>
      <c r="AN50" s="173">
        <f t="array" ref="AN50">IFERROR(
AVERAGE((IF(DATOS_[[Sexo]:[Sexo]]=$B50,IF(DATOS_[[AGRUP. VALOR. PTO.]:[AGRUP. VALOR. PTO.]]=$B48,IF(DATOS_[[Check Periodo Ref.]:[Check Periodo Ref.]]="Dentro",DATOS_[C.Extra.07]))))),
0)</f>
        <v>0</v>
      </c>
      <c r="AO50" s="173">
        <f t="array" ref="AO50">IFERROR(
AVERAGE((IF(DATOS_[[Sexo]:[Sexo]]=$B50,IF(DATOS_[[AGRUP. VALOR. PTO.]:[AGRUP. VALOR. PTO.]]=$B48,IF(DATOS_[[Check Periodo Ref.]:[Check Periodo Ref.]]="Dentro",DATOS_[C.Extra.08]))))),
0)</f>
        <v>0</v>
      </c>
      <c r="AP50" s="173">
        <f t="array" ref="AP50">IFERROR(
AVERAGE((IF(DATOS_[[Sexo]:[Sexo]]=$B50,IF(DATOS_[[AGRUP. VALOR. PTO.]:[AGRUP. VALOR. PTO.]]=$B48,IF(DATOS_[[Check Periodo Ref.]:[Check Periodo Ref.]]="Dentro",DATOS_[C.Extra.11]))))),
0)</f>
        <v>0</v>
      </c>
      <c r="AQ50" s="174">
        <f t="array" ref="AQ50">IFERROR(
AVERAGE(IF(DATOS_[Sexo]=$B50,IF(DATOS_[AGRUP. VALOR. PTO.]=$B48,IF(DATOS_[Check Periodo Ref.]="Dentro",DATOS_[Tot Extrasalarial Ef],FALSE)))),
0)</f>
        <v>0</v>
      </c>
      <c r="AR50" s="171">
        <f t="array" ref="AR50">IFERROR(
AVERAGE(IF(DATOS_[Sexo]=$B50,IF(DATOS_[AGRUP. VALOR. PTO.]=$B48,IF(DATOS_[Check Periodo Ref.]="Dentro",DATOS_[TOTAL Retrib Ef],FALSE)))),
0)</f>
        <v>0</v>
      </c>
    </row>
    <row r="51" spans="1:44" ht="14.4" thickBot="1" x14ac:dyDescent="0.3">
      <c r="A51" s="178" t="str">
        <f t="shared" ref="A51" si="51">+A52</f>
        <v>[ocultar]</v>
      </c>
      <c r="B51" s="153" t="s">
        <v>226</v>
      </c>
      <c r="C51" s="154"/>
      <c r="D51" s="155"/>
      <c r="E51" s="156" t="str">
        <f t="shared" ref="E51:AR51" si="52">IFERROR((E52-E53)/E52,"")</f>
        <v/>
      </c>
      <c r="F51" s="157" t="str">
        <f t="shared" si="52"/>
        <v/>
      </c>
      <c r="G51" s="158" t="str">
        <f t="shared" si="52"/>
        <v/>
      </c>
      <c r="H51" s="158" t="str">
        <f t="shared" si="52"/>
        <v/>
      </c>
      <c r="I51" s="158" t="str">
        <f t="shared" si="52"/>
        <v/>
      </c>
      <c r="J51" s="159" t="str">
        <f t="shared" si="52"/>
        <v/>
      </c>
      <c r="K51" s="160" t="str">
        <f t="shared" si="52"/>
        <v/>
      </c>
      <c r="L51" s="160" t="str">
        <f t="shared" si="52"/>
        <v/>
      </c>
      <c r="M51" s="160" t="str">
        <f t="shared" si="52"/>
        <v/>
      </c>
      <c r="N51" s="160" t="str">
        <f t="shared" si="52"/>
        <v/>
      </c>
      <c r="O51" s="160" t="str">
        <f t="shared" si="52"/>
        <v/>
      </c>
      <c r="P51" s="160" t="str">
        <f t="shared" si="52"/>
        <v/>
      </c>
      <c r="Q51" s="160" t="str">
        <f t="shared" si="52"/>
        <v/>
      </c>
      <c r="R51" s="160" t="str">
        <f t="shared" si="52"/>
        <v/>
      </c>
      <c r="S51" s="160" t="str">
        <f t="shared" si="52"/>
        <v/>
      </c>
      <c r="T51" s="160" t="str">
        <f t="shared" si="52"/>
        <v/>
      </c>
      <c r="U51" s="160" t="str">
        <f t="shared" si="52"/>
        <v/>
      </c>
      <c r="V51" s="159" t="str">
        <f t="shared" si="52"/>
        <v/>
      </c>
      <c r="W51" s="159" t="str">
        <f t="shared" si="52"/>
        <v/>
      </c>
      <c r="X51" s="159" t="str">
        <f t="shared" si="52"/>
        <v/>
      </c>
      <c r="Y51" s="159" t="str">
        <f t="shared" si="52"/>
        <v/>
      </c>
      <c r="Z51" s="159" t="str">
        <f t="shared" si="52"/>
        <v/>
      </c>
      <c r="AA51" s="159" t="str">
        <f t="shared" si="52"/>
        <v/>
      </c>
      <c r="AB51" s="159" t="str">
        <f t="shared" si="52"/>
        <v/>
      </c>
      <c r="AC51" s="159" t="str">
        <f t="shared" si="52"/>
        <v/>
      </c>
      <c r="AD51" s="159" t="str">
        <f t="shared" si="52"/>
        <v/>
      </c>
      <c r="AE51" s="159" t="str">
        <f t="shared" si="52"/>
        <v/>
      </c>
      <c r="AF51" s="159" t="str">
        <f t="shared" si="52"/>
        <v/>
      </c>
      <c r="AG51" s="159" t="str">
        <f t="shared" si="52"/>
        <v/>
      </c>
      <c r="AH51" s="159" t="str">
        <f t="shared" si="52"/>
        <v/>
      </c>
      <c r="AI51" s="159" t="str">
        <f t="shared" si="52"/>
        <v/>
      </c>
      <c r="AJ51" s="161" t="str">
        <f t="shared" si="52"/>
        <v/>
      </c>
      <c r="AK51" s="162" t="str">
        <f t="shared" si="52"/>
        <v/>
      </c>
      <c r="AL51" s="163" t="str">
        <f t="shared" si="52"/>
        <v/>
      </c>
      <c r="AM51" s="163" t="str">
        <f t="shared" si="52"/>
        <v/>
      </c>
      <c r="AN51" s="163" t="str">
        <f t="shared" si="52"/>
        <v/>
      </c>
      <c r="AO51" s="163" t="str">
        <f t="shared" si="52"/>
        <v/>
      </c>
      <c r="AP51" s="163" t="str">
        <f t="shared" si="52"/>
        <v/>
      </c>
      <c r="AQ51" s="164" t="str">
        <f t="shared" si="52"/>
        <v/>
      </c>
      <c r="AR51" s="161" t="str">
        <f t="shared" si="52"/>
        <v/>
      </c>
    </row>
    <row r="52" spans="1:44" x14ac:dyDescent="0.25">
      <c r="A52" s="178" t="str">
        <f t="shared" ref="A52" si="53">+IF(C52+C53=0,"[ocultar]","")</f>
        <v>[ocultar]</v>
      </c>
      <c r="B52" s="166" t="s">
        <v>394</v>
      </c>
      <c r="C52" s="167">
        <f t="array" ref="C52">SUM(IF($B52=DATOS_[Sexo],
IF($B51=DATOS_[AGRUP. VALOR. PTO.],
IF("Dentro"=DATOS_[Check Periodo Ref.],
1/(COUNTIFS(DATOS_[Sexo],$B52,DATOS_[AGRUP. VALOR. PTO.],$B51,DATOS_[Check Periodo Ref.],"Dentro",DATOS_[id/cod],DATOS_[id/cod]))))))</f>
        <v>0</v>
      </c>
      <c r="D52" s="168">
        <f>COUNTIFS(DATOS_[AGRUP. VALOR. PTO.],$B51,DATOS_[Sexo],$B52,DATOS_[Check Periodo Ref.],"Dentro")</f>
        <v>0</v>
      </c>
      <c r="E52" s="169">
        <f t="array" ref="E52">IFERROR(
AVERAGE(IF(DATOS_[Sexo]=$B52,IF(DATOS_[AGRUP. VALOR. PTO.]=$B51,IF(DATOS_[Check Periodo Ref.]="Dentro",DATOS_[SALARIO BASE Ef],FALSE)))),
0)</f>
        <v>0</v>
      </c>
      <c r="F52" s="170">
        <f t="array" ref="F52">IFERROR(
AVERAGE((IF(DATOS_[[Sexo]:[Sexo]]=$B52,IF(DATOS_[[AGRUP. VALOR. PTO.]:[AGRUP. VALOR. PTO.]]=$B51,IF(DATOS_[[Check Periodo Ref.]:[Check Periodo Ref.]]="Dentro",DATOS_[Conc.Sal.01]))))),
0)</f>
        <v>0</v>
      </c>
      <c r="G52" s="170">
        <f t="array" ref="G52">IFERROR(
AVERAGE((IF(DATOS_[[Sexo]:[Sexo]]=$B52,IF(DATOS_[[AGRUP. VALOR. PTO.]:[AGRUP. VALOR. PTO.]]=$B51,IF(DATOS_[[Check Periodo Ref.]:[Check Periodo Ref.]]="Dentro",DATOS_[Conc.Sal.02]))))),
0)</f>
        <v>0</v>
      </c>
      <c r="H52" s="170">
        <f t="array" ref="H52">IFERROR(
AVERAGE((IF(DATOS_[[Sexo]:[Sexo]]=$B52,IF(DATOS_[[AGRUP. VALOR. PTO.]:[AGRUP. VALOR. PTO.]]=$B51,IF(DATOS_[[Check Periodo Ref.]:[Check Periodo Ref.]]="Dentro",DATOS_[Conc.Sal.03]))))),
0)</f>
        <v>0</v>
      </c>
      <c r="I52" s="170">
        <f t="array" ref="I52">IFERROR(
AVERAGE((IF(DATOS_[[Sexo]:[Sexo]]=$B52,IF(DATOS_[[AGRUP. VALOR. PTO.]:[AGRUP. VALOR. PTO.]]=$B51,IF(DATOS_[[Check Periodo Ref.]:[Check Periodo Ref.]]="Dentro",DATOS_[Conc.Sal.04]))))),
0)</f>
        <v>0</v>
      </c>
      <c r="J52" s="170">
        <f t="array" ref="J52">IFERROR(
AVERAGE((IF(DATOS_[[Sexo]:[Sexo]]=$B52,IF(DATOS_[[AGRUP. VALOR. PTO.]:[AGRUP. VALOR. PTO.]]=$B51,IF(DATOS_[[Check Periodo Ref.]:[Check Periodo Ref.]]="Dentro",DATOS_[Conc.Sal.05]))))),
0)</f>
        <v>0</v>
      </c>
      <c r="K52" s="170">
        <f t="array" ref="K52">IFERROR(
AVERAGE((IF(DATOS_[[Sexo]:[Sexo]]=$B52,IF(DATOS_[[AGRUP. VALOR. PTO.]:[AGRUP. VALOR. PTO.]]=$B51,IF(DATOS_[[Check Periodo Ref.]:[Check Periodo Ref.]]="Dentro",DATOS_[Conc.Sal.06]))))),
0)</f>
        <v>0</v>
      </c>
      <c r="L52" s="170">
        <f t="array" ref="L52">IFERROR(
AVERAGE((IF(DATOS_[[Sexo]:[Sexo]]=$B52,IF(DATOS_[[AGRUP. VALOR. PTO.]:[AGRUP. VALOR. PTO.]]=$B51,IF(DATOS_[[Check Periodo Ref.]:[Check Periodo Ref.]]="Dentro",DATOS_[Conc.Sal.07]))))),
0)</f>
        <v>0</v>
      </c>
      <c r="M52" s="170">
        <f t="array" ref="M52">IFERROR(
AVERAGE((IF(DATOS_[[Sexo]:[Sexo]]=$B52,IF(DATOS_[[AGRUP. VALOR. PTO.]:[AGRUP. VALOR. PTO.]]=$B51,IF(DATOS_[[Check Periodo Ref.]:[Check Periodo Ref.]]="Dentro",DATOS_[Conc.Sal.08]))))),
0)</f>
        <v>0</v>
      </c>
      <c r="N52" s="170">
        <f t="array" ref="N52">IFERROR(
AVERAGE((IF(DATOS_[[Sexo]:[Sexo]]=$B52,IF(DATOS_[[AGRUP. VALOR. PTO.]:[AGRUP. VALOR. PTO.]]=$B51,IF(DATOS_[[Check Periodo Ref.]:[Check Periodo Ref.]]="Dentro",DATOS_[Conc.Sal.09]))))),
0)</f>
        <v>0</v>
      </c>
      <c r="O52" s="170">
        <f t="array" ref="O52">IFERROR(
AVERAGE((IF(DATOS_[[Sexo]:[Sexo]]=$B52,IF(DATOS_[[AGRUP. VALOR. PTO.]:[AGRUP. VALOR. PTO.]]=$B51,IF(DATOS_[[Check Periodo Ref.]:[Check Periodo Ref.]]="Dentro",DATOS_[Conc.Sal.10]))))),
0)</f>
        <v>0</v>
      </c>
      <c r="P52" s="170">
        <f t="array" ref="P52">IFERROR(
AVERAGE((IF(DATOS_[[Sexo]:[Sexo]]=$B52,IF(DATOS_[[AGRUP. VALOR. PTO.]:[AGRUP. VALOR. PTO.]]=$B51,IF(DATOS_[[Check Periodo Ref.]:[Check Periodo Ref.]]="Dentro",DATOS_[Conc.Sal.11]))))),
0)</f>
        <v>0</v>
      </c>
      <c r="Q52" s="170">
        <f t="array" ref="Q52">IFERROR(
AVERAGE((IF(DATOS_[[Sexo]:[Sexo]]=$B52,IF(DATOS_[[AGRUP. VALOR. PTO.]:[AGRUP. VALOR. PTO.]]=$B51,IF(DATOS_[[Check Periodo Ref.]:[Check Periodo Ref.]]="Dentro",DATOS_[Conc.Sal.12]))))),
0)</f>
        <v>0</v>
      </c>
      <c r="R52" s="170">
        <f t="array" ref="R52">IFERROR(
AVERAGE((IF(DATOS_[[Sexo]:[Sexo]]=$B52,IF(DATOS_[[AGRUP. VALOR. PTO.]:[AGRUP. VALOR. PTO.]]=$B51,IF(DATOS_[[Check Periodo Ref.]:[Check Periodo Ref.]]="Dentro",DATOS_[Conc.Sal.13]))))),
0)</f>
        <v>0</v>
      </c>
      <c r="S52" s="170">
        <f t="array" ref="S52">IFERROR(
AVERAGE((IF(DATOS_[[Sexo]:[Sexo]]=$B52,IF(DATOS_[[AGRUP. VALOR. PTO.]:[AGRUP. VALOR. PTO.]]=$B51,IF(DATOS_[[Check Periodo Ref.]:[Check Periodo Ref.]]="Dentro",DATOS_[Conc.Sal.14]))))),
0)</f>
        <v>0</v>
      </c>
      <c r="T52" s="170">
        <f t="array" ref="T52">IFERROR(
AVERAGE((IF(DATOS_[[Sexo]:[Sexo]]=$B52,IF(DATOS_[[AGRUP. VALOR. PTO.]:[AGRUP. VALOR. PTO.]]=$B51,IF(DATOS_[[Check Periodo Ref.]:[Check Periodo Ref.]]="Dentro",DATOS_[Conc.Sal.15]))))),
0)</f>
        <v>0</v>
      </c>
      <c r="U52" s="170">
        <f t="array" ref="U52">IFERROR(
AVERAGE((IF(DATOS_[[Sexo]:[Sexo]]=$B52,IF(DATOS_[[AGRUP. VALOR. PTO.]:[AGRUP. VALOR. PTO.]]=$B51,IF(DATOS_[[Check Periodo Ref.]:[Check Periodo Ref.]]="Dentro",DATOS_[Conc.Sal.16]))))),
0)</f>
        <v>0</v>
      </c>
      <c r="V52" s="170">
        <f t="array" ref="V52">IFERROR(
AVERAGE((IF(DATOS_[[Sexo]:[Sexo]]=$B52,IF(DATOS_[[AGRUP. VALOR. PTO.]:[AGRUP. VALOR. PTO.]]=$B51,IF(DATOS_[[Check Periodo Ref.]:[Check Periodo Ref.]]="Dentro",DATOS_[Conc.Sal.17]))))),
0)</f>
        <v>0</v>
      </c>
      <c r="W52" s="170">
        <f t="array" ref="W52">IFERROR(
AVERAGE((IF(DATOS_[[Sexo]:[Sexo]]=$B52,IF(DATOS_[[AGRUP. VALOR. PTO.]:[AGRUP. VALOR. PTO.]]=$B51,IF(DATOS_[[Check Periodo Ref.]:[Check Periodo Ref.]]="Dentro",DATOS_[Conc.Sal.18]))))),
0)</f>
        <v>0</v>
      </c>
      <c r="X52" s="170">
        <f t="array" ref="X52">IFERROR(
AVERAGE((IF(DATOS_[[Sexo]:[Sexo]]=$B52,IF(DATOS_[[AGRUP. VALOR. PTO.]:[AGRUP. VALOR. PTO.]]=$B51,IF(DATOS_[[Check Periodo Ref.]:[Check Periodo Ref.]]="Dentro",DATOS_[Conc.Sal.19]))))),
0)</f>
        <v>0</v>
      </c>
      <c r="Y52" s="170">
        <f t="array" ref="Y52">IFERROR(
AVERAGE((IF(DATOS_[[Sexo]:[Sexo]]=$B52,IF(DATOS_[[AGRUP. VALOR. PTO.]:[AGRUP. VALOR. PTO.]]=$B51,IF(DATOS_[[Check Periodo Ref.]:[Check Periodo Ref.]]="Dentro",DATOS_[Conc.Sal.20]))))),
0)</f>
        <v>0</v>
      </c>
      <c r="Z52" s="170">
        <f t="array" ref="Z52">IFERROR(
AVERAGE((IF(DATOS_[[Sexo]:[Sexo]]=$B52,IF(DATOS_[[AGRUP. VALOR. PTO.]:[AGRUP. VALOR. PTO.]]=$B51,IF(DATOS_[[Check Periodo Ref.]:[Check Periodo Ref.]]="Dentro",DATOS_[Conc.Sal.21]))))),
0)</f>
        <v>0</v>
      </c>
      <c r="AA52" s="170">
        <f t="array" ref="AA52">IFERROR(
AVERAGE((IF(DATOS_[[Sexo]:[Sexo]]=$B52,IF(DATOS_[[AGRUP. VALOR. PTO.]:[AGRUP. VALOR. PTO.]]=$B51,IF(DATOS_[[Check Periodo Ref.]:[Check Periodo Ref.]]="Dentro",DATOS_[Conc.Sal.22]))))),
0)</f>
        <v>0</v>
      </c>
      <c r="AB52" s="170">
        <f t="array" ref="AB52">IFERROR(
AVERAGE((IF(DATOS_[[Sexo]:[Sexo]]=$B52,IF(DATOS_[[AGRUP. VALOR. PTO.]:[AGRUP. VALOR. PTO.]]=$B51,IF(DATOS_[[Check Periodo Ref.]:[Check Periodo Ref.]]="Dentro",DATOS_[Conc.Sal.23]))))),
0)</f>
        <v>0</v>
      </c>
      <c r="AC52" s="170">
        <f t="array" ref="AC52">IFERROR(
AVERAGE((IF(DATOS_[[Sexo]:[Sexo]]=$B52,IF(DATOS_[[AGRUP. VALOR. PTO.]:[AGRUP. VALOR. PTO.]]=$B51,IF(DATOS_[[Check Periodo Ref.]:[Check Periodo Ref.]]="Dentro",DATOS_[Conc.Sal.24]))))),
0)</f>
        <v>0</v>
      </c>
      <c r="AD52" s="170">
        <f t="array" ref="AD52">IFERROR(
AVERAGE((IF(DATOS_[[Sexo]:[Sexo]]=$B52,IF(DATOS_[[AGRUP. VALOR. PTO.]:[AGRUP. VALOR. PTO.]]=$B51,IF(DATOS_[[Check Periodo Ref.]:[Check Periodo Ref.]]="Dentro",DATOS_[Conc.Sal.25]))))),
0)</f>
        <v>0</v>
      </c>
      <c r="AE52" s="170">
        <f t="array" ref="AE52">IFERROR(
AVERAGE((IF(DATOS_[[Sexo]:[Sexo]]=$B52,IF(DATOS_[[AGRUP. VALOR. PTO.]:[AGRUP. VALOR. PTO.]]=$B51,IF(DATOS_[[Check Periodo Ref.]:[Check Periodo Ref.]]="Dentro",DATOS_[Conc.Sal.26]))))),
0)</f>
        <v>0</v>
      </c>
      <c r="AF52" s="170">
        <f t="array" ref="AF52">IFERROR(
AVERAGE((IF(DATOS_[[Sexo]:[Sexo]]=$B52,IF(DATOS_[[AGRUP. VALOR. PTO.]:[AGRUP. VALOR. PTO.]]=$B51,IF(DATOS_[[Check Periodo Ref.]:[Check Periodo Ref.]]="Dentro",DATOS_[Conc.Sal.27]))))),
0)</f>
        <v>0</v>
      </c>
      <c r="AG52" s="170">
        <f t="array" ref="AG52">IFERROR(
AVERAGE((IF(DATOS_[[Sexo]:[Sexo]]=$B52,IF(DATOS_[[AGRUP. VALOR. PTO.]:[AGRUP. VALOR. PTO.]]=$B51,IF(DATOS_[[Check Periodo Ref.]:[Check Periodo Ref.]]="Dentro",DATOS_[Conc.Sal.28]))))),
0)</f>
        <v>0</v>
      </c>
      <c r="AH52" s="170">
        <f t="array" ref="AH52">IFERROR(
AVERAGE((IF(DATOS_[[Sexo]:[Sexo]]=$B52,IF(DATOS_[[AGRUP. VALOR. PTO.]:[AGRUP. VALOR. PTO.]]=$B51,IF(DATOS_[[Check Periodo Ref.]:[Check Periodo Ref.]]="Dentro",DATOS_[Conc.Sal.29]))))),
0)</f>
        <v>0</v>
      </c>
      <c r="AI52" s="170">
        <f t="array" ref="AI52">IFERROR(
AVERAGE((IF(DATOS_[[Sexo]:[Sexo]]=$B52,IF(DATOS_[[AGRUP. VALOR. PTO.]:[AGRUP. VALOR. PTO.]]=$B51,IF(DATOS_[[Check Periodo Ref.]:[Check Periodo Ref.]]="Dentro",DATOS_[Conc.Sal.30]))))),
0)</f>
        <v>0</v>
      </c>
      <c r="AJ52" s="171">
        <f t="array" ref="AJ52">IFERROR(
AVERAGE(IF(DATOS_[Sexo]=$B52,IF(DATOS_[AGRUP. VALOR. PTO.]=$B51,IF(DATOS_[Check Periodo Ref.]="Dentro",DATOS_[Tot COMPL.SAL Ef],FALSE)))),
0)</f>
        <v>0</v>
      </c>
      <c r="AK52" s="172">
        <f t="array" ref="AK52">IFERROR(
AVERAGE(IF(DATOS_[Sexo]=$B52,IF(DATOS_[AGRUP. VALOR. PTO.]=$B51,IF(DATOS_[Check Periodo Ref.]="Dentro",DATOS_[TOTAL SALARIO Ef],FALSE)))),
0)</f>
        <v>0</v>
      </c>
      <c r="AL52" s="173">
        <f t="array" ref="AL52">IFERROR(
AVERAGE((IF(DATOS_[[Sexo]:[Sexo]]=$B52,IF(DATOS_[[AGRUP. VALOR. PTO.]:[AGRUP. VALOR. PTO.]]=$B51,IF(DATOS_[[Check Periodo Ref.]:[Check Periodo Ref.]]="Dentro",DATOS_[C.Extra.01]))))),
0)</f>
        <v>0</v>
      </c>
      <c r="AM52" s="173">
        <f t="array" ref="AM52">IFERROR(
AVERAGE((IF(DATOS_[[Sexo]:[Sexo]]=$B52,IF(DATOS_[[AGRUP. VALOR. PTO.]:[AGRUP. VALOR. PTO.]]=$B51,IF(DATOS_[[Check Periodo Ref.]:[Check Periodo Ref.]]="Dentro",DATOS_[C.Extra.06]))))),
0)</f>
        <v>0</v>
      </c>
      <c r="AN52" s="173">
        <f t="array" ref="AN52">IFERROR(
AVERAGE((IF(DATOS_[[Sexo]:[Sexo]]=$B52,IF(DATOS_[[AGRUP. VALOR. PTO.]:[AGRUP. VALOR. PTO.]]=$B51,IF(DATOS_[[Check Periodo Ref.]:[Check Periodo Ref.]]="Dentro",DATOS_[C.Extra.07]))))),
0)</f>
        <v>0</v>
      </c>
      <c r="AO52" s="173">
        <f t="array" ref="AO52">IFERROR(
AVERAGE((IF(DATOS_[[Sexo]:[Sexo]]=$B52,IF(DATOS_[[AGRUP. VALOR. PTO.]:[AGRUP. VALOR. PTO.]]=$B51,IF(DATOS_[[Check Periodo Ref.]:[Check Periodo Ref.]]="Dentro",DATOS_[C.Extra.08]))))),
0)</f>
        <v>0</v>
      </c>
      <c r="AP52" s="173">
        <f t="array" ref="AP52">IFERROR(
AVERAGE((IF(DATOS_[[Sexo]:[Sexo]]=$B52,IF(DATOS_[[AGRUP. VALOR. PTO.]:[AGRUP. VALOR. PTO.]]=$B51,IF(DATOS_[[Check Periodo Ref.]:[Check Periodo Ref.]]="Dentro",DATOS_[C.Extra.11]))))),
0)</f>
        <v>0</v>
      </c>
      <c r="AQ52" s="174">
        <f t="array" ref="AQ52">IFERROR(
AVERAGE(IF(DATOS_[Sexo]=$B52,IF(DATOS_[AGRUP. VALOR. PTO.]=$B51,IF(DATOS_[Check Periodo Ref.]="Dentro",DATOS_[Tot Extrasalarial Ef],FALSE)))),
0)</f>
        <v>0</v>
      </c>
      <c r="AR52" s="171">
        <f t="array" ref="AR52">IFERROR(
AVERAGE(IF(DATOS_[Sexo]=$B52,IF(DATOS_[AGRUP. VALOR. PTO.]=$B51,IF(DATOS_[Check Periodo Ref.]="Dentro",DATOS_[TOTAL Retrib Ef],FALSE)))),
0)</f>
        <v>0</v>
      </c>
    </row>
    <row r="53" spans="1:44" x14ac:dyDescent="0.25">
      <c r="A53" s="178" t="str">
        <f t="shared" ref="A53" si="54">+A52</f>
        <v>[ocultar]</v>
      </c>
      <c r="B53" s="166" t="s">
        <v>521</v>
      </c>
      <c r="C53" s="167">
        <f t="array" ref="C53">SUM(IF($B53=DATOS_[Sexo],
IF($B51=DATOS_[AGRUP. VALOR. PTO.],
IF("Dentro"=DATOS_[Check Periodo Ref.],
1/(COUNTIFS(DATOS_[Sexo],$B53,DATOS_[AGRUP. VALOR. PTO.],$B51,DATOS_[Check Periodo Ref.],"Dentro",DATOS_[id/cod],DATOS_[id/cod]))))))</f>
        <v>0</v>
      </c>
      <c r="D53" s="168">
        <f>COUNTIFS(DATOS_[AGRUP. VALOR. PTO.],$B51,DATOS_[Sexo],$B53,DATOS_[Check Periodo Ref.],"Dentro")</f>
        <v>0</v>
      </c>
      <c r="E53" s="169">
        <f t="array" ref="E53">IFERROR(
AVERAGE(IF(DATOS_[Sexo]=$B53,IF(DATOS_[AGRUP. VALOR. PTO.]=$B51,IF(DATOS_[Check Periodo Ref.]="Dentro",DATOS_[SALARIO BASE Ef],FALSE)))),
0)</f>
        <v>0</v>
      </c>
      <c r="F53" s="170">
        <f t="array" ref="F53">IFERROR(
AVERAGE((IF(DATOS_[[Sexo]:[Sexo]]=$B53,IF(DATOS_[[AGRUP. VALOR. PTO.]:[AGRUP. VALOR. PTO.]]=$B51,IF(DATOS_[[Check Periodo Ref.]:[Check Periodo Ref.]]="Dentro",DATOS_[Conc.Sal.01]))))),
0)</f>
        <v>0</v>
      </c>
      <c r="G53" s="170">
        <f t="array" ref="G53">IFERROR(
AVERAGE((IF(DATOS_[[Sexo]:[Sexo]]=$B53,IF(DATOS_[[AGRUP. VALOR. PTO.]:[AGRUP. VALOR. PTO.]]=$B51,IF(DATOS_[[Check Periodo Ref.]:[Check Periodo Ref.]]="Dentro",DATOS_[Conc.Sal.02]))))),
0)</f>
        <v>0</v>
      </c>
      <c r="H53" s="170">
        <f t="array" ref="H53">IFERROR(
AVERAGE((IF(DATOS_[[Sexo]:[Sexo]]=$B53,IF(DATOS_[[AGRUP. VALOR. PTO.]:[AGRUP. VALOR. PTO.]]=$B51,IF(DATOS_[[Check Periodo Ref.]:[Check Periodo Ref.]]="Dentro",DATOS_[Conc.Sal.03]))))),
0)</f>
        <v>0</v>
      </c>
      <c r="I53" s="170">
        <f t="array" ref="I53">IFERROR(
AVERAGE((IF(DATOS_[[Sexo]:[Sexo]]=$B53,IF(DATOS_[[AGRUP. VALOR. PTO.]:[AGRUP. VALOR. PTO.]]=$B51,IF(DATOS_[[Check Periodo Ref.]:[Check Periodo Ref.]]="Dentro",DATOS_[Conc.Sal.04]))))),
0)</f>
        <v>0</v>
      </c>
      <c r="J53" s="170">
        <f t="array" ref="J53">IFERROR(
AVERAGE((IF(DATOS_[[Sexo]:[Sexo]]=$B53,IF(DATOS_[[AGRUP. VALOR. PTO.]:[AGRUP. VALOR. PTO.]]=$B51,IF(DATOS_[[Check Periodo Ref.]:[Check Periodo Ref.]]="Dentro",DATOS_[Conc.Sal.05]))))),
0)</f>
        <v>0</v>
      </c>
      <c r="K53" s="170">
        <f t="array" ref="K53">IFERROR(
AVERAGE((IF(DATOS_[[Sexo]:[Sexo]]=$B53,IF(DATOS_[[AGRUP. VALOR. PTO.]:[AGRUP. VALOR. PTO.]]=$B51,IF(DATOS_[[Check Periodo Ref.]:[Check Periodo Ref.]]="Dentro",DATOS_[Conc.Sal.06]))))),
0)</f>
        <v>0</v>
      </c>
      <c r="L53" s="170">
        <f t="array" ref="L53">IFERROR(
AVERAGE((IF(DATOS_[[Sexo]:[Sexo]]=$B53,IF(DATOS_[[AGRUP. VALOR. PTO.]:[AGRUP. VALOR. PTO.]]=$B51,IF(DATOS_[[Check Periodo Ref.]:[Check Periodo Ref.]]="Dentro",DATOS_[Conc.Sal.07]))))),
0)</f>
        <v>0</v>
      </c>
      <c r="M53" s="170">
        <f t="array" ref="M53">IFERROR(
AVERAGE((IF(DATOS_[[Sexo]:[Sexo]]=$B53,IF(DATOS_[[AGRUP. VALOR. PTO.]:[AGRUP. VALOR. PTO.]]=$B51,IF(DATOS_[[Check Periodo Ref.]:[Check Periodo Ref.]]="Dentro",DATOS_[Conc.Sal.08]))))),
0)</f>
        <v>0</v>
      </c>
      <c r="N53" s="170">
        <f t="array" ref="N53">IFERROR(
AVERAGE((IF(DATOS_[[Sexo]:[Sexo]]=$B53,IF(DATOS_[[AGRUP. VALOR. PTO.]:[AGRUP. VALOR. PTO.]]=$B51,IF(DATOS_[[Check Periodo Ref.]:[Check Periodo Ref.]]="Dentro",DATOS_[Conc.Sal.09]))))),
0)</f>
        <v>0</v>
      </c>
      <c r="O53" s="170">
        <f t="array" ref="O53">IFERROR(
AVERAGE((IF(DATOS_[[Sexo]:[Sexo]]=$B53,IF(DATOS_[[AGRUP. VALOR. PTO.]:[AGRUP. VALOR. PTO.]]=$B51,IF(DATOS_[[Check Periodo Ref.]:[Check Periodo Ref.]]="Dentro",DATOS_[Conc.Sal.10]))))),
0)</f>
        <v>0</v>
      </c>
      <c r="P53" s="170">
        <f t="array" ref="P53">IFERROR(
AVERAGE((IF(DATOS_[[Sexo]:[Sexo]]=$B53,IF(DATOS_[[AGRUP. VALOR. PTO.]:[AGRUP. VALOR. PTO.]]=$B51,IF(DATOS_[[Check Periodo Ref.]:[Check Periodo Ref.]]="Dentro",DATOS_[Conc.Sal.11]))))),
0)</f>
        <v>0</v>
      </c>
      <c r="Q53" s="170">
        <f t="array" ref="Q53">IFERROR(
AVERAGE((IF(DATOS_[[Sexo]:[Sexo]]=$B53,IF(DATOS_[[AGRUP. VALOR. PTO.]:[AGRUP. VALOR. PTO.]]=$B51,IF(DATOS_[[Check Periodo Ref.]:[Check Periodo Ref.]]="Dentro",DATOS_[Conc.Sal.12]))))),
0)</f>
        <v>0</v>
      </c>
      <c r="R53" s="170">
        <f t="array" ref="R53">IFERROR(
AVERAGE((IF(DATOS_[[Sexo]:[Sexo]]=$B53,IF(DATOS_[[AGRUP. VALOR. PTO.]:[AGRUP. VALOR. PTO.]]=$B51,IF(DATOS_[[Check Periodo Ref.]:[Check Periodo Ref.]]="Dentro",DATOS_[Conc.Sal.13]))))),
0)</f>
        <v>0</v>
      </c>
      <c r="S53" s="170">
        <f t="array" ref="S53">IFERROR(
AVERAGE((IF(DATOS_[[Sexo]:[Sexo]]=$B53,IF(DATOS_[[AGRUP. VALOR. PTO.]:[AGRUP. VALOR. PTO.]]=$B51,IF(DATOS_[[Check Periodo Ref.]:[Check Periodo Ref.]]="Dentro",DATOS_[Conc.Sal.14]))))),
0)</f>
        <v>0</v>
      </c>
      <c r="T53" s="170">
        <f t="array" ref="T53">IFERROR(
AVERAGE((IF(DATOS_[[Sexo]:[Sexo]]=$B53,IF(DATOS_[[AGRUP. VALOR. PTO.]:[AGRUP. VALOR. PTO.]]=$B51,IF(DATOS_[[Check Periodo Ref.]:[Check Periodo Ref.]]="Dentro",DATOS_[Conc.Sal.15]))))),
0)</f>
        <v>0</v>
      </c>
      <c r="U53" s="170">
        <f t="array" ref="U53">IFERROR(
AVERAGE((IF(DATOS_[[Sexo]:[Sexo]]=$B53,IF(DATOS_[[AGRUP. VALOR. PTO.]:[AGRUP. VALOR. PTO.]]=$B51,IF(DATOS_[[Check Periodo Ref.]:[Check Periodo Ref.]]="Dentro",DATOS_[Conc.Sal.16]))))),
0)</f>
        <v>0</v>
      </c>
      <c r="V53" s="170">
        <f t="array" ref="V53">IFERROR(
AVERAGE((IF(DATOS_[[Sexo]:[Sexo]]=$B53,IF(DATOS_[[AGRUP. VALOR. PTO.]:[AGRUP. VALOR. PTO.]]=$B51,IF(DATOS_[[Check Periodo Ref.]:[Check Periodo Ref.]]="Dentro",DATOS_[Conc.Sal.17]))))),
0)</f>
        <v>0</v>
      </c>
      <c r="W53" s="170">
        <f t="array" ref="W53">IFERROR(
AVERAGE((IF(DATOS_[[Sexo]:[Sexo]]=$B53,IF(DATOS_[[AGRUP. VALOR. PTO.]:[AGRUP. VALOR. PTO.]]=$B51,IF(DATOS_[[Check Periodo Ref.]:[Check Periodo Ref.]]="Dentro",DATOS_[Conc.Sal.18]))))),
0)</f>
        <v>0</v>
      </c>
      <c r="X53" s="170">
        <f t="array" ref="X53">IFERROR(
AVERAGE((IF(DATOS_[[Sexo]:[Sexo]]=$B53,IF(DATOS_[[AGRUP. VALOR. PTO.]:[AGRUP. VALOR. PTO.]]=$B51,IF(DATOS_[[Check Periodo Ref.]:[Check Periodo Ref.]]="Dentro",DATOS_[Conc.Sal.19]))))),
0)</f>
        <v>0</v>
      </c>
      <c r="Y53" s="170">
        <f t="array" ref="Y53">IFERROR(
AVERAGE((IF(DATOS_[[Sexo]:[Sexo]]=$B53,IF(DATOS_[[AGRUP. VALOR. PTO.]:[AGRUP. VALOR. PTO.]]=$B51,IF(DATOS_[[Check Periodo Ref.]:[Check Periodo Ref.]]="Dentro",DATOS_[Conc.Sal.20]))))),
0)</f>
        <v>0</v>
      </c>
      <c r="Z53" s="170">
        <f t="array" ref="Z53">IFERROR(
AVERAGE((IF(DATOS_[[Sexo]:[Sexo]]=$B53,IF(DATOS_[[AGRUP. VALOR. PTO.]:[AGRUP. VALOR. PTO.]]=$B51,IF(DATOS_[[Check Periodo Ref.]:[Check Periodo Ref.]]="Dentro",DATOS_[Conc.Sal.21]))))),
0)</f>
        <v>0</v>
      </c>
      <c r="AA53" s="170">
        <f t="array" ref="AA53">IFERROR(
AVERAGE((IF(DATOS_[[Sexo]:[Sexo]]=$B53,IF(DATOS_[[AGRUP. VALOR. PTO.]:[AGRUP. VALOR. PTO.]]=$B51,IF(DATOS_[[Check Periodo Ref.]:[Check Periodo Ref.]]="Dentro",DATOS_[Conc.Sal.22]))))),
0)</f>
        <v>0</v>
      </c>
      <c r="AB53" s="170">
        <f t="array" ref="AB53">IFERROR(
AVERAGE((IF(DATOS_[[Sexo]:[Sexo]]=$B53,IF(DATOS_[[AGRUP. VALOR. PTO.]:[AGRUP. VALOR. PTO.]]=$B51,IF(DATOS_[[Check Periodo Ref.]:[Check Periodo Ref.]]="Dentro",DATOS_[Conc.Sal.23]))))),
0)</f>
        <v>0</v>
      </c>
      <c r="AC53" s="170">
        <f t="array" ref="AC53">IFERROR(
AVERAGE((IF(DATOS_[[Sexo]:[Sexo]]=$B53,IF(DATOS_[[AGRUP. VALOR. PTO.]:[AGRUP. VALOR. PTO.]]=$B51,IF(DATOS_[[Check Periodo Ref.]:[Check Periodo Ref.]]="Dentro",DATOS_[Conc.Sal.24]))))),
0)</f>
        <v>0</v>
      </c>
      <c r="AD53" s="170">
        <f t="array" ref="AD53">IFERROR(
AVERAGE((IF(DATOS_[[Sexo]:[Sexo]]=$B53,IF(DATOS_[[AGRUP. VALOR. PTO.]:[AGRUP. VALOR. PTO.]]=$B51,IF(DATOS_[[Check Periodo Ref.]:[Check Periodo Ref.]]="Dentro",DATOS_[Conc.Sal.25]))))),
0)</f>
        <v>0</v>
      </c>
      <c r="AE53" s="170">
        <f t="array" ref="AE53">IFERROR(
AVERAGE((IF(DATOS_[[Sexo]:[Sexo]]=$B53,IF(DATOS_[[AGRUP. VALOR. PTO.]:[AGRUP. VALOR. PTO.]]=$B51,IF(DATOS_[[Check Periodo Ref.]:[Check Periodo Ref.]]="Dentro",DATOS_[Conc.Sal.26]))))),
0)</f>
        <v>0</v>
      </c>
      <c r="AF53" s="170">
        <f t="array" ref="AF53">IFERROR(
AVERAGE((IF(DATOS_[[Sexo]:[Sexo]]=$B53,IF(DATOS_[[AGRUP. VALOR. PTO.]:[AGRUP. VALOR. PTO.]]=$B51,IF(DATOS_[[Check Periodo Ref.]:[Check Periodo Ref.]]="Dentro",DATOS_[Conc.Sal.27]))))),
0)</f>
        <v>0</v>
      </c>
      <c r="AG53" s="170">
        <f t="array" ref="AG53">IFERROR(
AVERAGE((IF(DATOS_[[Sexo]:[Sexo]]=$B53,IF(DATOS_[[AGRUP. VALOR. PTO.]:[AGRUP. VALOR. PTO.]]=$B51,IF(DATOS_[[Check Periodo Ref.]:[Check Periodo Ref.]]="Dentro",DATOS_[Conc.Sal.28]))))),
0)</f>
        <v>0</v>
      </c>
      <c r="AH53" s="170">
        <f t="array" ref="AH53">IFERROR(
AVERAGE((IF(DATOS_[[Sexo]:[Sexo]]=$B53,IF(DATOS_[[AGRUP. VALOR. PTO.]:[AGRUP. VALOR. PTO.]]=$B51,IF(DATOS_[[Check Periodo Ref.]:[Check Periodo Ref.]]="Dentro",DATOS_[Conc.Sal.29]))))),
0)</f>
        <v>0</v>
      </c>
      <c r="AI53" s="170">
        <f t="array" ref="AI53">IFERROR(
AVERAGE((IF(DATOS_[[Sexo]:[Sexo]]=$B53,IF(DATOS_[[AGRUP. VALOR. PTO.]:[AGRUP. VALOR. PTO.]]=$B51,IF(DATOS_[[Check Periodo Ref.]:[Check Periodo Ref.]]="Dentro",DATOS_[Conc.Sal.30]))))),
0)</f>
        <v>0</v>
      </c>
      <c r="AJ53" s="171">
        <f t="array" ref="AJ53">IFERROR(
AVERAGE(IF(DATOS_[Sexo]=$B53,IF(DATOS_[AGRUP. VALOR. PTO.]=$B51,IF(DATOS_[Check Periodo Ref.]="Dentro",DATOS_[Tot COMPL.SAL Ef],FALSE)))),
0)</f>
        <v>0</v>
      </c>
      <c r="AK53" s="172">
        <f t="array" ref="AK53">IFERROR(
AVERAGE(IF(DATOS_[Sexo]=$B53,IF(DATOS_[AGRUP. VALOR. PTO.]=$B51,IF(DATOS_[Check Periodo Ref.]="Dentro",DATOS_[TOTAL SALARIO Ef],FALSE)))),
0)</f>
        <v>0</v>
      </c>
      <c r="AL53" s="173">
        <f t="array" ref="AL53">IFERROR(
AVERAGE((IF(DATOS_[[Sexo]:[Sexo]]=$B53,IF(DATOS_[[AGRUP. VALOR. PTO.]:[AGRUP. VALOR. PTO.]]=$B51,IF(DATOS_[[Check Periodo Ref.]:[Check Periodo Ref.]]="Dentro",DATOS_[C.Extra.01]))))),
0)</f>
        <v>0</v>
      </c>
      <c r="AM53" s="173">
        <f t="array" ref="AM53">IFERROR(
AVERAGE((IF(DATOS_[[Sexo]:[Sexo]]=$B53,IF(DATOS_[[AGRUP. VALOR. PTO.]:[AGRUP. VALOR. PTO.]]=$B51,IF(DATOS_[[Check Periodo Ref.]:[Check Periodo Ref.]]="Dentro",DATOS_[C.Extra.06]))))),
0)</f>
        <v>0</v>
      </c>
      <c r="AN53" s="173">
        <f t="array" ref="AN53">IFERROR(
AVERAGE((IF(DATOS_[[Sexo]:[Sexo]]=$B53,IF(DATOS_[[AGRUP. VALOR. PTO.]:[AGRUP. VALOR. PTO.]]=$B51,IF(DATOS_[[Check Periodo Ref.]:[Check Periodo Ref.]]="Dentro",DATOS_[C.Extra.07]))))),
0)</f>
        <v>0</v>
      </c>
      <c r="AO53" s="173">
        <f t="array" ref="AO53">IFERROR(
AVERAGE((IF(DATOS_[[Sexo]:[Sexo]]=$B53,IF(DATOS_[[AGRUP. VALOR. PTO.]:[AGRUP. VALOR. PTO.]]=$B51,IF(DATOS_[[Check Periodo Ref.]:[Check Periodo Ref.]]="Dentro",DATOS_[C.Extra.08]))))),
0)</f>
        <v>0</v>
      </c>
      <c r="AP53" s="173">
        <f t="array" ref="AP53">IFERROR(
AVERAGE((IF(DATOS_[[Sexo]:[Sexo]]=$B53,IF(DATOS_[[AGRUP. VALOR. PTO.]:[AGRUP. VALOR. PTO.]]=$B51,IF(DATOS_[[Check Periodo Ref.]:[Check Periodo Ref.]]="Dentro",DATOS_[C.Extra.11]))))),
0)</f>
        <v>0</v>
      </c>
      <c r="AQ53" s="174">
        <f t="array" ref="AQ53">IFERROR(
AVERAGE(IF(DATOS_[Sexo]=$B53,IF(DATOS_[AGRUP. VALOR. PTO.]=$B51,IF(DATOS_[Check Periodo Ref.]="Dentro",DATOS_[Tot Extrasalarial Ef],FALSE)))),
0)</f>
        <v>0</v>
      </c>
      <c r="AR53" s="171">
        <f t="array" ref="AR53">IFERROR(
AVERAGE(IF(DATOS_[Sexo]=$B53,IF(DATOS_[AGRUP. VALOR. PTO.]=$B51,IF(DATOS_[Check Periodo Ref.]="Dentro",DATOS_[TOTAL Retrib Ef],FALSE)))),
0)</f>
        <v>0</v>
      </c>
    </row>
    <row r="54" spans="1:44" ht="14.4" thickBot="1" x14ac:dyDescent="0.3">
      <c r="A54" s="178" t="str">
        <f t="shared" ref="A54" si="55">+A55</f>
        <v>[ocultar]</v>
      </c>
      <c r="B54" s="153" t="s">
        <v>230</v>
      </c>
      <c r="C54" s="154"/>
      <c r="D54" s="155"/>
      <c r="E54" s="156" t="str">
        <f t="shared" ref="E54:AR54" si="56">IFERROR((E55-E56)/E55,"")</f>
        <v/>
      </c>
      <c r="F54" s="157" t="str">
        <f t="shared" si="56"/>
        <v/>
      </c>
      <c r="G54" s="158" t="str">
        <f t="shared" si="56"/>
        <v/>
      </c>
      <c r="H54" s="158" t="str">
        <f t="shared" si="56"/>
        <v/>
      </c>
      <c r="I54" s="158" t="str">
        <f t="shared" si="56"/>
        <v/>
      </c>
      <c r="J54" s="159" t="str">
        <f t="shared" si="56"/>
        <v/>
      </c>
      <c r="K54" s="160" t="str">
        <f t="shared" si="56"/>
        <v/>
      </c>
      <c r="L54" s="160" t="str">
        <f t="shared" si="56"/>
        <v/>
      </c>
      <c r="M54" s="160" t="str">
        <f t="shared" si="56"/>
        <v/>
      </c>
      <c r="N54" s="160" t="str">
        <f t="shared" si="56"/>
        <v/>
      </c>
      <c r="O54" s="160" t="str">
        <f t="shared" si="56"/>
        <v/>
      </c>
      <c r="P54" s="160" t="str">
        <f t="shared" si="56"/>
        <v/>
      </c>
      <c r="Q54" s="160" t="str">
        <f t="shared" si="56"/>
        <v/>
      </c>
      <c r="R54" s="160" t="str">
        <f t="shared" si="56"/>
        <v/>
      </c>
      <c r="S54" s="160" t="str">
        <f t="shared" si="56"/>
        <v/>
      </c>
      <c r="T54" s="160" t="str">
        <f t="shared" si="56"/>
        <v/>
      </c>
      <c r="U54" s="160" t="str">
        <f t="shared" si="56"/>
        <v/>
      </c>
      <c r="V54" s="159" t="str">
        <f t="shared" si="56"/>
        <v/>
      </c>
      <c r="W54" s="159" t="str">
        <f t="shared" si="56"/>
        <v/>
      </c>
      <c r="X54" s="159" t="str">
        <f t="shared" si="56"/>
        <v/>
      </c>
      <c r="Y54" s="159" t="str">
        <f t="shared" si="56"/>
        <v/>
      </c>
      <c r="Z54" s="159" t="str">
        <f t="shared" si="56"/>
        <v/>
      </c>
      <c r="AA54" s="159" t="str">
        <f t="shared" si="56"/>
        <v/>
      </c>
      <c r="AB54" s="159" t="str">
        <f t="shared" si="56"/>
        <v/>
      </c>
      <c r="AC54" s="159" t="str">
        <f t="shared" si="56"/>
        <v/>
      </c>
      <c r="AD54" s="159" t="str">
        <f t="shared" si="56"/>
        <v/>
      </c>
      <c r="AE54" s="159" t="str">
        <f t="shared" si="56"/>
        <v/>
      </c>
      <c r="AF54" s="159" t="str">
        <f t="shared" si="56"/>
        <v/>
      </c>
      <c r="AG54" s="159" t="str">
        <f t="shared" si="56"/>
        <v/>
      </c>
      <c r="AH54" s="159" t="str">
        <f t="shared" si="56"/>
        <v/>
      </c>
      <c r="AI54" s="159" t="str">
        <f t="shared" si="56"/>
        <v/>
      </c>
      <c r="AJ54" s="161" t="str">
        <f t="shared" si="56"/>
        <v/>
      </c>
      <c r="AK54" s="162" t="str">
        <f t="shared" si="56"/>
        <v/>
      </c>
      <c r="AL54" s="163" t="str">
        <f t="shared" si="56"/>
        <v/>
      </c>
      <c r="AM54" s="163" t="str">
        <f t="shared" si="56"/>
        <v/>
      </c>
      <c r="AN54" s="163" t="str">
        <f t="shared" si="56"/>
        <v/>
      </c>
      <c r="AO54" s="163" t="str">
        <f t="shared" si="56"/>
        <v/>
      </c>
      <c r="AP54" s="163" t="str">
        <f t="shared" si="56"/>
        <v/>
      </c>
      <c r="AQ54" s="164" t="str">
        <f t="shared" si="56"/>
        <v/>
      </c>
      <c r="AR54" s="161" t="str">
        <f t="shared" si="56"/>
        <v/>
      </c>
    </row>
    <row r="55" spans="1:44" x14ac:dyDescent="0.25">
      <c r="A55" s="178" t="str">
        <f t="shared" ref="A55" si="57">+IF(C55+C56=0,"[ocultar]","")</f>
        <v>[ocultar]</v>
      </c>
      <c r="B55" s="166" t="s">
        <v>394</v>
      </c>
      <c r="C55" s="167">
        <f t="array" ref="C55">SUM(IF($B55=DATOS_[Sexo],
IF($B54=DATOS_[AGRUP. VALOR. PTO.],
IF("Dentro"=DATOS_[Check Periodo Ref.],
1/(COUNTIFS(DATOS_[Sexo],$B55,DATOS_[AGRUP. VALOR. PTO.],$B54,DATOS_[Check Periodo Ref.],"Dentro",DATOS_[id/cod],DATOS_[id/cod]))))))</f>
        <v>0</v>
      </c>
      <c r="D55" s="168">
        <f>COUNTIFS(DATOS_[AGRUP. VALOR. PTO.],$B54,DATOS_[Sexo],$B55,DATOS_[Check Periodo Ref.],"Dentro")</f>
        <v>0</v>
      </c>
      <c r="E55" s="169">
        <f t="array" ref="E55">IFERROR(
AVERAGE(IF(DATOS_[Sexo]=$B55,IF(DATOS_[AGRUP. VALOR. PTO.]=$B54,IF(DATOS_[Check Periodo Ref.]="Dentro",DATOS_[SALARIO BASE Ef],FALSE)))),
0)</f>
        <v>0</v>
      </c>
      <c r="F55" s="170">
        <f t="array" ref="F55">IFERROR(
AVERAGE((IF(DATOS_[[Sexo]:[Sexo]]=$B55,IF(DATOS_[[AGRUP. VALOR. PTO.]:[AGRUP. VALOR. PTO.]]=$B54,IF(DATOS_[[Check Periodo Ref.]:[Check Periodo Ref.]]="Dentro",DATOS_[Conc.Sal.01]))))),
0)</f>
        <v>0</v>
      </c>
      <c r="G55" s="170">
        <f t="array" ref="G55">IFERROR(
AVERAGE((IF(DATOS_[[Sexo]:[Sexo]]=$B55,IF(DATOS_[[AGRUP. VALOR. PTO.]:[AGRUP. VALOR. PTO.]]=$B54,IF(DATOS_[[Check Periodo Ref.]:[Check Periodo Ref.]]="Dentro",DATOS_[Conc.Sal.02]))))),
0)</f>
        <v>0</v>
      </c>
      <c r="H55" s="170">
        <f t="array" ref="H55">IFERROR(
AVERAGE((IF(DATOS_[[Sexo]:[Sexo]]=$B55,IF(DATOS_[[AGRUP. VALOR. PTO.]:[AGRUP. VALOR. PTO.]]=$B54,IF(DATOS_[[Check Periodo Ref.]:[Check Periodo Ref.]]="Dentro",DATOS_[Conc.Sal.03]))))),
0)</f>
        <v>0</v>
      </c>
      <c r="I55" s="170">
        <f t="array" ref="I55">IFERROR(
AVERAGE((IF(DATOS_[[Sexo]:[Sexo]]=$B55,IF(DATOS_[[AGRUP. VALOR. PTO.]:[AGRUP. VALOR. PTO.]]=$B54,IF(DATOS_[[Check Periodo Ref.]:[Check Periodo Ref.]]="Dentro",DATOS_[Conc.Sal.04]))))),
0)</f>
        <v>0</v>
      </c>
      <c r="J55" s="170">
        <f t="array" ref="J55">IFERROR(
AVERAGE((IF(DATOS_[[Sexo]:[Sexo]]=$B55,IF(DATOS_[[AGRUP. VALOR. PTO.]:[AGRUP. VALOR. PTO.]]=$B54,IF(DATOS_[[Check Periodo Ref.]:[Check Periodo Ref.]]="Dentro",DATOS_[Conc.Sal.05]))))),
0)</f>
        <v>0</v>
      </c>
      <c r="K55" s="170">
        <f t="array" ref="K55">IFERROR(
AVERAGE((IF(DATOS_[[Sexo]:[Sexo]]=$B55,IF(DATOS_[[AGRUP. VALOR. PTO.]:[AGRUP. VALOR. PTO.]]=$B54,IF(DATOS_[[Check Periodo Ref.]:[Check Periodo Ref.]]="Dentro",DATOS_[Conc.Sal.06]))))),
0)</f>
        <v>0</v>
      </c>
      <c r="L55" s="170">
        <f t="array" ref="L55">IFERROR(
AVERAGE((IF(DATOS_[[Sexo]:[Sexo]]=$B55,IF(DATOS_[[AGRUP. VALOR. PTO.]:[AGRUP. VALOR. PTO.]]=$B54,IF(DATOS_[[Check Periodo Ref.]:[Check Periodo Ref.]]="Dentro",DATOS_[Conc.Sal.07]))))),
0)</f>
        <v>0</v>
      </c>
      <c r="M55" s="170">
        <f t="array" ref="M55">IFERROR(
AVERAGE((IF(DATOS_[[Sexo]:[Sexo]]=$B55,IF(DATOS_[[AGRUP. VALOR. PTO.]:[AGRUP. VALOR. PTO.]]=$B54,IF(DATOS_[[Check Periodo Ref.]:[Check Periodo Ref.]]="Dentro",DATOS_[Conc.Sal.08]))))),
0)</f>
        <v>0</v>
      </c>
      <c r="N55" s="170">
        <f t="array" ref="N55">IFERROR(
AVERAGE((IF(DATOS_[[Sexo]:[Sexo]]=$B55,IF(DATOS_[[AGRUP. VALOR. PTO.]:[AGRUP. VALOR. PTO.]]=$B54,IF(DATOS_[[Check Periodo Ref.]:[Check Periodo Ref.]]="Dentro",DATOS_[Conc.Sal.09]))))),
0)</f>
        <v>0</v>
      </c>
      <c r="O55" s="170">
        <f t="array" ref="O55">IFERROR(
AVERAGE((IF(DATOS_[[Sexo]:[Sexo]]=$B55,IF(DATOS_[[AGRUP. VALOR. PTO.]:[AGRUP. VALOR. PTO.]]=$B54,IF(DATOS_[[Check Periodo Ref.]:[Check Periodo Ref.]]="Dentro",DATOS_[Conc.Sal.10]))))),
0)</f>
        <v>0</v>
      </c>
      <c r="P55" s="170">
        <f t="array" ref="P55">IFERROR(
AVERAGE((IF(DATOS_[[Sexo]:[Sexo]]=$B55,IF(DATOS_[[AGRUP. VALOR. PTO.]:[AGRUP. VALOR. PTO.]]=$B54,IF(DATOS_[[Check Periodo Ref.]:[Check Periodo Ref.]]="Dentro",DATOS_[Conc.Sal.11]))))),
0)</f>
        <v>0</v>
      </c>
      <c r="Q55" s="170">
        <f t="array" ref="Q55">IFERROR(
AVERAGE((IF(DATOS_[[Sexo]:[Sexo]]=$B55,IF(DATOS_[[AGRUP. VALOR. PTO.]:[AGRUP. VALOR. PTO.]]=$B54,IF(DATOS_[[Check Periodo Ref.]:[Check Periodo Ref.]]="Dentro",DATOS_[Conc.Sal.12]))))),
0)</f>
        <v>0</v>
      </c>
      <c r="R55" s="170">
        <f t="array" ref="R55">IFERROR(
AVERAGE((IF(DATOS_[[Sexo]:[Sexo]]=$B55,IF(DATOS_[[AGRUP. VALOR. PTO.]:[AGRUP. VALOR. PTO.]]=$B54,IF(DATOS_[[Check Periodo Ref.]:[Check Periodo Ref.]]="Dentro",DATOS_[Conc.Sal.13]))))),
0)</f>
        <v>0</v>
      </c>
      <c r="S55" s="170">
        <f t="array" ref="S55">IFERROR(
AVERAGE((IF(DATOS_[[Sexo]:[Sexo]]=$B55,IF(DATOS_[[AGRUP. VALOR. PTO.]:[AGRUP. VALOR. PTO.]]=$B54,IF(DATOS_[[Check Periodo Ref.]:[Check Periodo Ref.]]="Dentro",DATOS_[Conc.Sal.14]))))),
0)</f>
        <v>0</v>
      </c>
      <c r="T55" s="170">
        <f t="array" ref="T55">IFERROR(
AVERAGE((IF(DATOS_[[Sexo]:[Sexo]]=$B55,IF(DATOS_[[AGRUP. VALOR. PTO.]:[AGRUP. VALOR. PTO.]]=$B54,IF(DATOS_[[Check Periodo Ref.]:[Check Periodo Ref.]]="Dentro",DATOS_[Conc.Sal.15]))))),
0)</f>
        <v>0</v>
      </c>
      <c r="U55" s="170">
        <f t="array" ref="U55">IFERROR(
AVERAGE((IF(DATOS_[[Sexo]:[Sexo]]=$B55,IF(DATOS_[[AGRUP. VALOR. PTO.]:[AGRUP. VALOR. PTO.]]=$B54,IF(DATOS_[[Check Periodo Ref.]:[Check Periodo Ref.]]="Dentro",DATOS_[Conc.Sal.16]))))),
0)</f>
        <v>0</v>
      </c>
      <c r="V55" s="170">
        <f t="array" ref="V55">IFERROR(
AVERAGE((IF(DATOS_[[Sexo]:[Sexo]]=$B55,IF(DATOS_[[AGRUP. VALOR. PTO.]:[AGRUP. VALOR. PTO.]]=$B54,IF(DATOS_[[Check Periodo Ref.]:[Check Periodo Ref.]]="Dentro",DATOS_[Conc.Sal.17]))))),
0)</f>
        <v>0</v>
      </c>
      <c r="W55" s="170">
        <f t="array" ref="W55">IFERROR(
AVERAGE((IF(DATOS_[[Sexo]:[Sexo]]=$B55,IF(DATOS_[[AGRUP. VALOR. PTO.]:[AGRUP. VALOR. PTO.]]=$B54,IF(DATOS_[[Check Periodo Ref.]:[Check Periodo Ref.]]="Dentro",DATOS_[Conc.Sal.18]))))),
0)</f>
        <v>0</v>
      </c>
      <c r="X55" s="170">
        <f t="array" ref="X55">IFERROR(
AVERAGE((IF(DATOS_[[Sexo]:[Sexo]]=$B55,IF(DATOS_[[AGRUP. VALOR. PTO.]:[AGRUP. VALOR. PTO.]]=$B54,IF(DATOS_[[Check Periodo Ref.]:[Check Periodo Ref.]]="Dentro",DATOS_[Conc.Sal.19]))))),
0)</f>
        <v>0</v>
      </c>
      <c r="Y55" s="170">
        <f t="array" ref="Y55">IFERROR(
AVERAGE((IF(DATOS_[[Sexo]:[Sexo]]=$B55,IF(DATOS_[[AGRUP. VALOR. PTO.]:[AGRUP. VALOR. PTO.]]=$B54,IF(DATOS_[[Check Periodo Ref.]:[Check Periodo Ref.]]="Dentro",DATOS_[Conc.Sal.20]))))),
0)</f>
        <v>0</v>
      </c>
      <c r="Z55" s="170">
        <f t="array" ref="Z55">IFERROR(
AVERAGE((IF(DATOS_[[Sexo]:[Sexo]]=$B55,IF(DATOS_[[AGRUP. VALOR. PTO.]:[AGRUP. VALOR. PTO.]]=$B54,IF(DATOS_[[Check Periodo Ref.]:[Check Periodo Ref.]]="Dentro",DATOS_[Conc.Sal.21]))))),
0)</f>
        <v>0</v>
      </c>
      <c r="AA55" s="170">
        <f t="array" ref="AA55">IFERROR(
AVERAGE((IF(DATOS_[[Sexo]:[Sexo]]=$B55,IF(DATOS_[[AGRUP. VALOR. PTO.]:[AGRUP. VALOR. PTO.]]=$B54,IF(DATOS_[[Check Periodo Ref.]:[Check Periodo Ref.]]="Dentro",DATOS_[Conc.Sal.22]))))),
0)</f>
        <v>0</v>
      </c>
      <c r="AB55" s="170">
        <f t="array" ref="AB55">IFERROR(
AVERAGE((IF(DATOS_[[Sexo]:[Sexo]]=$B55,IF(DATOS_[[AGRUP. VALOR. PTO.]:[AGRUP. VALOR. PTO.]]=$B54,IF(DATOS_[[Check Periodo Ref.]:[Check Periodo Ref.]]="Dentro",DATOS_[Conc.Sal.23]))))),
0)</f>
        <v>0</v>
      </c>
      <c r="AC55" s="170">
        <f t="array" ref="AC55">IFERROR(
AVERAGE((IF(DATOS_[[Sexo]:[Sexo]]=$B55,IF(DATOS_[[AGRUP. VALOR. PTO.]:[AGRUP. VALOR. PTO.]]=$B54,IF(DATOS_[[Check Periodo Ref.]:[Check Periodo Ref.]]="Dentro",DATOS_[Conc.Sal.24]))))),
0)</f>
        <v>0</v>
      </c>
      <c r="AD55" s="170">
        <f t="array" ref="AD55">IFERROR(
AVERAGE((IF(DATOS_[[Sexo]:[Sexo]]=$B55,IF(DATOS_[[AGRUP. VALOR. PTO.]:[AGRUP. VALOR. PTO.]]=$B54,IF(DATOS_[[Check Periodo Ref.]:[Check Periodo Ref.]]="Dentro",DATOS_[Conc.Sal.25]))))),
0)</f>
        <v>0</v>
      </c>
      <c r="AE55" s="170">
        <f t="array" ref="AE55">IFERROR(
AVERAGE((IF(DATOS_[[Sexo]:[Sexo]]=$B55,IF(DATOS_[[AGRUP. VALOR. PTO.]:[AGRUP. VALOR. PTO.]]=$B54,IF(DATOS_[[Check Periodo Ref.]:[Check Periodo Ref.]]="Dentro",DATOS_[Conc.Sal.26]))))),
0)</f>
        <v>0</v>
      </c>
      <c r="AF55" s="170">
        <f t="array" ref="AF55">IFERROR(
AVERAGE((IF(DATOS_[[Sexo]:[Sexo]]=$B55,IF(DATOS_[[AGRUP. VALOR. PTO.]:[AGRUP. VALOR. PTO.]]=$B54,IF(DATOS_[[Check Periodo Ref.]:[Check Periodo Ref.]]="Dentro",DATOS_[Conc.Sal.27]))))),
0)</f>
        <v>0</v>
      </c>
      <c r="AG55" s="170">
        <f t="array" ref="AG55">IFERROR(
AVERAGE((IF(DATOS_[[Sexo]:[Sexo]]=$B55,IF(DATOS_[[AGRUP. VALOR. PTO.]:[AGRUP. VALOR. PTO.]]=$B54,IF(DATOS_[[Check Periodo Ref.]:[Check Periodo Ref.]]="Dentro",DATOS_[Conc.Sal.28]))))),
0)</f>
        <v>0</v>
      </c>
      <c r="AH55" s="170">
        <f t="array" ref="AH55">IFERROR(
AVERAGE((IF(DATOS_[[Sexo]:[Sexo]]=$B55,IF(DATOS_[[AGRUP. VALOR. PTO.]:[AGRUP. VALOR. PTO.]]=$B54,IF(DATOS_[[Check Periodo Ref.]:[Check Periodo Ref.]]="Dentro",DATOS_[Conc.Sal.29]))))),
0)</f>
        <v>0</v>
      </c>
      <c r="AI55" s="170">
        <f t="array" ref="AI55">IFERROR(
AVERAGE((IF(DATOS_[[Sexo]:[Sexo]]=$B55,IF(DATOS_[[AGRUP. VALOR. PTO.]:[AGRUP. VALOR. PTO.]]=$B54,IF(DATOS_[[Check Periodo Ref.]:[Check Periodo Ref.]]="Dentro",DATOS_[Conc.Sal.30]))))),
0)</f>
        <v>0</v>
      </c>
      <c r="AJ55" s="171">
        <f t="array" ref="AJ55">IFERROR(
AVERAGE(IF(DATOS_[Sexo]=$B55,IF(DATOS_[AGRUP. VALOR. PTO.]=$B54,IF(DATOS_[Check Periodo Ref.]="Dentro",DATOS_[Tot COMPL.SAL Ef],FALSE)))),
0)</f>
        <v>0</v>
      </c>
      <c r="AK55" s="172">
        <f t="array" ref="AK55">IFERROR(
AVERAGE(IF(DATOS_[Sexo]=$B55,IF(DATOS_[AGRUP. VALOR. PTO.]=$B54,IF(DATOS_[Check Periodo Ref.]="Dentro",DATOS_[TOTAL SALARIO Ef],FALSE)))),
0)</f>
        <v>0</v>
      </c>
      <c r="AL55" s="173">
        <f t="array" ref="AL55">IFERROR(
AVERAGE((IF(DATOS_[[Sexo]:[Sexo]]=$B55,IF(DATOS_[[AGRUP. VALOR. PTO.]:[AGRUP. VALOR. PTO.]]=$B54,IF(DATOS_[[Check Periodo Ref.]:[Check Periodo Ref.]]="Dentro",DATOS_[C.Extra.01]))))),
0)</f>
        <v>0</v>
      </c>
      <c r="AM55" s="173">
        <f t="array" ref="AM55">IFERROR(
AVERAGE((IF(DATOS_[[Sexo]:[Sexo]]=$B55,IF(DATOS_[[AGRUP. VALOR. PTO.]:[AGRUP. VALOR. PTO.]]=$B54,IF(DATOS_[[Check Periodo Ref.]:[Check Periodo Ref.]]="Dentro",DATOS_[C.Extra.06]))))),
0)</f>
        <v>0</v>
      </c>
      <c r="AN55" s="173">
        <f t="array" ref="AN55">IFERROR(
AVERAGE((IF(DATOS_[[Sexo]:[Sexo]]=$B55,IF(DATOS_[[AGRUP. VALOR. PTO.]:[AGRUP. VALOR. PTO.]]=$B54,IF(DATOS_[[Check Periodo Ref.]:[Check Periodo Ref.]]="Dentro",DATOS_[C.Extra.07]))))),
0)</f>
        <v>0</v>
      </c>
      <c r="AO55" s="173">
        <f t="array" ref="AO55">IFERROR(
AVERAGE((IF(DATOS_[[Sexo]:[Sexo]]=$B55,IF(DATOS_[[AGRUP. VALOR. PTO.]:[AGRUP. VALOR. PTO.]]=$B54,IF(DATOS_[[Check Periodo Ref.]:[Check Periodo Ref.]]="Dentro",DATOS_[C.Extra.08]))))),
0)</f>
        <v>0</v>
      </c>
      <c r="AP55" s="173">
        <f t="array" ref="AP55">IFERROR(
AVERAGE((IF(DATOS_[[Sexo]:[Sexo]]=$B55,IF(DATOS_[[AGRUP. VALOR. PTO.]:[AGRUP. VALOR. PTO.]]=$B54,IF(DATOS_[[Check Periodo Ref.]:[Check Periodo Ref.]]="Dentro",DATOS_[C.Extra.11]))))),
0)</f>
        <v>0</v>
      </c>
      <c r="AQ55" s="174">
        <f t="array" ref="AQ55">IFERROR(
AVERAGE(IF(DATOS_[Sexo]=$B55,IF(DATOS_[AGRUP. VALOR. PTO.]=$B54,IF(DATOS_[Check Periodo Ref.]="Dentro",DATOS_[Tot Extrasalarial Ef],FALSE)))),
0)</f>
        <v>0</v>
      </c>
      <c r="AR55" s="171">
        <f t="array" ref="AR55">IFERROR(
AVERAGE(IF(DATOS_[Sexo]=$B55,IF(DATOS_[AGRUP. VALOR. PTO.]=$B54,IF(DATOS_[Check Periodo Ref.]="Dentro",DATOS_[TOTAL Retrib Ef],FALSE)))),
0)</f>
        <v>0</v>
      </c>
    </row>
    <row r="56" spans="1:44" x14ac:dyDescent="0.25">
      <c r="A56" s="178" t="str">
        <f t="shared" ref="A56" si="58">+A55</f>
        <v>[ocultar]</v>
      </c>
      <c r="B56" s="166" t="s">
        <v>521</v>
      </c>
      <c r="C56" s="167">
        <f t="array" ref="C56">SUM(IF($B56=DATOS_[Sexo],
IF($B54=DATOS_[AGRUP. VALOR. PTO.],
IF("Dentro"=DATOS_[Check Periodo Ref.],
1/(COUNTIFS(DATOS_[Sexo],$B56,DATOS_[AGRUP. VALOR. PTO.],$B54,DATOS_[Check Periodo Ref.],"Dentro",DATOS_[id/cod],DATOS_[id/cod]))))))</f>
        <v>0</v>
      </c>
      <c r="D56" s="168">
        <f>COUNTIFS(DATOS_[AGRUP. VALOR. PTO.],$B54,DATOS_[Sexo],$B56,DATOS_[Check Periodo Ref.],"Dentro")</f>
        <v>0</v>
      </c>
      <c r="E56" s="169">
        <f t="array" ref="E56">IFERROR(
AVERAGE(IF(DATOS_[Sexo]=$B56,IF(DATOS_[AGRUP. VALOR. PTO.]=$B54,IF(DATOS_[Check Periodo Ref.]="Dentro",DATOS_[SALARIO BASE Ef],FALSE)))),
0)</f>
        <v>0</v>
      </c>
      <c r="F56" s="170">
        <f t="array" ref="F56">IFERROR(
AVERAGE((IF(DATOS_[[Sexo]:[Sexo]]=$B56,IF(DATOS_[[AGRUP. VALOR. PTO.]:[AGRUP. VALOR. PTO.]]=$B54,IF(DATOS_[[Check Periodo Ref.]:[Check Periodo Ref.]]="Dentro",DATOS_[Conc.Sal.01]))))),
0)</f>
        <v>0</v>
      </c>
      <c r="G56" s="170">
        <f t="array" ref="G56">IFERROR(
AVERAGE((IF(DATOS_[[Sexo]:[Sexo]]=$B56,IF(DATOS_[[AGRUP. VALOR. PTO.]:[AGRUP. VALOR. PTO.]]=$B54,IF(DATOS_[[Check Periodo Ref.]:[Check Periodo Ref.]]="Dentro",DATOS_[Conc.Sal.02]))))),
0)</f>
        <v>0</v>
      </c>
      <c r="H56" s="170">
        <f t="array" ref="H56">IFERROR(
AVERAGE((IF(DATOS_[[Sexo]:[Sexo]]=$B56,IF(DATOS_[[AGRUP. VALOR. PTO.]:[AGRUP. VALOR. PTO.]]=$B54,IF(DATOS_[[Check Periodo Ref.]:[Check Periodo Ref.]]="Dentro",DATOS_[Conc.Sal.03]))))),
0)</f>
        <v>0</v>
      </c>
      <c r="I56" s="170">
        <f t="array" ref="I56">IFERROR(
AVERAGE((IF(DATOS_[[Sexo]:[Sexo]]=$B56,IF(DATOS_[[AGRUP. VALOR. PTO.]:[AGRUP. VALOR. PTO.]]=$B54,IF(DATOS_[[Check Periodo Ref.]:[Check Periodo Ref.]]="Dentro",DATOS_[Conc.Sal.04]))))),
0)</f>
        <v>0</v>
      </c>
      <c r="J56" s="170">
        <f t="array" ref="J56">IFERROR(
AVERAGE((IF(DATOS_[[Sexo]:[Sexo]]=$B56,IF(DATOS_[[AGRUP. VALOR. PTO.]:[AGRUP. VALOR. PTO.]]=$B54,IF(DATOS_[[Check Periodo Ref.]:[Check Periodo Ref.]]="Dentro",DATOS_[Conc.Sal.05]))))),
0)</f>
        <v>0</v>
      </c>
      <c r="K56" s="170">
        <f t="array" ref="K56">IFERROR(
AVERAGE((IF(DATOS_[[Sexo]:[Sexo]]=$B56,IF(DATOS_[[AGRUP. VALOR. PTO.]:[AGRUP. VALOR. PTO.]]=$B54,IF(DATOS_[[Check Periodo Ref.]:[Check Periodo Ref.]]="Dentro",DATOS_[Conc.Sal.06]))))),
0)</f>
        <v>0</v>
      </c>
      <c r="L56" s="170">
        <f t="array" ref="L56">IFERROR(
AVERAGE((IF(DATOS_[[Sexo]:[Sexo]]=$B56,IF(DATOS_[[AGRUP. VALOR. PTO.]:[AGRUP. VALOR. PTO.]]=$B54,IF(DATOS_[[Check Periodo Ref.]:[Check Periodo Ref.]]="Dentro",DATOS_[Conc.Sal.07]))))),
0)</f>
        <v>0</v>
      </c>
      <c r="M56" s="170">
        <f t="array" ref="M56">IFERROR(
AVERAGE((IF(DATOS_[[Sexo]:[Sexo]]=$B56,IF(DATOS_[[AGRUP. VALOR. PTO.]:[AGRUP. VALOR. PTO.]]=$B54,IF(DATOS_[[Check Periodo Ref.]:[Check Periodo Ref.]]="Dentro",DATOS_[Conc.Sal.08]))))),
0)</f>
        <v>0</v>
      </c>
      <c r="N56" s="170">
        <f t="array" ref="N56">IFERROR(
AVERAGE((IF(DATOS_[[Sexo]:[Sexo]]=$B56,IF(DATOS_[[AGRUP. VALOR. PTO.]:[AGRUP. VALOR. PTO.]]=$B54,IF(DATOS_[[Check Periodo Ref.]:[Check Periodo Ref.]]="Dentro",DATOS_[Conc.Sal.09]))))),
0)</f>
        <v>0</v>
      </c>
      <c r="O56" s="170">
        <f t="array" ref="O56">IFERROR(
AVERAGE((IF(DATOS_[[Sexo]:[Sexo]]=$B56,IF(DATOS_[[AGRUP. VALOR. PTO.]:[AGRUP. VALOR. PTO.]]=$B54,IF(DATOS_[[Check Periodo Ref.]:[Check Periodo Ref.]]="Dentro",DATOS_[Conc.Sal.10]))))),
0)</f>
        <v>0</v>
      </c>
      <c r="P56" s="170">
        <f t="array" ref="P56">IFERROR(
AVERAGE((IF(DATOS_[[Sexo]:[Sexo]]=$B56,IF(DATOS_[[AGRUP. VALOR. PTO.]:[AGRUP. VALOR. PTO.]]=$B54,IF(DATOS_[[Check Periodo Ref.]:[Check Periodo Ref.]]="Dentro",DATOS_[Conc.Sal.11]))))),
0)</f>
        <v>0</v>
      </c>
      <c r="Q56" s="170">
        <f t="array" ref="Q56">IFERROR(
AVERAGE((IF(DATOS_[[Sexo]:[Sexo]]=$B56,IF(DATOS_[[AGRUP. VALOR. PTO.]:[AGRUP. VALOR. PTO.]]=$B54,IF(DATOS_[[Check Periodo Ref.]:[Check Periodo Ref.]]="Dentro",DATOS_[Conc.Sal.12]))))),
0)</f>
        <v>0</v>
      </c>
      <c r="R56" s="170">
        <f t="array" ref="R56">IFERROR(
AVERAGE((IF(DATOS_[[Sexo]:[Sexo]]=$B56,IF(DATOS_[[AGRUP. VALOR. PTO.]:[AGRUP. VALOR. PTO.]]=$B54,IF(DATOS_[[Check Periodo Ref.]:[Check Periodo Ref.]]="Dentro",DATOS_[Conc.Sal.13]))))),
0)</f>
        <v>0</v>
      </c>
      <c r="S56" s="170">
        <f t="array" ref="S56">IFERROR(
AVERAGE((IF(DATOS_[[Sexo]:[Sexo]]=$B56,IF(DATOS_[[AGRUP. VALOR. PTO.]:[AGRUP. VALOR. PTO.]]=$B54,IF(DATOS_[[Check Periodo Ref.]:[Check Periodo Ref.]]="Dentro",DATOS_[Conc.Sal.14]))))),
0)</f>
        <v>0</v>
      </c>
      <c r="T56" s="170">
        <f t="array" ref="T56">IFERROR(
AVERAGE((IF(DATOS_[[Sexo]:[Sexo]]=$B56,IF(DATOS_[[AGRUP. VALOR. PTO.]:[AGRUP. VALOR. PTO.]]=$B54,IF(DATOS_[[Check Periodo Ref.]:[Check Periodo Ref.]]="Dentro",DATOS_[Conc.Sal.15]))))),
0)</f>
        <v>0</v>
      </c>
      <c r="U56" s="170">
        <f t="array" ref="U56">IFERROR(
AVERAGE((IF(DATOS_[[Sexo]:[Sexo]]=$B56,IF(DATOS_[[AGRUP. VALOR. PTO.]:[AGRUP. VALOR. PTO.]]=$B54,IF(DATOS_[[Check Periodo Ref.]:[Check Periodo Ref.]]="Dentro",DATOS_[Conc.Sal.16]))))),
0)</f>
        <v>0</v>
      </c>
      <c r="V56" s="170">
        <f t="array" ref="V56">IFERROR(
AVERAGE((IF(DATOS_[[Sexo]:[Sexo]]=$B56,IF(DATOS_[[AGRUP. VALOR. PTO.]:[AGRUP. VALOR. PTO.]]=$B54,IF(DATOS_[[Check Periodo Ref.]:[Check Periodo Ref.]]="Dentro",DATOS_[Conc.Sal.17]))))),
0)</f>
        <v>0</v>
      </c>
      <c r="W56" s="170">
        <f t="array" ref="W56">IFERROR(
AVERAGE((IF(DATOS_[[Sexo]:[Sexo]]=$B56,IF(DATOS_[[AGRUP. VALOR. PTO.]:[AGRUP. VALOR. PTO.]]=$B54,IF(DATOS_[[Check Periodo Ref.]:[Check Periodo Ref.]]="Dentro",DATOS_[Conc.Sal.18]))))),
0)</f>
        <v>0</v>
      </c>
      <c r="X56" s="170">
        <f t="array" ref="X56">IFERROR(
AVERAGE((IF(DATOS_[[Sexo]:[Sexo]]=$B56,IF(DATOS_[[AGRUP. VALOR. PTO.]:[AGRUP. VALOR. PTO.]]=$B54,IF(DATOS_[[Check Periodo Ref.]:[Check Periodo Ref.]]="Dentro",DATOS_[Conc.Sal.19]))))),
0)</f>
        <v>0</v>
      </c>
      <c r="Y56" s="170">
        <f t="array" ref="Y56">IFERROR(
AVERAGE((IF(DATOS_[[Sexo]:[Sexo]]=$B56,IF(DATOS_[[AGRUP. VALOR. PTO.]:[AGRUP. VALOR. PTO.]]=$B54,IF(DATOS_[[Check Periodo Ref.]:[Check Periodo Ref.]]="Dentro",DATOS_[Conc.Sal.20]))))),
0)</f>
        <v>0</v>
      </c>
      <c r="Z56" s="170">
        <f t="array" ref="Z56">IFERROR(
AVERAGE((IF(DATOS_[[Sexo]:[Sexo]]=$B56,IF(DATOS_[[AGRUP. VALOR. PTO.]:[AGRUP. VALOR. PTO.]]=$B54,IF(DATOS_[[Check Periodo Ref.]:[Check Periodo Ref.]]="Dentro",DATOS_[Conc.Sal.21]))))),
0)</f>
        <v>0</v>
      </c>
      <c r="AA56" s="170">
        <f t="array" ref="AA56">IFERROR(
AVERAGE((IF(DATOS_[[Sexo]:[Sexo]]=$B56,IF(DATOS_[[AGRUP. VALOR. PTO.]:[AGRUP. VALOR. PTO.]]=$B54,IF(DATOS_[[Check Periodo Ref.]:[Check Periodo Ref.]]="Dentro",DATOS_[Conc.Sal.22]))))),
0)</f>
        <v>0</v>
      </c>
      <c r="AB56" s="170">
        <f t="array" ref="AB56">IFERROR(
AVERAGE((IF(DATOS_[[Sexo]:[Sexo]]=$B56,IF(DATOS_[[AGRUP. VALOR. PTO.]:[AGRUP. VALOR. PTO.]]=$B54,IF(DATOS_[[Check Periodo Ref.]:[Check Periodo Ref.]]="Dentro",DATOS_[Conc.Sal.23]))))),
0)</f>
        <v>0</v>
      </c>
      <c r="AC56" s="170">
        <f t="array" ref="AC56">IFERROR(
AVERAGE((IF(DATOS_[[Sexo]:[Sexo]]=$B56,IF(DATOS_[[AGRUP. VALOR. PTO.]:[AGRUP. VALOR. PTO.]]=$B54,IF(DATOS_[[Check Periodo Ref.]:[Check Periodo Ref.]]="Dentro",DATOS_[Conc.Sal.24]))))),
0)</f>
        <v>0</v>
      </c>
      <c r="AD56" s="170">
        <f t="array" ref="AD56">IFERROR(
AVERAGE((IF(DATOS_[[Sexo]:[Sexo]]=$B56,IF(DATOS_[[AGRUP. VALOR. PTO.]:[AGRUP. VALOR. PTO.]]=$B54,IF(DATOS_[[Check Periodo Ref.]:[Check Periodo Ref.]]="Dentro",DATOS_[Conc.Sal.25]))))),
0)</f>
        <v>0</v>
      </c>
      <c r="AE56" s="170">
        <f t="array" ref="AE56">IFERROR(
AVERAGE((IF(DATOS_[[Sexo]:[Sexo]]=$B56,IF(DATOS_[[AGRUP. VALOR. PTO.]:[AGRUP. VALOR. PTO.]]=$B54,IF(DATOS_[[Check Periodo Ref.]:[Check Periodo Ref.]]="Dentro",DATOS_[Conc.Sal.26]))))),
0)</f>
        <v>0</v>
      </c>
      <c r="AF56" s="170">
        <f t="array" ref="AF56">IFERROR(
AVERAGE((IF(DATOS_[[Sexo]:[Sexo]]=$B56,IF(DATOS_[[AGRUP. VALOR. PTO.]:[AGRUP. VALOR. PTO.]]=$B54,IF(DATOS_[[Check Periodo Ref.]:[Check Periodo Ref.]]="Dentro",DATOS_[Conc.Sal.27]))))),
0)</f>
        <v>0</v>
      </c>
      <c r="AG56" s="170">
        <f t="array" ref="AG56">IFERROR(
AVERAGE((IF(DATOS_[[Sexo]:[Sexo]]=$B56,IF(DATOS_[[AGRUP. VALOR. PTO.]:[AGRUP. VALOR. PTO.]]=$B54,IF(DATOS_[[Check Periodo Ref.]:[Check Periodo Ref.]]="Dentro",DATOS_[Conc.Sal.28]))))),
0)</f>
        <v>0</v>
      </c>
      <c r="AH56" s="170">
        <f t="array" ref="AH56">IFERROR(
AVERAGE((IF(DATOS_[[Sexo]:[Sexo]]=$B56,IF(DATOS_[[AGRUP. VALOR. PTO.]:[AGRUP. VALOR. PTO.]]=$B54,IF(DATOS_[[Check Periodo Ref.]:[Check Periodo Ref.]]="Dentro",DATOS_[Conc.Sal.29]))))),
0)</f>
        <v>0</v>
      </c>
      <c r="AI56" s="170">
        <f t="array" ref="AI56">IFERROR(
AVERAGE((IF(DATOS_[[Sexo]:[Sexo]]=$B56,IF(DATOS_[[AGRUP. VALOR. PTO.]:[AGRUP. VALOR. PTO.]]=$B54,IF(DATOS_[[Check Periodo Ref.]:[Check Periodo Ref.]]="Dentro",DATOS_[Conc.Sal.30]))))),
0)</f>
        <v>0</v>
      </c>
      <c r="AJ56" s="171">
        <f t="array" ref="AJ56">IFERROR(
AVERAGE(IF(DATOS_[Sexo]=$B56,IF(DATOS_[AGRUP. VALOR. PTO.]=$B54,IF(DATOS_[Check Periodo Ref.]="Dentro",DATOS_[Tot COMPL.SAL Ef],FALSE)))),
0)</f>
        <v>0</v>
      </c>
      <c r="AK56" s="172">
        <f t="array" ref="AK56">IFERROR(
AVERAGE(IF(DATOS_[Sexo]=$B56,IF(DATOS_[AGRUP. VALOR. PTO.]=$B54,IF(DATOS_[Check Periodo Ref.]="Dentro",DATOS_[TOTAL SALARIO Ef],FALSE)))),
0)</f>
        <v>0</v>
      </c>
      <c r="AL56" s="173">
        <f t="array" ref="AL56">IFERROR(
AVERAGE((IF(DATOS_[[Sexo]:[Sexo]]=$B56,IF(DATOS_[[AGRUP. VALOR. PTO.]:[AGRUP. VALOR. PTO.]]=$B54,IF(DATOS_[[Check Periodo Ref.]:[Check Periodo Ref.]]="Dentro",DATOS_[C.Extra.01]))))),
0)</f>
        <v>0</v>
      </c>
      <c r="AM56" s="173">
        <f t="array" ref="AM56">IFERROR(
AVERAGE((IF(DATOS_[[Sexo]:[Sexo]]=$B56,IF(DATOS_[[AGRUP. VALOR. PTO.]:[AGRUP. VALOR. PTO.]]=$B54,IF(DATOS_[[Check Periodo Ref.]:[Check Periodo Ref.]]="Dentro",DATOS_[C.Extra.06]))))),
0)</f>
        <v>0</v>
      </c>
      <c r="AN56" s="173">
        <f t="array" ref="AN56">IFERROR(
AVERAGE((IF(DATOS_[[Sexo]:[Sexo]]=$B56,IF(DATOS_[[AGRUP. VALOR. PTO.]:[AGRUP. VALOR. PTO.]]=$B54,IF(DATOS_[[Check Periodo Ref.]:[Check Periodo Ref.]]="Dentro",DATOS_[C.Extra.07]))))),
0)</f>
        <v>0</v>
      </c>
      <c r="AO56" s="173">
        <f t="array" ref="AO56">IFERROR(
AVERAGE((IF(DATOS_[[Sexo]:[Sexo]]=$B56,IF(DATOS_[[AGRUP. VALOR. PTO.]:[AGRUP. VALOR. PTO.]]=$B54,IF(DATOS_[[Check Periodo Ref.]:[Check Periodo Ref.]]="Dentro",DATOS_[C.Extra.08]))))),
0)</f>
        <v>0</v>
      </c>
      <c r="AP56" s="173">
        <f t="array" ref="AP56">IFERROR(
AVERAGE((IF(DATOS_[[Sexo]:[Sexo]]=$B56,IF(DATOS_[[AGRUP. VALOR. PTO.]:[AGRUP. VALOR. PTO.]]=$B54,IF(DATOS_[[Check Periodo Ref.]:[Check Periodo Ref.]]="Dentro",DATOS_[C.Extra.11]))))),
0)</f>
        <v>0</v>
      </c>
      <c r="AQ56" s="174">
        <f t="array" ref="AQ56">IFERROR(
AVERAGE(IF(DATOS_[Sexo]=$B56,IF(DATOS_[AGRUP. VALOR. PTO.]=$B54,IF(DATOS_[Check Periodo Ref.]="Dentro",DATOS_[Tot Extrasalarial Ef],FALSE)))),
0)</f>
        <v>0</v>
      </c>
      <c r="AR56" s="171">
        <f t="array" ref="AR56">IFERROR(
AVERAGE(IF(DATOS_[Sexo]=$B56,IF(DATOS_[AGRUP. VALOR. PTO.]=$B54,IF(DATOS_[Check Periodo Ref.]="Dentro",DATOS_[TOTAL Retrib Ef],FALSE)))),
0)</f>
        <v>0</v>
      </c>
    </row>
    <row r="57" spans="1:44" ht="14.4" thickBot="1" x14ac:dyDescent="0.3">
      <c r="A57" s="178" t="str">
        <f t="shared" ref="A57" si="59">+A58</f>
        <v>[ocultar]</v>
      </c>
      <c r="B57" s="153" t="s">
        <v>234</v>
      </c>
      <c r="C57" s="154"/>
      <c r="D57" s="155"/>
      <c r="E57" s="156" t="str">
        <f t="shared" ref="E57:AR57" si="60">IFERROR((E58-E59)/E58,"")</f>
        <v/>
      </c>
      <c r="F57" s="157" t="str">
        <f t="shared" si="60"/>
        <v/>
      </c>
      <c r="G57" s="158" t="str">
        <f t="shared" si="60"/>
        <v/>
      </c>
      <c r="H57" s="158" t="str">
        <f t="shared" si="60"/>
        <v/>
      </c>
      <c r="I57" s="158" t="str">
        <f t="shared" si="60"/>
        <v/>
      </c>
      <c r="J57" s="159" t="str">
        <f t="shared" si="60"/>
        <v/>
      </c>
      <c r="K57" s="160" t="str">
        <f t="shared" si="60"/>
        <v/>
      </c>
      <c r="L57" s="160" t="str">
        <f t="shared" si="60"/>
        <v/>
      </c>
      <c r="M57" s="160" t="str">
        <f t="shared" si="60"/>
        <v/>
      </c>
      <c r="N57" s="160" t="str">
        <f t="shared" si="60"/>
        <v/>
      </c>
      <c r="O57" s="160" t="str">
        <f t="shared" si="60"/>
        <v/>
      </c>
      <c r="P57" s="160" t="str">
        <f t="shared" si="60"/>
        <v/>
      </c>
      <c r="Q57" s="160" t="str">
        <f t="shared" si="60"/>
        <v/>
      </c>
      <c r="R57" s="160" t="str">
        <f t="shared" si="60"/>
        <v/>
      </c>
      <c r="S57" s="160" t="str">
        <f t="shared" si="60"/>
        <v/>
      </c>
      <c r="T57" s="160" t="str">
        <f t="shared" si="60"/>
        <v/>
      </c>
      <c r="U57" s="160" t="str">
        <f t="shared" si="60"/>
        <v/>
      </c>
      <c r="V57" s="159" t="str">
        <f t="shared" si="60"/>
        <v/>
      </c>
      <c r="W57" s="159" t="str">
        <f t="shared" si="60"/>
        <v/>
      </c>
      <c r="X57" s="159" t="str">
        <f t="shared" si="60"/>
        <v/>
      </c>
      <c r="Y57" s="159" t="str">
        <f t="shared" si="60"/>
        <v/>
      </c>
      <c r="Z57" s="159" t="str">
        <f t="shared" si="60"/>
        <v/>
      </c>
      <c r="AA57" s="159" t="str">
        <f t="shared" si="60"/>
        <v/>
      </c>
      <c r="AB57" s="159" t="str">
        <f t="shared" si="60"/>
        <v/>
      </c>
      <c r="AC57" s="159" t="str">
        <f t="shared" si="60"/>
        <v/>
      </c>
      <c r="AD57" s="159" t="str">
        <f t="shared" si="60"/>
        <v/>
      </c>
      <c r="AE57" s="159" t="str">
        <f t="shared" si="60"/>
        <v/>
      </c>
      <c r="AF57" s="159" t="str">
        <f t="shared" si="60"/>
        <v/>
      </c>
      <c r="AG57" s="159" t="str">
        <f t="shared" si="60"/>
        <v/>
      </c>
      <c r="AH57" s="159" t="str">
        <f t="shared" si="60"/>
        <v/>
      </c>
      <c r="AI57" s="159" t="str">
        <f t="shared" si="60"/>
        <v/>
      </c>
      <c r="AJ57" s="161" t="str">
        <f t="shared" si="60"/>
        <v/>
      </c>
      <c r="AK57" s="162" t="str">
        <f t="shared" si="60"/>
        <v/>
      </c>
      <c r="AL57" s="163" t="str">
        <f t="shared" si="60"/>
        <v/>
      </c>
      <c r="AM57" s="163" t="str">
        <f t="shared" si="60"/>
        <v/>
      </c>
      <c r="AN57" s="163" t="str">
        <f t="shared" si="60"/>
        <v/>
      </c>
      <c r="AO57" s="163" t="str">
        <f t="shared" si="60"/>
        <v/>
      </c>
      <c r="AP57" s="163" t="str">
        <f t="shared" si="60"/>
        <v/>
      </c>
      <c r="AQ57" s="164" t="str">
        <f t="shared" si="60"/>
        <v/>
      </c>
      <c r="AR57" s="161" t="str">
        <f t="shared" si="60"/>
        <v/>
      </c>
    </row>
    <row r="58" spans="1:44" x14ac:dyDescent="0.25">
      <c r="A58" s="178" t="str">
        <f t="shared" ref="A58" si="61">+IF(C58+C59=0,"[ocultar]","")</f>
        <v>[ocultar]</v>
      </c>
      <c r="B58" s="166" t="s">
        <v>394</v>
      </c>
      <c r="C58" s="167">
        <f t="array" ref="C58">SUM(IF($B58=DATOS_[Sexo],
IF($B57=DATOS_[AGRUP. VALOR. PTO.],
IF("Dentro"=DATOS_[Check Periodo Ref.],
1/(COUNTIFS(DATOS_[Sexo],$B58,DATOS_[AGRUP. VALOR. PTO.],$B57,DATOS_[Check Periodo Ref.],"Dentro",DATOS_[id/cod],DATOS_[id/cod]))))))</f>
        <v>0</v>
      </c>
      <c r="D58" s="168">
        <f>COUNTIFS(DATOS_[AGRUP. VALOR. PTO.],$B57,DATOS_[Sexo],$B58,DATOS_[Check Periodo Ref.],"Dentro")</f>
        <v>0</v>
      </c>
      <c r="E58" s="169">
        <f t="array" ref="E58">IFERROR(
AVERAGE(IF(DATOS_[Sexo]=$B58,IF(DATOS_[AGRUP. VALOR. PTO.]=$B57,IF(DATOS_[Check Periodo Ref.]="Dentro",DATOS_[SALARIO BASE Ef],FALSE)))),
0)</f>
        <v>0</v>
      </c>
      <c r="F58" s="170">
        <f t="array" ref="F58">IFERROR(
AVERAGE((IF(DATOS_[[Sexo]:[Sexo]]=$B58,IF(DATOS_[[AGRUP. VALOR. PTO.]:[AGRUP. VALOR. PTO.]]=$B57,IF(DATOS_[[Check Periodo Ref.]:[Check Periodo Ref.]]="Dentro",DATOS_[Conc.Sal.01]))))),
0)</f>
        <v>0</v>
      </c>
      <c r="G58" s="170">
        <f t="array" ref="G58">IFERROR(
AVERAGE((IF(DATOS_[[Sexo]:[Sexo]]=$B58,IF(DATOS_[[AGRUP. VALOR. PTO.]:[AGRUP. VALOR. PTO.]]=$B57,IF(DATOS_[[Check Periodo Ref.]:[Check Periodo Ref.]]="Dentro",DATOS_[Conc.Sal.02]))))),
0)</f>
        <v>0</v>
      </c>
      <c r="H58" s="170">
        <f t="array" ref="H58">IFERROR(
AVERAGE((IF(DATOS_[[Sexo]:[Sexo]]=$B58,IF(DATOS_[[AGRUP. VALOR. PTO.]:[AGRUP. VALOR. PTO.]]=$B57,IF(DATOS_[[Check Periodo Ref.]:[Check Periodo Ref.]]="Dentro",DATOS_[Conc.Sal.03]))))),
0)</f>
        <v>0</v>
      </c>
      <c r="I58" s="170">
        <f t="array" ref="I58">IFERROR(
AVERAGE((IF(DATOS_[[Sexo]:[Sexo]]=$B58,IF(DATOS_[[AGRUP. VALOR. PTO.]:[AGRUP. VALOR. PTO.]]=$B57,IF(DATOS_[[Check Periodo Ref.]:[Check Periodo Ref.]]="Dentro",DATOS_[Conc.Sal.04]))))),
0)</f>
        <v>0</v>
      </c>
      <c r="J58" s="170">
        <f t="array" ref="J58">IFERROR(
AVERAGE((IF(DATOS_[[Sexo]:[Sexo]]=$B58,IF(DATOS_[[AGRUP. VALOR. PTO.]:[AGRUP. VALOR. PTO.]]=$B57,IF(DATOS_[[Check Periodo Ref.]:[Check Periodo Ref.]]="Dentro",DATOS_[Conc.Sal.05]))))),
0)</f>
        <v>0</v>
      </c>
      <c r="K58" s="170">
        <f t="array" ref="K58">IFERROR(
AVERAGE((IF(DATOS_[[Sexo]:[Sexo]]=$B58,IF(DATOS_[[AGRUP. VALOR. PTO.]:[AGRUP. VALOR. PTO.]]=$B57,IF(DATOS_[[Check Periodo Ref.]:[Check Periodo Ref.]]="Dentro",DATOS_[Conc.Sal.06]))))),
0)</f>
        <v>0</v>
      </c>
      <c r="L58" s="170">
        <f t="array" ref="L58">IFERROR(
AVERAGE((IF(DATOS_[[Sexo]:[Sexo]]=$B58,IF(DATOS_[[AGRUP. VALOR. PTO.]:[AGRUP. VALOR. PTO.]]=$B57,IF(DATOS_[[Check Periodo Ref.]:[Check Periodo Ref.]]="Dentro",DATOS_[Conc.Sal.07]))))),
0)</f>
        <v>0</v>
      </c>
      <c r="M58" s="170">
        <f t="array" ref="M58">IFERROR(
AVERAGE((IF(DATOS_[[Sexo]:[Sexo]]=$B58,IF(DATOS_[[AGRUP. VALOR. PTO.]:[AGRUP. VALOR. PTO.]]=$B57,IF(DATOS_[[Check Periodo Ref.]:[Check Periodo Ref.]]="Dentro",DATOS_[Conc.Sal.08]))))),
0)</f>
        <v>0</v>
      </c>
      <c r="N58" s="170">
        <f t="array" ref="N58">IFERROR(
AVERAGE((IF(DATOS_[[Sexo]:[Sexo]]=$B58,IF(DATOS_[[AGRUP. VALOR. PTO.]:[AGRUP. VALOR. PTO.]]=$B57,IF(DATOS_[[Check Periodo Ref.]:[Check Periodo Ref.]]="Dentro",DATOS_[Conc.Sal.09]))))),
0)</f>
        <v>0</v>
      </c>
      <c r="O58" s="170">
        <f t="array" ref="O58">IFERROR(
AVERAGE((IF(DATOS_[[Sexo]:[Sexo]]=$B58,IF(DATOS_[[AGRUP. VALOR. PTO.]:[AGRUP. VALOR. PTO.]]=$B57,IF(DATOS_[[Check Periodo Ref.]:[Check Periodo Ref.]]="Dentro",DATOS_[Conc.Sal.10]))))),
0)</f>
        <v>0</v>
      </c>
      <c r="P58" s="170">
        <f t="array" ref="P58">IFERROR(
AVERAGE((IF(DATOS_[[Sexo]:[Sexo]]=$B58,IF(DATOS_[[AGRUP. VALOR. PTO.]:[AGRUP. VALOR. PTO.]]=$B57,IF(DATOS_[[Check Periodo Ref.]:[Check Periodo Ref.]]="Dentro",DATOS_[Conc.Sal.11]))))),
0)</f>
        <v>0</v>
      </c>
      <c r="Q58" s="170">
        <f t="array" ref="Q58">IFERROR(
AVERAGE((IF(DATOS_[[Sexo]:[Sexo]]=$B58,IF(DATOS_[[AGRUP. VALOR. PTO.]:[AGRUP. VALOR. PTO.]]=$B57,IF(DATOS_[[Check Periodo Ref.]:[Check Periodo Ref.]]="Dentro",DATOS_[Conc.Sal.12]))))),
0)</f>
        <v>0</v>
      </c>
      <c r="R58" s="170">
        <f t="array" ref="R58">IFERROR(
AVERAGE((IF(DATOS_[[Sexo]:[Sexo]]=$B58,IF(DATOS_[[AGRUP. VALOR. PTO.]:[AGRUP. VALOR. PTO.]]=$B57,IF(DATOS_[[Check Periodo Ref.]:[Check Periodo Ref.]]="Dentro",DATOS_[Conc.Sal.13]))))),
0)</f>
        <v>0</v>
      </c>
      <c r="S58" s="170">
        <f t="array" ref="S58">IFERROR(
AVERAGE((IF(DATOS_[[Sexo]:[Sexo]]=$B58,IF(DATOS_[[AGRUP. VALOR. PTO.]:[AGRUP. VALOR. PTO.]]=$B57,IF(DATOS_[[Check Periodo Ref.]:[Check Periodo Ref.]]="Dentro",DATOS_[Conc.Sal.14]))))),
0)</f>
        <v>0</v>
      </c>
      <c r="T58" s="170">
        <f t="array" ref="T58">IFERROR(
AVERAGE((IF(DATOS_[[Sexo]:[Sexo]]=$B58,IF(DATOS_[[AGRUP. VALOR. PTO.]:[AGRUP. VALOR. PTO.]]=$B57,IF(DATOS_[[Check Periodo Ref.]:[Check Periodo Ref.]]="Dentro",DATOS_[Conc.Sal.15]))))),
0)</f>
        <v>0</v>
      </c>
      <c r="U58" s="170">
        <f t="array" ref="U58">IFERROR(
AVERAGE((IF(DATOS_[[Sexo]:[Sexo]]=$B58,IF(DATOS_[[AGRUP. VALOR. PTO.]:[AGRUP. VALOR. PTO.]]=$B57,IF(DATOS_[[Check Periodo Ref.]:[Check Periodo Ref.]]="Dentro",DATOS_[Conc.Sal.16]))))),
0)</f>
        <v>0</v>
      </c>
      <c r="V58" s="170">
        <f t="array" ref="V58">IFERROR(
AVERAGE((IF(DATOS_[[Sexo]:[Sexo]]=$B58,IF(DATOS_[[AGRUP. VALOR. PTO.]:[AGRUP. VALOR. PTO.]]=$B57,IF(DATOS_[[Check Periodo Ref.]:[Check Periodo Ref.]]="Dentro",DATOS_[Conc.Sal.17]))))),
0)</f>
        <v>0</v>
      </c>
      <c r="W58" s="170">
        <f t="array" ref="W58">IFERROR(
AVERAGE((IF(DATOS_[[Sexo]:[Sexo]]=$B58,IF(DATOS_[[AGRUP. VALOR. PTO.]:[AGRUP. VALOR. PTO.]]=$B57,IF(DATOS_[[Check Periodo Ref.]:[Check Periodo Ref.]]="Dentro",DATOS_[Conc.Sal.18]))))),
0)</f>
        <v>0</v>
      </c>
      <c r="X58" s="170">
        <f t="array" ref="X58">IFERROR(
AVERAGE((IF(DATOS_[[Sexo]:[Sexo]]=$B58,IF(DATOS_[[AGRUP. VALOR. PTO.]:[AGRUP. VALOR. PTO.]]=$B57,IF(DATOS_[[Check Periodo Ref.]:[Check Periodo Ref.]]="Dentro",DATOS_[Conc.Sal.19]))))),
0)</f>
        <v>0</v>
      </c>
      <c r="Y58" s="170">
        <f t="array" ref="Y58">IFERROR(
AVERAGE((IF(DATOS_[[Sexo]:[Sexo]]=$B58,IF(DATOS_[[AGRUP. VALOR. PTO.]:[AGRUP. VALOR. PTO.]]=$B57,IF(DATOS_[[Check Periodo Ref.]:[Check Periodo Ref.]]="Dentro",DATOS_[Conc.Sal.20]))))),
0)</f>
        <v>0</v>
      </c>
      <c r="Z58" s="170">
        <f t="array" ref="Z58">IFERROR(
AVERAGE((IF(DATOS_[[Sexo]:[Sexo]]=$B58,IF(DATOS_[[AGRUP. VALOR. PTO.]:[AGRUP. VALOR. PTO.]]=$B57,IF(DATOS_[[Check Periodo Ref.]:[Check Periodo Ref.]]="Dentro",DATOS_[Conc.Sal.21]))))),
0)</f>
        <v>0</v>
      </c>
      <c r="AA58" s="170">
        <f t="array" ref="AA58">IFERROR(
AVERAGE((IF(DATOS_[[Sexo]:[Sexo]]=$B58,IF(DATOS_[[AGRUP. VALOR. PTO.]:[AGRUP. VALOR. PTO.]]=$B57,IF(DATOS_[[Check Periodo Ref.]:[Check Periodo Ref.]]="Dentro",DATOS_[Conc.Sal.22]))))),
0)</f>
        <v>0</v>
      </c>
      <c r="AB58" s="170">
        <f t="array" ref="AB58">IFERROR(
AVERAGE((IF(DATOS_[[Sexo]:[Sexo]]=$B58,IF(DATOS_[[AGRUP. VALOR. PTO.]:[AGRUP. VALOR. PTO.]]=$B57,IF(DATOS_[[Check Periodo Ref.]:[Check Periodo Ref.]]="Dentro",DATOS_[Conc.Sal.23]))))),
0)</f>
        <v>0</v>
      </c>
      <c r="AC58" s="170">
        <f t="array" ref="AC58">IFERROR(
AVERAGE((IF(DATOS_[[Sexo]:[Sexo]]=$B58,IF(DATOS_[[AGRUP. VALOR. PTO.]:[AGRUP. VALOR. PTO.]]=$B57,IF(DATOS_[[Check Periodo Ref.]:[Check Periodo Ref.]]="Dentro",DATOS_[Conc.Sal.24]))))),
0)</f>
        <v>0</v>
      </c>
      <c r="AD58" s="170">
        <f t="array" ref="AD58">IFERROR(
AVERAGE((IF(DATOS_[[Sexo]:[Sexo]]=$B58,IF(DATOS_[[AGRUP. VALOR. PTO.]:[AGRUP. VALOR. PTO.]]=$B57,IF(DATOS_[[Check Periodo Ref.]:[Check Periodo Ref.]]="Dentro",DATOS_[Conc.Sal.25]))))),
0)</f>
        <v>0</v>
      </c>
      <c r="AE58" s="170">
        <f t="array" ref="AE58">IFERROR(
AVERAGE((IF(DATOS_[[Sexo]:[Sexo]]=$B58,IF(DATOS_[[AGRUP. VALOR. PTO.]:[AGRUP. VALOR. PTO.]]=$B57,IF(DATOS_[[Check Periodo Ref.]:[Check Periodo Ref.]]="Dentro",DATOS_[Conc.Sal.26]))))),
0)</f>
        <v>0</v>
      </c>
      <c r="AF58" s="170">
        <f t="array" ref="AF58">IFERROR(
AVERAGE((IF(DATOS_[[Sexo]:[Sexo]]=$B58,IF(DATOS_[[AGRUP. VALOR. PTO.]:[AGRUP. VALOR. PTO.]]=$B57,IF(DATOS_[[Check Periodo Ref.]:[Check Periodo Ref.]]="Dentro",DATOS_[Conc.Sal.27]))))),
0)</f>
        <v>0</v>
      </c>
      <c r="AG58" s="170">
        <f t="array" ref="AG58">IFERROR(
AVERAGE((IF(DATOS_[[Sexo]:[Sexo]]=$B58,IF(DATOS_[[AGRUP. VALOR. PTO.]:[AGRUP. VALOR. PTO.]]=$B57,IF(DATOS_[[Check Periodo Ref.]:[Check Periodo Ref.]]="Dentro",DATOS_[Conc.Sal.28]))))),
0)</f>
        <v>0</v>
      </c>
      <c r="AH58" s="170">
        <f t="array" ref="AH58">IFERROR(
AVERAGE((IF(DATOS_[[Sexo]:[Sexo]]=$B58,IF(DATOS_[[AGRUP. VALOR. PTO.]:[AGRUP. VALOR. PTO.]]=$B57,IF(DATOS_[[Check Periodo Ref.]:[Check Periodo Ref.]]="Dentro",DATOS_[Conc.Sal.29]))))),
0)</f>
        <v>0</v>
      </c>
      <c r="AI58" s="170">
        <f t="array" ref="AI58">IFERROR(
AVERAGE((IF(DATOS_[[Sexo]:[Sexo]]=$B58,IF(DATOS_[[AGRUP. VALOR. PTO.]:[AGRUP. VALOR. PTO.]]=$B57,IF(DATOS_[[Check Periodo Ref.]:[Check Periodo Ref.]]="Dentro",DATOS_[Conc.Sal.30]))))),
0)</f>
        <v>0</v>
      </c>
      <c r="AJ58" s="171">
        <f t="array" ref="AJ58">IFERROR(
AVERAGE(IF(DATOS_[Sexo]=$B58,IF(DATOS_[AGRUP. VALOR. PTO.]=$B57,IF(DATOS_[Check Periodo Ref.]="Dentro",DATOS_[Tot COMPL.SAL Ef],FALSE)))),
0)</f>
        <v>0</v>
      </c>
      <c r="AK58" s="172">
        <f t="array" ref="AK58">IFERROR(
AVERAGE(IF(DATOS_[Sexo]=$B58,IF(DATOS_[AGRUP. VALOR. PTO.]=$B57,IF(DATOS_[Check Periodo Ref.]="Dentro",DATOS_[TOTAL SALARIO Ef],FALSE)))),
0)</f>
        <v>0</v>
      </c>
      <c r="AL58" s="173">
        <f t="array" ref="AL58">IFERROR(
AVERAGE((IF(DATOS_[[Sexo]:[Sexo]]=$B58,IF(DATOS_[[AGRUP. VALOR. PTO.]:[AGRUP. VALOR. PTO.]]=$B57,IF(DATOS_[[Check Periodo Ref.]:[Check Periodo Ref.]]="Dentro",DATOS_[C.Extra.01]))))),
0)</f>
        <v>0</v>
      </c>
      <c r="AM58" s="173">
        <f t="array" ref="AM58">IFERROR(
AVERAGE((IF(DATOS_[[Sexo]:[Sexo]]=$B58,IF(DATOS_[[AGRUP. VALOR. PTO.]:[AGRUP. VALOR. PTO.]]=$B57,IF(DATOS_[[Check Periodo Ref.]:[Check Periodo Ref.]]="Dentro",DATOS_[C.Extra.06]))))),
0)</f>
        <v>0</v>
      </c>
      <c r="AN58" s="173">
        <f t="array" ref="AN58">IFERROR(
AVERAGE((IF(DATOS_[[Sexo]:[Sexo]]=$B58,IF(DATOS_[[AGRUP. VALOR. PTO.]:[AGRUP. VALOR. PTO.]]=$B57,IF(DATOS_[[Check Periodo Ref.]:[Check Periodo Ref.]]="Dentro",DATOS_[C.Extra.07]))))),
0)</f>
        <v>0</v>
      </c>
      <c r="AO58" s="173">
        <f t="array" ref="AO58">IFERROR(
AVERAGE((IF(DATOS_[[Sexo]:[Sexo]]=$B58,IF(DATOS_[[AGRUP. VALOR. PTO.]:[AGRUP. VALOR. PTO.]]=$B57,IF(DATOS_[[Check Periodo Ref.]:[Check Periodo Ref.]]="Dentro",DATOS_[C.Extra.08]))))),
0)</f>
        <v>0</v>
      </c>
      <c r="AP58" s="173">
        <f t="array" ref="AP58">IFERROR(
AVERAGE((IF(DATOS_[[Sexo]:[Sexo]]=$B58,IF(DATOS_[[AGRUP. VALOR. PTO.]:[AGRUP. VALOR. PTO.]]=$B57,IF(DATOS_[[Check Periodo Ref.]:[Check Periodo Ref.]]="Dentro",DATOS_[C.Extra.11]))))),
0)</f>
        <v>0</v>
      </c>
      <c r="AQ58" s="174">
        <f t="array" ref="AQ58">IFERROR(
AVERAGE(IF(DATOS_[Sexo]=$B58,IF(DATOS_[AGRUP. VALOR. PTO.]=$B57,IF(DATOS_[Check Periodo Ref.]="Dentro",DATOS_[Tot Extrasalarial Ef],FALSE)))),
0)</f>
        <v>0</v>
      </c>
      <c r="AR58" s="171">
        <f t="array" ref="AR58">IFERROR(
AVERAGE(IF(DATOS_[Sexo]=$B58,IF(DATOS_[AGRUP. VALOR. PTO.]=$B57,IF(DATOS_[Check Periodo Ref.]="Dentro",DATOS_[TOTAL Retrib Ef],FALSE)))),
0)</f>
        <v>0</v>
      </c>
    </row>
    <row r="59" spans="1:44" x14ac:dyDescent="0.25">
      <c r="A59" s="178" t="str">
        <f t="shared" ref="A59" si="62">+A58</f>
        <v>[ocultar]</v>
      </c>
      <c r="B59" s="166" t="s">
        <v>521</v>
      </c>
      <c r="C59" s="167">
        <f t="array" ref="C59">SUM(IF($B59=DATOS_[Sexo],
IF($B57=DATOS_[AGRUP. VALOR. PTO.],
IF("Dentro"=DATOS_[Check Periodo Ref.],
1/(COUNTIFS(DATOS_[Sexo],$B59,DATOS_[AGRUP. VALOR. PTO.],$B57,DATOS_[Check Periodo Ref.],"Dentro",DATOS_[id/cod],DATOS_[id/cod]))))))</f>
        <v>0</v>
      </c>
      <c r="D59" s="168">
        <f>COUNTIFS(DATOS_[AGRUP. VALOR. PTO.],$B57,DATOS_[Sexo],$B59,DATOS_[Check Periodo Ref.],"Dentro")</f>
        <v>0</v>
      </c>
      <c r="E59" s="169">
        <f t="array" ref="E59">IFERROR(
AVERAGE(IF(DATOS_[Sexo]=$B59,IF(DATOS_[AGRUP. VALOR. PTO.]=$B57,IF(DATOS_[Check Periodo Ref.]="Dentro",DATOS_[SALARIO BASE Ef],FALSE)))),
0)</f>
        <v>0</v>
      </c>
      <c r="F59" s="170">
        <f t="array" ref="F59">IFERROR(
AVERAGE((IF(DATOS_[[Sexo]:[Sexo]]=$B59,IF(DATOS_[[AGRUP. VALOR. PTO.]:[AGRUP. VALOR. PTO.]]=$B57,IF(DATOS_[[Check Periodo Ref.]:[Check Periodo Ref.]]="Dentro",DATOS_[Conc.Sal.01]))))),
0)</f>
        <v>0</v>
      </c>
      <c r="G59" s="170">
        <f t="array" ref="G59">IFERROR(
AVERAGE((IF(DATOS_[[Sexo]:[Sexo]]=$B59,IF(DATOS_[[AGRUP. VALOR. PTO.]:[AGRUP. VALOR. PTO.]]=$B57,IF(DATOS_[[Check Periodo Ref.]:[Check Periodo Ref.]]="Dentro",DATOS_[Conc.Sal.02]))))),
0)</f>
        <v>0</v>
      </c>
      <c r="H59" s="170">
        <f t="array" ref="H59">IFERROR(
AVERAGE((IF(DATOS_[[Sexo]:[Sexo]]=$B59,IF(DATOS_[[AGRUP. VALOR. PTO.]:[AGRUP. VALOR. PTO.]]=$B57,IF(DATOS_[[Check Periodo Ref.]:[Check Periodo Ref.]]="Dentro",DATOS_[Conc.Sal.03]))))),
0)</f>
        <v>0</v>
      </c>
      <c r="I59" s="170">
        <f t="array" ref="I59">IFERROR(
AVERAGE((IF(DATOS_[[Sexo]:[Sexo]]=$B59,IF(DATOS_[[AGRUP. VALOR. PTO.]:[AGRUP. VALOR. PTO.]]=$B57,IF(DATOS_[[Check Periodo Ref.]:[Check Periodo Ref.]]="Dentro",DATOS_[Conc.Sal.04]))))),
0)</f>
        <v>0</v>
      </c>
      <c r="J59" s="170">
        <f t="array" ref="J59">IFERROR(
AVERAGE((IF(DATOS_[[Sexo]:[Sexo]]=$B59,IF(DATOS_[[AGRUP. VALOR. PTO.]:[AGRUP. VALOR. PTO.]]=$B57,IF(DATOS_[[Check Periodo Ref.]:[Check Periodo Ref.]]="Dentro",DATOS_[Conc.Sal.05]))))),
0)</f>
        <v>0</v>
      </c>
      <c r="K59" s="170">
        <f t="array" ref="K59">IFERROR(
AVERAGE((IF(DATOS_[[Sexo]:[Sexo]]=$B59,IF(DATOS_[[AGRUP. VALOR. PTO.]:[AGRUP. VALOR. PTO.]]=$B57,IF(DATOS_[[Check Periodo Ref.]:[Check Periodo Ref.]]="Dentro",DATOS_[Conc.Sal.06]))))),
0)</f>
        <v>0</v>
      </c>
      <c r="L59" s="170">
        <f t="array" ref="L59">IFERROR(
AVERAGE((IF(DATOS_[[Sexo]:[Sexo]]=$B59,IF(DATOS_[[AGRUP. VALOR. PTO.]:[AGRUP. VALOR. PTO.]]=$B57,IF(DATOS_[[Check Periodo Ref.]:[Check Periodo Ref.]]="Dentro",DATOS_[Conc.Sal.07]))))),
0)</f>
        <v>0</v>
      </c>
      <c r="M59" s="170">
        <f t="array" ref="M59">IFERROR(
AVERAGE((IF(DATOS_[[Sexo]:[Sexo]]=$B59,IF(DATOS_[[AGRUP. VALOR. PTO.]:[AGRUP. VALOR. PTO.]]=$B57,IF(DATOS_[[Check Periodo Ref.]:[Check Periodo Ref.]]="Dentro",DATOS_[Conc.Sal.08]))))),
0)</f>
        <v>0</v>
      </c>
      <c r="N59" s="170">
        <f t="array" ref="N59">IFERROR(
AVERAGE((IF(DATOS_[[Sexo]:[Sexo]]=$B59,IF(DATOS_[[AGRUP. VALOR. PTO.]:[AGRUP. VALOR. PTO.]]=$B57,IF(DATOS_[[Check Periodo Ref.]:[Check Periodo Ref.]]="Dentro",DATOS_[Conc.Sal.09]))))),
0)</f>
        <v>0</v>
      </c>
      <c r="O59" s="170">
        <f t="array" ref="O59">IFERROR(
AVERAGE((IF(DATOS_[[Sexo]:[Sexo]]=$B59,IF(DATOS_[[AGRUP. VALOR. PTO.]:[AGRUP. VALOR. PTO.]]=$B57,IF(DATOS_[[Check Periodo Ref.]:[Check Periodo Ref.]]="Dentro",DATOS_[Conc.Sal.10]))))),
0)</f>
        <v>0</v>
      </c>
      <c r="P59" s="170">
        <f t="array" ref="P59">IFERROR(
AVERAGE((IF(DATOS_[[Sexo]:[Sexo]]=$B59,IF(DATOS_[[AGRUP. VALOR. PTO.]:[AGRUP. VALOR. PTO.]]=$B57,IF(DATOS_[[Check Periodo Ref.]:[Check Periodo Ref.]]="Dentro",DATOS_[Conc.Sal.11]))))),
0)</f>
        <v>0</v>
      </c>
      <c r="Q59" s="170">
        <f t="array" ref="Q59">IFERROR(
AVERAGE((IF(DATOS_[[Sexo]:[Sexo]]=$B59,IF(DATOS_[[AGRUP. VALOR. PTO.]:[AGRUP. VALOR. PTO.]]=$B57,IF(DATOS_[[Check Periodo Ref.]:[Check Periodo Ref.]]="Dentro",DATOS_[Conc.Sal.12]))))),
0)</f>
        <v>0</v>
      </c>
      <c r="R59" s="170">
        <f t="array" ref="R59">IFERROR(
AVERAGE((IF(DATOS_[[Sexo]:[Sexo]]=$B59,IF(DATOS_[[AGRUP. VALOR. PTO.]:[AGRUP. VALOR. PTO.]]=$B57,IF(DATOS_[[Check Periodo Ref.]:[Check Periodo Ref.]]="Dentro",DATOS_[Conc.Sal.13]))))),
0)</f>
        <v>0</v>
      </c>
      <c r="S59" s="170">
        <f t="array" ref="S59">IFERROR(
AVERAGE((IF(DATOS_[[Sexo]:[Sexo]]=$B59,IF(DATOS_[[AGRUP. VALOR. PTO.]:[AGRUP. VALOR. PTO.]]=$B57,IF(DATOS_[[Check Periodo Ref.]:[Check Periodo Ref.]]="Dentro",DATOS_[Conc.Sal.14]))))),
0)</f>
        <v>0</v>
      </c>
      <c r="T59" s="170">
        <f t="array" ref="T59">IFERROR(
AVERAGE((IF(DATOS_[[Sexo]:[Sexo]]=$B59,IF(DATOS_[[AGRUP. VALOR. PTO.]:[AGRUP. VALOR. PTO.]]=$B57,IF(DATOS_[[Check Periodo Ref.]:[Check Periodo Ref.]]="Dentro",DATOS_[Conc.Sal.15]))))),
0)</f>
        <v>0</v>
      </c>
      <c r="U59" s="170">
        <f t="array" ref="U59">IFERROR(
AVERAGE((IF(DATOS_[[Sexo]:[Sexo]]=$B59,IF(DATOS_[[AGRUP. VALOR. PTO.]:[AGRUP. VALOR. PTO.]]=$B57,IF(DATOS_[[Check Periodo Ref.]:[Check Periodo Ref.]]="Dentro",DATOS_[Conc.Sal.16]))))),
0)</f>
        <v>0</v>
      </c>
      <c r="V59" s="170">
        <f t="array" ref="V59">IFERROR(
AVERAGE((IF(DATOS_[[Sexo]:[Sexo]]=$B59,IF(DATOS_[[AGRUP. VALOR. PTO.]:[AGRUP. VALOR. PTO.]]=$B57,IF(DATOS_[[Check Periodo Ref.]:[Check Periodo Ref.]]="Dentro",DATOS_[Conc.Sal.17]))))),
0)</f>
        <v>0</v>
      </c>
      <c r="W59" s="170">
        <f t="array" ref="W59">IFERROR(
AVERAGE((IF(DATOS_[[Sexo]:[Sexo]]=$B59,IF(DATOS_[[AGRUP. VALOR. PTO.]:[AGRUP. VALOR. PTO.]]=$B57,IF(DATOS_[[Check Periodo Ref.]:[Check Periodo Ref.]]="Dentro",DATOS_[Conc.Sal.18]))))),
0)</f>
        <v>0</v>
      </c>
      <c r="X59" s="170">
        <f t="array" ref="X59">IFERROR(
AVERAGE((IF(DATOS_[[Sexo]:[Sexo]]=$B59,IF(DATOS_[[AGRUP. VALOR. PTO.]:[AGRUP. VALOR. PTO.]]=$B57,IF(DATOS_[[Check Periodo Ref.]:[Check Periodo Ref.]]="Dentro",DATOS_[Conc.Sal.19]))))),
0)</f>
        <v>0</v>
      </c>
      <c r="Y59" s="170">
        <f t="array" ref="Y59">IFERROR(
AVERAGE((IF(DATOS_[[Sexo]:[Sexo]]=$B59,IF(DATOS_[[AGRUP. VALOR. PTO.]:[AGRUP. VALOR. PTO.]]=$B57,IF(DATOS_[[Check Periodo Ref.]:[Check Periodo Ref.]]="Dentro",DATOS_[Conc.Sal.20]))))),
0)</f>
        <v>0</v>
      </c>
      <c r="Z59" s="170">
        <f t="array" ref="Z59">IFERROR(
AVERAGE((IF(DATOS_[[Sexo]:[Sexo]]=$B59,IF(DATOS_[[AGRUP. VALOR. PTO.]:[AGRUP. VALOR. PTO.]]=$B57,IF(DATOS_[[Check Periodo Ref.]:[Check Periodo Ref.]]="Dentro",DATOS_[Conc.Sal.21]))))),
0)</f>
        <v>0</v>
      </c>
      <c r="AA59" s="170">
        <f t="array" ref="AA59">IFERROR(
AVERAGE((IF(DATOS_[[Sexo]:[Sexo]]=$B59,IF(DATOS_[[AGRUP. VALOR. PTO.]:[AGRUP. VALOR. PTO.]]=$B57,IF(DATOS_[[Check Periodo Ref.]:[Check Periodo Ref.]]="Dentro",DATOS_[Conc.Sal.22]))))),
0)</f>
        <v>0</v>
      </c>
      <c r="AB59" s="170">
        <f t="array" ref="AB59">IFERROR(
AVERAGE((IF(DATOS_[[Sexo]:[Sexo]]=$B59,IF(DATOS_[[AGRUP. VALOR. PTO.]:[AGRUP. VALOR. PTO.]]=$B57,IF(DATOS_[[Check Periodo Ref.]:[Check Periodo Ref.]]="Dentro",DATOS_[Conc.Sal.23]))))),
0)</f>
        <v>0</v>
      </c>
      <c r="AC59" s="170">
        <f t="array" ref="AC59">IFERROR(
AVERAGE((IF(DATOS_[[Sexo]:[Sexo]]=$B59,IF(DATOS_[[AGRUP. VALOR. PTO.]:[AGRUP. VALOR. PTO.]]=$B57,IF(DATOS_[[Check Periodo Ref.]:[Check Periodo Ref.]]="Dentro",DATOS_[Conc.Sal.24]))))),
0)</f>
        <v>0</v>
      </c>
      <c r="AD59" s="170">
        <f t="array" ref="AD59">IFERROR(
AVERAGE((IF(DATOS_[[Sexo]:[Sexo]]=$B59,IF(DATOS_[[AGRUP. VALOR. PTO.]:[AGRUP. VALOR. PTO.]]=$B57,IF(DATOS_[[Check Periodo Ref.]:[Check Periodo Ref.]]="Dentro",DATOS_[Conc.Sal.25]))))),
0)</f>
        <v>0</v>
      </c>
      <c r="AE59" s="170">
        <f t="array" ref="AE59">IFERROR(
AVERAGE((IF(DATOS_[[Sexo]:[Sexo]]=$B59,IF(DATOS_[[AGRUP. VALOR. PTO.]:[AGRUP. VALOR. PTO.]]=$B57,IF(DATOS_[[Check Periodo Ref.]:[Check Periodo Ref.]]="Dentro",DATOS_[Conc.Sal.26]))))),
0)</f>
        <v>0</v>
      </c>
      <c r="AF59" s="170">
        <f t="array" ref="AF59">IFERROR(
AVERAGE((IF(DATOS_[[Sexo]:[Sexo]]=$B59,IF(DATOS_[[AGRUP. VALOR. PTO.]:[AGRUP. VALOR. PTO.]]=$B57,IF(DATOS_[[Check Periodo Ref.]:[Check Periodo Ref.]]="Dentro",DATOS_[Conc.Sal.27]))))),
0)</f>
        <v>0</v>
      </c>
      <c r="AG59" s="170">
        <f t="array" ref="AG59">IFERROR(
AVERAGE((IF(DATOS_[[Sexo]:[Sexo]]=$B59,IF(DATOS_[[AGRUP. VALOR. PTO.]:[AGRUP. VALOR. PTO.]]=$B57,IF(DATOS_[[Check Periodo Ref.]:[Check Periodo Ref.]]="Dentro",DATOS_[Conc.Sal.28]))))),
0)</f>
        <v>0</v>
      </c>
      <c r="AH59" s="170">
        <f t="array" ref="AH59">IFERROR(
AVERAGE((IF(DATOS_[[Sexo]:[Sexo]]=$B59,IF(DATOS_[[AGRUP. VALOR. PTO.]:[AGRUP. VALOR. PTO.]]=$B57,IF(DATOS_[[Check Periodo Ref.]:[Check Periodo Ref.]]="Dentro",DATOS_[Conc.Sal.29]))))),
0)</f>
        <v>0</v>
      </c>
      <c r="AI59" s="170">
        <f t="array" ref="AI59">IFERROR(
AVERAGE((IF(DATOS_[[Sexo]:[Sexo]]=$B59,IF(DATOS_[[AGRUP. VALOR. PTO.]:[AGRUP. VALOR. PTO.]]=$B57,IF(DATOS_[[Check Periodo Ref.]:[Check Periodo Ref.]]="Dentro",DATOS_[Conc.Sal.30]))))),
0)</f>
        <v>0</v>
      </c>
      <c r="AJ59" s="171">
        <f t="array" ref="AJ59">IFERROR(
AVERAGE(IF(DATOS_[Sexo]=$B59,IF(DATOS_[AGRUP. VALOR. PTO.]=$B57,IF(DATOS_[Check Periodo Ref.]="Dentro",DATOS_[Tot COMPL.SAL Ef],FALSE)))),
0)</f>
        <v>0</v>
      </c>
      <c r="AK59" s="172">
        <f t="array" ref="AK59">IFERROR(
AVERAGE(IF(DATOS_[Sexo]=$B59,IF(DATOS_[AGRUP. VALOR. PTO.]=$B57,IF(DATOS_[Check Periodo Ref.]="Dentro",DATOS_[TOTAL SALARIO Ef],FALSE)))),
0)</f>
        <v>0</v>
      </c>
      <c r="AL59" s="173">
        <f t="array" ref="AL59">IFERROR(
AVERAGE((IF(DATOS_[[Sexo]:[Sexo]]=$B59,IF(DATOS_[[AGRUP. VALOR. PTO.]:[AGRUP. VALOR. PTO.]]=$B57,IF(DATOS_[[Check Periodo Ref.]:[Check Periodo Ref.]]="Dentro",DATOS_[C.Extra.01]))))),
0)</f>
        <v>0</v>
      </c>
      <c r="AM59" s="173">
        <f t="array" ref="AM59">IFERROR(
AVERAGE((IF(DATOS_[[Sexo]:[Sexo]]=$B59,IF(DATOS_[[AGRUP. VALOR. PTO.]:[AGRUP. VALOR. PTO.]]=$B57,IF(DATOS_[[Check Periodo Ref.]:[Check Periodo Ref.]]="Dentro",DATOS_[C.Extra.06]))))),
0)</f>
        <v>0</v>
      </c>
      <c r="AN59" s="173">
        <f t="array" ref="AN59">IFERROR(
AVERAGE((IF(DATOS_[[Sexo]:[Sexo]]=$B59,IF(DATOS_[[AGRUP. VALOR. PTO.]:[AGRUP. VALOR. PTO.]]=$B57,IF(DATOS_[[Check Periodo Ref.]:[Check Periodo Ref.]]="Dentro",DATOS_[C.Extra.07]))))),
0)</f>
        <v>0</v>
      </c>
      <c r="AO59" s="173">
        <f t="array" ref="AO59">IFERROR(
AVERAGE((IF(DATOS_[[Sexo]:[Sexo]]=$B59,IF(DATOS_[[AGRUP. VALOR. PTO.]:[AGRUP. VALOR. PTO.]]=$B57,IF(DATOS_[[Check Periodo Ref.]:[Check Periodo Ref.]]="Dentro",DATOS_[C.Extra.08]))))),
0)</f>
        <v>0</v>
      </c>
      <c r="AP59" s="173">
        <f t="array" ref="AP59">IFERROR(
AVERAGE((IF(DATOS_[[Sexo]:[Sexo]]=$B59,IF(DATOS_[[AGRUP. VALOR. PTO.]:[AGRUP. VALOR. PTO.]]=$B57,IF(DATOS_[[Check Periodo Ref.]:[Check Periodo Ref.]]="Dentro",DATOS_[C.Extra.11]))))),
0)</f>
        <v>0</v>
      </c>
      <c r="AQ59" s="174">
        <f t="array" ref="AQ59">IFERROR(
AVERAGE(IF(DATOS_[Sexo]=$B59,IF(DATOS_[AGRUP. VALOR. PTO.]=$B57,IF(DATOS_[Check Periodo Ref.]="Dentro",DATOS_[Tot Extrasalarial Ef],FALSE)))),
0)</f>
        <v>0</v>
      </c>
      <c r="AR59" s="171">
        <f t="array" ref="AR59">IFERROR(
AVERAGE(IF(DATOS_[Sexo]=$B59,IF(DATOS_[AGRUP. VALOR. PTO.]=$B57,IF(DATOS_[Check Periodo Ref.]="Dentro",DATOS_[TOTAL Retrib Ef],FALSE)))),
0)</f>
        <v>0</v>
      </c>
    </row>
    <row r="60" spans="1:44" ht="14.4" thickBot="1" x14ac:dyDescent="0.3">
      <c r="A60" s="178" t="str">
        <f t="shared" ref="A60" si="63">+A61</f>
        <v>[ocultar]</v>
      </c>
      <c r="B60" s="153" t="s">
        <v>239</v>
      </c>
      <c r="C60" s="154"/>
      <c r="D60" s="155"/>
      <c r="E60" s="156" t="str">
        <f t="shared" ref="E60:AR60" si="64">IFERROR((E61-E62)/E61,"")</f>
        <v/>
      </c>
      <c r="F60" s="157" t="str">
        <f t="shared" si="64"/>
        <v/>
      </c>
      <c r="G60" s="158" t="str">
        <f t="shared" si="64"/>
        <v/>
      </c>
      <c r="H60" s="158" t="str">
        <f t="shared" si="64"/>
        <v/>
      </c>
      <c r="I60" s="158" t="str">
        <f t="shared" si="64"/>
        <v/>
      </c>
      <c r="J60" s="159" t="str">
        <f t="shared" si="64"/>
        <v/>
      </c>
      <c r="K60" s="160" t="str">
        <f t="shared" si="64"/>
        <v/>
      </c>
      <c r="L60" s="160" t="str">
        <f t="shared" si="64"/>
        <v/>
      </c>
      <c r="M60" s="160" t="str">
        <f t="shared" si="64"/>
        <v/>
      </c>
      <c r="N60" s="160" t="str">
        <f t="shared" si="64"/>
        <v/>
      </c>
      <c r="O60" s="160" t="str">
        <f t="shared" si="64"/>
        <v/>
      </c>
      <c r="P60" s="160" t="str">
        <f t="shared" si="64"/>
        <v/>
      </c>
      <c r="Q60" s="160" t="str">
        <f t="shared" si="64"/>
        <v/>
      </c>
      <c r="R60" s="160" t="str">
        <f t="shared" si="64"/>
        <v/>
      </c>
      <c r="S60" s="160" t="str">
        <f t="shared" si="64"/>
        <v/>
      </c>
      <c r="T60" s="160" t="str">
        <f t="shared" si="64"/>
        <v/>
      </c>
      <c r="U60" s="160" t="str">
        <f t="shared" si="64"/>
        <v/>
      </c>
      <c r="V60" s="159" t="str">
        <f t="shared" si="64"/>
        <v/>
      </c>
      <c r="W60" s="159" t="str">
        <f t="shared" si="64"/>
        <v/>
      </c>
      <c r="X60" s="159" t="str">
        <f t="shared" si="64"/>
        <v/>
      </c>
      <c r="Y60" s="159" t="str">
        <f t="shared" si="64"/>
        <v/>
      </c>
      <c r="Z60" s="159" t="str">
        <f t="shared" si="64"/>
        <v/>
      </c>
      <c r="AA60" s="159" t="str">
        <f t="shared" si="64"/>
        <v/>
      </c>
      <c r="AB60" s="159" t="str">
        <f t="shared" si="64"/>
        <v/>
      </c>
      <c r="AC60" s="159" t="str">
        <f t="shared" si="64"/>
        <v/>
      </c>
      <c r="AD60" s="159" t="str">
        <f t="shared" si="64"/>
        <v/>
      </c>
      <c r="AE60" s="159" t="str">
        <f t="shared" si="64"/>
        <v/>
      </c>
      <c r="AF60" s="159" t="str">
        <f t="shared" si="64"/>
        <v/>
      </c>
      <c r="AG60" s="159" t="str">
        <f t="shared" si="64"/>
        <v/>
      </c>
      <c r="AH60" s="159" t="str">
        <f t="shared" si="64"/>
        <v/>
      </c>
      <c r="AI60" s="159" t="str">
        <f t="shared" si="64"/>
        <v/>
      </c>
      <c r="AJ60" s="161" t="str">
        <f t="shared" si="64"/>
        <v/>
      </c>
      <c r="AK60" s="162" t="str">
        <f t="shared" si="64"/>
        <v/>
      </c>
      <c r="AL60" s="163" t="str">
        <f t="shared" si="64"/>
        <v/>
      </c>
      <c r="AM60" s="163" t="str">
        <f t="shared" si="64"/>
        <v/>
      </c>
      <c r="AN60" s="163" t="str">
        <f t="shared" si="64"/>
        <v/>
      </c>
      <c r="AO60" s="163" t="str">
        <f t="shared" si="64"/>
        <v/>
      </c>
      <c r="AP60" s="163" t="str">
        <f t="shared" si="64"/>
        <v/>
      </c>
      <c r="AQ60" s="164" t="str">
        <f t="shared" si="64"/>
        <v/>
      </c>
      <c r="AR60" s="161" t="str">
        <f t="shared" si="64"/>
        <v/>
      </c>
    </row>
    <row r="61" spans="1:44" x14ac:dyDescent="0.25">
      <c r="A61" s="178" t="str">
        <f t="shared" ref="A61" si="65">+IF(C61+C62=0,"[ocultar]","")</f>
        <v>[ocultar]</v>
      </c>
      <c r="B61" s="166" t="s">
        <v>394</v>
      </c>
      <c r="C61" s="167">
        <f t="array" ref="C61">SUM(IF($B61=DATOS_[Sexo],
IF($B60=DATOS_[AGRUP. VALOR. PTO.],
IF("Dentro"=DATOS_[Check Periodo Ref.],
1/(COUNTIFS(DATOS_[Sexo],$B61,DATOS_[AGRUP. VALOR. PTO.],$B60,DATOS_[Check Periodo Ref.],"Dentro",DATOS_[id/cod],DATOS_[id/cod]))))))</f>
        <v>0</v>
      </c>
      <c r="D61" s="168">
        <f>COUNTIFS(DATOS_[AGRUP. VALOR. PTO.],$B60,DATOS_[Sexo],$B61,DATOS_[Check Periodo Ref.],"Dentro")</f>
        <v>0</v>
      </c>
      <c r="E61" s="169">
        <f t="array" ref="E61">IFERROR(
AVERAGE(IF(DATOS_[Sexo]=$B61,IF(DATOS_[AGRUP. VALOR. PTO.]=$B60,IF(DATOS_[Check Periodo Ref.]="Dentro",DATOS_[SALARIO BASE Ef],FALSE)))),
0)</f>
        <v>0</v>
      </c>
      <c r="F61" s="170">
        <f t="array" ref="F61">IFERROR(
AVERAGE((IF(DATOS_[[Sexo]:[Sexo]]=$B61,IF(DATOS_[[AGRUP. VALOR. PTO.]:[AGRUP. VALOR. PTO.]]=$B60,IF(DATOS_[[Check Periodo Ref.]:[Check Periodo Ref.]]="Dentro",DATOS_[Conc.Sal.01]))))),
0)</f>
        <v>0</v>
      </c>
      <c r="G61" s="170">
        <f t="array" ref="G61">IFERROR(
AVERAGE((IF(DATOS_[[Sexo]:[Sexo]]=$B61,IF(DATOS_[[AGRUP. VALOR. PTO.]:[AGRUP. VALOR. PTO.]]=$B60,IF(DATOS_[[Check Periodo Ref.]:[Check Periodo Ref.]]="Dentro",DATOS_[Conc.Sal.02]))))),
0)</f>
        <v>0</v>
      </c>
      <c r="H61" s="170">
        <f t="array" ref="H61">IFERROR(
AVERAGE((IF(DATOS_[[Sexo]:[Sexo]]=$B61,IF(DATOS_[[AGRUP. VALOR. PTO.]:[AGRUP. VALOR. PTO.]]=$B60,IF(DATOS_[[Check Periodo Ref.]:[Check Periodo Ref.]]="Dentro",DATOS_[Conc.Sal.03]))))),
0)</f>
        <v>0</v>
      </c>
      <c r="I61" s="170">
        <f t="array" ref="I61">IFERROR(
AVERAGE((IF(DATOS_[[Sexo]:[Sexo]]=$B61,IF(DATOS_[[AGRUP. VALOR. PTO.]:[AGRUP. VALOR. PTO.]]=$B60,IF(DATOS_[[Check Periodo Ref.]:[Check Periodo Ref.]]="Dentro",DATOS_[Conc.Sal.04]))))),
0)</f>
        <v>0</v>
      </c>
      <c r="J61" s="170">
        <f t="array" ref="J61">IFERROR(
AVERAGE((IF(DATOS_[[Sexo]:[Sexo]]=$B61,IF(DATOS_[[AGRUP. VALOR. PTO.]:[AGRUP. VALOR. PTO.]]=$B60,IF(DATOS_[[Check Periodo Ref.]:[Check Periodo Ref.]]="Dentro",DATOS_[Conc.Sal.05]))))),
0)</f>
        <v>0</v>
      </c>
      <c r="K61" s="170">
        <f t="array" ref="K61">IFERROR(
AVERAGE((IF(DATOS_[[Sexo]:[Sexo]]=$B61,IF(DATOS_[[AGRUP. VALOR. PTO.]:[AGRUP. VALOR. PTO.]]=$B60,IF(DATOS_[[Check Periodo Ref.]:[Check Periodo Ref.]]="Dentro",DATOS_[Conc.Sal.06]))))),
0)</f>
        <v>0</v>
      </c>
      <c r="L61" s="170">
        <f t="array" ref="L61">IFERROR(
AVERAGE((IF(DATOS_[[Sexo]:[Sexo]]=$B61,IF(DATOS_[[AGRUP. VALOR. PTO.]:[AGRUP. VALOR. PTO.]]=$B60,IF(DATOS_[[Check Periodo Ref.]:[Check Periodo Ref.]]="Dentro",DATOS_[Conc.Sal.07]))))),
0)</f>
        <v>0</v>
      </c>
      <c r="M61" s="170">
        <f t="array" ref="M61">IFERROR(
AVERAGE((IF(DATOS_[[Sexo]:[Sexo]]=$B61,IF(DATOS_[[AGRUP. VALOR. PTO.]:[AGRUP. VALOR. PTO.]]=$B60,IF(DATOS_[[Check Periodo Ref.]:[Check Periodo Ref.]]="Dentro",DATOS_[Conc.Sal.08]))))),
0)</f>
        <v>0</v>
      </c>
      <c r="N61" s="170">
        <f t="array" ref="N61">IFERROR(
AVERAGE((IF(DATOS_[[Sexo]:[Sexo]]=$B61,IF(DATOS_[[AGRUP. VALOR. PTO.]:[AGRUP. VALOR. PTO.]]=$B60,IF(DATOS_[[Check Periodo Ref.]:[Check Periodo Ref.]]="Dentro",DATOS_[Conc.Sal.09]))))),
0)</f>
        <v>0</v>
      </c>
      <c r="O61" s="170">
        <f t="array" ref="O61">IFERROR(
AVERAGE((IF(DATOS_[[Sexo]:[Sexo]]=$B61,IF(DATOS_[[AGRUP. VALOR. PTO.]:[AGRUP. VALOR. PTO.]]=$B60,IF(DATOS_[[Check Periodo Ref.]:[Check Periodo Ref.]]="Dentro",DATOS_[Conc.Sal.10]))))),
0)</f>
        <v>0</v>
      </c>
      <c r="P61" s="170">
        <f t="array" ref="P61">IFERROR(
AVERAGE((IF(DATOS_[[Sexo]:[Sexo]]=$B61,IF(DATOS_[[AGRUP. VALOR. PTO.]:[AGRUP. VALOR. PTO.]]=$B60,IF(DATOS_[[Check Periodo Ref.]:[Check Periodo Ref.]]="Dentro",DATOS_[Conc.Sal.11]))))),
0)</f>
        <v>0</v>
      </c>
      <c r="Q61" s="170">
        <f t="array" ref="Q61">IFERROR(
AVERAGE((IF(DATOS_[[Sexo]:[Sexo]]=$B61,IF(DATOS_[[AGRUP. VALOR. PTO.]:[AGRUP. VALOR. PTO.]]=$B60,IF(DATOS_[[Check Periodo Ref.]:[Check Periodo Ref.]]="Dentro",DATOS_[Conc.Sal.12]))))),
0)</f>
        <v>0</v>
      </c>
      <c r="R61" s="170">
        <f t="array" ref="R61">IFERROR(
AVERAGE((IF(DATOS_[[Sexo]:[Sexo]]=$B61,IF(DATOS_[[AGRUP. VALOR. PTO.]:[AGRUP. VALOR. PTO.]]=$B60,IF(DATOS_[[Check Periodo Ref.]:[Check Periodo Ref.]]="Dentro",DATOS_[Conc.Sal.13]))))),
0)</f>
        <v>0</v>
      </c>
      <c r="S61" s="170">
        <f t="array" ref="S61">IFERROR(
AVERAGE((IF(DATOS_[[Sexo]:[Sexo]]=$B61,IF(DATOS_[[AGRUP. VALOR. PTO.]:[AGRUP. VALOR. PTO.]]=$B60,IF(DATOS_[[Check Periodo Ref.]:[Check Periodo Ref.]]="Dentro",DATOS_[Conc.Sal.14]))))),
0)</f>
        <v>0</v>
      </c>
      <c r="T61" s="170">
        <f t="array" ref="T61">IFERROR(
AVERAGE((IF(DATOS_[[Sexo]:[Sexo]]=$B61,IF(DATOS_[[AGRUP. VALOR. PTO.]:[AGRUP. VALOR. PTO.]]=$B60,IF(DATOS_[[Check Periodo Ref.]:[Check Periodo Ref.]]="Dentro",DATOS_[Conc.Sal.15]))))),
0)</f>
        <v>0</v>
      </c>
      <c r="U61" s="170">
        <f t="array" ref="U61">IFERROR(
AVERAGE((IF(DATOS_[[Sexo]:[Sexo]]=$B61,IF(DATOS_[[AGRUP. VALOR. PTO.]:[AGRUP. VALOR. PTO.]]=$B60,IF(DATOS_[[Check Periodo Ref.]:[Check Periodo Ref.]]="Dentro",DATOS_[Conc.Sal.16]))))),
0)</f>
        <v>0</v>
      </c>
      <c r="V61" s="170">
        <f t="array" ref="V61">IFERROR(
AVERAGE((IF(DATOS_[[Sexo]:[Sexo]]=$B61,IF(DATOS_[[AGRUP. VALOR. PTO.]:[AGRUP. VALOR. PTO.]]=$B60,IF(DATOS_[[Check Periodo Ref.]:[Check Periodo Ref.]]="Dentro",DATOS_[Conc.Sal.17]))))),
0)</f>
        <v>0</v>
      </c>
      <c r="W61" s="170">
        <f t="array" ref="W61">IFERROR(
AVERAGE((IF(DATOS_[[Sexo]:[Sexo]]=$B61,IF(DATOS_[[AGRUP. VALOR. PTO.]:[AGRUP. VALOR. PTO.]]=$B60,IF(DATOS_[[Check Periodo Ref.]:[Check Periodo Ref.]]="Dentro",DATOS_[Conc.Sal.18]))))),
0)</f>
        <v>0</v>
      </c>
      <c r="X61" s="170">
        <f t="array" ref="X61">IFERROR(
AVERAGE((IF(DATOS_[[Sexo]:[Sexo]]=$B61,IF(DATOS_[[AGRUP. VALOR. PTO.]:[AGRUP. VALOR. PTO.]]=$B60,IF(DATOS_[[Check Periodo Ref.]:[Check Periodo Ref.]]="Dentro",DATOS_[Conc.Sal.19]))))),
0)</f>
        <v>0</v>
      </c>
      <c r="Y61" s="170">
        <f t="array" ref="Y61">IFERROR(
AVERAGE((IF(DATOS_[[Sexo]:[Sexo]]=$B61,IF(DATOS_[[AGRUP. VALOR. PTO.]:[AGRUP. VALOR. PTO.]]=$B60,IF(DATOS_[[Check Periodo Ref.]:[Check Periodo Ref.]]="Dentro",DATOS_[Conc.Sal.20]))))),
0)</f>
        <v>0</v>
      </c>
      <c r="Z61" s="170">
        <f t="array" ref="Z61">IFERROR(
AVERAGE((IF(DATOS_[[Sexo]:[Sexo]]=$B61,IF(DATOS_[[AGRUP. VALOR. PTO.]:[AGRUP. VALOR. PTO.]]=$B60,IF(DATOS_[[Check Periodo Ref.]:[Check Periodo Ref.]]="Dentro",DATOS_[Conc.Sal.21]))))),
0)</f>
        <v>0</v>
      </c>
      <c r="AA61" s="170">
        <f t="array" ref="AA61">IFERROR(
AVERAGE((IF(DATOS_[[Sexo]:[Sexo]]=$B61,IF(DATOS_[[AGRUP. VALOR. PTO.]:[AGRUP. VALOR. PTO.]]=$B60,IF(DATOS_[[Check Periodo Ref.]:[Check Periodo Ref.]]="Dentro",DATOS_[Conc.Sal.22]))))),
0)</f>
        <v>0</v>
      </c>
      <c r="AB61" s="170">
        <f t="array" ref="AB61">IFERROR(
AVERAGE((IF(DATOS_[[Sexo]:[Sexo]]=$B61,IF(DATOS_[[AGRUP. VALOR. PTO.]:[AGRUP. VALOR. PTO.]]=$B60,IF(DATOS_[[Check Periodo Ref.]:[Check Periodo Ref.]]="Dentro",DATOS_[Conc.Sal.23]))))),
0)</f>
        <v>0</v>
      </c>
      <c r="AC61" s="170">
        <f t="array" ref="AC61">IFERROR(
AVERAGE((IF(DATOS_[[Sexo]:[Sexo]]=$B61,IF(DATOS_[[AGRUP. VALOR. PTO.]:[AGRUP. VALOR. PTO.]]=$B60,IF(DATOS_[[Check Periodo Ref.]:[Check Periodo Ref.]]="Dentro",DATOS_[Conc.Sal.24]))))),
0)</f>
        <v>0</v>
      </c>
      <c r="AD61" s="170">
        <f t="array" ref="AD61">IFERROR(
AVERAGE((IF(DATOS_[[Sexo]:[Sexo]]=$B61,IF(DATOS_[[AGRUP. VALOR. PTO.]:[AGRUP. VALOR. PTO.]]=$B60,IF(DATOS_[[Check Periodo Ref.]:[Check Periodo Ref.]]="Dentro",DATOS_[Conc.Sal.25]))))),
0)</f>
        <v>0</v>
      </c>
      <c r="AE61" s="170">
        <f t="array" ref="AE61">IFERROR(
AVERAGE((IF(DATOS_[[Sexo]:[Sexo]]=$B61,IF(DATOS_[[AGRUP. VALOR. PTO.]:[AGRUP. VALOR. PTO.]]=$B60,IF(DATOS_[[Check Periodo Ref.]:[Check Periodo Ref.]]="Dentro",DATOS_[Conc.Sal.26]))))),
0)</f>
        <v>0</v>
      </c>
      <c r="AF61" s="170">
        <f t="array" ref="AF61">IFERROR(
AVERAGE((IF(DATOS_[[Sexo]:[Sexo]]=$B61,IF(DATOS_[[AGRUP. VALOR. PTO.]:[AGRUP. VALOR. PTO.]]=$B60,IF(DATOS_[[Check Periodo Ref.]:[Check Periodo Ref.]]="Dentro",DATOS_[Conc.Sal.27]))))),
0)</f>
        <v>0</v>
      </c>
      <c r="AG61" s="170">
        <f t="array" ref="AG61">IFERROR(
AVERAGE((IF(DATOS_[[Sexo]:[Sexo]]=$B61,IF(DATOS_[[AGRUP. VALOR. PTO.]:[AGRUP. VALOR. PTO.]]=$B60,IF(DATOS_[[Check Periodo Ref.]:[Check Periodo Ref.]]="Dentro",DATOS_[Conc.Sal.28]))))),
0)</f>
        <v>0</v>
      </c>
      <c r="AH61" s="170">
        <f t="array" ref="AH61">IFERROR(
AVERAGE((IF(DATOS_[[Sexo]:[Sexo]]=$B61,IF(DATOS_[[AGRUP. VALOR. PTO.]:[AGRUP. VALOR. PTO.]]=$B60,IF(DATOS_[[Check Periodo Ref.]:[Check Periodo Ref.]]="Dentro",DATOS_[Conc.Sal.29]))))),
0)</f>
        <v>0</v>
      </c>
      <c r="AI61" s="170">
        <f t="array" ref="AI61">IFERROR(
AVERAGE((IF(DATOS_[[Sexo]:[Sexo]]=$B61,IF(DATOS_[[AGRUP. VALOR. PTO.]:[AGRUP. VALOR. PTO.]]=$B60,IF(DATOS_[[Check Periodo Ref.]:[Check Periodo Ref.]]="Dentro",DATOS_[Conc.Sal.30]))))),
0)</f>
        <v>0</v>
      </c>
      <c r="AJ61" s="171">
        <f t="array" ref="AJ61">IFERROR(
AVERAGE(IF(DATOS_[Sexo]=$B61,IF(DATOS_[AGRUP. VALOR. PTO.]=$B60,IF(DATOS_[Check Periodo Ref.]="Dentro",DATOS_[Tot COMPL.SAL Ef],FALSE)))),
0)</f>
        <v>0</v>
      </c>
      <c r="AK61" s="172">
        <f t="array" ref="AK61">IFERROR(
AVERAGE(IF(DATOS_[Sexo]=$B61,IF(DATOS_[AGRUP. VALOR. PTO.]=$B60,IF(DATOS_[Check Periodo Ref.]="Dentro",DATOS_[TOTAL SALARIO Ef],FALSE)))),
0)</f>
        <v>0</v>
      </c>
      <c r="AL61" s="173">
        <f t="array" ref="AL61">IFERROR(
AVERAGE((IF(DATOS_[[Sexo]:[Sexo]]=$B61,IF(DATOS_[[AGRUP. VALOR. PTO.]:[AGRUP. VALOR. PTO.]]=$B60,IF(DATOS_[[Check Periodo Ref.]:[Check Periodo Ref.]]="Dentro",DATOS_[C.Extra.01]))))),
0)</f>
        <v>0</v>
      </c>
      <c r="AM61" s="173">
        <f t="array" ref="AM61">IFERROR(
AVERAGE((IF(DATOS_[[Sexo]:[Sexo]]=$B61,IF(DATOS_[[AGRUP. VALOR. PTO.]:[AGRUP. VALOR. PTO.]]=$B60,IF(DATOS_[[Check Periodo Ref.]:[Check Periodo Ref.]]="Dentro",DATOS_[C.Extra.06]))))),
0)</f>
        <v>0</v>
      </c>
      <c r="AN61" s="173">
        <f t="array" ref="AN61">IFERROR(
AVERAGE((IF(DATOS_[[Sexo]:[Sexo]]=$B61,IF(DATOS_[[AGRUP. VALOR. PTO.]:[AGRUP. VALOR. PTO.]]=$B60,IF(DATOS_[[Check Periodo Ref.]:[Check Periodo Ref.]]="Dentro",DATOS_[C.Extra.07]))))),
0)</f>
        <v>0</v>
      </c>
      <c r="AO61" s="173">
        <f t="array" ref="AO61">IFERROR(
AVERAGE((IF(DATOS_[[Sexo]:[Sexo]]=$B61,IF(DATOS_[[AGRUP. VALOR. PTO.]:[AGRUP. VALOR. PTO.]]=$B60,IF(DATOS_[[Check Periodo Ref.]:[Check Periodo Ref.]]="Dentro",DATOS_[C.Extra.08]))))),
0)</f>
        <v>0</v>
      </c>
      <c r="AP61" s="173">
        <f t="array" ref="AP61">IFERROR(
AVERAGE((IF(DATOS_[[Sexo]:[Sexo]]=$B61,IF(DATOS_[[AGRUP. VALOR. PTO.]:[AGRUP. VALOR. PTO.]]=$B60,IF(DATOS_[[Check Periodo Ref.]:[Check Periodo Ref.]]="Dentro",DATOS_[C.Extra.11]))))),
0)</f>
        <v>0</v>
      </c>
      <c r="AQ61" s="174">
        <f t="array" ref="AQ61">IFERROR(
AVERAGE(IF(DATOS_[Sexo]=$B61,IF(DATOS_[AGRUP. VALOR. PTO.]=$B60,IF(DATOS_[Check Periodo Ref.]="Dentro",DATOS_[Tot Extrasalarial Ef],FALSE)))),
0)</f>
        <v>0</v>
      </c>
      <c r="AR61" s="171">
        <f t="array" ref="AR61">IFERROR(
AVERAGE(IF(DATOS_[Sexo]=$B61,IF(DATOS_[AGRUP. VALOR. PTO.]=$B60,IF(DATOS_[Check Periodo Ref.]="Dentro",DATOS_[TOTAL Retrib Ef],FALSE)))),
0)</f>
        <v>0</v>
      </c>
    </row>
    <row r="62" spans="1:44" x14ac:dyDescent="0.25">
      <c r="A62" s="178" t="str">
        <f t="shared" ref="A62" si="66">+A61</f>
        <v>[ocultar]</v>
      </c>
      <c r="B62" s="166" t="s">
        <v>521</v>
      </c>
      <c r="C62" s="167">
        <f t="array" ref="C62">SUM(IF($B62=DATOS_[Sexo],
IF($B60=DATOS_[AGRUP. VALOR. PTO.],
IF("Dentro"=DATOS_[Check Periodo Ref.],
1/(COUNTIFS(DATOS_[Sexo],$B62,DATOS_[AGRUP. VALOR. PTO.],$B60,DATOS_[Check Periodo Ref.],"Dentro",DATOS_[id/cod],DATOS_[id/cod]))))))</f>
        <v>0</v>
      </c>
      <c r="D62" s="168">
        <f>COUNTIFS(DATOS_[AGRUP. VALOR. PTO.],$B60,DATOS_[Sexo],$B62,DATOS_[Check Periodo Ref.],"Dentro")</f>
        <v>0</v>
      </c>
      <c r="E62" s="169">
        <f t="array" ref="E62">IFERROR(
AVERAGE(IF(DATOS_[Sexo]=$B62,IF(DATOS_[AGRUP. VALOR. PTO.]=$B60,IF(DATOS_[Check Periodo Ref.]="Dentro",DATOS_[SALARIO BASE Ef],FALSE)))),
0)</f>
        <v>0</v>
      </c>
      <c r="F62" s="170">
        <f t="array" ref="F62">IFERROR(
AVERAGE((IF(DATOS_[[Sexo]:[Sexo]]=$B62,IF(DATOS_[[AGRUP. VALOR. PTO.]:[AGRUP. VALOR. PTO.]]=$B60,IF(DATOS_[[Check Periodo Ref.]:[Check Periodo Ref.]]="Dentro",DATOS_[Conc.Sal.01]))))),
0)</f>
        <v>0</v>
      </c>
      <c r="G62" s="170">
        <f t="array" ref="G62">IFERROR(
AVERAGE((IF(DATOS_[[Sexo]:[Sexo]]=$B62,IF(DATOS_[[AGRUP. VALOR. PTO.]:[AGRUP. VALOR. PTO.]]=$B60,IF(DATOS_[[Check Periodo Ref.]:[Check Periodo Ref.]]="Dentro",DATOS_[Conc.Sal.02]))))),
0)</f>
        <v>0</v>
      </c>
      <c r="H62" s="170">
        <f t="array" ref="H62">IFERROR(
AVERAGE((IF(DATOS_[[Sexo]:[Sexo]]=$B62,IF(DATOS_[[AGRUP. VALOR. PTO.]:[AGRUP. VALOR. PTO.]]=$B60,IF(DATOS_[[Check Periodo Ref.]:[Check Periodo Ref.]]="Dentro",DATOS_[Conc.Sal.03]))))),
0)</f>
        <v>0</v>
      </c>
      <c r="I62" s="170">
        <f t="array" ref="I62">IFERROR(
AVERAGE((IF(DATOS_[[Sexo]:[Sexo]]=$B62,IF(DATOS_[[AGRUP. VALOR. PTO.]:[AGRUP. VALOR. PTO.]]=$B60,IF(DATOS_[[Check Periodo Ref.]:[Check Periodo Ref.]]="Dentro",DATOS_[Conc.Sal.04]))))),
0)</f>
        <v>0</v>
      </c>
      <c r="J62" s="170">
        <f t="array" ref="J62">IFERROR(
AVERAGE((IF(DATOS_[[Sexo]:[Sexo]]=$B62,IF(DATOS_[[AGRUP. VALOR. PTO.]:[AGRUP. VALOR. PTO.]]=$B60,IF(DATOS_[[Check Periodo Ref.]:[Check Periodo Ref.]]="Dentro",DATOS_[Conc.Sal.05]))))),
0)</f>
        <v>0</v>
      </c>
      <c r="K62" s="170">
        <f t="array" ref="K62">IFERROR(
AVERAGE((IF(DATOS_[[Sexo]:[Sexo]]=$B62,IF(DATOS_[[AGRUP. VALOR. PTO.]:[AGRUP. VALOR. PTO.]]=$B60,IF(DATOS_[[Check Periodo Ref.]:[Check Periodo Ref.]]="Dentro",DATOS_[Conc.Sal.06]))))),
0)</f>
        <v>0</v>
      </c>
      <c r="L62" s="170">
        <f t="array" ref="L62">IFERROR(
AVERAGE((IF(DATOS_[[Sexo]:[Sexo]]=$B62,IF(DATOS_[[AGRUP. VALOR. PTO.]:[AGRUP. VALOR. PTO.]]=$B60,IF(DATOS_[[Check Periodo Ref.]:[Check Periodo Ref.]]="Dentro",DATOS_[Conc.Sal.07]))))),
0)</f>
        <v>0</v>
      </c>
      <c r="M62" s="170">
        <f t="array" ref="M62">IFERROR(
AVERAGE((IF(DATOS_[[Sexo]:[Sexo]]=$B62,IF(DATOS_[[AGRUP. VALOR. PTO.]:[AGRUP. VALOR. PTO.]]=$B60,IF(DATOS_[[Check Periodo Ref.]:[Check Periodo Ref.]]="Dentro",DATOS_[Conc.Sal.08]))))),
0)</f>
        <v>0</v>
      </c>
      <c r="N62" s="170">
        <f t="array" ref="N62">IFERROR(
AVERAGE((IF(DATOS_[[Sexo]:[Sexo]]=$B62,IF(DATOS_[[AGRUP. VALOR. PTO.]:[AGRUP. VALOR. PTO.]]=$B60,IF(DATOS_[[Check Periodo Ref.]:[Check Periodo Ref.]]="Dentro",DATOS_[Conc.Sal.09]))))),
0)</f>
        <v>0</v>
      </c>
      <c r="O62" s="170">
        <f t="array" ref="O62">IFERROR(
AVERAGE((IF(DATOS_[[Sexo]:[Sexo]]=$B62,IF(DATOS_[[AGRUP. VALOR. PTO.]:[AGRUP. VALOR. PTO.]]=$B60,IF(DATOS_[[Check Periodo Ref.]:[Check Periodo Ref.]]="Dentro",DATOS_[Conc.Sal.10]))))),
0)</f>
        <v>0</v>
      </c>
      <c r="P62" s="170">
        <f t="array" ref="P62">IFERROR(
AVERAGE((IF(DATOS_[[Sexo]:[Sexo]]=$B62,IF(DATOS_[[AGRUP. VALOR. PTO.]:[AGRUP. VALOR. PTO.]]=$B60,IF(DATOS_[[Check Periodo Ref.]:[Check Periodo Ref.]]="Dentro",DATOS_[Conc.Sal.11]))))),
0)</f>
        <v>0</v>
      </c>
      <c r="Q62" s="170">
        <f t="array" ref="Q62">IFERROR(
AVERAGE((IF(DATOS_[[Sexo]:[Sexo]]=$B62,IF(DATOS_[[AGRUP. VALOR. PTO.]:[AGRUP. VALOR. PTO.]]=$B60,IF(DATOS_[[Check Periodo Ref.]:[Check Periodo Ref.]]="Dentro",DATOS_[Conc.Sal.12]))))),
0)</f>
        <v>0</v>
      </c>
      <c r="R62" s="170">
        <f t="array" ref="R62">IFERROR(
AVERAGE((IF(DATOS_[[Sexo]:[Sexo]]=$B62,IF(DATOS_[[AGRUP. VALOR. PTO.]:[AGRUP. VALOR. PTO.]]=$B60,IF(DATOS_[[Check Periodo Ref.]:[Check Periodo Ref.]]="Dentro",DATOS_[Conc.Sal.13]))))),
0)</f>
        <v>0</v>
      </c>
      <c r="S62" s="170">
        <f t="array" ref="S62">IFERROR(
AVERAGE((IF(DATOS_[[Sexo]:[Sexo]]=$B62,IF(DATOS_[[AGRUP. VALOR. PTO.]:[AGRUP. VALOR. PTO.]]=$B60,IF(DATOS_[[Check Periodo Ref.]:[Check Periodo Ref.]]="Dentro",DATOS_[Conc.Sal.14]))))),
0)</f>
        <v>0</v>
      </c>
      <c r="T62" s="170">
        <f t="array" ref="T62">IFERROR(
AVERAGE((IF(DATOS_[[Sexo]:[Sexo]]=$B62,IF(DATOS_[[AGRUP. VALOR. PTO.]:[AGRUP. VALOR. PTO.]]=$B60,IF(DATOS_[[Check Periodo Ref.]:[Check Periodo Ref.]]="Dentro",DATOS_[Conc.Sal.15]))))),
0)</f>
        <v>0</v>
      </c>
      <c r="U62" s="170">
        <f t="array" ref="U62">IFERROR(
AVERAGE((IF(DATOS_[[Sexo]:[Sexo]]=$B62,IF(DATOS_[[AGRUP. VALOR. PTO.]:[AGRUP. VALOR. PTO.]]=$B60,IF(DATOS_[[Check Periodo Ref.]:[Check Periodo Ref.]]="Dentro",DATOS_[Conc.Sal.16]))))),
0)</f>
        <v>0</v>
      </c>
      <c r="V62" s="170">
        <f t="array" ref="V62">IFERROR(
AVERAGE((IF(DATOS_[[Sexo]:[Sexo]]=$B62,IF(DATOS_[[AGRUP. VALOR. PTO.]:[AGRUP. VALOR. PTO.]]=$B60,IF(DATOS_[[Check Periodo Ref.]:[Check Periodo Ref.]]="Dentro",DATOS_[Conc.Sal.17]))))),
0)</f>
        <v>0</v>
      </c>
      <c r="W62" s="170">
        <f t="array" ref="W62">IFERROR(
AVERAGE((IF(DATOS_[[Sexo]:[Sexo]]=$B62,IF(DATOS_[[AGRUP. VALOR. PTO.]:[AGRUP. VALOR. PTO.]]=$B60,IF(DATOS_[[Check Periodo Ref.]:[Check Periodo Ref.]]="Dentro",DATOS_[Conc.Sal.18]))))),
0)</f>
        <v>0</v>
      </c>
      <c r="X62" s="170">
        <f t="array" ref="X62">IFERROR(
AVERAGE((IF(DATOS_[[Sexo]:[Sexo]]=$B62,IF(DATOS_[[AGRUP. VALOR. PTO.]:[AGRUP. VALOR. PTO.]]=$B60,IF(DATOS_[[Check Periodo Ref.]:[Check Periodo Ref.]]="Dentro",DATOS_[Conc.Sal.19]))))),
0)</f>
        <v>0</v>
      </c>
      <c r="Y62" s="170">
        <f t="array" ref="Y62">IFERROR(
AVERAGE((IF(DATOS_[[Sexo]:[Sexo]]=$B62,IF(DATOS_[[AGRUP. VALOR. PTO.]:[AGRUP. VALOR. PTO.]]=$B60,IF(DATOS_[[Check Periodo Ref.]:[Check Periodo Ref.]]="Dentro",DATOS_[Conc.Sal.20]))))),
0)</f>
        <v>0</v>
      </c>
      <c r="Z62" s="170">
        <f t="array" ref="Z62">IFERROR(
AVERAGE((IF(DATOS_[[Sexo]:[Sexo]]=$B62,IF(DATOS_[[AGRUP. VALOR. PTO.]:[AGRUP. VALOR. PTO.]]=$B60,IF(DATOS_[[Check Periodo Ref.]:[Check Periodo Ref.]]="Dentro",DATOS_[Conc.Sal.21]))))),
0)</f>
        <v>0</v>
      </c>
      <c r="AA62" s="170">
        <f t="array" ref="AA62">IFERROR(
AVERAGE((IF(DATOS_[[Sexo]:[Sexo]]=$B62,IF(DATOS_[[AGRUP. VALOR. PTO.]:[AGRUP. VALOR. PTO.]]=$B60,IF(DATOS_[[Check Periodo Ref.]:[Check Periodo Ref.]]="Dentro",DATOS_[Conc.Sal.22]))))),
0)</f>
        <v>0</v>
      </c>
      <c r="AB62" s="170">
        <f t="array" ref="AB62">IFERROR(
AVERAGE((IF(DATOS_[[Sexo]:[Sexo]]=$B62,IF(DATOS_[[AGRUP. VALOR. PTO.]:[AGRUP. VALOR. PTO.]]=$B60,IF(DATOS_[[Check Periodo Ref.]:[Check Periodo Ref.]]="Dentro",DATOS_[Conc.Sal.23]))))),
0)</f>
        <v>0</v>
      </c>
      <c r="AC62" s="170">
        <f t="array" ref="AC62">IFERROR(
AVERAGE((IF(DATOS_[[Sexo]:[Sexo]]=$B62,IF(DATOS_[[AGRUP. VALOR. PTO.]:[AGRUP. VALOR. PTO.]]=$B60,IF(DATOS_[[Check Periodo Ref.]:[Check Periodo Ref.]]="Dentro",DATOS_[Conc.Sal.24]))))),
0)</f>
        <v>0</v>
      </c>
      <c r="AD62" s="170">
        <f t="array" ref="AD62">IFERROR(
AVERAGE((IF(DATOS_[[Sexo]:[Sexo]]=$B62,IF(DATOS_[[AGRUP. VALOR. PTO.]:[AGRUP. VALOR. PTO.]]=$B60,IF(DATOS_[[Check Periodo Ref.]:[Check Periodo Ref.]]="Dentro",DATOS_[Conc.Sal.25]))))),
0)</f>
        <v>0</v>
      </c>
      <c r="AE62" s="170">
        <f t="array" ref="AE62">IFERROR(
AVERAGE((IF(DATOS_[[Sexo]:[Sexo]]=$B62,IF(DATOS_[[AGRUP. VALOR. PTO.]:[AGRUP. VALOR. PTO.]]=$B60,IF(DATOS_[[Check Periodo Ref.]:[Check Periodo Ref.]]="Dentro",DATOS_[Conc.Sal.26]))))),
0)</f>
        <v>0</v>
      </c>
      <c r="AF62" s="170">
        <f t="array" ref="AF62">IFERROR(
AVERAGE((IF(DATOS_[[Sexo]:[Sexo]]=$B62,IF(DATOS_[[AGRUP. VALOR. PTO.]:[AGRUP. VALOR. PTO.]]=$B60,IF(DATOS_[[Check Periodo Ref.]:[Check Periodo Ref.]]="Dentro",DATOS_[Conc.Sal.27]))))),
0)</f>
        <v>0</v>
      </c>
      <c r="AG62" s="170">
        <f t="array" ref="AG62">IFERROR(
AVERAGE((IF(DATOS_[[Sexo]:[Sexo]]=$B62,IF(DATOS_[[AGRUP. VALOR. PTO.]:[AGRUP. VALOR. PTO.]]=$B60,IF(DATOS_[[Check Periodo Ref.]:[Check Periodo Ref.]]="Dentro",DATOS_[Conc.Sal.28]))))),
0)</f>
        <v>0</v>
      </c>
      <c r="AH62" s="170">
        <f t="array" ref="AH62">IFERROR(
AVERAGE((IF(DATOS_[[Sexo]:[Sexo]]=$B62,IF(DATOS_[[AGRUP. VALOR. PTO.]:[AGRUP. VALOR. PTO.]]=$B60,IF(DATOS_[[Check Periodo Ref.]:[Check Periodo Ref.]]="Dentro",DATOS_[Conc.Sal.29]))))),
0)</f>
        <v>0</v>
      </c>
      <c r="AI62" s="170">
        <f t="array" ref="AI62">IFERROR(
AVERAGE((IF(DATOS_[[Sexo]:[Sexo]]=$B62,IF(DATOS_[[AGRUP. VALOR. PTO.]:[AGRUP. VALOR. PTO.]]=$B60,IF(DATOS_[[Check Periodo Ref.]:[Check Periodo Ref.]]="Dentro",DATOS_[Conc.Sal.30]))))),
0)</f>
        <v>0</v>
      </c>
      <c r="AJ62" s="171">
        <f t="array" ref="AJ62">IFERROR(
AVERAGE(IF(DATOS_[Sexo]=$B62,IF(DATOS_[AGRUP. VALOR. PTO.]=$B60,IF(DATOS_[Check Periodo Ref.]="Dentro",DATOS_[Tot COMPL.SAL Ef],FALSE)))),
0)</f>
        <v>0</v>
      </c>
      <c r="AK62" s="172">
        <f t="array" ref="AK62">IFERROR(
AVERAGE(IF(DATOS_[Sexo]=$B62,IF(DATOS_[AGRUP. VALOR. PTO.]=$B60,IF(DATOS_[Check Periodo Ref.]="Dentro",DATOS_[TOTAL SALARIO Ef],FALSE)))),
0)</f>
        <v>0</v>
      </c>
      <c r="AL62" s="173">
        <f t="array" ref="AL62">IFERROR(
AVERAGE((IF(DATOS_[[Sexo]:[Sexo]]=$B62,IF(DATOS_[[AGRUP. VALOR. PTO.]:[AGRUP. VALOR. PTO.]]=$B60,IF(DATOS_[[Check Periodo Ref.]:[Check Periodo Ref.]]="Dentro",DATOS_[C.Extra.01]))))),
0)</f>
        <v>0</v>
      </c>
      <c r="AM62" s="173">
        <f t="array" ref="AM62">IFERROR(
AVERAGE((IF(DATOS_[[Sexo]:[Sexo]]=$B62,IF(DATOS_[[AGRUP. VALOR. PTO.]:[AGRUP. VALOR. PTO.]]=$B60,IF(DATOS_[[Check Periodo Ref.]:[Check Periodo Ref.]]="Dentro",DATOS_[C.Extra.06]))))),
0)</f>
        <v>0</v>
      </c>
      <c r="AN62" s="173">
        <f t="array" ref="AN62">IFERROR(
AVERAGE((IF(DATOS_[[Sexo]:[Sexo]]=$B62,IF(DATOS_[[AGRUP. VALOR. PTO.]:[AGRUP. VALOR. PTO.]]=$B60,IF(DATOS_[[Check Periodo Ref.]:[Check Periodo Ref.]]="Dentro",DATOS_[C.Extra.07]))))),
0)</f>
        <v>0</v>
      </c>
      <c r="AO62" s="173">
        <f t="array" ref="AO62">IFERROR(
AVERAGE((IF(DATOS_[[Sexo]:[Sexo]]=$B62,IF(DATOS_[[AGRUP. VALOR. PTO.]:[AGRUP. VALOR. PTO.]]=$B60,IF(DATOS_[[Check Periodo Ref.]:[Check Periodo Ref.]]="Dentro",DATOS_[C.Extra.08]))))),
0)</f>
        <v>0</v>
      </c>
      <c r="AP62" s="173">
        <f t="array" ref="AP62">IFERROR(
AVERAGE((IF(DATOS_[[Sexo]:[Sexo]]=$B62,IF(DATOS_[[AGRUP. VALOR. PTO.]:[AGRUP. VALOR. PTO.]]=$B60,IF(DATOS_[[Check Periodo Ref.]:[Check Periodo Ref.]]="Dentro",DATOS_[C.Extra.11]))))),
0)</f>
        <v>0</v>
      </c>
      <c r="AQ62" s="174">
        <f t="array" ref="AQ62">IFERROR(
AVERAGE(IF(DATOS_[Sexo]=$B62,IF(DATOS_[AGRUP. VALOR. PTO.]=$B60,IF(DATOS_[Check Periodo Ref.]="Dentro",DATOS_[Tot Extrasalarial Ef],FALSE)))),
0)</f>
        <v>0</v>
      </c>
      <c r="AR62" s="171">
        <f t="array" ref="AR62">IFERROR(
AVERAGE(IF(DATOS_[Sexo]=$B62,IF(DATOS_[AGRUP. VALOR. PTO.]=$B60,IF(DATOS_[Check Periodo Ref.]="Dentro",DATOS_[TOTAL Retrib Ef],FALSE)))),
0)</f>
        <v>0</v>
      </c>
    </row>
    <row r="63" spans="1:44" ht="14.4" thickBot="1" x14ac:dyDescent="0.3">
      <c r="A63" s="178" t="str">
        <f t="shared" ref="A63" si="67">+A64</f>
        <v>[ocultar]</v>
      </c>
      <c r="B63" s="153" t="s">
        <v>244</v>
      </c>
      <c r="C63" s="154"/>
      <c r="D63" s="155"/>
      <c r="E63" s="156" t="str">
        <f t="shared" ref="E63:AR63" si="68">IFERROR((E64-E65)/E64,"")</f>
        <v/>
      </c>
      <c r="F63" s="157" t="str">
        <f t="shared" si="68"/>
        <v/>
      </c>
      <c r="G63" s="158" t="str">
        <f t="shared" si="68"/>
        <v/>
      </c>
      <c r="H63" s="158" t="str">
        <f t="shared" si="68"/>
        <v/>
      </c>
      <c r="I63" s="158" t="str">
        <f t="shared" si="68"/>
        <v/>
      </c>
      <c r="J63" s="159" t="str">
        <f t="shared" si="68"/>
        <v/>
      </c>
      <c r="K63" s="160" t="str">
        <f t="shared" si="68"/>
        <v/>
      </c>
      <c r="L63" s="160" t="str">
        <f t="shared" si="68"/>
        <v/>
      </c>
      <c r="M63" s="160" t="str">
        <f t="shared" si="68"/>
        <v/>
      </c>
      <c r="N63" s="160" t="str">
        <f t="shared" si="68"/>
        <v/>
      </c>
      <c r="O63" s="160" t="str">
        <f t="shared" si="68"/>
        <v/>
      </c>
      <c r="P63" s="160" t="str">
        <f t="shared" si="68"/>
        <v/>
      </c>
      <c r="Q63" s="160" t="str">
        <f t="shared" si="68"/>
        <v/>
      </c>
      <c r="R63" s="160" t="str">
        <f t="shared" si="68"/>
        <v/>
      </c>
      <c r="S63" s="160" t="str">
        <f t="shared" si="68"/>
        <v/>
      </c>
      <c r="T63" s="160" t="str">
        <f t="shared" si="68"/>
        <v/>
      </c>
      <c r="U63" s="160" t="str">
        <f t="shared" si="68"/>
        <v/>
      </c>
      <c r="V63" s="159" t="str">
        <f t="shared" si="68"/>
        <v/>
      </c>
      <c r="W63" s="159" t="str">
        <f t="shared" si="68"/>
        <v/>
      </c>
      <c r="X63" s="159" t="str">
        <f t="shared" si="68"/>
        <v/>
      </c>
      <c r="Y63" s="159" t="str">
        <f t="shared" si="68"/>
        <v/>
      </c>
      <c r="Z63" s="159" t="str">
        <f t="shared" si="68"/>
        <v/>
      </c>
      <c r="AA63" s="159" t="str">
        <f t="shared" si="68"/>
        <v/>
      </c>
      <c r="AB63" s="159" t="str">
        <f t="shared" si="68"/>
        <v/>
      </c>
      <c r="AC63" s="159" t="str">
        <f t="shared" si="68"/>
        <v/>
      </c>
      <c r="AD63" s="159" t="str">
        <f t="shared" si="68"/>
        <v/>
      </c>
      <c r="AE63" s="159" t="str">
        <f t="shared" si="68"/>
        <v/>
      </c>
      <c r="AF63" s="159" t="str">
        <f t="shared" si="68"/>
        <v/>
      </c>
      <c r="AG63" s="159" t="str">
        <f t="shared" si="68"/>
        <v/>
      </c>
      <c r="AH63" s="159" t="str">
        <f t="shared" si="68"/>
        <v/>
      </c>
      <c r="AI63" s="159" t="str">
        <f t="shared" si="68"/>
        <v/>
      </c>
      <c r="AJ63" s="161" t="str">
        <f t="shared" si="68"/>
        <v/>
      </c>
      <c r="AK63" s="162" t="str">
        <f t="shared" si="68"/>
        <v/>
      </c>
      <c r="AL63" s="163" t="str">
        <f t="shared" si="68"/>
        <v/>
      </c>
      <c r="AM63" s="163" t="str">
        <f t="shared" si="68"/>
        <v/>
      </c>
      <c r="AN63" s="163" t="str">
        <f t="shared" si="68"/>
        <v/>
      </c>
      <c r="AO63" s="163" t="str">
        <f t="shared" si="68"/>
        <v/>
      </c>
      <c r="AP63" s="163" t="str">
        <f t="shared" si="68"/>
        <v/>
      </c>
      <c r="AQ63" s="164" t="str">
        <f t="shared" si="68"/>
        <v/>
      </c>
      <c r="AR63" s="161" t="str">
        <f t="shared" si="68"/>
        <v/>
      </c>
    </row>
    <row r="64" spans="1:44" x14ac:dyDescent="0.25">
      <c r="A64" s="178" t="str">
        <f t="shared" ref="A64" si="69">+IF(C64+C65=0,"[ocultar]","")</f>
        <v>[ocultar]</v>
      </c>
      <c r="B64" s="166" t="s">
        <v>394</v>
      </c>
      <c r="C64" s="167">
        <f t="array" ref="C64">SUM(IF($B64=DATOS_[Sexo],
IF($B63=DATOS_[AGRUP. VALOR. PTO.],
IF("Dentro"=DATOS_[Check Periodo Ref.],
1/(COUNTIFS(DATOS_[Sexo],$B64,DATOS_[AGRUP. VALOR. PTO.],$B63,DATOS_[Check Periodo Ref.],"Dentro",DATOS_[id/cod],DATOS_[id/cod]))))))</f>
        <v>0</v>
      </c>
      <c r="D64" s="168">
        <f>COUNTIFS(DATOS_[AGRUP. VALOR. PTO.],$B63,DATOS_[Sexo],$B64,DATOS_[Check Periodo Ref.],"Dentro")</f>
        <v>0</v>
      </c>
      <c r="E64" s="169">
        <f t="array" ref="E64">IFERROR(
AVERAGE(IF(DATOS_[Sexo]=$B64,IF(DATOS_[AGRUP. VALOR. PTO.]=$B63,IF(DATOS_[Check Periodo Ref.]="Dentro",DATOS_[SALARIO BASE Ef],FALSE)))),
0)</f>
        <v>0</v>
      </c>
      <c r="F64" s="170">
        <f t="array" ref="F64">IFERROR(
AVERAGE((IF(DATOS_[[Sexo]:[Sexo]]=$B64,IF(DATOS_[[AGRUP. VALOR. PTO.]:[AGRUP. VALOR. PTO.]]=$B63,IF(DATOS_[[Check Periodo Ref.]:[Check Periodo Ref.]]="Dentro",DATOS_[Conc.Sal.01]))))),
0)</f>
        <v>0</v>
      </c>
      <c r="G64" s="170">
        <f t="array" ref="G64">IFERROR(
AVERAGE((IF(DATOS_[[Sexo]:[Sexo]]=$B64,IF(DATOS_[[AGRUP. VALOR. PTO.]:[AGRUP. VALOR. PTO.]]=$B63,IF(DATOS_[[Check Periodo Ref.]:[Check Periodo Ref.]]="Dentro",DATOS_[Conc.Sal.02]))))),
0)</f>
        <v>0</v>
      </c>
      <c r="H64" s="170">
        <f t="array" ref="H64">IFERROR(
AVERAGE((IF(DATOS_[[Sexo]:[Sexo]]=$B64,IF(DATOS_[[AGRUP. VALOR. PTO.]:[AGRUP. VALOR. PTO.]]=$B63,IF(DATOS_[[Check Periodo Ref.]:[Check Periodo Ref.]]="Dentro",DATOS_[Conc.Sal.03]))))),
0)</f>
        <v>0</v>
      </c>
      <c r="I64" s="170">
        <f t="array" ref="I64">IFERROR(
AVERAGE((IF(DATOS_[[Sexo]:[Sexo]]=$B64,IF(DATOS_[[AGRUP. VALOR. PTO.]:[AGRUP. VALOR. PTO.]]=$B63,IF(DATOS_[[Check Periodo Ref.]:[Check Periodo Ref.]]="Dentro",DATOS_[Conc.Sal.04]))))),
0)</f>
        <v>0</v>
      </c>
      <c r="J64" s="170">
        <f t="array" ref="J64">IFERROR(
AVERAGE((IF(DATOS_[[Sexo]:[Sexo]]=$B64,IF(DATOS_[[AGRUP. VALOR. PTO.]:[AGRUP. VALOR. PTO.]]=$B63,IF(DATOS_[[Check Periodo Ref.]:[Check Periodo Ref.]]="Dentro",DATOS_[Conc.Sal.05]))))),
0)</f>
        <v>0</v>
      </c>
      <c r="K64" s="170">
        <f t="array" ref="K64">IFERROR(
AVERAGE((IF(DATOS_[[Sexo]:[Sexo]]=$B64,IF(DATOS_[[AGRUP. VALOR. PTO.]:[AGRUP. VALOR. PTO.]]=$B63,IF(DATOS_[[Check Periodo Ref.]:[Check Periodo Ref.]]="Dentro",DATOS_[Conc.Sal.06]))))),
0)</f>
        <v>0</v>
      </c>
      <c r="L64" s="170">
        <f t="array" ref="L64">IFERROR(
AVERAGE((IF(DATOS_[[Sexo]:[Sexo]]=$B64,IF(DATOS_[[AGRUP. VALOR. PTO.]:[AGRUP. VALOR. PTO.]]=$B63,IF(DATOS_[[Check Periodo Ref.]:[Check Periodo Ref.]]="Dentro",DATOS_[Conc.Sal.07]))))),
0)</f>
        <v>0</v>
      </c>
      <c r="M64" s="170">
        <f t="array" ref="M64">IFERROR(
AVERAGE((IF(DATOS_[[Sexo]:[Sexo]]=$B64,IF(DATOS_[[AGRUP. VALOR. PTO.]:[AGRUP. VALOR. PTO.]]=$B63,IF(DATOS_[[Check Periodo Ref.]:[Check Periodo Ref.]]="Dentro",DATOS_[Conc.Sal.08]))))),
0)</f>
        <v>0</v>
      </c>
      <c r="N64" s="170">
        <f t="array" ref="N64">IFERROR(
AVERAGE((IF(DATOS_[[Sexo]:[Sexo]]=$B64,IF(DATOS_[[AGRUP. VALOR. PTO.]:[AGRUP. VALOR. PTO.]]=$B63,IF(DATOS_[[Check Periodo Ref.]:[Check Periodo Ref.]]="Dentro",DATOS_[Conc.Sal.09]))))),
0)</f>
        <v>0</v>
      </c>
      <c r="O64" s="170">
        <f t="array" ref="O64">IFERROR(
AVERAGE((IF(DATOS_[[Sexo]:[Sexo]]=$B64,IF(DATOS_[[AGRUP. VALOR. PTO.]:[AGRUP. VALOR. PTO.]]=$B63,IF(DATOS_[[Check Periodo Ref.]:[Check Periodo Ref.]]="Dentro",DATOS_[Conc.Sal.10]))))),
0)</f>
        <v>0</v>
      </c>
      <c r="P64" s="170">
        <f t="array" ref="P64">IFERROR(
AVERAGE((IF(DATOS_[[Sexo]:[Sexo]]=$B64,IF(DATOS_[[AGRUP. VALOR. PTO.]:[AGRUP. VALOR. PTO.]]=$B63,IF(DATOS_[[Check Periodo Ref.]:[Check Periodo Ref.]]="Dentro",DATOS_[Conc.Sal.11]))))),
0)</f>
        <v>0</v>
      </c>
      <c r="Q64" s="170">
        <f t="array" ref="Q64">IFERROR(
AVERAGE((IF(DATOS_[[Sexo]:[Sexo]]=$B64,IF(DATOS_[[AGRUP. VALOR. PTO.]:[AGRUP. VALOR. PTO.]]=$B63,IF(DATOS_[[Check Periodo Ref.]:[Check Periodo Ref.]]="Dentro",DATOS_[Conc.Sal.12]))))),
0)</f>
        <v>0</v>
      </c>
      <c r="R64" s="170">
        <f t="array" ref="R64">IFERROR(
AVERAGE((IF(DATOS_[[Sexo]:[Sexo]]=$B64,IF(DATOS_[[AGRUP. VALOR. PTO.]:[AGRUP. VALOR. PTO.]]=$B63,IF(DATOS_[[Check Periodo Ref.]:[Check Periodo Ref.]]="Dentro",DATOS_[Conc.Sal.13]))))),
0)</f>
        <v>0</v>
      </c>
      <c r="S64" s="170">
        <f t="array" ref="S64">IFERROR(
AVERAGE((IF(DATOS_[[Sexo]:[Sexo]]=$B64,IF(DATOS_[[AGRUP. VALOR. PTO.]:[AGRUP. VALOR. PTO.]]=$B63,IF(DATOS_[[Check Periodo Ref.]:[Check Periodo Ref.]]="Dentro",DATOS_[Conc.Sal.14]))))),
0)</f>
        <v>0</v>
      </c>
      <c r="T64" s="170">
        <f t="array" ref="T64">IFERROR(
AVERAGE((IF(DATOS_[[Sexo]:[Sexo]]=$B64,IF(DATOS_[[AGRUP. VALOR. PTO.]:[AGRUP. VALOR. PTO.]]=$B63,IF(DATOS_[[Check Periodo Ref.]:[Check Periodo Ref.]]="Dentro",DATOS_[Conc.Sal.15]))))),
0)</f>
        <v>0</v>
      </c>
      <c r="U64" s="170">
        <f t="array" ref="U64">IFERROR(
AVERAGE((IF(DATOS_[[Sexo]:[Sexo]]=$B64,IF(DATOS_[[AGRUP. VALOR. PTO.]:[AGRUP. VALOR. PTO.]]=$B63,IF(DATOS_[[Check Periodo Ref.]:[Check Periodo Ref.]]="Dentro",DATOS_[Conc.Sal.16]))))),
0)</f>
        <v>0</v>
      </c>
      <c r="V64" s="170">
        <f t="array" ref="V64">IFERROR(
AVERAGE((IF(DATOS_[[Sexo]:[Sexo]]=$B64,IF(DATOS_[[AGRUP. VALOR. PTO.]:[AGRUP. VALOR. PTO.]]=$B63,IF(DATOS_[[Check Periodo Ref.]:[Check Periodo Ref.]]="Dentro",DATOS_[Conc.Sal.17]))))),
0)</f>
        <v>0</v>
      </c>
      <c r="W64" s="170">
        <f t="array" ref="W64">IFERROR(
AVERAGE((IF(DATOS_[[Sexo]:[Sexo]]=$B64,IF(DATOS_[[AGRUP. VALOR. PTO.]:[AGRUP. VALOR. PTO.]]=$B63,IF(DATOS_[[Check Periodo Ref.]:[Check Periodo Ref.]]="Dentro",DATOS_[Conc.Sal.18]))))),
0)</f>
        <v>0</v>
      </c>
      <c r="X64" s="170">
        <f t="array" ref="X64">IFERROR(
AVERAGE((IF(DATOS_[[Sexo]:[Sexo]]=$B64,IF(DATOS_[[AGRUP. VALOR. PTO.]:[AGRUP. VALOR. PTO.]]=$B63,IF(DATOS_[[Check Periodo Ref.]:[Check Periodo Ref.]]="Dentro",DATOS_[Conc.Sal.19]))))),
0)</f>
        <v>0</v>
      </c>
      <c r="Y64" s="170">
        <f t="array" ref="Y64">IFERROR(
AVERAGE((IF(DATOS_[[Sexo]:[Sexo]]=$B64,IF(DATOS_[[AGRUP. VALOR. PTO.]:[AGRUP. VALOR. PTO.]]=$B63,IF(DATOS_[[Check Periodo Ref.]:[Check Periodo Ref.]]="Dentro",DATOS_[Conc.Sal.20]))))),
0)</f>
        <v>0</v>
      </c>
      <c r="Z64" s="170">
        <f t="array" ref="Z64">IFERROR(
AVERAGE((IF(DATOS_[[Sexo]:[Sexo]]=$B64,IF(DATOS_[[AGRUP. VALOR. PTO.]:[AGRUP. VALOR. PTO.]]=$B63,IF(DATOS_[[Check Periodo Ref.]:[Check Periodo Ref.]]="Dentro",DATOS_[Conc.Sal.21]))))),
0)</f>
        <v>0</v>
      </c>
      <c r="AA64" s="170">
        <f t="array" ref="AA64">IFERROR(
AVERAGE((IF(DATOS_[[Sexo]:[Sexo]]=$B64,IF(DATOS_[[AGRUP. VALOR. PTO.]:[AGRUP. VALOR. PTO.]]=$B63,IF(DATOS_[[Check Periodo Ref.]:[Check Periodo Ref.]]="Dentro",DATOS_[Conc.Sal.22]))))),
0)</f>
        <v>0</v>
      </c>
      <c r="AB64" s="170">
        <f t="array" ref="AB64">IFERROR(
AVERAGE((IF(DATOS_[[Sexo]:[Sexo]]=$B64,IF(DATOS_[[AGRUP. VALOR. PTO.]:[AGRUP. VALOR. PTO.]]=$B63,IF(DATOS_[[Check Periodo Ref.]:[Check Periodo Ref.]]="Dentro",DATOS_[Conc.Sal.23]))))),
0)</f>
        <v>0</v>
      </c>
      <c r="AC64" s="170">
        <f t="array" ref="AC64">IFERROR(
AVERAGE((IF(DATOS_[[Sexo]:[Sexo]]=$B64,IF(DATOS_[[AGRUP. VALOR. PTO.]:[AGRUP. VALOR. PTO.]]=$B63,IF(DATOS_[[Check Periodo Ref.]:[Check Periodo Ref.]]="Dentro",DATOS_[Conc.Sal.24]))))),
0)</f>
        <v>0</v>
      </c>
      <c r="AD64" s="170">
        <f t="array" ref="AD64">IFERROR(
AVERAGE((IF(DATOS_[[Sexo]:[Sexo]]=$B64,IF(DATOS_[[AGRUP. VALOR. PTO.]:[AGRUP. VALOR. PTO.]]=$B63,IF(DATOS_[[Check Periodo Ref.]:[Check Periodo Ref.]]="Dentro",DATOS_[Conc.Sal.25]))))),
0)</f>
        <v>0</v>
      </c>
      <c r="AE64" s="170">
        <f t="array" ref="AE64">IFERROR(
AVERAGE((IF(DATOS_[[Sexo]:[Sexo]]=$B64,IF(DATOS_[[AGRUP. VALOR. PTO.]:[AGRUP. VALOR. PTO.]]=$B63,IF(DATOS_[[Check Periodo Ref.]:[Check Periodo Ref.]]="Dentro",DATOS_[Conc.Sal.26]))))),
0)</f>
        <v>0</v>
      </c>
      <c r="AF64" s="170">
        <f t="array" ref="AF64">IFERROR(
AVERAGE((IF(DATOS_[[Sexo]:[Sexo]]=$B64,IF(DATOS_[[AGRUP. VALOR. PTO.]:[AGRUP. VALOR. PTO.]]=$B63,IF(DATOS_[[Check Periodo Ref.]:[Check Periodo Ref.]]="Dentro",DATOS_[Conc.Sal.27]))))),
0)</f>
        <v>0</v>
      </c>
      <c r="AG64" s="170">
        <f t="array" ref="AG64">IFERROR(
AVERAGE((IF(DATOS_[[Sexo]:[Sexo]]=$B64,IF(DATOS_[[AGRUP. VALOR. PTO.]:[AGRUP. VALOR. PTO.]]=$B63,IF(DATOS_[[Check Periodo Ref.]:[Check Periodo Ref.]]="Dentro",DATOS_[Conc.Sal.28]))))),
0)</f>
        <v>0</v>
      </c>
      <c r="AH64" s="170">
        <f t="array" ref="AH64">IFERROR(
AVERAGE((IF(DATOS_[[Sexo]:[Sexo]]=$B64,IF(DATOS_[[AGRUP. VALOR. PTO.]:[AGRUP. VALOR. PTO.]]=$B63,IF(DATOS_[[Check Periodo Ref.]:[Check Periodo Ref.]]="Dentro",DATOS_[Conc.Sal.29]))))),
0)</f>
        <v>0</v>
      </c>
      <c r="AI64" s="170">
        <f t="array" ref="AI64">IFERROR(
AVERAGE((IF(DATOS_[[Sexo]:[Sexo]]=$B64,IF(DATOS_[[AGRUP. VALOR. PTO.]:[AGRUP. VALOR. PTO.]]=$B63,IF(DATOS_[[Check Periodo Ref.]:[Check Periodo Ref.]]="Dentro",DATOS_[Conc.Sal.30]))))),
0)</f>
        <v>0</v>
      </c>
      <c r="AJ64" s="171">
        <f t="array" ref="AJ64">IFERROR(
AVERAGE(IF(DATOS_[Sexo]=$B64,IF(DATOS_[AGRUP. VALOR. PTO.]=$B63,IF(DATOS_[Check Periodo Ref.]="Dentro",DATOS_[Tot COMPL.SAL Ef],FALSE)))),
0)</f>
        <v>0</v>
      </c>
      <c r="AK64" s="172">
        <f t="array" ref="AK64">IFERROR(
AVERAGE(IF(DATOS_[Sexo]=$B64,IF(DATOS_[AGRUP. VALOR. PTO.]=$B63,IF(DATOS_[Check Periodo Ref.]="Dentro",DATOS_[TOTAL SALARIO Ef],FALSE)))),
0)</f>
        <v>0</v>
      </c>
      <c r="AL64" s="173">
        <f t="array" ref="AL64">IFERROR(
AVERAGE((IF(DATOS_[[Sexo]:[Sexo]]=$B64,IF(DATOS_[[AGRUP. VALOR. PTO.]:[AGRUP. VALOR. PTO.]]=$B63,IF(DATOS_[[Check Periodo Ref.]:[Check Periodo Ref.]]="Dentro",DATOS_[C.Extra.01]))))),
0)</f>
        <v>0</v>
      </c>
      <c r="AM64" s="173">
        <f t="array" ref="AM64">IFERROR(
AVERAGE((IF(DATOS_[[Sexo]:[Sexo]]=$B64,IF(DATOS_[[AGRUP. VALOR. PTO.]:[AGRUP. VALOR. PTO.]]=$B63,IF(DATOS_[[Check Periodo Ref.]:[Check Periodo Ref.]]="Dentro",DATOS_[C.Extra.06]))))),
0)</f>
        <v>0</v>
      </c>
      <c r="AN64" s="173">
        <f t="array" ref="AN64">IFERROR(
AVERAGE((IF(DATOS_[[Sexo]:[Sexo]]=$B64,IF(DATOS_[[AGRUP. VALOR. PTO.]:[AGRUP. VALOR. PTO.]]=$B63,IF(DATOS_[[Check Periodo Ref.]:[Check Periodo Ref.]]="Dentro",DATOS_[C.Extra.07]))))),
0)</f>
        <v>0</v>
      </c>
      <c r="AO64" s="173">
        <f t="array" ref="AO64">IFERROR(
AVERAGE((IF(DATOS_[[Sexo]:[Sexo]]=$B64,IF(DATOS_[[AGRUP. VALOR. PTO.]:[AGRUP. VALOR. PTO.]]=$B63,IF(DATOS_[[Check Periodo Ref.]:[Check Periodo Ref.]]="Dentro",DATOS_[C.Extra.08]))))),
0)</f>
        <v>0</v>
      </c>
      <c r="AP64" s="173">
        <f t="array" ref="AP64">IFERROR(
AVERAGE((IF(DATOS_[[Sexo]:[Sexo]]=$B64,IF(DATOS_[[AGRUP. VALOR. PTO.]:[AGRUP. VALOR. PTO.]]=$B63,IF(DATOS_[[Check Periodo Ref.]:[Check Periodo Ref.]]="Dentro",DATOS_[C.Extra.11]))))),
0)</f>
        <v>0</v>
      </c>
      <c r="AQ64" s="174">
        <f t="array" ref="AQ64">IFERROR(
AVERAGE(IF(DATOS_[Sexo]=$B64,IF(DATOS_[AGRUP. VALOR. PTO.]=$B63,IF(DATOS_[Check Periodo Ref.]="Dentro",DATOS_[Tot Extrasalarial Ef],FALSE)))),
0)</f>
        <v>0</v>
      </c>
      <c r="AR64" s="171">
        <f t="array" ref="AR64">IFERROR(
AVERAGE(IF(DATOS_[Sexo]=$B64,IF(DATOS_[AGRUP. VALOR. PTO.]=$B63,IF(DATOS_[Check Periodo Ref.]="Dentro",DATOS_[TOTAL Retrib Ef],FALSE)))),
0)</f>
        <v>0</v>
      </c>
    </row>
    <row r="65" spans="1:44" x14ac:dyDescent="0.25">
      <c r="A65" s="178" t="str">
        <f t="shared" ref="A65" si="70">+A64</f>
        <v>[ocultar]</v>
      </c>
      <c r="B65" s="166" t="s">
        <v>521</v>
      </c>
      <c r="C65" s="167">
        <f t="array" ref="C65">SUM(IF($B65=DATOS_[Sexo],
IF($B63=DATOS_[AGRUP. VALOR. PTO.],
IF("Dentro"=DATOS_[Check Periodo Ref.],
1/(COUNTIFS(DATOS_[Sexo],$B65,DATOS_[AGRUP. VALOR. PTO.],$B63,DATOS_[Check Periodo Ref.],"Dentro",DATOS_[id/cod],DATOS_[id/cod]))))))</f>
        <v>0</v>
      </c>
      <c r="D65" s="168">
        <f>COUNTIFS(DATOS_[AGRUP. VALOR. PTO.],$B63,DATOS_[Sexo],$B65,DATOS_[Check Periodo Ref.],"Dentro")</f>
        <v>0</v>
      </c>
      <c r="E65" s="169">
        <f t="array" ref="E65">IFERROR(
AVERAGE(IF(DATOS_[Sexo]=$B65,IF(DATOS_[AGRUP. VALOR. PTO.]=$B63,IF(DATOS_[Check Periodo Ref.]="Dentro",DATOS_[SALARIO BASE Ef],FALSE)))),
0)</f>
        <v>0</v>
      </c>
      <c r="F65" s="170">
        <f t="array" ref="F65">IFERROR(
AVERAGE((IF(DATOS_[[Sexo]:[Sexo]]=$B65,IF(DATOS_[[AGRUP. VALOR. PTO.]:[AGRUP. VALOR. PTO.]]=$B63,IF(DATOS_[[Check Periodo Ref.]:[Check Periodo Ref.]]="Dentro",DATOS_[Conc.Sal.01]))))),
0)</f>
        <v>0</v>
      </c>
      <c r="G65" s="170">
        <f t="array" ref="G65">IFERROR(
AVERAGE((IF(DATOS_[[Sexo]:[Sexo]]=$B65,IF(DATOS_[[AGRUP. VALOR. PTO.]:[AGRUP. VALOR. PTO.]]=$B63,IF(DATOS_[[Check Periodo Ref.]:[Check Periodo Ref.]]="Dentro",DATOS_[Conc.Sal.02]))))),
0)</f>
        <v>0</v>
      </c>
      <c r="H65" s="170">
        <f t="array" ref="H65">IFERROR(
AVERAGE((IF(DATOS_[[Sexo]:[Sexo]]=$B65,IF(DATOS_[[AGRUP. VALOR. PTO.]:[AGRUP. VALOR. PTO.]]=$B63,IF(DATOS_[[Check Periodo Ref.]:[Check Periodo Ref.]]="Dentro",DATOS_[Conc.Sal.03]))))),
0)</f>
        <v>0</v>
      </c>
      <c r="I65" s="170">
        <f t="array" ref="I65">IFERROR(
AVERAGE((IF(DATOS_[[Sexo]:[Sexo]]=$B65,IF(DATOS_[[AGRUP. VALOR. PTO.]:[AGRUP. VALOR. PTO.]]=$B63,IF(DATOS_[[Check Periodo Ref.]:[Check Periodo Ref.]]="Dentro",DATOS_[Conc.Sal.04]))))),
0)</f>
        <v>0</v>
      </c>
      <c r="J65" s="170">
        <f t="array" ref="J65">IFERROR(
AVERAGE((IF(DATOS_[[Sexo]:[Sexo]]=$B65,IF(DATOS_[[AGRUP. VALOR. PTO.]:[AGRUP. VALOR. PTO.]]=$B63,IF(DATOS_[[Check Periodo Ref.]:[Check Periodo Ref.]]="Dentro",DATOS_[Conc.Sal.05]))))),
0)</f>
        <v>0</v>
      </c>
      <c r="K65" s="170">
        <f t="array" ref="K65">IFERROR(
AVERAGE((IF(DATOS_[[Sexo]:[Sexo]]=$B65,IF(DATOS_[[AGRUP. VALOR. PTO.]:[AGRUP. VALOR. PTO.]]=$B63,IF(DATOS_[[Check Periodo Ref.]:[Check Periodo Ref.]]="Dentro",DATOS_[Conc.Sal.06]))))),
0)</f>
        <v>0</v>
      </c>
      <c r="L65" s="170">
        <f t="array" ref="L65">IFERROR(
AVERAGE((IF(DATOS_[[Sexo]:[Sexo]]=$B65,IF(DATOS_[[AGRUP. VALOR. PTO.]:[AGRUP. VALOR. PTO.]]=$B63,IF(DATOS_[[Check Periodo Ref.]:[Check Periodo Ref.]]="Dentro",DATOS_[Conc.Sal.07]))))),
0)</f>
        <v>0</v>
      </c>
      <c r="M65" s="170">
        <f t="array" ref="M65">IFERROR(
AVERAGE((IF(DATOS_[[Sexo]:[Sexo]]=$B65,IF(DATOS_[[AGRUP. VALOR. PTO.]:[AGRUP. VALOR. PTO.]]=$B63,IF(DATOS_[[Check Periodo Ref.]:[Check Periodo Ref.]]="Dentro",DATOS_[Conc.Sal.08]))))),
0)</f>
        <v>0</v>
      </c>
      <c r="N65" s="170">
        <f t="array" ref="N65">IFERROR(
AVERAGE((IF(DATOS_[[Sexo]:[Sexo]]=$B65,IF(DATOS_[[AGRUP. VALOR. PTO.]:[AGRUP. VALOR. PTO.]]=$B63,IF(DATOS_[[Check Periodo Ref.]:[Check Periodo Ref.]]="Dentro",DATOS_[Conc.Sal.09]))))),
0)</f>
        <v>0</v>
      </c>
      <c r="O65" s="170">
        <f t="array" ref="O65">IFERROR(
AVERAGE((IF(DATOS_[[Sexo]:[Sexo]]=$B65,IF(DATOS_[[AGRUP. VALOR. PTO.]:[AGRUP. VALOR. PTO.]]=$B63,IF(DATOS_[[Check Periodo Ref.]:[Check Periodo Ref.]]="Dentro",DATOS_[Conc.Sal.10]))))),
0)</f>
        <v>0</v>
      </c>
      <c r="P65" s="170">
        <f t="array" ref="P65">IFERROR(
AVERAGE((IF(DATOS_[[Sexo]:[Sexo]]=$B65,IF(DATOS_[[AGRUP. VALOR. PTO.]:[AGRUP. VALOR. PTO.]]=$B63,IF(DATOS_[[Check Periodo Ref.]:[Check Periodo Ref.]]="Dentro",DATOS_[Conc.Sal.11]))))),
0)</f>
        <v>0</v>
      </c>
      <c r="Q65" s="170">
        <f t="array" ref="Q65">IFERROR(
AVERAGE((IF(DATOS_[[Sexo]:[Sexo]]=$B65,IF(DATOS_[[AGRUP. VALOR. PTO.]:[AGRUP. VALOR. PTO.]]=$B63,IF(DATOS_[[Check Periodo Ref.]:[Check Periodo Ref.]]="Dentro",DATOS_[Conc.Sal.12]))))),
0)</f>
        <v>0</v>
      </c>
      <c r="R65" s="170">
        <f t="array" ref="R65">IFERROR(
AVERAGE((IF(DATOS_[[Sexo]:[Sexo]]=$B65,IF(DATOS_[[AGRUP. VALOR. PTO.]:[AGRUP. VALOR. PTO.]]=$B63,IF(DATOS_[[Check Periodo Ref.]:[Check Periodo Ref.]]="Dentro",DATOS_[Conc.Sal.13]))))),
0)</f>
        <v>0</v>
      </c>
      <c r="S65" s="170">
        <f t="array" ref="S65">IFERROR(
AVERAGE((IF(DATOS_[[Sexo]:[Sexo]]=$B65,IF(DATOS_[[AGRUP. VALOR. PTO.]:[AGRUP. VALOR. PTO.]]=$B63,IF(DATOS_[[Check Periodo Ref.]:[Check Periodo Ref.]]="Dentro",DATOS_[Conc.Sal.14]))))),
0)</f>
        <v>0</v>
      </c>
      <c r="T65" s="170">
        <f t="array" ref="T65">IFERROR(
AVERAGE((IF(DATOS_[[Sexo]:[Sexo]]=$B65,IF(DATOS_[[AGRUP. VALOR. PTO.]:[AGRUP. VALOR. PTO.]]=$B63,IF(DATOS_[[Check Periodo Ref.]:[Check Periodo Ref.]]="Dentro",DATOS_[Conc.Sal.15]))))),
0)</f>
        <v>0</v>
      </c>
      <c r="U65" s="170">
        <f t="array" ref="U65">IFERROR(
AVERAGE((IF(DATOS_[[Sexo]:[Sexo]]=$B65,IF(DATOS_[[AGRUP. VALOR. PTO.]:[AGRUP. VALOR. PTO.]]=$B63,IF(DATOS_[[Check Periodo Ref.]:[Check Periodo Ref.]]="Dentro",DATOS_[Conc.Sal.16]))))),
0)</f>
        <v>0</v>
      </c>
      <c r="V65" s="170">
        <f t="array" ref="V65">IFERROR(
AVERAGE((IF(DATOS_[[Sexo]:[Sexo]]=$B65,IF(DATOS_[[AGRUP. VALOR. PTO.]:[AGRUP. VALOR. PTO.]]=$B63,IF(DATOS_[[Check Periodo Ref.]:[Check Periodo Ref.]]="Dentro",DATOS_[Conc.Sal.17]))))),
0)</f>
        <v>0</v>
      </c>
      <c r="W65" s="170">
        <f t="array" ref="W65">IFERROR(
AVERAGE((IF(DATOS_[[Sexo]:[Sexo]]=$B65,IF(DATOS_[[AGRUP. VALOR. PTO.]:[AGRUP. VALOR. PTO.]]=$B63,IF(DATOS_[[Check Periodo Ref.]:[Check Periodo Ref.]]="Dentro",DATOS_[Conc.Sal.18]))))),
0)</f>
        <v>0</v>
      </c>
      <c r="X65" s="170">
        <f t="array" ref="X65">IFERROR(
AVERAGE((IF(DATOS_[[Sexo]:[Sexo]]=$B65,IF(DATOS_[[AGRUP. VALOR. PTO.]:[AGRUP. VALOR. PTO.]]=$B63,IF(DATOS_[[Check Periodo Ref.]:[Check Periodo Ref.]]="Dentro",DATOS_[Conc.Sal.19]))))),
0)</f>
        <v>0</v>
      </c>
      <c r="Y65" s="170">
        <f t="array" ref="Y65">IFERROR(
AVERAGE((IF(DATOS_[[Sexo]:[Sexo]]=$B65,IF(DATOS_[[AGRUP. VALOR. PTO.]:[AGRUP. VALOR. PTO.]]=$B63,IF(DATOS_[[Check Periodo Ref.]:[Check Periodo Ref.]]="Dentro",DATOS_[Conc.Sal.20]))))),
0)</f>
        <v>0</v>
      </c>
      <c r="Z65" s="170">
        <f t="array" ref="Z65">IFERROR(
AVERAGE((IF(DATOS_[[Sexo]:[Sexo]]=$B65,IF(DATOS_[[AGRUP. VALOR. PTO.]:[AGRUP. VALOR. PTO.]]=$B63,IF(DATOS_[[Check Periodo Ref.]:[Check Periodo Ref.]]="Dentro",DATOS_[Conc.Sal.21]))))),
0)</f>
        <v>0</v>
      </c>
      <c r="AA65" s="170">
        <f t="array" ref="AA65">IFERROR(
AVERAGE((IF(DATOS_[[Sexo]:[Sexo]]=$B65,IF(DATOS_[[AGRUP. VALOR. PTO.]:[AGRUP. VALOR. PTO.]]=$B63,IF(DATOS_[[Check Periodo Ref.]:[Check Periodo Ref.]]="Dentro",DATOS_[Conc.Sal.22]))))),
0)</f>
        <v>0</v>
      </c>
      <c r="AB65" s="170">
        <f t="array" ref="AB65">IFERROR(
AVERAGE((IF(DATOS_[[Sexo]:[Sexo]]=$B65,IF(DATOS_[[AGRUP. VALOR. PTO.]:[AGRUP. VALOR. PTO.]]=$B63,IF(DATOS_[[Check Periodo Ref.]:[Check Periodo Ref.]]="Dentro",DATOS_[Conc.Sal.23]))))),
0)</f>
        <v>0</v>
      </c>
      <c r="AC65" s="170">
        <f t="array" ref="AC65">IFERROR(
AVERAGE((IF(DATOS_[[Sexo]:[Sexo]]=$B65,IF(DATOS_[[AGRUP. VALOR. PTO.]:[AGRUP. VALOR. PTO.]]=$B63,IF(DATOS_[[Check Periodo Ref.]:[Check Periodo Ref.]]="Dentro",DATOS_[Conc.Sal.24]))))),
0)</f>
        <v>0</v>
      </c>
      <c r="AD65" s="170">
        <f t="array" ref="AD65">IFERROR(
AVERAGE((IF(DATOS_[[Sexo]:[Sexo]]=$B65,IF(DATOS_[[AGRUP. VALOR. PTO.]:[AGRUP. VALOR. PTO.]]=$B63,IF(DATOS_[[Check Periodo Ref.]:[Check Periodo Ref.]]="Dentro",DATOS_[Conc.Sal.25]))))),
0)</f>
        <v>0</v>
      </c>
      <c r="AE65" s="170">
        <f t="array" ref="AE65">IFERROR(
AVERAGE((IF(DATOS_[[Sexo]:[Sexo]]=$B65,IF(DATOS_[[AGRUP. VALOR. PTO.]:[AGRUP. VALOR. PTO.]]=$B63,IF(DATOS_[[Check Periodo Ref.]:[Check Periodo Ref.]]="Dentro",DATOS_[Conc.Sal.26]))))),
0)</f>
        <v>0</v>
      </c>
      <c r="AF65" s="170">
        <f t="array" ref="AF65">IFERROR(
AVERAGE((IF(DATOS_[[Sexo]:[Sexo]]=$B65,IF(DATOS_[[AGRUP. VALOR. PTO.]:[AGRUP. VALOR. PTO.]]=$B63,IF(DATOS_[[Check Periodo Ref.]:[Check Periodo Ref.]]="Dentro",DATOS_[Conc.Sal.27]))))),
0)</f>
        <v>0</v>
      </c>
      <c r="AG65" s="170">
        <f t="array" ref="AG65">IFERROR(
AVERAGE((IF(DATOS_[[Sexo]:[Sexo]]=$B65,IF(DATOS_[[AGRUP. VALOR. PTO.]:[AGRUP. VALOR. PTO.]]=$B63,IF(DATOS_[[Check Periodo Ref.]:[Check Periodo Ref.]]="Dentro",DATOS_[Conc.Sal.28]))))),
0)</f>
        <v>0</v>
      </c>
      <c r="AH65" s="170">
        <f t="array" ref="AH65">IFERROR(
AVERAGE((IF(DATOS_[[Sexo]:[Sexo]]=$B65,IF(DATOS_[[AGRUP. VALOR. PTO.]:[AGRUP. VALOR. PTO.]]=$B63,IF(DATOS_[[Check Periodo Ref.]:[Check Periodo Ref.]]="Dentro",DATOS_[Conc.Sal.29]))))),
0)</f>
        <v>0</v>
      </c>
      <c r="AI65" s="170">
        <f t="array" ref="AI65">IFERROR(
AVERAGE((IF(DATOS_[[Sexo]:[Sexo]]=$B65,IF(DATOS_[[AGRUP. VALOR. PTO.]:[AGRUP. VALOR. PTO.]]=$B63,IF(DATOS_[[Check Periodo Ref.]:[Check Periodo Ref.]]="Dentro",DATOS_[Conc.Sal.30]))))),
0)</f>
        <v>0</v>
      </c>
      <c r="AJ65" s="171">
        <f t="array" ref="AJ65">IFERROR(
AVERAGE(IF(DATOS_[Sexo]=$B65,IF(DATOS_[AGRUP. VALOR. PTO.]=$B63,IF(DATOS_[Check Periodo Ref.]="Dentro",DATOS_[Tot COMPL.SAL Ef],FALSE)))),
0)</f>
        <v>0</v>
      </c>
      <c r="AK65" s="172">
        <f t="array" ref="AK65">IFERROR(
AVERAGE(IF(DATOS_[Sexo]=$B65,IF(DATOS_[AGRUP. VALOR. PTO.]=$B63,IF(DATOS_[Check Periodo Ref.]="Dentro",DATOS_[TOTAL SALARIO Ef],FALSE)))),
0)</f>
        <v>0</v>
      </c>
      <c r="AL65" s="173">
        <f t="array" ref="AL65">IFERROR(
AVERAGE((IF(DATOS_[[Sexo]:[Sexo]]=$B65,IF(DATOS_[[AGRUP. VALOR. PTO.]:[AGRUP. VALOR. PTO.]]=$B63,IF(DATOS_[[Check Periodo Ref.]:[Check Periodo Ref.]]="Dentro",DATOS_[C.Extra.01]))))),
0)</f>
        <v>0</v>
      </c>
      <c r="AM65" s="173">
        <f t="array" ref="AM65">IFERROR(
AVERAGE((IF(DATOS_[[Sexo]:[Sexo]]=$B65,IF(DATOS_[[AGRUP. VALOR. PTO.]:[AGRUP. VALOR. PTO.]]=$B63,IF(DATOS_[[Check Periodo Ref.]:[Check Periodo Ref.]]="Dentro",DATOS_[C.Extra.06]))))),
0)</f>
        <v>0</v>
      </c>
      <c r="AN65" s="173">
        <f t="array" ref="AN65">IFERROR(
AVERAGE((IF(DATOS_[[Sexo]:[Sexo]]=$B65,IF(DATOS_[[AGRUP. VALOR. PTO.]:[AGRUP. VALOR. PTO.]]=$B63,IF(DATOS_[[Check Periodo Ref.]:[Check Periodo Ref.]]="Dentro",DATOS_[C.Extra.07]))))),
0)</f>
        <v>0</v>
      </c>
      <c r="AO65" s="173">
        <f t="array" ref="AO65">IFERROR(
AVERAGE((IF(DATOS_[[Sexo]:[Sexo]]=$B65,IF(DATOS_[[AGRUP. VALOR. PTO.]:[AGRUP. VALOR. PTO.]]=$B63,IF(DATOS_[[Check Periodo Ref.]:[Check Periodo Ref.]]="Dentro",DATOS_[C.Extra.08]))))),
0)</f>
        <v>0</v>
      </c>
      <c r="AP65" s="173">
        <f t="array" ref="AP65">IFERROR(
AVERAGE((IF(DATOS_[[Sexo]:[Sexo]]=$B65,IF(DATOS_[[AGRUP. VALOR. PTO.]:[AGRUP. VALOR. PTO.]]=$B63,IF(DATOS_[[Check Periodo Ref.]:[Check Periodo Ref.]]="Dentro",DATOS_[C.Extra.11]))))),
0)</f>
        <v>0</v>
      </c>
      <c r="AQ65" s="174">
        <f t="array" ref="AQ65">IFERROR(
AVERAGE(IF(DATOS_[Sexo]=$B65,IF(DATOS_[AGRUP. VALOR. PTO.]=$B63,IF(DATOS_[Check Periodo Ref.]="Dentro",DATOS_[Tot Extrasalarial Ef],FALSE)))),
0)</f>
        <v>0</v>
      </c>
      <c r="AR65" s="171">
        <f t="array" ref="AR65">IFERROR(
AVERAGE(IF(DATOS_[Sexo]=$B65,IF(DATOS_[AGRUP. VALOR. PTO.]=$B63,IF(DATOS_[Check Periodo Ref.]="Dentro",DATOS_[TOTAL Retrib Ef],FALSE)))),
0)</f>
        <v>0</v>
      </c>
    </row>
    <row r="66" spans="1:44" ht="14.4" thickBot="1" x14ac:dyDescent="0.3">
      <c r="A66" s="178" t="str">
        <f t="shared" ref="A66" si="71">+A67</f>
        <v>[ocultar]</v>
      </c>
      <c r="B66" s="153" t="s">
        <v>249</v>
      </c>
      <c r="C66" s="154"/>
      <c r="D66" s="155"/>
      <c r="E66" s="156" t="str">
        <f t="shared" ref="E66:AR66" si="72">IFERROR((E67-E68)/E67,"")</f>
        <v/>
      </c>
      <c r="F66" s="157" t="str">
        <f t="shared" si="72"/>
        <v/>
      </c>
      <c r="G66" s="158" t="str">
        <f t="shared" si="72"/>
        <v/>
      </c>
      <c r="H66" s="158" t="str">
        <f t="shared" si="72"/>
        <v/>
      </c>
      <c r="I66" s="158" t="str">
        <f t="shared" si="72"/>
        <v/>
      </c>
      <c r="J66" s="159" t="str">
        <f t="shared" si="72"/>
        <v/>
      </c>
      <c r="K66" s="160" t="str">
        <f t="shared" si="72"/>
        <v/>
      </c>
      <c r="L66" s="160" t="str">
        <f t="shared" si="72"/>
        <v/>
      </c>
      <c r="M66" s="160" t="str">
        <f t="shared" si="72"/>
        <v/>
      </c>
      <c r="N66" s="160" t="str">
        <f t="shared" si="72"/>
        <v/>
      </c>
      <c r="O66" s="160" t="str">
        <f t="shared" si="72"/>
        <v/>
      </c>
      <c r="P66" s="160" t="str">
        <f t="shared" si="72"/>
        <v/>
      </c>
      <c r="Q66" s="160" t="str">
        <f t="shared" si="72"/>
        <v/>
      </c>
      <c r="R66" s="160" t="str">
        <f t="shared" si="72"/>
        <v/>
      </c>
      <c r="S66" s="160" t="str">
        <f t="shared" si="72"/>
        <v/>
      </c>
      <c r="T66" s="160" t="str">
        <f t="shared" si="72"/>
        <v/>
      </c>
      <c r="U66" s="160" t="str">
        <f t="shared" si="72"/>
        <v/>
      </c>
      <c r="V66" s="159" t="str">
        <f t="shared" si="72"/>
        <v/>
      </c>
      <c r="W66" s="159" t="str">
        <f t="shared" si="72"/>
        <v/>
      </c>
      <c r="X66" s="159" t="str">
        <f t="shared" si="72"/>
        <v/>
      </c>
      <c r="Y66" s="159" t="str">
        <f t="shared" si="72"/>
        <v/>
      </c>
      <c r="Z66" s="159" t="str">
        <f t="shared" si="72"/>
        <v/>
      </c>
      <c r="AA66" s="159" t="str">
        <f t="shared" si="72"/>
        <v/>
      </c>
      <c r="AB66" s="159" t="str">
        <f t="shared" si="72"/>
        <v/>
      </c>
      <c r="AC66" s="159" t="str">
        <f t="shared" si="72"/>
        <v/>
      </c>
      <c r="AD66" s="159" t="str">
        <f t="shared" si="72"/>
        <v/>
      </c>
      <c r="AE66" s="159" t="str">
        <f t="shared" si="72"/>
        <v/>
      </c>
      <c r="AF66" s="159" t="str">
        <f t="shared" si="72"/>
        <v/>
      </c>
      <c r="AG66" s="159" t="str">
        <f t="shared" si="72"/>
        <v/>
      </c>
      <c r="AH66" s="159" t="str">
        <f t="shared" si="72"/>
        <v/>
      </c>
      <c r="AI66" s="159" t="str">
        <f t="shared" si="72"/>
        <v/>
      </c>
      <c r="AJ66" s="161" t="str">
        <f t="shared" si="72"/>
        <v/>
      </c>
      <c r="AK66" s="162" t="str">
        <f t="shared" si="72"/>
        <v/>
      </c>
      <c r="AL66" s="163" t="str">
        <f t="shared" si="72"/>
        <v/>
      </c>
      <c r="AM66" s="163" t="str">
        <f t="shared" si="72"/>
        <v/>
      </c>
      <c r="AN66" s="163" t="str">
        <f t="shared" si="72"/>
        <v/>
      </c>
      <c r="AO66" s="163" t="str">
        <f t="shared" si="72"/>
        <v/>
      </c>
      <c r="AP66" s="163" t="str">
        <f t="shared" si="72"/>
        <v/>
      </c>
      <c r="AQ66" s="164" t="str">
        <f t="shared" si="72"/>
        <v/>
      </c>
      <c r="AR66" s="161" t="str">
        <f t="shared" si="72"/>
        <v/>
      </c>
    </row>
    <row r="67" spans="1:44" x14ac:dyDescent="0.25">
      <c r="A67" s="178" t="str">
        <f t="shared" ref="A67" si="73">+IF(C67+C68=0,"[ocultar]","")</f>
        <v>[ocultar]</v>
      </c>
      <c r="B67" s="166" t="s">
        <v>394</v>
      </c>
      <c r="C67" s="167">
        <f t="array" ref="C67">SUM(IF($B67=DATOS_[Sexo],
IF($B66=DATOS_[AGRUP. VALOR. PTO.],
IF("Dentro"=DATOS_[Check Periodo Ref.],
1/(COUNTIFS(DATOS_[Sexo],$B67,DATOS_[AGRUP. VALOR. PTO.],$B66,DATOS_[Check Periodo Ref.],"Dentro",DATOS_[id/cod],DATOS_[id/cod]))))))</f>
        <v>0</v>
      </c>
      <c r="D67" s="168">
        <f>COUNTIFS(DATOS_[AGRUP. VALOR. PTO.],$B66,DATOS_[Sexo],$B67,DATOS_[Check Periodo Ref.],"Dentro")</f>
        <v>0</v>
      </c>
      <c r="E67" s="169">
        <f t="array" ref="E67">IFERROR(
AVERAGE(IF(DATOS_[Sexo]=$B67,IF(DATOS_[AGRUP. VALOR. PTO.]=$B66,IF(DATOS_[Check Periodo Ref.]="Dentro",DATOS_[SALARIO BASE Ef],FALSE)))),
0)</f>
        <v>0</v>
      </c>
      <c r="F67" s="170">
        <f t="array" ref="F67">IFERROR(
AVERAGE((IF(DATOS_[[Sexo]:[Sexo]]=$B67,IF(DATOS_[[AGRUP. VALOR. PTO.]:[AGRUP. VALOR. PTO.]]=$B66,IF(DATOS_[[Check Periodo Ref.]:[Check Periodo Ref.]]="Dentro",DATOS_[Conc.Sal.01]))))),
0)</f>
        <v>0</v>
      </c>
      <c r="G67" s="170">
        <f t="array" ref="G67">IFERROR(
AVERAGE((IF(DATOS_[[Sexo]:[Sexo]]=$B67,IF(DATOS_[[AGRUP. VALOR. PTO.]:[AGRUP. VALOR. PTO.]]=$B66,IF(DATOS_[[Check Periodo Ref.]:[Check Periodo Ref.]]="Dentro",DATOS_[Conc.Sal.02]))))),
0)</f>
        <v>0</v>
      </c>
      <c r="H67" s="170">
        <f t="array" ref="H67">IFERROR(
AVERAGE((IF(DATOS_[[Sexo]:[Sexo]]=$B67,IF(DATOS_[[AGRUP. VALOR. PTO.]:[AGRUP. VALOR. PTO.]]=$B66,IF(DATOS_[[Check Periodo Ref.]:[Check Periodo Ref.]]="Dentro",DATOS_[Conc.Sal.03]))))),
0)</f>
        <v>0</v>
      </c>
      <c r="I67" s="170">
        <f t="array" ref="I67">IFERROR(
AVERAGE((IF(DATOS_[[Sexo]:[Sexo]]=$B67,IF(DATOS_[[AGRUP. VALOR. PTO.]:[AGRUP. VALOR. PTO.]]=$B66,IF(DATOS_[[Check Periodo Ref.]:[Check Periodo Ref.]]="Dentro",DATOS_[Conc.Sal.04]))))),
0)</f>
        <v>0</v>
      </c>
      <c r="J67" s="170">
        <f t="array" ref="J67">IFERROR(
AVERAGE((IF(DATOS_[[Sexo]:[Sexo]]=$B67,IF(DATOS_[[AGRUP. VALOR. PTO.]:[AGRUP. VALOR. PTO.]]=$B66,IF(DATOS_[[Check Periodo Ref.]:[Check Periodo Ref.]]="Dentro",DATOS_[Conc.Sal.05]))))),
0)</f>
        <v>0</v>
      </c>
      <c r="K67" s="170">
        <f t="array" ref="K67">IFERROR(
AVERAGE((IF(DATOS_[[Sexo]:[Sexo]]=$B67,IF(DATOS_[[AGRUP. VALOR. PTO.]:[AGRUP. VALOR. PTO.]]=$B66,IF(DATOS_[[Check Periodo Ref.]:[Check Periodo Ref.]]="Dentro",DATOS_[Conc.Sal.06]))))),
0)</f>
        <v>0</v>
      </c>
      <c r="L67" s="170">
        <f t="array" ref="L67">IFERROR(
AVERAGE((IF(DATOS_[[Sexo]:[Sexo]]=$B67,IF(DATOS_[[AGRUP. VALOR. PTO.]:[AGRUP. VALOR. PTO.]]=$B66,IF(DATOS_[[Check Periodo Ref.]:[Check Periodo Ref.]]="Dentro",DATOS_[Conc.Sal.07]))))),
0)</f>
        <v>0</v>
      </c>
      <c r="M67" s="170">
        <f t="array" ref="M67">IFERROR(
AVERAGE((IF(DATOS_[[Sexo]:[Sexo]]=$B67,IF(DATOS_[[AGRUP. VALOR. PTO.]:[AGRUP. VALOR. PTO.]]=$B66,IF(DATOS_[[Check Periodo Ref.]:[Check Periodo Ref.]]="Dentro",DATOS_[Conc.Sal.08]))))),
0)</f>
        <v>0</v>
      </c>
      <c r="N67" s="170">
        <f t="array" ref="N67">IFERROR(
AVERAGE((IF(DATOS_[[Sexo]:[Sexo]]=$B67,IF(DATOS_[[AGRUP. VALOR. PTO.]:[AGRUP. VALOR. PTO.]]=$B66,IF(DATOS_[[Check Periodo Ref.]:[Check Periodo Ref.]]="Dentro",DATOS_[Conc.Sal.09]))))),
0)</f>
        <v>0</v>
      </c>
      <c r="O67" s="170">
        <f t="array" ref="O67">IFERROR(
AVERAGE((IF(DATOS_[[Sexo]:[Sexo]]=$B67,IF(DATOS_[[AGRUP. VALOR. PTO.]:[AGRUP. VALOR. PTO.]]=$B66,IF(DATOS_[[Check Periodo Ref.]:[Check Periodo Ref.]]="Dentro",DATOS_[Conc.Sal.10]))))),
0)</f>
        <v>0</v>
      </c>
      <c r="P67" s="170">
        <f t="array" ref="P67">IFERROR(
AVERAGE((IF(DATOS_[[Sexo]:[Sexo]]=$B67,IF(DATOS_[[AGRUP. VALOR. PTO.]:[AGRUP. VALOR. PTO.]]=$B66,IF(DATOS_[[Check Periodo Ref.]:[Check Periodo Ref.]]="Dentro",DATOS_[Conc.Sal.11]))))),
0)</f>
        <v>0</v>
      </c>
      <c r="Q67" s="170">
        <f t="array" ref="Q67">IFERROR(
AVERAGE((IF(DATOS_[[Sexo]:[Sexo]]=$B67,IF(DATOS_[[AGRUP. VALOR. PTO.]:[AGRUP. VALOR. PTO.]]=$B66,IF(DATOS_[[Check Periodo Ref.]:[Check Periodo Ref.]]="Dentro",DATOS_[Conc.Sal.12]))))),
0)</f>
        <v>0</v>
      </c>
      <c r="R67" s="170">
        <f t="array" ref="R67">IFERROR(
AVERAGE((IF(DATOS_[[Sexo]:[Sexo]]=$B67,IF(DATOS_[[AGRUP. VALOR. PTO.]:[AGRUP. VALOR. PTO.]]=$B66,IF(DATOS_[[Check Periodo Ref.]:[Check Periodo Ref.]]="Dentro",DATOS_[Conc.Sal.13]))))),
0)</f>
        <v>0</v>
      </c>
      <c r="S67" s="170">
        <f t="array" ref="S67">IFERROR(
AVERAGE((IF(DATOS_[[Sexo]:[Sexo]]=$B67,IF(DATOS_[[AGRUP. VALOR. PTO.]:[AGRUP. VALOR. PTO.]]=$B66,IF(DATOS_[[Check Periodo Ref.]:[Check Periodo Ref.]]="Dentro",DATOS_[Conc.Sal.14]))))),
0)</f>
        <v>0</v>
      </c>
      <c r="T67" s="170">
        <f t="array" ref="T67">IFERROR(
AVERAGE((IF(DATOS_[[Sexo]:[Sexo]]=$B67,IF(DATOS_[[AGRUP. VALOR. PTO.]:[AGRUP. VALOR. PTO.]]=$B66,IF(DATOS_[[Check Periodo Ref.]:[Check Periodo Ref.]]="Dentro",DATOS_[Conc.Sal.15]))))),
0)</f>
        <v>0</v>
      </c>
      <c r="U67" s="170">
        <f t="array" ref="U67">IFERROR(
AVERAGE((IF(DATOS_[[Sexo]:[Sexo]]=$B67,IF(DATOS_[[AGRUP. VALOR. PTO.]:[AGRUP. VALOR. PTO.]]=$B66,IF(DATOS_[[Check Periodo Ref.]:[Check Periodo Ref.]]="Dentro",DATOS_[Conc.Sal.16]))))),
0)</f>
        <v>0</v>
      </c>
      <c r="V67" s="170">
        <f t="array" ref="V67">IFERROR(
AVERAGE((IF(DATOS_[[Sexo]:[Sexo]]=$B67,IF(DATOS_[[AGRUP. VALOR. PTO.]:[AGRUP. VALOR. PTO.]]=$B66,IF(DATOS_[[Check Periodo Ref.]:[Check Periodo Ref.]]="Dentro",DATOS_[Conc.Sal.17]))))),
0)</f>
        <v>0</v>
      </c>
      <c r="W67" s="170">
        <f t="array" ref="W67">IFERROR(
AVERAGE((IF(DATOS_[[Sexo]:[Sexo]]=$B67,IF(DATOS_[[AGRUP. VALOR. PTO.]:[AGRUP. VALOR. PTO.]]=$B66,IF(DATOS_[[Check Periodo Ref.]:[Check Periodo Ref.]]="Dentro",DATOS_[Conc.Sal.18]))))),
0)</f>
        <v>0</v>
      </c>
      <c r="X67" s="170">
        <f t="array" ref="X67">IFERROR(
AVERAGE((IF(DATOS_[[Sexo]:[Sexo]]=$B67,IF(DATOS_[[AGRUP. VALOR. PTO.]:[AGRUP. VALOR. PTO.]]=$B66,IF(DATOS_[[Check Periodo Ref.]:[Check Periodo Ref.]]="Dentro",DATOS_[Conc.Sal.19]))))),
0)</f>
        <v>0</v>
      </c>
      <c r="Y67" s="170">
        <f t="array" ref="Y67">IFERROR(
AVERAGE((IF(DATOS_[[Sexo]:[Sexo]]=$B67,IF(DATOS_[[AGRUP. VALOR. PTO.]:[AGRUP. VALOR. PTO.]]=$B66,IF(DATOS_[[Check Periodo Ref.]:[Check Periodo Ref.]]="Dentro",DATOS_[Conc.Sal.20]))))),
0)</f>
        <v>0</v>
      </c>
      <c r="Z67" s="170">
        <f t="array" ref="Z67">IFERROR(
AVERAGE((IF(DATOS_[[Sexo]:[Sexo]]=$B67,IF(DATOS_[[AGRUP. VALOR. PTO.]:[AGRUP. VALOR. PTO.]]=$B66,IF(DATOS_[[Check Periodo Ref.]:[Check Periodo Ref.]]="Dentro",DATOS_[Conc.Sal.21]))))),
0)</f>
        <v>0</v>
      </c>
      <c r="AA67" s="170">
        <f t="array" ref="AA67">IFERROR(
AVERAGE((IF(DATOS_[[Sexo]:[Sexo]]=$B67,IF(DATOS_[[AGRUP. VALOR. PTO.]:[AGRUP. VALOR. PTO.]]=$B66,IF(DATOS_[[Check Periodo Ref.]:[Check Periodo Ref.]]="Dentro",DATOS_[Conc.Sal.22]))))),
0)</f>
        <v>0</v>
      </c>
      <c r="AB67" s="170">
        <f t="array" ref="AB67">IFERROR(
AVERAGE((IF(DATOS_[[Sexo]:[Sexo]]=$B67,IF(DATOS_[[AGRUP. VALOR. PTO.]:[AGRUP. VALOR. PTO.]]=$B66,IF(DATOS_[[Check Periodo Ref.]:[Check Periodo Ref.]]="Dentro",DATOS_[Conc.Sal.23]))))),
0)</f>
        <v>0</v>
      </c>
      <c r="AC67" s="170">
        <f t="array" ref="AC67">IFERROR(
AVERAGE((IF(DATOS_[[Sexo]:[Sexo]]=$B67,IF(DATOS_[[AGRUP. VALOR. PTO.]:[AGRUP. VALOR. PTO.]]=$B66,IF(DATOS_[[Check Periodo Ref.]:[Check Periodo Ref.]]="Dentro",DATOS_[Conc.Sal.24]))))),
0)</f>
        <v>0</v>
      </c>
      <c r="AD67" s="170">
        <f t="array" ref="AD67">IFERROR(
AVERAGE((IF(DATOS_[[Sexo]:[Sexo]]=$B67,IF(DATOS_[[AGRUP. VALOR. PTO.]:[AGRUP. VALOR. PTO.]]=$B66,IF(DATOS_[[Check Periodo Ref.]:[Check Periodo Ref.]]="Dentro",DATOS_[Conc.Sal.25]))))),
0)</f>
        <v>0</v>
      </c>
      <c r="AE67" s="170">
        <f t="array" ref="AE67">IFERROR(
AVERAGE((IF(DATOS_[[Sexo]:[Sexo]]=$B67,IF(DATOS_[[AGRUP. VALOR. PTO.]:[AGRUP. VALOR. PTO.]]=$B66,IF(DATOS_[[Check Periodo Ref.]:[Check Periodo Ref.]]="Dentro",DATOS_[Conc.Sal.26]))))),
0)</f>
        <v>0</v>
      </c>
      <c r="AF67" s="170">
        <f t="array" ref="AF67">IFERROR(
AVERAGE((IF(DATOS_[[Sexo]:[Sexo]]=$B67,IF(DATOS_[[AGRUP. VALOR. PTO.]:[AGRUP. VALOR. PTO.]]=$B66,IF(DATOS_[[Check Periodo Ref.]:[Check Periodo Ref.]]="Dentro",DATOS_[Conc.Sal.27]))))),
0)</f>
        <v>0</v>
      </c>
      <c r="AG67" s="170">
        <f t="array" ref="AG67">IFERROR(
AVERAGE((IF(DATOS_[[Sexo]:[Sexo]]=$B67,IF(DATOS_[[AGRUP. VALOR. PTO.]:[AGRUP. VALOR. PTO.]]=$B66,IF(DATOS_[[Check Periodo Ref.]:[Check Periodo Ref.]]="Dentro",DATOS_[Conc.Sal.28]))))),
0)</f>
        <v>0</v>
      </c>
      <c r="AH67" s="170">
        <f t="array" ref="AH67">IFERROR(
AVERAGE((IF(DATOS_[[Sexo]:[Sexo]]=$B67,IF(DATOS_[[AGRUP. VALOR. PTO.]:[AGRUP. VALOR. PTO.]]=$B66,IF(DATOS_[[Check Periodo Ref.]:[Check Periodo Ref.]]="Dentro",DATOS_[Conc.Sal.29]))))),
0)</f>
        <v>0</v>
      </c>
      <c r="AI67" s="170">
        <f t="array" ref="AI67">IFERROR(
AVERAGE((IF(DATOS_[[Sexo]:[Sexo]]=$B67,IF(DATOS_[[AGRUP. VALOR. PTO.]:[AGRUP. VALOR. PTO.]]=$B66,IF(DATOS_[[Check Periodo Ref.]:[Check Periodo Ref.]]="Dentro",DATOS_[Conc.Sal.30]))))),
0)</f>
        <v>0</v>
      </c>
      <c r="AJ67" s="171">
        <f t="array" ref="AJ67">IFERROR(
AVERAGE(IF(DATOS_[Sexo]=$B67,IF(DATOS_[AGRUP. VALOR. PTO.]=$B66,IF(DATOS_[Check Periodo Ref.]="Dentro",DATOS_[Tot COMPL.SAL Ef],FALSE)))),
0)</f>
        <v>0</v>
      </c>
      <c r="AK67" s="172">
        <f t="array" ref="AK67">IFERROR(
AVERAGE(IF(DATOS_[Sexo]=$B67,IF(DATOS_[AGRUP. VALOR. PTO.]=$B66,IF(DATOS_[Check Periodo Ref.]="Dentro",DATOS_[TOTAL SALARIO Ef],FALSE)))),
0)</f>
        <v>0</v>
      </c>
      <c r="AL67" s="173">
        <f t="array" ref="AL67">IFERROR(
AVERAGE((IF(DATOS_[[Sexo]:[Sexo]]=$B67,IF(DATOS_[[AGRUP. VALOR. PTO.]:[AGRUP. VALOR. PTO.]]=$B66,IF(DATOS_[[Check Periodo Ref.]:[Check Periodo Ref.]]="Dentro",DATOS_[C.Extra.01]))))),
0)</f>
        <v>0</v>
      </c>
      <c r="AM67" s="173">
        <f t="array" ref="AM67">IFERROR(
AVERAGE((IF(DATOS_[[Sexo]:[Sexo]]=$B67,IF(DATOS_[[AGRUP. VALOR. PTO.]:[AGRUP. VALOR. PTO.]]=$B66,IF(DATOS_[[Check Periodo Ref.]:[Check Periodo Ref.]]="Dentro",DATOS_[C.Extra.06]))))),
0)</f>
        <v>0</v>
      </c>
      <c r="AN67" s="173">
        <f t="array" ref="AN67">IFERROR(
AVERAGE((IF(DATOS_[[Sexo]:[Sexo]]=$B67,IF(DATOS_[[AGRUP. VALOR. PTO.]:[AGRUP. VALOR. PTO.]]=$B66,IF(DATOS_[[Check Periodo Ref.]:[Check Periodo Ref.]]="Dentro",DATOS_[C.Extra.07]))))),
0)</f>
        <v>0</v>
      </c>
      <c r="AO67" s="173">
        <f t="array" ref="AO67">IFERROR(
AVERAGE((IF(DATOS_[[Sexo]:[Sexo]]=$B67,IF(DATOS_[[AGRUP. VALOR. PTO.]:[AGRUP. VALOR. PTO.]]=$B66,IF(DATOS_[[Check Periodo Ref.]:[Check Periodo Ref.]]="Dentro",DATOS_[C.Extra.08]))))),
0)</f>
        <v>0</v>
      </c>
      <c r="AP67" s="173">
        <f t="array" ref="AP67">IFERROR(
AVERAGE((IF(DATOS_[[Sexo]:[Sexo]]=$B67,IF(DATOS_[[AGRUP. VALOR. PTO.]:[AGRUP. VALOR. PTO.]]=$B66,IF(DATOS_[[Check Periodo Ref.]:[Check Periodo Ref.]]="Dentro",DATOS_[C.Extra.11]))))),
0)</f>
        <v>0</v>
      </c>
      <c r="AQ67" s="174">
        <f t="array" ref="AQ67">IFERROR(
AVERAGE(IF(DATOS_[Sexo]=$B67,IF(DATOS_[AGRUP. VALOR. PTO.]=$B66,IF(DATOS_[Check Periodo Ref.]="Dentro",DATOS_[Tot Extrasalarial Ef],FALSE)))),
0)</f>
        <v>0</v>
      </c>
      <c r="AR67" s="171">
        <f t="array" ref="AR67">IFERROR(
AVERAGE(IF(DATOS_[Sexo]=$B67,IF(DATOS_[AGRUP. VALOR. PTO.]=$B66,IF(DATOS_[Check Periodo Ref.]="Dentro",DATOS_[TOTAL Retrib Ef],FALSE)))),
0)</f>
        <v>0</v>
      </c>
    </row>
    <row r="68" spans="1:44" x14ac:dyDescent="0.25">
      <c r="A68" s="178" t="str">
        <f t="shared" ref="A68" si="74">+A67</f>
        <v>[ocultar]</v>
      </c>
      <c r="B68" s="166" t="s">
        <v>521</v>
      </c>
      <c r="C68" s="167">
        <f t="array" ref="C68">SUM(IF($B68=DATOS_[Sexo],
IF($B66=DATOS_[AGRUP. VALOR. PTO.],
IF("Dentro"=DATOS_[Check Periodo Ref.],
1/(COUNTIFS(DATOS_[Sexo],$B68,DATOS_[AGRUP. VALOR. PTO.],$B66,DATOS_[Check Periodo Ref.],"Dentro",DATOS_[id/cod],DATOS_[id/cod]))))))</f>
        <v>0</v>
      </c>
      <c r="D68" s="168">
        <f>COUNTIFS(DATOS_[AGRUP. VALOR. PTO.],$B66,DATOS_[Sexo],$B68,DATOS_[Check Periodo Ref.],"Dentro")</f>
        <v>0</v>
      </c>
      <c r="E68" s="169">
        <f t="array" ref="E68">IFERROR(
AVERAGE(IF(DATOS_[Sexo]=$B68,IF(DATOS_[AGRUP. VALOR. PTO.]=$B66,IF(DATOS_[Check Periodo Ref.]="Dentro",DATOS_[SALARIO BASE Ef],FALSE)))),
0)</f>
        <v>0</v>
      </c>
      <c r="F68" s="170">
        <f t="array" ref="F68">IFERROR(
AVERAGE((IF(DATOS_[[Sexo]:[Sexo]]=$B68,IF(DATOS_[[AGRUP. VALOR. PTO.]:[AGRUP. VALOR. PTO.]]=$B66,IF(DATOS_[[Check Periodo Ref.]:[Check Periodo Ref.]]="Dentro",DATOS_[Conc.Sal.01]))))),
0)</f>
        <v>0</v>
      </c>
      <c r="G68" s="170">
        <f t="array" ref="G68">IFERROR(
AVERAGE((IF(DATOS_[[Sexo]:[Sexo]]=$B68,IF(DATOS_[[AGRUP. VALOR. PTO.]:[AGRUP. VALOR. PTO.]]=$B66,IF(DATOS_[[Check Periodo Ref.]:[Check Periodo Ref.]]="Dentro",DATOS_[Conc.Sal.02]))))),
0)</f>
        <v>0</v>
      </c>
      <c r="H68" s="170">
        <f t="array" ref="H68">IFERROR(
AVERAGE((IF(DATOS_[[Sexo]:[Sexo]]=$B68,IF(DATOS_[[AGRUP. VALOR. PTO.]:[AGRUP. VALOR. PTO.]]=$B66,IF(DATOS_[[Check Periodo Ref.]:[Check Periodo Ref.]]="Dentro",DATOS_[Conc.Sal.03]))))),
0)</f>
        <v>0</v>
      </c>
      <c r="I68" s="170">
        <f t="array" ref="I68">IFERROR(
AVERAGE((IF(DATOS_[[Sexo]:[Sexo]]=$B68,IF(DATOS_[[AGRUP. VALOR. PTO.]:[AGRUP. VALOR. PTO.]]=$B66,IF(DATOS_[[Check Periodo Ref.]:[Check Periodo Ref.]]="Dentro",DATOS_[Conc.Sal.04]))))),
0)</f>
        <v>0</v>
      </c>
      <c r="J68" s="170">
        <f t="array" ref="J68">IFERROR(
AVERAGE((IF(DATOS_[[Sexo]:[Sexo]]=$B68,IF(DATOS_[[AGRUP. VALOR. PTO.]:[AGRUP. VALOR. PTO.]]=$B66,IF(DATOS_[[Check Periodo Ref.]:[Check Periodo Ref.]]="Dentro",DATOS_[Conc.Sal.05]))))),
0)</f>
        <v>0</v>
      </c>
      <c r="K68" s="170">
        <f t="array" ref="K68">IFERROR(
AVERAGE((IF(DATOS_[[Sexo]:[Sexo]]=$B68,IF(DATOS_[[AGRUP. VALOR. PTO.]:[AGRUP. VALOR. PTO.]]=$B66,IF(DATOS_[[Check Periodo Ref.]:[Check Periodo Ref.]]="Dentro",DATOS_[Conc.Sal.06]))))),
0)</f>
        <v>0</v>
      </c>
      <c r="L68" s="170">
        <f t="array" ref="L68">IFERROR(
AVERAGE((IF(DATOS_[[Sexo]:[Sexo]]=$B68,IF(DATOS_[[AGRUP. VALOR. PTO.]:[AGRUP. VALOR. PTO.]]=$B66,IF(DATOS_[[Check Periodo Ref.]:[Check Periodo Ref.]]="Dentro",DATOS_[Conc.Sal.07]))))),
0)</f>
        <v>0</v>
      </c>
      <c r="M68" s="170">
        <f t="array" ref="M68">IFERROR(
AVERAGE((IF(DATOS_[[Sexo]:[Sexo]]=$B68,IF(DATOS_[[AGRUP. VALOR. PTO.]:[AGRUP. VALOR. PTO.]]=$B66,IF(DATOS_[[Check Periodo Ref.]:[Check Periodo Ref.]]="Dentro",DATOS_[Conc.Sal.08]))))),
0)</f>
        <v>0</v>
      </c>
      <c r="N68" s="170">
        <f t="array" ref="N68">IFERROR(
AVERAGE((IF(DATOS_[[Sexo]:[Sexo]]=$B68,IF(DATOS_[[AGRUP. VALOR. PTO.]:[AGRUP. VALOR. PTO.]]=$B66,IF(DATOS_[[Check Periodo Ref.]:[Check Periodo Ref.]]="Dentro",DATOS_[Conc.Sal.09]))))),
0)</f>
        <v>0</v>
      </c>
      <c r="O68" s="170">
        <f t="array" ref="O68">IFERROR(
AVERAGE((IF(DATOS_[[Sexo]:[Sexo]]=$B68,IF(DATOS_[[AGRUP. VALOR. PTO.]:[AGRUP. VALOR. PTO.]]=$B66,IF(DATOS_[[Check Periodo Ref.]:[Check Periodo Ref.]]="Dentro",DATOS_[Conc.Sal.10]))))),
0)</f>
        <v>0</v>
      </c>
      <c r="P68" s="170">
        <f t="array" ref="P68">IFERROR(
AVERAGE((IF(DATOS_[[Sexo]:[Sexo]]=$B68,IF(DATOS_[[AGRUP. VALOR. PTO.]:[AGRUP. VALOR. PTO.]]=$B66,IF(DATOS_[[Check Periodo Ref.]:[Check Periodo Ref.]]="Dentro",DATOS_[Conc.Sal.11]))))),
0)</f>
        <v>0</v>
      </c>
      <c r="Q68" s="170">
        <f t="array" ref="Q68">IFERROR(
AVERAGE((IF(DATOS_[[Sexo]:[Sexo]]=$B68,IF(DATOS_[[AGRUP. VALOR. PTO.]:[AGRUP. VALOR. PTO.]]=$B66,IF(DATOS_[[Check Periodo Ref.]:[Check Periodo Ref.]]="Dentro",DATOS_[Conc.Sal.12]))))),
0)</f>
        <v>0</v>
      </c>
      <c r="R68" s="170">
        <f t="array" ref="R68">IFERROR(
AVERAGE((IF(DATOS_[[Sexo]:[Sexo]]=$B68,IF(DATOS_[[AGRUP. VALOR. PTO.]:[AGRUP. VALOR. PTO.]]=$B66,IF(DATOS_[[Check Periodo Ref.]:[Check Periodo Ref.]]="Dentro",DATOS_[Conc.Sal.13]))))),
0)</f>
        <v>0</v>
      </c>
      <c r="S68" s="170">
        <f t="array" ref="S68">IFERROR(
AVERAGE((IF(DATOS_[[Sexo]:[Sexo]]=$B68,IF(DATOS_[[AGRUP. VALOR. PTO.]:[AGRUP. VALOR. PTO.]]=$B66,IF(DATOS_[[Check Periodo Ref.]:[Check Periodo Ref.]]="Dentro",DATOS_[Conc.Sal.14]))))),
0)</f>
        <v>0</v>
      </c>
      <c r="T68" s="170">
        <f t="array" ref="T68">IFERROR(
AVERAGE((IF(DATOS_[[Sexo]:[Sexo]]=$B68,IF(DATOS_[[AGRUP. VALOR. PTO.]:[AGRUP. VALOR. PTO.]]=$B66,IF(DATOS_[[Check Periodo Ref.]:[Check Periodo Ref.]]="Dentro",DATOS_[Conc.Sal.15]))))),
0)</f>
        <v>0</v>
      </c>
      <c r="U68" s="170">
        <f t="array" ref="U68">IFERROR(
AVERAGE((IF(DATOS_[[Sexo]:[Sexo]]=$B68,IF(DATOS_[[AGRUP. VALOR. PTO.]:[AGRUP. VALOR. PTO.]]=$B66,IF(DATOS_[[Check Periodo Ref.]:[Check Periodo Ref.]]="Dentro",DATOS_[Conc.Sal.16]))))),
0)</f>
        <v>0</v>
      </c>
      <c r="V68" s="170">
        <f t="array" ref="V68">IFERROR(
AVERAGE((IF(DATOS_[[Sexo]:[Sexo]]=$B68,IF(DATOS_[[AGRUP. VALOR. PTO.]:[AGRUP. VALOR. PTO.]]=$B66,IF(DATOS_[[Check Periodo Ref.]:[Check Periodo Ref.]]="Dentro",DATOS_[Conc.Sal.17]))))),
0)</f>
        <v>0</v>
      </c>
      <c r="W68" s="170">
        <f t="array" ref="W68">IFERROR(
AVERAGE((IF(DATOS_[[Sexo]:[Sexo]]=$B68,IF(DATOS_[[AGRUP. VALOR. PTO.]:[AGRUP. VALOR. PTO.]]=$B66,IF(DATOS_[[Check Periodo Ref.]:[Check Periodo Ref.]]="Dentro",DATOS_[Conc.Sal.18]))))),
0)</f>
        <v>0</v>
      </c>
      <c r="X68" s="170">
        <f t="array" ref="X68">IFERROR(
AVERAGE((IF(DATOS_[[Sexo]:[Sexo]]=$B68,IF(DATOS_[[AGRUP. VALOR. PTO.]:[AGRUP. VALOR. PTO.]]=$B66,IF(DATOS_[[Check Periodo Ref.]:[Check Periodo Ref.]]="Dentro",DATOS_[Conc.Sal.19]))))),
0)</f>
        <v>0</v>
      </c>
      <c r="Y68" s="170">
        <f t="array" ref="Y68">IFERROR(
AVERAGE((IF(DATOS_[[Sexo]:[Sexo]]=$B68,IF(DATOS_[[AGRUP. VALOR. PTO.]:[AGRUP. VALOR. PTO.]]=$B66,IF(DATOS_[[Check Periodo Ref.]:[Check Periodo Ref.]]="Dentro",DATOS_[Conc.Sal.20]))))),
0)</f>
        <v>0</v>
      </c>
      <c r="Z68" s="170">
        <f t="array" ref="Z68">IFERROR(
AVERAGE((IF(DATOS_[[Sexo]:[Sexo]]=$B68,IF(DATOS_[[AGRUP. VALOR. PTO.]:[AGRUP. VALOR. PTO.]]=$B66,IF(DATOS_[[Check Periodo Ref.]:[Check Periodo Ref.]]="Dentro",DATOS_[Conc.Sal.21]))))),
0)</f>
        <v>0</v>
      </c>
      <c r="AA68" s="170">
        <f t="array" ref="AA68">IFERROR(
AVERAGE((IF(DATOS_[[Sexo]:[Sexo]]=$B68,IF(DATOS_[[AGRUP. VALOR. PTO.]:[AGRUP. VALOR. PTO.]]=$B66,IF(DATOS_[[Check Periodo Ref.]:[Check Periodo Ref.]]="Dentro",DATOS_[Conc.Sal.22]))))),
0)</f>
        <v>0</v>
      </c>
      <c r="AB68" s="170">
        <f t="array" ref="AB68">IFERROR(
AVERAGE((IF(DATOS_[[Sexo]:[Sexo]]=$B68,IF(DATOS_[[AGRUP. VALOR. PTO.]:[AGRUP. VALOR. PTO.]]=$B66,IF(DATOS_[[Check Periodo Ref.]:[Check Periodo Ref.]]="Dentro",DATOS_[Conc.Sal.23]))))),
0)</f>
        <v>0</v>
      </c>
      <c r="AC68" s="170">
        <f t="array" ref="AC68">IFERROR(
AVERAGE((IF(DATOS_[[Sexo]:[Sexo]]=$B68,IF(DATOS_[[AGRUP. VALOR. PTO.]:[AGRUP. VALOR. PTO.]]=$B66,IF(DATOS_[[Check Periodo Ref.]:[Check Periodo Ref.]]="Dentro",DATOS_[Conc.Sal.24]))))),
0)</f>
        <v>0</v>
      </c>
      <c r="AD68" s="170">
        <f t="array" ref="AD68">IFERROR(
AVERAGE((IF(DATOS_[[Sexo]:[Sexo]]=$B68,IF(DATOS_[[AGRUP. VALOR. PTO.]:[AGRUP. VALOR. PTO.]]=$B66,IF(DATOS_[[Check Periodo Ref.]:[Check Periodo Ref.]]="Dentro",DATOS_[Conc.Sal.25]))))),
0)</f>
        <v>0</v>
      </c>
      <c r="AE68" s="170">
        <f t="array" ref="AE68">IFERROR(
AVERAGE((IF(DATOS_[[Sexo]:[Sexo]]=$B68,IF(DATOS_[[AGRUP. VALOR. PTO.]:[AGRUP. VALOR. PTO.]]=$B66,IF(DATOS_[[Check Periodo Ref.]:[Check Periodo Ref.]]="Dentro",DATOS_[Conc.Sal.26]))))),
0)</f>
        <v>0</v>
      </c>
      <c r="AF68" s="170">
        <f t="array" ref="AF68">IFERROR(
AVERAGE((IF(DATOS_[[Sexo]:[Sexo]]=$B68,IF(DATOS_[[AGRUP. VALOR. PTO.]:[AGRUP. VALOR. PTO.]]=$B66,IF(DATOS_[[Check Periodo Ref.]:[Check Periodo Ref.]]="Dentro",DATOS_[Conc.Sal.27]))))),
0)</f>
        <v>0</v>
      </c>
      <c r="AG68" s="170">
        <f t="array" ref="AG68">IFERROR(
AVERAGE((IF(DATOS_[[Sexo]:[Sexo]]=$B68,IF(DATOS_[[AGRUP. VALOR. PTO.]:[AGRUP. VALOR. PTO.]]=$B66,IF(DATOS_[[Check Periodo Ref.]:[Check Periodo Ref.]]="Dentro",DATOS_[Conc.Sal.28]))))),
0)</f>
        <v>0</v>
      </c>
      <c r="AH68" s="170">
        <f t="array" ref="AH68">IFERROR(
AVERAGE((IF(DATOS_[[Sexo]:[Sexo]]=$B68,IF(DATOS_[[AGRUP. VALOR. PTO.]:[AGRUP. VALOR. PTO.]]=$B66,IF(DATOS_[[Check Periodo Ref.]:[Check Periodo Ref.]]="Dentro",DATOS_[Conc.Sal.29]))))),
0)</f>
        <v>0</v>
      </c>
      <c r="AI68" s="170">
        <f t="array" ref="AI68">IFERROR(
AVERAGE((IF(DATOS_[[Sexo]:[Sexo]]=$B68,IF(DATOS_[[AGRUP. VALOR. PTO.]:[AGRUP. VALOR. PTO.]]=$B66,IF(DATOS_[[Check Periodo Ref.]:[Check Periodo Ref.]]="Dentro",DATOS_[Conc.Sal.30]))))),
0)</f>
        <v>0</v>
      </c>
      <c r="AJ68" s="171">
        <f t="array" ref="AJ68">IFERROR(
AVERAGE(IF(DATOS_[Sexo]=$B68,IF(DATOS_[AGRUP. VALOR. PTO.]=$B66,IF(DATOS_[Check Periodo Ref.]="Dentro",DATOS_[Tot COMPL.SAL Ef],FALSE)))),
0)</f>
        <v>0</v>
      </c>
      <c r="AK68" s="172">
        <f t="array" ref="AK68">IFERROR(
AVERAGE(IF(DATOS_[Sexo]=$B68,IF(DATOS_[AGRUP. VALOR. PTO.]=$B66,IF(DATOS_[Check Periodo Ref.]="Dentro",DATOS_[TOTAL SALARIO Ef],FALSE)))),
0)</f>
        <v>0</v>
      </c>
      <c r="AL68" s="173">
        <f t="array" ref="AL68">IFERROR(
AVERAGE((IF(DATOS_[[Sexo]:[Sexo]]=$B68,IF(DATOS_[[AGRUP. VALOR. PTO.]:[AGRUP. VALOR. PTO.]]=$B66,IF(DATOS_[[Check Periodo Ref.]:[Check Periodo Ref.]]="Dentro",DATOS_[C.Extra.01]))))),
0)</f>
        <v>0</v>
      </c>
      <c r="AM68" s="173">
        <f t="array" ref="AM68">IFERROR(
AVERAGE((IF(DATOS_[[Sexo]:[Sexo]]=$B68,IF(DATOS_[[AGRUP. VALOR. PTO.]:[AGRUP. VALOR. PTO.]]=$B66,IF(DATOS_[[Check Periodo Ref.]:[Check Periodo Ref.]]="Dentro",DATOS_[C.Extra.06]))))),
0)</f>
        <v>0</v>
      </c>
      <c r="AN68" s="173">
        <f t="array" ref="AN68">IFERROR(
AVERAGE((IF(DATOS_[[Sexo]:[Sexo]]=$B68,IF(DATOS_[[AGRUP. VALOR. PTO.]:[AGRUP. VALOR. PTO.]]=$B66,IF(DATOS_[[Check Periodo Ref.]:[Check Periodo Ref.]]="Dentro",DATOS_[C.Extra.07]))))),
0)</f>
        <v>0</v>
      </c>
      <c r="AO68" s="173">
        <f t="array" ref="AO68">IFERROR(
AVERAGE((IF(DATOS_[[Sexo]:[Sexo]]=$B68,IF(DATOS_[[AGRUP. VALOR. PTO.]:[AGRUP. VALOR. PTO.]]=$B66,IF(DATOS_[[Check Periodo Ref.]:[Check Periodo Ref.]]="Dentro",DATOS_[C.Extra.08]))))),
0)</f>
        <v>0</v>
      </c>
      <c r="AP68" s="173">
        <f t="array" ref="AP68">IFERROR(
AVERAGE((IF(DATOS_[[Sexo]:[Sexo]]=$B68,IF(DATOS_[[AGRUP. VALOR. PTO.]:[AGRUP. VALOR. PTO.]]=$B66,IF(DATOS_[[Check Periodo Ref.]:[Check Periodo Ref.]]="Dentro",DATOS_[C.Extra.11]))))),
0)</f>
        <v>0</v>
      </c>
      <c r="AQ68" s="174">
        <f t="array" ref="AQ68">IFERROR(
AVERAGE(IF(DATOS_[Sexo]=$B68,IF(DATOS_[AGRUP. VALOR. PTO.]=$B66,IF(DATOS_[Check Periodo Ref.]="Dentro",DATOS_[Tot Extrasalarial Ef],FALSE)))),
0)</f>
        <v>0</v>
      </c>
      <c r="AR68" s="171">
        <f t="array" ref="AR68">IFERROR(
AVERAGE(IF(DATOS_[Sexo]=$B68,IF(DATOS_[AGRUP. VALOR. PTO.]=$B66,IF(DATOS_[Check Periodo Ref.]="Dentro",DATOS_[TOTAL Retrib Ef],FALSE)))),
0)</f>
        <v>0</v>
      </c>
    </row>
    <row r="69" spans="1:44" ht="14.4" thickBot="1" x14ac:dyDescent="0.3">
      <c r="A69" s="178" t="str">
        <f t="shared" ref="A69" si="75">+A70</f>
        <v>[ocultar]</v>
      </c>
      <c r="B69" s="153" t="s">
        <v>253</v>
      </c>
      <c r="C69" s="154"/>
      <c r="D69" s="155"/>
      <c r="E69" s="156" t="str">
        <f t="shared" ref="E69:AR69" si="76">IFERROR((E70-E71)/E70,"")</f>
        <v/>
      </c>
      <c r="F69" s="157" t="str">
        <f t="shared" si="76"/>
        <v/>
      </c>
      <c r="G69" s="158" t="str">
        <f t="shared" si="76"/>
        <v/>
      </c>
      <c r="H69" s="158" t="str">
        <f t="shared" si="76"/>
        <v/>
      </c>
      <c r="I69" s="158" t="str">
        <f t="shared" si="76"/>
        <v/>
      </c>
      <c r="J69" s="159" t="str">
        <f t="shared" si="76"/>
        <v/>
      </c>
      <c r="K69" s="160" t="str">
        <f t="shared" si="76"/>
        <v/>
      </c>
      <c r="L69" s="160" t="str">
        <f t="shared" si="76"/>
        <v/>
      </c>
      <c r="M69" s="160" t="str">
        <f t="shared" si="76"/>
        <v/>
      </c>
      <c r="N69" s="160" t="str">
        <f t="shared" si="76"/>
        <v/>
      </c>
      <c r="O69" s="160" t="str">
        <f t="shared" si="76"/>
        <v/>
      </c>
      <c r="P69" s="160" t="str">
        <f t="shared" si="76"/>
        <v/>
      </c>
      <c r="Q69" s="160" t="str">
        <f t="shared" si="76"/>
        <v/>
      </c>
      <c r="R69" s="160" t="str">
        <f t="shared" si="76"/>
        <v/>
      </c>
      <c r="S69" s="160" t="str">
        <f t="shared" si="76"/>
        <v/>
      </c>
      <c r="T69" s="160" t="str">
        <f t="shared" si="76"/>
        <v/>
      </c>
      <c r="U69" s="160" t="str">
        <f t="shared" si="76"/>
        <v/>
      </c>
      <c r="V69" s="159" t="str">
        <f t="shared" si="76"/>
        <v/>
      </c>
      <c r="W69" s="159" t="str">
        <f t="shared" si="76"/>
        <v/>
      </c>
      <c r="X69" s="159" t="str">
        <f t="shared" si="76"/>
        <v/>
      </c>
      <c r="Y69" s="159" t="str">
        <f t="shared" si="76"/>
        <v/>
      </c>
      <c r="Z69" s="159" t="str">
        <f t="shared" si="76"/>
        <v/>
      </c>
      <c r="AA69" s="159" t="str">
        <f t="shared" si="76"/>
        <v/>
      </c>
      <c r="AB69" s="159" t="str">
        <f t="shared" si="76"/>
        <v/>
      </c>
      <c r="AC69" s="159" t="str">
        <f t="shared" si="76"/>
        <v/>
      </c>
      <c r="AD69" s="159" t="str">
        <f t="shared" si="76"/>
        <v/>
      </c>
      <c r="AE69" s="159" t="str">
        <f t="shared" si="76"/>
        <v/>
      </c>
      <c r="AF69" s="159" t="str">
        <f t="shared" si="76"/>
        <v/>
      </c>
      <c r="AG69" s="159" t="str">
        <f t="shared" si="76"/>
        <v/>
      </c>
      <c r="AH69" s="159" t="str">
        <f t="shared" si="76"/>
        <v/>
      </c>
      <c r="AI69" s="159" t="str">
        <f t="shared" si="76"/>
        <v/>
      </c>
      <c r="AJ69" s="161" t="str">
        <f t="shared" si="76"/>
        <v/>
      </c>
      <c r="AK69" s="162" t="str">
        <f t="shared" si="76"/>
        <v/>
      </c>
      <c r="AL69" s="163" t="str">
        <f t="shared" si="76"/>
        <v/>
      </c>
      <c r="AM69" s="163" t="str">
        <f t="shared" si="76"/>
        <v/>
      </c>
      <c r="AN69" s="163" t="str">
        <f t="shared" si="76"/>
        <v/>
      </c>
      <c r="AO69" s="163" t="str">
        <f t="shared" si="76"/>
        <v/>
      </c>
      <c r="AP69" s="163" t="str">
        <f t="shared" si="76"/>
        <v/>
      </c>
      <c r="AQ69" s="164" t="str">
        <f t="shared" si="76"/>
        <v/>
      </c>
      <c r="AR69" s="161" t="str">
        <f t="shared" si="76"/>
        <v/>
      </c>
    </row>
    <row r="70" spans="1:44" x14ac:dyDescent="0.25">
      <c r="A70" s="178" t="str">
        <f t="shared" ref="A70" si="77">+IF(C70+C71=0,"[ocultar]","")</f>
        <v>[ocultar]</v>
      </c>
      <c r="B70" s="166" t="s">
        <v>394</v>
      </c>
      <c r="C70" s="167">
        <f t="array" ref="C70">SUM(IF($B70=DATOS_[Sexo],
IF($B69=DATOS_[AGRUP. VALOR. PTO.],
IF("Dentro"=DATOS_[Check Periodo Ref.],
1/(COUNTIFS(DATOS_[Sexo],$B70,DATOS_[AGRUP. VALOR. PTO.],$B69,DATOS_[Check Periodo Ref.],"Dentro",DATOS_[id/cod],DATOS_[id/cod]))))))</f>
        <v>0</v>
      </c>
      <c r="D70" s="168">
        <f>COUNTIFS(DATOS_[AGRUP. VALOR. PTO.],$B69,DATOS_[Sexo],$B70,DATOS_[Check Periodo Ref.],"Dentro")</f>
        <v>0</v>
      </c>
      <c r="E70" s="169">
        <f t="array" ref="E70">IFERROR(
AVERAGE(IF(DATOS_[Sexo]=$B70,IF(DATOS_[AGRUP. VALOR. PTO.]=$B69,IF(DATOS_[Check Periodo Ref.]="Dentro",DATOS_[SALARIO BASE Ef],FALSE)))),
0)</f>
        <v>0</v>
      </c>
      <c r="F70" s="170">
        <f t="array" ref="F70">IFERROR(
AVERAGE((IF(DATOS_[[Sexo]:[Sexo]]=$B70,IF(DATOS_[[AGRUP. VALOR. PTO.]:[AGRUP. VALOR. PTO.]]=$B69,IF(DATOS_[[Check Periodo Ref.]:[Check Periodo Ref.]]="Dentro",DATOS_[Conc.Sal.01]))))),
0)</f>
        <v>0</v>
      </c>
      <c r="G70" s="170">
        <f t="array" ref="G70">IFERROR(
AVERAGE((IF(DATOS_[[Sexo]:[Sexo]]=$B70,IF(DATOS_[[AGRUP. VALOR. PTO.]:[AGRUP. VALOR. PTO.]]=$B69,IF(DATOS_[[Check Periodo Ref.]:[Check Periodo Ref.]]="Dentro",DATOS_[Conc.Sal.02]))))),
0)</f>
        <v>0</v>
      </c>
      <c r="H70" s="170">
        <f t="array" ref="H70">IFERROR(
AVERAGE((IF(DATOS_[[Sexo]:[Sexo]]=$B70,IF(DATOS_[[AGRUP. VALOR. PTO.]:[AGRUP. VALOR. PTO.]]=$B69,IF(DATOS_[[Check Periodo Ref.]:[Check Periodo Ref.]]="Dentro",DATOS_[Conc.Sal.03]))))),
0)</f>
        <v>0</v>
      </c>
      <c r="I70" s="170">
        <f t="array" ref="I70">IFERROR(
AVERAGE((IF(DATOS_[[Sexo]:[Sexo]]=$B70,IF(DATOS_[[AGRUP. VALOR. PTO.]:[AGRUP. VALOR. PTO.]]=$B69,IF(DATOS_[[Check Periodo Ref.]:[Check Periodo Ref.]]="Dentro",DATOS_[Conc.Sal.04]))))),
0)</f>
        <v>0</v>
      </c>
      <c r="J70" s="170">
        <f t="array" ref="J70">IFERROR(
AVERAGE((IF(DATOS_[[Sexo]:[Sexo]]=$B70,IF(DATOS_[[AGRUP. VALOR. PTO.]:[AGRUP. VALOR. PTO.]]=$B69,IF(DATOS_[[Check Periodo Ref.]:[Check Periodo Ref.]]="Dentro",DATOS_[Conc.Sal.05]))))),
0)</f>
        <v>0</v>
      </c>
      <c r="K70" s="170">
        <f t="array" ref="K70">IFERROR(
AVERAGE((IF(DATOS_[[Sexo]:[Sexo]]=$B70,IF(DATOS_[[AGRUP. VALOR. PTO.]:[AGRUP. VALOR. PTO.]]=$B69,IF(DATOS_[[Check Periodo Ref.]:[Check Periodo Ref.]]="Dentro",DATOS_[Conc.Sal.06]))))),
0)</f>
        <v>0</v>
      </c>
      <c r="L70" s="170">
        <f t="array" ref="L70">IFERROR(
AVERAGE((IF(DATOS_[[Sexo]:[Sexo]]=$B70,IF(DATOS_[[AGRUP. VALOR. PTO.]:[AGRUP. VALOR. PTO.]]=$B69,IF(DATOS_[[Check Periodo Ref.]:[Check Periodo Ref.]]="Dentro",DATOS_[Conc.Sal.07]))))),
0)</f>
        <v>0</v>
      </c>
      <c r="M70" s="170">
        <f t="array" ref="M70">IFERROR(
AVERAGE((IF(DATOS_[[Sexo]:[Sexo]]=$B70,IF(DATOS_[[AGRUP. VALOR. PTO.]:[AGRUP. VALOR. PTO.]]=$B69,IF(DATOS_[[Check Periodo Ref.]:[Check Periodo Ref.]]="Dentro",DATOS_[Conc.Sal.08]))))),
0)</f>
        <v>0</v>
      </c>
      <c r="N70" s="170">
        <f t="array" ref="N70">IFERROR(
AVERAGE((IF(DATOS_[[Sexo]:[Sexo]]=$B70,IF(DATOS_[[AGRUP. VALOR. PTO.]:[AGRUP. VALOR. PTO.]]=$B69,IF(DATOS_[[Check Periodo Ref.]:[Check Periodo Ref.]]="Dentro",DATOS_[Conc.Sal.09]))))),
0)</f>
        <v>0</v>
      </c>
      <c r="O70" s="170">
        <f t="array" ref="O70">IFERROR(
AVERAGE((IF(DATOS_[[Sexo]:[Sexo]]=$B70,IF(DATOS_[[AGRUP. VALOR. PTO.]:[AGRUP. VALOR. PTO.]]=$B69,IF(DATOS_[[Check Periodo Ref.]:[Check Periodo Ref.]]="Dentro",DATOS_[Conc.Sal.10]))))),
0)</f>
        <v>0</v>
      </c>
      <c r="P70" s="170">
        <f t="array" ref="P70">IFERROR(
AVERAGE((IF(DATOS_[[Sexo]:[Sexo]]=$B70,IF(DATOS_[[AGRUP. VALOR. PTO.]:[AGRUP. VALOR. PTO.]]=$B69,IF(DATOS_[[Check Periodo Ref.]:[Check Periodo Ref.]]="Dentro",DATOS_[Conc.Sal.11]))))),
0)</f>
        <v>0</v>
      </c>
      <c r="Q70" s="170">
        <f t="array" ref="Q70">IFERROR(
AVERAGE((IF(DATOS_[[Sexo]:[Sexo]]=$B70,IF(DATOS_[[AGRUP. VALOR. PTO.]:[AGRUP. VALOR. PTO.]]=$B69,IF(DATOS_[[Check Periodo Ref.]:[Check Periodo Ref.]]="Dentro",DATOS_[Conc.Sal.12]))))),
0)</f>
        <v>0</v>
      </c>
      <c r="R70" s="170">
        <f t="array" ref="R70">IFERROR(
AVERAGE((IF(DATOS_[[Sexo]:[Sexo]]=$B70,IF(DATOS_[[AGRUP. VALOR. PTO.]:[AGRUP. VALOR. PTO.]]=$B69,IF(DATOS_[[Check Periodo Ref.]:[Check Periodo Ref.]]="Dentro",DATOS_[Conc.Sal.13]))))),
0)</f>
        <v>0</v>
      </c>
      <c r="S70" s="170">
        <f t="array" ref="S70">IFERROR(
AVERAGE((IF(DATOS_[[Sexo]:[Sexo]]=$B70,IF(DATOS_[[AGRUP. VALOR. PTO.]:[AGRUP. VALOR. PTO.]]=$B69,IF(DATOS_[[Check Periodo Ref.]:[Check Periodo Ref.]]="Dentro",DATOS_[Conc.Sal.14]))))),
0)</f>
        <v>0</v>
      </c>
      <c r="T70" s="170">
        <f t="array" ref="T70">IFERROR(
AVERAGE((IF(DATOS_[[Sexo]:[Sexo]]=$B70,IF(DATOS_[[AGRUP. VALOR. PTO.]:[AGRUP. VALOR. PTO.]]=$B69,IF(DATOS_[[Check Periodo Ref.]:[Check Periodo Ref.]]="Dentro",DATOS_[Conc.Sal.15]))))),
0)</f>
        <v>0</v>
      </c>
      <c r="U70" s="170">
        <f t="array" ref="U70">IFERROR(
AVERAGE((IF(DATOS_[[Sexo]:[Sexo]]=$B70,IF(DATOS_[[AGRUP. VALOR. PTO.]:[AGRUP. VALOR. PTO.]]=$B69,IF(DATOS_[[Check Periodo Ref.]:[Check Periodo Ref.]]="Dentro",DATOS_[Conc.Sal.16]))))),
0)</f>
        <v>0</v>
      </c>
      <c r="V70" s="170">
        <f t="array" ref="V70">IFERROR(
AVERAGE((IF(DATOS_[[Sexo]:[Sexo]]=$B70,IF(DATOS_[[AGRUP. VALOR. PTO.]:[AGRUP. VALOR. PTO.]]=$B69,IF(DATOS_[[Check Periodo Ref.]:[Check Periodo Ref.]]="Dentro",DATOS_[Conc.Sal.17]))))),
0)</f>
        <v>0</v>
      </c>
      <c r="W70" s="170">
        <f t="array" ref="W70">IFERROR(
AVERAGE((IF(DATOS_[[Sexo]:[Sexo]]=$B70,IF(DATOS_[[AGRUP. VALOR. PTO.]:[AGRUP. VALOR. PTO.]]=$B69,IF(DATOS_[[Check Periodo Ref.]:[Check Periodo Ref.]]="Dentro",DATOS_[Conc.Sal.18]))))),
0)</f>
        <v>0</v>
      </c>
      <c r="X70" s="170">
        <f t="array" ref="X70">IFERROR(
AVERAGE((IF(DATOS_[[Sexo]:[Sexo]]=$B70,IF(DATOS_[[AGRUP. VALOR. PTO.]:[AGRUP. VALOR. PTO.]]=$B69,IF(DATOS_[[Check Periodo Ref.]:[Check Periodo Ref.]]="Dentro",DATOS_[Conc.Sal.19]))))),
0)</f>
        <v>0</v>
      </c>
      <c r="Y70" s="170">
        <f t="array" ref="Y70">IFERROR(
AVERAGE((IF(DATOS_[[Sexo]:[Sexo]]=$B70,IF(DATOS_[[AGRUP. VALOR. PTO.]:[AGRUP. VALOR. PTO.]]=$B69,IF(DATOS_[[Check Periodo Ref.]:[Check Periodo Ref.]]="Dentro",DATOS_[Conc.Sal.20]))))),
0)</f>
        <v>0</v>
      </c>
      <c r="Z70" s="170">
        <f t="array" ref="Z70">IFERROR(
AVERAGE((IF(DATOS_[[Sexo]:[Sexo]]=$B70,IF(DATOS_[[AGRUP. VALOR. PTO.]:[AGRUP. VALOR. PTO.]]=$B69,IF(DATOS_[[Check Periodo Ref.]:[Check Periodo Ref.]]="Dentro",DATOS_[Conc.Sal.21]))))),
0)</f>
        <v>0</v>
      </c>
      <c r="AA70" s="170">
        <f t="array" ref="AA70">IFERROR(
AVERAGE((IF(DATOS_[[Sexo]:[Sexo]]=$B70,IF(DATOS_[[AGRUP. VALOR. PTO.]:[AGRUP. VALOR. PTO.]]=$B69,IF(DATOS_[[Check Periodo Ref.]:[Check Periodo Ref.]]="Dentro",DATOS_[Conc.Sal.22]))))),
0)</f>
        <v>0</v>
      </c>
      <c r="AB70" s="170">
        <f t="array" ref="AB70">IFERROR(
AVERAGE((IF(DATOS_[[Sexo]:[Sexo]]=$B70,IF(DATOS_[[AGRUP. VALOR. PTO.]:[AGRUP. VALOR. PTO.]]=$B69,IF(DATOS_[[Check Periodo Ref.]:[Check Periodo Ref.]]="Dentro",DATOS_[Conc.Sal.23]))))),
0)</f>
        <v>0</v>
      </c>
      <c r="AC70" s="170">
        <f t="array" ref="AC70">IFERROR(
AVERAGE((IF(DATOS_[[Sexo]:[Sexo]]=$B70,IF(DATOS_[[AGRUP. VALOR. PTO.]:[AGRUP. VALOR. PTO.]]=$B69,IF(DATOS_[[Check Periodo Ref.]:[Check Periodo Ref.]]="Dentro",DATOS_[Conc.Sal.24]))))),
0)</f>
        <v>0</v>
      </c>
      <c r="AD70" s="170">
        <f t="array" ref="AD70">IFERROR(
AVERAGE((IF(DATOS_[[Sexo]:[Sexo]]=$B70,IF(DATOS_[[AGRUP. VALOR. PTO.]:[AGRUP. VALOR. PTO.]]=$B69,IF(DATOS_[[Check Periodo Ref.]:[Check Periodo Ref.]]="Dentro",DATOS_[Conc.Sal.25]))))),
0)</f>
        <v>0</v>
      </c>
      <c r="AE70" s="170">
        <f t="array" ref="AE70">IFERROR(
AVERAGE((IF(DATOS_[[Sexo]:[Sexo]]=$B70,IF(DATOS_[[AGRUP. VALOR. PTO.]:[AGRUP. VALOR. PTO.]]=$B69,IF(DATOS_[[Check Periodo Ref.]:[Check Periodo Ref.]]="Dentro",DATOS_[Conc.Sal.26]))))),
0)</f>
        <v>0</v>
      </c>
      <c r="AF70" s="170">
        <f t="array" ref="AF70">IFERROR(
AVERAGE((IF(DATOS_[[Sexo]:[Sexo]]=$B70,IF(DATOS_[[AGRUP. VALOR. PTO.]:[AGRUP. VALOR. PTO.]]=$B69,IF(DATOS_[[Check Periodo Ref.]:[Check Periodo Ref.]]="Dentro",DATOS_[Conc.Sal.27]))))),
0)</f>
        <v>0</v>
      </c>
      <c r="AG70" s="170">
        <f t="array" ref="AG70">IFERROR(
AVERAGE((IF(DATOS_[[Sexo]:[Sexo]]=$B70,IF(DATOS_[[AGRUP. VALOR. PTO.]:[AGRUP. VALOR. PTO.]]=$B69,IF(DATOS_[[Check Periodo Ref.]:[Check Periodo Ref.]]="Dentro",DATOS_[Conc.Sal.28]))))),
0)</f>
        <v>0</v>
      </c>
      <c r="AH70" s="170">
        <f t="array" ref="AH70">IFERROR(
AVERAGE((IF(DATOS_[[Sexo]:[Sexo]]=$B70,IF(DATOS_[[AGRUP. VALOR. PTO.]:[AGRUP. VALOR. PTO.]]=$B69,IF(DATOS_[[Check Periodo Ref.]:[Check Periodo Ref.]]="Dentro",DATOS_[Conc.Sal.29]))))),
0)</f>
        <v>0</v>
      </c>
      <c r="AI70" s="170">
        <f t="array" ref="AI70">IFERROR(
AVERAGE((IF(DATOS_[[Sexo]:[Sexo]]=$B70,IF(DATOS_[[AGRUP. VALOR. PTO.]:[AGRUP. VALOR. PTO.]]=$B69,IF(DATOS_[[Check Periodo Ref.]:[Check Periodo Ref.]]="Dentro",DATOS_[Conc.Sal.30]))))),
0)</f>
        <v>0</v>
      </c>
      <c r="AJ70" s="171">
        <f t="array" ref="AJ70">IFERROR(
AVERAGE(IF(DATOS_[Sexo]=$B70,IF(DATOS_[AGRUP. VALOR. PTO.]=$B69,IF(DATOS_[Check Periodo Ref.]="Dentro",DATOS_[Tot COMPL.SAL Ef],FALSE)))),
0)</f>
        <v>0</v>
      </c>
      <c r="AK70" s="172">
        <f t="array" ref="AK70">IFERROR(
AVERAGE(IF(DATOS_[Sexo]=$B70,IF(DATOS_[AGRUP. VALOR. PTO.]=$B69,IF(DATOS_[Check Periodo Ref.]="Dentro",DATOS_[TOTAL SALARIO Ef],FALSE)))),
0)</f>
        <v>0</v>
      </c>
      <c r="AL70" s="173">
        <f t="array" ref="AL70">IFERROR(
AVERAGE((IF(DATOS_[[Sexo]:[Sexo]]=$B70,IF(DATOS_[[AGRUP. VALOR. PTO.]:[AGRUP. VALOR. PTO.]]=$B69,IF(DATOS_[[Check Periodo Ref.]:[Check Periodo Ref.]]="Dentro",DATOS_[C.Extra.01]))))),
0)</f>
        <v>0</v>
      </c>
      <c r="AM70" s="173">
        <f t="array" ref="AM70">IFERROR(
AVERAGE((IF(DATOS_[[Sexo]:[Sexo]]=$B70,IF(DATOS_[[AGRUP. VALOR. PTO.]:[AGRUP. VALOR. PTO.]]=$B69,IF(DATOS_[[Check Periodo Ref.]:[Check Periodo Ref.]]="Dentro",DATOS_[C.Extra.06]))))),
0)</f>
        <v>0</v>
      </c>
      <c r="AN70" s="173">
        <f t="array" ref="AN70">IFERROR(
AVERAGE((IF(DATOS_[[Sexo]:[Sexo]]=$B70,IF(DATOS_[[AGRUP. VALOR. PTO.]:[AGRUP. VALOR. PTO.]]=$B69,IF(DATOS_[[Check Periodo Ref.]:[Check Periodo Ref.]]="Dentro",DATOS_[C.Extra.07]))))),
0)</f>
        <v>0</v>
      </c>
      <c r="AO70" s="173">
        <f t="array" ref="AO70">IFERROR(
AVERAGE((IF(DATOS_[[Sexo]:[Sexo]]=$B70,IF(DATOS_[[AGRUP. VALOR. PTO.]:[AGRUP. VALOR. PTO.]]=$B69,IF(DATOS_[[Check Periodo Ref.]:[Check Periodo Ref.]]="Dentro",DATOS_[C.Extra.08]))))),
0)</f>
        <v>0</v>
      </c>
      <c r="AP70" s="173">
        <f t="array" ref="AP70">IFERROR(
AVERAGE((IF(DATOS_[[Sexo]:[Sexo]]=$B70,IF(DATOS_[[AGRUP. VALOR. PTO.]:[AGRUP. VALOR. PTO.]]=$B69,IF(DATOS_[[Check Periodo Ref.]:[Check Periodo Ref.]]="Dentro",DATOS_[C.Extra.11]))))),
0)</f>
        <v>0</v>
      </c>
      <c r="AQ70" s="174">
        <f t="array" ref="AQ70">IFERROR(
AVERAGE(IF(DATOS_[Sexo]=$B70,IF(DATOS_[AGRUP. VALOR. PTO.]=$B69,IF(DATOS_[Check Periodo Ref.]="Dentro",DATOS_[Tot Extrasalarial Ef],FALSE)))),
0)</f>
        <v>0</v>
      </c>
      <c r="AR70" s="171">
        <f t="array" ref="AR70">IFERROR(
AVERAGE(IF(DATOS_[Sexo]=$B70,IF(DATOS_[AGRUP. VALOR. PTO.]=$B69,IF(DATOS_[Check Periodo Ref.]="Dentro",DATOS_[TOTAL Retrib Ef],FALSE)))),
0)</f>
        <v>0</v>
      </c>
    </row>
    <row r="71" spans="1:44" x14ac:dyDescent="0.25">
      <c r="A71" s="178" t="str">
        <f t="shared" ref="A71" si="78">+A70</f>
        <v>[ocultar]</v>
      </c>
      <c r="B71" s="166" t="s">
        <v>521</v>
      </c>
      <c r="C71" s="167">
        <f t="array" ref="C71">SUM(IF($B71=DATOS_[Sexo],
IF($B69=DATOS_[AGRUP. VALOR. PTO.],
IF("Dentro"=DATOS_[Check Periodo Ref.],
1/(COUNTIFS(DATOS_[Sexo],$B71,DATOS_[AGRUP. VALOR. PTO.],$B69,DATOS_[Check Periodo Ref.],"Dentro",DATOS_[id/cod],DATOS_[id/cod]))))))</f>
        <v>0</v>
      </c>
      <c r="D71" s="168">
        <f>COUNTIFS(DATOS_[AGRUP. VALOR. PTO.],$B69,DATOS_[Sexo],$B71,DATOS_[Check Periodo Ref.],"Dentro")</f>
        <v>0</v>
      </c>
      <c r="E71" s="169">
        <f t="array" ref="E71">IFERROR(
AVERAGE(IF(DATOS_[Sexo]=$B71,IF(DATOS_[AGRUP. VALOR. PTO.]=$B69,IF(DATOS_[Check Periodo Ref.]="Dentro",DATOS_[SALARIO BASE Ef],FALSE)))),
0)</f>
        <v>0</v>
      </c>
      <c r="F71" s="170">
        <f t="array" ref="F71">IFERROR(
AVERAGE((IF(DATOS_[[Sexo]:[Sexo]]=$B71,IF(DATOS_[[AGRUP. VALOR. PTO.]:[AGRUP. VALOR. PTO.]]=$B69,IF(DATOS_[[Check Periodo Ref.]:[Check Periodo Ref.]]="Dentro",DATOS_[Conc.Sal.01]))))),
0)</f>
        <v>0</v>
      </c>
      <c r="G71" s="170">
        <f t="array" ref="G71">IFERROR(
AVERAGE((IF(DATOS_[[Sexo]:[Sexo]]=$B71,IF(DATOS_[[AGRUP. VALOR. PTO.]:[AGRUP. VALOR. PTO.]]=$B69,IF(DATOS_[[Check Periodo Ref.]:[Check Periodo Ref.]]="Dentro",DATOS_[Conc.Sal.02]))))),
0)</f>
        <v>0</v>
      </c>
      <c r="H71" s="170">
        <f t="array" ref="H71">IFERROR(
AVERAGE((IF(DATOS_[[Sexo]:[Sexo]]=$B71,IF(DATOS_[[AGRUP. VALOR. PTO.]:[AGRUP. VALOR. PTO.]]=$B69,IF(DATOS_[[Check Periodo Ref.]:[Check Periodo Ref.]]="Dentro",DATOS_[Conc.Sal.03]))))),
0)</f>
        <v>0</v>
      </c>
      <c r="I71" s="170">
        <f t="array" ref="I71">IFERROR(
AVERAGE((IF(DATOS_[[Sexo]:[Sexo]]=$B71,IF(DATOS_[[AGRUP. VALOR. PTO.]:[AGRUP. VALOR. PTO.]]=$B69,IF(DATOS_[[Check Periodo Ref.]:[Check Periodo Ref.]]="Dentro",DATOS_[Conc.Sal.04]))))),
0)</f>
        <v>0</v>
      </c>
      <c r="J71" s="170">
        <f t="array" ref="J71">IFERROR(
AVERAGE((IF(DATOS_[[Sexo]:[Sexo]]=$B71,IF(DATOS_[[AGRUP. VALOR. PTO.]:[AGRUP. VALOR. PTO.]]=$B69,IF(DATOS_[[Check Periodo Ref.]:[Check Periodo Ref.]]="Dentro",DATOS_[Conc.Sal.05]))))),
0)</f>
        <v>0</v>
      </c>
      <c r="K71" s="170">
        <f t="array" ref="K71">IFERROR(
AVERAGE((IF(DATOS_[[Sexo]:[Sexo]]=$B71,IF(DATOS_[[AGRUP. VALOR. PTO.]:[AGRUP. VALOR. PTO.]]=$B69,IF(DATOS_[[Check Periodo Ref.]:[Check Periodo Ref.]]="Dentro",DATOS_[Conc.Sal.06]))))),
0)</f>
        <v>0</v>
      </c>
      <c r="L71" s="170">
        <f t="array" ref="L71">IFERROR(
AVERAGE((IF(DATOS_[[Sexo]:[Sexo]]=$B71,IF(DATOS_[[AGRUP. VALOR. PTO.]:[AGRUP. VALOR. PTO.]]=$B69,IF(DATOS_[[Check Periodo Ref.]:[Check Periodo Ref.]]="Dentro",DATOS_[Conc.Sal.07]))))),
0)</f>
        <v>0</v>
      </c>
      <c r="M71" s="170">
        <f t="array" ref="M71">IFERROR(
AVERAGE((IF(DATOS_[[Sexo]:[Sexo]]=$B71,IF(DATOS_[[AGRUP. VALOR. PTO.]:[AGRUP. VALOR. PTO.]]=$B69,IF(DATOS_[[Check Periodo Ref.]:[Check Periodo Ref.]]="Dentro",DATOS_[Conc.Sal.08]))))),
0)</f>
        <v>0</v>
      </c>
      <c r="N71" s="170">
        <f t="array" ref="N71">IFERROR(
AVERAGE((IF(DATOS_[[Sexo]:[Sexo]]=$B71,IF(DATOS_[[AGRUP. VALOR. PTO.]:[AGRUP. VALOR. PTO.]]=$B69,IF(DATOS_[[Check Periodo Ref.]:[Check Periodo Ref.]]="Dentro",DATOS_[Conc.Sal.09]))))),
0)</f>
        <v>0</v>
      </c>
      <c r="O71" s="170">
        <f t="array" ref="O71">IFERROR(
AVERAGE((IF(DATOS_[[Sexo]:[Sexo]]=$B71,IF(DATOS_[[AGRUP. VALOR. PTO.]:[AGRUP. VALOR. PTO.]]=$B69,IF(DATOS_[[Check Periodo Ref.]:[Check Periodo Ref.]]="Dentro",DATOS_[Conc.Sal.10]))))),
0)</f>
        <v>0</v>
      </c>
      <c r="P71" s="170">
        <f t="array" ref="P71">IFERROR(
AVERAGE((IF(DATOS_[[Sexo]:[Sexo]]=$B71,IF(DATOS_[[AGRUP. VALOR. PTO.]:[AGRUP. VALOR. PTO.]]=$B69,IF(DATOS_[[Check Periodo Ref.]:[Check Periodo Ref.]]="Dentro",DATOS_[Conc.Sal.11]))))),
0)</f>
        <v>0</v>
      </c>
      <c r="Q71" s="170">
        <f t="array" ref="Q71">IFERROR(
AVERAGE((IF(DATOS_[[Sexo]:[Sexo]]=$B71,IF(DATOS_[[AGRUP. VALOR. PTO.]:[AGRUP. VALOR. PTO.]]=$B69,IF(DATOS_[[Check Periodo Ref.]:[Check Periodo Ref.]]="Dentro",DATOS_[Conc.Sal.12]))))),
0)</f>
        <v>0</v>
      </c>
      <c r="R71" s="170">
        <f t="array" ref="R71">IFERROR(
AVERAGE((IF(DATOS_[[Sexo]:[Sexo]]=$B71,IF(DATOS_[[AGRUP. VALOR. PTO.]:[AGRUP. VALOR. PTO.]]=$B69,IF(DATOS_[[Check Periodo Ref.]:[Check Periodo Ref.]]="Dentro",DATOS_[Conc.Sal.13]))))),
0)</f>
        <v>0</v>
      </c>
      <c r="S71" s="170">
        <f t="array" ref="S71">IFERROR(
AVERAGE((IF(DATOS_[[Sexo]:[Sexo]]=$B71,IF(DATOS_[[AGRUP. VALOR. PTO.]:[AGRUP. VALOR. PTO.]]=$B69,IF(DATOS_[[Check Periodo Ref.]:[Check Periodo Ref.]]="Dentro",DATOS_[Conc.Sal.14]))))),
0)</f>
        <v>0</v>
      </c>
      <c r="T71" s="170">
        <f t="array" ref="T71">IFERROR(
AVERAGE((IF(DATOS_[[Sexo]:[Sexo]]=$B71,IF(DATOS_[[AGRUP. VALOR. PTO.]:[AGRUP. VALOR. PTO.]]=$B69,IF(DATOS_[[Check Periodo Ref.]:[Check Periodo Ref.]]="Dentro",DATOS_[Conc.Sal.15]))))),
0)</f>
        <v>0</v>
      </c>
      <c r="U71" s="170">
        <f t="array" ref="U71">IFERROR(
AVERAGE((IF(DATOS_[[Sexo]:[Sexo]]=$B71,IF(DATOS_[[AGRUP. VALOR. PTO.]:[AGRUP. VALOR. PTO.]]=$B69,IF(DATOS_[[Check Periodo Ref.]:[Check Periodo Ref.]]="Dentro",DATOS_[Conc.Sal.16]))))),
0)</f>
        <v>0</v>
      </c>
      <c r="V71" s="170">
        <f t="array" ref="V71">IFERROR(
AVERAGE((IF(DATOS_[[Sexo]:[Sexo]]=$B71,IF(DATOS_[[AGRUP. VALOR. PTO.]:[AGRUP. VALOR. PTO.]]=$B69,IF(DATOS_[[Check Periodo Ref.]:[Check Periodo Ref.]]="Dentro",DATOS_[Conc.Sal.17]))))),
0)</f>
        <v>0</v>
      </c>
      <c r="W71" s="170">
        <f t="array" ref="W71">IFERROR(
AVERAGE((IF(DATOS_[[Sexo]:[Sexo]]=$B71,IF(DATOS_[[AGRUP. VALOR. PTO.]:[AGRUP. VALOR. PTO.]]=$B69,IF(DATOS_[[Check Periodo Ref.]:[Check Periodo Ref.]]="Dentro",DATOS_[Conc.Sal.18]))))),
0)</f>
        <v>0</v>
      </c>
      <c r="X71" s="170">
        <f t="array" ref="X71">IFERROR(
AVERAGE((IF(DATOS_[[Sexo]:[Sexo]]=$B71,IF(DATOS_[[AGRUP. VALOR. PTO.]:[AGRUP. VALOR. PTO.]]=$B69,IF(DATOS_[[Check Periodo Ref.]:[Check Periodo Ref.]]="Dentro",DATOS_[Conc.Sal.19]))))),
0)</f>
        <v>0</v>
      </c>
      <c r="Y71" s="170">
        <f t="array" ref="Y71">IFERROR(
AVERAGE((IF(DATOS_[[Sexo]:[Sexo]]=$B71,IF(DATOS_[[AGRUP. VALOR. PTO.]:[AGRUP. VALOR. PTO.]]=$B69,IF(DATOS_[[Check Periodo Ref.]:[Check Periodo Ref.]]="Dentro",DATOS_[Conc.Sal.20]))))),
0)</f>
        <v>0</v>
      </c>
      <c r="Z71" s="170">
        <f t="array" ref="Z71">IFERROR(
AVERAGE((IF(DATOS_[[Sexo]:[Sexo]]=$B71,IF(DATOS_[[AGRUP. VALOR. PTO.]:[AGRUP. VALOR. PTO.]]=$B69,IF(DATOS_[[Check Periodo Ref.]:[Check Periodo Ref.]]="Dentro",DATOS_[Conc.Sal.21]))))),
0)</f>
        <v>0</v>
      </c>
      <c r="AA71" s="170">
        <f t="array" ref="AA71">IFERROR(
AVERAGE((IF(DATOS_[[Sexo]:[Sexo]]=$B71,IF(DATOS_[[AGRUP. VALOR. PTO.]:[AGRUP. VALOR. PTO.]]=$B69,IF(DATOS_[[Check Periodo Ref.]:[Check Periodo Ref.]]="Dentro",DATOS_[Conc.Sal.22]))))),
0)</f>
        <v>0</v>
      </c>
      <c r="AB71" s="170">
        <f t="array" ref="AB71">IFERROR(
AVERAGE((IF(DATOS_[[Sexo]:[Sexo]]=$B71,IF(DATOS_[[AGRUP. VALOR. PTO.]:[AGRUP. VALOR. PTO.]]=$B69,IF(DATOS_[[Check Periodo Ref.]:[Check Periodo Ref.]]="Dentro",DATOS_[Conc.Sal.23]))))),
0)</f>
        <v>0</v>
      </c>
      <c r="AC71" s="170">
        <f t="array" ref="AC71">IFERROR(
AVERAGE((IF(DATOS_[[Sexo]:[Sexo]]=$B71,IF(DATOS_[[AGRUP. VALOR. PTO.]:[AGRUP. VALOR. PTO.]]=$B69,IF(DATOS_[[Check Periodo Ref.]:[Check Periodo Ref.]]="Dentro",DATOS_[Conc.Sal.24]))))),
0)</f>
        <v>0</v>
      </c>
      <c r="AD71" s="170">
        <f t="array" ref="AD71">IFERROR(
AVERAGE((IF(DATOS_[[Sexo]:[Sexo]]=$B71,IF(DATOS_[[AGRUP. VALOR. PTO.]:[AGRUP. VALOR. PTO.]]=$B69,IF(DATOS_[[Check Periodo Ref.]:[Check Periodo Ref.]]="Dentro",DATOS_[Conc.Sal.25]))))),
0)</f>
        <v>0</v>
      </c>
      <c r="AE71" s="170">
        <f t="array" ref="AE71">IFERROR(
AVERAGE((IF(DATOS_[[Sexo]:[Sexo]]=$B71,IF(DATOS_[[AGRUP. VALOR. PTO.]:[AGRUP. VALOR. PTO.]]=$B69,IF(DATOS_[[Check Periodo Ref.]:[Check Periodo Ref.]]="Dentro",DATOS_[Conc.Sal.26]))))),
0)</f>
        <v>0</v>
      </c>
      <c r="AF71" s="170">
        <f t="array" ref="AF71">IFERROR(
AVERAGE((IF(DATOS_[[Sexo]:[Sexo]]=$B71,IF(DATOS_[[AGRUP. VALOR. PTO.]:[AGRUP. VALOR. PTO.]]=$B69,IF(DATOS_[[Check Periodo Ref.]:[Check Periodo Ref.]]="Dentro",DATOS_[Conc.Sal.27]))))),
0)</f>
        <v>0</v>
      </c>
      <c r="AG71" s="170">
        <f t="array" ref="AG71">IFERROR(
AVERAGE((IF(DATOS_[[Sexo]:[Sexo]]=$B71,IF(DATOS_[[AGRUP. VALOR. PTO.]:[AGRUP. VALOR. PTO.]]=$B69,IF(DATOS_[[Check Periodo Ref.]:[Check Periodo Ref.]]="Dentro",DATOS_[Conc.Sal.28]))))),
0)</f>
        <v>0</v>
      </c>
      <c r="AH71" s="170">
        <f t="array" ref="AH71">IFERROR(
AVERAGE((IF(DATOS_[[Sexo]:[Sexo]]=$B71,IF(DATOS_[[AGRUP. VALOR. PTO.]:[AGRUP. VALOR. PTO.]]=$B69,IF(DATOS_[[Check Periodo Ref.]:[Check Periodo Ref.]]="Dentro",DATOS_[Conc.Sal.29]))))),
0)</f>
        <v>0</v>
      </c>
      <c r="AI71" s="170">
        <f t="array" ref="AI71">IFERROR(
AVERAGE((IF(DATOS_[[Sexo]:[Sexo]]=$B71,IF(DATOS_[[AGRUP. VALOR. PTO.]:[AGRUP. VALOR. PTO.]]=$B69,IF(DATOS_[[Check Periodo Ref.]:[Check Periodo Ref.]]="Dentro",DATOS_[Conc.Sal.30]))))),
0)</f>
        <v>0</v>
      </c>
      <c r="AJ71" s="171">
        <f t="array" ref="AJ71">IFERROR(
AVERAGE(IF(DATOS_[Sexo]=$B71,IF(DATOS_[AGRUP. VALOR. PTO.]=$B69,IF(DATOS_[Check Periodo Ref.]="Dentro",DATOS_[Tot COMPL.SAL Ef],FALSE)))),
0)</f>
        <v>0</v>
      </c>
      <c r="AK71" s="172">
        <f t="array" ref="AK71">IFERROR(
AVERAGE(IF(DATOS_[Sexo]=$B71,IF(DATOS_[AGRUP. VALOR. PTO.]=$B69,IF(DATOS_[Check Periodo Ref.]="Dentro",DATOS_[TOTAL SALARIO Ef],FALSE)))),
0)</f>
        <v>0</v>
      </c>
      <c r="AL71" s="173">
        <f t="array" ref="AL71">IFERROR(
AVERAGE((IF(DATOS_[[Sexo]:[Sexo]]=$B71,IF(DATOS_[[AGRUP. VALOR. PTO.]:[AGRUP. VALOR. PTO.]]=$B69,IF(DATOS_[[Check Periodo Ref.]:[Check Periodo Ref.]]="Dentro",DATOS_[C.Extra.01]))))),
0)</f>
        <v>0</v>
      </c>
      <c r="AM71" s="173">
        <f t="array" ref="AM71">IFERROR(
AVERAGE((IF(DATOS_[[Sexo]:[Sexo]]=$B71,IF(DATOS_[[AGRUP. VALOR. PTO.]:[AGRUP. VALOR. PTO.]]=$B69,IF(DATOS_[[Check Periodo Ref.]:[Check Periodo Ref.]]="Dentro",DATOS_[C.Extra.06]))))),
0)</f>
        <v>0</v>
      </c>
      <c r="AN71" s="173">
        <f t="array" ref="AN71">IFERROR(
AVERAGE((IF(DATOS_[[Sexo]:[Sexo]]=$B71,IF(DATOS_[[AGRUP. VALOR. PTO.]:[AGRUP. VALOR. PTO.]]=$B69,IF(DATOS_[[Check Periodo Ref.]:[Check Periodo Ref.]]="Dentro",DATOS_[C.Extra.07]))))),
0)</f>
        <v>0</v>
      </c>
      <c r="AO71" s="173">
        <f t="array" ref="AO71">IFERROR(
AVERAGE((IF(DATOS_[[Sexo]:[Sexo]]=$B71,IF(DATOS_[[AGRUP. VALOR. PTO.]:[AGRUP. VALOR. PTO.]]=$B69,IF(DATOS_[[Check Periodo Ref.]:[Check Periodo Ref.]]="Dentro",DATOS_[C.Extra.08]))))),
0)</f>
        <v>0</v>
      </c>
      <c r="AP71" s="173">
        <f t="array" ref="AP71">IFERROR(
AVERAGE((IF(DATOS_[[Sexo]:[Sexo]]=$B71,IF(DATOS_[[AGRUP. VALOR. PTO.]:[AGRUP. VALOR. PTO.]]=$B69,IF(DATOS_[[Check Periodo Ref.]:[Check Periodo Ref.]]="Dentro",DATOS_[C.Extra.11]))))),
0)</f>
        <v>0</v>
      </c>
      <c r="AQ71" s="174">
        <f t="array" ref="AQ71">IFERROR(
AVERAGE(IF(DATOS_[Sexo]=$B71,IF(DATOS_[AGRUP. VALOR. PTO.]=$B69,IF(DATOS_[Check Periodo Ref.]="Dentro",DATOS_[Tot Extrasalarial Ef],FALSE)))),
0)</f>
        <v>0</v>
      </c>
      <c r="AR71" s="171">
        <f t="array" ref="AR71">IFERROR(
AVERAGE(IF(DATOS_[Sexo]=$B71,IF(DATOS_[AGRUP. VALOR. PTO.]=$B69,IF(DATOS_[Check Periodo Ref.]="Dentro",DATOS_[TOTAL Retrib Ef],FALSE)))),
0)</f>
        <v>0</v>
      </c>
    </row>
    <row r="72" spans="1:44" ht="14.4" thickBot="1" x14ac:dyDescent="0.3">
      <c r="A72" s="178" t="str">
        <f t="shared" ref="A72" si="79">+A73</f>
        <v>[ocultar]</v>
      </c>
      <c r="B72" s="153" t="s">
        <v>257</v>
      </c>
      <c r="C72" s="154"/>
      <c r="D72" s="155"/>
      <c r="E72" s="156" t="str">
        <f t="shared" ref="E72:AR72" si="80">IFERROR((E73-E74)/E73,"")</f>
        <v/>
      </c>
      <c r="F72" s="157" t="str">
        <f t="shared" si="80"/>
        <v/>
      </c>
      <c r="G72" s="158" t="str">
        <f t="shared" si="80"/>
        <v/>
      </c>
      <c r="H72" s="158" t="str">
        <f t="shared" si="80"/>
        <v/>
      </c>
      <c r="I72" s="158" t="str">
        <f t="shared" si="80"/>
        <v/>
      </c>
      <c r="J72" s="159" t="str">
        <f t="shared" si="80"/>
        <v/>
      </c>
      <c r="K72" s="160" t="str">
        <f t="shared" si="80"/>
        <v/>
      </c>
      <c r="L72" s="160" t="str">
        <f t="shared" si="80"/>
        <v/>
      </c>
      <c r="M72" s="160" t="str">
        <f t="shared" si="80"/>
        <v/>
      </c>
      <c r="N72" s="160" t="str">
        <f t="shared" si="80"/>
        <v/>
      </c>
      <c r="O72" s="160" t="str">
        <f t="shared" si="80"/>
        <v/>
      </c>
      <c r="P72" s="160" t="str">
        <f t="shared" si="80"/>
        <v/>
      </c>
      <c r="Q72" s="160" t="str">
        <f t="shared" si="80"/>
        <v/>
      </c>
      <c r="R72" s="160" t="str">
        <f t="shared" si="80"/>
        <v/>
      </c>
      <c r="S72" s="160" t="str">
        <f t="shared" si="80"/>
        <v/>
      </c>
      <c r="T72" s="160" t="str">
        <f t="shared" si="80"/>
        <v/>
      </c>
      <c r="U72" s="160" t="str">
        <f t="shared" si="80"/>
        <v/>
      </c>
      <c r="V72" s="159" t="str">
        <f t="shared" si="80"/>
        <v/>
      </c>
      <c r="W72" s="159" t="str">
        <f t="shared" si="80"/>
        <v/>
      </c>
      <c r="X72" s="159" t="str">
        <f t="shared" si="80"/>
        <v/>
      </c>
      <c r="Y72" s="159" t="str">
        <f t="shared" si="80"/>
        <v/>
      </c>
      <c r="Z72" s="159" t="str">
        <f t="shared" si="80"/>
        <v/>
      </c>
      <c r="AA72" s="159" t="str">
        <f t="shared" si="80"/>
        <v/>
      </c>
      <c r="AB72" s="159" t="str">
        <f t="shared" si="80"/>
        <v/>
      </c>
      <c r="AC72" s="159" t="str">
        <f t="shared" si="80"/>
        <v/>
      </c>
      <c r="AD72" s="159" t="str">
        <f t="shared" si="80"/>
        <v/>
      </c>
      <c r="AE72" s="159" t="str">
        <f t="shared" si="80"/>
        <v/>
      </c>
      <c r="AF72" s="159" t="str">
        <f t="shared" si="80"/>
        <v/>
      </c>
      <c r="AG72" s="159" t="str">
        <f t="shared" si="80"/>
        <v/>
      </c>
      <c r="AH72" s="159" t="str">
        <f t="shared" si="80"/>
        <v/>
      </c>
      <c r="AI72" s="159" t="str">
        <f t="shared" si="80"/>
        <v/>
      </c>
      <c r="AJ72" s="161" t="str">
        <f t="shared" si="80"/>
        <v/>
      </c>
      <c r="AK72" s="162" t="str">
        <f t="shared" si="80"/>
        <v/>
      </c>
      <c r="AL72" s="163" t="str">
        <f t="shared" si="80"/>
        <v/>
      </c>
      <c r="AM72" s="163" t="str">
        <f t="shared" si="80"/>
        <v/>
      </c>
      <c r="AN72" s="163" t="str">
        <f t="shared" si="80"/>
        <v/>
      </c>
      <c r="AO72" s="163" t="str">
        <f t="shared" si="80"/>
        <v/>
      </c>
      <c r="AP72" s="163" t="str">
        <f t="shared" si="80"/>
        <v/>
      </c>
      <c r="AQ72" s="164" t="str">
        <f t="shared" si="80"/>
        <v/>
      </c>
      <c r="AR72" s="161" t="str">
        <f t="shared" si="80"/>
        <v/>
      </c>
    </row>
    <row r="73" spans="1:44" x14ac:dyDescent="0.25">
      <c r="A73" s="178" t="str">
        <f t="shared" ref="A73" si="81">+IF(C73+C74=0,"[ocultar]","")</f>
        <v>[ocultar]</v>
      </c>
      <c r="B73" s="166" t="s">
        <v>394</v>
      </c>
      <c r="C73" s="167">
        <f t="array" ref="C73">SUM(IF($B73=DATOS_[Sexo],
IF($B72=DATOS_[AGRUP. VALOR. PTO.],
IF("Dentro"=DATOS_[Check Periodo Ref.],
1/(COUNTIFS(DATOS_[Sexo],$B73,DATOS_[AGRUP. VALOR. PTO.],$B72,DATOS_[Check Periodo Ref.],"Dentro",DATOS_[id/cod],DATOS_[id/cod]))))))</f>
        <v>0</v>
      </c>
      <c r="D73" s="168">
        <f>COUNTIFS(DATOS_[AGRUP. VALOR. PTO.],$B72,DATOS_[Sexo],$B73,DATOS_[Check Periodo Ref.],"Dentro")</f>
        <v>0</v>
      </c>
      <c r="E73" s="169">
        <f t="array" ref="E73">IFERROR(
AVERAGE(IF(DATOS_[Sexo]=$B73,IF(DATOS_[AGRUP. VALOR. PTO.]=$B72,IF(DATOS_[Check Periodo Ref.]="Dentro",DATOS_[SALARIO BASE Ef],FALSE)))),
0)</f>
        <v>0</v>
      </c>
      <c r="F73" s="170">
        <f t="array" ref="F73">IFERROR(
AVERAGE((IF(DATOS_[[Sexo]:[Sexo]]=$B73,IF(DATOS_[[AGRUP. VALOR. PTO.]:[AGRUP. VALOR. PTO.]]=$B72,IF(DATOS_[[Check Periodo Ref.]:[Check Periodo Ref.]]="Dentro",DATOS_[Conc.Sal.01]))))),
0)</f>
        <v>0</v>
      </c>
      <c r="G73" s="170">
        <f t="array" ref="G73">IFERROR(
AVERAGE((IF(DATOS_[[Sexo]:[Sexo]]=$B73,IF(DATOS_[[AGRUP. VALOR. PTO.]:[AGRUP. VALOR. PTO.]]=$B72,IF(DATOS_[[Check Periodo Ref.]:[Check Periodo Ref.]]="Dentro",DATOS_[Conc.Sal.02]))))),
0)</f>
        <v>0</v>
      </c>
      <c r="H73" s="170">
        <f t="array" ref="H73">IFERROR(
AVERAGE((IF(DATOS_[[Sexo]:[Sexo]]=$B73,IF(DATOS_[[AGRUP. VALOR. PTO.]:[AGRUP. VALOR. PTO.]]=$B72,IF(DATOS_[[Check Periodo Ref.]:[Check Periodo Ref.]]="Dentro",DATOS_[Conc.Sal.03]))))),
0)</f>
        <v>0</v>
      </c>
      <c r="I73" s="170">
        <f t="array" ref="I73">IFERROR(
AVERAGE((IF(DATOS_[[Sexo]:[Sexo]]=$B73,IF(DATOS_[[AGRUP. VALOR. PTO.]:[AGRUP. VALOR. PTO.]]=$B72,IF(DATOS_[[Check Periodo Ref.]:[Check Periodo Ref.]]="Dentro",DATOS_[Conc.Sal.04]))))),
0)</f>
        <v>0</v>
      </c>
      <c r="J73" s="170">
        <f t="array" ref="J73">IFERROR(
AVERAGE((IF(DATOS_[[Sexo]:[Sexo]]=$B73,IF(DATOS_[[AGRUP. VALOR. PTO.]:[AGRUP. VALOR. PTO.]]=$B72,IF(DATOS_[[Check Periodo Ref.]:[Check Periodo Ref.]]="Dentro",DATOS_[Conc.Sal.05]))))),
0)</f>
        <v>0</v>
      </c>
      <c r="K73" s="170">
        <f t="array" ref="K73">IFERROR(
AVERAGE((IF(DATOS_[[Sexo]:[Sexo]]=$B73,IF(DATOS_[[AGRUP. VALOR. PTO.]:[AGRUP. VALOR. PTO.]]=$B72,IF(DATOS_[[Check Periodo Ref.]:[Check Periodo Ref.]]="Dentro",DATOS_[Conc.Sal.06]))))),
0)</f>
        <v>0</v>
      </c>
      <c r="L73" s="170">
        <f t="array" ref="L73">IFERROR(
AVERAGE((IF(DATOS_[[Sexo]:[Sexo]]=$B73,IF(DATOS_[[AGRUP. VALOR. PTO.]:[AGRUP. VALOR. PTO.]]=$B72,IF(DATOS_[[Check Periodo Ref.]:[Check Periodo Ref.]]="Dentro",DATOS_[Conc.Sal.07]))))),
0)</f>
        <v>0</v>
      </c>
      <c r="M73" s="170">
        <f t="array" ref="M73">IFERROR(
AVERAGE((IF(DATOS_[[Sexo]:[Sexo]]=$B73,IF(DATOS_[[AGRUP. VALOR. PTO.]:[AGRUP. VALOR. PTO.]]=$B72,IF(DATOS_[[Check Periodo Ref.]:[Check Periodo Ref.]]="Dentro",DATOS_[Conc.Sal.08]))))),
0)</f>
        <v>0</v>
      </c>
      <c r="N73" s="170">
        <f t="array" ref="N73">IFERROR(
AVERAGE((IF(DATOS_[[Sexo]:[Sexo]]=$B73,IF(DATOS_[[AGRUP. VALOR. PTO.]:[AGRUP. VALOR. PTO.]]=$B72,IF(DATOS_[[Check Periodo Ref.]:[Check Periodo Ref.]]="Dentro",DATOS_[Conc.Sal.09]))))),
0)</f>
        <v>0</v>
      </c>
      <c r="O73" s="170">
        <f t="array" ref="O73">IFERROR(
AVERAGE((IF(DATOS_[[Sexo]:[Sexo]]=$B73,IF(DATOS_[[AGRUP. VALOR. PTO.]:[AGRUP. VALOR. PTO.]]=$B72,IF(DATOS_[[Check Periodo Ref.]:[Check Periodo Ref.]]="Dentro",DATOS_[Conc.Sal.10]))))),
0)</f>
        <v>0</v>
      </c>
      <c r="P73" s="170">
        <f t="array" ref="P73">IFERROR(
AVERAGE((IF(DATOS_[[Sexo]:[Sexo]]=$B73,IF(DATOS_[[AGRUP. VALOR. PTO.]:[AGRUP. VALOR. PTO.]]=$B72,IF(DATOS_[[Check Periodo Ref.]:[Check Periodo Ref.]]="Dentro",DATOS_[Conc.Sal.11]))))),
0)</f>
        <v>0</v>
      </c>
      <c r="Q73" s="170">
        <f t="array" ref="Q73">IFERROR(
AVERAGE((IF(DATOS_[[Sexo]:[Sexo]]=$B73,IF(DATOS_[[AGRUP. VALOR. PTO.]:[AGRUP. VALOR. PTO.]]=$B72,IF(DATOS_[[Check Periodo Ref.]:[Check Periodo Ref.]]="Dentro",DATOS_[Conc.Sal.12]))))),
0)</f>
        <v>0</v>
      </c>
      <c r="R73" s="170">
        <f t="array" ref="R73">IFERROR(
AVERAGE((IF(DATOS_[[Sexo]:[Sexo]]=$B73,IF(DATOS_[[AGRUP. VALOR. PTO.]:[AGRUP. VALOR. PTO.]]=$B72,IF(DATOS_[[Check Periodo Ref.]:[Check Periodo Ref.]]="Dentro",DATOS_[Conc.Sal.13]))))),
0)</f>
        <v>0</v>
      </c>
      <c r="S73" s="170">
        <f t="array" ref="S73">IFERROR(
AVERAGE((IF(DATOS_[[Sexo]:[Sexo]]=$B73,IF(DATOS_[[AGRUP. VALOR. PTO.]:[AGRUP. VALOR. PTO.]]=$B72,IF(DATOS_[[Check Periodo Ref.]:[Check Periodo Ref.]]="Dentro",DATOS_[Conc.Sal.14]))))),
0)</f>
        <v>0</v>
      </c>
      <c r="T73" s="170">
        <f t="array" ref="T73">IFERROR(
AVERAGE((IF(DATOS_[[Sexo]:[Sexo]]=$B73,IF(DATOS_[[AGRUP. VALOR. PTO.]:[AGRUP. VALOR. PTO.]]=$B72,IF(DATOS_[[Check Periodo Ref.]:[Check Periodo Ref.]]="Dentro",DATOS_[Conc.Sal.15]))))),
0)</f>
        <v>0</v>
      </c>
      <c r="U73" s="170">
        <f t="array" ref="U73">IFERROR(
AVERAGE((IF(DATOS_[[Sexo]:[Sexo]]=$B73,IF(DATOS_[[AGRUP. VALOR. PTO.]:[AGRUP. VALOR. PTO.]]=$B72,IF(DATOS_[[Check Periodo Ref.]:[Check Periodo Ref.]]="Dentro",DATOS_[Conc.Sal.16]))))),
0)</f>
        <v>0</v>
      </c>
      <c r="V73" s="170">
        <f t="array" ref="V73">IFERROR(
AVERAGE((IF(DATOS_[[Sexo]:[Sexo]]=$B73,IF(DATOS_[[AGRUP. VALOR. PTO.]:[AGRUP. VALOR. PTO.]]=$B72,IF(DATOS_[[Check Periodo Ref.]:[Check Periodo Ref.]]="Dentro",DATOS_[Conc.Sal.17]))))),
0)</f>
        <v>0</v>
      </c>
      <c r="W73" s="170">
        <f t="array" ref="W73">IFERROR(
AVERAGE((IF(DATOS_[[Sexo]:[Sexo]]=$B73,IF(DATOS_[[AGRUP. VALOR. PTO.]:[AGRUP. VALOR. PTO.]]=$B72,IF(DATOS_[[Check Periodo Ref.]:[Check Periodo Ref.]]="Dentro",DATOS_[Conc.Sal.18]))))),
0)</f>
        <v>0</v>
      </c>
      <c r="X73" s="170">
        <f t="array" ref="X73">IFERROR(
AVERAGE((IF(DATOS_[[Sexo]:[Sexo]]=$B73,IF(DATOS_[[AGRUP. VALOR. PTO.]:[AGRUP. VALOR. PTO.]]=$B72,IF(DATOS_[[Check Periodo Ref.]:[Check Periodo Ref.]]="Dentro",DATOS_[Conc.Sal.19]))))),
0)</f>
        <v>0</v>
      </c>
      <c r="Y73" s="170">
        <f t="array" ref="Y73">IFERROR(
AVERAGE((IF(DATOS_[[Sexo]:[Sexo]]=$B73,IF(DATOS_[[AGRUP. VALOR. PTO.]:[AGRUP. VALOR. PTO.]]=$B72,IF(DATOS_[[Check Periodo Ref.]:[Check Periodo Ref.]]="Dentro",DATOS_[Conc.Sal.20]))))),
0)</f>
        <v>0</v>
      </c>
      <c r="Z73" s="170">
        <f t="array" ref="Z73">IFERROR(
AVERAGE((IF(DATOS_[[Sexo]:[Sexo]]=$B73,IF(DATOS_[[AGRUP. VALOR. PTO.]:[AGRUP. VALOR. PTO.]]=$B72,IF(DATOS_[[Check Periodo Ref.]:[Check Periodo Ref.]]="Dentro",DATOS_[Conc.Sal.21]))))),
0)</f>
        <v>0</v>
      </c>
      <c r="AA73" s="170">
        <f t="array" ref="AA73">IFERROR(
AVERAGE((IF(DATOS_[[Sexo]:[Sexo]]=$B73,IF(DATOS_[[AGRUP. VALOR. PTO.]:[AGRUP. VALOR. PTO.]]=$B72,IF(DATOS_[[Check Periodo Ref.]:[Check Periodo Ref.]]="Dentro",DATOS_[Conc.Sal.22]))))),
0)</f>
        <v>0</v>
      </c>
      <c r="AB73" s="170">
        <f t="array" ref="AB73">IFERROR(
AVERAGE((IF(DATOS_[[Sexo]:[Sexo]]=$B73,IF(DATOS_[[AGRUP. VALOR. PTO.]:[AGRUP. VALOR. PTO.]]=$B72,IF(DATOS_[[Check Periodo Ref.]:[Check Periodo Ref.]]="Dentro",DATOS_[Conc.Sal.23]))))),
0)</f>
        <v>0</v>
      </c>
      <c r="AC73" s="170">
        <f t="array" ref="AC73">IFERROR(
AVERAGE((IF(DATOS_[[Sexo]:[Sexo]]=$B73,IF(DATOS_[[AGRUP. VALOR. PTO.]:[AGRUP. VALOR. PTO.]]=$B72,IF(DATOS_[[Check Periodo Ref.]:[Check Periodo Ref.]]="Dentro",DATOS_[Conc.Sal.24]))))),
0)</f>
        <v>0</v>
      </c>
      <c r="AD73" s="170">
        <f t="array" ref="AD73">IFERROR(
AVERAGE((IF(DATOS_[[Sexo]:[Sexo]]=$B73,IF(DATOS_[[AGRUP. VALOR. PTO.]:[AGRUP. VALOR. PTO.]]=$B72,IF(DATOS_[[Check Periodo Ref.]:[Check Periodo Ref.]]="Dentro",DATOS_[Conc.Sal.25]))))),
0)</f>
        <v>0</v>
      </c>
      <c r="AE73" s="170">
        <f t="array" ref="AE73">IFERROR(
AVERAGE((IF(DATOS_[[Sexo]:[Sexo]]=$B73,IF(DATOS_[[AGRUP. VALOR. PTO.]:[AGRUP. VALOR. PTO.]]=$B72,IF(DATOS_[[Check Periodo Ref.]:[Check Periodo Ref.]]="Dentro",DATOS_[Conc.Sal.26]))))),
0)</f>
        <v>0</v>
      </c>
      <c r="AF73" s="170">
        <f t="array" ref="AF73">IFERROR(
AVERAGE((IF(DATOS_[[Sexo]:[Sexo]]=$B73,IF(DATOS_[[AGRUP. VALOR. PTO.]:[AGRUP. VALOR. PTO.]]=$B72,IF(DATOS_[[Check Periodo Ref.]:[Check Periodo Ref.]]="Dentro",DATOS_[Conc.Sal.27]))))),
0)</f>
        <v>0</v>
      </c>
      <c r="AG73" s="170">
        <f t="array" ref="AG73">IFERROR(
AVERAGE((IF(DATOS_[[Sexo]:[Sexo]]=$B73,IF(DATOS_[[AGRUP. VALOR. PTO.]:[AGRUP. VALOR. PTO.]]=$B72,IF(DATOS_[[Check Periodo Ref.]:[Check Periodo Ref.]]="Dentro",DATOS_[Conc.Sal.28]))))),
0)</f>
        <v>0</v>
      </c>
      <c r="AH73" s="170">
        <f t="array" ref="AH73">IFERROR(
AVERAGE((IF(DATOS_[[Sexo]:[Sexo]]=$B73,IF(DATOS_[[AGRUP. VALOR. PTO.]:[AGRUP. VALOR. PTO.]]=$B72,IF(DATOS_[[Check Periodo Ref.]:[Check Periodo Ref.]]="Dentro",DATOS_[Conc.Sal.29]))))),
0)</f>
        <v>0</v>
      </c>
      <c r="AI73" s="170">
        <f t="array" ref="AI73">IFERROR(
AVERAGE((IF(DATOS_[[Sexo]:[Sexo]]=$B73,IF(DATOS_[[AGRUP. VALOR. PTO.]:[AGRUP. VALOR. PTO.]]=$B72,IF(DATOS_[[Check Periodo Ref.]:[Check Periodo Ref.]]="Dentro",DATOS_[Conc.Sal.30]))))),
0)</f>
        <v>0</v>
      </c>
      <c r="AJ73" s="171">
        <f t="array" ref="AJ73">IFERROR(
AVERAGE(IF(DATOS_[Sexo]=$B73,IF(DATOS_[AGRUP. VALOR. PTO.]=$B72,IF(DATOS_[Check Periodo Ref.]="Dentro",DATOS_[Tot COMPL.SAL Ef],FALSE)))),
0)</f>
        <v>0</v>
      </c>
      <c r="AK73" s="172">
        <f t="array" ref="AK73">IFERROR(
AVERAGE(IF(DATOS_[Sexo]=$B73,IF(DATOS_[AGRUP. VALOR. PTO.]=$B72,IF(DATOS_[Check Periodo Ref.]="Dentro",DATOS_[TOTAL SALARIO Ef],FALSE)))),
0)</f>
        <v>0</v>
      </c>
      <c r="AL73" s="173">
        <f t="array" ref="AL73">IFERROR(
AVERAGE((IF(DATOS_[[Sexo]:[Sexo]]=$B73,IF(DATOS_[[AGRUP. VALOR. PTO.]:[AGRUP. VALOR. PTO.]]=$B72,IF(DATOS_[[Check Periodo Ref.]:[Check Periodo Ref.]]="Dentro",DATOS_[C.Extra.01]))))),
0)</f>
        <v>0</v>
      </c>
      <c r="AM73" s="173">
        <f t="array" ref="AM73">IFERROR(
AVERAGE((IF(DATOS_[[Sexo]:[Sexo]]=$B73,IF(DATOS_[[AGRUP. VALOR. PTO.]:[AGRUP. VALOR. PTO.]]=$B72,IF(DATOS_[[Check Periodo Ref.]:[Check Periodo Ref.]]="Dentro",DATOS_[C.Extra.06]))))),
0)</f>
        <v>0</v>
      </c>
      <c r="AN73" s="173">
        <f t="array" ref="AN73">IFERROR(
AVERAGE((IF(DATOS_[[Sexo]:[Sexo]]=$B73,IF(DATOS_[[AGRUP. VALOR. PTO.]:[AGRUP. VALOR. PTO.]]=$B72,IF(DATOS_[[Check Periodo Ref.]:[Check Periodo Ref.]]="Dentro",DATOS_[C.Extra.07]))))),
0)</f>
        <v>0</v>
      </c>
      <c r="AO73" s="173">
        <f t="array" ref="AO73">IFERROR(
AVERAGE((IF(DATOS_[[Sexo]:[Sexo]]=$B73,IF(DATOS_[[AGRUP. VALOR. PTO.]:[AGRUP. VALOR. PTO.]]=$B72,IF(DATOS_[[Check Periodo Ref.]:[Check Periodo Ref.]]="Dentro",DATOS_[C.Extra.08]))))),
0)</f>
        <v>0</v>
      </c>
      <c r="AP73" s="173">
        <f t="array" ref="AP73">IFERROR(
AVERAGE((IF(DATOS_[[Sexo]:[Sexo]]=$B73,IF(DATOS_[[AGRUP. VALOR. PTO.]:[AGRUP. VALOR. PTO.]]=$B72,IF(DATOS_[[Check Periodo Ref.]:[Check Periodo Ref.]]="Dentro",DATOS_[C.Extra.11]))))),
0)</f>
        <v>0</v>
      </c>
      <c r="AQ73" s="174">
        <f t="array" ref="AQ73">IFERROR(
AVERAGE(IF(DATOS_[Sexo]=$B73,IF(DATOS_[AGRUP. VALOR. PTO.]=$B72,IF(DATOS_[Check Periodo Ref.]="Dentro",DATOS_[Tot Extrasalarial Ef],FALSE)))),
0)</f>
        <v>0</v>
      </c>
      <c r="AR73" s="171">
        <f t="array" ref="AR73">IFERROR(
AVERAGE(IF(DATOS_[Sexo]=$B73,IF(DATOS_[AGRUP. VALOR. PTO.]=$B72,IF(DATOS_[Check Periodo Ref.]="Dentro",DATOS_[TOTAL Retrib Ef],FALSE)))),
0)</f>
        <v>0</v>
      </c>
    </row>
    <row r="74" spans="1:44" x14ac:dyDescent="0.25">
      <c r="A74" s="178" t="str">
        <f t="shared" ref="A74" si="82">+A73</f>
        <v>[ocultar]</v>
      </c>
      <c r="B74" s="166" t="s">
        <v>521</v>
      </c>
      <c r="C74" s="167">
        <f t="array" ref="C74">SUM(IF($B74=DATOS_[Sexo],
IF($B72=DATOS_[AGRUP. VALOR. PTO.],
IF("Dentro"=DATOS_[Check Periodo Ref.],
1/(COUNTIFS(DATOS_[Sexo],$B74,DATOS_[AGRUP. VALOR. PTO.],$B72,DATOS_[Check Periodo Ref.],"Dentro",DATOS_[id/cod],DATOS_[id/cod]))))))</f>
        <v>0</v>
      </c>
      <c r="D74" s="168">
        <f>COUNTIFS(DATOS_[AGRUP. VALOR. PTO.],$B72,DATOS_[Sexo],$B74,DATOS_[Check Periodo Ref.],"Dentro")</f>
        <v>0</v>
      </c>
      <c r="E74" s="169">
        <f t="array" ref="E74">IFERROR(
AVERAGE(IF(DATOS_[Sexo]=$B74,IF(DATOS_[AGRUP. VALOR. PTO.]=$B72,IF(DATOS_[Check Periodo Ref.]="Dentro",DATOS_[SALARIO BASE Ef],FALSE)))),
0)</f>
        <v>0</v>
      </c>
      <c r="F74" s="170">
        <f t="array" ref="F74">IFERROR(
AVERAGE((IF(DATOS_[[Sexo]:[Sexo]]=$B74,IF(DATOS_[[AGRUP. VALOR. PTO.]:[AGRUP. VALOR. PTO.]]=$B72,IF(DATOS_[[Check Periodo Ref.]:[Check Periodo Ref.]]="Dentro",DATOS_[Conc.Sal.01]))))),
0)</f>
        <v>0</v>
      </c>
      <c r="G74" s="170">
        <f t="array" ref="G74">IFERROR(
AVERAGE((IF(DATOS_[[Sexo]:[Sexo]]=$B74,IF(DATOS_[[AGRUP. VALOR. PTO.]:[AGRUP. VALOR. PTO.]]=$B72,IF(DATOS_[[Check Periodo Ref.]:[Check Periodo Ref.]]="Dentro",DATOS_[Conc.Sal.02]))))),
0)</f>
        <v>0</v>
      </c>
      <c r="H74" s="170">
        <f t="array" ref="H74">IFERROR(
AVERAGE((IF(DATOS_[[Sexo]:[Sexo]]=$B74,IF(DATOS_[[AGRUP. VALOR. PTO.]:[AGRUP. VALOR. PTO.]]=$B72,IF(DATOS_[[Check Periodo Ref.]:[Check Periodo Ref.]]="Dentro",DATOS_[Conc.Sal.03]))))),
0)</f>
        <v>0</v>
      </c>
      <c r="I74" s="170">
        <f t="array" ref="I74">IFERROR(
AVERAGE((IF(DATOS_[[Sexo]:[Sexo]]=$B74,IF(DATOS_[[AGRUP. VALOR. PTO.]:[AGRUP. VALOR. PTO.]]=$B72,IF(DATOS_[[Check Periodo Ref.]:[Check Periodo Ref.]]="Dentro",DATOS_[Conc.Sal.04]))))),
0)</f>
        <v>0</v>
      </c>
      <c r="J74" s="170">
        <f t="array" ref="J74">IFERROR(
AVERAGE((IF(DATOS_[[Sexo]:[Sexo]]=$B74,IF(DATOS_[[AGRUP. VALOR. PTO.]:[AGRUP. VALOR. PTO.]]=$B72,IF(DATOS_[[Check Periodo Ref.]:[Check Periodo Ref.]]="Dentro",DATOS_[Conc.Sal.05]))))),
0)</f>
        <v>0</v>
      </c>
      <c r="K74" s="170">
        <f t="array" ref="K74">IFERROR(
AVERAGE((IF(DATOS_[[Sexo]:[Sexo]]=$B74,IF(DATOS_[[AGRUP. VALOR. PTO.]:[AGRUP. VALOR. PTO.]]=$B72,IF(DATOS_[[Check Periodo Ref.]:[Check Periodo Ref.]]="Dentro",DATOS_[Conc.Sal.06]))))),
0)</f>
        <v>0</v>
      </c>
      <c r="L74" s="170">
        <f t="array" ref="L74">IFERROR(
AVERAGE((IF(DATOS_[[Sexo]:[Sexo]]=$B74,IF(DATOS_[[AGRUP. VALOR. PTO.]:[AGRUP. VALOR. PTO.]]=$B72,IF(DATOS_[[Check Periodo Ref.]:[Check Periodo Ref.]]="Dentro",DATOS_[Conc.Sal.07]))))),
0)</f>
        <v>0</v>
      </c>
      <c r="M74" s="170">
        <f t="array" ref="M74">IFERROR(
AVERAGE((IF(DATOS_[[Sexo]:[Sexo]]=$B74,IF(DATOS_[[AGRUP. VALOR. PTO.]:[AGRUP. VALOR. PTO.]]=$B72,IF(DATOS_[[Check Periodo Ref.]:[Check Periodo Ref.]]="Dentro",DATOS_[Conc.Sal.08]))))),
0)</f>
        <v>0</v>
      </c>
      <c r="N74" s="170">
        <f t="array" ref="N74">IFERROR(
AVERAGE((IF(DATOS_[[Sexo]:[Sexo]]=$B74,IF(DATOS_[[AGRUP. VALOR. PTO.]:[AGRUP. VALOR. PTO.]]=$B72,IF(DATOS_[[Check Periodo Ref.]:[Check Periodo Ref.]]="Dentro",DATOS_[Conc.Sal.09]))))),
0)</f>
        <v>0</v>
      </c>
      <c r="O74" s="170">
        <f t="array" ref="O74">IFERROR(
AVERAGE((IF(DATOS_[[Sexo]:[Sexo]]=$B74,IF(DATOS_[[AGRUP. VALOR. PTO.]:[AGRUP. VALOR. PTO.]]=$B72,IF(DATOS_[[Check Periodo Ref.]:[Check Periodo Ref.]]="Dentro",DATOS_[Conc.Sal.10]))))),
0)</f>
        <v>0</v>
      </c>
      <c r="P74" s="170">
        <f t="array" ref="P74">IFERROR(
AVERAGE((IF(DATOS_[[Sexo]:[Sexo]]=$B74,IF(DATOS_[[AGRUP. VALOR. PTO.]:[AGRUP. VALOR. PTO.]]=$B72,IF(DATOS_[[Check Periodo Ref.]:[Check Periodo Ref.]]="Dentro",DATOS_[Conc.Sal.11]))))),
0)</f>
        <v>0</v>
      </c>
      <c r="Q74" s="170">
        <f t="array" ref="Q74">IFERROR(
AVERAGE((IF(DATOS_[[Sexo]:[Sexo]]=$B74,IF(DATOS_[[AGRUP. VALOR. PTO.]:[AGRUP. VALOR. PTO.]]=$B72,IF(DATOS_[[Check Periodo Ref.]:[Check Periodo Ref.]]="Dentro",DATOS_[Conc.Sal.12]))))),
0)</f>
        <v>0</v>
      </c>
      <c r="R74" s="170">
        <f t="array" ref="R74">IFERROR(
AVERAGE((IF(DATOS_[[Sexo]:[Sexo]]=$B74,IF(DATOS_[[AGRUP. VALOR. PTO.]:[AGRUP. VALOR. PTO.]]=$B72,IF(DATOS_[[Check Periodo Ref.]:[Check Periodo Ref.]]="Dentro",DATOS_[Conc.Sal.13]))))),
0)</f>
        <v>0</v>
      </c>
      <c r="S74" s="170">
        <f t="array" ref="S74">IFERROR(
AVERAGE((IF(DATOS_[[Sexo]:[Sexo]]=$B74,IF(DATOS_[[AGRUP. VALOR. PTO.]:[AGRUP. VALOR. PTO.]]=$B72,IF(DATOS_[[Check Periodo Ref.]:[Check Periodo Ref.]]="Dentro",DATOS_[Conc.Sal.14]))))),
0)</f>
        <v>0</v>
      </c>
      <c r="T74" s="170">
        <f t="array" ref="T74">IFERROR(
AVERAGE((IF(DATOS_[[Sexo]:[Sexo]]=$B74,IF(DATOS_[[AGRUP. VALOR. PTO.]:[AGRUP. VALOR. PTO.]]=$B72,IF(DATOS_[[Check Periodo Ref.]:[Check Periodo Ref.]]="Dentro",DATOS_[Conc.Sal.15]))))),
0)</f>
        <v>0</v>
      </c>
      <c r="U74" s="170">
        <f t="array" ref="U74">IFERROR(
AVERAGE((IF(DATOS_[[Sexo]:[Sexo]]=$B74,IF(DATOS_[[AGRUP. VALOR. PTO.]:[AGRUP. VALOR. PTO.]]=$B72,IF(DATOS_[[Check Periodo Ref.]:[Check Periodo Ref.]]="Dentro",DATOS_[Conc.Sal.16]))))),
0)</f>
        <v>0</v>
      </c>
      <c r="V74" s="170">
        <f t="array" ref="V74">IFERROR(
AVERAGE((IF(DATOS_[[Sexo]:[Sexo]]=$B74,IF(DATOS_[[AGRUP. VALOR. PTO.]:[AGRUP. VALOR. PTO.]]=$B72,IF(DATOS_[[Check Periodo Ref.]:[Check Periodo Ref.]]="Dentro",DATOS_[Conc.Sal.17]))))),
0)</f>
        <v>0</v>
      </c>
      <c r="W74" s="170">
        <f t="array" ref="W74">IFERROR(
AVERAGE((IF(DATOS_[[Sexo]:[Sexo]]=$B74,IF(DATOS_[[AGRUP. VALOR. PTO.]:[AGRUP. VALOR. PTO.]]=$B72,IF(DATOS_[[Check Periodo Ref.]:[Check Periodo Ref.]]="Dentro",DATOS_[Conc.Sal.18]))))),
0)</f>
        <v>0</v>
      </c>
      <c r="X74" s="170">
        <f t="array" ref="X74">IFERROR(
AVERAGE((IF(DATOS_[[Sexo]:[Sexo]]=$B74,IF(DATOS_[[AGRUP. VALOR. PTO.]:[AGRUP. VALOR. PTO.]]=$B72,IF(DATOS_[[Check Periodo Ref.]:[Check Periodo Ref.]]="Dentro",DATOS_[Conc.Sal.19]))))),
0)</f>
        <v>0</v>
      </c>
      <c r="Y74" s="170">
        <f t="array" ref="Y74">IFERROR(
AVERAGE((IF(DATOS_[[Sexo]:[Sexo]]=$B74,IF(DATOS_[[AGRUP. VALOR. PTO.]:[AGRUP. VALOR. PTO.]]=$B72,IF(DATOS_[[Check Periodo Ref.]:[Check Periodo Ref.]]="Dentro",DATOS_[Conc.Sal.20]))))),
0)</f>
        <v>0</v>
      </c>
      <c r="Z74" s="170">
        <f t="array" ref="Z74">IFERROR(
AVERAGE((IF(DATOS_[[Sexo]:[Sexo]]=$B74,IF(DATOS_[[AGRUP. VALOR. PTO.]:[AGRUP. VALOR. PTO.]]=$B72,IF(DATOS_[[Check Periodo Ref.]:[Check Periodo Ref.]]="Dentro",DATOS_[Conc.Sal.21]))))),
0)</f>
        <v>0</v>
      </c>
      <c r="AA74" s="170">
        <f t="array" ref="AA74">IFERROR(
AVERAGE((IF(DATOS_[[Sexo]:[Sexo]]=$B74,IF(DATOS_[[AGRUP. VALOR. PTO.]:[AGRUP. VALOR. PTO.]]=$B72,IF(DATOS_[[Check Periodo Ref.]:[Check Periodo Ref.]]="Dentro",DATOS_[Conc.Sal.22]))))),
0)</f>
        <v>0</v>
      </c>
      <c r="AB74" s="170">
        <f t="array" ref="AB74">IFERROR(
AVERAGE((IF(DATOS_[[Sexo]:[Sexo]]=$B74,IF(DATOS_[[AGRUP. VALOR. PTO.]:[AGRUP. VALOR. PTO.]]=$B72,IF(DATOS_[[Check Periodo Ref.]:[Check Periodo Ref.]]="Dentro",DATOS_[Conc.Sal.23]))))),
0)</f>
        <v>0</v>
      </c>
      <c r="AC74" s="170">
        <f t="array" ref="AC74">IFERROR(
AVERAGE((IF(DATOS_[[Sexo]:[Sexo]]=$B74,IF(DATOS_[[AGRUP. VALOR. PTO.]:[AGRUP. VALOR. PTO.]]=$B72,IF(DATOS_[[Check Periodo Ref.]:[Check Periodo Ref.]]="Dentro",DATOS_[Conc.Sal.24]))))),
0)</f>
        <v>0</v>
      </c>
      <c r="AD74" s="170">
        <f t="array" ref="AD74">IFERROR(
AVERAGE((IF(DATOS_[[Sexo]:[Sexo]]=$B74,IF(DATOS_[[AGRUP. VALOR. PTO.]:[AGRUP. VALOR. PTO.]]=$B72,IF(DATOS_[[Check Periodo Ref.]:[Check Periodo Ref.]]="Dentro",DATOS_[Conc.Sal.25]))))),
0)</f>
        <v>0</v>
      </c>
      <c r="AE74" s="170">
        <f t="array" ref="AE74">IFERROR(
AVERAGE((IF(DATOS_[[Sexo]:[Sexo]]=$B74,IF(DATOS_[[AGRUP. VALOR. PTO.]:[AGRUP. VALOR. PTO.]]=$B72,IF(DATOS_[[Check Periodo Ref.]:[Check Periodo Ref.]]="Dentro",DATOS_[Conc.Sal.26]))))),
0)</f>
        <v>0</v>
      </c>
      <c r="AF74" s="170">
        <f t="array" ref="AF74">IFERROR(
AVERAGE((IF(DATOS_[[Sexo]:[Sexo]]=$B74,IF(DATOS_[[AGRUP. VALOR. PTO.]:[AGRUP. VALOR. PTO.]]=$B72,IF(DATOS_[[Check Periodo Ref.]:[Check Periodo Ref.]]="Dentro",DATOS_[Conc.Sal.27]))))),
0)</f>
        <v>0</v>
      </c>
      <c r="AG74" s="170">
        <f t="array" ref="AG74">IFERROR(
AVERAGE((IF(DATOS_[[Sexo]:[Sexo]]=$B74,IF(DATOS_[[AGRUP. VALOR. PTO.]:[AGRUP. VALOR. PTO.]]=$B72,IF(DATOS_[[Check Periodo Ref.]:[Check Periodo Ref.]]="Dentro",DATOS_[Conc.Sal.28]))))),
0)</f>
        <v>0</v>
      </c>
      <c r="AH74" s="170">
        <f t="array" ref="AH74">IFERROR(
AVERAGE((IF(DATOS_[[Sexo]:[Sexo]]=$B74,IF(DATOS_[[AGRUP. VALOR. PTO.]:[AGRUP. VALOR. PTO.]]=$B72,IF(DATOS_[[Check Periodo Ref.]:[Check Periodo Ref.]]="Dentro",DATOS_[Conc.Sal.29]))))),
0)</f>
        <v>0</v>
      </c>
      <c r="AI74" s="170">
        <f t="array" ref="AI74">IFERROR(
AVERAGE((IF(DATOS_[[Sexo]:[Sexo]]=$B74,IF(DATOS_[[AGRUP. VALOR. PTO.]:[AGRUP. VALOR. PTO.]]=$B72,IF(DATOS_[[Check Periodo Ref.]:[Check Periodo Ref.]]="Dentro",DATOS_[Conc.Sal.30]))))),
0)</f>
        <v>0</v>
      </c>
      <c r="AJ74" s="171">
        <f t="array" ref="AJ74">IFERROR(
AVERAGE(IF(DATOS_[Sexo]=$B74,IF(DATOS_[AGRUP. VALOR. PTO.]=$B72,IF(DATOS_[Check Periodo Ref.]="Dentro",DATOS_[Tot COMPL.SAL Ef],FALSE)))),
0)</f>
        <v>0</v>
      </c>
      <c r="AK74" s="172">
        <f t="array" ref="AK74">IFERROR(
AVERAGE(IF(DATOS_[Sexo]=$B74,IF(DATOS_[AGRUP. VALOR. PTO.]=$B72,IF(DATOS_[Check Periodo Ref.]="Dentro",DATOS_[TOTAL SALARIO Ef],FALSE)))),
0)</f>
        <v>0</v>
      </c>
      <c r="AL74" s="173">
        <f t="array" ref="AL74">IFERROR(
AVERAGE((IF(DATOS_[[Sexo]:[Sexo]]=$B74,IF(DATOS_[[AGRUP. VALOR. PTO.]:[AGRUP. VALOR. PTO.]]=$B72,IF(DATOS_[[Check Periodo Ref.]:[Check Periodo Ref.]]="Dentro",DATOS_[C.Extra.01]))))),
0)</f>
        <v>0</v>
      </c>
      <c r="AM74" s="173">
        <f t="array" ref="AM74">IFERROR(
AVERAGE((IF(DATOS_[[Sexo]:[Sexo]]=$B74,IF(DATOS_[[AGRUP. VALOR. PTO.]:[AGRUP. VALOR. PTO.]]=$B72,IF(DATOS_[[Check Periodo Ref.]:[Check Periodo Ref.]]="Dentro",DATOS_[C.Extra.06]))))),
0)</f>
        <v>0</v>
      </c>
      <c r="AN74" s="173">
        <f t="array" ref="AN74">IFERROR(
AVERAGE((IF(DATOS_[[Sexo]:[Sexo]]=$B74,IF(DATOS_[[AGRUP. VALOR. PTO.]:[AGRUP. VALOR. PTO.]]=$B72,IF(DATOS_[[Check Periodo Ref.]:[Check Periodo Ref.]]="Dentro",DATOS_[C.Extra.07]))))),
0)</f>
        <v>0</v>
      </c>
      <c r="AO74" s="173">
        <f t="array" ref="AO74">IFERROR(
AVERAGE((IF(DATOS_[[Sexo]:[Sexo]]=$B74,IF(DATOS_[[AGRUP. VALOR. PTO.]:[AGRUP. VALOR. PTO.]]=$B72,IF(DATOS_[[Check Periodo Ref.]:[Check Periodo Ref.]]="Dentro",DATOS_[C.Extra.08]))))),
0)</f>
        <v>0</v>
      </c>
      <c r="AP74" s="173">
        <f t="array" ref="AP74">IFERROR(
AVERAGE((IF(DATOS_[[Sexo]:[Sexo]]=$B74,IF(DATOS_[[AGRUP. VALOR. PTO.]:[AGRUP. VALOR. PTO.]]=$B72,IF(DATOS_[[Check Periodo Ref.]:[Check Periodo Ref.]]="Dentro",DATOS_[C.Extra.11]))))),
0)</f>
        <v>0</v>
      </c>
      <c r="AQ74" s="174">
        <f t="array" ref="AQ74">IFERROR(
AVERAGE(IF(DATOS_[Sexo]=$B74,IF(DATOS_[AGRUP. VALOR. PTO.]=$B72,IF(DATOS_[Check Periodo Ref.]="Dentro",DATOS_[Tot Extrasalarial Ef],FALSE)))),
0)</f>
        <v>0</v>
      </c>
      <c r="AR74" s="171">
        <f t="array" ref="AR74">IFERROR(
AVERAGE(IF(DATOS_[Sexo]=$B74,IF(DATOS_[AGRUP. VALOR. PTO.]=$B72,IF(DATOS_[Check Periodo Ref.]="Dentro",DATOS_[TOTAL Retrib Ef],FALSE)))),
0)</f>
        <v>0</v>
      </c>
    </row>
    <row r="75" spans="1:44" ht="14.4" thickBot="1" x14ac:dyDescent="0.3">
      <c r="A75" s="178" t="str">
        <f t="shared" ref="A75" si="83">+A76</f>
        <v>[ocultar]</v>
      </c>
      <c r="B75" s="153" t="s">
        <v>261</v>
      </c>
      <c r="C75" s="154"/>
      <c r="D75" s="155"/>
      <c r="E75" s="156" t="str">
        <f t="shared" ref="E75:AR75" si="84">IFERROR((E76-E77)/E76,"")</f>
        <v/>
      </c>
      <c r="F75" s="157" t="str">
        <f t="shared" si="84"/>
        <v/>
      </c>
      <c r="G75" s="158" t="str">
        <f t="shared" si="84"/>
        <v/>
      </c>
      <c r="H75" s="158" t="str">
        <f t="shared" si="84"/>
        <v/>
      </c>
      <c r="I75" s="158" t="str">
        <f t="shared" si="84"/>
        <v/>
      </c>
      <c r="J75" s="159" t="str">
        <f t="shared" si="84"/>
        <v/>
      </c>
      <c r="K75" s="160" t="str">
        <f t="shared" si="84"/>
        <v/>
      </c>
      <c r="L75" s="160" t="str">
        <f t="shared" si="84"/>
        <v/>
      </c>
      <c r="M75" s="160" t="str">
        <f t="shared" si="84"/>
        <v/>
      </c>
      <c r="N75" s="160" t="str">
        <f t="shared" si="84"/>
        <v/>
      </c>
      <c r="O75" s="160" t="str">
        <f t="shared" si="84"/>
        <v/>
      </c>
      <c r="P75" s="160" t="str">
        <f t="shared" si="84"/>
        <v/>
      </c>
      <c r="Q75" s="160" t="str">
        <f t="shared" si="84"/>
        <v/>
      </c>
      <c r="R75" s="160" t="str">
        <f t="shared" si="84"/>
        <v/>
      </c>
      <c r="S75" s="160" t="str">
        <f t="shared" si="84"/>
        <v/>
      </c>
      <c r="T75" s="160" t="str">
        <f t="shared" si="84"/>
        <v/>
      </c>
      <c r="U75" s="160" t="str">
        <f t="shared" si="84"/>
        <v/>
      </c>
      <c r="V75" s="159" t="str">
        <f t="shared" si="84"/>
        <v/>
      </c>
      <c r="W75" s="159" t="str">
        <f t="shared" si="84"/>
        <v/>
      </c>
      <c r="X75" s="159" t="str">
        <f t="shared" si="84"/>
        <v/>
      </c>
      <c r="Y75" s="159" t="str">
        <f t="shared" si="84"/>
        <v/>
      </c>
      <c r="Z75" s="159" t="str">
        <f t="shared" si="84"/>
        <v/>
      </c>
      <c r="AA75" s="159" t="str">
        <f t="shared" si="84"/>
        <v/>
      </c>
      <c r="AB75" s="159" t="str">
        <f t="shared" si="84"/>
        <v/>
      </c>
      <c r="AC75" s="159" t="str">
        <f t="shared" si="84"/>
        <v/>
      </c>
      <c r="AD75" s="159" t="str">
        <f t="shared" si="84"/>
        <v/>
      </c>
      <c r="AE75" s="159" t="str">
        <f t="shared" si="84"/>
        <v/>
      </c>
      <c r="AF75" s="159" t="str">
        <f t="shared" si="84"/>
        <v/>
      </c>
      <c r="AG75" s="159" t="str">
        <f t="shared" si="84"/>
        <v/>
      </c>
      <c r="AH75" s="159" t="str">
        <f t="shared" si="84"/>
        <v/>
      </c>
      <c r="AI75" s="159" t="str">
        <f t="shared" si="84"/>
        <v/>
      </c>
      <c r="AJ75" s="161" t="str">
        <f t="shared" si="84"/>
        <v/>
      </c>
      <c r="AK75" s="162" t="str">
        <f t="shared" si="84"/>
        <v/>
      </c>
      <c r="AL75" s="163" t="str">
        <f t="shared" si="84"/>
        <v/>
      </c>
      <c r="AM75" s="163" t="str">
        <f t="shared" si="84"/>
        <v/>
      </c>
      <c r="AN75" s="163" t="str">
        <f t="shared" si="84"/>
        <v/>
      </c>
      <c r="AO75" s="163" t="str">
        <f t="shared" si="84"/>
        <v/>
      </c>
      <c r="AP75" s="163" t="str">
        <f t="shared" si="84"/>
        <v/>
      </c>
      <c r="AQ75" s="164" t="str">
        <f t="shared" si="84"/>
        <v/>
      </c>
      <c r="AR75" s="161" t="str">
        <f t="shared" si="84"/>
        <v/>
      </c>
    </row>
    <row r="76" spans="1:44" x14ac:dyDescent="0.25">
      <c r="A76" s="178" t="str">
        <f t="shared" ref="A76" si="85">+IF(C76+C77=0,"[ocultar]","")</f>
        <v>[ocultar]</v>
      </c>
      <c r="B76" s="166" t="s">
        <v>394</v>
      </c>
      <c r="C76" s="167">
        <f t="array" ref="C76">SUM(IF($B76=DATOS_[Sexo],
IF($B75=DATOS_[AGRUP. VALOR. PTO.],
IF("Dentro"=DATOS_[Check Periodo Ref.],
1/(COUNTIFS(DATOS_[Sexo],$B76,DATOS_[AGRUP. VALOR. PTO.],$B75,DATOS_[Check Periodo Ref.],"Dentro",DATOS_[id/cod],DATOS_[id/cod]))))))</f>
        <v>0</v>
      </c>
      <c r="D76" s="168">
        <f>COUNTIFS(DATOS_[AGRUP. VALOR. PTO.],$B75,DATOS_[Sexo],$B76,DATOS_[Check Periodo Ref.],"Dentro")</f>
        <v>0</v>
      </c>
      <c r="E76" s="169">
        <f t="array" ref="E76">IFERROR(
AVERAGE(IF(DATOS_[Sexo]=$B76,IF(DATOS_[AGRUP. VALOR. PTO.]=$B75,IF(DATOS_[Check Periodo Ref.]="Dentro",DATOS_[SALARIO BASE Ef],FALSE)))),
0)</f>
        <v>0</v>
      </c>
      <c r="F76" s="170">
        <f t="array" ref="F76">IFERROR(
AVERAGE((IF(DATOS_[[Sexo]:[Sexo]]=$B76,IF(DATOS_[[AGRUP. VALOR. PTO.]:[AGRUP. VALOR. PTO.]]=$B75,IF(DATOS_[[Check Periodo Ref.]:[Check Periodo Ref.]]="Dentro",DATOS_[Conc.Sal.01]))))),
0)</f>
        <v>0</v>
      </c>
      <c r="G76" s="170">
        <f t="array" ref="G76">IFERROR(
AVERAGE((IF(DATOS_[[Sexo]:[Sexo]]=$B76,IF(DATOS_[[AGRUP. VALOR. PTO.]:[AGRUP. VALOR. PTO.]]=$B75,IF(DATOS_[[Check Periodo Ref.]:[Check Periodo Ref.]]="Dentro",DATOS_[Conc.Sal.02]))))),
0)</f>
        <v>0</v>
      </c>
      <c r="H76" s="170">
        <f t="array" ref="H76">IFERROR(
AVERAGE((IF(DATOS_[[Sexo]:[Sexo]]=$B76,IF(DATOS_[[AGRUP. VALOR. PTO.]:[AGRUP. VALOR. PTO.]]=$B75,IF(DATOS_[[Check Periodo Ref.]:[Check Periodo Ref.]]="Dentro",DATOS_[Conc.Sal.03]))))),
0)</f>
        <v>0</v>
      </c>
      <c r="I76" s="170">
        <f t="array" ref="I76">IFERROR(
AVERAGE((IF(DATOS_[[Sexo]:[Sexo]]=$B76,IF(DATOS_[[AGRUP. VALOR. PTO.]:[AGRUP. VALOR. PTO.]]=$B75,IF(DATOS_[[Check Periodo Ref.]:[Check Periodo Ref.]]="Dentro",DATOS_[Conc.Sal.04]))))),
0)</f>
        <v>0</v>
      </c>
      <c r="J76" s="170">
        <f t="array" ref="J76">IFERROR(
AVERAGE((IF(DATOS_[[Sexo]:[Sexo]]=$B76,IF(DATOS_[[AGRUP. VALOR. PTO.]:[AGRUP. VALOR. PTO.]]=$B75,IF(DATOS_[[Check Periodo Ref.]:[Check Periodo Ref.]]="Dentro",DATOS_[Conc.Sal.05]))))),
0)</f>
        <v>0</v>
      </c>
      <c r="K76" s="170">
        <f t="array" ref="K76">IFERROR(
AVERAGE((IF(DATOS_[[Sexo]:[Sexo]]=$B76,IF(DATOS_[[AGRUP. VALOR. PTO.]:[AGRUP. VALOR. PTO.]]=$B75,IF(DATOS_[[Check Periodo Ref.]:[Check Periodo Ref.]]="Dentro",DATOS_[Conc.Sal.06]))))),
0)</f>
        <v>0</v>
      </c>
      <c r="L76" s="170">
        <f t="array" ref="L76">IFERROR(
AVERAGE((IF(DATOS_[[Sexo]:[Sexo]]=$B76,IF(DATOS_[[AGRUP. VALOR. PTO.]:[AGRUP. VALOR. PTO.]]=$B75,IF(DATOS_[[Check Periodo Ref.]:[Check Periodo Ref.]]="Dentro",DATOS_[Conc.Sal.07]))))),
0)</f>
        <v>0</v>
      </c>
      <c r="M76" s="170">
        <f t="array" ref="M76">IFERROR(
AVERAGE((IF(DATOS_[[Sexo]:[Sexo]]=$B76,IF(DATOS_[[AGRUP. VALOR. PTO.]:[AGRUP. VALOR. PTO.]]=$B75,IF(DATOS_[[Check Periodo Ref.]:[Check Periodo Ref.]]="Dentro",DATOS_[Conc.Sal.08]))))),
0)</f>
        <v>0</v>
      </c>
      <c r="N76" s="170">
        <f t="array" ref="N76">IFERROR(
AVERAGE((IF(DATOS_[[Sexo]:[Sexo]]=$B76,IF(DATOS_[[AGRUP. VALOR. PTO.]:[AGRUP. VALOR. PTO.]]=$B75,IF(DATOS_[[Check Periodo Ref.]:[Check Periodo Ref.]]="Dentro",DATOS_[Conc.Sal.09]))))),
0)</f>
        <v>0</v>
      </c>
      <c r="O76" s="170">
        <f t="array" ref="O76">IFERROR(
AVERAGE((IF(DATOS_[[Sexo]:[Sexo]]=$B76,IF(DATOS_[[AGRUP. VALOR. PTO.]:[AGRUP. VALOR. PTO.]]=$B75,IF(DATOS_[[Check Periodo Ref.]:[Check Periodo Ref.]]="Dentro",DATOS_[Conc.Sal.10]))))),
0)</f>
        <v>0</v>
      </c>
      <c r="P76" s="170">
        <f t="array" ref="P76">IFERROR(
AVERAGE((IF(DATOS_[[Sexo]:[Sexo]]=$B76,IF(DATOS_[[AGRUP. VALOR. PTO.]:[AGRUP. VALOR. PTO.]]=$B75,IF(DATOS_[[Check Periodo Ref.]:[Check Periodo Ref.]]="Dentro",DATOS_[Conc.Sal.11]))))),
0)</f>
        <v>0</v>
      </c>
      <c r="Q76" s="170">
        <f t="array" ref="Q76">IFERROR(
AVERAGE((IF(DATOS_[[Sexo]:[Sexo]]=$B76,IF(DATOS_[[AGRUP. VALOR. PTO.]:[AGRUP. VALOR. PTO.]]=$B75,IF(DATOS_[[Check Periodo Ref.]:[Check Periodo Ref.]]="Dentro",DATOS_[Conc.Sal.12]))))),
0)</f>
        <v>0</v>
      </c>
      <c r="R76" s="170">
        <f t="array" ref="R76">IFERROR(
AVERAGE((IF(DATOS_[[Sexo]:[Sexo]]=$B76,IF(DATOS_[[AGRUP. VALOR. PTO.]:[AGRUP. VALOR. PTO.]]=$B75,IF(DATOS_[[Check Periodo Ref.]:[Check Periodo Ref.]]="Dentro",DATOS_[Conc.Sal.13]))))),
0)</f>
        <v>0</v>
      </c>
      <c r="S76" s="170">
        <f t="array" ref="S76">IFERROR(
AVERAGE((IF(DATOS_[[Sexo]:[Sexo]]=$B76,IF(DATOS_[[AGRUP. VALOR. PTO.]:[AGRUP. VALOR. PTO.]]=$B75,IF(DATOS_[[Check Periodo Ref.]:[Check Periodo Ref.]]="Dentro",DATOS_[Conc.Sal.14]))))),
0)</f>
        <v>0</v>
      </c>
      <c r="T76" s="170">
        <f t="array" ref="T76">IFERROR(
AVERAGE((IF(DATOS_[[Sexo]:[Sexo]]=$B76,IF(DATOS_[[AGRUP. VALOR. PTO.]:[AGRUP. VALOR. PTO.]]=$B75,IF(DATOS_[[Check Periodo Ref.]:[Check Periodo Ref.]]="Dentro",DATOS_[Conc.Sal.15]))))),
0)</f>
        <v>0</v>
      </c>
      <c r="U76" s="170">
        <f t="array" ref="U76">IFERROR(
AVERAGE((IF(DATOS_[[Sexo]:[Sexo]]=$B76,IF(DATOS_[[AGRUP. VALOR. PTO.]:[AGRUP. VALOR. PTO.]]=$B75,IF(DATOS_[[Check Periodo Ref.]:[Check Periodo Ref.]]="Dentro",DATOS_[Conc.Sal.16]))))),
0)</f>
        <v>0</v>
      </c>
      <c r="V76" s="170">
        <f t="array" ref="V76">IFERROR(
AVERAGE((IF(DATOS_[[Sexo]:[Sexo]]=$B76,IF(DATOS_[[AGRUP. VALOR. PTO.]:[AGRUP. VALOR. PTO.]]=$B75,IF(DATOS_[[Check Periodo Ref.]:[Check Periodo Ref.]]="Dentro",DATOS_[Conc.Sal.17]))))),
0)</f>
        <v>0</v>
      </c>
      <c r="W76" s="170">
        <f t="array" ref="W76">IFERROR(
AVERAGE((IF(DATOS_[[Sexo]:[Sexo]]=$B76,IF(DATOS_[[AGRUP. VALOR. PTO.]:[AGRUP. VALOR. PTO.]]=$B75,IF(DATOS_[[Check Periodo Ref.]:[Check Periodo Ref.]]="Dentro",DATOS_[Conc.Sal.18]))))),
0)</f>
        <v>0</v>
      </c>
      <c r="X76" s="170">
        <f t="array" ref="X76">IFERROR(
AVERAGE((IF(DATOS_[[Sexo]:[Sexo]]=$B76,IF(DATOS_[[AGRUP. VALOR. PTO.]:[AGRUP. VALOR. PTO.]]=$B75,IF(DATOS_[[Check Periodo Ref.]:[Check Periodo Ref.]]="Dentro",DATOS_[Conc.Sal.19]))))),
0)</f>
        <v>0</v>
      </c>
      <c r="Y76" s="170">
        <f t="array" ref="Y76">IFERROR(
AVERAGE((IF(DATOS_[[Sexo]:[Sexo]]=$B76,IF(DATOS_[[AGRUP. VALOR. PTO.]:[AGRUP. VALOR. PTO.]]=$B75,IF(DATOS_[[Check Periodo Ref.]:[Check Periodo Ref.]]="Dentro",DATOS_[Conc.Sal.20]))))),
0)</f>
        <v>0</v>
      </c>
      <c r="Z76" s="170">
        <f t="array" ref="Z76">IFERROR(
AVERAGE((IF(DATOS_[[Sexo]:[Sexo]]=$B76,IF(DATOS_[[AGRUP. VALOR. PTO.]:[AGRUP. VALOR. PTO.]]=$B75,IF(DATOS_[[Check Periodo Ref.]:[Check Periodo Ref.]]="Dentro",DATOS_[Conc.Sal.21]))))),
0)</f>
        <v>0</v>
      </c>
      <c r="AA76" s="170">
        <f t="array" ref="AA76">IFERROR(
AVERAGE((IF(DATOS_[[Sexo]:[Sexo]]=$B76,IF(DATOS_[[AGRUP. VALOR. PTO.]:[AGRUP. VALOR. PTO.]]=$B75,IF(DATOS_[[Check Periodo Ref.]:[Check Periodo Ref.]]="Dentro",DATOS_[Conc.Sal.22]))))),
0)</f>
        <v>0</v>
      </c>
      <c r="AB76" s="170">
        <f t="array" ref="AB76">IFERROR(
AVERAGE((IF(DATOS_[[Sexo]:[Sexo]]=$B76,IF(DATOS_[[AGRUP. VALOR. PTO.]:[AGRUP. VALOR. PTO.]]=$B75,IF(DATOS_[[Check Periodo Ref.]:[Check Periodo Ref.]]="Dentro",DATOS_[Conc.Sal.23]))))),
0)</f>
        <v>0</v>
      </c>
      <c r="AC76" s="170">
        <f t="array" ref="AC76">IFERROR(
AVERAGE((IF(DATOS_[[Sexo]:[Sexo]]=$B76,IF(DATOS_[[AGRUP. VALOR. PTO.]:[AGRUP. VALOR. PTO.]]=$B75,IF(DATOS_[[Check Periodo Ref.]:[Check Periodo Ref.]]="Dentro",DATOS_[Conc.Sal.24]))))),
0)</f>
        <v>0</v>
      </c>
      <c r="AD76" s="170">
        <f t="array" ref="AD76">IFERROR(
AVERAGE((IF(DATOS_[[Sexo]:[Sexo]]=$B76,IF(DATOS_[[AGRUP. VALOR. PTO.]:[AGRUP. VALOR. PTO.]]=$B75,IF(DATOS_[[Check Periodo Ref.]:[Check Periodo Ref.]]="Dentro",DATOS_[Conc.Sal.25]))))),
0)</f>
        <v>0</v>
      </c>
      <c r="AE76" s="170">
        <f t="array" ref="AE76">IFERROR(
AVERAGE((IF(DATOS_[[Sexo]:[Sexo]]=$B76,IF(DATOS_[[AGRUP. VALOR. PTO.]:[AGRUP. VALOR. PTO.]]=$B75,IF(DATOS_[[Check Periodo Ref.]:[Check Periodo Ref.]]="Dentro",DATOS_[Conc.Sal.26]))))),
0)</f>
        <v>0</v>
      </c>
      <c r="AF76" s="170">
        <f t="array" ref="AF76">IFERROR(
AVERAGE((IF(DATOS_[[Sexo]:[Sexo]]=$B76,IF(DATOS_[[AGRUP. VALOR. PTO.]:[AGRUP. VALOR. PTO.]]=$B75,IF(DATOS_[[Check Periodo Ref.]:[Check Periodo Ref.]]="Dentro",DATOS_[Conc.Sal.27]))))),
0)</f>
        <v>0</v>
      </c>
      <c r="AG76" s="170">
        <f t="array" ref="AG76">IFERROR(
AVERAGE((IF(DATOS_[[Sexo]:[Sexo]]=$B76,IF(DATOS_[[AGRUP. VALOR. PTO.]:[AGRUP. VALOR. PTO.]]=$B75,IF(DATOS_[[Check Periodo Ref.]:[Check Periodo Ref.]]="Dentro",DATOS_[Conc.Sal.28]))))),
0)</f>
        <v>0</v>
      </c>
      <c r="AH76" s="170">
        <f t="array" ref="AH76">IFERROR(
AVERAGE((IF(DATOS_[[Sexo]:[Sexo]]=$B76,IF(DATOS_[[AGRUP. VALOR. PTO.]:[AGRUP. VALOR. PTO.]]=$B75,IF(DATOS_[[Check Periodo Ref.]:[Check Periodo Ref.]]="Dentro",DATOS_[Conc.Sal.29]))))),
0)</f>
        <v>0</v>
      </c>
      <c r="AI76" s="170">
        <f t="array" ref="AI76">IFERROR(
AVERAGE((IF(DATOS_[[Sexo]:[Sexo]]=$B76,IF(DATOS_[[AGRUP. VALOR. PTO.]:[AGRUP. VALOR. PTO.]]=$B75,IF(DATOS_[[Check Periodo Ref.]:[Check Periodo Ref.]]="Dentro",DATOS_[Conc.Sal.30]))))),
0)</f>
        <v>0</v>
      </c>
      <c r="AJ76" s="171">
        <f t="array" ref="AJ76">IFERROR(
AVERAGE(IF(DATOS_[Sexo]=$B76,IF(DATOS_[AGRUP. VALOR. PTO.]=$B75,IF(DATOS_[Check Periodo Ref.]="Dentro",DATOS_[Tot COMPL.SAL Ef],FALSE)))),
0)</f>
        <v>0</v>
      </c>
      <c r="AK76" s="172">
        <f t="array" ref="AK76">IFERROR(
AVERAGE(IF(DATOS_[Sexo]=$B76,IF(DATOS_[AGRUP. VALOR. PTO.]=$B75,IF(DATOS_[Check Periodo Ref.]="Dentro",DATOS_[TOTAL SALARIO Ef],FALSE)))),
0)</f>
        <v>0</v>
      </c>
      <c r="AL76" s="173">
        <f t="array" ref="AL76">IFERROR(
AVERAGE((IF(DATOS_[[Sexo]:[Sexo]]=$B76,IF(DATOS_[[AGRUP. VALOR. PTO.]:[AGRUP. VALOR. PTO.]]=$B75,IF(DATOS_[[Check Periodo Ref.]:[Check Periodo Ref.]]="Dentro",DATOS_[C.Extra.01]))))),
0)</f>
        <v>0</v>
      </c>
      <c r="AM76" s="173">
        <f t="array" ref="AM76">IFERROR(
AVERAGE((IF(DATOS_[[Sexo]:[Sexo]]=$B76,IF(DATOS_[[AGRUP. VALOR. PTO.]:[AGRUP. VALOR. PTO.]]=$B75,IF(DATOS_[[Check Periodo Ref.]:[Check Periodo Ref.]]="Dentro",DATOS_[C.Extra.06]))))),
0)</f>
        <v>0</v>
      </c>
      <c r="AN76" s="173">
        <f t="array" ref="AN76">IFERROR(
AVERAGE((IF(DATOS_[[Sexo]:[Sexo]]=$B76,IF(DATOS_[[AGRUP. VALOR. PTO.]:[AGRUP. VALOR. PTO.]]=$B75,IF(DATOS_[[Check Periodo Ref.]:[Check Periodo Ref.]]="Dentro",DATOS_[C.Extra.07]))))),
0)</f>
        <v>0</v>
      </c>
      <c r="AO76" s="173">
        <f t="array" ref="AO76">IFERROR(
AVERAGE((IF(DATOS_[[Sexo]:[Sexo]]=$B76,IF(DATOS_[[AGRUP. VALOR. PTO.]:[AGRUP. VALOR. PTO.]]=$B75,IF(DATOS_[[Check Periodo Ref.]:[Check Periodo Ref.]]="Dentro",DATOS_[C.Extra.08]))))),
0)</f>
        <v>0</v>
      </c>
      <c r="AP76" s="173">
        <f t="array" ref="AP76">IFERROR(
AVERAGE((IF(DATOS_[[Sexo]:[Sexo]]=$B76,IF(DATOS_[[AGRUP. VALOR. PTO.]:[AGRUP. VALOR. PTO.]]=$B75,IF(DATOS_[[Check Periodo Ref.]:[Check Periodo Ref.]]="Dentro",DATOS_[C.Extra.11]))))),
0)</f>
        <v>0</v>
      </c>
      <c r="AQ76" s="174">
        <f t="array" ref="AQ76">IFERROR(
AVERAGE(IF(DATOS_[Sexo]=$B76,IF(DATOS_[AGRUP. VALOR. PTO.]=$B75,IF(DATOS_[Check Periodo Ref.]="Dentro",DATOS_[Tot Extrasalarial Ef],FALSE)))),
0)</f>
        <v>0</v>
      </c>
      <c r="AR76" s="171">
        <f t="array" ref="AR76">IFERROR(
AVERAGE(IF(DATOS_[Sexo]=$B76,IF(DATOS_[AGRUP. VALOR. PTO.]=$B75,IF(DATOS_[Check Periodo Ref.]="Dentro",DATOS_[TOTAL Retrib Ef],FALSE)))),
0)</f>
        <v>0</v>
      </c>
    </row>
    <row r="77" spans="1:44" x14ac:dyDescent="0.25">
      <c r="A77" s="178" t="str">
        <f t="shared" ref="A77" si="86">+A76</f>
        <v>[ocultar]</v>
      </c>
      <c r="B77" s="166" t="s">
        <v>521</v>
      </c>
      <c r="C77" s="167">
        <f t="array" ref="C77">SUM(IF($B77=DATOS_[Sexo],
IF($B75=DATOS_[AGRUP. VALOR. PTO.],
IF("Dentro"=DATOS_[Check Periodo Ref.],
1/(COUNTIFS(DATOS_[Sexo],$B77,DATOS_[AGRUP. VALOR. PTO.],$B75,DATOS_[Check Periodo Ref.],"Dentro",DATOS_[id/cod],DATOS_[id/cod]))))))</f>
        <v>0</v>
      </c>
      <c r="D77" s="168">
        <f>COUNTIFS(DATOS_[AGRUP. VALOR. PTO.],$B75,DATOS_[Sexo],$B77,DATOS_[Check Periodo Ref.],"Dentro")</f>
        <v>0</v>
      </c>
      <c r="E77" s="169">
        <f t="array" ref="E77">IFERROR(
AVERAGE(IF(DATOS_[Sexo]=$B77,IF(DATOS_[AGRUP. VALOR. PTO.]=$B75,IF(DATOS_[Check Periodo Ref.]="Dentro",DATOS_[SALARIO BASE Ef],FALSE)))),
0)</f>
        <v>0</v>
      </c>
      <c r="F77" s="170">
        <f t="array" ref="F77">IFERROR(
AVERAGE((IF(DATOS_[[Sexo]:[Sexo]]=$B77,IF(DATOS_[[AGRUP. VALOR. PTO.]:[AGRUP. VALOR. PTO.]]=$B75,IF(DATOS_[[Check Periodo Ref.]:[Check Periodo Ref.]]="Dentro",DATOS_[Conc.Sal.01]))))),
0)</f>
        <v>0</v>
      </c>
      <c r="G77" s="170">
        <f t="array" ref="G77">IFERROR(
AVERAGE((IF(DATOS_[[Sexo]:[Sexo]]=$B77,IF(DATOS_[[AGRUP. VALOR. PTO.]:[AGRUP. VALOR. PTO.]]=$B75,IF(DATOS_[[Check Periodo Ref.]:[Check Periodo Ref.]]="Dentro",DATOS_[Conc.Sal.02]))))),
0)</f>
        <v>0</v>
      </c>
      <c r="H77" s="170">
        <f t="array" ref="H77">IFERROR(
AVERAGE((IF(DATOS_[[Sexo]:[Sexo]]=$B77,IF(DATOS_[[AGRUP. VALOR. PTO.]:[AGRUP. VALOR. PTO.]]=$B75,IF(DATOS_[[Check Periodo Ref.]:[Check Periodo Ref.]]="Dentro",DATOS_[Conc.Sal.03]))))),
0)</f>
        <v>0</v>
      </c>
      <c r="I77" s="170">
        <f t="array" ref="I77">IFERROR(
AVERAGE((IF(DATOS_[[Sexo]:[Sexo]]=$B77,IF(DATOS_[[AGRUP. VALOR. PTO.]:[AGRUP. VALOR. PTO.]]=$B75,IF(DATOS_[[Check Periodo Ref.]:[Check Periodo Ref.]]="Dentro",DATOS_[Conc.Sal.04]))))),
0)</f>
        <v>0</v>
      </c>
      <c r="J77" s="170">
        <f t="array" ref="J77">IFERROR(
AVERAGE((IF(DATOS_[[Sexo]:[Sexo]]=$B77,IF(DATOS_[[AGRUP. VALOR. PTO.]:[AGRUP. VALOR. PTO.]]=$B75,IF(DATOS_[[Check Periodo Ref.]:[Check Periodo Ref.]]="Dentro",DATOS_[Conc.Sal.05]))))),
0)</f>
        <v>0</v>
      </c>
      <c r="K77" s="170">
        <f t="array" ref="K77">IFERROR(
AVERAGE((IF(DATOS_[[Sexo]:[Sexo]]=$B77,IF(DATOS_[[AGRUP. VALOR. PTO.]:[AGRUP. VALOR. PTO.]]=$B75,IF(DATOS_[[Check Periodo Ref.]:[Check Periodo Ref.]]="Dentro",DATOS_[Conc.Sal.06]))))),
0)</f>
        <v>0</v>
      </c>
      <c r="L77" s="170">
        <f t="array" ref="L77">IFERROR(
AVERAGE((IF(DATOS_[[Sexo]:[Sexo]]=$B77,IF(DATOS_[[AGRUP. VALOR. PTO.]:[AGRUP. VALOR. PTO.]]=$B75,IF(DATOS_[[Check Periodo Ref.]:[Check Periodo Ref.]]="Dentro",DATOS_[Conc.Sal.07]))))),
0)</f>
        <v>0</v>
      </c>
      <c r="M77" s="170">
        <f t="array" ref="M77">IFERROR(
AVERAGE((IF(DATOS_[[Sexo]:[Sexo]]=$B77,IF(DATOS_[[AGRUP. VALOR. PTO.]:[AGRUP. VALOR. PTO.]]=$B75,IF(DATOS_[[Check Periodo Ref.]:[Check Periodo Ref.]]="Dentro",DATOS_[Conc.Sal.08]))))),
0)</f>
        <v>0</v>
      </c>
      <c r="N77" s="170">
        <f t="array" ref="N77">IFERROR(
AVERAGE((IF(DATOS_[[Sexo]:[Sexo]]=$B77,IF(DATOS_[[AGRUP. VALOR. PTO.]:[AGRUP. VALOR. PTO.]]=$B75,IF(DATOS_[[Check Periodo Ref.]:[Check Periodo Ref.]]="Dentro",DATOS_[Conc.Sal.09]))))),
0)</f>
        <v>0</v>
      </c>
      <c r="O77" s="170">
        <f t="array" ref="O77">IFERROR(
AVERAGE((IF(DATOS_[[Sexo]:[Sexo]]=$B77,IF(DATOS_[[AGRUP. VALOR. PTO.]:[AGRUP. VALOR. PTO.]]=$B75,IF(DATOS_[[Check Periodo Ref.]:[Check Periodo Ref.]]="Dentro",DATOS_[Conc.Sal.10]))))),
0)</f>
        <v>0</v>
      </c>
      <c r="P77" s="170">
        <f t="array" ref="P77">IFERROR(
AVERAGE((IF(DATOS_[[Sexo]:[Sexo]]=$B77,IF(DATOS_[[AGRUP. VALOR. PTO.]:[AGRUP. VALOR. PTO.]]=$B75,IF(DATOS_[[Check Periodo Ref.]:[Check Periodo Ref.]]="Dentro",DATOS_[Conc.Sal.11]))))),
0)</f>
        <v>0</v>
      </c>
      <c r="Q77" s="170">
        <f t="array" ref="Q77">IFERROR(
AVERAGE((IF(DATOS_[[Sexo]:[Sexo]]=$B77,IF(DATOS_[[AGRUP. VALOR. PTO.]:[AGRUP. VALOR. PTO.]]=$B75,IF(DATOS_[[Check Periodo Ref.]:[Check Periodo Ref.]]="Dentro",DATOS_[Conc.Sal.12]))))),
0)</f>
        <v>0</v>
      </c>
      <c r="R77" s="170">
        <f t="array" ref="R77">IFERROR(
AVERAGE((IF(DATOS_[[Sexo]:[Sexo]]=$B77,IF(DATOS_[[AGRUP. VALOR. PTO.]:[AGRUP. VALOR. PTO.]]=$B75,IF(DATOS_[[Check Periodo Ref.]:[Check Periodo Ref.]]="Dentro",DATOS_[Conc.Sal.13]))))),
0)</f>
        <v>0</v>
      </c>
      <c r="S77" s="170">
        <f t="array" ref="S77">IFERROR(
AVERAGE((IF(DATOS_[[Sexo]:[Sexo]]=$B77,IF(DATOS_[[AGRUP. VALOR. PTO.]:[AGRUP. VALOR. PTO.]]=$B75,IF(DATOS_[[Check Periodo Ref.]:[Check Periodo Ref.]]="Dentro",DATOS_[Conc.Sal.14]))))),
0)</f>
        <v>0</v>
      </c>
      <c r="T77" s="170">
        <f t="array" ref="T77">IFERROR(
AVERAGE((IF(DATOS_[[Sexo]:[Sexo]]=$B77,IF(DATOS_[[AGRUP. VALOR. PTO.]:[AGRUP. VALOR. PTO.]]=$B75,IF(DATOS_[[Check Periodo Ref.]:[Check Periodo Ref.]]="Dentro",DATOS_[Conc.Sal.15]))))),
0)</f>
        <v>0</v>
      </c>
      <c r="U77" s="170">
        <f t="array" ref="U77">IFERROR(
AVERAGE((IF(DATOS_[[Sexo]:[Sexo]]=$B77,IF(DATOS_[[AGRUP. VALOR. PTO.]:[AGRUP. VALOR. PTO.]]=$B75,IF(DATOS_[[Check Periodo Ref.]:[Check Periodo Ref.]]="Dentro",DATOS_[Conc.Sal.16]))))),
0)</f>
        <v>0</v>
      </c>
      <c r="V77" s="170">
        <f t="array" ref="V77">IFERROR(
AVERAGE((IF(DATOS_[[Sexo]:[Sexo]]=$B77,IF(DATOS_[[AGRUP. VALOR. PTO.]:[AGRUP. VALOR. PTO.]]=$B75,IF(DATOS_[[Check Periodo Ref.]:[Check Periodo Ref.]]="Dentro",DATOS_[Conc.Sal.17]))))),
0)</f>
        <v>0</v>
      </c>
      <c r="W77" s="170">
        <f t="array" ref="W77">IFERROR(
AVERAGE((IF(DATOS_[[Sexo]:[Sexo]]=$B77,IF(DATOS_[[AGRUP. VALOR. PTO.]:[AGRUP. VALOR. PTO.]]=$B75,IF(DATOS_[[Check Periodo Ref.]:[Check Periodo Ref.]]="Dentro",DATOS_[Conc.Sal.18]))))),
0)</f>
        <v>0</v>
      </c>
      <c r="X77" s="170">
        <f t="array" ref="X77">IFERROR(
AVERAGE((IF(DATOS_[[Sexo]:[Sexo]]=$B77,IF(DATOS_[[AGRUP. VALOR. PTO.]:[AGRUP. VALOR. PTO.]]=$B75,IF(DATOS_[[Check Periodo Ref.]:[Check Periodo Ref.]]="Dentro",DATOS_[Conc.Sal.19]))))),
0)</f>
        <v>0</v>
      </c>
      <c r="Y77" s="170">
        <f t="array" ref="Y77">IFERROR(
AVERAGE((IF(DATOS_[[Sexo]:[Sexo]]=$B77,IF(DATOS_[[AGRUP. VALOR. PTO.]:[AGRUP. VALOR. PTO.]]=$B75,IF(DATOS_[[Check Periodo Ref.]:[Check Periodo Ref.]]="Dentro",DATOS_[Conc.Sal.20]))))),
0)</f>
        <v>0</v>
      </c>
      <c r="Z77" s="170">
        <f t="array" ref="Z77">IFERROR(
AVERAGE((IF(DATOS_[[Sexo]:[Sexo]]=$B77,IF(DATOS_[[AGRUP. VALOR. PTO.]:[AGRUP. VALOR. PTO.]]=$B75,IF(DATOS_[[Check Periodo Ref.]:[Check Periodo Ref.]]="Dentro",DATOS_[Conc.Sal.21]))))),
0)</f>
        <v>0</v>
      </c>
      <c r="AA77" s="170">
        <f t="array" ref="AA77">IFERROR(
AVERAGE((IF(DATOS_[[Sexo]:[Sexo]]=$B77,IF(DATOS_[[AGRUP. VALOR. PTO.]:[AGRUP. VALOR. PTO.]]=$B75,IF(DATOS_[[Check Periodo Ref.]:[Check Periodo Ref.]]="Dentro",DATOS_[Conc.Sal.22]))))),
0)</f>
        <v>0</v>
      </c>
      <c r="AB77" s="170">
        <f t="array" ref="AB77">IFERROR(
AVERAGE((IF(DATOS_[[Sexo]:[Sexo]]=$B77,IF(DATOS_[[AGRUP. VALOR. PTO.]:[AGRUP. VALOR. PTO.]]=$B75,IF(DATOS_[[Check Periodo Ref.]:[Check Periodo Ref.]]="Dentro",DATOS_[Conc.Sal.23]))))),
0)</f>
        <v>0</v>
      </c>
      <c r="AC77" s="170">
        <f t="array" ref="AC77">IFERROR(
AVERAGE((IF(DATOS_[[Sexo]:[Sexo]]=$B77,IF(DATOS_[[AGRUP. VALOR. PTO.]:[AGRUP. VALOR. PTO.]]=$B75,IF(DATOS_[[Check Periodo Ref.]:[Check Periodo Ref.]]="Dentro",DATOS_[Conc.Sal.24]))))),
0)</f>
        <v>0</v>
      </c>
      <c r="AD77" s="170">
        <f t="array" ref="AD77">IFERROR(
AVERAGE((IF(DATOS_[[Sexo]:[Sexo]]=$B77,IF(DATOS_[[AGRUP. VALOR. PTO.]:[AGRUP. VALOR. PTO.]]=$B75,IF(DATOS_[[Check Periodo Ref.]:[Check Periodo Ref.]]="Dentro",DATOS_[Conc.Sal.25]))))),
0)</f>
        <v>0</v>
      </c>
      <c r="AE77" s="170">
        <f t="array" ref="AE77">IFERROR(
AVERAGE((IF(DATOS_[[Sexo]:[Sexo]]=$B77,IF(DATOS_[[AGRUP. VALOR. PTO.]:[AGRUP. VALOR. PTO.]]=$B75,IF(DATOS_[[Check Periodo Ref.]:[Check Periodo Ref.]]="Dentro",DATOS_[Conc.Sal.26]))))),
0)</f>
        <v>0</v>
      </c>
      <c r="AF77" s="170">
        <f t="array" ref="AF77">IFERROR(
AVERAGE((IF(DATOS_[[Sexo]:[Sexo]]=$B77,IF(DATOS_[[AGRUP. VALOR. PTO.]:[AGRUP. VALOR. PTO.]]=$B75,IF(DATOS_[[Check Periodo Ref.]:[Check Periodo Ref.]]="Dentro",DATOS_[Conc.Sal.27]))))),
0)</f>
        <v>0</v>
      </c>
      <c r="AG77" s="170">
        <f t="array" ref="AG77">IFERROR(
AVERAGE((IF(DATOS_[[Sexo]:[Sexo]]=$B77,IF(DATOS_[[AGRUP. VALOR. PTO.]:[AGRUP. VALOR. PTO.]]=$B75,IF(DATOS_[[Check Periodo Ref.]:[Check Periodo Ref.]]="Dentro",DATOS_[Conc.Sal.28]))))),
0)</f>
        <v>0</v>
      </c>
      <c r="AH77" s="170">
        <f t="array" ref="AH77">IFERROR(
AVERAGE((IF(DATOS_[[Sexo]:[Sexo]]=$B77,IF(DATOS_[[AGRUP. VALOR. PTO.]:[AGRUP. VALOR. PTO.]]=$B75,IF(DATOS_[[Check Periodo Ref.]:[Check Periodo Ref.]]="Dentro",DATOS_[Conc.Sal.29]))))),
0)</f>
        <v>0</v>
      </c>
      <c r="AI77" s="170">
        <f t="array" ref="AI77">IFERROR(
AVERAGE((IF(DATOS_[[Sexo]:[Sexo]]=$B77,IF(DATOS_[[AGRUP. VALOR. PTO.]:[AGRUP. VALOR. PTO.]]=$B75,IF(DATOS_[[Check Periodo Ref.]:[Check Periodo Ref.]]="Dentro",DATOS_[Conc.Sal.30]))))),
0)</f>
        <v>0</v>
      </c>
      <c r="AJ77" s="171">
        <f t="array" ref="AJ77">IFERROR(
AVERAGE(IF(DATOS_[Sexo]=$B77,IF(DATOS_[AGRUP. VALOR. PTO.]=$B75,IF(DATOS_[Check Periodo Ref.]="Dentro",DATOS_[Tot COMPL.SAL Ef],FALSE)))),
0)</f>
        <v>0</v>
      </c>
      <c r="AK77" s="172">
        <f t="array" ref="AK77">IFERROR(
AVERAGE(IF(DATOS_[Sexo]=$B77,IF(DATOS_[AGRUP. VALOR. PTO.]=$B75,IF(DATOS_[Check Periodo Ref.]="Dentro",DATOS_[TOTAL SALARIO Ef],FALSE)))),
0)</f>
        <v>0</v>
      </c>
      <c r="AL77" s="173">
        <f t="array" ref="AL77">IFERROR(
AVERAGE((IF(DATOS_[[Sexo]:[Sexo]]=$B77,IF(DATOS_[[AGRUP. VALOR. PTO.]:[AGRUP. VALOR. PTO.]]=$B75,IF(DATOS_[[Check Periodo Ref.]:[Check Periodo Ref.]]="Dentro",DATOS_[C.Extra.01]))))),
0)</f>
        <v>0</v>
      </c>
      <c r="AM77" s="173">
        <f t="array" ref="AM77">IFERROR(
AVERAGE((IF(DATOS_[[Sexo]:[Sexo]]=$B77,IF(DATOS_[[AGRUP. VALOR. PTO.]:[AGRUP. VALOR. PTO.]]=$B75,IF(DATOS_[[Check Periodo Ref.]:[Check Periodo Ref.]]="Dentro",DATOS_[C.Extra.06]))))),
0)</f>
        <v>0</v>
      </c>
      <c r="AN77" s="173">
        <f t="array" ref="AN77">IFERROR(
AVERAGE((IF(DATOS_[[Sexo]:[Sexo]]=$B77,IF(DATOS_[[AGRUP. VALOR. PTO.]:[AGRUP. VALOR. PTO.]]=$B75,IF(DATOS_[[Check Periodo Ref.]:[Check Periodo Ref.]]="Dentro",DATOS_[C.Extra.07]))))),
0)</f>
        <v>0</v>
      </c>
      <c r="AO77" s="173">
        <f t="array" ref="AO77">IFERROR(
AVERAGE((IF(DATOS_[[Sexo]:[Sexo]]=$B77,IF(DATOS_[[AGRUP. VALOR. PTO.]:[AGRUP. VALOR. PTO.]]=$B75,IF(DATOS_[[Check Periodo Ref.]:[Check Periodo Ref.]]="Dentro",DATOS_[C.Extra.08]))))),
0)</f>
        <v>0</v>
      </c>
      <c r="AP77" s="173">
        <f t="array" ref="AP77">IFERROR(
AVERAGE((IF(DATOS_[[Sexo]:[Sexo]]=$B77,IF(DATOS_[[AGRUP. VALOR. PTO.]:[AGRUP. VALOR. PTO.]]=$B75,IF(DATOS_[[Check Periodo Ref.]:[Check Periodo Ref.]]="Dentro",DATOS_[C.Extra.11]))))),
0)</f>
        <v>0</v>
      </c>
      <c r="AQ77" s="174">
        <f t="array" ref="AQ77">IFERROR(
AVERAGE(IF(DATOS_[Sexo]=$B77,IF(DATOS_[AGRUP. VALOR. PTO.]=$B75,IF(DATOS_[Check Periodo Ref.]="Dentro",DATOS_[Tot Extrasalarial Ef],FALSE)))),
0)</f>
        <v>0</v>
      </c>
      <c r="AR77" s="171">
        <f t="array" ref="AR77">IFERROR(
AVERAGE(IF(DATOS_[Sexo]=$B77,IF(DATOS_[AGRUP. VALOR. PTO.]=$B75,IF(DATOS_[Check Periodo Ref.]="Dentro",DATOS_[TOTAL Retrib Ef],FALSE)))),
0)</f>
        <v>0</v>
      </c>
    </row>
    <row r="78" spans="1:44" ht="14.4" thickBot="1" x14ac:dyDescent="0.3">
      <c r="A78" s="178" t="str">
        <f t="shared" ref="A78" si="87">+A79</f>
        <v>[ocultar]</v>
      </c>
      <c r="B78" s="153" t="s">
        <v>266</v>
      </c>
      <c r="C78" s="154"/>
      <c r="D78" s="155"/>
      <c r="E78" s="156" t="str">
        <f t="shared" ref="E78:AR78" si="88">IFERROR((E79-E80)/E79,"")</f>
        <v/>
      </c>
      <c r="F78" s="157" t="str">
        <f t="shared" si="88"/>
        <v/>
      </c>
      <c r="G78" s="158" t="str">
        <f t="shared" si="88"/>
        <v/>
      </c>
      <c r="H78" s="158" t="str">
        <f t="shared" si="88"/>
        <v/>
      </c>
      <c r="I78" s="158" t="str">
        <f t="shared" si="88"/>
        <v/>
      </c>
      <c r="J78" s="159" t="str">
        <f t="shared" si="88"/>
        <v/>
      </c>
      <c r="K78" s="160" t="str">
        <f t="shared" si="88"/>
        <v/>
      </c>
      <c r="L78" s="160" t="str">
        <f t="shared" si="88"/>
        <v/>
      </c>
      <c r="M78" s="160" t="str">
        <f t="shared" si="88"/>
        <v/>
      </c>
      <c r="N78" s="160" t="str">
        <f t="shared" si="88"/>
        <v/>
      </c>
      <c r="O78" s="160" t="str">
        <f t="shared" si="88"/>
        <v/>
      </c>
      <c r="P78" s="160" t="str">
        <f t="shared" si="88"/>
        <v/>
      </c>
      <c r="Q78" s="160" t="str">
        <f t="shared" si="88"/>
        <v/>
      </c>
      <c r="R78" s="160" t="str">
        <f t="shared" si="88"/>
        <v/>
      </c>
      <c r="S78" s="160" t="str">
        <f t="shared" si="88"/>
        <v/>
      </c>
      <c r="T78" s="160" t="str">
        <f t="shared" si="88"/>
        <v/>
      </c>
      <c r="U78" s="160" t="str">
        <f t="shared" si="88"/>
        <v/>
      </c>
      <c r="V78" s="159" t="str">
        <f t="shared" si="88"/>
        <v/>
      </c>
      <c r="W78" s="159" t="str">
        <f t="shared" si="88"/>
        <v/>
      </c>
      <c r="X78" s="159" t="str">
        <f t="shared" si="88"/>
        <v/>
      </c>
      <c r="Y78" s="159" t="str">
        <f t="shared" si="88"/>
        <v/>
      </c>
      <c r="Z78" s="159" t="str">
        <f t="shared" si="88"/>
        <v/>
      </c>
      <c r="AA78" s="159" t="str">
        <f t="shared" si="88"/>
        <v/>
      </c>
      <c r="AB78" s="159" t="str">
        <f t="shared" si="88"/>
        <v/>
      </c>
      <c r="AC78" s="159" t="str">
        <f t="shared" si="88"/>
        <v/>
      </c>
      <c r="AD78" s="159" t="str">
        <f t="shared" si="88"/>
        <v/>
      </c>
      <c r="AE78" s="159" t="str">
        <f t="shared" si="88"/>
        <v/>
      </c>
      <c r="AF78" s="159" t="str">
        <f t="shared" si="88"/>
        <v/>
      </c>
      <c r="AG78" s="159" t="str">
        <f t="shared" si="88"/>
        <v/>
      </c>
      <c r="AH78" s="159" t="str">
        <f t="shared" si="88"/>
        <v/>
      </c>
      <c r="AI78" s="159" t="str">
        <f t="shared" si="88"/>
        <v/>
      </c>
      <c r="AJ78" s="161" t="str">
        <f t="shared" si="88"/>
        <v/>
      </c>
      <c r="AK78" s="162" t="str">
        <f t="shared" si="88"/>
        <v/>
      </c>
      <c r="AL78" s="163" t="str">
        <f t="shared" si="88"/>
        <v/>
      </c>
      <c r="AM78" s="163" t="str">
        <f t="shared" si="88"/>
        <v/>
      </c>
      <c r="AN78" s="163" t="str">
        <f t="shared" si="88"/>
        <v/>
      </c>
      <c r="AO78" s="163" t="str">
        <f t="shared" si="88"/>
        <v/>
      </c>
      <c r="AP78" s="163" t="str">
        <f t="shared" si="88"/>
        <v/>
      </c>
      <c r="AQ78" s="164" t="str">
        <f t="shared" si="88"/>
        <v/>
      </c>
      <c r="AR78" s="161" t="str">
        <f t="shared" si="88"/>
        <v/>
      </c>
    </row>
    <row r="79" spans="1:44" x14ac:dyDescent="0.25">
      <c r="A79" s="178" t="str">
        <f t="shared" ref="A79" si="89">+IF(C79+C80=0,"[ocultar]","")</f>
        <v>[ocultar]</v>
      </c>
      <c r="B79" s="166" t="s">
        <v>394</v>
      </c>
      <c r="C79" s="167">
        <f t="array" ref="C79">SUM(IF($B79=DATOS_[Sexo],
IF($B78=DATOS_[AGRUP. VALOR. PTO.],
IF("Dentro"=DATOS_[Check Periodo Ref.],
1/(COUNTIFS(DATOS_[Sexo],$B79,DATOS_[AGRUP. VALOR. PTO.],$B78,DATOS_[Check Periodo Ref.],"Dentro",DATOS_[id/cod],DATOS_[id/cod]))))))</f>
        <v>0</v>
      </c>
      <c r="D79" s="168">
        <f>COUNTIFS(DATOS_[AGRUP. VALOR. PTO.],$B78,DATOS_[Sexo],$B79,DATOS_[Check Periodo Ref.],"Dentro")</f>
        <v>0</v>
      </c>
      <c r="E79" s="169">
        <f t="array" ref="E79">IFERROR(
AVERAGE(IF(DATOS_[Sexo]=$B79,IF(DATOS_[AGRUP. VALOR. PTO.]=$B78,IF(DATOS_[Check Periodo Ref.]="Dentro",DATOS_[SALARIO BASE Ef],FALSE)))),
0)</f>
        <v>0</v>
      </c>
      <c r="F79" s="170">
        <f t="array" ref="F79">IFERROR(
AVERAGE((IF(DATOS_[[Sexo]:[Sexo]]=$B79,IF(DATOS_[[AGRUP. VALOR. PTO.]:[AGRUP. VALOR. PTO.]]=$B78,IF(DATOS_[[Check Periodo Ref.]:[Check Periodo Ref.]]="Dentro",DATOS_[Conc.Sal.01]))))),
0)</f>
        <v>0</v>
      </c>
      <c r="G79" s="170">
        <f t="array" ref="G79">IFERROR(
AVERAGE((IF(DATOS_[[Sexo]:[Sexo]]=$B79,IF(DATOS_[[AGRUP. VALOR. PTO.]:[AGRUP. VALOR. PTO.]]=$B78,IF(DATOS_[[Check Periodo Ref.]:[Check Periodo Ref.]]="Dentro",DATOS_[Conc.Sal.02]))))),
0)</f>
        <v>0</v>
      </c>
      <c r="H79" s="170">
        <f t="array" ref="H79">IFERROR(
AVERAGE((IF(DATOS_[[Sexo]:[Sexo]]=$B79,IF(DATOS_[[AGRUP. VALOR. PTO.]:[AGRUP. VALOR. PTO.]]=$B78,IF(DATOS_[[Check Periodo Ref.]:[Check Periodo Ref.]]="Dentro",DATOS_[Conc.Sal.03]))))),
0)</f>
        <v>0</v>
      </c>
      <c r="I79" s="170">
        <f t="array" ref="I79">IFERROR(
AVERAGE((IF(DATOS_[[Sexo]:[Sexo]]=$B79,IF(DATOS_[[AGRUP. VALOR. PTO.]:[AGRUP. VALOR. PTO.]]=$B78,IF(DATOS_[[Check Periodo Ref.]:[Check Periodo Ref.]]="Dentro",DATOS_[Conc.Sal.04]))))),
0)</f>
        <v>0</v>
      </c>
      <c r="J79" s="170">
        <f t="array" ref="J79">IFERROR(
AVERAGE((IF(DATOS_[[Sexo]:[Sexo]]=$B79,IF(DATOS_[[AGRUP. VALOR. PTO.]:[AGRUP. VALOR. PTO.]]=$B78,IF(DATOS_[[Check Periodo Ref.]:[Check Periodo Ref.]]="Dentro",DATOS_[Conc.Sal.05]))))),
0)</f>
        <v>0</v>
      </c>
      <c r="K79" s="170">
        <f t="array" ref="K79">IFERROR(
AVERAGE((IF(DATOS_[[Sexo]:[Sexo]]=$B79,IF(DATOS_[[AGRUP. VALOR. PTO.]:[AGRUP. VALOR. PTO.]]=$B78,IF(DATOS_[[Check Periodo Ref.]:[Check Periodo Ref.]]="Dentro",DATOS_[Conc.Sal.06]))))),
0)</f>
        <v>0</v>
      </c>
      <c r="L79" s="170">
        <f t="array" ref="L79">IFERROR(
AVERAGE((IF(DATOS_[[Sexo]:[Sexo]]=$B79,IF(DATOS_[[AGRUP. VALOR. PTO.]:[AGRUP. VALOR. PTO.]]=$B78,IF(DATOS_[[Check Periodo Ref.]:[Check Periodo Ref.]]="Dentro",DATOS_[Conc.Sal.07]))))),
0)</f>
        <v>0</v>
      </c>
      <c r="M79" s="170">
        <f t="array" ref="M79">IFERROR(
AVERAGE((IF(DATOS_[[Sexo]:[Sexo]]=$B79,IF(DATOS_[[AGRUP. VALOR. PTO.]:[AGRUP. VALOR. PTO.]]=$B78,IF(DATOS_[[Check Periodo Ref.]:[Check Periodo Ref.]]="Dentro",DATOS_[Conc.Sal.08]))))),
0)</f>
        <v>0</v>
      </c>
      <c r="N79" s="170">
        <f t="array" ref="N79">IFERROR(
AVERAGE((IF(DATOS_[[Sexo]:[Sexo]]=$B79,IF(DATOS_[[AGRUP. VALOR. PTO.]:[AGRUP. VALOR. PTO.]]=$B78,IF(DATOS_[[Check Periodo Ref.]:[Check Periodo Ref.]]="Dentro",DATOS_[Conc.Sal.09]))))),
0)</f>
        <v>0</v>
      </c>
      <c r="O79" s="170">
        <f t="array" ref="O79">IFERROR(
AVERAGE((IF(DATOS_[[Sexo]:[Sexo]]=$B79,IF(DATOS_[[AGRUP. VALOR. PTO.]:[AGRUP. VALOR. PTO.]]=$B78,IF(DATOS_[[Check Periodo Ref.]:[Check Periodo Ref.]]="Dentro",DATOS_[Conc.Sal.10]))))),
0)</f>
        <v>0</v>
      </c>
      <c r="P79" s="170">
        <f t="array" ref="P79">IFERROR(
AVERAGE((IF(DATOS_[[Sexo]:[Sexo]]=$B79,IF(DATOS_[[AGRUP. VALOR. PTO.]:[AGRUP. VALOR. PTO.]]=$B78,IF(DATOS_[[Check Periodo Ref.]:[Check Periodo Ref.]]="Dentro",DATOS_[Conc.Sal.11]))))),
0)</f>
        <v>0</v>
      </c>
      <c r="Q79" s="170">
        <f t="array" ref="Q79">IFERROR(
AVERAGE((IF(DATOS_[[Sexo]:[Sexo]]=$B79,IF(DATOS_[[AGRUP. VALOR. PTO.]:[AGRUP. VALOR. PTO.]]=$B78,IF(DATOS_[[Check Periodo Ref.]:[Check Periodo Ref.]]="Dentro",DATOS_[Conc.Sal.12]))))),
0)</f>
        <v>0</v>
      </c>
      <c r="R79" s="170">
        <f t="array" ref="R79">IFERROR(
AVERAGE((IF(DATOS_[[Sexo]:[Sexo]]=$B79,IF(DATOS_[[AGRUP. VALOR. PTO.]:[AGRUP. VALOR. PTO.]]=$B78,IF(DATOS_[[Check Periodo Ref.]:[Check Periodo Ref.]]="Dentro",DATOS_[Conc.Sal.13]))))),
0)</f>
        <v>0</v>
      </c>
      <c r="S79" s="170">
        <f t="array" ref="S79">IFERROR(
AVERAGE((IF(DATOS_[[Sexo]:[Sexo]]=$B79,IF(DATOS_[[AGRUP. VALOR. PTO.]:[AGRUP. VALOR. PTO.]]=$B78,IF(DATOS_[[Check Periodo Ref.]:[Check Periodo Ref.]]="Dentro",DATOS_[Conc.Sal.14]))))),
0)</f>
        <v>0</v>
      </c>
      <c r="T79" s="170">
        <f t="array" ref="T79">IFERROR(
AVERAGE((IF(DATOS_[[Sexo]:[Sexo]]=$B79,IF(DATOS_[[AGRUP. VALOR. PTO.]:[AGRUP. VALOR. PTO.]]=$B78,IF(DATOS_[[Check Periodo Ref.]:[Check Periodo Ref.]]="Dentro",DATOS_[Conc.Sal.15]))))),
0)</f>
        <v>0</v>
      </c>
      <c r="U79" s="170">
        <f t="array" ref="U79">IFERROR(
AVERAGE((IF(DATOS_[[Sexo]:[Sexo]]=$B79,IF(DATOS_[[AGRUP. VALOR. PTO.]:[AGRUP. VALOR. PTO.]]=$B78,IF(DATOS_[[Check Periodo Ref.]:[Check Periodo Ref.]]="Dentro",DATOS_[Conc.Sal.16]))))),
0)</f>
        <v>0</v>
      </c>
      <c r="V79" s="170">
        <f t="array" ref="V79">IFERROR(
AVERAGE((IF(DATOS_[[Sexo]:[Sexo]]=$B79,IF(DATOS_[[AGRUP. VALOR. PTO.]:[AGRUP. VALOR. PTO.]]=$B78,IF(DATOS_[[Check Periodo Ref.]:[Check Periodo Ref.]]="Dentro",DATOS_[Conc.Sal.17]))))),
0)</f>
        <v>0</v>
      </c>
      <c r="W79" s="170">
        <f t="array" ref="W79">IFERROR(
AVERAGE((IF(DATOS_[[Sexo]:[Sexo]]=$B79,IF(DATOS_[[AGRUP. VALOR. PTO.]:[AGRUP. VALOR. PTO.]]=$B78,IF(DATOS_[[Check Periodo Ref.]:[Check Periodo Ref.]]="Dentro",DATOS_[Conc.Sal.18]))))),
0)</f>
        <v>0</v>
      </c>
      <c r="X79" s="170">
        <f t="array" ref="X79">IFERROR(
AVERAGE((IF(DATOS_[[Sexo]:[Sexo]]=$B79,IF(DATOS_[[AGRUP. VALOR. PTO.]:[AGRUP. VALOR. PTO.]]=$B78,IF(DATOS_[[Check Periodo Ref.]:[Check Periodo Ref.]]="Dentro",DATOS_[Conc.Sal.19]))))),
0)</f>
        <v>0</v>
      </c>
      <c r="Y79" s="170">
        <f t="array" ref="Y79">IFERROR(
AVERAGE((IF(DATOS_[[Sexo]:[Sexo]]=$B79,IF(DATOS_[[AGRUP. VALOR. PTO.]:[AGRUP. VALOR. PTO.]]=$B78,IF(DATOS_[[Check Periodo Ref.]:[Check Periodo Ref.]]="Dentro",DATOS_[Conc.Sal.20]))))),
0)</f>
        <v>0</v>
      </c>
      <c r="Z79" s="170">
        <f t="array" ref="Z79">IFERROR(
AVERAGE((IF(DATOS_[[Sexo]:[Sexo]]=$B79,IF(DATOS_[[AGRUP. VALOR. PTO.]:[AGRUP. VALOR. PTO.]]=$B78,IF(DATOS_[[Check Periodo Ref.]:[Check Periodo Ref.]]="Dentro",DATOS_[Conc.Sal.21]))))),
0)</f>
        <v>0</v>
      </c>
      <c r="AA79" s="170">
        <f t="array" ref="AA79">IFERROR(
AVERAGE((IF(DATOS_[[Sexo]:[Sexo]]=$B79,IF(DATOS_[[AGRUP. VALOR. PTO.]:[AGRUP. VALOR. PTO.]]=$B78,IF(DATOS_[[Check Periodo Ref.]:[Check Periodo Ref.]]="Dentro",DATOS_[Conc.Sal.22]))))),
0)</f>
        <v>0</v>
      </c>
      <c r="AB79" s="170">
        <f t="array" ref="AB79">IFERROR(
AVERAGE((IF(DATOS_[[Sexo]:[Sexo]]=$B79,IF(DATOS_[[AGRUP. VALOR. PTO.]:[AGRUP. VALOR. PTO.]]=$B78,IF(DATOS_[[Check Periodo Ref.]:[Check Periodo Ref.]]="Dentro",DATOS_[Conc.Sal.23]))))),
0)</f>
        <v>0</v>
      </c>
      <c r="AC79" s="170">
        <f t="array" ref="AC79">IFERROR(
AVERAGE((IF(DATOS_[[Sexo]:[Sexo]]=$B79,IF(DATOS_[[AGRUP. VALOR. PTO.]:[AGRUP. VALOR. PTO.]]=$B78,IF(DATOS_[[Check Periodo Ref.]:[Check Periodo Ref.]]="Dentro",DATOS_[Conc.Sal.24]))))),
0)</f>
        <v>0</v>
      </c>
      <c r="AD79" s="170">
        <f t="array" ref="AD79">IFERROR(
AVERAGE((IF(DATOS_[[Sexo]:[Sexo]]=$B79,IF(DATOS_[[AGRUP. VALOR. PTO.]:[AGRUP. VALOR. PTO.]]=$B78,IF(DATOS_[[Check Periodo Ref.]:[Check Periodo Ref.]]="Dentro",DATOS_[Conc.Sal.25]))))),
0)</f>
        <v>0</v>
      </c>
      <c r="AE79" s="170">
        <f t="array" ref="AE79">IFERROR(
AVERAGE((IF(DATOS_[[Sexo]:[Sexo]]=$B79,IF(DATOS_[[AGRUP. VALOR. PTO.]:[AGRUP. VALOR. PTO.]]=$B78,IF(DATOS_[[Check Periodo Ref.]:[Check Periodo Ref.]]="Dentro",DATOS_[Conc.Sal.26]))))),
0)</f>
        <v>0</v>
      </c>
      <c r="AF79" s="170">
        <f t="array" ref="AF79">IFERROR(
AVERAGE((IF(DATOS_[[Sexo]:[Sexo]]=$B79,IF(DATOS_[[AGRUP. VALOR. PTO.]:[AGRUP. VALOR. PTO.]]=$B78,IF(DATOS_[[Check Periodo Ref.]:[Check Periodo Ref.]]="Dentro",DATOS_[Conc.Sal.27]))))),
0)</f>
        <v>0</v>
      </c>
      <c r="AG79" s="170">
        <f t="array" ref="AG79">IFERROR(
AVERAGE((IF(DATOS_[[Sexo]:[Sexo]]=$B79,IF(DATOS_[[AGRUP. VALOR. PTO.]:[AGRUP. VALOR. PTO.]]=$B78,IF(DATOS_[[Check Periodo Ref.]:[Check Periodo Ref.]]="Dentro",DATOS_[Conc.Sal.28]))))),
0)</f>
        <v>0</v>
      </c>
      <c r="AH79" s="170">
        <f t="array" ref="AH79">IFERROR(
AVERAGE((IF(DATOS_[[Sexo]:[Sexo]]=$B79,IF(DATOS_[[AGRUP. VALOR. PTO.]:[AGRUP. VALOR. PTO.]]=$B78,IF(DATOS_[[Check Periodo Ref.]:[Check Periodo Ref.]]="Dentro",DATOS_[Conc.Sal.29]))))),
0)</f>
        <v>0</v>
      </c>
      <c r="AI79" s="170">
        <f t="array" ref="AI79">IFERROR(
AVERAGE((IF(DATOS_[[Sexo]:[Sexo]]=$B79,IF(DATOS_[[AGRUP. VALOR. PTO.]:[AGRUP. VALOR. PTO.]]=$B78,IF(DATOS_[[Check Periodo Ref.]:[Check Periodo Ref.]]="Dentro",DATOS_[Conc.Sal.30]))))),
0)</f>
        <v>0</v>
      </c>
      <c r="AJ79" s="171">
        <f t="array" ref="AJ79">IFERROR(
AVERAGE(IF(DATOS_[Sexo]=$B79,IF(DATOS_[AGRUP. VALOR. PTO.]=$B78,IF(DATOS_[Check Periodo Ref.]="Dentro",DATOS_[Tot COMPL.SAL Ef],FALSE)))),
0)</f>
        <v>0</v>
      </c>
      <c r="AK79" s="172">
        <f t="array" ref="AK79">IFERROR(
AVERAGE(IF(DATOS_[Sexo]=$B79,IF(DATOS_[AGRUP. VALOR. PTO.]=$B78,IF(DATOS_[Check Periodo Ref.]="Dentro",DATOS_[TOTAL SALARIO Ef],FALSE)))),
0)</f>
        <v>0</v>
      </c>
      <c r="AL79" s="173">
        <f t="array" ref="AL79">IFERROR(
AVERAGE((IF(DATOS_[[Sexo]:[Sexo]]=$B79,IF(DATOS_[[AGRUP. VALOR. PTO.]:[AGRUP. VALOR. PTO.]]=$B78,IF(DATOS_[[Check Periodo Ref.]:[Check Periodo Ref.]]="Dentro",DATOS_[C.Extra.01]))))),
0)</f>
        <v>0</v>
      </c>
      <c r="AM79" s="173">
        <f t="array" ref="AM79">IFERROR(
AVERAGE((IF(DATOS_[[Sexo]:[Sexo]]=$B79,IF(DATOS_[[AGRUP. VALOR. PTO.]:[AGRUP. VALOR. PTO.]]=$B78,IF(DATOS_[[Check Periodo Ref.]:[Check Periodo Ref.]]="Dentro",DATOS_[C.Extra.06]))))),
0)</f>
        <v>0</v>
      </c>
      <c r="AN79" s="173">
        <f t="array" ref="AN79">IFERROR(
AVERAGE((IF(DATOS_[[Sexo]:[Sexo]]=$B79,IF(DATOS_[[AGRUP. VALOR. PTO.]:[AGRUP. VALOR. PTO.]]=$B78,IF(DATOS_[[Check Periodo Ref.]:[Check Periodo Ref.]]="Dentro",DATOS_[C.Extra.07]))))),
0)</f>
        <v>0</v>
      </c>
      <c r="AO79" s="173">
        <f t="array" ref="AO79">IFERROR(
AVERAGE((IF(DATOS_[[Sexo]:[Sexo]]=$B79,IF(DATOS_[[AGRUP. VALOR. PTO.]:[AGRUP. VALOR. PTO.]]=$B78,IF(DATOS_[[Check Periodo Ref.]:[Check Periodo Ref.]]="Dentro",DATOS_[C.Extra.08]))))),
0)</f>
        <v>0</v>
      </c>
      <c r="AP79" s="173">
        <f t="array" ref="AP79">IFERROR(
AVERAGE((IF(DATOS_[[Sexo]:[Sexo]]=$B79,IF(DATOS_[[AGRUP. VALOR. PTO.]:[AGRUP. VALOR. PTO.]]=$B78,IF(DATOS_[[Check Periodo Ref.]:[Check Periodo Ref.]]="Dentro",DATOS_[C.Extra.11]))))),
0)</f>
        <v>0</v>
      </c>
      <c r="AQ79" s="174">
        <f t="array" ref="AQ79">IFERROR(
AVERAGE(IF(DATOS_[Sexo]=$B79,IF(DATOS_[AGRUP. VALOR. PTO.]=$B78,IF(DATOS_[Check Periodo Ref.]="Dentro",DATOS_[Tot Extrasalarial Ef],FALSE)))),
0)</f>
        <v>0</v>
      </c>
      <c r="AR79" s="171">
        <f t="array" ref="AR79">IFERROR(
AVERAGE(IF(DATOS_[Sexo]=$B79,IF(DATOS_[AGRUP. VALOR. PTO.]=$B78,IF(DATOS_[Check Periodo Ref.]="Dentro",DATOS_[TOTAL Retrib Ef],FALSE)))),
0)</f>
        <v>0</v>
      </c>
    </row>
    <row r="80" spans="1:44" x14ac:dyDescent="0.25">
      <c r="A80" s="178" t="str">
        <f t="shared" ref="A80" si="90">+A79</f>
        <v>[ocultar]</v>
      </c>
      <c r="B80" s="166" t="s">
        <v>521</v>
      </c>
      <c r="C80" s="167">
        <f t="array" ref="C80">SUM(IF($B80=DATOS_[Sexo],
IF($B78=DATOS_[AGRUP. VALOR. PTO.],
IF("Dentro"=DATOS_[Check Periodo Ref.],
1/(COUNTIFS(DATOS_[Sexo],$B80,DATOS_[AGRUP. VALOR. PTO.],$B78,DATOS_[Check Periodo Ref.],"Dentro",DATOS_[id/cod],DATOS_[id/cod]))))))</f>
        <v>0</v>
      </c>
      <c r="D80" s="168">
        <f>COUNTIFS(DATOS_[AGRUP. VALOR. PTO.],$B78,DATOS_[Sexo],$B80,DATOS_[Check Periodo Ref.],"Dentro")</f>
        <v>0</v>
      </c>
      <c r="E80" s="169">
        <f t="array" ref="E80">IFERROR(
AVERAGE(IF(DATOS_[Sexo]=$B80,IF(DATOS_[AGRUP. VALOR. PTO.]=$B78,IF(DATOS_[Check Periodo Ref.]="Dentro",DATOS_[SALARIO BASE Ef],FALSE)))),
0)</f>
        <v>0</v>
      </c>
      <c r="F80" s="170">
        <f t="array" ref="F80">IFERROR(
AVERAGE((IF(DATOS_[[Sexo]:[Sexo]]=$B80,IF(DATOS_[[AGRUP. VALOR. PTO.]:[AGRUP. VALOR. PTO.]]=$B78,IF(DATOS_[[Check Periodo Ref.]:[Check Periodo Ref.]]="Dentro",DATOS_[Conc.Sal.01]))))),
0)</f>
        <v>0</v>
      </c>
      <c r="G80" s="170">
        <f t="array" ref="G80">IFERROR(
AVERAGE((IF(DATOS_[[Sexo]:[Sexo]]=$B80,IF(DATOS_[[AGRUP. VALOR. PTO.]:[AGRUP. VALOR. PTO.]]=$B78,IF(DATOS_[[Check Periodo Ref.]:[Check Periodo Ref.]]="Dentro",DATOS_[Conc.Sal.02]))))),
0)</f>
        <v>0</v>
      </c>
      <c r="H80" s="170">
        <f t="array" ref="H80">IFERROR(
AVERAGE((IF(DATOS_[[Sexo]:[Sexo]]=$B80,IF(DATOS_[[AGRUP. VALOR. PTO.]:[AGRUP. VALOR. PTO.]]=$B78,IF(DATOS_[[Check Periodo Ref.]:[Check Periodo Ref.]]="Dentro",DATOS_[Conc.Sal.03]))))),
0)</f>
        <v>0</v>
      </c>
      <c r="I80" s="170">
        <f t="array" ref="I80">IFERROR(
AVERAGE((IF(DATOS_[[Sexo]:[Sexo]]=$B80,IF(DATOS_[[AGRUP. VALOR. PTO.]:[AGRUP. VALOR. PTO.]]=$B78,IF(DATOS_[[Check Periodo Ref.]:[Check Periodo Ref.]]="Dentro",DATOS_[Conc.Sal.04]))))),
0)</f>
        <v>0</v>
      </c>
      <c r="J80" s="170">
        <f t="array" ref="J80">IFERROR(
AVERAGE((IF(DATOS_[[Sexo]:[Sexo]]=$B80,IF(DATOS_[[AGRUP. VALOR. PTO.]:[AGRUP. VALOR. PTO.]]=$B78,IF(DATOS_[[Check Periodo Ref.]:[Check Periodo Ref.]]="Dentro",DATOS_[Conc.Sal.05]))))),
0)</f>
        <v>0</v>
      </c>
      <c r="K80" s="170">
        <f t="array" ref="K80">IFERROR(
AVERAGE((IF(DATOS_[[Sexo]:[Sexo]]=$B80,IF(DATOS_[[AGRUP. VALOR. PTO.]:[AGRUP. VALOR. PTO.]]=$B78,IF(DATOS_[[Check Periodo Ref.]:[Check Periodo Ref.]]="Dentro",DATOS_[Conc.Sal.06]))))),
0)</f>
        <v>0</v>
      </c>
      <c r="L80" s="170">
        <f t="array" ref="L80">IFERROR(
AVERAGE((IF(DATOS_[[Sexo]:[Sexo]]=$B80,IF(DATOS_[[AGRUP. VALOR. PTO.]:[AGRUP. VALOR. PTO.]]=$B78,IF(DATOS_[[Check Periodo Ref.]:[Check Periodo Ref.]]="Dentro",DATOS_[Conc.Sal.07]))))),
0)</f>
        <v>0</v>
      </c>
      <c r="M80" s="170">
        <f t="array" ref="M80">IFERROR(
AVERAGE((IF(DATOS_[[Sexo]:[Sexo]]=$B80,IF(DATOS_[[AGRUP. VALOR. PTO.]:[AGRUP. VALOR. PTO.]]=$B78,IF(DATOS_[[Check Periodo Ref.]:[Check Periodo Ref.]]="Dentro",DATOS_[Conc.Sal.08]))))),
0)</f>
        <v>0</v>
      </c>
      <c r="N80" s="170">
        <f t="array" ref="N80">IFERROR(
AVERAGE((IF(DATOS_[[Sexo]:[Sexo]]=$B80,IF(DATOS_[[AGRUP. VALOR. PTO.]:[AGRUP. VALOR. PTO.]]=$B78,IF(DATOS_[[Check Periodo Ref.]:[Check Periodo Ref.]]="Dentro",DATOS_[Conc.Sal.09]))))),
0)</f>
        <v>0</v>
      </c>
      <c r="O80" s="170">
        <f t="array" ref="O80">IFERROR(
AVERAGE((IF(DATOS_[[Sexo]:[Sexo]]=$B80,IF(DATOS_[[AGRUP. VALOR. PTO.]:[AGRUP. VALOR. PTO.]]=$B78,IF(DATOS_[[Check Periodo Ref.]:[Check Periodo Ref.]]="Dentro",DATOS_[Conc.Sal.10]))))),
0)</f>
        <v>0</v>
      </c>
      <c r="P80" s="170">
        <f t="array" ref="P80">IFERROR(
AVERAGE((IF(DATOS_[[Sexo]:[Sexo]]=$B80,IF(DATOS_[[AGRUP. VALOR. PTO.]:[AGRUP. VALOR. PTO.]]=$B78,IF(DATOS_[[Check Periodo Ref.]:[Check Periodo Ref.]]="Dentro",DATOS_[Conc.Sal.11]))))),
0)</f>
        <v>0</v>
      </c>
      <c r="Q80" s="170">
        <f t="array" ref="Q80">IFERROR(
AVERAGE((IF(DATOS_[[Sexo]:[Sexo]]=$B80,IF(DATOS_[[AGRUP. VALOR. PTO.]:[AGRUP. VALOR. PTO.]]=$B78,IF(DATOS_[[Check Periodo Ref.]:[Check Periodo Ref.]]="Dentro",DATOS_[Conc.Sal.12]))))),
0)</f>
        <v>0</v>
      </c>
      <c r="R80" s="170">
        <f t="array" ref="R80">IFERROR(
AVERAGE((IF(DATOS_[[Sexo]:[Sexo]]=$B80,IF(DATOS_[[AGRUP. VALOR. PTO.]:[AGRUP. VALOR. PTO.]]=$B78,IF(DATOS_[[Check Periodo Ref.]:[Check Periodo Ref.]]="Dentro",DATOS_[Conc.Sal.13]))))),
0)</f>
        <v>0</v>
      </c>
      <c r="S80" s="170">
        <f t="array" ref="S80">IFERROR(
AVERAGE((IF(DATOS_[[Sexo]:[Sexo]]=$B80,IF(DATOS_[[AGRUP. VALOR. PTO.]:[AGRUP. VALOR. PTO.]]=$B78,IF(DATOS_[[Check Periodo Ref.]:[Check Periodo Ref.]]="Dentro",DATOS_[Conc.Sal.14]))))),
0)</f>
        <v>0</v>
      </c>
      <c r="T80" s="170">
        <f t="array" ref="T80">IFERROR(
AVERAGE((IF(DATOS_[[Sexo]:[Sexo]]=$B80,IF(DATOS_[[AGRUP. VALOR. PTO.]:[AGRUP. VALOR. PTO.]]=$B78,IF(DATOS_[[Check Periodo Ref.]:[Check Periodo Ref.]]="Dentro",DATOS_[Conc.Sal.15]))))),
0)</f>
        <v>0</v>
      </c>
      <c r="U80" s="170">
        <f t="array" ref="U80">IFERROR(
AVERAGE((IF(DATOS_[[Sexo]:[Sexo]]=$B80,IF(DATOS_[[AGRUP. VALOR. PTO.]:[AGRUP. VALOR. PTO.]]=$B78,IF(DATOS_[[Check Periodo Ref.]:[Check Periodo Ref.]]="Dentro",DATOS_[Conc.Sal.16]))))),
0)</f>
        <v>0</v>
      </c>
      <c r="V80" s="170">
        <f t="array" ref="V80">IFERROR(
AVERAGE((IF(DATOS_[[Sexo]:[Sexo]]=$B80,IF(DATOS_[[AGRUP. VALOR. PTO.]:[AGRUP. VALOR. PTO.]]=$B78,IF(DATOS_[[Check Periodo Ref.]:[Check Periodo Ref.]]="Dentro",DATOS_[Conc.Sal.17]))))),
0)</f>
        <v>0</v>
      </c>
      <c r="W80" s="170">
        <f t="array" ref="W80">IFERROR(
AVERAGE((IF(DATOS_[[Sexo]:[Sexo]]=$B80,IF(DATOS_[[AGRUP. VALOR. PTO.]:[AGRUP. VALOR. PTO.]]=$B78,IF(DATOS_[[Check Periodo Ref.]:[Check Periodo Ref.]]="Dentro",DATOS_[Conc.Sal.18]))))),
0)</f>
        <v>0</v>
      </c>
      <c r="X80" s="170">
        <f t="array" ref="X80">IFERROR(
AVERAGE((IF(DATOS_[[Sexo]:[Sexo]]=$B80,IF(DATOS_[[AGRUP. VALOR. PTO.]:[AGRUP. VALOR. PTO.]]=$B78,IF(DATOS_[[Check Periodo Ref.]:[Check Periodo Ref.]]="Dentro",DATOS_[Conc.Sal.19]))))),
0)</f>
        <v>0</v>
      </c>
      <c r="Y80" s="170">
        <f t="array" ref="Y80">IFERROR(
AVERAGE((IF(DATOS_[[Sexo]:[Sexo]]=$B80,IF(DATOS_[[AGRUP. VALOR. PTO.]:[AGRUP. VALOR. PTO.]]=$B78,IF(DATOS_[[Check Periodo Ref.]:[Check Periodo Ref.]]="Dentro",DATOS_[Conc.Sal.20]))))),
0)</f>
        <v>0</v>
      </c>
      <c r="Z80" s="170">
        <f t="array" ref="Z80">IFERROR(
AVERAGE((IF(DATOS_[[Sexo]:[Sexo]]=$B80,IF(DATOS_[[AGRUP. VALOR. PTO.]:[AGRUP. VALOR. PTO.]]=$B78,IF(DATOS_[[Check Periodo Ref.]:[Check Periodo Ref.]]="Dentro",DATOS_[Conc.Sal.21]))))),
0)</f>
        <v>0</v>
      </c>
      <c r="AA80" s="170">
        <f t="array" ref="AA80">IFERROR(
AVERAGE((IF(DATOS_[[Sexo]:[Sexo]]=$B80,IF(DATOS_[[AGRUP. VALOR. PTO.]:[AGRUP. VALOR. PTO.]]=$B78,IF(DATOS_[[Check Periodo Ref.]:[Check Periodo Ref.]]="Dentro",DATOS_[Conc.Sal.22]))))),
0)</f>
        <v>0</v>
      </c>
      <c r="AB80" s="170">
        <f t="array" ref="AB80">IFERROR(
AVERAGE((IF(DATOS_[[Sexo]:[Sexo]]=$B80,IF(DATOS_[[AGRUP. VALOR. PTO.]:[AGRUP. VALOR. PTO.]]=$B78,IF(DATOS_[[Check Periodo Ref.]:[Check Periodo Ref.]]="Dentro",DATOS_[Conc.Sal.23]))))),
0)</f>
        <v>0</v>
      </c>
      <c r="AC80" s="170">
        <f t="array" ref="AC80">IFERROR(
AVERAGE((IF(DATOS_[[Sexo]:[Sexo]]=$B80,IF(DATOS_[[AGRUP. VALOR. PTO.]:[AGRUP. VALOR. PTO.]]=$B78,IF(DATOS_[[Check Periodo Ref.]:[Check Periodo Ref.]]="Dentro",DATOS_[Conc.Sal.24]))))),
0)</f>
        <v>0</v>
      </c>
      <c r="AD80" s="170">
        <f t="array" ref="AD80">IFERROR(
AVERAGE((IF(DATOS_[[Sexo]:[Sexo]]=$B80,IF(DATOS_[[AGRUP. VALOR. PTO.]:[AGRUP. VALOR. PTO.]]=$B78,IF(DATOS_[[Check Periodo Ref.]:[Check Periodo Ref.]]="Dentro",DATOS_[Conc.Sal.25]))))),
0)</f>
        <v>0</v>
      </c>
      <c r="AE80" s="170">
        <f t="array" ref="AE80">IFERROR(
AVERAGE((IF(DATOS_[[Sexo]:[Sexo]]=$B80,IF(DATOS_[[AGRUP. VALOR. PTO.]:[AGRUP. VALOR. PTO.]]=$B78,IF(DATOS_[[Check Periodo Ref.]:[Check Periodo Ref.]]="Dentro",DATOS_[Conc.Sal.26]))))),
0)</f>
        <v>0</v>
      </c>
      <c r="AF80" s="170">
        <f t="array" ref="AF80">IFERROR(
AVERAGE((IF(DATOS_[[Sexo]:[Sexo]]=$B80,IF(DATOS_[[AGRUP. VALOR. PTO.]:[AGRUP. VALOR. PTO.]]=$B78,IF(DATOS_[[Check Periodo Ref.]:[Check Periodo Ref.]]="Dentro",DATOS_[Conc.Sal.27]))))),
0)</f>
        <v>0</v>
      </c>
      <c r="AG80" s="170">
        <f t="array" ref="AG80">IFERROR(
AVERAGE((IF(DATOS_[[Sexo]:[Sexo]]=$B80,IF(DATOS_[[AGRUP. VALOR. PTO.]:[AGRUP. VALOR. PTO.]]=$B78,IF(DATOS_[[Check Periodo Ref.]:[Check Periodo Ref.]]="Dentro",DATOS_[Conc.Sal.28]))))),
0)</f>
        <v>0</v>
      </c>
      <c r="AH80" s="170">
        <f t="array" ref="AH80">IFERROR(
AVERAGE((IF(DATOS_[[Sexo]:[Sexo]]=$B80,IF(DATOS_[[AGRUP. VALOR. PTO.]:[AGRUP. VALOR. PTO.]]=$B78,IF(DATOS_[[Check Periodo Ref.]:[Check Periodo Ref.]]="Dentro",DATOS_[Conc.Sal.29]))))),
0)</f>
        <v>0</v>
      </c>
      <c r="AI80" s="170">
        <f t="array" ref="AI80">IFERROR(
AVERAGE((IF(DATOS_[[Sexo]:[Sexo]]=$B80,IF(DATOS_[[AGRUP. VALOR. PTO.]:[AGRUP. VALOR. PTO.]]=$B78,IF(DATOS_[[Check Periodo Ref.]:[Check Periodo Ref.]]="Dentro",DATOS_[Conc.Sal.30]))))),
0)</f>
        <v>0</v>
      </c>
      <c r="AJ80" s="171">
        <f t="array" ref="AJ80">IFERROR(
AVERAGE(IF(DATOS_[Sexo]=$B80,IF(DATOS_[AGRUP. VALOR. PTO.]=$B78,IF(DATOS_[Check Periodo Ref.]="Dentro",DATOS_[Tot COMPL.SAL Ef],FALSE)))),
0)</f>
        <v>0</v>
      </c>
      <c r="AK80" s="172">
        <f t="array" ref="AK80">IFERROR(
AVERAGE(IF(DATOS_[Sexo]=$B80,IF(DATOS_[AGRUP. VALOR. PTO.]=$B78,IF(DATOS_[Check Periodo Ref.]="Dentro",DATOS_[TOTAL SALARIO Ef],FALSE)))),
0)</f>
        <v>0</v>
      </c>
      <c r="AL80" s="173">
        <f t="array" ref="AL80">IFERROR(
AVERAGE((IF(DATOS_[[Sexo]:[Sexo]]=$B80,IF(DATOS_[[AGRUP. VALOR. PTO.]:[AGRUP. VALOR. PTO.]]=$B78,IF(DATOS_[[Check Periodo Ref.]:[Check Periodo Ref.]]="Dentro",DATOS_[C.Extra.01]))))),
0)</f>
        <v>0</v>
      </c>
      <c r="AM80" s="173">
        <f t="array" ref="AM80">IFERROR(
AVERAGE((IF(DATOS_[[Sexo]:[Sexo]]=$B80,IF(DATOS_[[AGRUP. VALOR. PTO.]:[AGRUP. VALOR. PTO.]]=$B78,IF(DATOS_[[Check Periodo Ref.]:[Check Periodo Ref.]]="Dentro",DATOS_[C.Extra.06]))))),
0)</f>
        <v>0</v>
      </c>
      <c r="AN80" s="173">
        <f t="array" ref="AN80">IFERROR(
AVERAGE((IF(DATOS_[[Sexo]:[Sexo]]=$B80,IF(DATOS_[[AGRUP. VALOR. PTO.]:[AGRUP. VALOR. PTO.]]=$B78,IF(DATOS_[[Check Periodo Ref.]:[Check Periodo Ref.]]="Dentro",DATOS_[C.Extra.07]))))),
0)</f>
        <v>0</v>
      </c>
      <c r="AO80" s="173">
        <f t="array" ref="AO80">IFERROR(
AVERAGE((IF(DATOS_[[Sexo]:[Sexo]]=$B80,IF(DATOS_[[AGRUP. VALOR. PTO.]:[AGRUP. VALOR. PTO.]]=$B78,IF(DATOS_[[Check Periodo Ref.]:[Check Periodo Ref.]]="Dentro",DATOS_[C.Extra.08]))))),
0)</f>
        <v>0</v>
      </c>
      <c r="AP80" s="173">
        <f t="array" ref="AP80">IFERROR(
AVERAGE((IF(DATOS_[[Sexo]:[Sexo]]=$B80,IF(DATOS_[[AGRUP. VALOR. PTO.]:[AGRUP. VALOR. PTO.]]=$B78,IF(DATOS_[[Check Periodo Ref.]:[Check Periodo Ref.]]="Dentro",DATOS_[C.Extra.11]))))),
0)</f>
        <v>0</v>
      </c>
      <c r="AQ80" s="174">
        <f t="array" ref="AQ80">IFERROR(
AVERAGE(IF(DATOS_[Sexo]=$B80,IF(DATOS_[AGRUP. VALOR. PTO.]=$B78,IF(DATOS_[Check Periodo Ref.]="Dentro",DATOS_[Tot Extrasalarial Ef],FALSE)))),
0)</f>
        <v>0</v>
      </c>
      <c r="AR80" s="171">
        <f t="array" ref="AR80">IFERROR(
AVERAGE(IF(DATOS_[Sexo]=$B80,IF(DATOS_[AGRUP. VALOR. PTO.]=$B78,IF(DATOS_[Check Periodo Ref.]="Dentro",DATOS_[TOTAL Retrib Ef],FALSE)))),
0)</f>
        <v>0</v>
      </c>
    </row>
    <row r="81" spans="1:44" ht="14.4" thickBot="1" x14ac:dyDescent="0.3">
      <c r="A81" s="178" t="str">
        <f t="shared" ref="A81" si="91">+A82</f>
        <v>[ocultar]</v>
      </c>
      <c r="B81" s="153" t="s">
        <v>269</v>
      </c>
      <c r="C81" s="154"/>
      <c r="D81" s="155"/>
      <c r="E81" s="156" t="str">
        <f t="shared" ref="E81:AR81" si="92">IFERROR((E82-E83)/E82,"")</f>
        <v/>
      </c>
      <c r="F81" s="157" t="str">
        <f t="shared" si="92"/>
        <v/>
      </c>
      <c r="G81" s="158" t="str">
        <f t="shared" si="92"/>
        <v/>
      </c>
      <c r="H81" s="158" t="str">
        <f t="shared" si="92"/>
        <v/>
      </c>
      <c r="I81" s="158" t="str">
        <f t="shared" si="92"/>
        <v/>
      </c>
      <c r="J81" s="159" t="str">
        <f t="shared" si="92"/>
        <v/>
      </c>
      <c r="K81" s="160" t="str">
        <f t="shared" si="92"/>
        <v/>
      </c>
      <c r="L81" s="160" t="str">
        <f t="shared" si="92"/>
        <v/>
      </c>
      <c r="M81" s="160" t="str">
        <f t="shared" si="92"/>
        <v/>
      </c>
      <c r="N81" s="160" t="str">
        <f t="shared" si="92"/>
        <v/>
      </c>
      <c r="O81" s="160" t="str">
        <f t="shared" si="92"/>
        <v/>
      </c>
      <c r="P81" s="160" t="str">
        <f t="shared" si="92"/>
        <v/>
      </c>
      <c r="Q81" s="160" t="str">
        <f t="shared" si="92"/>
        <v/>
      </c>
      <c r="R81" s="160" t="str">
        <f t="shared" si="92"/>
        <v/>
      </c>
      <c r="S81" s="160" t="str">
        <f t="shared" si="92"/>
        <v/>
      </c>
      <c r="T81" s="160" t="str">
        <f t="shared" si="92"/>
        <v/>
      </c>
      <c r="U81" s="160" t="str">
        <f t="shared" si="92"/>
        <v/>
      </c>
      <c r="V81" s="159" t="str">
        <f t="shared" si="92"/>
        <v/>
      </c>
      <c r="W81" s="159" t="str">
        <f t="shared" si="92"/>
        <v/>
      </c>
      <c r="X81" s="159" t="str">
        <f t="shared" si="92"/>
        <v/>
      </c>
      <c r="Y81" s="159" t="str">
        <f t="shared" si="92"/>
        <v/>
      </c>
      <c r="Z81" s="159" t="str">
        <f t="shared" si="92"/>
        <v/>
      </c>
      <c r="AA81" s="159" t="str">
        <f t="shared" si="92"/>
        <v/>
      </c>
      <c r="AB81" s="159" t="str">
        <f t="shared" si="92"/>
        <v/>
      </c>
      <c r="AC81" s="159" t="str">
        <f t="shared" si="92"/>
        <v/>
      </c>
      <c r="AD81" s="159" t="str">
        <f t="shared" si="92"/>
        <v/>
      </c>
      <c r="AE81" s="159" t="str">
        <f t="shared" si="92"/>
        <v/>
      </c>
      <c r="AF81" s="159" t="str">
        <f t="shared" si="92"/>
        <v/>
      </c>
      <c r="AG81" s="159" t="str">
        <f t="shared" si="92"/>
        <v/>
      </c>
      <c r="AH81" s="159" t="str">
        <f t="shared" si="92"/>
        <v/>
      </c>
      <c r="AI81" s="159" t="str">
        <f t="shared" si="92"/>
        <v/>
      </c>
      <c r="AJ81" s="161" t="str">
        <f t="shared" si="92"/>
        <v/>
      </c>
      <c r="AK81" s="162" t="str">
        <f t="shared" si="92"/>
        <v/>
      </c>
      <c r="AL81" s="163" t="str">
        <f t="shared" si="92"/>
        <v/>
      </c>
      <c r="AM81" s="163" t="str">
        <f t="shared" si="92"/>
        <v/>
      </c>
      <c r="AN81" s="163" t="str">
        <f t="shared" si="92"/>
        <v/>
      </c>
      <c r="AO81" s="163" t="str">
        <f t="shared" si="92"/>
        <v/>
      </c>
      <c r="AP81" s="163" t="str">
        <f t="shared" si="92"/>
        <v/>
      </c>
      <c r="AQ81" s="164" t="str">
        <f t="shared" si="92"/>
        <v/>
      </c>
      <c r="AR81" s="161" t="str">
        <f t="shared" si="92"/>
        <v/>
      </c>
    </row>
    <row r="82" spans="1:44" x14ac:dyDescent="0.25">
      <c r="A82" s="178" t="str">
        <f t="shared" ref="A82" si="93">+IF(C82+C83=0,"[ocultar]","")</f>
        <v>[ocultar]</v>
      </c>
      <c r="B82" s="166" t="s">
        <v>394</v>
      </c>
      <c r="C82" s="167">
        <f t="array" ref="C82">SUM(IF($B82=DATOS_[Sexo],
IF($B81=DATOS_[AGRUP. VALOR. PTO.],
IF("Dentro"=DATOS_[Check Periodo Ref.],
1/(COUNTIFS(DATOS_[Sexo],$B82,DATOS_[AGRUP. VALOR. PTO.],$B81,DATOS_[Check Periodo Ref.],"Dentro",DATOS_[id/cod],DATOS_[id/cod]))))))</f>
        <v>0</v>
      </c>
      <c r="D82" s="168">
        <f>COUNTIFS(DATOS_[AGRUP. VALOR. PTO.],$B81,DATOS_[Sexo],$B82,DATOS_[Check Periodo Ref.],"Dentro")</f>
        <v>0</v>
      </c>
      <c r="E82" s="169">
        <f t="array" ref="E82">IFERROR(
AVERAGE(IF(DATOS_[Sexo]=$B82,IF(DATOS_[AGRUP. VALOR. PTO.]=$B81,IF(DATOS_[Check Periodo Ref.]="Dentro",DATOS_[SALARIO BASE Ef],FALSE)))),
0)</f>
        <v>0</v>
      </c>
      <c r="F82" s="170">
        <f t="array" ref="F82">IFERROR(
AVERAGE((IF(DATOS_[[Sexo]:[Sexo]]=$B82,IF(DATOS_[[AGRUP. VALOR. PTO.]:[AGRUP. VALOR. PTO.]]=$B81,IF(DATOS_[[Check Periodo Ref.]:[Check Periodo Ref.]]="Dentro",DATOS_[Conc.Sal.01]))))),
0)</f>
        <v>0</v>
      </c>
      <c r="G82" s="170">
        <f t="array" ref="G82">IFERROR(
AVERAGE((IF(DATOS_[[Sexo]:[Sexo]]=$B82,IF(DATOS_[[AGRUP. VALOR. PTO.]:[AGRUP. VALOR. PTO.]]=$B81,IF(DATOS_[[Check Periodo Ref.]:[Check Periodo Ref.]]="Dentro",DATOS_[Conc.Sal.02]))))),
0)</f>
        <v>0</v>
      </c>
      <c r="H82" s="170">
        <f t="array" ref="H82">IFERROR(
AVERAGE((IF(DATOS_[[Sexo]:[Sexo]]=$B82,IF(DATOS_[[AGRUP. VALOR. PTO.]:[AGRUP. VALOR. PTO.]]=$B81,IF(DATOS_[[Check Periodo Ref.]:[Check Periodo Ref.]]="Dentro",DATOS_[Conc.Sal.03]))))),
0)</f>
        <v>0</v>
      </c>
      <c r="I82" s="170">
        <f t="array" ref="I82">IFERROR(
AVERAGE((IF(DATOS_[[Sexo]:[Sexo]]=$B82,IF(DATOS_[[AGRUP. VALOR. PTO.]:[AGRUP. VALOR. PTO.]]=$B81,IF(DATOS_[[Check Periodo Ref.]:[Check Periodo Ref.]]="Dentro",DATOS_[Conc.Sal.04]))))),
0)</f>
        <v>0</v>
      </c>
      <c r="J82" s="170">
        <f t="array" ref="J82">IFERROR(
AVERAGE((IF(DATOS_[[Sexo]:[Sexo]]=$B82,IF(DATOS_[[AGRUP. VALOR. PTO.]:[AGRUP. VALOR. PTO.]]=$B81,IF(DATOS_[[Check Periodo Ref.]:[Check Periodo Ref.]]="Dentro",DATOS_[Conc.Sal.05]))))),
0)</f>
        <v>0</v>
      </c>
      <c r="K82" s="170">
        <f t="array" ref="K82">IFERROR(
AVERAGE((IF(DATOS_[[Sexo]:[Sexo]]=$B82,IF(DATOS_[[AGRUP. VALOR. PTO.]:[AGRUP. VALOR. PTO.]]=$B81,IF(DATOS_[[Check Periodo Ref.]:[Check Periodo Ref.]]="Dentro",DATOS_[Conc.Sal.06]))))),
0)</f>
        <v>0</v>
      </c>
      <c r="L82" s="170">
        <f t="array" ref="L82">IFERROR(
AVERAGE((IF(DATOS_[[Sexo]:[Sexo]]=$B82,IF(DATOS_[[AGRUP. VALOR. PTO.]:[AGRUP. VALOR. PTO.]]=$B81,IF(DATOS_[[Check Periodo Ref.]:[Check Periodo Ref.]]="Dentro",DATOS_[Conc.Sal.07]))))),
0)</f>
        <v>0</v>
      </c>
      <c r="M82" s="170">
        <f t="array" ref="M82">IFERROR(
AVERAGE((IF(DATOS_[[Sexo]:[Sexo]]=$B82,IF(DATOS_[[AGRUP. VALOR. PTO.]:[AGRUP. VALOR. PTO.]]=$B81,IF(DATOS_[[Check Periodo Ref.]:[Check Periodo Ref.]]="Dentro",DATOS_[Conc.Sal.08]))))),
0)</f>
        <v>0</v>
      </c>
      <c r="N82" s="170">
        <f t="array" ref="N82">IFERROR(
AVERAGE((IF(DATOS_[[Sexo]:[Sexo]]=$B82,IF(DATOS_[[AGRUP. VALOR. PTO.]:[AGRUP. VALOR. PTO.]]=$B81,IF(DATOS_[[Check Periodo Ref.]:[Check Periodo Ref.]]="Dentro",DATOS_[Conc.Sal.09]))))),
0)</f>
        <v>0</v>
      </c>
      <c r="O82" s="170">
        <f t="array" ref="O82">IFERROR(
AVERAGE((IF(DATOS_[[Sexo]:[Sexo]]=$B82,IF(DATOS_[[AGRUP. VALOR. PTO.]:[AGRUP. VALOR. PTO.]]=$B81,IF(DATOS_[[Check Periodo Ref.]:[Check Periodo Ref.]]="Dentro",DATOS_[Conc.Sal.10]))))),
0)</f>
        <v>0</v>
      </c>
      <c r="P82" s="170">
        <f t="array" ref="P82">IFERROR(
AVERAGE((IF(DATOS_[[Sexo]:[Sexo]]=$B82,IF(DATOS_[[AGRUP. VALOR. PTO.]:[AGRUP. VALOR. PTO.]]=$B81,IF(DATOS_[[Check Periodo Ref.]:[Check Periodo Ref.]]="Dentro",DATOS_[Conc.Sal.11]))))),
0)</f>
        <v>0</v>
      </c>
      <c r="Q82" s="170">
        <f t="array" ref="Q82">IFERROR(
AVERAGE((IF(DATOS_[[Sexo]:[Sexo]]=$B82,IF(DATOS_[[AGRUP. VALOR. PTO.]:[AGRUP. VALOR. PTO.]]=$B81,IF(DATOS_[[Check Periodo Ref.]:[Check Periodo Ref.]]="Dentro",DATOS_[Conc.Sal.12]))))),
0)</f>
        <v>0</v>
      </c>
      <c r="R82" s="170">
        <f t="array" ref="R82">IFERROR(
AVERAGE((IF(DATOS_[[Sexo]:[Sexo]]=$B82,IF(DATOS_[[AGRUP. VALOR. PTO.]:[AGRUP. VALOR. PTO.]]=$B81,IF(DATOS_[[Check Periodo Ref.]:[Check Periodo Ref.]]="Dentro",DATOS_[Conc.Sal.13]))))),
0)</f>
        <v>0</v>
      </c>
      <c r="S82" s="170">
        <f t="array" ref="S82">IFERROR(
AVERAGE((IF(DATOS_[[Sexo]:[Sexo]]=$B82,IF(DATOS_[[AGRUP. VALOR. PTO.]:[AGRUP. VALOR. PTO.]]=$B81,IF(DATOS_[[Check Periodo Ref.]:[Check Periodo Ref.]]="Dentro",DATOS_[Conc.Sal.14]))))),
0)</f>
        <v>0</v>
      </c>
      <c r="T82" s="170">
        <f t="array" ref="T82">IFERROR(
AVERAGE((IF(DATOS_[[Sexo]:[Sexo]]=$B82,IF(DATOS_[[AGRUP. VALOR. PTO.]:[AGRUP. VALOR. PTO.]]=$B81,IF(DATOS_[[Check Periodo Ref.]:[Check Periodo Ref.]]="Dentro",DATOS_[Conc.Sal.15]))))),
0)</f>
        <v>0</v>
      </c>
      <c r="U82" s="170">
        <f t="array" ref="U82">IFERROR(
AVERAGE((IF(DATOS_[[Sexo]:[Sexo]]=$B82,IF(DATOS_[[AGRUP. VALOR. PTO.]:[AGRUP. VALOR. PTO.]]=$B81,IF(DATOS_[[Check Periodo Ref.]:[Check Periodo Ref.]]="Dentro",DATOS_[Conc.Sal.16]))))),
0)</f>
        <v>0</v>
      </c>
      <c r="V82" s="170">
        <f t="array" ref="V82">IFERROR(
AVERAGE((IF(DATOS_[[Sexo]:[Sexo]]=$B82,IF(DATOS_[[AGRUP. VALOR. PTO.]:[AGRUP. VALOR. PTO.]]=$B81,IF(DATOS_[[Check Periodo Ref.]:[Check Periodo Ref.]]="Dentro",DATOS_[Conc.Sal.17]))))),
0)</f>
        <v>0</v>
      </c>
      <c r="W82" s="170">
        <f t="array" ref="W82">IFERROR(
AVERAGE((IF(DATOS_[[Sexo]:[Sexo]]=$B82,IF(DATOS_[[AGRUP. VALOR. PTO.]:[AGRUP. VALOR. PTO.]]=$B81,IF(DATOS_[[Check Periodo Ref.]:[Check Periodo Ref.]]="Dentro",DATOS_[Conc.Sal.18]))))),
0)</f>
        <v>0</v>
      </c>
      <c r="X82" s="170">
        <f t="array" ref="X82">IFERROR(
AVERAGE((IF(DATOS_[[Sexo]:[Sexo]]=$B82,IF(DATOS_[[AGRUP. VALOR. PTO.]:[AGRUP. VALOR. PTO.]]=$B81,IF(DATOS_[[Check Periodo Ref.]:[Check Periodo Ref.]]="Dentro",DATOS_[Conc.Sal.19]))))),
0)</f>
        <v>0</v>
      </c>
      <c r="Y82" s="170">
        <f t="array" ref="Y82">IFERROR(
AVERAGE((IF(DATOS_[[Sexo]:[Sexo]]=$B82,IF(DATOS_[[AGRUP. VALOR. PTO.]:[AGRUP. VALOR. PTO.]]=$B81,IF(DATOS_[[Check Periodo Ref.]:[Check Periodo Ref.]]="Dentro",DATOS_[Conc.Sal.20]))))),
0)</f>
        <v>0</v>
      </c>
      <c r="Z82" s="170">
        <f t="array" ref="Z82">IFERROR(
AVERAGE((IF(DATOS_[[Sexo]:[Sexo]]=$B82,IF(DATOS_[[AGRUP. VALOR. PTO.]:[AGRUP. VALOR. PTO.]]=$B81,IF(DATOS_[[Check Periodo Ref.]:[Check Periodo Ref.]]="Dentro",DATOS_[Conc.Sal.21]))))),
0)</f>
        <v>0</v>
      </c>
      <c r="AA82" s="170">
        <f t="array" ref="AA82">IFERROR(
AVERAGE((IF(DATOS_[[Sexo]:[Sexo]]=$B82,IF(DATOS_[[AGRUP. VALOR. PTO.]:[AGRUP. VALOR. PTO.]]=$B81,IF(DATOS_[[Check Periodo Ref.]:[Check Periodo Ref.]]="Dentro",DATOS_[Conc.Sal.22]))))),
0)</f>
        <v>0</v>
      </c>
      <c r="AB82" s="170">
        <f t="array" ref="AB82">IFERROR(
AVERAGE((IF(DATOS_[[Sexo]:[Sexo]]=$B82,IF(DATOS_[[AGRUP. VALOR. PTO.]:[AGRUP. VALOR. PTO.]]=$B81,IF(DATOS_[[Check Periodo Ref.]:[Check Periodo Ref.]]="Dentro",DATOS_[Conc.Sal.23]))))),
0)</f>
        <v>0</v>
      </c>
      <c r="AC82" s="170">
        <f t="array" ref="AC82">IFERROR(
AVERAGE((IF(DATOS_[[Sexo]:[Sexo]]=$B82,IF(DATOS_[[AGRUP. VALOR. PTO.]:[AGRUP. VALOR. PTO.]]=$B81,IF(DATOS_[[Check Periodo Ref.]:[Check Periodo Ref.]]="Dentro",DATOS_[Conc.Sal.24]))))),
0)</f>
        <v>0</v>
      </c>
      <c r="AD82" s="170">
        <f t="array" ref="AD82">IFERROR(
AVERAGE((IF(DATOS_[[Sexo]:[Sexo]]=$B82,IF(DATOS_[[AGRUP. VALOR. PTO.]:[AGRUP. VALOR. PTO.]]=$B81,IF(DATOS_[[Check Periodo Ref.]:[Check Periodo Ref.]]="Dentro",DATOS_[Conc.Sal.25]))))),
0)</f>
        <v>0</v>
      </c>
      <c r="AE82" s="170">
        <f t="array" ref="AE82">IFERROR(
AVERAGE((IF(DATOS_[[Sexo]:[Sexo]]=$B82,IF(DATOS_[[AGRUP. VALOR. PTO.]:[AGRUP. VALOR. PTO.]]=$B81,IF(DATOS_[[Check Periodo Ref.]:[Check Periodo Ref.]]="Dentro",DATOS_[Conc.Sal.26]))))),
0)</f>
        <v>0</v>
      </c>
      <c r="AF82" s="170">
        <f t="array" ref="AF82">IFERROR(
AVERAGE((IF(DATOS_[[Sexo]:[Sexo]]=$B82,IF(DATOS_[[AGRUP. VALOR. PTO.]:[AGRUP. VALOR. PTO.]]=$B81,IF(DATOS_[[Check Periodo Ref.]:[Check Periodo Ref.]]="Dentro",DATOS_[Conc.Sal.27]))))),
0)</f>
        <v>0</v>
      </c>
      <c r="AG82" s="170">
        <f t="array" ref="AG82">IFERROR(
AVERAGE((IF(DATOS_[[Sexo]:[Sexo]]=$B82,IF(DATOS_[[AGRUP. VALOR. PTO.]:[AGRUP. VALOR. PTO.]]=$B81,IF(DATOS_[[Check Periodo Ref.]:[Check Periodo Ref.]]="Dentro",DATOS_[Conc.Sal.28]))))),
0)</f>
        <v>0</v>
      </c>
      <c r="AH82" s="170">
        <f t="array" ref="AH82">IFERROR(
AVERAGE((IF(DATOS_[[Sexo]:[Sexo]]=$B82,IF(DATOS_[[AGRUP. VALOR. PTO.]:[AGRUP. VALOR. PTO.]]=$B81,IF(DATOS_[[Check Periodo Ref.]:[Check Periodo Ref.]]="Dentro",DATOS_[Conc.Sal.29]))))),
0)</f>
        <v>0</v>
      </c>
      <c r="AI82" s="170">
        <f t="array" ref="AI82">IFERROR(
AVERAGE((IF(DATOS_[[Sexo]:[Sexo]]=$B82,IF(DATOS_[[AGRUP. VALOR. PTO.]:[AGRUP. VALOR. PTO.]]=$B81,IF(DATOS_[[Check Periodo Ref.]:[Check Periodo Ref.]]="Dentro",DATOS_[Conc.Sal.30]))))),
0)</f>
        <v>0</v>
      </c>
      <c r="AJ82" s="171">
        <f t="array" ref="AJ82">IFERROR(
AVERAGE(IF(DATOS_[Sexo]=$B82,IF(DATOS_[AGRUP. VALOR. PTO.]=$B81,IF(DATOS_[Check Periodo Ref.]="Dentro",DATOS_[Tot COMPL.SAL Ef],FALSE)))),
0)</f>
        <v>0</v>
      </c>
      <c r="AK82" s="172">
        <f t="array" ref="AK82">IFERROR(
AVERAGE(IF(DATOS_[Sexo]=$B82,IF(DATOS_[AGRUP. VALOR. PTO.]=$B81,IF(DATOS_[Check Periodo Ref.]="Dentro",DATOS_[TOTAL SALARIO Ef],FALSE)))),
0)</f>
        <v>0</v>
      </c>
      <c r="AL82" s="173">
        <f t="array" ref="AL82">IFERROR(
AVERAGE((IF(DATOS_[[Sexo]:[Sexo]]=$B82,IF(DATOS_[[AGRUP. VALOR. PTO.]:[AGRUP. VALOR. PTO.]]=$B81,IF(DATOS_[[Check Periodo Ref.]:[Check Periodo Ref.]]="Dentro",DATOS_[C.Extra.01]))))),
0)</f>
        <v>0</v>
      </c>
      <c r="AM82" s="173">
        <f t="array" ref="AM82">IFERROR(
AVERAGE((IF(DATOS_[[Sexo]:[Sexo]]=$B82,IF(DATOS_[[AGRUP. VALOR. PTO.]:[AGRUP. VALOR. PTO.]]=$B81,IF(DATOS_[[Check Periodo Ref.]:[Check Periodo Ref.]]="Dentro",DATOS_[C.Extra.06]))))),
0)</f>
        <v>0</v>
      </c>
      <c r="AN82" s="173">
        <f t="array" ref="AN82">IFERROR(
AVERAGE((IF(DATOS_[[Sexo]:[Sexo]]=$B82,IF(DATOS_[[AGRUP. VALOR. PTO.]:[AGRUP. VALOR. PTO.]]=$B81,IF(DATOS_[[Check Periodo Ref.]:[Check Periodo Ref.]]="Dentro",DATOS_[C.Extra.07]))))),
0)</f>
        <v>0</v>
      </c>
      <c r="AO82" s="173">
        <f t="array" ref="AO82">IFERROR(
AVERAGE((IF(DATOS_[[Sexo]:[Sexo]]=$B82,IF(DATOS_[[AGRUP. VALOR. PTO.]:[AGRUP. VALOR. PTO.]]=$B81,IF(DATOS_[[Check Periodo Ref.]:[Check Periodo Ref.]]="Dentro",DATOS_[C.Extra.08]))))),
0)</f>
        <v>0</v>
      </c>
      <c r="AP82" s="173">
        <f t="array" ref="AP82">IFERROR(
AVERAGE((IF(DATOS_[[Sexo]:[Sexo]]=$B82,IF(DATOS_[[AGRUP. VALOR. PTO.]:[AGRUP. VALOR. PTO.]]=$B81,IF(DATOS_[[Check Periodo Ref.]:[Check Periodo Ref.]]="Dentro",DATOS_[C.Extra.11]))))),
0)</f>
        <v>0</v>
      </c>
      <c r="AQ82" s="174">
        <f t="array" ref="AQ82">IFERROR(
AVERAGE(IF(DATOS_[Sexo]=$B82,IF(DATOS_[AGRUP. VALOR. PTO.]=$B81,IF(DATOS_[Check Periodo Ref.]="Dentro",DATOS_[Tot Extrasalarial Ef],FALSE)))),
0)</f>
        <v>0</v>
      </c>
      <c r="AR82" s="171">
        <f t="array" ref="AR82">IFERROR(
AVERAGE(IF(DATOS_[Sexo]=$B82,IF(DATOS_[AGRUP. VALOR. PTO.]=$B81,IF(DATOS_[Check Periodo Ref.]="Dentro",DATOS_[TOTAL Retrib Ef],FALSE)))),
0)</f>
        <v>0</v>
      </c>
    </row>
    <row r="83" spans="1:44" x14ac:dyDescent="0.25">
      <c r="A83" s="178" t="str">
        <f t="shared" ref="A83" si="94">+A82</f>
        <v>[ocultar]</v>
      </c>
      <c r="B83" s="166" t="s">
        <v>521</v>
      </c>
      <c r="C83" s="167">
        <f t="array" ref="C83">SUM(IF($B83=DATOS_[Sexo],
IF($B81=DATOS_[AGRUP. VALOR. PTO.],
IF("Dentro"=DATOS_[Check Periodo Ref.],
1/(COUNTIFS(DATOS_[Sexo],$B83,DATOS_[AGRUP. VALOR. PTO.],$B81,DATOS_[Check Periodo Ref.],"Dentro",DATOS_[id/cod],DATOS_[id/cod]))))))</f>
        <v>0</v>
      </c>
      <c r="D83" s="168">
        <f>COUNTIFS(DATOS_[AGRUP. VALOR. PTO.],$B81,DATOS_[Sexo],$B83,DATOS_[Check Periodo Ref.],"Dentro")</f>
        <v>0</v>
      </c>
      <c r="E83" s="169">
        <f t="array" ref="E83">IFERROR(
AVERAGE(IF(DATOS_[Sexo]=$B83,IF(DATOS_[AGRUP. VALOR. PTO.]=$B81,IF(DATOS_[Check Periodo Ref.]="Dentro",DATOS_[SALARIO BASE Ef],FALSE)))),
0)</f>
        <v>0</v>
      </c>
      <c r="F83" s="170">
        <f t="array" ref="F83">IFERROR(
AVERAGE((IF(DATOS_[[Sexo]:[Sexo]]=$B83,IF(DATOS_[[AGRUP. VALOR. PTO.]:[AGRUP. VALOR. PTO.]]=$B81,IF(DATOS_[[Check Periodo Ref.]:[Check Periodo Ref.]]="Dentro",DATOS_[Conc.Sal.01]))))),
0)</f>
        <v>0</v>
      </c>
      <c r="G83" s="170">
        <f t="array" ref="G83">IFERROR(
AVERAGE((IF(DATOS_[[Sexo]:[Sexo]]=$B83,IF(DATOS_[[AGRUP. VALOR. PTO.]:[AGRUP. VALOR. PTO.]]=$B81,IF(DATOS_[[Check Periodo Ref.]:[Check Periodo Ref.]]="Dentro",DATOS_[Conc.Sal.02]))))),
0)</f>
        <v>0</v>
      </c>
      <c r="H83" s="170">
        <f t="array" ref="H83">IFERROR(
AVERAGE((IF(DATOS_[[Sexo]:[Sexo]]=$B83,IF(DATOS_[[AGRUP. VALOR. PTO.]:[AGRUP. VALOR. PTO.]]=$B81,IF(DATOS_[[Check Periodo Ref.]:[Check Periodo Ref.]]="Dentro",DATOS_[Conc.Sal.03]))))),
0)</f>
        <v>0</v>
      </c>
      <c r="I83" s="170">
        <f t="array" ref="I83">IFERROR(
AVERAGE((IF(DATOS_[[Sexo]:[Sexo]]=$B83,IF(DATOS_[[AGRUP. VALOR. PTO.]:[AGRUP. VALOR. PTO.]]=$B81,IF(DATOS_[[Check Periodo Ref.]:[Check Periodo Ref.]]="Dentro",DATOS_[Conc.Sal.04]))))),
0)</f>
        <v>0</v>
      </c>
      <c r="J83" s="170">
        <f t="array" ref="J83">IFERROR(
AVERAGE((IF(DATOS_[[Sexo]:[Sexo]]=$B83,IF(DATOS_[[AGRUP. VALOR. PTO.]:[AGRUP. VALOR. PTO.]]=$B81,IF(DATOS_[[Check Periodo Ref.]:[Check Periodo Ref.]]="Dentro",DATOS_[Conc.Sal.05]))))),
0)</f>
        <v>0</v>
      </c>
      <c r="K83" s="170">
        <f t="array" ref="K83">IFERROR(
AVERAGE((IF(DATOS_[[Sexo]:[Sexo]]=$B83,IF(DATOS_[[AGRUP. VALOR. PTO.]:[AGRUP. VALOR. PTO.]]=$B81,IF(DATOS_[[Check Periodo Ref.]:[Check Periodo Ref.]]="Dentro",DATOS_[Conc.Sal.06]))))),
0)</f>
        <v>0</v>
      </c>
      <c r="L83" s="170">
        <f t="array" ref="L83">IFERROR(
AVERAGE((IF(DATOS_[[Sexo]:[Sexo]]=$B83,IF(DATOS_[[AGRUP. VALOR. PTO.]:[AGRUP. VALOR. PTO.]]=$B81,IF(DATOS_[[Check Periodo Ref.]:[Check Periodo Ref.]]="Dentro",DATOS_[Conc.Sal.07]))))),
0)</f>
        <v>0</v>
      </c>
      <c r="M83" s="170">
        <f t="array" ref="M83">IFERROR(
AVERAGE((IF(DATOS_[[Sexo]:[Sexo]]=$B83,IF(DATOS_[[AGRUP. VALOR. PTO.]:[AGRUP. VALOR. PTO.]]=$B81,IF(DATOS_[[Check Periodo Ref.]:[Check Periodo Ref.]]="Dentro",DATOS_[Conc.Sal.08]))))),
0)</f>
        <v>0</v>
      </c>
      <c r="N83" s="170">
        <f t="array" ref="N83">IFERROR(
AVERAGE((IF(DATOS_[[Sexo]:[Sexo]]=$B83,IF(DATOS_[[AGRUP. VALOR. PTO.]:[AGRUP. VALOR. PTO.]]=$B81,IF(DATOS_[[Check Periodo Ref.]:[Check Periodo Ref.]]="Dentro",DATOS_[Conc.Sal.09]))))),
0)</f>
        <v>0</v>
      </c>
      <c r="O83" s="170">
        <f t="array" ref="O83">IFERROR(
AVERAGE((IF(DATOS_[[Sexo]:[Sexo]]=$B83,IF(DATOS_[[AGRUP. VALOR. PTO.]:[AGRUP. VALOR. PTO.]]=$B81,IF(DATOS_[[Check Periodo Ref.]:[Check Periodo Ref.]]="Dentro",DATOS_[Conc.Sal.10]))))),
0)</f>
        <v>0</v>
      </c>
      <c r="P83" s="170">
        <f t="array" ref="P83">IFERROR(
AVERAGE((IF(DATOS_[[Sexo]:[Sexo]]=$B83,IF(DATOS_[[AGRUP. VALOR. PTO.]:[AGRUP. VALOR. PTO.]]=$B81,IF(DATOS_[[Check Periodo Ref.]:[Check Periodo Ref.]]="Dentro",DATOS_[Conc.Sal.11]))))),
0)</f>
        <v>0</v>
      </c>
      <c r="Q83" s="170">
        <f t="array" ref="Q83">IFERROR(
AVERAGE((IF(DATOS_[[Sexo]:[Sexo]]=$B83,IF(DATOS_[[AGRUP. VALOR. PTO.]:[AGRUP. VALOR. PTO.]]=$B81,IF(DATOS_[[Check Periodo Ref.]:[Check Periodo Ref.]]="Dentro",DATOS_[Conc.Sal.12]))))),
0)</f>
        <v>0</v>
      </c>
      <c r="R83" s="170">
        <f t="array" ref="R83">IFERROR(
AVERAGE((IF(DATOS_[[Sexo]:[Sexo]]=$B83,IF(DATOS_[[AGRUP. VALOR. PTO.]:[AGRUP. VALOR. PTO.]]=$B81,IF(DATOS_[[Check Periodo Ref.]:[Check Periodo Ref.]]="Dentro",DATOS_[Conc.Sal.13]))))),
0)</f>
        <v>0</v>
      </c>
      <c r="S83" s="170">
        <f t="array" ref="S83">IFERROR(
AVERAGE((IF(DATOS_[[Sexo]:[Sexo]]=$B83,IF(DATOS_[[AGRUP. VALOR. PTO.]:[AGRUP. VALOR. PTO.]]=$B81,IF(DATOS_[[Check Periodo Ref.]:[Check Periodo Ref.]]="Dentro",DATOS_[Conc.Sal.14]))))),
0)</f>
        <v>0</v>
      </c>
      <c r="T83" s="170">
        <f t="array" ref="T83">IFERROR(
AVERAGE((IF(DATOS_[[Sexo]:[Sexo]]=$B83,IF(DATOS_[[AGRUP. VALOR. PTO.]:[AGRUP. VALOR. PTO.]]=$B81,IF(DATOS_[[Check Periodo Ref.]:[Check Periodo Ref.]]="Dentro",DATOS_[Conc.Sal.15]))))),
0)</f>
        <v>0</v>
      </c>
      <c r="U83" s="170">
        <f t="array" ref="U83">IFERROR(
AVERAGE((IF(DATOS_[[Sexo]:[Sexo]]=$B83,IF(DATOS_[[AGRUP. VALOR. PTO.]:[AGRUP. VALOR. PTO.]]=$B81,IF(DATOS_[[Check Periodo Ref.]:[Check Periodo Ref.]]="Dentro",DATOS_[Conc.Sal.16]))))),
0)</f>
        <v>0</v>
      </c>
      <c r="V83" s="170">
        <f t="array" ref="V83">IFERROR(
AVERAGE((IF(DATOS_[[Sexo]:[Sexo]]=$B83,IF(DATOS_[[AGRUP. VALOR. PTO.]:[AGRUP. VALOR. PTO.]]=$B81,IF(DATOS_[[Check Periodo Ref.]:[Check Periodo Ref.]]="Dentro",DATOS_[Conc.Sal.17]))))),
0)</f>
        <v>0</v>
      </c>
      <c r="W83" s="170">
        <f t="array" ref="W83">IFERROR(
AVERAGE((IF(DATOS_[[Sexo]:[Sexo]]=$B83,IF(DATOS_[[AGRUP. VALOR. PTO.]:[AGRUP. VALOR. PTO.]]=$B81,IF(DATOS_[[Check Periodo Ref.]:[Check Periodo Ref.]]="Dentro",DATOS_[Conc.Sal.18]))))),
0)</f>
        <v>0</v>
      </c>
      <c r="X83" s="170">
        <f t="array" ref="X83">IFERROR(
AVERAGE((IF(DATOS_[[Sexo]:[Sexo]]=$B83,IF(DATOS_[[AGRUP. VALOR. PTO.]:[AGRUP. VALOR. PTO.]]=$B81,IF(DATOS_[[Check Periodo Ref.]:[Check Periodo Ref.]]="Dentro",DATOS_[Conc.Sal.19]))))),
0)</f>
        <v>0</v>
      </c>
      <c r="Y83" s="170">
        <f t="array" ref="Y83">IFERROR(
AVERAGE((IF(DATOS_[[Sexo]:[Sexo]]=$B83,IF(DATOS_[[AGRUP. VALOR. PTO.]:[AGRUP. VALOR. PTO.]]=$B81,IF(DATOS_[[Check Periodo Ref.]:[Check Periodo Ref.]]="Dentro",DATOS_[Conc.Sal.20]))))),
0)</f>
        <v>0</v>
      </c>
      <c r="Z83" s="170">
        <f t="array" ref="Z83">IFERROR(
AVERAGE((IF(DATOS_[[Sexo]:[Sexo]]=$B83,IF(DATOS_[[AGRUP. VALOR. PTO.]:[AGRUP. VALOR. PTO.]]=$B81,IF(DATOS_[[Check Periodo Ref.]:[Check Periodo Ref.]]="Dentro",DATOS_[Conc.Sal.21]))))),
0)</f>
        <v>0</v>
      </c>
      <c r="AA83" s="170">
        <f t="array" ref="AA83">IFERROR(
AVERAGE((IF(DATOS_[[Sexo]:[Sexo]]=$B83,IF(DATOS_[[AGRUP. VALOR. PTO.]:[AGRUP. VALOR. PTO.]]=$B81,IF(DATOS_[[Check Periodo Ref.]:[Check Periodo Ref.]]="Dentro",DATOS_[Conc.Sal.22]))))),
0)</f>
        <v>0</v>
      </c>
      <c r="AB83" s="170">
        <f t="array" ref="AB83">IFERROR(
AVERAGE((IF(DATOS_[[Sexo]:[Sexo]]=$B83,IF(DATOS_[[AGRUP. VALOR. PTO.]:[AGRUP. VALOR. PTO.]]=$B81,IF(DATOS_[[Check Periodo Ref.]:[Check Periodo Ref.]]="Dentro",DATOS_[Conc.Sal.23]))))),
0)</f>
        <v>0</v>
      </c>
      <c r="AC83" s="170">
        <f t="array" ref="AC83">IFERROR(
AVERAGE((IF(DATOS_[[Sexo]:[Sexo]]=$B83,IF(DATOS_[[AGRUP. VALOR. PTO.]:[AGRUP. VALOR. PTO.]]=$B81,IF(DATOS_[[Check Periodo Ref.]:[Check Periodo Ref.]]="Dentro",DATOS_[Conc.Sal.24]))))),
0)</f>
        <v>0</v>
      </c>
      <c r="AD83" s="170">
        <f t="array" ref="AD83">IFERROR(
AVERAGE((IF(DATOS_[[Sexo]:[Sexo]]=$B83,IF(DATOS_[[AGRUP. VALOR. PTO.]:[AGRUP. VALOR. PTO.]]=$B81,IF(DATOS_[[Check Periodo Ref.]:[Check Periodo Ref.]]="Dentro",DATOS_[Conc.Sal.25]))))),
0)</f>
        <v>0</v>
      </c>
      <c r="AE83" s="170">
        <f t="array" ref="AE83">IFERROR(
AVERAGE((IF(DATOS_[[Sexo]:[Sexo]]=$B83,IF(DATOS_[[AGRUP. VALOR. PTO.]:[AGRUP. VALOR. PTO.]]=$B81,IF(DATOS_[[Check Periodo Ref.]:[Check Periodo Ref.]]="Dentro",DATOS_[Conc.Sal.26]))))),
0)</f>
        <v>0</v>
      </c>
      <c r="AF83" s="170">
        <f t="array" ref="AF83">IFERROR(
AVERAGE((IF(DATOS_[[Sexo]:[Sexo]]=$B83,IF(DATOS_[[AGRUP. VALOR. PTO.]:[AGRUP. VALOR. PTO.]]=$B81,IF(DATOS_[[Check Periodo Ref.]:[Check Periodo Ref.]]="Dentro",DATOS_[Conc.Sal.27]))))),
0)</f>
        <v>0</v>
      </c>
      <c r="AG83" s="170">
        <f t="array" ref="AG83">IFERROR(
AVERAGE((IF(DATOS_[[Sexo]:[Sexo]]=$B83,IF(DATOS_[[AGRUP. VALOR. PTO.]:[AGRUP. VALOR. PTO.]]=$B81,IF(DATOS_[[Check Periodo Ref.]:[Check Periodo Ref.]]="Dentro",DATOS_[Conc.Sal.28]))))),
0)</f>
        <v>0</v>
      </c>
      <c r="AH83" s="170">
        <f t="array" ref="AH83">IFERROR(
AVERAGE((IF(DATOS_[[Sexo]:[Sexo]]=$B83,IF(DATOS_[[AGRUP. VALOR. PTO.]:[AGRUP. VALOR. PTO.]]=$B81,IF(DATOS_[[Check Periodo Ref.]:[Check Periodo Ref.]]="Dentro",DATOS_[Conc.Sal.29]))))),
0)</f>
        <v>0</v>
      </c>
      <c r="AI83" s="170">
        <f t="array" ref="AI83">IFERROR(
AVERAGE((IF(DATOS_[[Sexo]:[Sexo]]=$B83,IF(DATOS_[[AGRUP. VALOR. PTO.]:[AGRUP. VALOR. PTO.]]=$B81,IF(DATOS_[[Check Periodo Ref.]:[Check Periodo Ref.]]="Dentro",DATOS_[Conc.Sal.30]))))),
0)</f>
        <v>0</v>
      </c>
      <c r="AJ83" s="171">
        <f t="array" ref="AJ83">IFERROR(
AVERAGE(IF(DATOS_[Sexo]=$B83,IF(DATOS_[AGRUP. VALOR. PTO.]=$B81,IF(DATOS_[Check Periodo Ref.]="Dentro",DATOS_[Tot COMPL.SAL Ef],FALSE)))),
0)</f>
        <v>0</v>
      </c>
      <c r="AK83" s="172">
        <f t="array" ref="AK83">IFERROR(
AVERAGE(IF(DATOS_[Sexo]=$B83,IF(DATOS_[AGRUP. VALOR. PTO.]=$B81,IF(DATOS_[Check Periodo Ref.]="Dentro",DATOS_[TOTAL SALARIO Ef],FALSE)))),
0)</f>
        <v>0</v>
      </c>
      <c r="AL83" s="173">
        <f t="array" ref="AL83">IFERROR(
AVERAGE((IF(DATOS_[[Sexo]:[Sexo]]=$B83,IF(DATOS_[[AGRUP. VALOR. PTO.]:[AGRUP. VALOR. PTO.]]=$B81,IF(DATOS_[[Check Periodo Ref.]:[Check Periodo Ref.]]="Dentro",DATOS_[C.Extra.01]))))),
0)</f>
        <v>0</v>
      </c>
      <c r="AM83" s="173">
        <f t="array" ref="AM83">IFERROR(
AVERAGE((IF(DATOS_[[Sexo]:[Sexo]]=$B83,IF(DATOS_[[AGRUP. VALOR. PTO.]:[AGRUP. VALOR. PTO.]]=$B81,IF(DATOS_[[Check Periodo Ref.]:[Check Periodo Ref.]]="Dentro",DATOS_[C.Extra.06]))))),
0)</f>
        <v>0</v>
      </c>
      <c r="AN83" s="173">
        <f t="array" ref="AN83">IFERROR(
AVERAGE((IF(DATOS_[[Sexo]:[Sexo]]=$B83,IF(DATOS_[[AGRUP. VALOR. PTO.]:[AGRUP. VALOR. PTO.]]=$B81,IF(DATOS_[[Check Periodo Ref.]:[Check Periodo Ref.]]="Dentro",DATOS_[C.Extra.07]))))),
0)</f>
        <v>0</v>
      </c>
      <c r="AO83" s="173">
        <f t="array" ref="AO83">IFERROR(
AVERAGE((IF(DATOS_[[Sexo]:[Sexo]]=$B83,IF(DATOS_[[AGRUP. VALOR. PTO.]:[AGRUP. VALOR. PTO.]]=$B81,IF(DATOS_[[Check Periodo Ref.]:[Check Periodo Ref.]]="Dentro",DATOS_[C.Extra.08]))))),
0)</f>
        <v>0</v>
      </c>
      <c r="AP83" s="173">
        <f t="array" ref="AP83">IFERROR(
AVERAGE((IF(DATOS_[[Sexo]:[Sexo]]=$B83,IF(DATOS_[[AGRUP. VALOR. PTO.]:[AGRUP. VALOR. PTO.]]=$B81,IF(DATOS_[[Check Periodo Ref.]:[Check Periodo Ref.]]="Dentro",DATOS_[C.Extra.11]))))),
0)</f>
        <v>0</v>
      </c>
      <c r="AQ83" s="174">
        <f t="array" ref="AQ83">IFERROR(
AVERAGE(IF(DATOS_[Sexo]=$B83,IF(DATOS_[AGRUP. VALOR. PTO.]=$B81,IF(DATOS_[Check Periodo Ref.]="Dentro",DATOS_[Tot Extrasalarial Ef],FALSE)))),
0)</f>
        <v>0</v>
      </c>
      <c r="AR83" s="171">
        <f t="array" ref="AR83">IFERROR(
AVERAGE(IF(DATOS_[Sexo]=$B83,IF(DATOS_[AGRUP. VALOR. PTO.]=$B81,IF(DATOS_[Check Periodo Ref.]="Dentro",DATOS_[TOTAL Retrib Ef],FALSE)))),
0)</f>
        <v>0</v>
      </c>
    </row>
    <row r="84" spans="1:44" ht="14.4" thickBot="1" x14ac:dyDescent="0.3">
      <c r="A84" s="178" t="str">
        <f t="shared" ref="A84" si="95">+A85</f>
        <v>[ocultar]</v>
      </c>
      <c r="B84" s="153" t="s">
        <v>272</v>
      </c>
      <c r="C84" s="154"/>
      <c r="D84" s="155"/>
      <c r="E84" s="156" t="str">
        <f t="shared" ref="E84:AR84" si="96">IFERROR((E85-E86)/E85,"")</f>
        <v/>
      </c>
      <c r="F84" s="157" t="str">
        <f t="shared" si="96"/>
        <v/>
      </c>
      <c r="G84" s="158" t="str">
        <f t="shared" si="96"/>
        <v/>
      </c>
      <c r="H84" s="158" t="str">
        <f t="shared" si="96"/>
        <v/>
      </c>
      <c r="I84" s="158" t="str">
        <f t="shared" si="96"/>
        <v/>
      </c>
      <c r="J84" s="159" t="str">
        <f t="shared" si="96"/>
        <v/>
      </c>
      <c r="K84" s="160" t="str">
        <f t="shared" si="96"/>
        <v/>
      </c>
      <c r="L84" s="160" t="str">
        <f t="shared" si="96"/>
        <v/>
      </c>
      <c r="M84" s="160" t="str">
        <f t="shared" si="96"/>
        <v/>
      </c>
      <c r="N84" s="160" t="str">
        <f t="shared" si="96"/>
        <v/>
      </c>
      <c r="O84" s="160" t="str">
        <f t="shared" si="96"/>
        <v/>
      </c>
      <c r="P84" s="160" t="str">
        <f t="shared" si="96"/>
        <v/>
      </c>
      <c r="Q84" s="160" t="str">
        <f t="shared" si="96"/>
        <v/>
      </c>
      <c r="R84" s="160" t="str">
        <f t="shared" si="96"/>
        <v/>
      </c>
      <c r="S84" s="160" t="str">
        <f t="shared" si="96"/>
        <v/>
      </c>
      <c r="T84" s="160" t="str">
        <f t="shared" si="96"/>
        <v/>
      </c>
      <c r="U84" s="160" t="str">
        <f t="shared" si="96"/>
        <v/>
      </c>
      <c r="V84" s="159" t="str">
        <f t="shared" si="96"/>
        <v/>
      </c>
      <c r="W84" s="159" t="str">
        <f t="shared" si="96"/>
        <v/>
      </c>
      <c r="X84" s="159" t="str">
        <f t="shared" si="96"/>
        <v/>
      </c>
      <c r="Y84" s="159" t="str">
        <f t="shared" si="96"/>
        <v/>
      </c>
      <c r="Z84" s="159" t="str">
        <f t="shared" si="96"/>
        <v/>
      </c>
      <c r="AA84" s="159" t="str">
        <f t="shared" si="96"/>
        <v/>
      </c>
      <c r="AB84" s="159" t="str">
        <f t="shared" si="96"/>
        <v/>
      </c>
      <c r="AC84" s="159" t="str">
        <f t="shared" si="96"/>
        <v/>
      </c>
      <c r="AD84" s="159" t="str">
        <f t="shared" si="96"/>
        <v/>
      </c>
      <c r="AE84" s="159" t="str">
        <f t="shared" si="96"/>
        <v/>
      </c>
      <c r="AF84" s="159" t="str">
        <f t="shared" si="96"/>
        <v/>
      </c>
      <c r="AG84" s="159" t="str">
        <f t="shared" si="96"/>
        <v/>
      </c>
      <c r="AH84" s="159" t="str">
        <f t="shared" si="96"/>
        <v/>
      </c>
      <c r="AI84" s="159" t="str">
        <f t="shared" si="96"/>
        <v/>
      </c>
      <c r="AJ84" s="161" t="str">
        <f t="shared" si="96"/>
        <v/>
      </c>
      <c r="AK84" s="162" t="str">
        <f t="shared" si="96"/>
        <v/>
      </c>
      <c r="AL84" s="163" t="str">
        <f t="shared" si="96"/>
        <v/>
      </c>
      <c r="AM84" s="163" t="str">
        <f t="shared" si="96"/>
        <v/>
      </c>
      <c r="AN84" s="163" t="str">
        <f t="shared" si="96"/>
        <v/>
      </c>
      <c r="AO84" s="163" t="str">
        <f t="shared" si="96"/>
        <v/>
      </c>
      <c r="AP84" s="163" t="str">
        <f t="shared" si="96"/>
        <v/>
      </c>
      <c r="AQ84" s="164" t="str">
        <f t="shared" si="96"/>
        <v/>
      </c>
      <c r="AR84" s="161" t="str">
        <f t="shared" si="96"/>
        <v/>
      </c>
    </row>
    <row r="85" spans="1:44" x14ac:dyDescent="0.25">
      <c r="A85" s="178" t="str">
        <f t="shared" ref="A85" si="97">+IF(C85+C86=0,"[ocultar]","")</f>
        <v>[ocultar]</v>
      </c>
      <c r="B85" s="166" t="s">
        <v>394</v>
      </c>
      <c r="C85" s="167">
        <f t="array" ref="C85">SUM(IF($B85=DATOS_[Sexo],
IF($B84=DATOS_[AGRUP. VALOR. PTO.],
IF("Dentro"=DATOS_[Check Periodo Ref.],
1/(COUNTIFS(DATOS_[Sexo],$B85,DATOS_[AGRUP. VALOR. PTO.],$B84,DATOS_[Check Periodo Ref.],"Dentro",DATOS_[id/cod],DATOS_[id/cod]))))))</f>
        <v>0</v>
      </c>
      <c r="D85" s="168">
        <f>COUNTIFS(DATOS_[AGRUP. VALOR. PTO.],$B84,DATOS_[Sexo],$B85,DATOS_[Check Periodo Ref.],"Dentro")</f>
        <v>0</v>
      </c>
      <c r="E85" s="169">
        <f t="array" ref="E85">IFERROR(
AVERAGE(IF(DATOS_[Sexo]=$B85,IF(DATOS_[AGRUP. VALOR. PTO.]=$B84,IF(DATOS_[Check Periodo Ref.]="Dentro",DATOS_[SALARIO BASE Ef],FALSE)))),
0)</f>
        <v>0</v>
      </c>
      <c r="F85" s="170">
        <f t="array" ref="F85">IFERROR(
AVERAGE((IF(DATOS_[[Sexo]:[Sexo]]=$B85,IF(DATOS_[[AGRUP. VALOR. PTO.]:[AGRUP. VALOR. PTO.]]=$B84,IF(DATOS_[[Check Periodo Ref.]:[Check Periodo Ref.]]="Dentro",DATOS_[Conc.Sal.01]))))),
0)</f>
        <v>0</v>
      </c>
      <c r="G85" s="170">
        <f t="array" ref="G85">IFERROR(
AVERAGE((IF(DATOS_[[Sexo]:[Sexo]]=$B85,IF(DATOS_[[AGRUP. VALOR. PTO.]:[AGRUP. VALOR. PTO.]]=$B84,IF(DATOS_[[Check Periodo Ref.]:[Check Periodo Ref.]]="Dentro",DATOS_[Conc.Sal.02]))))),
0)</f>
        <v>0</v>
      </c>
      <c r="H85" s="170">
        <f t="array" ref="H85">IFERROR(
AVERAGE((IF(DATOS_[[Sexo]:[Sexo]]=$B85,IF(DATOS_[[AGRUP. VALOR. PTO.]:[AGRUP. VALOR. PTO.]]=$B84,IF(DATOS_[[Check Periodo Ref.]:[Check Periodo Ref.]]="Dentro",DATOS_[Conc.Sal.03]))))),
0)</f>
        <v>0</v>
      </c>
      <c r="I85" s="170">
        <f t="array" ref="I85">IFERROR(
AVERAGE((IF(DATOS_[[Sexo]:[Sexo]]=$B85,IF(DATOS_[[AGRUP. VALOR. PTO.]:[AGRUP. VALOR. PTO.]]=$B84,IF(DATOS_[[Check Periodo Ref.]:[Check Periodo Ref.]]="Dentro",DATOS_[Conc.Sal.04]))))),
0)</f>
        <v>0</v>
      </c>
      <c r="J85" s="170">
        <f t="array" ref="J85">IFERROR(
AVERAGE((IF(DATOS_[[Sexo]:[Sexo]]=$B85,IF(DATOS_[[AGRUP. VALOR. PTO.]:[AGRUP. VALOR. PTO.]]=$B84,IF(DATOS_[[Check Periodo Ref.]:[Check Periodo Ref.]]="Dentro",DATOS_[Conc.Sal.05]))))),
0)</f>
        <v>0</v>
      </c>
      <c r="K85" s="170">
        <f t="array" ref="K85">IFERROR(
AVERAGE((IF(DATOS_[[Sexo]:[Sexo]]=$B85,IF(DATOS_[[AGRUP. VALOR. PTO.]:[AGRUP. VALOR. PTO.]]=$B84,IF(DATOS_[[Check Periodo Ref.]:[Check Periodo Ref.]]="Dentro",DATOS_[Conc.Sal.06]))))),
0)</f>
        <v>0</v>
      </c>
      <c r="L85" s="170">
        <f t="array" ref="L85">IFERROR(
AVERAGE((IF(DATOS_[[Sexo]:[Sexo]]=$B85,IF(DATOS_[[AGRUP. VALOR. PTO.]:[AGRUP. VALOR. PTO.]]=$B84,IF(DATOS_[[Check Periodo Ref.]:[Check Periodo Ref.]]="Dentro",DATOS_[Conc.Sal.07]))))),
0)</f>
        <v>0</v>
      </c>
      <c r="M85" s="170">
        <f t="array" ref="M85">IFERROR(
AVERAGE((IF(DATOS_[[Sexo]:[Sexo]]=$B85,IF(DATOS_[[AGRUP. VALOR. PTO.]:[AGRUP. VALOR. PTO.]]=$B84,IF(DATOS_[[Check Periodo Ref.]:[Check Periodo Ref.]]="Dentro",DATOS_[Conc.Sal.08]))))),
0)</f>
        <v>0</v>
      </c>
      <c r="N85" s="170">
        <f t="array" ref="N85">IFERROR(
AVERAGE((IF(DATOS_[[Sexo]:[Sexo]]=$B85,IF(DATOS_[[AGRUP. VALOR. PTO.]:[AGRUP. VALOR. PTO.]]=$B84,IF(DATOS_[[Check Periodo Ref.]:[Check Periodo Ref.]]="Dentro",DATOS_[Conc.Sal.09]))))),
0)</f>
        <v>0</v>
      </c>
      <c r="O85" s="170">
        <f t="array" ref="O85">IFERROR(
AVERAGE((IF(DATOS_[[Sexo]:[Sexo]]=$B85,IF(DATOS_[[AGRUP. VALOR. PTO.]:[AGRUP. VALOR. PTO.]]=$B84,IF(DATOS_[[Check Periodo Ref.]:[Check Periodo Ref.]]="Dentro",DATOS_[Conc.Sal.10]))))),
0)</f>
        <v>0</v>
      </c>
      <c r="P85" s="170">
        <f t="array" ref="P85">IFERROR(
AVERAGE((IF(DATOS_[[Sexo]:[Sexo]]=$B85,IF(DATOS_[[AGRUP. VALOR. PTO.]:[AGRUP. VALOR. PTO.]]=$B84,IF(DATOS_[[Check Periodo Ref.]:[Check Periodo Ref.]]="Dentro",DATOS_[Conc.Sal.11]))))),
0)</f>
        <v>0</v>
      </c>
      <c r="Q85" s="170">
        <f t="array" ref="Q85">IFERROR(
AVERAGE((IF(DATOS_[[Sexo]:[Sexo]]=$B85,IF(DATOS_[[AGRUP. VALOR. PTO.]:[AGRUP. VALOR. PTO.]]=$B84,IF(DATOS_[[Check Periodo Ref.]:[Check Periodo Ref.]]="Dentro",DATOS_[Conc.Sal.12]))))),
0)</f>
        <v>0</v>
      </c>
      <c r="R85" s="170">
        <f t="array" ref="R85">IFERROR(
AVERAGE((IF(DATOS_[[Sexo]:[Sexo]]=$B85,IF(DATOS_[[AGRUP. VALOR. PTO.]:[AGRUP. VALOR. PTO.]]=$B84,IF(DATOS_[[Check Periodo Ref.]:[Check Periodo Ref.]]="Dentro",DATOS_[Conc.Sal.13]))))),
0)</f>
        <v>0</v>
      </c>
      <c r="S85" s="170">
        <f t="array" ref="S85">IFERROR(
AVERAGE((IF(DATOS_[[Sexo]:[Sexo]]=$B85,IF(DATOS_[[AGRUP. VALOR. PTO.]:[AGRUP. VALOR. PTO.]]=$B84,IF(DATOS_[[Check Periodo Ref.]:[Check Periodo Ref.]]="Dentro",DATOS_[Conc.Sal.14]))))),
0)</f>
        <v>0</v>
      </c>
      <c r="T85" s="170">
        <f t="array" ref="T85">IFERROR(
AVERAGE((IF(DATOS_[[Sexo]:[Sexo]]=$B85,IF(DATOS_[[AGRUP. VALOR. PTO.]:[AGRUP. VALOR. PTO.]]=$B84,IF(DATOS_[[Check Periodo Ref.]:[Check Periodo Ref.]]="Dentro",DATOS_[Conc.Sal.15]))))),
0)</f>
        <v>0</v>
      </c>
      <c r="U85" s="170">
        <f t="array" ref="U85">IFERROR(
AVERAGE((IF(DATOS_[[Sexo]:[Sexo]]=$B85,IF(DATOS_[[AGRUP. VALOR. PTO.]:[AGRUP. VALOR. PTO.]]=$B84,IF(DATOS_[[Check Periodo Ref.]:[Check Periodo Ref.]]="Dentro",DATOS_[Conc.Sal.16]))))),
0)</f>
        <v>0</v>
      </c>
      <c r="V85" s="170">
        <f t="array" ref="V85">IFERROR(
AVERAGE((IF(DATOS_[[Sexo]:[Sexo]]=$B85,IF(DATOS_[[AGRUP. VALOR. PTO.]:[AGRUP. VALOR. PTO.]]=$B84,IF(DATOS_[[Check Periodo Ref.]:[Check Periodo Ref.]]="Dentro",DATOS_[Conc.Sal.17]))))),
0)</f>
        <v>0</v>
      </c>
      <c r="W85" s="170">
        <f t="array" ref="W85">IFERROR(
AVERAGE((IF(DATOS_[[Sexo]:[Sexo]]=$B85,IF(DATOS_[[AGRUP. VALOR. PTO.]:[AGRUP. VALOR. PTO.]]=$B84,IF(DATOS_[[Check Periodo Ref.]:[Check Periodo Ref.]]="Dentro",DATOS_[Conc.Sal.18]))))),
0)</f>
        <v>0</v>
      </c>
      <c r="X85" s="170">
        <f t="array" ref="X85">IFERROR(
AVERAGE((IF(DATOS_[[Sexo]:[Sexo]]=$B85,IF(DATOS_[[AGRUP. VALOR. PTO.]:[AGRUP. VALOR. PTO.]]=$B84,IF(DATOS_[[Check Periodo Ref.]:[Check Periodo Ref.]]="Dentro",DATOS_[Conc.Sal.19]))))),
0)</f>
        <v>0</v>
      </c>
      <c r="Y85" s="170">
        <f t="array" ref="Y85">IFERROR(
AVERAGE((IF(DATOS_[[Sexo]:[Sexo]]=$B85,IF(DATOS_[[AGRUP. VALOR. PTO.]:[AGRUP. VALOR. PTO.]]=$B84,IF(DATOS_[[Check Periodo Ref.]:[Check Periodo Ref.]]="Dentro",DATOS_[Conc.Sal.20]))))),
0)</f>
        <v>0</v>
      </c>
      <c r="Z85" s="170">
        <f t="array" ref="Z85">IFERROR(
AVERAGE((IF(DATOS_[[Sexo]:[Sexo]]=$B85,IF(DATOS_[[AGRUP. VALOR. PTO.]:[AGRUP. VALOR. PTO.]]=$B84,IF(DATOS_[[Check Periodo Ref.]:[Check Periodo Ref.]]="Dentro",DATOS_[Conc.Sal.21]))))),
0)</f>
        <v>0</v>
      </c>
      <c r="AA85" s="170">
        <f t="array" ref="AA85">IFERROR(
AVERAGE((IF(DATOS_[[Sexo]:[Sexo]]=$B85,IF(DATOS_[[AGRUP. VALOR. PTO.]:[AGRUP. VALOR. PTO.]]=$B84,IF(DATOS_[[Check Periodo Ref.]:[Check Periodo Ref.]]="Dentro",DATOS_[Conc.Sal.22]))))),
0)</f>
        <v>0</v>
      </c>
      <c r="AB85" s="170">
        <f t="array" ref="AB85">IFERROR(
AVERAGE((IF(DATOS_[[Sexo]:[Sexo]]=$B85,IF(DATOS_[[AGRUP. VALOR. PTO.]:[AGRUP. VALOR. PTO.]]=$B84,IF(DATOS_[[Check Periodo Ref.]:[Check Periodo Ref.]]="Dentro",DATOS_[Conc.Sal.23]))))),
0)</f>
        <v>0</v>
      </c>
      <c r="AC85" s="170">
        <f t="array" ref="AC85">IFERROR(
AVERAGE((IF(DATOS_[[Sexo]:[Sexo]]=$B85,IF(DATOS_[[AGRUP. VALOR. PTO.]:[AGRUP. VALOR. PTO.]]=$B84,IF(DATOS_[[Check Periodo Ref.]:[Check Periodo Ref.]]="Dentro",DATOS_[Conc.Sal.24]))))),
0)</f>
        <v>0</v>
      </c>
      <c r="AD85" s="170">
        <f t="array" ref="AD85">IFERROR(
AVERAGE((IF(DATOS_[[Sexo]:[Sexo]]=$B85,IF(DATOS_[[AGRUP. VALOR. PTO.]:[AGRUP. VALOR. PTO.]]=$B84,IF(DATOS_[[Check Periodo Ref.]:[Check Periodo Ref.]]="Dentro",DATOS_[Conc.Sal.25]))))),
0)</f>
        <v>0</v>
      </c>
      <c r="AE85" s="170">
        <f t="array" ref="AE85">IFERROR(
AVERAGE((IF(DATOS_[[Sexo]:[Sexo]]=$B85,IF(DATOS_[[AGRUP. VALOR. PTO.]:[AGRUP. VALOR. PTO.]]=$B84,IF(DATOS_[[Check Periodo Ref.]:[Check Periodo Ref.]]="Dentro",DATOS_[Conc.Sal.26]))))),
0)</f>
        <v>0</v>
      </c>
      <c r="AF85" s="170">
        <f t="array" ref="AF85">IFERROR(
AVERAGE((IF(DATOS_[[Sexo]:[Sexo]]=$B85,IF(DATOS_[[AGRUP. VALOR. PTO.]:[AGRUP. VALOR. PTO.]]=$B84,IF(DATOS_[[Check Periodo Ref.]:[Check Periodo Ref.]]="Dentro",DATOS_[Conc.Sal.27]))))),
0)</f>
        <v>0</v>
      </c>
      <c r="AG85" s="170">
        <f t="array" ref="AG85">IFERROR(
AVERAGE((IF(DATOS_[[Sexo]:[Sexo]]=$B85,IF(DATOS_[[AGRUP. VALOR. PTO.]:[AGRUP. VALOR. PTO.]]=$B84,IF(DATOS_[[Check Periodo Ref.]:[Check Periodo Ref.]]="Dentro",DATOS_[Conc.Sal.28]))))),
0)</f>
        <v>0</v>
      </c>
      <c r="AH85" s="170">
        <f t="array" ref="AH85">IFERROR(
AVERAGE((IF(DATOS_[[Sexo]:[Sexo]]=$B85,IF(DATOS_[[AGRUP. VALOR. PTO.]:[AGRUP. VALOR. PTO.]]=$B84,IF(DATOS_[[Check Periodo Ref.]:[Check Periodo Ref.]]="Dentro",DATOS_[Conc.Sal.29]))))),
0)</f>
        <v>0</v>
      </c>
      <c r="AI85" s="170">
        <f t="array" ref="AI85">IFERROR(
AVERAGE((IF(DATOS_[[Sexo]:[Sexo]]=$B85,IF(DATOS_[[AGRUP. VALOR. PTO.]:[AGRUP. VALOR. PTO.]]=$B84,IF(DATOS_[[Check Periodo Ref.]:[Check Periodo Ref.]]="Dentro",DATOS_[Conc.Sal.30]))))),
0)</f>
        <v>0</v>
      </c>
      <c r="AJ85" s="171">
        <f t="array" ref="AJ85">IFERROR(
AVERAGE(IF(DATOS_[Sexo]=$B85,IF(DATOS_[AGRUP. VALOR. PTO.]=$B84,IF(DATOS_[Check Periodo Ref.]="Dentro",DATOS_[Tot COMPL.SAL Ef],FALSE)))),
0)</f>
        <v>0</v>
      </c>
      <c r="AK85" s="172">
        <f t="array" ref="AK85">IFERROR(
AVERAGE(IF(DATOS_[Sexo]=$B85,IF(DATOS_[AGRUP. VALOR. PTO.]=$B84,IF(DATOS_[Check Periodo Ref.]="Dentro",DATOS_[TOTAL SALARIO Ef],FALSE)))),
0)</f>
        <v>0</v>
      </c>
      <c r="AL85" s="173">
        <f t="array" ref="AL85">IFERROR(
AVERAGE((IF(DATOS_[[Sexo]:[Sexo]]=$B85,IF(DATOS_[[AGRUP. VALOR. PTO.]:[AGRUP. VALOR. PTO.]]=$B84,IF(DATOS_[[Check Periodo Ref.]:[Check Periodo Ref.]]="Dentro",DATOS_[C.Extra.01]))))),
0)</f>
        <v>0</v>
      </c>
      <c r="AM85" s="173">
        <f t="array" ref="AM85">IFERROR(
AVERAGE((IF(DATOS_[[Sexo]:[Sexo]]=$B85,IF(DATOS_[[AGRUP. VALOR. PTO.]:[AGRUP. VALOR. PTO.]]=$B84,IF(DATOS_[[Check Periodo Ref.]:[Check Periodo Ref.]]="Dentro",DATOS_[C.Extra.06]))))),
0)</f>
        <v>0</v>
      </c>
      <c r="AN85" s="173">
        <f t="array" ref="AN85">IFERROR(
AVERAGE((IF(DATOS_[[Sexo]:[Sexo]]=$B85,IF(DATOS_[[AGRUP. VALOR. PTO.]:[AGRUP. VALOR. PTO.]]=$B84,IF(DATOS_[[Check Periodo Ref.]:[Check Periodo Ref.]]="Dentro",DATOS_[C.Extra.07]))))),
0)</f>
        <v>0</v>
      </c>
      <c r="AO85" s="173">
        <f t="array" ref="AO85">IFERROR(
AVERAGE((IF(DATOS_[[Sexo]:[Sexo]]=$B85,IF(DATOS_[[AGRUP. VALOR. PTO.]:[AGRUP. VALOR. PTO.]]=$B84,IF(DATOS_[[Check Periodo Ref.]:[Check Periodo Ref.]]="Dentro",DATOS_[C.Extra.08]))))),
0)</f>
        <v>0</v>
      </c>
      <c r="AP85" s="173">
        <f t="array" ref="AP85">IFERROR(
AVERAGE((IF(DATOS_[[Sexo]:[Sexo]]=$B85,IF(DATOS_[[AGRUP. VALOR. PTO.]:[AGRUP. VALOR. PTO.]]=$B84,IF(DATOS_[[Check Periodo Ref.]:[Check Periodo Ref.]]="Dentro",DATOS_[C.Extra.11]))))),
0)</f>
        <v>0</v>
      </c>
      <c r="AQ85" s="174">
        <f t="array" ref="AQ85">IFERROR(
AVERAGE(IF(DATOS_[Sexo]=$B85,IF(DATOS_[AGRUP. VALOR. PTO.]=$B84,IF(DATOS_[Check Periodo Ref.]="Dentro",DATOS_[Tot Extrasalarial Ef],FALSE)))),
0)</f>
        <v>0</v>
      </c>
      <c r="AR85" s="171">
        <f t="array" ref="AR85">IFERROR(
AVERAGE(IF(DATOS_[Sexo]=$B85,IF(DATOS_[AGRUP. VALOR. PTO.]=$B84,IF(DATOS_[Check Periodo Ref.]="Dentro",DATOS_[TOTAL Retrib Ef],FALSE)))),
0)</f>
        <v>0</v>
      </c>
    </row>
    <row r="86" spans="1:44" x14ac:dyDescent="0.25">
      <c r="A86" s="178" t="str">
        <f t="shared" ref="A86" si="98">+A85</f>
        <v>[ocultar]</v>
      </c>
      <c r="B86" s="166" t="s">
        <v>521</v>
      </c>
      <c r="C86" s="167">
        <f t="array" ref="C86">SUM(IF($B86=DATOS_[Sexo],
IF($B84=DATOS_[AGRUP. VALOR. PTO.],
IF("Dentro"=DATOS_[Check Periodo Ref.],
1/(COUNTIFS(DATOS_[Sexo],$B86,DATOS_[AGRUP. VALOR. PTO.],$B84,DATOS_[Check Periodo Ref.],"Dentro",DATOS_[id/cod],DATOS_[id/cod]))))))</f>
        <v>0</v>
      </c>
      <c r="D86" s="168">
        <f>COUNTIFS(DATOS_[AGRUP. VALOR. PTO.],$B84,DATOS_[Sexo],$B86,DATOS_[Check Periodo Ref.],"Dentro")</f>
        <v>0</v>
      </c>
      <c r="E86" s="169">
        <f t="array" ref="E86">IFERROR(
AVERAGE(IF(DATOS_[Sexo]=$B86,IF(DATOS_[AGRUP. VALOR. PTO.]=$B84,IF(DATOS_[Check Periodo Ref.]="Dentro",DATOS_[SALARIO BASE Ef],FALSE)))),
0)</f>
        <v>0</v>
      </c>
      <c r="F86" s="170">
        <f t="array" ref="F86">IFERROR(
AVERAGE((IF(DATOS_[[Sexo]:[Sexo]]=$B86,IF(DATOS_[[AGRUP. VALOR. PTO.]:[AGRUP. VALOR. PTO.]]=$B84,IF(DATOS_[[Check Periodo Ref.]:[Check Periodo Ref.]]="Dentro",DATOS_[Conc.Sal.01]))))),
0)</f>
        <v>0</v>
      </c>
      <c r="G86" s="170">
        <f t="array" ref="G86">IFERROR(
AVERAGE((IF(DATOS_[[Sexo]:[Sexo]]=$B86,IF(DATOS_[[AGRUP. VALOR. PTO.]:[AGRUP. VALOR. PTO.]]=$B84,IF(DATOS_[[Check Periodo Ref.]:[Check Periodo Ref.]]="Dentro",DATOS_[Conc.Sal.02]))))),
0)</f>
        <v>0</v>
      </c>
      <c r="H86" s="170">
        <f t="array" ref="H86">IFERROR(
AVERAGE((IF(DATOS_[[Sexo]:[Sexo]]=$B86,IF(DATOS_[[AGRUP. VALOR. PTO.]:[AGRUP. VALOR. PTO.]]=$B84,IF(DATOS_[[Check Periodo Ref.]:[Check Periodo Ref.]]="Dentro",DATOS_[Conc.Sal.03]))))),
0)</f>
        <v>0</v>
      </c>
      <c r="I86" s="170">
        <f t="array" ref="I86">IFERROR(
AVERAGE((IF(DATOS_[[Sexo]:[Sexo]]=$B86,IF(DATOS_[[AGRUP. VALOR. PTO.]:[AGRUP. VALOR. PTO.]]=$B84,IF(DATOS_[[Check Periodo Ref.]:[Check Periodo Ref.]]="Dentro",DATOS_[Conc.Sal.04]))))),
0)</f>
        <v>0</v>
      </c>
      <c r="J86" s="170">
        <f t="array" ref="J86">IFERROR(
AVERAGE((IF(DATOS_[[Sexo]:[Sexo]]=$B86,IF(DATOS_[[AGRUP. VALOR. PTO.]:[AGRUP. VALOR. PTO.]]=$B84,IF(DATOS_[[Check Periodo Ref.]:[Check Periodo Ref.]]="Dentro",DATOS_[Conc.Sal.05]))))),
0)</f>
        <v>0</v>
      </c>
      <c r="K86" s="170">
        <f t="array" ref="K86">IFERROR(
AVERAGE((IF(DATOS_[[Sexo]:[Sexo]]=$B86,IF(DATOS_[[AGRUP. VALOR. PTO.]:[AGRUP. VALOR. PTO.]]=$B84,IF(DATOS_[[Check Periodo Ref.]:[Check Periodo Ref.]]="Dentro",DATOS_[Conc.Sal.06]))))),
0)</f>
        <v>0</v>
      </c>
      <c r="L86" s="170">
        <f t="array" ref="L86">IFERROR(
AVERAGE((IF(DATOS_[[Sexo]:[Sexo]]=$B86,IF(DATOS_[[AGRUP. VALOR. PTO.]:[AGRUP. VALOR. PTO.]]=$B84,IF(DATOS_[[Check Periodo Ref.]:[Check Periodo Ref.]]="Dentro",DATOS_[Conc.Sal.07]))))),
0)</f>
        <v>0</v>
      </c>
      <c r="M86" s="170">
        <f t="array" ref="M86">IFERROR(
AVERAGE((IF(DATOS_[[Sexo]:[Sexo]]=$B86,IF(DATOS_[[AGRUP. VALOR. PTO.]:[AGRUP. VALOR. PTO.]]=$B84,IF(DATOS_[[Check Periodo Ref.]:[Check Periodo Ref.]]="Dentro",DATOS_[Conc.Sal.08]))))),
0)</f>
        <v>0</v>
      </c>
      <c r="N86" s="170">
        <f t="array" ref="N86">IFERROR(
AVERAGE((IF(DATOS_[[Sexo]:[Sexo]]=$B86,IF(DATOS_[[AGRUP. VALOR. PTO.]:[AGRUP. VALOR. PTO.]]=$B84,IF(DATOS_[[Check Periodo Ref.]:[Check Periodo Ref.]]="Dentro",DATOS_[Conc.Sal.09]))))),
0)</f>
        <v>0</v>
      </c>
      <c r="O86" s="170">
        <f t="array" ref="O86">IFERROR(
AVERAGE((IF(DATOS_[[Sexo]:[Sexo]]=$B86,IF(DATOS_[[AGRUP. VALOR. PTO.]:[AGRUP. VALOR. PTO.]]=$B84,IF(DATOS_[[Check Periodo Ref.]:[Check Periodo Ref.]]="Dentro",DATOS_[Conc.Sal.10]))))),
0)</f>
        <v>0</v>
      </c>
      <c r="P86" s="170">
        <f t="array" ref="P86">IFERROR(
AVERAGE((IF(DATOS_[[Sexo]:[Sexo]]=$B86,IF(DATOS_[[AGRUP. VALOR. PTO.]:[AGRUP. VALOR. PTO.]]=$B84,IF(DATOS_[[Check Periodo Ref.]:[Check Periodo Ref.]]="Dentro",DATOS_[Conc.Sal.11]))))),
0)</f>
        <v>0</v>
      </c>
      <c r="Q86" s="170">
        <f t="array" ref="Q86">IFERROR(
AVERAGE((IF(DATOS_[[Sexo]:[Sexo]]=$B86,IF(DATOS_[[AGRUP. VALOR. PTO.]:[AGRUP. VALOR. PTO.]]=$B84,IF(DATOS_[[Check Periodo Ref.]:[Check Periodo Ref.]]="Dentro",DATOS_[Conc.Sal.12]))))),
0)</f>
        <v>0</v>
      </c>
      <c r="R86" s="170">
        <f t="array" ref="R86">IFERROR(
AVERAGE((IF(DATOS_[[Sexo]:[Sexo]]=$B86,IF(DATOS_[[AGRUP. VALOR. PTO.]:[AGRUP. VALOR. PTO.]]=$B84,IF(DATOS_[[Check Periodo Ref.]:[Check Periodo Ref.]]="Dentro",DATOS_[Conc.Sal.13]))))),
0)</f>
        <v>0</v>
      </c>
      <c r="S86" s="170">
        <f t="array" ref="S86">IFERROR(
AVERAGE((IF(DATOS_[[Sexo]:[Sexo]]=$B86,IF(DATOS_[[AGRUP. VALOR. PTO.]:[AGRUP. VALOR. PTO.]]=$B84,IF(DATOS_[[Check Periodo Ref.]:[Check Periodo Ref.]]="Dentro",DATOS_[Conc.Sal.14]))))),
0)</f>
        <v>0</v>
      </c>
      <c r="T86" s="170">
        <f t="array" ref="T86">IFERROR(
AVERAGE((IF(DATOS_[[Sexo]:[Sexo]]=$B86,IF(DATOS_[[AGRUP. VALOR. PTO.]:[AGRUP. VALOR. PTO.]]=$B84,IF(DATOS_[[Check Periodo Ref.]:[Check Periodo Ref.]]="Dentro",DATOS_[Conc.Sal.15]))))),
0)</f>
        <v>0</v>
      </c>
      <c r="U86" s="170">
        <f t="array" ref="U86">IFERROR(
AVERAGE((IF(DATOS_[[Sexo]:[Sexo]]=$B86,IF(DATOS_[[AGRUP. VALOR. PTO.]:[AGRUP. VALOR. PTO.]]=$B84,IF(DATOS_[[Check Periodo Ref.]:[Check Periodo Ref.]]="Dentro",DATOS_[Conc.Sal.16]))))),
0)</f>
        <v>0</v>
      </c>
      <c r="V86" s="170">
        <f t="array" ref="V86">IFERROR(
AVERAGE((IF(DATOS_[[Sexo]:[Sexo]]=$B86,IF(DATOS_[[AGRUP. VALOR. PTO.]:[AGRUP. VALOR. PTO.]]=$B84,IF(DATOS_[[Check Periodo Ref.]:[Check Periodo Ref.]]="Dentro",DATOS_[Conc.Sal.17]))))),
0)</f>
        <v>0</v>
      </c>
      <c r="W86" s="170">
        <f t="array" ref="W86">IFERROR(
AVERAGE((IF(DATOS_[[Sexo]:[Sexo]]=$B86,IF(DATOS_[[AGRUP. VALOR. PTO.]:[AGRUP. VALOR. PTO.]]=$B84,IF(DATOS_[[Check Periodo Ref.]:[Check Periodo Ref.]]="Dentro",DATOS_[Conc.Sal.18]))))),
0)</f>
        <v>0</v>
      </c>
      <c r="X86" s="170">
        <f t="array" ref="X86">IFERROR(
AVERAGE((IF(DATOS_[[Sexo]:[Sexo]]=$B86,IF(DATOS_[[AGRUP. VALOR. PTO.]:[AGRUP. VALOR. PTO.]]=$B84,IF(DATOS_[[Check Periodo Ref.]:[Check Periodo Ref.]]="Dentro",DATOS_[Conc.Sal.19]))))),
0)</f>
        <v>0</v>
      </c>
      <c r="Y86" s="170">
        <f t="array" ref="Y86">IFERROR(
AVERAGE((IF(DATOS_[[Sexo]:[Sexo]]=$B86,IF(DATOS_[[AGRUP. VALOR. PTO.]:[AGRUP. VALOR. PTO.]]=$B84,IF(DATOS_[[Check Periodo Ref.]:[Check Periodo Ref.]]="Dentro",DATOS_[Conc.Sal.20]))))),
0)</f>
        <v>0</v>
      </c>
      <c r="Z86" s="170">
        <f t="array" ref="Z86">IFERROR(
AVERAGE((IF(DATOS_[[Sexo]:[Sexo]]=$B86,IF(DATOS_[[AGRUP. VALOR. PTO.]:[AGRUP. VALOR. PTO.]]=$B84,IF(DATOS_[[Check Periodo Ref.]:[Check Periodo Ref.]]="Dentro",DATOS_[Conc.Sal.21]))))),
0)</f>
        <v>0</v>
      </c>
      <c r="AA86" s="170">
        <f t="array" ref="AA86">IFERROR(
AVERAGE((IF(DATOS_[[Sexo]:[Sexo]]=$B86,IF(DATOS_[[AGRUP. VALOR. PTO.]:[AGRUP. VALOR. PTO.]]=$B84,IF(DATOS_[[Check Periodo Ref.]:[Check Periodo Ref.]]="Dentro",DATOS_[Conc.Sal.22]))))),
0)</f>
        <v>0</v>
      </c>
      <c r="AB86" s="170">
        <f t="array" ref="AB86">IFERROR(
AVERAGE((IF(DATOS_[[Sexo]:[Sexo]]=$B86,IF(DATOS_[[AGRUP. VALOR. PTO.]:[AGRUP. VALOR. PTO.]]=$B84,IF(DATOS_[[Check Periodo Ref.]:[Check Periodo Ref.]]="Dentro",DATOS_[Conc.Sal.23]))))),
0)</f>
        <v>0</v>
      </c>
      <c r="AC86" s="170">
        <f t="array" ref="AC86">IFERROR(
AVERAGE((IF(DATOS_[[Sexo]:[Sexo]]=$B86,IF(DATOS_[[AGRUP. VALOR. PTO.]:[AGRUP. VALOR. PTO.]]=$B84,IF(DATOS_[[Check Periodo Ref.]:[Check Periodo Ref.]]="Dentro",DATOS_[Conc.Sal.24]))))),
0)</f>
        <v>0</v>
      </c>
      <c r="AD86" s="170">
        <f t="array" ref="AD86">IFERROR(
AVERAGE((IF(DATOS_[[Sexo]:[Sexo]]=$B86,IF(DATOS_[[AGRUP. VALOR. PTO.]:[AGRUP. VALOR. PTO.]]=$B84,IF(DATOS_[[Check Periodo Ref.]:[Check Periodo Ref.]]="Dentro",DATOS_[Conc.Sal.25]))))),
0)</f>
        <v>0</v>
      </c>
      <c r="AE86" s="170">
        <f t="array" ref="AE86">IFERROR(
AVERAGE((IF(DATOS_[[Sexo]:[Sexo]]=$B86,IF(DATOS_[[AGRUP. VALOR. PTO.]:[AGRUP. VALOR. PTO.]]=$B84,IF(DATOS_[[Check Periodo Ref.]:[Check Periodo Ref.]]="Dentro",DATOS_[Conc.Sal.26]))))),
0)</f>
        <v>0</v>
      </c>
      <c r="AF86" s="170">
        <f t="array" ref="AF86">IFERROR(
AVERAGE((IF(DATOS_[[Sexo]:[Sexo]]=$B86,IF(DATOS_[[AGRUP. VALOR. PTO.]:[AGRUP. VALOR. PTO.]]=$B84,IF(DATOS_[[Check Periodo Ref.]:[Check Periodo Ref.]]="Dentro",DATOS_[Conc.Sal.27]))))),
0)</f>
        <v>0</v>
      </c>
      <c r="AG86" s="170">
        <f t="array" ref="AG86">IFERROR(
AVERAGE((IF(DATOS_[[Sexo]:[Sexo]]=$B86,IF(DATOS_[[AGRUP. VALOR. PTO.]:[AGRUP. VALOR. PTO.]]=$B84,IF(DATOS_[[Check Periodo Ref.]:[Check Periodo Ref.]]="Dentro",DATOS_[Conc.Sal.28]))))),
0)</f>
        <v>0</v>
      </c>
      <c r="AH86" s="170">
        <f t="array" ref="AH86">IFERROR(
AVERAGE((IF(DATOS_[[Sexo]:[Sexo]]=$B86,IF(DATOS_[[AGRUP. VALOR. PTO.]:[AGRUP. VALOR. PTO.]]=$B84,IF(DATOS_[[Check Periodo Ref.]:[Check Periodo Ref.]]="Dentro",DATOS_[Conc.Sal.29]))))),
0)</f>
        <v>0</v>
      </c>
      <c r="AI86" s="170">
        <f t="array" ref="AI86">IFERROR(
AVERAGE((IF(DATOS_[[Sexo]:[Sexo]]=$B86,IF(DATOS_[[AGRUP. VALOR. PTO.]:[AGRUP. VALOR. PTO.]]=$B84,IF(DATOS_[[Check Periodo Ref.]:[Check Periodo Ref.]]="Dentro",DATOS_[Conc.Sal.30]))))),
0)</f>
        <v>0</v>
      </c>
      <c r="AJ86" s="171">
        <f t="array" ref="AJ86">IFERROR(
AVERAGE(IF(DATOS_[Sexo]=$B86,IF(DATOS_[AGRUP. VALOR. PTO.]=$B84,IF(DATOS_[Check Periodo Ref.]="Dentro",DATOS_[Tot COMPL.SAL Ef],FALSE)))),
0)</f>
        <v>0</v>
      </c>
      <c r="AK86" s="172">
        <f t="array" ref="AK86">IFERROR(
AVERAGE(IF(DATOS_[Sexo]=$B86,IF(DATOS_[AGRUP. VALOR. PTO.]=$B84,IF(DATOS_[Check Periodo Ref.]="Dentro",DATOS_[TOTAL SALARIO Ef],FALSE)))),
0)</f>
        <v>0</v>
      </c>
      <c r="AL86" s="173">
        <f t="array" ref="AL86">IFERROR(
AVERAGE((IF(DATOS_[[Sexo]:[Sexo]]=$B86,IF(DATOS_[[AGRUP. VALOR. PTO.]:[AGRUP. VALOR. PTO.]]=$B84,IF(DATOS_[[Check Periodo Ref.]:[Check Periodo Ref.]]="Dentro",DATOS_[C.Extra.01]))))),
0)</f>
        <v>0</v>
      </c>
      <c r="AM86" s="173">
        <f t="array" ref="AM86">IFERROR(
AVERAGE((IF(DATOS_[[Sexo]:[Sexo]]=$B86,IF(DATOS_[[AGRUP. VALOR. PTO.]:[AGRUP. VALOR. PTO.]]=$B84,IF(DATOS_[[Check Periodo Ref.]:[Check Periodo Ref.]]="Dentro",DATOS_[C.Extra.06]))))),
0)</f>
        <v>0</v>
      </c>
      <c r="AN86" s="173">
        <f t="array" ref="AN86">IFERROR(
AVERAGE((IF(DATOS_[[Sexo]:[Sexo]]=$B86,IF(DATOS_[[AGRUP. VALOR. PTO.]:[AGRUP. VALOR. PTO.]]=$B84,IF(DATOS_[[Check Periodo Ref.]:[Check Periodo Ref.]]="Dentro",DATOS_[C.Extra.07]))))),
0)</f>
        <v>0</v>
      </c>
      <c r="AO86" s="173">
        <f t="array" ref="AO86">IFERROR(
AVERAGE((IF(DATOS_[[Sexo]:[Sexo]]=$B86,IF(DATOS_[[AGRUP. VALOR. PTO.]:[AGRUP. VALOR. PTO.]]=$B84,IF(DATOS_[[Check Periodo Ref.]:[Check Periodo Ref.]]="Dentro",DATOS_[C.Extra.08]))))),
0)</f>
        <v>0</v>
      </c>
      <c r="AP86" s="173">
        <f t="array" ref="AP86">IFERROR(
AVERAGE((IF(DATOS_[[Sexo]:[Sexo]]=$B86,IF(DATOS_[[AGRUP. VALOR. PTO.]:[AGRUP. VALOR. PTO.]]=$B84,IF(DATOS_[[Check Periodo Ref.]:[Check Periodo Ref.]]="Dentro",DATOS_[C.Extra.11]))))),
0)</f>
        <v>0</v>
      </c>
      <c r="AQ86" s="174">
        <f t="array" ref="AQ86">IFERROR(
AVERAGE(IF(DATOS_[Sexo]=$B86,IF(DATOS_[AGRUP. VALOR. PTO.]=$B84,IF(DATOS_[Check Periodo Ref.]="Dentro",DATOS_[Tot Extrasalarial Ef],FALSE)))),
0)</f>
        <v>0</v>
      </c>
      <c r="AR86" s="171">
        <f t="array" ref="AR86">IFERROR(
AVERAGE(IF(DATOS_[Sexo]=$B86,IF(DATOS_[AGRUP. VALOR. PTO.]=$B84,IF(DATOS_[Check Periodo Ref.]="Dentro",DATOS_[TOTAL Retrib Ef],FALSE)))),
0)</f>
        <v>0</v>
      </c>
    </row>
    <row r="87" spans="1:44" ht="14.4" thickBot="1" x14ac:dyDescent="0.3">
      <c r="A87" s="178" t="str">
        <f t="shared" ref="A87" si="99">+A88</f>
        <v>[ocultar]</v>
      </c>
      <c r="B87" s="153" t="s">
        <v>275</v>
      </c>
      <c r="C87" s="154"/>
      <c r="D87" s="155"/>
      <c r="E87" s="156" t="str">
        <f t="shared" ref="E87:AR87" si="100">IFERROR((E88-E89)/E88,"")</f>
        <v/>
      </c>
      <c r="F87" s="157" t="str">
        <f t="shared" si="100"/>
        <v/>
      </c>
      <c r="G87" s="158" t="str">
        <f t="shared" si="100"/>
        <v/>
      </c>
      <c r="H87" s="158" t="str">
        <f t="shared" si="100"/>
        <v/>
      </c>
      <c r="I87" s="158" t="str">
        <f t="shared" si="100"/>
        <v/>
      </c>
      <c r="J87" s="159" t="str">
        <f t="shared" si="100"/>
        <v/>
      </c>
      <c r="K87" s="160" t="str">
        <f t="shared" si="100"/>
        <v/>
      </c>
      <c r="L87" s="160" t="str">
        <f t="shared" si="100"/>
        <v/>
      </c>
      <c r="M87" s="160" t="str">
        <f t="shared" si="100"/>
        <v/>
      </c>
      <c r="N87" s="160" t="str">
        <f t="shared" si="100"/>
        <v/>
      </c>
      <c r="O87" s="160" t="str">
        <f t="shared" si="100"/>
        <v/>
      </c>
      <c r="P87" s="160" t="str">
        <f t="shared" si="100"/>
        <v/>
      </c>
      <c r="Q87" s="160" t="str">
        <f t="shared" si="100"/>
        <v/>
      </c>
      <c r="R87" s="160" t="str">
        <f t="shared" si="100"/>
        <v/>
      </c>
      <c r="S87" s="160" t="str">
        <f t="shared" si="100"/>
        <v/>
      </c>
      <c r="T87" s="160" t="str">
        <f t="shared" si="100"/>
        <v/>
      </c>
      <c r="U87" s="160" t="str">
        <f t="shared" si="100"/>
        <v/>
      </c>
      <c r="V87" s="159" t="str">
        <f t="shared" si="100"/>
        <v/>
      </c>
      <c r="W87" s="159" t="str">
        <f t="shared" si="100"/>
        <v/>
      </c>
      <c r="X87" s="159" t="str">
        <f t="shared" si="100"/>
        <v/>
      </c>
      <c r="Y87" s="159" t="str">
        <f t="shared" si="100"/>
        <v/>
      </c>
      <c r="Z87" s="159" t="str">
        <f t="shared" si="100"/>
        <v/>
      </c>
      <c r="AA87" s="159" t="str">
        <f t="shared" si="100"/>
        <v/>
      </c>
      <c r="AB87" s="159" t="str">
        <f t="shared" si="100"/>
        <v/>
      </c>
      <c r="AC87" s="159" t="str">
        <f t="shared" si="100"/>
        <v/>
      </c>
      <c r="AD87" s="159" t="str">
        <f t="shared" si="100"/>
        <v/>
      </c>
      <c r="AE87" s="159" t="str">
        <f t="shared" si="100"/>
        <v/>
      </c>
      <c r="AF87" s="159" t="str">
        <f t="shared" si="100"/>
        <v/>
      </c>
      <c r="AG87" s="159" t="str">
        <f t="shared" si="100"/>
        <v/>
      </c>
      <c r="AH87" s="159" t="str">
        <f t="shared" si="100"/>
        <v/>
      </c>
      <c r="AI87" s="159" t="str">
        <f t="shared" si="100"/>
        <v/>
      </c>
      <c r="AJ87" s="161" t="str">
        <f t="shared" si="100"/>
        <v/>
      </c>
      <c r="AK87" s="162" t="str">
        <f t="shared" si="100"/>
        <v/>
      </c>
      <c r="AL87" s="163" t="str">
        <f t="shared" si="100"/>
        <v/>
      </c>
      <c r="AM87" s="163" t="str">
        <f t="shared" si="100"/>
        <v/>
      </c>
      <c r="AN87" s="163" t="str">
        <f t="shared" si="100"/>
        <v/>
      </c>
      <c r="AO87" s="163" t="str">
        <f t="shared" si="100"/>
        <v/>
      </c>
      <c r="AP87" s="163" t="str">
        <f t="shared" si="100"/>
        <v/>
      </c>
      <c r="AQ87" s="164" t="str">
        <f t="shared" si="100"/>
        <v/>
      </c>
      <c r="AR87" s="161" t="str">
        <f t="shared" si="100"/>
        <v/>
      </c>
    </row>
    <row r="88" spans="1:44" x14ac:dyDescent="0.25">
      <c r="A88" s="178" t="str">
        <f t="shared" ref="A88" si="101">+IF(C88+C89=0,"[ocultar]","")</f>
        <v>[ocultar]</v>
      </c>
      <c r="B88" s="166" t="s">
        <v>394</v>
      </c>
      <c r="C88" s="167">
        <f t="array" ref="C88">SUM(IF($B88=DATOS_[Sexo],
IF($B87=DATOS_[AGRUP. VALOR. PTO.],
IF("Dentro"=DATOS_[Check Periodo Ref.],
1/(COUNTIFS(DATOS_[Sexo],$B88,DATOS_[AGRUP. VALOR. PTO.],$B87,DATOS_[Check Periodo Ref.],"Dentro",DATOS_[id/cod],DATOS_[id/cod]))))))</f>
        <v>0</v>
      </c>
      <c r="D88" s="168">
        <f>COUNTIFS(DATOS_[AGRUP. VALOR. PTO.],$B87,DATOS_[Sexo],$B88,DATOS_[Check Periodo Ref.],"Dentro")</f>
        <v>0</v>
      </c>
      <c r="E88" s="169">
        <f t="array" ref="E88">IFERROR(
AVERAGE(IF(DATOS_[Sexo]=$B88,IF(DATOS_[AGRUP. VALOR. PTO.]=$B87,IF(DATOS_[Check Periodo Ref.]="Dentro",DATOS_[SALARIO BASE Ef],FALSE)))),
0)</f>
        <v>0</v>
      </c>
      <c r="F88" s="170">
        <f t="array" ref="F88">IFERROR(
AVERAGE((IF(DATOS_[[Sexo]:[Sexo]]=$B88,IF(DATOS_[[AGRUP. VALOR. PTO.]:[AGRUP. VALOR. PTO.]]=$B87,IF(DATOS_[[Check Periodo Ref.]:[Check Periodo Ref.]]="Dentro",DATOS_[Conc.Sal.01]))))),
0)</f>
        <v>0</v>
      </c>
      <c r="G88" s="170">
        <f t="array" ref="G88">IFERROR(
AVERAGE((IF(DATOS_[[Sexo]:[Sexo]]=$B88,IF(DATOS_[[AGRUP. VALOR. PTO.]:[AGRUP. VALOR. PTO.]]=$B87,IF(DATOS_[[Check Periodo Ref.]:[Check Periodo Ref.]]="Dentro",DATOS_[Conc.Sal.02]))))),
0)</f>
        <v>0</v>
      </c>
      <c r="H88" s="170">
        <f t="array" ref="H88">IFERROR(
AVERAGE((IF(DATOS_[[Sexo]:[Sexo]]=$B88,IF(DATOS_[[AGRUP. VALOR. PTO.]:[AGRUP. VALOR. PTO.]]=$B87,IF(DATOS_[[Check Periodo Ref.]:[Check Periodo Ref.]]="Dentro",DATOS_[Conc.Sal.03]))))),
0)</f>
        <v>0</v>
      </c>
      <c r="I88" s="170">
        <f t="array" ref="I88">IFERROR(
AVERAGE((IF(DATOS_[[Sexo]:[Sexo]]=$B88,IF(DATOS_[[AGRUP. VALOR. PTO.]:[AGRUP. VALOR. PTO.]]=$B87,IF(DATOS_[[Check Periodo Ref.]:[Check Periodo Ref.]]="Dentro",DATOS_[Conc.Sal.04]))))),
0)</f>
        <v>0</v>
      </c>
      <c r="J88" s="170">
        <f t="array" ref="J88">IFERROR(
AVERAGE((IF(DATOS_[[Sexo]:[Sexo]]=$B88,IF(DATOS_[[AGRUP. VALOR. PTO.]:[AGRUP. VALOR. PTO.]]=$B87,IF(DATOS_[[Check Periodo Ref.]:[Check Periodo Ref.]]="Dentro",DATOS_[Conc.Sal.05]))))),
0)</f>
        <v>0</v>
      </c>
      <c r="K88" s="170">
        <f t="array" ref="K88">IFERROR(
AVERAGE((IF(DATOS_[[Sexo]:[Sexo]]=$B88,IF(DATOS_[[AGRUP. VALOR. PTO.]:[AGRUP. VALOR. PTO.]]=$B87,IF(DATOS_[[Check Periodo Ref.]:[Check Periodo Ref.]]="Dentro",DATOS_[Conc.Sal.06]))))),
0)</f>
        <v>0</v>
      </c>
      <c r="L88" s="170">
        <f t="array" ref="L88">IFERROR(
AVERAGE((IF(DATOS_[[Sexo]:[Sexo]]=$B88,IF(DATOS_[[AGRUP. VALOR. PTO.]:[AGRUP. VALOR. PTO.]]=$B87,IF(DATOS_[[Check Periodo Ref.]:[Check Periodo Ref.]]="Dentro",DATOS_[Conc.Sal.07]))))),
0)</f>
        <v>0</v>
      </c>
      <c r="M88" s="170">
        <f t="array" ref="M88">IFERROR(
AVERAGE((IF(DATOS_[[Sexo]:[Sexo]]=$B88,IF(DATOS_[[AGRUP. VALOR. PTO.]:[AGRUP. VALOR. PTO.]]=$B87,IF(DATOS_[[Check Periodo Ref.]:[Check Periodo Ref.]]="Dentro",DATOS_[Conc.Sal.08]))))),
0)</f>
        <v>0</v>
      </c>
      <c r="N88" s="170">
        <f t="array" ref="N88">IFERROR(
AVERAGE((IF(DATOS_[[Sexo]:[Sexo]]=$B88,IF(DATOS_[[AGRUP. VALOR. PTO.]:[AGRUP. VALOR. PTO.]]=$B87,IF(DATOS_[[Check Periodo Ref.]:[Check Periodo Ref.]]="Dentro",DATOS_[Conc.Sal.09]))))),
0)</f>
        <v>0</v>
      </c>
      <c r="O88" s="170">
        <f t="array" ref="O88">IFERROR(
AVERAGE((IF(DATOS_[[Sexo]:[Sexo]]=$B88,IF(DATOS_[[AGRUP. VALOR. PTO.]:[AGRUP. VALOR. PTO.]]=$B87,IF(DATOS_[[Check Periodo Ref.]:[Check Periodo Ref.]]="Dentro",DATOS_[Conc.Sal.10]))))),
0)</f>
        <v>0</v>
      </c>
      <c r="P88" s="170">
        <f t="array" ref="P88">IFERROR(
AVERAGE((IF(DATOS_[[Sexo]:[Sexo]]=$B88,IF(DATOS_[[AGRUP. VALOR. PTO.]:[AGRUP. VALOR. PTO.]]=$B87,IF(DATOS_[[Check Periodo Ref.]:[Check Periodo Ref.]]="Dentro",DATOS_[Conc.Sal.11]))))),
0)</f>
        <v>0</v>
      </c>
      <c r="Q88" s="170">
        <f t="array" ref="Q88">IFERROR(
AVERAGE((IF(DATOS_[[Sexo]:[Sexo]]=$B88,IF(DATOS_[[AGRUP. VALOR. PTO.]:[AGRUP. VALOR. PTO.]]=$B87,IF(DATOS_[[Check Periodo Ref.]:[Check Periodo Ref.]]="Dentro",DATOS_[Conc.Sal.12]))))),
0)</f>
        <v>0</v>
      </c>
      <c r="R88" s="170">
        <f t="array" ref="R88">IFERROR(
AVERAGE((IF(DATOS_[[Sexo]:[Sexo]]=$B88,IF(DATOS_[[AGRUP. VALOR. PTO.]:[AGRUP. VALOR. PTO.]]=$B87,IF(DATOS_[[Check Periodo Ref.]:[Check Periodo Ref.]]="Dentro",DATOS_[Conc.Sal.13]))))),
0)</f>
        <v>0</v>
      </c>
      <c r="S88" s="170">
        <f t="array" ref="S88">IFERROR(
AVERAGE((IF(DATOS_[[Sexo]:[Sexo]]=$B88,IF(DATOS_[[AGRUP. VALOR. PTO.]:[AGRUP. VALOR. PTO.]]=$B87,IF(DATOS_[[Check Periodo Ref.]:[Check Periodo Ref.]]="Dentro",DATOS_[Conc.Sal.14]))))),
0)</f>
        <v>0</v>
      </c>
      <c r="T88" s="170">
        <f t="array" ref="T88">IFERROR(
AVERAGE((IF(DATOS_[[Sexo]:[Sexo]]=$B88,IF(DATOS_[[AGRUP. VALOR. PTO.]:[AGRUP. VALOR. PTO.]]=$B87,IF(DATOS_[[Check Periodo Ref.]:[Check Periodo Ref.]]="Dentro",DATOS_[Conc.Sal.15]))))),
0)</f>
        <v>0</v>
      </c>
      <c r="U88" s="170">
        <f t="array" ref="U88">IFERROR(
AVERAGE((IF(DATOS_[[Sexo]:[Sexo]]=$B88,IF(DATOS_[[AGRUP. VALOR. PTO.]:[AGRUP. VALOR. PTO.]]=$B87,IF(DATOS_[[Check Periodo Ref.]:[Check Periodo Ref.]]="Dentro",DATOS_[Conc.Sal.16]))))),
0)</f>
        <v>0</v>
      </c>
      <c r="V88" s="170">
        <f t="array" ref="V88">IFERROR(
AVERAGE((IF(DATOS_[[Sexo]:[Sexo]]=$B88,IF(DATOS_[[AGRUP. VALOR. PTO.]:[AGRUP. VALOR. PTO.]]=$B87,IF(DATOS_[[Check Periodo Ref.]:[Check Periodo Ref.]]="Dentro",DATOS_[Conc.Sal.17]))))),
0)</f>
        <v>0</v>
      </c>
      <c r="W88" s="170">
        <f t="array" ref="W88">IFERROR(
AVERAGE((IF(DATOS_[[Sexo]:[Sexo]]=$B88,IF(DATOS_[[AGRUP. VALOR. PTO.]:[AGRUP. VALOR. PTO.]]=$B87,IF(DATOS_[[Check Periodo Ref.]:[Check Periodo Ref.]]="Dentro",DATOS_[Conc.Sal.18]))))),
0)</f>
        <v>0</v>
      </c>
      <c r="X88" s="170">
        <f t="array" ref="X88">IFERROR(
AVERAGE((IF(DATOS_[[Sexo]:[Sexo]]=$B88,IF(DATOS_[[AGRUP. VALOR. PTO.]:[AGRUP. VALOR. PTO.]]=$B87,IF(DATOS_[[Check Periodo Ref.]:[Check Periodo Ref.]]="Dentro",DATOS_[Conc.Sal.19]))))),
0)</f>
        <v>0</v>
      </c>
      <c r="Y88" s="170">
        <f t="array" ref="Y88">IFERROR(
AVERAGE((IF(DATOS_[[Sexo]:[Sexo]]=$B88,IF(DATOS_[[AGRUP. VALOR. PTO.]:[AGRUP. VALOR. PTO.]]=$B87,IF(DATOS_[[Check Periodo Ref.]:[Check Periodo Ref.]]="Dentro",DATOS_[Conc.Sal.20]))))),
0)</f>
        <v>0</v>
      </c>
      <c r="Z88" s="170">
        <f t="array" ref="Z88">IFERROR(
AVERAGE((IF(DATOS_[[Sexo]:[Sexo]]=$B88,IF(DATOS_[[AGRUP. VALOR. PTO.]:[AGRUP. VALOR. PTO.]]=$B87,IF(DATOS_[[Check Periodo Ref.]:[Check Periodo Ref.]]="Dentro",DATOS_[Conc.Sal.21]))))),
0)</f>
        <v>0</v>
      </c>
      <c r="AA88" s="170">
        <f t="array" ref="AA88">IFERROR(
AVERAGE((IF(DATOS_[[Sexo]:[Sexo]]=$B88,IF(DATOS_[[AGRUP. VALOR. PTO.]:[AGRUP. VALOR. PTO.]]=$B87,IF(DATOS_[[Check Periodo Ref.]:[Check Periodo Ref.]]="Dentro",DATOS_[Conc.Sal.22]))))),
0)</f>
        <v>0</v>
      </c>
      <c r="AB88" s="170">
        <f t="array" ref="AB88">IFERROR(
AVERAGE((IF(DATOS_[[Sexo]:[Sexo]]=$B88,IF(DATOS_[[AGRUP. VALOR. PTO.]:[AGRUP. VALOR. PTO.]]=$B87,IF(DATOS_[[Check Periodo Ref.]:[Check Periodo Ref.]]="Dentro",DATOS_[Conc.Sal.23]))))),
0)</f>
        <v>0</v>
      </c>
      <c r="AC88" s="170">
        <f t="array" ref="AC88">IFERROR(
AVERAGE((IF(DATOS_[[Sexo]:[Sexo]]=$B88,IF(DATOS_[[AGRUP. VALOR. PTO.]:[AGRUP. VALOR. PTO.]]=$B87,IF(DATOS_[[Check Periodo Ref.]:[Check Periodo Ref.]]="Dentro",DATOS_[Conc.Sal.24]))))),
0)</f>
        <v>0</v>
      </c>
      <c r="AD88" s="170">
        <f t="array" ref="AD88">IFERROR(
AVERAGE((IF(DATOS_[[Sexo]:[Sexo]]=$B88,IF(DATOS_[[AGRUP. VALOR. PTO.]:[AGRUP. VALOR. PTO.]]=$B87,IF(DATOS_[[Check Periodo Ref.]:[Check Periodo Ref.]]="Dentro",DATOS_[Conc.Sal.25]))))),
0)</f>
        <v>0</v>
      </c>
      <c r="AE88" s="170">
        <f t="array" ref="AE88">IFERROR(
AVERAGE((IF(DATOS_[[Sexo]:[Sexo]]=$B88,IF(DATOS_[[AGRUP. VALOR. PTO.]:[AGRUP. VALOR. PTO.]]=$B87,IF(DATOS_[[Check Periodo Ref.]:[Check Periodo Ref.]]="Dentro",DATOS_[Conc.Sal.26]))))),
0)</f>
        <v>0</v>
      </c>
      <c r="AF88" s="170">
        <f t="array" ref="AF88">IFERROR(
AVERAGE((IF(DATOS_[[Sexo]:[Sexo]]=$B88,IF(DATOS_[[AGRUP. VALOR. PTO.]:[AGRUP. VALOR. PTO.]]=$B87,IF(DATOS_[[Check Periodo Ref.]:[Check Periodo Ref.]]="Dentro",DATOS_[Conc.Sal.27]))))),
0)</f>
        <v>0</v>
      </c>
      <c r="AG88" s="170">
        <f t="array" ref="AG88">IFERROR(
AVERAGE((IF(DATOS_[[Sexo]:[Sexo]]=$B88,IF(DATOS_[[AGRUP. VALOR. PTO.]:[AGRUP. VALOR. PTO.]]=$B87,IF(DATOS_[[Check Periodo Ref.]:[Check Periodo Ref.]]="Dentro",DATOS_[Conc.Sal.28]))))),
0)</f>
        <v>0</v>
      </c>
      <c r="AH88" s="170">
        <f t="array" ref="AH88">IFERROR(
AVERAGE((IF(DATOS_[[Sexo]:[Sexo]]=$B88,IF(DATOS_[[AGRUP. VALOR. PTO.]:[AGRUP. VALOR. PTO.]]=$B87,IF(DATOS_[[Check Periodo Ref.]:[Check Periodo Ref.]]="Dentro",DATOS_[Conc.Sal.29]))))),
0)</f>
        <v>0</v>
      </c>
      <c r="AI88" s="170">
        <f t="array" ref="AI88">IFERROR(
AVERAGE((IF(DATOS_[[Sexo]:[Sexo]]=$B88,IF(DATOS_[[AGRUP. VALOR. PTO.]:[AGRUP. VALOR. PTO.]]=$B87,IF(DATOS_[[Check Periodo Ref.]:[Check Periodo Ref.]]="Dentro",DATOS_[Conc.Sal.30]))))),
0)</f>
        <v>0</v>
      </c>
      <c r="AJ88" s="171">
        <f t="array" ref="AJ88">IFERROR(
AVERAGE(IF(DATOS_[Sexo]=$B88,IF(DATOS_[AGRUP. VALOR. PTO.]=$B87,IF(DATOS_[Check Periodo Ref.]="Dentro",DATOS_[Tot COMPL.SAL Ef],FALSE)))),
0)</f>
        <v>0</v>
      </c>
      <c r="AK88" s="172">
        <f t="array" ref="AK88">IFERROR(
AVERAGE(IF(DATOS_[Sexo]=$B88,IF(DATOS_[AGRUP. VALOR. PTO.]=$B87,IF(DATOS_[Check Periodo Ref.]="Dentro",DATOS_[TOTAL SALARIO Ef],FALSE)))),
0)</f>
        <v>0</v>
      </c>
      <c r="AL88" s="173">
        <f t="array" ref="AL88">IFERROR(
AVERAGE((IF(DATOS_[[Sexo]:[Sexo]]=$B88,IF(DATOS_[[AGRUP. VALOR. PTO.]:[AGRUP. VALOR. PTO.]]=$B87,IF(DATOS_[[Check Periodo Ref.]:[Check Periodo Ref.]]="Dentro",DATOS_[C.Extra.01]))))),
0)</f>
        <v>0</v>
      </c>
      <c r="AM88" s="173">
        <f t="array" ref="AM88">IFERROR(
AVERAGE((IF(DATOS_[[Sexo]:[Sexo]]=$B88,IF(DATOS_[[AGRUP. VALOR. PTO.]:[AGRUP. VALOR. PTO.]]=$B87,IF(DATOS_[[Check Periodo Ref.]:[Check Periodo Ref.]]="Dentro",DATOS_[C.Extra.06]))))),
0)</f>
        <v>0</v>
      </c>
      <c r="AN88" s="173">
        <f t="array" ref="AN88">IFERROR(
AVERAGE((IF(DATOS_[[Sexo]:[Sexo]]=$B88,IF(DATOS_[[AGRUP. VALOR. PTO.]:[AGRUP. VALOR. PTO.]]=$B87,IF(DATOS_[[Check Periodo Ref.]:[Check Periodo Ref.]]="Dentro",DATOS_[C.Extra.07]))))),
0)</f>
        <v>0</v>
      </c>
      <c r="AO88" s="173">
        <f t="array" ref="AO88">IFERROR(
AVERAGE((IF(DATOS_[[Sexo]:[Sexo]]=$B88,IF(DATOS_[[AGRUP. VALOR. PTO.]:[AGRUP. VALOR. PTO.]]=$B87,IF(DATOS_[[Check Periodo Ref.]:[Check Periodo Ref.]]="Dentro",DATOS_[C.Extra.08]))))),
0)</f>
        <v>0</v>
      </c>
      <c r="AP88" s="173">
        <f t="array" ref="AP88">IFERROR(
AVERAGE((IF(DATOS_[[Sexo]:[Sexo]]=$B88,IF(DATOS_[[AGRUP. VALOR. PTO.]:[AGRUP. VALOR. PTO.]]=$B87,IF(DATOS_[[Check Periodo Ref.]:[Check Periodo Ref.]]="Dentro",DATOS_[C.Extra.11]))))),
0)</f>
        <v>0</v>
      </c>
      <c r="AQ88" s="174">
        <f t="array" ref="AQ88">IFERROR(
AVERAGE(IF(DATOS_[Sexo]=$B88,IF(DATOS_[AGRUP. VALOR. PTO.]=$B87,IF(DATOS_[Check Periodo Ref.]="Dentro",DATOS_[Tot Extrasalarial Ef],FALSE)))),
0)</f>
        <v>0</v>
      </c>
      <c r="AR88" s="171">
        <f t="array" ref="AR88">IFERROR(
AVERAGE(IF(DATOS_[Sexo]=$B88,IF(DATOS_[AGRUP. VALOR. PTO.]=$B87,IF(DATOS_[Check Periodo Ref.]="Dentro",DATOS_[TOTAL Retrib Ef],FALSE)))),
0)</f>
        <v>0</v>
      </c>
    </row>
    <row r="89" spans="1:44" x14ac:dyDescent="0.25">
      <c r="A89" s="178" t="str">
        <f t="shared" ref="A89" si="102">+A88</f>
        <v>[ocultar]</v>
      </c>
      <c r="B89" s="166" t="s">
        <v>521</v>
      </c>
      <c r="C89" s="167">
        <f t="array" ref="C89">SUM(IF($B89=DATOS_[Sexo],
IF($B87=DATOS_[AGRUP. VALOR. PTO.],
IF("Dentro"=DATOS_[Check Periodo Ref.],
1/(COUNTIFS(DATOS_[Sexo],$B89,DATOS_[AGRUP. VALOR. PTO.],$B87,DATOS_[Check Periodo Ref.],"Dentro",DATOS_[id/cod],DATOS_[id/cod]))))))</f>
        <v>0</v>
      </c>
      <c r="D89" s="168">
        <f>COUNTIFS(DATOS_[AGRUP. VALOR. PTO.],$B87,DATOS_[Sexo],$B89,DATOS_[Check Periodo Ref.],"Dentro")</f>
        <v>0</v>
      </c>
      <c r="E89" s="169">
        <f t="array" ref="E89">IFERROR(
AVERAGE(IF(DATOS_[Sexo]=$B89,IF(DATOS_[AGRUP. VALOR. PTO.]=$B87,IF(DATOS_[Check Periodo Ref.]="Dentro",DATOS_[SALARIO BASE Ef],FALSE)))),
0)</f>
        <v>0</v>
      </c>
      <c r="F89" s="170">
        <f t="array" ref="F89">IFERROR(
AVERAGE((IF(DATOS_[[Sexo]:[Sexo]]=$B89,IF(DATOS_[[AGRUP. VALOR. PTO.]:[AGRUP. VALOR. PTO.]]=$B87,IF(DATOS_[[Check Periodo Ref.]:[Check Periodo Ref.]]="Dentro",DATOS_[Conc.Sal.01]))))),
0)</f>
        <v>0</v>
      </c>
      <c r="G89" s="170">
        <f t="array" ref="G89">IFERROR(
AVERAGE((IF(DATOS_[[Sexo]:[Sexo]]=$B89,IF(DATOS_[[AGRUP. VALOR. PTO.]:[AGRUP. VALOR. PTO.]]=$B87,IF(DATOS_[[Check Periodo Ref.]:[Check Periodo Ref.]]="Dentro",DATOS_[Conc.Sal.02]))))),
0)</f>
        <v>0</v>
      </c>
      <c r="H89" s="170">
        <f t="array" ref="H89">IFERROR(
AVERAGE((IF(DATOS_[[Sexo]:[Sexo]]=$B89,IF(DATOS_[[AGRUP. VALOR. PTO.]:[AGRUP. VALOR. PTO.]]=$B87,IF(DATOS_[[Check Periodo Ref.]:[Check Periodo Ref.]]="Dentro",DATOS_[Conc.Sal.03]))))),
0)</f>
        <v>0</v>
      </c>
      <c r="I89" s="170">
        <f t="array" ref="I89">IFERROR(
AVERAGE((IF(DATOS_[[Sexo]:[Sexo]]=$B89,IF(DATOS_[[AGRUP. VALOR. PTO.]:[AGRUP. VALOR. PTO.]]=$B87,IF(DATOS_[[Check Periodo Ref.]:[Check Periodo Ref.]]="Dentro",DATOS_[Conc.Sal.04]))))),
0)</f>
        <v>0</v>
      </c>
      <c r="J89" s="170">
        <f t="array" ref="J89">IFERROR(
AVERAGE((IF(DATOS_[[Sexo]:[Sexo]]=$B89,IF(DATOS_[[AGRUP. VALOR. PTO.]:[AGRUP. VALOR. PTO.]]=$B87,IF(DATOS_[[Check Periodo Ref.]:[Check Periodo Ref.]]="Dentro",DATOS_[Conc.Sal.05]))))),
0)</f>
        <v>0</v>
      </c>
      <c r="K89" s="170">
        <f t="array" ref="K89">IFERROR(
AVERAGE((IF(DATOS_[[Sexo]:[Sexo]]=$B89,IF(DATOS_[[AGRUP. VALOR. PTO.]:[AGRUP. VALOR. PTO.]]=$B87,IF(DATOS_[[Check Periodo Ref.]:[Check Periodo Ref.]]="Dentro",DATOS_[Conc.Sal.06]))))),
0)</f>
        <v>0</v>
      </c>
      <c r="L89" s="170">
        <f t="array" ref="L89">IFERROR(
AVERAGE((IF(DATOS_[[Sexo]:[Sexo]]=$B89,IF(DATOS_[[AGRUP. VALOR. PTO.]:[AGRUP. VALOR. PTO.]]=$B87,IF(DATOS_[[Check Periodo Ref.]:[Check Periodo Ref.]]="Dentro",DATOS_[Conc.Sal.07]))))),
0)</f>
        <v>0</v>
      </c>
      <c r="M89" s="170">
        <f t="array" ref="M89">IFERROR(
AVERAGE((IF(DATOS_[[Sexo]:[Sexo]]=$B89,IF(DATOS_[[AGRUP. VALOR. PTO.]:[AGRUP. VALOR. PTO.]]=$B87,IF(DATOS_[[Check Periodo Ref.]:[Check Periodo Ref.]]="Dentro",DATOS_[Conc.Sal.08]))))),
0)</f>
        <v>0</v>
      </c>
      <c r="N89" s="170">
        <f t="array" ref="N89">IFERROR(
AVERAGE((IF(DATOS_[[Sexo]:[Sexo]]=$B89,IF(DATOS_[[AGRUP. VALOR. PTO.]:[AGRUP. VALOR. PTO.]]=$B87,IF(DATOS_[[Check Periodo Ref.]:[Check Periodo Ref.]]="Dentro",DATOS_[Conc.Sal.09]))))),
0)</f>
        <v>0</v>
      </c>
      <c r="O89" s="170">
        <f t="array" ref="O89">IFERROR(
AVERAGE((IF(DATOS_[[Sexo]:[Sexo]]=$B89,IF(DATOS_[[AGRUP. VALOR. PTO.]:[AGRUP. VALOR. PTO.]]=$B87,IF(DATOS_[[Check Periodo Ref.]:[Check Periodo Ref.]]="Dentro",DATOS_[Conc.Sal.10]))))),
0)</f>
        <v>0</v>
      </c>
      <c r="P89" s="170">
        <f t="array" ref="P89">IFERROR(
AVERAGE((IF(DATOS_[[Sexo]:[Sexo]]=$B89,IF(DATOS_[[AGRUP. VALOR. PTO.]:[AGRUP. VALOR. PTO.]]=$B87,IF(DATOS_[[Check Periodo Ref.]:[Check Periodo Ref.]]="Dentro",DATOS_[Conc.Sal.11]))))),
0)</f>
        <v>0</v>
      </c>
      <c r="Q89" s="170">
        <f t="array" ref="Q89">IFERROR(
AVERAGE((IF(DATOS_[[Sexo]:[Sexo]]=$B89,IF(DATOS_[[AGRUP. VALOR. PTO.]:[AGRUP. VALOR. PTO.]]=$B87,IF(DATOS_[[Check Periodo Ref.]:[Check Periodo Ref.]]="Dentro",DATOS_[Conc.Sal.12]))))),
0)</f>
        <v>0</v>
      </c>
      <c r="R89" s="170">
        <f t="array" ref="R89">IFERROR(
AVERAGE((IF(DATOS_[[Sexo]:[Sexo]]=$B89,IF(DATOS_[[AGRUP. VALOR. PTO.]:[AGRUP. VALOR. PTO.]]=$B87,IF(DATOS_[[Check Periodo Ref.]:[Check Periodo Ref.]]="Dentro",DATOS_[Conc.Sal.13]))))),
0)</f>
        <v>0</v>
      </c>
      <c r="S89" s="170">
        <f t="array" ref="S89">IFERROR(
AVERAGE((IF(DATOS_[[Sexo]:[Sexo]]=$B89,IF(DATOS_[[AGRUP. VALOR. PTO.]:[AGRUP. VALOR. PTO.]]=$B87,IF(DATOS_[[Check Periodo Ref.]:[Check Periodo Ref.]]="Dentro",DATOS_[Conc.Sal.14]))))),
0)</f>
        <v>0</v>
      </c>
      <c r="T89" s="170">
        <f t="array" ref="T89">IFERROR(
AVERAGE((IF(DATOS_[[Sexo]:[Sexo]]=$B89,IF(DATOS_[[AGRUP. VALOR. PTO.]:[AGRUP. VALOR. PTO.]]=$B87,IF(DATOS_[[Check Periodo Ref.]:[Check Periodo Ref.]]="Dentro",DATOS_[Conc.Sal.15]))))),
0)</f>
        <v>0</v>
      </c>
      <c r="U89" s="170">
        <f t="array" ref="U89">IFERROR(
AVERAGE((IF(DATOS_[[Sexo]:[Sexo]]=$B89,IF(DATOS_[[AGRUP. VALOR. PTO.]:[AGRUP. VALOR. PTO.]]=$B87,IF(DATOS_[[Check Periodo Ref.]:[Check Periodo Ref.]]="Dentro",DATOS_[Conc.Sal.16]))))),
0)</f>
        <v>0</v>
      </c>
      <c r="V89" s="170">
        <f t="array" ref="V89">IFERROR(
AVERAGE((IF(DATOS_[[Sexo]:[Sexo]]=$B89,IF(DATOS_[[AGRUP. VALOR. PTO.]:[AGRUP. VALOR. PTO.]]=$B87,IF(DATOS_[[Check Periodo Ref.]:[Check Periodo Ref.]]="Dentro",DATOS_[Conc.Sal.17]))))),
0)</f>
        <v>0</v>
      </c>
      <c r="W89" s="170">
        <f t="array" ref="W89">IFERROR(
AVERAGE((IF(DATOS_[[Sexo]:[Sexo]]=$B89,IF(DATOS_[[AGRUP. VALOR. PTO.]:[AGRUP. VALOR. PTO.]]=$B87,IF(DATOS_[[Check Periodo Ref.]:[Check Periodo Ref.]]="Dentro",DATOS_[Conc.Sal.18]))))),
0)</f>
        <v>0</v>
      </c>
      <c r="X89" s="170">
        <f t="array" ref="X89">IFERROR(
AVERAGE((IF(DATOS_[[Sexo]:[Sexo]]=$B89,IF(DATOS_[[AGRUP. VALOR. PTO.]:[AGRUP. VALOR. PTO.]]=$B87,IF(DATOS_[[Check Periodo Ref.]:[Check Periodo Ref.]]="Dentro",DATOS_[Conc.Sal.19]))))),
0)</f>
        <v>0</v>
      </c>
      <c r="Y89" s="170">
        <f t="array" ref="Y89">IFERROR(
AVERAGE((IF(DATOS_[[Sexo]:[Sexo]]=$B89,IF(DATOS_[[AGRUP. VALOR. PTO.]:[AGRUP. VALOR. PTO.]]=$B87,IF(DATOS_[[Check Periodo Ref.]:[Check Periodo Ref.]]="Dentro",DATOS_[Conc.Sal.20]))))),
0)</f>
        <v>0</v>
      </c>
      <c r="Z89" s="170">
        <f t="array" ref="Z89">IFERROR(
AVERAGE((IF(DATOS_[[Sexo]:[Sexo]]=$B89,IF(DATOS_[[AGRUP. VALOR. PTO.]:[AGRUP. VALOR. PTO.]]=$B87,IF(DATOS_[[Check Periodo Ref.]:[Check Periodo Ref.]]="Dentro",DATOS_[Conc.Sal.21]))))),
0)</f>
        <v>0</v>
      </c>
      <c r="AA89" s="170">
        <f t="array" ref="AA89">IFERROR(
AVERAGE((IF(DATOS_[[Sexo]:[Sexo]]=$B89,IF(DATOS_[[AGRUP. VALOR. PTO.]:[AGRUP. VALOR. PTO.]]=$B87,IF(DATOS_[[Check Periodo Ref.]:[Check Periodo Ref.]]="Dentro",DATOS_[Conc.Sal.22]))))),
0)</f>
        <v>0</v>
      </c>
      <c r="AB89" s="170">
        <f t="array" ref="AB89">IFERROR(
AVERAGE((IF(DATOS_[[Sexo]:[Sexo]]=$B89,IF(DATOS_[[AGRUP. VALOR. PTO.]:[AGRUP. VALOR. PTO.]]=$B87,IF(DATOS_[[Check Periodo Ref.]:[Check Periodo Ref.]]="Dentro",DATOS_[Conc.Sal.23]))))),
0)</f>
        <v>0</v>
      </c>
      <c r="AC89" s="170">
        <f t="array" ref="AC89">IFERROR(
AVERAGE((IF(DATOS_[[Sexo]:[Sexo]]=$B89,IF(DATOS_[[AGRUP. VALOR. PTO.]:[AGRUP. VALOR. PTO.]]=$B87,IF(DATOS_[[Check Periodo Ref.]:[Check Periodo Ref.]]="Dentro",DATOS_[Conc.Sal.24]))))),
0)</f>
        <v>0</v>
      </c>
      <c r="AD89" s="170">
        <f t="array" ref="AD89">IFERROR(
AVERAGE((IF(DATOS_[[Sexo]:[Sexo]]=$B89,IF(DATOS_[[AGRUP. VALOR. PTO.]:[AGRUP. VALOR. PTO.]]=$B87,IF(DATOS_[[Check Periodo Ref.]:[Check Periodo Ref.]]="Dentro",DATOS_[Conc.Sal.25]))))),
0)</f>
        <v>0</v>
      </c>
      <c r="AE89" s="170">
        <f t="array" ref="AE89">IFERROR(
AVERAGE((IF(DATOS_[[Sexo]:[Sexo]]=$B89,IF(DATOS_[[AGRUP. VALOR. PTO.]:[AGRUP. VALOR. PTO.]]=$B87,IF(DATOS_[[Check Periodo Ref.]:[Check Periodo Ref.]]="Dentro",DATOS_[Conc.Sal.26]))))),
0)</f>
        <v>0</v>
      </c>
      <c r="AF89" s="170">
        <f t="array" ref="AF89">IFERROR(
AVERAGE((IF(DATOS_[[Sexo]:[Sexo]]=$B89,IF(DATOS_[[AGRUP. VALOR. PTO.]:[AGRUP. VALOR. PTO.]]=$B87,IF(DATOS_[[Check Periodo Ref.]:[Check Periodo Ref.]]="Dentro",DATOS_[Conc.Sal.27]))))),
0)</f>
        <v>0</v>
      </c>
      <c r="AG89" s="170">
        <f t="array" ref="AG89">IFERROR(
AVERAGE((IF(DATOS_[[Sexo]:[Sexo]]=$B89,IF(DATOS_[[AGRUP. VALOR. PTO.]:[AGRUP. VALOR. PTO.]]=$B87,IF(DATOS_[[Check Periodo Ref.]:[Check Periodo Ref.]]="Dentro",DATOS_[Conc.Sal.28]))))),
0)</f>
        <v>0</v>
      </c>
      <c r="AH89" s="170">
        <f t="array" ref="AH89">IFERROR(
AVERAGE((IF(DATOS_[[Sexo]:[Sexo]]=$B89,IF(DATOS_[[AGRUP. VALOR. PTO.]:[AGRUP. VALOR. PTO.]]=$B87,IF(DATOS_[[Check Periodo Ref.]:[Check Periodo Ref.]]="Dentro",DATOS_[Conc.Sal.29]))))),
0)</f>
        <v>0</v>
      </c>
      <c r="AI89" s="170">
        <f t="array" ref="AI89">IFERROR(
AVERAGE((IF(DATOS_[[Sexo]:[Sexo]]=$B89,IF(DATOS_[[AGRUP. VALOR. PTO.]:[AGRUP. VALOR. PTO.]]=$B87,IF(DATOS_[[Check Periodo Ref.]:[Check Periodo Ref.]]="Dentro",DATOS_[Conc.Sal.30]))))),
0)</f>
        <v>0</v>
      </c>
      <c r="AJ89" s="171">
        <f t="array" ref="AJ89">IFERROR(
AVERAGE(IF(DATOS_[Sexo]=$B89,IF(DATOS_[AGRUP. VALOR. PTO.]=$B87,IF(DATOS_[Check Periodo Ref.]="Dentro",DATOS_[Tot COMPL.SAL Ef],FALSE)))),
0)</f>
        <v>0</v>
      </c>
      <c r="AK89" s="172">
        <f t="array" ref="AK89">IFERROR(
AVERAGE(IF(DATOS_[Sexo]=$B89,IF(DATOS_[AGRUP. VALOR. PTO.]=$B87,IF(DATOS_[Check Periodo Ref.]="Dentro",DATOS_[TOTAL SALARIO Ef],FALSE)))),
0)</f>
        <v>0</v>
      </c>
      <c r="AL89" s="173">
        <f t="array" ref="AL89">IFERROR(
AVERAGE((IF(DATOS_[[Sexo]:[Sexo]]=$B89,IF(DATOS_[[AGRUP. VALOR. PTO.]:[AGRUP. VALOR. PTO.]]=$B87,IF(DATOS_[[Check Periodo Ref.]:[Check Periodo Ref.]]="Dentro",DATOS_[C.Extra.01]))))),
0)</f>
        <v>0</v>
      </c>
      <c r="AM89" s="173">
        <f t="array" ref="AM89">IFERROR(
AVERAGE((IF(DATOS_[[Sexo]:[Sexo]]=$B89,IF(DATOS_[[AGRUP. VALOR. PTO.]:[AGRUP. VALOR. PTO.]]=$B87,IF(DATOS_[[Check Periodo Ref.]:[Check Periodo Ref.]]="Dentro",DATOS_[C.Extra.06]))))),
0)</f>
        <v>0</v>
      </c>
      <c r="AN89" s="173">
        <f t="array" ref="AN89">IFERROR(
AVERAGE((IF(DATOS_[[Sexo]:[Sexo]]=$B89,IF(DATOS_[[AGRUP. VALOR. PTO.]:[AGRUP. VALOR. PTO.]]=$B87,IF(DATOS_[[Check Periodo Ref.]:[Check Periodo Ref.]]="Dentro",DATOS_[C.Extra.07]))))),
0)</f>
        <v>0</v>
      </c>
      <c r="AO89" s="173">
        <f t="array" ref="AO89">IFERROR(
AVERAGE((IF(DATOS_[[Sexo]:[Sexo]]=$B89,IF(DATOS_[[AGRUP. VALOR. PTO.]:[AGRUP. VALOR. PTO.]]=$B87,IF(DATOS_[[Check Periodo Ref.]:[Check Periodo Ref.]]="Dentro",DATOS_[C.Extra.08]))))),
0)</f>
        <v>0</v>
      </c>
      <c r="AP89" s="173">
        <f t="array" ref="AP89">IFERROR(
AVERAGE((IF(DATOS_[[Sexo]:[Sexo]]=$B89,IF(DATOS_[[AGRUP. VALOR. PTO.]:[AGRUP. VALOR. PTO.]]=$B87,IF(DATOS_[[Check Periodo Ref.]:[Check Periodo Ref.]]="Dentro",DATOS_[C.Extra.11]))))),
0)</f>
        <v>0</v>
      </c>
      <c r="AQ89" s="174">
        <f t="array" ref="AQ89">IFERROR(
AVERAGE(IF(DATOS_[Sexo]=$B89,IF(DATOS_[AGRUP. VALOR. PTO.]=$B87,IF(DATOS_[Check Periodo Ref.]="Dentro",DATOS_[Tot Extrasalarial Ef],FALSE)))),
0)</f>
        <v>0</v>
      </c>
      <c r="AR89" s="171">
        <f t="array" ref="AR89">IFERROR(
AVERAGE(IF(DATOS_[Sexo]=$B89,IF(DATOS_[AGRUP. VALOR. PTO.]=$B87,IF(DATOS_[Check Periodo Ref.]="Dentro",DATOS_[TOTAL Retrib Ef],FALSE)))),
0)</f>
        <v>0</v>
      </c>
    </row>
    <row r="90" spans="1:44" ht="14.4" thickBot="1" x14ac:dyDescent="0.3">
      <c r="A90" s="178" t="str">
        <f t="shared" ref="A90" si="103">+A91</f>
        <v>[ocultar]</v>
      </c>
      <c r="B90" s="153" t="s">
        <v>278</v>
      </c>
      <c r="C90" s="154"/>
      <c r="D90" s="155"/>
      <c r="E90" s="156" t="str">
        <f t="shared" ref="E90:AR90" si="104">IFERROR((E91-E92)/E91,"")</f>
        <v/>
      </c>
      <c r="F90" s="157" t="str">
        <f t="shared" si="104"/>
        <v/>
      </c>
      <c r="G90" s="158" t="str">
        <f t="shared" si="104"/>
        <v/>
      </c>
      <c r="H90" s="158" t="str">
        <f t="shared" si="104"/>
        <v/>
      </c>
      <c r="I90" s="158" t="str">
        <f t="shared" si="104"/>
        <v/>
      </c>
      <c r="J90" s="159" t="str">
        <f t="shared" si="104"/>
        <v/>
      </c>
      <c r="K90" s="160" t="str">
        <f t="shared" si="104"/>
        <v/>
      </c>
      <c r="L90" s="160" t="str">
        <f t="shared" si="104"/>
        <v/>
      </c>
      <c r="M90" s="160" t="str">
        <f t="shared" si="104"/>
        <v/>
      </c>
      <c r="N90" s="160" t="str">
        <f t="shared" si="104"/>
        <v/>
      </c>
      <c r="O90" s="160" t="str">
        <f t="shared" si="104"/>
        <v/>
      </c>
      <c r="P90" s="160" t="str">
        <f t="shared" si="104"/>
        <v/>
      </c>
      <c r="Q90" s="160" t="str">
        <f t="shared" si="104"/>
        <v/>
      </c>
      <c r="R90" s="160" t="str">
        <f t="shared" si="104"/>
        <v/>
      </c>
      <c r="S90" s="160" t="str">
        <f t="shared" si="104"/>
        <v/>
      </c>
      <c r="T90" s="160" t="str">
        <f t="shared" si="104"/>
        <v/>
      </c>
      <c r="U90" s="160" t="str">
        <f t="shared" si="104"/>
        <v/>
      </c>
      <c r="V90" s="159" t="str">
        <f t="shared" si="104"/>
        <v/>
      </c>
      <c r="W90" s="159" t="str">
        <f t="shared" si="104"/>
        <v/>
      </c>
      <c r="X90" s="159" t="str">
        <f t="shared" si="104"/>
        <v/>
      </c>
      <c r="Y90" s="159" t="str">
        <f t="shared" si="104"/>
        <v/>
      </c>
      <c r="Z90" s="159" t="str">
        <f t="shared" si="104"/>
        <v/>
      </c>
      <c r="AA90" s="159" t="str">
        <f t="shared" si="104"/>
        <v/>
      </c>
      <c r="AB90" s="159" t="str">
        <f t="shared" si="104"/>
        <v/>
      </c>
      <c r="AC90" s="159" t="str">
        <f t="shared" si="104"/>
        <v/>
      </c>
      <c r="AD90" s="159" t="str">
        <f t="shared" si="104"/>
        <v/>
      </c>
      <c r="AE90" s="159" t="str">
        <f t="shared" si="104"/>
        <v/>
      </c>
      <c r="AF90" s="159" t="str">
        <f t="shared" si="104"/>
        <v/>
      </c>
      <c r="AG90" s="159" t="str">
        <f t="shared" si="104"/>
        <v/>
      </c>
      <c r="AH90" s="159" t="str">
        <f t="shared" si="104"/>
        <v/>
      </c>
      <c r="AI90" s="159" t="str">
        <f t="shared" si="104"/>
        <v/>
      </c>
      <c r="AJ90" s="161" t="str">
        <f t="shared" si="104"/>
        <v/>
      </c>
      <c r="AK90" s="162" t="str">
        <f t="shared" si="104"/>
        <v/>
      </c>
      <c r="AL90" s="163" t="str">
        <f t="shared" si="104"/>
        <v/>
      </c>
      <c r="AM90" s="163" t="str">
        <f t="shared" si="104"/>
        <v/>
      </c>
      <c r="AN90" s="163" t="str">
        <f t="shared" si="104"/>
        <v/>
      </c>
      <c r="AO90" s="163" t="str">
        <f t="shared" si="104"/>
        <v/>
      </c>
      <c r="AP90" s="163" t="str">
        <f t="shared" si="104"/>
        <v/>
      </c>
      <c r="AQ90" s="164" t="str">
        <f t="shared" si="104"/>
        <v/>
      </c>
      <c r="AR90" s="161" t="str">
        <f t="shared" si="104"/>
        <v/>
      </c>
    </row>
    <row r="91" spans="1:44" x14ac:dyDescent="0.25">
      <c r="A91" s="178" t="str">
        <f t="shared" ref="A91" si="105">+IF(C91+C92=0,"[ocultar]","")</f>
        <v>[ocultar]</v>
      </c>
      <c r="B91" s="166" t="s">
        <v>394</v>
      </c>
      <c r="C91" s="167">
        <f t="array" ref="C91">SUM(IF($B91=DATOS_[Sexo],
IF($B90=DATOS_[AGRUP. VALOR. PTO.],
IF("Dentro"=DATOS_[Check Periodo Ref.],
1/(COUNTIFS(DATOS_[Sexo],$B91,DATOS_[AGRUP. VALOR. PTO.],$B90,DATOS_[Check Periodo Ref.],"Dentro",DATOS_[id/cod],DATOS_[id/cod]))))))</f>
        <v>0</v>
      </c>
      <c r="D91" s="168">
        <f>COUNTIFS(DATOS_[AGRUP. VALOR. PTO.],$B90,DATOS_[Sexo],$B91,DATOS_[Check Periodo Ref.],"Dentro")</f>
        <v>0</v>
      </c>
      <c r="E91" s="169">
        <f t="array" ref="E91">IFERROR(
AVERAGE(IF(DATOS_[Sexo]=$B91,IF(DATOS_[AGRUP. VALOR. PTO.]=$B90,IF(DATOS_[Check Periodo Ref.]="Dentro",DATOS_[SALARIO BASE Ef],FALSE)))),
0)</f>
        <v>0</v>
      </c>
      <c r="F91" s="170">
        <f t="array" ref="F91">IFERROR(
AVERAGE((IF(DATOS_[[Sexo]:[Sexo]]=$B91,IF(DATOS_[[AGRUP. VALOR. PTO.]:[AGRUP. VALOR. PTO.]]=$B90,IF(DATOS_[[Check Periodo Ref.]:[Check Periodo Ref.]]="Dentro",DATOS_[Conc.Sal.01]))))),
0)</f>
        <v>0</v>
      </c>
      <c r="G91" s="170">
        <f t="array" ref="G91">IFERROR(
AVERAGE((IF(DATOS_[[Sexo]:[Sexo]]=$B91,IF(DATOS_[[AGRUP. VALOR. PTO.]:[AGRUP. VALOR. PTO.]]=$B90,IF(DATOS_[[Check Periodo Ref.]:[Check Periodo Ref.]]="Dentro",DATOS_[Conc.Sal.02]))))),
0)</f>
        <v>0</v>
      </c>
      <c r="H91" s="170">
        <f t="array" ref="H91">IFERROR(
AVERAGE((IF(DATOS_[[Sexo]:[Sexo]]=$B91,IF(DATOS_[[AGRUP. VALOR. PTO.]:[AGRUP. VALOR. PTO.]]=$B90,IF(DATOS_[[Check Periodo Ref.]:[Check Periodo Ref.]]="Dentro",DATOS_[Conc.Sal.03]))))),
0)</f>
        <v>0</v>
      </c>
      <c r="I91" s="170">
        <f t="array" ref="I91">IFERROR(
AVERAGE((IF(DATOS_[[Sexo]:[Sexo]]=$B91,IF(DATOS_[[AGRUP. VALOR. PTO.]:[AGRUP. VALOR. PTO.]]=$B90,IF(DATOS_[[Check Periodo Ref.]:[Check Periodo Ref.]]="Dentro",DATOS_[Conc.Sal.04]))))),
0)</f>
        <v>0</v>
      </c>
      <c r="J91" s="170">
        <f t="array" ref="J91">IFERROR(
AVERAGE((IF(DATOS_[[Sexo]:[Sexo]]=$B91,IF(DATOS_[[AGRUP. VALOR. PTO.]:[AGRUP. VALOR. PTO.]]=$B90,IF(DATOS_[[Check Periodo Ref.]:[Check Periodo Ref.]]="Dentro",DATOS_[Conc.Sal.05]))))),
0)</f>
        <v>0</v>
      </c>
      <c r="K91" s="170">
        <f t="array" ref="K91">IFERROR(
AVERAGE((IF(DATOS_[[Sexo]:[Sexo]]=$B91,IF(DATOS_[[AGRUP. VALOR. PTO.]:[AGRUP. VALOR. PTO.]]=$B90,IF(DATOS_[[Check Periodo Ref.]:[Check Periodo Ref.]]="Dentro",DATOS_[Conc.Sal.06]))))),
0)</f>
        <v>0</v>
      </c>
      <c r="L91" s="170">
        <f t="array" ref="L91">IFERROR(
AVERAGE((IF(DATOS_[[Sexo]:[Sexo]]=$B91,IF(DATOS_[[AGRUP. VALOR. PTO.]:[AGRUP. VALOR. PTO.]]=$B90,IF(DATOS_[[Check Periodo Ref.]:[Check Periodo Ref.]]="Dentro",DATOS_[Conc.Sal.07]))))),
0)</f>
        <v>0</v>
      </c>
      <c r="M91" s="170">
        <f t="array" ref="M91">IFERROR(
AVERAGE((IF(DATOS_[[Sexo]:[Sexo]]=$B91,IF(DATOS_[[AGRUP. VALOR. PTO.]:[AGRUP. VALOR. PTO.]]=$B90,IF(DATOS_[[Check Periodo Ref.]:[Check Periodo Ref.]]="Dentro",DATOS_[Conc.Sal.08]))))),
0)</f>
        <v>0</v>
      </c>
      <c r="N91" s="170">
        <f t="array" ref="N91">IFERROR(
AVERAGE((IF(DATOS_[[Sexo]:[Sexo]]=$B91,IF(DATOS_[[AGRUP. VALOR. PTO.]:[AGRUP. VALOR. PTO.]]=$B90,IF(DATOS_[[Check Periodo Ref.]:[Check Periodo Ref.]]="Dentro",DATOS_[Conc.Sal.09]))))),
0)</f>
        <v>0</v>
      </c>
      <c r="O91" s="170">
        <f t="array" ref="O91">IFERROR(
AVERAGE((IF(DATOS_[[Sexo]:[Sexo]]=$B91,IF(DATOS_[[AGRUP. VALOR. PTO.]:[AGRUP. VALOR. PTO.]]=$B90,IF(DATOS_[[Check Periodo Ref.]:[Check Periodo Ref.]]="Dentro",DATOS_[Conc.Sal.10]))))),
0)</f>
        <v>0</v>
      </c>
      <c r="P91" s="170">
        <f t="array" ref="P91">IFERROR(
AVERAGE((IF(DATOS_[[Sexo]:[Sexo]]=$B91,IF(DATOS_[[AGRUP. VALOR. PTO.]:[AGRUP. VALOR. PTO.]]=$B90,IF(DATOS_[[Check Periodo Ref.]:[Check Periodo Ref.]]="Dentro",DATOS_[Conc.Sal.11]))))),
0)</f>
        <v>0</v>
      </c>
      <c r="Q91" s="170">
        <f t="array" ref="Q91">IFERROR(
AVERAGE((IF(DATOS_[[Sexo]:[Sexo]]=$B91,IF(DATOS_[[AGRUP. VALOR. PTO.]:[AGRUP. VALOR. PTO.]]=$B90,IF(DATOS_[[Check Periodo Ref.]:[Check Periodo Ref.]]="Dentro",DATOS_[Conc.Sal.12]))))),
0)</f>
        <v>0</v>
      </c>
      <c r="R91" s="170">
        <f t="array" ref="R91">IFERROR(
AVERAGE((IF(DATOS_[[Sexo]:[Sexo]]=$B91,IF(DATOS_[[AGRUP. VALOR. PTO.]:[AGRUP. VALOR. PTO.]]=$B90,IF(DATOS_[[Check Periodo Ref.]:[Check Periodo Ref.]]="Dentro",DATOS_[Conc.Sal.13]))))),
0)</f>
        <v>0</v>
      </c>
      <c r="S91" s="170">
        <f t="array" ref="S91">IFERROR(
AVERAGE((IF(DATOS_[[Sexo]:[Sexo]]=$B91,IF(DATOS_[[AGRUP. VALOR. PTO.]:[AGRUP. VALOR. PTO.]]=$B90,IF(DATOS_[[Check Periodo Ref.]:[Check Periodo Ref.]]="Dentro",DATOS_[Conc.Sal.14]))))),
0)</f>
        <v>0</v>
      </c>
      <c r="T91" s="170">
        <f t="array" ref="T91">IFERROR(
AVERAGE((IF(DATOS_[[Sexo]:[Sexo]]=$B91,IF(DATOS_[[AGRUP. VALOR. PTO.]:[AGRUP. VALOR. PTO.]]=$B90,IF(DATOS_[[Check Periodo Ref.]:[Check Periodo Ref.]]="Dentro",DATOS_[Conc.Sal.15]))))),
0)</f>
        <v>0</v>
      </c>
      <c r="U91" s="170">
        <f t="array" ref="U91">IFERROR(
AVERAGE((IF(DATOS_[[Sexo]:[Sexo]]=$B91,IF(DATOS_[[AGRUP. VALOR. PTO.]:[AGRUP. VALOR. PTO.]]=$B90,IF(DATOS_[[Check Periodo Ref.]:[Check Periodo Ref.]]="Dentro",DATOS_[Conc.Sal.16]))))),
0)</f>
        <v>0</v>
      </c>
      <c r="V91" s="170">
        <f t="array" ref="V91">IFERROR(
AVERAGE((IF(DATOS_[[Sexo]:[Sexo]]=$B91,IF(DATOS_[[AGRUP. VALOR. PTO.]:[AGRUP. VALOR. PTO.]]=$B90,IF(DATOS_[[Check Periodo Ref.]:[Check Periodo Ref.]]="Dentro",DATOS_[Conc.Sal.17]))))),
0)</f>
        <v>0</v>
      </c>
      <c r="W91" s="170">
        <f t="array" ref="W91">IFERROR(
AVERAGE((IF(DATOS_[[Sexo]:[Sexo]]=$B91,IF(DATOS_[[AGRUP. VALOR. PTO.]:[AGRUP. VALOR. PTO.]]=$B90,IF(DATOS_[[Check Periodo Ref.]:[Check Periodo Ref.]]="Dentro",DATOS_[Conc.Sal.18]))))),
0)</f>
        <v>0</v>
      </c>
      <c r="X91" s="170">
        <f t="array" ref="X91">IFERROR(
AVERAGE((IF(DATOS_[[Sexo]:[Sexo]]=$B91,IF(DATOS_[[AGRUP. VALOR. PTO.]:[AGRUP. VALOR. PTO.]]=$B90,IF(DATOS_[[Check Periodo Ref.]:[Check Periodo Ref.]]="Dentro",DATOS_[Conc.Sal.19]))))),
0)</f>
        <v>0</v>
      </c>
      <c r="Y91" s="170">
        <f t="array" ref="Y91">IFERROR(
AVERAGE((IF(DATOS_[[Sexo]:[Sexo]]=$B91,IF(DATOS_[[AGRUP. VALOR. PTO.]:[AGRUP. VALOR. PTO.]]=$B90,IF(DATOS_[[Check Periodo Ref.]:[Check Periodo Ref.]]="Dentro",DATOS_[Conc.Sal.20]))))),
0)</f>
        <v>0</v>
      </c>
      <c r="Z91" s="170">
        <f t="array" ref="Z91">IFERROR(
AVERAGE((IF(DATOS_[[Sexo]:[Sexo]]=$B91,IF(DATOS_[[AGRUP. VALOR. PTO.]:[AGRUP. VALOR. PTO.]]=$B90,IF(DATOS_[[Check Periodo Ref.]:[Check Periodo Ref.]]="Dentro",DATOS_[Conc.Sal.21]))))),
0)</f>
        <v>0</v>
      </c>
      <c r="AA91" s="170">
        <f t="array" ref="AA91">IFERROR(
AVERAGE((IF(DATOS_[[Sexo]:[Sexo]]=$B91,IF(DATOS_[[AGRUP. VALOR. PTO.]:[AGRUP. VALOR. PTO.]]=$B90,IF(DATOS_[[Check Periodo Ref.]:[Check Periodo Ref.]]="Dentro",DATOS_[Conc.Sal.22]))))),
0)</f>
        <v>0</v>
      </c>
      <c r="AB91" s="170">
        <f t="array" ref="AB91">IFERROR(
AVERAGE((IF(DATOS_[[Sexo]:[Sexo]]=$B91,IF(DATOS_[[AGRUP. VALOR. PTO.]:[AGRUP. VALOR. PTO.]]=$B90,IF(DATOS_[[Check Periodo Ref.]:[Check Periodo Ref.]]="Dentro",DATOS_[Conc.Sal.23]))))),
0)</f>
        <v>0</v>
      </c>
      <c r="AC91" s="170">
        <f t="array" ref="AC91">IFERROR(
AVERAGE((IF(DATOS_[[Sexo]:[Sexo]]=$B91,IF(DATOS_[[AGRUP. VALOR. PTO.]:[AGRUP. VALOR. PTO.]]=$B90,IF(DATOS_[[Check Periodo Ref.]:[Check Periodo Ref.]]="Dentro",DATOS_[Conc.Sal.24]))))),
0)</f>
        <v>0</v>
      </c>
      <c r="AD91" s="170">
        <f t="array" ref="AD91">IFERROR(
AVERAGE((IF(DATOS_[[Sexo]:[Sexo]]=$B91,IF(DATOS_[[AGRUP. VALOR. PTO.]:[AGRUP. VALOR. PTO.]]=$B90,IF(DATOS_[[Check Periodo Ref.]:[Check Periodo Ref.]]="Dentro",DATOS_[Conc.Sal.25]))))),
0)</f>
        <v>0</v>
      </c>
      <c r="AE91" s="170">
        <f t="array" ref="AE91">IFERROR(
AVERAGE((IF(DATOS_[[Sexo]:[Sexo]]=$B91,IF(DATOS_[[AGRUP. VALOR. PTO.]:[AGRUP. VALOR. PTO.]]=$B90,IF(DATOS_[[Check Periodo Ref.]:[Check Periodo Ref.]]="Dentro",DATOS_[Conc.Sal.26]))))),
0)</f>
        <v>0</v>
      </c>
      <c r="AF91" s="170">
        <f t="array" ref="AF91">IFERROR(
AVERAGE((IF(DATOS_[[Sexo]:[Sexo]]=$B91,IF(DATOS_[[AGRUP. VALOR. PTO.]:[AGRUP. VALOR. PTO.]]=$B90,IF(DATOS_[[Check Periodo Ref.]:[Check Periodo Ref.]]="Dentro",DATOS_[Conc.Sal.27]))))),
0)</f>
        <v>0</v>
      </c>
      <c r="AG91" s="170">
        <f t="array" ref="AG91">IFERROR(
AVERAGE((IF(DATOS_[[Sexo]:[Sexo]]=$B91,IF(DATOS_[[AGRUP. VALOR. PTO.]:[AGRUP. VALOR. PTO.]]=$B90,IF(DATOS_[[Check Periodo Ref.]:[Check Periodo Ref.]]="Dentro",DATOS_[Conc.Sal.28]))))),
0)</f>
        <v>0</v>
      </c>
      <c r="AH91" s="170">
        <f t="array" ref="AH91">IFERROR(
AVERAGE((IF(DATOS_[[Sexo]:[Sexo]]=$B91,IF(DATOS_[[AGRUP. VALOR. PTO.]:[AGRUP. VALOR. PTO.]]=$B90,IF(DATOS_[[Check Periodo Ref.]:[Check Periodo Ref.]]="Dentro",DATOS_[Conc.Sal.29]))))),
0)</f>
        <v>0</v>
      </c>
      <c r="AI91" s="170">
        <f t="array" ref="AI91">IFERROR(
AVERAGE((IF(DATOS_[[Sexo]:[Sexo]]=$B91,IF(DATOS_[[AGRUP. VALOR. PTO.]:[AGRUP. VALOR. PTO.]]=$B90,IF(DATOS_[[Check Periodo Ref.]:[Check Periodo Ref.]]="Dentro",DATOS_[Conc.Sal.30]))))),
0)</f>
        <v>0</v>
      </c>
      <c r="AJ91" s="171">
        <f t="array" ref="AJ91">IFERROR(
AVERAGE(IF(DATOS_[Sexo]=$B91,IF(DATOS_[AGRUP. VALOR. PTO.]=$B90,IF(DATOS_[Check Periodo Ref.]="Dentro",DATOS_[Tot COMPL.SAL Ef],FALSE)))),
0)</f>
        <v>0</v>
      </c>
      <c r="AK91" s="172">
        <f t="array" ref="AK91">IFERROR(
AVERAGE(IF(DATOS_[Sexo]=$B91,IF(DATOS_[AGRUP. VALOR. PTO.]=$B90,IF(DATOS_[Check Periodo Ref.]="Dentro",DATOS_[TOTAL SALARIO Ef],FALSE)))),
0)</f>
        <v>0</v>
      </c>
      <c r="AL91" s="173">
        <f t="array" ref="AL91">IFERROR(
AVERAGE((IF(DATOS_[[Sexo]:[Sexo]]=$B91,IF(DATOS_[[AGRUP. VALOR. PTO.]:[AGRUP. VALOR. PTO.]]=$B90,IF(DATOS_[[Check Periodo Ref.]:[Check Periodo Ref.]]="Dentro",DATOS_[C.Extra.01]))))),
0)</f>
        <v>0</v>
      </c>
      <c r="AM91" s="173">
        <f t="array" ref="AM91">IFERROR(
AVERAGE((IF(DATOS_[[Sexo]:[Sexo]]=$B91,IF(DATOS_[[AGRUP. VALOR. PTO.]:[AGRUP. VALOR. PTO.]]=$B90,IF(DATOS_[[Check Periodo Ref.]:[Check Periodo Ref.]]="Dentro",DATOS_[C.Extra.06]))))),
0)</f>
        <v>0</v>
      </c>
      <c r="AN91" s="173">
        <f t="array" ref="AN91">IFERROR(
AVERAGE((IF(DATOS_[[Sexo]:[Sexo]]=$B91,IF(DATOS_[[AGRUP. VALOR. PTO.]:[AGRUP. VALOR. PTO.]]=$B90,IF(DATOS_[[Check Periodo Ref.]:[Check Periodo Ref.]]="Dentro",DATOS_[C.Extra.07]))))),
0)</f>
        <v>0</v>
      </c>
      <c r="AO91" s="173">
        <f t="array" ref="AO91">IFERROR(
AVERAGE((IF(DATOS_[[Sexo]:[Sexo]]=$B91,IF(DATOS_[[AGRUP. VALOR. PTO.]:[AGRUP. VALOR. PTO.]]=$B90,IF(DATOS_[[Check Periodo Ref.]:[Check Periodo Ref.]]="Dentro",DATOS_[C.Extra.08]))))),
0)</f>
        <v>0</v>
      </c>
      <c r="AP91" s="173">
        <f t="array" ref="AP91">IFERROR(
AVERAGE((IF(DATOS_[[Sexo]:[Sexo]]=$B91,IF(DATOS_[[AGRUP. VALOR. PTO.]:[AGRUP. VALOR. PTO.]]=$B90,IF(DATOS_[[Check Periodo Ref.]:[Check Periodo Ref.]]="Dentro",DATOS_[C.Extra.11]))))),
0)</f>
        <v>0</v>
      </c>
      <c r="AQ91" s="174">
        <f t="array" ref="AQ91">IFERROR(
AVERAGE(IF(DATOS_[Sexo]=$B91,IF(DATOS_[AGRUP. VALOR. PTO.]=$B90,IF(DATOS_[Check Periodo Ref.]="Dentro",DATOS_[Tot Extrasalarial Ef],FALSE)))),
0)</f>
        <v>0</v>
      </c>
      <c r="AR91" s="171">
        <f t="array" ref="AR91">IFERROR(
AVERAGE(IF(DATOS_[Sexo]=$B91,IF(DATOS_[AGRUP. VALOR. PTO.]=$B90,IF(DATOS_[Check Periodo Ref.]="Dentro",DATOS_[TOTAL Retrib Ef],FALSE)))),
0)</f>
        <v>0</v>
      </c>
    </row>
    <row r="92" spans="1:44" x14ac:dyDescent="0.25">
      <c r="A92" s="178" t="str">
        <f t="shared" ref="A92" si="106">+A91</f>
        <v>[ocultar]</v>
      </c>
      <c r="B92" s="166" t="s">
        <v>521</v>
      </c>
      <c r="C92" s="167">
        <f t="array" ref="C92">SUM(IF($B92=DATOS_[Sexo],
IF($B90=DATOS_[AGRUP. VALOR. PTO.],
IF("Dentro"=DATOS_[Check Periodo Ref.],
1/(COUNTIFS(DATOS_[Sexo],$B92,DATOS_[AGRUP. VALOR. PTO.],$B90,DATOS_[Check Periodo Ref.],"Dentro",DATOS_[id/cod],DATOS_[id/cod]))))))</f>
        <v>0</v>
      </c>
      <c r="D92" s="168">
        <f>COUNTIFS(DATOS_[AGRUP. VALOR. PTO.],$B90,DATOS_[Sexo],$B92,DATOS_[Check Periodo Ref.],"Dentro")</f>
        <v>0</v>
      </c>
      <c r="E92" s="169">
        <f t="array" ref="E92">IFERROR(
AVERAGE(IF(DATOS_[Sexo]=$B92,IF(DATOS_[AGRUP. VALOR. PTO.]=$B90,IF(DATOS_[Check Periodo Ref.]="Dentro",DATOS_[SALARIO BASE Ef],FALSE)))),
0)</f>
        <v>0</v>
      </c>
      <c r="F92" s="170">
        <f t="array" ref="F92">IFERROR(
AVERAGE((IF(DATOS_[[Sexo]:[Sexo]]=$B92,IF(DATOS_[[AGRUP. VALOR. PTO.]:[AGRUP. VALOR. PTO.]]=$B90,IF(DATOS_[[Check Periodo Ref.]:[Check Periodo Ref.]]="Dentro",DATOS_[Conc.Sal.01]))))),
0)</f>
        <v>0</v>
      </c>
      <c r="G92" s="170">
        <f t="array" ref="G92">IFERROR(
AVERAGE((IF(DATOS_[[Sexo]:[Sexo]]=$B92,IF(DATOS_[[AGRUP. VALOR. PTO.]:[AGRUP. VALOR. PTO.]]=$B90,IF(DATOS_[[Check Periodo Ref.]:[Check Periodo Ref.]]="Dentro",DATOS_[Conc.Sal.02]))))),
0)</f>
        <v>0</v>
      </c>
      <c r="H92" s="170">
        <f t="array" ref="H92">IFERROR(
AVERAGE((IF(DATOS_[[Sexo]:[Sexo]]=$B92,IF(DATOS_[[AGRUP. VALOR. PTO.]:[AGRUP. VALOR. PTO.]]=$B90,IF(DATOS_[[Check Periodo Ref.]:[Check Periodo Ref.]]="Dentro",DATOS_[Conc.Sal.03]))))),
0)</f>
        <v>0</v>
      </c>
      <c r="I92" s="170">
        <f t="array" ref="I92">IFERROR(
AVERAGE((IF(DATOS_[[Sexo]:[Sexo]]=$B92,IF(DATOS_[[AGRUP. VALOR. PTO.]:[AGRUP. VALOR. PTO.]]=$B90,IF(DATOS_[[Check Periodo Ref.]:[Check Periodo Ref.]]="Dentro",DATOS_[Conc.Sal.04]))))),
0)</f>
        <v>0</v>
      </c>
      <c r="J92" s="170">
        <f t="array" ref="J92">IFERROR(
AVERAGE((IF(DATOS_[[Sexo]:[Sexo]]=$B92,IF(DATOS_[[AGRUP. VALOR. PTO.]:[AGRUP. VALOR. PTO.]]=$B90,IF(DATOS_[[Check Periodo Ref.]:[Check Periodo Ref.]]="Dentro",DATOS_[Conc.Sal.05]))))),
0)</f>
        <v>0</v>
      </c>
      <c r="K92" s="170">
        <f t="array" ref="K92">IFERROR(
AVERAGE((IF(DATOS_[[Sexo]:[Sexo]]=$B92,IF(DATOS_[[AGRUP. VALOR. PTO.]:[AGRUP. VALOR. PTO.]]=$B90,IF(DATOS_[[Check Periodo Ref.]:[Check Periodo Ref.]]="Dentro",DATOS_[Conc.Sal.06]))))),
0)</f>
        <v>0</v>
      </c>
      <c r="L92" s="170">
        <f t="array" ref="L92">IFERROR(
AVERAGE((IF(DATOS_[[Sexo]:[Sexo]]=$B92,IF(DATOS_[[AGRUP. VALOR. PTO.]:[AGRUP. VALOR. PTO.]]=$B90,IF(DATOS_[[Check Periodo Ref.]:[Check Periodo Ref.]]="Dentro",DATOS_[Conc.Sal.07]))))),
0)</f>
        <v>0</v>
      </c>
      <c r="M92" s="170">
        <f t="array" ref="M92">IFERROR(
AVERAGE((IF(DATOS_[[Sexo]:[Sexo]]=$B92,IF(DATOS_[[AGRUP. VALOR. PTO.]:[AGRUP. VALOR. PTO.]]=$B90,IF(DATOS_[[Check Periodo Ref.]:[Check Periodo Ref.]]="Dentro",DATOS_[Conc.Sal.08]))))),
0)</f>
        <v>0</v>
      </c>
      <c r="N92" s="170">
        <f t="array" ref="N92">IFERROR(
AVERAGE((IF(DATOS_[[Sexo]:[Sexo]]=$B92,IF(DATOS_[[AGRUP. VALOR. PTO.]:[AGRUP. VALOR. PTO.]]=$B90,IF(DATOS_[[Check Periodo Ref.]:[Check Periodo Ref.]]="Dentro",DATOS_[Conc.Sal.09]))))),
0)</f>
        <v>0</v>
      </c>
      <c r="O92" s="170">
        <f t="array" ref="O92">IFERROR(
AVERAGE((IF(DATOS_[[Sexo]:[Sexo]]=$B92,IF(DATOS_[[AGRUP. VALOR. PTO.]:[AGRUP. VALOR. PTO.]]=$B90,IF(DATOS_[[Check Periodo Ref.]:[Check Periodo Ref.]]="Dentro",DATOS_[Conc.Sal.10]))))),
0)</f>
        <v>0</v>
      </c>
      <c r="P92" s="170">
        <f t="array" ref="P92">IFERROR(
AVERAGE((IF(DATOS_[[Sexo]:[Sexo]]=$B92,IF(DATOS_[[AGRUP. VALOR. PTO.]:[AGRUP. VALOR. PTO.]]=$B90,IF(DATOS_[[Check Periodo Ref.]:[Check Periodo Ref.]]="Dentro",DATOS_[Conc.Sal.11]))))),
0)</f>
        <v>0</v>
      </c>
      <c r="Q92" s="170">
        <f t="array" ref="Q92">IFERROR(
AVERAGE((IF(DATOS_[[Sexo]:[Sexo]]=$B92,IF(DATOS_[[AGRUP. VALOR. PTO.]:[AGRUP. VALOR. PTO.]]=$B90,IF(DATOS_[[Check Periodo Ref.]:[Check Periodo Ref.]]="Dentro",DATOS_[Conc.Sal.12]))))),
0)</f>
        <v>0</v>
      </c>
      <c r="R92" s="170">
        <f t="array" ref="R92">IFERROR(
AVERAGE((IF(DATOS_[[Sexo]:[Sexo]]=$B92,IF(DATOS_[[AGRUP. VALOR. PTO.]:[AGRUP. VALOR. PTO.]]=$B90,IF(DATOS_[[Check Periodo Ref.]:[Check Periodo Ref.]]="Dentro",DATOS_[Conc.Sal.13]))))),
0)</f>
        <v>0</v>
      </c>
      <c r="S92" s="170">
        <f t="array" ref="S92">IFERROR(
AVERAGE((IF(DATOS_[[Sexo]:[Sexo]]=$B92,IF(DATOS_[[AGRUP. VALOR. PTO.]:[AGRUP. VALOR. PTO.]]=$B90,IF(DATOS_[[Check Periodo Ref.]:[Check Periodo Ref.]]="Dentro",DATOS_[Conc.Sal.14]))))),
0)</f>
        <v>0</v>
      </c>
      <c r="T92" s="170">
        <f t="array" ref="T92">IFERROR(
AVERAGE((IF(DATOS_[[Sexo]:[Sexo]]=$B92,IF(DATOS_[[AGRUP. VALOR. PTO.]:[AGRUP. VALOR. PTO.]]=$B90,IF(DATOS_[[Check Periodo Ref.]:[Check Periodo Ref.]]="Dentro",DATOS_[Conc.Sal.15]))))),
0)</f>
        <v>0</v>
      </c>
      <c r="U92" s="170">
        <f t="array" ref="U92">IFERROR(
AVERAGE((IF(DATOS_[[Sexo]:[Sexo]]=$B92,IF(DATOS_[[AGRUP. VALOR. PTO.]:[AGRUP. VALOR. PTO.]]=$B90,IF(DATOS_[[Check Periodo Ref.]:[Check Periodo Ref.]]="Dentro",DATOS_[Conc.Sal.16]))))),
0)</f>
        <v>0</v>
      </c>
      <c r="V92" s="170">
        <f t="array" ref="V92">IFERROR(
AVERAGE((IF(DATOS_[[Sexo]:[Sexo]]=$B92,IF(DATOS_[[AGRUP. VALOR. PTO.]:[AGRUP. VALOR. PTO.]]=$B90,IF(DATOS_[[Check Periodo Ref.]:[Check Periodo Ref.]]="Dentro",DATOS_[Conc.Sal.17]))))),
0)</f>
        <v>0</v>
      </c>
      <c r="W92" s="170">
        <f t="array" ref="W92">IFERROR(
AVERAGE((IF(DATOS_[[Sexo]:[Sexo]]=$B92,IF(DATOS_[[AGRUP. VALOR. PTO.]:[AGRUP. VALOR. PTO.]]=$B90,IF(DATOS_[[Check Periodo Ref.]:[Check Periodo Ref.]]="Dentro",DATOS_[Conc.Sal.18]))))),
0)</f>
        <v>0</v>
      </c>
      <c r="X92" s="170">
        <f t="array" ref="X92">IFERROR(
AVERAGE((IF(DATOS_[[Sexo]:[Sexo]]=$B92,IF(DATOS_[[AGRUP. VALOR. PTO.]:[AGRUP. VALOR. PTO.]]=$B90,IF(DATOS_[[Check Periodo Ref.]:[Check Periodo Ref.]]="Dentro",DATOS_[Conc.Sal.19]))))),
0)</f>
        <v>0</v>
      </c>
      <c r="Y92" s="170">
        <f t="array" ref="Y92">IFERROR(
AVERAGE((IF(DATOS_[[Sexo]:[Sexo]]=$B92,IF(DATOS_[[AGRUP. VALOR. PTO.]:[AGRUP. VALOR. PTO.]]=$B90,IF(DATOS_[[Check Periodo Ref.]:[Check Periodo Ref.]]="Dentro",DATOS_[Conc.Sal.20]))))),
0)</f>
        <v>0</v>
      </c>
      <c r="Z92" s="170">
        <f t="array" ref="Z92">IFERROR(
AVERAGE((IF(DATOS_[[Sexo]:[Sexo]]=$B92,IF(DATOS_[[AGRUP. VALOR. PTO.]:[AGRUP. VALOR. PTO.]]=$B90,IF(DATOS_[[Check Periodo Ref.]:[Check Periodo Ref.]]="Dentro",DATOS_[Conc.Sal.21]))))),
0)</f>
        <v>0</v>
      </c>
      <c r="AA92" s="170">
        <f t="array" ref="AA92">IFERROR(
AVERAGE((IF(DATOS_[[Sexo]:[Sexo]]=$B92,IF(DATOS_[[AGRUP. VALOR. PTO.]:[AGRUP. VALOR. PTO.]]=$B90,IF(DATOS_[[Check Periodo Ref.]:[Check Periodo Ref.]]="Dentro",DATOS_[Conc.Sal.22]))))),
0)</f>
        <v>0</v>
      </c>
      <c r="AB92" s="170">
        <f t="array" ref="AB92">IFERROR(
AVERAGE((IF(DATOS_[[Sexo]:[Sexo]]=$B92,IF(DATOS_[[AGRUP. VALOR. PTO.]:[AGRUP. VALOR. PTO.]]=$B90,IF(DATOS_[[Check Periodo Ref.]:[Check Periodo Ref.]]="Dentro",DATOS_[Conc.Sal.23]))))),
0)</f>
        <v>0</v>
      </c>
      <c r="AC92" s="170">
        <f t="array" ref="AC92">IFERROR(
AVERAGE((IF(DATOS_[[Sexo]:[Sexo]]=$B92,IF(DATOS_[[AGRUP. VALOR. PTO.]:[AGRUP. VALOR. PTO.]]=$B90,IF(DATOS_[[Check Periodo Ref.]:[Check Periodo Ref.]]="Dentro",DATOS_[Conc.Sal.24]))))),
0)</f>
        <v>0</v>
      </c>
      <c r="AD92" s="170">
        <f t="array" ref="AD92">IFERROR(
AVERAGE((IF(DATOS_[[Sexo]:[Sexo]]=$B92,IF(DATOS_[[AGRUP. VALOR. PTO.]:[AGRUP. VALOR. PTO.]]=$B90,IF(DATOS_[[Check Periodo Ref.]:[Check Periodo Ref.]]="Dentro",DATOS_[Conc.Sal.25]))))),
0)</f>
        <v>0</v>
      </c>
      <c r="AE92" s="170">
        <f t="array" ref="AE92">IFERROR(
AVERAGE((IF(DATOS_[[Sexo]:[Sexo]]=$B92,IF(DATOS_[[AGRUP. VALOR. PTO.]:[AGRUP. VALOR. PTO.]]=$B90,IF(DATOS_[[Check Periodo Ref.]:[Check Periodo Ref.]]="Dentro",DATOS_[Conc.Sal.26]))))),
0)</f>
        <v>0</v>
      </c>
      <c r="AF92" s="170">
        <f t="array" ref="AF92">IFERROR(
AVERAGE((IF(DATOS_[[Sexo]:[Sexo]]=$B92,IF(DATOS_[[AGRUP. VALOR. PTO.]:[AGRUP. VALOR. PTO.]]=$B90,IF(DATOS_[[Check Periodo Ref.]:[Check Periodo Ref.]]="Dentro",DATOS_[Conc.Sal.27]))))),
0)</f>
        <v>0</v>
      </c>
      <c r="AG92" s="170">
        <f t="array" ref="AG92">IFERROR(
AVERAGE((IF(DATOS_[[Sexo]:[Sexo]]=$B92,IF(DATOS_[[AGRUP. VALOR. PTO.]:[AGRUP. VALOR. PTO.]]=$B90,IF(DATOS_[[Check Periodo Ref.]:[Check Periodo Ref.]]="Dentro",DATOS_[Conc.Sal.28]))))),
0)</f>
        <v>0</v>
      </c>
      <c r="AH92" s="170">
        <f t="array" ref="AH92">IFERROR(
AVERAGE((IF(DATOS_[[Sexo]:[Sexo]]=$B92,IF(DATOS_[[AGRUP. VALOR. PTO.]:[AGRUP. VALOR. PTO.]]=$B90,IF(DATOS_[[Check Periodo Ref.]:[Check Periodo Ref.]]="Dentro",DATOS_[Conc.Sal.29]))))),
0)</f>
        <v>0</v>
      </c>
      <c r="AI92" s="170">
        <f t="array" ref="AI92">IFERROR(
AVERAGE((IF(DATOS_[[Sexo]:[Sexo]]=$B92,IF(DATOS_[[AGRUP. VALOR. PTO.]:[AGRUP. VALOR. PTO.]]=$B90,IF(DATOS_[[Check Periodo Ref.]:[Check Periodo Ref.]]="Dentro",DATOS_[Conc.Sal.30]))))),
0)</f>
        <v>0</v>
      </c>
      <c r="AJ92" s="171">
        <f t="array" ref="AJ92">IFERROR(
AVERAGE(IF(DATOS_[Sexo]=$B92,IF(DATOS_[AGRUP. VALOR. PTO.]=$B90,IF(DATOS_[Check Periodo Ref.]="Dentro",DATOS_[Tot COMPL.SAL Ef],FALSE)))),
0)</f>
        <v>0</v>
      </c>
      <c r="AK92" s="172">
        <f t="array" ref="AK92">IFERROR(
AVERAGE(IF(DATOS_[Sexo]=$B92,IF(DATOS_[AGRUP. VALOR. PTO.]=$B90,IF(DATOS_[Check Periodo Ref.]="Dentro",DATOS_[TOTAL SALARIO Ef],FALSE)))),
0)</f>
        <v>0</v>
      </c>
      <c r="AL92" s="173">
        <f t="array" ref="AL92">IFERROR(
AVERAGE((IF(DATOS_[[Sexo]:[Sexo]]=$B92,IF(DATOS_[[AGRUP. VALOR. PTO.]:[AGRUP. VALOR. PTO.]]=$B90,IF(DATOS_[[Check Periodo Ref.]:[Check Periodo Ref.]]="Dentro",DATOS_[C.Extra.01]))))),
0)</f>
        <v>0</v>
      </c>
      <c r="AM92" s="173">
        <f t="array" ref="AM92">IFERROR(
AVERAGE((IF(DATOS_[[Sexo]:[Sexo]]=$B92,IF(DATOS_[[AGRUP. VALOR. PTO.]:[AGRUP. VALOR. PTO.]]=$B90,IF(DATOS_[[Check Periodo Ref.]:[Check Periodo Ref.]]="Dentro",DATOS_[C.Extra.06]))))),
0)</f>
        <v>0</v>
      </c>
      <c r="AN92" s="173">
        <f t="array" ref="AN92">IFERROR(
AVERAGE((IF(DATOS_[[Sexo]:[Sexo]]=$B92,IF(DATOS_[[AGRUP. VALOR. PTO.]:[AGRUP. VALOR. PTO.]]=$B90,IF(DATOS_[[Check Periodo Ref.]:[Check Periodo Ref.]]="Dentro",DATOS_[C.Extra.07]))))),
0)</f>
        <v>0</v>
      </c>
      <c r="AO92" s="173">
        <f t="array" ref="AO92">IFERROR(
AVERAGE((IF(DATOS_[[Sexo]:[Sexo]]=$B92,IF(DATOS_[[AGRUP. VALOR. PTO.]:[AGRUP. VALOR. PTO.]]=$B90,IF(DATOS_[[Check Periodo Ref.]:[Check Periodo Ref.]]="Dentro",DATOS_[C.Extra.08]))))),
0)</f>
        <v>0</v>
      </c>
      <c r="AP92" s="173">
        <f t="array" ref="AP92">IFERROR(
AVERAGE((IF(DATOS_[[Sexo]:[Sexo]]=$B92,IF(DATOS_[[AGRUP. VALOR. PTO.]:[AGRUP. VALOR. PTO.]]=$B90,IF(DATOS_[[Check Periodo Ref.]:[Check Periodo Ref.]]="Dentro",DATOS_[C.Extra.11]))))),
0)</f>
        <v>0</v>
      </c>
      <c r="AQ92" s="174">
        <f t="array" ref="AQ92">IFERROR(
AVERAGE(IF(DATOS_[Sexo]=$B92,IF(DATOS_[AGRUP. VALOR. PTO.]=$B90,IF(DATOS_[Check Periodo Ref.]="Dentro",DATOS_[Tot Extrasalarial Ef],FALSE)))),
0)</f>
        <v>0</v>
      </c>
      <c r="AR92" s="171">
        <f t="array" ref="AR92">IFERROR(
AVERAGE(IF(DATOS_[Sexo]=$B92,IF(DATOS_[AGRUP. VALOR. PTO.]=$B90,IF(DATOS_[Check Periodo Ref.]="Dentro",DATOS_[TOTAL Retrib Ef],FALSE)))),
0)</f>
        <v>0</v>
      </c>
    </row>
    <row r="93" spans="1:44" ht="14.4" thickBot="1" x14ac:dyDescent="0.3">
      <c r="A93" s="178" t="str">
        <f t="shared" ref="A93" si="107">+A94</f>
        <v>[ocultar]</v>
      </c>
      <c r="B93" s="153" t="s">
        <v>281</v>
      </c>
      <c r="C93" s="154"/>
      <c r="D93" s="155"/>
      <c r="E93" s="156" t="str">
        <f t="shared" ref="E93:AR93" si="108">IFERROR((E94-E95)/E94,"")</f>
        <v/>
      </c>
      <c r="F93" s="157" t="str">
        <f t="shared" si="108"/>
        <v/>
      </c>
      <c r="G93" s="158" t="str">
        <f t="shared" si="108"/>
        <v/>
      </c>
      <c r="H93" s="158" t="str">
        <f t="shared" si="108"/>
        <v/>
      </c>
      <c r="I93" s="158" t="str">
        <f t="shared" si="108"/>
        <v/>
      </c>
      <c r="J93" s="159" t="str">
        <f t="shared" si="108"/>
        <v/>
      </c>
      <c r="K93" s="160" t="str">
        <f t="shared" si="108"/>
        <v/>
      </c>
      <c r="L93" s="160" t="str">
        <f t="shared" si="108"/>
        <v/>
      </c>
      <c r="M93" s="160" t="str">
        <f t="shared" si="108"/>
        <v/>
      </c>
      <c r="N93" s="160" t="str">
        <f t="shared" si="108"/>
        <v/>
      </c>
      <c r="O93" s="160" t="str">
        <f t="shared" si="108"/>
        <v/>
      </c>
      <c r="P93" s="160" t="str">
        <f t="shared" si="108"/>
        <v/>
      </c>
      <c r="Q93" s="160" t="str">
        <f t="shared" si="108"/>
        <v/>
      </c>
      <c r="R93" s="160" t="str">
        <f t="shared" si="108"/>
        <v/>
      </c>
      <c r="S93" s="160" t="str">
        <f t="shared" si="108"/>
        <v/>
      </c>
      <c r="T93" s="160" t="str">
        <f t="shared" si="108"/>
        <v/>
      </c>
      <c r="U93" s="160" t="str">
        <f t="shared" si="108"/>
        <v/>
      </c>
      <c r="V93" s="159" t="str">
        <f t="shared" si="108"/>
        <v/>
      </c>
      <c r="W93" s="159" t="str">
        <f t="shared" si="108"/>
        <v/>
      </c>
      <c r="X93" s="159" t="str">
        <f t="shared" si="108"/>
        <v/>
      </c>
      <c r="Y93" s="159" t="str">
        <f t="shared" si="108"/>
        <v/>
      </c>
      <c r="Z93" s="159" t="str">
        <f t="shared" si="108"/>
        <v/>
      </c>
      <c r="AA93" s="159" t="str">
        <f t="shared" si="108"/>
        <v/>
      </c>
      <c r="AB93" s="159" t="str">
        <f t="shared" si="108"/>
        <v/>
      </c>
      <c r="AC93" s="159" t="str">
        <f t="shared" si="108"/>
        <v/>
      </c>
      <c r="AD93" s="159" t="str">
        <f t="shared" si="108"/>
        <v/>
      </c>
      <c r="AE93" s="159" t="str">
        <f t="shared" si="108"/>
        <v/>
      </c>
      <c r="AF93" s="159" t="str">
        <f t="shared" si="108"/>
        <v/>
      </c>
      <c r="AG93" s="159" t="str">
        <f t="shared" si="108"/>
        <v/>
      </c>
      <c r="AH93" s="159" t="str">
        <f t="shared" si="108"/>
        <v/>
      </c>
      <c r="AI93" s="159" t="str">
        <f t="shared" si="108"/>
        <v/>
      </c>
      <c r="AJ93" s="161" t="str">
        <f t="shared" si="108"/>
        <v/>
      </c>
      <c r="AK93" s="162" t="str">
        <f t="shared" si="108"/>
        <v/>
      </c>
      <c r="AL93" s="163" t="str">
        <f t="shared" si="108"/>
        <v/>
      </c>
      <c r="AM93" s="163" t="str">
        <f t="shared" si="108"/>
        <v/>
      </c>
      <c r="AN93" s="163" t="str">
        <f t="shared" si="108"/>
        <v/>
      </c>
      <c r="AO93" s="163" t="str">
        <f t="shared" si="108"/>
        <v/>
      </c>
      <c r="AP93" s="163" t="str">
        <f t="shared" si="108"/>
        <v/>
      </c>
      <c r="AQ93" s="164" t="str">
        <f t="shared" si="108"/>
        <v/>
      </c>
      <c r="AR93" s="161" t="str">
        <f t="shared" si="108"/>
        <v/>
      </c>
    </row>
    <row r="94" spans="1:44" x14ac:dyDescent="0.25">
      <c r="A94" s="178" t="str">
        <f t="shared" ref="A94" si="109">+IF(C94+C95=0,"[ocultar]","")</f>
        <v>[ocultar]</v>
      </c>
      <c r="B94" s="166" t="s">
        <v>394</v>
      </c>
      <c r="C94" s="167">
        <f t="array" ref="C94">SUM(IF($B94=DATOS_[Sexo],
IF($B93=DATOS_[AGRUP. VALOR. PTO.],
IF("Dentro"=DATOS_[Check Periodo Ref.],
1/(COUNTIFS(DATOS_[Sexo],$B94,DATOS_[AGRUP. VALOR. PTO.],$B93,DATOS_[Check Periodo Ref.],"Dentro",DATOS_[id/cod],DATOS_[id/cod]))))))</f>
        <v>0</v>
      </c>
      <c r="D94" s="168">
        <f>COUNTIFS(DATOS_[AGRUP. VALOR. PTO.],$B93,DATOS_[Sexo],$B94,DATOS_[Check Periodo Ref.],"Dentro")</f>
        <v>0</v>
      </c>
      <c r="E94" s="169">
        <f t="array" ref="E94">IFERROR(
AVERAGE(IF(DATOS_[Sexo]=$B94,IF(DATOS_[AGRUP. VALOR. PTO.]=$B93,IF(DATOS_[Check Periodo Ref.]="Dentro",DATOS_[SALARIO BASE Ef],FALSE)))),
0)</f>
        <v>0</v>
      </c>
      <c r="F94" s="170">
        <f t="array" ref="F94">IFERROR(
AVERAGE((IF(DATOS_[[Sexo]:[Sexo]]=$B94,IF(DATOS_[[AGRUP. VALOR. PTO.]:[AGRUP. VALOR. PTO.]]=$B93,IF(DATOS_[[Check Periodo Ref.]:[Check Periodo Ref.]]="Dentro",DATOS_[Conc.Sal.01]))))),
0)</f>
        <v>0</v>
      </c>
      <c r="G94" s="170">
        <f t="array" ref="G94">IFERROR(
AVERAGE((IF(DATOS_[[Sexo]:[Sexo]]=$B94,IF(DATOS_[[AGRUP. VALOR. PTO.]:[AGRUP. VALOR. PTO.]]=$B93,IF(DATOS_[[Check Periodo Ref.]:[Check Periodo Ref.]]="Dentro",DATOS_[Conc.Sal.02]))))),
0)</f>
        <v>0</v>
      </c>
      <c r="H94" s="170">
        <f t="array" ref="H94">IFERROR(
AVERAGE((IF(DATOS_[[Sexo]:[Sexo]]=$B94,IF(DATOS_[[AGRUP. VALOR. PTO.]:[AGRUP. VALOR. PTO.]]=$B93,IF(DATOS_[[Check Periodo Ref.]:[Check Periodo Ref.]]="Dentro",DATOS_[Conc.Sal.03]))))),
0)</f>
        <v>0</v>
      </c>
      <c r="I94" s="170">
        <f t="array" ref="I94">IFERROR(
AVERAGE((IF(DATOS_[[Sexo]:[Sexo]]=$B94,IF(DATOS_[[AGRUP. VALOR. PTO.]:[AGRUP. VALOR. PTO.]]=$B93,IF(DATOS_[[Check Periodo Ref.]:[Check Periodo Ref.]]="Dentro",DATOS_[Conc.Sal.04]))))),
0)</f>
        <v>0</v>
      </c>
      <c r="J94" s="170">
        <f t="array" ref="J94">IFERROR(
AVERAGE((IF(DATOS_[[Sexo]:[Sexo]]=$B94,IF(DATOS_[[AGRUP. VALOR. PTO.]:[AGRUP. VALOR. PTO.]]=$B93,IF(DATOS_[[Check Periodo Ref.]:[Check Periodo Ref.]]="Dentro",DATOS_[Conc.Sal.05]))))),
0)</f>
        <v>0</v>
      </c>
      <c r="K94" s="170">
        <f t="array" ref="K94">IFERROR(
AVERAGE((IF(DATOS_[[Sexo]:[Sexo]]=$B94,IF(DATOS_[[AGRUP. VALOR. PTO.]:[AGRUP. VALOR. PTO.]]=$B93,IF(DATOS_[[Check Periodo Ref.]:[Check Periodo Ref.]]="Dentro",DATOS_[Conc.Sal.06]))))),
0)</f>
        <v>0</v>
      </c>
      <c r="L94" s="170">
        <f t="array" ref="L94">IFERROR(
AVERAGE((IF(DATOS_[[Sexo]:[Sexo]]=$B94,IF(DATOS_[[AGRUP. VALOR. PTO.]:[AGRUP. VALOR. PTO.]]=$B93,IF(DATOS_[[Check Periodo Ref.]:[Check Periodo Ref.]]="Dentro",DATOS_[Conc.Sal.07]))))),
0)</f>
        <v>0</v>
      </c>
      <c r="M94" s="170">
        <f t="array" ref="M94">IFERROR(
AVERAGE((IF(DATOS_[[Sexo]:[Sexo]]=$B94,IF(DATOS_[[AGRUP. VALOR. PTO.]:[AGRUP. VALOR. PTO.]]=$B93,IF(DATOS_[[Check Periodo Ref.]:[Check Periodo Ref.]]="Dentro",DATOS_[Conc.Sal.08]))))),
0)</f>
        <v>0</v>
      </c>
      <c r="N94" s="170">
        <f t="array" ref="N94">IFERROR(
AVERAGE((IF(DATOS_[[Sexo]:[Sexo]]=$B94,IF(DATOS_[[AGRUP. VALOR. PTO.]:[AGRUP. VALOR. PTO.]]=$B93,IF(DATOS_[[Check Periodo Ref.]:[Check Periodo Ref.]]="Dentro",DATOS_[Conc.Sal.09]))))),
0)</f>
        <v>0</v>
      </c>
      <c r="O94" s="170">
        <f t="array" ref="O94">IFERROR(
AVERAGE((IF(DATOS_[[Sexo]:[Sexo]]=$B94,IF(DATOS_[[AGRUP. VALOR. PTO.]:[AGRUP. VALOR. PTO.]]=$B93,IF(DATOS_[[Check Periodo Ref.]:[Check Periodo Ref.]]="Dentro",DATOS_[Conc.Sal.10]))))),
0)</f>
        <v>0</v>
      </c>
      <c r="P94" s="170">
        <f t="array" ref="P94">IFERROR(
AVERAGE((IF(DATOS_[[Sexo]:[Sexo]]=$B94,IF(DATOS_[[AGRUP. VALOR. PTO.]:[AGRUP. VALOR. PTO.]]=$B93,IF(DATOS_[[Check Periodo Ref.]:[Check Periodo Ref.]]="Dentro",DATOS_[Conc.Sal.11]))))),
0)</f>
        <v>0</v>
      </c>
      <c r="Q94" s="170">
        <f t="array" ref="Q94">IFERROR(
AVERAGE((IF(DATOS_[[Sexo]:[Sexo]]=$B94,IF(DATOS_[[AGRUP. VALOR. PTO.]:[AGRUP. VALOR. PTO.]]=$B93,IF(DATOS_[[Check Periodo Ref.]:[Check Periodo Ref.]]="Dentro",DATOS_[Conc.Sal.12]))))),
0)</f>
        <v>0</v>
      </c>
      <c r="R94" s="170">
        <f t="array" ref="R94">IFERROR(
AVERAGE((IF(DATOS_[[Sexo]:[Sexo]]=$B94,IF(DATOS_[[AGRUP. VALOR. PTO.]:[AGRUP. VALOR. PTO.]]=$B93,IF(DATOS_[[Check Periodo Ref.]:[Check Periodo Ref.]]="Dentro",DATOS_[Conc.Sal.13]))))),
0)</f>
        <v>0</v>
      </c>
      <c r="S94" s="170">
        <f t="array" ref="S94">IFERROR(
AVERAGE((IF(DATOS_[[Sexo]:[Sexo]]=$B94,IF(DATOS_[[AGRUP. VALOR. PTO.]:[AGRUP. VALOR. PTO.]]=$B93,IF(DATOS_[[Check Periodo Ref.]:[Check Periodo Ref.]]="Dentro",DATOS_[Conc.Sal.14]))))),
0)</f>
        <v>0</v>
      </c>
      <c r="T94" s="170">
        <f t="array" ref="T94">IFERROR(
AVERAGE((IF(DATOS_[[Sexo]:[Sexo]]=$B94,IF(DATOS_[[AGRUP. VALOR. PTO.]:[AGRUP. VALOR. PTO.]]=$B93,IF(DATOS_[[Check Periodo Ref.]:[Check Periodo Ref.]]="Dentro",DATOS_[Conc.Sal.15]))))),
0)</f>
        <v>0</v>
      </c>
      <c r="U94" s="170">
        <f t="array" ref="U94">IFERROR(
AVERAGE((IF(DATOS_[[Sexo]:[Sexo]]=$B94,IF(DATOS_[[AGRUP. VALOR. PTO.]:[AGRUP. VALOR. PTO.]]=$B93,IF(DATOS_[[Check Periodo Ref.]:[Check Periodo Ref.]]="Dentro",DATOS_[Conc.Sal.16]))))),
0)</f>
        <v>0</v>
      </c>
      <c r="V94" s="170">
        <f t="array" ref="V94">IFERROR(
AVERAGE((IF(DATOS_[[Sexo]:[Sexo]]=$B94,IF(DATOS_[[AGRUP. VALOR. PTO.]:[AGRUP. VALOR. PTO.]]=$B93,IF(DATOS_[[Check Periodo Ref.]:[Check Periodo Ref.]]="Dentro",DATOS_[Conc.Sal.17]))))),
0)</f>
        <v>0</v>
      </c>
      <c r="W94" s="170">
        <f t="array" ref="W94">IFERROR(
AVERAGE((IF(DATOS_[[Sexo]:[Sexo]]=$B94,IF(DATOS_[[AGRUP. VALOR. PTO.]:[AGRUP. VALOR. PTO.]]=$B93,IF(DATOS_[[Check Periodo Ref.]:[Check Periodo Ref.]]="Dentro",DATOS_[Conc.Sal.18]))))),
0)</f>
        <v>0</v>
      </c>
      <c r="X94" s="170">
        <f t="array" ref="X94">IFERROR(
AVERAGE((IF(DATOS_[[Sexo]:[Sexo]]=$B94,IF(DATOS_[[AGRUP. VALOR. PTO.]:[AGRUP. VALOR. PTO.]]=$B93,IF(DATOS_[[Check Periodo Ref.]:[Check Periodo Ref.]]="Dentro",DATOS_[Conc.Sal.19]))))),
0)</f>
        <v>0</v>
      </c>
      <c r="Y94" s="170">
        <f t="array" ref="Y94">IFERROR(
AVERAGE((IF(DATOS_[[Sexo]:[Sexo]]=$B94,IF(DATOS_[[AGRUP. VALOR. PTO.]:[AGRUP. VALOR. PTO.]]=$B93,IF(DATOS_[[Check Periodo Ref.]:[Check Periodo Ref.]]="Dentro",DATOS_[Conc.Sal.20]))))),
0)</f>
        <v>0</v>
      </c>
      <c r="Z94" s="170">
        <f t="array" ref="Z94">IFERROR(
AVERAGE((IF(DATOS_[[Sexo]:[Sexo]]=$B94,IF(DATOS_[[AGRUP. VALOR. PTO.]:[AGRUP. VALOR. PTO.]]=$B93,IF(DATOS_[[Check Periodo Ref.]:[Check Periodo Ref.]]="Dentro",DATOS_[Conc.Sal.21]))))),
0)</f>
        <v>0</v>
      </c>
      <c r="AA94" s="170">
        <f t="array" ref="AA94">IFERROR(
AVERAGE((IF(DATOS_[[Sexo]:[Sexo]]=$B94,IF(DATOS_[[AGRUP. VALOR. PTO.]:[AGRUP. VALOR. PTO.]]=$B93,IF(DATOS_[[Check Periodo Ref.]:[Check Periodo Ref.]]="Dentro",DATOS_[Conc.Sal.22]))))),
0)</f>
        <v>0</v>
      </c>
      <c r="AB94" s="170">
        <f t="array" ref="AB94">IFERROR(
AVERAGE((IF(DATOS_[[Sexo]:[Sexo]]=$B94,IF(DATOS_[[AGRUP. VALOR. PTO.]:[AGRUP. VALOR. PTO.]]=$B93,IF(DATOS_[[Check Periodo Ref.]:[Check Periodo Ref.]]="Dentro",DATOS_[Conc.Sal.23]))))),
0)</f>
        <v>0</v>
      </c>
      <c r="AC94" s="170">
        <f t="array" ref="AC94">IFERROR(
AVERAGE((IF(DATOS_[[Sexo]:[Sexo]]=$B94,IF(DATOS_[[AGRUP. VALOR. PTO.]:[AGRUP. VALOR. PTO.]]=$B93,IF(DATOS_[[Check Periodo Ref.]:[Check Periodo Ref.]]="Dentro",DATOS_[Conc.Sal.24]))))),
0)</f>
        <v>0</v>
      </c>
      <c r="AD94" s="170">
        <f t="array" ref="AD94">IFERROR(
AVERAGE((IF(DATOS_[[Sexo]:[Sexo]]=$B94,IF(DATOS_[[AGRUP. VALOR. PTO.]:[AGRUP. VALOR. PTO.]]=$B93,IF(DATOS_[[Check Periodo Ref.]:[Check Periodo Ref.]]="Dentro",DATOS_[Conc.Sal.25]))))),
0)</f>
        <v>0</v>
      </c>
      <c r="AE94" s="170">
        <f t="array" ref="AE94">IFERROR(
AVERAGE((IF(DATOS_[[Sexo]:[Sexo]]=$B94,IF(DATOS_[[AGRUP. VALOR. PTO.]:[AGRUP. VALOR. PTO.]]=$B93,IF(DATOS_[[Check Periodo Ref.]:[Check Periodo Ref.]]="Dentro",DATOS_[Conc.Sal.26]))))),
0)</f>
        <v>0</v>
      </c>
      <c r="AF94" s="170">
        <f t="array" ref="AF94">IFERROR(
AVERAGE((IF(DATOS_[[Sexo]:[Sexo]]=$B94,IF(DATOS_[[AGRUP. VALOR. PTO.]:[AGRUP. VALOR. PTO.]]=$B93,IF(DATOS_[[Check Periodo Ref.]:[Check Periodo Ref.]]="Dentro",DATOS_[Conc.Sal.27]))))),
0)</f>
        <v>0</v>
      </c>
      <c r="AG94" s="170">
        <f t="array" ref="AG94">IFERROR(
AVERAGE((IF(DATOS_[[Sexo]:[Sexo]]=$B94,IF(DATOS_[[AGRUP. VALOR. PTO.]:[AGRUP. VALOR. PTO.]]=$B93,IF(DATOS_[[Check Periodo Ref.]:[Check Periodo Ref.]]="Dentro",DATOS_[Conc.Sal.28]))))),
0)</f>
        <v>0</v>
      </c>
      <c r="AH94" s="170">
        <f t="array" ref="AH94">IFERROR(
AVERAGE((IF(DATOS_[[Sexo]:[Sexo]]=$B94,IF(DATOS_[[AGRUP. VALOR. PTO.]:[AGRUP. VALOR. PTO.]]=$B93,IF(DATOS_[[Check Periodo Ref.]:[Check Periodo Ref.]]="Dentro",DATOS_[Conc.Sal.29]))))),
0)</f>
        <v>0</v>
      </c>
      <c r="AI94" s="170">
        <f t="array" ref="AI94">IFERROR(
AVERAGE((IF(DATOS_[[Sexo]:[Sexo]]=$B94,IF(DATOS_[[AGRUP. VALOR. PTO.]:[AGRUP. VALOR. PTO.]]=$B93,IF(DATOS_[[Check Periodo Ref.]:[Check Periodo Ref.]]="Dentro",DATOS_[Conc.Sal.30]))))),
0)</f>
        <v>0</v>
      </c>
      <c r="AJ94" s="171">
        <f t="array" ref="AJ94">IFERROR(
AVERAGE(IF(DATOS_[Sexo]=$B94,IF(DATOS_[AGRUP. VALOR. PTO.]=$B93,IF(DATOS_[Check Periodo Ref.]="Dentro",DATOS_[Tot COMPL.SAL Ef],FALSE)))),
0)</f>
        <v>0</v>
      </c>
      <c r="AK94" s="172">
        <f t="array" ref="AK94">IFERROR(
AVERAGE(IF(DATOS_[Sexo]=$B94,IF(DATOS_[AGRUP. VALOR. PTO.]=$B93,IF(DATOS_[Check Periodo Ref.]="Dentro",DATOS_[TOTAL SALARIO Ef],FALSE)))),
0)</f>
        <v>0</v>
      </c>
      <c r="AL94" s="173">
        <f t="array" ref="AL94">IFERROR(
AVERAGE((IF(DATOS_[[Sexo]:[Sexo]]=$B94,IF(DATOS_[[AGRUP. VALOR. PTO.]:[AGRUP. VALOR. PTO.]]=$B93,IF(DATOS_[[Check Periodo Ref.]:[Check Periodo Ref.]]="Dentro",DATOS_[C.Extra.01]))))),
0)</f>
        <v>0</v>
      </c>
      <c r="AM94" s="173">
        <f t="array" ref="AM94">IFERROR(
AVERAGE((IF(DATOS_[[Sexo]:[Sexo]]=$B94,IF(DATOS_[[AGRUP. VALOR. PTO.]:[AGRUP. VALOR. PTO.]]=$B93,IF(DATOS_[[Check Periodo Ref.]:[Check Periodo Ref.]]="Dentro",DATOS_[C.Extra.06]))))),
0)</f>
        <v>0</v>
      </c>
      <c r="AN94" s="173">
        <f t="array" ref="AN94">IFERROR(
AVERAGE((IF(DATOS_[[Sexo]:[Sexo]]=$B94,IF(DATOS_[[AGRUP. VALOR. PTO.]:[AGRUP. VALOR. PTO.]]=$B93,IF(DATOS_[[Check Periodo Ref.]:[Check Periodo Ref.]]="Dentro",DATOS_[C.Extra.07]))))),
0)</f>
        <v>0</v>
      </c>
      <c r="AO94" s="173">
        <f t="array" ref="AO94">IFERROR(
AVERAGE((IF(DATOS_[[Sexo]:[Sexo]]=$B94,IF(DATOS_[[AGRUP. VALOR. PTO.]:[AGRUP. VALOR. PTO.]]=$B93,IF(DATOS_[[Check Periodo Ref.]:[Check Periodo Ref.]]="Dentro",DATOS_[C.Extra.08]))))),
0)</f>
        <v>0</v>
      </c>
      <c r="AP94" s="173">
        <f t="array" ref="AP94">IFERROR(
AVERAGE((IF(DATOS_[[Sexo]:[Sexo]]=$B94,IF(DATOS_[[AGRUP. VALOR. PTO.]:[AGRUP. VALOR. PTO.]]=$B93,IF(DATOS_[[Check Periodo Ref.]:[Check Periodo Ref.]]="Dentro",DATOS_[C.Extra.11]))))),
0)</f>
        <v>0</v>
      </c>
      <c r="AQ94" s="174">
        <f t="array" ref="AQ94">IFERROR(
AVERAGE(IF(DATOS_[Sexo]=$B94,IF(DATOS_[AGRUP. VALOR. PTO.]=$B93,IF(DATOS_[Check Periodo Ref.]="Dentro",DATOS_[Tot Extrasalarial Ef],FALSE)))),
0)</f>
        <v>0</v>
      </c>
      <c r="AR94" s="171">
        <f t="array" ref="AR94">IFERROR(
AVERAGE(IF(DATOS_[Sexo]=$B94,IF(DATOS_[AGRUP. VALOR. PTO.]=$B93,IF(DATOS_[Check Periodo Ref.]="Dentro",DATOS_[TOTAL Retrib Ef],FALSE)))),
0)</f>
        <v>0</v>
      </c>
    </row>
    <row r="95" spans="1:44" x14ac:dyDescent="0.25">
      <c r="A95" s="178" t="str">
        <f t="shared" ref="A95" si="110">+A94</f>
        <v>[ocultar]</v>
      </c>
      <c r="B95" s="166" t="s">
        <v>521</v>
      </c>
      <c r="C95" s="167">
        <f t="array" ref="C95">SUM(IF($B95=DATOS_[Sexo],
IF($B93=DATOS_[AGRUP. VALOR. PTO.],
IF("Dentro"=DATOS_[Check Periodo Ref.],
1/(COUNTIFS(DATOS_[Sexo],$B95,DATOS_[AGRUP. VALOR. PTO.],$B93,DATOS_[Check Periodo Ref.],"Dentro",DATOS_[id/cod],DATOS_[id/cod]))))))</f>
        <v>0</v>
      </c>
      <c r="D95" s="168">
        <f>COUNTIFS(DATOS_[AGRUP. VALOR. PTO.],$B93,DATOS_[Sexo],$B95,DATOS_[Check Periodo Ref.],"Dentro")</f>
        <v>0</v>
      </c>
      <c r="E95" s="169">
        <f t="array" ref="E95">IFERROR(
AVERAGE(IF(DATOS_[Sexo]=$B95,IF(DATOS_[AGRUP. VALOR. PTO.]=$B93,IF(DATOS_[Check Periodo Ref.]="Dentro",DATOS_[SALARIO BASE Ef],FALSE)))),
0)</f>
        <v>0</v>
      </c>
      <c r="F95" s="170">
        <f t="array" ref="F95">IFERROR(
AVERAGE((IF(DATOS_[[Sexo]:[Sexo]]=$B95,IF(DATOS_[[AGRUP. VALOR. PTO.]:[AGRUP. VALOR. PTO.]]=$B93,IF(DATOS_[[Check Periodo Ref.]:[Check Periodo Ref.]]="Dentro",DATOS_[Conc.Sal.01]))))),
0)</f>
        <v>0</v>
      </c>
      <c r="G95" s="170">
        <f t="array" ref="G95">IFERROR(
AVERAGE((IF(DATOS_[[Sexo]:[Sexo]]=$B95,IF(DATOS_[[AGRUP. VALOR. PTO.]:[AGRUP. VALOR. PTO.]]=$B93,IF(DATOS_[[Check Periodo Ref.]:[Check Periodo Ref.]]="Dentro",DATOS_[Conc.Sal.02]))))),
0)</f>
        <v>0</v>
      </c>
      <c r="H95" s="170">
        <f t="array" ref="H95">IFERROR(
AVERAGE((IF(DATOS_[[Sexo]:[Sexo]]=$B95,IF(DATOS_[[AGRUP. VALOR. PTO.]:[AGRUP. VALOR. PTO.]]=$B93,IF(DATOS_[[Check Periodo Ref.]:[Check Periodo Ref.]]="Dentro",DATOS_[Conc.Sal.03]))))),
0)</f>
        <v>0</v>
      </c>
      <c r="I95" s="170">
        <f t="array" ref="I95">IFERROR(
AVERAGE((IF(DATOS_[[Sexo]:[Sexo]]=$B95,IF(DATOS_[[AGRUP. VALOR. PTO.]:[AGRUP. VALOR. PTO.]]=$B93,IF(DATOS_[[Check Periodo Ref.]:[Check Periodo Ref.]]="Dentro",DATOS_[Conc.Sal.04]))))),
0)</f>
        <v>0</v>
      </c>
      <c r="J95" s="170">
        <f t="array" ref="J95">IFERROR(
AVERAGE((IF(DATOS_[[Sexo]:[Sexo]]=$B95,IF(DATOS_[[AGRUP. VALOR. PTO.]:[AGRUP. VALOR. PTO.]]=$B93,IF(DATOS_[[Check Periodo Ref.]:[Check Periodo Ref.]]="Dentro",DATOS_[Conc.Sal.05]))))),
0)</f>
        <v>0</v>
      </c>
      <c r="K95" s="170">
        <f t="array" ref="K95">IFERROR(
AVERAGE((IF(DATOS_[[Sexo]:[Sexo]]=$B95,IF(DATOS_[[AGRUP. VALOR. PTO.]:[AGRUP. VALOR. PTO.]]=$B93,IF(DATOS_[[Check Periodo Ref.]:[Check Periodo Ref.]]="Dentro",DATOS_[Conc.Sal.06]))))),
0)</f>
        <v>0</v>
      </c>
      <c r="L95" s="170">
        <f t="array" ref="L95">IFERROR(
AVERAGE((IF(DATOS_[[Sexo]:[Sexo]]=$B95,IF(DATOS_[[AGRUP. VALOR. PTO.]:[AGRUP. VALOR. PTO.]]=$B93,IF(DATOS_[[Check Periodo Ref.]:[Check Periodo Ref.]]="Dentro",DATOS_[Conc.Sal.07]))))),
0)</f>
        <v>0</v>
      </c>
      <c r="M95" s="170">
        <f t="array" ref="M95">IFERROR(
AVERAGE((IF(DATOS_[[Sexo]:[Sexo]]=$B95,IF(DATOS_[[AGRUP. VALOR. PTO.]:[AGRUP. VALOR. PTO.]]=$B93,IF(DATOS_[[Check Periodo Ref.]:[Check Periodo Ref.]]="Dentro",DATOS_[Conc.Sal.08]))))),
0)</f>
        <v>0</v>
      </c>
      <c r="N95" s="170">
        <f t="array" ref="N95">IFERROR(
AVERAGE((IF(DATOS_[[Sexo]:[Sexo]]=$B95,IF(DATOS_[[AGRUP. VALOR. PTO.]:[AGRUP. VALOR. PTO.]]=$B93,IF(DATOS_[[Check Periodo Ref.]:[Check Periodo Ref.]]="Dentro",DATOS_[Conc.Sal.09]))))),
0)</f>
        <v>0</v>
      </c>
      <c r="O95" s="170">
        <f t="array" ref="O95">IFERROR(
AVERAGE((IF(DATOS_[[Sexo]:[Sexo]]=$B95,IF(DATOS_[[AGRUP. VALOR. PTO.]:[AGRUP. VALOR. PTO.]]=$B93,IF(DATOS_[[Check Periodo Ref.]:[Check Periodo Ref.]]="Dentro",DATOS_[Conc.Sal.10]))))),
0)</f>
        <v>0</v>
      </c>
      <c r="P95" s="170">
        <f t="array" ref="P95">IFERROR(
AVERAGE((IF(DATOS_[[Sexo]:[Sexo]]=$B95,IF(DATOS_[[AGRUP. VALOR. PTO.]:[AGRUP. VALOR. PTO.]]=$B93,IF(DATOS_[[Check Periodo Ref.]:[Check Periodo Ref.]]="Dentro",DATOS_[Conc.Sal.11]))))),
0)</f>
        <v>0</v>
      </c>
      <c r="Q95" s="170">
        <f t="array" ref="Q95">IFERROR(
AVERAGE((IF(DATOS_[[Sexo]:[Sexo]]=$B95,IF(DATOS_[[AGRUP. VALOR. PTO.]:[AGRUP. VALOR. PTO.]]=$B93,IF(DATOS_[[Check Periodo Ref.]:[Check Periodo Ref.]]="Dentro",DATOS_[Conc.Sal.12]))))),
0)</f>
        <v>0</v>
      </c>
      <c r="R95" s="170">
        <f t="array" ref="R95">IFERROR(
AVERAGE((IF(DATOS_[[Sexo]:[Sexo]]=$B95,IF(DATOS_[[AGRUP. VALOR. PTO.]:[AGRUP. VALOR. PTO.]]=$B93,IF(DATOS_[[Check Periodo Ref.]:[Check Periodo Ref.]]="Dentro",DATOS_[Conc.Sal.13]))))),
0)</f>
        <v>0</v>
      </c>
      <c r="S95" s="170">
        <f t="array" ref="S95">IFERROR(
AVERAGE((IF(DATOS_[[Sexo]:[Sexo]]=$B95,IF(DATOS_[[AGRUP. VALOR. PTO.]:[AGRUP. VALOR. PTO.]]=$B93,IF(DATOS_[[Check Periodo Ref.]:[Check Periodo Ref.]]="Dentro",DATOS_[Conc.Sal.14]))))),
0)</f>
        <v>0</v>
      </c>
      <c r="T95" s="170">
        <f t="array" ref="T95">IFERROR(
AVERAGE((IF(DATOS_[[Sexo]:[Sexo]]=$B95,IF(DATOS_[[AGRUP. VALOR. PTO.]:[AGRUP. VALOR. PTO.]]=$B93,IF(DATOS_[[Check Periodo Ref.]:[Check Periodo Ref.]]="Dentro",DATOS_[Conc.Sal.15]))))),
0)</f>
        <v>0</v>
      </c>
      <c r="U95" s="170">
        <f t="array" ref="U95">IFERROR(
AVERAGE((IF(DATOS_[[Sexo]:[Sexo]]=$B95,IF(DATOS_[[AGRUP. VALOR. PTO.]:[AGRUP. VALOR. PTO.]]=$B93,IF(DATOS_[[Check Periodo Ref.]:[Check Periodo Ref.]]="Dentro",DATOS_[Conc.Sal.16]))))),
0)</f>
        <v>0</v>
      </c>
      <c r="V95" s="170">
        <f t="array" ref="V95">IFERROR(
AVERAGE((IF(DATOS_[[Sexo]:[Sexo]]=$B95,IF(DATOS_[[AGRUP. VALOR. PTO.]:[AGRUP. VALOR. PTO.]]=$B93,IF(DATOS_[[Check Periodo Ref.]:[Check Periodo Ref.]]="Dentro",DATOS_[Conc.Sal.17]))))),
0)</f>
        <v>0</v>
      </c>
      <c r="W95" s="170">
        <f t="array" ref="W95">IFERROR(
AVERAGE((IF(DATOS_[[Sexo]:[Sexo]]=$B95,IF(DATOS_[[AGRUP. VALOR. PTO.]:[AGRUP. VALOR. PTO.]]=$B93,IF(DATOS_[[Check Periodo Ref.]:[Check Periodo Ref.]]="Dentro",DATOS_[Conc.Sal.18]))))),
0)</f>
        <v>0</v>
      </c>
      <c r="X95" s="170">
        <f t="array" ref="X95">IFERROR(
AVERAGE((IF(DATOS_[[Sexo]:[Sexo]]=$B95,IF(DATOS_[[AGRUP. VALOR. PTO.]:[AGRUP. VALOR. PTO.]]=$B93,IF(DATOS_[[Check Periodo Ref.]:[Check Periodo Ref.]]="Dentro",DATOS_[Conc.Sal.19]))))),
0)</f>
        <v>0</v>
      </c>
      <c r="Y95" s="170">
        <f t="array" ref="Y95">IFERROR(
AVERAGE((IF(DATOS_[[Sexo]:[Sexo]]=$B95,IF(DATOS_[[AGRUP. VALOR. PTO.]:[AGRUP. VALOR. PTO.]]=$B93,IF(DATOS_[[Check Periodo Ref.]:[Check Periodo Ref.]]="Dentro",DATOS_[Conc.Sal.20]))))),
0)</f>
        <v>0</v>
      </c>
      <c r="Z95" s="170">
        <f t="array" ref="Z95">IFERROR(
AVERAGE((IF(DATOS_[[Sexo]:[Sexo]]=$B95,IF(DATOS_[[AGRUP. VALOR. PTO.]:[AGRUP. VALOR. PTO.]]=$B93,IF(DATOS_[[Check Periodo Ref.]:[Check Periodo Ref.]]="Dentro",DATOS_[Conc.Sal.21]))))),
0)</f>
        <v>0</v>
      </c>
      <c r="AA95" s="170">
        <f t="array" ref="AA95">IFERROR(
AVERAGE((IF(DATOS_[[Sexo]:[Sexo]]=$B95,IF(DATOS_[[AGRUP. VALOR. PTO.]:[AGRUP. VALOR. PTO.]]=$B93,IF(DATOS_[[Check Periodo Ref.]:[Check Periodo Ref.]]="Dentro",DATOS_[Conc.Sal.22]))))),
0)</f>
        <v>0</v>
      </c>
      <c r="AB95" s="170">
        <f t="array" ref="AB95">IFERROR(
AVERAGE((IF(DATOS_[[Sexo]:[Sexo]]=$B95,IF(DATOS_[[AGRUP. VALOR. PTO.]:[AGRUP. VALOR. PTO.]]=$B93,IF(DATOS_[[Check Periodo Ref.]:[Check Periodo Ref.]]="Dentro",DATOS_[Conc.Sal.23]))))),
0)</f>
        <v>0</v>
      </c>
      <c r="AC95" s="170">
        <f t="array" ref="AC95">IFERROR(
AVERAGE((IF(DATOS_[[Sexo]:[Sexo]]=$B95,IF(DATOS_[[AGRUP. VALOR. PTO.]:[AGRUP. VALOR. PTO.]]=$B93,IF(DATOS_[[Check Periodo Ref.]:[Check Periodo Ref.]]="Dentro",DATOS_[Conc.Sal.24]))))),
0)</f>
        <v>0</v>
      </c>
      <c r="AD95" s="170">
        <f t="array" ref="AD95">IFERROR(
AVERAGE((IF(DATOS_[[Sexo]:[Sexo]]=$B95,IF(DATOS_[[AGRUP. VALOR. PTO.]:[AGRUP. VALOR. PTO.]]=$B93,IF(DATOS_[[Check Periodo Ref.]:[Check Periodo Ref.]]="Dentro",DATOS_[Conc.Sal.25]))))),
0)</f>
        <v>0</v>
      </c>
      <c r="AE95" s="170">
        <f t="array" ref="AE95">IFERROR(
AVERAGE((IF(DATOS_[[Sexo]:[Sexo]]=$B95,IF(DATOS_[[AGRUP. VALOR. PTO.]:[AGRUP. VALOR. PTO.]]=$B93,IF(DATOS_[[Check Periodo Ref.]:[Check Periodo Ref.]]="Dentro",DATOS_[Conc.Sal.26]))))),
0)</f>
        <v>0</v>
      </c>
      <c r="AF95" s="170">
        <f t="array" ref="AF95">IFERROR(
AVERAGE((IF(DATOS_[[Sexo]:[Sexo]]=$B95,IF(DATOS_[[AGRUP. VALOR. PTO.]:[AGRUP. VALOR. PTO.]]=$B93,IF(DATOS_[[Check Periodo Ref.]:[Check Periodo Ref.]]="Dentro",DATOS_[Conc.Sal.27]))))),
0)</f>
        <v>0</v>
      </c>
      <c r="AG95" s="170">
        <f t="array" ref="AG95">IFERROR(
AVERAGE((IF(DATOS_[[Sexo]:[Sexo]]=$B95,IF(DATOS_[[AGRUP. VALOR. PTO.]:[AGRUP. VALOR. PTO.]]=$B93,IF(DATOS_[[Check Periodo Ref.]:[Check Periodo Ref.]]="Dentro",DATOS_[Conc.Sal.28]))))),
0)</f>
        <v>0</v>
      </c>
      <c r="AH95" s="170">
        <f t="array" ref="AH95">IFERROR(
AVERAGE((IF(DATOS_[[Sexo]:[Sexo]]=$B95,IF(DATOS_[[AGRUP. VALOR. PTO.]:[AGRUP. VALOR. PTO.]]=$B93,IF(DATOS_[[Check Periodo Ref.]:[Check Periodo Ref.]]="Dentro",DATOS_[Conc.Sal.29]))))),
0)</f>
        <v>0</v>
      </c>
      <c r="AI95" s="170">
        <f t="array" ref="AI95">IFERROR(
AVERAGE((IF(DATOS_[[Sexo]:[Sexo]]=$B95,IF(DATOS_[[AGRUP. VALOR. PTO.]:[AGRUP. VALOR. PTO.]]=$B93,IF(DATOS_[[Check Periodo Ref.]:[Check Periodo Ref.]]="Dentro",DATOS_[Conc.Sal.30]))))),
0)</f>
        <v>0</v>
      </c>
      <c r="AJ95" s="171">
        <f t="array" ref="AJ95">IFERROR(
AVERAGE(IF(DATOS_[Sexo]=$B95,IF(DATOS_[AGRUP. VALOR. PTO.]=$B93,IF(DATOS_[Check Periodo Ref.]="Dentro",DATOS_[Tot COMPL.SAL Ef],FALSE)))),
0)</f>
        <v>0</v>
      </c>
      <c r="AK95" s="172">
        <f t="array" ref="AK95">IFERROR(
AVERAGE(IF(DATOS_[Sexo]=$B95,IF(DATOS_[AGRUP. VALOR. PTO.]=$B93,IF(DATOS_[Check Periodo Ref.]="Dentro",DATOS_[TOTAL SALARIO Ef],FALSE)))),
0)</f>
        <v>0</v>
      </c>
      <c r="AL95" s="173">
        <f t="array" ref="AL95">IFERROR(
AVERAGE((IF(DATOS_[[Sexo]:[Sexo]]=$B95,IF(DATOS_[[AGRUP. VALOR. PTO.]:[AGRUP. VALOR. PTO.]]=$B93,IF(DATOS_[[Check Periodo Ref.]:[Check Periodo Ref.]]="Dentro",DATOS_[C.Extra.01]))))),
0)</f>
        <v>0</v>
      </c>
      <c r="AM95" s="173">
        <f t="array" ref="AM95">IFERROR(
AVERAGE((IF(DATOS_[[Sexo]:[Sexo]]=$B95,IF(DATOS_[[AGRUP. VALOR. PTO.]:[AGRUP. VALOR. PTO.]]=$B93,IF(DATOS_[[Check Periodo Ref.]:[Check Periodo Ref.]]="Dentro",DATOS_[C.Extra.06]))))),
0)</f>
        <v>0</v>
      </c>
      <c r="AN95" s="173">
        <f t="array" ref="AN95">IFERROR(
AVERAGE((IF(DATOS_[[Sexo]:[Sexo]]=$B95,IF(DATOS_[[AGRUP. VALOR. PTO.]:[AGRUP. VALOR. PTO.]]=$B93,IF(DATOS_[[Check Periodo Ref.]:[Check Periodo Ref.]]="Dentro",DATOS_[C.Extra.07]))))),
0)</f>
        <v>0</v>
      </c>
      <c r="AO95" s="173">
        <f t="array" ref="AO95">IFERROR(
AVERAGE((IF(DATOS_[[Sexo]:[Sexo]]=$B95,IF(DATOS_[[AGRUP. VALOR. PTO.]:[AGRUP. VALOR. PTO.]]=$B93,IF(DATOS_[[Check Periodo Ref.]:[Check Periodo Ref.]]="Dentro",DATOS_[C.Extra.08]))))),
0)</f>
        <v>0</v>
      </c>
      <c r="AP95" s="173">
        <f t="array" ref="AP95">IFERROR(
AVERAGE((IF(DATOS_[[Sexo]:[Sexo]]=$B95,IF(DATOS_[[AGRUP. VALOR. PTO.]:[AGRUP. VALOR. PTO.]]=$B93,IF(DATOS_[[Check Periodo Ref.]:[Check Periodo Ref.]]="Dentro",DATOS_[C.Extra.11]))))),
0)</f>
        <v>0</v>
      </c>
      <c r="AQ95" s="174">
        <f t="array" ref="AQ95">IFERROR(
AVERAGE(IF(DATOS_[Sexo]=$B95,IF(DATOS_[AGRUP. VALOR. PTO.]=$B93,IF(DATOS_[Check Periodo Ref.]="Dentro",DATOS_[Tot Extrasalarial Ef],FALSE)))),
0)</f>
        <v>0</v>
      </c>
      <c r="AR95" s="171">
        <f t="array" ref="AR95">IFERROR(
AVERAGE(IF(DATOS_[Sexo]=$B95,IF(DATOS_[AGRUP. VALOR. PTO.]=$B93,IF(DATOS_[Check Periodo Ref.]="Dentro",DATOS_[TOTAL Retrib Ef],FALSE)))),
0)</f>
        <v>0</v>
      </c>
    </row>
    <row r="96" spans="1:44" ht="14.4" thickBot="1" x14ac:dyDescent="0.3">
      <c r="A96" s="178" t="str">
        <f t="shared" ref="A96" si="111">+A97</f>
        <v>[ocultar]</v>
      </c>
      <c r="B96" s="153" t="s">
        <v>284</v>
      </c>
      <c r="C96" s="154"/>
      <c r="D96" s="155"/>
      <c r="E96" s="156" t="str">
        <f t="shared" ref="E96:AR96" si="112">IFERROR((E97-E98)/E97,"")</f>
        <v/>
      </c>
      <c r="F96" s="157" t="str">
        <f t="shared" si="112"/>
        <v/>
      </c>
      <c r="G96" s="158" t="str">
        <f t="shared" si="112"/>
        <v/>
      </c>
      <c r="H96" s="158" t="str">
        <f t="shared" si="112"/>
        <v/>
      </c>
      <c r="I96" s="158" t="str">
        <f t="shared" si="112"/>
        <v/>
      </c>
      <c r="J96" s="159" t="str">
        <f t="shared" si="112"/>
        <v/>
      </c>
      <c r="K96" s="160" t="str">
        <f t="shared" si="112"/>
        <v/>
      </c>
      <c r="L96" s="160" t="str">
        <f t="shared" si="112"/>
        <v/>
      </c>
      <c r="M96" s="160" t="str">
        <f t="shared" si="112"/>
        <v/>
      </c>
      <c r="N96" s="160" t="str">
        <f t="shared" si="112"/>
        <v/>
      </c>
      <c r="O96" s="160" t="str">
        <f t="shared" si="112"/>
        <v/>
      </c>
      <c r="P96" s="160" t="str">
        <f t="shared" si="112"/>
        <v/>
      </c>
      <c r="Q96" s="160" t="str">
        <f t="shared" si="112"/>
        <v/>
      </c>
      <c r="R96" s="160" t="str">
        <f t="shared" si="112"/>
        <v/>
      </c>
      <c r="S96" s="160" t="str">
        <f t="shared" si="112"/>
        <v/>
      </c>
      <c r="T96" s="160" t="str">
        <f t="shared" si="112"/>
        <v/>
      </c>
      <c r="U96" s="160" t="str">
        <f t="shared" si="112"/>
        <v/>
      </c>
      <c r="V96" s="159" t="str">
        <f t="shared" si="112"/>
        <v/>
      </c>
      <c r="W96" s="159" t="str">
        <f t="shared" si="112"/>
        <v/>
      </c>
      <c r="X96" s="159" t="str">
        <f t="shared" si="112"/>
        <v/>
      </c>
      <c r="Y96" s="159" t="str">
        <f t="shared" si="112"/>
        <v/>
      </c>
      <c r="Z96" s="159" t="str">
        <f t="shared" si="112"/>
        <v/>
      </c>
      <c r="AA96" s="159" t="str">
        <f t="shared" si="112"/>
        <v/>
      </c>
      <c r="AB96" s="159" t="str">
        <f t="shared" si="112"/>
        <v/>
      </c>
      <c r="AC96" s="159" t="str">
        <f t="shared" si="112"/>
        <v/>
      </c>
      <c r="AD96" s="159" t="str">
        <f t="shared" si="112"/>
        <v/>
      </c>
      <c r="AE96" s="159" t="str">
        <f t="shared" si="112"/>
        <v/>
      </c>
      <c r="AF96" s="159" t="str">
        <f t="shared" si="112"/>
        <v/>
      </c>
      <c r="AG96" s="159" t="str">
        <f t="shared" si="112"/>
        <v/>
      </c>
      <c r="AH96" s="159" t="str">
        <f t="shared" si="112"/>
        <v/>
      </c>
      <c r="AI96" s="159" t="str">
        <f t="shared" si="112"/>
        <v/>
      </c>
      <c r="AJ96" s="161" t="str">
        <f t="shared" si="112"/>
        <v/>
      </c>
      <c r="AK96" s="162" t="str">
        <f t="shared" si="112"/>
        <v/>
      </c>
      <c r="AL96" s="163" t="str">
        <f t="shared" si="112"/>
        <v/>
      </c>
      <c r="AM96" s="163" t="str">
        <f t="shared" si="112"/>
        <v/>
      </c>
      <c r="AN96" s="163" t="str">
        <f t="shared" si="112"/>
        <v/>
      </c>
      <c r="AO96" s="163" t="str">
        <f t="shared" si="112"/>
        <v/>
      </c>
      <c r="AP96" s="163" t="str">
        <f t="shared" si="112"/>
        <v/>
      </c>
      <c r="AQ96" s="164" t="str">
        <f t="shared" si="112"/>
        <v/>
      </c>
      <c r="AR96" s="161" t="str">
        <f t="shared" si="112"/>
        <v/>
      </c>
    </row>
    <row r="97" spans="1:44" x14ac:dyDescent="0.25">
      <c r="A97" s="178" t="str">
        <f t="shared" ref="A97" si="113">+IF(C97+C98=0,"[ocultar]","")</f>
        <v>[ocultar]</v>
      </c>
      <c r="B97" s="166" t="s">
        <v>394</v>
      </c>
      <c r="C97" s="167">
        <f t="array" ref="C97">SUM(IF($B97=DATOS_[Sexo],
IF($B96=DATOS_[AGRUP. VALOR. PTO.],
IF("Dentro"=DATOS_[Check Periodo Ref.],
1/(COUNTIFS(DATOS_[Sexo],$B97,DATOS_[AGRUP. VALOR. PTO.],$B96,DATOS_[Check Periodo Ref.],"Dentro",DATOS_[id/cod],DATOS_[id/cod]))))))</f>
        <v>0</v>
      </c>
      <c r="D97" s="168">
        <f>COUNTIFS(DATOS_[AGRUP. VALOR. PTO.],$B96,DATOS_[Sexo],$B97,DATOS_[Check Periodo Ref.],"Dentro")</f>
        <v>0</v>
      </c>
      <c r="E97" s="169">
        <f t="array" ref="E97">IFERROR(
AVERAGE(IF(DATOS_[Sexo]=$B97,IF(DATOS_[AGRUP. VALOR. PTO.]=$B96,IF(DATOS_[Check Periodo Ref.]="Dentro",DATOS_[SALARIO BASE Ef],FALSE)))),
0)</f>
        <v>0</v>
      </c>
      <c r="F97" s="170">
        <f t="array" ref="F97">IFERROR(
AVERAGE((IF(DATOS_[[Sexo]:[Sexo]]=$B97,IF(DATOS_[[AGRUP. VALOR. PTO.]:[AGRUP. VALOR. PTO.]]=$B96,IF(DATOS_[[Check Periodo Ref.]:[Check Periodo Ref.]]="Dentro",DATOS_[Conc.Sal.01]))))),
0)</f>
        <v>0</v>
      </c>
      <c r="G97" s="170">
        <f t="array" ref="G97">IFERROR(
AVERAGE((IF(DATOS_[[Sexo]:[Sexo]]=$B97,IF(DATOS_[[AGRUP. VALOR. PTO.]:[AGRUP. VALOR. PTO.]]=$B96,IF(DATOS_[[Check Periodo Ref.]:[Check Periodo Ref.]]="Dentro",DATOS_[Conc.Sal.02]))))),
0)</f>
        <v>0</v>
      </c>
      <c r="H97" s="170">
        <f t="array" ref="H97">IFERROR(
AVERAGE((IF(DATOS_[[Sexo]:[Sexo]]=$B97,IF(DATOS_[[AGRUP. VALOR. PTO.]:[AGRUP. VALOR. PTO.]]=$B96,IF(DATOS_[[Check Periodo Ref.]:[Check Periodo Ref.]]="Dentro",DATOS_[Conc.Sal.03]))))),
0)</f>
        <v>0</v>
      </c>
      <c r="I97" s="170">
        <f t="array" ref="I97">IFERROR(
AVERAGE((IF(DATOS_[[Sexo]:[Sexo]]=$B97,IF(DATOS_[[AGRUP. VALOR. PTO.]:[AGRUP. VALOR. PTO.]]=$B96,IF(DATOS_[[Check Periodo Ref.]:[Check Periodo Ref.]]="Dentro",DATOS_[Conc.Sal.04]))))),
0)</f>
        <v>0</v>
      </c>
      <c r="J97" s="170">
        <f t="array" ref="J97">IFERROR(
AVERAGE((IF(DATOS_[[Sexo]:[Sexo]]=$B97,IF(DATOS_[[AGRUP. VALOR. PTO.]:[AGRUP. VALOR. PTO.]]=$B96,IF(DATOS_[[Check Periodo Ref.]:[Check Periodo Ref.]]="Dentro",DATOS_[Conc.Sal.05]))))),
0)</f>
        <v>0</v>
      </c>
      <c r="K97" s="170">
        <f t="array" ref="K97">IFERROR(
AVERAGE((IF(DATOS_[[Sexo]:[Sexo]]=$B97,IF(DATOS_[[AGRUP. VALOR. PTO.]:[AGRUP. VALOR. PTO.]]=$B96,IF(DATOS_[[Check Periodo Ref.]:[Check Periodo Ref.]]="Dentro",DATOS_[Conc.Sal.06]))))),
0)</f>
        <v>0</v>
      </c>
      <c r="L97" s="170">
        <f t="array" ref="L97">IFERROR(
AVERAGE((IF(DATOS_[[Sexo]:[Sexo]]=$B97,IF(DATOS_[[AGRUP. VALOR. PTO.]:[AGRUP. VALOR. PTO.]]=$B96,IF(DATOS_[[Check Periodo Ref.]:[Check Periodo Ref.]]="Dentro",DATOS_[Conc.Sal.07]))))),
0)</f>
        <v>0</v>
      </c>
      <c r="M97" s="170">
        <f t="array" ref="M97">IFERROR(
AVERAGE((IF(DATOS_[[Sexo]:[Sexo]]=$B97,IF(DATOS_[[AGRUP. VALOR. PTO.]:[AGRUP. VALOR. PTO.]]=$B96,IF(DATOS_[[Check Periodo Ref.]:[Check Periodo Ref.]]="Dentro",DATOS_[Conc.Sal.08]))))),
0)</f>
        <v>0</v>
      </c>
      <c r="N97" s="170">
        <f t="array" ref="N97">IFERROR(
AVERAGE((IF(DATOS_[[Sexo]:[Sexo]]=$B97,IF(DATOS_[[AGRUP. VALOR. PTO.]:[AGRUP. VALOR. PTO.]]=$B96,IF(DATOS_[[Check Periodo Ref.]:[Check Periodo Ref.]]="Dentro",DATOS_[Conc.Sal.09]))))),
0)</f>
        <v>0</v>
      </c>
      <c r="O97" s="170">
        <f t="array" ref="O97">IFERROR(
AVERAGE((IF(DATOS_[[Sexo]:[Sexo]]=$B97,IF(DATOS_[[AGRUP. VALOR. PTO.]:[AGRUP. VALOR. PTO.]]=$B96,IF(DATOS_[[Check Periodo Ref.]:[Check Periodo Ref.]]="Dentro",DATOS_[Conc.Sal.10]))))),
0)</f>
        <v>0</v>
      </c>
      <c r="P97" s="170">
        <f t="array" ref="P97">IFERROR(
AVERAGE((IF(DATOS_[[Sexo]:[Sexo]]=$B97,IF(DATOS_[[AGRUP. VALOR. PTO.]:[AGRUP. VALOR. PTO.]]=$B96,IF(DATOS_[[Check Periodo Ref.]:[Check Periodo Ref.]]="Dentro",DATOS_[Conc.Sal.11]))))),
0)</f>
        <v>0</v>
      </c>
      <c r="Q97" s="170">
        <f t="array" ref="Q97">IFERROR(
AVERAGE((IF(DATOS_[[Sexo]:[Sexo]]=$B97,IF(DATOS_[[AGRUP. VALOR. PTO.]:[AGRUP. VALOR. PTO.]]=$B96,IF(DATOS_[[Check Periodo Ref.]:[Check Periodo Ref.]]="Dentro",DATOS_[Conc.Sal.12]))))),
0)</f>
        <v>0</v>
      </c>
      <c r="R97" s="170">
        <f t="array" ref="R97">IFERROR(
AVERAGE((IF(DATOS_[[Sexo]:[Sexo]]=$B97,IF(DATOS_[[AGRUP. VALOR. PTO.]:[AGRUP. VALOR. PTO.]]=$B96,IF(DATOS_[[Check Periodo Ref.]:[Check Periodo Ref.]]="Dentro",DATOS_[Conc.Sal.13]))))),
0)</f>
        <v>0</v>
      </c>
      <c r="S97" s="170">
        <f t="array" ref="S97">IFERROR(
AVERAGE((IF(DATOS_[[Sexo]:[Sexo]]=$B97,IF(DATOS_[[AGRUP. VALOR. PTO.]:[AGRUP. VALOR. PTO.]]=$B96,IF(DATOS_[[Check Periodo Ref.]:[Check Periodo Ref.]]="Dentro",DATOS_[Conc.Sal.14]))))),
0)</f>
        <v>0</v>
      </c>
      <c r="T97" s="170">
        <f t="array" ref="T97">IFERROR(
AVERAGE((IF(DATOS_[[Sexo]:[Sexo]]=$B97,IF(DATOS_[[AGRUP. VALOR. PTO.]:[AGRUP. VALOR. PTO.]]=$B96,IF(DATOS_[[Check Periodo Ref.]:[Check Periodo Ref.]]="Dentro",DATOS_[Conc.Sal.15]))))),
0)</f>
        <v>0</v>
      </c>
      <c r="U97" s="170">
        <f t="array" ref="U97">IFERROR(
AVERAGE((IF(DATOS_[[Sexo]:[Sexo]]=$B97,IF(DATOS_[[AGRUP. VALOR. PTO.]:[AGRUP. VALOR. PTO.]]=$B96,IF(DATOS_[[Check Periodo Ref.]:[Check Periodo Ref.]]="Dentro",DATOS_[Conc.Sal.16]))))),
0)</f>
        <v>0</v>
      </c>
      <c r="V97" s="170">
        <f t="array" ref="V97">IFERROR(
AVERAGE((IF(DATOS_[[Sexo]:[Sexo]]=$B97,IF(DATOS_[[AGRUP. VALOR. PTO.]:[AGRUP. VALOR. PTO.]]=$B96,IF(DATOS_[[Check Periodo Ref.]:[Check Periodo Ref.]]="Dentro",DATOS_[Conc.Sal.17]))))),
0)</f>
        <v>0</v>
      </c>
      <c r="W97" s="170">
        <f t="array" ref="W97">IFERROR(
AVERAGE((IF(DATOS_[[Sexo]:[Sexo]]=$B97,IF(DATOS_[[AGRUP. VALOR. PTO.]:[AGRUP. VALOR. PTO.]]=$B96,IF(DATOS_[[Check Periodo Ref.]:[Check Periodo Ref.]]="Dentro",DATOS_[Conc.Sal.18]))))),
0)</f>
        <v>0</v>
      </c>
      <c r="X97" s="170">
        <f t="array" ref="X97">IFERROR(
AVERAGE((IF(DATOS_[[Sexo]:[Sexo]]=$B97,IF(DATOS_[[AGRUP. VALOR. PTO.]:[AGRUP. VALOR. PTO.]]=$B96,IF(DATOS_[[Check Periodo Ref.]:[Check Periodo Ref.]]="Dentro",DATOS_[Conc.Sal.19]))))),
0)</f>
        <v>0</v>
      </c>
      <c r="Y97" s="170">
        <f t="array" ref="Y97">IFERROR(
AVERAGE((IF(DATOS_[[Sexo]:[Sexo]]=$B97,IF(DATOS_[[AGRUP. VALOR. PTO.]:[AGRUP. VALOR. PTO.]]=$B96,IF(DATOS_[[Check Periodo Ref.]:[Check Periodo Ref.]]="Dentro",DATOS_[Conc.Sal.20]))))),
0)</f>
        <v>0</v>
      </c>
      <c r="Z97" s="170">
        <f t="array" ref="Z97">IFERROR(
AVERAGE((IF(DATOS_[[Sexo]:[Sexo]]=$B97,IF(DATOS_[[AGRUP. VALOR. PTO.]:[AGRUP. VALOR. PTO.]]=$B96,IF(DATOS_[[Check Periodo Ref.]:[Check Periodo Ref.]]="Dentro",DATOS_[Conc.Sal.21]))))),
0)</f>
        <v>0</v>
      </c>
      <c r="AA97" s="170">
        <f t="array" ref="AA97">IFERROR(
AVERAGE((IF(DATOS_[[Sexo]:[Sexo]]=$B97,IF(DATOS_[[AGRUP. VALOR. PTO.]:[AGRUP. VALOR. PTO.]]=$B96,IF(DATOS_[[Check Periodo Ref.]:[Check Periodo Ref.]]="Dentro",DATOS_[Conc.Sal.22]))))),
0)</f>
        <v>0</v>
      </c>
      <c r="AB97" s="170">
        <f t="array" ref="AB97">IFERROR(
AVERAGE((IF(DATOS_[[Sexo]:[Sexo]]=$B97,IF(DATOS_[[AGRUP. VALOR. PTO.]:[AGRUP. VALOR. PTO.]]=$B96,IF(DATOS_[[Check Periodo Ref.]:[Check Periodo Ref.]]="Dentro",DATOS_[Conc.Sal.23]))))),
0)</f>
        <v>0</v>
      </c>
      <c r="AC97" s="170">
        <f t="array" ref="AC97">IFERROR(
AVERAGE((IF(DATOS_[[Sexo]:[Sexo]]=$B97,IF(DATOS_[[AGRUP. VALOR. PTO.]:[AGRUP. VALOR. PTO.]]=$B96,IF(DATOS_[[Check Periodo Ref.]:[Check Periodo Ref.]]="Dentro",DATOS_[Conc.Sal.24]))))),
0)</f>
        <v>0</v>
      </c>
      <c r="AD97" s="170">
        <f t="array" ref="AD97">IFERROR(
AVERAGE((IF(DATOS_[[Sexo]:[Sexo]]=$B97,IF(DATOS_[[AGRUP. VALOR. PTO.]:[AGRUP. VALOR. PTO.]]=$B96,IF(DATOS_[[Check Periodo Ref.]:[Check Periodo Ref.]]="Dentro",DATOS_[Conc.Sal.25]))))),
0)</f>
        <v>0</v>
      </c>
      <c r="AE97" s="170">
        <f t="array" ref="AE97">IFERROR(
AVERAGE((IF(DATOS_[[Sexo]:[Sexo]]=$B97,IF(DATOS_[[AGRUP. VALOR. PTO.]:[AGRUP. VALOR. PTO.]]=$B96,IF(DATOS_[[Check Periodo Ref.]:[Check Periodo Ref.]]="Dentro",DATOS_[Conc.Sal.26]))))),
0)</f>
        <v>0</v>
      </c>
      <c r="AF97" s="170">
        <f t="array" ref="AF97">IFERROR(
AVERAGE((IF(DATOS_[[Sexo]:[Sexo]]=$B97,IF(DATOS_[[AGRUP. VALOR. PTO.]:[AGRUP. VALOR. PTO.]]=$B96,IF(DATOS_[[Check Periodo Ref.]:[Check Periodo Ref.]]="Dentro",DATOS_[Conc.Sal.27]))))),
0)</f>
        <v>0</v>
      </c>
      <c r="AG97" s="170">
        <f t="array" ref="AG97">IFERROR(
AVERAGE((IF(DATOS_[[Sexo]:[Sexo]]=$B97,IF(DATOS_[[AGRUP. VALOR. PTO.]:[AGRUP. VALOR. PTO.]]=$B96,IF(DATOS_[[Check Periodo Ref.]:[Check Periodo Ref.]]="Dentro",DATOS_[Conc.Sal.28]))))),
0)</f>
        <v>0</v>
      </c>
      <c r="AH97" s="170">
        <f t="array" ref="AH97">IFERROR(
AVERAGE((IF(DATOS_[[Sexo]:[Sexo]]=$B97,IF(DATOS_[[AGRUP. VALOR. PTO.]:[AGRUP. VALOR. PTO.]]=$B96,IF(DATOS_[[Check Periodo Ref.]:[Check Periodo Ref.]]="Dentro",DATOS_[Conc.Sal.29]))))),
0)</f>
        <v>0</v>
      </c>
      <c r="AI97" s="170">
        <f t="array" ref="AI97">IFERROR(
AVERAGE((IF(DATOS_[[Sexo]:[Sexo]]=$B97,IF(DATOS_[[AGRUP. VALOR. PTO.]:[AGRUP. VALOR. PTO.]]=$B96,IF(DATOS_[[Check Periodo Ref.]:[Check Periodo Ref.]]="Dentro",DATOS_[Conc.Sal.30]))))),
0)</f>
        <v>0</v>
      </c>
      <c r="AJ97" s="171">
        <f t="array" ref="AJ97">IFERROR(
AVERAGE(IF(DATOS_[Sexo]=$B97,IF(DATOS_[AGRUP. VALOR. PTO.]=$B96,IF(DATOS_[Check Periodo Ref.]="Dentro",DATOS_[Tot COMPL.SAL Ef],FALSE)))),
0)</f>
        <v>0</v>
      </c>
      <c r="AK97" s="172">
        <f t="array" ref="AK97">IFERROR(
AVERAGE(IF(DATOS_[Sexo]=$B97,IF(DATOS_[AGRUP. VALOR. PTO.]=$B96,IF(DATOS_[Check Periodo Ref.]="Dentro",DATOS_[TOTAL SALARIO Ef],FALSE)))),
0)</f>
        <v>0</v>
      </c>
      <c r="AL97" s="173">
        <f t="array" ref="AL97">IFERROR(
AVERAGE((IF(DATOS_[[Sexo]:[Sexo]]=$B97,IF(DATOS_[[AGRUP. VALOR. PTO.]:[AGRUP. VALOR. PTO.]]=$B96,IF(DATOS_[[Check Periodo Ref.]:[Check Periodo Ref.]]="Dentro",DATOS_[C.Extra.01]))))),
0)</f>
        <v>0</v>
      </c>
      <c r="AM97" s="173">
        <f t="array" ref="AM97">IFERROR(
AVERAGE((IF(DATOS_[[Sexo]:[Sexo]]=$B97,IF(DATOS_[[AGRUP. VALOR. PTO.]:[AGRUP. VALOR. PTO.]]=$B96,IF(DATOS_[[Check Periodo Ref.]:[Check Periodo Ref.]]="Dentro",DATOS_[C.Extra.06]))))),
0)</f>
        <v>0</v>
      </c>
      <c r="AN97" s="173">
        <f t="array" ref="AN97">IFERROR(
AVERAGE((IF(DATOS_[[Sexo]:[Sexo]]=$B97,IF(DATOS_[[AGRUP. VALOR. PTO.]:[AGRUP. VALOR. PTO.]]=$B96,IF(DATOS_[[Check Periodo Ref.]:[Check Periodo Ref.]]="Dentro",DATOS_[C.Extra.07]))))),
0)</f>
        <v>0</v>
      </c>
      <c r="AO97" s="173">
        <f t="array" ref="AO97">IFERROR(
AVERAGE((IF(DATOS_[[Sexo]:[Sexo]]=$B97,IF(DATOS_[[AGRUP. VALOR. PTO.]:[AGRUP. VALOR. PTO.]]=$B96,IF(DATOS_[[Check Periodo Ref.]:[Check Periodo Ref.]]="Dentro",DATOS_[C.Extra.08]))))),
0)</f>
        <v>0</v>
      </c>
      <c r="AP97" s="173">
        <f t="array" ref="AP97">IFERROR(
AVERAGE((IF(DATOS_[[Sexo]:[Sexo]]=$B97,IF(DATOS_[[AGRUP. VALOR. PTO.]:[AGRUP. VALOR. PTO.]]=$B96,IF(DATOS_[[Check Periodo Ref.]:[Check Periodo Ref.]]="Dentro",DATOS_[C.Extra.11]))))),
0)</f>
        <v>0</v>
      </c>
      <c r="AQ97" s="174">
        <f t="array" ref="AQ97">IFERROR(
AVERAGE(IF(DATOS_[Sexo]=$B97,IF(DATOS_[AGRUP. VALOR. PTO.]=$B96,IF(DATOS_[Check Periodo Ref.]="Dentro",DATOS_[Tot Extrasalarial Ef],FALSE)))),
0)</f>
        <v>0</v>
      </c>
      <c r="AR97" s="171">
        <f t="array" ref="AR97">IFERROR(
AVERAGE(IF(DATOS_[Sexo]=$B97,IF(DATOS_[AGRUP. VALOR. PTO.]=$B96,IF(DATOS_[Check Periodo Ref.]="Dentro",DATOS_[TOTAL Retrib Ef],FALSE)))),
0)</f>
        <v>0</v>
      </c>
    </row>
    <row r="98" spans="1:44" x14ac:dyDescent="0.25">
      <c r="A98" s="178" t="str">
        <f t="shared" ref="A98" si="114">+A97</f>
        <v>[ocultar]</v>
      </c>
      <c r="B98" s="166" t="s">
        <v>521</v>
      </c>
      <c r="C98" s="167">
        <f t="array" ref="C98">SUM(IF($B98=DATOS_[Sexo],
IF($B96=DATOS_[AGRUP. VALOR. PTO.],
IF("Dentro"=DATOS_[Check Periodo Ref.],
1/(COUNTIFS(DATOS_[Sexo],$B98,DATOS_[AGRUP. VALOR. PTO.],$B96,DATOS_[Check Periodo Ref.],"Dentro",DATOS_[id/cod],DATOS_[id/cod]))))))</f>
        <v>0</v>
      </c>
      <c r="D98" s="168">
        <f>COUNTIFS(DATOS_[AGRUP. VALOR. PTO.],$B96,DATOS_[Sexo],$B98,DATOS_[Check Periodo Ref.],"Dentro")</f>
        <v>0</v>
      </c>
      <c r="E98" s="169">
        <f t="array" ref="E98">IFERROR(
AVERAGE(IF(DATOS_[Sexo]=$B98,IF(DATOS_[AGRUP. VALOR. PTO.]=$B96,IF(DATOS_[Check Periodo Ref.]="Dentro",DATOS_[SALARIO BASE Ef],FALSE)))),
0)</f>
        <v>0</v>
      </c>
      <c r="F98" s="170">
        <f t="array" ref="F98">IFERROR(
AVERAGE((IF(DATOS_[[Sexo]:[Sexo]]=$B98,IF(DATOS_[[AGRUP. VALOR. PTO.]:[AGRUP. VALOR. PTO.]]=$B96,IF(DATOS_[[Check Periodo Ref.]:[Check Periodo Ref.]]="Dentro",DATOS_[Conc.Sal.01]))))),
0)</f>
        <v>0</v>
      </c>
      <c r="G98" s="170">
        <f t="array" ref="G98">IFERROR(
AVERAGE((IF(DATOS_[[Sexo]:[Sexo]]=$B98,IF(DATOS_[[AGRUP. VALOR. PTO.]:[AGRUP. VALOR. PTO.]]=$B96,IF(DATOS_[[Check Periodo Ref.]:[Check Periodo Ref.]]="Dentro",DATOS_[Conc.Sal.02]))))),
0)</f>
        <v>0</v>
      </c>
      <c r="H98" s="170">
        <f t="array" ref="H98">IFERROR(
AVERAGE((IF(DATOS_[[Sexo]:[Sexo]]=$B98,IF(DATOS_[[AGRUP. VALOR. PTO.]:[AGRUP. VALOR. PTO.]]=$B96,IF(DATOS_[[Check Periodo Ref.]:[Check Periodo Ref.]]="Dentro",DATOS_[Conc.Sal.03]))))),
0)</f>
        <v>0</v>
      </c>
      <c r="I98" s="170">
        <f t="array" ref="I98">IFERROR(
AVERAGE((IF(DATOS_[[Sexo]:[Sexo]]=$B98,IF(DATOS_[[AGRUP. VALOR. PTO.]:[AGRUP. VALOR. PTO.]]=$B96,IF(DATOS_[[Check Periodo Ref.]:[Check Periodo Ref.]]="Dentro",DATOS_[Conc.Sal.04]))))),
0)</f>
        <v>0</v>
      </c>
      <c r="J98" s="170">
        <f t="array" ref="J98">IFERROR(
AVERAGE((IF(DATOS_[[Sexo]:[Sexo]]=$B98,IF(DATOS_[[AGRUP. VALOR. PTO.]:[AGRUP. VALOR. PTO.]]=$B96,IF(DATOS_[[Check Periodo Ref.]:[Check Periodo Ref.]]="Dentro",DATOS_[Conc.Sal.05]))))),
0)</f>
        <v>0</v>
      </c>
      <c r="K98" s="170">
        <f t="array" ref="K98">IFERROR(
AVERAGE((IF(DATOS_[[Sexo]:[Sexo]]=$B98,IF(DATOS_[[AGRUP. VALOR. PTO.]:[AGRUP. VALOR. PTO.]]=$B96,IF(DATOS_[[Check Periodo Ref.]:[Check Periodo Ref.]]="Dentro",DATOS_[Conc.Sal.06]))))),
0)</f>
        <v>0</v>
      </c>
      <c r="L98" s="170">
        <f t="array" ref="L98">IFERROR(
AVERAGE((IF(DATOS_[[Sexo]:[Sexo]]=$B98,IF(DATOS_[[AGRUP. VALOR. PTO.]:[AGRUP. VALOR. PTO.]]=$B96,IF(DATOS_[[Check Periodo Ref.]:[Check Periodo Ref.]]="Dentro",DATOS_[Conc.Sal.07]))))),
0)</f>
        <v>0</v>
      </c>
      <c r="M98" s="170">
        <f t="array" ref="M98">IFERROR(
AVERAGE((IF(DATOS_[[Sexo]:[Sexo]]=$B98,IF(DATOS_[[AGRUP. VALOR. PTO.]:[AGRUP. VALOR. PTO.]]=$B96,IF(DATOS_[[Check Periodo Ref.]:[Check Periodo Ref.]]="Dentro",DATOS_[Conc.Sal.08]))))),
0)</f>
        <v>0</v>
      </c>
      <c r="N98" s="170">
        <f t="array" ref="N98">IFERROR(
AVERAGE((IF(DATOS_[[Sexo]:[Sexo]]=$B98,IF(DATOS_[[AGRUP. VALOR. PTO.]:[AGRUP. VALOR. PTO.]]=$B96,IF(DATOS_[[Check Periodo Ref.]:[Check Periodo Ref.]]="Dentro",DATOS_[Conc.Sal.09]))))),
0)</f>
        <v>0</v>
      </c>
      <c r="O98" s="170">
        <f t="array" ref="O98">IFERROR(
AVERAGE((IF(DATOS_[[Sexo]:[Sexo]]=$B98,IF(DATOS_[[AGRUP. VALOR. PTO.]:[AGRUP. VALOR. PTO.]]=$B96,IF(DATOS_[[Check Periodo Ref.]:[Check Periodo Ref.]]="Dentro",DATOS_[Conc.Sal.10]))))),
0)</f>
        <v>0</v>
      </c>
      <c r="P98" s="170">
        <f t="array" ref="P98">IFERROR(
AVERAGE((IF(DATOS_[[Sexo]:[Sexo]]=$B98,IF(DATOS_[[AGRUP. VALOR. PTO.]:[AGRUP. VALOR. PTO.]]=$B96,IF(DATOS_[[Check Periodo Ref.]:[Check Periodo Ref.]]="Dentro",DATOS_[Conc.Sal.11]))))),
0)</f>
        <v>0</v>
      </c>
      <c r="Q98" s="170">
        <f t="array" ref="Q98">IFERROR(
AVERAGE((IF(DATOS_[[Sexo]:[Sexo]]=$B98,IF(DATOS_[[AGRUP. VALOR. PTO.]:[AGRUP. VALOR. PTO.]]=$B96,IF(DATOS_[[Check Periodo Ref.]:[Check Periodo Ref.]]="Dentro",DATOS_[Conc.Sal.12]))))),
0)</f>
        <v>0</v>
      </c>
      <c r="R98" s="170">
        <f t="array" ref="R98">IFERROR(
AVERAGE((IF(DATOS_[[Sexo]:[Sexo]]=$B98,IF(DATOS_[[AGRUP. VALOR. PTO.]:[AGRUP. VALOR. PTO.]]=$B96,IF(DATOS_[[Check Periodo Ref.]:[Check Periodo Ref.]]="Dentro",DATOS_[Conc.Sal.13]))))),
0)</f>
        <v>0</v>
      </c>
      <c r="S98" s="170">
        <f t="array" ref="S98">IFERROR(
AVERAGE((IF(DATOS_[[Sexo]:[Sexo]]=$B98,IF(DATOS_[[AGRUP. VALOR. PTO.]:[AGRUP. VALOR. PTO.]]=$B96,IF(DATOS_[[Check Periodo Ref.]:[Check Periodo Ref.]]="Dentro",DATOS_[Conc.Sal.14]))))),
0)</f>
        <v>0</v>
      </c>
      <c r="T98" s="170">
        <f t="array" ref="T98">IFERROR(
AVERAGE((IF(DATOS_[[Sexo]:[Sexo]]=$B98,IF(DATOS_[[AGRUP. VALOR. PTO.]:[AGRUP. VALOR. PTO.]]=$B96,IF(DATOS_[[Check Periodo Ref.]:[Check Periodo Ref.]]="Dentro",DATOS_[Conc.Sal.15]))))),
0)</f>
        <v>0</v>
      </c>
      <c r="U98" s="170">
        <f t="array" ref="U98">IFERROR(
AVERAGE((IF(DATOS_[[Sexo]:[Sexo]]=$B98,IF(DATOS_[[AGRUP. VALOR. PTO.]:[AGRUP. VALOR. PTO.]]=$B96,IF(DATOS_[[Check Periodo Ref.]:[Check Periodo Ref.]]="Dentro",DATOS_[Conc.Sal.16]))))),
0)</f>
        <v>0</v>
      </c>
      <c r="V98" s="170">
        <f t="array" ref="V98">IFERROR(
AVERAGE((IF(DATOS_[[Sexo]:[Sexo]]=$B98,IF(DATOS_[[AGRUP. VALOR. PTO.]:[AGRUP. VALOR. PTO.]]=$B96,IF(DATOS_[[Check Periodo Ref.]:[Check Periodo Ref.]]="Dentro",DATOS_[Conc.Sal.17]))))),
0)</f>
        <v>0</v>
      </c>
      <c r="W98" s="170">
        <f t="array" ref="W98">IFERROR(
AVERAGE((IF(DATOS_[[Sexo]:[Sexo]]=$B98,IF(DATOS_[[AGRUP. VALOR. PTO.]:[AGRUP. VALOR. PTO.]]=$B96,IF(DATOS_[[Check Periodo Ref.]:[Check Periodo Ref.]]="Dentro",DATOS_[Conc.Sal.18]))))),
0)</f>
        <v>0</v>
      </c>
      <c r="X98" s="170">
        <f t="array" ref="X98">IFERROR(
AVERAGE((IF(DATOS_[[Sexo]:[Sexo]]=$B98,IF(DATOS_[[AGRUP. VALOR. PTO.]:[AGRUP. VALOR. PTO.]]=$B96,IF(DATOS_[[Check Periodo Ref.]:[Check Periodo Ref.]]="Dentro",DATOS_[Conc.Sal.19]))))),
0)</f>
        <v>0</v>
      </c>
      <c r="Y98" s="170">
        <f t="array" ref="Y98">IFERROR(
AVERAGE((IF(DATOS_[[Sexo]:[Sexo]]=$B98,IF(DATOS_[[AGRUP. VALOR. PTO.]:[AGRUP. VALOR. PTO.]]=$B96,IF(DATOS_[[Check Periodo Ref.]:[Check Periodo Ref.]]="Dentro",DATOS_[Conc.Sal.20]))))),
0)</f>
        <v>0</v>
      </c>
      <c r="Z98" s="170">
        <f t="array" ref="Z98">IFERROR(
AVERAGE((IF(DATOS_[[Sexo]:[Sexo]]=$B98,IF(DATOS_[[AGRUP. VALOR. PTO.]:[AGRUP. VALOR. PTO.]]=$B96,IF(DATOS_[[Check Periodo Ref.]:[Check Periodo Ref.]]="Dentro",DATOS_[Conc.Sal.21]))))),
0)</f>
        <v>0</v>
      </c>
      <c r="AA98" s="170">
        <f t="array" ref="AA98">IFERROR(
AVERAGE((IF(DATOS_[[Sexo]:[Sexo]]=$B98,IF(DATOS_[[AGRUP. VALOR. PTO.]:[AGRUP. VALOR. PTO.]]=$B96,IF(DATOS_[[Check Periodo Ref.]:[Check Periodo Ref.]]="Dentro",DATOS_[Conc.Sal.22]))))),
0)</f>
        <v>0</v>
      </c>
      <c r="AB98" s="170">
        <f t="array" ref="AB98">IFERROR(
AVERAGE((IF(DATOS_[[Sexo]:[Sexo]]=$B98,IF(DATOS_[[AGRUP. VALOR. PTO.]:[AGRUP. VALOR. PTO.]]=$B96,IF(DATOS_[[Check Periodo Ref.]:[Check Periodo Ref.]]="Dentro",DATOS_[Conc.Sal.23]))))),
0)</f>
        <v>0</v>
      </c>
      <c r="AC98" s="170">
        <f t="array" ref="AC98">IFERROR(
AVERAGE((IF(DATOS_[[Sexo]:[Sexo]]=$B98,IF(DATOS_[[AGRUP. VALOR. PTO.]:[AGRUP. VALOR. PTO.]]=$B96,IF(DATOS_[[Check Periodo Ref.]:[Check Periodo Ref.]]="Dentro",DATOS_[Conc.Sal.24]))))),
0)</f>
        <v>0</v>
      </c>
      <c r="AD98" s="170">
        <f t="array" ref="AD98">IFERROR(
AVERAGE((IF(DATOS_[[Sexo]:[Sexo]]=$B98,IF(DATOS_[[AGRUP. VALOR. PTO.]:[AGRUP. VALOR. PTO.]]=$B96,IF(DATOS_[[Check Periodo Ref.]:[Check Periodo Ref.]]="Dentro",DATOS_[Conc.Sal.25]))))),
0)</f>
        <v>0</v>
      </c>
      <c r="AE98" s="170">
        <f t="array" ref="AE98">IFERROR(
AVERAGE((IF(DATOS_[[Sexo]:[Sexo]]=$B98,IF(DATOS_[[AGRUP. VALOR. PTO.]:[AGRUP. VALOR. PTO.]]=$B96,IF(DATOS_[[Check Periodo Ref.]:[Check Periodo Ref.]]="Dentro",DATOS_[Conc.Sal.26]))))),
0)</f>
        <v>0</v>
      </c>
      <c r="AF98" s="170">
        <f t="array" ref="AF98">IFERROR(
AVERAGE((IF(DATOS_[[Sexo]:[Sexo]]=$B98,IF(DATOS_[[AGRUP. VALOR. PTO.]:[AGRUP. VALOR. PTO.]]=$B96,IF(DATOS_[[Check Periodo Ref.]:[Check Periodo Ref.]]="Dentro",DATOS_[Conc.Sal.27]))))),
0)</f>
        <v>0</v>
      </c>
      <c r="AG98" s="170">
        <f t="array" ref="AG98">IFERROR(
AVERAGE((IF(DATOS_[[Sexo]:[Sexo]]=$B98,IF(DATOS_[[AGRUP. VALOR. PTO.]:[AGRUP. VALOR. PTO.]]=$B96,IF(DATOS_[[Check Periodo Ref.]:[Check Periodo Ref.]]="Dentro",DATOS_[Conc.Sal.28]))))),
0)</f>
        <v>0</v>
      </c>
      <c r="AH98" s="170">
        <f t="array" ref="AH98">IFERROR(
AVERAGE((IF(DATOS_[[Sexo]:[Sexo]]=$B98,IF(DATOS_[[AGRUP. VALOR. PTO.]:[AGRUP. VALOR. PTO.]]=$B96,IF(DATOS_[[Check Periodo Ref.]:[Check Periodo Ref.]]="Dentro",DATOS_[Conc.Sal.29]))))),
0)</f>
        <v>0</v>
      </c>
      <c r="AI98" s="170">
        <f t="array" ref="AI98">IFERROR(
AVERAGE((IF(DATOS_[[Sexo]:[Sexo]]=$B98,IF(DATOS_[[AGRUP. VALOR. PTO.]:[AGRUP. VALOR. PTO.]]=$B96,IF(DATOS_[[Check Periodo Ref.]:[Check Periodo Ref.]]="Dentro",DATOS_[Conc.Sal.30]))))),
0)</f>
        <v>0</v>
      </c>
      <c r="AJ98" s="171">
        <f t="array" ref="AJ98">IFERROR(
AVERAGE(IF(DATOS_[Sexo]=$B98,IF(DATOS_[AGRUP. VALOR. PTO.]=$B96,IF(DATOS_[Check Periodo Ref.]="Dentro",DATOS_[Tot COMPL.SAL Ef],FALSE)))),
0)</f>
        <v>0</v>
      </c>
      <c r="AK98" s="172">
        <f t="array" ref="AK98">IFERROR(
AVERAGE(IF(DATOS_[Sexo]=$B98,IF(DATOS_[AGRUP. VALOR. PTO.]=$B96,IF(DATOS_[Check Periodo Ref.]="Dentro",DATOS_[TOTAL SALARIO Ef],FALSE)))),
0)</f>
        <v>0</v>
      </c>
      <c r="AL98" s="173">
        <f t="array" ref="AL98">IFERROR(
AVERAGE((IF(DATOS_[[Sexo]:[Sexo]]=$B98,IF(DATOS_[[AGRUP. VALOR. PTO.]:[AGRUP. VALOR. PTO.]]=$B96,IF(DATOS_[[Check Periodo Ref.]:[Check Periodo Ref.]]="Dentro",DATOS_[C.Extra.01]))))),
0)</f>
        <v>0</v>
      </c>
      <c r="AM98" s="173">
        <f t="array" ref="AM98">IFERROR(
AVERAGE((IF(DATOS_[[Sexo]:[Sexo]]=$B98,IF(DATOS_[[AGRUP. VALOR. PTO.]:[AGRUP. VALOR. PTO.]]=$B96,IF(DATOS_[[Check Periodo Ref.]:[Check Periodo Ref.]]="Dentro",DATOS_[C.Extra.06]))))),
0)</f>
        <v>0</v>
      </c>
      <c r="AN98" s="173">
        <f t="array" ref="AN98">IFERROR(
AVERAGE((IF(DATOS_[[Sexo]:[Sexo]]=$B98,IF(DATOS_[[AGRUP. VALOR. PTO.]:[AGRUP. VALOR. PTO.]]=$B96,IF(DATOS_[[Check Periodo Ref.]:[Check Periodo Ref.]]="Dentro",DATOS_[C.Extra.07]))))),
0)</f>
        <v>0</v>
      </c>
      <c r="AO98" s="173">
        <f t="array" ref="AO98">IFERROR(
AVERAGE((IF(DATOS_[[Sexo]:[Sexo]]=$B98,IF(DATOS_[[AGRUP. VALOR. PTO.]:[AGRUP. VALOR. PTO.]]=$B96,IF(DATOS_[[Check Periodo Ref.]:[Check Periodo Ref.]]="Dentro",DATOS_[C.Extra.08]))))),
0)</f>
        <v>0</v>
      </c>
      <c r="AP98" s="173">
        <f t="array" ref="AP98">IFERROR(
AVERAGE((IF(DATOS_[[Sexo]:[Sexo]]=$B98,IF(DATOS_[[AGRUP. VALOR. PTO.]:[AGRUP. VALOR. PTO.]]=$B96,IF(DATOS_[[Check Periodo Ref.]:[Check Periodo Ref.]]="Dentro",DATOS_[C.Extra.11]))))),
0)</f>
        <v>0</v>
      </c>
      <c r="AQ98" s="174">
        <f t="array" ref="AQ98">IFERROR(
AVERAGE(IF(DATOS_[Sexo]=$B98,IF(DATOS_[AGRUP. VALOR. PTO.]=$B96,IF(DATOS_[Check Periodo Ref.]="Dentro",DATOS_[Tot Extrasalarial Ef],FALSE)))),
0)</f>
        <v>0</v>
      </c>
      <c r="AR98" s="171">
        <f t="array" ref="AR98">IFERROR(
AVERAGE(IF(DATOS_[Sexo]=$B98,IF(DATOS_[AGRUP. VALOR. PTO.]=$B96,IF(DATOS_[Check Periodo Ref.]="Dentro",DATOS_[TOTAL Retrib Ef],FALSE)))),
0)</f>
        <v>0</v>
      </c>
    </row>
    <row r="99" spans="1:44" ht="14.4" thickBot="1" x14ac:dyDescent="0.3">
      <c r="A99" s="178" t="str">
        <f t="shared" ref="A99" si="115">+A100</f>
        <v>[ocultar]</v>
      </c>
      <c r="B99" s="153" t="s">
        <v>287</v>
      </c>
      <c r="C99" s="154"/>
      <c r="D99" s="155"/>
      <c r="E99" s="156" t="str">
        <f t="shared" ref="E99:AR99" si="116">IFERROR((E100-E101)/E100,"")</f>
        <v/>
      </c>
      <c r="F99" s="157" t="str">
        <f t="shared" si="116"/>
        <v/>
      </c>
      <c r="G99" s="158" t="str">
        <f t="shared" si="116"/>
        <v/>
      </c>
      <c r="H99" s="158" t="str">
        <f t="shared" si="116"/>
        <v/>
      </c>
      <c r="I99" s="158" t="str">
        <f t="shared" si="116"/>
        <v/>
      </c>
      <c r="J99" s="159" t="str">
        <f t="shared" si="116"/>
        <v/>
      </c>
      <c r="K99" s="160" t="str">
        <f t="shared" si="116"/>
        <v/>
      </c>
      <c r="L99" s="160" t="str">
        <f t="shared" si="116"/>
        <v/>
      </c>
      <c r="M99" s="160" t="str">
        <f t="shared" si="116"/>
        <v/>
      </c>
      <c r="N99" s="160" t="str">
        <f t="shared" si="116"/>
        <v/>
      </c>
      <c r="O99" s="160" t="str">
        <f t="shared" si="116"/>
        <v/>
      </c>
      <c r="P99" s="160" t="str">
        <f t="shared" si="116"/>
        <v/>
      </c>
      <c r="Q99" s="160" t="str">
        <f t="shared" si="116"/>
        <v/>
      </c>
      <c r="R99" s="160" t="str">
        <f t="shared" si="116"/>
        <v/>
      </c>
      <c r="S99" s="160" t="str">
        <f t="shared" si="116"/>
        <v/>
      </c>
      <c r="T99" s="160" t="str">
        <f t="shared" si="116"/>
        <v/>
      </c>
      <c r="U99" s="160" t="str">
        <f t="shared" si="116"/>
        <v/>
      </c>
      <c r="V99" s="159" t="str">
        <f t="shared" si="116"/>
        <v/>
      </c>
      <c r="W99" s="159" t="str">
        <f t="shared" si="116"/>
        <v/>
      </c>
      <c r="X99" s="159" t="str">
        <f t="shared" si="116"/>
        <v/>
      </c>
      <c r="Y99" s="159" t="str">
        <f t="shared" si="116"/>
        <v/>
      </c>
      <c r="Z99" s="159" t="str">
        <f t="shared" si="116"/>
        <v/>
      </c>
      <c r="AA99" s="159" t="str">
        <f t="shared" si="116"/>
        <v/>
      </c>
      <c r="AB99" s="159" t="str">
        <f t="shared" si="116"/>
        <v/>
      </c>
      <c r="AC99" s="159" t="str">
        <f t="shared" si="116"/>
        <v/>
      </c>
      <c r="AD99" s="159" t="str">
        <f t="shared" si="116"/>
        <v/>
      </c>
      <c r="AE99" s="159" t="str">
        <f t="shared" si="116"/>
        <v/>
      </c>
      <c r="AF99" s="159" t="str">
        <f t="shared" si="116"/>
        <v/>
      </c>
      <c r="AG99" s="159" t="str">
        <f t="shared" si="116"/>
        <v/>
      </c>
      <c r="AH99" s="159" t="str">
        <f t="shared" si="116"/>
        <v/>
      </c>
      <c r="AI99" s="159" t="str">
        <f t="shared" si="116"/>
        <v/>
      </c>
      <c r="AJ99" s="161" t="str">
        <f t="shared" si="116"/>
        <v/>
      </c>
      <c r="AK99" s="162" t="str">
        <f t="shared" si="116"/>
        <v/>
      </c>
      <c r="AL99" s="163" t="str">
        <f t="shared" si="116"/>
        <v/>
      </c>
      <c r="AM99" s="163" t="str">
        <f t="shared" si="116"/>
        <v/>
      </c>
      <c r="AN99" s="163" t="str">
        <f t="shared" si="116"/>
        <v/>
      </c>
      <c r="AO99" s="163" t="str">
        <f t="shared" si="116"/>
        <v/>
      </c>
      <c r="AP99" s="163" t="str">
        <f t="shared" si="116"/>
        <v/>
      </c>
      <c r="AQ99" s="164" t="str">
        <f t="shared" si="116"/>
        <v/>
      </c>
      <c r="AR99" s="161" t="str">
        <f t="shared" si="116"/>
        <v/>
      </c>
    </row>
    <row r="100" spans="1:44" x14ac:dyDescent="0.25">
      <c r="A100" s="178" t="str">
        <f t="shared" ref="A100" si="117">+IF(C100+C101=0,"[ocultar]","")</f>
        <v>[ocultar]</v>
      </c>
      <c r="B100" s="166" t="s">
        <v>394</v>
      </c>
      <c r="C100" s="167">
        <f t="array" ref="C100">SUM(IF($B100=DATOS_[Sexo],
IF($B99=DATOS_[AGRUP. VALOR. PTO.],
IF("Dentro"=DATOS_[Check Periodo Ref.],
1/(COUNTIFS(DATOS_[Sexo],$B100,DATOS_[AGRUP. VALOR. PTO.],$B99,DATOS_[Check Periodo Ref.],"Dentro",DATOS_[id/cod],DATOS_[id/cod]))))))</f>
        <v>0</v>
      </c>
      <c r="D100" s="168">
        <f>COUNTIFS(DATOS_[AGRUP. VALOR. PTO.],$B99,DATOS_[Sexo],$B100,DATOS_[Check Periodo Ref.],"Dentro")</f>
        <v>0</v>
      </c>
      <c r="E100" s="169">
        <f t="array" ref="E100">IFERROR(
AVERAGE(IF(DATOS_[Sexo]=$B100,IF(DATOS_[AGRUP. VALOR. PTO.]=$B99,IF(DATOS_[Check Periodo Ref.]="Dentro",DATOS_[SALARIO BASE Ef],FALSE)))),
0)</f>
        <v>0</v>
      </c>
      <c r="F100" s="170">
        <f t="array" ref="F100">IFERROR(
AVERAGE((IF(DATOS_[[Sexo]:[Sexo]]=$B100,IF(DATOS_[[AGRUP. VALOR. PTO.]:[AGRUP. VALOR. PTO.]]=$B99,IF(DATOS_[[Check Periodo Ref.]:[Check Periodo Ref.]]="Dentro",DATOS_[Conc.Sal.01]))))),
0)</f>
        <v>0</v>
      </c>
      <c r="G100" s="170">
        <f t="array" ref="G100">IFERROR(
AVERAGE((IF(DATOS_[[Sexo]:[Sexo]]=$B100,IF(DATOS_[[AGRUP. VALOR. PTO.]:[AGRUP. VALOR. PTO.]]=$B99,IF(DATOS_[[Check Periodo Ref.]:[Check Periodo Ref.]]="Dentro",DATOS_[Conc.Sal.02]))))),
0)</f>
        <v>0</v>
      </c>
      <c r="H100" s="170">
        <f t="array" ref="H100">IFERROR(
AVERAGE((IF(DATOS_[[Sexo]:[Sexo]]=$B100,IF(DATOS_[[AGRUP. VALOR. PTO.]:[AGRUP. VALOR. PTO.]]=$B99,IF(DATOS_[[Check Periodo Ref.]:[Check Periodo Ref.]]="Dentro",DATOS_[Conc.Sal.03]))))),
0)</f>
        <v>0</v>
      </c>
      <c r="I100" s="170">
        <f t="array" ref="I100">IFERROR(
AVERAGE((IF(DATOS_[[Sexo]:[Sexo]]=$B100,IF(DATOS_[[AGRUP. VALOR. PTO.]:[AGRUP. VALOR. PTO.]]=$B99,IF(DATOS_[[Check Periodo Ref.]:[Check Periodo Ref.]]="Dentro",DATOS_[Conc.Sal.04]))))),
0)</f>
        <v>0</v>
      </c>
      <c r="J100" s="170">
        <f t="array" ref="J100">IFERROR(
AVERAGE((IF(DATOS_[[Sexo]:[Sexo]]=$B100,IF(DATOS_[[AGRUP. VALOR. PTO.]:[AGRUP. VALOR. PTO.]]=$B99,IF(DATOS_[[Check Periodo Ref.]:[Check Periodo Ref.]]="Dentro",DATOS_[Conc.Sal.05]))))),
0)</f>
        <v>0</v>
      </c>
      <c r="K100" s="170">
        <f t="array" ref="K100">IFERROR(
AVERAGE((IF(DATOS_[[Sexo]:[Sexo]]=$B100,IF(DATOS_[[AGRUP. VALOR. PTO.]:[AGRUP. VALOR. PTO.]]=$B99,IF(DATOS_[[Check Periodo Ref.]:[Check Periodo Ref.]]="Dentro",DATOS_[Conc.Sal.06]))))),
0)</f>
        <v>0</v>
      </c>
      <c r="L100" s="170">
        <f t="array" ref="L100">IFERROR(
AVERAGE((IF(DATOS_[[Sexo]:[Sexo]]=$B100,IF(DATOS_[[AGRUP. VALOR. PTO.]:[AGRUP. VALOR. PTO.]]=$B99,IF(DATOS_[[Check Periodo Ref.]:[Check Periodo Ref.]]="Dentro",DATOS_[Conc.Sal.07]))))),
0)</f>
        <v>0</v>
      </c>
      <c r="M100" s="170">
        <f t="array" ref="M100">IFERROR(
AVERAGE((IF(DATOS_[[Sexo]:[Sexo]]=$B100,IF(DATOS_[[AGRUP. VALOR. PTO.]:[AGRUP. VALOR. PTO.]]=$B99,IF(DATOS_[[Check Periodo Ref.]:[Check Periodo Ref.]]="Dentro",DATOS_[Conc.Sal.08]))))),
0)</f>
        <v>0</v>
      </c>
      <c r="N100" s="170">
        <f t="array" ref="N100">IFERROR(
AVERAGE((IF(DATOS_[[Sexo]:[Sexo]]=$B100,IF(DATOS_[[AGRUP. VALOR. PTO.]:[AGRUP. VALOR. PTO.]]=$B99,IF(DATOS_[[Check Periodo Ref.]:[Check Periodo Ref.]]="Dentro",DATOS_[Conc.Sal.09]))))),
0)</f>
        <v>0</v>
      </c>
      <c r="O100" s="170">
        <f t="array" ref="O100">IFERROR(
AVERAGE((IF(DATOS_[[Sexo]:[Sexo]]=$B100,IF(DATOS_[[AGRUP. VALOR. PTO.]:[AGRUP. VALOR. PTO.]]=$B99,IF(DATOS_[[Check Periodo Ref.]:[Check Periodo Ref.]]="Dentro",DATOS_[Conc.Sal.10]))))),
0)</f>
        <v>0</v>
      </c>
      <c r="P100" s="170">
        <f t="array" ref="P100">IFERROR(
AVERAGE((IF(DATOS_[[Sexo]:[Sexo]]=$B100,IF(DATOS_[[AGRUP. VALOR. PTO.]:[AGRUP. VALOR. PTO.]]=$B99,IF(DATOS_[[Check Periodo Ref.]:[Check Periodo Ref.]]="Dentro",DATOS_[Conc.Sal.11]))))),
0)</f>
        <v>0</v>
      </c>
      <c r="Q100" s="170">
        <f t="array" ref="Q100">IFERROR(
AVERAGE((IF(DATOS_[[Sexo]:[Sexo]]=$B100,IF(DATOS_[[AGRUP. VALOR. PTO.]:[AGRUP. VALOR. PTO.]]=$B99,IF(DATOS_[[Check Periodo Ref.]:[Check Periodo Ref.]]="Dentro",DATOS_[Conc.Sal.12]))))),
0)</f>
        <v>0</v>
      </c>
      <c r="R100" s="170">
        <f t="array" ref="R100">IFERROR(
AVERAGE((IF(DATOS_[[Sexo]:[Sexo]]=$B100,IF(DATOS_[[AGRUP. VALOR. PTO.]:[AGRUP. VALOR. PTO.]]=$B99,IF(DATOS_[[Check Periodo Ref.]:[Check Periodo Ref.]]="Dentro",DATOS_[Conc.Sal.13]))))),
0)</f>
        <v>0</v>
      </c>
      <c r="S100" s="170">
        <f t="array" ref="S100">IFERROR(
AVERAGE((IF(DATOS_[[Sexo]:[Sexo]]=$B100,IF(DATOS_[[AGRUP. VALOR. PTO.]:[AGRUP. VALOR. PTO.]]=$B99,IF(DATOS_[[Check Periodo Ref.]:[Check Periodo Ref.]]="Dentro",DATOS_[Conc.Sal.14]))))),
0)</f>
        <v>0</v>
      </c>
      <c r="T100" s="170">
        <f t="array" ref="T100">IFERROR(
AVERAGE((IF(DATOS_[[Sexo]:[Sexo]]=$B100,IF(DATOS_[[AGRUP. VALOR. PTO.]:[AGRUP. VALOR. PTO.]]=$B99,IF(DATOS_[[Check Periodo Ref.]:[Check Periodo Ref.]]="Dentro",DATOS_[Conc.Sal.15]))))),
0)</f>
        <v>0</v>
      </c>
      <c r="U100" s="170">
        <f t="array" ref="U100">IFERROR(
AVERAGE((IF(DATOS_[[Sexo]:[Sexo]]=$B100,IF(DATOS_[[AGRUP. VALOR. PTO.]:[AGRUP. VALOR. PTO.]]=$B99,IF(DATOS_[[Check Periodo Ref.]:[Check Periodo Ref.]]="Dentro",DATOS_[Conc.Sal.16]))))),
0)</f>
        <v>0</v>
      </c>
      <c r="V100" s="170">
        <f t="array" ref="V100">IFERROR(
AVERAGE((IF(DATOS_[[Sexo]:[Sexo]]=$B100,IF(DATOS_[[AGRUP. VALOR. PTO.]:[AGRUP. VALOR. PTO.]]=$B99,IF(DATOS_[[Check Periodo Ref.]:[Check Periodo Ref.]]="Dentro",DATOS_[Conc.Sal.17]))))),
0)</f>
        <v>0</v>
      </c>
      <c r="W100" s="170">
        <f t="array" ref="W100">IFERROR(
AVERAGE((IF(DATOS_[[Sexo]:[Sexo]]=$B100,IF(DATOS_[[AGRUP. VALOR. PTO.]:[AGRUP. VALOR. PTO.]]=$B99,IF(DATOS_[[Check Periodo Ref.]:[Check Periodo Ref.]]="Dentro",DATOS_[Conc.Sal.18]))))),
0)</f>
        <v>0</v>
      </c>
      <c r="X100" s="170">
        <f t="array" ref="X100">IFERROR(
AVERAGE((IF(DATOS_[[Sexo]:[Sexo]]=$B100,IF(DATOS_[[AGRUP. VALOR. PTO.]:[AGRUP. VALOR. PTO.]]=$B99,IF(DATOS_[[Check Periodo Ref.]:[Check Periodo Ref.]]="Dentro",DATOS_[Conc.Sal.19]))))),
0)</f>
        <v>0</v>
      </c>
      <c r="Y100" s="170">
        <f t="array" ref="Y100">IFERROR(
AVERAGE((IF(DATOS_[[Sexo]:[Sexo]]=$B100,IF(DATOS_[[AGRUP. VALOR. PTO.]:[AGRUP. VALOR. PTO.]]=$B99,IF(DATOS_[[Check Periodo Ref.]:[Check Periodo Ref.]]="Dentro",DATOS_[Conc.Sal.20]))))),
0)</f>
        <v>0</v>
      </c>
      <c r="Z100" s="170">
        <f t="array" ref="Z100">IFERROR(
AVERAGE((IF(DATOS_[[Sexo]:[Sexo]]=$B100,IF(DATOS_[[AGRUP. VALOR. PTO.]:[AGRUP. VALOR. PTO.]]=$B99,IF(DATOS_[[Check Periodo Ref.]:[Check Periodo Ref.]]="Dentro",DATOS_[Conc.Sal.21]))))),
0)</f>
        <v>0</v>
      </c>
      <c r="AA100" s="170">
        <f t="array" ref="AA100">IFERROR(
AVERAGE((IF(DATOS_[[Sexo]:[Sexo]]=$B100,IF(DATOS_[[AGRUP. VALOR. PTO.]:[AGRUP. VALOR. PTO.]]=$B99,IF(DATOS_[[Check Periodo Ref.]:[Check Periodo Ref.]]="Dentro",DATOS_[Conc.Sal.22]))))),
0)</f>
        <v>0</v>
      </c>
      <c r="AB100" s="170">
        <f t="array" ref="AB100">IFERROR(
AVERAGE((IF(DATOS_[[Sexo]:[Sexo]]=$B100,IF(DATOS_[[AGRUP. VALOR. PTO.]:[AGRUP. VALOR. PTO.]]=$B99,IF(DATOS_[[Check Periodo Ref.]:[Check Periodo Ref.]]="Dentro",DATOS_[Conc.Sal.23]))))),
0)</f>
        <v>0</v>
      </c>
      <c r="AC100" s="170">
        <f t="array" ref="AC100">IFERROR(
AVERAGE((IF(DATOS_[[Sexo]:[Sexo]]=$B100,IF(DATOS_[[AGRUP. VALOR. PTO.]:[AGRUP. VALOR. PTO.]]=$B99,IF(DATOS_[[Check Periodo Ref.]:[Check Periodo Ref.]]="Dentro",DATOS_[Conc.Sal.24]))))),
0)</f>
        <v>0</v>
      </c>
      <c r="AD100" s="170">
        <f t="array" ref="AD100">IFERROR(
AVERAGE((IF(DATOS_[[Sexo]:[Sexo]]=$B100,IF(DATOS_[[AGRUP. VALOR. PTO.]:[AGRUP. VALOR. PTO.]]=$B99,IF(DATOS_[[Check Periodo Ref.]:[Check Periodo Ref.]]="Dentro",DATOS_[Conc.Sal.25]))))),
0)</f>
        <v>0</v>
      </c>
      <c r="AE100" s="170">
        <f t="array" ref="AE100">IFERROR(
AVERAGE((IF(DATOS_[[Sexo]:[Sexo]]=$B100,IF(DATOS_[[AGRUP. VALOR. PTO.]:[AGRUP. VALOR. PTO.]]=$B99,IF(DATOS_[[Check Periodo Ref.]:[Check Periodo Ref.]]="Dentro",DATOS_[Conc.Sal.26]))))),
0)</f>
        <v>0</v>
      </c>
      <c r="AF100" s="170">
        <f t="array" ref="AF100">IFERROR(
AVERAGE((IF(DATOS_[[Sexo]:[Sexo]]=$B100,IF(DATOS_[[AGRUP. VALOR. PTO.]:[AGRUP. VALOR. PTO.]]=$B99,IF(DATOS_[[Check Periodo Ref.]:[Check Periodo Ref.]]="Dentro",DATOS_[Conc.Sal.27]))))),
0)</f>
        <v>0</v>
      </c>
      <c r="AG100" s="170">
        <f t="array" ref="AG100">IFERROR(
AVERAGE((IF(DATOS_[[Sexo]:[Sexo]]=$B100,IF(DATOS_[[AGRUP. VALOR. PTO.]:[AGRUP. VALOR. PTO.]]=$B99,IF(DATOS_[[Check Periodo Ref.]:[Check Periodo Ref.]]="Dentro",DATOS_[Conc.Sal.28]))))),
0)</f>
        <v>0</v>
      </c>
      <c r="AH100" s="170">
        <f t="array" ref="AH100">IFERROR(
AVERAGE((IF(DATOS_[[Sexo]:[Sexo]]=$B100,IF(DATOS_[[AGRUP. VALOR. PTO.]:[AGRUP. VALOR. PTO.]]=$B99,IF(DATOS_[[Check Periodo Ref.]:[Check Periodo Ref.]]="Dentro",DATOS_[Conc.Sal.29]))))),
0)</f>
        <v>0</v>
      </c>
      <c r="AI100" s="170">
        <f t="array" ref="AI100">IFERROR(
AVERAGE((IF(DATOS_[[Sexo]:[Sexo]]=$B100,IF(DATOS_[[AGRUP. VALOR. PTO.]:[AGRUP. VALOR. PTO.]]=$B99,IF(DATOS_[[Check Periodo Ref.]:[Check Periodo Ref.]]="Dentro",DATOS_[Conc.Sal.30]))))),
0)</f>
        <v>0</v>
      </c>
      <c r="AJ100" s="171">
        <f t="array" ref="AJ100">IFERROR(
AVERAGE(IF(DATOS_[Sexo]=$B100,IF(DATOS_[AGRUP. VALOR. PTO.]=$B99,IF(DATOS_[Check Periodo Ref.]="Dentro",DATOS_[Tot COMPL.SAL Ef],FALSE)))),
0)</f>
        <v>0</v>
      </c>
      <c r="AK100" s="172">
        <f t="array" ref="AK100">IFERROR(
AVERAGE(IF(DATOS_[Sexo]=$B100,IF(DATOS_[AGRUP. VALOR. PTO.]=$B99,IF(DATOS_[Check Periodo Ref.]="Dentro",DATOS_[TOTAL SALARIO Ef],FALSE)))),
0)</f>
        <v>0</v>
      </c>
      <c r="AL100" s="173">
        <f t="array" ref="AL100">IFERROR(
AVERAGE((IF(DATOS_[[Sexo]:[Sexo]]=$B100,IF(DATOS_[[AGRUP. VALOR. PTO.]:[AGRUP. VALOR. PTO.]]=$B99,IF(DATOS_[[Check Periodo Ref.]:[Check Periodo Ref.]]="Dentro",DATOS_[C.Extra.01]))))),
0)</f>
        <v>0</v>
      </c>
      <c r="AM100" s="173">
        <f t="array" ref="AM100">IFERROR(
AVERAGE((IF(DATOS_[[Sexo]:[Sexo]]=$B100,IF(DATOS_[[AGRUP. VALOR. PTO.]:[AGRUP. VALOR. PTO.]]=$B99,IF(DATOS_[[Check Periodo Ref.]:[Check Periodo Ref.]]="Dentro",DATOS_[C.Extra.06]))))),
0)</f>
        <v>0</v>
      </c>
      <c r="AN100" s="173">
        <f t="array" ref="AN100">IFERROR(
AVERAGE((IF(DATOS_[[Sexo]:[Sexo]]=$B100,IF(DATOS_[[AGRUP. VALOR. PTO.]:[AGRUP. VALOR. PTO.]]=$B99,IF(DATOS_[[Check Periodo Ref.]:[Check Periodo Ref.]]="Dentro",DATOS_[C.Extra.07]))))),
0)</f>
        <v>0</v>
      </c>
      <c r="AO100" s="173">
        <f t="array" ref="AO100">IFERROR(
AVERAGE((IF(DATOS_[[Sexo]:[Sexo]]=$B100,IF(DATOS_[[AGRUP. VALOR. PTO.]:[AGRUP. VALOR. PTO.]]=$B99,IF(DATOS_[[Check Periodo Ref.]:[Check Periodo Ref.]]="Dentro",DATOS_[C.Extra.08]))))),
0)</f>
        <v>0</v>
      </c>
      <c r="AP100" s="173">
        <f t="array" ref="AP100">IFERROR(
AVERAGE((IF(DATOS_[[Sexo]:[Sexo]]=$B100,IF(DATOS_[[AGRUP. VALOR. PTO.]:[AGRUP. VALOR. PTO.]]=$B99,IF(DATOS_[[Check Periodo Ref.]:[Check Periodo Ref.]]="Dentro",DATOS_[C.Extra.11]))))),
0)</f>
        <v>0</v>
      </c>
      <c r="AQ100" s="174">
        <f t="array" ref="AQ100">IFERROR(
AVERAGE(IF(DATOS_[Sexo]=$B100,IF(DATOS_[AGRUP. VALOR. PTO.]=$B99,IF(DATOS_[Check Periodo Ref.]="Dentro",DATOS_[Tot Extrasalarial Ef],FALSE)))),
0)</f>
        <v>0</v>
      </c>
      <c r="AR100" s="171">
        <f t="array" ref="AR100">IFERROR(
AVERAGE(IF(DATOS_[Sexo]=$B100,IF(DATOS_[AGRUP. VALOR. PTO.]=$B99,IF(DATOS_[Check Periodo Ref.]="Dentro",DATOS_[TOTAL Retrib Ef],FALSE)))),
0)</f>
        <v>0</v>
      </c>
    </row>
    <row r="101" spans="1:44" x14ac:dyDescent="0.25">
      <c r="A101" s="178" t="str">
        <f t="shared" ref="A101" si="118">+A100</f>
        <v>[ocultar]</v>
      </c>
      <c r="B101" s="166" t="s">
        <v>521</v>
      </c>
      <c r="C101" s="167">
        <f t="array" ref="C101">SUM(IF($B101=DATOS_[Sexo],
IF($B99=DATOS_[AGRUP. VALOR. PTO.],
IF("Dentro"=DATOS_[Check Periodo Ref.],
1/(COUNTIFS(DATOS_[Sexo],$B101,DATOS_[AGRUP. VALOR. PTO.],$B99,DATOS_[Check Periodo Ref.],"Dentro",DATOS_[id/cod],DATOS_[id/cod]))))))</f>
        <v>0</v>
      </c>
      <c r="D101" s="168">
        <f>COUNTIFS(DATOS_[AGRUP. VALOR. PTO.],$B99,DATOS_[Sexo],$B101,DATOS_[Check Periodo Ref.],"Dentro")</f>
        <v>0</v>
      </c>
      <c r="E101" s="169">
        <f t="array" ref="E101">IFERROR(
AVERAGE(IF(DATOS_[Sexo]=$B101,IF(DATOS_[AGRUP. VALOR. PTO.]=$B99,IF(DATOS_[Check Periodo Ref.]="Dentro",DATOS_[SALARIO BASE Ef],FALSE)))),
0)</f>
        <v>0</v>
      </c>
      <c r="F101" s="170">
        <f t="array" ref="F101">IFERROR(
AVERAGE((IF(DATOS_[[Sexo]:[Sexo]]=$B101,IF(DATOS_[[AGRUP. VALOR. PTO.]:[AGRUP. VALOR. PTO.]]=$B99,IF(DATOS_[[Check Periodo Ref.]:[Check Periodo Ref.]]="Dentro",DATOS_[Conc.Sal.01]))))),
0)</f>
        <v>0</v>
      </c>
      <c r="G101" s="170">
        <f t="array" ref="G101">IFERROR(
AVERAGE((IF(DATOS_[[Sexo]:[Sexo]]=$B101,IF(DATOS_[[AGRUP. VALOR. PTO.]:[AGRUP. VALOR. PTO.]]=$B99,IF(DATOS_[[Check Periodo Ref.]:[Check Periodo Ref.]]="Dentro",DATOS_[Conc.Sal.02]))))),
0)</f>
        <v>0</v>
      </c>
      <c r="H101" s="170">
        <f t="array" ref="H101">IFERROR(
AVERAGE((IF(DATOS_[[Sexo]:[Sexo]]=$B101,IF(DATOS_[[AGRUP. VALOR. PTO.]:[AGRUP. VALOR. PTO.]]=$B99,IF(DATOS_[[Check Periodo Ref.]:[Check Periodo Ref.]]="Dentro",DATOS_[Conc.Sal.03]))))),
0)</f>
        <v>0</v>
      </c>
      <c r="I101" s="170">
        <f t="array" ref="I101">IFERROR(
AVERAGE((IF(DATOS_[[Sexo]:[Sexo]]=$B101,IF(DATOS_[[AGRUP. VALOR. PTO.]:[AGRUP. VALOR. PTO.]]=$B99,IF(DATOS_[[Check Periodo Ref.]:[Check Periodo Ref.]]="Dentro",DATOS_[Conc.Sal.04]))))),
0)</f>
        <v>0</v>
      </c>
      <c r="J101" s="170">
        <f t="array" ref="J101">IFERROR(
AVERAGE((IF(DATOS_[[Sexo]:[Sexo]]=$B101,IF(DATOS_[[AGRUP. VALOR. PTO.]:[AGRUP. VALOR. PTO.]]=$B99,IF(DATOS_[[Check Periodo Ref.]:[Check Periodo Ref.]]="Dentro",DATOS_[Conc.Sal.05]))))),
0)</f>
        <v>0</v>
      </c>
      <c r="K101" s="170">
        <f t="array" ref="K101">IFERROR(
AVERAGE((IF(DATOS_[[Sexo]:[Sexo]]=$B101,IF(DATOS_[[AGRUP. VALOR. PTO.]:[AGRUP. VALOR. PTO.]]=$B99,IF(DATOS_[[Check Periodo Ref.]:[Check Periodo Ref.]]="Dentro",DATOS_[Conc.Sal.06]))))),
0)</f>
        <v>0</v>
      </c>
      <c r="L101" s="170">
        <f t="array" ref="L101">IFERROR(
AVERAGE((IF(DATOS_[[Sexo]:[Sexo]]=$B101,IF(DATOS_[[AGRUP. VALOR. PTO.]:[AGRUP. VALOR. PTO.]]=$B99,IF(DATOS_[[Check Periodo Ref.]:[Check Periodo Ref.]]="Dentro",DATOS_[Conc.Sal.07]))))),
0)</f>
        <v>0</v>
      </c>
      <c r="M101" s="170">
        <f t="array" ref="M101">IFERROR(
AVERAGE((IF(DATOS_[[Sexo]:[Sexo]]=$B101,IF(DATOS_[[AGRUP. VALOR. PTO.]:[AGRUP. VALOR. PTO.]]=$B99,IF(DATOS_[[Check Periodo Ref.]:[Check Periodo Ref.]]="Dentro",DATOS_[Conc.Sal.08]))))),
0)</f>
        <v>0</v>
      </c>
      <c r="N101" s="170">
        <f t="array" ref="N101">IFERROR(
AVERAGE((IF(DATOS_[[Sexo]:[Sexo]]=$B101,IF(DATOS_[[AGRUP. VALOR. PTO.]:[AGRUP. VALOR. PTO.]]=$B99,IF(DATOS_[[Check Periodo Ref.]:[Check Periodo Ref.]]="Dentro",DATOS_[Conc.Sal.09]))))),
0)</f>
        <v>0</v>
      </c>
      <c r="O101" s="170">
        <f t="array" ref="O101">IFERROR(
AVERAGE((IF(DATOS_[[Sexo]:[Sexo]]=$B101,IF(DATOS_[[AGRUP. VALOR. PTO.]:[AGRUP. VALOR. PTO.]]=$B99,IF(DATOS_[[Check Periodo Ref.]:[Check Periodo Ref.]]="Dentro",DATOS_[Conc.Sal.10]))))),
0)</f>
        <v>0</v>
      </c>
      <c r="P101" s="170">
        <f t="array" ref="P101">IFERROR(
AVERAGE((IF(DATOS_[[Sexo]:[Sexo]]=$B101,IF(DATOS_[[AGRUP. VALOR. PTO.]:[AGRUP. VALOR. PTO.]]=$B99,IF(DATOS_[[Check Periodo Ref.]:[Check Periodo Ref.]]="Dentro",DATOS_[Conc.Sal.11]))))),
0)</f>
        <v>0</v>
      </c>
      <c r="Q101" s="170">
        <f t="array" ref="Q101">IFERROR(
AVERAGE((IF(DATOS_[[Sexo]:[Sexo]]=$B101,IF(DATOS_[[AGRUP. VALOR. PTO.]:[AGRUP. VALOR. PTO.]]=$B99,IF(DATOS_[[Check Periodo Ref.]:[Check Periodo Ref.]]="Dentro",DATOS_[Conc.Sal.12]))))),
0)</f>
        <v>0</v>
      </c>
      <c r="R101" s="170">
        <f t="array" ref="R101">IFERROR(
AVERAGE((IF(DATOS_[[Sexo]:[Sexo]]=$B101,IF(DATOS_[[AGRUP. VALOR. PTO.]:[AGRUP. VALOR. PTO.]]=$B99,IF(DATOS_[[Check Periodo Ref.]:[Check Periodo Ref.]]="Dentro",DATOS_[Conc.Sal.13]))))),
0)</f>
        <v>0</v>
      </c>
      <c r="S101" s="170">
        <f t="array" ref="S101">IFERROR(
AVERAGE((IF(DATOS_[[Sexo]:[Sexo]]=$B101,IF(DATOS_[[AGRUP. VALOR. PTO.]:[AGRUP. VALOR. PTO.]]=$B99,IF(DATOS_[[Check Periodo Ref.]:[Check Periodo Ref.]]="Dentro",DATOS_[Conc.Sal.14]))))),
0)</f>
        <v>0</v>
      </c>
      <c r="T101" s="170">
        <f t="array" ref="T101">IFERROR(
AVERAGE((IF(DATOS_[[Sexo]:[Sexo]]=$B101,IF(DATOS_[[AGRUP. VALOR. PTO.]:[AGRUP. VALOR. PTO.]]=$B99,IF(DATOS_[[Check Periodo Ref.]:[Check Periodo Ref.]]="Dentro",DATOS_[Conc.Sal.15]))))),
0)</f>
        <v>0</v>
      </c>
      <c r="U101" s="170">
        <f t="array" ref="U101">IFERROR(
AVERAGE((IF(DATOS_[[Sexo]:[Sexo]]=$B101,IF(DATOS_[[AGRUP. VALOR. PTO.]:[AGRUP. VALOR. PTO.]]=$B99,IF(DATOS_[[Check Periodo Ref.]:[Check Periodo Ref.]]="Dentro",DATOS_[Conc.Sal.16]))))),
0)</f>
        <v>0</v>
      </c>
      <c r="V101" s="170">
        <f t="array" ref="V101">IFERROR(
AVERAGE((IF(DATOS_[[Sexo]:[Sexo]]=$B101,IF(DATOS_[[AGRUP. VALOR. PTO.]:[AGRUP. VALOR. PTO.]]=$B99,IF(DATOS_[[Check Periodo Ref.]:[Check Periodo Ref.]]="Dentro",DATOS_[Conc.Sal.17]))))),
0)</f>
        <v>0</v>
      </c>
      <c r="W101" s="170">
        <f t="array" ref="W101">IFERROR(
AVERAGE((IF(DATOS_[[Sexo]:[Sexo]]=$B101,IF(DATOS_[[AGRUP. VALOR. PTO.]:[AGRUP. VALOR. PTO.]]=$B99,IF(DATOS_[[Check Periodo Ref.]:[Check Periodo Ref.]]="Dentro",DATOS_[Conc.Sal.18]))))),
0)</f>
        <v>0</v>
      </c>
      <c r="X101" s="170">
        <f t="array" ref="X101">IFERROR(
AVERAGE((IF(DATOS_[[Sexo]:[Sexo]]=$B101,IF(DATOS_[[AGRUP. VALOR. PTO.]:[AGRUP. VALOR. PTO.]]=$B99,IF(DATOS_[[Check Periodo Ref.]:[Check Periodo Ref.]]="Dentro",DATOS_[Conc.Sal.19]))))),
0)</f>
        <v>0</v>
      </c>
      <c r="Y101" s="170">
        <f t="array" ref="Y101">IFERROR(
AVERAGE((IF(DATOS_[[Sexo]:[Sexo]]=$B101,IF(DATOS_[[AGRUP. VALOR. PTO.]:[AGRUP. VALOR. PTO.]]=$B99,IF(DATOS_[[Check Periodo Ref.]:[Check Periodo Ref.]]="Dentro",DATOS_[Conc.Sal.20]))))),
0)</f>
        <v>0</v>
      </c>
      <c r="Z101" s="170">
        <f t="array" ref="Z101">IFERROR(
AVERAGE((IF(DATOS_[[Sexo]:[Sexo]]=$B101,IF(DATOS_[[AGRUP. VALOR. PTO.]:[AGRUP. VALOR. PTO.]]=$B99,IF(DATOS_[[Check Periodo Ref.]:[Check Periodo Ref.]]="Dentro",DATOS_[Conc.Sal.21]))))),
0)</f>
        <v>0</v>
      </c>
      <c r="AA101" s="170">
        <f t="array" ref="AA101">IFERROR(
AVERAGE((IF(DATOS_[[Sexo]:[Sexo]]=$B101,IF(DATOS_[[AGRUP. VALOR. PTO.]:[AGRUP. VALOR. PTO.]]=$B99,IF(DATOS_[[Check Periodo Ref.]:[Check Periodo Ref.]]="Dentro",DATOS_[Conc.Sal.22]))))),
0)</f>
        <v>0</v>
      </c>
      <c r="AB101" s="170">
        <f t="array" ref="AB101">IFERROR(
AVERAGE((IF(DATOS_[[Sexo]:[Sexo]]=$B101,IF(DATOS_[[AGRUP. VALOR. PTO.]:[AGRUP. VALOR. PTO.]]=$B99,IF(DATOS_[[Check Periodo Ref.]:[Check Periodo Ref.]]="Dentro",DATOS_[Conc.Sal.23]))))),
0)</f>
        <v>0</v>
      </c>
      <c r="AC101" s="170">
        <f t="array" ref="AC101">IFERROR(
AVERAGE((IF(DATOS_[[Sexo]:[Sexo]]=$B101,IF(DATOS_[[AGRUP. VALOR. PTO.]:[AGRUP. VALOR. PTO.]]=$B99,IF(DATOS_[[Check Periodo Ref.]:[Check Periodo Ref.]]="Dentro",DATOS_[Conc.Sal.24]))))),
0)</f>
        <v>0</v>
      </c>
      <c r="AD101" s="170">
        <f t="array" ref="AD101">IFERROR(
AVERAGE((IF(DATOS_[[Sexo]:[Sexo]]=$B101,IF(DATOS_[[AGRUP. VALOR. PTO.]:[AGRUP. VALOR. PTO.]]=$B99,IF(DATOS_[[Check Periodo Ref.]:[Check Periodo Ref.]]="Dentro",DATOS_[Conc.Sal.25]))))),
0)</f>
        <v>0</v>
      </c>
      <c r="AE101" s="170">
        <f t="array" ref="AE101">IFERROR(
AVERAGE((IF(DATOS_[[Sexo]:[Sexo]]=$B101,IF(DATOS_[[AGRUP. VALOR. PTO.]:[AGRUP. VALOR. PTO.]]=$B99,IF(DATOS_[[Check Periodo Ref.]:[Check Periodo Ref.]]="Dentro",DATOS_[Conc.Sal.26]))))),
0)</f>
        <v>0</v>
      </c>
      <c r="AF101" s="170">
        <f t="array" ref="AF101">IFERROR(
AVERAGE((IF(DATOS_[[Sexo]:[Sexo]]=$B101,IF(DATOS_[[AGRUP. VALOR. PTO.]:[AGRUP. VALOR. PTO.]]=$B99,IF(DATOS_[[Check Periodo Ref.]:[Check Periodo Ref.]]="Dentro",DATOS_[Conc.Sal.27]))))),
0)</f>
        <v>0</v>
      </c>
      <c r="AG101" s="170">
        <f t="array" ref="AG101">IFERROR(
AVERAGE((IF(DATOS_[[Sexo]:[Sexo]]=$B101,IF(DATOS_[[AGRUP. VALOR. PTO.]:[AGRUP. VALOR. PTO.]]=$B99,IF(DATOS_[[Check Periodo Ref.]:[Check Periodo Ref.]]="Dentro",DATOS_[Conc.Sal.28]))))),
0)</f>
        <v>0</v>
      </c>
      <c r="AH101" s="170">
        <f t="array" ref="AH101">IFERROR(
AVERAGE((IF(DATOS_[[Sexo]:[Sexo]]=$B101,IF(DATOS_[[AGRUP. VALOR. PTO.]:[AGRUP. VALOR. PTO.]]=$B99,IF(DATOS_[[Check Periodo Ref.]:[Check Periodo Ref.]]="Dentro",DATOS_[Conc.Sal.29]))))),
0)</f>
        <v>0</v>
      </c>
      <c r="AI101" s="170">
        <f t="array" ref="AI101">IFERROR(
AVERAGE((IF(DATOS_[[Sexo]:[Sexo]]=$B101,IF(DATOS_[[AGRUP. VALOR. PTO.]:[AGRUP. VALOR. PTO.]]=$B99,IF(DATOS_[[Check Periodo Ref.]:[Check Periodo Ref.]]="Dentro",DATOS_[Conc.Sal.30]))))),
0)</f>
        <v>0</v>
      </c>
      <c r="AJ101" s="171">
        <f t="array" ref="AJ101">IFERROR(
AVERAGE(IF(DATOS_[Sexo]=$B101,IF(DATOS_[AGRUP. VALOR. PTO.]=$B99,IF(DATOS_[Check Periodo Ref.]="Dentro",DATOS_[Tot COMPL.SAL Ef],FALSE)))),
0)</f>
        <v>0</v>
      </c>
      <c r="AK101" s="172">
        <f t="array" ref="AK101">IFERROR(
AVERAGE(IF(DATOS_[Sexo]=$B101,IF(DATOS_[AGRUP. VALOR. PTO.]=$B99,IF(DATOS_[Check Periodo Ref.]="Dentro",DATOS_[TOTAL SALARIO Ef],FALSE)))),
0)</f>
        <v>0</v>
      </c>
      <c r="AL101" s="173">
        <f t="array" ref="AL101">IFERROR(
AVERAGE((IF(DATOS_[[Sexo]:[Sexo]]=$B101,IF(DATOS_[[AGRUP. VALOR. PTO.]:[AGRUP. VALOR. PTO.]]=$B99,IF(DATOS_[[Check Periodo Ref.]:[Check Periodo Ref.]]="Dentro",DATOS_[C.Extra.01]))))),
0)</f>
        <v>0</v>
      </c>
      <c r="AM101" s="173">
        <f t="array" ref="AM101">IFERROR(
AVERAGE((IF(DATOS_[[Sexo]:[Sexo]]=$B101,IF(DATOS_[[AGRUP. VALOR. PTO.]:[AGRUP. VALOR. PTO.]]=$B99,IF(DATOS_[[Check Periodo Ref.]:[Check Periodo Ref.]]="Dentro",DATOS_[C.Extra.06]))))),
0)</f>
        <v>0</v>
      </c>
      <c r="AN101" s="173">
        <f t="array" ref="AN101">IFERROR(
AVERAGE((IF(DATOS_[[Sexo]:[Sexo]]=$B101,IF(DATOS_[[AGRUP. VALOR. PTO.]:[AGRUP. VALOR. PTO.]]=$B99,IF(DATOS_[[Check Periodo Ref.]:[Check Periodo Ref.]]="Dentro",DATOS_[C.Extra.07]))))),
0)</f>
        <v>0</v>
      </c>
      <c r="AO101" s="173">
        <f t="array" ref="AO101">IFERROR(
AVERAGE((IF(DATOS_[[Sexo]:[Sexo]]=$B101,IF(DATOS_[[AGRUP. VALOR. PTO.]:[AGRUP. VALOR. PTO.]]=$B99,IF(DATOS_[[Check Periodo Ref.]:[Check Periodo Ref.]]="Dentro",DATOS_[C.Extra.08]))))),
0)</f>
        <v>0</v>
      </c>
      <c r="AP101" s="173">
        <f t="array" ref="AP101">IFERROR(
AVERAGE((IF(DATOS_[[Sexo]:[Sexo]]=$B101,IF(DATOS_[[AGRUP. VALOR. PTO.]:[AGRUP. VALOR. PTO.]]=$B99,IF(DATOS_[[Check Periodo Ref.]:[Check Periodo Ref.]]="Dentro",DATOS_[C.Extra.11]))))),
0)</f>
        <v>0</v>
      </c>
      <c r="AQ101" s="174">
        <f t="array" ref="AQ101">IFERROR(
AVERAGE(IF(DATOS_[Sexo]=$B101,IF(DATOS_[AGRUP. VALOR. PTO.]=$B99,IF(DATOS_[Check Periodo Ref.]="Dentro",DATOS_[Tot Extrasalarial Ef],FALSE)))),
0)</f>
        <v>0</v>
      </c>
      <c r="AR101" s="171">
        <f t="array" ref="AR101">IFERROR(
AVERAGE(IF(DATOS_[Sexo]=$B101,IF(DATOS_[AGRUP. VALOR. PTO.]=$B99,IF(DATOS_[Check Periodo Ref.]="Dentro",DATOS_[TOTAL Retrib Ef],FALSE)))),
0)</f>
        <v>0</v>
      </c>
    </row>
    <row r="102" spans="1:44" ht="14.4" thickBot="1" x14ac:dyDescent="0.3">
      <c r="A102" s="178" t="str">
        <f t="shared" ref="A102" si="119">+A103</f>
        <v>[ocultar]</v>
      </c>
      <c r="B102" s="153" t="s">
        <v>290</v>
      </c>
      <c r="C102" s="154"/>
      <c r="D102" s="155"/>
      <c r="E102" s="156" t="str">
        <f t="shared" ref="E102:AR102" si="120">IFERROR((E103-E104)/E103,"")</f>
        <v/>
      </c>
      <c r="F102" s="157" t="str">
        <f t="shared" si="120"/>
        <v/>
      </c>
      <c r="G102" s="158" t="str">
        <f t="shared" si="120"/>
        <v/>
      </c>
      <c r="H102" s="158" t="str">
        <f t="shared" si="120"/>
        <v/>
      </c>
      <c r="I102" s="158" t="str">
        <f t="shared" si="120"/>
        <v/>
      </c>
      <c r="J102" s="159" t="str">
        <f t="shared" si="120"/>
        <v/>
      </c>
      <c r="K102" s="160" t="str">
        <f t="shared" si="120"/>
        <v/>
      </c>
      <c r="L102" s="160" t="str">
        <f t="shared" si="120"/>
        <v/>
      </c>
      <c r="M102" s="160" t="str">
        <f t="shared" si="120"/>
        <v/>
      </c>
      <c r="N102" s="160" t="str">
        <f t="shared" si="120"/>
        <v/>
      </c>
      <c r="O102" s="160" t="str">
        <f t="shared" si="120"/>
        <v/>
      </c>
      <c r="P102" s="160" t="str">
        <f t="shared" si="120"/>
        <v/>
      </c>
      <c r="Q102" s="160" t="str">
        <f t="shared" si="120"/>
        <v/>
      </c>
      <c r="R102" s="160" t="str">
        <f t="shared" si="120"/>
        <v/>
      </c>
      <c r="S102" s="160" t="str">
        <f t="shared" si="120"/>
        <v/>
      </c>
      <c r="T102" s="160" t="str">
        <f t="shared" si="120"/>
        <v/>
      </c>
      <c r="U102" s="160" t="str">
        <f t="shared" si="120"/>
        <v/>
      </c>
      <c r="V102" s="159" t="str">
        <f t="shared" si="120"/>
        <v/>
      </c>
      <c r="W102" s="159" t="str">
        <f t="shared" si="120"/>
        <v/>
      </c>
      <c r="X102" s="159" t="str">
        <f t="shared" si="120"/>
        <v/>
      </c>
      <c r="Y102" s="159" t="str">
        <f t="shared" si="120"/>
        <v/>
      </c>
      <c r="Z102" s="159" t="str">
        <f t="shared" si="120"/>
        <v/>
      </c>
      <c r="AA102" s="159" t="str">
        <f t="shared" si="120"/>
        <v/>
      </c>
      <c r="AB102" s="159" t="str">
        <f t="shared" si="120"/>
        <v/>
      </c>
      <c r="AC102" s="159" t="str">
        <f t="shared" si="120"/>
        <v/>
      </c>
      <c r="AD102" s="159" t="str">
        <f t="shared" si="120"/>
        <v/>
      </c>
      <c r="AE102" s="159" t="str">
        <f t="shared" si="120"/>
        <v/>
      </c>
      <c r="AF102" s="159" t="str">
        <f t="shared" si="120"/>
        <v/>
      </c>
      <c r="AG102" s="159" t="str">
        <f t="shared" si="120"/>
        <v/>
      </c>
      <c r="AH102" s="159" t="str">
        <f t="shared" si="120"/>
        <v/>
      </c>
      <c r="AI102" s="159" t="str">
        <f t="shared" si="120"/>
        <v/>
      </c>
      <c r="AJ102" s="161" t="str">
        <f t="shared" si="120"/>
        <v/>
      </c>
      <c r="AK102" s="162" t="str">
        <f t="shared" si="120"/>
        <v/>
      </c>
      <c r="AL102" s="163" t="str">
        <f t="shared" si="120"/>
        <v/>
      </c>
      <c r="AM102" s="163" t="str">
        <f t="shared" si="120"/>
        <v/>
      </c>
      <c r="AN102" s="163" t="str">
        <f t="shared" si="120"/>
        <v/>
      </c>
      <c r="AO102" s="163" t="str">
        <f t="shared" si="120"/>
        <v/>
      </c>
      <c r="AP102" s="163" t="str">
        <f t="shared" si="120"/>
        <v/>
      </c>
      <c r="AQ102" s="164" t="str">
        <f t="shared" si="120"/>
        <v/>
      </c>
      <c r="AR102" s="161" t="str">
        <f t="shared" si="120"/>
        <v/>
      </c>
    </row>
    <row r="103" spans="1:44" x14ac:dyDescent="0.25">
      <c r="A103" s="178" t="str">
        <f t="shared" ref="A103" si="121">+IF(C103+C104=0,"[ocultar]","")</f>
        <v>[ocultar]</v>
      </c>
      <c r="B103" s="166" t="s">
        <v>394</v>
      </c>
      <c r="C103" s="167">
        <f t="array" ref="C103">SUM(IF($B103=DATOS_[Sexo],
IF($B102=DATOS_[AGRUP. VALOR. PTO.],
IF("Dentro"=DATOS_[Check Periodo Ref.],
1/(COUNTIFS(DATOS_[Sexo],$B103,DATOS_[AGRUP. VALOR. PTO.],$B102,DATOS_[Check Periodo Ref.],"Dentro",DATOS_[id/cod],DATOS_[id/cod]))))))</f>
        <v>0</v>
      </c>
      <c r="D103" s="168">
        <f>COUNTIFS(DATOS_[AGRUP. VALOR. PTO.],$B102,DATOS_[Sexo],$B103,DATOS_[Check Periodo Ref.],"Dentro")</f>
        <v>0</v>
      </c>
      <c r="E103" s="169">
        <f t="array" ref="E103">IFERROR(
AVERAGE(IF(DATOS_[Sexo]=$B103,IF(DATOS_[AGRUP. VALOR. PTO.]=$B102,IF(DATOS_[Check Periodo Ref.]="Dentro",DATOS_[SALARIO BASE Ef],FALSE)))),
0)</f>
        <v>0</v>
      </c>
      <c r="F103" s="170">
        <f t="array" ref="F103">IFERROR(
AVERAGE((IF(DATOS_[[Sexo]:[Sexo]]=$B103,IF(DATOS_[[AGRUP. VALOR. PTO.]:[AGRUP. VALOR. PTO.]]=$B102,IF(DATOS_[[Check Periodo Ref.]:[Check Periodo Ref.]]="Dentro",DATOS_[Conc.Sal.01]))))),
0)</f>
        <v>0</v>
      </c>
      <c r="G103" s="170">
        <f t="array" ref="G103">IFERROR(
AVERAGE((IF(DATOS_[[Sexo]:[Sexo]]=$B103,IF(DATOS_[[AGRUP. VALOR. PTO.]:[AGRUP. VALOR. PTO.]]=$B102,IF(DATOS_[[Check Periodo Ref.]:[Check Periodo Ref.]]="Dentro",DATOS_[Conc.Sal.02]))))),
0)</f>
        <v>0</v>
      </c>
      <c r="H103" s="170">
        <f t="array" ref="H103">IFERROR(
AVERAGE((IF(DATOS_[[Sexo]:[Sexo]]=$B103,IF(DATOS_[[AGRUP. VALOR. PTO.]:[AGRUP. VALOR. PTO.]]=$B102,IF(DATOS_[[Check Periodo Ref.]:[Check Periodo Ref.]]="Dentro",DATOS_[Conc.Sal.03]))))),
0)</f>
        <v>0</v>
      </c>
      <c r="I103" s="170">
        <f t="array" ref="I103">IFERROR(
AVERAGE((IF(DATOS_[[Sexo]:[Sexo]]=$B103,IF(DATOS_[[AGRUP. VALOR. PTO.]:[AGRUP. VALOR. PTO.]]=$B102,IF(DATOS_[[Check Periodo Ref.]:[Check Periodo Ref.]]="Dentro",DATOS_[Conc.Sal.04]))))),
0)</f>
        <v>0</v>
      </c>
      <c r="J103" s="170">
        <f t="array" ref="J103">IFERROR(
AVERAGE((IF(DATOS_[[Sexo]:[Sexo]]=$B103,IF(DATOS_[[AGRUP. VALOR. PTO.]:[AGRUP. VALOR. PTO.]]=$B102,IF(DATOS_[[Check Periodo Ref.]:[Check Periodo Ref.]]="Dentro",DATOS_[Conc.Sal.05]))))),
0)</f>
        <v>0</v>
      </c>
      <c r="K103" s="170">
        <f t="array" ref="K103">IFERROR(
AVERAGE((IF(DATOS_[[Sexo]:[Sexo]]=$B103,IF(DATOS_[[AGRUP. VALOR. PTO.]:[AGRUP. VALOR. PTO.]]=$B102,IF(DATOS_[[Check Periodo Ref.]:[Check Periodo Ref.]]="Dentro",DATOS_[Conc.Sal.06]))))),
0)</f>
        <v>0</v>
      </c>
      <c r="L103" s="170">
        <f t="array" ref="L103">IFERROR(
AVERAGE((IF(DATOS_[[Sexo]:[Sexo]]=$B103,IF(DATOS_[[AGRUP. VALOR. PTO.]:[AGRUP. VALOR. PTO.]]=$B102,IF(DATOS_[[Check Periodo Ref.]:[Check Periodo Ref.]]="Dentro",DATOS_[Conc.Sal.07]))))),
0)</f>
        <v>0</v>
      </c>
      <c r="M103" s="170">
        <f t="array" ref="M103">IFERROR(
AVERAGE((IF(DATOS_[[Sexo]:[Sexo]]=$B103,IF(DATOS_[[AGRUP. VALOR. PTO.]:[AGRUP. VALOR. PTO.]]=$B102,IF(DATOS_[[Check Periodo Ref.]:[Check Periodo Ref.]]="Dentro",DATOS_[Conc.Sal.08]))))),
0)</f>
        <v>0</v>
      </c>
      <c r="N103" s="170">
        <f t="array" ref="N103">IFERROR(
AVERAGE((IF(DATOS_[[Sexo]:[Sexo]]=$B103,IF(DATOS_[[AGRUP. VALOR. PTO.]:[AGRUP. VALOR. PTO.]]=$B102,IF(DATOS_[[Check Periodo Ref.]:[Check Periodo Ref.]]="Dentro",DATOS_[Conc.Sal.09]))))),
0)</f>
        <v>0</v>
      </c>
      <c r="O103" s="170">
        <f t="array" ref="O103">IFERROR(
AVERAGE((IF(DATOS_[[Sexo]:[Sexo]]=$B103,IF(DATOS_[[AGRUP. VALOR. PTO.]:[AGRUP. VALOR. PTO.]]=$B102,IF(DATOS_[[Check Periodo Ref.]:[Check Periodo Ref.]]="Dentro",DATOS_[Conc.Sal.10]))))),
0)</f>
        <v>0</v>
      </c>
      <c r="P103" s="170">
        <f t="array" ref="P103">IFERROR(
AVERAGE((IF(DATOS_[[Sexo]:[Sexo]]=$B103,IF(DATOS_[[AGRUP. VALOR. PTO.]:[AGRUP. VALOR. PTO.]]=$B102,IF(DATOS_[[Check Periodo Ref.]:[Check Periodo Ref.]]="Dentro",DATOS_[Conc.Sal.11]))))),
0)</f>
        <v>0</v>
      </c>
      <c r="Q103" s="170">
        <f t="array" ref="Q103">IFERROR(
AVERAGE((IF(DATOS_[[Sexo]:[Sexo]]=$B103,IF(DATOS_[[AGRUP. VALOR. PTO.]:[AGRUP. VALOR. PTO.]]=$B102,IF(DATOS_[[Check Periodo Ref.]:[Check Periodo Ref.]]="Dentro",DATOS_[Conc.Sal.12]))))),
0)</f>
        <v>0</v>
      </c>
      <c r="R103" s="170">
        <f t="array" ref="R103">IFERROR(
AVERAGE((IF(DATOS_[[Sexo]:[Sexo]]=$B103,IF(DATOS_[[AGRUP. VALOR. PTO.]:[AGRUP. VALOR. PTO.]]=$B102,IF(DATOS_[[Check Periodo Ref.]:[Check Periodo Ref.]]="Dentro",DATOS_[Conc.Sal.13]))))),
0)</f>
        <v>0</v>
      </c>
      <c r="S103" s="170">
        <f t="array" ref="S103">IFERROR(
AVERAGE((IF(DATOS_[[Sexo]:[Sexo]]=$B103,IF(DATOS_[[AGRUP. VALOR. PTO.]:[AGRUP. VALOR. PTO.]]=$B102,IF(DATOS_[[Check Periodo Ref.]:[Check Periodo Ref.]]="Dentro",DATOS_[Conc.Sal.14]))))),
0)</f>
        <v>0</v>
      </c>
      <c r="T103" s="170">
        <f t="array" ref="T103">IFERROR(
AVERAGE((IF(DATOS_[[Sexo]:[Sexo]]=$B103,IF(DATOS_[[AGRUP. VALOR. PTO.]:[AGRUP. VALOR. PTO.]]=$B102,IF(DATOS_[[Check Periodo Ref.]:[Check Periodo Ref.]]="Dentro",DATOS_[Conc.Sal.15]))))),
0)</f>
        <v>0</v>
      </c>
      <c r="U103" s="170">
        <f t="array" ref="U103">IFERROR(
AVERAGE((IF(DATOS_[[Sexo]:[Sexo]]=$B103,IF(DATOS_[[AGRUP. VALOR. PTO.]:[AGRUP. VALOR. PTO.]]=$B102,IF(DATOS_[[Check Periodo Ref.]:[Check Periodo Ref.]]="Dentro",DATOS_[Conc.Sal.16]))))),
0)</f>
        <v>0</v>
      </c>
      <c r="V103" s="170">
        <f t="array" ref="V103">IFERROR(
AVERAGE((IF(DATOS_[[Sexo]:[Sexo]]=$B103,IF(DATOS_[[AGRUP. VALOR. PTO.]:[AGRUP. VALOR. PTO.]]=$B102,IF(DATOS_[[Check Periodo Ref.]:[Check Periodo Ref.]]="Dentro",DATOS_[Conc.Sal.17]))))),
0)</f>
        <v>0</v>
      </c>
      <c r="W103" s="170">
        <f t="array" ref="W103">IFERROR(
AVERAGE((IF(DATOS_[[Sexo]:[Sexo]]=$B103,IF(DATOS_[[AGRUP. VALOR. PTO.]:[AGRUP. VALOR. PTO.]]=$B102,IF(DATOS_[[Check Periodo Ref.]:[Check Periodo Ref.]]="Dentro",DATOS_[Conc.Sal.18]))))),
0)</f>
        <v>0</v>
      </c>
      <c r="X103" s="170">
        <f t="array" ref="X103">IFERROR(
AVERAGE((IF(DATOS_[[Sexo]:[Sexo]]=$B103,IF(DATOS_[[AGRUP. VALOR. PTO.]:[AGRUP. VALOR. PTO.]]=$B102,IF(DATOS_[[Check Periodo Ref.]:[Check Periodo Ref.]]="Dentro",DATOS_[Conc.Sal.19]))))),
0)</f>
        <v>0</v>
      </c>
      <c r="Y103" s="170">
        <f t="array" ref="Y103">IFERROR(
AVERAGE((IF(DATOS_[[Sexo]:[Sexo]]=$B103,IF(DATOS_[[AGRUP. VALOR. PTO.]:[AGRUP. VALOR. PTO.]]=$B102,IF(DATOS_[[Check Periodo Ref.]:[Check Periodo Ref.]]="Dentro",DATOS_[Conc.Sal.20]))))),
0)</f>
        <v>0</v>
      </c>
      <c r="Z103" s="170">
        <f t="array" ref="Z103">IFERROR(
AVERAGE((IF(DATOS_[[Sexo]:[Sexo]]=$B103,IF(DATOS_[[AGRUP. VALOR. PTO.]:[AGRUP. VALOR. PTO.]]=$B102,IF(DATOS_[[Check Periodo Ref.]:[Check Periodo Ref.]]="Dentro",DATOS_[Conc.Sal.21]))))),
0)</f>
        <v>0</v>
      </c>
      <c r="AA103" s="170">
        <f t="array" ref="AA103">IFERROR(
AVERAGE((IF(DATOS_[[Sexo]:[Sexo]]=$B103,IF(DATOS_[[AGRUP. VALOR. PTO.]:[AGRUP. VALOR. PTO.]]=$B102,IF(DATOS_[[Check Periodo Ref.]:[Check Periodo Ref.]]="Dentro",DATOS_[Conc.Sal.22]))))),
0)</f>
        <v>0</v>
      </c>
      <c r="AB103" s="170">
        <f t="array" ref="AB103">IFERROR(
AVERAGE((IF(DATOS_[[Sexo]:[Sexo]]=$B103,IF(DATOS_[[AGRUP. VALOR. PTO.]:[AGRUP. VALOR. PTO.]]=$B102,IF(DATOS_[[Check Periodo Ref.]:[Check Periodo Ref.]]="Dentro",DATOS_[Conc.Sal.23]))))),
0)</f>
        <v>0</v>
      </c>
      <c r="AC103" s="170">
        <f t="array" ref="AC103">IFERROR(
AVERAGE((IF(DATOS_[[Sexo]:[Sexo]]=$B103,IF(DATOS_[[AGRUP. VALOR. PTO.]:[AGRUP. VALOR. PTO.]]=$B102,IF(DATOS_[[Check Periodo Ref.]:[Check Periodo Ref.]]="Dentro",DATOS_[Conc.Sal.24]))))),
0)</f>
        <v>0</v>
      </c>
      <c r="AD103" s="170">
        <f t="array" ref="AD103">IFERROR(
AVERAGE((IF(DATOS_[[Sexo]:[Sexo]]=$B103,IF(DATOS_[[AGRUP. VALOR. PTO.]:[AGRUP. VALOR. PTO.]]=$B102,IF(DATOS_[[Check Periodo Ref.]:[Check Periodo Ref.]]="Dentro",DATOS_[Conc.Sal.25]))))),
0)</f>
        <v>0</v>
      </c>
      <c r="AE103" s="170">
        <f t="array" ref="AE103">IFERROR(
AVERAGE((IF(DATOS_[[Sexo]:[Sexo]]=$B103,IF(DATOS_[[AGRUP. VALOR. PTO.]:[AGRUP. VALOR. PTO.]]=$B102,IF(DATOS_[[Check Periodo Ref.]:[Check Periodo Ref.]]="Dentro",DATOS_[Conc.Sal.26]))))),
0)</f>
        <v>0</v>
      </c>
      <c r="AF103" s="170">
        <f t="array" ref="AF103">IFERROR(
AVERAGE((IF(DATOS_[[Sexo]:[Sexo]]=$B103,IF(DATOS_[[AGRUP. VALOR. PTO.]:[AGRUP. VALOR. PTO.]]=$B102,IF(DATOS_[[Check Periodo Ref.]:[Check Periodo Ref.]]="Dentro",DATOS_[Conc.Sal.27]))))),
0)</f>
        <v>0</v>
      </c>
      <c r="AG103" s="170">
        <f t="array" ref="AG103">IFERROR(
AVERAGE((IF(DATOS_[[Sexo]:[Sexo]]=$B103,IF(DATOS_[[AGRUP. VALOR. PTO.]:[AGRUP. VALOR. PTO.]]=$B102,IF(DATOS_[[Check Periodo Ref.]:[Check Periodo Ref.]]="Dentro",DATOS_[Conc.Sal.28]))))),
0)</f>
        <v>0</v>
      </c>
      <c r="AH103" s="170">
        <f t="array" ref="AH103">IFERROR(
AVERAGE((IF(DATOS_[[Sexo]:[Sexo]]=$B103,IF(DATOS_[[AGRUP. VALOR. PTO.]:[AGRUP. VALOR. PTO.]]=$B102,IF(DATOS_[[Check Periodo Ref.]:[Check Periodo Ref.]]="Dentro",DATOS_[Conc.Sal.29]))))),
0)</f>
        <v>0</v>
      </c>
      <c r="AI103" s="170">
        <f t="array" ref="AI103">IFERROR(
AVERAGE((IF(DATOS_[[Sexo]:[Sexo]]=$B103,IF(DATOS_[[AGRUP. VALOR. PTO.]:[AGRUP. VALOR. PTO.]]=$B102,IF(DATOS_[[Check Periodo Ref.]:[Check Periodo Ref.]]="Dentro",DATOS_[Conc.Sal.30]))))),
0)</f>
        <v>0</v>
      </c>
      <c r="AJ103" s="171">
        <f t="array" ref="AJ103">IFERROR(
AVERAGE(IF(DATOS_[Sexo]=$B103,IF(DATOS_[AGRUP. VALOR. PTO.]=$B102,IF(DATOS_[Check Periodo Ref.]="Dentro",DATOS_[Tot COMPL.SAL Ef],FALSE)))),
0)</f>
        <v>0</v>
      </c>
      <c r="AK103" s="172">
        <f t="array" ref="AK103">IFERROR(
AVERAGE(IF(DATOS_[Sexo]=$B103,IF(DATOS_[AGRUP. VALOR. PTO.]=$B102,IF(DATOS_[Check Periodo Ref.]="Dentro",DATOS_[TOTAL SALARIO Ef],FALSE)))),
0)</f>
        <v>0</v>
      </c>
      <c r="AL103" s="173">
        <f t="array" ref="AL103">IFERROR(
AVERAGE((IF(DATOS_[[Sexo]:[Sexo]]=$B103,IF(DATOS_[[AGRUP. VALOR. PTO.]:[AGRUP. VALOR. PTO.]]=$B102,IF(DATOS_[[Check Periodo Ref.]:[Check Periodo Ref.]]="Dentro",DATOS_[C.Extra.01]))))),
0)</f>
        <v>0</v>
      </c>
      <c r="AM103" s="173">
        <f t="array" ref="AM103">IFERROR(
AVERAGE((IF(DATOS_[[Sexo]:[Sexo]]=$B103,IF(DATOS_[[AGRUP. VALOR. PTO.]:[AGRUP. VALOR. PTO.]]=$B102,IF(DATOS_[[Check Periodo Ref.]:[Check Periodo Ref.]]="Dentro",DATOS_[C.Extra.06]))))),
0)</f>
        <v>0</v>
      </c>
      <c r="AN103" s="173">
        <f t="array" ref="AN103">IFERROR(
AVERAGE((IF(DATOS_[[Sexo]:[Sexo]]=$B103,IF(DATOS_[[AGRUP. VALOR. PTO.]:[AGRUP. VALOR. PTO.]]=$B102,IF(DATOS_[[Check Periodo Ref.]:[Check Periodo Ref.]]="Dentro",DATOS_[C.Extra.07]))))),
0)</f>
        <v>0</v>
      </c>
      <c r="AO103" s="173">
        <f t="array" ref="AO103">IFERROR(
AVERAGE((IF(DATOS_[[Sexo]:[Sexo]]=$B103,IF(DATOS_[[AGRUP. VALOR. PTO.]:[AGRUP. VALOR. PTO.]]=$B102,IF(DATOS_[[Check Periodo Ref.]:[Check Periodo Ref.]]="Dentro",DATOS_[C.Extra.08]))))),
0)</f>
        <v>0</v>
      </c>
      <c r="AP103" s="173">
        <f t="array" ref="AP103">IFERROR(
AVERAGE((IF(DATOS_[[Sexo]:[Sexo]]=$B103,IF(DATOS_[[AGRUP. VALOR. PTO.]:[AGRUP. VALOR. PTO.]]=$B102,IF(DATOS_[[Check Periodo Ref.]:[Check Periodo Ref.]]="Dentro",DATOS_[C.Extra.11]))))),
0)</f>
        <v>0</v>
      </c>
      <c r="AQ103" s="174">
        <f t="array" ref="AQ103">IFERROR(
AVERAGE(IF(DATOS_[Sexo]=$B103,IF(DATOS_[AGRUP. VALOR. PTO.]=$B102,IF(DATOS_[Check Periodo Ref.]="Dentro",DATOS_[Tot Extrasalarial Ef],FALSE)))),
0)</f>
        <v>0</v>
      </c>
      <c r="AR103" s="171">
        <f t="array" ref="AR103">IFERROR(
AVERAGE(IF(DATOS_[Sexo]=$B103,IF(DATOS_[AGRUP. VALOR. PTO.]=$B102,IF(DATOS_[Check Periodo Ref.]="Dentro",DATOS_[TOTAL Retrib Ef],FALSE)))),
0)</f>
        <v>0</v>
      </c>
    </row>
    <row r="104" spans="1:44" x14ac:dyDescent="0.25">
      <c r="A104" s="178" t="str">
        <f t="shared" ref="A104" si="122">+A103</f>
        <v>[ocultar]</v>
      </c>
      <c r="B104" s="166" t="s">
        <v>521</v>
      </c>
      <c r="C104" s="167">
        <f t="array" ref="C104">SUM(IF($B104=DATOS_[Sexo],
IF($B102=DATOS_[AGRUP. VALOR. PTO.],
IF("Dentro"=DATOS_[Check Periodo Ref.],
1/(COUNTIFS(DATOS_[Sexo],$B104,DATOS_[AGRUP. VALOR. PTO.],$B102,DATOS_[Check Periodo Ref.],"Dentro",DATOS_[id/cod],DATOS_[id/cod]))))))</f>
        <v>0</v>
      </c>
      <c r="D104" s="168">
        <f>COUNTIFS(DATOS_[AGRUP. VALOR. PTO.],$B102,DATOS_[Sexo],$B104,DATOS_[Check Periodo Ref.],"Dentro")</f>
        <v>0</v>
      </c>
      <c r="E104" s="169">
        <f t="array" ref="E104">IFERROR(
AVERAGE(IF(DATOS_[Sexo]=$B104,IF(DATOS_[AGRUP. VALOR. PTO.]=$B102,IF(DATOS_[Check Periodo Ref.]="Dentro",DATOS_[SALARIO BASE Ef],FALSE)))),
0)</f>
        <v>0</v>
      </c>
      <c r="F104" s="170">
        <f t="array" ref="F104">IFERROR(
AVERAGE((IF(DATOS_[[Sexo]:[Sexo]]=$B104,IF(DATOS_[[AGRUP. VALOR. PTO.]:[AGRUP. VALOR. PTO.]]=$B102,IF(DATOS_[[Check Periodo Ref.]:[Check Periodo Ref.]]="Dentro",DATOS_[Conc.Sal.01]))))),
0)</f>
        <v>0</v>
      </c>
      <c r="G104" s="170">
        <f t="array" ref="G104">IFERROR(
AVERAGE((IF(DATOS_[[Sexo]:[Sexo]]=$B104,IF(DATOS_[[AGRUP. VALOR. PTO.]:[AGRUP. VALOR. PTO.]]=$B102,IF(DATOS_[[Check Periodo Ref.]:[Check Periodo Ref.]]="Dentro",DATOS_[Conc.Sal.02]))))),
0)</f>
        <v>0</v>
      </c>
      <c r="H104" s="170">
        <f t="array" ref="H104">IFERROR(
AVERAGE((IF(DATOS_[[Sexo]:[Sexo]]=$B104,IF(DATOS_[[AGRUP. VALOR. PTO.]:[AGRUP. VALOR. PTO.]]=$B102,IF(DATOS_[[Check Periodo Ref.]:[Check Periodo Ref.]]="Dentro",DATOS_[Conc.Sal.03]))))),
0)</f>
        <v>0</v>
      </c>
      <c r="I104" s="170">
        <f t="array" ref="I104">IFERROR(
AVERAGE((IF(DATOS_[[Sexo]:[Sexo]]=$B104,IF(DATOS_[[AGRUP. VALOR. PTO.]:[AGRUP. VALOR. PTO.]]=$B102,IF(DATOS_[[Check Periodo Ref.]:[Check Periodo Ref.]]="Dentro",DATOS_[Conc.Sal.04]))))),
0)</f>
        <v>0</v>
      </c>
      <c r="J104" s="170">
        <f t="array" ref="J104">IFERROR(
AVERAGE((IF(DATOS_[[Sexo]:[Sexo]]=$B104,IF(DATOS_[[AGRUP. VALOR. PTO.]:[AGRUP. VALOR. PTO.]]=$B102,IF(DATOS_[[Check Periodo Ref.]:[Check Periodo Ref.]]="Dentro",DATOS_[Conc.Sal.05]))))),
0)</f>
        <v>0</v>
      </c>
      <c r="K104" s="170">
        <f t="array" ref="K104">IFERROR(
AVERAGE((IF(DATOS_[[Sexo]:[Sexo]]=$B104,IF(DATOS_[[AGRUP. VALOR. PTO.]:[AGRUP. VALOR. PTO.]]=$B102,IF(DATOS_[[Check Periodo Ref.]:[Check Periodo Ref.]]="Dentro",DATOS_[Conc.Sal.06]))))),
0)</f>
        <v>0</v>
      </c>
      <c r="L104" s="170">
        <f t="array" ref="L104">IFERROR(
AVERAGE((IF(DATOS_[[Sexo]:[Sexo]]=$B104,IF(DATOS_[[AGRUP. VALOR. PTO.]:[AGRUP. VALOR. PTO.]]=$B102,IF(DATOS_[[Check Periodo Ref.]:[Check Periodo Ref.]]="Dentro",DATOS_[Conc.Sal.07]))))),
0)</f>
        <v>0</v>
      </c>
      <c r="M104" s="170">
        <f t="array" ref="M104">IFERROR(
AVERAGE((IF(DATOS_[[Sexo]:[Sexo]]=$B104,IF(DATOS_[[AGRUP. VALOR. PTO.]:[AGRUP. VALOR. PTO.]]=$B102,IF(DATOS_[[Check Periodo Ref.]:[Check Periodo Ref.]]="Dentro",DATOS_[Conc.Sal.08]))))),
0)</f>
        <v>0</v>
      </c>
      <c r="N104" s="170">
        <f t="array" ref="N104">IFERROR(
AVERAGE((IF(DATOS_[[Sexo]:[Sexo]]=$B104,IF(DATOS_[[AGRUP. VALOR. PTO.]:[AGRUP. VALOR. PTO.]]=$B102,IF(DATOS_[[Check Periodo Ref.]:[Check Periodo Ref.]]="Dentro",DATOS_[Conc.Sal.09]))))),
0)</f>
        <v>0</v>
      </c>
      <c r="O104" s="170">
        <f t="array" ref="O104">IFERROR(
AVERAGE((IF(DATOS_[[Sexo]:[Sexo]]=$B104,IF(DATOS_[[AGRUP. VALOR. PTO.]:[AGRUP. VALOR. PTO.]]=$B102,IF(DATOS_[[Check Periodo Ref.]:[Check Periodo Ref.]]="Dentro",DATOS_[Conc.Sal.10]))))),
0)</f>
        <v>0</v>
      </c>
      <c r="P104" s="170">
        <f t="array" ref="P104">IFERROR(
AVERAGE((IF(DATOS_[[Sexo]:[Sexo]]=$B104,IF(DATOS_[[AGRUP. VALOR. PTO.]:[AGRUP. VALOR. PTO.]]=$B102,IF(DATOS_[[Check Periodo Ref.]:[Check Periodo Ref.]]="Dentro",DATOS_[Conc.Sal.11]))))),
0)</f>
        <v>0</v>
      </c>
      <c r="Q104" s="170">
        <f t="array" ref="Q104">IFERROR(
AVERAGE((IF(DATOS_[[Sexo]:[Sexo]]=$B104,IF(DATOS_[[AGRUP. VALOR. PTO.]:[AGRUP. VALOR. PTO.]]=$B102,IF(DATOS_[[Check Periodo Ref.]:[Check Periodo Ref.]]="Dentro",DATOS_[Conc.Sal.12]))))),
0)</f>
        <v>0</v>
      </c>
      <c r="R104" s="170">
        <f t="array" ref="R104">IFERROR(
AVERAGE((IF(DATOS_[[Sexo]:[Sexo]]=$B104,IF(DATOS_[[AGRUP. VALOR. PTO.]:[AGRUP. VALOR. PTO.]]=$B102,IF(DATOS_[[Check Periodo Ref.]:[Check Periodo Ref.]]="Dentro",DATOS_[Conc.Sal.13]))))),
0)</f>
        <v>0</v>
      </c>
      <c r="S104" s="170">
        <f t="array" ref="S104">IFERROR(
AVERAGE((IF(DATOS_[[Sexo]:[Sexo]]=$B104,IF(DATOS_[[AGRUP. VALOR. PTO.]:[AGRUP. VALOR. PTO.]]=$B102,IF(DATOS_[[Check Periodo Ref.]:[Check Periodo Ref.]]="Dentro",DATOS_[Conc.Sal.14]))))),
0)</f>
        <v>0</v>
      </c>
      <c r="T104" s="170">
        <f t="array" ref="T104">IFERROR(
AVERAGE((IF(DATOS_[[Sexo]:[Sexo]]=$B104,IF(DATOS_[[AGRUP. VALOR. PTO.]:[AGRUP. VALOR. PTO.]]=$B102,IF(DATOS_[[Check Periodo Ref.]:[Check Periodo Ref.]]="Dentro",DATOS_[Conc.Sal.15]))))),
0)</f>
        <v>0</v>
      </c>
      <c r="U104" s="170">
        <f t="array" ref="U104">IFERROR(
AVERAGE((IF(DATOS_[[Sexo]:[Sexo]]=$B104,IF(DATOS_[[AGRUP. VALOR. PTO.]:[AGRUP. VALOR. PTO.]]=$B102,IF(DATOS_[[Check Periodo Ref.]:[Check Periodo Ref.]]="Dentro",DATOS_[Conc.Sal.16]))))),
0)</f>
        <v>0</v>
      </c>
      <c r="V104" s="170">
        <f t="array" ref="V104">IFERROR(
AVERAGE((IF(DATOS_[[Sexo]:[Sexo]]=$B104,IF(DATOS_[[AGRUP. VALOR. PTO.]:[AGRUP. VALOR. PTO.]]=$B102,IF(DATOS_[[Check Periodo Ref.]:[Check Periodo Ref.]]="Dentro",DATOS_[Conc.Sal.17]))))),
0)</f>
        <v>0</v>
      </c>
      <c r="W104" s="170">
        <f t="array" ref="W104">IFERROR(
AVERAGE((IF(DATOS_[[Sexo]:[Sexo]]=$B104,IF(DATOS_[[AGRUP. VALOR. PTO.]:[AGRUP. VALOR. PTO.]]=$B102,IF(DATOS_[[Check Periodo Ref.]:[Check Periodo Ref.]]="Dentro",DATOS_[Conc.Sal.18]))))),
0)</f>
        <v>0</v>
      </c>
      <c r="X104" s="170">
        <f t="array" ref="X104">IFERROR(
AVERAGE((IF(DATOS_[[Sexo]:[Sexo]]=$B104,IF(DATOS_[[AGRUP. VALOR. PTO.]:[AGRUP. VALOR. PTO.]]=$B102,IF(DATOS_[[Check Periodo Ref.]:[Check Periodo Ref.]]="Dentro",DATOS_[Conc.Sal.19]))))),
0)</f>
        <v>0</v>
      </c>
      <c r="Y104" s="170">
        <f t="array" ref="Y104">IFERROR(
AVERAGE((IF(DATOS_[[Sexo]:[Sexo]]=$B104,IF(DATOS_[[AGRUP. VALOR. PTO.]:[AGRUP. VALOR. PTO.]]=$B102,IF(DATOS_[[Check Periodo Ref.]:[Check Periodo Ref.]]="Dentro",DATOS_[Conc.Sal.20]))))),
0)</f>
        <v>0</v>
      </c>
      <c r="Z104" s="170">
        <f t="array" ref="Z104">IFERROR(
AVERAGE((IF(DATOS_[[Sexo]:[Sexo]]=$B104,IF(DATOS_[[AGRUP. VALOR. PTO.]:[AGRUP. VALOR. PTO.]]=$B102,IF(DATOS_[[Check Periodo Ref.]:[Check Periodo Ref.]]="Dentro",DATOS_[Conc.Sal.21]))))),
0)</f>
        <v>0</v>
      </c>
      <c r="AA104" s="170">
        <f t="array" ref="AA104">IFERROR(
AVERAGE((IF(DATOS_[[Sexo]:[Sexo]]=$B104,IF(DATOS_[[AGRUP. VALOR. PTO.]:[AGRUP. VALOR. PTO.]]=$B102,IF(DATOS_[[Check Periodo Ref.]:[Check Periodo Ref.]]="Dentro",DATOS_[Conc.Sal.22]))))),
0)</f>
        <v>0</v>
      </c>
      <c r="AB104" s="170">
        <f t="array" ref="AB104">IFERROR(
AVERAGE((IF(DATOS_[[Sexo]:[Sexo]]=$B104,IF(DATOS_[[AGRUP. VALOR. PTO.]:[AGRUP. VALOR. PTO.]]=$B102,IF(DATOS_[[Check Periodo Ref.]:[Check Periodo Ref.]]="Dentro",DATOS_[Conc.Sal.23]))))),
0)</f>
        <v>0</v>
      </c>
      <c r="AC104" s="170">
        <f t="array" ref="AC104">IFERROR(
AVERAGE((IF(DATOS_[[Sexo]:[Sexo]]=$B104,IF(DATOS_[[AGRUP. VALOR. PTO.]:[AGRUP. VALOR. PTO.]]=$B102,IF(DATOS_[[Check Periodo Ref.]:[Check Periodo Ref.]]="Dentro",DATOS_[Conc.Sal.24]))))),
0)</f>
        <v>0</v>
      </c>
      <c r="AD104" s="170">
        <f t="array" ref="AD104">IFERROR(
AVERAGE((IF(DATOS_[[Sexo]:[Sexo]]=$B104,IF(DATOS_[[AGRUP. VALOR. PTO.]:[AGRUP. VALOR. PTO.]]=$B102,IF(DATOS_[[Check Periodo Ref.]:[Check Periodo Ref.]]="Dentro",DATOS_[Conc.Sal.25]))))),
0)</f>
        <v>0</v>
      </c>
      <c r="AE104" s="170">
        <f t="array" ref="AE104">IFERROR(
AVERAGE((IF(DATOS_[[Sexo]:[Sexo]]=$B104,IF(DATOS_[[AGRUP. VALOR. PTO.]:[AGRUP. VALOR. PTO.]]=$B102,IF(DATOS_[[Check Periodo Ref.]:[Check Periodo Ref.]]="Dentro",DATOS_[Conc.Sal.26]))))),
0)</f>
        <v>0</v>
      </c>
      <c r="AF104" s="170">
        <f t="array" ref="AF104">IFERROR(
AVERAGE((IF(DATOS_[[Sexo]:[Sexo]]=$B104,IF(DATOS_[[AGRUP. VALOR. PTO.]:[AGRUP. VALOR. PTO.]]=$B102,IF(DATOS_[[Check Periodo Ref.]:[Check Periodo Ref.]]="Dentro",DATOS_[Conc.Sal.27]))))),
0)</f>
        <v>0</v>
      </c>
      <c r="AG104" s="170">
        <f t="array" ref="AG104">IFERROR(
AVERAGE((IF(DATOS_[[Sexo]:[Sexo]]=$B104,IF(DATOS_[[AGRUP. VALOR. PTO.]:[AGRUP. VALOR. PTO.]]=$B102,IF(DATOS_[[Check Periodo Ref.]:[Check Periodo Ref.]]="Dentro",DATOS_[Conc.Sal.28]))))),
0)</f>
        <v>0</v>
      </c>
      <c r="AH104" s="170">
        <f t="array" ref="AH104">IFERROR(
AVERAGE((IF(DATOS_[[Sexo]:[Sexo]]=$B104,IF(DATOS_[[AGRUP. VALOR. PTO.]:[AGRUP. VALOR. PTO.]]=$B102,IF(DATOS_[[Check Periodo Ref.]:[Check Periodo Ref.]]="Dentro",DATOS_[Conc.Sal.29]))))),
0)</f>
        <v>0</v>
      </c>
      <c r="AI104" s="170">
        <f t="array" ref="AI104">IFERROR(
AVERAGE((IF(DATOS_[[Sexo]:[Sexo]]=$B104,IF(DATOS_[[AGRUP. VALOR. PTO.]:[AGRUP. VALOR. PTO.]]=$B102,IF(DATOS_[[Check Periodo Ref.]:[Check Periodo Ref.]]="Dentro",DATOS_[Conc.Sal.30]))))),
0)</f>
        <v>0</v>
      </c>
      <c r="AJ104" s="171">
        <f t="array" ref="AJ104">IFERROR(
AVERAGE(IF(DATOS_[Sexo]=$B104,IF(DATOS_[AGRUP. VALOR. PTO.]=$B102,IF(DATOS_[Check Periodo Ref.]="Dentro",DATOS_[Tot COMPL.SAL Ef],FALSE)))),
0)</f>
        <v>0</v>
      </c>
      <c r="AK104" s="172">
        <f t="array" ref="AK104">IFERROR(
AVERAGE(IF(DATOS_[Sexo]=$B104,IF(DATOS_[AGRUP. VALOR. PTO.]=$B102,IF(DATOS_[Check Periodo Ref.]="Dentro",DATOS_[TOTAL SALARIO Ef],FALSE)))),
0)</f>
        <v>0</v>
      </c>
      <c r="AL104" s="173">
        <f t="array" ref="AL104">IFERROR(
AVERAGE((IF(DATOS_[[Sexo]:[Sexo]]=$B104,IF(DATOS_[[AGRUP. VALOR. PTO.]:[AGRUP. VALOR. PTO.]]=$B102,IF(DATOS_[[Check Periodo Ref.]:[Check Periodo Ref.]]="Dentro",DATOS_[C.Extra.01]))))),
0)</f>
        <v>0</v>
      </c>
      <c r="AM104" s="173">
        <f t="array" ref="AM104">IFERROR(
AVERAGE((IF(DATOS_[[Sexo]:[Sexo]]=$B104,IF(DATOS_[[AGRUP. VALOR. PTO.]:[AGRUP. VALOR. PTO.]]=$B102,IF(DATOS_[[Check Periodo Ref.]:[Check Periodo Ref.]]="Dentro",DATOS_[C.Extra.06]))))),
0)</f>
        <v>0</v>
      </c>
      <c r="AN104" s="173">
        <f t="array" ref="AN104">IFERROR(
AVERAGE((IF(DATOS_[[Sexo]:[Sexo]]=$B104,IF(DATOS_[[AGRUP. VALOR. PTO.]:[AGRUP. VALOR. PTO.]]=$B102,IF(DATOS_[[Check Periodo Ref.]:[Check Periodo Ref.]]="Dentro",DATOS_[C.Extra.07]))))),
0)</f>
        <v>0</v>
      </c>
      <c r="AO104" s="173">
        <f t="array" ref="AO104">IFERROR(
AVERAGE((IF(DATOS_[[Sexo]:[Sexo]]=$B104,IF(DATOS_[[AGRUP. VALOR. PTO.]:[AGRUP. VALOR. PTO.]]=$B102,IF(DATOS_[[Check Periodo Ref.]:[Check Periodo Ref.]]="Dentro",DATOS_[C.Extra.08]))))),
0)</f>
        <v>0</v>
      </c>
      <c r="AP104" s="173">
        <f t="array" ref="AP104">IFERROR(
AVERAGE((IF(DATOS_[[Sexo]:[Sexo]]=$B104,IF(DATOS_[[AGRUP. VALOR. PTO.]:[AGRUP. VALOR. PTO.]]=$B102,IF(DATOS_[[Check Periodo Ref.]:[Check Periodo Ref.]]="Dentro",DATOS_[C.Extra.11]))))),
0)</f>
        <v>0</v>
      </c>
      <c r="AQ104" s="174">
        <f t="array" ref="AQ104">IFERROR(
AVERAGE(IF(DATOS_[Sexo]=$B104,IF(DATOS_[AGRUP. VALOR. PTO.]=$B102,IF(DATOS_[Check Periodo Ref.]="Dentro",DATOS_[Tot Extrasalarial Ef],FALSE)))),
0)</f>
        <v>0</v>
      </c>
      <c r="AR104" s="171">
        <f t="array" ref="AR104">IFERROR(
AVERAGE(IF(DATOS_[Sexo]=$B104,IF(DATOS_[AGRUP. VALOR. PTO.]=$B102,IF(DATOS_[Check Periodo Ref.]="Dentro",DATOS_[TOTAL Retrib Ef],FALSE)))),
0)</f>
        <v>0</v>
      </c>
    </row>
  </sheetData>
  <dataConsolidate/>
  <pageMargins left="0.25" right="0.25" top="0.75" bottom="0.75" header="0.3" footer="0.3"/>
  <pageSetup scale="84" fitToHeight="0"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tint="0.39997558519241921"/>
    <pageSetUpPr fitToPage="1"/>
  </sheetPr>
  <dimension ref="A1:AR104"/>
  <sheetViews>
    <sheetView showGridLines="0" zoomScale="80" zoomScaleNormal="80" workbookViewId="0">
      <selection activeCell="C1" sqref="C1"/>
    </sheetView>
  </sheetViews>
  <sheetFormatPr baseColWidth="10" defaultColWidth="7.33203125" defaultRowHeight="13.8" outlineLevelCol="1" x14ac:dyDescent="0.25"/>
  <cols>
    <col min="1" max="1" width="8.88671875" style="178" customWidth="1"/>
    <col min="2" max="2" width="10.44140625" style="178" bestFit="1" customWidth="1"/>
    <col min="3" max="4" width="7.33203125" style="178" customWidth="1"/>
    <col min="5" max="5" width="10.44140625" style="178" customWidth="1"/>
    <col min="6" max="15" width="8.88671875" style="178" customWidth="1"/>
    <col min="16" max="27" width="8.88671875" style="178" customWidth="1" outlineLevel="1"/>
    <col min="28" max="35" width="8.88671875" style="178" hidden="1" customWidth="1" outlineLevel="1"/>
    <col min="36" max="37" width="8.88671875" style="178" customWidth="1"/>
    <col min="38" max="39" width="8.6640625" style="178" customWidth="1"/>
    <col min="40" max="42" width="8.6640625" style="178" hidden="1" customWidth="1"/>
    <col min="43" max="43" width="13.33203125" style="178" customWidth="1"/>
    <col min="44" max="44" width="9.88671875" style="178" customWidth="1"/>
    <col min="45" max="16384" width="7.33203125" style="178"/>
  </cols>
  <sheetData>
    <row r="1" spans="1:44" s="133" customFormat="1" ht="42.6" customHeight="1" x14ac:dyDescent="0.25">
      <c r="E1" s="254" t="s">
        <v>625</v>
      </c>
    </row>
    <row r="2" spans="1:44" ht="21" customHeight="1" x14ac:dyDescent="0.25">
      <c r="G2" s="178" t="str">
        <f>+IF(G8="[ocultar]",G8,"")</f>
        <v/>
      </c>
      <c r="H2" s="178" t="str">
        <f t="shared" ref="H2:AP2" si="0">+IF(H8="[ocultar]",H8,"")</f>
        <v/>
      </c>
      <c r="I2" s="178" t="str">
        <f t="shared" si="0"/>
        <v/>
      </c>
      <c r="J2" s="178" t="str">
        <f t="shared" si="0"/>
        <v/>
      </c>
      <c r="K2" s="178" t="str">
        <f t="shared" si="0"/>
        <v/>
      </c>
      <c r="L2" s="178" t="str">
        <f t="shared" si="0"/>
        <v/>
      </c>
      <c r="M2" s="178" t="str">
        <f t="shared" si="0"/>
        <v/>
      </c>
      <c r="N2" s="178" t="str">
        <f t="shared" si="0"/>
        <v/>
      </c>
      <c r="O2" s="178" t="str">
        <f t="shared" si="0"/>
        <v/>
      </c>
      <c r="P2" s="178" t="str">
        <f t="shared" si="0"/>
        <v/>
      </c>
      <c r="Q2" s="178" t="str">
        <f t="shared" si="0"/>
        <v/>
      </c>
      <c r="R2" s="178" t="str">
        <f t="shared" si="0"/>
        <v/>
      </c>
      <c r="S2" s="178" t="str">
        <f t="shared" si="0"/>
        <v/>
      </c>
      <c r="T2" s="178" t="str">
        <f t="shared" si="0"/>
        <v/>
      </c>
      <c r="U2" s="178" t="str">
        <f t="shared" si="0"/>
        <v/>
      </c>
      <c r="V2" s="178" t="str">
        <f t="shared" si="0"/>
        <v/>
      </c>
      <c r="W2" s="178" t="str">
        <f t="shared" si="0"/>
        <v/>
      </c>
      <c r="X2" s="178" t="str">
        <f t="shared" si="0"/>
        <v/>
      </c>
      <c r="Y2" s="178" t="str">
        <f t="shared" si="0"/>
        <v/>
      </c>
      <c r="Z2" s="178" t="str">
        <f t="shared" si="0"/>
        <v/>
      </c>
      <c r="AA2" s="178" t="str">
        <f t="shared" si="0"/>
        <v>[ocultar]</v>
      </c>
      <c r="AB2" s="178" t="str">
        <f t="shared" si="0"/>
        <v>[ocultar]</v>
      </c>
      <c r="AC2" s="178" t="str">
        <f t="shared" si="0"/>
        <v>[ocultar]</v>
      </c>
      <c r="AD2" s="178" t="str">
        <f t="shared" si="0"/>
        <v>[ocultar]</v>
      </c>
      <c r="AE2" s="178" t="str">
        <f t="shared" si="0"/>
        <v>[ocultar]</v>
      </c>
      <c r="AF2" s="178" t="str">
        <f t="shared" si="0"/>
        <v>[ocultar]</v>
      </c>
      <c r="AG2" s="178" t="str">
        <f t="shared" si="0"/>
        <v>[ocultar]</v>
      </c>
      <c r="AH2" s="178" t="str">
        <f t="shared" si="0"/>
        <v>[ocultar]</v>
      </c>
      <c r="AI2" s="178" t="str">
        <f t="shared" si="0"/>
        <v>[ocultar]</v>
      </c>
      <c r="AJ2" s="178" t="str">
        <f t="shared" si="0"/>
        <v/>
      </c>
      <c r="AK2" s="178" t="str">
        <f t="shared" si="0"/>
        <v/>
      </c>
      <c r="AL2" s="178" t="str">
        <f t="shared" si="0"/>
        <v>[ocultar]</v>
      </c>
      <c r="AM2" s="178" t="str">
        <f t="shared" si="0"/>
        <v>[ocultar]</v>
      </c>
      <c r="AN2" s="178" t="str">
        <f t="shared" si="0"/>
        <v>[ocultar]</v>
      </c>
      <c r="AO2" s="178" t="str">
        <f t="shared" si="0"/>
        <v>[ocultar]</v>
      </c>
      <c r="AP2" s="178" t="str">
        <f t="shared" si="0"/>
        <v>[ocultar]</v>
      </c>
    </row>
    <row r="3" spans="1:44" ht="14.1" customHeight="1" x14ac:dyDescent="0.25">
      <c r="E3" s="179" t="str">
        <f>+"Razón Social: "&amp;Inicio!C6&amp;"  -  NIF: "&amp;Inicio!C8</f>
        <v>Razón Social: TANATORIOS DE CORDOBA, SA/Convenio Colectivo de Sector de POMPAS FUNEBRES (14000425011981) de Córdoba  -  NIF: A14087548</v>
      </c>
      <c r="F3" s="180"/>
    </row>
    <row r="4" spans="1:44" ht="14.1" customHeight="1" x14ac:dyDescent="0.25">
      <c r="E4" s="181" t="s">
        <v>4</v>
      </c>
      <c r="F4" s="182"/>
    </row>
    <row r="5" spans="1:44" ht="14.1" customHeight="1" x14ac:dyDescent="0.25">
      <c r="E5" s="183">
        <f>+Inicio!E10</f>
        <v>45292</v>
      </c>
      <c r="F5" s="184" t="str">
        <f>+Inicio!D10</f>
        <v>fecha inicio</v>
      </c>
    </row>
    <row r="6" spans="1:44" ht="14.1" customHeight="1" x14ac:dyDescent="0.25">
      <c r="E6" s="183">
        <f>+Inicio!G10</f>
        <v>45657</v>
      </c>
      <c r="F6" s="184" t="s">
        <v>6</v>
      </c>
    </row>
    <row r="7" spans="1:44" s="143" customFormat="1" ht="14.1" customHeight="1" x14ac:dyDescent="0.3"/>
    <row r="8" spans="1:44" s="185" customFormat="1" ht="46.35" customHeight="1" x14ac:dyDescent="0.3">
      <c r="B8" s="145"/>
      <c r="C8" s="145" t="s">
        <v>621</v>
      </c>
      <c r="D8" s="145" t="s">
        <v>622</v>
      </c>
      <c r="E8" s="146" t="s">
        <v>151</v>
      </c>
      <c r="F8" s="147" t="str">
        <f>+IF(DATOS!AE6="","[ocultar]",DATOS!AE6)</f>
        <v>HORAS EXTRAS</v>
      </c>
      <c r="G8" s="147" t="str">
        <f>+IF(DATOS!AF6="","[ocultar]",DATOS!AF6)</f>
        <v>SEGURO CONVENIO</v>
      </c>
      <c r="H8" s="147" t="str">
        <f>+IF(DATOS!AG6="","[ocultar]",DATOS!AG6)</f>
        <v>PLUS UNIFICADO</v>
      </c>
      <c r="I8" s="147" t="str">
        <f>+IF(DATOS!AH6="","[ocultar]",DATOS!AH6)</f>
        <v>GARANTIA AD PERS</v>
      </c>
      <c r="J8" s="147" t="str">
        <f>+IF(DATOS!AI6="","[ocultar]",DATOS!AI6)</f>
        <v>COMISIONES</v>
      </c>
      <c r="K8" s="147" t="str">
        <f>+IF(DATOS!AJ6="","[ocultar]",DATOS!AJ6)</f>
        <v>DOMINGOS Y FESTIVOS</v>
      </c>
      <c r="L8" s="147" t="str">
        <f>+IF(DATOS!AK6="","[ocultar]",DATOS!AK6)</f>
        <v>LOCOMOCION NO</v>
      </c>
      <c r="M8" s="147" t="str">
        <f>+IF(DATOS!AL6="","[ocultar]",DATOS!AL6)</f>
        <v>PLUS EXTRA VAC</v>
      </c>
      <c r="N8" s="147" t="str">
        <f>+IF(DATOS!AM6="","[ocultar]",DATOS!AM6)</f>
        <v>PLUS DE TRANS</v>
      </c>
      <c r="O8" s="147" t="str">
        <f>+IF(DATOS!AN6="","[ocultar]",DATOS!AN6)</f>
        <v>PLUS ACTIVIDAD</v>
      </c>
      <c r="P8" s="147" t="str">
        <f>+IF(DATOS!AO6="","[ocultar]",DATOS!AO6)</f>
        <v>CUOTA SINDICAL</v>
      </c>
      <c r="Q8" s="147" t="str">
        <f>+IF(DATOS!AP6="","[ocultar]",DATOS!AP6)</f>
        <v>AYUDA FAMILIAR</v>
      </c>
      <c r="R8" s="147" t="str">
        <f>+IF(DATOS!AQ6="","[ocultar]",DATOS!AQ6)</f>
        <v>INCENTIVO</v>
      </c>
      <c r="S8" s="147" t="str">
        <f>+IF(DATOS!AR6="","[ocultar]",DATOS!AR6)</f>
        <v>SEGURO MEDICO</v>
      </c>
      <c r="T8" s="147" t="str">
        <f>+IF(DATOS!AS6="","[ocultar]",DATOS!AS6)</f>
        <v>DES. SEGURO MEDICO</v>
      </c>
      <c r="U8" s="147" t="str">
        <f>+IF(DATOS!AT6="","[ocultar]",DATOS!AT6)</f>
        <v>SEGURO SALUD 2</v>
      </c>
      <c r="V8" s="147" t="str">
        <f>+IF(DATOS!AU6="","[ocultar]",DATOS!AU6)</f>
        <v>COMP. EMPRESA I.T.</v>
      </c>
      <c r="W8" s="147" t="str">
        <f>+IF(DATOS!AV6="","[ocultar]",DATOS!AV6)</f>
        <v>I.T. CUENTA EMPRESA</v>
      </c>
      <c r="X8" s="147" t="str">
        <f>+IF(DATOS!AW6="","[ocultar]",DATOS!AW6)</f>
        <v>SALARIO EN ESPECIE</v>
      </c>
      <c r="Y8" s="147" t="str">
        <f>+IF(DATOS!AX6="","[ocultar]",DATOS!AX6)</f>
        <v>PLUS DE POLIVALENCIA</v>
      </c>
      <c r="Z8" s="147" t="str">
        <f>+IF(DATOS!AY6="","[ocultar]",DATOS!AY6)</f>
        <v>LIQUID  PAGAS EXTRA</v>
      </c>
      <c r="AA8" s="147" t="str">
        <f>+IF(DATOS!AZ6="","[ocultar]",DATOS!AZ6)</f>
        <v>[ocultar]</v>
      </c>
      <c r="AB8" s="147" t="str">
        <f>+IF(DATOS!BA6="","[ocultar]",DATOS!BA6)</f>
        <v>[ocultar]</v>
      </c>
      <c r="AC8" s="147" t="str">
        <f>+IF(DATOS!BB6="","[ocultar]",DATOS!BB6)</f>
        <v>[ocultar]</v>
      </c>
      <c r="AD8" s="147" t="str">
        <f>+IF(DATOS!BC6="","[ocultar]",DATOS!BC6)</f>
        <v>[ocultar]</v>
      </c>
      <c r="AE8" s="147" t="str">
        <f>+IF(DATOS!BD6="","[ocultar]",DATOS!BD6)</f>
        <v>[ocultar]</v>
      </c>
      <c r="AF8" s="147" t="str">
        <f>+IF(DATOS!BE6="","[ocultar]",DATOS!BE6)</f>
        <v>[ocultar]</v>
      </c>
      <c r="AG8" s="147" t="str">
        <f>+IF(DATOS!BF6="","[ocultar]",DATOS!BF6)</f>
        <v>[ocultar]</v>
      </c>
      <c r="AH8" s="147" t="str">
        <f>+IF(DATOS!BG6="","[ocultar]",DATOS!BG6)</f>
        <v>[ocultar]</v>
      </c>
      <c r="AI8" s="147" t="str">
        <f>+IF(DATOS!BH6="","[ocultar]",DATOS!BH6)</f>
        <v>[ocultar]</v>
      </c>
      <c r="AJ8" s="148" t="s">
        <v>153</v>
      </c>
      <c r="AK8" s="149" t="s">
        <v>155</v>
      </c>
      <c r="AL8" s="150" t="str">
        <f>+IF(DATOS!BW6="","[ocultar]",DATOS!BW6)</f>
        <v>[ocultar]</v>
      </c>
      <c r="AM8" s="150" t="str">
        <f>+IF(DATOS!CB6="","[ocultar]",DATOS!CB6)</f>
        <v>[ocultar]</v>
      </c>
      <c r="AN8" s="150" t="str">
        <f>+IF(DATOS!CC6="","[ocultar]",DATOS!CC6)</f>
        <v>[ocultar]</v>
      </c>
      <c r="AO8" s="150" t="str">
        <f>+IF(DATOS!CD6="","[ocultar]",DATOS!CD6)</f>
        <v>[ocultar]</v>
      </c>
      <c r="AP8" s="150" t="str">
        <f>+IF(DATOS!CG6="","[ocultar]",DATOS!CG6)</f>
        <v>[ocultar]</v>
      </c>
      <c r="AQ8" s="151" t="s">
        <v>157</v>
      </c>
      <c r="AR8" s="148" t="s">
        <v>159</v>
      </c>
    </row>
    <row r="9" spans="1:44" s="186" customFormat="1" ht="15.6" thickBot="1" x14ac:dyDescent="0.3">
      <c r="B9" s="153" t="s">
        <v>623</v>
      </c>
      <c r="C9" s="154"/>
      <c r="D9" s="155"/>
      <c r="E9" s="156" t="str">
        <f t="shared" ref="E9" si="1">IFERROR((E10-E11)/E10,"")</f>
        <v/>
      </c>
      <c r="F9" s="157" t="str">
        <f>IFERROR((F10-F11)/F10,"")</f>
        <v/>
      </c>
      <c r="G9" s="158" t="str">
        <f t="shared" ref="G9:AR9" si="2">IFERROR((G10-G11)/G10,"")</f>
        <v/>
      </c>
      <c r="H9" s="158" t="str">
        <f t="shared" si="2"/>
        <v/>
      </c>
      <c r="I9" s="158" t="str">
        <f t="shared" si="2"/>
        <v/>
      </c>
      <c r="J9" s="159" t="str">
        <f t="shared" si="2"/>
        <v/>
      </c>
      <c r="K9" s="160" t="str">
        <f t="shared" si="2"/>
        <v/>
      </c>
      <c r="L9" s="160" t="str">
        <f t="shared" si="2"/>
        <v/>
      </c>
      <c r="M9" s="160" t="str">
        <f t="shared" si="2"/>
        <v/>
      </c>
      <c r="N9" s="160" t="str">
        <f t="shared" si="2"/>
        <v/>
      </c>
      <c r="O9" s="160" t="str">
        <f t="shared" si="2"/>
        <v/>
      </c>
      <c r="P9" s="160" t="str">
        <f t="shared" si="2"/>
        <v/>
      </c>
      <c r="Q9" s="160" t="str">
        <f t="shared" si="2"/>
        <v/>
      </c>
      <c r="R9" s="160" t="str">
        <f t="shared" si="2"/>
        <v/>
      </c>
      <c r="S9" s="160" t="str">
        <f t="shared" si="2"/>
        <v/>
      </c>
      <c r="T9" s="160" t="str">
        <f t="shared" si="2"/>
        <v/>
      </c>
      <c r="U9" s="160" t="str">
        <f t="shared" si="2"/>
        <v/>
      </c>
      <c r="V9" s="159" t="str">
        <f t="shared" si="2"/>
        <v/>
      </c>
      <c r="W9" s="159" t="str">
        <f t="shared" si="2"/>
        <v/>
      </c>
      <c r="X9" s="159" t="str">
        <f t="shared" si="2"/>
        <v/>
      </c>
      <c r="Y9" s="159" t="str">
        <f t="shared" si="2"/>
        <v/>
      </c>
      <c r="Z9" s="159" t="str">
        <f t="shared" si="2"/>
        <v/>
      </c>
      <c r="AA9" s="159" t="str">
        <f t="shared" si="2"/>
        <v/>
      </c>
      <c r="AB9" s="159" t="str">
        <f t="shared" si="2"/>
        <v/>
      </c>
      <c r="AC9" s="159" t="str">
        <f t="shared" si="2"/>
        <v/>
      </c>
      <c r="AD9" s="159" t="str">
        <f t="shared" si="2"/>
        <v/>
      </c>
      <c r="AE9" s="159" t="str">
        <f t="shared" si="2"/>
        <v/>
      </c>
      <c r="AF9" s="159" t="str">
        <f t="shared" si="2"/>
        <v/>
      </c>
      <c r="AG9" s="159" t="str">
        <f t="shared" si="2"/>
        <v/>
      </c>
      <c r="AH9" s="159" t="str">
        <f t="shared" si="2"/>
        <v/>
      </c>
      <c r="AI9" s="159" t="str">
        <f t="shared" si="2"/>
        <v/>
      </c>
      <c r="AJ9" s="161" t="str">
        <f t="shared" si="2"/>
        <v/>
      </c>
      <c r="AK9" s="162" t="str">
        <f t="shared" si="2"/>
        <v/>
      </c>
      <c r="AL9" s="163" t="str">
        <f t="shared" si="2"/>
        <v/>
      </c>
      <c r="AM9" s="163" t="str">
        <f t="shared" si="2"/>
        <v/>
      </c>
      <c r="AN9" s="163" t="str">
        <f t="shared" si="2"/>
        <v/>
      </c>
      <c r="AO9" s="163" t="str">
        <f t="shared" si="2"/>
        <v/>
      </c>
      <c r="AP9" s="163" t="str">
        <f t="shared" si="2"/>
        <v/>
      </c>
      <c r="AQ9" s="164" t="str">
        <f t="shared" si="2"/>
        <v/>
      </c>
      <c r="AR9" s="165" t="str">
        <f t="shared" si="2"/>
        <v/>
      </c>
    </row>
    <row r="10" spans="1:44" s="186" customFormat="1" x14ac:dyDescent="0.25">
      <c r="B10" s="166" t="s">
        <v>394</v>
      </c>
      <c r="C10" s="167">
        <f t="array" ref="C10">SUM(IF($B10=DATOS_[Sexo],
IF("Dentro"=DATOS_[Check Periodo Ref.],
1/(COUNTIFS(DATOS_[Sexo],$B10,DATOS_[Check Periodo Ref.],"Dentro",DATOS_[id/cod],DATOS_[id/cod])))))</f>
        <v>60</v>
      </c>
      <c r="D10" s="168">
        <f>COUNTIFS(DATOS_[AGRUP. VALOR. PTO.],"&lt;&gt;",DATOS_[Sexo],$B10,DATOS_[Check Periodo Ref.],"Dentro")</f>
        <v>0</v>
      </c>
      <c r="E10" s="169">
        <f t="array" ref="E10">IFERROR(
MEDIAN(IF(DATOS_[Sexo]=$B10,IF(DATOS_[Check Periodo Ref.]="Dentro",DATOS_[SALARIO BASE Ef],FALSE))),
0)</f>
        <v>0</v>
      </c>
      <c r="F10" s="170">
        <f t="array" ref="F10">IFERROR(
(MEDIAN((IF(DATOS_[[Sexo]:[Sexo]]=$B10,IF(DATOS_[[Check Periodo Ref.]:[Check Periodo Ref.]]="Dentro",DATOS_[Conc.Sal.01]))))),
0)</f>
        <v>0</v>
      </c>
      <c r="G10" s="170">
        <f t="array" ref="G10">IFERROR(
(MEDIAN((IF(DATOS_[[Sexo]:[Sexo]]=$B10,IF(DATOS_[[Check Periodo Ref.]:[Check Periodo Ref.]]="Dentro",DATOS_[Conc.Sal.02]))))),
0)</f>
        <v>0</v>
      </c>
      <c r="H10" s="170">
        <f t="array" ref="H10">IFERROR(
(MEDIAN((IF(DATOS_[[Sexo]:[Sexo]]=$B10,IF(DATOS_[[Check Periodo Ref.]:[Check Periodo Ref.]]="Dentro",DATOS_[Conc.Sal.03]))))),
0)</f>
        <v>0</v>
      </c>
      <c r="I10" s="170">
        <f t="array" ref="I10">IFERROR(
(MEDIAN((IF(DATOS_[[Sexo]:[Sexo]]=$B10,IF(DATOS_[[Check Periodo Ref.]:[Check Periodo Ref.]]="Dentro",DATOS_[Conc.Sal.04]))))),
0)</f>
        <v>0</v>
      </c>
      <c r="J10" s="170">
        <f t="array" ref="J10">IFERROR(
(MEDIAN((IF(DATOS_[[Sexo]:[Sexo]]=$B10,IF(DATOS_[[Check Periodo Ref.]:[Check Periodo Ref.]]="Dentro",DATOS_[Conc.Sal.05]))))),
0)</f>
        <v>0</v>
      </c>
      <c r="K10" s="170">
        <f t="array" ref="K10">IFERROR(
(MEDIAN((IF(DATOS_[[Sexo]:[Sexo]]=$B10,IF(DATOS_[[Check Periodo Ref.]:[Check Periodo Ref.]]="Dentro",DATOS_[Conc.Sal.06]))))),
0)</f>
        <v>0</v>
      </c>
      <c r="L10" s="170">
        <f t="array" ref="L10">IFERROR(
(MEDIAN((IF(DATOS_[[Sexo]:[Sexo]]=$B10,IF(DATOS_[[Check Periodo Ref.]:[Check Periodo Ref.]]="Dentro",DATOS_[Conc.Sal.07]))))),
0)</f>
        <v>0</v>
      </c>
      <c r="M10" s="170">
        <f t="array" ref="M10">IFERROR(
(MEDIAN((IF(DATOS_[[Sexo]:[Sexo]]=$B10,IF(DATOS_[[Check Periodo Ref.]:[Check Periodo Ref.]]="Dentro",DATOS_[Conc.Sal.08]))))),
0)</f>
        <v>0</v>
      </c>
      <c r="N10" s="170">
        <f t="array" ref="N10">IFERROR(
(MEDIAN((IF(DATOS_[[Sexo]:[Sexo]]=$B10,IF(DATOS_[[Check Periodo Ref.]:[Check Periodo Ref.]]="Dentro",DATOS_[Conc.Sal.09]))))),
0)</f>
        <v>0</v>
      </c>
      <c r="O10" s="170">
        <f t="array" ref="O10">IFERROR(
(MEDIAN((IF(DATOS_[[Sexo]:[Sexo]]=$B10,IF(DATOS_[[Check Periodo Ref.]:[Check Periodo Ref.]]="Dentro",DATOS_[Conc.Sal.10]))))),
0)</f>
        <v>0</v>
      </c>
      <c r="P10" s="170">
        <f t="array" ref="P10">IFERROR(
(MEDIAN((IF(DATOS_[[Sexo]:[Sexo]]=$B10,IF(DATOS_[[Check Periodo Ref.]:[Check Periodo Ref.]]="Dentro",DATOS_[Conc.Sal.11]))))),
0)</f>
        <v>0</v>
      </c>
      <c r="Q10" s="170">
        <f t="array" ref="Q10">IFERROR(
(MEDIAN((IF(DATOS_[[Sexo]:[Sexo]]=$B10,IF(DATOS_[[Check Periodo Ref.]:[Check Periodo Ref.]]="Dentro",DATOS_[Conc.Sal.12]))))),
0)</f>
        <v>0</v>
      </c>
      <c r="R10" s="170">
        <f t="array" ref="R10">IFERROR(
(MEDIAN((IF(DATOS_[[Sexo]:[Sexo]]=$B10,IF(DATOS_[[Check Periodo Ref.]:[Check Periodo Ref.]]="Dentro",DATOS_[Conc.Sal.13]))))),
0)</f>
        <v>0</v>
      </c>
      <c r="S10" s="170">
        <f t="array" ref="S10">IFERROR(
(MEDIAN((IF(DATOS_[[Sexo]:[Sexo]]=$B10,IF(DATOS_[[Check Periodo Ref.]:[Check Periodo Ref.]]="Dentro",DATOS_[Conc.Sal.14]))))),
0)</f>
        <v>0</v>
      </c>
      <c r="T10" s="170">
        <f t="array" ref="T10">IFERROR(
(MEDIAN((IF(DATOS_[[Sexo]:[Sexo]]=$B10,IF(DATOS_[[Check Periodo Ref.]:[Check Periodo Ref.]]="Dentro",DATOS_[Conc.Sal.15]))))),
0)</f>
        <v>0</v>
      </c>
      <c r="U10" s="170">
        <f t="array" ref="U10">IFERROR(
(MEDIAN((IF(DATOS_[[Sexo]:[Sexo]]=$B10,IF(DATOS_[[Check Periodo Ref.]:[Check Periodo Ref.]]="Dentro",DATOS_[Conc.Sal.16]))))),
0)</f>
        <v>0</v>
      </c>
      <c r="V10" s="170">
        <f t="array" ref="V10">IFERROR(
(MEDIAN((IF(DATOS_[[Sexo]:[Sexo]]=$B10,IF(DATOS_[[Check Periodo Ref.]:[Check Periodo Ref.]]="Dentro",DATOS_[Conc.Sal.17]))))),
0)</f>
        <v>0</v>
      </c>
      <c r="W10" s="170">
        <f t="array" ref="W10">IFERROR(
(MEDIAN((IF(DATOS_[[Sexo]:[Sexo]]=$B10,IF(DATOS_[[Check Periodo Ref.]:[Check Periodo Ref.]]="Dentro",DATOS_[Conc.Sal.18]))))),
0)</f>
        <v>0</v>
      </c>
      <c r="X10" s="170">
        <f t="array" ref="X10">IFERROR(
(MEDIAN((IF(DATOS_[[Sexo]:[Sexo]]=$B10,IF(DATOS_[[Check Periodo Ref.]:[Check Periodo Ref.]]="Dentro",DATOS_[Conc.Sal.19]))))),
0)</f>
        <v>0</v>
      </c>
      <c r="Y10" s="170">
        <f t="array" ref="Y10">IFERROR(
(MEDIAN((IF(DATOS_[[Sexo]:[Sexo]]=$B10,IF(DATOS_[[Check Periodo Ref.]:[Check Periodo Ref.]]="Dentro",DATOS_[Conc.Sal.20]))))),
0)</f>
        <v>0</v>
      </c>
      <c r="Z10" s="170">
        <f t="array" ref="Z10">IFERROR(
(MEDIAN((IF(DATOS_[[Sexo]:[Sexo]]=$B10,IF(DATOS_[[Check Periodo Ref.]:[Check Periodo Ref.]]="Dentro",DATOS_[Conc.Sal.21]))))),
0)</f>
        <v>0</v>
      </c>
      <c r="AA10" s="170">
        <f t="array" ref="AA10">IFERROR(
(MEDIAN((IF(DATOS_[[Sexo]:[Sexo]]=$B10,IF(DATOS_[[Check Periodo Ref.]:[Check Periodo Ref.]]="Dentro",DATOS_[Conc.Sal.22]))))),
0)</f>
        <v>0</v>
      </c>
      <c r="AB10" s="170">
        <f t="array" ref="AB10">IFERROR(
(MEDIAN((IF(DATOS_[[Sexo]:[Sexo]]=$B10,IF(DATOS_[[Check Periodo Ref.]:[Check Periodo Ref.]]="Dentro",DATOS_[Conc.Sal.23]))))),
0)</f>
        <v>0</v>
      </c>
      <c r="AC10" s="170">
        <f t="array" ref="AC10">IFERROR(
(MEDIAN((IF(DATOS_[[Sexo]:[Sexo]]=$B10,IF(DATOS_[[Check Periodo Ref.]:[Check Periodo Ref.]]="Dentro",DATOS_[Conc.Sal.24]))))),
0)</f>
        <v>0</v>
      </c>
      <c r="AD10" s="170">
        <f t="array" ref="AD10">IFERROR(
(MEDIAN((IF(DATOS_[[Sexo]:[Sexo]]=$B10,IF(DATOS_[[Check Periodo Ref.]:[Check Periodo Ref.]]="Dentro",DATOS_[Conc.Sal.25]))))),
0)</f>
        <v>0</v>
      </c>
      <c r="AE10" s="170">
        <f t="array" ref="AE10">IFERROR(
(MEDIAN((IF(DATOS_[[Sexo]:[Sexo]]=$B10,IF(DATOS_[[Check Periodo Ref.]:[Check Periodo Ref.]]="Dentro",DATOS_[Conc.Sal.26]))))),
0)</f>
        <v>0</v>
      </c>
      <c r="AF10" s="170">
        <f t="array" ref="AF10">IFERROR(
(MEDIAN((IF(DATOS_[[Sexo]:[Sexo]]=$B10,IF(DATOS_[[Check Periodo Ref.]:[Check Periodo Ref.]]="Dentro",DATOS_[Conc.Sal.27]))))),
0)</f>
        <v>0</v>
      </c>
      <c r="AG10" s="170">
        <f t="array" ref="AG10">IFERROR(
(MEDIAN((IF(DATOS_[[Sexo]:[Sexo]]=$B10,IF(DATOS_[[Check Periodo Ref.]:[Check Periodo Ref.]]="Dentro",DATOS_[Conc.Sal.28]))))),
0)</f>
        <v>0</v>
      </c>
      <c r="AH10" s="170">
        <f t="array" ref="AH10">IFERROR(
(MEDIAN((IF(DATOS_[[Sexo]:[Sexo]]=$B10,IF(DATOS_[[Check Periodo Ref.]:[Check Periodo Ref.]]="Dentro",DATOS_[Conc.Sal.29]))))),
0)</f>
        <v>0</v>
      </c>
      <c r="AI10" s="170">
        <f t="array" ref="AI10">IFERROR(
(MEDIAN((IF(DATOS_[[Sexo]:[Sexo]]=$B10,IF(DATOS_[[Check Periodo Ref.]:[Check Periodo Ref.]]="Dentro",DATOS_[Conc.Sal.30]))))),
0)</f>
        <v>0</v>
      </c>
      <c r="AJ10" s="171">
        <f t="array" ref="AJ10">IFERROR(
MEDIAN(IF(DATOS_[Sexo]=$B10,IF(DATOS_[Check Periodo Ref.]="Dentro",DATOS_[Tot COMPL.SAL Ef],FALSE))),
0)</f>
        <v>0</v>
      </c>
      <c r="AK10" s="172">
        <f t="array" ref="AK10">IFERROR(
MEDIAN(IF(DATOS_[Sexo]=$B10,IF(DATOS_[Check Periodo Ref.]="Dentro",DATOS_[TOTAL SALARIO Ef],FALSE))),
0)</f>
        <v>0</v>
      </c>
      <c r="AL10" s="173">
        <f t="array" ref="AL10">IFERROR(
(MEDIAN((IF(DATOS_[[Sexo]:[Sexo]]=$B10,IF(DATOS_[[Check Periodo Ref.]:[Check Periodo Ref.]]="Dentro",DATOS_[C.Extra.01]))))),
0)</f>
        <v>0</v>
      </c>
      <c r="AM10" s="173">
        <f t="array" ref="AM10">IFERROR(
(MEDIAN((IF(DATOS_[[Sexo]:[Sexo]]=$B10,IF(DATOS_[[Check Periodo Ref.]:[Check Periodo Ref.]]="Dentro",DATOS_[C.Extra.06]))))),
0)</f>
        <v>0</v>
      </c>
      <c r="AN10" s="173">
        <f t="array" ref="AN10">IFERROR(
(MEDIAN((IF(DATOS_[[Sexo]:[Sexo]]=$B10,IF(DATOS_[[Check Periodo Ref.]:[Check Periodo Ref.]]="Dentro",DATOS_[C.Extra.07]))))),
0)</f>
        <v>0</v>
      </c>
      <c r="AO10" s="173">
        <f t="array" ref="AO10">IFERROR(
(MEDIAN((IF(DATOS_[[Sexo]:[Sexo]]=$B10,IF(DATOS_[[Check Periodo Ref.]:[Check Periodo Ref.]]="Dentro",DATOS_[C.Extra.08]))))),
0)</f>
        <v>0</v>
      </c>
      <c r="AP10" s="173">
        <f t="array" ref="AP10">IFERROR(
(MEDIAN((IF(DATOS_[[Sexo]:[Sexo]]=$B10,IF(DATOS_[[Check Periodo Ref.]:[Check Periodo Ref.]]="Dentro",DATOS_[C.Extra.11]))))),
0)</f>
        <v>0</v>
      </c>
      <c r="AQ10" s="174">
        <f t="array" ref="AQ10">IFERROR(
MEDIAN(IF(DATOS_[Sexo]=$B10,IF(DATOS_[Check Periodo Ref.]="Dentro",DATOS_[Tot Extrasalarial Ef],FALSE))),
0)</f>
        <v>0</v>
      </c>
      <c r="AR10" s="175">
        <f t="array" ref="AR10">IFERROR(
MEDIAN(IF(DATOS_[Sexo]=$B10,IF(DATOS_[Check Periodo Ref.]="Dentro",DATOS_[TOTAL Retrib Ef],FALSE))),
0)</f>
        <v>0</v>
      </c>
    </row>
    <row r="11" spans="1:44" s="186" customFormat="1" x14ac:dyDescent="0.25">
      <c r="B11" s="166" t="s">
        <v>521</v>
      </c>
      <c r="C11" s="167">
        <f t="array" ref="C11">SUM(IF($B11=DATOS_[Sexo],
IF("Dentro"=DATOS_[Check Periodo Ref.],
1/(COUNTIFS(DATOS_[Sexo],$B11,DATOS_[Check Periodo Ref.],"Dentro",DATOS_[id/cod],DATOS_[id/cod])))))</f>
        <v>52.000000000000007</v>
      </c>
      <c r="D11" s="168">
        <f>COUNTIFS(DATOS_[AGRUP. VALOR. PTO.],"&lt;&gt;",DATOS_[Sexo],$B11,DATOS_[Check Periodo Ref.],"Dentro")</f>
        <v>0</v>
      </c>
      <c r="E11" s="169">
        <f t="array" ref="E11">IFERROR(
MEDIAN(IF(DATOS_[Sexo]=$B11,IF(DATOS_[Check Periodo Ref.]="Dentro",DATOS_[SALARIO BASE Ef],FALSE))),
0)</f>
        <v>1.905</v>
      </c>
      <c r="F11" s="170">
        <f t="array" ref="F11">IFERROR(
(MEDIAN((IF(DATOS_[[Sexo]:[Sexo]]=$B11,IF(DATOS_[[Check Periodo Ref.]:[Check Periodo Ref.]]="Dentro",DATOS_[Conc.Sal.01]))))),
0)</f>
        <v>0</v>
      </c>
      <c r="G11" s="170">
        <f t="array" ref="G11">IFERROR(
(MEDIAN((IF(DATOS_[[Sexo]:[Sexo]]=$B11,IF(DATOS_[[Check Periodo Ref.]:[Check Periodo Ref.]]="Dentro",DATOS_[Conc.Sal.02]))))),
0)</f>
        <v>0</v>
      </c>
      <c r="H11" s="170">
        <f t="array" ref="H11">IFERROR(
(MEDIAN((IF(DATOS_[[Sexo]:[Sexo]]=$B11,IF(DATOS_[[Check Periodo Ref.]:[Check Periodo Ref.]]="Dentro",DATOS_[Conc.Sal.03]))))),
0)</f>
        <v>0</v>
      </c>
      <c r="I11" s="170">
        <f t="array" ref="I11">IFERROR(
(MEDIAN((IF(DATOS_[[Sexo]:[Sexo]]=$B11,IF(DATOS_[[Check Periodo Ref.]:[Check Periodo Ref.]]="Dentro",DATOS_[Conc.Sal.04]))))),
0)</f>
        <v>0</v>
      </c>
      <c r="J11" s="170">
        <f t="array" ref="J11">IFERROR(
(MEDIAN((IF(DATOS_[[Sexo]:[Sexo]]=$B11,IF(DATOS_[[Check Periodo Ref.]:[Check Periodo Ref.]]="Dentro",DATOS_[Conc.Sal.05]))))),
0)</f>
        <v>0</v>
      </c>
      <c r="K11" s="170">
        <f t="array" ref="K11">IFERROR(
(MEDIAN((IF(DATOS_[[Sexo]:[Sexo]]=$B11,IF(DATOS_[[Check Periodo Ref.]:[Check Periodo Ref.]]="Dentro",DATOS_[Conc.Sal.06]))))),
0)</f>
        <v>0</v>
      </c>
      <c r="L11" s="170">
        <f t="array" ref="L11">IFERROR(
(MEDIAN((IF(DATOS_[[Sexo]:[Sexo]]=$B11,IF(DATOS_[[Check Periodo Ref.]:[Check Periodo Ref.]]="Dentro",DATOS_[Conc.Sal.07]))))),
0)</f>
        <v>0</v>
      </c>
      <c r="M11" s="170">
        <f t="array" ref="M11">IFERROR(
(MEDIAN((IF(DATOS_[[Sexo]:[Sexo]]=$B11,IF(DATOS_[[Check Periodo Ref.]:[Check Periodo Ref.]]="Dentro",DATOS_[Conc.Sal.08]))))),
0)</f>
        <v>0</v>
      </c>
      <c r="N11" s="170">
        <f t="array" ref="N11">IFERROR(
(MEDIAN((IF(DATOS_[[Sexo]:[Sexo]]=$B11,IF(DATOS_[[Check Periodo Ref.]:[Check Periodo Ref.]]="Dentro",DATOS_[Conc.Sal.09]))))),
0)</f>
        <v>0</v>
      </c>
      <c r="O11" s="170">
        <f t="array" ref="O11">IFERROR(
(MEDIAN((IF(DATOS_[[Sexo]:[Sexo]]=$B11,IF(DATOS_[[Check Periodo Ref.]:[Check Periodo Ref.]]="Dentro",DATOS_[Conc.Sal.10]))))),
0)</f>
        <v>0</v>
      </c>
      <c r="P11" s="170">
        <f t="array" ref="P11">IFERROR(
(MEDIAN((IF(DATOS_[[Sexo]:[Sexo]]=$B11,IF(DATOS_[[Check Periodo Ref.]:[Check Periodo Ref.]]="Dentro",DATOS_[Conc.Sal.11]))))),
0)</f>
        <v>0</v>
      </c>
      <c r="Q11" s="170">
        <f t="array" ref="Q11">IFERROR(
(MEDIAN((IF(DATOS_[[Sexo]:[Sexo]]=$B11,IF(DATOS_[[Check Periodo Ref.]:[Check Periodo Ref.]]="Dentro",DATOS_[Conc.Sal.12]))))),
0)</f>
        <v>0</v>
      </c>
      <c r="R11" s="170">
        <f t="array" ref="R11">IFERROR(
(MEDIAN((IF(DATOS_[[Sexo]:[Sexo]]=$B11,IF(DATOS_[[Check Periodo Ref.]:[Check Periodo Ref.]]="Dentro",DATOS_[Conc.Sal.13]))))),
0)</f>
        <v>0</v>
      </c>
      <c r="S11" s="170">
        <f t="array" ref="S11">IFERROR(
(MEDIAN((IF(DATOS_[[Sexo]:[Sexo]]=$B11,IF(DATOS_[[Check Periodo Ref.]:[Check Periodo Ref.]]="Dentro",DATOS_[Conc.Sal.14]))))),
0)</f>
        <v>0</v>
      </c>
      <c r="T11" s="170">
        <f t="array" ref="T11">IFERROR(
(MEDIAN((IF(DATOS_[[Sexo]:[Sexo]]=$B11,IF(DATOS_[[Check Periodo Ref.]:[Check Periodo Ref.]]="Dentro",DATOS_[Conc.Sal.15]))))),
0)</f>
        <v>0</v>
      </c>
      <c r="U11" s="170">
        <f t="array" ref="U11">IFERROR(
(MEDIAN((IF(DATOS_[[Sexo]:[Sexo]]=$B11,IF(DATOS_[[Check Periodo Ref.]:[Check Periodo Ref.]]="Dentro",DATOS_[Conc.Sal.16]))))),
0)</f>
        <v>0</v>
      </c>
      <c r="V11" s="170">
        <f t="array" ref="V11">IFERROR(
(MEDIAN((IF(DATOS_[[Sexo]:[Sexo]]=$B11,IF(DATOS_[[Check Periodo Ref.]:[Check Periodo Ref.]]="Dentro",DATOS_[Conc.Sal.17]))))),
0)</f>
        <v>0</v>
      </c>
      <c r="W11" s="170">
        <f t="array" ref="W11">IFERROR(
(MEDIAN((IF(DATOS_[[Sexo]:[Sexo]]=$B11,IF(DATOS_[[Check Periodo Ref.]:[Check Periodo Ref.]]="Dentro",DATOS_[Conc.Sal.18]))))),
0)</f>
        <v>0</v>
      </c>
      <c r="X11" s="170">
        <f t="array" ref="X11">IFERROR(
(MEDIAN((IF(DATOS_[[Sexo]:[Sexo]]=$B11,IF(DATOS_[[Check Periodo Ref.]:[Check Periodo Ref.]]="Dentro",DATOS_[Conc.Sal.19]))))),
0)</f>
        <v>0</v>
      </c>
      <c r="Y11" s="170">
        <f t="array" ref="Y11">IFERROR(
(MEDIAN((IF(DATOS_[[Sexo]:[Sexo]]=$B11,IF(DATOS_[[Check Periodo Ref.]:[Check Periodo Ref.]]="Dentro",DATOS_[Conc.Sal.20]))))),
0)</f>
        <v>0</v>
      </c>
      <c r="Z11" s="170">
        <f t="array" ref="Z11">IFERROR(
(MEDIAN((IF(DATOS_[[Sexo]:[Sexo]]=$B11,IF(DATOS_[[Check Periodo Ref.]:[Check Periodo Ref.]]="Dentro",DATOS_[Conc.Sal.21]))))),
0)</f>
        <v>0</v>
      </c>
      <c r="AA11" s="170">
        <f t="array" ref="AA11">IFERROR(
(MEDIAN((IF(DATOS_[[Sexo]:[Sexo]]=$B11,IF(DATOS_[[Check Periodo Ref.]:[Check Periodo Ref.]]="Dentro",DATOS_[Conc.Sal.22]))))),
0)</f>
        <v>0</v>
      </c>
      <c r="AB11" s="170">
        <f t="array" ref="AB11">IFERROR(
(MEDIAN((IF(DATOS_[[Sexo]:[Sexo]]=$B11,IF(DATOS_[[Check Periodo Ref.]:[Check Periodo Ref.]]="Dentro",DATOS_[Conc.Sal.23]))))),
0)</f>
        <v>0</v>
      </c>
      <c r="AC11" s="170">
        <f t="array" ref="AC11">IFERROR(
(MEDIAN((IF(DATOS_[[Sexo]:[Sexo]]=$B11,IF(DATOS_[[Check Periodo Ref.]:[Check Periodo Ref.]]="Dentro",DATOS_[Conc.Sal.24]))))),
0)</f>
        <v>0</v>
      </c>
      <c r="AD11" s="170">
        <f t="array" ref="AD11">IFERROR(
(MEDIAN((IF(DATOS_[[Sexo]:[Sexo]]=$B11,IF(DATOS_[[Check Periodo Ref.]:[Check Periodo Ref.]]="Dentro",DATOS_[Conc.Sal.25]))))),
0)</f>
        <v>0</v>
      </c>
      <c r="AE11" s="170">
        <f t="array" ref="AE11">IFERROR(
(MEDIAN((IF(DATOS_[[Sexo]:[Sexo]]=$B11,IF(DATOS_[[Check Periodo Ref.]:[Check Periodo Ref.]]="Dentro",DATOS_[Conc.Sal.26]))))),
0)</f>
        <v>0</v>
      </c>
      <c r="AF11" s="170">
        <f t="array" ref="AF11">IFERROR(
(MEDIAN((IF(DATOS_[[Sexo]:[Sexo]]=$B11,IF(DATOS_[[Check Periodo Ref.]:[Check Periodo Ref.]]="Dentro",DATOS_[Conc.Sal.27]))))),
0)</f>
        <v>0</v>
      </c>
      <c r="AG11" s="170">
        <f t="array" ref="AG11">IFERROR(
(MEDIAN((IF(DATOS_[[Sexo]:[Sexo]]=$B11,IF(DATOS_[[Check Periodo Ref.]:[Check Periodo Ref.]]="Dentro",DATOS_[Conc.Sal.28]))))),
0)</f>
        <v>0</v>
      </c>
      <c r="AH11" s="170">
        <f t="array" ref="AH11">IFERROR(
(MEDIAN((IF(DATOS_[[Sexo]:[Sexo]]=$B11,IF(DATOS_[[Check Periodo Ref.]:[Check Periodo Ref.]]="Dentro",DATOS_[Conc.Sal.29]))))),
0)</f>
        <v>0</v>
      </c>
      <c r="AI11" s="170">
        <f t="array" ref="AI11">IFERROR(
(MEDIAN((IF(DATOS_[[Sexo]:[Sexo]]=$B11,IF(DATOS_[[Check Periodo Ref.]:[Check Periodo Ref.]]="Dentro",DATOS_[Conc.Sal.30]))))),
0)</f>
        <v>0</v>
      </c>
      <c r="AJ11" s="171">
        <f t="array" ref="AJ11">IFERROR(
MEDIAN(IF(DATOS_[Sexo]=$B11,IF(DATOS_[Check Periodo Ref.]="Dentro",DATOS_[Tot COMPL.SAL Ef],FALSE))),
0)</f>
        <v>6.8900000000000006</v>
      </c>
      <c r="AK11" s="172">
        <f t="array" ref="AK11">IFERROR(
MEDIAN(IF(DATOS_[Sexo]=$B11,IF(DATOS_[Check Periodo Ref.]="Dentro",DATOS_[TOTAL SALARIO Ef],FALSE))),
0)</f>
        <v>21.380000000000003</v>
      </c>
      <c r="AL11" s="173">
        <f t="array" ref="AL11">IFERROR(
(MEDIAN((IF(DATOS_[[Sexo]:[Sexo]]=$B11,IF(DATOS_[[Check Periodo Ref.]:[Check Periodo Ref.]]="Dentro",DATOS_[C.Extra.01]))))),
0)</f>
        <v>0</v>
      </c>
      <c r="AM11" s="173">
        <f t="array" ref="AM11">IFERROR(
(MEDIAN((IF(DATOS_[[Sexo]:[Sexo]]=$B11,IF(DATOS_[[Check Periodo Ref.]:[Check Periodo Ref.]]="Dentro",DATOS_[C.Extra.06]))))),
0)</f>
        <v>0</v>
      </c>
      <c r="AN11" s="173">
        <f t="array" ref="AN11">IFERROR(
(MEDIAN((IF(DATOS_[[Sexo]:[Sexo]]=$B11,IF(DATOS_[[Check Periodo Ref.]:[Check Periodo Ref.]]="Dentro",DATOS_[C.Extra.07]))))),
0)</f>
        <v>0</v>
      </c>
      <c r="AO11" s="173">
        <f t="array" ref="AO11">IFERROR(
(MEDIAN((IF(DATOS_[[Sexo]:[Sexo]]=$B11,IF(DATOS_[[Check Periodo Ref.]:[Check Periodo Ref.]]="Dentro",DATOS_[C.Extra.08]))))),
0)</f>
        <v>0</v>
      </c>
      <c r="AP11" s="173">
        <f t="array" ref="AP11">IFERROR(
(MEDIAN((IF(DATOS_[[Sexo]:[Sexo]]=$B11,IF(DATOS_[[Check Periodo Ref.]:[Check Periodo Ref.]]="Dentro",DATOS_[C.Extra.11]))))),
0)</f>
        <v>0</v>
      </c>
      <c r="AQ11" s="174">
        <f t="array" ref="AQ11">IFERROR(
MEDIAN(IF(DATOS_[Sexo]=$B11,IF(DATOS_[Check Periodo Ref.]="Dentro",DATOS_[Tot Extrasalarial Ef],FALSE))),
0)</f>
        <v>0</v>
      </c>
      <c r="AR11" s="175">
        <f t="array" ref="AR11">IFERROR(
MEDIAN(IF(DATOS_[Sexo]=$B11,IF(DATOS_[Check Periodo Ref.]="Dentro",DATOS_[TOTAL Retrib Ef],FALSE))),
0)</f>
        <v>21.380000000000003</v>
      </c>
    </row>
    <row r="12" spans="1:44" s="186" customFormat="1" x14ac:dyDescent="0.25">
      <c r="B12" s="135"/>
      <c r="C12" s="135"/>
      <c r="D12" s="176"/>
      <c r="E12" s="135"/>
      <c r="F12" s="135"/>
      <c r="G12" s="135"/>
      <c r="H12" s="135"/>
      <c r="I12" s="135"/>
      <c r="J12" s="176"/>
      <c r="K12" s="177"/>
      <c r="L12" s="177"/>
      <c r="M12" s="177"/>
      <c r="N12" s="177"/>
      <c r="O12" s="177"/>
      <c r="P12" s="177"/>
      <c r="Q12" s="177"/>
      <c r="R12" s="177"/>
      <c r="S12" s="177"/>
      <c r="T12" s="177"/>
      <c r="U12" s="177"/>
      <c r="V12" s="176"/>
      <c r="W12" s="176"/>
      <c r="X12" s="176"/>
      <c r="Y12" s="176"/>
      <c r="Z12" s="176"/>
      <c r="AA12" s="176"/>
      <c r="AB12" s="176"/>
      <c r="AC12" s="176"/>
      <c r="AD12" s="176"/>
      <c r="AE12" s="176"/>
      <c r="AF12" s="176"/>
      <c r="AG12" s="176"/>
      <c r="AH12" s="176"/>
      <c r="AI12" s="176"/>
      <c r="AJ12" s="135"/>
      <c r="AK12" s="135"/>
      <c r="AL12" s="177"/>
      <c r="AM12" s="177"/>
      <c r="AN12" s="177"/>
      <c r="AO12" s="177"/>
      <c r="AP12" s="177"/>
      <c r="AQ12" s="135"/>
      <c r="AR12" s="135"/>
    </row>
    <row r="13" spans="1:44" s="186" customFormat="1" x14ac:dyDescent="0.25">
      <c r="B13" s="135"/>
      <c r="C13" s="135"/>
      <c r="D13" s="176"/>
      <c r="E13" s="135"/>
      <c r="F13" s="135"/>
      <c r="G13" s="135"/>
      <c r="H13" s="135"/>
      <c r="I13" s="135"/>
      <c r="J13" s="176"/>
      <c r="K13" s="177"/>
      <c r="L13" s="177"/>
      <c r="M13" s="177"/>
      <c r="N13" s="177"/>
      <c r="O13" s="177"/>
      <c r="P13" s="177"/>
      <c r="Q13" s="177"/>
      <c r="R13" s="177"/>
      <c r="S13" s="177"/>
      <c r="T13" s="177"/>
      <c r="U13" s="177"/>
      <c r="V13" s="176"/>
      <c r="W13" s="176"/>
      <c r="X13" s="176"/>
      <c r="Y13" s="176"/>
      <c r="Z13" s="176"/>
      <c r="AA13" s="176"/>
      <c r="AB13" s="176"/>
      <c r="AC13" s="176"/>
      <c r="AD13" s="176"/>
      <c r="AE13" s="176"/>
      <c r="AF13" s="176"/>
      <c r="AG13" s="176"/>
      <c r="AH13" s="176"/>
      <c r="AI13" s="176"/>
      <c r="AJ13" s="135"/>
      <c r="AK13" s="135"/>
      <c r="AL13" s="177"/>
      <c r="AM13" s="177"/>
      <c r="AN13" s="177"/>
      <c r="AO13" s="177"/>
      <c r="AP13" s="177"/>
      <c r="AQ13" s="135"/>
      <c r="AR13" s="135"/>
    </row>
    <row r="14" spans="1:44" s="185" customFormat="1" ht="46.35" customHeight="1" x14ac:dyDescent="0.3">
      <c r="B14" s="145"/>
      <c r="C14" s="145" t="s">
        <v>621</v>
      </c>
      <c r="D14" s="145" t="s">
        <v>622</v>
      </c>
      <c r="E14" s="146" t="s">
        <v>151</v>
      </c>
      <c r="F14" s="147" t="str">
        <f>+F8</f>
        <v>HORAS EXTRAS</v>
      </c>
      <c r="G14" s="147" t="str">
        <f t="shared" ref="G14:AI14" si="3">+G8</f>
        <v>SEGURO CONVENIO</v>
      </c>
      <c r="H14" s="147" t="str">
        <f t="shared" si="3"/>
        <v>PLUS UNIFICADO</v>
      </c>
      <c r="I14" s="147" t="str">
        <f t="shared" si="3"/>
        <v>GARANTIA AD PERS</v>
      </c>
      <c r="J14" s="147" t="str">
        <f t="shared" si="3"/>
        <v>COMISIONES</v>
      </c>
      <c r="K14" s="147" t="str">
        <f t="shared" si="3"/>
        <v>DOMINGOS Y FESTIVOS</v>
      </c>
      <c r="L14" s="147" t="str">
        <f t="shared" si="3"/>
        <v>LOCOMOCION NO</v>
      </c>
      <c r="M14" s="147" t="str">
        <f t="shared" si="3"/>
        <v>PLUS EXTRA VAC</v>
      </c>
      <c r="N14" s="147" t="str">
        <f t="shared" si="3"/>
        <v>PLUS DE TRANS</v>
      </c>
      <c r="O14" s="147" t="str">
        <f t="shared" si="3"/>
        <v>PLUS ACTIVIDAD</v>
      </c>
      <c r="P14" s="147" t="str">
        <f t="shared" si="3"/>
        <v>CUOTA SINDICAL</v>
      </c>
      <c r="Q14" s="147" t="str">
        <f t="shared" si="3"/>
        <v>AYUDA FAMILIAR</v>
      </c>
      <c r="R14" s="147" t="str">
        <f t="shared" si="3"/>
        <v>INCENTIVO</v>
      </c>
      <c r="S14" s="147" t="str">
        <f t="shared" si="3"/>
        <v>SEGURO MEDICO</v>
      </c>
      <c r="T14" s="147" t="str">
        <f t="shared" si="3"/>
        <v>DES. SEGURO MEDICO</v>
      </c>
      <c r="U14" s="147" t="str">
        <f t="shared" si="3"/>
        <v>SEGURO SALUD 2</v>
      </c>
      <c r="V14" s="147" t="str">
        <f t="shared" si="3"/>
        <v>COMP. EMPRESA I.T.</v>
      </c>
      <c r="W14" s="147" t="str">
        <f t="shared" si="3"/>
        <v>I.T. CUENTA EMPRESA</v>
      </c>
      <c r="X14" s="147" t="str">
        <f t="shared" si="3"/>
        <v>SALARIO EN ESPECIE</v>
      </c>
      <c r="Y14" s="147" t="str">
        <f t="shared" si="3"/>
        <v>PLUS DE POLIVALENCIA</v>
      </c>
      <c r="Z14" s="147" t="str">
        <f t="shared" si="3"/>
        <v>LIQUID  PAGAS EXTRA</v>
      </c>
      <c r="AA14" s="147" t="str">
        <f t="shared" si="3"/>
        <v>[ocultar]</v>
      </c>
      <c r="AB14" s="147" t="str">
        <f t="shared" si="3"/>
        <v>[ocultar]</v>
      </c>
      <c r="AC14" s="147" t="str">
        <f t="shared" si="3"/>
        <v>[ocultar]</v>
      </c>
      <c r="AD14" s="147" t="str">
        <f t="shared" si="3"/>
        <v>[ocultar]</v>
      </c>
      <c r="AE14" s="147" t="str">
        <f t="shared" si="3"/>
        <v>[ocultar]</v>
      </c>
      <c r="AF14" s="147" t="str">
        <f t="shared" si="3"/>
        <v>[ocultar]</v>
      </c>
      <c r="AG14" s="147" t="str">
        <f t="shared" si="3"/>
        <v>[ocultar]</v>
      </c>
      <c r="AH14" s="147" t="str">
        <f t="shared" si="3"/>
        <v>[ocultar]</v>
      </c>
      <c r="AI14" s="147" t="str">
        <f t="shared" si="3"/>
        <v>[ocultar]</v>
      </c>
      <c r="AJ14" s="148" t="s">
        <v>153</v>
      </c>
      <c r="AK14" s="149" t="s">
        <v>155</v>
      </c>
      <c r="AL14" s="150" t="str">
        <f>+AL8</f>
        <v>[ocultar]</v>
      </c>
      <c r="AM14" s="150" t="str">
        <f t="shared" ref="AM14:AP14" si="4">+AM8</f>
        <v>[ocultar]</v>
      </c>
      <c r="AN14" s="150" t="str">
        <f t="shared" si="4"/>
        <v>[ocultar]</v>
      </c>
      <c r="AO14" s="150" t="str">
        <f t="shared" si="4"/>
        <v>[ocultar]</v>
      </c>
      <c r="AP14" s="150" t="str">
        <f t="shared" si="4"/>
        <v>[ocultar]</v>
      </c>
      <c r="AQ14" s="151" t="s">
        <v>157</v>
      </c>
      <c r="AR14" s="148" t="s">
        <v>159</v>
      </c>
    </row>
    <row r="15" spans="1:44" s="186" customFormat="1" ht="14.4" thickBot="1" x14ac:dyDescent="0.3">
      <c r="A15" s="186" t="str">
        <f>+A16</f>
        <v>[ocultar]</v>
      </c>
      <c r="B15" s="153" t="s">
        <v>179</v>
      </c>
      <c r="C15" s="154"/>
      <c r="D15" s="155"/>
      <c r="E15" s="156" t="str">
        <f t="shared" ref="E15" si="5">IFERROR((E16-E17)/E16,"")</f>
        <v/>
      </c>
      <c r="F15" s="157" t="str">
        <f>IFERROR((F16-F17)/F16,"")</f>
        <v/>
      </c>
      <c r="G15" s="158" t="str">
        <f t="shared" ref="G15:AR15" si="6">IFERROR((G16-G17)/G16,"")</f>
        <v/>
      </c>
      <c r="H15" s="158" t="str">
        <f t="shared" si="6"/>
        <v/>
      </c>
      <c r="I15" s="158" t="str">
        <f t="shared" si="6"/>
        <v/>
      </c>
      <c r="J15" s="159" t="str">
        <f t="shared" si="6"/>
        <v/>
      </c>
      <c r="K15" s="160" t="str">
        <f t="shared" si="6"/>
        <v/>
      </c>
      <c r="L15" s="160" t="str">
        <f t="shared" si="6"/>
        <v/>
      </c>
      <c r="M15" s="160" t="str">
        <f t="shared" si="6"/>
        <v/>
      </c>
      <c r="N15" s="160" t="str">
        <f t="shared" si="6"/>
        <v/>
      </c>
      <c r="O15" s="160" t="str">
        <f t="shared" si="6"/>
        <v/>
      </c>
      <c r="P15" s="160" t="str">
        <f t="shared" si="6"/>
        <v/>
      </c>
      <c r="Q15" s="160" t="str">
        <f t="shared" si="6"/>
        <v/>
      </c>
      <c r="R15" s="160" t="str">
        <f t="shared" si="6"/>
        <v/>
      </c>
      <c r="S15" s="160" t="str">
        <f t="shared" si="6"/>
        <v/>
      </c>
      <c r="T15" s="160" t="str">
        <f t="shared" si="6"/>
        <v/>
      </c>
      <c r="U15" s="160" t="str">
        <f t="shared" si="6"/>
        <v/>
      </c>
      <c r="V15" s="159" t="str">
        <f t="shared" si="6"/>
        <v/>
      </c>
      <c r="W15" s="159" t="str">
        <f t="shared" si="6"/>
        <v/>
      </c>
      <c r="X15" s="159" t="str">
        <f t="shared" si="6"/>
        <v/>
      </c>
      <c r="Y15" s="159" t="str">
        <f t="shared" si="6"/>
        <v/>
      </c>
      <c r="Z15" s="159" t="str">
        <f t="shared" si="6"/>
        <v/>
      </c>
      <c r="AA15" s="159" t="str">
        <f t="shared" si="6"/>
        <v/>
      </c>
      <c r="AB15" s="159" t="str">
        <f t="shared" si="6"/>
        <v/>
      </c>
      <c r="AC15" s="159" t="str">
        <f t="shared" si="6"/>
        <v/>
      </c>
      <c r="AD15" s="159" t="str">
        <f t="shared" si="6"/>
        <v/>
      </c>
      <c r="AE15" s="159" t="str">
        <f t="shared" si="6"/>
        <v/>
      </c>
      <c r="AF15" s="159" t="str">
        <f t="shared" si="6"/>
        <v/>
      </c>
      <c r="AG15" s="159" t="str">
        <f t="shared" si="6"/>
        <v/>
      </c>
      <c r="AH15" s="159" t="str">
        <f t="shared" si="6"/>
        <v/>
      </c>
      <c r="AI15" s="159" t="str">
        <f t="shared" si="6"/>
        <v/>
      </c>
      <c r="AJ15" s="161" t="str">
        <f t="shared" si="6"/>
        <v/>
      </c>
      <c r="AK15" s="162" t="str">
        <f t="shared" si="6"/>
        <v/>
      </c>
      <c r="AL15" s="163" t="str">
        <f t="shared" si="6"/>
        <v/>
      </c>
      <c r="AM15" s="163" t="str">
        <f t="shared" si="6"/>
        <v/>
      </c>
      <c r="AN15" s="163" t="str">
        <f t="shared" si="6"/>
        <v/>
      </c>
      <c r="AO15" s="163" t="str">
        <f t="shared" si="6"/>
        <v/>
      </c>
      <c r="AP15" s="163" t="str">
        <f t="shared" si="6"/>
        <v/>
      </c>
      <c r="AQ15" s="164" t="str">
        <f t="shared" si="6"/>
        <v/>
      </c>
      <c r="AR15" s="161" t="str">
        <f t="shared" si="6"/>
        <v/>
      </c>
    </row>
    <row r="16" spans="1:44" s="186" customFormat="1" x14ac:dyDescent="0.25">
      <c r="A16" s="186" t="str">
        <f>+IF(C16+C17=0,"[ocultar]","")</f>
        <v>[ocultar]</v>
      </c>
      <c r="B16" s="166" t="s">
        <v>394</v>
      </c>
      <c r="C16" s="167">
        <f t="array" ref="C16">SUM(IF($B16=DATOS_[Sexo],
IF($B15=DATOS_[AGRUP. VALOR. PTO.],
IF("Dentro"=DATOS_[Check Periodo Ref.],
1/(COUNTIFS(DATOS_[Sexo],$B16,DATOS_[AGRUP. VALOR. PTO.],$B15,DATOS_[Check Periodo Ref.],"Dentro",DATOS_[id/cod],DATOS_[id/cod]))))))</f>
        <v>0</v>
      </c>
      <c r="D16" s="168">
        <f>COUNTIFS(DATOS_[AGRUP. VALOR. PTO.],$B15,DATOS_[Sexo],$B16,DATOS_[Check Periodo Ref.],"Dentro")</f>
        <v>0</v>
      </c>
      <c r="E16" s="169">
        <f t="array" ref="E16">IFERROR(
MEDIAN(IF(DATOS_[Sexo]=$B16,IF(DATOS_[AGRUP. VALOR. PTO.]=$B15,IF(DATOS_[Check Periodo Ref.]="Dentro",DATOS_[SALARIO BASE Ef],FALSE)))),
0)</f>
        <v>0</v>
      </c>
      <c r="F16" s="170">
        <f t="array" ref="F16">IFERROR(
MEDIAN((IF(DATOS_[[Sexo]:[Sexo]]=$B16,IF(DATOS_[[AGRUP. VALOR. PTO.]:[AGRUP. VALOR. PTO.]]=$B15,IF(DATOS_[[Check Periodo Ref.]:[Check Periodo Ref.]]="Dentro",DATOS_[Conc.Sal.01]))))),
0)</f>
        <v>0</v>
      </c>
      <c r="G16" s="170">
        <f t="array" ref="G16">IFERROR(
MEDIAN((IF(DATOS_[[Sexo]:[Sexo]]=$B16,IF(DATOS_[[AGRUP. VALOR. PTO.]:[AGRUP. VALOR. PTO.]]=$B15,IF(DATOS_[[Check Periodo Ref.]:[Check Periodo Ref.]]="Dentro",DATOS_[Conc.Sal.02]))))),
0)</f>
        <v>0</v>
      </c>
      <c r="H16" s="170">
        <f t="array" ref="H16">IFERROR(
MEDIAN((IF(DATOS_[[Sexo]:[Sexo]]=$B16,IF(DATOS_[[AGRUP. VALOR. PTO.]:[AGRUP. VALOR. PTO.]]=$B15,IF(DATOS_[[Check Periodo Ref.]:[Check Periodo Ref.]]="Dentro",DATOS_[Conc.Sal.03]))))),
0)</f>
        <v>0</v>
      </c>
      <c r="I16" s="170">
        <f t="array" ref="I16">IFERROR(
MEDIAN((IF(DATOS_[[Sexo]:[Sexo]]=$B16,IF(DATOS_[[AGRUP. VALOR. PTO.]:[AGRUP. VALOR. PTO.]]=$B15,IF(DATOS_[[Check Periodo Ref.]:[Check Periodo Ref.]]="Dentro",DATOS_[Conc.Sal.04]))))),
0)</f>
        <v>0</v>
      </c>
      <c r="J16" s="170">
        <f t="array" ref="J16">IFERROR(
MEDIAN((IF(DATOS_[[Sexo]:[Sexo]]=$B16,IF(DATOS_[[AGRUP. VALOR. PTO.]:[AGRUP. VALOR. PTO.]]=$B15,IF(DATOS_[[Check Periodo Ref.]:[Check Periodo Ref.]]="Dentro",DATOS_[Conc.Sal.05]))))),
0)</f>
        <v>0</v>
      </c>
      <c r="K16" s="170">
        <f t="array" ref="K16">IFERROR(
MEDIAN((IF(DATOS_[[Sexo]:[Sexo]]=$B16,IF(DATOS_[[AGRUP. VALOR. PTO.]:[AGRUP. VALOR. PTO.]]=$B15,IF(DATOS_[[Check Periodo Ref.]:[Check Periodo Ref.]]="Dentro",DATOS_[Conc.Sal.06]))))),
0)</f>
        <v>0</v>
      </c>
      <c r="L16" s="170">
        <f t="array" ref="L16">IFERROR(
MEDIAN((IF(DATOS_[[Sexo]:[Sexo]]=$B16,IF(DATOS_[[AGRUP. VALOR. PTO.]:[AGRUP. VALOR. PTO.]]=$B15,IF(DATOS_[[Check Periodo Ref.]:[Check Periodo Ref.]]="Dentro",DATOS_[Conc.Sal.07]))))),
0)</f>
        <v>0</v>
      </c>
      <c r="M16" s="170">
        <f t="array" ref="M16">IFERROR(
MEDIAN((IF(DATOS_[[Sexo]:[Sexo]]=$B16,IF(DATOS_[[AGRUP. VALOR. PTO.]:[AGRUP. VALOR. PTO.]]=$B15,IF(DATOS_[[Check Periodo Ref.]:[Check Periodo Ref.]]="Dentro",DATOS_[Conc.Sal.08]))))),
0)</f>
        <v>0</v>
      </c>
      <c r="N16" s="170">
        <f t="array" ref="N16">IFERROR(
MEDIAN((IF(DATOS_[[Sexo]:[Sexo]]=$B16,IF(DATOS_[[AGRUP. VALOR. PTO.]:[AGRUP. VALOR. PTO.]]=$B15,IF(DATOS_[[Check Periodo Ref.]:[Check Periodo Ref.]]="Dentro",DATOS_[Conc.Sal.09]))))),
0)</f>
        <v>0</v>
      </c>
      <c r="O16" s="170">
        <f t="array" ref="O16">IFERROR(
MEDIAN((IF(DATOS_[[Sexo]:[Sexo]]=$B16,IF(DATOS_[[AGRUP. VALOR. PTO.]:[AGRUP. VALOR. PTO.]]=$B15,IF(DATOS_[[Check Periodo Ref.]:[Check Periodo Ref.]]="Dentro",DATOS_[Conc.Sal.10]))))),
0)</f>
        <v>0</v>
      </c>
      <c r="P16" s="170">
        <f t="array" ref="P16">IFERROR(
MEDIAN((IF(DATOS_[[Sexo]:[Sexo]]=$B16,IF(DATOS_[[AGRUP. VALOR. PTO.]:[AGRUP. VALOR. PTO.]]=$B15,IF(DATOS_[[Check Periodo Ref.]:[Check Periodo Ref.]]="Dentro",DATOS_[Conc.Sal.11]))))),
0)</f>
        <v>0</v>
      </c>
      <c r="Q16" s="170">
        <f t="array" ref="Q16">IFERROR(
MEDIAN((IF(DATOS_[[Sexo]:[Sexo]]=$B16,IF(DATOS_[[AGRUP. VALOR. PTO.]:[AGRUP. VALOR. PTO.]]=$B15,IF(DATOS_[[Check Periodo Ref.]:[Check Periodo Ref.]]="Dentro",DATOS_[Conc.Sal.12]))))),
0)</f>
        <v>0</v>
      </c>
      <c r="R16" s="170">
        <f t="array" ref="R16">IFERROR(
MEDIAN((IF(DATOS_[[Sexo]:[Sexo]]=$B16,IF(DATOS_[[AGRUP. VALOR. PTO.]:[AGRUP. VALOR. PTO.]]=$B15,IF(DATOS_[[Check Periodo Ref.]:[Check Periodo Ref.]]="Dentro",DATOS_[Conc.Sal.13]))))),
0)</f>
        <v>0</v>
      </c>
      <c r="S16" s="170">
        <f t="array" ref="S16">IFERROR(
MEDIAN((IF(DATOS_[[Sexo]:[Sexo]]=$B16,IF(DATOS_[[AGRUP. VALOR. PTO.]:[AGRUP. VALOR. PTO.]]=$B15,IF(DATOS_[[Check Periodo Ref.]:[Check Periodo Ref.]]="Dentro",DATOS_[Conc.Sal.14]))))),
0)</f>
        <v>0</v>
      </c>
      <c r="T16" s="170">
        <f t="array" ref="T16">IFERROR(
MEDIAN((IF(DATOS_[[Sexo]:[Sexo]]=$B16,IF(DATOS_[[AGRUP. VALOR. PTO.]:[AGRUP. VALOR. PTO.]]=$B15,IF(DATOS_[[Check Periodo Ref.]:[Check Periodo Ref.]]="Dentro",DATOS_[Conc.Sal.15]))))),
0)</f>
        <v>0</v>
      </c>
      <c r="U16" s="170">
        <f t="array" ref="U16">IFERROR(
MEDIAN((IF(DATOS_[[Sexo]:[Sexo]]=$B16,IF(DATOS_[[AGRUP. VALOR. PTO.]:[AGRUP. VALOR. PTO.]]=$B15,IF(DATOS_[[Check Periodo Ref.]:[Check Periodo Ref.]]="Dentro",DATOS_[Conc.Sal.16]))))),
0)</f>
        <v>0</v>
      </c>
      <c r="V16" s="170">
        <f t="array" ref="V16">IFERROR(
MEDIAN((IF(DATOS_[[Sexo]:[Sexo]]=$B16,IF(DATOS_[[AGRUP. VALOR. PTO.]:[AGRUP. VALOR. PTO.]]=$B15,IF(DATOS_[[Check Periodo Ref.]:[Check Periodo Ref.]]="Dentro",DATOS_[Conc.Sal.17]))))),
0)</f>
        <v>0</v>
      </c>
      <c r="W16" s="170">
        <f t="array" ref="W16">IFERROR(
MEDIAN((IF(DATOS_[[Sexo]:[Sexo]]=$B16,IF(DATOS_[[AGRUP. VALOR. PTO.]:[AGRUP. VALOR. PTO.]]=$B15,IF(DATOS_[[Check Periodo Ref.]:[Check Periodo Ref.]]="Dentro",DATOS_[Conc.Sal.18]))))),
0)</f>
        <v>0</v>
      </c>
      <c r="X16" s="170">
        <f t="array" ref="X16">IFERROR(
MEDIAN((IF(DATOS_[[Sexo]:[Sexo]]=$B16,IF(DATOS_[[AGRUP. VALOR. PTO.]:[AGRUP. VALOR. PTO.]]=$B15,IF(DATOS_[[Check Periodo Ref.]:[Check Periodo Ref.]]="Dentro",DATOS_[Conc.Sal.19]))))),
0)</f>
        <v>0</v>
      </c>
      <c r="Y16" s="170">
        <f t="array" ref="Y16">IFERROR(
MEDIAN((IF(DATOS_[[Sexo]:[Sexo]]=$B16,IF(DATOS_[[AGRUP. VALOR. PTO.]:[AGRUP. VALOR. PTO.]]=$B15,IF(DATOS_[[Check Periodo Ref.]:[Check Periodo Ref.]]="Dentro",DATOS_[Conc.Sal.20]))))),
0)</f>
        <v>0</v>
      </c>
      <c r="Z16" s="170">
        <f t="array" ref="Z16">IFERROR(
MEDIAN((IF(DATOS_[[Sexo]:[Sexo]]=$B16,IF(DATOS_[[AGRUP. VALOR. PTO.]:[AGRUP. VALOR. PTO.]]=$B15,IF(DATOS_[[Check Periodo Ref.]:[Check Periodo Ref.]]="Dentro",DATOS_[Conc.Sal.21]))))),
0)</f>
        <v>0</v>
      </c>
      <c r="AA16" s="170">
        <f t="array" ref="AA16">IFERROR(
MEDIAN((IF(DATOS_[[Sexo]:[Sexo]]=$B16,IF(DATOS_[[AGRUP. VALOR. PTO.]:[AGRUP. VALOR. PTO.]]=$B15,IF(DATOS_[[Check Periodo Ref.]:[Check Periodo Ref.]]="Dentro",DATOS_[Conc.Sal.22]))))),
0)</f>
        <v>0</v>
      </c>
      <c r="AB16" s="170">
        <f t="array" ref="AB16">IFERROR(
MEDIAN((IF(DATOS_[[Sexo]:[Sexo]]=$B16,IF(DATOS_[[AGRUP. VALOR. PTO.]:[AGRUP. VALOR. PTO.]]=$B15,IF(DATOS_[[Check Periodo Ref.]:[Check Periodo Ref.]]="Dentro",DATOS_[Conc.Sal.23]))))),
0)</f>
        <v>0</v>
      </c>
      <c r="AC16" s="170">
        <f t="array" ref="AC16">IFERROR(
MEDIAN((IF(DATOS_[[Sexo]:[Sexo]]=$B16,IF(DATOS_[[AGRUP. VALOR. PTO.]:[AGRUP. VALOR. PTO.]]=$B15,IF(DATOS_[[Check Periodo Ref.]:[Check Periodo Ref.]]="Dentro",DATOS_[Conc.Sal.24]))))),
0)</f>
        <v>0</v>
      </c>
      <c r="AD16" s="170">
        <f t="array" ref="AD16">IFERROR(
MEDIAN((IF(DATOS_[[Sexo]:[Sexo]]=$B16,IF(DATOS_[[AGRUP. VALOR. PTO.]:[AGRUP. VALOR. PTO.]]=$B15,IF(DATOS_[[Check Periodo Ref.]:[Check Periodo Ref.]]="Dentro",DATOS_[Conc.Sal.25]))))),
0)</f>
        <v>0</v>
      </c>
      <c r="AE16" s="170">
        <f t="array" ref="AE16">IFERROR(
MEDIAN((IF(DATOS_[[Sexo]:[Sexo]]=$B16,IF(DATOS_[[AGRUP. VALOR. PTO.]:[AGRUP. VALOR. PTO.]]=$B15,IF(DATOS_[[Check Periodo Ref.]:[Check Periodo Ref.]]="Dentro",DATOS_[Conc.Sal.26]))))),
0)</f>
        <v>0</v>
      </c>
      <c r="AF16" s="170">
        <f t="array" ref="AF16">IFERROR(
MEDIAN((IF(DATOS_[[Sexo]:[Sexo]]=$B16,IF(DATOS_[[AGRUP. VALOR. PTO.]:[AGRUP. VALOR. PTO.]]=$B15,IF(DATOS_[[Check Periodo Ref.]:[Check Periodo Ref.]]="Dentro",DATOS_[Conc.Sal.27]))))),
0)</f>
        <v>0</v>
      </c>
      <c r="AG16" s="170">
        <f t="array" ref="AG16">IFERROR(
MEDIAN((IF(DATOS_[[Sexo]:[Sexo]]=$B16,IF(DATOS_[[AGRUP. VALOR. PTO.]:[AGRUP. VALOR. PTO.]]=$B15,IF(DATOS_[[Check Periodo Ref.]:[Check Periodo Ref.]]="Dentro",DATOS_[Conc.Sal.28]))))),
0)</f>
        <v>0</v>
      </c>
      <c r="AH16" s="170">
        <f t="array" ref="AH16">IFERROR(
MEDIAN((IF(DATOS_[[Sexo]:[Sexo]]=$B16,IF(DATOS_[[AGRUP. VALOR. PTO.]:[AGRUP. VALOR. PTO.]]=$B15,IF(DATOS_[[Check Periodo Ref.]:[Check Periodo Ref.]]="Dentro",DATOS_[Conc.Sal.29]))))),
0)</f>
        <v>0</v>
      </c>
      <c r="AI16" s="170">
        <f t="array" ref="AI16">IFERROR(
MEDIAN((IF(DATOS_[[Sexo]:[Sexo]]=$B16,IF(DATOS_[[AGRUP. VALOR. PTO.]:[AGRUP. VALOR. PTO.]]=$B15,IF(DATOS_[[Check Periodo Ref.]:[Check Periodo Ref.]]="Dentro",DATOS_[Conc.Sal.30]))))),
0)</f>
        <v>0</v>
      </c>
      <c r="AJ16" s="171">
        <f t="array" ref="AJ16">IFERROR(
MEDIAN(IF(DATOS_[Sexo]=$B16,IF(DATOS_[AGRUP. VALOR. PTO.]=$B15,IF(DATOS_[Check Periodo Ref.]="Dentro",DATOS_[Tot COMPL.SAL Ef],FALSE)))),
0)</f>
        <v>0</v>
      </c>
      <c r="AK16" s="172">
        <f t="array" ref="AK16">IFERROR(
MEDIAN(IF(DATOS_[Sexo]=$B16,IF(DATOS_[AGRUP. VALOR. PTO.]=$B15,IF(DATOS_[Check Periodo Ref.]="Dentro",DATOS_[TOTAL SALARIO Ef],FALSE)))),
0)</f>
        <v>0</v>
      </c>
      <c r="AL16" s="173">
        <f t="array" ref="AL16">IFERROR(
MEDIAN((IF(DATOS_[[Sexo]:[Sexo]]=$B16,IF(DATOS_[[AGRUP. VALOR. PTO.]:[AGRUP. VALOR. PTO.]]=$B15,IF(DATOS_[[Check Periodo Ref.]:[Check Periodo Ref.]]="Dentro",DATOS_[C.Extra.01]))))),
0)</f>
        <v>0</v>
      </c>
      <c r="AM16" s="173">
        <f t="array" ref="AM16">IFERROR(
MEDIAN((IF(DATOS_[[Sexo]:[Sexo]]=$B16,IF(DATOS_[[AGRUP. VALOR. PTO.]:[AGRUP. VALOR. PTO.]]=$B15,IF(DATOS_[[Check Periodo Ref.]:[Check Periodo Ref.]]="Dentro",DATOS_[C.Extra.06]))))),
0)</f>
        <v>0</v>
      </c>
      <c r="AN16" s="173">
        <f t="array" ref="AN16">IFERROR(
MEDIAN((IF(DATOS_[[Sexo]:[Sexo]]=$B16,IF(DATOS_[[AGRUP. VALOR. PTO.]:[AGRUP. VALOR. PTO.]]=$B15,IF(DATOS_[[Check Periodo Ref.]:[Check Periodo Ref.]]="Dentro",DATOS_[C.Extra.07]))))),
0)</f>
        <v>0</v>
      </c>
      <c r="AO16" s="173">
        <f t="array" ref="AO16">IFERROR(
MEDIAN((IF(DATOS_[[Sexo]:[Sexo]]=$B16,IF(DATOS_[[AGRUP. VALOR. PTO.]:[AGRUP. VALOR. PTO.]]=$B15,IF(DATOS_[[Check Periodo Ref.]:[Check Periodo Ref.]]="Dentro",DATOS_[C.Extra.08]))))),
0)</f>
        <v>0</v>
      </c>
      <c r="AP16" s="173">
        <f t="array" ref="AP16">IFERROR(
MEDIAN((IF(DATOS_[[Sexo]:[Sexo]]=$B16,IF(DATOS_[[AGRUP. VALOR. PTO.]:[AGRUP. VALOR. PTO.]]=$B15,IF(DATOS_[[Check Periodo Ref.]:[Check Periodo Ref.]]="Dentro",DATOS_[C.Extra.11]))))),
0)</f>
        <v>0</v>
      </c>
      <c r="AQ16" s="174">
        <f t="array" ref="AQ16">IFERROR(
MEDIAN(IF(DATOS_[Sexo]=$B16,IF(DATOS_[AGRUP. VALOR. PTO.]=$B15,IF(DATOS_[Check Periodo Ref.]="Dentro",DATOS_[Tot Extrasalarial Ef],FALSE)))),
0)</f>
        <v>0</v>
      </c>
      <c r="AR16" s="171">
        <f t="array" ref="AR16">IFERROR(
MEDIAN(IF(DATOS_[Sexo]=$B16,IF(DATOS_[AGRUP. VALOR. PTO.]=$B15,IF(DATOS_[Check Periodo Ref.]="Dentro",DATOS_[TOTAL Retrib Ef],FALSE)))),
0)</f>
        <v>0</v>
      </c>
    </row>
    <row r="17" spans="1:44" s="186" customFormat="1" x14ac:dyDescent="0.25">
      <c r="A17" s="186" t="str">
        <f>+A16</f>
        <v>[ocultar]</v>
      </c>
      <c r="B17" s="166" t="s">
        <v>521</v>
      </c>
      <c r="C17" s="167">
        <f t="array" ref="C17">SUM(IF($B17=DATOS_[Sexo],
IF($B15=DATOS_[AGRUP. VALOR. PTO.],
IF("Dentro"=DATOS_[Check Periodo Ref.],
1/(COUNTIFS(DATOS_[Sexo],$B17,DATOS_[AGRUP. VALOR. PTO.],$B15,DATOS_[Check Periodo Ref.],"Dentro",DATOS_[id/cod],DATOS_[id/cod]))))))</f>
        <v>0</v>
      </c>
      <c r="D17" s="168">
        <f>COUNTIFS(DATOS_[AGRUP. VALOR. PTO.],$B15,DATOS_[Sexo],$B17,DATOS_[Check Periodo Ref.],"Dentro")</f>
        <v>0</v>
      </c>
      <c r="E17" s="169">
        <f t="array" ref="E17">IFERROR(
MEDIAN(IF(DATOS_[Sexo]=$B17,IF(DATOS_[AGRUP. VALOR. PTO.]=$B15,IF(DATOS_[Check Periodo Ref.]="Dentro",DATOS_[SALARIO BASE Ef],FALSE)))),
0)</f>
        <v>0</v>
      </c>
      <c r="F17" s="170">
        <f t="array" ref="F17">IFERROR(
MEDIAN((IF(DATOS_[[Sexo]:[Sexo]]=$B17,IF(DATOS_[[AGRUP. VALOR. PTO.]:[AGRUP. VALOR. PTO.]]=$B15,IF(DATOS_[[Check Periodo Ref.]:[Check Periodo Ref.]]="Dentro",DATOS_[Conc.Sal.01]))))),
0)</f>
        <v>0</v>
      </c>
      <c r="G17" s="170">
        <f t="array" ref="G17">IFERROR(
MEDIAN((IF(DATOS_[[Sexo]:[Sexo]]=$B17,IF(DATOS_[[AGRUP. VALOR. PTO.]:[AGRUP. VALOR. PTO.]]=$B15,IF(DATOS_[[Check Periodo Ref.]:[Check Periodo Ref.]]="Dentro",DATOS_[Conc.Sal.02]))))),
0)</f>
        <v>0</v>
      </c>
      <c r="H17" s="170">
        <f t="array" ref="H17">IFERROR(
MEDIAN((IF(DATOS_[[Sexo]:[Sexo]]=$B17,IF(DATOS_[[AGRUP. VALOR. PTO.]:[AGRUP. VALOR. PTO.]]=$B15,IF(DATOS_[[Check Periodo Ref.]:[Check Periodo Ref.]]="Dentro",DATOS_[Conc.Sal.03]))))),
0)</f>
        <v>0</v>
      </c>
      <c r="I17" s="170">
        <f t="array" ref="I17">IFERROR(
MEDIAN((IF(DATOS_[[Sexo]:[Sexo]]=$B17,IF(DATOS_[[AGRUP. VALOR. PTO.]:[AGRUP. VALOR. PTO.]]=$B15,IF(DATOS_[[Check Periodo Ref.]:[Check Periodo Ref.]]="Dentro",DATOS_[Conc.Sal.04]))))),
0)</f>
        <v>0</v>
      </c>
      <c r="J17" s="170">
        <f t="array" ref="J17">IFERROR(
MEDIAN((IF(DATOS_[[Sexo]:[Sexo]]=$B17,IF(DATOS_[[AGRUP. VALOR. PTO.]:[AGRUP. VALOR. PTO.]]=$B15,IF(DATOS_[[Check Periodo Ref.]:[Check Periodo Ref.]]="Dentro",DATOS_[Conc.Sal.05]))))),
0)</f>
        <v>0</v>
      </c>
      <c r="K17" s="170">
        <f t="array" ref="K17">IFERROR(
MEDIAN((IF(DATOS_[[Sexo]:[Sexo]]=$B17,IF(DATOS_[[AGRUP. VALOR. PTO.]:[AGRUP. VALOR. PTO.]]=$B15,IF(DATOS_[[Check Periodo Ref.]:[Check Periodo Ref.]]="Dentro",DATOS_[Conc.Sal.06]))))),
0)</f>
        <v>0</v>
      </c>
      <c r="L17" s="170">
        <f t="array" ref="L17">IFERROR(
MEDIAN((IF(DATOS_[[Sexo]:[Sexo]]=$B17,IF(DATOS_[[AGRUP. VALOR. PTO.]:[AGRUP. VALOR. PTO.]]=$B15,IF(DATOS_[[Check Periodo Ref.]:[Check Periodo Ref.]]="Dentro",DATOS_[Conc.Sal.07]))))),
0)</f>
        <v>0</v>
      </c>
      <c r="M17" s="170">
        <f t="array" ref="M17">IFERROR(
MEDIAN((IF(DATOS_[[Sexo]:[Sexo]]=$B17,IF(DATOS_[[AGRUP. VALOR. PTO.]:[AGRUP. VALOR. PTO.]]=$B15,IF(DATOS_[[Check Periodo Ref.]:[Check Periodo Ref.]]="Dentro",DATOS_[Conc.Sal.08]))))),
0)</f>
        <v>0</v>
      </c>
      <c r="N17" s="170">
        <f t="array" ref="N17">IFERROR(
MEDIAN((IF(DATOS_[[Sexo]:[Sexo]]=$B17,IF(DATOS_[[AGRUP. VALOR. PTO.]:[AGRUP. VALOR. PTO.]]=$B15,IF(DATOS_[[Check Periodo Ref.]:[Check Periodo Ref.]]="Dentro",DATOS_[Conc.Sal.09]))))),
0)</f>
        <v>0</v>
      </c>
      <c r="O17" s="170">
        <f t="array" ref="O17">IFERROR(
MEDIAN((IF(DATOS_[[Sexo]:[Sexo]]=$B17,IF(DATOS_[[AGRUP. VALOR. PTO.]:[AGRUP. VALOR. PTO.]]=$B15,IF(DATOS_[[Check Periodo Ref.]:[Check Periodo Ref.]]="Dentro",DATOS_[Conc.Sal.10]))))),
0)</f>
        <v>0</v>
      </c>
      <c r="P17" s="170">
        <f t="array" ref="P17">IFERROR(
MEDIAN((IF(DATOS_[[Sexo]:[Sexo]]=$B17,IF(DATOS_[[AGRUP. VALOR. PTO.]:[AGRUP. VALOR. PTO.]]=$B15,IF(DATOS_[[Check Periodo Ref.]:[Check Periodo Ref.]]="Dentro",DATOS_[Conc.Sal.11]))))),
0)</f>
        <v>0</v>
      </c>
      <c r="Q17" s="170">
        <f t="array" ref="Q17">IFERROR(
MEDIAN((IF(DATOS_[[Sexo]:[Sexo]]=$B17,IF(DATOS_[[AGRUP. VALOR. PTO.]:[AGRUP. VALOR. PTO.]]=$B15,IF(DATOS_[[Check Periodo Ref.]:[Check Periodo Ref.]]="Dentro",DATOS_[Conc.Sal.12]))))),
0)</f>
        <v>0</v>
      </c>
      <c r="R17" s="170">
        <f t="array" ref="R17">IFERROR(
MEDIAN((IF(DATOS_[[Sexo]:[Sexo]]=$B17,IF(DATOS_[[AGRUP. VALOR. PTO.]:[AGRUP. VALOR. PTO.]]=$B15,IF(DATOS_[[Check Periodo Ref.]:[Check Periodo Ref.]]="Dentro",DATOS_[Conc.Sal.13]))))),
0)</f>
        <v>0</v>
      </c>
      <c r="S17" s="170">
        <f t="array" ref="S17">IFERROR(
MEDIAN((IF(DATOS_[[Sexo]:[Sexo]]=$B17,IF(DATOS_[[AGRUP. VALOR. PTO.]:[AGRUP. VALOR. PTO.]]=$B15,IF(DATOS_[[Check Periodo Ref.]:[Check Periodo Ref.]]="Dentro",DATOS_[Conc.Sal.14]))))),
0)</f>
        <v>0</v>
      </c>
      <c r="T17" s="170">
        <f t="array" ref="T17">IFERROR(
MEDIAN((IF(DATOS_[[Sexo]:[Sexo]]=$B17,IF(DATOS_[[AGRUP. VALOR. PTO.]:[AGRUP. VALOR. PTO.]]=$B15,IF(DATOS_[[Check Periodo Ref.]:[Check Periodo Ref.]]="Dentro",DATOS_[Conc.Sal.15]))))),
0)</f>
        <v>0</v>
      </c>
      <c r="U17" s="170">
        <f t="array" ref="U17">IFERROR(
MEDIAN((IF(DATOS_[[Sexo]:[Sexo]]=$B17,IF(DATOS_[[AGRUP. VALOR. PTO.]:[AGRUP. VALOR. PTO.]]=$B15,IF(DATOS_[[Check Periodo Ref.]:[Check Periodo Ref.]]="Dentro",DATOS_[Conc.Sal.16]))))),
0)</f>
        <v>0</v>
      </c>
      <c r="V17" s="170">
        <f t="array" ref="V17">IFERROR(
MEDIAN((IF(DATOS_[[Sexo]:[Sexo]]=$B17,IF(DATOS_[[AGRUP. VALOR. PTO.]:[AGRUP. VALOR. PTO.]]=$B15,IF(DATOS_[[Check Periodo Ref.]:[Check Periodo Ref.]]="Dentro",DATOS_[Conc.Sal.17]))))),
0)</f>
        <v>0</v>
      </c>
      <c r="W17" s="170">
        <f t="array" ref="W17">IFERROR(
MEDIAN((IF(DATOS_[[Sexo]:[Sexo]]=$B17,IF(DATOS_[[AGRUP. VALOR. PTO.]:[AGRUP. VALOR. PTO.]]=$B15,IF(DATOS_[[Check Periodo Ref.]:[Check Periodo Ref.]]="Dentro",DATOS_[Conc.Sal.18]))))),
0)</f>
        <v>0</v>
      </c>
      <c r="X17" s="170">
        <f t="array" ref="X17">IFERROR(
MEDIAN((IF(DATOS_[[Sexo]:[Sexo]]=$B17,IF(DATOS_[[AGRUP. VALOR. PTO.]:[AGRUP. VALOR. PTO.]]=$B15,IF(DATOS_[[Check Periodo Ref.]:[Check Periodo Ref.]]="Dentro",DATOS_[Conc.Sal.19]))))),
0)</f>
        <v>0</v>
      </c>
      <c r="Y17" s="170">
        <f t="array" ref="Y17">IFERROR(
MEDIAN((IF(DATOS_[[Sexo]:[Sexo]]=$B17,IF(DATOS_[[AGRUP. VALOR. PTO.]:[AGRUP. VALOR. PTO.]]=$B15,IF(DATOS_[[Check Periodo Ref.]:[Check Periodo Ref.]]="Dentro",DATOS_[Conc.Sal.20]))))),
0)</f>
        <v>0</v>
      </c>
      <c r="Z17" s="170">
        <f t="array" ref="Z17">IFERROR(
MEDIAN((IF(DATOS_[[Sexo]:[Sexo]]=$B17,IF(DATOS_[[AGRUP. VALOR. PTO.]:[AGRUP. VALOR. PTO.]]=$B15,IF(DATOS_[[Check Periodo Ref.]:[Check Periodo Ref.]]="Dentro",DATOS_[Conc.Sal.21]))))),
0)</f>
        <v>0</v>
      </c>
      <c r="AA17" s="170">
        <f t="array" ref="AA17">IFERROR(
MEDIAN((IF(DATOS_[[Sexo]:[Sexo]]=$B17,IF(DATOS_[[AGRUP. VALOR. PTO.]:[AGRUP. VALOR. PTO.]]=$B15,IF(DATOS_[[Check Periodo Ref.]:[Check Periodo Ref.]]="Dentro",DATOS_[Conc.Sal.22]))))),
0)</f>
        <v>0</v>
      </c>
      <c r="AB17" s="170">
        <f t="array" ref="AB17">IFERROR(
MEDIAN((IF(DATOS_[[Sexo]:[Sexo]]=$B17,IF(DATOS_[[AGRUP. VALOR. PTO.]:[AGRUP. VALOR. PTO.]]=$B15,IF(DATOS_[[Check Periodo Ref.]:[Check Periodo Ref.]]="Dentro",DATOS_[Conc.Sal.23]))))),
0)</f>
        <v>0</v>
      </c>
      <c r="AC17" s="170">
        <f t="array" ref="AC17">IFERROR(
MEDIAN((IF(DATOS_[[Sexo]:[Sexo]]=$B17,IF(DATOS_[[AGRUP. VALOR. PTO.]:[AGRUP. VALOR. PTO.]]=$B15,IF(DATOS_[[Check Periodo Ref.]:[Check Periodo Ref.]]="Dentro",DATOS_[Conc.Sal.24]))))),
0)</f>
        <v>0</v>
      </c>
      <c r="AD17" s="170">
        <f t="array" ref="AD17">IFERROR(
MEDIAN((IF(DATOS_[[Sexo]:[Sexo]]=$B17,IF(DATOS_[[AGRUP. VALOR. PTO.]:[AGRUP. VALOR. PTO.]]=$B15,IF(DATOS_[[Check Periodo Ref.]:[Check Periodo Ref.]]="Dentro",DATOS_[Conc.Sal.25]))))),
0)</f>
        <v>0</v>
      </c>
      <c r="AE17" s="170">
        <f t="array" ref="AE17">IFERROR(
MEDIAN((IF(DATOS_[[Sexo]:[Sexo]]=$B17,IF(DATOS_[[AGRUP. VALOR. PTO.]:[AGRUP. VALOR. PTO.]]=$B15,IF(DATOS_[[Check Periodo Ref.]:[Check Periodo Ref.]]="Dentro",DATOS_[Conc.Sal.26]))))),
0)</f>
        <v>0</v>
      </c>
      <c r="AF17" s="170">
        <f t="array" ref="AF17">IFERROR(
MEDIAN((IF(DATOS_[[Sexo]:[Sexo]]=$B17,IF(DATOS_[[AGRUP. VALOR. PTO.]:[AGRUP. VALOR. PTO.]]=$B15,IF(DATOS_[[Check Periodo Ref.]:[Check Periodo Ref.]]="Dentro",DATOS_[Conc.Sal.27]))))),
0)</f>
        <v>0</v>
      </c>
      <c r="AG17" s="170">
        <f t="array" ref="AG17">IFERROR(
MEDIAN((IF(DATOS_[[Sexo]:[Sexo]]=$B17,IF(DATOS_[[AGRUP. VALOR. PTO.]:[AGRUP. VALOR. PTO.]]=$B15,IF(DATOS_[[Check Periodo Ref.]:[Check Periodo Ref.]]="Dentro",DATOS_[Conc.Sal.28]))))),
0)</f>
        <v>0</v>
      </c>
      <c r="AH17" s="170">
        <f t="array" ref="AH17">IFERROR(
MEDIAN((IF(DATOS_[[Sexo]:[Sexo]]=$B17,IF(DATOS_[[AGRUP. VALOR. PTO.]:[AGRUP. VALOR. PTO.]]=$B15,IF(DATOS_[[Check Periodo Ref.]:[Check Periodo Ref.]]="Dentro",DATOS_[Conc.Sal.29]))))),
0)</f>
        <v>0</v>
      </c>
      <c r="AI17" s="170">
        <f t="array" ref="AI17">IFERROR(
MEDIAN((IF(DATOS_[[Sexo]:[Sexo]]=$B17,IF(DATOS_[[AGRUP. VALOR. PTO.]:[AGRUP. VALOR. PTO.]]=$B15,IF(DATOS_[[Check Periodo Ref.]:[Check Periodo Ref.]]="Dentro",DATOS_[Conc.Sal.30]))))),
0)</f>
        <v>0</v>
      </c>
      <c r="AJ17" s="171">
        <f t="array" ref="AJ17">IFERROR(
MEDIAN(IF(DATOS_[Sexo]=$B17,IF(DATOS_[AGRUP. VALOR. PTO.]=$B15,IF(DATOS_[Check Periodo Ref.]="Dentro",DATOS_[Tot COMPL.SAL Ef],FALSE)))),
0)</f>
        <v>0</v>
      </c>
      <c r="AK17" s="172">
        <f t="array" ref="AK17">IFERROR(
MEDIAN(IF(DATOS_[Sexo]=$B17,IF(DATOS_[AGRUP. VALOR. PTO.]=$B15,IF(DATOS_[Check Periodo Ref.]="Dentro",DATOS_[TOTAL SALARIO Ef],FALSE)))),
0)</f>
        <v>0</v>
      </c>
      <c r="AL17" s="173">
        <f t="array" ref="AL17">IFERROR(
MEDIAN((IF(DATOS_[[Sexo]:[Sexo]]=$B17,IF(DATOS_[[AGRUP. VALOR. PTO.]:[AGRUP. VALOR. PTO.]]=$B15,IF(DATOS_[[Check Periodo Ref.]:[Check Periodo Ref.]]="Dentro",DATOS_[C.Extra.01]))))),
0)</f>
        <v>0</v>
      </c>
      <c r="AM17" s="173">
        <f t="array" ref="AM17">IFERROR(
MEDIAN((IF(DATOS_[[Sexo]:[Sexo]]=$B17,IF(DATOS_[[AGRUP. VALOR. PTO.]:[AGRUP. VALOR. PTO.]]=$B15,IF(DATOS_[[Check Periodo Ref.]:[Check Periodo Ref.]]="Dentro",DATOS_[C.Extra.06]))))),
0)</f>
        <v>0</v>
      </c>
      <c r="AN17" s="173">
        <f t="array" ref="AN17">IFERROR(
MEDIAN((IF(DATOS_[[Sexo]:[Sexo]]=$B17,IF(DATOS_[[AGRUP. VALOR. PTO.]:[AGRUP. VALOR. PTO.]]=$B15,IF(DATOS_[[Check Periodo Ref.]:[Check Periodo Ref.]]="Dentro",DATOS_[C.Extra.07]))))),
0)</f>
        <v>0</v>
      </c>
      <c r="AO17" s="173">
        <f t="array" ref="AO17">IFERROR(
MEDIAN((IF(DATOS_[[Sexo]:[Sexo]]=$B17,IF(DATOS_[[AGRUP. VALOR. PTO.]:[AGRUP. VALOR. PTO.]]=$B15,IF(DATOS_[[Check Periodo Ref.]:[Check Periodo Ref.]]="Dentro",DATOS_[C.Extra.08]))))),
0)</f>
        <v>0</v>
      </c>
      <c r="AP17" s="173">
        <f t="array" ref="AP17">IFERROR(
MEDIAN((IF(DATOS_[[Sexo]:[Sexo]]=$B17,IF(DATOS_[[AGRUP. VALOR. PTO.]:[AGRUP. VALOR. PTO.]]=$B15,IF(DATOS_[[Check Periodo Ref.]:[Check Periodo Ref.]]="Dentro",DATOS_[C.Extra.11]))))),
0)</f>
        <v>0</v>
      </c>
      <c r="AQ17" s="174">
        <f t="array" ref="AQ17">IFERROR(
MEDIAN(IF(DATOS_[Sexo]=$B17,IF(DATOS_[AGRUP. VALOR. PTO.]=$B15,IF(DATOS_[Check Periodo Ref.]="Dentro",DATOS_[Tot Extrasalarial Ef],FALSE)))),
0)</f>
        <v>0</v>
      </c>
      <c r="AR17" s="171">
        <f t="array" ref="AR17">IFERROR(
MEDIAN(IF(DATOS_[Sexo]=$B17,IF(DATOS_[AGRUP. VALOR. PTO.]=$B15,IF(DATOS_[Check Periodo Ref.]="Dentro",DATOS_[TOTAL Retrib Ef],FALSE)))),
0)</f>
        <v>0</v>
      </c>
    </row>
    <row r="18" spans="1:44" s="186" customFormat="1" ht="14.4" thickBot="1" x14ac:dyDescent="0.3">
      <c r="A18" s="186" t="str">
        <f t="shared" ref="A18" si="7">+A19</f>
        <v>[ocultar]</v>
      </c>
      <c r="B18" s="153" t="s">
        <v>183</v>
      </c>
      <c r="C18" s="154"/>
      <c r="D18" s="155"/>
      <c r="E18" s="156" t="str">
        <f t="shared" ref="E18:AR18" si="8">IFERROR((E19-E20)/E19,"")</f>
        <v/>
      </c>
      <c r="F18" s="157" t="str">
        <f t="shared" si="8"/>
        <v/>
      </c>
      <c r="G18" s="158" t="str">
        <f t="shared" si="8"/>
        <v/>
      </c>
      <c r="H18" s="158" t="str">
        <f t="shared" si="8"/>
        <v/>
      </c>
      <c r="I18" s="158" t="str">
        <f t="shared" si="8"/>
        <v/>
      </c>
      <c r="J18" s="159" t="str">
        <f t="shared" si="8"/>
        <v/>
      </c>
      <c r="K18" s="160" t="str">
        <f t="shared" si="8"/>
        <v/>
      </c>
      <c r="L18" s="160" t="str">
        <f t="shared" si="8"/>
        <v/>
      </c>
      <c r="M18" s="160" t="str">
        <f t="shared" si="8"/>
        <v/>
      </c>
      <c r="N18" s="160" t="str">
        <f t="shared" si="8"/>
        <v/>
      </c>
      <c r="O18" s="160" t="str">
        <f t="shared" si="8"/>
        <v/>
      </c>
      <c r="P18" s="160" t="str">
        <f t="shared" si="8"/>
        <v/>
      </c>
      <c r="Q18" s="160" t="str">
        <f t="shared" si="8"/>
        <v/>
      </c>
      <c r="R18" s="160" t="str">
        <f t="shared" si="8"/>
        <v/>
      </c>
      <c r="S18" s="160" t="str">
        <f t="shared" si="8"/>
        <v/>
      </c>
      <c r="T18" s="160" t="str">
        <f t="shared" si="8"/>
        <v/>
      </c>
      <c r="U18" s="160" t="str">
        <f t="shared" si="8"/>
        <v/>
      </c>
      <c r="V18" s="159" t="str">
        <f t="shared" si="8"/>
        <v/>
      </c>
      <c r="W18" s="159" t="str">
        <f t="shared" si="8"/>
        <v/>
      </c>
      <c r="X18" s="159" t="str">
        <f t="shared" si="8"/>
        <v/>
      </c>
      <c r="Y18" s="159" t="str">
        <f t="shared" si="8"/>
        <v/>
      </c>
      <c r="Z18" s="159" t="str">
        <f t="shared" si="8"/>
        <v/>
      </c>
      <c r="AA18" s="159" t="str">
        <f t="shared" si="8"/>
        <v/>
      </c>
      <c r="AB18" s="159" t="str">
        <f t="shared" si="8"/>
        <v/>
      </c>
      <c r="AC18" s="159" t="str">
        <f t="shared" si="8"/>
        <v/>
      </c>
      <c r="AD18" s="159" t="str">
        <f t="shared" si="8"/>
        <v/>
      </c>
      <c r="AE18" s="159" t="str">
        <f t="shared" si="8"/>
        <v/>
      </c>
      <c r="AF18" s="159" t="str">
        <f t="shared" si="8"/>
        <v/>
      </c>
      <c r="AG18" s="159" t="str">
        <f t="shared" si="8"/>
        <v/>
      </c>
      <c r="AH18" s="159" t="str">
        <f t="shared" si="8"/>
        <v/>
      </c>
      <c r="AI18" s="159" t="str">
        <f t="shared" si="8"/>
        <v/>
      </c>
      <c r="AJ18" s="161" t="str">
        <f t="shared" si="8"/>
        <v/>
      </c>
      <c r="AK18" s="162" t="str">
        <f t="shared" si="8"/>
        <v/>
      </c>
      <c r="AL18" s="163" t="str">
        <f t="shared" si="8"/>
        <v/>
      </c>
      <c r="AM18" s="163" t="str">
        <f t="shared" si="8"/>
        <v/>
      </c>
      <c r="AN18" s="163" t="str">
        <f t="shared" si="8"/>
        <v/>
      </c>
      <c r="AO18" s="163" t="str">
        <f t="shared" si="8"/>
        <v/>
      </c>
      <c r="AP18" s="163" t="str">
        <f t="shared" si="8"/>
        <v/>
      </c>
      <c r="AQ18" s="164" t="str">
        <f t="shared" si="8"/>
        <v/>
      </c>
      <c r="AR18" s="161" t="str">
        <f t="shared" si="8"/>
        <v/>
      </c>
    </row>
    <row r="19" spans="1:44" s="186" customFormat="1" x14ac:dyDescent="0.25">
      <c r="A19" s="186" t="str">
        <f t="shared" ref="A19" si="9">+IF(C19+C20=0,"[ocultar]","")</f>
        <v>[ocultar]</v>
      </c>
      <c r="B19" s="166" t="s">
        <v>394</v>
      </c>
      <c r="C19" s="167">
        <f t="array" ref="C19">SUM(IF($B19=DATOS_[Sexo],
IF($B18=DATOS_[AGRUP. VALOR. PTO.],
IF("Dentro"=DATOS_[Check Periodo Ref.],
1/(COUNTIFS(DATOS_[Sexo],$B19,DATOS_[AGRUP. VALOR. PTO.],$B18,DATOS_[Check Periodo Ref.],"Dentro",DATOS_[id/cod],DATOS_[id/cod]))))))</f>
        <v>0</v>
      </c>
      <c r="D19" s="168">
        <f>COUNTIFS(DATOS_[AGRUP. VALOR. PTO.],$B18,DATOS_[Sexo],$B19,DATOS_[Check Periodo Ref.],"Dentro")</f>
        <v>0</v>
      </c>
      <c r="E19" s="169">
        <f t="array" ref="E19">IFERROR(
MEDIAN(IF(DATOS_[Sexo]=$B19,IF(DATOS_[AGRUP. VALOR. PTO.]=$B18,IF(DATOS_[Check Periodo Ref.]="Dentro",DATOS_[SALARIO BASE Ef],FALSE)))),
0)</f>
        <v>0</v>
      </c>
      <c r="F19" s="170">
        <f t="array" ref="F19">IFERROR(
MEDIAN((IF(DATOS_[[Sexo]:[Sexo]]=$B19,IF(DATOS_[[AGRUP. VALOR. PTO.]:[AGRUP. VALOR. PTO.]]=$B18,IF(DATOS_[[Check Periodo Ref.]:[Check Periodo Ref.]]="Dentro",DATOS_[Conc.Sal.01]))))),
0)</f>
        <v>0</v>
      </c>
      <c r="G19" s="170">
        <f t="array" ref="G19">IFERROR(
MEDIAN((IF(DATOS_[[Sexo]:[Sexo]]=$B19,IF(DATOS_[[AGRUP. VALOR. PTO.]:[AGRUP. VALOR. PTO.]]=$B18,IF(DATOS_[[Check Periodo Ref.]:[Check Periodo Ref.]]="Dentro",DATOS_[Conc.Sal.02]))))),
0)</f>
        <v>0</v>
      </c>
      <c r="H19" s="170">
        <f t="array" ref="H19">IFERROR(
MEDIAN((IF(DATOS_[[Sexo]:[Sexo]]=$B19,IF(DATOS_[[AGRUP. VALOR. PTO.]:[AGRUP. VALOR. PTO.]]=$B18,IF(DATOS_[[Check Periodo Ref.]:[Check Periodo Ref.]]="Dentro",DATOS_[Conc.Sal.03]))))),
0)</f>
        <v>0</v>
      </c>
      <c r="I19" s="170">
        <f t="array" ref="I19">IFERROR(
MEDIAN((IF(DATOS_[[Sexo]:[Sexo]]=$B19,IF(DATOS_[[AGRUP. VALOR. PTO.]:[AGRUP. VALOR. PTO.]]=$B18,IF(DATOS_[[Check Periodo Ref.]:[Check Periodo Ref.]]="Dentro",DATOS_[Conc.Sal.04]))))),
0)</f>
        <v>0</v>
      </c>
      <c r="J19" s="170">
        <f t="array" ref="J19">IFERROR(
MEDIAN((IF(DATOS_[[Sexo]:[Sexo]]=$B19,IF(DATOS_[[AGRUP. VALOR. PTO.]:[AGRUP. VALOR. PTO.]]=$B18,IF(DATOS_[[Check Periodo Ref.]:[Check Periodo Ref.]]="Dentro",DATOS_[Conc.Sal.05]))))),
0)</f>
        <v>0</v>
      </c>
      <c r="K19" s="170">
        <f t="array" ref="K19">IFERROR(
MEDIAN((IF(DATOS_[[Sexo]:[Sexo]]=$B19,IF(DATOS_[[AGRUP. VALOR. PTO.]:[AGRUP. VALOR. PTO.]]=$B18,IF(DATOS_[[Check Periodo Ref.]:[Check Periodo Ref.]]="Dentro",DATOS_[Conc.Sal.06]))))),
0)</f>
        <v>0</v>
      </c>
      <c r="L19" s="170">
        <f t="array" ref="L19">IFERROR(
MEDIAN((IF(DATOS_[[Sexo]:[Sexo]]=$B19,IF(DATOS_[[AGRUP. VALOR. PTO.]:[AGRUP. VALOR. PTO.]]=$B18,IF(DATOS_[[Check Periodo Ref.]:[Check Periodo Ref.]]="Dentro",DATOS_[Conc.Sal.07]))))),
0)</f>
        <v>0</v>
      </c>
      <c r="M19" s="170">
        <f t="array" ref="M19">IFERROR(
MEDIAN((IF(DATOS_[[Sexo]:[Sexo]]=$B19,IF(DATOS_[[AGRUP. VALOR. PTO.]:[AGRUP. VALOR. PTO.]]=$B18,IF(DATOS_[[Check Periodo Ref.]:[Check Periodo Ref.]]="Dentro",DATOS_[Conc.Sal.08]))))),
0)</f>
        <v>0</v>
      </c>
      <c r="N19" s="170">
        <f t="array" ref="N19">IFERROR(
MEDIAN((IF(DATOS_[[Sexo]:[Sexo]]=$B19,IF(DATOS_[[AGRUP. VALOR. PTO.]:[AGRUP. VALOR. PTO.]]=$B18,IF(DATOS_[[Check Periodo Ref.]:[Check Periodo Ref.]]="Dentro",DATOS_[Conc.Sal.09]))))),
0)</f>
        <v>0</v>
      </c>
      <c r="O19" s="170">
        <f t="array" ref="O19">IFERROR(
MEDIAN((IF(DATOS_[[Sexo]:[Sexo]]=$B19,IF(DATOS_[[AGRUP. VALOR. PTO.]:[AGRUP. VALOR. PTO.]]=$B18,IF(DATOS_[[Check Periodo Ref.]:[Check Periodo Ref.]]="Dentro",DATOS_[Conc.Sal.10]))))),
0)</f>
        <v>0</v>
      </c>
      <c r="P19" s="170">
        <f t="array" ref="P19">IFERROR(
MEDIAN((IF(DATOS_[[Sexo]:[Sexo]]=$B19,IF(DATOS_[[AGRUP. VALOR. PTO.]:[AGRUP. VALOR. PTO.]]=$B18,IF(DATOS_[[Check Periodo Ref.]:[Check Periodo Ref.]]="Dentro",DATOS_[Conc.Sal.11]))))),
0)</f>
        <v>0</v>
      </c>
      <c r="Q19" s="170">
        <f t="array" ref="Q19">IFERROR(
MEDIAN((IF(DATOS_[[Sexo]:[Sexo]]=$B19,IF(DATOS_[[AGRUP. VALOR. PTO.]:[AGRUP. VALOR. PTO.]]=$B18,IF(DATOS_[[Check Periodo Ref.]:[Check Periodo Ref.]]="Dentro",DATOS_[Conc.Sal.12]))))),
0)</f>
        <v>0</v>
      </c>
      <c r="R19" s="170">
        <f t="array" ref="R19">IFERROR(
MEDIAN((IF(DATOS_[[Sexo]:[Sexo]]=$B19,IF(DATOS_[[AGRUP. VALOR. PTO.]:[AGRUP. VALOR. PTO.]]=$B18,IF(DATOS_[[Check Periodo Ref.]:[Check Periodo Ref.]]="Dentro",DATOS_[Conc.Sal.13]))))),
0)</f>
        <v>0</v>
      </c>
      <c r="S19" s="170">
        <f t="array" ref="S19">IFERROR(
MEDIAN((IF(DATOS_[[Sexo]:[Sexo]]=$B19,IF(DATOS_[[AGRUP. VALOR. PTO.]:[AGRUP. VALOR. PTO.]]=$B18,IF(DATOS_[[Check Periodo Ref.]:[Check Periodo Ref.]]="Dentro",DATOS_[Conc.Sal.14]))))),
0)</f>
        <v>0</v>
      </c>
      <c r="T19" s="170">
        <f t="array" ref="T19">IFERROR(
MEDIAN((IF(DATOS_[[Sexo]:[Sexo]]=$B19,IF(DATOS_[[AGRUP. VALOR. PTO.]:[AGRUP. VALOR. PTO.]]=$B18,IF(DATOS_[[Check Periodo Ref.]:[Check Periodo Ref.]]="Dentro",DATOS_[Conc.Sal.15]))))),
0)</f>
        <v>0</v>
      </c>
      <c r="U19" s="170">
        <f t="array" ref="U19">IFERROR(
MEDIAN((IF(DATOS_[[Sexo]:[Sexo]]=$B19,IF(DATOS_[[AGRUP. VALOR. PTO.]:[AGRUP. VALOR. PTO.]]=$B18,IF(DATOS_[[Check Periodo Ref.]:[Check Periodo Ref.]]="Dentro",DATOS_[Conc.Sal.16]))))),
0)</f>
        <v>0</v>
      </c>
      <c r="V19" s="170">
        <f t="array" ref="V19">IFERROR(
MEDIAN((IF(DATOS_[[Sexo]:[Sexo]]=$B19,IF(DATOS_[[AGRUP. VALOR. PTO.]:[AGRUP. VALOR. PTO.]]=$B18,IF(DATOS_[[Check Periodo Ref.]:[Check Periodo Ref.]]="Dentro",DATOS_[Conc.Sal.17]))))),
0)</f>
        <v>0</v>
      </c>
      <c r="W19" s="170">
        <f t="array" ref="W19">IFERROR(
MEDIAN((IF(DATOS_[[Sexo]:[Sexo]]=$B19,IF(DATOS_[[AGRUP. VALOR. PTO.]:[AGRUP. VALOR. PTO.]]=$B18,IF(DATOS_[[Check Periodo Ref.]:[Check Periodo Ref.]]="Dentro",DATOS_[Conc.Sal.18]))))),
0)</f>
        <v>0</v>
      </c>
      <c r="X19" s="170">
        <f t="array" ref="X19">IFERROR(
MEDIAN((IF(DATOS_[[Sexo]:[Sexo]]=$B19,IF(DATOS_[[AGRUP. VALOR. PTO.]:[AGRUP. VALOR. PTO.]]=$B18,IF(DATOS_[[Check Periodo Ref.]:[Check Periodo Ref.]]="Dentro",DATOS_[Conc.Sal.19]))))),
0)</f>
        <v>0</v>
      </c>
      <c r="Y19" s="170">
        <f t="array" ref="Y19">IFERROR(
MEDIAN((IF(DATOS_[[Sexo]:[Sexo]]=$B19,IF(DATOS_[[AGRUP. VALOR. PTO.]:[AGRUP. VALOR. PTO.]]=$B18,IF(DATOS_[[Check Periodo Ref.]:[Check Periodo Ref.]]="Dentro",DATOS_[Conc.Sal.20]))))),
0)</f>
        <v>0</v>
      </c>
      <c r="Z19" s="170">
        <f t="array" ref="Z19">IFERROR(
MEDIAN((IF(DATOS_[[Sexo]:[Sexo]]=$B19,IF(DATOS_[[AGRUP. VALOR. PTO.]:[AGRUP. VALOR. PTO.]]=$B18,IF(DATOS_[[Check Periodo Ref.]:[Check Periodo Ref.]]="Dentro",DATOS_[Conc.Sal.21]))))),
0)</f>
        <v>0</v>
      </c>
      <c r="AA19" s="170">
        <f t="array" ref="AA19">IFERROR(
MEDIAN((IF(DATOS_[[Sexo]:[Sexo]]=$B19,IF(DATOS_[[AGRUP. VALOR. PTO.]:[AGRUP. VALOR. PTO.]]=$B18,IF(DATOS_[[Check Periodo Ref.]:[Check Periodo Ref.]]="Dentro",DATOS_[Conc.Sal.22]))))),
0)</f>
        <v>0</v>
      </c>
      <c r="AB19" s="170">
        <f t="array" ref="AB19">IFERROR(
MEDIAN((IF(DATOS_[[Sexo]:[Sexo]]=$B19,IF(DATOS_[[AGRUP. VALOR. PTO.]:[AGRUP. VALOR. PTO.]]=$B18,IF(DATOS_[[Check Periodo Ref.]:[Check Periodo Ref.]]="Dentro",DATOS_[Conc.Sal.23]))))),
0)</f>
        <v>0</v>
      </c>
      <c r="AC19" s="170">
        <f t="array" ref="AC19">IFERROR(
MEDIAN((IF(DATOS_[[Sexo]:[Sexo]]=$B19,IF(DATOS_[[AGRUP. VALOR. PTO.]:[AGRUP. VALOR. PTO.]]=$B18,IF(DATOS_[[Check Periodo Ref.]:[Check Periodo Ref.]]="Dentro",DATOS_[Conc.Sal.24]))))),
0)</f>
        <v>0</v>
      </c>
      <c r="AD19" s="170">
        <f t="array" ref="AD19">IFERROR(
MEDIAN((IF(DATOS_[[Sexo]:[Sexo]]=$B19,IF(DATOS_[[AGRUP. VALOR. PTO.]:[AGRUP. VALOR. PTO.]]=$B18,IF(DATOS_[[Check Periodo Ref.]:[Check Periodo Ref.]]="Dentro",DATOS_[Conc.Sal.25]))))),
0)</f>
        <v>0</v>
      </c>
      <c r="AE19" s="170">
        <f t="array" ref="AE19">IFERROR(
MEDIAN((IF(DATOS_[[Sexo]:[Sexo]]=$B19,IF(DATOS_[[AGRUP. VALOR. PTO.]:[AGRUP. VALOR. PTO.]]=$B18,IF(DATOS_[[Check Periodo Ref.]:[Check Periodo Ref.]]="Dentro",DATOS_[Conc.Sal.26]))))),
0)</f>
        <v>0</v>
      </c>
      <c r="AF19" s="170">
        <f t="array" ref="AF19">IFERROR(
MEDIAN((IF(DATOS_[[Sexo]:[Sexo]]=$B19,IF(DATOS_[[AGRUP. VALOR. PTO.]:[AGRUP. VALOR. PTO.]]=$B18,IF(DATOS_[[Check Periodo Ref.]:[Check Periodo Ref.]]="Dentro",DATOS_[Conc.Sal.27]))))),
0)</f>
        <v>0</v>
      </c>
      <c r="AG19" s="170">
        <f t="array" ref="AG19">IFERROR(
MEDIAN((IF(DATOS_[[Sexo]:[Sexo]]=$B19,IF(DATOS_[[AGRUP. VALOR. PTO.]:[AGRUP. VALOR. PTO.]]=$B18,IF(DATOS_[[Check Periodo Ref.]:[Check Periodo Ref.]]="Dentro",DATOS_[Conc.Sal.28]))))),
0)</f>
        <v>0</v>
      </c>
      <c r="AH19" s="170">
        <f t="array" ref="AH19">IFERROR(
MEDIAN((IF(DATOS_[[Sexo]:[Sexo]]=$B19,IF(DATOS_[[AGRUP. VALOR. PTO.]:[AGRUP. VALOR. PTO.]]=$B18,IF(DATOS_[[Check Periodo Ref.]:[Check Periodo Ref.]]="Dentro",DATOS_[Conc.Sal.29]))))),
0)</f>
        <v>0</v>
      </c>
      <c r="AI19" s="170">
        <f t="array" ref="AI19">IFERROR(
MEDIAN((IF(DATOS_[[Sexo]:[Sexo]]=$B19,IF(DATOS_[[AGRUP. VALOR. PTO.]:[AGRUP. VALOR. PTO.]]=$B18,IF(DATOS_[[Check Periodo Ref.]:[Check Periodo Ref.]]="Dentro",DATOS_[Conc.Sal.30]))))),
0)</f>
        <v>0</v>
      </c>
      <c r="AJ19" s="171">
        <f t="array" ref="AJ19">IFERROR(
MEDIAN(IF(DATOS_[Sexo]=$B19,IF(DATOS_[AGRUP. VALOR. PTO.]=$B18,IF(DATOS_[Check Periodo Ref.]="Dentro",DATOS_[Tot COMPL.SAL Ef],FALSE)))),
0)</f>
        <v>0</v>
      </c>
      <c r="AK19" s="172">
        <f t="array" ref="AK19">IFERROR(
MEDIAN(IF(DATOS_[Sexo]=$B19,IF(DATOS_[AGRUP. VALOR. PTO.]=$B18,IF(DATOS_[Check Periodo Ref.]="Dentro",DATOS_[TOTAL SALARIO Ef],FALSE)))),
0)</f>
        <v>0</v>
      </c>
      <c r="AL19" s="173">
        <f t="array" ref="AL19">IFERROR(
MEDIAN((IF(DATOS_[[Sexo]:[Sexo]]=$B19,IF(DATOS_[[AGRUP. VALOR. PTO.]:[AGRUP. VALOR. PTO.]]=$B18,IF(DATOS_[[Check Periodo Ref.]:[Check Periodo Ref.]]="Dentro",DATOS_[C.Extra.01]))))),
0)</f>
        <v>0</v>
      </c>
      <c r="AM19" s="173">
        <f t="array" ref="AM19">IFERROR(
MEDIAN((IF(DATOS_[[Sexo]:[Sexo]]=$B19,IF(DATOS_[[AGRUP. VALOR. PTO.]:[AGRUP. VALOR. PTO.]]=$B18,IF(DATOS_[[Check Periodo Ref.]:[Check Periodo Ref.]]="Dentro",DATOS_[C.Extra.06]))))),
0)</f>
        <v>0</v>
      </c>
      <c r="AN19" s="173">
        <f t="array" ref="AN19">IFERROR(
MEDIAN((IF(DATOS_[[Sexo]:[Sexo]]=$B19,IF(DATOS_[[AGRUP. VALOR. PTO.]:[AGRUP. VALOR. PTO.]]=$B18,IF(DATOS_[[Check Periodo Ref.]:[Check Periodo Ref.]]="Dentro",DATOS_[C.Extra.07]))))),
0)</f>
        <v>0</v>
      </c>
      <c r="AO19" s="173">
        <f t="array" ref="AO19">IFERROR(
MEDIAN((IF(DATOS_[[Sexo]:[Sexo]]=$B19,IF(DATOS_[[AGRUP. VALOR. PTO.]:[AGRUP. VALOR. PTO.]]=$B18,IF(DATOS_[[Check Periodo Ref.]:[Check Periodo Ref.]]="Dentro",DATOS_[C.Extra.08]))))),
0)</f>
        <v>0</v>
      </c>
      <c r="AP19" s="173">
        <f t="array" ref="AP19">IFERROR(
MEDIAN((IF(DATOS_[[Sexo]:[Sexo]]=$B19,IF(DATOS_[[AGRUP. VALOR. PTO.]:[AGRUP. VALOR. PTO.]]=$B18,IF(DATOS_[[Check Periodo Ref.]:[Check Periodo Ref.]]="Dentro",DATOS_[C.Extra.11]))))),
0)</f>
        <v>0</v>
      </c>
      <c r="AQ19" s="174">
        <f t="array" ref="AQ19">IFERROR(
MEDIAN(IF(DATOS_[Sexo]=$B19,IF(DATOS_[AGRUP. VALOR. PTO.]=$B18,IF(DATOS_[Check Periodo Ref.]="Dentro",DATOS_[Tot Extrasalarial Ef],FALSE)))),
0)</f>
        <v>0</v>
      </c>
      <c r="AR19" s="171">
        <f t="array" ref="AR19">IFERROR(
MEDIAN(IF(DATOS_[Sexo]=$B19,IF(DATOS_[AGRUP. VALOR. PTO.]=$B18,IF(DATOS_[Check Periodo Ref.]="Dentro",DATOS_[TOTAL Retrib Ef],FALSE)))),
0)</f>
        <v>0</v>
      </c>
    </row>
    <row r="20" spans="1:44" s="186" customFormat="1" x14ac:dyDescent="0.25">
      <c r="A20" s="186" t="str">
        <f t="shared" ref="A20" si="10">+A19</f>
        <v>[ocultar]</v>
      </c>
      <c r="B20" s="166" t="s">
        <v>521</v>
      </c>
      <c r="C20" s="167">
        <f t="array" ref="C20">SUM(IF($B20=DATOS_[Sexo],
IF($B18=DATOS_[AGRUP. VALOR. PTO.],
IF("Dentro"=DATOS_[Check Periodo Ref.],
1/(COUNTIFS(DATOS_[Sexo],$B20,DATOS_[AGRUP. VALOR. PTO.],$B18,DATOS_[Check Periodo Ref.],"Dentro",DATOS_[id/cod],DATOS_[id/cod]))))))</f>
        <v>0</v>
      </c>
      <c r="D20" s="168">
        <f>COUNTIFS(DATOS_[AGRUP. VALOR. PTO.],$B18,DATOS_[Sexo],$B20,DATOS_[Check Periodo Ref.],"Dentro")</f>
        <v>0</v>
      </c>
      <c r="E20" s="169">
        <f t="array" ref="E20">IFERROR(
MEDIAN(IF(DATOS_[Sexo]=$B20,IF(DATOS_[AGRUP. VALOR. PTO.]=$B18,IF(DATOS_[Check Periodo Ref.]="Dentro",DATOS_[SALARIO BASE Ef],FALSE)))),
0)</f>
        <v>0</v>
      </c>
      <c r="F20" s="170">
        <f t="array" ref="F20">IFERROR(
MEDIAN((IF(DATOS_[[Sexo]:[Sexo]]=$B20,IF(DATOS_[[AGRUP. VALOR. PTO.]:[AGRUP. VALOR. PTO.]]=$B18,IF(DATOS_[[Check Periodo Ref.]:[Check Periodo Ref.]]="Dentro",DATOS_[Conc.Sal.01]))))),
0)</f>
        <v>0</v>
      </c>
      <c r="G20" s="170">
        <f t="array" ref="G20">IFERROR(
MEDIAN((IF(DATOS_[[Sexo]:[Sexo]]=$B20,IF(DATOS_[[AGRUP. VALOR. PTO.]:[AGRUP. VALOR. PTO.]]=$B18,IF(DATOS_[[Check Periodo Ref.]:[Check Periodo Ref.]]="Dentro",DATOS_[Conc.Sal.02]))))),
0)</f>
        <v>0</v>
      </c>
      <c r="H20" s="170">
        <f t="array" ref="H20">IFERROR(
MEDIAN((IF(DATOS_[[Sexo]:[Sexo]]=$B20,IF(DATOS_[[AGRUP. VALOR. PTO.]:[AGRUP. VALOR. PTO.]]=$B18,IF(DATOS_[[Check Periodo Ref.]:[Check Periodo Ref.]]="Dentro",DATOS_[Conc.Sal.03]))))),
0)</f>
        <v>0</v>
      </c>
      <c r="I20" s="170">
        <f t="array" ref="I20">IFERROR(
MEDIAN((IF(DATOS_[[Sexo]:[Sexo]]=$B20,IF(DATOS_[[AGRUP. VALOR. PTO.]:[AGRUP. VALOR. PTO.]]=$B18,IF(DATOS_[[Check Periodo Ref.]:[Check Periodo Ref.]]="Dentro",DATOS_[Conc.Sal.04]))))),
0)</f>
        <v>0</v>
      </c>
      <c r="J20" s="170">
        <f t="array" ref="J20">IFERROR(
MEDIAN((IF(DATOS_[[Sexo]:[Sexo]]=$B20,IF(DATOS_[[AGRUP. VALOR. PTO.]:[AGRUP. VALOR. PTO.]]=$B18,IF(DATOS_[[Check Periodo Ref.]:[Check Periodo Ref.]]="Dentro",DATOS_[Conc.Sal.05]))))),
0)</f>
        <v>0</v>
      </c>
      <c r="K20" s="170">
        <f t="array" ref="K20">IFERROR(
MEDIAN((IF(DATOS_[[Sexo]:[Sexo]]=$B20,IF(DATOS_[[AGRUP. VALOR. PTO.]:[AGRUP. VALOR. PTO.]]=$B18,IF(DATOS_[[Check Periodo Ref.]:[Check Periodo Ref.]]="Dentro",DATOS_[Conc.Sal.06]))))),
0)</f>
        <v>0</v>
      </c>
      <c r="L20" s="170">
        <f t="array" ref="L20">IFERROR(
MEDIAN((IF(DATOS_[[Sexo]:[Sexo]]=$B20,IF(DATOS_[[AGRUP. VALOR. PTO.]:[AGRUP. VALOR. PTO.]]=$B18,IF(DATOS_[[Check Periodo Ref.]:[Check Periodo Ref.]]="Dentro",DATOS_[Conc.Sal.07]))))),
0)</f>
        <v>0</v>
      </c>
      <c r="M20" s="170">
        <f t="array" ref="M20">IFERROR(
MEDIAN((IF(DATOS_[[Sexo]:[Sexo]]=$B20,IF(DATOS_[[AGRUP. VALOR. PTO.]:[AGRUP. VALOR. PTO.]]=$B18,IF(DATOS_[[Check Periodo Ref.]:[Check Periodo Ref.]]="Dentro",DATOS_[Conc.Sal.08]))))),
0)</f>
        <v>0</v>
      </c>
      <c r="N20" s="170">
        <f t="array" ref="N20">IFERROR(
MEDIAN((IF(DATOS_[[Sexo]:[Sexo]]=$B20,IF(DATOS_[[AGRUP. VALOR. PTO.]:[AGRUP. VALOR. PTO.]]=$B18,IF(DATOS_[[Check Periodo Ref.]:[Check Periodo Ref.]]="Dentro",DATOS_[Conc.Sal.09]))))),
0)</f>
        <v>0</v>
      </c>
      <c r="O20" s="170">
        <f t="array" ref="O20">IFERROR(
MEDIAN((IF(DATOS_[[Sexo]:[Sexo]]=$B20,IF(DATOS_[[AGRUP. VALOR. PTO.]:[AGRUP. VALOR. PTO.]]=$B18,IF(DATOS_[[Check Periodo Ref.]:[Check Periodo Ref.]]="Dentro",DATOS_[Conc.Sal.10]))))),
0)</f>
        <v>0</v>
      </c>
      <c r="P20" s="170">
        <f t="array" ref="P20">IFERROR(
MEDIAN((IF(DATOS_[[Sexo]:[Sexo]]=$B20,IF(DATOS_[[AGRUP. VALOR. PTO.]:[AGRUP. VALOR. PTO.]]=$B18,IF(DATOS_[[Check Periodo Ref.]:[Check Periodo Ref.]]="Dentro",DATOS_[Conc.Sal.11]))))),
0)</f>
        <v>0</v>
      </c>
      <c r="Q20" s="170">
        <f t="array" ref="Q20">IFERROR(
MEDIAN((IF(DATOS_[[Sexo]:[Sexo]]=$B20,IF(DATOS_[[AGRUP. VALOR. PTO.]:[AGRUP. VALOR. PTO.]]=$B18,IF(DATOS_[[Check Periodo Ref.]:[Check Periodo Ref.]]="Dentro",DATOS_[Conc.Sal.12]))))),
0)</f>
        <v>0</v>
      </c>
      <c r="R20" s="170">
        <f t="array" ref="R20">IFERROR(
MEDIAN((IF(DATOS_[[Sexo]:[Sexo]]=$B20,IF(DATOS_[[AGRUP. VALOR. PTO.]:[AGRUP. VALOR. PTO.]]=$B18,IF(DATOS_[[Check Periodo Ref.]:[Check Periodo Ref.]]="Dentro",DATOS_[Conc.Sal.13]))))),
0)</f>
        <v>0</v>
      </c>
      <c r="S20" s="170">
        <f t="array" ref="S20">IFERROR(
MEDIAN((IF(DATOS_[[Sexo]:[Sexo]]=$B20,IF(DATOS_[[AGRUP. VALOR. PTO.]:[AGRUP. VALOR. PTO.]]=$B18,IF(DATOS_[[Check Periodo Ref.]:[Check Periodo Ref.]]="Dentro",DATOS_[Conc.Sal.14]))))),
0)</f>
        <v>0</v>
      </c>
      <c r="T20" s="170">
        <f t="array" ref="T20">IFERROR(
MEDIAN((IF(DATOS_[[Sexo]:[Sexo]]=$B20,IF(DATOS_[[AGRUP. VALOR. PTO.]:[AGRUP. VALOR. PTO.]]=$B18,IF(DATOS_[[Check Periodo Ref.]:[Check Periodo Ref.]]="Dentro",DATOS_[Conc.Sal.15]))))),
0)</f>
        <v>0</v>
      </c>
      <c r="U20" s="170">
        <f t="array" ref="U20">IFERROR(
MEDIAN((IF(DATOS_[[Sexo]:[Sexo]]=$B20,IF(DATOS_[[AGRUP. VALOR. PTO.]:[AGRUP. VALOR. PTO.]]=$B18,IF(DATOS_[[Check Periodo Ref.]:[Check Periodo Ref.]]="Dentro",DATOS_[Conc.Sal.16]))))),
0)</f>
        <v>0</v>
      </c>
      <c r="V20" s="170">
        <f t="array" ref="V20">IFERROR(
MEDIAN((IF(DATOS_[[Sexo]:[Sexo]]=$B20,IF(DATOS_[[AGRUP. VALOR. PTO.]:[AGRUP. VALOR. PTO.]]=$B18,IF(DATOS_[[Check Periodo Ref.]:[Check Periodo Ref.]]="Dentro",DATOS_[Conc.Sal.17]))))),
0)</f>
        <v>0</v>
      </c>
      <c r="W20" s="170">
        <f t="array" ref="W20">IFERROR(
MEDIAN((IF(DATOS_[[Sexo]:[Sexo]]=$B20,IF(DATOS_[[AGRUP. VALOR. PTO.]:[AGRUP. VALOR. PTO.]]=$B18,IF(DATOS_[[Check Periodo Ref.]:[Check Periodo Ref.]]="Dentro",DATOS_[Conc.Sal.18]))))),
0)</f>
        <v>0</v>
      </c>
      <c r="X20" s="170">
        <f t="array" ref="X20">IFERROR(
MEDIAN((IF(DATOS_[[Sexo]:[Sexo]]=$B20,IF(DATOS_[[AGRUP. VALOR. PTO.]:[AGRUP. VALOR. PTO.]]=$B18,IF(DATOS_[[Check Periodo Ref.]:[Check Periodo Ref.]]="Dentro",DATOS_[Conc.Sal.19]))))),
0)</f>
        <v>0</v>
      </c>
      <c r="Y20" s="170">
        <f t="array" ref="Y20">IFERROR(
MEDIAN((IF(DATOS_[[Sexo]:[Sexo]]=$B20,IF(DATOS_[[AGRUP. VALOR. PTO.]:[AGRUP. VALOR. PTO.]]=$B18,IF(DATOS_[[Check Periodo Ref.]:[Check Periodo Ref.]]="Dentro",DATOS_[Conc.Sal.20]))))),
0)</f>
        <v>0</v>
      </c>
      <c r="Z20" s="170">
        <f t="array" ref="Z20">IFERROR(
MEDIAN((IF(DATOS_[[Sexo]:[Sexo]]=$B20,IF(DATOS_[[AGRUP. VALOR. PTO.]:[AGRUP. VALOR. PTO.]]=$B18,IF(DATOS_[[Check Periodo Ref.]:[Check Periodo Ref.]]="Dentro",DATOS_[Conc.Sal.21]))))),
0)</f>
        <v>0</v>
      </c>
      <c r="AA20" s="170">
        <f t="array" ref="AA20">IFERROR(
MEDIAN((IF(DATOS_[[Sexo]:[Sexo]]=$B20,IF(DATOS_[[AGRUP. VALOR. PTO.]:[AGRUP. VALOR. PTO.]]=$B18,IF(DATOS_[[Check Periodo Ref.]:[Check Periodo Ref.]]="Dentro",DATOS_[Conc.Sal.22]))))),
0)</f>
        <v>0</v>
      </c>
      <c r="AB20" s="170">
        <f t="array" ref="AB20">IFERROR(
MEDIAN((IF(DATOS_[[Sexo]:[Sexo]]=$B20,IF(DATOS_[[AGRUP. VALOR. PTO.]:[AGRUP. VALOR. PTO.]]=$B18,IF(DATOS_[[Check Periodo Ref.]:[Check Periodo Ref.]]="Dentro",DATOS_[Conc.Sal.23]))))),
0)</f>
        <v>0</v>
      </c>
      <c r="AC20" s="170">
        <f t="array" ref="AC20">IFERROR(
MEDIAN((IF(DATOS_[[Sexo]:[Sexo]]=$B20,IF(DATOS_[[AGRUP. VALOR. PTO.]:[AGRUP. VALOR. PTO.]]=$B18,IF(DATOS_[[Check Periodo Ref.]:[Check Periodo Ref.]]="Dentro",DATOS_[Conc.Sal.24]))))),
0)</f>
        <v>0</v>
      </c>
      <c r="AD20" s="170">
        <f t="array" ref="AD20">IFERROR(
MEDIAN((IF(DATOS_[[Sexo]:[Sexo]]=$B20,IF(DATOS_[[AGRUP. VALOR. PTO.]:[AGRUP. VALOR. PTO.]]=$B18,IF(DATOS_[[Check Periodo Ref.]:[Check Periodo Ref.]]="Dentro",DATOS_[Conc.Sal.25]))))),
0)</f>
        <v>0</v>
      </c>
      <c r="AE20" s="170">
        <f t="array" ref="AE20">IFERROR(
MEDIAN((IF(DATOS_[[Sexo]:[Sexo]]=$B20,IF(DATOS_[[AGRUP. VALOR. PTO.]:[AGRUP. VALOR. PTO.]]=$B18,IF(DATOS_[[Check Periodo Ref.]:[Check Periodo Ref.]]="Dentro",DATOS_[Conc.Sal.26]))))),
0)</f>
        <v>0</v>
      </c>
      <c r="AF20" s="170">
        <f t="array" ref="AF20">IFERROR(
MEDIAN((IF(DATOS_[[Sexo]:[Sexo]]=$B20,IF(DATOS_[[AGRUP. VALOR. PTO.]:[AGRUP. VALOR. PTO.]]=$B18,IF(DATOS_[[Check Periodo Ref.]:[Check Periodo Ref.]]="Dentro",DATOS_[Conc.Sal.27]))))),
0)</f>
        <v>0</v>
      </c>
      <c r="AG20" s="170">
        <f t="array" ref="AG20">IFERROR(
MEDIAN((IF(DATOS_[[Sexo]:[Sexo]]=$B20,IF(DATOS_[[AGRUP. VALOR. PTO.]:[AGRUP. VALOR. PTO.]]=$B18,IF(DATOS_[[Check Periodo Ref.]:[Check Periodo Ref.]]="Dentro",DATOS_[Conc.Sal.28]))))),
0)</f>
        <v>0</v>
      </c>
      <c r="AH20" s="170">
        <f t="array" ref="AH20">IFERROR(
MEDIAN((IF(DATOS_[[Sexo]:[Sexo]]=$B20,IF(DATOS_[[AGRUP. VALOR. PTO.]:[AGRUP. VALOR. PTO.]]=$B18,IF(DATOS_[[Check Periodo Ref.]:[Check Periodo Ref.]]="Dentro",DATOS_[Conc.Sal.29]))))),
0)</f>
        <v>0</v>
      </c>
      <c r="AI20" s="170">
        <f t="array" ref="AI20">IFERROR(
MEDIAN((IF(DATOS_[[Sexo]:[Sexo]]=$B20,IF(DATOS_[[AGRUP. VALOR. PTO.]:[AGRUP. VALOR. PTO.]]=$B18,IF(DATOS_[[Check Periodo Ref.]:[Check Periodo Ref.]]="Dentro",DATOS_[Conc.Sal.30]))))),
0)</f>
        <v>0</v>
      </c>
      <c r="AJ20" s="171">
        <f t="array" ref="AJ20">IFERROR(
MEDIAN(IF(DATOS_[Sexo]=$B20,IF(DATOS_[AGRUP. VALOR. PTO.]=$B18,IF(DATOS_[Check Periodo Ref.]="Dentro",DATOS_[Tot COMPL.SAL Ef],FALSE)))),
0)</f>
        <v>0</v>
      </c>
      <c r="AK20" s="172">
        <f t="array" ref="AK20">IFERROR(
MEDIAN(IF(DATOS_[Sexo]=$B20,IF(DATOS_[AGRUP. VALOR. PTO.]=$B18,IF(DATOS_[Check Periodo Ref.]="Dentro",DATOS_[TOTAL SALARIO Ef],FALSE)))),
0)</f>
        <v>0</v>
      </c>
      <c r="AL20" s="173">
        <f t="array" ref="AL20">IFERROR(
MEDIAN((IF(DATOS_[[Sexo]:[Sexo]]=$B20,IF(DATOS_[[AGRUP. VALOR. PTO.]:[AGRUP. VALOR. PTO.]]=$B18,IF(DATOS_[[Check Periodo Ref.]:[Check Periodo Ref.]]="Dentro",DATOS_[C.Extra.01]))))),
0)</f>
        <v>0</v>
      </c>
      <c r="AM20" s="173">
        <f t="array" ref="AM20">IFERROR(
MEDIAN((IF(DATOS_[[Sexo]:[Sexo]]=$B20,IF(DATOS_[[AGRUP. VALOR. PTO.]:[AGRUP. VALOR. PTO.]]=$B18,IF(DATOS_[[Check Periodo Ref.]:[Check Periodo Ref.]]="Dentro",DATOS_[C.Extra.06]))))),
0)</f>
        <v>0</v>
      </c>
      <c r="AN20" s="173">
        <f t="array" ref="AN20">IFERROR(
MEDIAN((IF(DATOS_[[Sexo]:[Sexo]]=$B20,IF(DATOS_[[AGRUP. VALOR. PTO.]:[AGRUP. VALOR. PTO.]]=$B18,IF(DATOS_[[Check Periodo Ref.]:[Check Periodo Ref.]]="Dentro",DATOS_[C.Extra.07]))))),
0)</f>
        <v>0</v>
      </c>
      <c r="AO20" s="173">
        <f t="array" ref="AO20">IFERROR(
MEDIAN((IF(DATOS_[[Sexo]:[Sexo]]=$B20,IF(DATOS_[[AGRUP. VALOR. PTO.]:[AGRUP. VALOR. PTO.]]=$B18,IF(DATOS_[[Check Periodo Ref.]:[Check Periodo Ref.]]="Dentro",DATOS_[C.Extra.08]))))),
0)</f>
        <v>0</v>
      </c>
      <c r="AP20" s="173">
        <f t="array" ref="AP20">IFERROR(
MEDIAN((IF(DATOS_[[Sexo]:[Sexo]]=$B20,IF(DATOS_[[AGRUP. VALOR. PTO.]:[AGRUP. VALOR. PTO.]]=$B18,IF(DATOS_[[Check Periodo Ref.]:[Check Periodo Ref.]]="Dentro",DATOS_[C.Extra.11]))))),
0)</f>
        <v>0</v>
      </c>
      <c r="AQ20" s="174">
        <f t="array" ref="AQ20">IFERROR(
MEDIAN(IF(DATOS_[Sexo]=$B20,IF(DATOS_[AGRUP. VALOR. PTO.]=$B18,IF(DATOS_[Check Periodo Ref.]="Dentro",DATOS_[Tot Extrasalarial Ef],FALSE)))),
0)</f>
        <v>0</v>
      </c>
      <c r="AR20" s="171">
        <f t="array" ref="AR20">IFERROR(
MEDIAN(IF(DATOS_[Sexo]=$B20,IF(DATOS_[AGRUP. VALOR. PTO.]=$B18,IF(DATOS_[Check Periodo Ref.]="Dentro",DATOS_[TOTAL Retrib Ef],FALSE)))),
0)</f>
        <v>0</v>
      </c>
    </row>
    <row r="21" spans="1:44" ht="14.4" thickBot="1" x14ac:dyDescent="0.3">
      <c r="A21" s="178" t="str">
        <f t="shared" ref="A21" si="11">+A22</f>
        <v>[ocultar]</v>
      </c>
      <c r="B21" s="153" t="s">
        <v>186</v>
      </c>
      <c r="C21" s="154"/>
      <c r="D21" s="155"/>
      <c r="E21" s="156" t="str">
        <f t="shared" ref="E21:AR21" si="12">IFERROR((E22-E23)/E22,"")</f>
        <v/>
      </c>
      <c r="F21" s="157" t="str">
        <f t="shared" si="12"/>
        <v/>
      </c>
      <c r="G21" s="158" t="str">
        <f t="shared" si="12"/>
        <v/>
      </c>
      <c r="H21" s="158" t="str">
        <f t="shared" si="12"/>
        <v/>
      </c>
      <c r="I21" s="158" t="str">
        <f t="shared" si="12"/>
        <v/>
      </c>
      <c r="J21" s="159" t="str">
        <f t="shared" si="12"/>
        <v/>
      </c>
      <c r="K21" s="160" t="str">
        <f t="shared" si="12"/>
        <v/>
      </c>
      <c r="L21" s="160" t="str">
        <f t="shared" si="12"/>
        <v/>
      </c>
      <c r="M21" s="160" t="str">
        <f t="shared" si="12"/>
        <v/>
      </c>
      <c r="N21" s="160" t="str">
        <f t="shared" si="12"/>
        <v/>
      </c>
      <c r="O21" s="160" t="str">
        <f t="shared" si="12"/>
        <v/>
      </c>
      <c r="P21" s="160" t="str">
        <f t="shared" si="12"/>
        <v/>
      </c>
      <c r="Q21" s="160" t="str">
        <f t="shared" si="12"/>
        <v/>
      </c>
      <c r="R21" s="160" t="str">
        <f t="shared" si="12"/>
        <v/>
      </c>
      <c r="S21" s="160" t="str">
        <f t="shared" si="12"/>
        <v/>
      </c>
      <c r="T21" s="160" t="str">
        <f t="shared" si="12"/>
        <v/>
      </c>
      <c r="U21" s="160" t="str">
        <f t="shared" si="12"/>
        <v/>
      </c>
      <c r="V21" s="159" t="str">
        <f t="shared" si="12"/>
        <v/>
      </c>
      <c r="W21" s="159" t="str">
        <f t="shared" si="12"/>
        <v/>
      </c>
      <c r="X21" s="159" t="str">
        <f t="shared" si="12"/>
        <v/>
      </c>
      <c r="Y21" s="159" t="str">
        <f t="shared" si="12"/>
        <v/>
      </c>
      <c r="Z21" s="159" t="str">
        <f t="shared" si="12"/>
        <v/>
      </c>
      <c r="AA21" s="159" t="str">
        <f t="shared" si="12"/>
        <v/>
      </c>
      <c r="AB21" s="159" t="str">
        <f t="shared" si="12"/>
        <v/>
      </c>
      <c r="AC21" s="159" t="str">
        <f t="shared" si="12"/>
        <v/>
      </c>
      <c r="AD21" s="159" t="str">
        <f t="shared" si="12"/>
        <v/>
      </c>
      <c r="AE21" s="159" t="str">
        <f t="shared" si="12"/>
        <v/>
      </c>
      <c r="AF21" s="159" t="str">
        <f t="shared" si="12"/>
        <v/>
      </c>
      <c r="AG21" s="159" t="str">
        <f t="shared" si="12"/>
        <v/>
      </c>
      <c r="AH21" s="159" t="str">
        <f t="shared" si="12"/>
        <v/>
      </c>
      <c r="AI21" s="159" t="str">
        <f t="shared" si="12"/>
        <v/>
      </c>
      <c r="AJ21" s="161" t="str">
        <f t="shared" si="12"/>
        <v/>
      </c>
      <c r="AK21" s="162" t="str">
        <f t="shared" si="12"/>
        <v/>
      </c>
      <c r="AL21" s="163" t="str">
        <f t="shared" si="12"/>
        <v/>
      </c>
      <c r="AM21" s="163" t="str">
        <f t="shared" si="12"/>
        <v/>
      </c>
      <c r="AN21" s="163" t="str">
        <f t="shared" si="12"/>
        <v/>
      </c>
      <c r="AO21" s="163" t="str">
        <f t="shared" si="12"/>
        <v/>
      </c>
      <c r="AP21" s="163" t="str">
        <f t="shared" si="12"/>
        <v/>
      </c>
      <c r="AQ21" s="164" t="str">
        <f t="shared" si="12"/>
        <v/>
      </c>
      <c r="AR21" s="161" t="str">
        <f t="shared" si="12"/>
        <v/>
      </c>
    </row>
    <row r="22" spans="1:44" x14ac:dyDescent="0.25">
      <c r="A22" s="178" t="str">
        <f t="shared" ref="A22" si="13">+IF(C22+C23=0,"[ocultar]","")</f>
        <v>[ocultar]</v>
      </c>
      <c r="B22" s="166" t="s">
        <v>394</v>
      </c>
      <c r="C22" s="167">
        <f t="array" ref="C22">SUM(IF($B22=DATOS_[Sexo],
IF($B21=DATOS_[AGRUP. VALOR. PTO.],
IF("Dentro"=DATOS_[Check Periodo Ref.],
1/(COUNTIFS(DATOS_[Sexo],$B22,DATOS_[AGRUP. VALOR. PTO.],$B21,DATOS_[Check Periodo Ref.],"Dentro",DATOS_[id/cod],DATOS_[id/cod]))))))</f>
        <v>0</v>
      </c>
      <c r="D22" s="168">
        <f>COUNTIFS(DATOS_[AGRUP. VALOR. PTO.],$B21,DATOS_[Sexo],$B22,DATOS_[Check Periodo Ref.],"Dentro")</f>
        <v>0</v>
      </c>
      <c r="E22" s="169">
        <f t="array" ref="E22">IFERROR(
MEDIAN(IF(DATOS_[Sexo]=$B22,IF(DATOS_[AGRUP. VALOR. PTO.]=$B21,IF(DATOS_[Check Periodo Ref.]="Dentro",DATOS_[SALARIO BASE Ef],FALSE)))),
0)</f>
        <v>0</v>
      </c>
      <c r="F22" s="170">
        <f t="array" ref="F22">IFERROR(
MEDIAN((IF(DATOS_[[Sexo]:[Sexo]]=$B22,IF(DATOS_[[AGRUP. VALOR. PTO.]:[AGRUP. VALOR. PTO.]]=$B21,IF(DATOS_[[Check Periodo Ref.]:[Check Periodo Ref.]]="Dentro",DATOS_[Conc.Sal.01]))))),
0)</f>
        <v>0</v>
      </c>
      <c r="G22" s="170">
        <f t="array" ref="G22">IFERROR(
MEDIAN((IF(DATOS_[[Sexo]:[Sexo]]=$B22,IF(DATOS_[[AGRUP. VALOR. PTO.]:[AGRUP. VALOR. PTO.]]=$B21,IF(DATOS_[[Check Periodo Ref.]:[Check Periodo Ref.]]="Dentro",DATOS_[Conc.Sal.02]))))),
0)</f>
        <v>0</v>
      </c>
      <c r="H22" s="170">
        <f t="array" ref="H22">IFERROR(
MEDIAN((IF(DATOS_[[Sexo]:[Sexo]]=$B22,IF(DATOS_[[AGRUP. VALOR. PTO.]:[AGRUP. VALOR. PTO.]]=$B21,IF(DATOS_[[Check Periodo Ref.]:[Check Periodo Ref.]]="Dentro",DATOS_[Conc.Sal.03]))))),
0)</f>
        <v>0</v>
      </c>
      <c r="I22" s="170">
        <f t="array" ref="I22">IFERROR(
MEDIAN((IF(DATOS_[[Sexo]:[Sexo]]=$B22,IF(DATOS_[[AGRUP. VALOR. PTO.]:[AGRUP. VALOR. PTO.]]=$B21,IF(DATOS_[[Check Periodo Ref.]:[Check Periodo Ref.]]="Dentro",DATOS_[Conc.Sal.04]))))),
0)</f>
        <v>0</v>
      </c>
      <c r="J22" s="170">
        <f t="array" ref="J22">IFERROR(
MEDIAN((IF(DATOS_[[Sexo]:[Sexo]]=$B22,IF(DATOS_[[AGRUP. VALOR. PTO.]:[AGRUP. VALOR. PTO.]]=$B21,IF(DATOS_[[Check Periodo Ref.]:[Check Periodo Ref.]]="Dentro",DATOS_[Conc.Sal.05]))))),
0)</f>
        <v>0</v>
      </c>
      <c r="K22" s="170">
        <f t="array" ref="K22">IFERROR(
MEDIAN((IF(DATOS_[[Sexo]:[Sexo]]=$B22,IF(DATOS_[[AGRUP. VALOR. PTO.]:[AGRUP. VALOR. PTO.]]=$B21,IF(DATOS_[[Check Periodo Ref.]:[Check Periodo Ref.]]="Dentro",DATOS_[Conc.Sal.06]))))),
0)</f>
        <v>0</v>
      </c>
      <c r="L22" s="170">
        <f t="array" ref="L22">IFERROR(
MEDIAN((IF(DATOS_[[Sexo]:[Sexo]]=$B22,IF(DATOS_[[AGRUP. VALOR. PTO.]:[AGRUP. VALOR. PTO.]]=$B21,IF(DATOS_[[Check Periodo Ref.]:[Check Periodo Ref.]]="Dentro",DATOS_[Conc.Sal.07]))))),
0)</f>
        <v>0</v>
      </c>
      <c r="M22" s="170">
        <f t="array" ref="M22">IFERROR(
MEDIAN((IF(DATOS_[[Sexo]:[Sexo]]=$B22,IF(DATOS_[[AGRUP. VALOR. PTO.]:[AGRUP. VALOR. PTO.]]=$B21,IF(DATOS_[[Check Periodo Ref.]:[Check Periodo Ref.]]="Dentro",DATOS_[Conc.Sal.08]))))),
0)</f>
        <v>0</v>
      </c>
      <c r="N22" s="170">
        <f t="array" ref="N22">IFERROR(
MEDIAN((IF(DATOS_[[Sexo]:[Sexo]]=$B22,IF(DATOS_[[AGRUP. VALOR. PTO.]:[AGRUP. VALOR. PTO.]]=$B21,IF(DATOS_[[Check Periodo Ref.]:[Check Periodo Ref.]]="Dentro",DATOS_[Conc.Sal.09]))))),
0)</f>
        <v>0</v>
      </c>
      <c r="O22" s="170">
        <f t="array" ref="O22">IFERROR(
MEDIAN((IF(DATOS_[[Sexo]:[Sexo]]=$B22,IF(DATOS_[[AGRUP. VALOR. PTO.]:[AGRUP. VALOR. PTO.]]=$B21,IF(DATOS_[[Check Periodo Ref.]:[Check Periodo Ref.]]="Dentro",DATOS_[Conc.Sal.10]))))),
0)</f>
        <v>0</v>
      </c>
      <c r="P22" s="170">
        <f t="array" ref="P22">IFERROR(
MEDIAN((IF(DATOS_[[Sexo]:[Sexo]]=$B22,IF(DATOS_[[AGRUP. VALOR. PTO.]:[AGRUP. VALOR. PTO.]]=$B21,IF(DATOS_[[Check Periodo Ref.]:[Check Periodo Ref.]]="Dentro",DATOS_[Conc.Sal.11]))))),
0)</f>
        <v>0</v>
      </c>
      <c r="Q22" s="170">
        <f t="array" ref="Q22">IFERROR(
MEDIAN((IF(DATOS_[[Sexo]:[Sexo]]=$B22,IF(DATOS_[[AGRUP. VALOR. PTO.]:[AGRUP. VALOR. PTO.]]=$B21,IF(DATOS_[[Check Periodo Ref.]:[Check Periodo Ref.]]="Dentro",DATOS_[Conc.Sal.12]))))),
0)</f>
        <v>0</v>
      </c>
      <c r="R22" s="170">
        <f t="array" ref="R22">IFERROR(
MEDIAN((IF(DATOS_[[Sexo]:[Sexo]]=$B22,IF(DATOS_[[AGRUP. VALOR. PTO.]:[AGRUP. VALOR. PTO.]]=$B21,IF(DATOS_[[Check Periodo Ref.]:[Check Periodo Ref.]]="Dentro",DATOS_[Conc.Sal.13]))))),
0)</f>
        <v>0</v>
      </c>
      <c r="S22" s="170">
        <f t="array" ref="S22">IFERROR(
MEDIAN((IF(DATOS_[[Sexo]:[Sexo]]=$B22,IF(DATOS_[[AGRUP. VALOR. PTO.]:[AGRUP. VALOR. PTO.]]=$B21,IF(DATOS_[[Check Periodo Ref.]:[Check Periodo Ref.]]="Dentro",DATOS_[Conc.Sal.14]))))),
0)</f>
        <v>0</v>
      </c>
      <c r="T22" s="170">
        <f t="array" ref="T22">IFERROR(
MEDIAN((IF(DATOS_[[Sexo]:[Sexo]]=$B22,IF(DATOS_[[AGRUP. VALOR. PTO.]:[AGRUP. VALOR. PTO.]]=$B21,IF(DATOS_[[Check Periodo Ref.]:[Check Periodo Ref.]]="Dentro",DATOS_[Conc.Sal.15]))))),
0)</f>
        <v>0</v>
      </c>
      <c r="U22" s="170">
        <f t="array" ref="U22">IFERROR(
MEDIAN((IF(DATOS_[[Sexo]:[Sexo]]=$B22,IF(DATOS_[[AGRUP. VALOR. PTO.]:[AGRUP. VALOR. PTO.]]=$B21,IF(DATOS_[[Check Periodo Ref.]:[Check Periodo Ref.]]="Dentro",DATOS_[Conc.Sal.16]))))),
0)</f>
        <v>0</v>
      </c>
      <c r="V22" s="170">
        <f t="array" ref="V22">IFERROR(
MEDIAN((IF(DATOS_[[Sexo]:[Sexo]]=$B22,IF(DATOS_[[AGRUP. VALOR. PTO.]:[AGRUP. VALOR. PTO.]]=$B21,IF(DATOS_[[Check Periodo Ref.]:[Check Periodo Ref.]]="Dentro",DATOS_[Conc.Sal.17]))))),
0)</f>
        <v>0</v>
      </c>
      <c r="W22" s="170">
        <f t="array" ref="W22">IFERROR(
MEDIAN((IF(DATOS_[[Sexo]:[Sexo]]=$B22,IF(DATOS_[[AGRUP. VALOR. PTO.]:[AGRUP. VALOR. PTO.]]=$B21,IF(DATOS_[[Check Periodo Ref.]:[Check Periodo Ref.]]="Dentro",DATOS_[Conc.Sal.18]))))),
0)</f>
        <v>0</v>
      </c>
      <c r="X22" s="170">
        <f t="array" ref="X22">IFERROR(
MEDIAN((IF(DATOS_[[Sexo]:[Sexo]]=$B22,IF(DATOS_[[AGRUP. VALOR. PTO.]:[AGRUP. VALOR. PTO.]]=$B21,IF(DATOS_[[Check Periodo Ref.]:[Check Periodo Ref.]]="Dentro",DATOS_[Conc.Sal.19]))))),
0)</f>
        <v>0</v>
      </c>
      <c r="Y22" s="170">
        <f t="array" ref="Y22">IFERROR(
MEDIAN((IF(DATOS_[[Sexo]:[Sexo]]=$B22,IF(DATOS_[[AGRUP. VALOR. PTO.]:[AGRUP. VALOR. PTO.]]=$B21,IF(DATOS_[[Check Periodo Ref.]:[Check Periodo Ref.]]="Dentro",DATOS_[Conc.Sal.20]))))),
0)</f>
        <v>0</v>
      </c>
      <c r="Z22" s="170">
        <f t="array" ref="Z22">IFERROR(
MEDIAN((IF(DATOS_[[Sexo]:[Sexo]]=$B22,IF(DATOS_[[AGRUP. VALOR. PTO.]:[AGRUP. VALOR. PTO.]]=$B21,IF(DATOS_[[Check Periodo Ref.]:[Check Periodo Ref.]]="Dentro",DATOS_[Conc.Sal.21]))))),
0)</f>
        <v>0</v>
      </c>
      <c r="AA22" s="170">
        <f t="array" ref="AA22">IFERROR(
MEDIAN((IF(DATOS_[[Sexo]:[Sexo]]=$B22,IF(DATOS_[[AGRUP. VALOR. PTO.]:[AGRUP. VALOR. PTO.]]=$B21,IF(DATOS_[[Check Periodo Ref.]:[Check Periodo Ref.]]="Dentro",DATOS_[Conc.Sal.22]))))),
0)</f>
        <v>0</v>
      </c>
      <c r="AB22" s="170">
        <f t="array" ref="AB22">IFERROR(
MEDIAN((IF(DATOS_[[Sexo]:[Sexo]]=$B22,IF(DATOS_[[AGRUP. VALOR. PTO.]:[AGRUP. VALOR. PTO.]]=$B21,IF(DATOS_[[Check Periodo Ref.]:[Check Periodo Ref.]]="Dentro",DATOS_[Conc.Sal.23]))))),
0)</f>
        <v>0</v>
      </c>
      <c r="AC22" s="170">
        <f t="array" ref="AC22">IFERROR(
MEDIAN((IF(DATOS_[[Sexo]:[Sexo]]=$B22,IF(DATOS_[[AGRUP. VALOR. PTO.]:[AGRUP. VALOR. PTO.]]=$B21,IF(DATOS_[[Check Periodo Ref.]:[Check Periodo Ref.]]="Dentro",DATOS_[Conc.Sal.24]))))),
0)</f>
        <v>0</v>
      </c>
      <c r="AD22" s="170">
        <f t="array" ref="AD22">IFERROR(
MEDIAN((IF(DATOS_[[Sexo]:[Sexo]]=$B22,IF(DATOS_[[AGRUP. VALOR. PTO.]:[AGRUP. VALOR. PTO.]]=$B21,IF(DATOS_[[Check Periodo Ref.]:[Check Periodo Ref.]]="Dentro",DATOS_[Conc.Sal.25]))))),
0)</f>
        <v>0</v>
      </c>
      <c r="AE22" s="170">
        <f t="array" ref="AE22">IFERROR(
MEDIAN((IF(DATOS_[[Sexo]:[Sexo]]=$B22,IF(DATOS_[[AGRUP. VALOR. PTO.]:[AGRUP. VALOR. PTO.]]=$B21,IF(DATOS_[[Check Periodo Ref.]:[Check Periodo Ref.]]="Dentro",DATOS_[Conc.Sal.26]))))),
0)</f>
        <v>0</v>
      </c>
      <c r="AF22" s="170">
        <f t="array" ref="AF22">IFERROR(
MEDIAN((IF(DATOS_[[Sexo]:[Sexo]]=$B22,IF(DATOS_[[AGRUP. VALOR. PTO.]:[AGRUP. VALOR. PTO.]]=$B21,IF(DATOS_[[Check Periodo Ref.]:[Check Periodo Ref.]]="Dentro",DATOS_[Conc.Sal.27]))))),
0)</f>
        <v>0</v>
      </c>
      <c r="AG22" s="170">
        <f t="array" ref="AG22">IFERROR(
MEDIAN((IF(DATOS_[[Sexo]:[Sexo]]=$B22,IF(DATOS_[[AGRUP. VALOR. PTO.]:[AGRUP. VALOR. PTO.]]=$B21,IF(DATOS_[[Check Periodo Ref.]:[Check Periodo Ref.]]="Dentro",DATOS_[Conc.Sal.28]))))),
0)</f>
        <v>0</v>
      </c>
      <c r="AH22" s="170">
        <f t="array" ref="AH22">IFERROR(
MEDIAN((IF(DATOS_[[Sexo]:[Sexo]]=$B22,IF(DATOS_[[AGRUP. VALOR. PTO.]:[AGRUP. VALOR. PTO.]]=$B21,IF(DATOS_[[Check Periodo Ref.]:[Check Periodo Ref.]]="Dentro",DATOS_[Conc.Sal.29]))))),
0)</f>
        <v>0</v>
      </c>
      <c r="AI22" s="170">
        <f t="array" ref="AI22">IFERROR(
MEDIAN((IF(DATOS_[[Sexo]:[Sexo]]=$B22,IF(DATOS_[[AGRUP. VALOR. PTO.]:[AGRUP. VALOR. PTO.]]=$B21,IF(DATOS_[[Check Periodo Ref.]:[Check Periodo Ref.]]="Dentro",DATOS_[Conc.Sal.30]))))),
0)</f>
        <v>0</v>
      </c>
      <c r="AJ22" s="171">
        <f t="array" ref="AJ22">IFERROR(
MEDIAN(IF(DATOS_[Sexo]=$B22,IF(DATOS_[AGRUP. VALOR. PTO.]=$B21,IF(DATOS_[Check Periodo Ref.]="Dentro",DATOS_[Tot COMPL.SAL Ef],FALSE)))),
0)</f>
        <v>0</v>
      </c>
      <c r="AK22" s="172">
        <f t="array" ref="AK22">IFERROR(
MEDIAN(IF(DATOS_[Sexo]=$B22,IF(DATOS_[AGRUP. VALOR. PTO.]=$B21,IF(DATOS_[Check Periodo Ref.]="Dentro",DATOS_[TOTAL SALARIO Ef],FALSE)))),
0)</f>
        <v>0</v>
      </c>
      <c r="AL22" s="173">
        <f t="array" ref="AL22">IFERROR(
MEDIAN((IF(DATOS_[[Sexo]:[Sexo]]=$B22,IF(DATOS_[[AGRUP. VALOR. PTO.]:[AGRUP. VALOR. PTO.]]=$B21,IF(DATOS_[[Check Periodo Ref.]:[Check Periodo Ref.]]="Dentro",DATOS_[C.Extra.01]))))),
0)</f>
        <v>0</v>
      </c>
      <c r="AM22" s="173">
        <f t="array" ref="AM22">IFERROR(
MEDIAN((IF(DATOS_[[Sexo]:[Sexo]]=$B22,IF(DATOS_[[AGRUP. VALOR. PTO.]:[AGRUP. VALOR. PTO.]]=$B21,IF(DATOS_[[Check Periodo Ref.]:[Check Periodo Ref.]]="Dentro",DATOS_[C.Extra.06]))))),
0)</f>
        <v>0</v>
      </c>
      <c r="AN22" s="173">
        <f t="array" ref="AN22">IFERROR(
MEDIAN((IF(DATOS_[[Sexo]:[Sexo]]=$B22,IF(DATOS_[[AGRUP. VALOR. PTO.]:[AGRUP. VALOR. PTO.]]=$B21,IF(DATOS_[[Check Periodo Ref.]:[Check Periodo Ref.]]="Dentro",DATOS_[C.Extra.07]))))),
0)</f>
        <v>0</v>
      </c>
      <c r="AO22" s="173">
        <f t="array" ref="AO22">IFERROR(
MEDIAN((IF(DATOS_[[Sexo]:[Sexo]]=$B22,IF(DATOS_[[AGRUP. VALOR. PTO.]:[AGRUP. VALOR. PTO.]]=$B21,IF(DATOS_[[Check Periodo Ref.]:[Check Periodo Ref.]]="Dentro",DATOS_[C.Extra.08]))))),
0)</f>
        <v>0</v>
      </c>
      <c r="AP22" s="173">
        <f t="array" ref="AP22">IFERROR(
MEDIAN((IF(DATOS_[[Sexo]:[Sexo]]=$B22,IF(DATOS_[[AGRUP. VALOR. PTO.]:[AGRUP. VALOR. PTO.]]=$B21,IF(DATOS_[[Check Periodo Ref.]:[Check Periodo Ref.]]="Dentro",DATOS_[C.Extra.11]))))),
0)</f>
        <v>0</v>
      </c>
      <c r="AQ22" s="174">
        <f t="array" ref="AQ22">IFERROR(
MEDIAN(IF(DATOS_[Sexo]=$B22,IF(DATOS_[AGRUP. VALOR. PTO.]=$B21,IF(DATOS_[Check Periodo Ref.]="Dentro",DATOS_[Tot Extrasalarial Ef],FALSE)))),
0)</f>
        <v>0</v>
      </c>
      <c r="AR22" s="171">
        <f t="array" ref="AR22">IFERROR(
MEDIAN(IF(DATOS_[Sexo]=$B22,IF(DATOS_[AGRUP. VALOR. PTO.]=$B21,IF(DATOS_[Check Periodo Ref.]="Dentro",DATOS_[TOTAL Retrib Ef],FALSE)))),
0)</f>
        <v>0</v>
      </c>
    </row>
    <row r="23" spans="1:44" x14ac:dyDescent="0.25">
      <c r="A23" s="178" t="str">
        <f t="shared" ref="A23" si="14">+A22</f>
        <v>[ocultar]</v>
      </c>
      <c r="B23" s="166" t="s">
        <v>521</v>
      </c>
      <c r="C23" s="167">
        <f t="array" ref="C23">SUM(IF($B23=DATOS_[Sexo],
IF($B21=DATOS_[AGRUP. VALOR. PTO.],
IF("Dentro"=DATOS_[Check Periodo Ref.],
1/(COUNTIFS(DATOS_[Sexo],$B23,DATOS_[AGRUP. VALOR. PTO.],$B21,DATOS_[Check Periodo Ref.],"Dentro",DATOS_[id/cod],DATOS_[id/cod]))))))</f>
        <v>0</v>
      </c>
      <c r="D23" s="168">
        <f>COUNTIFS(DATOS_[AGRUP. VALOR. PTO.],$B21,DATOS_[Sexo],$B23,DATOS_[Check Periodo Ref.],"Dentro")</f>
        <v>0</v>
      </c>
      <c r="E23" s="169">
        <f t="array" ref="E23">IFERROR(
MEDIAN(IF(DATOS_[Sexo]=$B23,IF(DATOS_[AGRUP. VALOR. PTO.]=$B21,IF(DATOS_[Check Periodo Ref.]="Dentro",DATOS_[SALARIO BASE Ef],FALSE)))),
0)</f>
        <v>0</v>
      </c>
      <c r="F23" s="170">
        <f t="array" ref="F23">IFERROR(
MEDIAN((IF(DATOS_[[Sexo]:[Sexo]]=$B23,IF(DATOS_[[AGRUP. VALOR. PTO.]:[AGRUP. VALOR. PTO.]]=$B21,IF(DATOS_[[Check Periodo Ref.]:[Check Periodo Ref.]]="Dentro",DATOS_[Conc.Sal.01]))))),
0)</f>
        <v>0</v>
      </c>
      <c r="G23" s="170">
        <f t="array" ref="G23">IFERROR(
MEDIAN((IF(DATOS_[[Sexo]:[Sexo]]=$B23,IF(DATOS_[[AGRUP. VALOR. PTO.]:[AGRUP. VALOR. PTO.]]=$B21,IF(DATOS_[[Check Periodo Ref.]:[Check Periodo Ref.]]="Dentro",DATOS_[Conc.Sal.02]))))),
0)</f>
        <v>0</v>
      </c>
      <c r="H23" s="170">
        <f t="array" ref="H23">IFERROR(
MEDIAN((IF(DATOS_[[Sexo]:[Sexo]]=$B23,IF(DATOS_[[AGRUP. VALOR. PTO.]:[AGRUP. VALOR. PTO.]]=$B21,IF(DATOS_[[Check Periodo Ref.]:[Check Periodo Ref.]]="Dentro",DATOS_[Conc.Sal.03]))))),
0)</f>
        <v>0</v>
      </c>
      <c r="I23" s="170">
        <f t="array" ref="I23">IFERROR(
MEDIAN((IF(DATOS_[[Sexo]:[Sexo]]=$B23,IF(DATOS_[[AGRUP. VALOR. PTO.]:[AGRUP. VALOR. PTO.]]=$B21,IF(DATOS_[[Check Periodo Ref.]:[Check Periodo Ref.]]="Dentro",DATOS_[Conc.Sal.04]))))),
0)</f>
        <v>0</v>
      </c>
      <c r="J23" s="170">
        <f t="array" ref="J23">IFERROR(
MEDIAN((IF(DATOS_[[Sexo]:[Sexo]]=$B23,IF(DATOS_[[AGRUP. VALOR. PTO.]:[AGRUP. VALOR. PTO.]]=$B21,IF(DATOS_[[Check Periodo Ref.]:[Check Periodo Ref.]]="Dentro",DATOS_[Conc.Sal.05]))))),
0)</f>
        <v>0</v>
      </c>
      <c r="K23" s="170">
        <f t="array" ref="K23">IFERROR(
MEDIAN((IF(DATOS_[[Sexo]:[Sexo]]=$B23,IF(DATOS_[[AGRUP. VALOR. PTO.]:[AGRUP. VALOR. PTO.]]=$B21,IF(DATOS_[[Check Periodo Ref.]:[Check Periodo Ref.]]="Dentro",DATOS_[Conc.Sal.06]))))),
0)</f>
        <v>0</v>
      </c>
      <c r="L23" s="170">
        <f t="array" ref="L23">IFERROR(
MEDIAN((IF(DATOS_[[Sexo]:[Sexo]]=$B23,IF(DATOS_[[AGRUP. VALOR. PTO.]:[AGRUP. VALOR. PTO.]]=$B21,IF(DATOS_[[Check Periodo Ref.]:[Check Periodo Ref.]]="Dentro",DATOS_[Conc.Sal.07]))))),
0)</f>
        <v>0</v>
      </c>
      <c r="M23" s="170">
        <f t="array" ref="M23">IFERROR(
MEDIAN((IF(DATOS_[[Sexo]:[Sexo]]=$B23,IF(DATOS_[[AGRUP. VALOR. PTO.]:[AGRUP. VALOR. PTO.]]=$B21,IF(DATOS_[[Check Periodo Ref.]:[Check Periodo Ref.]]="Dentro",DATOS_[Conc.Sal.08]))))),
0)</f>
        <v>0</v>
      </c>
      <c r="N23" s="170">
        <f t="array" ref="N23">IFERROR(
MEDIAN((IF(DATOS_[[Sexo]:[Sexo]]=$B23,IF(DATOS_[[AGRUP. VALOR. PTO.]:[AGRUP. VALOR. PTO.]]=$B21,IF(DATOS_[[Check Periodo Ref.]:[Check Periodo Ref.]]="Dentro",DATOS_[Conc.Sal.09]))))),
0)</f>
        <v>0</v>
      </c>
      <c r="O23" s="170">
        <f t="array" ref="O23">IFERROR(
MEDIAN((IF(DATOS_[[Sexo]:[Sexo]]=$B23,IF(DATOS_[[AGRUP. VALOR. PTO.]:[AGRUP. VALOR. PTO.]]=$B21,IF(DATOS_[[Check Periodo Ref.]:[Check Periodo Ref.]]="Dentro",DATOS_[Conc.Sal.10]))))),
0)</f>
        <v>0</v>
      </c>
      <c r="P23" s="170">
        <f t="array" ref="P23">IFERROR(
MEDIAN((IF(DATOS_[[Sexo]:[Sexo]]=$B23,IF(DATOS_[[AGRUP. VALOR. PTO.]:[AGRUP. VALOR. PTO.]]=$B21,IF(DATOS_[[Check Periodo Ref.]:[Check Periodo Ref.]]="Dentro",DATOS_[Conc.Sal.11]))))),
0)</f>
        <v>0</v>
      </c>
      <c r="Q23" s="170">
        <f t="array" ref="Q23">IFERROR(
MEDIAN((IF(DATOS_[[Sexo]:[Sexo]]=$B23,IF(DATOS_[[AGRUP. VALOR. PTO.]:[AGRUP. VALOR. PTO.]]=$B21,IF(DATOS_[[Check Periodo Ref.]:[Check Periodo Ref.]]="Dentro",DATOS_[Conc.Sal.12]))))),
0)</f>
        <v>0</v>
      </c>
      <c r="R23" s="170">
        <f t="array" ref="R23">IFERROR(
MEDIAN((IF(DATOS_[[Sexo]:[Sexo]]=$B23,IF(DATOS_[[AGRUP. VALOR. PTO.]:[AGRUP. VALOR. PTO.]]=$B21,IF(DATOS_[[Check Periodo Ref.]:[Check Periodo Ref.]]="Dentro",DATOS_[Conc.Sal.13]))))),
0)</f>
        <v>0</v>
      </c>
      <c r="S23" s="170">
        <f t="array" ref="S23">IFERROR(
MEDIAN((IF(DATOS_[[Sexo]:[Sexo]]=$B23,IF(DATOS_[[AGRUP. VALOR. PTO.]:[AGRUP. VALOR. PTO.]]=$B21,IF(DATOS_[[Check Periodo Ref.]:[Check Periodo Ref.]]="Dentro",DATOS_[Conc.Sal.14]))))),
0)</f>
        <v>0</v>
      </c>
      <c r="T23" s="170">
        <f t="array" ref="T23">IFERROR(
MEDIAN((IF(DATOS_[[Sexo]:[Sexo]]=$B23,IF(DATOS_[[AGRUP. VALOR. PTO.]:[AGRUP. VALOR. PTO.]]=$B21,IF(DATOS_[[Check Periodo Ref.]:[Check Periodo Ref.]]="Dentro",DATOS_[Conc.Sal.15]))))),
0)</f>
        <v>0</v>
      </c>
      <c r="U23" s="170">
        <f t="array" ref="U23">IFERROR(
MEDIAN((IF(DATOS_[[Sexo]:[Sexo]]=$B23,IF(DATOS_[[AGRUP. VALOR. PTO.]:[AGRUP. VALOR. PTO.]]=$B21,IF(DATOS_[[Check Periodo Ref.]:[Check Periodo Ref.]]="Dentro",DATOS_[Conc.Sal.16]))))),
0)</f>
        <v>0</v>
      </c>
      <c r="V23" s="170">
        <f t="array" ref="V23">IFERROR(
MEDIAN((IF(DATOS_[[Sexo]:[Sexo]]=$B23,IF(DATOS_[[AGRUP. VALOR. PTO.]:[AGRUP. VALOR. PTO.]]=$B21,IF(DATOS_[[Check Periodo Ref.]:[Check Periodo Ref.]]="Dentro",DATOS_[Conc.Sal.17]))))),
0)</f>
        <v>0</v>
      </c>
      <c r="W23" s="170">
        <f t="array" ref="W23">IFERROR(
MEDIAN((IF(DATOS_[[Sexo]:[Sexo]]=$B23,IF(DATOS_[[AGRUP. VALOR. PTO.]:[AGRUP. VALOR. PTO.]]=$B21,IF(DATOS_[[Check Periodo Ref.]:[Check Periodo Ref.]]="Dentro",DATOS_[Conc.Sal.18]))))),
0)</f>
        <v>0</v>
      </c>
      <c r="X23" s="170">
        <f t="array" ref="X23">IFERROR(
MEDIAN((IF(DATOS_[[Sexo]:[Sexo]]=$B23,IF(DATOS_[[AGRUP. VALOR. PTO.]:[AGRUP. VALOR. PTO.]]=$B21,IF(DATOS_[[Check Periodo Ref.]:[Check Periodo Ref.]]="Dentro",DATOS_[Conc.Sal.19]))))),
0)</f>
        <v>0</v>
      </c>
      <c r="Y23" s="170">
        <f t="array" ref="Y23">IFERROR(
MEDIAN((IF(DATOS_[[Sexo]:[Sexo]]=$B23,IF(DATOS_[[AGRUP. VALOR. PTO.]:[AGRUP. VALOR. PTO.]]=$B21,IF(DATOS_[[Check Periodo Ref.]:[Check Periodo Ref.]]="Dentro",DATOS_[Conc.Sal.20]))))),
0)</f>
        <v>0</v>
      </c>
      <c r="Z23" s="170">
        <f t="array" ref="Z23">IFERROR(
MEDIAN((IF(DATOS_[[Sexo]:[Sexo]]=$B23,IF(DATOS_[[AGRUP. VALOR. PTO.]:[AGRUP. VALOR. PTO.]]=$B21,IF(DATOS_[[Check Periodo Ref.]:[Check Periodo Ref.]]="Dentro",DATOS_[Conc.Sal.21]))))),
0)</f>
        <v>0</v>
      </c>
      <c r="AA23" s="170">
        <f t="array" ref="AA23">IFERROR(
MEDIAN((IF(DATOS_[[Sexo]:[Sexo]]=$B23,IF(DATOS_[[AGRUP. VALOR. PTO.]:[AGRUP. VALOR. PTO.]]=$B21,IF(DATOS_[[Check Periodo Ref.]:[Check Periodo Ref.]]="Dentro",DATOS_[Conc.Sal.22]))))),
0)</f>
        <v>0</v>
      </c>
      <c r="AB23" s="170">
        <f t="array" ref="AB23">IFERROR(
MEDIAN((IF(DATOS_[[Sexo]:[Sexo]]=$B23,IF(DATOS_[[AGRUP. VALOR. PTO.]:[AGRUP. VALOR. PTO.]]=$B21,IF(DATOS_[[Check Periodo Ref.]:[Check Periodo Ref.]]="Dentro",DATOS_[Conc.Sal.23]))))),
0)</f>
        <v>0</v>
      </c>
      <c r="AC23" s="170">
        <f t="array" ref="AC23">IFERROR(
MEDIAN((IF(DATOS_[[Sexo]:[Sexo]]=$B23,IF(DATOS_[[AGRUP. VALOR. PTO.]:[AGRUP. VALOR. PTO.]]=$B21,IF(DATOS_[[Check Periodo Ref.]:[Check Periodo Ref.]]="Dentro",DATOS_[Conc.Sal.24]))))),
0)</f>
        <v>0</v>
      </c>
      <c r="AD23" s="170">
        <f t="array" ref="AD23">IFERROR(
MEDIAN((IF(DATOS_[[Sexo]:[Sexo]]=$B23,IF(DATOS_[[AGRUP. VALOR. PTO.]:[AGRUP. VALOR. PTO.]]=$B21,IF(DATOS_[[Check Periodo Ref.]:[Check Periodo Ref.]]="Dentro",DATOS_[Conc.Sal.25]))))),
0)</f>
        <v>0</v>
      </c>
      <c r="AE23" s="170">
        <f t="array" ref="AE23">IFERROR(
MEDIAN((IF(DATOS_[[Sexo]:[Sexo]]=$B23,IF(DATOS_[[AGRUP. VALOR. PTO.]:[AGRUP. VALOR. PTO.]]=$B21,IF(DATOS_[[Check Periodo Ref.]:[Check Periodo Ref.]]="Dentro",DATOS_[Conc.Sal.26]))))),
0)</f>
        <v>0</v>
      </c>
      <c r="AF23" s="170">
        <f t="array" ref="AF23">IFERROR(
MEDIAN((IF(DATOS_[[Sexo]:[Sexo]]=$B23,IF(DATOS_[[AGRUP. VALOR. PTO.]:[AGRUP. VALOR. PTO.]]=$B21,IF(DATOS_[[Check Periodo Ref.]:[Check Periodo Ref.]]="Dentro",DATOS_[Conc.Sal.27]))))),
0)</f>
        <v>0</v>
      </c>
      <c r="AG23" s="170">
        <f t="array" ref="AG23">IFERROR(
MEDIAN((IF(DATOS_[[Sexo]:[Sexo]]=$B23,IF(DATOS_[[AGRUP. VALOR. PTO.]:[AGRUP. VALOR. PTO.]]=$B21,IF(DATOS_[[Check Periodo Ref.]:[Check Periodo Ref.]]="Dentro",DATOS_[Conc.Sal.28]))))),
0)</f>
        <v>0</v>
      </c>
      <c r="AH23" s="170">
        <f t="array" ref="AH23">IFERROR(
MEDIAN((IF(DATOS_[[Sexo]:[Sexo]]=$B23,IF(DATOS_[[AGRUP. VALOR. PTO.]:[AGRUP. VALOR. PTO.]]=$B21,IF(DATOS_[[Check Periodo Ref.]:[Check Periodo Ref.]]="Dentro",DATOS_[Conc.Sal.29]))))),
0)</f>
        <v>0</v>
      </c>
      <c r="AI23" s="170">
        <f t="array" ref="AI23">IFERROR(
MEDIAN((IF(DATOS_[[Sexo]:[Sexo]]=$B23,IF(DATOS_[[AGRUP. VALOR. PTO.]:[AGRUP. VALOR. PTO.]]=$B21,IF(DATOS_[[Check Periodo Ref.]:[Check Periodo Ref.]]="Dentro",DATOS_[Conc.Sal.30]))))),
0)</f>
        <v>0</v>
      </c>
      <c r="AJ23" s="171">
        <f t="array" ref="AJ23">IFERROR(
MEDIAN(IF(DATOS_[Sexo]=$B23,IF(DATOS_[AGRUP. VALOR. PTO.]=$B21,IF(DATOS_[Check Periodo Ref.]="Dentro",DATOS_[Tot COMPL.SAL Ef],FALSE)))),
0)</f>
        <v>0</v>
      </c>
      <c r="AK23" s="172">
        <f t="array" ref="AK23">IFERROR(
MEDIAN(IF(DATOS_[Sexo]=$B23,IF(DATOS_[AGRUP. VALOR. PTO.]=$B21,IF(DATOS_[Check Periodo Ref.]="Dentro",DATOS_[TOTAL SALARIO Ef],FALSE)))),
0)</f>
        <v>0</v>
      </c>
      <c r="AL23" s="173">
        <f t="array" ref="AL23">IFERROR(
MEDIAN((IF(DATOS_[[Sexo]:[Sexo]]=$B23,IF(DATOS_[[AGRUP. VALOR. PTO.]:[AGRUP. VALOR. PTO.]]=$B21,IF(DATOS_[[Check Periodo Ref.]:[Check Periodo Ref.]]="Dentro",DATOS_[C.Extra.01]))))),
0)</f>
        <v>0</v>
      </c>
      <c r="AM23" s="173">
        <f t="array" ref="AM23">IFERROR(
MEDIAN((IF(DATOS_[[Sexo]:[Sexo]]=$B23,IF(DATOS_[[AGRUP. VALOR. PTO.]:[AGRUP. VALOR. PTO.]]=$B21,IF(DATOS_[[Check Periodo Ref.]:[Check Periodo Ref.]]="Dentro",DATOS_[C.Extra.06]))))),
0)</f>
        <v>0</v>
      </c>
      <c r="AN23" s="173">
        <f t="array" ref="AN23">IFERROR(
MEDIAN((IF(DATOS_[[Sexo]:[Sexo]]=$B23,IF(DATOS_[[AGRUP. VALOR. PTO.]:[AGRUP. VALOR. PTO.]]=$B21,IF(DATOS_[[Check Periodo Ref.]:[Check Periodo Ref.]]="Dentro",DATOS_[C.Extra.07]))))),
0)</f>
        <v>0</v>
      </c>
      <c r="AO23" s="173">
        <f t="array" ref="AO23">IFERROR(
MEDIAN((IF(DATOS_[[Sexo]:[Sexo]]=$B23,IF(DATOS_[[AGRUP. VALOR. PTO.]:[AGRUP. VALOR. PTO.]]=$B21,IF(DATOS_[[Check Periodo Ref.]:[Check Periodo Ref.]]="Dentro",DATOS_[C.Extra.08]))))),
0)</f>
        <v>0</v>
      </c>
      <c r="AP23" s="173">
        <f t="array" ref="AP23">IFERROR(
MEDIAN((IF(DATOS_[[Sexo]:[Sexo]]=$B23,IF(DATOS_[[AGRUP. VALOR. PTO.]:[AGRUP. VALOR. PTO.]]=$B21,IF(DATOS_[[Check Periodo Ref.]:[Check Periodo Ref.]]="Dentro",DATOS_[C.Extra.11]))))),
0)</f>
        <v>0</v>
      </c>
      <c r="AQ23" s="174">
        <f t="array" ref="AQ23">IFERROR(
MEDIAN(IF(DATOS_[Sexo]=$B23,IF(DATOS_[AGRUP. VALOR. PTO.]=$B21,IF(DATOS_[Check Periodo Ref.]="Dentro",DATOS_[Tot Extrasalarial Ef],FALSE)))),
0)</f>
        <v>0</v>
      </c>
      <c r="AR23" s="171">
        <f t="array" ref="AR23">IFERROR(
MEDIAN(IF(DATOS_[Sexo]=$B23,IF(DATOS_[AGRUP. VALOR. PTO.]=$B21,IF(DATOS_[Check Periodo Ref.]="Dentro",DATOS_[TOTAL Retrib Ef],FALSE)))),
0)</f>
        <v>0</v>
      </c>
    </row>
    <row r="24" spans="1:44" ht="14.4" thickBot="1" x14ac:dyDescent="0.3">
      <c r="A24" s="178" t="str">
        <f t="shared" ref="A24" si="15">+A25</f>
        <v>[ocultar]</v>
      </c>
      <c r="B24" s="153" t="s">
        <v>189</v>
      </c>
      <c r="C24" s="154"/>
      <c r="D24" s="155"/>
      <c r="E24" s="156" t="str">
        <f t="shared" ref="E24:AR24" si="16">IFERROR((E25-E26)/E25,"")</f>
        <v/>
      </c>
      <c r="F24" s="157" t="str">
        <f t="shared" si="16"/>
        <v/>
      </c>
      <c r="G24" s="158" t="str">
        <f t="shared" si="16"/>
        <v/>
      </c>
      <c r="H24" s="158" t="str">
        <f t="shared" si="16"/>
        <v/>
      </c>
      <c r="I24" s="158" t="str">
        <f t="shared" si="16"/>
        <v/>
      </c>
      <c r="J24" s="159" t="str">
        <f t="shared" si="16"/>
        <v/>
      </c>
      <c r="K24" s="160" t="str">
        <f t="shared" si="16"/>
        <v/>
      </c>
      <c r="L24" s="160" t="str">
        <f t="shared" si="16"/>
        <v/>
      </c>
      <c r="M24" s="160" t="str">
        <f t="shared" si="16"/>
        <v/>
      </c>
      <c r="N24" s="160" t="str">
        <f t="shared" si="16"/>
        <v/>
      </c>
      <c r="O24" s="160" t="str">
        <f t="shared" si="16"/>
        <v/>
      </c>
      <c r="P24" s="160" t="str">
        <f t="shared" si="16"/>
        <v/>
      </c>
      <c r="Q24" s="160" t="str">
        <f t="shared" si="16"/>
        <v/>
      </c>
      <c r="R24" s="160" t="str">
        <f t="shared" si="16"/>
        <v/>
      </c>
      <c r="S24" s="160" t="str">
        <f t="shared" si="16"/>
        <v/>
      </c>
      <c r="T24" s="160" t="str">
        <f t="shared" si="16"/>
        <v/>
      </c>
      <c r="U24" s="160" t="str">
        <f t="shared" si="16"/>
        <v/>
      </c>
      <c r="V24" s="159" t="str">
        <f t="shared" si="16"/>
        <v/>
      </c>
      <c r="W24" s="159" t="str">
        <f t="shared" si="16"/>
        <v/>
      </c>
      <c r="X24" s="159" t="str">
        <f t="shared" si="16"/>
        <v/>
      </c>
      <c r="Y24" s="159" t="str">
        <f t="shared" si="16"/>
        <v/>
      </c>
      <c r="Z24" s="159" t="str">
        <f t="shared" si="16"/>
        <v/>
      </c>
      <c r="AA24" s="159" t="str">
        <f t="shared" si="16"/>
        <v/>
      </c>
      <c r="AB24" s="159" t="str">
        <f t="shared" si="16"/>
        <v/>
      </c>
      <c r="AC24" s="159" t="str">
        <f t="shared" si="16"/>
        <v/>
      </c>
      <c r="AD24" s="159" t="str">
        <f t="shared" si="16"/>
        <v/>
      </c>
      <c r="AE24" s="159" t="str">
        <f t="shared" si="16"/>
        <v/>
      </c>
      <c r="AF24" s="159" t="str">
        <f t="shared" si="16"/>
        <v/>
      </c>
      <c r="AG24" s="159" t="str">
        <f t="shared" si="16"/>
        <v/>
      </c>
      <c r="AH24" s="159" t="str">
        <f t="shared" si="16"/>
        <v/>
      </c>
      <c r="AI24" s="159" t="str">
        <f t="shared" si="16"/>
        <v/>
      </c>
      <c r="AJ24" s="161" t="str">
        <f t="shared" si="16"/>
        <v/>
      </c>
      <c r="AK24" s="162" t="str">
        <f t="shared" si="16"/>
        <v/>
      </c>
      <c r="AL24" s="163" t="str">
        <f t="shared" si="16"/>
        <v/>
      </c>
      <c r="AM24" s="163" t="str">
        <f t="shared" si="16"/>
        <v/>
      </c>
      <c r="AN24" s="163" t="str">
        <f t="shared" si="16"/>
        <v/>
      </c>
      <c r="AO24" s="163" t="str">
        <f t="shared" si="16"/>
        <v/>
      </c>
      <c r="AP24" s="163" t="str">
        <f t="shared" si="16"/>
        <v/>
      </c>
      <c r="AQ24" s="164" t="str">
        <f t="shared" si="16"/>
        <v/>
      </c>
      <c r="AR24" s="161" t="str">
        <f t="shared" si="16"/>
        <v/>
      </c>
    </row>
    <row r="25" spans="1:44" x14ac:dyDescent="0.25">
      <c r="A25" s="178" t="str">
        <f t="shared" ref="A25" si="17">+IF(C25+C26=0,"[ocultar]","")</f>
        <v>[ocultar]</v>
      </c>
      <c r="B25" s="166" t="s">
        <v>394</v>
      </c>
      <c r="C25" s="167">
        <f t="array" ref="C25">SUM(IF($B25=DATOS_[Sexo],
IF($B24=DATOS_[AGRUP. VALOR. PTO.],
IF("Dentro"=DATOS_[Check Periodo Ref.],
1/(COUNTIFS(DATOS_[Sexo],$B25,DATOS_[AGRUP. VALOR. PTO.],$B24,DATOS_[Check Periodo Ref.],"Dentro",DATOS_[id/cod],DATOS_[id/cod]))))))</f>
        <v>0</v>
      </c>
      <c r="D25" s="168">
        <f>COUNTIFS(DATOS_[AGRUP. VALOR. PTO.],$B24,DATOS_[Sexo],$B25,DATOS_[Check Periodo Ref.],"Dentro")</f>
        <v>0</v>
      </c>
      <c r="E25" s="169">
        <f t="array" ref="E25">IFERROR(
MEDIAN(IF(DATOS_[Sexo]=$B25,IF(DATOS_[AGRUP. VALOR. PTO.]=$B24,IF(DATOS_[Check Periodo Ref.]="Dentro",DATOS_[SALARIO BASE Ef],FALSE)))),
0)</f>
        <v>0</v>
      </c>
      <c r="F25" s="170">
        <f t="array" ref="F25">IFERROR(
MEDIAN((IF(DATOS_[[Sexo]:[Sexo]]=$B25,IF(DATOS_[[AGRUP. VALOR. PTO.]:[AGRUP. VALOR. PTO.]]=$B24,IF(DATOS_[[Check Periodo Ref.]:[Check Periodo Ref.]]="Dentro",DATOS_[Conc.Sal.01]))))),
0)</f>
        <v>0</v>
      </c>
      <c r="G25" s="170">
        <f t="array" ref="G25">IFERROR(
MEDIAN((IF(DATOS_[[Sexo]:[Sexo]]=$B25,IF(DATOS_[[AGRUP. VALOR. PTO.]:[AGRUP. VALOR. PTO.]]=$B24,IF(DATOS_[[Check Periodo Ref.]:[Check Periodo Ref.]]="Dentro",DATOS_[Conc.Sal.02]))))),
0)</f>
        <v>0</v>
      </c>
      <c r="H25" s="170">
        <f t="array" ref="H25">IFERROR(
MEDIAN((IF(DATOS_[[Sexo]:[Sexo]]=$B25,IF(DATOS_[[AGRUP. VALOR. PTO.]:[AGRUP. VALOR. PTO.]]=$B24,IF(DATOS_[[Check Periodo Ref.]:[Check Periodo Ref.]]="Dentro",DATOS_[Conc.Sal.03]))))),
0)</f>
        <v>0</v>
      </c>
      <c r="I25" s="170">
        <f t="array" ref="I25">IFERROR(
MEDIAN((IF(DATOS_[[Sexo]:[Sexo]]=$B25,IF(DATOS_[[AGRUP. VALOR. PTO.]:[AGRUP. VALOR. PTO.]]=$B24,IF(DATOS_[[Check Periodo Ref.]:[Check Periodo Ref.]]="Dentro",DATOS_[Conc.Sal.04]))))),
0)</f>
        <v>0</v>
      </c>
      <c r="J25" s="170">
        <f t="array" ref="J25">IFERROR(
MEDIAN((IF(DATOS_[[Sexo]:[Sexo]]=$B25,IF(DATOS_[[AGRUP. VALOR. PTO.]:[AGRUP. VALOR. PTO.]]=$B24,IF(DATOS_[[Check Periodo Ref.]:[Check Periodo Ref.]]="Dentro",DATOS_[Conc.Sal.05]))))),
0)</f>
        <v>0</v>
      </c>
      <c r="K25" s="170">
        <f t="array" ref="K25">IFERROR(
MEDIAN((IF(DATOS_[[Sexo]:[Sexo]]=$B25,IF(DATOS_[[AGRUP. VALOR. PTO.]:[AGRUP. VALOR. PTO.]]=$B24,IF(DATOS_[[Check Periodo Ref.]:[Check Periodo Ref.]]="Dentro",DATOS_[Conc.Sal.06]))))),
0)</f>
        <v>0</v>
      </c>
      <c r="L25" s="170">
        <f t="array" ref="L25">IFERROR(
MEDIAN((IF(DATOS_[[Sexo]:[Sexo]]=$B25,IF(DATOS_[[AGRUP. VALOR. PTO.]:[AGRUP. VALOR. PTO.]]=$B24,IF(DATOS_[[Check Periodo Ref.]:[Check Periodo Ref.]]="Dentro",DATOS_[Conc.Sal.07]))))),
0)</f>
        <v>0</v>
      </c>
      <c r="M25" s="170">
        <f t="array" ref="M25">IFERROR(
MEDIAN((IF(DATOS_[[Sexo]:[Sexo]]=$B25,IF(DATOS_[[AGRUP. VALOR. PTO.]:[AGRUP. VALOR. PTO.]]=$B24,IF(DATOS_[[Check Periodo Ref.]:[Check Periodo Ref.]]="Dentro",DATOS_[Conc.Sal.08]))))),
0)</f>
        <v>0</v>
      </c>
      <c r="N25" s="170">
        <f t="array" ref="N25">IFERROR(
MEDIAN((IF(DATOS_[[Sexo]:[Sexo]]=$B25,IF(DATOS_[[AGRUP. VALOR. PTO.]:[AGRUP. VALOR. PTO.]]=$B24,IF(DATOS_[[Check Periodo Ref.]:[Check Periodo Ref.]]="Dentro",DATOS_[Conc.Sal.09]))))),
0)</f>
        <v>0</v>
      </c>
      <c r="O25" s="170">
        <f t="array" ref="O25">IFERROR(
MEDIAN((IF(DATOS_[[Sexo]:[Sexo]]=$B25,IF(DATOS_[[AGRUP. VALOR. PTO.]:[AGRUP. VALOR. PTO.]]=$B24,IF(DATOS_[[Check Periodo Ref.]:[Check Periodo Ref.]]="Dentro",DATOS_[Conc.Sal.10]))))),
0)</f>
        <v>0</v>
      </c>
      <c r="P25" s="170">
        <f t="array" ref="P25">IFERROR(
MEDIAN((IF(DATOS_[[Sexo]:[Sexo]]=$B25,IF(DATOS_[[AGRUP. VALOR. PTO.]:[AGRUP. VALOR. PTO.]]=$B24,IF(DATOS_[[Check Periodo Ref.]:[Check Periodo Ref.]]="Dentro",DATOS_[Conc.Sal.11]))))),
0)</f>
        <v>0</v>
      </c>
      <c r="Q25" s="170">
        <f t="array" ref="Q25">IFERROR(
MEDIAN((IF(DATOS_[[Sexo]:[Sexo]]=$B25,IF(DATOS_[[AGRUP. VALOR. PTO.]:[AGRUP. VALOR. PTO.]]=$B24,IF(DATOS_[[Check Periodo Ref.]:[Check Periodo Ref.]]="Dentro",DATOS_[Conc.Sal.12]))))),
0)</f>
        <v>0</v>
      </c>
      <c r="R25" s="170">
        <f t="array" ref="R25">IFERROR(
MEDIAN((IF(DATOS_[[Sexo]:[Sexo]]=$B25,IF(DATOS_[[AGRUP. VALOR. PTO.]:[AGRUP. VALOR. PTO.]]=$B24,IF(DATOS_[[Check Periodo Ref.]:[Check Periodo Ref.]]="Dentro",DATOS_[Conc.Sal.13]))))),
0)</f>
        <v>0</v>
      </c>
      <c r="S25" s="170">
        <f t="array" ref="S25">IFERROR(
MEDIAN((IF(DATOS_[[Sexo]:[Sexo]]=$B25,IF(DATOS_[[AGRUP. VALOR. PTO.]:[AGRUP. VALOR. PTO.]]=$B24,IF(DATOS_[[Check Periodo Ref.]:[Check Periodo Ref.]]="Dentro",DATOS_[Conc.Sal.14]))))),
0)</f>
        <v>0</v>
      </c>
      <c r="T25" s="170">
        <f t="array" ref="T25">IFERROR(
MEDIAN((IF(DATOS_[[Sexo]:[Sexo]]=$B25,IF(DATOS_[[AGRUP. VALOR. PTO.]:[AGRUP. VALOR. PTO.]]=$B24,IF(DATOS_[[Check Periodo Ref.]:[Check Periodo Ref.]]="Dentro",DATOS_[Conc.Sal.15]))))),
0)</f>
        <v>0</v>
      </c>
      <c r="U25" s="170">
        <f t="array" ref="U25">IFERROR(
MEDIAN((IF(DATOS_[[Sexo]:[Sexo]]=$B25,IF(DATOS_[[AGRUP. VALOR. PTO.]:[AGRUP. VALOR. PTO.]]=$B24,IF(DATOS_[[Check Periodo Ref.]:[Check Periodo Ref.]]="Dentro",DATOS_[Conc.Sal.16]))))),
0)</f>
        <v>0</v>
      </c>
      <c r="V25" s="170">
        <f t="array" ref="V25">IFERROR(
MEDIAN((IF(DATOS_[[Sexo]:[Sexo]]=$B25,IF(DATOS_[[AGRUP. VALOR. PTO.]:[AGRUP. VALOR. PTO.]]=$B24,IF(DATOS_[[Check Periodo Ref.]:[Check Periodo Ref.]]="Dentro",DATOS_[Conc.Sal.17]))))),
0)</f>
        <v>0</v>
      </c>
      <c r="W25" s="170">
        <f t="array" ref="W25">IFERROR(
MEDIAN((IF(DATOS_[[Sexo]:[Sexo]]=$B25,IF(DATOS_[[AGRUP. VALOR. PTO.]:[AGRUP. VALOR. PTO.]]=$B24,IF(DATOS_[[Check Periodo Ref.]:[Check Periodo Ref.]]="Dentro",DATOS_[Conc.Sal.18]))))),
0)</f>
        <v>0</v>
      </c>
      <c r="X25" s="170">
        <f t="array" ref="X25">IFERROR(
MEDIAN((IF(DATOS_[[Sexo]:[Sexo]]=$B25,IF(DATOS_[[AGRUP. VALOR. PTO.]:[AGRUP. VALOR. PTO.]]=$B24,IF(DATOS_[[Check Periodo Ref.]:[Check Periodo Ref.]]="Dentro",DATOS_[Conc.Sal.19]))))),
0)</f>
        <v>0</v>
      </c>
      <c r="Y25" s="170">
        <f t="array" ref="Y25">IFERROR(
MEDIAN((IF(DATOS_[[Sexo]:[Sexo]]=$B25,IF(DATOS_[[AGRUP. VALOR. PTO.]:[AGRUP. VALOR. PTO.]]=$B24,IF(DATOS_[[Check Periodo Ref.]:[Check Periodo Ref.]]="Dentro",DATOS_[Conc.Sal.20]))))),
0)</f>
        <v>0</v>
      </c>
      <c r="Z25" s="170">
        <f t="array" ref="Z25">IFERROR(
MEDIAN((IF(DATOS_[[Sexo]:[Sexo]]=$B25,IF(DATOS_[[AGRUP. VALOR. PTO.]:[AGRUP. VALOR. PTO.]]=$B24,IF(DATOS_[[Check Periodo Ref.]:[Check Periodo Ref.]]="Dentro",DATOS_[Conc.Sal.21]))))),
0)</f>
        <v>0</v>
      </c>
      <c r="AA25" s="170">
        <f t="array" ref="AA25">IFERROR(
MEDIAN((IF(DATOS_[[Sexo]:[Sexo]]=$B25,IF(DATOS_[[AGRUP. VALOR. PTO.]:[AGRUP. VALOR. PTO.]]=$B24,IF(DATOS_[[Check Periodo Ref.]:[Check Periodo Ref.]]="Dentro",DATOS_[Conc.Sal.22]))))),
0)</f>
        <v>0</v>
      </c>
      <c r="AB25" s="170">
        <f t="array" ref="AB25">IFERROR(
MEDIAN((IF(DATOS_[[Sexo]:[Sexo]]=$B25,IF(DATOS_[[AGRUP. VALOR. PTO.]:[AGRUP. VALOR. PTO.]]=$B24,IF(DATOS_[[Check Periodo Ref.]:[Check Periodo Ref.]]="Dentro",DATOS_[Conc.Sal.23]))))),
0)</f>
        <v>0</v>
      </c>
      <c r="AC25" s="170">
        <f t="array" ref="AC25">IFERROR(
MEDIAN((IF(DATOS_[[Sexo]:[Sexo]]=$B25,IF(DATOS_[[AGRUP. VALOR. PTO.]:[AGRUP. VALOR. PTO.]]=$B24,IF(DATOS_[[Check Periodo Ref.]:[Check Periodo Ref.]]="Dentro",DATOS_[Conc.Sal.24]))))),
0)</f>
        <v>0</v>
      </c>
      <c r="AD25" s="170">
        <f t="array" ref="AD25">IFERROR(
MEDIAN((IF(DATOS_[[Sexo]:[Sexo]]=$B25,IF(DATOS_[[AGRUP. VALOR. PTO.]:[AGRUP. VALOR. PTO.]]=$B24,IF(DATOS_[[Check Periodo Ref.]:[Check Periodo Ref.]]="Dentro",DATOS_[Conc.Sal.25]))))),
0)</f>
        <v>0</v>
      </c>
      <c r="AE25" s="170">
        <f t="array" ref="AE25">IFERROR(
MEDIAN((IF(DATOS_[[Sexo]:[Sexo]]=$B25,IF(DATOS_[[AGRUP. VALOR. PTO.]:[AGRUP. VALOR. PTO.]]=$B24,IF(DATOS_[[Check Periodo Ref.]:[Check Periodo Ref.]]="Dentro",DATOS_[Conc.Sal.26]))))),
0)</f>
        <v>0</v>
      </c>
      <c r="AF25" s="170">
        <f t="array" ref="AF25">IFERROR(
MEDIAN((IF(DATOS_[[Sexo]:[Sexo]]=$B25,IF(DATOS_[[AGRUP. VALOR. PTO.]:[AGRUP. VALOR. PTO.]]=$B24,IF(DATOS_[[Check Periodo Ref.]:[Check Periodo Ref.]]="Dentro",DATOS_[Conc.Sal.27]))))),
0)</f>
        <v>0</v>
      </c>
      <c r="AG25" s="170">
        <f t="array" ref="AG25">IFERROR(
MEDIAN((IF(DATOS_[[Sexo]:[Sexo]]=$B25,IF(DATOS_[[AGRUP. VALOR. PTO.]:[AGRUP. VALOR. PTO.]]=$B24,IF(DATOS_[[Check Periodo Ref.]:[Check Periodo Ref.]]="Dentro",DATOS_[Conc.Sal.28]))))),
0)</f>
        <v>0</v>
      </c>
      <c r="AH25" s="170">
        <f t="array" ref="AH25">IFERROR(
MEDIAN((IF(DATOS_[[Sexo]:[Sexo]]=$B25,IF(DATOS_[[AGRUP. VALOR. PTO.]:[AGRUP. VALOR. PTO.]]=$B24,IF(DATOS_[[Check Periodo Ref.]:[Check Periodo Ref.]]="Dentro",DATOS_[Conc.Sal.29]))))),
0)</f>
        <v>0</v>
      </c>
      <c r="AI25" s="170">
        <f t="array" ref="AI25">IFERROR(
MEDIAN((IF(DATOS_[[Sexo]:[Sexo]]=$B25,IF(DATOS_[[AGRUP. VALOR. PTO.]:[AGRUP. VALOR. PTO.]]=$B24,IF(DATOS_[[Check Periodo Ref.]:[Check Periodo Ref.]]="Dentro",DATOS_[Conc.Sal.30]))))),
0)</f>
        <v>0</v>
      </c>
      <c r="AJ25" s="171">
        <f t="array" ref="AJ25">IFERROR(
MEDIAN(IF(DATOS_[Sexo]=$B25,IF(DATOS_[AGRUP. VALOR. PTO.]=$B24,IF(DATOS_[Check Periodo Ref.]="Dentro",DATOS_[Tot COMPL.SAL Ef],FALSE)))),
0)</f>
        <v>0</v>
      </c>
      <c r="AK25" s="172">
        <f t="array" ref="AK25">IFERROR(
MEDIAN(IF(DATOS_[Sexo]=$B25,IF(DATOS_[AGRUP. VALOR. PTO.]=$B24,IF(DATOS_[Check Periodo Ref.]="Dentro",DATOS_[TOTAL SALARIO Ef],FALSE)))),
0)</f>
        <v>0</v>
      </c>
      <c r="AL25" s="173">
        <f t="array" ref="AL25">IFERROR(
MEDIAN((IF(DATOS_[[Sexo]:[Sexo]]=$B25,IF(DATOS_[[AGRUP. VALOR. PTO.]:[AGRUP. VALOR. PTO.]]=$B24,IF(DATOS_[[Check Periodo Ref.]:[Check Periodo Ref.]]="Dentro",DATOS_[C.Extra.01]))))),
0)</f>
        <v>0</v>
      </c>
      <c r="AM25" s="173">
        <f t="array" ref="AM25">IFERROR(
MEDIAN((IF(DATOS_[[Sexo]:[Sexo]]=$B25,IF(DATOS_[[AGRUP. VALOR. PTO.]:[AGRUP. VALOR. PTO.]]=$B24,IF(DATOS_[[Check Periodo Ref.]:[Check Periodo Ref.]]="Dentro",DATOS_[C.Extra.06]))))),
0)</f>
        <v>0</v>
      </c>
      <c r="AN25" s="173">
        <f t="array" ref="AN25">IFERROR(
MEDIAN((IF(DATOS_[[Sexo]:[Sexo]]=$B25,IF(DATOS_[[AGRUP. VALOR. PTO.]:[AGRUP. VALOR. PTO.]]=$B24,IF(DATOS_[[Check Periodo Ref.]:[Check Periodo Ref.]]="Dentro",DATOS_[C.Extra.07]))))),
0)</f>
        <v>0</v>
      </c>
      <c r="AO25" s="173">
        <f t="array" ref="AO25">IFERROR(
MEDIAN((IF(DATOS_[[Sexo]:[Sexo]]=$B25,IF(DATOS_[[AGRUP. VALOR. PTO.]:[AGRUP. VALOR. PTO.]]=$B24,IF(DATOS_[[Check Periodo Ref.]:[Check Periodo Ref.]]="Dentro",DATOS_[C.Extra.08]))))),
0)</f>
        <v>0</v>
      </c>
      <c r="AP25" s="173">
        <f t="array" ref="AP25">IFERROR(
MEDIAN((IF(DATOS_[[Sexo]:[Sexo]]=$B25,IF(DATOS_[[AGRUP. VALOR. PTO.]:[AGRUP. VALOR. PTO.]]=$B24,IF(DATOS_[[Check Periodo Ref.]:[Check Periodo Ref.]]="Dentro",DATOS_[C.Extra.11]))))),
0)</f>
        <v>0</v>
      </c>
      <c r="AQ25" s="174">
        <f t="array" ref="AQ25">IFERROR(
MEDIAN(IF(DATOS_[Sexo]=$B25,IF(DATOS_[AGRUP. VALOR. PTO.]=$B24,IF(DATOS_[Check Periodo Ref.]="Dentro",DATOS_[Tot Extrasalarial Ef],FALSE)))),
0)</f>
        <v>0</v>
      </c>
      <c r="AR25" s="171">
        <f t="array" ref="AR25">IFERROR(
MEDIAN(IF(DATOS_[Sexo]=$B25,IF(DATOS_[AGRUP. VALOR. PTO.]=$B24,IF(DATOS_[Check Periodo Ref.]="Dentro",DATOS_[TOTAL Retrib Ef],FALSE)))),
0)</f>
        <v>0</v>
      </c>
    </row>
    <row r="26" spans="1:44" x14ac:dyDescent="0.25">
      <c r="A26" s="178" t="str">
        <f t="shared" ref="A26" si="18">+A25</f>
        <v>[ocultar]</v>
      </c>
      <c r="B26" s="166" t="s">
        <v>521</v>
      </c>
      <c r="C26" s="167">
        <f t="array" ref="C26">SUM(IF($B26=DATOS_[Sexo],
IF($B24=DATOS_[AGRUP. VALOR. PTO.],
IF("Dentro"=DATOS_[Check Periodo Ref.],
1/(COUNTIFS(DATOS_[Sexo],$B26,DATOS_[AGRUP. VALOR. PTO.],$B24,DATOS_[Check Periodo Ref.],"Dentro",DATOS_[id/cod],DATOS_[id/cod]))))))</f>
        <v>0</v>
      </c>
      <c r="D26" s="168">
        <f>COUNTIFS(DATOS_[AGRUP. VALOR. PTO.],$B24,DATOS_[Sexo],$B26,DATOS_[Check Periodo Ref.],"Dentro")</f>
        <v>0</v>
      </c>
      <c r="E26" s="169">
        <f t="array" ref="E26">IFERROR(
MEDIAN(IF(DATOS_[Sexo]=$B26,IF(DATOS_[AGRUP. VALOR. PTO.]=$B24,IF(DATOS_[Check Periodo Ref.]="Dentro",DATOS_[SALARIO BASE Ef],FALSE)))),
0)</f>
        <v>0</v>
      </c>
      <c r="F26" s="170">
        <f t="array" ref="F26">IFERROR(
MEDIAN((IF(DATOS_[[Sexo]:[Sexo]]=$B26,IF(DATOS_[[AGRUP. VALOR. PTO.]:[AGRUP. VALOR. PTO.]]=$B24,IF(DATOS_[[Check Periodo Ref.]:[Check Periodo Ref.]]="Dentro",DATOS_[Conc.Sal.01]))))),
0)</f>
        <v>0</v>
      </c>
      <c r="G26" s="170">
        <f t="array" ref="G26">IFERROR(
MEDIAN((IF(DATOS_[[Sexo]:[Sexo]]=$B26,IF(DATOS_[[AGRUP. VALOR. PTO.]:[AGRUP. VALOR. PTO.]]=$B24,IF(DATOS_[[Check Periodo Ref.]:[Check Periodo Ref.]]="Dentro",DATOS_[Conc.Sal.02]))))),
0)</f>
        <v>0</v>
      </c>
      <c r="H26" s="170">
        <f t="array" ref="H26">IFERROR(
MEDIAN((IF(DATOS_[[Sexo]:[Sexo]]=$B26,IF(DATOS_[[AGRUP. VALOR. PTO.]:[AGRUP. VALOR. PTO.]]=$B24,IF(DATOS_[[Check Periodo Ref.]:[Check Periodo Ref.]]="Dentro",DATOS_[Conc.Sal.03]))))),
0)</f>
        <v>0</v>
      </c>
      <c r="I26" s="170">
        <f t="array" ref="I26">IFERROR(
MEDIAN((IF(DATOS_[[Sexo]:[Sexo]]=$B26,IF(DATOS_[[AGRUP. VALOR. PTO.]:[AGRUP. VALOR. PTO.]]=$B24,IF(DATOS_[[Check Periodo Ref.]:[Check Periodo Ref.]]="Dentro",DATOS_[Conc.Sal.04]))))),
0)</f>
        <v>0</v>
      </c>
      <c r="J26" s="170">
        <f t="array" ref="J26">IFERROR(
MEDIAN((IF(DATOS_[[Sexo]:[Sexo]]=$B26,IF(DATOS_[[AGRUP. VALOR. PTO.]:[AGRUP. VALOR. PTO.]]=$B24,IF(DATOS_[[Check Periodo Ref.]:[Check Periodo Ref.]]="Dentro",DATOS_[Conc.Sal.05]))))),
0)</f>
        <v>0</v>
      </c>
      <c r="K26" s="170">
        <f t="array" ref="K26">IFERROR(
MEDIAN((IF(DATOS_[[Sexo]:[Sexo]]=$B26,IF(DATOS_[[AGRUP. VALOR. PTO.]:[AGRUP. VALOR. PTO.]]=$B24,IF(DATOS_[[Check Periodo Ref.]:[Check Periodo Ref.]]="Dentro",DATOS_[Conc.Sal.06]))))),
0)</f>
        <v>0</v>
      </c>
      <c r="L26" s="170">
        <f t="array" ref="L26">IFERROR(
MEDIAN((IF(DATOS_[[Sexo]:[Sexo]]=$B26,IF(DATOS_[[AGRUP. VALOR. PTO.]:[AGRUP. VALOR. PTO.]]=$B24,IF(DATOS_[[Check Periodo Ref.]:[Check Periodo Ref.]]="Dentro",DATOS_[Conc.Sal.07]))))),
0)</f>
        <v>0</v>
      </c>
      <c r="M26" s="170">
        <f t="array" ref="M26">IFERROR(
MEDIAN((IF(DATOS_[[Sexo]:[Sexo]]=$B26,IF(DATOS_[[AGRUP. VALOR. PTO.]:[AGRUP. VALOR. PTO.]]=$B24,IF(DATOS_[[Check Periodo Ref.]:[Check Periodo Ref.]]="Dentro",DATOS_[Conc.Sal.08]))))),
0)</f>
        <v>0</v>
      </c>
      <c r="N26" s="170">
        <f t="array" ref="N26">IFERROR(
MEDIAN((IF(DATOS_[[Sexo]:[Sexo]]=$B26,IF(DATOS_[[AGRUP. VALOR. PTO.]:[AGRUP. VALOR. PTO.]]=$B24,IF(DATOS_[[Check Periodo Ref.]:[Check Periodo Ref.]]="Dentro",DATOS_[Conc.Sal.09]))))),
0)</f>
        <v>0</v>
      </c>
      <c r="O26" s="170">
        <f t="array" ref="O26">IFERROR(
MEDIAN((IF(DATOS_[[Sexo]:[Sexo]]=$B26,IF(DATOS_[[AGRUP. VALOR. PTO.]:[AGRUP. VALOR. PTO.]]=$B24,IF(DATOS_[[Check Periodo Ref.]:[Check Periodo Ref.]]="Dentro",DATOS_[Conc.Sal.10]))))),
0)</f>
        <v>0</v>
      </c>
      <c r="P26" s="170">
        <f t="array" ref="P26">IFERROR(
MEDIAN((IF(DATOS_[[Sexo]:[Sexo]]=$B26,IF(DATOS_[[AGRUP. VALOR. PTO.]:[AGRUP. VALOR. PTO.]]=$B24,IF(DATOS_[[Check Periodo Ref.]:[Check Periodo Ref.]]="Dentro",DATOS_[Conc.Sal.11]))))),
0)</f>
        <v>0</v>
      </c>
      <c r="Q26" s="170">
        <f t="array" ref="Q26">IFERROR(
MEDIAN((IF(DATOS_[[Sexo]:[Sexo]]=$B26,IF(DATOS_[[AGRUP. VALOR. PTO.]:[AGRUP. VALOR. PTO.]]=$B24,IF(DATOS_[[Check Periodo Ref.]:[Check Periodo Ref.]]="Dentro",DATOS_[Conc.Sal.12]))))),
0)</f>
        <v>0</v>
      </c>
      <c r="R26" s="170">
        <f t="array" ref="R26">IFERROR(
MEDIAN((IF(DATOS_[[Sexo]:[Sexo]]=$B26,IF(DATOS_[[AGRUP. VALOR. PTO.]:[AGRUP. VALOR. PTO.]]=$B24,IF(DATOS_[[Check Periodo Ref.]:[Check Periodo Ref.]]="Dentro",DATOS_[Conc.Sal.13]))))),
0)</f>
        <v>0</v>
      </c>
      <c r="S26" s="170">
        <f t="array" ref="S26">IFERROR(
MEDIAN((IF(DATOS_[[Sexo]:[Sexo]]=$B26,IF(DATOS_[[AGRUP. VALOR. PTO.]:[AGRUP. VALOR. PTO.]]=$B24,IF(DATOS_[[Check Periodo Ref.]:[Check Periodo Ref.]]="Dentro",DATOS_[Conc.Sal.14]))))),
0)</f>
        <v>0</v>
      </c>
      <c r="T26" s="170">
        <f t="array" ref="T26">IFERROR(
MEDIAN((IF(DATOS_[[Sexo]:[Sexo]]=$B26,IF(DATOS_[[AGRUP. VALOR. PTO.]:[AGRUP. VALOR. PTO.]]=$B24,IF(DATOS_[[Check Periodo Ref.]:[Check Periodo Ref.]]="Dentro",DATOS_[Conc.Sal.15]))))),
0)</f>
        <v>0</v>
      </c>
      <c r="U26" s="170">
        <f t="array" ref="U26">IFERROR(
MEDIAN((IF(DATOS_[[Sexo]:[Sexo]]=$B26,IF(DATOS_[[AGRUP. VALOR. PTO.]:[AGRUP. VALOR. PTO.]]=$B24,IF(DATOS_[[Check Periodo Ref.]:[Check Periodo Ref.]]="Dentro",DATOS_[Conc.Sal.16]))))),
0)</f>
        <v>0</v>
      </c>
      <c r="V26" s="170">
        <f t="array" ref="V26">IFERROR(
MEDIAN((IF(DATOS_[[Sexo]:[Sexo]]=$B26,IF(DATOS_[[AGRUP. VALOR. PTO.]:[AGRUP. VALOR. PTO.]]=$B24,IF(DATOS_[[Check Periodo Ref.]:[Check Periodo Ref.]]="Dentro",DATOS_[Conc.Sal.17]))))),
0)</f>
        <v>0</v>
      </c>
      <c r="W26" s="170">
        <f t="array" ref="W26">IFERROR(
MEDIAN((IF(DATOS_[[Sexo]:[Sexo]]=$B26,IF(DATOS_[[AGRUP. VALOR. PTO.]:[AGRUP. VALOR. PTO.]]=$B24,IF(DATOS_[[Check Periodo Ref.]:[Check Periodo Ref.]]="Dentro",DATOS_[Conc.Sal.18]))))),
0)</f>
        <v>0</v>
      </c>
      <c r="X26" s="170">
        <f t="array" ref="X26">IFERROR(
MEDIAN((IF(DATOS_[[Sexo]:[Sexo]]=$B26,IF(DATOS_[[AGRUP. VALOR. PTO.]:[AGRUP. VALOR. PTO.]]=$B24,IF(DATOS_[[Check Periodo Ref.]:[Check Periodo Ref.]]="Dentro",DATOS_[Conc.Sal.19]))))),
0)</f>
        <v>0</v>
      </c>
      <c r="Y26" s="170">
        <f t="array" ref="Y26">IFERROR(
MEDIAN((IF(DATOS_[[Sexo]:[Sexo]]=$B26,IF(DATOS_[[AGRUP. VALOR. PTO.]:[AGRUP. VALOR. PTO.]]=$B24,IF(DATOS_[[Check Periodo Ref.]:[Check Periodo Ref.]]="Dentro",DATOS_[Conc.Sal.20]))))),
0)</f>
        <v>0</v>
      </c>
      <c r="Z26" s="170">
        <f t="array" ref="Z26">IFERROR(
MEDIAN((IF(DATOS_[[Sexo]:[Sexo]]=$B26,IF(DATOS_[[AGRUP. VALOR. PTO.]:[AGRUP. VALOR. PTO.]]=$B24,IF(DATOS_[[Check Periodo Ref.]:[Check Periodo Ref.]]="Dentro",DATOS_[Conc.Sal.21]))))),
0)</f>
        <v>0</v>
      </c>
      <c r="AA26" s="170">
        <f t="array" ref="AA26">IFERROR(
MEDIAN((IF(DATOS_[[Sexo]:[Sexo]]=$B26,IF(DATOS_[[AGRUP. VALOR. PTO.]:[AGRUP. VALOR. PTO.]]=$B24,IF(DATOS_[[Check Periodo Ref.]:[Check Periodo Ref.]]="Dentro",DATOS_[Conc.Sal.22]))))),
0)</f>
        <v>0</v>
      </c>
      <c r="AB26" s="170">
        <f t="array" ref="AB26">IFERROR(
MEDIAN((IF(DATOS_[[Sexo]:[Sexo]]=$B26,IF(DATOS_[[AGRUP. VALOR. PTO.]:[AGRUP. VALOR. PTO.]]=$B24,IF(DATOS_[[Check Periodo Ref.]:[Check Periodo Ref.]]="Dentro",DATOS_[Conc.Sal.23]))))),
0)</f>
        <v>0</v>
      </c>
      <c r="AC26" s="170">
        <f t="array" ref="AC26">IFERROR(
MEDIAN((IF(DATOS_[[Sexo]:[Sexo]]=$B26,IF(DATOS_[[AGRUP. VALOR. PTO.]:[AGRUP. VALOR. PTO.]]=$B24,IF(DATOS_[[Check Periodo Ref.]:[Check Periodo Ref.]]="Dentro",DATOS_[Conc.Sal.24]))))),
0)</f>
        <v>0</v>
      </c>
      <c r="AD26" s="170">
        <f t="array" ref="AD26">IFERROR(
MEDIAN((IF(DATOS_[[Sexo]:[Sexo]]=$B26,IF(DATOS_[[AGRUP. VALOR. PTO.]:[AGRUP. VALOR. PTO.]]=$B24,IF(DATOS_[[Check Periodo Ref.]:[Check Periodo Ref.]]="Dentro",DATOS_[Conc.Sal.25]))))),
0)</f>
        <v>0</v>
      </c>
      <c r="AE26" s="170">
        <f t="array" ref="AE26">IFERROR(
MEDIAN((IF(DATOS_[[Sexo]:[Sexo]]=$B26,IF(DATOS_[[AGRUP. VALOR. PTO.]:[AGRUP. VALOR. PTO.]]=$B24,IF(DATOS_[[Check Periodo Ref.]:[Check Periodo Ref.]]="Dentro",DATOS_[Conc.Sal.26]))))),
0)</f>
        <v>0</v>
      </c>
      <c r="AF26" s="170">
        <f t="array" ref="AF26">IFERROR(
MEDIAN((IF(DATOS_[[Sexo]:[Sexo]]=$B26,IF(DATOS_[[AGRUP. VALOR. PTO.]:[AGRUP. VALOR. PTO.]]=$B24,IF(DATOS_[[Check Periodo Ref.]:[Check Periodo Ref.]]="Dentro",DATOS_[Conc.Sal.27]))))),
0)</f>
        <v>0</v>
      </c>
      <c r="AG26" s="170">
        <f t="array" ref="AG26">IFERROR(
MEDIAN((IF(DATOS_[[Sexo]:[Sexo]]=$B26,IF(DATOS_[[AGRUP. VALOR. PTO.]:[AGRUP. VALOR. PTO.]]=$B24,IF(DATOS_[[Check Periodo Ref.]:[Check Periodo Ref.]]="Dentro",DATOS_[Conc.Sal.28]))))),
0)</f>
        <v>0</v>
      </c>
      <c r="AH26" s="170">
        <f t="array" ref="AH26">IFERROR(
MEDIAN((IF(DATOS_[[Sexo]:[Sexo]]=$B26,IF(DATOS_[[AGRUP. VALOR. PTO.]:[AGRUP. VALOR. PTO.]]=$B24,IF(DATOS_[[Check Periodo Ref.]:[Check Periodo Ref.]]="Dentro",DATOS_[Conc.Sal.29]))))),
0)</f>
        <v>0</v>
      </c>
      <c r="AI26" s="170">
        <f t="array" ref="AI26">IFERROR(
MEDIAN((IF(DATOS_[[Sexo]:[Sexo]]=$B26,IF(DATOS_[[AGRUP. VALOR. PTO.]:[AGRUP. VALOR. PTO.]]=$B24,IF(DATOS_[[Check Periodo Ref.]:[Check Periodo Ref.]]="Dentro",DATOS_[Conc.Sal.30]))))),
0)</f>
        <v>0</v>
      </c>
      <c r="AJ26" s="171">
        <f t="array" ref="AJ26">IFERROR(
MEDIAN(IF(DATOS_[Sexo]=$B26,IF(DATOS_[AGRUP. VALOR. PTO.]=$B24,IF(DATOS_[Check Periodo Ref.]="Dentro",DATOS_[Tot COMPL.SAL Ef],FALSE)))),
0)</f>
        <v>0</v>
      </c>
      <c r="AK26" s="172">
        <f t="array" ref="AK26">IFERROR(
MEDIAN(IF(DATOS_[Sexo]=$B26,IF(DATOS_[AGRUP. VALOR. PTO.]=$B24,IF(DATOS_[Check Periodo Ref.]="Dentro",DATOS_[TOTAL SALARIO Ef],FALSE)))),
0)</f>
        <v>0</v>
      </c>
      <c r="AL26" s="173">
        <f t="array" ref="AL26">IFERROR(
MEDIAN((IF(DATOS_[[Sexo]:[Sexo]]=$B26,IF(DATOS_[[AGRUP. VALOR. PTO.]:[AGRUP. VALOR. PTO.]]=$B24,IF(DATOS_[[Check Periodo Ref.]:[Check Periodo Ref.]]="Dentro",DATOS_[C.Extra.01]))))),
0)</f>
        <v>0</v>
      </c>
      <c r="AM26" s="173">
        <f t="array" ref="AM26">IFERROR(
MEDIAN((IF(DATOS_[[Sexo]:[Sexo]]=$B26,IF(DATOS_[[AGRUP. VALOR. PTO.]:[AGRUP. VALOR. PTO.]]=$B24,IF(DATOS_[[Check Periodo Ref.]:[Check Periodo Ref.]]="Dentro",DATOS_[C.Extra.06]))))),
0)</f>
        <v>0</v>
      </c>
      <c r="AN26" s="173">
        <f t="array" ref="AN26">IFERROR(
MEDIAN((IF(DATOS_[[Sexo]:[Sexo]]=$B26,IF(DATOS_[[AGRUP. VALOR. PTO.]:[AGRUP. VALOR. PTO.]]=$B24,IF(DATOS_[[Check Periodo Ref.]:[Check Periodo Ref.]]="Dentro",DATOS_[C.Extra.07]))))),
0)</f>
        <v>0</v>
      </c>
      <c r="AO26" s="173">
        <f t="array" ref="AO26">IFERROR(
MEDIAN((IF(DATOS_[[Sexo]:[Sexo]]=$B26,IF(DATOS_[[AGRUP. VALOR. PTO.]:[AGRUP. VALOR. PTO.]]=$B24,IF(DATOS_[[Check Periodo Ref.]:[Check Periodo Ref.]]="Dentro",DATOS_[C.Extra.08]))))),
0)</f>
        <v>0</v>
      </c>
      <c r="AP26" s="173">
        <f t="array" ref="AP26">IFERROR(
MEDIAN((IF(DATOS_[[Sexo]:[Sexo]]=$B26,IF(DATOS_[[AGRUP. VALOR. PTO.]:[AGRUP. VALOR. PTO.]]=$B24,IF(DATOS_[[Check Periodo Ref.]:[Check Periodo Ref.]]="Dentro",DATOS_[C.Extra.11]))))),
0)</f>
        <v>0</v>
      </c>
      <c r="AQ26" s="174">
        <f t="array" ref="AQ26">IFERROR(
MEDIAN(IF(DATOS_[Sexo]=$B26,IF(DATOS_[AGRUP. VALOR. PTO.]=$B24,IF(DATOS_[Check Periodo Ref.]="Dentro",DATOS_[Tot Extrasalarial Ef],FALSE)))),
0)</f>
        <v>0</v>
      </c>
      <c r="AR26" s="171">
        <f t="array" ref="AR26">IFERROR(
MEDIAN(IF(DATOS_[Sexo]=$B26,IF(DATOS_[AGRUP. VALOR. PTO.]=$B24,IF(DATOS_[Check Periodo Ref.]="Dentro",DATOS_[TOTAL Retrib Ef],FALSE)))),
0)</f>
        <v>0</v>
      </c>
    </row>
    <row r="27" spans="1:44" ht="14.4" thickBot="1" x14ac:dyDescent="0.3">
      <c r="A27" s="178" t="str">
        <f t="shared" ref="A27" si="19">+A28</f>
        <v>[ocultar]</v>
      </c>
      <c r="B27" s="153" t="s">
        <v>193</v>
      </c>
      <c r="C27" s="154"/>
      <c r="D27" s="155"/>
      <c r="E27" s="156" t="str">
        <f t="shared" ref="E27:AR27" si="20">IFERROR((E28-E29)/E28,"")</f>
        <v/>
      </c>
      <c r="F27" s="157" t="str">
        <f t="shared" si="20"/>
        <v/>
      </c>
      <c r="G27" s="158" t="str">
        <f t="shared" si="20"/>
        <v/>
      </c>
      <c r="H27" s="158" t="str">
        <f t="shared" si="20"/>
        <v/>
      </c>
      <c r="I27" s="158" t="str">
        <f t="shared" si="20"/>
        <v/>
      </c>
      <c r="J27" s="159" t="str">
        <f t="shared" si="20"/>
        <v/>
      </c>
      <c r="K27" s="160" t="str">
        <f t="shared" si="20"/>
        <v/>
      </c>
      <c r="L27" s="160" t="str">
        <f t="shared" si="20"/>
        <v/>
      </c>
      <c r="M27" s="160" t="str">
        <f t="shared" si="20"/>
        <v/>
      </c>
      <c r="N27" s="160" t="str">
        <f t="shared" si="20"/>
        <v/>
      </c>
      <c r="O27" s="160" t="str">
        <f t="shared" si="20"/>
        <v/>
      </c>
      <c r="P27" s="160" t="str">
        <f t="shared" si="20"/>
        <v/>
      </c>
      <c r="Q27" s="160" t="str">
        <f t="shared" si="20"/>
        <v/>
      </c>
      <c r="R27" s="160" t="str">
        <f t="shared" si="20"/>
        <v/>
      </c>
      <c r="S27" s="160" t="str">
        <f t="shared" si="20"/>
        <v/>
      </c>
      <c r="T27" s="160" t="str">
        <f t="shared" si="20"/>
        <v/>
      </c>
      <c r="U27" s="160" t="str">
        <f t="shared" si="20"/>
        <v/>
      </c>
      <c r="V27" s="159" t="str">
        <f t="shared" si="20"/>
        <v/>
      </c>
      <c r="W27" s="159" t="str">
        <f t="shared" si="20"/>
        <v/>
      </c>
      <c r="X27" s="159" t="str">
        <f t="shared" si="20"/>
        <v/>
      </c>
      <c r="Y27" s="159" t="str">
        <f t="shared" si="20"/>
        <v/>
      </c>
      <c r="Z27" s="159" t="str">
        <f t="shared" si="20"/>
        <v/>
      </c>
      <c r="AA27" s="159" t="str">
        <f t="shared" si="20"/>
        <v/>
      </c>
      <c r="AB27" s="159" t="str">
        <f t="shared" si="20"/>
        <v/>
      </c>
      <c r="AC27" s="159" t="str">
        <f t="shared" si="20"/>
        <v/>
      </c>
      <c r="AD27" s="159" t="str">
        <f t="shared" si="20"/>
        <v/>
      </c>
      <c r="AE27" s="159" t="str">
        <f t="shared" si="20"/>
        <v/>
      </c>
      <c r="AF27" s="159" t="str">
        <f t="shared" si="20"/>
        <v/>
      </c>
      <c r="AG27" s="159" t="str">
        <f t="shared" si="20"/>
        <v/>
      </c>
      <c r="AH27" s="159" t="str">
        <f t="shared" si="20"/>
        <v/>
      </c>
      <c r="AI27" s="159" t="str">
        <f t="shared" si="20"/>
        <v/>
      </c>
      <c r="AJ27" s="161" t="str">
        <f t="shared" si="20"/>
        <v/>
      </c>
      <c r="AK27" s="162" t="str">
        <f t="shared" si="20"/>
        <v/>
      </c>
      <c r="AL27" s="163" t="str">
        <f t="shared" si="20"/>
        <v/>
      </c>
      <c r="AM27" s="163" t="str">
        <f t="shared" si="20"/>
        <v/>
      </c>
      <c r="AN27" s="163" t="str">
        <f t="shared" si="20"/>
        <v/>
      </c>
      <c r="AO27" s="163" t="str">
        <f t="shared" si="20"/>
        <v/>
      </c>
      <c r="AP27" s="163" t="str">
        <f t="shared" si="20"/>
        <v/>
      </c>
      <c r="AQ27" s="164" t="str">
        <f t="shared" si="20"/>
        <v/>
      </c>
      <c r="AR27" s="161" t="str">
        <f t="shared" si="20"/>
        <v/>
      </c>
    </row>
    <row r="28" spans="1:44" x14ac:dyDescent="0.25">
      <c r="A28" s="178" t="str">
        <f t="shared" ref="A28" si="21">+IF(C28+C29=0,"[ocultar]","")</f>
        <v>[ocultar]</v>
      </c>
      <c r="B28" s="166" t="s">
        <v>394</v>
      </c>
      <c r="C28" s="167">
        <f t="array" ref="C28">SUM(IF($B28=DATOS_[Sexo],
IF($B27=DATOS_[AGRUP. VALOR. PTO.],
IF("Dentro"=DATOS_[Check Periodo Ref.],
1/(COUNTIFS(DATOS_[Sexo],$B28,DATOS_[AGRUP. VALOR. PTO.],$B27,DATOS_[Check Periodo Ref.],"Dentro",DATOS_[id/cod],DATOS_[id/cod]))))))</f>
        <v>0</v>
      </c>
      <c r="D28" s="168">
        <f>COUNTIFS(DATOS_[AGRUP. VALOR. PTO.],$B27,DATOS_[Sexo],$B28,DATOS_[Check Periodo Ref.],"Dentro")</f>
        <v>0</v>
      </c>
      <c r="E28" s="169">
        <f t="array" ref="E28">IFERROR(
MEDIAN(IF(DATOS_[Sexo]=$B28,IF(DATOS_[AGRUP. VALOR. PTO.]=$B27,IF(DATOS_[Check Periodo Ref.]="Dentro",DATOS_[SALARIO BASE Ef],FALSE)))),
0)</f>
        <v>0</v>
      </c>
      <c r="F28" s="170">
        <f t="array" ref="F28">IFERROR(
MEDIAN((IF(DATOS_[[Sexo]:[Sexo]]=$B28,IF(DATOS_[[AGRUP. VALOR. PTO.]:[AGRUP. VALOR. PTO.]]=$B27,IF(DATOS_[[Check Periodo Ref.]:[Check Periodo Ref.]]="Dentro",DATOS_[Conc.Sal.01]))))),
0)</f>
        <v>0</v>
      </c>
      <c r="G28" s="170">
        <f t="array" ref="G28">IFERROR(
MEDIAN((IF(DATOS_[[Sexo]:[Sexo]]=$B28,IF(DATOS_[[AGRUP. VALOR. PTO.]:[AGRUP. VALOR. PTO.]]=$B27,IF(DATOS_[[Check Periodo Ref.]:[Check Periodo Ref.]]="Dentro",DATOS_[Conc.Sal.02]))))),
0)</f>
        <v>0</v>
      </c>
      <c r="H28" s="170">
        <f t="array" ref="H28">IFERROR(
MEDIAN((IF(DATOS_[[Sexo]:[Sexo]]=$B28,IF(DATOS_[[AGRUP. VALOR. PTO.]:[AGRUP. VALOR. PTO.]]=$B27,IF(DATOS_[[Check Periodo Ref.]:[Check Periodo Ref.]]="Dentro",DATOS_[Conc.Sal.03]))))),
0)</f>
        <v>0</v>
      </c>
      <c r="I28" s="170">
        <f t="array" ref="I28">IFERROR(
MEDIAN((IF(DATOS_[[Sexo]:[Sexo]]=$B28,IF(DATOS_[[AGRUP. VALOR. PTO.]:[AGRUP. VALOR. PTO.]]=$B27,IF(DATOS_[[Check Periodo Ref.]:[Check Periodo Ref.]]="Dentro",DATOS_[Conc.Sal.04]))))),
0)</f>
        <v>0</v>
      </c>
      <c r="J28" s="170">
        <f t="array" ref="J28">IFERROR(
MEDIAN((IF(DATOS_[[Sexo]:[Sexo]]=$B28,IF(DATOS_[[AGRUP. VALOR. PTO.]:[AGRUP. VALOR. PTO.]]=$B27,IF(DATOS_[[Check Periodo Ref.]:[Check Periodo Ref.]]="Dentro",DATOS_[Conc.Sal.05]))))),
0)</f>
        <v>0</v>
      </c>
      <c r="K28" s="170">
        <f t="array" ref="K28">IFERROR(
MEDIAN((IF(DATOS_[[Sexo]:[Sexo]]=$B28,IF(DATOS_[[AGRUP. VALOR. PTO.]:[AGRUP. VALOR. PTO.]]=$B27,IF(DATOS_[[Check Periodo Ref.]:[Check Periodo Ref.]]="Dentro",DATOS_[Conc.Sal.06]))))),
0)</f>
        <v>0</v>
      </c>
      <c r="L28" s="170">
        <f t="array" ref="L28">IFERROR(
MEDIAN((IF(DATOS_[[Sexo]:[Sexo]]=$B28,IF(DATOS_[[AGRUP. VALOR. PTO.]:[AGRUP. VALOR. PTO.]]=$B27,IF(DATOS_[[Check Periodo Ref.]:[Check Periodo Ref.]]="Dentro",DATOS_[Conc.Sal.07]))))),
0)</f>
        <v>0</v>
      </c>
      <c r="M28" s="170">
        <f t="array" ref="M28">IFERROR(
MEDIAN((IF(DATOS_[[Sexo]:[Sexo]]=$B28,IF(DATOS_[[AGRUP. VALOR. PTO.]:[AGRUP. VALOR. PTO.]]=$B27,IF(DATOS_[[Check Periodo Ref.]:[Check Periodo Ref.]]="Dentro",DATOS_[Conc.Sal.08]))))),
0)</f>
        <v>0</v>
      </c>
      <c r="N28" s="170">
        <f t="array" ref="N28">IFERROR(
MEDIAN((IF(DATOS_[[Sexo]:[Sexo]]=$B28,IF(DATOS_[[AGRUP. VALOR. PTO.]:[AGRUP. VALOR. PTO.]]=$B27,IF(DATOS_[[Check Periodo Ref.]:[Check Periodo Ref.]]="Dentro",DATOS_[Conc.Sal.09]))))),
0)</f>
        <v>0</v>
      </c>
      <c r="O28" s="170">
        <f t="array" ref="O28">IFERROR(
MEDIAN((IF(DATOS_[[Sexo]:[Sexo]]=$B28,IF(DATOS_[[AGRUP. VALOR. PTO.]:[AGRUP. VALOR. PTO.]]=$B27,IF(DATOS_[[Check Periodo Ref.]:[Check Periodo Ref.]]="Dentro",DATOS_[Conc.Sal.10]))))),
0)</f>
        <v>0</v>
      </c>
      <c r="P28" s="170">
        <f t="array" ref="P28">IFERROR(
MEDIAN((IF(DATOS_[[Sexo]:[Sexo]]=$B28,IF(DATOS_[[AGRUP. VALOR. PTO.]:[AGRUP. VALOR. PTO.]]=$B27,IF(DATOS_[[Check Periodo Ref.]:[Check Periodo Ref.]]="Dentro",DATOS_[Conc.Sal.11]))))),
0)</f>
        <v>0</v>
      </c>
      <c r="Q28" s="170">
        <f t="array" ref="Q28">IFERROR(
MEDIAN((IF(DATOS_[[Sexo]:[Sexo]]=$B28,IF(DATOS_[[AGRUP. VALOR. PTO.]:[AGRUP. VALOR. PTO.]]=$B27,IF(DATOS_[[Check Periodo Ref.]:[Check Periodo Ref.]]="Dentro",DATOS_[Conc.Sal.12]))))),
0)</f>
        <v>0</v>
      </c>
      <c r="R28" s="170">
        <f t="array" ref="R28">IFERROR(
MEDIAN((IF(DATOS_[[Sexo]:[Sexo]]=$B28,IF(DATOS_[[AGRUP. VALOR. PTO.]:[AGRUP. VALOR. PTO.]]=$B27,IF(DATOS_[[Check Periodo Ref.]:[Check Periodo Ref.]]="Dentro",DATOS_[Conc.Sal.13]))))),
0)</f>
        <v>0</v>
      </c>
      <c r="S28" s="170">
        <f t="array" ref="S28">IFERROR(
MEDIAN((IF(DATOS_[[Sexo]:[Sexo]]=$B28,IF(DATOS_[[AGRUP. VALOR. PTO.]:[AGRUP. VALOR. PTO.]]=$B27,IF(DATOS_[[Check Periodo Ref.]:[Check Periodo Ref.]]="Dentro",DATOS_[Conc.Sal.14]))))),
0)</f>
        <v>0</v>
      </c>
      <c r="T28" s="170">
        <f t="array" ref="T28">IFERROR(
MEDIAN((IF(DATOS_[[Sexo]:[Sexo]]=$B28,IF(DATOS_[[AGRUP. VALOR. PTO.]:[AGRUP. VALOR. PTO.]]=$B27,IF(DATOS_[[Check Periodo Ref.]:[Check Periodo Ref.]]="Dentro",DATOS_[Conc.Sal.15]))))),
0)</f>
        <v>0</v>
      </c>
      <c r="U28" s="170">
        <f t="array" ref="U28">IFERROR(
MEDIAN((IF(DATOS_[[Sexo]:[Sexo]]=$B28,IF(DATOS_[[AGRUP. VALOR. PTO.]:[AGRUP. VALOR. PTO.]]=$B27,IF(DATOS_[[Check Periodo Ref.]:[Check Periodo Ref.]]="Dentro",DATOS_[Conc.Sal.16]))))),
0)</f>
        <v>0</v>
      </c>
      <c r="V28" s="170">
        <f t="array" ref="V28">IFERROR(
MEDIAN((IF(DATOS_[[Sexo]:[Sexo]]=$B28,IF(DATOS_[[AGRUP. VALOR. PTO.]:[AGRUP. VALOR. PTO.]]=$B27,IF(DATOS_[[Check Periodo Ref.]:[Check Periodo Ref.]]="Dentro",DATOS_[Conc.Sal.17]))))),
0)</f>
        <v>0</v>
      </c>
      <c r="W28" s="170">
        <f t="array" ref="W28">IFERROR(
MEDIAN((IF(DATOS_[[Sexo]:[Sexo]]=$B28,IF(DATOS_[[AGRUP. VALOR. PTO.]:[AGRUP. VALOR. PTO.]]=$B27,IF(DATOS_[[Check Periodo Ref.]:[Check Periodo Ref.]]="Dentro",DATOS_[Conc.Sal.18]))))),
0)</f>
        <v>0</v>
      </c>
      <c r="X28" s="170">
        <f t="array" ref="X28">IFERROR(
MEDIAN((IF(DATOS_[[Sexo]:[Sexo]]=$B28,IF(DATOS_[[AGRUP. VALOR. PTO.]:[AGRUP. VALOR. PTO.]]=$B27,IF(DATOS_[[Check Periodo Ref.]:[Check Periodo Ref.]]="Dentro",DATOS_[Conc.Sal.19]))))),
0)</f>
        <v>0</v>
      </c>
      <c r="Y28" s="170">
        <f t="array" ref="Y28">IFERROR(
MEDIAN((IF(DATOS_[[Sexo]:[Sexo]]=$B28,IF(DATOS_[[AGRUP. VALOR. PTO.]:[AGRUP. VALOR. PTO.]]=$B27,IF(DATOS_[[Check Periodo Ref.]:[Check Periodo Ref.]]="Dentro",DATOS_[Conc.Sal.20]))))),
0)</f>
        <v>0</v>
      </c>
      <c r="Z28" s="170">
        <f t="array" ref="Z28">IFERROR(
MEDIAN((IF(DATOS_[[Sexo]:[Sexo]]=$B28,IF(DATOS_[[AGRUP. VALOR. PTO.]:[AGRUP. VALOR. PTO.]]=$B27,IF(DATOS_[[Check Periodo Ref.]:[Check Periodo Ref.]]="Dentro",DATOS_[Conc.Sal.21]))))),
0)</f>
        <v>0</v>
      </c>
      <c r="AA28" s="170">
        <f t="array" ref="AA28">IFERROR(
MEDIAN((IF(DATOS_[[Sexo]:[Sexo]]=$B28,IF(DATOS_[[AGRUP. VALOR. PTO.]:[AGRUP. VALOR. PTO.]]=$B27,IF(DATOS_[[Check Periodo Ref.]:[Check Periodo Ref.]]="Dentro",DATOS_[Conc.Sal.22]))))),
0)</f>
        <v>0</v>
      </c>
      <c r="AB28" s="170">
        <f t="array" ref="AB28">IFERROR(
MEDIAN((IF(DATOS_[[Sexo]:[Sexo]]=$B28,IF(DATOS_[[AGRUP. VALOR. PTO.]:[AGRUP. VALOR. PTO.]]=$B27,IF(DATOS_[[Check Periodo Ref.]:[Check Periodo Ref.]]="Dentro",DATOS_[Conc.Sal.23]))))),
0)</f>
        <v>0</v>
      </c>
      <c r="AC28" s="170">
        <f t="array" ref="AC28">IFERROR(
MEDIAN((IF(DATOS_[[Sexo]:[Sexo]]=$B28,IF(DATOS_[[AGRUP. VALOR. PTO.]:[AGRUP. VALOR. PTO.]]=$B27,IF(DATOS_[[Check Periodo Ref.]:[Check Periodo Ref.]]="Dentro",DATOS_[Conc.Sal.24]))))),
0)</f>
        <v>0</v>
      </c>
      <c r="AD28" s="170">
        <f t="array" ref="AD28">IFERROR(
MEDIAN((IF(DATOS_[[Sexo]:[Sexo]]=$B28,IF(DATOS_[[AGRUP. VALOR. PTO.]:[AGRUP. VALOR. PTO.]]=$B27,IF(DATOS_[[Check Periodo Ref.]:[Check Periodo Ref.]]="Dentro",DATOS_[Conc.Sal.25]))))),
0)</f>
        <v>0</v>
      </c>
      <c r="AE28" s="170">
        <f t="array" ref="AE28">IFERROR(
MEDIAN((IF(DATOS_[[Sexo]:[Sexo]]=$B28,IF(DATOS_[[AGRUP. VALOR. PTO.]:[AGRUP. VALOR. PTO.]]=$B27,IF(DATOS_[[Check Periodo Ref.]:[Check Periodo Ref.]]="Dentro",DATOS_[Conc.Sal.26]))))),
0)</f>
        <v>0</v>
      </c>
      <c r="AF28" s="170">
        <f t="array" ref="AF28">IFERROR(
MEDIAN((IF(DATOS_[[Sexo]:[Sexo]]=$B28,IF(DATOS_[[AGRUP. VALOR. PTO.]:[AGRUP. VALOR. PTO.]]=$B27,IF(DATOS_[[Check Periodo Ref.]:[Check Periodo Ref.]]="Dentro",DATOS_[Conc.Sal.27]))))),
0)</f>
        <v>0</v>
      </c>
      <c r="AG28" s="170">
        <f t="array" ref="AG28">IFERROR(
MEDIAN((IF(DATOS_[[Sexo]:[Sexo]]=$B28,IF(DATOS_[[AGRUP. VALOR. PTO.]:[AGRUP. VALOR. PTO.]]=$B27,IF(DATOS_[[Check Periodo Ref.]:[Check Periodo Ref.]]="Dentro",DATOS_[Conc.Sal.28]))))),
0)</f>
        <v>0</v>
      </c>
      <c r="AH28" s="170">
        <f t="array" ref="AH28">IFERROR(
MEDIAN((IF(DATOS_[[Sexo]:[Sexo]]=$B28,IF(DATOS_[[AGRUP. VALOR. PTO.]:[AGRUP. VALOR. PTO.]]=$B27,IF(DATOS_[[Check Periodo Ref.]:[Check Periodo Ref.]]="Dentro",DATOS_[Conc.Sal.29]))))),
0)</f>
        <v>0</v>
      </c>
      <c r="AI28" s="170">
        <f t="array" ref="AI28">IFERROR(
MEDIAN((IF(DATOS_[[Sexo]:[Sexo]]=$B28,IF(DATOS_[[AGRUP. VALOR. PTO.]:[AGRUP. VALOR. PTO.]]=$B27,IF(DATOS_[[Check Periodo Ref.]:[Check Periodo Ref.]]="Dentro",DATOS_[Conc.Sal.30]))))),
0)</f>
        <v>0</v>
      </c>
      <c r="AJ28" s="171">
        <f t="array" ref="AJ28">IFERROR(
MEDIAN(IF(DATOS_[Sexo]=$B28,IF(DATOS_[AGRUP. VALOR. PTO.]=$B27,IF(DATOS_[Check Periodo Ref.]="Dentro",DATOS_[Tot COMPL.SAL Ef],FALSE)))),
0)</f>
        <v>0</v>
      </c>
      <c r="AK28" s="172">
        <f t="array" ref="AK28">IFERROR(
MEDIAN(IF(DATOS_[Sexo]=$B28,IF(DATOS_[AGRUP. VALOR. PTO.]=$B27,IF(DATOS_[Check Periodo Ref.]="Dentro",DATOS_[TOTAL SALARIO Ef],FALSE)))),
0)</f>
        <v>0</v>
      </c>
      <c r="AL28" s="173">
        <f t="array" ref="AL28">IFERROR(
MEDIAN((IF(DATOS_[[Sexo]:[Sexo]]=$B28,IF(DATOS_[[AGRUP. VALOR. PTO.]:[AGRUP. VALOR. PTO.]]=$B27,IF(DATOS_[[Check Periodo Ref.]:[Check Periodo Ref.]]="Dentro",DATOS_[C.Extra.01]))))),
0)</f>
        <v>0</v>
      </c>
      <c r="AM28" s="173">
        <f t="array" ref="AM28">IFERROR(
MEDIAN((IF(DATOS_[[Sexo]:[Sexo]]=$B28,IF(DATOS_[[AGRUP. VALOR. PTO.]:[AGRUP. VALOR. PTO.]]=$B27,IF(DATOS_[[Check Periodo Ref.]:[Check Periodo Ref.]]="Dentro",DATOS_[C.Extra.06]))))),
0)</f>
        <v>0</v>
      </c>
      <c r="AN28" s="173">
        <f t="array" ref="AN28">IFERROR(
MEDIAN((IF(DATOS_[[Sexo]:[Sexo]]=$B28,IF(DATOS_[[AGRUP. VALOR. PTO.]:[AGRUP. VALOR. PTO.]]=$B27,IF(DATOS_[[Check Periodo Ref.]:[Check Periodo Ref.]]="Dentro",DATOS_[C.Extra.07]))))),
0)</f>
        <v>0</v>
      </c>
      <c r="AO28" s="173">
        <f t="array" ref="AO28">IFERROR(
MEDIAN((IF(DATOS_[[Sexo]:[Sexo]]=$B28,IF(DATOS_[[AGRUP. VALOR. PTO.]:[AGRUP. VALOR. PTO.]]=$B27,IF(DATOS_[[Check Periodo Ref.]:[Check Periodo Ref.]]="Dentro",DATOS_[C.Extra.08]))))),
0)</f>
        <v>0</v>
      </c>
      <c r="AP28" s="173">
        <f t="array" ref="AP28">IFERROR(
MEDIAN((IF(DATOS_[[Sexo]:[Sexo]]=$B28,IF(DATOS_[[AGRUP. VALOR. PTO.]:[AGRUP. VALOR. PTO.]]=$B27,IF(DATOS_[[Check Periodo Ref.]:[Check Periodo Ref.]]="Dentro",DATOS_[C.Extra.11]))))),
0)</f>
        <v>0</v>
      </c>
      <c r="AQ28" s="174">
        <f t="array" ref="AQ28">IFERROR(
MEDIAN(IF(DATOS_[Sexo]=$B28,IF(DATOS_[AGRUP. VALOR. PTO.]=$B27,IF(DATOS_[Check Periodo Ref.]="Dentro",DATOS_[Tot Extrasalarial Ef],FALSE)))),
0)</f>
        <v>0</v>
      </c>
      <c r="AR28" s="171">
        <f t="array" ref="AR28">IFERROR(
MEDIAN(IF(DATOS_[Sexo]=$B28,IF(DATOS_[AGRUP. VALOR. PTO.]=$B27,IF(DATOS_[Check Periodo Ref.]="Dentro",DATOS_[TOTAL Retrib Ef],FALSE)))),
0)</f>
        <v>0</v>
      </c>
    </row>
    <row r="29" spans="1:44" x14ac:dyDescent="0.25">
      <c r="A29" s="178" t="str">
        <f t="shared" ref="A29" si="22">+A28</f>
        <v>[ocultar]</v>
      </c>
      <c r="B29" s="166" t="s">
        <v>521</v>
      </c>
      <c r="C29" s="167">
        <f t="array" ref="C29">SUM(IF($B29=DATOS_[Sexo],
IF($B27=DATOS_[AGRUP. VALOR. PTO.],
IF("Dentro"=DATOS_[Check Periodo Ref.],
1/(COUNTIFS(DATOS_[Sexo],$B29,DATOS_[AGRUP. VALOR. PTO.],$B27,DATOS_[Check Periodo Ref.],"Dentro",DATOS_[id/cod],DATOS_[id/cod]))))))</f>
        <v>0</v>
      </c>
      <c r="D29" s="168">
        <f>COUNTIFS(DATOS_[AGRUP. VALOR. PTO.],$B27,DATOS_[Sexo],$B29,DATOS_[Check Periodo Ref.],"Dentro")</f>
        <v>0</v>
      </c>
      <c r="E29" s="169">
        <f t="array" ref="E29">IFERROR(
MEDIAN(IF(DATOS_[Sexo]=$B29,IF(DATOS_[AGRUP. VALOR. PTO.]=$B27,IF(DATOS_[Check Periodo Ref.]="Dentro",DATOS_[SALARIO BASE Ef],FALSE)))),
0)</f>
        <v>0</v>
      </c>
      <c r="F29" s="170">
        <f t="array" ref="F29">IFERROR(
MEDIAN((IF(DATOS_[[Sexo]:[Sexo]]=$B29,IF(DATOS_[[AGRUP. VALOR. PTO.]:[AGRUP. VALOR. PTO.]]=$B27,IF(DATOS_[[Check Periodo Ref.]:[Check Periodo Ref.]]="Dentro",DATOS_[Conc.Sal.01]))))),
0)</f>
        <v>0</v>
      </c>
      <c r="G29" s="170">
        <f t="array" ref="G29">IFERROR(
MEDIAN((IF(DATOS_[[Sexo]:[Sexo]]=$B29,IF(DATOS_[[AGRUP. VALOR. PTO.]:[AGRUP. VALOR. PTO.]]=$B27,IF(DATOS_[[Check Periodo Ref.]:[Check Periodo Ref.]]="Dentro",DATOS_[Conc.Sal.02]))))),
0)</f>
        <v>0</v>
      </c>
      <c r="H29" s="170">
        <f t="array" ref="H29">IFERROR(
MEDIAN((IF(DATOS_[[Sexo]:[Sexo]]=$B29,IF(DATOS_[[AGRUP. VALOR. PTO.]:[AGRUP. VALOR. PTO.]]=$B27,IF(DATOS_[[Check Periodo Ref.]:[Check Periodo Ref.]]="Dentro",DATOS_[Conc.Sal.03]))))),
0)</f>
        <v>0</v>
      </c>
      <c r="I29" s="170">
        <f t="array" ref="I29">IFERROR(
MEDIAN((IF(DATOS_[[Sexo]:[Sexo]]=$B29,IF(DATOS_[[AGRUP. VALOR. PTO.]:[AGRUP. VALOR. PTO.]]=$B27,IF(DATOS_[[Check Periodo Ref.]:[Check Periodo Ref.]]="Dentro",DATOS_[Conc.Sal.04]))))),
0)</f>
        <v>0</v>
      </c>
      <c r="J29" s="170">
        <f t="array" ref="J29">IFERROR(
MEDIAN((IF(DATOS_[[Sexo]:[Sexo]]=$B29,IF(DATOS_[[AGRUP. VALOR. PTO.]:[AGRUP. VALOR. PTO.]]=$B27,IF(DATOS_[[Check Periodo Ref.]:[Check Periodo Ref.]]="Dentro",DATOS_[Conc.Sal.05]))))),
0)</f>
        <v>0</v>
      </c>
      <c r="K29" s="170">
        <f t="array" ref="K29">IFERROR(
MEDIAN((IF(DATOS_[[Sexo]:[Sexo]]=$B29,IF(DATOS_[[AGRUP. VALOR. PTO.]:[AGRUP. VALOR. PTO.]]=$B27,IF(DATOS_[[Check Periodo Ref.]:[Check Periodo Ref.]]="Dentro",DATOS_[Conc.Sal.06]))))),
0)</f>
        <v>0</v>
      </c>
      <c r="L29" s="170">
        <f t="array" ref="L29">IFERROR(
MEDIAN((IF(DATOS_[[Sexo]:[Sexo]]=$B29,IF(DATOS_[[AGRUP. VALOR. PTO.]:[AGRUP. VALOR. PTO.]]=$B27,IF(DATOS_[[Check Periodo Ref.]:[Check Periodo Ref.]]="Dentro",DATOS_[Conc.Sal.07]))))),
0)</f>
        <v>0</v>
      </c>
      <c r="M29" s="170">
        <f t="array" ref="M29">IFERROR(
MEDIAN((IF(DATOS_[[Sexo]:[Sexo]]=$B29,IF(DATOS_[[AGRUP. VALOR. PTO.]:[AGRUP. VALOR. PTO.]]=$B27,IF(DATOS_[[Check Periodo Ref.]:[Check Periodo Ref.]]="Dentro",DATOS_[Conc.Sal.08]))))),
0)</f>
        <v>0</v>
      </c>
      <c r="N29" s="170">
        <f t="array" ref="N29">IFERROR(
MEDIAN((IF(DATOS_[[Sexo]:[Sexo]]=$B29,IF(DATOS_[[AGRUP. VALOR. PTO.]:[AGRUP. VALOR. PTO.]]=$B27,IF(DATOS_[[Check Periodo Ref.]:[Check Periodo Ref.]]="Dentro",DATOS_[Conc.Sal.09]))))),
0)</f>
        <v>0</v>
      </c>
      <c r="O29" s="170">
        <f t="array" ref="O29">IFERROR(
MEDIAN((IF(DATOS_[[Sexo]:[Sexo]]=$B29,IF(DATOS_[[AGRUP. VALOR. PTO.]:[AGRUP. VALOR. PTO.]]=$B27,IF(DATOS_[[Check Periodo Ref.]:[Check Periodo Ref.]]="Dentro",DATOS_[Conc.Sal.10]))))),
0)</f>
        <v>0</v>
      </c>
      <c r="P29" s="170">
        <f t="array" ref="P29">IFERROR(
MEDIAN((IF(DATOS_[[Sexo]:[Sexo]]=$B29,IF(DATOS_[[AGRUP. VALOR. PTO.]:[AGRUP. VALOR. PTO.]]=$B27,IF(DATOS_[[Check Periodo Ref.]:[Check Periodo Ref.]]="Dentro",DATOS_[Conc.Sal.11]))))),
0)</f>
        <v>0</v>
      </c>
      <c r="Q29" s="170">
        <f t="array" ref="Q29">IFERROR(
MEDIAN((IF(DATOS_[[Sexo]:[Sexo]]=$B29,IF(DATOS_[[AGRUP. VALOR. PTO.]:[AGRUP. VALOR. PTO.]]=$B27,IF(DATOS_[[Check Periodo Ref.]:[Check Periodo Ref.]]="Dentro",DATOS_[Conc.Sal.12]))))),
0)</f>
        <v>0</v>
      </c>
      <c r="R29" s="170">
        <f t="array" ref="R29">IFERROR(
MEDIAN((IF(DATOS_[[Sexo]:[Sexo]]=$B29,IF(DATOS_[[AGRUP. VALOR. PTO.]:[AGRUP. VALOR. PTO.]]=$B27,IF(DATOS_[[Check Periodo Ref.]:[Check Periodo Ref.]]="Dentro",DATOS_[Conc.Sal.13]))))),
0)</f>
        <v>0</v>
      </c>
      <c r="S29" s="170">
        <f t="array" ref="S29">IFERROR(
MEDIAN((IF(DATOS_[[Sexo]:[Sexo]]=$B29,IF(DATOS_[[AGRUP. VALOR. PTO.]:[AGRUP. VALOR. PTO.]]=$B27,IF(DATOS_[[Check Periodo Ref.]:[Check Periodo Ref.]]="Dentro",DATOS_[Conc.Sal.14]))))),
0)</f>
        <v>0</v>
      </c>
      <c r="T29" s="170">
        <f t="array" ref="T29">IFERROR(
MEDIAN((IF(DATOS_[[Sexo]:[Sexo]]=$B29,IF(DATOS_[[AGRUP. VALOR. PTO.]:[AGRUP. VALOR. PTO.]]=$B27,IF(DATOS_[[Check Periodo Ref.]:[Check Periodo Ref.]]="Dentro",DATOS_[Conc.Sal.15]))))),
0)</f>
        <v>0</v>
      </c>
      <c r="U29" s="170">
        <f t="array" ref="U29">IFERROR(
MEDIAN((IF(DATOS_[[Sexo]:[Sexo]]=$B29,IF(DATOS_[[AGRUP. VALOR. PTO.]:[AGRUP. VALOR. PTO.]]=$B27,IF(DATOS_[[Check Periodo Ref.]:[Check Periodo Ref.]]="Dentro",DATOS_[Conc.Sal.16]))))),
0)</f>
        <v>0</v>
      </c>
      <c r="V29" s="170">
        <f t="array" ref="V29">IFERROR(
MEDIAN((IF(DATOS_[[Sexo]:[Sexo]]=$B29,IF(DATOS_[[AGRUP. VALOR. PTO.]:[AGRUP. VALOR. PTO.]]=$B27,IF(DATOS_[[Check Periodo Ref.]:[Check Periodo Ref.]]="Dentro",DATOS_[Conc.Sal.17]))))),
0)</f>
        <v>0</v>
      </c>
      <c r="W29" s="170">
        <f t="array" ref="W29">IFERROR(
MEDIAN((IF(DATOS_[[Sexo]:[Sexo]]=$B29,IF(DATOS_[[AGRUP. VALOR. PTO.]:[AGRUP. VALOR. PTO.]]=$B27,IF(DATOS_[[Check Periodo Ref.]:[Check Periodo Ref.]]="Dentro",DATOS_[Conc.Sal.18]))))),
0)</f>
        <v>0</v>
      </c>
      <c r="X29" s="170">
        <f t="array" ref="X29">IFERROR(
MEDIAN((IF(DATOS_[[Sexo]:[Sexo]]=$B29,IF(DATOS_[[AGRUP. VALOR. PTO.]:[AGRUP. VALOR. PTO.]]=$B27,IF(DATOS_[[Check Periodo Ref.]:[Check Periodo Ref.]]="Dentro",DATOS_[Conc.Sal.19]))))),
0)</f>
        <v>0</v>
      </c>
      <c r="Y29" s="170">
        <f t="array" ref="Y29">IFERROR(
MEDIAN((IF(DATOS_[[Sexo]:[Sexo]]=$B29,IF(DATOS_[[AGRUP. VALOR. PTO.]:[AGRUP. VALOR. PTO.]]=$B27,IF(DATOS_[[Check Periodo Ref.]:[Check Periodo Ref.]]="Dentro",DATOS_[Conc.Sal.20]))))),
0)</f>
        <v>0</v>
      </c>
      <c r="Z29" s="170">
        <f t="array" ref="Z29">IFERROR(
MEDIAN((IF(DATOS_[[Sexo]:[Sexo]]=$B29,IF(DATOS_[[AGRUP. VALOR. PTO.]:[AGRUP. VALOR. PTO.]]=$B27,IF(DATOS_[[Check Periodo Ref.]:[Check Periodo Ref.]]="Dentro",DATOS_[Conc.Sal.21]))))),
0)</f>
        <v>0</v>
      </c>
      <c r="AA29" s="170">
        <f t="array" ref="AA29">IFERROR(
MEDIAN((IF(DATOS_[[Sexo]:[Sexo]]=$B29,IF(DATOS_[[AGRUP. VALOR. PTO.]:[AGRUP. VALOR. PTO.]]=$B27,IF(DATOS_[[Check Periodo Ref.]:[Check Periodo Ref.]]="Dentro",DATOS_[Conc.Sal.22]))))),
0)</f>
        <v>0</v>
      </c>
      <c r="AB29" s="170">
        <f t="array" ref="AB29">IFERROR(
MEDIAN((IF(DATOS_[[Sexo]:[Sexo]]=$B29,IF(DATOS_[[AGRUP. VALOR. PTO.]:[AGRUP. VALOR. PTO.]]=$B27,IF(DATOS_[[Check Periodo Ref.]:[Check Periodo Ref.]]="Dentro",DATOS_[Conc.Sal.23]))))),
0)</f>
        <v>0</v>
      </c>
      <c r="AC29" s="170">
        <f t="array" ref="AC29">IFERROR(
MEDIAN((IF(DATOS_[[Sexo]:[Sexo]]=$B29,IF(DATOS_[[AGRUP. VALOR. PTO.]:[AGRUP. VALOR. PTO.]]=$B27,IF(DATOS_[[Check Periodo Ref.]:[Check Periodo Ref.]]="Dentro",DATOS_[Conc.Sal.24]))))),
0)</f>
        <v>0</v>
      </c>
      <c r="AD29" s="170">
        <f t="array" ref="AD29">IFERROR(
MEDIAN((IF(DATOS_[[Sexo]:[Sexo]]=$B29,IF(DATOS_[[AGRUP. VALOR. PTO.]:[AGRUP. VALOR. PTO.]]=$B27,IF(DATOS_[[Check Periodo Ref.]:[Check Periodo Ref.]]="Dentro",DATOS_[Conc.Sal.25]))))),
0)</f>
        <v>0</v>
      </c>
      <c r="AE29" s="170">
        <f t="array" ref="AE29">IFERROR(
MEDIAN((IF(DATOS_[[Sexo]:[Sexo]]=$B29,IF(DATOS_[[AGRUP. VALOR. PTO.]:[AGRUP. VALOR. PTO.]]=$B27,IF(DATOS_[[Check Periodo Ref.]:[Check Periodo Ref.]]="Dentro",DATOS_[Conc.Sal.26]))))),
0)</f>
        <v>0</v>
      </c>
      <c r="AF29" s="170">
        <f t="array" ref="AF29">IFERROR(
MEDIAN((IF(DATOS_[[Sexo]:[Sexo]]=$B29,IF(DATOS_[[AGRUP. VALOR. PTO.]:[AGRUP. VALOR. PTO.]]=$B27,IF(DATOS_[[Check Periodo Ref.]:[Check Periodo Ref.]]="Dentro",DATOS_[Conc.Sal.27]))))),
0)</f>
        <v>0</v>
      </c>
      <c r="AG29" s="170">
        <f t="array" ref="AG29">IFERROR(
MEDIAN((IF(DATOS_[[Sexo]:[Sexo]]=$B29,IF(DATOS_[[AGRUP. VALOR. PTO.]:[AGRUP. VALOR. PTO.]]=$B27,IF(DATOS_[[Check Periodo Ref.]:[Check Periodo Ref.]]="Dentro",DATOS_[Conc.Sal.28]))))),
0)</f>
        <v>0</v>
      </c>
      <c r="AH29" s="170">
        <f t="array" ref="AH29">IFERROR(
MEDIAN((IF(DATOS_[[Sexo]:[Sexo]]=$B29,IF(DATOS_[[AGRUP. VALOR. PTO.]:[AGRUP. VALOR. PTO.]]=$B27,IF(DATOS_[[Check Periodo Ref.]:[Check Periodo Ref.]]="Dentro",DATOS_[Conc.Sal.29]))))),
0)</f>
        <v>0</v>
      </c>
      <c r="AI29" s="170">
        <f t="array" ref="AI29">IFERROR(
MEDIAN((IF(DATOS_[[Sexo]:[Sexo]]=$B29,IF(DATOS_[[AGRUP. VALOR. PTO.]:[AGRUP. VALOR. PTO.]]=$B27,IF(DATOS_[[Check Periodo Ref.]:[Check Periodo Ref.]]="Dentro",DATOS_[Conc.Sal.30]))))),
0)</f>
        <v>0</v>
      </c>
      <c r="AJ29" s="171">
        <f t="array" ref="AJ29">IFERROR(
MEDIAN(IF(DATOS_[Sexo]=$B29,IF(DATOS_[AGRUP. VALOR. PTO.]=$B27,IF(DATOS_[Check Periodo Ref.]="Dentro",DATOS_[Tot COMPL.SAL Ef],FALSE)))),
0)</f>
        <v>0</v>
      </c>
      <c r="AK29" s="172">
        <f t="array" ref="AK29">IFERROR(
MEDIAN(IF(DATOS_[Sexo]=$B29,IF(DATOS_[AGRUP. VALOR. PTO.]=$B27,IF(DATOS_[Check Periodo Ref.]="Dentro",DATOS_[TOTAL SALARIO Ef],FALSE)))),
0)</f>
        <v>0</v>
      </c>
      <c r="AL29" s="173">
        <f t="array" ref="AL29">IFERROR(
MEDIAN((IF(DATOS_[[Sexo]:[Sexo]]=$B29,IF(DATOS_[[AGRUP. VALOR. PTO.]:[AGRUP. VALOR. PTO.]]=$B27,IF(DATOS_[[Check Periodo Ref.]:[Check Periodo Ref.]]="Dentro",DATOS_[C.Extra.01]))))),
0)</f>
        <v>0</v>
      </c>
      <c r="AM29" s="173">
        <f t="array" ref="AM29">IFERROR(
MEDIAN((IF(DATOS_[[Sexo]:[Sexo]]=$B29,IF(DATOS_[[AGRUP. VALOR. PTO.]:[AGRUP. VALOR. PTO.]]=$B27,IF(DATOS_[[Check Periodo Ref.]:[Check Periodo Ref.]]="Dentro",DATOS_[C.Extra.06]))))),
0)</f>
        <v>0</v>
      </c>
      <c r="AN29" s="173">
        <f t="array" ref="AN29">IFERROR(
MEDIAN((IF(DATOS_[[Sexo]:[Sexo]]=$B29,IF(DATOS_[[AGRUP. VALOR. PTO.]:[AGRUP. VALOR. PTO.]]=$B27,IF(DATOS_[[Check Periodo Ref.]:[Check Periodo Ref.]]="Dentro",DATOS_[C.Extra.07]))))),
0)</f>
        <v>0</v>
      </c>
      <c r="AO29" s="173">
        <f t="array" ref="AO29">IFERROR(
MEDIAN((IF(DATOS_[[Sexo]:[Sexo]]=$B29,IF(DATOS_[[AGRUP. VALOR. PTO.]:[AGRUP. VALOR. PTO.]]=$B27,IF(DATOS_[[Check Periodo Ref.]:[Check Periodo Ref.]]="Dentro",DATOS_[C.Extra.08]))))),
0)</f>
        <v>0</v>
      </c>
      <c r="AP29" s="173">
        <f t="array" ref="AP29">IFERROR(
MEDIAN((IF(DATOS_[[Sexo]:[Sexo]]=$B29,IF(DATOS_[[AGRUP. VALOR. PTO.]:[AGRUP. VALOR. PTO.]]=$B27,IF(DATOS_[[Check Periodo Ref.]:[Check Periodo Ref.]]="Dentro",DATOS_[C.Extra.11]))))),
0)</f>
        <v>0</v>
      </c>
      <c r="AQ29" s="174">
        <f t="array" ref="AQ29">IFERROR(
MEDIAN(IF(DATOS_[Sexo]=$B29,IF(DATOS_[AGRUP. VALOR. PTO.]=$B27,IF(DATOS_[Check Periodo Ref.]="Dentro",DATOS_[Tot Extrasalarial Ef],FALSE)))),
0)</f>
        <v>0</v>
      </c>
      <c r="AR29" s="171">
        <f t="array" ref="AR29">IFERROR(
MEDIAN(IF(DATOS_[Sexo]=$B29,IF(DATOS_[AGRUP. VALOR. PTO.]=$B27,IF(DATOS_[Check Periodo Ref.]="Dentro",DATOS_[TOTAL Retrib Ef],FALSE)))),
0)</f>
        <v>0</v>
      </c>
    </row>
    <row r="30" spans="1:44" ht="14.4" thickBot="1" x14ac:dyDescent="0.3">
      <c r="A30" s="178" t="str">
        <f t="shared" ref="A30" si="23">+A31</f>
        <v>[ocultar]</v>
      </c>
      <c r="B30" s="153" t="s">
        <v>196</v>
      </c>
      <c r="C30" s="154"/>
      <c r="D30" s="155"/>
      <c r="E30" s="156" t="str">
        <f t="shared" ref="E30:AR30" si="24">IFERROR((E31-E32)/E31,"")</f>
        <v/>
      </c>
      <c r="F30" s="157" t="str">
        <f t="shared" si="24"/>
        <v/>
      </c>
      <c r="G30" s="158" t="str">
        <f t="shared" si="24"/>
        <v/>
      </c>
      <c r="H30" s="158" t="str">
        <f t="shared" si="24"/>
        <v/>
      </c>
      <c r="I30" s="158" t="str">
        <f t="shared" si="24"/>
        <v/>
      </c>
      <c r="J30" s="159" t="str">
        <f t="shared" si="24"/>
        <v/>
      </c>
      <c r="K30" s="160" t="str">
        <f t="shared" si="24"/>
        <v/>
      </c>
      <c r="L30" s="160" t="str">
        <f t="shared" si="24"/>
        <v/>
      </c>
      <c r="M30" s="160" t="str">
        <f t="shared" si="24"/>
        <v/>
      </c>
      <c r="N30" s="160" t="str">
        <f t="shared" si="24"/>
        <v/>
      </c>
      <c r="O30" s="160" t="str">
        <f t="shared" si="24"/>
        <v/>
      </c>
      <c r="P30" s="160" t="str">
        <f t="shared" si="24"/>
        <v/>
      </c>
      <c r="Q30" s="160" t="str">
        <f t="shared" si="24"/>
        <v/>
      </c>
      <c r="R30" s="160" t="str">
        <f t="shared" si="24"/>
        <v/>
      </c>
      <c r="S30" s="160" t="str">
        <f t="shared" si="24"/>
        <v/>
      </c>
      <c r="T30" s="160" t="str">
        <f t="shared" si="24"/>
        <v/>
      </c>
      <c r="U30" s="160" t="str">
        <f t="shared" si="24"/>
        <v/>
      </c>
      <c r="V30" s="159" t="str">
        <f t="shared" si="24"/>
        <v/>
      </c>
      <c r="W30" s="159" t="str">
        <f t="shared" si="24"/>
        <v/>
      </c>
      <c r="X30" s="159" t="str">
        <f t="shared" si="24"/>
        <v/>
      </c>
      <c r="Y30" s="159" t="str">
        <f t="shared" si="24"/>
        <v/>
      </c>
      <c r="Z30" s="159" t="str">
        <f t="shared" si="24"/>
        <v/>
      </c>
      <c r="AA30" s="159" t="str">
        <f t="shared" si="24"/>
        <v/>
      </c>
      <c r="AB30" s="159" t="str">
        <f t="shared" si="24"/>
        <v/>
      </c>
      <c r="AC30" s="159" t="str">
        <f t="shared" si="24"/>
        <v/>
      </c>
      <c r="AD30" s="159" t="str">
        <f t="shared" si="24"/>
        <v/>
      </c>
      <c r="AE30" s="159" t="str">
        <f t="shared" si="24"/>
        <v/>
      </c>
      <c r="AF30" s="159" t="str">
        <f t="shared" si="24"/>
        <v/>
      </c>
      <c r="AG30" s="159" t="str">
        <f t="shared" si="24"/>
        <v/>
      </c>
      <c r="AH30" s="159" t="str">
        <f t="shared" si="24"/>
        <v/>
      </c>
      <c r="AI30" s="159" t="str">
        <f t="shared" si="24"/>
        <v/>
      </c>
      <c r="AJ30" s="161" t="str">
        <f t="shared" si="24"/>
        <v/>
      </c>
      <c r="AK30" s="162" t="str">
        <f t="shared" si="24"/>
        <v/>
      </c>
      <c r="AL30" s="163" t="str">
        <f t="shared" si="24"/>
        <v/>
      </c>
      <c r="AM30" s="163" t="str">
        <f t="shared" si="24"/>
        <v/>
      </c>
      <c r="AN30" s="163" t="str">
        <f t="shared" si="24"/>
        <v/>
      </c>
      <c r="AO30" s="163" t="str">
        <f t="shared" si="24"/>
        <v/>
      </c>
      <c r="AP30" s="163" t="str">
        <f t="shared" si="24"/>
        <v/>
      </c>
      <c r="AQ30" s="164" t="str">
        <f t="shared" si="24"/>
        <v/>
      </c>
      <c r="AR30" s="161" t="str">
        <f t="shared" si="24"/>
        <v/>
      </c>
    </row>
    <row r="31" spans="1:44" x14ac:dyDescent="0.25">
      <c r="A31" s="178" t="str">
        <f t="shared" ref="A31" si="25">+IF(C31+C32=0,"[ocultar]","")</f>
        <v>[ocultar]</v>
      </c>
      <c r="B31" s="166" t="s">
        <v>394</v>
      </c>
      <c r="C31" s="167">
        <f t="array" ref="C31">SUM(IF($B31=DATOS_[Sexo],
IF($B30=DATOS_[AGRUP. VALOR. PTO.],
IF("Dentro"=DATOS_[Check Periodo Ref.],
1/(COUNTIFS(DATOS_[Sexo],$B31,DATOS_[AGRUP. VALOR. PTO.],$B30,DATOS_[Check Periodo Ref.],"Dentro",DATOS_[id/cod],DATOS_[id/cod]))))))</f>
        <v>0</v>
      </c>
      <c r="D31" s="168">
        <f>COUNTIFS(DATOS_[AGRUP. VALOR. PTO.],$B30,DATOS_[Sexo],$B31,DATOS_[Check Periodo Ref.],"Dentro")</f>
        <v>0</v>
      </c>
      <c r="E31" s="169">
        <f t="array" ref="E31">IFERROR(
MEDIAN(IF(DATOS_[Sexo]=$B31,IF(DATOS_[AGRUP. VALOR. PTO.]=$B30,IF(DATOS_[Check Periodo Ref.]="Dentro",DATOS_[SALARIO BASE Ef],FALSE)))),
0)</f>
        <v>0</v>
      </c>
      <c r="F31" s="170">
        <f t="array" ref="F31">IFERROR(
MEDIAN((IF(DATOS_[[Sexo]:[Sexo]]=$B31,IF(DATOS_[[AGRUP. VALOR. PTO.]:[AGRUP. VALOR. PTO.]]=$B30,IF(DATOS_[[Check Periodo Ref.]:[Check Periodo Ref.]]="Dentro",DATOS_[Conc.Sal.01]))))),
0)</f>
        <v>0</v>
      </c>
      <c r="G31" s="170">
        <f t="array" ref="G31">IFERROR(
MEDIAN((IF(DATOS_[[Sexo]:[Sexo]]=$B31,IF(DATOS_[[AGRUP. VALOR. PTO.]:[AGRUP. VALOR. PTO.]]=$B30,IF(DATOS_[[Check Periodo Ref.]:[Check Periodo Ref.]]="Dentro",DATOS_[Conc.Sal.02]))))),
0)</f>
        <v>0</v>
      </c>
      <c r="H31" s="170">
        <f t="array" ref="H31">IFERROR(
MEDIAN((IF(DATOS_[[Sexo]:[Sexo]]=$B31,IF(DATOS_[[AGRUP. VALOR. PTO.]:[AGRUP. VALOR. PTO.]]=$B30,IF(DATOS_[[Check Periodo Ref.]:[Check Periodo Ref.]]="Dentro",DATOS_[Conc.Sal.03]))))),
0)</f>
        <v>0</v>
      </c>
      <c r="I31" s="170">
        <f t="array" ref="I31">IFERROR(
MEDIAN((IF(DATOS_[[Sexo]:[Sexo]]=$B31,IF(DATOS_[[AGRUP. VALOR. PTO.]:[AGRUP. VALOR. PTO.]]=$B30,IF(DATOS_[[Check Periodo Ref.]:[Check Periodo Ref.]]="Dentro",DATOS_[Conc.Sal.04]))))),
0)</f>
        <v>0</v>
      </c>
      <c r="J31" s="170">
        <f t="array" ref="J31">IFERROR(
MEDIAN((IF(DATOS_[[Sexo]:[Sexo]]=$B31,IF(DATOS_[[AGRUP. VALOR. PTO.]:[AGRUP. VALOR. PTO.]]=$B30,IF(DATOS_[[Check Periodo Ref.]:[Check Periodo Ref.]]="Dentro",DATOS_[Conc.Sal.05]))))),
0)</f>
        <v>0</v>
      </c>
      <c r="K31" s="170">
        <f t="array" ref="K31">IFERROR(
MEDIAN((IF(DATOS_[[Sexo]:[Sexo]]=$B31,IF(DATOS_[[AGRUP. VALOR. PTO.]:[AGRUP. VALOR. PTO.]]=$B30,IF(DATOS_[[Check Periodo Ref.]:[Check Periodo Ref.]]="Dentro",DATOS_[Conc.Sal.06]))))),
0)</f>
        <v>0</v>
      </c>
      <c r="L31" s="170">
        <f t="array" ref="L31">IFERROR(
MEDIAN((IF(DATOS_[[Sexo]:[Sexo]]=$B31,IF(DATOS_[[AGRUP. VALOR. PTO.]:[AGRUP. VALOR. PTO.]]=$B30,IF(DATOS_[[Check Periodo Ref.]:[Check Periodo Ref.]]="Dentro",DATOS_[Conc.Sal.07]))))),
0)</f>
        <v>0</v>
      </c>
      <c r="M31" s="170">
        <f t="array" ref="M31">IFERROR(
MEDIAN((IF(DATOS_[[Sexo]:[Sexo]]=$B31,IF(DATOS_[[AGRUP. VALOR. PTO.]:[AGRUP. VALOR. PTO.]]=$B30,IF(DATOS_[[Check Periodo Ref.]:[Check Periodo Ref.]]="Dentro",DATOS_[Conc.Sal.08]))))),
0)</f>
        <v>0</v>
      </c>
      <c r="N31" s="170">
        <f t="array" ref="N31">IFERROR(
MEDIAN((IF(DATOS_[[Sexo]:[Sexo]]=$B31,IF(DATOS_[[AGRUP. VALOR. PTO.]:[AGRUP. VALOR. PTO.]]=$B30,IF(DATOS_[[Check Periodo Ref.]:[Check Periodo Ref.]]="Dentro",DATOS_[Conc.Sal.09]))))),
0)</f>
        <v>0</v>
      </c>
      <c r="O31" s="170">
        <f t="array" ref="O31">IFERROR(
MEDIAN((IF(DATOS_[[Sexo]:[Sexo]]=$B31,IF(DATOS_[[AGRUP. VALOR. PTO.]:[AGRUP. VALOR. PTO.]]=$B30,IF(DATOS_[[Check Periodo Ref.]:[Check Periodo Ref.]]="Dentro",DATOS_[Conc.Sal.10]))))),
0)</f>
        <v>0</v>
      </c>
      <c r="P31" s="170">
        <f t="array" ref="P31">IFERROR(
MEDIAN((IF(DATOS_[[Sexo]:[Sexo]]=$B31,IF(DATOS_[[AGRUP. VALOR. PTO.]:[AGRUP. VALOR. PTO.]]=$B30,IF(DATOS_[[Check Periodo Ref.]:[Check Periodo Ref.]]="Dentro",DATOS_[Conc.Sal.11]))))),
0)</f>
        <v>0</v>
      </c>
      <c r="Q31" s="170">
        <f t="array" ref="Q31">IFERROR(
MEDIAN((IF(DATOS_[[Sexo]:[Sexo]]=$B31,IF(DATOS_[[AGRUP. VALOR. PTO.]:[AGRUP. VALOR. PTO.]]=$B30,IF(DATOS_[[Check Periodo Ref.]:[Check Periodo Ref.]]="Dentro",DATOS_[Conc.Sal.12]))))),
0)</f>
        <v>0</v>
      </c>
      <c r="R31" s="170">
        <f t="array" ref="R31">IFERROR(
MEDIAN((IF(DATOS_[[Sexo]:[Sexo]]=$B31,IF(DATOS_[[AGRUP. VALOR. PTO.]:[AGRUP. VALOR. PTO.]]=$B30,IF(DATOS_[[Check Periodo Ref.]:[Check Periodo Ref.]]="Dentro",DATOS_[Conc.Sal.13]))))),
0)</f>
        <v>0</v>
      </c>
      <c r="S31" s="170">
        <f t="array" ref="S31">IFERROR(
MEDIAN((IF(DATOS_[[Sexo]:[Sexo]]=$B31,IF(DATOS_[[AGRUP. VALOR. PTO.]:[AGRUP. VALOR. PTO.]]=$B30,IF(DATOS_[[Check Periodo Ref.]:[Check Periodo Ref.]]="Dentro",DATOS_[Conc.Sal.14]))))),
0)</f>
        <v>0</v>
      </c>
      <c r="T31" s="170">
        <f t="array" ref="T31">IFERROR(
MEDIAN((IF(DATOS_[[Sexo]:[Sexo]]=$B31,IF(DATOS_[[AGRUP. VALOR. PTO.]:[AGRUP. VALOR. PTO.]]=$B30,IF(DATOS_[[Check Periodo Ref.]:[Check Periodo Ref.]]="Dentro",DATOS_[Conc.Sal.15]))))),
0)</f>
        <v>0</v>
      </c>
      <c r="U31" s="170">
        <f t="array" ref="U31">IFERROR(
MEDIAN((IF(DATOS_[[Sexo]:[Sexo]]=$B31,IF(DATOS_[[AGRUP. VALOR. PTO.]:[AGRUP. VALOR. PTO.]]=$B30,IF(DATOS_[[Check Periodo Ref.]:[Check Periodo Ref.]]="Dentro",DATOS_[Conc.Sal.16]))))),
0)</f>
        <v>0</v>
      </c>
      <c r="V31" s="170">
        <f t="array" ref="V31">IFERROR(
MEDIAN((IF(DATOS_[[Sexo]:[Sexo]]=$B31,IF(DATOS_[[AGRUP. VALOR. PTO.]:[AGRUP. VALOR. PTO.]]=$B30,IF(DATOS_[[Check Periodo Ref.]:[Check Periodo Ref.]]="Dentro",DATOS_[Conc.Sal.17]))))),
0)</f>
        <v>0</v>
      </c>
      <c r="W31" s="170">
        <f t="array" ref="W31">IFERROR(
MEDIAN((IF(DATOS_[[Sexo]:[Sexo]]=$B31,IF(DATOS_[[AGRUP. VALOR. PTO.]:[AGRUP. VALOR. PTO.]]=$B30,IF(DATOS_[[Check Periodo Ref.]:[Check Periodo Ref.]]="Dentro",DATOS_[Conc.Sal.18]))))),
0)</f>
        <v>0</v>
      </c>
      <c r="X31" s="170">
        <f t="array" ref="X31">IFERROR(
MEDIAN((IF(DATOS_[[Sexo]:[Sexo]]=$B31,IF(DATOS_[[AGRUP. VALOR. PTO.]:[AGRUP. VALOR. PTO.]]=$B30,IF(DATOS_[[Check Periodo Ref.]:[Check Periodo Ref.]]="Dentro",DATOS_[Conc.Sal.19]))))),
0)</f>
        <v>0</v>
      </c>
      <c r="Y31" s="170">
        <f t="array" ref="Y31">IFERROR(
MEDIAN((IF(DATOS_[[Sexo]:[Sexo]]=$B31,IF(DATOS_[[AGRUP. VALOR. PTO.]:[AGRUP. VALOR. PTO.]]=$B30,IF(DATOS_[[Check Periodo Ref.]:[Check Periodo Ref.]]="Dentro",DATOS_[Conc.Sal.20]))))),
0)</f>
        <v>0</v>
      </c>
      <c r="Z31" s="170">
        <f t="array" ref="Z31">IFERROR(
MEDIAN((IF(DATOS_[[Sexo]:[Sexo]]=$B31,IF(DATOS_[[AGRUP. VALOR. PTO.]:[AGRUP. VALOR. PTO.]]=$B30,IF(DATOS_[[Check Periodo Ref.]:[Check Periodo Ref.]]="Dentro",DATOS_[Conc.Sal.21]))))),
0)</f>
        <v>0</v>
      </c>
      <c r="AA31" s="170">
        <f t="array" ref="AA31">IFERROR(
MEDIAN((IF(DATOS_[[Sexo]:[Sexo]]=$B31,IF(DATOS_[[AGRUP. VALOR. PTO.]:[AGRUP. VALOR. PTO.]]=$B30,IF(DATOS_[[Check Periodo Ref.]:[Check Periodo Ref.]]="Dentro",DATOS_[Conc.Sal.22]))))),
0)</f>
        <v>0</v>
      </c>
      <c r="AB31" s="170">
        <f t="array" ref="AB31">IFERROR(
MEDIAN((IF(DATOS_[[Sexo]:[Sexo]]=$B31,IF(DATOS_[[AGRUP. VALOR. PTO.]:[AGRUP. VALOR. PTO.]]=$B30,IF(DATOS_[[Check Periodo Ref.]:[Check Periodo Ref.]]="Dentro",DATOS_[Conc.Sal.23]))))),
0)</f>
        <v>0</v>
      </c>
      <c r="AC31" s="170">
        <f t="array" ref="AC31">IFERROR(
MEDIAN((IF(DATOS_[[Sexo]:[Sexo]]=$B31,IF(DATOS_[[AGRUP. VALOR. PTO.]:[AGRUP. VALOR. PTO.]]=$B30,IF(DATOS_[[Check Periodo Ref.]:[Check Periodo Ref.]]="Dentro",DATOS_[Conc.Sal.24]))))),
0)</f>
        <v>0</v>
      </c>
      <c r="AD31" s="170">
        <f t="array" ref="AD31">IFERROR(
MEDIAN((IF(DATOS_[[Sexo]:[Sexo]]=$B31,IF(DATOS_[[AGRUP. VALOR. PTO.]:[AGRUP. VALOR. PTO.]]=$B30,IF(DATOS_[[Check Periodo Ref.]:[Check Periodo Ref.]]="Dentro",DATOS_[Conc.Sal.25]))))),
0)</f>
        <v>0</v>
      </c>
      <c r="AE31" s="170">
        <f t="array" ref="AE31">IFERROR(
MEDIAN((IF(DATOS_[[Sexo]:[Sexo]]=$B31,IF(DATOS_[[AGRUP. VALOR. PTO.]:[AGRUP. VALOR. PTO.]]=$B30,IF(DATOS_[[Check Periodo Ref.]:[Check Periodo Ref.]]="Dentro",DATOS_[Conc.Sal.26]))))),
0)</f>
        <v>0</v>
      </c>
      <c r="AF31" s="170">
        <f t="array" ref="AF31">IFERROR(
MEDIAN((IF(DATOS_[[Sexo]:[Sexo]]=$B31,IF(DATOS_[[AGRUP. VALOR. PTO.]:[AGRUP. VALOR. PTO.]]=$B30,IF(DATOS_[[Check Periodo Ref.]:[Check Periodo Ref.]]="Dentro",DATOS_[Conc.Sal.27]))))),
0)</f>
        <v>0</v>
      </c>
      <c r="AG31" s="170">
        <f t="array" ref="AG31">IFERROR(
MEDIAN((IF(DATOS_[[Sexo]:[Sexo]]=$B31,IF(DATOS_[[AGRUP. VALOR. PTO.]:[AGRUP. VALOR. PTO.]]=$B30,IF(DATOS_[[Check Periodo Ref.]:[Check Periodo Ref.]]="Dentro",DATOS_[Conc.Sal.28]))))),
0)</f>
        <v>0</v>
      </c>
      <c r="AH31" s="170">
        <f t="array" ref="AH31">IFERROR(
MEDIAN((IF(DATOS_[[Sexo]:[Sexo]]=$B31,IF(DATOS_[[AGRUP. VALOR. PTO.]:[AGRUP. VALOR. PTO.]]=$B30,IF(DATOS_[[Check Periodo Ref.]:[Check Periodo Ref.]]="Dentro",DATOS_[Conc.Sal.29]))))),
0)</f>
        <v>0</v>
      </c>
      <c r="AI31" s="170">
        <f t="array" ref="AI31">IFERROR(
MEDIAN((IF(DATOS_[[Sexo]:[Sexo]]=$B31,IF(DATOS_[[AGRUP. VALOR. PTO.]:[AGRUP. VALOR. PTO.]]=$B30,IF(DATOS_[[Check Periodo Ref.]:[Check Periodo Ref.]]="Dentro",DATOS_[Conc.Sal.30]))))),
0)</f>
        <v>0</v>
      </c>
      <c r="AJ31" s="171">
        <f t="array" ref="AJ31">IFERROR(
MEDIAN(IF(DATOS_[Sexo]=$B31,IF(DATOS_[AGRUP. VALOR. PTO.]=$B30,IF(DATOS_[Check Periodo Ref.]="Dentro",DATOS_[Tot COMPL.SAL Ef],FALSE)))),
0)</f>
        <v>0</v>
      </c>
      <c r="AK31" s="172">
        <f t="array" ref="AK31">IFERROR(
MEDIAN(IF(DATOS_[Sexo]=$B31,IF(DATOS_[AGRUP. VALOR. PTO.]=$B30,IF(DATOS_[Check Periodo Ref.]="Dentro",DATOS_[TOTAL SALARIO Ef],FALSE)))),
0)</f>
        <v>0</v>
      </c>
      <c r="AL31" s="173">
        <f t="array" ref="AL31">IFERROR(
MEDIAN((IF(DATOS_[[Sexo]:[Sexo]]=$B31,IF(DATOS_[[AGRUP. VALOR. PTO.]:[AGRUP. VALOR. PTO.]]=$B30,IF(DATOS_[[Check Periodo Ref.]:[Check Periodo Ref.]]="Dentro",DATOS_[C.Extra.01]))))),
0)</f>
        <v>0</v>
      </c>
      <c r="AM31" s="173">
        <f t="array" ref="AM31">IFERROR(
MEDIAN((IF(DATOS_[[Sexo]:[Sexo]]=$B31,IF(DATOS_[[AGRUP. VALOR. PTO.]:[AGRUP. VALOR. PTO.]]=$B30,IF(DATOS_[[Check Periodo Ref.]:[Check Periodo Ref.]]="Dentro",DATOS_[C.Extra.06]))))),
0)</f>
        <v>0</v>
      </c>
      <c r="AN31" s="173">
        <f t="array" ref="AN31">IFERROR(
MEDIAN((IF(DATOS_[[Sexo]:[Sexo]]=$B31,IF(DATOS_[[AGRUP. VALOR. PTO.]:[AGRUP. VALOR. PTO.]]=$B30,IF(DATOS_[[Check Periodo Ref.]:[Check Periodo Ref.]]="Dentro",DATOS_[C.Extra.07]))))),
0)</f>
        <v>0</v>
      </c>
      <c r="AO31" s="173">
        <f t="array" ref="AO31">IFERROR(
MEDIAN((IF(DATOS_[[Sexo]:[Sexo]]=$B31,IF(DATOS_[[AGRUP. VALOR. PTO.]:[AGRUP. VALOR. PTO.]]=$B30,IF(DATOS_[[Check Periodo Ref.]:[Check Periodo Ref.]]="Dentro",DATOS_[C.Extra.08]))))),
0)</f>
        <v>0</v>
      </c>
      <c r="AP31" s="173">
        <f t="array" ref="AP31">IFERROR(
MEDIAN((IF(DATOS_[[Sexo]:[Sexo]]=$B31,IF(DATOS_[[AGRUP. VALOR. PTO.]:[AGRUP. VALOR. PTO.]]=$B30,IF(DATOS_[[Check Periodo Ref.]:[Check Periodo Ref.]]="Dentro",DATOS_[C.Extra.11]))))),
0)</f>
        <v>0</v>
      </c>
      <c r="AQ31" s="174">
        <f t="array" ref="AQ31">IFERROR(
MEDIAN(IF(DATOS_[Sexo]=$B31,IF(DATOS_[AGRUP. VALOR. PTO.]=$B30,IF(DATOS_[Check Periodo Ref.]="Dentro",DATOS_[Tot Extrasalarial Ef],FALSE)))),
0)</f>
        <v>0</v>
      </c>
      <c r="AR31" s="171">
        <f t="array" ref="AR31">IFERROR(
MEDIAN(IF(DATOS_[Sexo]=$B31,IF(DATOS_[AGRUP. VALOR. PTO.]=$B30,IF(DATOS_[Check Periodo Ref.]="Dentro",DATOS_[TOTAL Retrib Ef],FALSE)))),
0)</f>
        <v>0</v>
      </c>
    </row>
    <row r="32" spans="1:44" x14ac:dyDescent="0.25">
      <c r="A32" s="178" t="str">
        <f t="shared" ref="A32" si="26">+A31</f>
        <v>[ocultar]</v>
      </c>
      <c r="B32" s="166" t="s">
        <v>521</v>
      </c>
      <c r="C32" s="167">
        <f t="array" ref="C32">SUM(IF($B32=DATOS_[Sexo],
IF($B30=DATOS_[AGRUP. VALOR. PTO.],
IF("Dentro"=DATOS_[Check Periodo Ref.],
1/(COUNTIFS(DATOS_[Sexo],$B32,DATOS_[AGRUP. VALOR. PTO.],$B30,DATOS_[Check Periodo Ref.],"Dentro",DATOS_[id/cod],DATOS_[id/cod]))))))</f>
        <v>0</v>
      </c>
      <c r="D32" s="168">
        <f>COUNTIFS(DATOS_[AGRUP. VALOR. PTO.],$B30,DATOS_[Sexo],$B32,DATOS_[Check Periodo Ref.],"Dentro")</f>
        <v>0</v>
      </c>
      <c r="E32" s="169">
        <f t="array" ref="E32">IFERROR(
MEDIAN(IF(DATOS_[Sexo]=$B32,IF(DATOS_[AGRUP. VALOR. PTO.]=$B30,IF(DATOS_[Check Periodo Ref.]="Dentro",DATOS_[SALARIO BASE Ef],FALSE)))),
0)</f>
        <v>0</v>
      </c>
      <c r="F32" s="170">
        <f t="array" ref="F32">IFERROR(
MEDIAN((IF(DATOS_[[Sexo]:[Sexo]]=$B32,IF(DATOS_[[AGRUP. VALOR. PTO.]:[AGRUP. VALOR. PTO.]]=$B30,IF(DATOS_[[Check Periodo Ref.]:[Check Periodo Ref.]]="Dentro",DATOS_[Conc.Sal.01]))))),
0)</f>
        <v>0</v>
      </c>
      <c r="G32" s="170">
        <f t="array" ref="G32">IFERROR(
MEDIAN((IF(DATOS_[[Sexo]:[Sexo]]=$B32,IF(DATOS_[[AGRUP. VALOR. PTO.]:[AGRUP. VALOR. PTO.]]=$B30,IF(DATOS_[[Check Periodo Ref.]:[Check Periodo Ref.]]="Dentro",DATOS_[Conc.Sal.02]))))),
0)</f>
        <v>0</v>
      </c>
      <c r="H32" s="170">
        <f t="array" ref="H32">IFERROR(
MEDIAN((IF(DATOS_[[Sexo]:[Sexo]]=$B32,IF(DATOS_[[AGRUP. VALOR. PTO.]:[AGRUP. VALOR. PTO.]]=$B30,IF(DATOS_[[Check Periodo Ref.]:[Check Periodo Ref.]]="Dentro",DATOS_[Conc.Sal.03]))))),
0)</f>
        <v>0</v>
      </c>
      <c r="I32" s="170">
        <f t="array" ref="I32">IFERROR(
MEDIAN((IF(DATOS_[[Sexo]:[Sexo]]=$B32,IF(DATOS_[[AGRUP. VALOR. PTO.]:[AGRUP. VALOR. PTO.]]=$B30,IF(DATOS_[[Check Periodo Ref.]:[Check Periodo Ref.]]="Dentro",DATOS_[Conc.Sal.04]))))),
0)</f>
        <v>0</v>
      </c>
      <c r="J32" s="170">
        <f t="array" ref="J32">IFERROR(
MEDIAN((IF(DATOS_[[Sexo]:[Sexo]]=$B32,IF(DATOS_[[AGRUP. VALOR. PTO.]:[AGRUP. VALOR. PTO.]]=$B30,IF(DATOS_[[Check Periodo Ref.]:[Check Periodo Ref.]]="Dentro",DATOS_[Conc.Sal.05]))))),
0)</f>
        <v>0</v>
      </c>
      <c r="K32" s="170">
        <f t="array" ref="K32">IFERROR(
MEDIAN((IF(DATOS_[[Sexo]:[Sexo]]=$B32,IF(DATOS_[[AGRUP. VALOR. PTO.]:[AGRUP. VALOR. PTO.]]=$B30,IF(DATOS_[[Check Periodo Ref.]:[Check Periodo Ref.]]="Dentro",DATOS_[Conc.Sal.06]))))),
0)</f>
        <v>0</v>
      </c>
      <c r="L32" s="170">
        <f t="array" ref="L32">IFERROR(
MEDIAN((IF(DATOS_[[Sexo]:[Sexo]]=$B32,IF(DATOS_[[AGRUP. VALOR. PTO.]:[AGRUP. VALOR. PTO.]]=$B30,IF(DATOS_[[Check Periodo Ref.]:[Check Periodo Ref.]]="Dentro",DATOS_[Conc.Sal.07]))))),
0)</f>
        <v>0</v>
      </c>
      <c r="M32" s="170">
        <f t="array" ref="M32">IFERROR(
MEDIAN((IF(DATOS_[[Sexo]:[Sexo]]=$B32,IF(DATOS_[[AGRUP. VALOR. PTO.]:[AGRUP. VALOR. PTO.]]=$B30,IF(DATOS_[[Check Periodo Ref.]:[Check Periodo Ref.]]="Dentro",DATOS_[Conc.Sal.08]))))),
0)</f>
        <v>0</v>
      </c>
      <c r="N32" s="170">
        <f t="array" ref="N32">IFERROR(
MEDIAN((IF(DATOS_[[Sexo]:[Sexo]]=$B32,IF(DATOS_[[AGRUP. VALOR. PTO.]:[AGRUP. VALOR. PTO.]]=$B30,IF(DATOS_[[Check Periodo Ref.]:[Check Periodo Ref.]]="Dentro",DATOS_[Conc.Sal.09]))))),
0)</f>
        <v>0</v>
      </c>
      <c r="O32" s="170">
        <f t="array" ref="O32">IFERROR(
MEDIAN((IF(DATOS_[[Sexo]:[Sexo]]=$B32,IF(DATOS_[[AGRUP. VALOR. PTO.]:[AGRUP. VALOR. PTO.]]=$B30,IF(DATOS_[[Check Periodo Ref.]:[Check Periodo Ref.]]="Dentro",DATOS_[Conc.Sal.10]))))),
0)</f>
        <v>0</v>
      </c>
      <c r="P32" s="170">
        <f t="array" ref="P32">IFERROR(
MEDIAN((IF(DATOS_[[Sexo]:[Sexo]]=$B32,IF(DATOS_[[AGRUP. VALOR. PTO.]:[AGRUP. VALOR. PTO.]]=$B30,IF(DATOS_[[Check Periodo Ref.]:[Check Periodo Ref.]]="Dentro",DATOS_[Conc.Sal.11]))))),
0)</f>
        <v>0</v>
      </c>
      <c r="Q32" s="170">
        <f t="array" ref="Q32">IFERROR(
MEDIAN((IF(DATOS_[[Sexo]:[Sexo]]=$B32,IF(DATOS_[[AGRUP. VALOR. PTO.]:[AGRUP. VALOR. PTO.]]=$B30,IF(DATOS_[[Check Periodo Ref.]:[Check Periodo Ref.]]="Dentro",DATOS_[Conc.Sal.12]))))),
0)</f>
        <v>0</v>
      </c>
      <c r="R32" s="170">
        <f t="array" ref="R32">IFERROR(
MEDIAN((IF(DATOS_[[Sexo]:[Sexo]]=$B32,IF(DATOS_[[AGRUP. VALOR. PTO.]:[AGRUP. VALOR. PTO.]]=$B30,IF(DATOS_[[Check Periodo Ref.]:[Check Periodo Ref.]]="Dentro",DATOS_[Conc.Sal.13]))))),
0)</f>
        <v>0</v>
      </c>
      <c r="S32" s="170">
        <f t="array" ref="S32">IFERROR(
MEDIAN((IF(DATOS_[[Sexo]:[Sexo]]=$B32,IF(DATOS_[[AGRUP. VALOR. PTO.]:[AGRUP. VALOR. PTO.]]=$B30,IF(DATOS_[[Check Periodo Ref.]:[Check Periodo Ref.]]="Dentro",DATOS_[Conc.Sal.14]))))),
0)</f>
        <v>0</v>
      </c>
      <c r="T32" s="170">
        <f t="array" ref="T32">IFERROR(
MEDIAN((IF(DATOS_[[Sexo]:[Sexo]]=$B32,IF(DATOS_[[AGRUP. VALOR. PTO.]:[AGRUP. VALOR. PTO.]]=$B30,IF(DATOS_[[Check Periodo Ref.]:[Check Periodo Ref.]]="Dentro",DATOS_[Conc.Sal.15]))))),
0)</f>
        <v>0</v>
      </c>
      <c r="U32" s="170">
        <f t="array" ref="U32">IFERROR(
MEDIAN((IF(DATOS_[[Sexo]:[Sexo]]=$B32,IF(DATOS_[[AGRUP. VALOR. PTO.]:[AGRUP. VALOR. PTO.]]=$B30,IF(DATOS_[[Check Periodo Ref.]:[Check Periodo Ref.]]="Dentro",DATOS_[Conc.Sal.16]))))),
0)</f>
        <v>0</v>
      </c>
      <c r="V32" s="170">
        <f t="array" ref="V32">IFERROR(
MEDIAN((IF(DATOS_[[Sexo]:[Sexo]]=$B32,IF(DATOS_[[AGRUP. VALOR. PTO.]:[AGRUP. VALOR. PTO.]]=$B30,IF(DATOS_[[Check Periodo Ref.]:[Check Periodo Ref.]]="Dentro",DATOS_[Conc.Sal.17]))))),
0)</f>
        <v>0</v>
      </c>
      <c r="W32" s="170">
        <f t="array" ref="W32">IFERROR(
MEDIAN((IF(DATOS_[[Sexo]:[Sexo]]=$B32,IF(DATOS_[[AGRUP. VALOR. PTO.]:[AGRUP. VALOR. PTO.]]=$B30,IF(DATOS_[[Check Periodo Ref.]:[Check Periodo Ref.]]="Dentro",DATOS_[Conc.Sal.18]))))),
0)</f>
        <v>0</v>
      </c>
      <c r="X32" s="170">
        <f t="array" ref="X32">IFERROR(
MEDIAN((IF(DATOS_[[Sexo]:[Sexo]]=$B32,IF(DATOS_[[AGRUP. VALOR. PTO.]:[AGRUP. VALOR. PTO.]]=$B30,IF(DATOS_[[Check Periodo Ref.]:[Check Periodo Ref.]]="Dentro",DATOS_[Conc.Sal.19]))))),
0)</f>
        <v>0</v>
      </c>
      <c r="Y32" s="170">
        <f t="array" ref="Y32">IFERROR(
MEDIAN((IF(DATOS_[[Sexo]:[Sexo]]=$B32,IF(DATOS_[[AGRUP. VALOR. PTO.]:[AGRUP. VALOR. PTO.]]=$B30,IF(DATOS_[[Check Periodo Ref.]:[Check Periodo Ref.]]="Dentro",DATOS_[Conc.Sal.20]))))),
0)</f>
        <v>0</v>
      </c>
      <c r="Z32" s="170">
        <f t="array" ref="Z32">IFERROR(
MEDIAN((IF(DATOS_[[Sexo]:[Sexo]]=$B32,IF(DATOS_[[AGRUP. VALOR. PTO.]:[AGRUP. VALOR. PTO.]]=$B30,IF(DATOS_[[Check Periodo Ref.]:[Check Periodo Ref.]]="Dentro",DATOS_[Conc.Sal.21]))))),
0)</f>
        <v>0</v>
      </c>
      <c r="AA32" s="170">
        <f t="array" ref="AA32">IFERROR(
MEDIAN((IF(DATOS_[[Sexo]:[Sexo]]=$B32,IF(DATOS_[[AGRUP. VALOR. PTO.]:[AGRUP. VALOR. PTO.]]=$B30,IF(DATOS_[[Check Periodo Ref.]:[Check Periodo Ref.]]="Dentro",DATOS_[Conc.Sal.22]))))),
0)</f>
        <v>0</v>
      </c>
      <c r="AB32" s="170">
        <f t="array" ref="AB32">IFERROR(
MEDIAN((IF(DATOS_[[Sexo]:[Sexo]]=$B32,IF(DATOS_[[AGRUP. VALOR. PTO.]:[AGRUP. VALOR. PTO.]]=$B30,IF(DATOS_[[Check Periodo Ref.]:[Check Periodo Ref.]]="Dentro",DATOS_[Conc.Sal.23]))))),
0)</f>
        <v>0</v>
      </c>
      <c r="AC32" s="170">
        <f t="array" ref="AC32">IFERROR(
MEDIAN((IF(DATOS_[[Sexo]:[Sexo]]=$B32,IF(DATOS_[[AGRUP. VALOR. PTO.]:[AGRUP. VALOR. PTO.]]=$B30,IF(DATOS_[[Check Periodo Ref.]:[Check Periodo Ref.]]="Dentro",DATOS_[Conc.Sal.24]))))),
0)</f>
        <v>0</v>
      </c>
      <c r="AD32" s="170">
        <f t="array" ref="AD32">IFERROR(
MEDIAN((IF(DATOS_[[Sexo]:[Sexo]]=$B32,IF(DATOS_[[AGRUP. VALOR. PTO.]:[AGRUP. VALOR. PTO.]]=$B30,IF(DATOS_[[Check Periodo Ref.]:[Check Periodo Ref.]]="Dentro",DATOS_[Conc.Sal.25]))))),
0)</f>
        <v>0</v>
      </c>
      <c r="AE32" s="170">
        <f t="array" ref="AE32">IFERROR(
MEDIAN((IF(DATOS_[[Sexo]:[Sexo]]=$B32,IF(DATOS_[[AGRUP. VALOR. PTO.]:[AGRUP. VALOR. PTO.]]=$B30,IF(DATOS_[[Check Periodo Ref.]:[Check Periodo Ref.]]="Dentro",DATOS_[Conc.Sal.26]))))),
0)</f>
        <v>0</v>
      </c>
      <c r="AF32" s="170">
        <f t="array" ref="AF32">IFERROR(
MEDIAN((IF(DATOS_[[Sexo]:[Sexo]]=$B32,IF(DATOS_[[AGRUP. VALOR. PTO.]:[AGRUP. VALOR. PTO.]]=$B30,IF(DATOS_[[Check Periodo Ref.]:[Check Periodo Ref.]]="Dentro",DATOS_[Conc.Sal.27]))))),
0)</f>
        <v>0</v>
      </c>
      <c r="AG32" s="170">
        <f t="array" ref="AG32">IFERROR(
MEDIAN((IF(DATOS_[[Sexo]:[Sexo]]=$B32,IF(DATOS_[[AGRUP. VALOR. PTO.]:[AGRUP. VALOR. PTO.]]=$B30,IF(DATOS_[[Check Periodo Ref.]:[Check Periodo Ref.]]="Dentro",DATOS_[Conc.Sal.28]))))),
0)</f>
        <v>0</v>
      </c>
      <c r="AH32" s="170">
        <f t="array" ref="AH32">IFERROR(
MEDIAN((IF(DATOS_[[Sexo]:[Sexo]]=$B32,IF(DATOS_[[AGRUP. VALOR. PTO.]:[AGRUP. VALOR. PTO.]]=$B30,IF(DATOS_[[Check Periodo Ref.]:[Check Periodo Ref.]]="Dentro",DATOS_[Conc.Sal.29]))))),
0)</f>
        <v>0</v>
      </c>
      <c r="AI32" s="170">
        <f t="array" ref="AI32">IFERROR(
MEDIAN((IF(DATOS_[[Sexo]:[Sexo]]=$B32,IF(DATOS_[[AGRUP. VALOR. PTO.]:[AGRUP. VALOR. PTO.]]=$B30,IF(DATOS_[[Check Periodo Ref.]:[Check Periodo Ref.]]="Dentro",DATOS_[Conc.Sal.30]))))),
0)</f>
        <v>0</v>
      </c>
      <c r="AJ32" s="171">
        <f t="array" ref="AJ32">IFERROR(
MEDIAN(IF(DATOS_[Sexo]=$B32,IF(DATOS_[AGRUP. VALOR. PTO.]=$B30,IF(DATOS_[Check Periodo Ref.]="Dentro",DATOS_[Tot COMPL.SAL Ef],FALSE)))),
0)</f>
        <v>0</v>
      </c>
      <c r="AK32" s="172">
        <f t="array" ref="AK32">IFERROR(
MEDIAN(IF(DATOS_[Sexo]=$B32,IF(DATOS_[AGRUP. VALOR. PTO.]=$B30,IF(DATOS_[Check Periodo Ref.]="Dentro",DATOS_[TOTAL SALARIO Ef],FALSE)))),
0)</f>
        <v>0</v>
      </c>
      <c r="AL32" s="173">
        <f t="array" ref="AL32">IFERROR(
MEDIAN((IF(DATOS_[[Sexo]:[Sexo]]=$B32,IF(DATOS_[[AGRUP. VALOR. PTO.]:[AGRUP. VALOR. PTO.]]=$B30,IF(DATOS_[[Check Periodo Ref.]:[Check Periodo Ref.]]="Dentro",DATOS_[C.Extra.01]))))),
0)</f>
        <v>0</v>
      </c>
      <c r="AM32" s="173">
        <f t="array" ref="AM32">IFERROR(
MEDIAN((IF(DATOS_[[Sexo]:[Sexo]]=$B32,IF(DATOS_[[AGRUP. VALOR. PTO.]:[AGRUP. VALOR. PTO.]]=$B30,IF(DATOS_[[Check Periodo Ref.]:[Check Periodo Ref.]]="Dentro",DATOS_[C.Extra.06]))))),
0)</f>
        <v>0</v>
      </c>
      <c r="AN32" s="173">
        <f t="array" ref="AN32">IFERROR(
MEDIAN((IF(DATOS_[[Sexo]:[Sexo]]=$B32,IF(DATOS_[[AGRUP. VALOR. PTO.]:[AGRUP. VALOR. PTO.]]=$B30,IF(DATOS_[[Check Periodo Ref.]:[Check Periodo Ref.]]="Dentro",DATOS_[C.Extra.07]))))),
0)</f>
        <v>0</v>
      </c>
      <c r="AO32" s="173">
        <f t="array" ref="AO32">IFERROR(
MEDIAN((IF(DATOS_[[Sexo]:[Sexo]]=$B32,IF(DATOS_[[AGRUP. VALOR. PTO.]:[AGRUP. VALOR. PTO.]]=$B30,IF(DATOS_[[Check Periodo Ref.]:[Check Periodo Ref.]]="Dentro",DATOS_[C.Extra.08]))))),
0)</f>
        <v>0</v>
      </c>
      <c r="AP32" s="173">
        <f t="array" ref="AP32">IFERROR(
MEDIAN((IF(DATOS_[[Sexo]:[Sexo]]=$B32,IF(DATOS_[[AGRUP. VALOR. PTO.]:[AGRUP. VALOR. PTO.]]=$B30,IF(DATOS_[[Check Periodo Ref.]:[Check Periodo Ref.]]="Dentro",DATOS_[C.Extra.11]))))),
0)</f>
        <v>0</v>
      </c>
      <c r="AQ32" s="174">
        <f t="array" ref="AQ32">IFERROR(
MEDIAN(IF(DATOS_[Sexo]=$B32,IF(DATOS_[AGRUP. VALOR. PTO.]=$B30,IF(DATOS_[Check Periodo Ref.]="Dentro",DATOS_[Tot Extrasalarial Ef],FALSE)))),
0)</f>
        <v>0</v>
      </c>
      <c r="AR32" s="171">
        <f t="array" ref="AR32">IFERROR(
MEDIAN(IF(DATOS_[Sexo]=$B32,IF(DATOS_[AGRUP. VALOR. PTO.]=$B30,IF(DATOS_[Check Periodo Ref.]="Dentro",DATOS_[TOTAL Retrib Ef],FALSE)))),
0)</f>
        <v>0</v>
      </c>
    </row>
    <row r="33" spans="1:44" ht="14.4" thickBot="1" x14ac:dyDescent="0.3">
      <c r="A33" s="178" t="str">
        <f t="shared" ref="A33" si="27">+A34</f>
        <v>[ocultar]</v>
      </c>
      <c r="B33" s="153" t="s">
        <v>200</v>
      </c>
      <c r="C33" s="154"/>
      <c r="D33" s="155"/>
      <c r="E33" s="156" t="str">
        <f t="shared" ref="E33:AR33" si="28">IFERROR((E34-E35)/E34,"")</f>
        <v/>
      </c>
      <c r="F33" s="157" t="str">
        <f t="shared" si="28"/>
        <v/>
      </c>
      <c r="G33" s="158" t="str">
        <f t="shared" si="28"/>
        <v/>
      </c>
      <c r="H33" s="158" t="str">
        <f t="shared" si="28"/>
        <v/>
      </c>
      <c r="I33" s="158" t="str">
        <f t="shared" si="28"/>
        <v/>
      </c>
      <c r="J33" s="159" t="str">
        <f t="shared" si="28"/>
        <v/>
      </c>
      <c r="K33" s="160" t="str">
        <f t="shared" si="28"/>
        <v/>
      </c>
      <c r="L33" s="160" t="str">
        <f t="shared" si="28"/>
        <v/>
      </c>
      <c r="M33" s="160" t="str">
        <f t="shared" si="28"/>
        <v/>
      </c>
      <c r="N33" s="160" t="str">
        <f t="shared" si="28"/>
        <v/>
      </c>
      <c r="O33" s="160" t="str">
        <f t="shared" si="28"/>
        <v/>
      </c>
      <c r="P33" s="160" t="str">
        <f t="shared" si="28"/>
        <v/>
      </c>
      <c r="Q33" s="160" t="str">
        <f t="shared" si="28"/>
        <v/>
      </c>
      <c r="R33" s="160" t="str">
        <f t="shared" si="28"/>
        <v/>
      </c>
      <c r="S33" s="160" t="str">
        <f t="shared" si="28"/>
        <v/>
      </c>
      <c r="T33" s="160" t="str">
        <f t="shared" si="28"/>
        <v/>
      </c>
      <c r="U33" s="160" t="str">
        <f t="shared" si="28"/>
        <v/>
      </c>
      <c r="V33" s="159" t="str">
        <f t="shared" si="28"/>
        <v/>
      </c>
      <c r="W33" s="159" t="str">
        <f t="shared" si="28"/>
        <v/>
      </c>
      <c r="X33" s="159" t="str">
        <f t="shared" si="28"/>
        <v/>
      </c>
      <c r="Y33" s="159" t="str">
        <f t="shared" si="28"/>
        <v/>
      </c>
      <c r="Z33" s="159" t="str">
        <f t="shared" si="28"/>
        <v/>
      </c>
      <c r="AA33" s="159" t="str">
        <f t="shared" si="28"/>
        <v/>
      </c>
      <c r="AB33" s="159" t="str">
        <f t="shared" si="28"/>
        <v/>
      </c>
      <c r="AC33" s="159" t="str">
        <f t="shared" si="28"/>
        <v/>
      </c>
      <c r="AD33" s="159" t="str">
        <f t="shared" si="28"/>
        <v/>
      </c>
      <c r="AE33" s="159" t="str">
        <f t="shared" si="28"/>
        <v/>
      </c>
      <c r="AF33" s="159" t="str">
        <f t="shared" si="28"/>
        <v/>
      </c>
      <c r="AG33" s="159" t="str">
        <f t="shared" si="28"/>
        <v/>
      </c>
      <c r="AH33" s="159" t="str">
        <f t="shared" si="28"/>
        <v/>
      </c>
      <c r="AI33" s="159" t="str">
        <f t="shared" si="28"/>
        <v/>
      </c>
      <c r="AJ33" s="161" t="str">
        <f t="shared" si="28"/>
        <v/>
      </c>
      <c r="AK33" s="162" t="str">
        <f t="shared" si="28"/>
        <v/>
      </c>
      <c r="AL33" s="163" t="str">
        <f t="shared" si="28"/>
        <v/>
      </c>
      <c r="AM33" s="163" t="str">
        <f t="shared" si="28"/>
        <v/>
      </c>
      <c r="AN33" s="163" t="str">
        <f t="shared" si="28"/>
        <v/>
      </c>
      <c r="AO33" s="163" t="str">
        <f t="shared" si="28"/>
        <v/>
      </c>
      <c r="AP33" s="163" t="str">
        <f t="shared" si="28"/>
        <v/>
      </c>
      <c r="AQ33" s="164" t="str">
        <f t="shared" si="28"/>
        <v/>
      </c>
      <c r="AR33" s="161" t="str">
        <f t="shared" si="28"/>
        <v/>
      </c>
    </row>
    <row r="34" spans="1:44" x14ac:dyDescent="0.25">
      <c r="A34" s="178" t="str">
        <f t="shared" ref="A34" si="29">+IF(C34+C35=0,"[ocultar]","")</f>
        <v>[ocultar]</v>
      </c>
      <c r="B34" s="166" t="s">
        <v>394</v>
      </c>
      <c r="C34" s="167">
        <f t="array" ref="C34">SUM(IF($B34=DATOS_[Sexo],
IF($B33=DATOS_[AGRUP. VALOR. PTO.],
IF("Dentro"=DATOS_[Check Periodo Ref.],
1/(COUNTIFS(DATOS_[Sexo],$B34,DATOS_[AGRUP. VALOR. PTO.],$B33,DATOS_[Check Periodo Ref.],"Dentro",DATOS_[id/cod],DATOS_[id/cod]))))))</f>
        <v>0</v>
      </c>
      <c r="D34" s="168">
        <f>COUNTIFS(DATOS_[AGRUP. VALOR. PTO.],$B33,DATOS_[Sexo],$B34,DATOS_[Check Periodo Ref.],"Dentro")</f>
        <v>0</v>
      </c>
      <c r="E34" s="169">
        <f t="array" ref="E34">IFERROR(
MEDIAN(IF(DATOS_[Sexo]=$B34,IF(DATOS_[AGRUP. VALOR. PTO.]=$B33,IF(DATOS_[Check Periodo Ref.]="Dentro",DATOS_[SALARIO BASE Ef],FALSE)))),
0)</f>
        <v>0</v>
      </c>
      <c r="F34" s="170">
        <f t="array" ref="F34">IFERROR(
MEDIAN((IF(DATOS_[[Sexo]:[Sexo]]=$B34,IF(DATOS_[[AGRUP. VALOR. PTO.]:[AGRUP. VALOR. PTO.]]=$B33,IF(DATOS_[[Check Periodo Ref.]:[Check Periodo Ref.]]="Dentro",DATOS_[Conc.Sal.01]))))),
0)</f>
        <v>0</v>
      </c>
      <c r="G34" s="170">
        <f t="array" ref="G34">IFERROR(
MEDIAN((IF(DATOS_[[Sexo]:[Sexo]]=$B34,IF(DATOS_[[AGRUP. VALOR. PTO.]:[AGRUP. VALOR. PTO.]]=$B33,IF(DATOS_[[Check Periodo Ref.]:[Check Periodo Ref.]]="Dentro",DATOS_[Conc.Sal.02]))))),
0)</f>
        <v>0</v>
      </c>
      <c r="H34" s="170">
        <f t="array" ref="H34">IFERROR(
MEDIAN((IF(DATOS_[[Sexo]:[Sexo]]=$B34,IF(DATOS_[[AGRUP. VALOR. PTO.]:[AGRUP. VALOR. PTO.]]=$B33,IF(DATOS_[[Check Periodo Ref.]:[Check Periodo Ref.]]="Dentro",DATOS_[Conc.Sal.03]))))),
0)</f>
        <v>0</v>
      </c>
      <c r="I34" s="170">
        <f t="array" ref="I34">IFERROR(
MEDIAN((IF(DATOS_[[Sexo]:[Sexo]]=$B34,IF(DATOS_[[AGRUP. VALOR. PTO.]:[AGRUP. VALOR. PTO.]]=$B33,IF(DATOS_[[Check Periodo Ref.]:[Check Periodo Ref.]]="Dentro",DATOS_[Conc.Sal.04]))))),
0)</f>
        <v>0</v>
      </c>
      <c r="J34" s="170">
        <f t="array" ref="J34">IFERROR(
MEDIAN((IF(DATOS_[[Sexo]:[Sexo]]=$B34,IF(DATOS_[[AGRUP. VALOR. PTO.]:[AGRUP. VALOR. PTO.]]=$B33,IF(DATOS_[[Check Periodo Ref.]:[Check Periodo Ref.]]="Dentro",DATOS_[Conc.Sal.05]))))),
0)</f>
        <v>0</v>
      </c>
      <c r="K34" s="170">
        <f t="array" ref="K34">IFERROR(
MEDIAN((IF(DATOS_[[Sexo]:[Sexo]]=$B34,IF(DATOS_[[AGRUP. VALOR. PTO.]:[AGRUP. VALOR. PTO.]]=$B33,IF(DATOS_[[Check Periodo Ref.]:[Check Periodo Ref.]]="Dentro",DATOS_[Conc.Sal.06]))))),
0)</f>
        <v>0</v>
      </c>
      <c r="L34" s="170">
        <f t="array" ref="L34">IFERROR(
MEDIAN((IF(DATOS_[[Sexo]:[Sexo]]=$B34,IF(DATOS_[[AGRUP. VALOR. PTO.]:[AGRUP. VALOR. PTO.]]=$B33,IF(DATOS_[[Check Periodo Ref.]:[Check Periodo Ref.]]="Dentro",DATOS_[Conc.Sal.07]))))),
0)</f>
        <v>0</v>
      </c>
      <c r="M34" s="170">
        <f t="array" ref="M34">IFERROR(
MEDIAN((IF(DATOS_[[Sexo]:[Sexo]]=$B34,IF(DATOS_[[AGRUP. VALOR. PTO.]:[AGRUP. VALOR. PTO.]]=$B33,IF(DATOS_[[Check Periodo Ref.]:[Check Periodo Ref.]]="Dentro",DATOS_[Conc.Sal.08]))))),
0)</f>
        <v>0</v>
      </c>
      <c r="N34" s="170">
        <f t="array" ref="N34">IFERROR(
MEDIAN((IF(DATOS_[[Sexo]:[Sexo]]=$B34,IF(DATOS_[[AGRUP. VALOR. PTO.]:[AGRUP. VALOR. PTO.]]=$B33,IF(DATOS_[[Check Periodo Ref.]:[Check Periodo Ref.]]="Dentro",DATOS_[Conc.Sal.09]))))),
0)</f>
        <v>0</v>
      </c>
      <c r="O34" s="170">
        <f t="array" ref="O34">IFERROR(
MEDIAN((IF(DATOS_[[Sexo]:[Sexo]]=$B34,IF(DATOS_[[AGRUP. VALOR. PTO.]:[AGRUP. VALOR. PTO.]]=$B33,IF(DATOS_[[Check Periodo Ref.]:[Check Periodo Ref.]]="Dentro",DATOS_[Conc.Sal.10]))))),
0)</f>
        <v>0</v>
      </c>
      <c r="P34" s="170">
        <f t="array" ref="P34">IFERROR(
MEDIAN((IF(DATOS_[[Sexo]:[Sexo]]=$B34,IF(DATOS_[[AGRUP. VALOR. PTO.]:[AGRUP. VALOR. PTO.]]=$B33,IF(DATOS_[[Check Periodo Ref.]:[Check Periodo Ref.]]="Dentro",DATOS_[Conc.Sal.11]))))),
0)</f>
        <v>0</v>
      </c>
      <c r="Q34" s="170">
        <f t="array" ref="Q34">IFERROR(
MEDIAN((IF(DATOS_[[Sexo]:[Sexo]]=$B34,IF(DATOS_[[AGRUP. VALOR. PTO.]:[AGRUP. VALOR. PTO.]]=$B33,IF(DATOS_[[Check Periodo Ref.]:[Check Periodo Ref.]]="Dentro",DATOS_[Conc.Sal.12]))))),
0)</f>
        <v>0</v>
      </c>
      <c r="R34" s="170">
        <f t="array" ref="R34">IFERROR(
MEDIAN((IF(DATOS_[[Sexo]:[Sexo]]=$B34,IF(DATOS_[[AGRUP. VALOR. PTO.]:[AGRUP. VALOR. PTO.]]=$B33,IF(DATOS_[[Check Periodo Ref.]:[Check Periodo Ref.]]="Dentro",DATOS_[Conc.Sal.13]))))),
0)</f>
        <v>0</v>
      </c>
      <c r="S34" s="170">
        <f t="array" ref="S34">IFERROR(
MEDIAN((IF(DATOS_[[Sexo]:[Sexo]]=$B34,IF(DATOS_[[AGRUP. VALOR. PTO.]:[AGRUP. VALOR. PTO.]]=$B33,IF(DATOS_[[Check Periodo Ref.]:[Check Periodo Ref.]]="Dentro",DATOS_[Conc.Sal.14]))))),
0)</f>
        <v>0</v>
      </c>
      <c r="T34" s="170">
        <f t="array" ref="T34">IFERROR(
MEDIAN((IF(DATOS_[[Sexo]:[Sexo]]=$B34,IF(DATOS_[[AGRUP. VALOR. PTO.]:[AGRUP. VALOR. PTO.]]=$B33,IF(DATOS_[[Check Periodo Ref.]:[Check Periodo Ref.]]="Dentro",DATOS_[Conc.Sal.15]))))),
0)</f>
        <v>0</v>
      </c>
      <c r="U34" s="170">
        <f t="array" ref="U34">IFERROR(
MEDIAN((IF(DATOS_[[Sexo]:[Sexo]]=$B34,IF(DATOS_[[AGRUP. VALOR. PTO.]:[AGRUP. VALOR. PTO.]]=$B33,IF(DATOS_[[Check Periodo Ref.]:[Check Periodo Ref.]]="Dentro",DATOS_[Conc.Sal.16]))))),
0)</f>
        <v>0</v>
      </c>
      <c r="V34" s="170">
        <f t="array" ref="V34">IFERROR(
MEDIAN((IF(DATOS_[[Sexo]:[Sexo]]=$B34,IF(DATOS_[[AGRUP. VALOR. PTO.]:[AGRUP. VALOR. PTO.]]=$B33,IF(DATOS_[[Check Periodo Ref.]:[Check Periodo Ref.]]="Dentro",DATOS_[Conc.Sal.17]))))),
0)</f>
        <v>0</v>
      </c>
      <c r="W34" s="170">
        <f t="array" ref="W34">IFERROR(
MEDIAN((IF(DATOS_[[Sexo]:[Sexo]]=$B34,IF(DATOS_[[AGRUP. VALOR. PTO.]:[AGRUP. VALOR. PTO.]]=$B33,IF(DATOS_[[Check Periodo Ref.]:[Check Periodo Ref.]]="Dentro",DATOS_[Conc.Sal.18]))))),
0)</f>
        <v>0</v>
      </c>
      <c r="X34" s="170">
        <f t="array" ref="X34">IFERROR(
MEDIAN((IF(DATOS_[[Sexo]:[Sexo]]=$B34,IF(DATOS_[[AGRUP. VALOR. PTO.]:[AGRUP. VALOR. PTO.]]=$B33,IF(DATOS_[[Check Periodo Ref.]:[Check Periodo Ref.]]="Dentro",DATOS_[Conc.Sal.19]))))),
0)</f>
        <v>0</v>
      </c>
      <c r="Y34" s="170">
        <f t="array" ref="Y34">IFERROR(
MEDIAN((IF(DATOS_[[Sexo]:[Sexo]]=$B34,IF(DATOS_[[AGRUP. VALOR. PTO.]:[AGRUP. VALOR. PTO.]]=$B33,IF(DATOS_[[Check Periodo Ref.]:[Check Periodo Ref.]]="Dentro",DATOS_[Conc.Sal.20]))))),
0)</f>
        <v>0</v>
      </c>
      <c r="Z34" s="170">
        <f t="array" ref="Z34">IFERROR(
MEDIAN((IF(DATOS_[[Sexo]:[Sexo]]=$B34,IF(DATOS_[[AGRUP. VALOR. PTO.]:[AGRUP. VALOR. PTO.]]=$B33,IF(DATOS_[[Check Periodo Ref.]:[Check Periodo Ref.]]="Dentro",DATOS_[Conc.Sal.21]))))),
0)</f>
        <v>0</v>
      </c>
      <c r="AA34" s="170">
        <f t="array" ref="AA34">IFERROR(
MEDIAN((IF(DATOS_[[Sexo]:[Sexo]]=$B34,IF(DATOS_[[AGRUP. VALOR. PTO.]:[AGRUP. VALOR. PTO.]]=$B33,IF(DATOS_[[Check Periodo Ref.]:[Check Periodo Ref.]]="Dentro",DATOS_[Conc.Sal.22]))))),
0)</f>
        <v>0</v>
      </c>
      <c r="AB34" s="170">
        <f t="array" ref="AB34">IFERROR(
MEDIAN((IF(DATOS_[[Sexo]:[Sexo]]=$B34,IF(DATOS_[[AGRUP. VALOR. PTO.]:[AGRUP. VALOR. PTO.]]=$B33,IF(DATOS_[[Check Periodo Ref.]:[Check Periodo Ref.]]="Dentro",DATOS_[Conc.Sal.23]))))),
0)</f>
        <v>0</v>
      </c>
      <c r="AC34" s="170">
        <f t="array" ref="AC34">IFERROR(
MEDIAN((IF(DATOS_[[Sexo]:[Sexo]]=$B34,IF(DATOS_[[AGRUP. VALOR. PTO.]:[AGRUP. VALOR. PTO.]]=$B33,IF(DATOS_[[Check Periodo Ref.]:[Check Periodo Ref.]]="Dentro",DATOS_[Conc.Sal.24]))))),
0)</f>
        <v>0</v>
      </c>
      <c r="AD34" s="170">
        <f t="array" ref="AD34">IFERROR(
MEDIAN((IF(DATOS_[[Sexo]:[Sexo]]=$B34,IF(DATOS_[[AGRUP. VALOR. PTO.]:[AGRUP. VALOR. PTO.]]=$B33,IF(DATOS_[[Check Periodo Ref.]:[Check Periodo Ref.]]="Dentro",DATOS_[Conc.Sal.25]))))),
0)</f>
        <v>0</v>
      </c>
      <c r="AE34" s="170">
        <f t="array" ref="AE34">IFERROR(
MEDIAN((IF(DATOS_[[Sexo]:[Sexo]]=$B34,IF(DATOS_[[AGRUP. VALOR. PTO.]:[AGRUP. VALOR. PTO.]]=$B33,IF(DATOS_[[Check Periodo Ref.]:[Check Periodo Ref.]]="Dentro",DATOS_[Conc.Sal.26]))))),
0)</f>
        <v>0</v>
      </c>
      <c r="AF34" s="170">
        <f t="array" ref="AF34">IFERROR(
MEDIAN((IF(DATOS_[[Sexo]:[Sexo]]=$B34,IF(DATOS_[[AGRUP. VALOR. PTO.]:[AGRUP. VALOR. PTO.]]=$B33,IF(DATOS_[[Check Periodo Ref.]:[Check Periodo Ref.]]="Dentro",DATOS_[Conc.Sal.27]))))),
0)</f>
        <v>0</v>
      </c>
      <c r="AG34" s="170">
        <f t="array" ref="AG34">IFERROR(
MEDIAN((IF(DATOS_[[Sexo]:[Sexo]]=$B34,IF(DATOS_[[AGRUP. VALOR. PTO.]:[AGRUP. VALOR. PTO.]]=$B33,IF(DATOS_[[Check Periodo Ref.]:[Check Periodo Ref.]]="Dentro",DATOS_[Conc.Sal.28]))))),
0)</f>
        <v>0</v>
      </c>
      <c r="AH34" s="170">
        <f t="array" ref="AH34">IFERROR(
MEDIAN((IF(DATOS_[[Sexo]:[Sexo]]=$B34,IF(DATOS_[[AGRUP. VALOR. PTO.]:[AGRUP. VALOR. PTO.]]=$B33,IF(DATOS_[[Check Periodo Ref.]:[Check Periodo Ref.]]="Dentro",DATOS_[Conc.Sal.29]))))),
0)</f>
        <v>0</v>
      </c>
      <c r="AI34" s="170">
        <f t="array" ref="AI34">IFERROR(
MEDIAN((IF(DATOS_[[Sexo]:[Sexo]]=$B34,IF(DATOS_[[AGRUP. VALOR. PTO.]:[AGRUP. VALOR. PTO.]]=$B33,IF(DATOS_[[Check Periodo Ref.]:[Check Periodo Ref.]]="Dentro",DATOS_[Conc.Sal.30]))))),
0)</f>
        <v>0</v>
      </c>
      <c r="AJ34" s="171">
        <f t="array" ref="AJ34">IFERROR(
MEDIAN(IF(DATOS_[Sexo]=$B34,IF(DATOS_[AGRUP. VALOR. PTO.]=$B33,IF(DATOS_[Check Periodo Ref.]="Dentro",DATOS_[Tot COMPL.SAL Ef],FALSE)))),
0)</f>
        <v>0</v>
      </c>
      <c r="AK34" s="172">
        <f t="array" ref="AK34">IFERROR(
MEDIAN(IF(DATOS_[Sexo]=$B34,IF(DATOS_[AGRUP. VALOR. PTO.]=$B33,IF(DATOS_[Check Periodo Ref.]="Dentro",DATOS_[TOTAL SALARIO Ef],FALSE)))),
0)</f>
        <v>0</v>
      </c>
      <c r="AL34" s="173">
        <f t="array" ref="AL34">IFERROR(
MEDIAN((IF(DATOS_[[Sexo]:[Sexo]]=$B34,IF(DATOS_[[AGRUP. VALOR. PTO.]:[AGRUP. VALOR. PTO.]]=$B33,IF(DATOS_[[Check Periodo Ref.]:[Check Periodo Ref.]]="Dentro",DATOS_[C.Extra.01]))))),
0)</f>
        <v>0</v>
      </c>
      <c r="AM34" s="173">
        <f t="array" ref="AM34">IFERROR(
MEDIAN((IF(DATOS_[[Sexo]:[Sexo]]=$B34,IF(DATOS_[[AGRUP. VALOR. PTO.]:[AGRUP. VALOR. PTO.]]=$B33,IF(DATOS_[[Check Periodo Ref.]:[Check Periodo Ref.]]="Dentro",DATOS_[C.Extra.06]))))),
0)</f>
        <v>0</v>
      </c>
      <c r="AN34" s="173">
        <f t="array" ref="AN34">IFERROR(
MEDIAN((IF(DATOS_[[Sexo]:[Sexo]]=$B34,IF(DATOS_[[AGRUP. VALOR. PTO.]:[AGRUP. VALOR. PTO.]]=$B33,IF(DATOS_[[Check Periodo Ref.]:[Check Periodo Ref.]]="Dentro",DATOS_[C.Extra.07]))))),
0)</f>
        <v>0</v>
      </c>
      <c r="AO34" s="173">
        <f t="array" ref="AO34">IFERROR(
MEDIAN((IF(DATOS_[[Sexo]:[Sexo]]=$B34,IF(DATOS_[[AGRUP. VALOR. PTO.]:[AGRUP. VALOR. PTO.]]=$B33,IF(DATOS_[[Check Periodo Ref.]:[Check Periodo Ref.]]="Dentro",DATOS_[C.Extra.08]))))),
0)</f>
        <v>0</v>
      </c>
      <c r="AP34" s="173">
        <f t="array" ref="AP34">IFERROR(
MEDIAN((IF(DATOS_[[Sexo]:[Sexo]]=$B34,IF(DATOS_[[AGRUP. VALOR. PTO.]:[AGRUP. VALOR. PTO.]]=$B33,IF(DATOS_[[Check Periodo Ref.]:[Check Periodo Ref.]]="Dentro",DATOS_[C.Extra.11]))))),
0)</f>
        <v>0</v>
      </c>
      <c r="AQ34" s="174">
        <f t="array" ref="AQ34">IFERROR(
MEDIAN(IF(DATOS_[Sexo]=$B34,IF(DATOS_[AGRUP. VALOR. PTO.]=$B33,IF(DATOS_[Check Periodo Ref.]="Dentro",DATOS_[Tot Extrasalarial Ef],FALSE)))),
0)</f>
        <v>0</v>
      </c>
      <c r="AR34" s="171">
        <f t="array" ref="AR34">IFERROR(
MEDIAN(IF(DATOS_[Sexo]=$B34,IF(DATOS_[AGRUP. VALOR. PTO.]=$B33,IF(DATOS_[Check Periodo Ref.]="Dentro",DATOS_[TOTAL Retrib Ef],FALSE)))),
0)</f>
        <v>0</v>
      </c>
    </row>
    <row r="35" spans="1:44" x14ac:dyDescent="0.25">
      <c r="A35" s="178" t="str">
        <f t="shared" ref="A35" si="30">+A34</f>
        <v>[ocultar]</v>
      </c>
      <c r="B35" s="166" t="s">
        <v>521</v>
      </c>
      <c r="C35" s="167">
        <f t="array" ref="C35">SUM(IF($B35=DATOS_[Sexo],
IF($B33=DATOS_[AGRUP. VALOR. PTO.],
IF("Dentro"=DATOS_[Check Periodo Ref.],
1/(COUNTIFS(DATOS_[Sexo],$B35,DATOS_[AGRUP. VALOR. PTO.],$B33,DATOS_[Check Periodo Ref.],"Dentro",DATOS_[id/cod],DATOS_[id/cod]))))))</f>
        <v>0</v>
      </c>
      <c r="D35" s="168">
        <f>COUNTIFS(DATOS_[AGRUP. VALOR. PTO.],$B33,DATOS_[Sexo],$B35,DATOS_[Check Periodo Ref.],"Dentro")</f>
        <v>0</v>
      </c>
      <c r="E35" s="169">
        <f t="array" ref="E35">IFERROR(
MEDIAN(IF(DATOS_[Sexo]=$B35,IF(DATOS_[AGRUP. VALOR. PTO.]=$B33,IF(DATOS_[Check Periodo Ref.]="Dentro",DATOS_[SALARIO BASE Ef],FALSE)))),
0)</f>
        <v>0</v>
      </c>
      <c r="F35" s="170">
        <f t="array" ref="F35">IFERROR(
MEDIAN((IF(DATOS_[[Sexo]:[Sexo]]=$B35,IF(DATOS_[[AGRUP. VALOR. PTO.]:[AGRUP. VALOR. PTO.]]=$B33,IF(DATOS_[[Check Periodo Ref.]:[Check Periodo Ref.]]="Dentro",DATOS_[Conc.Sal.01]))))),
0)</f>
        <v>0</v>
      </c>
      <c r="G35" s="170">
        <f t="array" ref="G35">IFERROR(
MEDIAN((IF(DATOS_[[Sexo]:[Sexo]]=$B35,IF(DATOS_[[AGRUP. VALOR. PTO.]:[AGRUP. VALOR. PTO.]]=$B33,IF(DATOS_[[Check Periodo Ref.]:[Check Periodo Ref.]]="Dentro",DATOS_[Conc.Sal.02]))))),
0)</f>
        <v>0</v>
      </c>
      <c r="H35" s="170">
        <f t="array" ref="H35">IFERROR(
MEDIAN((IF(DATOS_[[Sexo]:[Sexo]]=$B35,IF(DATOS_[[AGRUP. VALOR. PTO.]:[AGRUP. VALOR. PTO.]]=$B33,IF(DATOS_[[Check Periodo Ref.]:[Check Periodo Ref.]]="Dentro",DATOS_[Conc.Sal.03]))))),
0)</f>
        <v>0</v>
      </c>
      <c r="I35" s="170">
        <f t="array" ref="I35">IFERROR(
MEDIAN((IF(DATOS_[[Sexo]:[Sexo]]=$B35,IF(DATOS_[[AGRUP. VALOR. PTO.]:[AGRUP. VALOR. PTO.]]=$B33,IF(DATOS_[[Check Periodo Ref.]:[Check Periodo Ref.]]="Dentro",DATOS_[Conc.Sal.04]))))),
0)</f>
        <v>0</v>
      </c>
      <c r="J35" s="170">
        <f t="array" ref="J35">IFERROR(
MEDIAN((IF(DATOS_[[Sexo]:[Sexo]]=$B35,IF(DATOS_[[AGRUP. VALOR. PTO.]:[AGRUP. VALOR. PTO.]]=$B33,IF(DATOS_[[Check Periodo Ref.]:[Check Periodo Ref.]]="Dentro",DATOS_[Conc.Sal.05]))))),
0)</f>
        <v>0</v>
      </c>
      <c r="K35" s="170">
        <f t="array" ref="K35">IFERROR(
MEDIAN((IF(DATOS_[[Sexo]:[Sexo]]=$B35,IF(DATOS_[[AGRUP. VALOR. PTO.]:[AGRUP. VALOR. PTO.]]=$B33,IF(DATOS_[[Check Periodo Ref.]:[Check Periodo Ref.]]="Dentro",DATOS_[Conc.Sal.06]))))),
0)</f>
        <v>0</v>
      </c>
      <c r="L35" s="170">
        <f t="array" ref="L35">IFERROR(
MEDIAN((IF(DATOS_[[Sexo]:[Sexo]]=$B35,IF(DATOS_[[AGRUP. VALOR. PTO.]:[AGRUP. VALOR. PTO.]]=$B33,IF(DATOS_[[Check Periodo Ref.]:[Check Periodo Ref.]]="Dentro",DATOS_[Conc.Sal.07]))))),
0)</f>
        <v>0</v>
      </c>
      <c r="M35" s="170">
        <f t="array" ref="M35">IFERROR(
MEDIAN((IF(DATOS_[[Sexo]:[Sexo]]=$B35,IF(DATOS_[[AGRUP. VALOR. PTO.]:[AGRUP. VALOR. PTO.]]=$B33,IF(DATOS_[[Check Periodo Ref.]:[Check Periodo Ref.]]="Dentro",DATOS_[Conc.Sal.08]))))),
0)</f>
        <v>0</v>
      </c>
      <c r="N35" s="170">
        <f t="array" ref="N35">IFERROR(
MEDIAN((IF(DATOS_[[Sexo]:[Sexo]]=$B35,IF(DATOS_[[AGRUP. VALOR. PTO.]:[AGRUP. VALOR. PTO.]]=$B33,IF(DATOS_[[Check Periodo Ref.]:[Check Periodo Ref.]]="Dentro",DATOS_[Conc.Sal.09]))))),
0)</f>
        <v>0</v>
      </c>
      <c r="O35" s="170">
        <f t="array" ref="O35">IFERROR(
MEDIAN((IF(DATOS_[[Sexo]:[Sexo]]=$B35,IF(DATOS_[[AGRUP. VALOR. PTO.]:[AGRUP. VALOR. PTO.]]=$B33,IF(DATOS_[[Check Periodo Ref.]:[Check Periodo Ref.]]="Dentro",DATOS_[Conc.Sal.10]))))),
0)</f>
        <v>0</v>
      </c>
      <c r="P35" s="170">
        <f t="array" ref="P35">IFERROR(
MEDIAN((IF(DATOS_[[Sexo]:[Sexo]]=$B35,IF(DATOS_[[AGRUP. VALOR. PTO.]:[AGRUP. VALOR. PTO.]]=$B33,IF(DATOS_[[Check Periodo Ref.]:[Check Periodo Ref.]]="Dentro",DATOS_[Conc.Sal.11]))))),
0)</f>
        <v>0</v>
      </c>
      <c r="Q35" s="170">
        <f t="array" ref="Q35">IFERROR(
MEDIAN((IF(DATOS_[[Sexo]:[Sexo]]=$B35,IF(DATOS_[[AGRUP. VALOR. PTO.]:[AGRUP. VALOR. PTO.]]=$B33,IF(DATOS_[[Check Periodo Ref.]:[Check Periodo Ref.]]="Dentro",DATOS_[Conc.Sal.12]))))),
0)</f>
        <v>0</v>
      </c>
      <c r="R35" s="170">
        <f t="array" ref="R35">IFERROR(
MEDIAN((IF(DATOS_[[Sexo]:[Sexo]]=$B35,IF(DATOS_[[AGRUP. VALOR. PTO.]:[AGRUP. VALOR. PTO.]]=$B33,IF(DATOS_[[Check Periodo Ref.]:[Check Periodo Ref.]]="Dentro",DATOS_[Conc.Sal.13]))))),
0)</f>
        <v>0</v>
      </c>
      <c r="S35" s="170">
        <f t="array" ref="S35">IFERROR(
MEDIAN((IF(DATOS_[[Sexo]:[Sexo]]=$B35,IF(DATOS_[[AGRUP. VALOR. PTO.]:[AGRUP. VALOR. PTO.]]=$B33,IF(DATOS_[[Check Periodo Ref.]:[Check Periodo Ref.]]="Dentro",DATOS_[Conc.Sal.14]))))),
0)</f>
        <v>0</v>
      </c>
      <c r="T35" s="170">
        <f t="array" ref="T35">IFERROR(
MEDIAN((IF(DATOS_[[Sexo]:[Sexo]]=$B35,IF(DATOS_[[AGRUP. VALOR. PTO.]:[AGRUP. VALOR. PTO.]]=$B33,IF(DATOS_[[Check Periodo Ref.]:[Check Periodo Ref.]]="Dentro",DATOS_[Conc.Sal.15]))))),
0)</f>
        <v>0</v>
      </c>
      <c r="U35" s="170">
        <f t="array" ref="U35">IFERROR(
MEDIAN((IF(DATOS_[[Sexo]:[Sexo]]=$B35,IF(DATOS_[[AGRUP. VALOR. PTO.]:[AGRUP. VALOR. PTO.]]=$B33,IF(DATOS_[[Check Periodo Ref.]:[Check Periodo Ref.]]="Dentro",DATOS_[Conc.Sal.16]))))),
0)</f>
        <v>0</v>
      </c>
      <c r="V35" s="170">
        <f t="array" ref="V35">IFERROR(
MEDIAN((IF(DATOS_[[Sexo]:[Sexo]]=$B35,IF(DATOS_[[AGRUP. VALOR. PTO.]:[AGRUP. VALOR. PTO.]]=$B33,IF(DATOS_[[Check Periodo Ref.]:[Check Periodo Ref.]]="Dentro",DATOS_[Conc.Sal.17]))))),
0)</f>
        <v>0</v>
      </c>
      <c r="W35" s="170">
        <f t="array" ref="W35">IFERROR(
MEDIAN((IF(DATOS_[[Sexo]:[Sexo]]=$B35,IF(DATOS_[[AGRUP. VALOR. PTO.]:[AGRUP. VALOR. PTO.]]=$B33,IF(DATOS_[[Check Periodo Ref.]:[Check Periodo Ref.]]="Dentro",DATOS_[Conc.Sal.18]))))),
0)</f>
        <v>0</v>
      </c>
      <c r="X35" s="170">
        <f t="array" ref="X35">IFERROR(
MEDIAN((IF(DATOS_[[Sexo]:[Sexo]]=$B35,IF(DATOS_[[AGRUP. VALOR. PTO.]:[AGRUP. VALOR. PTO.]]=$B33,IF(DATOS_[[Check Periodo Ref.]:[Check Periodo Ref.]]="Dentro",DATOS_[Conc.Sal.19]))))),
0)</f>
        <v>0</v>
      </c>
      <c r="Y35" s="170">
        <f t="array" ref="Y35">IFERROR(
MEDIAN((IF(DATOS_[[Sexo]:[Sexo]]=$B35,IF(DATOS_[[AGRUP. VALOR. PTO.]:[AGRUP. VALOR. PTO.]]=$B33,IF(DATOS_[[Check Periodo Ref.]:[Check Periodo Ref.]]="Dentro",DATOS_[Conc.Sal.20]))))),
0)</f>
        <v>0</v>
      </c>
      <c r="Z35" s="170">
        <f t="array" ref="Z35">IFERROR(
MEDIAN((IF(DATOS_[[Sexo]:[Sexo]]=$B35,IF(DATOS_[[AGRUP. VALOR. PTO.]:[AGRUP. VALOR. PTO.]]=$B33,IF(DATOS_[[Check Periodo Ref.]:[Check Periodo Ref.]]="Dentro",DATOS_[Conc.Sal.21]))))),
0)</f>
        <v>0</v>
      </c>
      <c r="AA35" s="170">
        <f t="array" ref="AA35">IFERROR(
MEDIAN((IF(DATOS_[[Sexo]:[Sexo]]=$B35,IF(DATOS_[[AGRUP. VALOR. PTO.]:[AGRUP. VALOR. PTO.]]=$B33,IF(DATOS_[[Check Periodo Ref.]:[Check Periodo Ref.]]="Dentro",DATOS_[Conc.Sal.22]))))),
0)</f>
        <v>0</v>
      </c>
      <c r="AB35" s="170">
        <f t="array" ref="AB35">IFERROR(
MEDIAN((IF(DATOS_[[Sexo]:[Sexo]]=$B35,IF(DATOS_[[AGRUP. VALOR. PTO.]:[AGRUP. VALOR. PTO.]]=$B33,IF(DATOS_[[Check Periodo Ref.]:[Check Periodo Ref.]]="Dentro",DATOS_[Conc.Sal.23]))))),
0)</f>
        <v>0</v>
      </c>
      <c r="AC35" s="170">
        <f t="array" ref="AC35">IFERROR(
MEDIAN((IF(DATOS_[[Sexo]:[Sexo]]=$B35,IF(DATOS_[[AGRUP. VALOR. PTO.]:[AGRUP. VALOR. PTO.]]=$B33,IF(DATOS_[[Check Periodo Ref.]:[Check Periodo Ref.]]="Dentro",DATOS_[Conc.Sal.24]))))),
0)</f>
        <v>0</v>
      </c>
      <c r="AD35" s="170">
        <f t="array" ref="AD35">IFERROR(
MEDIAN((IF(DATOS_[[Sexo]:[Sexo]]=$B35,IF(DATOS_[[AGRUP. VALOR. PTO.]:[AGRUP. VALOR. PTO.]]=$B33,IF(DATOS_[[Check Periodo Ref.]:[Check Periodo Ref.]]="Dentro",DATOS_[Conc.Sal.25]))))),
0)</f>
        <v>0</v>
      </c>
      <c r="AE35" s="170">
        <f t="array" ref="AE35">IFERROR(
MEDIAN((IF(DATOS_[[Sexo]:[Sexo]]=$B35,IF(DATOS_[[AGRUP. VALOR. PTO.]:[AGRUP. VALOR. PTO.]]=$B33,IF(DATOS_[[Check Periodo Ref.]:[Check Periodo Ref.]]="Dentro",DATOS_[Conc.Sal.26]))))),
0)</f>
        <v>0</v>
      </c>
      <c r="AF35" s="170">
        <f t="array" ref="AF35">IFERROR(
MEDIAN((IF(DATOS_[[Sexo]:[Sexo]]=$B35,IF(DATOS_[[AGRUP. VALOR. PTO.]:[AGRUP. VALOR. PTO.]]=$B33,IF(DATOS_[[Check Periodo Ref.]:[Check Periodo Ref.]]="Dentro",DATOS_[Conc.Sal.27]))))),
0)</f>
        <v>0</v>
      </c>
      <c r="AG35" s="170">
        <f t="array" ref="AG35">IFERROR(
MEDIAN((IF(DATOS_[[Sexo]:[Sexo]]=$B35,IF(DATOS_[[AGRUP. VALOR. PTO.]:[AGRUP. VALOR. PTO.]]=$B33,IF(DATOS_[[Check Periodo Ref.]:[Check Periodo Ref.]]="Dentro",DATOS_[Conc.Sal.28]))))),
0)</f>
        <v>0</v>
      </c>
      <c r="AH35" s="170">
        <f t="array" ref="AH35">IFERROR(
MEDIAN((IF(DATOS_[[Sexo]:[Sexo]]=$B35,IF(DATOS_[[AGRUP. VALOR. PTO.]:[AGRUP. VALOR. PTO.]]=$B33,IF(DATOS_[[Check Periodo Ref.]:[Check Periodo Ref.]]="Dentro",DATOS_[Conc.Sal.29]))))),
0)</f>
        <v>0</v>
      </c>
      <c r="AI35" s="170">
        <f t="array" ref="AI35">IFERROR(
MEDIAN((IF(DATOS_[[Sexo]:[Sexo]]=$B35,IF(DATOS_[[AGRUP. VALOR. PTO.]:[AGRUP. VALOR. PTO.]]=$B33,IF(DATOS_[[Check Periodo Ref.]:[Check Periodo Ref.]]="Dentro",DATOS_[Conc.Sal.30]))))),
0)</f>
        <v>0</v>
      </c>
      <c r="AJ35" s="171">
        <f t="array" ref="AJ35">IFERROR(
MEDIAN(IF(DATOS_[Sexo]=$B35,IF(DATOS_[AGRUP. VALOR. PTO.]=$B33,IF(DATOS_[Check Periodo Ref.]="Dentro",DATOS_[Tot COMPL.SAL Ef],FALSE)))),
0)</f>
        <v>0</v>
      </c>
      <c r="AK35" s="172">
        <f t="array" ref="AK35">IFERROR(
MEDIAN(IF(DATOS_[Sexo]=$B35,IF(DATOS_[AGRUP. VALOR. PTO.]=$B33,IF(DATOS_[Check Periodo Ref.]="Dentro",DATOS_[TOTAL SALARIO Ef],FALSE)))),
0)</f>
        <v>0</v>
      </c>
      <c r="AL35" s="173">
        <f t="array" ref="AL35">IFERROR(
MEDIAN((IF(DATOS_[[Sexo]:[Sexo]]=$B35,IF(DATOS_[[AGRUP. VALOR. PTO.]:[AGRUP. VALOR. PTO.]]=$B33,IF(DATOS_[[Check Periodo Ref.]:[Check Periodo Ref.]]="Dentro",DATOS_[C.Extra.01]))))),
0)</f>
        <v>0</v>
      </c>
      <c r="AM35" s="173">
        <f t="array" ref="AM35">IFERROR(
MEDIAN((IF(DATOS_[[Sexo]:[Sexo]]=$B35,IF(DATOS_[[AGRUP. VALOR. PTO.]:[AGRUP. VALOR. PTO.]]=$B33,IF(DATOS_[[Check Periodo Ref.]:[Check Periodo Ref.]]="Dentro",DATOS_[C.Extra.06]))))),
0)</f>
        <v>0</v>
      </c>
      <c r="AN35" s="173">
        <f t="array" ref="AN35">IFERROR(
MEDIAN((IF(DATOS_[[Sexo]:[Sexo]]=$B35,IF(DATOS_[[AGRUP. VALOR. PTO.]:[AGRUP. VALOR. PTO.]]=$B33,IF(DATOS_[[Check Periodo Ref.]:[Check Periodo Ref.]]="Dentro",DATOS_[C.Extra.07]))))),
0)</f>
        <v>0</v>
      </c>
      <c r="AO35" s="173">
        <f t="array" ref="AO35">IFERROR(
MEDIAN((IF(DATOS_[[Sexo]:[Sexo]]=$B35,IF(DATOS_[[AGRUP. VALOR. PTO.]:[AGRUP. VALOR. PTO.]]=$B33,IF(DATOS_[[Check Periodo Ref.]:[Check Periodo Ref.]]="Dentro",DATOS_[C.Extra.08]))))),
0)</f>
        <v>0</v>
      </c>
      <c r="AP35" s="173">
        <f t="array" ref="AP35">IFERROR(
MEDIAN((IF(DATOS_[[Sexo]:[Sexo]]=$B35,IF(DATOS_[[AGRUP. VALOR. PTO.]:[AGRUP. VALOR. PTO.]]=$B33,IF(DATOS_[[Check Periodo Ref.]:[Check Periodo Ref.]]="Dentro",DATOS_[C.Extra.11]))))),
0)</f>
        <v>0</v>
      </c>
      <c r="AQ35" s="174">
        <f t="array" ref="AQ35">IFERROR(
MEDIAN(IF(DATOS_[Sexo]=$B35,IF(DATOS_[AGRUP. VALOR. PTO.]=$B33,IF(DATOS_[Check Periodo Ref.]="Dentro",DATOS_[Tot Extrasalarial Ef],FALSE)))),
0)</f>
        <v>0</v>
      </c>
      <c r="AR35" s="171">
        <f t="array" ref="AR35">IFERROR(
MEDIAN(IF(DATOS_[Sexo]=$B35,IF(DATOS_[AGRUP. VALOR. PTO.]=$B33,IF(DATOS_[Check Periodo Ref.]="Dentro",DATOS_[TOTAL Retrib Ef],FALSE)))),
0)</f>
        <v>0</v>
      </c>
    </row>
    <row r="36" spans="1:44" ht="14.4" thickBot="1" x14ac:dyDescent="0.3">
      <c r="A36" s="178" t="str">
        <f t="shared" ref="A36" si="31">+A37</f>
        <v>[ocultar]</v>
      </c>
      <c r="B36" s="153" t="s">
        <v>204</v>
      </c>
      <c r="C36" s="154"/>
      <c r="D36" s="155"/>
      <c r="E36" s="156" t="str">
        <f t="shared" ref="E36:AR36" si="32">IFERROR((E37-E38)/E37,"")</f>
        <v/>
      </c>
      <c r="F36" s="157" t="str">
        <f t="shared" si="32"/>
        <v/>
      </c>
      <c r="G36" s="158" t="str">
        <f t="shared" si="32"/>
        <v/>
      </c>
      <c r="H36" s="158" t="str">
        <f t="shared" si="32"/>
        <v/>
      </c>
      <c r="I36" s="158" t="str">
        <f t="shared" si="32"/>
        <v/>
      </c>
      <c r="J36" s="159" t="str">
        <f t="shared" si="32"/>
        <v/>
      </c>
      <c r="K36" s="160" t="str">
        <f t="shared" si="32"/>
        <v/>
      </c>
      <c r="L36" s="160" t="str">
        <f t="shared" si="32"/>
        <v/>
      </c>
      <c r="M36" s="160" t="str">
        <f t="shared" si="32"/>
        <v/>
      </c>
      <c r="N36" s="160" t="str">
        <f t="shared" si="32"/>
        <v/>
      </c>
      <c r="O36" s="160" t="str">
        <f t="shared" si="32"/>
        <v/>
      </c>
      <c r="P36" s="160" t="str">
        <f t="shared" si="32"/>
        <v/>
      </c>
      <c r="Q36" s="160" t="str">
        <f t="shared" si="32"/>
        <v/>
      </c>
      <c r="R36" s="160" t="str">
        <f t="shared" si="32"/>
        <v/>
      </c>
      <c r="S36" s="160" t="str">
        <f t="shared" si="32"/>
        <v/>
      </c>
      <c r="T36" s="160" t="str">
        <f t="shared" si="32"/>
        <v/>
      </c>
      <c r="U36" s="160" t="str">
        <f t="shared" si="32"/>
        <v/>
      </c>
      <c r="V36" s="159" t="str">
        <f t="shared" si="32"/>
        <v/>
      </c>
      <c r="W36" s="159" t="str">
        <f t="shared" si="32"/>
        <v/>
      </c>
      <c r="X36" s="159" t="str">
        <f t="shared" si="32"/>
        <v/>
      </c>
      <c r="Y36" s="159" t="str">
        <f t="shared" si="32"/>
        <v/>
      </c>
      <c r="Z36" s="159" t="str">
        <f t="shared" si="32"/>
        <v/>
      </c>
      <c r="AA36" s="159" t="str">
        <f t="shared" si="32"/>
        <v/>
      </c>
      <c r="AB36" s="159" t="str">
        <f t="shared" si="32"/>
        <v/>
      </c>
      <c r="AC36" s="159" t="str">
        <f t="shared" si="32"/>
        <v/>
      </c>
      <c r="AD36" s="159" t="str">
        <f t="shared" si="32"/>
        <v/>
      </c>
      <c r="AE36" s="159" t="str">
        <f t="shared" si="32"/>
        <v/>
      </c>
      <c r="AF36" s="159" t="str">
        <f t="shared" si="32"/>
        <v/>
      </c>
      <c r="AG36" s="159" t="str">
        <f t="shared" si="32"/>
        <v/>
      </c>
      <c r="AH36" s="159" t="str">
        <f t="shared" si="32"/>
        <v/>
      </c>
      <c r="AI36" s="159" t="str">
        <f t="shared" si="32"/>
        <v/>
      </c>
      <c r="AJ36" s="161" t="str">
        <f t="shared" si="32"/>
        <v/>
      </c>
      <c r="AK36" s="162" t="str">
        <f t="shared" si="32"/>
        <v/>
      </c>
      <c r="AL36" s="163" t="str">
        <f t="shared" si="32"/>
        <v/>
      </c>
      <c r="AM36" s="163" t="str">
        <f t="shared" si="32"/>
        <v/>
      </c>
      <c r="AN36" s="163" t="str">
        <f t="shared" si="32"/>
        <v/>
      </c>
      <c r="AO36" s="163" t="str">
        <f t="shared" si="32"/>
        <v/>
      </c>
      <c r="AP36" s="163" t="str">
        <f t="shared" si="32"/>
        <v/>
      </c>
      <c r="AQ36" s="164" t="str">
        <f t="shared" si="32"/>
        <v/>
      </c>
      <c r="AR36" s="161" t="str">
        <f t="shared" si="32"/>
        <v/>
      </c>
    </row>
    <row r="37" spans="1:44" x14ac:dyDescent="0.25">
      <c r="A37" s="178" t="str">
        <f t="shared" ref="A37" si="33">+IF(C37+C38=0,"[ocultar]","")</f>
        <v>[ocultar]</v>
      </c>
      <c r="B37" s="166" t="s">
        <v>394</v>
      </c>
      <c r="C37" s="167">
        <f t="array" ref="C37">SUM(IF($B37=DATOS_[Sexo],
IF($B36=DATOS_[AGRUP. VALOR. PTO.],
IF("Dentro"=DATOS_[Check Periodo Ref.],
1/(COUNTIFS(DATOS_[Sexo],$B37,DATOS_[AGRUP. VALOR. PTO.],$B36,DATOS_[Check Periodo Ref.],"Dentro",DATOS_[id/cod],DATOS_[id/cod]))))))</f>
        <v>0</v>
      </c>
      <c r="D37" s="168">
        <f>COUNTIFS(DATOS_[AGRUP. VALOR. PTO.],$B36,DATOS_[Sexo],$B37,DATOS_[Check Periodo Ref.],"Dentro")</f>
        <v>0</v>
      </c>
      <c r="E37" s="169">
        <f t="array" ref="E37">IFERROR(
MEDIAN(IF(DATOS_[Sexo]=$B37,IF(DATOS_[AGRUP. VALOR. PTO.]=$B36,IF(DATOS_[Check Periodo Ref.]="Dentro",DATOS_[SALARIO BASE Ef],FALSE)))),
0)</f>
        <v>0</v>
      </c>
      <c r="F37" s="170">
        <f t="array" ref="F37">IFERROR(
MEDIAN((IF(DATOS_[[Sexo]:[Sexo]]=$B37,IF(DATOS_[[AGRUP. VALOR. PTO.]:[AGRUP. VALOR. PTO.]]=$B36,IF(DATOS_[[Check Periodo Ref.]:[Check Periodo Ref.]]="Dentro",DATOS_[Conc.Sal.01]))))),
0)</f>
        <v>0</v>
      </c>
      <c r="G37" s="170">
        <f t="array" ref="G37">IFERROR(
MEDIAN((IF(DATOS_[[Sexo]:[Sexo]]=$B37,IF(DATOS_[[AGRUP. VALOR. PTO.]:[AGRUP. VALOR. PTO.]]=$B36,IF(DATOS_[[Check Periodo Ref.]:[Check Periodo Ref.]]="Dentro",DATOS_[Conc.Sal.02]))))),
0)</f>
        <v>0</v>
      </c>
      <c r="H37" s="170">
        <f t="array" ref="H37">IFERROR(
MEDIAN((IF(DATOS_[[Sexo]:[Sexo]]=$B37,IF(DATOS_[[AGRUP. VALOR. PTO.]:[AGRUP. VALOR. PTO.]]=$B36,IF(DATOS_[[Check Periodo Ref.]:[Check Periodo Ref.]]="Dentro",DATOS_[Conc.Sal.03]))))),
0)</f>
        <v>0</v>
      </c>
      <c r="I37" s="170">
        <f t="array" ref="I37">IFERROR(
MEDIAN((IF(DATOS_[[Sexo]:[Sexo]]=$B37,IF(DATOS_[[AGRUP. VALOR. PTO.]:[AGRUP. VALOR. PTO.]]=$B36,IF(DATOS_[[Check Periodo Ref.]:[Check Periodo Ref.]]="Dentro",DATOS_[Conc.Sal.04]))))),
0)</f>
        <v>0</v>
      </c>
      <c r="J37" s="170">
        <f t="array" ref="J37">IFERROR(
MEDIAN((IF(DATOS_[[Sexo]:[Sexo]]=$B37,IF(DATOS_[[AGRUP. VALOR. PTO.]:[AGRUP. VALOR. PTO.]]=$B36,IF(DATOS_[[Check Periodo Ref.]:[Check Periodo Ref.]]="Dentro",DATOS_[Conc.Sal.05]))))),
0)</f>
        <v>0</v>
      </c>
      <c r="K37" s="170">
        <f t="array" ref="K37">IFERROR(
MEDIAN((IF(DATOS_[[Sexo]:[Sexo]]=$B37,IF(DATOS_[[AGRUP. VALOR. PTO.]:[AGRUP. VALOR. PTO.]]=$B36,IF(DATOS_[[Check Periodo Ref.]:[Check Periodo Ref.]]="Dentro",DATOS_[Conc.Sal.06]))))),
0)</f>
        <v>0</v>
      </c>
      <c r="L37" s="170">
        <f t="array" ref="L37">IFERROR(
MEDIAN((IF(DATOS_[[Sexo]:[Sexo]]=$B37,IF(DATOS_[[AGRUP. VALOR. PTO.]:[AGRUP. VALOR. PTO.]]=$B36,IF(DATOS_[[Check Periodo Ref.]:[Check Periodo Ref.]]="Dentro",DATOS_[Conc.Sal.07]))))),
0)</f>
        <v>0</v>
      </c>
      <c r="M37" s="170">
        <f t="array" ref="M37">IFERROR(
MEDIAN((IF(DATOS_[[Sexo]:[Sexo]]=$B37,IF(DATOS_[[AGRUP. VALOR. PTO.]:[AGRUP. VALOR. PTO.]]=$B36,IF(DATOS_[[Check Periodo Ref.]:[Check Periodo Ref.]]="Dentro",DATOS_[Conc.Sal.08]))))),
0)</f>
        <v>0</v>
      </c>
      <c r="N37" s="170">
        <f t="array" ref="N37">IFERROR(
MEDIAN((IF(DATOS_[[Sexo]:[Sexo]]=$B37,IF(DATOS_[[AGRUP. VALOR. PTO.]:[AGRUP. VALOR. PTO.]]=$B36,IF(DATOS_[[Check Periodo Ref.]:[Check Periodo Ref.]]="Dentro",DATOS_[Conc.Sal.09]))))),
0)</f>
        <v>0</v>
      </c>
      <c r="O37" s="170">
        <f t="array" ref="O37">IFERROR(
MEDIAN((IF(DATOS_[[Sexo]:[Sexo]]=$B37,IF(DATOS_[[AGRUP. VALOR. PTO.]:[AGRUP. VALOR. PTO.]]=$B36,IF(DATOS_[[Check Periodo Ref.]:[Check Periodo Ref.]]="Dentro",DATOS_[Conc.Sal.10]))))),
0)</f>
        <v>0</v>
      </c>
      <c r="P37" s="170">
        <f t="array" ref="P37">IFERROR(
MEDIAN((IF(DATOS_[[Sexo]:[Sexo]]=$B37,IF(DATOS_[[AGRUP. VALOR. PTO.]:[AGRUP. VALOR. PTO.]]=$B36,IF(DATOS_[[Check Periodo Ref.]:[Check Periodo Ref.]]="Dentro",DATOS_[Conc.Sal.11]))))),
0)</f>
        <v>0</v>
      </c>
      <c r="Q37" s="170">
        <f t="array" ref="Q37">IFERROR(
MEDIAN((IF(DATOS_[[Sexo]:[Sexo]]=$B37,IF(DATOS_[[AGRUP. VALOR. PTO.]:[AGRUP. VALOR. PTO.]]=$B36,IF(DATOS_[[Check Periodo Ref.]:[Check Periodo Ref.]]="Dentro",DATOS_[Conc.Sal.12]))))),
0)</f>
        <v>0</v>
      </c>
      <c r="R37" s="170">
        <f t="array" ref="R37">IFERROR(
MEDIAN((IF(DATOS_[[Sexo]:[Sexo]]=$B37,IF(DATOS_[[AGRUP. VALOR. PTO.]:[AGRUP. VALOR. PTO.]]=$B36,IF(DATOS_[[Check Periodo Ref.]:[Check Periodo Ref.]]="Dentro",DATOS_[Conc.Sal.13]))))),
0)</f>
        <v>0</v>
      </c>
      <c r="S37" s="170">
        <f t="array" ref="S37">IFERROR(
MEDIAN((IF(DATOS_[[Sexo]:[Sexo]]=$B37,IF(DATOS_[[AGRUP. VALOR. PTO.]:[AGRUP. VALOR. PTO.]]=$B36,IF(DATOS_[[Check Periodo Ref.]:[Check Periodo Ref.]]="Dentro",DATOS_[Conc.Sal.14]))))),
0)</f>
        <v>0</v>
      </c>
      <c r="T37" s="170">
        <f t="array" ref="T37">IFERROR(
MEDIAN((IF(DATOS_[[Sexo]:[Sexo]]=$B37,IF(DATOS_[[AGRUP. VALOR. PTO.]:[AGRUP. VALOR. PTO.]]=$B36,IF(DATOS_[[Check Periodo Ref.]:[Check Periodo Ref.]]="Dentro",DATOS_[Conc.Sal.15]))))),
0)</f>
        <v>0</v>
      </c>
      <c r="U37" s="170">
        <f t="array" ref="U37">IFERROR(
MEDIAN((IF(DATOS_[[Sexo]:[Sexo]]=$B37,IF(DATOS_[[AGRUP. VALOR. PTO.]:[AGRUP. VALOR. PTO.]]=$B36,IF(DATOS_[[Check Periodo Ref.]:[Check Periodo Ref.]]="Dentro",DATOS_[Conc.Sal.16]))))),
0)</f>
        <v>0</v>
      </c>
      <c r="V37" s="170">
        <f t="array" ref="V37">IFERROR(
MEDIAN((IF(DATOS_[[Sexo]:[Sexo]]=$B37,IF(DATOS_[[AGRUP. VALOR. PTO.]:[AGRUP. VALOR. PTO.]]=$B36,IF(DATOS_[[Check Periodo Ref.]:[Check Periodo Ref.]]="Dentro",DATOS_[Conc.Sal.17]))))),
0)</f>
        <v>0</v>
      </c>
      <c r="W37" s="170">
        <f t="array" ref="W37">IFERROR(
MEDIAN((IF(DATOS_[[Sexo]:[Sexo]]=$B37,IF(DATOS_[[AGRUP. VALOR. PTO.]:[AGRUP. VALOR. PTO.]]=$B36,IF(DATOS_[[Check Periodo Ref.]:[Check Periodo Ref.]]="Dentro",DATOS_[Conc.Sal.18]))))),
0)</f>
        <v>0</v>
      </c>
      <c r="X37" s="170">
        <f t="array" ref="X37">IFERROR(
MEDIAN((IF(DATOS_[[Sexo]:[Sexo]]=$B37,IF(DATOS_[[AGRUP. VALOR. PTO.]:[AGRUP. VALOR. PTO.]]=$B36,IF(DATOS_[[Check Periodo Ref.]:[Check Periodo Ref.]]="Dentro",DATOS_[Conc.Sal.19]))))),
0)</f>
        <v>0</v>
      </c>
      <c r="Y37" s="170">
        <f t="array" ref="Y37">IFERROR(
MEDIAN((IF(DATOS_[[Sexo]:[Sexo]]=$B37,IF(DATOS_[[AGRUP. VALOR. PTO.]:[AGRUP. VALOR. PTO.]]=$B36,IF(DATOS_[[Check Periodo Ref.]:[Check Periodo Ref.]]="Dentro",DATOS_[Conc.Sal.20]))))),
0)</f>
        <v>0</v>
      </c>
      <c r="Z37" s="170">
        <f t="array" ref="Z37">IFERROR(
MEDIAN((IF(DATOS_[[Sexo]:[Sexo]]=$B37,IF(DATOS_[[AGRUP. VALOR. PTO.]:[AGRUP. VALOR. PTO.]]=$B36,IF(DATOS_[[Check Periodo Ref.]:[Check Periodo Ref.]]="Dentro",DATOS_[Conc.Sal.21]))))),
0)</f>
        <v>0</v>
      </c>
      <c r="AA37" s="170">
        <f t="array" ref="AA37">IFERROR(
MEDIAN((IF(DATOS_[[Sexo]:[Sexo]]=$B37,IF(DATOS_[[AGRUP. VALOR. PTO.]:[AGRUP. VALOR. PTO.]]=$B36,IF(DATOS_[[Check Periodo Ref.]:[Check Periodo Ref.]]="Dentro",DATOS_[Conc.Sal.22]))))),
0)</f>
        <v>0</v>
      </c>
      <c r="AB37" s="170">
        <f t="array" ref="AB37">IFERROR(
MEDIAN((IF(DATOS_[[Sexo]:[Sexo]]=$B37,IF(DATOS_[[AGRUP. VALOR. PTO.]:[AGRUP. VALOR. PTO.]]=$B36,IF(DATOS_[[Check Periodo Ref.]:[Check Periodo Ref.]]="Dentro",DATOS_[Conc.Sal.23]))))),
0)</f>
        <v>0</v>
      </c>
      <c r="AC37" s="170">
        <f t="array" ref="AC37">IFERROR(
MEDIAN((IF(DATOS_[[Sexo]:[Sexo]]=$B37,IF(DATOS_[[AGRUP. VALOR. PTO.]:[AGRUP. VALOR. PTO.]]=$B36,IF(DATOS_[[Check Periodo Ref.]:[Check Periodo Ref.]]="Dentro",DATOS_[Conc.Sal.24]))))),
0)</f>
        <v>0</v>
      </c>
      <c r="AD37" s="170">
        <f t="array" ref="AD37">IFERROR(
MEDIAN((IF(DATOS_[[Sexo]:[Sexo]]=$B37,IF(DATOS_[[AGRUP. VALOR. PTO.]:[AGRUP. VALOR. PTO.]]=$B36,IF(DATOS_[[Check Periodo Ref.]:[Check Periodo Ref.]]="Dentro",DATOS_[Conc.Sal.25]))))),
0)</f>
        <v>0</v>
      </c>
      <c r="AE37" s="170">
        <f t="array" ref="AE37">IFERROR(
MEDIAN((IF(DATOS_[[Sexo]:[Sexo]]=$B37,IF(DATOS_[[AGRUP. VALOR. PTO.]:[AGRUP. VALOR. PTO.]]=$B36,IF(DATOS_[[Check Periodo Ref.]:[Check Periodo Ref.]]="Dentro",DATOS_[Conc.Sal.26]))))),
0)</f>
        <v>0</v>
      </c>
      <c r="AF37" s="170">
        <f t="array" ref="AF37">IFERROR(
MEDIAN((IF(DATOS_[[Sexo]:[Sexo]]=$B37,IF(DATOS_[[AGRUP. VALOR. PTO.]:[AGRUP. VALOR. PTO.]]=$B36,IF(DATOS_[[Check Periodo Ref.]:[Check Periodo Ref.]]="Dentro",DATOS_[Conc.Sal.27]))))),
0)</f>
        <v>0</v>
      </c>
      <c r="AG37" s="170">
        <f t="array" ref="AG37">IFERROR(
MEDIAN((IF(DATOS_[[Sexo]:[Sexo]]=$B37,IF(DATOS_[[AGRUP. VALOR. PTO.]:[AGRUP. VALOR. PTO.]]=$B36,IF(DATOS_[[Check Periodo Ref.]:[Check Periodo Ref.]]="Dentro",DATOS_[Conc.Sal.28]))))),
0)</f>
        <v>0</v>
      </c>
      <c r="AH37" s="170">
        <f t="array" ref="AH37">IFERROR(
MEDIAN((IF(DATOS_[[Sexo]:[Sexo]]=$B37,IF(DATOS_[[AGRUP. VALOR. PTO.]:[AGRUP. VALOR. PTO.]]=$B36,IF(DATOS_[[Check Periodo Ref.]:[Check Periodo Ref.]]="Dentro",DATOS_[Conc.Sal.29]))))),
0)</f>
        <v>0</v>
      </c>
      <c r="AI37" s="170">
        <f t="array" ref="AI37">IFERROR(
MEDIAN((IF(DATOS_[[Sexo]:[Sexo]]=$B37,IF(DATOS_[[AGRUP. VALOR. PTO.]:[AGRUP. VALOR. PTO.]]=$B36,IF(DATOS_[[Check Periodo Ref.]:[Check Periodo Ref.]]="Dentro",DATOS_[Conc.Sal.30]))))),
0)</f>
        <v>0</v>
      </c>
      <c r="AJ37" s="171">
        <f t="array" ref="AJ37">IFERROR(
MEDIAN(IF(DATOS_[Sexo]=$B37,IF(DATOS_[AGRUP. VALOR. PTO.]=$B36,IF(DATOS_[Check Periodo Ref.]="Dentro",DATOS_[Tot COMPL.SAL Ef],FALSE)))),
0)</f>
        <v>0</v>
      </c>
      <c r="AK37" s="172">
        <f t="array" ref="AK37">IFERROR(
MEDIAN(IF(DATOS_[Sexo]=$B37,IF(DATOS_[AGRUP. VALOR. PTO.]=$B36,IF(DATOS_[Check Periodo Ref.]="Dentro",DATOS_[TOTAL SALARIO Ef],FALSE)))),
0)</f>
        <v>0</v>
      </c>
      <c r="AL37" s="173">
        <f t="array" ref="AL37">IFERROR(
MEDIAN((IF(DATOS_[[Sexo]:[Sexo]]=$B37,IF(DATOS_[[AGRUP. VALOR. PTO.]:[AGRUP. VALOR. PTO.]]=$B36,IF(DATOS_[[Check Periodo Ref.]:[Check Periodo Ref.]]="Dentro",DATOS_[C.Extra.01]))))),
0)</f>
        <v>0</v>
      </c>
      <c r="AM37" s="173">
        <f t="array" ref="AM37">IFERROR(
MEDIAN((IF(DATOS_[[Sexo]:[Sexo]]=$B37,IF(DATOS_[[AGRUP. VALOR. PTO.]:[AGRUP. VALOR. PTO.]]=$B36,IF(DATOS_[[Check Periodo Ref.]:[Check Periodo Ref.]]="Dentro",DATOS_[C.Extra.06]))))),
0)</f>
        <v>0</v>
      </c>
      <c r="AN37" s="173">
        <f t="array" ref="AN37">IFERROR(
MEDIAN((IF(DATOS_[[Sexo]:[Sexo]]=$B37,IF(DATOS_[[AGRUP. VALOR. PTO.]:[AGRUP. VALOR. PTO.]]=$B36,IF(DATOS_[[Check Periodo Ref.]:[Check Periodo Ref.]]="Dentro",DATOS_[C.Extra.07]))))),
0)</f>
        <v>0</v>
      </c>
      <c r="AO37" s="173">
        <f t="array" ref="AO37">IFERROR(
MEDIAN((IF(DATOS_[[Sexo]:[Sexo]]=$B37,IF(DATOS_[[AGRUP. VALOR. PTO.]:[AGRUP. VALOR. PTO.]]=$B36,IF(DATOS_[[Check Periodo Ref.]:[Check Periodo Ref.]]="Dentro",DATOS_[C.Extra.08]))))),
0)</f>
        <v>0</v>
      </c>
      <c r="AP37" s="173">
        <f t="array" ref="AP37">IFERROR(
MEDIAN((IF(DATOS_[[Sexo]:[Sexo]]=$B37,IF(DATOS_[[AGRUP. VALOR. PTO.]:[AGRUP. VALOR. PTO.]]=$B36,IF(DATOS_[[Check Periodo Ref.]:[Check Periodo Ref.]]="Dentro",DATOS_[C.Extra.11]))))),
0)</f>
        <v>0</v>
      </c>
      <c r="AQ37" s="174">
        <f t="array" ref="AQ37">IFERROR(
MEDIAN(IF(DATOS_[Sexo]=$B37,IF(DATOS_[AGRUP. VALOR. PTO.]=$B36,IF(DATOS_[Check Periodo Ref.]="Dentro",DATOS_[Tot Extrasalarial Ef],FALSE)))),
0)</f>
        <v>0</v>
      </c>
      <c r="AR37" s="171">
        <f t="array" ref="AR37">IFERROR(
MEDIAN(IF(DATOS_[Sexo]=$B37,IF(DATOS_[AGRUP. VALOR. PTO.]=$B36,IF(DATOS_[Check Periodo Ref.]="Dentro",DATOS_[TOTAL Retrib Ef],FALSE)))),
0)</f>
        <v>0</v>
      </c>
    </row>
    <row r="38" spans="1:44" x14ac:dyDescent="0.25">
      <c r="A38" s="178" t="str">
        <f t="shared" ref="A38" si="34">+A37</f>
        <v>[ocultar]</v>
      </c>
      <c r="B38" s="166" t="s">
        <v>521</v>
      </c>
      <c r="C38" s="167">
        <f t="array" ref="C38">SUM(IF($B38=DATOS_[Sexo],
IF($B36=DATOS_[AGRUP. VALOR. PTO.],
IF("Dentro"=DATOS_[Check Periodo Ref.],
1/(COUNTIFS(DATOS_[Sexo],$B38,DATOS_[AGRUP. VALOR. PTO.],$B36,DATOS_[Check Periodo Ref.],"Dentro",DATOS_[id/cod],DATOS_[id/cod]))))))</f>
        <v>0</v>
      </c>
      <c r="D38" s="168">
        <f>COUNTIFS(DATOS_[AGRUP. VALOR. PTO.],$B36,DATOS_[Sexo],$B38,DATOS_[Check Periodo Ref.],"Dentro")</f>
        <v>0</v>
      </c>
      <c r="E38" s="169">
        <f t="array" ref="E38">IFERROR(
MEDIAN(IF(DATOS_[Sexo]=$B38,IF(DATOS_[AGRUP. VALOR. PTO.]=$B36,IF(DATOS_[Check Periodo Ref.]="Dentro",DATOS_[SALARIO BASE Ef],FALSE)))),
0)</f>
        <v>0</v>
      </c>
      <c r="F38" s="170">
        <f t="array" ref="F38">IFERROR(
MEDIAN((IF(DATOS_[[Sexo]:[Sexo]]=$B38,IF(DATOS_[[AGRUP. VALOR. PTO.]:[AGRUP. VALOR. PTO.]]=$B36,IF(DATOS_[[Check Periodo Ref.]:[Check Periodo Ref.]]="Dentro",DATOS_[Conc.Sal.01]))))),
0)</f>
        <v>0</v>
      </c>
      <c r="G38" s="170">
        <f t="array" ref="G38">IFERROR(
MEDIAN((IF(DATOS_[[Sexo]:[Sexo]]=$B38,IF(DATOS_[[AGRUP. VALOR. PTO.]:[AGRUP. VALOR. PTO.]]=$B36,IF(DATOS_[[Check Periodo Ref.]:[Check Periodo Ref.]]="Dentro",DATOS_[Conc.Sal.02]))))),
0)</f>
        <v>0</v>
      </c>
      <c r="H38" s="170">
        <f t="array" ref="H38">IFERROR(
MEDIAN((IF(DATOS_[[Sexo]:[Sexo]]=$B38,IF(DATOS_[[AGRUP. VALOR. PTO.]:[AGRUP. VALOR. PTO.]]=$B36,IF(DATOS_[[Check Periodo Ref.]:[Check Periodo Ref.]]="Dentro",DATOS_[Conc.Sal.03]))))),
0)</f>
        <v>0</v>
      </c>
      <c r="I38" s="170">
        <f t="array" ref="I38">IFERROR(
MEDIAN((IF(DATOS_[[Sexo]:[Sexo]]=$B38,IF(DATOS_[[AGRUP. VALOR. PTO.]:[AGRUP. VALOR. PTO.]]=$B36,IF(DATOS_[[Check Periodo Ref.]:[Check Periodo Ref.]]="Dentro",DATOS_[Conc.Sal.04]))))),
0)</f>
        <v>0</v>
      </c>
      <c r="J38" s="170">
        <f t="array" ref="J38">IFERROR(
MEDIAN((IF(DATOS_[[Sexo]:[Sexo]]=$B38,IF(DATOS_[[AGRUP. VALOR. PTO.]:[AGRUP. VALOR. PTO.]]=$B36,IF(DATOS_[[Check Periodo Ref.]:[Check Periodo Ref.]]="Dentro",DATOS_[Conc.Sal.05]))))),
0)</f>
        <v>0</v>
      </c>
      <c r="K38" s="170">
        <f t="array" ref="K38">IFERROR(
MEDIAN((IF(DATOS_[[Sexo]:[Sexo]]=$B38,IF(DATOS_[[AGRUP. VALOR. PTO.]:[AGRUP. VALOR. PTO.]]=$B36,IF(DATOS_[[Check Periodo Ref.]:[Check Periodo Ref.]]="Dentro",DATOS_[Conc.Sal.06]))))),
0)</f>
        <v>0</v>
      </c>
      <c r="L38" s="170">
        <f t="array" ref="L38">IFERROR(
MEDIAN((IF(DATOS_[[Sexo]:[Sexo]]=$B38,IF(DATOS_[[AGRUP. VALOR. PTO.]:[AGRUP. VALOR. PTO.]]=$B36,IF(DATOS_[[Check Periodo Ref.]:[Check Periodo Ref.]]="Dentro",DATOS_[Conc.Sal.07]))))),
0)</f>
        <v>0</v>
      </c>
      <c r="M38" s="170">
        <f t="array" ref="M38">IFERROR(
MEDIAN((IF(DATOS_[[Sexo]:[Sexo]]=$B38,IF(DATOS_[[AGRUP. VALOR. PTO.]:[AGRUP. VALOR. PTO.]]=$B36,IF(DATOS_[[Check Periodo Ref.]:[Check Periodo Ref.]]="Dentro",DATOS_[Conc.Sal.08]))))),
0)</f>
        <v>0</v>
      </c>
      <c r="N38" s="170">
        <f t="array" ref="N38">IFERROR(
MEDIAN((IF(DATOS_[[Sexo]:[Sexo]]=$B38,IF(DATOS_[[AGRUP. VALOR. PTO.]:[AGRUP. VALOR. PTO.]]=$B36,IF(DATOS_[[Check Periodo Ref.]:[Check Periodo Ref.]]="Dentro",DATOS_[Conc.Sal.09]))))),
0)</f>
        <v>0</v>
      </c>
      <c r="O38" s="170">
        <f t="array" ref="O38">IFERROR(
MEDIAN((IF(DATOS_[[Sexo]:[Sexo]]=$B38,IF(DATOS_[[AGRUP. VALOR. PTO.]:[AGRUP. VALOR. PTO.]]=$B36,IF(DATOS_[[Check Periodo Ref.]:[Check Periodo Ref.]]="Dentro",DATOS_[Conc.Sal.10]))))),
0)</f>
        <v>0</v>
      </c>
      <c r="P38" s="170">
        <f t="array" ref="P38">IFERROR(
MEDIAN((IF(DATOS_[[Sexo]:[Sexo]]=$B38,IF(DATOS_[[AGRUP. VALOR. PTO.]:[AGRUP. VALOR. PTO.]]=$B36,IF(DATOS_[[Check Periodo Ref.]:[Check Periodo Ref.]]="Dentro",DATOS_[Conc.Sal.11]))))),
0)</f>
        <v>0</v>
      </c>
      <c r="Q38" s="170">
        <f t="array" ref="Q38">IFERROR(
MEDIAN((IF(DATOS_[[Sexo]:[Sexo]]=$B38,IF(DATOS_[[AGRUP. VALOR. PTO.]:[AGRUP. VALOR. PTO.]]=$B36,IF(DATOS_[[Check Periodo Ref.]:[Check Periodo Ref.]]="Dentro",DATOS_[Conc.Sal.12]))))),
0)</f>
        <v>0</v>
      </c>
      <c r="R38" s="170">
        <f t="array" ref="R38">IFERROR(
MEDIAN((IF(DATOS_[[Sexo]:[Sexo]]=$B38,IF(DATOS_[[AGRUP. VALOR. PTO.]:[AGRUP. VALOR. PTO.]]=$B36,IF(DATOS_[[Check Periodo Ref.]:[Check Periodo Ref.]]="Dentro",DATOS_[Conc.Sal.13]))))),
0)</f>
        <v>0</v>
      </c>
      <c r="S38" s="170">
        <f t="array" ref="S38">IFERROR(
MEDIAN((IF(DATOS_[[Sexo]:[Sexo]]=$B38,IF(DATOS_[[AGRUP. VALOR. PTO.]:[AGRUP. VALOR. PTO.]]=$B36,IF(DATOS_[[Check Periodo Ref.]:[Check Periodo Ref.]]="Dentro",DATOS_[Conc.Sal.14]))))),
0)</f>
        <v>0</v>
      </c>
      <c r="T38" s="170">
        <f t="array" ref="T38">IFERROR(
MEDIAN((IF(DATOS_[[Sexo]:[Sexo]]=$B38,IF(DATOS_[[AGRUP. VALOR. PTO.]:[AGRUP. VALOR. PTO.]]=$B36,IF(DATOS_[[Check Periodo Ref.]:[Check Periodo Ref.]]="Dentro",DATOS_[Conc.Sal.15]))))),
0)</f>
        <v>0</v>
      </c>
      <c r="U38" s="170">
        <f t="array" ref="U38">IFERROR(
MEDIAN((IF(DATOS_[[Sexo]:[Sexo]]=$B38,IF(DATOS_[[AGRUP. VALOR. PTO.]:[AGRUP. VALOR. PTO.]]=$B36,IF(DATOS_[[Check Periodo Ref.]:[Check Periodo Ref.]]="Dentro",DATOS_[Conc.Sal.16]))))),
0)</f>
        <v>0</v>
      </c>
      <c r="V38" s="170">
        <f t="array" ref="V38">IFERROR(
MEDIAN((IF(DATOS_[[Sexo]:[Sexo]]=$B38,IF(DATOS_[[AGRUP. VALOR. PTO.]:[AGRUP. VALOR. PTO.]]=$B36,IF(DATOS_[[Check Periodo Ref.]:[Check Periodo Ref.]]="Dentro",DATOS_[Conc.Sal.17]))))),
0)</f>
        <v>0</v>
      </c>
      <c r="W38" s="170">
        <f t="array" ref="W38">IFERROR(
MEDIAN((IF(DATOS_[[Sexo]:[Sexo]]=$B38,IF(DATOS_[[AGRUP. VALOR. PTO.]:[AGRUP. VALOR. PTO.]]=$B36,IF(DATOS_[[Check Periodo Ref.]:[Check Periodo Ref.]]="Dentro",DATOS_[Conc.Sal.18]))))),
0)</f>
        <v>0</v>
      </c>
      <c r="X38" s="170">
        <f t="array" ref="X38">IFERROR(
MEDIAN((IF(DATOS_[[Sexo]:[Sexo]]=$B38,IF(DATOS_[[AGRUP. VALOR. PTO.]:[AGRUP. VALOR. PTO.]]=$B36,IF(DATOS_[[Check Periodo Ref.]:[Check Periodo Ref.]]="Dentro",DATOS_[Conc.Sal.19]))))),
0)</f>
        <v>0</v>
      </c>
      <c r="Y38" s="170">
        <f t="array" ref="Y38">IFERROR(
MEDIAN((IF(DATOS_[[Sexo]:[Sexo]]=$B38,IF(DATOS_[[AGRUP. VALOR. PTO.]:[AGRUP. VALOR. PTO.]]=$B36,IF(DATOS_[[Check Periodo Ref.]:[Check Periodo Ref.]]="Dentro",DATOS_[Conc.Sal.20]))))),
0)</f>
        <v>0</v>
      </c>
      <c r="Z38" s="170">
        <f t="array" ref="Z38">IFERROR(
MEDIAN((IF(DATOS_[[Sexo]:[Sexo]]=$B38,IF(DATOS_[[AGRUP. VALOR. PTO.]:[AGRUP. VALOR. PTO.]]=$B36,IF(DATOS_[[Check Periodo Ref.]:[Check Periodo Ref.]]="Dentro",DATOS_[Conc.Sal.21]))))),
0)</f>
        <v>0</v>
      </c>
      <c r="AA38" s="170">
        <f t="array" ref="AA38">IFERROR(
MEDIAN((IF(DATOS_[[Sexo]:[Sexo]]=$B38,IF(DATOS_[[AGRUP. VALOR. PTO.]:[AGRUP. VALOR. PTO.]]=$B36,IF(DATOS_[[Check Periodo Ref.]:[Check Periodo Ref.]]="Dentro",DATOS_[Conc.Sal.22]))))),
0)</f>
        <v>0</v>
      </c>
      <c r="AB38" s="170">
        <f t="array" ref="AB38">IFERROR(
MEDIAN((IF(DATOS_[[Sexo]:[Sexo]]=$B38,IF(DATOS_[[AGRUP. VALOR. PTO.]:[AGRUP. VALOR. PTO.]]=$B36,IF(DATOS_[[Check Periodo Ref.]:[Check Periodo Ref.]]="Dentro",DATOS_[Conc.Sal.23]))))),
0)</f>
        <v>0</v>
      </c>
      <c r="AC38" s="170">
        <f t="array" ref="AC38">IFERROR(
MEDIAN((IF(DATOS_[[Sexo]:[Sexo]]=$B38,IF(DATOS_[[AGRUP. VALOR. PTO.]:[AGRUP. VALOR. PTO.]]=$B36,IF(DATOS_[[Check Periodo Ref.]:[Check Periodo Ref.]]="Dentro",DATOS_[Conc.Sal.24]))))),
0)</f>
        <v>0</v>
      </c>
      <c r="AD38" s="170">
        <f t="array" ref="AD38">IFERROR(
MEDIAN((IF(DATOS_[[Sexo]:[Sexo]]=$B38,IF(DATOS_[[AGRUP. VALOR. PTO.]:[AGRUP. VALOR. PTO.]]=$B36,IF(DATOS_[[Check Periodo Ref.]:[Check Periodo Ref.]]="Dentro",DATOS_[Conc.Sal.25]))))),
0)</f>
        <v>0</v>
      </c>
      <c r="AE38" s="170">
        <f t="array" ref="AE38">IFERROR(
MEDIAN((IF(DATOS_[[Sexo]:[Sexo]]=$B38,IF(DATOS_[[AGRUP. VALOR. PTO.]:[AGRUP. VALOR. PTO.]]=$B36,IF(DATOS_[[Check Periodo Ref.]:[Check Periodo Ref.]]="Dentro",DATOS_[Conc.Sal.26]))))),
0)</f>
        <v>0</v>
      </c>
      <c r="AF38" s="170">
        <f t="array" ref="AF38">IFERROR(
MEDIAN((IF(DATOS_[[Sexo]:[Sexo]]=$B38,IF(DATOS_[[AGRUP. VALOR. PTO.]:[AGRUP. VALOR. PTO.]]=$B36,IF(DATOS_[[Check Periodo Ref.]:[Check Periodo Ref.]]="Dentro",DATOS_[Conc.Sal.27]))))),
0)</f>
        <v>0</v>
      </c>
      <c r="AG38" s="170">
        <f t="array" ref="AG38">IFERROR(
MEDIAN((IF(DATOS_[[Sexo]:[Sexo]]=$B38,IF(DATOS_[[AGRUP. VALOR. PTO.]:[AGRUP. VALOR. PTO.]]=$B36,IF(DATOS_[[Check Periodo Ref.]:[Check Periodo Ref.]]="Dentro",DATOS_[Conc.Sal.28]))))),
0)</f>
        <v>0</v>
      </c>
      <c r="AH38" s="170">
        <f t="array" ref="AH38">IFERROR(
MEDIAN((IF(DATOS_[[Sexo]:[Sexo]]=$B38,IF(DATOS_[[AGRUP. VALOR. PTO.]:[AGRUP. VALOR. PTO.]]=$B36,IF(DATOS_[[Check Periodo Ref.]:[Check Periodo Ref.]]="Dentro",DATOS_[Conc.Sal.29]))))),
0)</f>
        <v>0</v>
      </c>
      <c r="AI38" s="170">
        <f t="array" ref="AI38">IFERROR(
MEDIAN((IF(DATOS_[[Sexo]:[Sexo]]=$B38,IF(DATOS_[[AGRUP. VALOR. PTO.]:[AGRUP. VALOR. PTO.]]=$B36,IF(DATOS_[[Check Periodo Ref.]:[Check Periodo Ref.]]="Dentro",DATOS_[Conc.Sal.30]))))),
0)</f>
        <v>0</v>
      </c>
      <c r="AJ38" s="171">
        <f t="array" ref="AJ38">IFERROR(
MEDIAN(IF(DATOS_[Sexo]=$B38,IF(DATOS_[AGRUP. VALOR. PTO.]=$B36,IF(DATOS_[Check Periodo Ref.]="Dentro",DATOS_[Tot COMPL.SAL Ef],FALSE)))),
0)</f>
        <v>0</v>
      </c>
      <c r="AK38" s="172">
        <f t="array" ref="AK38">IFERROR(
MEDIAN(IF(DATOS_[Sexo]=$B38,IF(DATOS_[AGRUP. VALOR. PTO.]=$B36,IF(DATOS_[Check Periodo Ref.]="Dentro",DATOS_[TOTAL SALARIO Ef],FALSE)))),
0)</f>
        <v>0</v>
      </c>
      <c r="AL38" s="173">
        <f t="array" ref="AL38">IFERROR(
MEDIAN((IF(DATOS_[[Sexo]:[Sexo]]=$B38,IF(DATOS_[[AGRUP. VALOR. PTO.]:[AGRUP. VALOR. PTO.]]=$B36,IF(DATOS_[[Check Periodo Ref.]:[Check Periodo Ref.]]="Dentro",DATOS_[C.Extra.01]))))),
0)</f>
        <v>0</v>
      </c>
      <c r="AM38" s="173">
        <f t="array" ref="AM38">IFERROR(
MEDIAN((IF(DATOS_[[Sexo]:[Sexo]]=$B38,IF(DATOS_[[AGRUP. VALOR. PTO.]:[AGRUP. VALOR. PTO.]]=$B36,IF(DATOS_[[Check Periodo Ref.]:[Check Periodo Ref.]]="Dentro",DATOS_[C.Extra.06]))))),
0)</f>
        <v>0</v>
      </c>
      <c r="AN38" s="173">
        <f t="array" ref="AN38">IFERROR(
MEDIAN((IF(DATOS_[[Sexo]:[Sexo]]=$B38,IF(DATOS_[[AGRUP. VALOR. PTO.]:[AGRUP. VALOR. PTO.]]=$B36,IF(DATOS_[[Check Periodo Ref.]:[Check Periodo Ref.]]="Dentro",DATOS_[C.Extra.07]))))),
0)</f>
        <v>0</v>
      </c>
      <c r="AO38" s="173">
        <f t="array" ref="AO38">IFERROR(
MEDIAN((IF(DATOS_[[Sexo]:[Sexo]]=$B38,IF(DATOS_[[AGRUP. VALOR. PTO.]:[AGRUP. VALOR. PTO.]]=$B36,IF(DATOS_[[Check Periodo Ref.]:[Check Periodo Ref.]]="Dentro",DATOS_[C.Extra.08]))))),
0)</f>
        <v>0</v>
      </c>
      <c r="AP38" s="173">
        <f t="array" ref="AP38">IFERROR(
MEDIAN((IF(DATOS_[[Sexo]:[Sexo]]=$B38,IF(DATOS_[[AGRUP. VALOR. PTO.]:[AGRUP. VALOR. PTO.]]=$B36,IF(DATOS_[[Check Periodo Ref.]:[Check Periodo Ref.]]="Dentro",DATOS_[C.Extra.11]))))),
0)</f>
        <v>0</v>
      </c>
      <c r="AQ38" s="174">
        <f t="array" ref="AQ38">IFERROR(
MEDIAN(IF(DATOS_[Sexo]=$B38,IF(DATOS_[AGRUP. VALOR. PTO.]=$B36,IF(DATOS_[Check Periodo Ref.]="Dentro",DATOS_[Tot Extrasalarial Ef],FALSE)))),
0)</f>
        <v>0</v>
      </c>
      <c r="AR38" s="171">
        <f t="array" ref="AR38">IFERROR(
MEDIAN(IF(DATOS_[Sexo]=$B38,IF(DATOS_[AGRUP. VALOR. PTO.]=$B36,IF(DATOS_[Check Periodo Ref.]="Dentro",DATOS_[TOTAL Retrib Ef],FALSE)))),
0)</f>
        <v>0</v>
      </c>
    </row>
    <row r="39" spans="1:44" ht="14.4" thickBot="1" x14ac:dyDescent="0.3">
      <c r="A39" s="178" t="str">
        <f t="shared" ref="A39" si="35">+A40</f>
        <v>[ocultar]</v>
      </c>
      <c r="B39" s="153" t="s">
        <v>209</v>
      </c>
      <c r="C39" s="154"/>
      <c r="D39" s="155"/>
      <c r="E39" s="156" t="str">
        <f t="shared" ref="E39:AR39" si="36">IFERROR((E40-E41)/E40,"")</f>
        <v/>
      </c>
      <c r="F39" s="157" t="str">
        <f t="shared" si="36"/>
        <v/>
      </c>
      <c r="G39" s="158" t="str">
        <f t="shared" si="36"/>
        <v/>
      </c>
      <c r="H39" s="158" t="str">
        <f t="shared" si="36"/>
        <v/>
      </c>
      <c r="I39" s="158" t="str">
        <f t="shared" si="36"/>
        <v/>
      </c>
      <c r="J39" s="159" t="str">
        <f t="shared" si="36"/>
        <v/>
      </c>
      <c r="K39" s="160" t="str">
        <f t="shared" si="36"/>
        <v/>
      </c>
      <c r="L39" s="160" t="str">
        <f t="shared" si="36"/>
        <v/>
      </c>
      <c r="M39" s="160" t="str">
        <f t="shared" si="36"/>
        <v/>
      </c>
      <c r="N39" s="160" t="str">
        <f t="shared" si="36"/>
        <v/>
      </c>
      <c r="O39" s="160" t="str">
        <f t="shared" si="36"/>
        <v/>
      </c>
      <c r="P39" s="160" t="str">
        <f t="shared" si="36"/>
        <v/>
      </c>
      <c r="Q39" s="160" t="str">
        <f t="shared" si="36"/>
        <v/>
      </c>
      <c r="R39" s="160" t="str">
        <f t="shared" si="36"/>
        <v/>
      </c>
      <c r="S39" s="160" t="str">
        <f t="shared" si="36"/>
        <v/>
      </c>
      <c r="T39" s="160" t="str">
        <f t="shared" si="36"/>
        <v/>
      </c>
      <c r="U39" s="160" t="str">
        <f t="shared" si="36"/>
        <v/>
      </c>
      <c r="V39" s="159" t="str">
        <f t="shared" si="36"/>
        <v/>
      </c>
      <c r="W39" s="159" t="str">
        <f t="shared" si="36"/>
        <v/>
      </c>
      <c r="X39" s="159" t="str">
        <f t="shared" si="36"/>
        <v/>
      </c>
      <c r="Y39" s="159" t="str">
        <f t="shared" si="36"/>
        <v/>
      </c>
      <c r="Z39" s="159" t="str">
        <f t="shared" si="36"/>
        <v/>
      </c>
      <c r="AA39" s="159" t="str">
        <f t="shared" si="36"/>
        <v/>
      </c>
      <c r="AB39" s="159" t="str">
        <f t="shared" si="36"/>
        <v/>
      </c>
      <c r="AC39" s="159" t="str">
        <f t="shared" si="36"/>
        <v/>
      </c>
      <c r="AD39" s="159" t="str">
        <f t="shared" si="36"/>
        <v/>
      </c>
      <c r="AE39" s="159" t="str">
        <f t="shared" si="36"/>
        <v/>
      </c>
      <c r="AF39" s="159" t="str">
        <f t="shared" si="36"/>
        <v/>
      </c>
      <c r="AG39" s="159" t="str">
        <f t="shared" si="36"/>
        <v/>
      </c>
      <c r="AH39" s="159" t="str">
        <f t="shared" si="36"/>
        <v/>
      </c>
      <c r="AI39" s="159" t="str">
        <f t="shared" si="36"/>
        <v/>
      </c>
      <c r="AJ39" s="161" t="str">
        <f t="shared" si="36"/>
        <v/>
      </c>
      <c r="AK39" s="162" t="str">
        <f t="shared" si="36"/>
        <v/>
      </c>
      <c r="AL39" s="163" t="str">
        <f t="shared" si="36"/>
        <v/>
      </c>
      <c r="AM39" s="163" t="str">
        <f t="shared" si="36"/>
        <v/>
      </c>
      <c r="AN39" s="163" t="str">
        <f t="shared" si="36"/>
        <v/>
      </c>
      <c r="AO39" s="163" t="str">
        <f t="shared" si="36"/>
        <v/>
      </c>
      <c r="AP39" s="163" t="str">
        <f t="shared" si="36"/>
        <v/>
      </c>
      <c r="AQ39" s="164" t="str">
        <f t="shared" si="36"/>
        <v/>
      </c>
      <c r="AR39" s="161" t="str">
        <f t="shared" si="36"/>
        <v/>
      </c>
    </row>
    <row r="40" spans="1:44" x14ac:dyDescent="0.25">
      <c r="A40" s="178" t="str">
        <f t="shared" ref="A40" si="37">+IF(C40+C41=0,"[ocultar]","")</f>
        <v>[ocultar]</v>
      </c>
      <c r="B40" s="166" t="s">
        <v>394</v>
      </c>
      <c r="C40" s="167">
        <f t="array" ref="C40">SUM(IF($B40=DATOS_[Sexo],
IF($B39=DATOS_[AGRUP. VALOR. PTO.],
IF("Dentro"=DATOS_[Check Periodo Ref.],
1/(COUNTIFS(DATOS_[Sexo],$B40,DATOS_[AGRUP. VALOR. PTO.],$B39,DATOS_[Check Periodo Ref.],"Dentro",DATOS_[id/cod],DATOS_[id/cod]))))))</f>
        <v>0</v>
      </c>
      <c r="D40" s="168">
        <f>COUNTIFS(DATOS_[AGRUP. VALOR. PTO.],$B39,DATOS_[Sexo],$B40,DATOS_[Check Periodo Ref.],"Dentro")</f>
        <v>0</v>
      </c>
      <c r="E40" s="169">
        <f t="array" ref="E40">IFERROR(
MEDIAN(IF(DATOS_[Sexo]=$B40,IF(DATOS_[AGRUP. VALOR. PTO.]=$B39,IF(DATOS_[Check Periodo Ref.]="Dentro",DATOS_[SALARIO BASE Ef],FALSE)))),
0)</f>
        <v>0</v>
      </c>
      <c r="F40" s="170">
        <f t="array" ref="F40">IFERROR(
MEDIAN((IF(DATOS_[[Sexo]:[Sexo]]=$B40,IF(DATOS_[[AGRUP. VALOR. PTO.]:[AGRUP. VALOR. PTO.]]=$B39,IF(DATOS_[[Check Periodo Ref.]:[Check Periodo Ref.]]="Dentro",DATOS_[Conc.Sal.01]))))),
0)</f>
        <v>0</v>
      </c>
      <c r="G40" s="170">
        <f t="array" ref="G40">IFERROR(
MEDIAN((IF(DATOS_[[Sexo]:[Sexo]]=$B40,IF(DATOS_[[AGRUP. VALOR. PTO.]:[AGRUP. VALOR. PTO.]]=$B39,IF(DATOS_[[Check Periodo Ref.]:[Check Periodo Ref.]]="Dentro",DATOS_[Conc.Sal.02]))))),
0)</f>
        <v>0</v>
      </c>
      <c r="H40" s="170">
        <f t="array" ref="H40">IFERROR(
MEDIAN((IF(DATOS_[[Sexo]:[Sexo]]=$B40,IF(DATOS_[[AGRUP. VALOR. PTO.]:[AGRUP. VALOR. PTO.]]=$B39,IF(DATOS_[[Check Periodo Ref.]:[Check Periodo Ref.]]="Dentro",DATOS_[Conc.Sal.03]))))),
0)</f>
        <v>0</v>
      </c>
      <c r="I40" s="170">
        <f t="array" ref="I40">IFERROR(
MEDIAN((IF(DATOS_[[Sexo]:[Sexo]]=$B40,IF(DATOS_[[AGRUP. VALOR. PTO.]:[AGRUP. VALOR. PTO.]]=$B39,IF(DATOS_[[Check Periodo Ref.]:[Check Periodo Ref.]]="Dentro",DATOS_[Conc.Sal.04]))))),
0)</f>
        <v>0</v>
      </c>
      <c r="J40" s="170">
        <f t="array" ref="J40">IFERROR(
MEDIAN((IF(DATOS_[[Sexo]:[Sexo]]=$B40,IF(DATOS_[[AGRUP. VALOR. PTO.]:[AGRUP. VALOR. PTO.]]=$B39,IF(DATOS_[[Check Periodo Ref.]:[Check Periodo Ref.]]="Dentro",DATOS_[Conc.Sal.05]))))),
0)</f>
        <v>0</v>
      </c>
      <c r="K40" s="170">
        <f t="array" ref="K40">IFERROR(
MEDIAN((IF(DATOS_[[Sexo]:[Sexo]]=$B40,IF(DATOS_[[AGRUP. VALOR. PTO.]:[AGRUP. VALOR. PTO.]]=$B39,IF(DATOS_[[Check Periodo Ref.]:[Check Periodo Ref.]]="Dentro",DATOS_[Conc.Sal.06]))))),
0)</f>
        <v>0</v>
      </c>
      <c r="L40" s="170">
        <f t="array" ref="L40">IFERROR(
MEDIAN((IF(DATOS_[[Sexo]:[Sexo]]=$B40,IF(DATOS_[[AGRUP. VALOR. PTO.]:[AGRUP. VALOR. PTO.]]=$B39,IF(DATOS_[[Check Periodo Ref.]:[Check Periodo Ref.]]="Dentro",DATOS_[Conc.Sal.07]))))),
0)</f>
        <v>0</v>
      </c>
      <c r="M40" s="170">
        <f t="array" ref="M40">IFERROR(
MEDIAN((IF(DATOS_[[Sexo]:[Sexo]]=$B40,IF(DATOS_[[AGRUP. VALOR. PTO.]:[AGRUP. VALOR. PTO.]]=$B39,IF(DATOS_[[Check Periodo Ref.]:[Check Periodo Ref.]]="Dentro",DATOS_[Conc.Sal.08]))))),
0)</f>
        <v>0</v>
      </c>
      <c r="N40" s="170">
        <f t="array" ref="N40">IFERROR(
MEDIAN((IF(DATOS_[[Sexo]:[Sexo]]=$B40,IF(DATOS_[[AGRUP. VALOR. PTO.]:[AGRUP. VALOR. PTO.]]=$B39,IF(DATOS_[[Check Periodo Ref.]:[Check Periodo Ref.]]="Dentro",DATOS_[Conc.Sal.09]))))),
0)</f>
        <v>0</v>
      </c>
      <c r="O40" s="170">
        <f t="array" ref="O40">IFERROR(
MEDIAN((IF(DATOS_[[Sexo]:[Sexo]]=$B40,IF(DATOS_[[AGRUP. VALOR. PTO.]:[AGRUP. VALOR. PTO.]]=$B39,IF(DATOS_[[Check Periodo Ref.]:[Check Periodo Ref.]]="Dentro",DATOS_[Conc.Sal.10]))))),
0)</f>
        <v>0</v>
      </c>
      <c r="P40" s="170">
        <f t="array" ref="P40">IFERROR(
MEDIAN((IF(DATOS_[[Sexo]:[Sexo]]=$B40,IF(DATOS_[[AGRUP. VALOR. PTO.]:[AGRUP. VALOR. PTO.]]=$B39,IF(DATOS_[[Check Periodo Ref.]:[Check Periodo Ref.]]="Dentro",DATOS_[Conc.Sal.11]))))),
0)</f>
        <v>0</v>
      </c>
      <c r="Q40" s="170">
        <f t="array" ref="Q40">IFERROR(
MEDIAN((IF(DATOS_[[Sexo]:[Sexo]]=$B40,IF(DATOS_[[AGRUP. VALOR. PTO.]:[AGRUP. VALOR. PTO.]]=$B39,IF(DATOS_[[Check Periodo Ref.]:[Check Periodo Ref.]]="Dentro",DATOS_[Conc.Sal.12]))))),
0)</f>
        <v>0</v>
      </c>
      <c r="R40" s="170">
        <f t="array" ref="R40">IFERROR(
MEDIAN((IF(DATOS_[[Sexo]:[Sexo]]=$B40,IF(DATOS_[[AGRUP. VALOR. PTO.]:[AGRUP. VALOR. PTO.]]=$B39,IF(DATOS_[[Check Periodo Ref.]:[Check Periodo Ref.]]="Dentro",DATOS_[Conc.Sal.13]))))),
0)</f>
        <v>0</v>
      </c>
      <c r="S40" s="170">
        <f t="array" ref="S40">IFERROR(
MEDIAN((IF(DATOS_[[Sexo]:[Sexo]]=$B40,IF(DATOS_[[AGRUP. VALOR. PTO.]:[AGRUP. VALOR. PTO.]]=$B39,IF(DATOS_[[Check Periodo Ref.]:[Check Periodo Ref.]]="Dentro",DATOS_[Conc.Sal.14]))))),
0)</f>
        <v>0</v>
      </c>
      <c r="T40" s="170">
        <f t="array" ref="T40">IFERROR(
MEDIAN((IF(DATOS_[[Sexo]:[Sexo]]=$B40,IF(DATOS_[[AGRUP. VALOR. PTO.]:[AGRUP. VALOR. PTO.]]=$B39,IF(DATOS_[[Check Periodo Ref.]:[Check Periodo Ref.]]="Dentro",DATOS_[Conc.Sal.15]))))),
0)</f>
        <v>0</v>
      </c>
      <c r="U40" s="170">
        <f t="array" ref="U40">IFERROR(
MEDIAN((IF(DATOS_[[Sexo]:[Sexo]]=$B40,IF(DATOS_[[AGRUP. VALOR. PTO.]:[AGRUP. VALOR. PTO.]]=$B39,IF(DATOS_[[Check Periodo Ref.]:[Check Periodo Ref.]]="Dentro",DATOS_[Conc.Sal.16]))))),
0)</f>
        <v>0</v>
      </c>
      <c r="V40" s="170">
        <f t="array" ref="V40">IFERROR(
MEDIAN((IF(DATOS_[[Sexo]:[Sexo]]=$B40,IF(DATOS_[[AGRUP. VALOR. PTO.]:[AGRUP. VALOR. PTO.]]=$B39,IF(DATOS_[[Check Periodo Ref.]:[Check Periodo Ref.]]="Dentro",DATOS_[Conc.Sal.17]))))),
0)</f>
        <v>0</v>
      </c>
      <c r="W40" s="170">
        <f t="array" ref="W40">IFERROR(
MEDIAN((IF(DATOS_[[Sexo]:[Sexo]]=$B40,IF(DATOS_[[AGRUP. VALOR. PTO.]:[AGRUP. VALOR. PTO.]]=$B39,IF(DATOS_[[Check Periodo Ref.]:[Check Periodo Ref.]]="Dentro",DATOS_[Conc.Sal.18]))))),
0)</f>
        <v>0</v>
      </c>
      <c r="X40" s="170">
        <f t="array" ref="X40">IFERROR(
MEDIAN((IF(DATOS_[[Sexo]:[Sexo]]=$B40,IF(DATOS_[[AGRUP. VALOR. PTO.]:[AGRUP. VALOR. PTO.]]=$B39,IF(DATOS_[[Check Periodo Ref.]:[Check Periodo Ref.]]="Dentro",DATOS_[Conc.Sal.19]))))),
0)</f>
        <v>0</v>
      </c>
      <c r="Y40" s="170">
        <f t="array" ref="Y40">IFERROR(
MEDIAN((IF(DATOS_[[Sexo]:[Sexo]]=$B40,IF(DATOS_[[AGRUP. VALOR. PTO.]:[AGRUP. VALOR. PTO.]]=$B39,IF(DATOS_[[Check Periodo Ref.]:[Check Periodo Ref.]]="Dentro",DATOS_[Conc.Sal.20]))))),
0)</f>
        <v>0</v>
      </c>
      <c r="Z40" s="170">
        <f t="array" ref="Z40">IFERROR(
MEDIAN((IF(DATOS_[[Sexo]:[Sexo]]=$B40,IF(DATOS_[[AGRUP. VALOR. PTO.]:[AGRUP. VALOR. PTO.]]=$B39,IF(DATOS_[[Check Periodo Ref.]:[Check Periodo Ref.]]="Dentro",DATOS_[Conc.Sal.21]))))),
0)</f>
        <v>0</v>
      </c>
      <c r="AA40" s="170">
        <f t="array" ref="AA40">IFERROR(
MEDIAN((IF(DATOS_[[Sexo]:[Sexo]]=$B40,IF(DATOS_[[AGRUP. VALOR. PTO.]:[AGRUP. VALOR. PTO.]]=$B39,IF(DATOS_[[Check Periodo Ref.]:[Check Periodo Ref.]]="Dentro",DATOS_[Conc.Sal.22]))))),
0)</f>
        <v>0</v>
      </c>
      <c r="AB40" s="170">
        <f t="array" ref="AB40">IFERROR(
MEDIAN((IF(DATOS_[[Sexo]:[Sexo]]=$B40,IF(DATOS_[[AGRUP. VALOR. PTO.]:[AGRUP. VALOR. PTO.]]=$B39,IF(DATOS_[[Check Periodo Ref.]:[Check Periodo Ref.]]="Dentro",DATOS_[Conc.Sal.23]))))),
0)</f>
        <v>0</v>
      </c>
      <c r="AC40" s="170">
        <f t="array" ref="AC40">IFERROR(
MEDIAN((IF(DATOS_[[Sexo]:[Sexo]]=$B40,IF(DATOS_[[AGRUP. VALOR. PTO.]:[AGRUP. VALOR. PTO.]]=$B39,IF(DATOS_[[Check Periodo Ref.]:[Check Periodo Ref.]]="Dentro",DATOS_[Conc.Sal.24]))))),
0)</f>
        <v>0</v>
      </c>
      <c r="AD40" s="170">
        <f t="array" ref="AD40">IFERROR(
MEDIAN((IF(DATOS_[[Sexo]:[Sexo]]=$B40,IF(DATOS_[[AGRUP. VALOR. PTO.]:[AGRUP. VALOR. PTO.]]=$B39,IF(DATOS_[[Check Periodo Ref.]:[Check Periodo Ref.]]="Dentro",DATOS_[Conc.Sal.25]))))),
0)</f>
        <v>0</v>
      </c>
      <c r="AE40" s="170">
        <f t="array" ref="AE40">IFERROR(
MEDIAN((IF(DATOS_[[Sexo]:[Sexo]]=$B40,IF(DATOS_[[AGRUP. VALOR. PTO.]:[AGRUP. VALOR. PTO.]]=$B39,IF(DATOS_[[Check Periodo Ref.]:[Check Periodo Ref.]]="Dentro",DATOS_[Conc.Sal.26]))))),
0)</f>
        <v>0</v>
      </c>
      <c r="AF40" s="170">
        <f t="array" ref="AF40">IFERROR(
MEDIAN((IF(DATOS_[[Sexo]:[Sexo]]=$B40,IF(DATOS_[[AGRUP. VALOR. PTO.]:[AGRUP. VALOR. PTO.]]=$B39,IF(DATOS_[[Check Periodo Ref.]:[Check Periodo Ref.]]="Dentro",DATOS_[Conc.Sal.27]))))),
0)</f>
        <v>0</v>
      </c>
      <c r="AG40" s="170">
        <f t="array" ref="AG40">IFERROR(
MEDIAN((IF(DATOS_[[Sexo]:[Sexo]]=$B40,IF(DATOS_[[AGRUP. VALOR. PTO.]:[AGRUP. VALOR. PTO.]]=$B39,IF(DATOS_[[Check Periodo Ref.]:[Check Periodo Ref.]]="Dentro",DATOS_[Conc.Sal.28]))))),
0)</f>
        <v>0</v>
      </c>
      <c r="AH40" s="170">
        <f t="array" ref="AH40">IFERROR(
MEDIAN((IF(DATOS_[[Sexo]:[Sexo]]=$B40,IF(DATOS_[[AGRUP. VALOR. PTO.]:[AGRUP. VALOR. PTO.]]=$B39,IF(DATOS_[[Check Periodo Ref.]:[Check Periodo Ref.]]="Dentro",DATOS_[Conc.Sal.29]))))),
0)</f>
        <v>0</v>
      </c>
      <c r="AI40" s="170">
        <f t="array" ref="AI40">IFERROR(
MEDIAN((IF(DATOS_[[Sexo]:[Sexo]]=$B40,IF(DATOS_[[AGRUP. VALOR. PTO.]:[AGRUP. VALOR. PTO.]]=$B39,IF(DATOS_[[Check Periodo Ref.]:[Check Periodo Ref.]]="Dentro",DATOS_[Conc.Sal.30]))))),
0)</f>
        <v>0</v>
      </c>
      <c r="AJ40" s="171">
        <f t="array" ref="AJ40">IFERROR(
MEDIAN(IF(DATOS_[Sexo]=$B40,IF(DATOS_[AGRUP. VALOR. PTO.]=$B39,IF(DATOS_[Check Periodo Ref.]="Dentro",DATOS_[Tot COMPL.SAL Ef],FALSE)))),
0)</f>
        <v>0</v>
      </c>
      <c r="AK40" s="172">
        <f t="array" ref="AK40">IFERROR(
MEDIAN(IF(DATOS_[Sexo]=$B40,IF(DATOS_[AGRUP. VALOR. PTO.]=$B39,IF(DATOS_[Check Periodo Ref.]="Dentro",DATOS_[TOTAL SALARIO Ef],FALSE)))),
0)</f>
        <v>0</v>
      </c>
      <c r="AL40" s="173">
        <f t="array" ref="AL40">IFERROR(
MEDIAN((IF(DATOS_[[Sexo]:[Sexo]]=$B40,IF(DATOS_[[AGRUP. VALOR. PTO.]:[AGRUP. VALOR. PTO.]]=$B39,IF(DATOS_[[Check Periodo Ref.]:[Check Periodo Ref.]]="Dentro",DATOS_[C.Extra.01]))))),
0)</f>
        <v>0</v>
      </c>
      <c r="AM40" s="173">
        <f t="array" ref="AM40">IFERROR(
MEDIAN((IF(DATOS_[[Sexo]:[Sexo]]=$B40,IF(DATOS_[[AGRUP. VALOR. PTO.]:[AGRUP. VALOR. PTO.]]=$B39,IF(DATOS_[[Check Periodo Ref.]:[Check Periodo Ref.]]="Dentro",DATOS_[C.Extra.06]))))),
0)</f>
        <v>0</v>
      </c>
      <c r="AN40" s="173">
        <f t="array" ref="AN40">IFERROR(
MEDIAN((IF(DATOS_[[Sexo]:[Sexo]]=$B40,IF(DATOS_[[AGRUP. VALOR. PTO.]:[AGRUP. VALOR. PTO.]]=$B39,IF(DATOS_[[Check Periodo Ref.]:[Check Periodo Ref.]]="Dentro",DATOS_[C.Extra.07]))))),
0)</f>
        <v>0</v>
      </c>
      <c r="AO40" s="173">
        <f t="array" ref="AO40">IFERROR(
MEDIAN((IF(DATOS_[[Sexo]:[Sexo]]=$B40,IF(DATOS_[[AGRUP. VALOR. PTO.]:[AGRUP. VALOR. PTO.]]=$B39,IF(DATOS_[[Check Periodo Ref.]:[Check Periodo Ref.]]="Dentro",DATOS_[C.Extra.08]))))),
0)</f>
        <v>0</v>
      </c>
      <c r="AP40" s="173">
        <f t="array" ref="AP40">IFERROR(
MEDIAN((IF(DATOS_[[Sexo]:[Sexo]]=$B40,IF(DATOS_[[AGRUP. VALOR. PTO.]:[AGRUP. VALOR. PTO.]]=$B39,IF(DATOS_[[Check Periodo Ref.]:[Check Periodo Ref.]]="Dentro",DATOS_[C.Extra.11]))))),
0)</f>
        <v>0</v>
      </c>
      <c r="AQ40" s="174">
        <f t="array" ref="AQ40">IFERROR(
MEDIAN(IF(DATOS_[Sexo]=$B40,IF(DATOS_[AGRUP. VALOR. PTO.]=$B39,IF(DATOS_[Check Periodo Ref.]="Dentro",DATOS_[Tot Extrasalarial Ef],FALSE)))),
0)</f>
        <v>0</v>
      </c>
      <c r="AR40" s="171">
        <f t="array" ref="AR40">IFERROR(
MEDIAN(IF(DATOS_[Sexo]=$B40,IF(DATOS_[AGRUP. VALOR. PTO.]=$B39,IF(DATOS_[Check Periodo Ref.]="Dentro",DATOS_[TOTAL Retrib Ef],FALSE)))),
0)</f>
        <v>0</v>
      </c>
    </row>
    <row r="41" spans="1:44" x14ac:dyDescent="0.25">
      <c r="A41" s="178" t="str">
        <f t="shared" ref="A41" si="38">+A40</f>
        <v>[ocultar]</v>
      </c>
      <c r="B41" s="166" t="s">
        <v>521</v>
      </c>
      <c r="C41" s="167">
        <f t="array" ref="C41">SUM(IF($B41=DATOS_[Sexo],
IF($B39=DATOS_[AGRUP. VALOR. PTO.],
IF("Dentro"=DATOS_[Check Periodo Ref.],
1/(COUNTIFS(DATOS_[Sexo],$B41,DATOS_[AGRUP. VALOR. PTO.],$B39,DATOS_[Check Periodo Ref.],"Dentro",DATOS_[id/cod],DATOS_[id/cod]))))))</f>
        <v>0</v>
      </c>
      <c r="D41" s="168">
        <f>COUNTIFS(DATOS_[AGRUP. VALOR. PTO.],$B39,DATOS_[Sexo],$B41,DATOS_[Check Periodo Ref.],"Dentro")</f>
        <v>0</v>
      </c>
      <c r="E41" s="169">
        <f t="array" ref="E41">IFERROR(
MEDIAN(IF(DATOS_[Sexo]=$B41,IF(DATOS_[AGRUP. VALOR. PTO.]=$B39,IF(DATOS_[Check Periodo Ref.]="Dentro",DATOS_[SALARIO BASE Ef],FALSE)))),
0)</f>
        <v>0</v>
      </c>
      <c r="F41" s="170">
        <f t="array" ref="F41">IFERROR(
MEDIAN((IF(DATOS_[[Sexo]:[Sexo]]=$B41,IF(DATOS_[[AGRUP. VALOR. PTO.]:[AGRUP. VALOR. PTO.]]=$B39,IF(DATOS_[[Check Periodo Ref.]:[Check Periodo Ref.]]="Dentro",DATOS_[Conc.Sal.01]))))),
0)</f>
        <v>0</v>
      </c>
      <c r="G41" s="170">
        <f t="array" ref="G41">IFERROR(
MEDIAN((IF(DATOS_[[Sexo]:[Sexo]]=$B41,IF(DATOS_[[AGRUP. VALOR. PTO.]:[AGRUP. VALOR. PTO.]]=$B39,IF(DATOS_[[Check Periodo Ref.]:[Check Periodo Ref.]]="Dentro",DATOS_[Conc.Sal.02]))))),
0)</f>
        <v>0</v>
      </c>
      <c r="H41" s="170">
        <f t="array" ref="H41">IFERROR(
MEDIAN((IF(DATOS_[[Sexo]:[Sexo]]=$B41,IF(DATOS_[[AGRUP. VALOR. PTO.]:[AGRUP. VALOR. PTO.]]=$B39,IF(DATOS_[[Check Periodo Ref.]:[Check Periodo Ref.]]="Dentro",DATOS_[Conc.Sal.03]))))),
0)</f>
        <v>0</v>
      </c>
      <c r="I41" s="170">
        <f t="array" ref="I41">IFERROR(
MEDIAN((IF(DATOS_[[Sexo]:[Sexo]]=$B41,IF(DATOS_[[AGRUP. VALOR. PTO.]:[AGRUP. VALOR. PTO.]]=$B39,IF(DATOS_[[Check Periodo Ref.]:[Check Periodo Ref.]]="Dentro",DATOS_[Conc.Sal.04]))))),
0)</f>
        <v>0</v>
      </c>
      <c r="J41" s="170">
        <f t="array" ref="J41">IFERROR(
MEDIAN((IF(DATOS_[[Sexo]:[Sexo]]=$B41,IF(DATOS_[[AGRUP. VALOR. PTO.]:[AGRUP. VALOR. PTO.]]=$B39,IF(DATOS_[[Check Periodo Ref.]:[Check Periodo Ref.]]="Dentro",DATOS_[Conc.Sal.05]))))),
0)</f>
        <v>0</v>
      </c>
      <c r="K41" s="170">
        <f t="array" ref="K41">IFERROR(
MEDIAN((IF(DATOS_[[Sexo]:[Sexo]]=$B41,IF(DATOS_[[AGRUP. VALOR. PTO.]:[AGRUP. VALOR. PTO.]]=$B39,IF(DATOS_[[Check Periodo Ref.]:[Check Periodo Ref.]]="Dentro",DATOS_[Conc.Sal.06]))))),
0)</f>
        <v>0</v>
      </c>
      <c r="L41" s="170">
        <f t="array" ref="L41">IFERROR(
MEDIAN((IF(DATOS_[[Sexo]:[Sexo]]=$B41,IF(DATOS_[[AGRUP. VALOR. PTO.]:[AGRUP. VALOR. PTO.]]=$B39,IF(DATOS_[[Check Periodo Ref.]:[Check Periodo Ref.]]="Dentro",DATOS_[Conc.Sal.07]))))),
0)</f>
        <v>0</v>
      </c>
      <c r="M41" s="170">
        <f t="array" ref="M41">IFERROR(
MEDIAN((IF(DATOS_[[Sexo]:[Sexo]]=$B41,IF(DATOS_[[AGRUP. VALOR. PTO.]:[AGRUP. VALOR. PTO.]]=$B39,IF(DATOS_[[Check Periodo Ref.]:[Check Periodo Ref.]]="Dentro",DATOS_[Conc.Sal.08]))))),
0)</f>
        <v>0</v>
      </c>
      <c r="N41" s="170">
        <f t="array" ref="N41">IFERROR(
MEDIAN((IF(DATOS_[[Sexo]:[Sexo]]=$B41,IF(DATOS_[[AGRUP. VALOR. PTO.]:[AGRUP. VALOR. PTO.]]=$B39,IF(DATOS_[[Check Periodo Ref.]:[Check Periodo Ref.]]="Dentro",DATOS_[Conc.Sal.09]))))),
0)</f>
        <v>0</v>
      </c>
      <c r="O41" s="170">
        <f t="array" ref="O41">IFERROR(
MEDIAN((IF(DATOS_[[Sexo]:[Sexo]]=$B41,IF(DATOS_[[AGRUP. VALOR. PTO.]:[AGRUP. VALOR. PTO.]]=$B39,IF(DATOS_[[Check Periodo Ref.]:[Check Periodo Ref.]]="Dentro",DATOS_[Conc.Sal.10]))))),
0)</f>
        <v>0</v>
      </c>
      <c r="P41" s="170">
        <f t="array" ref="P41">IFERROR(
MEDIAN((IF(DATOS_[[Sexo]:[Sexo]]=$B41,IF(DATOS_[[AGRUP. VALOR. PTO.]:[AGRUP. VALOR. PTO.]]=$B39,IF(DATOS_[[Check Periodo Ref.]:[Check Periodo Ref.]]="Dentro",DATOS_[Conc.Sal.11]))))),
0)</f>
        <v>0</v>
      </c>
      <c r="Q41" s="170">
        <f t="array" ref="Q41">IFERROR(
MEDIAN((IF(DATOS_[[Sexo]:[Sexo]]=$B41,IF(DATOS_[[AGRUP. VALOR. PTO.]:[AGRUP. VALOR. PTO.]]=$B39,IF(DATOS_[[Check Periodo Ref.]:[Check Periodo Ref.]]="Dentro",DATOS_[Conc.Sal.12]))))),
0)</f>
        <v>0</v>
      </c>
      <c r="R41" s="170">
        <f t="array" ref="R41">IFERROR(
MEDIAN((IF(DATOS_[[Sexo]:[Sexo]]=$B41,IF(DATOS_[[AGRUP. VALOR. PTO.]:[AGRUP. VALOR. PTO.]]=$B39,IF(DATOS_[[Check Periodo Ref.]:[Check Periodo Ref.]]="Dentro",DATOS_[Conc.Sal.13]))))),
0)</f>
        <v>0</v>
      </c>
      <c r="S41" s="170">
        <f t="array" ref="S41">IFERROR(
MEDIAN((IF(DATOS_[[Sexo]:[Sexo]]=$B41,IF(DATOS_[[AGRUP. VALOR. PTO.]:[AGRUP. VALOR. PTO.]]=$B39,IF(DATOS_[[Check Periodo Ref.]:[Check Periodo Ref.]]="Dentro",DATOS_[Conc.Sal.14]))))),
0)</f>
        <v>0</v>
      </c>
      <c r="T41" s="170">
        <f t="array" ref="T41">IFERROR(
MEDIAN((IF(DATOS_[[Sexo]:[Sexo]]=$B41,IF(DATOS_[[AGRUP. VALOR. PTO.]:[AGRUP. VALOR. PTO.]]=$B39,IF(DATOS_[[Check Periodo Ref.]:[Check Periodo Ref.]]="Dentro",DATOS_[Conc.Sal.15]))))),
0)</f>
        <v>0</v>
      </c>
      <c r="U41" s="170">
        <f t="array" ref="U41">IFERROR(
MEDIAN((IF(DATOS_[[Sexo]:[Sexo]]=$B41,IF(DATOS_[[AGRUP. VALOR. PTO.]:[AGRUP. VALOR. PTO.]]=$B39,IF(DATOS_[[Check Periodo Ref.]:[Check Periodo Ref.]]="Dentro",DATOS_[Conc.Sal.16]))))),
0)</f>
        <v>0</v>
      </c>
      <c r="V41" s="170">
        <f t="array" ref="V41">IFERROR(
MEDIAN((IF(DATOS_[[Sexo]:[Sexo]]=$B41,IF(DATOS_[[AGRUP. VALOR. PTO.]:[AGRUP. VALOR. PTO.]]=$B39,IF(DATOS_[[Check Periodo Ref.]:[Check Periodo Ref.]]="Dentro",DATOS_[Conc.Sal.17]))))),
0)</f>
        <v>0</v>
      </c>
      <c r="W41" s="170">
        <f t="array" ref="W41">IFERROR(
MEDIAN((IF(DATOS_[[Sexo]:[Sexo]]=$B41,IF(DATOS_[[AGRUP. VALOR. PTO.]:[AGRUP. VALOR. PTO.]]=$B39,IF(DATOS_[[Check Periodo Ref.]:[Check Periodo Ref.]]="Dentro",DATOS_[Conc.Sal.18]))))),
0)</f>
        <v>0</v>
      </c>
      <c r="X41" s="170">
        <f t="array" ref="X41">IFERROR(
MEDIAN((IF(DATOS_[[Sexo]:[Sexo]]=$B41,IF(DATOS_[[AGRUP. VALOR. PTO.]:[AGRUP. VALOR. PTO.]]=$B39,IF(DATOS_[[Check Periodo Ref.]:[Check Periodo Ref.]]="Dentro",DATOS_[Conc.Sal.19]))))),
0)</f>
        <v>0</v>
      </c>
      <c r="Y41" s="170">
        <f t="array" ref="Y41">IFERROR(
MEDIAN((IF(DATOS_[[Sexo]:[Sexo]]=$B41,IF(DATOS_[[AGRUP. VALOR. PTO.]:[AGRUP. VALOR. PTO.]]=$B39,IF(DATOS_[[Check Periodo Ref.]:[Check Periodo Ref.]]="Dentro",DATOS_[Conc.Sal.20]))))),
0)</f>
        <v>0</v>
      </c>
      <c r="Z41" s="170">
        <f t="array" ref="Z41">IFERROR(
MEDIAN((IF(DATOS_[[Sexo]:[Sexo]]=$B41,IF(DATOS_[[AGRUP. VALOR. PTO.]:[AGRUP. VALOR. PTO.]]=$B39,IF(DATOS_[[Check Periodo Ref.]:[Check Periodo Ref.]]="Dentro",DATOS_[Conc.Sal.21]))))),
0)</f>
        <v>0</v>
      </c>
      <c r="AA41" s="170">
        <f t="array" ref="AA41">IFERROR(
MEDIAN((IF(DATOS_[[Sexo]:[Sexo]]=$B41,IF(DATOS_[[AGRUP. VALOR. PTO.]:[AGRUP. VALOR. PTO.]]=$B39,IF(DATOS_[[Check Periodo Ref.]:[Check Periodo Ref.]]="Dentro",DATOS_[Conc.Sal.22]))))),
0)</f>
        <v>0</v>
      </c>
      <c r="AB41" s="170">
        <f t="array" ref="AB41">IFERROR(
MEDIAN((IF(DATOS_[[Sexo]:[Sexo]]=$B41,IF(DATOS_[[AGRUP. VALOR. PTO.]:[AGRUP. VALOR. PTO.]]=$B39,IF(DATOS_[[Check Periodo Ref.]:[Check Periodo Ref.]]="Dentro",DATOS_[Conc.Sal.23]))))),
0)</f>
        <v>0</v>
      </c>
      <c r="AC41" s="170">
        <f t="array" ref="AC41">IFERROR(
MEDIAN((IF(DATOS_[[Sexo]:[Sexo]]=$B41,IF(DATOS_[[AGRUP. VALOR. PTO.]:[AGRUP. VALOR. PTO.]]=$B39,IF(DATOS_[[Check Periodo Ref.]:[Check Periodo Ref.]]="Dentro",DATOS_[Conc.Sal.24]))))),
0)</f>
        <v>0</v>
      </c>
      <c r="AD41" s="170">
        <f t="array" ref="AD41">IFERROR(
MEDIAN((IF(DATOS_[[Sexo]:[Sexo]]=$B41,IF(DATOS_[[AGRUP. VALOR. PTO.]:[AGRUP. VALOR. PTO.]]=$B39,IF(DATOS_[[Check Periodo Ref.]:[Check Periodo Ref.]]="Dentro",DATOS_[Conc.Sal.25]))))),
0)</f>
        <v>0</v>
      </c>
      <c r="AE41" s="170">
        <f t="array" ref="AE41">IFERROR(
MEDIAN((IF(DATOS_[[Sexo]:[Sexo]]=$B41,IF(DATOS_[[AGRUP. VALOR. PTO.]:[AGRUP. VALOR. PTO.]]=$B39,IF(DATOS_[[Check Periodo Ref.]:[Check Periodo Ref.]]="Dentro",DATOS_[Conc.Sal.26]))))),
0)</f>
        <v>0</v>
      </c>
      <c r="AF41" s="170">
        <f t="array" ref="AF41">IFERROR(
MEDIAN((IF(DATOS_[[Sexo]:[Sexo]]=$B41,IF(DATOS_[[AGRUP. VALOR. PTO.]:[AGRUP. VALOR. PTO.]]=$B39,IF(DATOS_[[Check Periodo Ref.]:[Check Periodo Ref.]]="Dentro",DATOS_[Conc.Sal.27]))))),
0)</f>
        <v>0</v>
      </c>
      <c r="AG41" s="170">
        <f t="array" ref="AG41">IFERROR(
MEDIAN((IF(DATOS_[[Sexo]:[Sexo]]=$B41,IF(DATOS_[[AGRUP. VALOR. PTO.]:[AGRUP. VALOR. PTO.]]=$B39,IF(DATOS_[[Check Periodo Ref.]:[Check Periodo Ref.]]="Dentro",DATOS_[Conc.Sal.28]))))),
0)</f>
        <v>0</v>
      </c>
      <c r="AH41" s="170">
        <f t="array" ref="AH41">IFERROR(
MEDIAN((IF(DATOS_[[Sexo]:[Sexo]]=$B41,IF(DATOS_[[AGRUP. VALOR. PTO.]:[AGRUP. VALOR. PTO.]]=$B39,IF(DATOS_[[Check Periodo Ref.]:[Check Periodo Ref.]]="Dentro",DATOS_[Conc.Sal.29]))))),
0)</f>
        <v>0</v>
      </c>
      <c r="AI41" s="170">
        <f t="array" ref="AI41">IFERROR(
MEDIAN((IF(DATOS_[[Sexo]:[Sexo]]=$B41,IF(DATOS_[[AGRUP. VALOR. PTO.]:[AGRUP. VALOR. PTO.]]=$B39,IF(DATOS_[[Check Periodo Ref.]:[Check Periodo Ref.]]="Dentro",DATOS_[Conc.Sal.30]))))),
0)</f>
        <v>0</v>
      </c>
      <c r="AJ41" s="171">
        <f t="array" ref="AJ41">IFERROR(
MEDIAN(IF(DATOS_[Sexo]=$B41,IF(DATOS_[AGRUP. VALOR. PTO.]=$B39,IF(DATOS_[Check Periodo Ref.]="Dentro",DATOS_[Tot COMPL.SAL Ef],FALSE)))),
0)</f>
        <v>0</v>
      </c>
      <c r="AK41" s="172">
        <f t="array" ref="AK41">IFERROR(
MEDIAN(IF(DATOS_[Sexo]=$B41,IF(DATOS_[AGRUP. VALOR. PTO.]=$B39,IF(DATOS_[Check Periodo Ref.]="Dentro",DATOS_[TOTAL SALARIO Ef],FALSE)))),
0)</f>
        <v>0</v>
      </c>
      <c r="AL41" s="173">
        <f t="array" ref="AL41">IFERROR(
MEDIAN((IF(DATOS_[[Sexo]:[Sexo]]=$B41,IF(DATOS_[[AGRUP. VALOR. PTO.]:[AGRUP. VALOR. PTO.]]=$B39,IF(DATOS_[[Check Periodo Ref.]:[Check Periodo Ref.]]="Dentro",DATOS_[C.Extra.01]))))),
0)</f>
        <v>0</v>
      </c>
      <c r="AM41" s="173">
        <f t="array" ref="AM41">IFERROR(
MEDIAN((IF(DATOS_[[Sexo]:[Sexo]]=$B41,IF(DATOS_[[AGRUP. VALOR. PTO.]:[AGRUP. VALOR. PTO.]]=$B39,IF(DATOS_[[Check Periodo Ref.]:[Check Periodo Ref.]]="Dentro",DATOS_[C.Extra.06]))))),
0)</f>
        <v>0</v>
      </c>
      <c r="AN41" s="173">
        <f t="array" ref="AN41">IFERROR(
MEDIAN((IF(DATOS_[[Sexo]:[Sexo]]=$B41,IF(DATOS_[[AGRUP. VALOR. PTO.]:[AGRUP. VALOR. PTO.]]=$B39,IF(DATOS_[[Check Periodo Ref.]:[Check Periodo Ref.]]="Dentro",DATOS_[C.Extra.07]))))),
0)</f>
        <v>0</v>
      </c>
      <c r="AO41" s="173">
        <f t="array" ref="AO41">IFERROR(
MEDIAN((IF(DATOS_[[Sexo]:[Sexo]]=$B41,IF(DATOS_[[AGRUP. VALOR. PTO.]:[AGRUP. VALOR. PTO.]]=$B39,IF(DATOS_[[Check Periodo Ref.]:[Check Periodo Ref.]]="Dentro",DATOS_[C.Extra.08]))))),
0)</f>
        <v>0</v>
      </c>
      <c r="AP41" s="173">
        <f t="array" ref="AP41">IFERROR(
MEDIAN((IF(DATOS_[[Sexo]:[Sexo]]=$B41,IF(DATOS_[[AGRUP. VALOR. PTO.]:[AGRUP. VALOR. PTO.]]=$B39,IF(DATOS_[[Check Periodo Ref.]:[Check Periodo Ref.]]="Dentro",DATOS_[C.Extra.11]))))),
0)</f>
        <v>0</v>
      </c>
      <c r="AQ41" s="174">
        <f t="array" ref="AQ41">IFERROR(
MEDIAN(IF(DATOS_[Sexo]=$B41,IF(DATOS_[AGRUP. VALOR. PTO.]=$B39,IF(DATOS_[Check Periodo Ref.]="Dentro",DATOS_[Tot Extrasalarial Ef],FALSE)))),
0)</f>
        <v>0</v>
      </c>
      <c r="AR41" s="171">
        <f t="array" ref="AR41">IFERROR(
MEDIAN(IF(DATOS_[Sexo]=$B41,IF(DATOS_[AGRUP. VALOR. PTO.]=$B39,IF(DATOS_[Check Periodo Ref.]="Dentro",DATOS_[TOTAL Retrib Ef],FALSE)))),
0)</f>
        <v>0</v>
      </c>
    </row>
    <row r="42" spans="1:44" ht="14.4" thickBot="1" x14ac:dyDescent="0.3">
      <c r="A42" s="178" t="str">
        <f t="shared" ref="A42" si="39">+A43</f>
        <v>[ocultar]</v>
      </c>
      <c r="B42" s="153" t="s">
        <v>214</v>
      </c>
      <c r="C42" s="154"/>
      <c r="D42" s="155"/>
      <c r="E42" s="156" t="str">
        <f t="shared" ref="E42:AR42" si="40">IFERROR((E43-E44)/E43,"")</f>
        <v/>
      </c>
      <c r="F42" s="157" t="str">
        <f t="shared" si="40"/>
        <v/>
      </c>
      <c r="G42" s="158" t="str">
        <f t="shared" si="40"/>
        <v/>
      </c>
      <c r="H42" s="158" t="str">
        <f t="shared" si="40"/>
        <v/>
      </c>
      <c r="I42" s="158" t="str">
        <f t="shared" si="40"/>
        <v/>
      </c>
      <c r="J42" s="159" t="str">
        <f t="shared" si="40"/>
        <v/>
      </c>
      <c r="K42" s="160" t="str">
        <f t="shared" si="40"/>
        <v/>
      </c>
      <c r="L42" s="160" t="str">
        <f t="shared" si="40"/>
        <v/>
      </c>
      <c r="M42" s="160" t="str">
        <f t="shared" si="40"/>
        <v/>
      </c>
      <c r="N42" s="160" t="str">
        <f t="shared" si="40"/>
        <v/>
      </c>
      <c r="O42" s="160" t="str">
        <f t="shared" si="40"/>
        <v/>
      </c>
      <c r="P42" s="160" t="str">
        <f t="shared" si="40"/>
        <v/>
      </c>
      <c r="Q42" s="160" t="str">
        <f t="shared" si="40"/>
        <v/>
      </c>
      <c r="R42" s="160" t="str">
        <f t="shared" si="40"/>
        <v/>
      </c>
      <c r="S42" s="160" t="str">
        <f t="shared" si="40"/>
        <v/>
      </c>
      <c r="T42" s="160" t="str">
        <f t="shared" si="40"/>
        <v/>
      </c>
      <c r="U42" s="160" t="str">
        <f t="shared" si="40"/>
        <v/>
      </c>
      <c r="V42" s="159" t="str">
        <f t="shared" si="40"/>
        <v/>
      </c>
      <c r="W42" s="159" t="str">
        <f t="shared" si="40"/>
        <v/>
      </c>
      <c r="X42" s="159" t="str">
        <f t="shared" si="40"/>
        <v/>
      </c>
      <c r="Y42" s="159" t="str">
        <f t="shared" si="40"/>
        <v/>
      </c>
      <c r="Z42" s="159" t="str">
        <f t="shared" si="40"/>
        <v/>
      </c>
      <c r="AA42" s="159" t="str">
        <f t="shared" si="40"/>
        <v/>
      </c>
      <c r="AB42" s="159" t="str">
        <f t="shared" si="40"/>
        <v/>
      </c>
      <c r="AC42" s="159" t="str">
        <f t="shared" si="40"/>
        <v/>
      </c>
      <c r="AD42" s="159" t="str">
        <f t="shared" si="40"/>
        <v/>
      </c>
      <c r="AE42" s="159" t="str">
        <f t="shared" si="40"/>
        <v/>
      </c>
      <c r="AF42" s="159" t="str">
        <f t="shared" si="40"/>
        <v/>
      </c>
      <c r="AG42" s="159" t="str">
        <f t="shared" si="40"/>
        <v/>
      </c>
      <c r="AH42" s="159" t="str">
        <f t="shared" si="40"/>
        <v/>
      </c>
      <c r="AI42" s="159" t="str">
        <f t="shared" si="40"/>
        <v/>
      </c>
      <c r="AJ42" s="161" t="str">
        <f t="shared" si="40"/>
        <v/>
      </c>
      <c r="AK42" s="162" t="str">
        <f t="shared" si="40"/>
        <v/>
      </c>
      <c r="AL42" s="163" t="str">
        <f t="shared" si="40"/>
        <v/>
      </c>
      <c r="AM42" s="163" t="str">
        <f t="shared" si="40"/>
        <v/>
      </c>
      <c r="AN42" s="163" t="str">
        <f t="shared" si="40"/>
        <v/>
      </c>
      <c r="AO42" s="163" t="str">
        <f t="shared" si="40"/>
        <v/>
      </c>
      <c r="AP42" s="163" t="str">
        <f t="shared" si="40"/>
        <v/>
      </c>
      <c r="AQ42" s="164" t="str">
        <f t="shared" si="40"/>
        <v/>
      </c>
      <c r="AR42" s="161" t="str">
        <f t="shared" si="40"/>
        <v/>
      </c>
    </row>
    <row r="43" spans="1:44" x14ac:dyDescent="0.25">
      <c r="A43" s="178" t="str">
        <f t="shared" ref="A43" si="41">+IF(C43+C44=0,"[ocultar]","")</f>
        <v>[ocultar]</v>
      </c>
      <c r="B43" s="166" t="s">
        <v>394</v>
      </c>
      <c r="C43" s="167">
        <f t="array" ref="C43">SUM(IF($B43=DATOS_[Sexo],
IF($B42=DATOS_[AGRUP. VALOR. PTO.],
IF("Dentro"=DATOS_[Check Periodo Ref.],
1/(COUNTIFS(DATOS_[Sexo],$B43,DATOS_[AGRUP. VALOR. PTO.],$B42,DATOS_[Check Periodo Ref.],"Dentro",DATOS_[id/cod],DATOS_[id/cod]))))))</f>
        <v>0</v>
      </c>
      <c r="D43" s="168">
        <f>COUNTIFS(DATOS_[AGRUP. VALOR. PTO.],$B42,DATOS_[Sexo],$B43,DATOS_[Check Periodo Ref.],"Dentro")</f>
        <v>0</v>
      </c>
      <c r="E43" s="169">
        <f t="array" ref="E43">IFERROR(
MEDIAN(IF(DATOS_[Sexo]=$B43,IF(DATOS_[AGRUP. VALOR. PTO.]=$B42,IF(DATOS_[Check Periodo Ref.]="Dentro",DATOS_[SALARIO BASE Ef],FALSE)))),
0)</f>
        <v>0</v>
      </c>
      <c r="F43" s="170">
        <f t="array" ref="F43">IFERROR(
MEDIAN((IF(DATOS_[[Sexo]:[Sexo]]=$B43,IF(DATOS_[[AGRUP. VALOR. PTO.]:[AGRUP. VALOR. PTO.]]=$B42,IF(DATOS_[[Check Periodo Ref.]:[Check Periodo Ref.]]="Dentro",DATOS_[Conc.Sal.01]))))),
0)</f>
        <v>0</v>
      </c>
      <c r="G43" s="170">
        <f t="array" ref="G43">IFERROR(
MEDIAN((IF(DATOS_[[Sexo]:[Sexo]]=$B43,IF(DATOS_[[AGRUP. VALOR. PTO.]:[AGRUP. VALOR. PTO.]]=$B42,IF(DATOS_[[Check Periodo Ref.]:[Check Periodo Ref.]]="Dentro",DATOS_[Conc.Sal.02]))))),
0)</f>
        <v>0</v>
      </c>
      <c r="H43" s="170">
        <f t="array" ref="H43">IFERROR(
MEDIAN((IF(DATOS_[[Sexo]:[Sexo]]=$B43,IF(DATOS_[[AGRUP. VALOR. PTO.]:[AGRUP. VALOR. PTO.]]=$B42,IF(DATOS_[[Check Periodo Ref.]:[Check Periodo Ref.]]="Dentro",DATOS_[Conc.Sal.03]))))),
0)</f>
        <v>0</v>
      </c>
      <c r="I43" s="170">
        <f t="array" ref="I43">IFERROR(
MEDIAN((IF(DATOS_[[Sexo]:[Sexo]]=$B43,IF(DATOS_[[AGRUP. VALOR. PTO.]:[AGRUP. VALOR. PTO.]]=$B42,IF(DATOS_[[Check Periodo Ref.]:[Check Periodo Ref.]]="Dentro",DATOS_[Conc.Sal.04]))))),
0)</f>
        <v>0</v>
      </c>
      <c r="J43" s="170">
        <f t="array" ref="J43">IFERROR(
MEDIAN((IF(DATOS_[[Sexo]:[Sexo]]=$B43,IF(DATOS_[[AGRUP. VALOR. PTO.]:[AGRUP. VALOR. PTO.]]=$B42,IF(DATOS_[[Check Periodo Ref.]:[Check Periodo Ref.]]="Dentro",DATOS_[Conc.Sal.05]))))),
0)</f>
        <v>0</v>
      </c>
      <c r="K43" s="170">
        <f t="array" ref="K43">IFERROR(
MEDIAN((IF(DATOS_[[Sexo]:[Sexo]]=$B43,IF(DATOS_[[AGRUP. VALOR. PTO.]:[AGRUP. VALOR. PTO.]]=$B42,IF(DATOS_[[Check Periodo Ref.]:[Check Periodo Ref.]]="Dentro",DATOS_[Conc.Sal.06]))))),
0)</f>
        <v>0</v>
      </c>
      <c r="L43" s="170">
        <f t="array" ref="L43">IFERROR(
MEDIAN((IF(DATOS_[[Sexo]:[Sexo]]=$B43,IF(DATOS_[[AGRUP. VALOR. PTO.]:[AGRUP. VALOR. PTO.]]=$B42,IF(DATOS_[[Check Periodo Ref.]:[Check Periodo Ref.]]="Dentro",DATOS_[Conc.Sal.07]))))),
0)</f>
        <v>0</v>
      </c>
      <c r="M43" s="170">
        <f t="array" ref="M43">IFERROR(
MEDIAN((IF(DATOS_[[Sexo]:[Sexo]]=$B43,IF(DATOS_[[AGRUP. VALOR. PTO.]:[AGRUP. VALOR. PTO.]]=$B42,IF(DATOS_[[Check Periodo Ref.]:[Check Periodo Ref.]]="Dentro",DATOS_[Conc.Sal.08]))))),
0)</f>
        <v>0</v>
      </c>
      <c r="N43" s="170">
        <f t="array" ref="N43">IFERROR(
MEDIAN((IF(DATOS_[[Sexo]:[Sexo]]=$B43,IF(DATOS_[[AGRUP. VALOR. PTO.]:[AGRUP. VALOR. PTO.]]=$B42,IF(DATOS_[[Check Periodo Ref.]:[Check Periodo Ref.]]="Dentro",DATOS_[Conc.Sal.09]))))),
0)</f>
        <v>0</v>
      </c>
      <c r="O43" s="170">
        <f t="array" ref="O43">IFERROR(
MEDIAN((IF(DATOS_[[Sexo]:[Sexo]]=$B43,IF(DATOS_[[AGRUP. VALOR. PTO.]:[AGRUP. VALOR. PTO.]]=$B42,IF(DATOS_[[Check Periodo Ref.]:[Check Periodo Ref.]]="Dentro",DATOS_[Conc.Sal.10]))))),
0)</f>
        <v>0</v>
      </c>
      <c r="P43" s="170">
        <f t="array" ref="P43">IFERROR(
MEDIAN((IF(DATOS_[[Sexo]:[Sexo]]=$B43,IF(DATOS_[[AGRUP. VALOR. PTO.]:[AGRUP. VALOR. PTO.]]=$B42,IF(DATOS_[[Check Periodo Ref.]:[Check Periodo Ref.]]="Dentro",DATOS_[Conc.Sal.11]))))),
0)</f>
        <v>0</v>
      </c>
      <c r="Q43" s="170">
        <f t="array" ref="Q43">IFERROR(
MEDIAN((IF(DATOS_[[Sexo]:[Sexo]]=$B43,IF(DATOS_[[AGRUP. VALOR. PTO.]:[AGRUP. VALOR. PTO.]]=$B42,IF(DATOS_[[Check Periodo Ref.]:[Check Periodo Ref.]]="Dentro",DATOS_[Conc.Sal.12]))))),
0)</f>
        <v>0</v>
      </c>
      <c r="R43" s="170">
        <f t="array" ref="R43">IFERROR(
MEDIAN((IF(DATOS_[[Sexo]:[Sexo]]=$B43,IF(DATOS_[[AGRUP. VALOR. PTO.]:[AGRUP. VALOR. PTO.]]=$B42,IF(DATOS_[[Check Periodo Ref.]:[Check Periodo Ref.]]="Dentro",DATOS_[Conc.Sal.13]))))),
0)</f>
        <v>0</v>
      </c>
      <c r="S43" s="170">
        <f t="array" ref="S43">IFERROR(
MEDIAN((IF(DATOS_[[Sexo]:[Sexo]]=$B43,IF(DATOS_[[AGRUP. VALOR. PTO.]:[AGRUP. VALOR. PTO.]]=$B42,IF(DATOS_[[Check Periodo Ref.]:[Check Periodo Ref.]]="Dentro",DATOS_[Conc.Sal.14]))))),
0)</f>
        <v>0</v>
      </c>
      <c r="T43" s="170">
        <f t="array" ref="T43">IFERROR(
MEDIAN((IF(DATOS_[[Sexo]:[Sexo]]=$B43,IF(DATOS_[[AGRUP. VALOR. PTO.]:[AGRUP. VALOR. PTO.]]=$B42,IF(DATOS_[[Check Periodo Ref.]:[Check Periodo Ref.]]="Dentro",DATOS_[Conc.Sal.15]))))),
0)</f>
        <v>0</v>
      </c>
      <c r="U43" s="170">
        <f t="array" ref="U43">IFERROR(
MEDIAN((IF(DATOS_[[Sexo]:[Sexo]]=$B43,IF(DATOS_[[AGRUP. VALOR. PTO.]:[AGRUP. VALOR. PTO.]]=$B42,IF(DATOS_[[Check Periodo Ref.]:[Check Periodo Ref.]]="Dentro",DATOS_[Conc.Sal.16]))))),
0)</f>
        <v>0</v>
      </c>
      <c r="V43" s="170">
        <f t="array" ref="V43">IFERROR(
MEDIAN((IF(DATOS_[[Sexo]:[Sexo]]=$B43,IF(DATOS_[[AGRUP. VALOR. PTO.]:[AGRUP. VALOR. PTO.]]=$B42,IF(DATOS_[[Check Periodo Ref.]:[Check Periodo Ref.]]="Dentro",DATOS_[Conc.Sal.17]))))),
0)</f>
        <v>0</v>
      </c>
      <c r="W43" s="170">
        <f t="array" ref="W43">IFERROR(
MEDIAN((IF(DATOS_[[Sexo]:[Sexo]]=$B43,IF(DATOS_[[AGRUP. VALOR. PTO.]:[AGRUP. VALOR. PTO.]]=$B42,IF(DATOS_[[Check Periodo Ref.]:[Check Periodo Ref.]]="Dentro",DATOS_[Conc.Sal.18]))))),
0)</f>
        <v>0</v>
      </c>
      <c r="X43" s="170">
        <f t="array" ref="X43">IFERROR(
MEDIAN((IF(DATOS_[[Sexo]:[Sexo]]=$B43,IF(DATOS_[[AGRUP. VALOR. PTO.]:[AGRUP. VALOR. PTO.]]=$B42,IF(DATOS_[[Check Periodo Ref.]:[Check Periodo Ref.]]="Dentro",DATOS_[Conc.Sal.19]))))),
0)</f>
        <v>0</v>
      </c>
      <c r="Y43" s="170">
        <f t="array" ref="Y43">IFERROR(
MEDIAN((IF(DATOS_[[Sexo]:[Sexo]]=$B43,IF(DATOS_[[AGRUP. VALOR. PTO.]:[AGRUP. VALOR. PTO.]]=$B42,IF(DATOS_[[Check Periodo Ref.]:[Check Periodo Ref.]]="Dentro",DATOS_[Conc.Sal.20]))))),
0)</f>
        <v>0</v>
      </c>
      <c r="Z43" s="170">
        <f t="array" ref="Z43">IFERROR(
MEDIAN((IF(DATOS_[[Sexo]:[Sexo]]=$B43,IF(DATOS_[[AGRUP. VALOR. PTO.]:[AGRUP. VALOR. PTO.]]=$B42,IF(DATOS_[[Check Periodo Ref.]:[Check Periodo Ref.]]="Dentro",DATOS_[Conc.Sal.21]))))),
0)</f>
        <v>0</v>
      </c>
      <c r="AA43" s="170">
        <f t="array" ref="AA43">IFERROR(
MEDIAN((IF(DATOS_[[Sexo]:[Sexo]]=$B43,IF(DATOS_[[AGRUP. VALOR. PTO.]:[AGRUP. VALOR. PTO.]]=$B42,IF(DATOS_[[Check Periodo Ref.]:[Check Periodo Ref.]]="Dentro",DATOS_[Conc.Sal.22]))))),
0)</f>
        <v>0</v>
      </c>
      <c r="AB43" s="170">
        <f t="array" ref="AB43">IFERROR(
MEDIAN((IF(DATOS_[[Sexo]:[Sexo]]=$B43,IF(DATOS_[[AGRUP. VALOR. PTO.]:[AGRUP. VALOR. PTO.]]=$B42,IF(DATOS_[[Check Periodo Ref.]:[Check Periodo Ref.]]="Dentro",DATOS_[Conc.Sal.23]))))),
0)</f>
        <v>0</v>
      </c>
      <c r="AC43" s="170">
        <f t="array" ref="AC43">IFERROR(
MEDIAN((IF(DATOS_[[Sexo]:[Sexo]]=$B43,IF(DATOS_[[AGRUP. VALOR. PTO.]:[AGRUP. VALOR. PTO.]]=$B42,IF(DATOS_[[Check Periodo Ref.]:[Check Periodo Ref.]]="Dentro",DATOS_[Conc.Sal.24]))))),
0)</f>
        <v>0</v>
      </c>
      <c r="AD43" s="170">
        <f t="array" ref="AD43">IFERROR(
MEDIAN((IF(DATOS_[[Sexo]:[Sexo]]=$B43,IF(DATOS_[[AGRUP. VALOR. PTO.]:[AGRUP. VALOR. PTO.]]=$B42,IF(DATOS_[[Check Periodo Ref.]:[Check Periodo Ref.]]="Dentro",DATOS_[Conc.Sal.25]))))),
0)</f>
        <v>0</v>
      </c>
      <c r="AE43" s="170">
        <f t="array" ref="AE43">IFERROR(
MEDIAN((IF(DATOS_[[Sexo]:[Sexo]]=$B43,IF(DATOS_[[AGRUP. VALOR. PTO.]:[AGRUP. VALOR. PTO.]]=$B42,IF(DATOS_[[Check Periodo Ref.]:[Check Periodo Ref.]]="Dentro",DATOS_[Conc.Sal.26]))))),
0)</f>
        <v>0</v>
      </c>
      <c r="AF43" s="170">
        <f t="array" ref="AF43">IFERROR(
MEDIAN((IF(DATOS_[[Sexo]:[Sexo]]=$B43,IF(DATOS_[[AGRUP. VALOR. PTO.]:[AGRUP. VALOR. PTO.]]=$B42,IF(DATOS_[[Check Periodo Ref.]:[Check Periodo Ref.]]="Dentro",DATOS_[Conc.Sal.27]))))),
0)</f>
        <v>0</v>
      </c>
      <c r="AG43" s="170">
        <f t="array" ref="AG43">IFERROR(
MEDIAN((IF(DATOS_[[Sexo]:[Sexo]]=$B43,IF(DATOS_[[AGRUP. VALOR. PTO.]:[AGRUP. VALOR. PTO.]]=$B42,IF(DATOS_[[Check Periodo Ref.]:[Check Periodo Ref.]]="Dentro",DATOS_[Conc.Sal.28]))))),
0)</f>
        <v>0</v>
      </c>
      <c r="AH43" s="170">
        <f t="array" ref="AH43">IFERROR(
MEDIAN((IF(DATOS_[[Sexo]:[Sexo]]=$B43,IF(DATOS_[[AGRUP. VALOR. PTO.]:[AGRUP. VALOR. PTO.]]=$B42,IF(DATOS_[[Check Periodo Ref.]:[Check Periodo Ref.]]="Dentro",DATOS_[Conc.Sal.29]))))),
0)</f>
        <v>0</v>
      </c>
      <c r="AI43" s="170">
        <f t="array" ref="AI43">IFERROR(
MEDIAN((IF(DATOS_[[Sexo]:[Sexo]]=$B43,IF(DATOS_[[AGRUP. VALOR. PTO.]:[AGRUP. VALOR. PTO.]]=$B42,IF(DATOS_[[Check Periodo Ref.]:[Check Periodo Ref.]]="Dentro",DATOS_[Conc.Sal.30]))))),
0)</f>
        <v>0</v>
      </c>
      <c r="AJ43" s="171">
        <f t="array" ref="AJ43">IFERROR(
MEDIAN(IF(DATOS_[Sexo]=$B43,IF(DATOS_[AGRUP. VALOR. PTO.]=$B42,IF(DATOS_[Check Periodo Ref.]="Dentro",DATOS_[Tot COMPL.SAL Ef],FALSE)))),
0)</f>
        <v>0</v>
      </c>
      <c r="AK43" s="172">
        <f t="array" ref="AK43">IFERROR(
MEDIAN(IF(DATOS_[Sexo]=$B43,IF(DATOS_[AGRUP. VALOR. PTO.]=$B42,IF(DATOS_[Check Periodo Ref.]="Dentro",DATOS_[TOTAL SALARIO Ef],FALSE)))),
0)</f>
        <v>0</v>
      </c>
      <c r="AL43" s="173">
        <f t="array" ref="AL43">IFERROR(
MEDIAN((IF(DATOS_[[Sexo]:[Sexo]]=$B43,IF(DATOS_[[AGRUP. VALOR. PTO.]:[AGRUP. VALOR. PTO.]]=$B42,IF(DATOS_[[Check Periodo Ref.]:[Check Periodo Ref.]]="Dentro",DATOS_[C.Extra.01]))))),
0)</f>
        <v>0</v>
      </c>
      <c r="AM43" s="173">
        <f t="array" ref="AM43">IFERROR(
MEDIAN((IF(DATOS_[[Sexo]:[Sexo]]=$B43,IF(DATOS_[[AGRUP. VALOR. PTO.]:[AGRUP. VALOR. PTO.]]=$B42,IF(DATOS_[[Check Periodo Ref.]:[Check Periodo Ref.]]="Dentro",DATOS_[C.Extra.06]))))),
0)</f>
        <v>0</v>
      </c>
      <c r="AN43" s="173">
        <f t="array" ref="AN43">IFERROR(
MEDIAN((IF(DATOS_[[Sexo]:[Sexo]]=$B43,IF(DATOS_[[AGRUP. VALOR. PTO.]:[AGRUP. VALOR. PTO.]]=$B42,IF(DATOS_[[Check Periodo Ref.]:[Check Periodo Ref.]]="Dentro",DATOS_[C.Extra.07]))))),
0)</f>
        <v>0</v>
      </c>
      <c r="AO43" s="173">
        <f t="array" ref="AO43">IFERROR(
MEDIAN((IF(DATOS_[[Sexo]:[Sexo]]=$B43,IF(DATOS_[[AGRUP. VALOR. PTO.]:[AGRUP. VALOR. PTO.]]=$B42,IF(DATOS_[[Check Periodo Ref.]:[Check Periodo Ref.]]="Dentro",DATOS_[C.Extra.08]))))),
0)</f>
        <v>0</v>
      </c>
      <c r="AP43" s="173">
        <f t="array" ref="AP43">IFERROR(
MEDIAN((IF(DATOS_[[Sexo]:[Sexo]]=$B43,IF(DATOS_[[AGRUP. VALOR. PTO.]:[AGRUP. VALOR. PTO.]]=$B42,IF(DATOS_[[Check Periodo Ref.]:[Check Periodo Ref.]]="Dentro",DATOS_[C.Extra.11]))))),
0)</f>
        <v>0</v>
      </c>
      <c r="AQ43" s="174">
        <f t="array" ref="AQ43">IFERROR(
MEDIAN(IF(DATOS_[Sexo]=$B43,IF(DATOS_[AGRUP. VALOR. PTO.]=$B42,IF(DATOS_[Check Periodo Ref.]="Dentro",DATOS_[Tot Extrasalarial Ef],FALSE)))),
0)</f>
        <v>0</v>
      </c>
      <c r="AR43" s="171">
        <f t="array" ref="AR43">IFERROR(
MEDIAN(IF(DATOS_[Sexo]=$B43,IF(DATOS_[AGRUP. VALOR. PTO.]=$B42,IF(DATOS_[Check Periodo Ref.]="Dentro",DATOS_[TOTAL Retrib Ef],FALSE)))),
0)</f>
        <v>0</v>
      </c>
    </row>
    <row r="44" spans="1:44" x14ac:dyDescent="0.25">
      <c r="A44" s="178" t="str">
        <f t="shared" ref="A44" si="42">+A43</f>
        <v>[ocultar]</v>
      </c>
      <c r="B44" s="166" t="s">
        <v>521</v>
      </c>
      <c r="C44" s="167">
        <f t="array" ref="C44">SUM(IF($B44=DATOS_[Sexo],
IF($B42=DATOS_[AGRUP. VALOR. PTO.],
IF("Dentro"=DATOS_[Check Periodo Ref.],
1/(COUNTIFS(DATOS_[Sexo],$B44,DATOS_[AGRUP. VALOR. PTO.],$B42,DATOS_[Check Periodo Ref.],"Dentro",DATOS_[id/cod],DATOS_[id/cod]))))))</f>
        <v>0</v>
      </c>
      <c r="D44" s="168">
        <f>COUNTIFS(DATOS_[AGRUP. VALOR. PTO.],$B42,DATOS_[Sexo],$B44,DATOS_[Check Periodo Ref.],"Dentro")</f>
        <v>0</v>
      </c>
      <c r="E44" s="169">
        <f t="array" ref="E44">IFERROR(
MEDIAN(IF(DATOS_[Sexo]=$B44,IF(DATOS_[AGRUP. VALOR. PTO.]=$B42,IF(DATOS_[Check Periodo Ref.]="Dentro",DATOS_[SALARIO BASE Ef],FALSE)))),
0)</f>
        <v>0</v>
      </c>
      <c r="F44" s="170">
        <f t="array" ref="F44">IFERROR(
MEDIAN((IF(DATOS_[[Sexo]:[Sexo]]=$B44,IF(DATOS_[[AGRUP. VALOR. PTO.]:[AGRUP. VALOR. PTO.]]=$B42,IF(DATOS_[[Check Periodo Ref.]:[Check Periodo Ref.]]="Dentro",DATOS_[Conc.Sal.01]))))),
0)</f>
        <v>0</v>
      </c>
      <c r="G44" s="170">
        <f t="array" ref="G44">IFERROR(
MEDIAN((IF(DATOS_[[Sexo]:[Sexo]]=$B44,IF(DATOS_[[AGRUP. VALOR. PTO.]:[AGRUP. VALOR. PTO.]]=$B42,IF(DATOS_[[Check Periodo Ref.]:[Check Periodo Ref.]]="Dentro",DATOS_[Conc.Sal.02]))))),
0)</f>
        <v>0</v>
      </c>
      <c r="H44" s="170">
        <f t="array" ref="H44">IFERROR(
MEDIAN((IF(DATOS_[[Sexo]:[Sexo]]=$B44,IF(DATOS_[[AGRUP. VALOR. PTO.]:[AGRUP. VALOR. PTO.]]=$B42,IF(DATOS_[[Check Periodo Ref.]:[Check Periodo Ref.]]="Dentro",DATOS_[Conc.Sal.03]))))),
0)</f>
        <v>0</v>
      </c>
      <c r="I44" s="170">
        <f t="array" ref="I44">IFERROR(
MEDIAN((IF(DATOS_[[Sexo]:[Sexo]]=$B44,IF(DATOS_[[AGRUP. VALOR. PTO.]:[AGRUP. VALOR. PTO.]]=$B42,IF(DATOS_[[Check Periodo Ref.]:[Check Periodo Ref.]]="Dentro",DATOS_[Conc.Sal.04]))))),
0)</f>
        <v>0</v>
      </c>
      <c r="J44" s="170">
        <f t="array" ref="J44">IFERROR(
MEDIAN((IF(DATOS_[[Sexo]:[Sexo]]=$B44,IF(DATOS_[[AGRUP. VALOR. PTO.]:[AGRUP. VALOR. PTO.]]=$B42,IF(DATOS_[[Check Periodo Ref.]:[Check Periodo Ref.]]="Dentro",DATOS_[Conc.Sal.05]))))),
0)</f>
        <v>0</v>
      </c>
      <c r="K44" s="170">
        <f t="array" ref="K44">IFERROR(
MEDIAN((IF(DATOS_[[Sexo]:[Sexo]]=$B44,IF(DATOS_[[AGRUP. VALOR. PTO.]:[AGRUP. VALOR. PTO.]]=$B42,IF(DATOS_[[Check Periodo Ref.]:[Check Periodo Ref.]]="Dentro",DATOS_[Conc.Sal.06]))))),
0)</f>
        <v>0</v>
      </c>
      <c r="L44" s="170">
        <f t="array" ref="L44">IFERROR(
MEDIAN((IF(DATOS_[[Sexo]:[Sexo]]=$B44,IF(DATOS_[[AGRUP. VALOR. PTO.]:[AGRUP. VALOR. PTO.]]=$B42,IF(DATOS_[[Check Periodo Ref.]:[Check Periodo Ref.]]="Dentro",DATOS_[Conc.Sal.07]))))),
0)</f>
        <v>0</v>
      </c>
      <c r="M44" s="170">
        <f t="array" ref="M44">IFERROR(
MEDIAN((IF(DATOS_[[Sexo]:[Sexo]]=$B44,IF(DATOS_[[AGRUP. VALOR. PTO.]:[AGRUP. VALOR. PTO.]]=$B42,IF(DATOS_[[Check Periodo Ref.]:[Check Periodo Ref.]]="Dentro",DATOS_[Conc.Sal.08]))))),
0)</f>
        <v>0</v>
      </c>
      <c r="N44" s="170">
        <f t="array" ref="N44">IFERROR(
MEDIAN((IF(DATOS_[[Sexo]:[Sexo]]=$B44,IF(DATOS_[[AGRUP. VALOR. PTO.]:[AGRUP. VALOR. PTO.]]=$B42,IF(DATOS_[[Check Periodo Ref.]:[Check Periodo Ref.]]="Dentro",DATOS_[Conc.Sal.09]))))),
0)</f>
        <v>0</v>
      </c>
      <c r="O44" s="170">
        <f t="array" ref="O44">IFERROR(
MEDIAN((IF(DATOS_[[Sexo]:[Sexo]]=$B44,IF(DATOS_[[AGRUP. VALOR. PTO.]:[AGRUP. VALOR. PTO.]]=$B42,IF(DATOS_[[Check Periodo Ref.]:[Check Periodo Ref.]]="Dentro",DATOS_[Conc.Sal.10]))))),
0)</f>
        <v>0</v>
      </c>
      <c r="P44" s="170">
        <f t="array" ref="P44">IFERROR(
MEDIAN((IF(DATOS_[[Sexo]:[Sexo]]=$B44,IF(DATOS_[[AGRUP. VALOR. PTO.]:[AGRUP. VALOR. PTO.]]=$B42,IF(DATOS_[[Check Periodo Ref.]:[Check Periodo Ref.]]="Dentro",DATOS_[Conc.Sal.11]))))),
0)</f>
        <v>0</v>
      </c>
      <c r="Q44" s="170">
        <f t="array" ref="Q44">IFERROR(
MEDIAN((IF(DATOS_[[Sexo]:[Sexo]]=$B44,IF(DATOS_[[AGRUP. VALOR. PTO.]:[AGRUP. VALOR. PTO.]]=$B42,IF(DATOS_[[Check Periodo Ref.]:[Check Periodo Ref.]]="Dentro",DATOS_[Conc.Sal.12]))))),
0)</f>
        <v>0</v>
      </c>
      <c r="R44" s="170">
        <f t="array" ref="R44">IFERROR(
MEDIAN((IF(DATOS_[[Sexo]:[Sexo]]=$B44,IF(DATOS_[[AGRUP. VALOR. PTO.]:[AGRUP. VALOR. PTO.]]=$B42,IF(DATOS_[[Check Periodo Ref.]:[Check Periodo Ref.]]="Dentro",DATOS_[Conc.Sal.13]))))),
0)</f>
        <v>0</v>
      </c>
      <c r="S44" s="170">
        <f t="array" ref="S44">IFERROR(
MEDIAN((IF(DATOS_[[Sexo]:[Sexo]]=$B44,IF(DATOS_[[AGRUP. VALOR. PTO.]:[AGRUP. VALOR. PTO.]]=$B42,IF(DATOS_[[Check Periodo Ref.]:[Check Periodo Ref.]]="Dentro",DATOS_[Conc.Sal.14]))))),
0)</f>
        <v>0</v>
      </c>
      <c r="T44" s="170">
        <f t="array" ref="T44">IFERROR(
MEDIAN((IF(DATOS_[[Sexo]:[Sexo]]=$B44,IF(DATOS_[[AGRUP. VALOR. PTO.]:[AGRUP. VALOR. PTO.]]=$B42,IF(DATOS_[[Check Periodo Ref.]:[Check Periodo Ref.]]="Dentro",DATOS_[Conc.Sal.15]))))),
0)</f>
        <v>0</v>
      </c>
      <c r="U44" s="170">
        <f t="array" ref="U44">IFERROR(
MEDIAN((IF(DATOS_[[Sexo]:[Sexo]]=$B44,IF(DATOS_[[AGRUP. VALOR. PTO.]:[AGRUP. VALOR. PTO.]]=$B42,IF(DATOS_[[Check Periodo Ref.]:[Check Periodo Ref.]]="Dentro",DATOS_[Conc.Sal.16]))))),
0)</f>
        <v>0</v>
      </c>
      <c r="V44" s="170">
        <f t="array" ref="V44">IFERROR(
MEDIAN((IF(DATOS_[[Sexo]:[Sexo]]=$B44,IF(DATOS_[[AGRUP. VALOR. PTO.]:[AGRUP. VALOR. PTO.]]=$B42,IF(DATOS_[[Check Periodo Ref.]:[Check Periodo Ref.]]="Dentro",DATOS_[Conc.Sal.17]))))),
0)</f>
        <v>0</v>
      </c>
      <c r="W44" s="170">
        <f t="array" ref="W44">IFERROR(
MEDIAN((IF(DATOS_[[Sexo]:[Sexo]]=$B44,IF(DATOS_[[AGRUP. VALOR. PTO.]:[AGRUP. VALOR. PTO.]]=$B42,IF(DATOS_[[Check Periodo Ref.]:[Check Periodo Ref.]]="Dentro",DATOS_[Conc.Sal.18]))))),
0)</f>
        <v>0</v>
      </c>
      <c r="X44" s="170">
        <f t="array" ref="X44">IFERROR(
MEDIAN((IF(DATOS_[[Sexo]:[Sexo]]=$B44,IF(DATOS_[[AGRUP. VALOR. PTO.]:[AGRUP. VALOR. PTO.]]=$B42,IF(DATOS_[[Check Periodo Ref.]:[Check Periodo Ref.]]="Dentro",DATOS_[Conc.Sal.19]))))),
0)</f>
        <v>0</v>
      </c>
      <c r="Y44" s="170">
        <f t="array" ref="Y44">IFERROR(
MEDIAN((IF(DATOS_[[Sexo]:[Sexo]]=$B44,IF(DATOS_[[AGRUP. VALOR. PTO.]:[AGRUP. VALOR. PTO.]]=$B42,IF(DATOS_[[Check Periodo Ref.]:[Check Periodo Ref.]]="Dentro",DATOS_[Conc.Sal.20]))))),
0)</f>
        <v>0</v>
      </c>
      <c r="Z44" s="170">
        <f t="array" ref="Z44">IFERROR(
MEDIAN((IF(DATOS_[[Sexo]:[Sexo]]=$B44,IF(DATOS_[[AGRUP. VALOR. PTO.]:[AGRUP. VALOR. PTO.]]=$B42,IF(DATOS_[[Check Periodo Ref.]:[Check Periodo Ref.]]="Dentro",DATOS_[Conc.Sal.21]))))),
0)</f>
        <v>0</v>
      </c>
      <c r="AA44" s="170">
        <f t="array" ref="AA44">IFERROR(
MEDIAN((IF(DATOS_[[Sexo]:[Sexo]]=$B44,IF(DATOS_[[AGRUP. VALOR. PTO.]:[AGRUP. VALOR. PTO.]]=$B42,IF(DATOS_[[Check Periodo Ref.]:[Check Periodo Ref.]]="Dentro",DATOS_[Conc.Sal.22]))))),
0)</f>
        <v>0</v>
      </c>
      <c r="AB44" s="170">
        <f t="array" ref="AB44">IFERROR(
MEDIAN((IF(DATOS_[[Sexo]:[Sexo]]=$B44,IF(DATOS_[[AGRUP. VALOR. PTO.]:[AGRUP. VALOR. PTO.]]=$B42,IF(DATOS_[[Check Periodo Ref.]:[Check Periodo Ref.]]="Dentro",DATOS_[Conc.Sal.23]))))),
0)</f>
        <v>0</v>
      </c>
      <c r="AC44" s="170">
        <f t="array" ref="AC44">IFERROR(
MEDIAN((IF(DATOS_[[Sexo]:[Sexo]]=$B44,IF(DATOS_[[AGRUP. VALOR. PTO.]:[AGRUP. VALOR. PTO.]]=$B42,IF(DATOS_[[Check Periodo Ref.]:[Check Periodo Ref.]]="Dentro",DATOS_[Conc.Sal.24]))))),
0)</f>
        <v>0</v>
      </c>
      <c r="AD44" s="170">
        <f t="array" ref="AD44">IFERROR(
MEDIAN((IF(DATOS_[[Sexo]:[Sexo]]=$B44,IF(DATOS_[[AGRUP. VALOR. PTO.]:[AGRUP. VALOR. PTO.]]=$B42,IF(DATOS_[[Check Periodo Ref.]:[Check Periodo Ref.]]="Dentro",DATOS_[Conc.Sal.25]))))),
0)</f>
        <v>0</v>
      </c>
      <c r="AE44" s="170">
        <f t="array" ref="AE44">IFERROR(
MEDIAN((IF(DATOS_[[Sexo]:[Sexo]]=$B44,IF(DATOS_[[AGRUP. VALOR. PTO.]:[AGRUP. VALOR. PTO.]]=$B42,IF(DATOS_[[Check Periodo Ref.]:[Check Periodo Ref.]]="Dentro",DATOS_[Conc.Sal.26]))))),
0)</f>
        <v>0</v>
      </c>
      <c r="AF44" s="170">
        <f t="array" ref="AF44">IFERROR(
MEDIAN((IF(DATOS_[[Sexo]:[Sexo]]=$B44,IF(DATOS_[[AGRUP. VALOR. PTO.]:[AGRUP. VALOR. PTO.]]=$B42,IF(DATOS_[[Check Periodo Ref.]:[Check Periodo Ref.]]="Dentro",DATOS_[Conc.Sal.27]))))),
0)</f>
        <v>0</v>
      </c>
      <c r="AG44" s="170">
        <f t="array" ref="AG44">IFERROR(
MEDIAN((IF(DATOS_[[Sexo]:[Sexo]]=$B44,IF(DATOS_[[AGRUP. VALOR. PTO.]:[AGRUP. VALOR. PTO.]]=$B42,IF(DATOS_[[Check Periodo Ref.]:[Check Periodo Ref.]]="Dentro",DATOS_[Conc.Sal.28]))))),
0)</f>
        <v>0</v>
      </c>
      <c r="AH44" s="170">
        <f t="array" ref="AH44">IFERROR(
MEDIAN((IF(DATOS_[[Sexo]:[Sexo]]=$B44,IF(DATOS_[[AGRUP. VALOR. PTO.]:[AGRUP. VALOR. PTO.]]=$B42,IF(DATOS_[[Check Periodo Ref.]:[Check Periodo Ref.]]="Dentro",DATOS_[Conc.Sal.29]))))),
0)</f>
        <v>0</v>
      </c>
      <c r="AI44" s="170">
        <f t="array" ref="AI44">IFERROR(
MEDIAN((IF(DATOS_[[Sexo]:[Sexo]]=$B44,IF(DATOS_[[AGRUP. VALOR. PTO.]:[AGRUP. VALOR. PTO.]]=$B42,IF(DATOS_[[Check Periodo Ref.]:[Check Periodo Ref.]]="Dentro",DATOS_[Conc.Sal.30]))))),
0)</f>
        <v>0</v>
      </c>
      <c r="AJ44" s="171">
        <f t="array" ref="AJ44">IFERROR(
MEDIAN(IF(DATOS_[Sexo]=$B44,IF(DATOS_[AGRUP. VALOR. PTO.]=$B42,IF(DATOS_[Check Periodo Ref.]="Dentro",DATOS_[Tot COMPL.SAL Ef],FALSE)))),
0)</f>
        <v>0</v>
      </c>
      <c r="AK44" s="172">
        <f t="array" ref="AK44">IFERROR(
MEDIAN(IF(DATOS_[Sexo]=$B44,IF(DATOS_[AGRUP. VALOR. PTO.]=$B42,IF(DATOS_[Check Periodo Ref.]="Dentro",DATOS_[TOTAL SALARIO Ef],FALSE)))),
0)</f>
        <v>0</v>
      </c>
      <c r="AL44" s="173">
        <f t="array" ref="AL44">IFERROR(
MEDIAN((IF(DATOS_[[Sexo]:[Sexo]]=$B44,IF(DATOS_[[AGRUP. VALOR. PTO.]:[AGRUP. VALOR. PTO.]]=$B42,IF(DATOS_[[Check Periodo Ref.]:[Check Periodo Ref.]]="Dentro",DATOS_[C.Extra.01]))))),
0)</f>
        <v>0</v>
      </c>
      <c r="AM44" s="173">
        <f t="array" ref="AM44">IFERROR(
MEDIAN((IF(DATOS_[[Sexo]:[Sexo]]=$B44,IF(DATOS_[[AGRUP. VALOR. PTO.]:[AGRUP. VALOR. PTO.]]=$B42,IF(DATOS_[[Check Periodo Ref.]:[Check Periodo Ref.]]="Dentro",DATOS_[C.Extra.06]))))),
0)</f>
        <v>0</v>
      </c>
      <c r="AN44" s="173">
        <f t="array" ref="AN44">IFERROR(
MEDIAN((IF(DATOS_[[Sexo]:[Sexo]]=$B44,IF(DATOS_[[AGRUP. VALOR. PTO.]:[AGRUP. VALOR. PTO.]]=$B42,IF(DATOS_[[Check Periodo Ref.]:[Check Periodo Ref.]]="Dentro",DATOS_[C.Extra.07]))))),
0)</f>
        <v>0</v>
      </c>
      <c r="AO44" s="173">
        <f t="array" ref="AO44">IFERROR(
MEDIAN((IF(DATOS_[[Sexo]:[Sexo]]=$B44,IF(DATOS_[[AGRUP. VALOR. PTO.]:[AGRUP. VALOR. PTO.]]=$B42,IF(DATOS_[[Check Periodo Ref.]:[Check Periodo Ref.]]="Dentro",DATOS_[C.Extra.08]))))),
0)</f>
        <v>0</v>
      </c>
      <c r="AP44" s="173">
        <f t="array" ref="AP44">IFERROR(
MEDIAN((IF(DATOS_[[Sexo]:[Sexo]]=$B44,IF(DATOS_[[AGRUP. VALOR. PTO.]:[AGRUP. VALOR. PTO.]]=$B42,IF(DATOS_[[Check Periodo Ref.]:[Check Periodo Ref.]]="Dentro",DATOS_[C.Extra.11]))))),
0)</f>
        <v>0</v>
      </c>
      <c r="AQ44" s="174">
        <f t="array" ref="AQ44">IFERROR(
MEDIAN(IF(DATOS_[Sexo]=$B44,IF(DATOS_[AGRUP. VALOR. PTO.]=$B42,IF(DATOS_[Check Periodo Ref.]="Dentro",DATOS_[Tot Extrasalarial Ef],FALSE)))),
0)</f>
        <v>0</v>
      </c>
      <c r="AR44" s="171">
        <f t="array" ref="AR44">IFERROR(
MEDIAN(IF(DATOS_[Sexo]=$B44,IF(DATOS_[AGRUP. VALOR. PTO.]=$B42,IF(DATOS_[Check Periodo Ref.]="Dentro",DATOS_[TOTAL Retrib Ef],FALSE)))),
0)</f>
        <v>0</v>
      </c>
    </row>
    <row r="45" spans="1:44" ht="14.4" thickBot="1" x14ac:dyDescent="0.3">
      <c r="A45" s="178" t="str">
        <f t="shared" ref="A45" si="43">+A46</f>
        <v>[ocultar]</v>
      </c>
      <c r="B45" s="153" t="s">
        <v>218</v>
      </c>
      <c r="C45" s="154"/>
      <c r="D45" s="155"/>
      <c r="E45" s="156" t="str">
        <f t="shared" ref="E45:AR45" si="44">IFERROR((E46-E47)/E46,"")</f>
        <v/>
      </c>
      <c r="F45" s="157" t="str">
        <f t="shared" si="44"/>
        <v/>
      </c>
      <c r="G45" s="158" t="str">
        <f t="shared" si="44"/>
        <v/>
      </c>
      <c r="H45" s="158" t="str">
        <f t="shared" si="44"/>
        <v/>
      </c>
      <c r="I45" s="158" t="str">
        <f t="shared" si="44"/>
        <v/>
      </c>
      <c r="J45" s="159" t="str">
        <f t="shared" si="44"/>
        <v/>
      </c>
      <c r="K45" s="160" t="str">
        <f t="shared" si="44"/>
        <v/>
      </c>
      <c r="L45" s="160" t="str">
        <f t="shared" si="44"/>
        <v/>
      </c>
      <c r="M45" s="160" t="str">
        <f t="shared" si="44"/>
        <v/>
      </c>
      <c r="N45" s="160" t="str">
        <f t="shared" si="44"/>
        <v/>
      </c>
      <c r="O45" s="160" t="str">
        <f t="shared" si="44"/>
        <v/>
      </c>
      <c r="P45" s="160" t="str">
        <f t="shared" si="44"/>
        <v/>
      </c>
      <c r="Q45" s="160" t="str">
        <f t="shared" si="44"/>
        <v/>
      </c>
      <c r="R45" s="160" t="str">
        <f t="shared" si="44"/>
        <v/>
      </c>
      <c r="S45" s="160" t="str">
        <f t="shared" si="44"/>
        <v/>
      </c>
      <c r="T45" s="160" t="str">
        <f t="shared" si="44"/>
        <v/>
      </c>
      <c r="U45" s="160" t="str">
        <f t="shared" si="44"/>
        <v/>
      </c>
      <c r="V45" s="159" t="str">
        <f t="shared" si="44"/>
        <v/>
      </c>
      <c r="W45" s="159" t="str">
        <f t="shared" si="44"/>
        <v/>
      </c>
      <c r="X45" s="159" t="str">
        <f t="shared" si="44"/>
        <v/>
      </c>
      <c r="Y45" s="159" t="str">
        <f t="shared" si="44"/>
        <v/>
      </c>
      <c r="Z45" s="159" t="str">
        <f t="shared" si="44"/>
        <v/>
      </c>
      <c r="AA45" s="159" t="str">
        <f t="shared" si="44"/>
        <v/>
      </c>
      <c r="AB45" s="159" t="str">
        <f t="shared" si="44"/>
        <v/>
      </c>
      <c r="AC45" s="159" t="str">
        <f t="shared" si="44"/>
        <v/>
      </c>
      <c r="AD45" s="159" t="str">
        <f t="shared" si="44"/>
        <v/>
      </c>
      <c r="AE45" s="159" t="str">
        <f t="shared" si="44"/>
        <v/>
      </c>
      <c r="AF45" s="159" t="str">
        <f t="shared" si="44"/>
        <v/>
      </c>
      <c r="AG45" s="159" t="str">
        <f t="shared" si="44"/>
        <v/>
      </c>
      <c r="AH45" s="159" t="str">
        <f t="shared" si="44"/>
        <v/>
      </c>
      <c r="AI45" s="159" t="str">
        <f t="shared" si="44"/>
        <v/>
      </c>
      <c r="AJ45" s="161" t="str">
        <f t="shared" si="44"/>
        <v/>
      </c>
      <c r="AK45" s="162" t="str">
        <f t="shared" si="44"/>
        <v/>
      </c>
      <c r="AL45" s="163" t="str">
        <f t="shared" si="44"/>
        <v/>
      </c>
      <c r="AM45" s="163" t="str">
        <f t="shared" si="44"/>
        <v/>
      </c>
      <c r="AN45" s="163" t="str">
        <f t="shared" si="44"/>
        <v/>
      </c>
      <c r="AO45" s="163" t="str">
        <f t="shared" si="44"/>
        <v/>
      </c>
      <c r="AP45" s="163" t="str">
        <f t="shared" si="44"/>
        <v/>
      </c>
      <c r="AQ45" s="164" t="str">
        <f t="shared" si="44"/>
        <v/>
      </c>
      <c r="AR45" s="161" t="str">
        <f t="shared" si="44"/>
        <v/>
      </c>
    </row>
    <row r="46" spans="1:44" x14ac:dyDescent="0.25">
      <c r="A46" s="178" t="str">
        <f t="shared" ref="A46" si="45">+IF(C46+C47=0,"[ocultar]","")</f>
        <v>[ocultar]</v>
      </c>
      <c r="B46" s="166" t="s">
        <v>394</v>
      </c>
      <c r="C46" s="167">
        <f t="array" ref="C46">SUM(IF($B46=DATOS_[Sexo],
IF($B45=DATOS_[AGRUP. VALOR. PTO.],
IF("Dentro"=DATOS_[Check Periodo Ref.],
1/(COUNTIFS(DATOS_[Sexo],$B46,DATOS_[AGRUP. VALOR. PTO.],$B45,DATOS_[Check Periodo Ref.],"Dentro",DATOS_[id/cod],DATOS_[id/cod]))))))</f>
        <v>0</v>
      </c>
      <c r="D46" s="168">
        <f>COUNTIFS(DATOS_[AGRUP. VALOR. PTO.],$B45,DATOS_[Sexo],$B46,DATOS_[Check Periodo Ref.],"Dentro")</f>
        <v>0</v>
      </c>
      <c r="E46" s="169">
        <f t="array" ref="E46">IFERROR(
MEDIAN(IF(DATOS_[Sexo]=$B46,IF(DATOS_[AGRUP. VALOR. PTO.]=$B45,IF(DATOS_[Check Periodo Ref.]="Dentro",DATOS_[SALARIO BASE Ef],FALSE)))),
0)</f>
        <v>0</v>
      </c>
      <c r="F46" s="170">
        <f t="array" ref="F46">IFERROR(
MEDIAN((IF(DATOS_[[Sexo]:[Sexo]]=$B46,IF(DATOS_[[AGRUP. VALOR. PTO.]:[AGRUP. VALOR. PTO.]]=$B45,IF(DATOS_[[Check Periodo Ref.]:[Check Periodo Ref.]]="Dentro",DATOS_[Conc.Sal.01]))))),
0)</f>
        <v>0</v>
      </c>
      <c r="G46" s="170">
        <f t="array" ref="G46">IFERROR(
MEDIAN((IF(DATOS_[[Sexo]:[Sexo]]=$B46,IF(DATOS_[[AGRUP. VALOR. PTO.]:[AGRUP. VALOR. PTO.]]=$B45,IF(DATOS_[[Check Periodo Ref.]:[Check Periodo Ref.]]="Dentro",DATOS_[Conc.Sal.02]))))),
0)</f>
        <v>0</v>
      </c>
      <c r="H46" s="170">
        <f t="array" ref="H46">IFERROR(
MEDIAN((IF(DATOS_[[Sexo]:[Sexo]]=$B46,IF(DATOS_[[AGRUP. VALOR. PTO.]:[AGRUP. VALOR. PTO.]]=$B45,IF(DATOS_[[Check Periodo Ref.]:[Check Periodo Ref.]]="Dentro",DATOS_[Conc.Sal.03]))))),
0)</f>
        <v>0</v>
      </c>
      <c r="I46" s="170">
        <f t="array" ref="I46">IFERROR(
MEDIAN((IF(DATOS_[[Sexo]:[Sexo]]=$B46,IF(DATOS_[[AGRUP. VALOR. PTO.]:[AGRUP. VALOR. PTO.]]=$B45,IF(DATOS_[[Check Periodo Ref.]:[Check Periodo Ref.]]="Dentro",DATOS_[Conc.Sal.04]))))),
0)</f>
        <v>0</v>
      </c>
      <c r="J46" s="170">
        <f t="array" ref="J46">IFERROR(
MEDIAN((IF(DATOS_[[Sexo]:[Sexo]]=$B46,IF(DATOS_[[AGRUP. VALOR. PTO.]:[AGRUP. VALOR. PTO.]]=$B45,IF(DATOS_[[Check Periodo Ref.]:[Check Periodo Ref.]]="Dentro",DATOS_[Conc.Sal.05]))))),
0)</f>
        <v>0</v>
      </c>
      <c r="K46" s="170">
        <f t="array" ref="K46">IFERROR(
MEDIAN((IF(DATOS_[[Sexo]:[Sexo]]=$B46,IF(DATOS_[[AGRUP. VALOR. PTO.]:[AGRUP. VALOR. PTO.]]=$B45,IF(DATOS_[[Check Periodo Ref.]:[Check Periodo Ref.]]="Dentro",DATOS_[Conc.Sal.06]))))),
0)</f>
        <v>0</v>
      </c>
      <c r="L46" s="170">
        <f t="array" ref="L46">IFERROR(
MEDIAN((IF(DATOS_[[Sexo]:[Sexo]]=$B46,IF(DATOS_[[AGRUP. VALOR. PTO.]:[AGRUP. VALOR. PTO.]]=$B45,IF(DATOS_[[Check Periodo Ref.]:[Check Periodo Ref.]]="Dentro",DATOS_[Conc.Sal.07]))))),
0)</f>
        <v>0</v>
      </c>
      <c r="M46" s="170">
        <f t="array" ref="M46">IFERROR(
MEDIAN((IF(DATOS_[[Sexo]:[Sexo]]=$B46,IF(DATOS_[[AGRUP. VALOR. PTO.]:[AGRUP. VALOR. PTO.]]=$B45,IF(DATOS_[[Check Periodo Ref.]:[Check Periodo Ref.]]="Dentro",DATOS_[Conc.Sal.08]))))),
0)</f>
        <v>0</v>
      </c>
      <c r="N46" s="170">
        <f t="array" ref="N46">IFERROR(
MEDIAN((IF(DATOS_[[Sexo]:[Sexo]]=$B46,IF(DATOS_[[AGRUP. VALOR. PTO.]:[AGRUP. VALOR. PTO.]]=$B45,IF(DATOS_[[Check Periodo Ref.]:[Check Periodo Ref.]]="Dentro",DATOS_[Conc.Sal.09]))))),
0)</f>
        <v>0</v>
      </c>
      <c r="O46" s="170">
        <f t="array" ref="O46">IFERROR(
MEDIAN((IF(DATOS_[[Sexo]:[Sexo]]=$B46,IF(DATOS_[[AGRUP. VALOR. PTO.]:[AGRUP. VALOR. PTO.]]=$B45,IF(DATOS_[[Check Periodo Ref.]:[Check Periodo Ref.]]="Dentro",DATOS_[Conc.Sal.10]))))),
0)</f>
        <v>0</v>
      </c>
      <c r="P46" s="170">
        <f t="array" ref="P46">IFERROR(
MEDIAN((IF(DATOS_[[Sexo]:[Sexo]]=$B46,IF(DATOS_[[AGRUP. VALOR. PTO.]:[AGRUP. VALOR. PTO.]]=$B45,IF(DATOS_[[Check Periodo Ref.]:[Check Periodo Ref.]]="Dentro",DATOS_[Conc.Sal.11]))))),
0)</f>
        <v>0</v>
      </c>
      <c r="Q46" s="170">
        <f t="array" ref="Q46">IFERROR(
MEDIAN((IF(DATOS_[[Sexo]:[Sexo]]=$B46,IF(DATOS_[[AGRUP. VALOR. PTO.]:[AGRUP. VALOR. PTO.]]=$B45,IF(DATOS_[[Check Periodo Ref.]:[Check Periodo Ref.]]="Dentro",DATOS_[Conc.Sal.12]))))),
0)</f>
        <v>0</v>
      </c>
      <c r="R46" s="170">
        <f t="array" ref="R46">IFERROR(
MEDIAN((IF(DATOS_[[Sexo]:[Sexo]]=$B46,IF(DATOS_[[AGRUP. VALOR. PTO.]:[AGRUP. VALOR. PTO.]]=$B45,IF(DATOS_[[Check Periodo Ref.]:[Check Periodo Ref.]]="Dentro",DATOS_[Conc.Sal.13]))))),
0)</f>
        <v>0</v>
      </c>
      <c r="S46" s="170">
        <f t="array" ref="S46">IFERROR(
MEDIAN((IF(DATOS_[[Sexo]:[Sexo]]=$B46,IF(DATOS_[[AGRUP. VALOR. PTO.]:[AGRUP. VALOR. PTO.]]=$B45,IF(DATOS_[[Check Periodo Ref.]:[Check Periodo Ref.]]="Dentro",DATOS_[Conc.Sal.14]))))),
0)</f>
        <v>0</v>
      </c>
      <c r="T46" s="170">
        <f t="array" ref="T46">IFERROR(
MEDIAN((IF(DATOS_[[Sexo]:[Sexo]]=$B46,IF(DATOS_[[AGRUP. VALOR. PTO.]:[AGRUP. VALOR. PTO.]]=$B45,IF(DATOS_[[Check Periodo Ref.]:[Check Periodo Ref.]]="Dentro",DATOS_[Conc.Sal.15]))))),
0)</f>
        <v>0</v>
      </c>
      <c r="U46" s="170">
        <f t="array" ref="U46">IFERROR(
MEDIAN((IF(DATOS_[[Sexo]:[Sexo]]=$B46,IF(DATOS_[[AGRUP. VALOR. PTO.]:[AGRUP. VALOR. PTO.]]=$B45,IF(DATOS_[[Check Periodo Ref.]:[Check Periodo Ref.]]="Dentro",DATOS_[Conc.Sal.16]))))),
0)</f>
        <v>0</v>
      </c>
      <c r="V46" s="170">
        <f t="array" ref="V46">IFERROR(
MEDIAN((IF(DATOS_[[Sexo]:[Sexo]]=$B46,IF(DATOS_[[AGRUP. VALOR. PTO.]:[AGRUP. VALOR. PTO.]]=$B45,IF(DATOS_[[Check Periodo Ref.]:[Check Periodo Ref.]]="Dentro",DATOS_[Conc.Sal.17]))))),
0)</f>
        <v>0</v>
      </c>
      <c r="W46" s="170">
        <f t="array" ref="W46">IFERROR(
MEDIAN((IF(DATOS_[[Sexo]:[Sexo]]=$B46,IF(DATOS_[[AGRUP. VALOR. PTO.]:[AGRUP. VALOR. PTO.]]=$B45,IF(DATOS_[[Check Periodo Ref.]:[Check Periodo Ref.]]="Dentro",DATOS_[Conc.Sal.18]))))),
0)</f>
        <v>0</v>
      </c>
      <c r="X46" s="170">
        <f t="array" ref="X46">IFERROR(
MEDIAN((IF(DATOS_[[Sexo]:[Sexo]]=$B46,IF(DATOS_[[AGRUP. VALOR. PTO.]:[AGRUP. VALOR. PTO.]]=$B45,IF(DATOS_[[Check Periodo Ref.]:[Check Periodo Ref.]]="Dentro",DATOS_[Conc.Sal.19]))))),
0)</f>
        <v>0</v>
      </c>
      <c r="Y46" s="170">
        <f t="array" ref="Y46">IFERROR(
MEDIAN((IF(DATOS_[[Sexo]:[Sexo]]=$B46,IF(DATOS_[[AGRUP. VALOR. PTO.]:[AGRUP. VALOR. PTO.]]=$B45,IF(DATOS_[[Check Periodo Ref.]:[Check Periodo Ref.]]="Dentro",DATOS_[Conc.Sal.20]))))),
0)</f>
        <v>0</v>
      </c>
      <c r="Z46" s="170">
        <f t="array" ref="Z46">IFERROR(
MEDIAN((IF(DATOS_[[Sexo]:[Sexo]]=$B46,IF(DATOS_[[AGRUP. VALOR. PTO.]:[AGRUP. VALOR. PTO.]]=$B45,IF(DATOS_[[Check Periodo Ref.]:[Check Periodo Ref.]]="Dentro",DATOS_[Conc.Sal.21]))))),
0)</f>
        <v>0</v>
      </c>
      <c r="AA46" s="170">
        <f t="array" ref="AA46">IFERROR(
MEDIAN((IF(DATOS_[[Sexo]:[Sexo]]=$B46,IF(DATOS_[[AGRUP. VALOR. PTO.]:[AGRUP. VALOR. PTO.]]=$B45,IF(DATOS_[[Check Periodo Ref.]:[Check Periodo Ref.]]="Dentro",DATOS_[Conc.Sal.22]))))),
0)</f>
        <v>0</v>
      </c>
      <c r="AB46" s="170">
        <f t="array" ref="AB46">IFERROR(
MEDIAN((IF(DATOS_[[Sexo]:[Sexo]]=$B46,IF(DATOS_[[AGRUP. VALOR. PTO.]:[AGRUP. VALOR. PTO.]]=$B45,IF(DATOS_[[Check Periodo Ref.]:[Check Periodo Ref.]]="Dentro",DATOS_[Conc.Sal.23]))))),
0)</f>
        <v>0</v>
      </c>
      <c r="AC46" s="170">
        <f t="array" ref="AC46">IFERROR(
MEDIAN((IF(DATOS_[[Sexo]:[Sexo]]=$B46,IF(DATOS_[[AGRUP. VALOR. PTO.]:[AGRUP. VALOR. PTO.]]=$B45,IF(DATOS_[[Check Periodo Ref.]:[Check Periodo Ref.]]="Dentro",DATOS_[Conc.Sal.24]))))),
0)</f>
        <v>0</v>
      </c>
      <c r="AD46" s="170">
        <f t="array" ref="AD46">IFERROR(
MEDIAN((IF(DATOS_[[Sexo]:[Sexo]]=$B46,IF(DATOS_[[AGRUP. VALOR. PTO.]:[AGRUP. VALOR. PTO.]]=$B45,IF(DATOS_[[Check Periodo Ref.]:[Check Periodo Ref.]]="Dentro",DATOS_[Conc.Sal.25]))))),
0)</f>
        <v>0</v>
      </c>
      <c r="AE46" s="170">
        <f t="array" ref="AE46">IFERROR(
MEDIAN((IF(DATOS_[[Sexo]:[Sexo]]=$B46,IF(DATOS_[[AGRUP. VALOR. PTO.]:[AGRUP. VALOR. PTO.]]=$B45,IF(DATOS_[[Check Periodo Ref.]:[Check Periodo Ref.]]="Dentro",DATOS_[Conc.Sal.26]))))),
0)</f>
        <v>0</v>
      </c>
      <c r="AF46" s="170">
        <f t="array" ref="AF46">IFERROR(
MEDIAN((IF(DATOS_[[Sexo]:[Sexo]]=$B46,IF(DATOS_[[AGRUP. VALOR. PTO.]:[AGRUP. VALOR. PTO.]]=$B45,IF(DATOS_[[Check Periodo Ref.]:[Check Periodo Ref.]]="Dentro",DATOS_[Conc.Sal.27]))))),
0)</f>
        <v>0</v>
      </c>
      <c r="AG46" s="170">
        <f t="array" ref="AG46">IFERROR(
MEDIAN((IF(DATOS_[[Sexo]:[Sexo]]=$B46,IF(DATOS_[[AGRUP. VALOR. PTO.]:[AGRUP. VALOR. PTO.]]=$B45,IF(DATOS_[[Check Periodo Ref.]:[Check Periodo Ref.]]="Dentro",DATOS_[Conc.Sal.28]))))),
0)</f>
        <v>0</v>
      </c>
      <c r="AH46" s="170">
        <f t="array" ref="AH46">IFERROR(
MEDIAN((IF(DATOS_[[Sexo]:[Sexo]]=$B46,IF(DATOS_[[AGRUP. VALOR. PTO.]:[AGRUP. VALOR. PTO.]]=$B45,IF(DATOS_[[Check Periodo Ref.]:[Check Periodo Ref.]]="Dentro",DATOS_[Conc.Sal.29]))))),
0)</f>
        <v>0</v>
      </c>
      <c r="AI46" s="170">
        <f t="array" ref="AI46">IFERROR(
MEDIAN((IF(DATOS_[[Sexo]:[Sexo]]=$B46,IF(DATOS_[[AGRUP. VALOR. PTO.]:[AGRUP. VALOR. PTO.]]=$B45,IF(DATOS_[[Check Periodo Ref.]:[Check Periodo Ref.]]="Dentro",DATOS_[Conc.Sal.30]))))),
0)</f>
        <v>0</v>
      </c>
      <c r="AJ46" s="171">
        <f t="array" ref="AJ46">IFERROR(
MEDIAN(IF(DATOS_[Sexo]=$B46,IF(DATOS_[AGRUP. VALOR. PTO.]=$B45,IF(DATOS_[Check Periodo Ref.]="Dentro",DATOS_[Tot COMPL.SAL Ef],FALSE)))),
0)</f>
        <v>0</v>
      </c>
      <c r="AK46" s="172">
        <f t="array" ref="AK46">IFERROR(
MEDIAN(IF(DATOS_[Sexo]=$B46,IF(DATOS_[AGRUP. VALOR. PTO.]=$B45,IF(DATOS_[Check Periodo Ref.]="Dentro",DATOS_[TOTAL SALARIO Ef],FALSE)))),
0)</f>
        <v>0</v>
      </c>
      <c r="AL46" s="173">
        <f t="array" ref="AL46">IFERROR(
MEDIAN((IF(DATOS_[[Sexo]:[Sexo]]=$B46,IF(DATOS_[[AGRUP. VALOR. PTO.]:[AGRUP. VALOR. PTO.]]=$B45,IF(DATOS_[[Check Periodo Ref.]:[Check Periodo Ref.]]="Dentro",DATOS_[C.Extra.01]))))),
0)</f>
        <v>0</v>
      </c>
      <c r="AM46" s="173">
        <f t="array" ref="AM46">IFERROR(
MEDIAN((IF(DATOS_[[Sexo]:[Sexo]]=$B46,IF(DATOS_[[AGRUP. VALOR. PTO.]:[AGRUP. VALOR. PTO.]]=$B45,IF(DATOS_[[Check Periodo Ref.]:[Check Periodo Ref.]]="Dentro",DATOS_[C.Extra.06]))))),
0)</f>
        <v>0</v>
      </c>
      <c r="AN46" s="173">
        <f t="array" ref="AN46">IFERROR(
MEDIAN((IF(DATOS_[[Sexo]:[Sexo]]=$B46,IF(DATOS_[[AGRUP. VALOR. PTO.]:[AGRUP. VALOR. PTO.]]=$B45,IF(DATOS_[[Check Periodo Ref.]:[Check Periodo Ref.]]="Dentro",DATOS_[C.Extra.07]))))),
0)</f>
        <v>0</v>
      </c>
      <c r="AO46" s="173">
        <f t="array" ref="AO46">IFERROR(
MEDIAN((IF(DATOS_[[Sexo]:[Sexo]]=$B46,IF(DATOS_[[AGRUP. VALOR. PTO.]:[AGRUP. VALOR. PTO.]]=$B45,IF(DATOS_[[Check Periodo Ref.]:[Check Periodo Ref.]]="Dentro",DATOS_[C.Extra.08]))))),
0)</f>
        <v>0</v>
      </c>
      <c r="AP46" s="173">
        <f t="array" ref="AP46">IFERROR(
MEDIAN((IF(DATOS_[[Sexo]:[Sexo]]=$B46,IF(DATOS_[[AGRUP. VALOR. PTO.]:[AGRUP. VALOR. PTO.]]=$B45,IF(DATOS_[[Check Periodo Ref.]:[Check Periodo Ref.]]="Dentro",DATOS_[C.Extra.11]))))),
0)</f>
        <v>0</v>
      </c>
      <c r="AQ46" s="174">
        <f t="array" ref="AQ46">IFERROR(
MEDIAN(IF(DATOS_[Sexo]=$B46,IF(DATOS_[AGRUP. VALOR. PTO.]=$B45,IF(DATOS_[Check Periodo Ref.]="Dentro",DATOS_[Tot Extrasalarial Ef],FALSE)))),
0)</f>
        <v>0</v>
      </c>
      <c r="AR46" s="171">
        <f t="array" ref="AR46">IFERROR(
MEDIAN(IF(DATOS_[Sexo]=$B46,IF(DATOS_[AGRUP. VALOR. PTO.]=$B45,IF(DATOS_[Check Periodo Ref.]="Dentro",DATOS_[TOTAL Retrib Ef],FALSE)))),
0)</f>
        <v>0</v>
      </c>
    </row>
    <row r="47" spans="1:44" x14ac:dyDescent="0.25">
      <c r="A47" s="178" t="str">
        <f t="shared" ref="A47" si="46">+A46</f>
        <v>[ocultar]</v>
      </c>
      <c r="B47" s="166" t="s">
        <v>521</v>
      </c>
      <c r="C47" s="167">
        <f t="array" ref="C47">SUM(IF($B47=DATOS_[Sexo],
IF($B45=DATOS_[AGRUP. VALOR. PTO.],
IF("Dentro"=DATOS_[Check Periodo Ref.],
1/(COUNTIFS(DATOS_[Sexo],$B47,DATOS_[AGRUP. VALOR. PTO.],$B45,DATOS_[Check Periodo Ref.],"Dentro",DATOS_[id/cod],DATOS_[id/cod]))))))</f>
        <v>0</v>
      </c>
      <c r="D47" s="168">
        <f>COUNTIFS(DATOS_[AGRUP. VALOR. PTO.],$B45,DATOS_[Sexo],$B47,DATOS_[Check Periodo Ref.],"Dentro")</f>
        <v>0</v>
      </c>
      <c r="E47" s="169">
        <f t="array" ref="E47">IFERROR(
MEDIAN(IF(DATOS_[Sexo]=$B47,IF(DATOS_[AGRUP. VALOR. PTO.]=$B45,IF(DATOS_[Check Periodo Ref.]="Dentro",DATOS_[SALARIO BASE Ef],FALSE)))),
0)</f>
        <v>0</v>
      </c>
      <c r="F47" s="170">
        <f t="array" ref="F47">IFERROR(
MEDIAN((IF(DATOS_[[Sexo]:[Sexo]]=$B47,IF(DATOS_[[AGRUP. VALOR. PTO.]:[AGRUP. VALOR. PTO.]]=$B45,IF(DATOS_[[Check Periodo Ref.]:[Check Periodo Ref.]]="Dentro",DATOS_[Conc.Sal.01]))))),
0)</f>
        <v>0</v>
      </c>
      <c r="G47" s="170">
        <f t="array" ref="G47">IFERROR(
MEDIAN((IF(DATOS_[[Sexo]:[Sexo]]=$B47,IF(DATOS_[[AGRUP. VALOR. PTO.]:[AGRUP. VALOR. PTO.]]=$B45,IF(DATOS_[[Check Periodo Ref.]:[Check Periodo Ref.]]="Dentro",DATOS_[Conc.Sal.02]))))),
0)</f>
        <v>0</v>
      </c>
      <c r="H47" s="170">
        <f t="array" ref="H47">IFERROR(
MEDIAN((IF(DATOS_[[Sexo]:[Sexo]]=$B47,IF(DATOS_[[AGRUP. VALOR. PTO.]:[AGRUP. VALOR. PTO.]]=$B45,IF(DATOS_[[Check Periodo Ref.]:[Check Periodo Ref.]]="Dentro",DATOS_[Conc.Sal.03]))))),
0)</f>
        <v>0</v>
      </c>
      <c r="I47" s="170">
        <f t="array" ref="I47">IFERROR(
MEDIAN((IF(DATOS_[[Sexo]:[Sexo]]=$B47,IF(DATOS_[[AGRUP. VALOR. PTO.]:[AGRUP. VALOR. PTO.]]=$B45,IF(DATOS_[[Check Periodo Ref.]:[Check Periodo Ref.]]="Dentro",DATOS_[Conc.Sal.04]))))),
0)</f>
        <v>0</v>
      </c>
      <c r="J47" s="170">
        <f t="array" ref="J47">IFERROR(
MEDIAN((IF(DATOS_[[Sexo]:[Sexo]]=$B47,IF(DATOS_[[AGRUP. VALOR. PTO.]:[AGRUP. VALOR. PTO.]]=$B45,IF(DATOS_[[Check Periodo Ref.]:[Check Periodo Ref.]]="Dentro",DATOS_[Conc.Sal.05]))))),
0)</f>
        <v>0</v>
      </c>
      <c r="K47" s="170">
        <f t="array" ref="K47">IFERROR(
MEDIAN((IF(DATOS_[[Sexo]:[Sexo]]=$B47,IF(DATOS_[[AGRUP. VALOR. PTO.]:[AGRUP. VALOR. PTO.]]=$B45,IF(DATOS_[[Check Periodo Ref.]:[Check Periodo Ref.]]="Dentro",DATOS_[Conc.Sal.06]))))),
0)</f>
        <v>0</v>
      </c>
      <c r="L47" s="170">
        <f t="array" ref="L47">IFERROR(
MEDIAN((IF(DATOS_[[Sexo]:[Sexo]]=$B47,IF(DATOS_[[AGRUP. VALOR. PTO.]:[AGRUP. VALOR. PTO.]]=$B45,IF(DATOS_[[Check Periodo Ref.]:[Check Periodo Ref.]]="Dentro",DATOS_[Conc.Sal.07]))))),
0)</f>
        <v>0</v>
      </c>
      <c r="M47" s="170">
        <f t="array" ref="M47">IFERROR(
MEDIAN((IF(DATOS_[[Sexo]:[Sexo]]=$B47,IF(DATOS_[[AGRUP. VALOR. PTO.]:[AGRUP. VALOR. PTO.]]=$B45,IF(DATOS_[[Check Periodo Ref.]:[Check Periodo Ref.]]="Dentro",DATOS_[Conc.Sal.08]))))),
0)</f>
        <v>0</v>
      </c>
      <c r="N47" s="170">
        <f t="array" ref="N47">IFERROR(
MEDIAN((IF(DATOS_[[Sexo]:[Sexo]]=$B47,IF(DATOS_[[AGRUP. VALOR. PTO.]:[AGRUP. VALOR. PTO.]]=$B45,IF(DATOS_[[Check Periodo Ref.]:[Check Periodo Ref.]]="Dentro",DATOS_[Conc.Sal.09]))))),
0)</f>
        <v>0</v>
      </c>
      <c r="O47" s="170">
        <f t="array" ref="O47">IFERROR(
MEDIAN((IF(DATOS_[[Sexo]:[Sexo]]=$B47,IF(DATOS_[[AGRUP. VALOR. PTO.]:[AGRUP. VALOR. PTO.]]=$B45,IF(DATOS_[[Check Periodo Ref.]:[Check Periodo Ref.]]="Dentro",DATOS_[Conc.Sal.10]))))),
0)</f>
        <v>0</v>
      </c>
      <c r="P47" s="170">
        <f t="array" ref="P47">IFERROR(
MEDIAN((IF(DATOS_[[Sexo]:[Sexo]]=$B47,IF(DATOS_[[AGRUP. VALOR. PTO.]:[AGRUP. VALOR. PTO.]]=$B45,IF(DATOS_[[Check Periodo Ref.]:[Check Periodo Ref.]]="Dentro",DATOS_[Conc.Sal.11]))))),
0)</f>
        <v>0</v>
      </c>
      <c r="Q47" s="170">
        <f t="array" ref="Q47">IFERROR(
MEDIAN((IF(DATOS_[[Sexo]:[Sexo]]=$B47,IF(DATOS_[[AGRUP. VALOR. PTO.]:[AGRUP. VALOR. PTO.]]=$B45,IF(DATOS_[[Check Periodo Ref.]:[Check Periodo Ref.]]="Dentro",DATOS_[Conc.Sal.12]))))),
0)</f>
        <v>0</v>
      </c>
      <c r="R47" s="170">
        <f t="array" ref="R47">IFERROR(
MEDIAN((IF(DATOS_[[Sexo]:[Sexo]]=$B47,IF(DATOS_[[AGRUP. VALOR. PTO.]:[AGRUP. VALOR. PTO.]]=$B45,IF(DATOS_[[Check Periodo Ref.]:[Check Periodo Ref.]]="Dentro",DATOS_[Conc.Sal.13]))))),
0)</f>
        <v>0</v>
      </c>
      <c r="S47" s="170">
        <f t="array" ref="S47">IFERROR(
MEDIAN((IF(DATOS_[[Sexo]:[Sexo]]=$B47,IF(DATOS_[[AGRUP. VALOR. PTO.]:[AGRUP. VALOR. PTO.]]=$B45,IF(DATOS_[[Check Periodo Ref.]:[Check Periodo Ref.]]="Dentro",DATOS_[Conc.Sal.14]))))),
0)</f>
        <v>0</v>
      </c>
      <c r="T47" s="170">
        <f t="array" ref="T47">IFERROR(
MEDIAN((IF(DATOS_[[Sexo]:[Sexo]]=$B47,IF(DATOS_[[AGRUP. VALOR. PTO.]:[AGRUP. VALOR. PTO.]]=$B45,IF(DATOS_[[Check Periodo Ref.]:[Check Periodo Ref.]]="Dentro",DATOS_[Conc.Sal.15]))))),
0)</f>
        <v>0</v>
      </c>
      <c r="U47" s="170">
        <f t="array" ref="U47">IFERROR(
MEDIAN((IF(DATOS_[[Sexo]:[Sexo]]=$B47,IF(DATOS_[[AGRUP. VALOR. PTO.]:[AGRUP. VALOR. PTO.]]=$B45,IF(DATOS_[[Check Periodo Ref.]:[Check Periodo Ref.]]="Dentro",DATOS_[Conc.Sal.16]))))),
0)</f>
        <v>0</v>
      </c>
      <c r="V47" s="170">
        <f t="array" ref="V47">IFERROR(
MEDIAN((IF(DATOS_[[Sexo]:[Sexo]]=$B47,IF(DATOS_[[AGRUP. VALOR. PTO.]:[AGRUP. VALOR. PTO.]]=$B45,IF(DATOS_[[Check Periodo Ref.]:[Check Periodo Ref.]]="Dentro",DATOS_[Conc.Sal.17]))))),
0)</f>
        <v>0</v>
      </c>
      <c r="W47" s="170">
        <f t="array" ref="W47">IFERROR(
MEDIAN((IF(DATOS_[[Sexo]:[Sexo]]=$B47,IF(DATOS_[[AGRUP. VALOR. PTO.]:[AGRUP. VALOR. PTO.]]=$B45,IF(DATOS_[[Check Periodo Ref.]:[Check Periodo Ref.]]="Dentro",DATOS_[Conc.Sal.18]))))),
0)</f>
        <v>0</v>
      </c>
      <c r="X47" s="170">
        <f t="array" ref="X47">IFERROR(
MEDIAN((IF(DATOS_[[Sexo]:[Sexo]]=$B47,IF(DATOS_[[AGRUP. VALOR. PTO.]:[AGRUP. VALOR. PTO.]]=$B45,IF(DATOS_[[Check Periodo Ref.]:[Check Periodo Ref.]]="Dentro",DATOS_[Conc.Sal.19]))))),
0)</f>
        <v>0</v>
      </c>
      <c r="Y47" s="170">
        <f t="array" ref="Y47">IFERROR(
MEDIAN((IF(DATOS_[[Sexo]:[Sexo]]=$B47,IF(DATOS_[[AGRUP. VALOR. PTO.]:[AGRUP. VALOR. PTO.]]=$B45,IF(DATOS_[[Check Periodo Ref.]:[Check Periodo Ref.]]="Dentro",DATOS_[Conc.Sal.20]))))),
0)</f>
        <v>0</v>
      </c>
      <c r="Z47" s="170">
        <f t="array" ref="Z47">IFERROR(
MEDIAN((IF(DATOS_[[Sexo]:[Sexo]]=$B47,IF(DATOS_[[AGRUP. VALOR. PTO.]:[AGRUP. VALOR. PTO.]]=$B45,IF(DATOS_[[Check Periodo Ref.]:[Check Periodo Ref.]]="Dentro",DATOS_[Conc.Sal.21]))))),
0)</f>
        <v>0</v>
      </c>
      <c r="AA47" s="170">
        <f t="array" ref="AA47">IFERROR(
MEDIAN((IF(DATOS_[[Sexo]:[Sexo]]=$B47,IF(DATOS_[[AGRUP. VALOR. PTO.]:[AGRUP. VALOR. PTO.]]=$B45,IF(DATOS_[[Check Periodo Ref.]:[Check Periodo Ref.]]="Dentro",DATOS_[Conc.Sal.22]))))),
0)</f>
        <v>0</v>
      </c>
      <c r="AB47" s="170">
        <f t="array" ref="AB47">IFERROR(
MEDIAN((IF(DATOS_[[Sexo]:[Sexo]]=$B47,IF(DATOS_[[AGRUP. VALOR. PTO.]:[AGRUP. VALOR. PTO.]]=$B45,IF(DATOS_[[Check Periodo Ref.]:[Check Periodo Ref.]]="Dentro",DATOS_[Conc.Sal.23]))))),
0)</f>
        <v>0</v>
      </c>
      <c r="AC47" s="170">
        <f t="array" ref="AC47">IFERROR(
MEDIAN((IF(DATOS_[[Sexo]:[Sexo]]=$B47,IF(DATOS_[[AGRUP. VALOR. PTO.]:[AGRUP. VALOR. PTO.]]=$B45,IF(DATOS_[[Check Periodo Ref.]:[Check Periodo Ref.]]="Dentro",DATOS_[Conc.Sal.24]))))),
0)</f>
        <v>0</v>
      </c>
      <c r="AD47" s="170">
        <f t="array" ref="AD47">IFERROR(
MEDIAN((IF(DATOS_[[Sexo]:[Sexo]]=$B47,IF(DATOS_[[AGRUP. VALOR. PTO.]:[AGRUP. VALOR. PTO.]]=$B45,IF(DATOS_[[Check Periodo Ref.]:[Check Periodo Ref.]]="Dentro",DATOS_[Conc.Sal.25]))))),
0)</f>
        <v>0</v>
      </c>
      <c r="AE47" s="170">
        <f t="array" ref="AE47">IFERROR(
MEDIAN((IF(DATOS_[[Sexo]:[Sexo]]=$B47,IF(DATOS_[[AGRUP. VALOR. PTO.]:[AGRUP. VALOR. PTO.]]=$B45,IF(DATOS_[[Check Periodo Ref.]:[Check Periodo Ref.]]="Dentro",DATOS_[Conc.Sal.26]))))),
0)</f>
        <v>0</v>
      </c>
      <c r="AF47" s="170">
        <f t="array" ref="AF47">IFERROR(
MEDIAN((IF(DATOS_[[Sexo]:[Sexo]]=$B47,IF(DATOS_[[AGRUP. VALOR. PTO.]:[AGRUP. VALOR. PTO.]]=$B45,IF(DATOS_[[Check Periodo Ref.]:[Check Periodo Ref.]]="Dentro",DATOS_[Conc.Sal.27]))))),
0)</f>
        <v>0</v>
      </c>
      <c r="AG47" s="170">
        <f t="array" ref="AG47">IFERROR(
MEDIAN((IF(DATOS_[[Sexo]:[Sexo]]=$B47,IF(DATOS_[[AGRUP. VALOR. PTO.]:[AGRUP. VALOR. PTO.]]=$B45,IF(DATOS_[[Check Periodo Ref.]:[Check Periodo Ref.]]="Dentro",DATOS_[Conc.Sal.28]))))),
0)</f>
        <v>0</v>
      </c>
      <c r="AH47" s="170">
        <f t="array" ref="AH47">IFERROR(
MEDIAN((IF(DATOS_[[Sexo]:[Sexo]]=$B47,IF(DATOS_[[AGRUP. VALOR. PTO.]:[AGRUP. VALOR. PTO.]]=$B45,IF(DATOS_[[Check Periodo Ref.]:[Check Periodo Ref.]]="Dentro",DATOS_[Conc.Sal.29]))))),
0)</f>
        <v>0</v>
      </c>
      <c r="AI47" s="170">
        <f t="array" ref="AI47">IFERROR(
MEDIAN((IF(DATOS_[[Sexo]:[Sexo]]=$B47,IF(DATOS_[[AGRUP. VALOR. PTO.]:[AGRUP. VALOR. PTO.]]=$B45,IF(DATOS_[[Check Periodo Ref.]:[Check Periodo Ref.]]="Dentro",DATOS_[Conc.Sal.30]))))),
0)</f>
        <v>0</v>
      </c>
      <c r="AJ47" s="171">
        <f t="array" ref="AJ47">IFERROR(
MEDIAN(IF(DATOS_[Sexo]=$B47,IF(DATOS_[AGRUP. VALOR. PTO.]=$B45,IF(DATOS_[Check Periodo Ref.]="Dentro",DATOS_[Tot COMPL.SAL Ef],FALSE)))),
0)</f>
        <v>0</v>
      </c>
      <c r="AK47" s="172">
        <f t="array" ref="AK47">IFERROR(
MEDIAN(IF(DATOS_[Sexo]=$B47,IF(DATOS_[AGRUP. VALOR. PTO.]=$B45,IF(DATOS_[Check Periodo Ref.]="Dentro",DATOS_[TOTAL SALARIO Ef],FALSE)))),
0)</f>
        <v>0</v>
      </c>
      <c r="AL47" s="173">
        <f t="array" ref="AL47">IFERROR(
MEDIAN((IF(DATOS_[[Sexo]:[Sexo]]=$B47,IF(DATOS_[[AGRUP. VALOR. PTO.]:[AGRUP. VALOR. PTO.]]=$B45,IF(DATOS_[[Check Periodo Ref.]:[Check Periodo Ref.]]="Dentro",DATOS_[C.Extra.01]))))),
0)</f>
        <v>0</v>
      </c>
      <c r="AM47" s="173">
        <f t="array" ref="AM47">IFERROR(
MEDIAN((IF(DATOS_[[Sexo]:[Sexo]]=$B47,IF(DATOS_[[AGRUP. VALOR. PTO.]:[AGRUP. VALOR. PTO.]]=$B45,IF(DATOS_[[Check Periodo Ref.]:[Check Periodo Ref.]]="Dentro",DATOS_[C.Extra.06]))))),
0)</f>
        <v>0</v>
      </c>
      <c r="AN47" s="173">
        <f t="array" ref="AN47">IFERROR(
MEDIAN((IF(DATOS_[[Sexo]:[Sexo]]=$B47,IF(DATOS_[[AGRUP. VALOR. PTO.]:[AGRUP. VALOR. PTO.]]=$B45,IF(DATOS_[[Check Periodo Ref.]:[Check Periodo Ref.]]="Dentro",DATOS_[C.Extra.07]))))),
0)</f>
        <v>0</v>
      </c>
      <c r="AO47" s="173">
        <f t="array" ref="AO47">IFERROR(
MEDIAN((IF(DATOS_[[Sexo]:[Sexo]]=$B47,IF(DATOS_[[AGRUP. VALOR. PTO.]:[AGRUP. VALOR. PTO.]]=$B45,IF(DATOS_[[Check Periodo Ref.]:[Check Periodo Ref.]]="Dentro",DATOS_[C.Extra.08]))))),
0)</f>
        <v>0</v>
      </c>
      <c r="AP47" s="173">
        <f t="array" ref="AP47">IFERROR(
MEDIAN((IF(DATOS_[[Sexo]:[Sexo]]=$B47,IF(DATOS_[[AGRUP. VALOR. PTO.]:[AGRUP. VALOR. PTO.]]=$B45,IF(DATOS_[[Check Periodo Ref.]:[Check Periodo Ref.]]="Dentro",DATOS_[C.Extra.11]))))),
0)</f>
        <v>0</v>
      </c>
      <c r="AQ47" s="174">
        <f t="array" ref="AQ47">IFERROR(
MEDIAN(IF(DATOS_[Sexo]=$B47,IF(DATOS_[AGRUP. VALOR. PTO.]=$B45,IF(DATOS_[Check Periodo Ref.]="Dentro",DATOS_[Tot Extrasalarial Ef],FALSE)))),
0)</f>
        <v>0</v>
      </c>
      <c r="AR47" s="171">
        <f t="array" ref="AR47">IFERROR(
MEDIAN(IF(DATOS_[Sexo]=$B47,IF(DATOS_[AGRUP. VALOR. PTO.]=$B45,IF(DATOS_[Check Periodo Ref.]="Dentro",DATOS_[TOTAL Retrib Ef],FALSE)))),
0)</f>
        <v>0</v>
      </c>
    </row>
    <row r="48" spans="1:44" ht="14.4" thickBot="1" x14ac:dyDescent="0.3">
      <c r="A48" s="178" t="str">
        <f t="shared" ref="A48" si="47">+A49</f>
        <v>[ocultar]</v>
      </c>
      <c r="B48" s="153" t="s">
        <v>222</v>
      </c>
      <c r="C48" s="154"/>
      <c r="D48" s="155"/>
      <c r="E48" s="156" t="str">
        <f t="shared" ref="E48:AR48" si="48">IFERROR((E49-E50)/E49,"")</f>
        <v/>
      </c>
      <c r="F48" s="157" t="str">
        <f t="shared" si="48"/>
        <v/>
      </c>
      <c r="G48" s="158" t="str">
        <f t="shared" si="48"/>
        <v/>
      </c>
      <c r="H48" s="158" t="str">
        <f t="shared" si="48"/>
        <v/>
      </c>
      <c r="I48" s="158" t="str">
        <f t="shared" si="48"/>
        <v/>
      </c>
      <c r="J48" s="159" t="str">
        <f t="shared" si="48"/>
        <v/>
      </c>
      <c r="K48" s="160" t="str">
        <f t="shared" si="48"/>
        <v/>
      </c>
      <c r="L48" s="160" t="str">
        <f t="shared" si="48"/>
        <v/>
      </c>
      <c r="M48" s="160" t="str">
        <f t="shared" si="48"/>
        <v/>
      </c>
      <c r="N48" s="160" t="str">
        <f t="shared" si="48"/>
        <v/>
      </c>
      <c r="O48" s="160" t="str">
        <f t="shared" si="48"/>
        <v/>
      </c>
      <c r="P48" s="160" t="str">
        <f t="shared" si="48"/>
        <v/>
      </c>
      <c r="Q48" s="160" t="str">
        <f t="shared" si="48"/>
        <v/>
      </c>
      <c r="R48" s="160" t="str">
        <f t="shared" si="48"/>
        <v/>
      </c>
      <c r="S48" s="160" t="str">
        <f t="shared" si="48"/>
        <v/>
      </c>
      <c r="T48" s="160" t="str">
        <f t="shared" si="48"/>
        <v/>
      </c>
      <c r="U48" s="160" t="str">
        <f t="shared" si="48"/>
        <v/>
      </c>
      <c r="V48" s="159" t="str">
        <f t="shared" si="48"/>
        <v/>
      </c>
      <c r="W48" s="159" t="str">
        <f t="shared" si="48"/>
        <v/>
      </c>
      <c r="X48" s="159" t="str">
        <f t="shared" si="48"/>
        <v/>
      </c>
      <c r="Y48" s="159" t="str">
        <f t="shared" si="48"/>
        <v/>
      </c>
      <c r="Z48" s="159" t="str">
        <f t="shared" si="48"/>
        <v/>
      </c>
      <c r="AA48" s="159" t="str">
        <f t="shared" si="48"/>
        <v/>
      </c>
      <c r="AB48" s="159" t="str">
        <f t="shared" si="48"/>
        <v/>
      </c>
      <c r="AC48" s="159" t="str">
        <f t="shared" si="48"/>
        <v/>
      </c>
      <c r="AD48" s="159" t="str">
        <f t="shared" si="48"/>
        <v/>
      </c>
      <c r="AE48" s="159" t="str">
        <f t="shared" si="48"/>
        <v/>
      </c>
      <c r="AF48" s="159" t="str">
        <f t="shared" si="48"/>
        <v/>
      </c>
      <c r="AG48" s="159" t="str">
        <f t="shared" si="48"/>
        <v/>
      </c>
      <c r="AH48" s="159" t="str">
        <f t="shared" si="48"/>
        <v/>
      </c>
      <c r="AI48" s="159" t="str">
        <f t="shared" si="48"/>
        <v/>
      </c>
      <c r="AJ48" s="161" t="str">
        <f t="shared" si="48"/>
        <v/>
      </c>
      <c r="AK48" s="162" t="str">
        <f t="shared" si="48"/>
        <v/>
      </c>
      <c r="AL48" s="163" t="str">
        <f t="shared" si="48"/>
        <v/>
      </c>
      <c r="AM48" s="163" t="str">
        <f t="shared" si="48"/>
        <v/>
      </c>
      <c r="AN48" s="163" t="str">
        <f t="shared" si="48"/>
        <v/>
      </c>
      <c r="AO48" s="163" t="str">
        <f t="shared" si="48"/>
        <v/>
      </c>
      <c r="AP48" s="163" t="str">
        <f t="shared" si="48"/>
        <v/>
      </c>
      <c r="AQ48" s="164" t="str">
        <f t="shared" si="48"/>
        <v/>
      </c>
      <c r="AR48" s="161" t="str">
        <f t="shared" si="48"/>
        <v/>
      </c>
    </row>
    <row r="49" spans="1:44" x14ac:dyDescent="0.25">
      <c r="A49" s="178" t="str">
        <f t="shared" ref="A49" si="49">+IF(C49+C50=0,"[ocultar]","")</f>
        <v>[ocultar]</v>
      </c>
      <c r="B49" s="166" t="s">
        <v>394</v>
      </c>
      <c r="C49" s="167">
        <f t="array" ref="C49">SUM(IF($B49=DATOS_[Sexo],
IF($B48=DATOS_[AGRUP. VALOR. PTO.],
IF("Dentro"=DATOS_[Check Periodo Ref.],
1/(COUNTIFS(DATOS_[Sexo],$B49,DATOS_[AGRUP. VALOR. PTO.],$B48,DATOS_[Check Periodo Ref.],"Dentro",DATOS_[id/cod],DATOS_[id/cod]))))))</f>
        <v>0</v>
      </c>
      <c r="D49" s="168">
        <f>COUNTIFS(DATOS_[AGRUP. VALOR. PTO.],$B48,DATOS_[Sexo],$B49,DATOS_[Check Periodo Ref.],"Dentro")</f>
        <v>0</v>
      </c>
      <c r="E49" s="169">
        <f t="array" ref="E49">IFERROR(
MEDIAN(IF(DATOS_[Sexo]=$B49,IF(DATOS_[AGRUP. VALOR. PTO.]=$B48,IF(DATOS_[Check Periodo Ref.]="Dentro",DATOS_[SALARIO BASE Ef],FALSE)))),
0)</f>
        <v>0</v>
      </c>
      <c r="F49" s="170">
        <f t="array" ref="F49">IFERROR(
MEDIAN((IF(DATOS_[[Sexo]:[Sexo]]=$B49,IF(DATOS_[[AGRUP. VALOR. PTO.]:[AGRUP. VALOR. PTO.]]=$B48,IF(DATOS_[[Check Periodo Ref.]:[Check Periodo Ref.]]="Dentro",DATOS_[Conc.Sal.01]))))),
0)</f>
        <v>0</v>
      </c>
      <c r="G49" s="170">
        <f t="array" ref="G49">IFERROR(
MEDIAN((IF(DATOS_[[Sexo]:[Sexo]]=$B49,IF(DATOS_[[AGRUP. VALOR. PTO.]:[AGRUP. VALOR. PTO.]]=$B48,IF(DATOS_[[Check Periodo Ref.]:[Check Periodo Ref.]]="Dentro",DATOS_[Conc.Sal.02]))))),
0)</f>
        <v>0</v>
      </c>
      <c r="H49" s="170">
        <f t="array" ref="H49">IFERROR(
MEDIAN((IF(DATOS_[[Sexo]:[Sexo]]=$B49,IF(DATOS_[[AGRUP. VALOR. PTO.]:[AGRUP. VALOR. PTO.]]=$B48,IF(DATOS_[[Check Periodo Ref.]:[Check Periodo Ref.]]="Dentro",DATOS_[Conc.Sal.03]))))),
0)</f>
        <v>0</v>
      </c>
      <c r="I49" s="170">
        <f t="array" ref="I49">IFERROR(
MEDIAN((IF(DATOS_[[Sexo]:[Sexo]]=$B49,IF(DATOS_[[AGRUP. VALOR. PTO.]:[AGRUP. VALOR. PTO.]]=$B48,IF(DATOS_[[Check Periodo Ref.]:[Check Periodo Ref.]]="Dentro",DATOS_[Conc.Sal.04]))))),
0)</f>
        <v>0</v>
      </c>
      <c r="J49" s="170">
        <f t="array" ref="J49">IFERROR(
MEDIAN((IF(DATOS_[[Sexo]:[Sexo]]=$B49,IF(DATOS_[[AGRUP. VALOR. PTO.]:[AGRUP. VALOR. PTO.]]=$B48,IF(DATOS_[[Check Periodo Ref.]:[Check Periodo Ref.]]="Dentro",DATOS_[Conc.Sal.05]))))),
0)</f>
        <v>0</v>
      </c>
      <c r="K49" s="170">
        <f t="array" ref="K49">IFERROR(
MEDIAN((IF(DATOS_[[Sexo]:[Sexo]]=$B49,IF(DATOS_[[AGRUP. VALOR. PTO.]:[AGRUP. VALOR. PTO.]]=$B48,IF(DATOS_[[Check Periodo Ref.]:[Check Periodo Ref.]]="Dentro",DATOS_[Conc.Sal.06]))))),
0)</f>
        <v>0</v>
      </c>
      <c r="L49" s="170">
        <f t="array" ref="L49">IFERROR(
MEDIAN((IF(DATOS_[[Sexo]:[Sexo]]=$B49,IF(DATOS_[[AGRUP. VALOR. PTO.]:[AGRUP. VALOR. PTO.]]=$B48,IF(DATOS_[[Check Periodo Ref.]:[Check Periodo Ref.]]="Dentro",DATOS_[Conc.Sal.07]))))),
0)</f>
        <v>0</v>
      </c>
      <c r="M49" s="170">
        <f t="array" ref="M49">IFERROR(
MEDIAN((IF(DATOS_[[Sexo]:[Sexo]]=$B49,IF(DATOS_[[AGRUP. VALOR. PTO.]:[AGRUP. VALOR. PTO.]]=$B48,IF(DATOS_[[Check Periodo Ref.]:[Check Periodo Ref.]]="Dentro",DATOS_[Conc.Sal.08]))))),
0)</f>
        <v>0</v>
      </c>
      <c r="N49" s="170">
        <f t="array" ref="N49">IFERROR(
MEDIAN((IF(DATOS_[[Sexo]:[Sexo]]=$B49,IF(DATOS_[[AGRUP. VALOR. PTO.]:[AGRUP. VALOR. PTO.]]=$B48,IF(DATOS_[[Check Periodo Ref.]:[Check Periodo Ref.]]="Dentro",DATOS_[Conc.Sal.09]))))),
0)</f>
        <v>0</v>
      </c>
      <c r="O49" s="170">
        <f t="array" ref="O49">IFERROR(
MEDIAN((IF(DATOS_[[Sexo]:[Sexo]]=$B49,IF(DATOS_[[AGRUP. VALOR. PTO.]:[AGRUP. VALOR. PTO.]]=$B48,IF(DATOS_[[Check Periodo Ref.]:[Check Periodo Ref.]]="Dentro",DATOS_[Conc.Sal.10]))))),
0)</f>
        <v>0</v>
      </c>
      <c r="P49" s="170">
        <f t="array" ref="P49">IFERROR(
MEDIAN((IF(DATOS_[[Sexo]:[Sexo]]=$B49,IF(DATOS_[[AGRUP. VALOR. PTO.]:[AGRUP. VALOR. PTO.]]=$B48,IF(DATOS_[[Check Periodo Ref.]:[Check Periodo Ref.]]="Dentro",DATOS_[Conc.Sal.11]))))),
0)</f>
        <v>0</v>
      </c>
      <c r="Q49" s="170">
        <f t="array" ref="Q49">IFERROR(
MEDIAN((IF(DATOS_[[Sexo]:[Sexo]]=$B49,IF(DATOS_[[AGRUP. VALOR. PTO.]:[AGRUP. VALOR. PTO.]]=$B48,IF(DATOS_[[Check Periodo Ref.]:[Check Periodo Ref.]]="Dentro",DATOS_[Conc.Sal.12]))))),
0)</f>
        <v>0</v>
      </c>
      <c r="R49" s="170">
        <f t="array" ref="R49">IFERROR(
MEDIAN((IF(DATOS_[[Sexo]:[Sexo]]=$B49,IF(DATOS_[[AGRUP. VALOR. PTO.]:[AGRUP. VALOR. PTO.]]=$B48,IF(DATOS_[[Check Periodo Ref.]:[Check Periodo Ref.]]="Dentro",DATOS_[Conc.Sal.13]))))),
0)</f>
        <v>0</v>
      </c>
      <c r="S49" s="170">
        <f t="array" ref="S49">IFERROR(
MEDIAN((IF(DATOS_[[Sexo]:[Sexo]]=$B49,IF(DATOS_[[AGRUP. VALOR. PTO.]:[AGRUP. VALOR. PTO.]]=$B48,IF(DATOS_[[Check Periodo Ref.]:[Check Periodo Ref.]]="Dentro",DATOS_[Conc.Sal.14]))))),
0)</f>
        <v>0</v>
      </c>
      <c r="T49" s="170">
        <f t="array" ref="T49">IFERROR(
MEDIAN((IF(DATOS_[[Sexo]:[Sexo]]=$B49,IF(DATOS_[[AGRUP. VALOR. PTO.]:[AGRUP. VALOR. PTO.]]=$B48,IF(DATOS_[[Check Periodo Ref.]:[Check Periodo Ref.]]="Dentro",DATOS_[Conc.Sal.15]))))),
0)</f>
        <v>0</v>
      </c>
      <c r="U49" s="170">
        <f t="array" ref="U49">IFERROR(
MEDIAN((IF(DATOS_[[Sexo]:[Sexo]]=$B49,IF(DATOS_[[AGRUP. VALOR. PTO.]:[AGRUP. VALOR. PTO.]]=$B48,IF(DATOS_[[Check Periodo Ref.]:[Check Periodo Ref.]]="Dentro",DATOS_[Conc.Sal.16]))))),
0)</f>
        <v>0</v>
      </c>
      <c r="V49" s="170">
        <f t="array" ref="V49">IFERROR(
MEDIAN((IF(DATOS_[[Sexo]:[Sexo]]=$B49,IF(DATOS_[[AGRUP. VALOR. PTO.]:[AGRUP. VALOR. PTO.]]=$B48,IF(DATOS_[[Check Periodo Ref.]:[Check Periodo Ref.]]="Dentro",DATOS_[Conc.Sal.17]))))),
0)</f>
        <v>0</v>
      </c>
      <c r="W49" s="170">
        <f t="array" ref="W49">IFERROR(
MEDIAN((IF(DATOS_[[Sexo]:[Sexo]]=$B49,IF(DATOS_[[AGRUP. VALOR. PTO.]:[AGRUP. VALOR. PTO.]]=$B48,IF(DATOS_[[Check Periodo Ref.]:[Check Periodo Ref.]]="Dentro",DATOS_[Conc.Sal.18]))))),
0)</f>
        <v>0</v>
      </c>
      <c r="X49" s="170">
        <f t="array" ref="X49">IFERROR(
MEDIAN((IF(DATOS_[[Sexo]:[Sexo]]=$B49,IF(DATOS_[[AGRUP. VALOR. PTO.]:[AGRUP. VALOR. PTO.]]=$B48,IF(DATOS_[[Check Periodo Ref.]:[Check Periodo Ref.]]="Dentro",DATOS_[Conc.Sal.19]))))),
0)</f>
        <v>0</v>
      </c>
      <c r="Y49" s="170">
        <f t="array" ref="Y49">IFERROR(
MEDIAN((IF(DATOS_[[Sexo]:[Sexo]]=$B49,IF(DATOS_[[AGRUP. VALOR. PTO.]:[AGRUP. VALOR. PTO.]]=$B48,IF(DATOS_[[Check Periodo Ref.]:[Check Periodo Ref.]]="Dentro",DATOS_[Conc.Sal.20]))))),
0)</f>
        <v>0</v>
      </c>
      <c r="Z49" s="170">
        <f t="array" ref="Z49">IFERROR(
MEDIAN((IF(DATOS_[[Sexo]:[Sexo]]=$B49,IF(DATOS_[[AGRUP. VALOR. PTO.]:[AGRUP. VALOR. PTO.]]=$B48,IF(DATOS_[[Check Periodo Ref.]:[Check Periodo Ref.]]="Dentro",DATOS_[Conc.Sal.21]))))),
0)</f>
        <v>0</v>
      </c>
      <c r="AA49" s="170">
        <f t="array" ref="AA49">IFERROR(
MEDIAN((IF(DATOS_[[Sexo]:[Sexo]]=$B49,IF(DATOS_[[AGRUP. VALOR. PTO.]:[AGRUP. VALOR. PTO.]]=$B48,IF(DATOS_[[Check Periodo Ref.]:[Check Periodo Ref.]]="Dentro",DATOS_[Conc.Sal.22]))))),
0)</f>
        <v>0</v>
      </c>
      <c r="AB49" s="170">
        <f t="array" ref="AB49">IFERROR(
MEDIAN((IF(DATOS_[[Sexo]:[Sexo]]=$B49,IF(DATOS_[[AGRUP. VALOR. PTO.]:[AGRUP. VALOR. PTO.]]=$B48,IF(DATOS_[[Check Periodo Ref.]:[Check Periodo Ref.]]="Dentro",DATOS_[Conc.Sal.23]))))),
0)</f>
        <v>0</v>
      </c>
      <c r="AC49" s="170">
        <f t="array" ref="AC49">IFERROR(
MEDIAN((IF(DATOS_[[Sexo]:[Sexo]]=$B49,IF(DATOS_[[AGRUP. VALOR. PTO.]:[AGRUP. VALOR. PTO.]]=$B48,IF(DATOS_[[Check Periodo Ref.]:[Check Periodo Ref.]]="Dentro",DATOS_[Conc.Sal.24]))))),
0)</f>
        <v>0</v>
      </c>
      <c r="AD49" s="170">
        <f t="array" ref="AD49">IFERROR(
MEDIAN((IF(DATOS_[[Sexo]:[Sexo]]=$B49,IF(DATOS_[[AGRUP. VALOR. PTO.]:[AGRUP. VALOR. PTO.]]=$B48,IF(DATOS_[[Check Periodo Ref.]:[Check Periodo Ref.]]="Dentro",DATOS_[Conc.Sal.25]))))),
0)</f>
        <v>0</v>
      </c>
      <c r="AE49" s="170">
        <f t="array" ref="AE49">IFERROR(
MEDIAN((IF(DATOS_[[Sexo]:[Sexo]]=$B49,IF(DATOS_[[AGRUP. VALOR. PTO.]:[AGRUP. VALOR. PTO.]]=$B48,IF(DATOS_[[Check Periodo Ref.]:[Check Periodo Ref.]]="Dentro",DATOS_[Conc.Sal.26]))))),
0)</f>
        <v>0</v>
      </c>
      <c r="AF49" s="170">
        <f t="array" ref="AF49">IFERROR(
MEDIAN((IF(DATOS_[[Sexo]:[Sexo]]=$B49,IF(DATOS_[[AGRUP. VALOR. PTO.]:[AGRUP. VALOR. PTO.]]=$B48,IF(DATOS_[[Check Periodo Ref.]:[Check Periodo Ref.]]="Dentro",DATOS_[Conc.Sal.27]))))),
0)</f>
        <v>0</v>
      </c>
      <c r="AG49" s="170">
        <f t="array" ref="AG49">IFERROR(
MEDIAN((IF(DATOS_[[Sexo]:[Sexo]]=$B49,IF(DATOS_[[AGRUP. VALOR. PTO.]:[AGRUP. VALOR. PTO.]]=$B48,IF(DATOS_[[Check Periodo Ref.]:[Check Periodo Ref.]]="Dentro",DATOS_[Conc.Sal.28]))))),
0)</f>
        <v>0</v>
      </c>
      <c r="AH49" s="170">
        <f t="array" ref="AH49">IFERROR(
MEDIAN((IF(DATOS_[[Sexo]:[Sexo]]=$B49,IF(DATOS_[[AGRUP. VALOR. PTO.]:[AGRUP. VALOR. PTO.]]=$B48,IF(DATOS_[[Check Periodo Ref.]:[Check Periodo Ref.]]="Dentro",DATOS_[Conc.Sal.29]))))),
0)</f>
        <v>0</v>
      </c>
      <c r="AI49" s="170">
        <f t="array" ref="AI49">IFERROR(
MEDIAN((IF(DATOS_[[Sexo]:[Sexo]]=$B49,IF(DATOS_[[AGRUP. VALOR. PTO.]:[AGRUP. VALOR. PTO.]]=$B48,IF(DATOS_[[Check Periodo Ref.]:[Check Periodo Ref.]]="Dentro",DATOS_[Conc.Sal.30]))))),
0)</f>
        <v>0</v>
      </c>
      <c r="AJ49" s="171">
        <f t="array" ref="AJ49">IFERROR(
MEDIAN(IF(DATOS_[Sexo]=$B49,IF(DATOS_[AGRUP. VALOR. PTO.]=$B48,IF(DATOS_[Check Periodo Ref.]="Dentro",DATOS_[Tot COMPL.SAL Ef],FALSE)))),
0)</f>
        <v>0</v>
      </c>
      <c r="AK49" s="172">
        <f t="array" ref="AK49">IFERROR(
MEDIAN(IF(DATOS_[Sexo]=$B49,IF(DATOS_[AGRUP. VALOR. PTO.]=$B48,IF(DATOS_[Check Periodo Ref.]="Dentro",DATOS_[TOTAL SALARIO Ef],FALSE)))),
0)</f>
        <v>0</v>
      </c>
      <c r="AL49" s="173">
        <f t="array" ref="AL49">IFERROR(
MEDIAN((IF(DATOS_[[Sexo]:[Sexo]]=$B49,IF(DATOS_[[AGRUP. VALOR. PTO.]:[AGRUP. VALOR. PTO.]]=$B48,IF(DATOS_[[Check Periodo Ref.]:[Check Periodo Ref.]]="Dentro",DATOS_[C.Extra.01]))))),
0)</f>
        <v>0</v>
      </c>
      <c r="AM49" s="173">
        <f t="array" ref="AM49">IFERROR(
MEDIAN((IF(DATOS_[[Sexo]:[Sexo]]=$B49,IF(DATOS_[[AGRUP. VALOR. PTO.]:[AGRUP. VALOR. PTO.]]=$B48,IF(DATOS_[[Check Periodo Ref.]:[Check Periodo Ref.]]="Dentro",DATOS_[C.Extra.06]))))),
0)</f>
        <v>0</v>
      </c>
      <c r="AN49" s="173">
        <f t="array" ref="AN49">IFERROR(
MEDIAN((IF(DATOS_[[Sexo]:[Sexo]]=$B49,IF(DATOS_[[AGRUP. VALOR. PTO.]:[AGRUP. VALOR. PTO.]]=$B48,IF(DATOS_[[Check Periodo Ref.]:[Check Periodo Ref.]]="Dentro",DATOS_[C.Extra.07]))))),
0)</f>
        <v>0</v>
      </c>
      <c r="AO49" s="173">
        <f t="array" ref="AO49">IFERROR(
MEDIAN((IF(DATOS_[[Sexo]:[Sexo]]=$B49,IF(DATOS_[[AGRUP. VALOR. PTO.]:[AGRUP. VALOR. PTO.]]=$B48,IF(DATOS_[[Check Periodo Ref.]:[Check Periodo Ref.]]="Dentro",DATOS_[C.Extra.08]))))),
0)</f>
        <v>0</v>
      </c>
      <c r="AP49" s="173">
        <f t="array" ref="AP49">IFERROR(
MEDIAN((IF(DATOS_[[Sexo]:[Sexo]]=$B49,IF(DATOS_[[AGRUP. VALOR. PTO.]:[AGRUP. VALOR. PTO.]]=$B48,IF(DATOS_[[Check Periodo Ref.]:[Check Periodo Ref.]]="Dentro",DATOS_[C.Extra.11]))))),
0)</f>
        <v>0</v>
      </c>
      <c r="AQ49" s="174">
        <f t="array" ref="AQ49">IFERROR(
MEDIAN(IF(DATOS_[Sexo]=$B49,IF(DATOS_[AGRUP. VALOR. PTO.]=$B48,IF(DATOS_[Check Periodo Ref.]="Dentro",DATOS_[Tot Extrasalarial Ef],FALSE)))),
0)</f>
        <v>0</v>
      </c>
      <c r="AR49" s="171">
        <f t="array" ref="AR49">IFERROR(
MEDIAN(IF(DATOS_[Sexo]=$B49,IF(DATOS_[AGRUP. VALOR. PTO.]=$B48,IF(DATOS_[Check Periodo Ref.]="Dentro",DATOS_[TOTAL Retrib Ef],FALSE)))),
0)</f>
        <v>0</v>
      </c>
    </row>
    <row r="50" spans="1:44" x14ac:dyDescent="0.25">
      <c r="A50" s="178" t="str">
        <f t="shared" ref="A50" si="50">+A49</f>
        <v>[ocultar]</v>
      </c>
      <c r="B50" s="166" t="s">
        <v>521</v>
      </c>
      <c r="C50" s="167">
        <f t="array" ref="C50">SUM(IF($B50=DATOS_[Sexo],
IF($B48=DATOS_[AGRUP. VALOR. PTO.],
IF("Dentro"=DATOS_[Check Periodo Ref.],
1/(COUNTIFS(DATOS_[Sexo],$B50,DATOS_[AGRUP. VALOR. PTO.],$B48,DATOS_[Check Periodo Ref.],"Dentro",DATOS_[id/cod],DATOS_[id/cod]))))))</f>
        <v>0</v>
      </c>
      <c r="D50" s="168">
        <f>COUNTIFS(DATOS_[AGRUP. VALOR. PTO.],$B48,DATOS_[Sexo],$B50,DATOS_[Check Periodo Ref.],"Dentro")</f>
        <v>0</v>
      </c>
      <c r="E50" s="169">
        <f t="array" ref="E50">IFERROR(
MEDIAN(IF(DATOS_[Sexo]=$B50,IF(DATOS_[AGRUP. VALOR. PTO.]=$B48,IF(DATOS_[Check Periodo Ref.]="Dentro",DATOS_[SALARIO BASE Ef],FALSE)))),
0)</f>
        <v>0</v>
      </c>
      <c r="F50" s="170">
        <f t="array" ref="F50">IFERROR(
MEDIAN((IF(DATOS_[[Sexo]:[Sexo]]=$B50,IF(DATOS_[[AGRUP. VALOR. PTO.]:[AGRUP. VALOR. PTO.]]=$B48,IF(DATOS_[[Check Periodo Ref.]:[Check Periodo Ref.]]="Dentro",DATOS_[Conc.Sal.01]))))),
0)</f>
        <v>0</v>
      </c>
      <c r="G50" s="170">
        <f t="array" ref="G50">IFERROR(
MEDIAN((IF(DATOS_[[Sexo]:[Sexo]]=$B50,IF(DATOS_[[AGRUP. VALOR. PTO.]:[AGRUP. VALOR. PTO.]]=$B48,IF(DATOS_[[Check Periodo Ref.]:[Check Periodo Ref.]]="Dentro",DATOS_[Conc.Sal.02]))))),
0)</f>
        <v>0</v>
      </c>
      <c r="H50" s="170">
        <f t="array" ref="H50">IFERROR(
MEDIAN((IF(DATOS_[[Sexo]:[Sexo]]=$B50,IF(DATOS_[[AGRUP. VALOR. PTO.]:[AGRUP. VALOR. PTO.]]=$B48,IF(DATOS_[[Check Periodo Ref.]:[Check Periodo Ref.]]="Dentro",DATOS_[Conc.Sal.03]))))),
0)</f>
        <v>0</v>
      </c>
      <c r="I50" s="170">
        <f t="array" ref="I50">IFERROR(
MEDIAN((IF(DATOS_[[Sexo]:[Sexo]]=$B50,IF(DATOS_[[AGRUP. VALOR. PTO.]:[AGRUP. VALOR. PTO.]]=$B48,IF(DATOS_[[Check Periodo Ref.]:[Check Periodo Ref.]]="Dentro",DATOS_[Conc.Sal.04]))))),
0)</f>
        <v>0</v>
      </c>
      <c r="J50" s="170">
        <f t="array" ref="J50">IFERROR(
MEDIAN((IF(DATOS_[[Sexo]:[Sexo]]=$B50,IF(DATOS_[[AGRUP. VALOR. PTO.]:[AGRUP. VALOR. PTO.]]=$B48,IF(DATOS_[[Check Periodo Ref.]:[Check Periodo Ref.]]="Dentro",DATOS_[Conc.Sal.05]))))),
0)</f>
        <v>0</v>
      </c>
      <c r="K50" s="170">
        <f t="array" ref="K50">IFERROR(
MEDIAN((IF(DATOS_[[Sexo]:[Sexo]]=$B50,IF(DATOS_[[AGRUP. VALOR. PTO.]:[AGRUP. VALOR. PTO.]]=$B48,IF(DATOS_[[Check Periodo Ref.]:[Check Periodo Ref.]]="Dentro",DATOS_[Conc.Sal.06]))))),
0)</f>
        <v>0</v>
      </c>
      <c r="L50" s="170">
        <f t="array" ref="L50">IFERROR(
MEDIAN((IF(DATOS_[[Sexo]:[Sexo]]=$B50,IF(DATOS_[[AGRUP. VALOR. PTO.]:[AGRUP. VALOR. PTO.]]=$B48,IF(DATOS_[[Check Periodo Ref.]:[Check Periodo Ref.]]="Dentro",DATOS_[Conc.Sal.07]))))),
0)</f>
        <v>0</v>
      </c>
      <c r="M50" s="170">
        <f t="array" ref="M50">IFERROR(
MEDIAN((IF(DATOS_[[Sexo]:[Sexo]]=$B50,IF(DATOS_[[AGRUP. VALOR. PTO.]:[AGRUP. VALOR. PTO.]]=$B48,IF(DATOS_[[Check Periodo Ref.]:[Check Periodo Ref.]]="Dentro",DATOS_[Conc.Sal.08]))))),
0)</f>
        <v>0</v>
      </c>
      <c r="N50" s="170">
        <f t="array" ref="N50">IFERROR(
MEDIAN((IF(DATOS_[[Sexo]:[Sexo]]=$B50,IF(DATOS_[[AGRUP. VALOR. PTO.]:[AGRUP. VALOR. PTO.]]=$B48,IF(DATOS_[[Check Periodo Ref.]:[Check Periodo Ref.]]="Dentro",DATOS_[Conc.Sal.09]))))),
0)</f>
        <v>0</v>
      </c>
      <c r="O50" s="170">
        <f t="array" ref="O50">IFERROR(
MEDIAN((IF(DATOS_[[Sexo]:[Sexo]]=$B50,IF(DATOS_[[AGRUP. VALOR. PTO.]:[AGRUP. VALOR. PTO.]]=$B48,IF(DATOS_[[Check Periodo Ref.]:[Check Periodo Ref.]]="Dentro",DATOS_[Conc.Sal.10]))))),
0)</f>
        <v>0</v>
      </c>
      <c r="P50" s="170">
        <f t="array" ref="P50">IFERROR(
MEDIAN((IF(DATOS_[[Sexo]:[Sexo]]=$B50,IF(DATOS_[[AGRUP. VALOR. PTO.]:[AGRUP. VALOR. PTO.]]=$B48,IF(DATOS_[[Check Periodo Ref.]:[Check Periodo Ref.]]="Dentro",DATOS_[Conc.Sal.11]))))),
0)</f>
        <v>0</v>
      </c>
      <c r="Q50" s="170">
        <f t="array" ref="Q50">IFERROR(
MEDIAN((IF(DATOS_[[Sexo]:[Sexo]]=$B50,IF(DATOS_[[AGRUP. VALOR. PTO.]:[AGRUP. VALOR. PTO.]]=$B48,IF(DATOS_[[Check Periodo Ref.]:[Check Periodo Ref.]]="Dentro",DATOS_[Conc.Sal.12]))))),
0)</f>
        <v>0</v>
      </c>
      <c r="R50" s="170">
        <f t="array" ref="R50">IFERROR(
MEDIAN((IF(DATOS_[[Sexo]:[Sexo]]=$B50,IF(DATOS_[[AGRUP. VALOR. PTO.]:[AGRUP. VALOR. PTO.]]=$B48,IF(DATOS_[[Check Periodo Ref.]:[Check Periodo Ref.]]="Dentro",DATOS_[Conc.Sal.13]))))),
0)</f>
        <v>0</v>
      </c>
      <c r="S50" s="170">
        <f t="array" ref="S50">IFERROR(
MEDIAN((IF(DATOS_[[Sexo]:[Sexo]]=$B50,IF(DATOS_[[AGRUP. VALOR. PTO.]:[AGRUP. VALOR. PTO.]]=$B48,IF(DATOS_[[Check Periodo Ref.]:[Check Periodo Ref.]]="Dentro",DATOS_[Conc.Sal.14]))))),
0)</f>
        <v>0</v>
      </c>
      <c r="T50" s="170">
        <f t="array" ref="T50">IFERROR(
MEDIAN((IF(DATOS_[[Sexo]:[Sexo]]=$B50,IF(DATOS_[[AGRUP. VALOR. PTO.]:[AGRUP. VALOR. PTO.]]=$B48,IF(DATOS_[[Check Periodo Ref.]:[Check Periodo Ref.]]="Dentro",DATOS_[Conc.Sal.15]))))),
0)</f>
        <v>0</v>
      </c>
      <c r="U50" s="170">
        <f t="array" ref="U50">IFERROR(
MEDIAN((IF(DATOS_[[Sexo]:[Sexo]]=$B50,IF(DATOS_[[AGRUP. VALOR. PTO.]:[AGRUP. VALOR. PTO.]]=$B48,IF(DATOS_[[Check Periodo Ref.]:[Check Periodo Ref.]]="Dentro",DATOS_[Conc.Sal.16]))))),
0)</f>
        <v>0</v>
      </c>
      <c r="V50" s="170">
        <f t="array" ref="V50">IFERROR(
MEDIAN((IF(DATOS_[[Sexo]:[Sexo]]=$B50,IF(DATOS_[[AGRUP. VALOR. PTO.]:[AGRUP. VALOR. PTO.]]=$B48,IF(DATOS_[[Check Periodo Ref.]:[Check Periodo Ref.]]="Dentro",DATOS_[Conc.Sal.17]))))),
0)</f>
        <v>0</v>
      </c>
      <c r="W50" s="170">
        <f t="array" ref="W50">IFERROR(
MEDIAN((IF(DATOS_[[Sexo]:[Sexo]]=$B50,IF(DATOS_[[AGRUP. VALOR. PTO.]:[AGRUP. VALOR. PTO.]]=$B48,IF(DATOS_[[Check Periodo Ref.]:[Check Periodo Ref.]]="Dentro",DATOS_[Conc.Sal.18]))))),
0)</f>
        <v>0</v>
      </c>
      <c r="X50" s="170">
        <f t="array" ref="X50">IFERROR(
MEDIAN((IF(DATOS_[[Sexo]:[Sexo]]=$B50,IF(DATOS_[[AGRUP. VALOR. PTO.]:[AGRUP. VALOR. PTO.]]=$B48,IF(DATOS_[[Check Periodo Ref.]:[Check Periodo Ref.]]="Dentro",DATOS_[Conc.Sal.19]))))),
0)</f>
        <v>0</v>
      </c>
      <c r="Y50" s="170">
        <f t="array" ref="Y50">IFERROR(
MEDIAN((IF(DATOS_[[Sexo]:[Sexo]]=$B50,IF(DATOS_[[AGRUP. VALOR. PTO.]:[AGRUP. VALOR. PTO.]]=$B48,IF(DATOS_[[Check Periodo Ref.]:[Check Periodo Ref.]]="Dentro",DATOS_[Conc.Sal.20]))))),
0)</f>
        <v>0</v>
      </c>
      <c r="Z50" s="170">
        <f t="array" ref="Z50">IFERROR(
MEDIAN((IF(DATOS_[[Sexo]:[Sexo]]=$B50,IF(DATOS_[[AGRUP. VALOR. PTO.]:[AGRUP. VALOR. PTO.]]=$B48,IF(DATOS_[[Check Periodo Ref.]:[Check Periodo Ref.]]="Dentro",DATOS_[Conc.Sal.21]))))),
0)</f>
        <v>0</v>
      </c>
      <c r="AA50" s="170">
        <f t="array" ref="AA50">IFERROR(
MEDIAN((IF(DATOS_[[Sexo]:[Sexo]]=$B50,IF(DATOS_[[AGRUP. VALOR. PTO.]:[AGRUP. VALOR. PTO.]]=$B48,IF(DATOS_[[Check Periodo Ref.]:[Check Periodo Ref.]]="Dentro",DATOS_[Conc.Sal.22]))))),
0)</f>
        <v>0</v>
      </c>
      <c r="AB50" s="170">
        <f t="array" ref="AB50">IFERROR(
MEDIAN((IF(DATOS_[[Sexo]:[Sexo]]=$B50,IF(DATOS_[[AGRUP. VALOR. PTO.]:[AGRUP. VALOR. PTO.]]=$B48,IF(DATOS_[[Check Periodo Ref.]:[Check Periodo Ref.]]="Dentro",DATOS_[Conc.Sal.23]))))),
0)</f>
        <v>0</v>
      </c>
      <c r="AC50" s="170">
        <f t="array" ref="AC50">IFERROR(
MEDIAN((IF(DATOS_[[Sexo]:[Sexo]]=$B50,IF(DATOS_[[AGRUP. VALOR. PTO.]:[AGRUP. VALOR. PTO.]]=$B48,IF(DATOS_[[Check Periodo Ref.]:[Check Periodo Ref.]]="Dentro",DATOS_[Conc.Sal.24]))))),
0)</f>
        <v>0</v>
      </c>
      <c r="AD50" s="170">
        <f t="array" ref="AD50">IFERROR(
MEDIAN((IF(DATOS_[[Sexo]:[Sexo]]=$B50,IF(DATOS_[[AGRUP. VALOR. PTO.]:[AGRUP. VALOR. PTO.]]=$B48,IF(DATOS_[[Check Periodo Ref.]:[Check Periodo Ref.]]="Dentro",DATOS_[Conc.Sal.25]))))),
0)</f>
        <v>0</v>
      </c>
      <c r="AE50" s="170">
        <f t="array" ref="AE50">IFERROR(
MEDIAN((IF(DATOS_[[Sexo]:[Sexo]]=$B50,IF(DATOS_[[AGRUP. VALOR. PTO.]:[AGRUP. VALOR. PTO.]]=$B48,IF(DATOS_[[Check Periodo Ref.]:[Check Periodo Ref.]]="Dentro",DATOS_[Conc.Sal.26]))))),
0)</f>
        <v>0</v>
      </c>
      <c r="AF50" s="170">
        <f t="array" ref="AF50">IFERROR(
MEDIAN((IF(DATOS_[[Sexo]:[Sexo]]=$B50,IF(DATOS_[[AGRUP. VALOR. PTO.]:[AGRUP. VALOR. PTO.]]=$B48,IF(DATOS_[[Check Periodo Ref.]:[Check Periodo Ref.]]="Dentro",DATOS_[Conc.Sal.27]))))),
0)</f>
        <v>0</v>
      </c>
      <c r="AG50" s="170">
        <f t="array" ref="AG50">IFERROR(
MEDIAN((IF(DATOS_[[Sexo]:[Sexo]]=$B50,IF(DATOS_[[AGRUP. VALOR. PTO.]:[AGRUP. VALOR. PTO.]]=$B48,IF(DATOS_[[Check Periodo Ref.]:[Check Periodo Ref.]]="Dentro",DATOS_[Conc.Sal.28]))))),
0)</f>
        <v>0</v>
      </c>
      <c r="AH50" s="170">
        <f t="array" ref="AH50">IFERROR(
MEDIAN((IF(DATOS_[[Sexo]:[Sexo]]=$B50,IF(DATOS_[[AGRUP. VALOR. PTO.]:[AGRUP. VALOR. PTO.]]=$B48,IF(DATOS_[[Check Periodo Ref.]:[Check Periodo Ref.]]="Dentro",DATOS_[Conc.Sal.29]))))),
0)</f>
        <v>0</v>
      </c>
      <c r="AI50" s="170">
        <f t="array" ref="AI50">IFERROR(
MEDIAN((IF(DATOS_[[Sexo]:[Sexo]]=$B50,IF(DATOS_[[AGRUP. VALOR. PTO.]:[AGRUP. VALOR. PTO.]]=$B48,IF(DATOS_[[Check Periodo Ref.]:[Check Periodo Ref.]]="Dentro",DATOS_[Conc.Sal.30]))))),
0)</f>
        <v>0</v>
      </c>
      <c r="AJ50" s="171">
        <f t="array" ref="AJ50">IFERROR(
MEDIAN(IF(DATOS_[Sexo]=$B50,IF(DATOS_[AGRUP. VALOR. PTO.]=$B48,IF(DATOS_[Check Periodo Ref.]="Dentro",DATOS_[Tot COMPL.SAL Ef],FALSE)))),
0)</f>
        <v>0</v>
      </c>
      <c r="AK50" s="172">
        <f t="array" ref="AK50">IFERROR(
MEDIAN(IF(DATOS_[Sexo]=$B50,IF(DATOS_[AGRUP. VALOR. PTO.]=$B48,IF(DATOS_[Check Periodo Ref.]="Dentro",DATOS_[TOTAL SALARIO Ef],FALSE)))),
0)</f>
        <v>0</v>
      </c>
      <c r="AL50" s="173">
        <f t="array" ref="AL50">IFERROR(
MEDIAN((IF(DATOS_[[Sexo]:[Sexo]]=$B50,IF(DATOS_[[AGRUP. VALOR. PTO.]:[AGRUP. VALOR. PTO.]]=$B48,IF(DATOS_[[Check Periodo Ref.]:[Check Periodo Ref.]]="Dentro",DATOS_[C.Extra.01]))))),
0)</f>
        <v>0</v>
      </c>
      <c r="AM50" s="173">
        <f t="array" ref="AM50">IFERROR(
MEDIAN((IF(DATOS_[[Sexo]:[Sexo]]=$B50,IF(DATOS_[[AGRUP. VALOR. PTO.]:[AGRUP. VALOR. PTO.]]=$B48,IF(DATOS_[[Check Periodo Ref.]:[Check Periodo Ref.]]="Dentro",DATOS_[C.Extra.06]))))),
0)</f>
        <v>0</v>
      </c>
      <c r="AN50" s="173">
        <f t="array" ref="AN50">IFERROR(
MEDIAN((IF(DATOS_[[Sexo]:[Sexo]]=$B50,IF(DATOS_[[AGRUP. VALOR. PTO.]:[AGRUP. VALOR. PTO.]]=$B48,IF(DATOS_[[Check Periodo Ref.]:[Check Periodo Ref.]]="Dentro",DATOS_[C.Extra.07]))))),
0)</f>
        <v>0</v>
      </c>
      <c r="AO50" s="173">
        <f t="array" ref="AO50">IFERROR(
MEDIAN((IF(DATOS_[[Sexo]:[Sexo]]=$B50,IF(DATOS_[[AGRUP. VALOR. PTO.]:[AGRUP. VALOR. PTO.]]=$B48,IF(DATOS_[[Check Periodo Ref.]:[Check Periodo Ref.]]="Dentro",DATOS_[C.Extra.08]))))),
0)</f>
        <v>0</v>
      </c>
      <c r="AP50" s="173">
        <f t="array" ref="AP50">IFERROR(
MEDIAN((IF(DATOS_[[Sexo]:[Sexo]]=$B50,IF(DATOS_[[AGRUP. VALOR. PTO.]:[AGRUP. VALOR. PTO.]]=$B48,IF(DATOS_[[Check Periodo Ref.]:[Check Periodo Ref.]]="Dentro",DATOS_[C.Extra.11]))))),
0)</f>
        <v>0</v>
      </c>
      <c r="AQ50" s="174">
        <f t="array" ref="AQ50">IFERROR(
MEDIAN(IF(DATOS_[Sexo]=$B50,IF(DATOS_[AGRUP. VALOR. PTO.]=$B48,IF(DATOS_[Check Periodo Ref.]="Dentro",DATOS_[Tot Extrasalarial Ef],FALSE)))),
0)</f>
        <v>0</v>
      </c>
      <c r="AR50" s="171">
        <f t="array" ref="AR50">IFERROR(
MEDIAN(IF(DATOS_[Sexo]=$B50,IF(DATOS_[AGRUP. VALOR. PTO.]=$B48,IF(DATOS_[Check Periodo Ref.]="Dentro",DATOS_[TOTAL Retrib Ef],FALSE)))),
0)</f>
        <v>0</v>
      </c>
    </row>
    <row r="51" spans="1:44" ht="14.4" thickBot="1" x14ac:dyDescent="0.3">
      <c r="A51" s="178" t="str">
        <f t="shared" ref="A51" si="51">+A52</f>
        <v>[ocultar]</v>
      </c>
      <c r="B51" s="153" t="s">
        <v>226</v>
      </c>
      <c r="C51" s="154"/>
      <c r="D51" s="155"/>
      <c r="E51" s="156" t="str">
        <f t="shared" ref="E51:AR51" si="52">IFERROR((E52-E53)/E52,"")</f>
        <v/>
      </c>
      <c r="F51" s="157" t="str">
        <f t="shared" si="52"/>
        <v/>
      </c>
      <c r="G51" s="158" t="str">
        <f t="shared" si="52"/>
        <v/>
      </c>
      <c r="H51" s="158" t="str">
        <f t="shared" si="52"/>
        <v/>
      </c>
      <c r="I51" s="158" t="str">
        <f t="shared" si="52"/>
        <v/>
      </c>
      <c r="J51" s="159" t="str">
        <f t="shared" si="52"/>
        <v/>
      </c>
      <c r="K51" s="160" t="str">
        <f t="shared" si="52"/>
        <v/>
      </c>
      <c r="L51" s="160" t="str">
        <f t="shared" si="52"/>
        <v/>
      </c>
      <c r="M51" s="160" t="str">
        <f t="shared" si="52"/>
        <v/>
      </c>
      <c r="N51" s="160" t="str">
        <f t="shared" si="52"/>
        <v/>
      </c>
      <c r="O51" s="160" t="str">
        <f t="shared" si="52"/>
        <v/>
      </c>
      <c r="P51" s="160" t="str">
        <f t="shared" si="52"/>
        <v/>
      </c>
      <c r="Q51" s="160" t="str">
        <f t="shared" si="52"/>
        <v/>
      </c>
      <c r="R51" s="160" t="str">
        <f t="shared" si="52"/>
        <v/>
      </c>
      <c r="S51" s="160" t="str">
        <f t="shared" si="52"/>
        <v/>
      </c>
      <c r="T51" s="160" t="str">
        <f t="shared" si="52"/>
        <v/>
      </c>
      <c r="U51" s="160" t="str">
        <f t="shared" si="52"/>
        <v/>
      </c>
      <c r="V51" s="159" t="str">
        <f t="shared" si="52"/>
        <v/>
      </c>
      <c r="W51" s="159" t="str">
        <f t="shared" si="52"/>
        <v/>
      </c>
      <c r="X51" s="159" t="str">
        <f t="shared" si="52"/>
        <v/>
      </c>
      <c r="Y51" s="159" t="str">
        <f t="shared" si="52"/>
        <v/>
      </c>
      <c r="Z51" s="159" t="str">
        <f t="shared" si="52"/>
        <v/>
      </c>
      <c r="AA51" s="159" t="str">
        <f t="shared" si="52"/>
        <v/>
      </c>
      <c r="AB51" s="159" t="str">
        <f t="shared" si="52"/>
        <v/>
      </c>
      <c r="AC51" s="159" t="str">
        <f t="shared" si="52"/>
        <v/>
      </c>
      <c r="AD51" s="159" t="str">
        <f t="shared" si="52"/>
        <v/>
      </c>
      <c r="AE51" s="159" t="str">
        <f t="shared" si="52"/>
        <v/>
      </c>
      <c r="AF51" s="159" t="str">
        <f t="shared" si="52"/>
        <v/>
      </c>
      <c r="AG51" s="159" t="str">
        <f t="shared" si="52"/>
        <v/>
      </c>
      <c r="AH51" s="159" t="str">
        <f t="shared" si="52"/>
        <v/>
      </c>
      <c r="AI51" s="159" t="str">
        <f t="shared" si="52"/>
        <v/>
      </c>
      <c r="AJ51" s="161" t="str">
        <f t="shared" si="52"/>
        <v/>
      </c>
      <c r="AK51" s="162" t="str">
        <f t="shared" si="52"/>
        <v/>
      </c>
      <c r="AL51" s="163" t="str">
        <f t="shared" si="52"/>
        <v/>
      </c>
      <c r="AM51" s="163" t="str">
        <f t="shared" si="52"/>
        <v/>
      </c>
      <c r="AN51" s="163" t="str">
        <f t="shared" si="52"/>
        <v/>
      </c>
      <c r="AO51" s="163" t="str">
        <f t="shared" si="52"/>
        <v/>
      </c>
      <c r="AP51" s="163" t="str">
        <f t="shared" si="52"/>
        <v/>
      </c>
      <c r="AQ51" s="164" t="str">
        <f t="shared" si="52"/>
        <v/>
      </c>
      <c r="AR51" s="161" t="str">
        <f t="shared" si="52"/>
        <v/>
      </c>
    </row>
    <row r="52" spans="1:44" x14ac:dyDescent="0.25">
      <c r="A52" s="178" t="str">
        <f t="shared" ref="A52" si="53">+IF(C52+C53=0,"[ocultar]","")</f>
        <v>[ocultar]</v>
      </c>
      <c r="B52" s="166" t="s">
        <v>394</v>
      </c>
      <c r="C52" s="167">
        <f t="array" ref="C52">SUM(IF($B52=DATOS_[Sexo],
IF($B51=DATOS_[AGRUP. VALOR. PTO.],
IF("Dentro"=DATOS_[Check Periodo Ref.],
1/(COUNTIFS(DATOS_[Sexo],$B52,DATOS_[AGRUP. VALOR. PTO.],$B51,DATOS_[Check Periodo Ref.],"Dentro",DATOS_[id/cod],DATOS_[id/cod]))))))</f>
        <v>0</v>
      </c>
      <c r="D52" s="168">
        <f>COUNTIFS(DATOS_[AGRUP. VALOR. PTO.],$B51,DATOS_[Sexo],$B52,DATOS_[Check Periodo Ref.],"Dentro")</f>
        <v>0</v>
      </c>
      <c r="E52" s="169">
        <f t="array" ref="E52">IFERROR(
MEDIAN(IF(DATOS_[Sexo]=$B52,IF(DATOS_[AGRUP. VALOR. PTO.]=$B51,IF(DATOS_[Check Periodo Ref.]="Dentro",DATOS_[SALARIO BASE Ef],FALSE)))),
0)</f>
        <v>0</v>
      </c>
      <c r="F52" s="170">
        <f t="array" ref="F52">IFERROR(
MEDIAN((IF(DATOS_[[Sexo]:[Sexo]]=$B52,IF(DATOS_[[AGRUP. VALOR. PTO.]:[AGRUP. VALOR. PTO.]]=$B51,IF(DATOS_[[Check Periodo Ref.]:[Check Periodo Ref.]]="Dentro",DATOS_[Conc.Sal.01]))))),
0)</f>
        <v>0</v>
      </c>
      <c r="G52" s="170">
        <f t="array" ref="G52">IFERROR(
MEDIAN((IF(DATOS_[[Sexo]:[Sexo]]=$B52,IF(DATOS_[[AGRUP. VALOR. PTO.]:[AGRUP. VALOR. PTO.]]=$B51,IF(DATOS_[[Check Periodo Ref.]:[Check Periodo Ref.]]="Dentro",DATOS_[Conc.Sal.02]))))),
0)</f>
        <v>0</v>
      </c>
      <c r="H52" s="170">
        <f t="array" ref="H52">IFERROR(
MEDIAN((IF(DATOS_[[Sexo]:[Sexo]]=$B52,IF(DATOS_[[AGRUP. VALOR. PTO.]:[AGRUP. VALOR. PTO.]]=$B51,IF(DATOS_[[Check Periodo Ref.]:[Check Periodo Ref.]]="Dentro",DATOS_[Conc.Sal.03]))))),
0)</f>
        <v>0</v>
      </c>
      <c r="I52" s="170">
        <f t="array" ref="I52">IFERROR(
MEDIAN((IF(DATOS_[[Sexo]:[Sexo]]=$B52,IF(DATOS_[[AGRUP. VALOR. PTO.]:[AGRUP. VALOR. PTO.]]=$B51,IF(DATOS_[[Check Periodo Ref.]:[Check Periodo Ref.]]="Dentro",DATOS_[Conc.Sal.04]))))),
0)</f>
        <v>0</v>
      </c>
      <c r="J52" s="170">
        <f t="array" ref="J52">IFERROR(
MEDIAN((IF(DATOS_[[Sexo]:[Sexo]]=$B52,IF(DATOS_[[AGRUP. VALOR. PTO.]:[AGRUP. VALOR. PTO.]]=$B51,IF(DATOS_[[Check Periodo Ref.]:[Check Periodo Ref.]]="Dentro",DATOS_[Conc.Sal.05]))))),
0)</f>
        <v>0</v>
      </c>
      <c r="K52" s="170">
        <f t="array" ref="K52">IFERROR(
MEDIAN((IF(DATOS_[[Sexo]:[Sexo]]=$B52,IF(DATOS_[[AGRUP. VALOR. PTO.]:[AGRUP. VALOR. PTO.]]=$B51,IF(DATOS_[[Check Periodo Ref.]:[Check Periodo Ref.]]="Dentro",DATOS_[Conc.Sal.06]))))),
0)</f>
        <v>0</v>
      </c>
      <c r="L52" s="170">
        <f t="array" ref="L52">IFERROR(
MEDIAN((IF(DATOS_[[Sexo]:[Sexo]]=$B52,IF(DATOS_[[AGRUP. VALOR. PTO.]:[AGRUP. VALOR. PTO.]]=$B51,IF(DATOS_[[Check Periodo Ref.]:[Check Periodo Ref.]]="Dentro",DATOS_[Conc.Sal.07]))))),
0)</f>
        <v>0</v>
      </c>
      <c r="M52" s="170">
        <f t="array" ref="M52">IFERROR(
MEDIAN((IF(DATOS_[[Sexo]:[Sexo]]=$B52,IF(DATOS_[[AGRUP. VALOR. PTO.]:[AGRUP. VALOR. PTO.]]=$B51,IF(DATOS_[[Check Periodo Ref.]:[Check Periodo Ref.]]="Dentro",DATOS_[Conc.Sal.08]))))),
0)</f>
        <v>0</v>
      </c>
      <c r="N52" s="170">
        <f t="array" ref="N52">IFERROR(
MEDIAN((IF(DATOS_[[Sexo]:[Sexo]]=$B52,IF(DATOS_[[AGRUP. VALOR. PTO.]:[AGRUP. VALOR. PTO.]]=$B51,IF(DATOS_[[Check Periodo Ref.]:[Check Periodo Ref.]]="Dentro",DATOS_[Conc.Sal.09]))))),
0)</f>
        <v>0</v>
      </c>
      <c r="O52" s="170">
        <f t="array" ref="O52">IFERROR(
MEDIAN((IF(DATOS_[[Sexo]:[Sexo]]=$B52,IF(DATOS_[[AGRUP. VALOR. PTO.]:[AGRUP. VALOR. PTO.]]=$B51,IF(DATOS_[[Check Periodo Ref.]:[Check Periodo Ref.]]="Dentro",DATOS_[Conc.Sal.10]))))),
0)</f>
        <v>0</v>
      </c>
      <c r="P52" s="170">
        <f t="array" ref="P52">IFERROR(
MEDIAN((IF(DATOS_[[Sexo]:[Sexo]]=$B52,IF(DATOS_[[AGRUP. VALOR. PTO.]:[AGRUP. VALOR. PTO.]]=$B51,IF(DATOS_[[Check Periodo Ref.]:[Check Periodo Ref.]]="Dentro",DATOS_[Conc.Sal.11]))))),
0)</f>
        <v>0</v>
      </c>
      <c r="Q52" s="170">
        <f t="array" ref="Q52">IFERROR(
MEDIAN((IF(DATOS_[[Sexo]:[Sexo]]=$B52,IF(DATOS_[[AGRUP. VALOR. PTO.]:[AGRUP. VALOR. PTO.]]=$B51,IF(DATOS_[[Check Periodo Ref.]:[Check Periodo Ref.]]="Dentro",DATOS_[Conc.Sal.12]))))),
0)</f>
        <v>0</v>
      </c>
      <c r="R52" s="170">
        <f t="array" ref="R52">IFERROR(
MEDIAN((IF(DATOS_[[Sexo]:[Sexo]]=$B52,IF(DATOS_[[AGRUP. VALOR. PTO.]:[AGRUP. VALOR. PTO.]]=$B51,IF(DATOS_[[Check Periodo Ref.]:[Check Periodo Ref.]]="Dentro",DATOS_[Conc.Sal.13]))))),
0)</f>
        <v>0</v>
      </c>
      <c r="S52" s="170">
        <f t="array" ref="S52">IFERROR(
MEDIAN((IF(DATOS_[[Sexo]:[Sexo]]=$B52,IF(DATOS_[[AGRUP. VALOR. PTO.]:[AGRUP. VALOR. PTO.]]=$B51,IF(DATOS_[[Check Periodo Ref.]:[Check Periodo Ref.]]="Dentro",DATOS_[Conc.Sal.14]))))),
0)</f>
        <v>0</v>
      </c>
      <c r="T52" s="170">
        <f t="array" ref="T52">IFERROR(
MEDIAN((IF(DATOS_[[Sexo]:[Sexo]]=$B52,IF(DATOS_[[AGRUP. VALOR. PTO.]:[AGRUP. VALOR. PTO.]]=$B51,IF(DATOS_[[Check Periodo Ref.]:[Check Periodo Ref.]]="Dentro",DATOS_[Conc.Sal.15]))))),
0)</f>
        <v>0</v>
      </c>
      <c r="U52" s="170">
        <f t="array" ref="U52">IFERROR(
MEDIAN((IF(DATOS_[[Sexo]:[Sexo]]=$B52,IF(DATOS_[[AGRUP. VALOR. PTO.]:[AGRUP. VALOR. PTO.]]=$B51,IF(DATOS_[[Check Periodo Ref.]:[Check Periodo Ref.]]="Dentro",DATOS_[Conc.Sal.16]))))),
0)</f>
        <v>0</v>
      </c>
      <c r="V52" s="170">
        <f t="array" ref="V52">IFERROR(
MEDIAN((IF(DATOS_[[Sexo]:[Sexo]]=$B52,IF(DATOS_[[AGRUP. VALOR. PTO.]:[AGRUP. VALOR. PTO.]]=$B51,IF(DATOS_[[Check Periodo Ref.]:[Check Periodo Ref.]]="Dentro",DATOS_[Conc.Sal.17]))))),
0)</f>
        <v>0</v>
      </c>
      <c r="W52" s="170">
        <f t="array" ref="W52">IFERROR(
MEDIAN((IF(DATOS_[[Sexo]:[Sexo]]=$B52,IF(DATOS_[[AGRUP. VALOR. PTO.]:[AGRUP. VALOR. PTO.]]=$B51,IF(DATOS_[[Check Periodo Ref.]:[Check Periodo Ref.]]="Dentro",DATOS_[Conc.Sal.18]))))),
0)</f>
        <v>0</v>
      </c>
      <c r="X52" s="170">
        <f t="array" ref="X52">IFERROR(
MEDIAN((IF(DATOS_[[Sexo]:[Sexo]]=$B52,IF(DATOS_[[AGRUP. VALOR. PTO.]:[AGRUP. VALOR. PTO.]]=$B51,IF(DATOS_[[Check Periodo Ref.]:[Check Periodo Ref.]]="Dentro",DATOS_[Conc.Sal.19]))))),
0)</f>
        <v>0</v>
      </c>
      <c r="Y52" s="170">
        <f t="array" ref="Y52">IFERROR(
MEDIAN((IF(DATOS_[[Sexo]:[Sexo]]=$B52,IF(DATOS_[[AGRUP. VALOR. PTO.]:[AGRUP. VALOR. PTO.]]=$B51,IF(DATOS_[[Check Periodo Ref.]:[Check Periodo Ref.]]="Dentro",DATOS_[Conc.Sal.20]))))),
0)</f>
        <v>0</v>
      </c>
      <c r="Z52" s="170">
        <f t="array" ref="Z52">IFERROR(
MEDIAN((IF(DATOS_[[Sexo]:[Sexo]]=$B52,IF(DATOS_[[AGRUP. VALOR. PTO.]:[AGRUP. VALOR. PTO.]]=$B51,IF(DATOS_[[Check Periodo Ref.]:[Check Periodo Ref.]]="Dentro",DATOS_[Conc.Sal.21]))))),
0)</f>
        <v>0</v>
      </c>
      <c r="AA52" s="170">
        <f t="array" ref="AA52">IFERROR(
MEDIAN((IF(DATOS_[[Sexo]:[Sexo]]=$B52,IF(DATOS_[[AGRUP. VALOR. PTO.]:[AGRUP. VALOR. PTO.]]=$B51,IF(DATOS_[[Check Periodo Ref.]:[Check Periodo Ref.]]="Dentro",DATOS_[Conc.Sal.22]))))),
0)</f>
        <v>0</v>
      </c>
      <c r="AB52" s="170">
        <f t="array" ref="AB52">IFERROR(
MEDIAN((IF(DATOS_[[Sexo]:[Sexo]]=$B52,IF(DATOS_[[AGRUP. VALOR. PTO.]:[AGRUP. VALOR. PTO.]]=$B51,IF(DATOS_[[Check Periodo Ref.]:[Check Periodo Ref.]]="Dentro",DATOS_[Conc.Sal.23]))))),
0)</f>
        <v>0</v>
      </c>
      <c r="AC52" s="170">
        <f t="array" ref="AC52">IFERROR(
MEDIAN((IF(DATOS_[[Sexo]:[Sexo]]=$B52,IF(DATOS_[[AGRUP. VALOR. PTO.]:[AGRUP. VALOR. PTO.]]=$B51,IF(DATOS_[[Check Periodo Ref.]:[Check Periodo Ref.]]="Dentro",DATOS_[Conc.Sal.24]))))),
0)</f>
        <v>0</v>
      </c>
      <c r="AD52" s="170">
        <f t="array" ref="AD52">IFERROR(
MEDIAN((IF(DATOS_[[Sexo]:[Sexo]]=$B52,IF(DATOS_[[AGRUP. VALOR. PTO.]:[AGRUP. VALOR. PTO.]]=$B51,IF(DATOS_[[Check Periodo Ref.]:[Check Periodo Ref.]]="Dentro",DATOS_[Conc.Sal.25]))))),
0)</f>
        <v>0</v>
      </c>
      <c r="AE52" s="170">
        <f t="array" ref="AE52">IFERROR(
MEDIAN((IF(DATOS_[[Sexo]:[Sexo]]=$B52,IF(DATOS_[[AGRUP. VALOR. PTO.]:[AGRUP. VALOR. PTO.]]=$B51,IF(DATOS_[[Check Periodo Ref.]:[Check Periodo Ref.]]="Dentro",DATOS_[Conc.Sal.26]))))),
0)</f>
        <v>0</v>
      </c>
      <c r="AF52" s="170">
        <f t="array" ref="AF52">IFERROR(
MEDIAN((IF(DATOS_[[Sexo]:[Sexo]]=$B52,IF(DATOS_[[AGRUP. VALOR. PTO.]:[AGRUP. VALOR. PTO.]]=$B51,IF(DATOS_[[Check Periodo Ref.]:[Check Periodo Ref.]]="Dentro",DATOS_[Conc.Sal.27]))))),
0)</f>
        <v>0</v>
      </c>
      <c r="AG52" s="170">
        <f t="array" ref="AG52">IFERROR(
MEDIAN((IF(DATOS_[[Sexo]:[Sexo]]=$B52,IF(DATOS_[[AGRUP. VALOR. PTO.]:[AGRUP. VALOR. PTO.]]=$B51,IF(DATOS_[[Check Periodo Ref.]:[Check Periodo Ref.]]="Dentro",DATOS_[Conc.Sal.28]))))),
0)</f>
        <v>0</v>
      </c>
      <c r="AH52" s="170">
        <f t="array" ref="AH52">IFERROR(
MEDIAN((IF(DATOS_[[Sexo]:[Sexo]]=$B52,IF(DATOS_[[AGRUP. VALOR. PTO.]:[AGRUP. VALOR. PTO.]]=$B51,IF(DATOS_[[Check Periodo Ref.]:[Check Periodo Ref.]]="Dentro",DATOS_[Conc.Sal.29]))))),
0)</f>
        <v>0</v>
      </c>
      <c r="AI52" s="170">
        <f t="array" ref="AI52">IFERROR(
MEDIAN((IF(DATOS_[[Sexo]:[Sexo]]=$B52,IF(DATOS_[[AGRUP. VALOR. PTO.]:[AGRUP. VALOR. PTO.]]=$B51,IF(DATOS_[[Check Periodo Ref.]:[Check Periodo Ref.]]="Dentro",DATOS_[Conc.Sal.30]))))),
0)</f>
        <v>0</v>
      </c>
      <c r="AJ52" s="171">
        <f t="array" ref="AJ52">IFERROR(
MEDIAN(IF(DATOS_[Sexo]=$B52,IF(DATOS_[AGRUP. VALOR. PTO.]=$B51,IF(DATOS_[Check Periodo Ref.]="Dentro",DATOS_[Tot COMPL.SAL Ef],FALSE)))),
0)</f>
        <v>0</v>
      </c>
      <c r="AK52" s="172">
        <f t="array" ref="AK52">IFERROR(
MEDIAN(IF(DATOS_[Sexo]=$B52,IF(DATOS_[AGRUP. VALOR. PTO.]=$B51,IF(DATOS_[Check Periodo Ref.]="Dentro",DATOS_[TOTAL SALARIO Ef],FALSE)))),
0)</f>
        <v>0</v>
      </c>
      <c r="AL52" s="173">
        <f t="array" ref="AL52">IFERROR(
MEDIAN((IF(DATOS_[[Sexo]:[Sexo]]=$B52,IF(DATOS_[[AGRUP. VALOR. PTO.]:[AGRUP. VALOR. PTO.]]=$B51,IF(DATOS_[[Check Periodo Ref.]:[Check Periodo Ref.]]="Dentro",DATOS_[C.Extra.01]))))),
0)</f>
        <v>0</v>
      </c>
      <c r="AM52" s="173">
        <f t="array" ref="AM52">IFERROR(
MEDIAN((IF(DATOS_[[Sexo]:[Sexo]]=$B52,IF(DATOS_[[AGRUP. VALOR. PTO.]:[AGRUP. VALOR. PTO.]]=$B51,IF(DATOS_[[Check Periodo Ref.]:[Check Periodo Ref.]]="Dentro",DATOS_[C.Extra.06]))))),
0)</f>
        <v>0</v>
      </c>
      <c r="AN52" s="173">
        <f t="array" ref="AN52">IFERROR(
MEDIAN((IF(DATOS_[[Sexo]:[Sexo]]=$B52,IF(DATOS_[[AGRUP. VALOR. PTO.]:[AGRUP. VALOR. PTO.]]=$B51,IF(DATOS_[[Check Periodo Ref.]:[Check Periodo Ref.]]="Dentro",DATOS_[C.Extra.07]))))),
0)</f>
        <v>0</v>
      </c>
      <c r="AO52" s="173">
        <f t="array" ref="AO52">IFERROR(
MEDIAN((IF(DATOS_[[Sexo]:[Sexo]]=$B52,IF(DATOS_[[AGRUP. VALOR. PTO.]:[AGRUP. VALOR. PTO.]]=$B51,IF(DATOS_[[Check Periodo Ref.]:[Check Periodo Ref.]]="Dentro",DATOS_[C.Extra.08]))))),
0)</f>
        <v>0</v>
      </c>
      <c r="AP52" s="173">
        <f t="array" ref="AP52">IFERROR(
MEDIAN((IF(DATOS_[[Sexo]:[Sexo]]=$B52,IF(DATOS_[[AGRUP. VALOR. PTO.]:[AGRUP. VALOR. PTO.]]=$B51,IF(DATOS_[[Check Periodo Ref.]:[Check Periodo Ref.]]="Dentro",DATOS_[C.Extra.11]))))),
0)</f>
        <v>0</v>
      </c>
      <c r="AQ52" s="174">
        <f t="array" ref="AQ52">IFERROR(
MEDIAN(IF(DATOS_[Sexo]=$B52,IF(DATOS_[AGRUP. VALOR. PTO.]=$B51,IF(DATOS_[Check Periodo Ref.]="Dentro",DATOS_[Tot Extrasalarial Ef],FALSE)))),
0)</f>
        <v>0</v>
      </c>
      <c r="AR52" s="171">
        <f t="array" ref="AR52">IFERROR(
MEDIAN(IF(DATOS_[Sexo]=$B52,IF(DATOS_[AGRUP. VALOR. PTO.]=$B51,IF(DATOS_[Check Periodo Ref.]="Dentro",DATOS_[TOTAL Retrib Ef],FALSE)))),
0)</f>
        <v>0</v>
      </c>
    </row>
    <row r="53" spans="1:44" x14ac:dyDescent="0.25">
      <c r="A53" s="178" t="str">
        <f t="shared" ref="A53" si="54">+A52</f>
        <v>[ocultar]</v>
      </c>
      <c r="B53" s="166" t="s">
        <v>521</v>
      </c>
      <c r="C53" s="167">
        <f t="array" ref="C53">SUM(IF($B53=DATOS_[Sexo],
IF($B51=DATOS_[AGRUP. VALOR. PTO.],
IF("Dentro"=DATOS_[Check Periodo Ref.],
1/(COUNTIFS(DATOS_[Sexo],$B53,DATOS_[AGRUP. VALOR. PTO.],$B51,DATOS_[Check Periodo Ref.],"Dentro",DATOS_[id/cod],DATOS_[id/cod]))))))</f>
        <v>0</v>
      </c>
      <c r="D53" s="168">
        <f>COUNTIFS(DATOS_[AGRUP. VALOR. PTO.],$B51,DATOS_[Sexo],$B53,DATOS_[Check Periodo Ref.],"Dentro")</f>
        <v>0</v>
      </c>
      <c r="E53" s="169">
        <f t="array" ref="E53">IFERROR(
MEDIAN(IF(DATOS_[Sexo]=$B53,IF(DATOS_[AGRUP. VALOR. PTO.]=$B51,IF(DATOS_[Check Periodo Ref.]="Dentro",DATOS_[SALARIO BASE Ef],FALSE)))),
0)</f>
        <v>0</v>
      </c>
      <c r="F53" s="170">
        <f t="array" ref="F53">IFERROR(
MEDIAN((IF(DATOS_[[Sexo]:[Sexo]]=$B53,IF(DATOS_[[AGRUP. VALOR. PTO.]:[AGRUP. VALOR. PTO.]]=$B51,IF(DATOS_[[Check Periodo Ref.]:[Check Periodo Ref.]]="Dentro",DATOS_[Conc.Sal.01]))))),
0)</f>
        <v>0</v>
      </c>
      <c r="G53" s="170">
        <f t="array" ref="G53">IFERROR(
MEDIAN((IF(DATOS_[[Sexo]:[Sexo]]=$B53,IF(DATOS_[[AGRUP. VALOR. PTO.]:[AGRUP. VALOR. PTO.]]=$B51,IF(DATOS_[[Check Periodo Ref.]:[Check Periodo Ref.]]="Dentro",DATOS_[Conc.Sal.02]))))),
0)</f>
        <v>0</v>
      </c>
      <c r="H53" s="170">
        <f t="array" ref="H53">IFERROR(
MEDIAN((IF(DATOS_[[Sexo]:[Sexo]]=$B53,IF(DATOS_[[AGRUP. VALOR. PTO.]:[AGRUP. VALOR. PTO.]]=$B51,IF(DATOS_[[Check Periodo Ref.]:[Check Periodo Ref.]]="Dentro",DATOS_[Conc.Sal.03]))))),
0)</f>
        <v>0</v>
      </c>
      <c r="I53" s="170">
        <f t="array" ref="I53">IFERROR(
MEDIAN((IF(DATOS_[[Sexo]:[Sexo]]=$B53,IF(DATOS_[[AGRUP. VALOR. PTO.]:[AGRUP. VALOR. PTO.]]=$B51,IF(DATOS_[[Check Periodo Ref.]:[Check Periodo Ref.]]="Dentro",DATOS_[Conc.Sal.04]))))),
0)</f>
        <v>0</v>
      </c>
      <c r="J53" s="170">
        <f t="array" ref="J53">IFERROR(
MEDIAN((IF(DATOS_[[Sexo]:[Sexo]]=$B53,IF(DATOS_[[AGRUP. VALOR. PTO.]:[AGRUP. VALOR. PTO.]]=$B51,IF(DATOS_[[Check Periodo Ref.]:[Check Periodo Ref.]]="Dentro",DATOS_[Conc.Sal.05]))))),
0)</f>
        <v>0</v>
      </c>
      <c r="K53" s="170">
        <f t="array" ref="K53">IFERROR(
MEDIAN((IF(DATOS_[[Sexo]:[Sexo]]=$B53,IF(DATOS_[[AGRUP. VALOR. PTO.]:[AGRUP. VALOR. PTO.]]=$B51,IF(DATOS_[[Check Periodo Ref.]:[Check Periodo Ref.]]="Dentro",DATOS_[Conc.Sal.06]))))),
0)</f>
        <v>0</v>
      </c>
      <c r="L53" s="170">
        <f t="array" ref="L53">IFERROR(
MEDIAN((IF(DATOS_[[Sexo]:[Sexo]]=$B53,IF(DATOS_[[AGRUP. VALOR. PTO.]:[AGRUP. VALOR. PTO.]]=$B51,IF(DATOS_[[Check Periodo Ref.]:[Check Periodo Ref.]]="Dentro",DATOS_[Conc.Sal.07]))))),
0)</f>
        <v>0</v>
      </c>
      <c r="M53" s="170">
        <f t="array" ref="M53">IFERROR(
MEDIAN((IF(DATOS_[[Sexo]:[Sexo]]=$B53,IF(DATOS_[[AGRUP. VALOR. PTO.]:[AGRUP. VALOR. PTO.]]=$B51,IF(DATOS_[[Check Periodo Ref.]:[Check Periodo Ref.]]="Dentro",DATOS_[Conc.Sal.08]))))),
0)</f>
        <v>0</v>
      </c>
      <c r="N53" s="170">
        <f t="array" ref="N53">IFERROR(
MEDIAN((IF(DATOS_[[Sexo]:[Sexo]]=$B53,IF(DATOS_[[AGRUP. VALOR. PTO.]:[AGRUP. VALOR. PTO.]]=$B51,IF(DATOS_[[Check Periodo Ref.]:[Check Periodo Ref.]]="Dentro",DATOS_[Conc.Sal.09]))))),
0)</f>
        <v>0</v>
      </c>
      <c r="O53" s="170">
        <f t="array" ref="O53">IFERROR(
MEDIAN((IF(DATOS_[[Sexo]:[Sexo]]=$B53,IF(DATOS_[[AGRUP. VALOR. PTO.]:[AGRUP. VALOR. PTO.]]=$B51,IF(DATOS_[[Check Periodo Ref.]:[Check Periodo Ref.]]="Dentro",DATOS_[Conc.Sal.10]))))),
0)</f>
        <v>0</v>
      </c>
      <c r="P53" s="170">
        <f t="array" ref="P53">IFERROR(
MEDIAN((IF(DATOS_[[Sexo]:[Sexo]]=$B53,IF(DATOS_[[AGRUP. VALOR. PTO.]:[AGRUP. VALOR. PTO.]]=$B51,IF(DATOS_[[Check Periodo Ref.]:[Check Periodo Ref.]]="Dentro",DATOS_[Conc.Sal.11]))))),
0)</f>
        <v>0</v>
      </c>
      <c r="Q53" s="170">
        <f t="array" ref="Q53">IFERROR(
MEDIAN((IF(DATOS_[[Sexo]:[Sexo]]=$B53,IF(DATOS_[[AGRUP. VALOR. PTO.]:[AGRUP. VALOR. PTO.]]=$B51,IF(DATOS_[[Check Periodo Ref.]:[Check Periodo Ref.]]="Dentro",DATOS_[Conc.Sal.12]))))),
0)</f>
        <v>0</v>
      </c>
      <c r="R53" s="170">
        <f t="array" ref="R53">IFERROR(
MEDIAN((IF(DATOS_[[Sexo]:[Sexo]]=$B53,IF(DATOS_[[AGRUP. VALOR. PTO.]:[AGRUP. VALOR. PTO.]]=$B51,IF(DATOS_[[Check Periodo Ref.]:[Check Periodo Ref.]]="Dentro",DATOS_[Conc.Sal.13]))))),
0)</f>
        <v>0</v>
      </c>
      <c r="S53" s="170">
        <f t="array" ref="S53">IFERROR(
MEDIAN((IF(DATOS_[[Sexo]:[Sexo]]=$B53,IF(DATOS_[[AGRUP. VALOR. PTO.]:[AGRUP. VALOR. PTO.]]=$B51,IF(DATOS_[[Check Periodo Ref.]:[Check Periodo Ref.]]="Dentro",DATOS_[Conc.Sal.14]))))),
0)</f>
        <v>0</v>
      </c>
      <c r="T53" s="170">
        <f t="array" ref="T53">IFERROR(
MEDIAN((IF(DATOS_[[Sexo]:[Sexo]]=$B53,IF(DATOS_[[AGRUP. VALOR. PTO.]:[AGRUP. VALOR. PTO.]]=$B51,IF(DATOS_[[Check Periodo Ref.]:[Check Periodo Ref.]]="Dentro",DATOS_[Conc.Sal.15]))))),
0)</f>
        <v>0</v>
      </c>
      <c r="U53" s="170">
        <f t="array" ref="U53">IFERROR(
MEDIAN((IF(DATOS_[[Sexo]:[Sexo]]=$B53,IF(DATOS_[[AGRUP. VALOR. PTO.]:[AGRUP. VALOR. PTO.]]=$B51,IF(DATOS_[[Check Periodo Ref.]:[Check Periodo Ref.]]="Dentro",DATOS_[Conc.Sal.16]))))),
0)</f>
        <v>0</v>
      </c>
      <c r="V53" s="170">
        <f t="array" ref="V53">IFERROR(
MEDIAN((IF(DATOS_[[Sexo]:[Sexo]]=$B53,IF(DATOS_[[AGRUP. VALOR. PTO.]:[AGRUP. VALOR. PTO.]]=$B51,IF(DATOS_[[Check Periodo Ref.]:[Check Periodo Ref.]]="Dentro",DATOS_[Conc.Sal.17]))))),
0)</f>
        <v>0</v>
      </c>
      <c r="W53" s="170">
        <f t="array" ref="W53">IFERROR(
MEDIAN((IF(DATOS_[[Sexo]:[Sexo]]=$B53,IF(DATOS_[[AGRUP. VALOR. PTO.]:[AGRUP. VALOR. PTO.]]=$B51,IF(DATOS_[[Check Periodo Ref.]:[Check Periodo Ref.]]="Dentro",DATOS_[Conc.Sal.18]))))),
0)</f>
        <v>0</v>
      </c>
      <c r="X53" s="170">
        <f t="array" ref="X53">IFERROR(
MEDIAN((IF(DATOS_[[Sexo]:[Sexo]]=$B53,IF(DATOS_[[AGRUP. VALOR. PTO.]:[AGRUP. VALOR. PTO.]]=$B51,IF(DATOS_[[Check Periodo Ref.]:[Check Periodo Ref.]]="Dentro",DATOS_[Conc.Sal.19]))))),
0)</f>
        <v>0</v>
      </c>
      <c r="Y53" s="170">
        <f t="array" ref="Y53">IFERROR(
MEDIAN((IF(DATOS_[[Sexo]:[Sexo]]=$B53,IF(DATOS_[[AGRUP. VALOR. PTO.]:[AGRUP. VALOR. PTO.]]=$B51,IF(DATOS_[[Check Periodo Ref.]:[Check Periodo Ref.]]="Dentro",DATOS_[Conc.Sal.20]))))),
0)</f>
        <v>0</v>
      </c>
      <c r="Z53" s="170">
        <f t="array" ref="Z53">IFERROR(
MEDIAN((IF(DATOS_[[Sexo]:[Sexo]]=$B53,IF(DATOS_[[AGRUP. VALOR. PTO.]:[AGRUP. VALOR. PTO.]]=$B51,IF(DATOS_[[Check Periodo Ref.]:[Check Periodo Ref.]]="Dentro",DATOS_[Conc.Sal.21]))))),
0)</f>
        <v>0</v>
      </c>
      <c r="AA53" s="170">
        <f t="array" ref="AA53">IFERROR(
MEDIAN((IF(DATOS_[[Sexo]:[Sexo]]=$B53,IF(DATOS_[[AGRUP. VALOR. PTO.]:[AGRUP. VALOR. PTO.]]=$B51,IF(DATOS_[[Check Periodo Ref.]:[Check Periodo Ref.]]="Dentro",DATOS_[Conc.Sal.22]))))),
0)</f>
        <v>0</v>
      </c>
      <c r="AB53" s="170">
        <f t="array" ref="AB53">IFERROR(
MEDIAN((IF(DATOS_[[Sexo]:[Sexo]]=$B53,IF(DATOS_[[AGRUP. VALOR. PTO.]:[AGRUP. VALOR. PTO.]]=$B51,IF(DATOS_[[Check Periodo Ref.]:[Check Periodo Ref.]]="Dentro",DATOS_[Conc.Sal.23]))))),
0)</f>
        <v>0</v>
      </c>
      <c r="AC53" s="170">
        <f t="array" ref="AC53">IFERROR(
MEDIAN((IF(DATOS_[[Sexo]:[Sexo]]=$B53,IF(DATOS_[[AGRUP. VALOR. PTO.]:[AGRUP. VALOR. PTO.]]=$B51,IF(DATOS_[[Check Periodo Ref.]:[Check Periodo Ref.]]="Dentro",DATOS_[Conc.Sal.24]))))),
0)</f>
        <v>0</v>
      </c>
      <c r="AD53" s="170">
        <f t="array" ref="AD53">IFERROR(
MEDIAN((IF(DATOS_[[Sexo]:[Sexo]]=$B53,IF(DATOS_[[AGRUP. VALOR. PTO.]:[AGRUP. VALOR. PTO.]]=$B51,IF(DATOS_[[Check Periodo Ref.]:[Check Periodo Ref.]]="Dentro",DATOS_[Conc.Sal.25]))))),
0)</f>
        <v>0</v>
      </c>
      <c r="AE53" s="170">
        <f t="array" ref="AE53">IFERROR(
MEDIAN((IF(DATOS_[[Sexo]:[Sexo]]=$B53,IF(DATOS_[[AGRUP. VALOR. PTO.]:[AGRUP. VALOR. PTO.]]=$B51,IF(DATOS_[[Check Periodo Ref.]:[Check Periodo Ref.]]="Dentro",DATOS_[Conc.Sal.26]))))),
0)</f>
        <v>0</v>
      </c>
      <c r="AF53" s="170">
        <f t="array" ref="AF53">IFERROR(
MEDIAN((IF(DATOS_[[Sexo]:[Sexo]]=$B53,IF(DATOS_[[AGRUP. VALOR. PTO.]:[AGRUP. VALOR. PTO.]]=$B51,IF(DATOS_[[Check Periodo Ref.]:[Check Periodo Ref.]]="Dentro",DATOS_[Conc.Sal.27]))))),
0)</f>
        <v>0</v>
      </c>
      <c r="AG53" s="170">
        <f t="array" ref="AG53">IFERROR(
MEDIAN((IF(DATOS_[[Sexo]:[Sexo]]=$B53,IF(DATOS_[[AGRUP. VALOR. PTO.]:[AGRUP. VALOR. PTO.]]=$B51,IF(DATOS_[[Check Periodo Ref.]:[Check Periodo Ref.]]="Dentro",DATOS_[Conc.Sal.28]))))),
0)</f>
        <v>0</v>
      </c>
      <c r="AH53" s="170">
        <f t="array" ref="AH53">IFERROR(
MEDIAN((IF(DATOS_[[Sexo]:[Sexo]]=$B53,IF(DATOS_[[AGRUP. VALOR. PTO.]:[AGRUP. VALOR. PTO.]]=$B51,IF(DATOS_[[Check Periodo Ref.]:[Check Periodo Ref.]]="Dentro",DATOS_[Conc.Sal.29]))))),
0)</f>
        <v>0</v>
      </c>
      <c r="AI53" s="170">
        <f t="array" ref="AI53">IFERROR(
MEDIAN((IF(DATOS_[[Sexo]:[Sexo]]=$B53,IF(DATOS_[[AGRUP. VALOR. PTO.]:[AGRUP. VALOR. PTO.]]=$B51,IF(DATOS_[[Check Periodo Ref.]:[Check Periodo Ref.]]="Dentro",DATOS_[Conc.Sal.30]))))),
0)</f>
        <v>0</v>
      </c>
      <c r="AJ53" s="171">
        <f t="array" ref="AJ53">IFERROR(
MEDIAN(IF(DATOS_[Sexo]=$B53,IF(DATOS_[AGRUP. VALOR. PTO.]=$B51,IF(DATOS_[Check Periodo Ref.]="Dentro",DATOS_[Tot COMPL.SAL Ef],FALSE)))),
0)</f>
        <v>0</v>
      </c>
      <c r="AK53" s="172">
        <f t="array" ref="AK53">IFERROR(
MEDIAN(IF(DATOS_[Sexo]=$B53,IF(DATOS_[AGRUP. VALOR. PTO.]=$B51,IF(DATOS_[Check Periodo Ref.]="Dentro",DATOS_[TOTAL SALARIO Ef],FALSE)))),
0)</f>
        <v>0</v>
      </c>
      <c r="AL53" s="173">
        <f t="array" ref="AL53">IFERROR(
MEDIAN((IF(DATOS_[[Sexo]:[Sexo]]=$B53,IF(DATOS_[[AGRUP. VALOR. PTO.]:[AGRUP. VALOR. PTO.]]=$B51,IF(DATOS_[[Check Periodo Ref.]:[Check Periodo Ref.]]="Dentro",DATOS_[C.Extra.01]))))),
0)</f>
        <v>0</v>
      </c>
      <c r="AM53" s="173">
        <f t="array" ref="AM53">IFERROR(
MEDIAN((IF(DATOS_[[Sexo]:[Sexo]]=$B53,IF(DATOS_[[AGRUP. VALOR. PTO.]:[AGRUP. VALOR. PTO.]]=$B51,IF(DATOS_[[Check Periodo Ref.]:[Check Periodo Ref.]]="Dentro",DATOS_[C.Extra.06]))))),
0)</f>
        <v>0</v>
      </c>
      <c r="AN53" s="173">
        <f t="array" ref="AN53">IFERROR(
MEDIAN((IF(DATOS_[[Sexo]:[Sexo]]=$B53,IF(DATOS_[[AGRUP. VALOR. PTO.]:[AGRUP. VALOR. PTO.]]=$B51,IF(DATOS_[[Check Periodo Ref.]:[Check Periodo Ref.]]="Dentro",DATOS_[C.Extra.07]))))),
0)</f>
        <v>0</v>
      </c>
      <c r="AO53" s="173">
        <f t="array" ref="AO53">IFERROR(
MEDIAN((IF(DATOS_[[Sexo]:[Sexo]]=$B53,IF(DATOS_[[AGRUP. VALOR. PTO.]:[AGRUP. VALOR. PTO.]]=$B51,IF(DATOS_[[Check Periodo Ref.]:[Check Periodo Ref.]]="Dentro",DATOS_[C.Extra.08]))))),
0)</f>
        <v>0</v>
      </c>
      <c r="AP53" s="173">
        <f t="array" ref="AP53">IFERROR(
MEDIAN((IF(DATOS_[[Sexo]:[Sexo]]=$B53,IF(DATOS_[[AGRUP. VALOR. PTO.]:[AGRUP. VALOR. PTO.]]=$B51,IF(DATOS_[[Check Periodo Ref.]:[Check Periodo Ref.]]="Dentro",DATOS_[C.Extra.11]))))),
0)</f>
        <v>0</v>
      </c>
      <c r="AQ53" s="174">
        <f t="array" ref="AQ53">IFERROR(
MEDIAN(IF(DATOS_[Sexo]=$B53,IF(DATOS_[AGRUP. VALOR. PTO.]=$B51,IF(DATOS_[Check Periodo Ref.]="Dentro",DATOS_[Tot Extrasalarial Ef],FALSE)))),
0)</f>
        <v>0</v>
      </c>
      <c r="AR53" s="171">
        <f t="array" ref="AR53">IFERROR(
MEDIAN(IF(DATOS_[Sexo]=$B53,IF(DATOS_[AGRUP. VALOR. PTO.]=$B51,IF(DATOS_[Check Periodo Ref.]="Dentro",DATOS_[TOTAL Retrib Ef],FALSE)))),
0)</f>
        <v>0</v>
      </c>
    </row>
    <row r="54" spans="1:44" ht="14.4" thickBot="1" x14ac:dyDescent="0.3">
      <c r="A54" s="178" t="str">
        <f t="shared" ref="A54" si="55">+A55</f>
        <v>[ocultar]</v>
      </c>
      <c r="B54" s="153" t="s">
        <v>230</v>
      </c>
      <c r="C54" s="154"/>
      <c r="D54" s="155"/>
      <c r="E54" s="156" t="str">
        <f t="shared" ref="E54:AR54" si="56">IFERROR((E55-E56)/E55,"")</f>
        <v/>
      </c>
      <c r="F54" s="157" t="str">
        <f t="shared" si="56"/>
        <v/>
      </c>
      <c r="G54" s="158" t="str">
        <f t="shared" si="56"/>
        <v/>
      </c>
      <c r="H54" s="158" t="str">
        <f t="shared" si="56"/>
        <v/>
      </c>
      <c r="I54" s="158" t="str">
        <f t="shared" si="56"/>
        <v/>
      </c>
      <c r="J54" s="159" t="str">
        <f t="shared" si="56"/>
        <v/>
      </c>
      <c r="K54" s="160" t="str">
        <f t="shared" si="56"/>
        <v/>
      </c>
      <c r="L54" s="160" t="str">
        <f t="shared" si="56"/>
        <v/>
      </c>
      <c r="M54" s="160" t="str">
        <f t="shared" si="56"/>
        <v/>
      </c>
      <c r="N54" s="160" t="str">
        <f t="shared" si="56"/>
        <v/>
      </c>
      <c r="O54" s="160" t="str">
        <f t="shared" si="56"/>
        <v/>
      </c>
      <c r="P54" s="160" t="str">
        <f t="shared" si="56"/>
        <v/>
      </c>
      <c r="Q54" s="160" t="str">
        <f t="shared" si="56"/>
        <v/>
      </c>
      <c r="R54" s="160" t="str">
        <f t="shared" si="56"/>
        <v/>
      </c>
      <c r="S54" s="160" t="str">
        <f t="shared" si="56"/>
        <v/>
      </c>
      <c r="T54" s="160" t="str">
        <f t="shared" si="56"/>
        <v/>
      </c>
      <c r="U54" s="160" t="str">
        <f t="shared" si="56"/>
        <v/>
      </c>
      <c r="V54" s="159" t="str">
        <f t="shared" si="56"/>
        <v/>
      </c>
      <c r="W54" s="159" t="str">
        <f t="shared" si="56"/>
        <v/>
      </c>
      <c r="X54" s="159" t="str">
        <f t="shared" si="56"/>
        <v/>
      </c>
      <c r="Y54" s="159" t="str">
        <f t="shared" si="56"/>
        <v/>
      </c>
      <c r="Z54" s="159" t="str">
        <f t="shared" si="56"/>
        <v/>
      </c>
      <c r="AA54" s="159" t="str">
        <f t="shared" si="56"/>
        <v/>
      </c>
      <c r="AB54" s="159" t="str">
        <f t="shared" si="56"/>
        <v/>
      </c>
      <c r="AC54" s="159" t="str">
        <f t="shared" si="56"/>
        <v/>
      </c>
      <c r="AD54" s="159" t="str">
        <f t="shared" si="56"/>
        <v/>
      </c>
      <c r="AE54" s="159" t="str">
        <f t="shared" si="56"/>
        <v/>
      </c>
      <c r="AF54" s="159" t="str">
        <f t="shared" si="56"/>
        <v/>
      </c>
      <c r="AG54" s="159" t="str">
        <f t="shared" si="56"/>
        <v/>
      </c>
      <c r="AH54" s="159" t="str">
        <f t="shared" si="56"/>
        <v/>
      </c>
      <c r="AI54" s="159" t="str">
        <f t="shared" si="56"/>
        <v/>
      </c>
      <c r="AJ54" s="161" t="str">
        <f t="shared" si="56"/>
        <v/>
      </c>
      <c r="AK54" s="162" t="str">
        <f t="shared" si="56"/>
        <v/>
      </c>
      <c r="AL54" s="163" t="str">
        <f t="shared" si="56"/>
        <v/>
      </c>
      <c r="AM54" s="163" t="str">
        <f t="shared" si="56"/>
        <v/>
      </c>
      <c r="AN54" s="163" t="str">
        <f t="shared" si="56"/>
        <v/>
      </c>
      <c r="AO54" s="163" t="str">
        <f t="shared" si="56"/>
        <v/>
      </c>
      <c r="AP54" s="163" t="str">
        <f t="shared" si="56"/>
        <v/>
      </c>
      <c r="AQ54" s="164" t="str">
        <f t="shared" si="56"/>
        <v/>
      </c>
      <c r="AR54" s="161" t="str">
        <f t="shared" si="56"/>
        <v/>
      </c>
    </row>
    <row r="55" spans="1:44" x14ac:dyDescent="0.25">
      <c r="A55" s="178" t="str">
        <f t="shared" ref="A55" si="57">+IF(C55+C56=0,"[ocultar]","")</f>
        <v>[ocultar]</v>
      </c>
      <c r="B55" s="166" t="s">
        <v>394</v>
      </c>
      <c r="C55" s="167">
        <f t="array" ref="C55">SUM(IF($B55=DATOS_[Sexo],
IF($B54=DATOS_[AGRUP. VALOR. PTO.],
IF("Dentro"=DATOS_[Check Periodo Ref.],
1/(COUNTIFS(DATOS_[Sexo],$B55,DATOS_[AGRUP. VALOR. PTO.],$B54,DATOS_[Check Periodo Ref.],"Dentro",DATOS_[id/cod],DATOS_[id/cod]))))))</f>
        <v>0</v>
      </c>
      <c r="D55" s="168">
        <f>COUNTIFS(DATOS_[AGRUP. VALOR. PTO.],$B54,DATOS_[Sexo],$B55,DATOS_[Check Periodo Ref.],"Dentro")</f>
        <v>0</v>
      </c>
      <c r="E55" s="169">
        <f t="array" ref="E55">IFERROR(
MEDIAN(IF(DATOS_[Sexo]=$B55,IF(DATOS_[AGRUP. VALOR. PTO.]=$B54,IF(DATOS_[Check Periodo Ref.]="Dentro",DATOS_[SALARIO BASE Ef],FALSE)))),
0)</f>
        <v>0</v>
      </c>
      <c r="F55" s="170">
        <f t="array" ref="F55">IFERROR(
MEDIAN((IF(DATOS_[[Sexo]:[Sexo]]=$B55,IF(DATOS_[[AGRUP. VALOR. PTO.]:[AGRUP. VALOR. PTO.]]=$B54,IF(DATOS_[[Check Periodo Ref.]:[Check Periodo Ref.]]="Dentro",DATOS_[Conc.Sal.01]))))),
0)</f>
        <v>0</v>
      </c>
      <c r="G55" s="170">
        <f t="array" ref="G55">IFERROR(
MEDIAN((IF(DATOS_[[Sexo]:[Sexo]]=$B55,IF(DATOS_[[AGRUP. VALOR. PTO.]:[AGRUP. VALOR. PTO.]]=$B54,IF(DATOS_[[Check Periodo Ref.]:[Check Periodo Ref.]]="Dentro",DATOS_[Conc.Sal.02]))))),
0)</f>
        <v>0</v>
      </c>
      <c r="H55" s="170">
        <f t="array" ref="H55">IFERROR(
MEDIAN((IF(DATOS_[[Sexo]:[Sexo]]=$B55,IF(DATOS_[[AGRUP. VALOR. PTO.]:[AGRUP. VALOR. PTO.]]=$B54,IF(DATOS_[[Check Periodo Ref.]:[Check Periodo Ref.]]="Dentro",DATOS_[Conc.Sal.03]))))),
0)</f>
        <v>0</v>
      </c>
      <c r="I55" s="170">
        <f t="array" ref="I55">IFERROR(
MEDIAN((IF(DATOS_[[Sexo]:[Sexo]]=$B55,IF(DATOS_[[AGRUP. VALOR. PTO.]:[AGRUP. VALOR. PTO.]]=$B54,IF(DATOS_[[Check Periodo Ref.]:[Check Periodo Ref.]]="Dentro",DATOS_[Conc.Sal.04]))))),
0)</f>
        <v>0</v>
      </c>
      <c r="J55" s="170">
        <f t="array" ref="J55">IFERROR(
MEDIAN((IF(DATOS_[[Sexo]:[Sexo]]=$B55,IF(DATOS_[[AGRUP. VALOR. PTO.]:[AGRUP. VALOR. PTO.]]=$B54,IF(DATOS_[[Check Periodo Ref.]:[Check Periodo Ref.]]="Dentro",DATOS_[Conc.Sal.05]))))),
0)</f>
        <v>0</v>
      </c>
      <c r="K55" s="170">
        <f t="array" ref="K55">IFERROR(
MEDIAN((IF(DATOS_[[Sexo]:[Sexo]]=$B55,IF(DATOS_[[AGRUP. VALOR. PTO.]:[AGRUP. VALOR. PTO.]]=$B54,IF(DATOS_[[Check Periodo Ref.]:[Check Periodo Ref.]]="Dentro",DATOS_[Conc.Sal.06]))))),
0)</f>
        <v>0</v>
      </c>
      <c r="L55" s="170">
        <f t="array" ref="L55">IFERROR(
MEDIAN((IF(DATOS_[[Sexo]:[Sexo]]=$B55,IF(DATOS_[[AGRUP. VALOR. PTO.]:[AGRUP. VALOR. PTO.]]=$B54,IF(DATOS_[[Check Periodo Ref.]:[Check Periodo Ref.]]="Dentro",DATOS_[Conc.Sal.07]))))),
0)</f>
        <v>0</v>
      </c>
      <c r="M55" s="170">
        <f t="array" ref="M55">IFERROR(
MEDIAN((IF(DATOS_[[Sexo]:[Sexo]]=$B55,IF(DATOS_[[AGRUP. VALOR. PTO.]:[AGRUP. VALOR. PTO.]]=$B54,IF(DATOS_[[Check Periodo Ref.]:[Check Periodo Ref.]]="Dentro",DATOS_[Conc.Sal.08]))))),
0)</f>
        <v>0</v>
      </c>
      <c r="N55" s="170">
        <f t="array" ref="N55">IFERROR(
MEDIAN((IF(DATOS_[[Sexo]:[Sexo]]=$B55,IF(DATOS_[[AGRUP. VALOR. PTO.]:[AGRUP. VALOR. PTO.]]=$B54,IF(DATOS_[[Check Periodo Ref.]:[Check Periodo Ref.]]="Dentro",DATOS_[Conc.Sal.09]))))),
0)</f>
        <v>0</v>
      </c>
      <c r="O55" s="170">
        <f t="array" ref="O55">IFERROR(
MEDIAN((IF(DATOS_[[Sexo]:[Sexo]]=$B55,IF(DATOS_[[AGRUP. VALOR. PTO.]:[AGRUP. VALOR. PTO.]]=$B54,IF(DATOS_[[Check Periodo Ref.]:[Check Periodo Ref.]]="Dentro",DATOS_[Conc.Sal.10]))))),
0)</f>
        <v>0</v>
      </c>
      <c r="P55" s="170">
        <f t="array" ref="P55">IFERROR(
MEDIAN((IF(DATOS_[[Sexo]:[Sexo]]=$B55,IF(DATOS_[[AGRUP. VALOR. PTO.]:[AGRUP. VALOR. PTO.]]=$B54,IF(DATOS_[[Check Periodo Ref.]:[Check Periodo Ref.]]="Dentro",DATOS_[Conc.Sal.11]))))),
0)</f>
        <v>0</v>
      </c>
      <c r="Q55" s="170">
        <f t="array" ref="Q55">IFERROR(
MEDIAN((IF(DATOS_[[Sexo]:[Sexo]]=$B55,IF(DATOS_[[AGRUP. VALOR. PTO.]:[AGRUP. VALOR. PTO.]]=$B54,IF(DATOS_[[Check Periodo Ref.]:[Check Periodo Ref.]]="Dentro",DATOS_[Conc.Sal.12]))))),
0)</f>
        <v>0</v>
      </c>
      <c r="R55" s="170">
        <f t="array" ref="R55">IFERROR(
MEDIAN((IF(DATOS_[[Sexo]:[Sexo]]=$B55,IF(DATOS_[[AGRUP. VALOR. PTO.]:[AGRUP. VALOR. PTO.]]=$B54,IF(DATOS_[[Check Periodo Ref.]:[Check Periodo Ref.]]="Dentro",DATOS_[Conc.Sal.13]))))),
0)</f>
        <v>0</v>
      </c>
      <c r="S55" s="170">
        <f t="array" ref="S55">IFERROR(
MEDIAN((IF(DATOS_[[Sexo]:[Sexo]]=$B55,IF(DATOS_[[AGRUP. VALOR. PTO.]:[AGRUP. VALOR. PTO.]]=$B54,IF(DATOS_[[Check Periodo Ref.]:[Check Periodo Ref.]]="Dentro",DATOS_[Conc.Sal.14]))))),
0)</f>
        <v>0</v>
      </c>
      <c r="T55" s="170">
        <f t="array" ref="T55">IFERROR(
MEDIAN((IF(DATOS_[[Sexo]:[Sexo]]=$B55,IF(DATOS_[[AGRUP. VALOR. PTO.]:[AGRUP. VALOR. PTO.]]=$B54,IF(DATOS_[[Check Periodo Ref.]:[Check Periodo Ref.]]="Dentro",DATOS_[Conc.Sal.15]))))),
0)</f>
        <v>0</v>
      </c>
      <c r="U55" s="170">
        <f t="array" ref="U55">IFERROR(
MEDIAN((IF(DATOS_[[Sexo]:[Sexo]]=$B55,IF(DATOS_[[AGRUP. VALOR. PTO.]:[AGRUP. VALOR. PTO.]]=$B54,IF(DATOS_[[Check Periodo Ref.]:[Check Periodo Ref.]]="Dentro",DATOS_[Conc.Sal.16]))))),
0)</f>
        <v>0</v>
      </c>
      <c r="V55" s="170">
        <f t="array" ref="V55">IFERROR(
MEDIAN((IF(DATOS_[[Sexo]:[Sexo]]=$B55,IF(DATOS_[[AGRUP. VALOR. PTO.]:[AGRUP. VALOR. PTO.]]=$B54,IF(DATOS_[[Check Periodo Ref.]:[Check Periodo Ref.]]="Dentro",DATOS_[Conc.Sal.17]))))),
0)</f>
        <v>0</v>
      </c>
      <c r="W55" s="170">
        <f t="array" ref="W55">IFERROR(
MEDIAN((IF(DATOS_[[Sexo]:[Sexo]]=$B55,IF(DATOS_[[AGRUP. VALOR. PTO.]:[AGRUP. VALOR. PTO.]]=$B54,IF(DATOS_[[Check Periodo Ref.]:[Check Periodo Ref.]]="Dentro",DATOS_[Conc.Sal.18]))))),
0)</f>
        <v>0</v>
      </c>
      <c r="X55" s="170">
        <f t="array" ref="X55">IFERROR(
MEDIAN((IF(DATOS_[[Sexo]:[Sexo]]=$B55,IF(DATOS_[[AGRUP. VALOR. PTO.]:[AGRUP. VALOR. PTO.]]=$B54,IF(DATOS_[[Check Periodo Ref.]:[Check Periodo Ref.]]="Dentro",DATOS_[Conc.Sal.19]))))),
0)</f>
        <v>0</v>
      </c>
      <c r="Y55" s="170">
        <f t="array" ref="Y55">IFERROR(
MEDIAN((IF(DATOS_[[Sexo]:[Sexo]]=$B55,IF(DATOS_[[AGRUP. VALOR. PTO.]:[AGRUP. VALOR. PTO.]]=$B54,IF(DATOS_[[Check Periodo Ref.]:[Check Periodo Ref.]]="Dentro",DATOS_[Conc.Sal.20]))))),
0)</f>
        <v>0</v>
      </c>
      <c r="Z55" s="170">
        <f t="array" ref="Z55">IFERROR(
MEDIAN((IF(DATOS_[[Sexo]:[Sexo]]=$B55,IF(DATOS_[[AGRUP. VALOR. PTO.]:[AGRUP. VALOR. PTO.]]=$B54,IF(DATOS_[[Check Periodo Ref.]:[Check Periodo Ref.]]="Dentro",DATOS_[Conc.Sal.21]))))),
0)</f>
        <v>0</v>
      </c>
      <c r="AA55" s="170">
        <f t="array" ref="AA55">IFERROR(
MEDIAN((IF(DATOS_[[Sexo]:[Sexo]]=$B55,IF(DATOS_[[AGRUP. VALOR. PTO.]:[AGRUP. VALOR. PTO.]]=$B54,IF(DATOS_[[Check Periodo Ref.]:[Check Periodo Ref.]]="Dentro",DATOS_[Conc.Sal.22]))))),
0)</f>
        <v>0</v>
      </c>
      <c r="AB55" s="170">
        <f t="array" ref="AB55">IFERROR(
MEDIAN((IF(DATOS_[[Sexo]:[Sexo]]=$B55,IF(DATOS_[[AGRUP. VALOR. PTO.]:[AGRUP. VALOR. PTO.]]=$B54,IF(DATOS_[[Check Periodo Ref.]:[Check Periodo Ref.]]="Dentro",DATOS_[Conc.Sal.23]))))),
0)</f>
        <v>0</v>
      </c>
      <c r="AC55" s="170">
        <f t="array" ref="AC55">IFERROR(
MEDIAN((IF(DATOS_[[Sexo]:[Sexo]]=$B55,IF(DATOS_[[AGRUP. VALOR. PTO.]:[AGRUP. VALOR. PTO.]]=$B54,IF(DATOS_[[Check Periodo Ref.]:[Check Periodo Ref.]]="Dentro",DATOS_[Conc.Sal.24]))))),
0)</f>
        <v>0</v>
      </c>
      <c r="AD55" s="170">
        <f t="array" ref="AD55">IFERROR(
MEDIAN((IF(DATOS_[[Sexo]:[Sexo]]=$B55,IF(DATOS_[[AGRUP. VALOR. PTO.]:[AGRUP. VALOR. PTO.]]=$B54,IF(DATOS_[[Check Periodo Ref.]:[Check Periodo Ref.]]="Dentro",DATOS_[Conc.Sal.25]))))),
0)</f>
        <v>0</v>
      </c>
      <c r="AE55" s="170">
        <f t="array" ref="AE55">IFERROR(
MEDIAN((IF(DATOS_[[Sexo]:[Sexo]]=$B55,IF(DATOS_[[AGRUP. VALOR. PTO.]:[AGRUP. VALOR. PTO.]]=$B54,IF(DATOS_[[Check Periodo Ref.]:[Check Periodo Ref.]]="Dentro",DATOS_[Conc.Sal.26]))))),
0)</f>
        <v>0</v>
      </c>
      <c r="AF55" s="170">
        <f t="array" ref="AF55">IFERROR(
MEDIAN((IF(DATOS_[[Sexo]:[Sexo]]=$B55,IF(DATOS_[[AGRUP. VALOR. PTO.]:[AGRUP. VALOR. PTO.]]=$B54,IF(DATOS_[[Check Periodo Ref.]:[Check Periodo Ref.]]="Dentro",DATOS_[Conc.Sal.27]))))),
0)</f>
        <v>0</v>
      </c>
      <c r="AG55" s="170">
        <f t="array" ref="AG55">IFERROR(
MEDIAN((IF(DATOS_[[Sexo]:[Sexo]]=$B55,IF(DATOS_[[AGRUP. VALOR. PTO.]:[AGRUP. VALOR. PTO.]]=$B54,IF(DATOS_[[Check Periodo Ref.]:[Check Periodo Ref.]]="Dentro",DATOS_[Conc.Sal.28]))))),
0)</f>
        <v>0</v>
      </c>
      <c r="AH55" s="170">
        <f t="array" ref="AH55">IFERROR(
MEDIAN((IF(DATOS_[[Sexo]:[Sexo]]=$B55,IF(DATOS_[[AGRUP. VALOR. PTO.]:[AGRUP. VALOR. PTO.]]=$B54,IF(DATOS_[[Check Periodo Ref.]:[Check Periodo Ref.]]="Dentro",DATOS_[Conc.Sal.29]))))),
0)</f>
        <v>0</v>
      </c>
      <c r="AI55" s="170">
        <f t="array" ref="AI55">IFERROR(
MEDIAN((IF(DATOS_[[Sexo]:[Sexo]]=$B55,IF(DATOS_[[AGRUP. VALOR. PTO.]:[AGRUP. VALOR. PTO.]]=$B54,IF(DATOS_[[Check Periodo Ref.]:[Check Periodo Ref.]]="Dentro",DATOS_[Conc.Sal.30]))))),
0)</f>
        <v>0</v>
      </c>
      <c r="AJ55" s="171">
        <f t="array" ref="AJ55">IFERROR(
MEDIAN(IF(DATOS_[Sexo]=$B55,IF(DATOS_[AGRUP. VALOR. PTO.]=$B54,IF(DATOS_[Check Periodo Ref.]="Dentro",DATOS_[Tot COMPL.SAL Ef],FALSE)))),
0)</f>
        <v>0</v>
      </c>
      <c r="AK55" s="172">
        <f t="array" ref="AK55">IFERROR(
MEDIAN(IF(DATOS_[Sexo]=$B55,IF(DATOS_[AGRUP. VALOR. PTO.]=$B54,IF(DATOS_[Check Periodo Ref.]="Dentro",DATOS_[TOTAL SALARIO Ef],FALSE)))),
0)</f>
        <v>0</v>
      </c>
      <c r="AL55" s="173">
        <f t="array" ref="AL55">IFERROR(
MEDIAN((IF(DATOS_[[Sexo]:[Sexo]]=$B55,IF(DATOS_[[AGRUP. VALOR. PTO.]:[AGRUP. VALOR. PTO.]]=$B54,IF(DATOS_[[Check Periodo Ref.]:[Check Periodo Ref.]]="Dentro",DATOS_[C.Extra.01]))))),
0)</f>
        <v>0</v>
      </c>
      <c r="AM55" s="173">
        <f t="array" ref="AM55">IFERROR(
MEDIAN((IF(DATOS_[[Sexo]:[Sexo]]=$B55,IF(DATOS_[[AGRUP. VALOR. PTO.]:[AGRUP. VALOR. PTO.]]=$B54,IF(DATOS_[[Check Periodo Ref.]:[Check Periodo Ref.]]="Dentro",DATOS_[C.Extra.06]))))),
0)</f>
        <v>0</v>
      </c>
      <c r="AN55" s="173">
        <f t="array" ref="AN55">IFERROR(
MEDIAN((IF(DATOS_[[Sexo]:[Sexo]]=$B55,IF(DATOS_[[AGRUP. VALOR. PTO.]:[AGRUP. VALOR. PTO.]]=$B54,IF(DATOS_[[Check Periodo Ref.]:[Check Periodo Ref.]]="Dentro",DATOS_[C.Extra.07]))))),
0)</f>
        <v>0</v>
      </c>
      <c r="AO55" s="173">
        <f t="array" ref="AO55">IFERROR(
MEDIAN((IF(DATOS_[[Sexo]:[Sexo]]=$B55,IF(DATOS_[[AGRUP. VALOR. PTO.]:[AGRUP. VALOR. PTO.]]=$B54,IF(DATOS_[[Check Periodo Ref.]:[Check Periodo Ref.]]="Dentro",DATOS_[C.Extra.08]))))),
0)</f>
        <v>0</v>
      </c>
      <c r="AP55" s="173">
        <f t="array" ref="AP55">IFERROR(
MEDIAN((IF(DATOS_[[Sexo]:[Sexo]]=$B55,IF(DATOS_[[AGRUP. VALOR. PTO.]:[AGRUP. VALOR. PTO.]]=$B54,IF(DATOS_[[Check Periodo Ref.]:[Check Periodo Ref.]]="Dentro",DATOS_[C.Extra.11]))))),
0)</f>
        <v>0</v>
      </c>
      <c r="AQ55" s="174">
        <f t="array" ref="AQ55">IFERROR(
MEDIAN(IF(DATOS_[Sexo]=$B55,IF(DATOS_[AGRUP. VALOR. PTO.]=$B54,IF(DATOS_[Check Periodo Ref.]="Dentro",DATOS_[Tot Extrasalarial Ef],FALSE)))),
0)</f>
        <v>0</v>
      </c>
      <c r="AR55" s="171">
        <f t="array" ref="AR55">IFERROR(
MEDIAN(IF(DATOS_[Sexo]=$B55,IF(DATOS_[AGRUP. VALOR. PTO.]=$B54,IF(DATOS_[Check Periodo Ref.]="Dentro",DATOS_[TOTAL Retrib Ef],FALSE)))),
0)</f>
        <v>0</v>
      </c>
    </row>
    <row r="56" spans="1:44" x14ac:dyDescent="0.25">
      <c r="A56" s="178" t="str">
        <f t="shared" ref="A56" si="58">+A55</f>
        <v>[ocultar]</v>
      </c>
      <c r="B56" s="166" t="s">
        <v>521</v>
      </c>
      <c r="C56" s="167">
        <f t="array" ref="C56">SUM(IF($B56=DATOS_[Sexo],
IF($B54=DATOS_[AGRUP. VALOR. PTO.],
IF("Dentro"=DATOS_[Check Periodo Ref.],
1/(COUNTIFS(DATOS_[Sexo],$B56,DATOS_[AGRUP. VALOR. PTO.],$B54,DATOS_[Check Periodo Ref.],"Dentro",DATOS_[id/cod],DATOS_[id/cod]))))))</f>
        <v>0</v>
      </c>
      <c r="D56" s="168">
        <f>COUNTIFS(DATOS_[AGRUP. VALOR. PTO.],$B54,DATOS_[Sexo],$B56,DATOS_[Check Periodo Ref.],"Dentro")</f>
        <v>0</v>
      </c>
      <c r="E56" s="169">
        <f t="array" ref="E56">IFERROR(
MEDIAN(IF(DATOS_[Sexo]=$B56,IF(DATOS_[AGRUP. VALOR. PTO.]=$B54,IF(DATOS_[Check Periodo Ref.]="Dentro",DATOS_[SALARIO BASE Ef],FALSE)))),
0)</f>
        <v>0</v>
      </c>
      <c r="F56" s="170">
        <f t="array" ref="F56">IFERROR(
MEDIAN((IF(DATOS_[[Sexo]:[Sexo]]=$B56,IF(DATOS_[[AGRUP. VALOR. PTO.]:[AGRUP. VALOR. PTO.]]=$B54,IF(DATOS_[[Check Periodo Ref.]:[Check Periodo Ref.]]="Dentro",DATOS_[Conc.Sal.01]))))),
0)</f>
        <v>0</v>
      </c>
      <c r="G56" s="170">
        <f t="array" ref="G56">IFERROR(
MEDIAN((IF(DATOS_[[Sexo]:[Sexo]]=$B56,IF(DATOS_[[AGRUP. VALOR. PTO.]:[AGRUP. VALOR. PTO.]]=$B54,IF(DATOS_[[Check Periodo Ref.]:[Check Periodo Ref.]]="Dentro",DATOS_[Conc.Sal.02]))))),
0)</f>
        <v>0</v>
      </c>
      <c r="H56" s="170">
        <f t="array" ref="H56">IFERROR(
MEDIAN((IF(DATOS_[[Sexo]:[Sexo]]=$B56,IF(DATOS_[[AGRUP. VALOR. PTO.]:[AGRUP. VALOR. PTO.]]=$B54,IF(DATOS_[[Check Periodo Ref.]:[Check Periodo Ref.]]="Dentro",DATOS_[Conc.Sal.03]))))),
0)</f>
        <v>0</v>
      </c>
      <c r="I56" s="170">
        <f t="array" ref="I56">IFERROR(
MEDIAN((IF(DATOS_[[Sexo]:[Sexo]]=$B56,IF(DATOS_[[AGRUP. VALOR. PTO.]:[AGRUP. VALOR. PTO.]]=$B54,IF(DATOS_[[Check Periodo Ref.]:[Check Periodo Ref.]]="Dentro",DATOS_[Conc.Sal.04]))))),
0)</f>
        <v>0</v>
      </c>
      <c r="J56" s="170">
        <f t="array" ref="J56">IFERROR(
MEDIAN((IF(DATOS_[[Sexo]:[Sexo]]=$B56,IF(DATOS_[[AGRUP. VALOR. PTO.]:[AGRUP. VALOR. PTO.]]=$B54,IF(DATOS_[[Check Periodo Ref.]:[Check Periodo Ref.]]="Dentro",DATOS_[Conc.Sal.05]))))),
0)</f>
        <v>0</v>
      </c>
      <c r="K56" s="170">
        <f t="array" ref="K56">IFERROR(
MEDIAN((IF(DATOS_[[Sexo]:[Sexo]]=$B56,IF(DATOS_[[AGRUP. VALOR. PTO.]:[AGRUP. VALOR. PTO.]]=$B54,IF(DATOS_[[Check Periodo Ref.]:[Check Periodo Ref.]]="Dentro",DATOS_[Conc.Sal.06]))))),
0)</f>
        <v>0</v>
      </c>
      <c r="L56" s="170">
        <f t="array" ref="L56">IFERROR(
MEDIAN((IF(DATOS_[[Sexo]:[Sexo]]=$B56,IF(DATOS_[[AGRUP. VALOR. PTO.]:[AGRUP. VALOR. PTO.]]=$B54,IF(DATOS_[[Check Periodo Ref.]:[Check Periodo Ref.]]="Dentro",DATOS_[Conc.Sal.07]))))),
0)</f>
        <v>0</v>
      </c>
      <c r="M56" s="170">
        <f t="array" ref="M56">IFERROR(
MEDIAN((IF(DATOS_[[Sexo]:[Sexo]]=$B56,IF(DATOS_[[AGRUP. VALOR. PTO.]:[AGRUP. VALOR. PTO.]]=$B54,IF(DATOS_[[Check Periodo Ref.]:[Check Periodo Ref.]]="Dentro",DATOS_[Conc.Sal.08]))))),
0)</f>
        <v>0</v>
      </c>
      <c r="N56" s="170">
        <f t="array" ref="N56">IFERROR(
MEDIAN((IF(DATOS_[[Sexo]:[Sexo]]=$B56,IF(DATOS_[[AGRUP. VALOR. PTO.]:[AGRUP. VALOR. PTO.]]=$B54,IF(DATOS_[[Check Periodo Ref.]:[Check Periodo Ref.]]="Dentro",DATOS_[Conc.Sal.09]))))),
0)</f>
        <v>0</v>
      </c>
      <c r="O56" s="170">
        <f t="array" ref="O56">IFERROR(
MEDIAN((IF(DATOS_[[Sexo]:[Sexo]]=$B56,IF(DATOS_[[AGRUP. VALOR. PTO.]:[AGRUP. VALOR. PTO.]]=$B54,IF(DATOS_[[Check Periodo Ref.]:[Check Periodo Ref.]]="Dentro",DATOS_[Conc.Sal.10]))))),
0)</f>
        <v>0</v>
      </c>
      <c r="P56" s="170">
        <f t="array" ref="P56">IFERROR(
MEDIAN((IF(DATOS_[[Sexo]:[Sexo]]=$B56,IF(DATOS_[[AGRUP. VALOR. PTO.]:[AGRUP. VALOR. PTO.]]=$B54,IF(DATOS_[[Check Periodo Ref.]:[Check Periodo Ref.]]="Dentro",DATOS_[Conc.Sal.11]))))),
0)</f>
        <v>0</v>
      </c>
      <c r="Q56" s="170">
        <f t="array" ref="Q56">IFERROR(
MEDIAN((IF(DATOS_[[Sexo]:[Sexo]]=$B56,IF(DATOS_[[AGRUP. VALOR. PTO.]:[AGRUP. VALOR. PTO.]]=$B54,IF(DATOS_[[Check Periodo Ref.]:[Check Periodo Ref.]]="Dentro",DATOS_[Conc.Sal.12]))))),
0)</f>
        <v>0</v>
      </c>
      <c r="R56" s="170">
        <f t="array" ref="R56">IFERROR(
MEDIAN((IF(DATOS_[[Sexo]:[Sexo]]=$B56,IF(DATOS_[[AGRUP. VALOR. PTO.]:[AGRUP. VALOR. PTO.]]=$B54,IF(DATOS_[[Check Periodo Ref.]:[Check Periodo Ref.]]="Dentro",DATOS_[Conc.Sal.13]))))),
0)</f>
        <v>0</v>
      </c>
      <c r="S56" s="170">
        <f t="array" ref="S56">IFERROR(
MEDIAN((IF(DATOS_[[Sexo]:[Sexo]]=$B56,IF(DATOS_[[AGRUP. VALOR. PTO.]:[AGRUP. VALOR. PTO.]]=$B54,IF(DATOS_[[Check Periodo Ref.]:[Check Periodo Ref.]]="Dentro",DATOS_[Conc.Sal.14]))))),
0)</f>
        <v>0</v>
      </c>
      <c r="T56" s="170">
        <f t="array" ref="T56">IFERROR(
MEDIAN((IF(DATOS_[[Sexo]:[Sexo]]=$B56,IF(DATOS_[[AGRUP. VALOR. PTO.]:[AGRUP. VALOR. PTO.]]=$B54,IF(DATOS_[[Check Periodo Ref.]:[Check Periodo Ref.]]="Dentro",DATOS_[Conc.Sal.15]))))),
0)</f>
        <v>0</v>
      </c>
      <c r="U56" s="170">
        <f t="array" ref="U56">IFERROR(
MEDIAN((IF(DATOS_[[Sexo]:[Sexo]]=$B56,IF(DATOS_[[AGRUP. VALOR. PTO.]:[AGRUP. VALOR. PTO.]]=$B54,IF(DATOS_[[Check Periodo Ref.]:[Check Periodo Ref.]]="Dentro",DATOS_[Conc.Sal.16]))))),
0)</f>
        <v>0</v>
      </c>
      <c r="V56" s="170">
        <f t="array" ref="V56">IFERROR(
MEDIAN((IF(DATOS_[[Sexo]:[Sexo]]=$B56,IF(DATOS_[[AGRUP. VALOR. PTO.]:[AGRUP. VALOR. PTO.]]=$B54,IF(DATOS_[[Check Periodo Ref.]:[Check Periodo Ref.]]="Dentro",DATOS_[Conc.Sal.17]))))),
0)</f>
        <v>0</v>
      </c>
      <c r="W56" s="170">
        <f t="array" ref="W56">IFERROR(
MEDIAN((IF(DATOS_[[Sexo]:[Sexo]]=$B56,IF(DATOS_[[AGRUP. VALOR. PTO.]:[AGRUP. VALOR. PTO.]]=$B54,IF(DATOS_[[Check Periodo Ref.]:[Check Periodo Ref.]]="Dentro",DATOS_[Conc.Sal.18]))))),
0)</f>
        <v>0</v>
      </c>
      <c r="X56" s="170">
        <f t="array" ref="X56">IFERROR(
MEDIAN((IF(DATOS_[[Sexo]:[Sexo]]=$B56,IF(DATOS_[[AGRUP. VALOR. PTO.]:[AGRUP. VALOR. PTO.]]=$B54,IF(DATOS_[[Check Periodo Ref.]:[Check Periodo Ref.]]="Dentro",DATOS_[Conc.Sal.19]))))),
0)</f>
        <v>0</v>
      </c>
      <c r="Y56" s="170">
        <f t="array" ref="Y56">IFERROR(
MEDIAN((IF(DATOS_[[Sexo]:[Sexo]]=$B56,IF(DATOS_[[AGRUP. VALOR. PTO.]:[AGRUP. VALOR. PTO.]]=$B54,IF(DATOS_[[Check Periodo Ref.]:[Check Periodo Ref.]]="Dentro",DATOS_[Conc.Sal.20]))))),
0)</f>
        <v>0</v>
      </c>
      <c r="Z56" s="170">
        <f t="array" ref="Z56">IFERROR(
MEDIAN((IF(DATOS_[[Sexo]:[Sexo]]=$B56,IF(DATOS_[[AGRUP. VALOR. PTO.]:[AGRUP. VALOR. PTO.]]=$B54,IF(DATOS_[[Check Periodo Ref.]:[Check Periodo Ref.]]="Dentro",DATOS_[Conc.Sal.21]))))),
0)</f>
        <v>0</v>
      </c>
      <c r="AA56" s="170">
        <f t="array" ref="AA56">IFERROR(
MEDIAN((IF(DATOS_[[Sexo]:[Sexo]]=$B56,IF(DATOS_[[AGRUP. VALOR. PTO.]:[AGRUP. VALOR. PTO.]]=$B54,IF(DATOS_[[Check Periodo Ref.]:[Check Periodo Ref.]]="Dentro",DATOS_[Conc.Sal.22]))))),
0)</f>
        <v>0</v>
      </c>
      <c r="AB56" s="170">
        <f t="array" ref="AB56">IFERROR(
MEDIAN((IF(DATOS_[[Sexo]:[Sexo]]=$B56,IF(DATOS_[[AGRUP. VALOR. PTO.]:[AGRUP. VALOR. PTO.]]=$B54,IF(DATOS_[[Check Periodo Ref.]:[Check Periodo Ref.]]="Dentro",DATOS_[Conc.Sal.23]))))),
0)</f>
        <v>0</v>
      </c>
      <c r="AC56" s="170">
        <f t="array" ref="AC56">IFERROR(
MEDIAN((IF(DATOS_[[Sexo]:[Sexo]]=$B56,IF(DATOS_[[AGRUP. VALOR. PTO.]:[AGRUP. VALOR. PTO.]]=$B54,IF(DATOS_[[Check Periodo Ref.]:[Check Periodo Ref.]]="Dentro",DATOS_[Conc.Sal.24]))))),
0)</f>
        <v>0</v>
      </c>
      <c r="AD56" s="170">
        <f t="array" ref="AD56">IFERROR(
MEDIAN((IF(DATOS_[[Sexo]:[Sexo]]=$B56,IF(DATOS_[[AGRUP. VALOR. PTO.]:[AGRUP. VALOR. PTO.]]=$B54,IF(DATOS_[[Check Periodo Ref.]:[Check Periodo Ref.]]="Dentro",DATOS_[Conc.Sal.25]))))),
0)</f>
        <v>0</v>
      </c>
      <c r="AE56" s="170">
        <f t="array" ref="AE56">IFERROR(
MEDIAN((IF(DATOS_[[Sexo]:[Sexo]]=$B56,IF(DATOS_[[AGRUP. VALOR. PTO.]:[AGRUP. VALOR. PTO.]]=$B54,IF(DATOS_[[Check Periodo Ref.]:[Check Periodo Ref.]]="Dentro",DATOS_[Conc.Sal.26]))))),
0)</f>
        <v>0</v>
      </c>
      <c r="AF56" s="170">
        <f t="array" ref="AF56">IFERROR(
MEDIAN((IF(DATOS_[[Sexo]:[Sexo]]=$B56,IF(DATOS_[[AGRUP. VALOR. PTO.]:[AGRUP. VALOR. PTO.]]=$B54,IF(DATOS_[[Check Periodo Ref.]:[Check Periodo Ref.]]="Dentro",DATOS_[Conc.Sal.27]))))),
0)</f>
        <v>0</v>
      </c>
      <c r="AG56" s="170">
        <f t="array" ref="AG56">IFERROR(
MEDIAN((IF(DATOS_[[Sexo]:[Sexo]]=$B56,IF(DATOS_[[AGRUP. VALOR. PTO.]:[AGRUP. VALOR. PTO.]]=$B54,IF(DATOS_[[Check Periodo Ref.]:[Check Periodo Ref.]]="Dentro",DATOS_[Conc.Sal.28]))))),
0)</f>
        <v>0</v>
      </c>
      <c r="AH56" s="170">
        <f t="array" ref="AH56">IFERROR(
MEDIAN((IF(DATOS_[[Sexo]:[Sexo]]=$B56,IF(DATOS_[[AGRUP. VALOR. PTO.]:[AGRUP. VALOR. PTO.]]=$B54,IF(DATOS_[[Check Periodo Ref.]:[Check Periodo Ref.]]="Dentro",DATOS_[Conc.Sal.29]))))),
0)</f>
        <v>0</v>
      </c>
      <c r="AI56" s="170">
        <f t="array" ref="AI56">IFERROR(
MEDIAN((IF(DATOS_[[Sexo]:[Sexo]]=$B56,IF(DATOS_[[AGRUP. VALOR. PTO.]:[AGRUP. VALOR. PTO.]]=$B54,IF(DATOS_[[Check Periodo Ref.]:[Check Periodo Ref.]]="Dentro",DATOS_[Conc.Sal.30]))))),
0)</f>
        <v>0</v>
      </c>
      <c r="AJ56" s="171">
        <f t="array" ref="AJ56">IFERROR(
MEDIAN(IF(DATOS_[Sexo]=$B56,IF(DATOS_[AGRUP. VALOR. PTO.]=$B54,IF(DATOS_[Check Periodo Ref.]="Dentro",DATOS_[Tot COMPL.SAL Ef],FALSE)))),
0)</f>
        <v>0</v>
      </c>
      <c r="AK56" s="172">
        <f t="array" ref="AK56">IFERROR(
MEDIAN(IF(DATOS_[Sexo]=$B56,IF(DATOS_[AGRUP. VALOR. PTO.]=$B54,IF(DATOS_[Check Periodo Ref.]="Dentro",DATOS_[TOTAL SALARIO Ef],FALSE)))),
0)</f>
        <v>0</v>
      </c>
      <c r="AL56" s="173">
        <f t="array" ref="AL56">IFERROR(
MEDIAN((IF(DATOS_[[Sexo]:[Sexo]]=$B56,IF(DATOS_[[AGRUP. VALOR. PTO.]:[AGRUP. VALOR. PTO.]]=$B54,IF(DATOS_[[Check Periodo Ref.]:[Check Periodo Ref.]]="Dentro",DATOS_[C.Extra.01]))))),
0)</f>
        <v>0</v>
      </c>
      <c r="AM56" s="173">
        <f t="array" ref="AM56">IFERROR(
MEDIAN((IF(DATOS_[[Sexo]:[Sexo]]=$B56,IF(DATOS_[[AGRUP. VALOR. PTO.]:[AGRUP. VALOR. PTO.]]=$B54,IF(DATOS_[[Check Periodo Ref.]:[Check Periodo Ref.]]="Dentro",DATOS_[C.Extra.06]))))),
0)</f>
        <v>0</v>
      </c>
      <c r="AN56" s="173">
        <f t="array" ref="AN56">IFERROR(
MEDIAN((IF(DATOS_[[Sexo]:[Sexo]]=$B56,IF(DATOS_[[AGRUP. VALOR. PTO.]:[AGRUP. VALOR. PTO.]]=$B54,IF(DATOS_[[Check Periodo Ref.]:[Check Periodo Ref.]]="Dentro",DATOS_[C.Extra.07]))))),
0)</f>
        <v>0</v>
      </c>
      <c r="AO56" s="173">
        <f t="array" ref="AO56">IFERROR(
MEDIAN((IF(DATOS_[[Sexo]:[Sexo]]=$B56,IF(DATOS_[[AGRUP. VALOR. PTO.]:[AGRUP. VALOR. PTO.]]=$B54,IF(DATOS_[[Check Periodo Ref.]:[Check Periodo Ref.]]="Dentro",DATOS_[C.Extra.08]))))),
0)</f>
        <v>0</v>
      </c>
      <c r="AP56" s="173">
        <f t="array" ref="AP56">IFERROR(
MEDIAN((IF(DATOS_[[Sexo]:[Sexo]]=$B56,IF(DATOS_[[AGRUP. VALOR. PTO.]:[AGRUP. VALOR. PTO.]]=$B54,IF(DATOS_[[Check Periodo Ref.]:[Check Periodo Ref.]]="Dentro",DATOS_[C.Extra.11]))))),
0)</f>
        <v>0</v>
      </c>
      <c r="AQ56" s="174">
        <f t="array" ref="AQ56">IFERROR(
MEDIAN(IF(DATOS_[Sexo]=$B56,IF(DATOS_[AGRUP. VALOR. PTO.]=$B54,IF(DATOS_[Check Periodo Ref.]="Dentro",DATOS_[Tot Extrasalarial Ef],FALSE)))),
0)</f>
        <v>0</v>
      </c>
      <c r="AR56" s="171">
        <f t="array" ref="AR56">IFERROR(
MEDIAN(IF(DATOS_[Sexo]=$B56,IF(DATOS_[AGRUP. VALOR. PTO.]=$B54,IF(DATOS_[Check Periodo Ref.]="Dentro",DATOS_[TOTAL Retrib Ef],FALSE)))),
0)</f>
        <v>0</v>
      </c>
    </row>
    <row r="57" spans="1:44" ht="14.4" thickBot="1" x14ac:dyDescent="0.3">
      <c r="A57" s="178" t="str">
        <f t="shared" ref="A57" si="59">+A58</f>
        <v>[ocultar]</v>
      </c>
      <c r="B57" s="153" t="s">
        <v>234</v>
      </c>
      <c r="C57" s="154"/>
      <c r="D57" s="155"/>
      <c r="E57" s="156" t="str">
        <f t="shared" ref="E57:AR57" si="60">IFERROR((E58-E59)/E58,"")</f>
        <v/>
      </c>
      <c r="F57" s="157" t="str">
        <f t="shared" si="60"/>
        <v/>
      </c>
      <c r="G57" s="158" t="str">
        <f t="shared" si="60"/>
        <v/>
      </c>
      <c r="H57" s="158" t="str">
        <f t="shared" si="60"/>
        <v/>
      </c>
      <c r="I57" s="158" t="str">
        <f t="shared" si="60"/>
        <v/>
      </c>
      <c r="J57" s="159" t="str">
        <f t="shared" si="60"/>
        <v/>
      </c>
      <c r="K57" s="160" t="str">
        <f t="shared" si="60"/>
        <v/>
      </c>
      <c r="L57" s="160" t="str">
        <f t="shared" si="60"/>
        <v/>
      </c>
      <c r="M57" s="160" t="str">
        <f t="shared" si="60"/>
        <v/>
      </c>
      <c r="N57" s="160" t="str">
        <f t="shared" si="60"/>
        <v/>
      </c>
      <c r="O57" s="160" t="str">
        <f t="shared" si="60"/>
        <v/>
      </c>
      <c r="P57" s="160" t="str">
        <f t="shared" si="60"/>
        <v/>
      </c>
      <c r="Q57" s="160" t="str">
        <f t="shared" si="60"/>
        <v/>
      </c>
      <c r="R57" s="160" t="str">
        <f t="shared" si="60"/>
        <v/>
      </c>
      <c r="S57" s="160" t="str">
        <f t="shared" si="60"/>
        <v/>
      </c>
      <c r="T57" s="160" t="str">
        <f t="shared" si="60"/>
        <v/>
      </c>
      <c r="U57" s="160" t="str">
        <f t="shared" si="60"/>
        <v/>
      </c>
      <c r="V57" s="159" t="str">
        <f t="shared" si="60"/>
        <v/>
      </c>
      <c r="W57" s="159" t="str">
        <f t="shared" si="60"/>
        <v/>
      </c>
      <c r="X57" s="159" t="str">
        <f t="shared" si="60"/>
        <v/>
      </c>
      <c r="Y57" s="159" t="str">
        <f t="shared" si="60"/>
        <v/>
      </c>
      <c r="Z57" s="159" t="str">
        <f t="shared" si="60"/>
        <v/>
      </c>
      <c r="AA57" s="159" t="str">
        <f t="shared" si="60"/>
        <v/>
      </c>
      <c r="AB57" s="159" t="str">
        <f t="shared" si="60"/>
        <v/>
      </c>
      <c r="AC57" s="159" t="str">
        <f t="shared" si="60"/>
        <v/>
      </c>
      <c r="AD57" s="159" t="str">
        <f t="shared" si="60"/>
        <v/>
      </c>
      <c r="AE57" s="159" t="str">
        <f t="shared" si="60"/>
        <v/>
      </c>
      <c r="AF57" s="159" t="str">
        <f t="shared" si="60"/>
        <v/>
      </c>
      <c r="AG57" s="159" t="str">
        <f t="shared" si="60"/>
        <v/>
      </c>
      <c r="AH57" s="159" t="str">
        <f t="shared" si="60"/>
        <v/>
      </c>
      <c r="AI57" s="159" t="str">
        <f t="shared" si="60"/>
        <v/>
      </c>
      <c r="AJ57" s="161" t="str">
        <f t="shared" si="60"/>
        <v/>
      </c>
      <c r="AK57" s="162" t="str">
        <f t="shared" si="60"/>
        <v/>
      </c>
      <c r="AL57" s="163" t="str">
        <f t="shared" si="60"/>
        <v/>
      </c>
      <c r="AM57" s="163" t="str">
        <f t="shared" si="60"/>
        <v/>
      </c>
      <c r="AN57" s="163" t="str">
        <f t="shared" si="60"/>
        <v/>
      </c>
      <c r="AO57" s="163" t="str">
        <f t="shared" si="60"/>
        <v/>
      </c>
      <c r="AP57" s="163" t="str">
        <f t="shared" si="60"/>
        <v/>
      </c>
      <c r="AQ57" s="164" t="str">
        <f t="shared" si="60"/>
        <v/>
      </c>
      <c r="AR57" s="161" t="str">
        <f t="shared" si="60"/>
        <v/>
      </c>
    </row>
    <row r="58" spans="1:44" x14ac:dyDescent="0.25">
      <c r="A58" s="178" t="str">
        <f t="shared" ref="A58" si="61">+IF(C58+C59=0,"[ocultar]","")</f>
        <v>[ocultar]</v>
      </c>
      <c r="B58" s="166" t="s">
        <v>394</v>
      </c>
      <c r="C58" s="167">
        <f t="array" ref="C58">SUM(IF($B58=DATOS_[Sexo],
IF($B57=DATOS_[AGRUP. VALOR. PTO.],
IF("Dentro"=DATOS_[Check Periodo Ref.],
1/(COUNTIFS(DATOS_[Sexo],$B58,DATOS_[AGRUP. VALOR. PTO.],$B57,DATOS_[Check Periodo Ref.],"Dentro",DATOS_[id/cod],DATOS_[id/cod]))))))</f>
        <v>0</v>
      </c>
      <c r="D58" s="168">
        <f>COUNTIFS(DATOS_[AGRUP. VALOR. PTO.],$B57,DATOS_[Sexo],$B58,DATOS_[Check Periodo Ref.],"Dentro")</f>
        <v>0</v>
      </c>
      <c r="E58" s="169">
        <f t="array" ref="E58">IFERROR(
MEDIAN(IF(DATOS_[Sexo]=$B58,IF(DATOS_[AGRUP. VALOR. PTO.]=$B57,IF(DATOS_[Check Periodo Ref.]="Dentro",DATOS_[SALARIO BASE Ef],FALSE)))),
0)</f>
        <v>0</v>
      </c>
      <c r="F58" s="170">
        <f t="array" ref="F58">IFERROR(
MEDIAN((IF(DATOS_[[Sexo]:[Sexo]]=$B58,IF(DATOS_[[AGRUP. VALOR. PTO.]:[AGRUP. VALOR. PTO.]]=$B57,IF(DATOS_[[Check Periodo Ref.]:[Check Periodo Ref.]]="Dentro",DATOS_[Conc.Sal.01]))))),
0)</f>
        <v>0</v>
      </c>
      <c r="G58" s="170">
        <f t="array" ref="G58">IFERROR(
MEDIAN((IF(DATOS_[[Sexo]:[Sexo]]=$B58,IF(DATOS_[[AGRUP. VALOR. PTO.]:[AGRUP. VALOR. PTO.]]=$B57,IF(DATOS_[[Check Periodo Ref.]:[Check Periodo Ref.]]="Dentro",DATOS_[Conc.Sal.02]))))),
0)</f>
        <v>0</v>
      </c>
      <c r="H58" s="170">
        <f t="array" ref="H58">IFERROR(
MEDIAN((IF(DATOS_[[Sexo]:[Sexo]]=$B58,IF(DATOS_[[AGRUP. VALOR. PTO.]:[AGRUP. VALOR. PTO.]]=$B57,IF(DATOS_[[Check Periodo Ref.]:[Check Periodo Ref.]]="Dentro",DATOS_[Conc.Sal.03]))))),
0)</f>
        <v>0</v>
      </c>
      <c r="I58" s="170">
        <f t="array" ref="I58">IFERROR(
MEDIAN((IF(DATOS_[[Sexo]:[Sexo]]=$B58,IF(DATOS_[[AGRUP. VALOR. PTO.]:[AGRUP. VALOR. PTO.]]=$B57,IF(DATOS_[[Check Periodo Ref.]:[Check Periodo Ref.]]="Dentro",DATOS_[Conc.Sal.04]))))),
0)</f>
        <v>0</v>
      </c>
      <c r="J58" s="170">
        <f t="array" ref="J58">IFERROR(
MEDIAN((IF(DATOS_[[Sexo]:[Sexo]]=$B58,IF(DATOS_[[AGRUP. VALOR. PTO.]:[AGRUP. VALOR. PTO.]]=$B57,IF(DATOS_[[Check Periodo Ref.]:[Check Periodo Ref.]]="Dentro",DATOS_[Conc.Sal.05]))))),
0)</f>
        <v>0</v>
      </c>
      <c r="K58" s="170">
        <f t="array" ref="K58">IFERROR(
MEDIAN((IF(DATOS_[[Sexo]:[Sexo]]=$B58,IF(DATOS_[[AGRUP. VALOR. PTO.]:[AGRUP. VALOR. PTO.]]=$B57,IF(DATOS_[[Check Periodo Ref.]:[Check Periodo Ref.]]="Dentro",DATOS_[Conc.Sal.06]))))),
0)</f>
        <v>0</v>
      </c>
      <c r="L58" s="170">
        <f t="array" ref="L58">IFERROR(
MEDIAN((IF(DATOS_[[Sexo]:[Sexo]]=$B58,IF(DATOS_[[AGRUP. VALOR. PTO.]:[AGRUP. VALOR. PTO.]]=$B57,IF(DATOS_[[Check Periodo Ref.]:[Check Periodo Ref.]]="Dentro",DATOS_[Conc.Sal.07]))))),
0)</f>
        <v>0</v>
      </c>
      <c r="M58" s="170">
        <f t="array" ref="M58">IFERROR(
MEDIAN((IF(DATOS_[[Sexo]:[Sexo]]=$B58,IF(DATOS_[[AGRUP. VALOR. PTO.]:[AGRUP. VALOR. PTO.]]=$B57,IF(DATOS_[[Check Periodo Ref.]:[Check Periodo Ref.]]="Dentro",DATOS_[Conc.Sal.08]))))),
0)</f>
        <v>0</v>
      </c>
      <c r="N58" s="170">
        <f t="array" ref="N58">IFERROR(
MEDIAN((IF(DATOS_[[Sexo]:[Sexo]]=$B58,IF(DATOS_[[AGRUP. VALOR. PTO.]:[AGRUP. VALOR. PTO.]]=$B57,IF(DATOS_[[Check Periodo Ref.]:[Check Periodo Ref.]]="Dentro",DATOS_[Conc.Sal.09]))))),
0)</f>
        <v>0</v>
      </c>
      <c r="O58" s="170">
        <f t="array" ref="O58">IFERROR(
MEDIAN((IF(DATOS_[[Sexo]:[Sexo]]=$B58,IF(DATOS_[[AGRUP. VALOR. PTO.]:[AGRUP. VALOR. PTO.]]=$B57,IF(DATOS_[[Check Periodo Ref.]:[Check Periodo Ref.]]="Dentro",DATOS_[Conc.Sal.10]))))),
0)</f>
        <v>0</v>
      </c>
      <c r="P58" s="170">
        <f t="array" ref="P58">IFERROR(
MEDIAN((IF(DATOS_[[Sexo]:[Sexo]]=$B58,IF(DATOS_[[AGRUP. VALOR. PTO.]:[AGRUP. VALOR. PTO.]]=$B57,IF(DATOS_[[Check Periodo Ref.]:[Check Periodo Ref.]]="Dentro",DATOS_[Conc.Sal.11]))))),
0)</f>
        <v>0</v>
      </c>
      <c r="Q58" s="170">
        <f t="array" ref="Q58">IFERROR(
MEDIAN((IF(DATOS_[[Sexo]:[Sexo]]=$B58,IF(DATOS_[[AGRUP. VALOR. PTO.]:[AGRUP. VALOR. PTO.]]=$B57,IF(DATOS_[[Check Periodo Ref.]:[Check Periodo Ref.]]="Dentro",DATOS_[Conc.Sal.12]))))),
0)</f>
        <v>0</v>
      </c>
      <c r="R58" s="170">
        <f t="array" ref="R58">IFERROR(
MEDIAN((IF(DATOS_[[Sexo]:[Sexo]]=$B58,IF(DATOS_[[AGRUP. VALOR. PTO.]:[AGRUP. VALOR. PTO.]]=$B57,IF(DATOS_[[Check Periodo Ref.]:[Check Periodo Ref.]]="Dentro",DATOS_[Conc.Sal.13]))))),
0)</f>
        <v>0</v>
      </c>
      <c r="S58" s="170">
        <f t="array" ref="S58">IFERROR(
MEDIAN((IF(DATOS_[[Sexo]:[Sexo]]=$B58,IF(DATOS_[[AGRUP. VALOR. PTO.]:[AGRUP. VALOR. PTO.]]=$B57,IF(DATOS_[[Check Periodo Ref.]:[Check Periodo Ref.]]="Dentro",DATOS_[Conc.Sal.14]))))),
0)</f>
        <v>0</v>
      </c>
      <c r="T58" s="170">
        <f t="array" ref="T58">IFERROR(
MEDIAN((IF(DATOS_[[Sexo]:[Sexo]]=$B58,IF(DATOS_[[AGRUP. VALOR. PTO.]:[AGRUP. VALOR. PTO.]]=$B57,IF(DATOS_[[Check Periodo Ref.]:[Check Periodo Ref.]]="Dentro",DATOS_[Conc.Sal.15]))))),
0)</f>
        <v>0</v>
      </c>
      <c r="U58" s="170">
        <f t="array" ref="U58">IFERROR(
MEDIAN((IF(DATOS_[[Sexo]:[Sexo]]=$B58,IF(DATOS_[[AGRUP. VALOR. PTO.]:[AGRUP. VALOR. PTO.]]=$B57,IF(DATOS_[[Check Periodo Ref.]:[Check Periodo Ref.]]="Dentro",DATOS_[Conc.Sal.16]))))),
0)</f>
        <v>0</v>
      </c>
      <c r="V58" s="170">
        <f t="array" ref="V58">IFERROR(
MEDIAN((IF(DATOS_[[Sexo]:[Sexo]]=$B58,IF(DATOS_[[AGRUP. VALOR. PTO.]:[AGRUP. VALOR. PTO.]]=$B57,IF(DATOS_[[Check Periodo Ref.]:[Check Periodo Ref.]]="Dentro",DATOS_[Conc.Sal.17]))))),
0)</f>
        <v>0</v>
      </c>
      <c r="W58" s="170">
        <f t="array" ref="W58">IFERROR(
MEDIAN((IF(DATOS_[[Sexo]:[Sexo]]=$B58,IF(DATOS_[[AGRUP. VALOR. PTO.]:[AGRUP. VALOR. PTO.]]=$B57,IF(DATOS_[[Check Periodo Ref.]:[Check Periodo Ref.]]="Dentro",DATOS_[Conc.Sal.18]))))),
0)</f>
        <v>0</v>
      </c>
      <c r="X58" s="170">
        <f t="array" ref="X58">IFERROR(
MEDIAN((IF(DATOS_[[Sexo]:[Sexo]]=$B58,IF(DATOS_[[AGRUP. VALOR. PTO.]:[AGRUP. VALOR. PTO.]]=$B57,IF(DATOS_[[Check Periodo Ref.]:[Check Periodo Ref.]]="Dentro",DATOS_[Conc.Sal.19]))))),
0)</f>
        <v>0</v>
      </c>
      <c r="Y58" s="170">
        <f t="array" ref="Y58">IFERROR(
MEDIAN((IF(DATOS_[[Sexo]:[Sexo]]=$B58,IF(DATOS_[[AGRUP. VALOR. PTO.]:[AGRUP. VALOR. PTO.]]=$B57,IF(DATOS_[[Check Periodo Ref.]:[Check Periodo Ref.]]="Dentro",DATOS_[Conc.Sal.20]))))),
0)</f>
        <v>0</v>
      </c>
      <c r="Z58" s="170">
        <f t="array" ref="Z58">IFERROR(
MEDIAN((IF(DATOS_[[Sexo]:[Sexo]]=$B58,IF(DATOS_[[AGRUP. VALOR. PTO.]:[AGRUP. VALOR. PTO.]]=$B57,IF(DATOS_[[Check Periodo Ref.]:[Check Periodo Ref.]]="Dentro",DATOS_[Conc.Sal.21]))))),
0)</f>
        <v>0</v>
      </c>
      <c r="AA58" s="170">
        <f t="array" ref="AA58">IFERROR(
MEDIAN((IF(DATOS_[[Sexo]:[Sexo]]=$B58,IF(DATOS_[[AGRUP. VALOR. PTO.]:[AGRUP. VALOR. PTO.]]=$B57,IF(DATOS_[[Check Periodo Ref.]:[Check Periodo Ref.]]="Dentro",DATOS_[Conc.Sal.22]))))),
0)</f>
        <v>0</v>
      </c>
      <c r="AB58" s="170">
        <f t="array" ref="AB58">IFERROR(
MEDIAN((IF(DATOS_[[Sexo]:[Sexo]]=$B58,IF(DATOS_[[AGRUP. VALOR. PTO.]:[AGRUP. VALOR. PTO.]]=$B57,IF(DATOS_[[Check Periodo Ref.]:[Check Periodo Ref.]]="Dentro",DATOS_[Conc.Sal.23]))))),
0)</f>
        <v>0</v>
      </c>
      <c r="AC58" s="170">
        <f t="array" ref="AC58">IFERROR(
MEDIAN((IF(DATOS_[[Sexo]:[Sexo]]=$B58,IF(DATOS_[[AGRUP. VALOR. PTO.]:[AGRUP. VALOR. PTO.]]=$B57,IF(DATOS_[[Check Periodo Ref.]:[Check Periodo Ref.]]="Dentro",DATOS_[Conc.Sal.24]))))),
0)</f>
        <v>0</v>
      </c>
      <c r="AD58" s="170">
        <f t="array" ref="AD58">IFERROR(
MEDIAN((IF(DATOS_[[Sexo]:[Sexo]]=$B58,IF(DATOS_[[AGRUP. VALOR. PTO.]:[AGRUP. VALOR. PTO.]]=$B57,IF(DATOS_[[Check Periodo Ref.]:[Check Periodo Ref.]]="Dentro",DATOS_[Conc.Sal.25]))))),
0)</f>
        <v>0</v>
      </c>
      <c r="AE58" s="170">
        <f t="array" ref="AE58">IFERROR(
MEDIAN((IF(DATOS_[[Sexo]:[Sexo]]=$B58,IF(DATOS_[[AGRUP. VALOR. PTO.]:[AGRUP. VALOR. PTO.]]=$B57,IF(DATOS_[[Check Periodo Ref.]:[Check Periodo Ref.]]="Dentro",DATOS_[Conc.Sal.26]))))),
0)</f>
        <v>0</v>
      </c>
      <c r="AF58" s="170">
        <f t="array" ref="AF58">IFERROR(
MEDIAN((IF(DATOS_[[Sexo]:[Sexo]]=$B58,IF(DATOS_[[AGRUP. VALOR. PTO.]:[AGRUP. VALOR. PTO.]]=$B57,IF(DATOS_[[Check Periodo Ref.]:[Check Periodo Ref.]]="Dentro",DATOS_[Conc.Sal.27]))))),
0)</f>
        <v>0</v>
      </c>
      <c r="AG58" s="170">
        <f t="array" ref="AG58">IFERROR(
MEDIAN((IF(DATOS_[[Sexo]:[Sexo]]=$B58,IF(DATOS_[[AGRUP. VALOR. PTO.]:[AGRUP. VALOR. PTO.]]=$B57,IF(DATOS_[[Check Periodo Ref.]:[Check Periodo Ref.]]="Dentro",DATOS_[Conc.Sal.28]))))),
0)</f>
        <v>0</v>
      </c>
      <c r="AH58" s="170">
        <f t="array" ref="AH58">IFERROR(
MEDIAN((IF(DATOS_[[Sexo]:[Sexo]]=$B58,IF(DATOS_[[AGRUP. VALOR. PTO.]:[AGRUP. VALOR. PTO.]]=$B57,IF(DATOS_[[Check Periodo Ref.]:[Check Periodo Ref.]]="Dentro",DATOS_[Conc.Sal.29]))))),
0)</f>
        <v>0</v>
      </c>
      <c r="AI58" s="170">
        <f t="array" ref="AI58">IFERROR(
MEDIAN((IF(DATOS_[[Sexo]:[Sexo]]=$B58,IF(DATOS_[[AGRUP. VALOR. PTO.]:[AGRUP. VALOR. PTO.]]=$B57,IF(DATOS_[[Check Periodo Ref.]:[Check Periodo Ref.]]="Dentro",DATOS_[Conc.Sal.30]))))),
0)</f>
        <v>0</v>
      </c>
      <c r="AJ58" s="171">
        <f t="array" ref="AJ58">IFERROR(
MEDIAN(IF(DATOS_[Sexo]=$B58,IF(DATOS_[AGRUP. VALOR. PTO.]=$B57,IF(DATOS_[Check Periodo Ref.]="Dentro",DATOS_[Tot COMPL.SAL Ef],FALSE)))),
0)</f>
        <v>0</v>
      </c>
      <c r="AK58" s="172">
        <f t="array" ref="AK58">IFERROR(
MEDIAN(IF(DATOS_[Sexo]=$B58,IF(DATOS_[AGRUP. VALOR. PTO.]=$B57,IF(DATOS_[Check Periodo Ref.]="Dentro",DATOS_[TOTAL SALARIO Ef],FALSE)))),
0)</f>
        <v>0</v>
      </c>
      <c r="AL58" s="173">
        <f t="array" ref="AL58">IFERROR(
MEDIAN((IF(DATOS_[[Sexo]:[Sexo]]=$B58,IF(DATOS_[[AGRUP. VALOR. PTO.]:[AGRUP. VALOR. PTO.]]=$B57,IF(DATOS_[[Check Periodo Ref.]:[Check Periodo Ref.]]="Dentro",DATOS_[C.Extra.01]))))),
0)</f>
        <v>0</v>
      </c>
      <c r="AM58" s="173">
        <f t="array" ref="AM58">IFERROR(
MEDIAN((IF(DATOS_[[Sexo]:[Sexo]]=$B58,IF(DATOS_[[AGRUP. VALOR. PTO.]:[AGRUP. VALOR. PTO.]]=$B57,IF(DATOS_[[Check Periodo Ref.]:[Check Periodo Ref.]]="Dentro",DATOS_[C.Extra.06]))))),
0)</f>
        <v>0</v>
      </c>
      <c r="AN58" s="173">
        <f t="array" ref="AN58">IFERROR(
MEDIAN((IF(DATOS_[[Sexo]:[Sexo]]=$B58,IF(DATOS_[[AGRUP. VALOR. PTO.]:[AGRUP. VALOR. PTO.]]=$B57,IF(DATOS_[[Check Periodo Ref.]:[Check Periodo Ref.]]="Dentro",DATOS_[C.Extra.07]))))),
0)</f>
        <v>0</v>
      </c>
      <c r="AO58" s="173">
        <f t="array" ref="AO58">IFERROR(
MEDIAN((IF(DATOS_[[Sexo]:[Sexo]]=$B58,IF(DATOS_[[AGRUP. VALOR. PTO.]:[AGRUP. VALOR. PTO.]]=$B57,IF(DATOS_[[Check Periodo Ref.]:[Check Periodo Ref.]]="Dentro",DATOS_[C.Extra.08]))))),
0)</f>
        <v>0</v>
      </c>
      <c r="AP58" s="173">
        <f t="array" ref="AP58">IFERROR(
MEDIAN((IF(DATOS_[[Sexo]:[Sexo]]=$B58,IF(DATOS_[[AGRUP. VALOR. PTO.]:[AGRUP. VALOR. PTO.]]=$B57,IF(DATOS_[[Check Periodo Ref.]:[Check Periodo Ref.]]="Dentro",DATOS_[C.Extra.11]))))),
0)</f>
        <v>0</v>
      </c>
      <c r="AQ58" s="174">
        <f t="array" ref="AQ58">IFERROR(
MEDIAN(IF(DATOS_[Sexo]=$B58,IF(DATOS_[AGRUP. VALOR. PTO.]=$B57,IF(DATOS_[Check Periodo Ref.]="Dentro",DATOS_[Tot Extrasalarial Ef],FALSE)))),
0)</f>
        <v>0</v>
      </c>
      <c r="AR58" s="171">
        <f t="array" ref="AR58">IFERROR(
MEDIAN(IF(DATOS_[Sexo]=$B58,IF(DATOS_[AGRUP. VALOR. PTO.]=$B57,IF(DATOS_[Check Periodo Ref.]="Dentro",DATOS_[TOTAL Retrib Ef],FALSE)))),
0)</f>
        <v>0</v>
      </c>
    </row>
    <row r="59" spans="1:44" x14ac:dyDescent="0.25">
      <c r="A59" s="178" t="str">
        <f t="shared" ref="A59" si="62">+A58</f>
        <v>[ocultar]</v>
      </c>
      <c r="B59" s="166" t="s">
        <v>521</v>
      </c>
      <c r="C59" s="167">
        <f t="array" ref="C59">SUM(IF($B59=DATOS_[Sexo],
IF($B57=DATOS_[AGRUP. VALOR. PTO.],
IF("Dentro"=DATOS_[Check Periodo Ref.],
1/(COUNTIFS(DATOS_[Sexo],$B59,DATOS_[AGRUP. VALOR. PTO.],$B57,DATOS_[Check Periodo Ref.],"Dentro",DATOS_[id/cod],DATOS_[id/cod]))))))</f>
        <v>0</v>
      </c>
      <c r="D59" s="168">
        <f>COUNTIFS(DATOS_[AGRUP. VALOR. PTO.],$B57,DATOS_[Sexo],$B59,DATOS_[Check Periodo Ref.],"Dentro")</f>
        <v>0</v>
      </c>
      <c r="E59" s="169">
        <f t="array" ref="E59">IFERROR(
MEDIAN(IF(DATOS_[Sexo]=$B59,IF(DATOS_[AGRUP. VALOR. PTO.]=$B57,IF(DATOS_[Check Periodo Ref.]="Dentro",DATOS_[SALARIO BASE Ef],FALSE)))),
0)</f>
        <v>0</v>
      </c>
      <c r="F59" s="170">
        <f t="array" ref="F59">IFERROR(
MEDIAN((IF(DATOS_[[Sexo]:[Sexo]]=$B59,IF(DATOS_[[AGRUP. VALOR. PTO.]:[AGRUP. VALOR. PTO.]]=$B57,IF(DATOS_[[Check Periodo Ref.]:[Check Periodo Ref.]]="Dentro",DATOS_[Conc.Sal.01]))))),
0)</f>
        <v>0</v>
      </c>
      <c r="G59" s="170">
        <f t="array" ref="G59">IFERROR(
MEDIAN((IF(DATOS_[[Sexo]:[Sexo]]=$B59,IF(DATOS_[[AGRUP. VALOR. PTO.]:[AGRUP. VALOR. PTO.]]=$B57,IF(DATOS_[[Check Periodo Ref.]:[Check Periodo Ref.]]="Dentro",DATOS_[Conc.Sal.02]))))),
0)</f>
        <v>0</v>
      </c>
      <c r="H59" s="170">
        <f t="array" ref="H59">IFERROR(
MEDIAN((IF(DATOS_[[Sexo]:[Sexo]]=$B59,IF(DATOS_[[AGRUP. VALOR. PTO.]:[AGRUP. VALOR. PTO.]]=$B57,IF(DATOS_[[Check Periodo Ref.]:[Check Periodo Ref.]]="Dentro",DATOS_[Conc.Sal.03]))))),
0)</f>
        <v>0</v>
      </c>
      <c r="I59" s="170">
        <f t="array" ref="I59">IFERROR(
MEDIAN((IF(DATOS_[[Sexo]:[Sexo]]=$B59,IF(DATOS_[[AGRUP. VALOR. PTO.]:[AGRUP. VALOR. PTO.]]=$B57,IF(DATOS_[[Check Periodo Ref.]:[Check Periodo Ref.]]="Dentro",DATOS_[Conc.Sal.04]))))),
0)</f>
        <v>0</v>
      </c>
      <c r="J59" s="170">
        <f t="array" ref="J59">IFERROR(
MEDIAN((IF(DATOS_[[Sexo]:[Sexo]]=$B59,IF(DATOS_[[AGRUP. VALOR. PTO.]:[AGRUP. VALOR. PTO.]]=$B57,IF(DATOS_[[Check Periodo Ref.]:[Check Periodo Ref.]]="Dentro",DATOS_[Conc.Sal.05]))))),
0)</f>
        <v>0</v>
      </c>
      <c r="K59" s="170">
        <f t="array" ref="K59">IFERROR(
MEDIAN((IF(DATOS_[[Sexo]:[Sexo]]=$B59,IF(DATOS_[[AGRUP. VALOR. PTO.]:[AGRUP. VALOR. PTO.]]=$B57,IF(DATOS_[[Check Periodo Ref.]:[Check Periodo Ref.]]="Dentro",DATOS_[Conc.Sal.06]))))),
0)</f>
        <v>0</v>
      </c>
      <c r="L59" s="170">
        <f t="array" ref="L59">IFERROR(
MEDIAN((IF(DATOS_[[Sexo]:[Sexo]]=$B59,IF(DATOS_[[AGRUP. VALOR. PTO.]:[AGRUP. VALOR. PTO.]]=$B57,IF(DATOS_[[Check Periodo Ref.]:[Check Periodo Ref.]]="Dentro",DATOS_[Conc.Sal.07]))))),
0)</f>
        <v>0</v>
      </c>
      <c r="M59" s="170">
        <f t="array" ref="M59">IFERROR(
MEDIAN((IF(DATOS_[[Sexo]:[Sexo]]=$B59,IF(DATOS_[[AGRUP. VALOR. PTO.]:[AGRUP. VALOR. PTO.]]=$B57,IF(DATOS_[[Check Periodo Ref.]:[Check Periodo Ref.]]="Dentro",DATOS_[Conc.Sal.08]))))),
0)</f>
        <v>0</v>
      </c>
      <c r="N59" s="170">
        <f t="array" ref="N59">IFERROR(
MEDIAN((IF(DATOS_[[Sexo]:[Sexo]]=$B59,IF(DATOS_[[AGRUP. VALOR. PTO.]:[AGRUP. VALOR. PTO.]]=$B57,IF(DATOS_[[Check Periodo Ref.]:[Check Periodo Ref.]]="Dentro",DATOS_[Conc.Sal.09]))))),
0)</f>
        <v>0</v>
      </c>
      <c r="O59" s="170">
        <f t="array" ref="O59">IFERROR(
MEDIAN((IF(DATOS_[[Sexo]:[Sexo]]=$B59,IF(DATOS_[[AGRUP. VALOR. PTO.]:[AGRUP. VALOR. PTO.]]=$B57,IF(DATOS_[[Check Periodo Ref.]:[Check Periodo Ref.]]="Dentro",DATOS_[Conc.Sal.10]))))),
0)</f>
        <v>0</v>
      </c>
      <c r="P59" s="170">
        <f t="array" ref="P59">IFERROR(
MEDIAN((IF(DATOS_[[Sexo]:[Sexo]]=$B59,IF(DATOS_[[AGRUP. VALOR. PTO.]:[AGRUP. VALOR. PTO.]]=$B57,IF(DATOS_[[Check Periodo Ref.]:[Check Periodo Ref.]]="Dentro",DATOS_[Conc.Sal.11]))))),
0)</f>
        <v>0</v>
      </c>
      <c r="Q59" s="170">
        <f t="array" ref="Q59">IFERROR(
MEDIAN((IF(DATOS_[[Sexo]:[Sexo]]=$B59,IF(DATOS_[[AGRUP. VALOR. PTO.]:[AGRUP. VALOR. PTO.]]=$B57,IF(DATOS_[[Check Periodo Ref.]:[Check Periodo Ref.]]="Dentro",DATOS_[Conc.Sal.12]))))),
0)</f>
        <v>0</v>
      </c>
      <c r="R59" s="170">
        <f t="array" ref="R59">IFERROR(
MEDIAN((IF(DATOS_[[Sexo]:[Sexo]]=$B59,IF(DATOS_[[AGRUP. VALOR. PTO.]:[AGRUP. VALOR. PTO.]]=$B57,IF(DATOS_[[Check Periodo Ref.]:[Check Periodo Ref.]]="Dentro",DATOS_[Conc.Sal.13]))))),
0)</f>
        <v>0</v>
      </c>
      <c r="S59" s="170">
        <f t="array" ref="S59">IFERROR(
MEDIAN((IF(DATOS_[[Sexo]:[Sexo]]=$B59,IF(DATOS_[[AGRUP. VALOR. PTO.]:[AGRUP. VALOR. PTO.]]=$B57,IF(DATOS_[[Check Periodo Ref.]:[Check Periodo Ref.]]="Dentro",DATOS_[Conc.Sal.14]))))),
0)</f>
        <v>0</v>
      </c>
      <c r="T59" s="170">
        <f t="array" ref="T59">IFERROR(
MEDIAN((IF(DATOS_[[Sexo]:[Sexo]]=$B59,IF(DATOS_[[AGRUP. VALOR. PTO.]:[AGRUP. VALOR. PTO.]]=$B57,IF(DATOS_[[Check Periodo Ref.]:[Check Periodo Ref.]]="Dentro",DATOS_[Conc.Sal.15]))))),
0)</f>
        <v>0</v>
      </c>
      <c r="U59" s="170">
        <f t="array" ref="U59">IFERROR(
MEDIAN((IF(DATOS_[[Sexo]:[Sexo]]=$B59,IF(DATOS_[[AGRUP. VALOR. PTO.]:[AGRUP. VALOR. PTO.]]=$B57,IF(DATOS_[[Check Periodo Ref.]:[Check Periodo Ref.]]="Dentro",DATOS_[Conc.Sal.16]))))),
0)</f>
        <v>0</v>
      </c>
      <c r="V59" s="170">
        <f t="array" ref="V59">IFERROR(
MEDIAN((IF(DATOS_[[Sexo]:[Sexo]]=$B59,IF(DATOS_[[AGRUP. VALOR. PTO.]:[AGRUP. VALOR. PTO.]]=$B57,IF(DATOS_[[Check Periodo Ref.]:[Check Periodo Ref.]]="Dentro",DATOS_[Conc.Sal.17]))))),
0)</f>
        <v>0</v>
      </c>
      <c r="W59" s="170">
        <f t="array" ref="W59">IFERROR(
MEDIAN((IF(DATOS_[[Sexo]:[Sexo]]=$B59,IF(DATOS_[[AGRUP. VALOR. PTO.]:[AGRUP. VALOR. PTO.]]=$B57,IF(DATOS_[[Check Periodo Ref.]:[Check Periodo Ref.]]="Dentro",DATOS_[Conc.Sal.18]))))),
0)</f>
        <v>0</v>
      </c>
      <c r="X59" s="170">
        <f t="array" ref="X59">IFERROR(
MEDIAN((IF(DATOS_[[Sexo]:[Sexo]]=$B59,IF(DATOS_[[AGRUP. VALOR. PTO.]:[AGRUP. VALOR. PTO.]]=$B57,IF(DATOS_[[Check Periodo Ref.]:[Check Periodo Ref.]]="Dentro",DATOS_[Conc.Sal.19]))))),
0)</f>
        <v>0</v>
      </c>
      <c r="Y59" s="170">
        <f t="array" ref="Y59">IFERROR(
MEDIAN((IF(DATOS_[[Sexo]:[Sexo]]=$B59,IF(DATOS_[[AGRUP. VALOR. PTO.]:[AGRUP. VALOR. PTO.]]=$B57,IF(DATOS_[[Check Periodo Ref.]:[Check Periodo Ref.]]="Dentro",DATOS_[Conc.Sal.20]))))),
0)</f>
        <v>0</v>
      </c>
      <c r="Z59" s="170">
        <f t="array" ref="Z59">IFERROR(
MEDIAN((IF(DATOS_[[Sexo]:[Sexo]]=$B59,IF(DATOS_[[AGRUP. VALOR. PTO.]:[AGRUP. VALOR. PTO.]]=$B57,IF(DATOS_[[Check Periodo Ref.]:[Check Periodo Ref.]]="Dentro",DATOS_[Conc.Sal.21]))))),
0)</f>
        <v>0</v>
      </c>
      <c r="AA59" s="170">
        <f t="array" ref="AA59">IFERROR(
MEDIAN((IF(DATOS_[[Sexo]:[Sexo]]=$B59,IF(DATOS_[[AGRUP. VALOR. PTO.]:[AGRUP. VALOR. PTO.]]=$B57,IF(DATOS_[[Check Periodo Ref.]:[Check Periodo Ref.]]="Dentro",DATOS_[Conc.Sal.22]))))),
0)</f>
        <v>0</v>
      </c>
      <c r="AB59" s="170">
        <f t="array" ref="AB59">IFERROR(
MEDIAN((IF(DATOS_[[Sexo]:[Sexo]]=$B59,IF(DATOS_[[AGRUP. VALOR. PTO.]:[AGRUP. VALOR. PTO.]]=$B57,IF(DATOS_[[Check Periodo Ref.]:[Check Periodo Ref.]]="Dentro",DATOS_[Conc.Sal.23]))))),
0)</f>
        <v>0</v>
      </c>
      <c r="AC59" s="170">
        <f t="array" ref="AC59">IFERROR(
MEDIAN((IF(DATOS_[[Sexo]:[Sexo]]=$B59,IF(DATOS_[[AGRUP. VALOR. PTO.]:[AGRUP. VALOR. PTO.]]=$B57,IF(DATOS_[[Check Periodo Ref.]:[Check Periodo Ref.]]="Dentro",DATOS_[Conc.Sal.24]))))),
0)</f>
        <v>0</v>
      </c>
      <c r="AD59" s="170">
        <f t="array" ref="AD59">IFERROR(
MEDIAN((IF(DATOS_[[Sexo]:[Sexo]]=$B59,IF(DATOS_[[AGRUP. VALOR. PTO.]:[AGRUP. VALOR. PTO.]]=$B57,IF(DATOS_[[Check Periodo Ref.]:[Check Periodo Ref.]]="Dentro",DATOS_[Conc.Sal.25]))))),
0)</f>
        <v>0</v>
      </c>
      <c r="AE59" s="170">
        <f t="array" ref="AE59">IFERROR(
MEDIAN((IF(DATOS_[[Sexo]:[Sexo]]=$B59,IF(DATOS_[[AGRUP. VALOR. PTO.]:[AGRUP. VALOR. PTO.]]=$B57,IF(DATOS_[[Check Periodo Ref.]:[Check Periodo Ref.]]="Dentro",DATOS_[Conc.Sal.26]))))),
0)</f>
        <v>0</v>
      </c>
      <c r="AF59" s="170">
        <f t="array" ref="AF59">IFERROR(
MEDIAN((IF(DATOS_[[Sexo]:[Sexo]]=$B59,IF(DATOS_[[AGRUP. VALOR. PTO.]:[AGRUP. VALOR. PTO.]]=$B57,IF(DATOS_[[Check Periodo Ref.]:[Check Periodo Ref.]]="Dentro",DATOS_[Conc.Sal.27]))))),
0)</f>
        <v>0</v>
      </c>
      <c r="AG59" s="170">
        <f t="array" ref="AG59">IFERROR(
MEDIAN((IF(DATOS_[[Sexo]:[Sexo]]=$B59,IF(DATOS_[[AGRUP. VALOR. PTO.]:[AGRUP. VALOR. PTO.]]=$B57,IF(DATOS_[[Check Periodo Ref.]:[Check Periodo Ref.]]="Dentro",DATOS_[Conc.Sal.28]))))),
0)</f>
        <v>0</v>
      </c>
      <c r="AH59" s="170">
        <f t="array" ref="AH59">IFERROR(
MEDIAN((IF(DATOS_[[Sexo]:[Sexo]]=$B59,IF(DATOS_[[AGRUP. VALOR. PTO.]:[AGRUP. VALOR. PTO.]]=$B57,IF(DATOS_[[Check Periodo Ref.]:[Check Periodo Ref.]]="Dentro",DATOS_[Conc.Sal.29]))))),
0)</f>
        <v>0</v>
      </c>
      <c r="AI59" s="170">
        <f t="array" ref="AI59">IFERROR(
MEDIAN((IF(DATOS_[[Sexo]:[Sexo]]=$B59,IF(DATOS_[[AGRUP. VALOR. PTO.]:[AGRUP. VALOR. PTO.]]=$B57,IF(DATOS_[[Check Periodo Ref.]:[Check Periodo Ref.]]="Dentro",DATOS_[Conc.Sal.30]))))),
0)</f>
        <v>0</v>
      </c>
      <c r="AJ59" s="171">
        <f t="array" ref="AJ59">IFERROR(
MEDIAN(IF(DATOS_[Sexo]=$B59,IF(DATOS_[AGRUP. VALOR. PTO.]=$B57,IF(DATOS_[Check Periodo Ref.]="Dentro",DATOS_[Tot COMPL.SAL Ef],FALSE)))),
0)</f>
        <v>0</v>
      </c>
      <c r="AK59" s="172">
        <f t="array" ref="AK59">IFERROR(
MEDIAN(IF(DATOS_[Sexo]=$B59,IF(DATOS_[AGRUP. VALOR. PTO.]=$B57,IF(DATOS_[Check Periodo Ref.]="Dentro",DATOS_[TOTAL SALARIO Ef],FALSE)))),
0)</f>
        <v>0</v>
      </c>
      <c r="AL59" s="173">
        <f t="array" ref="AL59">IFERROR(
MEDIAN((IF(DATOS_[[Sexo]:[Sexo]]=$B59,IF(DATOS_[[AGRUP. VALOR. PTO.]:[AGRUP. VALOR. PTO.]]=$B57,IF(DATOS_[[Check Periodo Ref.]:[Check Periodo Ref.]]="Dentro",DATOS_[C.Extra.01]))))),
0)</f>
        <v>0</v>
      </c>
      <c r="AM59" s="173">
        <f t="array" ref="AM59">IFERROR(
MEDIAN((IF(DATOS_[[Sexo]:[Sexo]]=$B59,IF(DATOS_[[AGRUP. VALOR. PTO.]:[AGRUP. VALOR. PTO.]]=$B57,IF(DATOS_[[Check Periodo Ref.]:[Check Periodo Ref.]]="Dentro",DATOS_[C.Extra.06]))))),
0)</f>
        <v>0</v>
      </c>
      <c r="AN59" s="173">
        <f t="array" ref="AN59">IFERROR(
MEDIAN((IF(DATOS_[[Sexo]:[Sexo]]=$B59,IF(DATOS_[[AGRUP. VALOR. PTO.]:[AGRUP. VALOR. PTO.]]=$B57,IF(DATOS_[[Check Periodo Ref.]:[Check Periodo Ref.]]="Dentro",DATOS_[C.Extra.07]))))),
0)</f>
        <v>0</v>
      </c>
      <c r="AO59" s="173">
        <f t="array" ref="AO59">IFERROR(
MEDIAN((IF(DATOS_[[Sexo]:[Sexo]]=$B59,IF(DATOS_[[AGRUP. VALOR. PTO.]:[AGRUP. VALOR. PTO.]]=$B57,IF(DATOS_[[Check Periodo Ref.]:[Check Periodo Ref.]]="Dentro",DATOS_[C.Extra.08]))))),
0)</f>
        <v>0</v>
      </c>
      <c r="AP59" s="173">
        <f t="array" ref="AP59">IFERROR(
MEDIAN((IF(DATOS_[[Sexo]:[Sexo]]=$B59,IF(DATOS_[[AGRUP. VALOR. PTO.]:[AGRUP. VALOR. PTO.]]=$B57,IF(DATOS_[[Check Periodo Ref.]:[Check Periodo Ref.]]="Dentro",DATOS_[C.Extra.11]))))),
0)</f>
        <v>0</v>
      </c>
      <c r="AQ59" s="174">
        <f t="array" ref="AQ59">IFERROR(
MEDIAN(IF(DATOS_[Sexo]=$B59,IF(DATOS_[AGRUP. VALOR. PTO.]=$B57,IF(DATOS_[Check Periodo Ref.]="Dentro",DATOS_[Tot Extrasalarial Ef],FALSE)))),
0)</f>
        <v>0</v>
      </c>
      <c r="AR59" s="171">
        <f t="array" ref="AR59">IFERROR(
MEDIAN(IF(DATOS_[Sexo]=$B59,IF(DATOS_[AGRUP. VALOR. PTO.]=$B57,IF(DATOS_[Check Periodo Ref.]="Dentro",DATOS_[TOTAL Retrib Ef],FALSE)))),
0)</f>
        <v>0</v>
      </c>
    </row>
    <row r="60" spans="1:44" ht="14.4" thickBot="1" x14ac:dyDescent="0.3">
      <c r="A60" s="178" t="str">
        <f t="shared" ref="A60" si="63">+A61</f>
        <v>[ocultar]</v>
      </c>
      <c r="B60" s="153" t="s">
        <v>239</v>
      </c>
      <c r="C60" s="154"/>
      <c r="D60" s="155"/>
      <c r="E60" s="156" t="str">
        <f t="shared" ref="E60:AR60" si="64">IFERROR((E61-E62)/E61,"")</f>
        <v/>
      </c>
      <c r="F60" s="157" t="str">
        <f t="shared" si="64"/>
        <v/>
      </c>
      <c r="G60" s="158" t="str">
        <f t="shared" si="64"/>
        <v/>
      </c>
      <c r="H60" s="158" t="str">
        <f t="shared" si="64"/>
        <v/>
      </c>
      <c r="I60" s="158" t="str">
        <f t="shared" si="64"/>
        <v/>
      </c>
      <c r="J60" s="159" t="str">
        <f t="shared" si="64"/>
        <v/>
      </c>
      <c r="K60" s="160" t="str">
        <f t="shared" si="64"/>
        <v/>
      </c>
      <c r="L60" s="160" t="str">
        <f t="shared" si="64"/>
        <v/>
      </c>
      <c r="M60" s="160" t="str">
        <f t="shared" si="64"/>
        <v/>
      </c>
      <c r="N60" s="160" t="str">
        <f t="shared" si="64"/>
        <v/>
      </c>
      <c r="O60" s="160" t="str">
        <f t="shared" si="64"/>
        <v/>
      </c>
      <c r="P60" s="160" t="str">
        <f t="shared" si="64"/>
        <v/>
      </c>
      <c r="Q60" s="160" t="str">
        <f t="shared" si="64"/>
        <v/>
      </c>
      <c r="R60" s="160" t="str">
        <f t="shared" si="64"/>
        <v/>
      </c>
      <c r="S60" s="160" t="str">
        <f t="shared" si="64"/>
        <v/>
      </c>
      <c r="T60" s="160" t="str">
        <f t="shared" si="64"/>
        <v/>
      </c>
      <c r="U60" s="160" t="str">
        <f t="shared" si="64"/>
        <v/>
      </c>
      <c r="V60" s="159" t="str">
        <f t="shared" si="64"/>
        <v/>
      </c>
      <c r="W60" s="159" t="str">
        <f t="shared" si="64"/>
        <v/>
      </c>
      <c r="X60" s="159" t="str">
        <f t="shared" si="64"/>
        <v/>
      </c>
      <c r="Y60" s="159" t="str">
        <f t="shared" si="64"/>
        <v/>
      </c>
      <c r="Z60" s="159" t="str">
        <f t="shared" si="64"/>
        <v/>
      </c>
      <c r="AA60" s="159" t="str">
        <f t="shared" si="64"/>
        <v/>
      </c>
      <c r="AB60" s="159" t="str">
        <f t="shared" si="64"/>
        <v/>
      </c>
      <c r="AC60" s="159" t="str">
        <f t="shared" si="64"/>
        <v/>
      </c>
      <c r="AD60" s="159" t="str">
        <f t="shared" si="64"/>
        <v/>
      </c>
      <c r="AE60" s="159" t="str">
        <f t="shared" si="64"/>
        <v/>
      </c>
      <c r="AF60" s="159" t="str">
        <f t="shared" si="64"/>
        <v/>
      </c>
      <c r="AG60" s="159" t="str">
        <f t="shared" si="64"/>
        <v/>
      </c>
      <c r="AH60" s="159" t="str">
        <f t="shared" si="64"/>
        <v/>
      </c>
      <c r="AI60" s="159" t="str">
        <f t="shared" si="64"/>
        <v/>
      </c>
      <c r="AJ60" s="161" t="str">
        <f t="shared" si="64"/>
        <v/>
      </c>
      <c r="AK60" s="162" t="str">
        <f t="shared" si="64"/>
        <v/>
      </c>
      <c r="AL60" s="163" t="str">
        <f t="shared" si="64"/>
        <v/>
      </c>
      <c r="AM60" s="163" t="str">
        <f t="shared" si="64"/>
        <v/>
      </c>
      <c r="AN60" s="163" t="str">
        <f t="shared" si="64"/>
        <v/>
      </c>
      <c r="AO60" s="163" t="str">
        <f t="shared" si="64"/>
        <v/>
      </c>
      <c r="AP60" s="163" t="str">
        <f t="shared" si="64"/>
        <v/>
      </c>
      <c r="AQ60" s="164" t="str">
        <f t="shared" si="64"/>
        <v/>
      </c>
      <c r="AR60" s="161" t="str">
        <f t="shared" si="64"/>
        <v/>
      </c>
    </row>
    <row r="61" spans="1:44" x14ac:dyDescent="0.25">
      <c r="A61" s="178" t="str">
        <f t="shared" ref="A61" si="65">+IF(C61+C62=0,"[ocultar]","")</f>
        <v>[ocultar]</v>
      </c>
      <c r="B61" s="166" t="s">
        <v>394</v>
      </c>
      <c r="C61" s="167">
        <f t="array" ref="C61">SUM(IF($B61=DATOS_[Sexo],
IF($B60=DATOS_[AGRUP. VALOR. PTO.],
IF("Dentro"=DATOS_[Check Periodo Ref.],
1/(COUNTIFS(DATOS_[Sexo],$B61,DATOS_[AGRUP. VALOR. PTO.],$B60,DATOS_[Check Periodo Ref.],"Dentro",DATOS_[id/cod],DATOS_[id/cod]))))))</f>
        <v>0</v>
      </c>
      <c r="D61" s="168">
        <f>COUNTIFS(DATOS_[AGRUP. VALOR. PTO.],$B60,DATOS_[Sexo],$B61,DATOS_[Check Periodo Ref.],"Dentro")</f>
        <v>0</v>
      </c>
      <c r="E61" s="169">
        <f t="array" ref="E61">IFERROR(
MEDIAN(IF(DATOS_[Sexo]=$B61,IF(DATOS_[AGRUP. VALOR. PTO.]=$B60,IF(DATOS_[Check Periodo Ref.]="Dentro",DATOS_[SALARIO BASE Ef],FALSE)))),
0)</f>
        <v>0</v>
      </c>
      <c r="F61" s="170">
        <f t="array" ref="F61">IFERROR(
MEDIAN((IF(DATOS_[[Sexo]:[Sexo]]=$B61,IF(DATOS_[[AGRUP. VALOR. PTO.]:[AGRUP. VALOR. PTO.]]=$B60,IF(DATOS_[[Check Periodo Ref.]:[Check Periodo Ref.]]="Dentro",DATOS_[Conc.Sal.01]))))),
0)</f>
        <v>0</v>
      </c>
      <c r="G61" s="170">
        <f t="array" ref="G61">IFERROR(
MEDIAN((IF(DATOS_[[Sexo]:[Sexo]]=$B61,IF(DATOS_[[AGRUP. VALOR. PTO.]:[AGRUP. VALOR. PTO.]]=$B60,IF(DATOS_[[Check Periodo Ref.]:[Check Periodo Ref.]]="Dentro",DATOS_[Conc.Sal.02]))))),
0)</f>
        <v>0</v>
      </c>
      <c r="H61" s="170">
        <f t="array" ref="H61">IFERROR(
MEDIAN((IF(DATOS_[[Sexo]:[Sexo]]=$B61,IF(DATOS_[[AGRUP. VALOR. PTO.]:[AGRUP. VALOR. PTO.]]=$B60,IF(DATOS_[[Check Periodo Ref.]:[Check Periodo Ref.]]="Dentro",DATOS_[Conc.Sal.03]))))),
0)</f>
        <v>0</v>
      </c>
      <c r="I61" s="170">
        <f t="array" ref="I61">IFERROR(
MEDIAN((IF(DATOS_[[Sexo]:[Sexo]]=$B61,IF(DATOS_[[AGRUP. VALOR. PTO.]:[AGRUP. VALOR. PTO.]]=$B60,IF(DATOS_[[Check Periodo Ref.]:[Check Periodo Ref.]]="Dentro",DATOS_[Conc.Sal.04]))))),
0)</f>
        <v>0</v>
      </c>
      <c r="J61" s="170">
        <f t="array" ref="J61">IFERROR(
MEDIAN((IF(DATOS_[[Sexo]:[Sexo]]=$B61,IF(DATOS_[[AGRUP. VALOR. PTO.]:[AGRUP. VALOR. PTO.]]=$B60,IF(DATOS_[[Check Periodo Ref.]:[Check Periodo Ref.]]="Dentro",DATOS_[Conc.Sal.05]))))),
0)</f>
        <v>0</v>
      </c>
      <c r="K61" s="170">
        <f t="array" ref="K61">IFERROR(
MEDIAN((IF(DATOS_[[Sexo]:[Sexo]]=$B61,IF(DATOS_[[AGRUP. VALOR. PTO.]:[AGRUP. VALOR. PTO.]]=$B60,IF(DATOS_[[Check Periodo Ref.]:[Check Periodo Ref.]]="Dentro",DATOS_[Conc.Sal.06]))))),
0)</f>
        <v>0</v>
      </c>
      <c r="L61" s="170">
        <f t="array" ref="L61">IFERROR(
MEDIAN((IF(DATOS_[[Sexo]:[Sexo]]=$B61,IF(DATOS_[[AGRUP. VALOR. PTO.]:[AGRUP. VALOR. PTO.]]=$B60,IF(DATOS_[[Check Periodo Ref.]:[Check Periodo Ref.]]="Dentro",DATOS_[Conc.Sal.07]))))),
0)</f>
        <v>0</v>
      </c>
      <c r="M61" s="170">
        <f t="array" ref="M61">IFERROR(
MEDIAN((IF(DATOS_[[Sexo]:[Sexo]]=$B61,IF(DATOS_[[AGRUP. VALOR. PTO.]:[AGRUP. VALOR. PTO.]]=$B60,IF(DATOS_[[Check Periodo Ref.]:[Check Periodo Ref.]]="Dentro",DATOS_[Conc.Sal.08]))))),
0)</f>
        <v>0</v>
      </c>
      <c r="N61" s="170">
        <f t="array" ref="N61">IFERROR(
MEDIAN((IF(DATOS_[[Sexo]:[Sexo]]=$B61,IF(DATOS_[[AGRUP. VALOR. PTO.]:[AGRUP. VALOR. PTO.]]=$B60,IF(DATOS_[[Check Periodo Ref.]:[Check Periodo Ref.]]="Dentro",DATOS_[Conc.Sal.09]))))),
0)</f>
        <v>0</v>
      </c>
      <c r="O61" s="170">
        <f t="array" ref="O61">IFERROR(
MEDIAN((IF(DATOS_[[Sexo]:[Sexo]]=$B61,IF(DATOS_[[AGRUP. VALOR. PTO.]:[AGRUP. VALOR. PTO.]]=$B60,IF(DATOS_[[Check Periodo Ref.]:[Check Periodo Ref.]]="Dentro",DATOS_[Conc.Sal.10]))))),
0)</f>
        <v>0</v>
      </c>
      <c r="P61" s="170">
        <f t="array" ref="P61">IFERROR(
MEDIAN((IF(DATOS_[[Sexo]:[Sexo]]=$B61,IF(DATOS_[[AGRUP. VALOR. PTO.]:[AGRUP. VALOR. PTO.]]=$B60,IF(DATOS_[[Check Periodo Ref.]:[Check Periodo Ref.]]="Dentro",DATOS_[Conc.Sal.11]))))),
0)</f>
        <v>0</v>
      </c>
      <c r="Q61" s="170">
        <f t="array" ref="Q61">IFERROR(
MEDIAN((IF(DATOS_[[Sexo]:[Sexo]]=$B61,IF(DATOS_[[AGRUP. VALOR. PTO.]:[AGRUP. VALOR. PTO.]]=$B60,IF(DATOS_[[Check Periodo Ref.]:[Check Periodo Ref.]]="Dentro",DATOS_[Conc.Sal.12]))))),
0)</f>
        <v>0</v>
      </c>
      <c r="R61" s="170">
        <f t="array" ref="R61">IFERROR(
MEDIAN((IF(DATOS_[[Sexo]:[Sexo]]=$B61,IF(DATOS_[[AGRUP. VALOR. PTO.]:[AGRUP. VALOR. PTO.]]=$B60,IF(DATOS_[[Check Periodo Ref.]:[Check Periodo Ref.]]="Dentro",DATOS_[Conc.Sal.13]))))),
0)</f>
        <v>0</v>
      </c>
      <c r="S61" s="170">
        <f t="array" ref="S61">IFERROR(
MEDIAN((IF(DATOS_[[Sexo]:[Sexo]]=$B61,IF(DATOS_[[AGRUP. VALOR. PTO.]:[AGRUP. VALOR. PTO.]]=$B60,IF(DATOS_[[Check Periodo Ref.]:[Check Periodo Ref.]]="Dentro",DATOS_[Conc.Sal.14]))))),
0)</f>
        <v>0</v>
      </c>
      <c r="T61" s="170">
        <f t="array" ref="T61">IFERROR(
MEDIAN((IF(DATOS_[[Sexo]:[Sexo]]=$B61,IF(DATOS_[[AGRUP. VALOR. PTO.]:[AGRUP. VALOR. PTO.]]=$B60,IF(DATOS_[[Check Periodo Ref.]:[Check Periodo Ref.]]="Dentro",DATOS_[Conc.Sal.15]))))),
0)</f>
        <v>0</v>
      </c>
      <c r="U61" s="170">
        <f t="array" ref="U61">IFERROR(
MEDIAN((IF(DATOS_[[Sexo]:[Sexo]]=$B61,IF(DATOS_[[AGRUP. VALOR. PTO.]:[AGRUP. VALOR. PTO.]]=$B60,IF(DATOS_[[Check Periodo Ref.]:[Check Periodo Ref.]]="Dentro",DATOS_[Conc.Sal.16]))))),
0)</f>
        <v>0</v>
      </c>
      <c r="V61" s="170">
        <f t="array" ref="V61">IFERROR(
MEDIAN((IF(DATOS_[[Sexo]:[Sexo]]=$B61,IF(DATOS_[[AGRUP. VALOR. PTO.]:[AGRUP. VALOR. PTO.]]=$B60,IF(DATOS_[[Check Periodo Ref.]:[Check Periodo Ref.]]="Dentro",DATOS_[Conc.Sal.17]))))),
0)</f>
        <v>0</v>
      </c>
      <c r="W61" s="170">
        <f t="array" ref="W61">IFERROR(
MEDIAN((IF(DATOS_[[Sexo]:[Sexo]]=$B61,IF(DATOS_[[AGRUP. VALOR. PTO.]:[AGRUP. VALOR. PTO.]]=$B60,IF(DATOS_[[Check Periodo Ref.]:[Check Periodo Ref.]]="Dentro",DATOS_[Conc.Sal.18]))))),
0)</f>
        <v>0</v>
      </c>
      <c r="X61" s="170">
        <f t="array" ref="X61">IFERROR(
MEDIAN((IF(DATOS_[[Sexo]:[Sexo]]=$B61,IF(DATOS_[[AGRUP. VALOR. PTO.]:[AGRUP. VALOR. PTO.]]=$B60,IF(DATOS_[[Check Periodo Ref.]:[Check Periodo Ref.]]="Dentro",DATOS_[Conc.Sal.19]))))),
0)</f>
        <v>0</v>
      </c>
      <c r="Y61" s="170">
        <f t="array" ref="Y61">IFERROR(
MEDIAN((IF(DATOS_[[Sexo]:[Sexo]]=$B61,IF(DATOS_[[AGRUP. VALOR. PTO.]:[AGRUP. VALOR. PTO.]]=$B60,IF(DATOS_[[Check Periodo Ref.]:[Check Periodo Ref.]]="Dentro",DATOS_[Conc.Sal.20]))))),
0)</f>
        <v>0</v>
      </c>
      <c r="Z61" s="170">
        <f t="array" ref="Z61">IFERROR(
MEDIAN((IF(DATOS_[[Sexo]:[Sexo]]=$B61,IF(DATOS_[[AGRUP. VALOR. PTO.]:[AGRUP. VALOR. PTO.]]=$B60,IF(DATOS_[[Check Periodo Ref.]:[Check Periodo Ref.]]="Dentro",DATOS_[Conc.Sal.21]))))),
0)</f>
        <v>0</v>
      </c>
      <c r="AA61" s="170">
        <f t="array" ref="AA61">IFERROR(
MEDIAN((IF(DATOS_[[Sexo]:[Sexo]]=$B61,IF(DATOS_[[AGRUP. VALOR. PTO.]:[AGRUP. VALOR. PTO.]]=$B60,IF(DATOS_[[Check Periodo Ref.]:[Check Periodo Ref.]]="Dentro",DATOS_[Conc.Sal.22]))))),
0)</f>
        <v>0</v>
      </c>
      <c r="AB61" s="170">
        <f t="array" ref="AB61">IFERROR(
MEDIAN((IF(DATOS_[[Sexo]:[Sexo]]=$B61,IF(DATOS_[[AGRUP. VALOR. PTO.]:[AGRUP. VALOR. PTO.]]=$B60,IF(DATOS_[[Check Periodo Ref.]:[Check Periodo Ref.]]="Dentro",DATOS_[Conc.Sal.23]))))),
0)</f>
        <v>0</v>
      </c>
      <c r="AC61" s="170">
        <f t="array" ref="AC61">IFERROR(
MEDIAN((IF(DATOS_[[Sexo]:[Sexo]]=$B61,IF(DATOS_[[AGRUP. VALOR. PTO.]:[AGRUP. VALOR. PTO.]]=$B60,IF(DATOS_[[Check Periodo Ref.]:[Check Periodo Ref.]]="Dentro",DATOS_[Conc.Sal.24]))))),
0)</f>
        <v>0</v>
      </c>
      <c r="AD61" s="170">
        <f t="array" ref="AD61">IFERROR(
MEDIAN((IF(DATOS_[[Sexo]:[Sexo]]=$B61,IF(DATOS_[[AGRUP. VALOR. PTO.]:[AGRUP. VALOR. PTO.]]=$B60,IF(DATOS_[[Check Periodo Ref.]:[Check Periodo Ref.]]="Dentro",DATOS_[Conc.Sal.25]))))),
0)</f>
        <v>0</v>
      </c>
      <c r="AE61" s="170">
        <f t="array" ref="AE61">IFERROR(
MEDIAN((IF(DATOS_[[Sexo]:[Sexo]]=$B61,IF(DATOS_[[AGRUP. VALOR. PTO.]:[AGRUP. VALOR. PTO.]]=$B60,IF(DATOS_[[Check Periodo Ref.]:[Check Periodo Ref.]]="Dentro",DATOS_[Conc.Sal.26]))))),
0)</f>
        <v>0</v>
      </c>
      <c r="AF61" s="170">
        <f t="array" ref="AF61">IFERROR(
MEDIAN((IF(DATOS_[[Sexo]:[Sexo]]=$B61,IF(DATOS_[[AGRUP. VALOR. PTO.]:[AGRUP. VALOR. PTO.]]=$B60,IF(DATOS_[[Check Periodo Ref.]:[Check Periodo Ref.]]="Dentro",DATOS_[Conc.Sal.27]))))),
0)</f>
        <v>0</v>
      </c>
      <c r="AG61" s="170">
        <f t="array" ref="AG61">IFERROR(
MEDIAN((IF(DATOS_[[Sexo]:[Sexo]]=$B61,IF(DATOS_[[AGRUP. VALOR. PTO.]:[AGRUP. VALOR. PTO.]]=$B60,IF(DATOS_[[Check Periodo Ref.]:[Check Periodo Ref.]]="Dentro",DATOS_[Conc.Sal.28]))))),
0)</f>
        <v>0</v>
      </c>
      <c r="AH61" s="170">
        <f t="array" ref="AH61">IFERROR(
MEDIAN((IF(DATOS_[[Sexo]:[Sexo]]=$B61,IF(DATOS_[[AGRUP. VALOR. PTO.]:[AGRUP. VALOR. PTO.]]=$B60,IF(DATOS_[[Check Periodo Ref.]:[Check Periodo Ref.]]="Dentro",DATOS_[Conc.Sal.29]))))),
0)</f>
        <v>0</v>
      </c>
      <c r="AI61" s="170">
        <f t="array" ref="AI61">IFERROR(
MEDIAN((IF(DATOS_[[Sexo]:[Sexo]]=$B61,IF(DATOS_[[AGRUP. VALOR. PTO.]:[AGRUP. VALOR. PTO.]]=$B60,IF(DATOS_[[Check Periodo Ref.]:[Check Periodo Ref.]]="Dentro",DATOS_[Conc.Sal.30]))))),
0)</f>
        <v>0</v>
      </c>
      <c r="AJ61" s="171">
        <f t="array" ref="AJ61">IFERROR(
MEDIAN(IF(DATOS_[Sexo]=$B61,IF(DATOS_[AGRUP. VALOR. PTO.]=$B60,IF(DATOS_[Check Periodo Ref.]="Dentro",DATOS_[Tot COMPL.SAL Ef],FALSE)))),
0)</f>
        <v>0</v>
      </c>
      <c r="AK61" s="172">
        <f t="array" ref="AK61">IFERROR(
MEDIAN(IF(DATOS_[Sexo]=$B61,IF(DATOS_[AGRUP. VALOR. PTO.]=$B60,IF(DATOS_[Check Periodo Ref.]="Dentro",DATOS_[TOTAL SALARIO Ef],FALSE)))),
0)</f>
        <v>0</v>
      </c>
      <c r="AL61" s="173">
        <f t="array" ref="AL61">IFERROR(
MEDIAN((IF(DATOS_[[Sexo]:[Sexo]]=$B61,IF(DATOS_[[AGRUP. VALOR. PTO.]:[AGRUP. VALOR. PTO.]]=$B60,IF(DATOS_[[Check Periodo Ref.]:[Check Periodo Ref.]]="Dentro",DATOS_[C.Extra.01]))))),
0)</f>
        <v>0</v>
      </c>
      <c r="AM61" s="173">
        <f t="array" ref="AM61">IFERROR(
MEDIAN((IF(DATOS_[[Sexo]:[Sexo]]=$B61,IF(DATOS_[[AGRUP. VALOR. PTO.]:[AGRUP. VALOR. PTO.]]=$B60,IF(DATOS_[[Check Periodo Ref.]:[Check Periodo Ref.]]="Dentro",DATOS_[C.Extra.06]))))),
0)</f>
        <v>0</v>
      </c>
      <c r="AN61" s="173">
        <f t="array" ref="AN61">IFERROR(
MEDIAN((IF(DATOS_[[Sexo]:[Sexo]]=$B61,IF(DATOS_[[AGRUP. VALOR. PTO.]:[AGRUP. VALOR. PTO.]]=$B60,IF(DATOS_[[Check Periodo Ref.]:[Check Periodo Ref.]]="Dentro",DATOS_[C.Extra.07]))))),
0)</f>
        <v>0</v>
      </c>
      <c r="AO61" s="173">
        <f t="array" ref="AO61">IFERROR(
MEDIAN((IF(DATOS_[[Sexo]:[Sexo]]=$B61,IF(DATOS_[[AGRUP. VALOR. PTO.]:[AGRUP. VALOR. PTO.]]=$B60,IF(DATOS_[[Check Periodo Ref.]:[Check Periodo Ref.]]="Dentro",DATOS_[C.Extra.08]))))),
0)</f>
        <v>0</v>
      </c>
      <c r="AP61" s="173">
        <f t="array" ref="AP61">IFERROR(
MEDIAN((IF(DATOS_[[Sexo]:[Sexo]]=$B61,IF(DATOS_[[AGRUP. VALOR. PTO.]:[AGRUP. VALOR. PTO.]]=$B60,IF(DATOS_[[Check Periodo Ref.]:[Check Periodo Ref.]]="Dentro",DATOS_[C.Extra.11]))))),
0)</f>
        <v>0</v>
      </c>
      <c r="AQ61" s="174">
        <f t="array" ref="AQ61">IFERROR(
MEDIAN(IF(DATOS_[Sexo]=$B61,IF(DATOS_[AGRUP. VALOR. PTO.]=$B60,IF(DATOS_[Check Periodo Ref.]="Dentro",DATOS_[Tot Extrasalarial Ef],FALSE)))),
0)</f>
        <v>0</v>
      </c>
      <c r="AR61" s="171">
        <f t="array" ref="AR61">IFERROR(
MEDIAN(IF(DATOS_[Sexo]=$B61,IF(DATOS_[AGRUP. VALOR. PTO.]=$B60,IF(DATOS_[Check Periodo Ref.]="Dentro",DATOS_[TOTAL Retrib Ef],FALSE)))),
0)</f>
        <v>0</v>
      </c>
    </row>
    <row r="62" spans="1:44" x14ac:dyDescent="0.25">
      <c r="A62" s="178" t="str">
        <f t="shared" ref="A62" si="66">+A61</f>
        <v>[ocultar]</v>
      </c>
      <c r="B62" s="166" t="s">
        <v>521</v>
      </c>
      <c r="C62" s="167">
        <f t="array" ref="C62">SUM(IF($B62=DATOS_[Sexo],
IF($B60=DATOS_[AGRUP. VALOR. PTO.],
IF("Dentro"=DATOS_[Check Periodo Ref.],
1/(COUNTIFS(DATOS_[Sexo],$B62,DATOS_[AGRUP. VALOR. PTO.],$B60,DATOS_[Check Periodo Ref.],"Dentro",DATOS_[id/cod],DATOS_[id/cod]))))))</f>
        <v>0</v>
      </c>
      <c r="D62" s="168">
        <f>COUNTIFS(DATOS_[AGRUP. VALOR. PTO.],$B60,DATOS_[Sexo],$B62,DATOS_[Check Periodo Ref.],"Dentro")</f>
        <v>0</v>
      </c>
      <c r="E62" s="169">
        <f t="array" ref="E62">IFERROR(
MEDIAN(IF(DATOS_[Sexo]=$B62,IF(DATOS_[AGRUP. VALOR. PTO.]=$B60,IF(DATOS_[Check Periodo Ref.]="Dentro",DATOS_[SALARIO BASE Ef],FALSE)))),
0)</f>
        <v>0</v>
      </c>
      <c r="F62" s="170">
        <f t="array" ref="F62">IFERROR(
MEDIAN((IF(DATOS_[[Sexo]:[Sexo]]=$B62,IF(DATOS_[[AGRUP. VALOR. PTO.]:[AGRUP. VALOR. PTO.]]=$B60,IF(DATOS_[[Check Periodo Ref.]:[Check Periodo Ref.]]="Dentro",DATOS_[Conc.Sal.01]))))),
0)</f>
        <v>0</v>
      </c>
      <c r="G62" s="170">
        <f t="array" ref="G62">IFERROR(
MEDIAN((IF(DATOS_[[Sexo]:[Sexo]]=$B62,IF(DATOS_[[AGRUP. VALOR. PTO.]:[AGRUP. VALOR. PTO.]]=$B60,IF(DATOS_[[Check Periodo Ref.]:[Check Periodo Ref.]]="Dentro",DATOS_[Conc.Sal.02]))))),
0)</f>
        <v>0</v>
      </c>
      <c r="H62" s="170">
        <f t="array" ref="H62">IFERROR(
MEDIAN((IF(DATOS_[[Sexo]:[Sexo]]=$B62,IF(DATOS_[[AGRUP. VALOR. PTO.]:[AGRUP. VALOR. PTO.]]=$B60,IF(DATOS_[[Check Periodo Ref.]:[Check Periodo Ref.]]="Dentro",DATOS_[Conc.Sal.03]))))),
0)</f>
        <v>0</v>
      </c>
      <c r="I62" s="170">
        <f t="array" ref="I62">IFERROR(
MEDIAN((IF(DATOS_[[Sexo]:[Sexo]]=$B62,IF(DATOS_[[AGRUP. VALOR. PTO.]:[AGRUP. VALOR. PTO.]]=$B60,IF(DATOS_[[Check Periodo Ref.]:[Check Periodo Ref.]]="Dentro",DATOS_[Conc.Sal.04]))))),
0)</f>
        <v>0</v>
      </c>
      <c r="J62" s="170">
        <f t="array" ref="J62">IFERROR(
MEDIAN((IF(DATOS_[[Sexo]:[Sexo]]=$B62,IF(DATOS_[[AGRUP. VALOR. PTO.]:[AGRUP. VALOR. PTO.]]=$B60,IF(DATOS_[[Check Periodo Ref.]:[Check Periodo Ref.]]="Dentro",DATOS_[Conc.Sal.05]))))),
0)</f>
        <v>0</v>
      </c>
      <c r="K62" s="170">
        <f t="array" ref="K62">IFERROR(
MEDIAN((IF(DATOS_[[Sexo]:[Sexo]]=$B62,IF(DATOS_[[AGRUP. VALOR. PTO.]:[AGRUP. VALOR. PTO.]]=$B60,IF(DATOS_[[Check Periodo Ref.]:[Check Periodo Ref.]]="Dentro",DATOS_[Conc.Sal.06]))))),
0)</f>
        <v>0</v>
      </c>
      <c r="L62" s="170">
        <f t="array" ref="L62">IFERROR(
MEDIAN((IF(DATOS_[[Sexo]:[Sexo]]=$B62,IF(DATOS_[[AGRUP. VALOR. PTO.]:[AGRUP. VALOR. PTO.]]=$B60,IF(DATOS_[[Check Periodo Ref.]:[Check Periodo Ref.]]="Dentro",DATOS_[Conc.Sal.07]))))),
0)</f>
        <v>0</v>
      </c>
      <c r="M62" s="170">
        <f t="array" ref="M62">IFERROR(
MEDIAN((IF(DATOS_[[Sexo]:[Sexo]]=$B62,IF(DATOS_[[AGRUP. VALOR. PTO.]:[AGRUP. VALOR. PTO.]]=$B60,IF(DATOS_[[Check Periodo Ref.]:[Check Periodo Ref.]]="Dentro",DATOS_[Conc.Sal.08]))))),
0)</f>
        <v>0</v>
      </c>
      <c r="N62" s="170">
        <f t="array" ref="N62">IFERROR(
MEDIAN((IF(DATOS_[[Sexo]:[Sexo]]=$B62,IF(DATOS_[[AGRUP. VALOR. PTO.]:[AGRUP. VALOR. PTO.]]=$B60,IF(DATOS_[[Check Periodo Ref.]:[Check Periodo Ref.]]="Dentro",DATOS_[Conc.Sal.09]))))),
0)</f>
        <v>0</v>
      </c>
      <c r="O62" s="170">
        <f t="array" ref="O62">IFERROR(
MEDIAN((IF(DATOS_[[Sexo]:[Sexo]]=$B62,IF(DATOS_[[AGRUP. VALOR. PTO.]:[AGRUP. VALOR. PTO.]]=$B60,IF(DATOS_[[Check Periodo Ref.]:[Check Periodo Ref.]]="Dentro",DATOS_[Conc.Sal.10]))))),
0)</f>
        <v>0</v>
      </c>
      <c r="P62" s="170">
        <f t="array" ref="P62">IFERROR(
MEDIAN((IF(DATOS_[[Sexo]:[Sexo]]=$B62,IF(DATOS_[[AGRUP. VALOR. PTO.]:[AGRUP. VALOR. PTO.]]=$B60,IF(DATOS_[[Check Periodo Ref.]:[Check Periodo Ref.]]="Dentro",DATOS_[Conc.Sal.11]))))),
0)</f>
        <v>0</v>
      </c>
      <c r="Q62" s="170">
        <f t="array" ref="Q62">IFERROR(
MEDIAN((IF(DATOS_[[Sexo]:[Sexo]]=$B62,IF(DATOS_[[AGRUP. VALOR. PTO.]:[AGRUP. VALOR. PTO.]]=$B60,IF(DATOS_[[Check Periodo Ref.]:[Check Periodo Ref.]]="Dentro",DATOS_[Conc.Sal.12]))))),
0)</f>
        <v>0</v>
      </c>
      <c r="R62" s="170">
        <f t="array" ref="R62">IFERROR(
MEDIAN((IF(DATOS_[[Sexo]:[Sexo]]=$B62,IF(DATOS_[[AGRUP. VALOR. PTO.]:[AGRUP. VALOR. PTO.]]=$B60,IF(DATOS_[[Check Periodo Ref.]:[Check Periodo Ref.]]="Dentro",DATOS_[Conc.Sal.13]))))),
0)</f>
        <v>0</v>
      </c>
      <c r="S62" s="170">
        <f t="array" ref="S62">IFERROR(
MEDIAN((IF(DATOS_[[Sexo]:[Sexo]]=$B62,IF(DATOS_[[AGRUP. VALOR. PTO.]:[AGRUP. VALOR. PTO.]]=$B60,IF(DATOS_[[Check Periodo Ref.]:[Check Periodo Ref.]]="Dentro",DATOS_[Conc.Sal.14]))))),
0)</f>
        <v>0</v>
      </c>
      <c r="T62" s="170">
        <f t="array" ref="T62">IFERROR(
MEDIAN((IF(DATOS_[[Sexo]:[Sexo]]=$B62,IF(DATOS_[[AGRUP. VALOR. PTO.]:[AGRUP. VALOR. PTO.]]=$B60,IF(DATOS_[[Check Periodo Ref.]:[Check Periodo Ref.]]="Dentro",DATOS_[Conc.Sal.15]))))),
0)</f>
        <v>0</v>
      </c>
      <c r="U62" s="170">
        <f t="array" ref="U62">IFERROR(
MEDIAN((IF(DATOS_[[Sexo]:[Sexo]]=$B62,IF(DATOS_[[AGRUP. VALOR. PTO.]:[AGRUP. VALOR. PTO.]]=$B60,IF(DATOS_[[Check Periodo Ref.]:[Check Periodo Ref.]]="Dentro",DATOS_[Conc.Sal.16]))))),
0)</f>
        <v>0</v>
      </c>
      <c r="V62" s="170">
        <f t="array" ref="V62">IFERROR(
MEDIAN((IF(DATOS_[[Sexo]:[Sexo]]=$B62,IF(DATOS_[[AGRUP. VALOR. PTO.]:[AGRUP. VALOR. PTO.]]=$B60,IF(DATOS_[[Check Periodo Ref.]:[Check Periodo Ref.]]="Dentro",DATOS_[Conc.Sal.17]))))),
0)</f>
        <v>0</v>
      </c>
      <c r="W62" s="170">
        <f t="array" ref="W62">IFERROR(
MEDIAN((IF(DATOS_[[Sexo]:[Sexo]]=$B62,IF(DATOS_[[AGRUP. VALOR. PTO.]:[AGRUP. VALOR. PTO.]]=$B60,IF(DATOS_[[Check Periodo Ref.]:[Check Periodo Ref.]]="Dentro",DATOS_[Conc.Sal.18]))))),
0)</f>
        <v>0</v>
      </c>
      <c r="X62" s="170">
        <f t="array" ref="X62">IFERROR(
MEDIAN((IF(DATOS_[[Sexo]:[Sexo]]=$B62,IF(DATOS_[[AGRUP. VALOR. PTO.]:[AGRUP. VALOR. PTO.]]=$B60,IF(DATOS_[[Check Periodo Ref.]:[Check Periodo Ref.]]="Dentro",DATOS_[Conc.Sal.19]))))),
0)</f>
        <v>0</v>
      </c>
      <c r="Y62" s="170">
        <f t="array" ref="Y62">IFERROR(
MEDIAN((IF(DATOS_[[Sexo]:[Sexo]]=$B62,IF(DATOS_[[AGRUP. VALOR. PTO.]:[AGRUP. VALOR. PTO.]]=$B60,IF(DATOS_[[Check Periodo Ref.]:[Check Periodo Ref.]]="Dentro",DATOS_[Conc.Sal.20]))))),
0)</f>
        <v>0</v>
      </c>
      <c r="Z62" s="170">
        <f t="array" ref="Z62">IFERROR(
MEDIAN((IF(DATOS_[[Sexo]:[Sexo]]=$B62,IF(DATOS_[[AGRUP. VALOR. PTO.]:[AGRUP. VALOR. PTO.]]=$B60,IF(DATOS_[[Check Periodo Ref.]:[Check Periodo Ref.]]="Dentro",DATOS_[Conc.Sal.21]))))),
0)</f>
        <v>0</v>
      </c>
      <c r="AA62" s="170">
        <f t="array" ref="AA62">IFERROR(
MEDIAN((IF(DATOS_[[Sexo]:[Sexo]]=$B62,IF(DATOS_[[AGRUP. VALOR. PTO.]:[AGRUP. VALOR. PTO.]]=$B60,IF(DATOS_[[Check Periodo Ref.]:[Check Periodo Ref.]]="Dentro",DATOS_[Conc.Sal.22]))))),
0)</f>
        <v>0</v>
      </c>
      <c r="AB62" s="170">
        <f t="array" ref="AB62">IFERROR(
MEDIAN((IF(DATOS_[[Sexo]:[Sexo]]=$B62,IF(DATOS_[[AGRUP. VALOR. PTO.]:[AGRUP. VALOR. PTO.]]=$B60,IF(DATOS_[[Check Periodo Ref.]:[Check Periodo Ref.]]="Dentro",DATOS_[Conc.Sal.23]))))),
0)</f>
        <v>0</v>
      </c>
      <c r="AC62" s="170">
        <f t="array" ref="AC62">IFERROR(
MEDIAN((IF(DATOS_[[Sexo]:[Sexo]]=$B62,IF(DATOS_[[AGRUP. VALOR. PTO.]:[AGRUP. VALOR. PTO.]]=$B60,IF(DATOS_[[Check Periodo Ref.]:[Check Periodo Ref.]]="Dentro",DATOS_[Conc.Sal.24]))))),
0)</f>
        <v>0</v>
      </c>
      <c r="AD62" s="170">
        <f t="array" ref="AD62">IFERROR(
MEDIAN((IF(DATOS_[[Sexo]:[Sexo]]=$B62,IF(DATOS_[[AGRUP. VALOR. PTO.]:[AGRUP. VALOR. PTO.]]=$B60,IF(DATOS_[[Check Periodo Ref.]:[Check Periodo Ref.]]="Dentro",DATOS_[Conc.Sal.25]))))),
0)</f>
        <v>0</v>
      </c>
      <c r="AE62" s="170">
        <f t="array" ref="AE62">IFERROR(
MEDIAN((IF(DATOS_[[Sexo]:[Sexo]]=$B62,IF(DATOS_[[AGRUP. VALOR. PTO.]:[AGRUP. VALOR. PTO.]]=$B60,IF(DATOS_[[Check Periodo Ref.]:[Check Periodo Ref.]]="Dentro",DATOS_[Conc.Sal.26]))))),
0)</f>
        <v>0</v>
      </c>
      <c r="AF62" s="170">
        <f t="array" ref="AF62">IFERROR(
MEDIAN((IF(DATOS_[[Sexo]:[Sexo]]=$B62,IF(DATOS_[[AGRUP. VALOR. PTO.]:[AGRUP. VALOR. PTO.]]=$B60,IF(DATOS_[[Check Periodo Ref.]:[Check Periodo Ref.]]="Dentro",DATOS_[Conc.Sal.27]))))),
0)</f>
        <v>0</v>
      </c>
      <c r="AG62" s="170">
        <f t="array" ref="AG62">IFERROR(
MEDIAN((IF(DATOS_[[Sexo]:[Sexo]]=$B62,IF(DATOS_[[AGRUP. VALOR. PTO.]:[AGRUP. VALOR. PTO.]]=$B60,IF(DATOS_[[Check Periodo Ref.]:[Check Periodo Ref.]]="Dentro",DATOS_[Conc.Sal.28]))))),
0)</f>
        <v>0</v>
      </c>
      <c r="AH62" s="170">
        <f t="array" ref="AH62">IFERROR(
MEDIAN((IF(DATOS_[[Sexo]:[Sexo]]=$B62,IF(DATOS_[[AGRUP. VALOR. PTO.]:[AGRUP. VALOR. PTO.]]=$B60,IF(DATOS_[[Check Periodo Ref.]:[Check Periodo Ref.]]="Dentro",DATOS_[Conc.Sal.29]))))),
0)</f>
        <v>0</v>
      </c>
      <c r="AI62" s="170">
        <f t="array" ref="AI62">IFERROR(
MEDIAN((IF(DATOS_[[Sexo]:[Sexo]]=$B62,IF(DATOS_[[AGRUP. VALOR. PTO.]:[AGRUP. VALOR. PTO.]]=$B60,IF(DATOS_[[Check Periodo Ref.]:[Check Periodo Ref.]]="Dentro",DATOS_[Conc.Sal.30]))))),
0)</f>
        <v>0</v>
      </c>
      <c r="AJ62" s="171">
        <f t="array" ref="AJ62">IFERROR(
MEDIAN(IF(DATOS_[Sexo]=$B62,IF(DATOS_[AGRUP. VALOR. PTO.]=$B60,IF(DATOS_[Check Periodo Ref.]="Dentro",DATOS_[Tot COMPL.SAL Ef],FALSE)))),
0)</f>
        <v>0</v>
      </c>
      <c r="AK62" s="172">
        <f t="array" ref="AK62">IFERROR(
MEDIAN(IF(DATOS_[Sexo]=$B62,IF(DATOS_[AGRUP. VALOR. PTO.]=$B60,IF(DATOS_[Check Periodo Ref.]="Dentro",DATOS_[TOTAL SALARIO Ef],FALSE)))),
0)</f>
        <v>0</v>
      </c>
      <c r="AL62" s="173">
        <f t="array" ref="AL62">IFERROR(
MEDIAN((IF(DATOS_[[Sexo]:[Sexo]]=$B62,IF(DATOS_[[AGRUP. VALOR. PTO.]:[AGRUP. VALOR. PTO.]]=$B60,IF(DATOS_[[Check Periodo Ref.]:[Check Periodo Ref.]]="Dentro",DATOS_[C.Extra.01]))))),
0)</f>
        <v>0</v>
      </c>
      <c r="AM62" s="173">
        <f t="array" ref="AM62">IFERROR(
MEDIAN((IF(DATOS_[[Sexo]:[Sexo]]=$B62,IF(DATOS_[[AGRUP. VALOR. PTO.]:[AGRUP. VALOR. PTO.]]=$B60,IF(DATOS_[[Check Periodo Ref.]:[Check Periodo Ref.]]="Dentro",DATOS_[C.Extra.06]))))),
0)</f>
        <v>0</v>
      </c>
      <c r="AN62" s="173">
        <f t="array" ref="AN62">IFERROR(
MEDIAN((IF(DATOS_[[Sexo]:[Sexo]]=$B62,IF(DATOS_[[AGRUP. VALOR. PTO.]:[AGRUP. VALOR. PTO.]]=$B60,IF(DATOS_[[Check Periodo Ref.]:[Check Periodo Ref.]]="Dentro",DATOS_[C.Extra.07]))))),
0)</f>
        <v>0</v>
      </c>
      <c r="AO62" s="173">
        <f t="array" ref="AO62">IFERROR(
MEDIAN((IF(DATOS_[[Sexo]:[Sexo]]=$B62,IF(DATOS_[[AGRUP. VALOR. PTO.]:[AGRUP. VALOR. PTO.]]=$B60,IF(DATOS_[[Check Periodo Ref.]:[Check Periodo Ref.]]="Dentro",DATOS_[C.Extra.08]))))),
0)</f>
        <v>0</v>
      </c>
      <c r="AP62" s="173">
        <f t="array" ref="AP62">IFERROR(
MEDIAN((IF(DATOS_[[Sexo]:[Sexo]]=$B62,IF(DATOS_[[AGRUP. VALOR. PTO.]:[AGRUP. VALOR. PTO.]]=$B60,IF(DATOS_[[Check Periodo Ref.]:[Check Periodo Ref.]]="Dentro",DATOS_[C.Extra.11]))))),
0)</f>
        <v>0</v>
      </c>
      <c r="AQ62" s="174">
        <f t="array" ref="AQ62">IFERROR(
MEDIAN(IF(DATOS_[Sexo]=$B62,IF(DATOS_[AGRUP. VALOR. PTO.]=$B60,IF(DATOS_[Check Periodo Ref.]="Dentro",DATOS_[Tot Extrasalarial Ef],FALSE)))),
0)</f>
        <v>0</v>
      </c>
      <c r="AR62" s="171">
        <f t="array" ref="AR62">IFERROR(
MEDIAN(IF(DATOS_[Sexo]=$B62,IF(DATOS_[AGRUP. VALOR. PTO.]=$B60,IF(DATOS_[Check Periodo Ref.]="Dentro",DATOS_[TOTAL Retrib Ef],FALSE)))),
0)</f>
        <v>0</v>
      </c>
    </row>
    <row r="63" spans="1:44" ht="14.4" thickBot="1" x14ac:dyDescent="0.3">
      <c r="A63" s="178" t="str">
        <f t="shared" ref="A63" si="67">+A64</f>
        <v>[ocultar]</v>
      </c>
      <c r="B63" s="153" t="s">
        <v>244</v>
      </c>
      <c r="C63" s="154"/>
      <c r="D63" s="155"/>
      <c r="E63" s="156" t="str">
        <f t="shared" ref="E63:AR63" si="68">IFERROR((E64-E65)/E64,"")</f>
        <v/>
      </c>
      <c r="F63" s="157" t="str">
        <f t="shared" si="68"/>
        <v/>
      </c>
      <c r="G63" s="158" t="str">
        <f t="shared" si="68"/>
        <v/>
      </c>
      <c r="H63" s="158" t="str">
        <f t="shared" si="68"/>
        <v/>
      </c>
      <c r="I63" s="158" t="str">
        <f t="shared" si="68"/>
        <v/>
      </c>
      <c r="J63" s="159" t="str">
        <f t="shared" si="68"/>
        <v/>
      </c>
      <c r="K63" s="160" t="str">
        <f t="shared" si="68"/>
        <v/>
      </c>
      <c r="L63" s="160" t="str">
        <f t="shared" si="68"/>
        <v/>
      </c>
      <c r="M63" s="160" t="str">
        <f t="shared" si="68"/>
        <v/>
      </c>
      <c r="N63" s="160" t="str">
        <f t="shared" si="68"/>
        <v/>
      </c>
      <c r="O63" s="160" t="str">
        <f t="shared" si="68"/>
        <v/>
      </c>
      <c r="P63" s="160" t="str">
        <f t="shared" si="68"/>
        <v/>
      </c>
      <c r="Q63" s="160" t="str">
        <f t="shared" si="68"/>
        <v/>
      </c>
      <c r="R63" s="160" t="str">
        <f t="shared" si="68"/>
        <v/>
      </c>
      <c r="S63" s="160" t="str">
        <f t="shared" si="68"/>
        <v/>
      </c>
      <c r="T63" s="160" t="str">
        <f t="shared" si="68"/>
        <v/>
      </c>
      <c r="U63" s="160" t="str">
        <f t="shared" si="68"/>
        <v/>
      </c>
      <c r="V63" s="159" t="str">
        <f t="shared" si="68"/>
        <v/>
      </c>
      <c r="W63" s="159" t="str">
        <f t="shared" si="68"/>
        <v/>
      </c>
      <c r="X63" s="159" t="str">
        <f t="shared" si="68"/>
        <v/>
      </c>
      <c r="Y63" s="159" t="str">
        <f t="shared" si="68"/>
        <v/>
      </c>
      <c r="Z63" s="159" t="str">
        <f t="shared" si="68"/>
        <v/>
      </c>
      <c r="AA63" s="159" t="str">
        <f t="shared" si="68"/>
        <v/>
      </c>
      <c r="AB63" s="159" t="str">
        <f t="shared" si="68"/>
        <v/>
      </c>
      <c r="AC63" s="159" t="str">
        <f t="shared" si="68"/>
        <v/>
      </c>
      <c r="AD63" s="159" t="str">
        <f t="shared" si="68"/>
        <v/>
      </c>
      <c r="AE63" s="159" t="str">
        <f t="shared" si="68"/>
        <v/>
      </c>
      <c r="AF63" s="159" t="str">
        <f t="shared" si="68"/>
        <v/>
      </c>
      <c r="AG63" s="159" t="str">
        <f t="shared" si="68"/>
        <v/>
      </c>
      <c r="AH63" s="159" t="str">
        <f t="shared" si="68"/>
        <v/>
      </c>
      <c r="AI63" s="159" t="str">
        <f t="shared" si="68"/>
        <v/>
      </c>
      <c r="AJ63" s="161" t="str">
        <f t="shared" si="68"/>
        <v/>
      </c>
      <c r="AK63" s="162" t="str">
        <f t="shared" si="68"/>
        <v/>
      </c>
      <c r="AL63" s="163" t="str">
        <f t="shared" si="68"/>
        <v/>
      </c>
      <c r="AM63" s="163" t="str">
        <f t="shared" si="68"/>
        <v/>
      </c>
      <c r="AN63" s="163" t="str">
        <f t="shared" si="68"/>
        <v/>
      </c>
      <c r="AO63" s="163" t="str">
        <f t="shared" si="68"/>
        <v/>
      </c>
      <c r="AP63" s="163" t="str">
        <f t="shared" si="68"/>
        <v/>
      </c>
      <c r="AQ63" s="164" t="str">
        <f t="shared" si="68"/>
        <v/>
      </c>
      <c r="AR63" s="161" t="str">
        <f t="shared" si="68"/>
        <v/>
      </c>
    </row>
    <row r="64" spans="1:44" x14ac:dyDescent="0.25">
      <c r="A64" s="178" t="str">
        <f t="shared" ref="A64" si="69">+IF(C64+C65=0,"[ocultar]","")</f>
        <v>[ocultar]</v>
      </c>
      <c r="B64" s="166" t="s">
        <v>394</v>
      </c>
      <c r="C64" s="167">
        <f t="array" ref="C64">SUM(IF($B64=DATOS_[Sexo],
IF($B63=DATOS_[AGRUP. VALOR. PTO.],
IF("Dentro"=DATOS_[Check Periodo Ref.],
1/(COUNTIFS(DATOS_[Sexo],$B64,DATOS_[AGRUP. VALOR. PTO.],$B63,DATOS_[Check Periodo Ref.],"Dentro",DATOS_[id/cod],DATOS_[id/cod]))))))</f>
        <v>0</v>
      </c>
      <c r="D64" s="168">
        <f>COUNTIFS(DATOS_[AGRUP. VALOR. PTO.],$B63,DATOS_[Sexo],$B64,DATOS_[Check Periodo Ref.],"Dentro")</f>
        <v>0</v>
      </c>
      <c r="E64" s="169">
        <f t="array" ref="E64">IFERROR(
MEDIAN(IF(DATOS_[Sexo]=$B64,IF(DATOS_[AGRUP. VALOR. PTO.]=$B63,IF(DATOS_[Check Periodo Ref.]="Dentro",DATOS_[SALARIO BASE Ef],FALSE)))),
0)</f>
        <v>0</v>
      </c>
      <c r="F64" s="170">
        <f t="array" ref="F64">IFERROR(
MEDIAN((IF(DATOS_[[Sexo]:[Sexo]]=$B64,IF(DATOS_[[AGRUP. VALOR. PTO.]:[AGRUP. VALOR. PTO.]]=$B63,IF(DATOS_[[Check Periodo Ref.]:[Check Periodo Ref.]]="Dentro",DATOS_[Conc.Sal.01]))))),
0)</f>
        <v>0</v>
      </c>
      <c r="G64" s="170">
        <f t="array" ref="G64">IFERROR(
MEDIAN((IF(DATOS_[[Sexo]:[Sexo]]=$B64,IF(DATOS_[[AGRUP. VALOR. PTO.]:[AGRUP. VALOR. PTO.]]=$B63,IF(DATOS_[[Check Periodo Ref.]:[Check Periodo Ref.]]="Dentro",DATOS_[Conc.Sal.02]))))),
0)</f>
        <v>0</v>
      </c>
      <c r="H64" s="170">
        <f t="array" ref="H64">IFERROR(
MEDIAN((IF(DATOS_[[Sexo]:[Sexo]]=$B64,IF(DATOS_[[AGRUP. VALOR. PTO.]:[AGRUP. VALOR. PTO.]]=$B63,IF(DATOS_[[Check Periodo Ref.]:[Check Periodo Ref.]]="Dentro",DATOS_[Conc.Sal.03]))))),
0)</f>
        <v>0</v>
      </c>
      <c r="I64" s="170">
        <f t="array" ref="I64">IFERROR(
MEDIAN((IF(DATOS_[[Sexo]:[Sexo]]=$B64,IF(DATOS_[[AGRUP. VALOR. PTO.]:[AGRUP. VALOR. PTO.]]=$B63,IF(DATOS_[[Check Periodo Ref.]:[Check Periodo Ref.]]="Dentro",DATOS_[Conc.Sal.04]))))),
0)</f>
        <v>0</v>
      </c>
      <c r="J64" s="170">
        <f t="array" ref="J64">IFERROR(
MEDIAN((IF(DATOS_[[Sexo]:[Sexo]]=$B64,IF(DATOS_[[AGRUP. VALOR. PTO.]:[AGRUP. VALOR. PTO.]]=$B63,IF(DATOS_[[Check Periodo Ref.]:[Check Periodo Ref.]]="Dentro",DATOS_[Conc.Sal.05]))))),
0)</f>
        <v>0</v>
      </c>
      <c r="K64" s="170">
        <f t="array" ref="K64">IFERROR(
MEDIAN((IF(DATOS_[[Sexo]:[Sexo]]=$B64,IF(DATOS_[[AGRUP. VALOR. PTO.]:[AGRUP. VALOR. PTO.]]=$B63,IF(DATOS_[[Check Periodo Ref.]:[Check Periodo Ref.]]="Dentro",DATOS_[Conc.Sal.06]))))),
0)</f>
        <v>0</v>
      </c>
      <c r="L64" s="170">
        <f t="array" ref="L64">IFERROR(
MEDIAN((IF(DATOS_[[Sexo]:[Sexo]]=$B64,IF(DATOS_[[AGRUP. VALOR. PTO.]:[AGRUP. VALOR. PTO.]]=$B63,IF(DATOS_[[Check Periodo Ref.]:[Check Periodo Ref.]]="Dentro",DATOS_[Conc.Sal.07]))))),
0)</f>
        <v>0</v>
      </c>
      <c r="M64" s="170">
        <f t="array" ref="M64">IFERROR(
MEDIAN((IF(DATOS_[[Sexo]:[Sexo]]=$B64,IF(DATOS_[[AGRUP. VALOR. PTO.]:[AGRUP. VALOR. PTO.]]=$B63,IF(DATOS_[[Check Periodo Ref.]:[Check Periodo Ref.]]="Dentro",DATOS_[Conc.Sal.08]))))),
0)</f>
        <v>0</v>
      </c>
      <c r="N64" s="170">
        <f t="array" ref="N64">IFERROR(
MEDIAN((IF(DATOS_[[Sexo]:[Sexo]]=$B64,IF(DATOS_[[AGRUP. VALOR. PTO.]:[AGRUP. VALOR. PTO.]]=$B63,IF(DATOS_[[Check Periodo Ref.]:[Check Periodo Ref.]]="Dentro",DATOS_[Conc.Sal.09]))))),
0)</f>
        <v>0</v>
      </c>
      <c r="O64" s="170">
        <f t="array" ref="O64">IFERROR(
MEDIAN((IF(DATOS_[[Sexo]:[Sexo]]=$B64,IF(DATOS_[[AGRUP. VALOR. PTO.]:[AGRUP. VALOR. PTO.]]=$B63,IF(DATOS_[[Check Periodo Ref.]:[Check Periodo Ref.]]="Dentro",DATOS_[Conc.Sal.10]))))),
0)</f>
        <v>0</v>
      </c>
      <c r="P64" s="170">
        <f t="array" ref="P64">IFERROR(
MEDIAN((IF(DATOS_[[Sexo]:[Sexo]]=$B64,IF(DATOS_[[AGRUP. VALOR. PTO.]:[AGRUP. VALOR. PTO.]]=$B63,IF(DATOS_[[Check Periodo Ref.]:[Check Periodo Ref.]]="Dentro",DATOS_[Conc.Sal.11]))))),
0)</f>
        <v>0</v>
      </c>
      <c r="Q64" s="170">
        <f t="array" ref="Q64">IFERROR(
MEDIAN((IF(DATOS_[[Sexo]:[Sexo]]=$B64,IF(DATOS_[[AGRUP. VALOR. PTO.]:[AGRUP. VALOR. PTO.]]=$B63,IF(DATOS_[[Check Periodo Ref.]:[Check Periodo Ref.]]="Dentro",DATOS_[Conc.Sal.12]))))),
0)</f>
        <v>0</v>
      </c>
      <c r="R64" s="170">
        <f t="array" ref="R64">IFERROR(
MEDIAN((IF(DATOS_[[Sexo]:[Sexo]]=$B64,IF(DATOS_[[AGRUP. VALOR. PTO.]:[AGRUP. VALOR. PTO.]]=$B63,IF(DATOS_[[Check Periodo Ref.]:[Check Periodo Ref.]]="Dentro",DATOS_[Conc.Sal.13]))))),
0)</f>
        <v>0</v>
      </c>
      <c r="S64" s="170">
        <f t="array" ref="S64">IFERROR(
MEDIAN((IF(DATOS_[[Sexo]:[Sexo]]=$B64,IF(DATOS_[[AGRUP. VALOR. PTO.]:[AGRUP. VALOR. PTO.]]=$B63,IF(DATOS_[[Check Periodo Ref.]:[Check Periodo Ref.]]="Dentro",DATOS_[Conc.Sal.14]))))),
0)</f>
        <v>0</v>
      </c>
      <c r="T64" s="170">
        <f t="array" ref="T64">IFERROR(
MEDIAN((IF(DATOS_[[Sexo]:[Sexo]]=$B64,IF(DATOS_[[AGRUP. VALOR. PTO.]:[AGRUP. VALOR. PTO.]]=$B63,IF(DATOS_[[Check Periodo Ref.]:[Check Periodo Ref.]]="Dentro",DATOS_[Conc.Sal.15]))))),
0)</f>
        <v>0</v>
      </c>
      <c r="U64" s="170">
        <f t="array" ref="U64">IFERROR(
MEDIAN((IF(DATOS_[[Sexo]:[Sexo]]=$B64,IF(DATOS_[[AGRUP. VALOR. PTO.]:[AGRUP. VALOR. PTO.]]=$B63,IF(DATOS_[[Check Periodo Ref.]:[Check Periodo Ref.]]="Dentro",DATOS_[Conc.Sal.16]))))),
0)</f>
        <v>0</v>
      </c>
      <c r="V64" s="170">
        <f t="array" ref="V64">IFERROR(
MEDIAN((IF(DATOS_[[Sexo]:[Sexo]]=$B64,IF(DATOS_[[AGRUP. VALOR. PTO.]:[AGRUP. VALOR. PTO.]]=$B63,IF(DATOS_[[Check Periodo Ref.]:[Check Periodo Ref.]]="Dentro",DATOS_[Conc.Sal.17]))))),
0)</f>
        <v>0</v>
      </c>
      <c r="W64" s="170">
        <f t="array" ref="W64">IFERROR(
MEDIAN((IF(DATOS_[[Sexo]:[Sexo]]=$B64,IF(DATOS_[[AGRUP. VALOR. PTO.]:[AGRUP. VALOR. PTO.]]=$B63,IF(DATOS_[[Check Periodo Ref.]:[Check Periodo Ref.]]="Dentro",DATOS_[Conc.Sal.18]))))),
0)</f>
        <v>0</v>
      </c>
      <c r="X64" s="170">
        <f t="array" ref="X64">IFERROR(
MEDIAN((IF(DATOS_[[Sexo]:[Sexo]]=$B64,IF(DATOS_[[AGRUP. VALOR. PTO.]:[AGRUP. VALOR. PTO.]]=$B63,IF(DATOS_[[Check Periodo Ref.]:[Check Periodo Ref.]]="Dentro",DATOS_[Conc.Sal.19]))))),
0)</f>
        <v>0</v>
      </c>
      <c r="Y64" s="170">
        <f t="array" ref="Y64">IFERROR(
MEDIAN((IF(DATOS_[[Sexo]:[Sexo]]=$B64,IF(DATOS_[[AGRUP. VALOR. PTO.]:[AGRUP. VALOR. PTO.]]=$B63,IF(DATOS_[[Check Periodo Ref.]:[Check Periodo Ref.]]="Dentro",DATOS_[Conc.Sal.20]))))),
0)</f>
        <v>0</v>
      </c>
      <c r="Z64" s="170">
        <f t="array" ref="Z64">IFERROR(
MEDIAN((IF(DATOS_[[Sexo]:[Sexo]]=$B64,IF(DATOS_[[AGRUP. VALOR. PTO.]:[AGRUP. VALOR. PTO.]]=$B63,IF(DATOS_[[Check Periodo Ref.]:[Check Periodo Ref.]]="Dentro",DATOS_[Conc.Sal.21]))))),
0)</f>
        <v>0</v>
      </c>
      <c r="AA64" s="170">
        <f t="array" ref="AA64">IFERROR(
MEDIAN((IF(DATOS_[[Sexo]:[Sexo]]=$B64,IF(DATOS_[[AGRUP. VALOR. PTO.]:[AGRUP. VALOR. PTO.]]=$B63,IF(DATOS_[[Check Periodo Ref.]:[Check Periodo Ref.]]="Dentro",DATOS_[Conc.Sal.22]))))),
0)</f>
        <v>0</v>
      </c>
      <c r="AB64" s="170">
        <f t="array" ref="AB64">IFERROR(
MEDIAN((IF(DATOS_[[Sexo]:[Sexo]]=$B64,IF(DATOS_[[AGRUP. VALOR. PTO.]:[AGRUP. VALOR. PTO.]]=$B63,IF(DATOS_[[Check Periodo Ref.]:[Check Periodo Ref.]]="Dentro",DATOS_[Conc.Sal.23]))))),
0)</f>
        <v>0</v>
      </c>
      <c r="AC64" s="170">
        <f t="array" ref="AC64">IFERROR(
MEDIAN((IF(DATOS_[[Sexo]:[Sexo]]=$B64,IF(DATOS_[[AGRUP. VALOR. PTO.]:[AGRUP. VALOR. PTO.]]=$B63,IF(DATOS_[[Check Periodo Ref.]:[Check Periodo Ref.]]="Dentro",DATOS_[Conc.Sal.24]))))),
0)</f>
        <v>0</v>
      </c>
      <c r="AD64" s="170">
        <f t="array" ref="AD64">IFERROR(
MEDIAN((IF(DATOS_[[Sexo]:[Sexo]]=$B64,IF(DATOS_[[AGRUP. VALOR. PTO.]:[AGRUP. VALOR. PTO.]]=$B63,IF(DATOS_[[Check Periodo Ref.]:[Check Periodo Ref.]]="Dentro",DATOS_[Conc.Sal.25]))))),
0)</f>
        <v>0</v>
      </c>
      <c r="AE64" s="170">
        <f t="array" ref="AE64">IFERROR(
MEDIAN((IF(DATOS_[[Sexo]:[Sexo]]=$B64,IF(DATOS_[[AGRUP. VALOR. PTO.]:[AGRUP. VALOR. PTO.]]=$B63,IF(DATOS_[[Check Periodo Ref.]:[Check Periodo Ref.]]="Dentro",DATOS_[Conc.Sal.26]))))),
0)</f>
        <v>0</v>
      </c>
      <c r="AF64" s="170">
        <f t="array" ref="AF64">IFERROR(
MEDIAN((IF(DATOS_[[Sexo]:[Sexo]]=$B64,IF(DATOS_[[AGRUP. VALOR. PTO.]:[AGRUP. VALOR. PTO.]]=$B63,IF(DATOS_[[Check Periodo Ref.]:[Check Periodo Ref.]]="Dentro",DATOS_[Conc.Sal.27]))))),
0)</f>
        <v>0</v>
      </c>
      <c r="AG64" s="170">
        <f t="array" ref="AG64">IFERROR(
MEDIAN((IF(DATOS_[[Sexo]:[Sexo]]=$B64,IF(DATOS_[[AGRUP. VALOR. PTO.]:[AGRUP. VALOR. PTO.]]=$B63,IF(DATOS_[[Check Periodo Ref.]:[Check Periodo Ref.]]="Dentro",DATOS_[Conc.Sal.28]))))),
0)</f>
        <v>0</v>
      </c>
      <c r="AH64" s="170">
        <f t="array" ref="AH64">IFERROR(
MEDIAN((IF(DATOS_[[Sexo]:[Sexo]]=$B64,IF(DATOS_[[AGRUP. VALOR. PTO.]:[AGRUP. VALOR. PTO.]]=$B63,IF(DATOS_[[Check Periodo Ref.]:[Check Periodo Ref.]]="Dentro",DATOS_[Conc.Sal.29]))))),
0)</f>
        <v>0</v>
      </c>
      <c r="AI64" s="170">
        <f t="array" ref="AI64">IFERROR(
MEDIAN((IF(DATOS_[[Sexo]:[Sexo]]=$B64,IF(DATOS_[[AGRUP. VALOR. PTO.]:[AGRUP. VALOR. PTO.]]=$B63,IF(DATOS_[[Check Periodo Ref.]:[Check Periodo Ref.]]="Dentro",DATOS_[Conc.Sal.30]))))),
0)</f>
        <v>0</v>
      </c>
      <c r="AJ64" s="171">
        <f t="array" ref="AJ64">IFERROR(
MEDIAN(IF(DATOS_[Sexo]=$B64,IF(DATOS_[AGRUP. VALOR. PTO.]=$B63,IF(DATOS_[Check Periodo Ref.]="Dentro",DATOS_[Tot COMPL.SAL Ef],FALSE)))),
0)</f>
        <v>0</v>
      </c>
      <c r="AK64" s="172">
        <f t="array" ref="AK64">IFERROR(
MEDIAN(IF(DATOS_[Sexo]=$B64,IF(DATOS_[AGRUP. VALOR. PTO.]=$B63,IF(DATOS_[Check Periodo Ref.]="Dentro",DATOS_[TOTAL SALARIO Ef],FALSE)))),
0)</f>
        <v>0</v>
      </c>
      <c r="AL64" s="173">
        <f t="array" ref="AL64">IFERROR(
MEDIAN((IF(DATOS_[[Sexo]:[Sexo]]=$B64,IF(DATOS_[[AGRUP. VALOR. PTO.]:[AGRUP. VALOR. PTO.]]=$B63,IF(DATOS_[[Check Periodo Ref.]:[Check Periodo Ref.]]="Dentro",DATOS_[C.Extra.01]))))),
0)</f>
        <v>0</v>
      </c>
      <c r="AM64" s="173">
        <f t="array" ref="AM64">IFERROR(
MEDIAN((IF(DATOS_[[Sexo]:[Sexo]]=$B64,IF(DATOS_[[AGRUP. VALOR. PTO.]:[AGRUP. VALOR. PTO.]]=$B63,IF(DATOS_[[Check Periodo Ref.]:[Check Periodo Ref.]]="Dentro",DATOS_[C.Extra.06]))))),
0)</f>
        <v>0</v>
      </c>
      <c r="AN64" s="173">
        <f t="array" ref="AN64">IFERROR(
MEDIAN((IF(DATOS_[[Sexo]:[Sexo]]=$B64,IF(DATOS_[[AGRUP. VALOR. PTO.]:[AGRUP. VALOR. PTO.]]=$B63,IF(DATOS_[[Check Periodo Ref.]:[Check Periodo Ref.]]="Dentro",DATOS_[C.Extra.07]))))),
0)</f>
        <v>0</v>
      </c>
      <c r="AO64" s="173">
        <f t="array" ref="AO64">IFERROR(
MEDIAN((IF(DATOS_[[Sexo]:[Sexo]]=$B64,IF(DATOS_[[AGRUP. VALOR. PTO.]:[AGRUP. VALOR. PTO.]]=$B63,IF(DATOS_[[Check Periodo Ref.]:[Check Periodo Ref.]]="Dentro",DATOS_[C.Extra.08]))))),
0)</f>
        <v>0</v>
      </c>
      <c r="AP64" s="173">
        <f t="array" ref="AP64">IFERROR(
MEDIAN((IF(DATOS_[[Sexo]:[Sexo]]=$B64,IF(DATOS_[[AGRUP. VALOR. PTO.]:[AGRUP. VALOR. PTO.]]=$B63,IF(DATOS_[[Check Periodo Ref.]:[Check Periodo Ref.]]="Dentro",DATOS_[C.Extra.11]))))),
0)</f>
        <v>0</v>
      </c>
      <c r="AQ64" s="174">
        <f t="array" ref="AQ64">IFERROR(
MEDIAN(IF(DATOS_[Sexo]=$B64,IF(DATOS_[AGRUP. VALOR. PTO.]=$B63,IF(DATOS_[Check Periodo Ref.]="Dentro",DATOS_[Tot Extrasalarial Ef],FALSE)))),
0)</f>
        <v>0</v>
      </c>
      <c r="AR64" s="171">
        <f t="array" ref="AR64">IFERROR(
MEDIAN(IF(DATOS_[Sexo]=$B64,IF(DATOS_[AGRUP. VALOR. PTO.]=$B63,IF(DATOS_[Check Periodo Ref.]="Dentro",DATOS_[TOTAL Retrib Ef],FALSE)))),
0)</f>
        <v>0</v>
      </c>
    </row>
    <row r="65" spans="1:44" x14ac:dyDescent="0.25">
      <c r="A65" s="178" t="str">
        <f t="shared" ref="A65" si="70">+A64</f>
        <v>[ocultar]</v>
      </c>
      <c r="B65" s="166" t="s">
        <v>521</v>
      </c>
      <c r="C65" s="167">
        <f t="array" ref="C65">SUM(IF($B65=DATOS_[Sexo],
IF($B63=DATOS_[AGRUP. VALOR. PTO.],
IF("Dentro"=DATOS_[Check Periodo Ref.],
1/(COUNTIFS(DATOS_[Sexo],$B65,DATOS_[AGRUP. VALOR. PTO.],$B63,DATOS_[Check Periodo Ref.],"Dentro",DATOS_[id/cod],DATOS_[id/cod]))))))</f>
        <v>0</v>
      </c>
      <c r="D65" s="168">
        <f>COUNTIFS(DATOS_[AGRUP. VALOR. PTO.],$B63,DATOS_[Sexo],$B65,DATOS_[Check Periodo Ref.],"Dentro")</f>
        <v>0</v>
      </c>
      <c r="E65" s="169">
        <f t="array" ref="E65">IFERROR(
MEDIAN(IF(DATOS_[Sexo]=$B65,IF(DATOS_[AGRUP. VALOR. PTO.]=$B63,IF(DATOS_[Check Periodo Ref.]="Dentro",DATOS_[SALARIO BASE Ef],FALSE)))),
0)</f>
        <v>0</v>
      </c>
      <c r="F65" s="170">
        <f t="array" ref="F65">IFERROR(
MEDIAN((IF(DATOS_[[Sexo]:[Sexo]]=$B65,IF(DATOS_[[AGRUP. VALOR. PTO.]:[AGRUP. VALOR. PTO.]]=$B63,IF(DATOS_[[Check Periodo Ref.]:[Check Periodo Ref.]]="Dentro",DATOS_[Conc.Sal.01]))))),
0)</f>
        <v>0</v>
      </c>
      <c r="G65" s="170">
        <f t="array" ref="G65">IFERROR(
MEDIAN((IF(DATOS_[[Sexo]:[Sexo]]=$B65,IF(DATOS_[[AGRUP. VALOR. PTO.]:[AGRUP. VALOR. PTO.]]=$B63,IF(DATOS_[[Check Periodo Ref.]:[Check Periodo Ref.]]="Dentro",DATOS_[Conc.Sal.02]))))),
0)</f>
        <v>0</v>
      </c>
      <c r="H65" s="170">
        <f t="array" ref="H65">IFERROR(
MEDIAN((IF(DATOS_[[Sexo]:[Sexo]]=$B65,IF(DATOS_[[AGRUP. VALOR. PTO.]:[AGRUP. VALOR. PTO.]]=$B63,IF(DATOS_[[Check Periodo Ref.]:[Check Periodo Ref.]]="Dentro",DATOS_[Conc.Sal.03]))))),
0)</f>
        <v>0</v>
      </c>
      <c r="I65" s="170">
        <f t="array" ref="I65">IFERROR(
MEDIAN((IF(DATOS_[[Sexo]:[Sexo]]=$B65,IF(DATOS_[[AGRUP. VALOR. PTO.]:[AGRUP. VALOR. PTO.]]=$B63,IF(DATOS_[[Check Periodo Ref.]:[Check Periodo Ref.]]="Dentro",DATOS_[Conc.Sal.04]))))),
0)</f>
        <v>0</v>
      </c>
      <c r="J65" s="170">
        <f t="array" ref="J65">IFERROR(
MEDIAN((IF(DATOS_[[Sexo]:[Sexo]]=$B65,IF(DATOS_[[AGRUP. VALOR. PTO.]:[AGRUP. VALOR. PTO.]]=$B63,IF(DATOS_[[Check Periodo Ref.]:[Check Periodo Ref.]]="Dentro",DATOS_[Conc.Sal.05]))))),
0)</f>
        <v>0</v>
      </c>
      <c r="K65" s="170">
        <f t="array" ref="K65">IFERROR(
MEDIAN((IF(DATOS_[[Sexo]:[Sexo]]=$B65,IF(DATOS_[[AGRUP. VALOR. PTO.]:[AGRUP. VALOR. PTO.]]=$B63,IF(DATOS_[[Check Periodo Ref.]:[Check Periodo Ref.]]="Dentro",DATOS_[Conc.Sal.06]))))),
0)</f>
        <v>0</v>
      </c>
      <c r="L65" s="170">
        <f t="array" ref="L65">IFERROR(
MEDIAN((IF(DATOS_[[Sexo]:[Sexo]]=$B65,IF(DATOS_[[AGRUP. VALOR. PTO.]:[AGRUP. VALOR. PTO.]]=$B63,IF(DATOS_[[Check Periodo Ref.]:[Check Periodo Ref.]]="Dentro",DATOS_[Conc.Sal.07]))))),
0)</f>
        <v>0</v>
      </c>
      <c r="M65" s="170">
        <f t="array" ref="M65">IFERROR(
MEDIAN((IF(DATOS_[[Sexo]:[Sexo]]=$B65,IF(DATOS_[[AGRUP. VALOR. PTO.]:[AGRUP. VALOR. PTO.]]=$B63,IF(DATOS_[[Check Periodo Ref.]:[Check Periodo Ref.]]="Dentro",DATOS_[Conc.Sal.08]))))),
0)</f>
        <v>0</v>
      </c>
      <c r="N65" s="170">
        <f t="array" ref="N65">IFERROR(
MEDIAN((IF(DATOS_[[Sexo]:[Sexo]]=$B65,IF(DATOS_[[AGRUP. VALOR. PTO.]:[AGRUP. VALOR. PTO.]]=$B63,IF(DATOS_[[Check Periodo Ref.]:[Check Periodo Ref.]]="Dentro",DATOS_[Conc.Sal.09]))))),
0)</f>
        <v>0</v>
      </c>
      <c r="O65" s="170">
        <f t="array" ref="O65">IFERROR(
MEDIAN((IF(DATOS_[[Sexo]:[Sexo]]=$B65,IF(DATOS_[[AGRUP. VALOR. PTO.]:[AGRUP. VALOR. PTO.]]=$B63,IF(DATOS_[[Check Periodo Ref.]:[Check Periodo Ref.]]="Dentro",DATOS_[Conc.Sal.10]))))),
0)</f>
        <v>0</v>
      </c>
      <c r="P65" s="170">
        <f t="array" ref="P65">IFERROR(
MEDIAN((IF(DATOS_[[Sexo]:[Sexo]]=$B65,IF(DATOS_[[AGRUP. VALOR. PTO.]:[AGRUP. VALOR. PTO.]]=$B63,IF(DATOS_[[Check Periodo Ref.]:[Check Periodo Ref.]]="Dentro",DATOS_[Conc.Sal.11]))))),
0)</f>
        <v>0</v>
      </c>
      <c r="Q65" s="170">
        <f t="array" ref="Q65">IFERROR(
MEDIAN((IF(DATOS_[[Sexo]:[Sexo]]=$B65,IF(DATOS_[[AGRUP. VALOR. PTO.]:[AGRUP. VALOR. PTO.]]=$B63,IF(DATOS_[[Check Periodo Ref.]:[Check Periodo Ref.]]="Dentro",DATOS_[Conc.Sal.12]))))),
0)</f>
        <v>0</v>
      </c>
      <c r="R65" s="170">
        <f t="array" ref="R65">IFERROR(
MEDIAN((IF(DATOS_[[Sexo]:[Sexo]]=$B65,IF(DATOS_[[AGRUP. VALOR. PTO.]:[AGRUP. VALOR. PTO.]]=$B63,IF(DATOS_[[Check Periodo Ref.]:[Check Periodo Ref.]]="Dentro",DATOS_[Conc.Sal.13]))))),
0)</f>
        <v>0</v>
      </c>
      <c r="S65" s="170">
        <f t="array" ref="S65">IFERROR(
MEDIAN((IF(DATOS_[[Sexo]:[Sexo]]=$B65,IF(DATOS_[[AGRUP. VALOR. PTO.]:[AGRUP. VALOR. PTO.]]=$B63,IF(DATOS_[[Check Periodo Ref.]:[Check Periodo Ref.]]="Dentro",DATOS_[Conc.Sal.14]))))),
0)</f>
        <v>0</v>
      </c>
      <c r="T65" s="170">
        <f t="array" ref="T65">IFERROR(
MEDIAN((IF(DATOS_[[Sexo]:[Sexo]]=$B65,IF(DATOS_[[AGRUP. VALOR. PTO.]:[AGRUP. VALOR. PTO.]]=$B63,IF(DATOS_[[Check Periodo Ref.]:[Check Periodo Ref.]]="Dentro",DATOS_[Conc.Sal.15]))))),
0)</f>
        <v>0</v>
      </c>
      <c r="U65" s="170">
        <f t="array" ref="U65">IFERROR(
MEDIAN((IF(DATOS_[[Sexo]:[Sexo]]=$B65,IF(DATOS_[[AGRUP. VALOR. PTO.]:[AGRUP. VALOR. PTO.]]=$B63,IF(DATOS_[[Check Periodo Ref.]:[Check Periodo Ref.]]="Dentro",DATOS_[Conc.Sal.16]))))),
0)</f>
        <v>0</v>
      </c>
      <c r="V65" s="170">
        <f t="array" ref="V65">IFERROR(
MEDIAN((IF(DATOS_[[Sexo]:[Sexo]]=$B65,IF(DATOS_[[AGRUP. VALOR. PTO.]:[AGRUP. VALOR. PTO.]]=$B63,IF(DATOS_[[Check Periodo Ref.]:[Check Periodo Ref.]]="Dentro",DATOS_[Conc.Sal.17]))))),
0)</f>
        <v>0</v>
      </c>
      <c r="W65" s="170">
        <f t="array" ref="W65">IFERROR(
MEDIAN((IF(DATOS_[[Sexo]:[Sexo]]=$B65,IF(DATOS_[[AGRUP. VALOR. PTO.]:[AGRUP. VALOR. PTO.]]=$B63,IF(DATOS_[[Check Periodo Ref.]:[Check Periodo Ref.]]="Dentro",DATOS_[Conc.Sal.18]))))),
0)</f>
        <v>0</v>
      </c>
      <c r="X65" s="170">
        <f t="array" ref="X65">IFERROR(
MEDIAN((IF(DATOS_[[Sexo]:[Sexo]]=$B65,IF(DATOS_[[AGRUP. VALOR. PTO.]:[AGRUP. VALOR. PTO.]]=$B63,IF(DATOS_[[Check Periodo Ref.]:[Check Periodo Ref.]]="Dentro",DATOS_[Conc.Sal.19]))))),
0)</f>
        <v>0</v>
      </c>
      <c r="Y65" s="170">
        <f t="array" ref="Y65">IFERROR(
MEDIAN((IF(DATOS_[[Sexo]:[Sexo]]=$B65,IF(DATOS_[[AGRUP. VALOR. PTO.]:[AGRUP. VALOR. PTO.]]=$B63,IF(DATOS_[[Check Periodo Ref.]:[Check Periodo Ref.]]="Dentro",DATOS_[Conc.Sal.20]))))),
0)</f>
        <v>0</v>
      </c>
      <c r="Z65" s="170">
        <f t="array" ref="Z65">IFERROR(
MEDIAN((IF(DATOS_[[Sexo]:[Sexo]]=$B65,IF(DATOS_[[AGRUP. VALOR. PTO.]:[AGRUP. VALOR. PTO.]]=$B63,IF(DATOS_[[Check Periodo Ref.]:[Check Periodo Ref.]]="Dentro",DATOS_[Conc.Sal.21]))))),
0)</f>
        <v>0</v>
      </c>
      <c r="AA65" s="170">
        <f t="array" ref="AA65">IFERROR(
MEDIAN((IF(DATOS_[[Sexo]:[Sexo]]=$B65,IF(DATOS_[[AGRUP. VALOR. PTO.]:[AGRUP. VALOR. PTO.]]=$B63,IF(DATOS_[[Check Periodo Ref.]:[Check Periodo Ref.]]="Dentro",DATOS_[Conc.Sal.22]))))),
0)</f>
        <v>0</v>
      </c>
      <c r="AB65" s="170">
        <f t="array" ref="AB65">IFERROR(
MEDIAN((IF(DATOS_[[Sexo]:[Sexo]]=$B65,IF(DATOS_[[AGRUP. VALOR. PTO.]:[AGRUP. VALOR. PTO.]]=$B63,IF(DATOS_[[Check Periodo Ref.]:[Check Periodo Ref.]]="Dentro",DATOS_[Conc.Sal.23]))))),
0)</f>
        <v>0</v>
      </c>
      <c r="AC65" s="170">
        <f t="array" ref="AC65">IFERROR(
MEDIAN((IF(DATOS_[[Sexo]:[Sexo]]=$B65,IF(DATOS_[[AGRUP. VALOR. PTO.]:[AGRUP. VALOR. PTO.]]=$B63,IF(DATOS_[[Check Periodo Ref.]:[Check Periodo Ref.]]="Dentro",DATOS_[Conc.Sal.24]))))),
0)</f>
        <v>0</v>
      </c>
      <c r="AD65" s="170">
        <f t="array" ref="AD65">IFERROR(
MEDIAN((IF(DATOS_[[Sexo]:[Sexo]]=$B65,IF(DATOS_[[AGRUP. VALOR. PTO.]:[AGRUP. VALOR. PTO.]]=$B63,IF(DATOS_[[Check Periodo Ref.]:[Check Periodo Ref.]]="Dentro",DATOS_[Conc.Sal.25]))))),
0)</f>
        <v>0</v>
      </c>
      <c r="AE65" s="170">
        <f t="array" ref="AE65">IFERROR(
MEDIAN((IF(DATOS_[[Sexo]:[Sexo]]=$B65,IF(DATOS_[[AGRUP. VALOR. PTO.]:[AGRUP. VALOR. PTO.]]=$B63,IF(DATOS_[[Check Periodo Ref.]:[Check Periodo Ref.]]="Dentro",DATOS_[Conc.Sal.26]))))),
0)</f>
        <v>0</v>
      </c>
      <c r="AF65" s="170">
        <f t="array" ref="AF65">IFERROR(
MEDIAN((IF(DATOS_[[Sexo]:[Sexo]]=$B65,IF(DATOS_[[AGRUP. VALOR. PTO.]:[AGRUP. VALOR. PTO.]]=$B63,IF(DATOS_[[Check Periodo Ref.]:[Check Periodo Ref.]]="Dentro",DATOS_[Conc.Sal.27]))))),
0)</f>
        <v>0</v>
      </c>
      <c r="AG65" s="170">
        <f t="array" ref="AG65">IFERROR(
MEDIAN((IF(DATOS_[[Sexo]:[Sexo]]=$B65,IF(DATOS_[[AGRUP. VALOR. PTO.]:[AGRUP. VALOR. PTO.]]=$B63,IF(DATOS_[[Check Periodo Ref.]:[Check Periodo Ref.]]="Dentro",DATOS_[Conc.Sal.28]))))),
0)</f>
        <v>0</v>
      </c>
      <c r="AH65" s="170">
        <f t="array" ref="AH65">IFERROR(
MEDIAN((IF(DATOS_[[Sexo]:[Sexo]]=$B65,IF(DATOS_[[AGRUP. VALOR. PTO.]:[AGRUP. VALOR. PTO.]]=$B63,IF(DATOS_[[Check Periodo Ref.]:[Check Periodo Ref.]]="Dentro",DATOS_[Conc.Sal.29]))))),
0)</f>
        <v>0</v>
      </c>
      <c r="AI65" s="170">
        <f t="array" ref="AI65">IFERROR(
MEDIAN((IF(DATOS_[[Sexo]:[Sexo]]=$B65,IF(DATOS_[[AGRUP. VALOR. PTO.]:[AGRUP. VALOR. PTO.]]=$B63,IF(DATOS_[[Check Periodo Ref.]:[Check Periodo Ref.]]="Dentro",DATOS_[Conc.Sal.30]))))),
0)</f>
        <v>0</v>
      </c>
      <c r="AJ65" s="171">
        <f t="array" ref="AJ65">IFERROR(
MEDIAN(IF(DATOS_[Sexo]=$B65,IF(DATOS_[AGRUP. VALOR. PTO.]=$B63,IF(DATOS_[Check Periodo Ref.]="Dentro",DATOS_[Tot COMPL.SAL Ef],FALSE)))),
0)</f>
        <v>0</v>
      </c>
      <c r="AK65" s="172">
        <f t="array" ref="AK65">IFERROR(
MEDIAN(IF(DATOS_[Sexo]=$B65,IF(DATOS_[AGRUP. VALOR. PTO.]=$B63,IF(DATOS_[Check Periodo Ref.]="Dentro",DATOS_[TOTAL SALARIO Ef],FALSE)))),
0)</f>
        <v>0</v>
      </c>
      <c r="AL65" s="173">
        <f t="array" ref="AL65">IFERROR(
MEDIAN((IF(DATOS_[[Sexo]:[Sexo]]=$B65,IF(DATOS_[[AGRUP. VALOR. PTO.]:[AGRUP. VALOR. PTO.]]=$B63,IF(DATOS_[[Check Periodo Ref.]:[Check Periodo Ref.]]="Dentro",DATOS_[C.Extra.01]))))),
0)</f>
        <v>0</v>
      </c>
      <c r="AM65" s="173">
        <f t="array" ref="AM65">IFERROR(
MEDIAN((IF(DATOS_[[Sexo]:[Sexo]]=$B65,IF(DATOS_[[AGRUP. VALOR. PTO.]:[AGRUP. VALOR. PTO.]]=$B63,IF(DATOS_[[Check Periodo Ref.]:[Check Periodo Ref.]]="Dentro",DATOS_[C.Extra.06]))))),
0)</f>
        <v>0</v>
      </c>
      <c r="AN65" s="173">
        <f t="array" ref="AN65">IFERROR(
MEDIAN((IF(DATOS_[[Sexo]:[Sexo]]=$B65,IF(DATOS_[[AGRUP. VALOR. PTO.]:[AGRUP. VALOR. PTO.]]=$B63,IF(DATOS_[[Check Periodo Ref.]:[Check Periodo Ref.]]="Dentro",DATOS_[C.Extra.07]))))),
0)</f>
        <v>0</v>
      </c>
      <c r="AO65" s="173">
        <f t="array" ref="AO65">IFERROR(
MEDIAN((IF(DATOS_[[Sexo]:[Sexo]]=$B65,IF(DATOS_[[AGRUP. VALOR. PTO.]:[AGRUP. VALOR. PTO.]]=$B63,IF(DATOS_[[Check Periodo Ref.]:[Check Periodo Ref.]]="Dentro",DATOS_[C.Extra.08]))))),
0)</f>
        <v>0</v>
      </c>
      <c r="AP65" s="173">
        <f t="array" ref="AP65">IFERROR(
MEDIAN((IF(DATOS_[[Sexo]:[Sexo]]=$B65,IF(DATOS_[[AGRUP. VALOR. PTO.]:[AGRUP. VALOR. PTO.]]=$B63,IF(DATOS_[[Check Periodo Ref.]:[Check Periodo Ref.]]="Dentro",DATOS_[C.Extra.11]))))),
0)</f>
        <v>0</v>
      </c>
      <c r="AQ65" s="174">
        <f t="array" ref="AQ65">IFERROR(
MEDIAN(IF(DATOS_[Sexo]=$B65,IF(DATOS_[AGRUP. VALOR. PTO.]=$B63,IF(DATOS_[Check Periodo Ref.]="Dentro",DATOS_[Tot Extrasalarial Ef],FALSE)))),
0)</f>
        <v>0</v>
      </c>
      <c r="AR65" s="171">
        <f t="array" ref="AR65">IFERROR(
MEDIAN(IF(DATOS_[Sexo]=$B65,IF(DATOS_[AGRUP. VALOR. PTO.]=$B63,IF(DATOS_[Check Periodo Ref.]="Dentro",DATOS_[TOTAL Retrib Ef],FALSE)))),
0)</f>
        <v>0</v>
      </c>
    </row>
    <row r="66" spans="1:44" ht="14.4" thickBot="1" x14ac:dyDescent="0.3">
      <c r="A66" s="178" t="str">
        <f t="shared" ref="A66" si="71">+A67</f>
        <v>[ocultar]</v>
      </c>
      <c r="B66" s="153" t="s">
        <v>249</v>
      </c>
      <c r="C66" s="154"/>
      <c r="D66" s="155"/>
      <c r="E66" s="156" t="str">
        <f t="shared" ref="E66:AR66" si="72">IFERROR((E67-E68)/E67,"")</f>
        <v/>
      </c>
      <c r="F66" s="157" t="str">
        <f t="shared" si="72"/>
        <v/>
      </c>
      <c r="G66" s="158" t="str">
        <f t="shared" si="72"/>
        <v/>
      </c>
      <c r="H66" s="158" t="str">
        <f t="shared" si="72"/>
        <v/>
      </c>
      <c r="I66" s="158" t="str">
        <f t="shared" si="72"/>
        <v/>
      </c>
      <c r="J66" s="159" t="str">
        <f t="shared" si="72"/>
        <v/>
      </c>
      <c r="K66" s="160" t="str">
        <f t="shared" si="72"/>
        <v/>
      </c>
      <c r="L66" s="160" t="str">
        <f t="shared" si="72"/>
        <v/>
      </c>
      <c r="M66" s="160" t="str">
        <f t="shared" si="72"/>
        <v/>
      </c>
      <c r="N66" s="160" t="str">
        <f t="shared" si="72"/>
        <v/>
      </c>
      <c r="O66" s="160" t="str">
        <f t="shared" si="72"/>
        <v/>
      </c>
      <c r="P66" s="160" t="str">
        <f t="shared" si="72"/>
        <v/>
      </c>
      <c r="Q66" s="160" t="str">
        <f t="shared" si="72"/>
        <v/>
      </c>
      <c r="R66" s="160" t="str">
        <f t="shared" si="72"/>
        <v/>
      </c>
      <c r="S66" s="160" t="str">
        <f t="shared" si="72"/>
        <v/>
      </c>
      <c r="T66" s="160" t="str">
        <f t="shared" si="72"/>
        <v/>
      </c>
      <c r="U66" s="160" t="str">
        <f t="shared" si="72"/>
        <v/>
      </c>
      <c r="V66" s="159" t="str">
        <f t="shared" si="72"/>
        <v/>
      </c>
      <c r="W66" s="159" t="str">
        <f t="shared" si="72"/>
        <v/>
      </c>
      <c r="X66" s="159" t="str">
        <f t="shared" si="72"/>
        <v/>
      </c>
      <c r="Y66" s="159" t="str">
        <f t="shared" si="72"/>
        <v/>
      </c>
      <c r="Z66" s="159" t="str">
        <f t="shared" si="72"/>
        <v/>
      </c>
      <c r="AA66" s="159" t="str">
        <f t="shared" si="72"/>
        <v/>
      </c>
      <c r="AB66" s="159" t="str">
        <f t="shared" si="72"/>
        <v/>
      </c>
      <c r="AC66" s="159" t="str">
        <f t="shared" si="72"/>
        <v/>
      </c>
      <c r="AD66" s="159" t="str">
        <f t="shared" si="72"/>
        <v/>
      </c>
      <c r="AE66" s="159" t="str">
        <f t="shared" si="72"/>
        <v/>
      </c>
      <c r="AF66" s="159" t="str">
        <f t="shared" si="72"/>
        <v/>
      </c>
      <c r="AG66" s="159" t="str">
        <f t="shared" si="72"/>
        <v/>
      </c>
      <c r="AH66" s="159" t="str">
        <f t="shared" si="72"/>
        <v/>
      </c>
      <c r="AI66" s="159" t="str">
        <f t="shared" si="72"/>
        <v/>
      </c>
      <c r="AJ66" s="161" t="str">
        <f t="shared" si="72"/>
        <v/>
      </c>
      <c r="AK66" s="162" t="str">
        <f t="shared" si="72"/>
        <v/>
      </c>
      <c r="AL66" s="163" t="str">
        <f t="shared" si="72"/>
        <v/>
      </c>
      <c r="AM66" s="163" t="str">
        <f t="shared" si="72"/>
        <v/>
      </c>
      <c r="AN66" s="163" t="str">
        <f t="shared" si="72"/>
        <v/>
      </c>
      <c r="AO66" s="163" t="str">
        <f t="shared" si="72"/>
        <v/>
      </c>
      <c r="AP66" s="163" t="str">
        <f t="shared" si="72"/>
        <v/>
      </c>
      <c r="AQ66" s="164" t="str">
        <f t="shared" si="72"/>
        <v/>
      </c>
      <c r="AR66" s="161" t="str">
        <f t="shared" si="72"/>
        <v/>
      </c>
    </row>
    <row r="67" spans="1:44" x14ac:dyDescent="0.25">
      <c r="A67" s="178" t="str">
        <f t="shared" ref="A67" si="73">+IF(C67+C68=0,"[ocultar]","")</f>
        <v>[ocultar]</v>
      </c>
      <c r="B67" s="166" t="s">
        <v>394</v>
      </c>
      <c r="C67" s="167">
        <f t="array" ref="C67">SUM(IF($B67=DATOS_[Sexo],
IF($B66=DATOS_[AGRUP. VALOR. PTO.],
IF("Dentro"=DATOS_[Check Periodo Ref.],
1/(COUNTIFS(DATOS_[Sexo],$B67,DATOS_[AGRUP. VALOR. PTO.],$B66,DATOS_[Check Periodo Ref.],"Dentro",DATOS_[id/cod],DATOS_[id/cod]))))))</f>
        <v>0</v>
      </c>
      <c r="D67" s="168">
        <f>COUNTIFS(DATOS_[AGRUP. VALOR. PTO.],$B66,DATOS_[Sexo],$B67,DATOS_[Check Periodo Ref.],"Dentro")</f>
        <v>0</v>
      </c>
      <c r="E67" s="169">
        <f t="array" ref="E67">IFERROR(
MEDIAN(IF(DATOS_[Sexo]=$B67,IF(DATOS_[AGRUP. VALOR. PTO.]=$B66,IF(DATOS_[Check Periodo Ref.]="Dentro",DATOS_[SALARIO BASE Ef],FALSE)))),
0)</f>
        <v>0</v>
      </c>
      <c r="F67" s="170">
        <f t="array" ref="F67">IFERROR(
MEDIAN((IF(DATOS_[[Sexo]:[Sexo]]=$B67,IF(DATOS_[[AGRUP. VALOR. PTO.]:[AGRUP. VALOR. PTO.]]=$B66,IF(DATOS_[[Check Periodo Ref.]:[Check Periodo Ref.]]="Dentro",DATOS_[Conc.Sal.01]))))),
0)</f>
        <v>0</v>
      </c>
      <c r="G67" s="170">
        <f t="array" ref="G67">IFERROR(
MEDIAN((IF(DATOS_[[Sexo]:[Sexo]]=$B67,IF(DATOS_[[AGRUP. VALOR. PTO.]:[AGRUP. VALOR. PTO.]]=$B66,IF(DATOS_[[Check Periodo Ref.]:[Check Periodo Ref.]]="Dentro",DATOS_[Conc.Sal.02]))))),
0)</f>
        <v>0</v>
      </c>
      <c r="H67" s="170">
        <f t="array" ref="H67">IFERROR(
MEDIAN((IF(DATOS_[[Sexo]:[Sexo]]=$B67,IF(DATOS_[[AGRUP. VALOR. PTO.]:[AGRUP. VALOR. PTO.]]=$B66,IF(DATOS_[[Check Periodo Ref.]:[Check Periodo Ref.]]="Dentro",DATOS_[Conc.Sal.03]))))),
0)</f>
        <v>0</v>
      </c>
      <c r="I67" s="170">
        <f t="array" ref="I67">IFERROR(
MEDIAN((IF(DATOS_[[Sexo]:[Sexo]]=$B67,IF(DATOS_[[AGRUP. VALOR. PTO.]:[AGRUP. VALOR. PTO.]]=$B66,IF(DATOS_[[Check Periodo Ref.]:[Check Periodo Ref.]]="Dentro",DATOS_[Conc.Sal.04]))))),
0)</f>
        <v>0</v>
      </c>
      <c r="J67" s="170">
        <f t="array" ref="J67">IFERROR(
MEDIAN((IF(DATOS_[[Sexo]:[Sexo]]=$B67,IF(DATOS_[[AGRUP. VALOR. PTO.]:[AGRUP. VALOR. PTO.]]=$B66,IF(DATOS_[[Check Periodo Ref.]:[Check Periodo Ref.]]="Dentro",DATOS_[Conc.Sal.05]))))),
0)</f>
        <v>0</v>
      </c>
      <c r="K67" s="170">
        <f t="array" ref="K67">IFERROR(
MEDIAN((IF(DATOS_[[Sexo]:[Sexo]]=$B67,IF(DATOS_[[AGRUP. VALOR. PTO.]:[AGRUP. VALOR. PTO.]]=$B66,IF(DATOS_[[Check Periodo Ref.]:[Check Periodo Ref.]]="Dentro",DATOS_[Conc.Sal.06]))))),
0)</f>
        <v>0</v>
      </c>
      <c r="L67" s="170">
        <f t="array" ref="L67">IFERROR(
MEDIAN((IF(DATOS_[[Sexo]:[Sexo]]=$B67,IF(DATOS_[[AGRUP. VALOR. PTO.]:[AGRUP. VALOR. PTO.]]=$B66,IF(DATOS_[[Check Periodo Ref.]:[Check Periodo Ref.]]="Dentro",DATOS_[Conc.Sal.07]))))),
0)</f>
        <v>0</v>
      </c>
      <c r="M67" s="170">
        <f t="array" ref="M67">IFERROR(
MEDIAN((IF(DATOS_[[Sexo]:[Sexo]]=$B67,IF(DATOS_[[AGRUP. VALOR. PTO.]:[AGRUP. VALOR. PTO.]]=$B66,IF(DATOS_[[Check Periodo Ref.]:[Check Periodo Ref.]]="Dentro",DATOS_[Conc.Sal.08]))))),
0)</f>
        <v>0</v>
      </c>
      <c r="N67" s="170">
        <f t="array" ref="N67">IFERROR(
MEDIAN((IF(DATOS_[[Sexo]:[Sexo]]=$B67,IF(DATOS_[[AGRUP. VALOR. PTO.]:[AGRUP. VALOR. PTO.]]=$B66,IF(DATOS_[[Check Periodo Ref.]:[Check Periodo Ref.]]="Dentro",DATOS_[Conc.Sal.09]))))),
0)</f>
        <v>0</v>
      </c>
      <c r="O67" s="170">
        <f t="array" ref="O67">IFERROR(
MEDIAN((IF(DATOS_[[Sexo]:[Sexo]]=$B67,IF(DATOS_[[AGRUP. VALOR. PTO.]:[AGRUP. VALOR. PTO.]]=$B66,IF(DATOS_[[Check Periodo Ref.]:[Check Periodo Ref.]]="Dentro",DATOS_[Conc.Sal.10]))))),
0)</f>
        <v>0</v>
      </c>
      <c r="P67" s="170">
        <f t="array" ref="P67">IFERROR(
MEDIAN((IF(DATOS_[[Sexo]:[Sexo]]=$B67,IF(DATOS_[[AGRUP. VALOR. PTO.]:[AGRUP. VALOR. PTO.]]=$B66,IF(DATOS_[[Check Periodo Ref.]:[Check Periodo Ref.]]="Dentro",DATOS_[Conc.Sal.11]))))),
0)</f>
        <v>0</v>
      </c>
      <c r="Q67" s="170">
        <f t="array" ref="Q67">IFERROR(
MEDIAN((IF(DATOS_[[Sexo]:[Sexo]]=$B67,IF(DATOS_[[AGRUP. VALOR. PTO.]:[AGRUP. VALOR. PTO.]]=$B66,IF(DATOS_[[Check Periodo Ref.]:[Check Periodo Ref.]]="Dentro",DATOS_[Conc.Sal.12]))))),
0)</f>
        <v>0</v>
      </c>
      <c r="R67" s="170">
        <f t="array" ref="R67">IFERROR(
MEDIAN((IF(DATOS_[[Sexo]:[Sexo]]=$B67,IF(DATOS_[[AGRUP. VALOR. PTO.]:[AGRUP. VALOR. PTO.]]=$B66,IF(DATOS_[[Check Periodo Ref.]:[Check Periodo Ref.]]="Dentro",DATOS_[Conc.Sal.13]))))),
0)</f>
        <v>0</v>
      </c>
      <c r="S67" s="170">
        <f t="array" ref="S67">IFERROR(
MEDIAN((IF(DATOS_[[Sexo]:[Sexo]]=$B67,IF(DATOS_[[AGRUP. VALOR. PTO.]:[AGRUP. VALOR. PTO.]]=$B66,IF(DATOS_[[Check Periodo Ref.]:[Check Periodo Ref.]]="Dentro",DATOS_[Conc.Sal.14]))))),
0)</f>
        <v>0</v>
      </c>
      <c r="T67" s="170">
        <f t="array" ref="T67">IFERROR(
MEDIAN((IF(DATOS_[[Sexo]:[Sexo]]=$B67,IF(DATOS_[[AGRUP. VALOR. PTO.]:[AGRUP. VALOR. PTO.]]=$B66,IF(DATOS_[[Check Periodo Ref.]:[Check Periodo Ref.]]="Dentro",DATOS_[Conc.Sal.15]))))),
0)</f>
        <v>0</v>
      </c>
      <c r="U67" s="170">
        <f t="array" ref="U67">IFERROR(
MEDIAN((IF(DATOS_[[Sexo]:[Sexo]]=$B67,IF(DATOS_[[AGRUP. VALOR. PTO.]:[AGRUP. VALOR. PTO.]]=$B66,IF(DATOS_[[Check Periodo Ref.]:[Check Periodo Ref.]]="Dentro",DATOS_[Conc.Sal.16]))))),
0)</f>
        <v>0</v>
      </c>
      <c r="V67" s="170">
        <f t="array" ref="V67">IFERROR(
MEDIAN((IF(DATOS_[[Sexo]:[Sexo]]=$B67,IF(DATOS_[[AGRUP. VALOR. PTO.]:[AGRUP. VALOR. PTO.]]=$B66,IF(DATOS_[[Check Periodo Ref.]:[Check Periodo Ref.]]="Dentro",DATOS_[Conc.Sal.17]))))),
0)</f>
        <v>0</v>
      </c>
      <c r="W67" s="170">
        <f t="array" ref="W67">IFERROR(
MEDIAN((IF(DATOS_[[Sexo]:[Sexo]]=$B67,IF(DATOS_[[AGRUP. VALOR. PTO.]:[AGRUP. VALOR. PTO.]]=$B66,IF(DATOS_[[Check Periodo Ref.]:[Check Periodo Ref.]]="Dentro",DATOS_[Conc.Sal.18]))))),
0)</f>
        <v>0</v>
      </c>
      <c r="X67" s="170">
        <f t="array" ref="X67">IFERROR(
MEDIAN((IF(DATOS_[[Sexo]:[Sexo]]=$B67,IF(DATOS_[[AGRUP. VALOR. PTO.]:[AGRUP. VALOR. PTO.]]=$B66,IF(DATOS_[[Check Periodo Ref.]:[Check Periodo Ref.]]="Dentro",DATOS_[Conc.Sal.19]))))),
0)</f>
        <v>0</v>
      </c>
      <c r="Y67" s="170">
        <f t="array" ref="Y67">IFERROR(
MEDIAN((IF(DATOS_[[Sexo]:[Sexo]]=$B67,IF(DATOS_[[AGRUP. VALOR. PTO.]:[AGRUP. VALOR. PTO.]]=$B66,IF(DATOS_[[Check Periodo Ref.]:[Check Periodo Ref.]]="Dentro",DATOS_[Conc.Sal.20]))))),
0)</f>
        <v>0</v>
      </c>
      <c r="Z67" s="170">
        <f t="array" ref="Z67">IFERROR(
MEDIAN((IF(DATOS_[[Sexo]:[Sexo]]=$B67,IF(DATOS_[[AGRUP. VALOR. PTO.]:[AGRUP. VALOR. PTO.]]=$B66,IF(DATOS_[[Check Periodo Ref.]:[Check Periodo Ref.]]="Dentro",DATOS_[Conc.Sal.21]))))),
0)</f>
        <v>0</v>
      </c>
      <c r="AA67" s="170">
        <f t="array" ref="AA67">IFERROR(
MEDIAN((IF(DATOS_[[Sexo]:[Sexo]]=$B67,IF(DATOS_[[AGRUP. VALOR. PTO.]:[AGRUP. VALOR. PTO.]]=$B66,IF(DATOS_[[Check Periodo Ref.]:[Check Periodo Ref.]]="Dentro",DATOS_[Conc.Sal.22]))))),
0)</f>
        <v>0</v>
      </c>
      <c r="AB67" s="170">
        <f t="array" ref="AB67">IFERROR(
MEDIAN((IF(DATOS_[[Sexo]:[Sexo]]=$B67,IF(DATOS_[[AGRUP. VALOR. PTO.]:[AGRUP. VALOR. PTO.]]=$B66,IF(DATOS_[[Check Periodo Ref.]:[Check Periodo Ref.]]="Dentro",DATOS_[Conc.Sal.23]))))),
0)</f>
        <v>0</v>
      </c>
      <c r="AC67" s="170">
        <f t="array" ref="AC67">IFERROR(
MEDIAN((IF(DATOS_[[Sexo]:[Sexo]]=$B67,IF(DATOS_[[AGRUP. VALOR. PTO.]:[AGRUP. VALOR. PTO.]]=$B66,IF(DATOS_[[Check Periodo Ref.]:[Check Periodo Ref.]]="Dentro",DATOS_[Conc.Sal.24]))))),
0)</f>
        <v>0</v>
      </c>
      <c r="AD67" s="170">
        <f t="array" ref="AD67">IFERROR(
MEDIAN((IF(DATOS_[[Sexo]:[Sexo]]=$B67,IF(DATOS_[[AGRUP. VALOR. PTO.]:[AGRUP. VALOR. PTO.]]=$B66,IF(DATOS_[[Check Periodo Ref.]:[Check Periodo Ref.]]="Dentro",DATOS_[Conc.Sal.25]))))),
0)</f>
        <v>0</v>
      </c>
      <c r="AE67" s="170">
        <f t="array" ref="AE67">IFERROR(
MEDIAN((IF(DATOS_[[Sexo]:[Sexo]]=$B67,IF(DATOS_[[AGRUP. VALOR. PTO.]:[AGRUP. VALOR. PTO.]]=$B66,IF(DATOS_[[Check Periodo Ref.]:[Check Periodo Ref.]]="Dentro",DATOS_[Conc.Sal.26]))))),
0)</f>
        <v>0</v>
      </c>
      <c r="AF67" s="170">
        <f t="array" ref="AF67">IFERROR(
MEDIAN((IF(DATOS_[[Sexo]:[Sexo]]=$B67,IF(DATOS_[[AGRUP. VALOR. PTO.]:[AGRUP. VALOR. PTO.]]=$B66,IF(DATOS_[[Check Periodo Ref.]:[Check Periodo Ref.]]="Dentro",DATOS_[Conc.Sal.27]))))),
0)</f>
        <v>0</v>
      </c>
      <c r="AG67" s="170">
        <f t="array" ref="AG67">IFERROR(
MEDIAN((IF(DATOS_[[Sexo]:[Sexo]]=$B67,IF(DATOS_[[AGRUP. VALOR. PTO.]:[AGRUP. VALOR. PTO.]]=$B66,IF(DATOS_[[Check Periodo Ref.]:[Check Periodo Ref.]]="Dentro",DATOS_[Conc.Sal.28]))))),
0)</f>
        <v>0</v>
      </c>
      <c r="AH67" s="170">
        <f t="array" ref="AH67">IFERROR(
MEDIAN((IF(DATOS_[[Sexo]:[Sexo]]=$B67,IF(DATOS_[[AGRUP. VALOR. PTO.]:[AGRUP. VALOR. PTO.]]=$B66,IF(DATOS_[[Check Periodo Ref.]:[Check Periodo Ref.]]="Dentro",DATOS_[Conc.Sal.29]))))),
0)</f>
        <v>0</v>
      </c>
      <c r="AI67" s="170">
        <f t="array" ref="AI67">IFERROR(
MEDIAN((IF(DATOS_[[Sexo]:[Sexo]]=$B67,IF(DATOS_[[AGRUP. VALOR. PTO.]:[AGRUP. VALOR. PTO.]]=$B66,IF(DATOS_[[Check Periodo Ref.]:[Check Periodo Ref.]]="Dentro",DATOS_[Conc.Sal.30]))))),
0)</f>
        <v>0</v>
      </c>
      <c r="AJ67" s="171">
        <f t="array" ref="AJ67">IFERROR(
MEDIAN(IF(DATOS_[Sexo]=$B67,IF(DATOS_[AGRUP. VALOR. PTO.]=$B66,IF(DATOS_[Check Periodo Ref.]="Dentro",DATOS_[Tot COMPL.SAL Ef],FALSE)))),
0)</f>
        <v>0</v>
      </c>
      <c r="AK67" s="172">
        <f t="array" ref="AK67">IFERROR(
MEDIAN(IF(DATOS_[Sexo]=$B67,IF(DATOS_[AGRUP. VALOR. PTO.]=$B66,IF(DATOS_[Check Periodo Ref.]="Dentro",DATOS_[TOTAL SALARIO Ef],FALSE)))),
0)</f>
        <v>0</v>
      </c>
      <c r="AL67" s="173">
        <f t="array" ref="AL67">IFERROR(
MEDIAN((IF(DATOS_[[Sexo]:[Sexo]]=$B67,IF(DATOS_[[AGRUP. VALOR. PTO.]:[AGRUP. VALOR. PTO.]]=$B66,IF(DATOS_[[Check Periodo Ref.]:[Check Periodo Ref.]]="Dentro",DATOS_[C.Extra.01]))))),
0)</f>
        <v>0</v>
      </c>
      <c r="AM67" s="173">
        <f t="array" ref="AM67">IFERROR(
MEDIAN((IF(DATOS_[[Sexo]:[Sexo]]=$B67,IF(DATOS_[[AGRUP. VALOR. PTO.]:[AGRUP. VALOR. PTO.]]=$B66,IF(DATOS_[[Check Periodo Ref.]:[Check Periodo Ref.]]="Dentro",DATOS_[C.Extra.06]))))),
0)</f>
        <v>0</v>
      </c>
      <c r="AN67" s="173">
        <f t="array" ref="AN67">IFERROR(
MEDIAN((IF(DATOS_[[Sexo]:[Sexo]]=$B67,IF(DATOS_[[AGRUP. VALOR. PTO.]:[AGRUP. VALOR. PTO.]]=$B66,IF(DATOS_[[Check Periodo Ref.]:[Check Periodo Ref.]]="Dentro",DATOS_[C.Extra.07]))))),
0)</f>
        <v>0</v>
      </c>
      <c r="AO67" s="173">
        <f t="array" ref="AO67">IFERROR(
MEDIAN((IF(DATOS_[[Sexo]:[Sexo]]=$B67,IF(DATOS_[[AGRUP. VALOR. PTO.]:[AGRUP. VALOR. PTO.]]=$B66,IF(DATOS_[[Check Periodo Ref.]:[Check Periodo Ref.]]="Dentro",DATOS_[C.Extra.08]))))),
0)</f>
        <v>0</v>
      </c>
      <c r="AP67" s="173">
        <f t="array" ref="AP67">IFERROR(
MEDIAN((IF(DATOS_[[Sexo]:[Sexo]]=$B67,IF(DATOS_[[AGRUP. VALOR. PTO.]:[AGRUP. VALOR. PTO.]]=$B66,IF(DATOS_[[Check Periodo Ref.]:[Check Periodo Ref.]]="Dentro",DATOS_[C.Extra.11]))))),
0)</f>
        <v>0</v>
      </c>
      <c r="AQ67" s="174">
        <f t="array" ref="AQ67">IFERROR(
MEDIAN(IF(DATOS_[Sexo]=$B67,IF(DATOS_[AGRUP. VALOR. PTO.]=$B66,IF(DATOS_[Check Periodo Ref.]="Dentro",DATOS_[Tot Extrasalarial Ef],FALSE)))),
0)</f>
        <v>0</v>
      </c>
      <c r="AR67" s="171">
        <f t="array" ref="AR67">IFERROR(
MEDIAN(IF(DATOS_[Sexo]=$B67,IF(DATOS_[AGRUP. VALOR. PTO.]=$B66,IF(DATOS_[Check Periodo Ref.]="Dentro",DATOS_[TOTAL Retrib Ef],FALSE)))),
0)</f>
        <v>0</v>
      </c>
    </row>
    <row r="68" spans="1:44" x14ac:dyDescent="0.25">
      <c r="A68" s="178" t="str">
        <f t="shared" ref="A68" si="74">+A67</f>
        <v>[ocultar]</v>
      </c>
      <c r="B68" s="166" t="s">
        <v>521</v>
      </c>
      <c r="C68" s="167">
        <f t="array" ref="C68">SUM(IF($B68=DATOS_[Sexo],
IF($B66=DATOS_[AGRUP. VALOR. PTO.],
IF("Dentro"=DATOS_[Check Periodo Ref.],
1/(COUNTIFS(DATOS_[Sexo],$B68,DATOS_[AGRUP. VALOR. PTO.],$B66,DATOS_[Check Periodo Ref.],"Dentro",DATOS_[id/cod],DATOS_[id/cod]))))))</f>
        <v>0</v>
      </c>
      <c r="D68" s="168">
        <f>COUNTIFS(DATOS_[AGRUP. VALOR. PTO.],$B66,DATOS_[Sexo],$B68,DATOS_[Check Periodo Ref.],"Dentro")</f>
        <v>0</v>
      </c>
      <c r="E68" s="169">
        <f t="array" ref="E68">IFERROR(
MEDIAN(IF(DATOS_[Sexo]=$B68,IF(DATOS_[AGRUP. VALOR. PTO.]=$B66,IF(DATOS_[Check Periodo Ref.]="Dentro",DATOS_[SALARIO BASE Ef],FALSE)))),
0)</f>
        <v>0</v>
      </c>
      <c r="F68" s="170">
        <f t="array" ref="F68">IFERROR(
MEDIAN((IF(DATOS_[[Sexo]:[Sexo]]=$B68,IF(DATOS_[[AGRUP. VALOR. PTO.]:[AGRUP. VALOR. PTO.]]=$B66,IF(DATOS_[[Check Periodo Ref.]:[Check Periodo Ref.]]="Dentro",DATOS_[Conc.Sal.01]))))),
0)</f>
        <v>0</v>
      </c>
      <c r="G68" s="170">
        <f t="array" ref="G68">IFERROR(
MEDIAN((IF(DATOS_[[Sexo]:[Sexo]]=$B68,IF(DATOS_[[AGRUP. VALOR. PTO.]:[AGRUP. VALOR. PTO.]]=$B66,IF(DATOS_[[Check Periodo Ref.]:[Check Periodo Ref.]]="Dentro",DATOS_[Conc.Sal.02]))))),
0)</f>
        <v>0</v>
      </c>
      <c r="H68" s="170">
        <f t="array" ref="H68">IFERROR(
MEDIAN((IF(DATOS_[[Sexo]:[Sexo]]=$B68,IF(DATOS_[[AGRUP. VALOR. PTO.]:[AGRUP. VALOR. PTO.]]=$B66,IF(DATOS_[[Check Periodo Ref.]:[Check Periodo Ref.]]="Dentro",DATOS_[Conc.Sal.03]))))),
0)</f>
        <v>0</v>
      </c>
      <c r="I68" s="170">
        <f t="array" ref="I68">IFERROR(
MEDIAN((IF(DATOS_[[Sexo]:[Sexo]]=$B68,IF(DATOS_[[AGRUP. VALOR. PTO.]:[AGRUP. VALOR. PTO.]]=$B66,IF(DATOS_[[Check Periodo Ref.]:[Check Periodo Ref.]]="Dentro",DATOS_[Conc.Sal.04]))))),
0)</f>
        <v>0</v>
      </c>
      <c r="J68" s="170">
        <f t="array" ref="J68">IFERROR(
MEDIAN((IF(DATOS_[[Sexo]:[Sexo]]=$B68,IF(DATOS_[[AGRUP. VALOR. PTO.]:[AGRUP. VALOR. PTO.]]=$B66,IF(DATOS_[[Check Periodo Ref.]:[Check Periodo Ref.]]="Dentro",DATOS_[Conc.Sal.05]))))),
0)</f>
        <v>0</v>
      </c>
      <c r="K68" s="170">
        <f t="array" ref="K68">IFERROR(
MEDIAN((IF(DATOS_[[Sexo]:[Sexo]]=$B68,IF(DATOS_[[AGRUP. VALOR. PTO.]:[AGRUP. VALOR. PTO.]]=$B66,IF(DATOS_[[Check Periodo Ref.]:[Check Periodo Ref.]]="Dentro",DATOS_[Conc.Sal.06]))))),
0)</f>
        <v>0</v>
      </c>
      <c r="L68" s="170">
        <f t="array" ref="L68">IFERROR(
MEDIAN((IF(DATOS_[[Sexo]:[Sexo]]=$B68,IF(DATOS_[[AGRUP. VALOR. PTO.]:[AGRUP. VALOR. PTO.]]=$B66,IF(DATOS_[[Check Periodo Ref.]:[Check Periodo Ref.]]="Dentro",DATOS_[Conc.Sal.07]))))),
0)</f>
        <v>0</v>
      </c>
      <c r="M68" s="170">
        <f t="array" ref="M68">IFERROR(
MEDIAN((IF(DATOS_[[Sexo]:[Sexo]]=$B68,IF(DATOS_[[AGRUP. VALOR. PTO.]:[AGRUP. VALOR. PTO.]]=$B66,IF(DATOS_[[Check Periodo Ref.]:[Check Periodo Ref.]]="Dentro",DATOS_[Conc.Sal.08]))))),
0)</f>
        <v>0</v>
      </c>
      <c r="N68" s="170">
        <f t="array" ref="N68">IFERROR(
MEDIAN((IF(DATOS_[[Sexo]:[Sexo]]=$B68,IF(DATOS_[[AGRUP. VALOR. PTO.]:[AGRUP. VALOR. PTO.]]=$B66,IF(DATOS_[[Check Periodo Ref.]:[Check Periodo Ref.]]="Dentro",DATOS_[Conc.Sal.09]))))),
0)</f>
        <v>0</v>
      </c>
      <c r="O68" s="170">
        <f t="array" ref="O68">IFERROR(
MEDIAN((IF(DATOS_[[Sexo]:[Sexo]]=$B68,IF(DATOS_[[AGRUP. VALOR. PTO.]:[AGRUP. VALOR. PTO.]]=$B66,IF(DATOS_[[Check Periodo Ref.]:[Check Periodo Ref.]]="Dentro",DATOS_[Conc.Sal.10]))))),
0)</f>
        <v>0</v>
      </c>
      <c r="P68" s="170">
        <f t="array" ref="P68">IFERROR(
MEDIAN((IF(DATOS_[[Sexo]:[Sexo]]=$B68,IF(DATOS_[[AGRUP. VALOR. PTO.]:[AGRUP. VALOR. PTO.]]=$B66,IF(DATOS_[[Check Periodo Ref.]:[Check Periodo Ref.]]="Dentro",DATOS_[Conc.Sal.11]))))),
0)</f>
        <v>0</v>
      </c>
      <c r="Q68" s="170">
        <f t="array" ref="Q68">IFERROR(
MEDIAN((IF(DATOS_[[Sexo]:[Sexo]]=$B68,IF(DATOS_[[AGRUP. VALOR. PTO.]:[AGRUP. VALOR. PTO.]]=$B66,IF(DATOS_[[Check Periodo Ref.]:[Check Periodo Ref.]]="Dentro",DATOS_[Conc.Sal.12]))))),
0)</f>
        <v>0</v>
      </c>
      <c r="R68" s="170">
        <f t="array" ref="R68">IFERROR(
MEDIAN((IF(DATOS_[[Sexo]:[Sexo]]=$B68,IF(DATOS_[[AGRUP. VALOR. PTO.]:[AGRUP. VALOR. PTO.]]=$B66,IF(DATOS_[[Check Periodo Ref.]:[Check Periodo Ref.]]="Dentro",DATOS_[Conc.Sal.13]))))),
0)</f>
        <v>0</v>
      </c>
      <c r="S68" s="170">
        <f t="array" ref="S68">IFERROR(
MEDIAN((IF(DATOS_[[Sexo]:[Sexo]]=$B68,IF(DATOS_[[AGRUP. VALOR. PTO.]:[AGRUP. VALOR. PTO.]]=$B66,IF(DATOS_[[Check Periodo Ref.]:[Check Periodo Ref.]]="Dentro",DATOS_[Conc.Sal.14]))))),
0)</f>
        <v>0</v>
      </c>
      <c r="T68" s="170">
        <f t="array" ref="T68">IFERROR(
MEDIAN((IF(DATOS_[[Sexo]:[Sexo]]=$B68,IF(DATOS_[[AGRUP. VALOR. PTO.]:[AGRUP. VALOR. PTO.]]=$B66,IF(DATOS_[[Check Periodo Ref.]:[Check Periodo Ref.]]="Dentro",DATOS_[Conc.Sal.15]))))),
0)</f>
        <v>0</v>
      </c>
      <c r="U68" s="170">
        <f t="array" ref="U68">IFERROR(
MEDIAN((IF(DATOS_[[Sexo]:[Sexo]]=$B68,IF(DATOS_[[AGRUP. VALOR. PTO.]:[AGRUP. VALOR. PTO.]]=$B66,IF(DATOS_[[Check Periodo Ref.]:[Check Periodo Ref.]]="Dentro",DATOS_[Conc.Sal.16]))))),
0)</f>
        <v>0</v>
      </c>
      <c r="V68" s="170">
        <f t="array" ref="V68">IFERROR(
MEDIAN((IF(DATOS_[[Sexo]:[Sexo]]=$B68,IF(DATOS_[[AGRUP. VALOR. PTO.]:[AGRUP. VALOR. PTO.]]=$B66,IF(DATOS_[[Check Periodo Ref.]:[Check Periodo Ref.]]="Dentro",DATOS_[Conc.Sal.17]))))),
0)</f>
        <v>0</v>
      </c>
      <c r="W68" s="170">
        <f t="array" ref="W68">IFERROR(
MEDIAN((IF(DATOS_[[Sexo]:[Sexo]]=$B68,IF(DATOS_[[AGRUP. VALOR. PTO.]:[AGRUP. VALOR. PTO.]]=$B66,IF(DATOS_[[Check Periodo Ref.]:[Check Periodo Ref.]]="Dentro",DATOS_[Conc.Sal.18]))))),
0)</f>
        <v>0</v>
      </c>
      <c r="X68" s="170">
        <f t="array" ref="X68">IFERROR(
MEDIAN((IF(DATOS_[[Sexo]:[Sexo]]=$B68,IF(DATOS_[[AGRUP. VALOR. PTO.]:[AGRUP. VALOR. PTO.]]=$B66,IF(DATOS_[[Check Periodo Ref.]:[Check Periodo Ref.]]="Dentro",DATOS_[Conc.Sal.19]))))),
0)</f>
        <v>0</v>
      </c>
      <c r="Y68" s="170">
        <f t="array" ref="Y68">IFERROR(
MEDIAN((IF(DATOS_[[Sexo]:[Sexo]]=$B68,IF(DATOS_[[AGRUP. VALOR. PTO.]:[AGRUP. VALOR. PTO.]]=$B66,IF(DATOS_[[Check Periodo Ref.]:[Check Periodo Ref.]]="Dentro",DATOS_[Conc.Sal.20]))))),
0)</f>
        <v>0</v>
      </c>
      <c r="Z68" s="170">
        <f t="array" ref="Z68">IFERROR(
MEDIAN((IF(DATOS_[[Sexo]:[Sexo]]=$B68,IF(DATOS_[[AGRUP. VALOR. PTO.]:[AGRUP. VALOR. PTO.]]=$B66,IF(DATOS_[[Check Periodo Ref.]:[Check Periodo Ref.]]="Dentro",DATOS_[Conc.Sal.21]))))),
0)</f>
        <v>0</v>
      </c>
      <c r="AA68" s="170">
        <f t="array" ref="AA68">IFERROR(
MEDIAN((IF(DATOS_[[Sexo]:[Sexo]]=$B68,IF(DATOS_[[AGRUP. VALOR. PTO.]:[AGRUP. VALOR. PTO.]]=$B66,IF(DATOS_[[Check Periodo Ref.]:[Check Periodo Ref.]]="Dentro",DATOS_[Conc.Sal.22]))))),
0)</f>
        <v>0</v>
      </c>
      <c r="AB68" s="170">
        <f t="array" ref="AB68">IFERROR(
MEDIAN((IF(DATOS_[[Sexo]:[Sexo]]=$B68,IF(DATOS_[[AGRUP. VALOR. PTO.]:[AGRUP. VALOR. PTO.]]=$B66,IF(DATOS_[[Check Periodo Ref.]:[Check Periodo Ref.]]="Dentro",DATOS_[Conc.Sal.23]))))),
0)</f>
        <v>0</v>
      </c>
      <c r="AC68" s="170">
        <f t="array" ref="AC68">IFERROR(
MEDIAN((IF(DATOS_[[Sexo]:[Sexo]]=$B68,IF(DATOS_[[AGRUP. VALOR. PTO.]:[AGRUP. VALOR. PTO.]]=$B66,IF(DATOS_[[Check Periodo Ref.]:[Check Periodo Ref.]]="Dentro",DATOS_[Conc.Sal.24]))))),
0)</f>
        <v>0</v>
      </c>
      <c r="AD68" s="170">
        <f t="array" ref="AD68">IFERROR(
MEDIAN((IF(DATOS_[[Sexo]:[Sexo]]=$B68,IF(DATOS_[[AGRUP. VALOR. PTO.]:[AGRUP. VALOR. PTO.]]=$B66,IF(DATOS_[[Check Periodo Ref.]:[Check Periodo Ref.]]="Dentro",DATOS_[Conc.Sal.25]))))),
0)</f>
        <v>0</v>
      </c>
      <c r="AE68" s="170">
        <f t="array" ref="AE68">IFERROR(
MEDIAN((IF(DATOS_[[Sexo]:[Sexo]]=$B68,IF(DATOS_[[AGRUP. VALOR. PTO.]:[AGRUP. VALOR. PTO.]]=$B66,IF(DATOS_[[Check Periodo Ref.]:[Check Periodo Ref.]]="Dentro",DATOS_[Conc.Sal.26]))))),
0)</f>
        <v>0</v>
      </c>
      <c r="AF68" s="170">
        <f t="array" ref="AF68">IFERROR(
MEDIAN((IF(DATOS_[[Sexo]:[Sexo]]=$B68,IF(DATOS_[[AGRUP. VALOR. PTO.]:[AGRUP. VALOR. PTO.]]=$B66,IF(DATOS_[[Check Periodo Ref.]:[Check Periodo Ref.]]="Dentro",DATOS_[Conc.Sal.27]))))),
0)</f>
        <v>0</v>
      </c>
      <c r="AG68" s="170">
        <f t="array" ref="AG68">IFERROR(
MEDIAN((IF(DATOS_[[Sexo]:[Sexo]]=$B68,IF(DATOS_[[AGRUP. VALOR. PTO.]:[AGRUP. VALOR. PTO.]]=$B66,IF(DATOS_[[Check Periodo Ref.]:[Check Periodo Ref.]]="Dentro",DATOS_[Conc.Sal.28]))))),
0)</f>
        <v>0</v>
      </c>
      <c r="AH68" s="170">
        <f t="array" ref="AH68">IFERROR(
MEDIAN((IF(DATOS_[[Sexo]:[Sexo]]=$B68,IF(DATOS_[[AGRUP. VALOR. PTO.]:[AGRUP. VALOR. PTO.]]=$B66,IF(DATOS_[[Check Periodo Ref.]:[Check Periodo Ref.]]="Dentro",DATOS_[Conc.Sal.29]))))),
0)</f>
        <v>0</v>
      </c>
      <c r="AI68" s="170">
        <f t="array" ref="AI68">IFERROR(
MEDIAN((IF(DATOS_[[Sexo]:[Sexo]]=$B68,IF(DATOS_[[AGRUP. VALOR. PTO.]:[AGRUP. VALOR. PTO.]]=$B66,IF(DATOS_[[Check Periodo Ref.]:[Check Periodo Ref.]]="Dentro",DATOS_[Conc.Sal.30]))))),
0)</f>
        <v>0</v>
      </c>
      <c r="AJ68" s="171">
        <f t="array" ref="AJ68">IFERROR(
MEDIAN(IF(DATOS_[Sexo]=$B68,IF(DATOS_[AGRUP. VALOR. PTO.]=$B66,IF(DATOS_[Check Periodo Ref.]="Dentro",DATOS_[Tot COMPL.SAL Ef],FALSE)))),
0)</f>
        <v>0</v>
      </c>
      <c r="AK68" s="172">
        <f t="array" ref="AK68">IFERROR(
MEDIAN(IF(DATOS_[Sexo]=$B68,IF(DATOS_[AGRUP. VALOR. PTO.]=$B66,IF(DATOS_[Check Periodo Ref.]="Dentro",DATOS_[TOTAL SALARIO Ef],FALSE)))),
0)</f>
        <v>0</v>
      </c>
      <c r="AL68" s="173">
        <f t="array" ref="AL68">IFERROR(
MEDIAN((IF(DATOS_[[Sexo]:[Sexo]]=$B68,IF(DATOS_[[AGRUP. VALOR. PTO.]:[AGRUP. VALOR. PTO.]]=$B66,IF(DATOS_[[Check Periodo Ref.]:[Check Periodo Ref.]]="Dentro",DATOS_[C.Extra.01]))))),
0)</f>
        <v>0</v>
      </c>
      <c r="AM68" s="173">
        <f t="array" ref="AM68">IFERROR(
MEDIAN((IF(DATOS_[[Sexo]:[Sexo]]=$B68,IF(DATOS_[[AGRUP. VALOR. PTO.]:[AGRUP. VALOR. PTO.]]=$B66,IF(DATOS_[[Check Periodo Ref.]:[Check Periodo Ref.]]="Dentro",DATOS_[C.Extra.06]))))),
0)</f>
        <v>0</v>
      </c>
      <c r="AN68" s="173">
        <f t="array" ref="AN68">IFERROR(
MEDIAN((IF(DATOS_[[Sexo]:[Sexo]]=$B68,IF(DATOS_[[AGRUP. VALOR. PTO.]:[AGRUP. VALOR. PTO.]]=$B66,IF(DATOS_[[Check Periodo Ref.]:[Check Periodo Ref.]]="Dentro",DATOS_[C.Extra.07]))))),
0)</f>
        <v>0</v>
      </c>
      <c r="AO68" s="173">
        <f t="array" ref="AO68">IFERROR(
MEDIAN((IF(DATOS_[[Sexo]:[Sexo]]=$B68,IF(DATOS_[[AGRUP. VALOR. PTO.]:[AGRUP. VALOR. PTO.]]=$B66,IF(DATOS_[[Check Periodo Ref.]:[Check Periodo Ref.]]="Dentro",DATOS_[C.Extra.08]))))),
0)</f>
        <v>0</v>
      </c>
      <c r="AP68" s="173">
        <f t="array" ref="AP68">IFERROR(
MEDIAN((IF(DATOS_[[Sexo]:[Sexo]]=$B68,IF(DATOS_[[AGRUP. VALOR. PTO.]:[AGRUP. VALOR. PTO.]]=$B66,IF(DATOS_[[Check Periodo Ref.]:[Check Periodo Ref.]]="Dentro",DATOS_[C.Extra.11]))))),
0)</f>
        <v>0</v>
      </c>
      <c r="AQ68" s="174">
        <f t="array" ref="AQ68">IFERROR(
MEDIAN(IF(DATOS_[Sexo]=$B68,IF(DATOS_[AGRUP. VALOR. PTO.]=$B66,IF(DATOS_[Check Periodo Ref.]="Dentro",DATOS_[Tot Extrasalarial Ef],FALSE)))),
0)</f>
        <v>0</v>
      </c>
      <c r="AR68" s="171">
        <f t="array" ref="AR68">IFERROR(
MEDIAN(IF(DATOS_[Sexo]=$B68,IF(DATOS_[AGRUP. VALOR. PTO.]=$B66,IF(DATOS_[Check Periodo Ref.]="Dentro",DATOS_[TOTAL Retrib Ef],FALSE)))),
0)</f>
        <v>0</v>
      </c>
    </row>
    <row r="69" spans="1:44" ht="14.4" thickBot="1" x14ac:dyDescent="0.3">
      <c r="A69" s="178" t="str">
        <f t="shared" ref="A69" si="75">+A70</f>
        <v>[ocultar]</v>
      </c>
      <c r="B69" s="153" t="s">
        <v>253</v>
      </c>
      <c r="C69" s="154"/>
      <c r="D69" s="155"/>
      <c r="E69" s="156" t="str">
        <f t="shared" ref="E69:AR69" si="76">IFERROR((E70-E71)/E70,"")</f>
        <v/>
      </c>
      <c r="F69" s="157" t="str">
        <f t="shared" si="76"/>
        <v/>
      </c>
      <c r="G69" s="158" t="str">
        <f t="shared" si="76"/>
        <v/>
      </c>
      <c r="H69" s="158" t="str">
        <f t="shared" si="76"/>
        <v/>
      </c>
      <c r="I69" s="158" t="str">
        <f t="shared" si="76"/>
        <v/>
      </c>
      <c r="J69" s="159" t="str">
        <f t="shared" si="76"/>
        <v/>
      </c>
      <c r="K69" s="160" t="str">
        <f t="shared" si="76"/>
        <v/>
      </c>
      <c r="L69" s="160" t="str">
        <f t="shared" si="76"/>
        <v/>
      </c>
      <c r="M69" s="160" t="str">
        <f t="shared" si="76"/>
        <v/>
      </c>
      <c r="N69" s="160" t="str">
        <f t="shared" si="76"/>
        <v/>
      </c>
      <c r="O69" s="160" t="str">
        <f t="shared" si="76"/>
        <v/>
      </c>
      <c r="P69" s="160" t="str">
        <f t="shared" si="76"/>
        <v/>
      </c>
      <c r="Q69" s="160" t="str">
        <f t="shared" si="76"/>
        <v/>
      </c>
      <c r="R69" s="160" t="str">
        <f t="shared" si="76"/>
        <v/>
      </c>
      <c r="S69" s="160" t="str">
        <f t="shared" si="76"/>
        <v/>
      </c>
      <c r="T69" s="160" t="str">
        <f t="shared" si="76"/>
        <v/>
      </c>
      <c r="U69" s="160" t="str">
        <f t="shared" si="76"/>
        <v/>
      </c>
      <c r="V69" s="159" t="str">
        <f t="shared" si="76"/>
        <v/>
      </c>
      <c r="W69" s="159" t="str">
        <f t="shared" si="76"/>
        <v/>
      </c>
      <c r="X69" s="159" t="str">
        <f t="shared" si="76"/>
        <v/>
      </c>
      <c r="Y69" s="159" t="str">
        <f t="shared" si="76"/>
        <v/>
      </c>
      <c r="Z69" s="159" t="str">
        <f t="shared" si="76"/>
        <v/>
      </c>
      <c r="AA69" s="159" t="str">
        <f t="shared" si="76"/>
        <v/>
      </c>
      <c r="AB69" s="159" t="str">
        <f t="shared" si="76"/>
        <v/>
      </c>
      <c r="AC69" s="159" t="str">
        <f t="shared" si="76"/>
        <v/>
      </c>
      <c r="AD69" s="159" t="str">
        <f t="shared" si="76"/>
        <v/>
      </c>
      <c r="AE69" s="159" t="str">
        <f t="shared" si="76"/>
        <v/>
      </c>
      <c r="AF69" s="159" t="str">
        <f t="shared" si="76"/>
        <v/>
      </c>
      <c r="AG69" s="159" t="str">
        <f t="shared" si="76"/>
        <v/>
      </c>
      <c r="AH69" s="159" t="str">
        <f t="shared" si="76"/>
        <v/>
      </c>
      <c r="AI69" s="159" t="str">
        <f t="shared" si="76"/>
        <v/>
      </c>
      <c r="AJ69" s="161" t="str">
        <f t="shared" si="76"/>
        <v/>
      </c>
      <c r="AK69" s="162" t="str">
        <f t="shared" si="76"/>
        <v/>
      </c>
      <c r="AL69" s="163" t="str">
        <f t="shared" si="76"/>
        <v/>
      </c>
      <c r="AM69" s="163" t="str">
        <f t="shared" si="76"/>
        <v/>
      </c>
      <c r="AN69" s="163" t="str">
        <f t="shared" si="76"/>
        <v/>
      </c>
      <c r="AO69" s="163" t="str">
        <f t="shared" si="76"/>
        <v/>
      </c>
      <c r="AP69" s="163" t="str">
        <f t="shared" si="76"/>
        <v/>
      </c>
      <c r="AQ69" s="164" t="str">
        <f t="shared" si="76"/>
        <v/>
      </c>
      <c r="AR69" s="161" t="str">
        <f t="shared" si="76"/>
        <v/>
      </c>
    </row>
    <row r="70" spans="1:44" x14ac:dyDescent="0.25">
      <c r="A70" s="178" t="str">
        <f t="shared" ref="A70" si="77">+IF(C70+C71=0,"[ocultar]","")</f>
        <v>[ocultar]</v>
      </c>
      <c r="B70" s="166" t="s">
        <v>394</v>
      </c>
      <c r="C70" s="167">
        <f t="array" ref="C70">SUM(IF($B70=DATOS_[Sexo],
IF($B69=DATOS_[AGRUP. VALOR. PTO.],
IF("Dentro"=DATOS_[Check Periodo Ref.],
1/(COUNTIFS(DATOS_[Sexo],$B70,DATOS_[AGRUP. VALOR. PTO.],$B69,DATOS_[Check Periodo Ref.],"Dentro",DATOS_[id/cod],DATOS_[id/cod]))))))</f>
        <v>0</v>
      </c>
      <c r="D70" s="168">
        <f>COUNTIFS(DATOS_[AGRUP. VALOR. PTO.],$B69,DATOS_[Sexo],$B70,DATOS_[Check Periodo Ref.],"Dentro")</f>
        <v>0</v>
      </c>
      <c r="E70" s="169">
        <f t="array" ref="E70">IFERROR(
MEDIAN(IF(DATOS_[Sexo]=$B70,IF(DATOS_[AGRUP. VALOR. PTO.]=$B69,IF(DATOS_[Check Periodo Ref.]="Dentro",DATOS_[SALARIO BASE Ef],FALSE)))),
0)</f>
        <v>0</v>
      </c>
      <c r="F70" s="170">
        <f t="array" ref="F70">IFERROR(
MEDIAN((IF(DATOS_[[Sexo]:[Sexo]]=$B70,IF(DATOS_[[AGRUP. VALOR. PTO.]:[AGRUP. VALOR. PTO.]]=$B69,IF(DATOS_[[Check Periodo Ref.]:[Check Periodo Ref.]]="Dentro",DATOS_[Conc.Sal.01]))))),
0)</f>
        <v>0</v>
      </c>
      <c r="G70" s="170">
        <f t="array" ref="G70">IFERROR(
MEDIAN((IF(DATOS_[[Sexo]:[Sexo]]=$B70,IF(DATOS_[[AGRUP. VALOR. PTO.]:[AGRUP. VALOR. PTO.]]=$B69,IF(DATOS_[[Check Periodo Ref.]:[Check Periodo Ref.]]="Dentro",DATOS_[Conc.Sal.02]))))),
0)</f>
        <v>0</v>
      </c>
      <c r="H70" s="170">
        <f t="array" ref="H70">IFERROR(
MEDIAN((IF(DATOS_[[Sexo]:[Sexo]]=$B70,IF(DATOS_[[AGRUP. VALOR. PTO.]:[AGRUP. VALOR. PTO.]]=$B69,IF(DATOS_[[Check Periodo Ref.]:[Check Periodo Ref.]]="Dentro",DATOS_[Conc.Sal.03]))))),
0)</f>
        <v>0</v>
      </c>
      <c r="I70" s="170">
        <f t="array" ref="I70">IFERROR(
MEDIAN((IF(DATOS_[[Sexo]:[Sexo]]=$B70,IF(DATOS_[[AGRUP. VALOR. PTO.]:[AGRUP. VALOR. PTO.]]=$B69,IF(DATOS_[[Check Periodo Ref.]:[Check Periodo Ref.]]="Dentro",DATOS_[Conc.Sal.04]))))),
0)</f>
        <v>0</v>
      </c>
      <c r="J70" s="170">
        <f t="array" ref="J70">IFERROR(
MEDIAN((IF(DATOS_[[Sexo]:[Sexo]]=$B70,IF(DATOS_[[AGRUP. VALOR. PTO.]:[AGRUP. VALOR. PTO.]]=$B69,IF(DATOS_[[Check Periodo Ref.]:[Check Periodo Ref.]]="Dentro",DATOS_[Conc.Sal.05]))))),
0)</f>
        <v>0</v>
      </c>
      <c r="K70" s="170">
        <f t="array" ref="K70">IFERROR(
MEDIAN((IF(DATOS_[[Sexo]:[Sexo]]=$B70,IF(DATOS_[[AGRUP. VALOR. PTO.]:[AGRUP. VALOR. PTO.]]=$B69,IF(DATOS_[[Check Periodo Ref.]:[Check Periodo Ref.]]="Dentro",DATOS_[Conc.Sal.06]))))),
0)</f>
        <v>0</v>
      </c>
      <c r="L70" s="170">
        <f t="array" ref="L70">IFERROR(
MEDIAN((IF(DATOS_[[Sexo]:[Sexo]]=$B70,IF(DATOS_[[AGRUP. VALOR. PTO.]:[AGRUP. VALOR. PTO.]]=$B69,IF(DATOS_[[Check Periodo Ref.]:[Check Periodo Ref.]]="Dentro",DATOS_[Conc.Sal.07]))))),
0)</f>
        <v>0</v>
      </c>
      <c r="M70" s="170">
        <f t="array" ref="M70">IFERROR(
MEDIAN((IF(DATOS_[[Sexo]:[Sexo]]=$B70,IF(DATOS_[[AGRUP. VALOR. PTO.]:[AGRUP. VALOR. PTO.]]=$B69,IF(DATOS_[[Check Periodo Ref.]:[Check Periodo Ref.]]="Dentro",DATOS_[Conc.Sal.08]))))),
0)</f>
        <v>0</v>
      </c>
      <c r="N70" s="170">
        <f t="array" ref="N70">IFERROR(
MEDIAN((IF(DATOS_[[Sexo]:[Sexo]]=$B70,IF(DATOS_[[AGRUP. VALOR. PTO.]:[AGRUP. VALOR. PTO.]]=$B69,IF(DATOS_[[Check Periodo Ref.]:[Check Periodo Ref.]]="Dentro",DATOS_[Conc.Sal.09]))))),
0)</f>
        <v>0</v>
      </c>
      <c r="O70" s="170">
        <f t="array" ref="O70">IFERROR(
MEDIAN((IF(DATOS_[[Sexo]:[Sexo]]=$B70,IF(DATOS_[[AGRUP. VALOR. PTO.]:[AGRUP. VALOR. PTO.]]=$B69,IF(DATOS_[[Check Periodo Ref.]:[Check Periodo Ref.]]="Dentro",DATOS_[Conc.Sal.10]))))),
0)</f>
        <v>0</v>
      </c>
      <c r="P70" s="170">
        <f t="array" ref="P70">IFERROR(
MEDIAN((IF(DATOS_[[Sexo]:[Sexo]]=$B70,IF(DATOS_[[AGRUP. VALOR. PTO.]:[AGRUP. VALOR. PTO.]]=$B69,IF(DATOS_[[Check Periodo Ref.]:[Check Periodo Ref.]]="Dentro",DATOS_[Conc.Sal.11]))))),
0)</f>
        <v>0</v>
      </c>
      <c r="Q70" s="170">
        <f t="array" ref="Q70">IFERROR(
MEDIAN((IF(DATOS_[[Sexo]:[Sexo]]=$B70,IF(DATOS_[[AGRUP. VALOR. PTO.]:[AGRUP. VALOR. PTO.]]=$B69,IF(DATOS_[[Check Periodo Ref.]:[Check Periodo Ref.]]="Dentro",DATOS_[Conc.Sal.12]))))),
0)</f>
        <v>0</v>
      </c>
      <c r="R70" s="170">
        <f t="array" ref="R70">IFERROR(
MEDIAN((IF(DATOS_[[Sexo]:[Sexo]]=$B70,IF(DATOS_[[AGRUP. VALOR. PTO.]:[AGRUP. VALOR. PTO.]]=$B69,IF(DATOS_[[Check Periodo Ref.]:[Check Periodo Ref.]]="Dentro",DATOS_[Conc.Sal.13]))))),
0)</f>
        <v>0</v>
      </c>
      <c r="S70" s="170">
        <f t="array" ref="S70">IFERROR(
MEDIAN((IF(DATOS_[[Sexo]:[Sexo]]=$B70,IF(DATOS_[[AGRUP. VALOR. PTO.]:[AGRUP. VALOR. PTO.]]=$B69,IF(DATOS_[[Check Periodo Ref.]:[Check Periodo Ref.]]="Dentro",DATOS_[Conc.Sal.14]))))),
0)</f>
        <v>0</v>
      </c>
      <c r="T70" s="170">
        <f t="array" ref="T70">IFERROR(
MEDIAN((IF(DATOS_[[Sexo]:[Sexo]]=$B70,IF(DATOS_[[AGRUP. VALOR. PTO.]:[AGRUP. VALOR. PTO.]]=$B69,IF(DATOS_[[Check Periodo Ref.]:[Check Periodo Ref.]]="Dentro",DATOS_[Conc.Sal.15]))))),
0)</f>
        <v>0</v>
      </c>
      <c r="U70" s="170">
        <f t="array" ref="U70">IFERROR(
MEDIAN((IF(DATOS_[[Sexo]:[Sexo]]=$B70,IF(DATOS_[[AGRUP. VALOR. PTO.]:[AGRUP. VALOR. PTO.]]=$B69,IF(DATOS_[[Check Periodo Ref.]:[Check Periodo Ref.]]="Dentro",DATOS_[Conc.Sal.16]))))),
0)</f>
        <v>0</v>
      </c>
      <c r="V70" s="170">
        <f t="array" ref="V70">IFERROR(
MEDIAN((IF(DATOS_[[Sexo]:[Sexo]]=$B70,IF(DATOS_[[AGRUP. VALOR. PTO.]:[AGRUP. VALOR. PTO.]]=$B69,IF(DATOS_[[Check Periodo Ref.]:[Check Periodo Ref.]]="Dentro",DATOS_[Conc.Sal.17]))))),
0)</f>
        <v>0</v>
      </c>
      <c r="W70" s="170">
        <f t="array" ref="W70">IFERROR(
MEDIAN((IF(DATOS_[[Sexo]:[Sexo]]=$B70,IF(DATOS_[[AGRUP. VALOR. PTO.]:[AGRUP. VALOR. PTO.]]=$B69,IF(DATOS_[[Check Periodo Ref.]:[Check Periodo Ref.]]="Dentro",DATOS_[Conc.Sal.18]))))),
0)</f>
        <v>0</v>
      </c>
      <c r="X70" s="170">
        <f t="array" ref="X70">IFERROR(
MEDIAN((IF(DATOS_[[Sexo]:[Sexo]]=$B70,IF(DATOS_[[AGRUP. VALOR. PTO.]:[AGRUP. VALOR. PTO.]]=$B69,IF(DATOS_[[Check Periodo Ref.]:[Check Periodo Ref.]]="Dentro",DATOS_[Conc.Sal.19]))))),
0)</f>
        <v>0</v>
      </c>
      <c r="Y70" s="170">
        <f t="array" ref="Y70">IFERROR(
MEDIAN((IF(DATOS_[[Sexo]:[Sexo]]=$B70,IF(DATOS_[[AGRUP. VALOR. PTO.]:[AGRUP. VALOR. PTO.]]=$B69,IF(DATOS_[[Check Periodo Ref.]:[Check Periodo Ref.]]="Dentro",DATOS_[Conc.Sal.20]))))),
0)</f>
        <v>0</v>
      </c>
      <c r="Z70" s="170">
        <f t="array" ref="Z70">IFERROR(
MEDIAN((IF(DATOS_[[Sexo]:[Sexo]]=$B70,IF(DATOS_[[AGRUP. VALOR. PTO.]:[AGRUP. VALOR. PTO.]]=$B69,IF(DATOS_[[Check Periodo Ref.]:[Check Periodo Ref.]]="Dentro",DATOS_[Conc.Sal.21]))))),
0)</f>
        <v>0</v>
      </c>
      <c r="AA70" s="170">
        <f t="array" ref="AA70">IFERROR(
MEDIAN((IF(DATOS_[[Sexo]:[Sexo]]=$B70,IF(DATOS_[[AGRUP. VALOR. PTO.]:[AGRUP. VALOR. PTO.]]=$B69,IF(DATOS_[[Check Periodo Ref.]:[Check Periodo Ref.]]="Dentro",DATOS_[Conc.Sal.22]))))),
0)</f>
        <v>0</v>
      </c>
      <c r="AB70" s="170">
        <f t="array" ref="AB70">IFERROR(
MEDIAN((IF(DATOS_[[Sexo]:[Sexo]]=$B70,IF(DATOS_[[AGRUP. VALOR. PTO.]:[AGRUP. VALOR. PTO.]]=$B69,IF(DATOS_[[Check Periodo Ref.]:[Check Periodo Ref.]]="Dentro",DATOS_[Conc.Sal.23]))))),
0)</f>
        <v>0</v>
      </c>
      <c r="AC70" s="170">
        <f t="array" ref="AC70">IFERROR(
MEDIAN((IF(DATOS_[[Sexo]:[Sexo]]=$B70,IF(DATOS_[[AGRUP. VALOR. PTO.]:[AGRUP. VALOR. PTO.]]=$B69,IF(DATOS_[[Check Periodo Ref.]:[Check Periodo Ref.]]="Dentro",DATOS_[Conc.Sal.24]))))),
0)</f>
        <v>0</v>
      </c>
      <c r="AD70" s="170">
        <f t="array" ref="AD70">IFERROR(
MEDIAN((IF(DATOS_[[Sexo]:[Sexo]]=$B70,IF(DATOS_[[AGRUP. VALOR. PTO.]:[AGRUP. VALOR. PTO.]]=$B69,IF(DATOS_[[Check Periodo Ref.]:[Check Periodo Ref.]]="Dentro",DATOS_[Conc.Sal.25]))))),
0)</f>
        <v>0</v>
      </c>
      <c r="AE70" s="170">
        <f t="array" ref="AE70">IFERROR(
MEDIAN((IF(DATOS_[[Sexo]:[Sexo]]=$B70,IF(DATOS_[[AGRUP. VALOR. PTO.]:[AGRUP. VALOR. PTO.]]=$B69,IF(DATOS_[[Check Periodo Ref.]:[Check Periodo Ref.]]="Dentro",DATOS_[Conc.Sal.26]))))),
0)</f>
        <v>0</v>
      </c>
      <c r="AF70" s="170">
        <f t="array" ref="AF70">IFERROR(
MEDIAN((IF(DATOS_[[Sexo]:[Sexo]]=$B70,IF(DATOS_[[AGRUP. VALOR. PTO.]:[AGRUP. VALOR. PTO.]]=$B69,IF(DATOS_[[Check Periodo Ref.]:[Check Periodo Ref.]]="Dentro",DATOS_[Conc.Sal.27]))))),
0)</f>
        <v>0</v>
      </c>
      <c r="AG70" s="170">
        <f t="array" ref="AG70">IFERROR(
MEDIAN((IF(DATOS_[[Sexo]:[Sexo]]=$B70,IF(DATOS_[[AGRUP. VALOR. PTO.]:[AGRUP. VALOR. PTO.]]=$B69,IF(DATOS_[[Check Periodo Ref.]:[Check Periodo Ref.]]="Dentro",DATOS_[Conc.Sal.28]))))),
0)</f>
        <v>0</v>
      </c>
      <c r="AH70" s="170">
        <f t="array" ref="AH70">IFERROR(
MEDIAN((IF(DATOS_[[Sexo]:[Sexo]]=$B70,IF(DATOS_[[AGRUP. VALOR. PTO.]:[AGRUP. VALOR. PTO.]]=$B69,IF(DATOS_[[Check Periodo Ref.]:[Check Periodo Ref.]]="Dentro",DATOS_[Conc.Sal.29]))))),
0)</f>
        <v>0</v>
      </c>
      <c r="AI70" s="170">
        <f t="array" ref="AI70">IFERROR(
MEDIAN((IF(DATOS_[[Sexo]:[Sexo]]=$B70,IF(DATOS_[[AGRUP. VALOR. PTO.]:[AGRUP. VALOR. PTO.]]=$B69,IF(DATOS_[[Check Periodo Ref.]:[Check Periodo Ref.]]="Dentro",DATOS_[Conc.Sal.30]))))),
0)</f>
        <v>0</v>
      </c>
      <c r="AJ70" s="171">
        <f t="array" ref="AJ70">IFERROR(
MEDIAN(IF(DATOS_[Sexo]=$B70,IF(DATOS_[AGRUP. VALOR. PTO.]=$B69,IF(DATOS_[Check Periodo Ref.]="Dentro",DATOS_[Tot COMPL.SAL Ef],FALSE)))),
0)</f>
        <v>0</v>
      </c>
      <c r="AK70" s="172">
        <f t="array" ref="AK70">IFERROR(
MEDIAN(IF(DATOS_[Sexo]=$B70,IF(DATOS_[AGRUP. VALOR. PTO.]=$B69,IF(DATOS_[Check Periodo Ref.]="Dentro",DATOS_[TOTAL SALARIO Ef],FALSE)))),
0)</f>
        <v>0</v>
      </c>
      <c r="AL70" s="173">
        <f t="array" ref="AL70">IFERROR(
MEDIAN((IF(DATOS_[[Sexo]:[Sexo]]=$B70,IF(DATOS_[[AGRUP. VALOR. PTO.]:[AGRUP. VALOR. PTO.]]=$B69,IF(DATOS_[[Check Periodo Ref.]:[Check Periodo Ref.]]="Dentro",DATOS_[C.Extra.01]))))),
0)</f>
        <v>0</v>
      </c>
      <c r="AM70" s="173">
        <f t="array" ref="AM70">IFERROR(
MEDIAN((IF(DATOS_[[Sexo]:[Sexo]]=$B70,IF(DATOS_[[AGRUP. VALOR. PTO.]:[AGRUP. VALOR. PTO.]]=$B69,IF(DATOS_[[Check Periodo Ref.]:[Check Periodo Ref.]]="Dentro",DATOS_[C.Extra.06]))))),
0)</f>
        <v>0</v>
      </c>
      <c r="AN70" s="173">
        <f t="array" ref="AN70">IFERROR(
MEDIAN((IF(DATOS_[[Sexo]:[Sexo]]=$B70,IF(DATOS_[[AGRUP. VALOR. PTO.]:[AGRUP. VALOR. PTO.]]=$B69,IF(DATOS_[[Check Periodo Ref.]:[Check Periodo Ref.]]="Dentro",DATOS_[C.Extra.07]))))),
0)</f>
        <v>0</v>
      </c>
      <c r="AO70" s="173">
        <f t="array" ref="AO70">IFERROR(
MEDIAN((IF(DATOS_[[Sexo]:[Sexo]]=$B70,IF(DATOS_[[AGRUP. VALOR. PTO.]:[AGRUP. VALOR. PTO.]]=$B69,IF(DATOS_[[Check Periodo Ref.]:[Check Periodo Ref.]]="Dentro",DATOS_[C.Extra.08]))))),
0)</f>
        <v>0</v>
      </c>
      <c r="AP70" s="173">
        <f t="array" ref="AP70">IFERROR(
MEDIAN((IF(DATOS_[[Sexo]:[Sexo]]=$B70,IF(DATOS_[[AGRUP. VALOR. PTO.]:[AGRUP. VALOR. PTO.]]=$B69,IF(DATOS_[[Check Periodo Ref.]:[Check Periodo Ref.]]="Dentro",DATOS_[C.Extra.11]))))),
0)</f>
        <v>0</v>
      </c>
      <c r="AQ70" s="174">
        <f t="array" ref="AQ70">IFERROR(
MEDIAN(IF(DATOS_[Sexo]=$B70,IF(DATOS_[AGRUP. VALOR. PTO.]=$B69,IF(DATOS_[Check Periodo Ref.]="Dentro",DATOS_[Tot Extrasalarial Ef],FALSE)))),
0)</f>
        <v>0</v>
      </c>
      <c r="AR70" s="171">
        <f t="array" ref="AR70">IFERROR(
MEDIAN(IF(DATOS_[Sexo]=$B70,IF(DATOS_[AGRUP. VALOR. PTO.]=$B69,IF(DATOS_[Check Periodo Ref.]="Dentro",DATOS_[TOTAL Retrib Ef],FALSE)))),
0)</f>
        <v>0</v>
      </c>
    </row>
    <row r="71" spans="1:44" x14ac:dyDescent="0.25">
      <c r="A71" s="178" t="str">
        <f t="shared" ref="A71" si="78">+A70</f>
        <v>[ocultar]</v>
      </c>
      <c r="B71" s="166" t="s">
        <v>521</v>
      </c>
      <c r="C71" s="167">
        <f t="array" ref="C71">SUM(IF($B71=DATOS_[Sexo],
IF($B69=DATOS_[AGRUP. VALOR. PTO.],
IF("Dentro"=DATOS_[Check Periodo Ref.],
1/(COUNTIFS(DATOS_[Sexo],$B71,DATOS_[AGRUP. VALOR. PTO.],$B69,DATOS_[Check Periodo Ref.],"Dentro",DATOS_[id/cod],DATOS_[id/cod]))))))</f>
        <v>0</v>
      </c>
      <c r="D71" s="168">
        <f>COUNTIFS(DATOS_[AGRUP. VALOR. PTO.],$B69,DATOS_[Sexo],$B71,DATOS_[Check Periodo Ref.],"Dentro")</f>
        <v>0</v>
      </c>
      <c r="E71" s="169">
        <f t="array" ref="E71">IFERROR(
MEDIAN(IF(DATOS_[Sexo]=$B71,IF(DATOS_[AGRUP. VALOR. PTO.]=$B69,IF(DATOS_[Check Periodo Ref.]="Dentro",DATOS_[SALARIO BASE Ef],FALSE)))),
0)</f>
        <v>0</v>
      </c>
      <c r="F71" s="170">
        <f t="array" ref="F71">IFERROR(
MEDIAN((IF(DATOS_[[Sexo]:[Sexo]]=$B71,IF(DATOS_[[AGRUP. VALOR. PTO.]:[AGRUP. VALOR. PTO.]]=$B69,IF(DATOS_[[Check Periodo Ref.]:[Check Periodo Ref.]]="Dentro",DATOS_[Conc.Sal.01]))))),
0)</f>
        <v>0</v>
      </c>
      <c r="G71" s="170">
        <f t="array" ref="G71">IFERROR(
MEDIAN((IF(DATOS_[[Sexo]:[Sexo]]=$B71,IF(DATOS_[[AGRUP. VALOR. PTO.]:[AGRUP. VALOR. PTO.]]=$B69,IF(DATOS_[[Check Periodo Ref.]:[Check Periodo Ref.]]="Dentro",DATOS_[Conc.Sal.02]))))),
0)</f>
        <v>0</v>
      </c>
      <c r="H71" s="170">
        <f t="array" ref="H71">IFERROR(
MEDIAN((IF(DATOS_[[Sexo]:[Sexo]]=$B71,IF(DATOS_[[AGRUP. VALOR. PTO.]:[AGRUP. VALOR. PTO.]]=$B69,IF(DATOS_[[Check Periodo Ref.]:[Check Periodo Ref.]]="Dentro",DATOS_[Conc.Sal.03]))))),
0)</f>
        <v>0</v>
      </c>
      <c r="I71" s="170">
        <f t="array" ref="I71">IFERROR(
MEDIAN((IF(DATOS_[[Sexo]:[Sexo]]=$B71,IF(DATOS_[[AGRUP. VALOR. PTO.]:[AGRUP. VALOR. PTO.]]=$B69,IF(DATOS_[[Check Periodo Ref.]:[Check Periodo Ref.]]="Dentro",DATOS_[Conc.Sal.04]))))),
0)</f>
        <v>0</v>
      </c>
      <c r="J71" s="170">
        <f t="array" ref="J71">IFERROR(
MEDIAN((IF(DATOS_[[Sexo]:[Sexo]]=$B71,IF(DATOS_[[AGRUP. VALOR. PTO.]:[AGRUP. VALOR. PTO.]]=$B69,IF(DATOS_[[Check Periodo Ref.]:[Check Periodo Ref.]]="Dentro",DATOS_[Conc.Sal.05]))))),
0)</f>
        <v>0</v>
      </c>
      <c r="K71" s="170">
        <f t="array" ref="K71">IFERROR(
MEDIAN((IF(DATOS_[[Sexo]:[Sexo]]=$B71,IF(DATOS_[[AGRUP. VALOR. PTO.]:[AGRUP. VALOR. PTO.]]=$B69,IF(DATOS_[[Check Periodo Ref.]:[Check Periodo Ref.]]="Dentro",DATOS_[Conc.Sal.06]))))),
0)</f>
        <v>0</v>
      </c>
      <c r="L71" s="170">
        <f t="array" ref="L71">IFERROR(
MEDIAN((IF(DATOS_[[Sexo]:[Sexo]]=$B71,IF(DATOS_[[AGRUP. VALOR. PTO.]:[AGRUP. VALOR. PTO.]]=$B69,IF(DATOS_[[Check Periodo Ref.]:[Check Periodo Ref.]]="Dentro",DATOS_[Conc.Sal.07]))))),
0)</f>
        <v>0</v>
      </c>
      <c r="M71" s="170">
        <f t="array" ref="M71">IFERROR(
MEDIAN((IF(DATOS_[[Sexo]:[Sexo]]=$B71,IF(DATOS_[[AGRUP. VALOR. PTO.]:[AGRUP. VALOR. PTO.]]=$B69,IF(DATOS_[[Check Periodo Ref.]:[Check Periodo Ref.]]="Dentro",DATOS_[Conc.Sal.08]))))),
0)</f>
        <v>0</v>
      </c>
      <c r="N71" s="170">
        <f t="array" ref="N71">IFERROR(
MEDIAN((IF(DATOS_[[Sexo]:[Sexo]]=$B71,IF(DATOS_[[AGRUP. VALOR. PTO.]:[AGRUP. VALOR. PTO.]]=$B69,IF(DATOS_[[Check Periodo Ref.]:[Check Periodo Ref.]]="Dentro",DATOS_[Conc.Sal.09]))))),
0)</f>
        <v>0</v>
      </c>
      <c r="O71" s="170">
        <f t="array" ref="O71">IFERROR(
MEDIAN((IF(DATOS_[[Sexo]:[Sexo]]=$B71,IF(DATOS_[[AGRUP. VALOR. PTO.]:[AGRUP. VALOR. PTO.]]=$B69,IF(DATOS_[[Check Periodo Ref.]:[Check Periodo Ref.]]="Dentro",DATOS_[Conc.Sal.10]))))),
0)</f>
        <v>0</v>
      </c>
      <c r="P71" s="170">
        <f t="array" ref="P71">IFERROR(
MEDIAN((IF(DATOS_[[Sexo]:[Sexo]]=$B71,IF(DATOS_[[AGRUP. VALOR. PTO.]:[AGRUP. VALOR. PTO.]]=$B69,IF(DATOS_[[Check Periodo Ref.]:[Check Periodo Ref.]]="Dentro",DATOS_[Conc.Sal.11]))))),
0)</f>
        <v>0</v>
      </c>
      <c r="Q71" s="170">
        <f t="array" ref="Q71">IFERROR(
MEDIAN((IF(DATOS_[[Sexo]:[Sexo]]=$B71,IF(DATOS_[[AGRUP. VALOR. PTO.]:[AGRUP. VALOR. PTO.]]=$B69,IF(DATOS_[[Check Periodo Ref.]:[Check Periodo Ref.]]="Dentro",DATOS_[Conc.Sal.12]))))),
0)</f>
        <v>0</v>
      </c>
      <c r="R71" s="170">
        <f t="array" ref="R71">IFERROR(
MEDIAN((IF(DATOS_[[Sexo]:[Sexo]]=$B71,IF(DATOS_[[AGRUP. VALOR. PTO.]:[AGRUP. VALOR. PTO.]]=$B69,IF(DATOS_[[Check Periodo Ref.]:[Check Periodo Ref.]]="Dentro",DATOS_[Conc.Sal.13]))))),
0)</f>
        <v>0</v>
      </c>
      <c r="S71" s="170">
        <f t="array" ref="S71">IFERROR(
MEDIAN((IF(DATOS_[[Sexo]:[Sexo]]=$B71,IF(DATOS_[[AGRUP. VALOR. PTO.]:[AGRUP. VALOR. PTO.]]=$B69,IF(DATOS_[[Check Periodo Ref.]:[Check Periodo Ref.]]="Dentro",DATOS_[Conc.Sal.14]))))),
0)</f>
        <v>0</v>
      </c>
      <c r="T71" s="170">
        <f t="array" ref="T71">IFERROR(
MEDIAN((IF(DATOS_[[Sexo]:[Sexo]]=$B71,IF(DATOS_[[AGRUP. VALOR. PTO.]:[AGRUP. VALOR. PTO.]]=$B69,IF(DATOS_[[Check Periodo Ref.]:[Check Periodo Ref.]]="Dentro",DATOS_[Conc.Sal.15]))))),
0)</f>
        <v>0</v>
      </c>
      <c r="U71" s="170">
        <f t="array" ref="U71">IFERROR(
MEDIAN((IF(DATOS_[[Sexo]:[Sexo]]=$B71,IF(DATOS_[[AGRUP. VALOR. PTO.]:[AGRUP. VALOR. PTO.]]=$B69,IF(DATOS_[[Check Periodo Ref.]:[Check Periodo Ref.]]="Dentro",DATOS_[Conc.Sal.16]))))),
0)</f>
        <v>0</v>
      </c>
      <c r="V71" s="170">
        <f t="array" ref="V71">IFERROR(
MEDIAN((IF(DATOS_[[Sexo]:[Sexo]]=$B71,IF(DATOS_[[AGRUP. VALOR. PTO.]:[AGRUP. VALOR. PTO.]]=$B69,IF(DATOS_[[Check Periodo Ref.]:[Check Periodo Ref.]]="Dentro",DATOS_[Conc.Sal.17]))))),
0)</f>
        <v>0</v>
      </c>
      <c r="W71" s="170">
        <f t="array" ref="W71">IFERROR(
MEDIAN((IF(DATOS_[[Sexo]:[Sexo]]=$B71,IF(DATOS_[[AGRUP. VALOR. PTO.]:[AGRUP. VALOR. PTO.]]=$B69,IF(DATOS_[[Check Periodo Ref.]:[Check Periodo Ref.]]="Dentro",DATOS_[Conc.Sal.18]))))),
0)</f>
        <v>0</v>
      </c>
      <c r="X71" s="170">
        <f t="array" ref="X71">IFERROR(
MEDIAN((IF(DATOS_[[Sexo]:[Sexo]]=$B71,IF(DATOS_[[AGRUP. VALOR. PTO.]:[AGRUP. VALOR. PTO.]]=$B69,IF(DATOS_[[Check Periodo Ref.]:[Check Periodo Ref.]]="Dentro",DATOS_[Conc.Sal.19]))))),
0)</f>
        <v>0</v>
      </c>
      <c r="Y71" s="170">
        <f t="array" ref="Y71">IFERROR(
MEDIAN((IF(DATOS_[[Sexo]:[Sexo]]=$B71,IF(DATOS_[[AGRUP. VALOR. PTO.]:[AGRUP. VALOR. PTO.]]=$B69,IF(DATOS_[[Check Periodo Ref.]:[Check Periodo Ref.]]="Dentro",DATOS_[Conc.Sal.20]))))),
0)</f>
        <v>0</v>
      </c>
      <c r="Z71" s="170">
        <f t="array" ref="Z71">IFERROR(
MEDIAN((IF(DATOS_[[Sexo]:[Sexo]]=$B71,IF(DATOS_[[AGRUP. VALOR. PTO.]:[AGRUP. VALOR. PTO.]]=$B69,IF(DATOS_[[Check Periodo Ref.]:[Check Periodo Ref.]]="Dentro",DATOS_[Conc.Sal.21]))))),
0)</f>
        <v>0</v>
      </c>
      <c r="AA71" s="170">
        <f t="array" ref="AA71">IFERROR(
MEDIAN((IF(DATOS_[[Sexo]:[Sexo]]=$B71,IF(DATOS_[[AGRUP. VALOR. PTO.]:[AGRUP. VALOR. PTO.]]=$B69,IF(DATOS_[[Check Periodo Ref.]:[Check Periodo Ref.]]="Dentro",DATOS_[Conc.Sal.22]))))),
0)</f>
        <v>0</v>
      </c>
      <c r="AB71" s="170">
        <f t="array" ref="AB71">IFERROR(
MEDIAN((IF(DATOS_[[Sexo]:[Sexo]]=$B71,IF(DATOS_[[AGRUP. VALOR. PTO.]:[AGRUP. VALOR. PTO.]]=$B69,IF(DATOS_[[Check Periodo Ref.]:[Check Periodo Ref.]]="Dentro",DATOS_[Conc.Sal.23]))))),
0)</f>
        <v>0</v>
      </c>
      <c r="AC71" s="170">
        <f t="array" ref="AC71">IFERROR(
MEDIAN((IF(DATOS_[[Sexo]:[Sexo]]=$B71,IF(DATOS_[[AGRUP. VALOR. PTO.]:[AGRUP. VALOR. PTO.]]=$B69,IF(DATOS_[[Check Periodo Ref.]:[Check Periodo Ref.]]="Dentro",DATOS_[Conc.Sal.24]))))),
0)</f>
        <v>0</v>
      </c>
      <c r="AD71" s="170">
        <f t="array" ref="AD71">IFERROR(
MEDIAN((IF(DATOS_[[Sexo]:[Sexo]]=$B71,IF(DATOS_[[AGRUP. VALOR. PTO.]:[AGRUP. VALOR. PTO.]]=$B69,IF(DATOS_[[Check Periodo Ref.]:[Check Periodo Ref.]]="Dentro",DATOS_[Conc.Sal.25]))))),
0)</f>
        <v>0</v>
      </c>
      <c r="AE71" s="170">
        <f t="array" ref="AE71">IFERROR(
MEDIAN((IF(DATOS_[[Sexo]:[Sexo]]=$B71,IF(DATOS_[[AGRUP. VALOR. PTO.]:[AGRUP. VALOR. PTO.]]=$B69,IF(DATOS_[[Check Periodo Ref.]:[Check Periodo Ref.]]="Dentro",DATOS_[Conc.Sal.26]))))),
0)</f>
        <v>0</v>
      </c>
      <c r="AF71" s="170">
        <f t="array" ref="AF71">IFERROR(
MEDIAN((IF(DATOS_[[Sexo]:[Sexo]]=$B71,IF(DATOS_[[AGRUP. VALOR. PTO.]:[AGRUP. VALOR. PTO.]]=$B69,IF(DATOS_[[Check Periodo Ref.]:[Check Periodo Ref.]]="Dentro",DATOS_[Conc.Sal.27]))))),
0)</f>
        <v>0</v>
      </c>
      <c r="AG71" s="170">
        <f t="array" ref="AG71">IFERROR(
MEDIAN((IF(DATOS_[[Sexo]:[Sexo]]=$B71,IF(DATOS_[[AGRUP. VALOR. PTO.]:[AGRUP. VALOR. PTO.]]=$B69,IF(DATOS_[[Check Periodo Ref.]:[Check Periodo Ref.]]="Dentro",DATOS_[Conc.Sal.28]))))),
0)</f>
        <v>0</v>
      </c>
      <c r="AH71" s="170">
        <f t="array" ref="AH71">IFERROR(
MEDIAN((IF(DATOS_[[Sexo]:[Sexo]]=$B71,IF(DATOS_[[AGRUP. VALOR. PTO.]:[AGRUP. VALOR. PTO.]]=$B69,IF(DATOS_[[Check Periodo Ref.]:[Check Periodo Ref.]]="Dentro",DATOS_[Conc.Sal.29]))))),
0)</f>
        <v>0</v>
      </c>
      <c r="AI71" s="170">
        <f t="array" ref="AI71">IFERROR(
MEDIAN((IF(DATOS_[[Sexo]:[Sexo]]=$B71,IF(DATOS_[[AGRUP. VALOR. PTO.]:[AGRUP. VALOR. PTO.]]=$B69,IF(DATOS_[[Check Periodo Ref.]:[Check Periodo Ref.]]="Dentro",DATOS_[Conc.Sal.30]))))),
0)</f>
        <v>0</v>
      </c>
      <c r="AJ71" s="171">
        <f t="array" ref="AJ71">IFERROR(
MEDIAN(IF(DATOS_[Sexo]=$B71,IF(DATOS_[AGRUP. VALOR. PTO.]=$B69,IF(DATOS_[Check Periodo Ref.]="Dentro",DATOS_[Tot COMPL.SAL Ef],FALSE)))),
0)</f>
        <v>0</v>
      </c>
      <c r="AK71" s="172">
        <f t="array" ref="AK71">IFERROR(
MEDIAN(IF(DATOS_[Sexo]=$B71,IF(DATOS_[AGRUP. VALOR. PTO.]=$B69,IF(DATOS_[Check Periodo Ref.]="Dentro",DATOS_[TOTAL SALARIO Ef],FALSE)))),
0)</f>
        <v>0</v>
      </c>
      <c r="AL71" s="173">
        <f t="array" ref="AL71">IFERROR(
MEDIAN((IF(DATOS_[[Sexo]:[Sexo]]=$B71,IF(DATOS_[[AGRUP. VALOR. PTO.]:[AGRUP. VALOR. PTO.]]=$B69,IF(DATOS_[[Check Periodo Ref.]:[Check Periodo Ref.]]="Dentro",DATOS_[C.Extra.01]))))),
0)</f>
        <v>0</v>
      </c>
      <c r="AM71" s="173">
        <f t="array" ref="AM71">IFERROR(
MEDIAN((IF(DATOS_[[Sexo]:[Sexo]]=$B71,IF(DATOS_[[AGRUP. VALOR. PTO.]:[AGRUP. VALOR. PTO.]]=$B69,IF(DATOS_[[Check Periodo Ref.]:[Check Periodo Ref.]]="Dentro",DATOS_[C.Extra.06]))))),
0)</f>
        <v>0</v>
      </c>
      <c r="AN71" s="173">
        <f t="array" ref="AN71">IFERROR(
MEDIAN((IF(DATOS_[[Sexo]:[Sexo]]=$B71,IF(DATOS_[[AGRUP. VALOR. PTO.]:[AGRUP. VALOR. PTO.]]=$B69,IF(DATOS_[[Check Periodo Ref.]:[Check Periodo Ref.]]="Dentro",DATOS_[C.Extra.07]))))),
0)</f>
        <v>0</v>
      </c>
      <c r="AO71" s="173">
        <f t="array" ref="AO71">IFERROR(
MEDIAN((IF(DATOS_[[Sexo]:[Sexo]]=$B71,IF(DATOS_[[AGRUP. VALOR. PTO.]:[AGRUP. VALOR. PTO.]]=$B69,IF(DATOS_[[Check Periodo Ref.]:[Check Periodo Ref.]]="Dentro",DATOS_[C.Extra.08]))))),
0)</f>
        <v>0</v>
      </c>
      <c r="AP71" s="173">
        <f t="array" ref="AP71">IFERROR(
MEDIAN((IF(DATOS_[[Sexo]:[Sexo]]=$B71,IF(DATOS_[[AGRUP. VALOR. PTO.]:[AGRUP. VALOR. PTO.]]=$B69,IF(DATOS_[[Check Periodo Ref.]:[Check Periodo Ref.]]="Dentro",DATOS_[C.Extra.11]))))),
0)</f>
        <v>0</v>
      </c>
      <c r="AQ71" s="174">
        <f t="array" ref="AQ71">IFERROR(
MEDIAN(IF(DATOS_[Sexo]=$B71,IF(DATOS_[AGRUP. VALOR. PTO.]=$B69,IF(DATOS_[Check Periodo Ref.]="Dentro",DATOS_[Tot Extrasalarial Ef],FALSE)))),
0)</f>
        <v>0</v>
      </c>
      <c r="AR71" s="171">
        <f t="array" ref="AR71">IFERROR(
MEDIAN(IF(DATOS_[Sexo]=$B71,IF(DATOS_[AGRUP. VALOR. PTO.]=$B69,IF(DATOS_[Check Periodo Ref.]="Dentro",DATOS_[TOTAL Retrib Ef],FALSE)))),
0)</f>
        <v>0</v>
      </c>
    </row>
    <row r="72" spans="1:44" ht="14.4" thickBot="1" x14ac:dyDescent="0.3">
      <c r="A72" s="178" t="str">
        <f t="shared" ref="A72" si="79">+A73</f>
        <v>[ocultar]</v>
      </c>
      <c r="B72" s="153" t="s">
        <v>257</v>
      </c>
      <c r="C72" s="154"/>
      <c r="D72" s="155"/>
      <c r="E72" s="156" t="str">
        <f t="shared" ref="E72:AR72" si="80">IFERROR((E73-E74)/E73,"")</f>
        <v/>
      </c>
      <c r="F72" s="157" t="str">
        <f t="shared" si="80"/>
        <v/>
      </c>
      <c r="G72" s="158" t="str">
        <f t="shared" si="80"/>
        <v/>
      </c>
      <c r="H72" s="158" t="str">
        <f t="shared" si="80"/>
        <v/>
      </c>
      <c r="I72" s="158" t="str">
        <f t="shared" si="80"/>
        <v/>
      </c>
      <c r="J72" s="159" t="str">
        <f t="shared" si="80"/>
        <v/>
      </c>
      <c r="K72" s="160" t="str">
        <f t="shared" si="80"/>
        <v/>
      </c>
      <c r="L72" s="160" t="str">
        <f t="shared" si="80"/>
        <v/>
      </c>
      <c r="M72" s="160" t="str">
        <f t="shared" si="80"/>
        <v/>
      </c>
      <c r="N72" s="160" t="str">
        <f t="shared" si="80"/>
        <v/>
      </c>
      <c r="O72" s="160" t="str">
        <f t="shared" si="80"/>
        <v/>
      </c>
      <c r="P72" s="160" t="str">
        <f t="shared" si="80"/>
        <v/>
      </c>
      <c r="Q72" s="160" t="str">
        <f t="shared" si="80"/>
        <v/>
      </c>
      <c r="R72" s="160" t="str">
        <f t="shared" si="80"/>
        <v/>
      </c>
      <c r="S72" s="160" t="str">
        <f t="shared" si="80"/>
        <v/>
      </c>
      <c r="T72" s="160" t="str">
        <f t="shared" si="80"/>
        <v/>
      </c>
      <c r="U72" s="160" t="str">
        <f t="shared" si="80"/>
        <v/>
      </c>
      <c r="V72" s="159" t="str">
        <f t="shared" si="80"/>
        <v/>
      </c>
      <c r="W72" s="159" t="str">
        <f t="shared" si="80"/>
        <v/>
      </c>
      <c r="X72" s="159" t="str">
        <f t="shared" si="80"/>
        <v/>
      </c>
      <c r="Y72" s="159" t="str">
        <f t="shared" si="80"/>
        <v/>
      </c>
      <c r="Z72" s="159" t="str">
        <f t="shared" si="80"/>
        <v/>
      </c>
      <c r="AA72" s="159" t="str">
        <f t="shared" si="80"/>
        <v/>
      </c>
      <c r="AB72" s="159" t="str">
        <f t="shared" si="80"/>
        <v/>
      </c>
      <c r="AC72" s="159" t="str">
        <f t="shared" si="80"/>
        <v/>
      </c>
      <c r="AD72" s="159" t="str">
        <f t="shared" si="80"/>
        <v/>
      </c>
      <c r="AE72" s="159" t="str">
        <f t="shared" si="80"/>
        <v/>
      </c>
      <c r="AF72" s="159" t="str">
        <f t="shared" si="80"/>
        <v/>
      </c>
      <c r="AG72" s="159" t="str">
        <f t="shared" si="80"/>
        <v/>
      </c>
      <c r="AH72" s="159" t="str">
        <f t="shared" si="80"/>
        <v/>
      </c>
      <c r="AI72" s="159" t="str">
        <f t="shared" si="80"/>
        <v/>
      </c>
      <c r="AJ72" s="161" t="str">
        <f t="shared" si="80"/>
        <v/>
      </c>
      <c r="AK72" s="162" t="str">
        <f t="shared" si="80"/>
        <v/>
      </c>
      <c r="AL72" s="163" t="str">
        <f t="shared" si="80"/>
        <v/>
      </c>
      <c r="AM72" s="163" t="str">
        <f t="shared" si="80"/>
        <v/>
      </c>
      <c r="AN72" s="163" t="str">
        <f t="shared" si="80"/>
        <v/>
      </c>
      <c r="AO72" s="163" t="str">
        <f t="shared" si="80"/>
        <v/>
      </c>
      <c r="AP72" s="163" t="str">
        <f t="shared" si="80"/>
        <v/>
      </c>
      <c r="AQ72" s="164" t="str">
        <f t="shared" si="80"/>
        <v/>
      </c>
      <c r="AR72" s="161" t="str">
        <f t="shared" si="80"/>
        <v/>
      </c>
    </row>
    <row r="73" spans="1:44" x14ac:dyDescent="0.25">
      <c r="A73" s="178" t="str">
        <f t="shared" ref="A73" si="81">+IF(C73+C74=0,"[ocultar]","")</f>
        <v>[ocultar]</v>
      </c>
      <c r="B73" s="166" t="s">
        <v>394</v>
      </c>
      <c r="C73" s="167">
        <f t="array" ref="C73">SUM(IF($B73=DATOS_[Sexo],
IF($B72=DATOS_[AGRUP. VALOR. PTO.],
IF("Dentro"=DATOS_[Check Periodo Ref.],
1/(COUNTIFS(DATOS_[Sexo],$B73,DATOS_[AGRUP. VALOR. PTO.],$B72,DATOS_[Check Periodo Ref.],"Dentro",DATOS_[id/cod],DATOS_[id/cod]))))))</f>
        <v>0</v>
      </c>
      <c r="D73" s="168">
        <f>COUNTIFS(DATOS_[AGRUP. VALOR. PTO.],$B72,DATOS_[Sexo],$B73,DATOS_[Check Periodo Ref.],"Dentro")</f>
        <v>0</v>
      </c>
      <c r="E73" s="169">
        <f t="array" ref="E73">IFERROR(
MEDIAN(IF(DATOS_[Sexo]=$B73,IF(DATOS_[AGRUP. VALOR. PTO.]=$B72,IF(DATOS_[Check Periodo Ref.]="Dentro",DATOS_[SALARIO BASE Ef],FALSE)))),
0)</f>
        <v>0</v>
      </c>
      <c r="F73" s="170">
        <f t="array" ref="F73">IFERROR(
MEDIAN((IF(DATOS_[[Sexo]:[Sexo]]=$B73,IF(DATOS_[[AGRUP. VALOR. PTO.]:[AGRUP. VALOR. PTO.]]=$B72,IF(DATOS_[[Check Periodo Ref.]:[Check Periodo Ref.]]="Dentro",DATOS_[Conc.Sal.01]))))),
0)</f>
        <v>0</v>
      </c>
      <c r="G73" s="170">
        <f t="array" ref="G73">IFERROR(
MEDIAN((IF(DATOS_[[Sexo]:[Sexo]]=$B73,IF(DATOS_[[AGRUP. VALOR. PTO.]:[AGRUP. VALOR. PTO.]]=$B72,IF(DATOS_[[Check Periodo Ref.]:[Check Periodo Ref.]]="Dentro",DATOS_[Conc.Sal.02]))))),
0)</f>
        <v>0</v>
      </c>
      <c r="H73" s="170">
        <f t="array" ref="H73">IFERROR(
MEDIAN((IF(DATOS_[[Sexo]:[Sexo]]=$B73,IF(DATOS_[[AGRUP. VALOR. PTO.]:[AGRUP. VALOR. PTO.]]=$B72,IF(DATOS_[[Check Periodo Ref.]:[Check Periodo Ref.]]="Dentro",DATOS_[Conc.Sal.03]))))),
0)</f>
        <v>0</v>
      </c>
      <c r="I73" s="170">
        <f t="array" ref="I73">IFERROR(
MEDIAN((IF(DATOS_[[Sexo]:[Sexo]]=$B73,IF(DATOS_[[AGRUP. VALOR. PTO.]:[AGRUP. VALOR. PTO.]]=$B72,IF(DATOS_[[Check Periodo Ref.]:[Check Periodo Ref.]]="Dentro",DATOS_[Conc.Sal.04]))))),
0)</f>
        <v>0</v>
      </c>
      <c r="J73" s="170">
        <f t="array" ref="J73">IFERROR(
MEDIAN((IF(DATOS_[[Sexo]:[Sexo]]=$B73,IF(DATOS_[[AGRUP. VALOR. PTO.]:[AGRUP. VALOR. PTO.]]=$B72,IF(DATOS_[[Check Periodo Ref.]:[Check Periodo Ref.]]="Dentro",DATOS_[Conc.Sal.05]))))),
0)</f>
        <v>0</v>
      </c>
      <c r="K73" s="170">
        <f t="array" ref="K73">IFERROR(
MEDIAN((IF(DATOS_[[Sexo]:[Sexo]]=$B73,IF(DATOS_[[AGRUP. VALOR. PTO.]:[AGRUP. VALOR. PTO.]]=$B72,IF(DATOS_[[Check Periodo Ref.]:[Check Periodo Ref.]]="Dentro",DATOS_[Conc.Sal.06]))))),
0)</f>
        <v>0</v>
      </c>
      <c r="L73" s="170">
        <f t="array" ref="L73">IFERROR(
MEDIAN((IF(DATOS_[[Sexo]:[Sexo]]=$B73,IF(DATOS_[[AGRUP. VALOR. PTO.]:[AGRUP. VALOR. PTO.]]=$B72,IF(DATOS_[[Check Periodo Ref.]:[Check Periodo Ref.]]="Dentro",DATOS_[Conc.Sal.07]))))),
0)</f>
        <v>0</v>
      </c>
      <c r="M73" s="170">
        <f t="array" ref="M73">IFERROR(
MEDIAN((IF(DATOS_[[Sexo]:[Sexo]]=$B73,IF(DATOS_[[AGRUP. VALOR. PTO.]:[AGRUP. VALOR. PTO.]]=$B72,IF(DATOS_[[Check Periodo Ref.]:[Check Periodo Ref.]]="Dentro",DATOS_[Conc.Sal.08]))))),
0)</f>
        <v>0</v>
      </c>
      <c r="N73" s="170">
        <f t="array" ref="N73">IFERROR(
MEDIAN((IF(DATOS_[[Sexo]:[Sexo]]=$B73,IF(DATOS_[[AGRUP. VALOR. PTO.]:[AGRUP. VALOR. PTO.]]=$B72,IF(DATOS_[[Check Periodo Ref.]:[Check Periodo Ref.]]="Dentro",DATOS_[Conc.Sal.09]))))),
0)</f>
        <v>0</v>
      </c>
      <c r="O73" s="170">
        <f t="array" ref="O73">IFERROR(
MEDIAN((IF(DATOS_[[Sexo]:[Sexo]]=$B73,IF(DATOS_[[AGRUP. VALOR. PTO.]:[AGRUP. VALOR. PTO.]]=$B72,IF(DATOS_[[Check Periodo Ref.]:[Check Periodo Ref.]]="Dentro",DATOS_[Conc.Sal.10]))))),
0)</f>
        <v>0</v>
      </c>
      <c r="P73" s="170">
        <f t="array" ref="P73">IFERROR(
MEDIAN((IF(DATOS_[[Sexo]:[Sexo]]=$B73,IF(DATOS_[[AGRUP. VALOR. PTO.]:[AGRUP. VALOR. PTO.]]=$B72,IF(DATOS_[[Check Periodo Ref.]:[Check Periodo Ref.]]="Dentro",DATOS_[Conc.Sal.11]))))),
0)</f>
        <v>0</v>
      </c>
      <c r="Q73" s="170">
        <f t="array" ref="Q73">IFERROR(
MEDIAN((IF(DATOS_[[Sexo]:[Sexo]]=$B73,IF(DATOS_[[AGRUP. VALOR. PTO.]:[AGRUP. VALOR. PTO.]]=$B72,IF(DATOS_[[Check Periodo Ref.]:[Check Periodo Ref.]]="Dentro",DATOS_[Conc.Sal.12]))))),
0)</f>
        <v>0</v>
      </c>
      <c r="R73" s="170">
        <f t="array" ref="R73">IFERROR(
MEDIAN((IF(DATOS_[[Sexo]:[Sexo]]=$B73,IF(DATOS_[[AGRUP. VALOR. PTO.]:[AGRUP. VALOR. PTO.]]=$B72,IF(DATOS_[[Check Periodo Ref.]:[Check Periodo Ref.]]="Dentro",DATOS_[Conc.Sal.13]))))),
0)</f>
        <v>0</v>
      </c>
      <c r="S73" s="170">
        <f t="array" ref="S73">IFERROR(
MEDIAN((IF(DATOS_[[Sexo]:[Sexo]]=$B73,IF(DATOS_[[AGRUP. VALOR. PTO.]:[AGRUP. VALOR. PTO.]]=$B72,IF(DATOS_[[Check Periodo Ref.]:[Check Periodo Ref.]]="Dentro",DATOS_[Conc.Sal.14]))))),
0)</f>
        <v>0</v>
      </c>
      <c r="T73" s="170">
        <f t="array" ref="T73">IFERROR(
MEDIAN((IF(DATOS_[[Sexo]:[Sexo]]=$B73,IF(DATOS_[[AGRUP. VALOR. PTO.]:[AGRUP. VALOR. PTO.]]=$B72,IF(DATOS_[[Check Periodo Ref.]:[Check Periodo Ref.]]="Dentro",DATOS_[Conc.Sal.15]))))),
0)</f>
        <v>0</v>
      </c>
      <c r="U73" s="170">
        <f t="array" ref="U73">IFERROR(
MEDIAN((IF(DATOS_[[Sexo]:[Sexo]]=$B73,IF(DATOS_[[AGRUP. VALOR. PTO.]:[AGRUP. VALOR. PTO.]]=$B72,IF(DATOS_[[Check Periodo Ref.]:[Check Periodo Ref.]]="Dentro",DATOS_[Conc.Sal.16]))))),
0)</f>
        <v>0</v>
      </c>
      <c r="V73" s="170">
        <f t="array" ref="V73">IFERROR(
MEDIAN((IF(DATOS_[[Sexo]:[Sexo]]=$B73,IF(DATOS_[[AGRUP. VALOR. PTO.]:[AGRUP. VALOR. PTO.]]=$B72,IF(DATOS_[[Check Periodo Ref.]:[Check Periodo Ref.]]="Dentro",DATOS_[Conc.Sal.17]))))),
0)</f>
        <v>0</v>
      </c>
      <c r="W73" s="170">
        <f t="array" ref="W73">IFERROR(
MEDIAN((IF(DATOS_[[Sexo]:[Sexo]]=$B73,IF(DATOS_[[AGRUP. VALOR. PTO.]:[AGRUP. VALOR. PTO.]]=$B72,IF(DATOS_[[Check Periodo Ref.]:[Check Periodo Ref.]]="Dentro",DATOS_[Conc.Sal.18]))))),
0)</f>
        <v>0</v>
      </c>
      <c r="X73" s="170">
        <f t="array" ref="X73">IFERROR(
MEDIAN((IF(DATOS_[[Sexo]:[Sexo]]=$B73,IF(DATOS_[[AGRUP. VALOR. PTO.]:[AGRUP. VALOR. PTO.]]=$B72,IF(DATOS_[[Check Periodo Ref.]:[Check Periodo Ref.]]="Dentro",DATOS_[Conc.Sal.19]))))),
0)</f>
        <v>0</v>
      </c>
      <c r="Y73" s="170">
        <f t="array" ref="Y73">IFERROR(
MEDIAN((IF(DATOS_[[Sexo]:[Sexo]]=$B73,IF(DATOS_[[AGRUP. VALOR. PTO.]:[AGRUP. VALOR. PTO.]]=$B72,IF(DATOS_[[Check Periodo Ref.]:[Check Periodo Ref.]]="Dentro",DATOS_[Conc.Sal.20]))))),
0)</f>
        <v>0</v>
      </c>
      <c r="Z73" s="170">
        <f t="array" ref="Z73">IFERROR(
MEDIAN((IF(DATOS_[[Sexo]:[Sexo]]=$B73,IF(DATOS_[[AGRUP. VALOR. PTO.]:[AGRUP. VALOR. PTO.]]=$B72,IF(DATOS_[[Check Periodo Ref.]:[Check Periodo Ref.]]="Dentro",DATOS_[Conc.Sal.21]))))),
0)</f>
        <v>0</v>
      </c>
      <c r="AA73" s="170">
        <f t="array" ref="AA73">IFERROR(
MEDIAN((IF(DATOS_[[Sexo]:[Sexo]]=$B73,IF(DATOS_[[AGRUP. VALOR. PTO.]:[AGRUP. VALOR. PTO.]]=$B72,IF(DATOS_[[Check Periodo Ref.]:[Check Periodo Ref.]]="Dentro",DATOS_[Conc.Sal.22]))))),
0)</f>
        <v>0</v>
      </c>
      <c r="AB73" s="170">
        <f t="array" ref="AB73">IFERROR(
MEDIAN((IF(DATOS_[[Sexo]:[Sexo]]=$B73,IF(DATOS_[[AGRUP. VALOR. PTO.]:[AGRUP. VALOR. PTO.]]=$B72,IF(DATOS_[[Check Periodo Ref.]:[Check Periodo Ref.]]="Dentro",DATOS_[Conc.Sal.23]))))),
0)</f>
        <v>0</v>
      </c>
      <c r="AC73" s="170">
        <f t="array" ref="AC73">IFERROR(
MEDIAN((IF(DATOS_[[Sexo]:[Sexo]]=$B73,IF(DATOS_[[AGRUP. VALOR. PTO.]:[AGRUP. VALOR. PTO.]]=$B72,IF(DATOS_[[Check Periodo Ref.]:[Check Periodo Ref.]]="Dentro",DATOS_[Conc.Sal.24]))))),
0)</f>
        <v>0</v>
      </c>
      <c r="AD73" s="170">
        <f t="array" ref="AD73">IFERROR(
MEDIAN((IF(DATOS_[[Sexo]:[Sexo]]=$B73,IF(DATOS_[[AGRUP. VALOR. PTO.]:[AGRUP. VALOR. PTO.]]=$B72,IF(DATOS_[[Check Periodo Ref.]:[Check Periodo Ref.]]="Dentro",DATOS_[Conc.Sal.25]))))),
0)</f>
        <v>0</v>
      </c>
      <c r="AE73" s="170">
        <f t="array" ref="AE73">IFERROR(
MEDIAN((IF(DATOS_[[Sexo]:[Sexo]]=$B73,IF(DATOS_[[AGRUP. VALOR. PTO.]:[AGRUP. VALOR. PTO.]]=$B72,IF(DATOS_[[Check Periodo Ref.]:[Check Periodo Ref.]]="Dentro",DATOS_[Conc.Sal.26]))))),
0)</f>
        <v>0</v>
      </c>
      <c r="AF73" s="170">
        <f t="array" ref="AF73">IFERROR(
MEDIAN((IF(DATOS_[[Sexo]:[Sexo]]=$B73,IF(DATOS_[[AGRUP. VALOR. PTO.]:[AGRUP. VALOR. PTO.]]=$B72,IF(DATOS_[[Check Periodo Ref.]:[Check Periodo Ref.]]="Dentro",DATOS_[Conc.Sal.27]))))),
0)</f>
        <v>0</v>
      </c>
      <c r="AG73" s="170">
        <f t="array" ref="AG73">IFERROR(
MEDIAN((IF(DATOS_[[Sexo]:[Sexo]]=$B73,IF(DATOS_[[AGRUP. VALOR. PTO.]:[AGRUP. VALOR. PTO.]]=$B72,IF(DATOS_[[Check Periodo Ref.]:[Check Periodo Ref.]]="Dentro",DATOS_[Conc.Sal.28]))))),
0)</f>
        <v>0</v>
      </c>
      <c r="AH73" s="170">
        <f t="array" ref="AH73">IFERROR(
MEDIAN((IF(DATOS_[[Sexo]:[Sexo]]=$B73,IF(DATOS_[[AGRUP. VALOR. PTO.]:[AGRUP. VALOR. PTO.]]=$B72,IF(DATOS_[[Check Periodo Ref.]:[Check Periodo Ref.]]="Dentro",DATOS_[Conc.Sal.29]))))),
0)</f>
        <v>0</v>
      </c>
      <c r="AI73" s="170">
        <f t="array" ref="AI73">IFERROR(
MEDIAN((IF(DATOS_[[Sexo]:[Sexo]]=$B73,IF(DATOS_[[AGRUP. VALOR. PTO.]:[AGRUP. VALOR. PTO.]]=$B72,IF(DATOS_[[Check Periodo Ref.]:[Check Periodo Ref.]]="Dentro",DATOS_[Conc.Sal.30]))))),
0)</f>
        <v>0</v>
      </c>
      <c r="AJ73" s="171">
        <f t="array" ref="AJ73">IFERROR(
MEDIAN(IF(DATOS_[Sexo]=$B73,IF(DATOS_[AGRUP. VALOR. PTO.]=$B72,IF(DATOS_[Check Periodo Ref.]="Dentro",DATOS_[Tot COMPL.SAL Ef],FALSE)))),
0)</f>
        <v>0</v>
      </c>
      <c r="AK73" s="172">
        <f t="array" ref="AK73">IFERROR(
MEDIAN(IF(DATOS_[Sexo]=$B73,IF(DATOS_[AGRUP. VALOR. PTO.]=$B72,IF(DATOS_[Check Periodo Ref.]="Dentro",DATOS_[TOTAL SALARIO Ef],FALSE)))),
0)</f>
        <v>0</v>
      </c>
      <c r="AL73" s="173">
        <f t="array" ref="AL73">IFERROR(
MEDIAN((IF(DATOS_[[Sexo]:[Sexo]]=$B73,IF(DATOS_[[AGRUP. VALOR. PTO.]:[AGRUP. VALOR. PTO.]]=$B72,IF(DATOS_[[Check Periodo Ref.]:[Check Periodo Ref.]]="Dentro",DATOS_[C.Extra.01]))))),
0)</f>
        <v>0</v>
      </c>
      <c r="AM73" s="173">
        <f t="array" ref="AM73">IFERROR(
MEDIAN((IF(DATOS_[[Sexo]:[Sexo]]=$B73,IF(DATOS_[[AGRUP. VALOR. PTO.]:[AGRUP. VALOR. PTO.]]=$B72,IF(DATOS_[[Check Periodo Ref.]:[Check Periodo Ref.]]="Dentro",DATOS_[C.Extra.06]))))),
0)</f>
        <v>0</v>
      </c>
      <c r="AN73" s="173">
        <f t="array" ref="AN73">IFERROR(
MEDIAN((IF(DATOS_[[Sexo]:[Sexo]]=$B73,IF(DATOS_[[AGRUP. VALOR. PTO.]:[AGRUP. VALOR. PTO.]]=$B72,IF(DATOS_[[Check Periodo Ref.]:[Check Periodo Ref.]]="Dentro",DATOS_[C.Extra.07]))))),
0)</f>
        <v>0</v>
      </c>
      <c r="AO73" s="173">
        <f t="array" ref="AO73">IFERROR(
MEDIAN((IF(DATOS_[[Sexo]:[Sexo]]=$B73,IF(DATOS_[[AGRUP. VALOR. PTO.]:[AGRUP. VALOR. PTO.]]=$B72,IF(DATOS_[[Check Periodo Ref.]:[Check Periodo Ref.]]="Dentro",DATOS_[C.Extra.08]))))),
0)</f>
        <v>0</v>
      </c>
      <c r="AP73" s="173">
        <f t="array" ref="AP73">IFERROR(
MEDIAN((IF(DATOS_[[Sexo]:[Sexo]]=$B73,IF(DATOS_[[AGRUP. VALOR. PTO.]:[AGRUP. VALOR. PTO.]]=$B72,IF(DATOS_[[Check Periodo Ref.]:[Check Periodo Ref.]]="Dentro",DATOS_[C.Extra.11]))))),
0)</f>
        <v>0</v>
      </c>
      <c r="AQ73" s="174">
        <f t="array" ref="AQ73">IFERROR(
MEDIAN(IF(DATOS_[Sexo]=$B73,IF(DATOS_[AGRUP. VALOR. PTO.]=$B72,IF(DATOS_[Check Periodo Ref.]="Dentro",DATOS_[Tot Extrasalarial Ef],FALSE)))),
0)</f>
        <v>0</v>
      </c>
      <c r="AR73" s="171">
        <f t="array" ref="AR73">IFERROR(
MEDIAN(IF(DATOS_[Sexo]=$B73,IF(DATOS_[AGRUP. VALOR. PTO.]=$B72,IF(DATOS_[Check Periodo Ref.]="Dentro",DATOS_[TOTAL Retrib Ef],FALSE)))),
0)</f>
        <v>0</v>
      </c>
    </row>
    <row r="74" spans="1:44" x14ac:dyDescent="0.25">
      <c r="A74" s="178" t="str">
        <f t="shared" ref="A74" si="82">+A73</f>
        <v>[ocultar]</v>
      </c>
      <c r="B74" s="166" t="s">
        <v>521</v>
      </c>
      <c r="C74" s="167">
        <f t="array" ref="C74">SUM(IF($B74=DATOS_[Sexo],
IF($B72=DATOS_[AGRUP. VALOR. PTO.],
IF("Dentro"=DATOS_[Check Periodo Ref.],
1/(COUNTIFS(DATOS_[Sexo],$B74,DATOS_[AGRUP. VALOR. PTO.],$B72,DATOS_[Check Periodo Ref.],"Dentro",DATOS_[id/cod],DATOS_[id/cod]))))))</f>
        <v>0</v>
      </c>
      <c r="D74" s="168">
        <f>COUNTIFS(DATOS_[AGRUP. VALOR. PTO.],$B72,DATOS_[Sexo],$B74,DATOS_[Check Periodo Ref.],"Dentro")</f>
        <v>0</v>
      </c>
      <c r="E74" s="169">
        <f t="array" ref="E74">IFERROR(
MEDIAN(IF(DATOS_[Sexo]=$B74,IF(DATOS_[AGRUP. VALOR. PTO.]=$B72,IF(DATOS_[Check Periodo Ref.]="Dentro",DATOS_[SALARIO BASE Ef],FALSE)))),
0)</f>
        <v>0</v>
      </c>
      <c r="F74" s="170">
        <f t="array" ref="F74">IFERROR(
MEDIAN((IF(DATOS_[[Sexo]:[Sexo]]=$B74,IF(DATOS_[[AGRUP. VALOR. PTO.]:[AGRUP. VALOR. PTO.]]=$B72,IF(DATOS_[[Check Periodo Ref.]:[Check Periodo Ref.]]="Dentro",DATOS_[Conc.Sal.01]))))),
0)</f>
        <v>0</v>
      </c>
      <c r="G74" s="170">
        <f t="array" ref="G74">IFERROR(
MEDIAN((IF(DATOS_[[Sexo]:[Sexo]]=$B74,IF(DATOS_[[AGRUP. VALOR. PTO.]:[AGRUP. VALOR. PTO.]]=$B72,IF(DATOS_[[Check Periodo Ref.]:[Check Periodo Ref.]]="Dentro",DATOS_[Conc.Sal.02]))))),
0)</f>
        <v>0</v>
      </c>
      <c r="H74" s="170">
        <f t="array" ref="H74">IFERROR(
MEDIAN((IF(DATOS_[[Sexo]:[Sexo]]=$B74,IF(DATOS_[[AGRUP. VALOR. PTO.]:[AGRUP. VALOR. PTO.]]=$B72,IF(DATOS_[[Check Periodo Ref.]:[Check Periodo Ref.]]="Dentro",DATOS_[Conc.Sal.03]))))),
0)</f>
        <v>0</v>
      </c>
      <c r="I74" s="170">
        <f t="array" ref="I74">IFERROR(
MEDIAN((IF(DATOS_[[Sexo]:[Sexo]]=$B74,IF(DATOS_[[AGRUP. VALOR. PTO.]:[AGRUP. VALOR. PTO.]]=$B72,IF(DATOS_[[Check Periodo Ref.]:[Check Periodo Ref.]]="Dentro",DATOS_[Conc.Sal.04]))))),
0)</f>
        <v>0</v>
      </c>
      <c r="J74" s="170">
        <f t="array" ref="J74">IFERROR(
MEDIAN((IF(DATOS_[[Sexo]:[Sexo]]=$B74,IF(DATOS_[[AGRUP. VALOR. PTO.]:[AGRUP. VALOR. PTO.]]=$B72,IF(DATOS_[[Check Periodo Ref.]:[Check Periodo Ref.]]="Dentro",DATOS_[Conc.Sal.05]))))),
0)</f>
        <v>0</v>
      </c>
      <c r="K74" s="170">
        <f t="array" ref="K74">IFERROR(
MEDIAN((IF(DATOS_[[Sexo]:[Sexo]]=$B74,IF(DATOS_[[AGRUP. VALOR. PTO.]:[AGRUP. VALOR. PTO.]]=$B72,IF(DATOS_[[Check Periodo Ref.]:[Check Periodo Ref.]]="Dentro",DATOS_[Conc.Sal.06]))))),
0)</f>
        <v>0</v>
      </c>
      <c r="L74" s="170">
        <f t="array" ref="L74">IFERROR(
MEDIAN((IF(DATOS_[[Sexo]:[Sexo]]=$B74,IF(DATOS_[[AGRUP. VALOR. PTO.]:[AGRUP. VALOR. PTO.]]=$B72,IF(DATOS_[[Check Periodo Ref.]:[Check Periodo Ref.]]="Dentro",DATOS_[Conc.Sal.07]))))),
0)</f>
        <v>0</v>
      </c>
      <c r="M74" s="170">
        <f t="array" ref="M74">IFERROR(
MEDIAN((IF(DATOS_[[Sexo]:[Sexo]]=$B74,IF(DATOS_[[AGRUP. VALOR. PTO.]:[AGRUP. VALOR. PTO.]]=$B72,IF(DATOS_[[Check Periodo Ref.]:[Check Periodo Ref.]]="Dentro",DATOS_[Conc.Sal.08]))))),
0)</f>
        <v>0</v>
      </c>
      <c r="N74" s="170">
        <f t="array" ref="N74">IFERROR(
MEDIAN((IF(DATOS_[[Sexo]:[Sexo]]=$B74,IF(DATOS_[[AGRUP. VALOR. PTO.]:[AGRUP. VALOR. PTO.]]=$B72,IF(DATOS_[[Check Periodo Ref.]:[Check Periodo Ref.]]="Dentro",DATOS_[Conc.Sal.09]))))),
0)</f>
        <v>0</v>
      </c>
      <c r="O74" s="170">
        <f t="array" ref="O74">IFERROR(
MEDIAN((IF(DATOS_[[Sexo]:[Sexo]]=$B74,IF(DATOS_[[AGRUP. VALOR. PTO.]:[AGRUP. VALOR. PTO.]]=$B72,IF(DATOS_[[Check Periodo Ref.]:[Check Periodo Ref.]]="Dentro",DATOS_[Conc.Sal.10]))))),
0)</f>
        <v>0</v>
      </c>
      <c r="P74" s="170">
        <f t="array" ref="P74">IFERROR(
MEDIAN((IF(DATOS_[[Sexo]:[Sexo]]=$B74,IF(DATOS_[[AGRUP. VALOR. PTO.]:[AGRUP. VALOR. PTO.]]=$B72,IF(DATOS_[[Check Periodo Ref.]:[Check Periodo Ref.]]="Dentro",DATOS_[Conc.Sal.11]))))),
0)</f>
        <v>0</v>
      </c>
      <c r="Q74" s="170">
        <f t="array" ref="Q74">IFERROR(
MEDIAN((IF(DATOS_[[Sexo]:[Sexo]]=$B74,IF(DATOS_[[AGRUP. VALOR. PTO.]:[AGRUP. VALOR. PTO.]]=$B72,IF(DATOS_[[Check Periodo Ref.]:[Check Periodo Ref.]]="Dentro",DATOS_[Conc.Sal.12]))))),
0)</f>
        <v>0</v>
      </c>
      <c r="R74" s="170">
        <f t="array" ref="R74">IFERROR(
MEDIAN((IF(DATOS_[[Sexo]:[Sexo]]=$B74,IF(DATOS_[[AGRUP. VALOR. PTO.]:[AGRUP. VALOR. PTO.]]=$B72,IF(DATOS_[[Check Periodo Ref.]:[Check Periodo Ref.]]="Dentro",DATOS_[Conc.Sal.13]))))),
0)</f>
        <v>0</v>
      </c>
      <c r="S74" s="170">
        <f t="array" ref="S74">IFERROR(
MEDIAN((IF(DATOS_[[Sexo]:[Sexo]]=$B74,IF(DATOS_[[AGRUP. VALOR. PTO.]:[AGRUP. VALOR. PTO.]]=$B72,IF(DATOS_[[Check Periodo Ref.]:[Check Periodo Ref.]]="Dentro",DATOS_[Conc.Sal.14]))))),
0)</f>
        <v>0</v>
      </c>
      <c r="T74" s="170">
        <f t="array" ref="T74">IFERROR(
MEDIAN((IF(DATOS_[[Sexo]:[Sexo]]=$B74,IF(DATOS_[[AGRUP. VALOR. PTO.]:[AGRUP. VALOR. PTO.]]=$B72,IF(DATOS_[[Check Periodo Ref.]:[Check Periodo Ref.]]="Dentro",DATOS_[Conc.Sal.15]))))),
0)</f>
        <v>0</v>
      </c>
      <c r="U74" s="170">
        <f t="array" ref="U74">IFERROR(
MEDIAN((IF(DATOS_[[Sexo]:[Sexo]]=$B74,IF(DATOS_[[AGRUP. VALOR. PTO.]:[AGRUP. VALOR. PTO.]]=$B72,IF(DATOS_[[Check Periodo Ref.]:[Check Periodo Ref.]]="Dentro",DATOS_[Conc.Sal.16]))))),
0)</f>
        <v>0</v>
      </c>
      <c r="V74" s="170">
        <f t="array" ref="V74">IFERROR(
MEDIAN((IF(DATOS_[[Sexo]:[Sexo]]=$B74,IF(DATOS_[[AGRUP. VALOR. PTO.]:[AGRUP. VALOR. PTO.]]=$B72,IF(DATOS_[[Check Periodo Ref.]:[Check Periodo Ref.]]="Dentro",DATOS_[Conc.Sal.17]))))),
0)</f>
        <v>0</v>
      </c>
      <c r="W74" s="170">
        <f t="array" ref="W74">IFERROR(
MEDIAN((IF(DATOS_[[Sexo]:[Sexo]]=$B74,IF(DATOS_[[AGRUP. VALOR. PTO.]:[AGRUP. VALOR. PTO.]]=$B72,IF(DATOS_[[Check Periodo Ref.]:[Check Periodo Ref.]]="Dentro",DATOS_[Conc.Sal.18]))))),
0)</f>
        <v>0</v>
      </c>
      <c r="X74" s="170">
        <f t="array" ref="X74">IFERROR(
MEDIAN((IF(DATOS_[[Sexo]:[Sexo]]=$B74,IF(DATOS_[[AGRUP. VALOR. PTO.]:[AGRUP. VALOR. PTO.]]=$B72,IF(DATOS_[[Check Periodo Ref.]:[Check Periodo Ref.]]="Dentro",DATOS_[Conc.Sal.19]))))),
0)</f>
        <v>0</v>
      </c>
      <c r="Y74" s="170">
        <f t="array" ref="Y74">IFERROR(
MEDIAN((IF(DATOS_[[Sexo]:[Sexo]]=$B74,IF(DATOS_[[AGRUP. VALOR. PTO.]:[AGRUP. VALOR. PTO.]]=$B72,IF(DATOS_[[Check Periodo Ref.]:[Check Periodo Ref.]]="Dentro",DATOS_[Conc.Sal.20]))))),
0)</f>
        <v>0</v>
      </c>
      <c r="Z74" s="170">
        <f t="array" ref="Z74">IFERROR(
MEDIAN((IF(DATOS_[[Sexo]:[Sexo]]=$B74,IF(DATOS_[[AGRUP. VALOR. PTO.]:[AGRUP. VALOR. PTO.]]=$B72,IF(DATOS_[[Check Periodo Ref.]:[Check Periodo Ref.]]="Dentro",DATOS_[Conc.Sal.21]))))),
0)</f>
        <v>0</v>
      </c>
      <c r="AA74" s="170">
        <f t="array" ref="AA74">IFERROR(
MEDIAN((IF(DATOS_[[Sexo]:[Sexo]]=$B74,IF(DATOS_[[AGRUP. VALOR. PTO.]:[AGRUP. VALOR. PTO.]]=$B72,IF(DATOS_[[Check Periodo Ref.]:[Check Periodo Ref.]]="Dentro",DATOS_[Conc.Sal.22]))))),
0)</f>
        <v>0</v>
      </c>
      <c r="AB74" s="170">
        <f t="array" ref="AB74">IFERROR(
MEDIAN((IF(DATOS_[[Sexo]:[Sexo]]=$B74,IF(DATOS_[[AGRUP. VALOR. PTO.]:[AGRUP. VALOR. PTO.]]=$B72,IF(DATOS_[[Check Periodo Ref.]:[Check Periodo Ref.]]="Dentro",DATOS_[Conc.Sal.23]))))),
0)</f>
        <v>0</v>
      </c>
      <c r="AC74" s="170">
        <f t="array" ref="AC74">IFERROR(
MEDIAN((IF(DATOS_[[Sexo]:[Sexo]]=$B74,IF(DATOS_[[AGRUP. VALOR. PTO.]:[AGRUP. VALOR. PTO.]]=$B72,IF(DATOS_[[Check Periodo Ref.]:[Check Periodo Ref.]]="Dentro",DATOS_[Conc.Sal.24]))))),
0)</f>
        <v>0</v>
      </c>
      <c r="AD74" s="170">
        <f t="array" ref="AD74">IFERROR(
MEDIAN((IF(DATOS_[[Sexo]:[Sexo]]=$B74,IF(DATOS_[[AGRUP. VALOR. PTO.]:[AGRUP. VALOR. PTO.]]=$B72,IF(DATOS_[[Check Periodo Ref.]:[Check Periodo Ref.]]="Dentro",DATOS_[Conc.Sal.25]))))),
0)</f>
        <v>0</v>
      </c>
      <c r="AE74" s="170">
        <f t="array" ref="AE74">IFERROR(
MEDIAN((IF(DATOS_[[Sexo]:[Sexo]]=$B74,IF(DATOS_[[AGRUP. VALOR. PTO.]:[AGRUP. VALOR. PTO.]]=$B72,IF(DATOS_[[Check Periodo Ref.]:[Check Periodo Ref.]]="Dentro",DATOS_[Conc.Sal.26]))))),
0)</f>
        <v>0</v>
      </c>
      <c r="AF74" s="170">
        <f t="array" ref="AF74">IFERROR(
MEDIAN((IF(DATOS_[[Sexo]:[Sexo]]=$B74,IF(DATOS_[[AGRUP. VALOR. PTO.]:[AGRUP. VALOR. PTO.]]=$B72,IF(DATOS_[[Check Periodo Ref.]:[Check Periodo Ref.]]="Dentro",DATOS_[Conc.Sal.27]))))),
0)</f>
        <v>0</v>
      </c>
      <c r="AG74" s="170">
        <f t="array" ref="AG74">IFERROR(
MEDIAN((IF(DATOS_[[Sexo]:[Sexo]]=$B74,IF(DATOS_[[AGRUP. VALOR. PTO.]:[AGRUP. VALOR. PTO.]]=$B72,IF(DATOS_[[Check Periodo Ref.]:[Check Periodo Ref.]]="Dentro",DATOS_[Conc.Sal.28]))))),
0)</f>
        <v>0</v>
      </c>
      <c r="AH74" s="170">
        <f t="array" ref="AH74">IFERROR(
MEDIAN((IF(DATOS_[[Sexo]:[Sexo]]=$B74,IF(DATOS_[[AGRUP. VALOR. PTO.]:[AGRUP. VALOR. PTO.]]=$B72,IF(DATOS_[[Check Periodo Ref.]:[Check Periodo Ref.]]="Dentro",DATOS_[Conc.Sal.29]))))),
0)</f>
        <v>0</v>
      </c>
      <c r="AI74" s="170">
        <f t="array" ref="AI74">IFERROR(
MEDIAN((IF(DATOS_[[Sexo]:[Sexo]]=$B74,IF(DATOS_[[AGRUP. VALOR. PTO.]:[AGRUP. VALOR. PTO.]]=$B72,IF(DATOS_[[Check Periodo Ref.]:[Check Periodo Ref.]]="Dentro",DATOS_[Conc.Sal.30]))))),
0)</f>
        <v>0</v>
      </c>
      <c r="AJ74" s="171">
        <f t="array" ref="AJ74">IFERROR(
MEDIAN(IF(DATOS_[Sexo]=$B74,IF(DATOS_[AGRUP. VALOR. PTO.]=$B72,IF(DATOS_[Check Periodo Ref.]="Dentro",DATOS_[Tot COMPL.SAL Ef],FALSE)))),
0)</f>
        <v>0</v>
      </c>
      <c r="AK74" s="172">
        <f t="array" ref="AK74">IFERROR(
MEDIAN(IF(DATOS_[Sexo]=$B74,IF(DATOS_[AGRUP. VALOR. PTO.]=$B72,IF(DATOS_[Check Periodo Ref.]="Dentro",DATOS_[TOTAL SALARIO Ef],FALSE)))),
0)</f>
        <v>0</v>
      </c>
      <c r="AL74" s="173">
        <f t="array" ref="AL74">IFERROR(
MEDIAN((IF(DATOS_[[Sexo]:[Sexo]]=$B74,IF(DATOS_[[AGRUP. VALOR. PTO.]:[AGRUP. VALOR. PTO.]]=$B72,IF(DATOS_[[Check Periodo Ref.]:[Check Periodo Ref.]]="Dentro",DATOS_[C.Extra.01]))))),
0)</f>
        <v>0</v>
      </c>
      <c r="AM74" s="173">
        <f t="array" ref="AM74">IFERROR(
MEDIAN((IF(DATOS_[[Sexo]:[Sexo]]=$B74,IF(DATOS_[[AGRUP. VALOR. PTO.]:[AGRUP. VALOR. PTO.]]=$B72,IF(DATOS_[[Check Periodo Ref.]:[Check Periodo Ref.]]="Dentro",DATOS_[C.Extra.06]))))),
0)</f>
        <v>0</v>
      </c>
      <c r="AN74" s="173">
        <f t="array" ref="AN74">IFERROR(
MEDIAN((IF(DATOS_[[Sexo]:[Sexo]]=$B74,IF(DATOS_[[AGRUP. VALOR. PTO.]:[AGRUP. VALOR. PTO.]]=$B72,IF(DATOS_[[Check Periodo Ref.]:[Check Periodo Ref.]]="Dentro",DATOS_[C.Extra.07]))))),
0)</f>
        <v>0</v>
      </c>
      <c r="AO74" s="173">
        <f t="array" ref="AO74">IFERROR(
MEDIAN((IF(DATOS_[[Sexo]:[Sexo]]=$B74,IF(DATOS_[[AGRUP. VALOR. PTO.]:[AGRUP. VALOR. PTO.]]=$B72,IF(DATOS_[[Check Periodo Ref.]:[Check Periodo Ref.]]="Dentro",DATOS_[C.Extra.08]))))),
0)</f>
        <v>0</v>
      </c>
      <c r="AP74" s="173">
        <f t="array" ref="AP74">IFERROR(
MEDIAN((IF(DATOS_[[Sexo]:[Sexo]]=$B74,IF(DATOS_[[AGRUP. VALOR. PTO.]:[AGRUP. VALOR. PTO.]]=$B72,IF(DATOS_[[Check Periodo Ref.]:[Check Periodo Ref.]]="Dentro",DATOS_[C.Extra.11]))))),
0)</f>
        <v>0</v>
      </c>
      <c r="AQ74" s="174">
        <f t="array" ref="AQ74">IFERROR(
MEDIAN(IF(DATOS_[Sexo]=$B74,IF(DATOS_[AGRUP. VALOR. PTO.]=$B72,IF(DATOS_[Check Periodo Ref.]="Dentro",DATOS_[Tot Extrasalarial Ef],FALSE)))),
0)</f>
        <v>0</v>
      </c>
      <c r="AR74" s="171">
        <f t="array" ref="AR74">IFERROR(
MEDIAN(IF(DATOS_[Sexo]=$B74,IF(DATOS_[AGRUP. VALOR. PTO.]=$B72,IF(DATOS_[Check Periodo Ref.]="Dentro",DATOS_[TOTAL Retrib Ef],FALSE)))),
0)</f>
        <v>0</v>
      </c>
    </row>
    <row r="75" spans="1:44" ht="14.4" thickBot="1" x14ac:dyDescent="0.3">
      <c r="A75" s="178" t="str">
        <f t="shared" ref="A75" si="83">+A76</f>
        <v>[ocultar]</v>
      </c>
      <c r="B75" s="153" t="s">
        <v>261</v>
      </c>
      <c r="C75" s="154"/>
      <c r="D75" s="155"/>
      <c r="E75" s="156" t="str">
        <f t="shared" ref="E75:AR75" si="84">IFERROR((E76-E77)/E76,"")</f>
        <v/>
      </c>
      <c r="F75" s="157" t="str">
        <f t="shared" si="84"/>
        <v/>
      </c>
      <c r="G75" s="158" t="str">
        <f t="shared" si="84"/>
        <v/>
      </c>
      <c r="H75" s="158" t="str">
        <f t="shared" si="84"/>
        <v/>
      </c>
      <c r="I75" s="158" t="str">
        <f t="shared" si="84"/>
        <v/>
      </c>
      <c r="J75" s="159" t="str">
        <f t="shared" si="84"/>
        <v/>
      </c>
      <c r="K75" s="160" t="str">
        <f t="shared" si="84"/>
        <v/>
      </c>
      <c r="L75" s="160" t="str">
        <f t="shared" si="84"/>
        <v/>
      </c>
      <c r="M75" s="160" t="str">
        <f t="shared" si="84"/>
        <v/>
      </c>
      <c r="N75" s="160" t="str">
        <f t="shared" si="84"/>
        <v/>
      </c>
      <c r="O75" s="160" t="str">
        <f t="shared" si="84"/>
        <v/>
      </c>
      <c r="P75" s="160" t="str">
        <f t="shared" si="84"/>
        <v/>
      </c>
      <c r="Q75" s="160" t="str">
        <f t="shared" si="84"/>
        <v/>
      </c>
      <c r="R75" s="160" t="str">
        <f t="shared" si="84"/>
        <v/>
      </c>
      <c r="S75" s="160" t="str">
        <f t="shared" si="84"/>
        <v/>
      </c>
      <c r="T75" s="160" t="str">
        <f t="shared" si="84"/>
        <v/>
      </c>
      <c r="U75" s="160" t="str">
        <f t="shared" si="84"/>
        <v/>
      </c>
      <c r="V75" s="159" t="str">
        <f t="shared" si="84"/>
        <v/>
      </c>
      <c r="W75" s="159" t="str">
        <f t="shared" si="84"/>
        <v/>
      </c>
      <c r="X75" s="159" t="str">
        <f t="shared" si="84"/>
        <v/>
      </c>
      <c r="Y75" s="159" t="str">
        <f t="shared" si="84"/>
        <v/>
      </c>
      <c r="Z75" s="159" t="str">
        <f t="shared" si="84"/>
        <v/>
      </c>
      <c r="AA75" s="159" t="str">
        <f t="shared" si="84"/>
        <v/>
      </c>
      <c r="AB75" s="159" t="str">
        <f t="shared" si="84"/>
        <v/>
      </c>
      <c r="AC75" s="159" t="str">
        <f t="shared" si="84"/>
        <v/>
      </c>
      <c r="AD75" s="159" t="str">
        <f t="shared" si="84"/>
        <v/>
      </c>
      <c r="AE75" s="159" t="str">
        <f t="shared" si="84"/>
        <v/>
      </c>
      <c r="AF75" s="159" t="str">
        <f t="shared" si="84"/>
        <v/>
      </c>
      <c r="AG75" s="159" t="str">
        <f t="shared" si="84"/>
        <v/>
      </c>
      <c r="AH75" s="159" t="str">
        <f t="shared" si="84"/>
        <v/>
      </c>
      <c r="AI75" s="159" t="str">
        <f t="shared" si="84"/>
        <v/>
      </c>
      <c r="AJ75" s="161" t="str">
        <f t="shared" si="84"/>
        <v/>
      </c>
      <c r="AK75" s="162" t="str">
        <f t="shared" si="84"/>
        <v/>
      </c>
      <c r="AL75" s="163" t="str">
        <f t="shared" si="84"/>
        <v/>
      </c>
      <c r="AM75" s="163" t="str">
        <f t="shared" si="84"/>
        <v/>
      </c>
      <c r="AN75" s="163" t="str">
        <f t="shared" si="84"/>
        <v/>
      </c>
      <c r="AO75" s="163" t="str">
        <f t="shared" si="84"/>
        <v/>
      </c>
      <c r="AP75" s="163" t="str">
        <f t="shared" si="84"/>
        <v/>
      </c>
      <c r="AQ75" s="164" t="str">
        <f t="shared" si="84"/>
        <v/>
      </c>
      <c r="AR75" s="161" t="str">
        <f t="shared" si="84"/>
        <v/>
      </c>
    </row>
    <row r="76" spans="1:44" x14ac:dyDescent="0.25">
      <c r="A76" s="178" t="str">
        <f t="shared" ref="A76" si="85">+IF(C76+C77=0,"[ocultar]","")</f>
        <v>[ocultar]</v>
      </c>
      <c r="B76" s="166" t="s">
        <v>394</v>
      </c>
      <c r="C76" s="167">
        <f t="array" ref="C76">SUM(IF($B76=DATOS_[Sexo],
IF($B75=DATOS_[AGRUP. VALOR. PTO.],
IF("Dentro"=DATOS_[Check Periodo Ref.],
1/(COUNTIFS(DATOS_[Sexo],$B76,DATOS_[AGRUP. VALOR. PTO.],$B75,DATOS_[Check Periodo Ref.],"Dentro",DATOS_[id/cod],DATOS_[id/cod]))))))</f>
        <v>0</v>
      </c>
      <c r="D76" s="168">
        <f>COUNTIFS(DATOS_[AGRUP. VALOR. PTO.],$B75,DATOS_[Sexo],$B76,DATOS_[Check Periodo Ref.],"Dentro")</f>
        <v>0</v>
      </c>
      <c r="E76" s="169">
        <f t="array" ref="E76">IFERROR(
MEDIAN(IF(DATOS_[Sexo]=$B76,IF(DATOS_[AGRUP. VALOR. PTO.]=$B75,IF(DATOS_[Check Periodo Ref.]="Dentro",DATOS_[SALARIO BASE Ef],FALSE)))),
0)</f>
        <v>0</v>
      </c>
      <c r="F76" s="170">
        <f t="array" ref="F76">IFERROR(
MEDIAN((IF(DATOS_[[Sexo]:[Sexo]]=$B76,IF(DATOS_[[AGRUP. VALOR. PTO.]:[AGRUP. VALOR. PTO.]]=$B75,IF(DATOS_[[Check Periodo Ref.]:[Check Periodo Ref.]]="Dentro",DATOS_[Conc.Sal.01]))))),
0)</f>
        <v>0</v>
      </c>
      <c r="G76" s="170">
        <f t="array" ref="G76">IFERROR(
MEDIAN((IF(DATOS_[[Sexo]:[Sexo]]=$B76,IF(DATOS_[[AGRUP. VALOR. PTO.]:[AGRUP. VALOR. PTO.]]=$B75,IF(DATOS_[[Check Periodo Ref.]:[Check Periodo Ref.]]="Dentro",DATOS_[Conc.Sal.02]))))),
0)</f>
        <v>0</v>
      </c>
      <c r="H76" s="170">
        <f t="array" ref="H76">IFERROR(
MEDIAN((IF(DATOS_[[Sexo]:[Sexo]]=$B76,IF(DATOS_[[AGRUP. VALOR. PTO.]:[AGRUP. VALOR. PTO.]]=$B75,IF(DATOS_[[Check Periodo Ref.]:[Check Periodo Ref.]]="Dentro",DATOS_[Conc.Sal.03]))))),
0)</f>
        <v>0</v>
      </c>
      <c r="I76" s="170">
        <f t="array" ref="I76">IFERROR(
MEDIAN((IF(DATOS_[[Sexo]:[Sexo]]=$B76,IF(DATOS_[[AGRUP. VALOR. PTO.]:[AGRUP. VALOR. PTO.]]=$B75,IF(DATOS_[[Check Periodo Ref.]:[Check Periodo Ref.]]="Dentro",DATOS_[Conc.Sal.04]))))),
0)</f>
        <v>0</v>
      </c>
      <c r="J76" s="170">
        <f t="array" ref="J76">IFERROR(
MEDIAN((IF(DATOS_[[Sexo]:[Sexo]]=$B76,IF(DATOS_[[AGRUP. VALOR. PTO.]:[AGRUP. VALOR. PTO.]]=$B75,IF(DATOS_[[Check Periodo Ref.]:[Check Periodo Ref.]]="Dentro",DATOS_[Conc.Sal.05]))))),
0)</f>
        <v>0</v>
      </c>
      <c r="K76" s="170">
        <f t="array" ref="K76">IFERROR(
MEDIAN((IF(DATOS_[[Sexo]:[Sexo]]=$B76,IF(DATOS_[[AGRUP. VALOR. PTO.]:[AGRUP. VALOR. PTO.]]=$B75,IF(DATOS_[[Check Periodo Ref.]:[Check Periodo Ref.]]="Dentro",DATOS_[Conc.Sal.06]))))),
0)</f>
        <v>0</v>
      </c>
      <c r="L76" s="170">
        <f t="array" ref="L76">IFERROR(
MEDIAN((IF(DATOS_[[Sexo]:[Sexo]]=$B76,IF(DATOS_[[AGRUP. VALOR. PTO.]:[AGRUP. VALOR. PTO.]]=$B75,IF(DATOS_[[Check Periodo Ref.]:[Check Periodo Ref.]]="Dentro",DATOS_[Conc.Sal.07]))))),
0)</f>
        <v>0</v>
      </c>
      <c r="M76" s="170">
        <f t="array" ref="M76">IFERROR(
MEDIAN((IF(DATOS_[[Sexo]:[Sexo]]=$B76,IF(DATOS_[[AGRUP. VALOR. PTO.]:[AGRUP. VALOR. PTO.]]=$B75,IF(DATOS_[[Check Periodo Ref.]:[Check Periodo Ref.]]="Dentro",DATOS_[Conc.Sal.08]))))),
0)</f>
        <v>0</v>
      </c>
      <c r="N76" s="170">
        <f t="array" ref="N76">IFERROR(
MEDIAN((IF(DATOS_[[Sexo]:[Sexo]]=$B76,IF(DATOS_[[AGRUP. VALOR. PTO.]:[AGRUP. VALOR. PTO.]]=$B75,IF(DATOS_[[Check Periodo Ref.]:[Check Periodo Ref.]]="Dentro",DATOS_[Conc.Sal.09]))))),
0)</f>
        <v>0</v>
      </c>
      <c r="O76" s="170">
        <f t="array" ref="O76">IFERROR(
MEDIAN((IF(DATOS_[[Sexo]:[Sexo]]=$B76,IF(DATOS_[[AGRUP. VALOR. PTO.]:[AGRUP. VALOR. PTO.]]=$B75,IF(DATOS_[[Check Periodo Ref.]:[Check Periodo Ref.]]="Dentro",DATOS_[Conc.Sal.10]))))),
0)</f>
        <v>0</v>
      </c>
      <c r="P76" s="170">
        <f t="array" ref="P76">IFERROR(
MEDIAN((IF(DATOS_[[Sexo]:[Sexo]]=$B76,IF(DATOS_[[AGRUP. VALOR. PTO.]:[AGRUP. VALOR. PTO.]]=$B75,IF(DATOS_[[Check Periodo Ref.]:[Check Periodo Ref.]]="Dentro",DATOS_[Conc.Sal.11]))))),
0)</f>
        <v>0</v>
      </c>
      <c r="Q76" s="170">
        <f t="array" ref="Q76">IFERROR(
MEDIAN((IF(DATOS_[[Sexo]:[Sexo]]=$B76,IF(DATOS_[[AGRUP. VALOR. PTO.]:[AGRUP. VALOR. PTO.]]=$B75,IF(DATOS_[[Check Periodo Ref.]:[Check Periodo Ref.]]="Dentro",DATOS_[Conc.Sal.12]))))),
0)</f>
        <v>0</v>
      </c>
      <c r="R76" s="170">
        <f t="array" ref="R76">IFERROR(
MEDIAN((IF(DATOS_[[Sexo]:[Sexo]]=$B76,IF(DATOS_[[AGRUP. VALOR. PTO.]:[AGRUP. VALOR. PTO.]]=$B75,IF(DATOS_[[Check Periodo Ref.]:[Check Periodo Ref.]]="Dentro",DATOS_[Conc.Sal.13]))))),
0)</f>
        <v>0</v>
      </c>
      <c r="S76" s="170">
        <f t="array" ref="S76">IFERROR(
MEDIAN((IF(DATOS_[[Sexo]:[Sexo]]=$B76,IF(DATOS_[[AGRUP. VALOR. PTO.]:[AGRUP. VALOR. PTO.]]=$B75,IF(DATOS_[[Check Periodo Ref.]:[Check Periodo Ref.]]="Dentro",DATOS_[Conc.Sal.14]))))),
0)</f>
        <v>0</v>
      </c>
      <c r="T76" s="170">
        <f t="array" ref="T76">IFERROR(
MEDIAN((IF(DATOS_[[Sexo]:[Sexo]]=$B76,IF(DATOS_[[AGRUP. VALOR. PTO.]:[AGRUP. VALOR. PTO.]]=$B75,IF(DATOS_[[Check Periodo Ref.]:[Check Periodo Ref.]]="Dentro",DATOS_[Conc.Sal.15]))))),
0)</f>
        <v>0</v>
      </c>
      <c r="U76" s="170">
        <f t="array" ref="U76">IFERROR(
MEDIAN((IF(DATOS_[[Sexo]:[Sexo]]=$B76,IF(DATOS_[[AGRUP. VALOR. PTO.]:[AGRUP. VALOR. PTO.]]=$B75,IF(DATOS_[[Check Periodo Ref.]:[Check Periodo Ref.]]="Dentro",DATOS_[Conc.Sal.16]))))),
0)</f>
        <v>0</v>
      </c>
      <c r="V76" s="170">
        <f t="array" ref="V76">IFERROR(
MEDIAN((IF(DATOS_[[Sexo]:[Sexo]]=$B76,IF(DATOS_[[AGRUP. VALOR. PTO.]:[AGRUP. VALOR. PTO.]]=$B75,IF(DATOS_[[Check Periodo Ref.]:[Check Periodo Ref.]]="Dentro",DATOS_[Conc.Sal.17]))))),
0)</f>
        <v>0</v>
      </c>
      <c r="W76" s="170">
        <f t="array" ref="W76">IFERROR(
MEDIAN((IF(DATOS_[[Sexo]:[Sexo]]=$B76,IF(DATOS_[[AGRUP. VALOR. PTO.]:[AGRUP. VALOR. PTO.]]=$B75,IF(DATOS_[[Check Periodo Ref.]:[Check Periodo Ref.]]="Dentro",DATOS_[Conc.Sal.18]))))),
0)</f>
        <v>0</v>
      </c>
      <c r="X76" s="170">
        <f t="array" ref="X76">IFERROR(
MEDIAN((IF(DATOS_[[Sexo]:[Sexo]]=$B76,IF(DATOS_[[AGRUP. VALOR. PTO.]:[AGRUP. VALOR. PTO.]]=$B75,IF(DATOS_[[Check Periodo Ref.]:[Check Periodo Ref.]]="Dentro",DATOS_[Conc.Sal.19]))))),
0)</f>
        <v>0</v>
      </c>
      <c r="Y76" s="170">
        <f t="array" ref="Y76">IFERROR(
MEDIAN((IF(DATOS_[[Sexo]:[Sexo]]=$B76,IF(DATOS_[[AGRUP. VALOR. PTO.]:[AGRUP. VALOR. PTO.]]=$B75,IF(DATOS_[[Check Periodo Ref.]:[Check Periodo Ref.]]="Dentro",DATOS_[Conc.Sal.20]))))),
0)</f>
        <v>0</v>
      </c>
      <c r="Z76" s="170">
        <f t="array" ref="Z76">IFERROR(
MEDIAN((IF(DATOS_[[Sexo]:[Sexo]]=$B76,IF(DATOS_[[AGRUP. VALOR. PTO.]:[AGRUP. VALOR. PTO.]]=$B75,IF(DATOS_[[Check Periodo Ref.]:[Check Periodo Ref.]]="Dentro",DATOS_[Conc.Sal.21]))))),
0)</f>
        <v>0</v>
      </c>
      <c r="AA76" s="170">
        <f t="array" ref="AA76">IFERROR(
MEDIAN((IF(DATOS_[[Sexo]:[Sexo]]=$B76,IF(DATOS_[[AGRUP. VALOR. PTO.]:[AGRUP. VALOR. PTO.]]=$B75,IF(DATOS_[[Check Periodo Ref.]:[Check Periodo Ref.]]="Dentro",DATOS_[Conc.Sal.22]))))),
0)</f>
        <v>0</v>
      </c>
      <c r="AB76" s="170">
        <f t="array" ref="AB76">IFERROR(
MEDIAN((IF(DATOS_[[Sexo]:[Sexo]]=$B76,IF(DATOS_[[AGRUP. VALOR. PTO.]:[AGRUP. VALOR. PTO.]]=$B75,IF(DATOS_[[Check Periodo Ref.]:[Check Periodo Ref.]]="Dentro",DATOS_[Conc.Sal.23]))))),
0)</f>
        <v>0</v>
      </c>
      <c r="AC76" s="170">
        <f t="array" ref="AC76">IFERROR(
MEDIAN((IF(DATOS_[[Sexo]:[Sexo]]=$B76,IF(DATOS_[[AGRUP. VALOR. PTO.]:[AGRUP. VALOR. PTO.]]=$B75,IF(DATOS_[[Check Periodo Ref.]:[Check Periodo Ref.]]="Dentro",DATOS_[Conc.Sal.24]))))),
0)</f>
        <v>0</v>
      </c>
      <c r="AD76" s="170">
        <f t="array" ref="AD76">IFERROR(
MEDIAN((IF(DATOS_[[Sexo]:[Sexo]]=$B76,IF(DATOS_[[AGRUP. VALOR. PTO.]:[AGRUP. VALOR. PTO.]]=$B75,IF(DATOS_[[Check Periodo Ref.]:[Check Periodo Ref.]]="Dentro",DATOS_[Conc.Sal.25]))))),
0)</f>
        <v>0</v>
      </c>
      <c r="AE76" s="170">
        <f t="array" ref="AE76">IFERROR(
MEDIAN((IF(DATOS_[[Sexo]:[Sexo]]=$B76,IF(DATOS_[[AGRUP. VALOR. PTO.]:[AGRUP. VALOR. PTO.]]=$B75,IF(DATOS_[[Check Periodo Ref.]:[Check Periodo Ref.]]="Dentro",DATOS_[Conc.Sal.26]))))),
0)</f>
        <v>0</v>
      </c>
      <c r="AF76" s="170">
        <f t="array" ref="AF76">IFERROR(
MEDIAN((IF(DATOS_[[Sexo]:[Sexo]]=$B76,IF(DATOS_[[AGRUP. VALOR. PTO.]:[AGRUP. VALOR. PTO.]]=$B75,IF(DATOS_[[Check Periodo Ref.]:[Check Periodo Ref.]]="Dentro",DATOS_[Conc.Sal.27]))))),
0)</f>
        <v>0</v>
      </c>
      <c r="AG76" s="170">
        <f t="array" ref="AG76">IFERROR(
MEDIAN((IF(DATOS_[[Sexo]:[Sexo]]=$B76,IF(DATOS_[[AGRUP. VALOR. PTO.]:[AGRUP. VALOR. PTO.]]=$B75,IF(DATOS_[[Check Periodo Ref.]:[Check Periodo Ref.]]="Dentro",DATOS_[Conc.Sal.28]))))),
0)</f>
        <v>0</v>
      </c>
      <c r="AH76" s="170">
        <f t="array" ref="AH76">IFERROR(
MEDIAN((IF(DATOS_[[Sexo]:[Sexo]]=$B76,IF(DATOS_[[AGRUP. VALOR. PTO.]:[AGRUP. VALOR. PTO.]]=$B75,IF(DATOS_[[Check Periodo Ref.]:[Check Periodo Ref.]]="Dentro",DATOS_[Conc.Sal.29]))))),
0)</f>
        <v>0</v>
      </c>
      <c r="AI76" s="170">
        <f t="array" ref="AI76">IFERROR(
MEDIAN((IF(DATOS_[[Sexo]:[Sexo]]=$B76,IF(DATOS_[[AGRUP. VALOR. PTO.]:[AGRUP. VALOR. PTO.]]=$B75,IF(DATOS_[[Check Periodo Ref.]:[Check Periodo Ref.]]="Dentro",DATOS_[Conc.Sal.30]))))),
0)</f>
        <v>0</v>
      </c>
      <c r="AJ76" s="171">
        <f t="array" ref="AJ76">IFERROR(
MEDIAN(IF(DATOS_[Sexo]=$B76,IF(DATOS_[AGRUP. VALOR. PTO.]=$B75,IF(DATOS_[Check Periodo Ref.]="Dentro",DATOS_[Tot COMPL.SAL Ef],FALSE)))),
0)</f>
        <v>0</v>
      </c>
      <c r="AK76" s="172">
        <f t="array" ref="AK76">IFERROR(
MEDIAN(IF(DATOS_[Sexo]=$B76,IF(DATOS_[AGRUP. VALOR. PTO.]=$B75,IF(DATOS_[Check Periodo Ref.]="Dentro",DATOS_[TOTAL SALARIO Ef],FALSE)))),
0)</f>
        <v>0</v>
      </c>
      <c r="AL76" s="173">
        <f t="array" ref="AL76">IFERROR(
MEDIAN((IF(DATOS_[[Sexo]:[Sexo]]=$B76,IF(DATOS_[[AGRUP. VALOR. PTO.]:[AGRUP. VALOR. PTO.]]=$B75,IF(DATOS_[[Check Periodo Ref.]:[Check Periodo Ref.]]="Dentro",DATOS_[C.Extra.01]))))),
0)</f>
        <v>0</v>
      </c>
      <c r="AM76" s="173">
        <f t="array" ref="AM76">IFERROR(
MEDIAN((IF(DATOS_[[Sexo]:[Sexo]]=$B76,IF(DATOS_[[AGRUP. VALOR. PTO.]:[AGRUP. VALOR. PTO.]]=$B75,IF(DATOS_[[Check Periodo Ref.]:[Check Periodo Ref.]]="Dentro",DATOS_[C.Extra.06]))))),
0)</f>
        <v>0</v>
      </c>
      <c r="AN76" s="173">
        <f t="array" ref="AN76">IFERROR(
MEDIAN((IF(DATOS_[[Sexo]:[Sexo]]=$B76,IF(DATOS_[[AGRUP. VALOR. PTO.]:[AGRUP. VALOR. PTO.]]=$B75,IF(DATOS_[[Check Periodo Ref.]:[Check Periodo Ref.]]="Dentro",DATOS_[C.Extra.07]))))),
0)</f>
        <v>0</v>
      </c>
      <c r="AO76" s="173">
        <f t="array" ref="AO76">IFERROR(
MEDIAN((IF(DATOS_[[Sexo]:[Sexo]]=$B76,IF(DATOS_[[AGRUP. VALOR. PTO.]:[AGRUP. VALOR. PTO.]]=$B75,IF(DATOS_[[Check Periodo Ref.]:[Check Periodo Ref.]]="Dentro",DATOS_[C.Extra.08]))))),
0)</f>
        <v>0</v>
      </c>
      <c r="AP76" s="173">
        <f t="array" ref="AP76">IFERROR(
MEDIAN((IF(DATOS_[[Sexo]:[Sexo]]=$B76,IF(DATOS_[[AGRUP. VALOR. PTO.]:[AGRUP. VALOR. PTO.]]=$B75,IF(DATOS_[[Check Periodo Ref.]:[Check Periodo Ref.]]="Dentro",DATOS_[C.Extra.11]))))),
0)</f>
        <v>0</v>
      </c>
      <c r="AQ76" s="174">
        <f t="array" ref="AQ76">IFERROR(
MEDIAN(IF(DATOS_[Sexo]=$B76,IF(DATOS_[AGRUP. VALOR. PTO.]=$B75,IF(DATOS_[Check Periodo Ref.]="Dentro",DATOS_[Tot Extrasalarial Ef],FALSE)))),
0)</f>
        <v>0</v>
      </c>
      <c r="AR76" s="171">
        <f t="array" ref="AR76">IFERROR(
MEDIAN(IF(DATOS_[Sexo]=$B76,IF(DATOS_[AGRUP. VALOR. PTO.]=$B75,IF(DATOS_[Check Periodo Ref.]="Dentro",DATOS_[TOTAL Retrib Ef],FALSE)))),
0)</f>
        <v>0</v>
      </c>
    </row>
    <row r="77" spans="1:44" x14ac:dyDescent="0.25">
      <c r="A77" s="178" t="str">
        <f t="shared" ref="A77" si="86">+A76</f>
        <v>[ocultar]</v>
      </c>
      <c r="B77" s="166" t="s">
        <v>521</v>
      </c>
      <c r="C77" s="167">
        <f t="array" ref="C77">SUM(IF($B77=DATOS_[Sexo],
IF($B75=DATOS_[AGRUP. VALOR. PTO.],
IF("Dentro"=DATOS_[Check Periodo Ref.],
1/(COUNTIFS(DATOS_[Sexo],$B77,DATOS_[AGRUP. VALOR. PTO.],$B75,DATOS_[Check Periodo Ref.],"Dentro",DATOS_[id/cod],DATOS_[id/cod]))))))</f>
        <v>0</v>
      </c>
      <c r="D77" s="168">
        <f>COUNTIFS(DATOS_[AGRUP. VALOR. PTO.],$B75,DATOS_[Sexo],$B77,DATOS_[Check Periodo Ref.],"Dentro")</f>
        <v>0</v>
      </c>
      <c r="E77" s="169">
        <f t="array" ref="E77">IFERROR(
MEDIAN(IF(DATOS_[Sexo]=$B77,IF(DATOS_[AGRUP. VALOR. PTO.]=$B75,IF(DATOS_[Check Periodo Ref.]="Dentro",DATOS_[SALARIO BASE Ef],FALSE)))),
0)</f>
        <v>0</v>
      </c>
      <c r="F77" s="170">
        <f t="array" ref="F77">IFERROR(
MEDIAN((IF(DATOS_[[Sexo]:[Sexo]]=$B77,IF(DATOS_[[AGRUP. VALOR. PTO.]:[AGRUP. VALOR. PTO.]]=$B75,IF(DATOS_[[Check Periodo Ref.]:[Check Periodo Ref.]]="Dentro",DATOS_[Conc.Sal.01]))))),
0)</f>
        <v>0</v>
      </c>
      <c r="G77" s="170">
        <f t="array" ref="G77">IFERROR(
MEDIAN((IF(DATOS_[[Sexo]:[Sexo]]=$B77,IF(DATOS_[[AGRUP. VALOR. PTO.]:[AGRUP. VALOR. PTO.]]=$B75,IF(DATOS_[[Check Periodo Ref.]:[Check Periodo Ref.]]="Dentro",DATOS_[Conc.Sal.02]))))),
0)</f>
        <v>0</v>
      </c>
      <c r="H77" s="170">
        <f t="array" ref="H77">IFERROR(
MEDIAN((IF(DATOS_[[Sexo]:[Sexo]]=$B77,IF(DATOS_[[AGRUP. VALOR. PTO.]:[AGRUP. VALOR. PTO.]]=$B75,IF(DATOS_[[Check Periodo Ref.]:[Check Periodo Ref.]]="Dentro",DATOS_[Conc.Sal.03]))))),
0)</f>
        <v>0</v>
      </c>
      <c r="I77" s="170">
        <f t="array" ref="I77">IFERROR(
MEDIAN((IF(DATOS_[[Sexo]:[Sexo]]=$B77,IF(DATOS_[[AGRUP. VALOR. PTO.]:[AGRUP. VALOR. PTO.]]=$B75,IF(DATOS_[[Check Periodo Ref.]:[Check Periodo Ref.]]="Dentro",DATOS_[Conc.Sal.04]))))),
0)</f>
        <v>0</v>
      </c>
      <c r="J77" s="170">
        <f t="array" ref="J77">IFERROR(
MEDIAN((IF(DATOS_[[Sexo]:[Sexo]]=$B77,IF(DATOS_[[AGRUP. VALOR. PTO.]:[AGRUP. VALOR. PTO.]]=$B75,IF(DATOS_[[Check Periodo Ref.]:[Check Periodo Ref.]]="Dentro",DATOS_[Conc.Sal.05]))))),
0)</f>
        <v>0</v>
      </c>
      <c r="K77" s="170">
        <f t="array" ref="K77">IFERROR(
MEDIAN((IF(DATOS_[[Sexo]:[Sexo]]=$B77,IF(DATOS_[[AGRUP. VALOR. PTO.]:[AGRUP. VALOR. PTO.]]=$B75,IF(DATOS_[[Check Periodo Ref.]:[Check Periodo Ref.]]="Dentro",DATOS_[Conc.Sal.06]))))),
0)</f>
        <v>0</v>
      </c>
      <c r="L77" s="170">
        <f t="array" ref="L77">IFERROR(
MEDIAN((IF(DATOS_[[Sexo]:[Sexo]]=$B77,IF(DATOS_[[AGRUP. VALOR. PTO.]:[AGRUP. VALOR. PTO.]]=$B75,IF(DATOS_[[Check Periodo Ref.]:[Check Periodo Ref.]]="Dentro",DATOS_[Conc.Sal.07]))))),
0)</f>
        <v>0</v>
      </c>
      <c r="M77" s="170">
        <f t="array" ref="M77">IFERROR(
MEDIAN((IF(DATOS_[[Sexo]:[Sexo]]=$B77,IF(DATOS_[[AGRUP. VALOR. PTO.]:[AGRUP. VALOR. PTO.]]=$B75,IF(DATOS_[[Check Periodo Ref.]:[Check Periodo Ref.]]="Dentro",DATOS_[Conc.Sal.08]))))),
0)</f>
        <v>0</v>
      </c>
      <c r="N77" s="170">
        <f t="array" ref="N77">IFERROR(
MEDIAN((IF(DATOS_[[Sexo]:[Sexo]]=$B77,IF(DATOS_[[AGRUP. VALOR. PTO.]:[AGRUP. VALOR. PTO.]]=$B75,IF(DATOS_[[Check Periodo Ref.]:[Check Periodo Ref.]]="Dentro",DATOS_[Conc.Sal.09]))))),
0)</f>
        <v>0</v>
      </c>
      <c r="O77" s="170">
        <f t="array" ref="O77">IFERROR(
MEDIAN((IF(DATOS_[[Sexo]:[Sexo]]=$B77,IF(DATOS_[[AGRUP. VALOR. PTO.]:[AGRUP. VALOR. PTO.]]=$B75,IF(DATOS_[[Check Periodo Ref.]:[Check Periodo Ref.]]="Dentro",DATOS_[Conc.Sal.10]))))),
0)</f>
        <v>0</v>
      </c>
      <c r="P77" s="170">
        <f t="array" ref="P77">IFERROR(
MEDIAN((IF(DATOS_[[Sexo]:[Sexo]]=$B77,IF(DATOS_[[AGRUP. VALOR. PTO.]:[AGRUP. VALOR. PTO.]]=$B75,IF(DATOS_[[Check Periodo Ref.]:[Check Periodo Ref.]]="Dentro",DATOS_[Conc.Sal.11]))))),
0)</f>
        <v>0</v>
      </c>
      <c r="Q77" s="170">
        <f t="array" ref="Q77">IFERROR(
MEDIAN((IF(DATOS_[[Sexo]:[Sexo]]=$B77,IF(DATOS_[[AGRUP. VALOR. PTO.]:[AGRUP. VALOR. PTO.]]=$B75,IF(DATOS_[[Check Periodo Ref.]:[Check Periodo Ref.]]="Dentro",DATOS_[Conc.Sal.12]))))),
0)</f>
        <v>0</v>
      </c>
      <c r="R77" s="170">
        <f t="array" ref="R77">IFERROR(
MEDIAN((IF(DATOS_[[Sexo]:[Sexo]]=$B77,IF(DATOS_[[AGRUP. VALOR. PTO.]:[AGRUP. VALOR. PTO.]]=$B75,IF(DATOS_[[Check Periodo Ref.]:[Check Periodo Ref.]]="Dentro",DATOS_[Conc.Sal.13]))))),
0)</f>
        <v>0</v>
      </c>
      <c r="S77" s="170">
        <f t="array" ref="S77">IFERROR(
MEDIAN((IF(DATOS_[[Sexo]:[Sexo]]=$B77,IF(DATOS_[[AGRUP. VALOR. PTO.]:[AGRUP. VALOR. PTO.]]=$B75,IF(DATOS_[[Check Periodo Ref.]:[Check Periodo Ref.]]="Dentro",DATOS_[Conc.Sal.14]))))),
0)</f>
        <v>0</v>
      </c>
      <c r="T77" s="170">
        <f t="array" ref="T77">IFERROR(
MEDIAN((IF(DATOS_[[Sexo]:[Sexo]]=$B77,IF(DATOS_[[AGRUP. VALOR. PTO.]:[AGRUP. VALOR. PTO.]]=$B75,IF(DATOS_[[Check Periodo Ref.]:[Check Periodo Ref.]]="Dentro",DATOS_[Conc.Sal.15]))))),
0)</f>
        <v>0</v>
      </c>
      <c r="U77" s="170">
        <f t="array" ref="U77">IFERROR(
MEDIAN((IF(DATOS_[[Sexo]:[Sexo]]=$B77,IF(DATOS_[[AGRUP. VALOR. PTO.]:[AGRUP. VALOR. PTO.]]=$B75,IF(DATOS_[[Check Periodo Ref.]:[Check Periodo Ref.]]="Dentro",DATOS_[Conc.Sal.16]))))),
0)</f>
        <v>0</v>
      </c>
      <c r="V77" s="170">
        <f t="array" ref="V77">IFERROR(
MEDIAN((IF(DATOS_[[Sexo]:[Sexo]]=$B77,IF(DATOS_[[AGRUP. VALOR. PTO.]:[AGRUP. VALOR. PTO.]]=$B75,IF(DATOS_[[Check Periodo Ref.]:[Check Periodo Ref.]]="Dentro",DATOS_[Conc.Sal.17]))))),
0)</f>
        <v>0</v>
      </c>
      <c r="W77" s="170">
        <f t="array" ref="W77">IFERROR(
MEDIAN((IF(DATOS_[[Sexo]:[Sexo]]=$B77,IF(DATOS_[[AGRUP. VALOR. PTO.]:[AGRUP. VALOR. PTO.]]=$B75,IF(DATOS_[[Check Periodo Ref.]:[Check Periodo Ref.]]="Dentro",DATOS_[Conc.Sal.18]))))),
0)</f>
        <v>0</v>
      </c>
      <c r="X77" s="170">
        <f t="array" ref="X77">IFERROR(
MEDIAN((IF(DATOS_[[Sexo]:[Sexo]]=$B77,IF(DATOS_[[AGRUP. VALOR. PTO.]:[AGRUP. VALOR. PTO.]]=$B75,IF(DATOS_[[Check Periodo Ref.]:[Check Periodo Ref.]]="Dentro",DATOS_[Conc.Sal.19]))))),
0)</f>
        <v>0</v>
      </c>
      <c r="Y77" s="170">
        <f t="array" ref="Y77">IFERROR(
MEDIAN((IF(DATOS_[[Sexo]:[Sexo]]=$B77,IF(DATOS_[[AGRUP. VALOR. PTO.]:[AGRUP. VALOR. PTO.]]=$B75,IF(DATOS_[[Check Periodo Ref.]:[Check Periodo Ref.]]="Dentro",DATOS_[Conc.Sal.20]))))),
0)</f>
        <v>0</v>
      </c>
      <c r="Z77" s="170">
        <f t="array" ref="Z77">IFERROR(
MEDIAN((IF(DATOS_[[Sexo]:[Sexo]]=$B77,IF(DATOS_[[AGRUP. VALOR. PTO.]:[AGRUP. VALOR. PTO.]]=$B75,IF(DATOS_[[Check Periodo Ref.]:[Check Periodo Ref.]]="Dentro",DATOS_[Conc.Sal.21]))))),
0)</f>
        <v>0</v>
      </c>
      <c r="AA77" s="170">
        <f t="array" ref="AA77">IFERROR(
MEDIAN((IF(DATOS_[[Sexo]:[Sexo]]=$B77,IF(DATOS_[[AGRUP. VALOR. PTO.]:[AGRUP. VALOR. PTO.]]=$B75,IF(DATOS_[[Check Periodo Ref.]:[Check Periodo Ref.]]="Dentro",DATOS_[Conc.Sal.22]))))),
0)</f>
        <v>0</v>
      </c>
      <c r="AB77" s="170">
        <f t="array" ref="AB77">IFERROR(
MEDIAN((IF(DATOS_[[Sexo]:[Sexo]]=$B77,IF(DATOS_[[AGRUP. VALOR. PTO.]:[AGRUP. VALOR. PTO.]]=$B75,IF(DATOS_[[Check Periodo Ref.]:[Check Periodo Ref.]]="Dentro",DATOS_[Conc.Sal.23]))))),
0)</f>
        <v>0</v>
      </c>
      <c r="AC77" s="170">
        <f t="array" ref="AC77">IFERROR(
MEDIAN((IF(DATOS_[[Sexo]:[Sexo]]=$B77,IF(DATOS_[[AGRUP. VALOR. PTO.]:[AGRUP. VALOR. PTO.]]=$B75,IF(DATOS_[[Check Periodo Ref.]:[Check Periodo Ref.]]="Dentro",DATOS_[Conc.Sal.24]))))),
0)</f>
        <v>0</v>
      </c>
      <c r="AD77" s="170">
        <f t="array" ref="AD77">IFERROR(
MEDIAN((IF(DATOS_[[Sexo]:[Sexo]]=$B77,IF(DATOS_[[AGRUP. VALOR. PTO.]:[AGRUP. VALOR. PTO.]]=$B75,IF(DATOS_[[Check Periodo Ref.]:[Check Periodo Ref.]]="Dentro",DATOS_[Conc.Sal.25]))))),
0)</f>
        <v>0</v>
      </c>
      <c r="AE77" s="170">
        <f t="array" ref="AE77">IFERROR(
MEDIAN((IF(DATOS_[[Sexo]:[Sexo]]=$B77,IF(DATOS_[[AGRUP. VALOR. PTO.]:[AGRUP. VALOR. PTO.]]=$B75,IF(DATOS_[[Check Periodo Ref.]:[Check Periodo Ref.]]="Dentro",DATOS_[Conc.Sal.26]))))),
0)</f>
        <v>0</v>
      </c>
      <c r="AF77" s="170">
        <f t="array" ref="AF77">IFERROR(
MEDIAN((IF(DATOS_[[Sexo]:[Sexo]]=$B77,IF(DATOS_[[AGRUP. VALOR. PTO.]:[AGRUP. VALOR. PTO.]]=$B75,IF(DATOS_[[Check Periodo Ref.]:[Check Periodo Ref.]]="Dentro",DATOS_[Conc.Sal.27]))))),
0)</f>
        <v>0</v>
      </c>
      <c r="AG77" s="170">
        <f t="array" ref="AG77">IFERROR(
MEDIAN((IF(DATOS_[[Sexo]:[Sexo]]=$B77,IF(DATOS_[[AGRUP. VALOR. PTO.]:[AGRUP. VALOR. PTO.]]=$B75,IF(DATOS_[[Check Periodo Ref.]:[Check Periodo Ref.]]="Dentro",DATOS_[Conc.Sal.28]))))),
0)</f>
        <v>0</v>
      </c>
      <c r="AH77" s="170">
        <f t="array" ref="AH77">IFERROR(
MEDIAN((IF(DATOS_[[Sexo]:[Sexo]]=$B77,IF(DATOS_[[AGRUP. VALOR. PTO.]:[AGRUP. VALOR. PTO.]]=$B75,IF(DATOS_[[Check Periodo Ref.]:[Check Periodo Ref.]]="Dentro",DATOS_[Conc.Sal.29]))))),
0)</f>
        <v>0</v>
      </c>
      <c r="AI77" s="170">
        <f t="array" ref="AI77">IFERROR(
MEDIAN((IF(DATOS_[[Sexo]:[Sexo]]=$B77,IF(DATOS_[[AGRUP. VALOR. PTO.]:[AGRUP. VALOR. PTO.]]=$B75,IF(DATOS_[[Check Periodo Ref.]:[Check Periodo Ref.]]="Dentro",DATOS_[Conc.Sal.30]))))),
0)</f>
        <v>0</v>
      </c>
      <c r="AJ77" s="171">
        <f t="array" ref="AJ77">IFERROR(
MEDIAN(IF(DATOS_[Sexo]=$B77,IF(DATOS_[AGRUP. VALOR. PTO.]=$B75,IF(DATOS_[Check Periodo Ref.]="Dentro",DATOS_[Tot COMPL.SAL Ef],FALSE)))),
0)</f>
        <v>0</v>
      </c>
      <c r="AK77" s="172">
        <f t="array" ref="AK77">IFERROR(
MEDIAN(IF(DATOS_[Sexo]=$B77,IF(DATOS_[AGRUP. VALOR. PTO.]=$B75,IF(DATOS_[Check Periodo Ref.]="Dentro",DATOS_[TOTAL SALARIO Ef],FALSE)))),
0)</f>
        <v>0</v>
      </c>
      <c r="AL77" s="173">
        <f t="array" ref="AL77">IFERROR(
MEDIAN((IF(DATOS_[[Sexo]:[Sexo]]=$B77,IF(DATOS_[[AGRUP. VALOR. PTO.]:[AGRUP. VALOR. PTO.]]=$B75,IF(DATOS_[[Check Periodo Ref.]:[Check Periodo Ref.]]="Dentro",DATOS_[C.Extra.01]))))),
0)</f>
        <v>0</v>
      </c>
      <c r="AM77" s="173">
        <f t="array" ref="AM77">IFERROR(
MEDIAN((IF(DATOS_[[Sexo]:[Sexo]]=$B77,IF(DATOS_[[AGRUP. VALOR. PTO.]:[AGRUP. VALOR. PTO.]]=$B75,IF(DATOS_[[Check Periodo Ref.]:[Check Periodo Ref.]]="Dentro",DATOS_[C.Extra.06]))))),
0)</f>
        <v>0</v>
      </c>
      <c r="AN77" s="173">
        <f t="array" ref="AN77">IFERROR(
MEDIAN((IF(DATOS_[[Sexo]:[Sexo]]=$B77,IF(DATOS_[[AGRUP. VALOR. PTO.]:[AGRUP. VALOR. PTO.]]=$B75,IF(DATOS_[[Check Periodo Ref.]:[Check Periodo Ref.]]="Dentro",DATOS_[C.Extra.07]))))),
0)</f>
        <v>0</v>
      </c>
      <c r="AO77" s="173">
        <f t="array" ref="AO77">IFERROR(
MEDIAN((IF(DATOS_[[Sexo]:[Sexo]]=$B77,IF(DATOS_[[AGRUP. VALOR. PTO.]:[AGRUP. VALOR. PTO.]]=$B75,IF(DATOS_[[Check Periodo Ref.]:[Check Periodo Ref.]]="Dentro",DATOS_[C.Extra.08]))))),
0)</f>
        <v>0</v>
      </c>
      <c r="AP77" s="173">
        <f t="array" ref="AP77">IFERROR(
MEDIAN((IF(DATOS_[[Sexo]:[Sexo]]=$B77,IF(DATOS_[[AGRUP. VALOR. PTO.]:[AGRUP. VALOR. PTO.]]=$B75,IF(DATOS_[[Check Periodo Ref.]:[Check Periodo Ref.]]="Dentro",DATOS_[C.Extra.11]))))),
0)</f>
        <v>0</v>
      </c>
      <c r="AQ77" s="174">
        <f t="array" ref="AQ77">IFERROR(
MEDIAN(IF(DATOS_[Sexo]=$B77,IF(DATOS_[AGRUP. VALOR. PTO.]=$B75,IF(DATOS_[Check Periodo Ref.]="Dentro",DATOS_[Tot Extrasalarial Ef],FALSE)))),
0)</f>
        <v>0</v>
      </c>
      <c r="AR77" s="171">
        <f t="array" ref="AR77">IFERROR(
MEDIAN(IF(DATOS_[Sexo]=$B77,IF(DATOS_[AGRUP. VALOR. PTO.]=$B75,IF(DATOS_[Check Periodo Ref.]="Dentro",DATOS_[TOTAL Retrib Ef],FALSE)))),
0)</f>
        <v>0</v>
      </c>
    </row>
    <row r="78" spans="1:44" ht="14.4" thickBot="1" x14ac:dyDescent="0.3">
      <c r="A78" s="178" t="str">
        <f t="shared" ref="A78" si="87">+A79</f>
        <v>[ocultar]</v>
      </c>
      <c r="B78" s="153" t="s">
        <v>266</v>
      </c>
      <c r="C78" s="154"/>
      <c r="D78" s="155"/>
      <c r="E78" s="156" t="str">
        <f t="shared" ref="E78:AR78" si="88">IFERROR((E79-E80)/E79,"")</f>
        <v/>
      </c>
      <c r="F78" s="157" t="str">
        <f t="shared" si="88"/>
        <v/>
      </c>
      <c r="G78" s="158" t="str">
        <f t="shared" si="88"/>
        <v/>
      </c>
      <c r="H78" s="158" t="str">
        <f t="shared" si="88"/>
        <v/>
      </c>
      <c r="I78" s="158" t="str">
        <f t="shared" si="88"/>
        <v/>
      </c>
      <c r="J78" s="159" t="str">
        <f t="shared" si="88"/>
        <v/>
      </c>
      <c r="K78" s="160" t="str">
        <f t="shared" si="88"/>
        <v/>
      </c>
      <c r="L78" s="160" t="str">
        <f t="shared" si="88"/>
        <v/>
      </c>
      <c r="M78" s="160" t="str">
        <f t="shared" si="88"/>
        <v/>
      </c>
      <c r="N78" s="160" t="str">
        <f t="shared" si="88"/>
        <v/>
      </c>
      <c r="O78" s="160" t="str">
        <f t="shared" si="88"/>
        <v/>
      </c>
      <c r="P78" s="160" t="str">
        <f t="shared" si="88"/>
        <v/>
      </c>
      <c r="Q78" s="160" t="str">
        <f t="shared" si="88"/>
        <v/>
      </c>
      <c r="R78" s="160" t="str">
        <f t="shared" si="88"/>
        <v/>
      </c>
      <c r="S78" s="160" t="str">
        <f t="shared" si="88"/>
        <v/>
      </c>
      <c r="T78" s="160" t="str">
        <f t="shared" si="88"/>
        <v/>
      </c>
      <c r="U78" s="160" t="str">
        <f t="shared" si="88"/>
        <v/>
      </c>
      <c r="V78" s="159" t="str">
        <f t="shared" si="88"/>
        <v/>
      </c>
      <c r="W78" s="159" t="str">
        <f t="shared" si="88"/>
        <v/>
      </c>
      <c r="X78" s="159" t="str">
        <f t="shared" si="88"/>
        <v/>
      </c>
      <c r="Y78" s="159" t="str">
        <f t="shared" si="88"/>
        <v/>
      </c>
      <c r="Z78" s="159" t="str">
        <f t="shared" si="88"/>
        <v/>
      </c>
      <c r="AA78" s="159" t="str">
        <f t="shared" si="88"/>
        <v/>
      </c>
      <c r="AB78" s="159" t="str">
        <f t="shared" si="88"/>
        <v/>
      </c>
      <c r="AC78" s="159" t="str">
        <f t="shared" si="88"/>
        <v/>
      </c>
      <c r="AD78" s="159" t="str">
        <f t="shared" si="88"/>
        <v/>
      </c>
      <c r="AE78" s="159" t="str">
        <f t="shared" si="88"/>
        <v/>
      </c>
      <c r="AF78" s="159" t="str">
        <f t="shared" si="88"/>
        <v/>
      </c>
      <c r="AG78" s="159" t="str">
        <f t="shared" si="88"/>
        <v/>
      </c>
      <c r="AH78" s="159" t="str">
        <f t="shared" si="88"/>
        <v/>
      </c>
      <c r="AI78" s="159" t="str">
        <f t="shared" si="88"/>
        <v/>
      </c>
      <c r="AJ78" s="161" t="str">
        <f t="shared" si="88"/>
        <v/>
      </c>
      <c r="AK78" s="162" t="str">
        <f t="shared" si="88"/>
        <v/>
      </c>
      <c r="AL78" s="163" t="str">
        <f t="shared" si="88"/>
        <v/>
      </c>
      <c r="AM78" s="163" t="str">
        <f t="shared" si="88"/>
        <v/>
      </c>
      <c r="AN78" s="163" t="str">
        <f t="shared" si="88"/>
        <v/>
      </c>
      <c r="AO78" s="163" t="str">
        <f t="shared" si="88"/>
        <v/>
      </c>
      <c r="AP78" s="163" t="str">
        <f t="shared" si="88"/>
        <v/>
      </c>
      <c r="AQ78" s="164" t="str">
        <f t="shared" si="88"/>
        <v/>
      </c>
      <c r="AR78" s="161" t="str">
        <f t="shared" si="88"/>
        <v/>
      </c>
    </row>
    <row r="79" spans="1:44" x14ac:dyDescent="0.25">
      <c r="A79" s="178" t="str">
        <f t="shared" ref="A79" si="89">+IF(C79+C80=0,"[ocultar]","")</f>
        <v>[ocultar]</v>
      </c>
      <c r="B79" s="166" t="s">
        <v>394</v>
      </c>
      <c r="C79" s="167">
        <f t="array" ref="C79">SUM(IF($B79=DATOS_[Sexo],
IF($B78=DATOS_[AGRUP. VALOR. PTO.],
IF("Dentro"=DATOS_[Check Periodo Ref.],
1/(COUNTIFS(DATOS_[Sexo],$B79,DATOS_[AGRUP. VALOR. PTO.],$B78,DATOS_[Check Periodo Ref.],"Dentro",DATOS_[id/cod],DATOS_[id/cod]))))))</f>
        <v>0</v>
      </c>
      <c r="D79" s="168">
        <f>COUNTIFS(DATOS_[AGRUP. VALOR. PTO.],$B78,DATOS_[Sexo],$B79,DATOS_[Check Periodo Ref.],"Dentro")</f>
        <v>0</v>
      </c>
      <c r="E79" s="169">
        <f t="array" ref="E79">IFERROR(
MEDIAN(IF(DATOS_[Sexo]=$B79,IF(DATOS_[AGRUP. VALOR. PTO.]=$B78,IF(DATOS_[Check Periodo Ref.]="Dentro",DATOS_[SALARIO BASE Ef],FALSE)))),
0)</f>
        <v>0</v>
      </c>
      <c r="F79" s="170">
        <f t="array" ref="F79">IFERROR(
MEDIAN((IF(DATOS_[[Sexo]:[Sexo]]=$B79,IF(DATOS_[[AGRUP. VALOR. PTO.]:[AGRUP. VALOR. PTO.]]=$B78,IF(DATOS_[[Check Periodo Ref.]:[Check Periodo Ref.]]="Dentro",DATOS_[Conc.Sal.01]))))),
0)</f>
        <v>0</v>
      </c>
      <c r="G79" s="170">
        <f t="array" ref="G79">IFERROR(
MEDIAN((IF(DATOS_[[Sexo]:[Sexo]]=$B79,IF(DATOS_[[AGRUP. VALOR. PTO.]:[AGRUP. VALOR. PTO.]]=$B78,IF(DATOS_[[Check Periodo Ref.]:[Check Periodo Ref.]]="Dentro",DATOS_[Conc.Sal.02]))))),
0)</f>
        <v>0</v>
      </c>
      <c r="H79" s="170">
        <f t="array" ref="H79">IFERROR(
MEDIAN((IF(DATOS_[[Sexo]:[Sexo]]=$B79,IF(DATOS_[[AGRUP. VALOR. PTO.]:[AGRUP. VALOR. PTO.]]=$B78,IF(DATOS_[[Check Periodo Ref.]:[Check Periodo Ref.]]="Dentro",DATOS_[Conc.Sal.03]))))),
0)</f>
        <v>0</v>
      </c>
      <c r="I79" s="170">
        <f t="array" ref="I79">IFERROR(
MEDIAN((IF(DATOS_[[Sexo]:[Sexo]]=$B79,IF(DATOS_[[AGRUP. VALOR. PTO.]:[AGRUP. VALOR. PTO.]]=$B78,IF(DATOS_[[Check Periodo Ref.]:[Check Periodo Ref.]]="Dentro",DATOS_[Conc.Sal.04]))))),
0)</f>
        <v>0</v>
      </c>
      <c r="J79" s="170">
        <f t="array" ref="J79">IFERROR(
MEDIAN((IF(DATOS_[[Sexo]:[Sexo]]=$B79,IF(DATOS_[[AGRUP. VALOR. PTO.]:[AGRUP. VALOR. PTO.]]=$B78,IF(DATOS_[[Check Periodo Ref.]:[Check Periodo Ref.]]="Dentro",DATOS_[Conc.Sal.05]))))),
0)</f>
        <v>0</v>
      </c>
      <c r="K79" s="170">
        <f t="array" ref="K79">IFERROR(
MEDIAN((IF(DATOS_[[Sexo]:[Sexo]]=$B79,IF(DATOS_[[AGRUP. VALOR. PTO.]:[AGRUP. VALOR. PTO.]]=$B78,IF(DATOS_[[Check Periodo Ref.]:[Check Periodo Ref.]]="Dentro",DATOS_[Conc.Sal.06]))))),
0)</f>
        <v>0</v>
      </c>
      <c r="L79" s="170">
        <f t="array" ref="L79">IFERROR(
MEDIAN((IF(DATOS_[[Sexo]:[Sexo]]=$B79,IF(DATOS_[[AGRUP. VALOR. PTO.]:[AGRUP. VALOR. PTO.]]=$B78,IF(DATOS_[[Check Periodo Ref.]:[Check Periodo Ref.]]="Dentro",DATOS_[Conc.Sal.07]))))),
0)</f>
        <v>0</v>
      </c>
      <c r="M79" s="170">
        <f t="array" ref="M79">IFERROR(
MEDIAN((IF(DATOS_[[Sexo]:[Sexo]]=$B79,IF(DATOS_[[AGRUP. VALOR. PTO.]:[AGRUP. VALOR. PTO.]]=$B78,IF(DATOS_[[Check Periodo Ref.]:[Check Periodo Ref.]]="Dentro",DATOS_[Conc.Sal.08]))))),
0)</f>
        <v>0</v>
      </c>
      <c r="N79" s="170">
        <f t="array" ref="N79">IFERROR(
MEDIAN((IF(DATOS_[[Sexo]:[Sexo]]=$B79,IF(DATOS_[[AGRUP. VALOR. PTO.]:[AGRUP. VALOR. PTO.]]=$B78,IF(DATOS_[[Check Periodo Ref.]:[Check Periodo Ref.]]="Dentro",DATOS_[Conc.Sal.09]))))),
0)</f>
        <v>0</v>
      </c>
      <c r="O79" s="170">
        <f t="array" ref="O79">IFERROR(
MEDIAN((IF(DATOS_[[Sexo]:[Sexo]]=$B79,IF(DATOS_[[AGRUP. VALOR. PTO.]:[AGRUP. VALOR. PTO.]]=$B78,IF(DATOS_[[Check Periodo Ref.]:[Check Periodo Ref.]]="Dentro",DATOS_[Conc.Sal.10]))))),
0)</f>
        <v>0</v>
      </c>
      <c r="P79" s="170">
        <f t="array" ref="P79">IFERROR(
MEDIAN((IF(DATOS_[[Sexo]:[Sexo]]=$B79,IF(DATOS_[[AGRUP. VALOR. PTO.]:[AGRUP. VALOR. PTO.]]=$B78,IF(DATOS_[[Check Periodo Ref.]:[Check Periodo Ref.]]="Dentro",DATOS_[Conc.Sal.11]))))),
0)</f>
        <v>0</v>
      </c>
      <c r="Q79" s="170">
        <f t="array" ref="Q79">IFERROR(
MEDIAN((IF(DATOS_[[Sexo]:[Sexo]]=$B79,IF(DATOS_[[AGRUP. VALOR. PTO.]:[AGRUP. VALOR. PTO.]]=$B78,IF(DATOS_[[Check Periodo Ref.]:[Check Periodo Ref.]]="Dentro",DATOS_[Conc.Sal.12]))))),
0)</f>
        <v>0</v>
      </c>
      <c r="R79" s="170">
        <f t="array" ref="R79">IFERROR(
MEDIAN((IF(DATOS_[[Sexo]:[Sexo]]=$B79,IF(DATOS_[[AGRUP. VALOR. PTO.]:[AGRUP. VALOR. PTO.]]=$B78,IF(DATOS_[[Check Periodo Ref.]:[Check Periodo Ref.]]="Dentro",DATOS_[Conc.Sal.13]))))),
0)</f>
        <v>0</v>
      </c>
      <c r="S79" s="170">
        <f t="array" ref="S79">IFERROR(
MEDIAN((IF(DATOS_[[Sexo]:[Sexo]]=$B79,IF(DATOS_[[AGRUP. VALOR. PTO.]:[AGRUP. VALOR. PTO.]]=$B78,IF(DATOS_[[Check Periodo Ref.]:[Check Periodo Ref.]]="Dentro",DATOS_[Conc.Sal.14]))))),
0)</f>
        <v>0</v>
      </c>
      <c r="T79" s="170">
        <f t="array" ref="T79">IFERROR(
MEDIAN((IF(DATOS_[[Sexo]:[Sexo]]=$B79,IF(DATOS_[[AGRUP. VALOR. PTO.]:[AGRUP. VALOR. PTO.]]=$B78,IF(DATOS_[[Check Periodo Ref.]:[Check Periodo Ref.]]="Dentro",DATOS_[Conc.Sal.15]))))),
0)</f>
        <v>0</v>
      </c>
      <c r="U79" s="170">
        <f t="array" ref="U79">IFERROR(
MEDIAN((IF(DATOS_[[Sexo]:[Sexo]]=$B79,IF(DATOS_[[AGRUP. VALOR. PTO.]:[AGRUP. VALOR. PTO.]]=$B78,IF(DATOS_[[Check Periodo Ref.]:[Check Periodo Ref.]]="Dentro",DATOS_[Conc.Sal.16]))))),
0)</f>
        <v>0</v>
      </c>
      <c r="V79" s="170">
        <f t="array" ref="V79">IFERROR(
MEDIAN((IF(DATOS_[[Sexo]:[Sexo]]=$B79,IF(DATOS_[[AGRUP. VALOR. PTO.]:[AGRUP. VALOR. PTO.]]=$B78,IF(DATOS_[[Check Periodo Ref.]:[Check Periodo Ref.]]="Dentro",DATOS_[Conc.Sal.17]))))),
0)</f>
        <v>0</v>
      </c>
      <c r="W79" s="170">
        <f t="array" ref="W79">IFERROR(
MEDIAN((IF(DATOS_[[Sexo]:[Sexo]]=$B79,IF(DATOS_[[AGRUP. VALOR. PTO.]:[AGRUP. VALOR. PTO.]]=$B78,IF(DATOS_[[Check Periodo Ref.]:[Check Periodo Ref.]]="Dentro",DATOS_[Conc.Sal.18]))))),
0)</f>
        <v>0</v>
      </c>
      <c r="X79" s="170">
        <f t="array" ref="X79">IFERROR(
MEDIAN((IF(DATOS_[[Sexo]:[Sexo]]=$B79,IF(DATOS_[[AGRUP. VALOR. PTO.]:[AGRUP. VALOR. PTO.]]=$B78,IF(DATOS_[[Check Periodo Ref.]:[Check Periodo Ref.]]="Dentro",DATOS_[Conc.Sal.19]))))),
0)</f>
        <v>0</v>
      </c>
      <c r="Y79" s="170">
        <f t="array" ref="Y79">IFERROR(
MEDIAN((IF(DATOS_[[Sexo]:[Sexo]]=$B79,IF(DATOS_[[AGRUP. VALOR. PTO.]:[AGRUP. VALOR. PTO.]]=$B78,IF(DATOS_[[Check Periodo Ref.]:[Check Periodo Ref.]]="Dentro",DATOS_[Conc.Sal.20]))))),
0)</f>
        <v>0</v>
      </c>
      <c r="Z79" s="170">
        <f t="array" ref="Z79">IFERROR(
MEDIAN((IF(DATOS_[[Sexo]:[Sexo]]=$B79,IF(DATOS_[[AGRUP. VALOR. PTO.]:[AGRUP. VALOR. PTO.]]=$B78,IF(DATOS_[[Check Periodo Ref.]:[Check Periodo Ref.]]="Dentro",DATOS_[Conc.Sal.21]))))),
0)</f>
        <v>0</v>
      </c>
      <c r="AA79" s="170">
        <f t="array" ref="AA79">IFERROR(
MEDIAN((IF(DATOS_[[Sexo]:[Sexo]]=$B79,IF(DATOS_[[AGRUP. VALOR. PTO.]:[AGRUP. VALOR. PTO.]]=$B78,IF(DATOS_[[Check Periodo Ref.]:[Check Periodo Ref.]]="Dentro",DATOS_[Conc.Sal.22]))))),
0)</f>
        <v>0</v>
      </c>
      <c r="AB79" s="170">
        <f t="array" ref="AB79">IFERROR(
MEDIAN((IF(DATOS_[[Sexo]:[Sexo]]=$B79,IF(DATOS_[[AGRUP. VALOR. PTO.]:[AGRUP. VALOR. PTO.]]=$B78,IF(DATOS_[[Check Periodo Ref.]:[Check Periodo Ref.]]="Dentro",DATOS_[Conc.Sal.23]))))),
0)</f>
        <v>0</v>
      </c>
      <c r="AC79" s="170">
        <f t="array" ref="AC79">IFERROR(
MEDIAN((IF(DATOS_[[Sexo]:[Sexo]]=$B79,IF(DATOS_[[AGRUP. VALOR. PTO.]:[AGRUP. VALOR. PTO.]]=$B78,IF(DATOS_[[Check Periodo Ref.]:[Check Periodo Ref.]]="Dentro",DATOS_[Conc.Sal.24]))))),
0)</f>
        <v>0</v>
      </c>
      <c r="AD79" s="170">
        <f t="array" ref="AD79">IFERROR(
MEDIAN((IF(DATOS_[[Sexo]:[Sexo]]=$B79,IF(DATOS_[[AGRUP. VALOR. PTO.]:[AGRUP. VALOR. PTO.]]=$B78,IF(DATOS_[[Check Periodo Ref.]:[Check Periodo Ref.]]="Dentro",DATOS_[Conc.Sal.25]))))),
0)</f>
        <v>0</v>
      </c>
      <c r="AE79" s="170">
        <f t="array" ref="AE79">IFERROR(
MEDIAN((IF(DATOS_[[Sexo]:[Sexo]]=$B79,IF(DATOS_[[AGRUP. VALOR. PTO.]:[AGRUP. VALOR. PTO.]]=$B78,IF(DATOS_[[Check Periodo Ref.]:[Check Periodo Ref.]]="Dentro",DATOS_[Conc.Sal.26]))))),
0)</f>
        <v>0</v>
      </c>
      <c r="AF79" s="170">
        <f t="array" ref="AF79">IFERROR(
MEDIAN((IF(DATOS_[[Sexo]:[Sexo]]=$B79,IF(DATOS_[[AGRUP. VALOR. PTO.]:[AGRUP. VALOR. PTO.]]=$B78,IF(DATOS_[[Check Periodo Ref.]:[Check Periodo Ref.]]="Dentro",DATOS_[Conc.Sal.27]))))),
0)</f>
        <v>0</v>
      </c>
      <c r="AG79" s="170">
        <f t="array" ref="AG79">IFERROR(
MEDIAN((IF(DATOS_[[Sexo]:[Sexo]]=$B79,IF(DATOS_[[AGRUP. VALOR. PTO.]:[AGRUP. VALOR. PTO.]]=$B78,IF(DATOS_[[Check Periodo Ref.]:[Check Periodo Ref.]]="Dentro",DATOS_[Conc.Sal.28]))))),
0)</f>
        <v>0</v>
      </c>
      <c r="AH79" s="170">
        <f t="array" ref="AH79">IFERROR(
MEDIAN((IF(DATOS_[[Sexo]:[Sexo]]=$B79,IF(DATOS_[[AGRUP. VALOR. PTO.]:[AGRUP. VALOR. PTO.]]=$B78,IF(DATOS_[[Check Periodo Ref.]:[Check Periodo Ref.]]="Dentro",DATOS_[Conc.Sal.29]))))),
0)</f>
        <v>0</v>
      </c>
      <c r="AI79" s="170">
        <f t="array" ref="AI79">IFERROR(
MEDIAN((IF(DATOS_[[Sexo]:[Sexo]]=$B79,IF(DATOS_[[AGRUP. VALOR. PTO.]:[AGRUP. VALOR. PTO.]]=$B78,IF(DATOS_[[Check Periodo Ref.]:[Check Periodo Ref.]]="Dentro",DATOS_[Conc.Sal.30]))))),
0)</f>
        <v>0</v>
      </c>
      <c r="AJ79" s="171">
        <f t="array" ref="AJ79">IFERROR(
MEDIAN(IF(DATOS_[Sexo]=$B79,IF(DATOS_[AGRUP. VALOR. PTO.]=$B78,IF(DATOS_[Check Periodo Ref.]="Dentro",DATOS_[Tot COMPL.SAL Ef],FALSE)))),
0)</f>
        <v>0</v>
      </c>
      <c r="AK79" s="172">
        <f t="array" ref="AK79">IFERROR(
MEDIAN(IF(DATOS_[Sexo]=$B79,IF(DATOS_[AGRUP. VALOR. PTO.]=$B78,IF(DATOS_[Check Periodo Ref.]="Dentro",DATOS_[TOTAL SALARIO Ef],FALSE)))),
0)</f>
        <v>0</v>
      </c>
      <c r="AL79" s="173">
        <f t="array" ref="AL79">IFERROR(
MEDIAN((IF(DATOS_[[Sexo]:[Sexo]]=$B79,IF(DATOS_[[AGRUP. VALOR. PTO.]:[AGRUP. VALOR. PTO.]]=$B78,IF(DATOS_[[Check Periodo Ref.]:[Check Periodo Ref.]]="Dentro",DATOS_[C.Extra.01]))))),
0)</f>
        <v>0</v>
      </c>
      <c r="AM79" s="173">
        <f t="array" ref="AM79">IFERROR(
MEDIAN((IF(DATOS_[[Sexo]:[Sexo]]=$B79,IF(DATOS_[[AGRUP. VALOR. PTO.]:[AGRUP. VALOR. PTO.]]=$B78,IF(DATOS_[[Check Periodo Ref.]:[Check Periodo Ref.]]="Dentro",DATOS_[C.Extra.06]))))),
0)</f>
        <v>0</v>
      </c>
      <c r="AN79" s="173">
        <f t="array" ref="AN79">IFERROR(
MEDIAN((IF(DATOS_[[Sexo]:[Sexo]]=$B79,IF(DATOS_[[AGRUP. VALOR. PTO.]:[AGRUP. VALOR. PTO.]]=$B78,IF(DATOS_[[Check Periodo Ref.]:[Check Periodo Ref.]]="Dentro",DATOS_[C.Extra.07]))))),
0)</f>
        <v>0</v>
      </c>
      <c r="AO79" s="173">
        <f t="array" ref="AO79">IFERROR(
MEDIAN((IF(DATOS_[[Sexo]:[Sexo]]=$B79,IF(DATOS_[[AGRUP. VALOR. PTO.]:[AGRUP. VALOR. PTO.]]=$B78,IF(DATOS_[[Check Periodo Ref.]:[Check Periodo Ref.]]="Dentro",DATOS_[C.Extra.08]))))),
0)</f>
        <v>0</v>
      </c>
      <c r="AP79" s="173">
        <f t="array" ref="AP79">IFERROR(
MEDIAN((IF(DATOS_[[Sexo]:[Sexo]]=$B79,IF(DATOS_[[AGRUP. VALOR. PTO.]:[AGRUP. VALOR. PTO.]]=$B78,IF(DATOS_[[Check Periodo Ref.]:[Check Periodo Ref.]]="Dentro",DATOS_[C.Extra.11]))))),
0)</f>
        <v>0</v>
      </c>
      <c r="AQ79" s="174">
        <f t="array" ref="AQ79">IFERROR(
MEDIAN(IF(DATOS_[Sexo]=$B79,IF(DATOS_[AGRUP. VALOR. PTO.]=$B78,IF(DATOS_[Check Periodo Ref.]="Dentro",DATOS_[Tot Extrasalarial Ef],FALSE)))),
0)</f>
        <v>0</v>
      </c>
      <c r="AR79" s="171">
        <f t="array" ref="AR79">IFERROR(
MEDIAN(IF(DATOS_[Sexo]=$B79,IF(DATOS_[AGRUP. VALOR. PTO.]=$B78,IF(DATOS_[Check Periodo Ref.]="Dentro",DATOS_[TOTAL Retrib Ef],FALSE)))),
0)</f>
        <v>0</v>
      </c>
    </row>
    <row r="80" spans="1:44" x14ac:dyDescent="0.25">
      <c r="A80" s="178" t="str">
        <f t="shared" ref="A80" si="90">+A79</f>
        <v>[ocultar]</v>
      </c>
      <c r="B80" s="166" t="s">
        <v>521</v>
      </c>
      <c r="C80" s="167">
        <f t="array" ref="C80">SUM(IF($B80=DATOS_[Sexo],
IF($B78=DATOS_[AGRUP. VALOR. PTO.],
IF("Dentro"=DATOS_[Check Periodo Ref.],
1/(COUNTIFS(DATOS_[Sexo],$B80,DATOS_[AGRUP. VALOR. PTO.],$B78,DATOS_[Check Periodo Ref.],"Dentro",DATOS_[id/cod],DATOS_[id/cod]))))))</f>
        <v>0</v>
      </c>
      <c r="D80" s="168">
        <f>COUNTIFS(DATOS_[AGRUP. VALOR. PTO.],$B78,DATOS_[Sexo],$B80,DATOS_[Check Periodo Ref.],"Dentro")</f>
        <v>0</v>
      </c>
      <c r="E80" s="169">
        <f t="array" ref="E80">IFERROR(
MEDIAN(IF(DATOS_[Sexo]=$B80,IF(DATOS_[AGRUP. VALOR. PTO.]=$B78,IF(DATOS_[Check Periodo Ref.]="Dentro",DATOS_[SALARIO BASE Ef],FALSE)))),
0)</f>
        <v>0</v>
      </c>
      <c r="F80" s="170">
        <f t="array" ref="F80">IFERROR(
MEDIAN((IF(DATOS_[[Sexo]:[Sexo]]=$B80,IF(DATOS_[[AGRUP. VALOR. PTO.]:[AGRUP. VALOR. PTO.]]=$B78,IF(DATOS_[[Check Periodo Ref.]:[Check Periodo Ref.]]="Dentro",DATOS_[Conc.Sal.01]))))),
0)</f>
        <v>0</v>
      </c>
      <c r="G80" s="170">
        <f t="array" ref="G80">IFERROR(
MEDIAN((IF(DATOS_[[Sexo]:[Sexo]]=$B80,IF(DATOS_[[AGRUP. VALOR. PTO.]:[AGRUP. VALOR. PTO.]]=$B78,IF(DATOS_[[Check Periodo Ref.]:[Check Periodo Ref.]]="Dentro",DATOS_[Conc.Sal.02]))))),
0)</f>
        <v>0</v>
      </c>
      <c r="H80" s="170">
        <f t="array" ref="H80">IFERROR(
MEDIAN((IF(DATOS_[[Sexo]:[Sexo]]=$B80,IF(DATOS_[[AGRUP. VALOR. PTO.]:[AGRUP. VALOR. PTO.]]=$B78,IF(DATOS_[[Check Periodo Ref.]:[Check Periodo Ref.]]="Dentro",DATOS_[Conc.Sal.03]))))),
0)</f>
        <v>0</v>
      </c>
      <c r="I80" s="170">
        <f t="array" ref="I80">IFERROR(
MEDIAN((IF(DATOS_[[Sexo]:[Sexo]]=$B80,IF(DATOS_[[AGRUP. VALOR. PTO.]:[AGRUP. VALOR. PTO.]]=$B78,IF(DATOS_[[Check Periodo Ref.]:[Check Periodo Ref.]]="Dentro",DATOS_[Conc.Sal.04]))))),
0)</f>
        <v>0</v>
      </c>
      <c r="J80" s="170">
        <f t="array" ref="J80">IFERROR(
MEDIAN((IF(DATOS_[[Sexo]:[Sexo]]=$B80,IF(DATOS_[[AGRUP. VALOR. PTO.]:[AGRUP. VALOR. PTO.]]=$B78,IF(DATOS_[[Check Periodo Ref.]:[Check Periodo Ref.]]="Dentro",DATOS_[Conc.Sal.05]))))),
0)</f>
        <v>0</v>
      </c>
      <c r="K80" s="170">
        <f t="array" ref="K80">IFERROR(
MEDIAN((IF(DATOS_[[Sexo]:[Sexo]]=$B80,IF(DATOS_[[AGRUP. VALOR. PTO.]:[AGRUP. VALOR. PTO.]]=$B78,IF(DATOS_[[Check Periodo Ref.]:[Check Periodo Ref.]]="Dentro",DATOS_[Conc.Sal.06]))))),
0)</f>
        <v>0</v>
      </c>
      <c r="L80" s="170">
        <f t="array" ref="L80">IFERROR(
MEDIAN((IF(DATOS_[[Sexo]:[Sexo]]=$B80,IF(DATOS_[[AGRUP. VALOR. PTO.]:[AGRUP. VALOR. PTO.]]=$B78,IF(DATOS_[[Check Periodo Ref.]:[Check Periodo Ref.]]="Dentro",DATOS_[Conc.Sal.07]))))),
0)</f>
        <v>0</v>
      </c>
      <c r="M80" s="170">
        <f t="array" ref="M80">IFERROR(
MEDIAN((IF(DATOS_[[Sexo]:[Sexo]]=$B80,IF(DATOS_[[AGRUP. VALOR. PTO.]:[AGRUP. VALOR. PTO.]]=$B78,IF(DATOS_[[Check Periodo Ref.]:[Check Periodo Ref.]]="Dentro",DATOS_[Conc.Sal.08]))))),
0)</f>
        <v>0</v>
      </c>
      <c r="N80" s="170">
        <f t="array" ref="N80">IFERROR(
MEDIAN((IF(DATOS_[[Sexo]:[Sexo]]=$B80,IF(DATOS_[[AGRUP. VALOR. PTO.]:[AGRUP. VALOR. PTO.]]=$B78,IF(DATOS_[[Check Periodo Ref.]:[Check Periodo Ref.]]="Dentro",DATOS_[Conc.Sal.09]))))),
0)</f>
        <v>0</v>
      </c>
      <c r="O80" s="170">
        <f t="array" ref="O80">IFERROR(
MEDIAN((IF(DATOS_[[Sexo]:[Sexo]]=$B80,IF(DATOS_[[AGRUP. VALOR. PTO.]:[AGRUP. VALOR. PTO.]]=$B78,IF(DATOS_[[Check Periodo Ref.]:[Check Periodo Ref.]]="Dentro",DATOS_[Conc.Sal.10]))))),
0)</f>
        <v>0</v>
      </c>
      <c r="P80" s="170">
        <f t="array" ref="P80">IFERROR(
MEDIAN((IF(DATOS_[[Sexo]:[Sexo]]=$B80,IF(DATOS_[[AGRUP. VALOR. PTO.]:[AGRUP. VALOR. PTO.]]=$B78,IF(DATOS_[[Check Periodo Ref.]:[Check Periodo Ref.]]="Dentro",DATOS_[Conc.Sal.11]))))),
0)</f>
        <v>0</v>
      </c>
      <c r="Q80" s="170">
        <f t="array" ref="Q80">IFERROR(
MEDIAN((IF(DATOS_[[Sexo]:[Sexo]]=$B80,IF(DATOS_[[AGRUP. VALOR. PTO.]:[AGRUP. VALOR. PTO.]]=$B78,IF(DATOS_[[Check Periodo Ref.]:[Check Periodo Ref.]]="Dentro",DATOS_[Conc.Sal.12]))))),
0)</f>
        <v>0</v>
      </c>
      <c r="R80" s="170">
        <f t="array" ref="R80">IFERROR(
MEDIAN((IF(DATOS_[[Sexo]:[Sexo]]=$B80,IF(DATOS_[[AGRUP. VALOR. PTO.]:[AGRUP. VALOR. PTO.]]=$B78,IF(DATOS_[[Check Periodo Ref.]:[Check Periodo Ref.]]="Dentro",DATOS_[Conc.Sal.13]))))),
0)</f>
        <v>0</v>
      </c>
      <c r="S80" s="170">
        <f t="array" ref="S80">IFERROR(
MEDIAN((IF(DATOS_[[Sexo]:[Sexo]]=$B80,IF(DATOS_[[AGRUP. VALOR. PTO.]:[AGRUP. VALOR. PTO.]]=$B78,IF(DATOS_[[Check Periodo Ref.]:[Check Periodo Ref.]]="Dentro",DATOS_[Conc.Sal.14]))))),
0)</f>
        <v>0</v>
      </c>
      <c r="T80" s="170">
        <f t="array" ref="T80">IFERROR(
MEDIAN((IF(DATOS_[[Sexo]:[Sexo]]=$B80,IF(DATOS_[[AGRUP. VALOR. PTO.]:[AGRUP. VALOR. PTO.]]=$B78,IF(DATOS_[[Check Periodo Ref.]:[Check Periodo Ref.]]="Dentro",DATOS_[Conc.Sal.15]))))),
0)</f>
        <v>0</v>
      </c>
      <c r="U80" s="170">
        <f t="array" ref="U80">IFERROR(
MEDIAN((IF(DATOS_[[Sexo]:[Sexo]]=$B80,IF(DATOS_[[AGRUP. VALOR. PTO.]:[AGRUP. VALOR. PTO.]]=$B78,IF(DATOS_[[Check Periodo Ref.]:[Check Periodo Ref.]]="Dentro",DATOS_[Conc.Sal.16]))))),
0)</f>
        <v>0</v>
      </c>
      <c r="V80" s="170">
        <f t="array" ref="V80">IFERROR(
MEDIAN((IF(DATOS_[[Sexo]:[Sexo]]=$B80,IF(DATOS_[[AGRUP. VALOR. PTO.]:[AGRUP. VALOR. PTO.]]=$B78,IF(DATOS_[[Check Periodo Ref.]:[Check Periodo Ref.]]="Dentro",DATOS_[Conc.Sal.17]))))),
0)</f>
        <v>0</v>
      </c>
      <c r="W80" s="170">
        <f t="array" ref="W80">IFERROR(
MEDIAN((IF(DATOS_[[Sexo]:[Sexo]]=$B80,IF(DATOS_[[AGRUP. VALOR. PTO.]:[AGRUP. VALOR. PTO.]]=$B78,IF(DATOS_[[Check Periodo Ref.]:[Check Periodo Ref.]]="Dentro",DATOS_[Conc.Sal.18]))))),
0)</f>
        <v>0</v>
      </c>
      <c r="X80" s="170">
        <f t="array" ref="X80">IFERROR(
MEDIAN((IF(DATOS_[[Sexo]:[Sexo]]=$B80,IF(DATOS_[[AGRUP. VALOR. PTO.]:[AGRUP. VALOR. PTO.]]=$B78,IF(DATOS_[[Check Periodo Ref.]:[Check Periodo Ref.]]="Dentro",DATOS_[Conc.Sal.19]))))),
0)</f>
        <v>0</v>
      </c>
      <c r="Y80" s="170">
        <f t="array" ref="Y80">IFERROR(
MEDIAN((IF(DATOS_[[Sexo]:[Sexo]]=$B80,IF(DATOS_[[AGRUP. VALOR. PTO.]:[AGRUP. VALOR. PTO.]]=$B78,IF(DATOS_[[Check Periodo Ref.]:[Check Periodo Ref.]]="Dentro",DATOS_[Conc.Sal.20]))))),
0)</f>
        <v>0</v>
      </c>
      <c r="Z80" s="170">
        <f t="array" ref="Z80">IFERROR(
MEDIAN((IF(DATOS_[[Sexo]:[Sexo]]=$B80,IF(DATOS_[[AGRUP. VALOR. PTO.]:[AGRUP. VALOR. PTO.]]=$B78,IF(DATOS_[[Check Periodo Ref.]:[Check Periodo Ref.]]="Dentro",DATOS_[Conc.Sal.21]))))),
0)</f>
        <v>0</v>
      </c>
      <c r="AA80" s="170">
        <f t="array" ref="AA80">IFERROR(
MEDIAN((IF(DATOS_[[Sexo]:[Sexo]]=$B80,IF(DATOS_[[AGRUP. VALOR. PTO.]:[AGRUP. VALOR. PTO.]]=$B78,IF(DATOS_[[Check Periodo Ref.]:[Check Periodo Ref.]]="Dentro",DATOS_[Conc.Sal.22]))))),
0)</f>
        <v>0</v>
      </c>
      <c r="AB80" s="170">
        <f t="array" ref="AB80">IFERROR(
MEDIAN((IF(DATOS_[[Sexo]:[Sexo]]=$B80,IF(DATOS_[[AGRUP. VALOR. PTO.]:[AGRUP. VALOR. PTO.]]=$B78,IF(DATOS_[[Check Periodo Ref.]:[Check Periodo Ref.]]="Dentro",DATOS_[Conc.Sal.23]))))),
0)</f>
        <v>0</v>
      </c>
      <c r="AC80" s="170">
        <f t="array" ref="AC80">IFERROR(
MEDIAN((IF(DATOS_[[Sexo]:[Sexo]]=$B80,IF(DATOS_[[AGRUP. VALOR. PTO.]:[AGRUP. VALOR. PTO.]]=$B78,IF(DATOS_[[Check Periodo Ref.]:[Check Periodo Ref.]]="Dentro",DATOS_[Conc.Sal.24]))))),
0)</f>
        <v>0</v>
      </c>
      <c r="AD80" s="170">
        <f t="array" ref="AD80">IFERROR(
MEDIAN((IF(DATOS_[[Sexo]:[Sexo]]=$B80,IF(DATOS_[[AGRUP. VALOR. PTO.]:[AGRUP. VALOR. PTO.]]=$B78,IF(DATOS_[[Check Periodo Ref.]:[Check Periodo Ref.]]="Dentro",DATOS_[Conc.Sal.25]))))),
0)</f>
        <v>0</v>
      </c>
      <c r="AE80" s="170">
        <f t="array" ref="AE80">IFERROR(
MEDIAN((IF(DATOS_[[Sexo]:[Sexo]]=$B80,IF(DATOS_[[AGRUP. VALOR. PTO.]:[AGRUP. VALOR. PTO.]]=$B78,IF(DATOS_[[Check Periodo Ref.]:[Check Periodo Ref.]]="Dentro",DATOS_[Conc.Sal.26]))))),
0)</f>
        <v>0</v>
      </c>
      <c r="AF80" s="170">
        <f t="array" ref="AF80">IFERROR(
MEDIAN((IF(DATOS_[[Sexo]:[Sexo]]=$B80,IF(DATOS_[[AGRUP. VALOR. PTO.]:[AGRUP. VALOR. PTO.]]=$B78,IF(DATOS_[[Check Periodo Ref.]:[Check Periodo Ref.]]="Dentro",DATOS_[Conc.Sal.27]))))),
0)</f>
        <v>0</v>
      </c>
      <c r="AG80" s="170">
        <f t="array" ref="AG80">IFERROR(
MEDIAN((IF(DATOS_[[Sexo]:[Sexo]]=$B80,IF(DATOS_[[AGRUP. VALOR. PTO.]:[AGRUP. VALOR. PTO.]]=$B78,IF(DATOS_[[Check Periodo Ref.]:[Check Periodo Ref.]]="Dentro",DATOS_[Conc.Sal.28]))))),
0)</f>
        <v>0</v>
      </c>
      <c r="AH80" s="170">
        <f t="array" ref="AH80">IFERROR(
MEDIAN((IF(DATOS_[[Sexo]:[Sexo]]=$B80,IF(DATOS_[[AGRUP. VALOR. PTO.]:[AGRUP. VALOR. PTO.]]=$B78,IF(DATOS_[[Check Periodo Ref.]:[Check Periodo Ref.]]="Dentro",DATOS_[Conc.Sal.29]))))),
0)</f>
        <v>0</v>
      </c>
      <c r="AI80" s="170">
        <f t="array" ref="AI80">IFERROR(
MEDIAN((IF(DATOS_[[Sexo]:[Sexo]]=$B80,IF(DATOS_[[AGRUP. VALOR. PTO.]:[AGRUP. VALOR. PTO.]]=$B78,IF(DATOS_[[Check Periodo Ref.]:[Check Periodo Ref.]]="Dentro",DATOS_[Conc.Sal.30]))))),
0)</f>
        <v>0</v>
      </c>
      <c r="AJ80" s="171">
        <f t="array" ref="AJ80">IFERROR(
MEDIAN(IF(DATOS_[Sexo]=$B80,IF(DATOS_[AGRUP. VALOR. PTO.]=$B78,IF(DATOS_[Check Periodo Ref.]="Dentro",DATOS_[Tot COMPL.SAL Ef],FALSE)))),
0)</f>
        <v>0</v>
      </c>
      <c r="AK80" s="172">
        <f t="array" ref="AK80">IFERROR(
MEDIAN(IF(DATOS_[Sexo]=$B80,IF(DATOS_[AGRUP. VALOR. PTO.]=$B78,IF(DATOS_[Check Periodo Ref.]="Dentro",DATOS_[TOTAL SALARIO Ef],FALSE)))),
0)</f>
        <v>0</v>
      </c>
      <c r="AL80" s="173">
        <f t="array" ref="AL80">IFERROR(
MEDIAN((IF(DATOS_[[Sexo]:[Sexo]]=$B80,IF(DATOS_[[AGRUP. VALOR. PTO.]:[AGRUP. VALOR. PTO.]]=$B78,IF(DATOS_[[Check Periodo Ref.]:[Check Periodo Ref.]]="Dentro",DATOS_[C.Extra.01]))))),
0)</f>
        <v>0</v>
      </c>
      <c r="AM80" s="173">
        <f t="array" ref="AM80">IFERROR(
MEDIAN((IF(DATOS_[[Sexo]:[Sexo]]=$B80,IF(DATOS_[[AGRUP. VALOR. PTO.]:[AGRUP. VALOR. PTO.]]=$B78,IF(DATOS_[[Check Periodo Ref.]:[Check Periodo Ref.]]="Dentro",DATOS_[C.Extra.06]))))),
0)</f>
        <v>0</v>
      </c>
      <c r="AN80" s="173">
        <f t="array" ref="AN80">IFERROR(
MEDIAN((IF(DATOS_[[Sexo]:[Sexo]]=$B80,IF(DATOS_[[AGRUP. VALOR. PTO.]:[AGRUP. VALOR. PTO.]]=$B78,IF(DATOS_[[Check Periodo Ref.]:[Check Periodo Ref.]]="Dentro",DATOS_[C.Extra.07]))))),
0)</f>
        <v>0</v>
      </c>
      <c r="AO80" s="173">
        <f t="array" ref="AO80">IFERROR(
MEDIAN((IF(DATOS_[[Sexo]:[Sexo]]=$B80,IF(DATOS_[[AGRUP. VALOR. PTO.]:[AGRUP. VALOR. PTO.]]=$B78,IF(DATOS_[[Check Periodo Ref.]:[Check Periodo Ref.]]="Dentro",DATOS_[C.Extra.08]))))),
0)</f>
        <v>0</v>
      </c>
      <c r="AP80" s="173">
        <f t="array" ref="AP80">IFERROR(
MEDIAN((IF(DATOS_[[Sexo]:[Sexo]]=$B80,IF(DATOS_[[AGRUP. VALOR. PTO.]:[AGRUP. VALOR. PTO.]]=$B78,IF(DATOS_[[Check Periodo Ref.]:[Check Periodo Ref.]]="Dentro",DATOS_[C.Extra.11]))))),
0)</f>
        <v>0</v>
      </c>
      <c r="AQ80" s="174">
        <f t="array" ref="AQ80">IFERROR(
MEDIAN(IF(DATOS_[Sexo]=$B80,IF(DATOS_[AGRUP. VALOR. PTO.]=$B78,IF(DATOS_[Check Periodo Ref.]="Dentro",DATOS_[Tot Extrasalarial Ef],FALSE)))),
0)</f>
        <v>0</v>
      </c>
      <c r="AR80" s="171">
        <f t="array" ref="AR80">IFERROR(
MEDIAN(IF(DATOS_[Sexo]=$B80,IF(DATOS_[AGRUP. VALOR. PTO.]=$B78,IF(DATOS_[Check Periodo Ref.]="Dentro",DATOS_[TOTAL Retrib Ef],FALSE)))),
0)</f>
        <v>0</v>
      </c>
    </row>
    <row r="81" spans="1:44" ht="14.4" thickBot="1" x14ac:dyDescent="0.3">
      <c r="A81" s="178" t="str">
        <f t="shared" ref="A81" si="91">+A82</f>
        <v>[ocultar]</v>
      </c>
      <c r="B81" s="153" t="s">
        <v>269</v>
      </c>
      <c r="C81" s="154"/>
      <c r="D81" s="155"/>
      <c r="E81" s="156" t="str">
        <f t="shared" ref="E81:AR81" si="92">IFERROR((E82-E83)/E82,"")</f>
        <v/>
      </c>
      <c r="F81" s="157" t="str">
        <f t="shared" si="92"/>
        <v/>
      </c>
      <c r="G81" s="158" t="str">
        <f t="shared" si="92"/>
        <v/>
      </c>
      <c r="H81" s="158" t="str">
        <f t="shared" si="92"/>
        <v/>
      </c>
      <c r="I81" s="158" t="str">
        <f t="shared" si="92"/>
        <v/>
      </c>
      <c r="J81" s="159" t="str">
        <f t="shared" si="92"/>
        <v/>
      </c>
      <c r="K81" s="160" t="str">
        <f t="shared" si="92"/>
        <v/>
      </c>
      <c r="L81" s="160" t="str">
        <f t="shared" si="92"/>
        <v/>
      </c>
      <c r="M81" s="160" t="str">
        <f t="shared" si="92"/>
        <v/>
      </c>
      <c r="N81" s="160" t="str">
        <f t="shared" si="92"/>
        <v/>
      </c>
      <c r="O81" s="160" t="str">
        <f t="shared" si="92"/>
        <v/>
      </c>
      <c r="P81" s="160" t="str">
        <f t="shared" si="92"/>
        <v/>
      </c>
      <c r="Q81" s="160" t="str">
        <f t="shared" si="92"/>
        <v/>
      </c>
      <c r="R81" s="160" t="str">
        <f t="shared" si="92"/>
        <v/>
      </c>
      <c r="S81" s="160" t="str">
        <f t="shared" si="92"/>
        <v/>
      </c>
      <c r="T81" s="160" t="str">
        <f t="shared" si="92"/>
        <v/>
      </c>
      <c r="U81" s="160" t="str">
        <f t="shared" si="92"/>
        <v/>
      </c>
      <c r="V81" s="159" t="str">
        <f t="shared" si="92"/>
        <v/>
      </c>
      <c r="W81" s="159" t="str">
        <f t="shared" si="92"/>
        <v/>
      </c>
      <c r="X81" s="159" t="str">
        <f t="shared" si="92"/>
        <v/>
      </c>
      <c r="Y81" s="159" t="str">
        <f t="shared" si="92"/>
        <v/>
      </c>
      <c r="Z81" s="159" t="str">
        <f t="shared" si="92"/>
        <v/>
      </c>
      <c r="AA81" s="159" t="str">
        <f t="shared" si="92"/>
        <v/>
      </c>
      <c r="AB81" s="159" t="str">
        <f t="shared" si="92"/>
        <v/>
      </c>
      <c r="AC81" s="159" t="str">
        <f t="shared" si="92"/>
        <v/>
      </c>
      <c r="AD81" s="159" t="str">
        <f t="shared" si="92"/>
        <v/>
      </c>
      <c r="AE81" s="159" t="str">
        <f t="shared" si="92"/>
        <v/>
      </c>
      <c r="AF81" s="159" t="str">
        <f t="shared" si="92"/>
        <v/>
      </c>
      <c r="AG81" s="159" t="str">
        <f t="shared" si="92"/>
        <v/>
      </c>
      <c r="AH81" s="159" t="str">
        <f t="shared" si="92"/>
        <v/>
      </c>
      <c r="AI81" s="159" t="str">
        <f t="shared" si="92"/>
        <v/>
      </c>
      <c r="AJ81" s="161" t="str">
        <f t="shared" si="92"/>
        <v/>
      </c>
      <c r="AK81" s="162" t="str">
        <f t="shared" si="92"/>
        <v/>
      </c>
      <c r="AL81" s="163" t="str">
        <f t="shared" si="92"/>
        <v/>
      </c>
      <c r="AM81" s="163" t="str">
        <f t="shared" si="92"/>
        <v/>
      </c>
      <c r="AN81" s="163" t="str">
        <f t="shared" si="92"/>
        <v/>
      </c>
      <c r="AO81" s="163" t="str">
        <f t="shared" si="92"/>
        <v/>
      </c>
      <c r="AP81" s="163" t="str">
        <f t="shared" si="92"/>
        <v/>
      </c>
      <c r="AQ81" s="164" t="str">
        <f t="shared" si="92"/>
        <v/>
      </c>
      <c r="AR81" s="161" t="str">
        <f t="shared" si="92"/>
        <v/>
      </c>
    </row>
    <row r="82" spans="1:44" x14ac:dyDescent="0.25">
      <c r="A82" s="178" t="str">
        <f t="shared" ref="A82" si="93">+IF(C82+C83=0,"[ocultar]","")</f>
        <v>[ocultar]</v>
      </c>
      <c r="B82" s="166" t="s">
        <v>394</v>
      </c>
      <c r="C82" s="167">
        <f t="array" ref="C82">SUM(IF($B82=DATOS_[Sexo],
IF($B81=DATOS_[AGRUP. VALOR. PTO.],
IF("Dentro"=DATOS_[Check Periodo Ref.],
1/(COUNTIFS(DATOS_[Sexo],$B82,DATOS_[AGRUP. VALOR. PTO.],$B81,DATOS_[Check Periodo Ref.],"Dentro",DATOS_[id/cod],DATOS_[id/cod]))))))</f>
        <v>0</v>
      </c>
      <c r="D82" s="168">
        <f>COUNTIFS(DATOS_[AGRUP. VALOR. PTO.],$B81,DATOS_[Sexo],$B82,DATOS_[Check Periodo Ref.],"Dentro")</f>
        <v>0</v>
      </c>
      <c r="E82" s="169">
        <f t="array" ref="E82">IFERROR(
MEDIAN(IF(DATOS_[Sexo]=$B82,IF(DATOS_[AGRUP. VALOR. PTO.]=$B81,IF(DATOS_[Check Periodo Ref.]="Dentro",DATOS_[SALARIO BASE Ef],FALSE)))),
0)</f>
        <v>0</v>
      </c>
      <c r="F82" s="170">
        <f t="array" ref="F82">IFERROR(
MEDIAN((IF(DATOS_[[Sexo]:[Sexo]]=$B82,IF(DATOS_[[AGRUP. VALOR. PTO.]:[AGRUP. VALOR. PTO.]]=$B81,IF(DATOS_[[Check Periodo Ref.]:[Check Periodo Ref.]]="Dentro",DATOS_[Conc.Sal.01]))))),
0)</f>
        <v>0</v>
      </c>
      <c r="G82" s="170">
        <f t="array" ref="G82">IFERROR(
MEDIAN((IF(DATOS_[[Sexo]:[Sexo]]=$B82,IF(DATOS_[[AGRUP. VALOR. PTO.]:[AGRUP. VALOR. PTO.]]=$B81,IF(DATOS_[[Check Periodo Ref.]:[Check Periodo Ref.]]="Dentro",DATOS_[Conc.Sal.02]))))),
0)</f>
        <v>0</v>
      </c>
      <c r="H82" s="170">
        <f t="array" ref="H82">IFERROR(
MEDIAN((IF(DATOS_[[Sexo]:[Sexo]]=$B82,IF(DATOS_[[AGRUP. VALOR. PTO.]:[AGRUP. VALOR. PTO.]]=$B81,IF(DATOS_[[Check Periodo Ref.]:[Check Periodo Ref.]]="Dentro",DATOS_[Conc.Sal.03]))))),
0)</f>
        <v>0</v>
      </c>
      <c r="I82" s="170">
        <f t="array" ref="I82">IFERROR(
MEDIAN((IF(DATOS_[[Sexo]:[Sexo]]=$B82,IF(DATOS_[[AGRUP. VALOR. PTO.]:[AGRUP. VALOR. PTO.]]=$B81,IF(DATOS_[[Check Periodo Ref.]:[Check Periodo Ref.]]="Dentro",DATOS_[Conc.Sal.04]))))),
0)</f>
        <v>0</v>
      </c>
      <c r="J82" s="170">
        <f t="array" ref="J82">IFERROR(
MEDIAN((IF(DATOS_[[Sexo]:[Sexo]]=$B82,IF(DATOS_[[AGRUP. VALOR. PTO.]:[AGRUP. VALOR. PTO.]]=$B81,IF(DATOS_[[Check Periodo Ref.]:[Check Periodo Ref.]]="Dentro",DATOS_[Conc.Sal.05]))))),
0)</f>
        <v>0</v>
      </c>
      <c r="K82" s="170">
        <f t="array" ref="K82">IFERROR(
MEDIAN((IF(DATOS_[[Sexo]:[Sexo]]=$B82,IF(DATOS_[[AGRUP. VALOR. PTO.]:[AGRUP. VALOR. PTO.]]=$B81,IF(DATOS_[[Check Periodo Ref.]:[Check Periodo Ref.]]="Dentro",DATOS_[Conc.Sal.06]))))),
0)</f>
        <v>0</v>
      </c>
      <c r="L82" s="170">
        <f t="array" ref="L82">IFERROR(
MEDIAN((IF(DATOS_[[Sexo]:[Sexo]]=$B82,IF(DATOS_[[AGRUP. VALOR. PTO.]:[AGRUP. VALOR. PTO.]]=$B81,IF(DATOS_[[Check Periodo Ref.]:[Check Periodo Ref.]]="Dentro",DATOS_[Conc.Sal.07]))))),
0)</f>
        <v>0</v>
      </c>
      <c r="M82" s="170">
        <f t="array" ref="M82">IFERROR(
MEDIAN((IF(DATOS_[[Sexo]:[Sexo]]=$B82,IF(DATOS_[[AGRUP. VALOR. PTO.]:[AGRUP. VALOR. PTO.]]=$B81,IF(DATOS_[[Check Periodo Ref.]:[Check Periodo Ref.]]="Dentro",DATOS_[Conc.Sal.08]))))),
0)</f>
        <v>0</v>
      </c>
      <c r="N82" s="170">
        <f t="array" ref="N82">IFERROR(
MEDIAN((IF(DATOS_[[Sexo]:[Sexo]]=$B82,IF(DATOS_[[AGRUP. VALOR. PTO.]:[AGRUP. VALOR. PTO.]]=$B81,IF(DATOS_[[Check Periodo Ref.]:[Check Periodo Ref.]]="Dentro",DATOS_[Conc.Sal.09]))))),
0)</f>
        <v>0</v>
      </c>
      <c r="O82" s="170">
        <f t="array" ref="O82">IFERROR(
MEDIAN((IF(DATOS_[[Sexo]:[Sexo]]=$B82,IF(DATOS_[[AGRUP. VALOR. PTO.]:[AGRUP. VALOR. PTO.]]=$B81,IF(DATOS_[[Check Periodo Ref.]:[Check Periodo Ref.]]="Dentro",DATOS_[Conc.Sal.10]))))),
0)</f>
        <v>0</v>
      </c>
      <c r="P82" s="170">
        <f t="array" ref="P82">IFERROR(
MEDIAN((IF(DATOS_[[Sexo]:[Sexo]]=$B82,IF(DATOS_[[AGRUP. VALOR. PTO.]:[AGRUP. VALOR. PTO.]]=$B81,IF(DATOS_[[Check Periodo Ref.]:[Check Periodo Ref.]]="Dentro",DATOS_[Conc.Sal.11]))))),
0)</f>
        <v>0</v>
      </c>
      <c r="Q82" s="170">
        <f t="array" ref="Q82">IFERROR(
MEDIAN((IF(DATOS_[[Sexo]:[Sexo]]=$B82,IF(DATOS_[[AGRUP. VALOR. PTO.]:[AGRUP. VALOR. PTO.]]=$B81,IF(DATOS_[[Check Periodo Ref.]:[Check Periodo Ref.]]="Dentro",DATOS_[Conc.Sal.12]))))),
0)</f>
        <v>0</v>
      </c>
      <c r="R82" s="170">
        <f t="array" ref="R82">IFERROR(
MEDIAN((IF(DATOS_[[Sexo]:[Sexo]]=$B82,IF(DATOS_[[AGRUP. VALOR. PTO.]:[AGRUP. VALOR. PTO.]]=$B81,IF(DATOS_[[Check Periodo Ref.]:[Check Periodo Ref.]]="Dentro",DATOS_[Conc.Sal.13]))))),
0)</f>
        <v>0</v>
      </c>
      <c r="S82" s="170">
        <f t="array" ref="S82">IFERROR(
MEDIAN((IF(DATOS_[[Sexo]:[Sexo]]=$B82,IF(DATOS_[[AGRUP. VALOR. PTO.]:[AGRUP. VALOR. PTO.]]=$B81,IF(DATOS_[[Check Periodo Ref.]:[Check Periodo Ref.]]="Dentro",DATOS_[Conc.Sal.14]))))),
0)</f>
        <v>0</v>
      </c>
      <c r="T82" s="170">
        <f t="array" ref="T82">IFERROR(
MEDIAN((IF(DATOS_[[Sexo]:[Sexo]]=$B82,IF(DATOS_[[AGRUP. VALOR. PTO.]:[AGRUP. VALOR. PTO.]]=$B81,IF(DATOS_[[Check Periodo Ref.]:[Check Periodo Ref.]]="Dentro",DATOS_[Conc.Sal.15]))))),
0)</f>
        <v>0</v>
      </c>
      <c r="U82" s="170">
        <f t="array" ref="U82">IFERROR(
MEDIAN((IF(DATOS_[[Sexo]:[Sexo]]=$B82,IF(DATOS_[[AGRUP. VALOR. PTO.]:[AGRUP. VALOR. PTO.]]=$B81,IF(DATOS_[[Check Periodo Ref.]:[Check Periodo Ref.]]="Dentro",DATOS_[Conc.Sal.16]))))),
0)</f>
        <v>0</v>
      </c>
      <c r="V82" s="170">
        <f t="array" ref="V82">IFERROR(
MEDIAN((IF(DATOS_[[Sexo]:[Sexo]]=$B82,IF(DATOS_[[AGRUP. VALOR. PTO.]:[AGRUP. VALOR. PTO.]]=$B81,IF(DATOS_[[Check Periodo Ref.]:[Check Periodo Ref.]]="Dentro",DATOS_[Conc.Sal.17]))))),
0)</f>
        <v>0</v>
      </c>
      <c r="W82" s="170">
        <f t="array" ref="W82">IFERROR(
MEDIAN((IF(DATOS_[[Sexo]:[Sexo]]=$B82,IF(DATOS_[[AGRUP. VALOR. PTO.]:[AGRUP. VALOR. PTO.]]=$B81,IF(DATOS_[[Check Periodo Ref.]:[Check Periodo Ref.]]="Dentro",DATOS_[Conc.Sal.18]))))),
0)</f>
        <v>0</v>
      </c>
      <c r="X82" s="170">
        <f t="array" ref="X82">IFERROR(
MEDIAN((IF(DATOS_[[Sexo]:[Sexo]]=$B82,IF(DATOS_[[AGRUP. VALOR. PTO.]:[AGRUP. VALOR. PTO.]]=$B81,IF(DATOS_[[Check Periodo Ref.]:[Check Periodo Ref.]]="Dentro",DATOS_[Conc.Sal.19]))))),
0)</f>
        <v>0</v>
      </c>
      <c r="Y82" s="170">
        <f t="array" ref="Y82">IFERROR(
MEDIAN((IF(DATOS_[[Sexo]:[Sexo]]=$B82,IF(DATOS_[[AGRUP. VALOR. PTO.]:[AGRUP. VALOR. PTO.]]=$B81,IF(DATOS_[[Check Periodo Ref.]:[Check Periodo Ref.]]="Dentro",DATOS_[Conc.Sal.20]))))),
0)</f>
        <v>0</v>
      </c>
      <c r="Z82" s="170">
        <f t="array" ref="Z82">IFERROR(
MEDIAN((IF(DATOS_[[Sexo]:[Sexo]]=$B82,IF(DATOS_[[AGRUP. VALOR. PTO.]:[AGRUP. VALOR. PTO.]]=$B81,IF(DATOS_[[Check Periodo Ref.]:[Check Periodo Ref.]]="Dentro",DATOS_[Conc.Sal.21]))))),
0)</f>
        <v>0</v>
      </c>
      <c r="AA82" s="170">
        <f t="array" ref="AA82">IFERROR(
MEDIAN((IF(DATOS_[[Sexo]:[Sexo]]=$B82,IF(DATOS_[[AGRUP. VALOR. PTO.]:[AGRUP. VALOR. PTO.]]=$B81,IF(DATOS_[[Check Periodo Ref.]:[Check Periodo Ref.]]="Dentro",DATOS_[Conc.Sal.22]))))),
0)</f>
        <v>0</v>
      </c>
      <c r="AB82" s="170">
        <f t="array" ref="AB82">IFERROR(
MEDIAN((IF(DATOS_[[Sexo]:[Sexo]]=$B82,IF(DATOS_[[AGRUP. VALOR. PTO.]:[AGRUP. VALOR. PTO.]]=$B81,IF(DATOS_[[Check Periodo Ref.]:[Check Periodo Ref.]]="Dentro",DATOS_[Conc.Sal.23]))))),
0)</f>
        <v>0</v>
      </c>
      <c r="AC82" s="170">
        <f t="array" ref="AC82">IFERROR(
MEDIAN((IF(DATOS_[[Sexo]:[Sexo]]=$B82,IF(DATOS_[[AGRUP. VALOR. PTO.]:[AGRUP. VALOR. PTO.]]=$B81,IF(DATOS_[[Check Periodo Ref.]:[Check Periodo Ref.]]="Dentro",DATOS_[Conc.Sal.24]))))),
0)</f>
        <v>0</v>
      </c>
      <c r="AD82" s="170">
        <f t="array" ref="AD82">IFERROR(
MEDIAN((IF(DATOS_[[Sexo]:[Sexo]]=$B82,IF(DATOS_[[AGRUP. VALOR. PTO.]:[AGRUP. VALOR. PTO.]]=$B81,IF(DATOS_[[Check Periodo Ref.]:[Check Periodo Ref.]]="Dentro",DATOS_[Conc.Sal.25]))))),
0)</f>
        <v>0</v>
      </c>
      <c r="AE82" s="170">
        <f t="array" ref="AE82">IFERROR(
MEDIAN((IF(DATOS_[[Sexo]:[Sexo]]=$B82,IF(DATOS_[[AGRUP. VALOR. PTO.]:[AGRUP. VALOR. PTO.]]=$B81,IF(DATOS_[[Check Periodo Ref.]:[Check Periodo Ref.]]="Dentro",DATOS_[Conc.Sal.26]))))),
0)</f>
        <v>0</v>
      </c>
      <c r="AF82" s="170">
        <f t="array" ref="AF82">IFERROR(
MEDIAN((IF(DATOS_[[Sexo]:[Sexo]]=$B82,IF(DATOS_[[AGRUP. VALOR. PTO.]:[AGRUP. VALOR. PTO.]]=$B81,IF(DATOS_[[Check Periodo Ref.]:[Check Periodo Ref.]]="Dentro",DATOS_[Conc.Sal.27]))))),
0)</f>
        <v>0</v>
      </c>
      <c r="AG82" s="170">
        <f t="array" ref="AG82">IFERROR(
MEDIAN((IF(DATOS_[[Sexo]:[Sexo]]=$B82,IF(DATOS_[[AGRUP. VALOR. PTO.]:[AGRUP. VALOR. PTO.]]=$B81,IF(DATOS_[[Check Periodo Ref.]:[Check Periodo Ref.]]="Dentro",DATOS_[Conc.Sal.28]))))),
0)</f>
        <v>0</v>
      </c>
      <c r="AH82" s="170">
        <f t="array" ref="AH82">IFERROR(
MEDIAN((IF(DATOS_[[Sexo]:[Sexo]]=$B82,IF(DATOS_[[AGRUP. VALOR. PTO.]:[AGRUP. VALOR. PTO.]]=$B81,IF(DATOS_[[Check Periodo Ref.]:[Check Periodo Ref.]]="Dentro",DATOS_[Conc.Sal.29]))))),
0)</f>
        <v>0</v>
      </c>
      <c r="AI82" s="170">
        <f t="array" ref="AI82">IFERROR(
MEDIAN((IF(DATOS_[[Sexo]:[Sexo]]=$B82,IF(DATOS_[[AGRUP. VALOR. PTO.]:[AGRUP. VALOR. PTO.]]=$B81,IF(DATOS_[[Check Periodo Ref.]:[Check Periodo Ref.]]="Dentro",DATOS_[Conc.Sal.30]))))),
0)</f>
        <v>0</v>
      </c>
      <c r="AJ82" s="171">
        <f t="array" ref="AJ82">IFERROR(
MEDIAN(IF(DATOS_[Sexo]=$B82,IF(DATOS_[AGRUP. VALOR. PTO.]=$B81,IF(DATOS_[Check Periodo Ref.]="Dentro",DATOS_[Tot COMPL.SAL Ef],FALSE)))),
0)</f>
        <v>0</v>
      </c>
      <c r="AK82" s="172">
        <f t="array" ref="AK82">IFERROR(
MEDIAN(IF(DATOS_[Sexo]=$B82,IF(DATOS_[AGRUP. VALOR. PTO.]=$B81,IF(DATOS_[Check Periodo Ref.]="Dentro",DATOS_[TOTAL SALARIO Ef],FALSE)))),
0)</f>
        <v>0</v>
      </c>
      <c r="AL82" s="173">
        <f t="array" ref="AL82">IFERROR(
MEDIAN((IF(DATOS_[[Sexo]:[Sexo]]=$B82,IF(DATOS_[[AGRUP. VALOR. PTO.]:[AGRUP. VALOR. PTO.]]=$B81,IF(DATOS_[[Check Periodo Ref.]:[Check Periodo Ref.]]="Dentro",DATOS_[C.Extra.01]))))),
0)</f>
        <v>0</v>
      </c>
      <c r="AM82" s="173">
        <f t="array" ref="AM82">IFERROR(
MEDIAN((IF(DATOS_[[Sexo]:[Sexo]]=$B82,IF(DATOS_[[AGRUP. VALOR. PTO.]:[AGRUP. VALOR. PTO.]]=$B81,IF(DATOS_[[Check Periodo Ref.]:[Check Periodo Ref.]]="Dentro",DATOS_[C.Extra.06]))))),
0)</f>
        <v>0</v>
      </c>
      <c r="AN82" s="173">
        <f t="array" ref="AN82">IFERROR(
MEDIAN((IF(DATOS_[[Sexo]:[Sexo]]=$B82,IF(DATOS_[[AGRUP. VALOR. PTO.]:[AGRUP. VALOR. PTO.]]=$B81,IF(DATOS_[[Check Periodo Ref.]:[Check Periodo Ref.]]="Dentro",DATOS_[C.Extra.07]))))),
0)</f>
        <v>0</v>
      </c>
      <c r="AO82" s="173">
        <f t="array" ref="AO82">IFERROR(
MEDIAN((IF(DATOS_[[Sexo]:[Sexo]]=$B82,IF(DATOS_[[AGRUP. VALOR. PTO.]:[AGRUP. VALOR. PTO.]]=$B81,IF(DATOS_[[Check Periodo Ref.]:[Check Periodo Ref.]]="Dentro",DATOS_[C.Extra.08]))))),
0)</f>
        <v>0</v>
      </c>
      <c r="AP82" s="173">
        <f t="array" ref="AP82">IFERROR(
MEDIAN((IF(DATOS_[[Sexo]:[Sexo]]=$B82,IF(DATOS_[[AGRUP. VALOR. PTO.]:[AGRUP. VALOR. PTO.]]=$B81,IF(DATOS_[[Check Periodo Ref.]:[Check Periodo Ref.]]="Dentro",DATOS_[C.Extra.11]))))),
0)</f>
        <v>0</v>
      </c>
      <c r="AQ82" s="174">
        <f t="array" ref="AQ82">IFERROR(
MEDIAN(IF(DATOS_[Sexo]=$B82,IF(DATOS_[AGRUP. VALOR. PTO.]=$B81,IF(DATOS_[Check Periodo Ref.]="Dentro",DATOS_[Tot Extrasalarial Ef],FALSE)))),
0)</f>
        <v>0</v>
      </c>
      <c r="AR82" s="171">
        <f t="array" ref="AR82">IFERROR(
MEDIAN(IF(DATOS_[Sexo]=$B82,IF(DATOS_[AGRUP. VALOR. PTO.]=$B81,IF(DATOS_[Check Periodo Ref.]="Dentro",DATOS_[TOTAL Retrib Ef],FALSE)))),
0)</f>
        <v>0</v>
      </c>
    </row>
    <row r="83" spans="1:44" x14ac:dyDescent="0.25">
      <c r="A83" s="178" t="str">
        <f t="shared" ref="A83" si="94">+A82</f>
        <v>[ocultar]</v>
      </c>
      <c r="B83" s="166" t="s">
        <v>521</v>
      </c>
      <c r="C83" s="167">
        <f t="array" ref="C83">SUM(IF($B83=DATOS_[Sexo],
IF($B81=DATOS_[AGRUP. VALOR. PTO.],
IF("Dentro"=DATOS_[Check Periodo Ref.],
1/(COUNTIFS(DATOS_[Sexo],$B83,DATOS_[AGRUP. VALOR. PTO.],$B81,DATOS_[Check Periodo Ref.],"Dentro",DATOS_[id/cod],DATOS_[id/cod]))))))</f>
        <v>0</v>
      </c>
      <c r="D83" s="168">
        <f>COUNTIFS(DATOS_[AGRUP. VALOR. PTO.],$B81,DATOS_[Sexo],$B83,DATOS_[Check Periodo Ref.],"Dentro")</f>
        <v>0</v>
      </c>
      <c r="E83" s="169">
        <f t="array" ref="E83">IFERROR(
MEDIAN(IF(DATOS_[Sexo]=$B83,IF(DATOS_[AGRUP. VALOR. PTO.]=$B81,IF(DATOS_[Check Periodo Ref.]="Dentro",DATOS_[SALARIO BASE Ef],FALSE)))),
0)</f>
        <v>0</v>
      </c>
      <c r="F83" s="170">
        <f t="array" ref="F83">IFERROR(
MEDIAN((IF(DATOS_[[Sexo]:[Sexo]]=$B83,IF(DATOS_[[AGRUP. VALOR. PTO.]:[AGRUP. VALOR. PTO.]]=$B81,IF(DATOS_[[Check Periodo Ref.]:[Check Periodo Ref.]]="Dentro",DATOS_[Conc.Sal.01]))))),
0)</f>
        <v>0</v>
      </c>
      <c r="G83" s="170">
        <f t="array" ref="G83">IFERROR(
MEDIAN((IF(DATOS_[[Sexo]:[Sexo]]=$B83,IF(DATOS_[[AGRUP. VALOR. PTO.]:[AGRUP. VALOR. PTO.]]=$B81,IF(DATOS_[[Check Periodo Ref.]:[Check Periodo Ref.]]="Dentro",DATOS_[Conc.Sal.02]))))),
0)</f>
        <v>0</v>
      </c>
      <c r="H83" s="170">
        <f t="array" ref="H83">IFERROR(
MEDIAN((IF(DATOS_[[Sexo]:[Sexo]]=$B83,IF(DATOS_[[AGRUP. VALOR. PTO.]:[AGRUP. VALOR. PTO.]]=$B81,IF(DATOS_[[Check Periodo Ref.]:[Check Periodo Ref.]]="Dentro",DATOS_[Conc.Sal.03]))))),
0)</f>
        <v>0</v>
      </c>
      <c r="I83" s="170">
        <f t="array" ref="I83">IFERROR(
MEDIAN((IF(DATOS_[[Sexo]:[Sexo]]=$B83,IF(DATOS_[[AGRUP. VALOR. PTO.]:[AGRUP. VALOR. PTO.]]=$B81,IF(DATOS_[[Check Periodo Ref.]:[Check Periodo Ref.]]="Dentro",DATOS_[Conc.Sal.04]))))),
0)</f>
        <v>0</v>
      </c>
      <c r="J83" s="170">
        <f t="array" ref="J83">IFERROR(
MEDIAN((IF(DATOS_[[Sexo]:[Sexo]]=$B83,IF(DATOS_[[AGRUP. VALOR. PTO.]:[AGRUP. VALOR. PTO.]]=$B81,IF(DATOS_[[Check Periodo Ref.]:[Check Periodo Ref.]]="Dentro",DATOS_[Conc.Sal.05]))))),
0)</f>
        <v>0</v>
      </c>
      <c r="K83" s="170">
        <f t="array" ref="K83">IFERROR(
MEDIAN((IF(DATOS_[[Sexo]:[Sexo]]=$B83,IF(DATOS_[[AGRUP. VALOR. PTO.]:[AGRUP. VALOR. PTO.]]=$B81,IF(DATOS_[[Check Periodo Ref.]:[Check Periodo Ref.]]="Dentro",DATOS_[Conc.Sal.06]))))),
0)</f>
        <v>0</v>
      </c>
      <c r="L83" s="170">
        <f t="array" ref="L83">IFERROR(
MEDIAN((IF(DATOS_[[Sexo]:[Sexo]]=$B83,IF(DATOS_[[AGRUP. VALOR. PTO.]:[AGRUP. VALOR. PTO.]]=$B81,IF(DATOS_[[Check Periodo Ref.]:[Check Periodo Ref.]]="Dentro",DATOS_[Conc.Sal.07]))))),
0)</f>
        <v>0</v>
      </c>
      <c r="M83" s="170">
        <f t="array" ref="M83">IFERROR(
MEDIAN((IF(DATOS_[[Sexo]:[Sexo]]=$B83,IF(DATOS_[[AGRUP. VALOR. PTO.]:[AGRUP. VALOR. PTO.]]=$B81,IF(DATOS_[[Check Periodo Ref.]:[Check Periodo Ref.]]="Dentro",DATOS_[Conc.Sal.08]))))),
0)</f>
        <v>0</v>
      </c>
      <c r="N83" s="170">
        <f t="array" ref="N83">IFERROR(
MEDIAN((IF(DATOS_[[Sexo]:[Sexo]]=$B83,IF(DATOS_[[AGRUP. VALOR. PTO.]:[AGRUP. VALOR. PTO.]]=$B81,IF(DATOS_[[Check Periodo Ref.]:[Check Periodo Ref.]]="Dentro",DATOS_[Conc.Sal.09]))))),
0)</f>
        <v>0</v>
      </c>
      <c r="O83" s="170">
        <f t="array" ref="O83">IFERROR(
MEDIAN((IF(DATOS_[[Sexo]:[Sexo]]=$B83,IF(DATOS_[[AGRUP. VALOR. PTO.]:[AGRUP. VALOR. PTO.]]=$B81,IF(DATOS_[[Check Periodo Ref.]:[Check Periodo Ref.]]="Dentro",DATOS_[Conc.Sal.10]))))),
0)</f>
        <v>0</v>
      </c>
      <c r="P83" s="170">
        <f t="array" ref="P83">IFERROR(
MEDIAN((IF(DATOS_[[Sexo]:[Sexo]]=$B83,IF(DATOS_[[AGRUP. VALOR. PTO.]:[AGRUP. VALOR. PTO.]]=$B81,IF(DATOS_[[Check Periodo Ref.]:[Check Periodo Ref.]]="Dentro",DATOS_[Conc.Sal.11]))))),
0)</f>
        <v>0</v>
      </c>
      <c r="Q83" s="170">
        <f t="array" ref="Q83">IFERROR(
MEDIAN((IF(DATOS_[[Sexo]:[Sexo]]=$B83,IF(DATOS_[[AGRUP. VALOR. PTO.]:[AGRUP. VALOR. PTO.]]=$B81,IF(DATOS_[[Check Periodo Ref.]:[Check Periodo Ref.]]="Dentro",DATOS_[Conc.Sal.12]))))),
0)</f>
        <v>0</v>
      </c>
      <c r="R83" s="170">
        <f t="array" ref="R83">IFERROR(
MEDIAN((IF(DATOS_[[Sexo]:[Sexo]]=$B83,IF(DATOS_[[AGRUP. VALOR. PTO.]:[AGRUP. VALOR. PTO.]]=$B81,IF(DATOS_[[Check Periodo Ref.]:[Check Periodo Ref.]]="Dentro",DATOS_[Conc.Sal.13]))))),
0)</f>
        <v>0</v>
      </c>
      <c r="S83" s="170">
        <f t="array" ref="S83">IFERROR(
MEDIAN((IF(DATOS_[[Sexo]:[Sexo]]=$B83,IF(DATOS_[[AGRUP. VALOR. PTO.]:[AGRUP. VALOR. PTO.]]=$B81,IF(DATOS_[[Check Periodo Ref.]:[Check Periodo Ref.]]="Dentro",DATOS_[Conc.Sal.14]))))),
0)</f>
        <v>0</v>
      </c>
      <c r="T83" s="170">
        <f t="array" ref="T83">IFERROR(
MEDIAN((IF(DATOS_[[Sexo]:[Sexo]]=$B83,IF(DATOS_[[AGRUP. VALOR. PTO.]:[AGRUP. VALOR. PTO.]]=$B81,IF(DATOS_[[Check Periodo Ref.]:[Check Periodo Ref.]]="Dentro",DATOS_[Conc.Sal.15]))))),
0)</f>
        <v>0</v>
      </c>
      <c r="U83" s="170">
        <f t="array" ref="U83">IFERROR(
MEDIAN((IF(DATOS_[[Sexo]:[Sexo]]=$B83,IF(DATOS_[[AGRUP. VALOR. PTO.]:[AGRUP. VALOR. PTO.]]=$B81,IF(DATOS_[[Check Periodo Ref.]:[Check Periodo Ref.]]="Dentro",DATOS_[Conc.Sal.16]))))),
0)</f>
        <v>0</v>
      </c>
      <c r="V83" s="170">
        <f t="array" ref="V83">IFERROR(
MEDIAN((IF(DATOS_[[Sexo]:[Sexo]]=$B83,IF(DATOS_[[AGRUP. VALOR. PTO.]:[AGRUP. VALOR. PTO.]]=$B81,IF(DATOS_[[Check Periodo Ref.]:[Check Periodo Ref.]]="Dentro",DATOS_[Conc.Sal.17]))))),
0)</f>
        <v>0</v>
      </c>
      <c r="W83" s="170">
        <f t="array" ref="W83">IFERROR(
MEDIAN((IF(DATOS_[[Sexo]:[Sexo]]=$B83,IF(DATOS_[[AGRUP. VALOR. PTO.]:[AGRUP. VALOR. PTO.]]=$B81,IF(DATOS_[[Check Periodo Ref.]:[Check Periodo Ref.]]="Dentro",DATOS_[Conc.Sal.18]))))),
0)</f>
        <v>0</v>
      </c>
      <c r="X83" s="170">
        <f t="array" ref="X83">IFERROR(
MEDIAN((IF(DATOS_[[Sexo]:[Sexo]]=$B83,IF(DATOS_[[AGRUP. VALOR. PTO.]:[AGRUP. VALOR. PTO.]]=$B81,IF(DATOS_[[Check Periodo Ref.]:[Check Periodo Ref.]]="Dentro",DATOS_[Conc.Sal.19]))))),
0)</f>
        <v>0</v>
      </c>
      <c r="Y83" s="170">
        <f t="array" ref="Y83">IFERROR(
MEDIAN((IF(DATOS_[[Sexo]:[Sexo]]=$B83,IF(DATOS_[[AGRUP. VALOR. PTO.]:[AGRUP. VALOR. PTO.]]=$B81,IF(DATOS_[[Check Periodo Ref.]:[Check Periodo Ref.]]="Dentro",DATOS_[Conc.Sal.20]))))),
0)</f>
        <v>0</v>
      </c>
      <c r="Z83" s="170">
        <f t="array" ref="Z83">IFERROR(
MEDIAN((IF(DATOS_[[Sexo]:[Sexo]]=$B83,IF(DATOS_[[AGRUP. VALOR. PTO.]:[AGRUP. VALOR. PTO.]]=$B81,IF(DATOS_[[Check Periodo Ref.]:[Check Periodo Ref.]]="Dentro",DATOS_[Conc.Sal.21]))))),
0)</f>
        <v>0</v>
      </c>
      <c r="AA83" s="170">
        <f t="array" ref="AA83">IFERROR(
MEDIAN((IF(DATOS_[[Sexo]:[Sexo]]=$B83,IF(DATOS_[[AGRUP. VALOR. PTO.]:[AGRUP. VALOR. PTO.]]=$B81,IF(DATOS_[[Check Periodo Ref.]:[Check Periodo Ref.]]="Dentro",DATOS_[Conc.Sal.22]))))),
0)</f>
        <v>0</v>
      </c>
      <c r="AB83" s="170">
        <f t="array" ref="AB83">IFERROR(
MEDIAN((IF(DATOS_[[Sexo]:[Sexo]]=$B83,IF(DATOS_[[AGRUP. VALOR. PTO.]:[AGRUP. VALOR. PTO.]]=$B81,IF(DATOS_[[Check Periodo Ref.]:[Check Periodo Ref.]]="Dentro",DATOS_[Conc.Sal.23]))))),
0)</f>
        <v>0</v>
      </c>
      <c r="AC83" s="170">
        <f t="array" ref="AC83">IFERROR(
MEDIAN((IF(DATOS_[[Sexo]:[Sexo]]=$B83,IF(DATOS_[[AGRUP. VALOR. PTO.]:[AGRUP. VALOR. PTO.]]=$B81,IF(DATOS_[[Check Periodo Ref.]:[Check Periodo Ref.]]="Dentro",DATOS_[Conc.Sal.24]))))),
0)</f>
        <v>0</v>
      </c>
      <c r="AD83" s="170">
        <f t="array" ref="AD83">IFERROR(
MEDIAN((IF(DATOS_[[Sexo]:[Sexo]]=$B83,IF(DATOS_[[AGRUP. VALOR. PTO.]:[AGRUP. VALOR. PTO.]]=$B81,IF(DATOS_[[Check Periodo Ref.]:[Check Periodo Ref.]]="Dentro",DATOS_[Conc.Sal.25]))))),
0)</f>
        <v>0</v>
      </c>
      <c r="AE83" s="170">
        <f t="array" ref="AE83">IFERROR(
MEDIAN((IF(DATOS_[[Sexo]:[Sexo]]=$B83,IF(DATOS_[[AGRUP. VALOR. PTO.]:[AGRUP. VALOR. PTO.]]=$B81,IF(DATOS_[[Check Periodo Ref.]:[Check Periodo Ref.]]="Dentro",DATOS_[Conc.Sal.26]))))),
0)</f>
        <v>0</v>
      </c>
      <c r="AF83" s="170">
        <f t="array" ref="AF83">IFERROR(
MEDIAN((IF(DATOS_[[Sexo]:[Sexo]]=$B83,IF(DATOS_[[AGRUP. VALOR. PTO.]:[AGRUP. VALOR. PTO.]]=$B81,IF(DATOS_[[Check Periodo Ref.]:[Check Periodo Ref.]]="Dentro",DATOS_[Conc.Sal.27]))))),
0)</f>
        <v>0</v>
      </c>
      <c r="AG83" s="170">
        <f t="array" ref="AG83">IFERROR(
MEDIAN((IF(DATOS_[[Sexo]:[Sexo]]=$B83,IF(DATOS_[[AGRUP. VALOR. PTO.]:[AGRUP. VALOR. PTO.]]=$B81,IF(DATOS_[[Check Periodo Ref.]:[Check Periodo Ref.]]="Dentro",DATOS_[Conc.Sal.28]))))),
0)</f>
        <v>0</v>
      </c>
      <c r="AH83" s="170">
        <f t="array" ref="AH83">IFERROR(
MEDIAN((IF(DATOS_[[Sexo]:[Sexo]]=$B83,IF(DATOS_[[AGRUP. VALOR. PTO.]:[AGRUP. VALOR. PTO.]]=$B81,IF(DATOS_[[Check Periodo Ref.]:[Check Periodo Ref.]]="Dentro",DATOS_[Conc.Sal.29]))))),
0)</f>
        <v>0</v>
      </c>
      <c r="AI83" s="170">
        <f t="array" ref="AI83">IFERROR(
MEDIAN((IF(DATOS_[[Sexo]:[Sexo]]=$B83,IF(DATOS_[[AGRUP. VALOR. PTO.]:[AGRUP. VALOR. PTO.]]=$B81,IF(DATOS_[[Check Periodo Ref.]:[Check Periodo Ref.]]="Dentro",DATOS_[Conc.Sal.30]))))),
0)</f>
        <v>0</v>
      </c>
      <c r="AJ83" s="171">
        <f t="array" ref="AJ83">IFERROR(
MEDIAN(IF(DATOS_[Sexo]=$B83,IF(DATOS_[AGRUP. VALOR. PTO.]=$B81,IF(DATOS_[Check Periodo Ref.]="Dentro",DATOS_[Tot COMPL.SAL Ef],FALSE)))),
0)</f>
        <v>0</v>
      </c>
      <c r="AK83" s="172">
        <f t="array" ref="AK83">IFERROR(
MEDIAN(IF(DATOS_[Sexo]=$B83,IF(DATOS_[AGRUP. VALOR. PTO.]=$B81,IF(DATOS_[Check Periodo Ref.]="Dentro",DATOS_[TOTAL SALARIO Ef],FALSE)))),
0)</f>
        <v>0</v>
      </c>
      <c r="AL83" s="173">
        <f t="array" ref="AL83">IFERROR(
MEDIAN((IF(DATOS_[[Sexo]:[Sexo]]=$B83,IF(DATOS_[[AGRUP. VALOR. PTO.]:[AGRUP. VALOR. PTO.]]=$B81,IF(DATOS_[[Check Periodo Ref.]:[Check Periodo Ref.]]="Dentro",DATOS_[C.Extra.01]))))),
0)</f>
        <v>0</v>
      </c>
      <c r="AM83" s="173">
        <f t="array" ref="AM83">IFERROR(
MEDIAN((IF(DATOS_[[Sexo]:[Sexo]]=$B83,IF(DATOS_[[AGRUP. VALOR. PTO.]:[AGRUP. VALOR. PTO.]]=$B81,IF(DATOS_[[Check Periodo Ref.]:[Check Periodo Ref.]]="Dentro",DATOS_[C.Extra.06]))))),
0)</f>
        <v>0</v>
      </c>
      <c r="AN83" s="173">
        <f t="array" ref="AN83">IFERROR(
MEDIAN((IF(DATOS_[[Sexo]:[Sexo]]=$B83,IF(DATOS_[[AGRUP. VALOR. PTO.]:[AGRUP. VALOR. PTO.]]=$B81,IF(DATOS_[[Check Periodo Ref.]:[Check Periodo Ref.]]="Dentro",DATOS_[C.Extra.07]))))),
0)</f>
        <v>0</v>
      </c>
      <c r="AO83" s="173">
        <f t="array" ref="AO83">IFERROR(
MEDIAN((IF(DATOS_[[Sexo]:[Sexo]]=$B83,IF(DATOS_[[AGRUP. VALOR. PTO.]:[AGRUP. VALOR. PTO.]]=$B81,IF(DATOS_[[Check Periodo Ref.]:[Check Periodo Ref.]]="Dentro",DATOS_[C.Extra.08]))))),
0)</f>
        <v>0</v>
      </c>
      <c r="AP83" s="173">
        <f t="array" ref="AP83">IFERROR(
MEDIAN((IF(DATOS_[[Sexo]:[Sexo]]=$B83,IF(DATOS_[[AGRUP. VALOR. PTO.]:[AGRUP. VALOR. PTO.]]=$B81,IF(DATOS_[[Check Periodo Ref.]:[Check Periodo Ref.]]="Dentro",DATOS_[C.Extra.11]))))),
0)</f>
        <v>0</v>
      </c>
      <c r="AQ83" s="174">
        <f t="array" ref="AQ83">IFERROR(
MEDIAN(IF(DATOS_[Sexo]=$B83,IF(DATOS_[AGRUP. VALOR. PTO.]=$B81,IF(DATOS_[Check Periodo Ref.]="Dentro",DATOS_[Tot Extrasalarial Ef],FALSE)))),
0)</f>
        <v>0</v>
      </c>
      <c r="AR83" s="171">
        <f t="array" ref="AR83">IFERROR(
MEDIAN(IF(DATOS_[Sexo]=$B83,IF(DATOS_[AGRUP. VALOR. PTO.]=$B81,IF(DATOS_[Check Periodo Ref.]="Dentro",DATOS_[TOTAL Retrib Ef],FALSE)))),
0)</f>
        <v>0</v>
      </c>
    </row>
    <row r="84" spans="1:44" ht="14.4" thickBot="1" x14ac:dyDescent="0.3">
      <c r="A84" s="178" t="str">
        <f t="shared" ref="A84" si="95">+A85</f>
        <v>[ocultar]</v>
      </c>
      <c r="B84" s="153" t="s">
        <v>272</v>
      </c>
      <c r="C84" s="154"/>
      <c r="D84" s="155"/>
      <c r="E84" s="156" t="str">
        <f t="shared" ref="E84:AR84" si="96">IFERROR((E85-E86)/E85,"")</f>
        <v/>
      </c>
      <c r="F84" s="157" t="str">
        <f t="shared" si="96"/>
        <v/>
      </c>
      <c r="G84" s="158" t="str">
        <f t="shared" si="96"/>
        <v/>
      </c>
      <c r="H84" s="158" t="str">
        <f t="shared" si="96"/>
        <v/>
      </c>
      <c r="I84" s="158" t="str">
        <f t="shared" si="96"/>
        <v/>
      </c>
      <c r="J84" s="159" t="str">
        <f t="shared" si="96"/>
        <v/>
      </c>
      <c r="K84" s="160" t="str">
        <f t="shared" si="96"/>
        <v/>
      </c>
      <c r="L84" s="160" t="str">
        <f t="shared" si="96"/>
        <v/>
      </c>
      <c r="M84" s="160" t="str">
        <f t="shared" si="96"/>
        <v/>
      </c>
      <c r="N84" s="160" t="str">
        <f t="shared" si="96"/>
        <v/>
      </c>
      <c r="O84" s="160" t="str">
        <f t="shared" si="96"/>
        <v/>
      </c>
      <c r="P84" s="160" t="str">
        <f t="shared" si="96"/>
        <v/>
      </c>
      <c r="Q84" s="160" t="str">
        <f t="shared" si="96"/>
        <v/>
      </c>
      <c r="R84" s="160" t="str">
        <f t="shared" si="96"/>
        <v/>
      </c>
      <c r="S84" s="160" t="str">
        <f t="shared" si="96"/>
        <v/>
      </c>
      <c r="T84" s="160" t="str">
        <f t="shared" si="96"/>
        <v/>
      </c>
      <c r="U84" s="160" t="str">
        <f t="shared" si="96"/>
        <v/>
      </c>
      <c r="V84" s="159" t="str">
        <f t="shared" si="96"/>
        <v/>
      </c>
      <c r="W84" s="159" t="str">
        <f t="shared" si="96"/>
        <v/>
      </c>
      <c r="X84" s="159" t="str">
        <f t="shared" si="96"/>
        <v/>
      </c>
      <c r="Y84" s="159" t="str">
        <f t="shared" si="96"/>
        <v/>
      </c>
      <c r="Z84" s="159" t="str">
        <f t="shared" si="96"/>
        <v/>
      </c>
      <c r="AA84" s="159" t="str">
        <f t="shared" si="96"/>
        <v/>
      </c>
      <c r="AB84" s="159" t="str">
        <f t="shared" si="96"/>
        <v/>
      </c>
      <c r="AC84" s="159" t="str">
        <f t="shared" si="96"/>
        <v/>
      </c>
      <c r="AD84" s="159" t="str">
        <f t="shared" si="96"/>
        <v/>
      </c>
      <c r="AE84" s="159" t="str">
        <f t="shared" si="96"/>
        <v/>
      </c>
      <c r="AF84" s="159" t="str">
        <f t="shared" si="96"/>
        <v/>
      </c>
      <c r="AG84" s="159" t="str">
        <f t="shared" si="96"/>
        <v/>
      </c>
      <c r="AH84" s="159" t="str">
        <f t="shared" si="96"/>
        <v/>
      </c>
      <c r="AI84" s="159" t="str">
        <f t="shared" si="96"/>
        <v/>
      </c>
      <c r="AJ84" s="161" t="str">
        <f t="shared" si="96"/>
        <v/>
      </c>
      <c r="AK84" s="162" t="str">
        <f t="shared" si="96"/>
        <v/>
      </c>
      <c r="AL84" s="163" t="str">
        <f t="shared" si="96"/>
        <v/>
      </c>
      <c r="AM84" s="163" t="str">
        <f t="shared" si="96"/>
        <v/>
      </c>
      <c r="AN84" s="163" t="str">
        <f t="shared" si="96"/>
        <v/>
      </c>
      <c r="AO84" s="163" t="str">
        <f t="shared" si="96"/>
        <v/>
      </c>
      <c r="AP84" s="163" t="str">
        <f t="shared" si="96"/>
        <v/>
      </c>
      <c r="AQ84" s="164" t="str">
        <f t="shared" si="96"/>
        <v/>
      </c>
      <c r="AR84" s="161" t="str">
        <f t="shared" si="96"/>
        <v/>
      </c>
    </row>
    <row r="85" spans="1:44" x14ac:dyDescent="0.25">
      <c r="A85" s="178" t="str">
        <f t="shared" ref="A85" si="97">+IF(C85+C86=0,"[ocultar]","")</f>
        <v>[ocultar]</v>
      </c>
      <c r="B85" s="166" t="s">
        <v>394</v>
      </c>
      <c r="C85" s="167">
        <f t="array" ref="C85">SUM(IF($B85=DATOS_[Sexo],
IF($B84=DATOS_[AGRUP. VALOR. PTO.],
IF("Dentro"=DATOS_[Check Periodo Ref.],
1/(COUNTIFS(DATOS_[Sexo],$B85,DATOS_[AGRUP. VALOR. PTO.],$B84,DATOS_[Check Periodo Ref.],"Dentro",DATOS_[id/cod],DATOS_[id/cod]))))))</f>
        <v>0</v>
      </c>
      <c r="D85" s="168">
        <f>COUNTIFS(DATOS_[AGRUP. VALOR. PTO.],$B84,DATOS_[Sexo],$B85,DATOS_[Check Periodo Ref.],"Dentro")</f>
        <v>0</v>
      </c>
      <c r="E85" s="169">
        <f t="array" ref="E85">IFERROR(
MEDIAN(IF(DATOS_[Sexo]=$B85,IF(DATOS_[AGRUP. VALOR. PTO.]=$B84,IF(DATOS_[Check Periodo Ref.]="Dentro",DATOS_[SALARIO BASE Ef],FALSE)))),
0)</f>
        <v>0</v>
      </c>
      <c r="F85" s="170">
        <f t="array" ref="F85">IFERROR(
MEDIAN((IF(DATOS_[[Sexo]:[Sexo]]=$B85,IF(DATOS_[[AGRUP. VALOR. PTO.]:[AGRUP. VALOR. PTO.]]=$B84,IF(DATOS_[[Check Periodo Ref.]:[Check Periodo Ref.]]="Dentro",DATOS_[Conc.Sal.01]))))),
0)</f>
        <v>0</v>
      </c>
      <c r="G85" s="170">
        <f t="array" ref="G85">IFERROR(
MEDIAN((IF(DATOS_[[Sexo]:[Sexo]]=$B85,IF(DATOS_[[AGRUP. VALOR. PTO.]:[AGRUP. VALOR. PTO.]]=$B84,IF(DATOS_[[Check Periodo Ref.]:[Check Periodo Ref.]]="Dentro",DATOS_[Conc.Sal.02]))))),
0)</f>
        <v>0</v>
      </c>
      <c r="H85" s="170">
        <f t="array" ref="H85">IFERROR(
MEDIAN((IF(DATOS_[[Sexo]:[Sexo]]=$B85,IF(DATOS_[[AGRUP. VALOR. PTO.]:[AGRUP. VALOR. PTO.]]=$B84,IF(DATOS_[[Check Periodo Ref.]:[Check Periodo Ref.]]="Dentro",DATOS_[Conc.Sal.03]))))),
0)</f>
        <v>0</v>
      </c>
      <c r="I85" s="170">
        <f t="array" ref="I85">IFERROR(
MEDIAN((IF(DATOS_[[Sexo]:[Sexo]]=$B85,IF(DATOS_[[AGRUP. VALOR. PTO.]:[AGRUP. VALOR. PTO.]]=$B84,IF(DATOS_[[Check Periodo Ref.]:[Check Periodo Ref.]]="Dentro",DATOS_[Conc.Sal.04]))))),
0)</f>
        <v>0</v>
      </c>
      <c r="J85" s="170">
        <f t="array" ref="J85">IFERROR(
MEDIAN((IF(DATOS_[[Sexo]:[Sexo]]=$B85,IF(DATOS_[[AGRUP. VALOR. PTO.]:[AGRUP. VALOR. PTO.]]=$B84,IF(DATOS_[[Check Periodo Ref.]:[Check Periodo Ref.]]="Dentro",DATOS_[Conc.Sal.05]))))),
0)</f>
        <v>0</v>
      </c>
      <c r="K85" s="170">
        <f t="array" ref="K85">IFERROR(
MEDIAN((IF(DATOS_[[Sexo]:[Sexo]]=$B85,IF(DATOS_[[AGRUP. VALOR. PTO.]:[AGRUP. VALOR. PTO.]]=$B84,IF(DATOS_[[Check Periodo Ref.]:[Check Periodo Ref.]]="Dentro",DATOS_[Conc.Sal.06]))))),
0)</f>
        <v>0</v>
      </c>
      <c r="L85" s="170">
        <f t="array" ref="L85">IFERROR(
MEDIAN((IF(DATOS_[[Sexo]:[Sexo]]=$B85,IF(DATOS_[[AGRUP. VALOR. PTO.]:[AGRUP. VALOR. PTO.]]=$B84,IF(DATOS_[[Check Periodo Ref.]:[Check Periodo Ref.]]="Dentro",DATOS_[Conc.Sal.07]))))),
0)</f>
        <v>0</v>
      </c>
      <c r="M85" s="170">
        <f t="array" ref="M85">IFERROR(
MEDIAN((IF(DATOS_[[Sexo]:[Sexo]]=$B85,IF(DATOS_[[AGRUP. VALOR. PTO.]:[AGRUP. VALOR. PTO.]]=$B84,IF(DATOS_[[Check Periodo Ref.]:[Check Periodo Ref.]]="Dentro",DATOS_[Conc.Sal.08]))))),
0)</f>
        <v>0</v>
      </c>
      <c r="N85" s="170">
        <f t="array" ref="N85">IFERROR(
MEDIAN((IF(DATOS_[[Sexo]:[Sexo]]=$B85,IF(DATOS_[[AGRUP. VALOR. PTO.]:[AGRUP. VALOR. PTO.]]=$B84,IF(DATOS_[[Check Periodo Ref.]:[Check Periodo Ref.]]="Dentro",DATOS_[Conc.Sal.09]))))),
0)</f>
        <v>0</v>
      </c>
      <c r="O85" s="170">
        <f t="array" ref="O85">IFERROR(
MEDIAN((IF(DATOS_[[Sexo]:[Sexo]]=$B85,IF(DATOS_[[AGRUP. VALOR. PTO.]:[AGRUP. VALOR. PTO.]]=$B84,IF(DATOS_[[Check Periodo Ref.]:[Check Periodo Ref.]]="Dentro",DATOS_[Conc.Sal.10]))))),
0)</f>
        <v>0</v>
      </c>
      <c r="P85" s="170">
        <f t="array" ref="P85">IFERROR(
MEDIAN((IF(DATOS_[[Sexo]:[Sexo]]=$B85,IF(DATOS_[[AGRUP. VALOR. PTO.]:[AGRUP. VALOR. PTO.]]=$B84,IF(DATOS_[[Check Periodo Ref.]:[Check Periodo Ref.]]="Dentro",DATOS_[Conc.Sal.11]))))),
0)</f>
        <v>0</v>
      </c>
      <c r="Q85" s="170">
        <f t="array" ref="Q85">IFERROR(
MEDIAN((IF(DATOS_[[Sexo]:[Sexo]]=$B85,IF(DATOS_[[AGRUP. VALOR. PTO.]:[AGRUP. VALOR. PTO.]]=$B84,IF(DATOS_[[Check Periodo Ref.]:[Check Periodo Ref.]]="Dentro",DATOS_[Conc.Sal.12]))))),
0)</f>
        <v>0</v>
      </c>
      <c r="R85" s="170">
        <f t="array" ref="R85">IFERROR(
MEDIAN((IF(DATOS_[[Sexo]:[Sexo]]=$B85,IF(DATOS_[[AGRUP. VALOR. PTO.]:[AGRUP. VALOR. PTO.]]=$B84,IF(DATOS_[[Check Periodo Ref.]:[Check Periodo Ref.]]="Dentro",DATOS_[Conc.Sal.13]))))),
0)</f>
        <v>0</v>
      </c>
      <c r="S85" s="170">
        <f t="array" ref="S85">IFERROR(
MEDIAN((IF(DATOS_[[Sexo]:[Sexo]]=$B85,IF(DATOS_[[AGRUP. VALOR. PTO.]:[AGRUP. VALOR. PTO.]]=$B84,IF(DATOS_[[Check Periodo Ref.]:[Check Periodo Ref.]]="Dentro",DATOS_[Conc.Sal.14]))))),
0)</f>
        <v>0</v>
      </c>
      <c r="T85" s="170">
        <f t="array" ref="T85">IFERROR(
MEDIAN((IF(DATOS_[[Sexo]:[Sexo]]=$B85,IF(DATOS_[[AGRUP. VALOR. PTO.]:[AGRUP. VALOR. PTO.]]=$B84,IF(DATOS_[[Check Periodo Ref.]:[Check Periodo Ref.]]="Dentro",DATOS_[Conc.Sal.15]))))),
0)</f>
        <v>0</v>
      </c>
      <c r="U85" s="170">
        <f t="array" ref="U85">IFERROR(
MEDIAN((IF(DATOS_[[Sexo]:[Sexo]]=$B85,IF(DATOS_[[AGRUP. VALOR. PTO.]:[AGRUP. VALOR. PTO.]]=$B84,IF(DATOS_[[Check Periodo Ref.]:[Check Periodo Ref.]]="Dentro",DATOS_[Conc.Sal.16]))))),
0)</f>
        <v>0</v>
      </c>
      <c r="V85" s="170">
        <f t="array" ref="V85">IFERROR(
MEDIAN((IF(DATOS_[[Sexo]:[Sexo]]=$B85,IF(DATOS_[[AGRUP. VALOR. PTO.]:[AGRUP. VALOR. PTO.]]=$B84,IF(DATOS_[[Check Periodo Ref.]:[Check Periodo Ref.]]="Dentro",DATOS_[Conc.Sal.17]))))),
0)</f>
        <v>0</v>
      </c>
      <c r="W85" s="170">
        <f t="array" ref="W85">IFERROR(
MEDIAN((IF(DATOS_[[Sexo]:[Sexo]]=$B85,IF(DATOS_[[AGRUP. VALOR. PTO.]:[AGRUP. VALOR. PTO.]]=$B84,IF(DATOS_[[Check Periodo Ref.]:[Check Periodo Ref.]]="Dentro",DATOS_[Conc.Sal.18]))))),
0)</f>
        <v>0</v>
      </c>
      <c r="X85" s="170">
        <f t="array" ref="X85">IFERROR(
MEDIAN((IF(DATOS_[[Sexo]:[Sexo]]=$B85,IF(DATOS_[[AGRUP. VALOR. PTO.]:[AGRUP. VALOR. PTO.]]=$B84,IF(DATOS_[[Check Periodo Ref.]:[Check Periodo Ref.]]="Dentro",DATOS_[Conc.Sal.19]))))),
0)</f>
        <v>0</v>
      </c>
      <c r="Y85" s="170">
        <f t="array" ref="Y85">IFERROR(
MEDIAN((IF(DATOS_[[Sexo]:[Sexo]]=$B85,IF(DATOS_[[AGRUP. VALOR. PTO.]:[AGRUP. VALOR. PTO.]]=$B84,IF(DATOS_[[Check Periodo Ref.]:[Check Periodo Ref.]]="Dentro",DATOS_[Conc.Sal.20]))))),
0)</f>
        <v>0</v>
      </c>
      <c r="Z85" s="170">
        <f t="array" ref="Z85">IFERROR(
MEDIAN((IF(DATOS_[[Sexo]:[Sexo]]=$B85,IF(DATOS_[[AGRUP. VALOR. PTO.]:[AGRUP. VALOR. PTO.]]=$B84,IF(DATOS_[[Check Periodo Ref.]:[Check Periodo Ref.]]="Dentro",DATOS_[Conc.Sal.21]))))),
0)</f>
        <v>0</v>
      </c>
      <c r="AA85" s="170">
        <f t="array" ref="AA85">IFERROR(
MEDIAN((IF(DATOS_[[Sexo]:[Sexo]]=$B85,IF(DATOS_[[AGRUP. VALOR. PTO.]:[AGRUP. VALOR. PTO.]]=$B84,IF(DATOS_[[Check Periodo Ref.]:[Check Periodo Ref.]]="Dentro",DATOS_[Conc.Sal.22]))))),
0)</f>
        <v>0</v>
      </c>
      <c r="AB85" s="170">
        <f t="array" ref="AB85">IFERROR(
MEDIAN((IF(DATOS_[[Sexo]:[Sexo]]=$B85,IF(DATOS_[[AGRUP. VALOR. PTO.]:[AGRUP. VALOR. PTO.]]=$B84,IF(DATOS_[[Check Periodo Ref.]:[Check Periodo Ref.]]="Dentro",DATOS_[Conc.Sal.23]))))),
0)</f>
        <v>0</v>
      </c>
      <c r="AC85" s="170">
        <f t="array" ref="AC85">IFERROR(
MEDIAN((IF(DATOS_[[Sexo]:[Sexo]]=$B85,IF(DATOS_[[AGRUP. VALOR. PTO.]:[AGRUP. VALOR. PTO.]]=$B84,IF(DATOS_[[Check Periodo Ref.]:[Check Periodo Ref.]]="Dentro",DATOS_[Conc.Sal.24]))))),
0)</f>
        <v>0</v>
      </c>
      <c r="AD85" s="170">
        <f t="array" ref="AD85">IFERROR(
MEDIAN((IF(DATOS_[[Sexo]:[Sexo]]=$B85,IF(DATOS_[[AGRUP. VALOR. PTO.]:[AGRUP. VALOR. PTO.]]=$B84,IF(DATOS_[[Check Periodo Ref.]:[Check Periodo Ref.]]="Dentro",DATOS_[Conc.Sal.25]))))),
0)</f>
        <v>0</v>
      </c>
      <c r="AE85" s="170">
        <f t="array" ref="AE85">IFERROR(
MEDIAN((IF(DATOS_[[Sexo]:[Sexo]]=$B85,IF(DATOS_[[AGRUP. VALOR. PTO.]:[AGRUP. VALOR. PTO.]]=$B84,IF(DATOS_[[Check Periodo Ref.]:[Check Periodo Ref.]]="Dentro",DATOS_[Conc.Sal.26]))))),
0)</f>
        <v>0</v>
      </c>
      <c r="AF85" s="170">
        <f t="array" ref="AF85">IFERROR(
MEDIAN((IF(DATOS_[[Sexo]:[Sexo]]=$B85,IF(DATOS_[[AGRUP. VALOR. PTO.]:[AGRUP. VALOR. PTO.]]=$B84,IF(DATOS_[[Check Periodo Ref.]:[Check Periodo Ref.]]="Dentro",DATOS_[Conc.Sal.27]))))),
0)</f>
        <v>0</v>
      </c>
      <c r="AG85" s="170">
        <f t="array" ref="AG85">IFERROR(
MEDIAN((IF(DATOS_[[Sexo]:[Sexo]]=$B85,IF(DATOS_[[AGRUP. VALOR. PTO.]:[AGRUP. VALOR. PTO.]]=$B84,IF(DATOS_[[Check Periodo Ref.]:[Check Periodo Ref.]]="Dentro",DATOS_[Conc.Sal.28]))))),
0)</f>
        <v>0</v>
      </c>
      <c r="AH85" s="170">
        <f t="array" ref="AH85">IFERROR(
MEDIAN((IF(DATOS_[[Sexo]:[Sexo]]=$B85,IF(DATOS_[[AGRUP. VALOR. PTO.]:[AGRUP. VALOR. PTO.]]=$B84,IF(DATOS_[[Check Periodo Ref.]:[Check Periodo Ref.]]="Dentro",DATOS_[Conc.Sal.29]))))),
0)</f>
        <v>0</v>
      </c>
      <c r="AI85" s="170">
        <f t="array" ref="AI85">IFERROR(
MEDIAN((IF(DATOS_[[Sexo]:[Sexo]]=$B85,IF(DATOS_[[AGRUP. VALOR. PTO.]:[AGRUP. VALOR. PTO.]]=$B84,IF(DATOS_[[Check Periodo Ref.]:[Check Periodo Ref.]]="Dentro",DATOS_[Conc.Sal.30]))))),
0)</f>
        <v>0</v>
      </c>
      <c r="AJ85" s="171">
        <f t="array" ref="AJ85">IFERROR(
MEDIAN(IF(DATOS_[Sexo]=$B85,IF(DATOS_[AGRUP. VALOR. PTO.]=$B84,IF(DATOS_[Check Periodo Ref.]="Dentro",DATOS_[Tot COMPL.SAL Ef],FALSE)))),
0)</f>
        <v>0</v>
      </c>
      <c r="AK85" s="172">
        <f t="array" ref="AK85">IFERROR(
MEDIAN(IF(DATOS_[Sexo]=$B85,IF(DATOS_[AGRUP. VALOR. PTO.]=$B84,IF(DATOS_[Check Periodo Ref.]="Dentro",DATOS_[TOTAL SALARIO Ef],FALSE)))),
0)</f>
        <v>0</v>
      </c>
      <c r="AL85" s="173">
        <f t="array" ref="AL85">IFERROR(
MEDIAN((IF(DATOS_[[Sexo]:[Sexo]]=$B85,IF(DATOS_[[AGRUP. VALOR. PTO.]:[AGRUP. VALOR. PTO.]]=$B84,IF(DATOS_[[Check Periodo Ref.]:[Check Periodo Ref.]]="Dentro",DATOS_[C.Extra.01]))))),
0)</f>
        <v>0</v>
      </c>
      <c r="AM85" s="173">
        <f t="array" ref="AM85">IFERROR(
MEDIAN((IF(DATOS_[[Sexo]:[Sexo]]=$B85,IF(DATOS_[[AGRUP. VALOR. PTO.]:[AGRUP. VALOR. PTO.]]=$B84,IF(DATOS_[[Check Periodo Ref.]:[Check Periodo Ref.]]="Dentro",DATOS_[C.Extra.06]))))),
0)</f>
        <v>0</v>
      </c>
      <c r="AN85" s="173">
        <f t="array" ref="AN85">IFERROR(
MEDIAN((IF(DATOS_[[Sexo]:[Sexo]]=$B85,IF(DATOS_[[AGRUP. VALOR. PTO.]:[AGRUP. VALOR. PTO.]]=$B84,IF(DATOS_[[Check Periodo Ref.]:[Check Periodo Ref.]]="Dentro",DATOS_[C.Extra.07]))))),
0)</f>
        <v>0</v>
      </c>
      <c r="AO85" s="173">
        <f t="array" ref="AO85">IFERROR(
MEDIAN((IF(DATOS_[[Sexo]:[Sexo]]=$B85,IF(DATOS_[[AGRUP. VALOR. PTO.]:[AGRUP. VALOR. PTO.]]=$B84,IF(DATOS_[[Check Periodo Ref.]:[Check Periodo Ref.]]="Dentro",DATOS_[C.Extra.08]))))),
0)</f>
        <v>0</v>
      </c>
      <c r="AP85" s="173">
        <f t="array" ref="AP85">IFERROR(
MEDIAN((IF(DATOS_[[Sexo]:[Sexo]]=$B85,IF(DATOS_[[AGRUP. VALOR. PTO.]:[AGRUP. VALOR. PTO.]]=$B84,IF(DATOS_[[Check Periodo Ref.]:[Check Periodo Ref.]]="Dentro",DATOS_[C.Extra.11]))))),
0)</f>
        <v>0</v>
      </c>
      <c r="AQ85" s="174">
        <f t="array" ref="AQ85">IFERROR(
MEDIAN(IF(DATOS_[Sexo]=$B85,IF(DATOS_[AGRUP. VALOR. PTO.]=$B84,IF(DATOS_[Check Periodo Ref.]="Dentro",DATOS_[Tot Extrasalarial Ef],FALSE)))),
0)</f>
        <v>0</v>
      </c>
      <c r="AR85" s="171">
        <f t="array" ref="AR85">IFERROR(
MEDIAN(IF(DATOS_[Sexo]=$B85,IF(DATOS_[AGRUP. VALOR. PTO.]=$B84,IF(DATOS_[Check Periodo Ref.]="Dentro",DATOS_[TOTAL Retrib Ef],FALSE)))),
0)</f>
        <v>0</v>
      </c>
    </row>
    <row r="86" spans="1:44" x14ac:dyDescent="0.25">
      <c r="A86" s="178" t="str">
        <f t="shared" ref="A86" si="98">+A85</f>
        <v>[ocultar]</v>
      </c>
      <c r="B86" s="166" t="s">
        <v>521</v>
      </c>
      <c r="C86" s="167">
        <f t="array" ref="C86">SUM(IF($B86=DATOS_[Sexo],
IF($B84=DATOS_[AGRUP. VALOR. PTO.],
IF("Dentro"=DATOS_[Check Periodo Ref.],
1/(COUNTIFS(DATOS_[Sexo],$B86,DATOS_[AGRUP. VALOR. PTO.],$B84,DATOS_[Check Periodo Ref.],"Dentro",DATOS_[id/cod],DATOS_[id/cod]))))))</f>
        <v>0</v>
      </c>
      <c r="D86" s="168">
        <f>COUNTIFS(DATOS_[AGRUP. VALOR. PTO.],$B84,DATOS_[Sexo],$B86,DATOS_[Check Periodo Ref.],"Dentro")</f>
        <v>0</v>
      </c>
      <c r="E86" s="169">
        <f t="array" ref="E86">IFERROR(
MEDIAN(IF(DATOS_[Sexo]=$B86,IF(DATOS_[AGRUP. VALOR. PTO.]=$B84,IF(DATOS_[Check Periodo Ref.]="Dentro",DATOS_[SALARIO BASE Ef],FALSE)))),
0)</f>
        <v>0</v>
      </c>
      <c r="F86" s="170">
        <f t="array" ref="F86">IFERROR(
MEDIAN((IF(DATOS_[[Sexo]:[Sexo]]=$B86,IF(DATOS_[[AGRUP. VALOR. PTO.]:[AGRUP. VALOR. PTO.]]=$B84,IF(DATOS_[[Check Periodo Ref.]:[Check Periodo Ref.]]="Dentro",DATOS_[Conc.Sal.01]))))),
0)</f>
        <v>0</v>
      </c>
      <c r="G86" s="170">
        <f t="array" ref="G86">IFERROR(
MEDIAN((IF(DATOS_[[Sexo]:[Sexo]]=$B86,IF(DATOS_[[AGRUP. VALOR. PTO.]:[AGRUP. VALOR. PTO.]]=$B84,IF(DATOS_[[Check Periodo Ref.]:[Check Periodo Ref.]]="Dentro",DATOS_[Conc.Sal.02]))))),
0)</f>
        <v>0</v>
      </c>
      <c r="H86" s="170">
        <f t="array" ref="H86">IFERROR(
MEDIAN((IF(DATOS_[[Sexo]:[Sexo]]=$B86,IF(DATOS_[[AGRUP. VALOR. PTO.]:[AGRUP. VALOR. PTO.]]=$B84,IF(DATOS_[[Check Periodo Ref.]:[Check Periodo Ref.]]="Dentro",DATOS_[Conc.Sal.03]))))),
0)</f>
        <v>0</v>
      </c>
      <c r="I86" s="170">
        <f t="array" ref="I86">IFERROR(
MEDIAN((IF(DATOS_[[Sexo]:[Sexo]]=$B86,IF(DATOS_[[AGRUP. VALOR. PTO.]:[AGRUP. VALOR. PTO.]]=$B84,IF(DATOS_[[Check Periodo Ref.]:[Check Periodo Ref.]]="Dentro",DATOS_[Conc.Sal.04]))))),
0)</f>
        <v>0</v>
      </c>
      <c r="J86" s="170">
        <f t="array" ref="J86">IFERROR(
MEDIAN((IF(DATOS_[[Sexo]:[Sexo]]=$B86,IF(DATOS_[[AGRUP. VALOR. PTO.]:[AGRUP. VALOR. PTO.]]=$B84,IF(DATOS_[[Check Periodo Ref.]:[Check Periodo Ref.]]="Dentro",DATOS_[Conc.Sal.05]))))),
0)</f>
        <v>0</v>
      </c>
      <c r="K86" s="170">
        <f t="array" ref="K86">IFERROR(
MEDIAN((IF(DATOS_[[Sexo]:[Sexo]]=$B86,IF(DATOS_[[AGRUP. VALOR. PTO.]:[AGRUP. VALOR. PTO.]]=$B84,IF(DATOS_[[Check Periodo Ref.]:[Check Periodo Ref.]]="Dentro",DATOS_[Conc.Sal.06]))))),
0)</f>
        <v>0</v>
      </c>
      <c r="L86" s="170">
        <f t="array" ref="L86">IFERROR(
MEDIAN((IF(DATOS_[[Sexo]:[Sexo]]=$B86,IF(DATOS_[[AGRUP. VALOR. PTO.]:[AGRUP. VALOR. PTO.]]=$B84,IF(DATOS_[[Check Periodo Ref.]:[Check Periodo Ref.]]="Dentro",DATOS_[Conc.Sal.07]))))),
0)</f>
        <v>0</v>
      </c>
      <c r="M86" s="170">
        <f t="array" ref="M86">IFERROR(
MEDIAN((IF(DATOS_[[Sexo]:[Sexo]]=$B86,IF(DATOS_[[AGRUP. VALOR. PTO.]:[AGRUP. VALOR. PTO.]]=$B84,IF(DATOS_[[Check Periodo Ref.]:[Check Periodo Ref.]]="Dentro",DATOS_[Conc.Sal.08]))))),
0)</f>
        <v>0</v>
      </c>
      <c r="N86" s="170">
        <f t="array" ref="N86">IFERROR(
MEDIAN((IF(DATOS_[[Sexo]:[Sexo]]=$B86,IF(DATOS_[[AGRUP. VALOR. PTO.]:[AGRUP. VALOR. PTO.]]=$B84,IF(DATOS_[[Check Periodo Ref.]:[Check Periodo Ref.]]="Dentro",DATOS_[Conc.Sal.09]))))),
0)</f>
        <v>0</v>
      </c>
      <c r="O86" s="170">
        <f t="array" ref="O86">IFERROR(
MEDIAN((IF(DATOS_[[Sexo]:[Sexo]]=$B86,IF(DATOS_[[AGRUP. VALOR. PTO.]:[AGRUP. VALOR. PTO.]]=$B84,IF(DATOS_[[Check Periodo Ref.]:[Check Periodo Ref.]]="Dentro",DATOS_[Conc.Sal.10]))))),
0)</f>
        <v>0</v>
      </c>
      <c r="P86" s="170">
        <f t="array" ref="P86">IFERROR(
MEDIAN((IF(DATOS_[[Sexo]:[Sexo]]=$B86,IF(DATOS_[[AGRUP. VALOR. PTO.]:[AGRUP. VALOR. PTO.]]=$B84,IF(DATOS_[[Check Periodo Ref.]:[Check Periodo Ref.]]="Dentro",DATOS_[Conc.Sal.11]))))),
0)</f>
        <v>0</v>
      </c>
      <c r="Q86" s="170">
        <f t="array" ref="Q86">IFERROR(
MEDIAN((IF(DATOS_[[Sexo]:[Sexo]]=$B86,IF(DATOS_[[AGRUP. VALOR. PTO.]:[AGRUP. VALOR. PTO.]]=$B84,IF(DATOS_[[Check Periodo Ref.]:[Check Periodo Ref.]]="Dentro",DATOS_[Conc.Sal.12]))))),
0)</f>
        <v>0</v>
      </c>
      <c r="R86" s="170">
        <f t="array" ref="R86">IFERROR(
MEDIAN((IF(DATOS_[[Sexo]:[Sexo]]=$B86,IF(DATOS_[[AGRUP. VALOR. PTO.]:[AGRUP. VALOR. PTO.]]=$B84,IF(DATOS_[[Check Periodo Ref.]:[Check Periodo Ref.]]="Dentro",DATOS_[Conc.Sal.13]))))),
0)</f>
        <v>0</v>
      </c>
      <c r="S86" s="170">
        <f t="array" ref="S86">IFERROR(
MEDIAN((IF(DATOS_[[Sexo]:[Sexo]]=$B86,IF(DATOS_[[AGRUP. VALOR. PTO.]:[AGRUP. VALOR. PTO.]]=$B84,IF(DATOS_[[Check Periodo Ref.]:[Check Periodo Ref.]]="Dentro",DATOS_[Conc.Sal.14]))))),
0)</f>
        <v>0</v>
      </c>
      <c r="T86" s="170">
        <f t="array" ref="T86">IFERROR(
MEDIAN((IF(DATOS_[[Sexo]:[Sexo]]=$B86,IF(DATOS_[[AGRUP. VALOR. PTO.]:[AGRUP. VALOR. PTO.]]=$B84,IF(DATOS_[[Check Periodo Ref.]:[Check Periodo Ref.]]="Dentro",DATOS_[Conc.Sal.15]))))),
0)</f>
        <v>0</v>
      </c>
      <c r="U86" s="170">
        <f t="array" ref="U86">IFERROR(
MEDIAN((IF(DATOS_[[Sexo]:[Sexo]]=$B86,IF(DATOS_[[AGRUP. VALOR. PTO.]:[AGRUP. VALOR. PTO.]]=$B84,IF(DATOS_[[Check Periodo Ref.]:[Check Periodo Ref.]]="Dentro",DATOS_[Conc.Sal.16]))))),
0)</f>
        <v>0</v>
      </c>
      <c r="V86" s="170">
        <f t="array" ref="V86">IFERROR(
MEDIAN((IF(DATOS_[[Sexo]:[Sexo]]=$B86,IF(DATOS_[[AGRUP. VALOR. PTO.]:[AGRUP. VALOR. PTO.]]=$B84,IF(DATOS_[[Check Periodo Ref.]:[Check Periodo Ref.]]="Dentro",DATOS_[Conc.Sal.17]))))),
0)</f>
        <v>0</v>
      </c>
      <c r="W86" s="170">
        <f t="array" ref="W86">IFERROR(
MEDIAN((IF(DATOS_[[Sexo]:[Sexo]]=$B86,IF(DATOS_[[AGRUP. VALOR. PTO.]:[AGRUP. VALOR. PTO.]]=$B84,IF(DATOS_[[Check Periodo Ref.]:[Check Periodo Ref.]]="Dentro",DATOS_[Conc.Sal.18]))))),
0)</f>
        <v>0</v>
      </c>
      <c r="X86" s="170">
        <f t="array" ref="X86">IFERROR(
MEDIAN((IF(DATOS_[[Sexo]:[Sexo]]=$B86,IF(DATOS_[[AGRUP. VALOR. PTO.]:[AGRUP. VALOR. PTO.]]=$B84,IF(DATOS_[[Check Periodo Ref.]:[Check Periodo Ref.]]="Dentro",DATOS_[Conc.Sal.19]))))),
0)</f>
        <v>0</v>
      </c>
      <c r="Y86" s="170">
        <f t="array" ref="Y86">IFERROR(
MEDIAN((IF(DATOS_[[Sexo]:[Sexo]]=$B86,IF(DATOS_[[AGRUP. VALOR. PTO.]:[AGRUP. VALOR. PTO.]]=$B84,IF(DATOS_[[Check Periodo Ref.]:[Check Periodo Ref.]]="Dentro",DATOS_[Conc.Sal.20]))))),
0)</f>
        <v>0</v>
      </c>
      <c r="Z86" s="170">
        <f t="array" ref="Z86">IFERROR(
MEDIAN((IF(DATOS_[[Sexo]:[Sexo]]=$B86,IF(DATOS_[[AGRUP. VALOR. PTO.]:[AGRUP. VALOR. PTO.]]=$B84,IF(DATOS_[[Check Periodo Ref.]:[Check Periodo Ref.]]="Dentro",DATOS_[Conc.Sal.21]))))),
0)</f>
        <v>0</v>
      </c>
      <c r="AA86" s="170">
        <f t="array" ref="AA86">IFERROR(
MEDIAN((IF(DATOS_[[Sexo]:[Sexo]]=$B86,IF(DATOS_[[AGRUP. VALOR. PTO.]:[AGRUP. VALOR. PTO.]]=$B84,IF(DATOS_[[Check Periodo Ref.]:[Check Periodo Ref.]]="Dentro",DATOS_[Conc.Sal.22]))))),
0)</f>
        <v>0</v>
      </c>
      <c r="AB86" s="170">
        <f t="array" ref="AB86">IFERROR(
MEDIAN((IF(DATOS_[[Sexo]:[Sexo]]=$B86,IF(DATOS_[[AGRUP. VALOR. PTO.]:[AGRUP. VALOR. PTO.]]=$B84,IF(DATOS_[[Check Periodo Ref.]:[Check Periodo Ref.]]="Dentro",DATOS_[Conc.Sal.23]))))),
0)</f>
        <v>0</v>
      </c>
      <c r="AC86" s="170">
        <f t="array" ref="AC86">IFERROR(
MEDIAN((IF(DATOS_[[Sexo]:[Sexo]]=$B86,IF(DATOS_[[AGRUP. VALOR. PTO.]:[AGRUP. VALOR. PTO.]]=$B84,IF(DATOS_[[Check Periodo Ref.]:[Check Periodo Ref.]]="Dentro",DATOS_[Conc.Sal.24]))))),
0)</f>
        <v>0</v>
      </c>
      <c r="AD86" s="170">
        <f t="array" ref="AD86">IFERROR(
MEDIAN((IF(DATOS_[[Sexo]:[Sexo]]=$B86,IF(DATOS_[[AGRUP. VALOR. PTO.]:[AGRUP. VALOR. PTO.]]=$B84,IF(DATOS_[[Check Periodo Ref.]:[Check Periodo Ref.]]="Dentro",DATOS_[Conc.Sal.25]))))),
0)</f>
        <v>0</v>
      </c>
      <c r="AE86" s="170">
        <f t="array" ref="AE86">IFERROR(
MEDIAN((IF(DATOS_[[Sexo]:[Sexo]]=$B86,IF(DATOS_[[AGRUP. VALOR. PTO.]:[AGRUP. VALOR. PTO.]]=$B84,IF(DATOS_[[Check Periodo Ref.]:[Check Periodo Ref.]]="Dentro",DATOS_[Conc.Sal.26]))))),
0)</f>
        <v>0</v>
      </c>
      <c r="AF86" s="170">
        <f t="array" ref="AF86">IFERROR(
MEDIAN((IF(DATOS_[[Sexo]:[Sexo]]=$B86,IF(DATOS_[[AGRUP. VALOR. PTO.]:[AGRUP. VALOR. PTO.]]=$B84,IF(DATOS_[[Check Periodo Ref.]:[Check Periodo Ref.]]="Dentro",DATOS_[Conc.Sal.27]))))),
0)</f>
        <v>0</v>
      </c>
      <c r="AG86" s="170">
        <f t="array" ref="AG86">IFERROR(
MEDIAN((IF(DATOS_[[Sexo]:[Sexo]]=$B86,IF(DATOS_[[AGRUP. VALOR. PTO.]:[AGRUP. VALOR. PTO.]]=$B84,IF(DATOS_[[Check Periodo Ref.]:[Check Periodo Ref.]]="Dentro",DATOS_[Conc.Sal.28]))))),
0)</f>
        <v>0</v>
      </c>
      <c r="AH86" s="170">
        <f t="array" ref="AH86">IFERROR(
MEDIAN((IF(DATOS_[[Sexo]:[Sexo]]=$B86,IF(DATOS_[[AGRUP. VALOR. PTO.]:[AGRUP. VALOR. PTO.]]=$B84,IF(DATOS_[[Check Periodo Ref.]:[Check Periodo Ref.]]="Dentro",DATOS_[Conc.Sal.29]))))),
0)</f>
        <v>0</v>
      </c>
      <c r="AI86" s="170">
        <f t="array" ref="AI86">IFERROR(
MEDIAN((IF(DATOS_[[Sexo]:[Sexo]]=$B86,IF(DATOS_[[AGRUP. VALOR. PTO.]:[AGRUP. VALOR. PTO.]]=$B84,IF(DATOS_[[Check Periodo Ref.]:[Check Periodo Ref.]]="Dentro",DATOS_[Conc.Sal.30]))))),
0)</f>
        <v>0</v>
      </c>
      <c r="AJ86" s="171">
        <f t="array" ref="AJ86">IFERROR(
MEDIAN(IF(DATOS_[Sexo]=$B86,IF(DATOS_[AGRUP. VALOR. PTO.]=$B84,IF(DATOS_[Check Periodo Ref.]="Dentro",DATOS_[Tot COMPL.SAL Ef],FALSE)))),
0)</f>
        <v>0</v>
      </c>
      <c r="AK86" s="172">
        <f t="array" ref="AK86">IFERROR(
MEDIAN(IF(DATOS_[Sexo]=$B86,IF(DATOS_[AGRUP. VALOR. PTO.]=$B84,IF(DATOS_[Check Periodo Ref.]="Dentro",DATOS_[TOTAL SALARIO Ef],FALSE)))),
0)</f>
        <v>0</v>
      </c>
      <c r="AL86" s="173">
        <f t="array" ref="AL86">IFERROR(
MEDIAN((IF(DATOS_[[Sexo]:[Sexo]]=$B86,IF(DATOS_[[AGRUP. VALOR. PTO.]:[AGRUP. VALOR. PTO.]]=$B84,IF(DATOS_[[Check Periodo Ref.]:[Check Periodo Ref.]]="Dentro",DATOS_[C.Extra.01]))))),
0)</f>
        <v>0</v>
      </c>
      <c r="AM86" s="173">
        <f t="array" ref="AM86">IFERROR(
MEDIAN((IF(DATOS_[[Sexo]:[Sexo]]=$B86,IF(DATOS_[[AGRUP. VALOR. PTO.]:[AGRUP. VALOR. PTO.]]=$B84,IF(DATOS_[[Check Periodo Ref.]:[Check Periodo Ref.]]="Dentro",DATOS_[C.Extra.06]))))),
0)</f>
        <v>0</v>
      </c>
      <c r="AN86" s="173">
        <f t="array" ref="AN86">IFERROR(
MEDIAN((IF(DATOS_[[Sexo]:[Sexo]]=$B86,IF(DATOS_[[AGRUP. VALOR. PTO.]:[AGRUP. VALOR. PTO.]]=$B84,IF(DATOS_[[Check Periodo Ref.]:[Check Periodo Ref.]]="Dentro",DATOS_[C.Extra.07]))))),
0)</f>
        <v>0</v>
      </c>
      <c r="AO86" s="173">
        <f t="array" ref="AO86">IFERROR(
MEDIAN((IF(DATOS_[[Sexo]:[Sexo]]=$B86,IF(DATOS_[[AGRUP. VALOR. PTO.]:[AGRUP. VALOR. PTO.]]=$B84,IF(DATOS_[[Check Periodo Ref.]:[Check Periodo Ref.]]="Dentro",DATOS_[C.Extra.08]))))),
0)</f>
        <v>0</v>
      </c>
      <c r="AP86" s="173">
        <f t="array" ref="AP86">IFERROR(
MEDIAN((IF(DATOS_[[Sexo]:[Sexo]]=$B86,IF(DATOS_[[AGRUP. VALOR. PTO.]:[AGRUP. VALOR. PTO.]]=$B84,IF(DATOS_[[Check Periodo Ref.]:[Check Periodo Ref.]]="Dentro",DATOS_[C.Extra.11]))))),
0)</f>
        <v>0</v>
      </c>
      <c r="AQ86" s="174">
        <f t="array" ref="AQ86">IFERROR(
MEDIAN(IF(DATOS_[Sexo]=$B86,IF(DATOS_[AGRUP. VALOR. PTO.]=$B84,IF(DATOS_[Check Periodo Ref.]="Dentro",DATOS_[Tot Extrasalarial Ef],FALSE)))),
0)</f>
        <v>0</v>
      </c>
      <c r="AR86" s="171">
        <f t="array" ref="AR86">IFERROR(
MEDIAN(IF(DATOS_[Sexo]=$B86,IF(DATOS_[AGRUP. VALOR. PTO.]=$B84,IF(DATOS_[Check Periodo Ref.]="Dentro",DATOS_[TOTAL Retrib Ef],FALSE)))),
0)</f>
        <v>0</v>
      </c>
    </row>
    <row r="87" spans="1:44" ht="14.4" thickBot="1" x14ac:dyDescent="0.3">
      <c r="A87" s="178" t="str">
        <f t="shared" ref="A87" si="99">+A88</f>
        <v>[ocultar]</v>
      </c>
      <c r="B87" s="153" t="s">
        <v>275</v>
      </c>
      <c r="C87" s="154"/>
      <c r="D87" s="155"/>
      <c r="E87" s="156" t="str">
        <f t="shared" ref="E87:AR87" si="100">IFERROR((E88-E89)/E88,"")</f>
        <v/>
      </c>
      <c r="F87" s="157" t="str">
        <f t="shared" si="100"/>
        <v/>
      </c>
      <c r="G87" s="158" t="str">
        <f t="shared" si="100"/>
        <v/>
      </c>
      <c r="H87" s="158" t="str">
        <f t="shared" si="100"/>
        <v/>
      </c>
      <c r="I87" s="158" t="str">
        <f t="shared" si="100"/>
        <v/>
      </c>
      <c r="J87" s="159" t="str">
        <f t="shared" si="100"/>
        <v/>
      </c>
      <c r="K87" s="160" t="str">
        <f t="shared" si="100"/>
        <v/>
      </c>
      <c r="L87" s="160" t="str">
        <f t="shared" si="100"/>
        <v/>
      </c>
      <c r="M87" s="160" t="str">
        <f t="shared" si="100"/>
        <v/>
      </c>
      <c r="N87" s="160" t="str">
        <f t="shared" si="100"/>
        <v/>
      </c>
      <c r="O87" s="160" t="str">
        <f t="shared" si="100"/>
        <v/>
      </c>
      <c r="P87" s="160" t="str">
        <f t="shared" si="100"/>
        <v/>
      </c>
      <c r="Q87" s="160" t="str">
        <f t="shared" si="100"/>
        <v/>
      </c>
      <c r="R87" s="160" t="str">
        <f t="shared" si="100"/>
        <v/>
      </c>
      <c r="S87" s="160" t="str">
        <f t="shared" si="100"/>
        <v/>
      </c>
      <c r="T87" s="160" t="str">
        <f t="shared" si="100"/>
        <v/>
      </c>
      <c r="U87" s="160" t="str">
        <f t="shared" si="100"/>
        <v/>
      </c>
      <c r="V87" s="159" t="str">
        <f t="shared" si="100"/>
        <v/>
      </c>
      <c r="W87" s="159" t="str">
        <f t="shared" si="100"/>
        <v/>
      </c>
      <c r="X87" s="159" t="str">
        <f t="shared" si="100"/>
        <v/>
      </c>
      <c r="Y87" s="159" t="str">
        <f t="shared" si="100"/>
        <v/>
      </c>
      <c r="Z87" s="159" t="str">
        <f t="shared" si="100"/>
        <v/>
      </c>
      <c r="AA87" s="159" t="str">
        <f t="shared" si="100"/>
        <v/>
      </c>
      <c r="AB87" s="159" t="str">
        <f t="shared" si="100"/>
        <v/>
      </c>
      <c r="AC87" s="159" t="str">
        <f t="shared" si="100"/>
        <v/>
      </c>
      <c r="AD87" s="159" t="str">
        <f t="shared" si="100"/>
        <v/>
      </c>
      <c r="AE87" s="159" t="str">
        <f t="shared" si="100"/>
        <v/>
      </c>
      <c r="AF87" s="159" t="str">
        <f t="shared" si="100"/>
        <v/>
      </c>
      <c r="AG87" s="159" t="str">
        <f t="shared" si="100"/>
        <v/>
      </c>
      <c r="AH87" s="159" t="str">
        <f t="shared" si="100"/>
        <v/>
      </c>
      <c r="AI87" s="159" t="str">
        <f t="shared" si="100"/>
        <v/>
      </c>
      <c r="AJ87" s="161" t="str">
        <f t="shared" si="100"/>
        <v/>
      </c>
      <c r="AK87" s="162" t="str">
        <f t="shared" si="100"/>
        <v/>
      </c>
      <c r="AL87" s="163" t="str">
        <f t="shared" si="100"/>
        <v/>
      </c>
      <c r="AM87" s="163" t="str">
        <f t="shared" si="100"/>
        <v/>
      </c>
      <c r="AN87" s="163" t="str">
        <f t="shared" si="100"/>
        <v/>
      </c>
      <c r="AO87" s="163" t="str">
        <f t="shared" si="100"/>
        <v/>
      </c>
      <c r="AP87" s="163" t="str">
        <f t="shared" si="100"/>
        <v/>
      </c>
      <c r="AQ87" s="164" t="str">
        <f t="shared" si="100"/>
        <v/>
      </c>
      <c r="AR87" s="161" t="str">
        <f t="shared" si="100"/>
        <v/>
      </c>
    </row>
    <row r="88" spans="1:44" x14ac:dyDescent="0.25">
      <c r="A88" s="178" t="str">
        <f t="shared" ref="A88" si="101">+IF(C88+C89=0,"[ocultar]","")</f>
        <v>[ocultar]</v>
      </c>
      <c r="B88" s="166" t="s">
        <v>394</v>
      </c>
      <c r="C88" s="167">
        <f t="array" ref="C88">SUM(IF($B88=DATOS_[Sexo],
IF($B87=DATOS_[AGRUP. VALOR. PTO.],
IF("Dentro"=DATOS_[Check Periodo Ref.],
1/(COUNTIFS(DATOS_[Sexo],$B88,DATOS_[AGRUP. VALOR. PTO.],$B87,DATOS_[Check Periodo Ref.],"Dentro",DATOS_[id/cod],DATOS_[id/cod]))))))</f>
        <v>0</v>
      </c>
      <c r="D88" s="168">
        <f>COUNTIFS(DATOS_[AGRUP. VALOR. PTO.],$B87,DATOS_[Sexo],$B88,DATOS_[Check Periodo Ref.],"Dentro")</f>
        <v>0</v>
      </c>
      <c r="E88" s="169">
        <f t="array" ref="E88">IFERROR(
MEDIAN(IF(DATOS_[Sexo]=$B88,IF(DATOS_[AGRUP. VALOR. PTO.]=$B87,IF(DATOS_[Check Periodo Ref.]="Dentro",DATOS_[SALARIO BASE Ef],FALSE)))),
0)</f>
        <v>0</v>
      </c>
      <c r="F88" s="170">
        <f t="array" ref="F88">IFERROR(
MEDIAN((IF(DATOS_[[Sexo]:[Sexo]]=$B88,IF(DATOS_[[AGRUP. VALOR. PTO.]:[AGRUP. VALOR. PTO.]]=$B87,IF(DATOS_[[Check Periodo Ref.]:[Check Periodo Ref.]]="Dentro",DATOS_[Conc.Sal.01]))))),
0)</f>
        <v>0</v>
      </c>
      <c r="G88" s="170">
        <f t="array" ref="G88">IFERROR(
MEDIAN((IF(DATOS_[[Sexo]:[Sexo]]=$B88,IF(DATOS_[[AGRUP. VALOR. PTO.]:[AGRUP. VALOR. PTO.]]=$B87,IF(DATOS_[[Check Periodo Ref.]:[Check Periodo Ref.]]="Dentro",DATOS_[Conc.Sal.02]))))),
0)</f>
        <v>0</v>
      </c>
      <c r="H88" s="170">
        <f t="array" ref="H88">IFERROR(
MEDIAN((IF(DATOS_[[Sexo]:[Sexo]]=$B88,IF(DATOS_[[AGRUP. VALOR. PTO.]:[AGRUP. VALOR. PTO.]]=$B87,IF(DATOS_[[Check Periodo Ref.]:[Check Periodo Ref.]]="Dentro",DATOS_[Conc.Sal.03]))))),
0)</f>
        <v>0</v>
      </c>
      <c r="I88" s="170">
        <f t="array" ref="I88">IFERROR(
MEDIAN((IF(DATOS_[[Sexo]:[Sexo]]=$B88,IF(DATOS_[[AGRUP. VALOR. PTO.]:[AGRUP. VALOR. PTO.]]=$B87,IF(DATOS_[[Check Periodo Ref.]:[Check Periodo Ref.]]="Dentro",DATOS_[Conc.Sal.04]))))),
0)</f>
        <v>0</v>
      </c>
      <c r="J88" s="170">
        <f t="array" ref="J88">IFERROR(
MEDIAN((IF(DATOS_[[Sexo]:[Sexo]]=$B88,IF(DATOS_[[AGRUP. VALOR. PTO.]:[AGRUP. VALOR. PTO.]]=$B87,IF(DATOS_[[Check Periodo Ref.]:[Check Periodo Ref.]]="Dentro",DATOS_[Conc.Sal.05]))))),
0)</f>
        <v>0</v>
      </c>
      <c r="K88" s="170">
        <f t="array" ref="K88">IFERROR(
MEDIAN((IF(DATOS_[[Sexo]:[Sexo]]=$B88,IF(DATOS_[[AGRUP. VALOR. PTO.]:[AGRUP. VALOR. PTO.]]=$B87,IF(DATOS_[[Check Periodo Ref.]:[Check Periodo Ref.]]="Dentro",DATOS_[Conc.Sal.06]))))),
0)</f>
        <v>0</v>
      </c>
      <c r="L88" s="170">
        <f t="array" ref="L88">IFERROR(
MEDIAN((IF(DATOS_[[Sexo]:[Sexo]]=$B88,IF(DATOS_[[AGRUP. VALOR. PTO.]:[AGRUP. VALOR. PTO.]]=$B87,IF(DATOS_[[Check Periodo Ref.]:[Check Periodo Ref.]]="Dentro",DATOS_[Conc.Sal.07]))))),
0)</f>
        <v>0</v>
      </c>
      <c r="M88" s="170">
        <f t="array" ref="M88">IFERROR(
MEDIAN((IF(DATOS_[[Sexo]:[Sexo]]=$B88,IF(DATOS_[[AGRUP. VALOR. PTO.]:[AGRUP. VALOR. PTO.]]=$B87,IF(DATOS_[[Check Periodo Ref.]:[Check Periodo Ref.]]="Dentro",DATOS_[Conc.Sal.08]))))),
0)</f>
        <v>0</v>
      </c>
      <c r="N88" s="170">
        <f t="array" ref="N88">IFERROR(
MEDIAN((IF(DATOS_[[Sexo]:[Sexo]]=$B88,IF(DATOS_[[AGRUP. VALOR. PTO.]:[AGRUP. VALOR. PTO.]]=$B87,IF(DATOS_[[Check Periodo Ref.]:[Check Periodo Ref.]]="Dentro",DATOS_[Conc.Sal.09]))))),
0)</f>
        <v>0</v>
      </c>
      <c r="O88" s="170">
        <f t="array" ref="O88">IFERROR(
MEDIAN((IF(DATOS_[[Sexo]:[Sexo]]=$B88,IF(DATOS_[[AGRUP. VALOR. PTO.]:[AGRUP. VALOR. PTO.]]=$B87,IF(DATOS_[[Check Periodo Ref.]:[Check Periodo Ref.]]="Dentro",DATOS_[Conc.Sal.10]))))),
0)</f>
        <v>0</v>
      </c>
      <c r="P88" s="170">
        <f t="array" ref="P88">IFERROR(
MEDIAN((IF(DATOS_[[Sexo]:[Sexo]]=$B88,IF(DATOS_[[AGRUP. VALOR. PTO.]:[AGRUP. VALOR. PTO.]]=$B87,IF(DATOS_[[Check Periodo Ref.]:[Check Periodo Ref.]]="Dentro",DATOS_[Conc.Sal.11]))))),
0)</f>
        <v>0</v>
      </c>
      <c r="Q88" s="170">
        <f t="array" ref="Q88">IFERROR(
MEDIAN((IF(DATOS_[[Sexo]:[Sexo]]=$B88,IF(DATOS_[[AGRUP. VALOR. PTO.]:[AGRUP. VALOR. PTO.]]=$B87,IF(DATOS_[[Check Periodo Ref.]:[Check Periodo Ref.]]="Dentro",DATOS_[Conc.Sal.12]))))),
0)</f>
        <v>0</v>
      </c>
      <c r="R88" s="170">
        <f t="array" ref="R88">IFERROR(
MEDIAN((IF(DATOS_[[Sexo]:[Sexo]]=$B88,IF(DATOS_[[AGRUP. VALOR. PTO.]:[AGRUP. VALOR. PTO.]]=$B87,IF(DATOS_[[Check Periodo Ref.]:[Check Periodo Ref.]]="Dentro",DATOS_[Conc.Sal.13]))))),
0)</f>
        <v>0</v>
      </c>
      <c r="S88" s="170">
        <f t="array" ref="S88">IFERROR(
MEDIAN((IF(DATOS_[[Sexo]:[Sexo]]=$B88,IF(DATOS_[[AGRUP. VALOR. PTO.]:[AGRUP. VALOR. PTO.]]=$B87,IF(DATOS_[[Check Periodo Ref.]:[Check Periodo Ref.]]="Dentro",DATOS_[Conc.Sal.14]))))),
0)</f>
        <v>0</v>
      </c>
      <c r="T88" s="170">
        <f t="array" ref="T88">IFERROR(
MEDIAN((IF(DATOS_[[Sexo]:[Sexo]]=$B88,IF(DATOS_[[AGRUP. VALOR. PTO.]:[AGRUP. VALOR. PTO.]]=$B87,IF(DATOS_[[Check Periodo Ref.]:[Check Periodo Ref.]]="Dentro",DATOS_[Conc.Sal.15]))))),
0)</f>
        <v>0</v>
      </c>
      <c r="U88" s="170">
        <f t="array" ref="U88">IFERROR(
MEDIAN((IF(DATOS_[[Sexo]:[Sexo]]=$B88,IF(DATOS_[[AGRUP. VALOR. PTO.]:[AGRUP. VALOR. PTO.]]=$B87,IF(DATOS_[[Check Periodo Ref.]:[Check Periodo Ref.]]="Dentro",DATOS_[Conc.Sal.16]))))),
0)</f>
        <v>0</v>
      </c>
      <c r="V88" s="170">
        <f t="array" ref="V88">IFERROR(
MEDIAN((IF(DATOS_[[Sexo]:[Sexo]]=$B88,IF(DATOS_[[AGRUP. VALOR. PTO.]:[AGRUP. VALOR. PTO.]]=$B87,IF(DATOS_[[Check Periodo Ref.]:[Check Periodo Ref.]]="Dentro",DATOS_[Conc.Sal.17]))))),
0)</f>
        <v>0</v>
      </c>
      <c r="W88" s="170">
        <f t="array" ref="W88">IFERROR(
MEDIAN((IF(DATOS_[[Sexo]:[Sexo]]=$B88,IF(DATOS_[[AGRUP. VALOR. PTO.]:[AGRUP. VALOR. PTO.]]=$B87,IF(DATOS_[[Check Periodo Ref.]:[Check Periodo Ref.]]="Dentro",DATOS_[Conc.Sal.18]))))),
0)</f>
        <v>0</v>
      </c>
      <c r="X88" s="170">
        <f t="array" ref="X88">IFERROR(
MEDIAN((IF(DATOS_[[Sexo]:[Sexo]]=$B88,IF(DATOS_[[AGRUP. VALOR. PTO.]:[AGRUP. VALOR. PTO.]]=$B87,IF(DATOS_[[Check Periodo Ref.]:[Check Periodo Ref.]]="Dentro",DATOS_[Conc.Sal.19]))))),
0)</f>
        <v>0</v>
      </c>
      <c r="Y88" s="170">
        <f t="array" ref="Y88">IFERROR(
MEDIAN((IF(DATOS_[[Sexo]:[Sexo]]=$B88,IF(DATOS_[[AGRUP. VALOR. PTO.]:[AGRUP. VALOR. PTO.]]=$B87,IF(DATOS_[[Check Periodo Ref.]:[Check Periodo Ref.]]="Dentro",DATOS_[Conc.Sal.20]))))),
0)</f>
        <v>0</v>
      </c>
      <c r="Z88" s="170">
        <f t="array" ref="Z88">IFERROR(
MEDIAN((IF(DATOS_[[Sexo]:[Sexo]]=$B88,IF(DATOS_[[AGRUP. VALOR. PTO.]:[AGRUP. VALOR. PTO.]]=$B87,IF(DATOS_[[Check Periodo Ref.]:[Check Periodo Ref.]]="Dentro",DATOS_[Conc.Sal.21]))))),
0)</f>
        <v>0</v>
      </c>
      <c r="AA88" s="170">
        <f t="array" ref="AA88">IFERROR(
MEDIAN((IF(DATOS_[[Sexo]:[Sexo]]=$B88,IF(DATOS_[[AGRUP. VALOR. PTO.]:[AGRUP. VALOR. PTO.]]=$B87,IF(DATOS_[[Check Periodo Ref.]:[Check Periodo Ref.]]="Dentro",DATOS_[Conc.Sal.22]))))),
0)</f>
        <v>0</v>
      </c>
      <c r="AB88" s="170">
        <f t="array" ref="AB88">IFERROR(
MEDIAN((IF(DATOS_[[Sexo]:[Sexo]]=$B88,IF(DATOS_[[AGRUP. VALOR. PTO.]:[AGRUP. VALOR. PTO.]]=$B87,IF(DATOS_[[Check Periodo Ref.]:[Check Periodo Ref.]]="Dentro",DATOS_[Conc.Sal.23]))))),
0)</f>
        <v>0</v>
      </c>
      <c r="AC88" s="170">
        <f t="array" ref="AC88">IFERROR(
MEDIAN((IF(DATOS_[[Sexo]:[Sexo]]=$B88,IF(DATOS_[[AGRUP. VALOR. PTO.]:[AGRUP. VALOR. PTO.]]=$B87,IF(DATOS_[[Check Periodo Ref.]:[Check Periodo Ref.]]="Dentro",DATOS_[Conc.Sal.24]))))),
0)</f>
        <v>0</v>
      </c>
      <c r="AD88" s="170">
        <f t="array" ref="AD88">IFERROR(
MEDIAN((IF(DATOS_[[Sexo]:[Sexo]]=$B88,IF(DATOS_[[AGRUP. VALOR. PTO.]:[AGRUP. VALOR. PTO.]]=$B87,IF(DATOS_[[Check Periodo Ref.]:[Check Periodo Ref.]]="Dentro",DATOS_[Conc.Sal.25]))))),
0)</f>
        <v>0</v>
      </c>
      <c r="AE88" s="170">
        <f t="array" ref="AE88">IFERROR(
MEDIAN((IF(DATOS_[[Sexo]:[Sexo]]=$B88,IF(DATOS_[[AGRUP. VALOR. PTO.]:[AGRUP. VALOR. PTO.]]=$B87,IF(DATOS_[[Check Periodo Ref.]:[Check Periodo Ref.]]="Dentro",DATOS_[Conc.Sal.26]))))),
0)</f>
        <v>0</v>
      </c>
      <c r="AF88" s="170">
        <f t="array" ref="AF88">IFERROR(
MEDIAN((IF(DATOS_[[Sexo]:[Sexo]]=$B88,IF(DATOS_[[AGRUP. VALOR. PTO.]:[AGRUP. VALOR. PTO.]]=$B87,IF(DATOS_[[Check Periodo Ref.]:[Check Periodo Ref.]]="Dentro",DATOS_[Conc.Sal.27]))))),
0)</f>
        <v>0</v>
      </c>
      <c r="AG88" s="170">
        <f t="array" ref="AG88">IFERROR(
MEDIAN((IF(DATOS_[[Sexo]:[Sexo]]=$B88,IF(DATOS_[[AGRUP. VALOR. PTO.]:[AGRUP. VALOR. PTO.]]=$B87,IF(DATOS_[[Check Periodo Ref.]:[Check Periodo Ref.]]="Dentro",DATOS_[Conc.Sal.28]))))),
0)</f>
        <v>0</v>
      </c>
      <c r="AH88" s="170">
        <f t="array" ref="AH88">IFERROR(
MEDIAN((IF(DATOS_[[Sexo]:[Sexo]]=$B88,IF(DATOS_[[AGRUP. VALOR. PTO.]:[AGRUP. VALOR. PTO.]]=$B87,IF(DATOS_[[Check Periodo Ref.]:[Check Periodo Ref.]]="Dentro",DATOS_[Conc.Sal.29]))))),
0)</f>
        <v>0</v>
      </c>
      <c r="AI88" s="170">
        <f t="array" ref="AI88">IFERROR(
MEDIAN((IF(DATOS_[[Sexo]:[Sexo]]=$B88,IF(DATOS_[[AGRUP. VALOR. PTO.]:[AGRUP. VALOR. PTO.]]=$B87,IF(DATOS_[[Check Periodo Ref.]:[Check Periodo Ref.]]="Dentro",DATOS_[Conc.Sal.30]))))),
0)</f>
        <v>0</v>
      </c>
      <c r="AJ88" s="171">
        <f t="array" ref="AJ88">IFERROR(
MEDIAN(IF(DATOS_[Sexo]=$B88,IF(DATOS_[AGRUP. VALOR. PTO.]=$B87,IF(DATOS_[Check Periodo Ref.]="Dentro",DATOS_[Tot COMPL.SAL Ef],FALSE)))),
0)</f>
        <v>0</v>
      </c>
      <c r="AK88" s="172">
        <f t="array" ref="AK88">IFERROR(
MEDIAN(IF(DATOS_[Sexo]=$B88,IF(DATOS_[AGRUP. VALOR. PTO.]=$B87,IF(DATOS_[Check Periodo Ref.]="Dentro",DATOS_[TOTAL SALARIO Ef],FALSE)))),
0)</f>
        <v>0</v>
      </c>
      <c r="AL88" s="173">
        <f t="array" ref="AL88">IFERROR(
MEDIAN((IF(DATOS_[[Sexo]:[Sexo]]=$B88,IF(DATOS_[[AGRUP. VALOR. PTO.]:[AGRUP. VALOR. PTO.]]=$B87,IF(DATOS_[[Check Periodo Ref.]:[Check Periodo Ref.]]="Dentro",DATOS_[C.Extra.01]))))),
0)</f>
        <v>0</v>
      </c>
      <c r="AM88" s="173">
        <f t="array" ref="AM88">IFERROR(
MEDIAN((IF(DATOS_[[Sexo]:[Sexo]]=$B88,IF(DATOS_[[AGRUP. VALOR. PTO.]:[AGRUP. VALOR. PTO.]]=$B87,IF(DATOS_[[Check Periodo Ref.]:[Check Periodo Ref.]]="Dentro",DATOS_[C.Extra.06]))))),
0)</f>
        <v>0</v>
      </c>
      <c r="AN88" s="173">
        <f t="array" ref="AN88">IFERROR(
MEDIAN((IF(DATOS_[[Sexo]:[Sexo]]=$B88,IF(DATOS_[[AGRUP. VALOR. PTO.]:[AGRUP. VALOR. PTO.]]=$B87,IF(DATOS_[[Check Periodo Ref.]:[Check Periodo Ref.]]="Dentro",DATOS_[C.Extra.07]))))),
0)</f>
        <v>0</v>
      </c>
      <c r="AO88" s="173">
        <f t="array" ref="AO88">IFERROR(
MEDIAN((IF(DATOS_[[Sexo]:[Sexo]]=$B88,IF(DATOS_[[AGRUP. VALOR. PTO.]:[AGRUP. VALOR. PTO.]]=$B87,IF(DATOS_[[Check Periodo Ref.]:[Check Periodo Ref.]]="Dentro",DATOS_[C.Extra.08]))))),
0)</f>
        <v>0</v>
      </c>
      <c r="AP88" s="173">
        <f t="array" ref="AP88">IFERROR(
MEDIAN((IF(DATOS_[[Sexo]:[Sexo]]=$B88,IF(DATOS_[[AGRUP. VALOR. PTO.]:[AGRUP. VALOR. PTO.]]=$B87,IF(DATOS_[[Check Periodo Ref.]:[Check Periodo Ref.]]="Dentro",DATOS_[C.Extra.11]))))),
0)</f>
        <v>0</v>
      </c>
      <c r="AQ88" s="174">
        <f t="array" ref="AQ88">IFERROR(
MEDIAN(IF(DATOS_[Sexo]=$B88,IF(DATOS_[AGRUP. VALOR. PTO.]=$B87,IF(DATOS_[Check Periodo Ref.]="Dentro",DATOS_[Tot Extrasalarial Ef],FALSE)))),
0)</f>
        <v>0</v>
      </c>
      <c r="AR88" s="171">
        <f t="array" ref="AR88">IFERROR(
MEDIAN(IF(DATOS_[Sexo]=$B88,IF(DATOS_[AGRUP. VALOR. PTO.]=$B87,IF(DATOS_[Check Periodo Ref.]="Dentro",DATOS_[TOTAL Retrib Ef],FALSE)))),
0)</f>
        <v>0</v>
      </c>
    </row>
    <row r="89" spans="1:44" x14ac:dyDescent="0.25">
      <c r="A89" s="178" t="str">
        <f t="shared" ref="A89" si="102">+A88</f>
        <v>[ocultar]</v>
      </c>
      <c r="B89" s="166" t="s">
        <v>521</v>
      </c>
      <c r="C89" s="167">
        <f t="array" ref="C89">SUM(IF($B89=DATOS_[Sexo],
IF($B87=DATOS_[AGRUP. VALOR. PTO.],
IF("Dentro"=DATOS_[Check Periodo Ref.],
1/(COUNTIFS(DATOS_[Sexo],$B89,DATOS_[AGRUP. VALOR. PTO.],$B87,DATOS_[Check Periodo Ref.],"Dentro",DATOS_[id/cod],DATOS_[id/cod]))))))</f>
        <v>0</v>
      </c>
      <c r="D89" s="168">
        <f>COUNTIFS(DATOS_[AGRUP. VALOR. PTO.],$B87,DATOS_[Sexo],$B89,DATOS_[Check Periodo Ref.],"Dentro")</f>
        <v>0</v>
      </c>
      <c r="E89" s="169">
        <f t="array" ref="E89">IFERROR(
MEDIAN(IF(DATOS_[Sexo]=$B89,IF(DATOS_[AGRUP. VALOR. PTO.]=$B87,IF(DATOS_[Check Periodo Ref.]="Dentro",DATOS_[SALARIO BASE Ef],FALSE)))),
0)</f>
        <v>0</v>
      </c>
      <c r="F89" s="170">
        <f t="array" ref="F89">IFERROR(
MEDIAN((IF(DATOS_[[Sexo]:[Sexo]]=$B89,IF(DATOS_[[AGRUP. VALOR. PTO.]:[AGRUP. VALOR. PTO.]]=$B87,IF(DATOS_[[Check Periodo Ref.]:[Check Periodo Ref.]]="Dentro",DATOS_[Conc.Sal.01]))))),
0)</f>
        <v>0</v>
      </c>
      <c r="G89" s="170">
        <f t="array" ref="G89">IFERROR(
MEDIAN((IF(DATOS_[[Sexo]:[Sexo]]=$B89,IF(DATOS_[[AGRUP. VALOR. PTO.]:[AGRUP. VALOR. PTO.]]=$B87,IF(DATOS_[[Check Periodo Ref.]:[Check Periodo Ref.]]="Dentro",DATOS_[Conc.Sal.02]))))),
0)</f>
        <v>0</v>
      </c>
      <c r="H89" s="170">
        <f t="array" ref="H89">IFERROR(
MEDIAN((IF(DATOS_[[Sexo]:[Sexo]]=$B89,IF(DATOS_[[AGRUP. VALOR. PTO.]:[AGRUP. VALOR. PTO.]]=$B87,IF(DATOS_[[Check Periodo Ref.]:[Check Periodo Ref.]]="Dentro",DATOS_[Conc.Sal.03]))))),
0)</f>
        <v>0</v>
      </c>
      <c r="I89" s="170">
        <f t="array" ref="I89">IFERROR(
MEDIAN((IF(DATOS_[[Sexo]:[Sexo]]=$B89,IF(DATOS_[[AGRUP. VALOR. PTO.]:[AGRUP. VALOR. PTO.]]=$B87,IF(DATOS_[[Check Periodo Ref.]:[Check Periodo Ref.]]="Dentro",DATOS_[Conc.Sal.04]))))),
0)</f>
        <v>0</v>
      </c>
      <c r="J89" s="170">
        <f t="array" ref="J89">IFERROR(
MEDIAN((IF(DATOS_[[Sexo]:[Sexo]]=$B89,IF(DATOS_[[AGRUP. VALOR. PTO.]:[AGRUP. VALOR. PTO.]]=$B87,IF(DATOS_[[Check Periodo Ref.]:[Check Periodo Ref.]]="Dentro",DATOS_[Conc.Sal.05]))))),
0)</f>
        <v>0</v>
      </c>
      <c r="K89" s="170">
        <f t="array" ref="K89">IFERROR(
MEDIAN((IF(DATOS_[[Sexo]:[Sexo]]=$B89,IF(DATOS_[[AGRUP. VALOR. PTO.]:[AGRUP. VALOR. PTO.]]=$B87,IF(DATOS_[[Check Periodo Ref.]:[Check Periodo Ref.]]="Dentro",DATOS_[Conc.Sal.06]))))),
0)</f>
        <v>0</v>
      </c>
      <c r="L89" s="170">
        <f t="array" ref="L89">IFERROR(
MEDIAN((IF(DATOS_[[Sexo]:[Sexo]]=$B89,IF(DATOS_[[AGRUP. VALOR. PTO.]:[AGRUP. VALOR. PTO.]]=$B87,IF(DATOS_[[Check Periodo Ref.]:[Check Periodo Ref.]]="Dentro",DATOS_[Conc.Sal.07]))))),
0)</f>
        <v>0</v>
      </c>
      <c r="M89" s="170">
        <f t="array" ref="M89">IFERROR(
MEDIAN((IF(DATOS_[[Sexo]:[Sexo]]=$B89,IF(DATOS_[[AGRUP. VALOR. PTO.]:[AGRUP. VALOR. PTO.]]=$B87,IF(DATOS_[[Check Periodo Ref.]:[Check Periodo Ref.]]="Dentro",DATOS_[Conc.Sal.08]))))),
0)</f>
        <v>0</v>
      </c>
      <c r="N89" s="170">
        <f t="array" ref="N89">IFERROR(
MEDIAN((IF(DATOS_[[Sexo]:[Sexo]]=$B89,IF(DATOS_[[AGRUP. VALOR. PTO.]:[AGRUP. VALOR. PTO.]]=$B87,IF(DATOS_[[Check Periodo Ref.]:[Check Periodo Ref.]]="Dentro",DATOS_[Conc.Sal.09]))))),
0)</f>
        <v>0</v>
      </c>
      <c r="O89" s="170">
        <f t="array" ref="O89">IFERROR(
MEDIAN((IF(DATOS_[[Sexo]:[Sexo]]=$B89,IF(DATOS_[[AGRUP. VALOR. PTO.]:[AGRUP. VALOR. PTO.]]=$B87,IF(DATOS_[[Check Periodo Ref.]:[Check Periodo Ref.]]="Dentro",DATOS_[Conc.Sal.10]))))),
0)</f>
        <v>0</v>
      </c>
      <c r="P89" s="170">
        <f t="array" ref="P89">IFERROR(
MEDIAN((IF(DATOS_[[Sexo]:[Sexo]]=$B89,IF(DATOS_[[AGRUP. VALOR. PTO.]:[AGRUP. VALOR. PTO.]]=$B87,IF(DATOS_[[Check Periodo Ref.]:[Check Periodo Ref.]]="Dentro",DATOS_[Conc.Sal.11]))))),
0)</f>
        <v>0</v>
      </c>
      <c r="Q89" s="170">
        <f t="array" ref="Q89">IFERROR(
MEDIAN((IF(DATOS_[[Sexo]:[Sexo]]=$B89,IF(DATOS_[[AGRUP. VALOR. PTO.]:[AGRUP. VALOR. PTO.]]=$B87,IF(DATOS_[[Check Periodo Ref.]:[Check Periodo Ref.]]="Dentro",DATOS_[Conc.Sal.12]))))),
0)</f>
        <v>0</v>
      </c>
      <c r="R89" s="170">
        <f t="array" ref="R89">IFERROR(
MEDIAN((IF(DATOS_[[Sexo]:[Sexo]]=$B89,IF(DATOS_[[AGRUP. VALOR. PTO.]:[AGRUP. VALOR. PTO.]]=$B87,IF(DATOS_[[Check Periodo Ref.]:[Check Periodo Ref.]]="Dentro",DATOS_[Conc.Sal.13]))))),
0)</f>
        <v>0</v>
      </c>
      <c r="S89" s="170">
        <f t="array" ref="S89">IFERROR(
MEDIAN((IF(DATOS_[[Sexo]:[Sexo]]=$B89,IF(DATOS_[[AGRUP. VALOR. PTO.]:[AGRUP. VALOR. PTO.]]=$B87,IF(DATOS_[[Check Periodo Ref.]:[Check Periodo Ref.]]="Dentro",DATOS_[Conc.Sal.14]))))),
0)</f>
        <v>0</v>
      </c>
      <c r="T89" s="170">
        <f t="array" ref="T89">IFERROR(
MEDIAN((IF(DATOS_[[Sexo]:[Sexo]]=$B89,IF(DATOS_[[AGRUP. VALOR. PTO.]:[AGRUP. VALOR. PTO.]]=$B87,IF(DATOS_[[Check Periodo Ref.]:[Check Periodo Ref.]]="Dentro",DATOS_[Conc.Sal.15]))))),
0)</f>
        <v>0</v>
      </c>
      <c r="U89" s="170">
        <f t="array" ref="U89">IFERROR(
MEDIAN((IF(DATOS_[[Sexo]:[Sexo]]=$B89,IF(DATOS_[[AGRUP. VALOR. PTO.]:[AGRUP. VALOR. PTO.]]=$B87,IF(DATOS_[[Check Periodo Ref.]:[Check Periodo Ref.]]="Dentro",DATOS_[Conc.Sal.16]))))),
0)</f>
        <v>0</v>
      </c>
      <c r="V89" s="170">
        <f t="array" ref="V89">IFERROR(
MEDIAN((IF(DATOS_[[Sexo]:[Sexo]]=$B89,IF(DATOS_[[AGRUP. VALOR. PTO.]:[AGRUP. VALOR. PTO.]]=$B87,IF(DATOS_[[Check Periodo Ref.]:[Check Periodo Ref.]]="Dentro",DATOS_[Conc.Sal.17]))))),
0)</f>
        <v>0</v>
      </c>
      <c r="W89" s="170">
        <f t="array" ref="W89">IFERROR(
MEDIAN((IF(DATOS_[[Sexo]:[Sexo]]=$B89,IF(DATOS_[[AGRUP. VALOR. PTO.]:[AGRUP. VALOR. PTO.]]=$B87,IF(DATOS_[[Check Periodo Ref.]:[Check Periodo Ref.]]="Dentro",DATOS_[Conc.Sal.18]))))),
0)</f>
        <v>0</v>
      </c>
      <c r="X89" s="170">
        <f t="array" ref="X89">IFERROR(
MEDIAN((IF(DATOS_[[Sexo]:[Sexo]]=$B89,IF(DATOS_[[AGRUP. VALOR. PTO.]:[AGRUP. VALOR. PTO.]]=$B87,IF(DATOS_[[Check Periodo Ref.]:[Check Periodo Ref.]]="Dentro",DATOS_[Conc.Sal.19]))))),
0)</f>
        <v>0</v>
      </c>
      <c r="Y89" s="170">
        <f t="array" ref="Y89">IFERROR(
MEDIAN((IF(DATOS_[[Sexo]:[Sexo]]=$B89,IF(DATOS_[[AGRUP. VALOR. PTO.]:[AGRUP. VALOR. PTO.]]=$B87,IF(DATOS_[[Check Periodo Ref.]:[Check Periodo Ref.]]="Dentro",DATOS_[Conc.Sal.20]))))),
0)</f>
        <v>0</v>
      </c>
      <c r="Z89" s="170">
        <f t="array" ref="Z89">IFERROR(
MEDIAN((IF(DATOS_[[Sexo]:[Sexo]]=$B89,IF(DATOS_[[AGRUP. VALOR. PTO.]:[AGRUP. VALOR. PTO.]]=$B87,IF(DATOS_[[Check Periodo Ref.]:[Check Periodo Ref.]]="Dentro",DATOS_[Conc.Sal.21]))))),
0)</f>
        <v>0</v>
      </c>
      <c r="AA89" s="170">
        <f t="array" ref="AA89">IFERROR(
MEDIAN((IF(DATOS_[[Sexo]:[Sexo]]=$B89,IF(DATOS_[[AGRUP. VALOR. PTO.]:[AGRUP. VALOR. PTO.]]=$B87,IF(DATOS_[[Check Periodo Ref.]:[Check Periodo Ref.]]="Dentro",DATOS_[Conc.Sal.22]))))),
0)</f>
        <v>0</v>
      </c>
      <c r="AB89" s="170">
        <f t="array" ref="AB89">IFERROR(
MEDIAN((IF(DATOS_[[Sexo]:[Sexo]]=$B89,IF(DATOS_[[AGRUP. VALOR. PTO.]:[AGRUP. VALOR. PTO.]]=$B87,IF(DATOS_[[Check Periodo Ref.]:[Check Periodo Ref.]]="Dentro",DATOS_[Conc.Sal.23]))))),
0)</f>
        <v>0</v>
      </c>
      <c r="AC89" s="170">
        <f t="array" ref="AC89">IFERROR(
MEDIAN((IF(DATOS_[[Sexo]:[Sexo]]=$B89,IF(DATOS_[[AGRUP. VALOR. PTO.]:[AGRUP. VALOR. PTO.]]=$B87,IF(DATOS_[[Check Periodo Ref.]:[Check Periodo Ref.]]="Dentro",DATOS_[Conc.Sal.24]))))),
0)</f>
        <v>0</v>
      </c>
      <c r="AD89" s="170">
        <f t="array" ref="AD89">IFERROR(
MEDIAN((IF(DATOS_[[Sexo]:[Sexo]]=$B89,IF(DATOS_[[AGRUP. VALOR. PTO.]:[AGRUP. VALOR. PTO.]]=$B87,IF(DATOS_[[Check Periodo Ref.]:[Check Periodo Ref.]]="Dentro",DATOS_[Conc.Sal.25]))))),
0)</f>
        <v>0</v>
      </c>
      <c r="AE89" s="170">
        <f t="array" ref="AE89">IFERROR(
MEDIAN((IF(DATOS_[[Sexo]:[Sexo]]=$B89,IF(DATOS_[[AGRUP. VALOR. PTO.]:[AGRUP. VALOR. PTO.]]=$B87,IF(DATOS_[[Check Periodo Ref.]:[Check Periodo Ref.]]="Dentro",DATOS_[Conc.Sal.26]))))),
0)</f>
        <v>0</v>
      </c>
      <c r="AF89" s="170">
        <f t="array" ref="AF89">IFERROR(
MEDIAN((IF(DATOS_[[Sexo]:[Sexo]]=$B89,IF(DATOS_[[AGRUP. VALOR. PTO.]:[AGRUP. VALOR. PTO.]]=$B87,IF(DATOS_[[Check Periodo Ref.]:[Check Periodo Ref.]]="Dentro",DATOS_[Conc.Sal.27]))))),
0)</f>
        <v>0</v>
      </c>
      <c r="AG89" s="170">
        <f t="array" ref="AG89">IFERROR(
MEDIAN((IF(DATOS_[[Sexo]:[Sexo]]=$B89,IF(DATOS_[[AGRUP. VALOR. PTO.]:[AGRUP. VALOR. PTO.]]=$B87,IF(DATOS_[[Check Periodo Ref.]:[Check Periodo Ref.]]="Dentro",DATOS_[Conc.Sal.28]))))),
0)</f>
        <v>0</v>
      </c>
      <c r="AH89" s="170">
        <f t="array" ref="AH89">IFERROR(
MEDIAN((IF(DATOS_[[Sexo]:[Sexo]]=$B89,IF(DATOS_[[AGRUP. VALOR. PTO.]:[AGRUP. VALOR. PTO.]]=$B87,IF(DATOS_[[Check Periodo Ref.]:[Check Periodo Ref.]]="Dentro",DATOS_[Conc.Sal.29]))))),
0)</f>
        <v>0</v>
      </c>
      <c r="AI89" s="170">
        <f t="array" ref="AI89">IFERROR(
MEDIAN((IF(DATOS_[[Sexo]:[Sexo]]=$B89,IF(DATOS_[[AGRUP. VALOR. PTO.]:[AGRUP. VALOR. PTO.]]=$B87,IF(DATOS_[[Check Periodo Ref.]:[Check Periodo Ref.]]="Dentro",DATOS_[Conc.Sal.30]))))),
0)</f>
        <v>0</v>
      </c>
      <c r="AJ89" s="171">
        <f t="array" ref="AJ89">IFERROR(
MEDIAN(IF(DATOS_[Sexo]=$B89,IF(DATOS_[AGRUP. VALOR. PTO.]=$B87,IF(DATOS_[Check Periodo Ref.]="Dentro",DATOS_[Tot COMPL.SAL Ef],FALSE)))),
0)</f>
        <v>0</v>
      </c>
      <c r="AK89" s="172">
        <f t="array" ref="AK89">IFERROR(
MEDIAN(IF(DATOS_[Sexo]=$B89,IF(DATOS_[AGRUP. VALOR. PTO.]=$B87,IF(DATOS_[Check Periodo Ref.]="Dentro",DATOS_[TOTAL SALARIO Ef],FALSE)))),
0)</f>
        <v>0</v>
      </c>
      <c r="AL89" s="173">
        <f t="array" ref="AL89">IFERROR(
MEDIAN((IF(DATOS_[[Sexo]:[Sexo]]=$B89,IF(DATOS_[[AGRUP. VALOR. PTO.]:[AGRUP. VALOR. PTO.]]=$B87,IF(DATOS_[[Check Periodo Ref.]:[Check Periodo Ref.]]="Dentro",DATOS_[C.Extra.01]))))),
0)</f>
        <v>0</v>
      </c>
      <c r="AM89" s="173">
        <f t="array" ref="AM89">IFERROR(
MEDIAN((IF(DATOS_[[Sexo]:[Sexo]]=$B89,IF(DATOS_[[AGRUP. VALOR. PTO.]:[AGRUP. VALOR. PTO.]]=$B87,IF(DATOS_[[Check Periodo Ref.]:[Check Periodo Ref.]]="Dentro",DATOS_[C.Extra.06]))))),
0)</f>
        <v>0</v>
      </c>
      <c r="AN89" s="173">
        <f t="array" ref="AN89">IFERROR(
MEDIAN((IF(DATOS_[[Sexo]:[Sexo]]=$B89,IF(DATOS_[[AGRUP. VALOR. PTO.]:[AGRUP. VALOR. PTO.]]=$B87,IF(DATOS_[[Check Periodo Ref.]:[Check Periodo Ref.]]="Dentro",DATOS_[C.Extra.07]))))),
0)</f>
        <v>0</v>
      </c>
      <c r="AO89" s="173">
        <f t="array" ref="AO89">IFERROR(
MEDIAN((IF(DATOS_[[Sexo]:[Sexo]]=$B89,IF(DATOS_[[AGRUP. VALOR. PTO.]:[AGRUP. VALOR. PTO.]]=$B87,IF(DATOS_[[Check Periodo Ref.]:[Check Periodo Ref.]]="Dentro",DATOS_[C.Extra.08]))))),
0)</f>
        <v>0</v>
      </c>
      <c r="AP89" s="173">
        <f t="array" ref="AP89">IFERROR(
MEDIAN((IF(DATOS_[[Sexo]:[Sexo]]=$B89,IF(DATOS_[[AGRUP. VALOR. PTO.]:[AGRUP. VALOR. PTO.]]=$B87,IF(DATOS_[[Check Periodo Ref.]:[Check Periodo Ref.]]="Dentro",DATOS_[C.Extra.11]))))),
0)</f>
        <v>0</v>
      </c>
      <c r="AQ89" s="174">
        <f t="array" ref="AQ89">IFERROR(
MEDIAN(IF(DATOS_[Sexo]=$B89,IF(DATOS_[AGRUP. VALOR. PTO.]=$B87,IF(DATOS_[Check Periodo Ref.]="Dentro",DATOS_[Tot Extrasalarial Ef],FALSE)))),
0)</f>
        <v>0</v>
      </c>
      <c r="AR89" s="171">
        <f t="array" ref="AR89">IFERROR(
MEDIAN(IF(DATOS_[Sexo]=$B89,IF(DATOS_[AGRUP. VALOR. PTO.]=$B87,IF(DATOS_[Check Periodo Ref.]="Dentro",DATOS_[TOTAL Retrib Ef],FALSE)))),
0)</f>
        <v>0</v>
      </c>
    </row>
    <row r="90" spans="1:44" ht="14.4" thickBot="1" x14ac:dyDescent="0.3">
      <c r="A90" s="178" t="str">
        <f t="shared" ref="A90" si="103">+A91</f>
        <v>[ocultar]</v>
      </c>
      <c r="B90" s="153" t="s">
        <v>278</v>
      </c>
      <c r="C90" s="154"/>
      <c r="D90" s="155"/>
      <c r="E90" s="156" t="str">
        <f t="shared" ref="E90:AR90" si="104">IFERROR((E91-E92)/E91,"")</f>
        <v/>
      </c>
      <c r="F90" s="157" t="str">
        <f t="shared" si="104"/>
        <v/>
      </c>
      <c r="G90" s="158" t="str">
        <f t="shared" si="104"/>
        <v/>
      </c>
      <c r="H90" s="158" t="str">
        <f t="shared" si="104"/>
        <v/>
      </c>
      <c r="I90" s="158" t="str">
        <f t="shared" si="104"/>
        <v/>
      </c>
      <c r="J90" s="159" t="str">
        <f t="shared" si="104"/>
        <v/>
      </c>
      <c r="K90" s="160" t="str">
        <f t="shared" si="104"/>
        <v/>
      </c>
      <c r="L90" s="160" t="str">
        <f t="shared" si="104"/>
        <v/>
      </c>
      <c r="M90" s="160" t="str">
        <f t="shared" si="104"/>
        <v/>
      </c>
      <c r="N90" s="160" t="str">
        <f t="shared" si="104"/>
        <v/>
      </c>
      <c r="O90" s="160" t="str">
        <f t="shared" si="104"/>
        <v/>
      </c>
      <c r="P90" s="160" t="str">
        <f t="shared" si="104"/>
        <v/>
      </c>
      <c r="Q90" s="160" t="str">
        <f t="shared" si="104"/>
        <v/>
      </c>
      <c r="R90" s="160" t="str">
        <f t="shared" si="104"/>
        <v/>
      </c>
      <c r="S90" s="160" t="str">
        <f t="shared" si="104"/>
        <v/>
      </c>
      <c r="T90" s="160" t="str">
        <f t="shared" si="104"/>
        <v/>
      </c>
      <c r="U90" s="160" t="str">
        <f t="shared" si="104"/>
        <v/>
      </c>
      <c r="V90" s="159" t="str">
        <f t="shared" si="104"/>
        <v/>
      </c>
      <c r="W90" s="159" t="str">
        <f t="shared" si="104"/>
        <v/>
      </c>
      <c r="X90" s="159" t="str">
        <f t="shared" si="104"/>
        <v/>
      </c>
      <c r="Y90" s="159" t="str">
        <f t="shared" si="104"/>
        <v/>
      </c>
      <c r="Z90" s="159" t="str">
        <f t="shared" si="104"/>
        <v/>
      </c>
      <c r="AA90" s="159" t="str">
        <f t="shared" si="104"/>
        <v/>
      </c>
      <c r="AB90" s="159" t="str">
        <f t="shared" si="104"/>
        <v/>
      </c>
      <c r="AC90" s="159" t="str">
        <f t="shared" si="104"/>
        <v/>
      </c>
      <c r="AD90" s="159" t="str">
        <f t="shared" si="104"/>
        <v/>
      </c>
      <c r="AE90" s="159" t="str">
        <f t="shared" si="104"/>
        <v/>
      </c>
      <c r="AF90" s="159" t="str">
        <f t="shared" si="104"/>
        <v/>
      </c>
      <c r="AG90" s="159" t="str">
        <f t="shared" si="104"/>
        <v/>
      </c>
      <c r="AH90" s="159" t="str">
        <f t="shared" si="104"/>
        <v/>
      </c>
      <c r="AI90" s="159" t="str">
        <f t="shared" si="104"/>
        <v/>
      </c>
      <c r="AJ90" s="161" t="str">
        <f t="shared" si="104"/>
        <v/>
      </c>
      <c r="AK90" s="162" t="str">
        <f t="shared" si="104"/>
        <v/>
      </c>
      <c r="AL90" s="163" t="str">
        <f t="shared" si="104"/>
        <v/>
      </c>
      <c r="AM90" s="163" t="str">
        <f t="shared" si="104"/>
        <v/>
      </c>
      <c r="AN90" s="163" t="str">
        <f t="shared" si="104"/>
        <v/>
      </c>
      <c r="AO90" s="163" t="str">
        <f t="shared" si="104"/>
        <v/>
      </c>
      <c r="AP90" s="163" t="str">
        <f t="shared" si="104"/>
        <v/>
      </c>
      <c r="AQ90" s="164" t="str">
        <f t="shared" si="104"/>
        <v/>
      </c>
      <c r="AR90" s="161" t="str">
        <f t="shared" si="104"/>
        <v/>
      </c>
    </row>
    <row r="91" spans="1:44" x14ac:dyDescent="0.25">
      <c r="A91" s="178" t="str">
        <f t="shared" ref="A91" si="105">+IF(C91+C92=0,"[ocultar]","")</f>
        <v>[ocultar]</v>
      </c>
      <c r="B91" s="166" t="s">
        <v>394</v>
      </c>
      <c r="C91" s="167">
        <f t="array" ref="C91">SUM(IF($B91=DATOS_[Sexo],
IF($B90=DATOS_[AGRUP. VALOR. PTO.],
IF("Dentro"=DATOS_[Check Periodo Ref.],
1/(COUNTIFS(DATOS_[Sexo],$B91,DATOS_[AGRUP. VALOR. PTO.],$B90,DATOS_[Check Periodo Ref.],"Dentro",DATOS_[id/cod],DATOS_[id/cod]))))))</f>
        <v>0</v>
      </c>
      <c r="D91" s="168">
        <f>COUNTIFS(DATOS_[AGRUP. VALOR. PTO.],$B90,DATOS_[Sexo],$B91,DATOS_[Check Periodo Ref.],"Dentro")</f>
        <v>0</v>
      </c>
      <c r="E91" s="169">
        <f t="array" ref="E91">IFERROR(
MEDIAN(IF(DATOS_[Sexo]=$B91,IF(DATOS_[AGRUP. VALOR. PTO.]=$B90,IF(DATOS_[Check Periodo Ref.]="Dentro",DATOS_[SALARIO BASE Ef],FALSE)))),
0)</f>
        <v>0</v>
      </c>
      <c r="F91" s="170">
        <f t="array" ref="F91">IFERROR(
MEDIAN((IF(DATOS_[[Sexo]:[Sexo]]=$B91,IF(DATOS_[[AGRUP. VALOR. PTO.]:[AGRUP. VALOR. PTO.]]=$B90,IF(DATOS_[[Check Periodo Ref.]:[Check Periodo Ref.]]="Dentro",DATOS_[Conc.Sal.01]))))),
0)</f>
        <v>0</v>
      </c>
      <c r="G91" s="170">
        <f t="array" ref="G91">IFERROR(
MEDIAN((IF(DATOS_[[Sexo]:[Sexo]]=$B91,IF(DATOS_[[AGRUP. VALOR. PTO.]:[AGRUP. VALOR. PTO.]]=$B90,IF(DATOS_[[Check Periodo Ref.]:[Check Periodo Ref.]]="Dentro",DATOS_[Conc.Sal.02]))))),
0)</f>
        <v>0</v>
      </c>
      <c r="H91" s="170">
        <f t="array" ref="H91">IFERROR(
MEDIAN((IF(DATOS_[[Sexo]:[Sexo]]=$B91,IF(DATOS_[[AGRUP. VALOR. PTO.]:[AGRUP. VALOR. PTO.]]=$B90,IF(DATOS_[[Check Periodo Ref.]:[Check Periodo Ref.]]="Dentro",DATOS_[Conc.Sal.03]))))),
0)</f>
        <v>0</v>
      </c>
      <c r="I91" s="170">
        <f t="array" ref="I91">IFERROR(
MEDIAN((IF(DATOS_[[Sexo]:[Sexo]]=$B91,IF(DATOS_[[AGRUP. VALOR. PTO.]:[AGRUP. VALOR. PTO.]]=$B90,IF(DATOS_[[Check Periodo Ref.]:[Check Periodo Ref.]]="Dentro",DATOS_[Conc.Sal.04]))))),
0)</f>
        <v>0</v>
      </c>
      <c r="J91" s="170">
        <f t="array" ref="J91">IFERROR(
MEDIAN((IF(DATOS_[[Sexo]:[Sexo]]=$B91,IF(DATOS_[[AGRUP. VALOR. PTO.]:[AGRUP. VALOR. PTO.]]=$B90,IF(DATOS_[[Check Periodo Ref.]:[Check Periodo Ref.]]="Dentro",DATOS_[Conc.Sal.05]))))),
0)</f>
        <v>0</v>
      </c>
      <c r="K91" s="170">
        <f t="array" ref="K91">IFERROR(
MEDIAN((IF(DATOS_[[Sexo]:[Sexo]]=$B91,IF(DATOS_[[AGRUP. VALOR. PTO.]:[AGRUP. VALOR. PTO.]]=$B90,IF(DATOS_[[Check Periodo Ref.]:[Check Periodo Ref.]]="Dentro",DATOS_[Conc.Sal.06]))))),
0)</f>
        <v>0</v>
      </c>
      <c r="L91" s="170">
        <f t="array" ref="L91">IFERROR(
MEDIAN((IF(DATOS_[[Sexo]:[Sexo]]=$B91,IF(DATOS_[[AGRUP. VALOR. PTO.]:[AGRUP. VALOR. PTO.]]=$B90,IF(DATOS_[[Check Periodo Ref.]:[Check Periodo Ref.]]="Dentro",DATOS_[Conc.Sal.07]))))),
0)</f>
        <v>0</v>
      </c>
      <c r="M91" s="170">
        <f t="array" ref="M91">IFERROR(
MEDIAN((IF(DATOS_[[Sexo]:[Sexo]]=$B91,IF(DATOS_[[AGRUP. VALOR. PTO.]:[AGRUP. VALOR. PTO.]]=$B90,IF(DATOS_[[Check Periodo Ref.]:[Check Periodo Ref.]]="Dentro",DATOS_[Conc.Sal.08]))))),
0)</f>
        <v>0</v>
      </c>
      <c r="N91" s="170">
        <f t="array" ref="N91">IFERROR(
MEDIAN((IF(DATOS_[[Sexo]:[Sexo]]=$B91,IF(DATOS_[[AGRUP. VALOR. PTO.]:[AGRUP. VALOR. PTO.]]=$B90,IF(DATOS_[[Check Periodo Ref.]:[Check Periodo Ref.]]="Dentro",DATOS_[Conc.Sal.09]))))),
0)</f>
        <v>0</v>
      </c>
      <c r="O91" s="170">
        <f t="array" ref="O91">IFERROR(
MEDIAN((IF(DATOS_[[Sexo]:[Sexo]]=$B91,IF(DATOS_[[AGRUP. VALOR. PTO.]:[AGRUP. VALOR. PTO.]]=$B90,IF(DATOS_[[Check Periodo Ref.]:[Check Periodo Ref.]]="Dentro",DATOS_[Conc.Sal.10]))))),
0)</f>
        <v>0</v>
      </c>
      <c r="P91" s="170">
        <f t="array" ref="P91">IFERROR(
MEDIAN((IF(DATOS_[[Sexo]:[Sexo]]=$B91,IF(DATOS_[[AGRUP. VALOR. PTO.]:[AGRUP. VALOR. PTO.]]=$B90,IF(DATOS_[[Check Periodo Ref.]:[Check Periodo Ref.]]="Dentro",DATOS_[Conc.Sal.11]))))),
0)</f>
        <v>0</v>
      </c>
      <c r="Q91" s="170">
        <f t="array" ref="Q91">IFERROR(
MEDIAN((IF(DATOS_[[Sexo]:[Sexo]]=$B91,IF(DATOS_[[AGRUP. VALOR. PTO.]:[AGRUP. VALOR. PTO.]]=$B90,IF(DATOS_[[Check Periodo Ref.]:[Check Periodo Ref.]]="Dentro",DATOS_[Conc.Sal.12]))))),
0)</f>
        <v>0</v>
      </c>
      <c r="R91" s="170">
        <f t="array" ref="R91">IFERROR(
MEDIAN((IF(DATOS_[[Sexo]:[Sexo]]=$B91,IF(DATOS_[[AGRUP. VALOR. PTO.]:[AGRUP. VALOR. PTO.]]=$B90,IF(DATOS_[[Check Periodo Ref.]:[Check Periodo Ref.]]="Dentro",DATOS_[Conc.Sal.13]))))),
0)</f>
        <v>0</v>
      </c>
      <c r="S91" s="170">
        <f t="array" ref="S91">IFERROR(
MEDIAN((IF(DATOS_[[Sexo]:[Sexo]]=$B91,IF(DATOS_[[AGRUP. VALOR. PTO.]:[AGRUP. VALOR. PTO.]]=$B90,IF(DATOS_[[Check Periodo Ref.]:[Check Periodo Ref.]]="Dentro",DATOS_[Conc.Sal.14]))))),
0)</f>
        <v>0</v>
      </c>
      <c r="T91" s="170">
        <f t="array" ref="T91">IFERROR(
MEDIAN((IF(DATOS_[[Sexo]:[Sexo]]=$B91,IF(DATOS_[[AGRUP. VALOR. PTO.]:[AGRUP. VALOR. PTO.]]=$B90,IF(DATOS_[[Check Periodo Ref.]:[Check Periodo Ref.]]="Dentro",DATOS_[Conc.Sal.15]))))),
0)</f>
        <v>0</v>
      </c>
      <c r="U91" s="170">
        <f t="array" ref="U91">IFERROR(
MEDIAN((IF(DATOS_[[Sexo]:[Sexo]]=$B91,IF(DATOS_[[AGRUP. VALOR. PTO.]:[AGRUP. VALOR. PTO.]]=$B90,IF(DATOS_[[Check Periodo Ref.]:[Check Periodo Ref.]]="Dentro",DATOS_[Conc.Sal.16]))))),
0)</f>
        <v>0</v>
      </c>
      <c r="V91" s="170">
        <f t="array" ref="V91">IFERROR(
MEDIAN((IF(DATOS_[[Sexo]:[Sexo]]=$B91,IF(DATOS_[[AGRUP. VALOR. PTO.]:[AGRUP. VALOR. PTO.]]=$B90,IF(DATOS_[[Check Periodo Ref.]:[Check Periodo Ref.]]="Dentro",DATOS_[Conc.Sal.17]))))),
0)</f>
        <v>0</v>
      </c>
      <c r="W91" s="170">
        <f t="array" ref="W91">IFERROR(
MEDIAN((IF(DATOS_[[Sexo]:[Sexo]]=$B91,IF(DATOS_[[AGRUP. VALOR. PTO.]:[AGRUP. VALOR. PTO.]]=$B90,IF(DATOS_[[Check Periodo Ref.]:[Check Periodo Ref.]]="Dentro",DATOS_[Conc.Sal.18]))))),
0)</f>
        <v>0</v>
      </c>
      <c r="X91" s="170">
        <f t="array" ref="X91">IFERROR(
MEDIAN((IF(DATOS_[[Sexo]:[Sexo]]=$B91,IF(DATOS_[[AGRUP. VALOR. PTO.]:[AGRUP. VALOR. PTO.]]=$B90,IF(DATOS_[[Check Periodo Ref.]:[Check Periodo Ref.]]="Dentro",DATOS_[Conc.Sal.19]))))),
0)</f>
        <v>0</v>
      </c>
      <c r="Y91" s="170">
        <f t="array" ref="Y91">IFERROR(
MEDIAN((IF(DATOS_[[Sexo]:[Sexo]]=$B91,IF(DATOS_[[AGRUP. VALOR. PTO.]:[AGRUP. VALOR. PTO.]]=$B90,IF(DATOS_[[Check Periodo Ref.]:[Check Periodo Ref.]]="Dentro",DATOS_[Conc.Sal.20]))))),
0)</f>
        <v>0</v>
      </c>
      <c r="Z91" s="170">
        <f t="array" ref="Z91">IFERROR(
MEDIAN((IF(DATOS_[[Sexo]:[Sexo]]=$B91,IF(DATOS_[[AGRUP. VALOR. PTO.]:[AGRUP. VALOR. PTO.]]=$B90,IF(DATOS_[[Check Periodo Ref.]:[Check Periodo Ref.]]="Dentro",DATOS_[Conc.Sal.21]))))),
0)</f>
        <v>0</v>
      </c>
      <c r="AA91" s="170">
        <f t="array" ref="AA91">IFERROR(
MEDIAN((IF(DATOS_[[Sexo]:[Sexo]]=$B91,IF(DATOS_[[AGRUP. VALOR. PTO.]:[AGRUP. VALOR. PTO.]]=$B90,IF(DATOS_[[Check Periodo Ref.]:[Check Periodo Ref.]]="Dentro",DATOS_[Conc.Sal.22]))))),
0)</f>
        <v>0</v>
      </c>
      <c r="AB91" s="170">
        <f t="array" ref="AB91">IFERROR(
MEDIAN((IF(DATOS_[[Sexo]:[Sexo]]=$B91,IF(DATOS_[[AGRUP. VALOR. PTO.]:[AGRUP. VALOR. PTO.]]=$B90,IF(DATOS_[[Check Periodo Ref.]:[Check Periodo Ref.]]="Dentro",DATOS_[Conc.Sal.23]))))),
0)</f>
        <v>0</v>
      </c>
      <c r="AC91" s="170">
        <f t="array" ref="AC91">IFERROR(
MEDIAN((IF(DATOS_[[Sexo]:[Sexo]]=$B91,IF(DATOS_[[AGRUP. VALOR. PTO.]:[AGRUP. VALOR. PTO.]]=$B90,IF(DATOS_[[Check Periodo Ref.]:[Check Periodo Ref.]]="Dentro",DATOS_[Conc.Sal.24]))))),
0)</f>
        <v>0</v>
      </c>
      <c r="AD91" s="170">
        <f t="array" ref="AD91">IFERROR(
MEDIAN((IF(DATOS_[[Sexo]:[Sexo]]=$B91,IF(DATOS_[[AGRUP. VALOR. PTO.]:[AGRUP. VALOR. PTO.]]=$B90,IF(DATOS_[[Check Periodo Ref.]:[Check Periodo Ref.]]="Dentro",DATOS_[Conc.Sal.25]))))),
0)</f>
        <v>0</v>
      </c>
      <c r="AE91" s="170">
        <f t="array" ref="AE91">IFERROR(
MEDIAN((IF(DATOS_[[Sexo]:[Sexo]]=$B91,IF(DATOS_[[AGRUP. VALOR. PTO.]:[AGRUP. VALOR. PTO.]]=$B90,IF(DATOS_[[Check Periodo Ref.]:[Check Periodo Ref.]]="Dentro",DATOS_[Conc.Sal.26]))))),
0)</f>
        <v>0</v>
      </c>
      <c r="AF91" s="170">
        <f t="array" ref="AF91">IFERROR(
MEDIAN((IF(DATOS_[[Sexo]:[Sexo]]=$B91,IF(DATOS_[[AGRUP. VALOR. PTO.]:[AGRUP. VALOR. PTO.]]=$B90,IF(DATOS_[[Check Periodo Ref.]:[Check Periodo Ref.]]="Dentro",DATOS_[Conc.Sal.27]))))),
0)</f>
        <v>0</v>
      </c>
      <c r="AG91" s="170">
        <f t="array" ref="AG91">IFERROR(
MEDIAN((IF(DATOS_[[Sexo]:[Sexo]]=$B91,IF(DATOS_[[AGRUP. VALOR. PTO.]:[AGRUP. VALOR. PTO.]]=$B90,IF(DATOS_[[Check Periodo Ref.]:[Check Periodo Ref.]]="Dentro",DATOS_[Conc.Sal.28]))))),
0)</f>
        <v>0</v>
      </c>
      <c r="AH91" s="170">
        <f t="array" ref="AH91">IFERROR(
MEDIAN((IF(DATOS_[[Sexo]:[Sexo]]=$B91,IF(DATOS_[[AGRUP. VALOR. PTO.]:[AGRUP. VALOR. PTO.]]=$B90,IF(DATOS_[[Check Periodo Ref.]:[Check Periodo Ref.]]="Dentro",DATOS_[Conc.Sal.29]))))),
0)</f>
        <v>0</v>
      </c>
      <c r="AI91" s="170">
        <f t="array" ref="AI91">IFERROR(
MEDIAN((IF(DATOS_[[Sexo]:[Sexo]]=$B91,IF(DATOS_[[AGRUP. VALOR. PTO.]:[AGRUP. VALOR. PTO.]]=$B90,IF(DATOS_[[Check Periodo Ref.]:[Check Periodo Ref.]]="Dentro",DATOS_[Conc.Sal.30]))))),
0)</f>
        <v>0</v>
      </c>
      <c r="AJ91" s="171">
        <f t="array" ref="AJ91">IFERROR(
MEDIAN(IF(DATOS_[Sexo]=$B91,IF(DATOS_[AGRUP. VALOR. PTO.]=$B90,IF(DATOS_[Check Periodo Ref.]="Dentro",DATOS_[Tot COMPL.SAL Ef],FALSE)))),
0)</f>
        <v>0</v>
      </c>
      <c r="AK91" s="172">
        <f t="array" ref="AK91">IFERROR(
MEDIAN(IF(DATOS_[Sexo]=$B91,IF(DATOS_[AGRUP. VALOR. PTO.]=$B90,IF(DATOS_[Check Periodo Ref.]="Dentro",DATOS_[TOTAL SALARIO Ef],FALSE)))),
0)</f>
        <v>0</v>
      </c>
      <c r="AL91" s="173">
        <f t="array" ref="AL91">IFERROR(
MEDIAN((IF(DATOS_[[Sexo]:[Sexo]]=$B91,IF(DATOS_[[AGRUP. VALOR. PTO.]:[AGRUP. VALOR. PTO.]]=$B90,IF(DATOS_[[Check Periodo Ref.]:[Check Periodo Ref.]]="Dentro",DATOS_[C.Extra.01]))))),
0)</f>
        <v>0</v>
      </c>
      <c r="AM91" s="173">
        <f t="array" ref="AM91">IFERROR(
MEDIAN((IF(DATOS_[[Sexo]:[Sexo]]=$B91,IF(DATOS_[[AGRUP. VALOR. PTO.]:[AGRUP. VALOR. PTO.]]=$B90,IF(DATOS_[[Check Periodo Ref.]:[Check Periodo Ref.]]="Dentro",DATOS_[C.Extra.06]))))),
0)</f>
        <v>0</v>
      </c>
      <c r="AN91" s="173">
        <f t="array" ref="AN91">IFERROR(
MEDIAN((IF(DATOS_[[Sexo]:[Sexo]]=$B91,IF(DATOS_[[AGRUP. VALOR. PTO.]:[AGRUP. VALOR. PTO.]]=$B90,IF(DATOS_[[Check Periodo Ref.]:[Check Periodo Ref.]]="Dentro",DATOS_[C.Extra.07]))))),
0)</f>
        <v>0</v>
      </c>
      <c r="AO91" s="173">
        <f t="array" ref="AO91">IFERROR(
MEDIAN((IF(DATOS_[[Sexo]:[Sexo]]=$B91,IF(DATOS_[[AGRUP. VALOR. PTO.]:[AGRUP. VALOR. PTO.]]=$B90,IF(DATOS_[[Check Periodo Ref.]:[Check Periodo Ref.]]="Dentro",DATOS_[C.Extra.08]))))),
0)</f>
        <v>0</v>
      </c>
      <c r="AP91" s="173">
        <f t="array" ref="AP91">IFERROR(
MEDIAN((IF(DATOS_[[Sexo]:[Sexo]]=$B91,IF(DATOS_[[AGRUP. VALOR. PTO.]:[AGRUP. VALOR. PTO.]]=$B90,IF(DATOS_[[Check Periodo Ref.]:[Check Periodo Ref.]]="Dentro",DATOS_[C.Extra.11]))))),
0)</f>
        <v>0</v>
      </c>
      <c r="AQ91" s="174">
        <f t="array" ref="AQ91">IFERROR(
MEDIAN(IF(DATOS_[Sexo]=$B91,IF(DATOS_[AGRUP. VALOR. PTO.]=$B90,IF(DATOS_[Check Periodo Ref.]="Dentro",DATOS_[Tot Extrasalarial Ef],FALSE)))),
0)</f>
        <v>0</v>
      </c>
      <c r="AR91" s="171">
        <f t="array" ref="AR91">IFERROR(
MEDIAN(IF(DATOS_[Sexo]=$B91,IF(DATOS_[AGRUP. VALOR. PTO.]=$B90,IF(DATOS_[Check Periodo Ref.]="Dentro",DATOS_[TOTAL Retrib Ef],FALSE)))),
0)</f>
        <v>0</v>
      </c>
    </row>
    <row r="92" spans="1:44" x14ac:dyDescent="0.25">
      <c r="A92" s="178" t="str">
        <f t="shared" ref="A92" si="106">+A91</f>
        <v>[ocultar]</v>
      </c>
      <c r="B92" s="166" t="s">
        <v>521</v>
      </c>
      <c r="C92" s="167">
        <f t="array" ref="C92">SUM(IF($B92=DATOS_[Sexo],
IF($B90=DATOS_[AGRUP. VALOR. PTO.],
IF("Dentro"=DATOS_[Check Periodo Ref.],
1/(COUNTIFS(DATOS_[Sexo],$B92,DATOS_[AGRUP. VALOR. PTO.],$B90,DATOS_[Check Periodo Ref.],"Dentro",DATOS_[id/cod],DATOS_[id/cod]))))))</f>
        <v>0</v>
      </c>
      <c r="D92" s="168">
        <f>COUNTIFS(DATOS_[AGRUP. VALOR. PTO.],$B90,DATOS_[Sexo],$B92,DATOS_[Check Periodo Ref.],"Dentro")</f>
        <v>0</v>
      </c>
      <c r="E92" s="169">
        <f t="array" ref="E92">IFERROR(
MEDIAN(IF(DATOS_[Sexo]=$B92,IF(DATOS_[AGRUP. VALOR. PTO.]=$B90,IF(DATOS_[Check Periodo Ref.]="Dentro",DATOS_[SALARIO BASE Ef],FALSE)))),
0)</f>
        <v>0</v>
      </c>
      <c r="F92" s="170">
        <f t="array" ref="F92">IFERROR(
MEDIAN((IF(DATOS_[[Sexo]:[Sexo]]=$B92,IF(DATOS_[[AGRUP. VALOR. PTO.]:[AGRUP. VALOR. PTO.]]=$B90,IF(DATOS_[[Check Periodo Ref.]:[Check Periodo Ref.]]="Dentro",DATOS_[Conc.Sal.01]))))),
0)</f>
        <v>0</v>
      </c>
      <c r="G92" s="170">
        <f t="array" ref="G92">IFERROR(
MEDIAN((IF(DATOS_[[Sexo]:[Sexo]]=$B92,IF(DATOS_[[AGRUP. VALOR. PTO.]:[AGRUP. VALOR. PTO.]]=$B90,IF(DATOS_[[Check Periodo Ref.]:[Check Periodo Ref.]]="Dentro",DATOS_[Conc.Sal.02]))))),
0)</f>
        <v>0</v>
      </c>
      <c r="H92" s="170">
        <f t="array" ref="H92">IFERROR(
MEDIAN((IF(DATOS_[[Sexo]:[Sexo]]=$B92,IF(DATOS_[[AGRUP. VALOR. PTO.]:[AGRUP. VALOR. PTO.]]=$B90,IF(DATOS_[[Check Periodo Ref.]:[Check Periodo Ref.]]="Dentro",DATOS_[Conc.Sal.03]))))),
0)</f>
        <v>0</v>
      </c>
      <c r="I92" s="170">
        <f t="array" ref="I92">IFERROR(
MEDIAN((IF(DATOS_[[Sexo]:[Sexo]]=$B92,IF(DATOS_[[AGRUP. VALOR. PTO.]:[AGRUP. VALOR. PTO.]]=$B90,IF(DATOS_[[Check Periodo Ref.]:[Check Periodo Ref.]]="Dentro",DATOS_[Conc.Sal.04]))))),
0)</f>
        <v>0</v>
      </c>
      <c r="J92" s="170">
        <f t="array" ref="J92">IFERROR(
MEDIAN((IF(DATOS_[[Sexo]:[Sexo]]=$B92,IF(DATOS_[[AGRUP. VALOR. PTO.]:[AGRUP. VALOR. PTO.]]=$B90,IF(DATOS_[[Check Periodo Ref.]:[Check Periodo Ref.]]="Dentro",DATOS_[Conc.Sal.05]))))),
0)</f>
        <v>0</v>
      </c>
      <c r="K92" s="170">
        <f t="array" ref="K92">IFERROR(
MEDIAN((IF(DATOS_[[Sexo]:[Sexo]]=$B92,IF(DATOS_[[AGRUP. VALOR. PTO.]:[AGRUP. VALOR. PTO.]]=$B90,IF(DATOS_[[Check Periodo Ref.]:[Check Periodo Ref.]]="Dentro",DATOS_[Conc.Sal.06]))))),
0)</f>
        <v>0</v>
      </c>
      <c r="L92" s="170">
        <f t="array" ref="L92">IFERROR(
MEDIAN((IF(DATOS_[[Sexo]:[Sexo]]=$B92,IF(DATOS_[[AGRUP. VALOR. PTO.]:[AGRUP. VALOR. PTO.]]=$B90,IF(DATOS_[[Check Periodo Ref.]:[Check Periodo Ref.]]="Dentro",DATOS_[Conc.Sal.07]))))),
0)</f>
        <v>0</v>
      </c>
      <c r="M92" s="170">
        <f t="array" ref="M92">IFERROR(
MEDIAN((IF(DATOS_[[Sexo]:[Sexo]]=$B92,IF(DATOS_[[AGRUP. VALOR. PTO.]:[AGRUP. VALOR. PTO.]]=$B90,IF(DATOS_[[Check Periodo Ref.]:[Check Periodo Ref.]]="Dentro",DATOS_[Conc.Sal.08]))))),
0)</f>
        <v>0</v>
      </c>
      <c r="N92" s="170">
        <f t="array" ref="N92">IFERROR(
MEDIAN((IF(DATOS_[[Sexo]:[Sexo]]=$B92,IF(DATOS_[[AGRUP. VALOR. PTO.]:[AGRUP. VALOR. PTO.]]=$B90,IF(DATOS_[[Check Periodo Ref.]:[Check Periodo Ref.]]="Dentro",DATOS_[Conc.Sal.09]))))),
0)</f>
        <v>0</v>
      </c>
      <c r="O92" s="170">
        <f t="array" ref="O92">IFERROR(
MEDIAN((IF(DATOS_[[Sexo]:[Sexo]]=$B92,IF(DATOS_[[AGRUP. VALOR. PTO.]:[AGRUP. VALOR. PTO.]]=$B90,IF(DATOS_[[Check Periodo Ref.]:[Check Periodo Ref.]]="Dentro",DATOS_[Conc.Sal.10]))))),
0)</f>
        <v>0</v>
      </c>
      <c r="P92" s="170">
        <f t="array" ref="P92">IFERROR(
MEDIAN((IF(DATOS_[[Sexo]:[Sexo]]=$B92,IF(DATOS_[[AGRUP. VALOR. PTO.]:[AGRUP. VALOR. PTO.]]=$B90,IF(DATOS_[[Check Periodo Ref.]:[Check Periodo Ref.]]="Dentro",DATOS_[Conc.Sal.11]))))),
0)</f>
        <v>0</v>
      </c>
      <c r="Q92" s="170">
        <f t="array" ref="Q92">IFERROR(
MEDIAN((IF(DATOS_[[Sexo]:[Sexo]]=$B92,IF(DATOS_[[AGRUP. VALOR. PTO.]:[AGRUP. VALOR. PTO.]]=$B90,IF(DATOS_[[Check Periodo Ref.]:[Check Periodo Ref.]]="Dentro",DATOS_[Conc.Sal.12]))))),
0)</f>
        <v>0</v>
      </c>
      <c r="R92" s="170">
        <f t="array" ref="R92">IFERROR(
MEDIAN((IF(DATOS_[[Sexo]:[Sexo]]=$B92,IF(DATOS_[[AGRUP. VALOR. PTO.]:[AGRUP. VALOR. PTO.]]=$B90,IF(DATOS_[[Check Periodo Ref.]:[Check Periodo Ref.]]="Dentro",DATOS_[Conc.Sal.13]))))),
0)</f>
        <v>0</v>
      </c>
      <c r="S92" s="170">
        <f t="array" ref="S92">IFERROR(
MEDIAN((IF(DATOS_[[Sexo]:[Sexo]]=$B92,IF(DATOS_[[AGRUP. VALOR. PTO.]:[AGRUP. VALOR. PTO.]]=$B90,IF(DATOS_[[Check Periodo Ref.]:[Check Periodo Ref.]]="Dentro",DATOS_[Conc.Sal.14]))))),
0)</f>
        <v>0</v>
      </c>
      <c r="T92" s="170">
        <f t="array" ref="T92">IFERROR(
MEDIAN((IF(DATOS_[[Sexo]:[Sexo]]=$B92,IF(DATOS_[[AGRUP. VALOR. PTO.]:[AGRUP. VALOR. PTO.]]=$B90,IF(DATOS_[[Check Periodo Ref.]:[Check Periodo Ref.]]="Dentro",DATOS_[Conc.Sal.15]))))),
0)</f>
        <v>0</v>
      </c>
      <c r="U92" s="170">
        <f t="array" ref="U92">IFERROR(
MEDIAN((IF(DATOS_[[Sexo]:[Sexo]]=$B92,IF(DATOS_[[AGRUP. VALOR. PTO.]:[AGRUP. VALOR. PTO.]]=$B90,IF(DATOS_[[Check Periodo Ref.]:[Check Periodo Ref.]]="Dentro",DATOS_[Conc.Sal.16]))))),
0)</f>
        <v>0</v>
      </c>
      <c r="V92" s="170">
        <f t="array" ref="V92">IFERROR(
MEDIAN((IF(DATOS_[[Sexo]:[Sexo]]=$B92,IF(DATOS_[[AGRUP. VALOR. PTO.]:[AGRUP. VALOR. PTO.]]=$B90,IF(DATOS_[[Check Periodo Ref.]:[Check Periodo Ref.]]="Dentro",DATOS_[Conc.Sal.17]))))),
0)</f>
        <v>0</v>
      </c>
      <c r="W92" s="170">
        <f t="array" ref="W92">IFERROR(
MEDIAN((IF(DATOS_[[Sexo]:[Sexo]]=$B92,IF(DATOS_[[AGRUP. VALOR. PTO.]:[AGRUP. VALOR. PTO.]]=$B90,IF(DATOS_[[Check Periodo Ref.]:[Check Periodo Ref.]]="Dentro",DATOS_[Conc.Sal.18]))))),
0)</f>
        <v>0</v>
      </c>
      <c r="X92" s="170">
        <f t="array" ref="X92">IFERROR(
MEDIAN((IF(DATOS_[[Sexo]:[Sexo]]=$B92,IF(DATOS_[[AGRUP. VALOR. PTO.]:[AGRUP. VALOR. PTO.]]=$B90,IF(DATOS_[[Check Periodo Ref.]:[Check Periodo Ref.]]="Dentro",DATOS_[Conc.Sal.19]))))),
0)</f>
        <v>0</v>
      </c>
      <c r="Y92" s="170">
        <f t="array" ref="Y92">IFERROR(
MEDIAN((IF(DATOS_[[Sexo]:[Sexo]]=$B92,IF(DATOS_[[AGRUP. VALOR. PTO.]:[AGRUP. VALOR. PTO.]]=$B90,IF(DATOS_[[Check Periodo Ref.]:[Check Periodo Ref.]]="Dentro",DATOS_[Conc.Sal.20]))))),
0)</f>
        <v>0</v>
      </c>
      <c r="Z92" s="170">
        <f t="array" ref="Z92">IFERROR(
MEDIAN((IF(DATOS_[[Sexo]:[Sexo]]=$B92,IF(DATOS_[[AGRUP. VALOR. PTO.]:[AGRUP. VALOR. PTO.]]=$B90,IF(DATOS_[[Check Periodo Ref.]:[Check Periodo Ref.]]="Dentro",DATOS_[Conc.Sal.21]))))),
0)</f>
        <v>0</v>
      </c>
      <c r="AA92" s="170">
        <f t="array" ref="AA92">IFERROR(
MEDIAN((IF(DATOS_[[Sexo]:[Sexo]]=$B92,IF(DATOS_[[AGRUP. VALOR. PTO.]:[AGRUP. VALOR. PTO.]]=$B90,IF(DATOS_[[Check Periodo Ref.]:[Check Periodo Ref.]]="Dentro",DATOS_[Conc.Sal.22]))))),
0)</f>
        <v>0</v>
      </c>
      <c r="AB92" s="170">
        <f t="array" ref="AB92">IFERROR(
MEDIAN((IF(DATOS_[[Sexo]:[Sexo]]=$B92,IF(DATOS_[[AGRUP. VALOR. PTO.]:[AGRUP. VALOR. PTO.]]=$B90,IF(DATOS_[[Check Periodo Ref.]:[Check Periodo Ref.]]="Dentro",DATOS_[Conc.Sal.23]))))),
0)</f>
        <v>0</v>
      </c>
      <c r="AC92" s="170">
        <f t="array" ref="AC92">IFERROR(
MEDIAN((IF(DATOS_[[Sexo]:[Sexo]]=$B92,IF(DATOS_[[AGRUP. VALOR. PTO.]:[AGRUP. VALOR. PTO.]]=$B90,IF(DATOS_[[Check Periodo Ref.]:[Check Periodo Ref.]]="Dentro",DATOS_[Conc.Sal.24]))))),
0)</f>
        <v>0</v>
      </c>
      <c r="AD92" s="170">
        <f t="array" ref="AD92">IFERROR(
MEDIAN((IF(DATOS_[[Sexo]:[Sexo]]=$B92,IF(DATOS_[[AGRUP. VALOR. PTO.]:[AGRUP. VALOR. PTO.]]=$B90,IF(DATOS_[[Check Periodo Ref.]:[Check Periodo Ref.]]="Dentro",DATOS_[Conc.Sal.25]))))),
0)</f>
        <v>0</v>
      </c>
      <c r="AE92" s="170">
        <f t="array" ref="AE92">IFERROR(
MEDIAN((IF(DATOS_[[Sexo]:[Sexo]]=$B92,IF(DATOS_[[AGRUP. VALOR. PTO.]:[AGRUP. VALOR. PTO.]]=$B90,IF(DATOS_[[Check Periodo Ref.]:[Check Periodo Ref.]]="Dentro",DATOS_[Conc.Sal.26]))))),
0)</f>
        <v>0</v>
      </c>
      <c r="AF92" s="170">
        <f t="array" ref="AF92">IFERROR(
MEDIAN((IF(DATOS_[[Sexo]:[Sexo]]=$B92,IF(DATOS_[[AGRUP. VALOR. PTO.]:[AGRUP. VALOR. PTO.]]=$B90,IF(DATOS_[[Check Periodo Ref.]:[Check Periodo Ref.]]="Dentro",DATOS_[Conc.Sal.27]))))),
0)</f>
        <v>0</v>
      </c>
      <c r="AG92" s="170">
        <f t="array" ref="AG92">IFERROR(
MEDIAN((IF(DATOS_[[Sexo]:[Sexo]]=$B92,IF(DATOS_[[AGRUP. VALOR. PTO.]:[AGRUP. VALOR. PTO.]]=$B90,IF(DATOS_[[Check Periodo Ref.]:[Check Periodo Ref.]]="Dentro",DATOS_[Conc.Sal.28]))))),
0)</f>
        <v>0</v>
      </c>
      <c r="AH92" s="170">
        <f t="array" ref="AH92">IFERROR(
MEDIAN((IF(DATOS_[[Sexo]:[Sexo]]=$B92,IF(DATOS_[[AGRUP. VALOR. PTO.]:[AGRUP. VALOR. PTO.]]=$B90,IF(DATOS_[[Check Periodo Ref.]:[Check Periodo Ref.]]="Dentro",DATOS_[Conc.Sal.29]))))),
0)</f>
        <v>0</v>
      </c>
      <c r="AI92" s="170">
        <f t="array" ref="AI92">IFERROR(
MEDIAN((IF(DATOS_[[Sexo]:[Sexo]]=$B92,IF(DATOS_[[AGRUP. VALOR. PTO.]:[AGRUP. VALOR. PTO.]]=$B90,IF(DATOS_[[Check Periodo Ref.]:[Check Periodo Ref.]]="Dentro",DATOS_[Conc.Sal.30]))))),
0)</f>
        <v>0</v>
      </c>
      <c r="AJ92" s="171">
        <f t="array" ref="AJ92">IFERROR(
MEDIAN(IF(DATOS_[Sexo]=$B92,IF(DATOS_[AGRUP. VALOR. PTO.]=$B90,IF(DATOS_[Check Periodo Ref.]="Dentro",DATOS_[Tot COMPL.SAL Ef],FALSE)))),
0)</f>
        <v>0</v>
      </c>
      <c r="AK92" s="172">
        <f t="array" ref="AK92">IFERROR(
MEDIAN(IF(DATOS_[Sexo]=$B92,IF(DATOS_[AGRUP. VALOR. PTO.]=$B90,IF(DATOS_[Check Periodo Ref.]="Dentro",DATOS_[TOTAL SALARIO Ef],FALSE)))),
0)</f>
        <v>0</v>
      </c>
      <c r="AL92" s="173">
        <f t="array" ref="AL92">IFERROR(
MEDIAN((IF(DATOS_[[Sexo]:[Sexo]]=$B92,IF(DATOS_[[AGRUP. VALOR. PTO.]:[AGRUP. VALOR. PTO.]]=$B90,IF(DATOS_[[Check Periodo Ref.]:[Check Periodo Ref.]]="Dentro",DATOS_[C.Extra.01]))))),
0)</f>
        <v>0</v>
      </c>
      <c r="AM92" s="173">
        <f t="array" ref="AM92">IFERROR(
MEDIAN((IF(DATOS_[[Sexo]:[Sexo]]=$B92,IF(DATOS_[[AGRUP. VALOR. PTO.]:[AGRUP. VALOR. PTO.]]=$B90,IF(DATOS_[[Check Periodo Ref.]:[Check Periodo Ref.]]="Dentro",DATOS_[C.Extra.06]))))),
0)</f>
        <v>0</v>
      </c>
      <c r="AN92" s="173">
        <f t="array" ref="AN92">IFERROR(
MEDIAN((IF(DATOS_[[Sexo]:[Sexo]]=$B92,IF(DATOS_[[AGRUP. VALOR. PTO.]:[AGRUP. VALOR. PTO.]]=$B90,IF(DATOS_[[Check Periodo Ref.]:[Check Periodo Ref.]]="Dentro",DATOS_[C.Extra.07]))))),
0)</f>
        <v>0</v>
      </c>
      <c r="AO92" s="173">
        <f t="array" ref="AO92">IFERROR(
MEDIAN((IF(DATOS_[[Sexo]:[Sexo]]=$B92,IF(DATOS_[[AGRUP. VALOR. PTO.]:[AGRUP. VALOR. PTO.]]=$B90,IF(DATOS_[[Check Periodo Ref.]:[Check Periodo Ref.]]="Dentro",DATOS_[C.Extra.08]))))),
0)</f>
        <v>0</v>
      </c>
      <c r="AP92" s="173">
        <f t="array" ref="AP92">IFERROR(
MEDIAN((IF(DATOS_[[Sexo]:[Sexo]]=$B92,IF(DATOS_[[AGRUP. VALOR. PTO.]:[AGRUP. VALOR. PTO.]]=$B90,IF(DATOS_[[Check Periodo Ref.]:[Check Periodo Ref.]]="Dentro",DATOS_[C.Extra.11]))))),
0)</f>
        <v>0</v>
      </c>
      <c r="AQ92" s="174">
        <f t="array" ref="AQ92">IFERROR(
MEDIAN(IF(DATOS_[Sexo]=$B92,IF(DATOS_[AGRUP. VALOR. PTO.]=$B90,IF(DATOS_[Check Periodo Ref.]="Dentro",DATOS_[Tot Extrasalarial Ef],FALSE)))),
0)</f>
        <v>0</v>
      </c>
      <c r="AR92" s="171">
        <f t="array" ref="AR92">IFERROR(
MEDIAN(IF(DATOS_[Sexo]=$B92,IF(DATOS_[AGRUP. VALOR. PTO.]=$B90,IF(DATOS_[Check Periodo Ref.]="Dentro",DATOS_[TOTAL Retrib Ef],FALSE)))),
0)</f>
        <v>0</v>
      </c>
    </row>
    <row r="93" spans="1:44" ht="14.4" thickBot="1" x14ac:dyDescent="0.3">
      <c r="A93" s="178" t="str">
        <f t="shared" ref="A93" si="107">+A94</f>
        <v>[ocultar]</v>
      </c>
      <c r="B93" s="153" t="s">
        <v>281</v>
      </c>
      <c r="C93" s="154"/>
      <c r="D93" s="155"/>
      <c r="E93" s="156" t="str">
        <f t="shared" ref="E93:AR93" si="108">IFERROR((E94-E95)/E94,"")</f>
        <v/>
      </c>
      <c r="F93" s="157" t="str">
        <f t="shared" si="108"/>
        <v/>
      </c>
      <c r="G93" s="158" t="str">
        <f t="shared" si="108"/>
        <v/>
      </c>
      <c r="H93" s="158" t="str">
        <f t="shared" si="108"/>
        <v/>
      </c>
      <c r="I93" s="158" t="str">
        <f t="shared" si="108"/>
        <v/>
      </c>
      <c r="J93" s="159" t="str">
        <f t="shared" si="108"/>
        <v/>
      </c>
      <c r="K93" s="160" t="str">
        <f t="shared" si="108"/>
        <v/>
      </c>
      <c r="L93" s="160" t="str">
        <f t="shared" si="108"/>
        <v/>
      </c>
      <c r="M93" s="160" t="str">
        <f t="shared" si="108"/>
        <v/>
      </c>
      <c r="N93" s="160" t="str">
        <f t="shared" si="108"/>
        <v/>
      </c>
      <c r="O93" s="160" t="str">
        <f t="shared" si="108"/>
        <v/>
      </c>
      <c r="P93" s="160" t="str">
        <f t="shared" si="108"/>
        <v/>
      </c>
      <c r="Q93" s="160" t="str">
        <f t="shared" si="108"/>
        <v/>
      </c>
      <c r="R93" s="160" t="str">
        <f t="shared" si="108"/>
        <v/>
      </c>
      <c r="S93" s="160" t="str">
        <f t="shared" si="108"/>
        <v/>
      </c>
      <c r="T93" s="160" t="str">
        <f t="shared" si="108"/>
        <v/>
      </c>
      <c r="U93" s="160" t="str">
        <f t="shared" si="108"/>
        <v/>
      </c>
      <c r="V93" s="159" t="str">
        <f t="shared" si="108"/>
        <v/>
      </c>
      <c r="W93" s="159" t="str">
        <f t="shared" si="108"/>
        <v/>
      </c>
      <c r="X93" s="159" t="str">
        <f t="shared" si="108"/>
        <v/>
      </c>
      <c r="Y93" s="159" t="str">
        <f t="shared" si="108"/>
        <v/>
      </c>
      <c r="Z93" s="159" t="str">
        <f t="shared" si="108"/>
        <v/>
      </c>
      <c r="AA93" s="159" t="str">
        <f t="shared" si="108"/>
        <v/>
      </c>
      <c r="AB93" s="159" t="str">
        <f t="shared" si="108"/>
        <v/>
      </c>
      <c r="AC93" s="159" t="str">
        <f t="shared" si="108"/>
        <v/>
      </c>
      <c r="AD93" s="159" t="str">
        <f t="shared" si="108"/>
        <v/>
      </c>
      <c r="AE93" s="159" t="str">
        <f t="shared" si="108"/>
        <v/>
      </c>
      <c r="AF93" s="159" t="str">
        <f t="shared" si="108"/>
        <v/>
      </c>
      <c r="AG93" s="159" t="str">
        <f t="shared" si="108"/>
        <v/>
      </c>
      <c r="AH93" s="159" t="str">
        <f t="shared" si="108"/>
        <v/>
      </c>
      <c r="AI93" s="159" t="str">
        <f t="shared" si="108"/>
        <v/>
      </c>
      <c r="AJ93" s="161" t="str">
        <f t="shared" si="108"/>
        <v/>
      </c>
      <c r="AK93" s="162" t="str">
        <f t="shared" si="108"/>
        <v/>
      </c>
      <c r="AL93" s="163" t="str">
        <f t="shared" si="108"/>
        <v/>
      </c>
      <c r="AM93" s="163" t="str">
        <f t="shared" si="108"/>
        <v/>
      </c>
      <c r="AN93" s="163" t="str">
        <f t="shared" si="108"/>
        <v/>
      </c>
      <c r="AO93" s="163" t="str">
        <f t="shared" si="108"/>
        <v/>
      </c>
      <c r="AP93" s="163" t="str">
        <f t="shared" si="108"/>
        <v/>
      </c>
      <c r="AQ93" s="164" t="str">
        <f t="shared" si="108"/>
        <v/>
      </c>
      <c r="AR93" s="161" t="str">
        <f t="shared" si="108"/>
        <v/>
      </c>
    </row>
    <row r="94" spans="1:44" x14ac:dyDescent="0.25">
      <c r="A94" s="178" t="str">
        <f t="shared" ref="A94" si="109">+IF(C94+C95=0,"[ocultar]","")</f>
        <v>[ocultar]</v>
      </c>
      <c r="B94" s="166" t="s">
        <v>394</v>
      </c>
      <c r="C94" s="167">
        <f t="array" ref="C94">SUM(IF($B94=DATOS_[Sexo],
IF($B93=DATOS_[AGRUP. VALOR. PTO.],
IF("Dentro"=DATOS_[Check Periodo Ref.],
1/(COUNTIFS(DATOS_[Sexo],$B94,DATOS_[AGRUP. VALOR. PTO.],$B93,DATOS_[Check Periodo Ref.],"Dentro",DATOS_[id/cod],DATOS_[id/cod]))))))</f>
        <v>0</v>
      </c>
      <c r="D94" s="168">
        <f>COUNTIFS(DATOS_[AGRUP. VALOR. PTO.],$B93,DATOS_[Sexo],$B94,DATOS_[Check Periodo Ref.],"Dentro")</f>
        <v>0</v>
      </c>
      <c r="E94" s="169">
        <f t="array" ref="E94">IFERROR(
MEDIAN(IF(DATOS_[Sexo]=$B94,IF(DATOS_[AGRUP. VALOR. PTO.]=$B93,IF(DATOS_[Check Periodo Ref.]="Dentro",DATOS_[SALARIO BASE Ef],FALSE)))),
0)</f>
        <v>0</v>
      </c>
      <c r="F94" s="170">
        <f t="array" ref="F94">IFERROR(
MEDIAN((IF(DATOS_[[Sexo]:[Sexo]]=$B94,IF(DATOS_[[AGRUP. VALOR. PTO.]:[AGRUP. VALOR. PTO.]]=$B93,IF(DATOS_[[Check Periodo Ref.]:[Check Periodo Ref.]]="Dentro",DATOS_[Conc.Sal.01]))))),
0)</f>
        <v>0</v>
      </c>
      <c r="G94" s="170">
        <f t="array" ref="G94">IFERROR(
MEDIAN((IF(DATOS_[[Sexo]:[Sexo]]=$B94,IF(DATOS_[[AGRUP. VALOR. PTO.]:[AGRUP. VALOR. PTO.]]=$B93,IF(DATOS_[[Check Periodo Ref.]:[Check Periodo Ref.]]="Dentro",DATOS_[Conc.Sal.02]))))),
0)</f>
        <v>0</v>
      </c>
      <c r="H94" s="170">
        <f t="array" ref="H94">IFERROR(
MEDIAN((IF(DATOS_[[Sexo]:[Sexo]]=$B94,IF(DATOS_[[AGRUP. VALOR. PTO.]:[AGRUP. VALOR. PTO.]]=$B93,IF(DATOS_[[Check Periodo Ref.]:[Check Periodo Ref.]]="Dentro",DATOS_[Conc.Sal.03]))))),
0)</f>
        <v>0</v>
      </c>
      <c r="I94" s="170">
        <f t="array" ref="I94">IFERROR(
MEDIAN((IF(DATOS_[[Sexo]:[Sexo]]=$B94,IF(DATOS_[[AGRUP. VALOR. PTO.]:[AGRUP. VALOR. PTO.]]=$B93,IF(DATOS_[[Check Periodo Ref.]:[Check Periodo Ref.]]="Dentro",DATOS_[Conc.Sal.04]))))),
0)</f>
        <v>0</v>
      </c>
      <c r="J94" s="170">
        <f t="array" ref="J94">IFERROR(
MEDIAN((IF(DATOS_[[Sexo]:[Sexo]]=$B94,IF(DATOS_[[AGRUP. VALOR. PTO.]:[AGRUP. VALOR. PTO.]]=$B93,IF(DATOS_[[Check Periodo Ref.]:[Check Periodo Ref.]]="Dentro",DATOS_[Conc.Sal.05]))))),
0)</f>
        <v>0</v>
      </c>
      <c r="K94" s="170">
        <f t="array" ref="K94">IFERROR(
MEDIAN((IF(DATOS_[[Sexo]:[Sexo]]=$B94,IF(DATOS_[[AGRUP. VALOR. PTO.]:[AGRUP. VALOR. PTO.]]=$B93,IF(DATOS_[[Check Periodo Ref.]:[Check Periodo Ref.]]="Dentro",DATOS_[Conc.Sal.06]))))),
0)</f>
        <v>0</v>
      </c>
      <c r="L94" s="170">
        <f t="array" ref="L94">IFERROR(
MEDIAN((IF(DATOS_[[Sexo]:[Sexo]]=$B94,IF(DATOS_[[AGRUP. VALOR. PTO.]:[AGRUP. VALOR. PTO.]]=$B93,IF(DATOS_[[Check Periodo Ref.]:[Check Periodo Ref.]]="Dentro",DATOS_[Conc.Sal.07]))))),
0)</f>
        <v>0</v>
      </c>
      <c r="M94" s="170">
        <f t="array" ref="M94">IFERROR(
MEDIAN((IF(DATOS_[[Sexo]:[Sexo]]=$B94,IF(DATOS_[[AGRUP. VALOR. PTO.]:[AGRUP. VALOR. PTO.]]=$B93,IF(DATOS_[[Check Periodo Ref.]:[Check Periodo Ref.]]="Dentro",DATOS_[Conc.Sal.08]))))),
0)</f>
        <v>0</v>
      </c>
      <c r="N94" s="170">
        <f t="array" ref="N94">IFERROR(
MEDIAN((IF(DATOS_[[Sexo]:[Sexo]]=$B94,IF(DATOS_[[AGRUP. VALOR. PTO.]:[AGRUP. VALOR. PTO.]]=$B93,IF(DATOS_[[Check Periodo Ref.]:[Check Periodo Ref.]]="Dentro",DATOS_[Conc.Sal.09]))))),
0)</f>
        <v>0</v>
      </c>
      <c r="O94" s="170">
        <f t="array" ref="O94">IFERROR(
MEDIAN((IF(DATOS_[[Sexo]:[Sexo]]=$B94,IF(DATOS_[[AGRUP. VALOR. PTO.]:[AGRUP. VALOR. PTO.]]=$B93,IF(DATOS_[[Check Periodo Ref.]:[Check Periodo Ref.]]="Dentro",DATOS_[Conc.Sal.10]))))),
0)</f>
        <v>0</v>
      </c>
      <c r="P94" s="170">
        <f t="array" ref="P94">IFERROR(
MEDIAN((IF(DATOS_[[Sexo]:[Sexo]]=$B94,IF(DATOS_[[AGRUP. VALOR. PTO.]:[AGRUP. VALOR. PTO.]]=$B93,IF(DATOS_[[Check Periodo Ref.]:[Check Periodo Ref.]]="Dentro",DATOS_[Conc.Sal.11]))))),
0)</f>
        <v>0</v>
      </c>
      <c r="Q94" s="170">
        <f t="array" ref="Q94">IFERROR(
MEDIAN((IF(DATOS_[[Sexo]:[Sexo]]=$B94,IF(DATOS_[[AGRUP. VALOR. PTO.]:[AGRUP. VALOR. PTO.]]=$B93,IF(DATOS_[[Check Periodo Ref.]:[Check Periodo Ref.]]="Dentro",DATOS_[Conc.Sal.12]))))),
0)</f>
        <v>0</v>
      </c>
      <c r="R94" s="170">
        <f t="array" ref="R94">IFERROR(
MEDIAN((IF(DATOS_[[Sexo]:[Sexo]]=$B94,IF(DATOS_[[AGRUP. VALOR. PTO.]:[AGRUP. VALOR. PTO.]]=$B93,IF(DATOS_[[Check Periodo Ref.]:[Check Periodo Ref.]]="Dentro",DATOS_[Conc.Sal.13]))))),
0)</f>
        <v>0</v>
      </c>
      <c r="S94" s="170">
        <f t="array" ref="S94">IFERROR(
MEDIAN((IF(DATOS_[[Sexo]:[Sexo]]=$B94,IF(DATOS_[[AGRUP. VALOR. PTO.]:[AGRUP. VALOR. PTO.]]=$B93,IF(DATOS_[[Check Periodo Ref.]:[Check Periodo Ref.]]="Dentro",DATOS_[Conc.Sal.14]))))),
0)</f>
        <v>0</v>
      </c>
      <c r="T94" s="170">
        <f t="array" ref="T94">IFERROR(
MEDIAN((IF(DATOS_[[Sexo]:[Sexo]]=$B94,IF(DATOS_[[AGRUP. VALOR. PTO.]:[AGRUP. VALOR. PTO.]]=$B93,IF(DATOS_[[Check Periodo Ref.]:[Check Periodo Ref.]]="Dentro",DATOS_[Conc.Sal.15]))))),
0)</f>
        <v>0</v>
      </c>
      <c r="U94" s="170">
        <f t="array" ref="U94">IFERROR(
MEDIAN((IF(DATOS_[[Sexo]:[Sexo]]=$B94,IF(DATOS_[[AGRUP. VALOR. PTO.]:[AGRUP. VALOR. PTO.]]=$B93,IF(DATOS_[[Check Periodo Ref.]:[Check Periodo Ref.]]="Dentro",DATOS_[Conc.Sal.16]))))),
0)</f>
        <v>0</v>
      </c>
      <c r="V94" s="170">
        <f t="array" ref="V94">IFERROR(
MEDIAN((IF(DATOS_[[Sexo]:[Sexo]]=$B94,IF(DATOS_[[AGRUP. VALOR. PTO.]:[AGRUP. VALOR. PTO.]]=$B93,IF(DATOS_[[Check Periodo Ref.]:[Check Periodo Ref.]]="Dentro",DATOS_[Conc.Sal.17]))))),
0)</f>
        <v>0</v>
      </c>
      <c r="W94" s="170">
        <f t="array" ref="W94">IFERROR(
MEDIAN((IF(DATOS_[[Sexo]:[Sexo]]=$B94,IF(DATOS_[[AGRUP. VALOR. PTO.]:[AGRUP. VALOR. PTO.]]=$B93,IF(DATOS_[[Check Periodo Ref.]:[Check Periodo Ref.]]="Dentro",DATOS_[Conc.Sal.18]))))),
0)</f>
        <v>0</v>
      </c>
      <c r="X94" s="170">
        <f t="array" ref="X94">IFERROR(
MEDIAN((IF(DATOS_[[Sexo]:[Sexo]]=$B94,IF(DATOS_[[AGRUP. VALOR. PTO.]:[AGRUP. VALOR. PTO.]]=$B93,IF(DATOS_[[Check Periodo Ref.]:[Check Periodo Ref.]]="Dentro",DATOS_[Conc.Sal.19]))))),
0)</f>
        <v>0</v>
      </c>
      <c r="Y94" s="170">
        <f t="array" ref="Y94">IFERROR(
MEDIAN((IF(DATOS_[[Sexo]:[Sexo]]=$B94,IF(DATOS_[[AGRUP. VALOR. PTO.]:[AGRUP. VALOR. PTO.]]=$B93,IF(DATOS_[[Check Periodo Ref.]:[Check Periodo Ref.]]="Dentro",DATOS_[Conc.Sal.20]))))),
0)</f>
        <v>0</v>
      </c>
      <c r="Z94" s="170">
        <f t="array" ref="Z94">IFERROR(
MEDIAN((IF(DATOS_[[Sexo]:[Sexo]]=$B94,IF(DATOS_[[AGRUP. VALOR. PTO.]:[AGRUP. VALOR. PTO.]]=$B93,IF(DATOS_[[Check Periodo Ref.]:[Check Periodo Ref.]]="Dentro",DATOS_[Conc.Sal.21]))))),
0)</f>
        <v>0</v>
      </c>
      <c r="AA94" s="170">
        <f t="array" ref="AA94">IFERROR(
MEDIAN((IF(DATOS_[[Sexo]:[Sexo]]=$B94,IF(DATOS_[[AGRUP. VALOR. PTO.]:[AGRUP. VALOR. PTO.]]=$B93,IF(DATOS_[[Check Periodo Ref.]:[Check Periodo Ref.]]="Dentro",DATOS_[Conc.Sal.22]))))),
0)</f>
        <v>0</v>
      </c>
      <c r="AB94" s="170">
        <f t="array" ref="AB94">IFERROR(
MEDIAN((IF(DATOS_[[Sexo]:[Sexo]]=$B94,IF(DATOS_[[AGRUP. VALOR. PTO.]:[AGRUP. VALOR. PTO.]]=$B93,IF(DATOS_[[Check Periodo Ref.]:[Check Periodo Ref.]]="Dentro",DATOS_[Conc.Sal.23]))))),
0)</f>
        <v>0</v>
      </c>
      <c r="AC94" s="170">
        <f t="array" ref="AC94">IFERROR(
MEDIAN((IF(DATOS_[[Sexo]:[Sexo]]=$B94,IF(DATOS_[[AGRUP. VALOR. PTO.]:[AGRUP. VALOR. PTO.]]=$B93,IF(DATOS_[[Check Periodo Ref.]:[Check Periodo Ref.]]="Dentro",DATOS_[Conc.Sal.24]))))),
0)</f>
        <v>0</v>
      </c>
      <c r="AD94" s="170">
        <f t="array" ref="AD94">IFERROR(
MEDIAN((IF(DATOS_[[Sexo]:[Sexo]]=$B94,IF(DATOS_[[AGRUP. VALOR. PTO.]:[AGRUP. VALOR. PTO.]]=$B93,IF(DATOS_[[Check Periodo Ref.]:[Check Periodo Ref.]]="Dentro",DATOS_[Conc.Sal.25]))))),
0)</f>
        <v>0</v>
      </c>
      <c r="AE94" s="170">
        <f t="array" ref="AE94">IFERROR(
MEDIAN((IF(DATOS_[[Sexo]:[Sexo]]=$B94,IF(DATOS_[[AGRUP. VALOR. PTO.]:[AGRUP. VALOR. PTO.]]=$B93,IF(DATOS_[[Check Periodo Ref.]:[Check Periodo Ref.]]="Dentro",DATOS_[Conc.Sal.26]))))),
0)</f>
        <v>0</v>
      </c>
      <c r="AF94" s="170">
        <f t="array" ref="AF94">IFERROR(
MEDIAN((IF(DATOS_[[Sexo]:[Sexo]]=$B94,IF(DATOS_[[AGRUP. VALOR. PTO.]:[AGRUP. VALOR. PTO.]]=$B93,IF(DATOS_[[Check Periodo Ref.]:[Check Periodo Ref.]]="Dentro",DATOS_[Conc.Sal.27]))))),
0)</f>
        <v>0</v>
      </c>
      <c r="AG94" s="170">
        <f t="array" ref="AG94">IFERROR(
MEDIAN((IF(DATOS_[[Sexo]:[Sexo]]=$B94,IF(DATOS_[[AGRUP. VALOR. PTO.]:[AGRUP. VALOR. PTO.]]=$B93,IF(DATOS_[[Check Periodo Ref.]:[Check Periodo Ref.]]="Dentro",DATOS_[Conc.Sal.28]))))),
0)</f>
        <v>0</v>
      </c>
      <c r="AH94" s="170">
        <f t="array" ref="AH94">IFERROR(
MEDIAN((IF(DATOS_[[Sexo]:[Sexo]]=$B94,IF(DATOS_[[AGRUP. VALOR. PTO.]:[AGRUP. VALOR. PTO.]]=$B93,IF(DATOS_[[Check Periodo Ref.]:[Check Periodo Ref.]]="Dentro",DATOS_[Conc.Sal.29]))))),
0)</f>
        <v>0</v>
      </c>
      <c r="AI94" s="170">
        <f t="array" ref="AI94">IFERROR(
MEDIAN((IF(DATOS_[[Sexo]:[Sexo]]=$B94,IF(DATOS_[[AGRUP. VALOR. PTO.]:[AGRUP. VALOR. PTO.]]=$B93,IF(DATOS_[[Check Periodo Ref.]:[Check Periodo Ref.]]="Dentro",DATOS_[Conc.Sal.30]))))),
0)</f>
        <v>0</v>
      </c>
      <c r="AJ94" s="171">
        <f t="array" ref="AJ94">IFERROR(
MEDIAN(IF(DATOS_[Sexo]=$B94,IF(DATOS_[AGRUP. VALOR. PTO.]=$B93,IF(DATOS_[Check Periodo Ref.]="Dentro",DATOS_[Tot COMPL.SAL Ef],FALSE)))),
0)</f>
        <v>0</v>
      </c>
      <c r="AK94" s="172">
        <f t="array" ref="AK94">IFERROR(
MEDIAN(IF(DATOS_[Sexo]=$B94,IF(DATOS_[AGRUP. VALOR. PTO.]=$B93,IF(DATOS_[Check Periodo Ref.]="Dentro",DATOS_[TOTAL SALARIO Ef],FALSE)))),
0)</f>
        <v>0</v>
      </c>
      <c r="AL94" s="173">
        <f t="array" ref="AL94">IFERROR(
MEDIAN((IF(DATOS_[[Sexo]:[Sexo]]=$B94,IF(DATOS_[[AGRUP. VALOR. PTO.]:[AGRUP. VALOR. PTO.]]=$B93,IF(DATOS_[[Check Periodo Ref.]:[Check Periodo Ref.]]="Dentro",DATOS_[C.Extra.01]))))),
0)</f>
        <v>0</v>
      </c>
      <c r="AM94" s="173">
        <f t="array" ref="AM94">IFERROR(
MEDIAN((IF(DATOS_[[Sexo]:[Sexo]]=$B94,IF(DATOS_[[AGRUP. VALOR. PTO.]:[AGRUP. VALOR. PTO.]]=$B93,IF(DATOS_[[Check Periodo Ref.]:[Check Periodo Ref.]]="Dentro",DATOS_[C.Extra.06]))))),
0)</f>
        <v>0</v>
      </c>
      <c r="AN94" s="173">
        <f t="array" ref="AN94">IFERROR(
MEDIAN((IF(DATOS_[[Sexo]:[Sexo]]=$B94,IF(DATOS_[[AGRUP. VALOR. PTO.]:[AGRUP. VALOR. PTO.]]=$B93,IF(DATOS_[[Check Periodo Ref.]:[Check Periodo Ref.]]="Dentro",DATOS_[C.Extra.07]))))),
0)</f>
        <v>0</v>
      </c>
      <c r="AO94" s="173">
        <f t="array" ref="AO94">IFERROR(
MEDIAN((IF(DATOS_[[Sexo]:[Sexo]]=$B94,IF(DATOS_[[AGRUP. VALOR. PTO.]:[AGRUP. VALOR. PTO.]]=$B93,IF(DATOS_[[Check Periodo Ref.]:[Check Periodo Ref.]]="Dentro",DATOS_[C.Extra.08]))))),
0)</f>
        <v>0</v>
      </c>
      <c r="AP94" s="173">
        <f t="array" ref="AP94">IFERROR(
MEDIAN((IF(DATOS_[[Sexo]:[Sexo]]=$B94,IF(DATOS_[[AGRUP. VALOR. PTO.]:[AGRUP. VALOR. PTO.]]=$B93,IF(DATOS_[[Check Periodo Ref.]:[Check Periodo Ref.]]="Dentro",DATOS_[C.Extra.11]))))),
0)</f>
        <v>0</v>
      </c>
      <c r="AQ94" s="174">
        <f t="array" ref="AQ94">IFERROR(
MEDIAN(IF(DATOS_[Sexo]=$B94,IF(DATOS_[AGRUP. VALOR. PTO.]=$B93,IF(DATOS_[Check Periodo Ref.]="Dentro",DATOS_[Tot Extrasalarial Ef],FALSE)))),
0)</f>
        <v>0</v>
      </c>
      <c r="AR94" s="171">
        <f t="array" ref="AR94">IFERROR(
MEDIAN(IF(DATOS_[Sexo]=$B94,IF(DATOS_[AGRUP. VALOR. PTO.]=$B93,IF(DATOS_[Check Periodo Ref.]="Dentro",DATOS_[TOTAL Retrib Ef],FALSE)))),
0)</f>
        <v>0</v>
      </c>
    </row>
    <row r="95" spans="1:44" x14ac:dyDescent="0.25">
      <c r="A95" s="178" t="str">
        <f t="shared" ref="A95" si="110">+A94</f>
        <v>[ocultar]</v>
      </c>
      <c r="B95" s="166" t="s">
        <v>521</v>
      </c>
      <c r="C95" s="167">
        <f t="array" ref="C95">SUM(IF($B95=DATOS_[Sexo],
IF($B93=DATOS_[AGRUP. VALOR. PTO.],
IF("Dentro"=DATOS_[Check Periodo Ref.],
1/(COUNTIFS(DATOS_[Sexo],$B95,DATOS_[AGRUP. VALOR. PTO.],$B93,DATOS_[Check Periodo Ref.],"Dentro",DATOS_[id/cod],DATOS_[id/cod]))))))</f>
        <v>0</v>
      </c>
      <c r="D95" s="168">
        <f>COUNTIFS(DATOS_[AGRUP. VALOR. PTO.],$B93,DATOS_[Sexo],$B95,DATOS_[Check Periodo Ref.],"Dentro")</f>
        <v>0</v>
      </c>
      <c r="E95" s="169">
        <f t="array" ref="E95">IFERROR(
MEDIAN(IF(DATOS_[Sexo]=$B95,IF(DATOS_[AGRUP. VALOR. PTO.]=$B93,IF(DATOS_[Check Periodo Ref.]="Dentro",DATOS_[SALARIO BASE Ef],FALSE)))),
0)</f>
        <v>0</v>
      </c>
      <c r="F95" s="170">
        <f t="array" ref="F95">IFERROR(
MEDIAN((IF(DATOS_[[Sexo]:[Sexo]]=$B95,IF(DATOS_[[AGRUP. VALOR. PTO.]:[AGRUP. VALOR. PTO.]]=$B93,IF(DATOS_[[Check Periodo Ref.]:[Check Periodo Ref.]]="Dentro",DATOS_[Conc.Sal.01]))))),
0)</f>
        <v>0</v>
      </c>
      <c r="G95" s="170">
        <f t="array" ref="G95">IFERROR(
MEDIAN((IF(DATOS_[[Sexo]:[Sexo]]=$B95,IF(DATOS_[[AGRUP. VALOR. PTO.]:[AGRUP. VALOR. PTO.]]=$B93,IF(DATOS_[[Check Periodo Ref.]:[Check Periodo Ref.]]="Dentro",DATOS_[Conc.Sal.02]))))),
0)</f>
        <v>0</v>
      </c>
      <c r="H95" s="170">
        <f t="array" ref="H95">IFERROR(
MEDIAN((IF(DATOS_[[Sexo]:[Sexo]]=$B95,IF(DATOS_[[AGRUP. VALOR. PTO.]:[AGRUP. VALOR. PTO.]]=$B93,IF(DATOS_[[Check Periodo Ref.]:[Check Periodo Ref.]]="Dentro",DATOS_[Conc.Sal.03]))))),
0)</f>
        <v>0</v>
      </c>
      <c r="I95" s="170">
        <f t="array" ref="I95">IFERROR(
MEDIAN((IF(DATOS_[[Sexo]:[Sexo]]=$B95,IF(DATOS_[[AGRUP. VALOR. PTO.]:[AGRUP. VALOR. PTO.]]=$B93,IF(DATOS_[[Check Periodo Ref.]:[Check Periodo Ref.]]="Dentro",DATOS_[Conc.Sal.04]))))),
0)</f>
        <v>0</v>
      </c>
      <c r="J95" s="170">
        <f t="array" ref="J95">IFERROR(
MEDIAN((IF(DATOS_[[Sexo]:[Sexo]]=$B95,IF(DATOS_[[AGRUP. VALOR. PTO.]:[AGRUP. VALOR. PTO.]]=$B93,IF(DATOS_[[Check Periodo Ref.]:[Check Periodo Ref.]]="Dentro",DATOS_[Conc.Sal.05]))))),
0)</f>
        <v>0</v>
      </c>
      <c r="K95" s="170">
        <f t="array" ref="K95">IFERROR(
MEDIAN((IF(DATOS_[[Sexo]:[Sexo]]=$B95,IF(DATOS_[[AGRUP. VALOR. PTO.]:[AGRUP. VALOR. PTO.]]=$B93,IF(DATOS_[[Check Periodo Ref.]:[Check Periodo Ref.]]="Dentro",DATOS_[Conc.Sal.06]))))),
0)</f>
        <v>0</v>
      </c>
      <c r="L95" s="170">
        <f t="array" ref="L95">IFERROR(
MEDIAN((IF(DATOS_[[Sexo]:[Sexo]]=$B95,IF(DATOS_[[AGRUP. VALOR. PTO.]:[AGRUP. VALOR. PTO.]]=$B93,IF(DATOS_[[Check Periodo Ref.]:[Check Periodo Ref.]]="Dentro",DATOS_[Conc.Sal.07]))))),
0)</f>
        <v>0</v>
      </c>
      <c r="M95" s="170">
        <f t="array" ref="M95">IFERROR(
MEDIAN((IF(DATOS_[[Sexo]:[Sexo]]=$B95,IF(DATOS_[[AGRUP. VALOR. PTO.]:[AGRUP. VALOR. PTO.]]=$B93,IF(DATOS_[[Check Periodo Ref.]:[Check Periodo Ref.]]="Dentro",DATOS_[Conc.Sal.08]))))),
0)</f>
        <v>0</v>
      </c>
      <c r="N95" s="170">
        <f t="array" ref="N95">IFERROR(
MEDIAN((IF(DATOS_[[Sexo]:[Sexo]]=$B95,IF(DATOS_[[AGRUP. VALOR. PTO.]:[AGRUP. VALOR. PTO.]]=$B93,IF(DATOS_[[Check Periodo Ref.]:[Check Periodo Ref.]]="Dentro",DATOS_[Conc.Sal.09]))))),
0)</f>
        <v>0</v>
      </c>
      <c r="O95" s="170">
        <f t="array" ref="O95">IFERROR(
MEDIAN((IF(DATOS_[[Sexo]:[Sexo]]=$B95,IF(DATOS_[[AGRUP. VALOR. PTO.]:[AGRUP. VALOR. PTO.]]=$B93,IF(DATOS_[[Check Periodo Ref.]:[Check Periodo Ref.]]="Dentro",DATOS_[Conc.Sal.10]))))),
0)</f>
        <v>0</v>
      </c>
      <c r="P95" s="170">
        <f t="array" ref="P95">IFERROR(
MEDIAN((IF(DATOS_[[Sexo]:[Sexo]]=$B95,IF(DATOS_[[AGRUP. VALOR. PTO.]:[AGRUP. VALOR. PTO.]]=$B93,IF(DATOS_[[Check Periodo Ref.]:[Check Periodo Ref.]]="Dentro",DATOS_[Conc.Sal.11]))))),
0)</f>
        <v>0</v>
      </c>
      <c r="Q95" s="170">
        <f t="array" ref="Q95">IFERROR(
MEDIAN((IF(DATOS_[[Sexo]:[Sexo]]=$B95,IF(DATOS_[[AGRUP. VALOR. PTO.]:[AGRUP. VALOR. PTO.]]=$B93,IF(DATOS_[[Check Periodo Ref.]:[Check Periodo Ref.]]="Dentro",DATOS_[Conc.Sal.12]))))),
0)</f>
        <v>0</v>
      </c>
      <c r="R95" s="170">
        <f t="array" ref="R95">IFERROR(
MEDIAN((IF(DATOS_[[Sexo]:[Sexo]]=$B95,IF(DATOS_[[AGRUP. VALOR. PTO.]:[AGRUP. VALOR. PTO.]]=$B93,IF(DATOS_[[Check Periodo Ref.]:[Check Periodo Ref.]]="Dentro",DATOS_[Conc.Sal.13]))))),
0)</f>
        <v>0</v>
      </c>
      <c r="S95" s="170">
        <f t="array" ref="S95">IFERROR(
MEDIAN((IF(DATOS_[[Sexo]:[Sexo]]=$B95,IF(DATOS_[[AGRUP. VALOR. PTO.]:[AGRUP. VALOR. PTO.]]=$B93,IF(DATOS_[[Check Periodo Ref.]:[Check Periodo Ref.]]="Dentro",DATOS_[Conc.Sal.14]))))),
0)</f>
        <v>0</v>
      </c>
      <c r="T95" s="170">
        <f t="array" ref="T95">IFERROR(
MEDIAN((IF(DATOS_[[Sexo]:[Sexo]]=$B95,IF(DATOS_[[AGRUP. VALOR. PTO.]:[AGRUP. VALOR. PTO.]]=$B93,IF(DATOS_[[Check Periodo Ref.]:[Check Periodo Ref.]]="Dentro",DATOS_[Conc.Sal.15]))))),
0)</f>
        <v>0</v>
      </c>
      <c r="U95" s="170">
        <f t="array" ref="U95">IFERROR(
MEDIAN((IF(DATOS_[[Sexo]:[Sexo]]=$B95,IF(DATOS_[[AGRUP. VALOR. PTO.]:[AGRUP. VALOR. PTO.]]=$B93,IF(DATOS_[[Check Periodo Ref.]:[Check Periodo Ref.]]="Dentro",DATOS_[Conc.Sal.16]))))),
0)</f>
        <v>0</v>
      </c>
      <c r="V95" s="170">
        <f t="array" ref="V95">IFERROR(
MEDIAN((IF(DATOS_[[Sexo]:[Sexo]]=$B95,IF(DATOS_[[AGRUP. VALOR. PTO.]:[AGRUP. VALOR. PTO.]]=$B93,IF(DATOS_[[Check Periodo Ref.]:[Check Periodo Ref.]]="Dentro",DATOS_[Conc.Sal.17]))))),
0)</f>
        <v>0</v>
      </c>
      <c r="W95" s="170">
        <f t="array" ref="W95">IFERROR(
MEDIAN((IF(DATOS_[[Sexo]:[Sexo]]=$B95,IF(DATOS_[[AGRUP. VALOR. PTO.]:[AGRUP. VALOR. PTO.]]=$B93,IF(DATOS_[[Check Periodo Ref.]:[Check Periodo Ref.]]="Dentro",DATOS_[Conc.Sal.18]))))),
0)</f>
        <v>0</v>
      </c>
      <c r="X95" s="170">
        <f t="array" ref="X95">IFERROR(
MEDIAN((IF(DATOS_[[Sexo]:[Sexo]]=$B95,IF(DATOS_[[AGRUP. VALOR. PTO.]:[AGRUP. VALOR. PTO.]]=$B93,IF(DATOS_[[Check Periodo Ref.]:[Check Periodo Ref.]]="Dentro",DATOS_[Conc.Sal.19]))))),
0)</f>
        <v>0</v>
      </c>
      <c r="Y95" s="170">
        <f t="array" ref="Y95">IFERROR(
MEDIAN((IF(DATOS_[[Sexo]:[Sexo]]=$B95,IF(DATOS_[[AGRUP. VALOR. PTO.]:[AGRUP. VALOR. PTO.]]=$B93,IF(DATOS_[[Check Periodo Ref.]:[Check Periodo Ref.]]="Dentro",DATOS_[Conc.Sal.20]))))),
0)</f>
        <v>0</v>
      </c>
      <c r="Z95" s="170">
        <f t="array" ref="Z95">IFERROR(
MEDIAN((IF(DATOS_[[Sexo]:[Sexo]]=$B95,IF(DATOS_[[AGRUP. VALOR. PTO.]:[AGRUP. VALOR. PTO.]]=$B93,IF(DATOS_[[Check Periodo Ref.]:[Check Periodo Ref.]]="Dentro",DATOS_[Conc.Sal.21]))))),
0)</f>
        <v>0</v>
      </c>
      <c r="AA95" s="170">
        <f t="array" ref="AA95">IFERROR(
MEDIAN((IF(DATOS_[[Sexo]:[Sexo]]=$B95,IF(DATOS_[[AGRUP. VALOR. PTO.]:[AGRUP. VALOR. PTO.]]=$B93,IF(DATOS_[[Check Periodo Ref.]:[Check Periodo Ref.]]="Dentro",DATOS_[Conc.Sal.22]))))),
0)</f>
        <v>0</v>
      </c>
      <c r="AB95" s="170">
        <f t="array" ref="AB95">IFERROR(
MEDIAN((IF(DATOS_[[Sexo]:[Sexo]]=$B95,IF(DATOS_[[AGRUP. VALOR. PTO.]:[AGRUP. VALOR. PTO.]]=$B93,IF(DATOS_[[Check Periodo Ref.]:[Check Periodo Ref.]]="Dentro",DATOS_[Conc.Sal.23]))))),
0)</f>
        <v>0</v>
      </c>
      <c r="AC95" s="170">
        <f t="array" ref="AC95">IFERROR(
MEDIAN((IF(DATOS_[[Sexo]:[Sexo]]=$B95,IF(DATOS_[[AGRUP. VALOR. PTO.]:[AGRUP. VALOR. PTO.]]=$B93,IF(DATOS_[[Check Periodo Ref.]:[Check Periodo Ref.]]="Dentro",DATOS_[Conc.Sal.24]))))),
0)</f>
        <v>0</v>
      </c>
      <c r="AD95" s="170">
        <f t="array" ref="AD95">IFERROR(
MEDIAN((IF(DATOS_[[Sexo]:[Sexo]]=$B95,IF(DATOS_[[AGRUP. VALOR. PTO.]:[AGRUP. VALOR. PTO.]]=$B93,IF(DATOS_[[Check Periodo Ref.]:[Check Periodo Ref.]]="Dentro",DATOS_[Conc.Sal.25]))))),
0)</f>
        <v>0</v>
      </c>
      <c r="AE95" s="170">
        <f t="array" ref="AE95">IFERROR(
MEDIAN((IF(DATOS_[[Sexo]:[Sexo]]=$B95,IF(DATOS_[[AGRUP. VALOR. PTO.]:[AGRUP. VALOR. PTO.]]=$B93,IF(DATOS_[[Check Periodo Ref.]:[Check Periodo Ref.]]="Dentro",DATOS_[Conc.Sal.26]))))),
0)</f>
        <v>0</v>
      </c>
      <c r="AF95" s="170">
        <f t="array" ref="AF95">IFERROR(
MEDIAN((IF(DATOS_[[Sexo]:[Sexo]]=$B95,IF(DATOS_[[AGRUP. VALOR. PTO.]:[AGRUP. VALOR. PTO.]]=$B93,IF(DATOS_[[Check Periodo Ref.]:[Check Periodo Ref.]]="Dentro",DATOS_[Conc.Sal.27]))))),
0)</f>
        <v>0</v>
      </c>
      <c r="AG95" s="170">
        <f t="array" ref="AG95">IFERROR(
MEDIAN((IF(DATOS_[[Sexo]:[Sexo]]=$B95,IF(DATOS_[[AGRUP. VALOR. PTO.]:[AGRUP. VALOR. PTO.]]=$B93,IF(DATOS_[[Check Periodo Ref.]:[Check Periodo Ref.]]="Dentro",DATOS_[Conc.Sal.28]))))),
0)</f>
        <v>0</v>
      </c>
      <c r="AH95" s="170">
        <f t="array" ref="AH95">IFERROR(
MEDIAN((IF(DATOS_[[Sexo]:[Sexo]]=$B95,IF(DATOS_[[AGRUP. VALOR. PTO.]:[AGRUP. VALOR. PTO.]]=$B93,IF(DATOS_[[Check Periodo Ref.]:[Check Periodo Ref.]]="Dentro",DATOS_[Conc.Sal.29]))))),
0)</f>
        <v>0</v>
      </c>
      <c r="AI95" s="170">
        <f t="array" ref="AI95">IFERROR(
MEDIAN((IF(DATOS_[[Sexo]:[Sexo]]=$B95,IF(DATOS_[[AGRUP. VALOR. PTO.]:[AGRUP. VALOR. PTO.]]=$B93,IF(DATOS_[[Check Periodo Ref.]:[Check Periodo Ref.]]="Dentro",DATOS_[Conc.Sal.30]))))),
0)</f>
        <v>0</v>
      </c>
      <c r="AJ95" s="171">
        <f t="array" ref="AJ95">IFERROR(
MEDIAN(IF(DATOS_[Sexo]=$B95,IF(DATOS_[AGRUP. VALOR. PTO.]=$B93,IF(DATOS_[Check Periodo Ref.]="Dentro",DATOS_[Tot COMPL.SAL Ef],FALSE)))),
0)</f>
        <v>0</v>
      </c>
      <c r="AK95" s="172">
        <f t="array" ref="AK95">IFERROR(
MEDIAN(IF(DATOS_[Sexo]=$B95,IF(DATOS_[AGRUP. VALOR. PTO.]=$B93,IF(DATOS_[Check Periodo Ref.]="Dentro",DATOS_[TOTAL SALARIO Ef],FALSE)))),
0)</f>
        <v>0</v>
      </c>
      <c r="AL95" s="173">
        <f t="array" ref="AL95">IFERROR(
MEDIAN((IF(DATOS_[[Sexo]:[Sexo]]=$B95,IF(DATOS_[[AGRUP. VALOR. PTO.]:[AGRUP. VALOR. PTO.]]=$B93,IF(DATOS_[[Check Periodo Ref.]:[Check Periodo Ref.]]="Dentro",DATOS_[C.Extra.01]))))),
0)</f>
        <v>0</v>
      </c>
      <c r="AM95" s="173">
        <f t="array" ref="AM95">IFERROR(
MEDIAN((IF(DATOS_[[Sexo]:[Sexo]]=$B95,IF(DATOS_[[AGRUP. VALOR. PTO.]:[AGRUP. VALOR. PTO.]]=$B93,IF(DATOS_[[Check Periodo Ref.]:[Check Periodo Ref.]]="Dentro",DATOS_[C.Extra.06]))))),
0)</f>
        <v>0</v>
      </c>
      <c r="AN95" s="173">
        <f t="array" ref="AN95">IFERROR(
MEDIAN((IF(DATOS_[[Sexo]:[Sexo]]=$B95,IF(DATOS_[[AGRUP. VALOR. PTO.]:[AGRUP. VALOR. PTO.]]=$B93,IF(DATOS_[[Check Periodo Ref.]:[Check Periodo Ref.]]="Dentro",DATOS_[C.Extra.07]))))),
0)</f>
        <v>0</v>
      </c>
      <c r="AO95" s="173">
        <f t="array" ref="AO95">IFERROR(
MEDIAN((IF(DATOS_[[Sexo]:[Sexo]]=$B95,IF(DATOS_[[AGRUP. VALOR. PTO.]:[AGRUP. VALOR. PTO.]]=$B93,IF(DATOS_[[Check Periodo Ref.]:[Check Periodo Ref.]]="Dentro",DATOS_[C.Extra.08]))))),
0)</f>
        <v>0</v>
      </c>
      <c r="AP95" s="173">
        <f t="array" ref="AP95">IFERROR(
MEDIAN((IF(DATOS_[[Sexo]:[Sexo]]=$B95,IF(DATOS_[[AGRUP. VALOR. PTO.]:[AGRUP. VALOR. PTO.]]=$B93,IF(DATOS_[[Check Periodo Ref.]:[Check Periodo Ref.]]="Dentro",DATOS_[C.Extra.11]))))),
0)</f>
        <v>0</v>
      </c>
      <c r="AQ95" s="174">
        <f t="array" ref="AQ95">IFERROR(
MEDIAN(IF(DATOS_[Sexo]=$B95,IF(DATOS_[AGRUP. VALOR. PTO.]=$B93,IF(DATOS_[Check Periodo Ref.]="Dentro",DATOS_[Tot Extrasalarial Ef],FALSE)))),
0)</f>
        <v>0</v>
      </c>
      <c r="AR95" s="171">
        <f t="array" ref="AR95">IFERROR(
MEDIAN(IF(DATOS_[Sexo]=$B95,IF(DATOS_[AGRUP. VALOR. PTO.]=$B93,IF(DATOS_[Check Periodo Ref.]="Dentro",DATOS_[TOTAL Retrib Ef],FALSE)))),
0)</f>
        <v>0</v>
      </c>
    </row>
    <row r="96" spans="1:44" ht="14.4" thickBot="1" x14ac:dyDescent="0.3">
      <c r="A96" s="178" t="str">
        <f t="shared" ref="A96" si="111">+A97</f>
        <v>[ocultar]</v>
      </c>
      <c r="B96" s="153" t="s">
        <v>284</v>
      </c>
      <c r="C96" s="154"/>
      <c r="D96" s="155"/>
      <c r="E96" s="156" t="str">
        <f t="shared" ref="E96:AR96" si="112">IFERROR((E97-E98)/E97,"")</f>
        <v/>
      </c>
      <c r="F96" s="157" t="str">
        <f t="shared" si="112"/>
        <v/>
      </c>
      <c r="G96" s="158" t="str">
        <f t="shared" si="112"/>
        <v/>
      </c>
      <c r="H96" s="158" t="str">
        <f t="shared" si="112"/>
        <v/>
      </c>
      <c r="I96" s="158" t="str">
        <f t="shared" si="112"/>
        <v/>
      </c>
      <c r="J96" s="159" t="str">
        <f t="shared" si="112"/>
        <v/>
      </c>
      <c r="K96" s="160" t="str">
        <f t="shared" si="112"/>
        <v/>
      </c>
      <c r="L96" s="160" t="str">
        <f t="shared" si="112"/>
        <v/>
      </c>
      <c r="M96" s="160" t="str">
        <f t="shared" si="112"/>
        <v/>
      </c>
      <c r="N96" s="160" t="str">
        <f t="shared" si="112"/>
        <v/>
      </c>
      <c r="O96" s="160" t="str">
        <f t="shared" si="112"/>
        <v/>
      </c>
      <c r="P96" s="160" t="str">
        <f t="shared" si="112"/>
        <v/>
      </c>
      <c r="Q96" s="160" t="str">
        <f t="shared" si="112"/>
        <v/>
      </c>
      <c r="R96" s="160" t="str">
        <f t="shared" si="112"/>
        <v/>
      </c>
      <c r="S96" s="160" t="str">
        <f t="shared" si="112"/>
        <v/>
      </c>
      <c r="T96" s="160" t="str">
        <f t="shared" si="112"/>
        <v/>
      </c>
      <c r="U96" s="160" t="str">
        <f t="shared" si="112"/>
        <v/>
      </c>
      <c r="V96" s="159" t="str">
        <f t="shared" si="112"/>
        <v/>
      </c>
      <c r="W96" s="159" t="str">
        <f t="shared" si="112"/>
        <v/>
      </c>
      <c r="X96" s="159" t="str">
        <f t="shared" si="112"/>
        <v/>
      </c>
      <c r="Y96" s="159" t="str">
        <f t="shared" si="112"/>
        <v/>
      </c>
      <c r="Z96" s="159" t="str">
        <f t="shared" si="112"/>
        <v/>
      </c>
      <c r="AA96" s="159" t="str">
        <f t="shared" si="112"/>
        <v/>
      </c>
      <c r="AB96" s="159" t="str">
        <f t="shared" si="112"/>
        <v/>
      </c>
      <c r="AC96" s="159" t="str">
        <f t="shared" si="112"/>
        <v/>
      </c>
      <c r="AD96" s="159" t="str">
        <f t="shared" si="112"/>
        <v/>
      </c>
      <c r="AE96" s="159" t="str">
        <f t="shared" si="112"/>
        <v/>
      </c>
      <c r="AF96" s="159" t="str">
        <f t="shared" si="112"/>
        <v/>
      </c>
      <c r="AG96" s="159" t="str">
        <f t="shared" si="112"/>
        <v/>
      </c>
      <c r="AH96" s="159" t="str">
        <f t="shared" si="112"/>
        <v/>
      </c>
      <c r="AI96" s="159" t="str">
        <f t="shared" si="112"/>
        <v/>
      </c>
      <c r="AJ96" s="161" t="str">
        <f t="shared" si="112"/>
        <v/>
      </c>
      <c r="AK96" s="162" t="str">
        <f t="shared" si="112"/>
        <v/>
      </c>
      <c r="AL96" s="163" t="str">
        <f t="shared" si="112"/>
        <v/>
      </c>
      <c r="AM96" s="163" t="str">
        <f t="shared" si="112"/>
        <v/>
      </c>
      <c r="AN96" s="163" t="str">
        <f t="shared" si="112"/>
        <v/>
      </c>
      <c r="AO96" s="163" t="str">
        <f t="shared" si="112"/>
        <v/>
      </c>
      <c r="AP96" s="163" t="str">
        <f t="shared" si="112"/>
        <v/>
      </c>
      <c r="AQ96" s="164" t="str">
        <f t="shared" si="112"/>
        <v/>
      </c>
      <c r="AR96" s="161" t="str">
        <f t="shared" si="112"/>
        <v/>
      </c>
    </row>
    <row r="97" spans="1:44" x14ac:dyDescent="0.25">
      <c r="A97" s="178" t="str">
        <f t="shared" ref="A97" si="113">+IF(C97+C98=0,"[ocultar]","")</f>
        <v>[ocultar]</v>
      </c>
      <c r="B97" s="166" t="s">
        <v>394</v>
      </c>
      <c r="C97" s="167">
        <f t="array" ref="C97">SUM(IF($B97=DATOS_[Sexo],
IF($B96=DATOS_[AGRUP. VALOR. PTO.],
IF("Dentro"=DATOS_[Check Periodo Ref.],
1/(COUNTIFS(DATOS_[Sexo],$B97,DATOS_[AGRUP. VALOR. PTO.],$B96,DATOS_[Check Periodo Ref.],"Dentro",DATOS_[id/cod],DATOS_[id/cod]))))))</f>
        <v>0</v>
      </c>
      <c r="D97" s="168">
        <f>COUNTIFS(DATOS_[AGRUP. VALOR. PTO.],$B96,DATOS_[Sexo],$B97,DATOS_[Check Periodo Ref.],"Dentro")</f>
        <v>0</v>
      </c>
      <c r="E97" s="169">
        <f t="array" ref="E97">IFERROR(
MEDIAN(IF(DATOS_[Sexo]=$B97,IF(DATOS_[AGRUP. VALOR. PTO.]=$B96,IF(DATOS_[Check Periodo Ref.]="Dentro",DATOS_[SALARIO BASE Ef],FALSE)))),
0)</f>
        <v>0</v>
      </c>
      <c r="F97" s="170">
        <f t="array" ref="F97">IFERROR(
MEDIAN((IF(DATOS_[[Sexo]:[Sexo]]=$B97,IF(DATOS_[[AGRUP. VALOR. PTO.]:[AGRUP. VALOR. PTO.]]=$B96,IF(DATOS_[[Check Periodo Ref.]:[Check Periodo Ref.]]="Dentro",DATOS_[Conc.Sal.01]))))),
0)</f>
        <v>0</v>
      </c>
      <c r="G97" s="170">
        <f t="array" ref="G97">IFERROR(
MEDIAN((IF(DATOS_[[Sexo]:[Sexo]]=$B97,IF(DATOS_[[AGRUP. VALOR. PTO.]:[AGRUP. VALOR. PTO.]]=$B96,IF(DATOS_[[Check Periodo Ref.]:[Check Periodo Ref.]]="Dentro",DATOS_[Conc.Sal.02]))))),
0)</f>
        <v>0</v>
      </c>
      <c r="H97" s="170">
        <f t="array" ref="H97">IFERROR(
MEDIAN((IF(DATOS_[[Sexo]:[Sexo]]=$B97,IF(DATOS_[[AGRUP. VALOR. PTO.]:[AGRUP. VALOR. PTO.]]=$B96,IF(DATOS_[[Check Periodo Ref.]:[Check Periodo Ref.]]="Dentro",DATOS_[Conc.Sal.03]))))),
0)</f>
        <v>0</v>
      </c>
      <c r="I97" s="170">
        <f t="array" ref="I97">IFERROR(
MEDIAN((IF(DATOS_[[Sexo]:[Sexo]]=$B97,IF(DATOS_[[AGRUP. VALOR. PTO.]:[AGRUP. VALOR. PTO.]]=$B96,IF(DATOS_[[Check Periodo Ref.]:[Check Periodo Ref.]]="Dentro",DATOS_[Conc.Sal.04]))))),
0)</f>
        <v>0</v>
      </c>
      <c r="J97" s="170">
        <f t="array" ref="J97">IFERROR(
MEDIAN((IF(DATOS_[[Sexo]:[Sexo]]=$B97,IF(DATOS_[[AGRUP. VALOR. PTO.]:[AGRUP. VALOR. PTO.]]=$B96,IF(DATOS_[[Check Periodo Ref.]:[Check Periodo Ref.]]="Dentro",DATOS_[Conc.Sal.05]))))),
0)</f>
        <v>0</v>
      </c>
      <c r="K97" s="170">
        <f t="array" ref="K97">IFERROR(
MEDIAN((IF(DATOS_[[Sexo]:[Sexo]]=$B97,IF(DATOS_[[AGRUP. VALOR. PTO.]:[AGRUP. VALOR. PTO.]]=$B96,IF(DATOS_[[Check Periodo Ref.]:[Check Periodo Ref.]]="Dentro",DATOS_[Conc.Sal.06]))))),
0)</f>
        <v>0</v>
      </c>
      <c r="L97" s="170">
        <f t="array" ref="L97">IFERROR(
MEDIAN((IF(DATOS_[[Sexo]:[Sexo]]=$B97,IF(DATOS_[[AGRUP. VALOR. PTO.]:[AGRUP. VALOR. PTO.]]=$B96,IF(DATOS_[[Check Periodo Ref.]:[Check Periodo Ref.]]="Dentro",DATOS_[Conc.Sal.07]))))),
0)</f>
        <v>0</v>
      </c>
      <c r="M97" s="170">
        <f t="array" ref="M97">IFERROR(
MEDIAN((IF(DATOS_[[Sexo]:[Sexo]]=$B97,IF(DATOS_[[AGRUP. VALOR. PTO.]:[AGRUP. VALOR. PTO.]]=$B96,IF(DATOS_[[Check Periodo Ref.]:[Check Periodo Ref.]]="Dentro",DATOS_[Conc.Sal.08]))))),
0)</f>
        <v>0</v>
      </c>
      <c r="N97" s="170">
        <f t="array" ref="N97">IFERROR(
MEDIAN((IF(DATOS_[[Sexo]:[Sexo]]=$B97,IF(DATOS_[[AGRUP. VALOR. PTO.]:[AGRUP. VALOR. PTO.]]=$B96,IF(DATOS_[[Check Periodo Ref.]:[Check Periodo Ref.]]="Dentro",DATOS_[Conc.Sal.09]))))),
0)</f>
        <v>0</v>
      </c>
      <c r="O97" s="170">
        <f t="array" ref="O97">IFERROR(
MEDIAN((IF(DATOS_[[Sexo]:[Sexo]]=$B97,IF(DATOS_[[AGRUP. VALOR. PTO.]:[AGRUP. VALOR. PTO.]]=$B96,IF(DATOS_[[Check Periodo Ref.]:[Check Periodo Ref.]]="Dentro",DATOS_[Conc.Sal.10]))))),
0)</f>
        <v>0</v>
      </c>
      <c r="P97" s="170">
        <f t="array" ref="P97">IFERROR(
MEDIAN((IF(DATOS_[[Sexo]:[Sexo]]=$B97,IF(DATOS_[[AGRUP. VALOR. PTO.]:[AGRUP. VALOR. PTO.]]=$B96,IF(DATOS_[[Check Periodo Ref.]:[Check Periodo Ref.]]="Dentro",DATOS_[Conc.Sal.11]))))),
0)</f>
        <v>0</v>
      </c>
      <c r="Q97" s="170">
        <f t="array" ref="Q97">IFERROR(
MEDIAN((IF(DATOS_[[Sexo]:[Sexo]]=$B97,IF(DATOS_[[AGRUP. VALOR. PTO.]:[AGRUP. VALOR. PTO.]]=$B96,IF(DATOS_[[Check Periodo Ref.]:[Check Periodo Ref.]]="Dentro",DATOS_[Conc.Sal.12]))))),
0)</f>
        <v>0</v>
      </c>
      <c r="R97" s="170">
        <f t="array" ref="R97">IFERROR(
MEDIAN((IF(DATOS_[[Sexo]:[Sexo]]=$B97,IF(DATOS_[[AGRUP. VALOR. PTO.]:[AGRUP. VALOR. PTO.]]=$B96,IF(DATOS_[[Check Periodo Ref.]:[Check Periodo Ref.]]="Dentro",DATOS_[Conc.Sal.13]))))),
0)</f>
        <v>0</v>
      </c>
      <c r="S97" s="170">
        <f t="array" ref="S97">IFERROR(
MEDIAN((IF(DATOS_[[Sexo]:[Sexo]]=$B97,IF(DATOS_[[AGRUP. VALOR. PTO.]:[AGRUP. VALOR. PTO.]]=$B96,IF(DATOS_[[Check Periodo Ref.]:[Check Periodo Ref.]]="Dentro",DATOS_[Conc.Sal.14]))))),
0)</f>
        <v>0</v>
      </c>
      <c r="T97" s="170">
        <f t="array" ref="T97">IFERROR(
MEDIAN((IF(DATOS_[[Sexo]:[Sexo]]=$B97,IF(DATOS_[[AGRUP. VALOR. PTO.]:[AGRUP. VALOR. PTO.]]=$B96,IF(DATOS_[[Check Periodo Ref.]:[Check Periodo Ref.]]="Dentro",DATOS_[Conc.Sal.15]))))),
0)</f>
        <v>0</v>
      </c>
      <c r="U97" s="170">
        <f t="array" ref="U97">IFERROR(
MEDIAN((IF(DATOS_[[Sexo]:[Sexo]]=$B97,IF(DATOS_[[AGRUP. VALOR. PTO.]:[AGRUP. VALOR. PTO.]]=$B96,IF(DATOS_[[Check Periodo Ref.]:[Check Periodo Ref.]]="Dentro",DATOS_[Conc.Sal.16]))))),
0)</f>
        <v>0</v>
      </c>
      <c r="V97" s="170">
        <f t="array" ref="V97">IFERROR(
MEDIAN((IF(DATOS_[[Sexo]:[Sexo]]=$B97,IF(DATOS_[[AGRUP. VALOR. PTO.]:[AGRUP. VALOR. PTO.]]=$B96,IF(DATOS_[[Check Periodo Ref.]:[Check Periodo Ref.]]="Dentro",DATOS_[Conc.Sal.17]))))),
0)</f>
        <v>0</v>
      </c>
      <c r="W97" s="170">
        <f t="array" ref="W97">IFERROR(
MEDIAN((IF(DATOS_[[Sexo]:[Sexo]]=$B97,IF(DATOS_[[AGRUP. VALOR. PTO.]:[AGRUP. VALOR. PTO.]]=$B96,IF(DATOS_[[Check Periodo Ref.]:[Check Periodo Ref.]]="Dentro",DATOS_[Conc.Sal.18]))))),
0)</f>
        <v>0</v>
      </c>
      <c r="X97" s="170">
        <f t="array" ref="X97">IFERROR(
MEDIAN((IF(DATOS_[[Sexo]:[Sexo]]=$B97,IF(DATOS_[[AGRUP. VALOR. PTO.]:[AGRUP. VALOR. PTO.]]=$B96,IF(DATOS_[[Check Periodo Ref.]:[Check Periodo Ref.]]="Dentro",DATOS_[Conc.Sal.19]))))),
0)</f>
        <v>0</v>
      </c>
      <c r="Y97" s="170">
        <f t="array" ref="Y97">IFERROR(
MEDIAN((IF(DATOS_[[Sexo]:[Sexo]]=$B97,IF(DATOS_[[AGRUP. VALOR. PTO.]:[AGRUP. VALOR. PTO.]]=$B96,IF(DATOS_[[Check Periodo Ref.]:[Check Periodo Ref.]]="Dentro",DATOS_[Conc.Sal.20]))))),
0)</f>
        <v>0</v>
      </c>
      <c r="Z97" s="170">
        <f t="array" ref="Z97">IFERROR(
MEDIAN((IF(DATOS_[[Sexo]:[Sexo]]=$B97,IF(DATOS_[[AGRUP. VALOR. PTO.]:[AGRUP. VALOR. PTO.]]=$B96,IF(DATOS_[[Check Periodo Ref.]:[Check Periodo Ref.]]="Dentro",DATOS_[Conc.Sal.21]))))),
0)</f>
        <v>0</v>
      </c>
      <c r="AA97" s="170">
        <f t="array" ref="AA97">IFERROR(
MEDIAN((IF(DATOS_[[Sexo]:[Sexo]]=$B97,IF(DATOS_[[AGRUP. VALOR. PTO.]:[AGRUP. VALOR. PTO.]]=$B96,IF(DATOS_[[Check Periodo Ref.]:[Check Periodo Ref.]]="Dentro",DATOS_[Conc.Sal.22]))))),
0)</f>
        <v>0</v>
      </c>
      <c r="AB97" s="170">
        <f t="array" ref="AB97">IFERROR(
MEDIAN((IF(DATOS_[[Sexo]:[Sexo]]=$B97,IF(DATOS_[[AGRUP. VALOR. PTO.]:[AGRUP. VALOR. PTO.]]=$B96,IF(DATOS_[[Check Periodo Ref.]:[Check Periodo Ref.]]="Dentro",DATOS_[Conc.Sal.23]))))),
0)</f>
        <v>0</v>
      </c>
      <c r="AC97" s="170">
        <f t="array" ref="AC97">IFERROR(
MEDIAN((IF(DATOS_[[Sexo]:[Sexo]]=$B97,IF(DATOS_[[AGRUP. VALOR. PTO.]:[AGRUP. VALOR. PTO.]]=$B96,IF(DATOS_[[Check Periodo Ref.]:[Check Periodo Ref.]]="Dentro",DATOS_[Conc.Sal.24]))))),
0)</f>
        <v>0</v>
      </c>
      <c r="AD97" s="170">
        <f t="array" ref="AD97">IFERROR(
MEDIAN((IF(DATOS_[[Sexo]:[Sexo]]=$B97,IF(DATOS_[[AGRUP. VALOR. PTO.]:[AGRUP. VALOR. PTO.]]=$B96,IF(DATOS_[[Check Periodo Ref.]:[Check Periodo Ref.]]="Dentro",DATOS_[Conc.Sal.25]))))),
0)</f>
        <v>0</v>
      </c>
      <c r="AE97" s="170">
        <f t="array" ref="AE97">IFERROR(
MEDIAN((IF(DATOS_[[Sexo]:[Sexo]]=$B97,IF(DATOS_[[AGRUP. VALOR. PTO.]:[AGRUP. VALOR. PTO.]]=$B96,IF(DATOS_[[Check Periodo Ref.]:[Check Periodo Ref.]]="Dentro",DATOS_[Conc.Sal.26]))))),
0)</f>
        <v>0</v>
      </c>
      <c r="AF97" s="170">
        <f t="array" ref="AF97">IFERROR(
MEDIAN((IF(DATOS_[[Sexo]:[Sexo]]=$B97,IF(DATOS_[[AGRUP. VALOR. PTO.]:[AGRUP. VALOR. PTO.]]=$B96,IF(DATOS_[[Check Periodo Ref.]:[Check Periodo Ref.]]="Dentro",DATOS_[Conc.Sal.27]))))),
0)</f>
        <v>0</v>
      </c>
      <c r="AG97" s="170">
        <f t="array" ref="AG97">IFERROR(
MEDIAN((IF(DATOS_[[Sexo]:[Sexo]]=$B97,IF(DATOS_[[AGRUP. VALOR. PTO.]:[AGRUP. VALOR. PTO.]]=$B96,IF(DATOS_[[Check Periodo Ref.]:[Check Periodo Ref.]]="Dentro",DATOS_[Conc.Sal.28]))))),
0)</f>
        <v>0</v>
      </c>
      <c r="AH97" s="170">
        <f t="array" ref="AH97">IFERROR(
MEDIAN((IF(DATOS_[[Sexo]:[Sexo]]=$B97,IF(DATOS_[[AGRUP. VALOR. PTO.]:[AGRUP. VALOR. PTO.]]=$B96,IF(DATOS_[[Check Periodo Ref.]:[Check Periodo Ref.]]="Dentro",DATOS_[Conc.Sal.29]))))),
0)</f>
        <v>0</v>
      </c>
      <c r="AI97" s="170">
        <f t="array" ref="AI97">IFERROR(
MEDIAN((IF(DATOS_[[Sexo]:[Sexo]]=$B97,IF(DATOS_[[AGRUP. VALOR. PTO.]:[AGRUP. VALOR. PTO.]]=$B96,IF(DATOS_[[Check Periodo Ref.]:[Check Periodo Ref.]]="Dentro",DATOS_[Conc.Sal.30]))))),
0)</f>
        <v>0</v>
      </c>
      <c r="AJ97" s="171">
        <f t="array" ref="AJ97">IFERROR(
MEDIAN(IF(DATOS_[Sexo]=$B97,IF(DATOS_[AGRUP. VALOR. PTO.]=$B96,IF(DATOS_[Check Periodo Ref.]="Dentro",DATOS_[Tot COMPL.SAL Ef],FALSE)))),
0)</f>
        <v>0</v>
      </c>
      <c r="AK97" s="172">
        <f t="array" ref="AK97">IFERROR(
MEDIAN(IF(DATOS_[Sexo]=$B97,IF(DATOS_[AGRUP. VALOR. PTO.]=$B96,IF(DATOS_[Check Periodo Ref.]="Dentro",DATOS_[TOTAL SALARIO Ef],FALSE)))),
0)</f>
        <v>0</v>
      </c>
      <c r="AL97" s="173">
        <f t="array" ref="AL97">IFERROR(
MEDIAN((IF(DATOS_[[Sexo]:[Sexo]]=$B97,IF(DATOS_[[AGRUP. VALOR. PTO.]:[AGRUP. VALOR. PTO.]]=$B96,IF(DATOS_[[Check Periodo Ref.]:[Check Periodo Ref.]]="Dentro",DATOS_[C.Extra.01]))))),
0)</f>
        <v>0</v>
      </c>
      <c r="AM97" s="173">
        <f t="array" ref="AM97">IFERROR(
MEDIAN((IF(DATOS_[[Sexo]:[Sexo]]=$B97,IF(DATOS_[[AGRUP. VALOR. PTO.]:[AGRUP. VALOR. PTO.]]=$B96,IF(DATOS_[[Check Periodo Ref.]:[Check Periodo Ref.]]="Dentro",DATOS_[C.Extra.06]))))),
0)</f>
        <v>0</v>
      </c>
      <c r="AN97" s="173">
        <f t="array" ref="AN97">IFERROR(
MEDIAN((IF(DATOS_[[Sexo]:[Sexo]]=$B97,IF(DATOS_[[AGRUP. VALOR. PTO.]:[AGRUP. VALOR. PTO.]]=$B96,IF(DATOS_[[Check Periodo Ref.]:[Check Periodo Ref.]]="Dentro",DATOS_[C.Extra.07]))))),
0)</f>
        <v>0</v>
      </c>
      <c r="AO97" s="173">
        <f t="array" ref="AO97">IFERROR(
MEDIAN((IF(DATOS_[[Sexo]:[Sexo]]=$B97,IF(DATOS_[[AGRUP. VALOR. PTO.]:[AGRUP. VALOR. PTO.]]=$B96,IF(DATOS_[[Check Periodo Ref.]:[Check Periodo Ref.]]="Dentro",DATOS_[C.Extra.08]))))),
0)</f>
        <v>0</v>
      </c>
      <c r="AP97" s="173">
        <f t="array" ref="AP97">IFERROR(
MEDIAN((IF(DATOS_[[Sexo]:[Sexo]]=$B97,IF(DATOS_[[AGRUP. VALOR. PTO.]:[AGRUP. VALOR. PTO.]]=$B96,IF(DATOS_[[Check Periodo Ref.]:[Check Periodo Ref.]]="Dentro",DATOS_[C.Extra.11]))))),
0)</f>
        <v>0</v>
      </c>
      <c r="AQ97" s="174">
        <f t="array" ref="AQ97">IFERROR(
MEDIAN(IF(DATOS_[Sexo]=$B97,IF(DATOS_[AGRUP. VALOR. PTO.]=$B96,IF(DATOS_[Check Periodo Ref.]="Dentro",DATOS_[Tot Extrasalarial Ef],FALSE)))),
0)</f>
        <v>0</v>
      </c>
      <c r="AR97" s="171">
        <f t="array" ref="AR97">IFERROR(
MEDIAN(IF(DATOS_[Sexo]=$B97,IF(DATOS_[AGRUP. VALOR. PTO.]=$B96,IF(DATOS_[Check Periodo Ref.]="Dentro",DATOS_[TOTAL Retrib Ef],FALSE)))),
0)</f>
        <v>0</v>
      </c>
    </row>
    <row r="98" spans="1:44" x14ac:dyDescent="0.25">
      <c r="A98" s="178" t="str">
        <f t="shared" ref="A98" si="114">+A97</f>
        <v>[ocultar]</v>
      </c>
      <c r="B98" s="166" t="s">
        <v>521</v>
      </c>
      <c r="C98" s="167">
        <f t="array" ref="C98">SUM(IF($B98=DATOS_[Sexo],
IF($B96=DATOS_[AGRUP. VALOR. PTO.],
IF("Dentro"=DATOS_[Check Periodo Ref.],
1/(COUNTIFS(DATOS_[Sexo],$B98,DATOS_[AGRUP. VALOR. PTO.],$B96,DATOS_[Check Periodo Ref.],"Dentro",DATOS_[id/cod],DATOS_[id/cod]))))))</f>
        <v>0</v>
      </c>
      <c r="D98" s="168">
        <f>COUNTIFS(DATOS_[AGRUP. VALOR. PTO.],$B96,DATOS_[Sexo],$B98,DATOS_[Check Periodo Ref.],"Dentro")</f>
        <v>0</v>
      </c>
      <c r="E98" s="169">
        <f t="array" ref="E98">IFERROR(
MEDIAN(IF(DATOS_[Sexo]=$B98,IF(DATOS_[AGRUP. VALOR. PTO.]=$B96,IF(DATOS_[Check Periodo Ref.]="Dentro",DATOS_[SALARIO BASE Ef],FALSE)))),
0)</f>
        <v>0</v>
      </c>
      <c r="F98" s="170">
        <f t="array" ref="F98">IFERROR(
MEDIAN((IF(DATOS_[[Sexo]:[Sexo]]=$B98,IF(DATOS_[[AGRUP. VALOR. PTO.]:[AGRUP. VALOR. PTO.]]=$B96,IF(DATOS_[[Check Periodo Ref.]:[Check Periodo Ref.]]="Dentro",DATOS_[Conc.Sal.01]))))),
0)</f>
        <v>0</v>
      </c>
      <c r="G98" s="170">
        <f t="array" ref="G98">IFERROR(
MEDIAN((IF(DATOS_[[Sexo]:[Sexo]]=$B98,IF(DATOS_[[AGRUP. VALOR. PTO.]:[AGRUP. VALOR. PTO.]]=$B96,IF(DATOS_[[Check Periodo Ref.]:[Check Periodo Ref.]]="Dentro",DATOS_[Conc.Sal.02]))))),
0)</f>
        <v>0</v>
      </c>
      <c r="H98" s="170">
        <f t="array" ref="H98">IFERROR(
MEDIAN((IF(DATOS_[[Sexo]:[Sexo]]=$B98,IF(DATOS_[[AGRUP. VALOR. PTO.]:[AGRUP. VALOR. PTO.]]=$B96,IF(DATOS_[[Check Periodo Ref.]:[Check Periodo Ref.]]="Dentro",DATOS_[Conc.Sal.03]))))),
0)</f>
        <v>0</v>
      </c>
      <c r="I98" s="170">
        <f t="array" ref="I98">IFERROR(
MEDIAN((IF(DATOS_[[Sexo]:[Sexo]]=$B98,IF(DATOS_[[AGRUP. VALOR. PTO.]:[AGRUP. VALOR. PTO.]]=$B96,IF(DATOS_[[Check Periodo Ref.]:[Check Periodo Ref.]]="Dentro",DATOS_[Conc.Sal.04]))))),
0)</f>
        <v>0</v>
      </c>
      <c r="J98" s="170">
        <f t="array" ref="J98">IFERROR(
MEDIAN((IF(DATOS_[[Sexo]:[Sexo]]=$B98,IF(DATOS_[[AGRUP. VALOR. PTO.]:[AGRUP. VALOR. PTO.]]=$B96,IF(DATOS_[[Check Periodo Ref.]:[Check Periodo Ref.]]="Dentro",DATOS_[Conc.Sal.05]))))),
0)</f>
        <v>0</v>
      </c>
      <c r="K98" s="170">
        <f t="array" ref="K98">IFERROR(
MEDIAN((IF(DATOS_[[Sexo]:[Sexo]]=$B98,IF(DATOS_[[AGRUP. VALOR. PTO.]:[AGRUP. VALOR. PTO.]]=$B96,IF(DATOS_[[Check Periodo Ref.]:[Check Periodo Ref.]]="Dentro",DATOS_[Conc.Sal.06]))))),
0)</f>
        <v>0</v>
      </c>
      <c r="L98" s="170">
        <f t="array" ref="L98">IFERROR(
MEDIAN((IF(DATOS_[[Sexo]:[Sexo]]=$B98,IF(DATOS_[[AGRUP. VALOR. PTO.]:[AGRUP. VALOR. PTO.]]=$B96,IF(DATOS_[[Check Periodo Ref.]:[Check Periodo Ref.]]="Dentro",DATOS_[Conc.Sal.07]))))),
0)</f>
        <v>0</v>
      </c>
      <c r="M98" s="170">
        <f t="array" ref="M98">IFERROR(
MEDIAN((IF(DATOS_[[Sexo]:[Sexo]]=$B98,IF(DATOS_[[AGRUP. VALOR. PTO.]:[AGRUP. VALOR. PTO.]]=$B96,IF(DATOS_[[Check Periodo Ref.]:[Check Periodo Ref.]]="Dentro",DATOS_[Conc.Sal.08]))))),
0)</f>
        <v>0</v>
      </c>
      <c r="N98" s="170">
        <f t="array" ref="N98">IFERROR(
MEDIAN((IF(DATOS_[[Sexo]:[Sexo]]=$B98,IF(DATOS_[[AGRUP. VALOR. PTO.]:[AGRUP. VALOR. PTO.]]=$B96,IF(DATOS_[[Check Periodo Ref.]:[Check Periodo Ref.]]="Dentro",DATOS_[Conc.Sal.09]))))),
0)</f>
        <v>0</v>
      </c>
      <c r="O98" s="170">
        <f t="array" ref="O98">IFERROR(
MEDIAN((IF(DATOS_[[Sexo]:[Sexo]]=$B98,IF(DATOS_[[AGRUP. VALOR. PTO.]:[AGRUP. VALOR. PTO.]]=$B96,IF(DATOS_[[Check Periodo Ref.]:[Check Periodo Ref.]]="Dentro",DATOS_[Conc.Sal.10]))))),
0)</f>
        <v>0</v>
      </c>
      <c r="P98" s="170">
        <f t="array" ref="P98">IFERROR(
MEDIAN((IF(DATOS_[[Sexo]:[Sexo]]=$B98,IF(DATOS_[[AGRUP. VALOR. PTO.]:[AGRUP. VALOR. PTO.]]=$B96,IF(DATOS_[[Check Periodo Ref.]:[Check Periodo Ref.]]="Dentro",DATOS_[Conc.Sal.11]))))),
0)</f>
        <v>0</v>
      </c>
      <c r="Q98" s="170">
        <f t="array" ref="Q98">IFERROR(
MEDIAN((IF(DATOS_[[Sexo]:[Sexo]]=$B98,IF(DATOS_[[AGRUP. VALOR. PTO.]:[AGRUP. VALOR. PTO.]]=$B96,IF(DATOS_[[Check Periodo Ref.]:[Check Periodo Ref.]]="Dentro",DATOS_[Conc.Sal.12]))))),
0)</f>
        <v>0</v>
      </c>
      <c r="R98" s="170">
        <f t="array" ref="R98">IFERROR(
MEDIAN((IF(DATOS_[[Sexo]:[Sexo]]=$B98,IF(DATOS_[[AGRUP. VALOR. PTO.]:[AGRUP. VALOR. PTO.]]=$B96,IF(DATOS_[[Check Periodo Ref.]:[Check Periodo Ref.]]="Dentro",DATOS_[Conc.Sal.13]))))),
0)</f>
        <v>0</v>
      </c>
      <c r="S98" s="170">
        <f t="array" ref="S98">IFERROR(
MEDIAN((IF(DATOS_[[Sexo]:[Sexo]]=$B98,IF(DATOS_[[AGRUP. VALOR. PTO.]:[AGRUP. VALOR. PTO.]]=$B96,IF(DATOS_[[Check Periodo Ref.]:[Check Periodo Ref.]]="Dentro",DATOS_[Conc.Sal.14]))))),
0)</f>
        <v>0</v>
      </c>
      <c r="T98" s="170">
        <f t="array" ref="T98">IFERROR(
MEDIAN((IF(DATOS_[[Sexo]:[Sexo]]=$B98,IF(DATOS_[[AGRUP. VALOR. PTO.]:[AGRUP. VALOR. PTO.]]=$B96,IF(DATOS_[[Check Periodo Ref.]:[Check Periodo Ref.]]="Dentro",DATOS_[Conc.Sal.15]))))),
0)</f>
        <v>0</v>
      </c>
      <c r="U98" s="170">
        <f t="array" ref="U98">IFERROR(
MEDIAN((IF(DATOS_[[Sexo]:[Sexo]]=$B98,IF(DATOS_[[AGRUP. VALOR. PTO.]:[AGRUP. VALOR. PTO.]]=$B96,IF(DATOS_[[Check Periodo Ref.]:[Check Periodo Ref.]]="Dentro",DATOS_[Conc.Sal.16]))))),
0)</f>
        <v>0</v>
      </c>
      <c r="V98" s="170">
        <f t="array" ref="V98">IFERROR(
MEDIAN((IF(DATOS_[[Sexo]:[Sexo]]=$B98,IF(DATOS_[[AGRUP. VALOR. PTO.]:[AGRUP. VALOR. PTO.]]=$B96,IF(DATOS_[[Check Periodo Ref.]:[Check Periodo Ref.]]="Dentro",DATOS_[Conc.Sal.17]))))),
0)</f>
        <v>0</v>
      </c>
      <c r="W98" s="170">
        <f t="array" ref="W98">IFERROR(
MEDIAN((IF(DATOS_[[Sexo]:[Sexo]]=$B98,IF(DATOS_[[AGRUP. VALOR. PTO.]:[AGRUP. VALOR. PTO.]]=$B96,IF(DATOS_[[Check Periodo Ref.]:[Check Periodo Ref.]]="Dentro",DATOS_[Conc.Sal.18]))))),
0)</f>
        <v>0</v>
      </c>
      <c r="X98" s="170">
        <f t="array" ref="X98">IFERROR(
MEDIAN((IF(DATOS_[[Sexo]:[Sexo]]=$B98,IF(DATOS_[[AGRUP. VALOR. PTO.]:[AGRUP. VALOR. PTO.]]=$B96,IF(DATOS_[[Check Periodo Ref.]:[Check Periodo Ref.]]="Dentro",DATOS_[Conc.Sal.19]))))),
0)</f>
        <v>0</v>
      </c>
      <c r="Y98" s="170">
        <f t="array" ref="Y98">IFERROR(
MEDIAN((IF(DATOS_[[Sexo]:[Sexo]]=$B98,IF(DATOS_[[AGRUP. VALOR. PTO.]:[AGRUP. VALOR. PTO.]]=$B96,IF(DATOS_[[Check Periodo Ref.]:[Check Periodo Ref.]]="Dentro",DATOS_[Conc.Sal.20]))))),
0)</f>
        <v>0</v>
      </c>
      <c r="Z98" s="170">
        <f t="array" ref="Z98">IFERROR(
MEDIAN((IF(DATOS_[[Sexo]:[Sexo]]=$B98,IF(DATOS_[[AGRUP. VALOR. PTO.]:[AGRUP. VALOR. PTO.]]=$B96,IF(DATOS_[[Check Periodo Ref.]:[Check Periodo Ref.]]="Dentro",DATOS_[Conc.Sal.21]))))),
0)</f>
        <v>0</v>
      </c>
      <c r="AA98" s="170">
        <f t="array" ref="AA98">IFERROR(
MEDIAN((IF(DATOS_[[Sexo]:[Sexo]]=$B98,IF(DATOS_[[AGRUP. VALOR. PTO.]:[AGRUP. VALOR. PTO.]]=$B96,IF(DATOS_[[Check Periodo Ref.]:[Check Periodo Ref.]]="Dentro",DATOS_[Conc.Sal.22]))))),
0)</f>
        <v>0</v>
      </c>
      <c r="AB98" s="170">
        <f t="array" ref="AB98">IFERROR(
MEDIAN((IF(DATOS_[[Sexo]:[Sexo]]=$B98,IF(DATOS_[[AGRUP. VALOR. PTO.]:[AGRUP. VALOR. PTO.]]=$B96,IF(DATOS_[[Check Periodo Ref.]:[Check Periodo Ref.]]="Dentro",DATOS_[Conc.Sal.23]))))),
0)</f>
        <v>0</v>
      </c>
      <c r="AC98" s="170">
        <f t="array" ref="AC98">IFERROR(
MEDIAN((IF(DATOS_[[Sexo]:[Sexo]]=$B98,IF(DATOS_[[AGRUP. VALOR. PTO.]:[AGRUP. VALOR. PTO.]]=$B96,IF(DATOS_[[Check Periodo Ref.]:[Check Periodo Ref.]]="Dentro",DATOS_[Conc.Sal.24]))))),
0)</f>
        <v>0</v>
      </c>
      <c r="AD98" s="170">
        <f t="array" ref="AD98">IFERROR(
MEDIAN((IF(DATOS_[[Sexo]:[Sexo]]=$B98,IF(DATOS_[[AGRUP. VALOR. PTO.]:[AGRUP. VALOR. PTO.]]=$B96,IF(DATOS_[[Check Periodo Ref.]:[Check Periodo Ref.]]="Dentro",DATOS_[Conc.Sal.25]))))),
0)</f>
        <v>0</v>
      </c>
      <c r="AE98" s="170">
        <f t="array" ref="AE98">IFERROR(
MEDIAN((IF(DATOS_[[Sexo]:[Sexo]]=$B98,IF(DATOS_[[AGRUP. VALOR. PTO.]:[AGRUP. VALOR. PTO.]]=$B96,IF(DATOS_[[Check Periodo Ref.]:[Check Periodo Ref.]]="Dentro",DATOS_[Conc.Sal.26]))))),
0)</f>
        <v>0</v>
      </c>
      <c r="AF98" s="170">
        <f t="array" ref="AF98">IFERROR(
MEDIAN((IF(DATOS_[[Sexo]:[Sexo]]=$B98,IF(DATOS_[[AGRUP. VALOR. PTO.]:[AGRUP. VALOR. PTO.]]=$B96,IF(DATOS_[[Check Periodo Ref.]:[Check Periodo Ref.]]="Dentro",DATOS_[Conc.Sal.27]))))),
0)</f>
        <v>0</v>
      </c>
      <c r="AG98" s="170">
        <f t="array" ref="AG98">IFERROR(
MEDIAN((IF(DATOS_[[Sexo]:[Sexo]]=$B98,IF(DATOS_[[AGRUP. VALOR. PTO.]:[AGRUP. VALOR. PTO.]]=$B96,IF(DATOS_[[Check Periodo Ref.]:[Check Periodo Ref.]]="Dentro",DATOS_[Conc.Sal.28]))))),
0)</f>
        <v>0</v>
      </c>
      <c r="AH98" s="170">
        <f t="array" ref="AH98">IFERROR(
MEDIAN((IF(DATOS_[[Sexo]:[Sexo]]=$B98,IF(DATOS_[[AGRUP. VALOR. PTO.]:[AGRUP. VALOR. PTO.]]=$B96,IF(DATOS_[[Check Periodo Ref.]:[Check Periodo Ref.]]="Dentro",DATOS_[Conc.Sal.29]))))),
0)</f>
        <v>0</v>
      </c>
      <c r="AI98" s="170">
        <f t="array" ref="AI98">IFERROR(
MEDIAN((IF(DATOS_[[Sexo]:[Sexo]]=$B98,IF(DATOS_[[AGRUP. VALOR. PTO.]:[AGRUP. VALOR. PTO.]]=$B96,IF(DATOS_[[Check Periodo Ref.]:[Check Periodo Ref.]]="Dentro",DATOS_[Conc.Sal.30]))))),
0)</f>
        <v>0</v>
      </c>
      <c r="AJ98" s="171">
        <f t="array" ref="AJ98">IFERROR(
MEDIAN(IF(DATOS_[Sexo]=$B98,IF(DATOS_[AGRUP. VALOR. PTO.]=$B96,IF(DATOS_[Check Periodo Ref.]="Dentro",DATOS_[Tot COMPL.SAL Ef],FALSE)))),
0)</f>
        <v>0</v>
      </c>
      <c r="AK98" s="172">
        <f t="array" ref="AK98">IFERROR(
MEDIAN(IF(DATOS_[Sexo]=$B98,IF(DATOS_[AGRUP. VALOR. PTO.]=$B96,IF(DATOS_[Check Periodo Ref.]="Dentro",DATOS_[TOTAL SALARIO Ef],FALSE)))),
0)</f>
        <v>0</v>
      </c>
      <c r="AL98" s="173">
        <f t="array" ref="AL98">IFERROR(
MEDIAN((IF(DATOS_[[Sexo]:[Sexo]]=$B98,IF(DATOS_[[AGRUP. VALOR. PTO.]:[AGRUP. VALOR. PTO.]]=$B96,IF(DATOS_[[Check Periodo Ref.]:[Check Periodo Ref.]]="Dentro",DATOS_[C.Extra.01]))))),
0)</f>
        <v>0</v>
      </c>
      <c r="AM98" s="173">
        <f t="array" ref="AM98">IFERROR(
MEDIAN((IF(DATOS_[[Sexo]:[Sexo]]=$B98,IF(DATOS_[[AGRUP. VALOR. PTO.]:[AGRUP. VALOR. PTO.]]=$B96,IF(DATOS_[[Check Periodo Ref.]:[Check Periodo Ref.]]="Dentro",DATOS_[C.Extra.06]))))),
0)</f>
        <v>0</v>
      </c>
      <c r="AN98" s="173">
        <f t="array" ref="AN98">IFERROR(
MEDIAN((IF(DATOS_[[Sexo]:[Sexo]]=$B98,IF(DATOS_[[AGRUP. VALOR. PTO.]:[AGRUP. VALOR. PTO.]]=$B96,IF(DATOS_[[Check Periodo Ref.]:[Check Periodo Ref.]]="Dentro",DATOS_[C.Extra.07]))))),
0)</f>
        <v>0</v>
      </c>
      <c r="AO98" s="173">
        <f t="array" ref="AO98">IFERROR(
MEDIAN((IF(DATOS_[[Sexo]:[Sexo]]=$B98,IF(DATOS_[[AGRUP. VALOR. PTO.]:[AGRUP. VALOR. PTO.]]=$B96,IF(DATOS_[[Check Periodo Ref.]:[Check Periodo Ref.]]="Dentro",DATOS_[C.Extra.08]))))),
0)</f>
        <v>0</v>
      </c>
      <c r="AP98" s="173">
        <f t="array" ref="AP98">IFERROR(
MEDIAN((IF(DATOS_[[Sexo]:[Sexo]]=$B98,IF(DATOS_[[AGRUP. VALOR. PTO.]:[AGRUP. VALOR. PTO.]]=$B96,IF(DATOS_[[Check Periodo Ref.]:[Check Periodo Ref.]]="Dentro",DATOS_[C.Extra.11]))))),
0)</f>
        <v>0</v>
      </c>
      <c r="AQ98" s="174">
        <f t="array" ref="AQ98">IFERROR(
MEDIAN(IF(DATOS_[Sexo]=$B98,IF(DATOS_[AGRUP. VALOR. PTO.]=$B96,IF(DATOS_[Check Periodo Ref.]="Dentro",DATOS_[Tot Extrasalarial Ef],FALSE)))),
0)</f>
        <v>0</v>
      </c>
      <c r="AR98" s="171">
        <f t="array" ref="AR98">IFERROR(
MEDIAN(IF(DATOS_[Sexo]=$B98,IF(DATOS_[AGRUP. VALOR. PTO.]=$B96,IF(DATOS_[Check Periodo Ref.]="Dentro",DATOS_[TOTAL Retrib Ef],FALSE)))),
0)</f>
        <v>0</v>
      </c>
    </row>
    <row r="99" spans="1:44" ht="14.4" thickBot="1" x14ac:dyDescent="0.3">
      <c r="A99" s="178" t="str">
        <f t="shared" ref="A99" si="115">+A100</f>
        <v>[ocultar]</v>
      </c>
      <c r="B99" s="153" t="s">
        <v>287</v>
      </c>
      <c r="C99" s="154"/>
      <c r="D99" s="155"/>
      <c r="E99" s="156" t="str">
        <f t="shared" ref="E99:AR99" si="116">IFERROR((E100-E101)/E100,"")</f>
        <v/>
      </c>
      <c r="F99" s="157" t="str">
        <f t="shared" si="116"/>
        <v/>
      </c>
      <c r="G99" s="158" t="str">
        <f t="shared" si="116"/>
        <v/>
      </c>
      <c r="H99" s="158" t="str">
        <f t="shared" si="116"/>
        <v/>
      </c>
      <c r="I99" s="158" t="str">
        <f t="shared" si="116"/>
        <v/>
      </c>
      <c r="J99" s="159" t="str">
        <f t="shared" si="116"/>
        <v/>
      </c>
      <c r="K99" s="160" t="str">
        <f t="shared" si="116"/>
        <v/>
      </c>
      <c r="L99" s="160" t="str">
        <f t="shared" si="116"/>
        <v/>
      </c>
      <c r="M99" s="160" t="str">
        <f t="shared" si="116"/>
        <v/>
      </c>
      <c r="N99" s="160" t="str">
        <f t="shared" si="116"/>
        <v/>
      </c>
      <c r="O99" s="160" t="str">
        <f t="shared" si="116"/>
        <v/>
      </c>
      <c r="P99" s="160" t="str">
        <f t="shared" si="116"/>
        <v/>
      </c>
      <c r="Q99" s="160" t="str">
        <f t="shared" si="116"/>
        <v/>
      </c>
      <c r="R99" s="160" t="str">
        <f t="shared" si="116"/>
        <v/>
      </c>
      <c r="S99" s="160" t="str">
        <f t="shared" si="116"/>
        <v/>
      </c>
      <c r="T99" s="160" t="str">
        <f t="shared" si="116"/>
        <v/>
      </c>
      <c r="U99" s="160" t="str">
        <f t="shared" si="116"/>
        <v/>
      </c>
      <c r="V99" s="159" t="str">
        <f t="shared" si="116"/>
        <v/>
      </c>
      <c r="W99" s="159" t="str">
        <f t="shared" si="116"/>
        <v/>
      </c>
      <c r="X99" s="159" t="str">
        <f t="shared" si="116"/>
        <v/>
      </c>
      <c r="Y99" s="159" t="str">
        <f t="shared" si="116"/>
        <v/>
      </c>
      <c r="Z99" s="159" t="str">
        <f t="shared" si="116"/>
        <v/>
      </c>
      <c r="AA99" s="159" t="str">
        <f t="shared" si="116"/>
        <v/>
      </c>
      <c r="AB99" s="159" t="str">
        <f t="shared" si="116"/>
        <v/>
      </c>
      <c r="AC99" s="159" t="str">
        <f t="shared" si="116"/>
        <v/>
      </c>
      <c r="AD99" s="159" t="str">
        <f t="shared" si="116"/>
        <v/>
      </c>
      <c r="AE99" s="159" t="str">
        <f t="shared" si="116"/>
        <v/>
      </c>
      <c r="AF99" s="159" t="str">
        <f t="shared" si="116"/>
        <v/>
      </c>
      <c r="AG99" s="159" t="str">
        <f t="shared" si="116"/>
        <v/>
      </c>
      <c r="AH99" s="159" t="str">
        <f t="shared" si="116"/>
        <v/>
      </c>
      <c r="AI99" s="159" t="str">
        <f t="shared" si="116"/>
        <v/>
      </c>
      <c r="AJ99" s="161" t="str">
        <f t="shared" si="116"/>
        <v/>
      </c>
      <c r="AK99" s="162" t="str">
        <f t="shared" si="116"/>
        <v/>
      </c>
      <c r="AL99" s="163" t="str">
        <f t="shared" si="116"/>
        <v/>
      </c>
      <c r="AM99" s="163" t="str">
        <f t="shared" si="116"/>
        <v/>
      </c>
      <c r="AN99" s="163" t="str">
        <f t="shared" si="116"/>
        <v/>
      </c>
      <c r="AO99" s="163" t="str">
        <f t="shared" si="116"/>
        <v/>
      </c>
      <c r="AP99" s="163" t="str">
        <f t="shared" si="116"/>
        <v/>
      </c>
      <c r="AQ99" s="164" t="str">
        <f t="shared" si="116"/>
        <v/>
      </c>
      <c r="AR99" s="161" t="str">
        <f t="shared" si="116"/>
        <v/>
      </c>
    </row>
    <row r="100" spans="1:44" x14ac:dyDescent="0.25">
      <c r="A100" s="178" t="str">
        <f t="shared" ref="A100" si="117">+IF(C100+C101=0,"[ocultar]","")</f>
        <v>[ocultar]</v>
      </c>
      <c r="B100" s="166" t="s">
        <v>394</v>
      </c>
      <c r="C100" s="167">
        <f t="array" ref="C100">SUM(IF($B100=DATOS_[Sexo],
IF($B99=DATOS_[AGRUP. VALOR. PTO.],
IF("Dentro"=DATOS_[Check Periodo Ref.],
1/(COUNTIFS(DATOS_[Sexo],$B100,DATOS_[AGRUP. VALOR. PTO.],$B99,DATOS_[Check Periodo Ref.],"Dentro",DATOS_[id/cod],DATOS_[id/cod]))))))</f>
        <v>0</v>
      </c>
      <c r="D100" s="168">
        <f>COUNTIFS(DATOS_[AGRUP. VALOR. PTO.],$B99,DATOS_[Sexo],$B100,DATOS_[Check Periodo Ref.],"Dentro")</f>
        <v>0</v>
      </c>
      <c r="E100" s="169">
        <f t="array" ref="E100">IFERROR(
MEDIAN(IF(DATOS_[Sexo]=$B100,IF(DATOS_[AGRUP. VALOR. PTO.]=$B99,IF(DATOS_[Check Periodo Ref.]="Dentro",DATOS_[SALARIO BASE Ef],FALSE)))),
0)</f>
        <v>0</v>
      </c>
      <c r="F100" s="170">
        <f t="array" ref="F100">IFERROR(
MEDIAN((IF(DATOS_[[Sexo]:[Sexo]]=$B100,IF(DATOS_[[AGRUP. VALOR. PTO.]:[AGRUP. VALOR. PTO.]]=$B99,IF(DATOS_[[Check Periodo Ref.]:[Check Periodo Ref.]]="Dentro",DATOS_[Conc.Sal.01]))))),
0)</f>
        <v>0</v>
      </c>
      <c r="G100" s="170">
        <f t="array" ref="G100">IFERROR(
MEDIAN((IF(DATOS_[[Sexo]:[Sexo]]=$B100,IF(DATOS_[[AGRUP. VALOR. PTO.]:[AGRUP. VALOR. PTO.]]=$B99,IF(DATOS_[[Check Periodo Ref.]:[Check Periodo Ref.]]="Dentro",DATOS_[Conc.Sal.02]))))),
0)</f>
        <v>0</v>
      </c>
      <c r="H100" s="170">
        <f t="array" ref="H100">IFERROR(
MEDIAN((IF(DATOS_[[Sexo]:[Sexo]]=$B100,IF(DATOS_[[AGRUP. VALOR. PTO.]:[AGRUP. VALOR. PTO.]]=$B99,IF(DATOS_[[Check Periodo Ref.]:[Check Periodo Ref.]]="Dentro",DATOS_[Conc.Sal.03]))))),
0)</f>
        <v>0</v>
      </c>
      <c r="I100" s="170">
        <f t="array" ref="I100">IFERROR(
MEDIAN((IF(DATOS_[[Sexo]:[Sexo]]=$B100,IF(DATOS_[[AGRUP. VALOR. PTO.]:[AGRUP. VALOR. PTO.]]=$B99,IF(DATOS_[[Check Periodo Ref.]:[Check Periodo Ref.]]="Dentro",DATOS_[Conc.Sal.04]))))),
0)</f>
        <v>0</v>
      </c>
      <c r="J100" s="170">
        <f t="array" ref="J100">IFERROR(
MEDIAN((IF(DATOS_[[Sexo]:[Sexo]]=$B100,IF(DATOS_[[AGRUP. VALOR. PTO.]:[AGRUP. VALOR. PTO.]]=$B99,IF(DATOS_[[Check Periodo Ref.]:[Check Periodo Ref.]]="Dentro",DATOS_[Conc.Sal.05]))))),
0)</f>
        <v>0</v>
      </c>
      <c r="K100" s="170">
        <f t="array" ref="K100">IFERROR(
MEDIAN((IF(DATOS_[[Sexo]:[Sexo]]=$B100,IF(DATOS_[[AGRUP. VALOR. PTO.]:[AGRUP. VALOR. PTO.]]=$B99,IF(DATOS_[[Check Periodo Ref.]:[Check Periodo Ref.]]="Dentro",DATOS_[Conc.Sal.06]))))),
0)</f>
        <v>0</v>
      </c>
      <c r="L100" s="170">
        <f t="array" ref="L100">IFERROR(
MEDIAN((IF(DATOS_[[Sexo]:[Sexo]]=$B100,IF(DATOS_[[AGRUP. VALOR. PTO.]:[AGRUP. VALOR. PTO.]]=$B99,IF(DATOS_[[Check Periodo Ref.]:[Check Periodo Ref.]]="Dentro",DATOS_[Conc.Sal.07]))))),
0)</f>
        <v>0</v>
      </c>
      <c r="M100" s="170">
        <f t="array" ref="M100">IFERROR(
MEDIAN((IF(DATOS_[[Sexo]:[Sexo]]=$B100,IF(DATOS_[[AGRUP. VALOR. PTO.]:[AGRUP. VALOR. PTO.]]=$B99,IF(DATOS_[[Check Periodo Ref.]:[Check Periodo Ref.]]="Dentro",DATOS_[Conc.Sal.08]))))),
0)</f>
        <v>0</v>
      </c>
      <c r="N100" s="170">
        <f t="array" ref="N100">IFERROR(
MEDIAN((IF(DATOS_[[Sexo]:[Sexo]]=$B100,IF(DATOS_[[AGRUP. VALOR. PTO.]:[AGRUP. VALOR. PTO.]]=$B99,IF(DATOS_[[Check Periodo Ref.]:[Check Periodo Ref.]]="Dentro",DATOS_[Conc.Sal.09]))))),
0)</f>
        <v>0</v>
      </c>
      <c r="O100" s="170">
        <f t="array" ref="O100">IFERROR(
MEDIAN((IF(DATOS_[[Sexo]:[Sexo]]=$B100,IF(DATOS_[[AGRUP. VALOR. PTO.]:[AGRUP. VALOR. PTO.]]=$B99,IF(DATOS_[[Check Periodo Ref.]:[Check Periodo Ref.]]="Dentro",DATOS_[Conc.Sal.10]))))),
0)</f>
        <v>0</v>
      </c>
      <c r="P100" s="170">
        <f t="array" ref="P100">IFERROR(
MEDIAN((IF(DATOS_[[Sexo]:[Sexo]]=$B100,IF(DATOS_[[AGRUP. VALOR. PTO.]:[AGRUP. VALOR. PTO.]]=$B99,IF(DATOS_[[Check Periodo Ref.]:[Check Periodo Ref.]]="Dentro",DATOS_[Conc.Sal.11]))))),
0)</f>
        <v>0</v>
      </c>
      <c r="Q100" s="170">
        <f t="array" ref="Q100">IFERROR(
MEDIAN((IF(DATOS_[[Sexo]:[Sexo]]=$B100,IF(DATOS_[[AGRUP. VALOR. PTO.]:[AGRUP. VALOR. PTO.]]=$B99,IF(DATOS_[[Check Periodo Ref.]:[Check Periodo Ref.]]="Dentro",DATOS_[Conc.Sal.12]))))),
0)</f>
        <v>0</v>
      </c>
      <c r="R100" s="170">
        <f t="array" ref="R100">IFERROR(
MEDIAN((IF(DATOS_[[Sexo]:[Sexo]]=$B100,IF(DATOS_[[AGRUP. VALOR. PTO.]:[AGRUP. VALOR. PTO.]]=$B99,IF(DATOS_[[Check Periodo Ref.]:[Check Periodo Ref.]]="Dentro",DATOS_[Conc.Sal.13]))))),
0)</f>
        <v>0</v>
      </c>
      <c r="S100" s="170">
        <f t="array" ref="S100">IFERROR(
MEDIAN((IF(DATOS_[[Sexo]:[Sexo]]=$B100,IF(DATOS_[[AGRUP. VALOR. PTO.]:[AGRUP. VALOR. PTO.]]=$B99,IF(DATOS_[[Check Periodo Ref.]:[Check Periodo Ref.]]="Dentro",DATOS_[Conc.Sal.14]))))),
0)</f>
        <v>0</v>
      </c>
      <c r="T100" s="170">
        <f t="array" ref="T100">IFERROR(
MEDIAN((IF(DATOS_[[Sexo]:[Sexo]]=$B100,IF(DATOS_[[AGRUP. VALOR. PTO.]:[AGRUP. VALOR. PTO.]]=$B99,IF(DATOS_[[Check Periodo Ref.]:[Check Periodo Ref.]]="Dentro",DATOS_[Conc.Sal.15]))))),
0)</f>
        <v>0</v>
      </c>
      <c r="U100" s="170">
        <f t="array" ref="U100">IFERROR(
MEDIAN((IF(DATOS_[[Sexo]:[Sexo]]=$B100,IF(DATOS_[[AGRUP. VALOR. PTO.]:[AGRUP. VALOR. PTO.]]=$B99,IF(DATOS_[[Check Periodo Ref.]:[Check Periodo Ref.]]="Dentro",DATOS_[Conc.Sal.16]))))),
0)</f>
        <v>0</v>
      </c>
      <c r="V100" s="170">
        <f t="array" ref="V100">IFERROR(
MEDIAN((IF(DATOS_[[Sexo]:[Sexo]]=$B100,IF(DATOS_[[AGRUP. VALOR. PTO.]:[AGRUP. VALOR. PTO.]]=$B99,IF(DATOS_[[Check Periodo Ref.]:[Check Periodo Ref.]]="Dentro",DATOS_[Conc.Sal.17]))))),
0)</f>
        <v>0</v>
      </c>
      <c r="W100" s="170">
        <f t="array" ref="W100">IFERROR(
MEDIAN((IF(DATOS_[[Sexo]:[Sexo]]=$B100,IF(DATOS_[[AGRUP. VALOR. PTO.]:[AGRUP. VALOR. PTO.]]=$B99,IF(DATOS_[[Check Periodo Ref.]:[Check Periodo Ref.]]="Dentro",DATOS_[Conc.Sal.18]))))),
0)</f>
        <v>0</v>
      </c>
      <c r="X100" s="170">
        <f t="array" ref="X100">IFERROR(
MEDIAN((IF(DATOS_[[Sexo]:[Sexo]]=$B100,IF(DATOS_[[AGRUP. VALOR. PTO.]:[AGRUP. VALOR. PTO.]]=$B99,IF(DATOS_[[Check Periodo Ref.]:[Check Periodo Ref.]]="Dentro",DATOS_[Conc.Sal.19]))))),
0)</f>
        <v>0</v>
      </c>
      <c r="Y100" s="170">
        <f t="array" ref="Y100">IFERROR(
MEDIAN((IF(DATOS_[[Sexo]:[Sexo]]=$B100,IF(DATOS_[[AGRUP. VALOR. PTO.]:[AGRUP. VALOR. PTO.]]=$B99,IF(DATOS_[[Check Periodo Ref.]:[Check Periodo Ref.]]="Dentro",DATOS_[Conc.Sal.20]))))),
0)</f>
        <v>0</v>
      </c>
      <c r="Z100" s="170">
        <f t="array" ref="Z100">IFERROR(
MEDIAN((IF(DATOS_[[Sexo]:[Sexo]]=$B100,IF(DATOS_[[AGRUP. VALOR. PTO.]:[AGRUP. VALOR. PTO.]]=$B99,IF(DATOS_[[Check Periodo Ref.]:[Check Periodo Ref.]]="Dentro",DATOS_[Conc.Sal.21]))))),
0)</f>
        <v>0</v>
      </c>
      <c r="AA100" s="170">
        <f t="array" ref="AA100">IFERROR(
MEDIAN((IF(DATOS_[[Sexo]:[Sexo]]=$B100,IF(DATOS_[[AGRUP. VALOR. PTO.]:[AGRUP. VALOR. PTO.]]=$B99,IF(DATOS_[[Check Periodo Ref.]:[Check Periodo Ref.]]="Dentro",DATOS_[Conc.Sal.22]))))),
0)</f>
        <v>0</v>
      </c>
      <c r="AB100" s="170">
        <f t="array" ref="AB100">IFERROR(
MEDIAN((IF(DATOS_[[Sexo]:[Sexo]]=$B100,IF(DATOS_[[AGRUP. VALOR. PTO.]:[AGRUP. VALOR. PTO.]]=$B99,IF(DATOS_[[Check Periodo Ref.]:[Check Periodo Ref.]]="Dentro",DATOS_[Conc.Sal.23]))))),
0)</f>
        <v>0</v>
      </c>
      <c r="AC100" s="170">
        <f t="array" ref="AC100">IFERROR(
MEDIAN((IF(DATOS_[[Sexo]:[Sexo]]=$B100,IF(DATOS_[[AGRUP. VALOR. PTO.]:[AGRUP. VALOR. PTO.]]=$B99,IF(DATOS_[[Check Periodo Ref.]:[Check Periodo Ref.]]="Dentro",DATOS_[Conc.Sal.24]))))),
0)</f>
        <v>0</v>
      </c>
      <c r="AD100" s="170">
        <f t="array" ref="AD100">IFERROR(
MEDIAN((IF(DATOS_[[Sexo]:[Sexo]]=$B100,IF(DATOS_[[AGRUP. VALOR. PTO.]:[AGRUP. VALOR. PTO.]]=$B99,IF(DATOS_[[Check Periodo Ref.]:[Check Periodo Ref.]]="Dentro",DATOS_[Conc.Sal.25]))))),
0)</f>
        <v>0</v>
      </c>
      <c r="AE100" s="170">
        <f t="array" ref="AE100">IFERROR(
MEDIAN((IF(DATOS_[[Sexo]:[Sexo]]=$B100,IF(DATOS_[[AGRUP. VALOR. PTO.]:[AGRUP. VALOR. PTO.]]=$B99,IF(DATOS_[[Check Periodo Ref.]:[Check Periodo Ref.]]="Dentro",DATOS_[Conc.Sal.26]))))),
0)</f>
        <v>0</v>
      </c>
      <c r="AF100" s="170">
        <f t="array" ref="AF100">IFERROR(
MEDIAN((IF(DATOS_[[Sexo]:[Sexo]]=$B100,IF(DATOS_[[AGRUP. VALOR. PTO.]:[AGRUP. VALOR. PTO.]]=$B99,IF(DATOS_[[Check Periodo Ref.]:[Check Periodo Ref.]]="Dentro",DATOS_[Conc.Sal.27]))))),
0)</f>
        <v>0</v>
      </c>
      <c r="AG100" s="170">
        <f t="array" ref="AG100">IFERROR(
MEDIAN((IF(DATOS_[[Sexo]:[Sexo]]=$B100,IF(DATOS_[[AGRUP. VALOR. PTO.]:[AGRUP. VALOR. PTO.]]=$B99,IF(DATOS_[[Check Periodo Ref.]:[Check Periodo Ref.]]="Dentro",DATOS_[Conc.Sal.28]))))),
0)</f>
        <v>0</v>
      </c>
      <c r="AH100" s="170">
        <f t="array" ref="AH100">IFERROR(
MEDIAN((IF(DATOS_[[Sexo]:[Sexo]]=$B100,IF(DATOS_[[AGRUP. VALOR. PTO.]:[AGRUP. VALOR. PTO.]]=$B99,IF(DATOS_[[Check Periodo Ref.]:[Check Periodo Ref.]]="Dentro",DATOS_[Conc.Sal.29]))))),
0)</f>
        <v>0</v>
      </c>
      <c r="AI100" s="170">
        <f t="array" ref="AI100">IFERROR(
MEDIAN((IF(DATOS_[[Sexo]:[Sexo]]=$B100,IF(DATOS_[[AGRUP. VALOR. PTO.]:[AGRUP. VALOR. PTO.]]=$B99,IF(DATOS_[[Check Periodo Ref.]:[Check Periodo Ref.]]="Dentro",DATOS_[Conc.Sal.30]))))),
0)</f>
        <v>0</v>
      </c>
      <c r="AJ100" s="171">
        <f t="array" ref="AJ100">IFERROR(
MEDIAN(IF(DATOS_[Sexo]=$B100,IF(DATOS_[AGRUP. VALOR. PTO.]=$B99,IF(DATOS_[Check Periodo Ref.]="Dentro",DATOS_[Tot COMPL.SAL Ef],FALSE)))),
0)</f>
        <v>0</v>
      </c>
      <c r="AK100" s="172">
        <f t="array" ref="AK100">IFERROR(
MEDIAN(IF(DATOS_[Sexo]=$B100,IF(DATOS_[AGRUP. VALOR. PTO.]=$B99,IF(DATOS_[Check Periodo Ref.]="Dentro",DATOS_[TOTAL SALARIO Ef],FALSE)))),
0)</f>
        <v>0</v>
      </c>
      <c r="AL100" s="173">
        <f t="array" ref="AL100">IFERROR(
MEDIAN((IF(DATOS_[[Sexo]:[Sexo]]=$B100,IF(DATOS_[[AGRUP. VALOR. PTO.]:[AGRUP. VALOR. PTO.]]=$B99,IF(DATOS_[[Check Periodo Ref.]:[Check Periodo Ref.]]="Dentro",DATOS_[C.Extra.01]))))),
0)</f>
        <v>0</v>
      </c>
      <c r="AM100" s="173">
        <f t="array" ref="AM100">IFERROR(
MEDIAN((IF(DATOS_[[Sexo]:[Sexo]]=$B100,IF(DATOS_[[AGRUP. VALOR. PTO.]:[AGRUP. VALOR. PTO.]]=$B99,IF(DATOS_[[Check Periodo Ref.]:[Check Periodo Ref.]]="Dentro",DATOS_[C.Extra.06]))))),
0)</f>
        <v>0</v>
      </c>
      <c r="AN100" s="173">
        <f t="array" ref="AN100">IFERROR(
MEDIAN((IF(DATOS_[[Sexo]:[Sexo]]=$B100,IF(DATOS_[[AGRUP. VALOR. PTO.]:[AGRUP. VALOR. PTO.]]=$B99,IF(DATOS_[[Check Periodo Ref.]:[Check Periodo Ref.]]="Dentro",DATOS_[C.Extra.07]))))),
0)</f>
        <v>0</v>
      </c>
      <c r="AO100" s="173">
        <f t="array" ref="AO100">IFERROR(
MEDIAN((IF(DATOS_[[Sexo]:[Sexo]]=$B100,IF(DATOS_[[AGRUP. VALOR. PTO.]:[AGRUP. VALOR. PTO.]]=$B99,IF(DATOS_[[Check Periodo Ref.]:[Check Periodo Ref.]]="Dentro",DATOS_[C.Extra.08]))))),
0)</f>
        <v>0</v>
      </c>
      <c r="AP100" s="173">
        <f t="array" ref="AP100">IFERROR(
MEDIAN((IF(DATOS_[[Sexo]:[Sexo]]=$B100,IF(DATOS_[[AGRUP. VALOR. PTO.]:[AGRUP. VALOR. PTO.]]=$B99,IF(DATOS_[[Check Periodo Ref.]:[Check Periodo Ref.]]="Dentro",DATOS_[C.Extra.11]))))),
0)</f>
        <v>0</v>
      </c>
      <c r="AQ100" s="174">
        <f t="array" ref="AQ100">IFERROR(
MEDIAN(IF(DATOS_[Sexo]=$B100,IF(DATOS_[AGRUP. VALOR. PTO.]=$B99,IF(DATOS_[Check Periodo Ref.]="Dentro",DATOS_[Tot Extrasalarial Ef],FALSE)))),
0)</f>
        <v>0</v>
      </c>
      <c r="AR100" s="171">
        <f t="array" ref="AR100">IFERROR(
MEDIAN(IF(DATOS_[Sexo]=$B100,IF(DATOS_[AGRUP. VALOR. PTO.]=$B99,IF(DATOS_[Check Periodo Ref.]="Dentro",DATOS_[TOTAL Retrib Ef],FALSE)))),
0)</f>
        <v>0</v>
      </c>
    </row>
    <row r="101" spans="1:44" x14ac:dyDescent="0.25">
      <c r="A101" s="178" t="str">
        <f t="shared" ref="A101" si="118">+A100</f>
        <v>[ocultar]</v>
      </c>
      <c r="B101" s="166" t="s">
        <v>521</v>
      </c>
      <c r="C101" s="167">
        <f t="array" ref="C101">SUM(IF($B101=DATOS_[Sexo],
IF($B99=DATOS_[AGRUP. VALOR. PTO.],
IF("Dentro"=DATOS_[Check Periodo Ref.],
1/(COUNTIFS(DATOS_[Sexo],$B101,DATOS_[AGRUP. VALOR. PTO.],$B99,DATOS_[Check Periodo Ref.],"Dentro",DATOS_[id/cod],DATOS_[id/cod]))))))</f>
        <v>0</v>
      </c>
      <c r="D101" s="168">
        <f>COUNTIFS(DATOS_[AGRUP. VALOR. PTO.],$B99,DATOS_[Sexo],$B101,DATOS_[Check Periodo Ref.],"Dentro")</f>
        <v>0</v>
      </c>
      <c r="E101" s="169">
        <f t="array" ref="E101">IFERROR(
MEDIAN(IF(DATOS_[Sexo]=$B101,IF(DATOS_[AGRUP. VALOR. PTO.]=$B99,IF(DATOS_[Check Periodo Ref.]="Dentro",DATOS_[SALARIO BASE Ef],FALSE)))),
0)</f>
        <v>0</v>
      </c>
      <c r="F101" s="170">
        <f t="array" ref="F101">IFERROR(
MEDIAN((IF(DATOS_[[Sexo]:[Sexo]]=$B101,IF(DATOS_[[AGRUP. VALOR. PTO.]:[AGRUP. VALOR. PTO.]]=$B99,IF(DATOS_[[Check Periodo Ref.]:[Check Periodo Ref.]]="Dentro",DATOS_[Conc.Sal.01]))))),
0)</f>
        <v>0</v>
      </c>
      <c r="G101" s="170">
        <f t="array" ref="G101">IFERROR(
MEDIAN((IF(DATOS_[[Sexo]:[Sexo]]=$B101,IF(DATOS_[[AGRUP. VALOR. PTO.]:[AGRUP. VALOR. PTO.]]=$B99,IF(DATOS_[[Check Periodo Ref.]:[Check Periodo Ref.]]="Dentro",DATOS_[Conc.Sal.02]))))),
0)</f>
        <v>0</v>
      </c>
      <c r="H101" s="170">
        <f t="array" ref="H101">IFERROR(
MEDIAN((IF(DATOS_[[Sexo]:[Sexo]]=$B101,IF(DATOS_[[AGRUP. VALOR. PTO.]:[AGRUP. VALOR. PTO.]]=$B99,IF(DATOS_[[Check Periodo Ref.]:[Check Periodo Ref.]]="Dentro",DATOS_[Conc.Sal.03]))))),
0)</f>
        <v>0</v>
      </c>
      <c r="I101" s="170">
        <f t="array" ref="I101">IFERROR(
MEDIAN((IF(DATOS_[[Sexo]:[Sexo]]=$B101,IF(DATOS_[[AGRUP. VALOR. PTO.]:[AGRUP. VALOR. PTO.]]=$B99,IF(DATOS_[[Check Periodo Ref.]:[Check Periodo Ref.]]="Dentro",DATOS_[Conc.Sal.04]))))),
0)</f>
        <v>0</v>
      </c>
      <c r="J101" s="170">
        <f t="array" ref="J101">IFERROR(
MEDIAN((IF(DATOS_[[Sexo]:[Sexo]]=$B101,IF(DATOS_[[AGRUP. VALOR. PTO.]:[AGRUP. VALOR. PTO.]]=$B99,IF(DATOS_[[Check Periodo Ref.]:[Check Periodo Ref.]]="Dentro",DATOS_[Conc.Sal.05]))))),
0)</f>
        <v>0</v>
      </c>
      <c r="K101" s="170">
        <f t="array" ref="K101">IFERROR(
MEDIAN((IF(DATOS_[[Sexo]:[Sexo]]=$B101,IF(DATOS_[[AGRUP. VALOR. PTO.]:[AGRUP. VALOR. PTO.]]=$B99,IF(DATOS_[[Check Periodo Ref.]:[Check Periodo Ref.]]="Dentro",DATOS_[Conc.Sal.06]))))),
0)</f>
        <v>0</v>
      </c>
      <c r="L101" s="170">
        <f t="array" ref="L101">IFERROR(
MEDIAN((IF(DATOS_[[Sexo]:[Sexo]]=$B101,IF(DATOS_[[AGRUP. VALOR. PTO.]:[AGRUP. VALOR. PTO.]]=$B99,IF(DATOS_[[Check Periodo Ref.]:[Check Periodo Ref.]]="Dentro",DATOS_[Conc.Sal.07]))))),
0)</f>
        <v>0</v>
      </c>
      <c r="M101" s="170">
        <f t="array" ref="M101">IFERROR(
MEDIAN((IF(DATOS_[[Sexo]:[Sexo]]=$B101,IF(DATOS_[[AGRUP. VALOR. PTO.]:[AGRUP. VALOR. PTO.]]=$B99,IF(DATOS_[[Check Periodo Ref.]:[Check Periodo Ref.]]="Dentro",DATOS_[Conc.Sal.08]))))),
0)</f>
        <v>0</v>
      </c>
      <c r="N101" s="170">
        <f t="array" ref="N101">IFERROR(
MEDIAN((IF(DATOS_[[Sexo]:[Sexo]]=$B101,IF(DATOS_[[AGRUP. VALOR. PTO.]:[AGRUP. VALOR. PTO.]]=$B99,IF(DATOS_[[Check Periodo Ref.]:[Check Periodo Ref.]]="Dentro",DATOS_[Conc.Sal.09]))))),
0)</f>
        <v>0</v>
      </c>
      <c r="O101" s="170">
        <f t="array" ref="O101">IFERROR(
MEDIAN((IF(DATOS_[[Sexo]:[Sexo]]=$B101,IF(DATOS_[[AGRUP. VALOR. PTO.]:[AGRUP. VALOR. PTO.]]=$B99,IF(DATOS_[[Check Periodo Ref.]:[Check Periodo Ref.]]="Dentro",DATOS_[Conc.Sal.10]))))),
0)</f>
        <v>0</v>
      </c>
      <c r="P101" s="170">
        <f t="array" ref="P101">IFERROR(
MEDIAN((IF(DATOS_[[Sexo]:[Sexo]]=$B101,IF(DATOS_[[AGRUP. VALOR. PTO.]:[AGRUP. VALOR. PTO.]]=$B99,IF(DATOS_[[Check Periodo Ref.]:[Check Periodo Ref.]]="Dentro",DATOS_[Conc.Sal.11]))))),
0)</f>
        <v>0</v>
      </c>
      <c r="Q101" s="170">
        <f t="array" ref="Q101">IFERROR(
MEDIAN((IF(DATOS_[[Sexo]:[Sexo]]=$B101,IF(DATOS_[[AGRUP. VALOR. PTO.]:[AGRUP. VALOR. PTO.]]=$B99,IF(DATOS_[[Check Periodo Ref.]:[Check Periodo Ref.]]="Dentro",DATOS_[Conc.Sal.12]))))),
0)</f>
        <v>0</v>
      </c>
      <c r="R101" s="170">
        <f t="array" ref="R101">IFERROR(
MEDIAN((IF(DATOS_[[Sexo]:[Sexo]]=$B101,IF(DATOS_[[AGRUP. VALOR. PTO.]:[AGRUP. VALOR. PTO.]]=$B99,IF(DATOS_[[Check Periodo Ref.]:[Check Periodo Ref.]]="Dentro",DATOS_[Conc.Sal.13]))))),
0)</f>
        <v>0</v>
      </c>
      <c r="S101" s="170">
        <f t="array" ref="S101">IFERROR(
MEDIAN((IF(DATOS_[[Sexo]:[Sexo]]=$B101,IF(DATOS_[[AGRUP. VALOR. PTO.]:[AGRUP. VALOR. PTO.]]=$B99,IF(DATOS_[[Check Periodo Ref.]:[Check Periodo Ref.]]="Dentro",DATOS_[Conc.Sal.14]))))),
0)</f>
        <v>0</v>
      </c>
      <c r="T101" s="170">
        <f t="array" ref="T101">IFERROR(
MEDIAN((IF(DATOS_[[Sexo]:[Sexo]]=$B101,IF(DATOS_[[AGRUP. VALOR. PTO.]:[AGRUP. VALOR. PTO.]]=$B99,IF(DATOS_[[Check Periodo Ref.]:[Check Periodo Ref.]]="Dentro",DATOS_[Conc.Sal.15]))))),
0)</f>
        <v>0</v>
      </c>
      <c r="U101" s="170">
        <f t="array" ref="U101">IFERROR(
MEDIAN((IF(DATOS_[[Sexo]:[Sexo]]=$B101,IF(DATOS_[[AGRUP. VALOR. PTO.]:[AGRUP. VALOR. PTO.]]=$B99,IF(DATOS_[[Check Periodo Ref.]:[Check Periodo Ref.]]="Dentro",DATOS_[Conc.Sal.16]))))),
0)</f>
        <v>0</v>
      </c>
      <c r="V101" s="170">
        <f t="array" ref="V101">IFERROR(
MEDIAN((IF(DATOS_[[Sexo]:[Sexo]]=$B101,IF(DATOS_[[AGRUP. VALOR. PTO.]:[AGRUP. VALOR. PTO.]]=$B99,IF(DATOS_[[Check Periodo Ref.]:[Check Periodo Ref.]]="Dentro",DATOS_[Conc.Sal.17]))))),
0)</f>
        <v>0</v>
      </c>
      <c r="W101" s="170">
        <f t="array" ref="W101">IFERROR(
MEDIAN((IF(DATOS_[[Sexo]:[Sexo]]=$B101,IF(DATOS_[[AGRUP. VALOR. PTO.]:[AGRUP. VALOR. PTO.]]=$B99,IF(DATOS_[[Check Periodo Ref.]:[Check Periodo Ref.]]="Dentro",DATOS_[Conc.Sal.18]))))),
0)</f>
        <v>0</v>
      </c>
      <c r="X101" s="170">
        <f t="array" ref="X101">IFERROR(
MEDIAN((IF(DATOS_[[Sexo]:[Sexo]]=$B101,IF(DATOS_[[AGRUP. VALOR. PTO.]:[AGRUP. VALOR. PTO.]]=$B99,IF(DATOS_[[Check Periodo Ref.]:[Check Periodo Ref.]]="Dentro",DATOS_[Conc.Sal.19]))))),
0)</f>
        <v>0</v>
      </c>
      <c r="Y101" s="170">
        <f t="array" ref="Y101">IFERROR(
MEDIAN((IF(DATOS_[[Sexo]:[Sexo]]=$B101,IF(DATOS_[[AGRUP. VALOR. PTO.]:[AGRUP. VALOR. PTO.]]=$B99,IF(DATOS_[[Check Periodo Ref.]:[Check Periodo Ref.]]="Dentro",DATOS_[Conc.Sal.20]))))),
0)</f>
        <v>0</v>
      </c>
      <c r="Z101" s="170">
        <f t="array" ref="Z101">IFERROR(
MEDIAN((IF(DATOS_[[Sexo]:[Sexo]]=$B101,IF(DATOS_[[AGRUP. VALOR. PTO.]:[AGRUP. VALOR. PTO.]]=$B99,IF(DATOS_[[Check Periodo Ref.]:[Check Periodo Ref.]]="Dentro",DATOS_[Conc.Sal.21]))))),
0)</f>
        <v>0</v>
      </c>
      <c r="AA101" s="170">
        <f t="array" ref="AA101">IFERROR(
MEDIAN((IF(DATOS_[[Sexo]:[Sexo]]=$B101,IF(DATOS_[[AGRUP. VALOR. PTO.]:[AGRUP. VALOR. PTO.]]=$B99,IF(DATOS_[[Check Periodo Ref.]:[Check Periodo Ref.]]="Dentro",DATOS_[Conc.Sal.22]))))),
0)</f>
        <v>0</v>
      </c>
      <c r="AB101" s="170">
        <f t="array" ref="AB101">IFERROR(
MEDIAN((IF(DATOS_[[Sexo]:[Sexo]]=$B101,IF(DATOS_[[AGRUP. VALOR. PTO.]:[AGRUP. VALOR. PTO.]]=$B99,IF(DATOS_[[Check Periodo Ref.]:[Check Periodo Ref.]]="Dentro",DATOS_[Conc.Sal.23]))))),
0)</f>
        <v>0</v>
      </c>
      <c r="AC101" s="170">
        <f t="array" ref="AC101">IFERROR(
MEDIAN((IF(DATOS_[[Sexo]:[Sexo]]=$B101,IF(DATOS_[[AGRUP. VALOR. PTO.]:[AGRUP. VALOR. PTO.]]=$B99,IF(DATOS_[[Check Periodo Ref.]:[Check Periodo Ref.]]="Dentro",DATOS_[Conc.Sal.24]))))),
0)</f>
        <v>0</v>
      </c>
      <c r="AD101" s="170">
        <f t="array" ref="AD101">IFERROR(
MEDIAN((IF(DATOS_[[Sexo]:[Sexo]]=$B101,IF(DATOS_[[AGRUP. VALOR. PTO.]:[AGRUP. VALOR. PTO.]]=$B99,IF(DATOS_[[Check Periodo Ref.]:[Check Periodo Ref.]]="Dentro",DATOS_[Conc.Sal.25]))))),
0)</f>
        <v>0</v>
      </c>
      <c r="AE101" s="170">
        <f t="array" ref="AE101">IFERROR(
MEDIAN((IF(DATOS_[[Sexo]:[Sexo]]=$B101,IF(DATOS_[[AGRUP. VALOR. PTO.]:[AGRUP. VALOR. PTO.]]=$B99,IF(DATOS_[[Check Periodo Ref.]:[Check Periodo Ref.]]="Dentro",DATOS_[Conc.Sal.26]))))),
0)</f>
        <v>0</v>
      </c>
      <c r="AF101" s="170">
        <f t="array" ref="AF101">IFERROR(
MEDIAN((IF(DATOS_[[Sexo]:[Sexo]]=$B101,IF(DATOS_[[AGRUP. VALOR. PTO.]:[AGRUP. VALOR. PTO.]]=$B99,IF(DATOS_[[Check Periodo Ref.]:[Check Periodo Ref.]]="Dentro",DATOS_[Conc.Sal.27]))))),
0)</f>
        <v>0</v>
      </c>
      <c r="AG101" s="170">
        <f t="array" ref="AG101">IFERROR(
MEDIAN((IF(DATOS_[[Sexo]:[Sexo]]=$B101,IF(DATOS_[[AGRUP. VALOR. PTO.]:[AGRUP. VALOR. PTO.]]=$B99,IF(DATOS_[[Check Periodo Ref.]:[Check Periodo Ref.]]="Dentro",DATOS_[Conc.Sal.28]))))),
0)</f>
        <v>0</v>
      </c>
      <c r="AH101" s="170">
        <f t="array" ref="AH101">IFERROR(
MEDIAN((IF(DATOS_[[Sexo]:[Sexo]]=$B101,IF(DATOS_[[AGRUP. VALOR. PTO.]:[AGRUP. VALOR. PTO.]]=$B99,IF(DATOS_[[Check Periodo Ref.]:[Check Periodo Ref.]]="Dentro",DATOS_[Conc.Sal.29]))))),
0)</f>
        <v>0</v>
      </c>
      <c r="AI101" s="170">
        <f t="array" ref="AI101">IFERROR(
MEDIAN((IF(DATOS_[[Sexo]:[Sexo]]=$B101,IF(DATOS_[[AGRUP. VALOR. PTO.]:[AGRUP. VALOR. PTO.]]=$B99,IF(DATOS_[[Check Periodo Ref.]:[Check Periodo Ref.]]="Dentro",DATOS_[Conc.Sal.30]))))),
0)</f>
        <v>0</v>
      </c>
      <c r="AJ101" s="171">
        <f t="array" ref="AJ101">IFERROR(
MEDIAN(IF(DATOS_[Sexo]=$B101,IF(DATOS_[AGRUP. VALOR. PTO.]=$B99,IF(DATOS_[Check Periodo Ref.]="Dentro",DATOS_[Tot COMPL.SAL Ef],FALSE)))),
0)</f>
        <v>0</v>
      </c>
      <c r="AK101" s="172">
        <f t="array" ref="AK101">IFERROR(
MEDIAN(IF(DATOS_[Sexo]=$B101,IF(DATOS_[AGRUP. VALOR. PTO.]=$B99,IF(DATOS_[Check Periodo Ref.]="Dentro",DATOS_[TOTAL SALARIO Ef],FALSE)))),
0)</f>
        <v>0</v>
      </c>
      <c r="AL101" s="173">
        <f t="array" ref="AL101">IFERROR(
MEDIAN((IF(DATOS_[[Sexo]:[Sexo]]=$B101,IF(DATOS_[[AGRUP. VALOR. PTO.]:[AGRUP. VALOR. PTO.]]=$B99,IF(DATOS_[[Check Periodo Ref.]:[Check Periodo Ref.]]="Dentro",DATOS_[C.Extra.01]))))),
0)</f>
        <v>0</v>
      </c>
      <c r="AM101" s="173">
        <f t="array" ref="AM101">IFERROR(
MEDIAN((IF(DATOS_[[Sexo]:[Sexo]]=$B101,IF(DATOS_[[AGRUP. VALOR. PTO.]:[AGRUP. VALOR. PTO.]]=$B99,IF(DATOS_[[Check Periodo Ref.]:[Check Periodo Ref.]]="Dentro",DATOS_[C.Extra.06]))))),
0)</f>
        <v>0</v>
      </c>
      <c r="AN101" s="173">
        <f t="array" ref="AN101">IFERROR(
MEDIAN((IF(DATOS_[[Sexo]:[Sexo]]=$B101,IF(DATOS_[[AGRUP. VALOR. PTO.]:[AGRUP. VALOR. PTO.]]=$B99,IF(DATOS_[[Check Periodo Ref.]:[Check Periodo Ref.]]="Dentro",DATOS_[C.Extra.07]))))),
0)</f>
        <v>0</v>
      </c>
      <c r="AO101" s="173">
        <f t="array" ref="AO101">IFERROR(
MEDIAN((IF(DATOS_[[Sexo]:[Sexo]]=$B101,IF(DATOS_[[AGRUP. VALOR. PTO.]:[AGRUP. VALOR. PTO.]]=$B99,IF(DATOS_[[Check Periodo Ref.]:[Check Periodo Ref.]]="Dentro",DATOS_[C.Extra.08]))))),
0)</f>
        <v>0</v>
      </c>
      <c r="AP101" s="173">
        <f t="array" ref="AP101">IFERROR(
MEDIAN((IF(DATOS_[[Sexo]:[Sexo]]=$B101,IF(DATOS_[[AGRUP. VALOR. PTO.]:[AGRUP. VALOR. PTO.]]=$B99,IF(DATOS_[[Check Periodo Ref.]:[Check Periodo Ref.]]="Dentro",DATOS_[C.Extra.11]))))),
0)</f>
        <v>0</v>
      </c>
      <c r="AQ101" s="174">
        <f t="array" ref="AQ101">IFERROR(
MEDIAN(IF(DATOS_[Sexo]=$B101,IF(DATOS_[AGRUP. VALOR. PTO.]=$B99,IF(DATOS_[Check Periodo Ref.]="Dentro",DATOS_[Tot Extrasalarial Ef],FALSE)))),
0)</f>
        <v>0</v>
      </c>
      <c r="AR101" s="171">
        <f t="array" ref="AR101">IFERROR(
MEDIAN(IF(DATOS_[Sexo]=$B101,IF(DATOS_[AGRUP. VALOR. PTO.]=$B99,IF(DATOS_[Check Periodo Ref.]="Dentro",DATOS_[TOTAL Retrib Ef],FALSE)))),
0)</f>
        <v>0</v>
      </c>
    </row>
    <row r="102" spans="1:44" ht="14.4" thickBot="1" x14ac:dyDescent="0.3">
      <c r="A102" s="178" t="str">
        <f t="shared" ref="A102" si="119">+A103</f>
        <v>[ocultar]</v>
      </c>
      <c r="B102" s="153" t="s">
        <v>290</v>
      </c>
      <c r="C102" s="154"/>
      <c r="D102" s="155"/>
      <c r="E102" s="156" t="str">
        <f t="shared" ref="E102:AR102" si="120">IFERROR((E103-E104)/E103,"")</f>
        <v/>
      </c>
      <c r="F102" s="157" t="str">
        <f t="shared" si="120"/>
        <v/>
      </c>
      <c r="G102" s="158" t="str">
        <f t="shared" si="120"/>
        <v/>
      </c>
      <c r="H102" s="158" t="str">
        <f t="shared" si="120"/>
        <v/>
      </c>
      <c r="I102" s="158" t="str">
        <f t="shared" si="120"/>
        <v/>
      </c>
      <c r="J102" s="159" t="str">
        <f t="shared" si="120"/>
        <v/>
      </c>
      <c r="K102" s="160" t="str">
        <f t="shared" si="120"/>
        <v/>
      </c>
      <c r="L102" s="160" t="str">
        <f t="shared" si="120"/>
        <v/>
      </c>
      <c r="M102" s="160" t="str">
        <f t="shared" si="120"/>
        <v/>
      </c>
      <c r="N102" s="160" t="str">
        <f t="shared" si="120"/>
        <v/>
      </c>
      <c r="O102" s="160" t="str">
        <f t="shared" si="120"/>
        <v/>
      </c>
      <c r="P102" s="160" t="str">
        <f t="shared" si="120"/>
        <v/>
      </c>
      <c r="Q102" s="160" t="str">
        <f t="shared" si="120"/>
        <v/>
      </c>
      <c r="R102" s="160" t="str">
        <f t="shared" si="120"/>
        <v/>
      </c>
      <c r="S102" s="160" t="str">
        <f t="shared" si="120"/>
        <v/>
      </c>
      <c r="T102" s="160" t="str">
        <f t="shared" si="120"/>
        <v/>
      </c>
      <c r="U102" s="160" t="str">
        <f t="shared" si="120"/>
        <v/>
      </c>
      <c r="V102" s="159" t="str">
        <f t="shared" si="120"/>
        <v/>
      </c>
      <c r="W102" s="159" t="str">
        <f t="shared" si="120"/>
        <v/>
      </c>
      <c r="X102" s="159" t="str">
        <f t="shared" si="120"/>
        <v/>
      </c>
      <c r="Y102" s="159" t="str">
        <f t="shared" si="120"/>
        <v/>
      </c>
      <c r="Z102" s="159" t="str">
        <f t="shared" si="120"/>
        <v/>
      </c>
      <c r="AA102" s="159" t="str">
        <f t="shared" si="120"/>
        <v/>
      </c>
      <c r="AB102" s="159" t="str">
        <f t="shared" si="120"/>
        <v/>
      </c>
      <c r="AC102" s="159" t="str">
        <f t="shared" si="120"/>
        <v/>
      </c>
      <c r="AD102" s="159" t="str">
        <f t="shared" si="120"/>
        <v/>
      </c>
      <c r="AE102" s="159" t="str">
        <f t="shared" si="120"/>
        <v/>
      </c>
      <c r="AF102" s="159" t="str">
        <f t="shared" si="120"/>
        <v/>
      </c>
      <c r="AG102" s="159" t="str">
        <f t="shared" si="120"/>
        <v/>
      </c>
      <c r="AH102" s="159" t="str">
        <f t="shared" si="120"/>
        <v/>
      </c>
      <c r="AI102" s="159" t="str">
        <f t="shared" si="120"/>
        <v/>
      </c>
      <c r="AJ102" s="161" t="str">
        <f t="shared" si="120"/>
        <v/>
      </c>
      <c r="AK102" s="162" t="str">
        <f t="shared" si="120"/>
        <v/>
      </c>
      <c r="AL102" s="163" t="str">
        <f t="shared" si="120"/>
        <v/>
      </c>
      <c r="AM102" s="163" t="str">
        <f t="shared" si="120"/>
        <v/>
      </c>
      <c r="AN102" s="163" t="str">
        <f t="shared" si="120"/>
        <v/>
      </c>
      <c r="AO102" s="163" t="str">
        <f t="shared" si="120"/>
        <v/>
      </c>
      <c r="AP102" s="163" t="str">
        <f t="shared" si="120"/>
        <v/>
      </c>
      <c r="AQ102" s="164" t="str">
        <f t="shared" si="120"/>
        <v/>
      </c>
      <c r="AR102" s="161" t="str">
        <f t="shared" si="120"/>
        <v/>
      </c>
    </row>
    <row r="103" spans="1:44" x14ac:dyDescent="0.25">
      <c r="A103" s="178" t="str">
        <f t="shared" ref="A103" si="121">+IF(C103+C104=0,"[ocultar]","")</f>
        <v>[ocultar]</v>
      </c>
      <c r="B103" s="166" t="s">
        <v>394</v>
      </c>
      <c r="C103" s="167">
        <f t="array" ref="C103">SUM(IF($B103=DATOS_[Sexo],
IF($B102=DATOS_[AGRUP. VALOR. PTO.],
IF("Dentro"=DATOS_[Check Periodo Ref.],
1/(COUNTIFS(DATOS_[Sexo],$B103,DATOS_[AGRUP. VALOR. PTO.],$B102,DATOS_[Check Periodo Ref.],"Dentro",DATOS_[id/cod],DATOS_[id/cod]))))))</f>
        <v>0</v>
      </c>
      <c r="D103" s="168">
        <f>COUNTIFS(DATOS_[AGRUP. VALOR. PTO.],$B102,DATOS_[Sexo],$B103,DATOS_[Check Periodo Ref.],"Dentro")</f>
        <v>0</v>
      </c>
      <c r="E103" s="169">
        <f t="array" ref="E103">IFERROR(
MEDIAN(IF(DATOS_[Sexo]=$B103,IF(DATOS_[AGRUP. VALOR. PTO.]=$B102,IF(DATOS_[Check Periodo Ref.]="Dentro",DATOS_[SALARIO BASE Ef],FALSE)))),
0)</f>
        <v>0</v>
      </c>
      <c r="F103" s="170">
        <f t="array" ref="F103">IFERROR(
MEDIAN((IF(DATOS_[[Sexo]:[Sexo]]=$B103,IF(DATOS_[[AGRUP. VALOR. PTO.]:[AGRUP. VALOR. PTO.]]=$B102,IF(DATOS_[[Check Periodo Ref.]:[Check Periodo Ref.]]="Dentro",DATOS_[Conc.Sal.01]))))),
0)</f>
        <v>0</v>
      </c>
      <c r="G103" s="170">
        <f t="array" ref="G103">IFERROR(
MEDIAN((IF(DATOS_[[Sexo]:[Sexo]]=$B103,IF(DATOS_[[AGRUP. VALOR. PTO.]:[AGRUP. VALOR. PTO.]]=$B102,IF(DATOS_[[Check Periodo Ref.]:[Check Periodo Ref.]]="Dentro",DATOS_[Conc.Sal.02]))))),
0)</f>
        <v>0</v>
      </c>
      <c r="H103" s="170">
        <f t="array" ref="H103">IFERROR(
MEDIAN((IF(DATOS_[[Sexo]:[Sexo]]=$B103,IF(DATOS_[[AGRUP. VALOR. PTO.]:[AGRUP. VALOR. PTO.]]=$B102,IF(DATOS_[[Check Periodo Ref.]:[Check Periodo Ref.]]="Dentro",DATOS_[Conc.Sal.03]))))),
0)</f>
        <v>0</v>
      </c>
      <c r="I103" s="170">
        <f t="array" ref="I103">IFERROR(
MEDIAN((IF(DATOS_[[Sexo]:[Sexo]]=$B103,IF(DATOS_[[AGRUP. VALOR. PTO.]:[AGRUP. VALOR. PTO.]]=$B102,IF(DATOS_[[Check Periodo Ref.]:[Check Periodo Ref.]]="Dentro",DATOS_[Conc.Sal.04]))))),
0)</f>
        <v>0</v>
      </c>
      <c r="J103" s="170">
        <f t="array" ref="J103">IFERROR(
MEDIAN((IF(DATOS_[[Sexo]:[Sexo]]=$B103,IF(DATOS_[[AGRUP. VALOR. PTO.]:[AGRUP. VALOR. PTO.]]=$B102,IF(DATOS_[[Check Periodo Ref.]:[Check Periodo Ref.]]="Dentro",DATOS_[Conc.Sal.05]))))),
0)</f>
        <v>0</v>
      </c>
      <c r="K103" s="170">
        <f t="array" ref="K103">IFERROR(
MEDIAN((IF(DATOS_[[Sexo]:[Sexo]]=$B103,IF(DATOS_[[AGRUP. VALOR. PTO.]:[AGRUP. VALOR. PTO.]]=$B102,IF(DATOS_[[Check Periodo Ref.]:[Check Periodo Ref.]]="Dentro",DATOS_[Conc.Sal.06]))))),
0)</f>
        <v>0</v>
      </c>
      <c r="L103" s="170">
        <f t="array" ref="L103">IFERROR(
MEDIAN((IF(DATOS_[[Sexo]:[Sexo]]=$B103,IF(DATOS_[[AGRUP. VALOR. PTO.]:[AGRUP. VALOR. PTO.]]=$B102,IF(DATOS_[[Check Periodo Ref.]:[Check Periodo Ref.]]="Dentro",DATOS_[Conc.Sal.07]))))),
0)</f>
        <v>0</v>
      </c>
      <c r="M103" s="170">
        <f t="array" ref="M103">IFERROR(
MEDIAN((IF(DATOS_[[Sexo]:[Sexo]]=$B103,IF(DATOS_[[AGRUP. VALOR. PTO.]:[AGRUP. VALOR. PTO.]]=$B102,IF(DATOS_[[Check Periodo Ref.]:[Check Periodo Ref.]]="Dentro",DATOS_[Conc.Sal.08]))))),
0)</f>
        <v>0</v>
      </c>
      <c r="N103" s="170">
        <f t="array" ref="N103">IFERROR(
MEDIAN((IF(DATOS_[[Sexo]:[Sexo]]=$B103,IF(DATOS_[[AGRUP. VALOR. PTO.]:[AGRUP. VALOR. PTO.]]=$B102,IF(DATOS_[[Check Periodo Ref.]:[Check Periodo Ref.]]="Dentro",DATOS_[Conc.Sal.09]))))),
0)</f>
        <v>0</v>
      </c>
      <c r="O103" s="170">
        <f t="array" ref="O103">IFERROR(
MEDIAN((IF(DATOS_[[Sexo]:[Sexo]]=$B103,IF(DATOS_[[AGRUP. VALOR. PTO.]:[AGRUP. VALOR. PTO.]]=$B102,IF(DATOS_[[Check Periodo Ref.]:[Check Periodo Ref.]]="Dentro",DATOS_[Conc.Sal.10]))))),
0)</f>
        <v>0</v>
      </c>
      <c r="P103" s="170">
        <f t="array" ref="P103">IFERROR(
MEDIAN((IF(DATOS_[[Sexo]:[Sexo]]=$B103,IF(DATOS_[[AGRUP. VALOR. PTO.]:[AGRUP. VALOR. PTO.]]=$B102,IF(DATOS_[[Check Periodo Ref.]:[Check Periodo Ref.]]="Dentro",DATOS_[Conc.Sal.11]))))),
0)</f>
        <v>0</v>
      </c>
      <c r="Q103" s="170">
        <f t="array" ref="Q103">IFERROR(
MEDIAN((IF(DATOS_[[Sexo]:[Sexo]]=$B103,IF(DATOS_[[AGRUP. VALOR. PTO.]:[AGRUP. VALOR. PTO.]]=$B102,IF(DATOS_[[Check Periodo Ref.]:[Check Periodo Ref.]]="Dentro",DATOS_[Conc.Sal.12]))))),
0)</f>
        <v>0</v>
      </c>
      <c r="R103" s="170">
        <f t="array" ref="R103">IFERROR(
MEDIAN((IF(DATOS_[[Sexo]:[Sexo]]=$B103,IF(DATOS_[[AGRUP. VALOR. PTO.]:[AGRUP. VALOR. PTO.]]=$B102,IF(DATOS_[[Check Periodo Ref.]:[Check Periodo Ref.]]="Dentro",DATOS_[Conc.Sal.13]))))),
0)</f>
        <v>0</v>
      </c>
      <c r="S103" s="170">
        <f t="array" ref="S103">IFERROR(
MEDIAN((IF(DATOS_[[Sexo]:[Sexo]]=$B103,IF(DATOS_[[AGRUP. VALOR. PTO.]:[AGRUP. VALOR. PTO.]]=$B102,IF(DATOS_[[Check Periodo Ref.]:[Check Periodo Ref.]]="Dentro",DATOS_[Conc.Sal.14]))))),
0)</f>
        <v>0</v>
      </c>
      <c r="T103" s="170">
        <f t="array" ref="T103">IFERROR(
MEDIAN((IF(DATOS_[[Sexo]:[Sexo]]=$B103,IF(DATOS_[[AGRUP. VALOR. PTO.]:[AGRUP. VALOR. PTO.]]=$B102,IF(DATOS_[[Check Periodo Ref.]:[Check Periodo Ref.]]="Dentro",DATOS_[Conc.Sal.15]))))),
0)</f>
        <v>0</v>
      </c>
      <c r="U103" s="170">
        <f t="array" ref="U103">IFERROR(
MEDIAN((IF(DATOS_[[Sexo]:[Sexo]]=$B103,IF(DATOS_[[AGRUP. VALOR. PTO.]:[AGRUP. VALOR. PTO.]]=$B102,IF(DATOS_[[Check Periodo Ref.]:[Check Periodo Ref.]]="Dentro",DATOS_[Conc.Sal.16]))))),
0)</f>
        <v>0</v>
      </c>
      <c r="V103" s="170">
        <f t="array" ref="V103">IFERROR(
MEDIAN((IF(DATOS_[[Sexo]:[Sexo]]=$B103,IF(DATOS_[[AGRUP. VALOR. PTO.]:[AGRUP. VALOR. PTO.]]=$B102,IF(DATOS_[[Check Periodo Ref.]:[Check Periodo Ref.]]="Dentro",DATOS_[Conc.Sal.17]))))),
0)</f>
        <v>0</v>
      </c>
      <c r="W103" s="170">
        <f t="array" ref="W103">IFERROR(
MEDIAN((IF(DATOS_[[Sexo]:[Sexo]]=$B103,IF(DATOS_[[AGRUP. VALOR. PTO.]:[AGRUP. VALOR. PTO.]]=$B102,IF(DATOS_[[Check Periodo Ref.]:[Check Periodo Ref.]]="Dentro",DATOS_[Conc.Sal.18]))))),
0)</f>
        <v>0</v>
      </c>
      <c r="X103" s="170">
        <f t="array" ref="X103">IFERROR(
MEDIAN((IF(DATOS_[[Sexo]:[Sexo]]=$B103,IF(DATOS_[[AGRUP. VALOR. PTO.]:[AGRUP. VALOR. PTO.]]=$B102,IF(DATOS_[[Check Periodo Ref.]:[Check Periodo Ref.]]="Dentro",DATOS_[Conc.Sal.19]))))),
0)</f>
        <v>0</v>
      </c>
      <c r="Y103" s="170">
        <f t="array" ref="Y103">IFERROR(
MEDIAN((IF(DATOS_[[Sexo]:[Sexo]]=$B103,IF(DATOS_[[AGRUP. VALOR. PTO.]:[AGRUP. VALOR. PTO.]]=$B102,IF(DATOS_[[Check Periodo Ref.]:[Check Periodo Ref.]]="Dentro",DATOS_[Conc.Sal.20]))))),
0)</f>
        <v>0</v>
      </c>
      <c r="Z103" s="170">
        <f t="array" ref="Z103">IFERROR(
MEDIAN((IF(DATOS_[[Sexo]:[Sexo]]=$B103,IF(DATOS_[[AGRUP. VALOR. PTO.]:[AGRUP. VALOR. PTO.]]=$B102,IF(DATOS_[[Check Periodo Ref.]:[Check Periodo Ref.]]="Dentro",DATOS_[Conc.Sal.21]))))),
0)</f>
        <v>0</v>
      </c>
      <c r="AA103" s="170">
        <f t="array" ref="AA103">IFERROR(
MEDIAN((IF(DATOS_[[Sexo]:[Sexo]]=$B103,IF(DATOS_[[AGRUP. VALOR. PTO.]:[AGRUP. VALOR. PTO.]]=$B102,IF(DATOS_[[Check Periodo Ref.]:[Check Periodo Ref.]]="Dentro",DATOS_[Conc.Sal.22]))))),
0)</f>
        <v>0</v>
      </c>
      <c r="AB103" s="170">
        <f t="array" ref="AB103">IFERROR(
MEDIAN((IF(DATOS_[[Sexo]:[Sexo]]=$B103,IF(DATOS_[[AGRUP. VALOR. PTO.]:[AGRUP. VALOR. PTO.]]=$B102,IF(DATOS_[[Check Periodo Ref.]:[Check Periodo Ref.]]="Dentro",DATOS_[Conc.Sal.23]))))),
0)</f>
        <v>0</v>
      </c>
      <c r="AC103" s="170">
        <f t="array" ref="AC103">IFERROR(
MEDIAN((IF(DATOS_[[Sexo]:[Sexo]]=$B103,IF(DATOS_[[AGRUP. VALOR. PTO.]:[AGRUP. VALOR. PTO.]]=$B102,IF(DATOS_[[Check Periodo Ref.]:[Check Periodo Ref.]]="Dentro",DATOS_[Conc.Sal.24]))))),
0)</f>
        <v>0</v>
      </c>
      <c r="AD103" s="170">
        <f t="array" ref="AD103">IFERROR(
MEDIAN((IF(DATOS_[[Sexo]:[Sexo]]=$B103,IF(DATOS_[[AGRUP. VALOR. PTO.]:[AGRUP. VALOR. PTO.]]=$B102,IF(DATOS_[[Check Periodo Ref.]:[Check Periodo Ref.]]="Dentro",DATOS_[Conc.Sal.25]))))),
0)</f>
        <v>0</v>
      </c>
      <c r="AE103" s="170">
        <f t="array" ref="AE103">IFERROR(
MEDIAN((IF(DATOS_[[Sexo]:[Sexo]]=$B103,IF(DATOS_[[AGRUP. VALOR. PTO.]:[AGRUP. VALOR. PTO.]]=$B102,IF(DATOS_[[Check Periodo Ref.]:[Check Periodo Ref.]]="Dentro",DATOS_[Conc.Sal.26]))))),
0)</f>
        <v>0</v>
      </c>
      <c r="AF103" s="170">
        <f t="array" ref="AF103">IFERROR(
MEDIAN((IF(DATOS_[[Sexo]:[Sexo]]=$B103,IF(DATOS_[[AGRUP. VALOR. PTO.]:[AGRUP. VALOR. PTO.]]=$B102,IF(DATOS_[[Check Periodo Ref.]:[Check Periodo Ref.]]="Dentro",DATOS_[Conc.Sal.27]))))),
0)</f>
        <v>0</v>
      </c>
      <c r="AG103" s="170">
        <f t="array" ref="AG103">IFERROR(
MEDIAN((IF(DATOS_[[Sexo]:[Sexo]]=$B103,IF(DATOS_[[AGRUP. VALOR. PTO.]:[AGRUP. VALOR. PTO.]]=$B102,IF(DATOS_[[Check Periodo Ref.]:[Check Periodo Ref.]]="Dentro",DATOS_[Conc.Sal.28]))))),
0)</f>
        <v>0</v>
      </c>
      <c r="AH103" s="170">
        <f t="array" ref="AH103">IFERROR(
MEDIAN((IF(DATOS_[[Sexo]:[Sexo]]=$B103,IF(DATOS_[[AGRUP. VALOR. PTO.]:[AGRUP. VALOR. PTO.]]=$B102,IF(DATOS_[[Check Periodo Ref.]:[Check Periodo Ref.]]="Dentro",DATOS_[Conc.Sal.29]))))),
0)</f>
        <v>0</v>
      </c>
      <c r="AI103" s="170">
        <f t="array" ref="AI103">IFERROR(
MEDIAN((IF(DATOS_[[Sexo]:[Sexo]]=$B103,IF(DATOS_[[AGRUP. VALOR. PTO.]:[AGRUP. VALOR. PTO.]]=$B102,IF(DATOS_[[Check Periodo Ref.]:[Check Periodo Ref.]]="Dentro",DATOS_[Conc.Sal.30]))))),
0)</f>
        <v>0</v>
      </c>
      <c r="AJ103" s="171">
        <f t="array" ref="AJ103">IFERROR(
MEDIAN(IF(DATOS_[Sexo]=$B103,IF(DATOS_[AGRUP. VALOR. PTO.]=$B102,IF(DATOS_[Check Periodo Ref.]="Dentro",DATOS_[Tot COMPL.SAL Ef],FALSE)))),
0)</f>
        <v>0</v>
      </c>
      <c r="AK103" s="172">
        <f t="array" ref="AK103">IFERROR(
MEDIAN(IF(DATOS_[Sexo]=$B103,IF(DATOS_[AGRUP. VALOR. PTO.]=$B102,IF(DATOS_[Check Periodo Ref.]="Dentro",DATOS_[TOTAL SALARIO Ef],FALSE)))),
0)</f>
        <v>0</v>
      </c>
      <c r="AL103" s="173">
        <f t="array" ref="AL103">IFERROR(
MEDIAN((IF(DATOS_[[Sexo]:[Sexo]]=$B103,IF(DATOS_[[AGRUP. VALOR. PTO.]:[AGRUP. VALOR. PTO.]]=$B102,IF(DATOS_[[Check Periodo Ref.]:[Check Periodo Ref.]]="Dentro",DATOS_[C.Extra.01]))))),
0)</f>
        <v>0</v>
      </c>
      <c r="AM103" s="173">
        <f t="array" ref="AM103">IFERROR(
MEDIAN((IF(DATOS_[[Sexo]:[Sexo]]=$B103,IF(DATOS_[[AGRUP. VALOR. PTO.]:[AGRUP. VALOR. PTO.]]=$B102,IF(DATOS_[[Check Periodo Ref.]:[Check Periodo Ref.]]="Dentro",DATOS_[C.Extra.06]))))),
0)</f>
        <v>0</v>
      </c>
      <c r="AN103" s="173">
        <f t="array" ref="AN103">IFERROR(
MEDIAN((IF(DATOS_[[Sexo]:[Sexo]]=$B103,IF(DATOS_[[AGRUP. VALOR. PTO.]:[AGRUP. VALOR. PTO.]]=$B102,IF(DATOS_[[Check Periodo Ref.]:[Check Periodo Ref.]]="Dentro",DATOS_[C.Extra.07]))))),
0)</f>
        <v>0</v>
      </c>
      <c r="AO103" s="173">
        <f t="array" ref="AO103">IFERROR(
MEDIAN((IF(DATOS_[[Sexo]:[Sexo]]=$B103,IF(DATOS_[[AGRUP. VALOR. PTO.]:[AGRUP. VALOR. PTO.]]=$B102,IF(DATOS_[[Check Periodo Ref.]:[Check Periodo Ref.]]="Dentro",DATOS_[C.Extra.08]))))),
0)</f>
        <v>0</v>
      </c>
      <c r="AP103" s="173">
        <f t="array" ref="AP103">IFERROR(
MEDIAN((IF(DATOS_[[Sexo]:[Sexo]]=$B103,IF(DATOS_[[AGRUP. VALOR. PTO.]:[AGRUP. VALOR. PTO.]]=$B102,IF(DATOS_[[Check Periodo Ref.]:[Check Periodo Ref.]]="Dentro",DATOS_[C.Extra.11]))))),
0)</f>
        <v>0</v>
      </c>
      <c r="AQ103" s="174">
        <f t="array" ref="AQ103">IFERROR(
MEDIAN(IF(DATOS_[Sexo]=$B103,IF(DATOS_[AGRUP. VALOR. PTO.]=$B102,IF(DATOS_[Check Periodo Ref.]="Dentro",DATOS_[Tot Extrasalarial Ef],FALSE)))),
0)</f>
        <v>0</v>
      </c>
      <c r="AR103" s="171">
        <f t="array" ref="AR103">IFERROR(
MEDIAN(IF(DATOS_[Sexo]=$B103,IF(DATOS_[AGRUP. VALOR. PTO.]=$B102,IF(DATOS_[Check Periodo Ref.]="Dentro",DATOS_[TOTAL Retrib Ef],FALSE)))),
0)</f>
        <v>0</v>
      </c>
    </row>
    <row r="104" spans="1:44" x14ac:dyDescent="0.25">
      <c r="A104" s="178" t="str">
        <f t="shared" ref="A104" si="122">+A103</f>
        <v>[ocultar]</v>
      </c>
      <c r="B104" s="166" t="s">
        <v>521</v>
      </c>
      <c r="C104" s="167">
        <f t="array" ref="C104">SUM(IF($B104=DATOS_[Sexo],
IF($B102=DATOS_[AGRUP. VALOR. PTO.],
IF("Dentro"=DATOS_[Check Periodo Ref.],
1/(COUNTIFS(DATOS_[Sexo],$B104,DATOS_[AGRUP. VALOR. PTO.],$B102,DATOS_[Check Periodo Ref.],"Dentro",DATOS_[id/cod],DATOS_[id/cod]))))))</f>
        <v>0</v>
      </c>
      <c r="D104" s="168">
        <f>COUNTIFS(DATOS_[AGRUP. VALOR. PTO.],$B102,DATOS_[Sexo],$B104,DATOS_[Check Periodo Ref.],"Dentro")</f>
        <v>0</v>
      </c>
      <c r="E104" s="169">
        <f t="array" ref="E104">IFERROR(
MEDIAN(IF(DATOS_[Sexo]=$B104,IF(DATOS_[AGRUP. VALOR. PTO.]=$B102,IF(DATOS_[Check Periodo Ref.]="Dentro",DATOS_[SALARIO BASE Ef],FALSE)))),
0)</f>
        <v>0</v>
      </c>
      <c r="F104" s="170">
        <f t="array" ref="F104">IFERROR(
MEDIAN((IF(DATOS_[[Sexo]:[Sexo]]=$B104,IF(DATOS_[[AGRUP. VALOR. PTO.]:[AGRUP. VALOR. PTO.]]=$B102,IF(DATOS_[[Check Periodo Ref.]:[Check Periodo Ref.]]="Dentro",DATOS_[Conc.Sal.01]))))),
0)</f>
        <v>0</v>
      </c>
      <c r="G104" s="170">
        <f t="array" ref="G104">IFERROR(
MEDIAN((IF(DATOS_[[Sexo]:[Sexo]]=$B104,IF(DATOS_[[AGRUP. VALOR. PTO.]:[AGRUP. VALOR. PTO.]]=$B102,IF(DATOS_[[Check Periodo Ref.]:[Check Periodo Ref.]]="Dentro",DATOS_[Conc.Sal.02]))))),
0)</f>
        <v>0</v>
      </c>
      <c r="H104" s="170">
        <f t="array" ref="H104">IFERROR(
MEDIAN((IF(DATOS_[[Sexo]:[Sexo]]=$B104,IF(DATOS_[[AGRUP. VALOR. PTO.]:[AGRUP. VALOR. PTO.]]=$B102,IF(DATOS_[[Check Periodo Ref.]:[Check Periodo Ref.]]="Dentro",DATOS_[Conc.Sal.03]))))),
0)</f>
        <v>0</v>
      </c>
      <c r="I104" s="170">
        <f t="array" ref="I104">IFERROR(
MEDIAN((IF(DATOS_[[Sexo]:[Sexo]]=$B104,IF(DATOS_[[AGRUP. VALOR. PTO.]:[AGRUP. VALOR. PTO.]]=$B102,IF(DATOS_[[Check Periodo Ref.]:[Check Periodo Ref.]]="Dentro",DATOS_[Conc.Sal.04]))))),
0)</f>
        <v>0</v>
      </c>
      <c r="J104" s="170">
        <f t="array" ref="J104">IFERROR(
MEDIAN((IF(DATOS_[[Sexo]:[Sexo]]=$B104,IF(DATOS_[[AGRUP. VALOR. PTO.]:[AGRUP. VALOR. PTO.]]=$B102,IF(DATOS_[[Check Periodo Ref.]:[Check Periodo Ref.]]="Dentro",DATOS_[Conc.Sal.05]))))),
0)</f>
        <v>0</v>
      </c>
      <c r="K104" s="170">
        <f t="array" ref="K104">IFERROR(
MEDIAN((IF(DATOS_[[Sexo]:[Sexo]]=$B104,IF(DATOS_[[AGRUP. VALOR. PTO.]:[AGRUP. VALOR. PTO.]]=$B102,IF(DATOS_[[Check Periodo Ref.]:[Check Periodo Ref.]]="Dentro",DATOS_[Conc.Sal.06]))))),
0)</f>
        <v>0</v>
      </c>
      <c r="L104" s="170">
        <f t="array" ref="L104">IFERROR(
MEDIAN((IF(DATOS_[[Sexo]:[Sexo]]=$B104,IF(DATOS_[[AGRUP. VALOR. PTO.]:[AGRUP. VALOR. PTO.]]=$B102,IF(DATOS_[[Check Periodo Ref.]:[Check Periodo Ref.]]="Dentro",DATOS_[Conc.Sal.07]))))),
0)</f>
        <v>0</v>
      </c>
      <c r="M104" s="170">
        <f t="array" ref="M104">IFERROR(
MEDIAN((IF(DATOS_[[Sexo]:[Sexo]]=$B104,IF(DATOS_[[AGRUP. VALOR. PTO.]:[AGRUP. VALOR. PTO.]]=$B102,IF(DATOS_[[Check Periodo Ref.]:[Check Periodo Ref.]]="Dentro",DATOS_[Conc.Sal.08]))))),
0)</f>
        <v>0</v>
      </c>
      <c r="N104" s="170">
        <f t="array" ref="N104">IFERROR(
MEDIAN((IF(DATOS_[[Sexo]:[Sexo]]=$B104,IF(DATOS_[[AGRUP. VALOR. PTO.]:[AGRUP. VALOR. PTO.]]=$B102,IF(DATOS_[[Check Periodo Ref.]:[Check Periodo Ref.]]="Dentro",DATOS_[Conc.Sal.09]))))),
0)</f>
        <v>0</v>
      </c>
      <c r="O104" s="170">
        <f t="array" ref="O104">IFERROR(
MEDIAN((IF(DATOS_[[Sexo]:[Sexo]]=$B104,IF(DATOS_[[AGRUP. VALOR. PTO.]:[AGRUP. VALOR. PTO.]]=$B102,IF(DATOS_[[Check Periodo Ref.]:[Check Periodo Ref.]]="Dentro",DATOS_[Conc.Sal.10]))))),
0)</f>
        <v>0</v>
      </c>
      <c r="P104" s="170">
        <f t="array" ref="P104">IFERROR(
MEDIAN((IF(DATOS_[[Sexo]:[Sexo]]=$B104,IF(DATOS_[[AGRUP. VALOR. PTO.]:[AGRUP. VALOR. PTO.]]=$B102,IF(DATOS_[[Check Periodo Ref.]:[Check Periodo Ref.]]="Dentro",DATOS_[Conc.Sal.11]))))),
0)</f>
        <v>0</v>
      </c>
      <c r="Q104" s="170">
        <f t="array" ref="Q104">IFERROR(
MEDIAN((IF(DATOS_[[Sexo]:[Sexo]]=$B104,IF(DATOS_[[AGRUP. VALOR. PTO.]:[AGRUP. VALOR. PTO.]]=$B102,IF(DATOS_[[Check Periodo Ref.]:[Check Periodo Ref.]]="Dentro",DATOS_[Conc.Sal.12]))))),
0)</f>
        <v>0</v>
      </c>
      <c r="R104" s="170">
        <f t="array" ref="R104">IFERROR(
MEDIAN((IF(DATOS_[[Sexo]:[Sexo]]=$B104,IF(DATOS_[[AGRUP. VALOR. PTO.]:[AGRUP. VALOR. PTO.]]=$B102,IF(DATOS_[[Check Periodo Ref.]:[Check Periodo Ref.]]="Dentro",DATOS_[Conc.Sal.13]))))),
0)</f>
        <v>0</v>
      </c>
      <c r="S104" s="170">
        <f t="array" ref="S104">IFERROR(
MEDIAN((IF(DATOS_[[Sexo]:[Sexo]]=$B104,IF(DATOS_[[AGRUP. VALOR. PTO.]:[AGRUP. VALOR. PTO.]]=$B102,IF(DATOS_[[Check Periodo Ref.]:[Check Periodo Ref.]]="Dentro",DATOS_[Conc.Sal.14]))))),
0)</f>
        <v>0</v>
      </c>
      <c r="T104" s="170">
        <f t="array" ref="T104">IFERROR(
MEDIAN((IF(DATOS_[[Sexo]:[Sexo]]=$B104,IF(DATOS_[[AGRUP. VALOR. PTO.]:[AGRUP. VALOR. PTO.]]=$B102,IF(DATOS_[[Check Periodo Ref.]:[Check Periodo Ref.]]="Dentro",DATOS_[Conc.Sal.15]))))),
0)</f>
        <v>0</v>
      </c>
      <c r="U104" s="170">
        <f t="array" ref="U104">IFERROR(
MEDIAN((IF(DATOS_[[Sexo]:[Sexo]]=$B104,IF(DATOS_[[AGRUP. VALOR. PTO.]:[AGRUP. VALOR. PTO.]]=$B102,IF(DATOS_[[Check Periodo Ref.]:[Check Periodo Ref.]]="Dentro",DATOS_[Conc.Sal.16]))))),
0)</f>
        <v>0</v>
      </c>
      <c r="V104" s="170">
        <f t="array" ref="V104">IFERROR(
MEDIAN((IF(DATOS_[[Sexo]:[Sexo]]=$B104,IF(DATOS_[[AGRUP. VALOR. PTO.]:[AGRUP. VALOR. PTO.]]=$B102,IF(DATOS_[[Check Periodo Ref.]:[Check Periodo Ref.]]="Dentro",DATOS_[Conc.Sal.17]))))),
0)</f>
        <v>0</v>
      </c>
      <c r="W104" s="170">
        <f t="array" ref="W104">IFERROR(
MEDIAN((IF(DATOS_[[Sexo]:[Sexo]]=$B104,IF(DATOS_[[AGRUP. VALOR. PTO.]:[AGRUP. VALOR. PTO.]]=$B102,IF(DATOS_[[Check Periodo Ref.]:[Check Periodo Ref.]]="Dentro",DATOS_[Conc.Sal.18]))))),
0)</f>
        <v>0</v>
      </c>
      <c r="X104" s="170">
        <f t="array" ref="X104">IFERROR(
MEDIAN((IF(DATOS_[[Sexo]:[Sexo]]=$B104,IF(DATOS_[[AGRUP. VALOR. PTO.]:[AGRUP. VALOR. PTO.]]=$B102,IF(DATOS_[[Check Periodo Ref.]:[Check Periodo Ref.]]="Dentro",DATOS_[Conc.Sal.19]))))),
0)</f>
        <v>0</v>
      </c>
      <c r="Y104" s="170">
        <f t="array" ref="Y104">IFERROR(
MEDIAN((IF(DATOS_[[Sexo]:[Sexo]]=$B104,IF(DATOS_[[AGRUP. VALOR. PTO.]:[AGRUP. VALOR. PTO.]]=$B102,IF(DATOS_[[Check Periodo Ref.]:[Check Periodo Ref.]]="Dentro",DATOS_[Conc.Sal.20]))))),
0)</f>
        <v>0</v>
      </c>
      <c r="Z104" s="170">
        <f t="array" ref="Z104">IFERROR(
MEDIAN((IF(DATOS_[[Sexo]:[Sexo]]=$B104,IF(DATOS_[[AGRUP. VALOR. PTO.]:[AGRUP. VALOR. PTO.]]=$B102,IF(DATOS_[[Check Periodo Ref.]:[Check Periodo Ref.]]="Dentro",DATOS_[Conc.Sal.21]))))),
0)</f>
        <v>0</v>
      </c>
      <c r="AA104" s="170">
        <f t="array" ref="AA104">IFERROR(
MEDIAN((IF(DATOS_[[Sexo]:[Sexo]]=$B104,IF(DATOS_[[AGRUP. VALOR. PTO.]:[AGRUP. VALOR. PTO.]]=$B102,IF(DATOS_[[Check Periodo Ref.]:[Check Periodo Ref.]]="Dentro",DATOS_[Conc.Sal.22]))))),
0)</f>
        <v>0</v>
      </c>
      <c r="AB104" s="170">
        <f t="array" ref="AB104">IFERROR(
MEDIAN((IF(DATOS_[[Sexo]:[Sexo]]=$B104,IF(DATOS_[[AGRUP. VALOR. PTO.]:[AGRUP. VALOR. PTO.]]=$B102,IF(DATOS_[[Check Periodo Ref.]:[Check Periodo Ref.]]="Dentro",DATOS_[Conc.Sal.23]))))),
0)</f>
        <v>0</v>
      </c>
      <c r="AC104" s="170">
        <f t="array" ref="AC104">IFERROR(
MEDIAN((IF(DATOS_[[Sexo]:[Sexo]]=$B104,IF(DATOS_[[AGRUP. VALOR. PTO.]:[AGRUP. VALOR. PTO.]]=$B102,IF(DATOS_[[Check Periodo Ref.]:[Check Periodo Ref.]]="Dentro",DATOS_[Conc.Sal.24]))))),
0)</f>
        <v>0</v>
      </c>
      <c r="AD104" s="170">
        <f t="array" ref="AD104">IFERROR(
MEDIAN((IF(DATOS_[[Sexo]:[Sexo]]=$B104,IF(DATOS_[[AGRUP. VALOR. PTO.]:[AGRUP. VALOR. PTO.]]=$B102,IF(DATOS_[[Check Periodo Ref.]:[Check Periodo Ref.]]="Dentro",DATOS_[Conc.Sal.25]))))),
0)</f>
        <v>0</v>
      </c>
      <c r="AE104" s="170">
        <f t="array" ref="AE104">IFERROR(
MEDIAN((IF(DATOS_[[Sexo]:[Sexo]]=$B104,IF(DATOS_[[AGRUP. VALOR. PTO.]:[AGRUP. VALOR. PTO.]]=$B102,IF(DATOS_[[Check Periodo Ref.]:[Check Periodo Ref.]]="Dentro",DATOS_[Conc.Sal.26]))))),
0)</f>
        <v>0</v>
      </c>
      <c r="AF104" s="170">
        <f t="array" ref="AF104">IFERROR(
MEDIAN((IF(DATOS_[[Sexo]:[Sexo]]=$B104,IF(DATOS_[[AGRUP. VALOR. PTO.]:[AGRUP. VALOR. PTO.]]=$B102,IF(DATOS_[[Check Periodo Ref.]:[Check Periodo Ref.]]="Dentro",DATOS_[Conc.Sal.27]))))),
0)</f>
        <v>0</v>
      </c>
      <c r="AG104" s="170">
        <f t="array" ref="AG104">IFERROR(
MEDIAN((IF(DATOS_[[Sexo]:[Sexo]]=$B104,IF(DATOS_[[AGRUP. VALOR. PTO.]:[AGRUP. VALOR. PTO.]]=$B102,IF(DATOS_[[Check Periodo Ref.]:[Check Periodo Ref.]]="Dentro",DATOS_[Conc.Sal.28]))))),
0)</f>
        <v>0</v>
      </c>
      <c r="AH104" s="170">
        <f t="array" ref="AH104">IFERROR(
MEDIAN((IF(DATOS_[[Sexo]:[Sexo]]=$B104,IF(DATOS_[[AGRUP. VALOR. PTO.]:[AGRUP. VALOR. PTO.]]=$B102,IF(DATOS_[[Check Periodo Ref.]:[Check Periodo Ref.]]="Dentro",DATOS_[Conc.Sal.29]))))),
0)</f>
        <v>0</v>
      </c>
      <c r="AI104" s="170">
        <f t="array" ref="AI104">IFERROR(
MEDIAN((IF(DATOS_[[Sexo]:[Sexo]]=$B104,IF(DATOS_[[AGRUP. VALOR. PTO.]:[AGRUP. VALOR. PTO.]]=$B102,IF(DATOS_[[Check Periodo Ref.]:[Check Periodo Ref.]]="Dentro",DATOS_[Conc.Sal.30]))))),
0)</f>
        <v>0</v>
      </c>
      <c r="AJ104" s="171">
        <f t="array" ref="AJ104">IFERROR(
MEDIAN(IF(DATOS_[Sexo]=$B104,IF(DATOS_[AGRUP. VALOR. PTO.]=$B102,IF(DATOS_[Check Periodo Ref.]="Dentro",DATOS_[Tot COMPL.SAL Ef],FALSE)))),
0)</f>
        <v>0</v>
      </c>
      <c r="AK104" s="172">
        <f t="array" ref="AK104">IFERROR(
MEDIAN(IF(DATOS_[Sexo]=$B104,IF(DATOS_[AGRUP. VALOR. PTO.]=$B102,IF(DATOS_[Check Periodo Ref.]="Dentro",DATOS_[TOTAL SALARIO Ef],FALSE)))),
0)</f>
        <v>0</v>
      </c>
      <c r="AL104" s="173">
        <f t="array" ref="AL104">IFERROR(
MEDIAN((IF(DATOS_[[Sexo]:[Sexo]]=$B104,IF(DATOS_[[AGRUP. VALOR. PTO.]:[AGRUP. VALOR. PTO.]]=$B102,IF(DATOS_[[Check Periodo Ref.]:[Check Periodo Ref.]]="Dentro",DATOS_[C.Extra.01]))))),
0)</f>
        <v>0</v>
      </c>
      <c r="AM104" s="173">
        <f t="array" ref="AM104">IFERROR(
MEDIAN((IF(DATOS_[[Sexo]:[Sexo]]=$B104,IF(DATOS_[[AGRUP. VALOR. PTO.]:[AGRUP. VALOR. PTO.]]=$B102,IF(DATOS_[[Check Periodo Ref.]:[Check Periodo Ref.]]="Dentro",DATOS_[C.Extra.06]))))),
0)</f>
        <v>0</v>
      </c>
      <c r="AN104" s="173">
        <f t="array" ref="AN104">IFERROR(
MEDIAN((IF(DATOS_[[Sexo]:[Sexo]]=$B104,IF(DATOS_[[AGRUP. VALOR. PTO.]:[AGRUP. VALOR. PTO.]]=$B102,IF(DATOS_[[Check Periodo Ref.]:[Check Periodo Ref.]]="Dentro",DATOS_[C.Extra.07]))))),
0)</f>
        <v>0</v>
      </c>
      <c r="AO104" s="173">
        <f t="array" ref="AO104">IFERROR(
MEDIAN((IF(DATOS_[[Sexo]:[Sexo]]=$B104,IF(DATOS_[[AGRUP. VALOR. PTO.]:[AGRUP. VALOR. PTO.]]=$B102,IF(DATOS_[[Check Periodo Ref.]:[Check Periodo Ref.]]="Dentro",DATOS_[C.Extra.08]))))),
0)</f>
        <v>0</v>
      </c>
      <c r="AP104" s="173">
        <f t="array" ref="AP104">IFERROR(
MEDIAN((IF(DATOS_[[Sexo]:[Sexo]]=$B104,IF(DATOS_[[AGRUP. VALOR. PTO.]:[AGRUP. VALOR. PTO.]]=$B102,IF(DATOS_[[Check Periodo Ref.]:[Check Periodo Ref.]]="Dentro",DATOS_[C.Extra.11]))))),
0)</f>
        <v>0</v>
      </c>
      <c r="AQ104" s="174">
        <f t="array" ref="AQ104">IFERROR(
MEDIAN(IF(DATOS_[Sexo]=$B104,IF(DATOS_[AGRUP. VALOR. PTO.]=$B102,IF(DATOS_[Check Periodo Ref.]="Dentro",DATOS_[Tot Extrasalarial Ef],FALSE)))),
0)</f>
        <v>0</v>
      </c>
      <c r="AR104" s="171">
        <f t="array" ref="AR104">IFERROR(
MEDIAN(IF(DATOS_[Sexo]=$B104,IF(DATOS_[AGRUP. VALOR. PTO.]=$B102,IF(DATOS_[Check Periodo Ref.]="Dentro",DATOS_[TOTAL Retrib Ef],FALSE)))),
0)</f>
        <v>0</v>
      </c>
    </row>
  </sheetData>
  <dataConsolidate/>
  <pageMargins left="0.25" right="0.25" top="0.75" bottom="0.75" header="0.3" footer="0.3"/>
  <pageSetup paperSize="9" scale="85"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C99"/>
    <pageSetUpPr fitToPage="1"/>
  </sheetPr>
  <dimension ref="A1:AV116"/>
  <sheetViews>
    <sheetView showGridLines="0" zoomScale="80" zoomScaleNormal="80" workbookViewId="0">
      <selection activeCell="V3" sqref="V3"/>
    </sheetView>
  </sheetViews>
  <sheetFormatPr baseColWidth="10" defaultColWidth="8.44140625" defaultRowHeight="13.8" outlineLevelCol="1" x14ac:dyDescent="0.25"/>
  <cols>
    <col min="1" max="1" width="8.44140625" style="133"/>
    <col min="2" max="2" width="11" style="133" bestFit="1" customWidth="1"/>
    <col min="3" max="3" width="8.44140625" style="133"/>
    <col min="4" max="4" width="9.6640625" style="133" customWidth="1"/>
    <col min="5" max="8" width="10.44140625" style="133" hidden="1" customWidth="1"/>
    <col min="9" max="9" width="10.44140625" style="133" customWidth="1"/>
    <col min="10" max="19" width="8.88671875" style="133" customWidth="1"/>
    <col min="20" max="31" width="8.88671875" style="133" customWidth="1" outlineLevel="1"/>
    <col min="32" max="39" width="8.88671875" style="133" hidden="1" customWidth="1" outlineLevel="1"/>
    <col min="40" max="40" width="10.88671875" style="133" customWidth="1"/>
    <col min="41" max="43" width="8.88671875" style="133" customWidth="1"/>
    <col min="44" max="46" width="8.88671875" style="133" hidden="1" customWidth="1"/>
    <col min="47" max="47" width="12.44140625" style="133" customWidth="1"/>
    <col min="48" max="48" width="10.44140625" style="133" customWidth="1"/>
    <col min="49" max="16384" width="8.44140625" style="133"/>
  </cols>
  <sheetData>
    <row r="1" spans="1:48" ht="42.6" customHeight="1" x14ac:dyDescent="0.25">
      <c r="I1" s="254" t="s">
        <v>625</v>
      </c>
    </row>
    <row r="2" spans="1:48" ht="24" customHeight="1" x14ac:dyDescent="0.25">
      <c r="K2" s="133" t="str">
        <f>+IF(K8="[ocultar]",K8,"")</f>
        <v/>
      </c>
      <c r="L2" s="133" t="str">
        <f t="shared" ref="L2:AT2" si="0">+IF(L8="[ocultar]",L8,"")</f>
        <v/>
      </c>
      <c r="M2" s="133" t="str">
        <f t="shared" si="0"/>
        <v/>
      </c>
      <c r="N2" s="133" t="str">
        <f t="shared" si="0"/>
        <v/>
      </c>
      <c r="O2" s="133" t="str">
        <f t="shared" si="0"/>
        <v/>
      </c>
      <c r="P2" s="133" t="str">
        <f t="shared" si="0"/>
        <v/>
      </c>
      <c r="Q2" s="133" t="str">
        <f t="shared" si="0"/>
        <v/>
      </c>
      <c r="R2" s="133" t="str">
        <f t="shared" si="0"/>
        <v/>
      </c>
      <c r="S2" s="133" t="str">
        <f t="shared" si="0"/>
        <v/>
      </c>
      <c r="T2" s="133" t="str">
        <f t="shared" si="0"/>
        <v/>
      </c>
      <c r="U2" s="133" t="str">
        <f t="shared" si="0"/>
        <v/>
      </c>
      <c r="V2" s="133" t="str">
        <f t="shared" si="0"/>
        <v/>
      </c>
      <c r="W2" s="133" t="str">
        <f t="shared" si="0"/>
        <v/>
      </c>
      <c r="X2" s="133" t="str">
        <f t="shared" si="0"/>
        <v/>
      </c>
      <c r="Y2" s="133" t="str">
        <f t="shared" si="0"/>
        <v/>
      </c>
      <c r="Z2" s="133" t="str">
        <f t="shared" si="0"/>
        <v/>
      </c>
      <c r="AA2" s="133" t="str">
        <f t="shared" si="0"/>
        <v/>
      </c>
      <c r="AB2" s="133" t="str">
        <f t="shared" si="0"/>
        <v/>
      </c>
      <c r="AC2" s="133" t="str">
        <f t="shared" si="0"/>
        <v/>
      </c>
      <c r="AD2" s="133" t="str">
        <f t="shared" si="0"/>
        <v/>
      </c>
      <c r="AE2" s="133" t="str">
        <f t="shared" si="0"/>
        <v>[ocultar]</v>
      </c>
      <c r="AF2" s="133" t="str">
        <f t="shared" si="0"/>
        <v>[ocultar]</v>
      </c>
      <c r="AG2" s="133" t="str">
        <f t="shared" si="0"/>
        <v>[ocultar]</v>
      </c>
      <c r="AH2" s="133" t="str">
        <f t="shared" si="0"/>
        <v>[ocultar]</v>
      </c>
      <c r="AI2" s="133" t="str">
        <f t="shared" si="0"/>
        <v>[ocultar]</v>
      </c>
      <c r="AJ2" s="133" t="str">
        <f t="shared" si="0"/>
        <v>[ocultar]</v>
      </c>
      <c r="AK2" s="133" t="str">
        <f t="shared" si="0"/>
        <v>[ocultar]</v>
      </c>
      <c r="AL2" s="133" t="str">
        <f t="shared" si="0"/>
        <v>[ocultar]</v>
      </c>
      <c r="AM2" s="133" t="str">
        <f t="shared" si="0"/>
        <v>[ocultar]</v>
      </c>
      <c r="AN2" s="133" t="str">
        <f t="shared" si="0"/>
        <v/>
      </c>
      <c r="AO2" s="133" t="str">
        <f t="shared" si="0"/>
        <v/>
      </c>
      <c r="AP2" s="133" t="str">
        <f t="shared" si="0"/>
        <v>[ocultar]</v>
      </c>
      <c r="AQ2" s="133" t="str">
        <f t="shared" si="0"/>
        <v>[ocultar]</v>
      </c>
      <c r="AR2" s="133" t="str">
        <f t="shared" si="0"/>
        <v>[ocultar]</v>
      </c>
      <c r="AS2" s="133" t="str">
        <f t="shared" si="0"/>
        <v>[ocultar]</v>
      </c>
      <c r="AT2" s="133" t="str">
        <f t="shared" si="0"/>
        <v>[ocultar]</v>
      </c>
    </row>
    <row r="3" spans="1:48" ht="14.1" customHeight="1" x14ac:dyDescent="0.25">
      <c r="I3" s="211" t="str">
        <f>+"Razón Social: "&amp;Inicio!C6&amp;"  -  NIF: "&amp;Inicio!C8</f>
        <v>Razón Social: TANATORIOS DE CORDOBA, SA/Convenio Colectivo de Sector de POMPAS FUNEBRES (14000425011981) de Córdoba  -  NIF: A14087548</v>
      </c>
      <c r="J3" s="212"/>
    </row>
    <row r="4" spans="1:48" ht="14.1" customHeight="1" x14ac:dyDescent="0.25">
      <c r="I4" s="213" t="s">
        <v>4</v>
      </c>
      <c r="J4" s="214"/>
    </row>
    <row r="5" spans="1:48" ht="14.1" customHeight="1" x14ac:dyDescent="0.25">
      <c r="I5" s="215">
        <f>+Inicio!E10</f>
        <v>45292</v>
      </c>
      <c r="J5" s="216" t="str">
        <f>+Inicio!D10</f>
        <v>fecha inicio</v>
      </c>
    </row>
    <row r="6" spans="1:48" ht="14.1" customHeight="1" x14ac:dyDescent="0.25">
      <c r="I6" s="215">
        <f>+Inicio!G10</f>
        <v>45657</v>
      </c>
      <c r="J6" s="216" t="s">
        <v>6</v>
      </c>
    </row>
    <row r="7" spans="1:48" s="143" customFormat="1" ht="14.1" customHeight="1" x14ac:dyDescent="0.25">
      <c r="H7" s="1"/>
      <c r="I7" s="1"/>
      <c r="J7" s="1"/>
    </row>
    <row r="8" spans="1:48" s="203" customFormat="1" ht="46.35" customHeight="1" x14ac:dyDescent="0.3">
      <c r="B8" s="198"/>
      <c r="C8" s="198" t="s">
        <v>621</v>
      </c>
      <c r="D8" s="198" t="s">
        <v>622</v>
      </c>
      <c r="E8" s="198" t="s">
        <v>314</v>
      </c>
      <c r="F8" s="198" t="s">
        <v>316</v>
      </c>
      <c r="G8" s="198" t="s">
        <v>318</v>
      </c>
      <c r="H8" s="198" t="s">
        <v>624</v>
      </c>
      <c r="I8" s="146" t="s">
        <v>323</v>
      </c>
      <c r="J8" s="147" t="str">
        <f>+IF(DATOS!AE6="","[ocultar]",DATOS!AE6)</f>
        <v>HORAS EXTRAS</v>
      </c>
      <c r="K8" s="147" t="str">
        <f>+IF(DATOS!AF6="","[ocultar]",DATOS!AF6)</f>
        <v>SEGURO CONVENIO</v>
      </c>
      <c r="L8" s="147" t="str">
        <f>+IF(DATOS!AG6="","[ocultar]",DATOS!AG6)</f>
        <v>PLUS UNIFICADO</v>
      </c>
      <c r="M8" s="147" t="str">
        <f>+IF(DATOS!AH6="","[ocultar]",DATOS!AH6)</f>
        <v>GARANTIA AD PERS</v>
      </c>
      <c r="N8" s="147" t="str">
        <f>+IF(DATOS!AI6="","[ocultar]",DATOS!AI6)</f>
        <v>COMISIONES</v>
      </c>
      <c r="O8" s="147" t="str">
        <f>+IF(DATOS!AJ6="","[ocultar]",DATOS!AJ6)</f>
        <v>DOMINGOS Y FESTIVOS</v>
      </c>
      <c r="P8" s="147" t="str">
        <f>+IF(DATOS!AK6="","[ocultar]",DATOS!AK6)</f>
        <v>LOCOMOCION NO</v>
      </c>
      <c r="Q8" s="147" t="str">
        <f>+IF(DATOS!AL6="","[ocultar]",DATOS!AL6)</f>
        <v>PLUS EXTRA VAC</v>
      </c>
      <c r="R8" s="147" t="str">
        <f>+IF(DATOS!AM6="","[ocultar]",DATOS!AM6)</f>
        <v>PLUS DE TRANS</v>
      </c>
      <c r="S8" s="147" t="str">
        <f>+IF(DATOS!AN6="","[ocultar]",DATOS!AN6)</f>
        <v>PLUS ACTIVIDAD</v>
      </c>
      <c r="T8" s="147" t="str">
        <f>+IF(DATOS!AO6="","[ocultar]",DATOS!AO6)</f>
        <v>CUOTA SINDICAL</v>
      </c>
      <c r="U8" s="147" t="str">
        <f>+IF(DATOS!AP6="","[ocultar]",DATOS!AP6)</f>
        <v>AYUDA FAMILIAR</v>
      </c>
      <c r="V8" s="147" t="str">
        <f>+IF(DATOS!AQ6="","[ocultar]",DATOS!AQ6)</f>
        <v>INCENTIVO</v>
      </c>
      <c r="W8" s="147" t="str">
        <f>+IF(DATOS!AR6="","[ocultar]",DATOS!AR6)</f>
        <v>SEGURO MEDICO</v>
      </c>
      <c r="X8" s="147" t="str">
        <f>+IF(DATOS!AS6="","[ocultar]",DATOS!AS6)</f>
        <v>DES. SEGURO MEDICO</v>
      </c>
      <c r="Y8" s="147" t="str">
        <f>+IF(DATOS!AT6="","[ocultar]",DATOS!AT6)</f>
        <v>SEGURO SALUD 2</v>
      </c>
      <c r="Z8" s="147" t="str">
        <f>+IF(DATOS!AU6="","[ocultar]",DATOS!AU6)</f>
        <v>COMP. EMPRESA I.T.</v>
      </c>
      <c r="AA8" s="147" t="str">
        <f>+IF(DATOS!AV6="","[ocultar]",DATOS!AV6)</f>
        <v>I.T. CUENTA EMPRESA</v>
      </c>
      <c r="AB8" s="147" t="str">
        <f>+IF(DATOS!AW6="","[ocultar]",DATOS!AW6)</f>
        <v>SALARIO EN ESPECIE</v>
      </c>
      <c r="AC8" s="147" t="str">
        <f>+IF(DATOS!AX6="","[ocultar]",DATOS!AX6)</f>
        <v>PLUS DE POLIVALENCIA</v>
      </c>
      <c r="AD8" s="147" t="str">
        <f>+IF(DATOS!AY6="","[ocultar]",DATOS!AY6)</f>
        <v>LIQUID  PAGAS EXTRA</v>
      </c>
      <c r="AE8" s="147" t="str">
        <f>+IF(DATOS!AZ6="","[ocultar]",DATOS!AZ6)</f>
        <v>[ocultar]</v>
      </c>
      <c r="AF8" s="147" t="str">
        <f>+IF(DATOS!BA6="","[ocultar]",DATOS!BA6)</f>
        <v>[ocultar]</v>
      </c>
      <c r="AG8" s="147" t="str">
        <f>+IF(DATOS!BB6="","[ocultar]",DATOS!BB6)</f>
        <v>[ocultar]</v>
      </c>
      <c r="AH8" s="147" t="str">
        <f>+IF(DATOS!BC6="","[ocultar]",DATOS!BC6)</f>
        <v>[ocultar]</v>
      </c>
      <c r="AI8" s="147" t="str">
        <f>+IF(DATOS!BD6="","[ocultar]",DATOS!BD6)</f>
        <v>[ocultar]</v>
      </c>
      <c r="AJ8" s="147" t="str">
        <f>+IF(DATOS!BE6="","[ocultar]",DATOS!BE6)</f>
        <v>[ocultar]</v>
      </c>
      <c r="AK8" s="147" t="str">
        <f>+IF(DATOS!BF6="","[ocultar]",DATOS!BF6)</f>
        <v>[ocultar]</v>
      </c>
      <c r="AL8" s="147" t="str">
        <f>+IF(DATOS!BG6="","[ocultar]",DATOS!BG6)</f>
        <v>[ocultar]</v>
      </c>
      <c r="AM8" s="147" t="str">
        <f>+IF(DATOS!BH6="","[ocultar]",DATOS!BH6)</f>
        <v>[ocultar]</v>
      </c>
      <c r="AN8" s="148" t="s">
        <v>324</v>
      </c>
      <c r="AO8" s="149" t="s">
        <v>325</v>
      </c>
      <c r="AP8" s="150" t="str">
        <f>+IF(DATOS!BW6="","[ocultar]",DATOS!BW6)</f>
        <v>[ocultar]</v>
      </c>
      <c r="AQ8" s="150" t="str">
        <f>+IF(DATOS!CB6="","[ocultar]",DATOS!CB6)</f>
        <v>[ocultar]</v>
      </c>
      <c r="AR8" s="150" t="str">
        <f>+IF(DATOS!CC6="","[ocultar]",DATOS!CC6)</f>
        <v>[ocultar]</v>
      </c>
      <c r="AS8" s="150" t="str">
        <f>+IF(DATOS!CD6="","[ocultar]",DATOS!CD6)</f>
        <v>[ocultar]</v>
      </c>
      <c r="AT8" s="150" t="str">
        <f>+IF(DATOS!CG6="","[ocultar]",DATOS!CG6)</f>
        <v>[ocultar]</v>
      </c>
      <c r="AU8" s="151" t="s">
        <v>326</v>
      </c>
      <c r="AV8" s="148" t="s">
        <v>327</v>
      </c>
    </row>
    <row r="9" spans="1:48" ht="15.6" thickBot="1" x14ac:dyDescent="0.3">
      <c r="B9" s="199" t="s">
        <v>623</v>
      </c>
      <c r="C9" s="200"/>
      <c r="D9" s="201"/>
      <c r="E9" s="201"/>
      <c r="F9" s="201"/>
      <c r="G9" s="201"/>
      <c r="H9" s="201"/>
      <c r="I9" s="156" t="str">
        <f t="shared" ref="I9" si="1">IFERROR((I10-I11)/I10,"")</f>
        <v/>
      </c>
      <c r="J9" s="157" t="str">
        <f>IFERROR((J10-J11)/J10,"")</f>
        <v/>
      </c>
      <c r="K9" s="158" t="str">
        <f t="shared" ref="K9:AV9" si="2">IFERROR((K10-K11)/K10,"")</f>
        <v/>
      </c>
      <c r="L9" s="158" t="str">
        <f t="shared" si="2"/>
        <v/>
      </c>
      <c r="M9" s="158" t="str">
        <f t="shared" si="2"/>
        <v/>
      </c>
      <c r="N9" s="159" t="str">
        <f t="shared" si="2"/>
        <v/>
      </c>
      <c r="O9" s="160" t="str">
        <f t="shared" si="2"/>
        <v/>
      </c>
      <c r="P9" s="160" t="str">
        <f t="shared" si="2"/>
        <v/>
      </c>
      <c r="Q9" s="160" t="str">
        <f t="shared" si="2"/>
        <v/>
      </c>
      <c r="R9" s="160" t="str">
        <f t="shared" si="2"/>
        <v/>
      </c>
      <c r="S9" s="160" t="str">
        <f t="shared" si="2"/>
        <v/>
      </c>
      <c r="T9" s="160" t="str">
        <f t="shared" si="2"/>
        <v/>
      </c>
      <c r="U9" s="160" t="str">
        <f t="shared" si="2"/>
        <v/>
      </c>
      <c r="V9" s="160" t="str">
        <f t="shared" si="2"/>
        <v/>
      </c>
      <c r="W9" s="160" t="str">
        <f t="shared" si="2"/>
        <v/>
      </c>
      <c r="X9" s="160" t="str">
        <f t="shared" si="2"/>
        <v/>
      </c>
      <c r="Y9" s="160" t="str">
        <f t="shared" si="2"/>
        <v/>
      </c>
      <c r="Z9" s="159" t="str">
        <f t="shared" si="2"/>
        <v/>
      </c>
      <c r="AA9" s="159" t="str">
        <f t="shared" si="2"/>
        <v/>
      </c>
      <c r="AB9" s="159" t="str">
        <f t="shared" si="2"/>
        <v/>
      </c>
      <c r="AC9" s="159" t="str">
        <f t="shared" si="2"/>
        <v/>
      </c>
      <c r="AD9" s="159" t="str">
        <f t="shared" si="2"/>
        <v/>
      </c>
      <c r="AE9" s="159" t="str">
        <f t="shared" si="2"/>
        <v/>
      </c>
      <c r="AF9" s="159">
        <f t="shared" si="2"/>
        <v>-1.3396226415094341</v>
      </c>
      <c r="AG9" s="159" t="str">
        <f t="shared" si="2"/>
        <v/>
      </c>
      <c r="AH9" s="159" t="str">
        <f t="shared" si="2"/>
        <v/>
      </c>
      <c r="AI9" s="159" t="str">
        <f t="shared" si="2"/>
        <v/>
      </c>
      <c r="AJ9" s="159" t="str">
        <f t="shared" si="2"/>
        <v/>
      </c>
      <c r="AK9" s="159" t="str">
        <f t="shared" si="2"/>
        <v/>
      </c>
      <c r="AL9" s="159" t="str">
        <f t="shared" si="2"/>
        <v/>
      </c>
      <c r="AM9" s="159" t="str">
        <f t="shared" si="2"/>
        <v/>
      </c>
      <c r="AN9" s="161" t="str">
        <f t="shared" si="2"/>
        <v/>
      </c>
      <c r="AO9" s="162" t="str">
        <f t="shared" si="2"/>
        <v/>
      </c>
      <c r="AP9" s="163" t="str">
        <f t="shared" si="2"/>
        <v/>
      </c>
      <c r="AQ9" s="163" t="str">
        <f t="shared" si="2"/>
        <v/>
      </c>
      <c r="AR9" s="163" t="str">
        <f t="shared" si="2"/>
        <v/>
      </c>
      <c r="AS9" s="163" t="str">
        <f t="shared" si="2"/>
        <v/>
      </c>
      <c r="AT9" s="163" t="str">
        <f t="shared" si="2"/>
        <v/>
      </c>
      <c r="AU9" s="164" t="str">
        <f t="shared" si="2"/>
        <v/>
      </c>
      <c r="AV9" s="165" t="str">
        <f t="shared" si="2"/>
        <v/>
      </c>
    </row>
    <row r="10" spans="1:48" x14ac:dyDescent="0.25">
      <c r="B10" s="202" t="s">
        <v>394</v>
      </c>
      <c r="C10" s="203">
        <f t="array" ref="C10">SUM(IF($B10=DATOS_[Sexo],
IF("Dentro"=DATOS_[Check Periodo Ref.],
1/(COUNTIFS(DATOS_[Sexo],$B10,DATOS_[Check Periodo Ref.],"Dentro",DATOS_[id/cod],DATOS_[id/cod])))))</f>
        <v>60</v>
      </c>
      <c r="D10" s="204">
        <f>COUNTIFS(DATOS_[AGRUP. VALOR. PTO.],"&lt;&gt;",DATOS_[Sexo],$B10,DATOS_[Check Periodo Ref.],"Dentro")</f>
        <v>0</v>
      </c>
      <c r="E10" s="204">
        <f>COUNTIFS(DATOS_[AGRUP. VALOR. PTO.],"&lt;&gt;",DATOS_[Sexo],$B10,DATOS_[Check Periodo Ref.],"Dentro",DATOS_[Check Nº SC Norm],"Sí")</f>
        <v>0</v>
      </c>
      <c r="F10" s="204">
        <f>COUNTIFS(DATOS_[AGRUP. VALOR. PTO.],"&lt;&gt;",DATOS_[Sexo],$B10,DATOS_[Check Periodo Ref.],"Dentro",DATOS_[Check Nº SC Anualiz],"Sí")</f>
        <v>0</v>
      </c>
      <c r="G10" s="204">
        <f>COUNTIFS(DATOS_[AGRUP. VALOR. PTO.],"&lt;&gt;",DATOS_[Sexo],$B10,DATOS_[Check Periodo Ref.],"Dentro",DATOS_[Check Nº SC Norm y Anualiz],"Sí")</f>
        <v>0</v>
      </c>
      <c r="H10" s="204">
        <f>COUNTIFS(DATOS_[AGRUP. VALOR. PTO.],"&lt;&gt;",DATOS_[Sexo],$B10,DATOS_[Check Periodo Ref.],"Dentro",DATOS_[Check Equiparación],"Sí")</f>
        <v>0</v>
      </c>
      <c r="I10" s="169">
        <f t="array" ref="I10">IFERROR(
AVERAGE(IF(DATOS_[Sexo]=$B10,IF(DATOS_[Check Equiparado]="Sí",IF(DATOS_[Check Periodo Ref.]="Dentro",DATOS_[SALARIO BASE Eq],FALSE)))),
0)</f>
        <v>0</v>
      </c>
      <c r="J10" s="170">
        <f t="array" ref="J10">IFERROR(
(AVERAGE((IF(DATOS_[[Sexo]:[Sexo]]=$B10,IF(DATOS_[[Check Periodo Ref.]:[Check Periodo Ref.]]="Dentro",IF(DATOS_[[Check Equiparado]:[Check Equiparado]]="Sí",IF(DATOS!AE$5="Sí",(1/DATOS_[[% anualiz]:[% anualiz]]),1)*IF(DATOS!AE$4="Sí",1/DATOS_[[% normaliz]:[% normaliz]],1)*(DATOS_[Conc.Sal.01]))))))),
0)</f>
        <v>0</v>
      </c>
      <c r="K10" s="170">
        <f t="array" ref="K10">IFERROR(
(AVERAGE((IF(DATOS_[[Sexo]:[Sexo]]=$B10,IF(DATOS_[[Check Periodo Ref.]:[Check Periodo Ref.]]="Dentro",IF(DATOS_[[Check Equiparado]:[Check Equiparado]]="Sí",IF(DATOS!AF$5="Sí",(1/DATOS_[[% anualiz]:[% anualiz]]),1)*IF(DATOS!AF$4="Sí",1/DATOS_[[% normaliz]:[% normaliz]],1)*(DATOS_[Conc.Sal.02]))))))),
0)</f>
        <v>0</v>
      </c>
      <c r="L10" s="170">
        <f t="array" ref="L10">IFERROR(
(AVERAGE((IF(DATOS_[[Sexo]:[Sexo]]=$B10,IF(DATOS_[[Check Periodo Ref.]:[Check Periodo Ref.]]="Dentro",IF(DATOS_[[Check Equiparado]:[Check Equiparado]]="Sí",IF(DATOS!AG$5="Sí",(1/DATOS_[[% anualiz]:[% anualiz]]),1)*IF(DATOS!AG$4="Sí",1/DATOS_[[% normaliz]:[% normaliz]],1)*(DATOS_[Conc.Sal.03]))))))),
0)</f>
        <v>0</v>
      </c>
      <c r="M10" s="170">
        <f t="array" ref="M10">IFERROR(
(AVERAGE((IF(DATOS_[[Sexo]:[Sexo]]=$B10,IF(DATOS_[[Check Periodo Ref.]:[Check Periodo Ref.]]="Dentro",IF(DATOS_[[Check Equiparado]:[Check Equiparado]]="Sí",IF(DATOS!AH$5="Sí",(1/DATOS_[[% anualiz]:[% anualiz]]),1)*IF(DATOS!AH$4="Sí",1/DATOS_[[% normaliz]:[% normaliz]],1)*(DATOS_[Conc.Sal.04]))))))),
0)</f>
        <v>0</v>
      </c>
      <c r="N10" s="170">
        <f t="array" ref="N10">IFERROR(
(AVERAGE((IF(DATOS_[[Sexo]:[Sexo]]=$B10,IF(DATOS_[[Check Periodo Ref.]:[Check Periodo Ref.]]="Dentro",IF(DATOS_[[Check Equiparado]:[Check Equiparado]]="Sí",IF(DATOS!AI$5="Sí",(1/DATOS_[[% anualiz]:[% anualiz]]),1)*IF(DATOS!AI$4="Sí",1/DATOS_[[% normaliz]:[% normaliz]],1)*(DATOS_[Conc.Sal.05]))))))),
0)</f>
        <v>0</v>
      </c>
      <c r="O10" s="170">
        <f t="array" ref="O10">IFERROR(
(AVERAGE((IF(DATOS_[[Sexo]:[Sexo]]=$B10,IF(DATOS_[[Check Periodo Ref.]:[Check Periodo Ref.]]="Dentro",IF(DATOS_[[Check Equiparado]:[Check Equiparado]]="Sí",IF(DATOS!AJ$5="Sí",(1/DATOS_[[% anualiz]:[% anualiz]]),1)*IF(DATOS!AJ$4="Sí",1/DATOS_[[% normaliz]:[% normaliz]],1)*(DATOS_[Conc.Sal.06]))))))),
0)</f>
        <v>0</v>
      </c>
      <c r="P10" s="170">
        <f t="array" ref="P10">IFERROR(
(AVERAGE((IF(DATOS_[[Sexo]:[Sexo]]=$B10,IF(DATOS_[[Check Periodo Ref.]:[Check Periodo Ref.]]="Dentro",IF(DATOS_[[Check Equiparado]:[Check Equiparado]]="Sí",IF(DATOS!AK$5="Sí",(1/DATOS_[[% anualiz]:[% anualiz]]),1)*IF(DATOS!AK$4="Sí",1/DATOS_[[% normaliz]:[% normaliz]],1)*(DATOS_[Conc.Sal.07]))))))),
0)</f>
        <v>0</v>
      </c>
      <c r="Q10" s="170">
        <f t="array" ref="Q10">IFERROR(
(AVERAGE((IF(DATOS_[[Sexo]:[Sexo]]=$B10,IF(DATOS_[[Check Periodo Ref.]:[Check Periodo Ref.]]="Dentro",IF(DATOS_[[Check Equiparado]:[Check Equiparado]]="Sí",IF(DATOS!AL$5="Sí",(1/DATOS_[[% anualiz]:[% anualiz]]),1)*IF(DATOS!AL$4="Sí",1/DATOS_[[% normaliz]:[% normaliz]],1)*(DATOS_[Conc.Sal.08]))))))),
0)</f>
        <v>0</v>
      </c>
      <c r="R10" s="170">
        <f t="array" ref="R10">IFERROR(
(AVERAGE((IF(DATOS_[[Sexo]:[Sexo]]=$B10,IF(DATOS_[[Check Periodo Ref.]:[Check Periodo Ref.]]="Dentro",IF(DATOS_[[Check Equiparado]:[Check Equiparado]]="Sí",IF(DATOS!AM$5="Sí",(1/DATOS_[[% anualiz]:[% anualiz]]),1)*IF(DATOS!AM$4="Sí",1/DATOS_[[% normaliz]:[% normaliz]],1)*(DATOS_[Conc.Sal.09]))))))),
0)</f>
        <v>0</v>
      </c>
      <c r="S10" s="170">
        <f t="array" ref="S10">IFERROR(
(AVERAGE((IF(DATOS_[[Sexo]:[Sexo]]=$B10,IF(DATOS_[[Check Periodo Ref.]:[Check Periodo Ref.]]="Dentro",IF(DATOS_[[Check Equiparado]:[Check Equiparado]]="Sí",IF(DATOS!AN$5="Sí",(1/DATOS_[[% anualiz]:[% anualiz]]),1)*IF(DATOS!AN$4="Sí",1/DATOS_[[% normaliz]:[% normaliz]],1)*(DATOS_[Conc.Sal.10]))))))),
0)</f>
        <v>0</v>
      </c>
      <c r="T10" s="170">
        <f t="array" ref="T10">IFERROR(
(AVERAGE((IF(DATOS_[[Sexo]:[Sexo]]=$B10,IF(DATOS_[[Check Periodo Ref.]:[Check Periodo Ref.]]="Dentro",IF(DATOS_[[Check Equiparado]:[Check Equiparado]]="Sí",IF(DATOS!AO$5="Sí",(1/DATOS_[[% anualiz]:[% anualiz]]),1)*IF(DATOS!AO$4="Sí",1/DATOS_[[% normaliz]:[% normaliz]],1)*(DATOS_[Conc.Sal.11]))))))),
0)</f>
        <v>0</v>
      </c>
      <c r="U10" s="170">
        <f t="array" ref="U10">IFERROR(
(AVERAGE((IF(DATOS_[[Sexo]:[Sexo]]=$B10,IF(DATOS_[[Check Periodo Ref.]:[Check Periodo Ref.]]="Dentro",IF(DATOS_[[Check Equiparado]:[Check Equiparado]]="Sí",IF(DATOS!AP$5="Sí",(1/DATOS_[[% anualiz]:[% anualiz]]),1)*IF(DATOS!AP$4="Sí",1/DATOS_[[% normaliz]:[% normaliz]],1)*(DATOS_[Conc.Sal.12]))))))),
0)</f>
        <v>0</v>
      </c>
      <c r="V10" s="170">
        <f t="array" ref="V10">IFERROR(
(AVERAGE((IF(DATOS_[[Sexo]:[Sexo]]=$B10,IF(DATOS_[[Check Periodo Ref.]:[Check Periodo Ref.]]="Dentro",IF(DATOS_[[Check Equiparado]:[Check Equiparado]]="Sí",IF(DATOS!AQ$5="Sí",(1/DATOS_[[% anualiz]:[% anualiz]]),1)*IF(DATOS!AQ$4="Sí",1/DATOS_[[% normaliz]:[% normaliz]],1)*(DATOS_[Conc.Sal.13]))))))),
0)</f>
        <v>0</v>
      </c>
      <c r="W10" s="170">
        <f t="array" ref="W10">IFERROR(
(AVERAGE((IF(DATOS_[[Sexo]:[Sexo]]=$B10,IF(DATOS_[[Check Periodo Ref.]:[Check Periodo Ref.]]="Dentro",IF(DATOS_[[Check Equiparado]:[Check Equiparado]]="Sí",IF(DATOS!AR$5="Sí",(1/DATOS_[[% anualiz]:[% anualiz]]),1)*IF(DATOS!AR$4="Sí",1/DATOS_[[% normaliz]:[% normaliz]],1)*(DATOS_[Conc.Sal.14]))))))),
0)</f>
        <v>0</v>
      </c>
      <c r="X10" s="170">
        <f t="array" ref="X10">IFERROR(
(AVERAGE((IF(DATOS_[[Sexo]:[Sexo]]=$B10,IF(DATOS_[[Check Periodo Ref.]:[Check Periodo Ref.]]="Dentro",IF(DATOS_[[Check Equiparado]:[Check Equiparado]]="Sí",IF(DATOS!AS$5="Sí",(1/DATOS_[[% anualiz]:[% anualiz]]),1)*IF(DATOS!AS$4="Sí",1/DATOS_[[% normaliz]:[% normaliz]],1)*(DATOS_[Conc.Sal.15]))))))),
0)</f>
        <v>0</v>
      </c>
      <c r="Y10" s="170">
        <f t="array" ref="Y10">IFERROR(
(AVERAGE((IF(DATOS_[[Sexo]:[Sexo]]=$B10,IF(DATOS_[[Check Periodo Ref.]:[Check Periodo Ref.]]="Dentro",IF(DATOS_[[Check Equiparado]:[Check Equiparado]]="Sí",IF(DATOS!AT$5="Sí",(1/DATOS_[[% anualiz]:[% anualiz]]),1)*IF(DATOS!AT$4="Sí",1/DATOS_[[% normaliz]:[% normaliz]],1)*(DATOS_[Conc.Sal.16]))))))),
0)</f>
        <v>0</v>
      </c>
      <c r="Z10" s="170">
        <f t="array" ref="Z10">IFERROR(
(AVERAGE((IF(DATOS_[[Sexo]:[Sexo]]=$B10,IF(DATOS_[[Check Periodo Ref.]:[Check Periodo Ref.]]="Dentro",IF(DATOS_[[Check Equiparado]:[Check Equiparado]]="Sí",IF(DATOS!AU$5="Sí",(1/DATOS_[[% anualiz]:[% anualiz]]),1)*IF(DATOS!AU$4="Sí",1/DATOS_[[% normaliz]:[% normaliz]],1)*(DATOS_[Conc.Sal.17]))))))),
0)</f>
        <v>0</v>
      </c>
      <c r="AA10" s="170">
        <f t="array" ref="AA10">IFERROR(
(AVERAGE((IF(DATOS_[[Sexo]:[Sexo]]=$B10,IF(DATOS_[[Check Periodo Ref.]:[Check Periodo Ref.]]="Dentro",IF(DATOS_[[Check Equiparado]:[Check Equiparado]]="Sí",IF(DATOS!AV$5="Sí",(1/DATOS_[[% anualiz]:[% anualiz]]),1)*IF(DATOS!AV$4="Sí",1/DATOS_[[% normaliz]:[% normaliz]],1)*(DATOS_[Conc.Sal.18]))))))),
0)</f>
        <v>0</v>
      </c>
      <c r="AB10" s="170">
        <f t="array" ref="AB10">IFERROR(
(AVERAGE((IF(DATOS_[[Sexo]:[Sexo]]=$B10,IF(DATOS_[[Check Periodo Ref.]:[Check Periodo Ref.]]="Dentro",IF(DATOS_[[Check Equiparado]:[Check Equiparado]]="Sí",IF(DATOS!AW$5="Sí",(1/DATOS_[[% anualiz]:[% anualiz]]),1)*IF(DATOS!AW$4="Sí",1/DATOS_[[% normaliz]:[% normaliz]],1)*(DATOS_[Conc.Sal.19]))))))),
0)</f>
        <v>0</v>
      </c>
      <c r="AC10" s="170">
        <f t="array" ref="AC10">IFERROR(
(AVERAGE((IF(DATOS_[[Sexo]:[Sexo]]=$B10,IF(DATOS_[[Check Periodo Ref.]:[Check Periodo Ref.]]="Dentro",IF(DATOS_[[Check Equiparado]:[Check Equiparado]]="Sí",IF(DATOS!AX$5="Sí",(1/DATOS_[[% anualiz]:[% anualiz]]),1)*IF(DATOS!AX$4="Sí",1/DATOS_[[% normaliz]:[% normaliz]],1)*(DATOS_[Conc.Sal.20]))))))),
0)</f>
        <v>0</v>
      </c>
      <c r="AD10" s="170">
        <f t="array" ref="AD10">IFERROR(
(AVERAGE((IF(DATOS_[[Sexo]:[Sexo]]=$B10,IF(DATOS_[[Check Periodo Ref.]:[Check Periodo Ref.]]="Dentro",IF(DATOS_[[Check Equiparado]:[Check Equiparado]]="Sí",IF(DATOS!AY$5="Sí",(1/DATOS_[[% anualiz]:[% anualiz]]),1)*IF(DATOS!AY$4="Sí",1/DATOS_[[% normaliz]:[% normaliz]],1)*(DATOS_[Conc.Sal.21]))))))),
0)</f>
        <v>0</v>
      </c>
      <c r="AE10" s="170">
        <f t="array" ref="AE10">IFERROR(
(AVERAGE((IF(DATOS_[[Sexo]:[Sexo]]=$B10,IF(DATOS_[[Check Periodo Ref.]:[Check Periodo Ref.]]="Dentro",IF(DATOS_[[Check Equiparado]:[Check Equiparado]]="Sí",IF(DATOS!AZ$5="Sí",(1/DATOS_[[% anualiz]:[% anualiz]]),1)*IF(DATOS!AZ$4="Sí",1/DATOS_[[% normaliz]:[% normaliz]],1)*(DATOS_[Conc.Sal.22]))))))),
0)</f>
        <v>0</v>
      </c>
      <c r="AF10" s="170">
        <f t="array" ref="AF10">IFERROR(
(AVERAGE((IF(DATOS_[[Sexo]:[Sexo]]=$B10,IF(DATOS_[[Check Periodo Ref.]:[Check Periodo Ref.]]="Dentro",IF(DATOS_[[Check Equiparado]:[Check Equiparado]]="Sí",IF(DATOS!BA$5="Sí",(1/DATOS_[[% anualiz]:[% anualiz]]),1)*IF(DATOS!BA$4="Sí",1/DATOS_[[% normaliz]:[% normaliz]],1)*(DATOS_[Conc.Sal.23]))))))),
0)</f>
        <v>3.1451612903225805</v>
      </c>
      <c r="AG10" s="170">
        <f t="array" ref="AG10">IFERROR(
(AVERAGE((IF(DATOS_[[Sexo]:[Sexo]]=$B10,IF(DATOS_[[Check Periodo Ref.]:[Check Periodo Ref.]]="Dentro",IF(DATOS_[[Check Equiparado]:[Check Equiparado]]="Sí",IF(DATOS!BB$5="Sí",(1/DATOS_[[% anualiz]:[% anualiz]]),1)*IF(DATOS!BB$4="Sí",1/DATOS_[[% normaliz]:[% normaliz]],1)*(DATOS_[Conc.Sal.24]))))))),
0)</f>
        <v>0</v>
      </c>
      <c r="AH10" s="170">
        <f t="array" ref="AH10">IFERROR(
(AVERAGE((IF(DATOS_[[Sexo]:[Sexo]]=$B10,IF(DATOS_[[Check Periodo Ref.]:[Check Periodo Ref.]]="Dentro",IF(DATOS_[[Check Equiparado]:[Check Equiparado]]="Sí",IF(DATOS!BC$5="Sí",(1/DATOS_[[% anualiz]:[% anualiz]]),1)*IF(DATOS!BC$4="Sí",1/DATOS_[[% normaliz]:[% normaliz]],1)*(DATOS_[Conc.Sal.25]))))))),
0)</f>
        <v>0</v>
      </c>
      <c r="AI10" s="170">
        <f t="array" ref="AI10">IFERROR(
(AVERAGE((IF(DATOS_[[Sexo]:[Sexo]]=$B10,IF(DATOS_[[Check Periodo Ref.]:[Check Periodo Ref.]]="Dentro",IF(DATOS_[[Check Equiparado]:[Check Equiparado]]="Sí",IF(DATOS!BD$5="Sí",(1/DATOS_[[% anualiz]:[% anualiz]]),1)*IF(DATOS!BD$4="Sí",1/DATOS_[[% normaliz]:[% normaliz]],1)*(DATOS_[Conc.Sal.26]))))))),
0)</f>
        <v>0</v>
      </c>
      <c r="AJ10" s="170">
        <f t="array" ref="AJ10">IFERROR(
(AVERAGE((IF(DATOS_[[Sexo]:[Sexo]]=$B10,IF(DATOS_[[Check Periodo Ref.]:[Check Periodo Ref.]]="Dentro",IF(DATOS_[[Check Equiparado]:[Check Equiparado]]="Sí",IF(DATOS!BE$5="Sí",(1/DATOS_[[% anualiz]:[% anualiz]]),1)*IF(DATOS!BE$4="Sí",1/DATOS_[[% normaliz]:[% normaliz]],1)*(DATOS_[Conc.Sal.27]))))))),
0)</f>
        <v>0</v>
      </c>
      <c r="AK10" s="170">
        <f t="array" ref="AK10">IFERROR(
(AVERAGE((IF(DATOS_[[Sexo]:[Sexo]]=$B10,IF(DATOS_[[Check Periodo Ref.]:[Check Periodo Ref.]]="Dentro",IF(DATOS_[[Check Equiparado]:[Check Equiparado]]="Sí",IF(DATOS!BF$5="Sí",(1/DATOS_[[% anualiz]:[% anualiz]]),1)*IF(DATOS!BF$4="Sí",1/DATOS_[[% normaliz]:[% normaliz]],1)*(DATOS_[Conc.Sal.28]))))))),
0)</f>
        <v>0</v>
      </c>
      <c r="AL10" s="170">
        <f t="array" ref="AL10">IFERROR(
(AVERAGE((IF(DATOS_[[Sexo]:[Sexo]]=$B10,IF(DATOS_[[Check Periodo Ref.]:[Check Periodo Ref.]]="Dentro",IF(DATOS_[[Check Equiparado]:[Check Equiparado]]="Sí",IF(DATOS!BG$5="Sí",(1/DATOS_[[% anualiz]:[% anualiz]]),1)*IF(DATOS!BG$4="Sí",1/DATOS_[[% normaliz]:[% normaliz]],1)*(DATOS_[Conc.Sal.29]))))))),
0)</f>
        <v>0</v>
      </c>
      <c r="AM10" s="170">
        <f t="array" ref="AM10">IFERROR(
(AVERAGE((IF(DATOS_[[Sexo]:[Sexo]]=$B10,IF(DATOS_[[Check Periodo Ref.]:[Check Periodo Ref.]]="Dentro",IF(DATOS_[[Check Equiparado]:[Check Equiparado]]="Sí",IF(DATOS!BH$5="Sí",(1/DATOS_[[% anualiz]:[% anualiz]]),1)*IF(DATOS!BH$4="Sí",1/DATOS_[[% normaliz]:[% normaliz]],1)*(DATOS_[Conc.Sal.30]))))))),
0)</f>
        <v>0</v>
      </c>
      <c r="AN10" s="171">
        <f t="array" ref="AN10">IFERROR(
AVERAGE(IF(DATOS_[Sexo]=$B10,IF(DATOS_[Check Equiparado]="Sí",IF(DATOS_[Check Periodo Ref.]="Dentro",DATOS_[Tot COMPL.SAL Eq],FALSE)))),
0)</f>
        <v>0</v>
      </c>
      <c r="AO10" s="172">
        <f t="array" ref="AO10">IFERROR(
AVERAGE(IF(DATOS_[Sexo]=$B10,IF(DATOS_[Check Equiparado]="Sí",IF(DATOS_[Check Periodo Ref.]="Dentro",DATOS_[TOTAL SALARIO Eq],FALSE)))),
0)</f>
        <v>0</v>
      </c>
      <c r="AP10" s="173">
        <f t="array" ref="AP10">IFERROR(
(AVERAGE((IF(DATOS_[[Sexo]:[Sexo]]=$B10,IF(DATOS_[[Check Periodo Ref.]:[Check Periodo Ref.]]="Dentro",IF(DATOS_[[Check Equiparado]:[Check Equiparado]]="Sí",IF(DATOS!BW$5="Sí",(1/DATOS_[[% anualiz]:[% anualiz]]),1)*IF(DATOS!BW$4="Sí",1/DATOS_[[% normaliz]:[% normaliz]],1)*(DATOS_[C.Extra.01]))))))),
0)</f>
        <v>0</v>
      </c>
      <c r="AQ10" s="173">
        <f t="array" ref="AQ10">IFERROR(
(AVERAGE((IF(DATOS_[[Sexo]:[Sexo]]=$B10,IF(DATOS_[[Check Periodo Ref.]:[Check Periodo Ref.]]="Dentro",IF(DATOS_[[Check Equiparado]:[Check Equiparado]]="Sí",IF(DATOS!CB$5="Sí",(1/DATOS_[[% anualiz]:[% anualiz]]),1)*IF(DATOS!CB$4="Sí",1/DATOS_[[% normaliz]:[% normaliz]],1)*(DATOS_[C.Extra.06]))))))),
0)</f>
        <v>0</v>
      </c>
      <c r="AR10" s="173">
        <f t="array" ref="AR10">IFERROR(
(AVERAGE((IF(DATOS_[[Sexo]:[Sexo]]=$B10,IF(DATOS_[[Check Periodo Ref.]:[Check Periodo Ref.]]="Dentro",IF(DATOS_[[Check Equiparado]:[Check Equiparado]]="Sí",IF(DATOS!CC$5="Sí",(1/DATOS_[[% anualiz]:[% anualiz]]),1)*IF(DATOS!CC$4="Sí",1/DATOS_[[% normaliz]:[% normaliz]],1)*(DATOS_[C.Extra.07]))))))),
0)</f>
        <v>0</v>
      </c>
      <c r="AS10" s="173">
        <f t="array" ref="AS10">IFERROR(
(AVERAGE((IF(DATOS_[[Sexo]:[Sexo]]=$B10,IF(DATOS_[[Check Periodo Ref.]:[Check Periodo Ref.]]="Dentro",IF(DATOS_[[Check Equiparado]:[Check Equiparado]]="Sí",IF(DATOS!CD$5="Sí",(1/DATOS_[[% anualiz]:[% anualiz]]),1)*IF(DATOS!CD$4="Sí",1/DATOS_[[% normaliz]:[% normaliz]],1)*(DATOS_[C.Extra.08]))))))),
0)</f>
        <v>0</v>
      </c>
      <c r="AT10" s="173">
        <f t="array" ref="AT10">IFERROR(
(AVERAGE((IF(DATOS_[[Sexo]:[Sexo]]=$B10,IF(DATOS_[[Check Periodo Ref.]:[Check Periodo Ref.]]="Dentro",IF(DATOS_[[Check Equiparado]:[Check Equiparado]]="Sí",IF(DATOS!CG$5="Sí",(1/DATOS_[[% anualiz]:[% anualiz]]),1)*IF(DATOS!CG$4="Sí",1/DATOS_[[% normaliz]:[% normaliz]],1)*(DATOS_[C.Extra.11]))))))),
0)</f>
        <v>0</v>
      </c>
      <c r="AU10" s="174">
        <f t="array" ref="AU10">IFERROR(
AVERAGE(IF(DATOS_[Sexo]=$B10,IF(DATOS_[Check Equiparado]="Sí",IF(DATOS_[Check Periodo Ref.]="Dentro",DATOS_[Tot Extrasalarial Eq],FALSE)))),
0)</f>
        <v>0</v>
      </c>
      <c r="AV10" s="175">
        <f t="array" ref="AV10">IFERROR(
AVERAGE(IF(DATOS_[Sexo]=$B10,IF(DATOS_[Check Equiparado]="Sí",IF(DATOS_[Check Periodo Ref.]="Dentro",DATOS_[TOTAL Retrib Eq],FALSE)))),
0)</f>
        <v>0</v>
      </c>
    </row>
    <row r="11" spans="1:48" x14ac:dyDescent="0.25">
      <c r="B11" s="202" t="s">
        <v>521</v>
      </c>
      <c r="C11" s="203">
        <f t="array" ref="C11">SUM(IF($B11=DATOS_[Sexo],
IF("Dentro"=DATOS_[Check Periodo Ref.],
1/(COUNTIFS(DATOS_[Sexo],$B11,DATOS_[Check Periodo Ref.],"Dentro",DATOS_[id/cod],DATOS_[id/cod])))))</f>
        <v>52.000000000000007</v>
      </c>
      <c r="D11" s="204">
        <f>COUNTIFS(DATOS_[AGRUP. VALOR. PTO.],"&lt;&gt;",DATOS_[Sexo],$B11,DATOS_[Check Periodo Ref.],"Dentro")</f>
        <v>0</v>
      </c>
      <c r="E11" s="204">
        <f>COUNTIFS(DATOS_[AGRUP. VALOR. PTO.],"&lt;&gt;",DATOS_[Sexo],$B11,DATOS_[Check Periodo Ref.],"Dentro",DATOS_[Check Nº SC Norm],"Sí")</f>
        <v>0</v>
      </c>
      <c r="F11" s="204">
        <f>COUNTIFS(DATOS_[AGRUP. VALOR. PTO.],"&lt;&gt;",DATOS_[Sexo],$B11,DATOS_[Check Periodo Ref.],"Dentro",DATOS_[Check Nº SC Anualiz],"Sí")</f>
        <v>0</v>
      </c>
      <c r="G11" s="204">
        <f>COUNTIFS(DATOS_[AGRUP. VALOR. PTO.],"&lt;&gt;",DATOS_[Sexo],$B11,DATOS_[Check Periodo Ref.],"Dentro",DATOS_[Check Nº SC Norm y Anualiz],"Sí")</f>
        <v>0</v>
      </c>
      <c r="H11" s="204">
        <f>COUNTIFS(DATOS_[AGRUP. VALOR. PTO.],"&lt;&gt;",DATOS_[Sexo],$B11,DATOS_[Check Periodo Ref.],"Dentro",DATOS_[Check Equiparación],"Sí")</f>
        <v>0</v>
      </c>
      <c r="I11" s="169">
        <f t="array" ref="I11">IFERROR(
AVERAGE(IF(DATOS_[Sexo]=$B11,IF(DATOS_[Check Equiparado]="Sí",IF(DATOS_[Check Periodo Ref.]="Dentro",DATOS_[SALARIO BASE Eq],FALSE)))),
0)</f>
        <v>0</v>
      </c>
      <c r="J11" s="170">
        <f t="array" ref="J11">IFERROR(
(AVERAGE((IF(DATOS_[[Sexo]:[Sexo]]=$B11,IF(DATOS_[[Check Periodo Ref.]:[Check Periodo Ref.]]="Dentro",IF(DATOS_[[Check Equiparado]:[Check Equiparado]]="Sí",IF(DATOS!AE$5="Sí",(1/DATOS_[[% anualiz]:[% anualiz]]),1)*IF(DATOS!AE$4="Sí",1/DATOS_[[% normaliz]:[% normaliz]],1)*(DATOS_[Conc.Sal.01]))))))),
0)</f>
        <v>0</v>
      </c>
      <c r="K11" s="170">
        <f t="array" ref="K11">IFERROR(
(AVERAGE((IF(DATOS_[[Sexo]:[Sexo]]=$B11,IF(DATOS_[[Check Periodo Ref.]:[Check Periodo Ref.]]="Dentro",IF(DATOS_[[Check Equiparado]:[Check Equiparado]]="Sí",IF(DATOS!AF$5="Sí",(1/DATOS_[[% anualiz]:[% anualiz]]),1)*IF(DATOS!AF$4="Sí",1/DATOS_[[% normaliz]:[% normaliz]],1)*(DATOS_[Conc.Sal.02]))))))),
0)</f>
        <v>0</v>
      </c>
      <c r="L11" s="170">
        <f t="array" ref="L11">IFERROR(
(AVERAGE((IF(DATOS_[[Sexo]:[Sexo]]=$B11,IF(DATOS_[[Check Periodo Ref.]:[Check Periodo Ref.]]="Dentro",IF(DATOS_[[Check Equiparado]:[Check Equiparado]]="Sí",IF(DATOS!AG$5="Sí",(1/DATOS_[[% anualiz]:[% anualiz]]),1)*IF(DATOS!AG$4="Sí",1/DATOS_[[% normaliz]:[% normaliz]],1)*(DATOS_[Conc.Sal.03]))))))),
0)</f>
        <v>0</v>
      </c>
      <c r="M11" s="170">
        <f t="array" ref="M11">IFERROR(
(AVERAGE((IF(DATOS_[[Sexo]:[Sexo]]=$B11,IF(DATOS_[[Check Periodo Ref.]:[Check Periodo Ref.]]="Dentro",IF(DATOS_[[Check Equiparado]:[Check Equiparado]]="Sí",IF(DATOS!AH$5="Sí",(1/DATOS_[[% anualiz]:[% anualiz]]),1)*IF(DATOS!AH$4="Sí",1/DATOS_[[% normaliz]:[% normaliz]],1)*(DATOS_[Conc.Sal.04]))))))),
0)</f>
        <v>0</v>
      </c>
      <c r="N11" s="170">
        <f t="array" ref="N11">IFERROR(
(AVERAGE((IF(DATOS_[[Sexo]:[Sexo]]=$B11,IF(DATOS_[[Check Periodo Ref.]:[Check Periodo Ref.]]="Dentro",IF(DATOS_[[Check Equiparado]:[Check Equiparado]]="Sí",IF(DATOS!AI$5="Sí",(1/DATOS_[[% anualiz]:[% anualiz]]),1)*IF(DATOS!AI$4="Sí",1/DATOS_[[% normaliz]:[% normaliz]],1)*(DATOS_[Conc.Sal.05]))))))),
0)</f>
        <v>0</v>
      </c>
      <c r="O11" s="170">
        <f t="array" ref="O11">IFERROR(
(AVERAGE((IF(DATOS_[[Sexo]:[Sexo]]=$B11,IF(DATOS_[[Check Periodo Ref.]:[Check Periodo Ref.]]="Dentro",IF(DATOS_[[Check Equiparado]:[Check Equiparado]]="Sí",IF(DATOS!AJ$5="Sí",(1/DATOS_[[% anualiz]:[% anualiz]]),1)*IF(DATOS!AJ$4="Sí",1/DATOS_[[% normaliz]:[% normaliz]],1)*(DATOS_[Conc.Sal.06]))))))),
0)</f>
        <v>0</v>
      </c>
      <c r="P11" s="170">
        <f t="array" ref="P11">IFERROR(
(AVERAGE((IF(DATOS_[[Sexo]:[Sexo]]=$B11,IF(DATOS_[[Check Periodo Ref.]:[Check Periodo Ref.]]="Dentro",IF(DATOS_[[Check Equiparado]:[Check Equiparado]]="Sí",IF(DATOS!AK$5="Sí",(1/DATOS_[[% anualiz]:[% anualiz]]),1)*IF(DATOS!AK$4="Sí",1/DATOS_[[% normaliz]:[% normaliz]],1)*(DATOS_[Conc.Sal.07]))))))),
0)</f>
        <v>0</v>
      </c>
      <c r="Q11" s="170">
        <f t="array" ref="Q11">IFERROR(
(AVERAGE((IF(DATOS_[[Sexo]:[Sexo]]=$B11,IF(DATOS_[[Check Periodo Ref.]:[Check Periodo Ref.]]="Dentro",IF(DATOS_[[Check Equiparado]:[Check Equiparado]]="Sí",IF(DATOS!AL$5="Sí",(1/DATOS_[[% anualiz]:[% anualiz]]),1)*IF(DATOS!AL$4="Sí",1/DATOS_[[% normaliz]:[% normaliz]],1)*(DATOS_[Conc.Sal.08]))))))),
0)</f>
        <v>0</v>
      </c>
      <c r="R11" s="170">
        <f t="array" ref="R11">IFERROR(
(AVERAGE((IF(DATOS_[[Sexo]:[Sexo]]=$B11,IF(DATOS_[[Check Periodo Ref.]:[Check Periodo Ref.]]="Dentro",IF(DATOS_[[Check Equiparado]:[Check Equiparado]]="Sí",IF(DATOS!AM$5="Sí",(1/DATOS_[[% anualiz]:[% anualiz]]),1)*IF(DATOS!AM$4="Sí",1/DATOS_[[% normaliz]:[% normaliz]],1)*(DATOS_[Conc.Sal.09]))))))),
0)</f>
        <v>0</v>
      </c>
      <c r="S11" s="170">
        <f t="array" ref="S11">IFERROR(
(AVERAGE((IF(DATOS_[[Sexo]:[Sexo]]=$B11,IF(DATOS_[[Check Periodo Ref.]:[Check Periodo Ref.]]="Dentro",IF(DATOS_[[Check Equiparado]:[Check Equiparado]]="Sí",IF(DATOS!AN$5="Sí",(1/DATOS_[[% anualiz]:[% anualiz]]),1)*IF(DATOS!AN$4="Sí",1/DATOS_[[% normaliz]:[% normaliz]],1)*(DATOS_[Conc.Sal.10]))))))),
0)</f>
        <v>0</v>
      </c>
      <c r="T11" s="170">
        <f t="array" ref="T11">IFERROR(
(AVERAGE((IF(DATOS_[[Sexo]:[Sexo]]=$B11,IF(DATOS_[[Check Periodo Ref.]:[Check Periodo Ref.]]="Dentro",IF(DATOS_[[Check Equiparado]:[Check Equiparado]]="Sí",IF(DATOS!AO$5="Sí",(1/DATOS_[[% anualiz]:[% anualiz]]),1)*IF(DATOS!AO$4="Sí",1/DATOS_[[% normaliz]:[% normaliz]],1)*(DATOS_[Conc.Sal.11]))))))),
0)</f>
        <v>0</v>
      </c>
      <c r="U11" s="170">
        <f t="array" ref="U11">IFERROR(
(AVERAGE((IF(DATOS_[[Sexo]:[Sexo]]=$B11,IF(DATOS_[[Check Periodo Ref.]:[Check Periodo Ref.]]="Dentro",IF(DATOS_[[Check Equiparado]:[Check Equiparado]]="Sí",IF(DATOS!AP$5="Sí",(1/DATOS_[[% anualiz]:[% anualiz]]),1)*IF(DATOS!AP$4="Sí",1/DATOS_[[% normaliz]:[% normaliz]],1)*(DATOS_[Conc.Sal.12]))))))),
0)</f>
        <v>0</v>
      </c>
      <c r="V11" s="170">
        <f t="array" ref="V11">IFERROR(
(AVERAGE((IF(DATOS_[[Sexo]:[Sexo]]=$B11,IF(DATOS_[[Check Periodo Ref.]:[Check Periodo Ref.]]="Dentro",IF(DATOS_[[Check Equiparado]:[Check Equiparado]]="Sí",IF(DATOS!AQ$5="Sí",(1/DATOS_[[% anualiz]:[% anualiz]]),1)*IF(DATOS!AQ$4="Sí",1/DATOS_[[% normaliz]:[% normaliz]],1)*(DATOS_[Conc.Sal.13]))))))),
0)</f>
        <v>0</v>
      </c>
      <c r="W11" s="170">
        <f t="array" ref="W11">IFERROR(
(AVERAGE((IF(DATOS_[[Sexo]:[Sexo]]=$B11,IF(DATOS_[[Check Periodo Ref.]:[Check Periodo Ref.]]="Dentro",IF(DATOS_[[Check Equiparado]:[Check Equiparado]]="Sí",IF(DATOS!AR$5="Sí",(1/DATOS_[[% anualiz]:[% anualiz]]),1)*IF(DATOS!AR$4="Sí",1/DATOS_[[% normaliz]:[% normaliz]],1)*(DATOS_[Conc.Sal.14]))))))),
0)</f>
        <v>0</v>
      </c>
      <c r="X11" s="170">
        <f t="array" ref="X11">IFERROR(
(AVERAGE((IF(DATOS_[[Sexo]:[Sexo]]=$B11,IF(DATOS_[[Check Periodo Ref.]:[Check Periodo Ref.]]="Dentro",IF(DATOS_[[Check Equiparado]:[Check Equiparado]]="Sí",IF(DATOS!AS$5="Sí",(1/DATOS_[[% anualiz]:[% anualiz]]),1)*IF(DATOS!AS$4="Sí",1/DATOS_[[% normaliz]:[% normaliz]],1)*(DATOS_[Conc.Sal.15]))))))),
0)</f>
        <v>0</v>
      </c>
      <c r="Y11" s="170">
        <f t="array" ref="Y11">IFERROR(
(AVERAGE((IF(DATOS_[[Sexo]:[Sexo]]=$B11,IF(DATOS_[[Check Periodo Ref.]:[Check Periodo Ref.]]="Dentro",IF(DATOS_[[Check Equiparado]:[Check Equiparado]]="Sí",IF(DATOS!AT$5="Sí",(1/DATOS_[[% anualiz]:[% anualiz]]),1)*IF(DATOS!AT$4="Sí",1/DATOS_[[% normaliz]:[% normaliz]],1)*(DATOS_[Conc.Sal.16]))))))),
0)</f>
        <v>0</v>
      </c>
      <c r="Z11" s="170">
        <f t="array" ref="Z11">IFERROR(
(AVERAGE((IF(DATOS_[[Sexo]:[Sexo]]=$B11,IF(DATOS_[[Check Periodo Ref.]:[Check Periodo Ref.]]="Dentro",IF(DATOS_[[Check Equiparado]:[Check Equiparado]]="Sí",IF(DATOS!AU$5="Sí",(1/DATOS_[[% anualiz]:[% anualiz]]),1)*IF(DATOS!AU$4="Sí",1/DATOS_[[% normaliz]:[% normaliz]],1)*(DATOS_[Conc.Sal.17]))))))),
0)</f>
        <v>0</v>
      </c>
      <c r="AA11" s="170">
        <f t="array" ref="AA11">IFERROR(
(AVERAGE((IF(DATOS_[[Sexo]:[Sexo]]=$B11,IF(DATOS_[[Check Periodo Ref.]:[Check Periodo Ref.]]="Dentro",IF(DATOS_[[Check Equiparado]:[Check Equiparado]]="Sí",IF(DATOS!AV$5="Sí",(1/DATOS_[[% anualiz]:[% anualiz]]),1)*IF(DATOS!AV$4="Sí",1/DATOS_[[% normaliz]:[% normaliz]],1)*(DATOS_[Conc.Sal.18]))))))),
0)</f>
        <v>0</v>
      </c>
      <c r="AB11" s="170">
        <f t="array" ref="AB11">IFERROR(
(AVERAGE((IF(DATOS_[[Sexo]:[Sexo]]=$B11,IF(DATOS_[[Check Periodo Ref.]:[Check Periodo Ref.]]="Dentro",IF(DATOS_[[Check Equiparado]:[Check Equiparado]]="Sí",IF(DATOS!AW$5="Sí",(1/DATOS_[[% anualiz]:[% anualiz]]),1)*IF(DATOS!AW$4="Sí",1/DATOS_[[% normaliz]:[% normaliz]],1)*(DATOS_[Conc.Sal.19]))))))),
0)</f>
        <v>0</v>
      </c>
      <c r="AC11" s="170">
        <f t="array" ref="AC11">IFERROR(
(AVERAGE((IF(DATOS_[[Sexo]:[Sexo]]=$B11,IF(DATOS_[[Check Periodo Ref.]:[Check Periodo Ref.]]="Dentro",IF(DATOS_[[Check Equiparado]:[Check Equiparado]]="Sí",IF(DATOS!AX$5="Sí",(1/DATOS_[[% anualiz]:[% anualiz]]),1)*IF(DATOS!AX$4="Sí",1/DATOS_[[% normaliz]:[% normaliz]],1)*(DATOS_[Conc.Sal.20]))))))),
0)</f>
        <v>0</v>
      </c>
      <c r="AD11" s="170">
        <f t="array" ref="AD11">IFERROR(
(AVERAGE((IF(DATOS_[[Sexo]:[Sexo]]=$B11,IF(DATOS_[[Check Periodo Ref.]:[Check Periodo Ref.]]="Dentro",IF(DATOS_[[Check Equiparado]:[Check Equiparado]]="Sí",IF(DATOS!AY$5="Sí",(1/DATOS_[[% anualiz]:[% anualiz]]),1)*IF(DATOS!AY$4="Sí",1/DATOS_[[% normaliz]:[% normaliz]],1)*(DATOS_[Conc.Sal.21]))))))),
0)</f>
        <v>0</v>
      </c>
      <c r="AE11" s="170">
        <f t="array" ref="AE11">IFERROR(
(AVERAGE((IF(DATOS_[[Sexo]:[Sexo]]=$B11,IF(DATOS_[[Check Periodo Ref.]:[Check Periodo Ref.]]="Dentro",IF(DATOS_[[Check Equiparado]:[Check Equiparado]]="Sí",IF(DATOS!AZ$5="Sí",(1/DATOS_[[% anualiz]:[% anualiz]]),1)*IF(DATOS!AZ$4="Sí",1/DATOS_[[% normaliz]:[% normaliz]],1)*(DATOS_[Conc.Sal.22]))))))),
0)</f>
        <v>2.1005660377358488</v>
      </c>
      <c r="AF11" s="170">
        <f t="array" ref="AF11">IFERROR(
(AVERAGE((IF(DATOS_[[Sexo]:[Sexo]]=$B11,IF(DATOS_[[Check Periodo Ref.]:[Check Periodo Ref.]]="Dentro",IF(DATOS_[[Check Equiparado]:[Check Equiparado]]="Sí",IF(DATOS!BA$5="Sí",(1/DATOS_[[% anualiz]:[% anualiz]]),1)*IF(DATOS!BA$4="Sí",1/DATOS_[[% normaliz]:[% normaliz]],1)*(DATOS_[Conc.Sal.23]))))))),
0)</f>
        <v>7.3584905660377355</v>
      </c>
      <c r="AG11" s="170">
        <f t="array" ref="AG11">IFERROR(
(AVERAGE((IF(DATOS_[[Sexo]:[Sexo]]=$B11,IF(DATOS_[[Check Periodo Ref.]:[Check Periodo Ref.]]="Dentro",IF(DATOS_[[Check Equiparado]:[Check Equiparado]]="Sí",IF(DATOS!BB$5="Sí",(1/DATOS_[[% anualiz]:[% anualiz]]),1)*IF(DATOS!BB$4="Sí",1/DATOS_[[% normaliz]:[% normaliz]],1)*(DATOS_[Conc.Sal.24]))))))),
0)</f>
        <v>0</v>
      </c>
      <c r="AH11" s="170">
        <f t="array" ref="AH11">IFERROR(
(AVERAGE((IF(DATOS_[[Sexo]:[Sexo]]=$B11,IF(DATOS_[[Check Periodo Ref.]:[Check Periodo Ref.]]="Dentro",IF(DATOS_[[Check Equiparado]:[Check Equiparado]]="Sí",IF(DATOS!BC$5="Sí",(1/DATOS_[[% anualiz]:[% anualiz]]),1)*IF(DATOS!BC$4="Sí",1/DATOS_[[% normaliz]:[% normaliz]],1)*(DATOS_[Conc.Sal.25]))))))),
0)</f>
        <v>0</v>
      </c>
      <c r="AI11" s="170">
        <f t="array" ref="AI11">IFERROR(
(AVERAGE((IF(DATOS_[[Sexo]:[Sexo]]=$B11,IF(DATOS_[[Check Periodo Ref.]:[Check Periodo Ref.]]="Dentro",IF(DATOS_[[Check Equiparado]:[Check Equiparado]]="Sí",IF(DATOS!BD$5="Sí",(1/DATOS_[[% anualiz]:[% anualiz]]),1)*IF(DATOS!BD$4="Sí",1/DATOS_[[% normaliz]:[% normaliz]],1)*(DATOS_[Conc.Sal.26]))))))),
0)</f>
        <v>0</v>
      </c>
      <c r="AJ11" s="170">
        <f t="array" ref="AJ11">IFERROR(
(AVERAGE((IF(DATOS_[[Sexo]:[Sexo]]=$B11,IF(DATOS_[[Check Periodo Ref.]:[Check Periodo Ref.]]="Dentro",IF(DATOS_[[Check Equiparado]:[Check Equiparado]]="Sí",IF(DATOS!BE$5="Sí",(1/DATOS_[[% anualiz]:[% anualiz]]),1)*IF(DATOS!BE$4="Sí",1/DATOS_[[% normaliz]:[% normaliz]],1)*(DATOS_[Conc.Sal.27]))))))),
0)</f>
        <v>0</v>
      </c>
      <c r="AK11" s="170">
        <f t="array" ref="AK11">IFERROR(
(AVERAGE((IF(DATOS_[[Sexo]:[Sexo]]=$B11,IF(DATOS_[[Check Periodo Ref.]:[Check Periodo Ref.]]="Dentro",IF(DATOS_[[Check Equiparado]:[Check Equiparado]]="Sí",IF(DATOS!BF$5="Sí",(1/DATOS_[[% anualiz]:[% anualiz]]),1)*IF(DATOS!BF$4="Sí",1/DATOS_[[% normaliz]:[% normaliz]],1)*(DATOS_[Conc.Sal.28]))))))),
0)</f>
        <v>0</v>
      </c>
      <c r="AL11" s="170">
        <f t="array" ref="AL11">IFERROR(
(AVERAGE((IF(DATOS_[[Sexo]:[Sexo]]=$B11,IF(DATOS_[[Check Periodo Ref.]:[Check Periodo Ref.]]="Dentro",IF(DATOS_[[Check Equiparado]:[Check Equiparado]]="Sí",IF(DATOS!BG$5="Sí",(1/DATOS_[[% anualiz]:[% anualiz]]),1)*IF(DATOS!BG$4="Sí",1/DATOS_[[% normaliz]:[% normaliz]],1)*(DATOS_[Conc.Sal.29]))))))),
0)</f>
        <v>0</v>
      </c>
      <c r="AM11" s="170">
        <f t="array" ref="AM11">IFERROR(
(AVERAGE((IF(DATOS_[[Sexo]:[Sexo]]=$B11,IF(DATOS_[[Check Periodo Ref.]:[Check Periodo Ref.]]="Dentro",IF(DATOS_[[Check Equiparado]:[Check Equiparado]]="Sí",IF(DATOS!BH$5="Sí",(1/DATOS_[[% anualiz]:[% anualiz]]),1)*IF(DATOS!BH$4="Sí",1/DATOS_[[% normaliz]:[% normaliz]],1)*(DATOS_[Conc.Sal.30]))))))),
0)</f>
        <v>0</v>
      </c>
      <c r="AN11" s="171">
        <f t="array" ref="AN11">IFERROR(
AVERAGE(IF(DATOS_[Sexo]=$B11,IF(DATOS_[Check Equiparado]="Sí",IF(DATOS_[Check Periodo Ref.]="Dentro",DATOS_[Tot COMPL.SAL Eq],FALSE)))),
0)</f>
        <v>0</v>
      </c>
      <c r="AO11" s="172">
        <f t="array" ref="AO11">IFERROR(
AVERAGE(IF(DATOS_[Sexo]=$B11,IF(DATOS_[Check Equiparado]="Sí",IF(DATOS_[Check Periodo Ref.]="Dentro",DATOS_[TOTAL SALARIO Eq],FALSE)))),
0)</f>
        <v>0</v>
      </c>
      <c r="AP11" s="173">
        <f t="array" ref="AP11">IFERROR(
(AVERAGE((IF(DATOS_[[Sexo]:[Sexo]]=$B11,IF(DATOS_[[Check Periodo Ref.]:[Check Periodo Ref.]]="Dentro",IF(DATOS_[[Check Equiparado]:[Check Equiparado]]="Sí",IF(DATOS!BW$5="Sí",(1/DATOS_[[% anualiz]:[% anualiz]]),1)*IF(DATOS!BW$4="Sí",1/DATOS_[[% normaliz]:[% normaliz]],1)*(DATOS_[C.Extra.01]))))))),
0)</f>
        <v>0</v>
      </c>
      <c r="AQ11" s="173">
        <f t="array" ref="AQ11">IFERROR(
(AVERAGE((IF(DATOS_[[Sexo]:[Sexo]]=$B11,IF(DATOS_[[Check Periodo Ref.]:[Check Periodo Ref.]]="Dentro",IF(DATOS_[[Check Equiparado]:[Check Equiparado]]="Sí",IF(DATOS!CB$5="Sí",(1/DATOS_[[% anualiz]:[% anualiz]]),1)*IF(DATOS!CB$4="Sí",1/DATOS_[[% normaliz]:[% normaliz]],1)*(DATOS_[C.Extra.06]))))))),
0)</f>
        <v>0</v>
      </c>
      <c r="AR11" s="173">
        <f t="array" ref="AR11">IFERROR(
(AVERAGE((IF(DATOS_[[Sexo]:[Sexo]]=$B11,IF(DATOS_[[Check Periodo Ref.]:[Check Periodo Ref.]]="Dentro",IF(DATOS_[[Check Equiparado]:[Check Equiparado]]="Sí",IF(DATOS!CC$5="Sí",(1/DATOS_[[% anualiz]:[% anualiz]]),1)*IF(DATOS!CC$4="Sí",1/DATOS_[[% normaliz]:[% normaliz]],1)*(DATOS_[C.Extra.07]))))))),
0)</f>
        <v>0</v>
      </c>
      <c r="AS11" s="173">
        <f t="array" ref="AS11">IFERROR(
(AVERAGE((IF(DATOS_[[Sexo]:[Sexo]]=$B11,IF(DATOS_[[Check Periodo Ref.]:[Check Periodo Ref.]]="Dentro",IF(DATOS_[[Check Equiparado]:[Check Equiparado]]="Sí",IF(DATOS!CD$5="Sí",(1/DATOS_[[% anualiz]:[% anualiz]]),1)*IF(DATOS!CD$4="Sí",1/DATOS_[[% normaliz]:[% normaliz]],1)*(DATOS_[C.Extra.08]))))))),
0)</f>
        <v>0</v>
      </c>
      <c r="AT11" s="173">
        <f t="array" ref="AT11">IFERROR(
(AVERAGE((IF(DATOS_[[Sexo]:[Sexo]]=$B11,IF(DATOS_[[Check Periodo Ref.]:[Check Periodo Ref.]]="Dentro",IF(DATOS_[[Check Equiparado]:[Check Equiparado]]="Sí",IF(DATOS!CG$5="Sí",(1/DATOS_[[% anualiz]:[% anualiz]]),1)*IF(DATOS!CG$4="Sí",1/DATOS_[[% normaliz]:[% normaliz]],1)*(DATOS_[C.Extra.11]))))))),
0)</f>
        <v>0</v>
      </c>
      <c r="AU11" s="174">
        <f t="array" ref="AU11">IFERROR(
AVERAGE(IF(DATOS_[Sexo]=$B11,IF(DATOS_[Check Equiparado]="Sí",IF(DATOS_[Check Periodo Ref.]="Dentro",DATOS_[Tot Extrasalarial Eq],FALSE)))),
0)</f>
        <v>0</v>
      </c>
      <c r="AV11" s="175">
        <f t="array" ref="AV11">IFERROR(
AVERAGE(IF(DATOS_[Sexo]=$B11,IF(DATOS_[Check Equiparado]="Sí",IF(DATOS_[Check Periodo Ref.]="Dentro",DATOS_[TOTAL Retrib Eq],FALSE)))),
0)</f>
        <v>0</v>
      </c>
    </row>
    <row r="12" spans="1:48" x14ac:dyDescent="0.25">
      <c r="D12" s="205"/>
      <c r="E12" s="205"/>
      <c r="F12" s="205"/>
      <c r="G12" s="205"/>
      <c r="H12" s="205"/>
      <c r="N12" s="206"/>
      <c r="O12" s="207"/>
      <c r="P12" s="207"/>
      <c r="Q12" s="207"/>
      <c r="R12" s="207"/>
      <c r="S12" s="207"/>
      <c r="T12" s="207"/>
      <c r="U12" s="207"/>
      <c r="V12" s="207"/>
      <c r="W12" s="207"/>
      <c r="X12" s="207"/>
      <c r="Y12" s="207"/>
      <c r="Z12" s="206"/>
      <c r="AA12" s="206"/>
      <c r="AB12" s="206"/>
      <c r="AC12" s="206"/>
      <c r="AD12" s="206"/>
      <c r="AE12" s="206"/>
      <c r="AF12" s="206"/>
      <c r="AG12" s="206"/>
      <c r="AH12" s="206"/>
      <c r="AI12" s="206"/>
      <c r="AJ12" s="206"/>
      <c r="AK12" s="206"/>
      <c r="AL12" s="206"/>
      <c r="AM12" s="206"/>
      <c r="AP12" s="207"/>
      <c r="AQ12" s="207"/>
      <c r="AR12" s="207"/>
      <c r="AS12" s="207"/>
      <c r="AT12" s="207"/>
    </row>
    <row r="13" spans="1:48" x14ac:dyDescent="0.25">
      <c r="D13" s="205"/>
      <c r="E13" s="205"/>
      <c r="F13" s="205"/>
      <c r="G13" s="205"/>
      <c r="H13" s="205"/>
      <c r="N13" s="206"/>
      <c r="O13" s="207"/>
      <c r="P13" s="207"/>
      <c r="Q13" s="207"/>
      <c r="R13" s="207"/>
      <c r="S13" s="207"/>
      <c r="T13" s="207"/>
      <c r="U13" s="207"/>
      <c r="V13" s="207"/>
      <c r="W13" s="207"/>
      <c r="X13" s="207"/>
      <c r="Y13" s="207"/>
      <c r="Z13" s="206"/>
      <c r="AA13" s="206"/>
      <c r="AB13" s="206"/>
      <c r="AC13" s="206"/>
      <c r="AD13" s="206"/>
      <c r="AE13" s="206"/>
      <c r="AF13" s="206"/>
      <c r="AG13" s="206"/>
      <c r="AH13" s="206"/>
      <c r="AI13" s="206"/>
      <c r="AJ13" s="206"/>
      <c r="AK13" s="206"/>
      <c r="AL13" s="206"/>
      <c r="AM13" s="206"/>
      <c r="AP13" s="207"/>
      <c r="AQ13" s="207"/>
      <c r="AR13" s="207"/>
      <c r="AS13" s="207"/>
      <c r="AT13" s="207"/>
    </row>
    <row r="14" spans="1:48" s="203" customFormat="1" ht="46.35" customHeight="1" x14ac:dyDescent="0.3">
      <c r="B14" s="198"/>
      <c r="C14" s="198" t="s">
        <v>621</v>
      </c>
      <c r="D14" s="198" t="s">
        <v>622</v>
      </c>
      <c r="E14" s="198" t="s">
        <v>314</v>
      </c>
      <c r="F14" s="198" t="s">
        <v>316</v>
      </c>
      <c r="G14" s="198" t="s">
        <v>318</v>
      </c>
      <c r="H14" s="198" t="s">
        <v>624</v>
      </c>
      <c r="I14" s="146" t="s">
        <v>323</v>
      </c>
      <c r="J14" s="187" t="str">
        <f>+J8</f>
        <v>HORAS EXTRAS</v>
      </c>
      <c r="K14" s="187" t="str">
        <f t="shared" ref="K14:AM14" si="3">+K8</f>
        <v>SEGURO CONVENIO</v>
      </c>
      <c r="L14" s="187" t="str">
        <f t="shared" si="3"/>
        <v>PLUS UNIFICADO</v>
      </c>
      <c r="M14" s="187" t="str">
        <f t="shared" si="3"/>
        <v>GARANTIA AD PERS</v>
      </c>
      <c r="N14" s="187" t="str">
        <f t="shared" si="3"/>
        <v>COMISIONES</v>
      </c>
      <c r="O14" s="187" t="str">
        <f t="shared" si="3"/>
        <v>DOMINGOS Y FESTIVOS</v>
      </c>
      <c r="P14" s="187" t="str">
        <f t="shared" si="3"/>
        <v>LOCOMOCION NO</v>
      </c>
      <c r="Q14" s="187" t="str">
        <f t="shared" si="3"/>
        <v>PLUS EXTRA VAC</v>
      </c>
      <c r="R14" s="187" t="str">
        <f t="shared" si="3"/>
        <v>PLUS DE TRANS</v>
      </c>
      <c r="S14" s="187" t="str">
        <f t="shared" si="3"/>
        <v>PLUS ACTIVIDAD</v>
      </c>
      <c r="T14" s="187" t="str">
        <f t="shared" si="3"/>
        <v>CUOTA SINDICAL</v>
      </c>
      <c r="U14" s="187" t="str">
        <f t="shared" si="3"/>
        <v>AYUDA FAMILIAR</v>
      </c>
      <c r="V14" s="187" t="str">
        <f t="shared" si="3"/>
        <v>INCENTIVO</v>
      </c>
      <c r="W14" s="187" t="str">
        <f t="shared" si="3"/>
        <v>SEGURO MEDICO</v>
      </c>
      <c r="X14" s="187" t="str">
        <f t="shared" si="3"/>
        <v>DES. SEGURO MEDICO</v>
      </c>
      <c r="Y14" s="187" t="str">
        <f t="shared" si="3"/>
        <v>SEGURO SALUD 2</v>
      </c>
      <c r="Z14" s="187" t="str">
        <f t="shared" si="3"/>
        <v>COMP. EMPRESA I.T.</v>
      </c>
      <c r="AA14" s="187" t="str">
        <f t="shared" si="3"/>
        <v>I.T. CUENTA EMPRESA</v>
      </c>
      <c r="AB14" s="187" t="str">
        <f t="shared" si="3"/>
        <v>SALARIO EN ESPECIE</v>
      </c>
      <c r="AC14" s="187" t="str">
        <f t="shared" si="3"/>
        <v>PLUS DE POLIVALENCIA</v>
      </c>
      <c r="AD14" s="187" t="str">
        <f t="shared" si="3"/>
        <v>LIQUID  PAGAS EXTRA</v>
      </c>
      <c r="AE14" s="187" t="str">
        <f t="shared" si="3"/>
        <v>[ocultar]</v>
      </c>
      <c r="AF14" s="187" t="str">
        <f t="shared" si="3"/>
        <v>[ocultar]</v>
      </c>
      <c r="AG14" s="187" t="str">
        <f t="shared" si="3"/>
        <v>[ocultar]</v>
      </c>
      <c r="AH14" s="187" t="str">
        <f t="shared" si="3"/>
        <v>[ocultar]</v>
      </c>
      <c r="AI14" s="187" t="str">
        <f t="shared" si="3"/>
        <v>[ocultar]</v>
      </c>
      <c r="AJ14" s="187" t="str">
        <f t="shared" si="3"/>
        <v>[ocultar]</v>
      </c>
      <c r="AK14" s="187" t="str">
        <f t="shared" si="3"/>
        <v>[ocultar]</v>
      </c>
      <c r="AL14" s="187" t="str">
        <f t="shared" si="3"/>
        <v>[ocultar]</v>
      </c>
      <c r="AM14" s="187" t="str">
        <f t="shared" si="3"/>
        <v>[ocultar]</v>
      </c>
      <c r="AN14" s="148" t="s">
        <v>324</v>
      </c>
      <c r="AO14" s="188" t="s">
        <v>325</v>
      </c>
      <c r="AP14" s="150" t="str">
        <f>+AP8</f>
        <v>[ocultar]</v>
      </c>
      <c r="AQ14" s="150" t="str">
        <f t="shared" ref="AQ14:AT14" si="4">+AQ8</f>
        <v>[ocultar]</v>
      </c>
      <c r="AR14" s="150" t="str">
        <f t="shared" si="4"/>
        <v>[ocultar]</v>
      </c>
      <c r="AS14" s="150" t="str">
        <f t="shared" si="4"/>
        <v>[ocultar]</v>
      </c>
      <c r="AT14" s="150" t="str">
        <f t="shared" si="4"/>
        <v>[ocultar]</v>
      </c>
      <c r="AU14" s="151" t="s">
        <v>326</v>
      </c>
      <c r="AV14" s="148" t="s">
        <v>327</v>
      </c>
    </row>
    <row r="15" spans="1:48" ht="15.6" thickBot="1" x14ac:dyDescent="0.3">
      <c r="A15" s="133" t="str">
        <f>+A16</f>
        <v>[ocultar]</v>
      </c>
      <c r="B15" s="199" t="s">
        <v>179</v>
      </c>
      <c r="C15" s="200"/>
      <c r="D15" s="201"/>
      <c r="E15" s="201"/>
      <c r="F15" s="201"/>
      <c r="G15" s="201"/>
      <c r="H15" s="201"/>
      <c r="I15" s="189" t="str">
        <f t="shared" ref="I15" si="5">IFERROR((I16-I17)/I16,"")</f>
        <v/>
      </c>
      <c r="J15" s="190" t="str">
        <f>IFERROR((J16-J17)/J16,"")</f>
        <v/>
      </c>
      <c r="K15" s="191" t="str">
        <f t="shared" ref="K15:AV15" si="6">IFERROR((K16-K17)/K16,"")</f>
        <v/>
      </c>
      <c r="L15" s="191" t="str">
        <f t="shared" si="6"/>
        <v/>
      </c>
      <c r="M15" s="191" t="str">
        <f t="shared" si="6"/>
        <v/>
      </c>
      <c r="N15" s="192" t="str">
        <f t="shared" si="6"/>
        <v/>
      </c>
      <c r="O15" s="193" t="str">
        <f t="shared" si="6"/>
        <v/>
      </c>
      <c r="P15" s="193" t="str">
        <f t="shared" si="6"/>
        <v/>
      </c>
      <c r="Q15" s="193" t="str">
        <f t="shared" si="6"/>
        <v/>
      </c>
      <c r="R15" s="193" t="str">
        <f t="shared" si="6"/>
        <v/>
      </c>
      <c r="S15" s="193" t="str">
        <f t="shared" si="6"/>
        <v/>
      </c>
      <c r="T15" s="193" t="str">
        <f t="shared" si="6"/>
        <v/>
      </c>
      <c r="U15" s="193" t="str">
        <f t="shared" si="6"/>
        <v/>
      </c>
      <c r="V15" s="193" t="str">
        <f t="shared" si="6"/>
        <v/>
      </c>
      <c r="W15" s="193" t="str">
        <f t="shared" si="6"/>
        <v/>
      </c>
      <c r="X15" s="193" t="str">
        <f t="shared" si="6"/>
        <v/>
      </c>
      <c r="Y15" s="193" t="str">
        <f t="shared" si="6"/>
        <v/>
      </c>
      <c r="Z15" s="193" t="str">
        <f t="shared" si="6"/>
        <v/>
      </c>
      <c r="AA15" s="193" t="str">
        <f t="shared" si="6"/>
        <v/>
      </c>
      <c r="AB15" s="193" t="str">
        <f t="shared" si="6"/>
        <v/>
      </c>
      <c r="AC15" s="193" t="str">
        <f t="shared" si="6"/>
        <v/>
      </c>
      <c r="AD15" s="193" t="str">
        <f t="shared" si="6"/>
        <v/>
      </c>
      <c r="AE15" s="193" t="str">
        <f t="shared" si="6"/>
        <v/>
      </c>
      <c r="AF15" s="193" t="str">
        <f t="shared" si="6"/>
        <v/>
      </c>
      <c r="AG15" s="193" t="str">
        <f t="shared" si="6"/>
        <v/>
      </c>
      <c r="AH15" s="193" t="str">
        <f t="shared" si="6"/>
        <v/>
      </c>
      <c r="AI15" s="193" t="str">
        <f t="shared" si="6"/>
        <v/>
      </c>
      <c r="AJ15" s="193" t="str">
        <f t="shared" si="6"/>
        <v/>
      </c>
      <c r="AK15" s="193" t="str">
        <f t="shared" si="6"/>
        <v/>
      </c>
      <c r="AL15" s="193" t="str">
        <f t="shared" si="6"/>
        <v/>
      </c>
      <c r="AM15" s="193" t="str">
        <f t="shared" si="6"/>
        <v/>
      </c>
      <c r="AN15" s="189" t="str">
        <f t="shared" si="6"/>
        <v/>
      </c>
      <c r="AO15" s="162" t="str">
        <f t="shared" si="6"/>
        <v/>
      </c>
      <c r="AP15" s="163" t="str">
        <f t="shared" si="6"/>
        <v/>
      </c>
      <c r="AQ15" s="163" t="str">
        <f t="shared" si="6"/>
        <v/>
      </c>
      <c r="AR15" s="163" t="str">
        <f t="shared" si="6"/>
        <v/>
      </c>
      <c r="AS15" s="163" t="str">
        <f t="shared" si="6"/>
        <v/>
      </c>
      <c r="AT15" s="163" t="str">
        <f t="shared" si="6"/>
        <v/>
      </c>
      <c r="AU15" s="194" t="str">
        <f t="shared" si="6"/>
        <v/>
      </c>
      <c r="AV15" s="165" t="str">
        <f t="shared" si="6"/>
        <v/>
      </c>
    </row>
    <row r="16" spans="1:48" x14ac:dyDescent="0.25">
      <c r="A16" s="133" t="str">
        <f>+IF(C16+C17=0,"[ocultar]","")</f>
        <v>[ocultar]</v>
      </c>
      <c r="B16" s="202" t="s">
        <v>394</v>
      </c>
      <c r="C16" s="203">
        <f t="array" ref="C16">SUM(IF($B16=DATOS_[Sexo],
IF($B15=DATOS_[AGRUP. VALOR. PTO.],
IF("Dentro"=DATOS_[Check Periodo Ref.],
1/(COUNTIFS(DATOS_[Sexo],$B16,DATOS_[AGRUP. VALOR. PTO.],$B15,DATOS_[Check Periodo Ref.],"Dentro",DATOS_[id/cod],DATOS_[id/cod]))))))</f>
        <v>0</v>
      </c>
      <c r="D16" s="204">
        <f>COUNTIFS(DATOS_[AGRUP. VALOR. PTO.],$B15,DATOS_[Sexo],$B16,DATOS_[Check Periodo Ref.],"Dentro")</f>
        <v>0</v>
      </c>
      <c r="E16" s="204">
        <f>COUNTIFS(DATOS_[AGRUP. VALOR. PTO.],$B15,DATOS_[Sexo],$B16,DATOS_[Check Periodo Ref.],"Dentro",DATOS_[Check Nº SC Norm],"Sí")</f>
        <v>0</v>
      </c>
      <c r="F16" s="204">
        <f>COUNTIFS(DATOS_[AGRUP. VALOR. PTO.],$B15,DATOS_[Sexo],$B16,DATOS_[Check Periodo Ref.],"Dentro",DATOS_[Check Nº SC Anualiz],"Sí")</f>
        <v>0</v>
      </c>
      <c r="G16" s="204">
        <f>COUNTIFS(DATOS_[AGRUP. VALOR. PTO.],$B15,DATOS_[Sexo],$B16,DATOS_[Check Periodo Ref.],"Dentro",DATOS_[Check Nº SC Norm y Anualiz],"Sí")</f>
        <v>0</v>
      </c>
      <c r="H16" s="204">
        <f>COUNTIFS(DATOS_[AGRUP. VALOR. PTO.],$B15,DATOS_[Sexo],$B16,DATOS_[Check Periodo Ref.],"Dentro",DATOS_[Check Equiparación],"Sí")</f>
        <v>0</v>
      </c>
      <c r="I16" s="195">
        <f t="array" ref="I16">IFERROR(
AVERAGE(IF(DATOS_[Sexo]=$B16,IF(DATOS_[[AGRUP. VALOR. PTO.]:[AGRUP. VALOR. PTO.]]=$B15,IF(DATOS_[Check Equiparado]="Sí",IF(DATOS_[Check Periodo Ref.]="Dentro",DATOS_[SALARIO BASE Eq],FALSE))))),
0)</f>
        <v>0</v>
      </c>
      <c r="J16" s="196">
        <f t="array" ref="J16">IFERROR(
(AVERAGE((IF(DATOS_[[Sexo]:[Sexo]]=$B16,IF(DATOS_[[AGRUP. VALOR. PTO.]:[AGRUP. VALOR. PTO.]]=$B15,IF(DATOS_[[Check Periodo Ref.]:[Check Periodo Ref.]]="Dentro",IF(DATOS_[[Check Equiparado]:[Check Equiparado]]="Sí",IF(DATOS!AE$5="Sí",(1/DATOS_[[% anualiz]:[% anualiz]]),1)*IF(DATOS!AE$4="Sí",1/DATOS_[[% normaliz]:[% normaliz]],1)*(DATOS_[Conc.Sal.01])))))))),
0)</f>
        <v>0</v>
      </c>
      <c r="K16" s="196">
        <f t="array" ref="K16">IFERROR(
(AVERAGE((IF(DATOS_[[Sexo]:[Sexo]]=$B16,IF(DATOS_[[AGRUP. VALOR. PTO.]:[AGRUP. VALOR. PTO.]]=$B15,IF(DATOS_[[Check Periodo Ref.]:[Check Periodo Ref.]]="Dentro",IF(DATOS_[[Check Equiparado]:[Check Equiparado]]="Sí",IF(DATOS!AF$5="Sí",(1/DATOS_[[% anualiz]:[% anualiz]]),1)*IF(DATOS!AF$4="Sí",1/DATOS_[[% normaliz]:[% normaliz]],1)*(DATOS_[Conc.Sal.02])))))))),
0)</f>
        <v>0</v>
      </c>
      <c r="L16" s="196">
        <f t="array" ref="L16">IFERROR(
(AVERAGE((IF(DATOS_[[Sexo]:[Sexo]]=$B16,IF(DATOS_[[AGRUP. VALOR. PTO.]:[AGRUP. VALOR. PTO.]]=$B15,IF(DATOS_[[Check Periodo Ref.]:[Check Periodo Ref.]]="Dentro",IF(DATOS_[[Check Equiparado]:[Check Equiparado]]="Sí",IF(DATOS!AG$5="Sí",(1/DATOS_[[% anualiz]:[% anualiz]]),1)*IF(DATOS!AG$4="Sí",1/DATOS_[[% normaliz]:[% normaliz]],1)*(DATOS_[Conc.Sal.03])))))))),
0)</f>
        <v>0</v>
      </c>
      <c r="M16" s="196">
        <f t="array" ref="M16">IFERROR(
(AVERAGE((IF(DATOS_[[Sexo]:[Sexo]]=$B16,IF(DATOS_[[AGRUP. VALOR. PTO.]:[AGRUP. VALOR. PTO.]]=$B15,IF(DATOS_[[Check Periodo Ref.]:[Check Periodo Ref.]]="Dentro",IF(DATOS_[[Check Equiparado]:[Check Equiparado]]="Sí",IF(DATOS!AH$5="Sí",(1/DATOS_[[% anualiz]:[% anualiz]]),1)*IF(DATOS!AH$4="Sí",1/DATOS_[[% normaliz]:[% normaliz]],1)*(DATOS_[Conc.Sal.04])))))))),
0)</f>
        <v>0</v>
      </c>
      <c r="N16" s="196">
        <f t="array" ref="N16">IFERROR(
(AVERAGE((IF(DATOS_[[Sexo]:[Sexo]]=$B16,IF(DATOS_[[AGRUP. VALOR. PTO.]:[AGRUP. VALOR. PTO.]]=$B15,IF(DATOS_[[Check Periodo Ref.]:[Check Periodo Ref.]]="Dentro",IF(DATOS_[[Check Equiparado]:[Check Equiparado]]="Sí",IF(DATOS!AI$5="Sí",(1/DATOS_[[% anualiz]:[% anualiz]]),1)*IF(DATOS!AI$4="Sí",1/DATOS_[[% normaliz]:[% normaliz]],1)*(DATOS_[Conc.Sal.05])))))))),
0)</f>
        <v>0</v>
      </c>
      <c r="O16" s="196">
        <f t="array" ref="O16">IFERROR(
(AVERAGE((IF(DATOS_[[Sexo]:[Sexo]]=$B16,IF(DATOS_[[AGRUP. VALOR. PTO.]:[AGRUP. VALOR. PTO.]]=$B15,IF(DATOS_[[Check Periodo Ref.]:[Check Periodo Ref.]]="Dentro",IF(DATOS_[[Check Equiparado]:[Check Equiparado]]="Sí",IF(DATOS!AJ$5="Sí",(1/DATOS_[[% anualiz]:[% anualiz]]),1)*IF(DATOS!AJ$4="Sí",1/DATOS_[[% normaliz]:[% normaliz]],1)*(DATOS_[Conc.Sal.06])))))))),
0)</f>
        <v>0</v>
      </c>
      <c r="P16" s="196">
        <f t="array" ref="P16">IFERROR(
(AVERAGE((IF(DATOS_[[Sexo]:[Sexo]]=$B16,IF(DATOS_[[AGRUP. VALOR. PTO.]:[AGRUP. VALOR. PTO.]]=$B15,IF(DATOS_[[Check Periodo Ref.]:[Check Periodo Ref.]]="Dentro",IF(DATOS_[[Check Equiparado]:[Check Equiparado]]="Sí",IF(DATOS!AK$5="Sí",(1/DATOS_[[% anualiz]:[% anualiz]]),1)*IF(DATOS!AK$4="Sí",1/DATOS_[[% normaliz]:[% normaliz]],1)*(DATOS_[Conc.Sal.07])))))))),
0)</f>
        <v>0</v>
      </c>
      <c r="Q16" s="196">
        <f t="array" ref="Q16">IFERROR(
(AVERAGE((IF(DATOS_[[Sexo]:[Sexo]]=$B16,IF(DATOS_[[AGRUP. VALOR. PTO.]:[AGRUP. VALOR. PTO.]]=$B15,IF(DATOS_[[Check Periodo Ref.]:[Check Periodo Ref.]]="Dentro",IF(DATOS_[[Check Equiparado]:[Check Equiparado]]="Sí",IF(DATOS!AL$5="Sí",(1/DATOS_[[% anualiz]:[% anualiz]]),1)*IF(DATOS!AL$4="Sí",1/DATOS_[[% normaliz]:[% normaliz]],1)*(DATOS_[Conc.Sal.08])))))))),
0)</f>
        <v>0</v>
      </c>
      <c r="R16" s="196">
        <f t="array" ref="R16">IFERROR(
(AVERAGE((IF(DATOS_[[Sexo]:[Sexo]]=$B16,IF(DATOS_[[AGRUP. VALOR. PTO.]:[AGRUP. VALOR. PTO.]]=$B15,IF(DATOS_[[Check Periodo Ref.]:[Check Periodo Ref.]]="Dentro",IF(DATOS_[[Check Equiparado]:[Check Equiparado]]="Sí",IF(DATOS!AM$5="Sí",(1/DATOS_[[% anualiz]:[% anualiz]]),1)*IF(DATOS!AM$4="Sí",1/DATOS_[[% normaliz]:[% normaliz]],1)*(DATOS_[Conc.Sal.09])))))))),
0)</f>
        <v>0</v>
      </c>
      <c r="S16" s="196">
        <f t="array" ref="S16">IFERROR(
(AVERAGE((IF(DATOS_[[Sexo]:[Sexo]]=$B16,IF(DATOS_[[AGRUP. VALOR. PTO.]:[AGRUP. VALOR. PTO.]]=$B15,IF(DATOS_[[Check Periodo Ref.]:[Check Periodo Ref.]]="Dentro",IF(DATOS_[[Check Equiparado]:[Check Equiparado]]="Sí",IF(DATOS!AN$5="Sí",(1/DATOS_[[% anualiz]:[% anualiz]]),1)*IF(DATOS!AN$4="Sí",1/DATOS_[[% normaliz]:[% normaliz]],1)*(DATOS_[Conc.Sal.10])))))))),
0)</f>
        <v>0</v>
      </c>
      <c r="T16" s="196">
        <f t="array" ref="T16">IFERROR(
(AVERAGE((IF(DATOS_[[Sexo]:[Sexo]]=$B16,IF(DATOS_[[AGRUP. VALOR. PTO.]:[AGRUP. VALOR. PTO.]]=$B15,IF(DATOS_[[Check Periodo Ref.]:[Check Periodo Ref.]]="Dentro",IF(DATOS_[[Check Equiparado]:[Check Equiparado]]="Sí",IF(DATOS!AO$5="Sí",(1/DATOS_[[% anualiz]:[% anualiz]]),1)*IF(DATOS!AO$4="Sí",1/DATOS_[[% normaliz]:[% normaliz]],1)*(DATOS_[Conc.Sal.11])))))))),
0)</f>
        <v>0</v>
      </c>
      <c r="U16" s="196">
        <f t="array" ref="U16">IFERROR(
(AVERAGE((IF(DATOS_[[Sexo]:[Sexo]]=$B16,IF(DATOS_[[AGRUP. VALOR. PTO.]:[AGRUP. VALOR. PTO.]]=$B15,IF(DATOS_[[Check Periodo Ref.]:[Check Periodo Ref.]]="Dentro",IF(DATOS_[[Check Equiparado]:[Check Equiparado]]="Sí",IF(DATOS!AP$5="Sí",(1/DATOS_[[% anualiz]:[% anualiz]]),1)*IF(DATOS!AP$4="Sí",1/DATOS_[[% normaliz]:[% normaliz]],1)*(DATOS_[Conc.Sal.12])))))))),
0)</f>
        <v>0</v>
      </c>
      <c r="V16" s="196">
        <f t="array" ref="V16">IFERROR(
(AVERAGE((IF(DATOS_[[Sexo]:[Sexo]]=$B16,IF(DATOS_[[AGRUP. VALOR. PTO.]:[AGRUP. VALOR. PTO.]]=$B15,IF(DATOS_[[Check Periodo Ref.]:[Check Periodo Ref.]]="Dentro",IF(DATOS_[[Check Equiparado]:[Check Equiparado]]="Sí",IF(DATOS!AQ$5="Sí",(1/DATOS_[[% anualiz]:[% anualiz]]),1)*IF(DATOS!AQ$4="Sí",1/DATOS_[[% normaliz]:[% normaliz]],1)*(DATOS_[Conc.Sal.13])))))))),
0)</f>
        <v>0</v>
      </c>
      <c r="W16" s="196">
        <f t="array" ref="W16">IFERROR(
(AVERAGE((IF(DATOS_[[Sexo]:[Sexo]]=$B16,IF(DATOS_[[AGRUP. VALOR. PTO.]:[AGRUP. VALOR. PTO.]]=$B15,IF(DATOS_[[Check Periodo Ref.]:[Check Periodo Ref.]]="Dentro",IF(DATOS_[[Check Equiparado]:[Check Equiparado]]="Sí",IF(DATOS!AR$5="Sí",(1/DATOS_[[% anualiz]:[% anualiz]]),1)*IF(DATOS!AR$4="Sí",1/DATOS_[[% normaliz]:[% normaliz]],1)*(DATOS_[Conc.Sal.14])))))))),
0)</f>
        <v>0</v>
      </c>
      <c r="X16" s="196">
        <f t="array" ref="X16">IFERROR(
(AVERAGE((IF(DATOS_[[Sexo]:[Sexo]]=$B16,IF(DATOS_[[AGRUP. VALOR. PTO.]:[AGRUP. VALOR. PTO.]]=$B15,IF(DATOS_[[Check Periodo Ref.]:[Check Periodo Ref.]]="Dentro",IF(DATOS_[[Check Equiparado]:[Check Equiparado]]="Sí",IF(DATOS!AS$5="Sí",(1/DATOS_[[% anualiz]:[% anualiz]]),1)*IF(DATOS!AS$4="Sí",1/DATOS_[[% normaliz]:[% normaliz]],1)*(DATOS_[Conc.Sal.15])))))))),
0)</f>
        <v>0</v>
      </c>
      <c r="Y16" s="196">
        <f t="array" ref="Y16">IFERROR(
(AVERAGE((IF(DATOS_[[Sexo]:[Sexo]]=$B16,IF(DATOS_[[AGRUP. VALOR. PTO.]:[AGRUP. VALOR. PTO.]]=$B15,IF(DATOS_[[Check Periodo Ref.]:[Check Periodo Ref.]]="Dentro",IF(DATOS_[[Check Equiparado]:[Check Equiparado]]="Sí",IF(DATOS!AT$5="Sí",(1/DATOS_[[% anualiz]:[% anualiz]]),1)*IF(DATOS!AT$4="Sí",1/DATOS_[[% normaliz]:[% normaliz]],1)*(DATOS_[Conc.Sal.16])))))))),
0)</f>
        <v>0</v>
      </c>
      <c r="Z16" s="196">
        <f t="array" ref="Z16">IFERROR(
(AVERAGE((IF(DATOS_[[Sexo]:[Sexo]]=$B16,IF(DATOS_[[AGRUP. VALOR. PTO.]:[AGRUP. VALOR. PTO.]]=$B15,IF(DATOS_[[Check Periodo Ref.]:[Check Periodo Ref.]]="Dentro",IF(DATOS_[[Check Equiparado]:[Check Equiparado]]="Sí",IF(DATOS!AU$5="Sí",(1/DATOS_[[% anualiz]:[% anualiz]]),1)*IF(DATOS!AU$4="Sí",1/DATOS_[[% normaliz]:[% normaliz]],1)*(DATOS_[Conc.Sal.17])))))))),
0)</f>
        <v>0</v>
      </c>
      <c r="AA16" s="196">
        <f t="array" ref="AA16">IFERROR(
(AVERAGE((IF(DATOS_[[Sexo]:[Sexo]]=$B16,IF(DATOS_[[AGRUP. VALOR. PTO.]:[AGRUP. VALOR. PTO.]]=$B15,IF(DATOS_[[Check Periodo Ref.]:[Check Periodo Ref.]]="Dentro",IF(DATOS_[[Check Equiparado]:[Check Equiparado]]="Sí",IF(DATOS!AV$5="Sí",(1/DATOS_[[% anualiz]:[% anualiz]]),1)*IF(DATOS!AV$4="Sí",1/DATOS_[[% normaliz]:[% normaliz]],1)*(DATOS_[Conc.Sal.18])))))))),
0)</f>
        <v>0</v>
      </c>
      <c r="AB16" s="196">
        <f t="array" ref="AB16">IFERROR(
(AVERAGE((IF(DATOS_[[Sexo]:[Sexo]]=$B16,IF(DATOS_[[AGRUP. VALOR. PTO.]:[AGRUP. VALOR. PTO.]]=$B15,IF(DATOS_[[Check Periodo Ref.]:[Check Periodo Ref.]]="Dentro",IF(DATOS_[[Check Equiparado]:[Check Equiparado]]="Sí",IF(DATOS!AW$5="Sí",(1/DATOS_[[% anualiz]:[% anualiz]]),1)*IF(DATOS!AW$4="Sí",1/DATOS_[[% normaliz]:[% normaliz]],1)*(DATOS_[Conc.Sal.19])))))))),
0)</f>
        <v>0</v>
      </c>
      <c r="AC16" s="196">
        <f t="array" ref="AC16">IFERROR(
(AVERAGE((IF(DATOS_[[Sexo]:[Sexo]]=$B16,IF(DATOS_[[AGRUP. VALOR. PTO.]:[AGRUP. VALOR. PTO.]]=$B15,IF(DATOS_[[Check Periodo Ref.]:[Check Periodo Ref.]]="Dentro",IF(DATOS_[[Check Equiparado]:[Check Equiparado]]="Sí",IF(DATOS!AX$5="Sí",(1/DATOS_[[% anualiz]:[% anualiz]]),1)*IF(DATOS!AX$4="Sí",1/DATOS_[[% normaliz]:[% normaliz]],1)*(DATOS_[Conc.Sal.20])))))))),
0)</f>
        <v>0</v>
      </c>
      <c r="AD16" s="196">
        <f t="array" ref="AD16">IFERROR(
(AVERAGE((IF(DATOS_[[Sexo]:[Sexo]]=$B16,IF(DATOS_[[AGRUP. VALOR. PTO.]:[AGRUP. VALOR. PTO.]]=$B15,IF(DATOS_[[Check Periodo Ref.]:[Check Periodo Ref.]]="Dentro",IF(DATOS_[[Check Equiparado]:[Check Equiparado]]="Sí",IF(DATOS!AY$5="Sí",(1/DATOS_[[% anualiz]:[% anualiz]]),1)*IF(DATOS!AY$4="Sí",1/DATOS_[[% normaliz]:[% normaliz]],1)*(DATOS_[Conc.Sal.21])))))))),
0)</f>
        <v>0</v>
      </c>
      <c r="AE16" s="196">
        <f t="array" ref="AE16">IFERROR(
(AVERAGE((IF(DATOS_[[Sexo]:[Sexo]]=$B16,IF(DATOS_[[AGRUP. VALOR. PTO.]:[AGRUP. VALOR. PTO.]]=$B15,IF(DATOS_[[Check Periodo Ref.]:[Check Periodo Ref.]]="Dentro",IF(DATOS_[[Check Equiparado]:[Check Equiparado]]="Sí",IF(DATOS!AZ$5="Sí",(1/DATOS_[[% anualiz]:[% anualiz]]),1)*IF(DATOS!AZ$4="Sí",1/DATOS_[[% normaliz]:[% normaliz]],1)*(DATOS_[Conc.Sal.22])))))))),
0)</f>
        <v>0</v>
      </c>
      <c r="AF16" s="196">
        <f t="array" ref="AF16">IFERROR(
(AVERAGE((IF(DATOS_[[Sexo]:[Sexo]]=$B16,IF(DATOS_[[AGRUP. VALOR. PTO.]:[AGRUP. VALOR. PTO.]]=$B15,IF(DATOS_[[Check Periodo Ref.]:[Check Periodo Ref.]]="Dentro",IF(DATOS_[[Check Equiparado]:[Check Equiparado]]="Sí",IF(DATOS!BA$5="Sí",(1/DATOS_[[% anualiz]:[% anualiz]]),1)*IF(DATOS!BA$4="Sí",1/DATOS_[[% normaliz]:[% normaliz]],1)*(DATOS_[Conc.Sal.23])))))))),
0)</f>
        <v>0</v>
      </c>
      <c r="AG16" s="196">
        <f t="array" ref="AG16">IFERROR(
(AVERAGE((IF(DATOS_[[Sexo]:[Sexo]]=$B16,IF(DATOS_[[AGRUP. VALOR. PTO.]:[AGRUP. VALOR. PTO.]]=$B15,IF(DATOS_[[Check Periodo Ref.]:[Check Periodo Ref.]]="Dentro",IF(DATOS_[[Check Equiparado]:[Check Equiparado]]="Sí",IF(DATOS!BB$5="Sí",(1/DATOS_[[% anualiz]:[% anualiz]]),1)*IF(DATOS!BB$4="Sí",1/DATOS_[[% normaliz]:[% normaliz]],1)*(DATOS_[Conc.Sal.24])))))))),
0)</f>
        <v>0</v>
      </c>
      <c r="AH16" s="196">
        <f t="array" ref="AH16">IFERROR(
(AVERAGE((IF(DATOS_[[Sexo]:[Sexo]]=$B16,IF(DATOS_[[AGRUP. VALOR. PTO.]:[AGRUP. VALOR. PTO.]]=$B15,IF(DATOS_[[Check Periodo Ref.]:[Check Periodo Ref.]]="Dentro",IF(DATOS_[[Check Equiparado]:[Check Equiparado]]="Sí",IF(DATOS!BC$5="Sí",(1/DATOS_[[% anualiz]:[% anualiz]]),1)*IF(DATOS!BC$4="Sí",1/DATOS_[[% normaliz]:[% normaliz]],1)*(DATOS_[Conc.Sal.25])))))))),
0)</f>
        <v>0</v>
      </c>
      <c r="AI16" s="196">
        <f t="array" ref="AI16">IFERROR(
(AVERAGE((IF(DATOS_[[Sexo]:[Sexo]]=$B16,IF(DATOS_[[AGRUP. VALOR. PTO.]:[AGRUP. VALOR. PTO.]]=$B15,IF(DATOS_[[Check Periodo Ref.]:[Check Periodo Ref.]]="Dentro",IF(DATOS_[[Check Equiparado]:[Check Equiparado]]="Sí",IF(DATOS!BD$5="Sí",(1/DATOS_[[% anualiz]:[% anualiz]]),1)*IF(DATOS!BD$4="Sí",1/DATOS_[[% normaliz]:[% normaliz]],1)*(DATOS_[Conc.Sal.26])))))))),
0)</f>
        <v>0</v>
      </c>
      <c r="AJ16" s="196">
        <f t="array" ref="AJ16">IFERROR(
(AVERAGE((IF(DATOS_[[Sexo]:[Sexo]]=$B16,IF(DATOS_[[AGRUP. VALOR. PTO.]:[AGRUP. VALOR. PTO.]]=$B15,IF(DATOS_[[Check Periodo Ref.]:[Check Periodo Ref.]]="Dentro",IF(DATOS_[[Check Equiparado]:[Check Equiparado]]="Sí",IF(DATOS!BE$5="Sí",(1/DATOS_[[% anualiz]:[% anualiz]]),1)*IF(DATOS!BE$4="Sí",1/DATOS_[[% normaliz]:[% normaliz]],1)*(DATOS_[Conc.Sal.27])))))))),
0)</f>
        <v>0</v>
      </c>
      <c r="AK16" s="196">
        <f t="array" ref="AK16">IFERROR(
(AVERAGE((IF(DATOS_[[Sexo]:[Sexo]]=$B16,IF(DATOS_[[AGRUP. VALOR. PTO.]:[AGRUP. VALOR. PTO.]]=$B15,IF(DATOS_[[Check Periodo Ref.]:[Check Periodo Ref.]]="Dentro",IF(DATOS_[[Check Equiparado]:[Check Equiparado]]="Sí",IF(DATOS!BF$5="Sí",(1/DATOS_[[% anualiz]:[% anualiz]]),1)*IF(DATOS!BF$4="Sí",1/DATOS_[[% normaliz]:[% normaliz]],1)*(DATOS_[Conc.Sal.28])))))))),
0)</f>
        <v>0</v>
      </c>
      <c r="AL16" s="196">
        <f t="array" ref="AL16">IFERROR(
(AVERAGE((IF(DATOS_[[Sexo]:[Sexo]]=$B16,IF(DATOS_[[AGRUP. VALOR. PTO.]:[AGRUP. VALOR. PTO.]]=$B15,IF(DATOS_[[Check Periodo Ref.]:[Check Periodo Ref.]]="Dentro",IF(DATOS_[[Check Equiparado]:[Check Equiparado]]="Sí",IF(DATOS!BG$5="Sí",(1/DATOS_[[% anualiz]:[% anualiz]]),1)*IF(DATOS!BG$4="Sí",1/DATOS_[[% normaliz]:[% normaliz]],1)*(DATOS_[Conc.Sal.29])))))))),
0)</f>
        <v>0</v>
      </c>
      <c r="AM16" s="196">
        <f t="array" ref="AM16">IFERROR(
(AVERAGE((IF(DATOS_[[Sexo]:[Sexo]]=$B16,IF(DATOS_[[AGRUP. VALOR. PTO.]:[AGRUP. VALOR. PTO.]]=$B15,IF(DATOS_[[Check Periodo Ref.]:[Check Periodo Ref.]]="Dentro",IF(DATOS_[[Check Equiparado]:[Check Equiparado]]="Sí",IF(DATOS!BH$5="Sí",(1/DATOS_[[% anualiz]:[% anualiz]]),1)*IF(DATOS!BH$4="Sí",1/DATOS_[[% normaliz]:[% normaliz]],1)*(DATOS_[Conc.Sal.30])))))))),
0)</f>
        <v>0</v>
      </c>
      <c r="AN16" s="195">
        <f t="array" ref="AN16">IFERROR(
AVERAGE(IF(DATOS_[Sexo]=$B16,IF(DATOS_[[AGRUP. VALOR. PTO.]:[AGRUP. VALOR. PTO.]]=$B15,IF(DATOS_[Check Equiparado]="Sí",IF(DATOS_[Check Periodo Ref.]="Dentro",DATOS_[Tot COMPL.SAL Eq],FALSE))))),
0)</f>
        <v>0</v>
      </c>
      <c r="AO16" s="172">
        <f t="array" ref="AO16">IFERROR(
AVERAGE(IF(DATOS_[Sexo]=$B16,IF(DATOS_[[AGRUP. VALOR. PTO.]:[AGRUP. VALOR. PTO.]]=$B15,IF(DATOS_[Check Equiparado]="Sí",IF(DATOS_[Check Periodo Ref.]="Dentro",DATOS_[TOTAL SALARIO Eq],FALSE))))),
0)</f>
        <v>0</v>
      </c>
      <c r="AP16" s="173">
        <f t="array" ref="AP16">IFERROR(
(AVERAGE((IF(DATOS_[[Sexo]:[Sexo]]=$B16,IF(DATOS_[[AGRUP. VALOR. PTO.]:[AGRUP. VALOR. PTO.]]=$B15,IF(DATOS_[[Check Periodo Ref.]:[Check Periodo Ref.]]="Dentro",IF(DATOS_[[Check Equiparado]:[Check Equiparado]]="Sí",IF(DATOS!BW$5="Sí",(1/DATOS_[[% anualiz]:[% anualiz]]),1)*IF(DATOS!BW$4="Sí",1/DATOS_[[% normaliz]:[% normaliz]],1)*(DATOS_[C.Extra.01])))))))),
0)</f>
        <v>0</v>
      </c>
      <c r="AQ16" s="173">
        <f t="array" ref="AQ16">IFERROR(
(AVERAGE((IF(DATOS_[[Sexo]:[Sexo]]=$B16,IF(DATOS_[[AGRUP. VALOR. PTO.]:[AGRUP. VALOR. PTO.]]=$B15,IF(DATOS_[[Check Periodo Ref.]:[Check Periodo Ref.]]="Dentro",IF(DATOS_[[Check Equiparado]:[Check Equiparado]]="Sí",IF(DATOS!CB$5="Sí",(1/DATOS_[[% anualiz]:[% anualiz]]),1)*IF(DATOS!CB$4="Sí",1/DATOS_[[% normaliz]:[% normaliz]],1)*(DATOS_[C.Extra.06])))))))),
0)</f>
        <v>0</v>
      </c>
      <c r="AR16" s="173">
        <f t="array" ref="AR16">IFERROR(
(AVERAGE((IF(DATOS_[[Sexo]:[Sexo]]=$B16,IF(DATOS_[[AGRUP. VALOR. PTO.]:[AGRUP. VALOR. PTO.]]=$B15,IF(DATOS_[[Check Periodo Ref.]:[Check Periodo Ref.]]="Dentro",IF(DATOS_[[Check Equiparado]:[Check Equiparado]]="Sí",IF(DATOS!CC$5="Sí",(1/DATOS_[[% anualiz]:[% anualiz]]),1)*IF(DATOS!CC$4="Sí",1/DATOS_[[% normaliz]:[% normaliz]],1)*(DATOS_[C.Extra.07])))))))),
0)</f>
        <v>0</v>
      </c>
      <c r="AS16" s="173">
        <f t="array" ref="AS16">IFERROR(
(AVERAGE((IF(DATOS_[[Sexo]:[Sexo]]=$B16,IF(DATOS_[[AGRUP. VALOR. PTO.]:[AGRUP. VALOR. PTO.]]=$B15,IF(DATOS_[[Check Periodo Ref.]:[Check Periodo Ref.]]="Dentro",IF(DATOS_[[Check Equiparado]:[Check Equiparado]]="Sí",IF(DATOS!CD$5="Sí",(1/DATOS_[[% anualiz]:[% anualiz]]),1)*IF(DATOS!CD$4="Sí",1/DATOS_[[% normaliz]:[% normaliz]],1)*(DATOS_[C.Extra.08])))))))),
0)</f>
        <v>0</v>
      </c>
      <c r="AT16" s="173">
        <f t="array" ref="AT16">IFERROR(
(AVERAGE((IF(DATOS_[[Sexo]:[Sexo]]=$B16,IF(DATOS_[[AGRUP. VALOR. PTO.]:[AGRUP. VALOR. PTO.]]=$B15,IF(DATOS_[[Check Periodo Ref.]:[Check Periodo Ref.]]="Dentro",IF(DATOS_[[Check Equiparado]:[Check Equiparado]]="Sí",IF(DATOS!CG$5="Sí",(1/DATOS_[[% anualiz]:[% anualiz]]),1)*IF(DATOS!CG$4="Sí",1/DATOS_[[% normaliz]:[% normaliz]],1)*(DATOS_[C.Extra.11])))))))),
0)</f>
        <v>0</v>
      </c>
      <c r="AU16" s="197">
        <f t="array" ref="AU16">IFERROR(
AVERAGE(IF(DATOS_[Sexo]=$B16,IF(DATOS_[[AGRUP. VALOR. PTO.]:[AGRUP. VALOR. PTO.]]=$B15,IF(DATOS_[Check Equiparado]="Sí",IF(DATOS_[Check Periodo Ref.]="Dentro",DATOS_[Tot Extrasalarial Eq],FALSE))))),
0)</f>
        <v>0</v>
      </c>
      <c r="AV16" s="175">
        <f t="array" ref="AV16">IFERROR(
AVERAGE(IF(DATOS_[Sexo]=$B16,IF(DATOS_[[AGRUP. VALOR. PTO.]:[AGRUP. VALOR. PTO.]]=$B15,IF(DATOS_[Check Equiparado]="Sí",IF(DATOS_[Check Periodo Ref.]="Dentro",DATOS_[TOTAL Retrib Eq],FALSE))))),
0)</f>
        <v>0</v>
      </c>
    </row>
    <row r="17" spans="1:48" x14ac:dyDescent="0.25">
      <c r="A17" s="133" t="str">
        <f>+A16</f>
        <v>[ocultar]</v>
      </c>
      <c r="B17" s="202" t="s">
        <v>521</v>
      </c>
      <c r="C17" s="203">
        <f t="array" ref="C17">SUM(IF($B17=DATOS_[Sexo],
IF($B15=DATOS_[AGRUP. VALOR. PTO.],
IF("Dentro"=DATOS_[Check Periodo Ref.],
1/(COUNTIFS(DATOS_[Sexo],$B17,DATOS_[AGRUP. VALOR. PTO.],$B15,DATOS_[Check Periodo Ref.],"Dentro",DATOS_[id/cod],DATOS_[id/cod]))))))</f>
        <v>0</v>
      </c>
      <c r="D17" s="204">
        <f>COUNTIFS(DATOS_[AGRUP. VALOR. PTO.],$B15,DATOS_[Sexo],$B17,DATOS_[Check Periodo Ref.],"Dentro")</f>
        <v>0</v>
      </c>
      <c r="E17" s="204">
        <f>COUNTIFS(DATOS_[AGRUP. VALOR. PTO.],$B15,DATOS_[Sexo],$B17,DATOS_[Check Periodo Ref.],"Dentro",DATOS_[Check Nº SC Norm],"Sí")</f>
        <v>0</v>
      </c>
      <c r="F17" s="204">
        <f>COUNTIFS(DATOS_[AGRUP. VALOR. PTO.],$B15,DATOS_[Sexo],$B17,DATOS_[Check Periodo Ref.],"Dentro",DATOS_[Check Nº SC Anualiz],"Sí")</f>
        <v>0</v>
      </c>
      <c r="G17" s="204">
        <f>COUNTIFS(DATOS_[AGRUP. VALOR. PTO.],$B15,DATOS_[Sexo],$B17,DATOS_[Check Periodo Ref.],"Dentro",DATOS_[Check Nº SC Norm y Anualiz],"Sí")</f>
        <v>0</v>
      </c>
      <c r="H17" s="204">
        <f>COUNTIFS(DATOS_[AGRUP. VALOR. PTO.],$B15,DATOS_[Sexo],$B17,DATOS_[Check Periodo Ref.],"Dentro",DATOS_[Check Equiparación],"Sí")</f>
        <v>0</v>
      </c>
      <c r="I17" s="195" cm="1">
        <f t="array" ref="I17">IFERROR(
AVERAGE(IF(DATOS_[Sexo]=$B17,IF(DATOS_[[AGRUP. VALOR. PTO.]:[AGRUP. VALOR. PTO.]]=$B15,IF(DATOS_[Check Equiparado]="Sí",IF(DATOS_[Check Periodo Ref.]="Dentro",DATOS_[SALARIO BASE Eq],FALSE))))),
0)</f>
        <v>0</v>
      </c>
      <c r="J17" s="196">
        <f t="array" ref="J17">IFERROR(
(AVERAGE((IF(DATOS_[[Sexo]:[Sexo]]=$B17,IF(DATOS_[[AGRUP. VALOR. PTO.]:[AGRUP. VALOR. PTO.]]=$B15,IF(DATOS_[[Check Periodo Ref.]:[Check Periodo Ref.]]="Dentro",IF(DATOS_[[Check Equiparado]:[Check Equiparado]]="Sí",IF(DATOS!AE$5="Sí",(1/DATOS_[[% anualiz]:[% anualiz]]),1)*IF(DATOS!AE$4="Sí",1/DATOS_[[% normaliz]:[% normaliz]],1)*(DATOS_[Conc.Sal.01])))))))),
0)</f>
        <v>0</v>
      </c>
      <c r="K17" s="196">
        <f t="array" ref="K17">IFERROR(
(AVERAGE((IF(DATOS_[[Sexo]:[Sexo]]=$B17,IF(DATOS_[[AGRUP. VALOR. PTO.]:[AGRUP. VALOR. PTO.]]=$B15,IF(DATOS_[[Check Periodo Ref.]:[Check Periodo Ref.]]="Dentro",IF(DATOS_[[Check Equiparado]:[Check Equiparado]]="Sí",IF(DATOS!AF$5="Sí",(1/DATOS_[[% anualiz]:[% anualiz]]),1)*IF(DATOS!AF$4="Sí",1/DATOS_[[% normaliz]:[% normaliz]],1)*(DATOS_[Conc.Sal.02])))))))),
0)</f>
        <v>0</v>
      </c>
      <c r="L17" s="196">
        <f t="array" ref="L17">IFERROR(
(AVERAGE((IF(DATOS_[[Sexo]:[Sexo]]=$B17,IF(DATOS_[[AGRUP. VALOR. PTO.]:[AGRUP. VALOR. PTO.]]=$B15,IF(DATOS_[[Check Periodo Ref.]:[Check Periodo Ref.]]="Dentro",IF(DATOS_[[Check Equiparado]:[Check Equiparado]]="Sí",IF(DATOS!AG$5="Sí",(1/DATOS_[[% anualiz]:[% anualiz]]),1)*IF(DATOS!AG$4="Sí",1/DATOS_[[% normaliz]:[% normaliz]],1)*(DATOS_[Conc.Sal.03])))))))),
0)</f>
        <v>0</v>
      </c>
      <c r="M17" s="196">
        <f t="array" ref="M17">IFERROR(
(AVERAGE((IF(DATOS_[[Sexo]:[Sexo]]=$B17,IF(DATOS_[[AGRUP. VALOR. PTO.]:[AGRUP. VALOR. PTO.]]=$B15,IF(DATOS_[[Check Periodo Ref.]:[Check Periodo Ref.]]="Dentro",IF(DATOS_[[Check Equiparado]:[Check Equiparado]]="Sí",IF(DATOS!AH$5="Sí",(1/DATOS_[[% anualiz]:[% anualiz]]),1)*IF(DATOS!AH$4="Sí",1/DATOS_[[% normaliz]:[% normaliz]],1)*(DATOS_[Conc.Sal.04])))))))),
0)</f>
        <v>0</v>
      </c>
      <c r="N17" s="196">
        <f t="array" ref="N17">IFERROR(
(AVERAGE((IF(DATOS_[[Sexo]:[Sexo]]=$B17,IF(DATOS_[[AGRUP. VALOR. PTO.]:[AGRUP. VALOR. PTO.]]=$B15,IF(DATOS_[[Check Periodo Ref.]:[Check Periodo Ref.]]="Dentro",IF(DATOS_[[Check Equiparado]:[Check Equiparado]]="Sí",IF(DATOS!AI$5="Sí",(1/DATOS_[[% anualiz]:[% anualiz]]),1)*IF(DATOS!AI$4="Sí",1/DATOS_[[% normaliz]:[% normaliz]],1)*(DATOS_[Conc.Sal.05])))))))),
0)</f>
        <v>0</v>
      </c>
      <c r="O17" s="196">
        <f t="array" ref="O17">IFERROR(
(AVERAGE((IF(DATOS_[[Sexo]:[Sexo]]=$B17,IF(DATOS_[[AGRUP. VALOR. PTO.]:[AGRUP. VALOR. PTO.]]=$B15,IF(DATOS_[[Check Periodo Ref.]:[Check Periodo Ref.]]="Dentro",IF(DATOS_[[Check Equiparado]:[Check Equiparado]]="Sí",IF(DATOS!AJ$5="Sí",(1/DATOS_[[% anualiz]:[% anualiz]]),1)*IF(DATOS!AJ$4="Sí",1/DATOS_[[% normaliz]:[% normaliz]],1)*(DATOS_[Conc.Sal.06])))))))),
0)</f>
        <v>0</v>
      </c>
      <c r="P17" s="196">
        <f t="array" ref="P17">IFERROR(
(AVERAGE((IF(DATOS_[[Sexo]:[Sexo]]=$B17,IF(DATOS_[[AGRUP. VALOR. PTO.]:[AGRUP. VALOR. PTO.]]=$B15,IF(DATOS_[[Check Periodo Ref.]:[Check Periodo Ref.]]="Dentro",IF(DATOS_[[Check Equiparado]:[Check Equiparado]]="Sí",IF(DATOS!AK$5="Sí",(1/DATOS_[[% anualiz]:[% anualiz]]),1)*IF(DATOS!AK$4="Sí",1/DATOS_[[% normaliz]:[% normaliz]],1)*(DATOS_[Conc.Sal.07])))))))),
0)</f>
        <v>0</v>
      </c>
      <c r="Q17" s="196">
        <f t="array" ref="Q17">IFERROR(
(AVERAGE((IF(DATOS_[[Sexo]:[Sexo]]=$B17,IF(DATOS_[[AGRUP. VALOR. PTO.]:[AGRUP. VALOR. PTO.]]=$B15,IF(DATOS_[[Check Periodo Ref.]:[Check Periodo Ref.]]="Dentro",IF(DATOS_[[Check Equiparado]:[Check Equiparado]]="Sí",IF(DATOS!AL$5="Sí",(1/DATOS_[[% anualiz]:[% anualiz]]),1)*IF(DATOS!AL$4="Sí",1/DATOS_[[% normaliz]:[% normaliz]],1)*(DATOS_[Conc.Sal.08])))))))),
0)</f>
        <v>0</v>
      </c>
      <c r="R17" s="196">
        <f t="array" ref="R17">IFERROR(
(AVERAGE((IF(DATOS_[[Sexo]:[Sexo]]=$B17,IF(DATOS_[[AGRUP. VALOR. PTO.]:[AGRUP. VALOR. PTO.]]=$B15,IF(DATOS_[[Check Periodo Ref.]:[Check Periodo Ref.]]="Dentro",IF(DATOS_[[Check Equiparado]:[Check Equiparado]]="Sí",IF(DATOS!AM$5="Sí",(1/DATOS_[[% anualiz]:[% anualiz]]),1)*IF(DATOS!AM$4="Sí",1/DATOS_[[% normaliz]:[% normaliz]],1)*(DATOS_[Conc.Sal.09])))))))),
0)</f>
        <v>0</v>
      </c>
      <c r="S17" s="196">
        <f t="array" ref="S17">IFERROR(
(AVERAGE((IF(DATOS_[[Sexo]:[Sexo]]=$B17,IF(DATOS_[[AGRUP. VALOR. PTO.]:[AGRUP. VALOR. PTO.]]=$B15,IF(DATOS_[[Check Periodo Ref.]:[Check Periodo Ref.]]="Dentro",IF(DATOS_[[Check Equiparado]:[Check Equiparado]]="Sí",IF(DATOS!AN$5="Sí",(1/DATOS_[[% anualiz]:[% anualiz]]),1)*IF(DATOS!AN$4="Sí",1/DATOS_[[% normaliz]:[% normaliz]],1)*(DATOS_[Conc.Sal.10])))))))),
0)</f>
        <v>0</v>
      </c>
      <c r="T17" s="196">
        <f t="array" ref="T17">IFERROR(
(AVERAGE((IF(DATOS_[[Sexo]:[Sexo]]=$B17,IF(DATOS_[[AGRUP. VALOR. PTO.]:[AGRUP. VALOR. PTO.]]=$B15,IF(DATOS_[[Check Periodo Ref.]:[Check Periodo Ref.]]="Dentro",IF(DATOS_[[Check Equiparado]:[Check Equiparado]]="Sí",IF(DATOS!AO$5="Sí",(1/DATOS_[[% anualiz]:[% anualiz]]),1)*IF(DATOS!AO$4="Sí",1/DATOS_[[% normaliz]:[% normaliz]],1)*(DATOS_[Conc.Sal.11])))))))),
0)</f>
        <v>0</v>
      </c>
      <c r="U17" s="196">
        <f t="array" ref="U17">IFERROR(
(AVERAGE((IF(DATOS_[[Sexo]:[Sexo]]=$B17,IF(DATOS_[[AGRUP. VALOR. PTO.]:[AGRUP. VALOR. PTO.]]=$B15,IF(DATOS_[[Check Periodo Ref.]:[Check Periodo Ref.]]="Dentro",IF(DATOS_[[Check Equiparado]:[Check Equiparado]]="Sí",IF(DATOS!AP$5="Sí",(1/DATOS_[[% anualiz]:[% anualiz]]),1)*IF(DATOS!AP$4="Sí",1/DATOS_[[% normaliz]:[% normaliz]],1)*(DATOS_[Conc.Sal.12])))))))),
0)</f>
        <v>0</v>
      </c>
      <c r="V17" s="196">
        <f t="array" ref="V17">IFERROR(
(AVERAGE((IF(DATOS_[[Sexo]:[Sexo]]=$B17,IF(DATOS_[[AGRUP. VALOR. PTO.]:[AGRUP. VALOR. PTO.]]=$B15,IF(DATOS_[[Check Periodo Ref.]:[Check Periodo Ref.]]="Dentro",IF(DATOS_[[Check Equiparado]:[Check Equiparado]]="Sí",IF(DATOS!AQ$5="Sí",(1/DATOS_[[% anualiz]:[% anualiz]]),1)*IF(DATOS!AQ$4="Sí",1/DATOS_[[% normaliz]:[% normaliz]],1)*(DATOS_[Conc.Sal.13])))))))),
0)</f>
        <v>0</v>
      </c>
      <c r="W17" s="196">
        <f t="array" ref="W17">IFERROR(
(AVERAGE((IF(DATOS_[[Sexo]:[Sexo]]=$B17,IF(DATOS_[[AGRUP. VALOR. PTO.]:[AGRUP. VALOR. PTO.]]=$B15,IF(DATOS_[[Check Periodo Ref.]:[Check Periodo Ref.]]="Dentro",IF(DATOS_[[Check Equiparado]:[Check Equiparado]]="Sí",IF(DATOS!AR$5="Sí",(1/DATOS_[[% anualiz]:[% anualiz]]),1)*IF(DATOS!AR$4="Sí",1/DATOS_[[% normaliz]:[% normaliz]],1)*(DATOS_[Conc.Sal.14])))))))),
0)</f>
        <v>0</v>
      </c>
      <c r="X17" s="196">
        <f t="array" ref="X17">IFERROR(
(AVERAGE((IF(DATOS_[[Sexo]:[Sexo]]=$B17,IF(DATOS_[[AGRUP. VALOR. PTO.]:[AGRUP. VALOR. PTO.]]=$B15,IF(DATOS_[[Check Periodo Ref.]:[Check Periodo Ref.]]="Dentro",IF(DATOS_[[Check Equiparado]:[Check Equiparado]]="Sí",IF(DATOS!AS$5="Sí",(1/DATOS_[[% anualiz]:[% anualiz]]),1)*IF(DATOS!AS$4="Sí",1/DATOS_[[% normaliz]:[% normaliz]],1)*(DATOS_[Conc.Sal.15])))))))),
0)</f>
        <v>0</v>
      </c>
      <c r="Y17" s="196">
        <f t="array" ref="Y17">IFERROR(
(AVERAGE((IF(DATOS_[[Sexo]:[Sexo]]=$B17,IF(DATOS_[[AGRUP. VALOR. PTO.]:[AGRUP. VALOR. PTO.]]=$B15,IF(DATOS_[[Check Periodo Ref.]:[Check Periodo Ref.]]="Dentro",IF(DATOS_[[Check Equiparado]:[Check Equiparado]]="Sí",IF(DATOS!AT$5="Sí",(1/DATOS_[[% anualiz]:[% anualiz]]),1)*IF(DATOS!AT$4="Sí",1/DATOS_[[% normaliz]:[% normaliz]],1)*(DATOS_[Conc.Sal.16])))))))),
0)</f>
        <v>0</v>
      </c>
      <c r="Z17" s="196">
        <f t="array" ref="Z17">IFERROR(
(AVERAGE((IF(DATOS_[[Sexo]:[Sexo]]=$B17,IF(DATOS_[[AGRUP. VALOR. PTO.]:[AGRUP. VALOR. PTO.]]=$B15,IF(DATOS_[[Check Periodo Ref.]:[Check Periodo Ref.]]="Dentro",IF(DATOS_[[Check Equiparado]:[Check Equiparado]]="Sí",IF(DATOS!AU$5="Sí",(1/DATOS_[[% anualiz]:[% anualiz]]),1)*IF(DATOS!AU$4="Sí",1/DATOS_[[% normaliz]:[% normaliz]],1)*(DATOS_[Conc.Sal.17])))))))),
0)</f>
        <v>0</v>
      </c>
      <c r="AA17" s="196">
        <f t="array" ref="AA17">IFERROR(
(AVERAGE((IF(DATOS_[[Sexo]:[Sexo]]=$B17,IF(DATOS_[[AGRUP. VALOR. PTO.]:[AGRUP. VALOR. PTO.]]=$B15,IF(DATOS_[[Check Periodo Ref.]:[Check Periodo Ref.]]="Dentro",IF(DATOS_[[Check Equiparado]:[Check Equiparado]]="Sí",IF(DATOS!AV$5="Sí",(1/DATOS_[[% anualiz]:[% anualiz]]),1)*IF(DATOS!AV$4="Sí",1/DATOS_[[% normaliz]:[% normaliz]],1)*(DATOS_[Conc.Sal.18])))))))),
0)</f>
        <v>0</v>
      </c>
      <c r="AB17" s="196">
        <f t="array" ref="AB17">IFERROR(
(AVERAGE((IF(DATOS_[[Sexo]:[Sexo]]=$B17,IF(DATOS_[[AGRUP. VALOR. PTO.]:[AGRUP. VALOR. PTO.]]=$B15,IF(DATOS_[[Check Periodo Ref.]:[Check Periodo Ref.]]="Dentro",IF(DATOS_[[Check Equiparado]:[Check Equiparado]]="Sí",IF(DATOS!AW$5="Sí",(1/DATOS_[[% anualiz]:[% anualiz]]),1)*IF(DATOS!AW$4="Sí",1/DATOS_[[% normaliz]:[% normaliz]],1)*(DATOS_[Conc.Sal.19])))))))),
0)</f>
        <v>0</v>
      </c>
      <c r="AC17" s="196">
        <f t="array" ref="AC17">IFERROR(
(AVERAGE((IF(DATOS_[[Sexo]:[Sexo]]=$B17,IF(DATOS_[[AGRUP. VALOR. PTO.]:[AGRUP. VALOR. PTO.]]=$B15,IF(DATOS_[[Check Periodo Ref.]:[Check Periodo Ref.]]="Dentro",IF(DATOS_[[Check Equiparado]:[Check Equiparado]]="Sí",IF(DATOS!AX$5="Sí",(1/DATOS_[[% anualiz]:[% anualiz]]),1)*IF(DATOS!AX$4="Sí",1/DATOS_[[% normaliz]:[% normaliz]],1)*(DATOS_[Conc.Sal.20])))))))),
0)</f>
        <v>0</v>
      </c>
      <c r="AD17" s="196">
        <f t="array" ref="AD17">IFERROR(
(AVERAGE((IF(DATOS_[[Sexo]:[Sexo]]=$B17,IF(DATOS_[[AGRUP. VALOR. PTO.]:[AGRUP. VALOR. PTO.]]=$B15,IF(DATOS_[[Check Periodo Ref.]:[Check Periodo Ref.]]="Dentro",IF(DATOS_[[Check Equiparado]:[Check Equiparado]]="Sí",IF(DATOS!AY$5="Sí",(1/DATOS_[[% anualiz]:[% anualiz]]),1)*IF(DATOS!AY$4="Sí",1/DATOS_[[% normaliz]:[% normaliz]],1)*(DATOS_[Conc.Sal.21])))))))),
0)</f>
        <v>0</v>
      </c>
      <c r="AE17" s="196">
        <f t="array" ref="AE17">IFERROR(
(AVERAGE((IF(DATOS_[[Sexo]:[Sexo]]=$B17,IF(DATOS_[[AGRUP. VALOR. PTO.]:[AGRUP. VALOR. PTO.]]=$B15,IF(DATOS_[[Check Periodo Ref.]:[Check Periodo Ref.]]="Dentro",IF(DATOS_[[Check Equiparado]:[Check Equiparado]]="Sí",IF(DATOS!AZ$5="Sí",(1/DATOS_[[% anualiz]:[% anualiz]]),1)*IF(DATOS!AZ$4="Sí",1/DATOS_[[% normaliz]:[% normaliz]],1)*(DATOS_[Conc.Sal.22])))))))),
0)</f>
        <v>0</v>
      </c>
      <c r="AF17" s="196">
        <f t="array" ref="AF17">IFERROR(
(AVERAGE((IF(DATOS_[[Sexo]:[Sexo]]=$B17,IF(DATOS_[[AGRUP. VALOR. PTO.]:[AGRUP. VALOR. PTO.]]=$B15,IF(DATOS_[[Check Periodo Ref.]:[Check Periodo Ref.]]="Dentro",IF(DATOS_[[Check Equiparado]:[Check Equiparado]]="Sí",IF(DATOS!BA$5="Sí",(1/DATOS_[[% anualiz]:[% anualiz]]),1)*IF(DATOS!BA$4="Sí",1/DATOS_[[% normaliz]:[% normaliz]],1)*(DATOS_[Conc.Sal.23])))))))),
0)</f>
        <v>0</v>
      </c>
      <c r="AG17" s="196">
        <f t="array" ref="AG17">IFERROR(
(AVERAGE((IF(DATOS_[[Sexo]:[Sexo]]=$B17,IF(DATOS_[[AGRUP. VALOR. PTO.]:[AGRUP. VALOR. PTO.]]=$B15,IF(DATOS_[[Check Periodo Ref.]:[Check Periodo Ref.]]="Dentro",IF(DATOS_[[Check Equiparado]:[Check Equiparado]]="Sí",IF(DATOS!BB$5="Sí",(1/DATOS_[[% anualiz]:[% anualiz]]),1)*IF(DATOS!BB$4="Sí",1/DATOS_[[% normaliz]:[% normaliz]],1)*(DATOS_[Conc.Sal.24])))))))),
0)</f>
        <v>0</v>
      </c>
      <c r="AH17" s="196">
        <f t="array" ref="AH17">IFERROR(
(AVERAGE((IF(DATOS_[[Sexo]:[Sexo]]=$B17,IF(DATOS_[[AGRUP. VALOR. PTO.]:[AGRUP. VALOR. PTO.]]=$B15,IF(DATOS_[[Check Periodo Ref.]:[Check Periodo Ref.]]="Dentro",IF(DATOS_[[Check Equiparado]:[Check Equiparado]]="Sí",IF(DATOS!BC$5="Sí",(1/DATOS_[[% anualiz]:[% anualiz]]),1)*IF(DATOS!BC$4="Sí",1/DATOS_[[% normaliz]:[% normaliz]],1)*(DATOS_[Conc.Sal.25])))))))),
0)</f>
        <v>0</v>
      </c>
      <c r="AI17" s="196">
        <f t="array" ref="AI17">IFERROR(
(AVERAGE((IF(DATOS_[[Sexo]:[Sexo]]=$B17,IF(DATOS_[[AGRUP. VALOR. PTO.]:[AGRUP. VALOR. PTO.]]=$B15,IF(DATOS_[[Check Periodo Ref.]:[Check Periodo Ref.]]="Dentro",IF(DATOS_[[Check Equiparado]:[Check Equiparado]]="Sí",IF(DATOS!BD$5="Sí",(1/DATOS_[[% anualiz]:[% anualiz]]),1)*IF(DATOS!BD$4="Sí",1/DATOS_[[% normaliz]:[% normaliz]],1)*(DATOS_[Conc.Sal.26])))))))),
0)</f>
        <v>0</v>
      </c>
      <c r="AJ17" s="196">
        <f t="array" ref="AJ17">IFERROR(
(AVERAGE((IF(DATOS_[[Sexo]:[Sexo]]=$B17,IF(DATOS_[[AGRUP. VALOR. PTO.]:[AGRUP. VALOR. PTO.]]=$B15,IF(DATOS_[[Check Periodo Ref.]:[Check Periodo Ref.]]="Dentro",IF(DATOS_[[Check Equiparado]:[Check Equiparado]]="Sí",IF(DATOS!BE$5="Sí",(1/DATOS_[[% anualiz]:[% anualiz]]),1)*IF(DATOS!BE$4="Sí",1/DATOS_[[% normaliz]:[% normaliz]],1)*(DATOS_[Conc.Sal.27])))))))),
0)</f>
        <v>0</v>
      </c>
      <c r="AK17" s="196">
        <f t="array" ref="AK17">IFERROR(
(AVERAGE((IF(DATOS_[[Sexo]:[Sexo]]=$B17,IF(DATOS_[[AGRUP. VALOR. PTO.]:[AGRUP. VALOR. PTO.]]=$B15,IF(DATOS_[[Check Periodo Ref.]:[Check Periodo Ref.]]="Dentro",IF(DATOS_[[Check Equiparado]:[Check Equiparado]]="Sí",IF(DATOS!BF$5="Sí",(1/DATOS_[[% anualiz]:[% anualiz]]),1)*IF(DATOS!BF$4="Sí",1/DATOS_[[% normaliz]:[% normaliz]],1)*(DATOS_[Conc.Sal.28])))))))),
0)</f>
        <v>0</v>
      </c>
      <c r="AL17" s="196">
        <f t="array" ref="AL17">IFERROR(
(AVERAGE((IF(DATOS_[[Sexo]:[Sexo]]=$B17,IF(DATOS_[[AGRUP. VALOR. PTO.]:[AGRUP. VALOR. PTO.]]=$B15,IF(DATOS_[[Check Periodo Ref.]:[Check Periodo Ref.]]="Dentro",IF(DATOS_[[Check Equiparado]:[Check Equiparado]]="Sí",IF(DATOS!BG$5="Sí",(1/DATOS_[[% anualiz]:[% anualiz]]),1)*IF(DATOS!BG$4="Sí",1/DATOS_[[% normaliz]:[% normaliz]],1)*(DATOS_[Conc.Sal.29])))))))),
0)</f>
        <v>0</v>
      </c>
      <c r="AM17" s="196">
        <f t="array" ref="AM17">IFERROR(
(AVERAGE((IF(DATOS_[[Sexo]:[Sexo]]=$B17,IF(DATOS_[[AGRUP. VALOR. PTO.]:[AGRUP. VALOR. PTO.]]=$B15,IF(DATOS_[[Check Periodo Ref.]:[Check Periodo Ref.]]="Dentro",IF(DATOS_[[Check Equiparado]:[Check Equiparado]]="Sí",IF(DATOS!BH$5="Sí",(1/DATOS_[[% anualiz]:[% anualiz]]),1)*IF(DATOS!BH$4="Sí",1/DATOS_[[% normaliz]:[% normaliz]],1)*(DATOS_[Conc.Sal.30])))))))),
0)</f>
        <v>0</v>
      </c>
      <c r="AN17" s="195">
        <f t="array" ref="AN17">IFERROR(
AVERAGE(IF(DATOS_[Sexo]=$B17,IF(DATOS_[[AGRUP. VALOR. PTO.]:[AGRUP. VALOR. PTO.]]=$B15,IF(DATOS_[Check Equiparado]="Sí",IF(DATOS_[Check Periodo Ref.]="Dentro",DATOS_[Tot COMPL.SAL Eq],FALSE))))),
0)</f>
        <v>0</v>
      </c>
      <c r="AO17" s="172">
        <f t="array" ref="AO17">IFERROR(
AVERAGE(IF(DATOS_[Sexo]=$B17,IF(DATOS_[[AGRUP. VALOR. PTO.]:[AGRUP. VALOR. PTO.]]=$B15,IF(DATOS_[Check Equiparado]="Sí",IF(DATOS_[Check Periodo Ref.]="Dentro",DATOS_[TOTAL SALARIO Eq],FALSE))))),
0)</f>
        <v>0</v>
      </c>
      <c r="AP17" s="173">
        <f t="array" ref="AP17">IFERROR(
(AVERAGE((IF(DATOS_[[Sexo]:[Sexo]]=$B17,IF(DATOS_[[AGRUP. VALOR. PTO.]:[AGRUP. VALOR. PTO.]]=$B15,IF(DATOS_[[Check Periodo Ref.]:[Check Periodo Ref.]]="Dentro",IF(DATOS_[[Check Equiparado]:[Check Equiparado]]="Sí",IF(DATOS!BW$5="Sí",(1/DATOS_[[% anualiz]:[% anualiz]]),1)*IF(DATOS!BW$4="Sí",1/DATOS_[[% normaliz]:[% normaliz]],1)*(DATOS_[C.Extra.01])))))))),
0)</f>
        <v>0</v>
      </c>
      <c r="AQ17" s="173">
        <f t="array" ref="AQ17">IFERROR(
(AVERAGE((IF(DATOS_[[Sexo]:[Sexo]]=$B17,IF(DATOS_[[AGRUP. VALOR. PTO.]:[AGRUP. VALOR. PTO.]]=$B15,IF(DATOS_[[Check Periodo Ref.]:[Check Periodo Ref.]]="Dentro",IF(DATOS_[[Check Equiparado]:[Check Equiparado]]="Sí",IF(DATOS!CB$5="Sí",(1/DATOS_[[% anualiz]:[% anualiz]]),1)*IF(DATOS!CB$4="Sí",1/DATOS_[[% normaliz]:[% normaliz]],1)*(DATOS_[C.Extra.06])))))))),
0)</f>
        <v>0</v>
      </c>
      <c r="AR17" s="173">
        <f t="array" ref="AR17">IFERROR(
(AVERAGE((IF(DATOS_[[Sexo]:[Sexo]]=$B17,IF(DATOS_[[AGRUP. VALOR. PTO.]:[AGRUP. VALOR. PTO.]]=$B15,IF(DATOS_[[Check Periodo Ref.]:[Check Periodo Ref.]]="Dentro",IF(DATOS_[[Check Equiparado]:[Check Equiparado]]="Sí",IF(DATOS!CC$5="Sí",(1/DATOS_[[% anualiz]:[% anualiz]]),1)*IF(DATOS!CC$4="Sí",1/DATOS_[[% normaliz]:[% normaliz]],1)*(DATOS_[C.Extra.07])))))))),
0)</f>
        <v>0</v>
      </c>
      <c r="AS17" s="173">
        <f t="array" ref="AS17">IFERROR(
(AVERAGE((IF(DATOS_[[Sexo]:[Sexo]]=$B17,IF(DATOS_[[AGRUP. VALOR. PTO.]:[AGRUP. VALOR. PTO.]]=$B15,IF(DATOS_[[Check Periodo Ref.]:[Check Periodo Ref.]]="Dentro",IF(DATOS_[[Check Equiparado]:[Check Equiparado]]="Sí",IF(DATOS!CD$5="Sí",(1/DATOS_[[% anualiz]:[% anualiz]]),1)*IF(DATOS!CD$4="Sí",1/DATOS_[[% normaliz]:[% normaliz]],1)*(DATOS_[C.Extra.08])))))))),
0)</f>
        <v>0</v>
      </c>
      <c r="AT17" s="173">
        <f t="array" ref="AT17">IFERROR(
(AVERAGE((IF(DATOS_[[Sexo]:[Sexo]]=$B17,IF(DATOS_[[AGRUP. VALOR. PTO.]:[AGRUP. VALOR. PTO.]]=$B15,IF(DATOS_[[Check Periodo Ref.]:[Check Periodo Ref.]]="Dentro",IF(DATOS_[[Check Equiparado]:[Check Equiparado]]="Sí",IF(DATOS!CG$5="Sí",(1/DATOS_[[% anualiz]:[% anualiz]]),1)*IF(DATOS!CG$4="Sí",1/DATOS_[[% normaliz]:[% normaliz]],1)*(DATOS_[C.Extra.11])))))))),
0)</f>
        <v>0</v>
      </c>
      <c r="AU17" s="197">
        <f t="array" ref="AU17">IFERROR(
AVERAGE(IF(DATOS_[Sexo]=$B17,IF(DATOS_[[AGRUP. VALOR. PTO.]:[AGRUP. VALOR. PTO.]]=$B15,IF(DATOS_[Check Equiparado]="Sí",IF(DATOS_[Check Periodo Ref.]="Dentro",DATOS_[Tot Extrasalarial Eq],FALSE))))),
0)</f>
        <v>0</v>
      </c>
      <c r="AV17" s="175">
        <f t="array" ref="AV17">IFERROR(
AVERAGE(IF(DATOS_[Sexo]=$B17,IF(DATOS_[[AGRUP. VALOR. PTO.]:[AGRUP. VALOR. PTO.]]=$B15,IF(DATOS_[Check Equiparado]="Sí",IF(DATOS_[Check Periodo Ref.]="Dentro",DATOS_[TOTAL Retrib Eq],FALSE))))),
0)</f>
        <v>0</v>
      </c>
    </row>
    <row r="18" spans="1:48" ht="15.6" thickBot="1" x14ac:dyDescent="0.3">
      <c r="A18" s="133" t="str">
        <f t="shared" ref="A18" si="7">+A19</f>
        <v>[ocultar]</v>
      </c>
      <c r="B18" s="199" t="s">
        <v>183</v>
      </c>
      <c r="C18" s="200"/>
      <c r="D18" s="201"/>
      <c r="E18" s="201"/>
      <c r="F18" s="201"/>
      <c r="G18" s="201"/>
      <c r="H18" s="201"/>
      <c r="I18" s="189" t="str">
        <f t="shared" ref="I18:AV18" si="8">IFERROR((I19-I20)/I19,"")</f>
        <v/>
      </c>
      <c r="J18" s="190" t="str">
        <f t="shared" si="8"/>
        <v/>
      </c>
      <c r="K18" s="191" t="str">
        <f t="shared" si="8"/>
        <v/>
      </c>
      <c r="L18" s="191" t="str">
        <f t="shared" si="8"/>
        <v/>
      </c>
      <c r="M18" s="191" t="str">
        <f t="shared" si="8"/>
        <v/>
      </c>
      <c r="N18" s="192" t="str">
        <f t="shared" si="8"/>
        <v/>
      </c>
      <c r="O18" s="193" t="str">
        <f t="shared" si="8"/>
        <v/>
      </c>
      <c r="P18" s="193" t="str">
        <f t="shared" si="8"/>
        <v/>
      </c>
      <c r="Q18" s="193" t="str">
        <f t="shared" si="8"/>
        <v/>
      </c>
      <c r="R18" s="193" t="str">
        <f t="shared" si="8"/>
        <v/>
      </c>
      <c r="S18" s="193" t="str">
        <f t="shared" si="8"/>
        <v/>
      </c>
      <c r="T18" s="193" t="str">
        <f t="shared" si="8"/>
        <v/>
      </c>
      <c r="U18" s="193" t="str">
        <f t="shared" si="8"/>
        <v/>
      </c>
      <c r="V18" s="193" t="str">
        <f t="shared" si="8"/>
        <v/>
      </c>
      <c r="W18" s="193" t="str">
        <f t="shared" si="8"/>
        <v/>
      </c>
      <c r="X18" s="193" t="str">
        <f t="shared" si="8"/>
        <v/>
      </c>
      <c r="Y18" s="193" t="str">
        <f t="shared" si="8"/>
        <v/>
      </c>
      <c r="Z18" s="193" t="str">
        <f t="shared" si="8"/>
        <v/>
      </c>
      <c r="AA18" s="193" t="str">
        <f t="shared" si="8"/>
        <v/>
      </c>
      <c r="AB18" s="193" t="str">
        <f t="shared" si="8"/>
        <v/>
      </c>
      <c r="AC18" s="193" t="str">
        <f t="shared" si="8"/>
        <v/>
      </c>
      <c r="AD18" s="193" t="str">
        <f t="shared" si="8"/>
        <v/>
      </c>
      <c r="AE18" s="193" t="str">
        <f t="shared" si="8"/>
        <v/>
      </c>
      <c r="AF18" s="193" t="str">
        <f t="shared" si="8"/>
        <v/>
      </c>
      <c r="AG18" s="193" t="str">
        <f t="shared" si="8"/>
        <v/>
      </c>
      <c r="AH18" s="193" t="str">
        <f t="shared" si="8"/>
        <v/>
      </c>
      <c r="AI18" s="193" t="str">
        <f t="shared" si="8"/>
        <v/>
      </c>
      <c r="AJ18" s="193" t="str">
        <f t="shared" si="8"/>
        <v/>
      </c>
      <c r="AK18" s="193" t="str">
        <f t="shared" si="8"/>
        <v/>
      </c>
      <c r="AL18" s="193" t="str">
        <f t="shared" si="8"/>
        <v/>
      </c>
      <c r="AM18" s="193" t="str">
        <f t="shared" si="8"/>
        <v/>
      </c>
      <c r="AN18" s="189" t="str">
        <f t="shared" si="8"/>
        <v/>
      </c>
      <c r="AO18" s="162" t="str">
        <f t="shared" si="8"/>
        <v/>
      </c>
      <c r="AP18" s="163" t="str">
        <f t="shared" si="8"/>
        <v/>
      </c>
      <c r="AQ18" s="163" t="str">
        <f t="shared" si="8"/>
        <v/>
      </c>
      <c r="AR18" s="163" t="str">
        <f t="shared" si="8"/>
        <v/>
      </c>
      <c r="AS18" s="163" t="str">
        <f t="shared" si="8"/>
        <v/>
      </c>
      <c r="AT18" s="163" t="str">
        <f t="shared" si="8"/>
        <v/>
      </c>
      <c r="AU18" s="194" t="str">
        <f t="shared" si="8"/>
        <v/>
      </c>
      <c r="AV18" s="165" t="str">
        <f t="shared" si="8"/>
        <v/>
      </c>
    </row>
    <row r="19" spans="1:48" x14ac:dyDescent="0.25">
      <c r="A19" s="133" t="str">
        <f t="shared" ref="A19" si="9">+IF(C19+C20=0,"[ocultar]","")</f>
        <v>[ocultar]</v>
      </c>
      <c r="B19" s="202" t="s">
        <v>394</v>
      </c>
      <c r="C19" s="203">
        <f t="array" ref="C19">SUM(IF($B19=DATOS_[Sexo],
IF($B18=DATOS_[AGRUP. VALOR. PTO.],
IF("Dentro"=DATOS_[Check Periodo Ref.],
1/(COUNTIFS(DATOS_[Sexo],$B19,DATOS_[AGRUP. VALOR. PTO.],$B18,DATOS_[Check Periodo Ref.],"Dentro",DATOS_[id/cod],DATOS_[id/cod]))))))</f>
        <v>0</v>
      </c>
      <c r="D19" s="204">
        <f>COUNTIFS(DATOS_[AGRUP. VALOR. PTO.],$B18,DATOS_[Sexo],$B19,DATOS_[Check Periodo Ref.],"Dentro")</f>
        <v>0</v>
      </c>
      <c r="E19" s="204">
        <f>COUNTIFS(DATOS_[AGRUP. VALOR. PTO.],$B18,DATOS_[Sexo],$B19,DATOS_[Check Periodo Ref.],"Dentro",DATOS_[Check Nº SC Norm],"Sí")</f>
        <v>0</v>
      </c>
      <c r="F19" s="204">
        <f>COUNTIFS(DATOS_[AGRUP. VALOR. PTO.],$B18,DATOS_[Sexo],$B19,DATOS_[Check Periodo Ref.],"Dentro",DATOS_[Check Nº SC Anualiz],"Sí")</f>
        <v>0</v>
      </c>
      <c r="G19" s="204">
        <f>COUNTIFS(DATOS_[AGRUP. VALOR. PTO.],$B18,DATOS_[Sexo],$B19,DATOS_[Check Periodo Ref.],"Dentro",DATOS_[Check Nº SC Norm y Anualiz],"Sí")</f>
        <v>0</v>
      </c>
      <c r="H19" s="204">
        <f>COUNTIFS(DATOS_[AGRUP. VALOR. PTO.],$B18,DATOS_[Sexo],$B19,DATOS_[Check Periodo Ref.],"Dentro",DATOS_[Check Equiparación],"Sí")</f>
        <v>0</v>
      </c>
      <c r="I19" s="195">
        <f t="array" ref="I19">IFERROR(
AVERAGE(IF(DATOS_[Sexo]=$B19,IF(DATOS_[[AGRUP. VALOR. PTO.]:[AGRUP. VALOR. PTO.]]=$B18,IF(DATOS_[Check Equiparado]="Sí",IF(DATOS_[Check Periodo Ref.]="Dentro",DATOS_[SALARIO BASE Eq],FALSE))))),
0)</f>
        <v>0</v>
      </c>
      <c r="J19" s="196">
        <f t="array" ref="J19">IFERROR(
(AVERAGE((IF(DATOS_[[Sexo]:[Sexo]]=$B19,IF(DATOS_[[AGRUP. VALOR. PTO.]:[AGRUP. VALOR. PTO.]]=$B18,IF(DATOS_[[Check Periodo Ref.]:[Check Periodo Ref.]]="Dentro",IF(DATOS_[[Check Equiparado]:[Check Equiparado]]="Sí",IF(DATOS!AE$5="Sí",(1/DATOS_[[% anualiz]:[% anualiz]]),1)*IF(DATOS!AE$4="Sí",1/DATOS_[[% normaliz]:[% normaliz]],1)*(DATOS_[Conc.Sal.01])))))))),
0)</f>
        <v>0</v>
      </c>
      <c r="K19" s="196">
        <f t="array" ref="K19">IFERROR(
(AVERAGE((IF(DATOS_[[Sexo]:[Sexo]]=$B19,IF(DATOS_[[AGRUP. VALOR. PTO.]:[AGRUP. VALOR. PTO.]]=$B18,IF(DATOS_[[Check Periodo Ref.]:[Check Periodo Ref.]]="Dentro",IF(DATOS_[[Check Equiparado]:[Check Equiparado]]="Sí",IF(DATOS!AF$5="Sí",(1/DATOS_[[% anualiz]:[% anualiz]]),1)*IF(DATOS!AF$4="Sí",1/DATOS_[[% normaliz]:[% normaliz]],1)*(DATOS_[Conc.Sal.02])))))))),
0)</f>
        <v>0</v>
      </c>
      <c r="L19" s="196">
        <f t="array" ref="L19">IFERROR(
(AVERAGE((IF(DATOS_[[Sexo]:[Sexo]]=$B19,IF(DATOS_[[AGRUP. VALOR. PTO.]:[AGRUP. VALOR. PTO.]]=$B18,IF(DATOS_[[Check Periodo Ref.]:[Check Periodo Ref.]]="Dentro",IF(DATOS_[[Check Equiparado]:[Check Equiparado]]="Sí",IF(DATOS!AG$5="Sí",(1/DATOS_[[% anualiz]:[% anualiz]]),1)*IF(DATOS!AG$4="Sí",1/DATOS_[[% normaliz]:[% normaliz]],1)*(DATOS_[Conc.Sal.03])))))))),
0)</f>
        <v>0</v>
      </c>
      <c r="M19" s="196">
        <f t="array" ref="M19">IFERROR(
(AVERAGE((IF(DATOS_[[Sexo]:[Sexo]]=$B19,IF(DATOS_[[AGRUP. VALOR. PTO.]:[AGRUP. VALOR. PTO.]]=$B18,IF(DATOS_[[Check Periodo Ref.]:[Check Periodo Ref.]]="Dentro",IF(DATOS_[[Check Equiparado]:[Check Equiparado]]="Sí",IF(DATOS!AH$5="Sí",(1/DATOS_[[% anualiz]:[% anualiz]]),1)*IF(DATOS!AH$4="Sí",1/DATOS_[[% normaliz]:[% normaliz]],1)*(DATOS_[Conc.Sal.04])))))))),
0)</f>
        <v>0</v>
      </c>
      <c r="N19" s="196">
        <f t="array" ref="N19">IFERROR(
(AVERAGE((IF(DATOS_[[Sexo]:[Sexo]]=$B19,IF(DATOS_[[AGRUP. VALOR. PTO.]:[AGRUP. VALOR. PTO.]]=$B18,IF(DATOS_[[Check Periodo Ref.]:[Check Periodo Ref.]]="Dentro",IF(DATOS_[[Check Equiparado]:[Check Equiparado]]="Sí",IF(DATOS!AI$5="Sí",(1/DATOS_[[% anualiz]:[% anualiz]]),1)*IF(DATOS!AI$4="Sí",1/DATOS_[[% normaliz]:[% normaliz]],1)*(DATOS_[Conc.Sal.05])))))))),
0)</f>
        <v>0</v>
      </c>
      <c r="O19" s="196">
        <f t="array" ref="O19">IFERROR(
(AVERAGE((IF(DATOS_[[Sexo]:[Sexo]]=$B19,IF(DATOS_[[AGRUP. VALOR. PTO.]:[AGRUP. VALOR. PTO.]]=$B18,IF(DATOS_[[Check Periodo Ref.]:[Check Periodo Ref.]]="Dentro",IF(DATOS_[[Check Equiparado]:[Check Equiparado]]="Sí",IF(DATOS!AJ$5="Sí",(1/DATOS_[[% anualiz]:[% anualiz]]),1)*IF(DATOS!AJ$4="Sí",1/DATOS_[[% normaliz]:[% normaliz]],1)*(DATOS_[Conc.Sal.06])))))))),
0)</f>
        <v>0</v>
      </c>
      <c r="P19" s="196">
        <f t="array" ref="P19">IFERROR(
(AVERAGE((IF(DATOS_[[Sexo]:[Sexo]]=$B19,IF(DATOS_[[AGRUP. VALOR. PTO.]:[AGRUP. VALOR. PTO.]]=$B18,IF(DATOS_[[Check Periodo Ref.]:[Check Periodo Ref.]]="Dentro",IF(DATOS_[[Check Equiparado]:[Check Equiparado]]="Sí",IF(DATOS!AK$5="Sí",(1/DATOS_[[% anualiz]:[% anualiz]]),1)*IF(DATOS!AK$4="Sí",1/DATOS_[[% normaliz]:[% normaliz]],1)*(DATOS_[Conc.Sal.07])))))))),
0)</f>
        <v>0</v>
      </c>
      <c r="Q19" s="196">
        <f t="array" ref="Q19">IFERROR(
(AVERAGE((IF(DATOS_[[Sexo]:[Sexo]]=$B19,IF(DATOS_[[AGRUP. VALOR. PTO.]:[AGRUP. VALOR. PTO.]]=$B18,IF(DATOS_[[Check Periodo Ref.]:[Check Periodo Ref.]]="Dentro",IF(DATOS_[[Check Equiparado]:[Check Equiparado]]="Sí",IF(DATOS!AL$5="Sí",(1/DATOS_[[% anualiz]:[% anualiz]]),1)*IF(DATOS!AL$4="Sí",1/DATOS_[[% normaliz]:[% normaliz]],1)*(DATOS_[Conc.Sal.08])))))))),
0)</f>
        <v>0</v>
      </c>
      <c r="R19" s="196">
        <f t="array" ref="R19">IFERROR(
(AVERAGE((IF(DATOS_[[Sexo]:[Sexo]]=$B19,IF(DATOS_[[AGRUP. VALOR. PTO.]:[AGRUP. VALOR. PTO.]]=$B18,IF(DATOS_[[Check Periodo Ref.]:[Check Periodo Ref.]]="Dentro",IF(DATOS_[[Check Equiparado]:[Check Equiparado]]="Sí",IF(DATOS!AM$5="Sí",(1/DATOS_[[% anualiz]:[% anualiz]]),1)*IF(DATOS!AM$4="Sí",1/DATOS_[[% normaliz]:[% normaliz]],1)*(DATOS_[Conc.Sal.09])))))))),
0)</f>
        <v>0</v>
      </c>
      <c r="S19" s="196">
        <f t="array" ref="S19">IFERROR(
(AVERAGE((IF(DATOS_[[Sexo]:[Sexo]]=$B19,IF(DATOS_[[AGRUP. VALOR. PTO.]:[AGRUP. VALOR. PTO.]]=$B18,IF(DATOS_[[Check Periodo Ref.]:[Check Periodo Ref.]]="Dentro",IF(DATOS_[[Check Equiparado]:[Check Equiparado]]="Sí",IF(DATOS!AN$5="Sí",(1/DATOS_[[% anualiz]:[% anualiz]]),1)*IF(DATOS!AN$4="Sí",1/DATOS_[[% normaliz]:[% normaliz]],1)*(DATOS_[Conc.Sal.10])))))))),
0)</f>
        <v>0</v>
      </c>
      <c r="T19" s="196">
        <f t="array" ref="T19">IFERROR(
(AVERAGE((IF(DATOS_[[Sexo]:[Sexo]]=$B19,IF(DATOS_[[AGRUP. VALOR. PTO.]:[AGRUP. VALOR. PTO.]]=$B18,IF(DATOS_[[Check Periodo Ref.]:[Check Periodo Ref.]]="Dentro",IF(DATOS_[[Check Equiparado]:[Check Equiparado]]="Sí",IF(DATOS!AO$5="Sí",(1/DATOS_[[% anualiz]:[% anualiz]]),1)*IF(DATOS!AO$4="Sí",1/DATOS_[[% normaliz]:[% normaliz]],1)*(DATOS_[Conc.Sal.11])))))))),
0)</f>
        <v>0</v>
      </c>
      <c r="U19" s="196">
        <f t="array" ref="U19">IFERROR(
(AVERAGE((IF(DATOS_[[Sexo]:[Sexo]]=$B19,IF(DATOS_[[AGRUP. VALOR. PTO.]:[AGRUP. VALOR. PTO.]]=$B18,IF(DATOS_[[Check Periodo Ref.]:[Check Periodo Ref.]]="Dentro",IF(DATOS_[[Check Equiparado]:[Check Equiparado]]="Sí",IF(DATOS!AP$5="Sí",(1/DATOS_[[% anualiz]:[% anualiz]]),1)*IF(DATOS!AP$4="Sí",1/DATOS_[[% normaliz]:[% normaliz]],1)*(DATOS_[Conc.Sal.12])))))))),
0)</f>
        <v>0</v>
      </c>
      <c r="V19" s="196">
        <f t="array" ref="V19">IFERROR(
(AVERAGE((IF(DATOS_[[Sexo]:[Sexo]]=$B19,IF(DATOS_[[AGRUP. VALOR. PTO.]:[AGRUP. VALOR. PTO.]]=$B18,IF(DATOS_[[Check Periodo Ref.]:[Check Periodo Ref.]]="Dentro",IF(DATOS_[[Check Equiparado]:[Check Equiparado]]="Sí",IF(DATOS!AQ$5="Sí",(1/DATOS_[[% anualiz]:[% anualiz]]),1)*IF(DATOS!AQ$4="Sí",1/DATOS_[[% normaliz]:[% normaliz]],1)*(DATOS_[Conc.Sal.13])))))))),
0)</f>
        <v>0</v>
      </c>
      <c r="W19" s="196">
        <f t="array" ref="W19">IFERROR(
(AVERAGE((IF(DATOS_[[Sexo]:[Sexo]]=$B19,IF(DATOS_[[AGRUP. VALOR. PTO.]:[AGRUP. VALOR. PTO.]]=$B18,IF(DATOS_[[Check Periodo Ref.]:[Check Periodo Ref.]]="Dentro",IF(DATOS_[[Check Equiparado]:[Check Equiparado]]="Sí",IF(DATOS!AR$5="Sí",(1/DATOS_[[% anualiz]:[% anualiz]]),1)*IF(DATOS!AR$4="Sí",1/DATOS_[[% normaliz]:[% normaliz]],1)*(DATOS_[Conc.Sal.14])))))))),
0)</f>
        <v>0</v>
      </c>
      <c r="X19" s="196">
        <f t="array" ref="X19">IFERROR(
(AVERAGE((IF(DATOS_[[Sexo]:[Sexo]]=$B19,IF(DATOS_[[AGRUP. VALOR. PTO.]:[AGRUP. VALOR. PTO.]]=$B18,IF(DATOS_[[Check Periodo Ref.]:[Check Periodo Ref.]]="Dentro",IF(DATOS_[[Check Equiparado]:[Check Equiparado]]="Sí",IF(DATOS!AS$5="Sí",(1/DATOS_[[% anualiz]:[% anualiz]]),1)*IF(DATOS!AS$4="Sí",1/DATOS_[[% normaliz]:[% normaliz]],1)*(DATOS_[Conc.Sal.15])))))))),
0)</f>
        <v>0</v>
      </c>
      <c r="Y19" s="196">
        <f t="array" ref="Y19">IFERROR(
(AVERAGE((IF(DATOS_[[Sexo]:[Sexo]]=$B19,IF(DATOS_[[AGRUP. VALOR. PTO.]:[AGRUP. VALOR. PTO.]]=$B18,IF(DATOS_[[Check Periodo Ref.]:[Check Periodo Ref.]]="Dentro",IF(DATOS_[[Check Equiparado]:[Check Equiparado]]="Sí",IF(DATOS!AT$5="Sí",(1/DATOS_[[% anualiz]:[% anualiz]]),1)*IF(DATOS!AT$4="Sí",1/DATOS_[[% normaliz]:[% normaliz]],1)*(DATOS_[Conc.Sal.16])))))))),
0)</f>
        <v>0</v>
      </c>
      <c r="Z19" s="196">
        <f t="array" ref="Z19">IFERROR(
(AVERAGE((IF(DATOS_[[Sexo]:[Sexo]]=$B19,IF(DATOS_[[AGRUP. VALOR. PTO.]:[AGRUP. VALOR. PTO.]]=$B18,IF(DATOS_[[Check Periodo Ref.]:[Check Periodo Ref.]]="Dentro",IF(DATOS_[[Check Equiparado]:[Check Equiparado]]="Sí",IF(DATOS!AU$5="Sí",(1/DATOS_[[% anualiz]:[% anualiz]]),1)*IF(DATOS!AU$4="Sí",1/DATOS_[[% normaliz]:[% normaliz]],1)*(DATOS_[Conc.Sal.17])))))))),
0)</f>
        <v>0</v>
      </c>
      <c r="AA19" s="196">
        <f t="array" ref="AA19">IFERROR(
(AVERAGE((IF(DATOS_[[Sexo]:[Sexo]]=$B19,IF(DATOS_[[AGRUP. VALOR. PTO.]:[AGRUP. VALOR. PTO.]]=$B18,IF(DATOS_[[Check Periodo Ref.]:[Check Periodo Ref.]]="Dentro",IF(DATOS_[[Check Equiparado]:[Check Equiparado]]="Sí",IF(DATOS!AV$5="Sí",(1/DATOS_[[% anualiz]:[% anualiz]]),1)*IF(DATOS!AV$4="Sí",1/DATOS_[[% normaliz]:[% normaliz]],1)*(DATOS_[Conc.Sal.18])))))))),
0)</f>
        <v>0</v>
      </c>
      <c r="AB19" s="196">
        <f t="array" ref="AB19">IFERROR(
(AVERAGE((IF(DATOS_[[Sexo]:[Sexo]]=$B19,IF(DATOS_[[AGRUP. VALOR. PTO.]:[AGRUP. VALOR. PTO.]]=$B18,IF(DATOS_[[Check Periodo Ref.]:[Check Periodo Ref.]]="Dentro",IF(DATOS_[[Check Equiparado]:[Check Equiparado]]="Sí",IF(DATOS!AW$5="Sí",(1/DATOS_[[% anualiz]:[% anualiz]]),1)*IF(DATOS!AW$4="Sí",1/DATOS_[[% normaliz]:[% normaliz]],1)*(DATOS_[Conc.Sal.19])))))))),
0)</f>
        <v>0</v>
      </c>
      <c r="AC19" s="196">
        <f t="array" ref="AC19">IFERROR(
(AVERAGE((IF(DATOS_[[Sexo]:[Sexo]]=$B19,IF(DATOS_[[AGRUP. VALOR. PTO.]:[AGRUP. VALOR. PTO.]]=$B18,IF(DATOS_[[Check Periodo Ref.]:[Check Periodo Ref.]]="Dentro",IF(DATOS_[[Check Equiparado]:[Check Equiparado]]="Sí",IF(DATOS!AX$5="Sí",(1/DATOS_[[% anualiz]:[% anualiz]]),1)*IF(DATOS!AX$4="Sí",1/DATOS_[[% normaliz]:[% normaliz]],1)*(DATOS_[Conc.Sal.20])))))))),
0)</f>
        <v>0</v>
      </c>
      <c r="AD19" s="196">
        <f t="array" ref="AD19">IFERROR(
(AVERAGE((IF(DATOS_[[Sexo]:[Sexo]]=$B19,IF(DATOS_[[AGRUP. VALOR. PTO.]:[AGRUP. VALOR. PTO.]]=$B18,IF(DATOS_[[Check Periodo Ref.]:[Check Periodo Ref.]]="Dentro",IF(DATOS_[[Check Equiparado]:[Check Equiparado]]="Sí",IF(DATOS!AY$5="Sí",(1/DATOS_[[% anualiz]:[% anualiz]]),1)*IF(DATOS!AY$4="Sí",1/DATOS_[[% normaliz]:[% normaliz]],1)*(DATOS_[Conc.Sal.21])))))))),
0)</f>
        <v>0</v>
      </c>
      <c r="AE19" s="196">
        <f t="array" ref="AE19">IFERROR(
(AVERAGE((IF(DATOS_[[Sexo]:[Sexo]]=$B19,IF(DATOS_[[AGRUP. VALOR. PTO.]:[AGRUP. VALOR. PTO.]]=$B18,IF(DATOS_[[Check Periodo Ref.]:[Check Periodo Ref.]]="Dentro",IF(DATOS_[[Check Equiparado]:[Check Equiparado]]="Sí",IF(DATOS!AZ$5="Sí",(1/DATOS_[[% anualiz]:[% anualiz]]),1)*IF(DATOS!AZ$4="Sí",1/DATOS_[[% normaliz]:[% normaliz]],1)*(DATOS_[Conc.Sal.22])))))))),
0)</f>
        <v>0</v>
      </c>
      <c r="AF19" s="196">
        <f t="array" ref="AF19">IFERROR(
(AVERAGE((IF(DATOS_[[Sexo]:[Sexo]]=$B19,IF(DATOS_[[AGRUP. VALOR. PTO.]:[AGRUP. VALOR. PTO.]]=$B18,IF(DATOS_[[Check Periodo Ref.]:[Check Periodo Ref.]]="Dentro",IF(DATOS_[[Check Equiparado]:[Check Equiparado]]="Sí",IF(DATOS!BA$5="Sí",(1/DATOS_[[% anualiz]:[% anualiz]]),1)*IF(DATOS!BA$4="Sí",1/DATOS_[[% normaliz]:[% normaliz]],1)*(DATOS_[Conc.Sal.23])))))))),
0)</f>
        <v>0</v>
      </c>
      <c r="AG19" s="196">
        <f t="array" ref="AG19">IFERROR(
(AVERAGE((IF(DATOS_[[Sexo]:[Sexo]]=$B19,IF(DATOS_[[AGRUP. VALOR. PTO.]:[AGRUP. VALOR. PTO.]]=$B18,IF(DATOS_[[Check Periodo Ref.]:[Check Periodo Ref.]]="Dentro",IF(DATOS_[[Check Equiparado]:[Check Equiparado]]="Sí",IF(DATOS!BB$5="Sí",(1/DATOS_[[% anualiz]:[% anualiz]]),1)*IF(DATOS!BB$4="Sí",1/DATOS_[[% normaliz]:[% normaliz]],1)*(DATOS_[Conc.Sal.24])))))))),
0)</f>
        <v>0</v>
      </c>
      <c r="AH19" s="196">
        <f t="array" ref="AH19">IFERROR(
(AVERAGE((IF(DATOS_[[Sexo]:[Sexo]]=$B19,IF(DATOS_[[AGRUP. VALOR. PTO.]:[AGRUP. VALOR. PTO.]]=$B18,IF(DATOS_[[Check Periodo Ref.]:[Check Periodo Ref.]]="Dentro",IF(DATOS_[[Check Equiparado]:[Check Equiparado]]="Sí",IF(DATOS!BC$5="Sí",(1/DATOS_[[% anualiz]:[% anualiz]]),1)*IF(DATOS!BC$4="Sí",1/DATOS_[[% normaliz]:[% normaliz]],1)*(DATOS_[Conc.Sal.25])))))))),
0)</f>
        <v>0</v>
      </c>
      <c r="AI19" s="196">
        <f t="array" ref="AI19">IFERROR(
(AVERAGE((IF(DATOS_[[Sexo]:[Sexo]]=$B19,IF(DATOS_[[AGRUP. VALOR. PTO.]:[AGRUP. VALOR. PTO.]]=$B18,IF(DATOS_[[Check Periodo Ref.]:[Check Periodo Ref.]]="Dentro",IF(DATOS_[[Check Equiparado]:[Check Equiparado]]="Sí",IF(DATOS!BD$5="Sí",(1/DATOS_[[% anualiz]:[% anualiz]]),1)*IF(DATOS!BD$4="Sí",1/DATOS_[[% normaliz]:[% normaliz]],1)*(DATOS_[Conc.Sal.26])))))))),
0)</f>
        <v>0</v>
      </c>
      <c r="AJ19" s="196">
        <f t="array" ref="AJ19">IFERROR(
(AVERAGE((IF(DATOS_[[Sexo]:[Sexo]]=$B19,IF(DATOS_[[AGRUP. VALOR. PTO.]:[AGRUP. VALOR. PTO.]]=$B18,IF(DATOS_[[Check Periodo Ref.]:[Check Periodo Ref.]]="Dentro",IF(DATOS_[[Check Equiparado]:[Check Equiparado]]="Sí",IF(DATOS!BE$5="Sí",(1/DATOS_[[% anualiz]:[% anualiz]]),1)*IF(DATOS!BE$4="Sí",1/DATOS_[[% normaliz]:[% normaliz]],1)*(DATOS_[Conc.Sal.27])))))))),
0)</f>
        <v>0</v>
      </c>
      <c r="AK19" s="196">
        <f t="array" ref="AK19">IFERROR(
(AVERAGE((IF(DATOS_[[Sexo]:[Sexo]]=$B19,IF(DATOS_[[AGRUP. VALOR. PTO.]:[AGRUP. VALOR. PTO.]]=$B18,IF(DATOS_[[Check Periodo Ref.]:[Check Periodo Ref.]]="Dentro",IF(DATOS_[[Check Equiparado]:[Check Equiparado]]="Sí",IF(DATOS!BF$5="Sí",(1/DATOS_[[% anualiz]:[% anualiz]]),1)*IF(DATOS!BF$4="Sí",1/DATOS_[[% normaliz]:[% normaliz]],1)*(DATOS_[Conc.Sal.28])))))))),
0)</f>
        <v>0</v>
      </c>
      <c r="AL19" s="196">
        <f t="array" ref="AL19">IFERROR(
(AVERAGE((IF(DATOS_[[Sexo]:[Sexo]]=$B19,IF(DATOS_[[AGRUP. VALOR. PTO.]:[AGRUP. VALOR. PTO.]]=$B18,IF(DATOS_[[Check Periodo Ref.]:[Check Periodo Ref.]]="Dentro",IF(DATOS_[[Check Equiparado]:[Check Equiparado]]="Sí",IF(DATOS!BG$5="Sí",(1/DATOS_[[% anualiz]:[% anualiz]]),1)*IF(DATOS!BG$4="Sí",1/DATOS_[[% normaliz]:[% normaliz]],1)*(DATOS_[Conc.Sal.29])))))))),
0)</f>
        <v>0</v>
      </c>
      <c r="AM19" s="196">
        <f t="array" ref="AM19">IFERROR(
(AVERAGE((IF(DATOS_[[Sexo]:[Sexo]]=$B19,IF(DATOS_[[AGRUP. VALOR. PTO.]:[AGRUP. VALOR. PTO.]]=$B18,IF(DATOS_[[Check Periodo Ref.]:[Check Periodo Ref.]]="Dentro",IF(DATOS_[[Check Equiparado]:[Check Equiparado]]="Sí",IF(DATOS!BH$5="Sí",(1/DATOS_[[% anualiz]:[% anualiz]]),1)*IF(DATOS!BH$4="Sí",1/DATOS_[[% normaliz]:[% normaliz]],1)*(DATOS_[Conc.Sal.30])))))))),
0)</f>
        <v>0</v>
      </c>
      <c r="AN19" s="195">
        <f t="array" ref="AN19">IFERROR(
AVERAGE(IF(DATOS_[Sexo]=$B19,IF(DATOS_[[AGRUP. VALOR. PTO.]:[AGRUP. VALOR. PTO.]]=$B18,IF(DATOS_[Check Equiparado]="Sí",IF(DATOS_[Check Periodo Ref.]="Dentro",DATOS_[Tot COMPL.SAL Eq],FALSE))))),
0)</f>
        <v>0</v>
      </c>
      <c r="AO19" s="172">
        <f t="array" ref="AO19">IFERROR(
AVERAGE(IF(DATOS_[Sexo]=$B19,IF(DATOS_[[AGRUP. VALOR. PTO.]:[AGRUP. VALOR. PTO.]]=$B18,IF(DATOS_[Check Equiparado]="Sí",IF(DATOS_[Check Periodo Ref.]="Dentro",DATOS_[TOTAL SALARIO Eq],FALSE))))),
0)</f>
        <v>0</v>
      </c>
      <c r="AP19" s="173">
        <f t="array" ref="AP19">IFERROR(
(AVERAGE((IF(DATOS_[[Sexo]:[Sexo]]=$B19,IF(DATOS_[[AGRUP. VALOR. PTO.]:[AGRUP. VALOR. PTO.]]=$B18,IF(DATOS_[[Check Periodo Ref.]:[Check Periodo Ref.]]="Dentro",IF(DATOS_[[Check Equiparado]:[Check Equiparado]]="Sí",IF(DATOS!BW$5="Sí",(1/DATOS_[[% anualiz]:[% anualiz]]),1)*IF(DATOS!BW$4="Sí",1/DATOS_[[% normaliz]:[% normaliz]],1)*(DATOS_[C.Extra.01])))))))),
0)</f>
        <v>0</v>
      </c>
      <c r="AQ19" s="173">
        <f t="array" ref="AQ19">IFERROR(
(AVERAGE((IF(DATOS_[[Sexo]:[Sexo]]=$B19,IF(DATOS_[[AGRUP. VALOR. PTO.]:[AGRUP. VALOR. PTO.]]=$B18,IF(DATOS_[[Check Periodo Ref.]:[Check Periodo Ref.]]="Dentro",IF(DATOS_[[Check Equiparado]:[Check Equiparado]]="Sí",IF(DATOS!CB$5="Sí",(1/DATOS_[[% anualiz]:[% anualiz]]),1)*IF(DATOS!CB$4="Sí",1/DATOS_[[% normaliz]:[% normaliz]],1)*(DATOS_[C.Extra.06])))))))),
0)</f>
        <v>0</v>
      </c>
      <c r="AR19" s="173">
        <f t="array" ref="AR19">IFERROR(
(AVERAGE((IF(DATOS_[[Sexo]:[Sexo]]=$B19,IF(DATOS_[[AGRUP. VALOR. PTO.]:[AGRUP. VALOR. PTO.]]=$B18,IF(DATOS_[[Check Periodo Ref.]:[Check Periodo Ref.]]="Dentro",IF(DATOS_[[Check Equiparado]:[Check Equiparado]]="Sí",IF(DATOS!CC$5="Sí",(1/DATOS_[[% anualiz]:[% anualiz]]),1)*IF(DATOS!CC$4="Sí",1/DATOS_[[% normaliz]:[% normaliz]],1)*(DATOS_[C.Extra.07])))))))),
0)</f>
        <v>0</v>
      </c>
      <c r="AS19" s="173">
        <f t="array" ref="AS19">IFERROR(
(AVERAGE((IF(DATOS_[[Sexo]:[Sexo]]=$B19,IF(DATOS_[[AGRUP. VALOR. PTO.]:[AGRUP. VALOR. PTO.]]=$B18,IF(DATOS_[[Check Periodo Ref.]:[Check Periodo Ref.]]="Dentro",IF(DATOS_[[Check Equiparado]:[Check Equiparado]]="Sí",IF(DATOS!CD$5="Sí",(1/DATOS_[[% anualiz]:[% anualiz]]),1)*IF(DATOS!CD$4="Sí",1/DATOS_[[% normaliz]:[% normaliz]],1)*(DATOS_[C.Extra.08])))))))),
0)</f>
        <v>0</v>
      </c>
      <c r="AT19" s="173">
        <f t="array" ref="AT19">IFERROR(
(AVERAGE((IF(DATOS_[[Sexo]:[Sexo]]=$B19,IF(DATOS_[[AGRUP. VALOR. PTO.]:[AGRUP. VALOR. PTO.]]=$B18,IF(DATOS_[[Check Periodo Ref.]:[Check Periodo Ref.]]="Dentro",IF(DATOS_[[Check Equiparado]:[Check Equiparado]]="Sí",IF(DATOS!CG$5="Sí",(1/DATOS_[[% anualiz]:[% anualiz]]),1)*IF(DATOS!CG$4="Sí",1/DATOS_[[% normaliz]:[% normaliz]],1)*(DATOS_[C.Extra.11])))))))),
0)</f>
        <v>0</v>
      </c>
      <c r="AU19" s="197">
        <f t="array" ref="AU19">IFERROR(
AVERAGE(IF(DATOS_[Sexo]=$B19,IF(DATOS_[[AGRUP. VALOR. PTO.]:[AGRUP. VALOR. PTO.]]=$B18,IF(DATOS_[Check Equiparado]="Sí",IF(DATOS_[Check Periodo Ref.]="Dentro",DATOS_[Tot Extrasalarial Eq],FALSE))))),
0)</f>
        <v>0</v>
      </c>
      <c r="AV19" s="175">
        <f t="array" ref="AV19">IFERROR(
AVERAGE(IF(DATOS_[Sexo]=$B19,IF(DATOS_[[AGRUP. VALOR. PTO.]:[AGRUP. VALOR. PTO.]]=$B18,IF(DATOS_[Check Equiparado]="Sí",IF(DATOS_[Check Periodo Ref.]="Dentro",DATOS_[TOTAL Retrib Eq],FALSE))))),
0)</f>
        <v>0</v>
      </c>
    </row>
    <row r="20" spans="1:48" x14ac:dyDescent="0.25">
      <c r="A20" s="133" t="str">
        <f t="shared" ref="A20" si="10">+A19</f>
        <v>[ocultar]</v>
      </c>
      <c r="B20" s="202" t="s">
        <v>521</v>
      </c>
      <c r="C20" s="203">
        <f t="array" ref="C20">SUM(IF($B20=DATOS_[Sexo],
IF($B18=DATOS_[AGRUP. VALOR. PTO.],
IF("Dentro"=DATOS_[Check Periodo Ref.],
1/(COUNTIFS(DATOS_[Sexo],$B20,DATOS_[AGRUP. VALOR. PTO.],$B18,DATOS_[Check Periodo Ref.],"Dentro",DATOS_[id/cod],DATOS_[id/cod]))))))</f>
        <v>0</v>
      </c>
      <c r="D20" s="204">
        <f>COUNTIFS(DATOS_[AGRUP. VALOR. PTO.],$B18,DATOS_[Sexo],$B20,DATOS_[Check Periodo Ref.],"Dentro")</f>
        <v>0</v>
      </c>
      <c r="E20" s="204">
        <f>COUNTIFS(DATOS_[AGRUP. VALOR. PTO.],$B18,DATOS_[Sexo],$B20,DATOS_[Check Periodo Ref.],"Dentro",DATOS_[Check Nº SC Norm],"Sí")</f>
        <v>0</v>
      </c>
      <c r="F20" s="204">
        <f>COUNTIFS(DATOS_[AGRUP. VALOR. PTO.],$B18,DATOS_[Sexo],$B20,DATOS_[Check Periodo Ref.],"Dentro",DATOS_[Check Nº SC Anualiz],"Sí")</f>
        <v>0</v>
      </c>
      <c r="G20" s="204">
        <f>COUNTIFS(DATOS_[AGRUP. VALOR. PTO.],$B18,DATOS_[Sexo],$B20,DATOS_[Check Periodo Ref.],"Dentro",DATOS_[Check Nº SC Norm y Anualiz],"Sí")</f>
        <v>0</v>
      </c>
      <c r="H20" s="204">
        <f>COUNTIFS(DATOS_[AGRUP. VALOR. PTO.],$B18,DATOS_[Sexo],$B20,DATOS_[Check Periodo Ref.],"Dentro",DATOS_[Check Equiparación],"Sí")</f>
        <v>0</v>
      </c>
      <c r="I20" s="195" cm="1">
        <f t="array" ref="I20">IFERROR(
AVERAGE(IF(DATOS_[Sexo]=$B20,IF(DATOS_[[AGRUP. VALOR. PTO.]:[AGRUP. VALOR. PTO.]]=$B18,IF(DATOS_[Check Equiparado]="Sí",IF(DATOS_[Check Periodo Ref.]="Dentro",DATOS_[SALARIO BASE Eq],FALSE))))),
0)</f>
        <v>0</v>
      </c>
      <c r="J20" s="196">
        <f t="array" ref="J20">IFERROR(
(AVERAGE((IF(DATOS_[[Sexo]:[Sexo]]=$B20,IF(DATOS_[[AGRUP. VALOR. PTO.]:[AGRUP. VALOR. PTO.]]=$B18,IF(DATOS_[[Check Periodo Ref.]:[Check Periodo Ref.]]="Dentro",IF(DATOS_[[Check Equiparado]:[Check Equiparado]]="Sí",IF(DATOS!AE$5="Sí",(1/DATOS_[[% anualiz]:[% anualiz]]),1)*IF(DATOS!AE$4="Sí",1/DATOS_[[% normaliz]:[% normaliz]],1)*(DATOS_[Conc.Sal.01])))))))),
0)</f>
        <v>0</v>
      </c>
      <c r="K20" s="196">
        <f t="array" ref="K20">IFERROR(
(AVERAGE((IF(DATOS_[[Sexo]:[Sexo]]=$B20,IF(DATOS_[[AGRUP. VALOR. PTO.]:[AGRUP. VALOR. PTO.]]=$B18,IF(DATOS_[[Check Periodo Ref.]:[Check Periodo Ref.]]="Dentro",IF(DATOS_[[Check Equiparado]:[Check Equiparado]]="Sí",IF(DATOS!AF$5="Sí",(1/DATOS_[[% anualiz]:[% anualiz]]),1)*IF(DATOS!AF$4="Sí",1/DATOS_[[% normaliz]:[% normaliz]],1)*(DATOS_[Conc.Sal.02])))))))),
0)</f>
        <v>0</v>
      </c>
      <c r="L20" s="196">
        <f t="array" ref="L20">IFERROR(
(AVERAGE((IF(DATOS_[[Sexo]:[Sexo]]=$B20,IF(DATOS_[[AGRUP. VALOR. PTO.]:[AGRUP. VALOR. PTO.]]=$B18,IF(DATOS_[[Check Periodo Ref.]:[Check Periodo Ref.]]="Dentro",IF(DATOS_[[Check Equiparado]:[Check Equiparado]]="Sí",IF(DATOS!AG$5="Sí",(1/DATOS_[[% anualiz]:[% anualiz]]),1)*IF(DATOS!AG$4="Sí",1/DATOS_[[% normaliz]:[% normaliz]],1)*(DATOS_[Conc.Sal.03])))))))),
0)</f>
        <v>0</v>
      </c>
      <c r="M20" s="196">
        <f t="array" ref="M20">IFERROR(
(AVERAGE((IF(DATOS_[[Sexo]:[Sexo]]=$B20,IF(DATOS_[[AGRUP. VALOR. PTO.]:[AGRUP. VALOR. PTO.]]=$B18,IF(DATOS_[[Check Periodo Ref.]:[Check Periodo Ref.]]="Dentro",IF(DATOS_[[Check Equiparado]:[Check Equiparado]]="Sí",IF(DATOS!AH$5="Sí",(1/DATOS_[[% anualiz]:[% anualiz]]),1)*IF(DATOS!AH$4="Sí",1/DATOS_[[% normaliz]:[% normaliz]],1)*(DATOS_[Conc.Sal.04])))))))),
0)</f>
        <v>0</v>
      </c>
      <c r="N20" s="196">
        <f t="array" ref="N20">IFERROR(
(AVERAGE((IF(DATOS_[[Sexo]:[Sexo]]=$B20,IF(DATOS_[[AGRUP. VALOR. PTO.]:[AGRUP. VALOR. PTO.]]=$B18,IF(DATOS_[[Check Periodo Ref.]:[Check Periodo Ref.]]="Dentro",IF(DATOS_[[Check Equiparado]:[Check Equiparado]]="Sí",IF(DATOS!AI$5="Sí",(1/DATOS_[[% anualiz]:[% anualiz]]),1)*IF(DATOS!AI$4="Sí",1/DATOS_[[% normaliz]:[% normaliz]],1)*(DATOS_[Conc.Sal.05])))))))),
0)</f>
        <v>0</v>
      </c>
      <c r="O20" s="196">
        <f t="array" ref="O20">IFERROR(
(AVERAGE((IF(DATOS_[[Sexo]:[Sexo]]=$B20,IF(DATOS_[[AGRUP. VALOR. PTO.]:[AGRUP. VALOR. PTO.]]=$B18,IF(DATOS_[[Check Periodo Ref.]:[Check Periodo Ref.]]="Dentro",IF(DATOS_[[Check Equiparado]:[Check Equiparado]]="Sí",IF(DATOS!AJ$5="Sí",(1/DATOS_[[% anualiz]:[% anualiz]]),1)*IF(DATOS!AJ$4="Sí",1/DATOS_[[% normaliz]:[% normaliz]],1)*(DATOS_[Conc.Sal.06])))))))),
0)</f>
        <v>0</v>
      </c>
      <c r="P20" s="196">
        <f t="array" ref="P20">IFERROR(
(AVERAGE((IF(DATOS_[[Sexo]:[Sexo]]=$B20,IF(DATOS_[[AGRUP. VALOR. PTO.]:[AGRUP. VALOR. PTO.]]=$B18,IF(DATOS_[[Check Periodo Ref.]:[Check Periodo Ref.]]="Dentro",IF(DATOS_[[Check Equiparado]:[Check Equiparado]]="Sí",IF(DATOS!AK$5="Sí",(1/DATOS_[[% anualiz]:[% anualiz]]),1)*IF(DATOS!AK$4="Sí",1/DATOS_[[% normaliz]:[% normaliz]],1)*(DATOS_[Conc.Sal.07])))))))),
0)</f>
        <v>0</v>
      </c>
      <c r="Q20" s="196">
        <f t="array" ref="Q20">IFERROR(
(AVERAGE((IF(DATOS_[[Sexo]:[Sexo]]=$B20,IF(DATOS_[[AGRUP. VALOR. PTO.]:[AGRUP. VALOR. PTO.]]=$B18,IF(DATOS_[[Check Periodo Ref.]:[Check Periodo Ref.]]="Dentro",IF(DATOS_[[Check Equiparado]:[Check Equiparado]]="Sí",IF(DATOS!AL$5="Sí",(1/DATOS_[[% anualiz]:[% anualiz]]),1)*IF(DATOS!AL$4="Sí",1/DATOS_[[% normaliz]:[% normaliz]],1)*(DATOS_[Conc.Sal.08])))))))),
0)</f>
        <v>0</v>
      </c>
      <c r="R20" s="196">
        <f t="array" ref="R20">IFERROR(
(AVERAGE((IF(DATOS_[[Sexo]:[Sexo]]=$B20,IF(DATOS_[[AGRUP. VALOR. PTO.]:[AGRUP. VALOR. PTO.]]=$B18,IF(DATOS_[[Check Periodo Ref.]:[Check Periodo Ref.]]="Dentro",IF(DATOS_[[Check Equiparado]:[Check Equiparado]]="Sí",IF(DATOS!AM$5="Sí",(1/DATOS_[[% anualiz]:[% anualiz]]),1)*IF(DATOS!AM$4="Sí",1/DATOS_[[% normaliz]:[% normaliz]],1)*(DATOS_[Conc.Sal.09])))))))),
0)</f>
        <v>0</v>
      </c>
      <c r="S20" s="196">
        <f t="array" ref="S20">IFERROR(
(AVERAGE((IF(DATOS_[[Sexo]:[Sexo]]=$B20,IF(DATOS_[[AGRUP. VALOR. PTO.]:[AGRUP. VALOR. PTO.]]=$B18,IF(DATOS_[[Check Periodo Ref.]:[Check Periodo Ref.]]="Dentro",IF(DATOS_[[Check Equiparado]:[Check Equiparado]]="Sí",IF(DATOS!AN$5="Sí",(1/DATOS_[[% anualiz]:[% anualiz]]),1)*IF(DATOS!AN$4="Sí",1/DATOS_[[% normaliz]:[% normaliz]],1)*(DATOS_[Conc.Sal.10])))))))),
0)</f>
        <v>0</v>
      </c>
      <c r="T20" s="196">
        <f t="array" ref="T20">IFERROR(
(AVERAGE((IF(DATOS_[[Sexo]:[Sexo]]=$B20,IF(DATOS_[[AGRUP. VALOR. PTO.]:[AGRUP. VALOR. PTO.]]=$B18,IF(DATOS_[[Check Periodo Ref.]:[Check Periodo Ref.]]="Dentro",IF(DATOS_[[Check Equiparado]:[Check Equiparado]]="Sí",IF(DATOS!AO$5="Sí",(1/DATOS_[[% anualiz]:[% anualiz]]),1)*IF(DATOS!AO$4="Sí",1/DATOS_[[% normaliz]:[% normaliz]],1)*(DATOS_[Conc.Sal.11])))))))),
0)</f>
        <v>0</v>
      </c>
      <c r="U20" s="196">
        <f t="array" ref="U20">IFERROR(
(AVERAGE((IF(DATOS_[[Sexo]:[Sexo]]=$B20,IF(DATOS_[[AGRUP. VALOR. PTO.]:[AGRUP. VALOR. PTO.]]=$B18,IF(DATOS_[[Check Periodo Ref.]:[Check Periodo Ref.]]="Dentro",IF(DATOS_[[Check Equiparado]:[Check Equiparado]]="Sí",IF(DATOS!AP$5="Sí",(1/DATOS_[[% anualiz]:[% anualiz]]),1)*IF(DATOS!AP$4="Sí",1/DATOS_[[% normaliz]:[% normaliz]],1)*(DATOS_[Conc.Sal.12])))))))),
0)</f>
        <v>0</v>
      </c>
      <c r="V20" s="196">
        <f t="array" ref="V20">IFERROR(
(AVERAGE((IF(DATOS_[[Sexo]:[Sexo]]=$B20,IF(DATOS_[[AGRUP. VALOR. PTO.]:[AGRUP. VALOR. PTO.]]=$B18,IF(DATOS_[[Check Periodo Ref.]:[Check Periodo Ref.]]="Dentro",IF(DATOS_[[Check Equiparado]:[Check Equiparado]]="Sí",IF(DATOS!AQ$5="Sí",(1/DATOS_[[% anualiz]:[% anualiz]]),1)*IF(DATOS!AQ$4="Sí",1/DATOS_[[% normaliz]:[% normaliz]],1)*(DATOS_[Conc.Sal.13])))))))),
0)</f>
        <v>0</v>
      </c>
      <c r="W20" s="196">
        <f t="array" ref="W20">IFERROR(
(AVERAGE((IF(DATOS_[[Sexo]:[Sexo]]=$B20,IF(DATOS_[[AGRUP. VALOR. PTO.]:[AGRUP. VALOR. PTO.]]=$B18,IF(DATOS_[[Check Periodo Ref.]:[Check Periodo Ref.]]="Dentro",IF(DATOS_[[Check Equiparado]:[Check Equiparado]]="Sí",IF(DATOS!AR$5="Sí",(1/DATOS_[[% anualiz]:[% anualiz]]),1)*IF(DATOS!AR$4="Sí",1/DATOS_[[% normaliz]:[% normaliz]],1)*(DATOS_[Conc.Sal.14])))))))),
0)</f>
        <v>0</v>
      </c>
      <c r="X20" s="196">
        <f t="array" ref="X20">IFERROR(
(AVERAGE((IF(DATOS_[[Sexo]:[Sexo]]=$B20,IF(DATOS_[[AGRUP. VALOR. PTO.]:[AGRUP. VALOR. PTO.]]=$B18,IF(DATOS_[[Check Periodo Ref.]:[Check Periodo Ref.]]="Dentro",IF(DATOS_[[Check Equiparado]:[Check Equiparado]]="Sí",IF(DATOS!AS$5="Sí",(1/DATOS_[[% anualiz]:[% anualiz]]),1)*IF(DATOS!AS$4="Sí",1/DATOS_[[% normaliz]:[% normaliz]],1)*(DATOS_[Conc.Sal.15])))))))),
0)</f>
        <v>0</v>
      </c>
      <c r="Y20" s="196">
        <f t="array" ref="Y20">IFERROR(
(AVERAGE((IF(DATOS_[[Sexo]:[Sexo]]=$B20,IF(DATOS_[[AGRUP. VALOR. PTO.]:[AGRUP. VALOR. PTO.]]=$B18,IF(DATOS_[[Check Periodo Ref.]:[Check Periodo Ref.]]="Dentro",IF(DATOS_[[Check Equiparado]:[Check Equiparado]]="Sí",IF(DATOS!AT$5="Sí",(1/DATOS_[[% anualiz]:[% anualiz]]),1)*IF(DATOS!AT$4="Sí",1/DATOS_[[% normaliz]:[% normaliz]],1)*(DATOS_[Conc.Sal.16])))))))),
0)</f>
        <v>0</v>
      </c>
      <c r="Z20" s="196">
        <f t="array" ref="Z20">IFERROR(
(AVERAGE((IF(DATOS_[[Sexo]:[Sexo]]=$B20,IF(DATOS_[[AGRUP. VALOR. PTO.]:[AGRUP. VALOR. PTO.]]=$B18,IF(DATOS_[[Check Periodo Ref.]:[Check Periodo Ref.]]="Dentro",IF(DATOS_[[Check Equiparado]:[Check Equiparado]]="Sí",IF(DATOS!AU$5="Sí",(1/DATOS_[[% anualiz]:[% anualiz]]),1)*IF(DATOS!AU$4="Sí",1/DATOS_[[% normaliz]:[% normaliz]],1)*(DATOS_[Conc.Sal.17])))))))),
0)</f>
        <v>0</v>
      </c>
      <c r="AA20" s="196">
        <f t="array" ref="AA20">IFERROR(
(AVERAGE((IF(DATOS_[[Sexo]:[Sexo]]=$B20,IF(DATOS_[[AGRUP. VALOR. PTO.]:[AGRUP. VALOR. PTO.]]=$B18,IF(DATOS_[[Check Periodo Ref.]:[Check Periodo Ref.]]="Dentro",IF(DATOS_[[Check Equiparado]:[Check Equiparado]]="Sí",IF(DATOS!AV$5="Sí",(1/DATOS_[[% anualiz]:[% anualiz]]),1)*IF(DATOS!AV$4="Sí",1/DATOS_[[% normaliz]:[% normaliz]],1)*(DATOS_[Conc.Sal.18])))))))),
0)</f>
        <v>0</v>
      </c>
      <c r="AB20" s="196">
        <f t="array" ref="AB20">IFERROR(
(AVERAGE((IF(DATOS_[[Sexo]:[Sexo]]=$B20,IF(DATOS_[[AGRUP. VALOR. PTO.]:[AGRUP. VALOR. PTO.]]=$B18,IF(DATOS_[[Check Periodo Ref.]:[Check Periodo Ref.]]="Dentro",IF(DATOS_[[Check Equiparado]:[Check Equiparado]]="Sí",IF(DATOS!AW$5="Sí",(1/DATOS_[[% anualiz]:[% anualiz]]),1)*IF(DATOS!AW$4="Sí",1/DATOS_[[% normaliz]:[% normaliz]],1)*(DATOS_[Conc.Sal.19])))))))),
0)</f>
        <v>0</v>
      </c>
      <c r="AC20" s="196">
        <f t="array" ref="AC20">IFERROR(
(AVERAGE((IF(DATOS_[[Sexo]:[Sexo]]=$B20,IF(DATOS_[[AGRUP. VALOR. PTO.]:[AGRUP. VALOR. PTO.]]=$B18,IF(DATOS_[[Check Periodo Ref.]:[Check Periodo Ref.]]="Dentro",IF(DATOS_[[Check Equiparado]:[Check Equiparado]]="Sí",IF(DATOS!AX$5="Sí",(1/DATOS_[[% anualiz]:[% anualiz]]),1)*IF(DATOS!AX$4="Sí",1/DATOS_[[% normaliz]:[% normaliz]],1)*(DATOS_[Conc.Sal.20])))))))),
0)</f>
        <v>0</v>
      </c>
      <c r="AD20" s="196">
        <f t="array" ref="AD20">IFERROR(
(AVERAGE((IF(DATOS_[[Sexo]:[Sexo]]=$B20,IF(DATOS_[[AGRUP. VALOR. PTO.]:[AGRUP. VALOR. PTO.]]=$B18,IF(DATOS_[[Check Periodo Ref.]:[Check Periodo Ref.]]="Dentro",IF(DATOS_[[Check Equiparado]:[Check Equiparado]]="Sí",IF(DATOS!AY$5="Sí",(1/DATOS_[[% anualiz]:[% anualiz]]),1)*IF(DATOS!AY$4="Sí",1/DATOS_[[% normaliz]:[% normaliz]],1)*(DATOS_[Conc.Sal.21])))))))),
0)</f>
        <v>0</v>
      </c>
      <c r="AE20" s="196">
        <f t="array" ref="AE20">IFERROR(
(AVERAGE((IF(DATOS_[[Sexo]:[Sexo]]=$B20,IF(DATOS_[[AGRUP. VALOR. PTO.]:[AGRUP. VALOR. PTO.]]=$B18,IF(DATOS_[[Check Periodo Ref.]:[Check Periodo Ref.]]="Dentro",IF(DATOS_[[Check Equiparado]:[Check Equiparado]]="Sí",IF(DATOS!AZ$5="Sí",(1/DATOS_[[% anualiz]:[% anualiz]]),1)*IF(DATOS!AZ$4="Sí",1/DATOS_[[% normaliz]:[% normaliz]],1)*(DATOS_[Conc.Sal.22])))))))),
0)</f>
        <v>0</v>
      </c>
      <c r="AF20" s="196">
        <f t="array" ref="AF20">IFERROR(
(AVERAGE((IF(DATOS_[[Sexo]:[Sexo]]=$B20,IF(DATOS_[[AGRUP. VALOR. PTO.]:[AGRUP. VALOR. PTO.]]=$B18,IF(DATOS_[[Check Periodo Ref.]:[Check Periodo Ref.]]="Dentro",IF(DATOS_[[Check Equiparado]:[Check Equiparado]]="Sí",IF(DATOS!BA$5="Sí",(1/DATOS_[[% anualiz]:[% anualiz]]),1)*IF(DATOS!BA$4="Sí",1/DATOS_[[% normaliz]:[% normaliz]],1)*(DATOS_[Conc.Sal.23])))))))),
0)</f>
        <v>0</v>
      </c>
      <c r="AG20" s="196">
        <f t="array" ref="AG20">IFERROR(
(AVERAGE((IF(DATOS_[[Sexo]:[Sexo]]=$B20,IF(DATOS_[[AGRUP. VALOR. PTO.]:[AGRUP. VALOR. PTO.]]=$B18,IF(DATOS_[[Check Periodo Ref.]:[Check Periodo Ref.]]="Dentro",IF(DATOS_[[Check Equiparado]:[Check Equiparado]]="Sí",IF(DATOS!BB$5="Sí",(1/DATOS_[[% anualiz]:[% anualiz]]),1)*IF(DATOS!BB$4="Sí",1/DATOS_[[% normaliz]:[% normaliz]],1)*(DATOS_[Conc.Sal.24])))))))),
0)</f>
        <v>0</v>
      </c>
      <c r="AH20" s="196">
        <f t="array" ref="AH20">IFERROR(
(AVERAGE((IF(DATOS_[[Sexo]:[Sexo]]=$B20,IF(DATOS_[[AGRUP. VALOR. PTO.]:[AGRUP. VALOR. PTO.]]=$B18,IF(DATOS_[[Check Periodo Ref.]:[Check Periodo Ref.]]="Dentro",IF(DATOS_[[Check Equiparado]:[Check Equiparado]]="Sí",IF(DATOS!BC$5="Sí",(1/DATOS_[[% anualiz]:[% anualiz]]),1)*IF(DATOS!BC$4="Sí",1/DATOS_[[% normaliz]:[% normaliz]],1)*(DATOS_[Conc.Sal.25])))))))),
0)</f>
        <v>0</v>
      </c>
      <c r="AI20" s="196">
        <f t="array" ref="AI20">IFERROR(
(AVERAGE((IF(DATOS_[[Sexo]:[Sexo]]=$B20,IF(DATOS_[[AGRUP. VALOR. PTO.]:[AGRUP. VALOR. PTO.]]=$B18,IF(DATOS_[[Check Periodo Ref.]:[Check Periodo Ref.]]="Dentro",IF(DATOS_[[Check Equiparado]:[Check Equiparado]]="Sí",IF(DATOS!BD$5="Sí",(1/DATOS_[[% anualiz]:[% anualiz]]),1)*IF(DATOS!BD$4="Sí",1/DATOS_[[% normaliz]:[% normaliz]],1)*(DATOS_[Conc.Sal.26])))))))),
0)</f>
        <v>0</v>
      </c>
      <c r="AJ20" s="196">
        <f t="array" ref="AJ20">IFERROR(
(AVERAGE((IF(DATOS_[[Sexo]:[Sexo]]=$B20,IF(DATOS_[[AGRUP. VALOR. PTO.]:[AGRUP. VALOR. PTO.]]=$B18,IF(DATOS_[[Check Periodo Ref.]:[Check Periodo Ref.]]="Dentro",IF(DATOS_[[Check Equiparado]:[Check Equiparado]]="Sí",IF(DATOS!BE$5="Sí",(1/DATOS_[[% anualiz]:[% anualiz]]),1)*IF(DATOS!BE$4="Sí",1/DATOS_[[% normaliz]:[% normaliz]],1)*(DATOS_[Conc.Sal.27])))))))),
0)</f>
        <v>0</v>
      </c>
      <c r="AK20" s="196">
        <f t="array" ref="AK20">IFERROR(
(AVERAGE((IF(DATOS_[[Sexo]:[Sexo]]=$B20,IF(DATOS_[[AGRUP. VALOR. PTO.]:[AGRUP. VALOR. PTO.]]=$B18,IF(DATOS_[[Check Periodo Ref.]:[Check Periodo Ref.]]="Dentro",IF(DATOS_[[Check Equiparado]:[Check Equiparado]]="Sí",IF(DATOS!BF$5="Sí",(1/DATOS_[[% anualiz]:[% anualiz]]),1)*IF(DATOS!BF$4="Sí",1/DATOS_[[% normaliz]:[% normaliz]],1)*(DATOS_[Conc.Sal.28])))))))),
0)</f>
        <v>0</v>
      </c>
      <c r="AL20" s="196">
        <f t="array" ref="AL20">IFERROR(
(AVERAGE((IF(DATOS_[[Sexo]:[Sexo]]=$B20,IF(DATOS_[[AGRUP. VALOR. PTO.]:[AGRUP. VALOR. PTO.]]=$B18,IF(DATOS_[[Check Periodo Ref.]:[Check Periodo Ref.]]="Dentro",IF(DATOS_[[Check Equiparado]:[Check Equiparado]]="Sí",IF(DATOS!BG$5="Sí",(1/DATOS_[[% anualiz]:[% anualiz]]),1)*IF(DATOS!BG$4="Sí",1/DATOS_[[% normaliz]:[% normaliz]],1)*(DATOS_[Conc.Sal.29])))))))),
0)</f>
        <v>0</v>
      </c>
      <c r="AM20" s="196">
        <f t="array" ref="AM20">IFERROR(
(AVERAGE((IF(DATOS_[[Sexo]:[Sexo]]=$B20,IF(DATOS_[[AGRUP. VALOR. PTO.]:[AGRUP. VALOR. PTO.]]=$B18,IF(DATOS_[[Check Periodo Ref.]:[Check Periodo Ref.]]="Dentro",IF(DATOS_[[Check Equiparado]:[Check Equiparado]]="Sí",IF(DATOS!BH$5="Sí",(1/DATOS_[[% anualiz]:[% anualiz]]),1)*IF(DATOS!BH$4="Sí",1/DATOS_[[% normaliz]:[% normaliz]],1)*(DATOS_[Conc.Sal.30])))))))),
0)</f>
        <v>0</v>
      </c>
      <c r="AN20" s="195">
        <f t="array" ref="AN20">IFERROR(
AVERAGE(IF(DATOS_[Sexo]=$B20,IF(DATOS_[[AGRUP. VALOR. PTO.]:[AGRUP. VALOR. PTO.]]=$B18,IF(DATOS_[Check Equiparado]="Sí",IF(DATOS_[Check Periodo Ref.]="Dentro",DATOS_[Tot COMPL.SAL Eq],FALSE))))),
0)</f>
        <v>0</v>
      </c>
      <c r="AO20" s="172">
        <f t="array" ref="AO20">IFERROR(
AVERAGE(IF(DATOS_[Sexo]=$B20,IF(DATOS_[[AGRUP. VALOR. PTO.]:[AGRUP. VALOR. PTO.]]=$B18,IF(DATOS_[Check Equiparado]="Sí",IF(DATOS_[Check Periodo Ref.]="Dentro",DATOS_[TOTAL SALARIO Eq],FALSE))))),
0)</f>
        <v>0</v>
      </c>
      <c r="AP20" s="173">
        <f t="array" ref="AP20">IFERROR(
(AVERAGE((IF(DATOS_[[Sexo]:[Sexo]]=$B20,IF(DATOS_[[AGRUP. VALOR. PTO.]:[AGRUP. VALOR. PTO.]]=$B18,IF(DATOS_[[Check Periodo Ref.]:[Check Periodo Ref.]]="Dentro",IF(DATOS_[[Check Equiparado]:[Check Equiparado]]="Sí",IF(DATOS!BW$5="Sí",(1/DATOS_[[% anualiz]:[% anualiz]]),1)*IF(DATOS!BW$4="Sí",1/DATOS_[[% normaliz]:[% normaliz]],1)*(DATOS_[C.Extra.01])))))))),
0)</f>
        <v>0</v>
      </c>
      <c r="AQ20" s="173">
        <f t="array" ref="AQ20">IFERROR(
(AVERAGE((IF(DATOS_[[Sexo]:[Sexo]]=$B20,IF(DATOS_[[AGRUP. VALOR. PTO.]:[AGRUP. VALOR. PTO.]]=$B18,IF(DATOS_[[Check Periodo Ref.]:[Check Periodo Ref.]]="Dentro",IF(DATOS_[[Check Equiparado]:[Check Equiparado]]="Sí",IF(DATOS!CB$5="Sí",(1/DATOS_[[% anualiz]:[% anualiz]]),1)*IF(DATOS!CB$4="Sí",1/DATOS_[[% normaliz]:[% normaliz]],1)*(DATOS_[C.Extra.06])))))))),
0)</f>
        <v>0</v>
      </c>
      <c r="AR20" s="173">
        <f t="array" ref="AR20">IFERROR(
(AVERAGE((IF(DATOS_[[Sexo]:[Sexo]]=$B20,IF(DATOS_[[AGRUP. VALOR. PTO.]:[AGRUP. VALOR. PTO.]]=$B18,IF(DATOS_[[Check Periodo Ref.]:[Check Periodo Ref.]]="Dentro",IF(DATOS_[[Check Equiparado]:[Check Equiparado]]="Sí",IF(DATOS!CC$5="Sí",(1/DATOS_[[% anualiz]:[% anualiz]]),1)*IF(DATOS!CC$4="Sí",1/DATOS_[[% normaliz]:[% normaliz]],1)*(DATOS_[C.Extra.07])))))))),
0)</f>
        <v>0</v>
      </c>
      <c r="AS20" s="173">
        <f t="array" ref="AS20">IFERROR(
(AVERAGE((IF(DATOS_[[Sexo]:[Sexo]]=$B20,IF(DATOS_[[AGRUP. VALOR. PTO.]:[AGRUP. VALOR. PTO.]]=$B18,IF(DATOS_[[Check Periodo Ref.]:[Check Periodo Ref.]]="Dentro",IF(DATOS_[[Check Equiparado]:[Check Equiparado]]="Sí",IF(DATOS!CD$5="Sí",(1/DATOS_[[% anualiz]:[% anualiz]]),1)*IF(DATOS!CD$4="Sí",1/DATOS_[[% normaliz]:[% normaliz]],1)*(DATOS_[C.Extra.08])))))))),
0)</f>
        <v>0</v>
      </c>
      <c r="AT20" s="173">
        <f t="array" ref="AT20">IFERROR(
(AVERAGE((IF(DATOS_[[Sexo]:[Sexo]]=$B20,IF(DATOS_[[AGRUP. VALOR. PTO.]:[AGRUP. VALOR. PTO.]]=$B18,IF(DATOS_[[Check Periodo Ref.]:[Check Periodo Ref.]]="Dentro",IF(DATOS_[[Check Equiparado]:[Check Equiparado]]="Sí",IF(DATOS!CG$5="Sí",(1/DATOS_[[% anualiz]:[% anualiz]]),1)*IF(DATOS!CG$4="Sí",1/DATOS_[[% normaliz]:[% normaliz]],1)*(DATOS_[C.Extra.11])))))))),
0)</f>
        <v>0</v>
      </c>
      <c r="AU20" s="197">
        <f t="array" ref="AU20">IFERROR(
AVERAGE(IF(DATOS_[Sexo]=$B20,IF(DATOS_[[AGRUP. VALOR. PTO.]:[AGRUP. VALOR. PTO.]]=$B18,IF(DATOS_[Check Equiparado]="Sí",IF(DATOS_[Check Periodo Ref.]="Dentro",DATOS_[Tot Extrasalarial Eq],FALSE))))),
0)</f>
        <v>0</v>
      </c>
      <c r="AV20" s="175">
        <f t="array" ref="AV20">IFERROR(
AVERAGE(IF(DATOS_[Sexo]=$B20,IF(DATOS_[[AGRUP. VALOR. PTO.]:[AGRUP. VALOR. PTO.]]=$B18,IF(DATOS_[Check Equiparado]="Sí",IF(DATOS_[Check Periodo Ref.]="Dentro",DATOS_[TOTAL Retrib Eq],FALSE))))),
0)</f>
        <v>0</v>
      </c>
    </row>
    <row r="21" spans="1:48" ht="15.6" thickBot="1" x14ac:dyDescent="0.3">
      <c r="A21" s="133" t="str">
        <f t="shared" ref="A21" si="11">+A22</f>
        <v>[ocultar]</v>
      </c>
      <c r="B21" s="199" t="s">
        <v>186</v>
      </c>
      <c r="C21" s="200"/>
      <c r="D21" s="201"/>
      <c r="E21" s="201"/>
      <c r="F21" s="201"/>
      <c r="G21" s="201"/>
      <c r="H21" s="201"/>
      <c r="I21" s="189" t="str">
        <f t="shared" ref="I21:AV21" si="12">IFERROR((I22-I23)/I22,"")</f>
        <v/>
      </c>
      <c r="J21" s="190" t="str">
        <f t="shared" si="12"/>
        <v/>
      </c>
      <c r="K21" s="191" t="str">
        <f t="shared" si="12"/>
        <v/>
      </c>
      <c r="L21" s="191" t="str">
        <f t="shared" si="12"/>
        <v/>
      </c>
      <c r="M21" s="191" t="str">
        <f t="shared" si="12"/>
        <v/>
      </c>
      <c r="N21" s="192" t="str">
        <f t="shared" si="12"/>
        <v/>
      </c>
      <c r="O21" s="193" t="str">
        <f t="shared" si="12"/>
        <v/>
      </c>
      <c r="P21" s="193" t="str">
        <f t="shared" si="12"/>
        <v/>
      </c>
      <c r="Q21" s="193" t="str">
        <f t="shared" si="12"/>
        <v/>
      </c>
      <c r="R21" s="193" t="str">
        <f t="shared" si="12"/>
        <v/>
      </c>
      <c r="S21" s="193" t="str">
        <f t="shared" si="12"/>
        <v/>
      </c>
      <c r="T21" s="193" t="str">
        <f t="shared" si="12"/>
        <v/>
      </c>
      <c r="U21" s="193" t="str">
        <f t="shared" si="12"/>
        <v/>
      </c>
      <c r="V21" s="193" t="str">
        <f t="shared" si="12"/>
        <v/>
      </c>
      <c r="W21" s="193" t="str">
        <f t="shared" si="12"/>
        <v/>
      </c>
      <c r="X21" s="193" t="str">
        <f t="shared" si="12"/>
        <v/>
      </c>
      <c r="Y21" s="193" t="str">
        <f t="shared" si="12"/>
        <v/>
      </c>
      <c r="Z21" s="193" t="str">
        <f t="shared" si="12"/>
        <v/>
      </c>
      <c r="AA21" s="193" t="str">
        <f t="shared" si="12"/>
        <v/>
      </c>
      <c r="AB21" s="193" t="str">
        <f t="shared" si="12"/>
        <v/>
      </c>
      <c r="AC21" s="193" t="str">
        <f t="shared" si="12"/>
        <v/>
      </c>
      <c r="AD21" s="193" t="str">
        <f t="shared" si="12"/>
        <v/>
      </c>
      <c r="AE21" s="193" t="str">
        <f t="shared" si="12"/>
        <v/>
      </c>
      <c r="AF21" s="193" t="str">
        <f t="shared" si="12"/>
        <v/>
      </c>
      <c r="AG21" s="193" t="str">
        <f t="shared" si="12"/>
        <v/>
      </c>
      <c r="AH21" s="193" t="str">
        <f t="shared" si="12"/>
        <v/>
      </c>
      <c r="AI21" s="193" t="str">
        <f t="shared" si="12"/>
        <v/>
      </c>
      <c r="AJ21" s="193" t="str">
        <f t="shared" si="12"/>
        <v/>
      </c>
      <c r="AK21" s="193" t="str">
        <f t="shared" si="12"/>
        <v/>
      </c>
      <c r="AL21" s="193" t="str">
        <f t="shared" si="12"/>
        <v/>
      </c>
      <c r="AM21" s="193" t="str">
        <f t="shared" si="12"/>
        <v/>
      </c>
      <c r="AN21" s="189" t="str">
        <f t="shared" si="12"/>
        <v/>
      </c>
      <c r="AO21" s="162" t="str">
        <f t="shared" si="12"/>
        <v/>
      </c>
      <c r="AP21" s="163" t="str">
        <f t="shared" si="12"/>
        <v/>
      </c>
      <c r="AQ21" s="163" t="str">
        <f t="shared" si="12"/>
        <v/>
      </c>
      <c r="AR21" s="163" t="str">
        <f t="shared" si="12"/>
        <v/>
      </c>
      <c r="AS21" s="163" t="str">
        <f t="shared" si="12"/>
        <v/>
      </c>
      <c r="AT21" s="163" t="str">
        <f t="shared" si="12"/>
        <v/>
      </c>
      <c r="AU21" s="194" t="str">
        <f t="shared" si="12"/>
        <v/>
      </c>
      <c r="AV21" s="165" t="str">
        <f t="shared" si="12"/>
        <v/>
      </c>
    </row>
    <row r="22" spans="1:48" x14ac:dyDescent="0.25">
      <c r="A22" s="133" t="str">
        <f t="shared" ref="A22" si="13">+IF(C22+C23=0,"[ocultar]","")</f>
        <v>[ocultar]</v>
      </c>
      <c r="B22" s="202" t="s">
        <v>394</v>
      </c>
      <c r="C22" s="203">
        <f t="array" ref="C22">SUM(IF($B22=DATOS_[Sexo],
IF($B21=DATOS_[AGRUP. VALOR. PTO.],
IF("Dentro"=DATOS_[Check Periodo Ref.],
1/(COUNTIFS(DATOS_[Sexo],$B22,DATOS_[AGRUP. VALOR. PTO.],$B21,DATOS_[Check Periodo Ref.],"Dentro",DATOS_[id/cod],DATOS_[id/cod]))))))</f>
        <v>0</v>
      </c>
      <c r="D22" s="204">
        <f>COUNTIFS(DATOS_[AGRUP. VALOR. PTO.],$B21,DATOS_[Sexo],$B22,DATOS_[Check Periodo Ref.],"Dentro")</f>
        <v>0</v>
      </c>
      <c r="E22" s="204">
        <f>COUNTIFS(DATOS_[AGRUP. VALOR. PTO.],$B21,DATOS_[Sexo],$B22,DATOS_[Check Periodo Ref.],"Dentro",DATOS_[Check Nº SC Norm],"Sí")</f>
        <v>0</v>
      </c>
      <c r="F22" s="204">
        <f>COUNTIFS(DATOS_[AGRUP. VALOR. PTO.],$B21,DATOS_[Sexo],$B22,DATOS_[Check Periodo Ref.],"Dentro",DATOS_[Check Nº SC Anualiz],"Sí")</f>
        <v>0</v>
      </c>
      <c r="G22" s="204">
        <f>COUNTIFS(DATOS_[AGRUP. VALOR. PTO.],$B21,DATOS_[Sexo],$B22,DATOS_[Check Periodo Ref.],"Dentro",DATOS_[Check Nº SC Norm y Anualiz],"Sí")</f>
        <v>0</v>
      </c>
      <c r="H22" s="204">
        <f>COUNTIFS(DATOS_[AGRUP. VALOR. PTO.],$B21,DATOS_[Sexo],$B22,DATOS_[Check Periodo Ref.],"Dentro",DATOS_[Check Equiparación],"Sí")</f>
        <v>0</v>
      </c>
      <c r="I22" s="195">
        <f t="array" ref="I22">IFERROR(
AVERAGE(IF(DATOS_[Sexo]=$B22,IF(DATOS_[[AGRUP. VALOR. PTO.]:[AGRUP. VALOR. PTO.]]=$B21,IF(DATOS_[Check Equiparado]="Sí",IF(DATOS_[Check Periodo Ref.]="Dentro",DATOS_[SALARIO BASE Eq],FALSE))))),
0)</f>
        <v>0</v>
      </c>
      <c r="J22" s="196">
        <f t="array" ref="J22">IFERROR(
(AVERAGE((IF(DATOS_[[Sexo]:[Sexo]]=$B22,IF(DATOS_[[AGRUP. VALOR. PTO.]:[AGRUP. VALOR. PTO.]]=$B21,IF(DATOS_[[Check Periodo Ref.]:[Check Periodo Ref.]]="Dentro",IF(DATOS_[[Check Equiparado]:[Check Equiparado]]="Sí",IF(DATOS!AE$5="Sí",(1/DATOS_[[% anualiz]:[% anualiz]]),1)*IF(DATOS!AE$4="Sí",1/DATOS_[[% normaliz]:[% normaliz]],1)*(DATOS_[Conc.Sal.01])))))))),
0)</f>
        <v>0</v>
      </c>
      <c r="K22" s="196">
        <f t="array" ref="K22">IFERROR(
(AVERAGE((IF(DATOS_[[Sexo]:[Sexo]]=$B22,IF(DATOS_[[AGRUP. VALOR. PTO.]:[AGRUP. VALOR. PTO.]]=$B21,IF(DATOS_[[Check Periodo Ref.]:[Check Periodo Ref.]]="Dentro",IF(DATOS_[[Check Equiparado]:[Check Equiparado]]="Sí",IF(DATOS!AF$5="Sí",(1/DATOS_[[% anualiz]:[% anualiz]]),1)*IF(DATOS!AF$4="Sí",1/DATOS_[[% normaliz]:[% normaliz]],1)*(DATOS_[Conc.Sal.02])))))))),
0)</f>
        <v>0</v>
      </c>
      <c r="L22" s="196">
        <f t="array" ref="L22">IFERROR(
(AVERAGE((IF(DATOS_[[Sexo]:[Sexo]]=$B22,IF(DATOS_[[AGRUP. VALOR. PTO.]:[AGRUP. VALOR. PTO.]]=$B21,IF(DATOS_[[Check Periodo Ref.]:[Check Periodo Ref.]]="Dentro",IF(DATOS_[[Check Equiparado]:[Check Equiparado]]="Sí",IF(DATOS!AG$5="Sí",(1/DATOS_[[% anualiz]:[% anualiz]]),1)*IF(DATOS!AG$4="Sí",1/DATOS_[[% normaliz]:[% normaliz]],1)*(DATOS_[Conc.Sal.03])))))))),
0)</f>
        <v>0</v>
      </c>
      <c r="M22" s="196">
        <f t="array" ref="M22">IFERROR(
(AVERAGE((IF(DATOS_[[Sexo]:[Sexo]]=$B22,IF(DATOS_[[AGRUP. VALOR. PTO.]:[AGRUP. VALOR. PTO.]]=$B21,IF(DATOS_[[Check Periodo Ref.]:[Check Periodo Ref.]]="Dentro",IF(DATOS_[[Check Equiparado]:[Check Equiparado]]="Sí",IF(DATOS!AH$5="Sí",(1/DATOS_[[% anualiz]:[% anualiz]]),1)*IF(DATOS!AH$4="Sí",1/DATOS_[[% normaliz]:[% normaliz]],1)*(DATOS_[Conc.Sal.04])))))))),
0)</f>
        <v>0</v>
      </c>
      <c r="N22" s="196">
        <f t="array" ref="N22">IFERROR(
(AVERAGE((IF(DATOS_[[Sexo]:[Sexo]]=$B22,IF(DATOS_[[AGRUP. VALOR. PTO.]:[AGRUP. VALOR. PTO.]]=$B21,IF(DATOS_[[Check Periodo Ref.]:[Check Periodo Ref.]]="Dentro",IF(DATOS_[[Check Equiparado]:[Check Equiparado]]="Sí",IF(DATOS!AI$5="Sí",(1/DATOS_[[% anualiz]:[% anualiz]]),1)*IF(DATOS!AI$4="Sí",1/DATOS_[[% normaliz]:[% normaliz]],1)*(DATOS_[Conc.Sal.05])))))))),
0)</f>
        <v>0</v>
      </c>
      <c r="O22" s="196">
        <f t="array" ref="O22">IFERROR(
(AVERAGE((IF(DATOS_[[Sexo]:[Sexo]]=$B22,IF(DATOS_[[AGRUP. VALOR. PTO.]:[AGRUP. VALOR. PTO.]]=$B21,IF(DATOS_[[Check Periodo Ref.]:[Check Periodo Ref.]]="Dentro",IF(DATOS_[[Check Equiparado]:[Check Equiparado]]="Sí",IF(DATOS!AJ$5="Sí",(1/DATOS_[[% anualiz]:[% anualiz]]),1)*IF(DATOS!AJ$4="Sí",1/DATOS_[[% normaliz]:[% normaliz]],1)*(DATOS_[Conc.Sal.06])))))))),
0)</f>
        <v>0</v>
      </c>
      <c r="P22" s="196">
        <f t="array" ref="P22">IFERROR(
(AVERAGE((IF(DATOS_[[Sexo]:[Sexo]]=$B22,IF(DATOS_[[AGRUP. VALOR. PTO.]:[AGRUP. VALOR. PTO.]]=$B21,IF(DATOS_[[Check Periodo Ref.]:[Check Periodo Ref.]]="Dentro",IF(DATOS_[[Check Equiparado]:[Check Equiparado]]="Sí",IF(DATOS!AK$5="Sí",(1/DATOS_[[% anualiz]:[% anualiz]]),1)*IF(DATOS!AK$4="Sí",1/DATOS_[[% normaliz]:[% normaliz]],1)*(DATOS_[Conc.Sal.07])))))))),
0)</f>
        <v>0</v>
      </c>
      <c r="Q22" s="196">
        <f t="array" ref="Q22">IFERROR(
(AVERAGE((IF(DATOS_[[Sexo]:[Sexo]]=$B22,IF(DATOS_[[AGRUP. VALOR. PTO.]:[AGRUP. VALOR. PTO.]]=$B21,IF(DATOS_[[Check Periodo Ref.]:[Check Periodo Ref.]]="Dentro",IF(DATOS_[[Check Equiparado]:[Check Equiparado]]="Sí",IF(DATOS!AL$5="Sí",(1/DATOS_[[% anualiz]:[% anualiz]]),1)*IF(DATOS!AL$4="Sí",1/DATOS_[[% normaliz]:[% normaliz]],1)*(DATOS_[Conc.Sal.08])))))))),
0)</f>
        <v>0</v>
      </c>
      <c r="R22" s="196">
        <f t="array" ref="R22">IFERROR(
(AVERAGE((IF(DATOS_[[Sexo]:[Sexo]]=$B22,IF(DATOS_[[AGRUP. VALOR. PTO.]:[AGRUP. VALOR. PTO.]]=$B21,IF(DATOS_[[Check Periodo Ref.]:[Check Periodo Ref.]]="Dentro",IF(DATOS_[[Check Equiparado]:[Check Equiparado]]="Sí",IF(DATOS!AM$5="Sí",(1/DATOS_[[% anualiz]:[% anualiz]]),1)*IF(DATOS!AM$4="Sí",1/DATOS_[[% normaliz]:[% normaliz]],1)*(DATOS_[Conc.Sal.09])))))))),
0)</f>
        <v>0</v>
      </c>
      <c r="S22" s="196">
        <f t="array" ref="S22">IFERROR(
(AVERAGE((IF(DATOS_[[Sexo]:[Sexo]]=$B22,IF(DATOS_[[AGRUP. VALOR. PTO.]:[AGRUP. VALOR. PTO.]]=$B21,IF(DATOS_[[Check Periodo Ref.]:[Check Periodo Ref.]]="Dentro",IF(DATOS_[[Check Equiparado]:[Check Equiparado]]="Sí",IF(DATOS!AN$5="Sí",(1/DATOS_[[% anualiz]:[% anualiz]]),1)*IF(DATOS!AN$4="Sí",1/DATOS_[[% normaliz]:[% normaliz]],1)*(DATOS_[Conc.Sal.10])))))))),
0)</f>
        <v>0</v>
      </c>
      <c r="T22" s="196">
        <f t="array" ref="T22">IFERROR(
(AVERAGE((IF(DATOS_[[Sexo]:[Sexo]]=$B22,IF(DATOS_[[AGRUP. VALOR. PTO.]:[AGRUP. VALOR. PTO.]]=$B21,IF(DATOS_[[Check Periodo Ref.]:[Check Periodo Ref.]]="Dentro",IF(DATOS_[[Check Equiparado]:[Check Equiparado]]="Sí",IF(DATOS!AO$5="Sí",(1/DATOS_[[% anualiz]:[% anualiz]]),1)*IF(DATOS!AO$4="Sí",1/DATOS_[[% normaliz]:[% normaliz]],1)*(DATOS_[Conc.Sal.11])))))))),
0)</f>
        <v>0</v>
      </c>
      <c r="U22" s="196">
        <f t="array" ref="U22">IFERROR(
(AVERAGE((IF(DATOS_[[Sexo]:[Sexo]]=$B22,IF(DATOS_[[AGRUP. VALOR. PTO.]:[AGRUP. VALOR. PTO.]]=$B21,IF(DATOS_[[Check Periodo Ref.]:[Check Periodo Ref.]]="Dentro",IF(DATOS_[[Check Equiparado]:[Check Equiparado]]="Sí",IF(DATOS!AP$5="Sí",(1/DATOS_[[% anualiz]:[% anualiz]]),1)*IF(DATOS!AP$4="Sí",1/DATOS_[[% normaliz]:[% normaliz]],1)*(DATOS_[Conc.Sal.12])))))))),
0)</f>
        <v>0</v>
      </c>
      <c r="V22" s="196">
        <f t="array" ref="V22">IFERROR(
(AVERAGE((IF(DATOS_[[Sexo]:[Sexo]]=$B22,IF(DATOS_[[AGRUP. VALOR. PTO.]:[AGRUP. VALOR. PTO.]]=$B21,IF(DATOS_[[Check Periodo Ref.]:[Check Periodo Ref.]]="Dentro",IF(DATOS_[[Check Equiparado]:[Check Equiparado]]="Sí",IF(DATOS!AQ$5="Sí",(1/DATOS_[[% anualiz]:[% anualiz]]),1)*IF(DATOS!AQ$4="Sí",1/DATOS_[[% normaliz]:[% normaliz]],1)*(DATOS_[Conc.Sal.13])))))))),
0)</f>
        <v>0</v>
      </c>
      <c r="W22" s="196">
        <f t="array" ref="W22">IFERROR(
(AVERAGE((IF(DATOS_[[Sexo]:[Sexo]]=$B22,IF(DATOS_[[AGRUP. VALOR. PTO.]:[AGRUP. VALOR. PTO.]]=$B21,IF(DATOS_[[Check Periodo Ref.]:[Check Periodo Ref.]]="Dentro",IF(DATOS_[[Check Equiparado]:[Check Equiparado]]="Sí",IF(DATOS!AR$5="Sí",(1/DATOS_[[% anualiz]:[% anualiz]]),1)*IF(DATOS!AR$4="Sí",1/DATOS_[[% normaliz]:[% normaliz]],1)*(DATOS_[Conc.Sal.14])))))))),
0)</f>
        <v>0</v>
      </c>
      <c r="X22" s="196">
        <f t="array" ref="X22">IFERROR(
(AVERAGE((IF(DATOS_[[Sexo]:[Sexo]]=$B22,IF(DATOS_[[AGRUP. VALOR. PTO.]:[AGRUP. VALOR. PTO.]]=$B21,IF(DATOS_[[Check Periodo Ref.]:[Check Periodo Ref.]]="Dentro",IF(DATOS_[[Check Equiparado]:[Check Equiparado]]="Sí",IF(DATOS!AS$5="Sí",(1/DATOS_[[% anualiz]:[% anualiz]]),1)*IF(DATOS!AS$4="Sí",1/DATOS_[[% normaliz]:[% normaliz]],1)*(DATOS_[Conc.Sal.15])))))))),
0)</f>
        <v>0</v>
      </c>
      <c r="Y22" s="196">
        <f t="array" ref="Y22">IFERROR(
(AVERAGE((IF(DATOS_[[Sexo]:[Sexo]]=$B22,IF(DATOS_[[AGRUP. VALOR. PTO.]:[AGRUP. VALOR. PTO.]]=$B21,IF(DATOS_[[Check Periodo Ref.]:[Check Periodo Ref.]]="Dentro",IF(DATOS_[[Check Equiparado]:[Check Equiparado]]="Sí",IF(DATOS!AT$5="Sí",(1/DATOS_[[% anualiz]:[% anualiz]]),1)*IF(DATOS!AT$4="Sí",1/DATOS_[[% normaliz]:[% normaliz]],1)*(DATOS_[Conc.Sal.16])))))))),
0)</f>
        <v>0</v>
      </c>
      <c r="Z22" s="196">
        <f t="array" ref="Z22">IFERROR(
(AVERAGE((IF(DATOS_[[Sexo]:[Sexo]]=$B22,IF(DATOS_[[AGRUP. VALOR. PTO.]:[AGRUP. VALOR. PTO.]]=$B21,IF(DATOS_[[Check Periodo Ref.]:[Check Periodo Ref.]]="Dentro",IF(DATOS_[[Check Equiparado]:[Check Equiparado]]="Sí",IF(DATOS!AU$5="Sí",(1/DATOS_[[% anualiz]:[% anualiz]]),1)*IF(DATOS!AU$4="Sí",1/DATOS_[[% normaliz]:[% normaliz]],1)*(DATOS_[Conc.Sal.17])))))))),
0)</f>
        <v>0</v>
      </c>
      <c r="AA22" s="196">
        <f t="array" ref="AA22">IFERROR(
(AVERAGE((IF(DATOS_[[Sexo]:[Sexo]]=$B22,IF(DATOS_[[AGRUP. VALOR. PTO.]:[AGRUP. VALOR. PTO.]]=$B21,IF(DATOS_[[Check Periodo Ref.]:[Check Periodo Ref.]]="Dentro",IF(DATOS_[[Check Equiparado]:[Check Equiparado]]="Sí",IF(DATOS!AV$5="Sí",(1/DATOS_[[% anualiz]:[% anualiz]]),1)*IF(DATOS!AV$4="Sí",1/DATOS_[[% normaliz]:[% normaliz]],1)*(DATOS_[Conc.Sal.18])))))))),
0)</f>
        <v>0</v>
      </c>
      <c r="AB22" s="196">
        <f t="array" ref="AB22">IFERROR(
(AVERAGE((IF(DATOS_[[Sexo]:[Sexo]]=$B22,IF(DATOS_[[AGRUP. VALOR. PTO.]:[AGRUP. VALOR. PTO.]]=$B21,IF(DATOS_[[Check Periodo Ref.]:[Check Periodo Ref.]]="Dentro",IF(DATOS_[[Check Equiparado]:[Check Equiparado]]="Sí",IF(DATOS!AW$5="Sí",(1/DATOS_[[% anualiz]:[% anualiz]]),1)*IF(DATOS!AW$4="Sí",1/DATOS_[[% normaliz]:[% normaliz]],1)*(DATOS_[Conc.Sal.19])))))))),
0)</f>
        <v>0</v>
      </c>
      <c r="AC22" s="196">
        <f t="array" ref="AC22">IFERROR(
(AVERAGE((IF(DATOS_[[Sexo]:[Sexo]]=$B22,IF(DATOS_[[AGRUP. VALOR. PTO.]:[AGRUP. VALOR. PTO.]]=$B21,IF(DATOS_[[Check Periodo Ref.]:[Check Periodo Ref.]]="Dentro",IF(DATOS_[[Check Equiparado]:[Check Equiparado]]="Sí",IF(DATOS!AX$5="Sí",(1/DATOS_[[% anualiz]:[% anualiz]]),1)*IF(DATOS!AX$4="Sí",1/DATOS_[[% normaliz]:[% normaliz]],1)*(DATOS_[Conc.Sal.20])))))))),
0)</f>
        <v>0</v>
      </c>
      <c r="AD22" s="196">
        <f t="array" ref="AD22">IFERROR(
(AVERAGE((IF(DATOS_[[Sexo]:[Sexo]]=$B22,IF(DATOS_[[AGRUP. VALOR. PTO.]:[AGRUP. VALOR. PTO.]]=$B21,IF(DATOS_[[Check Periodo Ref.]:[Check Periodo Ref.]]="Dentro",IF(DATOS_[[Check Equiparado]:[Check Equiparado]]="Sí",IF(DATOS!AY$5="Sí",(1/DATOS_[[% anualiz]:[% anualiz]]),1)*IF(DATOS!AY$4="Sí",1/DATOS_[[% normaliz]:[% normaliz]],1)*(DATOS_[Conc.Sal.21])))))))),
0)</f>
        <v>0</v>
      </c>
      <c r="AE22" s="196">
        <f t="array" ref="AE22">IFERROR(
(AVERAGE((IF(DATOS_[[Sexo]:[Sexo]]=$B22,IF(DATOS_[[AGRUP. VALOR. PTO.]:[AGRUP. VALOR. PTO.]]=$B21,IF(DATOS_[[Check Periodo Ref.]:[Check Periodo Ref.]]="Dentro",IF(DATOS_[[Check Equiparado]:[Check Equiparado]]="Sí",IF(DATOS!AZ$5="Sí",(1/DATOS_[[% anualiz]:[% anualiz]]),1)*IF(DATOS!AZ$4="Sí",1/DATOS_[[% normaliz]:[% normaliz]],1)*(DATOS_[Conc.Sal.22])))))))),
0)</f>
        <v>0</v>
      </c>
      <c r="AF22" s="196">
        <f t="array" ref="AF22">IFERROR(
(AVERAGE((IF(DATOS_[[Sexo]:[Sexo]]=$B22,IF(DATOS_[[AGRUP. VALOR. PTO.]:[AGRUP. VALOR. PTO.]]=$B21,IF(DATOS_[[Check Periodo Ref.]:[Check Periodo Ref.]]="Dentro",IF(DATOS_[[Check Equiparado]:[Check Equiparado]]="Sí",IF(DATOS!BA$5="Sí",(1/DATOS_[[% anualiz]:[% anualiz]]),1)*IF(DATOS!BA$4="Sí",1/DATOS_[[% normaliz]:[% normaliz]],1)*(DATOS_[Conc.Sal.23])))))))),
0)</f>
        <v>0</v>
      </c>
      <c r="AG22" s="196">
        <f t="array" ref="AG22">IFERROR(
(AVERAGE((IF(DATOS_[[Sexo]:[Sexo]]=$B22,IF(DATOS_[[AGRUP. VALOR. PTO.]:[AGRUP. VALOR. PTO.]]=$B21,IF(DATOS_[[Check Periodo Ref.]:[Check Periodo Ref.]]="Dentro",IF(DATOS_[[Check Equiparado]:[Check Equiparado]]="Sí",IF(DATOS!BB$5="Sí",(1/DATOS_[[% anualiz]:[% anualiz]]),1)*IF(DATOS!BB$4="Sí",1/DATOS_[[% normaliz]:[% normaliz]],1)*(DATOS_[Conc.Sal.24])))))))),
0)</f>
        <v>0</v>
      </c>
      <c r="AH22" s="196">
        <f t="array" ref="AH22">IFERROR(
(AVERAGE((IF(DATOS_[[Sexo]:[Sexo]]=$B22,IF(DATOS_[[AGRUP. VALOR. PTO.]:[AGRUP. VALOR. PTO.]]=$B21,IF(DATOS_[[Check Periodo Ref.]:[Check Periodo Ref.]]="Dentro",IF(DATOS_[[Check Equiparado]:[Check Equiparado]]="Sí",IF(DATOS!BC$5="Sí",(1/DATOS_[[% anualiz]:[% anualiz]]),1)*IF(DATOS!BC$4="Sí",1/DATOS_[[% normaliz]:[% normaliz]],1)*(DATOS_[Conc.Sal.25])))))))),
0)</f>
        <v>0</v>
      </c>
      <c r="AI22" s="196">
        <f t="array" ref="AI22">IFERROR(
(AVERAGE((IF(DATOS_[[Sexo]:[Sexo]]=$B22,IF(DATOS_[[AGRUP. VALOR. PTO.]:[AGRUP. VALOR. PTO.]]=$B21,IF(DATOS_[[Check Periodo Ref.]:[Check Periodo Ref.]]="Dentro",IF(DATOS_[[Check Equiparado]:[Check Equiparado]]="Sí",IF(DATOS!BD$5="Sí",(1/DATOS_[[% anualiz]:[% anualiz]]),1)*IF(DATOS!BD$4="Sí",1/DATOS_[[% normaliz]:[% normaliz]],1)*(DATOS_[Conc.Sal.26])))))))),
0)</f>
        <v>0</v>
      </c>
      <c r="AJ22" s="196">
        <f t="array" ref="AJ22">IFERROR(
(AVERAGE((IF(DATOS_[[Sexo]:[Sexo]]=$B22,IF(DATOS_[[AGRUP. VALOR. PTO.]:[AGRUP. VALOR. PTO.]]=$B21,IF(DATOS_[[Check Periodo Ref.]:[Check Periodo Ref.]]="Dentro",IF(DATOS_[[Check Equiparado]:[Check Equiparado]]="Sí",IF(DATOS!BE$5="Sí",(1/DATOS_[[% anualiz]:[% anualiz]]),1)*IF(DATOS!BE$4="Sí",1/DATOS_[[% normaliz]:[% normaliz]],1)*(DATOS_[Conc.Sal.27])))))))),
0)</f>
        <v>0</v>
      </c>
      <c r="AK22" s="196">
        <f t="array" ref="AK22">IFERROR(
(AVERAGE((IF(DATOS_[[Sexo]:[Sexo]]=$B22,IF(DATOS_[[AGRUP. VALOR. PTO.]:[AGRUP. VALOR. PTO.]]=$B21,IF(DATOS_[[Check Periodo Ref.]:[Check Periodo Ref.]]="Dentro",IF(DATOS_[[Check Equiparado]:[Check Equiparado]]="Sí",IF(DATOS!BF$5="Sí",(1/DATOS_[[% anualiz]:[% anualiz]]),1)*IF(DATOS!BF$4="Sí",1/DATOS_[[% normaliz]:[% normaliz]],1)*(DATOS_[Conc.Sal.28])))))))),
0)</f>
        <v>0</v>
      </c>
      <c r="AL22" s="196">
        <f t="array" ref="AL22">IFERROR(
(AVERAGE((IF(DATOS_[[Sexo]:[Sexo]]=$B22,IF(DATOS_[[AGRUP. VALOR. PTO.]:[AGRUP. VALOR. PTO.]]=$B21,IF(DATOS_[[Check Periodo Ref.]:[Check Periodo Ref.]]="Dentro",IF(DATOS_[[Check Equiparado]:[Check Equiparado]]="Sí",IF(DATOS!BG$5="Sí",(1/DATOS_[[% anualiz]:[% anualiz]]),1)*IF(DATOS!BG$4="Sí",1/DATOS_[[% normaliz]:[% normaliz]],1)*(DATOS_[Conc.Sal.29])))))))),
0)</f>
        <v>0</v>
      </c>
      <c r="AM22" s="196">
        <f t="array" ref="AM22">IFERROR(
(AVERAGE((IF(DATOS_[[Sexo]:[Sexo]]=$B22,IF(DATOS_[[AGRUP. VALOR. PTO.]:[AGRUP. VALOR. PTO.]]=$B21,IF(DATOS_[[Check Periodo Ref.]:[Check Periodo Ref.]]="Dentro",IF(DATOS_[[Check Equiparado]:[Check Equiparado]]="Sí",IF(DATOS!BH$5="Sí",(1/DATOS_[[% anualiz]:[% anualiz]]),1)*IF(DATOS!BH$4="Sí",1/DATOS_[[% normaliz]:[% normaliz]],1)*(DATOS_[Conc.Sal.30])))))))),
0)</f>
        <v>0</v>
      </c>
      <c r="AN22" s="195">
        <f t="array" ref="AN22">IFERROR(
AVERAGE(IF(DATOS_[Sexo]=$B22,IF(DATOS_[[AGRUP. VALOR. PTO.]:[AGRUP. VALOR. PTO.]]=$B21,IF(DATOS_[Check Equiparado]="Sí",IF(DATOS_[Check Periodo Ref.]="Dentro",DATOS_[Tot COMPL.SAL Eq],FALSE))))),
0)</f>
        <v>0</v>
      </c>
      <c r="AO22" s="172">
        <f t="array" ref="AO22">IFERROR(
AVERAGE(IF(DATOS_[Sexo]=$B22,IF(DATOS_[[AGRUP. VALOR. PTO.]:[AGRUP. VALOR. PTO.]]=$B21,IF(DATOS_[Check Equiparado]="Sí",IF(DATOS_[Check Periodo Ref.]="Dentro",DATOS_[TOTAL SALARIO Eq],FALSE))))),
0)</f>
        <v>0</v>
      </c>
      <c r="AP22" s="173">
        <f t="array" ref="AP22">IFERROR(
(AVERAGE((IF(DATOS_[[Sexo]:[Sexo]]=$B22,IF(DATOS_[[AGRUP. VALOR. PTO.]:[AGRUP. VALOR. PTO.]]=$B21,IF(DATOS_[[Check Periodo Ref.]:[Check Periodo Ref.]]="Dentro",IF(DATOS_[[Check Equiparado]:[Check Equiparado]]="Sí",IF(DATOS!BW$5="Sí",(1/DATOS_[[% anualiz]:[% anualiz]]),1)*IF(DATOS!BW$4="Sí",1/DATOS_[[% normaliz]:[% normaliz]],1)*(DATOS_[C.Extra.01])))))))),
0)</f>
        <v>0</v>
      </c>
      <c r="AQ22" s="173">
        <f t="array" ref="AQ22">IFERROR(
(AVERAGE((IF(DATOS_[[Sexo]:[Sexo]]=$B22,IF(DATOS_[[AGRUP. VALOR. PTO.]:[AGRUP. VALOR. PTO.]]=$B21,IF(DATOS_[[Check Periodo Ref.]:[Check Periodo Ref.]]="Dentro",IF(DATOS_[[Check Equiparado]:[Check Equiparado]]="Sí",IF(DATOS!CB$5="Sí",(1/DATOS_[[% anualiz]:[% anualiz]]),1)*IF(DATOS!CB$4="Sí",1/DATOS_[[% normaliz]:[% normaliz]],1)*(DATOS_[C.Extra.06])))))))),
0)</f>
        <v>0</v>
      </c>
      <c r="AR22" s="173">
        <f t="array" ref="AR22">IFERROR(
(AVERAGE((IF(DATOS_[[Sexo]:[Sexo]]=$B22,IF(DATOS_[[AGRUP. VALOR. PTO.]:[AGRUP. VALOR. PTO.]]=$B21,IF(DATOS_[[Check Periodo Ref.]:[Check Periodo Ref.]]="Dentro",IF(DATOS_[[Check Equiparado]:[Check Equiparado]]="Sí",IF(DATOS!CC$5="Sí",(1/DATOS_[[% anualiz]:[% anualiz]]),1)*IF(DATOS!CC$4="Sí",1/DATOS_[[% normaliz]:[% normaliz]],1)*(DATOS_[C.Extra.07])))))))),
0)</f>
        <v>0</v>
      </c>
      <c r="AS22" s="173">
        <f t="array" ref="AS22">IFERROR(
(AVERAGE((IF(DATOS_[[Sexo]:[Sexo]]=$B22,IF(DATOS_[[AGRUP. VALOR. PTO.]:[AGRUP. VALOR. PTO.]]=$B21,IF(DATOS_[[Check Periodo Ref.]:[Check Periodo Ref.]]="Dentro",IF(DATOS_[[Check Equiparado]:[Check Equiparado]]="Sí",IF(DATOS!CD$5="Sí",(1/DATOS_[[% anualiz]:[% anualiz]]),1)*IF(DATOS!CD$4="Sí",1/DATOS_[[% normaliz]:[% normaliz]],1)*(DATOS_[C.Extra.08])))))))),
0)</f>
        <v>0</v>
      </c>
      <c r="AT22" s="173">
        <f t="array" ref="AT22">IFERROR(
(AVERAGE((IF(DATOS_[[Sexo]:[Sexo]]=$B22,IF(DATOS_[[AGRUP. VALOR. PTO.]:[AGRUP. VALOR. PTO.]]=$B21,IF(DATOS_[[Check Periodo Ref.]:[Check Periodo Ref.]]="Dentro",IF(DATOS_[[Check Equiparado]:[Check Equiparado]]="Sí",IF(DATOS!CG$5="Sí",(1/DATOS_[[% anualiz]:[% anualiz]]),1)*IF(DATOS!CG$4="Sí",1/DATOS_[[% normaliz]:[% normaliz]],1)*(DATOS_[C.Extra.11])))))))),
0)</f>
        <v>0</v>
      </c>
      <c r="AU22" s="197">
        <f t="array" ref="AU22">IFERROR(
AVERAGE(IF(DATOS_[Sexo]=$B22,IF(DATOS_[[AGRUP. VALOR. PTO.]:[AGRUP. VALOR. PTO.]]=$B21,IF(DATOS_[Check Equiparado]="Sí",IF(DATOS_[Check Periodo Ref.]="Dentro",DATOS_[Tot Extrasalarial Eq],FALSE))))),
0)</f>
        <v>0</v>
      </c>
      <c r="AV22" s="175">
        <f t="array" ref="AV22">IFERROR(
AVERAGE(IF(DATOS_[Sexo]=$B22,IF(DATOS_[[AGRUP. VALOR. PTO.]:[AGRUP. VALOR. PTO.]]=$B21,IF(DATOS_[Check Equiparado]="Sí",IF(DATOS_[Check Periodo Ref.]="Dentro",DATOS_[TOTAL Retrib Eq],FALSE))))),
0)</f>
        <v>0</v>
      </c>
    </row>
    <row r="23" spans="1:48" x14ac:dyDescent="0.25">
      <c r="A23" s="133" t="str">
        <f t="shared" ref="A23" si="14">+A22</f>
        <v>[ocultar]</v>
      </c>
      <c r="B23" s="202" t="s">
        <v>521</v>
      </c>
      <c r="C23" s="203">
        <f t="array" ref="C23">SUM(IF($B23=DATOS_[Sexo],
IF($B21=DATOS_[AGRUP. VALOR. PTO.],
IF("Dentro"=DATOS_[Check Periodo Ref.],
1/(COUNTIFS(DATOS_[Sexo],$B23,DATOS_[AGRUP. VALOR. PTO.],$B21,DATOS_[Check Periodo Ref.],"Dentro",DATOS_[id/cod],DATOS_[id/cod]))))))</f>
        <v>0</v>
      </c>
      <c r="D23" s="204">
        <f>COUNTIFS(DATOS_[AGRUP. VALOR. PTO.],$B21,DATOS_[Sexo],$B23,DATOS_[Check Periodo Ref.],"Dentro")</f>
        <v>0</v>
      </c>
      <c r="E23" s="204">
        <f>COUNTIFS(DATOS_[AGRUP. VALOR. PTO.],$B21,DATOS_[Sexo],$B23,DATOS_[Check Periodo Ref.],"Dentro",DATOS_[Check Nº SC Norm],"Sí")</f>
        <v>0</v>
      </c>
      <c r="F23" s="204">
        <f>COUNTIFS(DATOS_[AGRUP. VALOR. PTO.],$B21,DATOS_[Sexo],$B23,DATOS_[Check Periodo Ref.],"Dentro",DATOS_[Check Nº SC Anualiz],"Sí")</f>
        <v>0</v>
      </c>
      <c r="G23" s="204">
        <f>COUNTIFS(DATOS_[AGRUP. VALOR. PTO.],$B21,DATOS_[Sexo],$B23,DATOS_[Check Periodo Ref.],"Dentro",DATOS_[Check Nº SC Norm y Anualiz],"Sí")</f>
        <v>0</v>
      </c>
      <c r="H23" s="204">
        <f>COUNTIFS(DATOS_[AGRUP. VALOR. PTO.],$B21,DATOS_[Sexo],$B23,DATOS_[Check Periodo Ref.],"Dentro",DATOS_[Check Equiparación],"Sí")</f>
        <v>0</v>
      </c>
      <c r="I23" s="195" cm="1">
        <f t="array" ref="I23">IFERROR(
AVERAGE(IF(DATOS_[Sexo]=$B23,IF(DATOS_[[AGRUP. VALOR. PTO.]:[AGRUP. VALOR. PTO.]]=$B21,IF(DATOS_[Check Equiparado]="Sí",IF(DATOS_[Check Periodo Ref.]="Dentro",DATOS_[SALARIO BASE Eq],FALSE))))),
0)</f>
        <v>0</v>
      </c>
      <c r="J23" s="196">
        <f t="array" ref="J23">IFERROR(
(AVERAGE((IF(DATOS_[[Sexo]:[Sexo]]=$B23,IF(DATOS_[[AGRUP. VALOR. PTO.]:[AGRUP. VALOR. PTO.]]=$B21,IF(DATOS_[[Check Periodo Ref.]:[Check Periodo Ref.]]="Dentro",IF(DATOS_[[Check Equiparado]:[Check Equiparado]]="Sí",IF(DATOS!AE$5="Sí",(1/DATOS_[[% anualiz]:[% anualiz]]),1)*IF(DATOS!AE$4="Sí",1/DATOS_[[% normaliz]:[% normaliz]],1)*(DATOS_[Conc.Sal.01])))))))),
0)</f>
        <v>0</v>
      </c>
      <c r="K23" s="196">
        <f t="array" ref="K23">IFERROR(
(AVERAGE((IF(DATOS_[[Sexo]:[Sexo]]=$B23,IF(DATOS_[[AGRUP. VALOR. PTO.]:[AGRUP. VALOR. PTO.]]=$B21,IF(DATOS_[[Check Periodo Ref.]:[Check Periodo Ref.]]="Dentro",IF(DATOS_[[Check Equiparado]:[Check Equiparado]]="Sí",IF(DATOS!AF$5="Sí",(1/DATOS_[[% anualiz]:[% anualiz]]),1)*IF(DATOS!AF$4="Sí",1/DATOS_[[% normaliz]:[% normaliz]],1)*(DATOS_[Conc.Sal.02])))))))),
0)</f>
        <v>0</v>
      </c>
      <c r="L23" s="196">
        <f t="array" ref="L23">IFERROR(
(AVERAGE((IF(DATOS_[[Sexo]:[Sexo]]=$B23,IF(DATOS_[[AGRUP. VALOR. PTO.]:[AGRUP. VALOR. PTO.]]=$B21,IF(DATOS_[[Check Periodo Ref.]:[Check Periodo Ref.]]="Dentro",IF(DATOS_[[Check Equiparado]:[Check Equiparado]]="Sí",IF(DATOS!AG$5="Sí",(1/DATOS_[[% anualiz]:[% anualiz]]),1)*IF(DATOS!AG$4="Sí",1/DATOS_[[% normaliz]:[% normaliz]],1)*(DATOS_[Conc.Sal.03])))))))),
0)</f>
        <v>0</v>
      </c>
      <c r="M23" s="196">
        <f t="array" ref="M23">IFERROR(
(AVERAGE((IF(DATOS_[[Sexo]:[Sexo]]=$B23,IF(DATOS_[[AGRUP. VALOR. PTO.]:[AGRUP. VALOR. PTO.]]=$B21,IF(DATOS_[[Check Periodo Ref.]:[Check Periodo Ref.]]="Dentro",IF(DATOS_[[Check Equiparado]:[Check Equiparado]]="Sí",IF(DATOS!AH$5="Sí",(1/DATOS_[[% anualiz]:[% anualiz]]),1)*IF(DATOS!AH$4="Sí",1/DATOS_[[% normaliz]:[% normaliz]],1)*(DATOS_[Conc.Sal.04])))))))),
0)</f>
        <v>0</v>
      </c>
      <c r="N23" s="196">
        <f t="array" ref="N23">IFERROR(
(AVERAGE((IF(DATOS_[[Sexo]:[Sexo]]=$B23,IF(DATOS_[[AGRUP. VALOR. PTO.]:[AGRUP. VALOR. PTO.]]=$B21,IF(DATOS_[[Check Periodo Ref.]:[Check Periodo Ref.]]="Dentro",IF(DATOS_[[Check Equiparado]:[Check Equiparado]]="Sí",IF(DATOS!AI$5="Sí",(1/DATOS_[[% anualiz]:[% anualiz]]),1)*IF(DATOS!AI$4="Sí",1/DATOS_[[% normaliz]:[% normaliz]],1)*(DATOS_[Conc.Sal.05])))))))),
0)</f>
        <v>0</v>
      </c>
      <c r="O23" s="196">
        <f t="array" ref="O23">IFERROR(
(AVERAGE((IF(DATOS_[[Sexo]:[Sexo]]=$B23,IF(DATOS_[[AGRUP. VALOR. PTO.]:[AGRUP. VALOR. PTO.]]=$B21,IF(DATOS_[[Check Periodo Ref.]:[Check Periodo Ref.]]="Dentro",IF(DATOS_[[Check Equiparado]:[Check Equiparado]]="Sí",IF(DATOS!AJ$5="Sí",(1/DATOS_[[% anualiz]:[% anualiz]]),1)*IF(DATOS!AJ$4="Sí",1/DATOS_[[% normaliz]:[% normaliz]],1)*(DATOS_[Conc.Sal.06])))))))),
0)</f>
        <v>0</v>
      </c>
      <c r="P23" s="196">
        <f t="array" ref="P23">IFERROR(
(AVERAGE((IF(DATOS_[[Sexo]:[Sexo]]=$B23,IF(DATOS_[[AGRUP. VALOR. PTO.]:[AGRUP. VALOR. PTO.]]=$B21,IF(DATOS_[[Check Periodo Ref.]:[Check Periodo Ref.]]="Dentro",IF(DATOS_[[Check Equiparado]:[Check Equiparado]]="Sí",IF(DATOS!AK$5="Sí",(1/DATOS_[[% anualiz]:[% anualiz]]),1)*IF(DATOS!AK$4="Sí",1/DATOS_[[% normaliz]:[% normaliz]],1)*(DATOS_[Conc.Sal.07])))))))),
0)</f>
        <v>0</v>
      </c>
      <c r="Q23" s="196">
        <f t="array" ref="Q23">IFERROR(
(AVERAGE((IF(DATOS_[[Sexo]:[Sexo]]=$B23,IF(DATOS_[[AGRUP. VALOR. PTO.]:[AGRUP. VALOR. PTO.]]=$B21,IF(DATOS_[[Check Periodo Ref.]:[Check Periodo Ref.]]="Dentro",IF(DATOS_[[Check Equiparado]:[Check Equiparado]]="Sí",IF(DATOS!AL$5="Sí",(1/DATOS_[[% anualiz]:[% anualiz]]),1)*IF(DATOS!AL$4="Sí",1/DATOS_[[% normaliz]:[% normaliz]],1)*(DATOS_[Conc.Sal.08])))))))),
0)</f>
        <v>0</v>
      </c>
      <c r="R23" s="196">
        <f t="array" ref="R23">IFERROR(
(AVERAGE((IF(DATOS_[[Sexo]:[Sexo]]=$B23,IF(DATOS_[[AGRUP. VALOR. PTO.]:[AGRUP. VALOR. PTO.]]=$B21,IF(DATOS_[[Check Periodo Ref.]:[Check Periodo Ref.]]="Dentro",IF(DATOS_[[Check Equiparado]:[Check Equiparado]]="Sí",IF(DATOS!AM$5="Sí",(1/DATOS_[[% anualiz]:[% anualiz]]),1)*IF(DATOS!AM$4="Sí",1/DATOS_[[% normaliz]:[% normaliz]],1)*(DATOS_[Conc.Sal.09])))))))),
0)</f>
        <v>0</v>
      </c>
      <c r="S23" s="196">
        <f t="array" ref="S23">IFERROR(
(AVERAGE((IF(DATOS_[[Sexo]:[Sexo]]=$B23,IF(DATOS_[[AGRUP. VALOR. PTO.]:[AGRUP. VALOR. PTO.]]=$B21,IF(DATOS_[[Check Periodo Ref.]:[Check Periodo Ref.]]="Dentro",IF(DATOS_[[Check Equiparado]:[Check Equiparado]]="Sí",IF(DATOS!AN$5="Sí",(1/DATOS_[[% anualiz]:[% anualiz]]),1)*IF(DATOS!AN$4="Sí",1/DATOS_[[% normaliz]:[% normaliz]],1)*(DATOS_[Conc.Sal.10])))))))),
0)</f>
        <v>0</v>
      </c>
      <c r="T23" s="196">
        <f t="array" ref="T23">IFERROR(
(AVERAGE((IF(DATOS_[[Sexo]:[Sexo]]=$B23,IF(DATOS_[[AGRUP. VALOR. PTO.]:[AGRUP. VALOR. PTO.]]=$B21,IF(DATOS_[[Check Periodo Ref.]:[Check Periodo Ref.]]="Dentro",IF(DATOS_[[Check Equiparado]:[Check Equiparado]]="Sí",IF(DATOS!AO$5="Sí",(1/DATOS_[[% anualiz]:[% anualiz]]),1)*IF(DATOS!AO$4="Sí",1/DATOS_[[% normaliz]:[% normaliz]],1)*(DATOS_[Conc.Sal.11])))))))),
0)</f>
        <v>0</v>
      </c>
      <c r="U23" s="196">
        <f t="array" ref="U23">IFERROR(
(AVERAGE((IF(DATOS_[[Sexo]:[Sexo]]=$B23,IF(DATOS_[[AGRUP. VALOR. PTO.]:[AGRUP. VALOR. PTO.]]=$B21,IF(DATOS_[[Check Periodo Ref.]:[Check Periodo Ref.]]="Dentro",IF(DATOS_[[Check Equiparado]:[Check Equiparado]]="Sí",IF(DATOS!AP$5="Sí",(1/DATOS_[[% anualiz]:[% anualiz]]),1)*IF(DATOS!AP$4="Sí",1/DATOS_[[% normaliz]:[% normaliz]],1)*(DATOS_[Conc.Sal.12])))))))),
0)</f>
        <v>0</v>
      </c>
      <c r="V23" s="196">
        <f t="array" ref="V23">IFERROR(
(AVERAGE((IF(DATOS_[[Sexo]:[Sexo]]=$B23,IF(DATOS_[[AGRUP. VALOR. PTO.]:[AGRUP. VALOR. PTO.]]=$B21,IF(DATOS_[[Check Periodo Ref.]:[Check Periodo Ref.]]="Dentro",IF(DATOS_[[Check Equiparado]:[Check Equiparado]]="Sí",IF(DATOS!AQ$5="Sí",(1/DATOS_[[% anualiz]:[% anualiz]]),1)*IF(DATOS!AQ$4="Sí",1/DATOS_[[% normaliz]:[% normaliz]],1)*(DATOS_[Conc.Sal.13])))))))),
0)</f>
        <v>0</v>
      </c>
      <c r="W23" s="196">
        <f t="array" ref="W23">IFERROR(
(AVERAGE((IF(DATOS_[[Sexo]:[Sexo]]=$B23,IF(DATOS_[[AGRUP. VALOR. PTO.]:[AGRUP. VALOR. PTO.]]=$B21,IF(DATOS_[[Check Periodo Ref.]:[Check Periodo Ref.]]="Dentro",IF(DATOS_[[Check Equiparado]:[Check Equiparado]]="Sí",IF(DATOS!AR$5="Sí",(1/DATOS_[[% anualiz]:[% anualiz]]),1)*IF(DATOS!AR$4="Sí",1/DATOS_[[% normaliz]:[% normaliz]],1)*(DATOS_[Conc.Sal.14])))))))),
0)</f>
        <v>0</v>
      </c>
      <c r="X23" s="196">
        <f t="array" ref="X23">IFERROR(
(AVERAGE((IF(DATOS_[[Sexo]:[Sexo]]=$B23,IF(DATOS_[[AGRUP. VALOR. PTO.]:[AGRUP. VALOR. PTO.]]=$B21,IF(DATOS_[[Check Periodo Ref.]:[Check Periodo Ref.]]="Dentro",IF(DATOS_[[Check Equiparado]:[Check Equiparado]]="Sí",IF(DATOS!AS$5="Sí",(1/DATOS_[[% anualiz]:[% anualiz]]),1)*IF(DATOS!AS$4="Sí",1/DATOS_[[% normaliz]:[% normaliz]],1)*(DATOS_[Conc.Sal.15])))))))),
0)</f>
        <v>0</v>
      </c>
      <c r="Y23" s="196">
        <f t="array" ref="Y23">IFERROR(
(AVERAGE((IF(DATOS_[[Sexo]:[Sexo]]=$B23,IF(DATOS_[[AGRUP. VALOR. PTO.]:[AGRUP. VALOR. PTO.]]=$B21,IF(DATOS_[[Check Periodo Ref.]:[Check Periodo Ref.]]="Dentro",IF(DATOS_[[Check Equiparado]:[Check Equiparado]]="Sí",IF(DATOS!AT$5="Sí",(1/DATOS_[[% anualiz]:[% anualiz]]),1)*IF(DATOS!AT$4="Sí",1/DATOS_[[% normaliz]:[% normaliz]],1)*(DATOS_[Conc.Sal.16])))))))),
0)</f>
        <v>0</v>
      </c>
      <c r="Z23" s="196">
        <f t="array" ref="Z23">IFERROR(
(AVERAGE((IF(DATOS_[[Sexo]:[Sexo]]=$B23,IF(DATOS_[[AGRUP. VALOR. PTO.]:[AGRUP. VALOR. PTO.]]=$B21,IF(DATOS_[[Check Periodo Ref.]:[Check Periodo Ref.]]="Dentro",IF(DATOS_[[Check Equiparado]:[Check Equiparado]]="Sí",IF(DATOS!AU$5="Sí",(1/DATOS_[[% anualiz]:[% anualiz]]),1)*IF(DATOS!AU$4="Sí",1/DATOS_[[% normaliz]:[% normaliz]],1)*(DATOS_[Conc.Sal.17])))))))),
0)</f>
        <v>0</v>
      </c>
      <c r="AA23" s="196">
        <f t="array" ref="AA23">IFERROR(
(AVERAGE((IF(DATOS_[[Sexo]:[Sexo]]=$B23,IF(DATOS_[[AGRUP. VALOR. PTO.]:[AGRUP. VALOR. PTO.]]=$B21,IF(DATOS_[[Check Periodo Ref.]:[Check Periodo Ref.]]="Dentro",IF(DATOS_[[Check Equiparado]:[Check Equiparado]]="Sí",IF(DATOS!AV$5="Sí",(1/DATOS_[[% anualiz]:[% anualiz]]),1)*IF(DATOS!AV$4="Sí",1/DATOS_[[% normaliz]:[% normaliz]],1)*(DATOS_[Conc.Sal.18])))))))),
0)</f>
        <v>0</v>
      </c>
      <c r="AB23" s="196">
        <f t="array" ref="AB23">IFERROR(
(AVERAGE((IF(DATOS_[[Sexo]:[Sexo]]=$B23,IF(DATOS_[[AGRUP. VALOR. PTO.]:[AGRUP. VALOR. PTO.]]=$B21,IF(DATOS_[[Check Periodo Ref.]:[Check Periodo Ref.]]="Dentro",IF(DATOS_[[Check Equiparado]:[Check Equiparado]]="Sí",IF(DATOS!AW$5="Sí",(1/DATOS_[[% anualiz]:[% anualiz]]),1)*IF(DATOS!AW$4="Sí",1/DATOS_[[% normaliz]:[% normaliz]],1)*(DATOS_[Conc.Sal.19])))))))),
0)</f>
        <v>0</v>
      </c>
      <c r="AC23" s="196">
        <f t="array" ref="AC23">IFERROR(
(AVERAGE((IF(DATOS_[[Sexo]:[Sexo]]=$B23,IF(DATOS_[[AGRUP. VALOR. PTO.]:[AGRUP. VALOR. PTO.]]=$B21,IF(DATOS_[[Check Periodo Ref.]:[Check Periodo Ref.]]="Dentro",IF(DATOS_[[Check Equiparado]:[Check Equiparado]]="Sí",IF(DATOS!AX$5="Sí",(1/DATOS_[[% anualiz]:[% anualiz]]),1)*IF(DATOS!AX$4="Sí",1/DATOS_[[% normaliz]:[% normaliz]],1)*(DATOS_[Conc.Sal.20])))))))),
0)</f>
        <v>0</v>
      </c>
      <c r="AD23" s="196">
        <f t="array" ref="AD23">IFERROR(
(AVERAGE((IF(DATOS_[[Sexo]:[Sexo]]=$B23,IF(DATOS_[[AGRUP. VALOR. PTO.]:[AGRUP. VALOR. PTO.]]=$B21,IF(DATOS_[[Check Periodo Ref.]:[Check Periodo Ref.]]="Dentro",IF(DATOS_[[Check Equiparado]:[Check Equiparado]]="Sí",IF(DATOS!AY$5="Sí",(1/DATOS_[[% anualiz]:[% anualiz]]),1)*IF(DATOS!AY$4="Sí",1/DATOS_[[% normaliz]:[% normaliz]],1)*(DATOS_[Conc.Sal.21])))))))),
0)</f>
        <v>0</v>
      </c>
      <c r="AE23" s="196">
        <f t="array" ref="AE23">IFERROR(
(AVERAGE((IF(DATOS_[[Sexo]:[Sexo]]=$B23,IF(DATOS_[[AGRUP. VALOR. PTO.]:[AGRUP. VALOR. PTO.]]=$B21,IF(DATOS_[[Check Periodo Ref.]:[Check Periodo Ref.]]="Dentro",IF(DATOS_[[Check Equiparado]:[Check Equiparado]]="Sí",IF(DATOS!AZ$5="Sí",(1/DATOS_[[% anualiz]:[% anualiz]]),1)*IF(DATOS!AZ$4="Sí",1/DATOS_[[% normaliz]:[% normaliz]],1)*(DATOS_[Conc.Sal.22])))))))),
0)</f>
        <v>0</v>
      </c>
      <c r="AF23" s="196">
        <f t="array" ref="AF23">IFERROR(
(AVERAGE((IF(DATOS_[[Sexo]:[Sexo]]=$B23,IF(DATOS_[[AGRUP. VALOR. PTO.]:[AGRUP. VALOR. PTO.]]=$B21,IF(DATOS_[[Check Periodo Ref.]:[Check Periodo Ref.]]="Dentro",IF(DATOS_[[Check Equiparado]:[Check Equiparado]]="Sí",IF(DATOS!BA$5="Sí",(1/DATOS_[[% anualiz]:[% anualiz]]),1)*IF(DATOS!BA$4="Sí",1/DATOS_[[% normaliz]:[% normaliz]],1)*(DATOS_[Conc.Sal.23])))))))),
0)</f>
        <v>0</v>
      </c>
      <c r="AG23" s="196">
        <f t="array" ref="AG23">IFERROR(
(AVERAGE((IF(DATOS_[[Sexo]:[Sexo]]=$B23,IF(DATOS_[[AGRUP. VALOR. PTO.]:[AGRUP. VALOR. PTO.]]=$B21,IF(DATOS_[[Check Periodo Ref.]:[Check Periodo Ref.]]="Dentro",IF(DATOS_[[Check Equiparado]:[Check Equiparado]]="Sí",IF(DATOS!BB$5="Sí",(1/DATOS_[[% anualiz]:[% anualiz]]),1)*IF(DATOS!BB$4="Sí",1/DATOS_[[% normaliz]:[% normaliz]],1)*(DATOS_[Conc.Sal.24])))))))),
0)</f>
        <v>0</v>
      </c>
      <c r="AH23" s="196">
        <f t="array" ref="AH23">IFERROR(
(AVERAGE((IF(DATOS_[[Sexo]:[Sexo]]=$B23,IF(DATOS_[[AGRUP. VALOR. PTO.]:[AGRUP. VALOR. PTO.]]=$B21,IF(DATOS_[[Check Periodo Ref.]:[Check Periodo Ref.]]="Dentro",IF(DATOS_[[Check Equiparado]:[Check Equiparado]]="Sí",IF(DATOS!BC$5="Sí",(1/DATOS_[[% anualiz]:[% anualiz]]),1)*IF(DATOS!BC$4="Sí",1/DATOS_[[% normaliz]:[% normaliz]],1)*(DATOS_[Conc.Sal.25])))))))),
0)</f>
        <v>0</v>
      </c>
      <c r="AI23" s="196">
        <f t="array" ref="AI23">IFERROR(
(AVERAGE((IF(DATOS_[[Sexo]:[Sexo]]=$B23,IF(DATOS_[[AGRUP. VALOR. PTO.]:[AGRUP. VALOR. PTO.]]=$B21,IF(DATOS_[[Check Periodo Ref.]:[Check Periodo Ref.]]="Dentro",IF(DATOS_[[Check Equiparado]:[Check Equiparado]]="Sí",IF(DATOS!BD$5="Sí",(1/DATOS_[[% anualiz]:[% anualiz]]),1)*IF(DATOS!BD$4="Sí",1/DATOS_[[% normaliz]:[% normaliz]],1)*(DATOS_[Conc.Sal.26])))))))),
0)</f>
        <v>0</v>
      </c>
      <c r="AJ23" s="196">
        <f t="array" ref="AJ23">IFERROR(
(AVERAGE((IF(DATOS_[[Sexo]:[Sexo]]=$B23,IF(DATOS_[[AGRUP. VALOR. PTO.]:[AGRUP. VALOR. PTO.]]=$B21,IF(DATOS_[[Check Periodo Ref.]:[Check Periodo Ref.]]="Dentro",IF(DATOS_[[Check Equiparado]:[Check Equiparado]]="Sí",IF(DATOS!BE$5="Sí",(1/DATOS_[[% anualiz]:[% anualiz]]),1)*IF(DATOS!BE$4="Sí",1/DATOS_[[% normaliz]:[% normaliz]],1)*(DATOS_[Conc.Sal.27])))))))),
0)</f>
        <v>0</v>
      </c>
      <c r="AK23" s="196">
        <f t="array" ref="AK23">IFERROR(
(AVERAGE((IF(DATOS_[[Sexo]:[Sexo]]=$B23,IF(DATOS_[[AGRUP. VALOR. PTO.]:[AGRUP. VALOR. PTO.]]=$B21,IF(DATOS_[[Check Periodo Ref.]:[Check Periodo Ref.]]="Dentro",IF(DATOS_[[Check Equiparado]:[Check Equiparado]]="Sí",IF(DATOS!BF$5="Sí",(1/DATOS_[[% anualiz]:[% anualiz]]),1)*IF(DATOS!BF$4="Sí",1/DATOS_[[% normaliz]:[% normaliz]],1)*(DATOS_[Conc.Sal.28])))))))),
0)</f>
        <v>0</v>
      </c>
      <c r="AL23" s="196">
        <f t="array" ref="AL23">IFERROR(
(AVERAGE((IF(DATOS_[[Sexo]:[Sexo]]=$B23,IF(DATOS_[[AGRUP. VALOR. PTO.]:[AGRUP. VALOR. PTO.]]=$B21,IF(DATOS_[[Check Periodo Ref.]:[Check Periodo Ref.]]="Dentro",IF(DATOS_[[Check Equiparado]:[Check Equiparado]]="Sí",IF(DATOS!BG$5="Sí",(1/DATOS_[[% anualiz]:[% anualiz]]),1)*IF(DATOS!BG$4="Sí",1/DATOS_[[% normaliz]:[% normaliz]],1)*(DATOS_[Conc.Sal.29])))))))),
0)</f>
        <v>0</v>
      </c>
      <c r="AM23" s="196">
        <f t="array" ref="AM23">IFERROR(
(AVERAGE((IF(DATOS_[[Sexo]:[Sexo]]=$B23,IF(DATOS_[[AGRUP. VALOR. PTO.]:[AGRUP. VALOR. PTO.]]=$B21,IF(DATOS_[[Check Periodo Ref.]:[Check Periodo Ref.]]="Dentro",IF(DATOS_[[Check Equiparado]:[Check Equiparado]]="Sí",IF(DATOS!BH$5="Sí",(1/DATOS_[[% anualiz]:[% anualiz]]),1)*IF(DATOS!BH$4="Sí",1/DATOS_[[% normaliz]:[% normaliz]],1)*(DATOS_[Conc.Sal.30])))))))),
0)</f>
        <v>0</v>
      </c>
      <c r="AN23" s="195">
        <f t="array" ref="AN23">IFERROR(
AVERAGE(IF(DATOS_[Sexo]=$B23,IF(DATOS_[[AGRUP. VALOR. PTO.]:[AGRUP. VALOR. PTO.]]=$B21,IF(DATOS_[Check Equiparado]="Sí",IF(DATOS_[Check Periodo Ref.]="Dentro",DATOS_[Tot COMPL.SAL Eq],FALSE))))),
0)</f>
        <v>0</v>
      </c>
      <c r="AO23" s="172">
        <f t="array" ref="AO23">IFERROR(
AVERAGE(IF(DATOS_[Sexo]=$B23,IF(DATOS_[[AGRUP. VALOR. PTO.]:[AGRUP. VALOR. PTO.]]=$B21,IF(DATOS_[Check Equiparado]="Sí",IF(DATOS_[Check Periodo Ref.]="Dentro",DATOS_[TOTAL SALARIO Eq],FALSE))))),
0)</f>
        <v>0</v>
      </c>
      <c r="AP23" s="173">
        <f t="array" ref="AP23">IFERROR(
(AVERAGE((IF(DATOS_[[Sexo]:[Sexo]]=$B23,IF(DATOS_[[AGRUP. VALOR. PTO.]:[AGRUP. VALOR. PTO.]]=$B21,IF(DATOS_[[Check Periodo Ref.]:[Check Periodo Ref.]]="Dentro",IF(DATOS_[[Check Equiparado]:[Check Equiparado]]="Sí",IF(DATOS!BW$5="Sí",(1/DATOS_[[% anualiz]:[% anualiz]]),1)*IF(DATOS!BW$4="Sí",1/DATOS_[[% normaliz]:[% normaliz]],1)*(DATOS_[C.Extra.01])))))))),
0)</f>
        <v>0</v>
      </c>
      <c r="AQ23" s="173">
        <f t="array" ref="AQ23">IFERROR(
(AVERAGE((IF(DATOS_[[Sexo]:[Sexo]]=$B23,IF(DATOS_[[AGRUP. VALOR. PTO.]:[AGRUP. VALOR. PTO.]]=$B21,IF(DATOS_[[Check Periodo Ref.]:[Check Periodo Ref.]]="Dentro",IF(DATOS_[[Check Equiparado]:[Check Equiparado]]="Sí",IF(DATOS!CB$5="Sí",(1/DATOS_[[% anualiz]:[% anualiz]]),1)*IF(DATOS!CB$4="Sí",1/DATOS_[[% normaliz]:[% normaliz]],1)*(DATOS_[C.Extra.06])))))))),
0)</f>
        <v>0</v>
      </c>
      <c r="AR23" s="173">
        <f t="array" ref="AR23">IFERROR(
(AVERAGE((IF(DATOS_[[Sexo]:[Sexo]]=$B23,IF(DATOS_[[AGRUP. VALOR. PTO.]:[AGRUP. VALOR. PTO.]]=$B21,IF(DATOS_[[Check Periodo Ref.]:[Check Periodo Ref.]]="Dentro",IF(DATOS_[[Check Equiparado]:[Check Equiparado]]="Sí",IF(DATOS!CC$5="Sí",(1/DATOS_[[% anualiz]:[% anualiz]]),1)*IF(DATOS!CC$4="Sí",1/DATOS_[[% normaliz]:[% normaliz]],1)*(DATOS_[C.Extra.07])))))))),
0)</f>
        <v>0</v>
      </c>
      <c r="AS23" s="173">
        <f t="array" ref="AS23">IFERROR(
(AVERAGE((IF(DATOS_[[Sexo]:[Sexo]]=$B23,IF(DATOS_[[AGRUP. VALOR. PTO.]:[AGRUP. VALOR. PTO.]]=$B21,IF(DATOS_[[Check Periodo Ref.]:[Check Periodo Ref.]]="Dentro",IF(DATOS_[[Check Equiparado]:[Check Equiparado]]="Sí",IF(DATOS!CD$5="Sí",(1/DATOS_[[% anualiz]:[% anualiz]]),1)*IF(DATOS!CD$4="Sí",1/DATOS_[[% normaliz]:[% normaliz]],1)*(DATOS_[C.Extra.08])))))))),
0)</f>
        <v>0</v>
      </c>
      <c r="AT23" s="173">
        <f t="array" ref="AT23">IFERROR(
(AVERAGE((IF(DATOS_[[Sexo]:[Sexo]]=$B23,IF(DATOS_[[AGRUP. VALOR. PTO.]:[AGRUP. VALOR. PTO.]]=$B21,IF(DATOS_[[Check Periodo Ref.]:[Check Periodo Ref.]]="Dentro",IF(DATOS_[[Check Equiparado]:[Check Equiparado]]="Sí",IF(DATOS!CG$5="Sí",(1/DATOS_[[% anualiz]:[% anualiz]]),1)*IF(DATOS!CG$4="Sí",1/DATOS_[[% normaliz]:[% normaliz]],1)*(DATOS_[C.Extra.11])))))))),
0)</f>
        <v>0</v>
      </c>
      <c r="AU23" s="197">
        <f t="array" ref="AU23">IFERROR(
AVERAGE(IF(DATOS_[Sexo]=$B23,IF(DATOS_[[AGRUP. VALOR. PTO.]:[AGRUP. VALOR. PTO.]]=$B21,IF(DATOS_[Check Equiparado]="Sí",IF(DATOS_[Check Periodo Ref.]="Dentro",DATOS_[Tot Extrasalarial Eq],FALSE))))),
0)</f>
        <v>0</v>
      </c>
      <c r="AV23" s="175">
        <f t="array" ref="AV23">IFERROR(
AVERAGE(IF(DATOS_[Sexo]=$B23,IF(DATOS_[[AGRUP. VALOR. PTO.]:[AGRUP. VALOR. PTO.]]=$B21,IF(DATOS_[Check Equiparado]="Sí",IF(DATOS_[Check Periodo Ref.]="Dentro",DATOS_[TOTAL Retrib Eq],FALSE))))),
0)</f>
        <v>0</v>
      </c>
    </row>
    <row r="24" spans="1:48" ht="15.6" thickBot="1" x14ac:dyDescent="0.3">
      <c r="A24" s="133" t="str">
        <f t="shared" ref="A24" si="15">+A25</f>
        <v>[ocultar]</v>
      </c>
      <c r="B24" s="199" t="s">
        <v>189</v>
      </c>
      <c r="C24" s="200"/>
      <c r="D24" s="201"/>
      <c r="E24" s="201"/>
      <c r="F24" s="201"/>
      <c r="G24" s="201"/>
      <c r="H24" s="201"/>
      <c r="I24" s="189" t="str">
        <f t="shared" ref="I24:AV24" si="16">IFERROR((I25-I26)/I25,"")</f>
        <v/>
      </c>
      <c r="J24" s="190" t="str">
        <f t="shared" si="16"/>
        <v/>
      </c>
      <c r="K24" s="191" t="str">
        <f t="shared" si="16"/>
        <v/>
      </c>
      <c r="L24" s="191" t="str">
        <f t="shared" si="16"/>
        <v/>
      </c>
      <c r="M24" s="191" t="str">
        <f t="shared" si="16"/>
        <v/>
      </c>
      <c r="N24" s="192" t="str">
        <f t="shared" si="16"/>
        <v/>
      </c>
      <c r="O24" s="193" t="str">
        <f t="shared" si="16"/>
        <v/>
      </c>
      <c r="P24" s="193" t="str">
        <f t="shared" si="16"/>
        <v/>
      </c>
      <c r="Q24" s="193" t="str">
        <f t="shared" si="16"/>
        <v/>
      </c>
      <c r="R24" s="193" t="str">
        <f t="shared" si="16"/>
        <v/>
      </c>
      <c r="S24" s="193" t="str">
        <f t="shared" si="16"/>
        <v/>
      </c>
      <c r="T24" s="193" t="str">
        <f t="shared" si="16"/>
        <v/>
      </c>
      <c r="U24" s="193" t="str">
        <f t="shared" si="16"/>
        <v/>
      </c>
      <c r="V24" s="193" t="str">
        <f t="shared" si="16"/>
        <v/>
      </c>
      <c r="W24" s="193" t="str">
        <f t="shared" si="16"/>
        <v/>
      </c>
      <c r="X24" s="193" t="str">
        <f t="shared" si="16"/>
        <v/>
      </c>
      <c r="Y24" s="193" t="str">
        <f t="shared" si="16"/>
        <v/>
      </c>
      <c r="Z24" s="193" t="str">
        <f t="shared" si="16"/>
        <v/>
      </c>
      <c r="AA24" s="193" t="str">
        <f t="shared" si="16"/>
        <v/>
      </c>
      <c r="AB24" s="193" t="str">
        <f t="shared" si="16"/>
        <v/>
      </c>
      <c r="AC24" s="193" t="str">
        <f t="shared" si="16"/>
        <v/>
      </c>
      <c r="AD24" s="193" t="str">
        <f t="shared" si="16"/>
        <v/>
      </c>
      <c r="AE24" s="193" t="str">
        <f t="shared" si="16"/>
        <v/>
      </c>
      <c r="AF24" s="193" t="str">
        <f t="shared" si="16"/>
        <v/>
      </c>
      <c r="AG24" s="193" t="str">
        <f t="shared" si="16"/>
        <v/>
      </c>
      <c r="AH24" s="193" t="str">
        <f t="shared" si="16"/>
        <v/>
      </c>
      <c r="AI24" s="193" t="str">
        <f t="shared" si="16"/>
        <v/>
      </c>
      <c r="AJ24" s="193" t="str">
        <f t="shared" si="16"/>
        <v/>
      </c>
      <c r="AK24" s="193" t="str">
        <f t="shared" si="16"/>
        <v/>
      </c>
      <c r="AL24" s="193" t="str">
        <f t="shared" si="16"/>
        <v/>
      </c>
      <c r="AM24" s="193" t="str">
        <f t="shared" si="16"/>
        <v/>
      </c>
      <c r="AN24" s="189" t="str">
        <f t="shared" si="16"/>
        <v/>
      </c>
      <c r="AO24" s="162" t="str">
        <f t="shared" si="16"/>
        <v/>
      </c>
      <c r="AP24" s="163" t="str">
        <f t="shared" si="16"/>
        <v/>
      </c>
      <c r="AQ24" s="163" t="str">
        <f t="shared" si="16"/>
        <v/>
      </c>
      <c r="AR24" s="163" t="str">
        <f t="shared" si="16"/>
        <v/>
      </c>
      <c r="AS24" s="163" t="str">
        <f t="shared" si="16"/>
        <v/>
      </c>
      <c r="AT24" s="163" t="str">
        <f t="shared" si="16"/>
        <v/>
      </c>
      <c r="AU24" s="194" t="str">
        <f t="shared" si="16"/>
        <v/>
      </c>
      <c r="AV24" s="165" t="str">
        <f t="shared" si="16"/>
        <v/>
      </c>
    </row>
    <row r="25" spans="1:48" x14ac:dyDescent="0.25">
      <c r="A25" s="133" t="str">
        <f t="shared" ref="A25" si="17">+IF(C25+C26=0,"[ocultar]","")</f>
        <v>[ocultar]</v>
      </c>
      <c r="B25" s="202" t="s">
        <v>394</v>
      </c>
      <c r="C25" s="203">
        <f t="array" ref="C25">SUM(IF($B25=DATOS_[Sexo],
IF($B24=DATOS_[AGRUP. VALOR. PTO.],
IF("Dentro"=DATOS_[Check Periodo Ref.],
1/(COUNTIFS(DATOS_[Sexo],$B25,DATOS_[AGRUP. VALOR. PTO.],$B24,DATOS_[Check Periodo Ref.],"Dentro",DATOS_[id/cod],DATOS_[id/cod]))))))</f>
        <v>0</v>
      </c>
      <c r="D25" s="204">
        <f>COUNTIFS(DATOS_[AGRUP. VALOR. PTO.],$B24,DATOS_[Sexo],$B25,DATOS_[Check Periodo Ref.],"Dentro")</f>
        <v>0</v>
      </c>
      <c r="E25" s="204">
        <f>COUNTIFS(DATOS_[AGRUP. VALOR. PTO.],$B24,DATOS_[Sexo],$B25,DATOS_[Check Periodo Ref.],"Dentro",DATOS_[Check Nº SC Norm],"Sí")</f>
        <v>0</v>
      </c>
      <c r="F25" s="204">
        <f>COUNTIFS(DATOS_[AGRUP. VALOR. PTO.],$B24,DATOS_[Sexo],$B25,DATOS_[Check Periodo Ref.],"Dentro",DATOS_[Check Nº SC Anualiz],"Sí")</f>
        <v>0</v>
      </c>
      <c r="G25" s="204">
        <f>COUNTIFS(DATOS_[AGRUP. VALOR. PTO.],$B24,DATOS_[Sexo],$B25,DATOS_[Check Periodo Ref.],"Dentro",DATOS_[Check Nº SC Norm y Anualiz],"Sí")</f>
        <v>0</v>
      </c>
      <c r="H25" s="204">
        <f>COUNTIFS(DATOS_[AGRUP. VALOR. PTO.],$B24,DATOS_[Sexo],$B25,DATOS_[Check Periodo Ref.],"Dentro",DATOS_[Check Equiparación],"Sí")</f>
        <v>0</v>
      </c>
      <c r="I25" s="195">
        <f t="array" ref="I25">IFERROR(
AVERAGE(IF(DATOS_[Sexo]=$B25,IF(DATOS_[[AGRUP. VALOR. PTO.]:[AGRUP. VALOR. PTO.]]=$B24,IF(DATOS_[Check Equiparado]="Sí",IF(DATOS_[Check Periodo Ref.]="Dentro",DATOS_[SALARIO BASE Eq],FALSE))))),
0)</f>
        <v>0</v>
      </c>
      <c r="J25" s="196">
        <f t="array" ref="J25">IFERROR(
(AVERAGE((IF(DATOS_[[Sexo]:[Sexo]]=$B25,IF(DATOS_[[AGRUP. VALOR. PTO.]:[AGRUP. VALOR. PTO.]]=$B24,IF(DATOS_[[Check Periodo Ref.]:[Check Periodo Ref.]]="Dentro",IF(DATOS_[[Check Equiparado]:[Check Equiparado]]="Sí",IF(DATOS!AE$5="Sí",(1/DATOS_[[% anualiz]:[% anualiz]]),1)*IF(DATOS!AE$4="Sí",1/DATOS_[[% normaliz]:[% normaliz]],1)*(DATOS_[Conc.Sal.01])))))))),
0)</f>
        <v>0</v>
      </c>
      <c r="K25" s="196">
        <f t="array" ref="K25">IFERROR(
(AVERAGE((IF(DATOS_[[Sexo]:[Sexo]]=$B25,IF(DATOS_[[AGRUP. VALOR. PTO.]:[AGRUP. VALOR. PTO.]]=$B24,IF(DATOS_[[Check Periodo Ref.]:[Check Periodo Ref.]]="Dentro",IF(DATOS_[[Check Equiparado]:[Check Equiparado]]="Sí",IF(DATOS!AF$5="Sí",(1/DATOS_[[% anualiz]:[% anualiz]]),1)*IF(DATOS!AF$4="Sí",1/DATOS_[[% normaliz]:[% normaliz]],1)*(DATOS_[Conc.Sal.02])))))))),
0)</f>
        <v>0</v>
      </c>
      <c r="L25" s="196">
        <f t="array" ref="L25">IFERROR(
(AVERAGE((IF(DATOS_[[Sexo]:[Sexo]]=$B25,IF(DATOS_[[AGRUP. VALOR. PTO.]:[AGRUP. VALOR. PTO.]]=$B24,IF(DATOS_[[Check Periodo Ref.]:[Check Periodo Ref.]]="Dentro",IF(DATOS_[[Check Equiparado]:[Check Equiparado]]="Sí",IF(DATOS!AG$5="Sí",(1/DATOS_[[% anualiz]:[% anualiz]]),1)*IF(DATOS!AG$4="Sí",1/DATOS_[[% normaliz]:[% normaliz]],1)*(DATOS_[Conc.Sal.03])))))))),
0)</f>
        <v>0</v>
      </c>
      <c r="M25" s="196">
        <f t="array" ref="M25">IFERROR(
(AVERAGE((IF(DATOS_[[Sexo]:[Sexo]]=$B25,IF(DATOS_[[AGRUP. VALOR. PTO.]:[AGRUP. VALOR. PTO.]]=$B24,IF(DATOS_[[Check Periodo Ref.]:[Check Periodo Ref.]]="Dentro",IF(DATOS_[[Check Equiparado]:[Check Equiparado]]="Sí",IF(DATOS!AH$5="Sí",(1/DATOS_[[% anualiz]:[% anualiz]]),1)*IF(DATOS!AH$4="Sí",1/DATOS_[[% normaliz]:[% normaliz]],1)*(DATOS_[Conc.Sal.04])))))))),
0)</f>
        <v>0</v>
      </c>
      <c r="N25" s="196">
        <f t="array" ref="N25">IFERROR(
(AVERAGE((IF(DATOS_[[Sexo]:[Sexo]]=$B25,IF(DATOS_[[AGRUP. VALOR. PTO.]:[AGRUP. VALOR. PTO.]]=$B24,IF(DATOS_[[Check Periodo Ref.]:[Check Periodo Ref.]]="Dentro",IF(DATOS_[[Check Equiparado]:[Check Equiparado]]="Sí",IF(DATOS!AI$5="Sí",(1/DATOS_[[% anualiz]:[% anualiz]]),1)*IF(DATOS!AI$4="Sí",1/DATOS_[[% normaliz]:[% normaliz]],1)*(DATOS_[Conc.Sal.05])))))))),
0)</f>
        <v>0</v>
      </c>
      <c r="O25" s="196">
        <f t="array" ref="O25">IFERROR(
(AVERAGE((IF(DATOS_[[Sexo]:[Sexo]]=$B25,IF(DATOS_[[AGRUP. VALOR. PTO.]:[AGRUP. VALOR. PTO.]]=$B24,IF(DATOS_[[Check Periodo Ref.]:[Check Periodo Ref.]]="Dentro",IF(DATOS_[[Check Equiparado]:[Check Equiparado]]="Sí",IF(DATOS!AJ$5="Sí",(1/DATOS_[[% anualiz]:[% anualiz]]),1)*IF(DATOS!AJ$4="Sí",1/DATOS_[[% normaliz]:[% normaliz]],1)*(DATOS_[Conc.Sal.06])))))))),
0)</f>
        <v>0</v>
      </c>
      <c r="P25" s="196">
        <f t="array" ref="P25">IFERROR(
(AVERAGE((IF(DATOS_[[Sexo]:[Sexo]]=$B25,IF(DATOS_[[AGRUP. VALOR. PTO.]:[AGRUP. VALOR. PTO.]]=$B24,IF(DATOS_[[Check Periodo Ref.]:[Check Periodo Ref.]]="Dentro",IF(DATOS_[[Check Equiparado]:[Check Equiparado]]="Sí",IF(DATOS!AK$5="Sí",(1/DATOS_[[% anualiz]:[% anualiz]]),1)*IF(DATOS!AK$4="Sí",1/DATOS_[[% normaliz]:[% normaliz]],1)*(DATOS_[Conc.Sal.07])))))))),
0)</f>
        <v>0</v>
      </c>
      <c r="Q25" s="196">
        <f t="array" ref="Q25">IFERROR(
(AVERAGE((IF(DATOS_[[Sexo]:[Sexo]]=$B25,IF(DATOS_[[AGRUP. VALOR. PTO.]:[AGRUP. VALOR. PTO.]]=$B24,IF(DATOS_[[Check Periodo Ref.]:[Check Periodo Ref.]]="Dentro",IF(DATOS_[[Check Equiparado]:[Check Equiparado]]="Sí",IF(DATOS!AL$5="Sí",(1/DATOS_[[% anualiz]:[% anualiz]]),1)*IF(DATOS!AL$4="Sí",1/DATOS_[[% normaliz]:[% normaliz]],1)*(DATOS_[Conc.Sal.08])))))))),
0)</f>
        <v>0</v>
      </c>
      <c r="R25" s="196">
        <f t="array" ref="R25">IFERROR(
(AVERAGE((IF(DATOS_[[Sexo]:[Sexo]]=$B25,IF(DATOS_[[AGRUP. VALOR. PTO.]:[AGRUP. VALOR. PTO.]]=$B24,IF(DATOS_[[Check Periodo Ref.]:[Check Periodo Ref.]]="Dentro",IF(DATOS_[[Check Equiparado]:[Check Equiparado]]="Sí",IF(DATOS!AM$5="Sí",(1/DATOS_[[% anualiz]:[% anualiz]]),1)*IF(DATOS!AM$4="Sí",1/DATOS_[[% normaliz]:[% normaliz]],1)*(DATOS_[Conc.Sal.09])))))))),
0)</f>
        <v>0</v>
      </c>
      <c r="S25" s="196">
        <f t="array" ref="S25">IFERROR(
(AVERAGE((IF(DATOS_[[Sexo]:[Sexo]]=$B25,IF(DATOS_[[AGRUP. VALOR. PTO.]:[AGRUP. VALOR. PTO.]]=$B24,IF(DATOS_[[Check Periodo Ref.]:[Check Periodo Ref.]]="Dentro",IF(DATOS_[[Check Equiparado]:[Check Equiparado]]="Sí",IF(DATOS!AN$5="Sí",(1/DATOS_[[% anualiz]:[% anualiz]]),1)*IF(DATOS!AN$4="Sí",1/DATOS_[[% normaliz]:[% normaliz]],1)*(DATOS_[Conc.Sal.10])))))))),
0)</f>
        <v>0</v>
      </c>
      <c r="T25" s="196">
        <f t="array" ref="T25">IFERROR(
(AVERAGE((IF(DATOS_[[Sexo]:[Sexo]]=$B25,IF(DATOS_[[AGRUP. VALOR. PTO.]:[AGRUP. VALOR. PTO.]]=$B24,IF(DATOS_[[Check Periodo Ref.]:[Check Periodo Ref.]]="Dentro",IF(DATOS_[[Check Equiparado]:[Check Equiparado]]="Sí",IF(DATOS!AO$5="Sí",(1/DATOS_[[% anualiz]:[% anualiz]]),1)*IF(DATOS!AO$4="Sí",1/DATOS_[[% normaliz]:[% normaliz]],1)*(DATOS_[Conc.Sal.11])))))))),
0)</f>
        <v>0</v>
      </c>
      <c r="U25" s="196">
        <f t="array" ref="U25">IFERROR(
(AVERAGE((IF(DATOS_[[Sexo]:[Sexo]]=$B25,IF(DATOS_[[AGRUP. VALOR. PTO.]:[AGRUP. VALOR. PTO.]]=$B24,IF(DATOS_[[Check Periodo Ref.]:[Check Periodo Ref.]]="Dentro",IF(DATOS_[[Check Equiparado]:[Check Equiparado]]="Sí",IF(DATOS!AP$5="Sí",(1/DATOS_[[% anualiz]:[% anualiz]]),1)*IF(DATOS!AP$4="Sí",1/DATOS_[[% normaliz]:[% normaliz]],1)*(DATOS_[Conc.Sal.12])))))))),
0)</f>
        <v>0</v>
      </c>
      <c r="V25" s="196">
        <f t="array" ref="V25">IFERROR(
(AVERAGE((IF(DATOS_[[Sexo]:[Sexo]]=$B25,IF(DATOS_[[AGRUP. VALOR. PTO.]:[AGRUP. VALOR. PTO.]]=$B24,IF(DATOS_[[Check Periodo Ref.]:[Check Periodo Ref.]]="Dentro",IF(DATOS_[[Check Equiparado]:[Check Equiparado]]="Sí",IF(DATOS!AQ$5="Sí",(1/DATOS_[[% anualiz]:[% anualiz]]),1)*IF(DATOS!AQ$4="Sí",1/DATOS_[[% normaliz]:[% normaliz]],1)*(DATOS_[Conc.Sal.13])))))))),
0)</f>
        <v>0</v>
      </c>
      <c r="W25" s="196">
        <f t="array" ref="W25">IFERROR(
(AVERAGE((IF(DATOS_[[Sexo]:[Sexo]]=$B25,IF(DATOS_[[AGRUP. VALOR. PTO.]:[AGRUP. VALOR. PTO.]]=$B24,IF(DATOS_[[Check Periodo Ref.]:[Check Periodo Ref.]]="Dentro",IF(DATOS_[[Check Equiparado]:[Check Equiparado]]="Sí",IF(DATOS!AR$5="Sí",(1/DATOS_[[% anualiz]:[% anualiz]]),1)*IF(DATOS!AR$4="Sí",1/DATOS_[[% normaliz]:[% normaliz]],1)*(DATOS_[Conc.Sal.14])))))))),
0)</f>
        <v>0</v>
      </c>
      <c r="X25" s="196">
        <f t="array" ref="X25">IFERROR(
(AVERAGE((IF(DATOS_[[Sexo]:[Sexo]]=$B25,IF(DATOS_[[AGRUP. VALOR. PTO.]:[AGRUP. VALOR. PTO.]]=$B24,IF(DATOS_[[Check Periodo Ref.]:[Check Periodo Ref.]]="Dentro",IF(DATOS_[[Check Equiparado]:[Check Equiparado]]="Sí",IF(DATOS!AS$5="Sí",(1/DATOS_[[% anualiz]:[% anualiz]]),1)*IF(DATOS!AS$4="Sí",1/DATOS_[[% normaliz]:[% normaliz]],1)*(DATOS_[Conc.Sal.15])))))))),
0)</f>
        <v>0</v>
      </c>
      <c r="Y25" s="196">
        <f t="array" ref="Y25">IFERROR(
(AVERAGE((IF(DATOS_[[Sexo]:[Sexo]]=$B25,IF(DATOS_[[AGRUP. VALOR. PTO.]:[AGRUP. VALOR. PTO.]]=$B24,IF(DATOS_[[Check Periodo Ref.]:[Check Periodo Ref.]]="Dentro",IF(DATOS_[[Check Equiparado]:[Check Equiparado]]="Sí",IF(DATOS!AT$5="Sí",(1/DATOS_[[% anualiz]:[% anualiz]]),1)*IF(DATOS!AT$4="Sí",1/DATOS_[[% normaliz]:[% normaliz]],1)*(DATOS_[Conc.Sal.16])))))))),
0)</f>
        <v>0</v>
      </c>
      <c r="Z25" s="196">
        <f t="array" ref="Z25">IFERROR(
(AVERAGE((IF(DATOS_[[Sexo]:[Sexo]]=$B25,IF(DATOS_[[AGRUP. VALOR. PTO.]:[AGRUP. VALOR. PTO.]]=$B24,IF(DATOS_[[Check Periodo Ref.]:[Check Periodo Ref.]]="Dentro",IF(DATOS_[[Check Equiparado]:[Check Equiparado]]="Sí",IF(DATOS!AU$5="Sí",(1/DATOS_[[% anualiz]:[% anualiz]]),1)*IF(DATOS!AU$4="Sí",1/DATOS_[[% normaliz]:[% normaliz]],1)*(DATOS_[Conc.Sal.17])))))))),
0)</f>
        <v>0</v>
      </c>
      <c r="AA25" s="196">
        <f t="array" ref="AA25">IFERROR(
(AVERAGE((IF(DATOS_[[Sexo]:[Sexo]]=$B25,IF(DATOS_[[AGRUP. VALOR. PTO.]:[AGRUP. VALOR. PTO.]]=$B24,IF(DATOS_[[Check Periodo Ref.]:[Check Periodo Ref.]]="Dentro",IF(DATOS_[[Check Equiparado]:[Check Equiparado]]="Sí",IF(DATOS!AV$5="Sí",(1/DATOS_[[% anualiz]:[% anualiz]]),1)*IF(DATOS!AV$4="Sí",1/DATOS_[[% normaliz]:[% normaliz]],1)*(DATOS_[Conc.Sal.18])))))))),
0)</f>
        <v>0</v>
      </c>
      <c r="AB25" s="196">
        <f t="array" ref="AB25">IFERROR(
(AVERAGE((IF(DATOS_[[Sexo]:[Sexo]]=$B25,IF(DATOS_[[AGRUP. VALOR. PTO.]:[AGRUP. VALOR. PTO.]]=$B24,IF(DATOS_[[Check Periodo Ref.]:[Check Periodo Ref.]]="Dentro",IF(DATOS_[[Check Equiparado]:[Check Equiparado]]="Sí",IF(DATOS!AW$5="Sí",(1/DATOS_[[% anualiz]:[% anualiz]]),1)*IF(DATOS!AW$4="Sí",1/DATOS_[[% normaliz]:[% normaliz]],1)*(DATOS_[Conc.Sal.19])))))))),
0)</f>
        <v>0</v>
      </c>
      <c r="AC25" s="196">
        <f t="array" ref="AC25">IFERROR(
(AVERAGE((IF(DATOS_[[Sexo]:[Sexo]]=$B25,IF(DATOS_[[AGRUP. VALOR. PTO.]:[AGRUP. VALOR. PTO.]]=$B24,IF(DATOS_[[Check Periodo Ref.]:[Check Periodo Ref.]]="Dentro",IF(DATOS_[[Check Equiparado]:[Check Equiparado]]="Sí",IF(DATOS!AX$5="Sí",(1/DATOS_[[% anualiz]:[% anualiz]]),1)*IF(DATOS!AX$4="Sí",1/DATOS_[[% normaliz]:[% normaliz]],1)*(DATOS_[Conc.Sal.20])))))))),
0)</f>
        <v>0</v>
      </c>
      <c r="AD25" s="196">
        <f t="array" ref="AD25">IFERROR(
(AVERAGE((IF(DATOS_[[Sexo]:[Sexo]]=$B25,IF(DATOS_[[AGRUP. VALOR. PTO.]:[AGRUP. VALOR. PTO.]]=$B24,IF(DATOS_[[Check Periodo Ref.]:[Check Periodo Ref.]]="Dentro",IF(DATOS_[[Check Equiparado]:[Check Equiparado]]="Sí",IF(DATOS!AY$5="Sí",(1/DATOS_[[% anualiz]:[% anualiz]]),1)*IF(DATOS!AY$4="Sí",1/DATOS_[[% normaliz]:[% normaliz]],1)*(DATOS_[Conc.Sal.21])))))))),
0)</f>
        <v>0</v>
      </c>
      <c r="AE25" s="196">
        <f t="array" ref="AE25">IFERROR(
(AVERAGE((IF(DATOS_[[Sexo]:[Sexo]]=$B25,IF(DATOS_[[AGRUP. VALOR. PTO.]:[AGRUP. VALOR. PTO.]]=$B24,IF(DATOS_[[Check Periodo Ref.]:[Check Periodo Ref.]]="Dentro",IF(DATOS_[[Check Equiparado]:[Check Equiparado]]="Sí",IF(DATOS!AZ$5="Sí",(1/DATOS_[[% anualiz]:[% anualiz]]),1)*IF(DATOS!AZ$4="Sí",1/DATOS_[[% normaliz]:[% normaliz]],1)*(DATOS_[Conc.Sal.22])))))))),
0)</f>
        <v>0</v>
      </c>
      <c r="AF25" s="196">
        <f t="array" ref="AF25">IFERROR(
(AVERAGE((IF(DATOS_[[Sexo]:[Sexo]]=$B25,IF(DATOS_[[AGRUP. VALOR. PTO.]:[AGRUP. VALOR. PTO.]]=$B24,IF(DATOS_[[Check Periodo Ref.]:[Check Periodo Ref.]]="Dentro",IF(DATOS_[[Check Equiparado]:[Check Equiparado]]="Sí",IF(DATOS!BA$5="Sí",(1/DATOS_[[% anualiz]:[% anualiz]]),1)*IF(DATOS!BA$4="Sí",1/DATOS_[[% normaliz]:[% normaliz]],1)*(DATOS_[Conc.Sal.23])))))))),
0)</f>
        <v>0</v>
      </c>
      <c r="AG25" s="196">
        <f t="array" ref="AG25">IFERROR(
(AVERAGE((IF(DATOS_[[Sexo]:[Sexo]]=$B25,IF(DATOS_[[AGRUP. VALOR. PTO.]:[AGRUP. VALOR. PTO.]]=$B24,IF(DATOS_[[Check Periodo Ref.]:[Check Periodo Ref.]]="Dentro",IF(DATOS_[[Check Equiparado]:[Check Equiparado]]="Sí",IF(DATOS!BB$5="Sí",(1/DATOS_[[% anualiz]:[% anualiz]]),1)*IF(DATOS!BB$4="Sí",1/DATOS_[[% normaliz]:[% normaliz]],1)*(DATOS_[Conc.Sal.24])))))))),
0)</f>
        <v>0</v>
      </c>
      <c r="AH25" s="196">
        <f t="array" ref="AH25">IFERROR(
(AVERAGE((IF(DATOS_[[Sexo]:[Sexo]]=$B25,IF(DATOS_[[AGRUP. VALOR. PTO.]:[AGRUP. VALOR. PTO.]]=$B24,IF(DATOS_[[Check Periodo Ref.]:[Check Periodo Ref.]]="Dentro",IF(DATOS_[[Check Equiparado]:[Check Equiparado]]="Sí",IF(DATOS!BC$5="Sí",(1/DATOS_[[% anualiz]:[% anualiz]]),1)*IF(DATOS!BC$4="Sí",1/DATOS_[[% normaliz]:[% normaliz]],1)*(DATOS_[Conc.Sal.25])))))))),
0)</f>
        <v>0</v>
      </c>
      <c r="AI25" s="196">
        <f t="array" ref="AI25">IFERROR(
(AVERAGE((IF(DATOS_[[Sexo]:[Sexo]]=$B25,IF(DATOS_[[AGRUP. VALOR. PTO.]:[AGRUP. VALOR. PTO.]]=$B24,IF(DATOS_[[Check Periodo Ref.]:[Check Periodo Ref.]]="Dentro",IF(DATOS_[[Check Equiparado]:[Check Equiparado]]="Sí",IF(DATOS!BD$5="Sí",(1/DATOS_[[% anualiz]:[% anualiz]]),1)*IF(DATOS!BD$4="Sí",1/DATOS_[[% normaliz]:[% normaliz]],1)*(DATOS_[Conc.Sal.26])))))))),
0)</f>
        <v>0</v>
      </c>
      <c r="AJ25" s="196">
        <f t="array" ref="AJ25">IFERROR(
(AVERAGE((IF(DATOS_[[Sexo]:[Sexo]]=$B25,IF(DATOS_[[AGRUP. VALOR. PTO.]:[AGRUP. VALOR. PTO.]]=$B24,IF(DATOS_[[Check Periodo Ref.]:[Check Periodo Ref.]]="Dentro",IF(DATOS_[[Check Equiparado]:[Check Equiparado]]="Sí",IF(DATOS!BE$5="Sí",(1/DATOS_[[% anualiz]:[% anualiz]]),1)*IF(DATOS!BE$4="Sí",1/DATOS_[[% normaliz]:[% normaliz]],1)*(DATOS_[Conc.Sal.27])))))))),
0)</f>
        <v>0</v>
      </c>
      <c r="AK25" s="196">
        <f t="array" ref="AK25">IFERROR(
(AVERAGE((IF(DATOS_[[Sexo]:[Sexo]]=$B25,IF(DATOS_[[AGRUP. VALOR. PTO.]:[AGRUP. VALOR. PTO.]]=$B24,IF(DATOS_[[Check Periodo Ref.]:[Check Periodo Ref.]]="Dentro",IF(DATOS_[[Check Equiparado]:[Check Equiparado]]="Sí",IF(DATOS!BF$5="Sí",(1/DATOS_[[% anualiz]:[% anualiz]]),1)*IF(DATOS!BF$4="Sí",1/DATOS_[[% normaliz]:[% normaliz]],1)*(DATOS_[Conc.Sal.28])))))))),
0)</f>
        <v>0</v>
      </c>
      <c r="AL25" s="196">
        <f t="array" ref="AL25">IFERROR(
(AVERAGE((IF(DATOS_[[Sexo]:[Sexo]]=$B25,IF(DATOS_[[AGRUP. VALOR. PTO.]:[AGRUP. VALOR. PTO.]]=$B24,IF(DATOS_[[Check Periodo Ref.]:[Check Periodo Ref.]]="Dentro",IF(DATOS_[[Check Equiparado]:[Check Equiparado]]="Sí",IF(DATOS!BG$5="Sí",(1/DATOS_[[% anualiz]:[% anualiz]]),1)*IF(DATOS!BG$4="Sí",1/DATOS_[[% normaliz]:[% normaliz]],1)*(DATOS_[Conc.Sal.29])))))))),
0)</f>
        <v>0</v>
      </c>
      <c r="AM25" s="196">
        <f t="array" ref="AM25">IFERROR(
(AVERAGE((IF(DATOS_[[Sexo]:[Sexo]]=$B25,IF(DATOS_[[AGRUP. VALOR. PTO.]:[AGRUP. VALOR. PTO.]]=$B24,IF(DATOS_[[Check Periodo Ref.]:[Check Periodo Ref.]]="Dentro",IF(DATOS_[[Check Equiparado]:[Check Equiparado]]="Sí",IF(DATOS!BH$5="Sí",(1/DATOS_[[% anualiz]:[% anualiz]]),1)*IF(DATOS!BH$4="Sí",1/DATOS_[[% normaliz]:[% normaliz]],1)*(DATOS_[Conc.Sal.30])))))))),
0)</f>
        <v>0</v>
      </c>
      <c r="AN25" s="195">
        <f t="array" ref="AN25">IFERROR(
AVERAGE(IF(DATOS_[Sexo]=$B25,IF(DATOS_[[AGRUP. VALOR. PTO.]:[AGRUP. VALOR. PTO.]]=$B24,IF(DATOS_[Check Equiparado]="Sí",IF(DATOS_[Check Periodo Ref.]="Dentro",DATOS_[Tot COMPL.SAL Eq],FALSE))))),
0)</f>
        <v>0</v>
      </c>
      <c r="AO25" s="172">
        <f t="array" ref="AO25">IFERROR(
AVERAGE(IF(DATOS_[Sexo]=$B25,IF(DATOS_[[AGRUP. VALOR. PTO.]:[AGRUP. VALOR. PTO.]]=$B24,IF(DATOS_[Check Equiparado]="Sí",IF(DATOS_[Check Periodo Ref.]="Dentro",DATOS_[TOTAL SALARIO Eq],FALSE))))),
0)</f>
        <v>0</v>
      </c>
      <c r="AP25" s="173">
        <f t="array" ref="AP25">IFERROR(
(AVERAGE((IF(DATOS_[[Sexo]:[Sexo]]=$B25,IF(DATOS_[[AGRUP. VALOR. PTO.]:[AGRUP. VALOR. PTO.]]=$B24,IF(DATOS_[[Check Periodo Ref.]:[Check Periodo Ref.]]="Dentro",IF(DATOS_[[Check Equiparado]:[Check Equiparado]]="Sí",IF(DATOS!BW$5="Sí",(1/DATOS_[[% anualiz]:[% anualiz]]),1)*IF(DATOS!BW$4="Sí",1/DATOS_[[% normaliz]:[% normaliz]],1)*(DATOS_[C.Extra.01])))))))),
0)</f>
        <v>0</v>
      </c>
      <c r="AQ25" s="173">
        <f t="array" ref="AQ25">IFERROR(
(AVERAGE((IF(DATOS_[[Sexo]:[Sexo]]=$B25,IF(DATOS_[[AGRUP. VALOR. PTO.]:[AGRUP. VALOR. PTO.]]=$B24,IF(DATOS_[[Check Periodo Ref.]:[Check Periodo Ref.]]="Dentro",IF(DATOS_[[Check Equiparado]:[Check Equiparado]]="Sí",IF(DATOS!CB$5="Sí",(1/DATOS_[[% anualiz]:[% anualiz]]),1)*IF(DATOS!CB$4="Sí",1/DATOS_[[% normaliz]:[% normaliz]],1)*(DATOS_[C.Extra.06])))))))),
0)</f>
        <v>0</v>
      </c>
      <c r="AR25" s="173">
        <f t="array" ref="AR25">IFERROR(
(AVERAGE((IF(DATOS_[[Sexo]:[Sexo]]=$B25,IF(DATOS_[[AGRUP. VALOR. PTO.]:[AGRUP. VALOR. PTO.]]=$B24,IF(DATOS_[[Check Periodo Ref.]:[Check Periodo Ref.]]="Dentro",IF(DATOS_[[Check Equiparado]:[Check Equiparado]]="Sí",IF(DATOS!CC$5="Sí",(1/DATOS_[[% anualiz]:[% anualiz]]),1)*IF(DATOS!CC$4="Sí",1/DATOS_[[% normaliz]:[% normaliz]],1)*(DATOS_[C.Extra.07])))))))),
0)</f>
        <v>0</v>
      </c>
      <c r="AS25" s="173">
        <f t="array" ref="AS25">IFERROR(
(AVERAGE((IF(DATOS_[[Sexo]:[Sexo]]=$B25,IF(DATOS_[[AGRUP. VALOR. PTO.]:[AGRUP. VALOR. PTO.]]=$B24,IF(DATOS_[[Check Periodo Ref.]:[Check Periodo Ref.]]="Dentro",IF(DATOS_[[Check Equiparado]:[Check Equiparado]]="Sí",IF(DATOS!CD$5="Sí",(1/DATOS_[[% anualiz]:[% anualiz]]),1)*IF(DATOS!CD$4="Sí",1/DATOS_[[% normaliz]:[% normaliz]],1)*(DATOS_[C.Extra.08])))))))),
0)</f>
        <v>0</v>
      </c>
      <c r="AT25" s="173">
        <f t="array" ref="AT25">IFERROR(
(AVERAGE((IF(DATOS_[[Sexo]:[Sexo]]=$B25,IF(DATOS_[[AGRUP. VALOR. PTO.]:[AGRUP. VALOR. PTO.]]=$B24,IF(DATOS_[[Check Periodo Ref.]:[Check Periodo Ref.]]="Dentro",IF(DATOS_[[Check Equiparado]:[Check Equiparado]]="Sí",IF(DATOS!CG$5="Sí",(1/DATOS_[[% anualiz]:[% anualiz]]),1)*IF(DATOS!CG$4="Sí",1/DATOS_[[% normaliz]:[% normaliz]],1)*(DATOS_[C.Extra.11])))))))),
0)</f>
        <v>0</v>
      </c>
      <c r="AU25" s="197">
        <f t="array" ref="AU25">IFERROR(
AVERAGE(IF(DATOS_[Sexo]=$B25,IF(DATOS_[[AGRUP. VALOR. PTO.]:[AGRUP. VALOR. PTO.]]=$B24,IF(DATOS_[Check Equiparado]="Sí",IF(DATOS_[Check Periodo Ref.]="Dentro",DATOS_[Tot Extrasalarial Eq],FALSE))))),
0)</f>
        <v>0</v>
      </c>
      <c r="AV25" s="175">
        <f t="array" ref="AV25">IFERROR(
AVERAGE(IF(DATOS_[Sexo]=$B25,IF(DATOS_[[AGRUP. VALOR. PTO.]:[AGRUP. VALOR. PTO.]]=$B24,IF(DATOS_[Check Equiparado]="Sí",IF(DATOS_[Check Periodo Ref.]="Dentro",DATOS_[TOTAL Retrib Eq],FALSE))))),
0)</f>
        <v>0</v>
      </c>
    </row>
    <row r="26" spans="1:48" x14ac:dyDescent="0.25">
      <c r="A26" s="133" t="str">
        <f t="shared" ref="A26" si="18">+A25</f>
        <v>[ocultar]</v>
      </c>
      <c r="B26" s="202" t="s">
        <v>521</v>
      </c>
      <c r="C26" s="203">
        <f t="array" ref="C26">SUM(IF($B26=DATOS_[Sexo],
IF($B24=DATOS_[AGRUP. VALOR. PTO.],
IF("Dentro"=DATOS_[Check Periodo Ref.],
1/(COUNTIFS(DATOS_[Sexo],$B26,DATOS_[AGRUP. VALOR. PTO.],$B24,DATOS_[Check Periodo Ref.],"Dentro",DATOS_[id/cod],DATOS_[id/cod]))))))</f>
        <v>0</v>
      </c>
      <c r="D26" s="204">
        <f>COUNTIFS(DATOS_[AGRUP. VALOR. PTO.],$B24,DATOS_[Sexo],$B26,DATOS_[Check Periodo Ref.],"Dentro")</f>
        <v>0</v>
      </c>
      <c r="E26" s="204">
        <f>COUNTIFS(DATOS_[AGRUP. VALOR. PTO.],$B24,DATOS_[Sexo],$B26,DATOS_[Check Periodo Ref.],"Dentro",DATOS_[Check Nº SC Norm],"Sí")</f>
        <v>0</v>
      </c>
      <c r="F26" s="204">
        <f>COUNTIFS(DATOS_[AGRUP. VALOR. PTO.],$B24,DATOS_[Sexo],$B26,DATOS_[Check Periodo Ref.],"Dentro",DATOS_[Check Nº SC Anualiz],"Sí")</f>
        <v>0</v>
      </c>
      <c r="G26" s="204">
        <f>COUNTIFS(DATOS_[AGRUP. VALOR. PTO.],$B24,DATOS_[Sexo],$B26,DATOS_[Check Periodo Ref.],"Dentro",DATOS_[Check Nº SC Norm y Anualiz],"Sí")</f>
        <v>0</v>
      </c>
      <c r="H26" s="204">
        <f>COUNTIFS(DATOS_[AGRUP. VALOR. PTO.],$B24,DATOS_[Sexo],$B26,DATOS_[Check Periodo Ref.],"Dentro",DATOS_[Check Equiparación],"Sí")</f>
        <v>0</v>
      </c>
      <c r="I26" s="195" cm="1">
        <f t="array" ref="I26">IFERROR(
AVERAGE(IF(DATOS_[Sexo]=$B26,IF(DATOS_[[AGRUP. VALOR. PTO.]:[AGRUP. VALOR. PTO.]]=$B24,IF(DATOS_[Check Equiparado]="Sí",IF(DATOS_[Check Periodo Ref.]="Dentro",DATOS_[SALARIO BASE Eq],FALSE))))),
0)</f>
        <v>0</v>
      </c>
      <c r="J26" s="196">
        <f t="array" ref="J26">IFERROR(
(AVERAGE((IF(DATOS_[[Sexo]:[Sexo]]=$B26,IF(DATOS_[[AGRUP. VALOR. PTO.]:[AGRUP. VALOR. PTO.]]=$B24,IF(DATOS_[[Check Periodo Ref.]:[Check Periodo Ref.]]="Dentro",IF(DATOS_[[Check Equiparado]:[Check Equiparado]]="Sí",IF(DATOS!AE$5="Sí",(1/DATOS_[[% anualiz]:[% anualiz]]),1)*IF(DATOS!AE$4="Sí",1/DATOS_[[% normaliz]:[% normaliz]],1)*(DATOS_[Conc.Sal.01])))))))),
0)</f>
        <v>0</v>
      </c>
      <c r="K26" s="196">
        <f t="array" ref="K26">IFERROR(
(AVERAGE((IF(DATOS_[[Sexo]:[Sexo]]=$B26,IF(DATOS_[[AGRUP. VALOR. PTO.]:[AGRUP. VALOR. PTO.]]=$B24,IF(DATOS_[[Check Periodo Ref.]:[Check Periodo Ref.]]="Dentro",IF(DATOS_[[Check Equiparado]:[Check Equiparado]]="Sí",IF(DATOS!AF$5="Sí",(1/DATOS_[[% anualiz]:[% anualiz]]),1)*IF(DATOS!AF$4="Sí",1/DATOS_[[% normaliz]:[% normaliz]],1)*(DATOS_[Conc.Sal.02])))))))),
0)</f>
        <v>0</v>
      </c>
      <c r="L26" s="196">
        <f t="array" ref="L26">IFERROR(
(AVERAGE((IF(DATOS_[[Sexo]:[Sexo]]=$B26,IF(DATOS_[[AGRUP. VALOR. PTO.]:[AGRUP. VALOR. PTO.]]=$B24,IF(DATOS_[[Check Periodo Ref.]:[Check Periodo Ref.]]="Dentro",IF(DATOS_[[Check Equiparado]:[Check Equiparado]]="Sí",IF(DATOS!AG$5="Sí",(1/DATOS_[[% anualiz]:[% anualiz]]),1)*IF(DATOS!AG$4="Sí",1/DATOS_[[% normaliz]:[% normaliz]],1)*(DATOS_[Conc.Sal.03])))))))),
0)</f>
        <v>0</v>
      </c>
      <c r="M26" s="196">
        <f t="array" ref="M26">IFERROR(
(AVERAGE((IF(DATOS_[[Sexo]:[Sexo]]=$B26,IF(DATOS_[[AGRUP. VALOR. PTO.]:[AGRUP. VALOR. PTO.]]=$B24,IF(DATOS_[[Check Periodo Ref.]:[Check Periodo Ref.]]="Dentro",IF(DATOS_[[Check Equiparado]:[Check Equiparado]]="Sí",IF(DATOS!AH$5="Sí",(1/DATOS_[[% anualiz]:[% anualiz]]),1)*IF(DATOS!AH$4="Sí",1/DATOS_[[% normaliz]:[% normaliz]],1)*(DATOS_[Conc.Sal.04])))))))),
0)</f>
        <v>0</v>
      </c>
      <c r="N26" s="196">
        <f t="array" ref="N26">IFERROR(
(AVERAGE((IF(DATOS_[[Sexo]:[Sexo]]=$B26,IF(DATOS_[[AGRUP. VALOR. PTO.]:[AGRUP. VALOR. PTO.]]=$B24,IF(DATOS_[[Check Periodo Ref.]:[Check Periodo Ref.]]="Dentro",IF(DATOS_[[Check Equiparado]:[Check Equiparado]]="Sí",IF(DATOS!AI$5="Sí",(1/DATOS_[[% anualiz]:[% anualiz]]),1)*IF(DATOS!AI$4="Sí",1/DATOS_[[% normaliz]:[% normaliz]],1)*(DATOS_[Conc.Sal.05])))))))),
0)</f>
        <v>0</v>
      </c>
      <c r="O26" s="196">
        <f t="array" ref="O26">IFERROR(
(AVERAGE((IF(DATOS_[[Sexo]:[Sexo]]=$B26,IF(DATOS_[[AGRUP. VALOR. PTO.]:[AGRUP. VALOR. PTO.]]=$B24,IF(DATOS_[[Check Periodo Ref.]:[Check Periodo Ref.]]="Dentro",IF(DATOS_[[Check Equiparado]:[Check Equiparado]]="Sí",IF(DATOS!AJ$5="Sí",(1/DATOS_[[% anualiz]:[% anualiz]]),1)*IF(DATOS!AJ$4="Sí",1/DATOS_[[% normaliz]:[% normaliz]],1)*(DATOS_[Conc.Sal.06])))))))),
0)</f>
        <v>0</v>
      </c>
      <c r="P26" s="196">
        <f t="array" ref="P26">IFERROR(
(AVERAGE((IF(DATOS_[[Sexo]:[Sexo]]=$B26,IF(DATOS_[[AGRUP. VALOR. PTO.]:[AGRUP. VALOR. PTO.]]=$B24,IF(DATOS_[[Check Periodo Ref.]:[Check Periodo Ref.]]="Dentro",IF(DATOS_[[Check Equiparado]:[Check Equiparado]]="Sí",IF(DATOS!AK$5="Sí",(1/DATOS_[[% anualiz]:[% anualiz]]),1)*IF(DATOS!AK$4="Sí",1/DATOS_[[% normaliz]:[% normaliz]],1)*(DATOS_[Conc.Sal.07])))))))),
0)</f>
        <v>0</v>
      </c>
      <c r="Q26" s="196">
        <f t="array" ref="Q26">IFERROR(
(AVERAGE((IF(DATOS_[[Sexo]:[Sexo]]=$B26,IF(DATOS_[[AGRUP. VALOR. PTO.]:[AGRUP. VALOR. PTO.]]=$B24,IF(DATOS_[[Check Periodo Ref.]:[Check Periodo Ref.]]="Dentro",IF(DATOS_[[Check Equiparado]:[Check Equiparado]]="Sí",IF(DATOS!AL$5="Sí",(1/DATOS_[[% anualiz]:[% anualiz]]),1)*IF(DATOS!AL$4="Sí",1/DATOS_[[% normaliz]:[% normaliz]],1)*(DATOS_[Conc.Sal.08])))))))),
0)</f>
        <v>0</v>
      </c>
      <c r="R26" s="196">
        <f t="array" ref="R26">IFERROR(
(AVERAGE((IF(DATOS_[[Sexo]:[Sexo]]=$B26,IF(DATOS_[[AGRUP. VALOR. PTO.]:[AGRUP. VALOR. PTO.]]=$B24,IF(DATOS_[[Check Periodo Ref.]:[Check Periodo Ref.]]="Dentro",IF(DATOS_[[Check Equiparado]:[Check Equiparado]]="Sí",IF(DATOS!AM$5="Sí",(1/DATOS_[[% anualiz]:[% anualiz]]),1)*IF(DATOS!AM$4="Sí",1/DATOS_[[% normaliz]:[% normaliz]],1)*(DATOS_[Conc.Sal.09])))))))),
0)</f>
        <v>0</v>
      </c>
      <c r="S26" s="196">
        <f t="array" ref="S26">IFERROR(
(AVERAGE((IF(DATOS_[[Sexo]:[Sexo]]=$B26,IF(DATOS_[[AGRUP. VALOR. PTO.]:[AGRUP. VALOR. PTO.]]=$B24,IF(DATOS_[[Check Periodo Ref.]:[Check Periodo Ref.]]="Dentro",IF(DATOS_[[Check Equiparado]:[Check Equiparado]]="Sí",IF(DATOS!AN$5="Sí",(1/DATOS_[[% anualiz]:[% anualiz]]),1)*IF(DATOS!AN$4="Sí",1/DATOS_[[% normaliz]:[% normaliz]],1)*(DATOS_[Conc.Sal.10])))))))),
0)</f>
        <v>0</v>
      </c>
      <c r="T26" s="196">
        <f t="array" ref="T26">IFERROR(
(AVERAGE((IF(DATOS_[[Sexo]:[Sexo]]=$B26,IF(DATOS_[[AGRUP. VALOR. PTO.]:[AGRUP. VALOR. PTO.]]=$B24,IF(DATOS_[[Check Periodo Ref.]:[Check Periodo Ref.]]="Dentro",IF(DATOS_[[Check Equiparado]:[Check Equiparado]]="Sí",IF(DATOS!AO$5="Sí",(1/DATOS_[[% anualiz]:[% anualiz]]),1)*IF(DATOS!AO$4="Sí",1/DATOS_[[% normaliz]:[% normaliz]],1)*(DATOS_[Conc.Sal.11])))))))),
0)</f>
        <v>0</v>
      </c>
      <c r="U26" s="196">
        <f t="array" ref="U26">IFERROR(
(AVERAGE((IF(DATOS_[[Sexo]:[Sexo]]=$B26,IF(DATOS_[[AGRUP. VALOR. PTO.]:[AGRUP. VALOR. PTO.]]=$B24,IF(DATOS_[[Check Periodo Ref.]:[Check Periodo Ref.]]="Dentro",IF(DATOS_[[Check Equiparado]:[Check Equiparado]]="Sí",IF(DATOS!AP$5="Sí",(1/DATOS_[[% anualiz]:[% anualiz]]),1)*IF(DATOS!AP$4="Sí",1/DATOS_[[% normaliz]:[% normaliz]],1)*(DATOS_[Conc.Sal.12])))))))),
0)</f>
        <v>0</v>
      </c>
      <c r="V26" s="196">
        <f t="array" ref="V26">IFERROR(
(AVERAGE((IF(DATOS_[[Sexo]:[Sexo]]=$B26,IF(DATOS_[[AGRUP. VALOR. PTO.]:[AGRUP. VALOR. PTO.]]=$B24,IF(DATOS_[[Check Periodo Ref.]:[Check Periodo Ref.]]="Dentro",IF(DATOS_[[Check Equiparado]:[Check Equiparado]]="Sí",IF(DATOS!AQ$5="Sí",(1/DATOS_[[% anualiz]:[% anualiz]]),1)*IF(DATOS!AQ$4="Sí",1/DATOS_[[% normaliz]:[% normaliz]],1)*(DATOS_[Conc.Sal.13])))))))),
0)</f>
        <v>0</v>
      </c>
      <c r="W26" s="196">
        <f t="array" ref="W26">IFERROR(
(AVERAGE((IF(DATOS_[[Sexo]:[Sexo]]=$B26,IF(DATOS_[[AGRUP. VALOR. PTO.]:[AGRUP. VALOR. PTO.]]=$B24,IF(DATOS_[[Check Periodo Ref.]:[Check Periodo Ref.]]="Dentro",IF(DATOS_[[Check Equiparado]:[Check Equiparado]]="Sí",IF(DATOS!AR$5="Sí",(1/DATOS_[[% anualiz]:[% anualiz]]),1)*IF(DATOS!AR$4="Sí",1/DATOS_[[% normaliz]:[% normaliz]],1)*(DATOS_[Conc.Sal.14])))))))),
0)</f>
        <v>0</v>
      </c>
      <c r="X26" s="196">
        <f t="array" ref="X26">IFERROR(
(AVERAGE((IF(DATOS_[[Sexo]:[Sexo]]=$B26,IF(DATOS_[[AGRUP. VALOR. PTO.]:[AGRUP. VALOR. PTO.]]=$B24,IF(DATOS_[[Check Periodo Ref.]:[Check Periodo Ref.]]="Dentro",IF(DATOS_[[Check Equiparado]:[Check Equiparado]]="Sí",IF(DATOS!AS$5="Sí",(1/DATOS_[[% anualiz]:[% anualiz]]),1)*IF(DATOS!AS$4="Sí",1/DATOS_[[% normaliz]:[% normaliz]],1)*(DATOS_[Conc.Sal.15])))))))),
0)</f>
        <v>0</v>
      </c>
      <c r="Y26" s="196">
        <f t="array" ref="Y26">IFERROR(
(AVERAGE((IF(DATOS_[[Sexo]:[Sexo]]=$B26,IF(DATOS_[[AGRUP. VALOR. PTO.]:[AGRUP. VALOR. PTO.]]=$B24,IF(DATOS_[[Check Periodo Ref.]:[Check Periodo Ref.]]="Dentro",IF(DATOS_[[Check Equiparado]:[Check Equiparado]]="Sí",IF(DATOS!AT$5="Sí",(1/DATOS_[[% anualiz]:[% anualiz]]),1)*IF(DATOS!AT$4="Sí",1/DATOS_[[% normaliz]:[% normaliz]],1)*(DATOS_[Conc.Sal.16])))))))),
0)</f>
        <v>0</v>
      </c>
      <c r="Z26" s="196">
        <f t="array" ref="Z26">IFERROR(
(AVERAGE((IF(DATOS_[[Sexo]:[Sexo]]=$B26,IF(DATOS_[[AGRUP. VALOR. PTO.]:[AGRUP. VALOR. PTO.]]=$B24,IF(DATOS_[[Check Periodo Ref.]:[Check Periodo Ref.]]="Dentro",IF(DATOS_[[Check Equiparado]:[Check Equiparado]]="Sí",IF(DATOS!AU$5="Sí",(1/DATOS_[[% anualiz]:[% anualiz]]),1)*IF(DATOS!AU$4="Sí",1/DATOS_[[% normaliz]:[% normaliz]],1)*(DATOS_[Conc.Sal.17])))))))),
0)</f>
        <v>0</v>
      </c>
      <c r="AA26" s="196">
        <f t="array" ref="AA26">IFERROR(
(AVERAGE((IF(DATOS_[[Sexo]:[Sexo]]=$B26,IF(DATOS_[[AGRUP. VALOR. PTO.]:[AGRUP. VALOR. PTO.]]=$B24,IF(DATOS_[[Check Periodo Ref.]:[Check Periodo Ref.]]="Dentro",IF(DATOS_[[Check Equiparado]:[Check Equiparado]]="Sí",IF(DATOS!AV$5="Sí",(1/DATOS_[[% anualiz]:[% anualiz]]),1)*IF(DATOS!AV$4="Sí",1/DATOS_[[% normaliz]:[% normaliz]],1)*(DATOS_[Conc.Sal.18])))))))),
0)</f>
        <v>0</v>
      </c>
      <c r="AB26" s="196">
        <f t="array" ref="AB26">IFERROR(
(AVERAGE((IF(DATOS_[[Sexo]:[Sexo]]=$B26,IF(DATOS_[[AGRUP. VALOR. PTO.]:[AGRUP. VALOR. PTO.]]=$B24,IF(DATOS_[[Check Periodo Ref.]:[Check Periodo Ref.]]="Dentro",IF(DATOS_[[Check Equiparado]:[Check Equiparado]]="Sí",IF(DATOS!AW$5="Sí",(1/DATOS_[[% anualiz]:[% anualiz]]),1)*IF(DATOS!AW$4="Sí",1/DATOS_[[% normaliz]:[% normaliz]],1)*(DATOS_[Conc.Sal.19])))))))),
0)</f>
        <v>0</v>
      </c>
      <c r="AC26" s="196">
        <f t="array" ref="AC26">IFERROR(
(AVERAGE((IF(DATOS_[[Sexo]:[Sexo]]=$B26,IF(DATOS_[[AGRUP. VALOR. PTO.]:[AGRUP. VALOR. PTO.]]=$B24,IF(DATOS_[[Check Periodo Ref.]:[Check Periodo Ref.]]="Dentro",IF(DATOS_[[Check Equiparado]:[Check Equiparado]]="Sí",IF(DATOS!AX$5="Sí",(1/DATOS_[[% anualiz]:[% anualiz]]),1)*IF(DATOS!AX$4="Sí",1/DATOS_[[% normaliz]:[% normaliz]],1)*(DATOS_[Conc.Sal.20])))))))),
0)</f>
        <v>0</v>
      </c>
      <c r="AD26" s="196">
        <f t="array" ref="AD26">IFERROR(
(AVERAGE((IF(DATOS_[[Sexo]:[Sexo]]=$B26,IF(DATOS_[[AGRUP. VALOR. PTO.]:[AGRUP. VALOR. PTO.]]=$B24,IF(DATOS_[[Check Periodo Ref.]:[Check Periodo Ref.]]="Dentro",IF(DATOS_[[Check Equiparado]:[Check Equiparado]]="Sí",IF(DATOS!AY$5="Sí",(1/DATOS_[[% anualiz]:[% anualiz]]),1)*IF(DATOS!AY$4="Sí",1/DATOS_[[% normaliz]:[% normaliz]],1)*(DATOS_[Conc.Sal.21])))))))),
0)</f>
        <v>0</v>
      </c>
      <c r="AE26" s="196">
        <f t="array" ref="AE26">IFERROR(
(AVERAGE((IF(DATOS_[[Sexo]:[Sexo]]=$B26,IF(DATOS_[[AGRUP. VALOR. PTO.]:[AGRUP. VALOR. PTO.]]=$B24,IF(DATOS_[[Check Periodo Ref.]:[Check Periodo Ref.]]="Dentro",IF(DATOS_[[Check Equiparado]:[Check Equiparado]]="Sí",IF(DATOS!AZ$5="Sí",(1/DATOS_[[% anualiz]:[% anualiz]]),1)*IF(DATOS!AZ$4="Sí",1/DATOS_[[% normaliz]:[% normaliz]],1)*(DATOS_[Conc.Sal.22])))))))),
0)</f>
        <v>0</v>
      </c>
      <c r="AF26" s="196">
        <f t="array" ref="AF26">IFERROR(
(AVERAGE((IF(DATOS_[[Sexo]:[Sexo]]=$B26,IF(DATOS_[[AGRUP. VALOR. PTO.]:[AGRUP. VALOR. PTO.]]=$B24,IF(DATOS_[[Check Periodo Ref.]:[Check Periodo Ref.]]="Dentro",IF(DATOS_[[Check Equiparado]:[Check Equiparado]]="Sí",IF(DATOS!BA$5="Sí",(1/DATOS_[[% anualiz]:[% anualiz]]),1)*IF(DATOS!BA$4="Sí",1/DATOS_[[% normaliz]:[% normaliz]],1)*(DATOS_[Conc.Sal.23])))))))),
0)</f>
        <v>0</v>
      </c>
      <c r="AG26" s="196">
        <f t="array" ref="AG26">IFERROR(
(AVERAGE((IF(DATOS_[[Sexo]:[Sexo]]=$B26,IF(DATOS_[[AGRUP. VALOR. PTO.]:[AGRUP. VALOR. PTO.]]=$B24,IF(DATOS_[[Check Periodo Ref.]:[Check Periodo Ref.]]="Dentro",IF(DATOS_[[Check Equiparado]:[Check Equiparado]]="Sí",IF(DATOS!BB$5="Sí",(1/DATOS_[[% anualiz]:[% anualiz]]),1)*IF(DATOS!BB$4="Sí",1/DATOS_[[% normaliz]:[% normaliz]],1)*(DATOS_[Conc.Sal.24])))))))),
0)</f>
        <v>0</v>
      </c>
      <c r="AH26" s="196">
        <f t="array" ref="AH26">IFERROR(
(AVERAGE((IF(DATOS_[[Sexo]:[Sexo]]=$B26,IF(DATOS_[[AGRUP. VALOR. PTO.]:[AGRUP. VALOR. PTO.]]=$B24,IF(DATOS_[[Check Periodo Ref.]:[Check Periodo Ref.]]="Dentro",IF(DATOS_[[Check Equiparado]:[Check Equiparado]]="Sí",IF(DATOS!BC$5="Sí",(1/DATOS_[[% anualiz]:[% anualiz]]),1)*IF(DATOS!BC$4="Sí",1/DATOS_[[% normaliz]:[% normaliz]],1)*(DATOS_[Conc.Sal.25])))))))),
0)</f>
        <v>0</v>
      </c>
      <c r="AI26" s="196">
        <f t="array" ref="AI26">IFERROR(
(AVERAGE((IF(DATOS_[[Sexo]:[Sexo]]=$B26,IF(DATOS_[[AGRUP. VALOR. PTO.]:[AGRUP. VALOR. PTO.]]=$B24,IF(DATOS_[[Check Periodo Ref.]:[Check Periodo Ref.]]="Dentro",IF(DATOS_[[Check Equiparado]:[Check Equiparado]]="Sí",IF(DATOS!BD$5="Sí",(1/DATOS_[[% anualiz]:[% anualiz]]),1)*IF(DATOS!BD$4="Sí",1/DATOS_[[% normaliz]:[% normaliz]],1)*(DATOS_[Conc.Sal.26])))))))),
0)</f>
        <v>0</v>
      </c>
      <c r="AJ26" s="196">
        <f t="array" ref="AJ26">IFERROR(
(AVERAGE((IF(DATOS_[[Sexo]:[Sexo]]=$B26,IF(DATOS_[[AGRUP. VALOR. PTO.]:[AGRUP. VALOR. PTO.]]=$B24,IF(DATOS_[[Check Periodo Ref.]:[Check Periodo Ref.]]="Dentro",IF(DATOS_[[Check Equiparado]:[Check Equiparado]]="Sí",IF(DATOS!BE$5="Sí",(1/DATOS_[[% anualiz]:[% anualiz]]),1)*IF(DATOS!BE$4="Sí",1/DATOS_[[% normaliz]:[% normaliz]],1)*(DATOS_[Conc.Sal.27])))))))),
0)</f>
        <v>0</v>
      </c>
      <c r="AK26" s="196">
        <f t="array" ref="AK26">IFERROR(
(AVERAGE((IF(DATOS_[[Sexo]:[Sexo]]=$B26,IF(DATOS_[[AGRUP. VALOR. PTO.]:[AGRUP. VALOR. PTO.]]=$B24,IF(DATOS_[[Check Periodo Ref.]:[Check Periodo Ref.]]="Dentro",IF(DATOS_[[Check Equiparado]:[Check Equiparado]]="Sí",IF(DATOS!BF$5="Sí",(1/DATOS_[[% anualiz]:[% anualiz]]),1)*IF(DATOS!BF$4="Sí",1/DATOS_[[% normaliz]:[% normaliz]],1)*(DATOS_[Conc.Sal.28])))))))),
0)</f>
        <v>0</v>
      </c>
      <c r="AL26" s="196">
        <f t="array" ref="AL26">IFERROR(
(AVERAGE((IF(DATOS_[[Sexo]:[Sexo]]=$B26,IF(DATOS_[[AGRUP. VALOR. PTO.]:[AGRUP. VALOR. PTO.]]=$B24,IF(DATOS_[[Check Periodo Ref.]:[Check Periodo Ref.]]="Dentro",IF(DATOS_[[Check Equiparado]:[Check Equiparado]]="Sí",IF(DATOS!BG$5="Sí",(1/DATOS_[[% anualiz]:[% anualiz]]),1)*IF(DATOS!BG$4="Sí",1/DATOS_[[% normaliz]:[% normaliz]],1)*(DATOS_[Conc.Sal.29])))))))),
0)</f>
        <v>0</v>
      </c>
      <c r="AM26" s="196">
        <f t="array" ref="AM26">IFERROR(
(AVERAGE((IF(DATOS_[[Sexo]:[Sexo]]=$B26,IF(DATOS_[[AGRUP. VALOR. PTO.]:[AGRUP. VALOR. PTO.]]=$B24,IF(DATOS_[[Check Periodo Ref.]:[Check Periodo Ref.]]="Dentro",IF(DATOS_[[Check Equiparado]:[Check Equiparado]]="Sí",IF(DATOS!BH$5="Sí",(1/DATOS_[[% anualiz]:[% anualiz]]),1)*IF(DATOS!BH$4="Sí",1/DATOS_[[% normaliz]:[% normaliz]],1)*(DATOS_[Conc.Sal.30])))))))),
0)</f>
        <v>0</v>
      </c>
      <c r="AN26" s="195">
        <f t="array" ref="AN26">IFERROR(
AVERAGE(IF(DATOS_[Sexo]=$B26,IF(DATOS_[[AGRUP. VALOR. PTO.]:[AGRUP. VALOR. PTO.]]=$B24,IF(DATOS_[Check Equiparado]="Sí",IF(DATOS_[Check Periodo Ref.]="Dentro",DATOS_[Tot COMPL.SAL Eq],FALSE))))),
0)</f>
        <v>0</v>
      </c>
      <c r="AO26" s="172">
        <f t="array" ref="AO26">IFERROR(
AVERAGE(IF(DATOS_[Sexo]=$B26,IF(DATOS_[[AGRUP. VALOR. PTO.]:[AGRUP. VALOR. PTO.]]=$B24,IF(DATOS_[Check Equiparado]="Sí",IF(DATOS_[Check Periodo Ref.]="Dentro",DATOS_[TOTAL SALARIO Eq],FALSE))))),
0)</f>
        <v>0</v>
      </c>
      <c r="AP26" s="173">
        <f t="array" ref="AP26">IFERROR(
(AVERAGE((IF(DATOS_[[Sexo]:[Sexo]]=$B26,IF(DATOS_[[AGRUP. VALOR. PTO.]:[AGRUP. VALOR. PTO.]]=$B24,IF(DATOS_[[Check Periodo Ref.]:[Check Periodo Ref.]]="Dentro",IF(DATOS_[[Check Equiparado]:[Check Equiparado]]="Sí",IF(DATOS!BW$5="Sí",(1/DATOS_[[% anualiz]:[% anualiz]]),1)*IF(DATOS!BW$4="Sí",1/DATOS_[[% normaliz]:[% normaliz]],1)*(DATOS_[C.Extra.01])))))))),
0)</f>
        <v>0</v>
      </c>
      <c r="AQ26" s="173">
        <f t="array" ref="AQ26">IFERROR(
(AVERAGE((IF(DATOS_[[Sexo]:[Sexo]]=$B26,IF(DATOS_[[AGRUP. VALOR. PTO.]:[AGRUP. VALOR. PTO.]]=$B24,IF(DATOS_[[Check Periodo Ref.]:[Check Periodo Ref.]]="Dentro",IF(DATOS_[[Check Equiparado]:[Check Equiparado]]="Sí",IF(DATOS!CB$5="Sí",(1/DATOS_[[% anualiz]:[% anualiz]]),1)*IF(DATOS!CB$4="Sí",1/DATOS_[[% normaliz]:[% normaliz]],1)*(DATOS_[C.Extra.06])))))))),
0)</f>
        <v>0</v>
      </c>
      <c r="AR26" s="173">
        <f t="array" ref="AR26">IFERROR(
(AVERAGE((IF(DATOS_[[Sexo]:[Sexo]]=$B26,IF(DATOS_[[AGRUP. VALOR. PTO.]:[AGRUP. VALOR. PTO.]]=$B24,IF(DATOS_[[Check Periodo Ref.]:[Check Periodo Ref.]]="Dentro",IF(DATOS_[[Check Equiparado]:[Check Equiparado]]="Sí",IF(DATOS!CC$5="Sí",(1/DATOS_[[% anualiz]:[% anualiz]]),1)*IF(DATOS!CC$4="Sí",1/DATOS_[[% normaliz]:[% normaliz]],1)*(DATOS_[C.Extra.07])))))))),
0)</f>
        <v>0</v>
      </c>
      <c r="AS26" s="173">
        <f t="array" ref="AS26">IFERROR(
(AVERAGE((IF(DATOS_[[Sexo]:[Sexo]]=$B26,IF(DATOS_[[AGRUP. VALOR. PTO.]:[AGRUP. VALOR. PTO.]]=$B24,IF(DATOS_[[Check Periodo Ref.]:[Check Periodo Ref.]]="Dentro",IF(DATOS_[[Check Equiparado]:[Check Equiparado]]="Sí",IF(DATOS!CD$5="Sí",(1/DATOS_[[% anualiz]:[% anualiz]]),1)*IF(DATOS!CD$4="Sí",1/DATOS_[[% normaliz]:[% normaliz]],1)*(DATOS_[C.Extra.08])))))))),
0)</f>
        <v>0</v>
      </c>
      <c r="AT26" s="173">
        <f t="array" ref="AT26">IFERROR(
(AVERAGE((IF(DATOS_[[Sexo]:[Sexo]]=$B26,IF(DATOS_[[AGRUP. VALOR. PTO.]:[AGRUP. VALOR. PTO.]]=$B24,IF(DATOS_[[Check Periodo Ref.]:[Check Periodo Ref.]]="Dentro",IF(DATOS_[[Check Equiparado]:[Check Equiparado]]="Sí",IF(DATOS!CG$5="Sí",(1/DATOS_[[% anualiz]:[% anualiz]]),1)*IF(DATOS!CG$4="Sí",1/DATOS_[[% normaliz]:[% normaliz]],1)*(DATOS_[C.Extra.11])))))))),
0)</f>
        <v>0</v>
      </c>
      <c r="AU26" s="197">
        <f t="array" ref="AU26">IFERROR(
AVERAGE(IF(DATOS_[Sexo]=$B26,IF(DATOS_[[AGRUP. VALOR. PTO.]:[AGRUP. VALOR. PTO.]]=$B24,IF(DATOS_[Check Equiparado]="Sí",IF(DATOS_[Check Periodo Ref.]="Dentro",DATOS_[Tot Extrasalarial Eq],FALSE))))),
0)</f>
        <v>0</v>
      </c>
      <c r="AV26" s="175">
        <f t="array" ref="AV26">IFERROR(
AVERAGE(IF(DATOS_[Sexo]=$B26,IF(DATOS_[[AGRUP. VALOR. PTO.]:[AGRUP. VALOR. PTO.]]=$B24,IF(DATOS_[Check Equiparado]="Sí",IF(DATOS_[Check Periodo Ref.]="Dentro",DATOS_[TOTAL Retrib Eq],FALSE))))),
0)</f>
        <v>0</v>
      </c>
    </row>
    <row r="27" spans="1:48" ht="15.6" thickBot="1" x14ac:dyDescent="0.3">
      <c r="A27" s="133" t="str">
        <f t="shared" ref="A27" si="19">+A28</f>
        <v>[ocultar]</v>
      </c>
      <c r="B27" s="199" t="s">
        <v>193</v>
      </c>
      <c r="C27" s="200"/>
      <c r="D27" s="201"/>
      <c r="E27" s="201"/>
      <c r="F27" s="201"/>
      <c r="G27" s="201"/>
      <c r="H27" s="201"/>
      <c r="I27" s="189" t="str">
        <f t="shared" ref="I27:AV27" si="20">IFERROR((I28-I29)/I28,"")</f>
        <v/>
      </c>
      <c r="J27" s="190" t="str">
        <f t="shared" si="20"/>
        <v/>
      </c>
      <c r="K27" s="191" t="str">
        <f t="shared" si="20"/>
        <v/>
      </c>
      <c r="L27" s="191" t="str">
        <f t="shared" si="20"/>
        <v/>
      </c>
      <c r="M27" s="191" t="str">
        <f t="shared" si="20"/>
        <v/>
      </c>
      <c r="N27" s="192" t="str">
        <f t="shared" si="20"/>
        <v/>
      </c>
      <c r="O27" s="193" t="str">
        <f t="shared" si="20"/>
        <v/>
      </c>
      <c r="P27" s="193" t="str">
        <f t="shared" si="20"/>
        <v/>
      </c>
      <c r="Q27" s="193" t="str">
        <f t="shared" si="20"/>
        <v/>
      </c>
      <c r="R27" s="193" t="str">
        <f t="shared" si="20"/>
        <v/>
      </c>
      <c r="S27" s="193" t="str">
        <f t="shared" si="20"/>
        <v/>
      </c>
      <c r="T27" s="193" t="str">
        <f t="shared" si="20"/>
        <v/>
      </c>
      <c r="U27" s="193" t="str">
        <f t="shared" si="20"/>
        <v/>
      </c>
      <c r="V27" s="193" t="str">
        <f t="shared" si="20"/>
        <v/>
      </c>
      <c r="W27" s="193" t="str">
        <f t="shared" si="20"/>
        <v/>
      </c>
      <c r="X27" s="193" t="str">
        <f t="shared" si="20"/>
        <v/>
      </c>
      <c r="Y27" s="193" t="str">
        <f t="shared" si="20"/>
        <v/>
      </c>
      <c r="Z27" s="193" t="str">
        <f t="shared" si="20"/>
        <v/>
      </c>
      <c r="AA27" s="193" t="str">
        <f t="shared" si="20"/>
        <v/>
      </c>
      <c r="AB27" s="193" t="str">
        <f t="shared" si="20"/>
        <v/>
      </c>
      <c r="AC27" s="193" t="str">
        <f t="shared" si="20"/>
        <v/>
      </c>
      <c r="AD27" s="193" t="str">
        <f t="shared" si="20"/>
        <v/>
      </c>
      <c r="AE27" s="193" t="str">
        <f t="shared" si="20"/>
        <v/>
      </c>
      <c r="AF27" s="193" t="str">
        <f t="shared" si="20"/>
        <v/>
      </c>
      <c r="AG27" s="193" t="str">
        <f t="shared" si="20"/>
        <v/>
      </c>
      <c r="AH27" s="193" t="str">
        <f t="shared" si="20"/>
        <v/>
      </c>
      <c r="AI27" s="193" t="str">
        <f t="shared" si="20"/>
        <v/>
      </c>
      <c r="AJ27" s="193" t="str">
        <f t="shared" si="20"/>
        <v/>
      </c>
      <c r="AK27" s="193" t="str">
        <f t="shared" si="20"/>
        <v/>
      </c>
      <c r="AL27" s="193" t="str">
        <f t="shared" si="20"/>
        <v/>
      </c>
      <c r="AM27" s="193" t="str">
        <f t="shared" si="20"/>
        <v/>
      </c>
      <c r="AN27" s="189" t="str">
        <f t="shared" si="20"/>
        <v/>
      </c>
      <c r="AO27" s="162" t="str">
        <f t="shared" si="20"/>
        <v/>
      </c>
      <c r="AP27" s="163" t="str">
        <f t="shared" si="20"/>
        <v/>
      </c>
      <c r="AQ27" s="163" t="str">
        <f t="shared" si="20"/>
        <v/>
      </c>
      <c r="AR27" s="163" t="str">
        <f t="shared" si="20"/>
        <v/>
      </c>
      <c r="AS27" s="163" t="str">
        <f t="shared" si="20"/>
        <v/>
      </c>
      <c r="AT27" s="163" t="str">
        <f t="shared" si="20"/>
        <v/>
      </c>
      <c r="AU27" s="194" t="str">
        <f t="shared" si="20"/>
        <v/>
      </c>
      <c r="AV27" s="165" t="str">
        <f t="shared" si="20"/>
        <v/>
      </c>
    </row>
    <row r="28" spans="1:48" x14ac:dyDescent="0.25">
      <c r="A28" s="133" t="str">
        <f t="shared" ref="A28" si="21">+IF(C28+C29=0,"[ocultar]","")</f>
        <v>[ocultar]</v>
      </c>
      <c r="B28" s="202" t="s">
        <v>394</v>
      </c>
      <c r="C28" s="203">
        <f t="array" ref="C28">SUM(IF($B28=DATOS_[Sexo],
IF($B27=DATOS_[AGRUP. VALOR. PTO.],
IF("Dentro"=DATOS_[Check Periodo Ref.],
1/(COUNTIFS(DATOS_[Sexo],$B28,DATOS_[AGRUP. VALOR. PTO.],$B27,DATOS_[Check Periodo Ref.],"Dentro",DATOS_[id/cod],DATOS_[id/cod]))))))</f>
        <v>0</v>
      </c>
      <c r="D28" s="204">
        <f>COUNTIFS(DATOS_[AGRUP. VALOR. PTO.],$B27,DATOS_[Sexo],$B28,DATOS_[Check Periodo Ref.],"Dentro")</f>
        <v>0</v>
      </c>
      <c r="E28" s="204">
        <f>COUNTIFS(DATOS_[AGRUP. VALOR. PTO.],$B27,DATOS_[Sexo],$B28,DATOS_[Check Periodo Ref.],"Dentro",DATOS_[Check Nº SC Norm],"Sí")</f>
        <v>0</v>
      </c>
      <c r="F28" s="204">
        <f>COUNTIFS(DATOS_[AGRUP. VALOR. PTO.],$B27,DATOS_[Sexo],$B28,DATOS_[Check Periodo Ref.],"Dentro",DATOS_[Check Nº SC Anualiz],"Sí")</f>
        <v>0</v>
      </c>
      <c r="G28" s="204">
        <f>COUNTIFS(DATOS_[AGRUP. VALOR. PTO.],$B27,DATOS_[Sexo],$B28,DATOS_[Check Periodo Ref.],"Dentro",DATOS_[Check Nº SC Norm y Anualiz],"Sí")</f>
        <v>0</v>
      </c>
      <c r="H28" s="204">
        <f>COUNTIFS(DATOS_[AGRUP. VALOR. PTO.],$B27,DATOS_[Sexo],$B28,DATOS_[Check Periodo Ref.],"Dentro",DATOS_[Check Equiparación],"Sí")</f>
        <v>0</v>
      </c>
      <c r="I28" s="195">
        <f t="array" ref="I28">IFERROR(
AVERAGE(IF(DATOS_[Sexo]=$B28,IF(DATOS_[[AGRUP. VALOR. PTO.]:[AGRUP. VALOR. PTO.]]=$B27,IF(DATOS_[Check Equiparado]="Sí",IF(DATOS_[Check Periodo Ref.]="Dentro",DATOS_[SALARIO BASE Eq],FALSE))))),
0)</f>
        <v>0</v>
      </c>
      <c r="J28" s="196">
        <f t="array" ref="J28">IFERROR(
(AVERAGE((IF(DATOS_[[Sexo]:[Sexo]]=$B28,IF(DATOS_[[AGRUP. VALOR. PTO.]:[AGRUP. VALOR. PTO.]]=$B27,IF(DATOS_[[Check Periodo Ref.]:[Check Periodo Ref.]]="Dentro",IF(DATOS_[[Check Equiparado]:[Check Equiparado]]="Sí",IF(DATOS!AE$5="Sí",(1/DATOS_[[% anualiz]:[% anualiz]]),1)*IF(DATOS!AE$4="Sí",1/DATOS_[[% normaliz]:[% normaliz]],1)*(DATOS_[Conc.Sal.01])))))))),
0)</f>
        <v>0</v>
      </c>
      <c r="K28" s="196">
        <f t="array" ref="K28">IFERROR(
(AVERAGE((IF(DATOS_[[Sexo]:[Sexo]]=$B28,IF(DATOS_[[AGRUP. VALOR. PTO.]:[AGRUP. VALOR. PTO.]]=$B27,IF(DATOS_[[Check Periodo Ref.]:[Check Periodo Ref.]]="Dentro",IF(DATOS_[[Check Equiparado]:[Check Equiparado]]="Sí",IF(DATOS!AF$5="Sí",(1/DATOS_[[% anualiz]:[% anualiz]]),1)*IF(DATOS!AF$4="Sí",1/DATOS_[[% normaliz]:[% normaliz]],1)*(DATOS_[Conc.Sal.02])))))))),
0)</f>
        <v>0</v>
      </c>
      <c r="L28" s="196">
        <f t="array" ref="L28">IFERROR(
(AVERAGE((IF(DATOS_[[Sexo]:[Sexo]]=$B28,IF(DATOS_[[AGRUP. VALOR. PTO.]:[AGRUP. VALOR. PTO.]]=$B27,IF(DATOS_[[Check Periodo Ref.]:[Check Periodo Ref.]]="Dentro",IF(DATOS_[[Check Equiparado]:[Check Equiparado]]="Sí",IF(DATOS!AG$5="Sí",(1/DATOS_[[% anualiz]:[% anualiz]]),1)*IF(DATOS!AG$4="Sí",1/DATOS_[[% normaliz]:[% normaliz]],1)*(DATOS_[Conc.Sal.03])))))))),
0)</f>
        <v>0</v>
      </c>
      <c r="M28" s="196">
        <f t="array" ref="M28">IFERROR(
(AVERAGE((IF(DATOS_[[Sexo]:[Sexo]]=$B28,IF(DATOS_[[AGRUP. VALOR. PTO.]:[AGRUP. VALOR. PTO.]]=$B27,IF(DATOS_[[Check Periodo Ref.]:[Check Periodo Ref.]]="Dentro",IF(DATOS_[[Check Equiparado]:[Check Equiparado]]="Sí",IF(DATOS!AH$5="Sí",(1/DATOS_[[% anualiz]:[% anualiz]]),1)*IF(DATOS!AH$4="Sí",1/DATOS_[[% normaliz]:[% normaliz]],1)*(DATOS_[Conc.Sal.04])))))))),
0)</f>
        <v>0</v>
      </c>
      <c r="N28" s="196">
        <f t="array" ref="N28">IFERROR(
(AVERAGE((IF(DATOS_[[Sexo]:[Sexo]]=$B28,IF(DATOS_[[AGRUP. VALOR. PTO.]:[AGRUP. VALOR. PTO.]]=$B27,IF(DATOS_[[Check Periodo Ref.]:[Check Periodo Ref.]]="Dentro",IF(DATOS_[[Check Equiparado]:[Check Equiparado]]="Sí",IF(DATOS!AI$5="Sí",(1/DATOS_[[% anualiz]:[% anualiz]]),1)*IF(DATOS!AI$4="Sí",1/DATOS_[[% normaliz]:[% normaliz]],1)*(DATOS_[Conc.Sal.05])))))))),
0)</f>
        <v>0</v>
      </c>
      <c r="O28" s="196">
        <f t="array" ref="O28">IFERROR(
(AVERAGE((IF(DATOS_[[Sexo]:[Sexo]]=$B28,IF(DATOS_[[AGRUP. VALOR. PTO.]:[AGRUP. VALOR. PTO.]]=$B27,IF(DATOS_[[Check Periodo Ref.]:[Check Periodo Ref.]]="Dentro",IF(DATOS_[[Check Equiparado]:[Check Equiparado]]="Sí",IF(DATOS!AJ$5="Sí",(1/DATOS_[[% anualiz]:[% anualiz]]),1)*IF(DATOS!AJ$4="Sí",1/DATOS_[[% normaliz]:[% normaliz]],1)*(DATOS_[Conc.Sal.06])))))))),
0)</f>
        <v>0</v>
      </c>
      <c r="P28" s="196">
        <f t="array" ref="P28">IFERROR(
(AVERAGE((IF(DATOS_[[Sexo]:[Sexo]]=$B28,IF(DATOS_[[AGRUP. VALOR. PTO.]:[AGRUP. VALOR. PTO.]]=$B27,IF(DATOS_[[Check Periodo Ref.]:[Check Periodo Ref.]]="Dentro",IF(DATOS_[[Check Equiparado]:[Check Equiparado]]="Sí",IF(DATOS!AK$5="Sí",(1/DATOS_[[% anualiz]:[% anualiz]]),1)*IF(DATOS!AK$4="Sí",1/DATOS_[[% normaliz]:[% normaliz]],1)*(DATOS_[Conc.Sal.07])))))))),
0)</f>
        <v>0</v>
      </c>
      <c r="Q28" s="196">
        <f t="array" ref="Q28">IFERROR(
(AVERAGE((IF(DATOS_[[Sexo]:[Sexo]]=$B28,IF(DATOS_[[AGRUP. VALOR. PTO.]:[AGRUP. VALOR. PTO.]]=$B27,IF(DATOS_[[Check Periodo Ref.]:[Check Periodo Ref.]]="Dentro",IF(DATOS_[[Check Equiparado]:[Check Equiparado]]="Sí",IF(DATOS!AL$5="Sí",(1/DATOS_[[% anualiz]:[% anualiz]]),1)*IF(DATOS!AL$4="Sí",1/DATOS_[[% normaliz]:[% normaliz]],1)*(DATOS_[Conc.Sal.08])))))))),
0)</f>
        <v>0</v>
      </c>
      <c r="R28" s="196">
        <f t="array" ref="R28">IFERROR(
(AVERAGE((IF(DATOS_[[Sexo]:[Sexo]]=$B28,IF(DATOS_[[AGRUP. VALOR. PTO.]:[AGRUP. VALOR. PTO.]]=$B27,IF(DATOS_[[Check Periodo Ref.]:[Check Periodo Ref.]]="Dentro",IF(DATOS_[[Check Equiparado]:[Check Equiparado]]="Sí",IF(DATOS!AM$5="Sí",(1/DATOS_[[% anualiz]:[% anualiz]]),1)*IF(DATOS!AM$4="Sí",1/DATOS_[[% normaliz]:[% normaliz]],1)*(DATOS_[Conc.Sal.09])))))))),
0)</f>
        <v>0</v>
      </c>
      <c r="S28" s="196">
        <f t="array" ref="S28">IFERROR(
(AVERAGE((IF(DATOS_[[Sexo]:[Sexo]]=$B28,IF(DATOS_[[AGRUP. VALOR. PTO.]:[AGRUP. VALOR. PTO.]]=$B27,IF(DATOS_[[Check Periodo Ref.]:[Check Periodo Ref.]]="Dentro",IF(DATOS_[[Check Equiparado]:[Check Equiparado]]="Sí",IF(DATOS!AN$5="Sí",(1/DATOS_[[% anualiz]:[% anualiz]]),1)*IF(DATOS!AN$4="Sí",1/DATOS_[[% normaliz]:[% normaliz]],1)*(DATOS_[Conc.Sal.10])))))))),
0)</f>
        <v>0</v>
      </c>
      <c r="T28" s="196">
        <f t="array" ref="T28">IFERROR(
(AVERAGE((IF(DATOS_[[Sexo]:[Sexo]]=$B28,IF(DATOS_[[AGRUP. VALOR. PTO.]:[AGRUP. VALOR. PTO.]]=$B27,IF(DATOS_[[Check Periodo Ref.]:[Check Periodo Ref.]]="Dentro",IF(DATOS_[[Check Equiparado]:[Check Equiparado]]="Sí",IF(DATOS!AO$5="Sí",(1/DATOS_[[% anualiz]:[% anualiz]]),1)*IF(DATOS!AO$4="Sí",1/DATOS_[[% normaliz]:[% normaliz]],1)*(DATOS_[Conc.Sal.11])))))))),
0)</f>
        <v>0</v>
      </c>
      <c r="U28" s="196">
        <f t="array" ref="U28">IFERROR(
(AVERAGE((IF(DATOS_[[Sexo]:[Sexo]]=$B28,IF(DATOS_[[AGRUP. VALOR. PTO.]:[AGRUP. VALOR. PTO.]]=$B27,IF(DATOS_[[Check Periodo Ref.]:[Check Periodo Ref.]]="Dentro",IF(DATOS_[[Check Equiparado]:[Check Equiparado]]="Sí",IF(DATOS!AP$5="Sí",(1/DATOS_[[% anualiz]:[% anualiz]]),1)*IF(DATOS!AP$4="Sí",1/DATOS_[[% normaliz]:[% normaliz]],1)*(DATOS_[Conc.Sal.12])))))))),
0)</f>
        <v>0</v>
      </c>
      <c r="V28" s="196">
        <f t="array" ref="V28">IFERROR(
(AVERAGE((IF(DATOS_[[Sexo]:[Sexo]]=$B28,IF(DATOS_[[AGRUP. VALOR. PTO.]:[AGRUP. VALOR. PTO.]]=$B27,IF(DATOS_[[Check Periodo Ref.]:[Check Periodo Ref.]]="Dentro",IF(DATOS_[[Check Equiparado]:[Check Equiparado]]="Sí",IF(DATOS!AQ$5="Sí",(1/DATOS_[[% anualiz]:[% anualiz]]),1)*IF(DATOS!AQ$4="Sí",1/DATOS_[[% normaliz]:[% normaliz]],1)*(DATOS_[Conc.Sal.13])))))))),
0)</f>
        <v>0</v>
      </c>
      <c r="W28" s="196">
        <f t="array" ref="W28">IFERROR(
(AVERAGE((IF(DATOS_[[Sexo]:[Sexo]]=$B28,IF(DATOS_[[AGRUP. VALOR. PTO.]:[AGRUP. VALOR. PTO.]]=$B27,IF(DATOS_[[Check Periodo Ref.]:[Check Periodo Ref.]]="Dentro",IF(DATOS_[[Check Equiparado]:[Check Equiparado]]="Sí",IF(DATOS!AR$5="Sí",(1/DATOS_[[% anualiz]:[% anualiz]]),1)*IF(DATOS!AR$4="Sí",1/DATOS_[[% normaliz]:[% normaliz]],1)*(DATOS_[Conc.Sal.14])))))))),
0)</f>
        <v>0</v>
      </c>
      <c r="X28" s="196">
        <f t="array" ref="X28">IFERROR(
(AVERAGE((IF(DATOS_[[Sexo]:[Sexo]]=$B28,IF(DATOS_[[AGRUP. VALOR. PTO.]:[AGRUP. VALOR. PTO.]]=$B27,IF(DATOS_[[Check Periodo Ref.]:[Check Periodo Ref.]]="Dentro",IF(DATOS_[[Check Equiparado]:[Check Equiparado]]="Sí",IF(DATOS!AS$5="Sí",(1/DATOS_[[% anualiz]:[% anualiz]]),1)*IF(DATOS!AS$4="Sí",1/DATOS_[[% normaliz]:[% normaliz]],1)*(DATOS_[Conc.Sal.15])))))))),
0)</f>
        <v>0</v>
      </c>
      <c r="Y28" s="196">
        <f t="array" ref="Y28">IFERROR(
(AVERAGE((IF(DATOS_[[Sexo]:[Sexo]]=$B28,IF(DATOS_[[AGRUP. VALOR. PTO.]:[AGRUP. VALOR. PTO.]]=$B27,IF(DATOS_[[Check Periodo Ref.]:[Check Periodo Ref.]]="Dentro",IF(DATOS_[[Check Equiparado]:[Check Equiparado]]="Sí",IF(DATOS!AT$5="Sí",(1/DATOS_[[% anualiz]:[% anualiz]]),1)*IF(DATOS!AT$4="Sí",1/DATOS_[[% normaliz]:[% normaliz]],1)*(DATOS_[Conc.Sal.16])))))))),
0)</f>
        <v>0</v>
      </c>
      <c r="Z28" s="196">
        <f t="array" ref="Z28">IFERROR(
(AVERAGE((IF(DATOS_[[Sexo]:[Sexo]]=$B28,IF(DATOS_[[AGRUP. VALOR. PTO.]:[AGRUP. VALOR. PTO.]]=$B27,IF(DATOS_[[Check Periodo Ref.]:[Check Periodo Ref.]]="Dentro",IF(DATOS_[[Check Equiparado]:[Check Equiparado]]="Sí",IF(DATOS!AU$5="Sí",(1/DATOS_[[% anualiz]:[% anualiz]]),1)*IF(DATOS!AU$4="Sí",1/DATOS_[[% normaliz]:[% normaliz]],1)*(DATOS_[Conc.Sal.17])))))))),
0)</f>
        <v>0</v>
      </c>
      <c r="AA28" s="196">
        <f t="array" ref="AA28">IFERROR(
(AVERAGE((IF(DATOS_[[Sexo]:[Sexo]]=$B28,IF(DATOS_[[AGRUP. VALOR. PTO.]:[AGRUP. VALOR. PTO.]]=$B27,IF(DATOS_[[Check Periodo Ref.]:[Check Periodo Ref.]]="Dentro",IF(DATOS_[[Check Equiparado]:[Check Equiparado]]="Sí",IF(DATOS!AV$5="Sí",(1/DATOS_[[% anualiz]:[% anualiz]]),1)*IF(DATOS!AV$4="Sí",1/DATOS_[[% normaliz]:[% normaliz]],1)*(DATOS_[Conc.Sal.18])))))))),
0)</f>
        <v>0</v>
      </c>
      <c r="AB28" s="196">
        <f t="array" ref="AB28">IFERROR(
(AVERAGE((IF(DATOS_[[Sexo]:[Sexo]]=$B28,IF(DATOS_[[AGRUP. VALOR. PTO.]:[AGRUP. VALOR. PTO.]]=$B27,IF(DATOS_[[Check Periodo Ref.]:[Check Periodo Ref.]]="Dentro",IF(DATOS_[[Check Equiparado]:[Check Equiparado]]="Sí",IF(DATOS!AW$5="Sí",(1/DATOS_[[% anualiz]:[% anualiz]]),1)*IF(DATOS!AW$4="Sí",1/DATOS_[[% normaliz]:[% normaliz]],1)*(DATOS_[Conc.Sal.19])))))))),
0)</f>
        <v>0</v>
      </c>
      <c r="AC28" s="196">
        <f t="array" ref="AC28">IFERROR(
(AVERAGE((IF(DATOS_[[Sexo]:[Sexo]]=$B28,IF(DATOS_[[AGRUP. VALOR. PTO.]:[AGRUP. VALOR. PTO.]]=$B27,IF(DATOS_[[Check Periodo Ref.]:[Check Periodo Ref.]]="Dentro",IF(DATOS_[[Check Equiparado]:[Check Equiparado]]="Sí",IF(DATOS!AX$5="Sí",(1/DATOS_[[% anualiz]:[% anualiz]]),1)*IF(DATOS!AX$4="Sí",1/DATOS_[[% normaliz]:[% normaliz]],1)*(DATOS_[Conc.Sal.20])))))))),
0)</f>
        <v>0</v>
      </c>
      <c r="AD28" s="196">
        <f t="array" ref="AD28">IFERROR(
(AVERAGE((IF(DATOS_[[Sexo]:[Sexo]]=$B28,IF(DATOS_[[AGRUP. VALOR. PTO.]:[AGRUP. VALOR. PTO.]]=$B27,IF(DATOS_[[Check Periodo Ref.]:[Check Periodo Ref.]]="Dentro",IF(DATOS_[[Check Equiparado]:[Check Equiparado]]="Sí",IF(DATOS!AY$5="Sí",(1/DATOS_[[% anualiz]:[% anualiz]]),1)*IF(DATOS!AY$4="Sí",1/DATOS_[[% normaliz]:[% normaliz]],1)*(DATOS_[Conc.Sal.21])))))))),
0)</f>
        <v>0</v>
      </c>
      <c r="AE28" s="196">
        <f t="array" ref="AE28">IFERROR(
(AVERAGE((IF(DATOS_[[Sexo]:[Sexo]]=$B28,IF(DATOS_[[AGRUP. VALOR. PTO.]:[AGRUP. VALOR. PTO.]]=$B27,IF(DATOS_[[Check Periodo Ref.]:[Check Periodo Ref.]]="Dentro",IF(DATOS_[[Check Equiparado]:[Check Equiparado]]="Sí",IF(DATOS!AZ$5="Sí",(1/DATOS_[[% anualiz]:[% anualiz]]),1)*IF(DATOS!AZ$4="Sí",1/DATOS_[[% normaliz]:[% normaliz]],1)*(DATOS_[Conc.Sal.22])))))))),
0)</f>
        <v>0</v>
      </c>
      <c r="AF28" s="196">
        <f t="array" ref="AF28">IFERROR(
(AVERAGE((IF(DATOS_[[Sexo]:[Sexo]]=$B28,IF(DATOS_[[AGRUP. VALOR. PTO.]:[AGRUP. VALOR. PTO.]]=$B27,IF(DATOS_[[Check Periodo Ref.]:[Check Periodo Ref.]]="Dentro",IF(DATOS_[[Check Equiparado]:[Check Equiparado]]="Sí",IF(DATOS!BA$5="Sí",(1/DATOS_[[% anualiz]:[% anualiz]]),1)*IF(DATOS!BA$4="Sí",1/DATOS_[[% normaliz]:[% normaliz]],1)*(DATOS_[Conc.Sal.23])))))))),
0)</f>
        <v>0</v>
      </c>
      <c r="AG28" s="196">
        <f t="array" ref="AG28">IFERROR(
(AVERAGE((IF(DATOS_[[Sexo]:[Sexo]]=$B28,IF(DATOS_[[AGRUP. VALOR. PTO.]:[AGRUP. VALOR. PTO.]]=$B27,IF(DATOS_[[Check Periodo Ref.]:[Check Periodo Ref.]]="Dentro",IF(DATOS_[[Check Equiparado]:[Check Equiparado]]="Sí",IF(DATOS!BB$5="Sí",(1/DATOS_[[% anualiz]:[% anualiz]]),1)*IF(DATOS!BB$4="Sí",1/DATOS_[[% normaliz]:[% normaliz]],1)*(DATOS_[Conc.Sal.24])))))))),
0)</f>
        <v>0</v>
      </c>
      <c r="AH28" s="196">
        <f t="array" ref="AH28">IFERROR(
(AVERAGE((IF(DATOS_[[Sexo]:[Sexo]]=$B28,IF(DATOS_[[AGRUP. VALOR. PTO.]:[AGRUP. VALOR. PTO.]]=$B27,IF(DATOS_[[Check Periodo Ref.]:[Check Periodo Ref.]]="Dentro",IF(DATOS_[[Check Equiparado]:[Check Equiparado]]="Sí",IF(DATOS!BC$5="Sí",(1/DATOS_[[% anualiz]:[% anualiz]]),1)*IF(DATOS!BC$4="Sí",1/DATOS_[[% normaliz]:[% normaliz]],1)*(DATOS_[Conc.Sal.25])))))))),
0)</f>
        <v>0</v>
      </c>
      <c r="AI28" s="196">
        <f t="array" ref="AI28">IFERROR(
(AVERAGE((IF(DATOS_[[Sexo]:[Sexo]]=$B28,IF(DATOS_[[AGRUP. VALOR. PTO.]:[AGRUP. VALOR. PTO.]]=$B27,IF(DATOS_[[Check Periodo Ref.]:[Check Periodo Ref.]]="Dentro",IF(DATOS_[[Check Equiparado]:[Check Equiparado]]="Sí",IF(DATOS!BD$5="Sí",(1/DATOS_[[% anualiz]:[% anualiz]]),1)*IF(DATOS!BD$4="Sí",1/DATOS_[[% normaliz]:[% normaliz]],1)*(DATOS_[Conc.Sal.26])))))))),
0)</f>
        <v>0</v>
      </c>
      <c r="AJ28" s="196">
        <f t="array" ref="AJ28">IFERROR(
(AVERAGE((IF(DATOS_[[Sexo]:[Sexo]]=$B28,IF(DATOS_[[AGRUP. VALOR. PTO.]:[AGRUP. VALOR. PTO.]]=$B27,IF(DATOS_[[Check Periodo Ref.]:[Check Periodo Ref.]]="Dentro",IF(DATOS_[[Check Equiparado]:[Check Equiparado]]="Sí",IF(DATOS!BE$5="Sí",(1/DATOS_[[% anualiz]:[% anualiz]]),1)*IF(DATOS!BE$4="Sí",1/DATOS_[[% normaliz]:[% normaliz]],1)*(DATOS_[Conc.Sal.27])))))))),
0)</f>
        <v>0</v>
      </c>
      <c r="AK28" s="196">
        <f t="array" ref="AK28">IFERROR(
(AVERAGE((IF(DATOS_[[Sexo]:[Sexo]]=$B28,IF(DATOS_[[AGRUP. VALOR. PTO.]:[AGRUP. VALOR. PTO.]]=$B27,IF(DATOS_[[Check Periodo Ref.]:[Check Periodo Ref.]]="Dentro",IF(DATOS_[[Check Equiparado]:[Check Equiparado]]="Sí",IF(DATOS!BF$5="Sí",(1/DATOS_[[% anualiz]:[% anualiz]]),1)*IF(DATOS!BF$4="Sí",1/DATOS_[[% normaliz]:[% normaliz]],1)*(DATOS_[Conc.Sal.28])))))))),
0)</f>
        <v>0</v>
      </c>
      <c r="AL28" s="196">
        <f t="array" ref="AL28">IFERROR(
(AVERAGE((IF(DATOS_[[Sexo]:[Sexo]]=$B28,IF(DATOS_[[AGRUP. VALOR. PTO.]:[AGRUP. VALOR. PTO.]]=$B27,IF(DATOS_[[Check Periodo Ref.]:[Check Periodo Ref.]]="Dentro",IF(DATOS_[[Check Equiparado]:[Check Equiparado]]="Sí",IF(DATOS!BG$5="Sí",(1/DATOS_[[% anualiz]:[% anualiz]]),1)*IF(DATOS!BG$4="Sí",1/DATOS_[[% normaliz]:[% normaliz]],1)*(DATOS_[Conc.Sal.29])))))))),
0)</f>
        <v>0</v>
      </c>
      <c r="AM28" s="196">
        <f t="array" ref="AM28">IFERROR(
(AVERAGE((IF(DATOS_[[Sexo]:[Sexo]]=$B28,IF(DATOS_[[AGRUP. VALOR. PTO.]:[AGRUP. VALOR. PTO.]]=$B27,IF(DATOS_[[Check Periodo Ref.]:[Check Periodo Ref.]]="Dentro",IF(DATOS_[[Check Equiparado]:[Check Equiparado]]="Sí",IF(DATOS!BH$5="Sí",(1/DATOS_[[% anualiz]:[% anualiz]]),1)*IF(DATOS!BH$4="Sí",1/DATOS_[[% normaliz]:[% normaliz]],1)*(DATOS_[Conc.Sal.30])))))))),
0)</f>
        <v>0</v>
      </c>
      <c r="AN28" s="195">
        <f t="array" ref="AN28">IFERROR(
AVERAGE(IF(DATOS_[Sexo]=$B28,IF(DATOS_[[AGRUP. VALOR. PTO.]:[AGRUP. VALOR. PTO.]]=$B27,IF(DATOS_[Check Equiparado]="Sí",IF(DATOS_[Check Periodo Ref.]="Dentro",DATOS_[Tot COMPL.SAL Eq],FALSE))))),
0)</f>
        <v>0</v>
      </c>
      <c r="AO28" s="172">
        <f t="array" ref="AO28">IFERROR(
AVERAGE(IF(DATOS_[Sexo]=$B28,IF(DATOS_[[AGRUP. VALOR. PTO.]:[AGRUP. VALOR. PTO.]]=$B27,IF(DATOS_[Check Equiparado]="Sí",IF(DATOS_[Check Periodo Ref.]="Dentro",DATOS_[TOTAL SALARIO Eq],FALSE))))),
0)</f>
        <v>0</v>
      </c>
      <c r="AP28" s="173">
        <f t="array" ref="AP28">IFERROR(
(AVERAGE((IF(DATOS_[[Sexo]:[Sexo]]=$B28,IF(DATOS_[[AGRUP. VALOR. PTO.]:[AGRUP. VALOR. PTO.]]=$B27,IF(DATOS_[[Check Periodo Ref.]:[Check Periodo Ref.]]="Dentro",IF(DATOS_[[Check Equiparado]:[Check Equiparado]]="Sí",IF(DATOS!BW$5="Sí",(1/DATOS_[[% anualiz]:[% anualiz]]),1)*IF(DATOS!BW$4="Sí",1/DATOS_[[% normaliz]:[% normaliz]],1)*(DATOS_[C.Extra.01])))))))),
0)</f>
        <v>0</v>
      </c>
      <c r="AQ28" s="173">
        <f t="array" ref="AQ28">IFERROR(
(AVERAGE((IF(DATOS_[[Sexo]:[Sexo]]=$B28,IF(DATOS_[[AGRUP. VALOR. PTO.]:[AGRUP. VALOR. PTO.]]=$B27,IF(DATOS_[[Check Periodo Ref.]:[Check Periodo Ref.]]="Dentro",IF(DATOS_[[Check Equiparado]:[Check Equiparado]]="Sí",IF(DATOS!CB$5="Sí",(1/DATOS_[[% anualiz]:[% anualiz]]),1)*IF(DATOS!CB$4="Sí",1/DATOS_[[% normaliz]:[% normaliz]],1)*(DATOS_[C.Extra.06])))))))),
0)</f>
        <v>0</v>
      </c>
      <c r="AR28" s="173">
        <f t="array" ref="AR28">IFERROR(
(AVERAGE((IF(DATOS_[[Sexo]:[Sexo]]=$B28,IF(DATOS_[[AGRUP. VALOR. PTO.]:[AGRUP. VALOR. PTO.]]=$B27,IF(DATOS_[[Check Periodo Ref.]:[Check Periodo Ref.]]="Dentro",IF(DATOS_[[Check Equiparado]:[Check Equiparado]]="Sí",IF(DATOS!CC$5="Sí",(1/DATOS_[[% anualiz]:[% anualiz]]),1)*IF(DATOS!CC$4="Sí",1/DATOS_[[% normaliz]:[% normaliz]],1)*(DATOS_[C.Extra.07])))))))),
0)</f>
        <v>0</v>
      </c>
      <c r="AS28" s="173">
        <f t="array" ref="AS28">IFERROR(
(AVERAGE((IF(DATOS_[[Sexo]:[Sexo]]=$B28,IF(DATOS_[[AGRUP. VALOR. PTO.]:[AGRUP. VALOR. PTO.]]=$B27,IF(DATOS_[[Check Periodo Ref.]:[Check Periodo Ref.]]="Dentro",IF(DATOS_[[Check Equiparado]:[Check Equiparado]]="Sí",IF(DATOS!CD$5="Sí",(1/DATOS_[[% anualiz]:[% anualiz]]),1)*IF(DATOS!CD$4="Sí",1/DATOS_[[% normaliz]:[% normaliz]],1)*(DATOS_[C.Extra.08])))))))),
0)</f>
        <v>0</v>
      </c>
      <c r="AT28" s="173">
        <f t="array" ref="AT28">IFERROR(
(AVERAGE((IF(DATOS_[[Sexo]:[Sexo]]=$B28,IF(DATOS_[[AGRUP. VALOR. PTO.]:[AGRUP. VALOR. PTO.]]=$B27,IF(DATOS_[[Check Periodo Ref.]:[Check Periodo Ref.]]="Dentro",IF(DATOS_[[Check Equiparado]:[Check Equiparado]]="Sí",IF(DATOS!CG$5="Sí",(1/DATOS_[[% anualiz]:[% anualiz]]),1)*IF(DATOS!CG$4="Sí",1/DATOS_[[% normaliz]:[% normaliz]],1)*(DATOS_[C.Extra.11])))))))),
0)</f>
        <v>0</v>
      </c>
      <c r="AU28" s="197">
        <f t="array" ref="AU28">IFERROR(
AVERAGE(IF(DATOS_[Sexo]=$B28,IF(DATOS_[[AGRUP. VALOR. PTO.]:[AGRUP. VALOR. PTO.]]=$B27,IF(DATOS_[Check Equiparado]="Sí",IF(DATOS_[Check Periodo Ref.]="Dentro",DATOS_[Tot Extrasalarial Eq],FALSE))))),
0)</f>
        <v>0</v>
      </c>
      <c r="AV28" s="175">
        <f t="array" ref="AV28">IFERROR(
AVERAGE(IF(DATOS_[Sexo]=$B28,IF(DATOS_[[AGRUP. VALOR. PTO.]:[AGRUP. VALOR. PTO.]]=$B27,IF(DATOS_[Check Equiparado]="Sí",IF(DATOS_[Check Periodo Ref.]="Dentro",DATOS_[TOTAL Retrib Eq],FALSE))))),
0)</f>
        <v>0</v>
      </c>
    </row>
    <row r="29" spans="1:48" x14ac:dyDescent="0.25">
      <c r="A29" s="133" t="str">
        <f t="shared" ref="A29" si="22">+A28</f>
        <v>[ocultar]</v>
      </c>
      <c r="B29" s="202" t="s">
        <v>521</v>
      </c>
      <c r="C29" s="203">
        <f t="array" ref="C29">SUM(IF($B29=DATOS_[Sexo],
IF($B27=DATOS_[AGRUP. VALOR. PTO.],
IF("Dentro"=DATOS_[Check Periodo Ref.],
1/(COUNTIFS(DATOS_[Sexo],$B29,DATOS_[AGRUP. VALOR. PTO.],$B27,DATOS_[Check Periodo Ref.],"Dentro",DATOS_[id/cod],DATOS_[id/cod]))))))</f>
        <v>0</v>
      </c>
      <c r="D29" s="204">
        <f>COUNTIFS(DATOS_[AGRUP. VALOR. PTO.],$B27,DATOS_[Sexo],$B29,DATOS_[Check Periodo Ref.],"Dentro")</f>
        <v>0</v>
      </c>
      <c r="E29" s="204">
        <f>COUNTIFS(DATOS_[AGRUP. VALOR. PTO.],$B27,DATOS_[Sexo],$B29,DATOS_[Check Periodo Ref.],"Dentro",DATOS_[Check Nº SC Norm],"Sí")</f>
        <v>0</v>
      </c>
      <c r="F29" s="204">
        <f>COUNTIFS(DATOS_[AGRUP. VALOR. PTO.],$B27,DATOS_[Sexo],$B29,DATOS_[Check Periodo Ref.],"Dentro",DATOS_[Check Nº SC Anualiz],"Sí")</f>
        <v>0</v>
      </c>
      <c r="G29" s="204">
        <f>COUNTIFS(DATOS_[AGRUP. VALOR. PTO.],$B27,DATOS_[Sexo],$B29,DATOS_[Check Periodo Ref.],"Dentro",DATOS_[Check Nº SC Norm y Anualiz],"Sí")</f>
        <v>0</v>
      </c>
      <c r="H29" s="204">
        <f>COUNTIFS(DATOS_[AGRUP. VALOR. PTO.],$B27,DATOS_[Sexo],$B29,DATOS_[Check Periodo Ref.],"Dentro",DATOS_[Check Equiparación],"Sí")</f>
        <v>0</v>
      </c>
      <c r="I29" s="195" cm="1">
        <f t="array" ref="I29">IFERROR(
AVERAGE(IF(DATOS_[Sexo]=$B29,IF(DATOS_[[AGRUP. VALOR. PTO.]:[AGRUP. VALOR. PTO.]]=$B27,IF(DATOS_[Check Equiparado]="Sí",IF(DATOS_[Check Periodo Ref.]="Dentro",DATOS_[SALARIO BASE Eq],FALSE))))),
0)</f>
        <v>0</v>
      </c>
      <c r="J29" s="196">
        <f t="array" ref="J29">IFERROR(
(AVERAGE((IF(DATOS_[[Sexo]:[Sexo]]=$B29,IF(DATOS_[[AGRUP. VALOR. PTO.]:[AGRUP. VALOR. PTO.]]=$B27,IF(DATOS_[[Check Periodo Ref.]:[Check Periodo Ref.]]="Dentro",IF(DATOS_[[Check Equiparado]:[Check Equiparado]]="Sí",IF(DATOS!AE$5="Sí",(1/DATOS_[[% anualiz]:[% anualiz]]),1)*IF(DATOS!AE$4="Sí",1/DATOS_[[% normaliz]:[% normaliz]],1)*(DATOS_[Conc.Sal.01])))))))),
0)</f>
        <v>0</v>
      </c>
      <c r="K29" s="196">
        <f t="array" ref="K29">IFERROR(
(AVERAGE((IF(DATOS_[[Sexo]:[Sexo]]=$B29,IF(DATOS_[[AGRUP. VALOR. PTO.]:[AGRUP. VALOR. PTO.]]=$B27,IF(DATOS_[[Check Periodo Ref.]:[Check Periodo Ref.]]="Dentro",IF(DATOS_[[Check Equiparado]:[Check Equiparado]]="Sí",IF(DATOS!AF$5="Sí",(1/DATOS_[[% anualiz]:[% anualiz]]),1)*IF(DATOS!AF$4="Sí",1/DATOS_[[% normaliz]:[% normaliz]],1)*(DATOS_[Conc.Sal.02])))))))),
0)</f>
        <v>0</v>
      </c>
      <c r="L29" s="196">
        <f t="array" ref="L29">IFERROR(
(AVERAGE((IF(DATOS_[[Sexo]:[Sexo]]=$B29,IF(DATOS_[[AGRUP. VALOR. PTO.]:[AGRUP. VALOR. PTO.]]=$B27,IF(DATOS_[[Check Periodo Ref.]:[Check Periodo Ref.]]="Dentro",IF(DATOS_[[Check Equiparado]:[Check Equiparado]]="Sí",IF(DATOS!AG$5="Sí",(1/DATOS_[[% anualiz]:[% anualiz]]),1)*IF(DATOS!AG$4="Sí",1/DATOS_[[% normaliz]:[% normaliz]],1)*(DATOS_[Conc.Sal.03])))))))),
0)</f>
        <v>0</v>
      </c>
      <c r="M29" s="196">
        <f t="array" ref="M29">IFERROR(
(AVERAGE((IF(DATOS_[[Sexo]:[Sexo]]=$B29,IF(DATOS_[[AGRUP. VALOR. PTO.]:[AGRUP. VALOR. PTO.]]=$B27,IF(DATOS_[[Check Periodo Ref.]:[Check Periodo Ref.]]="Dentro",IF(DATOS_[[Check Equiparado]:[Check Equiparado]]="Sí",IF(DATOS!AH$5="Sí",(1/DATOS_[[% anualiz]:[% anualiz]]),1)*IF(DATOS!AH$4="Sí",1/DATOS_[[% normaliz]:[% normaliz]],1)*(DATOS_[Conc.Sal.04])))))))),
0)</f>
        <v>0</v>
      </c>
      <c r="N29" s="196">
        <f t="array" ref="N29">IFERROR(
(AVERAGE((IF(DATOS_[[Sexo]:[Sexo]]=$B29,IF(DATOS_[[AGRUP. VALOR. PTO.]:[AGRUP. VALOR. PTO.]]=$B27,IF(DATOS_[[Check Periodo Ref.]:[Check Periodo Ref.]]="Dentro",IF(DATOS_[[Check Equiparado]:[Check Equiparado]]="Sí",IF(DATOS!AI$5="Sí",(1/DATOS_[[% anualiz]:[% anualiz]]),1)*IF(DATOS!AI$4="Sí",1/DATOS_[[% normaliz]:[% normaliz]],1)*(DATOS_[Conc.Sal.05])))))))),
0)</f>
        <v>0</v>
      </c>
      <c r="O29" s="196">
        <f t="array" ref="O29">IFERROR(
(AVERAGE((IF(DATOS_[[Sexo]:[Sexo]]=$B29,IF(DATOS_[[AGRUP. VALOR. PTO.]:[AGRUP. VALOR. PTO.]]=$B27,IF(DATOS_[[Check Periodo Ref.]:[Check Periodo Ref.]]="Dentro",IF(DATOS_[[Check Equiparado]:[Check Equiparado]]="Sí",IF(DATOS!AJ$5="Sí",(1/DATOS_[[% anualiz]:[% anualiz]]),1)*IF(DATOS!AJ$4="Sí",1/DATOS_[[% normaliz]:[% normaliz]],1)*(DATOS_[Conc.Sal.06])))))))),
0)</f>
        <v>0</v>
      </c>
      <c r="P29" s="196">
        <f t="array" ref="P29">IFERROR(
(AVERAGE((IF(DATOS_[[Sexo]:[Sexo]]=$B29,IF(DATOS_[[AGRUP. VALOR. PTO.]:[AGRUP. VALOR. PTO.]]=$B27,IF(DATOS_[[Check Periodo Ref.]:[Check Periodo Ref.]]="Dentro",IF(DATOS_[[Check Equiparado]:[Check Equiparado]]="Sí",IF(DATOS!AK$5="Sí",(1/DATOS_[[% anualiz]:[% anualiz]]),1)*IF(DATOS!AK$4="Sí",1/DATOS_[[% normaliz]:[% normaliz]],1)*(DATOS_[Conc.Sal.07])))))))),
0)</f>
        <v>0</v>
      </c>
      <c r="Q29" s="196">
        <f t="array" ref="Q29">IFERROR(
(AVERAGE((IF(DATOS_[[Sexo]:[Sexo]]=$B29,IF(DATOS_[[AGRUP. VALOR. PTO.]:[AGRUP. VALOR. PTO.]]=$B27,IF(DATOS_[[Check Periodo Ref.]:[Check Periodo Ref.]]="Dentro",IF(DATOS_[[Check Equiparado]:[Check Equiparado]]="Sí",IF(DATOS!AL$5="Sí",(1/DATOS_[[% anualiz]:[% anualiz]]),1)*IF(DATOS!AL$4="Sí",1/DATOS_[[% normaliz]:[% normaliz]],1)*(DATOS_[Conc.Sal.08])))))))),
0)</f>
        <v>0</v>
      </c>
      <c r="R29" s="196">
        <f t="array" ref="R29">IFERROR(
(AVERAGE((IF(DATOS_[[Sexo]:[Sexo]]=$B29,IF(DATOS_[[AGRUP. VALOR. PTO.]:[AGRUP. VALOR. PTO.]]=$B27,IF(DATOS_[[Check Periodo Ref.]:[Check Periodo Ref.]]="Dentro",IF(DATOS_[[Check Equiparado]:[Check Equiparado]]="Sí",IF(DATOS!AM$5="Sí",(1/DATOS_[[% anualiz]:[% anualiz]]),1)*IF(DATOS!AM$4="Sí",1/DATOS_[[% normaliz]:[% normaliz]],1)*(DATOS_[Conc.Sal.09])))))))),
0)</f>
        <v>0</v>
      </c>
      <c r="S29" s="196">
        <f t="array" ref="S29">IFERROR(
(AVERAGE((IF(DATOS_[[Sexo]:[Sexo]]=$B29,IF(DATOS_[[AGRUP. VALOR. PTO.]:[AGRUP. VALOR. PTO.]]=$B27,IF(DATOS_[[Check Periodo Ref.]:[Check Periodo Ref.]]="Dentro",IF(DATOS_[[Check Equiparado]:[Check Equiparado]]="Sí",IF(DATOS!AN$5="Sí",(1/DATOS_[[% anualiz]:[% anualiz]]),1)*IF(DATOS!AN$4="Sí",1/DATOS_[[% normaliz]:[% normaliz]],1)*(DATOS_[Conc.Sal.10])))))))),
0)</f>
        <v>0</v>
      </c>
      <c r="T29" s="196">
        <f t="array" ref="T29">IFERROR(
(AVERAGE((IF(DATOS_[[Sexo]:[Sexo]]=$B29,IF(DATOS_[[AGRUP. VALOR. PTO.]:[AGRUP. VALOR. PTO.]]=$B27,IF(DATOS_[[Check Periodo Ref.]:[Check Periodo Ref.]]="Dentro",IF(DATOS_[[Check Equiparado]:[Check Equiparado]]="Sí",IF(DATOS!AO$5="Sí",(1/DATOS_[[% anualiz]:[% anualiz]]),1)*IF(DATOS!AO$4="Sí",1/DATOS_[[% normaliz]:[% normaliz]],1)*(DATOS_[Conc.Sal.11])))))))),
0)</f>
        <v>0</v>
      </c>
      <c r="U29" s="196">
        <f t="array" ref="U29">IFERROR(
(AVERAGE((IF(DATOS_[[Sexo]:[Sexo]]=$B29,IF(DATOS_[[AGRUP. VALOR. PTO.]:[AGRUP. VALOR. PTO.]]=$B27,IF(DATOS_[[Check Periodo Ref.]:[Check Periodo Ref.]]="Dentro",IF(DATOS_[[Check Equiparado]:[Check Equiparado]]="Sí",IF(DATOS!AP$5="Sí",(1/DATOS_[[% anualiz]:[% anualiz]]),1)*IF(DATOS!AP$4="Sí",1/DATOS_[[% normaliz]:[% normaliz]],1)*(DATOS_[Conc.Sal.12])))))))),
0)</f>
        <v>0</v>
      </c>
      <c r="V29" s="196">
        <f t="array" ref="V29">IFERROR(
(AVERAGE((IF(DATOS_[[Sexo]:[Sexo]]=$B29,IF(DATOS_[[AGRUP. VALOR. PTO.]:[AGRUP. VALOR. PTO.]]=$B27,IF(DATOS_[[Check Periodo Ref.]:[Check Periodo Ref.]]="Dentro",IF(DATOS_[[Check Equiparado]:[Check Equiparado]]="Sí",IF(DATOS!AQ$5="Sí",(1/DATOS_[[% anualiz]:[% anualiz]]),1)*IF(DATOS!AQ$4="Sí",1/DATOS_[[% normaliz]:[% normaliz]],1)*(DATOS_[Conc.Sal.13])))))))),
0)</f>
        <v>0</v>
      </c>
      <c r="W29" s="196">
        <f t="array" ref="W29">IFERROR(
(AVERAGE((IF(DATOS_[[Sexo]:[Sexo]]=$B29,IF(DATOS_[[AGRUP. VALOR. PTO.]:[AGRUP. VALOR. PTO.]]=$B27,IF(DATOS_[[Check Periodo Ref.]:[Check Periodo Ref.]]="Dentro",IF(DATOS_[[Check Equiparado]:[Check Equiparado]]="Sí",IF(DATOS!AR$5="Sí",(1/DATOS_[[% anualiz]:[% anualiz]]),1)*IF(DATOS!AR$4="Sí",1/DATOS_[[% normaliz]:[% normaliz]],1)*(DATOS_[Conc.Sal.14])))))))),
0)</f>
        <v>0</v>
      </c>
      <c r="X29" s="196">
        <f t="array" ref="X29">IFERROR(
(AVERAGE((IF(DATOS_[[Sexo]:[Sexo]]=$B29,IF(DATOS_[[AGRUP. VALOR. PTO.]:[AGRUP. VALOR. PTO.]]=$B27,IF(DATOS_[[Check Periodo Ref.]:[Check Periodo Ref.]]="Dentro",IF(DATOS_[[Check Equiparado]:[Check Equiparado]]="Sí",IF(DATOS!AS$5="Sí",(1/DATOS_[[% anualiz]:[% anualiz]]),1)*IF(DATOS!AS$4="Sí",1/DATOS_[[% normaliz]:[% normaliz]],1)*(DATOS_[Conc.Sal.15])))))))),
0)</f>
        <v>0</v>
      </c>
      <c r="Y29" s="196">
        <f t="array" ref="Y29">IFERROR(
(AVERAGE((IF(DATOS_[[Sexo]:[Sexo]]=$B29,IF(DATOS_[[AGRUP. VALOR. PTO.]:[AGRUP. VALOR. PTO.]]=$B27,IF(DATOS_[[Check Periodo Ref.]:[Check Periodo Ref.]]="Dentro",IF(DATOS_[[Check Equiparado]:[Check Equiparado]]="Sí",IF(DATOS!AT$5="Sí",(1/DATOS_[[% anualiz]:[% anualiz]]),1)*IF(DATOS!AT$4="Sí",1/DATOS_[[% normaliz]:[% normaliz]],1)*(DATOS_[Conc.Sal.16])))))))),
0)</f>
        <v>0</v>
      </c>
      <c r="Z29" s="196">
        <f t="array" ref="Z29">IFERROR(
(AVERAGE((IF(DATOS_[[Sexo]:[Sexo]]=$B29,IF(DATOS_[[AGRUP. VALOR. PTO.]:[AGRUP. VALOR. PTO.]]=$B27,IF(DATOS_[[Check Periodo Ref.]:[Check Periodo Ref.]]="Dentro",IF(DATOS_[[Check Equiparado]:[Check Equiparado]]="Sí",IF(DATOS!AU$5="Sí",(1/DATOS_[[% anualiz]:[% anualiz]]),1)*IF(DATOS!AU$4="Sí",1/DATOS_[[% normaliz]:[% normaliz]],1)*(DATOS_[Conc.Sal.17])))))))),
0)</f>
        <v>0</v>
      </c>
      <c r="AA29" s="196">
        <f t="array" ref="AA29">IFERROR(
(AVERAGE((IF(DATOS_[[Sexo]:[Sexo]]=$B29,IF(DATOS_[[AGRUP. VALOR. PTO.]:[AGRUP. VALOR. PTO.]]=$B27,IF(DATOS_[[Check Periodo Ref.]:[Check Periodo Ref.]]="Dentro",IF(DATOS_[[Check Equiparado]:[Check Equiparado]]="Sí",IF(DATOS!AV$5="Sí",(1/DATOS_[[% anualiz]:[% anualiz]]),1)*IF(DATOS!AV$4="Sí",1/DATOS_[[% normaliz]:[% normaliz]],1)*(DATOS_[Conc.Sal.18])))))))),
0)</f>
        <v>0</v>
      </c>
      <c r="AB29" s="196">
        <f t="array" ref="AB29">IFERROR(
(AVERAGE((IF(DATOS_[[Sexo]:[Sexo]]=$B29,IF(DATOS_[[AGRUP. VALOR. PTO.]:[AGRUP. VALOR. PTO.]]=$B27,IF(DATOS_[[Check Periodo Ref.]:[Check Periodo Ref.]]="Dentro",IF(DATOS_[[Check Equiparado]:[Check Equiparado]]="Sí",IF(DATOS!AW$5="Sí",(1/DATOS_[[% anualiz]:[% anualiz]]),1)*IF(DATOS!AW$4="Sí",1/DATOS_[[% normaliz]:[% normaliz]],1)*(DATOS_[Conc.Sal.19])))))))),
0)</f>
        <v>0</v>
      </c>
      <c r="AC29" s="196">
        <f t="array" ref="AC29">IFERROR(
(AVERAGE((IF(DATOS_[[Sexo]:[Sexo]]=$B29,IF(DATOS_[[AGRUP. VALOR. PTO.]:[AGRUP. VALOR. PTO.]]=$B27,IF(DATOS_[[Check Periodo Ref.]:[Check Periodo Ref.]]="Dentro",IF(DATOS_[[Check Equiparado]:[Check Equiparado]]="Sí",IF(DATOS!AX$5="Sí",(1/DATOS_[[% anualiz]:[% anualiz]]),1)*IF(DATOS!AX$4="Sí",1/DATOS_[[% normaliz]:[% normaliz]],1)*(DATOS_[Conc.Sal.20])))))))),
0)</f>
        <v>0</v>
      </c>
      <c r="AD29" s="196">
        <f t="array" ref="AD29">IFERROR(
(AVERAGE((IF(DATOS_[[Sexo]:[Sexo]]=$B29,IF(DATOS_[[AGRUP. VALOR. PTO.]:[AGRUP. VALOR. PTO.]]=$B27,IF(DATOS_[[Check Periodo Ref.]:[Check Periodo Ref.]]="Dentro",IF(DATOS_[[Check Equiparado]:[Check Equiparado]]="Sí",IF(DATOS!AY$5="Sí",(1/DATOS_[[% anualiz]:[% anualiz]]),1)*IF(DATOS!AY$4="Sí",1/DATOS_[[% normaliz]:[% normaliz]],1)*(DATOS_[Conc.Sal.21])))))))),
0)</f>
        <v>0</v>
      </c>
      <c r="AE29" s="196">
        <f t="array" ref="AE29">IFERROR(
(AVERAGE((IF(DATOS_[[Sexo]:[Sexo]]=$B29,IF(DATOS_[[AGRUP. VALOR. PTO.]:[AGRUP. VALOR. PTO.]]=$B27,IF(DATOS_[[Check Periodo Ref.]:[Check Periodo Ref.]]="Dentro",IF(DATOS_[[Check Equiparado]:[Check Equiparado]]="Sí",IF(DATOS!AZ$5="Sí",(1/DATOS_[[% anualiz]:[% anualiz]]),1)*IF(DATOS!AZ$4="Sí",1/DATOS_[[% normaliz]:[% normaliz]],1)*(DATOS_[Conc.Sal.22])))))))),
0)</f>
        <v>0</v>
      </c>
      <c r="AF29" s="196">
        <f t="array" ref="AF29">IFERROR(
(AVERAGE((IF(DATOS_[[Sexo]:[Sexo]]=$B29,IF(DATOS_[[AGRUP. VALOR. PTO.]:[AGRUP. VALOR. PTO.]]=$B27,IF(DATOS_[[Check Periodo Ref.]:[Check Periodo Ref.]]="Dentro",IF(DATOS_[[Check Equiparado]:[Check Equiparado]]="Sí",IF(DATOS!BA$5="Sí",(1/DATOS_[[% anualiz]:[% anualiz]]),1)*IF(DATOS!BA$4="Sí",1/DATOS_[[% normaliz]:[% normaliz]],1)*(DATOS_[Conc.Sal.23])))))))),
0)</f>
        <v>0</v>
      </c>
      <c r="AG29" s="196">
        <f t="array" ref="AG29">IFERROR(
(AVERAGE((IF(DATOS_[[Sexo]:[Sexo]]=$B29,IF(DATOS_[[AGRUP. VALOR. PTO.]:[AGRUP. VALOR. PTO.]]=$B27,IF(DATOS_[[Check Periodo Ref.]:[Check Periodo Ref.]]="Dentro",IF(DATOS_[[Check Equiparado]:[Check Equiparado]]="Sí",IF(DATOS!BB$5="Sí",(1/DATOS_[[% anualiz]:[% anualiz]]),1)*IF(DATOS!BB$4="Sí",1/DATOS_[[% normaliz]:[% normaliz]],1)*(DATOS_[Conc.Sal.24])))))))),
0)</f>
        <v>0</v>
      </c>
      <c r="AH29" s="196">
        <f t="array" ref="AH29">IFERROR(
(AVERAGE((IF(DATOS_[[Sexo]:[Sexo]]=$B29,IF(DATOS_[[AGRUP. VALOR. PTO.]:[AGRUP. VALOR. PTO.]]=$B27,IF(DATOS_[[Check Periodo Ref.]:[Check Periodo Ref.]]="Dentro",IF(DATOS_[[Check Equiparado]:[Check Equiparado]]="Sí",IF(DATOS!BC$5="Sí",(1/DATOS_[[% anualiz]:[% anualiz]]),1)*IF(DATOS!BC$4="Sí",1/DATOS_[[% normaliz]:[% normaliz]],1)*(DATOS_[Conc.Sal.25])))))))),
0)</f>
        <v>0</v>
      </c>
      <c r="AI29" s="196">
        <f t="array" ref="AI29">IFERROR(
(AVERAGE((IF(DATOS_[[Sexo]:[Sexo]]=$B29,IF(DATOS_[[AGRUP. VALOR. PTO.]:[AGRUP. VALOR. PTO.]]=$B27,IF(DATOS_[[Check Periodo Ref.]:[Check Periodo Ref.]]="Dentro",IF(DATOS_[[Check Equiparado]:[Check Equiparado]]="Sí",IF(DATOS!BD$5="Sí",(1/DATOS_[[% anualiz]:[% anualiz]]),1)*IF(DATOS!BD$4="Sí",1/DATOS_[[% normaliz]:[% normaliz]],1)*(DATOS_[Conc.Sal.26])))))))),
0)</f>
        <v>0</v>
      </c>
      <c r="AJ29" s="196">
        <f t="array" ref="AJ29">IFERROR(
(AVERAGE((IF(DATOS_[[Sexo]:[Sexo]]=$B29,IF(DATOS_[[AGRUP. VALOR. PTO.]:[AGRUP. VALOR. PTO.]]=$B27,IF(DATOS_[[Check Periodo Ref.]:[Check Periodo Ref.]]="Dentro",IF(DATOS_[[Check Equiparado]:[Check Equiparado]]="Sí",IF(DATOS!BE$5="Sí",(1/DATOS_[[% anualiz]:[% anualiz]]),1)*IF(DATOS!BE$4="Sí",1/DATOS_[[% normaliz]:[% normaliz]],1)*(DATOS_[Conc.Sal.27])))))))),
0)</f>
        <v>0</v>
      </c>
      <c r="AK29" s="196">
        <f t="array" ref="AK29">IFERROR(
(AVERAGE((IF(DATOS_[[Sexo]:[Sexo]]=$B29,IF(DATOS_[[AGRUP. VALOR. PTO.]:[AGRUP. VALOR. PTO.]]=$B27,IF(DATOS_[[Check Periodo Ref.]:[Check Periodo Ref.]]="Dentro",IF(DATOS_[[Check Equiparado]:[Check Equiparado]]="Sí",IF(DATOS!BF$5="Sí",(1/DATOS_[[% anualiz]:[% anualiz]]),1)*IF(DATOS!BF$4="Sí",1/DATOS_[[% normaliz]:[% normaliz]],1)*(DATOS_[Conc.Sal.28])))))))),
0)</f>
        <v>0</v>
      </c>
      <c r="AL29" s="196">
        <f t="array" ref="AL29">IFERROR(
(AVERAGE((IF(DATOS_[[Sexo]:[Sexo]]=$B29,IF(DATOS_[[AGRUP. VALOR. PTO.]:[AGRUP. VALOR. PTO.]]=$B27,IF(DATOS_[[Check Periodo Ref.]:[Check Periodo Ref.]]="Dentro",IF(DATOS_[[Check Equiparado]:[Check Equiparado]]="Sí",IF(DATOS!BG$5="Sí",(1/DATOS_[[% anualiz]:[% anualiz]]),1)*IF(DATOS!BG$4="Sí",1/DATOS_[[% normaliz]:[% normaliz]],1)*(DATOS_[Conc.Sal.29])))))))),
0)</f>
        <v>0</v>
      </c>
      <c r="AM29" s="196">
        <f t="array" ref="AM29">IFERROR(
(AVERAGE((IF(DATOS_[[Sexo]:[Sexo]]=$B29,IF(DATOS_[[AGRUP. VALOR. PTO.]:[AGRUP. VALOR. PTO.]]=$B27,IF(DATOS_[[Check Periodo Ref.]:[Check Periodo Ref.]]="Dentro",IF(DATOS_[[Check Equiparado]:[Check Equiparado]]="Sí",IF(DATOS!BH$5="Sí",(1/DATOS_[[% anualiz]:[% anualiz]]),1)*IF(DATOS!BH$4="Sí",1/DATOS_[[% normaliz]:[% normaliz]],1)*(DATOS_[Conc.Sal.30])))))))),
0)</f>
        <v>0</v>
      </c>
      <c r="AN29" s="195">
        <f t="array" ref="AN29">IFERROR(
AVERAGE(IF(DATOS_[Sexo]=$B29,IF(DATOS_[[AGRUP. VALOR. PTO.]:[AGRUP. VALOR. PTO.]]=$B27,IF(DATOS_[Check Equiparado]="Sí",IF(DATOS_[Check Periodo Ref.]="Dentro",DATOS_[Tot COMPL.SAL Eq],FALSE))))),
0)</f>
        <v>0</v>
      </c>
      <c r="AO29" s="172">
        <f t="array" ref="AO29">IFERROR(
AVERAGE(IF(DATOS_[Sexo]=$B29,IF(DATOS_[[AGRUP. VALOR. PTO.]:[AGRUP. VALOR. PTO.]]=$B27,IF(DATOS_[Check Equiparado]="Sí",IF(DATOS_[Check Periodo Ref.]="Dentro",DATOS_[TOTAL SALARIO Eq],FALSE))))),
0)</f>
        <v>0</v>
      </c>
      <c r="AP29" s="173">
        <f t="array" ref="AP29">IFERROR(
(AVERAGE((IF(DATOS_[[Sexo]:[Sexo]]=$B29,IF(DATOS_[[AGRUP. VALOR. PTO.]:[AGRUP. VALOR. PTO.]]=$B27,IF(DATOS_[[Check Periodo Ref.]:[Check Periodo Ref.]]="Dentro",IF(DATOS_[[Check Equiparado]:[Check Equiparado]]="Sí",IF(DATOS!BW$5="Sí",(1/DATOS_[[% anualiz]:[% anualiz]]),1)*IF(DATOS!BW$4="Sí",1/DATOS_[[% normaliz]:[% normaliz]],1)*(DATOS_[C.Extra.01])))))))),
0)</f>
        <v>0</v>
      </c>
      <c r="AQ29" s="173">
        <f t="array" ref="AQ29">IFERROR(
(AVERAGE((IF(DATOS_[[Sexo]:[Sexo]]=$B29,IF(DATOS_[[AGRUP. VALOR. PTO.]:[AGRUP. VALOR. PTO.]]=$B27,IF(DATOS_[[Check Periodo Ref.]:[Check Periodo Ref.]]="Dentro",IF(DATOS_[[Check Equiparado]:[Check Equiparado]]="Sí",IF(DATOS!CB$5="Sí",(1/DATOS_[[% anualiz]:[% anualiz]]),1)*IF(DATOS!CB$4="Sí",1/DATOS_[[% normaliz]:[% normaliz]],1)*(DATOS_[C.Extra.06])))))))),
0)</f>
        <v>0</v>
      </c>
      <c r="AR29" s="173">
        <f t="array" ref="AR29">IFERROR(
(AVERAGE((IF(DATOS_[[Sexo]:[Sexo]]=$B29,IF(DATOS_[[AGRUP. VALOR. PTO.]:[AGRUP. VALOR. PTO.]]=$B27,IF(DATOS_[[Check Periodo Ref.]:[Check Periodo Ref.]]="Dentro",IF(DATOS_[[Check Equiparado]:[Check Equiparado]]="Sí",IF(DATOS!CC$5="Sí",(1/DATOS_[[% anualiz]:[% anualiz]]),1)*IF(DATOS!CC$4="Sí",1/DATOS_[[% normaliz]:[% normaliz]],1)*(DATOS_[C.Extra.07])))))))),
0)</f>
        <v>0</v>
      </c>
      <c r="AS29" s="173">
        <f t="array" ref="AS29">IFERROR(
(AVERAGE((IF(DATOS_[[Sexo]:[Sexo]]=$B29,IF(DATOS_[[AGRUP. VALOR. PTO.]:[AGRUP. VALOR. PTO.]]=$B27,IF(DATOS_[[Check Periodo Ref.]:[Check Periodo Ref.]]="Dentro",IF(DATOS_[[Check Equiparado]:[Check Equiparado]]="Sí",IF(DATOS!CD$5="Sí",(1/DATOS_[[% anualiz]:[% anualiz]]),1)*IF(DATOS!CD$4="Sí",1/DATOS_[[% normaliz]:[% normaliz]],1)*(DATOS_[C.Extra.08])))))))),
0)</f>
        <v>0</v>
      </c>
      <c r="AT29" s="173">
        <f t="array" ref="AT29">IFERROR(
(AVERAGE((IF(DATOS_[[Sexo]:[Sexo]]=$B29,IF(DATOS_[[AGRUP. VALOR. PTO.]:[AGRUP. VALOR. PTO.]]=$B27,IF(DATOS_[[Check Periodo Ref.]:[Check Periodo Ref.]]="Dentro",IF(DATOS_[[Check Equiparado]:[Check Equiparado]]="Sí",IF(DATOS!CG$5="Sí",(1/DATOS_[[% anualiz]:[% anualiz]]),1)*IF(DATOS!CG$4="Sí",1/DATOS_[[% normaliz]:[% normaliz]],1)*(DATOS_[C.Extra.11])))))))),
0)</f>
        <v>0</v>
      </c>
      <c r="AU29" s="197">
        <f t="array" ref="AU29">IFERROR(
AVERAGE(IF(DATOS_[Sexo]=$B29,IF(DATOS_[[AGRUP. VALOR. PTO.]:[AGRUP. VALOR. PTO.]]=$B27,IF(DATOS_[Check Equiparado]="Sí",IF(DATOS_[Check Periodo Ref.]="Dentro",DATOS_[Tot Extrasalarial Eq],FALSE))))),
0)</f>
        <v>0</v>
      </c>
      <c r="AV29" s="175">
        <f t="array" ref="AV29">IFERROR(
AVERAGE(IF(DATOS_[Sexo]=$B29,IF(DATOS_[[AGRUP. VALOR. PTO.]:[AGRUP. VALOR. PTO.]]=$B27,IF(DATOS_[Check Equiparado]="Sí",IF(DATOS_[Check Periodo Ref.]="Dentro",DATOS_[TOTAL Retrib Eq],FALSE))))),
0)</f>
        <v>0</v>
      </c>
    </row>
    <row r="30" spans="1:48" ht="15.6" thickBot="1" x14ac:dyDescent="0.3">
      <c r="A30" s="133" t="str">
        <f t="shared" ref="A30" si="23">+A31</f>
        <v>[ocultar]</v>
      </c>
      <c r="B30" s="199" t="s">
        <v>196</v>
      </c>
      <c r="C30" s="200"/>
      <c r="D30" s="201"/>
      <c r="E30" s="201"/>
      <c r="F30" s="201"/>
      <c r="G30" s="201"/>
      <c r="H30" s="201"/>
      <c r="I30" s="189" t="str">
        <f t="shared" ref="I30:AV30" si="24">IFERROR((I31-I32)/I31,"")</f>
        <v/>
      </c>
      <c r="J30" s="190" t="str">
        <f t="shared" si="24"/>
        <v/>
      </c>
      <c r="K30" s="191" t="str">
        <f t="shared" si="24"/>
        <v/>
      </c>
      <c r="L30" s="191" t="str">
        <f t="shared" si="24"/>
        <v/>
      </c>
      <c r="M30" s="191" t="str">
        <f t="shared" si="24"/>
        <v/>
      </c>
      <c r="N30" s="192" t="str">
        <f t="shared" si="24"/>
        <v/>
      </c>
      <c r="O30" s="193" t="str">
        <f t="shared" si="24"/>
        <v/>
      </c>
      <c r="P30" s="193" t="str">
        <f t="shared" si="24"/>
        <v/>
      </c>
      <c r="Q30" s="193" t="str">
        <f t="shared" si="24"/>
        <v/>
      </c>
      <c r="R30" s="193" t="str">
        <f t="shared" si="24"/>
        <v/>
      </c>
      <c r="S30" s="193" t="str">
        <f t="shared" si="24"/>
        <v/>
      </c>
      <c r="T30" s="193" t="str">
        <f t="shared" si="24"/>
        <v/>
      </c>
      <c r="U30" s="193" t="str">
        <f t="shared" si="24"/>
        <v/>
      </c>
      <c r="V30" s="193" t="str">
        <f t="shared" si="24"/>
        <v/>
      </c>
      <c r="W30" s="193" t="str">
        <f t="shared" si="24"/>
        <v/>
      </c>
      <c r="X30" s="193" t="str">
        <f t="shared" si="24"/>
        <v/>
      </c>
      <c r="Y30" s="193" t="str">
        <f t="shared" si="24"/>
        <v/>
      </c>
      <c r="Z30" s="193" t="str">
        <f t="shared" si="24"/>
        <v/>
      </c>
      <c r="AA30" s="193" t="str">
        <f t="shared" si="24"/>
        <v/>
      </c>
      <c r="AB30" s="193" t="str">
        <f t="shared" si="24"/>
        <v/>
      </c>
      <c r="AC30" s="193" t="str">
        <f t="shared" si="24"/>
        <v/>
      </c>
      <c r="AD30" s="193" t="str">
        <f t="shared" si="24"/>
        <v/>
      </c>
      <c r="AE30" s="193" t="str">
        <f t="shared" si="24"/>
        <v/>
      </c>
      <c r="AF30" s="193" t="str">
        <f t="shared" si="24"/>
        <v/>
      </c>
      <c r="AG30" s="193" t="str">
        <f t="shared" si="24"/>
        <v/>
      </c>
      <c r="AH30" s="193" t="str">
        <f t="shared" si="24"/>
        <v/>
      </c>
      <c r="AI30" s="193" t="str">
        <f t="shared" si="24"/>
        <v/>
      </c>
      <c r="AJ30" s="193" t="str">
        <f t="shared" si="24"/>
        <v/>
      </c>
      <c r="AK30" s="193" t="str">
        <f t="shared" si="24"/>
        <v/>
      </c>
      <c r="AL30" s="193" t="str">
        <f t="shared" si="24"/>
        <v/>
      </c>
      <c r="AM30" s="193" t="str">
        <f t="shared" si="24"/>
        <v/>
      </c>
      <c r="AN30" s="189" t="str">
        <f t="shared" si="24"/>
        <v/>
      </c>
      <c r="AO30" s="162" t="str">
        <f t="shared" si="24"/>
        <v/>
      </c>
      <c r="AP30" s="163" t="str">
        <f t="shared" si="24"/>
        <v/>
      </c>
      <c r="AQ30" s="163" t="str">
        <f t="shared" si="24"/>
        <v/>
      </c>
      <c r="AR30" s="163" t="str">
        <f t="shared" si="24"/>
        <v/>
      </c>
      <c r="AS30" s="163" t="str">
        <f t="shared" si="24"/>
        <v/>
      </c>
      <c r="AT30" s="163" t="str">
        <f t="shared" si="24"/>
        <v/>
      </c>
      <c r="AU30" s="194" t="str">
        <f t="shared" si="24"/>
        <v/>
      </c>
      <c r="AV30" s="165" t="str">
        <f t="shared" si="24"/>
        <v/>
      </c>
    </row>
    <row r="31" spans="1:48" x14ac:dyDescent="0.25">
      <c r="A31" s="133" t="str">
        <f t="shared" ref="A31" si="25">+IF(C31+C32=0,"[ocultar]","")</f>
        <v>[ocultar]</v>
      </c>
      <c r="B31" s="202" t="s">
        <v>394</v>
      </c>
      <c r="C31" s="203">
        <f t="array" ref="C31">SUM(IF($B31=DATOS_[Sexo],
IF($B30=DATOS_[AGRUP. VALOR. PTO.],
IF("Dentro"=DATOS_[Check Periodo Ref.],
1/(COUNTIFS(DATOS_[Sexo],$B31,DATOS_[AGRUP. VALOR. PTO.],$B30,DATOS_[Check Periodo Ref.],"Dentro",DATOS_[id/cod],DATOS_[id/cod]))))))</f>
        <v>0</v>
      </c>
      <c r="D31" s="204">
        <f>COUNTIFS(DATOS_[AGRUP. VALOR. PTO.],$B30,DATOS_[Sexo],$B31,DATOS_[Check Periodo Ref.],"Dentro")</f>
        <v>0</v>
      </c>
      <c r="E31" s="204">
        <f>COUNTIFS(DATOS_[AGRUP. VALOR. PTO.],$B30,DATOS_[Sexo],$B31,DATOS_[Check Periodo Ref.],"Dentro",DATOS_[Check Nº SC Norm],"Sí")</f>
        <v>0</v>
      </c>
      <c r="F31" s="204">
        <f>COUNTIFS(DATOS_[AGRUP. VALOR. PTO.],$B30,DATOS_[Sexo],$B31,DATOS_[Check Periodo Ref.],"Dentro",DATOS_[Check Nº SC Anualiz],"Sí")</f>
        <v>0</v>
      </c>
      <c r="G31" s="204">
        <f>COUNTIFS(DATOS_[AGRUP. VALOR. PTO.],$B30,DATOS_[Sexo],$B31,DATOS_[Check Periodo Ref.],"Dentro",DATOS_[Check Nº SC Norm y Anualiz],"Sí")</f>
        <v>0</v>
      </c>
      <c r="H31" s="204">
        <f>COUNTIFS(DATOS_[AGRUP. VALOR. PTO.],$B30,DATOS_[Sexo],$B31,DATOS_[Check Periodo Ref.],"Dentro",DATOS_[Check Equiparación],"Sí")</f>
        <v>0</v>
      </c>
      <c r="I31" s="195">
        <f t="array" ref="I31">IFERROR(
AVERAGE(IF(DATOS_[Sexo]=$B31,IF(DATOS_[[AGRUP. VALOR. PTO.]:[AGRUP. VALOR. PTO.]]=$B30,IF(DATOS_[Check Equiparado]="Sí",IF(DATOS_[Check Periodo Ref.]="Dentro",DATOS_[SALARIO BASE Eq],FALSE))))),
0)</f>
        <v>0</v>
      </c>
      <c r="J31" s="196">
        <f t="array" ref="J31">IFERROR(
(AVERAGE((IF(DATOS_[[Sexo]:[Sexo]]=$B31,IF(DATOS_[[AGRUP. VALOR. PTO.]:[AGRUP. VALOR. PTO.]]=$B30,IF(DATOS_[[Check Periodo Ref.]:[Check Periodo Ref.]]="Dentro",IF(DATOS_[[Check Equiparado]:[Check Equiparado]]="Sí",IF(DATOS!AE$5="Sí",(1/DATOS_[[% anualiz]:[% anualiz]]),1)*IF(DATOS!AE$4="Sí",1/DATOS_[[% normaliz]:[% normaliz]],1)*(DATOS_[Conc.Sal.01])))))))),
0)</f>
        <v>0</v>
      </c>
      <c r="K31" s="196">
        <f t="array" ref="K31">IFERROR(
(AVERAGE((IF(DATOS_[[Sexo]:[Sexo]]=$B31,IF(DATOS_[[AGRUP. VALOR. PTO.]:[AGRUP. VALOR. PTO.]]=$B30,IF(DATOS_[[Check Periodo Ref.]:[Check Periodo Ref.]]="Dentro",IF(DATOS_[[Check Equiparado]:[Check Equiparado]]="Sí",IF(DATOS!AF$5="Sí",(1/DATOS_[[% anualiz]:[% anualiz]]),1)*IF(DATOS!AF$4="Sí",1/DATOS_[[% normaliz]:[% normaliz]],1)*(DATOS_[Conc.Sal.02])))))))),
0)</f>
        <v>0</v>
      </c>
      <c r="L31" s="196">
        <f t="array" ref="L31">IFERROR(
(AVERAGE((IF(DATOS_[[Sexo]:[Sexo]]=$B31,IF(DATOS_[[AGRUP. VALOR. PTO.]:[AGRUP. VALOR. PTO.]]=$B30,IF(DATOS_[[Check Periodo Ref.]:[Check Periodo Ref.]]="Dentro",IF(DATOS_[[Check Equiparado]:[Check Equiparado]]="Sí",IF(DATOS!AG$5="Sí",(1/DATOS_[[% anualiz]:[% anualiz]]),1)*IF(DATOS!AG$4="Sí",1/DATOS_[[% normaliz]:[% normaliz]],1)*(DATOS_[Conc.Sal.03])))))))),
0)</f>
        <v>0</v>
      </c>
      <c r="M31" s="196">
        <f t="array" ref="M31">IFERROR(
(AVERAGE((IF(DATOS_[[Sexo]:[Sexo]]=$B31,IF(DATOS_[[AGRUP. VALOR. PTO.]:[AGRUP. VALOR. PTO.]]=$B30,IF(DATOS_[[Check Periodo Ref.]:[Check Periodo Ref.]]="Dentro",IF(DATOS_[[Check Equiparado]:[Check Equiparado]]="Sí",IF(DATOS!AH$5="Sí",(1/DATOS_[[% anualiz]:[% anualiz]]),1)*IF(DATOS!AH$4="Sí",1/DATOS_[[% normaliz]:[% normaliz]],1)*(DATOS_[Conc.Sal.04])))))))),
0)</f>
        <v>0</v>
      </c>
      <c r="N31" s="196">
        <f t="array" ref="N31">IFERROR(
(AVERAGE((IF(DATOS_[[Sexo]:[Sexo]]=$B31,IF(DATOS_[[AGRUP. VALOR. PTO.]:[AGRUP. VALOR. PTO.]]=$B30,IF(DATOS_[[Check Periodo Ref.]:[Check Periodo Ref.]]="Dentro",IF(DATOS_[[Check Equiparado]:[Check Equiparado]]="Sí",IF(DATOS!AI$5="Sí",(1/DATOS_[[% anualiz]:[% anualiz]]),1)*IF(DATOS!AI$4="Sí",1/DATOS_[[% normaliz]:[% normaliz]],1)*(DATOS_[Conc.Sal.05])))))))),
0)</f>
        <v>0</v>
      </c>
      <c r="O31" s="196">
        <f t="array" ref="O31">IFERROR(
(AVERAGE((IF(DATOS_[[Sexo]:[Sexo]]=$B31,IF(DATOS_[[AGRUP. VALOR. PTO.]:[AGRUP. VALOR. PTO.]]=$B30,IF(DATOS_[[Check Periodo Ref.]:[Check Periodo Ref.]]="Dentro",IF(DATOS_[[Check Equiparado]:[Check Equiparado]]="Sí",IF(DATOS!AJ$5="Sí",(1/DATOS_[[% anualiz]:[% anualiz]]),1)*IF(DATOS!AJ$4="Sí",1/DATOS_[[% normaliz]:[% normaliz]],1)*(DATOS_[Conc.Sal.06])))))))),
0)</f>
        <v>0</v>
      </c>
      <c r="P31" s="196">
        <f t="array" ref="P31">IFERROR(
(AVERAGE((IF(DATOS_[[Sexo]:[Sexo]]=$B31,IF(DATOS_[[AGRUP. VALOR. PTO.]:[AGRUP. VALOR. PTO.]]=$B30,IF(DATOS_[[Check Periodo Ref.]:[Check Periodo Ref.]]="Dentro",IF(DATOS_[[Check Equiparado]:[Check Equiparado]]="Sí",IF(DATOS!AK$5="Sí",(1/DATOS_[[% anualiz]:[% anualiz]]),1)*IF(DATOS!AK$4="Sí",1/DATOS_[[% normaliz]:[% normaliz]],1)*(DATOS_[Conc.Sal.07])))))))),
0)</f>
        <v>0</v>
      </c>
      <c r="Q31" s="196">
        <f t="array" ref="Q31">IFERROR(
(AVERAGE((IF(DATOS_[[Sexo]:[Sexo]]=$B31,IF(DATOS_[[AGRUP. VALOR. PTO.]:[AGRUP. VALOR. PTO.]]=$B30,IF(DATOS_[[Check Periodo Ref.]:[Check Periodo Ref.]]="Dentro",IF(DATOS_[[Check Equiparado]:[Check Equiparado]]="Sí",IF(DATOS!AL$5="Sí",(1/DATOS_[[% anualiz]:[% anualiz]]),1)*IF(DATOS!AL$4="Sí",1/DATOS_[[% normaliz]:[% normaliz]],1)*(DATOS_[Conc.Sal.08])))))))),
0)</f>
        <v>0</v>
      </c>
      <c r="R31" s="196">
        <f t="array" ref="R31">IFERROR(
(AVERAGE((IF(DATOS_[[Sexo]:[Sexo]]=$B31,IF(DATOS_[[AGRUP. VALOR. PTO.]:[AGRUP. VALOR. PTO.]]=$B30,IF(DATOS_[[Check Periodo Ref.]:[Check Periodo Ref.]]="Dentro",IF(DATOS_[[Check Equiparado]:[Check Equiparado]]="Sí",IF(DATOS!AM$5="Sí",(1/DATOS_[[% anualiz]:[% anualiz]]),1)*IF(DATOS!AM$4="Sí",1/DATOS_[[% normaliz]:[% normaliz]],1)*(DATOS_[Conc.Sal.09])))))))),
0)</f>
        <v>0</v>
      </c>
      <c r="S31" s="196">
        <f t="array" ref="S31">IFERROR(
(AVERAGE((IF(DATOS_[[Sexo]:[Sexo]]=$B31,IF(DATOS_[[AGRUP. VALOR. PTO.]:[AGRUP. VALOR. PTO.]]=$B30,IF(DATOS_[[Check Periodo Ref.]:[Check Periodo Ref.]]="Dentro",IF(DATOS_[[Check Equiparado]:[Check Equiparado]]="Sí",IF(DATOS!AN$5="Sí",(1/DATOS_[[% anualiz]:[% anualiz]]),1)*IF(DATOS!AN$4="Sí",1/DATOS_[[% normaliz]:[% normaliz]],1)*(DATOS_[Conc.Sal.10])))))))),
0)</f>
        <v>0</v>
      </c>
      <c r="T31" s="196">
        <f t="array" ref="T31">IFERROR(
(AVERAGE((IF(DATOS_[[Sexo]:[Sexo]]=$B31,IF(DATOS_[[AGRUP. VALOR. PTO.]:[AGRUP. VALOR. PTO.]]=$B30,IF(DATOS_[[Check Periodo Ref.]:[Check Periodo Ref.]]="Dentro",IF(DATOS_[[Check Equiparado]:[Check Equiparado]]="Sí",IF(DATOS!AO$5="Sí",(1/DATOS_[[% anualiz]:[% anualiz]]),1)*IF(DATOS!AO$4="Sí",1/DATOS_[[% normaliz]:[% normaliz]],1)*(DATOS_[Conc.Sal.11])))))))),
0)</f>
        <v>0</v>
      </c>
      <c r="U31" s="196">
        <f t="array" ref="U31">IFERROR(
(AVERAGE((IF(DATOS_[[Sexo]:[Sexo]]=$B31,IF(DATOS_[[AGRUP. VALOR. PTO.]:[AGRUP. VALOR. PTO.]]=$B30,IF(DATOS_[[Check Periodo Ref.]:[Check Periodo Ref.]]="Dentro",IF(DATOS_[[Check Equiparado]:[Check Equiparado]]="Sí",IF(DATOS!AP$5="Sí",(1/DATOS_[[% anualiz]:[% anualiz]]),1)*IF(DATOS!AP$4="Sí",1/DATOS_[[% normaliz]:[% normaliz]],1)*(DATOS_[Conc.Sal.12])))))))),
0)</f>
        <v>0</v>
      </c>
      <c r="V31" s="196">
        <f t="array" ref="V31">IFERROR(
(AVERAGE((IF(DATOS_[[Sexo]:[Sexo]]=$B31,IF(DATOS_[[AGRUP. VALOR. PTO.]:[AGRUP. VALOR. PTO.]]=$B30,IF(DATOS_[[Check Periodo Ref.]:[Check Periodo Ref.]]="Dentro",IF(DATOS_[[Check Equiparado]:[Check Equiparado]]="Sí",IF(DATOS!AQ$5="Sí",(1/DATOS_[[% anualiz]:[% anualiz]]),1)*IF(DATOS!AQ$4="Sí",1/DATOS_[[% normaliz]:[% normaliz]],1)*(DATOS_[Conc.Sal.13])))))))),
0)</f>
        <v>0</v>
      </c>
      <c r="W31" s="196">
        <f t="array" ref="W31">IFERROR(
(AVERAGE((IF(DATOS_[[Sexo]:[Sexo]]=$B31,IF(DATOS_[[AGRUP. VALOR. PTO.]:[AGRUP. VALOR. PTO.]]=$B30,IF(DATOS_[[Check Periodo Ref.]:[Check Periodo Ref.]]="Dentro",IF(DATOS_[[Check Equiparado]:[Check Equiparado]]="Sí",IF(DATOS!AR$5="Sí",(1/DATOS_[[% anualiz]:[% anualiz]]),1)*IF(DATOS!AR$4="Sí",1/DATOS_[[% normaliz]:[% normaliz]],1)*(DATOS_[Conc.Sal.14])))))))),
0)</f>
        <v>0</v>
      </c>
      <c r="X31" s="196">
        <f t="array" ref="X31">IFERROR(
(AVERAGE((IF(DATOS_[[Sexo]:[Sexo]]=$B31,IF(DATOS_[[AGRUP. VALOR. PTO.]:[AGRUP. VALOR. PTO.]]=$B30,IF(DATOS_[[Check Periodo Ref.]:[Check Periodo Ref.]]="Dentro",IF(DATOS_[[Check Equiparado]:[Check Equiparado]]="Sí",IF(DATOS!AS$5="Sí",(1/DATOS_[[% anualiz]:[% anualiz]]),1)*IF(DATOS!AS$4="Sí",1/DATOS_[[% normaliz]:[% normaliz]],1)*(DATOS_[Conc.Sal.15])))))))),
0)</f>
        <v>0</v>
      </c>
      <c r="Y31" s="196">
        <f t="array" ref="Y31">IFERROR(
(AVERAGE((IF(DATOS_[[Sexo]:[Sexo]]=$B31,IF(DATOS_[[AGRUP. VALOR. PTO.]:[AGRUP. VALOR. PTO.]]=$B30,IF(DATOS_[[Check Periodo Ref.]:[Check Periodo Ref.]]="Dentro",IF(DATOS_[[Check Equiparado]:[Check Equiparado]]="Sí",IF(DATOS!AT$5="Sí",(1/DATOS_[[% anualiz]:[% anualiz]]),1)*IF(DATOS!AT$4="Sí",1/DATOS_[[% normaliz]:[% normaliz]],1)*(DATOS_[Conc.Sal.16])))))))),
0)</f>
        <v>0</v>
      </c>
      <c r="Z31" s="196">
        <f t="array" ref="Z31">IFERROR(
(AVERAGE((IF(DATOS_[[Sexo]:[Sexo]]=$B31,IF(DATOS_[[AGRUP. VALOR. PTO.]:[AGRUP. VALOR. PTO.]]=$B30,IF(DATOS_[[Check Periodo Ref.]:[Check Periodo Ref.]]="Dentro",IF(DATOS_[[Check Equiparado]:[Check Equiparado]]="Sí",IF(DATOS!AU$5="Sí",(1/DATOS_[[% anualiz]:[% anualiz]]),1)*IF(DATOS!AU$4="Sí",1/DATOS_[[% normaliz]:[% normaliz]],1)*(DATOS_[Conc.Sal.17])))))))),
0)</f>
        <v>0</v>
      </c>
      <c r="AA31" s="196">
        <f t="array" ref="AA31">IFERROR(
(AVERAGE((IF(DATOS_[[Sexo]:[Sexo]]=$B31,IF(DATOS_[[AGRUP. VALOR. PTO.]:[AGRUP. VALOR. PTO.]]=$B30,IF(DATOS_[[Check Periodo Ref.]:[Check Periodo Ref.]]="Dentro",IF(DATOS_[[Check Equiparado]:[Check Equiparado]]="Sí",IF(DATOS!AV$5="Sí",(1/DATOS_[[% anualiz]:[% anualiz]]),1)*IF(DATOS!AV$4="Sí",1/DATOS_[[% normaliz]:[% normaliz]],1)*(DATOS_[Conc.Sal.18])))))))),
0)</f>
        <v>0</v>
      </c>
      <c r="AB31" s="196">
        <f t="array" ref="AB31">IFERROR(
(AVERAGE((IF(DATOS_[[Sexo]:[Sexo]]=$B31,IF(DATOS_[[AGRUP. VALOR. PTO.]:[AGRUP. VALOR. PTO.]]=$B30,IF(DATOS_[[Check Periodo Ref.]:[Check Periodo Ref.]]="Dentro",IF(DATOS_[[Check Equiparado]:[Check Equiparado]]="Sí",IF(DATOS!AW$5="Sí",(1/DATOS_[[% anualiz]:[% anualiz]]),1)*IF(DATOS!AW$4="Sí",1/DATOS_[[% normaliz]:[% normaliz]],1)*(DATOS_[Conc.Sal.19])))))))),
0)</f>
        <v>0</v>
      </c>
      <c r="AC31" s="196">
        <f t="array" ref="AC31">IFERROR(
(AVERAGE((IF(DATOS_[[Sexo]:[Sexo]]=$B31,IF(DATOS_[[AGRUP. VALOR. PTO.]:[AGRUP. VALOR. PTO.]]=$B30,IF(DATOS_[[Check Periodo Ref.]:[Check Periodo Ref.]]="Dentro",IF(DATOS_[[Check Equiparado]:[Check Equiparado]]="Sí",IF(DATOS!AX$5="Sí",(1/DATOS_[[% anualiz]:[% anualiz]]),1)*IF(DATOS!AX$4="Sí",1/DATOS_[[% normaliz]:[% normaliz]],1)*(DATOS_[Conc.Sal.20])))))))),
0)</f>
        <v>0</v>
      </c>
      <c r="AD31" s="196">
        <f t="array" ref="AD31">IFERROR(
(AVERAGE((IF(DATOS_[[Sexo]:[Sexo]]=$B31,IF(DATOS_[[AGRUP. VALOR. PTO.]:[AGRUP. VALOR. PTO.]]=$B30,IF(DATOS_[[Check Periodo Ref.]:[Check Periodo Ref.]]="Dentro",IF(DATOS_[[Check Equiparado]:[Check Equiparado]]="Sí",IF(DATOS!AY$5="Sí",(1/DATOS_[[% anualiz]:[% anualiz]]),1)*IF(DATOS!AY$4="Sí",1/DATOS_[[% normaliz]:[% normaliz]],1)*(DATOS_[Conc.Sal.21])))))))),
0)</f>
        <v>0</v>
      </c>
      <c r="AE31" s="196">
        <f t="array" ref="AE31">IFERROR(
(AVERAGE((IF(DATOS_[[Sexo]:[Sexo]]=$B31,IF(DATOS_[[AGRUP. VALOR. PTO.]:[AGRUP. VALOR. PTO.]]=$B30,IF(DATOS_[[Check Periodo Ref.]:[Check Periodo Ref.]]="Dentro",IF(DATOS_[[Check Equiparado]:[Check Equiparado]]="Sí",IF(DATOS!AZ$5="Sí",(1/DATOS_[[% anualiz]:[% anualiz]]),1)*IF(DATOS!AZ$4="Sí",1/DATOS_[[% normaliz]:[% normaliz]],1)*(DATOS_[Conc.Sal.22])))))))),
0)</f>
        <v>0</v>
      </c>
      <c r="AF31" s="196">
        <f t="array" ref="AF31">IFERROR(
(AVERAGE((IF(DATOS_[[Sexo]:[Sexo]]=$B31,IF(DATOS_[[AGRUP. VALOR. PTO.]:[AGRUP. VALOR. PTO.]]=$B30,IF(DATOS_[[Check Periodo Ref.]:[Check Periodo Ref.]]="Dentro",IF(DATOS_[[Check Equiparado]:[Check Equiparado]]="Sí",IF(DATOS!BA$5="Sí",(1/DATOS_[[% anualiz]:[% anualiz]]),1)*IF(DATOS!BA$4="Sí",1/DATOS_[[% normaliz]:[% normaliz]],1)*(DATOS_[Conc.Sal.23])))))))),
0)</f>
        <v>0</v>
      </c>
      <c r="AG31" s="196">
        <f t="array" ref="AG31">IFERROR(
(AVERAGE((IF(DATOS_[[Sexo]:[Sexo]]=$B31,IF(DATOS_[[AGRUP. VALOR. PTO.]:[AGRUP. VALOR. PTO.]]=$B30,IF(DATOS_[[Check Periodo Ref.]:[Check Periodo Ref.]]="Dentro",IF(DATOS_[[Check Equiparado]:[Check Equiparado]]="Sí",IF(DATOS!BB$5="Sí",(1/DATOS_[[% anualiz]:[% anualiz]]),1)*IF(DATOS!BB$4="Sí",1/DATOS_[[% normaliz]:[% normaliz]],1)*(DATOS_[Conc.Sal.24])))))))),
0)</f>
        <v>0</v>
      </c>
      <c r="AH31" s="196">
        <f t="array" ref="AH31">IFERROR(
(AVERAGE((IF(DATOS_[[Sexo]:[Sexo]]=$B31,IF(DATOS_[[AGRUP. VALOR. PTO.]:[AGRUP. VALOR. PTO.]]=$B30,IF(DATOS_[[Check Periodo Ref.]:[Check Periodo Ref.]]="Dentro",IF(DATOS_[[Check Equiparado]:[Check Equiparado]]="Sí",IF(DATOS!BC$5="Sí",(1/DATOS_[[% anualiz]:[% anualiz]]),1)*IF(DATOS!BC$4="Sí",1/DATOS_[[% normaliz]:[% normaliz]],1)*(DATOS_[Conc.Sal.25])))))))),
0)</f>
        <v>0</v>
      </c>
      <c r="AI31" s="196">
        <f t="array" ref="AI31">IFERROR(
(AVERAGE((IF(DATOS_[[Sexo]:[Sexo]]=$B31,IF(DATOS_[[AGRUP. VALOR. PTO.]:[AGRUP. VALOR. PTO.]]=$B30,IF(DATOS_[[Check Periodo Ref.]:[Check Periodo Ref.]]="Dentro",IF(DATOS_[[Check Equiparado]:[Check Equiparado]]="Sí",IF(DATOS!BD$5="Sí",(1/DATOS_[[% anualiz]:[% anualiz]]),1)*IF(DATOS!BD$4="Sí",1/DATOS_[[% normaliz]:[% normaliz]],1)*(DATOS_[Conc.Sal.26])))))))),
0)</f>
        <v>0</v>
      </c>
      <c r="AJ31" s="196">
        <f t="array" ref="AJ31">IFERROR(
(AVERAGE((IF(DATOS_[[Sexo]:[Sexo]]=$B31,IF(DATOS_[[AGRUP. VALOR. PTO.]:[AGRUP. VALOR. PTO.]]=$B30,IF(DATOS_[[Check Periodo Ref.]:[Check Periodo Ref.]]="Dentro",IF(DATOS_[[Check Equiparado]:[Check Equiparado]]="Sí",IF(DATOS!BE$5="Sí",(1/DATOS_[[% anualiz]:[% anualiz]]),1)*IF(DATOS!BE$4="Sí",1/DATOS_[[% normaliz]:[% normaliz]],1)*(DATOS_[Conc.Sal.27])))))))),
0)</f>
        <v>0</v>
      </c>
      <c r="AK31" s="196">
        <f t="array" ref="AK31">IFERROR(
(AVERAGE((IF(DATOS_[[Sexo]:[Sexo]]=$B31,IF(DATOS_[[AGRUP. VALOR. PTO.]:[AGRUP. VALOR. PTO.]]=$B30,IF(DATOS_[[Check Periodo Ref.]:[Check Periodo Ref.]]="Dentro",IF(DATOS_[[Check Equiparado]:[Check Equiparado]]="Sí",IF(DATOS!BF$5="Sí",(1/DATOS_[[% anualiz]:[% anualiz]]),1)*IF(DATOS!BF$4="Sí",1/DATOS_[[% normaliz]:[% normaliz]],1)*(DATOS_[Conc.Sal.28])))))))),
0)</f>
        <v>0</v>
      </c>
      <c r="AL31" s="196">
        <f t="array" ref="AL31">IFERROR(
(AVERAGE((IF(DATOS_[[Sexo]:[Sexo]]=$B31,IF(DATOS_[[AGRUP. VALOR. PTO.]:[AGRUP. VALOR. PTO.]]=$B30,IF(DATOS_[[Check Periodo Ref.]:[Check Periodo Ref.]]="Dentro",IF(DATOS_[[Check Equiparado]:[Check Equiparado]]="Sí",IF(DATOS!BG$5="Sí",(1/DATOS_[[% anualiz]:[% anualiz]]),1)*IF(DATOS!BG$4="Sí",1/DATOS_[[% normaliz]:[% normaliz]],1)*(DATOS_[Conc.Sal.29])))))))),
0)</f>
        <v>0</v>
      </c>
      <c r="AM31" s="196">
        <f t="array" ref="AM31">IFERROR(
(AVERAGE((IF(DATOS_[[Sexo]:[Sexo]]=$B31,IF(DATOS_[[AGRUP. VALOR. PTO.]:[AGRUP. VALOR. PTO.]]=$B30,IF(DATOS_[[Check Periodo Ref.]:[Check Periodo Ref.]]="Dentro",IF(DATOS_[[Check Equiparado]:[Check Equiparado]]="Sí",IF(DATOS!BH$5="Sí",(1/DATOS_[[% anualiz]:[% anualiz]]),1)*IF(DATOS!BH$4="Sí",1/DATOS_[[% normaliz]:[% normaliz]],1)*(DATOS_[Conc.Sal.30])))))))),
0)</f>
        <v>0</v>
      </c>
      <c r="AN31" s="195">
        <f t="array" ref="AN31">IFERROR(
AVERAGE(IF(DATOS_[Sexo]=$B31,IF(DATOS_[[AGRUP. VALOR. PTO.]:[AGRUP. VALOR. PTO.]]=$B30,IF(DATOS_[Check Equiparado]="Sí",IF(DATOS_[Check Periodo Ref.]="Dentro",DATOS_[Tot COMPL.SAL Eq],FALSE))))),
0)</f>
        <v>0</v>
      </c>
      <c r="AO31" s="172">
        <f t="array" ref="AO31">IFERROR(
AVERAGE(IF(DATOS_[Sexo]=$B31,IF(DATOS_[[AGRUP. VALOR. PTO.]:[AGRUP. VALOR. PTO.]]=$B30,IF(DATOS_[Check Equiparado]="Sí",IF(DATOS_[Check Periodo Ref.]="Dentro",DATOS_[TOTAL SALARIO Eq],FALSE))))),
0)</f>
        <v>0</v>
      </c>
      <c r="AP31" s="173">
        <f t="array" ref="AP31">IFERROR(
(AVERAGE((IF(DATOS_[[Sexo]:[Sexo]]=$B31,IF(DATOS_[[AGRUP. VALOR. PTO.]:[AGRUP. VALOR. PTO.]]=$B30,IF(DATOS_[[Check Periodo Ref.]:[Check Periodo Ref.]]="Dentro",IF(DATOS_[[Check Equiparado]:[Check Equiparado]]="Sí",IF(DATOS!BW$5="Sí",(1/DATOS_[[% anualiz]:[% anualiz]]),1)*IF(DATOS!BW$4="Sí",1/DATOS_[[% normaliz]:[% normaliz]],1)*(DATOS_[C.Extra.01])))))))),
0)</f>
        <v>0</v>
      </c>
      <c r="AQ31" s="173">
        <f t="array" ref="AQ31">IFERROR(
(AVERAGE((IF(DATOS_[[Sexo]:[Sexo]]=$B31,IF(DATOS_[[AGRUP. VALOR. PTO.]:[AGRUP. VALOR. PTO.]]=$B30,IF(DATOS_[[Check Periodo Ref.]:[Check Periodo Ref.]]="Dentro",IF(DATOS_[[Check Equiparado]:[Check Equiparado]]="Sí",IF(DATOS!CB$5="Sí",(1/DATOS_[[% anualiz]:[% anualiz]]),1)*IF(DATOS!CB$4="Sí",1/DATOS_[[% normaliz]:[% normaliz]],1)*(DATOS_[C.Extra.06])))))))),
0)</f>
        <v>0</v>
      </c>
      <c r="AR31" s="173">
        <f t="array" ref="AR31">IFERROR(
(AVERAGE((IF(DATOS_[[Sexo]:[Sexo]]=$B31,IF(DATOS_[[AGRUP. VALOR. PTO.]:[AGRUP. VALOR. PTO.]]=$B30,IF(DATOS_[[Check Periodo Ref.]:[Check Periodo Ref.]]="Dentro",IF(DATOS_[[Check Equiparado]:[Check Equiparado]]="Sí",IF(DATOS!CC$5="Sí",(1/DATOS_[[% anualiz]:[% anualiz]]),1)*IF(DATOS!CC$4="Sí",1/DATOS_[[% normaliz]:[% normaliz]],1)*(DATOS_[C.Extra.07])))))))),
0)</f>
        <v>0</v>
      </c>
      <c r="AS31" s="173">
        <f t="array" ref="AS31">IFERROR(
(AVERAGE((IF(DATOS_[[Sexo]:[Sexo]]=$B31,IF(DATOS_[[AGRUP. VALOR. PTO.]:[AGRUP. VALOR. PTO.]]=$B30,IF(DATOS_[[Check Periodo Ref.]:[Check Periodo Ref.]]="Dentro",IF(DATOS_[[Check Equiparado]:[Check Equiparado]]="Sí",IF(DATOS!CD$5="Sí",(1/DATOS_[[% anualiz]:[% anualiz]]),1)*IF(DATOS!CD$4="Sí",1/DATOS_[[% normaliz]:[% normaliz]],1)*(DATOS_[C.Extra.08])))))))),
0)</f>
        <v>0</v>
      </c>
      <c r="AT31" s="173">
        <f t="array" ref="AT31">IFERROR(
(AVERAGE((IF(DATOS_[[Sexo]:[Sexo]]=$B31,IF(DATOS_[[AGRUP. VALOR. PTO.]:[AGRUP. VALOR. PTO.]]=$B30,IF(DATOS_[[Check Periodo Ref.]:[Check Periodo Ref.]]="Dentro",IF(DATOS_[[Check Equiparado]:[Check Equiparado]]="Sí",IF(DATOS!CG$5="Sí",(1/DATOS_[[% anualiz]:[% anualiz]]),1)*IF(DATOS!CG$4="Sí",1/DATOS_[[% normaliz]:[% normaliz]],1)*(DATOS_[C.Extra.11])))))))),
0)</f>
        <v>0</v>
      </c>
      <c r="AU31" s="197">
        <f t="array" ref="AU31">IFERROR(
AVERAGE(IF(DATOS_[Sexo]=$B31,IF(DATOS_[[AGRUP. VALOR. PTO.]:[AGRUP. VALOR. PTO.]]=$B30,IF(DATOS_[Check Equiparado]="Sí",IF(DATOS_[Check Periodo Ref.]="Dentro",DATOS_[Tot Extrasalarial Eq],FALSE))))),
0)</f>
        <v>0</v>
      </c>
      <c r="AV31" s="175">
        <f t="array" ref="AV31">IFERROR(
AVERAGE(IF(DATOS_[Sexo]=$B31,IF(DATOS_[[AGRUP. VALOR. PTO.]:[AGRUP. VALOR. PTO.]]=$B30,IF(DATOS_[Check Equiparado]="Sí",IF(DATOS_[Check Periodo Ref.]="Dentro",DATOS_[TOTAL Retrib Eq],FALSE))))),
0)</f>
        <v>0</v>
      </c>
    </row>
    <row r="32" spans="1:48" x14ac:dyDescent="0.25">
      <c r="A32" s="133" t="str">
        <f t="shared" ref="A32" si="26">+A31</f>
        <v>[ocultar]</v>
      </c>
      <c r="B32" s="202" t="s">
        <v>521</v>
      </c>
      <c r="C32" s="203">
        <f t="array" ref="C32">SUM(IF($B32=DATOS_[Sexo],
IF($B30=DATOS_[AGRUP. VALOR. PTO.],
IF("Dentro"=DATOS_[Check Periodo Ref.],
1/(COUNTIFS(DATOS_[Sexo],$B32,DATOS_[AGRUP. VALOR. PTO.],$B30,DATOS_[Check Periodo Ref.],"Dentro",DATOS_[id/cod],DATOS_[id/cod]))))))</f>
        <v>0</v>
      </c>
      <c r="D32" s="204">
        <f>COUNTIFS(DATOS_[AGRUP. VALOR. PTO.],$B30,DATOS_[Sexo],$B32,DATOS_[Check Periodo Ref.],"Dentro")</f>
        <v>0</v>
      </c>
      <c r="E32" s="204">
        <f>COUNTIFS(DATOS_[AGRUP. VALOR. PTO.],$B30,DATOS_[Sexo],$B32,DATOS_[Check Periodo Ref.],"Dentro",DATOS_[Check Nº SC Norm],"Sí")</f>
        <v>0</v>
      </c>
      <c r="F32" s="204">
        <f>COUNTIFS(DATOS_[AGRUP. VALOR. PTO.],$B30,DATOS_[Sexo],$B32,DATOS_[Check Periodo Ref.],"Dentro",DATOS_[Check Nº SC Anualiz],"Sí")</f>
        <v>0</v>
      </c>
      <c r="G32" s="204">
        <f>COUNTIFS(DATOS_[AGRUP. VALOR. PTO.],$B30,DATOS_[Sexo],$B32,DATOS_[Check Periodo Ref.],"Dentro",DATOS_[Check Nº SC Norm y Anualiz],"Sí")</f>
        <v>0</v>
      </c>
      <c r="H32" s="204">
        <f>COUNTIFS(DATOS_[AGRUP. VALOR. PTO.],$B30,DATOS_[Sexo],$B32,DATOS_[Check Periodo Ref.],"Dentro",DATOS_[Check Equiparación],"Sí")</f>
        <v>0</v>
      </c>
      <c r="I32" s="195" cm="1">
        <f t="array" ref="I32">IFERROR(
AVERAGE(IF(DATOS_[Sexo]=$B32,IF(DATOS_[[AGRUP. VALOR. PTO.]:[AGRUP. VALOR. PTO.]]=$B30,IF(DATOS_[Check Equiparado]="Sí",IF(DATOS_[Check Periodo Ref.]="Dentro",DATOS_[SALARIO BASE Eq],FALSE))))),
0)</f>
        <v>0</v>
      </c>
      <c r="J32" s="196">
        <f t="array" ref="J32">IFERROR(
(AVERAGE((IF(DATOS_[[Sexo]:[Sexo]]=$B32,IF(DATOS_[[AGRUP. VALOR. PTO.]:[AGRUP. VALOR. PTO.]]=$B30,IF(DATOS_[[Check Periodo Ref.]:[Check Periodo Ref.]]="Dentro",IF(DATOS_[[Check Equiparado]:[Check Equiparado]]="Sí",IF(DATOS!AE$5="Sí",(1/DATOS_[[% anualiz]:[% anualiz]]),1)*IF(DATOS!AE$4="Sí",1/DATOS_[[% normaliz]:[% normaliz]],1)*(DATOS_[Conc.Sal.01])))))))),
0)</f>
        <v>0</v>
      </c>
      <c r="K32" s="196">
        <f t="array" ref="K32">IFERROR(
(AVERAGE((IF(DATOS_[[Sexo]:[Sexo]]=$B32,IF(DATOS_[[AGRUP. VALOR. PTO.]:[AGRUP. VALOR. PTO.]]=$B30,IF(DATOS_[[Check Periodo Ref.]:[Check Periodo Ref.]]="Dentro",IF(DATOS_[[Check Equiparado]:[Check Equiparado]]="Sí",IF(DATOS!AF$5="Sí",(1/DATOS_[[% anualiz]:[% anualiz]]),1)*IF(DATOS!AF$4="Sí",1/DATOS_[[% normaliz]:[% normaliz]],1)*(DATOS_[Conc.Sal.02])))))))),
0)</f>
        <v>0</v>
      </c>
      <c r="L32" s="196">
        <f t="array" ref="L32">IFERROR(
(AVERAGE((IF(DATOS_[[Sexo]:[Sexo]]=$B32,IF(DATOS_[[AGRUP. VALOR. PTO.]:[AGRUP. VALOR. PTO.]]=$B30,IF(DATOS_[[Check Periodo Ref.]:[Check Periodo Ref.]]="Dentro",IF(DATOS_[[Check Equiparado]:[Check Equiparado]]="Sí",IF(DATOS!AG$5="Sí",(1/DATOS_[[% anualiz]:[% anualiz]]),1)*IF(DATOS!AG$4="Sí",1/DATOS_[[% normaliz]:[% normaliz]],1)*(DATOS_[Conc.Sal.03])))))))),
0)</f>
        <v>0</v>
      </c>
      <c r="M32" s="196">
        <f t="array" ref="M32">IFERROR(
(AVERAGE((IF(DATOS_[[Sexo]:[Sexo]]=$B32,IF(DATOS_[[AGRUP. VALOR. PTO.]:[AGRUP. VALOR. PTO.]]=$B30,IF(DATOS_[[Check Periodo Ref.]:[Check Periodo Ref.]]="Dentro",IF(DATOS_[[Check Equiparado]:[Check Equiparado]]="Sí",IF(DATOS!AH$5="Sí",(1/DATOS_[[% anualiz]:[% anualiz]]),1)*IF(DATOS!AH$4="Sí",1/DATOS_[[% normaliz]:[% normaliz]],1)*(DATOS_[Conc.Sal.04])))))))),
0)</f>
        <v>0</v>
      </c>
      <c r="N32" s="196">
        <f t="array" ref="N32">IFERROR(
(AVERAGE((IF(DATOS_[[Sexo]:[Sexo]]=$B32,IF(DATOS_[[AGRUP. VALOR. PTO.]:[AGRUP. VALOR. PTO.]]=$B30,IF(DATOS_[[Check Periodo Ref.]:[Check Periodo Ref.]]="Dentro",IF(DATOS_[[Check Equiparado]:[Check Equiparado]]="Sí",IF(DATOS!AI$5="Sí",(1/DATOS_[[% anualiz]:[% anualiz]]),1)*IF(DATOS!AI$4="Sí",1/DATOS_[[% normaliz]:[% normaliz]],1)*(DATOS_[Conc.Sal.05])))))))),
0)</f>
        <v>0</v>
      </c>
      <c r="O32" s="196">
        <f t="array" ref="O32">IFERROR(
(AVERAGE((IF(DATOS_[[Sexo]:[Sexo]]=$B32,IF(DATOS_[[AGRUP. VALOR. PTO.]:[AGRUP. VALOR. PTO.]]=$B30,IF(DATOS_[[Check Periodo Ref.]:[Check Periodo Ref.]]="Dentro",IF(DATOS_[[Check Equiparado]:[Check Equiparado]]="Sí",IF(DATOS!AJ$5="Sí",(1/DATOS_[[% anualiz]:[% anualiz]]),1)*IF(DATOS!AJ$4="Sí",1/DATOS_[[% normaliz]:[% normaliz]],1)*(DATOS_[Conc.Sal.06])))))))),
0)</f>
        <v>0</v>
      </c>
      <c r="P32" s="196">
        <f t="array" ref="P32">IFERROR(
(AVERAGE((IF(DATOS_[[Sexo]:[Sexo]]=$B32,IF(DATOS_[[AGRUP. VALOR. PTO.]:[AGRUP. VALOR. PTO.]]=$B30,IF(DATOS_[[Check Periodo Ref.]:[Check Periodo Ref.]]="Dentro",IF(DATOS_[[Check Equiparado]:[Check Equiparado]]="Sí",IF(DATOS!AK$5="Sí",(1/DATOS_[[% anualiz]:[% anualiz]]),1)*IF(DATOS!AK$4="Sí",1/DATOS_[[% normaliz]:[% normaliz]],1)*(DATOS_[Conc.Sal.07])))))))),
0)</f>
        <v>0</v>
      </c>
      <c r="Q32" s="196">
        <f t="array" ref="Q32">IFERROR(
(AVERAGE((IF(DATOS_[[Sexo]:[Sexo]]=$B32,IF(DATOS_[[AGRUP. VALOR. PTO.]:[AGRUP. VALOR. PTO.]]=$B30,IF(DATOS_[[Check Periodo Ref.]:[Check Periodo Ref.]]="Dentro",IF(DATOS_[[Check Equiparado]:[Check Equiparado]]="Sí",IF(DATOS!AL$5="Sí",(1/DATOS_[[% anualiz]:[% anualiz]]),1)*IF(DATOS!AL$4="Sí",1/DATOS_[[% normaliz]:[% normaliz]],1)*(DATOS_[Conc.Sal.08])))))))),
0)</f>
        <v>0</v>
      </c>
      <c r="R32" s="196">
        <f t="array" ref="R32">IFERROR(
(AVERAGE((IF(DATOS_[[Sexo]:[Sexo]]=$B32,IF(DATOS_[[AGRUP. VALOR. PTO.]:[AGRUP. VALOR. PTO.]]=$B30,IF(DATOS_[[Check Periodo Ref.]:[Check Periodo Ref.]]="Dentro",IF(DATOS_[[Check Equiparado]:[Check Equiparado]]="Sí",IF(DATOS!AM$5="Sí",(1/DATOS_[[% anualiz]:[% anualiz]]),1)*IF(DATOS!AM$4="Sí",1/DATOS_[[% normaliz]:[% normaliz]],1)*(DATOS_[Conc.Sal.09])))))))),
0)</f>
        <v>0</v>
      </c>
      <c r="S32" s="196">
        <f t="array" ref="S32">IFERROR(
(AVERAGE((IF(DATOS_[[Sexo]:[Sexo]]=$B32,IF(DATOS_[[AGRUP. VALOR. PTO.]:[AGRUP. VALOR. PTO.]]=$B30,IF(DATOS_[[Check Periodo Ref.]:[Check Periodo Ref.]]="Dentro",IF(DATOS_[[Check Equiparado]:[Check Equiparado]]="Sí",IF(DATOS!AN$5="Sí",(1/DATOS_[[% anualiz]:[% anualiz]]),1)*IF(DATOS!AN$4="Sí",1/DATOS_[[% normaliz]:[% normaliz]],1)*(DATOS_[Conc.Sal.10])))))))),
0)</f>
        <v>0</v>
      </c>
      <c r="T32" s="196">
        <f t="array" ref="T32">IFERROR(
(AVERAGE((IF(DATOS_[[Sexo]:[Sexo]]=$B32,IF(DATOS_[[AGRUP. VALOR. PTO.]:[AGRUP. VALOR. PTO.]]=$B30,IF(DATOS_[[Check Periodo Ref.]:[Check Periodo Ref.]]="Dentro",IF(DATOS_[[Check Equiparado]:[Check Equiparado]]="Sí",IF(DATOS!AO$5="Sí",(1/DATOS_[[% anualiz]:[% anualiz]]),1)*IF(DATOS!AO$4="Sí",1/DATOS_[[% normaliz]:[% normaliz]],1)*(DATOS_[Conc.Sal.11])))))))),
0)</f>
        <v>0</v>
      </c>
      <c r="U32" s="196">
        <f t="array" ref="U32">IFERROR(
(AVERAGE((IF(DATOS_[[Sexo]:[Sexo]]=$B32,IF(DATOS_[[AGRUP. VALOR. PTO.]:[AGRUP. VALOR. PTO.]]=$B30,IF(DATOS_[[Check Periodo Ref.]:[Check Periodo Ref.]]="Dentro",IF(DATOS_[[Check Equiparado]:[Check Equiparado]]="Sí",IF(DATOS!AP$5="Sí",(1/DATOS_[[% anualiz]:[% anualiz]]),1)*IF(DATOS!AP$4="Sí",1/DATOS_[[% normaliz]:[% normaliz]],1)*(DATOS_[Conc.Sal.12])))))))),
0)</f>
        <v>0</v>
      </c>
      <c r="V32" s="196">
        <f t="array" ref="V32">IFERROR(
(AVERAGE((IF(DATOS_[[Sexo]:[Sexo]]=$B32,IF(DATOS_[[AGRUP. VALOR. PTO.]:[AGRUP. VALOR. PTO.]]=$B30,IF(DATOS_[[Check Periodo Ref.]:[Check Periodo Ref.]]="Dentro",IF(DATOS_[[Check Equiparado]:[Check Equiparado]]="Sí",IF(DATOS!AQ$5="Sí",(1/DATOS_[[% anualiz]:[% anualiz]]),1)*IF(DATOS!AQ$4="Sí",1/DATOS_[[% normaliz]:[% normaliz]],1)*(DATOS_[Conc.Sal.13])))))))),
0)</f>
        <v>0</v>
      </c>
      <c r="W32" s="196">
        <f t="array" ref="W32">IFERROR(
(AVERAGE((IF(DATOS_[[Sexo]:[Sexo]]=$B32,IF(DATOS_[[AGRUP. VALOR. PTO.]:[AGRUP. VALOR. PTO.]]=$B30,IF(DATOS_[[Check Periodo Ref.]:[Check Periodo Ref.]]="Dentro",IF(DATOS_[[Check Equiparado]:[Check Equiparado]]="Sí",IF(DATOS!AR$5="Sí",(1/DATOS_[[% anualiz]:[% anualiz]]),1)*IF(DATOS!AR$4="Sí",1/DATOS_[[% normaliz]:[% normaliz]],1)*(DATOS_[Conc.Sal.14])))))))),
0)</f>
        <v>0</v>
      </c>
      <c r="X32" s="196">
        <f t="array" ref="X32">IFERROR(
(AVERAGE((IF(DATOS_[[Sexo]:[Sexo]]=$B32,IF(DATOS_[[AGRUP. VALOR. PTO.]:[AGRUP. VALOR. PTO.]]=$B30,IF(DATOS_[[Check Periodo Ref.]:[Check Periodo Ref.]]="Dentro",IF(DATOS_[[Check Equiparado]:[Check Equiparado]]="Sí",IF(DATOS!AS$5="Sí",(1/DATOS_[[% anualiz]:[% anualiz]]),1)*IF(DATOS!AS$4="Sí",1/DATOS_[[% normaliz]:[% normaliz]],1)*(DATOS_[Conc.Sal.15])))))))),
0)</f>
        <v>0</v>
      </c>
      <c r="Y32" s="196">
        <f t="array" ref="Y32">IFERROR(
(AVERAGE((IF(DATOS_[[Sexo]:[Sexo]]=$B32,IF(DATOS_[[AGRUP. VALOR. PTO.]:[AGRUP. VALOR. PTO.]]=$B30,IF(DATOS_[[Check Periodo Ref.]:[Check Periodo Ref.]]="Dentro",IF(DATOS_[[Check Equiparado]:[Check Equiparado]]="Sí",IF(DATOS!AT$5="Sí",(1/DATOS_[[% anualiz]:[% anualiz]]),1)*IF(DATOS!AT$4="Sí",1/DATOS_[[% normaliz]:[% normaliz]],1)*(DATOS_[Conc.Sal.16])))))))),
0)</f>
        <v>0</v>
      </c>
      <c r="Z32" s="196">
        <f t="array" ref="Z32">IFERROR(
(AVERAGE((IF(DATOS_[[Sexo]:[Sexo]]=$B32,IF(DATOS_[[AGRUP. VALOR. PTO.]:[AGRUP. VALOR. PTO.]]=$B30,IF(DATOS_[[Check Periodo Ref.]:[Check Periodo Ref.]]="Dentro",IF(DATOS_[[Check Equiparado]:[Check Equiparado]]="Sí",IF(DATOS!AU$5="Sí",(1/DATOS_[[% anualiz]:[% anualiz]]),1)*IF(DATOS!AU$4="Sí",1/DATOS_[[% normaliz]:[% normaliz]],1)*(DATOS_[Conc.Sal.17])))))))),
0)</f>
        <v>0</v>
      </c>
      <c r="AA32" s="196">
        <f t="array" ref="AA32">IFERROR(
(AVERAGE((IF(DATOS_[[Sexo]:[Sexo]]=$B32,IF(DATOS_[[AGRUP. VALOR. PTO.]:[AGRUP. VALOR. PTO.]]=$B30,IF(DATOS_[[Check Periodo Ref.]:[Check Periodo Ref.]]="Dentro",IF(DATOS_[[Check Equiparado]:[Check Equiparado]]="Sí",IF(DATOS!AV$5="Sí",(1/DATOS_[[% anualiz]:[% anualiz]]),1)*IF(DATOS!AV$4="Sí",1/DATOS_[[% normaliz]:[% normaliz]],1)*(DATOS_[Conc.Sal.18])))))))),
0)</f>
        <v>0</v>
      </c>
      <c r="AB32" s="196">
        <f t="array" ref="AB32">IFERROR(
(AVERAGE((IF(DATOS_[[Sexo]:[Sexo]]=$B32,IF(DATOS_[[AGRUP. VALOR. PTO.]:[AGRUP. VALOR. PTO.]]=$B30,IF(DATOS_[[Check Periodo Ref.]:[Check Periodo Ref.]]="Dentro",IF(DATOS_[[Check Equiparado]:[Check Equiparado]]="Sí",IF(DATOS!AW$5="Sí",(1/DATOS_[[% anualiz]:[% anualiz]]),1)*IF(DATOS!AW$4="Sí",1/DATOS_[[% normaliz]:[% normaliz]],1)*(DATOS_[Conc.Sal.19])))))))),
0)</f>
        <v>0</v>
      </c>
      <c r="AC32" s="196">
        <f t="array" ref="AC32">IFERROR(
(AVERAGE((IF(DATOS_[[Sexo]:[Sexo]]=$B32,IF(DATOS_[[AGRUP. VALOR. PTO.]:[AGRUP. VALOR. PTO.]]=$B30,IF(DATOS_[[Check Periodo Ref.]:[Check Periodo Ref.]]="Dentro",IF(DATOS_[[Check Equiparado]:[Check Equiparado]]="Sí",IF(DATOS!AX$5="Sí",(1/DATOS_[[% anualiz]:[% anualiz]]),1)*IF(DATOS!AX$4="Sí",1/DATOS_[[% normaliz]:[% normaliz]],1)*(DATOS_[Conc.Sal.20])))))))),
0)</f>
        <v>0</v>
      </c>
      <c r="AD32" s="196">
        <f t="array" ref="AD32">IFERROR(
(AVERAGE((IF(DATOS_[[Sexo]:[Sexo]]=$B32,IF(DATOS_[[AGRUP. VALOR. PTO.]:[AGRUP. VALOR. PTO.]]=$B30,IF(DATOS_[[Check Periodo Ref.]:[Check Periodo Ref.]]="Dentro",IF(DATOS_[[Check Equiparado]:[Check Equiparado]]="Sí",IF(DATOS!AY$5="Sí",(1/DATOS_[[% anualiz]:[% anualiz]]),1)*IF(DATOS!AY$4="Sí",1/DATOS_[[% normaliz]:[% normaliz]],1)*(DATOS_[Conc.Sal.21])))))))),
0)</f>
        <v>0</v>
      </c>
      <c r="AE32" s="196">
        <f t="array" ref="AE32">IFERROR(
(AVERAGE((IF(DATOS_[[Sexo]:[Sexo]]=$B32,IF(DATOS_[[AGRUP. VALOR. PTO.]:[AGRUP. VALOR. PTO.]]=$B30,IF(DATOS_[[Check Periodo Ref.]:[Check Periodo Ref.]]="Dentro",IF(DATOS_[[Check Equiparado]:[Check Equiparado]]="Sí",IF(DATOS!AZ$5="Sí",(1/DATOS_[[% anualiz]:[% anualiz]]),1)*IF(DATOS!AZ$4="Sí",1/DATOS_[[% normaliz]:[% normaliz]],1)*(DATOS_[Conc.Sal.22])))))))),
0)</f>
        <v>0</v>
      </c>
      <c r="AF32" s="196">
        <f t="array" ref="AF32">IFERROR(
(AVERAGE((IF(DATOS_[[Sexo]:[Sexo]]=$B32,IF(DATOS_[[AGRUP. VALOR. PTO.]:[AGRUP. VALOR. PTO.]]=$B30,IF(DATOS_[[Check Periodo Ref.]:[Check Periodo Ref.]]="Dentro",IF(DATOS_[[Check Equiparado]:[Check Equiparado]]="Sí",IF(DATOS!BA$5="Sí",(1/DATOS_[[% anualiz]:[% anualiz]]),1)*IF(DATOS!BA$4="Sí",1/DATOS_[[% normaliz]:[% normaliz]],1)*(DATOS_[Conc.Sal.23])))))))),
0)</f>
        <v>0</v>
      </c>
      <c r="AG32" s="196">
        <f t="array" ref="AG32">IFERROR(
(AVERAGE((IF(DATOS_[[Sexo]:[Sexo]]=$B32,IF(DATOS_[[AGRUP. VALOR. PTO.]:[AGRUP. VALOR. PTO.]]=$B30,IF(DATOS_[[Check Periodo Ref.]:[Check Periodo Ref.]]="Dentro",IF(DATOS_[[Check Equiparado]:[Check Equiparado]]="Sí",IF(DATOS!BB$5="Sí",(1/DATOS_[[% anualiz]:[% anualiz]]),1)*IF(DATOS!BB$4="Sí",1/DATOS_[[% normaliz]:[% normaliz]],1)*(DATOS_[Conc.Sal.24])))))))),
0)</f>
        <v>0</v>
      </c>
      <c r="AH32" s="196">
        <f t="array" ref="AH32">IFERROR(
(AVERAGE((IF(DATOS_[[Sexo]:[Sexo]]=$B32,IF(DATOS_[[AGRUP. VALOR. PTO.]:[AGRUP. VALOR. PTO.]]=$B30,IF(DATOS_[[Check Periodo Ref.]:[Check Periodo Ref.]]="Dentro",IF(DATOS_[[Check Equiparado]:[Check Equiparado]]="Sí",IF(DATOS!BC$5="Sí",(1/DATOS_[[% anualiz]:[% anualiz]]),1)*IF(DATOS!BC$4="Sí",1/DATOS_[[% normaliz]:[% normaliz]],1)*(DATOS_[Conc.Sal.25])))))))),
0)</f>
        <v>0</v>
      </c>
      <c r="AI32" s="196">
        <f t="array" ref="AI32">IFERROR(
(AVERAGE((IF(DATOS_[[Sexo]:[Sexo]]=$B32,IF(DATOS_[[AGRUP. VALOR. PTO.]:[AGRUP. VALOR. PTO.]]=$B30,IF(DATOS_[[Check Periodo Ref.]:[Check Periodo Ref.]]="Dentro",IF(DATOS_[[Check Equiparado]:[Check Equiparado]]="Sí",IF(DATOS!BD$5="Sí",(1/DATOS_[[% anualiz]:[% anualiz]]),1)*IF(DATOS!BD$4="Sí",1/DATOS_[[% normaliz]:[% normaliz]],1)*(DATOS_[Conc.Sal.26])))))))),
0)</f>
        <v>0</v>
      </c>
      <c r="AJ32" s="196">
        <f t="array" ref="AJ32">IFERROR(
(AVERAGE((IF(DATOS_[[Sexo]:[Sexo]]=$B32,IF(DATOS_[[AGRUP. VALOR. PTO.]:[AGRUP. VALOR. PTO.]]=$B30,IF(DATOS_[[Check Periodo Ref.]:[Check Periodo Ref.]]="Dentro",IF(DATOS_[[Check Equiparado]:[Check Equiparado]]="Sí",IF(DATOS!BE$5="Sí",(1/DATOS_[[% anualiz]:[% anualiz]]),1)*IF(DATOS!BE$4="Sí",1/DATOS_[[% normaliz]:[% normaliz]],1)*(DATOS_[Conc.Sal.27])))))))),
0)</f>
        <v>0</v>
      </c>
      <c r="AK32" s="196">
        <f t="array" ref="AK32">IFERROR(
(AVERAGE((IF(DATOS_[[Sexo]:[Sexo]]=$B32,IF(DATOS_[[AGRUP. VALOR. PTO.]:[AGRUP. VALOR. PTO.]]=$B30,IF(DATOS_[[Check Periodo Ref.]:[Check Periodo Ref.]]="Dentro",IF(DATOS_[[Check Equiparado]:[Check Equiparado]]="Sí",IF(DATOS!BF$5="Sí",(1/DATOS_[[% anualiz]:[% anualiz]]),1)*IF(DATOS!BF$4="Sí",1/DATOS_[[% normaliz]:[% normaliz]],1)*(DATOS_[Conc.Sal.28])))))))),
0)</f>
        <v>0</v>
      </c>
      <c r="AL32" s="196">
        <f t="array" ref="AL32">IFERROR(
(AVERAGE((IF(DATOS_[[Sexo]:[Sexo]]=$B32,IF(DATOS_[[AGRUP. VALOR. PTO.]:[AGRUP. VALOR. PTO.]]=$B30,IF(DATOS_[[Check Periodo Ref.]:[Check Periodo Ref.]]="Dentro",IF(DATOS_[[Check Equiparado]:[Check Equiparado]]="Sí",IF(DATOS!BG$5="Sí",(1/DATOS_[[% anualiz]:[% anualiz]]),1)*IF(DATOS!BG$4="Sí",1/DATOS_[[% normaliz]:[% normaliz]],1)*(DATOS_[Conc.Sal.29])))))))),
0)</f>
        <v>0</v>
      </c>
      <c r="AM32" s="196">
        <f t="array" ref="AM32">IFERROR(
(AVERAGE((IF(DATOS_[[Sexo]:[Sexo]]=$B32,IF(DATOS_[[AGRUP. VALOR. PTO.]:[AGRUP. VALOR. PTO.]]=$B30,IF(DATOS_[[Check Periodo Ref.]:[Check Periodo Ref.]]="Dentro",IF(DATOS_[[Check Equiparado]:[Check Equiparado]]="Sí",IF(DATOS!BH$5="Sí",(1/DATOS_[[% anualiz]:[% anualiz]]),1)*IF(DATOS!BH$4="Sí",1/DATOS_[[% normaliz]:[% normaliz]],1)*(DATOS_[Conc.Sal.30])))))))),
0)</f>
        <v>0</v>
      </c>
      <c r="AN32" s="195">
        <f t="array" ref="AN32">IFERROR(
AVERAGE(IF(DATOS_[Sexo]=$B32,IF(DATOS_[[AGRUP. VALOR. PTO.]:[AGRUP. VALOR. PTO.]]=$B30,IF(DATOS_[Check Equiparado]="Sí",IF(DATOS_[Check Periodo Ref.]="Dentro",DATOS_[Tot COMPL.SAL Eq],FALSE))))),
0)</f>
        <v>0</v>
      </c>
      <c r="AO32" s="172">
        <f t="array" ref="AO32">IFERROR(
AVERAGE(IF(DATOS_[Sexo]=$B32,IF(DATOS_[[AGRUP. VALOR. PTO.]:[AGRUP. VALOR. PTO.]]=$B30,IF(DATOS_[Check Equiparado]="Sí",IF(DATOS_[Check Periodo Ref.]="Dentro",DATOS_[TOTAL SALARIO Eq],FALSE))))),
0)</f>
        <v>0</v>
      </c>
      <c r="AP32" s="173">
        <f t="array" ref="AP32">IFERROR(
(AVERAGE((IF(DATOS_[[Sexo]:[Sexo]]=$B32,IF(DATOS_[[AGRUP. VALOR. PTO.]:[AGRUP. VALOR. PTO.]]=$B30,IF(DATOS_[[Check Periodo Ref.]:[Check Periodo Ref.]]="Dentro",IF(DATOS_[[Check Equiparado]:[Check Equiparado]]="Sí",IF(DATOS!BW$5="Sí",(1/DATOS_[[% anualiz]:[% anualiz]]),1)*IF(DATOS!BW$4="Sí",1/DATOS_[[% normaliz]:[% normaliz]],1)*(DATOS_[C.Extra.01])))))))),
0)</f>
        <v>0</v>
      </c>
      <c r="AQ32" s="173">
        <f t="array" ref="AQ32">IFERROR(
(AVERAGE((IF(DATOS_[[Sexo]:[Sexo]]=$B32,IF(DATOS_[[AGRUP. VALOR. PTO.]:[AGRUP. VALOR. PTO.]]=$B30,IF(DATOS_[[Check Periodo Ref.]:[Check Periodo Ref.]]="Dentro",IF(DATOS_[[Check Equiparado]:[Check Equiparado]]="Sí",IF(DATOS!CB$5="Sí",(1/DATOS_[[% anualiz]:[% anualiz]]),1)*IF(DATOS!CB$4="Sí",1/DATOS_[[% normaliz]:[% normaliz]],1)*(DATOS_[C.Extra.06])))))))),
0)</f>
        <v>0</v>
      </c>
      <c r="AR32" s="173">
        <f t="array" ref="AR32">IFERROR(
(AVERAGE((IF(DATOS_[[Sexo]:[Sexo]]=$B32,IF(DATOS_[[AGRUP. VALOR. PTO.]:[AGRUP. VALOR. PTO.]]=$B30,IF(DATOS_[[Check Periodo Ref.]:[Check Periodo Ref.]]="Dentro",IF(DATOS_[[Check Equiparado]:[Check Equiparado]]="Sí",IF(DATOS!CC$5="Sí",(1/DATOS_[[% anualiz]:[% anualiz]]),1)*IF(DATOS!CC$4="Sí",1/DATOS_[[% normaliz]:[% normaliz]],1)*(DATOS_[C.Extra.07])))))))),
0)</f>
        <v>0</v>
      </c>
      <c r="AS32" s="173">
        <f t="array" ref="AS32">IFERROR(
(AVERAGE((IF(DATOS_[[Sexo]:[Sexo]]=$B32,IF(DATOS_[[AGRUP. VALOR. PTO.]:[AGRUP. VALOR. PTO.]]=$B30,IF(DATOS_[[Check Periodo Ref.]:[Check Periodo Ref.]]="Dentro",IF(DATOS_[[Check Equiparado]:[Check Equiparado]]="Sí",IF(DATOS!CD$5="Sí",(1/DATOS_[[% anualiz]:[% anualiz]]),1)*IF(DATOS!CD$4="Sí",1/DATOS_[[% normaliz]:[% normaliz]],1)*(DATOS_[C.Extra.08])))))))),
0)</f>
        <v>0</v>
      </c>
      <c r="AT32" s="173">
        <f t="array" ref="AT32">IFERROR(
(AVERAGE((IF(DATOS_[[Sexo]:[Sexo]]=$B32,IF(DATOS_[[AGRUP. VALOR. PTO.]:[AGRUP. VALOR. PTO.]]=$B30,IF(DATOS_[[Check Periodo Ref.]:[Check Periodo Ref.]]="Dentro",IF(DATOS_[[Check Equiparado]:[Check Equiparado]]="Sí",IF(DATOS!CG$5="Sí",(1/DATOS_[[% anualiz]:[% anualiz]]),1)*IF(DATOS!CG$4="Sí",1/DATOS_[[% normaliz]:[% normaliz]],1)*(DATOS_[C.Extra.11])))))))),
0)</f>
        <v>0</v>
      </c>
      <c r="AU32" s="197">
        <f t="array" ref="AU32">IFERROR(
AVERAGE(IF(DATOS_[Sexo]=$B32,IF(DATOS_[[AGRUP. VALOR. PTO.]:[AGRUP. VALOR. PTO.]]=$B30,IF(DATOS_[Check Equiparado]="Sí",IF(DATOS_[Check Periodo Ref.]="Dentro",DATOS_[Tot Extrasalarial Eq],FALSE))))),
0)</f>
        <v>0</v>
      </c>
      <c r="AV32" s="175">
        <f t="array" ref="AV32">IFERROR(
AVERAGE(IF(DATOS_[Sexo]=$B32,IF(DATOS_[[AGRUP. VALOR. PTO.]:[AGRUP. VALOR. PTO.]]=$B30,IF(DATOS_[Check Equiparado]="Sí",IF(DATOS_[Check Periodo Ref.]="Dentro",DATOS_[TOTAL Retrib Eq],FALSE))))),
0)</f>
        <v>0</v>
      </c>
    </row>
    <row r="33" spans="1:48" ht="15.6" thickBot="1" x14ac:dyDescent="0.3">
      <c r="A33" s="133" t="str">
        <f t="shared" ref="A33" si="27">+A34</f>
        <v>[ocultar]</v>
      </c>
      <c r="B33" s="199" t="s">
        <v>200</v>
      </c>
      <c r="C33" s="200"/>
      <c r="D33" s="201"/>
      <c r="E33" s="201"/>
      <c r="F33" s="201"/>
      <c r="G33" s="201"/>
      <c r="H33" s="201"/>
      <c r="I33" s="189" t="str">
        <f t="shared" ref="I33:AV33" si="28">IFERROR((I34-I35)/I34,"")</f>
        <v/>
      </c>
      <c r="J33" s="190" t="str">
        <f t="shared" si="28"/>
        <v/>
      </c>
      <c r="K33" s="191" t="str">
        <f t="shared" si="28"/>
        <v/>
      </c>
      <c r="L33" s="191" t="str">
        <f t="shared" si="28"/>
        <v/>
      </c>
      <c r="M33" s="191" t="str">
        <f t="shared" si="28"/>
        <v/>
      </c>
      <c r="N33" s="192" t="str">
        <f t="shared" si="28"/>
        <v/>
      </c>
      <c r="O33" s="193" t="str">
        <f t="shared" si="28"/>
        <v/>
      </c>
      <c r="P33" s="193" t="str">
        <f t="shared" si="28"/>
        <v/>
      </c>
      <c r="Q33" s="193" t="str">
        <f t="shared" si="28"/>
        <v/>
      </c>
      <c r="R33" s="193" t="str">
        <f t="shared" si="28"/>
        <v/>
      </c>
      <c r="S33" s="193" t="str">
        <f t="shared" si="28"/>
        <v/>
      </c>
      <c r="T33" s="193" t="str">
        <f t="shared" si="28"/>
        <v/>
      </c>
      <c r="U33" s="193" t="str">
        <f t="shared" si="28"/>
        <v/>
      </c>
      <c r="V33" s="193" t="str">
        <f t="shared" si="28"/>
        <v/>
      </c>
      <c r="W33" s="193" t="str">
        <f t="shared" si="28"/>
        <v/>
      </c>
      <c r="X33" s="193" t="str">
        <f t="shared" si="28"/>
        <v/>
      </c>
      <c r="Y33" s="193" t="str">
        <f t="shared" si="28"/>
        <v/>
      </c>
      <c r="Z33" s="193" t="str">
        <f t="shared" si="28"/>
        <v/>
      </c>
      <c r="AA33" s="193" t="str">
        <f t="shared" si="28"/>
        <v/>
      </c>
      <c r="AB33" s="193" t="str">
        <f t="shared" si="28"/>
        <v/>
      </c>
      <c r="AC33" s="193" t="str">
        <f t="shared" si="28"/>
        <v/>
      </c>
      <c r="AD33" s="193" t="str">
        <f t="shared" si="28"/>
        <v/>
      </c>
      <c r="AE33" s="193" t="str">
        <f t="shared" si="28"/>
        <v/>
      </c>
      <c r="AF33" s="193" t="str">
        <f t="shared" si="28"/>
        <v/>
      </c>
      <c r="AG33" s="193" t="str">
        <f t="shared" si="28"/>
        <v/>
      </c>
      <c r="AH33" s="193" t="str">
        <f t="shared" si="28"/>
        <v/>
      </c>
      <c r="AI33" s="193" t="str">
        <f t="shared" si="28"/>
        <v/>
      </c>
      <c r="AJ33" s="193" t="str">
        <f t="shared" si="28"/>
        <v/>
      </c>
      <c r="AK33" s="193" t="str">
        <f t="shared" si="28"/>
        <v/>
      </c>
      <c r="AL33" s="193" t="str">
        <f t="shared" si="28"/>
        <v/>
      </c>
      <c r="AM33" s="193" t="str">
        <f t="shared" si="28"/>
        <v/>
      </c>
      <c r="AN33" s="189" t="str">
        <f t="shared" si="28"/>
        <v/>
      </c>
      <c r="AO33" s="162" t="str">
        <f t="shared" si="28"/>
        <v/>
      </c>
      <c r="AP33" s="163" t="str">
        <f t="shared" si="28"/>
        <v/>
      </c>
      <c r="AQ33" s="163" t="str">
        <f t="shared" si="28"/>
        <v/>
      </c>
      <c r="AR33" s="163" t="str">
        <f t="shared" si="28"/>
        <v/>
      </c>
      <c r="AS33" s="163" t="str">
        <f t="shared" si="28"/>
        <v/>
      </c>
      <c r="AT33" s="163" t="str">
        <f t="shared" si="28"/>
        <v/>
      </c>
      <c r="AU33" s="194" t="str">
        <f t="shared" si="28"/>
        <v/>
      </c>
      <c r="AV33" s="165" t="str">
        <f t="shared" si="28"/>
        <v/>
      </c>
    </row>
    <row r="34" spans="1:48" x14ac:dyDescent="0.25">
      <c r="A34" s="133" t="str">
        <f t="shared" ref="A34" si="29">+IF(C34+C35=0,"[ocultar]","")</f>
        <v>[ocultar]</v>
      </c>
      <c r="B34" s="202" t="s">
        <v>394</v>
      </c>
      <c r="C34" s="203">
        <f t="array" ref="C34">SUM(IF($B34=DATOS_[Sexo],
IF($B33=DATOS_[AGRUP. VALOR. PTO.],
IF("Dentro"=DATOS_[Check Periodo Ref.],
1/(COUNTIFS(DATOS_[Sexo],$B34,DATOS_[AGRUP. VALOR. PTO.],$B33,DATOS_[Check Periodo Ref.],"Dentro",DATOS_[id/cod],DATOS_[id/cod]))))))</f>
        <v>0</v>
      </c>
      <c r="D34" s="204">
        <f>COUNTIFS(DATOS_[AGRUP. VALOR. PTO.],$B33,DATOS_[Sexo],$B34,DATOS_[Check Periodo Ref.],"Dentro")</f>
        <v>0</v>
      </c>
      <c r="E34" s="204">
        <f>COUNTIFS(DATOS_[AGRUP. VALOR. PTO.],$B33,DATOS_[Sexo],$B34,DATOS_[Check Periodo Ref.],"Dentro",DATOS_[Check Nº SC Norm],"Sí")</f>
        <v>0</v>
      </c>
      <c r="F34" s="204">
        <f>COUNTIFS(DATOS_[AGRUP. VALOR. PTO.],$B33,DATOS_[Sexo],$B34,DATOS_[Check Periodo Ref.],"Dentro",DATOS_[Check Nº SC Anualiz],"Sí")</f>
        <v>0</v>
      </c>
      <c r="G34" s="204">
        <f>COUNTIFS(DATOS_[AGRUP. VALOR. PTO.],$B33,DATOS_[Sexo],$B34,DATOS_[Check Periodo Ref.],"Dentro",DATOS_[Check Nº SC Norm y Anualiz],"Sí")</f>
        <v>0</v>
      </c>
      <c r="H34" s="204">
        <f>COUNTIFS(DATOS_[AGRUP. VALOR. PTO.],$B33,DATOS_[Sexo],$B34,DATOS_[Check Periodo Ref.],"Dentro",DATOS_[Check Equiparación],"Sí")</f>
        <v>0</v>
      </c>
      <c r="I34" s="195">
        <f t="array" ref="I34">IFERROR(
AVERAGE(IF(DATOS_[Sexo]=$B34,IF(DATOS_[[AGRUP. VALOR. PTO.]:[AGRUP. VALOR. PTO.]]=$B33,IF(DATOS_[Check Equiparado]="Sí",IF(DATOS_[Check Periodo Ref.]="Dentro",DATOS_[SALARIO BASE Eq],FALSE))))),
0)</f>
        <v>0</v>
      </c>
      <c r="J34" s="196">
        <f t="array" ref="J34">IFERROR(
(AVERAGE((IF(DATOS_[[Sexo]:[Sexo]]=$B34,IF(DATOS_[[AGRUP. VALOR. PTO.]:[AGRUP. VALOR. PTO.]]=$B33,IF(DATOS_[[Check Periodo Ref.]:[Check Periodo Ref.]]="Dentro",IF(DATOS_[[Check Equiparado]:[Check Equiparado]]="Sí",IF(DATOS!AE$5="Sí",(1/DATOS_[[% anualiz]:[% anualiz]]),1)*IF(DATOS!AE$4="Sí",1/DATOS_[[% normaliz]:[% normaliz]],1)*(DATOS_[Conc.Sal.01])))))))),
0)</f>
        <v>0</v>
      </c>
      <c r="K34" s="196">
        <f t="array" ref="K34">IFERROR(
(AVERAGE((IF(DATOS_[[Sexo]:[Sexo]]=$B34,IF(DATOS_[[AGRUP. VALOR. PTO.]:[AGRUP. VALOR. PTO.]]=$B33,IF(DATOS_[[Check Periodo Ref.]:[Check Periodo Ref.]]="Dentro",IF(DATOS_[[Check Equiparado]:[Check Equiparado]]="Sí",IF(DATOS!AF$5="Sí",(1/DATOS_[[% anualiz]:[% anualiz]]),1)*IF(DATOS!AF$4="Sí",1/DATOS_[[% normaliz]:[% normaliz]],1)*(DATOS_[Conc.Sal.02])))))))),
0)</f>
        <v>0</v>
      </c>
      <c r="L34" s="196">
        <f t="array" ref="L34">IFERROR(
(AVERAGE((IF(DATOS_[[Sexo]:[Sexo]]=$B34,IF(DATOS_[[AGRUP. VALOR. PTO.]:[AGRUP. VALOR. PTO.]]=$B33,IF(DATOS_[[Check Periodo Ref.]:[Check Periodo Ref.]]="Dentro",IF(DATOS_[[Check Equiparado]:[Check Equiparado]]="Sí",IF(DATOS!AG$5="Sí",(1/DATOS_[[% anualiz]:[% anualiz]]),1)*IF(DATOS!AG$4="Sí",1/DATOS_[[% normaliz]:[% normaliz]],1)*(DATOS_[Conc.Sal.03])))))))),
0)</f>
        <v>0</v>
      </c>
      <c r="M34" s="196">
        <f t="array" ref="M34">IFERROR(
(AVERAGE((IF(DATOS_[[Sexo]:[Sexo]]=$B34,IF(DATOS_[[AGRUP. VALOR. PTO.]:[AGRUP. VALOR. PTO.]]=$B33,IF(DATOS_[[Check Periodo Ref.]:[Check Periodo Ref.]]="Dentro",IF(DATOS_[[Check Equiparado]:[Check Equiparado]]="Sí",IF(DATOS!AH$5="Sí",(1/DATOS_[[% anualiz]:[% anualiz]]),1)*IF(DATOS!AH$4="Sí",1/DATOS_[[% normaliz]:[% normaliz]],1)*(DATOS_[Conc.Sal.04])))))))),
0)</f>
        <v>0</v>
      </c>
      <c r="N34" s="196">
        <f t="array" ref="N34">IFERROR(
(AVERAGE((IF(DATOS_[[Sexo]:[Sexo]]=$B34,IF(DATOS_[[AGRUP. VALOR. PTO.]:[AGRUP. VALOR. PTO.]]=$B33,IF(DATOS_[[Check Periodo Ref.]:[Check Periodo Ref.]]="Dentro",IF(DATOS_[[Check Equiparado]:[Check Equiparado]]="Sí",IF(DATOS!AI$5="Sí",(1/DATOS_[[% anualiz]:[% anualiz]]),1)*IF(DATOS!AI$4="Sí",1/DATOS_[[% normaliz]:[% normaliz]],1)*(DATOS_[Conc.Sal.05])))))))),
0)</f>
        <v>0</v>
      </c>
      <c r="O34" s="196">
        <f t="array" ref="O34">IFERROR(
(AVERAGE((IF(DATOS_[[Sexo]:[Sexo]]=$B34,IF(DATOS_[[AGRUP. VALOR. PTO.]:[AGRUP. VALOR. PTO.]]=$B33,IF(DATOS_[[Check Periodo Ref.]:[Check Periodo Ref.]]="Dentro",IF(DATOS_[[Check Equiparado]:[Check Equiparado]]="Sí",IF(DATOS!AJ$5="Sí",(1/DATOS_[[% anualiz]:[% anualiz]]),1)*IF(DATOS!AJ$4="Sí",1/DATOS_[[% normaliz]:[% normaliz]],1)*(DATOS_[Conc.Sal.06])))))))),
0)</f>
        <v>0</v>
      </c>
      <c r="P34" s="196">
        <f t="array" ref="P34">IFERROR(
(AVERAGE((IF(DATOS_[[Sexo]:[Sexo]]=$B34,IF(DATOS_[[AGRUP. VALOR. PTO.]:[AGRUP. VALOR. PTO.]]=$B33,IF(DATOS_[[Check Periodo Ref.]:[Check Periodo Ref.]]="Dentro",IF(DATOS_[[Check Equiparado]:[Check Equiparado]]="Sí",IF(DATOS!AK$5="Sí",(1/DATOS_[[% anualiz]:[% anualiz]]),1)*IF(DATOS!AK$4="Sí",1/DATOS_[[% normaliz]:[% normaliz]],1)*(DATOS_[Conc.Sal.07])))))))),
0)</f>
        <v>0</v>
      </c>
      <c r="Q34" s="196">
        <f t="array" ref="Q34">IFERROR(
(AVERAGE((IF(DATOS_[[Sexo]:[Sexo]]=$B34,IF(DATOS_[[AGRUP. VALOR. PTO.]:[AGRUP. VALOR. PTO.]]=$B33,IF(DATOS_[[Check Periodo Ref.]:[Check Periodo Ref.]]="Dentro",IF(DATOS_[[Check Equiparado]:[Check Equiparado]]="Sí",IF(DATOS!AL$5="Sí",(1/DATOS_[[% anualiz]:[% anualiz]]),1)*IF(DATOS!AL$4="Sí",1/DATOS_[[% normaliz]:[% normaliz]],1)*(DATOS_[Conc.Sal.08])))))))),
0)</f>
        <v>0</v>
      </c>
      <c r="R34" s="196">
        <f t="array" ref="R34">IFERROR(
(AVERAGE((IF(DATOS_[[Sexo]:[Sexo]]=$B34,IF(DATOS_[[AGRUP. VALOR. PTO.]:[AGRUP. VALOR. PTO.]]=$B33,IF(DATOS_[[Check Periodo Ref.]:[Check Periodo Ref.]]="Dentro",IF(DATOS_[[Check Equiparado]:[Check Equiparado]]="Sí",IF(DATOS!AM$5="Sí",(1/DATOS_[[% anualiz]:[% anualiz]]),1)*IF(DATOS!AM$4="Sí",1/DATOS_[[% normaliz]:[% normaliz]],1)*(DATOS_[Conc.Sal.09])))))))),
0)</f>
        <v>0</v>
      </c>
      <c r="S34" s="196">
        <f t="array" ref="S34">IFERROR(
(AVERAGE((IF(DATOS_[[Sexo]:[Sexo]]=$B34,IF(DATOS_[[AGRUP. VALOR. PTO.]:[AGRUP. VALOR. PTO.]]=$B33,IF(DATOS_[[Check Periodo Ref.]:[Check Periodo Ref.]]="Dentro",IF(DATOS_[[Check Equiparado]:[Check Equiparado]]="Sí",IF(DATOS!AN$5="Sí",(1/DATOS_[[% anualiz]:[% anualiz]]),1)*IF(DATOS!AN$4="Sí",1/DATOS_[[% normaliz]:[% normaliz]],1)*(DATOS_[Conc.Sal.10])))))))),
0)</f>
        <v>0</v>
      </c>
      <c r="T34" s="196">
        <f t="array" ref="T34">IFERROR(
(AVERAGE((IF(DATOS_[[Sexo]:[Sexo]]=$B34,IF(DATOS_[[AGRUP. VALOR. PTO.]:[AGRUP. VALOR. PTO.]]=$B33,IF(DATOS_[[Check Periodo Ref.]:[Check Periodo Ref.]]="Dentro",IF(DATOS_[[Check Equiparado]:[Check Equiparado]]="Sí",IF(DATOS!AO$5="Sí",(1/DATOS_[[% anualiz]:[% anualiz]]),1)*IF(DATOS!AO$4="Sí",1/DATOS_[[% normaliz]:[% normaliz]],1)*(DATOS_[Conc.Sal.11])))))))),
0)</f>
        <v>0</v>
      </c>
      <c r="U34" s="196">
        <f t="array" ref="U34">IFERROR(
(AVERAGE((IF(DATOS_[[Sexo]:[Sexo]]=$B34,IF(DATOS_[[AGRUP. VALOR. PTO.]:[AGRUP. VALOR. PTO.]]=$B33,IF(DATOS_[[Check Periodo Ref.]:[Check Periodo Ref.]]="Dentro",IF(DATOS_[[Check Equiparado]:[Check Equiparado]]="Sí",IF(DATOS!AP$5="Sí",(1/DATOS_[[% anualiz]:[% anualiz]]),1)*IF(DATOS!AP$4="Sí",1/DATOS_[[% normaliz]:[% normaliz]],1)*(DATOS_[Conc.Sal.12])))))))),
0)</f>
        <v>0</v>
      </c>
      <c r="V34" s="196">
        <f t="array" ref="V34">IFERROR(
(AVERAGE((IF(DATOS_[[Sexo]:[Sexo]]=$B34,IF(DATOS_[[AGRUP. VALOR. PTO.]:[AGRUP. VALOR. PTO.]]=$B33,IF(DATOS_[[Check Periodo Ref.]:[Check Periodo Ref.]]="Dentro",IF(DATOS_[[Check Equiparado]:[Check Equiparado]]="Sí",IF(DATOS!AQ$5="Sí",(1/DATOS_[[% anualiz]:[% anualiz]]),1)*IF(DATOS!AQ$4="Sí",1/DATOS_[[% normaliz]:[% normaliz]],1)*(DATOS_[Conc.Sal.13])))))))),
0)</f>
        <v>0</v>
      </c>
      <c r="W34" s="196">
        <f t="array" ref="W34">IFERROR(
(AVERAGE((IF(DATOS_[[Sexo]:[Sexo]]=$B34,IF(DATOS_[[AGRUP. VALOR. PTO.]:[AGRUP. VALOR. PTO.]]=$B33,IF(DATOS_[[Check Periodo Ref.]:[Check Periodo Ref.]]="Dentro",IF(DATOS_[[Check Equiparado]:[Check Equiparado]]="Sí",IF(DATOS!AR$5="Sí",(1/DATOS_[[% anualiz]:[% anualiz]]),1)*IF(DATOS!AR$4="Sí",1/DATOS_[[% normaliz]:[% normaliz]],1)*(DATOS_[Conc.Sal.14])))))))),
0)</f>
        <v>0</v>
      </c>
      <c r="X34" s="196">
        <f t="array" ref="X34">IFERROR(
(AVERAGE((IF(DATOS_[[Sexo]:[Sexo]]=$B34,IF(DATOS_[[AGRUP. VALOR. PTO.]:[AGRUP. VALOR. PTO.]]=$B33,IF(DATOS_[[Check Periodo Ref.]:[Check Periodo Ref.]]="Dentro",IF(DATOS_[[Check Equiparado]:[Check Equiparado]]="Sí",IF(DATOS!AS$5="Sí",(1/DATOS_[[% anualiz]:[% anualiz]]),1)*IF(DATOS!AS$4="Sí",1/DATOS_[[% normaliz]:[% normaliz]],1)*(DATOS_[Conc.Sal.15])))))))),
0)</f>
        <v>0</v>
      </c>
      <c r="Y34" s="196">
        <f t="array" ref="Y34">IFERROR(
(AVERAGE((IF(DATOS_[[Sexo]:[Sexo]]=$B34,IF(DATOS_[[AGRUP. VALOR. PTO.]:[AGRUP. VALOR. PTO.]]=$B33,IF(DATOS_[[Check Periodo Ref.]:[Check Periodo Ref.]]="Dentro",IF(DATOS_[[Check Equiparado]:[Check Equiparado]]="Sí",IF(DATOS!AT$5="Sí",(1/DATOS_[[% anualiz]:[% anualiz]]),1)*IF(DATOS!AT$4="Sí",1/DATOS_[[% normaliz]:[% normaliz]],1)*(DATOS_[Conc.Sal.16])))))))),
0)</f>
        <v>0</v>
      </c>
      <c r="Z34" s="196">
        <f t="array" ref="Z34">IFERROR(
(AVERAGE((IF(DATOS_[[Sexo]:[Sexo]]=$B34,IF(DATOS_[[AGRUP. VALOR. PTO.]:[AGRUP. VALOR. PTO.]]=$B33,IF(DATOS_[[Check Periodo Ref.]:[Check Periodo Ref.]]="Dentro",IF(DATOS_[[Check Equiparado]:[Check Equiparado]]="Sí",IF(DATOS!AU$5="Sí",(1/DATOS_[[% anualiz]:[% anualiz]]),1)*IF(DATOS!AU$4="Sí",1/DATOS_[[% normaliz]:[% normaliz]],1)*(DATOS_[Conc.Sal.17])))))))),
0)</f>
        <v>0</v>
      </c>
      <c r="AA34" s="196">
        <f t="array" ref="AA34">IFERROR(
(AVERAGE((IF(DATOS_[[Sexo]:[Sexo]]=$B34,IF(DATOS_[[AGRUP. VALOR. PTO.]:[AGRUP. VALOR. PTO.]]=$B33,IF(DATOS_[[Check Periodo Ref.]:[Check Periodo Ref.]]="Dentro",IF(DATOS_[[Check Equiparado]:[Check Equiparado]]="Sí",IF(DATOS!AV$5="Sí",(1/DATOS_[[% anualiz]:[% anualiz]]),1)*IF(DATOS!AV$4="Sí",1/DATOS_[[% normaliz]:[% normaliz]],1)*(DATOS_[Conc.Sal.18])))))))),
0)</f>
        <v>0</v>
      </c>
      <c r="AB34" s="196">
        <f t="array" ref="AB34">IFERROR(
(AVERAGE((IF(DATOS_[[Sexo]:[Sexo]]=$B34,IF(DATOS_[[AGRUP. VALOR. PTO.]:[AGRUP. VALOR. PTO.]]=$B33,IF(DATOS_[[Check Periodo Ref.]:[Check Periodo Ref.]]="Dentro",IF(DATOS_[[Check Equiparado]:[Check Equiparado]]="Sí",IF(DATOS!AW$5="Sí",(1/DATOS_[[% anualiz]:[% anualiz]]),1)*IF(DATOS!AW$4="Sí",1/DATOS_[[% normaliz]:[% normaliz]],1)*(DATOS_[Conc.Sal.19])))))))),
0)</f>
        <v>0</v>
      </c>
      <c r="AC34" s="196">
        <f t="array" ref="AC34">IFERROR(
(AVERAGE((IF(DATOS_[[Sexo]:[Sexo]]=$B34,IF(DATOS_[[AGRUP. VALOR. PTO.]:[AGRUP. VALOR. PTO.]]=$B33,IF(DATOS_[[Check Periodo Ref.]:[Check Periodo Ref.]]="Dentro",IF(DATOS_[[Check Equiparado]:[Check Equiparado]]="Sí",IF(DATOS!AX$5="Sí",(1/DATOS_[[% anualiz]:[% anualiz]]),1)*IF(DATOS!AX$4="Sí",1/DATOS_[[% normaliz]:[% normaliz]],1)*(DATOS_[Conc.Sal.20])))))))),
0)</f>
        <v>0</v>
      </c>
      <c r="AD34" s="196">
        <f t="array" ref="AD34">IFERROR(
(AVERAGE((IF(DATOS_[[Sexo]:[Sexo]]=$B34,IF(DATOS_[[AGRUP. VALOR. PTO.]:[AGRUP. VALOR. PTO.]]=$B33,IF(DATOS_[[Check Periodo Ref.]:[Check Periodo Ref.]]="Dentro",IF(DATOS_[[Check Equiparado]:[Check Equiparado]]="Sí",IF(DATOS!AY$5="Sí",(1/DATOS_[[% anualiz]:[% anualiz]]),1)*IF(DATOS!AY$4="Sí",1/DATOS_[[% normaliz]:[% normaliz]],1)*(DATOS_[Conc.Sal.21])))))))),
0)</f>
        <v>0</v>
      </c>
      <c r="AE34" s="196">
        <f t="array" ref="AE34">IFERROR(
(AVERAGE((IF(DATOS_[[Sexo]:[Sexo]]=$B34,IF(DATOS_[[AGRUP. VALOR. PTO.]:[AGRUP. VALOR. PTO.]]=$B33,IF(DATOS_[[Check Periodo Ref.]:[Check Periodo Ref.]]="Dentro",IF(DATOS_[[Check Equiparado]:[Check Equiparado]]="Sí",IF(DATOS!AZ$5="Sí",(1/DATOS_[[% anualiz]:[% anualiz]]),1)*IF(DATOS!AZ$4="Sí",1/DATOS_[[% normaliz]:[% normaliz]],1)*(DATOS_[Conc.Sal.22])))))))),
0)</f>
        <v>0</v>
      </c>
      <c r="AF34" s="196">
        <f t="array" ref="AF34">IFERROR(
(AVERAGE((IF(DATOS_[[Sexo]:[Sexo]]=$B34,IF(DATOS_[[AGRUP. VALOR. PTO.]:[AGRUP. VALOR. PTO.]]=$B33,IF(DATOS_[[Check Periodo Ref.]:[Check Periodo Ref.]]="Dentro",IF(DATOS_[[Check Equiparado]:[Check Equiparado]]="Sí",IF(DATOS!BA$5="Sí",(1/DATOS_[[% anualiz]:[% anualiz]]),1)*IF(DATOS!BA$4="Sí",1/DATOS_[[% normaliz]:[% normaliz]],1)*(DATOS_[Conc.Sal.23])))))))),
0)</f>
        <v>0</v>
      </c>
      <c r="AG34" s="196">
        <f t="array" ref="AG34">IFERROR(
(AVERAGE((IF(DATOS_[[Sexo]:[Sexo]]=$B34,IF(DATOS_[[AGRUP. VALOR. PTO.]:[AGRUP. VALOR. PTO.]]=$B33,IF(DATOS_[[Check Periodo Ref.]:[Check Periodo Ref.]]="Dentro",IF(DATOS_[[Check Equiparado]:[Check Equiparado]]="Sí",IF(DATOS!BB$5="Sí",(1/DATOS_[[% anualiz]:[% anualiz]]),1)*IF(DATOS!BB$4="Sí",1/DATOS_[[% normaliz]:[% normaliz]],1)*(DATOS_[Conc.Sal.24])))))))),
0)</f>
        <v>0</v>
      </c>
      <c r="AH34" s="196">
        <f t="array" ref="AH34">IFERROR(
(AVERAGE((IF(DATOS_[[Sexo]:[Sexo]]=$B34,IF(DATOS_[[AGRUP. VALOR. PTO.]:[AGRUP. VALOR. PTO.]]=$B33,IF(DATOS_[[Check Periodo Ref.]:[Check Periodo Ref.]]="Dentro",IF(DATOS_[[Check Equiparado]:[Check Equiparado]]="Sí",IF(DATOS!BC$5="Sí",(1/DATOS_[[% anualiz]:[% anualiz]]),1)*IF(DATOS!BC$4="Sí",1/DATOS_[[% normaliz]:[% normaliz]],1)*(DATOS_[Conc.Sal.25])))))))),
0)</f>
        <v>0</v>
      </c>
      <c r="AI34" s="196">
        <f t="array" ref="AI34">IFERROR(
(AVERAGE((IF(DATOS_[[Sexo]:[Sexo]]=$B34,IF(DATOS_[[AGRUP. VALOR. PTO.]:[AGRUP. VALOR. PTO.]]=$B33,IF(DATOS_[[Check Periodo Ref.]:[Check Periodo Ref.]]="Dentro",IF(DATOS_[[Check Equiparado]:[Check Equiparado]]="Sí",IF(DATOS!BD$5="Sí",(1/DATOS_[[% anualiz]:[% anualiz]]),1)*IF(DATOS!BD$4="Sí",1/DATOS_[[% normaliz]:[% normaliz]],1)*(DATOS_[Conc.Sal.26])))))))),
0)</f>
        <v>0</v>
      </c>
      <c r="AJ34" s="196">
        <f t="array" ref="AJ34">IFERROR(
(AVERAGE((IF(DATOS_[[Sexo]:[Sexo]]=$B34,IF(DATOS_[[AGRUP. VALOR. PTO.]:[AGRUP. VALOR. PTO.]]=$B33,IF(DATOS_[[Check Periodo Ref.]:[Check Periodo Ref.]]="Dentro",IF(DATOS_[[Check Equiparado]:[Check Equiparado]]="Sí",IF(DATOS!BE$5="Sí",(1/DATOS_[[% anualiz]:[% anualiz]]),1)*IF(DATOS!BE$4="Sí",1/DATOS_[[% normaliz]:[% normaliz]],1)*(DATOS_[Conc.Sal.27])))))))),
0)</f>
        <v>0</v>
      </c>
      <c r="AK34" s="196">
        <f t="array" ref="AK34">IFERROR(
(AVERAGE((IF(DATOS_[[Sexo]:[Sexo]]=$B34,IF(DATOS_[[AGRUP. VALOR. PTO.]:[AGRUP. VALOR. PTO.]]=$B33,IF(DATOS_[[Check Periodo Ref.]:[Check Periodo Ref.]]="Dentro",IF(DATOS_[[Check Equiparado]:[Check Equiparado]]="Sí",IF(DATOS!BF$5="Sí",(1/DATOS_[[% anualiz]:[% anualiz]]),1)*IF(DATOS!BF$4="Sí",1/DATOS_[[% normaliz]:[% normaliz]],1)*(DATOS_[Conc.Sal.28])))))))),
0)</f>
        <v>0</v>
      </c>
      <c r="AL34" s="196">
        <f t="array" ref="AL34">IFERROR(
(AVERAGE((IF(DATOS_[[Sexo]:[Sexo]]=$B34,IF(DATOS_[[AGRUP. VALOR. PTO.]:[AGRUP. VALOR. PTO.]]=$B33,IF(DATOS_[[Check Periodo Ref.]:[Check Periodo Ref.]]="Dentro",IF(DATOS_[[Check Equiparado]:[Check Equiparado]]="Sí",IF(DATOS!BG$5="Sí",(1/DATOS_[[% anualiz]:[% anualiz]]),1)*IF(DATOS!BG$4="Sí",1/DATOS_[[% normaliz]:[% normaliz]],1)*(DATOS_[Conc.Sal.29])))))))),
0)</f>
        <v>0</v>
      </c>
      <c r="AM34" s="196">
        <f t="array" ref="AM34">IFERROR(
(AVERAGE((IF(DATOS_[[Sexo]:[Sexo]]=$B34,IF(DATOS_[[AGRUP. VALOR. PTO.]:[AGRUP. VALOR. PTO.]]=$B33,IF(DATOS_[[Check Periodo Ref.]:[Check Periodo Ref.]]="Dentro",IF(DATOS_[[Check Equiparado]:[Check Equiparado]]="Sí",IF(DATOS!BH$5="Sí",(1/DATOS_[[% anualiz]:[% anualiz]]),1)*IF(DATOS!BH$4="Sí",1/DATOS_[[% normaliz]:[% normaliz]],1)*(DATOS_[Conc.Sal.30])))))))),
0)</f>
        <v>0</v>
      </c>
      <c r="AN34" s="195">
        <f t="array" ref="AN34">IFERROR(
AVERAGE(IF(DATOS_[Sexo]=$B34,IF(DATOS_[[AGRUP. VALOR. PTO.]:[AGRUP. VALOR. PTO.]]=$B33,IF(DATOS_[Check Equiparado]="Sí",IF(DATOS_[Check Periodo Ref.]="Dentro",DATOS_[Tot COMPL.SAL Eq],FALSE))))),
0)</f>
        <v>0</v>
      </c>
      <c r="AO34" s="172">
        <f t="array" ref="AO34">IFERROR(
AVERAGE(IF(DATOS_[Sexo]=$B34,IF(DATOS_[[AGRUP. VALOR. PTO.]:[AGRUP. VALOR. PTO.]]=$B33,IF(DATOS_[Check Equiparado]="Sí",IF(DATOS_[Check Periodo Ref.]="Dentro",DATOS_[TOTAL SALARIO Eq],FALSE))))),
0)</f>
        <v>0</v>
      </c>
      <c r="AP34" s="173">
        <f t="array" ref="AP34">IFERROR(
(AVERAGE((IF(DATOS_[[Sexo]:[Sexo]]=$B34,IF(DATOS_[[AGRUP. VALOR. PTO.]:[AGRUP. VALOR. PTO.]]=$B33,IF(DATOS_[[Check Periodo Ref.]:[Check Periodo Ref.]]="Dentro",IF(DATOS_[[Check Equiparado]:[Check Equiparado]]="Sí",IF(DATOS!BW$5="Sí",(1/DATOS_[[% anualiz]:[% anualiz]]),1)*IF(DATOS!BW$4="Sí",1/DATOS_[[% normaliz]:[% normaliz]],1)*(DATOS_[C.Extra.01])))))))),
0)</f>
        <v>0</v>
      </c>
      <c r="AQ34" s="173">
        <f t="array" ref="AQ34">IFERROR(
(AVERAGE((IF(DATOS_[[Sexo]:[Sexo]]=$B34,IF(DATOS_[[AGRUP. VALOR. PTO.]:[AGRUP. VALOR. PTO.]]=$B33,IF(DATOS_[[Check Periodo Ref.]:[Check Periodo Ref.]]="Dentro",IF(DATOS_[[Check Equiparado]:[Check Equiparado]]="Sí",IF(DATOS!CB$5="Sí",(1/DATOS_[[% anualiz]:[% anualiz]]),1)*IF(DATOS!CB$4="Sí",1/DATOS_[[% normaliz]:[% normaliz]],1)*(DATOS_[C.Extra.06])))))))),
0)</f>
        <v>0</v>
      </c>
      <c r="AR34" s="173">
        <f t="array" ref="AR34">IFERROR(
(AVERAGE((IF(DATOS_[[Sexo]:[Sexo]]=$B34,IF(DATOS_[[AGRUP. VALOR. PTO.]:[AGRUP. VALOR. PTO.]]=$B33,IF(DATOS_[[Check Periodo Ref.]:[Check Periodo Ref.]]="Dentro",IF(DATOS_[[Check Equiparado]:[Check Equiparado]]="Sí",IF(DATOS!CC$5="Sí",(1/DATOS_[[% anualiz]:[% anualiz]]),1)*IF(DATOS!CC$4="Sí",1/DATOS_[[% normaliz]:[% normaliz]],1)*(DATOS_[C.Extra.07])))))))),
0)</f>
        <v>0</v>
      </c>
      <c r="AS34" s="173">
        <f t="array" ref="AS34">IFERROR(
(AVERAGE((IF(DATOS_[[Sexo]:[Sexo]]=$B34,IF(DATOS_[[AGRUP. VALOR. PTO.]:[AGRUP. VALOR. PTO.]]=$B33,IF(DATOS_[[Check Periodo Ref.]:[Check Periodo Ref.]]="Dentro",IF(DATOS_[[Check Equiparado]:[Check Equiparado]]="Sí",IF(DATOS!CD$5="Sí",(1/DATOS_[[% anualiz]:[% anualiz]]),1)*IF(DATOS!CD$4="Sí",1/DATOS_[[% normaliz]:[% normaliz]],1)*(DATOS_[C.Extra.08])))))))),
0)</f>
        <v>0</v>
      </c>
      <c r="AT34" s="173">
        <f t="array" ref="AT34">IFERROR(
(AVERAGE((IF(DATOS_[[Sexo]:[Sexo]]=$B34,IF(DATOS_[[AGRUP. VALOR. PTO.]:[AGRUP. VALOR. PTO.]]=$B33,IF(DATOS_[[Check Periodo Ref.]:[Check Periodo Ref.]]="Dentro",IF(DATOS_[[Check Equiparado]:[Check Equiparado]]="Sí",IF(DATOS!CG$5="Sí",(1/DATOS_[[% anualiz]:[% anualiz]]),1)*IF(DATOS!CG$4="Sí",1/DATOS_[[% normaliz]:[% normaliz]],1)*(DATOS_[C.Extra.11])))))))),
0)</f>
        <v>0</v>
      </c>
      <c r="AU34" s="197">
        <f t="array" ref="AU34">IFERROR(
AVERAGE(IF(DATOS_[Sexo]=$B34,IF(DATOS_[[AGRUP. VALOR. PTO.]:[AGRUP. VALOR. PTO.]]=$B33,IF(DATOS_[Check Equiparado]="Sí",IF(DATOS_[Check Periodo Ref.]="Dentro",DATOS_[Tot Extrasalarial Eq],FALSE))))),
0)</f>
        <v>0</v>
      </c>
      <c r="AV34" s="175">
        <f t="array" ref="AV34">IFERROR(
AVERAGE(IF(DATOS_[Sexo]=$B34,IF(DATOS_[[AGRUP. VALOR. PTO.]:[AGRUP. VALOR. PTO.]]=$B33,IF(DATOS_[Check Equiparado]="Sí",IF(DATOS_[Check Periodo Ref.]="Dentro",DATOS_[TOTAL Retrib Eq],FALSE))))),
0)</f>
        <v>0</v>
      </c>
    </row>
    <row r="35" spans="1:48" x14ac:dyDescent="0.25">
      <c r="A35" s="133" t="str">
        <f t="shared" ref="A35" si="30">+A34</f>
        <v>[ocultar]</v>
      </c>
      <c r="B35" s="202" t="s">
        <v>521</v>
      </c>
      <c r="C35" s="203">
        <f t="array" ref="C35">SUM(IF($B35=DATOS_[Sexo],
IF($B33=DATOS_[AGRUP. VALOR. PTO.],
IF("Dentro"=DATOS_[Check Periodo Ref.],
1/(COUNTIFS(DATOS_[Sexo],$B35,DATOS_[AGRUP. VALOR. PTO.],$B33,DATOS_[Check Periodo Ref.],"Dentro",DATOS_[id/cod],DATOS_[id/cod]))))))</f>
        <v>0</v>
      </c>
      <c r="D35" s="204">
        <f>COUNTIFS(DATOS_[AGRUP. VALOR. PTO.],$B33,DATOS_[Sexo],$B35,DATOS_[Check Periodo Ref.],"Dentro")</f>
        <v>0</v>
      </c>
      <c r="E35" s="204">
        <f>COUNTIFS(DATOS_[AGRUP. VALOR. PTO.],$B33,DATOS_[Sexo],$B35,DATOS_[Check Periodo Ref.],"Dentro",DATOS_[Check Nº SC Norm],"Sí")</f>
        <v>0</v>
      </c>
      <c r="F35" s="204">
        <f>COUNTIFS(DATOS_[AGRUP. VALOR. PTO.],$B33,DATOS_[Sexo],$B35,DATOS_[Check Periodo Ref.],"Dentro",DATOS_[Check Nº SC Anualiz],"Sí")</f>
        <v>0</v>
      </c>
      <c r="G35" s="204">
        <f>COUNTIFS(DATOS_[AGRUP. VALOR. PTO.],$B33,DATOS_[Sexo],$B35,DATOS_[Check Periodo Ref.],"Dentro",DATOS_[Check Nº SC Norm y Anualiz],"Sí")</f>
        <v>0</v>
      </c>
      <c r="H35" s="204">
        <f>COUNTIFS(DATOS_[AGRUP. VALOR. PTO.],$B33,DATOS_[Sexo],$B35,DATOS_[Check Periodo Ref.],"Dentro",DATOS_[Check Equiparación],"Sí")</f>
        <v>0</v>
      </c>
      <c r="I35" s="195" cm="1">
        <f t="array" ref="I35">IFERROR(
AVERAGE(IF(DATOS_[Sexo]=$B35,IF(DATOS_[[AGRUP. VALOR. PTO.]:[AGRUP. VALOR. PTO.]]=$B33,IF(DATOS_[Check Equiparado]="Sí",IF(DATOS_[Check Periodo Ref.]="Dentro",DATOS_[SALARIO BASE Eq],FALSE))))),
0)</f>
        <v>0</v>
      </c>
      <c r="J35" s="196">
        <f t="array" ref="J35">IFERROR(
(AVERAGE((IF(DATOS_[[Sexo]:[Sexo]]=$B35,IF(DATOS_[[AGRUP. VALOR. PTO.]:[AGRUP. VALOR. PTO.]]=$B33,IF(DATOS_[[Check Periodo Ref.]:[Check Periodo Ref.]]="Dentro",IF(DATOS_[[Check Equiparado]:[Check Equiparado]]="Sí",IF(DATOS!AE$5="Sí",(1/DATOS_[[% anualiz]:[% anualiz]]),1)*IF(DATOS!AE$4="Sí",1/DATOS_[[% normaliz]:[% normaliz]],1)*(DATOS_[Conc.Sal.01])))))))),
0)</f>
        <v>0</v>
      </c>
      <c r="K35" s="196">
        <f t="array" ref="K35">IFERROR(
(AVERAGE((IF(DATOS_[[Sexo]:[Sexo]]=$B35,IF(DATOS_[[AGRUP. VALOR. PTO.]:[AGRUP. VALOR. PTO.]]=$B33,IF(DATOS_[[Check Periodo Ref.]:[Check Periodo Ref.]]="Dentro",IF(DATOS_[[Check Equiparado]:[Check Equiparado]]="Sí",IF(DATOS!AF$5="Sí",(1/DATOS_[[% anualiz]:[% anualiz]]),1)*IF(DATOS!AF$4="Sí",1/DATOS_[[% normaliz]:[% normaliz]],1)*(DATOS_[Conc.Sal.02])))))))),
0)</f>
        <v>0</v>
      </c>
      <c r="L35" s="196">
        <f t="array" ref="L35">IFERROR(
(AVERAGE((IF(DATOS_[[Sexo]:[Sexo]]=$B35,IF(DATOS_[[AGRUP. VALOR. PTO.]:[AGRUP. VALOR. PTO.]]=$B33,IF(DATOS_[[Check Periodo Ref.]:[Check Periodo Ref.]]="Dentro",IF(DATOS_[[Check Equiparado]:[Check Equiparado]]="Sí",IF(DATOS!AG$5="Sí",(1/DATOS_[[% anualiz]:[% anualiz]]),1)*IF(DATOS!AG$4="Sí",1/DATOS_[[% normaliz]:[% normaliz]],1)*(DATOS_[Conc.Sal.03])))))))),
0)</f>
        <v>0</v>
      </c>
      <c r="M35" s="196">
        <f t="array" ref="M35">IFERROR(
(AVERAGE((IF(DATOS_[[Sexo]:[Sexo]]=$B35,IF(DATOS_[[AGRUP. VALOR. PTO.]:[AGRUP. VALOR. PTO.]]=$B33,IF(DATOS_[[Check Periodo Ref.]:[Check Periodo Ref.]]="Dentro",IF(DATOS_[[Check Equiparado]:[Check Equiparado]]="Sí",IF(DATOS!AH$5="Sí",(1/DATOS_[[% anualiz]:[% anualiz]]),1)*IF(DATOS!AH$4="Sí",1/DATOS_[[% normaliz]:[% normaliz]],1)*(DATOS_[Conc.Sal.04])))))))),
0)</f>
        <v>0</v>
      </c>
      <c r="N35" s="196">
        <f t="array" ref="N35">IFERROR(
(AVERAGE((IF(DATOS_[[Sexo]:[Sexo]]=$B35,IF(DATOS_[[AGRUP. VALOR. PTO.]:[AGRUP. VALOR. PTO.]]=$B33,IF(DATOS_[[Check Periodo Ref.]:[Check Periodo Ref.]]="Dentro",IF(DATOS_[[Check Equiparado]:[Check Equiparado]]="Sí",IF(DATOS!AI$5="Sí",(1/DATOS_[[% anualiz]:[% anualiz]]),1)*IF(DATOS!AI$4="Sí",1/DATOS_[[% normaliz]:[% normaliz]],1)*(DATOS_[Conc.Sal.05])))))))),
0)</f>
        <v>0</v>
      </c>
      <c r="O35" s="196">
        <f t="array" ref="O35">IFERROR(
(AVERAGE((IF(DATOS_[[Sexo]:[Sexo]]=$B35,IF(DATOS_[[AGRUP. VALOR. PTO.]:[AGRUP. VALOR. PTO.]]=$B33,IF(DATOS_[[Check Periodo Ref.]:[Check Periodo Ref.]]="Dentro",IF(DATOS_[[Check Equiparado]:[Check Equiparado]]="Sí",IF(DATOS!AJ$5="Sí",(1/DATOS_[[% anualiz]:[% anualiz]]),1)*IF(DATOS!AJ$4="Sí",1/DATOS_[[% normaliz]:[% normaliz]],1)*(DATOS_[Conc.Sal.06])))))))),
0)</f>
        <v>0</v>
      </c>
      <c r="P35" s="196">
        <f t="array" ref="P35">IFERROR(
(AVERAGE((IF(DATOS_[[Sexo]:[Sexo]]=$B35,IF(DATOS_[[AGRUP. VALOR. PTO.]:[AGRUP. VALOR. PTO.]]=$B33,IF(DATOS_[[Check Periodo Ref.]:[Check Periodo Ref.]]="Dentro",IF(DATOS_[[Check Equiparado]:[Check Equiparado]]="Sí",IF(DATOS!AK$5="Sí",(1/DATOS_[[% anualiz]:[% anualiz]]),1)*IF(DATOS!AK$4="Sí",1/DATOS_[[% normaliz]:[% normaliz]],1)*(DATOS_[Conc.Sal.07])))))))),
0)</f>
        <v>0</v>
      </c>
      <c r="Q35" s="196">
        <f t="array" ref="Q35">IFERROR(
(AVERAGE((IF(DATOS_[[Sexo]:[Sexo]]=$B35,IF(DATOS_[[AGRUP. VALOR. PTO.]:[AGRUP. VALOR. PTO.]]=$B33,IF(DATOS_[[Check Periodo Ref.]:[Check Periodo Ref.]]="Dentro",IF(DATOS_[[Check Equiparado]:[Check Equiparado]]="Sí",IF(DATOS!AL$5="Sí",(1/DATOS_[[% anualiz]:[% anualiz]]),1)*IF(DATOS!AL$4="Sí",1/DATOS_[[% normaliz]:[% normaliz]],1)*(DATOS_[Conc.Sal.08])))))))),
0)</f>
        <v>0</v>
      </c>
      <c r="R35" s="196">
        <f t="array" ref="R35">IFERROR(
(AVERAGE((IF(DATOS_[[Sexo]:[Sexo]]=$B35,IF(DATOS_[[AGRUP. VALOR. PTO.]:[AGRUP. VALOR. PTO.]]=$B33,IF(DATOS_[[Check Periodo Ref.]:[Check Periodo Ref.]]="Dentro",IF(DATOS_[[Check Equiparado]:[Check Equiparado]]="Sí",IF(DATOS!AM$5="Sí",(1/DATOS_[[% anualiz]:[% anualiz]]),1)*IF(DATOS!AM$4="Sí",1/DATOS_[[% normaliz]:[% normaliz]],1)*(DATOS_[Conc.Sal.09])))))))),
0)</f>
        <v>0</v>
      </c>
      <c r="S35" s="196">
        <f t="array" ref="S35">IFERROR(
(AVERAGE((IF(DATOS_[[Sexo]:[Sexo]]=$B35,IF(DATOS_[[AGRUP. VALOR. PTO.]:[AGRUP. VALOR. PTO.]]=$B33,IF(DATOS_[[Check Periodo Ref.]:[Check Periodo Ref.]]="Dentro",IF(DATOS_[[Check Equiparado]:[Check Equiparado]]="Sí",IF(DATOS!AN$5="Sí",(1/DATOS_[[% anualiz]:[% anualiz]]),1)*IF(DATOS!AN$4="Sí",1/DATOS_[[% normaliz]:[% normaliz]],1)*(DATOS_[Conc.Sal.10])))))))),
0)</f>
        <v>0</v>
      </c>
      <c r="T35" s="196">
        <f t="array" ref="T35">IFERROR(
(AVERAGE((IF(DATOS_[[Sexo]:[Sexo]]=$B35,IF(DATOS_[[AGRUP. VALOR. PTO.]:[AGRUP. VALOR. PTO.]]=$B33,IF(DATOS_[[Check Periodo Ref.]:[Check Periodo Ref.]]="Dentro",IF(DATOS_[[Check Equiparado]:[Check Equiparado]]="Sí",IF(DATOS!AO$5="Sí",(1/DATOS_[[% anualiz]:[% anualiz]]),1)*IF(DATOS!AO$4="Sí",1/DATOS_[[% normaliz]:[% normaliz]],1)*(DATOS_[Conc.Sal.11])))))))),
0)</f>
        <v>0</v>
      </c>
      <c r="U35" s="196">
        <f t="array" ref="U35">IFERROR(
(AVERAGE((IF(DATOS_[[Sexo]:[Sexo]]=$B35,IF(DATOS_[[AGRUP. VALOR. PTO.]:[AGRUP. VALOR. PTO.]]=$B33,IF(DATOS_[[Check Periodo Ref.]:[Check Periodo Ref.]]="Dentro",IF(DATOS_[[Check Equiparado]:[Check Equiparado]]="Sí",IF(DATOS!AP$5="Sí",(1/DATOS_[[% anualiz]:[% anualiz]]),1)*IF(DATOS!AP$4="Sí",1/DATOS_[[% normaliz]:[% normaliz]],1)*(DATOS_[Conc.Sal.12])))))))),
0)</f>
        <v>0</v>
      </c>
      <c r="V35" s="196">
        <f t="array" ref="V35">IFERROR(
(AVERAGE((IF(DATOS_[[Sexo]:[Sexo]]=$B35,IF(DATOS_[[AGRUP. VALOR. PTO.]:[AGRUP. VALOR. PTO.]]=$B33,IF(DATOS_[[Check Periodo Ref.]:[Check Periodo Ref.]]="Dentro",IF(DATOS_[[Check Equiparado]:[Check Equiparado]]="Sí",IF(DATOS!AQ$5="Sí",(1/DATOS_[[% anualiz]:[% anualiz]]),1)*IF(DATOS!AQ$4="Sí",1/DATOS_[[% normaliz]:[% normaliz]],1)*(DATOS_[Conc.Sal.13])))))))),
0)</f>
        <v>0</v>
      </c>
      <c r="W35" s="196">
        <f t="array" ref="W35">IFERROR(
(AVERAGE((IF(DATOS_[[Sexo]:[Sexo]]=$B35,IF(DATOS_[[AGRUP. VALOR. PTO.]:[AGRUP. VALOR. PTO.]]=$B33,IF(DATOS_[[Check Periodo Ref.]:[Check Periodo Ref.]]="Dentro",IF(DATOS_[[Check Equiparado]:[Check Equiparado]]="Sí",IF(DATOS!AR$5="Sí",(1/DATOS_[[% anualiz]:[% anualiz]]),1)*IF(DATOS!AR$4="Sí",1/DATOS_[[% normaliz]:[% normaliz]],1)*(DATOS_[Conc.Sal.14])))))))),
0)</f>
        <v>0</v>
      </c>
      <c r="X35" s="196">
        <f t="array" ref="X35">IFERROR(
(AVERAGE((IF(DATOS_[[Sexo]:[Sexo]]=$B35,IF(DATOS_[[AGRUP. VALOR. PTO.]:[AGRUP. VALOR. PTO.]]=$B33,IF(DATOS_[[Check Periodo Ref.]:[Check Periodo Ref.]]="Dentro",IF(DATOS_[[Check Equiparado]:[Check Equiparado]]="Sí",IF(DATOS!AS$5="Sí",(1/DATOS_[[% anualiz]:[% anualiz]]),1)*IF(DATOS!AS$4="Sí",1/DATOS_[[% normaliz]:[% normaliz]],1)*(DATOS_[Conc.Sal.15])))))))),
0)</f>
        <v>0</v>
      </c>
      <c r="Y35" s="196">
        <f t="array" ref="Y35">IFERROR(
(AVERAGE((IF(DATOS_[[Sexo]:[Sexo]]=$B35,IF(DATOS_[[AGRUP. VALOR. PTO.]:[AGRUP. VALOR. PTO.]]=$B33,IF(DATOS_[[Check Periodo Ref.]:[Check Periodo Ref.]]="Dentro",IF(DATOS_[[Check Equiparado]:[Check Equiparado]]="Sí",IF(DATOS!AT$5="Sí",(1/DATOS_[[% anualiz]:[% anualiz]]),1)*IF(DATOS!AT$4="Sí",1/DATOS_[[% normaliz]:[% normaliz]],1)*(DATOS_[Conc.Sal.16])))))))),
0)</f>
        <v>0</v>
      </c>
      <c r="Z35" s="196">
        <f t="array" ref="Z35">IFERROR(
(AVERAGE((IF(DATOS_[[Sexo]:[Sexo]]=$B35,IF(DATOS_[[AGRUP. VALOR. PTO.]:[AGRUP. VALOR. PTO.]]=$B33,IF(DATOS_[[Check Periodo Ref.]:[Check Periodo Ref.]]="Dentro",IF(DATOS_[[Check Equiparado]:[Check Equiparado]]="Sí",IF(DATOS!AU$5="Sí",(1/DATOS_[[% anualiz]:[% anualiz]]),1)*IF(DATOS!AU$4="Sí",1/DATOS_[[% normaliz]:[% normaliz]],1)*(DATOS_[Conc.Sal.17])))))))),
0)</f>
        <v>0</v>
      </c>
      <c r="AA35" s="196">
        <f t="array" ref="AA35">IFERROR(
(AVERAGE((IF(DATOS_[[Sexo]:[Sexo]]=$B35,IF(DATOS_[[AGRUP. VALOR. PTO.]:[AGRUP. VALOR. PTO.]]=$B33,IF(DATOS_[[Check Periodo Ref.]:[Check Periodo Ref.]]="Dentro",IF(DATOS_[[Check Equiparado]:[Check Equiparado]]="Sí",IF(DATOS!AV$5="Sí",(1/DATOS_[[% anualiz]:[% anualiz]]),1)*IF(DATOS!AV$4="Sí",1/DATOS_[[% normaliz]:[% normaliz]],1)*(DATOS_[Conc.Sal.18])))))))),
0)</f>
        <v>0</v>
      </c>
      <c r="AB35" s="196">
        <f t="array" ref="AB35">IFERROR(
(AVERAGE((IF(DATOS_[[Sexo]:[Sexo]]=$B35,IF(DATOS_[[AGRUP. VALOR. PTO.]:[AGRUP. VALOR. PTO.]]=$B33,IF(DATOS_[[Check Periodo Ref.]:[Check Periodo Ref.]]="Dentro",IF(DATOS_[[Check Equiparado]:[Check Equiparado]]="Sí",IF(DATOS!AW$5="Sí",(1/DATOS_[[% anualiz]:[% anualiz]]),1)*IF(DATOS!AW$4="Sí",1/DATOS_[[% normaliz]:[% normaliz]],1)*(DATOS_[Conc.Sal.19])))))))),
0)</f>
        <v>0</v>
      </c>
      <c r="AC35" s="196">
        <f t="array" ref="AC35">IFERROR(
(AVERAGE((IF(DATOS_[[Sexo]:[Sexo]]=$B35,IF(DATOS_[[AGRUP. VALOR. PTO.]:[AGRUP. VALOR. PTO.]]=$B33,IF(DATOS_[[Check Periodo Ref.]:[Check Periodo Ref.]]="Dentro",IF(DATOS_[[Check Equiparado]:[Check Equiparado]]="Sí",IF(DATOS!AX$5="Sí",(1/DATOS_[[% anualiz]:[% anualiz]]),1)*IF(DATOS!AX$4="Sí",1/DATOS_[[% normaliz]:[% normaliz]],1)*(DATOS_[Conc.Sal.20])))))))),
0)</f>
        <v>0</v>
      </c>
      <c r="AD35" s="196">
        <f t="array" ref="AD35">IFERROR(
(AVERAGE((IF(DATOS_[[Sexo]:[Sexo]]=$B35,IF(DATOS_[[AGRUP. VALOR. PTO.]:[AGRUP. VALOR. PTO.]]=$B33,IF(DATOS_[[Check Periodo Ref.]:[Check Periodo Ref.]]="Dentro",IF(DATOS_[[Check Equiparado]:[Check Equiparado]]="Sí",IF(DATOS!AY$5="Sí",(1/DATOS_[[% anualiz]:[% anualiz]]),1)*IF(DATOS!AY$4="Sí",1/DATOS_[[% normaliz]:[% normaliz]],1)*(DATOS_[Conc.Sal.21])))))))),
0)</f>
        <v>0</v>
      </c>
      <c r="AE35" s="196">
        <f t="array" ref="AE35">IFERROR(
(AVERAGE((IF(DATOS_[[Sexo]:[Sexo]]=$B35,IF(DATOS_[[AGRUP. VALOR. PTO.]:[AGRUP. VALOR. PTO.]]=$B33,IF(DATOS_[[Check Periodo Ref.]:[Check Periodo Ref.]]="Dentro",IF(DATOS_[[Check Equiparado]:[Check Equiparado]]="Sí",IF(DATOS!AZ$5="Sí",(1/DATOS_[[% anualiz]:[% anualiz]]),1)*IF(DATOS!AZ$4="Sí",1/DATOS_[[% normaliz]:[% normaliz]],1)*(DATOS_[Conc.Sal.22])))))))),
0)</f>
        <v>0</v>
      </c>
      <c r="AF35" s="196">
        <f t="array" ref="AF35">IFERROR(
(AVERAGE((IF(DATOS_[[Sexo]:[Sexo]]=$B35,IF(DATOS_[[AGRUP. VALOR. PTO.]:[AGRUP. VALOR. PTO.]]=$B33,IF(DATOS_[[Check Periodo Ref.]:[Check Periodo Ref.]]="Dentro",IF(DATOS_[[Check Equiparado]:[Check Equiparado]]="Sí",IF(DATOS!BA$5="Sí",(1/DATOS_[[% anualiz]:[% anualiz]]),1)*IF(DATOS!BA$4="Sí",1/DATOS_[[% normaliz]:[% normaliz]],1)*(DATOS_[Conc.Sal.23])))))))),
0)</f>
        <v>0</v>
      </c>
      <c r="AG35" s="196">
        <f t="array" ref="AG35">IFERROR(
(AVERAGE((IF(DATOS_[[Sexo]:[Sexo]]=$B35,IF(DATOS_[[AGRUP. VALOR. PTO.]:[AGRUP. VALOR. PTO.]]=$B33,IF(DATOS_[[Check Periodo Ref.]:[Check Periodo Ref.]]="Dentro",IF(DATOS_[[Check Equiparado]:[Check Equiparado]]="Sí",IF(DATOS!BB$5="Sí",(1/DATOS_[[% anualiz]:[% anualiz]]),1)*IF(DATOS!BB$4="Sí",1/DATOS_[[% normaliz]:[% normaliz]],1)*(DATOS_[Conc.Sal.24])))))))),
0)</f>
        <v>0</v>
      </c>
      <c r="AH35" s="196">
        <f t="array" ref="AH35">IFERROR(
(AVERAGE((IF(DATOS_[[Sexo]:[Sexo]]=$B35,IF(DATOS_[[AGRUP. VALOR. PTO.]:[AGRUP. VALOR. PTO.]]=$B33,IF(DATOS_[[Check Periodo Ref.]:[Check Periodo Ref.]]="Dentro",IF(DATOS_[[Check Equiparado]:[Check Equiparado]]="Sí",IF(DATOS!BC$5="Sí",(1/DATOS_[[% anualiz]:[% anualiz]]),1)*IF(DATOS!BC$4="Sí",1/DATOS_[[% normaliz]:[% normaliz]],1)*(DATOS_[Conc.Sal.25])))))))),
0)</f>
        <v>0</v>
      </c>
      <c r="AI35" s="196">
        <f t="array" ref="AI35">IFERROR(
(AVERAGE((IF(DATOS_[[Sexo]:[Sexo]]=$B35,IF(DATOS_[[AGRUP. VALOR. PTO.]:[AGRUP. VALOR. PTO.]]=$B33,IF(DATOS_[[Check Periodo Ref.]:[Check Periodo Ref.]]="Dentro",IF(DATOS_[[Check Equiparado]:[Check Equiparado]]="Sí",IF(DATOS!BD$5="Sí",(1/DATOS_[[% anualiz]:[% anualiz]]),1)*IF(DATOS!BD$4="Sí",1/DATOS_[[% normaliz]:[% normaliz]],1)*(DATOS_[Conc.Sal.26])))))))),
0)</f>
        <v>0</v>
      </c>
      <c r="AJ35" s="196">
        <f t="array" ref="AJ35">IFERROR(
(AVERAGE((IF(DATOS_[[Sexo]:[Sexo]]=$B35,IF(DATOS_[[AGRUP. VALOR. PTO.]:[AGRUP. VALOR. PTO.]]=$B33,IF(DATOS_[[Check Periodo Ref.]:[Check Periodo Ref.]]="Dentro",IF(DATOS_[[Check Equiparado]:[Check Equiparado]]="Sí",IF(DATOS!BE$5="Sí",(1/DATOS_[[% anualiz]:[% anualiz]]),1)*IF(DATOS!BE$4="Sí",1/DATOS_[[% normaliz]:[% normaliz]],1)*(DATOS_[Conc.Sal.27])))))))),
0)</f>
        <v>0</v>
      </c>
      <c r="AK35" s="196">
        <f t="array" ref="AK35">IFERROR(
(AVERAGE((IF(DATOS_[[Sexo]:[Sexo]]=$B35,IF(DATOS_[[AGRUP. VALOR. PTO.]:[AGRUP. VALOR. PTO.]]=$B33,IF(DATOS_[[Check Periodo Ref.]:[Check Periodo Ref.]]="Dentro",IF(DATOS_[[Check Equiparado]:[Check Equiparado]]="Sí",IF(DATOS!BF$5="Sí",(1/DATOS_[[% anualiz]:[% anualiz]]),1)*IF(DATOS!BF$4="Sí",1/DATOS_[[% normaliz]:[% normaliz]],1)*(DATOS_[Conc.Sal.28])))))))),
0)</f>
        <v>0</v>
      </c>
      <c r="AL35" s="196">
        <f t="array" ref="AL35">IFERROR(
(AVERAGE((IF(DATOS_[[Sexo]:[Sexo]]=$B35,IF(DATOS_[[AGRUP. VALOR. PTO.]:[AGRUP. VALOR. PTO.]]=$B33,IF(DATOS_[[Check Periodo Ref.]:[Check Periodo Ref.]]="Dentro",IF(DATOS_[[Check Equiparado]:[Check Equiparado]]="Sí",IF(DATOS!BG$5="Sí",(1/DATOS_[[% anualiz]:[% anualiz]]),1)*IF(DATOS!BG$4="Sí",1/DATOS_[[% normaliz]:[% normaliz]],1)*(DATOS_[Conc.Sal.29])))))))),
0)</f>
        <v>0</v>
      </c>
      <c r="AM35" s="196">
        <f t="array" ref="AM35">IFERROR(
(AVERAGE((IF(DATOS_[[Sexo]:[Sexo]]=$B35,IF(DATOS_[[AGRUP. VALOR. PTO.]:[AGRUP. VALOR. PTO.]]=$B33,IF(DATOS_[[Check Periodo Ref.]:[Check Periodo Ref.]]="Dentro",IF(DATOS_[[Check Equiparado]:[Check Equiparado]]="Sí",IF(DATOS!BH$5="Sí",(1/DATOS_[[% anualiz]:[% anualiz]]),1)*IF(DATOS!BH$4="Sí",1/DATOS_[[% normaliz]:[% normaliz]],1)*(DATOS_[Conc.Sal.30])))))))),
0)</f>
        <v>0</v>
      </c>
      <c r="AN35" s="195">
        <f t="array" ref="AN35">IFERROR(
AVERAGE(IF(DATOS_[Sexo]=$B35,IF(DATOS_[[AGRUP. VALOR. PTO.]:[AGRUP. VALOR. PTO.]]=$B33,IF(DATOS_[Check Equiparado]="Sí",IF(DATOS_[Check Periodo Ref.]="Dentro",DATOS_[Tot COMPL.SAL Eq],FALSE))))),
0)</f>
        <v>0</v>
      </c>
      <c r="AO35" s="172">
        <f t="array" ref="AO35">IFERROR(
AVERAGE(IF(DATOS_[Sexo]=$B35,IF(DATOS_[[AGRUP. VALOR. PTO.]:[AGRUP. VALOR. PTO.]]=$B33,IF(DATOS_[Check Equiparado]="Sí",IF(DATOS_[Check Periodo Ref.]="Dentro",DATOS_[TOTAL SALARIO Eq],FALSE))))),
0)</f>
        <v>0</v>
      </c>
      <c r="AP35" s="173">
        <f t="array" ref="AP35">IFERROR(
(AVERAGE((IF(DATOS_[[Sexo]:[Sexo]]=$B35,IF(DATOS_[[AGRUP. VALOR. PTO.]:[AGRUP. VALOR. PTO.]]=$B33,IF(DATOS_[[Check Periodo Ref.]:[Check Periodo Ref.]]="Dentro",IF(DATOS_[[Check Equiparado]:[Check Equiparado]]="Sí",IF(DATOS!BW$5="Sí",(1/DATOS_[[% anualiz]:[% anualiz]]),1)*IF(DATOS!BW$4="Sí",1/DATOS_[[% normaliz]:[% normaliz]],1)*(DATOS_[C.Extra.01])))))))),
0)</f>
        <v>0</v>
      </c>
      <c r="AQ35" s="173">
        <f t="array" ref="AQ35">IFERROR(
(AVERAGE((IF(DATOS_[[Sexo]:[Sexo]]=$B35,IF(DATOS_[[AGRUP. VALOR. PTO.]:[AGRUP. VALOR. PTO.]]=$B33,IF(DATOS_[[Check Periodo Ref.]:[Check Periodo Ref.]]="Dentro",IF(DATOS_[[Check Equiparado]:[Check Equiparado]]="Sí",IF(DATOS!CB$5="Sí",(1/DATOS_[[% anualiz]:[% anualiz]]),1)*IF(DATOS!CB$4="Sí",1/DATOS_[[% normaliz]:[% normaliz]],1)*(DATOS_[C.Extra.06])))))))),
0)</f>
        <v>0</v>
      </c>
      <c r="AR35" s="173">
        <f t="array" ref="AR35">IFERROR(
(AVERAGE((IF(DATOS_[[Sexo]:[Sexo]]=$B35,IF(DATOS_[[AGRUP. VALOR. PTO.]:[AGRUP. VALOR. PTO.]]=$B33,IF(DATOS_[[Check Periodo Ref.]:[Check Periodo Ref.]]="Dentro",IF(DATOS_[[Check Equiparado]:[Check Equiparado]]="Sí",IF(DATOS!CC$5="Sí",(1/DATOS_[[% anualiz]:[% anualiz]]),1)*IF(DATOS!CC$4="Sí",1/DATOS_[[% normaliz]:[% normaliz]],1)*(DATOS_[C.Extra.07])))))))),
0)</f>
        <v>0</v>
      </c>
      <c r="AS35" s="173">
        <f t="array" ref="AS35">IFERROR(
(AVERAGE((IF(DATOS_[[Sexo]:[Sexo]]=$B35,IF(DATOS_[[AGRUP. VALOR. PTO.]:[AGRUP. VALOR. PTO.]]=$B33,IF(DATOS_[[Check Periodo Ref.]:[Check Periodo Ref.]]="Dentro",IF(DATOS_[[Check Equiparado]:[Check Equiparado]]="Sí",IF(DATOS!CD$5="Sí",(1/DATOS_[[% anualiz]:[% anualiz]]),1)*IF(DATOS!CD$4="Sí",1/DATOS_[[% normaliz]:[% normaliz]],1)*(DATOS_[C.Extra.08])))))))),
0)</f>
        <v>0</v>
      </c>
      <c r="AT35" s="173">
        <f t="array" ref="AT35">IFERROR(
(AVERAGE((IF(DATOS_[[Sexo]:[Sexo]]=$B35,IF(DATOS_[[AGRUP. VALOR. PTO.]:[AGRUP. VALOR. PTO.]]=$B33,IF(DATOS_[[Check Periodo Ref.]:[Check Periodo Ref.]]="Dentro",IF(DATOS_[[Check Equiparado]:[Check Equiparado]]="Sí",IF(DATOS!CG$5="Sí",(1/DATOS_[[% anualiz]:[% anualiz]]),1)*IF(DATOS!CG$4="Sí",1/DATOS_[[% normaliz]:[% normaliz]],1)*(DATOS_[C.Extra.11])))))))),
0)</f>
        <v>0</v>
      </c>
      <c r="AU35" s="197">
        <f t="array" ref="AU35">IFERROR(
AVERAGE(IF(DATOS_[Sexo]=$B35,IF(DATOS_[[AGRUP. VALOR. PTO.]:[AGRUP. VALOR. PTO.]]=$B33,IF(DATOS_[Check Equiparado]="Sí",IF(DATOS_[Check Periodo Ref.]="Dentro",DATOS_[Tot Extrasalarial Eq],FALSE))))),
0)</f>
        <v>0</v>
      </c>
      <c r="AV35" s="175">
        <f t="array" ref="AV35">IFERROR(
AVERAGE(IF(DATOS_[Sexo]=$B35,IF(DATOS_[[AGRUP. VALOR. PTO.]:[AGRUP. VALOR. PTO.]]=$B33,IF(DATOS_[Check Equiparado]="Sí",IF(DATOS_[Check Periodo Ref.]="Dentro",DATOS_[TOTAL Retrib Eq],FALSE))))),
0)</f>
        <v>0</v>
      </c>
    </row>
    <row r="36" spans="1:48" ht="15.6" thickBot="1" x14ac:dyDescent="0.3">
      <c r="A36" s="133" t="str">
        <f t="shared" ref="A36" si="31">+A37</f>
        <v>[ocultar]</v>
      </c>
      <c r="B36" s="199" t="s">
        <v>204</v>
      </c>
      <c r="C36" s="200"/>
      <c r="D36" s="201"/>
      <c r="E36" s="201"/>
      <c r="F36" s="201"/>
      <c r="G36" s="201"/>
      <c r="H36" s="201"/>
      <c r="I36" s="189" t="str">
        <f t="shared" ref="I36:AV36" si="32">IFERROR((I37-I38)/I37,"")</f>
        <v/>
      </c>
      <c r="J36" s="190" t="str">
        <f t="shared" si="32"/>
        <v/>
      </c>
      <c r="K36" s="191" t="str">
        <f t="shared" si="32"/>
        <v/>
      </c>
      <c r="L36" s="191" t="str">
        <f t="shared" si="32"/>
        <v/>
      </c>
      <c r="M36" s="191" t="str">
        <f t="shared" si="32"/>
        <v/>
      </c>
      <c r="N36" s="192" t="str">
        <f t="shared" si="32"/>
        <v/>
      </c>
      <c r="O36" s="193" t="str">
        <f t="shared" si="32"/>
        <v/>
      </c>
      <c r="P36" s="193" t="str">
        <f t="shared" si="32"/>
        <v/>
      </c>
      <c r="Q36" s="193" t="str">
        <f t="shared" si="32"/>
        <v/>
      </c>
      <c r="R36" s="193" t="str">
        <f t="shared" si="32"/>
        <v/>
      </c>
      <c r="S36" s="193" t="str">
        <f t="shared" si="32"/>
        <v/>
      </c>
      <c r="T36" s="193" t="str">
        <f t="shared" si="32"/>
        <v/>
      </c>
      <c r="U36" s="193" t="str">
        <f t="shared" si="32"/>
        <v/>
      </c>
      <c r="V36" s="193" t="str">
        <f t="shared" si="32"/>
        <v/>
      </c>
      <c r="W36" s="193" t="str">
        <f t="shared" si="32"/>
        <v/>
      </c>
      <c r="X36" s="193" t="str">
        <f t="shared" si="32"/>
        <v/>
      </c>
      <c r="Y36" s="193" t="str">
        <f t="shared" si="32"/>
        <v/>
      </c>
      <c r="Z36" s="193" t="str">
        <f t="shared" si="32"/>
        <v/>
      </c>
      <c r="AA36" s="193" t="str">
        <f t="shared" si="32"/>
        <v/>
      </c>
      <c r="AB36" s="193" t="str">
        <f t="shared" si="32"/>
        <v/>
      </c>
      <c r="AC36" s="193" t="str">
        <f t="shared" si="32"/>
        <v/>
      </c>
      <c r="AD36" s="193" t="str">
        <f t="shared" si="32"/>
        <v/>
      </c>
      <c r="AE36" s="193" t="str">
        <f t="shared" si="32"/>
        <v/>
      </c>
      <c r="AF36" s="193" t="str">
        <f t="shared" si="32"/>
        <v/>
      </c>
      <c r="AG36" s="193" t="str">
        <f t="shared" si="32"/>
        <v/>
      </c>
      <c r="AH36" s="193" t="str">
        <f t="shared" si="32"/>
        <v/>
      </c>
      <c r="AI36" s="193" t="str">
        <f t="shared" si="32"/>
        <v/>
      </c>
      <c r="AJ36" s="193" t="str">
        <f t="shared" si="32"/>
        <v/>
      </c>
      <c r="AK36" s="193" t="str">
        <f t="shared" si="32"/>
        <v/>
      </c>
      <c r="AL36" s="193" t="str">
        <f t="shared" si="32"/>
        <v/>
      </c>
      <c r="AM36" s="193" t="str">
        <f t="shared" si="32"/>
        <v/>
      </c>
      <c r="AN36" s="189" t="str">
        <f t="shared" si="32"/>
        <v/>
      </c>
      <c r="AO36" s="162" t="str">
        <f t="shared" si="32"/>
        <v/>
      </c>
      <c r="AP36" s="163" t="str">
        <f t="shared" si="32"/>
        <v/>
      </c>
      <c r="AQ36" s="163" t="str">
        <f t="shared" si="32"/>
        <v/>
      </c>
      <c r="AR36" s="163" t="str">
        <f t="shared" si="32"/>
        <v/>
      </c>
      <c r="AS36" s="163" t="str">
        <f t="shared" si="32"/>
        <v/>
      </c>
      <c r="AT36" s="163" t="str">
        <f t="shared" si="32"/>
        <v/>
      </c>
      <c r="AU36" s="194" t="str">
        <f t="shared" si="32"/>
        <v/>
      </c>
      <c r="AV36" s="165" t="str">
        <f t="shared" si="32"/>
        <v/>
      </c>
    </row>
    <row r="37" spans="1:48" x14ac:dyDescent="0.25">
      <c r="A37" s="133" t="str">
        <f t="shared" ref="A37" si="33">+IF(C37+C38=0,"[ocultar]","")</f>
        <v>[ocultar]</v>
      </c>
      <c r="B37" s="202" t="s">
        <v>394</v>
      </c>
      <c r="C37" s="203">
        <f t="array" ref="C37">SUM(IF($B37=DATOS_[Sexo],
IF($B36=DATOS_[AGRUP. VALOR. PTO.],
IF("Dentro"=DATOS_[Check Periodo Ref.],
1/(COUNTIFS(DATOS_[Sexo],$B37,DATOS_[AGRUP. VALOR. PTO.],$B36,DATOS_[Check Periodo Ref.],"Dentro",DATOS_[id/cod],DATOS_[id/cod]))))))</f>
        <v>0</v>
      </c>
      <c r="D37" s="204">
        <f>COUNTIFS(DATOS_[AGRUP. VALOR. PTO.],$B36,DATOS_[Sexo],$B37,DATOS_[Check Periodo Ref.],"Dentro")</f>
        <v>0</v>
      </c>
      <c r="E37" s="204">
        <f>COUNTIFS(DATOS_[AGRUP. VALOR. PTO.],$B36,DATOS_[Sexo],$B37,DATOS_[Check Periodo Ref.],"Dentro",DATOS_[Check Nº SC Norm],"Sí")</f>
        <v>0</v>
      </c>
      <c r="F37" s="204">
        <f>COUNTIFS(DATOS_[AGRUP. VALOR. PTO.],$B36,DATOS_[Sexo],$B37,DATOS_[Check Periodo Ref.],"Dentro",DATOS_[Check Nº SC Anualiz],"Sí")</f>
        <v>0</v>
      </c>
      <c r="G37" s="204">
        <f>COUNTIFS(DATOS_[AGRUP. VALOR. PTO.],$B36,DATOS_[Sexo],$B37,DATOS_[Check Periodo Ref.],"Dentro",DATOS_[Check Nº SC Norm y Anualiz],"Sí")</f>
        <v>0</v>
      </c>
      <c r="H37" s="204">
        <f>COUNTIFS(DATOS_[AGRUP. VALOR. PTO.],$B36,DATOS_[Sexo],$B37,DATOS_[Check Periodo Ref.],"Dentro",DATOS_[Check Equiparación],"Sí")</f>
        <v>0</v>
      </c>
      <c r="I37" s="195">
        <f t="array" ref="I37">IFERROR(
AVERAGE(IF(DATOS_[Sexo]=$B37,IF(DATOS_[[AGRUP. VALOR. PTO.]:[AGRUP. VALOR. PTO.]]=$B36,IF(DATOS_[Check Equiparado]="Sí",IF(DATOS_[Check Periodo Ref.]="Dentro",DATOS_[SALARIO BASE Eq],FALSE))))),
0)</f>
        <v>0</v>
      </c>
      <c r="J37" s="196">
        <f t="array" ref="J37">IFERROR(
(AVERAGE((IF(DATOS_[[Sexo]:[Sexo]]=$B37,IF(DATOS_[[AGRUP. VALOR. PTO.]:[AGRUP. VALOR. PTO.]]=$B36,IF(DATOS_[[Check Periodo Ref.]:[Check Periodo Ref.]]="Dentro",IF(DATOS_[[Check Equiparado]:[Check Equiparado]]="Sí",IF(DATOS!AE$5="Sí",(1/DATOS_[[% anualiz]:[% anualiz]]),1)*IF(DATOS!AE$4="Sí",1/DATOS_[[% normaliz]:[% normaliz]],1)*(DATOS_[Conc.Sal.01])))))))),
0)</f>
        <v>0</v>
      </c>
      <c r="K37" s="196">
        <f t="array" ref="K37">IFERROR(
(AVERAGE((IF(DATOS_[[Sexo]:[Sexo]]=$B37,IF(DATOS_[[AGRUP. VALOR. PTO.]:[AGRUP. VALOR. PTO.]]=$B36,IF(DATOS_[[Check Periodo Ref.]:[Check Periodo Ref.]]="Dentro",IF(DATOS_[[Check Equiparado]:[Check Equiparado]]="Sí",IF(DATOS!AF$5="Sí",(1/DATOS_[[% anualiz]:[% anualiz]]),1)*IF(DATOS!AF$4="Sí",1/DATOS_[[% normaliz]:[% normaliz]],1)*(DATOS_[Conc.Sal.02])))))))),
0)</f>
        <v>0</v>
      </c>
      <c r="L37" s="196">
        <f t="array" ref="L37">IFERROR(
(AVERAGE((IF(DATOS_[[Sexo]:[Sexo]]=$B37,IF(DATOS_[[AGRUP. VALOR. PTO.]:[AGRUP. VALOR. PTO.]]=$B36,IF(DATOS_[[Check Periodo Ref.]:[Check Periodo Ref.]]="Dentro",IF(DATOS_[[Check Equiparado]:[Check Equiparado]]="Sí",IF(DATOS!AG$5="Sí",(1/DATOS_[[% anualiz]:[% anualiz]]),1)*IF(DATOS!AG$4="Sí",1/DATOS_[[% normaliz]:[% normaliz]],1)*(DATOS_[Conc.Sal.03])))))))),
0)</f>
        <v>0</v>
      </c>
      <c r="M37" s="196">
        <f t="array" ref="M37">IFERROR(
(AVERAGE((IF(DATOS_[[Sexo]:[Sexo]]=$B37,IF(DATOS_[[AGRUP. VALOR. PTO.]:[AGRUP. VALOR. PTO.]]=$B36,IF(DATOS_[[Check Periodo Ref.]:[Check Periodo Ref.]]="Dentro",IF(DATOS_[[Check Equiparado]:[Check Equiparado]]="Sí",IF(DATOS!AH$5="Sí",(1/DATOS_[[% anualiz]:[% anualiz]]),1)*IF(DATOS!AH$4="Sí",1/DATOS_[[% normaliz]:[% normaliz]],1)*(DATOS_[Conc.Sal.04])))))))),
0)</f>
        <v>0</v>
      </c>
      <c r="N37" s="196">
        <f t="array" ref="N37">IFERROR(
(AVERAGE((IF(DATOS_[[Sexo]:[Sexo]]=$B37,IF(DATOS_[[AGRUP. VALOR. PTO.]:[AGRUP. VALOR. PTO.]]=$B36,IF(DATOS_[[Check Periodo Ref.]:[Check Periodo Ref.]]="Dentro",IF(DATOS_[[Check Equiparado]:[Check Equiparado]]="Sí",IF(DATOS!AI$5="Sí",(1/DATOS_[[% anualiz]:[% anualiz]]),1)*IF(DATOS!AI$4="Sí",1/DATOS_[[% normaliz]:[% normaliz]],1)*(DATOS_[Conc.Sal.05])))))))),
0)</f>
        <v>0</v>
      </c>
      <c r="O37" s="196">
        <f t="array" ref="O37">IFERROR(
(AVERAGE((IF(DATOS_[[Sexo]:[Sexo]]=$B37,IF(DATOS_[[AGRUP. VALOR. PTO.]:[AGRUP. VALOR. PTO.]]=$B36,IF(DATOS_[[Check Periodo Ref.]:[Check Periodo Ref.]]="Dentro",IF(DATOS_[[Check Equiparado]:[Check Equiparado]]="Sí",IF(DATOS!AJ$5="Sí",(1/DATOS_[[% anualiz]:[% anualiz]]),1)*IF(DATOS!AJ$4="Sí",1/DATOS_[[% normaliz]:[% normaliz]],1)*(DATOS_[Conc.Sal.06])))))))),
0)</f>
        <v>0</v>
      </c>
      <c r="P37" s="196">
        <f t="array" ref="P37">IFERROR(
(AVERAGE((IF(DATOS_[[Sexo]:[Sexo]]=$B37,IF(DATOS_[[AGRUP. VALOR. PTO.]:[AGRUP. VALOR. PTO.]]=$B36,IF(DATOS_[[Check Periodo Ref.]:[Check Periodo Ref.]]="Dentro",IF(DATOS_[[Check Equiparado]:[Check Equiparado]]="Sí",IF(DATOS!AK$5="Sí",(1/DATOS_[[% anualiz]:[% anualiz]]),1)*IF(DATOS!AK$4="Sí",1/DATOS_[[% normaliz]:[% normaliz]],1)*(DATOS_[Conc.Sal.07])))))))),
0)</f>
        <v>0</v>
      </c>
      <c r="Q37" s="196">
        <f t="array" ref="Q37">IFERROR(
(AVERAGE((IF(DATOS_[[Sexo]:[Sexo]]=$B37,IF(DATOS_[[AGRUP. VALOR. PTO.]:[AGRUP. VALOR. PTO.]]=$B36,IF(DATOS_[[Check Periodo Ref.]:[Check Periodo Ref.]]="Dentro",IF(DATOS_[[Check Equiparado]:[Check Equiparado]]="Sí",IF(DATOS!AL$5="Sí",(1/DATOS_[[% anualiz]:[% anualiz]]),1)*IF(DATOS!AL$4="Sí",1/DATOS_[[% normaliz]:[% normaliz]],1)*(DATOS_[Conc.Sal.08])))))))),
0)</f>
        <v>0</v>
      </c>
      <c r="R37" s="196">
        <f t="array" ref="R37">IFERROR(
(AVERAGE((IF(DATOS_[[Sexo]:[Sexo]]=$B37,IF(DATOS_[[AGRUP. VALOR. PTO.]:[AGRUP. VALOR. PTO.]]=$B36,IF(DATOS_[[Check Periodo Ref.]:[Check Periodo Ref.]]="Dentro",IF(DATOS_[[Check Equiparado]:[Check Equiparado]]="Sí",IF(DATOS!AM$5="Sí",(1/DATOS_[[% anualiz]:[% anualiz]]),1)*IF(DATOS!AM$4="Sí",1/DATOS_[[% normaliz]:[% normaliz]],1)*(DATOS_[Conc.Sal.09])))))))),
0)</f>
        <v>0</v>
      </c>
      <c r="S37" s="196">
        <f t="array" ref="S37">IFERROR(
(AVERAGE((IF(DATOS_[[Sexo]:[Sexo]]=$B37,IF(DATOS_[[AGRUP. VALOR. PTO.]:[AGRUP. VALOR. PTO.]]=$B36,IF(DATOS_[[Check Periodo Ref.]:[Check Periodo Ref.]]="Dentro",IF(DATOS_[[Check Equiparado]:[Check Equiparado]]="Sí",IF(DATOS!AN$5="Sí",(1/DATOS_[[% anualiz]:[% anualiz]]),1)*IF(DATOS!AN$4="Sí",1/DATOS_[[% normaliz]:[% normaliz]],1)*(DATOS_[Conc.Sal.10])))))))),
0)</f>
        <v>0</v>
      </c>
      <c r="T37" s="196">
        <f t="array" ref="T37">IFERROR(
(AVERAGE((IF(DATOS_[[Sexo]:[Sexo]]=$B37,IF(DATOS_[[AGRUP. VALOR. PTO.]:[AGRUP. VALOR. PTO.]]=$B36,IF(DATOS_[[Check Periodo Ref.]:[Check Periodo Ref.]]="Dentro",IF(DATOS_[[Check Equiparado]:[Check Equiparado]]="Sí",IF(DATOS!AO$5="Sí",(1/DATOS_[[% anualiz]:[% anualiz]]),1)*IF(DATOS!AO$4="Sí",1/DATOS_[[% normaliz]:[% normaliz]],1)*(DATOS_[Conc.Sal.11])))))))),
0)</f>
        <v>0</v>
      </c>
      <c r="U37" s="196">
        <f t="array" ref="U37">IFERROR(
(AVERAGE((IF(DATOS_[[Sexo]:[Sexo]]=$B37,IF(DATOS_[[AGRUP. VALOR. PTO.]:[AGRUP. VALOR. PTO.]]=$B36,IF(DATOS_[[Check Periodo Ref.]:[Check Periodo Ref.]]="Dentro",IF(DATOS_[[Check Equiparado]:[Check Equiparado]]="Sí",IF(DATOS!AP$5="Sí",(1/DATOS_[[% anualiz]:[% anualiz]]),1)*IF(DATOS!AP$4="Sí",1/DATOS_[[% normaliz]:[% normaliz]],1)*(DATOS_[Conc.Sal.12])))))))),
0)</f>
        <v>0</v>
      </c>
      <c r="V37" s="196">
        <f t="array" ref="V37">IFERROR(
(AVERAGE((IF(DATOS_[[Sexo]:[Sexo]]=$B37,IF(DATOS_[[AGRUP. VALOR. PTO.]:[AGRUP. VALOR. PTO.]]=$B36,IF(DATOS_[[Check Periodo Ref.]:[Check Periodo Ref.]]="Dentro",IF(DATOS_[[Check Equiparado]:[Check Equiparado]]="Sí",IF(DATOS!AQ$5="Sí",(1/DATOS_[[% anualiz]:[% anualiz]]),1)*IF(DATOS!AQ$4="Sí",1/DATOS_[[% normaliz]:[% normaliz]],1)*(DATOS_[Conc.Sal.13])))))))),
0)</f>
        <v>0</v>
      </c>
      <c r="W37" s="196">
        <f t="array" ref="W37">IFERROR(
(AVERAGE((IF(DATOS_[[Sexo]:[Sexo]]=$B37,IF(DATOS_[[AGRUP. VALOR. PTO.]:[AGRUP. VALOR. PTO.]]=$B36,IF(DATOS_[[Check Periodo Ref.]:[Check Periodo Ref.]]="Dentro",IF(DATOS_[[Check Equiparado]:[Check Equiparado]]="Sí",IF(DATOS!AR$5="Sí",(1/DATOS_[[% anualiz]:[% anualiz]]),1)*IF(DATOS!AR$4="Sí",1/DATOS_[[% normaliz]:[% normaliz]],1)*(DATOS_[Conc.Sal.14])))))))),
0)</f>
        <v>0</v>
      </c>
      <c r="X37" s="196">
        <f t="array" ref="X37">IFERROR(
(AVERAGE((IF(DATOS_[[Sexo]:[Sexo]]=$B37,IF(DATOS_[[AGRUP. VALOR. PTO.]:[AGRUP. VALOR. PTO.]]=$B36,IF(DATOS_[[Check Periodo Ref.]:[Check Periodo Ref.]]="Dentro",IF(DATOS_[[Check Equiparado]:[Check Equiparado]]="Sí",IF(DATOS!AS$5="Sí",(1/DATOS_[[% anualiz]:[% anualiz]]),1)*IF(DATOS!AS$4="Sí",1/DATOS_[[% normaliz]:[% normaliz]],1)*(DATOS_[Conc.Sal.15])))))))),
0)</f>
        <v>0</v>
      </c>
      <c r="Y37" s="196">
        <f t="array" ref="Y37">IFERROR(
(AVERAGE((IF(DATOS_[[Sexo]:[Sexo]]=$B37,IF(DATOS_[[AGRUP. VALOR. PTO.]:[AGRUP. VALOR. PTO.]]=$B36,IF(DATOS_[[Check Periodo Ref.]:[Check Periodo Ref.]]="Dentro",IF(DATOS_[[Check Equiparado]:[Check Equiparado]]="Sí",IF(DATOS!AT$5="Sí",(1/DATOS_[[% anualiz]:[% anualiz]]),1)*IF(DATOS!AT$4="Sí",1/DATOS_[[% normaliz]:[% normaliz]],1)*(DATOS_[Conc.Sal.16])))))))),
0)</f>
        <v>0</v>
      </c>
      <c r="Z37" s="196">
        <f t="array" ref="Z37">IFERROR(
(AVERAGE((IF(DATOS_[[Sexo]:[Sexo]]=$B37,IF(DATOS_[[AGRUP. VALOR. PTO.]:[AGRUP. VALOR. PTO.]]=$B36,IF(DATOS_[[Check Periodo Ref.]:[Check Periodo Ref.]]="Dentro",IF(DATOS_[[Check Equiparado]:[Check Equiparado]]="Sí",IF(DATOS!AU$5="Sí",(1/DATOS_[[% anualiz]:[% anualiz]]),1)*IF(DATOS!AU$4="Sí",1/DATOS_[[% normaliz]:[% normaliz]],1)*(DATOS_[Conc.Sal.17])))))))),
0)</f>
        <v>0</v>
      </c>
      <c r="AA37" s="196">
        <f t="array" ref="AA37">IFERROR(
(AVERAGE((IF(DATOS_[[Sexo]:[Sexo]]=$B37,IF(DATOS_[[AGRUP. VALOR. PTO.]:[AGRUP. VALOR. PTO.]]=$B36,IF(DATOS_[[Check Periodo Ref.]:[Check Periodo Ref.]]="Dentro",IF(DATOS_[[Check Equiparado]:[Check Equiparado]]="Sí",IF(DATOS!AV$5="Sí",(1/DATOS_[[% anualiz]:[% anualiz]]),1)*IF(DATOS!AV$4="Sí",1/DATOS_[[% normaliz]:[% normaliz]],1)*(DATOS_[Conc.Sal.18])))))))),
0)</f>
        <v>0</v>
      </c>
      <c r="AB37" s="196">
        <f t="array" ref="AB37">IFERROR(
(AVERAGE((IF(DATOS_[[Sexo]:[Sexo]]=$B37,IF(DATOS_[[AGRUP. VALOR. PTO.]:[AGRUP. VALOR. PTO.]]=$B36,IF(DATOS_[[Check Periodo Ref.]:[Check Periodo Ref.]]="Dentro",IF(DATOS_[[Check Equiparado]:[Check Equiparado]]="Sí",IF(DATOS!AW$5="Sí",(1/DATOS_[[% anualiz]:[% anualiz]]),1)*IF(DATOS!AW$4="Sí",1/DATOS_[[% normaliz]:[% normaliz]],1)*(DATOS_[Conc.Sal.19])))))))),
0)</f>
        <v>0</v>
      </c>
      <c r="AC37" s="196">
        <f t="array" ref="AC37">IFERROR(
(AVERAGE((IF(DATOS_[[Sexo]:[Sexo]]=$B37,IF(DATOS_[[AGRUP. VALOR. PTO.]:[AGRUP. VALOR. PTO.]]=$B36,IF(DATOS_[[Check Periodo Ref.]:[Check Periodo Ref.]]="Dentro",IF(DATOS_[[Check Equiparado]:[Check Equiparado]]="Sí",IF(DATOS!AX$5="Sí",(1/DATOS_[[% anualiz]:[% anualiz]]),1)*IF(DATOS!AX$4="Sí",1/DATOS_[[% normaliz]:[% normaliz]],1)*(DATOS_[Conc.Sal.20])))))))),
0)</f>
        <v>0</v>
      </c>
      <c r="AD37" s="196">
        <f t="array" ref="AD37">IFERROR(
(AVERAGE((IF(DATOS_[[Sexo]:[Sexo]]=$B37,IF(DATOS_[[AGRUP. VALOR. PTO.]:[AGRUP. VALOR. PTO.]]=$B36,IF(DATOS_[[Check Periodo Ref.]:[Check Periodo Ref.]]="Dentro",IF(DATOS_[[Check Equiparado]:[Check Equiparado]]="Sí",IF(DATOS!AY$5="Sí",(1/DATOS_[[% anualiz]:[% anualiz]]),1)*IF(DATOS!AY$4="Sí",1/DATOS_[[% normaliz]:[% normaliz]],1)*(DATOS_[Conc.Sal.21])))))))),
0)</f>
        <v>0</v>
      </c>
      <c r="AE37" s="196">
        <f t="array" ref="AE37">IFERROR(
(AVERAGE((IF(DATOS_[[Sexo]:[Sexo]]=$B37,IF(DATOS_[[AGRUP. VALOR. PTO.]:[AGRUP. VALOR. PTO.]]=$B36,IF(DATOS_[[Check Periodo Ref.]:[Check Periodo Ref.]]="Dentro",IF(DATOS_[[Check Equiparado]:[Check Equiparado]]="Sí",IF(DATOS!AZ$5="Sí",(1/DATOS_[[% anualiz]:[% anualiz]]),1)*IF(DATOS!AZ$4="Sí",1/DATOS_[[% normaliz]:[% normaliz]],1)*(DATOS_[Conc.Sal.22])))))))),
0)</f>
        <v>0</v>
      </c>
      <c r="AF37" s="196">
        <f t="array" ref="AF37">IFERROR(
(AVERAGE((IF(DATOS_[[Sexo]:[Sexo]]=$B37,IF(DATOS_[[AGRUP. VALOR. PTO.]:[AGRUP. VALOR. PTO.]]=$B36,IF(DATOS_[[Check Periodo Ref.]:[Check Periodo Ref.]]="Dentro",IF(DATOS_[[Check Equiparado]:[Check Equiparado]]="Sí",IF(DATOS!BA$5="Sí",(1/DATOS_[[% anualiz]:[% anualiz]]),1)*IF(DATOS!BA$4="Sí",1/DATOS_[[% normaliz]:[% normaliz]],1)*(DATOS_[Conc.Sal.23])))))))),
0)</f>
        <v>0</v>
      </c>
      <c r="AG37" s="196">
        <f t="array" ref="AG37">IFERROR(
(AVERAGE((IF(DATOS_[[Sexo]:[Sexo]]=$B37,IF(DATOS_[[AGRUP. VALOR. PTO.]:[AGRUP. VALOR. PTO.]]=$B36,IF(DATOS_[[Check Periodo Ref.]:[Check Periodo Ref.]]="Dentro",IF(DATOS_[[Check Equiparado]:[Check Equiparado]]="Sí",IF(DATOS!BB$5="Sí",(1/DATOS_[[% anualiz]:[% anualiz]]),1)*IF(DATOS!BB$4="Sí",1/DATOS_[[% normaliz]:[% normaliz]],1)*(DATOS_[Conc.Sal.24])))))))),
0)</f>
        <v>0</v>
      </c>
      <c r="AH37" s="196">
        <f t="array" ref="AH37">IFERROR(
(AVERAGE((IF(DATOS_[[Sexo]:[Sexo]]=$B37,IF(DATOS_[[AGRUP. VALOR. PTO.]:[AGRUP. VALOR. PTO.]]=$B36,IF(DATOS_[[Check Periodo Ref.]:[Check Periodo Ref.]]="Dentro",IF(DATOS_[[Check Equiparado]:[Check Equiparado]]="Sí",IF(DATOS!BC$5="Sí",(1/DATOS_[[% anualiz]:[% anualiz]]),1)*IF(DATOS!BC$4="Sí",1/DATOS_[[% normaliz]:[% normaliz]],1)*(DATOS_[Conc.Sal.25])))))))),
0)</f>
        <v>0</v>
      </c>
      <c r="AI37" s="196">
        <f t="array" ref="AI37">IFERROR(
(AVERAGE((IF(DATOS_[[Sexo]:[Sexo]]=$B37,IF(DATOS_[[AGRUP. VALOR. PTO.]:[AGRUP. VALOR. PTO.]]=$B36,IF(DATOS_[[Check Periodo Ref.]:[Check Periodo Ref.]]="Dentro",IF(DATOS_[[Check Equiparado]:[Check Equiparado]]="Sí",IF(DATOS!BD$5="Sí",(1/DATOS_[[% anualiz]:[% anualiz]]),1)*IF(DATOS!BD$4="Sí",1/DATOS_[[% normaliz]:[% normaliz]],1)*(DATOS_[Conc.Sal.26])))))))),
0)</f>
        <v>0</v>
      </c>
      <c r="AJ37" s="196">
        <f t="array" ref="AJ37">IFERROR(
(AVERAGE((IF(DATOS_[[Sexo]:[Sexo]]=$B37,IF(DATOS_[[AGRUP. VALOR. PTO.]:[AGRUP. VALOR. PTO.]]=$B36,IF(DATOS_[[Check Periodo Ref.]:[Check Periodo Ref.]]="Dentro",IF(DATOS_[[Check Equiparado]:[Check Equiparado]]="Sí",IF(DATOS!BE$5="Sí",(1/DATOS_[[% anualiz]:[% anualiz]]),1)*IF(DATOS!BE$4="Sí",1/DATOS_[[% normaliz]:[% normaliz]],1)*(DATOS_[Conc.Sal.27])))))))),
0)</f>
        <v>0</v>
      </c>
      <c r="AK37" s="196">
        <f t="array" ref="AK37">IFERROR(
(AVERAGE((IF(DATOS_[[Sexo]:[Sexo]]=$B37,IF(DATOS_[[AGRUP. VALOR. PTO.]:[AGRUP. VALOR. PTO.]]=$B36,IF(DATOS_[[Check Periodo Ref.]:[Check Periodo Ref.]]="Dentro",IF(DATOS_[[Check Equiparado]:[Check Equiparado]]="Sí",IF(DATOS!BF$5="Sí",(1/DATOS_[[% anualiz]:[% anualiz]]),1)*IF(DATOS!BF$4="Sí",1/DATOS_[[% normaliz]:[% normaliz]],1)*(DATOS_[Conc.Sal.28])))))))),
0)</f>
        <v>0</v>
      </c>
      <c r="AL37" s="196">
        <f t="array" ref="AL37">IFERROR(
(AVERAGE((IF(DATOS_[[Sexo]:[Sexo]]=$B37,IF(DATOS_[[AGRUP. VALOR. PTO.]:[AGRUP. VALOR. PTO.]]=$B36,IF(DATOS_[[Check Periodo Ref.]:[Check Periodo Ref.]]="Dentro",IF(DATOS_[[Check Equiparado]:[Check Equiparado]]="Sí",IF(DATOS!BG$5="Sí",(1/DATOS_[[% anualiz]:[% anualiz]]),1)*IF(DATOS!BG$4="Sí",1/DATOS_[[% normaliz]:[% normaliz]],1)*(DATOS_[Conc.Sal.29])))))))),
0)</f>
        <v>0</v>
      </c>
      <c r="AM37" s="196">
        <f t="array" ref="AM37">IFERROR(
(AVERAGE((IF(DATOS_[[Sexo]:[Sexo]]=$B37,IF(DATOS_[[AGRUP. VALOR. PTO.]:[AGRUP. VALOR. PTO.]]=$B36,IF(DATOS_[[Check Periodo Ref.]:[Check Periodo Ref.]]="Dentro",IF(DATOS_[[Check Equiparado]:[Check Equiparado]]="Sí",IF(DATOS!BH$5="Sí",(1/DATOS_[[% anualiz]:[% anualiz]]),1)*IF(DATOS!BH$4="Sí",1/DATOS_[[% normaliz]:[% normaliz]],1)*(DATOS_[Conc.Sal.30])))))))),
0)</f>
        <v>0</v>
      </c>
      <c r="AN37" s="195">
        <f t="array" ref="AN37">IFERROR(
AVERAGE(IF(DATOS_[Sexo]=$B37,IF(DATOS_[[AGRUP. VALOR. PTO.]:[AGRUP. VALOR. PTO.]]=$B36,IF(DATOS_[Check Equiparado]="Sí",IF(DATOS_[Check Periodo Ref.]="Dentro",DATOS_[Tot COMPL.SAL Eq],FALSE))))),
0)</f>
        <v>0</v>
      </c>
      <c r="AO37" s="172">
        <f t="array" ref="AO37">IFERROR(
AVERAGE(IF(DATOS_[Sexo]=$B37,IF(DATOS_[[AGRUP. VALOR. PTO.]:[AGRUP. VALOR. PTO.]]=$B36,IF(DATOS_[Check Equiparado]="Sí",IF(DATOS_[Check Periodo Ref.]="Dentro",DATOS_[TOTAL SALARIO Eq],FALSE))))),
0)</f>
        <v>0</v>
      </c>
      <c r="AP37" s="173">
        <f t="array" ref="AP37">IFERROR(
(AVERAGE((IF(DATOS_[[Sexo]:[Sexo]]=$B37,IF(DATOS_[[AGRUP. VALOR. PTO.]:[AGRUP. VALOR. PTO.]]=$B36,IF(DATOS_[[Check Periodo Ref.]:[Check Periodo Ref.]]="Dentro",IF(DATOS_[[Check Equiparado]:[Check Equiparado]]="Sí",IF(DATOS!BW$5="Sí",(1/DATOS_[[% anualiz]:[% anualiz]]),1)*IF(DATOS!BW$4="Sí",1/DATOS_[[% normaliz]:[% normaliz]],1)*(DATOS_[C.Extra.01])))))))),
0)</f>
        <v>0</v>
      </c>
      <c r="AQ37" s="173">
        <f t="array" ref="AQ37">IFERROR(
(AVERAGE((IF(DATOS_[[Sexo]:[Sexo]]=$B37,IF(DATOS_[[AGRUP. VALOR. PTO.]:[AGRUP. VALOR. PTO.]]=$B36,IF(DATOS_[[Check Periodo Ref.]:[Check Periodo Ref.]]="Dentro",IF(DATOS_[[Check Equiparado]:[Check Equiparado]]="Sí",IF(DATOS!CB$5="Sí",(1/DATOS_[[% anualiz]:[% anualiz]]),1)*IF(DATOS!CB$4="Sí",1/DATOS_[[% normaliz]:[% normaliz]],1)*(DATOS_[C.Extra.06])))))))),
0)</f>
        <v>0</v>
      </c>
      <c r="AR37" s="173">
        <f t="array" ref="AR37">IFERROR(
(AVERAGE((IF(DATOS_[[Sexo]:[Sexo]]=$B37,IF(DATOS_[[AGRUP. VALOR. PTO.]:[AGRUP. VALOR. PTO.]]=$B36,IF(DATOS_[[Check Periodo Ref.]:[Check Periodo Ref.]]="Dentro",IF(DATOS_[[Check Equiparado]:[Check Equiparado]]="Sí",IF(DATOS!CC$5="Sí",(1/DATOS_[[% anualiz]:[% anualiz]]),1)*IF(DATOS!CC$4="Sí",1/DATOS_[[% normaliz]:[% normaliz]],1)*(DATOS_[C.Extra.07])))))))),
0)</f>
        <v>0</v>
      </c>
      <c r="AS37" s="173">
        <f t="array" ref="AS37">IFERROR(
(AVERAGE((IF(DATOS_[[Sexo]:[Sexo]]=$B37,IF(DATOS_[[AGRUP. VALOR. PTO.]:[AGRUP. VALOR. PTO.]]=$B36,IF(DATOS_[[Check Periodo Ref.]:[Check Periodo Ref.]]="Dentro",IF(DATOS_[[Check Equiparado]:[Check Equiparado]]="Sí",IF(DATOS!CD$5="Sí",(1/DATOS_[[% anualiz]:[% anualiz]]),1)*IF(DATOS!CD$4="Sí",1/DATOS_[[% normaliz]:[% normaliz]],1)*(DATOS_[C.Extra.08])))))))),
0)</f>
        <v>0</v>
      </c>
      <c r="AT37" s="173">
        <f t="array" ref="AT37">IFERROR(
(AVERAGE((IF(DATOS_[[Sexo]:[Sexo]]=$B37,IF(DATOS_[[AGRUP. VALOR. PTO.]:[AGRUP. VALOR. PTO.]]=$B36,IF(DATOS_[[Check Periodo Ref.]:[Check Periodo Ref.]]="Dentro",IF(DATOS_[[Check Equiparado]:[Check Equiparado]]="Sí",IF(DATOS!CG$5="Sí",(1/DATOS_[[% anualiz]:[% anualiz]]),1)*IF(DATOS!CG$4="Sí",1/DATOS_[[% normaliz]:[% normaliz]],1)*(DATOS_[C.Extra.11])))))))),
0)</f>
        <v>0</v>
      </c>
      <c r="AU37" s="197">
        <f t="array" ref="AU37">IFERROR(
AVERAGE(IF(DATOS_[Sexo]=$B37,IF(DATOS_[[AGRUP. VALOR. PTO.]:[AGRUP. VALOR. PTO.]]=$B36,IF(DATOS_[Check Equiparado]="Sí",IF(DATOS_[Check Periodo Ref.]="Dentro",DATOS_[Tot Extrasalarial Eq],FALSE))))),
0)</f>
        <v>0</v>
      </c>
      <c r="AV37" s="175">
        <f t="array" ref="AV37">IFERROR(
AVERAGE(IF(DATOS_[Sexo]=$B37,IF(DATOS_[[AGRUP. VALOR. PTO.]:[AGRUP. VALOR. PTO.]]=$B36,IF(DATOS_[Check Equiparado]="Sí",IF(DATOS_[Check Periodo Ref.]="Dentro",DATOS_[TOTAL Retrib Eq],FALSE))))),
0)</f>
        <v>0</v>
      </c>
    </row>
    <row r="38" spans="1:48" x14ac:dyDescent="0.25">
      <c r="A38" s="133" t="str">
        <f t="shared" ref="A38" si="34">+A37</f>
        <v>[ocultar]</v>
      </c>
      <c r="B38" s="202" t="s">
        <v>521</v>
      </c>
      <c r="C38" s="203">
        <f t="array" ref="C38">SUM(IF($B38=DATOS_[Sexo],
IF($B36=DATOS_[AGRUP. VALOR. PTO.],
IF("Dentro"=DATOS_[Check Periodo Ref.],
1/(COUNTIFS(DATOS_[Sexo],$B38,DATOS_[AGRUP. VALOR. PTO.],$B36,DATOS_[Check Periodo Ref.],"Dentro",DATOS_[id/cod],DATOS_[id/cod]))))))</f>
        <v>0</v>
      </c>
      <c r="D38" s="204">
        <f>COUNTIFS(DATOS_[AGRUP. VALOR. PTO.],$B36,DATOS_[Sexo],$B38,DATOS_[Check Periodo Ref.],"Dentro")</f>
        <v>0</v>
      </c>
      <c r="E38" s="204">
        <f>COUNTIFS(DATOS_[AGRUP. VALOR. PTO.],$B36,DATOS_[Sexo],$B38,DATOS_[Check Periodo Ref.],"Dentro",DATOS_[Check Nº SC Norm],"Sí")</f>
        <v>0</v>
      </c>
      <c r="F38" s="204">
        <f>COUNTIFS(DATOS_[AGRUP. VALOR. PTO.],$B36,DATOS_[Sexo],$B38,DATOS_[Check Periodo Ref.],"Dentro",DATOS_[Check Nº SC Anualiz],"Sí")</f>
        <v>0</v>
      </c>
      <c r="G38" s="204">
        <f>COUNTIFS(DATOS_[AGRUP. VALOR. PTO.],$B36,DATOS_[Sexo],$B38,DATOS_[Check Periodo Ref.],"Dentro",DATOS_[Check Nº SC Norm y Anualiz],"Sí")</f>
        <v>0</v>
      </c>
      <c r="H38" s="204">
        <f>COUNTIFS(DATOS_[AGRUP. VALOR. PTO.],$B36,DATOS_[Sexo],$B38,DATOS_[Check Periodo Ref.],"Dentro",DATOS_[Check Equiparación],"Sí")</f>
        <v>0</v>
      </c>
      <c r="I38" s="195" cm="1">
        <f t="array" ref="I38">IFERROR(
AVERAGE(IF(DATOS_[Sexo]=$B38,IF(DATOS_[[AGRUP. VALOR. PTO.]:[AGRUP. VALOR. PTO.]]=$B36,IF(DATOS_[Check Equiparado]="Sí",IF(DATOS_[Check Periodo Ref.]="Dentro",DATOS_[SALARIO BASE Eq],FALSE))))),
0)</f>
        <v>0</v>
      </c>
      <c r="J38" s="196">
        <f t="array" ref="J38">IFERROR(
(AVERAGE((IF(DATOS_[[Sexo]:[Sexo]]=$B38,IF(DATOS_[[AGRUP. VALOR. PTO.]:[AGRUP. VALOR. PTO.]]=$B36,IF(DATOS_[[Check Periodo Ref.]:[Check Periodo Ref.]]="Dentro",IF(DATOS_[[Check Equiparado]:[Check Equiparado]]="Sí",IF(DATOS!AE$5="Sí",(1/DATOS_[[% anualiz]:[% anualiz]]),1)*IF(DATOS!AE$4="Sí",1/DATOS_[[% normaliz]:[% normaliz]],1)*(DATOS_[Conc.Sal.01])))))))),
0)</f>
        <v>0</v>
      </c>
      <c r="K38" s="196">
        <f t="array" ref="K38">IFERROR(
(AVERAGE((IF(DATOS_[[Sexo]:[Sexo]]=$B38,IF(DATOS_[[AGRUP. VALOR. PTO.]:[AGRUP. VALOR. PTO.]]=$B36,IF(DATOS_[[Check Periodo Ref.]:[Check Periodo Ref.]]="Dentro",IF(DATOS_[[Check Equiparado]:[Check Equiparado]]="Sí",IF(DATOS!AF$5="Sí",(1/DATOS_[[% anualiz]:[% anualiz]]),1)*IF(DATOS!AF$4="Sí",1/DATOS_[[% normaliz]:[% normaliz]],1)*(DATOS_[Conc.Sal.02])))))))),
0)</f>
        <v>0</v>
      </c>
      <c r="L38" s="196">
        <f t="array" ref="L38">IFERROR(
(AVERAGE((IF(DATOS_[[Sexo]:[Sexo]]=$B38,IF(DATOS_[[AGRUP. VALOR. PTO.]:[AGRUP. VALOR. PTO.]]=$B36,IF(DATOS_[[Check Periodo Ref.]:[Check Periodo Ref.]]="Dentro",IF(DATOS_[[Check Equiparado]:[Check Equiparado]]="Sí",IF(DATOS!AG$5="Sí",(1/DATOS_[[% anualiz]:[% anualiz]]),1)*IF(DATOS!AG$4="Sí",1/DATOS_[[% normaliz]:[% normaliz]],1)*(DATOS_[Conc.Sal.03])))))))),
0)</f>
        <v>0</v>
      </c>
      <c r="M38" s="196">
        <f t="array" ref="M38">IFERROR(
(AVERAGE((IF(DATOS_[[Sexo]:[Sexo]]=$B38,IF(DATOS_[[AGRUP. VALOR. PTO.]:[AGRUP. VALOR. PTO.]]=$B36,IF(DATOS_[[Check Periodo Ref.]:[Check Periodo Ref.]]="Dentro",IF(DATOS_[[Check Equiparado]:[Check Equiparado]]="Sí",IF(DATOS!AH$5="Sí",(1/DATOS_[[% anualiz]:[% anualiz]]),1)*IF(DATOS!AH$4="Sí",1/DATOS_[[% normaliz]:[% normaliz]],1)*(DATOS_[Conc.Sal.04])))))))),
0)</f>
        <v>0</v>
      </c>
      <c r="N38" s="196">
        <f t="array" ref="N38">IFERROR(
(AVERAGE((IF(DATOS_[[Sexo]:[Sexo]]=$B38,IF(DATOS_[[AGRUP. VALOR. PTO.]:[AGRUP. VALOR. PTO.]]=$B36,IF(DATOS_[[Check Periodo Ref.]:[Check Periodo Ref.]]="Dentro",IF(DATOS_[[Check Equiparado]:[Check Equiparado]]="Sí",IF(DATOS!AI$5="Sí",(1/DATOS_[[% anualiz]:[% anualiz]]),1)*IF(DATOS!AI$4="Sí",1/DATOS_[[% normaliz]:[% normaliz]],1)*(DATOS_[Conc.Sal.05])))))))),
0)</f>
        <v>0</v>
      </c>
      <c r="O38" s="196">
        <f t="array" ref="O38">IFERROR(
(AVERAGE((IF(DATOS_[[Sexo]:[Sexo]]=$B38,IF(DATOS_[[AGRUP. VALOR. PTO.]:[AGRUP. VALOR. PTO.]]=$B36,IF(DATOS_[[Check Periodo Ref.]:[Check Periodo Ref.]]="Dentro",IF(DATOS_[[Check Equiparado]:[Check Equiparado]]="Sí",IF(DATOS!AJ$5="Sí",(1/DATOS_[[% anualiz]:[% anualiz]]),1)*IF(DATOS!AJ$4="Sí",1/DATOS_[[% normaliz]:[% normaliz]],1)*(DATOS_[Conc.Sal.06])))))))),
0)</f>
        <v>0</v>
      </c>
      <c r="P38" s="196">
        <f t="array" ref="P38">IFERROR(
(AVERAGE((IF(DATOS_[[Sexo]:[Sexo]]=$B38,IF(DATOS_[[AGRUP. VALOR. PTO.]:[AGRUP. VALOR. PTO.]]=$B36,IF(DATOS_[[Check Periodo Ref.]:[Check Periodo Ref.]]="Dentro",IF(DATOS_[[Check Equiparado]:[Check Equiparado]]="Sí",IF(DATOS!AK$5="Sí",(1/DATOS_[[% anualiz]:[% anualiz]]),1)*IF(DATOS!AK$4="Sí",1/DATOS_[[% normaliz]:[% normaliz]],1)*(DATOS_[Conc.Sal.07])))))))),
0)</f>
        <v>0</v>
      </c>
      <c r="Q38" s="196">
        <f t="array" ref="Q38">IFERROR(
(AVERAGE((IF(DATOS_[[Sexo]:[Sexo]]=$B38,IF(DATOS_[[AGRUP. VALOR. PTO.]:[AGRUP. VALOR. PTO.]]=$B36,IF(DATOS_[[Check Periodo Ref.]:[Check Periodo Ref.]]="Dentro",IF(DATOS_[[Check Equiparado]:[Check Equiparado]]="Sí",IF(DATOS!AL$5="Sí",(1/DATOS_[[% anualiz]:[% anualiz]]),1)*IF(DATOS!AL$4="Sí",1/DATOS_[[% normaliz]:[% normaliz]],1)*(DATOS_[Conc.Sal.08])))))))),
0)</f>
        <v>0</v>
      </c>
      <c r="R38" s="196">
        <f t="array" ref="R38">IFERROR(
(AVERAGE((IF(DATOS_[[Sexo]:[Sexo]]=$B38,IF(DATOS_[[AGRUP. VALOR. PTO.]:[AGRUP. VALOR. PTO.]]=$B36,IF(DATOS_[[Check Periodo Ref.]:[Check Periodo Ref.]]="Dentro",IF(DATOS_[[Check Equiparado]:[Check Equiparado]]="Sí",IF(DATOS!AM$5="Sí",(1/DATOS_[[% anualiz]:[% anualiz]]),1)*IF(DATOS!AM$4="Sí",1/DATOS_[[% normaliz]:[% normaliz]],1)*(DATOS_[Conc.Sal.09])))))))),
0)</f>
        <v>0</v>
      </c>
      <c r="S38" s="196">
        <f t="array" ref="S38">IFERROR(
(AVERAGE((IF(DATOS_[[Sexo]:[Sexo]]=$B38,IF(DATOS_[[AGRUP. VALOR. PTO.]:[AGRUP. VALOR. PTO.]]=$B36,IF(DATOS_[[Check Periodo Ref.]:[Check Periodo Ref.]]="Dentro",IF(DATOS_[[Check Equiparado]:[Check Equiparado]]="Sí",IF(DATOS!AN$5="Sí",(1/DATOS_[[% anualiz]:[% anualiz]]),1)*IF(DATOS!AN$4="Sí",1/DATOS_[[% normaliz]:[% normaliz]],1)*(DATOS_[Conc.Sal.10])))))))),
0)</f>
        <v>0</v>
      </c>
      <c r="T38" s="196">
        <f t="array" ref="T38">IFERROR(
(AVERAGE((IF(DATOS_[[Sexo]:[Sexo]]=$B38,IF(DATOS_[[AGRUP. VALOR. PTO.]:[AGRUP. VALOR. PTO.]]=$B36,IF(DATOS_[[Check Periodo Ref.]:[Check Periodo Ref.]]="Dentro",IF(DATOS_[[Check Equiparado]:[Check Equiparado]]="Sí",IF(DATOS!AO$5="Sí",(1/DATOS_[[% anualiz]:[% anualiz]]),1)*IF(DATOS!AO$4="Sí",1/DATOS_[[% normaliz]:[% normaliz]],1)*(DATOS_[Conc.Sal.11])))))))),
0)</f>
        <v>0</v>
      </c>
      <c r="U38" s="196">
        <f t="array" ref="U38">IFERROR(
(AVERAGE((IF(DATOS_[[Sexo]:[Sexo]]=$B38,IF(DATOS_[[AGRUP. VALOR. PTO.]:[AGRUP. VALOR. PTO.]]=$B36,IF(DATOS_[[Check Periodo Ref.]:[Check Periodo Ref.]]="Dentro",IF(DATOS_[[Check Equiparado]:[Check Equiparado]]="Sí",IF(DATOS!AP$5="Sí",(1/DATOS_[[% anualiz]:[% anualiz]]),1)*IF(DATOS!AP$4="Sí",1/DATOS_[[% normaliz]:[% normaliz]],1)*(DATOS_[Conc.Sal.12])))))))),
0)</f>
        <v>0</v>
      </c>
      <c r="V38" s="196">
        <f t="array" ref="V38">IFERROR(
(AVERAGE((IF(DATOS_[[Sexo]:[Sexo]]=$B38,IF(DATOS_[[AGRUP. VALOR. PTO.]:[AGRUP. VALOR. PTO.]]=$B36,IF(DATOS_[[Check Periodo Ref.]:[Check Periodo Ref.]]="Dentro",IF(DATOS_[[Check Equiparado]:[Check Equiparado]]="Sí",IF(DATOS!AQ$5="Sí",(1/DATOS_[[% anualiz]:[% anualiz]]),1)*IF(DATOS!AQ$4="Sí",1/DATOS_[[% normaliz]:[% normaliz]],1)*(DATOS_[Conc.Sal.13])))))))),
0)</f>
        <v>0</v>
      </c>
      <c r="W38" s="196">
        <f t="array" ref="W38">IFERROR(
(AVERAGE((IF(DATOS_[[Sexo]:[Sexo]]=$B38,IF(DATOS_[[AGRUP. VALOR. PTO.]:[AGRUP. VALOR. PTO.]]=$B36,IF(DATOS_[[Check Periodo Ref.]:[Check Periodo Ref.]]="Dentro",IF(DATOS_[[Check Equiparado]:[Check Equiparado]]="Sí",IF(DATOS!AR$5="Sí",(1/DATOS_[[% anualiz]:[% anualiz]]),1)*IF(DATOS!AR$4="Sí",1/DATOS_[[% normaliz]:[% normaliz]],1)*(DATOS_[Conc.Sal.14])))))))),
0)</f>
        <v>0</v>
      </c>
      <c r="X38" s="196">
        <f t="array" ref="X38">IFERROR(
(AVERAGE((IF(DATOS_[[Sexo]:[Sexo]]=$B38,IF(DATOS_[[AGRUP. VALOR. PTO.]:[AGRUP. VALOR. PTO.]]=$B36,IF(DATOS_[[Check Periodo Ref.]:[Check Periodo Ref.]]="Dentro",IF(DATOS_[[Check Equiparado]:[Check Equiparado]]="Sí",IF(DATOS!AS$5="Sí",(1/DATOS_[[% anualiz]:[% anualiz]]),1)*IF(DATOS!AS$4="Sí",1/DATOS_[[% normaliz]:[% normaliz]],1)*(DATOS_[Conc.Sal.15])))))))),
0)</f>
        <v>0</v>
      </c>
      <c r="Y38" s="196">
        <f t="array" ref="Y38">IFERROR(
(AVERAGE((IF(DATOS_[[Sexo]:[Sexo]]=$B38,IF(DATOS_[[AGRUP. VALOR. PTO.]:[AGRUP. VALOR. PTO.]]=$B36,IF(DATOS_[[Check Periodo Ref.]:[Check Periodo Ref.]]="Dentro",IF(DATOS_[[Check Equiparado]:[Check Equiparado]]="Sí",IF(DATOS!AT$5="Sí",(1/DATOS_[[% anualiz]:[% anualiz]]),1)*IF(DATOS!AT$4="Sí",1/DATOS_[[% normaliz]:[% normaliz]],1)*(DATOS_[Conc.Sal.16])))))))),
0)</f>
        <v>0</v>
      </c>
      <c r="Z38" s="196">
        <f t="array" ref="Z38">IFERROR(
(AVERAGE((IF(DATOS_[[Sexo]:[Sexo]]=$B38,IF(DATOS_[[AGRUP. VALOR. PTO.]:[AGRUP. VALOR. PTO.]]=$B36,IF(DATOS_[[Check Periodo Ref.]:[Check Periodo Ref.]]="Dentro",IF(DATOS_[[Check Equiparado]:[Check Equiparado]]="Sí",IF(DATOS!AU$5="Sí",(1/DATOS_[[% anualiz]:[% anualiz]]),1)*IF(DATOS!AU$4="Sí",1/DATOS_[[% normaliz]:[% normaliz]],1)*(DATOS_[Conc.Sal.17])))))))),
0)</f>
        <v>0</v>
      </c>
      <c r="AA38" s="196">
        <f t="array" ref="AA38">IFERROR(
(AVERAGE((IF(DATOS_[[Sexo]:[Sexo]]=$B38,IF(DATOS_[[AGRUP. VALOR. PTO.]:[AGRUP. VALOR. PTO.]]=$B36,IF(DATOS_[[Check Periodo Ref.]:[Check Periodo Ref.]]="Dentro",IF(DATOS_[[Check Equiparado]:[Check Equiparado]]="Sí",IF(DATOS!AV$5="Sí",(1/DATOS_[[% anualiz]:[% anualiz]]),1)*IF(DATOS!AV$4="Sí",1/DATOS_[[% normaliz]:[% normaliz]],1)*(DATOS_[Conc.Sal.18])))))))),
0)</f>
        <v>0</v>
      </c>
      <c r="AB38" s="196">
        <f t="array" ref="AB38">IFERROR(
(AVERAGE((IF(DATOS_[[Sexo]:[Sexo]]=$B38,IF(DATOS_[[AGRUP. VALOR. PTO.]:[AGRUP. VALOR. PTO.]]=$B36,IF(DATOS_[[Check Periodo Ref.]:[Check Periodo Ref.]]="Dentro",IF(DATOS_[[Check Equiparado]:[Check Equiparado]]="Sí",IF(DATOS!AW$5="Sí",(1/DATOS_[[% anualiz]:[% anualiz]]),1)*IF(DATOS!AW$4="Sí",1/DATOS_[[% normaliz]:[% normaliz]],1)*(DATOS_[Conc.Sal.19])))))))),
0)</f>
        <v>0</v>
      </c>
      <c r="AC38" s="196">
        <f t="array" ref="AC38">IFERROR(
(AVERAGE((IF(DATOS_[[Sexo]:[Sexo]]=$B38,IF(DATOS_[[AGRUP. VALOR. PTO.]:[AGRUP. VALOR. PTO.]]=$B36,IF(DATOS_[[Check Periodo Ref.]:[Check Periodo Ref.]]="Dentro",IF(DATOS_[[Check Equiparado]:[Check Equiparado]]="Sí",IF(DATOS!AX$5="Sí",(1/DATOS_[[% anualiz]:[% anualiz]]),1)*IF(DATOS!AX$4="Sí",1/DATOS_[[% normaliz]:[% normaliz]],1)*(DATOS_[Conc.Sal.20])))))))),
0)</f>
        <v>0</v>
      </c>
      <c r="AD38" s="196">
        <f t="array" ref="AD38">IFERROR(
(AVERAGE((IF(DATOS_[[Sexo]:[Sexo]]=$B38,IF(DATOS_[[AGRUP. VALOR. PTO.]:[AGRUP. VALOR. PTO.]]=$B36,IF(DATOS_[[Check Periodo Ref.]:[Check Periodo Ref.]]="Dentro",IF(DATOS_[[Check Equiparado]:[Check Equiparado]]="Sí",IF(DATOS!AY$5="Sí",(1/DATOS_[[% anualiz]:[% anualiz]]),1)*IF(DATOS!AY$4="Sí",1/DATOS_[[% normaliz]:[% normaliz]],1)*(DATOS_[Conc.Sal.21])))))))),
0)</f>
        <v>0</v>
      </c>
      <c r="AE38" s="196">
        <f t="array" ref="AE38">IFERROR(
(AVERAGE((IF(DATOS_[[Sexo]:[Sexo]]=$B38,IF(DATOS_[[AGRUP. VALOR. PTO.]:[AGRUP. VALOR. PTO.]]=$B36,IF(DATOS_[[Check Periodo Ref.]:[Check Periodo Ref.]]="Dentro",IF(DATOS_[[Check Equiparado]:[Check Equiparado]]="Sí",IF(DATOS!AZ$5="Sí",(1/DATOS_[[% anualiz]:[% anualiz]]),1)*IF(DATOS!AZ$4="Sí",1/DATOS_[[% normaliz]:[% normaliz]],1)*(DATOS_[Conc.Sal.22])))))))),
0)</f>
        <v>0</v>
      </c>
      <c r="AF38" s="196">
        <f t="array" ref="AF38">IFERROR(
(AVERAGE((IF(DATOS_[[Sexo]:[Sexo]]=$B38,IF(DATOS_[[AGRUP. VALOR. PTO.]:[AGRUP. VALOR. PTO.]]=$B36,IF(DATOS_[[Check Periodo Ref.]:[Check Periodo Ref.]]="Dentro",IF(DATOS_[[Check Equiparado]:[Check Equiparado]]="Sí",IF(DATOS!BA$5="Sí",(1/DATOS_[[% anualiz]:[% anualiz]]),1)*IF(DATOS!BA$4="Sí",1/DATOS_[[% normaliz]:[% normaliz]],1)*(DATOS_[Conc.Sal.23])))))))),
0)</f>
        <v>0</v>
      </c>
      <c r="AG38" s="196">
        <f t="array" ref="AG38">IFERROR(
(AVERAGE((IF(DATOS_[[Sexo]:[Sexo]]=$B38,IF(DATOS_[[AGRUP. VALOR. PTO.]:[AGRUP. VALOR. PTO.]]=$B36,IF(DATOS_[[Check Periodo Ref.]:[Check Periodo Ref.]]="Dentro",IF(DATOS_[[Check Equiparado]:[Check Equiparado]]="Sí",IF(DATOS!BB$5="Sí",(1/DATOS_[[% anualiz]:[% anualiz]]),1)*IF(DATOS!BB$4="Sí",1/DATOS_[[% normaliz]:[% normaliz]],1)*(DATOS_[Conc.Sal.24])))))))),
0)</f>
        <v>0</v>
      </c>
      <c r="AH38" s="196">
        <f t="array" ref="AH38">IFERROR(
(AVERAGE((IF(DATOS_[[Sexo]:[Sexo]]=$B38,IF(DATOS_[[AGRUP. VALOR. PTO.]:[AGRUP. VALOR. PTO.]]=$B36,IF(DATOS_[[Check Periodo Ref.]:[Check Periodo Ref.]]="Dentro",IF(DATOS_[[Check Equiparado]:[Check Equiparado]]="Sí",IF(DATOS!BC$5="Sí",(1/DATOS_[[% anualiz]:[% anualiz]]),1)*IF(DATOS!BC$4="Sí",1/DATOS_[[% normaliz]:[% normaliz]],1)*(DATOS_[Conc.Sal.25])))))))),
0)</f>
        <v>0</v>
      </c>
      <c r="AI38" s="196">
        <f t="array" ref="AI38">IFERROR(
(AVERAGE((IF(DATOS_[[Sexo]:[Sexo]]=$B38,IF(DATOS_[[AGRUP. VALOR. PTO.]:[AGRUP. VALOR. PTO.]]=$B36,IF(DATOS_[[Check Periodo Ref.]:[Check Periodo Ref.]]="Dentro",IF(DATOS_[[Check Equiparado]:[Check Equiparado]]="Sí",IF(DATOS!BD$5="Sí",(1/DATOS_[[% anualiz]:[% anualiz]]),1)*IF(DATOS!BD$4="Sí",1/DATOS_[[% normaliz]:[% normaliz]],1)*(DATOS_[Conc.Sal.26])))))))),
0)</f>
        <v>0</v>
      </c>
      <c r="AJ38" s="196">
        <f t="array" ref="AJ38">IFERROR(
(AVERAGE((IF(DATOS_[[Sexo]:[Sexo]]=$B38,IF(DATOS_[[AGRUP. VALOR. PTO.]:[AGRUP. VALOR. PTO.]]=$B36,IF(DATOS_[[Check Periodo Ref.]:[Check Periodo Ref.]]="Dentro",IF(DATOS_[[Check Equiparado]:[Check Equiparado]]="Sí",IF(DATOS!BE$5="Sí",(1/DATOS_[[% anualiz]:[% anualiz]]),1)*IF(DATOS!BE$4="Sí",1/DATOS_[[% normaliz]:[% normaliz]],1)*(DATOS_[Conc.Sal.27])))))))),
0)</f>
        <v>0</v>
      </c>
      <c r="AK38" s="196">
        <f t="array" ref="AK38">IFERROR(
(AVERAGE((IF(DATOS_[[Sexo]:[Sexo]]=$B38,IF(DATOS_[[AGRUP. VALOR. PTO.]:[AGRUP. VALOR. PTO.]]=$B36,IF(DATOS_[[Check Periodo Ref.]:[Check Periodo Ref.]]="Dentro",IF(DATOS_[[Check Equiparado]:[Check Equiparado]]="Sí",IF(DATOS!BF$5="Sí",(1/DATOS_[[% anualiz]:[% anualiz]]),1)*IF(DATOS!BF$4="Sí",1/DATOS_[[% normaliz]:[% normaliz]],1)*(DATOS_[Conc.Sal.28])))))))),
0)</f>
        <v>0</v>
      </c>
      <c r="AL38" s="196">
        <f t="array" ref="AL38">IFERROR(
(AVERAGE((IF(DATOS_[[Sexo]:[Sexo]]=$B38,IF(DATOS_[[AGRUP. VALOR. PTO.]:[AGRUP. VALOR. PTO.]]=$B36,IF(DATOS_[[Check Periodo Ref.]:[Check Periodo Ref.]]="Dentro",IF(DATOS_[[Check Equiparado]:[Check Equiparado]]="Sí",IF(DATOS!BG$5="Sí",(1/DATOS_[[% anualiz]:[% anualiz]]),1)*IF(DATOS!BG$4="Sí",1/DATOS_[[% normaliz]:[% normaliz]],1)*(DATOS_[Conc.Sal.29])))))))),
0)</f>
        <v>0</v>
      </c>
      <c r="AM38" s="196">
        <f t="array" ref="AM38">IFERROR(
(AVERAGE((IF(DATOS_[[Sexo]:[Sexo]]=$B38,IF(DATOS_[[AGRUP. VALOR. PTO.]:[AGRUP. VALOR. PTO.]]=$B36,IF(DATOS_[[Check Periodo Ref.]:[Check Periodo Ref.]]="Dentro",IF(DATOS_[[Check Equiparado]:[Check Equiparado]]="Sí",IF(DATOS!BH$5="Sí",(1/DATOS_[[% anualiz]:[% anualiz]]),1)*IF(DATOS!BH$4="Sí",1/DATOS_[[% normaliz]:[% normaliz]],1)*(DATOS_[Conc.Sal.30])))))))),
0)</f>
        <v>0</v>
      </c>
      <c r="AN38" s="195">
        <f t="array" ref="AN38">IFERROR(
AVERAGE(IF(DATOS_[Sexo]=$B38,IF(DATOS_[[AGRUP. VALOR. PTO.]:[AGRUP. VALOR. PTO.]]=$B36,IF(DATOS_[Check Equiparado]="Sí",IF(DATOS_[Check Periodo Ref.]="Dentro",DATOS_[Tot COMPL.SAL Eq],FALSE))))),
0)</f>
        <v>0</v>
      </c>
      <c r="AO38" s="172">
        <f t="array" ref="AO38">IFERROR(
AVERAGE(IF(DATOS_[Sexo]=$B38,IF(DATOS_[[AGRUP. VALOR. PTO.]:[AGRUP. VALOR. PTO.]]=$B36,IF(DATOS_[Check Equiparado]="Sí",IF(DATOS_[Check Periodo Ref.]="Dentro",DATOS_[TOTAL SALARIO Eq],FALSE))))),
0)</f>
        <v>0</v>
      </c>
      <c r="AP38" s="173">
        <f t="array" ref="AP38">IFERROR(
(AVERAGE((IF(DATOS_[[Sexo]:[Sexo]]=$B38,IF(DATOS_[[AGRUP. VALOR. PTO.]:[AGRUP. VALOR. PTO.]]=$B36,IF(DATOS_[[Check Periodo Ref.]:[Check Periodo Ref.]]="Dentro",IF(DATOS_[[Check Equiparado]:[Check Equiparado]]="Sí",IF(DATOS!BW$5="Sí",(1/DATOS_[[% anualiz]:[% anualiz]]),1)*IF(DATOS!BW$4="Sí",1/DATOS_[[% normaliz]:[% normaliz]],1)*(DATOS_[C.Extra.01])))))))),
0)</f>
        <v>0</v>
      </c>
      <c r="AQ38" s="173">
        <f t="array" ref="AQ38">IFERROR(
(AVERAGE((IF(DATOS_[[Sexo]:[Sexo]]=$B38,IF(DATOS_[[AGRUP. VALOR. PTO.]:[AGRUP. VALOR. PTO.]]=$B36,IF(DATOS_[[Check Periodo Ref.]:[Check Periodo Ref.]]="Dentro",IF(DATOS_[[Check Equiparado]:[Check Equiparado]]="Sí",IF(DATOS!CB$5="Sí",(1/DATOS_[[% anualiz]:[% anualiz]]),1)*IF(DATOS!CB$4="Sí",1/DATOS_[[% normaliz]:[% normaliz]],1)*(DATOS_[C.Extra.06])))))))),
0)</f>
        <v>0</v>
      </c>
      <c r="AR38" s="173">
        <f t="array" ref="AR38">IFERROR(
(AVERAGE((IF(DATOS_[[Sexo]:[Sexo]]=$B38,IF(DATOS_[[AGRUP. VALOR. PTO.]:[AGRUP. VALOR. PTO.]]=$B36,IF(DATOS_[[Check Periodo Ref.]:[Check Periodo Ref.]]="Dentro",IF(DATOS_[[Check Equiparado]:[Check Equiparado]]="Sí",IF(DATOS!CC$5="Sí",(1/DATOS_[[% anualiz]:[% anualiz]]),1)*IF(DATOS!CC$4="Sí",1/DATOS_[[% normaliz]:[% normaliz]],1)*(DATOS_[C.Extra.07])))))))),
0)</f>
        <v>0</v>
      </c>
      <c r="AS38" s="173">
        <f t="array" ref="AS38">IFERROR(
(AVERAGE((IF(DATOS_[[Sexo]:[Sexo]]=$B38,IF(DATOS_[[AGRUP. VALOR. PTO.]:[AGRUP. VALOR. PTO.]]=$B36,IF(DATOS_[[Check Periodo Ref.]:[Check Periodo Ref.]]="Dentro",IF(DATOS_[[Check Equiparado]:[Check Equiparado]]="Sí",IF(DATOS!CD$5="Sí",(1/DATOS_[[% anualiz]:[% anualiz]]),1)*IF(DATOS!CD$4="Sí",1/DATOS_[[% normaliz]:[% normaliz]],1)*(DATOS_[C.Extra.08])))))))),
0)</f>
        <v>0</v>
      </c>
      <c r="AT38" s="173">
        <f t="array" ref="AT38">IFERROR(
(AVERAGE((IF(DATOS_[[Sexo]:[Sexo]]=$B38,IF(DATOS_[[AGRUP. VALOR. PTO.]:[AGRUP. VALOR. PTO.]]=$B36,IF(DATOS_[[Check Periodo Ref.]:[Check Periodo Ref.]]="Dentro",IF(DATOS_[[Check Equiparado]:[Check Equiparado]]="Sí",IF(DATOS!CG$5="Sí",(1/DATOS_[[% anualiz]:[% anualiz]]),1)*IF(DATOS!CG$4="Sí",1/DATOS_[[% normaliz]:[% normaliz]],1)*(DATOS_[C.Extra.11])))))))),
0)</f>
        <v>0</v>
      </c>
      <c r="AU38" s="197">
        <f t="array" ref="AU38">IFERROR(
AVERAGE(IF(DATOS_[Sexo]=$B38,IF(DATOS_[[AGRUP. VALOR. PTO.]:[AGRUP. VALOR. PTO.]]=$B36,IF(DATOS_[Check Equiparado]="Sí",IF(DATOS_[Check Periodo Ref.]="Dentro",DATOS_[Tot Extrasalarial Eq],FALSE))))),
0)</f>
        <v>0</v>
      </c>
      <c r="AV38" s="175">
        <f t="array" ref="AV38">IFERROR(
AVERAGE(IF(DATOS_[Sexo]=$B38,IF(DATOS_[[AGRUP. VALOR. PTO.]:[AGRUP. VALOR. PTO.]]=$B36,IF(DATOS_[Check Equiparado]="Sí",IF(DATOS_[Check Periodo Ref.]="Dentro",DATOS_[TOTAL Retrib Eq],FALSE))))),
0)</f>
        <v>0</v>
      </c>
    </row>
    <row r="39" spans="1:48" ht="15.6" thickBot="1" x14ac:dyDescent="0.3">
      <c r="A39" s="133" t="str">
        <f t="shared" ref="A39" si="35">+A40</f>
        <v>[ocultar]</v>
      </c>
      <c r="B39" s="199" t="s">
        <v>209</v>
      </c>
      <c r="C39" s="200"/>
      <c r="D39" s="201"/>
      <c r="E39" s="201"/>
      <c r="F39" s="201"/>
      <c r="G39" s="201"/>
      <c r="H39" s="201"/>
      <c r="I39" s="189" t="str">
        <f t="shared" ref="I39:AV39" si="36">IFERROR((I40-I41)/I40,"")</f>
        <v/>
      </c>
      <c r="J39" s="190" t="str">
        <f t="shared" si="36"/>
        <v/>
      </c>
      <c r="K39" s="191" t="str">
        <f t="shared" si="36"/>
        <v/>
      </c>
      <c r="L39" s="191" t="str">
        <f t="shared" si="36"/>
        <v/>
      </c>
      <c r="M39" s="191" t="str">
        <f t="shared" si="36"/>
        <v/>
      </c>
      <c r="N39" s="192" t="str">
        <f t="shared" si="36"/>
        <v/>
      </c>
      <c r="O39" s="193" t="str">
        <f t="shared" si="36"/>
        <v/>
      </c>
      <c r="P39" s="193" t="str">
        <f t="shared" si="36"/>
        <v/>
      </c>
      <c r="Q39" s="193" t="str">
        <f t="shared" si="36"/>
        <v/>
      </c>
      <c r="R39" s="193" t="str">
        <f t="shared" si="36"/>
        <v/>
      </c>
      <c r="S39" s="193" t="str">
        <f t="shared" si="36"/>
        <v/>
      </c>
      <c r="T39" s="193" t="str">
        <f t="shared" si="36"/>
        <v/>
      </c>
      <c r="U39" s="193" t="str">
        <f t="shared" si="36"/>
        <v/>
      </c>
      <c r="V39" s="193" t="str">
        <f t="shared" si="36"/>
        <v/>
      </c>
      <c r="W39" s="193" t="str">
        <f t="shared" si="36"/>
        <v/>
      </c>
      <c r="X39" s="193" t="str">
        <f t="shared" si="36"/>
        <v/>
      </c>
      <c r="Y39" s="193" t="str">
        <f t="shared" si="36"/>
        <v/>
      </c>
      <c r="Z39" s="193" t="str">
        <f t="shared" si="36"/>
        <v/>
      </c>
      <c r="AA39" s="193" t="str">
        <f t="shared" si="36"/>
        <v/>
      </c>
      <c r="AB39" s="193" t="str">
        <f t="shared" si="36"/>
        <v/>
      </c>
      <c r="AC39" s="193" t="str">
        <f t="shared" si="36"/>
        <v/>
      </c>
      <c r="AD39" s="193" t="str">
        <f t="shared" si="36"/>
        <v/>
      </c>
      <c r="AE39" s="193" t="str">
        <f t="shared" si="36"/>
        <v/>
      </c>
      <c r="AF39" s="193" t="str">
        <f t="shared" si="36"/>
        <v/>
      </c>
      <c r="AG39" s="193" t="str">
        <f t="shared" si="36"/>
        <v/>
      </c>
      <c r="AH39" s="193" t="str">
        <f t="shared" si="36"/>
        <v/>
      </c>
      <c r="AI39" s="193" t="str">
        <f t="shared" si="36"/>
        <v/>
      </c>
      <c r="AJ39" s="193" t="str">
        <f t="shared" si="36"/>
        <v/>
      </c>
      <c r="AK39" s="193" t="str">
        <f t="shared" si="36"/>
        <v/>
      </c>
      <c r="AL39" s="193" t="str">
        <f t="shared" si="36"/>
        <v/>
      </c>
      <c r="AM39" s="193" t="str">
        <f t="shared" si="36"/>
        <v/>
      </c>
      <c r="AN39" s="189" t="str">
        <f t="shared" si="36"/>
        <v/>
      </c>
      <c r="AO39" s="162" t="str">
        <f t="shared" si="36"/>
        <v/>
      </c>
      <c r="AP39" s="163" t="str">
        <f t="shared" si="36"/>
        <v/>
      </c>
      <c r="AQ39" s="163" t="str">
        <f t="shared" si="36"/>
        <v/>
      </c>
      <c r="AR39" s="163" t="str">
        <f t="shared" si="36"/>
        <v/>
      </c>
      <c r="AS39" s="163" t="str">
        <f t="shared" si="36"/>
        <v/>
      </c>
      <c r="AT39" s="163" t="str">
        <f t="shared" si="36"/>
        <v/>
      </c>
      <c r="AU39" s="194" t="str">
        <f t="shared" si="36"/>
        <v/>
      </c>
      <c r="AV39" s="165" t="str">
        <f t="shared" si="36"/>
        <v/>
      </c>
    </row>
    <row r="40" spans="1:48" x14ac:dyDescent="0.25">
      <c r="A40" s="133" t="str">
        <f t="shared" ref="A40" si="37">+IF(C40+C41=0,"[ocultar]","")</f>
        <v>[ocultar]</v>
      </c>
      <c r="B40" s="202" t="s">
        <v>394</v>
      </c>
      <c r="C40" s="203">
        <f t="array" ref="C40">SUM(IF($B40=DATOS_[Sexo],
IF($B39=DATOS_[AGRUP. VALOR. PTO.],
IF("Dentro"=DATOS_[Check Periodo Ref.],
1/(COUNTIFS(DATOS_[Sexo],$B40,DATOS_[AGRUP. VALOR. PTO.],$B39,DATOS_[Check Periodo Ref.],"Dentro",DATOS_[id/cod],DATOS_[id/cod]))))))</f>
        <v>0</v>
      </c>
      <c r="D40" s="204">
        <f>COUNTIFS(DATOS_[AGRUP. VALOR. PTO.],$B39,DATOS_[Sexo],$B40,DATOS_[Check Periodo Ref.],"Dentro")</f>
        <v>0</v>
      </c>
      <c r="E40" s="204">
        <f>COUNTIFS(DATOS_[AGRUP. VALOR. PTO.],$B39,DATOS_[Sexo],$B40,DATOS_[Check Periodo Ref.],"Dentro",DATOS_[Check Nº SC Norm],"Sí")</f>
        <v>0</v>
      </c>
      <c r="F40" s="204">
        <f>COUNTIFS(DATOS_[AGRUP. VALOR. PTO.],$B39,DATOS_[Sexo],$B40,DATOS_[Check Periodo Ref.],"Dentro",DATOS_[Check Nº SC Anualiz],"Sí")</f>
        <v>0</v>
      </c>
      <c r="G40" s="204">
        <f>COUNTIFS(DATOS_[AGRUP. VALOR. PTO.],$B39,DATOS_[Sexo],$B40,DATOS_[Check Periodo Ref.],"Dentro",DATOS_[Check Nº SC Norm y Anualiz],"Sí")</f>
        <v>0</v>
      </c>
      <c r="H40" s="204">
        <f>COUNTIFS(DATOS_[AGRUP. VALOR. PTO.],$B39,DATOS_[Sexo],$B40,DATOS_[Check Periodo Ref.],"Dentro",DATOS_[Check Equiparación],"Sí")</f>
        <v>0</v>
      </c>
      <c r="I40" s="195">
        <f t="array" ref="I40">IFERROR(
AVERAGE(IF(DATOS_[Sexo]=$B40,IF(DATOS_[[AGRUP. VALOR. PTO.]:[AGRUP. VALOR. PTO.]]=$B39,IF(DATOS_[Check Equiparado]="Sí",IF(DATOS_[Check Periodo Ref.]="Dentro",DATOS_[SALARIO BASE Eq],FALSE))))),
0)</f>
        <v>0</v>
      </c>
      <c r="J40" s="196">
        <f t="array" ref="J40">IFERROR(
(AVERAGE((IF(DATOS_[[Sexo]:[Sexo]]=$B40,IF(DATOS_[[AGRUP. VALOR. PTO.]:[AGRUP. VALOR. PTO.]]=$B39,IF(DATOS_[[Check Periodo Ref.]:[Check Periodo Ref.]]="Dentro",IF(DATOS_[[Check Equiparado]:[Check Equiparado]]="Sí",IF(DATOS!AE$5="Sí",(1/DATOS_[[% anualiz]:[% anualiz]]),1)*IF(DATOS!AE$4="Sí",1/DATOS_[[% normaliz]:[% normaliz]],1)*(DATOS_[Conc.Sal.01])))))))),
0)</f>
        <v>0</v>
      </c>
      <c r="K40" s="196">
        <f t="array" ref="K40">IFERROR(
(AVERAGE((IF(DATOS_[[Sexo]:[Sexo]]=$B40,IF(DATOS_[[AGRUP. VALOR. PTO.]:[AGRUP. VALOR. PTO.]]=$B39,IF(DATOS_[[Check Periodo Ref.]:[Check Periodo Ref.]]="Dentro",IF(DATOS_[[Check Equiparado]:[Check Equiparado]]="Sí",IF(DATOS!AF$5="Sí",(1/DATOS_[[% anualiz]:[% anualiz]]),1)*IF(DATOS!AF$4="Sí",1/DATOS_[[% normaliz]:[% normaliz]],1)*(DATOS_[Conc.Sal.02])))))))),
0)</f>
        <v>0</v>
      </c>
      <c r="L40" s="196">
        <f t="array" ref="L40">IFERROR(
(AVERAGE((IF(DATOS_[[Sexo]:[Sexo]]=$B40,IF(DATOS_[[AGRUP. VALOR. PTO.]:[AGRUP. VALOR. PTO.]]=$B39,IF(DATOS_[[Check Periodo Ref.]:[Check Periodo Ref.]]="Dentro",IF(DATOS_[[Check Equiparado]:[Check Equiparado]]="Sí",IF(DATOS!AG$5="Sí",(1/DATOS_[[% anualiz]:[% anualiz]]),1)*IF(DATOS!AG$4="Sí",1/DATOS_[[% normaliz]:[% normaliz]],1)*(DATOS_[Conc.Sal.03])))))))),
0)</f>
        <v>0</v>
      </c>
      <c r="M40" s="196">
        <f t="array" ref="M40">IFERROR(
(AVERAGE((IF(DATOS_[[Sexo]:[Sexo]]=$B40,IF(DATOS_[[AGRUP. VALOR. PTO.]:[AGRUP. VALOR. PTO.]]=$B39,IF(DATOS_[[Check Periodo Ref.]:[Check Periodo Ref.]]="Dentro",IF(DATOS_[[Check Equiparado]:[Check Equiparado]]="Sí",IF(DATOS!AH$5="Sí",(1/DATOS_[[% anualiz]:[% anualiz]]),1)*IF(DATOS!AH$4="Sí",1/DATOS_[[% normaliz]:[% normaliz]],1)*(DATOS_[Conc.Sal.04])))))))),
0)</f>
        <v>0</v>
      </c>
      <c r="N40" s="196">
        <f t="array" ref="N40">IFERROR(
(AVERAGE((IF(DATOS_[[Sexo]:[Sexo]]=$B40,IF(DATOS_[[AGRUP. VALOR. PTO.]:[AGRUP. VALOR. PTO.]]=$B39,IF(DATOS_[[Check Periodo Ref.]:[Check Periodo Ref.]]="Dentro",IF(DATOS_[[Check Equiparado]:[Check Equiparado]]="Sí",IF(DATOS!AI$5="Sí",(1/DATOS_[[% anualiz]:[% anualiz]]),1)*IF(DATOS!AI$4="Sí",1/DATOS_[[% normaliz]:[% normaliz]],1)*(DATOS_[Conc.Sal.05])))))))),
0)</f>
        <v>0</v>
      </c>
      <c r="O40" s="196">
        <f t="array" ref="O40">IFERROR(
(AVERAGE((IF(DATOS_[[Sexo]:[Sexo]]=$B40,IF(DATOS_[[AGRUP. VALOR. PTO.]:[AGRUP. VALOR. PTO.]]=$B39,IF(DATOS_[[Check Periodo Ref.]:[Check Periodo Ref.]]="Dentro",IF(DATOS_[[Check Equiparado]:[Check Equiparado]]="Sí",IF(DATOS!AJ$5="Sí",(1/DATOS_[[% anualiz]:[% anualiz]]),1)*IF(DATOS!AJ$4="Sí",1/DATOS_[[% normaliz]:[% normaliz]],1)*(DATOS_[Conc.Sal.06])))))))),
0)</f>
        <v>0</v>
      </c>
      <c r="P40" s="196">
        <f t="array" ref="P40">IFERROR(
(AVERAGE((IF(DATOS_[[Sexo]:[Sexo]]=$B40,IF(DATOS_[[AGRUP. VALOR. PTO.]:[AGRUP. VALOR. PTO.]]=$B39,IF(DATOS_[[Check Periodo Ref.]:[Check Periodo Ref.]]="Dentro",IF(DATOS_[[Check Equiparado]:[Check Equiparado]]="Sí",IF(DATOS!AK$5="Sí",(1/DATOS_[[% anualiz]:[% anualiz]]),1)*IF(DATOS!AK$4="Sí",1/DATOS_[[% normaliz]:[% normaliz]],1)*(DATOS_[Conc.Sal.07])))))))),
0)</f>
        <v>0</v>
      </c>
      <c r="Q40" s="196">
        <f t="array" ref="Q40">IFERROR(
(AVERAGE((IF(DATOS_[[Sexo]:[Sexo]]=$B40,IF(DATOS_[[AGRUP. VALOR. PTO.]:[AGRUP. VALOR. PTO.]]=$B39,IF(DATOS_[[Check Periodo Ref.]:[Check Periodo Ref.]]="Dentro",IF(DATOS_[[Check Equiparado]:[Check Equiparado]]="Sí",IF(DATOS!AL$5="Sí",(1/DATOS_[[% anualiz]:[% anualiz]]),1)*IF(DATOS!AL$4="Sí",1/DATOS_[[% normaliz]:[% normaliz]],1)*(DATOS_[Conc.Sal.08])))))))),
0)</f>
        <v>0</v>
      </c>
      <c r="R40" s="196">
        <f t="array" ref="R40">IFERROR(
(AVERAGE((IF(DATOS_[[Sexo]:[Sexo]]=$B40,IF(DATOS_[[AGRUP. VALOR. PTO.]:[AGRUP. VALOR. PTO.]]=$B39,IF(DATOS_[[Check Periodo Ref.]:[Check Periodo Ref.]]="Dentro",IF(DATOS_[[Check Equiparado]:[Check Equiparado]]="Sí",IF(DATOS!AM$5="Sí",(1/DATOS_[[% anualiz]:[% anualiz]]),1)*IF(DATOS!AM$4="Sí",1/DATOS_[[% normaliz]:[% normaliz]],1)*(DATOS_[Conc.Sal.09])))))))),
0)</f>
        <v>0</v>
      </c>
      <c r="S40" s="196">
        <f t="array" ref="S40">IFERROR(
(AVERAGE((IF(DATOS_[[Sexo]:[Sexo]]=$B40,IF(DATOS_[[AGRUP. VALOR. PTO.]:[AGRUP. VALOR. PTO.]]=$B39,IF(DATOS_[[Check Periodo Ref.]:[Check Periodo Ref.]]="Dentro",IF(DATOS_[[Check Equiparado]:[Check Equiparado]]="Sí",IF(DATOS!AN$5="Sí",(1/DATOS_[[% anualiz]:[% anualiz]]),1)*IF(DATOS!AN$4="Sí",1/DATOS_[[% normaliz]:[% normaliz]],1)*(DATOS_[Conc.Sal.10])))))))),
0)</f>
        <v>0</v>
      </c>
      <c r="T40" s="196">
        <f t="array" ref="T40">IFERROR(
(AVERAGE((IF(DATOS_[[Sexo]:[Sexo]]=$B40,IF(DATOS_[[AGRUP. VALOR. PTO.]:[AGRUP. VALOR. PTO.]]=$B39,IF(DATOS_[[Check Periodo Ref.]:[Check Periodo Ref.]]="Dentro",IF(DATOS_[[Check Equiparado]:[Check Equiparado]]="Sí",IF(DATOS!AO$5="Sí",(1/DATOS_[[% anualiz]:[% anualiz]]),1)*IF(DATOS!AO$4="Sí",1/DATOS_[[% normaliz]:[% normaliz]],1)*(DATOS_[Conc.Sal.11])))))))),
0)</f>
        <v>0</v>
      </c>
      <c r="U40" s="196">
        <f t="array" ref="U40">IFERROR(
(AVERAGE((IF(DATOS_[[Sexo]:[Sexo]]=$B40,IF(DATOS_[[AGRUP. VALOR. PTO.]:[AGRUP. VALOR. PTO.]]=$B39,IF(DATOS_[[Check Periodo Ref.]:[Check Periodo Ref.]]="Dentro",IF(DATOS_[[Check Equiparado]:[Check Equiparado]]="Sí",IF(DATOS!AP$5="Sí",(1/DATOS_[[% anualiz]:[% anualiz]]),1)*IF(DATOS!AP$4="Sí",1/DATOS_[[% normaliz]:[% normaliz]],1)*(DATOS_[Conc.Sal.12])))))))),
0)</f>
        <v>0</v>
      </c>
      <c r="V40" s="196">
        <f t="array" ref="V40">IFERROR(
(AVERAGE((IF(DATOS_[[Sexo]:[Sexo]]=$B40,IF(DATOS_[[AGRUP. VALOR. PTO.]:[AGRUP. VALOR. PTO.]]=$B39,IF(DATOS_[[Check Periodo Ref.]:[Check Periodo Ref.]]="Dentro",IF(DATOS_[[Check Equiparado]:[Check Equiparado]]="Sí",IF(DATOS!AQ$5="Sí",(1/DATOS_[[% anualiz]:[% anualiz]]),1)*IF(DATOS!AQ$4="Sí",1/DATOS_[[% normaliz]:[% normaliz]],1)*(DATOS_[Conc.Sal.13])))))))),
0)</f>
        <v>0</v>
      </c>
      <c r="W40" s="196">
        <f t="array" ref="W40">IFERROR(
(AVERAGE((IF(DATOS_[[Sexo]:[Sexo]]=$B40,IF(DATOS_[[AGRUP. VALOR. PTO.]:[AGRUP. VALOR. PTO.]]=$B39,IF(DATOS_[[Check Periodo Ref.]:[Check Periodo Ref.]]="Dentro",IF(DATOS_[[Check Equiparado]:[Check Equiparado]]="Sí",IF(DATOS!AR$5="Sí",(1/DATOS_[[% anualiz]:[% anualiz]]),1)*IF(DATOS!AR$4="Sí",1/DATOS_[[% normaliz]:[% normaliz]],1)*(DATOS_[Conc.Sal.14])))))))),
0)</f>
        <v>0</v>
      </c>
      <c r="X40" s="196">
        <f t="array" ref="X40">IFERROR(
(AVERAGE((IF(DATOS_[[Sexo]:[Sexo]]=$B40,IF(DATOS_[[AGRUP. VALOR. PTO.]:[AGRUP. VALOR. PTO.]]=$B39,IF(DATOS_[[Check Periodo Ref.]:[Check Periodo Ref.]]="Dentro",IF(DATOS_[[Check Equiparado]:[Check Equiparado]]="Sí",IF(DATOS!AS$5="Sí",(1/DATOS_[[% anualiz]:[% anualiz]]),1)*IF(DATOS!AS$4="Sí",1/DATOS_[[% normaliz]:[% normaliz]],1)*(DATOS_[Conc.Sal.15])))))))),
0)</f>
        <v>0</v>
      </c>
      <c r="Y40" s="196">
        <f t="array" ref="Y40">IFERROR(
(AVERAGE((IF(DATOS_[[Sexo]:[Sexo]]=$B40,IF(DATOS_[[AGRUP. VALOR. PTO.]:[AGRUP. VALOR. PTO.]]=$B39,IF(DATOS_[[Check Periodo Ref.]:[Check Periodo Ref.]]="Dentro",IF(DATOS_[[Check Equiparado]:[Check Equiparado]]="Sí",IF(DATOS!AT$5="Sí",(1/DATOS_[[% anualiz]:[% anualiz]]),1)*IF(DATOS!AT$4="Sí",1/DATOS_[[% normaliz]:[% normaliz]],1)*(DATOS_[Conc.Sal.16])))))))),
0)</f>
        <v>0</v>
      </c>
      <c r="Z40" s="196">
        <f t="array" ref="Z40">IFERROR(
(AVERAGE((IF(DATOS_[[Sexo]:[Sexo]]=$B40,IF(DATOS_[[AGRUP. VALOR. PTO.]:[AGRUP. VALOR. PTO.]]=$B39,IF(DATOS_[[Check Periodo Ref.]:[Check Periodo Ref.]]="Dentro",IF(DATOS_[[Check Equiparado]:[Check Equiparado]]="Sí",IF(DATOS!AU$5="Sí",(1/DATOS_[[% anualiz]:[% anualiz]]),1)*IF(DATOS!AU$4="Sí",1/DATOS_[[% normaliz]:[% normaliz]],1)*(DATOS_[Conc.Sal.17])))))))),
0)</f>
        <v>0</v>
      </c>
      <c r="AA40" s="196">
        <f t="array" ref="AA40">IFERROR(
(AVERAGE((IF(DATOS_[[Sexo]:[Sexo]]=$B40,IF(DATOS_[[AGRUP. VALOR. PTO.]:[AGRUP. VALOR. PTO.]]=$B39,IF(DATOS_[[Check Periodo Ref.]:[Check Periodo Ref.]]="Dentro",IF(DATOS_[[Check Equiparado]:[Check Equiparado]]="Sí",IF(DATOS!AV$5="Sí",(1/DATOS_[[% anualiz]:[% anualiz]]),1)*IF(DATOS!AV$4="Sí",1/DATOS_[[% normaliz]:[% normaliz]],1)*(DATOS_[Conc.Sal.18])))))))),
0)</f>
        <v>0</v>
      </c>
      <c r="AB40" s="196">
        <f t="array" ref="AB40">IFERROR(
(AVERAGE((IF(DATOS_[[Sexo]:[Sexo]]=$B40,IF(DATOS_[[AGRUP. VALOR. PTO.]:[AGRUP. VALOR. PTO.]]=$B39,IF(DATOS_[[Check Periodo Ref.]:[Check Periodo Ref.]]="Dentro",IF(DATOS_[[Check Equiparado]:[Check Equiparado]]="Sí",IF(DATOS!AW$5="Sí",(1/DATOS_[[% anualiz]:[% anualiz]]),1)*IF(DATOS!AW$4="Sí",1/DATOS_[[% normaliz]:[% normaliz]],1)*(DATOS_[Conc.Sal.19])))))))),
0)</f>
        <v>0</v>
      </c>
      <c r="AC40" s="196">
        <f t="array" ref="AC40">IFERROR(
(AVERAGE((IF(DATOS_[[Sexo]:[Sexo]]=$B40,IF(DATOS_[[AGRUP. VALOR. PTO.]:[AGRUP. VALOR. PTO.]]=$B39,IF(DATOS_[[Check Periodo Ref.]:[Check Periodo Ref.]]="Dentro",IF(DATOS_[[Check Equiparado]:[Check Equiparado]]="Sí",IF(DATOS!AX$5="Sí",(1/DATOS_[[% anualiz]:[% anualiz]]),1)*IF(DATOS!AX$4="Sí",1/DATOS_[[% normaliz]:[% normaliz]],1)*(DATOS_[Conc.Sal.20])))))))),
0)</f>
        <v>0</v>
      </c>
      <c r="AD40" s="196">
        <f t="array" ref="AD40">IFERROR(
(AVERAGE((IF(DATOS_[[Sexo]:[Sexo]]=$B40,IF(DATOS_[[AGRUP. VALOR. PTO.]:[AGRUP. VALOR. PTO.]]=$B39,IF(DATOS_[[Check Periodo Ref.]:[Check Periodo Ref.]]="Dentro",IF(DATOS_[[Check Equiparado]:[Check Equiparado]]="Sí",IF(DATOS!AY$5="Sí",(1/DATOS_[[% anualiz]:[% anualiz]]),1)*IF(DATOS!AY$4="Sí",1/DATOS_[[% normaliz]:[% normaliz]],1)*(DATOS_[Conc.Sal.21])))))))),
0)</f>
        <v>0</v>
      </c>
      <c r="AE40" s="196">
        <f t="array" ref="AE40">IFERROR(
(AVERAGE((IF(DATOS_[[Sexo]:[Sexo]]=$B40,IF(DATOS_[[AGRUP. VALOR. PTO.]:[AGRUP. VALOR. PTO.]]=$B39,IF(DATOS_[[Check Periodo Ref.]:[Check Periodo Ref.]]="Dentro",IF(DATOS_[[Check Equiparado]:[Check Equiparado]]="Sí",IF(DATOS!AZ$5="Sí",(1/DATOS_[[% anualiz]:[% anualiz]]),1)*IF(DATOS!AZ$4="Sí",1/DATOS_[[% normaliz]:[% normaliz]],1)*(DATOS_[Conc.Sal.22])))))))),
0)</f>
        <v>0</v>
      </c>
      <c r="AF40" s="196">
        <f t="array" ref="AF40">IFERROR(
(AVERAGE((IF(DATOS_[[Sexo]:[Sexo]]=$B40,IF(DATOS_[[AGRUP. VALOR. PTO.]:[AGRUP. VALOR. PTO.]]=$B39,IF(DATOS_[[Check Periodo Ref.]:[Check Periodo Ref.]]="Dentro",IF(DATOS_[[Check Equiparado]:[Check Equiparado]]="Sí",IF(DATOS!BA$5="Sí",(1/DATOS_[[% anualiz]:[% anualiz]]),1)*IF(DATOS!BA$4="Sí",1/DATOS_[[% normaliz]:[% normaliz]],1)*(DATOS_[Conc.Sal.23])))))))),
0)</f>
        <v>0</v>
      </c>
      <c r="AG40" s="196">
        <f t="array" ref="AG40">IFERROR(
(AVERAGE((IF(DATOS_[[Sexo]:[Sexo]]=$B40,IF(DATOS_[[AGRUP. VALOR. PTO.]:[AGRUP. VALOR. PTO.]]=$B39,IF(DATOS_[[Check Periodo Ref.]:[Check Periodo Ref.]]="Dentro",IF(DATOS_[[Check Equiparado]:[Check Equiparado]]="Sí",IF(DATOS!BB$5="Sí",(1/DATOS_[[% anualiz]:[% anualiz]]),1)*IF(DATOS!BB$4="Sí",1/DATOS_[[% normaliz]:[% normaliz]],1)*(DATOS_[Conc.Sal.24])))))))),
0)</f>
        <v>0</v>
      </c>
      <c r="AH40" s="196">
        <f t="array" ref="AH40">IFERROR(
(AVERAGE((IF(DATOS_[[Sexo]:[Sexo]]=$B40,IF(DATOS_[[AGRUP. VALOR. PTO.]:[AGRUP. VALOR. PTO.]]=$B39,IF(DATOS_[[Check Periodo Ref.]:[Check Periodo Ref.]]="Dentro",IF(DATOS_[[Check Equiparado]:[Check Equiparado]]="Sí",IF(DATOS!BC$5="Sí",(1/DATOS_[[% anualiz]:[% anualiz]]),1)*IF(DATOS!BC$4="Sí",1/DATOS_[[% normaliz]:[% normaliz]],1)*(DATOS_[Conc.Sal.25])))))))),
0)</f>
        <v>0</v>
      </c>
      <c r="AI40" s="196">
        <f t="array" ref="AI40">IFERROR(
(AVERAGE((IF(DATOS_[[Sexo]:[Sexo]]=$B40,IF(DATOS_[[AGRUP. VALOR. PTO.]:[AGRUP. VALOR. PTO.]]=$B39,IF(DATOS_[[Check Periodo Ref.]:[Check Periodo Ref.]]="Dentro",IF(DATOS_[[Check Equiparado]:[Check Equiparado]]="Sí",IF(DATOS!BD$5="Sí",(1/DATOS_[[% anualiz]:[% anualiz]]),1)*IF(DATOS!BD$4="Sí",1/DATOS_[[% normaliz]:[% normaliz]],1)*(DATOS_[Conc.Sal.26])))))))),
0)</f>
        <v>0</v>
      </c>
      <c r="AJ40" s="196">
        <f t="array" ref="AJ40">IFERROR(
(AVERAGE((IF(DATOS_[[Sexo]:[Sexo]]=$B40,IF(DATOS_[[AGRUP. VALOR. PTO.]:[AGRUP. VALOR. PTO.]]=$B39,IF(DATOS_[[Check Periodo Ref.]:[Check Periodo Ref.]]="Dentro",IF(DATOS_[[Check Equiparado]:[Check Equiparado]]="Sí",IF(DATOS!BE$5="Sí",(1/DATOS_[[% anualiz]:[% anualiz]]),1)*IF(DATOS!BE$4="Sí",1/DATOS_[[% normaliz]:[% normaliz]],1)*(DATOS_[Conc.Sal.27])))))))),
0)</f>
        <v>0</v>
      </c>
      <c r="AK40" s="196">
        <f t="array" ref="AK40">IFERROR(
(AVERAGE((IF(DATOS_[[Sexo]:[Sexo]]=$B40,IF(DATOS_[[AGRUP. VALOR. PTO.]:[AGRUP. VALOR. PTO.]]=$B39,IF(DATOS_[[Check Periodo Ref.]:[Check Periodo Ref.]]="Dentro",IF(DATOS_[[Check Equiparado]:[Check Equiparado]]="Sí",IF(DATOS!BF$5="Sí",(1/DATOS_[[% anualiz]:[% anualiz]]),1)*IF(DATOS!BF$4="Sí",1/DATOS_[[% normaliz]:[% normaliz]],1)*(DATOS_[Conc.Sal.28])))))))),
0)</f>
        <v>0</v>
      </c>
      <c r="AL40" s="196">
        <f t="array" ref="AL40">IFERROR(
(AVERAGE((IF(DATOS_[[Sexo]:[Sexo]]=$B40,IF(DATOS_[[AGRUP. VALOR. PTO.]:[AGRUP. VALOR. PTO.]]=$B39,IF(DATOS_[[Check Periodo Ref.]:[Check Periodo Ref.]]="Dentro",IF(DATOS_[[Check Equiparado]:[Check Equiparado]]="Sí",IF(DATOS!BG$5="Sí",(1/DATOS_[[% anualiz]:[% anualiz]]),1)*IF(DATOS!BG$4="Sí",1/DATOS_[[% normaliz]:[% normaliz]],1)*(DATOS_[Conc.Sal.29])))))))),
0)</f>
        <v>0</v>
      </c>
      <c r="AM40" s="196">
        <f t="array" ref="AM40">IFERROR(
(AVERAGE((IF(DATOS_[[Sexo]:[Sexo]]=$B40,IF(DATOS_[[AGRUP. VALOR. PTO.]:[AGRUP. VALOR. PTO.]]=$B39,IF(DATOS_[[Check Periodo Ref.]:[Check Periodo Ref.]]="Dentro",IF(DATOS_[[Check Equiparado]:[Check Equiparado]]="Sí",IF(DATOS!BH$5="Sí",(1/DATOS_[[% anualiz]:[% anualiz]]),1)*IF(DATOS!BH$4="Sí",1/DATOS_[[% normaliz]:[% normaliz]],1)*(DATOS_[Conc.Sal.30])))))))),
0)</f>
        <v>0</v>
      </c>
      <c r="AN40" s="195">
        <f t="array" ref="AN40">IFERROR(
AVERAGE(IF(DATOS_[Sexo]=$B40,IF(DATOS_[[AGRUP. VALOR. PTO.]:[AGRUP. VALOR. PTO.]]=$B39,IF(DATOS_[Check Equiparado]="Sí",IF(DATOS_[Check Periodo Ref.]="Dentro",DATOS_[Tot COMPL.SAL Eq],FALSE))))),
0)</f>
        <v>0</v>
      </c>
      <c r="AO40" s="172">
        <f t="array" ref="AO40">IFERROR(
AVERAGE(IF(DATOS_[Sexo]=$B40,IF(DATOS_[[AGRUP. VALOR. PTO.]:[AGRUP. VALOR. PTO.]]=$B39,IF(DATOS_[Check Equiparado]="Sí",IF(DATOS_[Check Periodo Ref.]="Dentro",DATOS_[TOTAL SALARIO Eq],FALSE))))),
0)</f>
        <v>0</v>
      </c>
      <c r="AP40" s="173">
        <f t="array" ref="AP40">IFERROR(
(AVERAGE((IF(DATOS_[[Sexo]:[Sexo]]=$B40,IF(DATOS_[[AGRUP. VALOR. PTO.]:[AGRUP. VALOR. PTO.]]=$B39,IF(DATOS_[[Check Periodo Ref.]:[Check Periodo Ref.]]="Dentro",IF(DATOS_[[Check Equiparado]:[Check Equiparado]]="Sí",IF(DATOS!BW$5="Sí",(1/DATOS_[[% anualiz]:[% anualiz]]),1)*IF(DATOS!BW$4="Sí",1/DATOS_[[% normaliz]:[% normaliz]],1)*(DATOS_[C.Extra.01])))))))),
0)</f>
        <v>0</v>
      </c>
      <c r="AQ40" s="173">
        <f t="array" ref="AQ40">IFERROR(
(AVERAGE((IF(DATOS_[[Sexo]:[Sexo]]=$B40,IF(DATOS_[[AGRUP. VALOR. PTO.]:[AGRUP. VALOR. PTO.]]=$B39,IF(DATOS_[[Check Periodo Ref.]:[Check Periodo Ref.]]="Dentro",IF(DATOS_[[Check Equiparado]:[Check Equiparado]]="Sí",IF(DATOS!CB$5="Sí",(1/DATOS_[[% anualiz]:[% anualiz]]),1)*IF(DATOS!CB$4="Sí",1/DATOS_[[% normaliz]:[% normaliz]],1)*(DATOS_[C.Extra.06])))))))),
0)</f>
        <v>0</v>
      </c>
      <c r="AR40" s="173">
        <f t="array" ref="AR40">IFERROR(
(AVERAGE((IF(DATOS_[[Sexo]:[Sexo]]=$B40,IF(DATOS_[[AGRUP. VALOR. PTO.]:[AGRUP. VALOR. PTO.]]=$B39,IF(DATOS_[[Check Periodo Ref.]:[Check Periodo Ref.]]="Dentro",IF(DATOS_[[Check Equiparado]:[Check Equiparado]]="Sí",IF(DATOS!CC$5="Sí",(1/DATOS_[[% anualiz]:[% anualiz]]),1)*IF(DATOS!CC$4="Sí",1/DATOS_[[% normaliz]:[% normaliz]],1)*(DATOS_[C.Extra.07])))))))),
0)</f>
        <v>0</v>
      </c>
      <c r="AS40" s="173">
        <f t="array" ref="AS40">IFERROR(
(AVERAGE((IF(DATOS_[[Sexo]:[Sexo]]=$B40,IF(DATOS_[[AGRUP. VALOR. PTO.]:[AGRUP. VALOR. PTO.]]=$B39,IF(DATOS_[[Check Periodo Ref.]:[Check Periodo Ref.]]="Dentro",IF(DATOS_[[Check Equiparado]:[Check Equiparado]]="Sí",IF(DATOS!CD$5="Sí",(1/DATOS_[[% anualiz]:[% anualiz]]),1)*IF(DATOS!CD$4="Sí",1/DATOS_[[% normaliz]:[% normaliz]],1)*(DATOS_[C.Extra.08])))))))),
0)</f>
        <v>0</v>
      </c>
      <c r="AT40" s="173">
        <f t="array" ref="AT40">IFERROR(
(AVERAGE((IF(DATOS_[[Sexo]:[Sexo]]=$B40,IF(DATOS_[[AGRUP. VALOR. PTO.]:[AGRUP. VALOR. PTO.]]=$B39,IF(DATOS_[[Check Periodo Ref.]:[Check Periodo Ref.]]="Dentro",IF(DATOS_[[Check Equiparado]:[Check Equiparado]]="Sí",IF(DATOS!CG$5="Sí",(1/DATOS_[[% anualiz]:[% anualiz]]),1)*IF(DATOS!CG$4="Sí",1/DATOS_[[% normaliz]:[% normaliz]],1)*(DATOS_[C.Extra.11])))))))),
0)</f>
        <v>0</v>
      </c>
      <c r="AU40" s="197">
        <f t="array" ref="AU40">IFERROR(
AVERAGE(IF(DATOS_[Sexo]=$B40,IF(DATOS_[[AGRUP. VALOR. PTO.]:[AGRUP. VALOR. PTO.]]=$B39,IF(DATOS_[Check Equiparado]="Sí",IF(DATOS_[Check Periodo Ref.]="Dentro",DATOS_[Tot Extrasalarial Eq],FALSE))))),
0)</f>
        <v>0</v>
      </c>
      <c r="AV40" s="175">
        <f t="array" ref="AV40">IFERROR(
AVERAGE(IF(DATOS_[Sexo]=$B40,IF(DATOS_[[AGRUP. VALOR. PTO.]:[AGRUP. VALOR. PTO.]]=$B39,IF(DATOS_[Check Equiparado]="Sí",IF(DATOS_[Check Periodo Ref.]="Dentro",DATOS_[TOTAL Retrib Eq],FALSE))))),
0)</f>
        <v>0</v>
      </c>
    </row>
    <row r="41" spans="1:48" x14ac:dyDescent="0.25">
      <c r="A41" s="133" t="str">
        <f t="shared" ref="A41" si="38">+A40</f>
        <v>[ocultar]</v>
      </c>
      <c r="B41" s="202" t="s">
        <v>521</v>
      </c>
      <c r="C41" s="203">
        <f t="array" ref="C41">SUM(IF($B41=DATOS_[Sexo],
IF($B39=DATOS_[AGRUP. VALOR. PTO.],
IF("Dentro"=DATOS_[Check Periodo Ref.],
1/(COUNTIFS(DATOS_[Sexo],$B41,DATOS_[AGRUP. VALOR. PTO.],$B39,DATOS_[Check Periodo Ref.],"Dentro",DATOS_[id/cod],DATOS_[id/cod]))))))</f>
        <v>0</v>
      </c>
      <c r="D41" s="204">
        <f>COUNTIFS(DATOS_[AGRUP. VALOR. PTO.],$B39,DATOS_[Sexo],$B41,DATOS_[Check Periodo Ref.],"Dentro")</f>
        <v>0</v>
      </c>
      <c r="E41" s="204">
        <f>COUNTIFS(DATOS_[AGRUP. VALOR. PTO.],$B39,DATOS_[Sexo],$B41,DATOS_[Check Periodo Ref.],"Dentro",DATOS_[Check Nº SC Norm],"Sí")</f>
        <v>0</v>
      </c>
      <c r="F41" s="204">
        <f>COUNTIFS(DATOS_[AGRUP. VALOR. PTO.],$B39,DATOS_[Sexo],$B41,DATOS_[Check Periodo Ref.],"Dentro",DATOS_[Check Nº SC Anualiz],"Sí")</f>
        <v>0</v>
      </c>
      <c r="G41" s="204">
        <f>COUNTIFS(DATOS_[AGRUP. VALOR. PTO.],$B39,DATOS_[Sexo],$B41,DATOS_[Check Periodo Ref.],"Dentro",DATOS_[Check Nº SC Norm y Anualiz],"Sí")</f>
        <v>0</v>
      </c>
      <c r="H41" s="204">
        <f>COUNTIFS(DATOS_[AGRUP. VALOR. PTO.],$B39,DATOS_[Sexo],$B41,DATOS_[Check Periodo Ref.],"Dentro",DATOS_[Check Equiparación],"Sí")</f>
        <v>0</v>
      </c>
      <c r="I41" s="195" cm="1">
        <f t="array" ref="I41">IFERROR(
AVERAGE(IF(DATOS_[Sexo]=$B41,IF(DATOS_[[AGRUP. VALOR. PTO.]:[AGRUP. VALOR. PTO.]]=$B39,IF(DATOS_[Check Equiparado]="Sí",IF(DATOS_[Check Periodo Ref.]="Dentro",DATOS_[SALARIO BASE Eq],FALSE))))),
0)</f>
        <v>0</v>
      </c>
      <c r="J41" s="196">
        <f t="array" ref="J41">IFERROR(
(AVERAGE((IF(DATOS_[[Sexo]:[Sexo]]=$B41,IF(DATOS_[[AGRUP. VALOR. PTO.]:[AGRUP. VALOR. PTO.]]=$B39,IF(DATOS_[[Check Periodo Ref.]:[Check Periodo Ref.]]="Dentro",IF(DATOS_[[Check Equiparado]:[Check Equiparado]]="Sí",IF(DATOS!AE$5="Sí",(1/DATOS_[[% anualiz]:[% anualiz]]),1)*IF(DATOS!AE$4="Sí",1/DATOS_[[% normaliz]:[% normaliz]],1)*(DATOS_[Conc.Sal.01])))))))),
0)</f>
        <v>0</v>
      </c>
      <c r="K41" s="196">
        <f t="array" ref="K41">IFERROR(
(AVERAGE((IF(DATOS_[[Sexo]:[Sexo]]=$B41,IF(DATOS_[[AGRUP. VALOR. PTO.]:[AGRUP. VALOR. PTO.]]=$B39,IF(DATOS_[[Check Periodo Ref.]:[Check Periodo Ref.]]="Dentro",IF(DATOS_[[Check Equiparado]:[Check Equiparado]]="Sí",IF(DATOS!AF$5="Sí",(1/DATOS_[[% anualiz]:[% anualiz]]),1)*IF(DATOS!AF$4="Sí",1/DATOS_[[% normaliz]:[% normaliz]],1)*(DATOS_[Conc.Sal.02])))))))),
0)</f>
        <v>0</v>
      </c>
      <c r="L41" s="196">
        <f t="array" ref="L41">IFERROR(
(AVERAGE((IF(DATOS_[[Sexo]:[Sexo]]=$B41,IF(DATOS_[[AGRUP. VALOR. PTO.]:[AGRUP. VALOR. PTO.]]=$B39,IF(DATOS_[[Check Periodo Ref.]:[Check Periodo Ref.]]="Dentro",IF(DATOS_[[Check Equiparado]:[Check Equiparado]]="Sí",IF(DATOS!AG$5="Sí",(1/DATOS_[[% anualiz]:[% anualiz]]),1)*IF(DATOS!AG$4="Sí",1/DATOS_[[% normaliz]:[% normaliz]],1)*(DATOS_[Conc.Sal.03])))))))),
0)</f>
        <v>0</v>
      </c>
      <c r="M41" s="196">
        <f t="array" ref="M41">IFERROR(
(AVERAGE((IF(DATOS_[[Sexo]:[Sexo]]=$B41,IF(DATOS_[[AGRUP. VALOR. PTO.]:[AGRUP. VALOR. PTO.]]=$B39,IF(DATOS_[[Check Periodo Ref.]:[Check Periodo Ref.]]="Dentro",IF(DATOS_[[Check Equiparado]:[Check Equiparado]]="Sí",IF(DATOS!AH$5="Sí",(1/DATOS_[[% anualiz]:[% anualiz]]),1)*IF(DATOS!AH$4="Sí",1/DATOS_[[% normaliz]:[% normaliz]],1)*(DATOS_[Conc.Sal.04])))))))),
0)</f>
        <v>0</v>
      </c>
      <c r="N41" s="196">
        <f t="array" ref="N41">IFERROR(
(AVERAGE((IF(DATOS_[[Sexo]:[Sexo]]=$B41,IF(DATOS_[[AGRUP. VALOR. PTO.]:[AGRUP. VALOR. PTO.]]=$B39,IF(DATOS_[[Check Periodo Ref.]:[Check Periodo Ref.]]="Dentro",IF(DATOS_[[Check Equiparado]:[Check Equiparado]]="Sí",IF(DATOS!AI$5="Sí",(1/DATOS_[[% anualiz]:[% anualiz]]),1)*IF(DATOS!AI$4="Sí",1/DATOS_[[% normaliz]:[% normaliz]],1)*(DATOS_[Conc.Sal.05])))))))),
0)</f>
        <v>0</v>
      </c>
      <c r="O41" s="196">
        <f t="array" ref="O41">IFERROR(
(AVERAGE((IF(DATOS_[[Sexo]:[Sexo]]=$B41,IF(DATOS_[[AGRUP. VALOR. PTO.]:[AGRUP. VALOR. PTO.]]=$B39,IF(DATOS_[[Check Periodo Ref.]:[Check Periodo Ref.]]="Dentro",IF(DATOS_[[Check Equiparado]:[Check Equiparado]]="Sí",IF(DATOS!AJ$5="Sí",(1/DATOS_[[% anualiz]:[% anualiz]]),1)*IF(DATOS!AJ$4="Sí",1/DATOS_[[% normaliz]:[% normaliz]],1)*(DATOS_[Conc.Sal.06])))))))),
0)</f>
        <v>0</v>
      </c>
      <c r="P41" s="196">
        <f t="array" ref="P41">IFERROR(
(AVERAGE((IF(DATOS_[[Sexo]:[Sexo]]=$B41,IF(DATOS_[[AGRUP. VALOR. PTO.]:[AGRUP. VALOR. PTO.]]=$B39,IF(DATOS_[[Check Periodo Ref.]:[Check Periodo Ref.]]="Dentro",IF(DATOS_[[Check Equiparado]:[Check Equiparado]]="Sí",IF(DATOS!AK$5="Sí",(1/DATOS_[[% anualiz]:[% anualiz]]),1)*IF(DATOS!AK$4="Sí",1/DATOS_[[% normaliz]:[% normaliz]],1)*(DATOS_[Conc.Sal.07])))))))),
0)</f>
        <v>0</v>
      </c>
      <c r="Q41" s="196">
        <f t="array" ref="Q41">IFERROR(
(AVERAGE((IF(DATOS_[[Sexo]:[Sexo]]=$B41,IF(DATOS_[[AGRUP. VALOR. PTO.]:[AGRUP. VALOR. PTO.]]=$B39,IF(DATOS_[[Check Periodo Ref.]:[Check Periodo Ref.]]="Dentro",IF(DATOS_[[Check Equiparado]:[Check Equiparado]]="Sí",IF(DATOS!AL$5="Sí",(1/DATOS_[[% anualiz]:[% anualiz]]),1)*IF(DATOS!AL$4="Sí",1/DATOS_[[% normaliz]:[% normaliz]],1)*(DATOS_[Conc.Sal.08])))))))),
0)</f>
        <v>0</v>
      </c>
      <c r="R41" s="196">
        <f t="array" ref="R41">IFERROR(
(AVERAGE((IF(DATOS_[[Sexo]:[Sexo]]=$B41,IF(DATOS_[[AGRUP. VALOR. PTO.]:[AGRUP. VALOR. PTO.]]=$B39,IF(DATOS_[[Check Periodo Ref.]:[Check Periodo Ref.]]="Dentro",IF(DATOS_[[Check Equiparado]:[Check Equiparado]]="Sí",IF(DATOS!AM$5="Sí",(1/DATOS_[[% anualiz]:[% anualiz]]),1)*IF(DATOS!AM$4="Sí",1/DATOS_[[% normaliz]:[% normaliz]],1)*(DATOS_[Conc.Sal.09])))))))),
0)</f>
        <v>0</v>
      </c>
      <c r="S41" s="196">
        <f t="array" ref="S41">IFERROR(
(AVERAGE((IF(DATOS_[[Sexo]:[Sexo]]=$B41,IF(DATOS_[[AGRUP. VALOR. PTO.]:[AGRUP. VALOR. PTO.]]=$B39,IF(DATOS_[[Check Periodo Ref.]:[Check Periodo Ref.]]="Dentro",IF(DATOS_[[Check Equiparado]:[Check Equiparado]]="Sí",IF(DATOS!AN$5="Sí",(1/DATOS_[[% anualiz]:[% anualiz]]),1)*IF(DATOS!AN$4="Sí",1/DATOS_[[% normaliz]:[% normaliz]],1)*(DATOS_[Conc.Sal.10])))))))),
0)</f>
        <v>0</v>
      </c>
      <c r="T41" s="196">
        <f t="array" ref="T41">IFERROR(
(AVERAGE((IF(DATOS_[[Sexo]:[Sexo]]=$B41,IF(DATOS_[[AGRUP. VALOR. PTO.]:[AGRUP. VALOR. PTO.]]=$B39,IF(DATOS_[[Check Periodo Ref.]:[Check Periodo Ref.]]="Dentro",IF(DATOS_[[Check Equiparado]:[Check Equiparado]]="Sí",IF(DATOS!AO$5="Sí",(1/DATOS_[[% anualiz]:[% anualiz]]),1)*IF(DATOS!AO$4="Sí",1/DATOS_[[% normaliz]:[% normaliz]],1)*(DATOS_[Conc.Sal.11])))))))),
0)</f>
        <v>0</v>
      </c>
      <c r="U41" s="196">
        <f t="array" ref="U41">IFERROR(
(AVERAGE((IF(DATOS_[[Sexo]:[Sexo]]=$B41,IF(DATOS_[[AGRUP. VALOR. PTO.]:[AGRUP. VALOR. PTO.]]=$B39,IF(DATOS_[[Check Periodo Ref.]:[Check Periodo Ref.]]="Dentro",IF(DATOS_[[Check Equiparado]:[Check Equiparado]]="Sí",IF(DATOS!AP$5="Sí",(1/DATOS_[[% anualiz]:[% anualiz]]),1)*IF(DATOS!AP$4="Sí",1/DATOS_[[% normaliz]:[% normaliz]],1)*(DATOS_[Conc.Sal.12])))))))),
0)</f>
        <v>0</v>
      </c>
      <c r="V41" s="196">
        <f t="array" ref="V41">IFERROR(
(AVERAGE((IF(DATOS_[[Sexo]:[Sexo]]=$B41,IF(DATOS_[[AGRUP. VALOR. PTO.]:[AGRUP. VALOR. PTO.]]=$B39,IF(DATOS_[[Check Periodo Ref.]:[Check Periodo Ref.]]="Dentro",IF(DATOS_[[Check Equiparado]:[Check Equiparado]]="Sí",IF(DATOS!AQ$5="Sí",(1/DATOS_[[% anualiz]:[% anualiz]]),1)*IF(DATOS!AQ$4="Sí",1/DATOS_[[% normaliz]:[% normaliz]],1)*(DATOS_[Conc.Sal.13])))))))),
0)</f>
        <v>0</v>
      </c>
      <c r="W41" s="196">
        <f t="array" ref="W41">IFERROR(
(AVERAGE((IF(DATOS_[[Sexo]:[Sexo]]=$B41,IF(DATOS_[[AGRUP. VALOR. PTO.]:[AGRUP. VALOR. PTO.]]=$B39,IF(DATOS_[[Check Periodo Ref.]:[Check Periodo Ref.]]="Dentro",IF(DATOS_[[Check Equiparado]:[Check Equiparado]]="Sí",IF(DATOS!AR$5="Sí",(1/DATOS_[[% anualiz]:[% anualiz]]),1)*IF(DATOS!AR$4="Sí",1/DATOS_[[% normaliz]:[% normaliz]],1)*(DATOS_[Conc.Sal.14])))))))),
0)</f>
        <v>0</v>
      </c>
      <c r="X41" s="196">
        <f t="array" ref="X41">IFERROR(
(AVERAGE((IF(DATOS_[[Sexo]:[Sexo]]=$B41,IF(DATOS_[[AGRUP. VALOR. PTO.]:[AGRUP. VALOR. PTO.]]=$B39,IF(DATOS_[[Check Periodo Ref.]:[Check Periodo Ref.]]="Dentro",IF(DATOS_[[Check Equiparado]:[Check Equiparado]]="Sí",IF(DATOS!AS$5="Sí",(1/DATOS_[[% anualiz]:[% anualiz]]),1)*IF(DATOS!AS$4="Sí",1/DATOS_[[% normaliz]:[% normaliz]],1)*(DATOS_[Conc.Sal.15])))))))),
0)</f>
        <v>0</v>
      </c>
      <c r="Y41" s="196">
        <f t="array" ref="Y41">IFERROR(
(AVERAGE((IF(DATOS_[[Sexo]:[Sexo]]=$B41,IF(DATOS_[[AGRUP. VALOR. PTO.]:[AGRUP. VALOR. PTO.]]=$B39,IF(DATOS_[[Check Periodo Ref.]:[Check Periodo Ref.]]="Dentro",IF(DATOS_[[Check Equiparado]:[Check Equiparado]]="Sí",IF(DATOS!AT$5="Sí",(1/DATOS_[[% anualiz]:[% anualiz]]),1)*IF(DATOS!AT$4="Sí",1/DATOS_[[% normaliz]:[% normaliz]],1)*(DATOS_[Conc.Sal.16])))))))),
0)</f>
        <v>0</v>
      </c>
      <c r="Z41" s="196">
        <f t="array" ref="Z41">IFERROR(
(AVERAGE((IF(DATOS_[[Sexo]:[Sexo]]=$B41,IF(DATOS_[[AGRUP. VALOR. PTO.]:[AGRUP. VALOR. PTO.]]=$B39,IF(DATOS_[[Check Periodo Ref.]:[Check Periodo Ref.]]="Dentro",IF(DATOS_[[Check Equiparado]:[Check Equiparado]]="Sí",IF(DATOS!AU$5="Sí",(1/DATOS_[[% anualiz]:[% anualiz]]),1)*IF(DATOS!AU$4="Sí",1/DATOS_[[% normaliz]:[% normaliz]],1)*(DATOS_[Conc.Sal.17])))))))),
0)</f>
        <v>0</v>
      </c>
      <c r="AA41" s="196">
        <f t="array" ref="AA41">IFERROR(
(AVERAGE((IF(DATOS_[[Sexo]:[Sexo]]=$B41,IF(DATOS_[[AGRUP. VALOR. PTO.]:[AGRUP. VALOR. PTO.]]=$B39,IF(DATOS_[[Check Periodo Ref.]:[Check Periodo Ref.]]="Dentro",IF(DATOS_[[Check Equiparado]:[Check Equiparado]]="Sí",IF(DATOS!AV$5="Sí",(1/DATOS_[[% anualiz]:[% anualiz]]),1)*IF(DATOS!AV$4="Sí",1/DATOS_[[% normaliz]:[% normaliz]],1)*(DATOS_[Conc.Sal.18])))))))),
0)</f>
        <v>0</v>
      </c>
      <c r="AB41" s="196">
        <f t="array" ref="AB41">IFERROR(
(AVERAGE((IF(DATOS_[[Sexo]:[Sexo]]=$B41,IF(DATOS_[[AGRUP. VALOR. PTO.]:[AGRUP. VALOR. PTO.]]=$B39,IF(DATOS_[[Check Periodo Ref.]:[Check Periodo Ref.]]="Dentro",IF(DATOS_[[Check Equiparado]:[Check Equiparado]]="Sí",IF(DATOS!AW$5="Sí",(1/DATOS_[[% anualiz]:[% anualiz]]),1)*IF(DATOS!AW$4="Sí",1/DATOS_[[% normaliz]:[% normaliz]],1)*(DATOS_[Conc.Sal.19])))))))),
0)</f>
        <v>0</v>
      </c>
      <c r="AC41" s="196">
        <f t="array" ref="AC41">IFERROR(
(AVERAGE((IF(DATOS_[[Sexo]:[Sexo]]=$B41,IF(DATOS_[[AGRUP. VALOR. PTO.]:[AGRUP. VALOR. PTO.]]=$B39,IF(DATOS_[[Check Periodo Ref.]:[Check Periodo Ref.]]="Dentro",IF(DATOS_[[Check Equiparado]:[Check Equiparado]]="Sí",IF(DATOS!AX$5="Sí",(1/DATOS_[[% anualiz]:[% anualiz]]),1)*IF(DATOS!AX$4="Sí",1/DATOS_[[% normaliz]:[% normaliz]],1)*(DATOS_[Conc.Sal.20])))))))),
0)</f>
        <v>0</v>
      </c>
      <c r="AD41" s="196">
        <f t="array" ref="AD41">IFERROR(
(AVERAGE((IF(DATOS_[[Sexo]:[Sexo]]=$B41,IF(DATOS_[[AGRUP. VALOR. PTO.]:[AGRUP. VALOR. PTO.]]=$B39,IF(DATOS_[[Check Periodo Ref.]:[Check Periodo Ref.]]="Dentro",IF(DATOS_[[Check Equiparado]:[Check Equiparado]]="Sí",IF(DATOS!AY$5="Sí",(1/DATOS_[[% anualiz]:[% anualiz]]),1)*IF(DATOS!AY$4="Sí",1/DATOS_[[% normaliz]:[% normaliz]],1)*(DATOS_[Conc.Sal.21])))))))),
0)</f>
        <v>0</v>
      </c>
      <c r="AE41" s="196">
        <f t="array" ref="AE41">IFERROR(
(AVERAGE((IF(DATOS_[[Sexo]:[Sexo]]=$B41,IF(DATOS_[[AGRUP. VALOR. PTO.]:[AGRUP. VALOR. PTO.]]=$B39,IF(DATOS_[[Check Periodo Ref.]:[Check Periodo Ref.]]="Dentro",IF(DATOS_[[Check Equiparado]:[Check Equiparado]]="Sí",IF(DATOS!AZ$5="Sí",(1/DATOS_[[% anualiz]:[% anualiz]]),1)*IF(DATOS!AZ$4="Sí",1/DATOS_[[% normaliz]:[% normaliz]],1)*(DATOS_[Conc.Sal.22])))))))),
0)</f>
        <v>0</v>
      </c>
      <c r="AF41" s="196">
        <f t="array" ref="AF41">IFERROR(
(AVERAGE((IF(DATOS_[[Sexo]:[Sexo]]=$B41,IF(DATOS_[[AGRUP. VALOR. PTO.]:[AGRUP. VALOR. PTO.]]=$B39,IF(DATOS_[[Check Periodo Ref.]:[Check Periodo Ref.]]="Dentro",IF(DATOS_[[Check Equiparado]:[Check Equiparado]]="Sí",IF(DATOS!BA$5="Sí",(1/DATOS_[[% anualiz]:[% anualiz]]),1)*IF(DATOS!BA$4="Sí",1/DATOS_[[% normaliz]:[% normaliz]],1)*(DATOS_[Conc.Sal.23])))))))),
0)</f>
        <v>0</v>
      </c>
      <c r="AG41" s="196">
        <f t="array" ref="AG41">IFERROR(
(AVERAGE((IF(DATOS_[[Sexo]:[Sexo]]=$B41,IF(DATOS_[[AGRUP. VALOR. PTO.]:[AGRUP. VALOR. PTO.]]=$B39,IF(DATOS_[[Check Periodo Ref.]:[Check Periodo Ref.]]="Dentro",IF(DATOS_[[Check Equiparado]:[Check Equiparado]]="Sí",IF(DATOS!BB$5="Sí",(1/DATOS_[[% anualiz]:[% anualiz]]),1)*IF(DATOS!BB$4="Sí",1/DATOS_[[% normaliz]:[% normaliz]],1)*(DATOS_[Conc.Sal.24])))))))),
0)</f>
        <v>0</v>
      </c>
      <c r="AH41" s="196">
        <f t="array" ref="AH41">IFERROR(
(AVERAGE((IF(DATOS_[[Sexo]:[Sexo]]=$B41,IF(DATOS_[[AGRUP. VALOR. PTO.]:[AGRUP. VALOR. PTO.]]=$B39,IF(DATOS_[[Check Periodo Ref.]:[Check Periodo Ref.]]="Dentro",IF(DATOS_[[Check Equiparado]:[Check Equiparado]]="Sí",IF(DATOS!BC$5="Sí",(1/DATOS_[[% anualiz]:[% anualiz]]),1)*IF(DATOS!BC$4="Sí",1/DATOS_[[% normaliz]:[% normaliz]],1)*(DATOS_[Conc.Sal.25])))))))),
0)</f>
        <v>0</v>
      </c>
      <c r="AI41" s="196">
        <f t="array" ref="AI41">IFERROR(
(AVERAGE((IF(DATOS_[[Sexo]:[Sexo]]=$B41,IF(DATOS_[[AGRUP. VALOR. PTO.]:[AGRUP. VALOR. PTO.]]=$B39,IF(DATOS_[[Check Periodo Ref.]:[Check Periodo Ref.]]="Dentro",IF(DATOS_[[Check Equiparado]:[Check Equiparado]]="Sí",IF(DATOS!BD$5="Sí",(1/DATOS_[[% anualiz]:[% anualiz]]),1)*IF(DATOS!BD$4="Sí",1/DATOS_[[% normaliz]:[% normaliz]],1)*(DATOS_[Conc.Sal.26])))))))),
0)</f>
        <v>0</v>
      </c>
      <c r="AJ41" s="196">
        <f t="array" ref="AJ41">IFERROR(
(AVERAGE((IF(DATOS_[[Sexo]:[Sexo]]=$B41,IF(DATOS_[[AGRUP. VALOR. PTO.]:[AGRUP. VALOR. PTO.]]=$B39,IF(DATOS_[[Check Periodo Ref.]:[Check Periodo Ref.]]="Dentro",IF(DATOS_[[Check Equiparado]:[Check Equiparado]]="Sí",IF(DATOS!BE$5="Sí",(1/DATOS_[[% anualiz]:[% anualiz]]),1)*IF(DATOS!BE$4="Sí",1/DATOS_[[% normaliz]:[% normaliz]],1)*(DATOS_[Conc.Sal.27])))))))),
0)</f>
        <v>0</v>
      </c>
      <c r="AK41" s="196">
        <f t="array" ref="AK41">IFERROR(
(AVERAGE((IF(DATOS_[[Sexo]:[Sexo]]=$B41,IF(DATOS_[[AGRUP. VALOR. PTO.]:[AGRUP. VALOR. PTO.]]=$B39,IF(DATOS_[[Check Periodo Ref.]:[Check Periodo Ref.]]="Dentro",IF(DATOS_[[Check Equiparado]:[Check Equiparado]]="Sí",IF(DATOS!BF$5="Sí",(1/DATOS_[[% anualiz]:[% anualiz]]),1)*IF(DATOS!BF$4="Sí",1/DATOS_[[% normaliz]:[% normaliz]],1)*(DATOS_[Conc.Sal.28])))))))),
0)</f>
        <v>0</v>
      </c>
      <c r="AL41" s="196">
        <f t="array" ref="AL41">IFERROR(
(AVERAGE((IF(DATOS_[[Sexo]:[Sexo]]=$B41,IF(DATOS_[[AGRUP. VALOR. PTO.]:[AGRUP. VALOR. PTO.]]=$B39,IF(DATOS_[[Check Periodo Ref.]:[Check Periodo Ref.]]="Dentro",IF(DATOS_[[Check Equiparado]:[Check Equiparado]]="Sí",IF(DATOS!BG$5="Sí",(1/DATOS_[[% anualiz]:[% anualiz]]),1)*IF(DATOS!BG$4="Sí",1/DATOS_[[% normaliz]:[% normaliz]],1)*(DATOS_[Conc.Sal.29])))))))),
0)</f>
        <v>0</v>
      </c>
      <c r="AM41" s="196">
        <f t="array" ref="AM41">IFERROR(
(AVERAGE((IF(DATOS_[[Sexo]:[Sexo]]=$B41,IF(DATOS_[[AGRUP. VALOR. PTO.]:[AGRUP. VALOR. PTO.]]=$B39,IF(DATOS_[[Check Periodo Ref.]:[Check Periodo Ref.]]="Dentro",IF(DATOS_[[Check Equiparado]:[Check Equiparado]]="Sí",IF(DATOS!BH$5="Sí",(1/DATOS_[[% anualiz]:[% anualiz]]),1)*IF(DATOS!BH$4="Sí",1/DATOS_[[% normaliz]:[% normaliz]],1)*(DATOS_[Conc.Sal.30])))))))),
0)</f>
        <v>0</v>
      </c>
      <c r="AN41" s="195">
        <f t="array" ref="AN41">IFERROR(
AVERAGE(IF(DATOS_[Sexo]=$B41,IF(DATOS_[[AGRUP. VALOR. PTO.]:[AGRUP. VALOR. PTO.]]=$B39,IF(DATOS_[Check Equiparado]="Sí",IF(DATOS_[Check Periodo Ref.]="Dentro",DATOS_[Tot COMPL.SAL Eq],FALSE))))),
0)</f>
        <v>0</v>
      </c>
      <c r="AO41" s="172">
        <f t="array" ref="AO41">IFERROR(
AVERAGE(IF(DATOS_[Sexo]=$B41,IF(DATOS_[[AGRUP. VALOR. PTO.]:[AGRUP. VALOR. PTO.]]=$B39,IF(DATOS_[Check Equiparado]="Sí",IF(DATOS_[Check Periodo Ref.]="Dentro",DATOS_[TOTAL SALARIO Eq],FALSE))))),
0)</f>
        <v>0</v>
      </c>
      <c r="AP41" s="173">
        <f t="array" ref="AP41">IFERROR(
(AVERAGE((IF(DATOS_[[Sexo]:[Sexo]]=$B41,IF(DATOS_[[AGRUP. VALOR. PTO.]:[AGRUP. VALOR. PTO.]]=$B39,IF(DATOS_[[Check Periodo Ref.]:[Check Periodo Ref.]]="Dentro",IF(DATOS_[[Check Equiparado]:[Check Equiparado]]="Sí",IF(DATOS!BW$5="Sí",(1/DATOS_[[% anualiz]:[% anualiz]]),1)*IF(DATOS!BW$4="Sí",1/DATOS_[[% normaliz]:[% normaliz]],1)*(DATOS_[C.Extra.01])))))))),
0)</f>
        <v>0</v>
      </c>
      <c r="AQ41" s="173">
        <f t="array" ref="AQ41">IFERROR(
(AVERAGE((IF(DATOS_[[Sexo]:[Sexo]]=$B41,IF(DATOS_[[AGRUP. VALOR. PTO.]:[AGRUP. VALOR. PTO.]]=$B39,IF(DATOS_[[Check Periodo Ref.]:[Check Periodo Ref.]]="Dentro",IF(DATOS_[[Check Equiparado]:[Check Equiparado]]="Sí",IF(DATOS!CB$5="Sí",(1/DATOS_[[% anualiz]:[% anualiz]]),1)*IF(DATOS!CB$4="Sí",1/DATOS_[[% normaliz]:[% normaliz]],1)*(DATOS_[C.Extra.06])))))))),
0)</f>
        <v>0</v>
      </c>
      <c r="AR41" s="173">
        <f t="array" ref="AR41">IFERROR(
(AVERAGE((IF(DATOS_[[Sexo]:[Sexo]]=$B41,IF(DATOS_[[AGRUP. VALOR. PTO.]:[AGRUP. VALOR. PTO.]]=$B39,IF(DATOS_[[Check Periodo Ref.]:[Check Periodo Ref.]]="Dentro",IF(DATOS_[[Check Equiparado]:[Check Equiparado]]="Sí",IF(DATOS!CC$5="Sí",(1/DATOS_[[% anualiz]:[% anualiz]]),1)*IF(DATOS!CC$4="Sí",1/DATOS_[[% normaliz]:[% normaliz]],1)*(DATOS_[C.Extra.07])))))))),
0)</f>
        <v>0</v>
      </c>
      <c r="AS41" s="173">
        <f t="array" ref="AS41">IFERROR(
(AVERAGE((IF(DATOS_[[Sexo]:[Sexo]]=$B41,IF(DATOS_[[AGRUP. VALOR. PTO.]:[AGRUP. VALOR. PTO.]]=$B39,IF(DATOS_[[Check Periodo Ref.]:[Check Periodo Ref.]]="Dentro",IF(DATOS_[[Check Equiparado]:[Check Equiparado]]="Sí",IF(DATOS!CD$5="Sí",(1/DATOS_[[% anualiz]:[% anualiz]]),1)*IF(DATOS!CD$4="Sí",1/DATOS_[[% normaliz]:[% normaliz]],1)*(DATOS_[C.Extra.08])))))))),
0)</f>
        <v>0</v>
      </c>
      <c r="AT41" s="173">
        <f t="array" ref="AT41">IFERROR(
(AVERAGE((IF(DATOS_[[Sexo]:[Sexo]]=$B41,IF(DATOS_[[AGRUP. VALOR. PTO.]:[AGRUP. VALOR. PTO.]]=$B39,IF(DATOS_[[Check Periodo Ref.]:[Check Periodo Ref.]]="Dentro",IF(DATOS_[[Check Equiparado]:[Check Equiparado]]="Sí",IF(DATOS!CG$5="Sí",(1/DATOS_[[% anualiz]:[% anualiz]]),1)*IF(DATOS!CG$4="Sí",1/DATOS_[[% normaliz]:[% normaliz]],1)*(DATOS_[C.Extra.11])))))))),
0)</f>
        <v>0</v>
      </c>
      <c r="AU41" s="197">
        <f t="array" ref="AU41">IFERROR(
AVERAGE(IF(DATOS_[Sexo]=$B41,IF(DATOS_[[AGRUP. VALOR. PTO.]:[AGRUP. VALOR. PTO.]]=$B39,IF(DATOS_[Check Equiparado]="Sí",IF(DATOS_[Check Periodo Ref.]="Dentro",DATOS_[Tot Extrasalarial Eq],FALSE))))),
0)</f>
        <v>0</v>
      </c>
      <c r="AV41" s="175">
        <f t="array" ref="AV41">IFERROR(
AVERAGE(IF(DATOS_[Sexo]=$B41,IF(DATOS_[[AGRUP. VALOR. PTO.]:[AGRUP. VALOR. PTO.]]=$B39,IF(DATOS_[Check Equiparado]="Sí",IF(DATOS_[Check Periodo Ref.]="Dentro",DATOS_[TOTAL Retrib Eq],FALSE))))),
0)</f>
        <v>0</v>
      </c>
    </row>
    <row r="42" spans="1:48" ht="15.6" thickBot="1" x14ac:dyDescent="0.3">
      <c r="A42" s="133" t="str">
        <f t="shared" ref="A42" si="39">+A43</f>
        <v>[ocultar]</v>
      </c>
      <c r="B42" s="199" t="s">
        <v>214</v>
      </c>
      <c r="C42" s="200"/>
      <c r="D42" s="201"/>
      <c r="E42" s="201"/>
      <c r="F42" s="201"/>
      <c r="G42" s="201"/>
      <c r="H42" s="201"/>
      <c r="I42" s="189" t="str">
        <f t="shared" ref="I42:AV42" si="40">IFERROR((I43-I44)/I43,"")</f>
        <v/>
      </c>
      <c r="J42" s="190" t="str">
        <f t="shared" si="40"/>
        <v/>
      </c>
      <c r="K42" s="191" t="str">
        <f t="shared" si="40"/>
        <v/>
      </c>
      <c r="L42" s="191" t="str">
        <f t="shared" si="40"/>
        <v/>
      </c>
      <c r="M42" s="191" t="str">
        <f t="shared" si="40"/>
        <v/>
      </c>
      <c r="N42" s="192" t="str">
        <f t="shared" si="40"/>
        <v/>
      </c>
      <c r="O42" s="193" t="str">
        <f t="shared" si="40"/>
        <v/>
      </c>
      <c r="P42" s="193" t="str">
        <f t="shared" si="40"/>
        <v/>
      </c>
      <c r="Q42" s="193" t="str">
        <f t="shared" si="40"/>
        <v/>
      </c>
      <c r="R42" s="193" t="str">
        <f t="shared" si="40"/>
        <v/>
      </c>
      <c r="S42" s="193" t="str">
        <f t="shared" si="40"/>
        <v/>
      </c>
      <c r="T42" s="193" t="str">
        <f t="shared" si="40"/>
        <v/>
      </c>
      <c r="U42" s="193" t="str">
        <f t="shared" si="40"/>
        <v/>
      </c>
      <c r="V42" s="193" t="str">
        <f t="shared" si="40"/>
        <v/>
      </c>
      <c r="W42" s="193" t="str">
        <f t="shared" si="40"/>
        <v/>
      </c>
      <c r="X42" s="193" t="str">
        <f t="shared" si="40"/>
        <v/>
      </c>
      <c r="Y42" s="193" t="str">
        <f t="shared" si="40"/>
        <v/>
      </c>
      <c r="Z42" s="193" t="str">
        <f t="shared" si="40"/>
        <v/>
      </c>
      <c r="AA42" s="193" t="str">
        <f t="shared" si="40"/>
        <v/>
      </c>
      <c r="AB42" s="193" t="str">
        <f t="shared" si="40"/>
        <v/>
      </c>
      <c r="AC42" s="193" t="str">
        <f t="shared" si="40"/>
        <v/>
      </c>
      <c r="AD42" s="193" t="str">
        <f t="shared" si="40"/>
        <v/>
      </c>
      <c r="AE42" s="193" t="str">
        <f t="shared" si="40"/>
        <v/>
      </c>
      <c r="AF42" s="193" t="str">
        <f t="shared" si="40"/>
        <v/>
      </c>
      <c r="AG42" s="193" t="str">
        <f t="shared" si="40"/>
        <v/>
      </c>
      <c r="AH42" s="193" t="str">
        <f t="shared" si="40"/>
        <v/>
      </c>
      <c r="AI42" s="193" t="str">
        <f t="shared" si="40"/>
        <v/>
      </c>
      <c r="AJ42" s="193" t="str">
        <f t="shared" si="40"/>
        <v/>
      </c>
      <c r="AK42" s="193" t="str">
        <f t="shared" si="40"/>
        <v/>
      </c>
      <c r="AL42" s="193" t="str">
        <f t="shared" si="40"/>
        <v/>
      </c>
      <c r="AM42" s="193" t="str">
        <f t="shared" si="40"/>
        <v/>
      </c>
      <c r="AN42" s="189" t="str">
        <f t="shared" si="40"/>
        <v/>
      </c>
      <c r="AO42" s="162" t="str">
        <f t="shared" si="40"/>
        <v/>
      </c>
      <c r="AP42" s="163" t="str">
        <f t="shared" si="40"/>
        <v/>
      </c>
      <c r="AQ42" s="163" t="str">
        <f t="shared" si="40"/>
        <v/>
      </c>
      <c r="AR42" s="163" t="str">
        <f t="shared" si="40"/>
        <v/>
      </c>
      <c r="AS42" s="163" t="str">
        <f t="shared" si="40"/>
        <v/>
      </c>
      <c r="AT42" s="163" t="str">
        <f t="shared" si="40"/>
        <v/>
      </c>
      <c r="AU42" s="194" t="str">
        <f t="shared" si="40"/>
        <v/>
      </c>
      <c r="AV42" s="165" t="str">
        <f t="shared" si="40"/>
        <v/>
      </c>
    </row>
    <row r="43" spans="1:48" x14ac:dyDescent="0.25">
      <c r="A43" s="133" t="str">
        <f t="shared" ref="A43" si="41">+IF(C43+C44=0,"[ocultar]","")</f>
        <v>[ocultar]</v>
      </c>
      <c r="B43" s="202" t="s">
        <v>394</v>
      </c>
      <c r="C43" s="203">
        <f t="array" ref="C43">SUM(IF($B43=DATOS_[Sexo],
IF($B42=DATOS_[AGRUP. VALOR. PTO.],
IF("Dentro"=DATOS_[Check Periodo Ref.],
1/(COUNTIFS(DATOS_[Sexo],$B43,DATOS_[AGRUP. VALOR. PTO.],$B42,DATOS_[Check Periodo Ref.],"Dentro",DATOS_[id/cod],DATOS_[id/cod]))))))</f>
        <v>0</v>
      </c>
      <c r="D43" s="204">
        <f>COUNTIFS(DATOS_[AGRUP. VALOR. PTO.],$B42,DATOS_[Sexo],$B43,DATOS_[Check Periodo Ref.],"Dentro")</f>
        <v>0</v>
      </c>
      <c r="E43" s="204">
        <f>COUNTIFS(DATOS_[AGRUP. VALOR. PTO.],$B42,DATOS_[Sexo],$B43,DATOS_[Check Periodo Ref.],"Dentro",DATOS_[Check Nº SC Norm],"Sí")</f>
        <v>0</v>
      </c>
      <c r="F43" s="204">
        <f>COUNTIFS(DATOS_[AGRUP. VALOR. PTO.],$B42,DATOS_[Sexo],$B43,DATOS_[Check Periodo Ref.],"Dentro",DATOS_[Check Nº SC Anualiz],"Sí")</f>
        <v>0</v>
      </c>
      <c r="G43" s="204">
        <f>COUNTIFS(DATOS_[AGRUP. VALOR. PTO.],$B42,DATOS_[Sexo],$B43,DATOS_[Check Periodo Ref.],"Dentro",DATOS_[Check Nº SC Norm y Anualiz],"Sí")</f>
        <v>0</v>
      </c>
      <c r="H43" s="204">
        <f>COUNTIFS(DATOS_[AGRUP. VALOR. PTO.],$B42,DATOS_[Sexo],$B43,DATOS_[Check Periodo Ref.],"Dentro",DATOS_[Check Equiparación],"Sí")</f>
        <v>0</v>
      </c>
      <c r="I43" s="195">
        <f t="array" ref="I43">IFERROR(
AVERAGE(IF(DATOS_[Sexo]=$B43,IF(DATOS_[[AGRUP. VALOR. PTO.]:[AGRUP. VALOR. PTO.]]=$B42,IF(DATOS_[Check Equiparado]="Sí",IF(DATOS_[Check Periodo Ref.]="Dentro",DATOS_[SALARIO BASE Eq],FALSE))))),
0)</f>
        <v>0</v>
      </c>
      <c r="J43" s="196">
        <f t="array" ref="J43">IFERROR(
(AVERAGE((IF(DATOS_[[Sexo]:[Sexo]]=$B43,IF(DATOS_[[AGRUP. VALOR. PTO.]:[AGRUP. VALOR. PTO.]]=$B42,IF(DATOS_[[Check Periodo Ref.]:[Check Periodo Ref.]]="Dentro",IF(DATOS_[[Check Equiparado]:[Check Equiparado]]="Sí",IF(DATOS!AE$5="Sí",(1/DATOS_[[% anualiz]:[% anualiz]]),1)*IF(DATOS!AE$4="Sí",1/DATOS_[[% normaliz]:[% normaliz]],1)*(DATOS_[Conc.Sal.01])))))))),
0)</f>
        <v>0</v>
      </c>
      <c r="K43" s="196">
        <f t="array" ref="K43">IFERROR(
(AVERAGE((IF(DATOS_[[Sexo]:[Sexo]]=$B43,IF(DATOS_[[AGRUP. VALOR. PTO.]:[AGRUP. VALOR. PTO.]]=$B42,IF(DATOS_[[Check Periodo Ref.]:[Check Periodo Ref.]]="Dentro",IF(DATOS_[[Check Equiparado]:[Check Equiparado]]="Sí",IF(DATOS!AF$5="Sí",(1/DATOS_[[% anualiz]:[% anualiz]]),1)*IF(DATOS!AF$4="Sí",1/DATOS_[[% normaliz]:[% normaliz]],1)*(DATOS_[Conc.Sal.02])))))))),
0)</f>
        <v>0</v>
      </c>
      <c r="L43" s="196">
        <f t="array" ref="L43">IFERROR(
(AVERAGE((IF(DATOS_[[Sexo]:[Sexo]]=$B43,IF(DATOS_[[AGRUP. VALOR. PTO.]:[AGRUP. VALOR. PTO.]]=$B42,IF(DATOS_[[Check Periodo Ref.]:[Check Periodo Ref.]]="Dentro",IF(DATOS_[[Check Equiparado]:[Check Equiparado]]="Sí",IF(DATOS!AG$5="Sí",(1/DATOS_[[% anualiz]:[% anualiz]]),1)*IF(DATOS!AG$4="Sí",1/DATOS_[[% normaliz]:[% normaliz]],1)*(DATOS_[Conc.Sal.03])))))))),
0)</f>
        <v>0</v>
      </c>
      <c r="M43" s="196">
        <f t="array" ref="M43">IFERROR(
(AVERAGE((IF(DATOS_[[Sexo]:[Sexo]]=$B43,IF(DATOS_[[AGRUP. VALOR. PTO.]:[AGRUP. VALOR. PTO.]]=$B42,IF(DATOS_[[Check Periodo Ref.]:[Check Periodo Ref.]]="Dentro",IF(DATOS_[[Check Equiparado]:[Check Equiparado]]="Sí",IF(DATOS!AH$5="Sí",(1/DATOS_[[% anualiz]:[% anualiz]]),1)*IF(DATOS!AH$4="Sí",1/DATOS_[[% normaliz]:[% normaliz]],1)*(DATOS_[Conc.Sal.04])))))))),
0)</f>
        <v>0</v>
      </c>
      <c r="N43" s="196">
        <f t="array" ref="N43">IFERROR(
(AVERAGE((IF(DATOS_[[Sexo]:[Sexo]]=$B43,IF(DATOS_[[AGRUP. VALOR. PTO.]:[AGRUP. VALOR. PTO.]]=$B42,IF(DATOS_[[Check Periodo Ref.]:[Check Periodo Ref.]]="Dentro",IF(DATOS_[[Check Equiparado]:[Check Equiparado]]="Sí",IF(DATOS!AI$5="Sí",(1/DATOS_[[% anualiz]:[% anualiz]]),1)*IF(DATOS!AI$4="Sí",1/DATOS_[[% normaliz]:[% normaliz]],1)*(DATOS_[Conc.Sal.05])))))))),
0)</f>
        <v>0</v>
      </c>
      <c r="O43" s="196">
        <f t="array" ref="O43">IFERROR(
(AVERAGE((IF(DATOS_[[Sexo]:[Sexo]]=$B43,IF(DATOS_[[AGRUP. VALOR. PTO.]:[AGRUP. VALOR. PTO.]]=$B42,IF(DATOS_[[Check Periodo Ref.]:[Check Periodo Ref.]]="Dentro",IF(DATOS_[[Check Equiparado]:[Check Equiparado]]="Sí",IF(DATOS!AJ$5="Sí",(1/DATOS_[[% anualiz]:[% anualiz]]),1)*IF(DATOS!AJ$4="Sí",1/DATOS_[[% normaliz]:[% normaliz]],1)*(DATOS_[Conc.Sal.06])))))))),
0)</f>
        <v>0</v>
      </c>
      <c r="P43" s="196">
        <f t="array" ref="P43">IFERROR(
(AVERAGE((IF(DATOS_[[Sexo]:[Sexo]]=$B43,IF(DATOS_[[AGRUP. VALOR. PTO.]:[AGRUP. VALOR. PTO.]]=$B42,IF(DATOS_[[Check Periodo Ref.]:[Check Periodo Ref.]]="Dentro",IF(DATOS_[[Check Equiparado]:[Check Equiparado]]="Sí",IF(DATOS!AK$5="Sí",(1/DATOS_[[% anualiz]:[% anualiz]]),1)*IF(DATOS!AK$4="Sí",1/DATOS_[[% normaliz]:[% normaliz]],1)*(DATOS_[Conc.Sal.07])))))))),
0)</f>
        <v>0</v>
      </c>
      <c r="Q43" s="196">
        <f t="array" ref="Q43">IFERROR(
(AVERAGE((IF(DATOS_[[Sexo]:[Sexo]]=$B43,IF(DATOS_[[AGRUP. VALOR. PTO.]:[AGRUP. VALOR. PTO.]]=$B42,IF(DATOS_[[Check Periodo Ref.]:[Check Periodo Ref.]]="Dentro",IF(DATOS_[[Check Equiparado]:[Check Equiparado]]="Sí",IF(DATOS!AL$5="Sí",(1/DATOS_[[% anualiz]:[% anualiz]]),1)*IF(DATOS!AL$4="Sí",1/DATOS_[[% normaliz]:[% normaliz]],1)*(DATOS_[Conc.Sal.08])))))))),
0)</f>
        <v>0</v>
      </c>
      <c r="R43" s="196">
        <f t="array" ref="R43">IFERROR(
(AVERAGE((IF(DATOS_[[Sexo]:[Sexo]]=$B43,IF(DATOS_[[AGRUP. VALOR. PTO.]:[AGRUP. VALOR. PTO.]]=$B42,IF(DATOS_[[Check Periodo Ref.]:[Check Periodo Ref.]]="Dentro",IF(DATOS_[[Check Equiparado]:[Check Equiparado]]="Sí",IF(DATOS!AM$5="Sí",(1/DATOS_[[% anualiz]:[% anualiz]]),1)*IF(DATOS!AM$4="Sí",1/DATOS_[[% normaliz]:[% normaliz]],1)*(DATOS_[Conc.Sal.09])))))))),
0)</f>
        <v>0</v>
      </c>
      <c r="S43" s="196">
        <f t="array" ref="S43">IFERROR(
(AVERAGE((IF(DATOS_[[Sexo]:[Sexo]]=$B43,IF(DATOS_[[AGRUP. VALOR. PTO.]:[AGRUP. VALOR. PTO.]]=$B42,IF(DATOS_[[Check Periodo Ref.]:[Check Periodo Ref.]]="Dentro",IF(DATOS_[[Check Equiparado]:[Check Equiparado]]="Sí",IF(DATOS!AN$5="Sí",(1/DATOS_[[% anualiz]:[% anualiz]]),1)*IF(DATOS!AN$4="Sí",1/DATOS_[[% normaliz]:[% normaliz]],1)*(DATOS_[Conc.Sal.10])))))))),
0)</f>
        <v>0</v>
      </c>
      <c r="T43" s="196">
        <f t="array" ref="T43">IFERROR(
(AVERAGE((IF(DATOS_[[Sexo]:[Sexo]]=$B43,IF(DATOS_[[AGRUP. VALOR. PTO.]:[AGRUP. VALOR. PTO.]]=$B42,IF(DATOS_[[Check Periodo Ref.]:[Check Periodo Ref.]]="Dentro",IF(DATOS_[[Check Equiparado]:[Check Equiparado]]="Sí",IF(DATOS!AO$5="Sí",(1/DATOS_[[% anualiz]:[% anualiz]]),1)*IF(DATOS!AO$4="Sí",1/DATOS_[[% normaliz]:[% normaliz]],1)*(DATOS_[Conc.Sal.11])))))))),
0)</f>
        <v>0</v>
      </c>
      <c r="U43" s="196">
        <f t="array" ref="U43">IFERROR(
(AVERAGE((IF(DATOS_[[Sexo]:[Sexo]]=$B43,IF(DATOS_[[AGRUP. VALOR. PTO.]:[AGRUP. VALOR. PTO.]]=$B42,IF(DATOS_[[Check Periodo Ref.]:[Check Periodo Ref.]]="Dentro",IF(DATOS_[[Check Equiparado]:[Check Equiparado]]="Sí",IF(DATOS!AP$5="Sí",(1/DATOS_[[% anualiz]:[% anualiz]]),1)*IF(DATOS!AP$4="Sí",1/DATOS_[[% normaliz]:[% normaliz]],1)*(DATOS_[Conc.Sal.12])))))))),
0)</f>
        <v>0</v>
      </c>
      <c r="V43" s="196">
        <f t="array" ref="V43">IFERROR(
(AVERAGE((IF(DATOS_[[Sexo]:[Sexo]]=$B43,IF(DATOS_[[AGRUP. VALOR. PTO.]:[AGRUP. VALOR. PTO.]]=$B42,IF(DATOS_[[Check Periodo Ref.]:[Check Periodo Ref.]]="Dentro",IF(DATOS_[[Check Equiparado]:[Check Equiparado]]="Sí",IF(DATOS!AQ$5="Sí",(1/DATOS_[[% anualiz]:[% anualiz]]),1)*IF(DATOS!AQ$4="Sí",1/DATOS_[[% normaliz]:[% normaliz]],1)*(DATOS_[Conc.Sal.13])))))))),
0)</f>
        <v>0</v>
      </c>
      <c r="W43" s="196">
        <f t="array" ref="W43">IFERROR(
(AVERAGE((IF(DATOS_[[Sexo]:[Sexo]]=$B43,IF(DATOS_[[AGRUP. VALOR. PTO.]:[AGRUP. VALOR. PTO.]]=$B42,IF(DATOS_[[Check Periodo Ref.]:[Check Periodo Ref.]]="Dentro",IF(DATOS_[[Check Equiparado]:[Check Equiparado]]="Sí",IF(DATOS!AR$5="Sí",(1/DATOS_[[% anualiz]:[% anualiz]]),1)*IF(DATOS!AR$4="Sí",1/DATOS_[[% normaliz]:[% normaliz]],1)*(DATOS_[Conc.Sal.14])))))))),
0)</f>
        <v>0</v>
      </c>
      <c r="X43" s="196">
        <f t="array" ref="X43">IFERROR(
(AVERAGE((IF(DATOS_[[Sexo]:[Sexo]]=$B43,IF(DATOS_[[AGRUP. VALOR. PTO.]:[AGRUP. VALOR. PTO.]]=$B42,IF(DATOS_[[Check Periodo Ref.]:[Check Periodo Ref.]]="Dentro",IF(DATOS_[[Check Equiparado]:[Check Equiparado]]="Sí",IF(DATOS!AS$5="Sí",(1/DATOS_[[% anualiz]:[% anualiz]]),1)*IF(DATOS!AS$4="Sí",1/DATOS_[[% normaliz]:[% normaliz]],1)*(DATOS_[Conc.Sal.15])))))))),
0)</f>
        <v>0</v>
      </c>
      <c r="Y43" s="196">
        <f t="array" ref="Y43">IFERROR(
(AVERAGE((IF(DATOS_[[Sexo]:[Sexo]]=$B43,IF(DATOS_[[AGRUP. VALOR. PTO.]:[AGRUP. VALOR. PTO.]]=$B42,IF(DATOS_[[Check Periodo Ref.]:[Check Periodo Ref.]]="Dentro",IF(DATOS_[[Check Equiparado]:[Check Equiparado]]="Sí",IF(DATOS!AT$5="Sí",(1/DATOS_[[% anualiz]:[% anualiz]]),1)*IF(DATOS!AT$4="Sí",1/DATOS_[[% normaliz]:[% normaliz]],1)*(DATOS_[Conc.Sal.16])))))))),
0)</f>
        <v>0</v>
      </c>
      <c r="Z43" s="196">
        <f t="array" ref="Z43">IFERROR(
(AVERAGE((IF(DATOS_[[Sexo]:[Sexo]]=$B43,IF(DATOS_[[AGRUP. VALOR. PTO.]:[AGRUP. VALOR. PTO.]]=$B42,IF(DATOS_[[Check Periodo Ref.]:[Check Periodo Ref.]]="Dentro",IF(DATOS_[[Check Equiparado]:[Check Equiparado]]="Sí",IF(DATOS!AU$5="Sí",(1/DATOS_[[% anualiz]:[% anualiz]]),1)*IF(DATOS!AU$4="Sí",1/DATOS_[[% normaliz]:[% normaliz]],1)*(DATOS_[Conc.Sal.17])))))))),
0)</f>
        <v>0</v>
      </c>
      <c r="AA43" s="196">
        <f t="array" ref="AA43">IFERROR(
(AVERAGE((IF(DATOS_[[Sexo]:[Sexo]]=$B43,IF(DATOS_[[AGRUP. VALOR. PTO.]:[AGRUP. VALOR. PTO.]]=$B42,IF(DATOS_[[Check Periodo Ref.]:[Check Periodo Ref.]]="Dentro",IF(DATOS_[[Check Equiparado]:[Check Equiparado]]="Sí",IF(DATOS!AV$5="Sí",(1/DATOS_[[% anualiz]:[% anualiz]]),1)*IF(DATOS!AV$4="Sí",1/DATOS_[[% normaliz]:[% normaliz]],1)*(DATOS_[Conc.Sal.18])))))))),
0)</f>
        <v>0</v>
      </c>
      <c r="AB43" s="196">
        <f t="array" ref="AB43">IFERROR(
(AVERAGE((IF(DATOS_[[Sexo]:[Sexo]]=$B43,IF(DATOS_[[AGRUP. VALOR. PTO.]:[AGRUP. VALOR. PTO.]]=$B42,IF(DATOS_[[Check Periodo Ref.]:[Check Periodo Ref.]]="Dentro",IF(DATOS_[[Check Equiparado]:[Check Equiparado]]="Sí",IF(DATOS!AW$5="Sí",(1/DATOS_[[% anualiz]:[% anualiz]]),1)*IF(DATOS!AW$4="Sí",1/DATOS_[[% normaliz]:[% normaliz]],1)*(DATOS_[Conc.Sal.19])))))))),
0)</f>
        <v>0</v>
      </c>
      <c r="AC43" s="196">
        <f t="array" ref="AC43">IFERROR(
(AVERAGE((IF(DATOS_[[Sexo]:[Sexo]]=$B43,IF(DATOS_[[AGRUP. VALOR. PTO.]:[AGRUP. VALOR. PTO.]]=$B42,IF(DATOS_[[Check Periodo Ref.]:[Check Periodo Ref.]]="Dentro",IF(DATOS_[[Check Equiparado]:[Check Equiparado]]="Sí",IF(DATOS!AX$5="Sí",(1/DATOS_[[% anualiz]:[% anualiz]]),1)*IF(DATOS!AX$4="Sí",1/DATOS_[[% normaliz]:[% normaliz]],1)*(DATOS_[Conc.Sal.20])))))))),
0)</f>
        <v>0</v>
      </c>
      <c r="AD43" s="196">
        <f t="array" ref="AD43">IFERROR(
(AVERAGE((IF(DATOS_[[Sexo]:[Sexo]]=$B43,IF(DATOS_[[AGRUP. VALOR. PTO.]:[AGRUP. VALOR. PTO.]]=$B42,IF(DATOS_[[Check Periodo Ref.]:[Check Periodo Ref.]]="Dentro",IF(DATOS_[[Check Equiparado]:[Check Equiparado]]="Sí",IF(DATOS!AY$5="Sí",(1/DATOS_[[% anualiz]:[% anualiz]]),1)*IF(DATOS!AY$4="Sí",1/DATOS_[[% normaliz]:[% normaliz]],1)*(DATOS_[Conc.Sal.21])))))))),
0)</f>
        <v>0</v>
      </c>
      <c r="AE43" s="196">
        <f t="array" ref="AE43">IFERROR(
(AVERAGE((IF(DATOS_[[Sexo]:[Sexo]]=$B43,IF(DATOS_[[AGRUP. VALOR. PTO.]:[AGRUP. VALOR. PTO.]]=$B42,IF(DATOS_[[Check Periodo Ref.]:[Check Periodo Ref.]]="Dentro",IF(DATOS_[[Check Equiparado]:[Check Equiparado]]="Sí",IF(DATOS!AZ$5="Sí",(1/DATOS_[[% anualiz]:[% anualiz]]),1)*IF(DATOS!AZ$4="Sí",1/DATOS_[[% normaliz]:[% normaliz]],1)*(DATOS_[Conc.Sal.22])))))))),
0)</f>
        <v>0</v>
      </c>
      <c r="AF43" s="196">
        <f t="array" ref="AF43">IFERROR(
(AVERAGE((IF(DATOS_[[Sexo]:[Sexo]]=$B43,IF(DATOS_[[AGRUP. VALOR. PTO.]:[AGRUP. VALOR. PTO.]]=$B42,IF(DATOS_[[Check Periodo Ref.]:[Check Periodo Ref.]]="Dentro",IF(DATOS_[[Check Equiparado]:[Check Equiparado]]="Sí",IF(DATOS!BA$5="Sí",(1/DATOS_[[% anualiz]:[% anualiz]]),1)*IF(DATOS!BA$4="Sí",1/DATOS_[[% normaliz]:[% normaliz]],1)*(DATOS_[Conc.Sal.23])))))))),
0)</f>
        <v>0</v>
      </c>
      <c r="AG43" s="196">
        <f t="array" ref="AG43">IFERROR(
(AVERAGE((IF(DATOS_[[Sexo]:[Sexo]]=$B43,IF(DATOS_[[AGRUP. VALOR. PTO.]:[AGRUP. VALOR. PTO.]]=$B42,IF(DATOS_[[Check Periodo Ref.]:[Check Periodo Ref.]]="Dentro",IF(DATOS_[[Check Equiparado]:[Check Equiparado]]="Sí",IF(DATOS!BB$5="Sí",(1/DATOS_[[% anualiz]:[% anualiz]]),1)*IF(DATOS!BB$4="Sí",1/DATOS_[[% normaliz]:[% normaliz]],1)*(DATOS_[Conc.Sal.24])))))))),
0)</f>
        <v>0</v>
      </c>
      <c r="AH43" s="196">
        <f t="array" ref="AH43">IFERROR(
(AVERAGE((IF(DATOS_[[Sexo]:[Sexo]]=$B43,IF(DATOS_[[AGRUP. VALOR. PTO.]:[AGRUP. VALOR. PTO.]]=$B42,IF(DATOS_[[Check Periodo Ref.]:[Check Periodo Ref.]]="Dentro",IF(DATOS_[[Check Equiparado]:[Check Equiparado]]="Sí",IF(DATOS!BC$5="Sí",(1/DATOS_[[% anualiz]:[% anualiz]]),1)*IF(DATOS!BC$4="Sí",1/DATOS_[[% normaliz]:[% normaliz]],1)*(DATOS_[Conc.Sal.25])))))))),
0)</f>
        <v>0</v>
      </c>
      <c r="AI43" s="196">
        <f t="array" ref="AI43">IFERROR(
(AVERAGE((IF(DATOS_[[Sexo]:[Sexo]]=$B43,IF(DATOS_[[AGRUP. VALOR. PTO.]:[AGRUP. VALOR. PTO.]]=$B42,IF(DATOS_[[Check Periodo Ref.]:[Check Periodo Ref.]]="Dentro",IF(DATOS_[[Check Equiparado]:[Check Equiparado]]="Sí",IF(DATOS!BD$5="Sí",(1/DATOS_[[% anualiz]:[% anualiz]]),1)*IF(DATOS!BD$4="Sí",1/DATOS_[[% normaliz]:[% normaliz]],1)*(DATOS_[Conc.Sal.26])))))))),
0)</f>
        <v>0</v>
      </c>
      <c r="AJ43" s="196">
        <f t="array" ref="AJ43">IFERROR(
(AVERAGE((IF(DATOS_[[Sexo]:[Sexo]]=$B43,IF(DATOS_[[AGRUP. VALOR. PTO.]:[AGRUP. VALOR. PTO.]]=$B42,IF(DATOS_[[Check Periodo Ref.]:[Check Periodo Ref.]]="Dentro",IF(DATOS_[[Check Equiparado]:[Check Equiparado]]="Sí",IF(DATOS!BE$5="Sí",(1/DATOS_[[% anualiz]:[% anualiz]]),1)*IF(DATOS!BE$4="Sí",1/DATOS_[[% normaliz]:[% normaliz]],1)*(DATOS_[Conc.Sal.27])))))))),
0)</f>
        <v>0</v>
      </c>
      <c r="AK43" s="196">
        <f t="array" ref="AK43">IFERROR(
(AVERAGE((IF(DATOS_[[Sexo]:[Sexo]]=$B43,IF(DATOS_[[AGRUP. VALOR. PTO.]:[AGRUP. VALOR. PTO.]]=$B42,IF(DATOS_[[Check Periodo Ref.]:[Check Periodo Ref.]]="Dentro",IF(DATOS_[[Check Equiparado]:[Check Equiparado]]="Sí",IF(DATOS!BF$5="Sí",(1/DATOS_[[% anualiz]:[% anualiz]]),1)*IF(DATOS!BF$4="Sí",1/DATOS_[[% normaliz]:[% normaliz]],1)*(DATOS_[Conc.Sal.28])))))))),
0)</f>
        <v>0</v>
      </c>
      <c r="AL43" s="196">
        <f t="array" ref="AL43">IFERROR(
(AVERAGE((IF(DATOS_[[Sexo]:[Sexo]]=$B43,IF(DATOS_[[AGRUP. VALOR. PTO.]:[AGRUP. VALOR. PTO.]]=$B42,IF(DATOS_[[Check Periodo Ref.]:[Check Periodo Ref.]]="Dentro",IF(DATOS_[[Check Equiparado]:[Check Equiparado]]="Sí",IF(DATOS!BG$5="Sí",(1/DATOS_[[% anualiz]:[% anualiz]]),1)*IF(DATOS!BG$4="Sí",1/DATOS_[[% normaliz]:[% normaliz]],1)*(DATOS_[Conc.Sal.29])))))))),
0)</f>
        <v>0</v>
      </c>
      <c r="AM43" s="196">
        <f t="array" ref="AM43">IFERROR(
(AVERAGE((IF(DATOS_[[Sexo]:[Sexo]]=$B43,IF(DATOS_[[AGRUP. VALOR. PTO.]:[AGRUP. VALOR. PTO.]]=$B42,IF(DATOS_[[Check Periodo Ref.]:[Check Periodo Ref.]]="Dentro",IF(DATOS_[[Check Equiparado]:[Check Equiparado]]="Sí",IF(DATOS!BH$5="Sí",(1/DATOS_[[% anualiz]:[% anualiz]]),1)*IF(DATOS!BH$4="Sí",1/DATOS_[[% normaliz]:[% normaliz]],1)*(DATOS_[Conc.Sal.30])))))))),
0)</f>
        <v>0</v>
      </c>
      <c r="AN43" s="195">
        <f t="array" ref="AN43">IFERROR(
AVERAGE(IF(DATOS_[Sexo]=$B43,IF(DATOS_[[AGRUP. VALOR. PTO.]:[AGRUP. VALOR. PTO.]]=$B42,IF(DATOS_[Check Equiparado]="Sí",IF(DATOS_[Check Periodo Ref.]="Dentro",DATOS_[Tot COMPL.SAL Eq],FALSE))))),
0)</f>
        <v>0</v>
      </c>
      <c r="AO43" s="172">
        <f t="array" ref="AO43">IFERROR(
AVERAGE(IF(DATOS_[Sexo]=$B43,IF(DATOS_[[AGRUP. VALOR. PTO.]:[AGRUP. VALOR. PTO.]]=$B42,IF(DATOS_[Check Equiparado]="Sí",IF(DATOS_[Check Periodo Ref.]="Dentro",DATOS_[TOTAL SALARIO Eq],FALSE))))),
0)</f>
        <v>0</v>
      </c>
      <c r="AP43" s="173">
        <f t="array" ref="AP43">IFERROR(
(AVERAGE((IF(DATOS_[[Sexo]:[Sexo]]=$B43,IF(DATOS_[[AGRUP. VALOR. PTO.]:[AGRUP. VALOR. PTO.]]=$B42,IF(DATOS_[[Check Periodo Ref.]:[Check Periodo Ref.]]="Dentro",IF(DATOS_[[Check Equiparado]:[Check Equiparado]]="Sí",IF(DATOS!BW$5="Sí",(1/DATOS_[[% anualiz]:[% anualiz]]),1)*IF(DATOS!BW$4="Sí",1/DATOS_[[% normaliz]:[% normaliz]],1)*(DATOS_[C.Extra.01])))))))),
0)</f>
        <v>0</v>
      </c>
      <c r="AQ43" s="173">
        <f t="array" ref="AQ43">IFERROR(
(AVERAGE((IF(DATOS_[[Sexo]:[Sexo]]=$B43,IF(DATOS_[[AGRUP. VALOR. PTO.]:[AGRUP. VALOR. PTO.]]=$B42,IF(DATOS_[[Check Periodo Ref.]:[Check Periodo Ref.]]="Dentro",IF(DATOS_[[Check Equiparado]:[Check Equiparado]]="Sí",IF(DATOS!CB$5="Sí",(1/DATOS_[[% anualiz]:[% anualiz]]),1)*IF(DATOS!CB$4="Sí",1/DATOS_[[% normaliz]:[% normaliz]],1)*(DATOS_[C.Extra.06])))))))),
0)</f>
        <v>0</v>
      </c>
      <c r="AR43" s="173">
        <f t="array" ref="AR43">IFERROR(
(AVERAGE((IF(DATOS_[[Sexo]:[Sexo]]=$B43,IF(DATOS_[[AGRUP. VALOR. PTO.]:[AGRUP. VALOR. PTO.]]=$B42,IF(DATOS_[[Check Periodo Ref.]:[Check Periodo Ref.]]="Dentro",IF(DATOS_[[Check Equiparado]:[Check Equiparado]]="Sí",IF(DATOS!CC$5="Sí",(1/DATOS_[[% anualiz]:[% anualiz]]),1)*IF(DATOS!CC$4="Sí",1/DATOS_[[% normaliz]:[% normaliz]],1)*(DATOS_[C.Extra.07])))))))),
0)</f>
        <v>0</v>
      </c>
      <c r="AS43" s="173">
        <f t="array" ref="AS43">IFERROR(
(AVERAGE((IF(DATOS_[[Sexo]:[Sexo]]=$B43,IF(DATOS_[[AGRUP. VALOR. PTO.]:[AGRUP. VALOR. PTO.]]=$B42,IF(DATOS_[[Check Periodo Ref.]:[Check Periodo Ref.]]="Dentro",IF(DATOS_[[Check Equiparado]:[Check Equiparado]]="Sí",IF(DATOS!CD$5="Sí",(1/DATOS_[[% anualiz]:[% anualiz]]),1)*IF(DATOS!CD$4="Sí",1/DATOS_[[% normaliz]:[% normaliz]],1)*(DATOS_[C.Extra.08])))))))),
0)</f>
        <v>0</v>
      </c>
      <c r="AT43" s="173">
        <f t="array" ref="AT43">IFERROR(
(AVERAGE((IF(DATOS_[[Sexo]:[Sexo]]=$B43,IF(DATOS_[[AGRUP. VALOR. PTO.]:[AGRUP. VALOR. PTO.]]=$B42,IF(DATOS_[[Check Periodo Ref.]:[Check Periodo Ref.]]="Dentro",IF(DATOS_[[Check Equiparado]:[Check Equiparado]]="Sí",IF(DATOS!CG$5="Sí",(1/DATOS_[[% anualiz]:[% anualiz]]),1)*IF(DATOS!CG$4="Sí",1/DATOS_[[% normaliz]:[% normaliz]],1)*(DATOS_[C.Extra.11])))))))),
0)</f>
        <v>0</v>
      </c>
      <c r="AU43" s="197">
        <f t="array" ref="AU43">IFERROR(
AVERAGE(IF(DATOS_[Sexo]=$B43,IF(DATOS_[[AGRUP. VALOR. PTO.]:[AGRUP. VALOR. PTO.]]=$B42,IF(DATOS_[Check Equiparado]="Sí",IF(DATOS_[Check Periodo Ref.]="Dentro",DATOS_[Tot Extrasalarial Eq],FALSE))))),
0)</f>
        <v>0</v>
      </c>
      <c r="AV43" s="175">
        <f t="array" ref="AV43">IFERROR(
AVERAGE(IF(DATOS_[Sexo]=$B43,IF(DATOS_[[AGRUP. VALOR. PTO.]:[AGRUP. VALOR. PTO.]]=$B42,IF(DATOS_[Check Equiparado]="Sí",IF(DATOS_[Check Periodo Ref.]="Dentro",DATOS_[TOTAL Retrib Eq],FALSE))))),
0)</f>
        <v>0</v>
      </c>
    </row>
    <row r="44" spans="1:48" x14ac:dyDescent="0.25">
      <c r="A44" s="133" t="str">
        <f t="shared" ref="A44" si="42">+A43</f>
        <v>[ocultar]</v>
      </c>
      <c r="B44" s="202" t="s">
        <v>521</v>
      </c>
      <c r="C44" s="203">
        <f t="array" ref="C44">SUM(IF($B44=DATOS_[Sexo],
IF($B42=DATOS_[AGRUP. VALOR. PTO.],
IF("Dentro"=DATOS_[Check Periodo Ref.],
1/(COUNTIFS(DATOS_[Sexo],$B44,DATOS_[AGRUP. VALOR. PTO.],$B42,DATOS_[Check Periodo Ref.],"Dentro",DATOS_[id/cod],DATOS_[id/cod]))))))</f>
        <v>0</v>
      </c>
      <c r="D44" s="204">
        <f>COUNTIFS(DATOS_[AGRUP. VALOR. PTO.],$B42,DATOS_[Sexo],$B44,DATOS_[Check Periodo Ref.],"Dentro")</f>
        <v>0</v>
      </c>
      <c r="E44" s="204">
        <f>COUNTIFS(DATOS_[AGRUP. VALOR. PTO.],$B42,DATOS_[Sexo],$B44,DATOS_[Check Periodo Ref.],"Dentro",DATOS_[Check Nº SC Norm],"Sí")</f>
        <v>0</v>
      </c>
      <c r="F44" s="204">
        <f>COUNTIFS(DATOS_[AGRUP. VALOR. PTO.],$B42,DATOS_[Sexo],$B44,DATOS_[Check Periodo Ref.],"Dentro",DATOS_[Check Nº SC Anualiz],"Sí")</f>
        <v>0</v>
      </c>
      <c r="G44" s="204">
        <f>COUNTIFS(DATOS_[AGRUP. VALOR. PTO.],$B42,DATOS_[Sexo],$B44,DATOS_[Check Periodo Ref.],"Dentro",DATOS_[Check Nº SC Norm y Anualiz],"Sí")</f>
        <v>0</v>
      </c>
      <c r="H44" s="204">
        <f>COUNTIFS(DATOS_[AGRUP. VALOR. PTO.],$B42,DATOS_[Sexo],$B44,DATOS_[Check Periodo Ref.],"Dentro",DATOS_[Check Equiparación],"Sí")</f>
        <v>0</v>
      </c>
      <c r="I44" s="195" cm="1">
        <f t="array" ref="I44">IFERROR(
AVERAGE(IF(DATOS_[Sexo]=$B44,IF(DATOS_[[AGRUP. VALOR. PTO.]:[AGRUP. VALOR. PTO.]]=$B42,IF(DATOS_[Check Equiparado]="Sí",IF(DATOS_[Check Periodo Ref.]="Dentro",DATOS_[SALARIO BASE Eq],FALSE))))),
0)</f>
        <v>0</v>
      </c>
      <c r="J44" s="196">
        <f t="array" ref="J44">IFERROR(
(AVERAGE((IF(DATOS_[[Sexo]:[Sexo]]=$B44,IF(DATOS_[[AGRUP. VALOR. PTO.]:[AGRUP. VALOR. PTO.]]=$B42,IF(DATOS_[[Check Periodo Ref.]:[Check Periodo Ref.]]="Dentro",IF(DATOS_[[Check Equiparado]:[Check Equiparado]]="Sí",IF(DATOS!AE$5="Sí",(1/DATOS_[[% anualiz]:[% anualiz]]),1)*IF(DATOS!AE$4="Sí",1/DATOS_[[% normaliz]:[% normaliz]],1)*(DATOS_[Conc.Sal.01])))))))),
0)</f>
        <v>0</v>
      </c>
      <c r="K44" s="196">
        <f t="array" ref="K44">IFERROR(
(AVERAGE((IF(DATOS_[[Sexo]:[Sexo]]=$B44,IF(DATOS_[[AGRUP. VALOR. PTO.]:[AGRUP. VALOR. PTO.]]=$B42,IF(DATOS_[[Check Periodo Ref.]:[Check Periodo Ref.]]="Dentro",IF(DATOS_[[Check Equiparado]:[Check Equiparado]]="Sí",IF(DATOS!AF$5="Sí",(1/DATOS_[[% anualiz]:[% anualiz]]),1)*IF(DATOS!AF$4="Sí",1/DATOS_[[% normaliz]:[% normaliz]],1)*(DATOS_[Conc.Sal.02])))))))),
0)</f>
        <v>0</v>
      </c>
      <c r="L44" s="196">
        <f t="array" ref="L44">IFERROR(
(AVERAGE((IF(DATOS_[[Sexo]:[Sexo]]=$B44,IF(DATOS_[[AGRUP. VALOR. PTO.]:[AGRUP. VALOR. PTO.]]=$B42,IF(DATOS_[[Check Periodo Ref.]:[Check Periodo Ref.]]="Dentro",IF(DATOS_[[Check Equiparado]:[Check Equiparado]]="Sí",IF(DATOS!AG$5="Sí",(1/DATOS_[[% anualiz]:[% anualiz]]),1)*IF(DATOS!AG$4="Sí",1/DATOS_[[% normaliz]:[% normaliz]],1)*(DATOS_[Conc.Sal.03])))))))),
0)</f>
        <v>0</v>
      </c>
      <c r="M44" s="196">
        <f t="array" ref="M44">IFERROR(
(AVERAGE((IF(DATOS_[[Sexo]:[Sexo]]=$B44,IF(DATOS_[[AGRUP. VALOR. PTO.]:[AGRUP. VALOR. PTO.]]=$B42,IF(DATOS_[[Check Periodo Ref.]:[Check Periodo Ref.]]="Dentro",IF(DATOS_[[Check Equiparado]:[Check Equiparado]]="Sí",IF(DATOS!AH$5="Sí",(1/DATOS_[[% anualiz]:[% anualiz]]),1)*IF(DATOS!AH$4="Sí",1/DATOS_[[% normaliz]:[% normaliz]],1)*(DATOS_[Conc.Sal.04])))))))),
0)</f>
        <v>0</v>
      </c>
      <c r="N44" s="196">
        <f t="array" ref="N44">IFERROR(
(AVERAGE((IF(DATOS_[[Sexo]:[Sexo]]=$B44,IF(DATOS_[[AGRUP. VALOR. PTO.]:[AGRUP. VALOR. PTO.]]=$B42,IF(DATOS_[[Check Periodo Ref.]:[Check Periodo Ref.]]="Dentro",IF(DATOS_[[Check Equiparado]:[Check Equiparado]]="Sí",IF(DATOS!AI$5="Sí",(1/DATOS_[[% anualiz]:[% anualiz]]),1)*IF(DATOS!AI$4="Sí",1/DATOS_[[% normaliz]:[% normaliz]],1)*(DATOS_[Conc.Sal.05])))))))),
0)</f>
        <v>0</v>
      </c>
      <c r="O44" s="196">
        <f t="array" ref="O44">IFERROR(
(AVERAGE((IF(DATOS_[[Sexo]:[Sexo]]=$B44,IF(DATOS_[[AGRUP. VALOR. PTO.]:[AGRUP. VALOR. PTO.]]=$B42,IF(DATOS_[[Check Periodo Ref.]:[Check Periodo Ref.]]="Dentro",IF(DATOS_[[Check Equiparado]:[Check Equiparado]]="Sí",IF(DATOS!AJ$5="Sí",(1/DATOS_[[% anualiz]:[% anualiz]]),1)*IF(DATOS!AJ$4="Sí",1/DATOS_[[% normaliz]:[% normaliz]],1)*(DATOS_[Conc.Sal.06])))))))),
0)</f>
        <v>0</v>
      </c>
      <c r="P44" s="196">
        <f t="array" ref="P44">IFERROR(
(AVERAGE((IF(DATOS_[[Sexo]:[Sexo]]=$B44,IF(DATOS_[[AGRUP. VALOR. PTO.]:[AGRUP. VALOR. PTO.]]=$B42,IF(DATOS_[[Check Periodo Ref.]:[Check Periodo Ref.]]="Dentro",IF(DATOS_[[Check Equiparado]:[Check Equiparado]]="Sí",IF(DATOS!AK$5="Sí",(1/DATOS_[[% anualiz]:[% anualiz]]),1)*IF(DATOS!AK$4="Sí",1/DATOS_[[% normaliz]:[% normaliz]],1)*(DATOS_[Conc.Sal.07])))))))),
0)</f>
        <v>0</v>
      </c>
      <c r="Q44" s="196">
        <f t="array" ref="Q44">IFERROR(
(AVERAGE((IF(DATOS_[[Sexo]:[Sexo]]=$B44,IF(DATOS_[[AGRUP. VALOR. PTO.]:[AGRUP. VALOR. PTO.]]=$B42,IF(DATOS_[[Check Periodo Ref.]:[Check Periodo Ref.]]="Dentro",IF(DATOS_[[Check Equiparado]:[Check Equiparado]]="Sí",IF(DATOS!AL$5="Sí",(1/DATOS_[[% anualiz]:[% anualiz]]),1)*IF(DATOS!AL$4="Sí",1/DATOS_[[% normaliz]:[% normaliz]],1)*(DATOS_[Conc.Sal.08])))))))),
0)</f>
        <v>0</v>
      </c>
      <c r="R44" s="196">
        <f t="array" ref="R44">IFERROR(
(AVERAGE((IF(DATOS_[[Sexo]:[Sexo]]=$B44,IF(DATOS_[[AGRUP. VALOR. PTO.]:[AGRUP. VALOR. PTO.]]=$B42,IF(DATOS_[[Check Periodo Ref.]:[Check Periodo Ref.]]="Dentro",IF(DATOS_[[Check Equiparado]:[Check Equiparado]]="Sí",IF(DATOS!AM$5="Sí",(1/DATOS_[[% anualiz]:[% anualiz]]),1)*IF(DATOS!AM$4="Sí",1/DATOS_[[% normaliz]:[% normaliz]],1)*(DATOS_[Conc.Sal.09])))))))),
0)</f>
        <v>0</v>
      </c>
      <c r="S44" s="196">
        <f t="array" ref="S44">IFERROR(
(AVERAGE((IF(DATOS_[[Sexo]:[Sexo]]=$B44,IF(DATOS_[[AGRUP. VALOR. PTO.]:[AGRUP. VALOR. PTO.]]=$B42,IF(DATOS_[[Check Periodo Ref.]:[Check Periodo Ref.]]="Dentro",IF(DATOS_[[Check Equiparado]:[Check Equiparado]]="Sí",IF(DATOS!AN$5="Sí",(1/DATOS_[[% anualiz]:[% anualiz]]),1)*IF(DATOS!AN$4="Sí",1/DATOS_[[% normaliz]:[% normaliz]],1)*(DATOS_[Conc.Sal.10])))))))),
0)</f>
        <v>0</v>
      </c>
      <c r="T44" s="196">
        <f t="array" ref="T44">IFERROR(
(AVERAGE((IF(DATOS_[[Sexo]:[Sexo]]=$B44,IF(DATOS_[[AGRUP. VALOR. PTO.]:[AGRUP. VALOR. PTO.]]=$B42,IF(DATOS_[[Check Periodo Ref.]:[Check Periodo Ref.]]="Dentro",IF(DATOS_[[Check Equiparado]:[Check Equiparado]]="Sí",IF(DATOS!AO$5="Sí",(1/DATOS_[[% anualiz]:[% anualiz]]),1)*IF(DATOS!AO$4="Sí",1/DATOS_[[% normaliz]:[% normaliz]],1)*(DATOS_[Conc.Sal.11])))))))),
0)</f>
        <v>0</v>
      </c>
      <c r="U44" s="196">
        <f t="array" ref="U44">IFERROR(
(AVERAGE((IF(DATOS_[[Sexo]:[Sexo]]=$B44,IF(DATOS_[[AGRUP. VALOR. PTO.]:[AGRUP. VALOR. PTO.]]=$B42,IF(DATOS_[[Check Periodo Ref.]:[Check Periodo Ref.]]="Dentro",IF(DATOS_[[Check Equiparado]:[Check Equiparado]]="Sí",IF(DATOS!AP$5="Sí",(1/DATOS_[[% anualiz]:[% anualiz]]),1)*IF(DATOS!AP$4="Sí",1/DATOS_[[% normaliz]:[% normaliz]],1)*(DATOS_[Conc.Sal.12])))))))),
0)</f>
        <v>0</v>
      </c>
      <c r="V44" s="196">
        <f t="array" ref="V44">IFERROR(
(AVERAGE((IF(DATOS_[[Sexo]:[Sexo]]=$B44,IF(DATOS_[[AGRUP. VALOR. PTO.]:[AGRUP. VALOR. PTO.]]=$B42,IF(DATOS_[[Check Periodo Ref.]:[Check Periodo Ref.]]="Dentro",IF(DATOS_[[Check Equiparado]:[Check Equiparado]]="Sí",IF(DATOS!AQ$5="Sí",(1/DATOS_[[% anualiz]:[% anualiz]]),1)*IF(DATOS!AQ$4="Sí",1/DATOS_[[% normaliz]:[% normaliz]],1)*(DATOS_[Conc.Sal.13])))))))),
0)</f>
        <v>0</v>
      </c>
      <c r="W44" s="196">
        <f t="array" ref="W44">IFERROR(
(AVERAGE((IF(DATOS_[[Sexo]:[Sexo]]=$B44,IF(DATOS_[[AGRUP. VALOR. PTO.]:[AGRUP. VALOR. PTO.]]=$B42,IF(DATOS_[[Check Periodo Ref.]:[Check Periodo Ref.]]="Dentro",IF(DATOS_[[Check Equiparado]:[Check Equiparado]]="Sí",IF(DATOS!AR$5="Sí",(1/DATOS_[[% anualiz]:[% anualiz]]),1)*IF(DATOS!AR$4="Sí",1/DATOS_[[% normaliz]:[% normaliz]],1)*(DATOS_[Conc.Sal.14])))))))),
0)</f>
        <v>0</v>
      </c>
      <c r="X44" s="196">
        <f t="array" ref="X44">IFERROR(
(AVERAGE((IF(DATOS_[[Sexo]:[Sexo]]=$B44,IF(DATOS_[[AGRUP. VALOR. PTO.]:[AGRUP. VALOR. PTO.]]=$B42,IF(DATOS_[[Check Periodo Ref.]:[Check Periodo Ref.]]="Dentro",IF(DATOS_[[Check Equiparado]:[Check Equiparado]]="Sí",IF(DATOS!AS$5="Sí",(1/DATOS_[[% anualiz]:[% anualiz]]),1)*IF(DATOS!AS$4="Sí",1/DATOS_[[% normaliz]:[% normaliz]],1)*(DATOS_[Conc.Sal.15])))))))),
0)</f>
        <v>0</v>
      </c>
      <c r="Y44" s="196">
        <f t="array" ref="Y44">IFERROR(
(AVERAGE((IF(DATOS_[[Sexo]:[Sexo]]=$B44,IF(DATOS_[[AGRUP. VALOR. PTO.]:[AGRUP. VALOR. PTO.]]=$B42,IF(DATOS_[[Check Periodo Ref.]:[Check Periodo Ref.]]="Dentro",IF(DATOS_[[Check Equiparado]:[Check Equiparado]]="Sí",IF(DATOS!AT$5="Sí",(1/DATOS_[[% anualiz]:[% anualiz]]),1)*IF(DATOS!AT$4="Sí",1/DATOS_[[% normaliz]:[% normaliz]],1)*(DATOS_[Conc.Sal.16])))))))),
0)</f>
        <v>0</v>
      </c>
      <c r="Z44" s="196">
        <f t="array" ref="Z44">IFERROR(
(AVERAGE((IF(DATOS_[[Sexo]:[Sexo]]=$B44,IF(DATOS_[[AGRUP. VALOR. PTO.]:[AGRUP. VALOR. PTO.]]=$B42,IF(DATOS_[[Check Periodo Ref.]:[Check Periodo Ref.]]="Dentro",IF(DATOS_[[Check Equiparado]:[Check Equiparado]]="Sí",IF(DATOS!AU$5="Sí",(1/DATOS_[[% anualiz]:[% anualiz]]),1)*IF(DATOS!AU$4="Sí",1/DATOS_[[% normaliz]:[% normaliz]],1)*(DATOS_[Conc.Sal.17])))))))),
0)</f>
        <v>0</v>
      </c>
      <c r="AA44" s="196">
        <f t="array" ref="AA44">IFERROR(
(AVERAGE((IF(DATOS_[[Sexo]:[Sexo]]=$B44,IF(DATOS_[[AGRUP. VALOR. PTO.]:[AGRUP. VALOR. PTO.]]=$B42,IF(DATOS_[[Check Periodo Ref.]:[Check Periodo Ref.]]="Dentro",IF(DATOS_[[Check Equiparado]:[Check Equiparado]]="Sí",IF(DATOS!AV$5="Sí",(1/DATOS_[[% anualiz]:[% anualiz]]),1)*IF(DATOS!AV$4="Sí",1/DATOS_[[% normaliz]:[% normaliz]],1)*(DATOS_[Conc.Sal.18])))))))),
0)</f>
        <v>0</v>
      </c>
      <c r="AB44" s="196">
        <f t="array" ref="AB44">IFERROR(
(AVERAGE((IF(DATOS_[[Sexo]:[Sexo]]=$B44,IF(DATOS_[[AGRUP. VALOR. PTO.]:[AGRUP. VALOR. PTO.]]=$B42,IF(DATOS_[[Check Periodo Ref.]:[Check Periodo Ref.]]="Dentro",IF(DATOS_[[Check Equiparado]:[Check Equiparado]]="Sí",IF(DATOS!AW$5="Sí",(1/DATOS_[[% anualiz]:[% anualiz]]),1)*IF(DATOS!AW$4="Sí",1/DATOS_[[% normaliz]:[% normaliz]],1)*(DATOS_[Conc.Sal.19])))))))),
0)</f>
        <v>0</v>
      </c>
      <c r="AC44" s="196">
        <f t="array" ref="AC44">IFERROR(
(AVERAGE((IF(DATOS_[[Sexo]:[Sexo]]=$B44,IF(DATOS_[[AGRUP. VALOR. PTO.]:[AGRUP. VALOR. PTO.]]=$B42,IF(DATOS_[[Check Periodo Ref.]:[Check Periodo Ref.]]="Dentro",IF(DATOS_[[Check Equiparado]:[Check Equiparado]]="Sí",IF(DATOS!AX$5="Sí",(1/DATOS_[[% anualiz]:[% anualiz]]),1)*IF(DATOS!AX$4="Sí",1/DATOS_[[% normaliz]:[% normaliz]],1)*(DATOS_[Conc.Sal.20])))))))),
0)</f>
        <v>0</v>
      </c>
      <c r="AD44" s="196">
        <f t="array" ref="AD44">IFERROR(
(AVERAGE((IF(DATOS_[[Sexo]:[Sexo]]=$B44,IF(DATOS_[[AGRUP. VALOR. PTO.]:[AGRUP. VALOR. PTO.]]=$B42,IF(DATOS_[[Check Periodo Ref.]:[Check Periodo Ref.]]="Dentro",IF(DATOS_[[Check Equiparado]:[Check Equiparado]]="Sí",IF(DATOS!AY$5="Sí",(1/DATOS_[[% anualiz]:[% anualiz]]),1)*IF(DATOS!AY$4="Sí",1/DATOS_[[% normaliz]:[% normaliz]],1)*(DATOS_[Conc.Sal.21])))))))),
0)</f>
        <v>0</v>
      </c>
      <c r="AE44" s="196">
        <f t="array" ref="AE44">IFERROR(
(AVERAGE((IF(DATOS_[[Sexo]:[Sexo]]=$B44,IF(DATOS_[[AGRUP. VALOR. PTO.]:[AGRUP. VALOR. PTO.]]=$B42,IF(DATOS_[[Check Periodo Ref.]:[Check Periodo Ref.]]="Dentro",IF(DATOS_[[Check Equiparado]:[Check Equiparado]]="Sí",IF(DATOS!AZ$5="Sí",(1/DATOS_[[% anualiz]:[% anualiz]]),1)*IF(DATOS!AZ$4="Sí",1/DATOS_[[% normaliz]:[% normaliz]],1)*(DATOS_[Conc.Sal.22])))))))),
0)</f>
        <v>0</v>
      </c>
      <c r="AF44" s="196">
        <f t="array" ref="AF44">IFERROR(
(AVERAGE((IF(DATOS_[[Sexo]:[Sexo]]=$B44,IF(DATOS_[[AGRUP. VALOR. PTO.]:[AGRUP. VALOR. PTO.]]=$B42,IF(DATOS_[[Check Periodo Ref.]:[Check Periodo Ref.]]="Dentro",IF(DATOS_[[Check Equiparado]:[Check Equiparado]]="Sí",IF(DATOS!BA$5="Sí",(1/DATOS_[[% anualiz]:[% anualiz]]),1)*IF(DATOS!BA$4="Sí",1/DATOS_[[% normaliz]:[% normaliz]],1)*(DATOS_[Conc.Sal.23])))))))),
0)</f>
        <v>0</v>
      </c>
      <c r="AG44" s="196">
        <f t="array" ref="AG44">IFERROR(
(AVERAGE((IF(DATOS_[[Sexo]:[Sexo]]=$B44,IF(DATOS_[[AGRUP. VALOR. PTO.]:[AGRUP. VALOR. PTO.]]=$B42,IF(DATOS_[[Check Periodo Ref.]:[Check Periodo Ref.]]="Dentro",IF(DATOS_[[Check Equiparado]:[Check Equiparado]]="Sí",IF(DATOS!BB$5="Sí",(1/DATOS_[[% anualiz]:[% anualiz]]),1)*IF(DATOS!BB$4="Sí",1/DATOS_[[% normaliz]:[% normaliz]],1)*(DATOS_[Conc.Sal.24])))))))),
0)</f>
        <v>0</v>
      </c>
      <c r="AH44" s="196">
        <f t="array" ref="AH44">IFERROR(
(AVERAGE((IF(DATOS_[[Sexo]:[Sexo]]=$B44,IF(DATOS_[[AGRUP. VALOR. PTO.]:[AGRUP. VALOR. PTO.]]=$B42,IF(DATOS_[[Check Periodo Ref.]:[Check Periodo Ref.]]="Dentro",IF(DATOS_[[Check Equiparado]:[Check Equiparado]]="Sí",IF(DATOS!BC$5="Sí",(1/DATOS_[[% anualiz]:[% anualiz]]),1)*IF(DATOS!BC$4="Sí",1/DATOS_[[% normaliz]:[% normaliz]],1)*(DATOS_[Conc.Sal.25])))))))),
0)</f>
        <v>0</v>
      </c>
      <c r="AI44" s="196">
        <f t="array" ref="AI44">IFERROR(
(AVERAGE((IF(DATOS_[[Sexo]:[Sexo]]=$B44,IF(DATOS_[[AGRUP. VALOR. PTO.]:[AGRUP. VALOR. PTO.]]=$B42,IF(DATOS_[[Check Periodo Ref.]:[Check Periodo Ref.]]="Dentro",IF(DATOS_[[Check Equiparado]:[Check Equiparado]]="Sí",IF(DATOS!BD$5="Sí",(1/DATOS_[[% anualiz]:[% anualiz]]),1)*IF(DATOS!BD$4="Sí",1/DATOS_[[% normaliz]:[% normaliz]],1)*(DATOS_[Conc.Sal.26])))))))),
0)</f>
        <v>0</v>
      </c>
      <c r="AJ44" s="196">
        <f t="array" ref="AJ44">IFERROR(
(AVERAGE((IF(DATOS_[[Sexo]:[Sexo]]=$B44,IF(DATOS_[[AGRUP. VALOR. PTO.]:[AGRUP. VALOR. PTO.]]=$B42,IF(DATOS_[[Check Periodo Ref.]:[Check Periodo Ref.]]="Dentro",IF(DATOS_[[Check Equiparado]:[Check Equiparado]]="Sí",IF(DATOS!BE$5="Sí",(1/DATOS_[[% anualiz]:[% anualiz]]),1)*IF(DATOS!BE$4="Sí",1/DATOS_[[% normaliz]:[% normaliz]],1)*(DATOS_[Conc.Sal.27])))))))),
0)</f>
        <v>0</v>
      </c>
      <c r="AK44" s="196">
        <f t="array" ref="AK44">IFERROR(
(AVERAGE((IF(DATOS_[[Sexo]:[Sexo]]=$B44,IF(DATOS_[[AGRUP. VALOR. PTO.]:[AGRUP. VALOR. PTO.]]=$B42,IF(DATOS_[[Check Periodo Ref.]:[Check Periodo Ref.]]="Dentro",IF(DATOS_[[Check Equiparado]:[Check Equiparado]]="Sí",IF(DATOS!BF$5="Sí",(1/DATOS_[[% anualiz]:[% anualiz]]),1)*IF(DATOS!BF$4="Sí",1/DATOS_[[% normaliz]:[% normaliz]],1)*(DATOS_[Conc.Sal.28])))))))),
0)</f>
        <v>0</v>
      </c>
      <c r="AL44" s="196">
        <f t="array" ref="AL44">IFERROR(
(AVERAGE((IF(DATOS_[[Sexo]:[Sexo]]=$B44,IF(DATOS_[[AGRUP. VALOR. PTO.]:[AGRUP. VALOR. PTO.]]=$B42,IF(DATOS_[[Check Periodo Ref.]:[Check Periodo Ref.]]="Dentro",IF(DATOS_[[Check Equiparado]:[Check Equiparado]]="Sí",IF(DATOS!BG$5="Sí",(1/DATOS_[[% anualiz]:[% anualiz]]),1)*IF(DATOS!BG$4="Sí",1/DATOS_[[% normaliz]:[% normaliz]],1)*(DATOS_[Conc.Sal.29])))))))),
0)</f>
        <v>0</v>
      </c>
      <c r="AM44" s="196">
        <f t="array" ref="AM44">IFERROR(
(AVERAGE((IF(DATOS_[[Sexo]:[Sexo]]=$B44,IF(DATOS_[[AGRUP. VALOR. PTO.]:[AGRUP. VALOR. PTO.]]=$B42,IF(DATOS_[[Check Periodo Ref.]:[Check Periodo Ref.]]="Dentro",IF(DATOS_[[Check Equiparado]:[Check Equiparado]]="Sí",IF(DATOS!BH$5="Sí",(1/DATOS_[[% anualiz]:[% anualiz]]),1)*IF(DATOS!BH$4="Sí",1/DATOS_[[% normaliz]:[% normaliz]],1)*(DATOS_[Conc.Sal.30])))))))),
0)</f>
        <v>0</v>
      </c>
      <c r="AN44" s="195">
        <f t="array" ref="AN44">IFERROR(
AVERAGE(IF(DATOS_[Sexo]=$B44,IF(DATOS_[[AGRUP. VALOR. PTO.]:[AGRUP. VALOR. PTO.]]=$B42,IF(DATOS_[Check Equiparado]="Sí",IF(DATOS_[Check Periodo Ref.]="Dentro",DATOS_[Tot COMPL.SAL Eq],FALSE))))),
0)</f>
        <v>0</v>
      </c>
      <c r="AO44" s="172">
        <f t="array" ref="AO44">IFERROR(
AVERAGE(IF(DATOS_[Sexo]=$B44,IF(DATOS_[[AGRUP. VALOR. PTO.]:[AGRUP. VALOR. PTO.]]=$B42,IF(DATOS_[Check Equiparado]="Sí",IF(DATOS_[Check Periodo Ref.]="Dentro",DATOS_[TOTAL SALARIO Eq],FALSE))))),
0)</f>
        <v>0</v>
      </c>
      <c r="AP44" s="173">
        <f t="array" ref="AP44">IFERROR(
(AVERAGE((IF(DATOS_[[Sexo]:[Sexo]]=$B44,IF(DATOS_[[AGRUP. VALOR. PTO.]:[AGRUP. VALOR. PTO.]]=$B42,IF(DATOS_[[Check Periodo Ref.]:[Check Periodo Ref.]]="Dentro",IF(DATOS_[[Check Equiparado]:[Check Equiparado]]="Sí",IF(DATOS!BW$5="Sí",(1/DATOS_[[% anualiz]:[% anualiz]]),1)*IF(DATOS!BW$4="Sí",1/DATOS_[[% normaliz]:[% normaliz]],1)*(DATOS_[C.Extra.01])))))))),
0)</f>
        <v>0</v>
      </c>
      <c r="AQ44" s="173">
        <f t="array" ref="AQ44">IFERROR(
(AVERAGE((IF(DATOS_[[Sexo]:[Sexo]]=$B44,IF(DATOS_[[AGRUP. VALOR. PTO.]:[AGRUP. VALOR. PTO.]]=$B42,IF(DATOS_[[Check Periodo Ref.]:[Check Periodo Ref.]]="Dentro",IF(DATOS_[[Check Equiparado]:[Check Equiparado]]="Sí",IF(DATOS!CB$5="Sí",(1/DATOS_[[% anualiz]:[% anualiz]]),1)*IF(DATOS!CB$4="Sí",1/DATOS_[[% normaliz]:[% normaliz]],1)*(DATOS_[C.Extra.06])))))))),
0)</f>
        <v>0</v>
      </c>
      <c r="AR44" s="173">
        <f t="array" ref="AR44">IFERROR(
(AVERAGE((IF(DATOS_[[Sexo]:[Sexo]]=$B44,IF(DATOS_[[AGRUP. VALOR. PTO.]:[AGRUP. VALOR. PTO.]]=$B42,IF(DATOS_[[Check Periodo Ref.]:[Check Periodo Ref.]]="Dentro",IF(DATOS_[[Check Equiparado]:[Check Equiparado]]="Sí",IF(DATOS!CC$5="Sí",(1/DATOS_[[% anualiz]:[% anualiz]]),1)*IF(DATOS!CC$4="Sí",1/DATOS_[[% normaliz]:[% normaliz]],1)*(DATOS_[C.Extra.07])))))))),
0)</f>
        <v>0</v>
      </c>
      <c r="AS44" s="173">
        <f t="array" ref="AS44">IFERROR(
(AVERAGE((IF(DATOS_[[Sexo]:[Sexo]]=$B44,IF(DATOS_[[AGRUP. VALOR. PTO.]:[AGRUP. VALOR. PTO.]]=$B42,IF(DATOS_[[Check Periodo Ref.]:[Check Periodo Ref.]]="Dentro",IF(DATOS_[[Check Equiparado]:[Check Equiparado]]="Sí",IF(DATOS!CD$5="Sí",(1/DATOS_[[% anualiz]:[% anualiz]]),1)*IF(DATOS!CD$4="Sí",1/DATOS_[[% normaliz]:[% normaliz]],1)*(DATOS_[C.Extra.08])))))))),
0)</f>
        <v>0</v>
      </c>
      <c r="AT44" s="173">
        <f t="array" ref="AT44">IFERROR(
(AVERAGE((IF(DATOS_[[Sexo]:[Sexo]]=$B44,IF(DATOS_[[AGRUP. VALOR. PTO.]:[AGRUP. VALOR. PTO.]]=$B42,IF(DATOS_[[Check Periodo Ref.]:[Check Periodo Ref.]]="Dentro",IF(DATOS_[[Check Equiparado]:[Check Equiparado]]="Sí",IF(DATOS!CG$5="Sí",(1/DATOS_[[% anualiz]:[% anualiz]]),1)*IF(DATOS!CG$4="Sí",1/DATOS_[[% normaliz]:[% normaliz]],1)*(DATOS_[C.Extra.11])))))))),
0)</f>
        <v>0</v>
      </c>
      <c r="AU44" s="197">
        <f t="array" ref="AU44">IFERROR(
AVERAGE(IF(DATOS_[Sexo]=$B44,IF(DATOS_[[AGRUP. VALOR. PTO.]:[AGRUP. VALOR. PTO.]]=$B42,IF(DATOS_[Check Equiparado]="Sí",IF(DATOS_[Check Periodo Ref.]="Dentro",DATOS_[Tot Extrasalarial Eq],FALSE))))),
0)</f>
        <v>0</v>
      </c>
      <c r="AV44" s="175">
        <f t="array" ref="AV44">IFERROR(
AVERAGE(IF(DATOS_[Sexo]=$B44,IF(DATOS_[[AGRUP. VALOR. PTO.]:[AGRUP. VALOR. PTO.]]=$B42,IF(DATOS_[Check Equiparado]="Sí",IF(DATOS_[Check Periodo Ref.]="Dentro",DATOS_[TOTAL Retrib Eq],FALSE))))),
0)</f>
        <v>0</v>
      </c>
    </row>
    <row r="45" spans="1:48" ht="15.6" thickBot="1" x14ac:dyDescent="0.3">
      <c r="A45" s="133" t="str">
        <f t="shared" ref="A45" si="43">+A46</f>
        <v>[ocultar]</v>
      </c>
      <c r="B45" s="199" t="s">
        <v>218</v>
      </c>
      <c r="C45" s="200"/>
      <c r="D45" s="201"/>
      <c r="E45" s="201"/>
      <c r="F45" s="201"/>
      <c r="G45" s="201"/>
      <c r="H45" s="201"/>
      <c r="I45" s="189" t="str">
        <f t="shared" ref="I45:AV45" si="44">IFERROR((I46-I47)/I46,"")</f>
        <v/>
      </c>
      <c r="J45" s="190" t="str">
        <f t="shared" si="44"/>
        <v/>
      </c>
      <c r="K45" s="191" t="str">
        <f t="shared" si="44"/>
        <v/>
      </c>
      <c r="L45" s="191" t="str">
        <f t="shared" si="44"/>
        <v/>
      </c>
      <c r="M45" s="191" t="str">
        <f t="shared" si="44"/>
        <v/>
      </c>
      <c r="N45" s="192" t="str">
        <f t="shared" si="44"/>
        <v/>
      </c>
      <c r="O45" s="193" t="str">
        <f t="shared" si="44"/>
        <v/>
      </c>
      <c r="P45" s="193" t="str">
        <f t="shared" si="44"/>
        <v/>
      </c>
      <c r="Q45" s="193" t="str">
        <f t="shared" si="44"/>
        <v/>
      </c>
      <c r="R45" s="193" t="str">
        <f t="shared" si="44"/>
        <v/>
      </c>
      <c r="S45" s="193" t="str">
        <f t="shared" si="44"/>
        <v/>
      </c>
      <c r="T45" s="193" t="str">
        <f t="shared" si="44"/>
        <v/>
      </c>
      <c r="U45" s="193" t="str">
        <f t="shared" si="44"/>
        <v/>
      </c>
      <c r="V45" s="193" t="str">
        <f t="shared" si="44"/>
        <v/>
      </c>
      <c r="W45" s="193" t="str">
        <f t="shared" si="44"/>
        <v/>
      </c>
      <c r="X45" s="193" t="str">
        <f t="shared" si="44"/>
        <v/>
      </c>
      <c r="Y45" s="193" t="str">
        <f t="shared" si="44"/>
        <v/>
      </c>
      <c r="Z45" s="193" t="str">
        <f t="shared" si="44"/>
        <v/>
      </c>
      <c r="AA45" s="193" t="str">
        <f t="shared" si="44"/>
        <v/>
      </c>
      <c r="AB45" s="193" t="str">
        <f t="shared" si="44"/>
        <v/>
      </c>
      <c r="AC45" s="193" t="str">
        <f t="shared" si="44"/>
        <v/>
      </c>
      <c r="AD45" s="193" t="str">
        <f t="shared" si="44"/>
        <v/>
      </c>
      <c r="AE45" s="193" t="str">
        <f t="shared" si="44"/>
        <v/>
      </c>
      <c r="AF45" s="193" t="str">
        <f t="shared" si="44"/>
        <v/>
      </c>
      <c r="AG45" s="193" t="str">
        <f t="shared" si="44"/>
        <v/>
      </c>
      <c r="AH45" s="193" t="str">
        <f t="shared" si="44"/>
        <v/>
      </c>
      <c r="AI45" s="193" t="str">
        <f t="shared" si="44"/>
        <v/>
      </c>
      <c r="AJ45" s="193" t="str">
        <f t="shared" si="44"/>
        <v/>
      </c>
      <c r="AK45" s="193" t="str">
        <f t="shared" si="44"/>
        <v/>
      </c>
      <c r="AL45" s="193" t="str">
        <f t="shared" si="44"/>
        <v/>
      </c>
      <c r="AM45" s="193" t="str">
        <f t="shared" si="44"/>
        <v/>
      </c>
      <c r="AN45" s="189" t="str">
        <f t="shared" si="44"/>
        <v/>
      </c>
      <c r="AO45" s="162" t="str">
        <f t="shared" si="44"/>
        <v/>
      </c>
      <c r="AP45" s="163" t="str">
        <f t="shared" si="44"/>
        <v/>
      </c>
      <c r="AQ45" s="163" t="str">
        <f t="shared" si="44"/>
        <v/>
      </c>
      <c r="AR45" s="163" t="str">
        <f t="shared" si="44"/>
        <v/>
      </c>
      <c r="AS45" s="163" t="str">
        <f t="shared" si="44"/>
        <v/>
      </c>
      <c r="AT45" s="163" t="str">
        <f t="shared" si="44"/>
        <v/>
      </c>
      <c r="AU45" s="194" t="str">
        <f t="shared" si="44"/>
        <v/>
      </c>
      <c r="AV45" s="165" t="str">
        <f t="shared" si="44"/>
        <v/>
      </c>
    </row>
    <row r="46" spans="1:48" x14ac:dyDescent="0.25">
      <c r="A46" s="133" t="str">
        <f t="shared" ref="A46" si="45">+IF(C46+C47=0,"[ocultar]","")</f>
        <v>[ocultar]</v>
      </c>
      <c r="B46" s="202" t="s">
        <v>394</v>
      </c>
      <c r="C46" s="203">
        <f t="array" ref="C46">SUM(IF($B46=DATOS_[Sexo],
IF($B45=DATOS_[AGRUP. VALOR. PTO.],
IF("Dentro"=DATOS_[Check Periodo Ref.],
1/(COUNTIFS(DATOS_[Sexo],$B46,DATOS_[AGRUP. VALOR. PTO.],$B45,DATOS_[Check Periodo Ref.],"Dentro",DATOS_[id/cod],DATOS_[id/cod]))))))</f>
        <v>0</v>
      </c>
      <c r="D46" s="204">
        <f>COUNTIFS(DATOS_[AGRUP. VALOR. PTO.],$B45,DATOS_[Sexo],$B46,DATOS_[Check Periodo Ref.],"Dentro")</f>
        <v>0</v>
      </c>
      <c r="E46" s="204">
        <f>COUNTIFS(DATOS_[AGRUP. VALOR. PTO.],$B45,DATOS_[Sexo],$B46,DATOS_[Check Periodo Ref.],"Dentro",DATOS_[Check Nº SC Norm],"Sí")</f>
        <v>0</v>
      </c>
      <c r="F46" s="204">
        <f>COUNTIFS(DATOS_[AGRUP. VALOR. PTO.],$B45,DATOS_[Sexo],$B46,DATOS_[Check Periodo Ref.],"Dentro",DATOS_[Check Nº SC Anualiz],"Sí")</f>
        <v>0</v>
      </c>
      <c r="G46" s="204">
        <f>COUNTIFS(DATOS_[AGRUP. VALOR. PTO.],$B45,DATOS_[Sexo],$B46,DATOS_[Check Periodo Ref.],"Dentro",DATOS_[Check Nº SC Norm y Anualiz],"Sí")</f>
        <v>0</v>
      </c>
      <c r="H46" s="204">
        <f>COUNTIFS(DATOS_[AGRUP. VALOR. PTO.],$B45,DATOS_[Sexo],$B46,DATOS_[Check Periodo Ref.],"Dentro",DATOS_[Check Equiparación],"Sí")</f>
        <v>0</v>
      </c>
      <c r="I46" s="195">
        <f t="array" ref="I46">IFERROR(
AVERAGE(IF(DATOS_[Sexo]=$B46,IF(DATOS_[[AGRUP. VALOR. PTO.]:[AGRUP. VALOR. PTO.]]=$B45,IF(DATOS_[Check Equiparado]="Sí",IF(DATOS_[Check Periodo Ref.]="Dentro",DATOS_[SALARIO BASE Eq],FALSE))))),
0)</f>
        <v>0</v>
      </c>
      <c r="J46" s="196">
        <f t="array" ref="J46">IFERROR(
(AVERAGE((IF(DATOS_[[Sexo]:[Sexo]]=$B46,IF(DATOS_[[AGRUP. VALOR. PTO.]:[AGRUP. VALOR. PTO.]]=$B45,IF(DATOS_[[Check Periodo Ref.]:[Check Periodo Ref.]]="Dentro",IF(DATOS_[[Check Equiparado]:[Check Equiparado]]="Sí",IF(DATOS!AE$5="Sí",(1/DATOS_[[% anualiz]:[% anualiz]]),1)*IF(DATOS!AE$4="Sí",1/DATOS_[[% normaliz]:[% normaliz]],1)*(DATOS_[Conc.Sal.01])))))))),
0)</f>
        <v>0</v>
      </c>
      <c r="K46" s="196">
        <f t="array" ref="K46">IFERROR(
(AVERAGE((IF(DATOS_[[Sexo]:[Sexo]]=$B46,IF(DATOS_[[AGRUP. VALOR. PTO.]:[AGRUP. VALOR. PTO.]]=$B45,IF(DATOS_[[Check Periodo Ref.]:[Check Periodo Ref.]]="Dentro",IF(DATOS_[[Check Equiparado]:[Check Equiparado]]="Sí",IF(DATOS!AF$5="Sí",(1/DATOS_[[% anualiz]:[% anualiz]]),1)*IF(DATOS!AF$4="Sí",1/DATOS_[[% normaliz]:[% normaliz]],1)*(DATOS_[Conc.Sal.02])))))))),
0)</f>
        <v>0</v>
      </c>
      <c r="L46" s="196">
        <f t="array" ref="L46">IFERROR(
(AVERAGE((IF(DATOS_[[Sexo]:[Sexo]]=$B46,IF(DATOS_[[AGRUP. VALOR. PTO.]:[AGRUP. VALOR. PTO.]]=$B45,IF(DATOS_[[Check Periodo Ref.]:[Check Periodo Ref.]]="Dentro",IF(DATOS_[[Check Equiparado]:[Check Equiparado]]="Sí",IF(DATOS!AG$5="Sí",(1/DATOS_[[% anualiz]:[% anualiz]]),1)*IF(DATOS!AG$4="Sí",1/DATOS_[[% normaliz]:[% normaliz]],1)*(DATOS_[Conc.Sal.03])))))))),
0)</f>
        <v>0</v>
      </c>
      <c r="M46" s="196">
        <f t="array" ref="M46">IFERROR(
(AVERAGE((IF(DATOS_[[Sexo]:[Sexo]]=$B46,IF(DATOS_[[AGRUP. VALOR. PTO.]:[AGRUP. VALOR. PTO.]]=$B45,IF(DATOS_[[Check Periodo Ref.]:[Check Periodo Ref.]]="Dentro",IF(DATOS_[[Check Equiparado]:[Check Equiparado]]="Sí",IF(DATOS!AH$5="Sí",(1/DATOS_[[% anualiz]:[% anualiz]]),1)*IF(DATOS!AH$4="Sí",1/DATOS_[[% normaliz]:[% normaliz]],1)*(DATOS_[Conc.Sal.04])))))))),
0)</f>
        <v>0</v>
      </c>
      <c r="N46" s="196">
        <f t="array" ref="N46">IFERROR(
(AVERAGE((IF(DATOS_[[Sexo]:[Sexo]]=$B46,IF(DATOS_[[AGRUP. VALOR. PTO.]:[AGRUP. VALOR. PTO.]]=$B45,IF(DATOS_[[Check Periodo Ref.]:[Check Periodo Ref.]]="Dentro",IF(DATOS_[[Check Equiparado]:[Check Equiparado]]="Sí",IF(DATOS!AI$5="Sí",(1/DATOS_[[% anualiz]:[% anualiz]]),1)*IF(DATOS!AI$4="Sí",1/DATOS_[[% normaliz]:[% normaliz]],1)*(DATOS_[Conc.Sal.05])))))))),
0)</f>
        <v>0</v>
      </c>
      <c r="O46" s="196">
        <f t="array" ref="O46">IFERROR(
(AVERAGE((IF(DATOS_[[Sexo]:[Sexo]]=$B46,IF(DATOS_[[AGRUP. VALOR. PTO.]:[AGRUP. VALOR. PTO.]]=$B45,IF(DATOS_[[Check Periodo Ref.]:[Check Periodo Ref.]]="Dentro",IF(DATOS_[[Check Equiparado]:[Check Equiparado]]="Sí",IF(DATOS!AJ$5="Sí",(1/DATOS_[[% anualiz]:[% anualiz]]),1)*IF(DATOS!AJ$4="Sí",1/DATOS_[[% normaliz]:[% normaliz]],1)*(DATOS_[Conc.Sal.06])))))))),
0)</f>
        <v>0</v>
      </c>
      <c r="P46" s="196">
        <f t="array" ref="P46">IFERROR(
(AVERAGE((IF(DATOS_[[Sexo]:[Sexo]]=$B46,IF(DATOS_[[AGRUP. VALOR. PTO.]:[AGRUP. VALOR. PTO.]]=$B45,IF(DATOS_[[Check Periodo Ref.]:[Check Periodo Ref.]]="Dentro",IF(DATOS_[[Check Equiparado]:[Check Equiparado]]="Sí",IF(DATOS!AK$5="Sí",(1/DATOS_[[% anualiz]:[% anualiz]]),1)*IF(DATOS!AK$4="Sí",1/DATOS_[[% normaliz]:[% normaliz]],1)*(DATOS_[Conc.Sal.07])))))))),
0)</f>
        <v>0</v>
      </c>
      <c r="Q46" s="196">
        <f t="array" ref="Q46">IFERROR(
(AVERAGE((IF(DATOS_[[Sexo]:[Sexo]]=$B46,IF(DATOS_[[AGRUP. VALOR. PTO.]:[AGRUP. VALOR. PTO.]]=$B45,IF(DATOS_[[Check Periodo Ref.]:[Check Periodo Ref.]]="Dentro",IF(DATOS_[[Check Equiparado]:[Check Equiparado]]="Sí",IF(DATOS!AL$5="Sí",(1/DATOS_[[% anualiz]:[% anualiz]]),1)*IF(DATOS!AL$4="Sí",1/DATOS_[[% normaliz]:[% normaliz]],1)*(DATOS_[Conc.Sal.08])))))))),
0)</f>
        <v>0</v>
      </c>
      <c r="R46" s="196">
        <f t="array" ref="R46">IFERROR(
(AVERAGE((IF(DATOS_[[Sexo]:[Sexo]]=$B46,IF(DATOS_[[AGRUP. VALOR. PTO.]:[AGRUP. VALOR. PTO.]]=$B45,IF(DATOS_[[Check Periodo Ref.]:[Check Periodo Ref.]]="Dentro",IF(DATOS_[[Check Equiparado]:[Check Equiparado]]="Sí",IF(DATOS!AM$5="Sí",(1/DATOS_[[% anualiz]:[% anualiz]]),1)*IF(DATOS!AM$4="Sí",1/DATOS_[[% normaliz]:[% normaliz]],1)*(DATOS_[Conc.Sal.09])))))))),
0)</f>
        <v>0</v>
      </c>
      <c r="S46" s="196">
        <f t="array" ref="S46">IFERROR(
(AVERAGE((IF(DATOS_[[Sexo]:[Sexo]]=$B46,IF(DATOS_[[AGRUP. VALOR. PTO.]:[AGRUP. VALOR. PTO.]]=$B45,IF(DATOS_[[Check Periodo Ref.]:[Check Periodo Ref.]]="Dentro",IF(DATOS_[[Check Equiparado]:[Check Equiparado]]="Sí",IF(DATOS!AN$5="Sí",(1/DATOS_[[% anualiz]:[% anualiz]]),1)*IF(DATOS!AN$4="Sí",1/DATOS_[[% normaliz]:[% normaliz]],1)*(DATOS_[Conc.Sal.10])))))))),
0)</f>
        <v>0</v>
      </c>
      <c r="T46" s="196">
        <f t="array" ref="T46">IFERROR(
(AVERAGE((IF(DATOS_[[Sexo]:[Sexo]]=$B46,IF(DATOS_[[AGRUP. VALOR. PTO.]:[AGRUP. VALOR. PTO.]]=$B45,IF(DATOS_[[Check Periodo Ref.]:[Check Periodo Ref.]]="Dentro",IF(DATOS_[[Check Equiparado]:[Check Equiparado]]="Sí",IF(DATOS!AO$5="Sí",(1/DATOS_[[% anualiz]:[% anualiz]]),1)*IF(DATOS!AO$4="Sí",1/DATOS_[[% normaliz]:[% normaliz]],1)*(DATOS_[Conc.Sal.11])))))))),
0)</f>
        <v>0</v>
      </c>
      <c r="U46" s="196">
        <f t="array" ref="U46">IFERROR(
(AVERAGE((IF(DATOS_[[Sexo]:[Sexo]]=$B46,IF(DATOS_[[AGRUP. VALOR. PTO.]:[AGRUP. VALOR. PTO.]]=$B45,IF(DATOS_[[Check Periodo Ref.]:[Check Periodo Ref.]]="Dentro",IF(DATOS_[[Check Equiparado]:[Check Equiparado]]="Sí",IF(DATOS!AP$5="Sí",(1/DATOS_[[% anualiz]:[% anualiz]]),1)*IF(DATOS!AP$4="Sí",1/DATOS_[[% normaliz]:[% normaliz]],1)*(DATOS_[Conc.Sal.12])))))))),
0)</f>
        <v>0</v>
      </c>
      <c r="V46" s="196">
        <f t="array" ref="V46">IFERROR(
(AVERAGE((IF(DATOS_[[Sexo]:[Sexo]]=$B46,IF(DATOS_[[AGRUP. VALOR. PTO.]:[AGRUP. VALOR. PTO.]]=$B45,IF(DATOS_[[Check Periodo Ref.]:[Check Periodo Ref.]]="Dentro",IF(DATOS_[[Check Equiparado]:[Check Equiparado]]="Sí",IF(DATOS!AQ$5="Sí",(1/DATOS_[[% anualiz]:[% anualiz]]),1)*IF(DATOS!AQ$4="Sí",1/DATOS_[[% normaliz]:[% normaliz]],1)*(DATOS_[Conc.Sal.13])))))))),
0)</f>
        <v>0</v>
      </c>
      <c r="W46" s="196">
        <f t="array" ref="W46">IFERROR(
(AVERAGE((IF(DATOS_[[Sexo]:[Sexo]]=$B46,IF(DATOS_[[AGRUP. VALOR. PTO.]:[AGRUP. VALOR. PTO.]]=$B45,IF(DATOS_[[Check Periodo Ref.]:[Check Periodo Ref.]]="Dentro",IF(DATOS_[[Check Equiparado]:[Check Equiparado]]="Sí",IF(DATOS!AR$5="Sí",(1/DATOS_[[% anualiz]:[% anualiz]]),1)*IF(DATOS!AR$4="Sí",1/DATOS_[[% normaliz]:[% normaliz]],1)*(DATOS_[Conc.Sal.14])))))))),
0)</f>
        <v>0</v>
      </c>
      <c r="X46" s="196">
        <f t="array" ref="X46">IFERROR(
(AVERAGE((IF(DATOS_[[Sexo]:[Sexo]]=$B46,IF(DATOS_[[AGRUP. VALOR. PTO.]:[AGRUP. VALOR. PTO.]]=$B45,IF(DATOS_[[Check Periodo Ref.]:[Check Periodo Ref.]]="Dentro",IF(DATOS_[[Check Equiparado]:[Check Equiparado]]="Sí",IF(DATOS!AS$5="Sí",(1/DATOS_[[% anualiz]:[% anualiz]]),1)*IF(DATOS!AS$4="Sí",1/DATOS_[[% normaliz]:[% normaliz]],1)*(DATOS_[Conc.Sal.15])))))))),
0)</f>
        <v>0</v>
      </c>
      <c r="Y46" s="196">
        <f t="array" ref="Y46">IFERROR(
(AVERAGE((IF(DATOS_[[Sexo]:[Sexo]]=$B46,IF(DATOS_[[AGRUP. VALOR. PTO.]:[AGRUP. VALOR. PTO.]]=$B45,IF(DATOS_[[Check Periodo Ref.]:[Check Periodo Ref.]]="Dentro",IF(DATOS_[[Check Equiparado]:[Check Equiparado]]="Sí",IF(DATOS!AT$5="Sí",(1/DATOS_[[% anualiz]:[% anualiz]]),1)*IF(DATOS!AT$4="Sí",1/DATOS_[[% normaliz]:[% normaliz]],1)*(DATOS_[Conc.Sal.16])))))))),
0)</f>
        <v>0</v>
      </c>
      <c r="Z46" s="196">
        <f t="array" ref="Z46">IFERROR(
(AVERAGE((IF(DATOS_[[Sexo]:[Sexo]]=$B46,IF(DATOS_[[AGRUP. VALOR. PTO.]:[AGRUP. VALOR. PTO.]]=$B45,IF(DATOS_[[Check Periodo Ref.]:[Check Periodo Ref.]]="Dentro",IF(DATOS_[[Check Equiparado]:[Check Equiparado]]="Sí",IF(DATOS!AU$5="Sí",(1/DATOS_[[% anualiz]:[% anualiz]]),1)*IF(DATOS!AU$4="Sí",1/DATOS_[[% normaliz]:[% normaliz]],1)*(DATOS_[Conc.Sal.17])))))))),
0)</f>
        <v>0</v>
      </c>
      <c r="AA46" s="196">
        <f t="array" ref="AA46">IFERROR(
(AVERAGE((IF(DATOS_[[Sexo]:[Sexo]]=$B46,IF(DATOS_[[AGRUP. VALOR. PTO.]:[AGRUP. VALOR. PTO.]]=$B45,IF(DATOS_[[Check Periodo Ref.]:[Check Periodo Ref.]]="Dentro",IF(DATOS_[[Check Equiparado]:[Check Equiparado]]="Sí",IF(DATOS!AV$5="Sí",(1/DATOS_[[% anualiz]:[% anualiz]]),1)*IF(DATOS!AV$4="Sí",1/DATOS_[[% normaliz]:[% normaliz]],1)*(DATOS_[Conc.Sal.18])))))))),
0)</f>
        <v>0</v>
      </c>
      <c r="AB46" s="196">
        <f t="array" ref="AB46">IFERROR(
(AVERAGE((IF(DATOS_[[Sexo]:[Sexo]]=$B46,IF(DATOS_[[AGRUP. VALOR. PTO.]:[AGRUP. VALOR. PTO.]]=$B45,IF(DATOS_[[Check Periodo Ref.]:[Check Periodo Ref.]]="Dentro",IF(DATOS_[[Check Equiparado]:[Check Equiparado]]="Sí",IF(DATOS!AW$5="Sí",(1/DATOS_[[% anualiz]:[% anualiz]]),1)*IF(DATOS!AW$4="Sí",1/DATOS_[[% normaliz]:[% normaliz]],1)*(DATOS_[Conc.Sal.19])))))))),
0)</f>
        <v>0</v>
      </c>
      <c r="AC46" s="196">
        <f t="array" ref="AC46">IFERROR(
(AVERAGE((IF(DATOS_[[Sexo]:[Sexo]]=$B46,IF(DATOS_[[AGRUP. VALOR. PTO.]:[AGRUP. VALOR. PTO.]]=$B45,IF(DATOS_[[Check Periodo Ref.]:[Check Periodo Ref.]]="Dentro",IF(DATOS_[[Check Equiparado]:[Check Equiparado]]="Sí",IF(DATOS!AX$5="Sí",(1/DATOS_[[% anualiz]:[% anualiz]]),1)*IF(DATOS!AX$4="Sí",1/DATOS_[[% normaliz]:[% normaliz]],1)*(DATOS_[Conc.Sal.20])))))))),
0)</f>
        <v>0</v>
      </c>
      <c r="AD46" s="196">
        <f t="array" ref="AD46">IFERROR(
(AVERAGE((IF(DATOS_[[Sexo]:[Sexo]]=$B46,IF(DATOS_[[AGRUP. VALOR. PTO.]:[AGRUP. VALOR. PTO.]]=$B45,IF(DATOS_[[Check Periodo Ref.]:[Check Periodo Ref.]]="Dentro",IF(DATOS_[[Check Equiparado]:[Check Equiparado]]="Sí",IF(DATOS!AY$5="Sí",(1/DATOS_[[% anualiz]:[% anualiz]]),1)*IF(DATOS!AY$4="Sí",1/DATOS_[[% normaliz]:[% normaliz]],1)*(DATOS_[Conc.Sal.21])))))))),
0)</f>
        <v>0</v>
      </c>
      <c r="AE46" s="196">
        <f t="array" ref="AE46">IFERROR(
(AVERAGE((IF(DATOS_[[Sexo]:[Sexo]]=$B46,IF(DATOS_[[AGRUP. VALOR. PTO.]:[AGRUP. VALOR. PTO.]]=$B45,IF(DATOS_[[Check Periodo Ref.]:[Check Periodo Ref.]]="Dentro",IF(DATOS_[[Check Equiparado]:[Check Equiparado]]="Sí",IF(DATOS!AZ$5="Sí",(1/DATOS_[[% anualiz]:[% anualiz]]),1)*IF(DATOS!AZ$4="Sí",1/DATOS_[[% normaliz]:[% normaliz]],1)*(DATOS_[Conc.Sal.22])))))))),
0)</f>
        <v>0</v>
      </c>
      <c r="AF46" s="196">
        <f t="array" ref="AF46">IFERROR(
(AVERAGE((IF(DATOS_[[Sexo]:[Sexo]]=$B46,IF(DATOS_[[AGRUP. VALOR. PTO.]:[AGRUP. VALOR. PTO.]]=$B45,IF(DATOS_[[Check Periodo Ref.]:[Check Periodo Ref.]]="Dentro",IF(DATOS_[[Check Equiparado]:[Check Equiparado]]="Sí",IF(DATOS!BA$5="Sí",(1/DATOS_[[% anualiz]:[% anualiz]]),1)*IF(DATOS!BA$4="Sí",1/DATOS_[[% normaliz]:[% normaliz]],1)*(DATOS_[Conc.Sal.23])))))))),
0)</f>
        <v>0</v>
      </c>
      <c r="AG46" s="196">
        <f t="array" ref="AG46">IFERROR(
(AVERAGE((IF(DATOS_[[Sexo]:[Sexo]]=$B46,IF(DATOS_[[AGRUP. VALOR. PTO.]:[AGRUP. VALOR. PTO.]]=$B45,IF(DATOS_[[Check Periodo Ref.]:[Check Periodo Ref.]]="Dentro",IF(DATOS_[[Check Equiparado]:[Check Equiparado]]="Sí",IF(DATOS!BB$5="Sí",(1/DATOS_[[% anualiz]:[% anualiz]]),1)*IF(DATOS!BB$4="Sí",1/DATOS_[[% normaliz]:[% normaliz]],1)*(DATOS_[Conc.Sal.24])))))))),
0)</f>
        <v>0</v>
      </c>
      <c r="AH46" s="196">
        <f t="array" ref="AH46">IFERROR(
(AVERAGE((IF(DATOS_[[Sexo]:[Sexo]]=$B46,IF(DATOS_[[AGRUP. VALOR. PTO.]:[AGRUP. VALOR. PTO.]]=$B45,IF(DATOS_[[Check Periodo Ref.]:[Check Periodo Ref.]]="Dentro",IF(DATOS_[[Check Equiparado]:[Check Equiparado]]="Sí",IF(DATOS!BC$5="Sí",(1/DATOS_[[% anualiz]:[% anualiz]]),1)*IF(DATOS!BC$4="Sí",1/DATOS_[[% normaliz]:[% normaliz]],1)*(DATOS_[Conc.Sal.25])))))))),
0)</f>
        <v>0</v>
      </c>
      <c r="AI46" s="196">
        <f t="array" ref="AI46">IFERROR(
(AVERAGE((IF(DATOS_[[Sexo]:[Sexo]]=$B46,IF(DATOS_[[AGRUP. VALOR. PTO.]:[AGRUP. VALOR. PTO.]]=$B45,IF(DATOS_[[Check Periodo Ref.]:[Check Periodo Ref.]]="Dentro",IF(DATOS_[[Check Equiparado]:[Check Equiparado]]="Sí",IF(DATOS!BD$5="Sí",(1/DATOS_[[% anualiz]:[% anualiz]]),1)*IF(DATOS!BD$4="Sí",1/DATOS_[[% normaliz]:[% normaliz]],1)*(DATOS_[Conc.Sal.26])))))))),
0)</f>
        <v>0</v>
      </c>
      <c r="AJ46" s="196">
        <f t="array" ref="AJ46">IFERROR(
(AVERAGE((IF(DATOS_[[Sexo]:[Sexo]]=$B46,IF(DATOS_[[AGRUP. VALOR. PTO.]:[AGRUP. VALOR. PTO.]]=$B45,IF(DATOS_[[Check Periodo Ref.]:[Check Periodo Ref.]]="Dentro",IF(DATOS_[[Check Equiparado]:[Check Equiparado]]="Sí",IF(DATOS!BE$5="Sí",(1/DATOS_[[% anualiz]:[% anualiz]]),1)*IF(DATOS!BE$4="Sí",1/DATOS_[[% normaliz]:[% normaliz]],1)*(DATOS_[Conc.Sal.27])))))))),
0)</f>
        <v>0</v>
      </c>
      <c r="AK46" s="196">
        <f t="array" ref="AK46">IFERROR(
(AVERAGE((IF(DATOS_[[Sexo]:[Sexo]]=$B46,IF(DATOS_[[AGRUP. VALOR. PTO.]:[AGRUP. VALOR. PTO.]]=$B45,IF(DATOS_[[Check Periodo Ref.]:[Check Periodo Ref.]]="Dentro",IF(DATOS_[[Check Equiparado]:[Check Equiparado]]="Sí",IF(DATOS!BF$5="Sí",(1/DATOS_[[% anualiz]:[% anualiz]]),1)*IF(DATOS!BF$4="Sí",1/DATOS_[[% normaliz]:[% normaliz]],1)*(DATOS_[Conc.Sal.28])))))))),
0)</f>
        <v>0</v>
      </c>
      <c r="AL46" s="196">
        <f t="array" ref="AL46">IFERROR(
(AVERAGE((IF(DATOS_[[Sexo]:[Sexo]]=$B46,IF(DATOS_[[AGRUP. VALOR. PTO.]:[AGRUP. VALOR. PTO.]]=$B45,IF(DATOS_[[Check Periodo Ref.]:[Check Periodo Ref.]]="Dentro",IF(DATOS_[[Check Equiparado]:[Check Equiparado]]="Sí",IF(DATOS!BG$5="Sí",(1/DATOS_[[% anualiz]:[% anualiz]]),1)*IF(DATOS!BG$4="Sí",1/DATOS_[[% normaliz]:[% normaliz]],1)*(DATOS_[Conc.Sal.29])))))))),
0)</f>
        <v>0</v>
      </c>
      <c r="AM46" s="196">
        <f t="array" ref="AM46">IFERROR(
(AVERAGE((IF(DATOS_[[Sexo]:[Sexo]]=$B46,IF(DATOS_[[AGRUP. VALOR. PTO.]:[AGRUP. VALOR. PTO.]]=$B45,IF(DATOS_[[Check Periodo Ref.]:[Check Periodo Ref.]]="Dentro",IF(DATOS_[[Check Equiparado]:[Check Equiparado]]="Sí",IF(DATOS!BH$5="Sí",(1/DATOS_[[% anualiz]:[% anualiz]]),1)*IF(DATOS!BH$4="Sí",1/DATOS_[[% normaliz]:[% normaliz]],1)*(DATOS_[Conc.Sal.30])))))))),
0)</f>
        <v>0</v>
      </c>
      <c r="AN46" s="195">
        <f t="array" ref="AN46">IFERROR(
AVERAGE(IF(DATOS_[Sexo]=$B46,IF(DATOS_[[AGRUP. VALOR. PTO.]:[AGRUP. VALOR. PTO.]]=$B45,IF(DATOS_[Check Equiparado]="Sí",IF(DATOS_[Check Periodo Ref.]="Dentro",DATOS_[Tot COMPL.SAL Eq],FALSE))))),
0)</f>
        <v>0</v>
      </c>
      <c r="AO46" s="172">
        <f t="array" ref="AO46">IFERROR(
AVERAGE(IF(DATOS_[Sexo]=$B46,IF(DATOS_[[AGRUP. VALOR. PTO.]:[AGRUP. VALOR. PTO.]]=$B45,IF(DATOS_[Check Equiparado]="Sí",IF(DATOS_[Check Periodo Ref.]="Dentro",DATOS_[TOTAL SALARIO Eq],FALSE))))),
0)</f>
        <v>0</v>
      </c>
      <c r="AP46" s="173">
        <f t="array" ref="AP46">IFERROR(
(AVERAGE((IF(DATOS_[[Sexo]:[Sexo]]=$B46,IF(DATOS_[[AGRUP. VALOR. PTO.]:[AGRUP. VALOR. PTO.]]=$B45,IF(DATOS_[[Check Periodo Ref.]:[Check Periodo Ref.]]="Dentro",IF(DATOS_[[Check Equiparado]:[Check Equiparado]]="Sí",IF(DATOS!BW$5="Sí",(1/DATOS_[[% anualiz]:[% anualiz]]),1)*IF(DATOS!BW$4="Sí",1/DATOS_[[% normaliz]:[% normaliz]],1)*(DATOS_[C.Extra.01])))))))),
0)</f>
        <v>0</v>
      </c>
      <c r="AQ46" s="173">
        <f t="array" ref="AQ46">IFERROR(
(AVERAGE((IF(DATOS_[[Sexo]:[Sexo]]=$B46,IF(DATOS_[[AGRUP. VALOR. PTO.]:[AGRUP. VALOR. PTO.]]=$B45,IF(DATOS_[[Check Periodo Ref.]:[Check Periodo Ref.]]="Dentro",IF(DATOS_[[Check Equiparado]:[Check Equiparado]]="Sí",IF(DATOS!CB$5="Sí",(1/DATOS_[[% anualiz]:[% anualiz]]),1)*IF(DATOS!CB$4="Sí",1/DATOS_[[% normaliz]:[% normaliz]],1)*(DATOS_[C.Extra.06])))))))),
0)</f>
        <v>0</v>
      </c>
      <c r="AR46" s="173">
        <f t="array" ref="AR46">IFERROR(
(AVERAGE((IF(DATOS_[[Sexo]:[Sexo]]=$B46,IF(DATOS_[[AGRUP. VALOR. PTO.]:[AGRUP. VALOR. PTO.]]=$B45,IF(DATOS_[[Check Periodo Ref.]:[Check Periodo Ref.]]="Dentro",IF(DATOS_[[Check Equiparado]:[Check Equiparado]]="Sí",IF(DATOS!CC$5="Sí",(1/DATOS_[[% anualiz]:[% anualiz]]),1)*IF(DATOS!CC$4="Sí",1/DATOS_[[% normaliz]:[% normaliz]],1)*(DATOS_[C.Extra.07])))))))),
0)</f>
        <v>0</v>
      </c>
      <c r="AS46" s="173">
        <f t="array" ref="AS46">IFERROR(
(AVERAGE((IF(DATOS_[[Sexo]:[Sexo]]=$B46,IF(DATOS_[[AGRUP. VALOR. PTO.]:[AGRUP. VALOR. PTO.]]=$B45,IF(DATOS_[[Check Periodo Ref.]:[Check Periodo Ref.]]="Dentro",IF(DATOS_[[Check Equiparado]:[Check Equiparado]]="Sí",IF(DATOS!CD$5="Sí",(1/DATOS_[[% anualiz]:[% anualiz]]),1)*IF(DATOS!CD$4="Sí",1/DATOS_[[% normaliz]:[% normaliz]],1)*(DATOS_[C.Extra.08])))))))),
0)</f>
        <v>0</v>
      </c>
      <c r="AT46" s="173">
        <f t="array" ref="AT46">IFERROR(
(AVERAGE((IF(DATOS_[[Sexo]:[Sexo]]=$B46,IF(DATOS_[[AGRUP. VALOR. PTO.]:[AGRUP. VALOR. PTO.]]=$B45,IF(DATOS_[[Check Periodo Ref.]:[Check Periodo Ref.]]="Dentro",IF(DATOS_[[Check Equiparado]:[Check Equiparado]]="Sí",IF(DATOS!CG$5="Sí",(1/DATOS_[[% anualiz]:[% anualiz]]),1)*IF(DATOS!CG$4="Sí",1/DATOS_[[% normaliz]:[% normaliz]],1)*(DATOS_[C.Extra.11])))))))),
0)</f>
        <v>0</v>
      </c>
      <c r="AU46" s="197">
        <f t="array" ref="AU46">IFERROR(
AVERAGE(IF(DATOS_[Sexo]=$B46,IF(DATOS_[[AGRUP. VALOR. PTO.]:[AGRUP. VALOR. PTO.]]=$B45,IF(DATOS_[Check Equiparado]="Sí",IF(DATOS_[Check Periodo Ref.]="Dentro",DATOS_[Tot Extrasalarial Eq],FALSE))))),
0)</f>
        <v>0</v>
      </c>
      <c r="AV46" s="175">
        <f t="array" ref="AV46">IFERROR(
AVERAGE(IF(DATOS_[Sexo]=$B46,IF(DATOS_[[AGRUP. VALOR. PTO.]:[AGRUP. VALOR. PTO.]]=$B45,IF(DATOS_[Check Equiparado]="Sí",IF(DATOS_[Check Periodo Ref.]="Dentro",DATOS_[TOTAL Retrib Eq],FALSE))))),
0)</f>
        <v>0</v>
      </c>
    </row>
    <row r="47" spans="1:48" x14ac:dyDescent="0.25">
      <c r="A47" s="133" t="str">
        <f t="shared" ref="A47" si="46">+A46</f>
        <v>[ocultar]</v>
      </c>
      <c r="B47" s="202" t="s">
        <v>521</v>
      </c>
      <c r="C47" s="203">
        <f t="array" ref="C47">SUM(IF($B47=DATOS_[Sexo],
IF($B45=DATOS_[AGRUP. VALOR. PTO.],
IF("Dentro"=DATOS_[Check Periodo Ref.],
1/(COUNTIFS(DATOS_[Sexo],$B47,DATOS_[AGRUP. VALOR. PTO.],$B45,DATOS_[Check Periodo Ref.],"Dentro",DATOS_[id/cod],DATOS_[id/cod]))))))</f>
        <v>0</v>
      </c>
      <c r="D47" s="204">
        <f>COUNTIFS(DATOS_[AGRUP. VALOR. PTO.],$B45,DATOS_[Sexo],$B47,DATOS_[Check Periodo Ref.],"Dentro")</f>
        <v>0</v>
      </c>
      <c r="E47" s="204">
        <f>COUNTIFS(DATOS_[AGRUP. VALOR. PTO.],$B45,DATOS_[Sexo],$B47,DATOS_[Check Periodo Ref.],"Dentro",DATOS_[Check Nº SC Norm],"Sí")</f>
        <v>0</v>
      </c>
      <c r="F47" s="204">
        <f>COUNTIFS(DATOS_[AGRUP. VALOR. PTO.],$B45,DATOS_[Sexo],$B47,DATOS_[Check Periodo Ref.],"Dentro",DATOS_[Check Nº SC Anualiz],"Sí")</f>
        <v>0</v>
      </c>
      <c r="G47" s="204">
        <f>COUNTIFS(DATOS_[AGRUP. VALOR. PTO.],$B45,DATOS_[Sexo],$B47,DATOS_[Check Periodo Ref.],"Dentro",DATOS_[Check Nº SC Norm y Anualiz],"Sí")</f>
        <v>0</v>
      </c>
      <c r="H47" s="204">
        <f>COUNTIFS(DATOS_[AGRUP. VALOR. PTO.],$B45,DATOS_[Sexo],$B47,DATOS_[Check Periodo Ref.],"Dentro",DATOS_[Check Equiparación],"Sí")</f>
        <v>0</v>
      </c>
      <c r="I47" s="195" cm="1">
        <f t="array" ref="I47">IFERROR(
AVERAGE(IF(DATOS_[Sexo]=$B47,IF(DATOS_[[AGRUP. VALOR. PTO.]:[AGRUP. VALOR. PTO.]]=$B45,IF(DATOS_[Check Equiparado]="Sí",IF(DATOS_[Check Periodo Ref.]="Dentro",DATOS_[SALARIO BASE Eq],FALSE))))),
0)</f>
        <v>0</v>
      </c>
      <c r="J47" s="196">
        <f t="array" ref="J47">IFERROR(
(AVERAGE((IF(DATOS_[[Sexo]:[Sexo]]=$B47,IF(DATOS_[[AGRUP. VALOR. PTO.]:[AGRUP. VALOR. PTO.]]=$B45,IF(DATOS_[[Check Periodo Ref.]:[Check Periodo Ref.]]="Dentro",IF(DATOS_[[Check Equiparado]:[Check Equiparado]]="Sí",IF(DATOS!AE$5="Sí",(1/DATOS_[[% anualiz]:[% anualiz]]),1)*IF(DATOS!AE$4="Sí",1/DATOS_[[% normaliz]:[% normaliz]],1)*(DATOS_[Conc.Sal.01])))))))),
0)</f>
        <v>0</v>
      </c>
      <c r="K47" s="196">
        <f t="array" ref="K47">IFERROR(
(AVERAGE((IF(DATOS_[[Sexo]:[Sexo]]=$B47,IF(DATOS_[[AGRUP. VALOR. PTO.]:[AGRUP. VALOR. PTO.]]=$B45,IF(DATOS_[[Check Periodo Ref.]:[Check Periodo Ref.]]="Dentro",IF(DATOS_[[Check Equiparado]:[Check Equiparado]]="Sí",IF(DATOS!AF$5="Sí",(1/DATOS_[[% anualiz]:[% anualiz]]),1)*IF(DATOS!AF$4="Sí",1/DATOS_[[% normaliz]:[% normaliz]],1)*(DATOS_[Conc.Sal.02])))))))),
0)</f>
        <v>0</v>
      </c>
      <c r="L47" s="196">
        <f t="array" ref="L47">IFERROR(
(AVERAGE((IF(DATOS_[[Sexo]:[Sexo]]=$B47,IF(DATOS_[[AGRUP. VALOR. PTO.]:[AGRUP. VALOR. PTO.]]=$B45,IF(DATOS_[[Check Periodo Ref.]:[Check Periodo Ref.]]="Dentro",IF(DATOS_[[Check Equiparado]:[Check Equiparado]]="Sí",IF(DATOS!AG$5="Sí",(1/DATOS_[[% anualiz]:[% anualiz]]),1)*IF(DATOS!AG$4="Sí",1/DATOS_[[% normaliz]:[% normaliz]],1)*(DATOS_[Conc.Sal.03])))))))),
0)</f>
        <v>0</v>
      </c>
      <c r="M47" s="196">
        <f t="array" ref="M47">IFERROR(
(AVERAGE((IF(DATOS_[[Sexo]:[Sexo]]=$B47,IF(DATOS_[[AGRUP. VALOR. PTO.]:[AGRUP. VALOR. PTO.]]=$B45,IF(DATOS_[[Check Periodo Ref.]:[Check Periodo Ref.]]="Dentro",IF(DATOS_[[Check Equiparado]:[Check Equiparado]]="Sí",IF(DATOS!AH$5="Sí",(1/DATOS_[[% anualiz]:[% anualiz]]),1)*IF(DATOS!AH$4="Sí",1/DATOS_[[% normaliz]:[% normaliz]],1)*(DATOS_[Conc.Sal.04])))))))),
0)</f>
        <v>0</v>
      </c>
      <c r="N47" s="196">
        <f t="array" ref="N47">IFERROR(
(AVERAGE((IF(DATOS_[[Sexo]:[Sexo]]=$B47,IF(DATOS_[[AGRUP. VALOR. PTO.]:[AGRUP. VALOR. PTO.]]=$B45,IF(DATOS_[[Check Periodo Ref.]:[Check Periodo Ref.]]="Dentro",IF(DATOS_[[Check Equiparado]:[Check Equiparado]]="Sí",IF(DATOS!AI$5="Sí",(1/DATOS_[[% anualiz]:[% anualiz]]),1)*IF(DATOS!AI$4="Sí",1/DATOS_[[% normaliz]:[% normaliz]],1)*(DATOS_[Conc.Sal.05])))))))),
0)</f>
        <v>0</v>
      </c>
      <c r="O47" s="196">
        <f t="array" ref="O47">IFERROR(
(AVERAGE((IF(DATOS_[[Sexo]:[Sexo]]=$B47,IF(DATOS_[[AGRUP. VALOR. PTO.]:[AGRUP. VALOR. PTO.]]=$B45,IF(DATOS_[[Check Periodo Ref.]:[Check Periodo Ref.]]="Dentro",IF(DATOS_[[Check Equiparado]:[Check Equiparado]]="Sí",IF(DATOS!AJ$5="Sí",(1/DATOS_[[% anualiz]:[% anualiz]]),1)*IF(DATOS!AJ$4="Sí",1/DATOS_[[% normaliz]:[% normaliz]],1)*(DATOS_[Conc.Sal.06])))))))),
0)</f>
        <v>0</v>
      </c>
      <c r="P47" s="196">
        <f t="array" ref="P47">IFERROR(
(AVERAGE((IF(DATOS_[[Sexo]:[Sexo]]=$B47,IF(DATOS_[[AGRUP. VALOR. PTO.]:[AGRUP. VALOR. PTO.]]=$B45,IF(DATOS_[[Check Periodo Ref.]:[Check Periodo Ref.]]="Dentro",IF(DATOS_[[Check Equiparado]:[Check Equiparado]]="Sí",IF(DATOS!AK$5="Sí",(1/DATOS_[[% anualiz]:[% anualiz]]),1)*IF(DATOS!AK$4="Sí",1/DATOS_[[% normaliz]:[% normaliz]],1)*(DATOS_[Conc.Sal.07])))))))),
0)</f>
        <v>0</v>
      </c>
      <c r="Q47" s="196">
        <f t="array" ref="Q47">IFERROR(
(AVERAGE((IF(DATOS_[[Sexo]:[Sexo]]=$B47,IF(DATOS_[[AGRUP. VALOR. PTO.]:[AGRUP. VALOR. PTO.]]=$B45,IF(DATOS_[[Check Periodo Ref.]:[Check Periodo Ref.]]="Dentro",IF(DATOS_[[Check Equiparado]:[Check Equiparado]]="Sí",IF(DATOS!AL$5="Sí",(1/DATOS_[[% anualiz]:[% anualiz]]),1)*IF(DATOS!AL$4="Sí",1/DATOS_[[% normaliz]:[% normaliz]],1)*(DATOS_[Conc.Sal.08])))))))),
0)</f>
        <v>0</v>
      </c>
      <c r="R47" s="196">
        <f t="array" ref="R47">IFERROR(
(AVERAGE((IF(DATOS_[[Sexo]:[Sexo]]=$B47,IF(DATOS_[[AGRUP. VALOR. PTO.]:[AGRUP. VALOR. PTO.]]=$B45,IF(DATOS_[[Check Periodo Ref.]:[Check Periodo Ref.]]="Dentro",IF(DATOS_[[Check Equiparado]:[Check Equiparado]]="Sí",IF(DATOS!AM$5="Sí",(1/DATOS_[[% anualiz]:[% anualiz]]),1)*IF(DATOS!AM$4="Sí",1/DATOS_[[% normaliz]:[% normaliz]],1)*(DATOS_[Conc.Sal.09])))))))),
0)</f>
        <v>0</v>
      </c>
      <c r="S47" s="196">
        <f t="array" ref="S47">IFERROR(
(AVERAGE((IF(DATOS_[[Sexo]:[Sexo]]=$B47,IF(DATOS_[[AGRUP. VALOR. PTO.]:[AGRUP. VALOR. PTO.]]=$B45,IF(DATOS_[[Check Periodo Ref.]:[Check Periodo Ref.]]="Dentro",IF(DATOS_[[Check Equiparado]:[Check Equiparado]]="Sí",IF(DATOS!AN$5="Sí",(1/DATOS_[[% anualiz]:[% anualiz]]),1)*IF(DATOS!AN$4="Sí",1/DATOS_[[% normaliz]:[% normaliz]],1)*(DATOS_[Conc.Sal.10])))))))),
0)</f>
        <v>0</v>
      </c>
      <c r="T47" s="196">
        <f t="array" ref="T47">IFERROR(
(AVERAGE((IF(DATOS_[[Sexo]:[Sexo]]=$B47,IF(DATOS_[[AGRUP. VALOR. PTO.]:[AGRUP. VALOR. PTO.]]=$B45,IF(DATOS_[[Check Periodo Ref.]:[Check Periodo Ref.]]="Dentro",IF(DATOS_[[Check Equiparado]:[Check Equiparado]]="Sí",IF(DATOS!AO$5="Sí",(1/DATOS_[[% anualiz]:[% anualiz]]),1)*IF(DATOS!AO$4="Sí",1/DATOS_[[% normaliz]:[% normaliz]],1)*(DATOS_[Conc.Sal.11])))))))),
0)</f>
        <v>0</v>
      </c>
      <c r="U47" s="196">
        <f t="array" ref="U47">IFERROR(
(AVERAGE((IF(DATOS_[[Sexo]:[Sexo]]=$B47,IF(DATOS_[[AGRUP. VALOR. PTO.]:[AGRUP. VALOR. PTO.]]=$B45,IF(DATOS_[[Check Periodo Ref.]:[Check Periodo Ref.]]="Dentro",IF(DATOS_[[Check Equiparado]:[Check Equiparado]]="Sí",IF(DATOS!AP$5="Sí",(1/DATOS_[[% anualiz]:[% anualiz]]),1)*IF(DATOS!AP$4="Sí",1/DATOS_[[% normaliz]:[% normaliz]],1)*(DATOS_[Conc.Sal.12])))))))),
0)</f>
        <v>0</v>
      </c>
      <c r="V47" s="196">
        <f t="array" ref="V47">IFERROR(
(AVERAGE((IF(DATOS_[[Sexo]:[Sexo]]=$B47,IF(DATOS_[[AGRUP. VALOR. PTO.]:[AGRUP. VALOR. PTO.]]=$B45,IF(DATOS_[[Check Periodo Ref.]:[Check Periodo Ref.]]="Dentro",IF(DATOS_[[Check Equiparado]:[Check Equiparado]]="Sí",IF(DATOS!AQ$5="Sí",(1/DATOS_[[% anualiz]:[% anualiz]]),1)*IF(DATOS!AQ$4="Sí",1/DATOS_[[% normaliz]:[% normaliz]],1)*(DATOS_[Conc.Sal.13])))))))),
0)</f>
        <v>0</v>
      </c>
      <c r="W47" s="196">
        <f t="array" ref="W47">IFERROR(
(AVERAGE((IF(DATOS_[[Sexo]:[Sexo]]=$B47,IF(DATOS_[[AGRUP. VALOR. PTO.]:[AGRUP. VALOR. PTO.]]=$B45,IF(DATOS_[[Check Periodo Ref.]:[Check Periodo Ref.]]="Dentro",IF(DATOS_[[Check Equiparado]:[Check Equiparado]]="Sí",IF(DATOS!AR$5="Sí",(1/DATOS_[[% anualiz]:[% anualiz]]),1)*IF(DATOS!AR$4="Sí",1/DATOS_[[% normaliz]:[% normaliz]],1)*(DATOS_[Conc.Sal.14])))))))),
0)</f>
        <v>0</v>
      </c>
      <c r="X47" s="196">
        <f t="array" ref="X47">IFERROR(
(AVERAGE((IF(DATOS_[[Sexo]:[Sexo]]=$B47,IF(DATOS_[[AGRUP. VALOR. PTO.]:[AGRUP. VALOR. PTO.]]=$B45,IF(DATOS_[[Check Periodo Ref.]:[Check Periodo Ref.]]="Dentro",IF(DATOS_[[Check Equiparado]:[Check Equiparado]]="Sí",IF(DATOS!AS$5="Sí",(1/DATOS_[[% anualiz]:[% anualiz]]),1)*IF(DATOS!AS$4="Sí",1/DATOS_[[% normaliz]:[% normaliz]],1)*(DATOS_[Conc.Sal.15])))))))),
0)</f>
        <v>0</v>
      </c>
      <c r="Y47" s="196">
        <f t="array" ref="Y47">IFERROR(
(AVERAGE((IF(DATOS_[[Sexo]:[Sexo]]=$B47,IF(DATOS_[[AGRUP. VALOR. PTO.]:[AGRUP. VALOR. PTO.]]=$B45,IF(DATOS_[[Check Periodo Ref.]:[Check Periodo Ref.]]="Dentro",IF(DATOS_[[Check Equiparado]:[Check Equiparado]]="Sí",IF(DATOS!AT$5="Sí",(1/DATOS_[[% anualiz]:[% anualiz]]),1)*IF(DATOS!AT$4="Sí",1/DATOS_[[% normaliz]:[% normaliz]],1)*(DATOS_[Conc.Sal.16])))))))),
0)</f>
        <v>0</v>
      </c>
      <c r="Z47" s="196">
        <f t="array" ref="Z47">IFERROR(
(AVERAGE((IF(DATOS_[[Sexo]:[Sexo]]=$B47,IF(DATOS_[[AGRUP. VALOR. PTO.]:[AGRUP. VALOR. PTO.]]=$B45,IF(DATOS_[[Check Periodo Ref.]:[Check Periodo Ref.]]="Dentro",IF(DATOS_[[Check Equiparado]:[Check Equiparado]]="Sí",IF(DATOS!AU$5="Sí",(1/DATOS_[[% anualiz]:[% anualiz]]),1)*IF(DATOS!AU$4="Sí",1/DATOS_[[% normaliz]:[% normaliz]],1)*(DATOS_[Conc.Sal.17])))))))),
0)</f>
        <v>0</v>
      </c>
      <c r="AA47" s="196">
        <f t="array" ref="AA47">IFERROR(
(AVERAGE((IF(DATOS_[[Sexo]:[Sexo]]=$B47,IF(DATOS_[[AGRUP. VALOR. PTO.]:[AGRUP. VALOR. PTO.]]=$B45,IF(DATOS_[[Check Periodo Ref.]:[Check Periodo Ref.]]="Dentro",IF(DATOS_[[Check Equiparado]:[Check Equiparado]]="Sí",IF(DATOS!AV$5="Sí",(1/DATOS_[[% anualiz]:[% anualiz]]),1)*IF(DATOS!AV$4="Sí",1/DATOS_[[% normaliz]:[% normaliz]],1)*(DATOS_[Conc.Sal.18])))))))),
0)</f>
        <v>0</v>
      </c>
      <c r="AB47" s="196">
        <f t="array" ref="AB47">IFERROR(
(AVERAGE((IF(DATOS_[[Sexo]:[Sexo]]=$B47,IF(DATOS_[[AGRUP. VALOR. PTO.]:[AGRUP. VALOR. PTO.]]=$B45,IF(DATOS_[[Check Periodo Ref.]:[Check Periodo Ref.]]="Dentro",IF(DATOS_[[Check Equiparado]:[Check Equiparado]]="Sí",IF(DATOS!AW$5="Sí",(1/DATOS_[[% anualiz]:[% anualiz]]),1)*IF(DATOS!AW$4="Sí",1/DATOS_[[% normaliz]:[% normaliz]],1)*(DATOS_[Conc.Sal.19])))))))),
0)</f>
        <v>0</v>
      </c>
      <c r="AC47" s="196">
        <f t="array" ref="AC47">IFERROR(
(AVERAGE((IF(DATOS_[[Sexo]:[Sexo]]=$B47,IF(DATOS_[[AGRUP. VALOR. PTO.]:[AGRUP. VALOR. PTO.]]=$B45,IF(DATOS_[[Check Periodo Ref.]:[Check Periodo Ref.]]="Dentro",IF(DATOS_[[Check Equiparado]:[Check Equiparado]]="Sí",IF(DATOS!AX$5="Sí",(1/DATOS_[[% anualiz]:[% anualiz]]),1)*IF(DATOS!AX$4="Sí",1/DATOS_[[% normaliz]:[% normaliz]],1)*(DATOS_[Conc.Sal.20])))))))),
0)</f>
        <v>0</v>
      </c>
      <c r="AD47" s="196">
        <f t="array" ref="AD47">IFERROR(
(AVERAGE((IF(DATOS_[[Sexo]:[Sexo]]=$B47,IF(DATOS_[[AGRUP. VALOR. PTO.]:[AGRUP. VALOR. PTO.]]=$B45,IF(DATOS_[[Check Periodo Ref.]:[Check Periodo Ref.]]="Dentro",IF(DATOS_[[Check Equiparado]:[Check Equiparado]]="Sí",IF(DATOS!AY$5="Sí",(1/DATOS_[[% anualiz]:[% anualiz]]),1)*IF(DATOS!AY$4="Sí",1/DATOS_[[% normaliz]:[% normaliz]],1)*(DATOS_[Conc.Sal.21])))))))),
0)</f>
        <v>0</v>
      </c>
      <c r="AE47" s="196">
        <f t="array" ref="AE47">IFERROR(
(AVERAGE((IF(DATOS_[[Sexo]:[Sexo]]=$B47,IF(DATOS_[[AGRUP. VALOR. PTO.]:[AGRUP. VALOR. PTO.]]=$B45,IF(DATOS_[[Check Periodo Ref.]:[Check Periodo Ref.]]="Dentro",IF(DATOS_[[Check Equiparado]:[Check Equiparado]]="Sí",IF(DATOS!AZ$5="Sí",(1/DATOS_[[% anualiz]:[% anualiz]]),1)*IF(DATOS!AZ$4="Sí",1/DATOS_[[% normaliz]:[% normaliz]],1)*(DATOS_[Conc.Sal.22])))))))),
0)</f>
        <v>0</v>
      </c>
      <c r="AF47" s="196">
        <f t="array" ref="AF47">IFERROR(
(AVERAGE((IF(DATOS_[[Sexo]:[Sexo]]=$B47,IF(DATOS_[[AGRUP. VALOR. PTO.]:[AGRUP. VALOR. PTO.]]=$B45,IF(DATOS_[[Check Periodo Ref.]:[Check Periodo Ref.]]="Dentro",IF(DATOS_[[Check Equiparado]:[Check Equiparado]]="Sí",IF(DATOS!BA$5="Sí",(1/DATOS_[[% anualiz]:[% anualiz]]),1)*IF(DATOS!BA$4="Sí",1/DATOS_[[% normaliz]:[% normaliz]],1)*(DATOS_[Conc.Sal.23])))))))),
0)</f>
        <v>0</v>
      </c>
      <c r="AG47" s="196">
        <f t="array" ref="AG47">IFERROR(
(AVERAGE((IF(DATOS_[[Sexo]:[Sexo]]=$B47,IF(DATOS_[[AGRUP. VALOR. PTO.]:[AGRUP. VALOR. PTO.]]=$B45,IF(DATOS_[[Check Periodo Ref.]:[Check Periodo Ref.]]="Dentro",IF(DATOS_[[Check Equiparado]:[Check Equiparado]]="Sí",IF(DATOS!BB$5="Sí",(1/DATOS_[[% anualiz]:[% anualiz]]),1)*IF(DATOS!BB$4="Sí",1/DATOS_[[% normaliz]:[% normaliz]],1)*(DATOS_[Conc.Sal.24])))))))),
0)</f>
        <v>0</v>
      </c>
      <c r="AH47" s="196">
        <f t="array" ref="AH47">IFERROR(
(AVERAGE((IF(DATOS_[[Sexo]:[Sexo]]=$B47,IF(DATOS_[[AGRUP. VALOR. PTO.]:[AGRUP. VALOR. PTO.]]=$B45,IF(DATOS_[[Check Periodo Ref.]:[Check Periodo Ref.]]="Dentro",IF(DATOS_[[Check Equiparado]:[Check Equiparado]]="Sí",IF(DATOS!BC$5="Sí",(1/DATOS_[[% anualiz]:[% anualiz]]),1)*IF(DATOS!BC$4="Sí",1/DATOS_[[% normaliz]:[% normaliz]],1)*(DATOS_[Conc.Sal.25])))))))),
0)</f>
        <v>0</v>
      </c>
      <c r="AI47" s="196">
        <f t="array" ref="AI47">IFERROR(
(AVERAGE((IF(DATOS_[[Sexo]:[Sexo]]=$B47,IF(DATOS_[[AGRUP. VALOR. PTO.]:[AGRUP. VALOR. PTO.]]=$B45,IF(DATOS_[[Check Periodo Ref.]:[Check Periodo Ref.]]="Dentro",IF(DATOS_[[Check Equiparado]:[Check Equiparado]]="Sí",IF(DATOS!BD$5="Sí",(1/DATOS_[[% anualiz]:[% anualiz]]),1)*IF(DATOS!BD$4="Sí",1/DATOS_[[% normaliz]:[% normaliz]],1)*(DATOS_[Conc.Sal.26])))))))),
0)</f>
        <v>0</v>
      </c>
      <c r="AJ47" s="196">
        <f t="array" ref="AJ47">IFERROR(
(AVERAGE((IF(DATOS_[[Sexo]:[Sexo]]=$B47,IF(DATOS_[[AGRUP. VALOR. PTO.]:[AGRUP. VALOR. PTO.]]=$B45,IF(DATOS_[[Check Periodo Ref.]:[Check Periodo Ref.]]="Dentro",IF(DATOS_[[Check Equiparado]:[Check Equiparado]]="Sí",IF(DATOS!BE$5="Sí",(1/DATOS_[[% anualiz]:[% anualiz]]),1)*IF(DATOS!BE$4="Sí",1/DATOS_[[% normaliz]:[% normaliz]],1)*(DATOS_[Conc.Sal.27])))))))),
0)</f>
        <v>0</v>
      </c>
      <c r="AK47" s="196">
        <f t="array" ref="AK47">IFERROR(
(AVERAGE((IF(DATOS_[[Sexo]:[Sexo]]=$B47,IF(DATOS_[[AGRUP. VALOR. PTO.]:[AGRUP. VALOR. PTO.]]=$B45,IF(DATOS_[[Check Periodo Ref.]:[Check Periodo Ref.]]="Dentro",IF(DATOS_[[Check Equiparado]:[Check Equiparado]]="Sí",IF(DATOS!BF$5="Sí",(1/DATOS_[[% anualiz]:[% anualiz]]),1)*IF(DATOS!BF$4="Sí",1/DATOS_[[% normaliz]:[% normaliz]],1)*(DATOS_[Conc.Sal.28])))))))),
0)</f>
        <v>0</v>
      </c>
      <c r="AL47" s="196">
        <f t="array" ref="AL47">IFERROR(
(AVERAGE((IF(DATOS_[[Sexo]:[Sexo]]=$B47,IF(DATOS_[[AGRUP. VALOR. PTO.]:[AGRUP. VALOR. PTO.]]=$B45,IF(DATOS_[[Check Periodo Ref.]:[Check Periodo Ref.]]="Dentro",IF(DATOS_[[Check Equiparado]:[Check Equiparado]]="Sí",IF(DATOS!BG$5="Sí",(1/DATOS_[[% anualiz]:[% anualiz]]),1)*IF(DATOS!BG$4="Sí",1/DATOS_[[% normaliz]:[% normaliz]],1)*(DATOS_[Conc.Sal.29])))))))),
0)</f>
        <v>0</v>
      </c>
      <c r="AM47" s="196">
        <f t="array" ref="AM47">IFERROR(
(AVERAGE((IF(DATOS_[[Sexo]:[Sexo]]=$B47,IF(DATOS_[[AGRUP. VALOR. PTO.]:[AGRUP. VALOR. PTO.]]=$B45,IF(DATOS_[[Check Periodo Ref.]:[Check Periodo Ref.]]="Dentro",IF(DATOS_[[Check Equiparado]:[Check Equiparado]]="Sí",IF(DATOS!BH$5="Sí",(1/DATOS_[[% anualiz]:[% anualiz]]),1)*IF(DATOS!BH$4="Sí",1/DATOS_[[% normaliz]:[% normaliz]],1)*(DATOS_[Conc.Sal.30])))))))),
0)</f>
        <v>0</v>
      </c>
      <c r="AN47" s="195">
        <f t="array" ref="AN47">IFERROR(
AVERAGE(IF(DATOS_[Sexo]=$B47,IF(DATOS_[[AGRUP. VALOR. PTO.]:[AGRUP. VALOR. PTO.]]=$B45,IF(DATOS_[Check Equiparado]="Sí",IF(DATOS_[Check Periodo Ref.]="Dentro",DATOS_[Tot COMPL.SAL Eq],FALSE))))),
0)</f>
        <v>0</v>
      </c>
      <c r="AO47" s="172">
        <f t="array" ref="AO47">IFERROR(
AVERAGE(IF(DATOS_[Sexo]=$B47,IF(DATOS_[[AGRUP. VALOR. PTO.]:[AGRUP. VALOR. PTO.]]=$B45,IF(DATOS_[Check Equiparado]="Sí",IF(DATOS_[Check Periodo Ref.]="Dentro",DATOS_[TOTAL SALARIO Eq],FALSE))))),
0)</f>
        <v>0</v>
      </c>
      <c r="AP47" s="173">
        <f t="array" ref="AP47">IFERROR(
(AVERAGE((IF(DATOS_[[Sexo]:[Sexo]]=$B47,IF(DATOS_[[AGRUP. VALOR. PTO.]:[AGRUP. VALOR. PTO.]]=$B45,IF(DATOS_[[Check Periodo Ref.]:[Check Periodo Ref.]]="Dentro",IF(DATOS_[[Check Equiparado]:[Check Equiparado]]="Sí",IF(DATOS!BW$5="Sí",(1/DATOS_[[% anualiz]:[% anualiz]]),1)*IF(DATOS!BW$4="Sí",1/DATOS_[[% normaliz]:[% normaliz]],1)*(DATOS_[C.Extra.01])))))))),
0)</f>
        <v>0</v>
      </c>
      <c r="AQ47" s="173">
        <f t="array" ref="AQ47">IFERROR(
(AVERAGE((IF(DATOS_[[Sexo]:[Sexo]]=$B47,IF(DATOS_[[AGRUP. VALOR. PTO.]:[AGRUP. VALOR. PTO.]]=$B45,IF(DATOS_[[Check Periodo Ref.]:[Check Periodo Ref.]]="Dentro",IF(DATOS_[[Check Equiparado]:[Check Equiparado]]="Sí",IF(DATOS!CB$5="Sí",(1/DATOS_[[% anualiz]:[% anualiz]]),1)*IF(DATOS!CB$4="Sí",1/DATOS_[[% normaliz]:[% normaliz]],1)*(DATOS_[C.Extra.06])))))))),
0)</f>
        <v>0</v>
      </c>
      <c r="AR47" s="173">
        <f t="array" ref="AR47">IFERROR(
(AVERAGE((IF(DATOS_[[Sexo]:[Sexo]]=$B47,IF(DATOS_[[AGRUP. VALOR. PTO.]:[AGRUP. VALOR. PTO.]]=$B45,IF(DATOS_[[Check Periodo Ref.]:[Check Periodo Ref.]]="Dentro",IF(DATOS_[[Check Equiparado]:[Check Equiparado]]="Sí",IF(DATOS!CC$5="Sí",(1/DATOS_[[% anualiz]:[% anualiz]]),1)*IF(DATOS!CC$4="Sí",1/DATOS_[[% normaliz]:[% normaliz]],1)*(DATOS_[C.Extra.07])))))))),
0)</f>
        <v>0</v>
      </c>
      <c r="AS47" s="173">
        <f t="array" ref="AS47">IFERROR(
(AVERAGE((IF(DATOS_[[Sexo]:[Sexo]]=$B47,IF(DATOS_[[AGRUP. VALOR. PTO.]:[AGRUP. VALOR. PTO.]]=$B45,IF(DATOS_[[Check Periodo Ref.]:[Check Periodo Ref.]]="Dentro",IF(DATOS_[[Check Equiparado]:[Check Equiparado]]="Sí",IF(DATOS!CD$5="Sí",(1/DATOS_[[% anualiz]:[% anualiz]]),1)*IF(DATOS!CD$4="Sí",1/DATOS_[[% normaliz]:[% normaliz]],1)*(DATOS_[C.Extra.08])))))))),
0)</f>
        <v>0</v>
      </c>
      <c r="AT47" s="173">
        <f t="array" ref="AT47">IFERROR(
(AVERAGE((IF(DATOS_[[Sexo]:[Sexo]]=$B47,IF(DATOS_[[AGRUP. VALOR. PTO.]:[AGRUP. VALOR. PTO.]]=$B45,IF(DATOS_[[Check Periodo Ref.]:[Check Periodo Ref.]]="Dentro",IF(DATOS_[[Check Equiparado]:[Check Equiparado]]="Sí",IF(DATOS!CG$5="Sí",(1/DATOS_[[% anualiz]:[% anualiz]]),1)*IF(DATOS!CG$4="Sí",1/DATOS_[[% normaliz]:[% normaliz]],1)*(DATOS_[C.Extra.11])))))))),
0)</f>
        <v>0</v>
      </c>
      <c r="AU47" s="197">
        <f t="array" ref="AU47">IFERROR(
AVERAGE(IF(DATOS_[Sexo]=$B47,IF(DATOS_[[AGRUP. VALOR. PTO.]:[AGRUP. VALOR. PTO.]]=$B45,IF(DATOS_[Check Equiparado]="Sí",IF(DATOS_[Check Periodo Ref.]="Dentro",DATOS_[Tot Extrasalarial Eq],FALSE))))),
0)</f>
        <v>0</v>
      </c>
      <c r="AV47" s="175">
        <f t="array" ref="AV47">IFERROR(
AVERAGE(IF(DATOS_[Sexo]=$B47,IF(DATOS_[[AGRUP. VALOR. PTO.]:[AGRUP. VALOR. PTO.]]=$B45,IF(DATOS_[Check Equiparado]="Sí",IF(DATOS_[Check Periodo Ref.]="Dentro",DATOS_[TOTAL Retrib Eq],FALSE))))),
0)</f>
        <v>0</v>
      </c>
    </row>
    <row r="48" spans="1:48" ht="15.6" thickBot="1" x14ac:dyDescent="0.3">
      <c r="A48" s="133" t="str">
        <f t="shared" ref="A48" si="47">+A49</f>
        <v>[ocultar]</v>
      </c>
      <c r="B48" s="199" t="s">
        <v>222</v>
      </c>
      <c r="C48" s="200"/>
      <c r="D48" s="201"/>
      <c r="E48" s="201"/>
      <c r="F48" s="201"/>
      <c r="G48" s="201"/>
      <c r="H48" s="201"/>
      <c r="I48" s="189" t="str">
        <f t="shared" ref="I48:AV48" si="48">IFERROR((I49-I50)/I49,"")</f>
        <v/>
      </c>
      <c r="J48" s="190" t="str">
        <f t="shared" si="48"/>
        <v/>
      </c>
      <c r="K48" s="191" t="str">
        <f t="shared" si="48"/>
        <v/>
      </c>
      <c r="L48" s="191" t="str">
        <f t="shared" si="48"/>
        <v/>
      </c>
      <c r="M48" s="191" t="str">
        <f t="shared" si="48"/>
        <v/>
      </c>
      <c r="N48" s="192" t="str">
        <f t="shared" si="48"/>
        <v/>
      </c>
      <c r="O48" s="193" t="str">
        <f t="shared" si="48"/>
        <v/>
      </c>
      <c r="P48" s="193" t="str">
        <f t="shared" si="48"/>
        <v/>
      </c>
      <c r="Q48" s="193" t="str">
        <f t="shared" si="48"/>
        <v/>
      </c>
      <c r="R48" s="193" t="str">
        <f t="shared" si="48"/>
        <v/>
      </c>
      <c r="S48" s="193" t="str">
        <f t="shared" si="48"/>
        <v/>
      </c>
      <c r="T48" s="193" t="str">
        <f t="shared" si="48"/>
        <v/>
      </c>
      <c r="U48" s="193" t="str">
        <f t="shared" si="48"/>
        <v/>
      </c>
      <c r="V48" s="193" t="str">
        <f t="shared" si="48"/>
        <v/>
      </c>
      <c r="W48" s="193" t="str">
        <f t="shared" si="48"/>
        <v/>
      </c>
      <c r="X48" s="193" t="str">
        <f t="shared" si="48"/>
        <v/>
      </c>
      <c r="Y48" s="193" t="str">
        <f t="shared" si="48"/>
        <v/>
      </c>
      <c r="Z48" s="193" t="str">
        <f t="shared" si="48"/>
        <v/>
      </c>
      <c r="AA48" s="193" t="str">
        <f t="shared" si="48"/>
        <v/>
      </c>
      <c r="AB48" s="193" t="str">
        <f t="shared" si="48"/>
        <v/>
      </c>
      <c r="AC48" s="193" t="str">
        <f t="shared" si="48"/>
        <v/>
      </c>
      <c r="AD48" s="193" t="str">
        <f t="shared" si="48"/>
        <v/>
      </c>
      <c r="AE48" s="193" t="str">
        <f t="shared" si="48"/>
        <v/>
      </c>
      <c r="AF48" s="193" t="str">
        <f t="shared" si="48"/>
        <v/>
      </c>
      <c r="AG48" s="193" t="str">
        <f t="shared" si="48"/>
        <v/>
      </c>
      <c r="AH48" s="193" t="str">
        <f t="shared" si="48"/>
        <v/>
      </c>
      <c r="AI48" s="193" t="str">
        <f t="shared" si="48"/>
        <v/>
      </c>
      <c r="AJ48" s="193" t="str">
        <f t="shared" si="48"/>
        <v/>
      </c>
      <c r="AK48" s="193" t="str">
        <f t="shared" si="48"/>
        <v/>
      </c>
      <c r="AL48" s="193" t="str">
        <f t="shared" si="48"/>
        <v/>
      </c>
      <c r="AM48" s="193" t="str">
        <f t="shared" si="48"/>
        <v/>
      </c>
      <c r="AN48" s="189" t="str">
        <f t="shared" si="48"/>
        <v/>
      </c>
      <c r="AO48" s="162" t="str">
        <f t="shared" si="48"/>
        <v/>
      </c>
      <c r="AP48" s="163" t="str">
        <f t="shared" si="48"/>
        <v/>
      </c>
      <c r="AQ48" s="163" t="str">
        <f t="shared" si="48"/>
        <v/>
      </c>
      <c r="AR48" s="163" t="str">
        <f t="shared" si="48"/>
        <v/>
      </c>
      <c r="AS48" s="163" t="str">
        <f t="shared" si="48"/>
        <v/>
      </c>
      <c r="AT48" s="163" t="str">
        <f t="shared" si="48"/>
        <v/>
      </c>
      <c r="AU48" s="194" t="str">
        <f t="shared" si="48"/>
        <v/>
      </c>
      <c r="AV48" s="165" t="str">
        <f t="shared" si="48"/>
        <v/>
      </c>
    </row>
    <row r="49" spans="1:48" x14ac:dyDescent="0.25">
      <c r="A49" s="133" t="str">
        <f t="shared" ref="A49" si="49">+IF(C49+C50=0,"[ocultar]","")</f>
        <v>[ocultar]</v>
      </c>
      <c r="B49" s="202" t="s">
        <v>394</v>
      </c>
      <c r="C49" s="203">
        <f t="array" ref="C49">SUM(IF($B49=DATOS_[Sexo],
IF($B48=DATOS_[AGRUP. VALOR. PTO.],
IF("Dentro"=DATOS_[Check Periodo Ref.],
1/(COUNTIFS(DATOS_[Sexo],$B49,DATOS_[AGRUP. VALOR. PTO.],$B48,DATOS_[Check Periodo Ref.],"Dentro",DATOS_[id/cod],DATOS_[id/cod]))))))</f>
        <v>0</v>
      </c>
      <c r="D49" s="204">
        <f>COUNTIFS(DATOS_[AGRUP. VALOR. PTO.],$B48,DATOS_[Sexo],$B49,DATOS_[Check Periodo Ref.],"Dentro")</f>
        <v>0</v>
      </c>
      <c r="E49" s="204">
        <f>COUNTIFS(DATOS_[AGRUP. VALOR. PTO.],$B48,DATOS_[Sexo],$B49,DATOS_[Check Periodo Ref.],"Dentro",DATOS_[Check Nº SC Norm],"Sí")</f>
        <v>0</v>
      </c>
      <c r="F49" s="204">
        <f>COUNTIFS(DATOS_[AGRUP. VALOR. PTO.],$B48,DATOS_[Sexo],$B49,DATOS_[Check Periodo Ref.],"Dentro",DATOS_[Check Nº SC Anualiz],"Sí")</f>
        <v>0</v>
      </c>
      <c r="G49" s="204">
        <f>COUNTIFS(DATOS_[AGRUP. VALOR. PTO.],$B48,DATOS_[Sexo],$B49,DATOS_[Check Periodo Ref.],"Dentro",DATOS_[Check Nº SC Norm y Anualiz],"Sí")</f>
        <v>0</v>
      </c>
      <c r="H49" s="204">
        <f>COUNTIFS(DATOS_[AGRUP. VALOR. PTO.],$B48,DATOS_[Sexo],$B49,DATOS_[Check Periodo Ref.],"Dentro",DATOS_[Check Equiparación],"Sí")</f>
        <v>0</v>
      </c>
      <c r="I49" s="195">
        <f t="array" ref="I49">IFERROR(
AVERAGE(IF(DATOS_[Sexo]=$B49,IF(DATOS_[[AGRUP. VALOR. PTO.]:[AGRUP. VALOR. PTO.]]=$B48,IF(DATOS_[Check Equiparado]="Sí",IF(DATOS_[Check Periodo Ref.]="Dentro",DATOS_[SALARIO BASE Eq],FALSE))))),
0)</f>
        <v>0</v>
      </c>
      <c r="J49" s="196">
        <f t="array" ref="J49">IFERROR(
(AVERAGE((IF(DATOS_[[Sexo]:[Sexo]]=$B49,IF(DATOS_[[AGRUP. VALOR. PTO.]:[AGRUP. VALOR. PTO.]]=$B48,IF(DATOS_[[Check Periodo Ref.]:[Check Periodo Ref.]]="Dentro",IF(DATOS_[[Check Equiparado]:[Check Equiparado]]="Sí",IF(DATOS!AE$5="Sí",(1/DATOS_[[% anualiz]:[% anualiz]]),1)*IF(DATOS!AE$4="Sí",1/DATOS_[[% normaliz]:[% normaliz]],1)*(DATOS_[Conc.Sal.01])))))))),
0)</f>
        <v>0</v>
      </c>
      <c r="K49" s="196">
        <f t="array" ref="K49">IFERROR(
(AVERAGE((IF(DATOS_[[Sexo]:[Sexo]]=$B49,IF(DATOS_[[AGRUP. VALOR. PTO.]:[AGRUP. VALOR. PTO.]]=$B48,IF(DATOS_[[Check Periodo Ref.]:[Check Periodo Ref.]]="Dentro",IF(DATOS_[[Check Equiparado]:[Check Equiparado]]="Sí",IF(DATOS!AF$5="Sí",(1/DATOS_[[% anualiz]:[% anualiz]]),1)*IF(DATOS!AF$4="Sí",1/DATOS_[[% normaliz]:[% normaliz]],1)*(DATOS_[Conc.Sal.02])))))))),
0)</f>
        <v>0</v>
      </c>
      <c r="L49" s="196">
        <f t="array" ref="L49">IFERROR(
(AVERAGE((IF(DATOS_[[Sexo]:[Sexo]]=$B49,IF(DATOS_[[AGRUP. VALOR. PTO.]:[AGRUP. VALOR. PTO.]]=$B48,IF(DATOS_[[Check Periodo Ref.]:[Check Periodo Ref.]]="Dentro",IF(DATOS_[[Check Equiparado]:[Check Equiparado]]="Sí",IF(DATOS!AG$5="Sí",(1/DATOS_[[% anualiz]:[% anualiz]]),1)*IF(DATOS!AG$4="Sí",1/DATOS_[[% normaliz]:[% normaliz]],1)*(DATOS_[Conc.Sal.03])))))))),
0)</f>
        <v>0</v>
      </c>
      <c r="M49" s="196">
        <f t="array" ref="M49">IFERROR(
(AVERAGE((IF(DATOS_[[Sexo]:[Sexo]]=$B49,IF(DATOS_[[AGRUP. VALOR. PTO.]:[AGRUP. VALOR. PTO.]]=$B48,IF(DATOS_[[Check Periodo Ref.]:[Check Periodo Ref.]]="Dentro",IF(DATOS_[[Check Equiparado]:[Check Equiparado]]="Sí",IF(DATOS!AH$5="Sí",(1/DATOS_[[% anualiz]:[% anualiz]]),1)*IF(DATOS!AH$4="Sí",1/DATOS_[[% normaliz]:[% normaliz]],1)*(DATOS_[Conc.Sal.04])))))))),
0)</f>
        <v>0</v>
      </c>
      <c r="N49" s="196">
        <f t="array" ref="N49">IFERROR(
(AVERAGE((IF(DATOS_[[Sexo]:[Sexo]]=$B49,IF(DATOS_[[AGRUP. VALOR. PTO.]:[AGRUP. VALOR. PTO.]]=$B48,IF(DATOS_[[Check Periodo Ref.]:[Check Periodo Ref.]]="Dentro",IF(DATOS_[[Check Equiparado]:[Check Equiparado]]="Sí",IF(DATOS!AI$5="Sí",(1/DATOS_[[% anualiz]:[% anualiz]]),1)*IF(DATOS!AI$4="Sí",1/DATOS_[[% normaliz]:[% normaliz]],1)*(DATOS_[Conc.Sal.05])))))))),
0)</f>
        <v>0</v>
      </c>
      <c r="O49" s="196">
        <f t="array" ref="O49">IFERROR(
(AVERAGE((IF(DATOS_[[Sexo]:[Sexo]]=$B49,IF(DATOS_[[AGRUP. VALOR. PTO.]:[AGRUP. VALOR. PTO.]]=$B48,IF(DATOS_[[Check Periodo Ref.]:[Check Periodo Ref.]]="Dentro",IF(DATOS_[[Check Equiparado]:[Check Equiparado]]="Sí",IF(DATOS!AJ$5="Sí",(1/DATOS_[[% anualiz]:[% anualiz]]),1)*IF(DATOS!AJ$4="Sí",1/DATOS_[[% normaliz]:[% normaliz]],1)*(DATOS_[Conc.Sal.06])))))))),
0)</f>
        <v>0</v>
      </c>
      <c r="P49" s="196">
        <f t="array" ref="P49">IFERROR(
(AVERAGE((IF(DATOS_[[Sexo]:[Sexo]]=$B49,IF(DATOS_[[AGRUP. VALOR. PTO.]:[AGRUP. VALOR. PTO.]]=$B48,IF(DATOS_[[Check Periodo Ref.]:[Check Periodo Ref.]]="Dentro",IF(DATOS_[[Check Equiparado]:[Check Equiparado]]="Sí",IF(DATOS!AK$5="Sí",(1/DATOS_[[% anualiz]:[% anualiz]]),1)*IF(DATOS!AK$4="Sí",1/DATOS_[[% normaliz]:[% normaliz]],1)*(DATOS_[Conc.Sal.07])))))))),
0)</f>
        <v>0</v>
      </c>
      <c r="Q49" s="196">
        <f t="array" ref="Q49">IFERROR(
(AVERAGE((IF(DATOS_[[Sexo]:[Sexo]]=$B49,IF(DATOS_[[AGRUP. VALOR. PTO.]:[AGRUP. VALOR. PTO.]]=$B48,IF(DATOS_[[Check Periodo Ref.]:[Check Periodo Ref.]]="Dentro",IF(DATOS_[[Check Equiparado]:[Check Equiparado]]="Sí",IF(DATOS!AL$5="Sí",(1/DATOS_[[% anualiz]:[% anualiz]]),1)*IF(DATOS!AL$4="Sí",1/DATOS_[[% normaliz]:[% normaliz]],1)*(DATOS_[Conc.Sal.08])))))))),
0)</f>
        <v>0</v>
      </c>
      <c r="R49" s="196">
        <f t="array" ref="R49">IFERROR(
(AVERAGE((IF(DATOS_[[Sexo]:[Sexo]]=$B49,IF(DATOS_[[AGRUP. VALOR. PTO.]:[AGRUP. VALOR. PTO.]]=$B48,IF(DATOS_[[Check Periodo Ref.]:[Check Periodo Ref.]]="Dentro",IF(DATOS_[[Check Equiparado]:[Check Equiparado]]="Sí",IF(DATOS!AM$5="Sí",(1/DATOS_[[% anualiz]:[% anualiz]]),1)*IF(DATOS!AM$4="Sí",1/DATOS_[[% normaliz]:[% normaliz]],1)*(DATOS_[Conc.Sal.09])))))))),
0)</f>
        <v>0</v>
      </c>
      <c r="S49" s="196">
        <f t="array" ref="S49">IFERROR(
(AVERAGE((IF(DATOS_[[Sexo]:[Sexo]]=$B49,IF(DATOS_[[AGRUP. VALOR. PTO.]:[AGRUP. VALOR. PTO.]]=$B48,IF(DATOS_[[Check Periodo Ref.]:[Check Periodo Ref.]]="Dentro",IF(DATOS_[[Check Equiparado]:[Check Equiparado]]="Sí",IF(DATOS!AN$5="Sí",(1/DATOS_[[% anualiz]:[% anualiz]]),1)*IF(DATOS!AN$4="Sí",1/DATOS_[[% normaliz]:[% normaliz]],1)*(DATOS_[Conc.Sal.10])))))))),
0)</f>
        <v>0</v>
      </c>
      <c r="T49" s="196">
        <f t="array" ref="T49">IFERROR(
(AVERAGE((IF(DATOS_[[Sexo]:[Sexo]]=$B49,IF(DATOS_[[AGRUP. VALOR. PTO.]:[AGRUP. VALOR. PTO.]]=$B48,IF(DATOS_[[Check Periodo Ref.]:[Check Periodo Ref.]]="Dentro",IF(DATOS_[[Check Equiparado]:[Check Equiparado]]="Sí",IF(DATOS!AO$5="Sí",(1/DATOS_[[% anualiz]:[% anualiz]]),1)*IF(DATOS!AO$4="Sí",1/DATOS_[[% normaliz]:[% normaliz]],1)*(DATOS_[Conc.Sal.11])))))))),
0)</f>
        <v>0</v>
      </c>
      <c r="U49" s="196">
        <f t="array" ref="U49">IFERROR(
(AVERAGE((IF(DATOS_[[Sexo]:[Sexo]]=$B49,IF(DATOS_[[AGRUP. VALOR. PTO.]:[AGRUP. VALOR. PTO.]]=$B48,IF(DATOS_[[Check Periodo Ref.]:[Check Periodo Ref.]]="Dentro",IF(DATOS_[[Check Equiparado]:[Check Equiparado]]="Sí",IF(DATOS!AP$5="Sí",(1/DATOS_[[% anualiz]:[% anualiz]]),1)*IF(DATOS!AP$4="Sí",1/DATOS_[[% normaliz]:[% normaliz]],1)*(DATOS_[Conc.Sal.12])))))))),
0)</f>
        <v>0</v>
      </c>
      <c r="V49" s="196">
        <f t="array" ref="V49">IFERROR(
(AVERAGE((IF(DATOS_[[Sexo]:[Sexo]]=$B49,IF(DATOS_[[AGRUP. VALOR. PTO.]:[AGRUP. VALOR. PTO.]]=$B48,IF(DATOS_[[Check Periodo Ref.]:[Check Periodo Ref.]]="Dentro",IF(DATOS_[[Check Equiparado]:[Check Equiparado]]="Sí",IF(DATOS!AQ$5="Sí",(1/DATOS_[[% anualiz]:[% anualiz]]),1)*IF(DATOS!AQ$4="Sí",1/DATOS_[[% normaliz]:[% normaliz]],1)*(DATOS_[Conc.Sal.13])))))))),
0)</f>
        <v>0</v>
      </c>
      <c r="W49" s="196">
        <f t="array" ref="W49">IFERROR(
(AVERAGE((IF(DATOS_[[Sexo]:[Sexo]]=$B49,IF(DATOS_[[AGRUP. VALOR. PTO.]:[AGRUP. VALOR. PTO.]]=$B48,IF(DATOS_[[Check Periodo Ref.]:[Check Periodo Ref.]]="Dentro",IF(DATOS_[[Check Equiparado]:[Check Equiparado]]="Sí",IF(DATOS!AR$5="Sí",(1/DATOS_[[% anualiz]:[% anualiz]]),1)*IF(DATOS!AR$4="Sí",1/DATOS_[[% normaliz]:[% normaliz]],1)*(DATOS_[Conc.Sal.14])))))))),
0)</f>
        <v>0</v>
      </c>
      <c r="X49" s="196">
        <f t="array" ref="X49">IFERROR(
(AVERAGE((IF(DATOS_[[Sexo]:[Sexo]]=$B49,IF(DATOS_[[AGRUP. VALOR. PTO.]:[AGRUP. VALOR. PTO.]]=$B48,IF(DATOS_[[Check Periodo Ref.]:[Check Periodo Ref.]]="Dentro",IF(DATOS_[[Check Equiparado]:[Check Equiparado]]="Sí",IF(DATOS!AS$5="Sí",(1/DATOS_[[% anualiz]:[% anualiz]]),1)*IF(DATOS!AS$4="Sí",1/DATOS_[[% normaliz]:[% normaliz]],1)*(DATOS_[Conc.Sal.15])))))))),
0)</f>
        <v>0</v>
      </c>
      <c r="Y49" s="196">
        <f t="array" ref="Y49">IFERROR(
(AVERAGE((IF(DATOS_[[Sexo]:[Sexo]]=$B49,IF(DATOS_[[AGRUP. VALOR. PTO.]:[AGRUP. VALOR. PTO.]]=$B48,IF(DATOS_[[Check Periodo Ref.]:[Check Periodo Ref.]]="Dentro",IF(DATOS_[[Check Equiparado]:[Check Equiparado]]="Sí",IF(DATOS!AT$5="Sí",(1/DATOS_[[% anualiz]:[% anualiz]]),1)*IF(DATOS!AT$4="Sí",1/DATOS_[[% normaliz]:[% normaliz]],1)*(DATOS_[Conc.Sal.16])))))))),
0)</f>
        <v>0</v>
      </c>
      <c r="Z49" s="196">
        <f t="array" ref="Z49">IFERROR(
(AVERAGE((IF(DATOS_[[Sexo]:[Sexo]]=$B49,IF(DATOS_[[AGRUP. VALOR. PTO.]:[AGRUP. VALOR. PTO.]]=$B48,IF(DATOS_[[Check Periodo Ref.]:[Check Periodo Ref.]]="Dentro",IF(DATOS_[[Check Equiparado]:[Check Equiparado]]="Sí",IF(DATOS!AU$5="Sí",(1/DATOS_[[% anualiz]:[% anualiz]]),1)*IF(DATOS!AU$4="Sí",1/DATOS_[[% normaliz]:[% normaliz]],1)*(DATOS_[Conc.Sal.17])))))))),
0)</f>
        <v>0</v>
      </c>
      <c r="AA49" s="196">
        <f t="array" ref="AA49">IFERROR(
(AVERAGE((IF(DATOS_[[Sexo]:[Sexo]]=$B49,IF(DATOS_[[AGRUP. VALOR. PTO.]:[AGRUP. VALOR. PTO.]]=$B48,IF(DATOS_[[Check Periodo Ref.]:[Check Periodo Ref.]]="Dentro",IF(DATOS_[[Check Equiparado]:[Check Equiparado]]="Sí",IF(DATOS!AV$5="Sí",(1/DATOS_[[% anualiz]:[% anualiz]]),1)*IF(DATOS!AV$4="Sí",1/DATOS_[[% normaliz]:[% normaliz]],1)*(DATOS_[Conc.Sal.18])))))))),
0)</f>
        <v>0</v>
      </c>
      <c r="AB49" s="196">
        <f t="array" ref="AB49">IFERROR(
(AVERAGE((IF(DATOS_[[Sexo]:[Sexo]]=$B49,IF(DATOS_[[AGRUP. VALOR. PTO.]:[AGRUP. VALOR. PTO.]]=$B48,IF(DATOS_[[Check Periodo Ref.]:[Check Periodo Ref.]]="Dentro",IF(DATOS_[[Check Equiparado]:[Check Equiparado]]="Sí",IF(DATOS!AW$5="Sí",(1/DATOS_[[% anualiz]:[% anualiz]]),1)*IF(DATOS!AW$4="Sí",1/DATOS_[[% normaliz]:[% normaliz]],1)*(DATOS_[Conc.Sal.19])))))))),
0)</f>
        <v>0</v>
      </c>
      <c r="AC49" s="196">
        <f t="array" ref="AC49">IFERROR(
(AVERAGE((IF(DATOS_[[Sexo]:[Sexo]]=$B49,IF(DATOS_[[AGRUP. VALOR. PTO.]:[AGRUP. VALOR. PTO.]]=$B48,IF(DATOS_[[Check Periodo Ref.]:[Check Periodo Ref.]]="Dentro",IF(DATOS_[[Check Equiparado]:[Check Equiparado]]="Sí",IF(DATOS!AX$5="Sí",(1/DATOS_[[% anualiz]:[% anualiz]]),1)*IF(DATOS!AX$4="Sí",1/DATOS_[[% normaliz]:[% normaliz]],1)*(DATOS_[Conc.Sal.20])))))))),
0)</f>
        <v>0</v>
      </c>
      <c r="AD49" s="196">
        <f t="array" ref="AD49">IFERROR(
(AVERAGE((IF(DATOS_[[Sexo]:[Sexo]]=$B49,IF(DATOS_[[AGRUP. VALOR. PTO.]:[AGRUP. VALOR. PTO.]]=$B48,IF(DATOS_[[Check Periodo Ref.]:[Check Periodo Ref.]]="Dentro",IF(DATOS_[[Check Equiparado]:[Check Equiparado]]="Sí",IF(DATOS!AY$5="Sí",(1/DATOS_[[% anualiz]:[% anualiz]]),1)*IF(DATOS!AY$4="Sí",1/DATOS_[[% normaliz]:[% normaliz]],1)*(DATOS_[Conc.Sal.21])))))))),
0)</f>
        <v>0</v>
      </c>
      <c r="AE49" s="196">
        <f t="array" ref="AE49">IFERROR(
(AVERAGE((IF(DATOS_[[Sexo]:[Sexo]]=$B49,IF(DATOS_[[AGRUP. VALOR. PTO.]:[AGRUP. VALOR. PTO.]]=$B48,IF(DATOS_[[Check Periodo Ref.]:[Check Periodo Ref.]]="Dentro",IF(DATOS_[[Check Equiparado]:[Check Equiparado]]="Sí",IF(DATOS!AZ$5="Sí",(1/DATOS_[[% anualiz]:[% anualiz]]),1)*IF(DATOS!AZ$4="Sí",1/DATOS_[[% normaliz]:[% normaliz]],1)*(DATOS_[Conc.Sal.22])))))))),
0)</f>
        <v>0</v>
      </c>
      <c r="AF49" s="196">
        <f t="array" ref="AF49">IFERROR(
(AVERAGE((IF(DATOS_[[Sexo]:[Sexo]]=$B49,IF(DATOS_[[AGRUP. VALOR. PTO.]:[AGRUP. VALOR. PTO.]]=$B48,IF(DATOS_[[Check Periodo Ref.]:[Check Periodo Ref.]]="Dentro",IF(DATOS_[[Check Equiparado]:[Check Equiparado]]="Sí",IF(DATOS!BA$5="Sí",(1/DATOS_[[% anualiz]:[% anualiz]]),1)*IF(DATOS!BA$4="Sí",1/DATOS_[[% normaliz]:[% normaliz]],1)*(DATOS_[Conc.Sal.23])))))))),
0)</f>
        <v>0</v>
      </c>
      <c r="AG49" s="196">
        <f t="array" ref="AG49">IFERROR(
(AVERAGE((IF(DATOS_[[Sexo]:[Sexo]]=$B49,IF(DATOS_[[AGRUP. VALOR. PTO.]:[AGRUP. VALOR. PTO.]]=$B48,IF(DATOS_[[Check Periodo Ref.]:[Check Periodo Ref.]]="Dentro",IF(DATOS_[[Check Equiparado]:[Check Equiparado]]="Sí",IF(DATOS!BB$5="Sí",(1/DATOS_[[% anualiz]:[% anualiz]]),1)*IF(DATOS!BB$4="Sí",1/DATOS_[[% normaliz]:[% normaliz]],1)*(DATOS_[Conc.Sal.24])))))))),
0)</f>
        <v>0</v>
      </c>
      <c r="AH49" s="196">
        <f t="array" ref="AH49">IFERROR(
(AVERAGE((IF(DATOS_[[Sexo]:[Sexo]]=$B49,IF(DATOS_[[AGRUP. VALOR. PTO.]:[AGRUP. VALOR. PTO.]]=$B48,IF(DATOS_[[Check Periodo Ref.]:[Check Periodo Ref.]]="Dentro",IF(DATOS_[[Check Equiparado]:[Check Equiparado]]="Sí",IF(DATOS!BC$5="Sí",(1/DATOS_[[% anualiz]:[% anualiz]]),1)*IF(DATOS!BC$4="Sí",1/DATOS_[[% normaliz]:[% normaliz]],1)*(DATOS_[Conc.Sal.25])))))))),
0)</f>
        <v>0</v>
      </c>
      <c r="AI49" s="196">
        <f t="array" ref="AI49">IFERROR(
(AVERAGE((IF(DATOS_[[Sexo]:[Sexo]]=$B49,IF(DATOS_[[AGRUP. VALOR. PTO.]:[AGRUP. VALOR. PTO.]]=$B48,IF(DATOS_[[Check Periodo Ref.]:[Check Periodo Ref.]]="Dentro",IF(DATOS_[[Check Equiparado]:[Check Equiparado]]="Sí",IF(DATOS!BD$5="Sí",(1/DATOS_[[% anualiz]:[% anualiz]]),1)*IF(DATOS!BD$4="Sí",1/DATOS_[[% normaliz]:[% normaliz]],1)*(DATOS_[Conc.Sal.26])))))))),
0)</f>
        <v>0</v>
      </c>
      <c r="AJ49" s="196">
        <f t="array" ref="AJ49">IFERROR(
(AVERAGE((IF(DATOS_[[Sexo]:[Sexo]]=$B49,IF(DATOS_[[AGRUP. VALOR. PTO.]:[AGRUP. VALOR. PTO.]]=$B48,IF(DATOS_[[Check Periodo Ref.]:[Check Periodo Ref.]]="Dentro",IF(DATOS_[[Check Equiparado]:[Check Equiparado]]="Sí",IF(DATOS!BE$5="Sí",(1/DATOS_[[% anualiz]:[% anualiz]]),1)*IF(DATOS!BE$4="Sí",1/DATOS_[[% normaliz]:[% normaliz]],1)*(DATOS_[Conc.Sal.27])))))))),
0)</f>
        <v>0</v>
      </c>
      <c r="AK49" s="196">
        <f t="array" ref="AK49">IFERROR(
(AVERAGE((IF(DATOS_[[Sexo]:[Sexo]]=$B49,IF(DATOS_[[AGRUP. VALOR. PTO.]:[AGRUP. VALOR. PTO.]]=$B48,IF(DATOS_[[Check Periodo Ref.]:[Check Periodo Ref.]]="Dentro",IF(DATOS_[[Check Equiparado]:[Check Equiparado]]="Sí",IF(DATOS!BF$5="Sí",(1/DATOS_[[% anualiz]:[% anualiz]]),1)*IF(DATOS!BF$4="Sí",1/DATOS_[[% normaliz]:[% normaliz]],1)*(DATOS_[Conc.Sal.28])))))))),
0)</f>
        <v>0</v>
      </c>
      <c r="AL49" s="196">
        <f t="array" ref="AL49">IFERROR(
(AVERAGE((IF(DATOS_[[Sexo]:[Sexo]]=$B49,IF(DATOS_[[AGRUP. VALOR. PTO.]:[AGRUP. VALOR. PTO.]]=$B48,IF(DATOS_[[Check Periodo Ref.]:[Check Periodo Ref.]]="Dentro",IF(DATOS_[[Check Equiparado]:[Check Equiparado]]="Sí",IF(DATOS!BG$5="Sí",(1/DATOS_[[% anualiz]:[% anualiz]]),1)*IF(DATOS!BG$4="Sí",1/DATOS_[[% normaliz]:[% normaliz]],1)*(DATOS_[Conc.Sal.29])))))))),
0)</f>
        <v>0</v>
      </c>
      <c r="AM49" s="196">
        <f t="array" ref="AM49">IFERROR(
(AVERAGE((IF(DATOS_[[Sexo]:[Sexo]]=$B49,IF(DATOS_[[AGRUP. VALOR. PTO.]:[AGRUP. VALOR. PTO.]]=$B48,IF(DATOS_[[Check Periodo Ref.]:[Check Periodo Ref.]]="Dentro",IF(DATOS_[[Check Equiparado]:[Check Equiparado]]="Sí",IF(DATOS!BH$5="Sí",(1/DATOS_[[% anualiz]:[% anualiz]]),1)*IF(DATOS!BH$4="Sí",1/DATOS_[[% normaliz]:[% normaliz]],1)*(DATOS_[Conc.Sal.30])))))))),
0)</f>
        <v>0</v>
      </c>
      <c r="AN49" s="195">
        <f t="array" ref="AN49">IFERROR(
AVERAGE(IF(DATOS_[Sexo]=$B49,IF(DATOS_[[AGRUP. VALOR. PTO.]:[AGRUP. VALOR. PTO.]]=$B48,IF(DATOS_[Check Equiparado]="Sí",IF(DATOS_[Check Periodo Ref.]="Dentro",DATOS_[Tot COMPL.SAL Eq],FALSE))))),
0)</f>
        <v>0</v>
      </c>
      <c r="AO49" s="172">
        <f t="array" ref="AO49">IFERROR(
AVERAGE(IF(DATOS_[Sexo]=$B49,IF(DATOS_[[AGRUP. VALOR. PTO.]:[AGRUP. VALOR. PTO.]]=$B48,IF(DATOS_[Check Equiparado]="Sí",IF(DATOS_[Check Periodo Ref.]="Dentro",DATOS_[TOTAL SALARIO Eq],FALSE))))),
0)</f>
        <v>0</v>
      </c>
      <c r="AP49" s="173">
        <f t="array" ref="AP49">IFERROR(
(AVERAGE((IF(DATOS_[[Sexo]:[Sexo]]=$B49,IF(DATOS_[[AGRUP. VALOR. PTO.]:[AGRUP. VALOR. PTO.]]=$B48,IF(DATOS_[[Check Periodo Ref.]:[Check Periodo Ref.]]="Dentro",IF(DATOS_[[Check Equiparado]:[Check Equiparado]]="Sí",IF(DATOS!BW$5="Sí",(1/DATOS_[[% anualiz]:[% anualiz]]),1)*IF(DATOS!BW$4="Sí",1/DATOS_[[% normaliz]:[% normaliz]],1)*(DATOS_[C.Extra.01])))))))),
0)</f>
        <v>0</v>
      </c>
      <c r="AQ49" s="173">
        <f t="array" ref="AQ49">IFERROR(
(AVERAGE((IF(DATOS_[[Sexo]:[Sexo]]=$B49,IF(DATOS_[[AGRUP. VALOR. PTO.]:[AGRUP. VALOR. PTO.]]=$B48,IF(DATOS_[[Check Periodo Ref.]:[Check Periodo Ref.]]="Dentro",IF(DATOS_[[Check Equiparado]:[Check Equiparado]]="Sí",IF(DATOS!CB$5="Sí",(1/DATOS_[[% anualiz]:[% anualiz]]),1)*IF(DATOS!CB$4="Sí",1/DATOS_[[% normaliz]:[% normaliz]],1)*(DATOS_[C.Extra.06])))))))),
0)</f>
        <v>0</v>
      </c>
      <c r="AR49" s="173">
        <f t="array" ref="AR49">IFERROR(
(AVERAGE((IF(DATOS_[[Sexo]:[Sexo]]=$B49,IF(DATOS_[[AGRUP. VALOR. PTO.]:[AGRUP. VALOR. PTO.]]=$B48,IF(DATOS_[[Check Periodo Ref.]:[Check Periodo Ref.]]="Dentro",IF(DATOS_[[Check Equiparado]:[Check Equiparado]]="Sí",IF(DATOS!CC$5="Sí",(1/DATOS_[[% anualiz]:[% anualiz]]),1)*IF(DATOS!CC$4="Sí",1/DATOS_[[% normaliz]:[% normaliz]],1)*(DATOS_[C.Extra.07])))))))),
0)</f>
        <v>0</v>
      </c>
      <c r="AS49" s="173">
        <f t="array" ref="AS49">IFERROR(
(AVERAGE((IF(DATOS_[[Sexo]:[Sexo]]=$B49,IF(DATOS_[[AGRUP. VALOR. PTO.]:[AGRUP. VALOR. PTO.]]=$B48,IF(DATOS_[[Check Periodo Ref.]:[Check Periodo Ref.]]="Dentro",IF(DATOS_[[Check Equiparado]:[Check Equiparado]]="Sí",IF(DATOS!CD$5="Sí",(1/DATOS_[[% anualiz]:[% anualiz]]),1)*IF(DATOS!CD$4="Sí",1/DATOS_[[% normaliz]:[% normaliz]],1)*(DATOS_[C.Extra.08])))))))),
0)</f>
        <v>0</v>
      </c>
      <c r="AT49" s="173">
        <f t="array" ref="AT49">IFERROR(
(AVERAGE((IF(DATOS_[[Sexo]:[Sexo]]=$B49,IF(DATOS_[[AGRUP. VALOR. PTO.]:[AGRUP. VALOR. PTO.]]=$B48,IF(DATOS_[[Check Periodo Ref.]:[Check Periodo Ref.]]="Dentro",IF(DATOS_[[Check Equiparado]:[Check Equiparado]]="Sí",IF(DATOS!CG$5="Sí",(1/DATOS_[[% anualiz]:[% anualiz]]),1)*IF(DATOS!CG$4="Sí",1/DATOS_[[% normaliz]:[% normaliz]],1)*(DATOS_[C.Extra.11])))))))),
0)</f>
        <v>0</v>
      </c>
      <c r="AU49" s="197">
        <f t="array" ref="AU49">IFERROR(
AVERAGE(IF(DATOS_[Sexo]=$B49,IF(DATOS_[[AGRUP. VALOR. PTO.]:[AGRUP. VALOR. PTO.]]=$B48,IF(DATOS_[Check Equiparado]="Sí",IF(DATOS_[Check Periodo Ref.]="Dentro",DATOS_[Tot Extrasalarial Eq],FALSE))))),
0)</f>
        <v>0</v>
      </c>
      <c r="AV49" s="175">
        <f t="array" ref="AV49">IFERROR(
AVERAGE(IF(DATOS_[Sexo]=$B49,IF(DATOS_[[AGRUP. VALOR. PTO.]:[AGRUP. VALOR. PTO.]]=$B48,IF(DATOS_[Check Equiparado]="Sí",IF(DATOS_[Check Periodo Ref.]="Dentro",DATOS_[TOTAL Retrib Eq],FALSE))))),
0)</f>
        <v>0</v>
      </c>
    </row>
    <row r="50" spans="1:48" x14ac:dyDescent="0.25">
      <c r="A50" s="133" t="str">
        <f t="shared" ref="A50" si="50">+A49</f>
        <v>[ocultar]</v>
      </c>
      <c r="B50" s="202" t="s">
        <v>521</v>
      </c>
      <c r="C50" s="203">
        <f t="array" ref="C50">SUM(IF($B50=DATOS_[Sexo],
IF($B48=DATOS_[AGRUP. VALOR. PTO.],
IF("Dentro"=DATOS_[Check Periodo Ref.],
1/(COUNTIFS(DATOS_[Sexo],$B50,DATOS_[AGRUP. VALOR. PTO.],$B48,DATOS_[Check Periodo Ref.],"Dentro",DATOS_[id/cod],DATOS_[id/cod]))))))</f>
        <v>0</v>
      </c>
      <c r="D50" s="204">
        <f>COUNTIFS(DATOS_[AGRUP. VALOR. PTO.],$B48,DATOS_[Sexo],$B50,DATOS_[Check Periodo Ref.],"Dentro")</f>
        <v>0</v>
      </c>
      <c r="E50" s="204">
        <f>COUNTIFS(DATOS_[AGRUP. VALOR. PTO.],$B48,DATOS_[Sexo],$B50,DATOS_[Check Periodo Ref.],"Dentro",DATOS_[Check Nº SC Norm],"Sí")</f>
        <v>0</v>
      </c>
      <c r="F50" s="204">
        <f>COUNTIFS(DATOS_[AGRUP. VALOR. PTO.],$B48,DATOS_[Sexo],$B50,DATOS_[Check Periodo Ref.],"Dentro",DATOS_[Check Nº SC Anualiz],"Sí")</f>
        <v>0</v>
      </c>
      <c r="G50" s="204">
        <f>COUNTIFS(DATOS_[AGRUP. VALOR. PTO.],$B48,DATOS_[Sexo],$B50,DATOS_[Check Periodo Ref.],"Dentro",DATOS_[Check Nº SC Norm y Anualiz],"Sí")</f>
        <v>0</v>
      </c>
      <c r="H50" s="204">
        <f>COUNTIFS(DATOS_[AGRUP. VALOR. PTO.],$B48,DATOS_[Sexo],$B50,DATOS_[Check Periodo Ref.],"Dentro",DATOS_[Check Equiparación],"Sí")</f>
        <v>0</v>
      </c>
      <c r="I50" s="195" cm="1">
        <f t="array" ref="I50">IFERROR(
AVERAGE(IF(DATOS_[Sexo]=$B50,IF(DATOS_[[AGRUP. VALOR. PTO.]:[AGRUP. VALOR. PTO.]]=$B48,IF(DATOS_[Check Equiparado]="Sí",IF(DATOS_[Check Periodo Ref.]="Dentro",DATOS_[SALARIO BASE Eq],FALSE))))),
0)</f>
        <v>0</v>
      </c>
      <c r="J50" s="196">
        <f t="array" ref="J50">IFERROR(
(AVERAGE((IF(DATOS_[[Sexo]:[Sexo]]=$B50,IF(DATOS_[[AGRUP. VALOR. PTO.]:[AGRUP. VALOR. PTO.]]=$B48,IF(DATOS_[[Check Periodo Ref.]:[Check Periodo Ref.]]="Dentro",IF(DATOS_[[Check Equiparado]:[Check Equiparado]]="Sí",IF(DATOS!AE$5="Sí",(1/DATOS_[[% anualiz]:[% anualiz]]),1)*IF(DATOS!AE$4="Sí",1/DATOS_[[% normaliz]:[% normaliz]],1)*(DATOS_[Conc.Sal.01])))))))),
0)</f>
        <v>0</v>
      </c>
      <c r="K50" s="196">
        <f t="array" ref="K50">IFERROR(
(AVERAGE((IF(DATOS_[[Sexo]:[Sexo]]=$B50,IF(DATOS_[[AGRUP. VALOR. PTO.]:[AGRUP. VALOR. PTO.]]=$B48,IF(DATOS_[[Check Periodo Ref.]:[Check Periodo Ref.]]="Dentro",IF(DATOS_[[Check Equiparado]:[Check Equiparado]]="Sí",IF(DATOS!AF$5="Sí",(1/DATOS_[[% anualiz]:[% anualiz]]),1)*IF(DATOS!AF$4="Sí",1/DATOS_[[% normaliz]:[% normaliz]],1)*(DATOS_[Conc.Sal.02])))))))),
0)</f>
        <v>0</v>
      </c>
      <c r="L50" s="196">
        <f t="array" ref="L50">IFERROR(
(AVERAGE((IF(DATOS_[[Sexo]:[Sexo]]=$B50,IF(DATOS_[[AGRUP. VALOR. PTO.]:[AGRUP. VALOR. PTO.]]=$B48,IF(DATOS_[[Check Periodo Ref.]:[Check Periodo Ref.]]="Dentro",IF(DATOS_[[Check Equiparado]:[Check Equiparado]]="Sí",IF(DATOS!AG$5="Sí",(1/DATOS_[[% anualiz]:[% anualiz]]),1)*IF(DATOS!AG$4="Sí",1/DATOS_[[% normaliz]:[% normaliz]],1)*(DATOS_[Conc.Sal.03])))))))),
0)</f>
        <v>0</v>
      </c>
      <c r="M50" s="196">
        <f t="array" ref="M50">IFERROR(
(AVERAGE((IF(DATOS_[[Sexo]:[Sexo]]=$B50,IF(DATOS_[[AGRUP. VALOR. PTO.]:[AGRUP. VALOR. PTO.]]=$B48,IF(DATOS_[[Check Periodo Ref.]:[Check Periodo Ref.]]="Dentro",IF(DATOS_[[Check Equiparado]:[Check Equiparado]]="Sí",IF(DATOS!AH$5="Sí",(1/DATOS_[[% anualiz]:[% anualiz]]),1)*IF(DATOS!AH$4="Sí",1/DATOS_[[% normaliz]:[% normaliz]],1)*(DATOS_[Conc.Sal.04])))))))),
0)</f>
        <v>0</v>
      </c>
      <c r="N50" s="196">
        <f t="array" ref="N50">IFERROR(
(AVERAGE((IF(DATOS_[[Sexo]:[Sexo]]=$B50,IF(DATOS_[[AGRUP. VALOR. PTO.]:[AGRUP. VALOR. PTO.]]=$B48,IF(DATOS_[[Check Periodo Ref.]:[Check Periodo Ref.]]="Dentro",IF(DATOS_[[Check Equiparado]:[Check Equiparado]]="Sí",IF(DATOS!AI$5="Sí",(1/DATOS_[[% anualiz]:[% anualiz]]),1)*IF(DATOS!AI$4="Sí",1/DATOS_[[% normaliz]:[% normaliz]],1)*(DATOS_[Conc.Sal.05])))))))),
0)</f>
        <v>0</v>
      </c>
      <c r="O50" s="196">
        <f t="array" ref="O50">IFERROR(
(AVERAGE((IF(DATOS_[[Sexo]:[Sexo]]=$B50,IF(DATOS_[[AGRUP. VALOR. PTO.]:[AGRUP. VALOR. PTO.]]=$B48,IF(DATOS_[[Check Periodo Ref.]:[Check Periodo Ref.]]="Dentro",IF(DATOS_[[Check Equiparado]:[Check Equiparado]]="Sí",IF(DATOS!AJ$5="Sí",(1/DATOS_[[% anualiz]:[% anualiz]]),1)*IF(DATOS!AJ$4="Sí",1/DATOS_[[% normaliz]:[% normaliz]],1)*(DATOS_[Conc.Sal.06])))))))),
0)</f>
        <v>0</v>
      </c>
      <c r="P50" s="196">
        <f t="array" ref="P50">IFERROR(
(AVERAGE((IF(DATOS_[[Sexo]:[Sexo]]=$B50,IF(DATOS_[[AGRUP. VALOR. PTO.]:[AGRUP. VALOR. PTO.]]=$B48,IF(DATOS_[[Check Periodo Ref.]:[Check Periodo Ref.]]="Dentro",IF(DATOS_[[Check Equiparado]:[Check Equiparado]]="Sí",IF(DATOS!AK$5="Sí",(1/DATOS_[[% anualiz]:[% anualiz]]),1)*IF(DATOS!AK$4="Sí",1/DATOS_[[% normaliz]:[% normaliz]],1)*(DATOS_[Conc.Sal.07])))))))),
0)</f>
        <v>0</v>
      </c>
      <c r="Q50" s="196">
        <f t="array" ref="Q50">IFERROR(
(AVERAGE((IF(DATOS_[[Sexo]:[Sexo]]=$B50,IF(DATOS_[[AGRUP. VALOR. PTO.]:[AGRUP. VALOR. PTO.]]=$B48,IF(DATOS_[[Check Periodo Ref.]:[Check Periodo Ref.]]="Dentro",IF(DATOS_[[Check Equiparado]:[Check Equiparado]]="Sí",IF(DATOS!AL$5="Sí",(1/DATOS_[[% anualiz]:[% anualiz]]),1)*IF(DATOS!AL$4="Sí",1/DATOS_[[% normaliz]:[% normaliz]],1)*(DATOS_[Conc.Sal.08])))))))),
0)</f>
        <v>0</v>
      </c>
      <c r="R50" s="196">
        <f t="array" ref="R50">IFERROR(
(AVERAGE((IF(DATOS_[[Sexo]:[Sexo]]=$B50,IF(DATOS_[[AGRUP. VALOR. PTO.]:[AGRUP. VALOR. PTO.]]=$B48,IF(DATOS_[[Check Periodo Ref.]:[Check Periodo Ref.]]="Dentro",IF(DATOS_[[Check Equiparado]:[Check Equiparado]]="Sí",IF(DATOS!AM$5="Sí",(1/DATOS_[[% anualiz]:[% anualiz]]),1)*IF(DATOS!AM$4="Sí",1/DATOS_[[% normaliz]:[% normaliz]],1)*(DATOS_[Conc.Sal.09])))))))),
0)</f>
        <v>0</v>
      </c>
      <c r="S50" s="196">
        <f t="array" ref="S50">IFERROR(
(AVERAGE((IF(DATOS_[[Sexo]:[Sexo]]=$B50,IF(DATOS_[[AGRUP. VALOR. PTO.]:[AGRUP. VALOR. PTO.]]=$B48,IF(DATOS_[[Check Periodo Ref.]:[Check Periodo Ref.]]="Dentro",IF(DATOS_[[Check Equiparado]:[Check Equiparado]]="Sí",IF(DATOS!AN$5="Sí",(1/DATOS_[[% anualiz]:[% anualiz]]),1)*IF(DATOS!AN$4="Sí",1/DATOS_[[% normaliz]:[% normaliz]],1)*(DATOS_[Conc.Sal.10])))))))),
0)</f>
        <v>0</v>
      </c>
      <c r="T50" s="196">
        <f t="array" ref="T50">IFERROR(
(AVERAGE((IF(DATOS_[[Sexo]:[Sexo]]=$B50,IF(DATOS_[[AGRUP. VALOR. PTO.]:[AGRUP. VALOR. PTO.]]=$B48,IF(DATOS_[[Check Periodo Ref.]:[Check Periodo Ref.]]="Dentro",IF(DATOS_[[Check Equiparado]:[Check Equiparado]]="Sí",IF(DATOS!AO$5="Sí",(1/DATOS_[[% anualiz]:[% anualiz]]),1)*IF(DATOS!AO$4="Sí",1/DATOS_[[% normaliz]:[% normaliz]],1)*(DATOS_[Conc.Sal.11])))))))),
0)</f>
        <v>0</v>
      </c>
      <c r="U50" s="196">
        <f t="array" ref="U50">IFERROR(
(AVERAGE((IF(DATOS_[[Sexo]:[Sexo]]=$B50,IF(DATOS_[[AGRUP. VALOR. PTO.]:[AGRUP. VALOR. PTO.]]=$B48,IF(DATOS_[[Check Periodo Ref.]:[Check Periodo Ref.]]="Dentro",IF(DATOS_[[Check Equiparado]:[Check Equiparado]]="Sí",IF(DATOS!AP$5="Sí",(1/DATOS_[[% anualiz]:[% anualiz]]),1)*IF(DATOS!AP$4="Sí",1/DATOS_[[% normaliz]:[% normaliz]],1)*(DATOS_[Conc.Sal.12])))))))),
0)</f>
        <v>0</v>
      </c>
      <c r="V50" s="196">
        <f t="array" ref="V50">IFERROR(
(AVERAGE((IF(DATOS_[[Sexo]:[Sexo]]=$B50,IF(DATOS_[[AGRUP. VALOR. PTO.]:[AGRUP. VALOR. PTO.]]=$B48,IF(DATOS_[[Check Periodo Ref.]:[Check Periodo Ref.]]="Dentro",IF(DATOS_[[Check Equiparado]:[Check Equiparado]]="Sí",IF(DATOS!AQ$5="Sí",(1/DATOS_[[% anualiz]:[% anualiz]]),1)*IF(DATOS!AQ$4="Sí",1/DATOS_[[% normaliz]:[% normaliz]],1)*(DATOS_[Conc.Sal.13])))))))),
0)</f>
        <v>0</v>
      </c>
      <c r="W50" s="196">
        <f t="array" ref="W50">IFERROR(
(AVERAGE((IF(DATOS_[[Sexo]:[Sexo]]=$B50,IF(DATOS_[[AGRUP. VALOR. PTO.]:[AGRUP. VALOR. PTO.]]=$B48,IF(DATOS_[[Check Periodo Ref.]:[Check Periodo Ref.]]="Dentro",IF(DATOS_[[Check Equiparado]:[Check Equiparado]]="Sí",IF(DATOS!AR$5="Sí",(1/DATOS_[[% anualiz]:[% anualiz]]),1)*IF(DATOS!AR$4="Sí",1/DATOS_[[% normaliz]:[% normaliz]],1)*(DATOS_[Conc.Sal.14])))))))),
0)</f>
        <v>0</v>
      </c>
      <c r="X50" s="196">
        <f t="array" ref="X50">IFERROR(
(AVERAGE((IF(DATOS_[[Sexo]:[Sexo]]=$B50,IF(DATOS_[[AGRUP. VALOR. PTO.]:[AGRUP. VALOR. PTO.]]=$B48,IF(DATOS_[[Check Periodo Ref.]:[Check Periodo Ref.]]="Dentro",IF(DATOS_[[Check Equiparado]:[Check Equiparado]]="Sí",IF(DATOS!AS$5="Sí",(1/DATOS_[[% anualiz]:[% anualiz]]),1)*IF(DATOS!AS$4="Sí",1/DATOS_[[% normaliz]:[% normaliz]],1)*(DATOS_[Conc.Sal.15])))))))),
0)</f>
        <v>0</v>
      </c>
      <c r="Y50" s="196">
        <f t="array" ref="Y50">IFERROR(
(AVERAGE((IF(DATOS_[[Sexo]:[Sexo]]=$B50,IF(DATOS_[[AGRUP. VALOR. PTO.]:[AGRUP. VALOR. PTO.]]=$B48,IF(DATOS_[[Check Periodo Ref.]:[Check Periodo Ref.]]="Dentro",IF(DATOS_[[Check Equiparado]:[Check Equiparado]]="Sí",IF(DATOS!AT$5="Sí",(1/DATOS_[[% anualiz]:[% anualiz]]),1)*IF(DATOS!AT$4="Sí",1/DATOS_[[% normaliz]:[% normaliz]],1)*(DATOS_[Conc.Sal.16])))))))),
0)</f>
        <v>0</v>
      </c>
      <c r="Z50" s="196">
        <f t="array" ref="Z50">IFERROR(
(AVERAGE((IF(DATOS_[[Sexo]:[Sexo]]=$B50,IF(DATOS_[[AGRUP. VALOR. PTO.]:[AGRUP. VALOR. PTO.]]=$B48,IF(DATOS_[[Check Periodo Ref.]:[Check Periodo Ref.]]="Dentro",IF(DATOS_[[Check Equiparado]:[Check Equiparado]]="Sí",IF(DATOS!AU$5="Sí",(1/DATOS_[[% anualiz]:[% anualiz]]),1)*IF(DATOS!AU$4="Sí",1/DATOS_[[% normaliz]:[% normaliz]],1)*(DATOS_[Conc.Sal.17])))))))),
0)</f>
        <v>0</v>
      </c>
      <c r="AA50" s="196">
        <f t="array" ref="AA50">IFERROR(
(AVERAGE((IF(DATOS_[[Sexo]:[Sexo]]=$B50,IF(DATOS_[[AGRUP. VALOR. PTO.]:[AGRUP. VALOR. PTO.]]=$B48,IF(DATOS_[[Check Periodo Ref.]:[Check Periodo Ref.]]="Dentro",IF(DATOS_[[Check Equiparado]:[Check Equiparado]]="Sí",IF(DATOS!AV$5="Sí",(1/DATOS_[[% anualiz]:[% anualiz]]),1)*IF(DATOS!AV$4="Sí",1/DATOS_[[% normaliz]:[% normaliz]],1)*(DATOS_[Conc.Sal.18])))))))),
0)</f>
        <v>0</v>
      </c>
      <c r="AB50" s="196">
        <f t="array" ref="AB50">IFERROR(
(AVERAGE((IF(DATOS_[[Sexo]:[Sexo]]=$B50,IF(DATOS_[[AGRUP. VALOR. PTO.]:[AGRUP. VALOR. PTO.]]=$B48,IF(DATOS_[[Check Periodo Ref.]:[Check Periodo Ref.]]="Dentro",IF(DATOS_[[Check Equiparado]:[Check Equiparado]]="Sí",IF(DATOS!AW$5="Sí",(1/DATOS_[[% anualiz]:[% anualiz]]),1)*IF(DATOS!AW$4="Sí",1/DATOS_[[% normaliz]:[% normaliz]],1)*(DATOS_[Conc.Sal.19])))))))),
0)</f>
        <v>0</v>
      </c>
      <c r="AC50" s="196">
        <f t="array" ref="AC50">IFERROR(
(AVERAGE((IF(DATOS_[[Sexo]:[Sexo]]=$B50,IF(DATOS_[[AGRUP. VALOR. PTO.]:[AGRUP. VALOR. PTO.]]=$B48,IF(DATOS_[[Check Periodo Ref.]:[Check Periodo Ref.]]="Dentro",IF(DATOS_[[Check Equiparado]:[Check Equiparado]]="Sí",IF(DATOS!AX$5="Sí",(1/DATOS_[[% anualiz]:[% anualiz]]),1)*IF(DATOS!AX$4="Sí",1/DATOS_[[% normaliz]:[% normaliz]],1)*(DATOS_[Conc.Sal.20])))))))),
0)</f>
        <v>0</v>
      </c>
      <c r="AD50" s="196">
        <f t="array" ref="AD50">IFERROR(
(AVERAGE((IF(DATOS_[[Sexo]:[Sexo]]=$B50,IF(DATOS_[[AGRUP. VALOR. PTO.]:[AGRUP. VALOR. PTO.]]=$B48,IF(DATOS_[[Check Periodo Ref.]:[Check Periodo Ref.]]="Dentro",IF(DATOS_[[Check Equiparado]:[Check Equiparado]]="Sí",IF(DATOS!AY$5="Sí",(1/DATOS_[[% anualiz]:[% anualiz]]),1)*IF(DATOS!AY$4="Sí",1/DATOS_[[% normaliz]:[% normaliz]],1)*(DATOS_[Conc.Sal.21])))))))),
0)</f>
        <v>0</v>
      </c>
      <c r="AE50" s="196">
        <f t="array" ref="AE50">IFERROR(
(AVERAGE((IF(DATOS_[[Sexo]:[Sexo]]=$B50,IF(DATOS_[[AGRUP. VALOR. PTO.]:[AGRUP. VALOR. PTO.]]=$B48,IF(DATOS_[[Check Periodo Ref.]:[Check Periodo Ref.]]="Dentro",IF(DATOS_[[Check Equiparado]:[Check Equiparado]]="Sí",IF(DATOS!AZ$5="Sí",(1/DATOS_[[% anualiz]:[% anualiz]]),1)*IF(DATOS!AZ$4="Sí",1/DATOS_[[% normaliz]:[% normaliz]],1)*(DATOS_[Conc.Sal.22])))))))),
0)</f>
        <v>0</v>
      </c>
      <c r="AF50" s="196">
        <f t="array" ref="AF50">IFERROR(
(AVERAGE((IF(DATOS_[[Sexo]:[Sexo]]=$B50,IF(DATOS_[[AGRUP. VALOR. PTO.]:[AGRUP. VALOR. PTO.]]=$B48,IF(DATOS_[[Check Periodo Ref.]:[Check Periodo Ref.]]="Dentro",IF(DATOS_[[Check Equiparado]:[Check Equiparado]]="Sí",IF(DATOS!BA$5="Sí",(1/DATOS_[[% anualiz]:[% anualiz]]),1)*IF(DATOS!BA$4="Sí",1/DATOS_[[% normaliz]:[% normaliz]],1)*(DATOS_[Conc.Sal.23])))))))),
0)</f>
        <v>0</v>
      </c>
      <c r="AG50" s="196">
        <f t="array" ref="AG50">IFERROR(
(AVERAGE((IF(DATOS_[[Sexo]:[Sexo]]=$B50,IF(DATOS_[[AGRUP. VALOR. PTO.]:[AGRUP. VALOR. PTO.]]=$B48,IF(DATOS_[[Check Periodo Ref.]:[Check Periodo Ref.]]="Dentro",IF(DATOS_[[Check Equiparado]:[Check Equiparado]]="Sí",IF(DATOS!BB$5="Sí",(1/DATOS_[[% anualiz]:[% anualiz]]),1)*IF(DATOS!BB$4="Sí",1/DATOS_[[% normaliz]:[% normaliz]],1)*(DATOS_[Conc.Sal.24])))))))),
0)</f>
        <v>0</v>
      </c>
      <c r="AH50" s="196">
        <f t="array" ref="AH50">IFERROR(
(AVERAGE((IF(DATOS_[[Sexo]:[Sexo]]=$B50,IF(DATOS_[[AGRUP. VALOR. PTO.]:[AGRUP. VALOR. PTO.]]=$B48,IF(DATOS_[[Check Periodo Ref.]:[Check Periodo Ref.]]="Dentro",IF(DATOS_[[Check Equiparado]:[Check Equiparado]]="Sí",IF(DATOS!BC$5="Sí",(1/DATOS_[[% anualiz]:[% anualiz]]),1)*IF(DATOS!BC$4="Sí",1/DATOS_[[% normaliz]:[% normaliz]],1)*(DATOS_[Conc.Sal.25])))))))),
0)</f>
        <v>0</v>
      </c>
      <c r="AI50" s="196">
        <f t="array" ref="AI50">IFERROR(
(AVERAGE((IF(DATOS_[[Sexo]:[Sexo]]=$B50,IF(DATOS_[[AGRUP. VALOR. PTO.]:[AGRUP. VALOR. PTO.]]=$B48,IF(DATOS_[[Check Periodo Ref.]:[Check Periodo Ref.]]="Dentro",IF(DATOS_[[Check Equiparado]:[Check Equiparado]]="Sí",IF(DATOS!BD$5="Sí",(1/DATOS_[[% anualiz]:[% anualiz]]),1)*IF(DATOS!BD$4="Sí",1/DATOS_[[% normaliz]:[% normaliz]],1)*(DATOS_[Conc.Sal.26])))))))),
0)</f>
        <v>0</v>
      </c>
      <c r="AJ50" s="196">
        <f t="array" ref="AJ50">IFERROR(
(AVERAGE((IF(DATOS_[[Sexo]:[Sexo]]=$B50,IF(DATOS_[[AGRUP. VALOR. PTO.]:[AGRUP. VALOR. PTO.]]=$B48,IF(DATOS_[[Check Periodo Ref.]:[Check Periodo Ref.]]="Dentro",IF(DATOS_[[Check Equiparado]:[Check Equiparado]]="Sí",IF(DATOS!BE$5="Sí",(1/DATOS_[[% anualiz]:[% anualiz]]),1)*IF(DATOS!BE$4="Sí",1/DATOS_[[% normaliz]:[% normaliz]],1)*(DATOS_[Conc.Sal.27])))))))),
0)</f>
        <v>0</v>
      </c>
      <c r="AK50" s="196">
        <f t="array" ref="AK50">IFERROR(
(AVERAGE((IF(DATOS_[[Sexo]:[Sexo]]=$B50,IF(DATOS_[[AGRUP. VALOR. PTO.]:[AGRUP. VALOR. PTO.]]=$B48,IF(DATOS_[[Check Periodo Ref.]:[Check Periodo Ref.]]="Dentro",IF(DATOS_[[Check Equiparado]:[Check Equiparado]]="Sí",IF(DATOS!BF$5="Sí",(1/DATOS_[[% anualiz]:[% anualiz]]),1)*IF(DATOS!BF$4="Sí",1/DATOS_[[% normaliz]:[% normaliz]],1)*(DATOS_[Conc.Sal.28])))))))),
0)</f>
        <v>0</v>
      </c>
      <c r="AL50" s="196">
        <f t="array" ref="AL50">IFERROR(
(AVERAGE((IF(DATOS_[[Sexo]:[Sexo]]=$B50,IF(DATOS_[[AGRUP. VALOR. PTO.]:[AGRUP. VALOR. PTO.]]=$B48,IF(DATOS_[[Check Periodo Ref.]:[Check Periodo Ref.]]="Dentro",IF(DATOS_[[Check Equiparado]:[Check Equiparado]]="Sí",IF(DATOS!BG$5="Sí",(1/DATOS_[[% anualiz]:[% anualiz]]),1)*IF(DATOS!BG$4="Sí",1/DATOS_[[% normaliz]:[% normaliz]],1)*(DATOS_[Conc.Sal.29])))))))),
0)</f>
        <v>0</v>
      </c>
      <c r="AM50" s="196">
        <f t="array" ref="AM50">IFERROR(
(AVERAGE((IF(DATOS_[[Sexo]:[Sexo]]=$B50,IF(DATOS_[[AGRUP. VALOR. PTO.]:[AGRUP. VALOR. PTO.]]=$B48,IF(DATOS_[[Check Periodo Ref.]:[Check Periodo Ref.]]="Dentro",IF(DATOS_[[Check Equiparado]:[Check Equiparado]]="Sí",IF(DATOS!BH$5="Sí",(1/DATOS_[[% anualiz]:[% anualiz]]),1)*IF(DATOS!BH$4="Sí",1/DATOS_[[% normaliz]:[% normaliz]],1)*(DATOS_[Conc.Sal.30])))))))),
0)</f>
        <v>0</v>
      </c>
      <c r="AN50" s="195">
        <f t="array" ref="AN50">IFERROR(
AVERAGE(IF(DATOS_[Sexo]=$B50,IF(DATOS_[[AGRUP. VALOR. PTO.]:[AGRUP. VALOR. PTO.]]=$B48,IF(DATOS_[Check Equiparado]="Sí",IF(DATOS_[Check Periodo Ref.]="Dentro",DATOS_[Tot COMPL.SAL Eq],FALSE))))),
0)</f>
        <v>0</v>
      </c>
      <c r="AO50" s="172">
        <f t="array" ref="AO50">IFERROR(
AVERAGE(IF(DATOS_[Sexo]=$B50,IF(DATOS_[[AGRUP. VALOR. PTO.]:[AGRUP. VALOR. PTO.]]=$B48,IF(DATOS_[Check Equiparado]="Sí",IF(DATOS_[Check Periodo Ref.]="Dentro",DATOS_[TOTAL SALARIO Eq],FALSE))))),
0)</f>
        <v>0</v>
      </c>
      <c r="AP50" s="173">
        <f t="array" ref="AP50">IFERROR(
(AVERAGE((IF(DATOS_[[Sexo]:[Sexo]]=$B50,IF(DATOS_[[AGRUP. VALOR. PTO.]:[AGRUP. VALOR. PTO.]]=$B48,IF(DATOS_[[Check Periodo Ref.]:[Check Periodo Ref.]]="Dentro",IF(DATOS_[[Check Equiparado]:[Check Equiparado]]="Sí",IF(DATOS!BW$5="Sí",(1/DATOS_[[% anualiz]:[% anualiz]]),1)*IF(DATOS!BW$4="Sí",1/DATOS_[[% normaliz]:[% normaliz]],1)*(DATOS_[C.Extra.01])))))))),
0)</f>
        <v>0</v>
      </c>
      <c r="AQ50" s="173">
        <f t="array" ref="AQ50">IFERROR(
(AVERAGE((IF(DATOS_[[Sexo]:[Sexo]]=$B50,IF(DATOS_[[AGRUP. VALOR. PTO.]:[AGRUP. VALOR. PTO.]]=$B48,IF(DATOS_[[Check Periodo Ref.]:[Check Periodo Ref.]]="Dentro",IF(DATOS_[[Check Equiparado]:[Check Equiparado]]="Sí",IF(DATOS!CB$5="Sí",(1/DATOS_[[% anualiz]:[% anualiz]]),1)*IF(DATOS!CB$4="Sí",1/DATOS_[[% normaliz]:[% normaliz]],1)*(DATOS_[C.Extra.06])))))))),
0)</f>
        <v>0</v>
      </c>
      <c r="AR50" s="173">
        <f t="array" ref="AR50">IFERROR(
(AVERAGE((IF(DATOS_[[Sexo]:[Sexo]]=$B50,IF(DATOS_[[AGRUP. VALOR. PTO.]:[AGRUP. VALOR. PTO.]]=$B48,IF(DATOS_[[Check Periodo Ref.]:[Check Periodo Ref.]]="Dentro",IF(DATOS_[[Check Equiparado]:[Check Equiparado]]="Sí",IF(DATOS!CC$5="Sí",(1/DATOS_[[% anualiz]:[% anualiz]]),1)*IF(DATOS!CC$4="Sí",1/DATOS_[[% normaliz]:[% normaliz]],1)*(DATOS_[C.Extra.07])))))))),
0)</f>
        <v>0</v>
      </c>
      <c r="AS50" s="173">
        <f t="array" ref="AS50">IFERROR(
(AVERAGE((IF(DATOS_[[Sexo]:[Sexo]]=$B50,IF(DATOS_[[AGRUP. VALOR. PTO.]:[AGRUP. VALOR. PTO.]]=$B48,IF(DATOS_[[Check Periodo Ref.]:[Check Periodo Ref.]]="Dentro",IF(DATOS_[[Check Equiparado]:[Check Equiparado]]="Sí",IF(DATOS!CD$5="Sí",(1/DATOS_[[% anualiz]:[% anualiz]]),1)*IF(DATOS!CD$4="Sí",1/DATOS_[[% normaliz]:[% normaliz]],1)*(DATOS_[C.Extra.08])))))))),
0)</f>
        <v>0</v>
      </c>
      <c r="AT50" s="173">
        <f t="array" ref="AT50">IFERROR(
(AVERAGE((IF(DATOS_[[Sexo]:[Sexo]]=$B50,IF(DATOS_[[AGRUP. VALOR. PTO.]:[AGRUP. VALOR. PTO.]]=$B48,IF(DATOS_[[Check Periodo Ref.]:[Check Periodo Ref.]]="Dentro",IF(DATOS_[[Check Equiparado]:[Check Equiparado]]="Sí",IF(DATOS!CG$5="Sí",(1/DATOS_[[% anualiz]:[% anualiz]]),1)*IF(DATOS!CG$4="Sí",1/DATOS_[[% normaliz]:[% normaliz]],1)*(DATOS_[C.Extra.11])))))))),
0)</f>
        <v>0</v>
      </c>
      <c r="AU50" s="197">
        <f t="array" ref="AU50">IFERROR(
AVERAGE(IF(DATOS_[Sexo]=$B50,IF(DATOS_[[AGRUP. VALOR. PTO.]:[AGRUP. VALOR. PTO.]]=$B48,IF(DATOS_[Check Equiparado]="Sí",IF(DATOS_[Check Periodo Ref.]="Dentro",DATOS_[Tot Extrasalarial Eq],FALSE))))),
0)</f>
        <v>0</v>
      </c>
      <c r="AV50" s="175">
        <f t="array" ref="AV50">IFERROR(
AVERAGE(IF(DATOS_[Sexo]=$B50,IF(DATOS_[[AGRUP. VALOR. PTO.]:[AGRUP. VALOR. PTO.]]=$B48,IF(DATOS_[Check Equiparado]="Sí",IF(DATOS_[Check Periodo Ref.]="Dentro",DATOS_[TOTAL Retrib Eq],FALSE))))),
0)</f>
        <v>0</v>
      </c>
    </row>
    <row r="51" spans="1:48" ht="15.6" thickBot="1" x14ac:dyDescent="0.3">
      <c r="A51" s="133" t="str">
        <f t="shared" ref="A51" si="51">+A52</f>
        <v>[ocultar]</v>
      </c>
      <c r="B51" s="199" t="s">
        <v>226</v>
      </c>
      <c r="C51" s="200"/>
      <c r="D51" s="201"/>
      <c r="E51" s="201"/>
      <c r="F51" s="201"/>
      <c r="G51" s="201"/>
      <c r="H51" s="201"/>
      <c r="I51" s="189" t="str">
        <f t="shared" ref="I51:AV51" si="52">IFERROR((I52-I53)/I52,"")</f>
        <v/>
      </c>
      <c r="J51" s="190" t="str">
        <f t="shared" si="52"/>
        <v/>
      </c>
      <c r="K51" s="191" t="str">
        <f t="shared" si="52"/>
        <v/>
      </c>
      <c r="L51" s="191" t="str">
        <f t="shared" si="52"/>
        <v/>
      </c>
      <c r="M51" s="191" t="str">
        <f t="shared" si="52"/>
        <v/>
      </c>
      <c r="N51" s="192" t="str">
        <f t="shared" si="52"/>
        <v/>
      </c>
      <c r="O51" s="193" t="str">
        <f t="shared" si="52"/>
        <v/>
      </c>
      <c r="P51" s="193" t="str">
        <f t="shared" si="52"/>
        <v/>
      </c>
      <c r="Q51" s="193" t="str">
        <f t="shared" si="52"/>
        <v/>
      </c>
      <c r="R51" s="193" t="str">
        <f t="shared" si="52"/>
        <v/>
      </c>
      <c r="S51" s="193" t="str">
        <f t="shared" si="52"/>
        <v/>
      </c>
      <c r="T51" s="193" t="str">
        <f t="shared" si="52"/>
        <v/>
      </c>
      <c r="U51" s="193" t="str">
        <f t="shared" si="52"/>
        <v/>
      </c>
      <c r="V51" s="193" t="str">
        <f t="shared" si="52"/>
        <v/>
      </c>
      <c r="W51" s="193" t="str">
        <f t="shared" si="52"/>
        <v/>
      </c>
      <c r="X51" s="193" t="str">
        <f t="shared" si="52"/>
        <v/>
      </c>
      <c r="Y51" s="193" t="str">
        <f t="shared" si="52"/>
        <v/>
      </c>
      <c r="Z51" s="193" t="str">
        <f t="shared" si="52"/>
        <v/>
      </c>
      <c r="AA51" s="193" t="str">
        <f t="shared" si="52"/>
        <v/>
      </c>
      <c r="AB51" s="193" t="str">
        <f t="shared" si="52"/>
        <v/>
      </c>
      <c r="AC51" s="193" t="str">
        <f t="shared" si="52"/>
        <v/>
      </c>
      <c r="AD51" s="193" t="str">
        <f t="shared" si="52"/>
        <v/>
      </c>
      <c r="AE51" s="193" t="str">
        <f t="shared" si="52"/>
        <v/>
      </c>
      <c r="AF51" s="193" t="str">
        <f t="shared" si="52"/>
        <v/>
      </c>
      <c r="AG51" s="193" t="str">
        <f t="shared" si="52"/>
        <v/>
      </c>
      <c r="AH51" s="193" t="str">
        <f t="shared" si="52"/>
        <v/>
      </c>
      <c r="AI51" s="193" t="str">
        <f t="shared" si="52"/>
        <v/>
      </c>
      <c r="AJ51" s="193" t="str">
        <f t="shared" si="52"/>
        <v/>
      </c>
      <c r="AK51" s="193" t="str">
        <f t="shared" si="52"/>
        <v/>
      </c>
      <c r="AL51" s="193" t="str">
        <f t="shared" si="52"/>
        <v/>
      </c>
      <c r="AM51" s="193" t="str">
        <f t="shared" si="52"/>
        <v/>
      </c>
      <c r="AN51" s="189" t="str">
        <f t="shared" si="52"/>
        <v/>
      </c>
      <c r="AO51" s="162" t="str">
        <f t="shared" si="52"/>
        <v/>
      </c>
      <c r="AP51" s="163" t="str">
        <f t="shared" si="52"/>
        <v/>
      </c>
      <c r="AQ51" s="163" t="str">
        <f t="shared" si="52"/>
        <v/>
      </c>
      <c r="AR51" s="163" t="str">
        <f t="shared" si="52"/>
        <v/>
      </c>
      <c r="AS51" s="163" t="str">
        <f t="shared" si="52"/>
        <v/>
      </c>
      <c r="AT51" s="163" t="str">
        <f t="shared" si="52"/>
        <v/>
      </c>
      <c r="AU51" s="194" t="str">
        <f t="shared" si="52"/>
        <v/>
      </c>
      <c r="AV51" s="165" t="str">
        <f t="shared" si="52"/>
        <v/>
      </c>
    </row>
    <row r="52" spans="1:48" x14ac:dyDescent="0.25">
      <c r="A52" s="133" t="str">
        <f t="shared" ref="A52" si="53">+IF(C52+C53=0,"[ocultar]","")</f>
        <v>[ocultar]</v>
      </c>
      <c r="B52" s="202" t="s">
        <v>394</v>
      </c>
      <c r="C52" s="203">
        <f t="array" ref="C52">SUM(IF($B52=DATOS_[Sexo],
IF($B51=DATOS_[AGRUP. VALOR. PTO.],
IF("Dentro"=DATOS_[Check Periodo Ref.],
1/(COUNTIFS(DATOS_[Sexo],$B52,DATOS_[AGRUP. VALOR. PTO.],$B51,DATOS_[Check Periodo Ref.],"Dentro",DATOS_[id/cod],DATOS_[id/cod]))))))</f>
        <v>0</v>
      </c>
      <c r="D52" s="204">
        <f>COUNTIFS(DATOS_[AGRUP. VALOR. PTO.],$B51,DATOS_[Sexo],$B52,DATOS_[Check Periodo Ref.],"Dentro")</f>
        <v>0</v>
      </c>
      <c r="E52" s="204">
        <f>COUNTIFS(DATOS_[AGRUP. VALOR. PTO.],$B51,DATOS_[Sexo],$B52,DATOS_[Check Periodo Ref.],"Dentro",DATOS_[Check Nº SC Norm],"Sí")</f>
        <v>0</v>
      </c>
      <c r="F52" s="204">
        <f>COUNTIFS(DATOS_[AGRUP. VALOR. PTO.],$B51,DATOS_[Sexo],$B52,DATOS_[Check Periodo Ref.],"Dentro",DATOS_[Check Nº SC Anualiz],"Sí")</f>
        <v>0</v>
      </c>
      <c r="G52" s="204">
        <f>COUNTIFS(DATOS_[AGRUP. VALOR. PTO.],$B51,DATOS_[Sexo],$B52,DATOS_[Check Periodo Ref.],"Dentro",DATOS_[Check Nº SC Norm y Anualiz],"Sí")</f>
        <v>0</v>
      </c>
      <c r="H52" s="204">
        <f>COUNTIFS(DATOS_[AGRUP. VALOR. PTO.],$B51,DATOS_[Sexo],$B52,DATOS_[Check Periodo Ref.],"Dentro",DATOS_[Check Equiparación],"Sí")</f>
        <v>0</v>
      </c>
      <c r="I52" s="195">
        <f t="array" ref="I52">IFERROR(
AVERAGE(IF(DATOS_[Sexo]=$B52,IF(DATOS_[[AGRUP. VALOR. PTO.]:[AGRUP. VALOR. PTO.]]=$B51,IF(DATOS_[Check Equiparado]="Sí",IF(DATOS_[Check Periodo Ref.]="Dentro",DATOS_[SALARIO BASE Eq],FALSE))))),
0)</f>
        <v>0</v>
      </c>
      <c r="J52" s="196">
        <f t="array" ref="J52">IFERROR(
(AVERAGE((IF(DATOS_[[Sexo]:[Sexo]]=$B52,IF(DATOS_[[AGRUP. VALOR. PTO.]:[AGRUP. VALOR. PTO.]]=$B51,IF(DATOS_[[Check Periodo Ref.]:[Check Periodo Ref.]]="Dentro",IF(DATOS_[[Check Equiparado]:[Check Equiparado]]="Sí",IF(DATOS!AE$5="Sí",(1/DATOS_[[% anualiz]:[% anualiz]]),1)*IF(DATOS!AE$4="Sí",1/DATOS_[[% normaliz]:[% normaliz]],1)*(DATOS_[Conc.Sal.01])))))))),
0)</f>
        <v>0</v>
      </c>
      <c r="K52" s="196">
        <f t="array" ref="K52">IFERROR(
(AVERAGE((IF(DATOS_[[Sexo]:[Sexo]]=$B52,IF(DATOS_[[AGRUP. VALOR. PTO.]:[AGRUP. VALOR. PTO.]]=$B51,IF(DATOS_[[Check Periodo Ref.]:[Check Periodo Ref.]]="Dentro",IF(DATOS_[[Check Equiparado]:[Check Equiparado]]="Sí",IF(DATOS!AF$5="Sí",(1/DATOS_[[% anualiz]:[% anualiz]]),1)*IF(DATOS!AF$4="Sí",1/DATOS_[[% normaliz]:[% normaliz]],1)*(DATOS_[Conc.Sal.02])))))))),
0)</f>
        <v>0</v>
      </c>
      <c r="L52" s="196">
        <f t="array" ref="L52">IFERROR(
(AVERAGE((IF(DATOS_[[Sexo]:[Sexo]]=$B52,IF(DATOS_[[AGRUP. VALOR. PTO.]:[AGRUP. VALOR. PTO.]]=$B51,IF(DATOS_[[Check Periodo Ref.]:[Check Periodo Ref.]]="Dentro",IF(DATOS_[[Check Equiparado]:[Check Equiparado]]="Sí",IF(DATOS!AG$5="Sí",(1/DATOS_[[% anualiz]:[% anualiz]]),1)*IF(DATOS!AG$4="Sí",1/DATOS_[[% normaliz]:[% normaliz]],1)*(DATOS_[Conc.Sal.03])))))))),
0)</f>
        <v>0</v>
      </c>
      <c r="M52" s="196">
        <f t="array" ref="M52">IFERROR(
(AVERAGE((IF(DATOS_[[Sexo]:[Sexo]]=$B52,IF(DATOS_[[AGRUP. VALOR. PTO.]:[AGRUP. VALOR. PTO.]]=$B51,IF(DATOS_[[Check Periodo Ref.]:[Check Periodo Ref.]]="Dentro",IF(DATOS_[[Check Equiparado]:[Check Equiparado]]="Sí",IF(DATOS!AH$5="Sí",(1/DATOS_[[% anualiz]:[% anualiz]]),1)*IF(DATOS!AH$4="Sí",1/DATOS_[[% normaliz]:[% normaliz]],1)*(DATOS_[Conc.Sal.04])))))))),
0)</f>
        <v>0</v>
      </c>
      <c r="N52" s="196">
        <f t="array" ref="N52">IFERROR(
(AVERAGE((IF(DATOS_[[Sexo]:[Sexo]]=$B52,IF(DATOS_[[AGRUP. VALOR. PTO.]:[AGRUP. VALOR. PTO.]]=$B51,IF(DATOS_[[Check Periodo Ref.]:[Check Periodo Ref.]]="Dentro",IF(DATOS_[[Check Equiparado]:[Check Equiparado]]="Sí",IF(DATOS!AI$5="Sí",(1/DATOS_[[% anualiz]:[% anualiz]]),1)*IF(DATOS!AI$4="Sí",1/DATOS_[[% normaliz]:[% normaliz]],1)*(DATOS_[Conc.Sal.05])))))))),
0)</f>
        <v>0</v>
      </c>
      <c r="O52" s="196">
        <f t="array" ref="O52">IFERROR(
(AVERAGE((IF(DATOS_[[Sexo]:[Sexo]]=$B52,IF(DATOS_[[AGRUP. VALOR. PTO.]:[AGRUP. VALOR. PTO.]]=$B51,IF(DATOS_[[Check Periodo Ref.]:[Check Periodo Ref.]]="Dentro",IF(DATOS_[[Check Equiparado]:[Check Equiparado]]="Sí",IF(DATOS!AJ$5="Sí",(1/DATOS_[[% anualiz]:[% anualiz]]),1)*IF(DATOS!AJ$4="Sí",1/DATOS_[[% normaliz]:[% normaliz]],1)*(DATOS_[Conc.Sal.06])))))))),
0)</f>
        <v>0</v>
      </c>
      <c r="P52" s="196">
        <f t="array" ref="P52">IFERROR(
(AVERAGE((IF(DATOS_[[Sexo]:[Sexo]]=$B52,IF(DATOS_[[AGRUP. VALOR. PTO.]:[AGRUP. VALOR. PTO.]]=$B51,IF(DATOS_[[Check Periodo Ref.]:[Check Periodo Ref.]]="Dentro",IF(DATOS_[[Check Equiparado]:[Check Equiparado]]="Sí",IF(DATOS!AK$5="Sí",(1/DATOS_[[% anualiz]:[% anualiz]]),1)*IF(DATOS!AK$4="Sí",1/DATOS_[[% normaliz]:[% normaliz]],1)*(DATOS_[Conc.Sal.07])))))))),
0)</f>
        <v>0</v>
      </c>
      <c r="Q52" s="196">
        <f t="array" ref="Q52">IFERROR(
(AVERAGE((IF(DATOS_[[Sexo]:[Sexo]]=$B52,IF(DATOS_[[AGRUP. VALOR. PTO.]:[AGRUP. VALOR. PTO.]]=$B51,IF(DATOS_[[Check Periodo Ref.]:[Check Periodo Ref.]]="Dentro",IF(DATOS_[[Check Equiparado]:[Check Equiparado]]="Sí",IF(DATOS!AL$5="Sí",(1/DATOS_[[% anualiz]:[% anualiz]]),1)*IF(DATOS!AL$4="Sí",1/DATOS_[[% normaliz]:[% normaliz]],1)*(DATOS_[Conc.Sal.08])))))))),
0)</f>
        <v>0</v>
      </c>
      <c r="R52" s="196">
        <f t="array" ref="R52">IFERROR(
(AVERAGE((IF(DATOS_[[Sexo]:[Sexo]]=$B52,IF(DATOS_[[AGRUP. VALOR. PTO.]:[AGRUP. VALOR. PTO.]]=$B51,IF(DATOS_[[Check Periodo Ref.]:[Check Periodo Ref.]]="Dentro",IF(DATOS_[[Check Equiparado]:[Check Equiparado]]="Sí",IF(DATOS!AM$5="Sí",(1/DATOS_[[% anualiz]:[% anualiz]]),1)*IF(DATOS!AM$4="Sí",1/DATOS_[[% normaliz]:[% normaliz]],1)*(DATOS_[Conc.Sal.09])))))))),
0)</f>
        <v>0</v>
      </c>
      <c r="S52" s="196">
        <f t="array" ref="S52">IFERROR(
(AVERAGE((IF(DATOS_[[Sexo]:[Sexo]]=$B52,IF(DATOS_[[AGRUP. VALOR. PTO.]:[AGRUP. VALOR. PTO.]]=$B51,IF(DATOS_[[Check Periodo Ref.]:[Check Periodo Ref.]]="Dentro",IF(DATOS_[[Check Equiparado]:[Check Equiparado]]="Sí",IF(DATOS!AN$5="Sí",(1/DATOS_[[% anualiz]:[% anualiz]]),1)*IF(DATOS!AN$4="Sí",1/DATOS_[[% normaliz]:[% normaliz]],1)*(DATOS_[Conc.Sal.10])))))))),
0)</f>
        <v>0</v>
      </c>
      <c r="T52" s="196">
        <f t="array" ref="T52">IFERROR(
(AVERAGE((IF(DATOS_[[Sexo]:[Sexo]]=$B52,IF(DATOS_[[AGRUP. VALOR. PTO.]:[AGRUP. VALOR. PTO.]]=$B51,IF(DATOS_[[Check Periodo Ref.]:[Check Periodo Ref.]]="Dentro",IF(DATOS_[[Check Equiparado]:[Check Equiparado]]="Sí",IF(DATOS!AO$5="Sí",(1/DATOS_[[% anualiz]:[% anualiz]]),1)*IF(DATOS!AO$4="Sí",1/DATOS_[[% normaliz]:[% normaliz]],1)*(DATOS_[Conc.Sal.11])))))))),
0)</f>
        <v>0</v>
      </c>
      <c r="U52" s="196">
        <f t="array" ref="U52">IFERROR(
(AVERAGE((IF(DATOS_[[Sexo]:[Sexo]]=$B52,IF(DATOS_[[AGRUP. VALOR. PTO.]:[AGRUP. VALOR. PTO.]]=$B51,IF(DATOS_[[Check Periodo Ref.]:[Check Periodo Ref.]]="Dentro",IF(DATOS_[[Check Equiparado]:[Check Equiparado]]="Sí",IF(DATOS!AP$5="Sí",(1/DATOS_[[% anualiz]:[% anualiz]]),1)*IF(DATOS!AP$4="Sí",1/DATOS_[[% normaliz]:[% normaliz]],1)*(DATOS_[Conc.Sal.12])))))))),
0)</f>
        <v>0</v>
      </c>
      <c r="V52" s="196">
        <f t="array" ref="V52">IFERROR(
(AVERAGE((IF(DATOS_[[Sexo]:[Sexo]]=$B52,IF(DATOS_[[AGRUP. VALOR. PTO.]:[AGRUP. VALOR. PTO.]]=$B51,IF(DATOS_[[Check Periodo Ref.]:[Check Periodo Ref.]]="Dentro",IF(DATOS_[[Check Equiparado]:[Check Equiparado]]="Sí",IF(DATOS!AQ$5="Sí",(1/DATOS_[[% anualiz]:[% anualiz]]),1)*IF(DATOS!AQ$4="Sí",1/DATOS_[[% normaliz]:[% normaliz]],1)*(DATOS_[Conc.Sal.13])))))))),
0)</f>
        <v>0</v>
      </c>
      <c r="W52" s="196">
        <f t="array" ref="W52">IFERROR(
(AVERAGE((IF(DATOS_[[Sexo]:[Sexo]]=$B52,IF(DATOS_[[AGRUP. VALOR. PTO.]:[AGRUP. VALOR. PTO.]]=$B51,IF(DATOS_[[Check Periodo Ref.]:[Check Periodo Ref.]]="Dentro",IF(DATOS_[[Check Equiparado]:[Check Equiparado]]="Sí",IF(DATOS!AR$5="Sí",(1/DATOS_[[% anualiz]:[% anualiz]]),1)*IF(DATOS!AR$4="Sí",1/DATOS_[[% normaliz]:[% normaliz]],1)*(DATOS_[Conc.Sal.14])))))))),
0)</f>
        <v>0</v>
      </c>
      <c r="X52" s="196">
        <f t="array" ref="X52">IFERROR(
(AVERAGE((IF(DATOS_[[Sexo]:[Sexo]]=$B52,IF(DATOS_[[AGRUP. VALOR. PTO.]:[AGRUP. VALOR. PTO.]]=$B51,IF(DATOS_[[Check Periodo Ref.]:[Check Periodo Ref.]]="Dentro",IF(DATOS_[[Check Equiparado]:[Check Equiparado]]="Sí",IF(DATOS!AS$5="Sí",(1/DATOS_[[% anualiz]:[% anualiz]]),1)*IF(DATOS!AS$4="Sí",1/DATOS_[[% normaliz]:[% normaliz]],1)*(DATOS_[Conc.Sal.15])))))))),
0)</f>
        <v>0</v>
      </c>
      <c r="Y52" s="196">
        <f t="array" ref="Y52">IFERROR(
(AVERAGE((IF(DATOS_[[Sexo]:[Sexo]]=$B52,IF(DATOS_[[AGRUP. VALOR. PTO.]:[AGRUP. VALOR. PTO.]]=$B51,IF(DATOS_[[Check Periodo Ref.]:[Check Periodo Ref.]]="Dentro",IF(DATOS_[[Check Equiparado]:[Check Equiparado]]="Sí",IF(DATOS!AT$5="Sí",(1/DATOS_[[% anualiz]:[% anualiz]]),1)*IF(DATOS!AT$4="Sí",1/DATOS_[[% normaliz]:[% normaliz]],1)*(DATOS_[Conc.Sal.16])))))))),
0)</f>
        <v>0</v>
      </c>
      <c r="Z52" s="196">
        <f t="array" ref="Z52">IFERROR(
(AVERAGE((IF(DATOS_[[Sexo]:[Sexo]]=$B52,IF(DATOS_[[AGRUP. VALOR. PTO.]:[AGRUP. VALOR. PTO.]]=$B51,IF(DATOS_[[Check Periodo Ref.]:[Check Periodo Ref.]]="Dentro",IF(DATOS_[[Check Equiparado]:[Check Equiparado]]="Sí",IF(DATOS!AU$5="Sí",(1/DATOS_[[% anualiz]:[% anualiz]]),1)*IF(DATOS!AU$4="Sí",1/DATOS_[[% normaliz]:[% normaliz]],1)*(DATOS_[Conc.Sal.17])))))))),
0)</f>
        <v>0</v>
      </c>
      <c r="AA52" s="196">
        <f t="array" ref="AA52">IFERROR(
(AVERAGE((IF(DATOS_[[Sexo]:[Sexo]]=$B52,IF(DATOS_[[AGRUP. VALOR. PTO.]:[AGRUP. VALOR. PTO.]]=$B51,IF(DATOS_[[Check Periodo Ref.]:[Check Periodo Ref.]]="Dentro",IF(DATOS_[[Check Equiparado]:[Check Equiparado]]="Sí",IF(DATOS!AV$5="Sí",(1/DATOS_[[% anualiz]:[% anualiz]]),1)*IF(DATOS!AV$4="Sí",1/DATOS_[[% normaliz]:[% normaliz]],1)*(DATOS_[Conc.Sal.18])))))))),
0)</f>
        <v>0</v>
      </c>
      <c r="AB52" s="196">
        <f t="array" ref="AB52">IFERROR(
(AVERAGE((IF(DATOS_[[Sexo]:[Sexo]]=$B52,IF(DATOS_[[AGRUP. VALOR. PTO.]:[AGRUP. VALOR. PTO.]]=$B51,IF(DATOS_[[Check Periodo Ref.]:[Check Periodo Ref.]]="Dentro",IF(DATOS_[[Check Equiparado]:[Check Equiparado]]="Sí",IF(DATOS!AW$5="Sí",(1/DATOS_[[% anualiz]:[% anualiz]]),1)*IF(DATOS!AW$4="Sí",1/DATOS_[[% normaliz]:[% normaliz]],1)*(DATOS_[Conc.Sal.19])))))))),
0)</f>
        <v>0</v>
      </c>
      <c r="AC52" s="196">
        <f t="array" ref="AC52">IFERROR(
(AVERAGE((IF(DATOS_[[Sexo]:[Sexo]]=$B52,IF(DATOS_[[AGRUP. VALOR. PTO.]:[AGRUP. VALOR. PTO.]]=$B51,IF(DATOS_[[Check Periodo Ref.]:[Check Periodo Ref.]]="Dentro",IF(DATOS_[[Check Equiparado]:[Check Equiparado]]="Sí",IF(DATOS!AX$5="Sí",(1/DATOS_[[% anualiz]:[% anualiz]]),1)*IF(DATOS!AX$4="Sí",1/DATOS_[[% normaliz]:[% normaliz]],1)*(DATOS_[Conc.Sal.20])))))))),
0)</f>
        <v>0</v>
      </c>
      <c r="AD52" s="196">
        <f t="array" ref="AD52">IFERROR(
(AVERAGE((IF(DATOS_[[Sexo]:[Sexo]]=$B52,IF(DATOS_[[AGRUP. VALOR. PTO.]:[AGRUP. VALOR. PTO.]]=$B51,IF(DATOS_[[Check Periodo Ref.]:[Check Periodo Ref.]]="Dentro",IF(DATOS_[[Check Equiparado]:[Check Equiparado]]="Sí",IF(DATOS!AY$5="Sí",(1/DATOS_[[% anualiz]:[% anualiz]]),1)*IF(DATOS!AY$4="Sí",1/DATOS_[[% normaliz]:[% normaliz]],1)*(DATOS_[Conc.Sal.21])))))))),
0)</f>
        <v>0</v>
      </c>
      <c r="AE52" s="196">
        <f t="array" ref="AE52">IFERROR(
(AVERAGE((IF(DATOS_[[Sexo]:[Sexo]]=$B52,IF(DATOS_[[AGRUP. VALOR. PTO.]:[AGRUP. VALOR. PTO.]]=$B51,IF(DATOS_[[Check Periodo Ref.]:[Check Periodo Ref.]]="Dentro",IF(DATOS_[[Check Equiparado]:[Check Equiparado]]="Sí",IF(DATOS!AZ$5="Sí",(1/DATOS_[[% anualiz]:[% anualiz]]),1)*IF(DATOS!AZ$4="Sí",1/DATOS_[[% normaliz]:[% normaliz]],1)*(DATOS_[Conc.Sal.22])))))))),
0)</f>
        <v>0</v>
      </c>
      <c r="AF52" s="196">
        <f t="array" ref="AF52">IFERROR(
(AVERAGE((IF(DATOS_[[Sexo]:[Sexo]]=$B52,IF(DATOS_[[AGRUP. VALOR. PTO.]:[AGRUP. VALOR. PTO.]]=$B51,IF(DATOS_[[Check Periodo Ref.]:[Check Periodo Ref.]]="Dentro",IF(DATOS_[[Check Equiparado]:[Check Equiparado]]="Sí",IF(DATOS!BA$5="Sí",(1/DATOS_[[% anualiz]:[% anualiz]]),1)*IF(DATOS!BA$4="Sí",1/DATOS_[[% normaliz]:[% normaliz]],1)*(DATOS_[Conc.Sal.23])))))))),
0)</f>
        <v>0</v>
      </c>
      <c r="AG52" s="196">
        <f t="array" ref="AG52">IFERROR(
(AVERAGE((IF(DATOS_[[Sexo]:[Sexo]]=$B52,IF(DATOS_[[AGRUP. VALOR. PTO.]:[AGRUP. VALOR. PTO.]]=$B51,IF(DATOS_[[Check Periodo Ref.]:[Check Periodo Ref.]]="Dentro",IF(DATOS_[[Check Equiparado]:[Check Equiparado]]="Sí",IF(DATOS!BB$5="Sí",(1/DATOS_[[% anualiz]:[% anualiz]]),1)*IF(DATOS!BB$4="Sí",1/DATOS_[[% normaliz]:[% normaliz]],1)*(DATOS_[Conc.Sal.24])))))))),
0)</f>
        <v>0</v>
      </c>
      <c r="AH52" s="196">
        <f t="array" ref="AH52">IFERROR(
(AVERAGE((IF(DATOS_[[Sexo]:[Sexo]]=$B52,IF(DATOS_[[AGRUP. VALOR. PTO.]:[AGRUP. VALOR. PTO.]]=$B51,IF(DATOS_[[Check Periodo Ref.]:[Check Periodo Ref.]]="Dentro",IF(DATOS_[[Check Equiparado]:[Check Equiparado]]="Sí",IF(DATOS!BC$5="Sí",(1/DATOS_[[% anualiz]:[% anualiz]]),1)*IF(DATOS!BC$4="Sí",1/DATOS_[[% normaliz]:[% normaliz]],1)*(DATOS_[Conc.Sal.25])))))))),
0)</f>
        <v>0</v>
      </c>
      <c r="AI52" s="196">
        <f t="array" ref="AI52">IFERROR(
(AVERAGE((IF(DATOS_[[Sexo]:[Sexo]]=$B52,IF(DATOS_[[AGRUP. VALOR. PTO.]:[AGRUP. VALOR. PTO.]]=$B51,IF(DATOS_[[Check Periodo Ref.]:[Check Periodo Ref.]]="Dentro",IF(DATOS_[[Check Equiparado]:[Check Equiparado]]="Sí",IF(DATOS!BD$5="Sí",(1/DATOS_[[% anualiz]:[% anualiz]]),1)*IF(DATOS!BD$4="Sí",1/DATOS_[[% normaliz]:[% normaliz]],1)*(DATOS_[Conc.Sal.26])))))))),
0)</f>
        <v>0</v>
      </c>
      <c r="AJ52" s="196">
        <f t="array" ref="AJ52">IFERROR(
(AVERAGE((IF(DATOS_[[Sexo]:[Sexo]]=$B52,IF(DATOS_[[AGRUP. VALOR. PTO.]:[AGRUP. VALOR. PTO.]]=$B51,IF(DATOS_[[Check Periodo Ref.]:[Check Periodo Ref.]]="Dentro",IF(DATOS_[[Check Equiparado]:[Check Equiparado]]="Sí",IF(DATOS!BE$5="Sí",(1/DATOS_[[% anualiz]:[% anualiz]]),1)*IF(DATOS!BE$4="Sí",1/DATOS_[[% normaliz]:[% normaliz]],1)*(DATOS_[Conc.Sal.27])))))))),
0)</f>
        <v>0</v>
      </c>
      <c r="AK52" s="196">
        <f t="array" ref="AK52">IFERROR(
(AVERAGE((IF(DATOS_[[Sexo]:[Sexo]]=$B52,IF(DATOS_[[AGRUP. VALOR. PTO.]:[AGRUP. VALOR. PTO.]]=$B51,IF(DATOS_[[Check Periodo Ref.]:[Check Periodo Ref.]]="Dentro",IF(DATOS_[[Check Equiparado]:[Check Equiparado]]="Sí",IF(DATOS!BF$5="Sí",(1/DATOS_[[% anualiz]:[% anualiz]]),1)*IF(DATOS!BF$4="Sí",1/DATOS_[[% normaliz]:[% normaliz]],1)*(DATOS_[Conc.Sal.28])))))))),
0)</f>
        <v>0</v>
      </c>
      <c r="AL52" s="196">
        <f t="array" ref="AL52">IFERROR(
(AVERAGE((IF(DATOS_[[Sexo]:[Sexo]]=$B52,IF(DATOS_[[AGRUP. VALOR. PTO.]:[AGRUP. VALOR. PTO.]]=$B51,IF(DATOS_[[Check Periodo Ref.]:[Check Periodo Ref.]]="Dentro",IF(DATOS_[[Check Equiparado]:[Check Equiparado]]="Sí",IF(DATOS!BG$5="Sí",(1/DATOS_[[% anualiz]:[% anualiz]]),1)*IF(DATOS!BG$4="Sí",1/DATOS_[[% normaliz]:[% normaliz]],1)*(DATOS_[Conc.Sal.29])))))))),
0)</f>
        <v>0</v>
      </c>
      <c r="AM52" s="196">
        <f t="array" ref="AM52">IFERROR(
(AVERAGE((IF(DATOS_[[Sexo]:[Sexo]]=$B52,IF(DATOS_[[AGRUP. VALOR. PTO.]:[AGRUP. VALOR. PTO.]]=$B51,IF(DATOS_[[Check Periodo Ref.]:[Check Periodo Ref.]]="Dentro",IF(DATOS_[[Check Equiparado]:[Check Equiparado]]="Sí",IF(DATOS!BH$5="Sí",(1/DATOS_[[% anualiz]:[% anualiz]]),1)*IF(DATOS!BH$4="Sí",1/DATOS_[[% normaliz]:[% normaliz]],1)*(DATOS_[Conc.Sal.30])))))))),
0)</f>
        <v>0</v>
      </c>
      <c r="AN52" s="195">
        <f t="array" ref="AN52">IFERROR(
AVERAGE(IF(DATOS_[Sexo]=$B52,IF(DATOS_[[AGRUP. VALOR. PTO.]:[AGRUP. VALOR. PTO.]]=$B51,IF(DATOS_[Check Equiparado]="Sí",IF(DATOS_[Check Periodo Ref.]="Dentro",DATOS_[Tot COMPL.SAL Eq],FALSE))))),
0)</f>
        <v>0</v>
      </c>
      <c r="AO52" s="172">
        <f t="array" ref="AO52">IFERROR(
AVERAGE(IF(DATOS_[Sexo]=$B52,IF(DATOS_[[AGRUP. VALOR. PTO.]:[AGRUP. VALOR. PTO.]]=$B51,IF(DATOS_[Check Equiparado]="Sí",IF(DATOS_[Check Periodo Ref.]="Dentro",DATOS_[TOTAL SALARIO Eq],FALSE))))),
0)</f>
        <v>0</v>
      </c>
      <c r="AP52" s="173">
        <f t="array" ref="AP52">IFERROR(
(AVERAGE((IF(DATOS_[[Sexo]:[Sexo]]=$B52,IF(DATOS_[[AGRUP. VALOR. PTO.]:[AGRUP. VALOR. PTO.]]=$B51,IF(DATOS_[[Check Periodo Ref.]:[Check Periodo Ref.]]="Dentro",IF(DATOS_[[Check Equiparado]:[Check Equiparado]]="Sí",IF(DATOS!BW$5="Sí",(1/DATOS_[[% anualiz]:[% anualiz]]),1)*IF(DATOS!BW$4="Sí",1/DATOS_[[% normaliz]:[% normaliz]],1)*(DATOS_[C.Extra.01])))))))),
0)</f>
        <v>0</v>
      </c>
      <c r="AQ52" s="173">
        <f t="array" ref="AQ52">IFERROR(
(AVERAGE((IF(DATOS_[[Sexo]:[Sexo]]=$B52,IF(DATOS_[[AGRUP. VALOR. PTO.]:[AGRUP. VALOR. PTO.]]=$B51,IF(DATOS_[[Check Periodo Ref.]:[Check Periodo Ref.]]="Dentro",IF(DATOS_[[Check Equiparado]:[Check Equiparado]]="Sí",IF(DATOS!CB$5="Sí",(1/DATOS_[[% anualiz]:[% anualiz]]),1)*IF(DATOS!CB$4="Sí",1/DATOS_[[% normaliz]:[% normaliz]],1)*(DATOS_[C.Extra.06])))))))),
0)</f>
        <v>0</v>
      </c>
      <c r="AR52" s="173">
        <f t="array" ref="AR52">IFERROR(
(AVERAGE((IF(DATOS_[[Sexo]:[Sexo]]=$B52,IF(DATOS_[[AGRUP. VALOR. PTO.]:[AGRUP. VALOR. PTO.]]=$B51,IF(DATOS_[[Check Periodo Ref.]:[Check Periodo Ref.]]="Dentro",IF(DATOS_[[Check Equiparado]:[Check Equiparado]]="Sí",IF(DATOS!CC$5="Sí",(1/DATOS_[[% anualiz]:[% anualiz]]),1)*IF(DATOS!CC$4="Sí",1/DATOS_[[% normaliz]:[% normaliz]],1)*(DATOS_[C.Extra.07])))))))),
0)</f>
        <v>0</v>
      </c>
      <c r="AS52" s="173">
        <f t="array" ref="AS52">IFERROR(
(AVERAGE((IF(DATOS_[[Sexo]:[Sexo]]=$B52,IF(DATOS_[[AGRUP. VALOR. PTO.]:[AGRUP. VALOR. PTO.]]=$B51,IF(DATOS_[[Check Periodo Ref.]:[Check Periodo Ref.]]="Dentro",IF(DATOS_[[Check Equiparado]:[Check Equiparado]]="Sí",IF(DATOS!CD$5="Sí",(1/DATOS_[[% anualiz]:[% anualiz]]),1)*IF(DATOS!CD$4="Sí",1/DATOS_[[% normaliz]:[% normaliz]],1)*(DATOS_[C.Extra.08])))))))),
0)</f>
        <v>0</v>
      </c>
      <c r="AT52" s="173">
        <f t="array" ref="AT52">IFERROR(
(AVERAGE((IF(DATOS_[[Sexo]:[Sexo]]=$B52,IF(DATOS_[[AGRUP. VALOR. PTO.]:[AGRUP. VALOR. PTO.]]=$B51,IF(DATOS_[[Check Periodo Ref.]:[Check Periodo Ref.]]="Dentro",IF(DATOS_[[Check Equiparado]:[Check Equiparado]]="Sí",IF(DATOS!CG$5="Sí",(1/DATOS_[[% anualiz]:[% anualiz]]),1)*IF(DATOS!CG$4="Sí",1/DATOS_[[% normaliz]:[% normaliz]],1)*(DATOS_[C.Extra.11])))))))),
0)</f>
        <v>0</v>
      </c>
      <c r="AU52" s="197">
        <f t="array" ref="AU52">IFERROR(
AVERAGE(IF(DATOS_[Sexo]=$B52,IF(DATOS_[[AGRUP. VALOR. PTO.]:[AGRUP. VALOR. PTO.]]=$B51,IF(DATOS_[Check Equiparado]="Sí",IF(DATOS_[Check Periodo Ref.]="Dentro",DATOS_[Tot Extrasalarial Eq],FALSE))))),
0)</f>
        <v>0</v>
      </c>
      <c r="AV52" s="175">
        <f t="array" ref="AV52">IFERROR(
AVERAGE(IF(DATOS_[Sexo]=$B52,IF(DATOS_[[AGRUP. VALOR. PTO.]:[AGRUP. VALOR. PTO.]]=$B51,IF(DATOS_[Check Equiparado]="Sí",IF(DATOS_[Check Periodo Ref.]="Dentro",DATOS_[TOTAL Retrib Eq],FALSE))))),
0)</f>
        <v>0</v>
      </c>
    </row>
    <row r="53" spans="1:48" x14ac:dyDescent="0.25">
      <c r="A53" s="133" t="str">
        <f t="shared" ref="A53" si="54">+A52</f>
        <v>[ocultar]</v>
      </c>
      <c r="B53" s="202" t="s">
        <v>521</v>
      </c>
      <c r="C53" s="203">
        <f t="array" ref="C53">SUM(IF($B53=DATOS_[Sexo],
IF($B51=DATOS_[AGRUP. VALOR. PTO.],
IF("Dentro"=DATOS_[Check Periodo Ref.],
1/(COUNTIFS(DATOS_[Sexo],$B53,DATOS_[AGRUP. VALOR. PTO.],$B51,DATOS_[Check Periodo Ref.],"Dentro",DATOS_[id/cod],DATOS_[id/cod]))))))</f>
        <v>0</v>
      </c>
      <c r="D53" s="204">
        <f>COUNTIFS(DATOS_[AGRUP. VALOR. PTO.],$B51,DATOS_[Sexo],$B53,DATOS_[Check Periodo Ref.],"Dentro")</f>
        <v>0</v>
      </c>
      <c r="E53" s="204">
        <f>COUNTIFS(DATOS_[AGRUP. VALOR. PTO.],$B51,DATOS_[Sexo],$B53,DATOS_[Check Periodo Ref.],"Dentro",DATOS_[Check Nº SC Norm],"Sí")</f>
        <v>0</v>
      </c>
      <c r="F53" s="204">
        <f>COUNTIFS(DATOS_[AGRUP. VALOR. PTO.],$B51,DATOS_[Sexo],$B53,DATOS_[Check Periodo Ref.],"Dentro",DATOS_[Check Nº SC Anualiz],"Sí")</f>
        <v>0</v>
      </c>
      <c r="G53" s="204">
        <f>COUNTIFS(DATOS_[AGRUP. VALOR. PTO.],$B51,DATOS_[Sexo],$B53,DATOS_[Check Periodo Ref.],"Dentro",DATOS_[Check Nº SC Norm y Anualiz],"Sí")</f>
        <v>0</v>
      </c>
      <c r="H53" s="204">
        <f>COUNTIFS(DATOS_[AGRUP. VALOR. PTO.],$B51,DATOS_[Sexo],$B53,DATOS_[Check Periodo Ref.],"Dentro",DATOS_[Check Equiparación],"Sí")</f>
        <v>0</v>
      </c>
      <c r="I53" s="195" cm="1">
        <f t="array" ref="I53">IFERROR(
AVERAGE(IF(DATOS_[Sexo]=$B53,IF(DATOS_[[AGRUP. VALOR. PTO.]:[AGRUP. VALOR. PTO.]]=$B51,IF(DATOS_[Check Equiparado]="Sí",IF(DATOS_[Check Periodo Ref.]="Dentro",DATOS_[SALARIO BASE Eq],FALSE))))),
0)</f>
        <v>0</v>
      </c>
      <c r="J53" s="196">
        <f t="array" ref="J53">IFERROR(
(AVERAGE((IF(DATOS_[[Sexo]:[Sexo]]=$B53,IF(DATOS_[[AGRUP. VALOR. PTO.]:[AGRUP. VALOR. PTO.]]=$B51,IF(DATOS_[[Check Periodo Ref.]:[Check Periodo Ref.]]="Dentro",IF(DATOS_[[Check Equiparado]:[Check Equiparado]]="Sí",IF(DATOS!AE$5="Sí",(1/DATOS_[[% anualiz]:[% anualiz]]),1)*IF(DATOS!AE$4="Sí",1/DATOS_[[% normaliz]:[% normaliz]],1)*(DATOS_[Conc.Sal.01])))))))),
0)</f>
        <v>0</v>
      </c>
      <c r="K53" s="196">
        <f t="array" ref="K53">IFERROR(
(AVERAGE((IF(DATOS_[[Sexo]:[Sexo]]=$B53,IF(DATOS_[[AGRUP. VALOR. PTO.]:[AGRUP. VALOR. PTO.]]=$B51,IF(DATOS_[[Check Periodo Ref.]:[Check Periodo Ref.]]="Dentro",IF(DATOS_[[Check Equiparado]:[Check Equiparado]]="Sí",IF(DATOS!AF$5="Sí",(1/DATOS_[[% anualiz]:[% anualiz]]),1)*IF(DATOS!AF$4="Sí",1/DATOS_[[% normaliz]:[% normaliz]],1)*(DATOS_[Conc.Sal.02])))))))),
0)</f>
        <v>0</v>
      </c>
      <c r="L53" s="196">
        <f t="array" ref="L53">IFERROR(
(AVERAGE((IF(DATOS_[[Sexo]:[Sexo]]=$B53,IF(DATOS_[[AGRUP. VALOR. PTO.]:[AGRUP. VALOR. PTO.]]=$B51,IF(DATOS_[[Check Periodo Ref.]:[Check Periodo Ref.]]="Dentro",IF(DATOS_[[Check Equiparado]:[Check Equiparado]]="Sí",IF(DATOS!AG$5="Sí",(1/DATOS_[[% anualiz]:[% anualiz]]),1)*IF(DATOS!AG$4="Sí",1/DATOS_[[% normaliz]:[% normaliz]],1)*(DATOS_[Conc.Sal.03])))))))),
0)</f>
        <v>0</v>
      </c>
      <c r="M53" s="196">
        <f t="array" ref="M53">IFERROR(
(AVERAGE((IF(DATOS_[[Sexo]:[Sexo]]=$B53,IF(DATOS_[[AGRUP. VALOR. PTO.]:[AGRUP. VALOR. PTO.]]=$B51,IF(DATOS_[[Check Periodo Ref.]:[Check Periodo Ref.]]="Dentro",IF(DATOS_[[Check Equiparado]:[Check Equiparado]]="Sí",IF(DATOS!AH$5="Sí",(1/DATOS_[[% anualiz]:[% anualiz]]),1)*IF(DATOS!AH$4="Sí",1/DATOS_[[% normaliz]:[% normaliz]],1)*(DATOS_[Conc.Sal.04])))))))),
0)</f>
        <v>0</v>
      </c>
      <c r="N53" s="196">
        <f t="array" ref="N53">IFERROR(
(AVERAGE((IF(DATOS_[[Sexo]:[Sexo]]=$B53,IF(DATOS_[[AGRUP. VALOR. PTO.]:[AGRUP. VALOR. PTO.]]=$B51,IF(DATOS_[[Check Periodo Ref.]:[Check Periodo Ref.]]="Dentro",IF(DATOS_[[Check Equiparado]:[Check Equiparado]]="Sí",IF(DATOS!AI$5="Sí",(1/DATOS_[[% anualiz]:[% anualiz]]),1)*IF(DATOS!AI$4="Sí",1/DATOS_[[% normaliz]:[% normaliz]],1)*(DATOS_[Conc.Sal.05])))))))),
0)</f>
        <v>0</v>
      </c>
      <c r="O53" s="196">
        <f t="array" ref="O53">IFERROR(
(AVERAGE((IF(DATOS_[[Sexo]:[Sexo]]=$B53,IF(DATOS_[[AGRUP. VALOR. PTO.]:[AGRUP. VALOR. PTO.]]=$B51,IF(DATOS_[[Check Periodo Ref.]:[Check Periodo Ref.]]="Dentro",IF(DATOS_[[Check Equiparado]:[Check Equiparado]]="Sí",IF(DATOS!AJ$5="Sí",(1/DATOS_[[% anualiz]:[% anualiz]]),1)*IF(DATOS!AJ$4="Sí",1/DATOS_[[% normaliz]:[% normaliz]],1)*(DATOS_[Conc.Sal.06])))))))),
0)</f>
        <v>0</v>
      </c>
      <c r="P53" s="196">
        <f t="array" ref="P53">IFERROR(
(AVERAGE((IF(DATOS_[[Sexo]:[Sexo]]=$B53,IF(DATOS_[[AGRUP. VALOR. PTO.]:[AGRUP. VALOR. PTO.]]=$B51,IF(DATOS_[[Check Periodo Ref.]:[Check Periodo Ref.]]="Dentro",IF(DATOS_[[Check Equiparado]:[Check Equiparado]]="Sí",IF(DATOS!AK$5="Sí",(1/DATOS_[[% anualiz]:[% anualiz]]),1)*IF(DATOS!AK$4="Sí",1/DATOS_[[% normaliz]:[% normaliz]],1)*(DATOS_[Conc.Sal.07])))))))),
0)</f>
        <v>0</v>
      </c>
      <c r="Q53" s="196">
        <f t="array" ref="Q53">IFERROR(
(AVERAGE((IF(DATOS_[[Sexo]:[Sexo]]=$B53,IF(DATOS_[[AGRUP. VALOR. PTO.]:[AGRUP. VALOR. PTO.]]=$B51,IF(DATOS_[[Check Periodo Ref.]:[Check Periodo Ref.]]="Dentro",IF(DATOS_[[Check Equiparado]:[Check Equiparado]]="Sí",IF(DATOS!AL$5="Sí",(1/DATOS_[[% anualiz]:[% anualiz]]),1)*IF(DATOS!AL$4="Sí",1/DATOS_[[% normaliz]:[% normaliz]],1)*(DATOS_[Conc.Sal.08])))))))),
0)</f>
        <v>0</v>
      </c>
      <c r="R53" s="196">
        <f t="array" ref="R53">IFERROR(
(AVERAGE((IF(DATOS_[[Sexo]:[Sexo]]=$B53,IF(DATOS_[[AGRUP. VALOR. PTO.]:[AGRUP. VALOR. PTO.]]=$B51,IF(DATOS_[[Check Periodo Ref.]:[Check Periodo Ref.]]="Dentro",IF(DATOS_[[Check Equiparado]:[Check Equiparado]]="Sí",IF(DATOS!AM$5="Sí",(1/DATOS_[[% anualiz]:[% anualiz]]),1)*IF(DATOS!AM$4="Sí",1/DATOS_[[% normaliz]:[% normaliz]],1)*(DATOS_[Conc.Sal.09])))))))),
0)</f>
        <v>0</v>
      </c>
      <c r="S53" s="196">
        <f t="array" ref="S53">IFERROR(
(AVERAGE((IF(DATOS_[[Sexo]:[Sexo]]=$B53,IF(DATOS_[[AGRUP. VALOR. PTO.]:[AGRUP. VALOR. PTO.]]=$B51,IF(DATOS_[[Check Periodo Ref.]:[Check Periodo Ref.]]="Dentro",IF(DATOS_[[Check Equiparado]:[Check Equiparado]]="Sí",IF(DATOS!AN$5="Sí",(1/DATOS_[[% anualiz]:[% anualiz]]),1)*IF(DATOS!AN$4="Sí",1/DATOS_[[% normaliz]:[% normaliz]],1)*(DATOS_[Conc.Sal.10])))))))),
0)</f>
        <v>0</v>
      </c>
      <c r="T53" s="196">
        <f t="array" ref="T53">IFERROR(
(AVERAGE((IF(DATOS_[[Sexo]:[Sexo]]=$B53,IF(DATOS_[[AGRUP. VALOR. PTO.]:[AGRUP. VALOR. PTO.]]=$B51,IF(DATOS_[[Check Periodo Ref.]:[Check Periodo Ref.]]="Dentro",IF(DATOS_[[Check Equiparado]:[Check Equiparado]]="Sí",IF(DATOS!AO$5="Sí",(1/DATOS_[[% anualiz]:[% anualiz]]),1)*IF(DATOS!AO$4="Sí",1/DATOS_[[% normaliz]:[% normaliz]],1)*(DATOS_[Conc.Sal.11])))))))),
0)</f>
        <v>0</v>
      </c>
      <c r="U53" s="196">
        <f t="array" ref="U53">IFERROR(
(AVERAGE((IF(DATOS_[[Sexo]:[Sexo]]=$B53,IF(DATOS_[[AGRUP. VALOR. PTO.]:[AGRUP. VALOR. PTO.]]=$B51,IF(DATOS_[[Check Periodo Ref.]:[Check Periodo Ref.]]="Dentro",IF(DATOS_[[Check Equiparado]:[Check Equiparado]]="Sí",IF(DATOS!AP$5="Sí",(1/DATOS_[[% anualiz]:[% anualiz]]),1)*IF(DATOS!AP$4="Sí",1/DATOS_[[% normaliz]:[% normaliz]],1)*(DATOS_[Conc.Sal.12])))))))),
0)</f>
        <v>0</v>
      </c>
      <c r="V53" s="196">
        <f t="array" ref="V53">IFERROR(
(AVERAGE((IF(DATOS_[[Sexo]:[Sexo]]=$B53,IF(DATOS_[[AGRUP. VALOR. PTO.]:[AGRUP. VALOR. PTO.]]=$B51,IF(DATOS_[[Check Periodo Ref.]:[Check Periodo Ref.]]="Dentro",IF(DATOS_[[Check Equiparado]:[Check Equiparado]]="Sí",IF(DATOS!AQ$5="Sí",(1/DATOS_[[% anualiz]:[% anualiz]]),1)*IF(DATOS!AQ$4="Sí",1/DATOS_[[% normaliz]:[% normaliz]],1)*(DATOS_[Conc.Sal.13])))))))),
0)</f>
        <v>0</v>
      </c>
      <c r="W53" s="196">
        <f t="array" ref="W53">IFERROR(
(AVERAGE((IF(DATOS_[[Sexo]:[Sexo]]=$B53,IF(DATOS_[[AGRUP. VALOR. PTO.]:[AGRUP. VALOR. PTO.]]=$B51,IF(DATOS_[[Check Periodo Ref.]:[Check Periodo Ref.]]="Dentro",IF(DATOS_[[Check Equiparado]:[Check Equiparado]]="Sí",IF(DATOS!AR$5="Sí",(1/DATOS_[[% anualiz]:[% anualiz]]),1)*IF(DATOS!AR$4="Sí",1/DATOS_[[% normaliz]:[% normaliz]],1)*(DATOS_[Conc.Sal.14])))))))),
0)</f>
        <v>0</v>
      </c>
      <c r="X53" s="196">
        <f t="array" ref="X53">IFERROR(
(AVERAGE((IF(DATOS_[[Sexo]:[Sexo]]=$B53,IF(DATOS_[[AGRUP. VALOR. PTO.]:[AGRUP. VALOR. PTO.]]=$B51,IF(DATOS_[[Check Periodo Ref.]:[Check Periodo Ref.]]="Dentro",IF(DATOS_[[Check Equiparado]:[Check Equiparado]]="Sí",IF(DATOS!AS$5="Sí",(1/DATOS_[[% anualiz]:[% anualiz]]),1)*IF(DATOS!AS$4="Sí",1/DATOS_[[% normaliz]:[% normaliz]],1)*(DATOS_[Conc.Sal.15])))))))),
0)</f>
        <v>0</v>
      </c>
      <c r="Y53" s="196">
        <f t="array" ref="Y53">IFERROR(
(AVERAGE((IF(DATOS_[[Sexo]:[Sexo]]=$B53,IF(DATOS_[[AGRUP. VALOR. PTO.]:[AGRUP. VALOR. PTO.]]=$B51,IF(DATOS_[[Check Periodo Ref.]:[Check Periodo Ref.]]="Dentro",IF(DATOS_[[Check Equiparado]:[Check Equiparado]]="Sí",IF(DATOS!AT$5="Sí",(1/DATOS_[[% anualiz]:[% anualiz]]),1)*IF(DATOS!AT$4="Sí",1/DATOS_[[% normaliz]:[% normaliz]],1)*(DATOS_[Conc.Sal.16])))))))),
0)</f>
        <v>0</v>
      </c>
      <c r="Z53" s="196">
        <f t="array" ref="Z53">IFERROR(
(AVERAGE((IF(DATOS_[[Sexo]:[Sexo]]=$B53,IF(DATOS_[[AGRUP. VALOR. PTO.]:[AGRUP. VALOR. PTO.]]=$B51,IF(DATOS_[[Check Periodo Ref.]:[Check Periodo Ref.]]="Dentro",IF(DATOS_[[Check Equiparado]:[Check Equiparado]]="Sí",IF(DATOS!AU$5="Sí",(1/DATOS_[[% anualiz]:[% anualiz]]),1)*IF(DATOS!AU$4="Sí",1/DATOS_[[% normaliz]:[% normaliz]],1)*(DATOS_[Conc.Sal.17])))))))),
0)</f>
        <v>0</v>
      </c>
      <c r="AA53" s="196">
        <f t="array" ref="AA53">IFERROR(
(AVERAGE((IF(DATOS_[[Sexo]:[Sexo]]=$B53,IF(DATOS_[[AGRUP. VALOR. PTO.]:[AGRUP. VALOR. PTO.]]=$B51,IF(DATOS_[[Check Periodo Ref.]:[Check Periodo Ref.]]="Dentro",IF(DATOS_[[Check Equiparado]:[Check Equiparado]]="Sí",IF(DATOS!AV$5="Sí",(1/DATOS_[[% anualiz]:[% anualiz]]),1)*IF(DATOS!AV$4="Sí",1/DATOS_[[% normaliz]:[% normaliz]],1)*(DATOS_[Conc.Sal.18])))))))),
0)</f>
        <v>0</v>
      </c>
      <c r="AB53" s="196">
        <f t="array" ref="AB53">IFERROR(
(AVERAGE((IF(DATOS_[[Sexo]:[Sexo]]=$B53,IF(DATOS_[[AGRUP. VALOR. PTO.]:[AGRUP. VALOR. PTO.]]=$B51,IF(DATOS_[[Check Periodo Ref.]:[Check Periodo Ref.]]="Dentro",IF(DATOS_[[Check Equiparado]:[Check Equiparado]]="Sí",IF(DATOS!AW$5="Sí",(1/DATOS_[[% anualiz]:[% anualiz]]),1)*IF(DATOS!AW$4="Sí",1/DATOS_[[% normaliz]:[% normaliz]],1)*(DATOS_[Conc.Sal.19])))))))),
0)</f>
        <v>0</v>
      </c>
      <c r="AC53" s="196">
        <f t="array" ref="AC53">IFERROR(
(AVERAGE((IF(DATOS_[[Sexo]:[Sexo]]=$B53,IF(DATOS_[[AGRUP. VALOR. PTO.]:[AGRUP. VALOR. PTO.]]=$B51,IF(DATOS_[[Check Periodo Ref.]:[Check Periodo Ref.]]="Dentro",IF(DATOS_[[Check Equiparado]:[Check Equiparado]]="Sí",IF(DATOS!AX$5="Sí",(1/DATOS_[[% anualiz]:[% anualiz]]),1)*IF(DATOS!AX$4="Sí",1/DATOS_[[% normaliz]:[% normaliz]],1)*(DATOS_[Conc.Sal.20])))))))),
0)</f>
        <v>0</v>
      </c>
      <c r="AD53" s="196">
        <f t="array" ref="AD53">IFERROR(
(AVERAGE((IF(DATOS_[[Sexo]:[Sexo]]=$B53,IF(DATOS_[[AGRUP. VALOR. PTO.]:[AGRUP. VALOR. PTO.]]=$B51,IF(DATOS_[[Check Periodo Ref.]:[Check Periodo Ref.]]="Dentro",IF(DATOS_[[Check Equiparado]:[Check Equiparado]]="Sí",IF(DATOS!AY$5="Sí",(1/DATOS_[[% anualiz]:[% anualiz]]),1)*IF(DATOS!AY$4="Sí",1/DATOS_[[% normaliz]:[% normaliz]],1)*(DATOS_[Conc.Sal.21])))))))),
0)</f>
        <v>0</v>
      </c>
      <c r="AE53" s="196">
        <f t="array" ref="AE53">IFERROR(
(AVERAGE((IF(DATOS_[[Sexo]:[Sexo]]=$B53,IF(DATOS_[[AGRUP. VALOR. PTO.]:[AGRUP. VALOR. PTO.]]=$B51,IF(DATOS_[[Check Periodo Ref.]:[Check Periodo Ref.]]="Dentro",IF(DATOS_[[Check Equiparado]:[Check Equiparado]]="Sí",IF(DATOS!AZ$5="Sí",(1/DATOS_[[% anualiz]:[% anualiz]]),1)*IF(DATOS!AZ$4="Sí",1/DATOS_[[% normaliz]:[% normaliz]],1)*(DATOS_[Conc.Sal.22])))))))),
0)</f>
        <v>0</v>
      </c>
      <c r="AF53" s="196">
        <f t="array" ref="AF53">IFERROR(
(AVERAGE((IF(DATOS_[[Sexo]:[Sexo]]=$B53,IF(DATOS_[[AGRUP. VALOR. PTO.]:[AGRUP. VALOR. PTO.]]=$B51,IF(DATOS_[[Check Periodo Ref.]:[Check Periodo Ref.]]="Dentro",IF(DATOS_[[Check Equiparado]:[Check Equiparado]]="Sí",IF(DATOS!BA$5="Sí",(1/DATOS_[[% anualiz]:[% anualiz]]),1)*IF(DATOS!BA$4="Sí",1/DATOS_[[% normaliz]:[% normaliz]],1)*(DATOS_[Conc.Sal.23])))))))),
0)</f>
        <v>0</v>
      </c>
      <c r="AG53" s="196">
        <f t="array" ref="AG53">IFERROR(
(AVERAGE((IF(DATOS_[[Sexo]:[Sexo]]=$B53,IF(DATOS_[[AGRUP. VALOR. PTO.]:[AGRUP. VALOR. PTO.]]=$B51,IF(DATOS_[[Check Periodo Ref.]:[Check Periodo Ref.]]="Dentro",IF(DATOS_[[Check Equiparado]:[Check Equiparado]]="Sí",IF(DATOS!BB$5="Sí",(1/DATOS_[[% anualiz]:[% anualiz]]),1)*IF(DATOS!BB$4="Sí",1/DATOS_[[% normaliz]:[% normaliz]],1)*(DATOS_[Conc.Sal.24])))))))),
0)</f>
        <v>0</v>
      </c>
      <c r="AH53" s="196">
        <f t="array" ref="AH53">IFERROR(
(AVERAGE((IF(DATOS_[[Sexo]:[Sexo]]=$B53,IF(DATOS_[[AGRUP. VALOR. PTO.]:[AGRUP. VALOR. PTO.]]=$B51,IF(DATOS_[[Check Periodo Ref.]:[Check Periodo Ref.]]="Dentro",IF(DATOS_[[Check Equiparado]:[Check Equiparado]]="Sí",IF(DATOS!BC$5="Sí",(1/DATOS_[[% anualiz]:[% anualiz]]),1)*IF(DATOS!BC$4="Sí",1/DATOS_[[% normaliz]:[% normaliz]],1)*(DATOS_[Conc.Sal.25])))))))),
0)</f>
        <v>0</v>
      </c>
      <c r="AI53" s="196">
        <f t="array" ref="AI53">IFERROR(
(AVERAGE((IF(DATOS_[[Sexo]:[Sexo]]=$B53,IF(DATOS_[[AGRUP. VALOR. PTO.]:[AGRUP. VALOR. PTO.]]=$B51,IF(DATOS_[[Check Periodo Ref.]:[Check Periodo Ref.]]="Dentro",IF(DATOS_[[Check Equiparado]:[Check Equiparado]]="Sí",IF(DATOS!BD$5="Sí",(1/DATOS_[[% anualiz]:[% anualiz]]),1)*IF(DATOS!BD$4="Sí",1/DATOS_[[% normaliz]:[% normaliz]],1)*(DATOS_[Conc.Sal.26])))))))),
0)</f>
        <v>0</v>
      </c>
      <c r="AJ53" s="196">
        <f t="array" ref="AJ53">IFERROR(
(AVERAGE((IF(DATOS_[[Sexo]:[Sexo]]=$B53,IF(DATOS_[[AGRUP. VALOR. PTO.]:[AGRUP. VALOR. PTO.]]=$B51,IF(DATOS_[[Check Periodo Ref.]:[Check Periodo Ref.]]="Dentro",IF(DATOS_[[Check Equiparado]:[Check Equiparado]]="Sí",IF(DATOS!BE$5="Sí",(1/DATOS_[[% anualiz]:[% anualiz]]),1)*IF(DATOS!BE$4="Sí",1/DATOS_[[% normaliz]:[% normaliz]],1)*(DATOS_[Conc.Sal.27])))))))),
0)</f>
        <v>0</v>
      </c>
      <c r="AK53" s="196">
        <f t="array" ref="AK53">IFERROR(
(AVERAGE((IF(DATOS_[[Sexo]:[Sexo]]=$B53,IF(DATOS_[[AGRUP. VALOR. PTO.]:[AGRUP. VALOR. PTO.]]=$B51,IF(DATOS_[[Check Periodo Ref.]:[Check Periodo Ref.]]="Dentro",IF(DATOS_[[Check Equiparado]:[Check Equiparado]]="Sí",IF(DATOS!BF$5="Sí",(1/DATOS_[[% anualiz]:[% anualiz]]),1)*IF(DATOS!BF$4="Sí",1/DATOS_[[% normaliz]:[% normaliz]],1)*(DATOS_[Conc.Sal.28])))))))),
0)</f>
        <v>0</v>
      </c>
      <c r="AL53" s="196">
        <f t="array" ref="AL53">IFERROR(
(AVERAGE((IF(DATOS_[[Sexo]:[Sexo]]=$B53,IF(DATOS_[[AGRUP. VALOR. PTO.]:[AGRUP. VALOR. PTO.]]=$B51,IF(DATOS_[[Check Periodo Ref.]:[Check Periodo Ref.]]="Dentro",IF(DATOS_[[Check Equiparado]:[Check Equiparado]]="Sí",IF(DATOS!BG$5="Sí",(1/DATOS_[[% anualiz]:[% anualiz]]),1)*IF(DATOS!BG$4="Sí",1/DATOS_[[% normaliz]:[% normaliz]],1)*(DATOS_[Conc.Sal.29])))))))),
0)</f>
        <v>0</v>
      </c>
      <c r="AM53" s="196">
        <f t="array" ref="AM53">IFERROR(
(AVERAGE((IF(DATOS_[[Sexo]:[Sexo]]=$B53,IF(DATOS_[[AGRUP. VALOR. PTO.]:[AGRUP. VALOR. PTO.]]=$B51,IF(DATOS_[[Check Periodo Ref.]:[Check Periodo Ref.]]="Dentro",IF(DATOS_[[Check Equiparado]:[Check Equiparado]]="Sí",IF(DATOS!BH$5="Sí",(1/DATOS_[[% anualiz]:[% anualiz]]),1)*IF(DATOS!BH$4="Sí",1/DATOS_[[% normaliz]:[% normaliz]],1)*(DATOS_[Conc.Sal.30])))))))),
0)</f>
        <v>0</v>
      </c>
      <c r="AN53" s="195">
        <f t="array" ref="AN53">IFERROR(
AVERAGE(IF(DATOS_[Sexo]=$B53,IF(DATOS_[[AGRUP. VALOR. PTO.]:[AGRUP. VALOR. PTO.]]=$B51,IF(DATOS_[Check Equiparado]="Sí",IF(DATOS_[Check Periodo Ref.]="Dentro",DATOS_[Tot COMPL.SAL Eq],FALSE))))),
0)</f>
        <v>0</v>
      </c>
      <c r="AO53" s="172">
        <f t="array" ref="AO53">IFERROR(
AVERAGE(IF(DATOS_[Sexo]=$B53,IF(DATOS_[[AGRUP. VALOR. PTO.]:[AGRUP. VALOR. PTO.]]=$B51,IF(DATOS_[Check Equiparado]="Sí",IF(DATOS_[Check Periodo Ref.]="Dentro",DATOS_[TOTAL SALARIO Eq],FALSE))))),
0)</f>
        <v>0</v>
      </c>
      <c r="AP53" s="173">
        <f t="array" ref="AP53">IFERROR(
(AVERAGE((IF(DATOS_[[Sexo]:[Sexo]]=$B53,IF(DATOS_[[AGRUP. VALOR. PTO.]:[AGRUP. VALOR. PTO.]]=$B51,IF(DATOS_[[Check Periodo Ref.]:[Check Periodo Ref.]]="Dentro",IF(DATOS_[[Check Equiparado]:[Check Equiparado]]="Sí",IF(DATOS!BW$5="Sí",(1/DATOS_[[% anualiz]:[% anualiz]]),1)*IF(DATOS!BW$4="Sí",1/DATOS_[[% normaliz]:[% normaliz]],1)*(DATOS_[C.Extra.01])))))))),
0)</f>
        <v>0</v>
      </c>
      <c r="AQ53" s="173">
        <f t="array" ref="AQ53">IFERROR(
(AVERAGE((IF(DATOS_[[Sexo]:[Sexo]]=$B53,IF(DATOS_[[AGRUP. VALOR. PTO.]:[AGRUP. VALOR. PTO.]]=$B51,IF(DATOS_[[Check Periodo Ref.]:[Check Periodo Ref.]]="Dentro",IF(DATOS_[[Check Equiparado]:[Check Equiparado]]="Sí",IF(DATOS!CB$5="Sí",(1/DATOS_[[% anualiz]:[% anualiz]]),1)*IF(DATOS!CB$4="Sí",1/DATOS_[[% normaliz]:[% normaliz]],1)*(DATOS_[C.Extra.06])))))))),
0)</f>
        <v>0</v>
      </c>
      <c r="AR53" s="173">
        <f t="array" ref="AR53">IFERROR(
(AVERAGE((IF(DATOS_[[Sexo]:[Sexo]]=$B53,IF(DATOS_[[AGRUP. VALOR. PTO.]:[AGRUP. VALOR. PTO.]]=$B51,IF(DATOS_[[Check Periodo Ref.]:[Check Periodo Ref.]]="Dentro",IF(DATOS_[[Check Equiparado]:[Check Equiparado]]="Sí",IF(DATOS!CC$5="Sí",(1/DATOS_[[% anualiz]:[% anualiz]]),1)*IF(DATOS!CC$4="Sí",1/DATOS_[[% normaliz]:[% normaliz]],1)*(DATOS_[C.Extra.07])))))))),
0)</f>
        <v>0</v>
      </c>
      <c r="AS53" s="173">
        <f t="array" ref="AS53">IFERROR(
(AVERAGE((IF(DATOS_[[Sexo]:[Sexo]]=$B53,IF(DATOS_[[AGRUP. VALOR. PTO.]:[AGRUP. VALOR. PTO.]]=$B51,IF(DATOS_[[Check Periodo Ref.]:[Check Periodo Ref.]]="Dentro",IF(DATOS_[[Check Equiparado]:[Check Equiparado]]="Sí",IF(DATOS!CD$5="Sí",(1/DATOS_[[% anualiz]:[% anualiz]]),1)*IF(DATOS!CD$4="Sí",1/DATOS_[[% normaliz]:[% normaliz]],1)*(DATOS_[C.Extra.08])))))))),
0)</f>
        <v>0</v>
      </c>
      <c r="AT53" s="173">
        <f t="array" ref="AT53">IFERROR(
(AVERAGE((IF(DATOS_[[Sexo]:[Sexo]]=$B53,IF(DATOS_[[AGRUP. VALOR. PTO.]:[AGRUP. VALOR. PTO.]]=$B51,IF(DATOS_[[Check Periodo Ref.]:[Check Periodo Ref.]]="Dentro",IF(DATOS_[[Check Equiparado]:[Check Equiparado]]="Sí",IF(DATOS!CG$5="Sí",(1/DATOS_[[% anualiz]:[% anualiz]]),1)*IF(DATOS!CG$4="Sí",1/DATOS_[[% normaliz]:[% normaliz]],1)*(DATOS_[C.Extra.11])))))))),
0)</f>
        <v>0</v>
      </c>
      <c r="AU53" s="197">
        <f t="array" ref="AU53">IFERROR(
AVERAGE(IF(DATOS_[Sexo]=$B53,IF(DATOS_[[AGRUP. VALOR. PTO.]:[AGRUP. VALOR. PTO.]]=$B51,IF(DATOS_[Check Equiparado]="Sí",IF(DATOS_[Check Periodo Ref.]="Dentro",DATOS_[Tot Extrasalarial Eq],FALSE))))),
0)</f>
        <v>0</v>
      </c>
      <c r="AV53" s="175">
        <f t="array" ref="AV53">IFERROR(
AVERAGE(IF(DATOS_[Sexo]=$B53,IF(DATOS_[[AGRUP. VALOR. PTO.]:[AGRUP. VALOR. PTO.]]=$B51,IF(DATOS_[Check Equiparado]="Sí",IF(DATOS_[Check Periodo Ref.]="Dentro",DATOS_[TOTAL Retrib Eq],FALSE))))),
0)</f>
        <v>0</v>
      </c>
    </row>
    <row r="54" spans="1:48" ht="15.6" thickBot="1" x14ac:dyDescent="0.3">
      <c r="A54" s="133" t="str">
        <f t="shared" ref="A54" si="55">+A55</f>
        <v>[ocultar]</v>
      </c>
      <c r="B54" s="199" t="s">
        <v>230</v>
      </c>
      <c r="C54" s="200"/>
      <c r="D54" s="201"/>
      <c r="E54" s="201"/>
      <c r="F54" s="201"/>
      <c r="G54" s="201"/>
      <c r="H54" s="201"/>
      <c r="I54" s="189" t="str">
        <f t="shared" ref="I54:AV54" si="56">IFERROR((I55-I56)/I55,"")</f>
        <v/>
      </c>
      <c r="J54" s="190" t="str">
        <f t="shared" si="56"/>
        <v/>
      </c>
      <c r="K54" s="191" t="str">
        <f t="shared" si="56"/>
        <v/>
      </c>
      <c r="L54" s="191" t="str">
        <f t="shared" si="56"/>
        <v/>
      </c>
      <c r="M54" s="191" t="str">
        <f t="shared" si="56"/>
        <v/>
      </c>
      <c r="N54" s="192" t="str">
        <f t="shared" si="56"/>
        <v/>
      </c>
      <c r="O54" s="193" t="str">
        <f t="shared" si="56"/>
        <v/>
      </c>
      <c r="P54" s="193" t="str">
        <f t="shared" si="56"/>
        <v/>
      </c>
      <c r="Q54" s="193" t="str">
        <f t="shared" si="56"/>
        <v/>
      </c>
      <c r="R54" s="193" t="str">
        <f t="shared" si="56"/>
        <v/>
      </c>
      <c r="S54" s="193" t="str">
        <f t="shared" si="56"/>
        <v/>
      </c>
      <c r="T54" s="193" t="str">
        <f t="shared" si="56"/>
        <v/>
      </c>
      <c r="U54" s="193" t="str">
        <f t="shared" si="56"/>
        <v/>
      </c>
      <c r="V54" s="193" t="str">
        <f t="shared" si="56"/>
        <v/>
      </c>
      <c r="W54" s="193" t="str">
        <f t="shared" si="56"/>
        <v/>
      </c>
      <c r="X54" s="193" t="str">
        <f t="shared" si="56"/>
        <v/>
      </c>
      <c r="Y54" s="193" t="str">
        <f t="shared" si="56"/>
        <v/>
      </c>
      <c r="Z54" s="193" t="str">
        <f t="shared" si="56"/>
        <v/>
      </c>
      <c r="AA54" s="193" t="str">
        <f t="shared" si="56"/>
        <v/>
      </c>
      <c r="AB54" s="193" t="str">
        <f t="shared" si="56"/>
        <v/>
      </c>
      <c r="AC54" s="193" t="str">
        <f t="shared" si="56"/>
        <v/>
      </c>
      <c r="AD54" s="193" t="str">
        <f t="shared" si="56"/>
        <v/>
      </c>
      <c r="AE54" s="193" t="str">
        <f t="shared" si="56"/>
        <v/>
      </c>
      <c r="AF54" s="193" t="str">
        <f t="shared" si="56"/>
        <v/>
      </c>
      <c r="AG54" s="193" t="str">
        <f t="shared" si="56"/>
        <v/>
      </c>
      <c r="AH54" s="193" t="str">
        <f t="shared" si="56"/>
        <v/>
      </c>
      <c r="AI54" s="193" t="str">
        <f t="shared" si="56"/>
        <v/>
      </c>
      <c r="AJ54" s="193" t="str">
        <f t="shared" si="56"/>
        <v/>
      </c>
      <c r="AK54" s="193" t="str">
        <f t="shared" si="56"/>
        <v/>
      </c>
      <c r="AL54" s="193" t="str">
        <f t="shared" si="56"/>
        <v/>
      </c>
      <c r="AM54" s="193" t="str">
        <f t="shared" si="56"/>
        <v/>
      </c>
      <c r="AN54" s="189" t="str">
        <f t="shared" si="56"/>
        <v/>
      </c>
      <c r="AO54" s="162" t="str">
        <f t="shared" si="56"/>
        <v/>
      </c>
      <c r="AP54" s="163" t="str">
        <f t="shared" si="56"/>
        <v/>
      </c>
      <c r="AQ54" s="163" t="str">
        <f t="shared" si="56"/>
        <v/>
      </c>
      <c r="AR54" s="163" t="str">
        <f t="shared" si="56"/>
        <v/>
      </c>
      <c r="AS54" s="163" t="str">
        <f t="shared" si="56"/>
        <v/>
      </c>
      <c r="AT54" s="163" t="str">
        <f t="shared" si="56"/>
        <v/>
      </c>
      <c r="AU54" s="194" t="str">
        <f t="shared" si="56"/>
        <v/>
      </c>
      <c r="AV54" s="165" t="str">
        <f t="shared" si="56"/>
        <v/>
      </c>
    </row>
    <row r="55" spans="1:48" x14ac:dyDescent="0.25">
      <c r="A55" s="133" t="str">
        <f t="shared" ref="A55" si="57">+IF(C55+C56=0,"[ocultar]","")</f>
        <v>[ocultar]</v>
      </c>
      <c r="B55" s="202" t="s">
        <v>394</v>
      </c>
      <c r="C55" s="203">
        <f t="array" ref="C55">SUM(IF($B55=DATOS_[Sexo],
IF($B54=DATOS_[AGRUP. VALOR. PTO.],
IF("Dentro"=DATOS_[Check Periodo Ref.],
1/(COUNTIFS(DATOS_[Sexo],$B55,DATOS_[AGRUP. VALOR. PTO.],$B54,DATOS_[Check Periodo Ref.],"Dentro",DATOS_[id/cod],DATOS_[id/cod]))))))</f>
        <v>0</v>
      </c>
      <c r="D55" s="204">
        <f>COUNTIFS(DATOS_[AGRUP. VALOR. PTO.],$B54,DATOS_[Sexo],$B55,DATOS_[Check Periodo Ref.],"Dentro")</f>
        <v>0</v>
      </c>
      <c r="E55" s="204">
        <f>COUNTIFS(DATOS_[AGRUP. VALOR. PTO.],$B54,DATOS_[Sexo],$B55,DATOS_[Check Periodo Ref.],"Dentro",DATOS_[Check Nº SC Norm],"Sí")</f>
        <v>0</v>
      </c>
      <c r="F55" s="204">
        <f>COUNTIFS(DATOS_[AGRUP. VALOR. PTO.],$B54,DATOS_[Sexo],$B55,DATOS_[Check Periodo Ref.],"Dentro",DATOS_[Check Nº SC Anualiz],"Sí")</f>
        <v>0</v>
      </c>
      <c r="G55" s="204">
        <f>COUNTIFS(DATOS_[AGRUP. VALOR. PTO.],$B54,DATOS_[Sexo],$B55,DATOS_[Check Periodo Ref.],"Dentro",DATOS_[Check Nº SC Norm y Anualiz],"Sí")</f>
        <v>0</v>
      </c>
      <c r="H55" s="204">
        <f>COUNTIFS(DATOS_[AGRUP. VALOR. PTO.],$B54,DATOS_[Sexo],$B55,DATOS_[Check Periodo Ref.],"Dentro",DATOS_[Check Equiparación],"Sí")</f>
        <v>0</v>
      </c>
      <c r="I55" s="195">
        <f t="array" ref="I55">IFERROR(
AVERAGE(IF(DATOS_[Sexo]=$B55,IF(DATOS_[[AGRUP. VALOR. PTO.]:[AGRUP. VALOR. PTO.]]=$B54,IF(DATOS_[Check Equiparado]="Sí",IF(DATOS_[Check Periodo Ref.]="Dentro",DATOS_[SALARIO BASE Eq],FALSE))))),
0)</f>
        <v>0</v>
      </c>
      <c r="J55" s="196">
        <f t="array" ref="J55">IFERROR(
(AVERAGE((IF(DATOS_[[Sexo]:[Sexo]]=$B55,IF(DATOS_[[AGRUP. VALOR. PTO.]:[AGRUP. VALOR. PTO.]]=$B54,IF(DATOS_[[Check Periodo Ref.]:[Check Periodo Ref.]]="Dentro",IF(DATOS_[[Check Equiparado]:[Check Equiparado]]="Sí",IF(DATOS!AE$5="Sí",(1/DATOS_[[% anualiz]:[% anualiz]]),1)*IF(DATOS!AE$4="Sí",1/DATOS_[[% normaliz]:[% normaliz]],1)*(DATOS_[Conc.Sal.01])))))))),
0)</f>
        <v>0</v>
      </c>
      <c r="K55" s="196">
        <f t="array" ref="K55">IFERROR(
(AVERAGE((IF(DATOS_[[Sexo]:[Sexo]]=$B55,IF(DATOS_[[AGRUP. VALOR. PTO.]:[AGRUP. VALOR. PTO.]]=$B54,IF(DATOS_[[Check Periodo Ref.]:[Check Periodo Ref.]]="Dentro",IF(DATOS_[[Check Equiparado]:[Check Equiparado]]="Sí",IF(DATOS!AF$5="Sí",(1/DATOS_[[% anualiz]:[% anualiz]]),1)*IF(DATOS!AF$4="Sí",1/DATOS_[[% normaliz]:[% normaliz]],1)*(DATOS_[Conc.Sal.02])))))))),
0)</f>
        <v>0</v>
      </c>
      <c r="L55" s="196">
        <f t="array" ref="L55">IFERROR(
(AVERAGE((IF(DATOS_[[Sexo]:[Sexo]]=$B55,IF(DATOS_[[AGRUP. VALOR. PTO.]:[AGRUP. VALOR. PTO.]]=$B54,IF(DATOS_[[Check Periodo Ref.]:[Check Periodo Ref.]]="Dentro",IF(DATOS_[[Check Equiparado]:[Check Equiparado]]="Sí",IF(DATOS!AG$5="Sí",(1/DATOS_[[% anualiz]:[% anualiz]]),1)*IF(DATOS!AG$4="Sí",1/DATOS_[[% normaliz]:[% normaliz]],1)*(DATOS_[Conc.Sal.03])))))))),
0)</f>
        <v>0</v>
      </c>
      <c r="M55" s="196">
        <f t="array" ref="M55">IFERROR(
(AVERAGE((IF(DATOS_[[Sexo]:[Sexo]]=$B55,IF(DATOS_[[AGRUP. VALOR. PTO.]:[AGRUP. VALOR. PTO.]]=$B54,IF(DATOS_[[Check Periodo Ref.]:[Check Periodo Ref.]]="Dentro",IF(DATOS_[[Check Equiparado]:[Check Equiparado]]="Sí",IF(DATOS!AH$5="Sí",(1/DATOS_[[% anualiz]:[% anualiz]]),1)*IF(DATOS!AH$4="Sí",1/DATOS_[[% normaliz]:[% normaliz]],1)*(DATOS_[Conc.Sal.04])))))))),
0)</f>
        <v>0</v>
      </c>
      <c r="N55" s="196">
        <f t="array" ref="N55">IFERROR(
(AVERAGE((IF(DATOS_[[Sexo]:[Sexo]]=$B55,IF(DATOS_[[AGRUP. VALOR. PTO.]:[AGRUP. VALOR. PTO.]]=$B54,IF(DATOS_[[Check Periodo Ref.]:[Check Periodo Ref.]]="Dentro",IF(DATOS_[[Check Equiparado]:[Check Equiparado]]="Sí",IF(DATOS!AI$5="Sí",(1/DATOS_[[% anualiz]:[% anualiz]]),1)*IF(DATOS!AI$4="Sí",1/DATOS_[[% normaliz]:[% normaliz]],1)*(DATOS_[Conc.Sal.05])))))))),
0)</f>
        <v>0</v>
      </c>
      <c r="O55" s="196">
        <f t="array" ref="O55">IFERROR(
(AVERAGE((IF(DATOS_[[Sexo]:[Sexo]]=$B55,IF(DATOS_[[AGRUP. VALOR. PTO.]:[AGRUP. VALOR. PTO.]]=$B54,IF(DATOS_[[Check Periodo Ref.]:[Check Periodo Ref.]]="Dentro",IF(DATOS_[[Check Equiparado]:[Check Equiparado]]="Sí",IF(DATOS!AJ$5="Sí",(1/DATOS_[[% anualiz]:[% anualiz]]),1)*IF(DATOS!AJ$4="Sí",1/DATOS_[[% normaliz]:[% normaliz]],1)*(DATOS_[Conc.Sal.06])))))))),
0)</f>
        <v>0</v>
      </c>
      <c r="P55" s="196">
        <f t="array" ref="P55">IFERROR(
(AVERAGE((IF(DATOS_[[Sexo]:[Sexo]]=$B55,IF(DATOS_[[AGRUP. VALOR. PTO.]:[AGRUP. VALOR. PTO.]]=$B54,IF(DATOS_[[Check Periodo Ref.]:[Check Periodo Ref.]]="Dentro",IF(DATOS_[[Check Equiparado]:[Check Equiparado]]="Sí",IF(DATOS!AK$5="Sí",(1/DATOS_[[% anualiz]:[% anualiz]]),1)*IF(DATOS!AK$4="Sí",1/DATOS_[[% normaliz]:[% normaliz]],1)*(DATOS_[Conc.Sal.07])))))))),
0)</f>
        <v>0</v>
      </c>
      <c r="Q55" s="196">
        <f t="array" ref="Q55">IFERROR(
(AVERAGE((IF(DATOS_[[Sexo]:[Sexo]]=$B55,IF(DATOS_[[AGRUP. VALOR. PTO.]:[AGRUP. VALOR. PTO.]]=$B54,IF(DATOS_[[Check Periodo Ref.]:[Check Periodo Ref.]]="Dentro",IF(DATOS_[[Check Equiparado]:[Check Equiparado]]="Sí",IF(DATOS!AL$5="Sí",(1/DATOS_[[% anualiz]:[% anualiz]]),1)*IF(DATOS!AL$4="Sí",1/DATOS_[[% normaliz]:[% normaliz]],1)*(DATOS_[Conc.Sal.08])))))))),
0)</f>
        <v>0</v>
      </c>
      <c r="R55" s="196">
        <f t="array" ref="R55">IFERROR(
(AVERAGE((IF(DATOS_[[Sexo]:[Sexo]]=$B55,IF(DATOS_[[AGRUP. VALOR. PTO.]:[AGRUP. VALOR. PTO.]]=$B54,IF(DATOS_[[Check Periodo Ref.]:[Check Periodo Ref.]]="Dentro",IF(DATOS_[[Check Equiparado]:[Check Equiparado]]="Sí",IF(DATOS!AM$5="Sí",(1/DATOS_[[% anualiz]:[% anualiz]]),1)*IF(DATOS!AM$4="Sí",1/DATOS_[[% normaliz]:[% normaliz]],1)*(DATOS_[Conc.Sal.09])))))))),
0)</f>
        <v>0</v>
      </c>
      <c r="S55" s="196">
        <f t="array" ref="S55">IFERROR(
(AVERAGE((IF(DATOS_[[Sexo]:[Sexo]]=$B55,IF(DATOS_[[AGRUP. VALOR. PTO.]:[AGRUP. VALOR. PTO.]]=$B54,IF(DATOS_[[Check Periodo Ref.]:[Check Periodo Ref.]]="Dentro",IF(DATOS_[[Check Equiparado]:[Check Equiparado]]="Sí",IF(DATOS!AN$5="Sí",(1/DATOS_[[% anualiz]:[% anualiz]]),1)*IF(DATOS!AN$4="Sí",1/DATOS_[[% normaliz]:[% normaliz]],1)*(DATOS_[Conc.Sal.10])))))))),
0)</f>
        <v>0</v>
      </c>
      <c r="T55" s="196">
        <f t="array" ref="T55">IFERROR(
(AVERAGE((IF(DATOS_[[Sexo]:[Sexo]]=$B55,IF(DATOS_[[AGRUP. VALOR. PTO.]:[AGRUP. VALOR. PTO.]]=$B54,IF(DATOS_[[Check Periodo Ref.]:[Check Periodo Ref.]]="Dentro",IF(DATOS_[[Check Equiparado]:[Check Equiparado]]="Sí",IF(DATOS!AO$5="Sí",(1/DATOS_[[% anualiz]:[% anualiz]]),1)*IF(DATOS!AO$4="Sí",1/DATOS_[[% normaliz]:[% normaliz]],1)*(DATOS_[Conc.Sal.11])))))))),
0)</f>
        <v>0</v>
      </c>
      <c r="U55" s="196">
        <f t="array" ref="U55">IFERROR(
(AVERAGE((IF(DATOS_[[Sexo]:[Sexo]]=$B55,IF(DATOS_[[AGRUP. VALOR. PTO.]:[AGRUP. VALOR. PTO.]]=$B54,IF(DATOS_[[Check Periodo Ref.]:[Check Periodo Ref.]]="Dentro",IF(DATOS_[[Check Equiparado]:[Check Equiparado]]="Sí",IF(DATOS!AP$5="Sí",(1/DATOS_[[% anualiz]:[% anualiz]]),1)*IF(DATOS!AP$4="Sí",1/DATOS_[[% normaliz]:[% normaliz]],1)*(DATOS_[Conc.Sal.12])))))))),
0)</f>
        <v>0</v>
      </c>
      <c r="V55" s="196">
        <f t="array" ref="V55">IFERROR(
(AVERAGE((IF(DATOS_[[Sexo]:[Sexo]]=$B55,IF(DATOS_[[AGRUP. VALOR. PTO.]:[AGRUP. VALOR. PTO.]]=$B54,IF(DATOS_[[Check Periodo Ref.]:[Check Periodo Ref.]]="Dentro",IF(DATOS_[[Check Equiparado]:[Check Equiparado]]="Sí",IF(DATOS!AQ$5="Sí",(1/DATOS_[[% anualiz]:[% anualiz]]),1)*IF(DATOS!AQ$4="Sí",1/DATOS_[[% normaliz]:[% normaliz]],1)*(DATOS_[Conc.Sal.13])))))))),
0)</f>
        <v>0</v>
      </c>
      <c r="W55" s="196">
        <f t="array" ref="W55">IFERROR(
(AVERAGE((IF(DATOS_[[Sexo]:[Sexo]]=$B55,IF(DATOS_[[AGRUP. VALOR. PTO.]:[AGRUP. VALOR. PTO.]]=$B54,IF(DATOS_[[Check Periodo Ref.]:[Check Periodo Ref.]]="Dentro",IF(DATOS_[[Check Equiparado]:[Check Equiparado]]="Sí",IF(DATOS!AR$5="Sí",(1/DATOS_[[% anualiz]:[% anualiz]]),1)*IF(DATOS!AR$4="Sí",1/DATOS_[[% normaliz]:[% normaliz]],1)*(DATOS_[Conc.Sal.14])))))))),
0)</f>
        <v>0</v>
      </c>
      <c r="X55" s="196">
        <f t="array" ref="X55">IFERROR(
(AVERAGE((IF(DATOS_[[Sexo]:[Sexo]]=$B55,IF(DATOS_[[AGRUP. VALOR. PTO.]:[AGRUP. VALOR. PTO.]]=$B54,IF(DATOS_[[Check Periodo Ref.]:[Check Periodo Ref.]]="Dentro",IF(DATOS_[[Check Equiparado]:[Check Equiparado]]="Sí",IF(DATOS!AS$5="Sí",(1/DATOS_[[% anualiz]:[% anualiz]]),1)*IF(DATOS!AS$4="Sí",1/DATOS_[[% normaliz]:[% normaliz]],1)*(DATOS_[Conc.Sal.15])))))))),
0)</f>
        <v>0</v>
      </c>
      <c r="Y55" s="196">
        <f t="array" ref="Y55">IFERROR(
(AVERAGE((IF(DATOS_[[Sexo]:[Sexo]]=$B55,IF(DATOS_[[AGRUP. VALOR. PTO.]:[AGRUP. VALOR. PTO.]]=$B54,IF(DATOS_[[Check Periodo Ref.]:[Check Periodo Ref.]]="Dentro",IF(DATOS_[[Check Equiparado]:[Check Equiparado]]="Sí",IF(DATOS!AT$5="Sí",(1/DATOS_[[% anualiz]:[% anualiz]]),1)*IF(DATOS!AT$4="Sí",1/DATOS_[[% normaliz]:[% normaliz]],1)*(DATOS_[Conc.Sal.16])))))))),
0)</f>
        <v>0</v>
      </c>
      <c r="Z55" s="196">
        <f t="array" ref="Z55">IFERROR(
(AVERAGE((IF(DATOS_[[Sexo]:[Sexo]]=$B55,IF(DATOS_[[AGRUP. VALOR. PTO.]:[AGRUP. VALOR. PTO.]]=$B54,IF(DATOS_[[Check Periodo Ref.]:[Check Periodo Ref.]]="Dentro",IF(DATOS_[[Check Equiparado]:[Check Equiparado]]="Sí",IF(DATOS!AU$5="Sí",(1/DATOS_[[% anualiz]:[% anualiz]]),1)*IF(DATOS!AU$4="Sí",1/DATOS_[[% normaliz]:[% normaliz]],1)*(DATOS_[Conc.Sal.17])))))))),
0)</f>
        <v>0</v>
      </c>
      <c r="AA55" s="196">
        <f t="array" ref="AA55">IFERROR(
(AVERAGE((IF(DATOS_[[Sexo]:[Sexo]]=$B55,IF(DATOS_[[AGRUP. VALOR. PTO.]:[AGRUP. VALOR. PTO.]]=$B54,IF(DATOS_[[Check Periodo Ref.]:[Check Periodo Ref.]]="Dentro",IF(DATOS_[[Check Equiparado]:[Check Equiparado]]="Sí",IF(DATOS!AV$5="Sí",(1/DATOS_[[% anualiz]:[% anualiz]]),1)*IF(DATOS!AV$4="Sí",1/DATOS_[[% normaliz]:[% normaliz]],1)*(DATOS_[Conc.Sal.18])))))))),
0)</f>
        <v>0</v>
      </c>
      <c r="AB55" s="196">
        <f t="array" ref="AB55">IFERROR(
(AVERAGE((IF(DATOS_[[Sexo]:[Sexo]]=$B55,IF(DATOS_[[AGRUP. VALOR. PTO.]:[AGRUP. VALOR. PTO.]]=$B54,IF(DATOS_[[Check Periodo Ref.]:[Check Periodo Ref.]]="Dentro",IF(DATOS_[[Check Equiparado]:[Check Equiparado]]="Sí",IF(DATOS!AW$5="Sí",(1/DATOS_[[% anualiz]:[% anualiz]]),1)*IF(DATOS!AW$4="Sí",1/DATOS_[[% normaliz]:[% normaliz]],1)*(DATOS_[Conc.Sal.19])))))))),
0)</f>
        <v>0</v>
      </c>
      <c r="AC55" s="196">
        <f t="array" ref="AC55">IFERROR(
(AVERAGE((IF(DATOS_[[Sexo]:[Sexo]]=$B55,IF(DATOS_[[AGRUP. VALOR. PTO.]:[AGRUP. VALOR. PTO.]]=$B54,IF(DATOS_[[Check Periodo Ref.]:[Check Periodo Ref.]]="Dentro",IF(DATOS_[[Check Equiparado]:[Check Equiparado]]="Sí",IF(DATOS!AX$5="Sí",(1/DATOS_[[% anualiz]:[% anualiz]]),1)*IF(DATOS!AX$4="Sí",1/DATOS_[[% normaliz]:[% normaliz]],1)*(DATOS_[Conc.Sal.20])))))))),
0)</f>
        <v>0</v>
      </c>
      <c r="AD55" s="196">
        <f t="array" ref="AD55">IFERROR(
(AVERAGE((IF(DATOS_[[Sexo]:[Sexo]]=$B55,IF(DATOS_[[AGRUP. VALOR. PTO.]:[AGRUP. VALOR. PTO.]]=$B54,IF(DATOS_[[Check Periodo Ref.]:[Check Periodo Ref.]]="Dentro",IF(DATOS_[[Check Equiparado]:[Check Equiparado]]="Sí",IF(DATOS!AY$5="Sí",(1/DATOS_[[% anualiz]:[% anualiz]]),1)*IF(DATOS!AY$4="Sí",1/DATOS_[[% normaliz]:[% normaliz]],1)*(DATOS_[Conc.Sal.21])))))))),
0)</f>
        <v>0</v>
      </c>
      <c r="AE55" s="196">
        <f t="array" ref="AE55">IFERROR(
(AVERAGE((IF(DATOS_[[Sexo]:[Sexo]]=$B55,IF(DATOS_[[AGRUP. VALOR. PTO.]:[AGRUP. VALOR. PTO.]]=$B54,IF(DATOS_[[Check Periodo Ref.]:[Check Periodo Ref.]]="Dentro",IF(DATOS_[[Check Equiparado]:[Check Equiparado]]="Sí",IF(DATOS!AZ$5="Sí",(1/DATOS_[[% anualiz]:[% anualiz]]),1)*IF(DATOS!AZ$4="Sí",1/DATOS_[[% normaliz]:[% normaliz]],1)*(DATOS_[Conc.Sal.22])))))))),
0)</f>
        <v>0</v>
      </c>
      <c r="AF55" s="196">
        <f t="array" ref="AF55">IFERROR(
(AVERAGE((IF(DATOS_[[Sexo]:[Sexo]]=$B55,IF(DATOS_[[AGRUP. VALOR. PTO.]:[AGRUP. VALOR. PTO.]]=$B54,IF(DATOS_[[Check Periodo Ref.]:[Check Periodo Ref.]]="Dentro",IF(DATOS_[[Check Equiparado]:[Check Equiparado]]="Sí",IF(DATOS!BA$5="Sí",(1/DATOS_[[% anualiz]:[% anualiz]]),1)*IF(DATOS!BA$4="Sí",1/DATOS_[[% normaliz]:[% normaliz]],1)*(DATOS_[Conc.Sal.23])))))))),
0)</f>
        <v>0</v>
      </c>
      <c r="AG55" s="196">
        <f t="array" ref="AG55">IFERROR(
(AVERAGE((IF(DATOS_[[Sexo]:[Sexo]]=$B55,IF(DATOS_[[AGRUP. VALOR. PTO.]:[AGRUP. VALOR. PTO.]]=$B54,IF(DATOS_[[Check Periodo Ref.]:[Check Periodo Ref.]]="Dentro",IF(DATOS_[[Check Equiparado]:[Check Equiparado]]="Sí",IF(DATOS!BB$5="Sí",(1/DATOS_[[% anualiz]:[% anualiz]]),1)*IF(DATOS!BB$4="Sí",1/DATOS_[[% normaliz]:[% normaliz]],1)*(DATOS_[Conc.Sal.24])))))))),
0)</f>
        <v>0</v>
      </c>
      <c r="AH55" s="196">
        <f t="array" ref="AH55">IFERROR(
(AVERAGE((IF(DATOS_[[Sexo]:[Sexo]]=$B55,IF(DATOS_[[AGRUP. VALOR. PTO.]:[AGRUP. VALOR. PTO.]]=$B54,IF(DATOS_[[Check Periodo Ref.]:[Check Periodo Ref.]]="Dentro",IF(DATOS_[[Check Equiparado]:[Check Equiparado]]="Sí",IF(DATOS!BC$5="Sí",(1/DATOS_[[% anualiz]:[% anualiz]]),1)*IF(DATOS!BC$4="Sí",1/DATOS_[[% normaliz]:[% normaliz]],1)*(DATOS_[Conc.Sal.25])))))))),
0)</f>
        <v>0</v>
      </c>
      <c r="AI55" s="196">
        <f t="array" ref="AI55">IFERROR(
(AVERAGE((IF(DATOS_[[Sexo]:[Sexo]]=$B55,IF(DATOS_[[AGRUP. VALOR. PTO.]:[AGRUP. VALOR. PTO.]]=$B54,IF(DATOS_[[Check Periodo Ref.]:[Check Periodo Ref.]]="Dentro",IF(DATOS_[[Check Equiparado]:[Check Equiparado]]="Sí",IF(DATOS!BD$5="Sí",(1/DATOS_[[% anualiz]:[% anualiz]]),1)*IF(DATOS!BD$4="Sí",1/DATOS_[[% normaliz]:[% normaliz]],1)*(DATOS_[Conc.Sal.26])))))))),
0)</f>
        <v>0</v>
      </c>
      <c r="AJ55" s="196">
        <f t="array" ref="AJ55">IFERROR(
(AVERAGE((IF(DATOS_[[Sexo]:[Sexo]]=$B55,IF(DATOS_[[AGRUP. VALOR. PTO.]:[AGRUP. VALOR. PTO.]]=$B54,IF(DATOS_[[Check Periodo Ref.]:[Check Periodo Ref.]]="Dentro",IF(DATOS_[[Check Equiparado]:[Check Equiparado]]="Sí",IF(DATOS!BE$5="Sí",(1/DATOS_[[% anualiz]:[% anualiz]]),1)*IF(DATOS!BE$4="Sí",1/DATOS_[[% normaliz]:[% normaliz]],1)*(DATOS_[Conc.Sal.27])))))))),
0)</f>
        <v>0</v>
      </c>
      <c r="AK55" s="196">
        <f t="array" ref="AK55">IFERROR(
(AVERAGE((IF(DATOS_[[Sexo]:[Sexo]]=$B55,IF(DATOS_[[AGRUP. VALOR. PTO.]:[AGRUP. VALOR. PTO.]]=$B54,IF(DATOS_[[Check Periodo Ref.]:[Check Periodo Ref.]]="Dentro",IF(DATOS_[[Check Equiparado]:[Check Equiparado]]="Sí",IF(DATOS!BF$5="Sí",(1/DATOS_[[% anualiz]:[% anualiz]]),1)*IF(DATOS!BF$4="Sí",1/DATOS_[[% normaliz]:[% normaliz]],1)*(DATOS_[Conc.Sal.28])))))))),
0)</f>
        <v>0</v>
      </c>
      <c r="AL55" s="196">
        <f t="array" ref="AL55">IFERROR(
(AVERAGE((IF(DATOS_[[Sexo]:[Sexo]]=$B55,IF(DATOS_[[AGRUP. VALOR. PTO.]:[AGRUP. VALOR. PTO.]]=$B54,IF(DATOS_[[Check Periodo Ref.]:[Check Periodo Ref.]]="Dentro",IF(DATOS_[[Check Equiparado]:[Check Equiparado]]="Sí",IF(DATOS!BG$5="Sí",(1/DATOS_[[% anualiz]:[% anualiz]]),1)*IF(DATOS!BG$4="Sí",1/DATOS_[[% normaliz]:[% normaliz]],1)*(DATOS_[Conc.Sal.29])))))))),
0)</f>
        <v>0</v>
      </c>
      <c r="AM55" s="196">
        <f t="array" ref="AM55">IFERROR(
(AVERAGE((IF(DATOS_[[Sexo]:[Sexo]]=$B55,IF(DATOS_[[AGRUP. VALOR. PTO.]:[AGRUP. VALOR. PTO.]]=$B54,IF(DATOS_[[Check Periodo Ref.]:[Check Periodo Ref.]]="Dentro",IF(DATOS_[[Check Equiparado]:[Check Equiparado]]="Sí",IF(DATOS!BH$5="Sí",(1/DATOS_[[% anualiz]:[% anualiz]]),1)*IF(DATOS!BH$4="Sí",1/DATOS_[[% normaliz]:[% normaliz]],1)*(DATOS_[Conc.Sal.30])))))))),
0)</f>
        <v>0</v>
      </c>
      <c r="AN55" s="195">
        <f t="array" ref="AN55">IFERROR(
AVERAGE(IF(DATOS_[Sexo]=$B55,IF(DATOS_[[AGRUP. VALOR. PTO.]:[AGRUP. VALOR. PTO.]]=$B54,IF(DATOS_[Check Equiparado]="Sí",IF(DATOS_[Check Periodo Ref.]="Dentro",DATOS_[Tot COMPL.SAL Eq],FALSE))))),
0)</f>
        <v>0</v>
      </c>
      <c r="AO55" s="172">
        <f t="array" ref="AO55">IFERROR(
AVERAGE(IF(DATOS_[Sexo]=$B55,IF(DATOS_[[AGRUP. VALOR. PTO.]:[AGRUP. VALOR. PTO.]]=$B54,IF(DATOS_[Check Equiparado]="Sí",IF(DATOS_[Check Periodo Ref.]="Dentro",DATOS_[TOTAL SALARIO Eq],FALSE))))),
0)</f>
        <v>0</v>
      </c>
      <c r="AP55" s="173">
        <f t="array" ref="AP55">IFERROR(
(AVERAGE((IF(DATOS_[[Sexo]:[Sexo]]=$B55,IF(DATOS_[[AGRUP. VALOR. PTO.]:[AGRUP. VALOR. PTO.]]=$B54,IF(DATOS_[[Check Periodo Ref.]:[Check Periodo Ref.]]="Dentro",IF(DATOS_[[Check Equiparado]:[Check Equiparado]]="Sí",IF(DATOS!BW$5="Sí",(1/DATOS_[[% anualiz]:[% anualiz]]),1)*IF(DATOS!BW$4="Sí",1/DATOS_[[% normaliz]:[% normaliz]],1)*(DATOS_[C.Extra.01])))))))),
0)</f>
        <v>0</v>
      </c>
      <c r="AQ55" s="173">
        <f t="array" ref="AQ55">IFERROR(
(AVERAGE((IF(DATOS_[[Sexo]:[Sexo]]=$B55,IF(DATOS_[[AGRUP. VALOR. PTO.]:[AGRUP. VALOR. PTO.]]=$B54,IF(DATOS_[[Check Periodo Ref.]:[Check Periodo Ref.]]="Dentro",IF(DATOS_[[Check Equiparado]:[Check Equiparado]]="Sí",IF(DATOS!CB$5="Sí",(1/DATOS_[[% anualiz]:[% anualiz]]),1)*IF(DATOS!CB$4="Sí",1/DATOS_[[% normaliz]:[% normaliz]],1)*(DATOS_[C.Extra.06])))))))),
0)</f>
        <v>0</v>
      </c>
      <c r="AR55" s="173">
        <f t="array" ref="AR55">IFERROR(
(AVERAGE((IF(DATOS_[[Sexo]:[Sexo]]=$B55,IF(DATOS_[[AGRUP. VALOR. PTO.]:[AGRUP. VALOR. PTO.]]=$B54,IF(DATOS_[[Check Periodo Ref.]:[Check Periodo Ref.]]="Dentro",IF(DATOS_[[Check Equiparado]:[Check Equiparado]]="Sí",IF(DATOS!CC$5="Sí",(1/DATOS_[[% anualiz]:[% anualiz]]),1)*IF(DATOS!CC$4="Sí",1/DATOS_[[% normaliz]:[% normaliz]],1)*(DATOS_[C.Extra.07])))))))),
0)</f>
        <v>0</v>
      </c>
      <c r="AS55" s="173">
        <f t="array" ref="AS55">IFERROR(
(AVERAGE((IF(DATOS_[[Sexo]:[Sexo]]=$B55,IF(DATOS_[[AGRUP. VALOR. PTO.]:[AGRUP. VALOR. PTO.]]=$B54,IF(DATOS_[[Check Periodo Ref.]:[Check Periodo Ref.]]="Dentro",IF(DATOS_[[Check Equiparado]:[Check Equiparado]]="Sí",IF(DATOS!CD$5="Sí",(1/DATOS_[[% anualiz]:[% anualiz]]),1)*IF(DATOS!CD$4="Sí",1/DATOS_[[% normaliz]:[% normaliz]],1)*(DATOS_[C.Extra.08])))))))),
0)</f>
        <v>0</v>
      </c>
      <c r="AT55" s="173">
        <f t="array" ref="AT55">IFERROR(
(AVERAGE((IF(DATOS_[[Sexo]:[Sexo]]=$B55,IF(DATOS_[[AGRUP. VALOR. PTO.]:[AGRUP. VALOR. PTO.]]=$B54,IF(DATOS_[[Check Periodo Ref.]:[Check Periodo Ref.]]="Dentro",IF(DATOS_[[Check Equiparado]:[Check Equiparado]]="Sí",IF(DATOS!CG$5="Sí",(1/DATOS_[[% anualiz]:[% anualiz]]),1)*IF(DATOS!CG$4="Sí",1/DATOS_[[% normaliz]:[% normaliz]],1)*(DATOS_[C.Extra.11])))))))),
0)</f>
        <v>0</v>
      </c>
      <c r="AU55" s="197">
        <f t="array" ref="AU55">IFERROR(
AVERAGE(IF(DATOS_[Sexo]=$B55,IF(DATOS_[[AGRUP. VALOR. PTO.]:[AGRUP. VALOR. PTO.]]=$B54,IF(DATOS_[Check Equiparado]="Sí",IF(DATOS_[Check Periodo Ref.]="Dentro",DATOS_[Tot Extrasalarial Eq],FALSE))))),
0)</f>
        <v>0</v>
      </c>
      <c r="AV55" s="175">
        <f t="array" ref="AV55">IFERROR(
AVERAGE(IF(DATOS_[Sexo]=$B55,IF(DATOS_[[AGRUP. VALOR. PTO.]:[AGRUP. VALOR. PTO.]]=$B54,IF(DATOS_[Check Equiparado]="Sí",IF(DATOS_[Check Periodo Ref.]="Dentro",DATOS_[TOTAL Retrib Eq],FALSE))))),
0)</f>
        <v>0</v>
      </c>
    </row>
    <row r="56" spans="1:48" x14ac:dyDescent="0.25">
      <c r="A56" s="133" t="str">
        <f t="shared" ref="A56" si="58">+A55</f>
        <v>[ocultar]</v>
      </c>
      <c r="B56" s="202" t="s">
        <v>521</v>
      </c>
      <c r="C56" s="203">
        <f t="array" ref="C56">SUM(IF($B56=DATOS_[Sexo],
IF($B54=DATOS_[AGRUP. VALOR. PTO.],
IF("Dentro"=DATOS_[Check Periodo Ref.],
1/(COUNTIFS(DATOS_[Sexo],$B56,DATOS_[AGRUP. VALOR. PTO.],$B54,DATOS_[Check Periodo Ref.],"Dentro",DATOS_[id/cod],DATOS_[id/cod]))))))</f>
        <v>0</v>
      </c>
      <c r="D56" s="204">
        <f>COUNTIFS(DATOS_[AGRUP. VALOR. PTO.],$B54,DATOS_[Sexo],$B56,DATOS_[Check Periodo Ref.],"Dentro")</f>
        <v>0</v>
      </c>
      <c r="E56" s="204">
        <f>COUNTIFS(DATOS_[AGRUP. VALOR. PTO.],$B54,DATOS_[Sexo],$B56,DATOS_[Check Periodo Ref.],"Dentro",DATOS_[Check Nº SC Norm],"Sí")</f>
        <v>0</v>
      </c>
      <c r="F56" s="204">
        <f>COUNTIFS(DATOS_[AGRUP. VALOR. PTO.],$B54,DATOS_[Sexo],$B56,DATOS_[Check Periodo Ref.],"Dentro",DATOS_[Check Nº SC Anualiz],"Sí")</f>
        <v>0</v>
      </c>
      <c r="G56" s="204">
        <f>COUNTIFS(DATOS_[AGRUP. VALOR. PTO.],$B54,DATOS_[Sexo],$B56,DATOS_[Check Periodo Ref.],"Dentro",DATOS_[Check Nº SC Norm y Anualiz],"Sí")</f>
        <v>0</v>
      </c>
      <c r="H56" s="204">
        <f>COUNTIFS(DATOS_[AGRUP. VALOR. PTO.],$B54,DATOS_[Sexo],$B56,DATOS_[Check Periodo Ref.],"Dentro",DATOS_[Check Equiparación],"Sí")</f>
        <v>0</v>
      </c>
      <c r="I56" s="195" cm="1">
        <f t="array" ref="I56">IFERROR(
AVERAGE(IF(DATOS_[Sexo]=$B56,IF(DATOS_[[AGRUP. VALOR. PTO.]:[AGRUP. VALOR. PTO.]]=$B54,IF(DATOS_[Check Equiparado]="Sí",IF(DATOS_[Check Periodo Ref.]="Dentro",DATOS_[SALARIO BASE Eq],FALSE))))),
0)</f>
        <v>0</v>
      </c>
      <c r="J56" s="196">
        <f t="array" ref="J56">IFERROR(
(AVERAGE((IF(DATOS_[[Sexo]:[Sexo]]=$B56,IF(DATOS_[[AGRUP. VALOR. PTO.]:[AGRUP. VALOR. PTO.]]=$B54,IF(DATOS_[[Check Periodo Ref.]:[Check Periodo Ref.]]="Dentro",IF(DATOS_[[Check Equiparado]:[Check Equiparado]]="Sí",IF(DATOS!AE$5="Sí",(1/DATOS_[[% anualiz]:[% anualiz]]),1)*IF(DATOS!AE$4="Sí",1/DATOS_[[% normaliz]:[% normaliz]],1)*(DATOS_[Conc.Sal.01])))))))),
0)</f>
        <v>0</v>
      </c>
      <c r="K56" s="196">
        <f t="array" ref="K56">IFERROR(
(AVERAGE((IF(DATOS_[[Sexo]:[Sexo]]=$B56,IF(DATOS_[[AGRUP. VALOR. PTO.]:[AGRUP. VALOR. PTO.]]=$B54,IF(DATOS_[[Check Periodo Ref.]:[Check Periodo Ref.]]="Dentro",IF(DATOS_[[Check Equiparado]:[Check Equiparado]]="Sí",IF(DATOS!AF$5="Sí",(1/DATOS_[[% anualiz]:[% anualiz]]),1)*IF(DATOS!AF$4="Sí",1/DATOS_[[% normaliz]:[% normaliz]],1)*(DATOS_[Conc.Sal.02])))))))),
0)</f>
        <v>0</v>
      </c>
      <c r="L56" s="196">
        <f t="array" ref="L56">IFERROR(
(AVERAGE((IF(DATOS_[[Sexo]:[Sexo]]=$B56,IF(DATOS_[[AGRUP. VALOR. PTO.]:[AGRUP. VALOR. PTO.]]=$B54,IF(DATOS_[[Check Periodo Ref.]:[Check Periodo Ref.]]="Dentro",IF(DATOS_[[Check Equiparado]:[Check Equiparado]]="Sí",IF(DATOS!AG$5="Sí",(1/DATOS_[[% anualiz]:[% anualiz]]),1)*IF(DATOS!AG$4="Sí",1/DATOS_[[% normaliz]:[% normaliz]],1)*(DATOS_[Conc.Sal.03])))))))),
0)</f>
        <v>0</v>
      </c>
      <c r="M56" s="196">
        <f t="array" ref="M56">IFERROR(
(AVERAGE((IF(DATOS_[[Sexo]:[Sexo]]=$B56,IF(DATOS_[[AGRUP. VALOR. PTO.]:[AGRUP. VALOR. PTO.]]=$B54,IF(DATOS_[[Check Periodo Ref.]:[Check Periodo Ref.]]="Dentro",IF(DATOS_[[Check Equiparado]:[Check Equiparado]]="Sí",IF(DATOS!AH$5="Sí",(1/DATOS_[[% anualiz]:[% anualiz]]),1)*IF(DATOS!AH$4="Sí",1/DATOS_[[% normaliz]:[% normaliz]],1)*(DATOS_[Conc.Sal.04])))))))),
0)</f>
        <v>0</v>
      </c>
      <c r="N56" s="196">
        <f t="array" ref="N56">IFERROR(
(AVERAGE((IF(DATOS_[[Sexo]:[Sexo]]=$B56,IF(DATOS_[[AGRUP. VALOR. PTO.]:[AGRUP. VALOR. PTO.]]=$B54,IF(DATOS_[[Check Periodo Ref.]:[Check Periodo Ref.]]="Dentro",IF(DATOS_[[Check Equiparado]:[Check Equiparado]]="Sí",IF(DATOS!AI$5="Sí",(1/DATOS_[[% anualiz]:[% anualiz]]),1)*IF(DATOS!AI$4="Sí",1/DATOS_[[% normaliz]:[% normaliz]],1)*(DATOS_[Conc.Sal.05])))))))),
0)</f>
        <v>0</v>
      </c>
      <c r="O56" s="196">
        <f t="array" ref="O56">IFERROR(
(AVERAGE((IF(DATOS_[[Sexo]:[Sexo]]=$B56,IF(DATOS_[[AGRUP. VALOR. PTO.]:[AGRUP. VALOR. PTO.]]=$B54,IF(DATOS_[[Check Periodo Ref.]:[Check Periodo Ref.]]="Dentro",IF(DATOS_[[Check Equiparado]:[Check Equiparado]]="Sí",IF(DATOS!AJ$5="Sí",(1/DATOS_[[% anualiz]:[% anualiz]]),1)*IF(DATOS!AJ$4="Sí",1/DATOS_[[% normaliz]:[% normaliz]],1)*(DATOS_[Conc.Sal.06])))))))),
0)</f>
        <v>0</v>
      </c>
      <c r="P56" s="196">
        <f t="array" ref="P56">IFERROR(
(AVERAGE((IF(DATOS_[[Sexo]:[Sexo]]=$B56,IF(DATOS_[[AGRUP. VALOR. PTO.]:[AGRUP. VALOR. PTO.]]=$B54,IF(DATOS_[[Check Periodo Ref.]:[Check Periodo Ref.]]="Dentro",IF(DATOS_[[Check Equiparado]:[Check Equiparado]]="Sí",IF(DATOS!AK$5="Sí",(1/DATOS_[[% anualiz]:[% anualiz]]),1)*IF(DATOS!AK$4="Sí",1/DATOS_[[% normaliz]:[% normaliz]],1)*(DATOS_[Conc.Sal.07])))))))),
0)</f>
        <v>0</v>
      </c>
      <c r="Q56" s="196">
        <f t="array" ref="Q56">IFERROR(
(AVERAGE((IF(DATOS_[[Sexo]:[Sexo]]=$B56,IF(DATOS_[[AGRUP. VALOR. PTO.]:[AGRUP. VALOR. PTO.]]=$B54,IF(DATOS_[[Check Periodo Ref.]:[Check Periodo Ref.]]="Dentro",IF(DATOS_[[Check Equiparado]:[Check Equiparado]]="Sí",IF(DATOS!AL$5="Sí",(1/DATOS_[[% anualiz]:[% anualiz]]),1)*IF(DATOS!AL$4="Sí",1/DATOS_[[% normaliz]:[% normaliz]],1)*(DATOS_[Conc.Sal.08])))))))),
0)</f>
        <v>0</v>
      </c>
      <c r="R56" s="196">
        <f t="array" ref="R56">IFERROR(
(AVERAGE((IF(DATOS_[[Sexo]:[Sexo]]=$B56,IF(DATOS_[[AGRUP. VALOR. PTO.]:[AGRUP. VALOR. PTO.]]=$B54,IF(DATOS_[[Check Periodo Ref.]:[Check Periodo Ref.]]="Dentro",IF(DATOS_[[Check Equiparado]:[Check Equiparado]]="Sí",IF(DATOS!AM$5="Sí",(1/DATOS_[[% anualiz]:[% anualiz]]),1)*IF(DATOS!AM$4="Sí",1/DATOS_[[% normaliz]:[% normaliz]],1)*(DATOS_[Conc.Sal.09])))))))),
0)</f>
        <v>0</v>
      </c>
      <c r="S56" s="196">
        <f t="array" ref="S56">IFERROR(
(AVERAGE((IF(DATOS_[[Sexo]:[Sexo]]=$B56,IF(DATOS_[[AGRUP. VALOR. PTO.]:[AGRUP. VALOR. PTO.]]=$B54,IF(DATOS_[[Check Periodo Ref.]:[Check Periodo Ref.]]="Dentro",IF(DATOS_[[Check Equiparado]:[Check Equiparado]]="Sí",IF(DATOS!AN$5="Sí",(1/DATOS_[[% anualiz]:[% anualiz]]),1)*IF(DATOS!AN$4="Sí",1/DATOS_[[% normaliz]:[% normaliz]],1)*(DATOS_[Conc.Sal.10])))))))),
0)</f>
        <v>0</v>
      </c>
      <c r="T56" s="196">
        <f t="array" ref="T56">IFERROR(
(AVERAGE((IF(DATOS_[[Sexo]:[Sexo]]=$B56,IF(DATOS_[[AGRUP. VALOR. PTO.]:[AGRUP. VALOR. PTO.]]=$B54,IF(DATOS_[[Check Periodo Ref.]:[Check Periodo Ref.]]="Dentro",IF(DATOS_[[Check Equiparado]:[Check Equiparado]]="Sí",IF(DATOS!AO$5="Sí",(1/DATOS_[[% anualiz]:[% anualiz]]),1)*IF(DATOS!AO$4="Sí",1/DATOS_[[% normaliz]:[% normaliz]],1)*(DATOS_[Conc.Sal.11])))))))),
0)</f>
        <v>0</v>
      </c>
      <c r="U56" s="196">
        <f t="array" ref="U56">IFERROR(
(AVERAGE((IF(DATOS_[[Sexo]:[Sexo]]=$B56,IF(DATOS_[[AGRUP. VALOR. PTO.]:[AGRUP. VALOR. PTO.]]=$B54,IF(DATOS_[[Check Periodo Ref.]:[Check Periodo Ref.]]="Dentro",IF(DATOS_[[Check Equiparado]:[Check Equiparado]]="Sí",IF(DATOS!AP$5="Sí",(1/DATOS_[[% anualiz]:[% anualiz]]),1)*IF(DATOS!AP$4="Sí",1/DATOS_[[% normaliz]:[% normaliz]],1)*(DATOS_[Conc.Sal.12])))))))),
0)</f>
        <v>0</v>
      </c>
      <c r="V56" s="196">
        <f t="array" ref="V56">IFERROR(
(AVERAGE((IF(DATOS_[[Sexo]:[Sexo]]=$B56,IF(DATOS_[[AGRUP. VALOR. PTO.]:[AGRUP. VALOR. PTO.]]=$B54,IF(DATOS_[[Check Periodo Ref.]:[Check Periodo Ref.]]="Dentro",IF(DATOS_[[Check Equiparado]:[Check Equiparado]]="Sí",IF(DATOS!AQ$5="Sí",(1/DATOS_[[% anualiz]:[% anualiz]]),1)*IF(DATOS!AQ$4="Sí",1/DATOS_[[% normaliz]:[% normaliz]],1)*(DATOS_[Conc.Sal.13])))))))),
0)</f>
        <v>0</v>
      </c>
      <c r="W56" s="196">
        <f t="array" ref="W56">IFERROR(
(AVERAGE((IF(DATOS_[[Sexo]:[Sexo]]=$B56,IF(DATOS_[[AGRUP. VALOR. PTO.]:[AGRUP. VALOR. PTO.]]=$B54,IF(DATOS_[[Check Periodo Ref.]:[Check Periodo Ref.]]="Dentro",IF(DATOS_[[Check Equiparado]:[Check Equiparado]]="Sí",IF(DATOS!AR$5="Sí",(1/DATOS_[[% anualiz]:[% anualiz]]),1)*IF(DATOS!AR$4="Sí",1/DATOS_[[% normaliz]:[% normaliz]],1)*(DATOS_[Conc.Sal.14])))))))),
0)</f>
        <v>0</v>
      </c>
      <c r="X56" s="196">
        <f t="array" ref="X56">IFERROR(
(AVERAGE((IF(DATOS_[[Sexo]:[Sexo]]=$B56,IF(DATOS_[[AGRUP. VALOR. PTO.]:[AGRUP. VALOR. PTO.]]=$B54,IF(DATOS_[[Check Periodo Ref.]:[Check Periodo Ref.]]="Dentro",IF(DATOS_[[Check Equiparado]:[Check Equiparado]]="Sí",IF(DATOS!AS$5="Sí",(1/DATOS_[[% anualiz]:[% anualiz]]),1)*IF(DATOS!AS$4="Sí",1/DATOS_[[% normaliz]:[% normaliz]],1)*(DATOS_[Conc.Sal.15])))))))),
0)</f>
        <v>0</v>
      </c>
      <c r="Y56" s="196">
        <f t="array" ref="Y56">IFERROR(
(AVERAGE((IF(DATOS_[[Sexo]:[Sexo]]=$B56,IF(DATOS_[[AGRUP. VALOR. PTO.]:[AGRUP. VALOR. PTO.]]=$B54,IF(DATOS_[[Check Periodo Ref.]:[Check Periodo Ref.]]="Dentro",IF(DATOS_[[Check Equiparado]:[Check Equiparado]]="Sí",IF(DATOS!AT$5="Sí",(1/DATOS_[[% anualiz]:[% anualiz]]),1)*IF(DATOS!AT$4="Sí",1/DATOS_[[% normaliz]:[% normaliz]],1)*(DATOS_[Conc.Sal.16])))))))),
0)</f>
        <v>0</v>
      </c>
      <c r="Z56" s="196">
        <f t="array" ref="Z56">IFERROR(
(AVERAGE((IF(DATOS_[[Sexo]:[Sexo]]=$B56,IF(DATOS_[[AGRUP. VALOR. PTO.]:[AGRUP. VALOR. PTO.]]=$B54,IF(DATOS_[[Check Periodo Ref.]:[Check Periodo Ref.]]="Dentro",IF(DATOS_[[Check Equiparado]:[Check Equiparado]]="Sí",IF(DATOS!AU$5="Sí",(1/DATOS_[[% anualiz]:[% anualiz]]),1)*IF(DATOS!AU$4="Sí",1/DATOS_[[% normaliz]:[% normaliz]],1)*(DATOS_[Conc.Sal.17])))))))),
0)</f>
        <v>0</v>
      </c>
      <c r="AA56" s="196">
        <f t="array" ref="AA56">IFERROR(
(AVERAGE((IF(DATOS_[[Sexo]:[Sexo]]=$B56,IF(DATOS_[[AGRUP. VALOR. PTO.]:[AGRUP. VALOR. PTO.]]=$B54,IF(DATOS_[[Check Periodo Ref.]:[Check Periodo Ref.]]="Dentro",IF(DATOS_[[Check Equiparado]:[Check Equiparado]]="Sí",IF(DATOS!AV$5="Sí",(1/DATOS_[[% anualiz]:[% anualiz]]),1)*IF(DATOS!AV$4="Sí",1/DATOS_[[% normaliz]:[% normaliz]],1)*(DATOS_[Conc.Sal.18])))))))),
0)</f>
        <v>0</v>
      </c>
      <c r="AB56" s="196">
        <f t="array" ref="AB56">IFERROR(
(AVERAGE((IF(DATOS_[[Sexo]:[Sexo]]=$B56,IF(DATOS_[[AGRUP. VALOR. PTO.]:[AGRUP. VALOR. PTO.]]=$B54,IF(DATOS_[[Check Periodo Ref.]:[Check Periodo Ref.]]="Dentro",IF(DATOS_[[Check Equiparado]:[Check Equiparado]]="Sí",IF(DATOS!AW$5="Sí",(1/DATOS_[[% anualiz]:[% anualiz]]),1)*IF(DATOS!AW$4="Sí",1/DATOS_[[% normaliz]:[% normaliz]],1)*(DATOS_[Conc.Sal.19])))))))),
0)</f>
        <v>0</v>
      </c>
      <c r="AC56" s="196">
        <f t="array" ref="AC56">IFERROR(
(AVERAGE((IF(DATOS_[[Sexo]:[Sexo]]=$B56,IF(DATOS_[[AGRUP. VALOR. PTO.]:[AGRUP. VALOR. PTO.]]=$B54,IF(DATOS_[[Check Periodo Ref.]:[Check Periodo Ref.]]="Dentro",IF(DATOS_[[Check Equiparado]:[Check Equiparado]]="Sí",IF(DATOS!AX$5="Sí",(1/DATOS_[[% anualiz]:[% anualiz]]),1)*IF(DATOS!AX$4="Sí",1/DATOS_[[% normaliz]:[% normaliz]],1)*(DATOS_[Conc.Sal.20])))))))),
0)</f>
        <v>0</v>
      </c>
      <c r="AD56" s="196">
        <f t="array" ref="AD56">IFERROR(
(AVERAGE((IF(DATOS_[[Sexo]:[Sexo]]=$B56,IF(DATOS_[[AGRUP. VALOR. PTO.]:[AGRUP. VALOR. PTO.]]=$B54,IF(DATOS_[[Check Periodo Ref.]:[Check Periodo Ref.]]="Dentro",IF(DATOS_[[Check Equiparado]:[Check Equiparado]]="Sí",IF(DATOS!AY$5="Sí",(1/DATOS_[[% anualiz]:[% anualiz]]),1)*IF(DATOS!AY$4="Sí",1/DATOS_[[% normaliz]:[% normaliz]],1)*(DATOS_[Conc.Sal.21])))))))),
0)</f>
        <v>0</v>
      </c>
      <c r="AE56" s="196">
        <f t="array" ref="AE56">IFERROR(
(AVERAGE((IF(DATOS_[[Sexo]:[Sexo]]=$B56,IF(DATOS_[[AGRUP. VALOR. PTO.]:[AGRUP. VALOR. PTO.]]=$B54,IF(DATOS_[[Check Periodo Ref.]:[Check Periodo Ref.]]="Dentro",IF(DATOS_[[Check Equiparado]:[Check Equiparado]]="Sí",IF(DATOS!AZ$5="Sí",(1/DATOS_[[% anualiz]:[% anualiz]]),1)*IF(DATOS!AZ$4="Sí",1/DATOS_[[% normaliz]:[% normaliz]],1)*(DATOS_[Conc.Sal.22])))))))),
0)</f>
        <v>0</v>
      </c>
      <c r="AF56" s="196">
        <f t="array" ref="AF56">IFERROR(
(AVERAGE((IF(DATOS_[[Sexo]:[Sexo]]=$B56,IF(DATOS_[[AGRUP. VALOR. PTO.]:[AGRUP. VALOR. PTO.]]=$B54,IF(DATOS_[[Check Periodo Ref.]:[Check Periodo Ref.]]="Dentro",IF(DATOS_[[Check Equiparado]:[Check Equiparado]]="Sí",IF(DATOS!BA$5="Sí",(1/DATOS_[[% anualiz]:[% anualiz]]),1)*IF(DATOS!BA$4="Sí",1/DATOS_[[% normaliz]:[% normaliz]],1)*(DATOS_[Conc.Sal.23])))))))),
0)</f>
        <v>0</v>
      </c>
      <c r="AG56" s="196">
        <f t="array" ref="AG56">IFERROR(
(AVERAGE((IF(DATOS_[[Sexo]:[Sexo]]=$B56,IF(DATOS_[[AGRUP. VALOR. PTO.]:[AGRUP. VALOR. PTO.]]=$B54,IF(DATOS_[[Check Periodo Ref.]:[Check Periodo Ref.]]="Dentro",IF(DATOS_[[Check Equiparado]:[Check Equiparado]]="Sí",IF(DATOS!BB$5="Sí",(1/DATOS_[[% anualiz]:[% anualiz]]),1)*IF(DATOS!BB$4="Sí",1/DATOS_[[% normaliz]:[% normaliz]],1)*(DATOS_[Conc.Sal.24])))))))),
0)</f>
        <v>0</v>
      </c>
      <c r="AH56" s="196">
        <f t="array" ref="AH56">IFERROR(
(AVERAGE((IF(DATOS_[[Sexo]:[Sexo]]=$B56,IF(DATOS_[[AGRUP. VALOR. PTO.]:[AGRUP. VALOR. PTO.]]=$B54,IF(DATOS_[[Check Periodo Ref.]:[Check Periodo Ref.]]="Dentro",IF(DATOS_[[Check Equiparado]:[Check Equiparado]]="Sí",IF(DATOS!BC$5="Sí",(1/DATOS_[[% anualiz]:[% anualiz]]),1)*IF(DATOS!BC$4="Sí",1/DATOS_[[% normaliz]:[% normaliz]],1)*(DATOS_[Conc.Sal.25])))))))),
0)</f>
        <v>0</v>
      </c>
      <c r="AI56" s="196">
        <f t="array" ref="AI56">IFERROR(
(AVERAGE((IF(DATOS_[[Sexo]:[Sexo]]=$B56,IF(DATOS_[[AGRUP. VALOR. PTO.]:[AGRUP. VALOR. PTO.]]=$B54,IF(DATOS_[[Check Periodo Ref.]:[Check Periodo Ref.]]="Dentro",IF(DATOS_[[Check Equiparado]:[Check Equiparado]]="Sí",IF(DATOS!BD$5="Sí",(1/DATOS_[[% anualiz]:[% anualiz]]),1)*IF(DATOS!BD$4="Sí",1/DATOS_[[% normaliz]:[% normaliz]],1)*(DATOS_[Conc.Sal.26])))))))),
0)</f>
        <v>0</v>
      </c>
      <c r="AJ56" s="196">
        <f t="array" ref="AJ56">IFERROR(
(AVERAGE((IF(DATOS_[[Sexo]:[Sexo]]=$B56,IF(DATOS_[[AGRUP. VALOR. PTO.]:[AGRUP. VALOR. PTO.]]=$B54,IF(DATOS_[[Check Periodo Ref.]:[Check Periodo Ref.]]="Dentro",IF(DATOS_[[Check Equiparado]:[Check Equiparado]]="Sí",IF(DATOS!BE$5="Sí",(1/DATOS_[[% anualiz]:[% anualiz]]),1)*IF(DATOS!BE$4="Sí",1/DATOS_[[% normaliz]:[% normaliz]],1)*(DATOS_[Conc.Sal.27])))))))),
0)</f>
        <v>0</v>
      </c>
      <c r="AK56" s="196">
        <f t="array" ref="AK56">IFERROR(
(AVERAGE((IF(DATOS_[[Sexo]:[Sexo]]=$B56,IF(DATOS_[[AGRUP. VALOR. PTO.]:[AGRUP. VALOR. PTO.]]=$B54,IF(DATOS_[[Check Periodo Ref.]:[Check Periodo Ref.]]="Dentro",IF(DATOS_[[Check Equiparado]:[Check Equiparado]]="Sí",IF(DATOS!BF$5="Sí",(1/DATOS_[[% anualiz]:[% anualiz]]),1)*IF(DATOS!BF$4="Sí",1/DATOS_[[% normaliz]:[% normaliz]],1)*(DATOS_[Conc.Sal.28])))))))),
0)</f>
        <v>0</v>
      </c>
      <c r="AL56" s="196">
        <f t="array" ref="AL56">IFERROR(
(AVERAGE((IF(DATOS_[[Sexo]:[Sexo]]=$B56,IF(DATOS_[[AGRUP. VALOR. PTO.]:[AGRUP. VALOR. PTO.]]=$B54,IF(DATOS_[[Check Periodo Ref.]:[Check Periodo Ref.]]="Dentro",IF(DATOS_[[Check Equiparado]:[Check Equiparado]]="Sí",IF(DATOS!BG$5="Sí",(1/DATOS_[[% anualiz]:[% anualiz]]),1)*IF(DATOS!BG$4="Sí",1/DATOS_[[% normaliz]:[% normaliz]],1)*(DATOS_[Conc.Sal.29])))))))),
0)</f>
        <v>0</v>
      </c>
      <c r="AM56" s="196">
        <f t="array" ref="AM56">IFERROR(
(AVERAGE((IF(DATOS_[[Sexo]:[Sexo]]=$B56,IF(DATOS_[[AGRUP. VALOR. PTO.]:[AGRUP. VALOR. PTO.]]=$B54,IF(DATOS_[[Check Periodo Ref.]:[Check Periodo Ref.]]="Dentro",IF(DATOS_[[Check Equiparado]:[Check Equiparado]]="Sí",IF(DATOS!BH$5="Sí",(1/DATOS_[[% anualiz]:[% anualiz]]),1)*IF(DATOS!BH$4="Sí",1/DATOS_[[% normaliz]:[% normaliz]],1)*(DATOS_[Conc.Sal.30])))))))),
0)</f>
        <v>0</v>
      </c>
      <c r="AN56" s="195">
        <f t="array" ref="AN56">IFERROR(
AVERAGE(IF(DATOS_[Sexo]=$B56,IF(DATOS_[[AGRUP. VALOR. PTO.]:[AGRUP. VALOR. PTO.]]=$B54,IF(DATOS_[Check Equiparado]="Sí",IF(DATOS_[Check Periodo Ref.]="Dentro",DATOS_[Tot COMPL.SAL Eq],FALSE))))),
0)</f>
        <v>0</v>
      </c>
      <c r="AO56" s="172">
        <f t="array" ref="AO56">IFERROR(
AVERAGE(IF(DATOS_[Sexo]=$B56,IF(DATOS_[[AGRUP. VALOR. PTO.]:[AGRUP. VALOR. PTO.]]=$B54,IF(DATOS_[Check Equiparado]="Sí",IF(DATOS_[Check Periodo Ref.]="Dentro",DATOS_[TOTAL SALARIO Eq],FALSE))))),
0)</f>
        <v>0</v>
      </c>
      <c r="AP56" s="173">
        <f t="array" ref="AP56">IFERROR(
(AVERAGE((IF(DATOS_[[Sexo]:[Sexo]]=$B56,IF(DATOS_[[AGRUP. VALOR. PTO.]:[AGRUP. VALOR. PTO.]]=$B54,IF(DATOS_[[Check Periodo Ref.]:[Check Periodo Ref.]]="Dentro",IF(DATOS_[[Check Equiparado]:[Check Equiparado]]="Sí",IF(DATOS!BW$5="Sí",(1/DATOS_[[% anualiz]:[% anualiz]]),1)*IF(DATOS!BW$4="Sí",1/DATOS_[[% normaliz]:[% normaliz]],1)*(DATOS_[C.Extra.01])))))))),
0)</f>
        <v>0</v>
      </c>
      <c r="AQ56" s="173">
        <f t="array" ref="AQ56">IFERROR(
(AVERAGE((IF(DATOS_[[Sexo]:[Sexo]]=$B56,IF(DATOS_[[AGRUP. VALOR. PTO.]:[AGRUP. VALOR. PTO.]]=$B54,IF(DATOS_[[Check Periodo Ref.]:[Check Periodo Ref.]]="Dentro",IF(DATOS_[[Check Equiparado]:[Check Equiparado]]="Sí",IF(DATOS!CB$5="Sí",(1/DATOS_[[% anualiz]:[% anualiz]]),1)*IF(DATOS!CB$4="Sí",1/DATOS_[[% normaliz]:[% normaliz]],1)*(DATOS_[C.Extra.06])))))))),
0)</f>
        <v>0</v>
      </c>
      <c r="AR56" s="173">
        <f t="array" ref="AR56">IFERROR(
(AVERAGE((IF(DATOS_[[Sexo]:[Sexo]]=$B56,IF(DATOS_[[AGRUP. VALOR. PTO.]:[AGRUP. VALOR. PTO.]]=$B54,IF(DATOS_[[Check Periodo Ref.]:[Check Periodo Ref.]]="Dentro",IF(DATOS_[[Check Equiparado]:[Check Equiparado]]="Sí",IF(DATOS!CC$5="Sí",(1/DATOS_[[% anualiz]:[% anualiz]]),1)*IF(DATOS!CC$4="Sí",1/DATOS_[[% normaliz]:[% normaliz]],1)*(DATOS_[C.Extra.07])))))))),
0)</f>
        <v>0</v>
      </c>
      <c r="AS56" s="173">
        <f t="array" ref="AS56">IFERROR(
(AVERAGE((IF(DATOS_[[Sexo]:[Sexo]]=$B56,IF(DATOS_[[AGRUP. VALOR. PTO.]:[AGRUP. VALOR. PTO.]]=$B54,IF(DATOS_[[Check Periodo Ref.]:[Check Periodo Ref.]]="Dentro",IF(DATOS_[[Check Equiparado]:[Check Equiparado]]="Sí",IF(DATOS!CD$5="Sí",(1/DATOS_[[% anualiz]:[% anualiz]]),1)*IF(DATOS!CD$4="Sí",1/DATOS_[[% normaliz]:[% normaliz]],1)*(DATOS_[C.Extra.08])))))))),
0)</f>
        <v>0</v>
      </c>
      <c r="AT56" s="173">
        <f t="array" ref="AT56">IFERROR(
(AVERAGE((IF(DATOS_[[Sexo]:[Sexo]]=$B56,IF(DATOS_[[AGRUP. VALOR. PTO.]:[AGRUP. VALOR. PTO.]]=$B54,IF(DATOS_[[Check Periodo Ref.]:[Check Periodo Ref.]]="Dentro",IF(DATOS_[[Check Equiparado]:[Check Equiparado]]="Sí",IF(DATOS!CG$5="Sí",(1/DATOS_[[% anualiz]:[% anualiz]]),1)*IF(DATOS!CG$4="Sí",1/DATOS_[[% normaliz]:[% normaliz]],1)*(DATOS_[C.Extra.11])))))))),
0)</f>
        <v>0</v>
      </c>
      <c r="AU56" s="197">
        <f t="array" ref="AU56">IFERROR(
AVERAGE(IF(DATOS_[Sexo]=$B56,IF(DATOS_[[AGRUP. VALOR. PTO.]:[AGRUP. VALOR. PTO.]]=$B54,IF(DATOS_[Check Equiparado]="Sí",IF(DATOS_[Check Periodo Ref.]="Dentro",DATOS_[Tot Extrasalarial Eq],FALSE))))),
0)</f>
        <v>0</v>
      </c>
      <c r="AV56" s="175">
        <f t="array" ref="AV56">IFERROR(
AVERAGE(IF(DATOS_[Sexo]=$B56,IF(DATOS_[[AGRUP. VALOR. PTO.]:[AGRUP. VALOR. PTO.]]=$B54,IF(DATOS_[Check Equiparado]="Sí",IF(DATOS_[Check Periodo Ref.]="Dentro",DATOS_[TOTAL Retrib Eq],FALSE))))),
0)</f>
        <v>0</v>
      </c>
    </row>
    <row r="57" spans="1:48" ht="15.6" thickBot="1" x14ac:dyDescent="0.3">
      <c r="A57" s="133" t="str">
        <f t="shared" ref="A57" si="59">+A58</f>
        <v>[ocultar]</v>
      </c>
      <c r="B57" s="199" t="s">
        <v>234</v>
      </c>
      <c r="C57" s="200"/>
      <c r="D57" s="201"/>
      <c r="E57" s="201"/>
      <c r="F57" s="201"/>
      <c r="G57" s="201"/>
      <c r="H57" s="201"/>
      <c r="I57" s="189" t="str">
        <f t="shared" ref="I57:AV57" si="60">IFERROR((I58-I59)/I58,"")</f>
        <v/>
      </c>
      <c r="J57" s="190" t="str">
        <f t="shared" si="60"/>
        <v/>
      </c>
      <c r="K57" s="191" t="str">
        <f t="shared" si="60"/>
        <v/>
      </c>
      <c r="L57" s="191" t="str">
        <f t="shared" si="60"/>
        <v/>
      </c>
      <c r="M57" s="191" t="str">
        <f t="shared" si="60"/>
        <v/>
      </c>
      <c r="N57" s="192" t="str">
        <f t="shared" si="60"/>
        <v/>
      </c>
      <c r="O57" s="193" t="str">
        <f t="shared" si="60"/>
        <v/>
      </c>
      <c r="P57" s="193" t="str">
        <f t="shared" si="60"/>
        <v/>
      </c>
      <c r="Q57" s="193" t="str">
        <f t="shared" si="60"/>
        <v/>
      </c>
      <c r="R57" s="193" t="str">
        <f t="shared" si="60"/>
        <v/>
      </c>
      <c r="S57" s="193" t="str">
        <f t="shared" si="60"/>
        <v/>
      </c>
      <c r="T57" s="193" t="str">
        <f t="shared" si="60"/>
        <v/>
      </c>
      <c r="U57" s="193" t="str">
        <f t="shared" si="60"/>
        <v/>
      </c>
      <c r="V57" s="193" t="str">
        <f t="shared" si="60"/>
        <v/>
      </c>
      <c r="W57" s="193" t="str">
        <f t="shared" si="60"/>
        <v/>
      </c>
      <c r="X57" s="193" t="str">
        <f t="shared" si="60"/>
        <v/>
      </c>
      <c r="Y57" s="193" t="str">
        <f t="shared" si="60"/>
        <v/>
      </c>
      <c r="Z57" s="193" t="str">
        <f t="shared" si="60"/>
        <v/>
      </c>
      <c r="AA57" s="193" t="str">
        <f t="shared" si="60"/>
        <v/>
      </c>
      <c r="AB57" s="193" t="str">
        <f t="shared" si="60"/>
        <v/>
      </c>
      <c r="AC57" s="193" t="str">
        <f t="shared" si="60"/>
        <v/>
      </c>
      <c r="AD57" s="193" t="str">
        <f t="shared" si="60"/>
        <v/>
      </c>
      <c r="AE57" s="193" t="str">
        <f t="shared" si="60"/>
        <v/>
      </c>
      <c r="AF57" s="193" t="str">
        <f t="shared" si="60"/>
        <v/>
      </c>
      <c r="AG57" s="193" t="str">
        <f t="shared" si="60"/>
        <v/>
      </c>
      <c r="AH57" s="193" t="str">
        <f t="shared" si="60"/>
        <v/>
      </c>
      <c r="AI57" s="193" t="str">
        <f t="shared" si="60"/>
        <v/>
      </c>
      <c r="AJ57" s="193" t="str">
        <f t="shared" si="60"/>
        <v/>
      </c>
      <c r="AK57" s="193" t="str">
        <f t="shared" si="60"/>
        <v/>
      </c>
      <c r="AL57" s="193" t="str">
        <f t="shared" si="60"/>
        <v/>
      </c>
      <c r="AM57" s="193" t="str">
        <f t="shared" si="60"/>
        <v/>
      </c>
      <c r="AN57" s="189" t="str">
        <f t="shared" si="60"/>
        <v/>
      </c>
      <c r="AO57" s="162" t="str">
        <f t="shared" si="60"/>
        <v/>
      </c>
      <c r="AP57" s="163" t="str">
        <f t="shared" si="60"/>
        <v/>
      </c>
      <c r="AQ57" s="163" t="str">
        <f t="shared" si="60"/>
        <v/>
      </c>
      <c r="AR57" s="163" t="str">
        <f t="shared" si="60"/>
        <v/>
      </c>
      <c r="AS57" s="163" t="str">
        <f t="shared" si="60"/>
        <v/>
      </c>
      <c r="AT57" s="163" t="str">
        <f t="shared" si="60"/>
        <v/>
      </c>
      <c r="AU57" s="194" t="str">
        <f t="shared" si="60"/>
        <v/>
      </c>
      <c r="AV57" s="165" t="str">
        <f t="shared" si="60"/>
        <v/>
      </c>
    </row>
    <row r="58" spans="1:48" x14ac:dyDescent="0.25">
      <c r="A58" s="133" t="str">
        <f t="shared" ref="A58" si="61">+IF(C58+C59=0,"[ocultar]","")</f>
        <v>[ocultar]</v>
      </c>
      <c r="B58" s="202" t="s">
        <v>394</v>
      </c>
      <c r="C58" s="203">
        <f t="array" ref="C58">SUM(IF($B58=DATOS_[Sexo],
IF($B57=DATOS_[AGRUP. VALOR. PTO.],
IF("Dentro"=DATOS_[Check Periodo Ref.],
1/(COUNTIFS(DATOS_[Sexo],$B58,DATOS_[AGRUP. VALOR. PTO.],$B57,DATOS_[Check Periodo Ref.],"Dentro",DATOS_[id/cod],DATOS_[id/cod]))))))</f>
        <v>0</v>
      </c>
      <c r="D58" s="204">
        <f>COUNTIFS(DATOS_[AGRUP. VALOR. PTO.],$B57,DATOS_[Sexo],$B58,DATOS_[Check Periodo Ref.],"Dentro")</f>
        <v>0</v>
      </c>
      <c r="E58" s="204">
        <f>COUNTIFS(DATOS_[AGRUP. VALOR. PTO.],$B57,DATOS_[Sexo],$B58,DATOS_[Check Periodo Ref.],"Dentro",DATOS_[Check Nº SC Norm],"Sí")</f>
        <v>0</v>
      </c>
      <c r="F58" s="204">
        <f>COUNTIFS(DATOS_[AGRUP. VALOR. PTO.],$B57,DATOS_[Sexo],$B58,DATOS_[Check Periodo Ref.],"Dentro",DATOS_[Check Nº SC Anualiz],"Sí")</f>
        <v>0</v>
      </c>
      <c r="G58" s="204">
        <f>COUNTIFS(DATOS_[AGRUP. VALOR. PTO.],$B57,DATOS_[Sexo],$B58,DATOS_[Check Periodo Ref.],"Dentro",DATOS_[Check Nº SC Norm y Anualiz],"Sí")</f>
        <v>0</v>
      </c>
      <c r="H58" s="204">
        <f>COUNTIFS(DATOS_[AGRUP. VALOR. PTO.],$B57,DATOS_[Sexo],$B58,DATOS_[Check Periodo Ref.],"Dentro",DATOS_[Check Equiparación],"Sí")</f>
        <v>0</v>
      </c>
      <c r="I58" s="195">
        <f t="array" ref="I58">IFERROR(
AVERAGE(IF(DATOS_[Sexo]=$B58,IF(DATOS_[[AGRUP. VALOR. PTO.]:[AGRUP. VALOR. PTO.]]=$B57,IF(DATOS_[Check Equiparado]="Sí",IF(DATOS_[Check Periodo Ref.]="Dentro",DATOS_[SALARIO BASE Eq],FALSE))))),
0)</f>
        <v>0</v>
      </c>
      <c r="J58" s="196">
        <f t="array" ref="J58">IFERROR(
(AVERAGE((IF(DATOS_[[Sexo]:[Sexo]]=$B58,IF(DATOS_[[AGRUP. VALOR. PTO.]:[AGRUP. VALOR. PTO.]]=$B57,IF(DATOS_[[Check Periodo Ref.]:[Check Periodo Ref.]]="Dentro",IF(DATOS_[[Check Equiparado]:[Check Equiparado]]="Sí",IF(DATOS!AE$5="Sí",(1/DATOS_[[% anualiz]:[% anualiz]]),1)*IF(DATOS!AE$4="Sí",1/DATOS_[[% normaliz]:[% normaliz]],1)*(DATOS_[Conc.Sal.01])))))))),
0)</f>
        <v>0</v>
      </c>
      <c r="K58" s="196">
        <f t="array" ref="K58">IFERROR(
(AVERAGE((IF(DATOS_[[Sexo]:[Sexo]]=$B58,IF(DATOS_[[AGRUP. VALOR. PTO.]:[AGRUP. VALOR. PTO.]]=$B57,IF(DATOS_[[Check Periodo Ref.]:[Check Periodo Ref.]]="Dentro",IF(DATOS_[[Check Equiparado]:[Check Equiparado]]="Sí",IF(DATOS!AF$5="Sí",(1/DATOS_[[% anualiz]:[% anualiz]]),1)*IF(DATOS!AF$4="Sí",1/DATOS_[[% normaliz]:[% normaliz]],1)*(DATOS_[Conc.Sal.02])))))))),
0)</f>
        <v>0</v>
      </c>
      <c r="L58" s="196">
        <f t="array" ref="L58">IFERROR(
(AVERAGE((IF(DATOS_[[Sexo]:[Sexo]]=$B58,IF(DATOS_[[AGRUP. VALOR. PTO.]:[AGRUP. VALOR. PTO.]]=$B57,IF(DATOS_[[Check Periodo Ref.]:[Check Periodo Ref.]]="Dentro",IF(DATOS_[[Check Equiparado]:[Check Equiparado]]="Sí",IF(DATOS!AG$5="Sí",(1/DATOS_[[% anualiz]:[% anualiz]]),1)*IF(DATOS!AG$4="Sí",1/DATOS_[[% normaliz]:[% normaliz]],1)*(DATOS_[Conc.Sal.03])))))))),
0)</f>
        <v>0</v>
      </c>
      <c r="M58" s="196">
        <f t="array" ref="M58">IFERROR(
(AVERAGE((IF(DATOS_[[Sexo]:[Sexo]]=$B58,IF(DATOS_[[AGRUP. VALOR. PTO.]:[AGRUP. VALOR. PTO.]]=$B57,IF(DATOS_[[Check Periodo Ref.]:[Check Periodo Ref.]]="Dentro",IF(DATOS_[[Check Equiparado]:[Check Equiparado]]="Sí",IF(DATOS!AH$5="Sí",(1/DATOS_[[% anualiz]:[% anualiz]]),1)*IF(DATOS!AH$4="Sí",1/DATOS_[[% normaliz]:[% normaliz]],1)*(DATOS_[Conc.Sal.04])))))))),
0)</f>
        <v>0</v>
      </c>
      <c r="N58" s="196">
        <f t="array" ref="N58">IFERROR(
(AVERAGE((IF(DATOS_[[Sexo]:[Sexo]]=$B58,IF(DATOS_[[AGRUP. VALOR. PTO.]:[AGRUP. VALOR. PTO.]]=$B57,IF(DATOS_[[Check Periodo Ref.]:[Check Periodo Ref.]]="Dentro",IF(DATOS_[[Check Equiparado]:[Check Equiparado]]="Sí",IF(DATOS!AI$5="Sí",(1/DATOS_[[% anualiz]:[% anualiz]]),1)*IF(DATOS!AI$4="Sí",1/DATOS_[[% normaliz]:[% normaliz]],1)*(DATOS_[Conc.Sal.05])))))))),
0)</f>
        <v>0</v>
      </c>
      <c r="O58" s="196">
        <f t="array" ref="O58">IFERROR(
(AVERAGE((IF(DATOS_[[Sexo]:[Sexo]]=$B58,IF(DATOS_[[AGRUP. VALOR. PTO.]:[AGRUP. VALOR. PTO.]]=$B57,IF(DATOS_[[Check Periodo Ref.]:[Check Periodo Ref.]]="Dentro",IF(DATOS_[[Check Equiparado]:[Check Equiparado]]="Sí",IF(DATOS!AJ$5="Sí",(1/DATOS_[[% anualiz]:[% anualiz]]),1)*IF(DATOS!AJ$4="Sí",1/DATOS_[[% normaliz]:[% normaliz]],1)*(DATOS_[Conc.Sal.06])))))))),
0)</f>
        <v>0</v>
      </c>
      <c r="P58" s="196">
        <f t="array" ref="P58">IFERROR(
(AVERAGE((IF(DATOS_[[Sexo]:[Sexo]]=$B58,IF(DATOS_[[AGRUP. VALOR. PTO.]:[AGRUP. VALOR. PTO.]]=$B57,IF(DATOS_[[Check Periodo Ref.]:[Check Periodo Ref.]]="Dentro",IF(DATOS_[[Check Equiparado]:[Check Equiparado]]="Sí",IF(DATOS!AK$5="Sí",(1/DATOS_[[% anualiz]:[% anualiz]]),1)*IF(DATOS!AK$4="Sí",1/DATOS_[[% normaliz]:[% normaliz]],1)*(DATOS_[Conc.Sal.07])))))))),
0)</f>
        <v>0</v>
      </c>
      <c r="Q58" s="196">
        <f t="array" ref="Q58">IFERROR(
(AVERAGE((IF(DATOS_[[Sexo]:[Sexo]]=$B58,IF(DATOS_[[AGRUP. VALOR. PTO.]:[AGRUP. VALOR. PTO.]]=$B57,IF(DATOS_[[Check Periodo Ref.]:[Check Periodo Ref.]]="Dentro",IF(DATOS_[[Check Equiparado]:[Check Equiparado]]="Sí",IF(DATOS!AL$5="Sí",(1/DATOS_[[% anualiz]:[% anualiz]]),1)*IF(DATOS!AL$4="Sí",1/DATOS_[[% normaliz]:[% normaliz]],1)*(DATOS_[Conc.Sal.08])))))))),
0)</f>
        <v>0</v>
      </c>
      <c r="R58" s="196">
        <f t="array" ref="R58">IFERROR(
(AVERAGE((IF(DATOS_[[Sexo]:[Sexo]]=$B58,IF(DATOS_[[AGRUP. VALOR. PTO.]:[AGRUP. VALOR. PTO.]]=$B57,IF(DATOS_[[Check Periodo Ref.]:[Check Periodo Ref.]]="Dentro",IF(DATOS_[[Check Equiparado]:[Check Equiparado]]="Sí",IF(DATOS!AM$5="Sí",(1/DATOS_[[% anualiz]:[% anualiz]]),1)*IF(DATOS!AM$4="Sí",1/DATOS_[[% normaliz]:[% normaliz]],1)*(DATOS_[Conc.Sal.09])))))))),
0)</f>
        <v>0</v>
      </c>
      <c r="S58" s="196">
        <f t="array" ref="S58">IFERROR(
(AVERAGE((IF(DATOS_[[Sexo]:[Sexo]]=$B58,IF(DATOS_[[AGRUP. VALOR. PTO.]:[AGRUP. VALOR. PTO.]]=$B57,IF(DATOS_[[Check Periodo Ref.]:[Check Periodo Ref.]]="Dentro",IF(DATOS_[[Check Equiparado]:[Check Equiparado]]="Sí",IF(DATOS!AN$5="Sí",(1/DATOS_[[% anualiz]:[% anualiz]]),1)*IF(DATOS!AN$4="Sí",1/DATOS_[[% normaliz]:[% normaliz]],1)*(DATOS_[Conc.Sal.10])))))))),
0)</f>
        <v>0</v>
      </c>
      <c r="T58" s="196">
        <f t="array" ref="T58">IFERROR(
(AVERAGE((IF(DATOS_[[Sexo]:[Sexo]]=$B58,IF(DATOS_[[AGRUP. VALOR. PTO.]:[AGRUP. VALOR. PTO.]]=$B57,IF(DATOS_[[Check Periodo Ref.]:[Check Periodo Ref.]]="Dentro",IF(DATOS_[[Check Equiparado]:[Check Equiparado]]="Sí",IF(DATOS!AO$5="Sí",(1/DATOS_[[% anualiz]:[% anualiz]]),1)*IF(DATOS!AO$4="Sí",1/DATOS_[[% normaliz]:[% normaliz]],1)*(DATOS_[Conc.Sal.11])))))))),
0)</f>
        <v>0</v>
      </c>
      <c r="U58" s="196">
        <f t="array" ref="U58">IFERROR(
(AVERAGE((IF(DATOS_[[Sexo]:[Sexo]]=$B58,IF(DATOS_[[AGRUP. VALOR. PTO.]:[AGRUP. VALOR. PTO.]]=$B57,IF(DATOS_[[Check Periodo Ref.]:[Check Periodo Ref.]]="Dentro",IF(DATOS_[[Check Equiparado]:[Check Equiparado]]="Sí",IF(DATOS!AP$5="Sí",(1/DATOS_[[% anualiz]:[% anualiz]]),1)*IF(DATOS!AP$4="Sí",1/DATOS_[[% normaliz]:[% normaliz]],1)*(DATOS_[Conc.Sal.12])))))))),
0)</f>
        <v>0</v>
      </c>
      <c r="V58" s="196">
        <f t="array" ref="V58">IFERROR(
(AVERAGE((IF(DATOS_[[Sexo]:[Sexo]]=$B58,IF(DATOS_[[AGRUP. VALOR. PTO.]:[AGRUP. VALOR. PTO.]]=$B57,IF(DATOS_[[Check Periodo Ref.]:[Check Periodo Ref.]]="Dentro",IF(DATOS_[[Check Equiparado]:[Check Equiparado]]="Sí",IF(DATOS!AQ$5="Sí",(1/DATOS_[[% anualiz]:[% anualiz]]),1)*IF(DATOS!AQ$4="Sí",1/DATOS_[[% normaliz]:[% normaliz]],1)*(DATOS_[Conc.Sal.13])))))))),
0)</f>
        <v>0</v>
      </c>
      <c r="W58" s="196">
        <f t="array" ref="W58">IFERROR(
(AVERAGE((IF(DATOS_[[Sexo]:[Sexo]]=$B58,IF(DATOS_[[AGRUP. VALOR. PTO.]:[AGRUP. VALOR. PTO.]]=$B57,IF(DATOS_[[Check Periodo Ref.]:[Check Periodo Ref.]]="Dentro",IF(DATOS_[[Check Equiparado]:[Check Equiparado]]="Sí",IF(DATOS!AR$5="Sí",(1/DATOS_[[% anualiz]:[% anualiz]]),1)*IF(DATOS!AR$4="Sí",1/DATOS_[[% normaliz]:[% normaliz]],1)*(DATOS_[Conc.Sal.14])))))))),
0)</f>
        <v>0</v>
      </c>
      <c r="X58" s="196">
        <f t="array" ref="X58">IFERROR(
(AVERAGE((IF(DATOS_[[Sexo]:[Sexo]]=$B58,IF(DATOS_[[AGRUP. VALOR. PTO.]:[AGRUP. VALOR. PTO.]]=$B57,IF(DATOS_[[Check Periodo Ref.]:[Check Periodo Ref.]]="Dentro",IF(DATOS_[[Check Equiparado]:[Check Equiparado]]="Sí",IF(DATOS!AS$5="Sí",(1/DATOS_[[% anualiz]:[% anualiz]]),1)*IF(DATOS!AS$4="Sí",1/DATOS_[[% normaliz]:[% normaliz]],1)*(DATOS_[Conc.Sal.15])))))))),
0)</f>
        <v>0</v>
      </c>
      <c r="Y58" s="196">
        <f t="array" ref="Y58">IFERROR(
(AVERAGE((IF(DATOS_[[Sexo]:[Sexo]]=$B58,IF(DATOS_[[AGRUP. VALOR. PTO.]:[AGRUP. VALOR. PTO.]]=$B57,IF(DATOS_[[Check Periodo Ref.]:[Check Periodo Ref.]]="Dentro",IF(DATOS_[[Check Equiparado]:[Check Equiparado]]="Sí",IF(DATOS!AT$5="Sí",(1/DATOS_[[% anualiz]:[% anualiz]]),1)*IF(DATOS!AT$4="Sí",1/DATOS_[[% normaliz]:[% normaliz]],1)*(DATOS_[Conc.Sal.16])))))))),
0)</f>
        <v>0</v>
      </c>
      <c r="Z58" s="196">
        <f t="array" ref="Z58">IFERROR(
(AVERAGE((IF(DATOS_[[Sexo]:[Sexo]]=$B58,IF(DATOS_[[AGRUP. VALOR. PTO.]:[AGRUP. VALOR. PTO.]]=$B57,IF(DATOS_[[Check Periodo Ref.]:[Check Periodo Ref.]]="Dentro",IF(DATOS_[[Check Equiparado]:[Check Equiparado]]="Sí",IF(DATOS!AU$5="Sí",(1/DATOS_[[% anualiz]:[% anualiz]]),1)*IF(DATOS!AU$4="Sí",1/DATOS_[[% normaliz]:[% normaliz]],1)*(DATOS_[Conc.Sal.17])))))))),
0)</f>
        <v>0</v>
      </c>
      <c r="AA58" s="196">
        <f t="array" ref="AA58">IFERROR(
(AVERAGE((IF(DATOS_[[Sexo]:[Sexo]]=$B58,IF(DATOS_[[AGRUP. VALOR. PTO.]:[AGRUP. VALOR. PTO.]]=$B57,IF(DATOS_[[Check Periodo Ref.]:[Check Periodo Ref.]]="Dentro",IF(DATOS_[[Check Equiparado]:[Check Equiparado]]="Sí",IF(DATOS!AV$5="Sí",(1/DATOS_[[% anualiz]:[% anualiz]]),1)*IF(DATOS!AV$4="Sí",1/DATOS_[[% normaliz]:[% normaliz]],1)*(DATOS_[Conc.Sal.18])))))))),
0)</f>
        <v>0</v>
      </c>
      <c r="AB58" s="196">
        <f t="array" ref="AB58">IFERROR(
(AVERAGE((IF(DATOS_[[Sexo]:[Sexo]]=$B58,IF(DATOS_[[AGRUP. VALOR. PTO.]:[AGRUP. VALOR. PTO.]]=$B57,IF(DATOS_[[Check Periodo Ref.]:[Check Periodo Ref.]]="Dentro",IF(DATOS_[[Check Equiparado]:[Check Equiparado]]="Sí",IF(DATOS!AW$5="Sí",(1/DATOS_[[% anualiz]:[% anualiz]]),1)*IF(DATOS!AW$4="Sí",1/DATOS_[[% normaliz]:[% normaliz]],1)*(DATOS_[Conc.Sal.19])))))))),
0)</f>
        <v>0</v>
      </c>
      <c r="AC58" s="196">
        <f t="array" ref="AC58">IFERROR(
(AVERAGE((IF(DATOS_[[Sexo]:[Sexo]]=$B58,IF(DATOS_[[AGRUP. VALOR. PTO.]:[AGRUP. VALOR. PTO.]]=$B57,IF(DATOS_[[Check Periodo Ref.]:[Check Periodo Ref.]]="Dentro",IF(DATOS_[[Check Equiparado]:[Check Equiparado]]="Sí",IF(DATOS!AX$5="Sí",(1/DATOS_[[% anualiz]:[% anualiz]]),1)*IF(DATOS!AX$4="Sí",1/DATOS_[[% normaliz]:[% normaliz]],1)*(DATOS_[Conc.Sal.20])))))))),
0)</f>
        <v>0</v>
      </c>
      <c r="AD58" s="196">
        <f t="array" ref="AD58">IFERROR(
(AVERAGE((IF(DATOS_[[Sexo]:[Sexo]]=$B58,IF(DATOS_[[AGRUP. VALOR. PTO.]:[AGRUP. VALOR. PTO.]]=$B57,IF(DATOS_[[Check Periodo Ref.]:[Check Periodo Ref.]]="Dentro",IF(DATOS_[[Check Equiparado]:[Check Equiparado]]="Sí",IF(DATOS!AY$5="Sí",(1/DATOS_[[% anualiz]:[% anualiz]]),1)*IF(DATOS!AY$4="Sí",1/DATOS_[[% normaliz]:[% normaliz]],1)*(DATOS_[Conc.Sal.21])))))))),
0)</f>
        <v>0</v>
      </c>
      <c r="AE58" s="196">
        <f t="array" ref="AE58">IFERROR(
(AVERAGE((IF(DATOS_[[Sexo]:[Sexo]]=$B58,IF(DATOS_[[AGRUP. VALOR. PTO.]:[AGRUP. VALOR. PTO.]]=$B57,IF(DATOS_[[Check Periodo Ref.]:[Check Periodo Ref.]]="Dentro",IF(DATOS_[[Check Equiparado]:[Check Equiparado]]="Sí",IF(DATOS!AZ$5="Sí",(1/DATOS_[[% anualiz]:[% anualiz]]),1)*IF(DATOS!AZ$4="Sí",1/DATOS_[[% normaliz]:[% normaliz]],1)*(DATOS_[Conc.Sal.22])))))))),
0)</f>
        <v>0</v>
      </c>
      <c r="AF58" s="196">
        <f t="array" ref="AF58">IFERROR(
(AVERAGE((IF(DATOS_[[Sexo]:[Sexo]]=$B58,IF(DATOS_[[AGRUP. VALOR. PTO.]:[AGRUP. VALOR. PTO.]]=$B57,IF(DATOS_[[Check Periodo Ref.]:[Check Periodo Ref.]]="Dentro",IF(DATOS_[[Check Equiparado]:[Check Equiparado]]="Sí",IF(DATOS!BA$5="Sí",(1/DATOS_[[% anualiz]:[% anualiz]]),1)*IF(DATOS!BA$4="Sí",1/DATOS_[[% normaliz]:[% normaliz]],1)*(DATOS_[Conc.Sal.23])))))))),
0)</f>
        <v>0</v>
      </c>
      <c r="AG58" s="196">
        <f t="array" ref="AG58">IFERROR(
(AVERAGE((IF(DATOS_[[Sexo]:[Sexo]]=$B58,IF(DATOS_[[AGRUP. VALOR. PTO.]:[AGRUP. VALOR. PTO.]]=$B57,IF(DATOS_[[Check Periodo Ref.]:[Check Periodo Ref.]]="Dentro",IF(DATOS_[[Check Equiparado]:[Check Equiparado]]="Sí",IF(DATOS!BB$5="Sí",(1/DATOS_[[% anualiz]:[% anualiz]]),1)*IF(DATOS!BB$4="Sí",1/DATOS_[[% normaliz]:[% normaliz]],1)*(DATOS_[Conc.Sal.24])))))))),
0)</f>
        <v>0</v>
      </c>
      <c r="AH58" s="196">
        <f t="array" ref="AH58">IFERROR(
(AVERAGE((IF(DATOS_[[Sexo]:[Sexo]]=$B58,IF(DATOS_[[AGRUP. VALOR. PTO.]:[AGRUP. VALOR. PTO.]]=$B57,IF(DATOS_[[Check Periodo Ref.]:[Check Periodo Ref.]]="Dentro",IF(DATOS_[[Check Equiparado]:[Check Equiparado]]="Sí",IF(DATOS!BC$5="Sí",(1/DATOS_[[% anualiz]:[% anualiz]]),1)*IF(DATOS!BC$4="Sí",1/DATOS_[[% normaliz]:[% normaliz]],1)*(DATOS_[Conc.Sal.25])))))))),
0)</f>
        <v>0</v>
      </c>
      <c r="AI58" s="196">
        <f t="array" ref="AI58">IFERROR(
(AVERAGE((IF(DATOS_[[Sexo]:[Sexo]]=$B58,IF(DATOS_[[AGRUP. VALOR. PTO.]:[AGRUP. VALOR. PTO.]]=$B57,IF(DATOS_[[Check Periodo Ref.]:[Check Periodo Ref.]]="Dentro",IF(DATOS_[[Check Equiparado]:[Check Equiparado]]="Sí",IF(DATOS!BD$5="Sí",(1/DATOS_[[% anualiz]:[% anualiz]]),1)*IF(DATOS!BD$4="Sí",1/DATOS_[[% normaliz]:[% normaliz]],1)*(DATOS_[Conc.Sal.26])))))))),
0)</f>
        <v>0</v>
      </c>
      <c r="AJ58" s="196">
        <f t="array" ref="AJ58">IFERROR(
(AVERAGE((IF(DATOS_[[Sexo]:[Sexo]]=$B58,IF(DATOS_[[AGRUP. VALOR. PTO.]:[AGRUP. VALOR. PTO.]]=$B57,IF(DATOS_[[Check Periodo Ref.]:[Check Periodo Ref.]]="Dentro",IF(DATOS_[[Check Equiparado]:[Check Equiparado]]="Sí",IF(DATOS!BE$5="Sí",(1/DATOS_[[% anualiz]:[% anualiz]]),1)*IF(DATOS!BE$4="Sí",1/DATOS_[[% normaliz]:[% normaliz]],1)*(DATOS_[Conc.Sal.27])))))))),
0)</f>
        <v>0</v>
      </c>
      <c r="AK58" s="196">
        <f t="array" ref="AK58">IFERROR(
(AVERAGE((IF(DATOS_[[Sexo]:[Sexo]]=$B58,IF(DATOS_[[AGRUP. VALOR. PTO.]:[AGRUP. VALOR. PTO.]]=$B57,IF(DATOS_[[Check Periodo Ref.]:[Check Periodo Ref.]]="Dentro",IF(DATOS_[[Check Equiparado]:[Check Equiparado]]="Sí",IF(DATOS!BF$5="Sí",(1/DATOS_[[% anualiz]:[% anualiz]]),1)*IF(DATOS!BF$4="Sí",1/DATOS_[[% normaliz]:[% normaliz]],1)*(DATOS_[Conc.Sal.28])))))))),
0)</f>
        <v>0</v>
      </c>
      <c r="AL58" s="196">
        <f t="array" ref="AL58">IFERROR(
(AVERAGE((IF(DATOS_[[Sexo]:[Sexo]]=$B58,IF(DATOS_[[AGRUP. VALOR. PTO.]:[AGRUP. VALOR. PTO.]]=$B57,IF(DATOS_[[Check Periodo Ref.]:[Check Periodo Ref.]]="Dentro",IF(DATOS_[[Check Equiparado]:[Check Equiparado]]="Sí",IF(DATOS!BG$5="Sí",(1/DATOS_[[% anualiz]:[% anualiz]]),1)*IF(DATOS!BG$4="Sí",1/DATOS_[[% normaliz]:[% normaliz]],1)*(DATOS_[Conc.Sal.29])))))))),
0)</f>
        <v>0</v>
      </c>
      <c r="AM58" s="196">
        <f t="array" ref="AM58">IFERROR(
(AVERAGE((IF(DATOS_[[Sexo]:[Sexo]]=$B58,IF(DATOS_[[AGRUP. VALOR. PTO.]:[AGRUP. VALOR. PTO.]]=$B57,IF(DATOS_[[Check Periodo Ref.]:[Check Periodo Ref.]]="Dentro",IF(DATOS_[[Check Equiparado]:[Check Equiparado]]="Sí",IF(DATOS!BH$5="Sí",(1/DATOS_[[% anualiz]:[% anualiz]]),1)*IF(DATOS!BH$4="Sí",1/DATOS_[[% normaliz]:[% normaliz]],1)*(DATOS_[Conc.Sal.30])))))))),
0)</f>
        <v>0</v>
      </c>
      <c r="AN58" s="195">
        <f t="array" ref="AN58">IFERROR(
AVERAGE(IF(DATOS_[Sexo]=$B58,IF(DATOS_[[AGRUP. VALOR. PTO.]:[AGRUP. VALOR. PTO.]]=$B57,IF(DATOS_[Check Equiparado]="Sí",IF(DATOS_[Check Periodo Ref.]="Dentro",DATOS_[Tot COMPL.SAL Eq],FALSE))))),
0)</f>
        <v>0</v>
      </c>
      <c r="AO58" s="172">
        <f t="array" ref="AO58">IFERROR(
AVERAGE(IF(DATOS_[Sexo]=$B58,IF(DATOS_[[AGRUP. VALOR. PTO.]:[AGRUP. VALOR. PTO.]]=$B57,IF(DATOS_[Check Equiparado]="Sí",IF(DATOS_[Check Periodo Ref.]="Dentro",DATOS_[TOTAL SALARIO Eq],FALSE))))),
0)</f>
        <v>0</v>
      </c>
      <c r="AP58" s="173">
        <f t="array" ref="AP58">IFERROR(
(AVERAGE((IF(DATOS_[[Sexo]:[Sexo]]=$B58,IF(DATOS_[[AGRUP. VALOR. PTO.]:[AGRUP. VALOR. PTO.]]=$B57,IF(DATOS_[[Check Periodo Ref.]:[Check Periodo Ref.]]="Dentro",IF(DATOS_[[Check Equiparado]:[Check Equiparado]]="Sí",IF(DATOS!BW$5="Sí",(1/DATOS_[[% anualiz]:[% anualiz]]),1)*IF(DATOS!BW$4="Sí",1/DATOS_[[% normaliz]:[% normaliz]],1)*(DATOS_[C.Extra.01])))))))),
0)</f>
        <v>0</v>
      </c>
      <c r="AQ58" s="173">
        <f t="array" ref="AQ58">IFERROR(
(AVERAGE((IF(DATOS_[[Sexo]:[Sexo]]=$B58,IF(DATOS_[[AGRUP. VALOR. PTO.]:[AGRUP. VALOR. PTO.]]=$B57,IF(DATOS_[[Check Periodo Ref.]:[Check Periodo Ref.]]="Dentro",IF(DATOS_[[Check Equiparado]:[Check Equiparado]]="Sí",IF(DATOS!CB$5="Sí",(1/DATOS_[[% anualiz]:[% anualiz]]),1)*IF(DATOS!CB$4="Sí",1/DATOS_[[% normaliz]:[% normaliz]],1)*(DATOS_[C.Extra.06])))))))),
0)</f>
        <v>0</v>
      </c>
      <c r="AR58" s="173">
        <f t="array" ref="AR58">IFERROR(
(AVERAGE((IF(DATOS_[[Sexo]:[Sexo]]=$B58,IF(DATOS_[[AGRUP. VALOR. PTO.]:[AGRUP. VALOR. PTO.]]=$B57,IF(DATOS_[[Check Periodo Ref.]:[Check Periodo Ref.]]="Dentro",IF(DATOS_[[Check Equiparado]:[Check Equiparado]]="Sí",IF(DATOS!CC$5="Sí",(1/DATOS_[[% anualiz]:[% anualiz]]),1)*IF(DATOS!CC$4="Sí",1/DATOS_[[% normaliz]:[% normaliz]],1)*(DATOS_[C.Extra.07])))))))),
0)</f>
        <v>0</v>
      </c>
      <c r="AS58" s="173">
        <f t="array" ref="AS58">IFERROR(
(AVERAGE((IF(DATOS_[[Sexo]:[Sexo]]=$B58,IF(DATOS_[[AGRUP. VALOR. PTO.]:[AGRUP. VALOR. PTO.]]=$B57,IF(DATOS_[[Check Periodo Ref.]:[Check Periodo Ref.]]="Dentro",IF(DATOS_[[Check Equiparado]:[Check Equiparado]]="Sí",IF(DATOS!CD$5="Sí",(1/DATOS_[[% anualiz]:[% anualiz]]),1)*IF(DATOS!CD$4="Sí",1/DATOS_[[% normaliz]:[% normaliz]],1)*(DATOS_[C.Extra.08])))))))),
0)</f>
        <v>0</v>
      </c>
      <c r="AT58" s="173">
        <f t="array" ref="AT58">IFERROR(
(AVERAGE((IF(DATOS_[[Sexo]:[Sexo]]=$B58,IF(DATOS_[[AGRUP. VALOR. PTO.]:[AGRUP. VALOR. PTO.]]=$B57,IF(DATOS_[[Check Periodo Ref.]:[Check Periodo Ref.]]="Dentro",IF(DATOS_[[Check Equiparado]:[Check Equiparado]]="Sí",IF(DATOS!CG$5="Sí",(1/DATOS_[[% anualiz]:[% anualiz]]),1)*IF(DATOS!CG$4="Sí",1/DATOS_[[% normaliz]:[% normaliz]],1)*(DATOS_[C.Extra.11])))))))),
0)</f>
        <v>0</v>
      </c>
      <c r="AU58" s="197">
        <f t="array" ref="AU58">IFERROR(
AVERAGE(IF(DATOS_[Sexo]=$B58,IF(DATOS_[[AGRUP. VALOR. PTO.]:[AGRUP. VALOR. PTO.]]=$B57,IF(DATOS_[Check Equiparado]="Sí",IF(DATOS_[Check Periodo Ref.]="Dentro",DATOS_[Tot Extrasalarial Eq],FALSE))))),
0)</f>
        <v>0</v>
      </c>
      <c r="AV58" s="175">
        <f t="array" ref="AV58">IFERROR(
AVERAGE(IF(DATOS_[Sexo]=$B58,IF(DATOS_[[AGRUP. VALOR. PTO.]:[AGRUP. VALOR. PTO.]]=$B57,IF(DATOS_[Check Equiparado]="Sí",IF(DATOS_[Check Periodo Ref.]="Dentro",DATOS_[TOTAL Retrib Eq],FALSE))))),
0)</f>
        <v>0</v>
      </c>
    </row>
    <row r="59" spans="1:48" x14ac:dyDescent="0.25">
      <c r="A59" s="133" t="str">
        <f t="shared" ref="A59" si="62">+A58</f>
        <v>[ocultar]</v>
      </c>
      <c r="B59" s="202" t="s">
        <v>521</v>
      </c>
      <c r="C59" s="203">
        <f t="array" ref="C59">SUM(IF($B59=DATOS_[Sexo],
IF($B57=DATOS_[AGRUP. VALOR. PTO.],
IF("Dentro"=DATOS_[Check Periodo Ref.],
1/(COUNTIFS(DATOS_[Sexo],$B59,DATOS_[AGRUP. VALOR. PTO.],$B57,DATOS_[Check Periodo Ref.],"Dentro",DATOS_[id/cod],DATOS_[id/cod]))))))</f>
        <v>0</v>
      </c>
      <c r="D59" s="204">
        <f>COUNTIFS(DATOS_[AGRUP. VALOR. PTO.],$B57,DATOS_[Sexo],$B59,DATOS_[Check Periodo Ref.],"Dentro")</f>
        <v>0</v>
      </c>
      <c r="E59" s="204">
        <f>COUNTIFS(DATOS_[AGRUP. VALOR. PTO.],$B57,DATOS_[Sexo],$B59,DATOS_[Check Periodo Ref.],"Dentro",DATOS_[Check Nº SC Norm],"Sí")</f>
        <v>0</v>
      </c>
      <c r="F59" s="204">
        <f>COUNTIFS(DATOS_[AGRUP. VALOR. PTO.],$B57,DATOS_[Sexo],$B59,DATOS_[Check Periodo Ref.],"Dentro",DATOS_[Check Nº SC Anualiz],"Sí")</f>
        <v>0</v>
      </c>
      <c r="G59" s="204">
        <f>COUNTIFS(DATOS_[AGRUP. VALOR. PTO.],$B57,DATOS_[Sexo],$B59,DATOS_[Check Periodo Ref.],"Dentro",DATOS_[Check Nº SC Norm y Anualiz],"Sí")</f>
        <v>0</v>
      </c>
      <c r="H59" s="204">
        <f>COUNTIFS(DATOS_[AGRUP. VALOR. PTO.],$B57,DATOS_[Sexo],$B59,DATOS_[Check Periodo Ref.],"Dentro",DATOS_[Check Equiparación],"Sí")</f>
        <v>0</v>
      </c>
      <c r="I59" s="195" cm="1">
        <f t="array" ref="I59">IFERROR(
AVERAGE(IF(DATOS_[Sexo]=$B59,IF(DATOS_[[AGRUP. VALOR. PTO.]:[AGRUP. VALOR. PTO.]]=$B57,IF(DATOS_[Check Equiparado]="Sí",IF(DATOS_[Check Periodo Ref.]="Dentro",DATOS_[SALARIO BASE Eq],FALSE))))),
0)</f>
        <v>0</v>
      </c>
      <c r="J59" s="196">
        <f t="array" ref="J59">IFERROR(
(AVERAGE((IF(DATOS_[[Sexo]:[Sexo]]=$B59,IF(DATOS_[[AGRUP. VALOR. PTO.]:[AGRUP. VALOR. PTO.]]=$B57,IF(DATOS_[[Check Periodo Ref.]:[Check Periodo Ref.]]="Dentro",IF(DATOS_[[Check Equiparado]:[Check Equiparado]]="Sí",IF(DATOS!AE$5="Sí",(1/DATOS_[[% anualiz]:[% anualiz]]),1)*IF(DATOS!AE$4="Sí",1/DATOS_[[% normaliz]:[% normaliz]],1)*(DATOS_[Conc.Sal.01])))))))),
0)</f>
        <v>0</v>
      </c>
      <c r="K59" s="196">
        <f t="array" ref="K59">IFERROR(
(AVERAGE((IF(DATOS_[[Sexo]:[Sexo]]=$B59,IF(DATOS_[[AGRUP. VALOR. PTO.]:[AGRUP. VALOR. PTO.]]=$B57,IF(DATOS_[[Check Periodo Ref.]:[Check Periodo Ref.]]="Dentro",IF(DATOS_[[Check Equiparado]:[Check Equiparado]]="Sí",IF(DATOS!AF$5="Sí",(1/DATOS_[[% anualiz]:[% anualiz]]),1)*IF(DATOS!AF$4="Sí",1/DATOS_[[% normaliz]:[% normaliz]],1)*(DATOS_[Conc.Sal.02])))))))),
0)</f>
        <v>0</v>
      </c>
      <c r="L59" s="196">
        <f t="array" ref="L59">IFERROR(
(AVERAGE((IF(DATOS_[[Sexo]:[Sexo]]=$B59,IF(DATOS_[[AGRUP. VALOR. PTO.]:[AGRUP. VALOR. PTO.]]=$B57,IF(DATOS_[[Check Periodo Ref.]:[Check Periodo Ref.]]="Dentro",IF(DATOS_[[Check Equiparado]:[Check Equiparado]]="Sí",IF(DATOS!AG$5="Sí",(1/DATOS_[[% anualiz]:[% anualiz]]),1)*IF(DATOS!AG$4="Sí",1/DATOS_[[% normaliz]:[% normaliz]],1)*(DATOS_[Conc.Sal.03])))))))),
0)</f>
        <v>0</v>
      </c>
      <c r="M59" s="196">
        <f t="array" ref="M59">IFERROR(
(AVERAGE((IF(DATOS_[[Sexo]:[Sexo]]=$B59,IF(DATOS_[[AGRUP. VALOR. PTO.]:[AGRUP. VALOR. PTO.]]=$B57,IF(DATOS_[[Check Periodo Ref.]:[Check Periodo Ref.]]="Dentro",IF(DATOS_[[Check Equiparado]:[Check Equiparado]]="Sí",IF(DATOS!AH$5="Sí",(1/DATOS_[[% anualiz]:[% anualiz]]),1)*IF(DATOS!AH$4="Sí",1/DATOS_[[% normaliz]:[% normaliz]],1)*(DATOS_[Conc.Sal.04])))))))),
0)</f>
        <v>0</v>
      </c>
      <c r="N59" s="196">
        <f t="array" ref="N59">IFERROR(
(AVERAGE((IF(DATOS_[[Sexo]:[Sexo]]=$B59,IF(DATOS_[[AGRUP. VALOR. PTO.]:[AGRUP. VALOR. PTO.]]=$B57,IF(DATOS_[[Check Periodo Ref.]:[Check Periodo Ref.]]="Dentro",IF(DATOS_[[Check Equiparado]:[Check Equiparado]]="Sí",IF(DATOS!AI$5="Sí",(1/DATOS_[[% anualiz]:[% anualiz]]),1)*IF(DATOS!AI$4="Sí",1/DATOS_[[% normaliz]:[% normaliz]],1)*(DATOS_[Conc.Sal.05])))))))),
0)</f>
        <v>0</v>
      </c>
      <c r="O59" s="196">
        <f t="array" ref="O59">IFERROR(
(AVERAGE((IF(DATOS_[[Sexo]:[Sexo]]=$B59,IF(DATOS_[[AGRUP. VALOR. PTO.]:[AGRUP. VALOR. PTO.]]=$B57,IF(DATOS_[[Check Periodo Ref.]:[Check Periodo Ref.]]="Dentro",IF(DATOS_[[Check Equiparado]:[Check Equiparado]]="Sí",IF(DATOS!AJ$5="Sí",(1/DATOS_[[% anualiz]:[% anualiz]]),1)*IF(DATOS!AJ$4="Sí",1/DATOS_[[% normaliz]:[% normaliz]],1)*(DATOS_[Conc.Sal.06])))))))),
0)</f>
        <v>0</v>
      </c>
      <c r="P59" s="196">
        <f t="array" ref="P59">IFERROR(
(AVERAGE((IF(DATOS_[[Sexo]:[Sexo]]=$B59,IF(DATOS_[[AGRUP. VALOR. PTO.]:[AGRUP. VALOR. PTO.]]=$B57,IF(DATOS_[[Check Periodo Ref.]:[Check Periodo Ref.]]="Dentro",IF(DATOS_[[Check Equiparado]:[Check Equiparado]]="Sí",IF(DATOS!AK$5="Sí",(1/DATOS_[[% anualiz]:[% anualiz]]),1)*IF(DATOS!AK$4="Sí",1/DATOS_[[% normaliz]:[% normaliz]],1)*(DATOS_[Conc.Sal.07])))))))),
0)</f>
        <v>0</v>
      </c>
      <c r="Q59" s="196">
        <f t="array" ref="Q59">IFERROR(
(AVERAGE((IF(DATOS_[[Sexo]:[Sexo]]=$B59,IF(DATOS_[[AGRUP. VALOR. PTO.]:[AGRUP. VALOR. PTO.]]=$B57,IF(DATOS_[[Check Periodo Ref.]:[Check Periodo Ref.]]="Dentro",IF(DATOS_[[Check Equiparado]:[Check Equiparado]]="Sí",IF(DATOS!AL$5="Sí",(1/DATOS_[[% anualiz]:[% anualiz]]),1)*IF(DATOS!AL$4="Sí",1/DATOS_[[% normaliz]:[% normaliz]],1)*(DATOS_[Conc.Sal.08])))))))),
0)</f>
        <v>0</v>
      </c>
      <c r="R59" s="196">
        <f t="array" ref="R59">IFERROR(
(AVERAGE((IF(DATOS_[[Sexo]:[Sexo]]=$B59,IF(DATOS_[[AGRUP. VALOR. PTO.]:[AGRUP. VALOR. PTO.]]=$B57,IF(DATOS_[[Check Periodo Ref.]:[Check Periodo Ref.]]="Dentro",IF(DATOS_[[Check Equiparado]:[Check Equiparado]]="Sí",IF(DATOS!AM$5="Sí",(1/DATOS_[[% anualiz]:[% anualiz]]),1)*IF(DATOS!AM$4="Sí",1/DATOS_[[% normaliz]:[% normaliz]],1)*(DATOS_[Conc.Sal.09])))))))),
0)</f>
        <v>0</v>
      </c>
      <c r="S59" s="196">
        <f t="array" ref="S59">IFERROR(
(AVERAGE((IF(DATOS_[[Sexo]:[Sexo]]=$B59,IF(DATOS_[[AGRUP. VALOR. PTO.]:[AGRUP. VALOR. PTO.]]=$B57,IF(DATOS_[[Check Periodo Ref.]:[Check Periodo Ref.]]="Dentro",IF(DATOS_[[Check Equiparado]:[Check Equiparado]]="Sí",IF(DATOS!AN$5="Sí",(1/DATOS_[[% anualiz]:[% anualiz]]),1)*IF(DATOS!AN$4="Sí",1/DATOS_[[% normaliz]:[% normaliz]],1)*(DATOS_[Conc.Sal.10])))))))),
0)</f>
        <v>0</v>
      </c>
      <c r="T59" s="196">
        <f t="array" ref="T59">IFERROR(
(AVERAGE((IF(DATOS_[[Sexo]:[Sexo]]=$B59,IF(DATOS_[[AGRUP. VALOR. PTO.]:[AGRUP. VALOR. PTO.]]=$B57,IF(DATOS_[[Check Periodo Ref.]:[Check Periodo Ref.]]="Dentro",IF(DATOS_[[Check Equiparado]:[Check Equiparado]]="Sí",IF(DATOS!AO$5="Sí",(1/DATOS_[[% anualiz]:[% anualiz]]),1)*IF(DATOS!AO$4="Sí",1/DATOS_[[% normaliz]:[% normaliz]],1)*(DATOS_[Conc.Sal.11])))))))),
0)</f>
        <v>0</v>
      </c>
      <c r="U59" s="196">
        <f t="array" ref="U59">IFERROR(
(AVERAGE((IF(DATOS_[[Sexo]:[Sexo]]=$B59,IF(DATOS_[[AGRUP. VALOR. PTO.]:[AGRUP. VALOR. PTO.]]=$B57,IF(DATOS_[[Check Periodo Ref.]:[Check Periodo Ref.]]="Dentro",IF(DATOS_[[Check Equiparado]:[Check Equiparado]]="Sí",IF(DATOS!AP$5="Sí",(1/DATOS_[[% anualiz]:[% anualiz]]),1)*IF(DATOS!AP$4="Sí",1/DATOS_[[% normaliz]:[% normaliz]],1)*(DATOS_[Conc.Sal.12])))))))),
0)</f>
        <v>0</v>
      </c>
      <c r="V59" s="196">
        <f t="array" ref="V59">IFERROR(
(AVERAGE((IF(DATOS_[[Sexo]:[Sexo]]=$B59,IF(DATOS_[[AGRUP. VALOR. PTO.]:[AGRUP. VALOR. PTO.]]=$B57,IF(DATOS_[[Check Periodo Ref.]:[Check Periodo Ref.]]="Dentro",IF(DATOS_[[Check Equiparado]:[Check Equiparado]]="Sí",IF(DATOS!AQ$5="Sí",(1/DATOS_[[% anualiz]:[% anualiz]]),1)*IF(DATOS!AQ$4="Sí",1/DATOS_[[% normaliz]:[% normaliz]],1)*(DATOS_[Conc.Sal.13])))))))),
0)</f>
        <v>0</v>
      </c>
      <c r="W59" s="196">
        <f t="array" ref="W59">IFERROR(
(AVERAGE((IF(DATOS_[[Sexo]:[Sexo]]=$B59,IF(DATOS_[[AGRUP. VALOR. PTO.]:[AGRUP. VALOR. PTO.]]=$B57,IF(DATOS_[[Check Periodo Ref.]:[Check Periodo Ref.]]="Dentro",IF(DATOS_[[Check Equiparado]:[Check Equiparado]]="Sí",IF(DATOS!AR$5="Sí",(1/DATOS_[[% anualiz]:[% anualiz]]),1)*IF(DATOS!AR$4="Sí",1/DATOS_[[% normaliz]:[% normaliz]],1)*(DATOS_[Conc.Sal.14])))))))),
0)</f>
        <v>0</v>
      </c>
      <c r="X59" s="196">
        <f t="array" ref="X59">IFERROR(
(AVERAGE((IF(DATOS_[[Sexo]:[Sexo]]=$B59,IF(DATOS_[[AGRUP. VALOR. PTO.]:[AGRUP. VALOR. PTO.]]=$B57,IF(DATOS_[[Check Periodo Ref.]:[Check Periodo Ref.]]="Dentro",IF(DATOS_[[Check Equiparado]:[Check Equiparado]]="Sí",IF(DATOS!AS$5="Sí",(1/DATOS_[[% anualiz]:[% anualiz]]),1)*IF(DATOS!AS$4="Sí",1/DATOS_[[% normaliz]:[% normaliz]],1)*(DATOS_[Conc.Sal.15])))))))),
0)</f>
        <v>0</v>
      </c>
      <c r="Y59" s="196">
        <f t="array" ref="Y59">IFERROR(
(AVERAGE((IF(DATOS_[[Sexo]:[Sexo]]=$B59,IF(DATOS_[[AGRUP. VALOR. PTO.]:[AGRUP. VALOR. PTO.]]=$B57,IF(DATOS_[[Check Periodo Ref.]:[Check Periodo Ref.]]="Dentro",IF(DATOS_[[Check Equiparado]:[Check Equiparado]]="Sí",IF(DATOS!AT$5="Sí",(1/DATOS_[[% anualiz]:[% anualiz]]),1)*IF(DATOS!AT$4="Sí",1/DATOS_[[% normaliz]:[% normaliz]],1)*(DATOS_[Conc.Sal.16])))))))),
0)</f>
        <v>0</v>
      </c>
      <c r="Z59" s="196">
        <f t="array" ref="Z59">IFERROR(
(AVERAGE((IF(DATOS_[[Sexo]:[Sexo]]=$B59,IF(DATOS_[[AGRUP. VALOR. PTO.]:[AGRUP. VALOR. PTO.]]=$B57,IF(DATOS_[[Check Periodo Ref.]:[Check Periodo Ref.]]="Dentro",IF(DATOS_[[Check Equiparado]:[Check Equiparado]]="Sí",IF(DATOS!AU$5="Sí",(1/DATOS_[[% anualiz]:[% anualiz]]),1)*IF(DATOS!AU$4="Sí",1/DATOS_[[% normaliz]:[% normaliz]],1)*(DATOS_[Conc.Sal.17])))))))),
0)</f>
        <v>0</v>
      </c>
      <c r="AA59" s="196">
        <f t="array" ref="AA59">IFERROR(
(AVERAGE((IF(DATOS_[[Sexo]:[Sexo]]=$B59,IF(DATOS_[[AGRUP. VALOR. PTO.]:[AGRUP. VALOR. PTO.]]=$B57,IF(DATOS_[[Check Periodo Ref.]:[Check Periodo Ref.]]="Dentro",IF(DATOS_[[Check Equiparado]:[Check Equiparado]]="Sí",IF(DATOS!AV$5="Sí",(1/DATOS_[[% anualiz]:[% anualiz]]),1)*IF(DATOS!AV$4="Sí",1/DATOS_[[% normaliz]:[% normaliz]],1)*(DATOS_[Conc.Sal.18])))))))),
0)</f>
        <v>0</v>
      </c>
      <c r="AB59" s="196">
        <f t="array" ref="AB59">IFERROR(
(AVERAGE((IF(DATOS_[[Sexo]:[Sexo]]=$B59,IF(DATOS_[[AGRUP. VALOR. PTO.]:[AGRUP. VALOR. PTO.]]=$B57,IF(DATOS_[[Check Periodo Ref.]:[Check Periodo Ref.]]="Dentro",IF(DATOS_[[Check Equiparado]:[Check Equiparado]]="Sí",IF(DATOS!AW$5="Sí",(1/DATOS_[[% anualiz]:[% anualiz]]),1)*IF(DATOS!AW$4="Sí",1/DATOS_[[% normaliz]:[% normaliz]],1)*(DATOS_[Conc.Sal.19])))))))),
0)</f>
        <v>0</v>
      </c>
      <c r="AC59" s="196">
        <f t="array" ref="AC59">IFERROR(
(AVERAGE((IF(DATOS_[[Sexo]:[Sexo]]=$B59,IF(DATOS_[[AGRUP. VALOR. PTO.]:[AGRUP. VALOR. PTO.]]=$B57,IF(DATOS_[[Check Periodo Ref.]:[Check Periodo Ref.]]="Dentro",IF(DATOS_[[Check Equiparado]:[Check Equiparado]]="Sí",IF(DATOS!AX$5="Sí",(1/DATOS_[[% anualiz]:[% anualiz]]),1)*IF(DATOS!AX$4="Sí",1/DATOS_[[% normaliz]:[% normaliz]],1)*(DATOS_[Conc.Sal.20])))))))),
0)</f>
        <v>0</v>
      </c>
      <c r="AD59" s="196">
        <f t="array" ref="AD59">IFERROR(
(AVERAGE((IF(DATOS_[[Sexo]:[Sexo]]=$B59,IF(DATOS_[[AGRUP. VALOR. PTO.]:[AGRUP. VALOR. PTO.]]=$B57,IF(DATOS_[[Check Periodo Ref.]:[Check Periodo Ref.]]="Dentro",IF(DATOS_[[Check Equiparado]:[Check Equiparado]]="Sí",IF(DATOS!AY$5="Sí",(1/DATOS_[[% anualiz]:[% anualiz]]),1)*IF(DATOS!AY$4="Sí",1/DATOS_[[% normaliz]:[% normaliz]],1)*(DATOS_[Conc.Sal.21])))))))),
0)</f>
        <v>0</v>
      </c>
      <c r="AE59" s="196">
        <f t="array" ref="AE59">IFERROR(
(AVERAGE((IF(DATOS_[[Sexo]:[Sexo]]=$B59,IF(DATOS_[[AGRUP. VALOR. PTO.]:[AGRUP. VALOR. PTO.]]=$B57,IF(DATOS_[[Check Periodo Ref.]:[Check Periodo Ref.]]="Dentro",IF(DATOS_[[Check Equiparado]:[Check Equiparado]]="Sí",IF(DATOS!AZ$5="Sí",(1/DATOS_[[% anualiz]:[% anualiz]]),1)*IF(DATOS!AZ$4="Sí",1/DATOS_[[% normaliz]:[% normaliz]],1)*(DATOS_[Conc.Sal.22])))))))),
0)</f>
        <v>0</v>
      </c>
      <c r="AF59" s="196">
        <f t="array" ref="AF59">IFERROR(
(AVERAGE((IF(DATOS_[[Sexo]:[Sexo]]=$B59,IF(DATOS_[[AGRUP. VALOR. PTO.]:[AGRUP. VALOR. PTO.]]=$B57,IF(DATOS_[[Check Periodo Ref.]:[Check Periodo Ref.]]="Dentro",IF(DATOS_[[Check Equiparado]:[Check Equiparado]]="Sí",IF(DATOS!BA$5="Sí",(1/DATOS_[[% anualiz]:[% anualiz]]),1)*IF(DATOS!BA$4="Sí",1/DATOS_[[% normaliz]:[% normaliz]],1)*(DATOS_[Conc.Sal.23])))))))),
0)</f>
        <v>0</v>
      </c>
      <c r="AG59" s="196">
        <f t="array" ref="AG59">IFERROR(
(AVERAGE((IF(DATOS_[[Sexo]:[Sexo]]=$B59,IF(DATOS_[[AGRUP. VALOR. PTO.]:[AGRUP. VALOR. PTO.]]=$B57,IF(DATOS_[[Check Periodo Ref.]:[Check Periodo Ref.]]="Dentro",IF(DATOS_[[Check Equiparado]:[Check Equiparado]]="Sí",IF(DATOS!BB$5="Sí",(1/DATOS_[[% anualiz]:[% anualiz]]),1)*IF(DATOS!BB$4="Sí",1/DATOS_[[% normaliz]:[% normaliz]],1)*(DATOS_[Conc.Sal.24])))))))),
0)</f>
        <v>0</v>
      </c>
      <c r="AH59" s="196">
        <f t="array" ref="AH59">IFERROR(
(AVERAGE((IF(DATOS_[[Sexo]:[Sexo]]=$B59,IF(DATOS_[[AGRUP. VALOR. PTO.]:[AGRUP. VALOR. PTO.]]=$B57,IF(DATOS_[[Check Periodo Ref.]:[Check Periodo Ref.]]="Dentro",IF(DATOS_[[Check Equiparado]:[Check Equiparado]]="Sí",IF(DATOS!BC$5="Sí",(1/DATOS_[[% anualiz]:[% anualiz]]),1)*IF(DATOS!BC$4="Sí",1/DATOS_[[% normaliz]:[% normaliz]],1)*(DATOS_[Conc.Sal.25])))))))),
0)</f>
        <v>0</v>
      </c>
      <c r="AI59" s="196">
        <f t="array" ref="AI59">IFERROR(
(AVERAGE((IF(DATOS_[[Sexo]:[Sexo]]=$B59,IF(DATOS_[[AGRUP. VALOR. PTO.]:[AGRUP. VALOR. PTO.]]=$B57,IF(DATOS_[[Check Periodo Ref.]:[Check Periodo Ref.]]="Dentro",IF(DATOS_[[Check Equiparado]:[Check Equiparado]]="Sí",IF(DATOS!BD$5="Sí",(1/DATOS_[[% anualiz]:[% anualiz]]),1)*IF(DATOS!BD$4="Sí",1/DATOS_[[% normaliz]:[% normaliz]],1)*(DATOS_[Conc.Sal.26])))))))),
0)</f>
        <v>0</v>
      </c>
      <c r="AJ59" s="196">
        <f t="array" ref="AJ59">IFERROR(
(AVERAGE((IF(DATOS_[[Sexo]:[Sexo]]=$B59,IF(DATOS_[[AGRUP. VALOR. PTO.]:[AGRUP. VALOR. PTO.]]=$B57,IF(DATOS_[[Check Periodo Ref.]:[Check Periodo Ref.]]="Dentro",IF(DATOS_[[Check Equiparado]:[Check Equiparado]]="Sí",IF(DATOS!BE$5="Sí",(1/DATOS_[[% anualiz]:[% anualiz]]),1)*IF(DATOS!BE$4="Sí",1/DATOS_[[% normaliz]:[% normaliz]],1)*(DATOS_[Conc.Sal.27])))))))),
0)</f>
        <v>0</v>
      </c>
      <c r="AK59" s="196">
        <f t="array" ref="AK59">IFERROR(
(AVERAGE((IF(DATOS_[[Sexo]:[Sexo]]=$B59,IF(DATOS_[[AGRUP. VALOR. PTO.]:[AGRUP. VALOR. PTO.]]=$B57,IF(DATOS_[[Check Periodo Ref.]:[Check Periodo Ref.]]="Dentro",IF(DATOS_[[Check Equiparado]:[Check Equiparado]]="Sí",IF(DATOS!BF$5="Sí",(1/DATOS_[[% anualiz]:[% anualiz]]),1)*IF(DATOS!BF$4="Sí",1/DATOS_[[% normaliz]:[% normaliz]],1)*(DATOS_[Conc.Sal.28])))))))),
0)</f>
        <v>0</v>
      </c>
      <c r="AL59" s="196">
        <f t="array" ref="AL59">IFERROR(
(AVERAGE((IF(DATOS_[[Sexo]:[Sexo]]=$B59,IF(DATOS_[[AGRUP. VALOR. PTO.]:[AGRUP. VALOR. PTO.]]=$B57,IF(DATOS_[[Check Periodo Ref.]:[Check Periodo Ref.]]="Dentro",IF(DATOS_[[Check Equiparado]:[Check Equiparado]]="Sí",IF(DATOS!BG$5="Sí",(1/DATOS_[[% anualiz]:[% anualiz]]),1)*IF(DATOS!BG$4="Sí",1/DATOS_[[% normaliz]:[% normaliz]],1)*(DATOS_[Conc.Sal.29])))))))),
0)</f>
        <v>0</v>
      </c>
      <c r="AM59" s="196">
        <f t="array" ref="AM59">IFERROR(
(AVERAGE((IF(DATOS_[[Sexo]:[Sexo]]=$B59,IF(DATOS_[[AGRUP. VALOR. PTO.]:[AGRUP. VALOR. PTO.]]=$B57,IF(DATOS_[[Check Periodo Ref.]:[Check Periodo Ref.]]="Dentro",IF(DATOS_[[Check Equiparado]:[Check Equiparado]]="Sí",IF(DATOS!BH$5="Sí",(1/DATOS_[[% anualiz]:[% anualiz]]),1)*IF(DATOS!BH$4="Sí",1/DATOS_[[% normaliz]:[% normaliz]],1)*(DATOS_[Conc.Sal.30])))))))),
0)</f>
        <v>0</v>
      </c>
      <c r="AN59" s="195">
        <f t="array" ref="AN59">IFERROR(
AVERAGE(IF(DATOS_[Sexo]=$B59,IF(DATOS_[[AGRUP. VALOR. PTO.]:[AGRUP. VALOR. PTO.]]=$B57,IF(DATOS_[Check Equiparado]="Sí",IF(DATOS_[Check Periodo Ref.]="Dentro",DATOS_[Tot COMPL.SAL Eq],FALSE))))),
0)</f>
        <v>0</v>
      </c>
      <c r="AO59" s="172">
        <f t="array" ref="AO59">IFERROR(
AVERAGE(IF(DATOS_[Sexo]=$B59,IF(DATOS_[[AGRUP. VALOR. PTO.]:[AGRUP. VALOR. PTO.]]=$B57,IF(DATOS_[Check Equiparado]="Sí",IF(DATOS_[Check Periodo Ref.]="Dentro",DATOS_[TOTAL SALARIO Eq],FALSE))))),
0)</f>
        <v>0</v>
      </c>
      <c r="AP59" s="173">
        <f t="array" ref="AP59">IFERROR(
(AVERAGE((IF(DATOS_[[Sexo]:[Sexo]]=$B59,IF(DATOS_[[AGRUP. VALOR. PTO.]:[AGRUP. VALOR. PTO.]]=$B57,IF(DATOS_[[Check Periodo Ref.]:[Check Periodo Ref.]]="Dentro",IF(DATOS_[[Check Equiparado]:[Check Equiparado]]="Sí",IF(DATOS!BW$5="Sí",(1/DATOS_[[% anualiz]:[% anualiz]]),1)*IF(DATOS!BW$4="Sí",1/DATOS_[[% normaliz]:[% normaliz]],1)*(DATOS_[C.Extra.01])))))))),
0)</f>
        <v>0</v>
      </c>
      <c r="AQ59" s="173">
        <f t="array" ref="AQ59">IFERROR(
(AVERAGE((IF(DATOS_[[Sexo]:[Sexo]]=$B59,IF(DATOS_[[AGRUP. VALOR. PTO.]:[AGRUP. VALOR. PTO.]]=$B57,IF(DATOS_[[Check Periodo Ref.]:[Check Periodo Ref.]]="Dentro",IF(DATOS_[[Check Equiparado]:[Check Equiparado]]="Sí",IF(DATOS!CB$5="Sí",(1/DATOS_[[% anualiz]:[% anualiz]]),1)*IF(DATOS!CB$4="Sí",1/DATOS_[[% normaliz]:[% normaliz]],1)*(DATOS_[C.Extra.06])))))))),
0)</f>
        <v>0</v>
      </c>
      <c r="AR59" s="173">
        <f t="array" ref="AR59">IFERROR(
(AVERAGE((IF(DATOS_[[Sexo]:[Sexo]]=$B59,IF(DATOS_[[AGRUP. VALOR. PTO.]:[AGRUP. VALOR. PTO.]]=$B57,IF(DATOS_[[Check Periodo Ref.]:[Check Periodo Ref.]]="Dentro",IF(DATOS_[[Check Equiparado]:[Check Equiparado]]="Sí",IF(DATOS!CC$5="Sí",(1/DATOS_[[% anualiz]:[% anualiz]]),1)*IF(DATOS!CC$4="Sí",1/DATOS_[[% normaliz]:[% normaliz]],1)*(DATOS_[C.Extra.07])))))))),
0)</f>
        <v>0</v>
      </c>
      <c r="AS59" s="173">
        <f t="array" ref="AS59">IFERROR(
(AVERAGE((IF(DATOS_[[Sexo]:[Sexo]]=$B59,IF(DATOS_[[AGRUP. VALOR. PTO.]:[AGRUP. VALOR. PTO.]]=$B57,IF(DATOS_[[Check Periodo Ref.]:[Check Periodo Ref.]]="Dentro",IF(DATOS_[[Check Equiparado]:[Check Equiparado]]="Sí",IF(DATOS!CD$5="Sí",(1/DATOS_[[% anualiz]:[% anualiz]]),1)*IF(DATOS!CD$4="Sí",1/DATOS_[[% normaliz]:[% normaliz]],1)*(DATOS_[C.Extra.08])))))))),
0)</f>
        <v>0</v>
      </c>
      <c r="AT59" s="173">
        <f t="array" ref="AT59">IFERROR(
(AVERAGE((IF(DATOS_[[Sexo]:[Sexo]]=$B59,IF(DATOS_[[AGRUP. VALOR. PTO.]:[AGRUP. VALOR. PTO.]]=$B57,IF(DATOS_[[Check Periodo Ref.]:[Check Periodo Ref.]]="Dentro",IF(DATOS_[[Check Equiparado]:[Check Equiparado]]="Sí",IF(DATOS!CG$5="Sí",(1/DATOS_[[% anualiz]:[% anualiz]]),1)*IF(DATOS!CG$4="Sí",1/DATOS_[[% normaliz]:[% normaliz]],1)*(DATOS_[C.Extra.11])))))))),
0)</f>
        <v>0</v>
      </c>
      <c r="AU59" s="197">
        <f t="array" ref="AU59">IFERROR(
AVERAGE(IF(DATOS_[Sexo]=$B59,IF(DATOS_[[AGRUP. VALOR. PTO.]:[AGRUP. VALOR. PTO.]]=$B57,IF(DATOS_[Check Equiparado]="Sí",IF(DATOS_[Check Periodo Ref.]="Dentro",DATOS_[Tot Extrasalarial Eq],FALSE))))),
0)</f>
        <v>0</v>
      </c>
      <c r="AV59" s="175">
        <f t="array" ref="AV59">IFERROR(
AVERAGE(IF(DATOS_[Sexo]=$B59,IF(DATOS_[[AGRUP. VALOR. PTO.]:[AGRUP. VALOR. PTO.]]=$B57,IF(DATOS_[Check Equiparado]="Sí",IF(DATOS_[Check Periodo Ref.]="Dentro",DATOS_[TOTAL Retrib Eq],FALSE))))),
0)</f>
        <v>0</v>
      </c>
    </row>
    <row r="60" spans="1:48" ht="15.6" thickBot="1" x14ac:dyDescent="0.3">
      <c r="A60" s="133" t="str">
        <f t="shared" ref="A60" si="63">+A61</f>
        <v>[ocultar]</v>
      </c>
      <c r="B60" s="199" t="s">
        <v>239</v>
      </c>
      <c r="C60" s="200"/>
      <c r="D60" s="201"/>
      <c r="E60" s="201"/>
      <c r="F60" s="201"/>
      <c r="G60" s="201"/>
      <c r="H60" s="201"/>
      <c r="I60" s="189" t="str">
        <f t="shared" ref="I60:AV60" si="64">IFERROR((I61-I62)/I61,"")</f>
        <v/>
      </c>
      <c r="J60" s="190" t="str">
        <f t="shared" si="64"/>
        <v/>
      </c>
      <c r="K60" s="191" t="str">
        <f t="shared" si="64"/>
        <v/>
      </c>
      <c r="L60" s="191" t="str">
        <f t="shared" si="64"/>
        <v/>
      </c>
      <c r="M60" s="191" t="str">
        <f t="shared" si="64"/>
        <v/>
      </c>
      <c r="N60" s="192" t="str">
        <f t="shared" si="64"/>
        <v/>
      </c>
      <c r="O60" s="193" t="str">
        <f t="shared" si="64"/>
        <v/>
      </c>
      <c r="P60" s="193" t="str">
        <f t="shared" si="64"/>
        <v/>
      </c>
      <c r="Q60" s="193" t="str">
        <f t="shared" si="64"/>
        <v/>
      </c>
      <c r="R60" s="193" t="str">
        <f t="shared" si="64"/>
        <v/>
      </c>
      <c r="S60" s="193" t="str">
        <f t="shared" si="64"/>
        <v/>
      </c>
      <c r="T60" s="193" t="str">
        <f t="shared" si="64"/>
        <v/>
      </c>
      <c r="U60" s="193" t="str">
        <f t="shared" si="64"/>
        <v/>
      </c>
      <c r="V60" s="193" t="str">
        <f t="shared" si="64"/>
        <v/>
      </c>
      <c r="W60" s="193" t="str">
        <f t="shared" si="64"/>
        <v/>
      </c>
      <c r="X60" s="193" t="str">
        <f t="shared" si="64"/>
        <v/>
      </c>
      <c r="Y60" s="193" t="str">
        <f t="shared" si="64"/>
        <v/>
      </c>
      <c r="Z60" s="193" t="str">
        <f t="shared" si="64"/>
        <v/>
      </c>
      <c r="AA60" s="193" t="str">
        <f t="shared" si="64"/>
        <v/>
      </c>
      <c r="AB60" s="193" t="str">
        <f t="shared" si="64"/>
        <v/>
      </c>
      <c r="AC60" s="193" t="str">
        <f t="shared" si="64"/>
        <v/>
      </c>
      <c r="AD60" s="193" t="str">
        <f t="shared" si="64"/>
        <v/>
      </c>
      <c r="AE60" s="193" t="str">
        <f t="shared" si="64"/>
        <v/>
      </c>
      <c r="AF60" s="193" t="str">
        <f t="shared" si="64"/>
        <v/>
      </c>
      <c r="AG60" s="193" t="str">
        <f t="shared" si="64"/>
        <v/>
      </c>
      <c r="AH60" s="193" t="str">
        <f t="shared" si="64"/>
        <v/>
      </c>
      <c r="AI60" s="193" t="str">
        <f t="shared" si="64"/>
        <v/>
      </c>
      <c r="AJ60" s="193" t="str">
        <f t="shared" si="64"/>
        <v/>
      </c>
      <c r="AK60" s="193" t="str">
        <f t="shared" si="64"/>
        <v/>
      </c>
      <c r="AL60" s="193" t="str">
        <f t="shared" si="64"/>
        <v/>
      </c>
      <c r="AM60" s="193" t="str">
        <f t="shared" si="64"/>
        <v/>
      </c>
      <c r="AN60" s="189" t="str">
        <f t="shared" si="64"/>
        <v/>
      </c>
      <c r="AO60" s="162" t="str">
        <f t="shared" si="64"/>
        <v/>
      </c>
      <c r="AP60" s="163" t="str">
        <f t="shared" si="64"/>
        <v/>
      </c>
      <c r="AQ60" s="163" t="str">
        <f t="shared" si="64"/>
        <v/>
      </c>
      <c r="AR60" s="163" t="str">
        <f t="shared" si="64"/>
        <v/>
      </c>
      <c r="AS60" s="163" t="str">
        <f t="shared" si="64"/>
        <v/>
      </c>
      <c r="AT60" s="163" t="str">
        <f t="shared" si="64"/>
        <v/>
      </c>
      <c r="AU60" s="194" t="str">
        <f t="shared" si="64"/>
        <v/>
      </c>
      <c r="AV60" s="165" t="str">
        <f t="shared" si="64"/>
        <v/>
      </c>
    </row>
    <row r="61" spans="1:48" x14ac:dyDescent="0.25">
      <c r="A61" s="133" t="str">
        <f t="shared" ref="A61" si="65">+IF(C61+C62=0,"[ocultar]","")</f>
        <v>[ocultar]</v>
      </c>
      <c r="B61" s="202" t="s">
        <v>394</v>
      </c>
      <c r="C61" s="203">
        <f t="array" ref="C61">SUM(IF($B61=DATOS_[Sexo],
IF($B60=DATOS_[AGRUP. VALOR. PTO.],
IF("Dentro"=DATOS_[Check Periodo Ref.],
1/(COUNTIFS(DATOS_[Sexo],$B61,DATOS_[AGRUP. VALOR. PTO.],$B60,DATOS_[Check Periodo Ref.],"Dentro",DATOS_[id/cod],DATOS_[id/cod]))))))</f>
        <v>0</v>
      </c>
      <c r="D61" s="204">
        <f>COUNTIFS(DATOS_[AGRUP. VALOR. PTO.],$B60,DATOS_[Sexo],$B61,DATOS_[Check Periodo Ref.],"Dentro")</f>
        <v>0</v>
      </c>
      <c r="E61" s="204">
        <f>COUNTIFS(DATOS_[AGRUP. VALOR. PTO.],$B60,DATOS_[Sexo],$B61,DATOS_[Check Periodo Ref.],"Dentro",DATOS_[Check Nº SC Norm],"Sí")</f>
        <v>0</v>
      </c>
      <c r="F61" s="204">
        <f>COUNTIFS(DATOS_[AGRUP. VALOR. PTO.],$B60,DATOS_[Sexo],$B61,DATOS_[Check Periodo Ref.],"Dentro",DATOS_[Check Nº SC Anualiz],"Sí")</f>
        <v>0</v>
      </c>
      <c r="G61" s="204">
        <f>COUNTIFS(DATOS_[AGRUP. VALOR. PTO.],$B60,DATOS_[Sexo],$B61,DATOS_[Check Periodo Ref.],"Dentro",DATOS_[Check Nº SC Norm y Anualiz],"Sí")</f>
        <v>0</v>
      </c>
      <c r="H61" s="204">
        <f>COUNTIFS(DATOS_[AGRUP. VALOR. PTO.],$B60,DATOS_[Sexo],$B61,DATOS_[Check Periodo Ref.],"Dentro",DATOS_[Check Equiparación],"Sí")</f>
        <v>0</v>
      </c>
      <c r="I61" s="195">
        <f t="array" ref="I61">IFERROR(
AVERAGE(IF(DATOS_[Sexo]=$B61,IF(DATOS_[[AGRUP. VALOR. PTO.]:[AGRUP. VALOR. PTO.]]=$B60,IF(DATOS_[Check Equiparado]="Sí",IF(DATOS_[Check Periodo Ref.]="Dentro",DATOS_[SALARIO BASE Eq],FALSE))))),
0)</f>
        <v>0</v>
      </c>
      <c r="J61" s="196">
        <f t="array" ref="J61">IFERROR(
(AVERAGE((IF(DATOS_[[Sexo]:[Sexo]]=$B61,IF(DATOS_[[AGRUP. VALOR. PTO.]:[AGRUP. VALOR. PTO.]]=$B60,IF(DATOS_[[Check Periodo Ref.]:[Check Periodo Ref.]]="Dentro",IF(DATOS_[[Check Equiparado]:[Check Equiparado]]="Sí",IF(DATOS!AE$5="Sí",(1/DATOS_[[% anualiz]:[% anualiz]]),1)*IF(DATOS!AE$4="Sí",1/DATOS_[[% normaliz]:[% normaliz]],1)*(DATOS_[Conc.Sal.01])))))))),
0)</f>
        <v>0</v>
      </c>
      <c r="K61" s="196">
        <f t="array" ref="K61">IFERROR(
(AVERAGE((IF(DATOS_[[Sexo]:[Sexo]]=$B61,IF(DATOS_[[AGRUP. VALOR. PTO.]:[AGRUP. VALOR. PTO.]]=$B60,IF(DATOS_[[Check Periodo Ref.]:[Check Periodo Ref.]]="Dentro",IF(DATOS_[[Check Equiparado]:[Check Equiparado]]="Sí",IF(DATOS!AF$5="Sí",(1/DATOS_[[% anualiz]:[% anualiz]]),1)*IF(DATOS!AF$4="Sí",1/DATOS_[[% normaliz]:[% normaliz]],1)*(DATOS_[Conc.Sal.02])))))))),
0)</f>
        <v>0</v>
      </c>
      <c r="L61" s="196">
        <f t="array" ref="L61">IFERROR(
(AVERAGE((IF(DATOS_[[Sexo]:[Sexo]]=$B61,IF(DATOS_[[AGRUP. VALOR. PTO.]:[AGRUP. VALOR. PTO.]]=$B60,IF(DATOS_[[Check Periodo Ref.]:[Check Periodo Ref.]]="Dentro",IF(DATOS_[[Check Equiparado]:[Check Equiparado]]="Sí",IF(DATOS!AG$5="Sí",(1/DATOS_[[% anualiz]:[% anualiz]]),1)*IF(DATOS!AG$4="Sí",1/DATOS_[[% normaliz]:[% normaliz]],1)*(DATOS_[Conc.Sal.03])))))))),
0)</f>
        <v>0</v>
      </c>
      <c r="M61" s="196">
        <f t="array" ref="M61">IFERROR(
(AVERAGE((IF(DATOS_[[Sexo]:[Sexo]]=$B61,IF(DATOS_[[AGRUP. VALOR. PTO.]:[AGRUP. VALOR. PTO.]]=$B60,IF(DATOS_[[Check Periodo Ref.]:[Check Periodo Ref.]]="Dentro",IF(DATOS_[[Check Equiparado]:[Check Equiparado]]="Sí",IF(DATOS!AH$5="Sí",(1/DATOS_[[% anualiz]:[% anualiz]]),1)*IF(DATOS!AH$4="Sí",1/DATOS_[[% normaliz]:[% normaliz]],1)*(DATOS_[Conc.Sal.04])))))))),
0)</f>
        <v>0</v>
      </c>
      <c r="N61" s="196">
        <f t="array" ref="N61">IFERROR(
(AVERAGE((IF(DATOS_[[Sexo]:[Sexo]]=$B61,IF(DATOS_[[AGRUP. VALOR. PTO.]:[AGRUP. VALOR. PTO.]]=$B60,IF(DATOS_[[Check Periodo Ref.]:[Check Periodo Ref.]]="Dentro",IF(DATOS_[[Check Equiparado]:[Check Equiparado]]="Sí",IF(DATOS!AI$5="Sí",(1/DATOS_[[% anualiz]:[% anualiz]]),1)*IF(DATOS!AI$4="Sí",1/DATOS_[[% normaliz]:[% normaliz]],1)*(DATOS_[Conc.Sal.05])))))))),
0)</f>
        <v>0</v>
      </c>
      <c r="O61" s="196">
        <f t="array" ref="O61">IFERROR(
(AVERAGE((IF(DATOS_[[Sexo]:[Sexo]]=$B61,IF(DATOS_[[AGRUP. VALOR. PTO.]:[AGRUP. VALOR. PTO.]]=$B60,IF(DATOS_[[Check Periodo Ref.]:[Check Periodo Ref.]]="Dentro",IF(DATOS_[[Check Equiparado]:[Check Equiparado]]="Sí",IF(DATOS!AJ$5="Sí",(1/DATOS_[[% anualiz]:[% anualiz]]),1)*IF(DATOS!AJ$4="Sí",1/DATOS_[[% normaliz]:[% normaliz]],1)*(DATOS_[Conc.Sal.06])))))))),
0)</f>
        <v>0</v>
      </c>
      <c r="P61" s="196">
        <f t="array" ref="P61">IFERROR(
(AVERAGE((IF(DATOS_[[Sexo]:[Sexo]]=$B61,IF(DATOS_[[AGRUP. VALOR. PTO.]:[AGRUP. VALOR. PTO.]]=$B60,IF(DATOS_[[Check Periodo Ref.]:[Check Periodo Ref.]]="Dentro",IF(DATOS_[[Check Equiparado]:[Check Equiparado]]="Sí",IF(DATOS!AK$5="Sí",(1/DATOS_[[% anualiz]:[% anualiz]]),1)*IF(DATOS!AK$4="Sí",1/DATOS_[[% normaliz]:[% normaliz]],1)*(DATOS_[Conc.Sal.07])))))))),
0)</f>
        <v>0</v>
      </c>
      <c r="Q61" s="196">
        <f t="array" ref="Q61">IFERROR(
(AVERAGE((IF(DATOS_[[Sexo]:[Sexo]]=$B61,IF(DATOS_[[AGRUP. VALOR. PTO.]:[AGRUP. VALOR. PTO.]]=$B60,IF(DATOS_[[Check Periodo Ref.]:[Check Periodo Ref.]]="Dentro",IF(DATOS_[[Check Equiparado]:[Check Equiparado]]="Sí",IF(DATOS!AL$5="Sí",(1/DATOS_[[% anualiz]:[% anualiz]]),1)*IF(DATOS!AL$4="Sí",1/DATOS_[[% normaliz]:[% normaliz]],1)*(DATOS_[Conc.Sal.08])))))))),
0)</f>
        <v>0</v>
      </c>
      <c r="R61" s="196">
        <f t="array" ref="R61">IFERROR(
(AVERAGE((IF(DATOS_[[Sexo]:[Sexo]]=$B61,IF(DATOS_[[AGRUP. VALOR. PTO.]:[AGRUP. VALOR. PTO.]]=$B60,IF(DATOS_[[Check Periodo Ref.]:[Check Periodo Ref.]]="Dentro",IF(DATOS_[[Check Equiparado]:[Check Equiparado]]="Sí",IF(DATOS!AM$5="Sí",(1/DATOS_[[% anualiz]:[% anualiz]]),1)*IF(DATOS!AM$4="Sí",1/DATOS_[[% normaliz]:[% normaliz]],1)*(DATOS_[Conc.Sal.09])))))))),
0)</f>
        <v>0</v>
      </c>
      <c r="S61" s="196">
        <f t="array" ref="S61">IFERROR(
(AVERAGE((IF(DATOS_[[Sexo]:[Sexo]]=$B61,IF(DATOS_[[AGRUP. VALOR. PTO.]:[AGRUP. VALOR. PTO.]]=$B60,IF(DATOS_[[Check Periodo Ref.]:[Check Periodo Ref.]]="Dentro",IF(DATOS_[[Check Equiparado]:[Check Equiparado]]="Sí",IF(DATOS!AN$5="Sí",(1/DATOS_[[% anualiz]:[% anualiz]]),1)*IF(DATOS!AN$4="Sí",1/DATOS_[[% normaliz]:[% normaliz]],1)*(DATOS_[Conc.Sal.10])))))))),
0)</f>
        <v>0</v>
      </c>
      <c r="T61" s="196">
        <f t="array" ref="T61">IFERROR(
(AVERAGE((IF(DATOS_[[Sexo]:[Sexo]]=$B61,IF(DATOS_[[AGRUP. VALOR. PTO.]:[AGRUP. VALOR. PTO.]]=$B60,IF(DATOS_[[Check Periodo Ref.]:[Check Periodo Ref.]]="Dentro",IF(DATOS_[[Check Equiparado]:[Check Equiparado]]="Sí",IF(DATOS!AO$5="Sí",(1/DATOS_[[% anualiz]:[% anualiz]]),1)*IF(DATOS!AO$4="Sí",1/DATOS_[[% normaliz]:[% normaliz]],1)*(DATOS_[Conc.Sal.11])))))))),
0)</f>
        <v>0</v>
      </c>
      <c r="U61" s="196">
        <f t="array" ref="U61">IFERROR(
(AVERAGE((IF(DATOS_[[Sexo]:[Sexo]]=$B61,IF(DATOS_[[AGRUP. VALOR. PTO.]:[AGRUP. VALOR. PTO.]]=$B60,IF(DATOS_[[Check Periodo Ref.]:[Check Periodo Ref.]]="Dentro",IF(DATOS_[[Check Equiparado]:[Check Equiparado]]="Sí",IF(DATOS!AP$5="Sí",(1/DATOS_[[% anualiz]:[% anualiz]]),1)*IF(DATOS!AP$4="Sí",1/DATOS_[[% normaliz]:[% normaliz]],1)*(DATOS_[Conc.Sal.12])))))))),
0)</f>
        <v>0</v>
      </c>
      <c r="V61" s="196">
        <f t="array" ref="V61">IFERROR(
(AVERAGE((IF(DATOS_[[Sexo]:[Sexo]]=$B61,IF(DATOS_[[AGRUP. VALOR. PTO.]:[AGRUP. VALOR. PTO.]]=$B60,IF(DATOS_[[Check Periodo Ref.]:[Check Periodo Ref.]]="Dentro",IF(DATOS_[[Check Equiparado]:[Check Equiparado]]="Sí",IF(DATOS!AQ$5="Sí",(1/DATOS_[[% anualiz]:[% anualiz]]),1)*IF(DATOS!AQ$4="Sí",1/DATOS_[[% normaliz]:[% normaliz]],1)*(DATOS_[Conc.Sal.13])))))))),
0)</f>
        <v>0</v>
      </c>
      <c r="W61" s="196">
        <f t="array" ref="W61">IFERROR(
(AVERAGE((IF(DATOS_[[Sexo]:[Sexo]]=$B61,IF(DATOS_[[AGRUP. VALOR. PTO.]:[AGRUP. VALOR. PTO.]]=$B60,IF(DATOS_[[Check Periodo Ref.]:[Check Periodo Ref.]]="Dentro",IF(DATOS_[[Check Equiparado]:[Check Equiparado]]="Sí",IF(DATOS!AR$5="Sí",(1/DATOS_[[% anualiz]:[% anualiz]]),1)*IF(DATOS!AR$4="Sí",1/DATOS_[[% normaliz]:[% normaliz]],1)*(DATOS_[Conc.Sal.14])))))))),
0)</f>
        <v>0</v>
      </c>
      <c r="X61" s="196">
        <f t="array" ref="X61">IFERROR(
(AVERAGE((IF(DATOS_[[Sexo]:[Sexo]]=$B61,IF(DATOS_[[AGRUP. VALOR. PTO.]:[AGRUP. VALOR. PTO.]]=$B60,IF(DATOS_[[Check Periodo Ref.]:[Check Periodo Ref.]]="Dentro",IF(DATOS_[[Check Equiparado]:[Check Equiparado]]="Sí",IF(DATOS!AS$5="Sí",(1/DATOS_[[% anualiz]:[% anualiz]]),1)*IF(DATOS!AS$4="Sí",1/DATOS_[[% normaliz]:[% normaliz]],1)*(DATOS_[Conc.Sal.15])))))))),
0)</f>
        <v>0</v>
      </c>
      <c r="Y61" s="196">
        <f t="array" ref="Y61">IFERROR(
(AVERAGE((IF(DATOS_[[Sexo]:[Sexo]]=$B61,IF(DATOS_[[AGRUP. VALOR. PTO.]:[AGRUP. VALOR. PTO.]]=$B60,IF(DATOS_[[Check Periodo Ref.]:[Check Periodo Ref.]]="Dentro",IF(DATOS_[[Check Equiparado]:[Check Equiparado]]="Sí",IF(DATOS!AT$5="Sí",(1/DATOS_[[% anualiz]:[% anualiz]]),1)*IF(DATOS!AT$4="Sí",1/DATOS_[[% normaliz]:[% normaliz]],1)*(DATOS_[Conc.Sal.16])))))))),
0)</f>
        <v>0</v>
      </c>
      <c r="Z61" s="196">
        <f t="array" ref="Z61">IFERROR(
(AVERAGE((IF(DATOS_[[Sexo]:[Sexo]]=$B61,IF(DATOS_[[AGRUP. VALOR. PTO.]:[AGRUP. VALOR. PTO.]]=$B60,IF(DATOS_[[Check Periodo Ref.]:[Check Periodo Ref.]]="Dentro",IF(DATOS_[[Check Equiparado]:[Check Equiparado]]="Sí",IF(DATOS!AU$5="Sí",(1/DATOS_[[% anualiz]:[% anualiz]]),1)*IF(DATOS!AU$4="Sí",1/DATOS_[[% normaliz]:[% normaliz]],1)*(DATOS_[Conc.Sal.17])))))))),
0)</f>
        <v>0</v>
      </c>
      <c r="AA61" s="196">
        <f t="array" ref="AA61">IFERROR(
(AVERAGE((IF(DATOS_[[Sexo]:[Sexo]]=$B61,IF(DATOS_[[AGRUP. VALOR. PTO.]:[AGRUP. VALOR. PTO.]]=$B60,IF(DATOS_[[Check Periodo Ref.]:[Check Periodo Ref.]]="Dentro",IF(DATOS_[[Check Equiparado]:[Check Equiparado]]="Sí",IF(DATOS!AV$5="Sí",(1/DATOS_[[% anualiz]:[% anualiz]]),1)*IF(DATOS!AV$4="Sí",1/DATOS_[[% normaliz]:[% normaliz]],1)*(DATOS_[Conc.Sal.18])))))))),
0)</f>
        <v>0</v>
      </c>
      <c r="AB61" s="196">
        <f t="array" ref="AB61">IFERROR(
(AVERAGE((IF(DATOS_[[Sexo]:[Sexo]]=$B61,IF(DATOS_[[AGRUP. VALOR. PTO.]:[AGRUP. VALOR. PTO.]]=$B60,IF(DATOS_[[Check Periodo Ref.]:[Check Periodo Ref.]]="Dentro",IF(DATOS_[[Check Equiparado]:[Check Equiparado]]="Sí",IF(DATOS!AW$5="Sí",(1/DATOS_[[% anualiz]:[% anualiz]]),1)*IF(DATOS!AW$4="Sí",1/DATOS_[[% normaliz]:[% normaliz]],1)*(DATOS_[Conc.Sal.19])))))))),
0)</f>
        <v>0</v>
      </c>
      <c r="AC61" s="196">
        <f t="array" ref="AC61">IFERROR(
(AVERAGE((IF(DATOS_[[Sexo]:[Sexo]]=$B61,IF(DATOS_[[AGRUP. VALOR. PTO.]:[AGRUP. VALOR. PTO.]]=$B60,IF(DATOS_[[Check Periodo Ref.]:[Check Periodo Ref.]]="Dentro",IF(DATOS_[[Check Equiparado]:[Check Equiparado]]="Sí",IF(DATOS!AX$5="Sí",(1/DATOS_[[% anualiz]:[% anualiz]]),1)*IF(DATOS!AX$4="Sí",1/DATOS_[[% normaliz]:[% normaliz]],1)*(DATOS_[Conc.Sal.20])))))))),
0)</f>
        <v>0</v>
      </c>
      <c r="AD61" s="196">
        <f t="array" ref="AD61">IFERROR(
(AVERAGE((IF(DATOS_[[Sexo]:[Sexo]]=$B61,IF(DATOS_[[AGRUP. VALOR. PTO.]:[AGRUP. VALOR. PTO.]]=$B60,IF(DATOS_[[Check Periodo Ref.]:[Check Periodo Ref.]]="Dentro",IF(DATOS_[[Check Equiparado]:[Check Equiparado]]="Sí",IF(DATOS!AY$5="Sí",(1/DATOS_[[% anualiz]:[% anualiz]]),1)*IF(DATOS!AY$4="Sí",1/DATOS_[[% normaliz]:[% normaliz]],1)*(DATOS_[Conc.Sal.21])))))))),
0)</f>
        <v>0</v>
      </c>
      <c r="AE61" s="196">
        <f t="array" ref="AE61">IFERROR(
(AVERAGE((IF(DATOS_[[Sexo]:[Sexo]]=$B61,IF(DATOS_[[AGRUP. VALOR. PTO.]:[AGRUP. VALOR. PTO.]]=$B60,IF(DATOS_[[Check Periodo Ref.]:[Check Periodo Ref.]]="Dentro",IF(DATOS_[[Check Equiparado]:[Check Equiparado]]="Sí",IF(DATOS!AZ$5="Sí",(1/DATOS_[[% anualiz]:[% anualiz]]),1)*IF(DATOS!AZ$4="Sí",1/DATOS_[[% normaliz]:[% normaliz]],1)*(DATOS_[Conc.Sal.22])))))))),
0)</f>
        <v>0</v>
      </c>
      <c r="AF61" s="196">
        <f t="array" ref="AF61">IFERROR(
(AVERAGE((IF(DATOS_[[Sexo]:[Sexo]]=$B61,IF(DATOS_[[AGRUP. VALOR. PTO.]:[AGRUP. VALOR. PTO.]]=$B60,IF(DATOS_[[Check Periodo Ref.]:[Check Periodo Ref.]]="Dentro",IF(DATOS_[[Check Equiparado]:[Check Equiparado]]="Sí",IF(DATOS!BA$5="Sí",(1/DATOS_[[% anualiz]:[% anualiz]]),1)*IF(DATOS!BA$4="Sí",1/DATOS_[[% normaliz]:[% normaliz]],1)*(DATOS_[Conc.Sal.23])))))))),
0)</f>
        <v>0</v>
      </c>
      <c r="AG61" s="196">
        <f t="array" ref="AG61">IFERROR(
(AVERAGE((IF(DATOS_[[Sexo]:[Sexo]]=$B61,IF(DATOS_[[AGRUP. VALOR. PTO.]:[AGRUP. VALOR. PTO.]]=$B60,IF(DATOS_[[Check Periodo Ref.]:[Check Periodo Ref.]]="Dentro",IF(DATOS_[[Check Equiparado]:[Check Equiparado]]="Sí",IF(DATOS!BB$5="Sí",(1/DATOS_[[% anualiz]:[% anualiz]]),1)*IF(DATOS!BB$4="Sí",1/DATOS_[[% normaliz]:[% normaliz]],1)*(DATOS_[Conc.Sal.24])))))))),
0)</f>
        <v>0</v>
      </c>
      <c r="AH61" s="196">
        <f t="array" ref="AH61">IFERROR(
(AVERAGE((IF(DATOS_[[Sexo]:[Sexo]]=$B61,IF(DATOS_[[AGRUP. VALOR. PTO.]:[AGRUP. VALOR. PTO.]]=$B60,IF(DATOS_[[Check Periodo Ref.]:[Check Periodo Ref.]]="Dentro",IF(DATOS_[[Check Equiparado]:[Check Equiparado]]="Sí",IF(DATOS!BC$5="Sí",(1/DATOS_[[% anualiz]:[% anualiz]]),1)*IF(DATOS!BC$4="Sí",1/DATOS_[[% normaliz]:[% normaliz]],1)*(DATOS_[Conc.Sal.25])))))))),
0)</f>
        <v>0</v>
      </c>
      <c r="AI61" s="196">
        <f t="array" ref="AI61">IFERROR(
(AVERAGE((IF(DATOS_[[Sexo]:[Sexo]]=$B61,IF(DATOS_[[AGRUP. VALOR. PTO.]:[AGRUP. VALOR. PTO.]]=$B60,IF(DATOS_[[Check Periodo Ref.]:[Check Periodo Ref.]]="Dentro",IF(DATOS_[[Check Equiparado]:[Check Equiparado]]="Sí",IF(DATOS!BD$5="Sí",(1/DATOS_[[% anualiz]:[% anualiz]]),1)*IF(DATOS!BD$4="Sí",1/DATOS_[[% normaliz]:[% normaliz]],1)*(DATOS_[Conc.Sal.26])))))))),
0)</f>
        <v>0</v>
      </c>
      <c r="AJ61" s="196">
        <f t="array" ref="AJ61">IFERROR(
(AVERAGE((IF(DATOS_[[Sexo]:[Sexo]]=$B61,IF(DATOS_[[AGRUP. VALOR. PTO.]:[AGRUP. VALOR. PTO.]]=$B60,IF(DATOS_[[Check Periodo Ref.]:[Check Periodo Ref.]]="Dentro",IF(DATOS_[[Check Equiparado]:[Check Equiparado]]="Sí",IF(DATOS!BE$5="Sí",(1/DATOS_[[% anualiz]:[% anualiz]]),1)*IF(DATOS!BE$4="Sí",1/DATOS_[[% normaliz]:[% normaliz]],1)*(DATOS_[Conc.Sal.27])))))))),
0)</f>
        <v>0</v>
      </c>
      <c r="AK61" s="196">
        <f t="array" ref="AK61">IFERROR(
(AVERAGE((IF(DATOS_[[Sexo]:[Sexo]]=$B61,IF(DATOS_[[AGRUP. VALOR. PTO.]:[AGRUP. VALOR. PTO.]]=$B60,IF(DATOS_[[Check Periodo Ref.]:[Check Periodo Ref.]]="Dentro",IF(DATOS_[[Check Equiparado]:[Check Equiparado]]="Sí",IF(DATOS!BF$5="Sí",(1/DATOS_[[% anualiz]:[% anualiz]]),1)*IF(DATOS!BF$4="Sí",1/DATOS_[[% normaliz]:[% normaliz]],1)*(DATOS_[Conc.Sal.28])))))))),
0)</f>
        <v>0</v>
      </c>
      <c r="AL61" s="196">
        <f t="array" ref="AL61">IFERROR(
(AVERAGE((IF(DATOS_[[Sexo]:[Sexo]]=$B61,IF(DATOS_[[AGRUP. VALOR. PTO.]:[AGRUP. VALOR. PTO.]]=$B60,IF(DATOS_[[Check Periodo Ref.]:[Check Periodo Ref.]]="Dentro",IF(DATOS_[[Check Equiparado]:[Check Equiparado]]="Sí",IF(DATOS!BG$5="Sí",(1/DATOS_[[% anualiz]:[% anualiz]]),1)*IF(DATOS!BG$4="Sí",1/DATOS_[[% normaliz]:[% normaliz]],1)*(DATOS_[Conc.Sal.29])))))))),
0)</f>
        <v>0</v>
      </c>
      <c r="AM61" s="196">
        <f t="array" ref="AM61">IFERROR(
(AVERAGE((IF(DATOS_[[Sexo]:[Sexo]]=$B61,IF(DATOS_[[AGRUP. VALOR. PTO.]:[AGRUP. VALOR. PTO.]]=$B60,IF(DATOS_[[Check Periodo Ref.]:[Check Periodo Ref.]]="Dentro",IF(DATOS_[[Check Equiparado]:[Check Equiparado]]="Sí",IF(DATOS!BH$5="Sí",(1/DATOS_[[% anualiz]:[% anualiz]]),1)*IF(DATOS!BH$4="Sí",1/DATOS_[[% normaliz]:[% normaliz]],1)*(DATOS_[Conc.Sal.30])))))))),
0)</f>
        <v>0</v>
      </c>
      <c r="AN61" s="195">
        <f t="array" ref="AN61">IFERROR(
AVERAGE(IF(DATOS_[Sexo]=$B61,IF(DATOS_[[AGRUP. VALOR. PTO.]:[AGRUP. VALOR. PTO.]]=$B60,IF(DATOS_[Check Equiparado]="Sí",IF(DATOS_[Check Periodo Ref.]="Dentro",DATOS_[Tot COMPL.SAL Eq],FALSE))))),
0)</f>
        <v>0</v>
      </c>
      <c r="AO61" s="172">
        <f t="array" ref="AO61">IFERROR(
AVERAGE(IF(DATOS_[Sexo]=$B61,IF(DATOS_[[AGRUP. VALOR. PTO.]:[AGRUP. VALOR. PTO.]]=$B60,IF(DATOS_[Check Equiparado]="Sí",IF(DATOS_[Check Periodo Ref.]="Dentro",DATOS_[TOTAL SALARIO Eq],FALSE))))),
0)</f>
        <v>0</v>
      </c>
      <c r="AP61" s="173">
        <f t="array" ref="AP61">IFERROR(
(AVERAGE((IF(DATOS_[[Sexo]:[Sexo]]=$B61,IF(DATOS_[[AGRUP. VALOR. PTO.]:[AGRUP. VALOR. PTO.]]=$B60,IF(DATOS_[[Check Periodo Ref.]:[Check Periodo Ref.]]="Dentro",IF(DATOS_[[Check Equiparado]:[Check Equiparado]]="Sí",IF(DATOS!BW$5="Sí",(1/DATOS_[[% anualiz]:[% anualiz]]),1)*IF(DATOS!BW$4="Sí",1/DATOS_[[% normaliz]:[% normaliz]],1)*(DATOS_[C.Extra.01])))))))),
0)</f>
        <v>0</v>
      </c>
      <c r="AQ61" s="173">
        <f t="array" ref="AQ61">IFERROR(
(AVERAGE((IF(DATOS_[[Sexo]:[Sexo]]=$B61,IF(DATOS_[[AGRUP. VALOR. PTO.]:[AGRUP. VALOR. PTO.]]=$B60,IF(DATOS_[[Check Periodo Ref.]:[Check Periodo Ref.]]="Dentro",IF(DATOS_[[Check Equiparado]:[Check Equiparado]]="Sí",IF(DATOS!CB$5="Sí",(1/DATOS_[[% anualiz]:[% anualiz]]),1)*IF(DATOS!CB$4="Sí",1/DATOS_[[% normaliz]:[% normaliz]],1)*(DATOS_[C.Extra.06])))))))),
0)</f>
        <v>0</v>
      </c>
      <c r="AR61" s="173">
        <f t="array" ref="AR61">IFERROR(
(AVERAGE((IF(DATOS_[[Sexo]:[Sexo]]=$B61,IF(DATOS_[[AGRUP. VALOR. PTO.]:[AGRUP. VALOR. PTO.]]=$B60,IF(DATOS_[[Check Periodo Ref.]:[Check Periodo Ref.]]="Dentro",IF(DATOS_[[Check Equiparado]:[Check Equiparado]]="Sí",IF(DATOS!CC$5="Sí",(1/DATOS_[[% anualiz]:[% anualiz]]),1)*IF(DATOS!CC$4="Sí",1/DATOS_[[% normaliz]:[% normaliz]],1)*(DATOS_[C.Extra.07])))))))),
0)</f>
        <v>0</v>
      </c>
      <c r="AS61" s="173">
        <f t="array" ref="AS61">IFERROR(
(AVERAGE((IF(DATOS_[[Sexo]:[Sexo]]=$B61,IF(DATOS_[[AGRUP. VALOR. PTO.]:[AGRUP. VALOR. PTO.]]=$B60,IF(DATOS_[[Check Periodo Ref.]:[Check Periodo Ref.]]="Dentro",IF(DATOS_[[Check Equiparado]:[Check Equiparado]]="Sí",IF(DATOS!CD$5="Sí",(1/DATOS_[[% anualiz]:[% anualiz]]),1)*IF(DATOS!CD$4="Sí",1/DATOS_[[% normaliz]:[% normaliz]],1)*(DATOS_[C.Extra.08])))))))),
0)</f>
        <v>0</v>
      </c>
      <c r="AT61" s="173">
        <f t="array" ref="AT61">IFERROR(
(AVERAGE((IF(DATOS_[[Sexo]:[Sexo]]=$B61,IF(DATOS_[[AGRUP. VALOR. PTO.]:[AGRUP. VALOR. PTO.]]=$B60,IF(DATOS_[[Check Periodo Ref.]:[Check Periodo Ref.]]="Dentro",IF(DATOS_[[Check Equiparado]:[Check Equiparado]]="Sí",IF(DATOS!CG$5="Sí",(1/DATOS_[[% anualiz]:[% anualiz]]),1)*IF(DATOS!CG$4="Sí",1/DATOS_[[% normaliz]:[% normaliz]],1)*(DATOS_[C.Extra.11])))))))),
0)</f>
        <v>0</v>
      </c>
      <c r="AU61" s="197">
        <f t="array" ref="AU61">IFERROR(
AVERAGE(IF(DATOS_[Sexo]=$B61,IF(DATOS_[[AGRUP. VALOR. PTO.]:[AGRUP. VALOR. PTO.]]=$B60,IF(DATOS_[Check Equiparado]="Sí",IF(DATOS_[Check Periodo Ref.]="Dentro",DATOS_[Tot Extrasalarial Eq],FALSE))))),
0)</f>
        <v>0</v>
      </c>
      <c r="AV61" s="175">
        <f t="array" ref="AV61">IFERROR(
AVERAGE(IF(DATOS_[Sexo]=$B61,IF(DATOS_[[AGRUP. VALOR. PTO.]:[AGRUP. VALOR. PTO.]]=$B60,IF(DATOS_[Check Equiparado]="Sí",IF(DATOS_[Check Periodo Ref.]="Dentro",DATOS_[TOTAL Retrib Eq],FALSE))))),
0)</f>
        <v>0</v>
      </c>
    </row>
    <row r="62" spans="1:48" x14ac:dyDescent="0.25">
      <c r="A62" s="133" t="str">
        <f t="shared" ref="A62" si="66">+A61</f>
        <v>[ocultar]</v>
      </c>
      <c r="B62" s="202" t="s">
        <v>521</v>
      </c>
      <c r="C62" s="203">
        <f t="array" ref="C62">SUM(IF($B62=DATOS_[Sexo],
IF($B60=DATOS_[AGRUP. VALOR. PTO.],
IF("Dentro"=DATOS_[Check Periodo Ref.],
1/(COUNTIFS(DATOS_[Sexo],$B62,DATOS_[AGRUP. VALOR. PTO.],$B60,DATOS_[Check Periodo Ref.],"Dentro",DATOS_[id/cod],DATOS_[id/cod]))))))</f>
        <v>0</v>
      </c>
      <c r="D62" s="204">
        <f>COUNTIFS(DATOS_[AGRUP. VALOR. PTO.],$B60,DATOS_[Sexo],$B62,DATOS_[Check Periodo Ref.],"Dentro")</f>
        <v>0</v>
      </c>
      <c r="E62" s="204">
        <f>COUNTIFS(DATOS_[AGRUP. VALOR. PTO.],$B60,DATOS_[Sexo],$B62,DATOS_[Check Periodo Ref.],"Dentro",DATOS_[Check Nº SC Norm],"Sí")</f>
        <v>0</v>
      </c>
      <c r="F62" s="204">
        <f>COUNTIFS(DATOS_[AGRUP. VALOR. PTO.],$B60,DATOS_[Sexo],$B62,DATOS_[Check Periodo Ref.],"Dentro",DATOS_[Check Nº SC Anualiz],"Sí")</f>
        <v>0</v>
      </c>
      <c r="G62" s="204">
        <f>COUNTIFS(DATOS_[AGRUP. VALOR. PTO.],$B60,DATOS_[Sexo],$B62,DATOS_[Check Periodo Ref.],"Dentro",DATOS_[Check Nº SC Norm y Anualiz],"Sí")</f>
        <v>0</v>
      </c>
      <c r="H62" s="204">
        <f>COUNTIFS(DATOS_[AGRUP. VALOR. PTO.],$B60,DATOS_[Sexo],$B62,DATOS_[Check Periodo Ref.],"Dentro",DATOS_[Check Equiparación],"Sí")</f>
        <v>0</v>
      </c>
      <c r="I62" s="195" cm="1">
        <f t="array" ref="I62">IFERROR(
AVERAGE(IF(DATOS_[Sexo]=$B62,IF(DATOS_[[AGRUP. VALOR. PTO.]:[AGRUP. VALOR. PTO.]]=$B60,IF(DATOS_[Check Equiparado]="Sí",IF(DATOS_[Check Periodo Ref.]="Dentro",DATOS_[SALARIO BASE Eq],FALSE))))),
0)</f>
        <v>0</v>
      </c>
      <c r="J62" s="196">
        <f t="array" ref="J62">IFERROR(
(AVERAGE((IF(DATOS_[[Sexo]:[Sexo]]=$B62,IF(DATOS_[[AGRUP. VALOR. PTO.]:[AGRUP. VALOR. PTO.]]=$B60,IF(DATOS_[[Check Periodo Ref.]:[Check Periodo Ref.]]="Dentro",IF(DATOS_[[Check Equiparado]:[Check Equiparado]]="Sí",IF(DATOS!AE$5="Sí",(1/DATOS_[[% anualiz]:[% anualiz]]),1)*IF(DATOS!AE$4="Sí",1/DATOS_[[% normaliz]:[% normaliz]],1)*(DATOS_[Conc.Sal.01])))))))),
0)</f>
        <v>0</v>
      </c>
      <c r="K62" s="196">
        <f t="array" ref="K62">IFERROR(
(AVERAGE((IF(DATOS_[[Sexo]:[Sexo]]=$B62,IF(DATOS_[[AGRUP. VALOR. PTO.]:[AGRUP. VALOR. PTO.]]=$B60,IF(DATOS_[[Check Periodo Ref.]:[Check Periodo Ref.]]="Dentro",IF(DATOS_[[Check Equiparado]:[Check Equiparado]]="Sí",IF(DATOS!AF$5="Sí",(1/DATOS_[[% anualiz]:[% anualiz]]),1)*IF(DATOS!AF$4="Sí",1/DATOS_[[% normaliz]:[% normaliz]],1)*(DATOS_[Conc.Sal.02])))))))),
0)</f>
        <v>0</v>
      </c>
      <c r="L62" s="196">
        <f t="array" ref="L62">IFERROR(
(AVERAGE((IF(DATOS_[[Sexo]:[Sexo]]=$B62,IF(DATOS_[[AGRUP. VALOR. PTO.]:[AGRUP. VALOR. PTO.]]=$B60,IF(DATOS_[[Check Periodo Ref.]:[Check Periodo Ref.]]="Dentro",IF(DATOS_[[Check Equiparado]:[Check Equiparado]]="Sí",IF(DATOS!AG$5="Sí",(1/DATOS_[[% anualiz]:[% anualiz]]),1)*IF(DATOS!AG$4="Sí",1/DATOS_[[% normaliz]:[% normaliz]],1)*(DATOS_[Conc.Sal.03])))))))),
0)</f>
        <v>0</v>
      </c>
      <c r="M62" s="196">
        <f t="array" ref="M62">IFERROR(
(AVERAGE((IF(DATOS_[[Sexo]:[Sexo]]=$B62,IF(DATOS_[[AGRUP. VALOR. PTO.]:[AGRUP. VALOR. PTO.]]=$B60,IF(DATOS_[[Check Periodo Ref.]:[Check Periodo Ref.]]="Dentro",IF(DATOS_[[Check Equiparado]:[Check Equiparado]]="Sí",IF(DATOS!AH$5="Sí",(1/DATOS_[[% anualiz]:[% anualiz]]),1)*IF(DATOS!AH$4="Sí",1/DATOS_[[% normaliz]:[% normaliz]],1)*(DATOS_[Conc.Sal.04])))))))),
0)</f>
        <v>0</v>
      </c>
      <c r="N62" s="196">
        <f t="array" ref="N62">IFERROR(
(AVERAGE((IF(DATOS_[[Sexo]:[Sexo]]=$B62,IF(DATOS_[[AGRUP. VALOR. PTO.]:[AGRUP. VALOR. PTO.]]=$B60,IF(DATOS_[[Check Periodo Ref.]:[Check Periodo Ref.]]="Dentro",IF(DATOS_[[Check Equiparado]:[Check Equiparado]]="Sí",IF(DATOS!AI$5="Sí",(1/DATOS_[[% anualiz]:[% anualiz]]),1)*IF(DATOS!AI$4="Sí",1/DATOS_[[% normaliz]:[% normaliz]],1)*(DATOS_[Conc.Sal.05])))))))),
0)</f>
        <v>0</v>
      </c>
      <c r="O62" s="196">
        <f t="array" ref="O62">IFERROR(
(AVERAGE((IF(DATOS_[[Sexo]:[Sexo]]=$B62,IF(DATOS_[[AGRUP. VALOR. PTO.]:[AGRUP. VALOR. PTO.]]=$B60,IF(DATOS_[[Check Periodo Ref.]:[Check Periodo Ref.]]="Dentro",IF(DATOS_[[Check Equiparado]:[Check Equiparado]]="Sí",IF(DATOS!AJ$5="Sí",(1/DATOS_[[% anualiz]:[% anualiz]]),1)*IF(DATOS!AJ$4="Sí",1/DATOS_[[% normaliz]:[% normaliz]],1)*(DATOS_[Conc.Sal.06])))))))),
0)</f>
        <v>0</v>
      </c>
      <c r="P62" s="196">
        <f t="array" ref="P62">IFERROR(
(AVERAGE((IF(DATOS_[[Sexo]:[Sexo]]=$B62,IF(DATOS_[[AGRUP. VALOR. PTO.]:[AGRUP. VALOR. PTO.]]=$B60,IF(DATOS_[[Check Periodo Ref.]:[Check Periodo Ref.]]="Dentro",IF(DATOS_[[Check Equiparado]:[Check Equiparado]]="Sí",IF(DATOS!AK$5="Sí",(1/DATOS_[[% anualiz]:[% anualiz]]),1)*IF(DATOS!AK$4="Sí",1/DATOS_[[% normaliz]:[% normaliz]],1)*(DATOS_[Conc.Sal.07])))))))),
0)</f>
        <v>0</v>
      </c>
      <c r="Q62" s="196">
        <f t="array" ref="Q62">IFERROR(
(AVERAGE((IF(DATOS_[[Sexo]:[Sexo]]=$B62,IF(DATOS_[[AGRUP. VALOR. PTO.]:[AGRUP. VALOR. PTO.]]=$B60,IF(DATOS_[[Check Periodo Ref.]:[Check Periodo Ref.]]="Dentro",IF(DATOS_[[Check Equiparado]:[Check Equiparado]]="Sí",IF(DATOS!AL$5="Sí",(1/DATOS_[[% anualiz]:[% anualiz]]),1)*IF(DATOS!AL$4="Sí",1/DATOS_[[% normaliz]:[% normaliz]],1)*(DATOS_[Conc.Sal.08])))))))),
0)</f>
        <v>0</v>
      </c>
      <c r="R62" s="196">
        <f t="array" ref="R62">IFERROR(
(AVERAGE((IF(DATOS_[[Sexo]:[Sexo]]=$B62,IF(DATOS_[[AGRUP. VALOR. PTO.]:[AGRUP. VALOR. PTO.]]=$B60,IF(DATOS_[[Check Periodo Ref.]:[Check Periodo Ref.]]="Dentro",IF(DATOS_[[Check Equiparado]:[Check Equiparado]]="Sí",IF(DATOS!AM$5="Sí",(1/DATOS_[[% anualiz]:[% anualiz]]),1)*IF(DATOS!AM$4="Sí",1/DATOS_[[% normaliz]:[% normaliz]],1)*(DATOS_[Conc.Sal.09])))))))),
0)</f>
        <v>0</v>
      </c>
      <c r="S62" s="196">
        <f t="array" ref="S62">IFERROR(
(AVERAGE((IF(DATOS_[[Sexo]:[Sexo]]=$B62,IF(DATOS_[[AGRUP. VALOR. PTO.]:[AGRUP. VALOR. PTO.]]=$B60,IF(DATOS_[[Check Periodo Ref.]:[Check Periodo Ref.]]="Dentro",IF(DATOS_[[Check Equiparado]:[Check Equiparado]]="Sí",IF(DATOS!AN$5="Sí",(1/DATOS_[[% anualiz]:[% anualiz]]),1)*IF(DATOS!AN$4="Sí",1/DATOS_[[% normaliz]:[% normaliz]],1)*(DATOS_[Conc.Sal.10])))))))),
0)</f>
        <v>0</v>
      </c>
      <c r="T62" s="196">
        <f t="array" ref="T62">IFERROR(
(AVERAGE((IF(DATOS_[[Sexo]:[Sexo]]=$B62,IF(DATOS_[[AGRUP. VALOR. PTO.]:[AGRUP. VALOR. PTO.]]=$B60,IF(DATOS_[[Check Periodo Ref.]:[Check Periodo Ref.]]="Dentro",IF(DATOS_[[Check Equiparado]:[Check Equiparado]]="Sí",IF(DATOS!AO$5="Sí",(1/DATOS_[[% anualiz]:[% anualiz]]),1)*IF(DATOS!AO$4="Sí",1/DATOS_[[% normaliz]:[% normaliz]],1)*(DATOS_[Conc.Sal.11])))))))),
0)</f>
        <v>0</v>
      </c>
      <c r="U62" s="196">
        <f t="array" ref="U62">IFERROR(
(AVERAGE((IF(DATOS_[[Sexo]:[Sexo]]=$B62,IF(DATOS_[[AGRUP. VALOR. PTO.]:[AGRUP. VALOR. PTO.]]=$B60,IF(DATOS_[[Check Periodo Ref.]:[Check Periodo Ref.]]="Dentro",IF(DATOS_[[Check Equiparado]:[Check Equiparado]]="Sí",IF(DATOS!AP$5="Sí",(1/DATOS_[[% anualiz]:[% anualiz]]),1)*IF(DATOS!AP$4="Sí",1/DATOS_[[% normaliz]:[% normaliz]],1)*(DATOS_[Conc.Sal.12])))))))),
0)</f>
        <v>0</v>
      </c>
      <c r="V62" s="196">
        <f t="array" ref="V62">IFERROR(
(AVERAGE((IF(DATOS_[[Sexo]:[Sexo]]=$B62,IF(DATOS_[[AGRUP. VALOR. PTO.]:[AGRUP. VALOR. PTO.]]=$B60,IF(DATOS_[[Check Periodo Ref.]:[Check Periodo Ref.]]="Dentro",IF(DATOS_[[Check Equiparado]:[Check Equiparado]]="Sí",IF(DATOS!AQ$5="Sí",(1/DATOS_[[% anualiz]:[% anualiz]]),1)*IF(DATOS!AQ$4="Sí",1/DATOS_[[% normaliz]:[% normaliz]],1)*(DATOS_[Conc.Sal.13])))))))),
0)</f>
        <v>0</v>
      </c>
      <c r="W62" s="196">
        <f t="array" ref="W62">IFERROR(
(AVERAGE((IF(DATOS_[[Sexo]:[Sexo]]=$B62,IF(DATOS_[[AGRUP. VALOR. PTO.]:[AGRUP. VALOR. PTO.]]=$B60,IF(DATOS_[[Check Periodo Ref.]:[Check Periodo Ref.]]="Dentro",IF(DATOS_[[Check Equiparado]:[Check Equiparado]]="Sí",IF(DATOS!AR$5="Sí",(1/DATOS_[[% anualiz]:[% anualiz]]),1)*IF(DATOS!AR$4="Sí",1/DATOS_[[% normaliz]:[% normaliz]],1)*(DATOS_[Conc.Sal.14])))))))),
0)</f>
        <v>0</v>
      </c>
      <c r="X62" s="196">
        <f t="array" ref="X62">IFERROR(
(AVERAGE((IF(DATOS_[[Sexo]:[Sexo]]=$B62,IF(DATOS_[[AGRUP. VALOR. PTO.]:[AGRUP. VALOR. PTO.]]=$B60,IF(DATOS_[[Check Periodo Ref.]:[Check Periodo Ref.]]="Dentro",IF(DATOS_[[Check Equiparado]:[Check Equiparado]]="Sí",IF(DATOS!AS$5="Sí",(1/DATOS_[[% anualiz]:[% anualiz]]),1)*IF(DATOS!AS$4="Sí",1/DATOS_[[% normaliz]:[% normaliz]],1)*(DATOS_[Conc.Sal.15])))))))),
0)</f>
        <v>0</v>
      </c>
      <c r="Y62" s="196">
        <f t="array" ref="Y62">IFERROR(
(AVERAGE((IF(DATOS_[[Sexo]:[Sexo]]=$B62,IF(DATOS_[[AGRUP. VALOR. PTO.]:[AGRUP. VALOR. PTO.]]=$B60,IF(DATOS_[[Check Periodo Ref.]:[Check Periodo Ref.]]="Dentro",IF(DATOS_[[Check Equiparado]:[Check Equiparado]]="Sí",IF(DATOS!AT$5="Sí",(1/DATOS_[[% anualiz]:[% anualiz]]),1)*IF(DATOS!AT$4="Sí",1/DATOS_[[% normaliz]:[% normaliz]],1)*(DATOS_[Conc.Sal.16])))))))),
0)</f>
        <v>0</v>
      </c>
      <c r="Z62" s="196">
        <f t="array" ref="Z62">IFERROR(
(AVERAGE((IF(DATOS_[[Sexo]:[Sexo]]=$B62,IF(DATOS_[[AGRUP. VALOR. PTO.]:[AGRUP. VALOR. PTO.]]=$B60,IF(DATOS_[[Check Periodo Ref.]:[Check Periodo Ref.]]="Dentro",IF(DATOS_[[Check Equiparado]:[Check Equiparado]]="Sí",IF(DATOS!AU$5="Sí",(1/DATOS_[[% anualiz]:[% anualiz]]),1)*IF(DATOS!AU$4="Sí",1/DATOS_[[% normaliz]:[% normaliz]],1)*(DATOS_[Conc.Sal.17])))))))),
0)</f>
        <v>0</v>
      </c>
      <c r="AA62" s="196">
        <f t="array" ref="AA62">IFERROR(
(AVERAGE((IF(DATOS_[[Sexo]:[Sexo]]=$B62,IF(DATOS_[[AGRUP. VALOR. PTO.]:[AGRUP. VALOR. PTO.]]=$B60,IF(DATOS_[[Check Periodo Ref.]:[Check Periodo Ref.]]="Dentro",IF(DATOS_[[Check Equiparado]:[Check Equiparado]]="Sí",IF(DATOS!AV$5="Sí",(1/DATOS_[[% anualiz]:[% anualiz]]),1)*IF(DATOS!AV$4="Sí",1/DATOS_[[% normaliz]:[% normaliz]],1)*(DATOS_[Conc.Sal.18])))))))),
0)</f>
        <v>0</v>
      </c>
      <c r="AB62" s="196">
        <f t="array" ref="AB62">IFERROR(
(AVERAGE((IF(DATOS_[[Sexo]:[Sexo]]=$B62,IF(DATOS_[[AGRUP. VALOR. PTO.]:[AGRUP. VALOR. PTO.]]=$B60,IF(DATOS_[[Check Periodo Ref.]:[Check Periodo Ref.]]="Dentro",IF(DATOS_[[Check Equiparado]:[Check Equiparado]]="Sí",IF(DATOS!AW$5="Sí",(1/DATOS_[[% anualiz]:[% anualiz]]),1)*IF(DATOS!AW$4="Sí",1/DATOS_[[% normaliz]:[% normaliz]],1)*(DATOS_[Conc.Sal.19])))))))),
0)</f>
        <v>0</v>
      </c>
      <c r="AC62" s="196">
        <f t="array" ref="AC62">IFERROR(
(AVERAGE((IF(DATOS_[[Sexo]:[Sexo]]=$B62,IF(DATOS_[[AGRUP. VALOR. PTO.]:[AGRUP. VALOR. PTO.]]=$B60,IF(DATOS_[[Check Periodo Ref.]:[Check Periodo Ref.]]="Dentro",IF(DATOS_[[Check Equiparado]:[Check Equiparado]]="Sí",IF(DATOS!AX$5="Sí",(1/DATOS_[[% anualiz]:[% anualiz]]),1)*IF(DATOS!AX$4="Sí",1/DATOS_[[% normaliz]:[% normaliz]],1)*(DATOS_[Conc.Sal.20])))))))),
0)</f>
        <v>0</v>
      </c>
      <c r="AD62" s="196">
        <f t="array" ref="AD62">IFERROR(
(AVERAGE((IF(DATOS_[[Sexo]:[Sexo]]=$B62,IF(DATOS_[[AGRUP. VALOR. PTO.]:[AGRUP. VALOR. PTO.]]=$B60,IF(DATOS_[[Check Periodo Ref.]:[Check Periodo Ref.]]="Dentro",IF(DATOS_[[Check Equiparado]:[Check Equiparado]]="Sí",IF(DATOS!AY$5="Sí",(1/DATOS_[[% anualiz]:[% anualiz]]),1)*IF(DATOS!AY$4="Sí",1/DATOS_[[% normaliz]:[% normaliz]],1)*(DATOS_[Conc.Sal.21])))))))),
0)</f>
        <v>0</v>
      </c>
      <c r="AE62" s="196">
        <f t="array" ref="AE62">IFERROR(
(AVERAGE((IF(DATOS_[[Sexo]:[Sexo]]=$B62,IF(DATOS_[[AGRUP. VALOR. PTO.]:[AGRUP. VALOR. PTO.]]=$B60,IF(DATOS_[[Check Periodo Ref.]:[Check Periodo Ref.]]="Dentro",IF(DATOS_[[Check Equiparado]:[Check Equiparado]]="Sí",IF(DATOS!AZ$5="Sí",(1/DATOS_[[% anualiz]:[% anualiz]]),1)*IF(DATOS!AZ$4="Sí",1/DATOS_[[% normaliz]:[% normaliz]],1)*(DATOS_[Conc.Sal.22])))))))),
0)</f>
        <v>0</v>
      </c>
      <c r="AF62" s="196">
        <f t="array" ref="AF62">IFERROR(
(AVERAGE((IF(DATOS_[[Sexo]:[Sexo]]=$B62,IF(DATOS_[[AGRUP. VALOR. PTO.]:[AGRUP. VALOR. PTO.]]=$B60,IF(DATOS_[[Check Periodo Ref.]:[Check Periodo Ref.]]="Dentro",IF(DATOS_[[Check Equiparado]:[Check Equiparado]]="Sí",IF(DATOS!BA$5="Sí",(1/DATOS_[[% anualiz]:[% anualiz]]),1)*IF(DATOS!BA$4="Sí",1/DATOS_[[% normaliz]:[% normaliz]],1)*(DATOS_[Conc.Sal.23])))))))),
0)</f>
        <v>0</v>
      </c>
      <c r="AG62" s="196">
        <f t="array" ref="AG62">IFERROR(
(AVERAGE((IF(DATOS_[[Sexo]:[Sexo]]=$B62,IF(DATOS_[[AGRUP. VALOR. PTO.]:[AGRUP. VALOR. PTO.]]=$B60,IF(DATOS_[[Check Periodo Ref.]:[Check Periodo Ref.]]="Dentro",IF(DATOS_[[Check Equiparado]:[Check Equiparado]]="Sí",IF(DATOS!BB$5="Sí",(1/DATOS_[[% anualiz]:[% anualiz]]),1)*IF(DATOS!BB$4="Sí",1/DATOS_[[% normaliz]:[% normaliz]],1)*(DATOS_[Conc.Sal.24])))))))),
0)</f>
        <v>0</v>
      </c>
      <c r="AH62" s="196">
        <f t="array" ref="AH62">IFERROR(
(AVERAGE((IF(DATOS_[[Sexo]:[Sexo]]=$B62,IF(DATOS_[[AGRUP. VALOR. PTO.]:[AGRUP. VALOR. PTO.]]=$B60,IF(DATOS_[[Check Periodo Ref.]:[Check Periodo Ref.]]="Dentro",IF(DATOS_[[Check Equiparado]:[Check Equiparado]]="Sí",IF(DATOS!BC$5="Sí",(1/DATOS_[[% anualiz]:[% anualiz]]),1)*IF(DATOS!BC$4="Sí",1/DATOS_[[% normaliz]:[% normaliz]],1)*(DATOS_[Conc.Sal.25])))))))),
0)</f>
        <v>0</v>
      </c>
      <c r="AI62" s="196">
        <f t="array" ref="AI62">IFERROR(
(AVERAGE((IF(DATOS_[[Sexo]:[Sexo]]=$B62,IF(DATOS_[[AGRUP. VALOR. PTO.]:[AGRUP. VALOR. PTO.]]=$B60,IF(DATOS_[[Check Periodo Ref.]:[Check Periodo Ref.]]="Dentro",IF(DATOS_[[Check Equiparado]:[Check Equiparado]]="Sí",IF(DATOS!BD$5="Sí",(1/DATOS_[[% anualiz]:[% anualiz]]),1)*IF(DATOS!BD$4="Sí",1/DATOS_[[% normaliz]:[% normaliz]],1)*(DATOS_[Conc.Sal.26])))))))),
0)</f>
        <v>0</v>
      </c>
      <c r="AJ62" s="196">
        <f t="array" ref="AJ62">IFERROR(
(AVERAGE((IF(DATOS_[[Sexo]:[Sexo]]=$B62,IF(DATOS_[[AGRUP. VALOR. PTO.]:[AGRUP. VALOR. PTO.]]=$B60,IF(DATOS_[[Check Periodo Ref.]:[Check Periodo Ref.]]="Dentro",IF(DATOS_[[Check Equiparado]:[Check Equiparado]]="Sí",IF(DATOS!BE$5="Sí",(1/DATOS_[[% anualiz]:[% anualiz]]),1)*IF(DATOS!BE$4="Sí",1/DATOS_[[% normaliz]:[% normaliz]],1)*(DATOS_[Conc.Sal.27])))))))),
0)</f>
        <v>0</v>
      </c>
      <c r="AK62" s="196">
        <f t="array" ref="AK62">IFERROR(
(AVERAGE((IF(DATOS_[[Sexo]:[Sexo]]=$B62,IF(DATOS_[[AGRUP. VALOR. PTO.]:[AGRUP. VALOR. PTO.]]=$B60,IF(DATOS_[[Check Periodo Ref.]:[Check Periodo Ref.]]="Dentro",IF(DATOS_[[Check Equiparado]:[Check Equiparado]]="Sí",IF(DATOS!BF$5="Sí",(1/DATOS_[[% anualiz]:[% anualiz]]),1)*IF(DATOS!BF$4="Sí",1/DATOS_[[% normaliz]:[% normaliz]],1)*(DATOS_[Conc.Sal.28])))))))),
0)</f>
        <v>0</v>
      </c>
      <c r="AL62" s="196">
        <f t="array" ref="AL62">IFERROR(
(AVERAGE((IF(DATOS_[[Sexo]:[Sexo]]=$B62,IF(DATOS_[[AGRUP. VALOR. PTO.]:[AGRUP. VALOR. PTO.]]=$B60,IF(DATOS_[[Check Periodo Ref.]:[Check Periodo Ref.]]="Dentro",IF(DATOS_[[Check Equiparado]:[Check Equiparado]]="Sí",IF(DATOS!BG$5="Sí",(1/DATOS_[[% anualiz]:[% anualiz]]),1)*IF(DATOS!BG$4="Sí",1/DATOS_[[% normaliz]:[% normaliz]],1)*(DATOS_[Conc.Sal.29])))))))),
0)</f>
        <v>0</v>
      </c>
      <c r="AM62" s="196">
        <f t="array" ref="AM62">IFERROR(
(AVERAGE((IF(DATOS_[[Sexo]:[Sexo]]=$B62,IF(DATOS_[[AGRUP. VALOR. PTO.]:[AGRUP. VALOR. PTO.]]=$B60,IF(DATOS_[[Check Periodo Ref.]:[Check Periodo Ref.]]="Dentro",IF(DATOS_[[Check Equiparado]:[Check Equiparado]]="Sí",IF(DATOS!BH$5="Sí",(1/DATOS_[[% anualiz]:[% anualiz]]),1)*IF(DATOS!BH$4="Sí",1/DATOS_[[% normaliz]:[% normaliz]],1)*(DATOS_[Conc.Sal.30])))))))),
0)</f>
        <v>0</v>
      </c>
      <c r="AN62" s="195">
        <f t="array" ref="AN62">IFERROR(
AVERAGE(IF(DATOS_[Sexo]=$B62,IF(DATOS_[[AGRUP. VALOR. PTO.]:[AGRUP. VALOR. PTO.]]=$B60,IF(DATOS_[Check Equiparado]="Sí",IF(DATOS_[Check Periodo Ref.]="Dentro",DATOS_[Tot COMPL.SAL Eq],FALSE))))),
0)</f>
        <v>0</v>
      </c>
      <c r="AO62" s="172">
        <f t="array" ref="AO62">IFERROR(
AVERAGE(IF(DATOS_[Sexo]=$B62,IF(DATOS_[[AGRUP. VALOR. PTO.]:[AGRUP. VALOR. PTO.]]=$B60,IF(DATOS_[Check Equiparado]="Sí",IF(DATOS_[Check Periodo Ref.]="Dentro",DATOS_[TOTAL SALARIO Eq],FALSE))))),
0)</f>
        <v>0</v>
      </c>
      <c r="AP62" s="173">
        <f t="array" ref="AP62">IFERROR(
(AVERAGE((IF(DATOS_[[Sexo]:[Sexo]]=$B62,IF(DATOS_[[AGRUP. VALOR. PTO.]:[AGRUP. VALOR. PTO.]]=$B60,IF(DATOS_[[Check Periodo Ref.]:[Check Periodo Ref.]]="Dentro",IF(DATOS_[[Check Equiparado]:[Check Equiparado]]="Sí",IF(DATOS!BW$5="Sí",(1/DATOS_[[% anualiz]:[% anualiz]]),1)*IF(DATOS!BW$4="Sí",1/DATOS_[[% normaliz]:[% normaliz]],1)*(DATOS_[C.Extra.01])))))))),
0)</f>
        <v>0</v>
      </c>
      <c r="AQ62" s="173">
        <f t="array" ref="AQ62">IFERROR(
(AVERAGE((IF(DATOS_[[Sexo]:[Sexo]]=$B62,IF(DATOS_[[AGRUP. VALOR. PTO.]:[AGRUP. VALOR. PTO.]]=$B60,IF(DATOS_[[Check Periodo Ref.]:[Check Periodo Ref.]]="Dentro",IF(DATOS_[[Check Equiparado]:[Check Equiparado]]="Sí",IF(DATOS!CB$5="Sí",(1/DATOS_[[% anualiz]:[% anualiz]]),1)*IF(DATOS!CB$4="Sí",1/DATOS_[[% normaliz]:[% normaliz]],1)*(DATOS_[C.Extra.06])))))))),
0)</f>
        <v>0</v>
      </c>
      <c r="AR62" s="173">
        <f t="array" ref="AR62">IFERROR(
(AVERAGE((IF(DATOS_[[Sexo]:[Sexo]]=$B62,IF(DATOS_[[AGRUP. VALOR. PTO.]:[AGRUP. VALOR. PTO.]]=$B60,IF(DATOS_[[Check Periodo Ref.]:[Check Periodo Ref.]]="Dentro",IF(DATOS_[[Check Equiparado]:[Check Equiparado]]="Sí",IF(DATOS!CC$5="Sí",(1/DATOS_[[% anualiz]:[% anualiz]]),1)*IF(DATOS!CC$4="Sí",1/DATOS_[[% normaliz]:[% normaliz]],1)*(DATOS_[C.Extra.07])))))))),
0)</f>
        <v>0</v>
      </c>
      <c r="AS62" s="173">
        <f t="array" ref="AS62">IFERROR(
(AVERAGE((IF(DATOS_[[Sexo]:[Sexo]]=$B62,IF(DATOS_[[AGRUP. VALOR. PTO.]:[AGRUP. VALOR. PTO.]]=$B60,IF(DATOS_[[Check Periodo Ref.]:[Check Periodo Ref.]]="Dentro",IF(DATOS_[[Check Equiparado]:[Check Equiparado]]="Sí",IF(DATOS!CD$5="Sí",(1/DATOS_[[% anualiz]:[% anualiz]]),1)*IF(DATOS!CD$4="Sí",1/DATOS_[[% normaliz]:[% normaliz]],1)*(DATOS_[C.Extra.08])))))))),
0)</f>
        <v>0</v>
      </c>
      <c r="AT62" s="173">
        <f t="array" ref="AT62">IFERROR(
(AVERAGE((IF(DATOS_[[Sexo]:[Sexo]]=$B62,IF(DATOS_[[AGRUP. VALOR. PTO.]:[AGRUP. VALOR. PTO.]]=$B60,IF(DATOS_[[Check Periodo Ref.]:[Check Periodo Ref.]]="Dentro",IF(DATOS_[[Check Equiparado]:[Check Equiparado]]="Sí",IF(DATOS!CG$5="Sí",(1/DATOS_[[% anualiz]:[% anualiz]]),1)*IF(DATOS!CG$4="Sí",1/DATOS_[[% normaliz]:[% normaliz]],1)*(DATOS_[C.Extra.11])))))))),
0)</f>
        <v>0</v>
      </c>
      <c r="AU62" s="197">
        <f t="array" ref="AU62">IFERROR(
AVERAGE(IF(DATOS_[Sexo]=$B62,IF(DATOS_[[AGRUP. VALOR. PTO.]:[AGRUP. VALOR. PTO.]]=$B60,IF(DATOS_[Check Equiparado]="Sí",IF(DATOS_[Check Periodo Ref.]="Dentro",DATOS_[Tot Extrasalarial Eq],FALSE))))),
0)</f>
        <v>0</v>
      </c>
      <c r="AV62" s="175">
        <f t="array" ref="AV62">IFERROR(
AVERAGE(IF(DATOS_[Sexo]=$B62,IF(DATOS_[[AGRUP. VALOR. PTO.]:[AGRUP. VALOR. PTO.]]=$B60,IF(DATOS_[Check Equiparado]="Sí",IF(DATOS_[Check Periodo Ref.]="Dentro",DATOS_[TOTAL Retrib Eq],FALSE))))),
0)</f>
        <v>0</v>
      </c>
    </row>
    <row r="63" spans="1:48" ht="15.6" thickBot="1" x14ac:dyDescent="0.3">
      <c r="A63" s="133" t="str">
        <f t="shared" ref="A63" si="67">+A64</f>
        <v>[ocultar]</v>
      </c>
      <c r="B63" s="199" t="s">
        <v>244</v>
      </c>
      <c r="C63" s="200"/>
      <c r="D63" s="201"/>
      <c r="E63" s="201"/>
      <c r="F63" s="201"/>
      <c r="G63" s="201"/>
      <c r="H63" s="201"/>
      <c r="I63" s="189" t="str">
        <f t="shared" ref="I63:AV63" si="68">IFERROR((I64-I65)/I64,"")</f>
        <v/>
      </c>
      <c r="J63" s="190" t="str">
        <f t="shared" si="68"/>
        <v/>
      </c>
      <c r="K63" s="191" t="str">
        <f t="shared" si="68"/>
        <v/>
      </c>
      <c r="L63" s="191" t="str">
        <f t="shared" si="68"/>
        <v/>
      </c>
      <c r="M63" s="191" t="str">
        <f t="shared" si="68"/>
        <v/>
      </c>
      <c r="N63" s="192" t="str">
        <f t="shared" si="68"/>
        <v/>
      </c>
      <c r="O63" s="193" t="str">
        <f t="shared" si="68"/>
        <v/>
      </c>
      <c r="P63" s="193" t="str">
        <f t="shared" si="68"/>
        <v/>
      </c>
      <c r="Q63" s="193" t="str">
        <f t="shared" si="68"/>
        <v/>
      </c>
      <c r="R63" s="193" t="str">
        <f t="shared" si="68"/>
        <v/>
      </c>
      <c r="S63" s="193" t="str">
        <f t="shared" si="68"/>
        <v/>
      </c>
      <c r="T63" s="193" t="str">
        <f t="shared" si="68"/>
        <v/>
      </c>
      <c r="U63" s="193" t="str">
        <f t="shared" si="68"/>
        <v/>
      </c>
      <c r="V63" s="193" t="str">
        <f t="shared" si="68"/>
        <v/>
      </c>
      <c r="W63" s="193" t="str">
        <f t="shared" si="68"/>
        <v/>
      </c>
      <c r="X63" s="193" t="str">
        <f t="shared" si="68"/>
        <v/>
      </c>
      <c r="Y63" s="193" t="str">
        <f t="shared" si="68"/>
        <v/>
      </c>
      <c r="Z63" s="193" t="str">
        <f t="shared" si="68"/>
        <v/>
      </c>
      <c r="AA63" s="193" t="str">
        <f t="shared" si="68"/>
        <v/>
      </c>
      <c r="AB63" s="193" t="str">
        <f t="shared" si="68"/>
        <v/>
      </c>
      <c r="AC63" s="193" t="str">
        <f t="shared" si="68"/>
        <v/>
      </c>
      <c r="AD63" s="193" t="str">
        <f t="shared" si="68"/>
        <v/>
      </c>
      <c r="AE63" s="193" t="str">
        <f t="shared" si="68"/>
        <v/>
      </c>
      <c r="AF63" s="193" t="str">
        <f t="shared" si="68"/>
        <v/>
      </c>
      <c r="AG63" s="193" t="str">
        <f t="shared" si="68"/>
        <v/>
      </c>
      <c r="AH63" s="193" t="str">
        <f t="shared" si="68"/>
        <v/>
      </c>
      <c r="AI63" s="193" t="str">
        <f t="shared" si="68"/>
        <v/>
      </c>
      <c r="AJ63" s="193" t="str">
        <f t="shared" si="68"/>
        <v/>
      </c>
      <c r="AK63" s="193" t="str">
        <f t="shared" si="68"/>
        <v/>
      </c>
      <c r="AL63" s="193" t="str">
        <f t="shared" si="68"/>
        <v/>
      </c>
      <c r="AM63" s="193" t="str">
        <f t="shared" si="68"/>
        <v/>
      </c>
      <c r="AN63" s="189" t="str">
        <f t="shared" si="68"/>
        <v/>
      </c>
      <c r="AO63" s="162" t="str">
        <f t="shared" si="68"/>
        <v/>
      </c>
      <c r="AP63" s="163" t="str">
        <f t="shared" si="68"/>
        <v/>
      </c>
      <c r="AQ63" s="163" t="str">
        <f t="shared" si="68"/>
        <v/>
      </c>
      <c r="AR63" s="163" t="str">
        <f t="shared" si="68"/>
        <v/>
      </c>
      <c r="AS63" s="163" t="str">
        <f t="shared" si="68"/>
        <v/>
      </c>
      <c r="AT63" s="163" t="str">
        <f t="shared" si="68"/>
        <v/>
      </c>
      <c r="AU63" s="194" t="str">
        <f t="shared" si="68"/>
        <v/>
      </c>
      <c r="AV63" s="165" t="str">
        <f t="shared" si="68"/>
        <v/>
      </c>
    </row>
    <row r="64" spans="1:48" x14ac:dyDescent="0.25">
      <c r="A64" s="133" t="str">
        <f t="shared" ref="A64" si="69">+IF(C64+C65=0,"[ocultar]","")</f>
        <v>[ocultar]</v>
      </c>
      <c r="B64" s="202" t="s">
        <v>394</v>
      </c>
      <c r="C64" s="203">
        <f t="array" ref="C64">SUM(IF($B64=DATOS_[Sexo],
IF($B63=DATOS_[AGRUP. VALOR. PTO.],
IF("Dentro"=DATOS_[Check Periodo Ref.],
1/(COUNTIFS(DATOS_[Sexo],$B64,DATOS_[AGRUP. VALOR. PTO.],$B63,DATOS_[Check Periodo Ref.],"Dentro",DATOS_[id/cod],DATOS_[id/cod]))))))</f>
        <v>0</v>
      </c>
      <c r="D64" s="204">
        <f>COUNTIFS(DATOS_[AGRUP. VALOR. PTO.],$B63,DATOS_[Sexo],$B64,DATOS_[Check Periodo Ref.],"Dentro")</f>
        <v>0</v>
      </c>
      <c r="E64" s="204">
        <f>COUNTIFS(DATOS_[AGRUP. VALOR. PTO.],$B63,DATOS_[Sexo],$B64,DATOS_[Check Periodo Ref.],"Dentro",DATOS_[Check Nº SC Norm],"Sí")</f>
        <v>0</v>
      </c>
      <c r="F64" s="204">
        <f>COUNTIFS(DATOS_[AGRUP. VALOR. PTO.],$B63,DATOS_[Sexo],$B64,DATOS_[Check Periodo Ref.],"Dentro",DATOS_[Check Nº SC Anualiz],"Sí")</f>
        <v>0</v>
      </c>
      <c r="G64" s="204">
        <f>COUNTIFS(DATOS_[AGRUP. VALOR. PTO.],$B63,DATOS_[Sexo],$B64,DATOS_[Check Periodo Ref.],"Dentro",DATOS_[Check Nº SC Norm y Anualiz],"Sí")</f>
        <v>0</v>
      </c>
      <c r="H64" s="204">
        <f>COUNTIFS(DATOS_[AGRUP. VALOR. PTO.],$B63,DATOS_[Sexo],$B64,DATOS_[Check Periodo Ref.],"Dentro",DATOS_[Check Equiparación],"Sí")</f>
        <v>0</v>
      </c>
      <c r="I64" s="195">
        <f t="array" ref="I64">IFERROR(
AVERAGE(IF(DATOS_[Sexo]=$B64,IF(DATOS_[[AGRUP. VALOR. PTO.]:[AGRUP. VALOR. PTO.]]=$B63,IF(DATOS_[Check Equiparado]="Sí",IF(DATOS_[Check Periodo Ref.]="Dentro",DATOS_[SALARIO BASE Eq],FALSE))))),
0)</f>
        <v>0</v>
      </c>
      <c r="J64" s="196">
        <f t="array" ref="J64">IFERROR(
(AVERAGE((IF(DATOS_[[Sexo]:[Sexo]]=$B64,IF(DATOS_[[AGRUP. VALOR. PTO.]:[AGRUP. VALOR. PTO.]]=$B63,IF(DATOS_[[Check Periodo Ref.]:[Check Periodo Ref.]]="Dentro",IF(DATOS_[[Check Equiparado]:[Check Equiparado]]="Sí",IF(DATOS!AE$5="Sí",(1/DATOS_[[% anualiz]:[% anualiz]]),1)*IF(DATOS!AE$4="Sí",1/DATOS_[[% normaliz]:[% normaliz]],1)*(DATOS_[Conc.Sal.01])))))))),
0)</f>
        <v>0</v>
      </c>
      <c r="K64" s="196">
        <f t="array" ref="K64">IFERROR(
(AVERAGE((IF(DATOS_[[Sexo]:[Sexo]]=$B64,IF(DATOS_[[AGRUP. VALOR. PTO.]:[AGRUP. VALOR. PTO.]]=$B63,IF(DATOS_[[Check Periodo Ref.]:[Check Periodo Ref.]]="Dentro",IF(DATOS_[[Check Equiparado]:[Check Equiparado]]="Sí",IF(DATOS!AF$5="Sí",(1/DATOS_[[% anualiz]:[% anualiz]]),1)*IF(DATOS!AF$4="Sí",1/DATOS_[[% normaliz]:[% normaliz]],1)*(DATOS_[Conc.Sal.02])))))))),
0)</f>
        <v>0</v>
      </c>
      <c r="L64" s="196">
        <f t="array" ref="L64">IFERROR(
(AVERAGE((IF(DATOS_[[Sexo]:[Sexo]]=$B64,IF(DATOS_[[AGRUP. VALOR. PTO.]:[AGRUP. VALOR. PTO.]]=$B63,IF(DATOS_[[Check Periodo Ref.]:[Check Periodo Ref.]]="Dentro",IF(DATOS_[[Check Equiparado]:[Check Equiparado]]="Sí",IF(DATOS!AG$5="Sí",(1/DATOS_[[% anualiz]:[% anualiz]]),1)*IF(DATOS!AG$4="Sí",1/DATOS_[[% normaliz]:[% normaliz]],1)*(DATOS_[Conc.Sal.03])))))))),
0)</f>
        <v>0</v>
      </c>
      <c r="M64" s="196">
        <f t="array" ref="M64">IFERROR(
(AVERAGE((IF(DATOS_[[Sexo]:[Sexo]]=$B64,IF(DATOS_[[AGRUP. VALOR. PTO.]:[AGRUP. VALOR. PTO.]]=$B63,IF(DATOS_[[Check Periodo Ref.]:[Check Periodo Ref.]]="Dentro",IF(DATOS_[[Check Equiparado]:[Check Equiparado]]="Sí",IF(DATOS!AH$5="Sí",(1/DATOS_[[% anualiz]:[% anualiz]]),1)*IF(DATOS!AH$4="Sí",1/DATOS_[[% normaliz]:[% normaliz]],1)*(DATOS_[Conc.Sal.04])))))))),
0)</f>
        <v>0</v>
      </c>
      <c r="N64" s="196">
        <f t="array" ref="N64">IFERROR(
(AVERAGE((IF(DATOS_[[Sexo]:[Sexo]]=$B64,IF(DATOS_[[AGRUP. VALOR. PTO.]:[AGRUP. VALOR. PTO.]]=$B63,IF(DATOS_[[Check Periodo Ref.]:[Check Periodo Ref.]]="Dentro",IF(DATOS_[[Check Equiparado]:[Check Equiparado]]="Sí",IF(DATOS!AI$5="Sí",(1/DATOS_[[% anualiz]:[% anualiz]]),1)*IF(DATOS!AI$4="Sí",1/DATOS_[[% normaliz]:[% normaliz]],1)*(DATOS_[Conc.Sal.05])))))))),
0)</f>
        <v>0</v>
      </c>
      <c r="O64" s="196">
        <f t="array" ref="O64">IFERROR(
(AVERAGE((IF(DATOS_[[Sexo]:[Sexo]]=$B64,IF(DATOS_[[AGRUP. VALOR. PTO.]:[AGRUP. VALOR. PTO.]]=$B63,IF(DATOS_[[Check Periodo Ref.]:[Check Periodo Ref.]]="Dentro",IF(DATOS_[[Check Equiparado]:[Check Equiparado]]="Sí",IF(DATOS!AJ$5="Sí",(1/DATOS_[[% anualiz]:[% anualiz]]),1)*IF(DATOS!AJ$4="Sí",1/DATOS_[[% normaliz]:[% normaliz]],1)*(DATOS_[Conc.Sal.06])))))))),
0)</f>
        <v>0</v>
      </c>
      <c r="P64" s="196">
        <f t="array" ref="P64">IFERROR(
(AVERAGE((IF(DATOS_[[Sexo]:[Sexo]]=$B64,IF(DATOS_[[AGRUP. VALOR. PTO.]:[AGRUP. VALOR. PTO.]]=$B63,IF(DATOS_[[Check Periodo Ref.]:[Check Periodo Ref.]]="Dentro",IF(DATOS_[[Check Equiparado]:[Check Equiparado]]="Sí",IF(DATOS!AK$5="Sí",(1/DATOS_[[% anualiz]:[% anualiz]]),1)*IF(DATOS!AK$4="Sí",1/DATOS_[[% normaliz]:[% normaliz]],1)*(DATOS_[Conc.Sal.07])))))))),
0)</f>
        <v>0</v>
      </c>
      <c r="Q64" s="196">
        <f t="array" ref="Q64">IFERROR(
(AVERAGE((IF(DATOS_[[Sexo]:[Sexo]]=$B64,IF(DATOS_[[AGRUP. VALOR. PTO.]:[AGRUP. VALOR. PTO.]]=$B63,IF(DATOS_[[Check Periodo Ref.]:[Check Periodo Ref.]]="Dentro",IF(DATOS_[[Check Equiparado]:[Check Equiparado]]="Sí",IF(DATOS!AL$5="Sí",(1/DATOS_[[% anualiz]:[% anualiz]]),1)*IF(DATOS!AL$4="Sí",1/DATOS_[[% normaliz]:[% normaliz]],1)*(DATOS_[Conc.Sal.08])))))))),
0)</f>
        <v>0</v>
      </c>
      <c r="R64" s="196">
        <f t="array" ref="R64">IFERROR(
(AVERAGE((IF(DATOS_[[Sexo]:[Sexo]]=$B64,IF(DATOS_[[AGRUP. VALOR. PTO.]:[AGRUP. VALOR. PTO.]]=$B63,IF(DATOS_[[Check Periodo Ref.]:[Check Periodo Ref.]]="Dentro",IF(DATOS_[[Check Equiparado]:[Check Equiparado]]="Sí",IF(DATOS!AM$5="Sí",(1/DATOS_[[% anualiz]:[% anualiz]]),1)*IF(DATOS!AM$4="Sí",1/DATOS_[[% normaliz]:[% normaliz]],1)*(DATOS_[Conc.Sal.09])))))))),
0)</f>
        <v>0</v>
      </c>
      <c r="S64" s="196">
        <f t="array" ref="S64">IFERROR(
(AVERAGE((IF(DATOS_[[Sexo]:[Sexo]]=$B64,IF(DATOS_[[AGRUP. VALOR. PTO.]:[AGRUP. VALOR. PTO.]]=$B63,IF(DATOS_[[Check Periodo Ref.]:[Check Periodo Ref.]]="Dentro",IF(DATOS_[[Check Equiparado]:[Check Equiparado]]="Sí",IF(DATOS!AN$5="Sí",(1/DATOS_[[% anualiz]:[% anualiz]]),1)*IF(DATOS!AN$4="Sí",1/DATOS_[[% normaliz]:[% normaliz]],1)*(DATOS_[Conc.Sal.10])))))))),
0)</f>
        <v>0</v>
      </c>
      <c r="T64" s="196">
        <f t="array" ref="T64">IFERROR(
(AVERAGE((IF(DATOS_[[Sexo]:[Sexo]]=$B64,IF(DATOS_[[AGRUP. VALOR. PTO.]:[AGRUP. VALOR. PTO.]]=$B63,IF(DATOS_[[Check Periodo Ref.]:[Check Periodo Ref.]]="Dentro",IF(DATOS_[[Check Equiparado]:[Check Equiparado]]="Sí",IF(DATOS!AO$5="Sí",(1/DATOS_[[% anualiz]:[% anualiz]]),1)*IF(DATOS!AO$4="Sí",1/DATOS_[[% normaliz]:[% normaliz]],1)*(DATOS_[Conc.Sal.11])))))))),
0)</f>
        <v>0</v>
      </c>
      <c r="U64" s="196">
        <f t="array" ref="U64">IFERROR(
(AVERAGE((IF(DATOS_[[Sexo]:[Sexo]]=$B64,IF(DATOS_[[AGRUP. VALOR. PTO.]:[AGRUP. VALOR. PTO.]]=$B63,IF(DATOS_[[Check Periodo Ref.]:[Check Periodo Ref.]]="Dentro",IF(DATOS_[[Check Equiparado]:[Check Equiparado]]="Sí",IF(DATOS!AP$5="Sí",(1/DATOS_[[% anualiz]:[% anualiz]]),1)*IF(DATOS!AP$4="Sí",1/DATOS_[[% normaliz]:[% normaliz]],1)*(DATOS_[Conc.Sal.12])))))))),
0)</f>
        <v>0</v>
      </c>
      <c r="V64" s="196">
        <f t="array" ref="V64">IFERROR(
(AVERAGE((IF(DATOS_[[Sexo]:[Sexo]]=$B64,IF(DATOS_[[AGRUP. VALOR. PTO.]:[AGRUP. VALOR. PTO.]]=$B63,IF(DATOS_[[Check Periodo Ref.]:[Check Periodo Ref.]]="Dentro",IF(DATOS_[[Check Equiparado]:[Check Equiparado]]="Sí",IF(DATOS!AQ$5="Sí",(1/DATOS_[[% anualiz]:[% anualiz]]),1)*IF(DATOS!AQ$4="Sí",1/DATOS_[[% normaliz]:[% normaliz]],1)*(DATOS_[Conc.Sal.13])))))))),
0)</f>
        <v>0</v>
      </c>
      <c r="W64" s="196">
        <f t="array" ref="W64">IFERROR(
(AVERAGE((IF(DATOS_[[Sexo]:[Sexo]]=$B64,IF(DATOS_[[AGRUP. VALOR. PTO.]:[AGRUP. VALOR. PTO.]]=$B63,IF(DATOS_[[Check Periodo Ref.]:[Check Periodo Ref.]]="Dentro",IF(DATOS_[[Check Equiparado]:[Check Equiparado]]="Sí",IF(DATOS!AR$5="Sí",(1/DATOS_[[% anualiz]:[% anualiz]]),1)*IF(DATOS!AR$4="Sí",1/DATOS_[[% normaliz]:[% normaliz]],1)*(DATOS_[Conc.Sal.14])))))))),
0)</f>
        <v>0</v>
      </c>
      <c r="X64" s="196">
        <f t="array" ref="X64">IFERROR(
(AVERAGE((IF(DATOS_[[Sexo]:[Sexo]]=$B64,IF(DATOS_[[AGRUP. VALOR. PTO.]:[AGRUP. VALOR. PTO.]]=$B63,IF(DATOS_[[Check Periodo Ref.]:[Check Periodo Ref.]]="Dentro",IF(DATOS_[[Check Equiparado]:[Check Equiparado]]="Sí",IF(DATOS!AS$5="Sí",(1/DATOS_[[% anualiz]:[% anualiz]]),1)*IF(DATOS!AS$4="Sí",1/DATOS_[[% normaliz]:[% normaliz]],1)*(DATOS_[Conc.Sal.15])))))))),
0)</f>
        <v>0</v>
      </c>
      <c r="Y64" s="196">
        <f t="array" ref="Y64">IFERROR(
(AVERAGE((IF(DATOS_[[Sexo]:[Sexo]]=$B64,IF(DATOS_[[AGRUP. VALOR. PTO.]:[AGRUP. VALOR. PTO.]]=$B63,IF(DATOS_[[Check Periodo Ref.]:[Check Periodo Ref.]]="Dentro",IF(DATOS_[[Check Equiparado]:[Check Equiparado]]="Sí",IF(DATOS!AT$5="Sí",(1/DATOS_[[% anualiz]:[% anualiz]]),1)*IF(DATOS!AT$4="Sí",1/DATOS_[[% normaliz]:[% normaliz]],1)*(DATOS_[Conc.Sal.16])))))))),
0)</f>
        <v>0</v>
      </c>
      <c r="Z64" s="196">
        <f t="array" ref="Z64">IFERROR(
(AVERAGE((IF(DATOS_[[Sexo]:[Sexo]]=$B64,IF(DATOS_[[AGRUP. VALOR. PTO.]:[AGRUP. VALOR. PTO.]]=$B63,IF(DATOS_[[Check Periodo Ref.]:[Check Periodo Ref.]]="Dentro",IF(DATOS_[[Check Equiparado]:[Check Equiparado]]="Sí",IF(DATOS!AU$5="Sí",(1/DATOS_[[% anualiz]:[% anualiz]]),1)*IF(DATOS!AU$4="Sí",1/DATOS_[[% normaliz]:[% normaliz]],1)*(DATOS_[Conc.Sal.17])))))))),
0)</f>
        <v>0</v>
      </c>
      <c r="AA64" s="196">
        <f t="array" ref="AA64">IFERROR(
(AVERAGE((IF(DATOS_[[Sexo]:[Sexo]]=$B64,IF(DATOS_[[AGRUP. VALOR. PTO.]:[AGRUP. VALOR. PTO.]]=$B63,IF(DATOS_[[Check Periodo Ref.]:[Check Periodo Ref.]]="Dentro",IF(DATOS_[[Check Equiparado]:[Check Equiparado]]="Sí",IF(DATOS!AV$5="Sí",(1/DATOS_[[% anualiz]:[% anualiz]]),1)*IF(DATOS!AV$4="Sí",1/DATOS_[[% normaliz]:[% normaliz]],1)*(DATOS_[Conc.Sal.18])))))))),
0)</f>
        <v>0</v>
      </c>
      <c r="AB64" s="196">
        <f t="array" ref="AB64">IFERROR(
(AVERAGE((IF(DATOS_[[Sexo]:[Sexo]]=$B64,IF(DATOS_[[AGRUP. VALOR. PTO.]:[AGRUP. VALOR. PTO.]]=$B63,IF(DATOS_[[Check Periodo Ref.]:[Check Periodo Ref.]]="Dentro",IF(DATOS_[[Check Equiparado]:[Check Equiparado]]="Sí",IF(DATOS!AW$5="Sí",(1/DATOS_[[% anualiz]:[% anualiz]]),1)*IF(DATOS!AW$4="Sí",1/DATOS_[[% normaliz]:[% normaliz]],1)*(DATOS_[Conc.Sal.19])))))))),
0)</f>
        <v>0</v>
      </c>
      <c r="AC64" s="196">
        <f t="array" ref="AC64">IFERROR(
(AVERAGE((IF(DATOS_[[Sexo]:[Sexo]]=$B64,IF(DATOS_[[AGRUP. VALOR. PTO.]:[AGRUP. VALOR. PTO.]]=$B63,IF(DATOS_[[Check Periodo Ref.]:[Check Periodo Ref.]]="Dentro",IF(DATOS_[[Check Equiparado]:[Check Equiparado]]="Sí",IF(DATOS!AX$5="Sí",(1/DATOS_[[% anualiz]:[% anualiz]]),1)*IF(DATOS!AX$4="Sí",1/DATOS_[[% normaliz]:[% normaliz]],1)*(DATOS_[Conc.Sal.20])))))))),
0)</f>
        <v>0</v>
      </c>
      <c r="AD64" s="196">
        <f t="array" ref="AD64">IFERROR(
(AVERAGE((IF(DATOS_[[Sexo]:[Sexo]]=$B64,IF(DATOS_[[AGRUP. VALOR. PTO.]:[AGRUP. VALOR. PTO.]]=$B63,IF(DATOS_[[Check Periodo Ref.]:[Check Periodo Ref.]]="Dentro",IF(DATOS_[[Check Equiparado]:[Check Equiparado]]="Sí",IF(DATOS!AY$5="Sí",(1/DATOS_[[% anualiz]:[% anualiz]]),1)*IF(DATOS!AY$4="Sí",1/DATOS_[[% normaliz]:[% normaliz]],1)*(DATOS_[Conc.Sal.21])))))))),
0)</f>
        <v>0</v>
      </c>
      <c r="AE64" s="196">
        <f t="array" ref="AE64">IFERROR(
(AVERAGE((IF(DATOS_[[Sexo]:[Sexo]]=$B64,IF(DATOS_[[AGRUP. VALOR. PTO.]:[AGRUP. VALOR. PTO.]]=$B63,IF(DATOS_[[Check Periodo Ref.]:[Check Periodo Ref.]]="Dentro",IF(DATOS_[[Check Equiparado]:[Check Equiparado]]="Sí",IF(DATOS!AZ$5="Sí",(1/DATOS_[[% anualiz]:[% anualiz]]),1)*IF(DATOS!AZ$4="Sí",1/DATOS_[[% normaliz]:[% normaliz]],1)*(DATOS_[Conc.Sal.22])))))))),
0)</f>
        <v>0</v>
      </c>
      <c r="AF64" s="196">
        <f t="array" ref="AF64">IFERROR(
(AVERAGE((IF(DATOS_[[Sexo]:[Sexo]]=$B64,IF(DATOS_[[AGRUP. VALOR. PTO.]:[AGRUP. VALOR. PTO.]]=$B63,IF(DATOS_[[Check Periodo Ref.]:[Check Periodo Ref.]]="Dentro",IF(DATOS_[[Check Equiparado]:[Check Equiparado]]="Sí",IF(DATOS!BA$5="Sí",(1/DATOS_[[% anualiz]:[% anualiz]]),1)*IF(DATOS!BA$4="Sí",1/DATOS_[[% normaliz]:[% normaliz]],1)*(DATOS_[Conc.Sal.23])))))))),
0)</f>
        <v>0</v>
      </c>
      <c r="AG64" s="196">
        <f t="array" ref="AG64">IFERROR(
(AVERAGE((IF(DATOS_[[Sexo]:[Sexo]]=$B64,IF(DATOS_[[AGRUP. VALOR. PTO.]:[AGRUP. VALOR. PTO.]]=$B63,IF(DATOS_[[Check Periodo Ref.]:[Check Periodo Ref.]]="Dentro",IF(DATOS_[[Check Equiparado]:[Check Equiparado]]="Sí",IF(DATOS!BB$5="Sí",(1/DATOS_[[% anualiz]:[% anualiz]]),1)*IF(DATOS!BB$4="Sí",1/DATOS_[[% normaliz]:[% normaliz]],1)*(DATOS_[Conc.Sal.24])))))))),
0)</f>
        <v>0</v>
      </c>
      <c r="AH64" s="196">
        <f t="array" ref="AH64">IFERROR(
(AVERAGE((IF(DATOS_[[Sexo]:[Sexo]]=$B64,IF(DATOS_[[AGRUP. VALOR. PTO.]:[AGRUP. VALOR. PTO.]]=$B63,IF(DATOS_[[Check Periodo Ref.]:[Check Periodo Ref.]]="Dentro",IF(DATOS_[[Check Equiparado]:[Check Equiparado]]="Sí",IF(DATOS!BC$5="Sí",(1/DATOS_[[% anualiz]:[% anualiz]]),1)*IF(DATOS!BC$4="Sí",1/DATOS_[[% normaliz]:[% normaliz]],1)*(DATOS_[Conc.Sal.25])))))))),
0)</f>
        <v>0</v>
      </c>
      <c r="AI64" s="196">
        <f t="array" ref="AI64">IFERROR(
(AVERAGE((IF(DATOS_[[Sexo]:[Sexo]]=$B64,IF(DATOS_[[AGRUP. VALOR. PTO.]:[AGRUP. VALOR. PTO.]]=$B63,IF(DATOS_[[Check Periodo Ref.]:[Check Periodo Ref.]]="Dentro",IF(DATOS_[[Check Equiparado]:[Check Equiparado]]="Sí",IF(DATOS!BD$5="Sí",(1/DATOS_[[% anualiz]:[% anualiz]]),1)*IF(DATOS!BD$4="Sí",1/DATOS_[[% normaliz]:[% normaliz]],1)*(DATOS_[Conc.Sal.26])))))))),
0)</f>
        <v>0</v>
      </c>
      <c r="AJ64" s="196">
        <f t="array" ref="AJ64">IFERROR(
(AVERAGE((IF(DATOS_[[Sexo]:[Sexo]]=$B64,IF(DATOS_[[AGRUP. VALOR. PTO.]:[AGRUP. VALOR. PTO.]]=$B63,IF(DATOS_[[Check Periodo Ref.]:[Check Periodo Ref.]]="Dentro",IF(DATOS_[[Check Equiparado]:[Check Equiparado]]="Sí",IF(DATOS!BE$5="Sí",(1/DATOS_[[% anualiz]:[% anualiz]]),1)*IF(DATOS!BE$4="Sí",1/DATOS_[[% normaliz]:[% normaliz]],1)*(DATOS_[Conc.Sal.27])))))))),
0)</f>
        <v>0</v>
      </c>
      <c r="AK64" s="196">
        <f t="array" ref="AK64">IFERROR(
(AVERAGE((IF(DATOS_[[Sexo]:[Sexo]]=$B64,IF(DATOS_[[AGRUP. VALOR. PTO.]:[AGRUP. VALOR. PTO.]]=$B63,IF(DATOS_[[Check Periodo Ref.]:[Check Periodo Ref.]]="Dentro",IF(DATOS_[[Check Equiparado]:[Check Equiparado]]="Sí",IF(DATOS!BF$5="Sí",(1/DATOS_[[% anualiz]:[% anualiz]]),1)*IF(DATOS!BF$4="Sí",1/DATOS_[[% normaliz]:[% normaliz]],1)*(DATOS_[Conc.Sal.28])))))))),
0)</f>
        <v>0</v>
      </c>
      <c r="AL64" s="196">
        <f t="array" ref="AL64">IFERROR(
(AVERAGE((IF(DATOS_[[Sexo]:[Sexo]]=$B64,IF(DATOS_[[AGRUP. VALOR. PTO.]:[AGRUP. VALOR. PTO.]]=$B63,IF(DATOS_[[Check Periodo Ref.]:[Check Periodo Ref.]]="Dentro",IF(DATOS_[[Check Equiparado]:[Check Equiparado]]="Sí",IF(DATOS!BG$5="Sí",(1/DATOS_[[% anualiz]:[% anualiz]]),1)*IF(DATOS!BG$4="Sí",1/DATOS_[[% normaliz]:[% normaliz]],1)*(DATOS_[Conc.Sal.29])))))))),
0)</f>
        <v>0</v>
      </c>
      <c r="AM64" s="196">
        <f t="array" ref="AM64">IFERROR(
(AVERAGE((IF(DATOS_[[Sexo]:[Sexo]]=$B64,IF(DATOS_[[AGRUP. VALOR. PTO.]:[AGRUP. VALOR. PTO.]]=$B63,IF(DATOS_[[Check Periodo Ref.]:[Check Periodo Ref.]]="Dentro",IF(DATOS_[[Check Equiparado]:[Check Equiparado]]="Sí",IF(DATOS!BH$5="Sí",(1/DATOS_[[% anualiz]:[% anualiz]]),1)*IF(DATOS!BH$4="Sí",1/DATOS_[[% normaliz]:[% normaliz]],1)*(DATOS_[Conc.Sal.30])))))))),
0)</f>
        <v>0</v>
      </c>
      <c r="AN64" s="195">
        <f t="array" ref="AN64">IFERROR(
AVERAGE(IF(DATOS_[Sexo]=$B64,IF(DATOS_[[AGRUP. VALOR. PTO.]:[AGRUP. VALOR. PTO.]]=$B63,IF(DATOS_[Check Equiparado]="Sí",IF(DATOS_[Check Periodo Ref.]="Dentro",DATOS_[Tot COMPL.SAL Eq],FALSE))))),
0)</f>
        <v>0</v>
      </c>
      <c r="AO64" s="172">
        <f t="array" ref="AO64">IFERROR(
AVERAGE(IF(DATOS_[Sexo]=$B64,IF(DATOS_[[AGRUP. VALOR. PTO.]:[AGRUP. VALOR. PTO.]]=$B63,IF(DATOS_[Check Equiparado]="Sí",IF(DATOS_[Check Periodo Ref.]="Dentro",DATOS_[TOTAL SALARIO Eq],FALSE))))),
0)</f>
        <v>0</v>
      </c>
      <c r="AP64" s="173">
        <f t="array" ref="AP64">IFERROR(
(AVERAGE((IF(DATOS_[[Sexo]:[Sexo]]=$B64,IF(DATOS_[[AGRUP. VALOR. PTO.]:[AGRUP. VALOR. PTO.]]=$B63,IF(DATOS_[[Check Periodo Ref.]:[Check Periodo Ref.]]="Dentro",IF(DATOS_[[Check Equiparado]:[Check Equiparado]]="Sí",IF(DATOS!BW$5="Sí",(1/DATOS_[[% anualiz]:[% anualiz]]),1)*IF(DATOS!BW$4="Sí",1/DATOS_[[% normaliz]:[% normaliz]],1)*(DATOS_[C.Extra.01])))))))),
0)</f>
        <v>0</v>
      </c>
      <c r="AQ64" s="173">
        <f t="array" ref="AQ64">IFERROR(
(AVERAGE((IF(DATOS_[[Sexo]:[Sexo]]=$B64,IF(DATOS_[[AGRUP. VALOR. PTO.]:[AGRUP. VALOR. PTO.]]=$B63,IF(DATOS_[[Check Periodo Ref.]:[Check Periodo Ref.]]="Dentro",IF(DATOS_[[Check Equiparado]:[Check Equiparado]]="Sí",IF(DATOS!CB$5="Sí",(1/DATOS_[[% anualiz]:[% anualiz]]),1)*IF(DATOS!CB$4="Sí",1/DATOS_[[% normaliz]:[% normaliz]],1)*(DATOS_[C.Extra.06])))))))),
0)</f>
        <v>0</v>
      </c>
      <c r="AR64" s="173">
        <f t="array" ref="AR64">IFERROR(
(AVERAGE((IF(DATOS_[[Sexo]:[Sexo]]=$B64,IF(DATOS_[[AGRUP. VALOR. PTO.]:[AGRUP. VALOR. PTO.]]=$B63,IF(DATOS_[[Check Periodo Ref.]:[Check Periodo Ref.]]="Dentro",IF(DATOS_[[Check Equiparado]:[Check Equiparado]]="Sí",IF(DATOS!CC$5="Sí",(1/DATOS_[[% anualiz]:[% anualiz]]),1)*IF(DATOS!CC$4="Sí",1/DATOS_[[% normaliz]:[% normaliz]],1)*(DATOS_[C.Extra.07])))))))),
0)</f>
        <v>0</v>
      </c>
      <c r="AS64" s="173">
        <f t="array" ref="AS64">IFERROR(
(AVERAGE((IF(DATOS_[[Sexo]:[Sexo]]=$B64,IF(DATOS_[[AGRUP. VALOR. PTO.]:[AGRUP. VALOR. PTO.]]=$B63,IF(DATOS_[[Check Periodo Ref.]:[Check Periodo Ref.]]="Dentro",IF(DATOS_[[Check Equiparado]:[Check Equiparado]]="Sí",IF(DATOS!CD$5="Sí",(1/DATOS_[[% anualiz]:[% anualiz]]),1)*IF(DATOS!CD$4="Sí",1/DATOS_[[% normaliz]:[% normaliz]],1)*(DATOS_[C.Extra.08])))))))),
0)</f>
        <v>0</v>
      </c>
      <c r="AT64" s="173">
        <f t="array" ref="AT64">IFERROR(
(AVERAGE((IF(DATOS_[[Sexo]:[Sexo]]=$B64,IF(DATOS_[[AGRUP. VALOR. PTO.]:[AGRUP. VALOR. PTO.]]=$B63,IF(DATOS_[[Check Periodo Ref.]:[Check Periodo Ref.]]="Dentro",IF(DATOS_[[Check Equiparado]:[Check Equiparado]]="Sí",IF(DATOS!CG$5="Sí",(1/DATOS_[[% anualiz]:[% anualiz]]),1)*IF(DATOS!CG$4="Sí",1/DATOS_[[% normaliz]:[% normaliz]],1)*(DATOS_[C.Extra.11])))))))),
0)</f>
        <v>0</v>
      </c>
      <c r="AU64" s="197">
        <f t="array" ref="AU64">IFERROR(
AVERAGE(IF(DATOS_[Sexo]=$B64,IF(DATOS_[[AGRUP. VALOR. PTO.]:[AGRUP. VALOR. PTO.]]=$B63,IF(DATOS_[Check Equiparado]="Sí",IF(DATOS_[Check Periodo Ref.]="Dentro",DATOS_[Tot Extrasalarial Eq],FALSE))))),
0)</f>
        <v>0</v>
      </c>
      <c r="AV64" s="175">
        <f t="array" ref="AV64">IFERROR(
AVERAGE(IF(DATOS_[Sexo]=$B64,IF(DATOS_[[AGRUP. VALOR. PTO.]:[AGRUP. VALOR. PTO.]]=$B63,IF(DATOS_[Check Equiparado]="Sí",IF(DATOS_[Check Periodo Ref.]="Dentro",DATOS_[TOTAL Retrib Eq],FALSE))))),
0)</f>
        <v>0</v>
      </c>
    </row>
    <row r="65" spans="1:48" x14ac:dyDescent="0.25">
      <c r="A65" s="133" t="str">
        <f t="shared" ref="A65" si="70">+A64</f>
        <v>[ocultar]</v>
      </c>
      <c r="B65" s="202" t="s">
        <v>521</v>
      </c>
      <c r="C65" s="203">
        <f t="array" ref="C65">SUM(IF($B65=DATOS_[Sexo],
IF($B63=DATOS_[AGRUP. VALOR. PTO.],
IF("Dentro"=DATOS_[Check Periodo Ref.],
1/(COUNTIFS(DATOS_[Sexo],$B65,DATOS_[AGRUP. VALOR. PTO.],$B63,DATOS_[Check Periodo Ref.],"Dentro",DATOS_[id/cod],DATOS_[id/cod]))))))</f>
        <v>0</v>
      </c>
      <c r="D65" s="204">
        <f>COUNTIFS(DATOS_[AGRUP. VALOR. PTO.],$B63,DATOS_[Sexo],$B65,DATOS_[Check Periodo Ref.],"Dentro")</f>
        <v>0</v>
      </c>
      <c r="E65" s="204">
        <f>COUNTIFS(DATOS_[AGRUP. VALOR. PTO.],$B63,DATOS_[Sexo],$B65,DATOS_[Check Periodo Ref.],"Dentro",DATOS_[Check Nº SC Norm],"Sí")</f>
        <v>0</v>
      </c>
      <c r="F65" s="204">
        <f>COUNTIFS(DATOS_[AGRUP. VALOR. PTO.],$B63,DATOS_[Sexo],$B65,DATOS_[Check Periodo Ref.],"Dentro",DATOS_[Check Nº SC Anualiz],"Sí")</f>
        <v>0</v>
      </c>
      <c r="G65" s="204">
        <f>COUNTIFS(DATOS_[AGRUP. VALOR. PTO.],$B63,DATOS_[Sexo],$B65,DATOS_[Check Periodo Ref.],"Dentro",DATOS_[Check Nº SC Norm y Anualiz],"Sí")</f>
        <v>0</v>
      </c>
      <c r="H65" s="204">
        <f>COUNTIFS(DATOS_[AGRUP. VALOR. PTO.],$B63,DATOS_[Sexo],$B65,DATOS_[Check Periodo Ref.],"Dentro",DATOS_[Check Equiparación],"Sí")</f>
        <v>0</v>
      </c>
      <c r="I65" s="195" cm="1">
        <f t="array" ref="I65">IFERROR(
AVERAGE(IF(DATOS_[Sexo]=$B65,IF(DATOS_[[AGRUP. VALOR. PTO.]:[AGRUP. VALOR. PTO.]]=$B63,IF(DATOS_[Check Equiparado]="Sí",IF(DATOS_[Check Periodo Ref.]="Dentro",DATOS_[SALARIO BASE Eq],FALSE))))),
0)</f>
        <v>0</v>
      </c>
      <c r="J65" s="196">
        <f t="array" ref="J65">IFERROR(
(AVERAGE((IF(DATOS_[[Sexo]:[Sexo]]=$B65,IF(DATOS_[[AGRUP. VALOR. PTO.]:[AGRUP. VALOR. PTO.]]=$B63,IF(DATOS_[[Check Periodo Ref.]:[Check Periodo Ref.]]="Dentro",IF(DATOS_[[Check Equiparado]:[Check Equiparado]]="Sí",IF(DATOS!AE$5="Sí",(1/DATOS_[[% anualiz]:[% anualiz]]),1)*IF(DATOS!AE$4="Sí",1/DATOS_[[% normaliz]:[% normaliz]],1)*(DATOS_[Conc.Sal.01])))))))),
0)</f>
        <v>0</v>
      </c>
      <c r="K65" s="196">
        <f t="array" ref="K65">IFERROR(
(AVERAGE((IF(DATOS_[[Sexo]:[Sexo]]=$B65,IF(DATOS_[[AGRUP. VALOR. PTO.]:[AGRUP. VALOR. PTO.]]=$B63,IF(DATOS_[[Check Periodo Ref.]:[Check Periodo Ref.]]="Dentro",IF(DATOS_[[Check Equiparado]:[Check Equiparado]]="Sí",IF(DATOS!AF$5="Sí",(1/DATOS_[[% anualiz]:[% anualiz]]),1)*IF(DATOS!AF$4="Sí",1/DATOS_[[% normaliz]:[% normaliz]],1)*(DATOS_[Conc.Sal.02])))))))),
0)</f>
        <v>0</v>
      </c>
      <c r="L65" s="196">
        <f t="array" ref="L65">IFERROR(
(AVERAGE((IF(DATOS_[[Sexo]:[Sexo]]=$B65,IF(DATOS_[[AGRUP. VALOR. PTO.]:[AGRUP. VALOR. PTO.]]=$B63,IF(DATOS_[[Check Periodo Ref.]:[Check Periodo Ref.]]="Dentro",IF(DATOS_[[Check Equiparado]:[Check Equiparado]]="Sí",IF(DATOS!AG$5="Sí",(1/DATOS_[[% anualiz]:[% anualiz]]),1)*IF(DATOS!AG$4="Sí",1/DATOS_[[% normaliz]:[% normaliz]],1)*(DATOS_[Conc.Sal.03])))))))),
0)</f>
        <v>0</v>
      </c>
      <c r="M65" s="196">
        <f t="array" ref="M65">IFERROR(
(AVERAGE((IF(DATOS_[[Sexo]:[Sexo]]=$B65,IF(DATOS_[[AGRUP. VALOR. PTO.]:[AGRUP. VALOR. PTO.]]=$B63,IF(DATOS_[[Check Periodo Ref.]:[Check Periodo Ref.]]="Dentro",IF(DATOS_[[Check Equiparado]:[Check Equiparado]]="Sí",IF(DATOS!AH$5="Sí",(1/DATOS_[[% anualiz]:[% anualiz]]),1)*IF(DATOS!AH$4="Sí",1/DATOS_[[% normaliz]:[% normaliz]],1)*(DATOS_[Conc.Sal.04])))))))),
0)</f>
        <v>0</v>
      </c>
      <c r="N65" s="196">
        <f t="array" ref="N65">IFERROR(
(AVERAGE((IF(DATOS_[[Sexo]:[Sexo]]=$B65,IF(DATOS_[[AGRUP. VALOR. PTO.]:[AGRUP. VALOR. PTO.]]=$B63,IF(DATOS_[[Check Periodo Ref.]:[Check Periodo Ref.]]="Dentro",IF(DATOS_[[Check Equiparado]:[Check Equiparado]]="Sí",IF(DATOS!AI$5="Sí",(1/DATOS_[[% anualiz]:[% anualiz]]),1)*IF(DATOS!AI$4="Sí",1/DATOS_[[% normaliz]:[% normaliz]],1)*(DATOS_[Conc.Sal.05])))))))),
0)</f>
        <v>0</v>
      </c>
      <c r="O65" s="196">
        <f t="array" ref="O65">IFERROR(
(AVERAGE((IF(DATOS_[[Sexo]:[Sexo]]=$B65,IF(DATOS_[[AGRUP. VALOR. PTO.]:[AGRUP. VALOR. PTO.]]=$B63,IF(DATOS_[[Check Periodo Ref.]:[Check Periodo Ref.]]="Dentro",IF(DATOS_[[Check Equiparado]:[Check Equiparado]]="Sí",IF(DATOS!AJ$5="Sí",(1/DATOS_[[% anualiz]:[% anualiz]]),1)*IF(DATOS!AJ$4="Sí",1/DATOS_[[% normaliz]:[% normaliz]],1)*(DATOS_[Conc.Sal.06])))))))),
0)</f>
        <v>0</v>
      </c>
      <c r="P65" s="196">
        <f t="array" ref="P65">IFERROR(
(AVERAGE((IF(DATOS_[[Sexo]:[Sexo]]=$B65,IF(DATOS_[[AGRUP. VALOR. PTO.]:[AGRUP. VALOR. PTO.]]=$B63,IF(DATOS_[[Check Periodo Ref.]:[Check Periodo Ref.]]="Dentro",IF(DATOS_[[Check Equiparado]:[Check Equiparado]]="Sí",IF(DATOS!AK$5="Sí",(1/DATOS_[[% anualiz]:[% anualiz]]),1)*IF(DATOS!AK$4="Sí",1/DATOS_[[% normaliz]:[% normaliz]],1)*(DATOS_[Conc.Sal.07])))))))),
0)</f>
        <v>0</v>
      </c>
      <c r="Q65" s="196">
        <f t="array" ref="Q65">IFERROR(
(AVERAGE((IF(DATOS_[[Sexo]:[Sexo]]=$B65,IF(DATOS_[[AGRUP. VALOR. PTO.]:[AGRUP. VALOR. PTO.]]=$B63,IF(DATOS_[[Check Periodo Ref.]:[Check Periodo Ref.]]="Dentro",IF(DATOS_[[Check Equiparado]:[Check Equiparado]]="Sí",IF(DATOS!AL$5="Sí",(1/DATOS_[[% anualiz]:[% anualiz]]),1)*IF(DATOS!AL$4="Sí",1/DATOS_[[% normaliz]:[% normaliz]],1)*(DATOS_[Conc.Sal.08])))))))),
0)</f>
        <v>0</v>
      </c>
      <c r="R65" s="196">
        <f t="array" ref="R65">IFERROR(
(AVERAGE((IF(DATOS_[[Sexo]:[Sexo]]=$B65,IF(DATOS_[[AGRUP. VALOR. PTO.]:[AGRUP. VALOR. PTO.]]=$B63,IF(DATOS_[[Check Periodo Ref.]:[Check Periodo Ref.]]="Dentro",IF(DATOS_[[Check Equiparado]:[Check Equiparado]]="Sí",IF(DATOS!AM$5="Sí",(1/DATOS_[[% anualiz]:[% anualiz]]),1)*IF(DATOS!AM$4="Sí",1/DATOS_[[% normaliz]:[% normaliz]],1)*(DATOS_[Conc.Sal.09])))))))),
0)</f>
        <v>0</v>
      </c>
      <c r="S65" s="196">
        <f t="array" ref="S65">IFERROR(
(AVERAGE((IF(DATOS_[[Sexo]:[Sexo]]=$B65,IF(DATOS_[[AGRUP. VALOR. PTO.]:[AGRUP. VALOR. PTO.]]=$B63,IF(DATOS_[[Check Periodo Ref.]:[Check Periodo Ref.]]="Dentro",IF(DATOS_[[Check Equiparado]:[Check Equiparado]]="Sí",IF(DATOS!AN$5="Sí",(1/DATOS_[[% anualiz]:[% anualiz]]),1)*IF(DATOS!AN$4="Sí",1/DATOS_[[% normaliz]:[% normaliz]],1)*(DATOS_[Conc.Sal.10])))))))),
0)</f>
        <v>0</v>
      </c>
      <c r="T65" s="196">
        <f t="array" ref="T65">IFERROR(
(AVERAGE((IF(DATOS_[[Sexo]:[Sexo]]=$B65,IF(DATOS_[[AGRUP. VALOR. PTO.]:[AGRUP. VALOR. PTO.]]=$B63,IF(DATOS_[[Check Periodo Ref.]:[Check Periodo Ref.]]="Dentro",IF(DATOS_[[Check Equiparado]:[Check Equiparado]]="Sí",IF(DATOS!AO$5="Sí",(1/DATOS_[[% anualiz]:[% anualiz]]),1)*IF(DATOS!AO$4="Sí",1/DATOS_[[% normaliz]:[% normaliz]],1)*(DATOS_[Conc.Sal.11])))))))),
0)</f>
        <v>0</v>
      </c>
      <c r="U65" s="196">
        <f t="array" ref="U65">IFERROR(
(AVERAGE((IF(DATOS_[[Sexo]:[Sexo]]=$B65,IF(DATOS_[[AGRUP. VALOR. PTO.]:[AGRUP. VALOR. PTO.]]=$B63,IF(DATOS_[[Check Periodo Ref.]:[Check Periodo Ref.]]="Dentro",IF(DATOS_[[Check Equiparado]:[Check Equiparado]]="Sí",IF(DATOS!AP$5="Sí",(1/DATOS_[[% anualiz]:[% anualiz]]),1)*IF(DATOS!AP$4="Sí",1/DATOS_[[% normaliz]:[% normaliz]],1)*(DATOS_[Conc.Sal.12])))))))),
0)</f>
        <v>0</v>
      </c>
      <c r="V65" s="196">
        <f t="array" ref="V65">IFERROR(
(AVERAGE((IF(DATOS_[[Sexo]:[Sexo]]=$B65,IF(DATOS_[[AGRUP. VALOR. PTO.]:[AGRUP. VALOR. PTO.]]=$B63,IF(DATOS_[[Check Periodo Ref.]:[Check Periodo Ref.]]="Dentro",IF(DATOS_[[Check Equiparado]:[Check Equiparado]]="Sí",IF(DATOS!AQ$5="Sí",(1/DATOS_[[% anualiz]:[% anualiz]]),1)*IF(DATOS!AQ$4="Sí",1/DATOS_[[% normaliz]:[% normaliz]],1)*(DATOS_[Conc.Sal.13])))))))),
0)</f>
        <v>0</v>
      </c>
      <c r="W65" s="196">
        <f t="array" ref="W65">IFERROR(
(AVERAGE((IF(DATOS_[[Sexo]:[Sexo]]=$B65,IF(DATOS_[[AGRUP. VALOR. PTO.]:[AGRUP. VALOR. PTO.]]=$B63,IF(DATOS_[[Check Periodo Ref.]:[Check Periodo Ref.]]="Dentro",IF(DATOS_[[Check Equiparado]:[Check Equiparado]]="Sí",IF(DATOS!AR$5="Sí",(1/DATOS_[[% anualiz]:[% anualiz]]),1)*IF(DATOS!AR$4="Sí",1/DATOS_[[% normaliz]:[% normaliz]],1)*(DATOS_[Conc.Sal.14])))))))),
0)</f>
        <v>0</v>
      </c>
      <c r="X65" s="196">
        <f t="array" ref="X65">IFERROR(
(AVERAGE((IF(DATOS_[[Sexo]:[Sexo]]=$B65,IF(DATOS_[[AGRUP. VALOR. PTO.]:[AGRUP. VALOR. PTO.]]=$B63,IF(DATOS_[[Check Periodo Ref.]:[Check Periodo Ref.]]="Dentro",IF(DATOS_[[Check Equiparado]:[Check Equiparado]]="Sí",IF(DATOS!AS$5="Sí",(1/DATOS_[[% anualiz]:[% anualiz]]),1)*IF(DATOS!AS$4="Sí",1/DATOS_[[% normaliz]:[% normaliz]],1)*(DATOS_[Conc.Sal.15])))))))),
0)</f>
        <v>0</v>
      </c>
      <c r="Y65" s="196">
        <f t="array" ref="Y65">IFERROR(
(AVERAGE((IF(DATOS_[[Sexo]:[Sexo]]=$B65,IF(DATOS_[[AGRUP. VALOR. PTO.]:[AGRUP. VALOR. PTO.]]=$B63,IF(DATOS_[[Check Periodo Ref.]:[Check Periodo Ref.]]="Dentro",IF(DATOS_[[Check Equiparado]:[Check Equiparado]]="Sí",IF(DATOS!AT$5="Sí",(1/DATOS_[[% anualiz]:[% anualiz]]),1)*IF(DATOS!AT$4="Sí",1/DATOS_[[% normaliz]:[% normaliz]],1)*(DATOS_[Conc.Sal.16])))))))),
0)</f>
        <v>0</v>
      </c>
      <c r="Z65" s="196">
        <f t="array" ref="Z65">IFERROR(
(AVERAGE((IF(DATOS_[[Sexo]:[Sexo]]=$B65,IF(DATOS_[[AGRUP. VALOR. PTO.]:[AGRUP. VALOR. PTO.]]=$B63,IF(DATOS_[[Check Periodo Ref.]:[Check Periodo Ref.]]="Dentro",IF(DATOS_[[Check Equiparado]:[Check Equiparado]]="Sí",IF(DATOS!AU$5="Sí",(1/DATOS_[[% anualiz]:[% anualiz]]),1)*IF(DATOS!AU$4="Sí",1/DATOS_[[% normaliz]:[% normaliz]],1)*(DATOS_[Conc.Sal.17])))))))),
0)</f>
        <v>0</v>
      </c>
      <c r="AA65" s="196">
        <f t="array" ref="AA65">IFERROR(
(AVERAGE((IF(DATOS_[[Sexo]:[Sexo]]=$B65,IF(DATOS_[[AGRUP. VALOR. PTO.]:[AGRUP. VALOR. PTO.]]=$B63,IF(DATOS_[[Check Periodo Ref.]:[Check Periodo Ref.]]="Dentro",IF(DATOS_[[Check Equiparado]:[Check Equiparado]]="Sí",IF(DATOS!AV$5="Sí",(1/DATOS_[[% anualiz]:[% anualiz]]),1)*IF(DATOS!AV$4="Sí",1/DATOS_[[% normaliz]:[% normaliz]],1)*(DATOS_[Conc.Sal.18])))))))),
0)</f>
        <v>0</v>
      </c>
      <c r="AB65" s="196">
        <f t="array" ref="AB65">IFERROR(
(AVERAGE((IF(DATOS_[[Sexo]:[Sexo]]=$B65,IF(DATOS_[[AGRUP. VALOR. PTO.]:[AGRUP. VALOR. PTO.]]=$B63,IF(DATOS_[[Check Periodo Ref.]:[Check Periodo Ref.]]="Dentro",IF(DATOS_[[Check Equiparado]:[Check Equiparado]]="Sí",IF(DATOS!AW$5="Sí",(1/DATOS_[[% anualiz]:[% anualiz]]),1)*IF(DATOS!AW$4="Sí",1/DATOS_[[% normaliz]:[% normaliz]],1)*(DATOS_[Conc.Sal.19])))))))),
0)</f>
        <v>0</v>
      </c>
      <c r="AC65" s="196">
        <f t="array" ref="AC65">IFERROR(
(AVERAGE((IF(DATOS_[[Sexo]:[Sexo]]=$B65,IF(DATOS_[[AGRUP. VALOR. PTO.]:[AGRUP. VALOR. PTO.]]=$B63,IF(DATOS_[[Check Periodo Ref.]:[Check Periodo Ref.]]="Dentro",IF(DATOS_[[Check Equiparado]:[Check Equiparado]]="Sí",IF(DATOS!AX$5="Sí",(1/DATOS_[[% anualiz]:[% anualiz]]),1)*IF(DATOS!AX$4="Sí",1/DATOS_[[% normaliz]:[% normaliz]],1)*(DATOS_[Conc.Sal.20])))))))),
0)</f>
        <v>0</v>
      </c>
      <c r="AD65" s="196">
        <f t="array" ref="AD65">IFERROR(
(AVERAGE((IF(DATOS_[[Sexo]:[Sexo]]=$B65,IF(DATOS_[[AGRUP. VALOR. PTO.]:[AGRUP. VALOR. PTO.]]=$B63,IF(DATOS_[[Check Periodo Ref.]:[Check Periodo Ref.]]="Dentro",IF(DATOS_[[Check Equiparado]:[Check Equiparado]]="Sí",IF(DATOS!AY$5="Sí",(1/DATOS_[[% anualiz]:[% anualiz]]),1)*IF(DATOS!AY$4="Sí",1/DATOS_[[% normaliz]:[% normaliz]],1)*(DATOS_[Conc.Sal.21])))))))),
0)</f>
        <v>0</v>
      </c>
      <c r="AE65" s="196">
        <f t="array" ref="AE65">IFERROR(
(AVERAGE((IF(DATOS_[[Sexo]:[Sexo]]=$B65,IF(DATOS_[[AGRUP. VALOR. PTO.]:[AGRUP. VALOR. PTO.]]=$B63,IF(DATOS_[[Check Periodo Ref.]:[Check Periodo Ref.]]="Dentro",IF(DATOS_[[Check Equiparado]:[Check Equiparado]]="Sí",IF(DATOS!AZ$5="Sí",(1/DATOS_[[% anualiz]:[% anualiz]]),1)*IF(DATOS!AZ$4="Sí",1/DATOS_[[% normaliz]:[% normaliz]],1)*(DATOS_[Conc.Sal.22])))))))),
0)</f>
        <v>0</v>
      </c>
      <c r="AF65" s="196">
        <f t="array" ref="AF65">IFERROR(
(AVERAGE((IF(DATOS_[[Sexo]:[Sexo]]=$B65,IF(DATOS_[[AGRUP. VALOR. PTO.]:[AGRUP. VALOR. PTO.]]=$B63,IF(DATOS_[[Check Periodo Ref.]:[Check Periodo Ref.]]="Dentro",IF(DATOS_[[Check Equiparado]:[Check Equiparado]]="Sí",IF(DATOS!BA$5="Sí",(1/DATOS_[[% anualiz]:[% anualiz]]),1)*IF(DATOS!BA$4="Sí",1/DATOS_[[% normaliz]:[% normaliz]],1)*(DATOS_[Conc.Sal.23])))))))),
0)</f>
        <v>0</v>
      </c>
      <c r="AG65" s="196">
        <f t="array" ref="AG65">IFERROR(
(AVERAGE((IF(DATOS_[[Sexo]:[Sexo]]=$B65,IF(DATOS_[[AGRUP. VALOR. PTO.]:[AGRUP. VALOR. PTO.]]=$B63,IF(DATOS_[[Check Periodo Ref.]:[Check Periodo Ref.]]="Dentro",IF(DATOS_[[Check Equiparado]:[Check Equiparado]]="Sí",IF(DATOS!BB$5="Sí",(1/DATOS_[[% anualiz]:[% anualiz]]),1)*IF(DATOS!BB$4="Sí",1/DATOS_[[% normaliz]:[% normaliz]],1)*(DATOS_[Conc.Sal.24])))))))),
0)</f>
        <v>0</v>
      </c>
      <c r="AH65" s="196">
        <f t="array" ref="AH65">IFERROR(
(AVERAGE((IF(DATOS_[[Sexo]:[Sexo]]=$B65,IF(DATOS_[[AGRUP. VALOR. PTO.]:[AGRUP. VALOR. PTO.]]=$B63,IF(DATOS_[[Check Periodo Ref.]:[Check Periodo Ref.]]="Dentro",IF(DATOS_[[Check Equiparado]:[Check Equiparado]]="Sí",IF(DATOS!BC$5="Sí",(1/DATOS_[[% anualiz]:[% anualiz]]),1)*IF(DATOS!BC$4="Sí",1/DATOS_[[% normaliz]:[% normaliz]],1)*(DATOS_[Conc.Sal.25])))))))),
0)</f>
        <v>0</v>
      </c>
      <c r="AI65" s="196">
        <f t="array" ref="AI65">IFERROR(
(AVERAGE((IF(DATOS_[[Sexo]:[Sexo]]=$B65,IF(DATOS_[[AGRUP. VALOR. PTO.]:[AGRUP. VALOR. PTO.]]=$B63,IF(DATOS_[[Check Periodo Ref.]:[Check Periodo Ref.]]="Dentro",IF(DATOS_[[Check Equiparado]:[Check Equiparado]]="Sí",IF(DATOS!BD$5="Sí",(1/DATOS_[[% anualiz]:[% anualiz]]),1)*IF(DATOS!BD$4="Sí",1/DATOS_[[% normaliz]:[% normaliz]],1)*(DATOS_[Conc.Sal.26])))))))),
0)</f>
        <v>0</v>
      </c>
      <c r="AJ65" s="196">
        <f t="array" ref="AJ65">IFERROR(
(AVERAGE((IF(DATOS_[[Sexo]:[Sexo]]=$B65,IF(DATOS_[[AGRUP. VALOR. PTO.]:[AGRUP. VALOR. PTO.]]=$B63,IF(DATOS_[[Check Periodo Ref.]:[Check Periodo Ref.]]="Dentro",IF(DATOS_[[Check Equiparado]:[Check Equiparado]]="Sí",IF(DATOS!BE$5="Sí",(1/DATOS_[[% anualiz]:[% anualiz]]),1)*IF(DATOS!BE$4="Sí",1/DATOS_[[% normaliz]:[% normaliz]],1)*(DATOS_[Conc.Sal.27])))))))),
0)</f>
        <v>0</v>
      </c>
      <c r="AK65" s="196">
        <f t="array" ref="AK65">IFERROR(
(AVERAGE((IF(DATOS_[[Sexo]:[Sexo]]=$B65,IF(DATOS_[[AGRUP. VALOR. PTO.]:[AGRUP. VALOR. PTO.]]=$B63,IF(DATOS_[[Check Periodo Ref.]:[Check Periodo Ref.]]="Dentro",IF(DATOS_[[Check Equiparado]:[Check Equiparado]]="Sí",IF(DATOS!BF$5="Sí",(1/DATOS_[[% anualiz]:[% anualiz]]),1)*IF(DATOS!BF$4="Sí",1/DATOS_[[% normaliz]:[% normaliz]],1)*(DATOS_[Conc.Sal.28])))))))),
0)</f>
        <v>0</v>
      </c>
      <c r="AL65" s="196">
        <f t="array" ref="AL65">IFERROR(
(AVERAGE((IF(DATOS_[[Sexo]:[Sexo]]=$B65,IF(DATOS_[[AGRUP. VALOR. PTO.]:[AGRUP. VALOR. PTO.]]=$B63,IF(DATOS_[[Check Periodo Ref.]:[Check Periodo Ref.]]="Dentro",IF(DATOS_[[Check Equiparado]:[Check Equiparado]]="Sí",IF(DATOS!BG$5="Sí",(1/DATOS_[[% anualiz]:[% anualiz]]),1)*IF(DATOS!BG$4="Sí",1/DATOS_[[% normaliz]:[% normaliz]],1)*(DATOS_[Conc.Sal.29])))))))),
0)</f>
        <v>0</v>
      </c>
      <c r="AM65" s="196">
        <f t="array" ref="AM65">IFERROR(
(AVERAGE((IF(DATOS_[[Sexo]:[Sexo]]=$B65,IF(DATOS_[[AGRUP. VALOR. PTO.]:[AGRUP. VALOR. PTO.]]=$B63,IF(DATOS_[[Check Periodo Ref.]:[Check Periodo Ref.]]="Dentro",IF(DATOS_[[Check Equiparado]:[Check Equiparado]]="Sí",IF(DATOS!BH$5="Sí",(1/DATOS_[[% anualiz]:[% anualiz]]),1)*IF(DATOS!BH$4="Sí",1/DATOS_[[% normaliz]:[% normaliz]],1)*(DATOS_[Conc.Sal.30])))))))),
0)</f>
        <v>0</v>
      </c>
      <c r="AN65" s="195">
        <f t="array" ref="AN65">IFERROR(
AVERAGE(IF(DATOS_[Sexo]=$B65,IF(DATOS_[[AGRUP. VALOR. PTO.]:[AGRUP. VALOR. PTO.]]=$B63,IF(DATOS_[Check Equiparado]="Sí",IF(DATOS_[Check Periodo Ref.]="Dentro",DATOS_[Tot COMPL.SAL Eq],FALSE))))),
0)</f>
        <v>0</v>
      </c>
      <c r="AO65" s="172">
        <f t="array" ref="AO65">IFERROR(
AVERAGE(IF(DATOS_[Sexo]=$B65,IF(DATOS_[[AGRUP. VALOR. PTO.]:[AGRUP. VALOR. PTO.]]=$B63,IF(DATOS_[Check Equiparado]="Sí",IF(DATOS_[Check Periodo Ref.]="Dentro",DATOS_[TOTAL SALARIO Eq],FALSE))))),
0)</f>
        <v>0</v>
      </c>
      <c r="AP65" s="173">
        <f t="array" ref="AP65">IFERROR(
(AVERAGE((IF(DATOS_[[Sexo]:[Sexo]]=$B65,IF(DATOS_[[AGRUP. VALOR. PTO.]:[AGRUP. VALOR. PTO.]]=$B63,IF(DATOS_[[Check Periodo Ref.]:[Check Periodo Ref.]]="Dentro",IF(DATOS_[[Check Equiparado]:[Check Equiparado]]="Sí",IF(DATOS!BW$5="Sí",(1/DATOS_[[% anualiz]:[% anualiz]]),1)*IF(DATOS!BW$4="Sí",1/DATOS_[[% normaliz]:[% normaliz]],1)*(DATOS_[C.Extra.01])))))))),
0)</f>
        <v>0</v>
      </c>
      <c r="AQ65" s="173">
        <f t="array" ref="AQ65">IFERROR(
(AVERAGE((IF(DATOS_[[Sexo]:[Sexo]]=$B65,IF(DATOS_[[AGRUP. VALOR. PTO.]:[AGRUP. VALOR. PTO.]]=$B63,IF(DATOS_[[Check Periodo Ref.]:[Check Periodo Ref.]]="Dentro",IF(DATOS_[[Check Equiparado]:[Check Equiparado]]="Sí",IF(DATOS!CB$5="Sí",(1/DATOS_[[% anualiz]:[% anualiz]]),1)*IF(DATOS!CB$4="Sí",1/DATOS_[[% normaliz]:[% normaliz]],1)*(DATOS_[C.Extra.06])))))))),
0)</f>
        <v>0</v>
      </c>
      <c r="AR65" s="173">
        <f t="array" ref="AR65">IFERROR(
(AVERAGE((IF(DATOS_[[Sexo]:[Sexo]]=$B65,IF(DATOS_[[AGRUP. VALOR. PTO.]:[AGRUP. VALOR. PTO.]]=$B63,IF(DATOS_[[Check Periodo Ref.]:[Check Periodo Ref.]]="Dentro",IF(DATOS_[[Check Equiparado]:[Check Equiparado]]="Sí",IF(DATOS!CC$5="Sí",(1/DATOS_[[% anualiz]:[% anualiz]]),1)*IF(DATOS!CC$4="Sí",1/DATOS_[[% normaliz]:[% normaliz]],1)*(DATOS_[C.Extra.07])))))))),
0)</f>
        <v>0</v>
      </c>
      <c r="AS65" s="173">
        <f t="array" ref="AS65">IFERROR(
(AVERAGE((IF(DATOS_[[Sexo]:[Sexo]]=$B65,IF(DATOS_[[AGRUP. VALOR. PTO.]:[AGRUP. VALOR. PTO.]]=$B63,IF(DATOS_[[Check Periodo Ref.]:[Check Periodo Ref.]]="Dentro",IF(DATOS_[[Check Equiparado]:[Check Equiparado]]="Sí",IF(DATOS!CD$5="Sí",(1/DATOS_[[% anualiz]:[% anualiz]]),1)*IF(DATOS!CD$4="Sí",1/DATOS_[[% normaliz]:[% normaliz]],1)*(DATOS_[C.Extra.08])))))))),
0)</f>
        <v>0</v>
      </c>
      <c r="AT65" s="173">
        <f t="array" ref="AT65">IFERROR(
(AVERAGE((IF(DATOS_[[Sexo]:[Sexo]]=$B65,IF(DATOS_[[AGRUP. VALOR. PTO.]:[AGRUP. VALOR. PTO.]]=$B63,IF(DATOS_[[Check Periodo Ref.]:[Check Periodo Ref.]]="Dentro",IF(DATOS_[[Check Equiparado]:[Check Equiparado]]="Sí",IF(DATOS!CG$5="Sí",(1/DATOS_[[% anualiz]:[% anualiz]]),1)*IF(DATOS!CG$4="Sí",1/DATOS_[[% normaliz]:[% normaliz]],1)*(DATOS_[C.Extra.11])))))))),
0)</f>
        <v>0</v>
      </c>
      <c r="AU65" s="197">
        <f t="array" ref="AU65">IFERROR(
AVERAGE(IF(DATOS_[Sexo]=$B65,IF(DATOS_[[AGRUP. VALOR. PTO.]:[AGRUP. VALOR. PTO.]]=$B63,IF(DATOS_[Check Equiparado]="Sí",IF(DATOS_[Check Periodo Ref.]="Dentro",DATOS_[Tot Extrasalarial Eq],FALSE))))),
0)</f>
        <v>0</v>
      </c>
      <c r="AV65" s="175">
        <f t="array" ref="AV65">IFERROR(
AVERAGE(IF(DATOS_[Sexo]=$B65,IF(DATOS_[[AGRUP. VALOR. PTO.]:[AGRUP. VALOR. PTO.]]=$B63,IF(DATOS_[Check Equiparado]="Sí",IF(DATOS_[Check Periodo Ref.]="Dentro",DATOS_[TOTAL Retrib Eq],FALSE))))),
0)</f>
        <v>0</v>
      </c>
    </row>
    <row r="66" spans="1:48" ht="15.6" thickBot="1" x14ac:dyDescent="0.3">
      <c r="A66" s="133" t="str">
        <f t="shared" ref="A66" si="71">+A67</f>
        <v>[ocultar]</v>
      </c>
      <c r="B66" s="199" t="s">
        <v>249</v>
      </c>
      <c r="C66" s="200"/>
      <c r="D66" s="201"/>
      <c r="E66" s="201"/>
      <c r="F66" s="201"/>
      <c r="G66" s="201"/>
      <c r="H66" s="201"/>
      <c r="I66" s="189" t="str">
        <f t="shared" ref="I66:AV66" si="72">IFERROR((I67-I68)/I67,"")</f>
        <v/>
      </c>
      <c r="J66" s="190" t="str">
        <f t="shared" si="72"/>
        <v/>
      </c>
      <c r="K66" s="191" t="str">
        <f t="shared" si="72"/>
        <v/>
      </c>
      <c r="L66" s="191" t="str">
        <f t="shared" si="72"/>
        <v/>
      </c>
      <c r="M66" s="191" t="str">
        <f t="shared" si="72"/>
        <v/>
      </c>
      <c r="N66" s="192" t="str">
        <f t="shared" si="72"/>
        <v/>
      </c>
      <c r="O66" s="193" t="str">
        <f t="shared" si="72"/>
        <v/>
      </c>
      <c r="P66" s="193" t="str">
        <f t="shared" si="72"/>
        <v/>
      </c>
      <c r="Q66" s="193" t="str">
        <f t="shared" si="72"/>
        <v/>
      </c>
      <c r="R66" s="193" t="str">
        <f t="shared" si="72"/>
        <v/>
      </c>
      <c r="S66" s="193" t="str">
        <f t="shared" si="72"/>
        <v/>
      </c>
      <c r="T66" s="193" t="str">
        <f t="shared" si="72"/>
        <v/>
      </c>
      <c r="U66" s="193" t="str">
        <f t="shared" si="72"/>
        <v/>
      </c>
      <c r="V66" s="193" t="str">
        <f t="shared" si="72"/>
        <v/>
      </c>
      <c r="W66" s="193" t="str">
        <f t="shared" si="72"/>
        <v/>
      </c>
      <c r="X66" s="193" t="str">
        <f t="shared" si="72"/>
        <v/>
      </c>
      <c r="Y66" s="193" t="str">
        <f t="shared" si="72"/>
        <v/>
      </c>
      <c r="Z66" s="193" t="str">
        <f t="shared" si="72"/>
        <v/>
      </c>
      <c r="AA66" s="193" t="str">
        <f t="shared" si="72"/>
        <v/>
      </c>
      <c r="AB66" s="193" t="str">
        <f t="shared" si="72"/>
        <v/>
      </c>
      <c r="AC66" s="193" t="str">
        <f t="shared" si="72"/>
        <v/>
      </c>
      <c r="AD66" s="193" t="str">
        <f t="shared" si="72"/>
        <v/>
      </c>
      <c r="AE66" s="193" t="str">
        <f t="shared" si="72"/>
        <v/>
      </c>
      <c r="AF66" s="193" t="str">
        <f t="shared" si="72"/>
        <v/>
      </c>
      <c r="AG66" s="193" t="str">
        <f t="shared" si="72"/>
        <v/>
      </c>
      <c r="AH66" s="193" t="str">
        <f t="shared" si="72"/>
        <v/>
      </c>
      <c r="AI66" s="193" t="str">
        <f t="shared" si="72"/>
        <v/>
      </c>
      <c r="AJ66" s="193" t="str">
        <f t="shared" si="72"/>
        <v/>
      </c>
      <c r="AK66" s="193" t="str">
        <f t="shared" si="72"/>
        <v/>
      </c>
      <c r="AL66" s="193" t="str">
        <f t="shared" si="72"/>
        <v/>
      </c>
      <c r="AM66" s="193" t="str">
        <f t="shared" si="72"/>
        <v/>
      </c>
      <c r="AN66" s="189" t="str">
        <f t="shared" si="72"/>
        <v/>
      </c>
      <c r="AO66" s="162" t="str">
        <f t="shared" si="72"/>
        <v/>
      </c>
      <c r="AP66" s="163" t="str">
        <f t="shared" si="72"/>
        <v/>
      </c>
      <c r="AQ66" s="163" t="str">
        <f t="shared" si="72"/>
        <v/>
      </c>
      <c r="AR66" s="163" t="str">
        <f t="shared" si="72"/>
        <v/>
      </c>
      <c r="AS66" s="163" t="str">
        <f t="shared" si="72"/>
        <v/>
      </c>
      <c r="AT66" s="163" t="str">
        <f t="shared" si="72"/>
        <v/>
      </c>
      <c r="AU66" s="194" t="str">
        <f t="shared" si="72"/>
        <v/>
      </c>
      <c r="AV66" s="165" t="str">
        <f t="shared" si="72"/>
        <v/>
      </c>
    </row>
    <row r="67" spans="1:48" x14ac:dyDescent="0.25">
      <c r="A67" s="133" t="str">
        <f t="shared" ref="A67" si="73">+IF(C67+C68=0,"[ocultar]","")</f>
        <v>[ocultar]</v>
      </c>
      <c r="B67" s="202" t="s">
        <v>394</v>
      </c>
      <c r="C67" s="203">
        <f t="array" ref="C67">SUM(IF($B67=DATOS_[Sexo],
IF($B66=DATOS_[AGRUP. VALOR. PTO.],
IF("Dentro"=DATOS_[Check Periodo Ref.],
1/(COUNTIFS(DATOS_[Sexo],$B67,DATOS_[AGRUP. VALOR. PTO.],$B66,DATOS_[Check Periodo Ref.],"Dentro",DATOS_[id/cod],DATOS_[id/cod]))))))</f>
        <v>0</v>
      </c>
      <c r="D67" s="204">
        <f>COUNTIFS(DATOS_[AGRUP. VALOR. PTO.],$B66,DATOS_[Sexo],$B67,DATOS_[Check Periodo Ref.],"Dentro")</f>
        <v>0</v>
      </c>
      <c r="E67" s="204">
        <f>COUNTIFS(DATOS_[AGRUP. VALOR. PTO.],$B66,DATOS_[Sexo],$B67,DATOS_[Check Periodo Ref.],"Dentro",DATOS_[Check Nº SC Norm],"Sí")</f>
        <v>0</v>
      </c>
      <c r="F67" s="204">
        <f>COUNTIFS(DATOS_[AGRUP. VALOR. PTO.],$B66,DATOS_[Sexo],$B67,DATOS_[Check Periodo Ref.],"Dentro",DATOS_[Check Nº SC Anualiz],"Sí")</f>
        <v>0</v>
      </c>
      <c r="G67" s="204">
        <f>COUNTIFS(DATOS_[AGRUP. VALOR. PTO.],$B66,DATOS_[Sexo],$B67,DATOS_[Check Periodo Ref.],"Dentro",DATOS_[Check Nº SC Norm y Anualiz],"Sí")</f>
        <v>0</v>
      </c>
      <c r="H67" s="204">
        <f>COUNTIFS(DATOS_[AGRUP. VALOR. PTO.],$B66,DATOS_[Sexo],$B67,DATOS_[Check Periodo Ref.],"Dentro",DATOS_[Check Equiparación],"Sí")</f>
        <v>0</v>
      </c>
      <c r="I67" s="195">
        <f t="array" ref="I67">IFERROR(
AVERAGE(IF(DATOS_[Sexo]=$B67,IF(DATOS_[[AGRUP. VALOR. PTO.]:[AGRUP. VALOR. PTO.]]=$B66,IF(DATOS_[Check Equiparado]="Sí",IF(DATOS_[Check Periodo Ref.]="Dentro",DATOS_[SALARIO BASE Eq],FALSE))))),
0)</f>
        <v>0</v>
      </c>
      <c r="J67" s="196">
        <f t="array" ref="J67">IFERROR(
(AVERAGE((IF(DATOS_[[Sexo]:[Sexo]]=$B67,IF(DATOS_[[AGRUP. VALOR. PTO.]:[AGRUP. VALOR. PTO.]]=$B66,IF(DATOS_[[Check Periodo Ref.]:[Check Periodo Ref.]]="Dentro",IF(DATOS_[[Check Equiparado]:[Check Equiparado]]="Sí",IF(DATOS!AE$5="Sí",(1/DATOS_[[% anualiz]:[% anualiz]]),1)*IF(DATOS!AE$4="Sí",1/DATOS_[[% normaliz]:[% normaliz]],1)*(DATOS_[Conc.Sal.01])))))))),
0)</f>
        <v>0</v>
      </c>
      <c r="K67" s="196">
        <f t="array" ref="K67">IFERROR(
(AVERAGE((IF(DATOS_[[Sexo]:[Sexo]]=$B67,IF(DATOS_[[AGRUP. VALOR. PTO.]:[AGRUP. VALOR. PTO.]]=$B66,IF(DATOS_[[Check Periodo Ref.]:[Check Periodo Ref.]]="Dentro",IF(DATOS_[[Check Equiparado]:[Check Equiparado]]="Sí",IF(DATOS!AF$5="Sí",(1/DATOS_[[% anualiz]:[% anualiz]]),1)*IF(DATOS!AF$4="Sí",1/DATOS_[[% normaliz]:[% normaliz]],1)*(DATOS_[Conc.Sal.02])))))))),
0)</f>
        <v>0</v>
      </c>
      <c r="L67" s="196">
        <f t="array" ref="L67">IFERROR(
(AVERAGE((IF(DATOS_[[Sexo]:[Sexo]]=$B67,IF(DATOS_[[AGRUP. VALOR. PTO.]:[AGRUP. VALOR. PTO.]]=$B66,IF(DATOS_[[Check Periodo Ref.]:[Check Periodo Ref.]]="Dentro",IF(DATOS_[[Check Equiparado]:[Check Equiparado]]="Sí",IF(DATOS!AG$5="Sí",(1/DATOS_[[% anualiz]:[% anualiz]]),1)*IF(DATOS!AG$4="Sí",1/DATOS_[[% normaliz]:[% normaliz]],1)*(DATOS_[Conc.Sal.03])))))))),
0)</f>
        <v>0</v>
      </c>
      <c r="M67" s="196">
        <f t="array" ref="M67">IFERROR(
(AVERAGE((IF(DATOS_[[Sexo]:[Sexo]]=$B67,IF(DATOS_[[AGRUP. VALOR. PTO.]:[AGRUP. VALOR. PTO.]]=$B66,IF(DATOS_[[Check Periodo Ref.]:[Check Periodo Ref.]]="Dentro",IF(DATOS_[[Check Equiparado]:[Check Equiparado]]="Sí",IF(DATOS!AH$5="Sí",(1/DATOS_[[% anualiz]:[% anualiz]]),1)*IF(DATOS!AH$4="Sí",1/DATOS_[[% normaliz]:[% normaliz]],1)*(DATOS_[Conc.Sal.04])))))))),
0)</f>
        <v>0</v>
      </c>
      <c r="N67" s="196">
        <f t="array" ref="N67">IFERROR(
(AVERAGE((IF(DATOS_[[Sexo]:[Sexo]]=$B67,IF(DATOS_[[AGRUP. VALOR. PTO.]:[AGRUP. VALOR. PTO.]]=$B66,IF(DATOS_[[Check Periodo Ref.]:[Check Periodo Ref.]]="Dentro",IF(DATOS_[[Check Equiparado]:[Check Equiparado]]="Sí",IF(DATOS!AI$5="Sí",(1/DATOS_[[% anualiz]:[% anualiz]]),1)*IF(DATOS!AI$4="Sí",1/DATOS_[[% normaliz]:[% normaliz]],1)*(DATOS_[Conc.Sal.05])))))))),
0)</f>
        <v>0</v>
      </c>
      <c r="O67" s="196">
        <f t="array" ref="O67">IFERROR(
(AVERAGE((IF(DATOS_[[Sexo]:[Sexo]]=$B67,IF(DATOS_[[AGRUP. VALOR. PTO.]:[AGRUP. VALOR. PTO.]]=$B66,IF(DATOS_[[Check Periodo Ref.]:[Check Periodo Ref.]]="Dentro",IF(DATOS_[[Check Equiparado]:[Check Equiparado]]="Sí",IF(DATOS!AJ$5="Sí",(1/DATOS_[[% anualiz]:[% anualiz]]),1)*IF(DATOS!AJ$4="Sí",1/DATOS_[[% normaliz]:[% normaliz]],1)*(DATOS_[Conc.Sal.06])))))))),
0)</f>
        <v>0</v>
      </c>
      <c r="P67" s="196">
        <f t="array" ref="P67">IFERROR(
(AVERAGE((IF(DATOS_[[Sexo]:[Sexo]]=$B67,IF(DATOS_[[AGRUP. VALOR. PTO.]:[AGRUP. VALOR. PTO.]]=$B66,IF(DATOS_[[Check Periodo Ref.]:[Check Periodo Ref.]]="Dentro",IF(DATOS_[[Check Equiparado]:[Check Equiparado]]="Sí",IF(DATOS!AK$5="Sí",(1/DATOS_[[% anualiz]:[% anualiz]]),1)*IF(DATOS!AK$4="Sí",1/DATOS_[[% normaliz]:[% normaliz]],1)*(DATOS_[Conc.Sal.07])))))))),
0)</f>
        <v>0</v>
      </c>
      <c r="Q67" s="196">
        <f t="array" ref="Q67">IFERROR(
(AVERAGE((IF(DATOS_[[Sexo]:[Sexo]]=$B67,IF(DATOS_[[AGRUP. VALOR. PTO.]:[AGRUP. VALOR. PTO.]]=$B66,IF(DATOS_[[Check Periodo Ref.]:[Check Periodo Ref.]]="Dentro",IF(DATOS_[[Check Equiparado]:[Check Equiparado]]="Sí",IF(DATOS!AL$5="Sí",(1/DATOS_[[% anualiz]:[% anualiz]]),1)*IF(DATOS!AL$4="Sí",1/DATOS_[[% normaliz]:[% normaliz]],1)*(DATOS_[Conc.Sal.08])))))))),
0)</f>
        <v>0</v>
      </c>
      <c r="R67" s="196">
        <f t="array" ref="R67">IFERROR(
(AVERAGE((IF(DATOS_[[Sexo]:[Sexo]]=$B67,IF(DATOS_[[AGRUP. VALOR. PTO.]:[AGRUP. VALOR. PTO.]]=$B66,IF(DATOS_[[Check Periodo Ref.]:[Check Periodo Ref.]]="Dentro",IF(DATOS_[[Check Equiparado]:[Check Equiparado]]="Sí",IF(DATOS!AM$5="Sí",(1/DATOS_[[% anualiz]:[% anualiz]]),1)*IF(DATOS!AM$4="Sí",1/DATOS_[[% normaliz]:[% normaliz]],1)*(DATOS_[Conc.Sal.09])))))))),
0)</f>
        <v>0</v>
      </c>
      <c r="S67" s="196">
        <f t="array" ref="S67">IFERROR(
(AVERAGE((IF(DATOS_[[Sexo]:[Sexo]]=$B67,IF(DATOS_[[AGRUP. VALOR. PTO.]:[AGRUP. VALOR. PTO.]]=$B66,IF(DATOS_[[Check Periodo Ref.]:[Check Periodo Ref.]]="Dentro",IF(DATOS_[[Check Equiparado]:[Check Equiparado]]="Sí",IF(DATOS!AN$5="Sí",(1/DATOS_[[% anualiz]:[% anualiz]]),1)*IF(DATOS!AN$4="Sí",1/DATOS_[[% normaliz]:[% normaliz]],1)*(DATOS_[Conc.Sal.10])))))))),
0)</f>
        <v>0</v>
      </c>
      <c r="T67" s="196">
        <f t="array" ref="T67">IFERROR(
(AVERAGE((IF(DATOS_[[Sexo]:[Sexo]]=$B67,IF(DATOS_[[AGRUP. VALOR. PTO.]:[AGRUP. VALOR. PTO.]]=$B66,IF(DATOS_[[Check Periodo Ref.]:[Check Periodo Ref.]]="Dentro",IF(DATOS_[[Check Equiparado]:[Check Equiparado]]="Sí",IF(DATOS!AO$5="Sí",(1/DATOS_[[% anualiz]:[% anualiz]]),1)*IF(DATOS!AO$4="Sí",1/DATOS_[[% normaliz]:[% normaliz]],1)*(DATOS_[Conc.Sal.11])))))))),
0)</f>
        <v>0</v>
      </c>
      <c r="U67" s="196">
        <f t="array" ref="U67">IFERROR(
(AVERAGE((IF(DATOS_[[Sexo]:[Sexo]]=$B67,IF(DATOS_[[AGRUP. VALOR. PTO.]:[AGRUP. VALOR. PTO.]]=$B66,IF(DATOS_[[Check Periodo Ref.]:[Check Periodo Ref.]]="Dentro",IF(DATOS_[[Check Equiparado]:[Check Equiparado]]="Sí",IF(DATOS!AP$5="Sí",(1/DATOS_[[% anualiz]:[% anualiz]]),1)*IF(DATOS!AP$4="Sí",1/DATOS_[[% normaliz]:[% normaliz]],1)*(DATOS_[Conc.Sal.12])))))))),
0)</f>
        <v>0</v>
      </c>
      <c r="V67" s="196">
        <f t="array" ref="V67">IFERROR(
(AVERAGE((IF(DATOS_[[Sexo]:[Sexo]]=$B67,IF(DATOS_[[AGRUP. VALOR. PTO.]:[AGRUP. VALOR. PTO.]]=$B66,IF(DATOS_[[Check Periodo Ref.]:[Check Periodo Ref.]]="Dentro",IF(DATOS_[[Check Equiparado]:[Check Equiparado]]="Sí",IF(DATOS!AQ$5="Sí",(1/DATOS_[[% anualiz]:[% anualiz]]),1)*IF(DATOS!AQ$4="Sí",1/DATOS_[[% normaliz]:[% normaliz]],1)*(DATOS_[Conc.Sal.13])))))))),
0)</f>
        <v>0</v>
      </c>
      <c r="W67" s="196">
        <f t="array" ref="W67">IFERROR(
(AVERAGE((IF(DATOS_[[Sexo]:[Sexo]]=$B67,IF(DATOS_[[AGRUP. VALOR. PTO.]:[AGRUP. VALOR. PTO.]]=$B66,IF(DATOS_[[Check Periodo Ref.]:[Check Periodo Ref.]]="Dentro",IF(DATOS_[[Check Equiparado]:[Check Equiparado]]="Sí",IF(DATOS!AR$5="Sí",(1/DATOS_[[% anualiz]:[% anualiz]]),1)*IF(DATOS!AR$4="Sí",1/DATOS_[[% normaliz]:[% normaliz]],1)*(DATOS_[Conc.Sal.14])))))))),
0)</f>
        <v>0</v>
      </c>
      <c r="X67" s="196">
        <f t="array" ref="X67">IFERROR(
(AVERAGE((IF(DATOS_[[Sexo]:[Sexo]]=$B67,IF(DATOS_[[AGRUP. VALOR. PTO.]:[AGRUP. VALOR. PTO.]]=$B66,IF(DATOS_[[Check Periodo Ref.]:[Check Periodo Ref.]]="Dentro",IF(DATOS_[[Check Equiparado]:[Check Equiparado]]="Sí",IF(DATOS!AS$5="Sí",(1/DATOS_[[% anualiz]:[% anualiz]]),1)*IF(DATOS!AS$4="Sí",1/DATOS_[[% normaliz]:[% normaliz]],1)*(DATOS_[Conc.Sal.15])))))))),
0)</f>
        <v>0</v>
      </c>
      <c r="Y67" s="196">
        <f t="array" ref="Y67">IFERROR(
(AVERAGE((IF(DATOS_[[Sexo]:[Sexo]]=$B67,IF(DATOS_[[AGRUP. VALOR. PTO.]:[AGRUP. VALOR. PTO.]]=$B66,IF(DATOS_[[Check Periodo Ref.]:[Check Periodo Ref.]]="Dentro",IF(DATOS_[[Check Equiparado]:[Check Equiparado]]="Sí",IF(DATOS!AT$5="Sí",(1/DATOS_[[% anualiz]:[% anualiz]]),1)*IF(DATOS!AT$4="Sí",1/DATOS_[[% normaliz]:[% normaliz]],1)*(DATOS_[Conc.Sal.16])))))))),
0)</f>
        <v>0</v>
      </c>
      <c r="Z67" s="196">
        <f t="array" ref="Z67">IFERROR(
(AVERAGE((IF(DATOS_[[Sexo]:[Sexo]]=$B67,IF(DATOS_[[AGRUP. VALOR. PTO.]:[AGRUP. VALOR. PTO.]]=$B66,IF(DATOS_[[Check Periodo Ref.]:[Check Periodo Ref.]]="Dentro",IF(DATOS_[[Check Equiparado]:[Check Equiparado]]="Sí",IF(DATOS!AU$5="Sí",(1/DATOS_[[% anualiz]:[% anualiz]]),1)*IF(DATOS!AU$4="Sí",1/DATOS_[[% normaliz]:[% normaliz]],1)*(DATOS_[Conc.Sal.17])))))))),
0)</f>
        <v>0</v>
      </c>
      <c r="AA67" s="196">
        <f t="array" ref="AA67">IFERROR(
(AVERAGE((IF(DATOS_[[Sexo]:[Sexo]]=$B67,IF(DATOS_[[AGRUP. VALOR. PTO.]:[AGRUP. VALOR. PTO.]]=$B66,IF(DATOS_[[Check Periodo Ref.]:[Check Periodo Ref.]]="Dentro",IF(DATOS_[[Check Equiparado]:[Check Equiparado]]="Sí",IF(DATOS!AV$5="Sí",(1/DATOS_[[% anualiz]:[% anualiz]]),1)*IF(DATOS!AV$4="Sí",1/DATOS_[[% normaliz]:[% normaliz]],1)*(DATOS_[Conc.Sal.18])))))))),
0)</f>
        <v>0</v>
      </c>
      <c r="AB67" s="196">
        <f t="array" ref="AB67">IFERROR(
(AVERAGE((IF(DATOS_[[Sexo]:[Sexo]]=$B67,IF(DATOS_[[AGRUP. VALOR. PTO.]:[AGRUP. VALOR. PTO.]]=$B66,IF(DATOS_[[Check Periodo Ref.]:[Check Periodo Ref.]]="Dentro",IF(DATOS_[[Check Equiparado]:[Check Equiparado]]="Sí",IF(DATOS!AW$5="Sí",(1/DATOS_[[% anualiz]:[% anualiz]]),1)*IF(DATOS!AW$4="Sí",1/DATOS_[[% normaliz]:[% normaliz]],1)*(DATOS_[Conc.Sal.19])))))))),
0)</f>
        <v>0</v>
      </c>
      <c r="AC67" s="196">
        <f t="array" ref="AC67">IFERROR(
(AVERAGE((IF(DATOS_[[Sexo]:[Sexo]]=$B67,IF(DATOS_[[AGRUP. VALOR. PTO.]:[AGRUP. VALOR. PTO.]]=$B66,IF(DATOS_[[Check Periodo Ref.]:[Check Periodo Ref.]]="Dentro",IF(DATOS_[[Check Equiparado]:[Check Equiparado]]="Sí",IF(DATOS!AX$5="Sí",(1/DATOS_[[% anualiz]:[% anualiz]]),1)*IF(DATOS!AX$4="Sí",1/DATOS_[[% normaliz]:[% normaliz]],1)*(DATOS_[Conc.Sal.20])))))))),
0)</f>
        <v>0</v>
      </c>
      <c r="AD67" s="196">
        <f t="array" ref="AD67">IFERROR(
(AVERAGE((IF(DATOS_[[Sexo]:[Sexo]]=$B67,IF(DATOS_[[AGRUP. VALOR. PTO.]:[AGRUP. VALOR. PTO.]]=$B66,IF(DATOS_[[Check Periodo Ref.]:[Check Periodo Ref.]]="Dentro",IF(DATOS_[[Check Equiparado]:[Check Equiparado]]="Sí",IF(DATOS!AY$5="Sí",(1/DATOS_[[% anualiz]:[% anualiz]]),1)*IF(DATOS!AY$4="Sí",1/DATOS_[[% normaliz]:[% normaliz]],1)*(DATOS_[Conc.Sal.21])))))))),
0)</f>
        <v>0</v>
      </c>
      <c r="AE67" s="196">
        <f t="array" ref="AE67">IFERROR(
(AVERAGE((IF(DATOS_[[Sexo]:[Sexo]]=$B67,IF(DATOS_[[AGRUP. VALOR. PTO.]:[AGRUP. VALOR. PTO.]]=$B66,IF(DATOS_[[Check Periodo Ref.]:[Check Periodo Ref.]]="Dentro",IF(DATOS_[[Check Equiparado]:[Check Equiparado]]="Sí",IF(DATOS!AZ$5="Sí",(1/DATOS_[[% anualiz]:[% anualiz]]),1)*IF(DATOS!AZ$4="Sí",1/DATOS_[[% normaliz]:[% normaliz]],1)*(DATOS_[Conc.Sal.22])))))))),
0)</f>
        <v>0</v>
      </c>
      <c r="AF67" s="196">
        <f t="array" ref="AF67">IFERROR(
(AVERAGE((IF(DATOS_[[Sexo]:[Sexo]]=$B67,IF(DATOS_[[AGRUP. VALOR. PTO.]:[AGRUP. VALOR. PTO.]]=$B66,IF(DATOS_[[Check Periodo Ref.]:[Check Periodo Ref.]]="Dentro",IF(DATOS_[[Check Equiparado]:[Check Equiparado]]="Sí",IF(DATOS!BA$5="Sí",(1/DATOS_[[% anualiz]:[% anualiz]]),1)*IF(DATOS!BA$4="Sí",1/DATOS_[[% normaliz]:[% normaliz]],1)*(DATOS_[Conc.Sal.23])))))))),
0)</f>
        <v>0</v>
      </c>
      <c r="AG67" s="196">
        <f t="array" ref="AG67">IFERROR(
(AVERAGE((IF(DATOS_[[Sexo]:[Sexo]]=$B67,IF(DATOS_[[AGRUP. VALOR. PTO.]:[AGRUP. VALOR. PTO.]]=$B66,IF(DATOS_[[Check Periodo Ref.]:[Check Periodo Ref.]]="Dentro",IF(DATOS_[[Check Equiparado]:[Check Equiparado]]="Sí",IF(DATOS!BB$5="Sí",(1/DATOS_[[% anualiz]:[% anualiz]]),1)*IF(DATOS!BB$4="Sí",1/DATOS_[[% normaliz]:[% normaliz]],1)*(DATOS_[Conc.Sal.24])))))))),
0)</f>
        <v>0</v>
      </c>
      <c r="AH67" s="196">
        <f t="array" ref="AH67">IFERROR(
(AVERAGE((IF(DATOS_[[Sexo]:[Sexo]]=$B67,IF(DATOS_[[AGRUP. VALOR. PTO.]:[AGRUP. VALOR. PTO.]]=$B66,IF(DATOS_[[Check Periodo Ref.]:[Check Periodo Ref.]]="Dentro",IF(DATOS_[[Check Equiparado]:[Check Equiparado]]="Sí",IF(DATOS!BC$5="Sí",(1/DATOS_[[% anualiz]:[% anualiz]]),1)*IF(DATOS!BC$4="Sí",1/DATOS_[[% normaliz]:[% normaliz]],1)*(DATOS_[Conc.Sal.25])))))))),
0)</f>
        <v>0</v>
      </c>
      <c r="AI67" s="196">
        <f t="array" ref="AI67">IFERROR(
(AVERAGE((IF(DATOS_[[Sexo]:[Sexo]]=$B67,IF(DATOS_[[AGRUP. VALOR. PTO.]:[AGRUP. VALOR. PTO.]]=$B66,IF(DATOS_[[Check Periodo Ref.]:[Check Periodo Ref.]]="Dentro",IF(DATOS_[[Check Equiparado]:[Check Equiparado]]="Sí",IF(DATOS!BD$5="Sí",(1/DATOS_[[% anualiz]:[% anualiz]]),1)*IF(DATOS!BD$4="Sí",1/DATOS_[[% normaliz]:[% normaliz]],1)*(DATOS_[Conc.Sal.26])))))))),
0)</f>
        <v>0</v>
      </c>
      <c r="AJ67" s="196">
        <f t="array" ref="AJ67">IFERROR(
(AVERAGE((IF(DATOS_[[Sexo]:[Sexo]]=$B67,IF(DATOS_[[AGRUP. VALOR. PTO.]:[AGRUP. VALOR. PTO.]]=$B66,IF(DATOS_[[Check Periodo Ref.]:[Check Periodo Ref.]]="Dentro",IF(DATOS_[[Check Equiparado]:[Check Equiparado]]="Sí",IF(DATOS!BE$5="Sí",(1/DATOS_[[% anualiz]:[% anualiz]]),1)*IF(DATOS!BE$4="Sí",1/DATOS_[[% normaliz]:[% normaliz]],1)*(DATOS_[Conc.Sal.27])))))))),
0)</f>
        <v>0</v>
      </c>
      <c r="AK67" s="196">
        <f t="array" ref="AK67">IFERROR(
(AVERAGE((IF(DATOS_[[Sexo]:[Sexo]]=$B67,IF(DATOS_[[AGRUP. VALOR. PTO.]:[AGRUP. VALOR. PTO.]]=$B66,IF(DATOS_[[Check Periodo Ref.]:[Check Periodo Ref.]]="Dentro",IF(DATOS_[[Check Equiparado]:[Check Equiparado]]="Sí",IF(DATOS!BF$5="Sí",(1/DATOS_[[% anualiz]:[% anualiz]]),1)*IF(DATOS!BF$4="Sí",1/DATOS_[[% normaliz]:[% normaliz]],1)*(DATOS_[Conc.Sal.28])))))))),
0)</f>
        <v>0</v>
      </c>
      <c r="AL67" s="196">
        <f t="array" ref="AL67">IFERROR(
(AVERAGE((IF(DATOS_[[Sexo]:[Sexo]]=$B67,IF(DATOS_[[AGRUP. VALOR. PTO.]:[AGRUP. VALOR. PTO.]]=$B66,IF(DATOS_[[Check Periodo Ref.]:[Check Periodo Ref.]]="Dentro",IF(DATOS_[[Check Equiparado]:[Check Equiparado]]="Sí",IF(DATOS!BG$5="Sí",(1/DATOS_[[% anualiz]:[% anualiz]]),1)*IF(DATOS!BG$4="Sí",1/DATOS_[[% normaliz]:[% normaliz]],1)*(DATOS_[Conc.Sal.29])))))))),
0)</f>
        <v>0</v>
      </c>
      <c r="AM67" s="196">
        <f t="array" ref="AM67">IFERROR(
(AVERAGE((IF(DATOS_[[Sexo]:[Sexo]]=$B67,IF(DATOS_[[AGRUP. VALOR. PTO.]:[AGRUP. VALOR. PTO.]]=$B66,IF(DATOS_[[Check Periodo Ref.]:[Check Periodo Ref.]]="Dentro",IF(DATOS_[[Check Equiparado]:[Check Equiparado]]="Sí",IF(DATOS!BH$5="Sí",(1/DATOS_[[% anualiz]:[% anualiz]]),1)*IF(DATOS!BH$4="Sí",1/DATOS_[[% normaliz]:[% normaliz]],1)*(DATOS_[Conc.Sal.30])))))))),
0)</f>
        <v>0</v>
      </c>
      <c r="AN67" s="195">
        <f t="array" ref="AN67">IFERROR(
AVERAGE(IF(DATOS_[Sexo]=$B67,IF(DATOS_[[AGRUP. VALOR. PTO.]:[AGRUP. VALOR. PTO.]]=$B66,IF(DATOS_[Check Equiparado]="Sí",IF(DATOS_[Check Periodo Ref.]="Dentro",DATOS_[Tot COMPL.SAL Eq],FALSE))))),
0)</f>
        <v>0</v>
      </c>
      <c r="AO67" s="172">
        <f t="array" ref="AO67">IFERROR(
AVERAGE(IF(DATOS_[Sexo]=$B67,IF(DATOS_[[AGRUP. VALOR. PTO.]:[AGRUP. VALOR. PTO.]]=$B66,IF(DATOS_[Check Equiparado]="Sí",IF(DATOS_[Check Periodo Ref.]="Dentro",DATOS_[TOTAL SALARIO Eq],FALSE))))),
0)</f>
        <v>0</v>
      </c>
      <c r="AP67" s="173">
        <f t="array" ref="AP67">IFERROR(
(AVERAGE((IF(DATOS_[[Sexo]:[Sexo]]=$B67,IF(DATOS_[[AGRUP. VALOR. PTO.]:[AGRUP. VALOR. PTO.]]=$B66,IF(DATOS_[[Check Periodo Ref.]:[Check Periodo Ref.]]="Dentro",IF(DATOS_[[Check Equiparado]:[Check Equiparado]]="Sí",IF(DATOS!BW$5="Sí",(1/DATOS_[[% anualiz]:[% anualiz]]),1)*IF(DATOS!BW$4="Sí",1/DATOS_[[% normaliz]:[% normaliz]],1)*(DATOS_[C.Extra.01])))))))),
0)</f>
        <v>0</v>
      </c>
      <c r="AQ67" s="173">
        <f t="array" ref="AQ67">IFERROR(
(AVERAGE((IF(DATOS_[[Sexo]:[Sexo]]=$B67,IF(DATOS_[[AGRUP. VALOR. PTO.]:[AGRUP. VALOR. PTO.]]=$B66,IF(DATOS_[[Check Periodo Ref.]:[Check Periodo Ref.]]="Dentro",IF(DATOS_[[Check Equiparado]:[Check Equiparado]]="Sí",IF(DATOS!CB$5="Sí",(1/DATOS_[[% anualiz]:[% anualiz]]),1)*IF(DATOS!CB$4="Sí",1/DATOS_[[% normaliz]:[% normaliz]],1)*(DATOS_[C.Extra.06])))))))),
0)</f>
        <v>0</v>
      </c>
      <c r="AR67" s="173">
        <f t="array" ref="AR67">IFERROR(
(AVERAGE((IF(DATOS_[[Sexo]:[Sexo]]=$B67,IF(DATOS_[[AGRUP. VALOR. PTO.]:[AGRUP. VALOR. PTO.]]=$B66,IF(DATOS_[[Check Periodo Ref.]:[Check Periodo Ref.]]="Dentro",IF(DATOS_[[Check Equiparado]:[Check Equiparado]]="Sí",IF(DATOS!CC$5="Sí",(1/DATOS_[[% anualiz]:[% anualiz]]),1)*IF(DATOS!CC$4="Sí",1/DATOS_[[% normaliz]:[% normaliz]],1)*(DATOS_[C.Extra.07])))))))),
0)</f>
        <v>0</v>
      </c>
      <c r="AS67" s="173">
        <f t="array" ref="AS67">IFERROR(
(AVERAGE((IF(DATOS_[[Sexo]:[Sexo]]=$B67,IF(DATOS_[[AGRUP. VALOR. PTO.]:[AGRUP. VALOR. PTO.]]=$B66,IF(DATOS_[[Check Periodo Ref.]:[Check Periodo Ref.]]="Dentro",IF(DATOS_[[Check Equiparado]:[Check Equiparado]]="Sí",IF(DATOS!CD$5="Sí",(1/DATOS_[[% anualiz]:[% anualiz]]),1)*IF(DATOS!CD$4="Sí",1/DATOS_[[% normaliz]:[% normaliz]],1)*(DATOS_[C.Extra.08])))))))),
0)</f>
        <v>0</v>
      </c>
      <c r="AT67" s="173">
        <f t="array" ref="AT67">IFERROR(
(AVERAGE((IF(DATOS_[[Sexo]:[Sexo]]=$B67,IF(DATOS_[[AGRUP. VALOR. PTO.]:[AGRUP. VALOR. PTO.]]=$B66,IF(DATOS_[[Check Periodo Ref.]:[Check Periodo Ref.]]="Dentro",IF(DATOS_[[Check Equiparado]:[Check Equiparado]]="Sí",IF(DATOS!CG$5="Sí",(1/DATOS_[[% anualiz]:[% anualiz]]),1)*IF(DATOS!CG$4="Sí",1/DATOS_[[% normaliz]:[% normaliz]],1)*(DATOS_[C.Extra.11])))))))),
0)</f>
        <v>0</v>
      </c>
      <c r="AU67" s="197">
        <f t="array" ref="AU67">IFERROR(
AVERAGE(IF(DATOS_[Sexo]=$B67,IF(DATOS_[[AGRUP. VALOR. PTO.]:[AGRUP. VALOR. PTO.]]=$B66,IF(DATOS_[Check Equiparado]="Sí",IF(DATOS_[Check Periodo Ref.]="Dentro",DATOS_[Tot Extrasalarial Eq],FALSE))))),
0)</f>
        <v>0</v>
      </c>
      <c r="AV67" s="175">
        <f t="array" ref="AV67">IFERROR(
AVERAGE(IF(DATOS_[Sexo]=$B67,IF(DATOS_[[AGRUP. VALOR. PTO.]:[AGRUP. VALOR. PTO.]]=$B66,IF(DATOS_[Check Equiparado]="Sí",IF(DATOS_[Check Periodo Ref.]="Dentro",DATOS_[TOTAL Retrib Eq],FALSE))))),
0)</f>
        <v>0</v>
      </c>
    </row>
    <row r="68" spans="1:48" x14ac:dyDescent="0.25">
      <c r="A68" s="133" t="str">
        <f t="shared" ref="A68" si="74">+A67</f>
        <v>[ocultar]</v>
      </c>
      <c r="B68" s="202" t="s">
        <v>521</v>
      </c>
      <c r="C68" s="203">
        <f t="array" ref="C68">SUM(IF($B68=DATOS_[Sexo],
IF($B66=DATOS_[AGRUP. VALOR. PTO.],
IF("Dentro"=DATOS_[Check Periodo Ref.],
1/(COUNTIFS(DATOS_[Sexo],$B68,DATOS_[AGRUP. VALOR. PTO.],$B66,DATOS_[Check Periodo Ref.],"Dentro",DATOS_[id/cod],DATOS_[id/cod]))))))</f>
        <v>0</v>
      </c>
      <c r="D68" s="204">
        <f>COUNTIFS(DATOS_[AGRUP. VALOR. PTO.],$B66,DATOS_[Sexo],$B68,DATOS_[Check Periodo Ref.],"Dentro")</f>
        <v>0</v>
      </c>
      <c r="E68" s="204">
        <f>COUNTIFS(DATOS_[AGRUP. VALOR. PTO.],$B66,DATOS_[Sexo],$B68,DATOS_[Check Periodo Ref.],"Dentro",DATOS_[Check Nº SC Norm],"Sí")</f>
        <v>0</v>
      </c>
      <c r="F68" s="204">
        <f>COUNTIFS(DATOS_[AGRUP. VALOR. PTO.],$B66,DATOS_[Sexo],$B68,DATOS_[Check Periodo Ref.],"Dentro",DATOS_[Check Nº SC Anualiz],"Sí")</f>
        <v>0</v>
      </c>
      <c r="G68" s="204">
        <f>COUNTIFS(DATOS_[AGRUP. VALOR. PTO.],$B66,DATOS_[Sexo],$B68,DATOS_[Check Periodo Ref.],"Dentro",DATOS_[Check Nº SC Norm y Anualiz],"Sí")</f>
        <v>0</v>
      </c>
      <c r="H68" s="204">
        <f>COUNTIFS(DATOS_[AGRUP. VALOR. PTO.],$B66,DATOS_[Sexo],$B68,DATOS_[Check Periodo Ref.],"Dentro",DATOS_[Check Equiparación],"Sí")</f>
        <v>0</v>
      </c>
      <c r="I68" s="195" cm="1">
        <f t="array" ref="I68">IFERROR(
AVERAGE(IF(DATOS_[Sexo]=$B68,IF(DATOS_[[AGRUP. VALOR. PTO.]:[AGRUP. VALOR. PTO.]]=$B66,IF(DATOS_[Check Equiparado]="Sí",IF(DATOS_[Check Periodo Ref.]="Dentro",DATOS_[SALARIO BASE Eq],FALSE))))),
0)</f>
        <v>0</v>
      </c>
      <c r="J68" s="196">
        <f t="array" ref="J68">IFERROR(
(AVERAGE((IF(DATOS_[[Sexo]:[Sexo]]=$B68,IF(DATOS_[[AGRUP. VALOR. PTO.]:[AGRUP. VALOR. PTO.]]=$B66,IF(DATOS_[[Check Periodo Ref.]:[Check Periodo Ref.]]="Dentro",IF(DATOS_[[Check Equiparado]:[Check Equiparado]]="Sí",IF(DATOS!AE$5="Sí",(1/DATOS_[[% anualiz]:[% anualiz]]),1)*IF(DATOS!AE$4="Sí",1/DATOS_[[% normaliz]:[% normaliz]],1)*(DATOS_[Conc.Sal.01])))))))),
0)</f>
        <v>0</v>
      </c>
      <c r="K68" s="196">
        <f t="array" ref="K68">IFERROR(
(AVERAGE((IF(DATOS_[[Sexo]:[Sexo]]=$B68,IF(DATOS_[[AGRUP. VALOR. PTO.]:[AGRUP. VALOR. PTO.]]=$B66,IF(DATOS_[[Check Periodo Ref.]:[Check Periodo Ref.]]="Dentro",IF(DATOS_[[Check Equiparado]:[Check Equiparado]]="Sí",IF(DATOS!AF$5="Sí",(1/DATOS_[[% anualiz]:[% anualiz]]),1)*IF(DATOS!AF$4="Sí",1/DATOS_[[% normaliz]:[% normaliz]],1)*(DATOS_[Conc.Sal.02])))))))),
0)</f>
        <v>0</v>
      </c>
      <c r="L68" s="196">
        <f t="array" ref="L68">IFERROR(
(AVERAGE((IF(DATOS_[[Sexo]:[Sexo]]=$B68,IF(DATOS_[[AGRUP. VALOR. PTO.]:[AGRUP. VALOR. PTO.]]=$B66,IF(DATOS_[[Check Periodo Ref.]:[Check Periodo Ref.]]="Dentro",IF(DATOS_[[Check Equiparado]:[Check Equiparado]]="Sí",IF(DATOS!AG$5="Sí",(1/DATOS_[[% anualiz]:[% anualiz]]),1)*IF(DATOS!AG$4="Sí",1/DATOS_[[% normaliz]:[% normaliz]],1)*(DATOS_[Conc.Sal.03])))))))),
0)</f>
        <v>0</v>
      </c>
      <c r="M68" s="196">
        <f t="array" ref="M68">IFERROR(
(AVERAGE((IF(DATOS_[[Sexo]:[Sexo]]=$B68,IF(DATOS_[[AGRUP. VALOR. PTO.]:[AGRUP. VALOR. PTO.]]=$B66,IF(DATOS_[[Check Periodo Ref.]:[Check Periodo Ref.]]="Dentro",IF(DATOS_[[Check Equiparado]:[Check Equiparado]]="Sí",IF(DATOS!AH$5="Sí",(1/DATOS_[[% anualiz]:[% anualiz]]),1)*IF(DATOS!AH$4="Sí",1/DATOS_[[% normaliz]:[% normaliz]],1)*(DATOS_[Conc.Sal.04])))))))),
0)</f>
        <v>0</v>
      </c>
      <c r="N68" s="196">
        <f t="array" ref="N68">IFERROR(
(AVERAGE((IF(DATOS_[[Sexo]:[Sexo]]=$B68,IF(DATOS_[[AGRUP. VALOR. PTO.]:[AGRUP. VALOR. PTO.]]=$B66,IF(DATOS_[[Check Periodo Ref.]:[Check Periodo Ref.]]="Dentro",IF(DATOS_[[Check Equiparado]:[Check Equiparado]]="Sí",IF(DATOS!AI$5="Sí",(1/DATOS_[[% anualiz]:[% anualiz]]),1)*IF(DATOS!AI$4="Sí",1/DATOS_[[% normaliz]:[% normaliz]],1)*(DATOS_[Conc.Sal.05])))))))),
0)</f>
        <v>0</v>
      </c>
      <c r="O68" s="196">
        <f t="array" ref="O68">IFERROR(
(AVERAGE((IF(DATOS_[[Sexo]:[Sexo]]=$B68,IF(DATOS_[[AGRUP. VALOR. PTO.]:[AGRUP. VALOR. PTO.]]=$B66,IF(DATOS_[[Check Periodo Ref.]:[Check Periodo Ref.]]="Dentro",IF(DATOS_[[Check Equiparado]:[Check Equiparado]]="Sí",IF(DATOS!AJ$5="Sí",(1/DATOS_[[% anualiz]:[% anualiz]]),1)*IF(DATOS!AJ$4="Sí",1/DATOS_[[% normaliz]:[% normaliz]],1)*(DATOS_[Conc.Sal.06])))))))),
0)</f>
        <v>0</v>
      </c>
      <c r="P68" s="196">
        <f t="array" ref="P68">IFERROR(
(AVERAGE((IF(DATOS_[[Sexo]:[Sexo]]=$B68,IF(DATOS_[[AGRUP. VALOR. PTO.]:[AGRUP. VALOR. PTO.]]=$B66,IF(DATOS_[[Check Periodo Ref.]:[Check Periodo Ref.]]="Dentro",IF(DATOS_[[Check Equiparado]:[Check Equiparado]]="Sí",IF(DATOS!AK$5="Sí",(1/DATOS_[[% anualiz]:[% anualiz]]),1)*IF(DATOS!AK$4="Sí",1/DATOS_[[% normaliz]:[% normaliz]],1)*(DATOS_[Conc.Sal.07])))))))),
0)</f>
        <v>0</v>
      </c>
      <c r="Q68" s="196">
        <f t="array" ref="Q68">IFERROR(
(AVERAGE((IF(DATOS_[[Sexo]:[Sexo]]=$B68,IF(DATOS_[[AGRUP. VALOR. PTO.]:[AGRUP. VALOR. PTO.]]=$B66,IF(DATOS_[[Check Periodo Ref.]:[Check Periodo Ref.]]="Dentro",IF(DATOS_[[Check Equiparado]:[Check Equiparado]]="Sí",IF(DATOS!AL$5="Sí",(1/DATOS_[[% anualiz]:[% anualiz]]),1)*IF(DATOS!AL$4="Sí",1/DATOS_[[% normaliz]:[% normaliz]],1)*(DATOS_[Conc.Sal.08])))))))),
0)</f>
        <v>0</v>
      </c>
      <c r="R68" s="196">
        <f t="array" ref="R68">IFERROR(
(AVERAGE((IF(DATOS_[[Sexo]:[Sexo]]=$B68,IF(DATOS_[[AGRUP. VALOR. PTO.]:[AGRUP. VALOR. PTO.]]=$B66,IF(DATOS_[[Check Periodo Ref.]:[Check Periodo Ref.]]="Dentro",IF(DATOS_[[Check Equiparado]:[Check Equiparado]]="Sí",IF(DATOS!AM$5="Sí",(1/DATOS_[[% anualiz]:[% anualiz]]),1)*IF(DATOS!AM$4="Sí",1/DATOS_[[% normaliz]:[% normaliz]],1)*(DATOS_[Conc.Sal.09])))))))),
0)</f>
        <v>0</v>
      </c>
      <c r="S68" s="196">
        <f t="array" ref="S68">IFERROR(
(AVERAGE((IF(DATOS_[[Sexo]:[Sexo]]=$B68,IF(DATOS_[[AGRUP. VALOR. PTO.]:[AGRUP. VALOR. PTO.]]=$B66,IF(DATOS_[[Check Periodo Ref.]:[Check Periodo Ref.]]="Dentro",IF(DATOS_[[Check Equiparado]:[Check Equiparado]]="Sí",IF(DATOS!AN$5="Sí",(1/DATOS_[[% anualiz]:[% anualiz]]),1)*IF(DATOS!AN$4="Sí",1/DATOS_[[% normaliz]:[% normaliz]],1)*(DATOS_[Conc.Sal.10])))))))),
0)</f>
        <v>0</v>
      </c>
      <c r="T68" s="196">
        <f t="array" ref="T68">IFERROR(
(AVERAGE((IF(DATOS_[[Sexo]:[Sexo]]=$B68,IF(DATOS_[[AGRUP. VALOR. PTO.]:[AGRUP. VALOR. PTO.]]=$B66,IF(DATOS_[[Check Periodo Ref.]:[Check Periodo Ref.]]="Dentro",IF(DATOS_[[Check Equiparado]:[Check Equiparado]]="Sí",IF(DATOS!AO$5="Sí",(1/DATOS_[[% anualiz]:[% anualiz]]),1)*IF(DATOS!AO$4="Sí",1/DATOS_[[% normaliz]:[% normaliz]],1)*(DATOS_[Conc.Sal.11])))))))),
0)</f>
        <v>0</v>
      </c>
      <c r="U68" s="196">
        <f t="array" ref="U68">IFERROR(
(AVERAGE((IF(DATOS_[[Sexo]:[Sexo]]=$B68,IF(DATOS_[[AGRUP. VALOR. PTO.]:[AGRUP. VALOR. PTO.]]=$B66,IF(DATOS_[[Check Periodo Ref.]:[Check Periodo Ref.]]="Dentro",IF(DATOS_[[Check Equiparado]:[Check Equiparado]]="Sí",IF(DATOS!AP$5="Sí",(1/DATOS_[[% anualiz]:[% anualiz]]),1)*IF(DATOS!AP$4="Sí",1/DATOS_[[% normaliz]:[% normaliz]],1)*(DATOS_[Conc.Sal.12])))))))),
0)</f>
        <v>0</v>
      </c>
      <c r="V68" s="196">
        <f t="array" ref="V68">IFERROR(
(AVERAGE((IF(DATOS_[[Sexo]:[Sexo]]=$B68,IF(DATOS_[[AGRUP. VALOR. PTO.]:[AGRUP. VALOR. PTO.]]=$B66,IF(DATOS_[[Check Periodo Ref.]:[Check Periodo Ref.]]="Dentro",IF(DATOS_[[Check Equiparado]:[Check Equiparado]]="Sí",IF(DATOS!AQ$5="Sí",(1/DATOS_[[% anualiz]:[% anualiz]]),1)*IF(DATOS!AQ$4="Sí",1/DATOS_[[% normaliz]:[% normaliz]],1)*(DATOS_[Conc.Sal.13])))))))),
0)</f>
        <v>0</v>
      </c>
      <c r="W68" s="196">
        <f t="array" ref="W68">IFERROR(
(AVERAGE((IF(DATOS_[[Sexo]:[Sexo]]=$B68,IF(DATOS_[[AGRUP. VALOR. PTO.]:[AGRUP. VALOR. PTO.]]=$B66,IF(DATOS_[[Check Periodo Ref.]:[Check Periodo Ref.]]="Dentro",IF(DATOS_[[Check Equiparado]:[Check Equiparado]]="Sí",IF(DATOS!AR$5="Sí",(1/DATOS_[[% anualiz]:[% anualiz]]),1)*IF(DATOS!AR$4="Sí",1/DATOS_[[% normaliz]:[% normaliz]],1)*(DATOS_[Conc.Sal.14])))))))),
0)</f>
        <v>0</v>
      </c>
      <c r="X68" s="196">
        <f t="array" ref="X68">IFERROR(
(AVERAGE((IF(DATOS_[[Sexo]:[Sexo]]=$B68,IF(DATOS_[[AGRUP. VALOR. PTO.]:[AGRUP. VALOR. PTO.]]=$B66,IF(DATOS_[[Check Periodo Ref.]:[Check Periodo Ref.]]="Dentro",IF(DATOS_[[Check Equiparado]:[Check Equiparado]]="Sí",IF(DATOS!AS$5="Sí",(1/DATOS_[[% anualiz]:[% anualiz]]),1)*IF(DATOS!AS$4="Sí",1/DATOS_[[% normaliz]:[% normaliz]],1)*(DATOS_[Conc.Sal.15])))))))),
0)</f>
        <v>0</v>
      </c>
      <c r="Y68" s="196">
        <f t="array" ref="Y68">IFERROR(
(AVERAGE((IF(DATOS_[[Sexo]:[Sexo]]=$B68,IF(DATOS_[[AGRUP. VALOR. PTO.]:[AGRUP. VALOR. PTO.]]=$B66,IF(DATOS_[[Check Periodo Ref.]:[Check Periodo Ref.]]="Dentro",IF(DATOS_[[Check Equiparado]:[Check Equiparado]]="Sí",IF(DATOS!AT$5="Sí",(1/DATOS_[[% anualiz]:[% anualiz]]),1)*IF(DATOS!AT$4="Sí",1/DATOS_[[% normaliz]:[% normaliz]],1)*(DATOS_[Conc.Sal.16])))))))),
0)</f>
        <v>0</v>
      </c>
      <c r="Z68" s="196">
        <f t="array" ref="Z68">IFERROR(
(AVERAGE((IF(DATOS_[[Sexo]:[Sexo]]=$B68,IF(DATOS_[[AGRUP. VALOR. PTO.]:[AGRUP. VALOR. PTO.]]=$B66,IF(DATOS_[[Check Periodo Ref.]:[Check Periodo Ref.]]="Dentro",IF(DATOS_[[Check Equiparado]:[Check Equiparado]]="Sí",IF(DATOS!AU$5="Sí",(1/DATOS_[[% anualiz]:[% anualiz]]),1)*IF(DATOS!AU$4="Sí",1/DATOS_[[% normaliz]:[% normaliz]],1)*(DATOS_[Conc.Sal.17])))))))),
0)</f>
        <v>0</v>
      </c>
      <c r="AA68" s="196">
        <f t="array" ref="AA68">IFERROR(
(AVERAGE((IF(DATOS_[[Sexo]:[Sexo]]=$B68,IF(DATOS_[[AGRUP. VALOR. PTO.]:[AGRUP. VALOR. PTO.]]=$B66,IF(DATOS_[[Check Periodo Ref.]:[Check Periodo Ref.]]="Dentro",IF(DATOS_[[Check Equiparado]:[Check Equiparado]]="Sí",IF(DATOS!AV$5="Sí",(1/DATOS_[[% anualiz]:[% anualiz]]),1)*IF(DATOS!AV$4="Sí",1/DATOS_[[% normaliz]:[% normaliz]],1)*(DATOS_[Conc.Sal.18])))))))),
0)</f>
        <v>0</v>
      </c>
      <c r="AB68" s="196">
        <f t="array" ref="AB68">IFERROR(
(AVERAGE((IF(DATOS_[[Sexo]:[Sexo]]=$B68,IF(DATOS_[[AGRUP. VALOR. PTO.]:[AGRUP. VALOR. PTO.]]=$B66,IF(DATOS_[[Check Periodo Ref.]:[Check Periodo Ref.]]="Dentro",IF(DATOS_[[Check Equiparado]:[Check Equiparado]]="Sí",IF(DATOS!AW$5="Sí",(1/DATOS_[[% anualiz]:[% anualiz]]),1)*IF(DATOS!AW$4="Sí",1/DATOS_[[% normaliz]:[% normaliz]],1)*(DATOS_[Conc.Sal.19])))))))),
0)</f>
        <v>0</v>
      </c>
      <c r="AC68" s="196">
        <f t="array" ref="AC68">IFERROR(
(AVERAGE((IF(DATOS_[[Sexo]:[Sexo]]=$B68,IF(DATOS_[[AGRUP. VALOR. PTO.]:[AGRUP. VALOR. PTO.]]=$B66,IF(DATOS_[[Check Periodo Ref.]:[Check Periodo Ref.]]="Dentro",IF(DATOS_[[Check Equiparado]:[Check Equiparado]]="Sí",IF(DATOS!AX$5="Sí",(1/DATOS_[[% anualiz]:[% anualiz]]),1)*IF(DATOS!AX$4="Sí",1/DATOS_[[% normaliz]:[% normaliz]],1)*(DATOS_[Conc.Sal.20])))))))),
0)</f>
        <v>0</v>
      </c>
      <c r="AD68" s="196">
        <f t="array" ref="AD68">IFERROR(
(AVERAGE((IF(DATOS_[[Sexo]:[Sexo]]=$B68,IF(DATOS_[[AGRUP. VALOR. PTO.]:[AGRUP. VALOR. PTO.]]=$B66,IF(DATOS_[[Check Periodo Ref.]:[Check Periodo Ref.]]="Dentro",IF(DATOS_[[Check Equiparado]:[Check Equiparado]]="Sí",IF(DATOS!AY$5="Sí",(1/DATOS_[[% anualiz]:[% anualiz]]),1)*IF(DATOS!AY$4="Sí",1/DATOS_[[% normaliz]:[% normaliz]],1)*(DATOS_[Conc.Sal.21])))))))),
0)</f>
        <v>0</v>
      </c>
      <c r="AE68" s="196">
        <f t="array" ref="AE68">IFERROR(
(AVERAGE((IF(DATOS_[[Sexo]:[Sexo]]=$B68,IF(DATOS_[[AGRUP. VALOR. PTO.]:[AGRUP. VALOR. PTO.]]=$B66,IF(DATOS_[[Check Periodo Ref.]:[Check Periodo Ref.]]="Dentro",IF(DATOS_[[Check Equiparado]:[Check Equiparado]]="Sí",IF(DATOS!AZ$5="Sí",(1/DATOS_[[% anualiz]:[% anualiz]]),1)*IF(DATOS!AZ$4="Sí",1/DATOS_[[% normaliz]:[% normaliz]],1)*(DATOS_[Conc.Sal.22])))))))),
0)</f>
        <v>0</v>
      </c>
      <c r="AF68" s="196">
        <f t="array" ref="AF68">IFERROR(
(AVERAGE((IF(DATOS_[[Sexo]:[Sexo]]=$B68,IF(DATOS_[[AGRUP. VALOR. PTO.]:[AGRUP. VALOR. PTO.]]=$B66,IF(DATOS_[[Check Periodo Ref.]:[Check Periodo Ref.]]="Dentro",IF(DATOS_[[Check Equiparado]:[Check Equiparado]]="Sí",IF(DATOS!BA$5="Sí",(1/DATOS_[[% anualiz]:[% anualiz]]),1)*IF(DATOS!BA$4="Sí",1/DATOS_[[% normaliz]:[% normaliz]],1)*(DATOS_[Conc.Sal.23])))))))),
0)</f>
        <v>0</v>
      </c>
      <c r="AG68" s="196">
        <f t="array" ref="AG68">IFERROR(
(AVERAGE((IF(DATOS_[[Sexo]:[Sexo]]=$B68,IF(DATOS_[[AGRUP. VALOR. PTO.]:[AGRUP. VALOR. PTO.]]=$B66,IF(DATOS_[[Check Periodo Ref.]:[Check Periodo Ref.]]="Dentro",IF(DATOS_[[Check Equiparado]:[Check Equiparado]]="Sí",IF(DATOS!BB$5="Sí",(1/DATOS_[[% anualiz]:[% anualiz]]),1)*IF(DATOS!BB$4="Sí",1/DATOS_[[% normaliz]:[% normaliz]],1)*(DATOS_[Conc.Sal.24])))))))),
0)</f>
        <v>0</v>
      </c>
      <c r="AH68" s="196">
        <f t="array" ref="AH68">IFERROR(
(AVERAGE((IF(DATOS_[[Sexo]:[Sexo]]=$B68,IF(DATOS_[[AGRUP. VALOR. PTO.]:[AGRUP. VALOR. PTO.]]=$B66,IF(DATOS_[[Check Periodo Ref.]:[Check Periodo Ref.]]="Dentro",IF(DATOS_[[Check Equiparado]:[Check Equiparado]]="Sí",IF(DATOS!BC$5="Sí",(1/DATOS_[[% anualiz]:[% anualiz]]),1)*IF(DATOS!BC$4="Sí",1/DATOS_[[% normaliz]:[% normaliz]],1)*(DATOS_[Conc.Sal.25])))))))),
0)</f>
        <v>0</v>
      </c>
      <c r="AI68" s="196">
        <f t="array" ref="AI68">IFERROR(
(AVERAGE((IF(DATOS_[[Sexo]:[Sexo]]=$B68,IF(DATOS_[[AGRUP. VALOR. PTO.]:[AGRUP. VALOR. PTO.]]=$B66,IF(DATOS_[[Check Periodo Ref.]:[Check Periodo Ref.]]="Dentro",IF(DATOS_[[Check Equiparado]:[Check Equiparado]]="Sí",IF(DATOS!BD$5="Sí",(1/DATOS_[[% anualiz]:[% anualiz]]),1)*IF(DATOS!BD$4="Sí",1/DATOS_[[% normaliz]:[% normaliz]],1)*(DATOS_[Conc.Sal.26])))))))),
0)</f>
        <v>0</v>
      </c>
      <c r="AJ68" s="196">
        <f t="array" ref="AJ68">IFERROR(
(AVERAGE((IF(DATOS_[[Sexo]:[Sexo]]=$B68,IF(DATOS_[[AGRUP. VALOR. PTO.]:[AGRUP. VALOR. PTO.]]=$B66,IF(DATOS_[[Check Periodo Ref.]:[Check Periodo Ref.]]="Dentro",IF(DATOS_[[Check Equiparado]:[Check Equiparado]]="Sí",IF(DATOS!BE$5="Sí",(1/DATOS_[[% anualiz]:[% anualiz]]),1)*IF(DATOS!BE$4="Sí",1/DATOS_[[% normaliz]:[% normaliz]],1)*(DATOS_[Conc.Sal.27])))))))),
0)</f>
        <v>0</v>
      </c>
      <c r="AK68" s="196">
        <f t="array" ref="AK68">IFERROR(
(AVERAGE((IF(DATOS_[[Sexo]:[Sexo]]=$B68,IF(DATOS_[[AGRUP. VALOR. PTO.]:[AGRUP. VALOR. PTO.]]=$B66,IF(DATOS_[[Check Periodo Ref.]:[Check Periodo Ref.]]="Dentro",IF(DATOS_[[Check Equiparado]:[Check Equiparado]]="Sí",IF(DATOS!BF$5="Sí",(1/DATOS_[[% anualiz]:[% anualiz]]),1)*IF(DATOS!BF$4="Sí",1/DATOS_[[% normaliz]:[% normaliz]],1)*(DATOS_[Conc.Sal.28])))))))),
0)</f>
        <v>0</v>
      </c>
      <c r="AL68" s="196">
        <f t="array" ref="AL68">IFERROR(
(AVERAGE((IF(DATOS_[[Sexo]:[Sexo]]=$B68,IF(DATOS_[[AGRUP. VALOR. PTO.]:[AGRUP. VALOR. PTO.]]=$B66,IF(DATOS_[[Check Periodo Ref.]:[Check Periodo Ref.]]="Dentro",IF(DATOS_[[Check Equiparado]:[Check Equiparado]]="Sí",IF(DATOS!BG$5="Sí",(1/DATOS_[[% anualiz]:[% anualiz]]),1)*IF(DATOS!BG$4="Sí",1/DATOS_[[% normaliz]:[% normaliz]],1)*(DATOS_[Conc.Sal.29])))))))),
0)</f>
        <v>0</v>
      </c>
      <c r="AM68" s="196">
        <f t="array" ref="AM68">IFERROR(
(AVERAGE((IF(DATOS_[[Sexo]:[Sexo]]=$B68,IF(DATOS_[[AGRUP. VALOR. PTO.]:[AGRUP. VALOR. PTO.]]=$B66,IF(DATOS_[[Check Periodo Ref.]:[Check Periodo Ref.]]="Dentro",IF(DATOS_[[Check Equiparado]:[Check Equiparado]]="Sí",IF(DATOS!BH$5="Sí",(1/DATOS_[[% anualiz]:[% anualiz]]),1)*IF(DATOS!BH$4="Sí",1/DATOS_[[% normaliz]:[% normaliz]],1)*(DATOS_[Conc.Sal.30])))))))),
0)</f>
        <v>0</v>
      </c>
      <c r="AN68" s="195">
        <f t="array" ref="AN68">IFERROR(
AVERAGE(IF(DATOS_[Sexo]=$B68,IF(DATOS_[[AGRUP. VALOR. PTO.]:[AGRUP. VALOR. PTO.]]=$B66,IF(DATOS_[Check Equiparado]="Sí",IF(DATOS_[Check Periodo Ref.]="Dentro",DATOS_[Tot COMPL.SAL Eq],FALSE))))),
0)</f>
        <v>0</v>
      </c>
      <c r="AO68" s="172">
        <f t="array" ref="AO68">IFERROR(
AVERAGE(IF(DATOS_[Sexo]=$B68,IF(DATOS_[[AGRUP. VALOR. PTO.]:[AGRUP. VALOR. PTO.]]=$B66,IF(DATOS_[Check Equiparado]="Sí",IF(DATOS_[Check Periodo Ref.]="Dentro",DATOS_[TOTAL SALARIO Eq],FALSE))))),
0)</f>
        <v>0</v>
      </c>
      <c r="AP68" s="173">
        <f t="array" ref="AP68">IFERROR(
(AVERAGE((IF(DATOS_[[Sexo]:[Sexo]]=$B68,IF(DATOS_[[AGRUP. VALOR. PTO.]:[AGRUP. VALOR. PTO.]]=$B66,IF(DATOS_[[Check Periodo Ref.]:[Check Periodo Ref.]]="Dentro",IF(DATOS_[[Check Equiparado]:[Check Equiparado]]="Sí",IF(DATOS!BW$5="Sí",(1/DATOS_[[% anualiz]:[% anualiz]]),1)*IF(DATOS!BW$4="Sí",1/DATOS_[[% normaliz]:[% normaliz]],1)*(DATOS_[C.Extra.01])))))))),
0)</f>
        <v>0</v>
      </c>
      <c r="AQ68" s="173">
        <f t="array" ref="AQ68">IFERROR(
(AVERAGE((IF(DATOS_[[Sexo]:[Sexo]]=$B68,IF(DATOS_[[AGRUP. VALOR. PTO.]:[AGRUP. VALOR. PTO.]]=$B66,IF(DATOS_[[Check Periodo Ref.]:[Check Periodo Ref.]]="Dentro",IF(DATOS_[[Check Equiparado]:[Check Equiparado]]="Sí",IF(DATOS!CB$5="Sí",(1/DATOS_[[% anualiz]:[% anualiz]]),1)*IF(DATOS!CB$4="Sí",1/DATOS_[[% normaliz]:[% normaliz]],1)*(DATOS_[C.Extra.06])))))))),
0)</f>
        <v>0</v>
      </c>
      <c r="AR68" s="173">
        <f t="array" ref="AR68">IFERROR(
(AVERAGE((IF(DATOS_[[Sexo]:[Sexo]]=$B68,IF(DATOS_[[AGRUP. VALOR. PTO.]:[AGRUP. VALOR. PTO.]]=$B66,IF(DATOS_[[Check Periodo Ref.]:[Check Periodo Ref.]]="Dentro",IF(DATOS_[[Check Equiparado]:[Check Equiparado]]="Sí",IF(DATOS!CC$5="Sí",(1/DATOS_[[% anualiz]:[% anualiz]]),1)*IF(DATOS!CC$4="Sí",1/DATOS_[[% normaliz]:[% normaliz]],1)*(DATOS_[C.Extra.07])))))))),
0)</f>
        <v>0</v>
      </c>
      <c r="AS68" s="173">
        <f t="array" ref="AS68">IFERROR(
(AVERAGE((IF(DATOS_[[Sexo]:[Sexo]]=$B68,IF(DATOS_[[AGRUP. VALOR. PTO.]:[AGRUP. VALOR. PTO.]]=$B66,IF(DATOS_[[Check Periodo Ref.]:[Check Periodo Ref.]]="Dentro",IF(DATOS_[[Check Equiparado]:[Check Equiparado]]="Sí",IF(DATOS!CD$5="Sí",(1/DATOS_[[% anualiz]:[% anualiz]]),1)*IF(DATOS!CD$4="Sí",1/DATOS_[[% normaliz]:[% normaliz]],1)*(DATOS_[C.Extra.08])))))))),
0)</f>
        <v>0</v>
      </c>
      <c r="AT68" s="173">
        <f t="array" ref="AT68">IFERROR(
(AVERAGE((IF(DATOS_[[Sexo]:[Sexo]]=$B68,IF(DATOS_[[AGRUP. VALOR. PTO.]:[AGRUP. VALOR. PTO.]]=$B66,IF(DATOS_[[Check Periodo Ref.]:[Check Periodo Ref.]]="Dentro",IF(DATOS_[[Check Equiparado]:[Check Equiparado]]="Sí",IF(DATOS!CG$5="Sí",(1/DATOS_[[% anualiz]:[% anualiz]]),1)*IF(DATOS!CG$4="Sí",1/DATOS_[[% normaliz]:[% normaliz]],1)*(DATOS_[C.Extra.11])))))))),
0)</f>
        <v>0</v>
      </c>
      <c r="AU68" s="197">
        <f t="array" ref="AU68">IFERROR(
AVERAGE(IF(DATOS_[Sexo]=$B68,IF(DATOS_[[AGRUP. VALOR. PTO.]:[AGRUP. VALOR. PTO.]]=$B66,IF(DATOS_[Check Equiparado]="Sí",IF(DATOS_[Check Periodo Ref.]="Dentro",DATOS_[Tot Extrasalarial Eq],FALSE))))),
0)</f>
        <v>0</v>
      </c>
      <c r="AV68" s="175">
        <f t="array" ref="AV68">IFERROR(
AVERAGE(IF(DATOS_[Sexo]=$B68,IF(DATOS_[[AGRUP. VALOR. PTO.]:[AGRUP. VALOR. PTO.]]=$B66,IF(DATOS_[Check Equiparado]="Sí",IF(DATOS_[Check Periodo Ref.]="Dentro",DATOS_[TOTAL Retrib Eq],FALSE))))),
0)</f>
        <v>0</v>
      </c>
    </row>
    <row r="69" spans="1:48" ht="15.6" thickBot="1" x14ac:dyDescent="0.3">
      <c r="A69" s="133" t="str">
        <f t="shared" ref="A69" si="75">+A70</f>
        <v>[ocultar]</v>
      </c>
      <c r="B69" s="199" t="s">
        <v>253</v>
      </c>
      <c r="C69" s="200"/>
      <c r="D69" s="201"/>
      <c r="E69" s="201"/>
      <c r="F69" s="201"/>
      <c r="G69" s="201"/>
      <c r="H69" s="201"/>
      <c r="I69" s="189" t="str">
        <f t="shared" ref="I69:AV69" si="76">IFERROR((I70-I71)/I70,"")</f>
        <v/>
      </c>
      <c r="J69" s="190" t="str">
        <f t="shared" si="76"/>
        <v/>
      </c>
      <c r="K69" s="191" t="str">
        <f t="shared" si="76"/>
        <v/>
      </c>
      <c r="L69" s="191" t="str">
        <f t="shared" si="76"/>
        <v/>
      </c>
      <c r="M69" s="191" t="str">
        <f t="shared" si="76"/>
        <v/>
      </c>
      <c r="N69" s="192" t="str">
        <f t="shared" si="76"/>
        <v/>
      </c>
      <c r="O69" s="193" t="str">
        <f t="shared" si="76"/>
        <v/>
      </c>
      <c r="P69" s="193" t="str">
        <f t="shared" si="76"/>
        <v/>
      </c>
      <c r="Q69" s="193" t="str">
        <f t="shared" si="76"/>
        <v/>
      </c>
      <c r="R69" s="193" t="str">
        <f t="shared" si="76"/>
        <v/>
      </c>
      <c r="S69" s="193" t="str">
        <f t="shared" si="76"/>
        <v/>
      </c>
      <c r="T69" s="193" t="str">
        <f t="shared" si="76"/>
        <v/>
      </c>
      <c r="U69" s="193" t="str">
        <f t="shared" si="76"/>
        <v/>
      </c>
      <c r="V69" s="193" t="str">
        <f t="shared" si="76"/>
        <v/>
      </c>
      <c r="W69" s="193" t="str">
        <f t="shared" si="76"/>
        <v/>
      </c>
      <c r="X69" s="193" t="str">
        <f t="shared" si="76"/>
        <v/>
      </c>
      <c r="Y69" s="193" t="str">
        <f t="shared" si="76"/>
        <v/>
      </c>
      <c r="Z69" s="193" t="str">
        <f t="shared" si="76"/>
        <v/>
      </c>
      <c r="AA69" s="193" t="str">
        <f t="shared" si="76"/>
        <v/>
      </c>
      <c r="AB69" s="193" t="str">
        <f t="shared" si="76"/>
        <v/>
      </c>
      <c r="AC69" s="193" t="str">
        <f t="shared" si="76"/>
        <v/>
      </c>
      <c r="AD69" s="193" t="str">
        <f t="shared" si="76"/>
        <v/>
      </c>
      <c r="AE69" s="193" t="str">
        <f t="shared" si="76"/>
        <v/>
      </c>
      <c r="AF69" s="193" t="str">
        <f t="shared" si="76"/>
        <v/>
      </c>
      <c r="AG69" s="193" t="str">
        <f t="shared" si="76"/>
        <v/>
      </c>
      <c r="AH69" s="193" t="str">
        <f t="shared" si="76"/>
        <v/>
      </c>
      <c r="AI69" s="193" t="str">
        <f t="shared" si="76"/>
        <v/>
      </c>
      <c r="AJ69" s="193" t="str">
        <f t="shared" si="76"/>
        <v/>
      </c>
      <c r="AK69" s="193" t="str">
        <f t="shared" si="76"/>
        <v/>
      </c>
      <c r="AL69" s="193" t="str">
        <f t="shared" si="76"/>
        <v/>
      </c>
      <c r="AM69" s="193" t="str">
        <f t="shared" si="76"/>
        <v/>
      </c>
      <c r="AN69" s="189" t="str">
        <f t="shared" si="76"/>
        <v/>
      </c>
      <c r="AO69" s="162" t="str">
        <f t="shared" si="76"/>
        <v/>
      </c>
      <c r="AP69" s="163" t="str">
        <f t="shared" si="76"/>
        <v/>
      </c>
      <c r="AQ69" s="163" t="str">
        <f t="shared" si="76"/>
        <v/>
      </c>
      <c r="AR69" s="163" t="str">
        <f t="shared" si="76"/>
        <v/>
      </c>
      <c r="AS69" s="163" t="str">
        <f t="shared" si="76"/>
        <v/>
      </c>
      <c r="AT69" s="163" t="str">
        <f t="shared" si="76"/>
        <v/>
      </c>
      <c r="AU69" s="194" t="str">
        <f t="shared" si="76"/>
        <v/>
      </c>
      <c r="AV69" s="165" t="str">
        <f t="shared" si="76"/>
        <v/>
      </c>
    </row>
    <row r="70" spans="1:48" x14ac:dyDescent="0.25">
      <c r="A70" s="133" t="str">
        <f t="shared" ref="A70" si="77">+IF(C70+C71=0,"[ocultar]","")</f>
        <v>[ocultar]</v>
      </c>
      <c r="B70" s="202" t="s">
        <v>394</v>
      </c>
      <c r="C70" s="203">
        <f t="array" ref="C70">SUM(IF($B70=DATOS_[Sexo],
IF($B69=DATOS_[AGRUP. VALOR. PTO.],
IF("Dentro"=DATOS_[Check Periodo Ref.],
1/(COUNTIFS(DATOS_[Sexo],$B70,DATOS_[AGRUP. VALOR. PTO.],$B69,DATOS_[Check Periodo Ref.],"Dentro",DATOS_[id/cod],DATOS_[id/cod]))))))</f>
        <v>0</v>
      </c>
      <c r="D70" s="204">
        <f>COUNTIFS(DATOS_[AGRUP. VALOR. PTO.],$B69,DATOS_[Sexo],$B70,DATOS_[Check Periodo Ref.],"Dentro")</f>
        <v>0</v>
      </c>
      <c r="E70" s="204">
        <f>COUNTIFS(DATOS_[AGRUP. VALOR. PTO.],$B69,DATOS_[Sexo],$B70,DATOS_[Check Periodo Ref.],"Dentro",DATOS_[Check Nº SC Norm],"Sí")</f>
        <v>0</v>
      </c>
      <c r="F70" s="204">
        <f>COUNTIFS(DATOS_[AGRUP. VALOR. PTO.],$B69,DATOS_[Sexo],$B70,DATOS_[Check Periodo Ref.],"Dentro",DATOS_[Check Nº SC Anualiz],"Sí")</f>
        <v>0</v>
      </c>
      <c r="G70" s="204">
        <f>COUNTIFS(DATOS_[AGRUP. VALOR. PTO.],$B69,DATOS_[Sexo],$B70,DATOS_[Check Periodo Ref.],"Dentro",DATOS_[Check Nº SC Norm y Anualiz],"Sí")</f>
        <v>0</v>
      </c>
      <c r="H70" s="204">
        <f>COUNTIFS(DATOS_[AGRUP. VALOR. PTO.],$B69,DATOS_[Sexo],$B70,DATOS_[Check Periodo Ref.],"Dentro",DATOS_[Check Equiparación],"Sí")</f>
        <v>0</v>
      </c>
      <c r="I70" s="195">
        <f t="array" ref="I70">IFERROR(
AVERAGE(IF(DATOS_[Sexo]=$B70,IF(DATOS_[[AGRUP. VALOR. PTO.]:[AGRUP. VALOR. PTO.]]=$B69,IF(DATOS_[Check Equiparado]="Sí",IF(DATOS_[Check Periodo Ref.]="Dentro",DATOS_[SALARIO BASE Eq],FALSE))))),
0)</f>
        <v>0</v>
      </c>
      <c r="J70" s="196">
        <f t="array" ref="J70">IFERROR(
(AVERAGE((IF(DATOS_[[Sexo]:[Sexo]]=$B70,IF(DATOS_[[AGRUP. VALOR. PTO.]:[AGRUP. VALOR. PTO.]]=$B69,IF(DATOS_[[Check Periodo Ref.]:[Check Periodo Ref.]]="Dentro",IF(DATOS_[[Check Equiparado]:[Check Equiparado]]="Sí",IF(DATOS!AE$5="Sí",(1/DATOS_[[% anualiz]:[% anualiz]]),1)*IF(DATOS!AE$4="Sí",1/DATOS_[[% normaliz]:[% normaliz]],1)*(DATOS_[Conc.Sal.01])))))))),
0)</f>
        <v>0</v>
      </c>
      <c r="K70" s="196">
        <f t="array" ref="K70">IFERROR(
(AVERAGE((IF(DATOS_[[Sexo]:[Sexo]]=$B70,IF(DATOS_[[AGRUP. VALOR. PTO.]:[AGRUP. VALOR. PTO.]]=$B69,IF(DATOS_[[Check Periodo Ref.]:[Check Periodo Ref.]]="Dentro",IF(DATOS_[[Check Equiparado]:[Check Equiparado]]="Sí",IF(DATOS!AF$5="Sí",(1/DATOS_[[% anualiz]:[% anualiz]]),1)*IF(DATOS!AF$4="Sí",1/DATOS_[[% normaliz]:[% normaliz]],1)*(DATOS_[Conc.Sal.02])))))))),
0)</f>
        <v>0</v>
      </c>
      <c r="L70" s="196">
        <f t="array" ref="L70">IFERROR(
(AVERAGE((IF(DATOS_[[Sexo]:[Sexo]]=$B70,IF(DATOS_[[AGRUP. VALOR. PTO.]:[AGRUP. VALOR. PTO.]]=$B69,IF(DATOS_[[Check Periodo Ref.]:[Check Periodo Ref.]]="Dentro",IF(DATOS_[[Check Equiparado]:[Check Equiparado]]="Sí",IF(DATOS!AG$5="Sí",(1/DATOS_[[% anualiz]:[% anualiz]]),1)*IF(DATOS!AG$4="Sí",1/DATOS_[[% normaliz]:[% normaliz]],1)*(DATOS_[Conc.Sal.03])))))))),
0)</f>
        <v>0</v>
      </c>
      <c r="M70" s="196">
        <f t="array" ref="M70">IFERROR(
(AVERAGE((IF(DATOS_[[Sexo]:[Sexo]]=$B70,IF(DATOS_[[AGRUP. VALOR. PTO.]:[AGRUP. VALOR. PTO.]]=$B69,IF(DATOS_[[Check Periodo Ref.]:[Check Periodo Ref.]]="Dentro",IF(DATOS_[[Check Equiparado]:[Check Equiparado]]="Sí",IF(DATOS!AH$5="Sí",(1/DATOS_[[% anualiz]:[% anualiz]]),1)*IF(DATOS!AH$4="Sí",1/DATOS_[[% normaliz]:[% normaliz]],1)*(DATOS_[Conc.Sal.04])))))))),
0)</f>
        <v>0</v>
      </c>
      <c r="N70" s="196">
        <f t="array" ref="N70">IFERROR(
(AVERAGE((IF(DATOS_[[Sexo]:[Sexo]]=$B70,IF(DATOS_[[AGRUP. VALOR. PTO.]:[AGRUP. VALOR. PTO.]]=$B69,IF(DATOS_[[Check Periodo Ref.]:[Check Periodo Ref.]]="Dentro",IF(DATOS_[[Check Equiparado]:[Check Equiparado]]="Sí",IF(DATOS!AI$5="Sí",(1/DATOS_[[% anualiz]:[% anualiz]]),1)*IF(DATOS!AI$4="Sí",1/DATOS_[[% normaliz]:[% normaliz]],1)*(DATOS_[Conc.Sal.05])))))))),
0)</f>
        <v>0</v>
      </c>
      <c r="O70" s="196">
        <f t="array" ref="O70">IFERROR(
(AVERAGE((IF(DATOS_[[Sexo]:[Sexo]]=$B70,IF(DATOS_[[AGRUP. VALOR. PTO.]:[AGRUP. VALOR. PTO.]]=$B69,IF(DATOS_[[Check Periodo Ref.]:[Check Periodo Ref.]]="Dentro",IF(DATOS_[[Check Equiparado]:[Check Equiparado]]="Sí",IF(DATOS!AJ$5="Sí",(1/DATOS_[[% anualiz]:[% anualiz]]),1)*IF(DATOS!AJ$4="Sí",1/DATOS_[[% normaliz]:[% normaliz]],1)*(DATOS_[Conc.Sal.06])))))))),
0)</f>
        <v>0</v>
      </c>
      <c r="P70" s="196">
        <f t="array" ref="P70">IFERROR(
(AVERAGE((IF(DATOS_[[Sexo]:[Sexo]]=$B70,IF(DATOS_[[AGRUP. VALOR. PTO.]:[AGRUP. VALOR. PTO.]]=$B69,IF(DATOS_[[Check Periodo Ref.]:[Check Periodo Ref.]]="Dentro",IF(DATOS_[[Check Equiparado]:[Check Equiparado]]="Sí",IF(DATOS!AK$5="Sí",(1/DATOS_[[% anualiz]:[% anualiz]]),1)*IF(DATOS!AK$4="Sí",1/DATOS_[[% normaliz]:[% normaliz]],1)*(DATOS_[Conc.Sal.07])))))))),
0)</f>
        <v>0</v>
      </c>
      <c r="Q70" s="196">
        <f t="array" ref="Q70">IFERROR(
(AVERAGE((IF(DATOS_[[Sexo]:[Sexo]]=$B70,IF(DATOS_[[AGRUP. VALOR. PTO.]:[AGRUP. VALOR. PTO.]]=$B69,IF(DATOS_[[Check Periodo Ref.]:[Check Periodo Ref.]]="Dentro",IF(DATOS_[[Check Equiparado]:[Check Equiparado]]="Sí",IF(DATOS!AL$5="Sí",(1/DATOS_[[% anualiz]:[% anualiz]]),1)*IF(DATOS!AL$4="Sí",1/DATOS_[[% normaliz]:[% normaliz]],1)*(DATOS_[Conc.Sal.08])))))))),
0)</f>
        <v>0</v>
      </c>
      <c r="R70" s="196">
        <f t="array" ref="R70">IFERROR(
(AVERAGE((IF(DATOS_[[Sexo]:[Sexo]]=$B70,IF(DATOS_[[AGRUP. VALOR. PTO.]:[AGRUP. VALOR. PTO.]]=$B69,IF(DATOS_[[Check Periodo Ref.]:[Check Periodo Ref.]]="Dentro",IF(DATOS_[[Check Equiparado]:[Check Equiparado]]="Sí",IF(DATOS!AM$5="Sí",(1/DATOS_[[% anualiz]:[% anualiz]]),1)*IF(DATOS!AM$4="Sí",1/DATOS_[[% normaliz]:[% normaliz]],1)*(DATOS_[Conc.Sal.09])))))))),
0)</f>
        <v>0</v>
      </c>
      <c r="S70" s="196">
        <f t="array" ref="S70">IFERROR(
(AVERAGE((IF(DATOS_[[Sexo]:[Sexo]]=$B70,IF(DATOS_[[AGRUP. VALOR. PTO.]:[AGRUP. VALOR. PTO.]]=$B69,IF(DATOS_[[Check Periodo Ref.]:[Check Periodo Ref.]]="Dentro",IF(DATOS_[[Check Equiparado]:[Check Equiparado]]="Sí",IF(DATOS!AN$5="Sí",(1/DATOS_[[% anualiz]:[% anualiz]]),1)*IF(DATOS!AN$4="Sí",1/DATOS_[[% normaliz]:[% normaliz]],1)*(DATOS_[Conc.Sal.10])))))))),
0)</f>
        <v>0</v>
      </c>
      <c r="T70" s="196">
        <f t="array" ref="T70">IFERROR(
(AVERAGE((IF(DATOS_[[Sexo]:[Sexo]]=$B70,IF(DATOS_[[AGRUP. VALOR. PTO.]:[AGRUP. VALOR. PTO.]]=$B69,IF(DATOS_[[Check Periodo Ref.]:[Check Periodo Ref.]]="Dentro",IF(DATOS_[[Check Equiparado]:[Check Equiparado]]="Sí",IF(DATOS!AO$5="Sí",(1/DATOS_[[% anualiz]:[% anualiz]]),1)*IF(DATOS!AO$4="Sí",1/DATOS_[[% normaliz]:[% normaliz]],1)*(DATOS_[Conc.Sal.11])))))))),
0)</f>
        <v>0</v>
      </c>
      <c r="U70" s="196">
        <f t="array" ref="U70">IFERROR(
(AVERAGE((IF(DATOS_[[Sexo]:[Sexo]]=$B70,IF(DATOS_[[AGRUP. VALOR. PTO.]:[AGRUP. VALOR. PTO.]]=$B69,IF(DATOS_[[Check Periodo Ref.]:[Check Periodo Ref.]]="Dentro",IF(DATOS_[[Check Equiparado]:[Check Equiparado]]="Sí",IF(DATOS!AP$5="Sí",(1/DATOS_[[% anualiz]:[% anualiz]]),1)*IF(DATOS!AP$4="Sí",1/DATOS_[[% normaliz]:[% normaliz]],1)*(DATOS_[Conc.Sal.12])))))))),
0)</f>
        <v>0</v>
      </c>
      <c r="V70" s="196">
        <f t="array" ref="V70">IFERROR(
(AVERAGE((IF(DATOS_[[Sexo]:[Sexo]]=$B70,IF(DATOS_[[AGRUP. VALOR. PTO.]:[AGRUP. VALOR. PTO.]]=$B69,IF(DATOS_[[Check Periodo Ref.]:[Check Periodo Ref.]]="Dentro",IF(DATOS_[[Check Equiparado]:[Check Equiparado]]="Sí",IF(DATOS!AQ$5="Sí",(1/DATOS_[[% anualiz]:[% anualiz]]),1)*IF(DATOS!AQ$4="Sí",1/DATOS_[[% normaliz]:[% normaliz]],1)*(DATOS_[Conc.Sal.13])))))))),
0)</f>
        <v>0</v>
      </c>
      <c r="W70" s="196">
        <f t="array" ref="W70">IFERROR(
(AVERAGE((IF(DATOS_[[Sexo]:[Sexo]]=$B70,IF(DATOS_[[AGRUP. VALOR. PTO.]:[AGRUP. VALOR. PTO.]]=$B69,IF(DATOS_[[Check Periodo Ref.]:[Check Periodo Ref.]]="Dentro",IF(DATOS_[[Check Equiparado]:[Check Equiparado]]="Sí",IF(DATOS!AR$5="Sí",(1/DATOS_[[% anualiz]:[% anualiz]]),1)*IF(DATOS!AR$4="Sí",1/DATOS_[[% normaliz]:[% normaliz]],1)*(DATOS_[Conc.Sal.14])))))))),
0)</f>
        <v>0</v>
      </c>
      <c r="X70" s="196">
        <f t="array" ref="X70">IFERROR(
(AVERAGE((IF(DATOS_[[Sexo]:[Sexo]]=$B70,IF(DATOS_[[AGRUP. VALOR. PTO.]:[AGRUP. VALOR. PTO.]]=$B69,IF(DATOS_[[Check Periodo Ref.]:[Check Periodo Ref.]]="Dentro",IF(DATOS_[[Check Equiparado]:[Check Equiparado]]="Sí",IF(DATOS!AS$5="Sí",(1/DATOS_[[% anualiz]:[% anualiz]]),1)*IF(DATOS!AS$4="Sí",1/DATOS_[[% normaliz]:[% normaliz]],1)*(DATOS_[Conc.Sal.15])))))))),
0)</f>
        <v>0</v>
      </c>
      <c r="Y70" s="196">
        <f t="array" ref="Y70">IFERROR(
(AVERAGE((IF(DATOS_[[Sexo]:[Sexo]]=$B70,IF(DATOS_[[AGRUP. VALOR. PTO.]:[AGRUP. VALOR. PTO.]]=$B69,IF(DATOS_[[Check Periodo Ref.]:[Check Periodo Ref.]]="Dentro",IF(DATOS_[[Check Equiparado]:[Check Equiparado]]="Sí",IF(DATOS!AT$5="Sí",(1/DATOS_[[% anualiz]:[% anualiz]]),1)*IF(DATOS!AT$4="Sí",1/DATOS_[[% normaliz]:[% normaliz]],1)*(DATOS_[Conc.Sal.16])))))))),
0)</f>
        <v>0</v>
      </c>
      <c r="Z70" s="196">
        <f t="array" ref="Z70">IFERROR(
(AVERAGE((IF(DATOS_[[Sexo]:[Sexo]]=$B70,IF(DATOS_[[AGRUP. VALOR. PTO.]:[AGRUP. VALOR. PTO.]]=$B69,IF(DATOS_[[Check Periodo Ref.]:[Check Periodo Ref.]]="Dentro",IF(DATOS_[[Check Equiparado]:[Check Equiparado]]="Sí",IF(DATOS!AU$5="Sí",(1/DATOS_[[% anualiz]:[% anualiz]]),1)*IF(DATOS!AU$4="Sí",1/DATOS_[[% normaliz]:[% normaliz]],1)*(DATOS_[Conc.Sal.17])))))))),
0)</f>
        <v>0</v>
      </c>
      <c r="AA70" s="196">
        <f t="array" ref="AA70">IFERROR(
(AVERAGE((IF(DATOS_[[Sexo]:[Sexo]]=$B70,IF(DATOS_[[AGRUP. VALOR. PTO.]:[AGRUP. VALOR. PTO.]]=$B69,IF(DATOS_[[Check Periodo Ref.]:[Check Periodo Ref.]]="Dentro",IF(DATOS_[[Check Equiparado]:[Check Equiparado]]="Sí",IF(DATOS!AV$5="Sí",(1/DATOS_[[% anualiz]:[% anualiz]]),1)*IF(DATOS!AV$4="Sí",1/DATOS_[[% normaliz]:[% normaliz]],1)*(DATOS_[Conc.Sal.18])))))))),
0)</f>
        <v>0</v>
      </c>
      <c r="AB70" s="196">
        <f t="array" ref="AB70">IFERROR(
(AVERAGE((IF(DATOS_[[Sexo]:[Sexo]]=$B70,IF(DATOS_[[AGRUP. VALOR. PTO.]:[AGRUP. VALOR. PTO.]]=$B69,IF(DATOS_[[Check Periodo Ref.]:[Check Periodo Ref.]]="Dentro",IF(DATOS_[[Check Equiparado]:[Check Equiparado]]="Sí",IF(DATOS!AW$5="Sí",(1/DATOS_[[% anualiz]:[% anualiz]]),1)*IF(DATOS!AW$4="Sí",1/DATOS_[[% normaliz]:[% normaliz]],1)*(DATOS_[Conc.Sal.19])))))))),
0)</f>
        <v>0</v>
      </c>
      <c r="AC70" s="196">
        <f t="array" ref="AC70">IFERROR(
(AVERAGE((IF(DATOS_[[Sexo]:[Sexo]]=$B70,IF(DATOS_[[AGRUP. VALOR. PTO.]:[AGRUP. VALOR. PTO.]]=$B69,IF(DATOS_[[Check Periodo Ref.]:[Check Periodo Ref.]]="Dentro",IF(DATOS_[[Check Equiparado]:[Check Equiparado]]="Sí",IF(DATOS!AX$5="Sí",(1/DATOS_[[% anualiz]:[% anualiz]]),1)*IF(DATOS!AX$4="Sí",1/DATOS_[[% normaliz]:[% normaliz]],1)*(DATOS_[Conc.Sal.20])))))))),
0)</f>
        <v>0</v>
      </c>
      <c r="AD70" s="196">
        <f t="array" ref="AD70">IFERROR(
(AVERAGE((IF(DATOS_[[Sexo]:[Sexo]]=$B70,IF(DATOS_[[AGRUP. VALOR. PTO.]:[AGRUP. VALOR. PTO.]]=$B69,IF(DATOS_[[Check Periodo Ref.]:[Check Periodo Ref.]]="Dentro",IF(DATOS_[[Check Equiparado]:[Check Equiparado]]="Sí",IF(DATOS!AY$5="Sí",(1/DATOS_[[% anualiz]:[% anualiz]]),1)*IF(DATOS!AY$4="Sí",1/DATOS_[[% normaliz]:[% normaliz]],1)*(DATOS_[Conc.Sal.21])))))))),
0)</f>
        <v>0</v>
      </c>
      <c r="AE70" s="196">
        <f t="array" ref="AE70">IFERROR(
(AVERAGE((IF(DATOS_[[Sexo]:[Sexo]]=$B70,IF(DATOS_[[AGRUP. VALOR. PTO.]:[AGRUP. VALOR. PTO.]]=$B69,IF(DATOS_[[Check Periodo Ref.]:[Check Periodo Ref.]]="Dentro",IF(DATOS_[[Check Equiparado]:[Check Equiparado]]="Sí",IF(DATOS!AZ$5="Sí",(1/DATOS_[[% anualiz]:[% anualiz]]),1)*IF(DATOS!AZ$4="Sí",1/DATOS_[[% normaliz]:[% normaliz]],1)*(DATOS_[Conc.Sal.22])))))))),
0)</f>
        <v>0</v>
      </c>
      <c r="AF70" s="196">
        <f t="array" ref="AF70">IFERROR(
(AVERAGE((IF(DATOS_[[Sexo]:[Sexo]]=$B70,IF(DATOS_[[AGRUP. VALOR. PTO.]:[AGRUP. VALOR. PTO.]]=$B69,IF(DATOS_[[Check Periodo Ref.]:[Check Periodo Ref.]]="Dentro",IF(DATOS_[[Check Equiparado]:[Check Equiparado]]="Sí",IF(DATOS!BA$5="Sí",(1/DATOS_[[% anualiz]:[% anualiz]]),1)*IF(DATOS!BA$4="Sí",1/DATOS_[[% normaliz]:[% normaliz]],1)*(DATOS_[Conc.Sal.23])))))))),
0)</f>
        <v>0</v>
      </c>
      <c r="AG70" s="196">
        <f t="array" ref="AG70">IFERROR(
(AVERAGE((IF(DATOS_[[Sexo]:[Sexo]]=$B70,IF(DATOS_[[AGRUP. VALOR. PTO.]:[AGRUP. VALOR. PTO.]]=$B69,IF(DATOS_[[Check Periodo Ref.]:[Check Periodo Ref.]]="Dentro",IF(DATOS_[[Check Equiparado]:[Check Equiparado]]="Sí",IF(DATOS!BB$5="Sí",(1/DATOS_[[% anualiz]:[% anualiz]]),1)*IF(DATOS!BB$4="Sí",1/DATOS_[[% normaliz]:[% normaliz]],1)*(DATOS_[Conc.Sal.24])))))))),
0)</f>
        <v>0</v>
      </c>
      <c r="AH70" s="196">
        <f t="array" ref="AH70">IFERROR(
(AVERAGE((IF(DATOS_[[Sexo]:[Sexo]]=$B70,IF(DATOS_[[AGRUP. VALOR. PTO.]:[AGRUP. VALOR. PTO.]]=$B69,IF(DATOS_[[Check Periodo Ref.]:[Check Periodo Ref.]]="Dentro",IF(DATOS_[[Check Equiparado]:[Check Equiparado]]="Sí",IF(DATOS!BC$5="Sí",(1/DATOS_[[% anualiz]:[% anualiz]]),1)*IF(DATOS!BC$4="Sí",1/DATOS_[[% normaliz]:[% normaliz]],1)*(DATOS_[Conc.Sal.25])))))))),
0)</f>
        <v>0</v>
      </c>
      <c r="AI70" s="196">
        <f t="array" ref="AI70">IFERROR(
(AVERAGE((IF(DATOS_[[Sexo]:[Sexo]]=$B70,IF(DATOS_[[AGRUP. VALOR. PTO.]:[AGRUP. VALOR. PTO.]]=$B69,IF(DATOS_[[Check Periodo Ref.]:[Check Periodo Ref.]]="Dentro",IF(DATOS_[[Check Equiparado]:[Check Equiparado]]="Sí",IF(DATOS!BD$5="Sí",(1/DATOS_[[% anualiz]:[% anualiz]]),1)*IF(DATOS!BD$4="Sí",1/DATOS_[[% normaliz]:[% normaliz]],1)*(DATOS_[Conc.Sal.26])))))))),
0)</f>
        <v>0</v>
      </c>
      <c r="AJ70" s="196">
        <f t="array" ref="AJ70">IFERROR(
(AVERAGE((IF(DATOS_[[Sexo]:[Sexo]]=$B70,IF(DATOS_[[AGRUP. VALOR. PTO.]:[AGRUP. VALOR. PTO.]]=$B69,IF(DATOS_[[Check Periodo Ref.]:[Check Periodo Ref.]]="Dentro",IF(DATOS_[[Check Equiparado]:[Check Equiparado]]="Sí",IF(DATOS!BE$5="Sí",(1/DATOS_[[% anualiz]:[% anualiz]]),1)*IF(DATOS!BE$4="Sí",1/DATOS_[[% normaliz]:[% normaliz]],1)*(DATOS_[Conc.Sal.27])))))))),
0)</f>
        <v>0</v>
      </c>
      <c r="AK70" s="196">
        <f t="array" ref="AK70">IFERROR(
(AVERAGE((IF(DATOS_[[Sexo]:[Sexo]]=$B70,IF(DATOS_[[AGRUP. VALOR. PTO.]:[AGRUP. VALOR. PTO.]]=$B69,IF(DATOS_[[Check Periodo Ref.]:[Check Periodo Ref.]]="Dentro",IF(DATOS_[[Check Equiparado]:[Check Equiparado]]="Sí",IF(DATOS!BF$5="Sí",(1/DATOS_[[% anualiz]:[% anualiz]]),1)*IF(DATOS!BF$4="Sí",1/DATOS_[[% normaliz]:[% normaliz]],1)*(DATOS_[Conc.Sal.28])))))))),
0)</f>
        <v>0</v>
      </c>
      <c r="AL70" s="196">
        <f t="array" ref="AL70">IFERROR(
(AVERAGE((IF(DATOS_[[Sexo]:[Sexo]]=$B70,IF(DATOS_[[AGRUP. VALOR. PTO.]:[AGRUP. VALOR. PTO.]]=$B69,IF(DATOS_[[Check Periodo Ref.]:[Check Periodo Ref.]]="Dentro",IF(DATOS_[[Check Equiparado]:[Check Equiparado]]="Sí",IF(DATOS!BG$5="Sí",(1/DATOS_[[% anualiz]:[% anualiz]]),1)*IF(DATOS!BG$4="Sí",1/DATOS_[[% normaliz]:[% normaliz]],1)*(DATOS_[Conc.Sal.29])))))))),
0)</f>
        <v>0</v>
      </c>
      <c r="AM70" s="196">
        <f t="array" ref="AM70">IFERROR(
(AVERAGE((IF(DATOS_[[Sexo]:[Sexo]]=$B70,IF(DATOS_[[AGRUP. VALOR. PTO.]:[AGRUP. VALOR. PTO.]]=$B69,IF(DATOS_[[Check Periodo Ref.]:[Check Periodo Ref.]]="Dentro",IF(DATOS_[[Check Equiparado]:[Check Equiparado]]="Sí",IF(DATOS!BH$5="Sí",(1/DATOS_[[% anualiz]:[% anualiz]]),1)*IF(DATOS!BH$4="Sí",1/DATOS_[[% normaliz]:[% normaliz]],1)*(DATOS_[Conc.Sal.30])))))))),
0)</f>
        <v>0</v>
      </c>
      <c r="AN70" s="195">
        <f t="array" ref="AN70">IFERROR(
AVERAGE(IF(DATOS_[Sexo]=$B70,IF(DATOS_[[AGRUP. VALOR. PTO.]:[AGRUP. VALOR. PTO.]]=$B69,IF(DATOS_[Check Equiparado]="Sí",IF(DATOS_[Check Periodo Ref.]="Dentro",DATOS_[Tot COMPL.SAL Eq],FALSE))))),
0)</f>
        <v>0</v>
      </c>
      <c r="AO70" s="172">
        <f t="array" ref="AO70">IFERROR(
AVERAGE(IF(DATOS_[Sexo]=$B70,IF(DATOS_[[AGRUP. VALOR. PTO.]:[AGRUP. VALOR. PTO.]]=$B69,IF(DATOS_[Check Equiparado]="Sí",IF(DATOS_[Check Periodo Ref.]="Dentro",DATOS_[TOTAL SALARIO Eq],FALSE))))),
0)</f>
        <v>0</v>
      </c>
      <c r="AP70" s="173">
        <f t="array" ref="AP70">IFERROR(
(AVERAGE((IF(DATOS_[[Sexo]:[Sexo]]=$B70,IF(DATOS_[[AGRUP. VALOR. PTO.]:[AGRUP. VALOR. PTO.]]=$B69,IF(DATOS_[[Check Periodo Ref.]:[Check Periodo Ref.]]="Dentro",IF(DATOS_[[Check Equiparado]:[Check Equiparado]]="Sí",IF(DATOS!BW$5="Sí",(1/DATOS_[[% anualiz]:[% anualiz]]),1)*IF(DATOS!BW$4="Sí",1/DATOS_[[% normaliz]:[% normaliz]],1)*(DATOS_[C.Extra.01])))))))),
0)</f>
        <v>0</v>
      </c>
      <c r="AQ70" s="173">
        <f t="array" ref="AQ70">IFERROR(
(AVERAGE((IF(DATOS_[[Sexo]:[Sexo]]=$B70,IF(DATOS_[[AGRUP. VALOR. PTO.]:[AGRUP. VALOR. PTO.]]=$B69,IF(DATOS_[[Check Periodo Ref.]:[Check Periodo Ref.]]="Dentro",IF(DATOS_[[Check Equiparado]:[Check Equiparado]]="Sí",IF(DATOS!CB$5="Sí",(1/DATOS_[[% anualiz]:[% anualiz]]),1)*IF(DATOS!CB$4="Sí",1/DATOS_[[% normaliz]:[% normaliz]],1)*(DATOS_[C.Extra.06])))))))),
0)</f>
        <v>0</v>
      </c>
      <c r="AR70" s="173">
        <f t="array" ref="AR70">IFERROR(
(AVERAGE((IF(DATOS_[[Sexo]:[Sexo]]=$B70,IF(DATOS_[[AGRUP. VALOR. PTO.]:[AGRUP. VALOR. PTO.]]=$B69,IF(DATOS_[[Check Periodo Ref.]:[Check Periodo Ref.]]="Dentro",IF(DATOS_[[Check Equiparado]:[Check Equiparado]]="Sí",IF(DATOS!CC$5="Sí",(1/DATOS_[[% anualiz]:[% anualiz]]),1)*IF(DATOS!CC$4="Sí",1/DATOS_[[% normaliz]:[% normaliz]],1)*(DATOS_[C.Extra.07])))))))),
0)</f>
        <v>0</v>
      </c>
      <c r="AS70" s="173">
        <f t="array" ref="AS70">IFERROR(
(AVERAGE((IF(DATOS_[[Sexo]:[Sexo]]=$B70,IF(DATOS_[[AGRUP. VALOR. PTO.]:[AGRUP. VALOR. PTO.]]=$B69,IF(DATOS_[[Check Periodo Ref.]:[Check Periodo Ref.]]="Dentro",IF(DATOS_[[Check Equiparado]:[Check Equiparado]]="Sí",IF(DATOS!CD$5="Sí",(1/DATOS_[[% anualiz]:[% anualiz]]),1)*IF(DATOS!CD$4="Sí",1/DATOS_[[% normaliz]:[% normaliz]],1)*(DATOS_[C.Extra.08])))))))),
0)</f>
        <v>0</v>
      </c>
      <c r="AT70" s="173">
        <f t="array" ref="AT70">IFERROR(
(AVERAGE((IF(DATOS_[[Sexo]:[Sexo]]=$B70,IF(DATOS_[[AGRUP. VALOR. PTO.]:[AGRUP. VALOR. PTO.]]=$B69,IF(DATOS_[[Check Periodo Ref.]:[Check Periodo Ref.]]="Dentro",IF(DATOS_[[Check Equiparado]:[Check Equiparado]]="Sí",IF(DATOS!CG$5="Sí",(1/DATOS_[[% anualiz]:[% anualiz]]),1)*IF(DATOS!CG$4="Sí",1/DATOS_[[% normaliz]:[% normaliz]],1)*(DATOS_[C.Extra.11])))))))),
0)</f>
        <v>0</v>
      </c>
      <c r="AU70" s="197">
        <f t="array" ref="AU70">IFERROR(
AVERAGE(IF(DATOS_[Sexo]=$B70,IF(DATOS_[[AGRUP. VALOR. PTO.]:[AGRUP. VALOR. PTO.]]=$B69,IF(DATOS_[Check Equiparado]="Sí",IF(DATOS_[Check Periodo Ref.]="Dentro",DATOS_[Tot Extrasalarial Eq],FALSE))))),
0)</f>
        <v>0</v>
      </c>
      <c r="AV70" s="175">
        <f t="array" ref="AV70">IFERROR(
AVERAGE(IF(DATOS_[Sexo]=$B70,IF(DATOS_[[AGRUP. VALOR. PTO.]:[AGRUP. VALOR. PTO.]]=$B69,IF(DATOS_[Check Equiparado]="Sí",IF(DATOS_[Check Periodo Ref.]="Dentro",DATOS_[TOTAL Retrib Eq],FALSE))))),
0)</f>
        <v>0</v>
      </c>
    </row>
    <row r="71" spans="1:48" x14ac:dyDescent="0.25">
      <c r="A71" s="133" t="str">
        <f t="shared" ref="A71" si="78">+A70</f>
        <v>[ocultar]</v>
      </c>
      <c r="B71" s="202" t="s">
        <v>521</v>
      </c>
      <c r="C71" s="203">
        <f t="array" ref="C71">SUM(IF($B71=DATOS_[Sexo],
IF($B69=DATOS_[AGRUP. VALOR. PTO.],
IF("Dentro"=DATOS_[Check Periodo Ref.],
1/(COUNTIFS(DATOS_[Sexo],$B71,DATOS_[AGRUP. VALOR. PTO.],$B69,DATOS_[Check Periodo Ref.],"Dentro",DATOS_[id/cod],DATOS_[id/cod]))))))</f>
        <v>0</v>
      </c>
      <c r="D71" s="204">
        <f>COUNTIFS(DATOS_[AGRUP. VALOR. PTO.],$B69,DATOS_[Sexo],$B71,DATOS_[Check Periodo Ref.],"Dentro")</f>
        <v>0</v>
      </c>
      <c r="E71" s="204">
        <f>COUNTIFS(DATOS_[AGRUP. VALOR. PTO.],$B69,DATOS_[Sexo],$B71,DATOS_[Check Periodo Ref.],"Dentro",DATOS_[Check Nº SC Norm],"Sí")</f>
        <v>0</v>
      </c>
      <c r="F71" s="204">
        <f>COUNTIFS(DATOS_[AGRUP. VALOR. PTO.],$B69,DATOS_[Sexo],$B71,DATOS_[Check Periodo Ref.],"Dentro",DATOS_[Check Nº SC Anualiz],"Sí")</f>
        <v>0</v>
      </c>
      <c r="G71" s="204">
        <f>COUNTIFS(DATOS_[AGRUP. VALOR. PTO.],$B69,DATOS_[Sexo],$B71,DATOS_[Check Periodo Ref.],"Dentro",DATOS_[Check Nº SC Norm y Anualiz],"Sí")</f>
        <v>0</v>
      </c>
      <c r="H71" s="204">
        <f>COUNTIFS(DATOS_[AGRUP. VALOR. PTO.],$B69,DATOS_[Sexo],$B71,DATOS_[Check Periodo Ref.],"Dentro",DATOS_[Check Equiparación],"Sí")</f>
        <v>0</v>
      </c>
      <c r="I71" s="195" cm="1">
        <f t="array" ref="I71">IFERROR(
AVERAGE(IF(DATOS_[Sexo]=$B71,IF(DATOS_[[AGRUP. VALOR. PTO.]:[AGRUP. VALOR. PTO.]]=$B69,IF(DATOS_[Check Equiparado]="Sí",IF(DATOS_[Check Periodo Ref.]="Dentro",DATOS_[SALARIO BASE Eq],FALSE))))),
0)</f>
        <v>0</v>
      </c>
      <c r="J71" s="196">
        <f t="array" ref="J71">IFERROR(
(AVERAGE((IF(DATOS_[[Sexo]:[Sexo]]=$B71,IF(DATOS_[[AGRUP. VALOR. PTO.]:[AGRUP. VALOR. PTO.]]=$B69,IF(DATOS_[[Check Periodo Ref.]:[Check Periodo Ref.]]="Dentro",IF(DATOS_[[Check Equiparado]:[Check Equiparado]]="Sí",IF(DATOS!AE$5="Sí",(1/DATOS_[[% anualiz]:[% anualiz]]),1)*IF(DATOS!AE$4="Sí",1/DATOS_[[% normaliz]:[% normaliz]],1)*(DATOS_[Conc.Sal.01])))))))),
0)</f>
        <v>0</v>
      </c>
      <c r="K71" s="196">
        <f t="array" ref="K71">IFERROR(
(AVERAGE((IF(DATOS_[[Sexo]:[Sexo]]=$B71,IF(DATOS_[[AGRUP. VALOR. PTO.]:[AGRUP. VALOR. PTO.]]=$B69,IF(DATOS_[[Check Periodo Ref.]:[Check Periodo Ref.]]="Dentro",IF(DATOS_[[Check Equiparado]:[Check Equiparado]]="Sí",IF(DATOS!AF$5="Sí",(1/DATOS_[[% anualiz]:[% anualiz]]),1)*IF(DATOS!AF$4="Sí",1/DATOS_[[% normaliz]:[% normaliz]],1)*(DATOS_[Conc.Sal.02])))))))),
0)</f>
        <v>0</v>
      </c>
      <c r="L71" s="196">
        <f t="array" ref="L71">IFERROR(
(AVERAGE((IF(DATOS_[[Sexo]:[Sexo]]=$B71,IF(DATOS_[[AGRUP. VALOR. PTO.]:[AGRUP. VALOR. PTO.]]=$B69,IF(DATOS_[[Check Periodo Ref.]:[Check Periodo Ref.]]="Dentro",IF(DATOS_[[Check Equiparado]:[Check Equiparado]]="Sí",IF(DATOS!AG$5="Sí",(1/DATOS_[[% anualiz]:[% anualiz]]),1)*IF(DATOS!AG$4="Sí",1/DATOS_[[% normaliz]:[% normaliz]],1)*(DATOS_[Conc.Sal.03])))))))),
0)</f>
        <v>0</v>
      </c>
      <c r="M71" s="196">
        <f t="array" ref="M71">IFERROR(
(AVERAGE((IF(DATOS_[[Sexo]:[Sexo]]=$B71,IF(DATOS_[[AGRUP. VALOR. PTO.]:[AGRUP. VALOR. PTO.]]=$B69,IF(DATOS_[[Check Periodo Ref.]:[Check Periodo Ref.]]="Dentro",IF(DATOS_[[Check Equiparado]:[Check Equiparado]]="Sí",IF(DATOS!AH$5="Sí",(1/DATOS_[[% anualiz]:[% anualiz]]),1)*IF(DATOS!AH$4="Sí",1/DATOS_[[% normaliz]:[% normaliz]],1)*(DATOS_[Conc.Sal.04])))))))),
0)</f>
        <v>0</v>
      </c>
      <c r="N71" s="196">
        <f t="array" ref="N71">IFERROR(
(AVERAGE((IF(DATOS_[[Sexo]:[Sexo]]=$B71,IF(DATOS_[[AGRUP. VALOR. PTO.]:[AGRUP. VALOR. PTO.]]=$B69,IF(DATOS_[[Check Periodo Ref.]:[Check Periodo Ref.]]="Dentro",IF(DATOS_[[Check Equiparado]:[Check Equiparado]]="Sí",IF(DATOS!AI$5="Sí",(1/DATOS_[[% anualiz]:[% anualiz]]),1)*IF(DATOS!AI$4="Sí",1/DATOS_[[% normaliz]:[% normaliz]],1)*(DATOS_[Conc.Sal.05])))))))),
0)</f>
        <v>0</v>
      </c>
      <c r="O71" s="196">
        <f t="array" ref="O71">IFERROR(
(AVERAGE((IF(DATOS_[[Sexo]:[Sexo]]=$B71,IF(DATOS_[[AGRUP. VALOR. PTO.]:[AGRUP. VALOR. PTO.]]=$B69,IF(DATOS_[[Check Periodo Ref.]:[Check Periodo Ref.]]="Dentro",IF(DATOS_[[Check Equiparado]:[Check Equiparado]]="Sí",IF(DATOS!AJ$5="Sí",(1/DATOS_[[% anualiz]:[% anualiz]]),1)*IF(DATOS!AJ$4="Sí",1/DATOS_[[% normaliz]:[% normaliz]],1)*(DATOS_[Conc.Sal.06])))))))),
0)</f>
        <v>0</v>
      </c>
      <c r="P71" s="196">
        <f t="array" ref="P71">IFERROR(
(AVERAGE((IF(DATOS_[[Sexo]:[Sexo]]=$B71,IF(DATOS_[[AGRUP. VALOR. PTO.]:[AGRUP. VALOR. PTO.]]=$B69,IF(DATOS_[[Check Periodo Ref.]:[Check Periodo Ref.]]="Dentro",IF(DATOS_[[Check Equiparado]:[Check Equiparado]]="Sí",IF(DATOS!AK$5="Sí",(1/DATOS_[[% anualiz]:[% anualiz]]),1)*IF(DATOS!AK$4="Sí",1/DATOS_[[% normaliz]:[% normaliz]],1)*(DATOS_[Conc.Sal.07])))))))),
0)</f>
        <v>0</v>
      </c>
      <c r="Q71" s="196">
        <f t="array" ref="Q71">IFERROR(
(AVERAGE((IF(DATOS_[[Sexo]:[Sexo]]=$B71,IF(DATOS_[[AGRUP. VALOR. PTO.]:[AGRUP. VALOR. PTO.]]=$B69,IF(DATOS_[[Check Periodo Ref.]:[Check Periodo Ref.]]="Dentro",IF(DATOS_[[Check Equiparado]:[Check Equiparado]]="Sí",IF(DATOS!AL$5="Sí",(1/DATOS_[[% anualiz]:[% anualiz]]),1)*IF(DATOS!AL$4="Sí",1/DATOS_[[% normaliz]:[% normaliz]],1)*(DATOS_[Conc.Sal.08])))))))),
0)</f>
        <v>0</v>
      </c>
      <c r="R71" s="196">
        <f t="array" ref="R71">IFERROR(
(AVERAGE((IF(DATOS_[[Sexo]:[Sexo]]=$B71,IF(DATOS_[[AGRUP. VALOR. PTO.]:[AGRUP. VALOR. PTO.]]=$B69,IF(DATOS_[[Check Periodo Ref.]:[Check Periodo Ref.]]="Dentro",IF(DATOS_[[Check Equiparado]:[Check Equiparado]]="Sí",IF(DATOS!AM$5="Sí",(1/DATOS_[[% anualiz]:[% anualiz]]),1)*IF(DATOS!AM$4="Sí",1/DATOS_[[% normaliz]:[% normaliz]],1)*(DATOS_[Conc.Sal.09])))))))),
0)</f>
        <v>0</v>
      </c>
      <c r="S71" s="196">
        <f t="array" ref="S71">IFERROR(
(AVERAGE((IF(DATOS_[[Sexo]:[Sexo]]=$B71,IF(DATOS_[[AGRUP. VALOR. PTO.]:[AGRUP. VALOR. PTO.]]=$B69,IF(DATOS_[[Check Periodo Ref.]:[Check Periodo Ref.]]="Dentro",IF(DATOS_[[Check Equiparado]:[Check Equiparado]]="Sí",IF(DATOS!AN$5="Sí",(1/DATOS_[[% anualiz]:[% anualiz]]),1)*IF(DATOS!AN$4="Sí",1/DATOS_[[% normaliz]:[% normaliz]],1)*(DATOS_[Conc.Sal.10])))))))),
0)</f>
        <v>0</v>
      </c>
      <c r="T71" s="196">
        <f t="array" ref="T71">IFERROR(
(AVERAGE((IF(DATOS_[[Sexo]:[Sexo]]=$B71,IF(DATOS_[[AGRUP. VALOR. PTO.]:[AGRUP. VALOR. PTO.]]=$B69,IF(DATOS_[[Check Periodo Ref.]:[Check Periodo Ref.]]="Dentro",IF(DATOS_[[Check Equiparado]:[Check Equiparado]]="Sí",IF(DATOS!AO$5="Sí",(1/DATOS_[[% anualiz]:[% anualiz]]),1)*IF(DATOS!AO$4="Sí",1/DATOS_[[% normaliz]:[% normaliz]],1)*(DATOS_[Conc.Sal.11])))))))),
0)</f>
        <v>0</v>
      </c>
      <c r="U71" s="196">
        <f t="array" ref="U71">IFERROR(
(AVERAGE((IF(DATOS_[[Sexo]:[Sexo]]=$B71,IF(DATOS_[[AGRUP. VALOR. PTO.]:[AGRUP. VALOR. PTO.]]=$B69,IF(DATOS_[[Check Periodo Ref.]:[Check Periodo Ref.]]="Dentro",IF(DATOS_[[Check Equiparado]:[Check Equiparado]]="Sí",IF(DATOS!AP$5="Sí",(1/DATOS_[[% anualiz]:[% anualiz]]),1)*IF(DATOS!AP$4="Sí",1/DATOS_[[% normaliz]:[% normaliz]],1)*(DATOS_[Conc.Sal.12])))))))),
0)</f>
        <v>0</v>
      </c>
      <c r="V71" s="196">
        <f t="array" ref="V71">IFERROR(
(AVERAGE((IF(DATOS_[[Sexo]:[Sexo]]=$B71,IF(DATOS_[[AGRUP. VALOR. PTO.]:[AGRUP. VALOR. PTO.]]=$B69,IF(DATOS_[[Check Periodo Ref.]:[Check Periodo Ref.]]="Dentro",IF(DATOS_[[Check Equiparado]:[Check Equiparado]]="Sí",IF(DATOS!AQ$5="Sí",(1/DATOS_[[% anualiz]:[% anualiz]]),1)*IF(DATOS!AQ$4="Sí",1/DATOS_[[% normaliz]:[% normaliz]],1)*(DATOS_[Conc.Sal.13])))))))),
0)</f>
        <v>0</v>
      </c>
      <c r="W71" s="196">
        <f t="array" ref="W71">IFERROR(
(AVERAGE((IF(DATOS_[[Sexo]:[Sexo]]=$B71,IF(DATOS_[[AGRUP. VALOR. PTO.]:[AGRUP. VALOR. PTO.]]=$B69,IF(DATOS_[[Check Periodo Ref.]:[Check Periodo Ref.]]="Dentro",IF(DATOS_[[Check Equiparado]:[Check Equiparado]]="Sí",IF(DATOS!AR$5="Sí",(1/DATOS_[[% anualiz]:[% anualiz]]),1)*IF(DATOS!AR$4="Sí",1/DATOS_[[% normaliz]:[% normaliz]],1)*(DATOS_[Conc.Sal.14])))))))),
0)</f>
        <v>0</v>
      </c>
      <c r="X71" s="196">
        <f t="array" ref="X71">IFERROR(
(AVERAGE((IF(DATOS_[[Sexo]:[Sexo]]=$B71,IF(DATOS_[[AGRUP. VALOR. PTO.]:[AGRUP. VALOR. PTO.]]=$B69,IF(DATOS_[[Check Periodo Ref.]:[Check Periodo Ref.]]="Dentro",IF(DATOS_[[Check Equiparado]:[Check Equiparado]]="Sí",IF(DATOS!AS$5="Sí",(1/DATOS_[[% anualiz]:[% anualiz]]),1)*IF(DATOS!AS$4="Sí",1/DATOS_[[% normaliz]:[% normaliz]],1)*(DATOS_[Conc.Sal.15])))))))),
0)</f>
        <v>0</v>
      </c>
      <c r="Y71" s="196">
        <f t="array" ref="Y71">IFERROR(
(AVERAGE((IF(DATOS_[[Sexo]:[Sexo]]=$B71,IF(DATOS_[[AGRUP. VALOR. PTO.]:[AGRUP. VALOR. PTO.]]=$B69,IF(DATOS_[[Check Periodo Ref.]:[Check Periodo Ref.]]="Dentro",IF(DATOS_[[Check Equiparado]:[Check Equiparado]]="Sí",IF(DATOS!AT$5="Sí",(1/DATOS_[[% anualiz]:[% anualiz]]),1)*IF(DATOS!AT$4="Sí",1/DATOS_[[% normaliz]:[% normaliz]],1)*(DATOS_[Conc.Sal.16])))))))),
0)</f>
        <v>0</v>
      </c>
      <c r="Z71" s="196">
        <f t="array" ref="Z71">IFERROR(
(AVERAGE((IF(DATOS_[[Sexo]:[Sexo]]=$B71,IF(DATOS_[[AGRUP. VALOR. PTO.]:[AGRUP. VALOR. PTO.]]=$B69,IF(DATOS_[[Check Periodo Ref.]:[Check Periodo Ref.]]="Dentro",IF(DATOS_[[Check Equiparado]:[Check Equiparado]]="Sí",IF(DATOS!AU$5="Sí",(1/DATOS_[[% anualiz]:[% anualiz]]),1)*IF(DATOS!AU$4="Sí",1/DATOS_[[% normaliz]:[% normaliz]],1)*(DATOS_[Conc.Sal.17])))))))),
0)</f>
        <v>0</v>
      </c>
      <c r="AA71" s="196">
        <f t="array" ref="AA71">IFERROR(
(AVERAGE((IF(DATOS_[[Sexo]:[Sexo]]=$B71,IF(DATOS_[[AGRUP. VALOR. PTO.]:[AGRUP. VALOR. PTO.]]=$B69,IF(DATOS_[[Check Periodo Ref.]:[Check Periodo Ref.]]="Dentro",IF(DATOS_[[Check Equiparado]:[Check Equiparado]]="Sí",IF(DATOS!AV$5="Sí",(1/DATOS_[[% anualiz]:[% anualiz]]),1)*IF(DATOS!AV$4="Sí",1/DATOS_[[% normaliz]:[% normaliz]],1)*(DATOS_[Conc.Sal.18])))))))),
0)</f>
        <v>0</v>
      </c>
      <c r="AB71" s="196">
        <f t="array" ref="AB71">IFERROR(
(AVERAGE((IF(DATOS_[[Sexo]:[Sexo]]=$B71,IF(DATOS_[[AGRUP. VALOR. PTO.]:[AGRUP. VALOR. PTO.]]=$B69,IF(DATOS_[[Check Periodo Ref.]:[Check Periodo Ref.]]="Dentro",IF(DATOS_[[Check Equiparado]:[Check Equiparado]]="Sí",IF(DATOS!AW$5="Sí",(1/DATOS_[[% anualiz]:[% anualiz]]),1)*IF(DATOS!AW$4="Sí",1/DATOS_[[% normaliz]:[% normaliz]],1)*(DATOS_[Conc.Sal.19])))))))),
0)</f>
        <v>0</v>
      </c>
      <c r="AC71" s="196">
        <f t="array" ref="AC71">IFERROR(
(AVERAGE((IF(DATOS_[[Sexo]:[Sexo]]=$B71,IF(DATOS_[[AGRUP. VALOR. PTO.]:[AGRUP. VALOR. PTO.]]=$B69,IF(DATOS_[[Check Periodo Ref.]:[Check Periodo Ref.]]="Dentro",IF(DATOS_[[Check Equiparado]:[Check Equiparado]]="Sí",IF(DATOS!AX$5="Sí",(1/DATOS_[[% anualiz]:[% anualiz]]),1)*IF(DATOS!AX$4="Sí",1/DATOS_[[% normaliz]:[% normaliz]],1)*(DATOS_[Conc.Sal.20])))))))),
0)</f>
        <v>0</v>
      </c>
      <c r="AD71" s="196">
        <f t="array" ref="AD71">IFERROR(
(AVERAGE((IF(DATOS_[[Sexo]:[Sexo]]=$B71,IF(DATOS_[[AGRUP. VALOR. PTO.]:[AGRUP. VALOR. PTO.]]=$B69,IF(DATOS_[[Check Periodo Ref.]:[Check Periodo Ref.]]="Dentro",IF(DATOS_[[Check Equiparado]:[Check Equiparado]]="Sí",IF(DATOS!AY$5="Sí",(1/DATOS_[[% anualiz]:[% anualiz]]),1)*IF(DATOS!AY$4="Sí",1/DATOS_[[% normaliz]:[% normaliz]],1)*(DATOS_[Conc.Sal.21])))))))),
0)</f>
        <v>0</v>
      </c>
      <c r="AE71" s="196">
        <f t="array" ref="AE71">IFERROR(
(AVERAGE((IF(DATOS_[[Sexo]:[Sexo]]=$B71,IF(DATOS_[[AGRUP. VALOR. PTO.]:[AGRUP. VALOR. PTO.]]=$B69,IF(DATOS_[[Check Periodo Ref.]:[Check Periodo Ref.]]="Dentro",IF(DATOS_[[Check Equiparado]:[Check Equiparado]]="Sí",IF(DATOS!AZ$5="Sí",(1/DATOS_[[% anualiz]:[% anualiz]]),1)*IF(DATOS!AZ$4="Sí",1/DATOS_[[% normaliz]:[% normaliz]],1)*(DATOS_[Conc.Sal.22])))))))),
0)</f>
        <v>0</v>
      </c>
      <c r="AF71" s="196">
        <f t="array" ref="AF71">IFERROR(
(AVERAGE((IF(DATOS_[[Sexo]:[Sexo]]=$B71,IF(DATOS_[[AGRUP. VALOR. PTO.]:[AGRUP. VALOR. PTO.]]=$B69,IF(DATOS_[[Check Periodo Ref.]:[Check Periodo Ref.]]="Dentro",IF(DATOS_[[Check Equiparado]:[Check Equiparado]]="Sí",IF(DATOS!BA$5="Sí",(1/DATOS_[[% anualiz]:[% anualiz]]),1)*IF(DATOS!BA$4="Sí",1/DATOS_[[% normaliz]:[% normaliz]],1)*(DATOS_[Conc.Sal.23])))))))),
0)</f>
        <v>0</v>
      </c>
      <c r="AG71" s="196">
        <f t="array" ref="AG71">IFERROR(
(AVERAGE((IF(DATOS_[[Sexo]:[Sexo]]=$B71,IF(DATOS_[[AGRUP. VALOR. PTO.]:[AGRUP. VALOR. PTO.]]=$B69,IF(DATOS_[[Check Periodo Ref.]:[Check Periodo Ref.]]="Dentro",IF(DATOS_[[Check Equiparado]:[Check Equiparado]]="Sí",IF(DATOS!BB$5="Sí",(1/DATOS_[[% anualiz]:[% anualiz]]),1)*IF(DATOS!BB$4="Sí",1/DATOS_[[% normaliz]:[% normaliz]],1)*(DATOS_[Conc.Sal.24])))))))),
0)</f>
        <v>0</v>
      </c>
      <c r="AH71" s="196">
        <f t="array" ref="AH71">IFERROR(
(AVERAGE((IF(DATOS_[[Sexo]:[Sexo]]=$B71,IF(DATOS_[[AGRUP. VALOR. PTO.]:[AGRUP. VALOR. PTO.]]=$B69,IF(DATOS_[[Check Periodo Ref.]:[Check Periodo Ref.]]="Dentro",IF(DATOS_[[Check Equiparado]:[Check Equiparado]]="Sí",IF(DATOS!BC$5="Sí",(1/DATOS_[[% anualiz]:[% anualiz]]),1)*IF(DATOS!BC$4="Sí",1/DATOS_[[% normaliz]:[% normaliz]],1)*(DATOS_[Conc.Sal.25])))))))),
0)</f>
        <v>0</v>
      </c>
      <c r="AI71" s="196">
        <f t="array" ref="AI71">IFERROR(
(AVERAGE((IF(DATOS_[[Sexo]:[Sexo]]=$B71,IF(DATOS_[[AGRUP. VALOR. PTO.]:[AGRUP. VALOR. PTO.]]=$B69,IF(DATOS_[[Check Periodo Ref.]:[Check Periodo Ref.]]="Dentro",IF(DATOS_[[Check Equiparado]:[Check Equiparado]]="Sí",IF(DATOS!BD$5="Sí",(1/DATOS_[[% anualiz]:[% anualiz]]),1)*IF(DATOS!BD$4="Sí",1/DATOS_[[% normaliz]:[% normaliz]],1)*(DATOS_[Conc.Sal.26])))))))),
0)</f>
        <v>0</v>
      </c>
      <c r="AJ71" s="196">
        <f t="array" ref="AJ71">IFERROR(
(AVERAGE((IF(DATOS_[[Sexo]:[Sexo]]=$B71,IF(DATOS_[[AGRUP. VALOR. PTO.]:[AGRUP. VALOR. PTO.]]=$B69,IF(DATOS_[[Check Periodo Ref.]:[Check Periodo Ref.]]="Dentro",IF(DATOS_[[Check Equiparado]:[Check Equiparado]]="Sí",IF(DATOS!BE$5="Sí",(1/DATOS_[[% anualiz]:[% anualiz]]),1)*IF(DATOS!BE$4="Sí",1/DATOS_[[% normaliz]:[% normaliz]],1)*(DATOS_[Conc.Sal.27])))))))),
0)</f>
        <v>0</v>
      </c>
      <c r="AK71" s="196">
        <f t="array" ref="AK71">IFERROR(
(AVERAGE((IF(DATOS_[[Sexo]:[Sexo]]=$B71,IF(DATOS_[[AGRUP. VALOR. PTO.]:[AGRUP. VALOR. PTO.]]=$B69,IF(DATOS_[[Check Periodo Ref.]:[Check Periodo Ref.]]="Dentro",IF(DATOS_[[Check Equiparado]:[Check Equiparado]]="Sí",IF(DATOS!BF$5="Sí",(1/DATOS_[[% anualiz]:[% anualiz]]),1)*IF(DATOS!BF$4="Sí",1/DATOS_[[% normaliz]:[% normaliz]],1)*(DATOS_[Conc.Sal.28])))))))),
0)</f>
        <v>0</v>
      </c>
      <c r="AL71" s="196">
        <f t="array" ref="AL71">IFERROR(
(AVERAGE((IF(DATOS_[[Sexo]:[Sexo]]=$B71,IF(DATOS_[[AGRUP. VALOR. PTO.]:[AGRUP. VALOR. PTO.]]=$B69,IF(DATOS_[[Check Periodo Ref.]:[Check Periodo Ref.]]="Dentro",IF(DATOS_[[Check Equiparado]:[Check Equiparado]]="Sí",IF(DATOS!BG$5="Sí",(1/DATOS_[[% anualiz]:[% anualiz]]),1)*IF(DATOS!BG$4="Sí",1/DATOS_[[% normaliz]:[% normaliz]],1)*(DATOS_[Conc.Sal.29])))))))),
0)</f>
        <v>0</v>
      </c>
      <c r="AM71" s="196">
        <f t="array" ref="AM71">IFERROR(
(AVERAGE((IF(DATOS_[[Sexo]:[Sexo]]=$B71,IF(DATOS_[[AGRUP. VALOR. PTO.]:[AGRUP. VALOR. PTO.]]=$B69,IF(DATOS_[[Check Periodo Ref.]:[Check Periodo Ref.]]="Dentro",IF(DATOS_[[Check Equiparado]:[Check Equiparado]]="Sí",IF(DATOS!BH$5="Sí",(1/DATOS_[[% anualiz]:[% anualiz]]),1)*IF(DATOS!BH$4="Sí",1/DATOS_[[% normaliz]:[% normaliz]],1)*(DATOS_[Conc.Sal.30])))))))),
0)</f>
        <v>0</v>
      </c>
      <c r="AN71" s="195">
        <f t="array" ref="AN71">IFERROR(
AVERAGE(IF(DATOS_[Sexo]=$B71,IF(DATOS_[[AGRUP. VALOR. PTO.]:[AGRUP. VALOR. PTO.]]=$B69,IF(DATOS_[Check Equiparado]="Sí",IF(DATOS_[Check Periodo Ref.]="Dentro",DATOS_[Tot COMPL.SAL Eq],FALSE))))),
0)</f>
        <v>0</v>
      </c>
      <c r="AO71" s="172">
        <f t="array" ref="AO71">IFERROR(
AVERAGE(IF(DATOS_[Sexo]=$B71,IF(DATOS_[[AGRUP. VALOR. PTO.]:[AGRUP. VALOR. PTO.]]=$B69,IF(DATOS_[Check Equiparado]="Sí",IF(DATOS_[Check Periodo Ref.]="Dentro",DATOS_[TOTAL SALARIO Eq],FALSE))))),
0)</f>
        <v>0</v>
      </c>
      <c r="AP71" s="173">
        <f t="array" ref="AP71">IFERROR(
(AVERAGE((IF(DATOS_[[Sexo]:[Sexo]]=$B71,IF(DATOS_[[AGRUP. VALOR. PTO.]:[AGRUP. VALOR. PTO.]]=$B69,IF(DATOS_[[Check Periodo Ref.]:[Check Periodo Ref.]]="Dentro",IF(DATOS_[[Check Equiparado]:[Check Equiparado]]="Sí",IF(DATOS!BW$5="Sí",(1/DATOS_[[% anualiz]:[% anualiz]]),1)*IF(DATOS!BW$4="Sí",1/DATOS_[[% normaliz]:[% normaliz]],1)*(DATOS_[C.Extra.01])))))))),
0)</f>
        <v>0</v>
      </c>
      <c r="AQ71" s="173">
        <f t="array" ref="AQ71">IFERROR(
(AVERAGE((IF(DATOS_[[Sexo]:[Sexo]]=$B71,IF(DATOS_[[AGRUP. VALOR. PTO.]:[AGRUP. VALOR. PTO.]]=$B69,IF(DATOS_[[Check Periodo Ref.]:[Check Periodo Ref.]]="Dentro",IF(DATOS_[[Check Equiparado]:[Check Equiparado]]="Sí",IF(DATOS!CB$5="Sí",(1/DATOS_[[% anualiz]:[% anualiz]]),1)*IF(DATOS!CB$4="Sí",1/DATOS_[[% normaliz]:[% normaliz]],1)*(DATOS_[C.Extra.06])))))))),
0)</f>
        <v>0</v>
      </c>
      <c r="AR71" s="173">
        <f t="array" ref="AR71">IFERROR(
(AVERAGE((IF(DATOS_[[Sexo]:[Sexo]]=$B71,IF(DATOS_[[AGRUP. VALOR. PTO.]:[AGRUP. VALOR. PTO.]]=$B69,IF(DATOS_[[Check Periodo Ref.]:[Check Periodo Ref.]]="Dentro",IF(DATOS_[[Check Equiparado]:[Check Equiparado]]="Sí",IF(DATOS!CC$5="Sí",(1/DATOS_[[% anualiz]:[% anualiz]]),1)*IF(DATOS!CC$4="Sí",1/DATOS_[[% normaliz]:[% normaliz]],1)*(DATOS_[C.Extra.07])))))))),
0)</f>
        <v>0</v>
      </c>
      <c r="AS71" s="173">
        <f t="array" ref="AS71">IFERROR(
(AVERAGE((IF(DATOS_[[Sexo]:[Sexo]]=$B71,IF(DATOS_[[AGRUP. VALOR. PTO.]:[AGRUP. VALOR. PTO.]]=$B69,IF(DATOS_[[Check Periodo Ref.]:[Check Periodo Ref.]]="Dentro",IF(DATOS_[[Check Equiparado]:[Check Equiparado]]="Sí",IF(DATOS!CD$5="Sí",(1/DATOS_[[% anualiz]:[% anualiz]]),1)*IF(DATOS!CD$4="Sí",1/DATOS_[[% normaliz]:[% normaliz]],1)*(DATOS_[C.Extra.08])))))))),
0)</f>
        <v>0</v>
      </c>
      <c r="AT71" s="173">
        <f t="array" ref="AT71">IFERROR(
(AVERAGE((IF(DATOS_[[Sexo]:[Sexo]]=$B71,IF(DATOS_[[AGRUP. VALOR. PTO.]:[AGRUP. VALOR. PTO.]]=$B69,IF(DATOS_[[Check Periodo Ref.]:[Check Periodo Ref.]]="Dentro",IF(DATOS_[[Check Equiparado]:[Check Equiparado]]="Sí",IF(DATOS!CG$5="Sí",(1/DATOS_[[% anualiz]:[% anualiz]]),1)*IF(DATOS!CG$4="Sí",1/DATOS_[[% normaliz]:[% normaliz]],1)*(DATOS_[C.Extra.11])))))))),
0)</f>
        <v>0</v>
      </c>
      <c r="AU71" s="197">
        <f t="array" ref="AU71">IFERROR(
AVERAGE(IF(DATOS_[Sexo]=$B71,IF(DATOS_[[AGRUP. VALOR. PTO.]:[AGRUP. VALOR. PTO.]]=$B69,IF(DATOS_[Check Equiparado]="Sí",IF(DATOS_[Check Periodo Ref.]="Dentro",DATOS_[Tot Extrasalarial Eq],FALSE))))),
0)</f>
        <v>0</v>
      </c>
      <c r="AV71" s="175">
        <f t="array" ref="AV71">IFERROR(
AVERAGE(IF(DATOS_[Sexo]=$B71,IF(DATOS_[[AGRUP. VALOR. PTO.]:[AGRUP. VALOR. PTO.]]=$B69,IF(DATOS_[Check Equiparado]="Sí",IF(DATOS_[Check Periodo Ref.]="Dentro",DATOS_[TOTAL Retrib Eq],FALSE))))),
0)</f>
        <v>0</v>
      </c>
    </row>
    <row r="72" spans="1:48" ht="15.6" thickBot="1" x14ac:dyDescent="0.3">
      <c r="A72" s="133" t="str">
        <f t="shared" ref="A72" si="79">+A73</f>
        <v>[ocultar]</v>
      </c>
      <c r="B72" s="199" t="s">
        <v>257</v>
      </c>
      <c r="C72" s="200"/>
      <c r="D72" s="201"/>
      <c r="E72" s="201"/>
      <c r="F72" s="201"/>
      <c r="G72" s="201"/>
      <c r="H72" s="201"/>
      <c r="I72" s="189" t="str">
        <f t="shared" ref="I72:AV72" si="80">IFERROR((I73-I74)/I73,"")</f>
        <v/>
      </c>
      <c r="J72" s="190" t="str">
        <f t="shared" si="80"/>
        <v/>
      </c>
      <c r="K72" s="191" t="str">
        <f t="shared" si="80"/>
        <v/>
      </c>
      <c r="L72" s="191" t="str">
        <f t="shared" si="80"/>
        <v/>
      </c>
      <c r="M72" s="191" t="str">
        <f t="shared" si="80"/>
        <v/>
      </c>
      <c r="N72" s="192" t="str">
        <f t="shared" si="80"/>
        <v/>
      </c>
      <c r="O72" s="193" t="str">
        <f t="shared" si="80"/>
        <v/>
      </c>
      <c r="P72" s="193" t="str">
        <f t="shared" si="80"/>
        <v/>
      </c>
      <c r="Q72" s="193" t="str">
        <f t="shared" si="80"/>
        <v/>
      </c>
      <c r="R72" s="193" t="str">
        <f t="shared" si="80"/>
        <v/>
      </c>
      <c r="S72" s="193" t="str">
        <f t="shared" si="80"/>
        <v/>
      </c>
      <c r="T72" s="193" t="str">
        <f t="shared" si="80"/>
        <v/>
      </c>
      <c r="U72" s="193" t="str">
        <f t="shared" si="80"/>
        <v/>
      </c>
      <c r="V72" s="193" t="str">
        <f t="shared" si="80"/>
        <v/>
      </c>
      <c r="W72" s="193" t="str">
        <f t="shared" si="80"/>
        <v/>
      </c>
      <c r="X72" s="193" t="str">
        <f t="shared" si="80"/>
        <v/>
      </c>
      <c r="Y72" s="193" t="str">
        <f t="shared" si="80"/>
        <v/>
      </c>
      <c r="Z72" s="193" t="str">
        <f t="shared" si="80"/>
        <v/>
      </c>
      <c r="AA72" s="193" t="str">
        <f t="shared" si="80"/>
        <v/>
      </c>
      <c r="AB72" s="193" t="str">
        <f t="shared" si="80"/>
        <v/>
      </c>
      <c r="AC72" s="193" t="str">
        <f t="shared" si="80"/>
        <v/>
      </c>
      <c r="AD72" s="193" t="str">
        <f t="shared" si="80"/>
        <v/>
      </c>
      <c r="AE72" s="193" t="str">
        <f t="shared" si="80"/>
        <v/>
      </c>
      <c r="AF72" s="193" t="str">
        <f t="shared" si="80"/>
        <v/>
      </c>
      <c r="AG72" s="193" t="str">
        <f t="shared" si="80"/>
        <v/>
      </c>
      <c r="AH72" s="193" t="str">
        <f t="shared" si="80"/>
        <v/>
      </c>
      <c r="AI72" s="193" t="str">
        <f t="shared" si="80"/>
        <v/>
      </c>
      <c r="AJ72" s="193" t="str">
        <f t="shared" si="80"/>
        <v/>
      </c>
      <c r="AK72" s="193" t="str">
        <f t="shared" si="80"/>
        <v/>
      </c>
      <c r="AL72" s="193" t="str">
        <f t="shared" si="80"/>
        <v/>
      </c>
      <c r="AM72" s="193" t="str">
        <f t="shared" si="80"/>
        <v/>
      </c>
      <c r="AN72" s="189" t="str">
        <f t="shared" si="80"/>
        <v/>
      </c>
      <c r="AO72" s="162" t="str">
        <f t="shared" si="80"/>
        <v/>
      </c>
      <c r="AP72" s="163" t="str">
        <f t="shared" si="80"/>
        <v/>
      </c>
      <c r="AQ72" s="163" t="str">
        <f t="shared" si="80"/>
        <v/>
      </c>
      <c r="AR72" s="163" t="str">
        <f t="shared" si="80"/>
        <v/>
      </c>
      <c r="AS72" s="163" t="str">
        <f t="shared" si="80"/>
        <v/>
      </c>
      <c r="AT72" s="163" t="str">
        <f t="shared" si="80"/>
        <v/>
      </c>
      <c r="AU72" s="194" t="str">
        <f t="shared" si="80"/>
        <v/>
      </c>
      <c r="AV72" s="165" t="str">
        <f t="shared" si="80"/>
        <v/>
      </c>
    </row>
    <row r="73" spans="1:48" x14ac:dyDescent="0.25">
      <c r="A73" s="133" t="str">
        <f t="shared" ref="A73" si="81">+IF(C73+C74=0,"[ocultar]","")</f>
        <v>[ocultar]</v>
      </c>
      <c r="B73" s="202" t="s">
        <v>394</v>
      </c>
      <c r="C73" s="203">
        <f t="array" ref="C73">SUM(IF($B73=DATOS_[Sexo],
IF($B72=DATOS_[AGRUP. VALOR. PTO.],
IF("Dentro"=DATOS_[Check Periodo Ref.],
1/(COUNTIFS(DATOS_[Sexo],$B73,DATOS_[AGRUP. VALOR. PTO.],$B72,DATOS_[Check Periodo Ref.],"Dentro",DATOS_[id/cod],DATOS_[id/cod]))))))</f>
        <v>0</v>
      </c>
      <c r="D73" s="204">
        <f>COUNTIFS(DATOS_[AGRUP. VALOR. PTO.],$B72,DATOS_[Sexo],$B73,DATOS_[Check Periodo Ref.],"Dentro")</f>
        <v>0</v>
      </c>
      <c r="E73" s="204">
        <f>COUNTIFS(DATOS_[AGRUP. VALOR. PTO.],$B72,DATOS_[Sexo],$B73,DATOS_[Check Periodo Ref.],"Dentro",DATOS_[Check Nº SC Norm],"Sí")</f>
        <v>0</v>
      </c>
      <c r="F73" s="204">
        <f>COUNTIFS(DATOS_[AGRUP. VALOR. PTO.],$B72,DATOS_[Sexo],$B73,DATOS_[Check Periodo Ref.],"Dentro",DATOS_[Check Nº SC Anualiz],"Sí")</f>
        <v>0</v>
      </c>
      <c r="G73" s="204">
        <f>COUNTIFS(DATOS_[AGRUP. VALOR. PTO.],$B72,DATOS_[Sexo],$B73,DATOS_[Check Periodo Ref.],"Dentro",DATOS_[Check Nº SC Norm y Anualiz],"Sí")</f>
        <v>0</v>
      </c>
      <c r="H73" s="204">
        <f>COUNTIFS(DATOS_[AGRUP. VALOR. PTO.],$B72,DATOS_[Sexo],$B73,DATOS_[Check Periodo Ref.],"Dentro",DATOS_[Check Equiparación],"Sí")</f>
        <v>0</v>
      </c>
      <c r="I73" s="195">
        <f t="array" ref="I73">IFERROR(
AVERAGE(IF(DATOS_[Sexo]=$B73,IF(DATOS_[[AGRUP. VALOR. PTO.]:[AGRUP. VALOR. PTO.]]=$B72,IF(DATOS_[Check Equiparado]="Sí",IF(DATOS_[Check Periodo Ref.]="Dentro",DATOS_[SALARIO BASE Eq],FALSE))))),
0)</f>
        <v>0</v>
      </c>
      <c r="J73" s="196">
        <f t="array" ref="J73">IFERROR(
(AVERAGE((IF(DATOS_[[Sexo]:[Sexo]]=$B73,IF(DATOS_[[AGRUP. VALOR. PTO.]:[AGRUP. VALOR. PTO.]]=$B72,IF(DATOS_[[Check Periodo Ref.]:[Check Periodo Ref.]]="Dentro",IF(DATOS_[[Check Equiparado]:[Check Equiparado]]="Sí",IF(DATOS!AE$5="Sí",(1/DATOS_[[% anualiz]:[% anualiz]]),1)*IF(DATOS!AE$4="Sí",1/DATOS_[[% normaliz]:[% normaliz]],1)*(DATOS_[Conc.Sal.01])))))))),
0)</f>
        <v>0</v>
      </c>
      <c r="K73" s="196">
        <f t="array" ref="K73">IFERROR(
(AVERAGE((IF(DATOS_[[Sexo]:[Sexo]]=$B73,IF(DATOS_[[AGRUP. VALOR. PTO.]:[AGRUP. VALOR. PTO.]]=$B72,IF(DATOS_[[Check Periodo Ref.]:[Check Periodo Ref.]]="Dentro",IF(DATOS_[[Check Equiparado]:[Check Equiparado]]="Sí",IF(DATOS!AF$5="Sí",(1/DATOS_[[% anualiz]:[% anualiz]]),1)*IF(DATOS!AF$4="Sí",1/DATOS_[[% normaliz]:[% normaliz]],1)*(DATOS_[Conc.Sal.02])))))))),
0)</f>
        <v>0</v>
      </c>
      <c r="L73" s="196">
        <f t="array" ref="L73">IFERROR(
(AVERAGE((IF(DATOS_[[Sexo]:[Sexo]]=$B73,IF(DATOS_[[AGRUP. VALOR. PTO.]:[AGRUP. VALOR. PTO.]]=$B72,IF(DATOS_[[Check Periodo Ref.]:[Check Periodo Ref.]]="Dentro",IF(DATOS_[[Check Equiparado]:[Check Equiparado]]="Sí",IF(DATOS!AG$5="Sí",(1/DATOS_[[% anualiz]:[% anualiz]]),1)*IF(DATOS!AG$4="Sí",1/DATOS_[[% normaliz]:[% normaliz]],1)*(DATOS_[Conc.Sal.03])))))))),
0)</f>
        <v>0</v>
      </c>
      <c r="M73" s="196">
        <f t="array" ref="M73">IFERROR(
(AVERAGE((IF(DATOS_[[Sexo]:[Sexo]]=$B73,IF(DATOS_[[AGRUP. VALOR. PTO.]:[AGRUP. VALOR. PTO.]]=$B72,IF(DATOS_[[Check Periodo Ref.]:[Check Periodo Ref.]]="Dentro",IF(DATOS_[[Check Equiparado]:[Check Equiparado]]="Sí",IF(DATOS!AH$5="Sí",(1/DATOS_[[% anualiz]:[% anualiz]]),1)*IF(DATOS!AH$4="Sí",1/DATOS_[[% normaliz]:[% normaliz]],1)*(DATOS_[Conc.Sal.04])))))))),
0)</f>
        <v>0</v>
      </c>
      <c r="N73" s="196">
        <f t="array" ref="N73">IFERROR(
(AVERAGE((IF(DATOS_[[Sexo]:[Sexo]]=$B73,IF(DATOS_[[AGRUP. VALOR. PTO.]:[AGRUP. VALOR. PTO.]]=$B72,IF(DATOS_[[Check Periodo Ref.]:[Check Periodo Ref.]]="Dentro",IF(DATOS_[[Check Equiparado]:[Check Equiparado]]="Sí",IF(DATOS!AI$5="Sí",(1/DATOS_[[% anualiz]:[% anualiz]]),1)*IF(DATOS!AI$4="Sí",1/DATOS_[[% normaliz]:[% normaliz]],1)*(DATOS_[Conc.Sal.05])))))))),
0)</f>
        <v>0</v>
      </c>
      <c r="O73" s="196">
        <f t="array" ref="O73">IFERROR(
(AVERAGE((IF(DATOS_[[Sexo]:[Sexo]]=$B73,IF(DATOS_[[AGRUP. VALOR. PTO.]:[AGRUP. VALOR. PTO.]]=$B72,IF(DATOS_[[Check Periodo Ref.]:[Check Periodo Ref.]]="Dentro",IF(DATOS_[[Check Equiparado]:[Check Equiparado]]="Sí",IF(DATOS!AJ$5="Sí",(1/DATOS_[[% anualiz]:[% anualiz]]),1)*IF(DATOS!AJ$4="Sí",1/DATOS_[[% normaliz]:[% normaliz]],1)*(DATOS_[Conc.Sal.06])))))))),
0)</f>
        <v>0</v>
      </c>
      <c r="P73" s="196">
        <f t="array" ref="P73">IFERROR(
(AVERAGE((IF(DATOS_[[Sexo]:[Sexo]]=$B73,IF(DATOS_[[AGRUP. VALOR. PTO.]:[AGRUP. VALOR. PTO.]]=$B72,IF(DATOS_[[Check Periodo Ref.]:[Check Periodo Ref.]]="Dentro",IF(DATOS_[[Check Equiparado]:[Check Equiparado]]="Sí",IF(DATOS!AK$5="Sí",(1/DATOS_[[% anualiz]:[% anualiz]]),1)*IF(DATOS!AK$4="Sí",1/DATOS_[[% normaliz]:[% normaliz]],1)*(DATOS_[Conc.Sal.07])))))))),
0)</f>
        <v>0</v>
      </c>
      <c r="Q73" s="196">
        <f t="array" ref="Q73">IFERROR(
(AVERAGE((IF(DATOS_[[Sexo]:[Sexo]]=$B73,IF(DATOS_[[AGRUP. VALOR. PTO.]:[AGRUP. VALOR. PTO.]]=$B72,IF(DATOS_[[Check Periodo Ref.]:[Check Periodo Ref.]]="Dentro",IF(DATOS_[[Check Equiparado]:[Check Equiparado]]="Sí",IF(DATOS!AL$5="Sí",(1/DATOS_[[% anualiz]:[% anualiz]]),1)*IF(DATOS!AL$4="Sí",1/DATOS_[[% normaliz]:[% normaliz]],1)*(DATOS_[Conc.Sal.08])))))))),
0)</f>
        <v>0</v>
      </c>
      <c r="R73" s="196">
        <f t="array" ref="R73">IFERROR(
(AVERAGE((IF(DATOS_[[Sexo]:[Sexo]]=$B73,IF(DATOS_[[AGRUP. VALOR. PTO.]:[AGRUP. VALOR. PTO.]]=$B72,IF(DATOS_[[Check Periodo Ref.]:[Check Periodo Ref.]]="Dentro",IF(DATOS_[[Check Equiparado]:[Check Equiparado]]="Sí",IF(DATOS!AM$5="Sí",(1/DATOS_[[% anualiz]:[% anualiz]]),1)*IF(DATOS!AM$4="Sí",1/DATOS_[[% normaliz]:[% normaliz]],1)*(DATOS_[Conc.Sal.09])))))))),
0)</f>
        <v>0</v>
      </c>
      <c r="S73" s="196">
        <f t="array" ref="S73">IFERROR(
(AVERAGE((IF(DATOS_[[Sexo]:[Sexo]]=$B73,IF(DATOS_[[AGRUP. VALOR. PTO.]:[AGRUP. VALOR. PTO.]]=$B72,IF(DATOS_[[Check Periodo Ref.]:[Check Periodo Ref.]]="Dentro",IF(DATOS_[[Check Equiparado]:[Check Equiparado]]="Sí",IF(DATOS!AN$5="Sí",(1/DATOS_[[% anualiz]:[% anualiz]]),1)*IF(DATOS!AN$4="Sí",1/DATOS_[[% normaliz]:[% normaliz]],1)*(DATOS_[Conc.Sal.10])))))))),
0)</f>
        <v>0</v>
      </c>
      <c r="T73" s="196">
        <f t="array" ref="T73">IFERROR(
(AVERAGE((IF(DATOS_[[Sexo]:[Sexo]]=$B73,IF(DATOS_[[AGRUP. VALOR. PTO.]:[AGRUP. VALOR. PTO.]]=$B72,IF(DATOS_[[Check Periodo Ref.]:[Check Periodo Ref.]]="Dentro",IF(DATOS_[[Check Equiparado]:[Check Equiparado]]="Sí",IF(DATOS!AO$5="Sí",(1/DATOS_[[% anualiz]:[% anualiz]]),1)*IF(DATOS!AO$4="Sí",1/DATOS_[[% normaliz]:[% normaliz]],1)*(DATOS_[Conc.Sal.11])))))))),
0)</f>
        <v>0</v>
      </c>
      <c r="U73" s="196">
        <f t="array" ref="U73">IFERROR(
(AVERAGE((IF(DATOS_[[Sexo]:[Sexo]]=$B73,IF(DATOS_[[AGRUP. VALOR. PTO.]:[AGRUP. VALOR. PTO.]]=$B72,IF(DATOS_[[Check Periodo Ref.]:[Check Periodo Ref.]]="Dentro",IF(DATOS_[[Check Equiparado]:[Check Equiparado]]="Sí",IF(DATOS!AP$5="Sí",(1/DATOS_[[% anualiz]:[% anualiz]]),1)*IF(DATOS!AP$4="Sí",1/DATOS_[[% normaliz]:[% normaliz]],1)*(DATOS_[Conc.Sal.12])))))))),
0)</f>
        <v>0</v>
      </c>
      <c r="V73" s="196">
        <f t="array" ref="V73">IFERROR(
(AVERAGE((IF(DATOS_[[Sexo]:[Sexo]]=$B73,IF(DATOS_[[AGRUP. VALOR. PTO.]:[AGRUP. VALOR. PTO.]]=$B72,IF(DATOS_[[Check Periodo Ref.]:[Check Periodo Ref.]]="Dentro",IF(DATOS_[[Check Equiparado]:[Check Equiparado]]="Sí",IF(DATOS!AQ$5="Sí",(1/DATOS_[[% anualiz]:[% anualiz]]),1)*IF(DATOS!AQ$4="Sí",1/DATOS_[[% normaliz]:[% normaliz]],1)*(DATOS_[Conc.Sal.13])))))))),
0)</f>
        <v>0</v>
      </c>
      <c r="W73" s="196">
        <f t="array" ref="W73">IFERROR(
(AVERAGE((IF(DATOS_[[Sexo]:[Sexo]]=$B73,IF(DATOS_[[AGRUP. VALOR. PTO.]:[AGRUP. VALOR. PTO.]]=$B72,IF(DATOS_[[Check Periodo Ref.]:[Check Periodo Ref.]]="Dentro",IF(DATOS_[[Check Equiparado]:[Check Equiparado]]="Sí",IF(DATOS!AR$5="Sí",(1/DATOS_[[% anualiz]:[% anualiz]]),1)*IF(DATOS!AR$4="Sí",1/DATOS_[[% normaliz]:[% normaliz]],1)*(DATOS_[Conc.Sal.14])))))))),
0)</f>
        <v>0</v>
      </c>
      <c r="X73" s="196">
        <f t="array" ref="X73">IFERROR(
(AVERAGE((IF(DATOS_[[Sexo]:[Sexo]]=$B73,IF(DATOS_[[AGRUP. VALOR. PTO.]:[AGRUP. VALOR. PTO.]]=$B72,IF(DATOS_[[Check Periodo Ref.]:[Check Periodo Ref.]]="Dentro",IF(DATOS_[[Check Equiparado]:[Check Equiparado]]="Sí",IF(DATOS!AS$5="Sí",(1/DATOS_[[% anualiz]:[% anualiz]]),1)*IF(DATOS!AS$4="Sí",1/DATOS_[[% normaliz]:[% normaliz]],1)*(DATOS_[Conc.Sal.15])))))))),
0)</f>
        <v>0</v>
      </c>
      <c r="Y73" s="196">
        <f t="array" ref="Y73">IFERROR(
(AVERAGE((IF(DATOS_[[Sexo]:[Sexo]]=$B73,IF(DATOS_[[AGRUP. VALOR. PTO.]:[AGRUP. VALOR. PTO.]]=$B72,IF(DATOS_[[Check Periodo Ref.]:[Check Periodo Ref.]]="Dentro",IF(DATOS_[[Check Equiparado]:[Check Equiparado]]="Sí",IF(DATOS!AT$5="Sí",(1/DATOS_[[% anualiz]:[% anualiz]]),1)*IF(DATOS!AT$4="Sí",1/DATOS_[[% normaliz]:[% normaliz]],1)*(DATOS_[Conc.Sal.16])))))))),
0)</f>
        <v>0</v>
      </c>
      <c r="Z73" s="196">
        <f t="array" ref="Z73">IFERROR(
(AVERAGE((IF(DATOS_[[Sexo]:[Sexo]]=$B73,IF(DATOS_[[AGRUP. VALOR. PTO.]:[AGRUP. VALOR. PTO.]]=$B72,IF(DATOS_[[Check Periodo Ref.]:[Check Periodo Ref.]]="Dentro",IF(DATOS_[[Check Equiparado]:[Check Equiparado]]="Sí",IF(DATOS!AU$5="Sí",(1/DATOS_[[% anualiz]:[% anualiz]]),1)*IF(DATOS!AU$4="Sí",1/DATOS_[[% normaliz]:[% normaliz]],1)*(DATOS_[Conc.Sal.17])))))))),
0)</f>
        <v>0</v>
      </c>
      <c r="AA73" s="196">
        <f t="array" ref="AA73">IFERROR(
(AVERAGE((IF(DATOS_[[Sexo]:[Sexo]]=$B73,IF(DATOS_[[AGRUP. VALOR. PTO.]:[AGRUP. VALOR. PTO.]]=$B72,IF(DATOS_[[Check Periodo Ref.]:[Check Periodo Ref.]]="Dentro",IF(DATOS_[[Check Equiparado]:[Check Equiparado]]="Sí",IF(DATOS!AV$5="Sí",(1/DATOS_[[% anualiz]:[% anualiz]]),1)*IF(DATOS!AV$4="Sí",1/DATOS_[[% normaliz]:[% normaliz]],1)*(DATOS_[Conc.Sal.18])))))))),
0)</f>
        <v>0</v>
      </c>
      <c r="AB73" s="196">
        <f t="array" ref="AB73">IFERROR(
(AVERAGE((IF(DATOS_[[Sexo]:[Sexo]]=$B73,IF(DATOS_[[AGRUP. VALOR. PTO.]:[AGRUP. VALOR. PTO.]]=$B72,IF(DATOS_[[Check Periodo Ref.]:[Check Periodo Ref.]]="Dentro",IF(DATOS_[[Check Equiparado]:[Check Equiparado]]="Sí",IF(DATOS!AW$5="Sí",(1/DATOS_[[% anualiz]:[% anualiz]]),1)*IF(DATOS!AW$4="Sí",1/DATOS_[[% normaliz]:[% normaliz]],1)*(DATOS_[Conc.Sal.19])))))))),
0)</f>
        <v>0</v>
      </c>
      <c r="AC73" s="196">
        <f t="array" ref="AC73">IFERROR(
(AVERAGE((IF(DATOS_[[Sexo]:[Sexo]]=$B73,IF(DATOS_[[AGRUP. VALOR. PTO.]:[AGRUP. VALOR. PTO.]]=$B72,IF(DATOS_[[Check Periodo Ref.]:[Check Periodo Ref.]]="Dentro",IF(DATOS_[[Check Equiparado]:[Check Equiparado]]="Sí",IF(DATOS!AX$5="Sí",(1/DATOS_[[% anualiz]:[% anualiz]]),1)*IF(DATOS!AX$4="Sí",1/DATOS_[[% normaliz]:[% normaliz]],1)*(DATOS_[Conc.Sal.20])))))))),
0)</f>
        <v>0</v>
      </c>
      <c r="AD73" s="196">
        <f t="array" ref="AD73">IFERROR(
(AVERAGE((IF(DATOS_[[Sexo]:[Sexo]]=$B73,IF(DATOS_[[AGRUP. VALOR. PTO.]:[AGRUP. VALOR. PTO.]]=$B72,IF(DATOS_[[Check Periodo Ref.]:[Check Periodo Ref.]]="Dentro",IF(DATOS_[[Check Equiparado]:[Check Equiparado]]="Sí",IF(DATOS!AY$5="Sí",(1/DATOS_[[% anualiz]:[% anualiz]]),1)*IF(DATOS!AY$4="Sí",1/DATOS_[[% normaliz]:[% normaliz]],1)*(DATOS_[Conc.Sal.21])))))))),
0)</f>
        <v>0</v>
      </c>
      <c r="AE73" s="196">
        <f t="array" ref="AE73">IFERROR(
(AVERAGE((IF(DATOS_[[Sexo]:[Sexo]]=$B73,IF(DATOS_[[AGRUP. VALOR. PTO.]:[AGRUP. VALOR. PTO.]]=$B72,IF(DATOS_[[Check Periodo Ref.]:[Check Periodo Ref.]]="Dentro",IF(DATOS_[[Check Equiparado]:[Check Equiparado]]="Sí",IF(DATOS!AZ$5="Sí",(1/DATOS_[[% anualiz]:[% anualiz]]),1)*IF(DATOS!AZ$4="Sí",1/DATOS_[[% normaliz]:[% normaliz]],1)*(DATOS_[Conc.Sal.22])))))))),
0)</f>
        <v>0</v>
      </c>
      <c r="AF73" s="196">
        <f t="array" ref="AF73">IFERROR(
(AVERAGE((IF(DATOS_[[Sexo]:[Sexo]]=$B73,IF(DATOS_[[AGRUP. VALOR. PTO.]:[AGRUP. VALOR. PTO.]]=$B72,IF(DATOS_[[Check Periodo Ref.]:[Check Periodo Ref.]]="Dentro",IF(DATOS_[[Check Equiparado]:[Check Equiparado]]="Sí",IF(DATOS!BA$5="Sí",(1/DATOS_[[% anualiz]:[% anualiz]]),1)*IF(DATOS!BA$4="Sí",1/DATOS_[[% normaliz]:[% normaliz]],1)*(DATOS_[Conc.Sal.23])))))))),
0)</f>
        <v>0</v>
      </c>
      <c r="AG73" s="196">
        <f t="array" ref="AG73">IFERROR(
(AVERAGE((IF(DATOS_[[Sexo]:[Sexo]]=$B73,IF(DATOS_[[AGRUP. VALOR. PTO.]:[AGRUP. VALOR. PTO.]]=$B72,IF(DATOS_[[Check Periodo Ref.]:[Check Periodo Ref.]]="Dentro",IF(DATOS_[[Check Equiparado]:[Check Equiparado]]="Sí",IF(DATOS!BB$5="Sí",(1/DATOS_[[% anualiz]:[% anualiz]]),1)*IF(DATOS!BB$4="Sí",1/DATOS_[[% normaliz]:[% normaliz]],1)*(DATOS_[Conc.Sal.24])))))))),
0)</f>
        <v>0</v>
      </c>
      <c r="AH73" s="196">
        <f t="array" ref="AH73">IFERROR(
(AVERAGE((IF(DATOS_[[Sexo]:[Sexo]]=$B73,IF(DATOS_[[AGRUP. VALOR. PTO.]:[AGRUP. VALOR. PTO.]]=$B72,IF(DATOS_[[Check Periodo Ref.]:[Check Periodo Ref.]]="Dentro",IF(DATOS_[[Check Equiparado]:[Check Equiparado]]="Sí",IF(DATOS!BC$5="Sí",(1/DATOS_[[% anualiz]:[% anualiz]]),1)*IF(DATOS!BC$4="Sí",1/DATOS_[[% normaliz]:[% normaliz]],1)*(DATOS_[Conc.Sal.25])))))))),
0)</f>
        <v>0</v>
      </c>
      <c r="AI73" s="196">
        <f t="array" ref="AI73">IFERROR(
(AVERAGE((IF(DATOS_[[Sexo]:[Sexo]]=$B73,IF(DATOS_[[AGRUP. VALOR. PTO.]:[AGRUP. VALOR. PTO.]]=$B72,IF(DATOS_[[Check Periodo Ref.]:[Check Periodo Ref.]]="Dentro",IF(DATOS_[[Check Equiparado]:[Check Equiparado]]="Sí",IF(DATOS!BD$5="Sí",(1/DATOS_[[% anualiz]:[% anualiz]]),1)*IF(DATOS!BD$4="Sí",1/DATOS_[[% normaliz]:[% normaliz]],1)*(DATOS_[Conc.Sal.26])))))))),
0)</f>
        <v>0</v>
      </c>
      <c r="AJ73" s="196">
        <f t="array" ref="AJ73">IFERROR(
(AVERAGE((IF(DATOS_[[Sexo]:[Sexo]]=$B73,IF(DATOS_[[AGRUP. VALOR. PTO.]:[AGRUP. VALOR. PTO.]]=$B72,IF(DATOS_[[Check Periodo Ref.]:[Check Periodo Ref.]]="Dentro",IF(DATOS_[[Check Equiparado]:[Check Equiparado]]="Sí",IF(DATOS!BE$5="Sí",(1/DATOS_[[% anualiz]:[% anualiz]]),1)*IF(DATOS!BE$4="Sí",1/DATOS_[[% normaliz]:[% normaliz]],1)*(DATOS_[Conc.Sal.27])))))))),
0)</f>
        <v>0</v>
      </c>
      <c r="AK73" s="196">
        <f t="array" ref="AK73">IFERROR(
(AVERAGE((IF(DATOS_[[Sexo]:[Sexo]]=$B73,IF(DATOS_[[AGRUP. VALOR. PTO.]:[AGRUP. VALOR. PTO.]]=$B72,IF(DATOS_[[Check Periodo Ref.]:[Check Periodo Ref.]]="Dentro",IF(DATOS_[[Check Equiparado]:[Check Equiparado]]="Sí",IF(DATOS!BF$5="Sí",(1/DATOS_[[% anualiz]:[% anualiz]]),1)*IF(DATOS!BF$4="Sí",1/DATOS_[[% normaliz]:[% normaliz]],1)*(DATOS_[Conc.Sal.28])))))))),
0)</f>
        <v>0</v>
      </c>
      <c r="AL73" s="196">
        <f t="array" ref="AL73">IFERROR(
(AVERAGE((IF(DATOS_[[Sexo]:[Sexo]]=$B73,IF(DATOS_[[AGRUP. VALOR. PTO.]:[AGRUP. VALOR. PTO.]]=$B72,IF(DATOS_[[Check Periodo Ref.]:[Check Periodo Ref.]]="Dentro",IF(DATOS_[[Check Equiparado]:[Check Equiparado]]="Sí",IF(DATOS!BG$5="Sí",(1/DATOS_[[% anualiz]:[% anualiz]]),1)*IF(DATOS!BG$4="Sí",1/DATOS_[[% normaliz]:[% normaliz]],1)*(DATOS_[Conc.Sal.29])))))))),
0)</f>
        <v>0</v>
      </c>
      <c r="AM73" s="196">
        <f t="array" ref="AM73">IFERROR(
(AVERAGE((IF(DATOS_[[Sexo]:[Sexo]]=$B73,IF(DATOS_[[AGRUP. VALOR. PTO.]:[AGRUP. VALOR. PTO.]]=$B72,IF(DATOS_[[Check Periodo Ref.]:[Check Periodo Ref.]]="Dentro",IF(DATOS_[[Check Equiparado]:[Check Equiparado]]="Sí",IF(DATOS!BH$5="Sí",(1/DATOS_[[% anualiz]:[% anualiz]]),1)*IF(DATOS!BH$4="Sí",1/DATOS_[[% normaliz]:[% normaliz]],1)*(DATOS_[Conc.Sal.30])))))))),
0)</f>
        <v>0</v>
      </c>
      <c r="AN73" s="195">
        <f t="array" ref="AN73">IFERROR(
AVERAGE(IF(DATOS_[Sexo]=$B73,IF(DATOS_[[AGRUP. VALOR. PTO.]:[AGRUP. VALOR. PTO.]]=$B72,IF(DATOS_[Check Equiparado]="Sí",IF(DATOS_[Check Periodo Ref.]="Dentro",DATOS_[Tot COMPL.SAL Eq],FALSE))))),
0)</f>
        <v>0</v>
      </c>
      <c r="AO73" s="172">
        <f t="array" ref="AO73">IFERROR(
AVERAGE(IF(DATOS_[Sexo]=$B73,IF(DATOS_[[AGRUP. VALOR. PTO.]:[AGRUP. VALOR. PTO.]]=$B72,IF(DATOS_[Check Equiparado]="Sí",IF(DATOS_[Check Periodo Ref.]="Dentro",DATOS_[TOTAL SALARIO Eq],FALSE))))),
0)</f>
        <v>0</v>
      </c>
      <c r="AP73" s="173">
        <f t="array" ref="AP73">IFERROR(
(AVERAGE((IF(DATOS_[[Sexo]:[Sexo]]=$B73,IF(DATOS_[[AGRUP. VALOR. PTO.]:[AGRUP. VALOR. PTO.]]=$B72,IF(DATOS_[[Check Periodo Ref.]:[Check Periodo Ref.]]="Dentro",IF(DATOS_[[Check Equiparado]:[Check Equiparado]]="Sí",IF(DATOS!BW$5="Sí",(1/DATOS_[[% anualiz]:[% anualiz]]),1)*IF(DATOS!BW$4="Sí",1/DATOS_[[% normaliz]:[% normaliz]],1)*(DATOS_[C.Extra.01])))))))),
0)</f>
        <v>0</v>
      </c>
      <c r="AQ73" s="173">
        <f t="array" ref="AQ73">IFERROR(
(AVERAGE((IF(DATOS_[[Sexo]:[Sexo]]=$B73,IF(DATOS_[[AGRUP. VALOR. PTO.]:[AGRUP. VALOR. PTO.]]=$B72,IF(DATOS_[[Check Periodo Ref.]:[Check Periodo Ref.]]="Dentro",IF(DATOS_[[Check Equiparado]:[Check Equiparado]]="Sí",IF(DATOS!CB$5="Sí",(1/DATOS_[[% anualiz]:[% anualiz]]),1)*IF(DATOS!CB$4="Sí",1/DATOS_[[% normaliz]:[% normaliz]],1)*(DATOS_[C.Extra.06])))))))),
0)</f>
        <v>0</v>
      </c>
      <c r="AR73" s="173">
        <f t="array" ref="AR73">IFERROR(
(AVERAGE((IF(DATOS_[[Sexo]:[Sexo]]=$B73,IF(DATOS_[[AGRUP. VALOR. PTO.]:[AGRUP. VALOR. PTO.]]=$B72,IF(DATOS_[[Check Periodo Ref.]:[Check Periodo Ref.]]="Dentro",IF(DATOS_[[Check Equiparado]:[Check Equiparado]]="Sí",IF(DATOS!CC$5="Sí",(1/DATOS_[[% anualiz]:[% anualiz]]),1)*IF(DATOS!CC$4="Sí",1/DATOS_[[% normaliz]:[% normaliz]],1)*(DATOS_[C.Extra.07])))))))),
0)</f>
        <v>0</v>
      </c>
      <c r="AS73" s="173">
        <f t="array" ref="AS73">IFERROR(
(AVERAGE((IF(DATOS_[[Sexo]:[Sexo]]=$B73,IF(DATOS_[[AGRUP. VALOR. PTO.]:[AGRUP. VALOR. PTO.]]=$B72,IF(DATOS_[[Check Periodo Ref.]:[Check Periodo Ref.]]="Dentro",IF(DATOS_[[Check Equiparado]:[Check Equiparado]]="Sí",IF(DATOS!CD$5="Sí",(1/DATOS_[[% anualiz]:[% anualiz]]),1)*IF(DATOS!CD$4="Sí",1/DATOS_[[% normaliz]:[% normaliz]],1)*(DATOS_[C.Extra.08])))))))),
0)</f>
        <v>0</v>
      </c>
      <c r="AT73" s="173">
        <f t="array" ref="AT73">IFERROR(
(AVERAGE((IF(DATOS_[[Sexo]:[Sexo]]=$B73,IF(DATOS_[[AGRUP. VALOR. PTO.]:[AGRUP. VALOR. PTO.]]=$B72,IF(DATOS_[[Check Periodo Ref.]:[Check Periodo Ref.]]="Dentro",IF(DATOS_[[Check Equiparado]:[Check Equiparado]]="Sí",IF(DATOS!CG$5="Sí",(1/DATOS_[[% anualiz]:[% anualiz]]),1)*IF(DATOS!CG$4="Sí",1/DATOS_[[% normaliz]:[% normaliz]],1)*(DATOS_[C.Extra.11])))))))),
0)</f>
        <v>0</v>
      </c>
      <c r="AU73" s="197">
        <f t="array" ref="AU73">IFERROR(
AVERAGE(IF(DATOS_[Sexo]=$B73,IF(DATOS_[[AGRUP. VALOR. PTO.]:[AGRUP. VALOR. PTO.]]=$B72,IF(DATOS_[Check Equiparado]="Sí",IF(DATOS_[Check Periodo Ref.]="Dentro",DATOS_[Tot Extrasalarial Eq],FALSE))))),
0)</f>
        <v>0</v>
      </c>
      <c r="AV73" s="175">
        <f t="array" ref="AV73">IFERROR(
AVERAGE(IF(DATOS_[Sexo]=$B73,IF(DATOS_[[AGRUP. VALOR. PTO.]:[AGRUP. VALOR. PTO.]]=$B72,IF(DATOS_[Check Equiparado]="Sí",IF(DATOS_[Check Periodo Ref.]="Dentro",DATOS_[TOTAL Retrib Eq],FALSE))))),
0)</f>
        <v>0</v>
      </c>
    </row>
    <row r="74" spans="1:48" x14ac:dyDescent="0.25">
      <c r="A74" s="133" t="str">
        <f t="shared" ref="A74" si="82">+A73</f>
        <v>[ocultar]</v>
      </c>
      <c r="B74" s="202" t="s">
        <v>521</v>
      </c>
      <c r="C74" s="203">
        <f t="array" ref="C74">SUM(IF($B74=DATOS_[Sexo],
IF($B72=DATOS_[AGRUP. VALOR. PTO.],
IF("Dentro"=DATOS_[Check Periodo Ref.],
1/(COUNTIFS(DATOS_[Sexo],$B74,DATOS_[AGRUP. VALOR. PTO.],$B72,DATOS_[Check Periodo Ref.],"Dentro",DATOS_[id/cod],DATOS_[id/cod]))))))</f>
        <v>0</v>
      </c>
      <c r="D74" s="204">
        <f>COUNTIFS(DATOS_[AGRUP. VALOR. PTO.],$B72,DATOS_[Sexo],$B74,DATOS_[Check Periodo Ref.],"Dentro")</f>
        <v>0</v>
      </c>
      <c r="E74" s="204">
        <f>COUNTIFS(DATOS_[AGRUP. VALOR. PTO.],$B72,DATOS_[Sexo],$B74,DATOS_[Check Periodo Ref.],"Dentro",DATOS_[Check Nº SC Norm],"Sí")</f>
        <v>0</v>
      </c>
      <c r="F74" s="204">
        <f>COUNTIFS(DATOS_[AGRUP. VALOR. PTO.],$B72,DATOS_[Sexo],$B74,DATOS_[Check Periodo Ref.],"Dentro",DATOS_[Check Nº SC Anualiz],"Sí")</f>
        <v>0</v>
      </c>
      <c r="G74" s="204">
        <f>COUNTIFS(DATOS_[AGRUP. VALOR. PTO.],$B72,DATOS_[Sexo],$B74,DATOS_[Check Periodo Ref.],"Dentro",DATOS_[Check Nº SC Norm y Anualiz],"Sí")</f>
        <v>0</v>
      </c>
      <c r="H74" s="204">
        <f>COUNTIFS(DATOS_[AGRUP. VALOR. PTO.],$B72,DATOS_[Sexo],$B74,DATOS_[Check Periodo Ref.],"Dentro",DATOS_[Check Equiparación],"Sí")</f>
        <v>0</v>
      </c>
      <c r="I74" s="195" cm="1">
        <f t="array" ref="I74">IFERROR(
AVERAGE(IF(DATOS_[Sexo]=$B74,IF(DATOS_[[AGRUP. VALOR. PTO.]:[AGRUP. VALOR. PTO.]]=$B72,IF(DATOS_[Check Equiparado]="Sí",IF(DATOS_[Check Periodo Ref.]="Dentro",DATOS_[SALARIO BASE Eq],FALSE))))),
0)</f>
        <v>0</v>
      </c>
      <c r="J74" s="196">
        <f t="array" ref="J74">IFERROR(
(AVERAGE((IF(DATOS_[[Sexo]:[Sexo]]=$B74,IF(DATOS_[[AGRUP. VALOR. PTO.]:[AGRUP. VALOR. PTO.]]=$B72,IF(DATOS_[[Check Periodo Ref.]:[Check Periodo Ref.]]="Dentro",IF(DATOS_[[Check Equiparado]:[Check Equiparado]]="Sí",IF(DATOS!AE$5="Sí",(1/DATOS_[[% anualiz]:[% anualiz]]),1)*IF(DATOS!AE$4="Sí",1/DATOS_[[% normaliz]:[% normaliz]],1)*(DATOS_[Conc.Sal.01])))))))),
0)</f>
        <v>0</v>
      </c>
      <c r="K74" s="196">
        <f t="array" ref="K74">IFERROR(
(AVERAGE((IF(DATOS_[[Sexo]:[Sexo]]=$B74,IF(DATOS_[[AGRUP. VALOR. PTO.]:[AGRUP. VALOR. PTO.]]=$B72,IF(DATOS_[[Check Periodo Ref.]:[Check Periodo Ref.]]="Dentro",IF(DATOS_[[Check Equiparado]:[Check Equiparado]]="Sí",IF(DATOS!AF$5="Sí",(1/DATOS_[[% anualiz]:[% anualiz]]),1)*IF(DATOS!AF$4="Sí",1/DATOS_[[% normaliz]:[% normaliz]],1)*(DATOS_[Conc.Sal.02])))))))),
0)</f>
        <v>0</v>
      </c>
      <c r="L74" s="196">
        <f t="array" ref="L74">IFERROR(
(AVERAGE((IF(DATOS_[[Sexo]:[Sexo]]=$B74,IF(DATOS_[[AGRUP. VALOR. PTO.]:[AGRUP. VALOR. PTO.]]=$B72,IF(DATOS_[[Check Periodo Ref.]:[Check Periodo Ref.]]="Dentro",IF(DATOS_[[Check Equiparado]:[Check Equiparado]]="Sí",IF(DATOS!AG$5="Sí",(1/DATOS_[[% anualiz]:[% anualiz]]),1)*IF(DATOS!AG$4="Sí",1/DATOS_[[% normaliz]:[% normaliz]],1)*(DATOS_[Conc.Sal.03])))))))),
0)</f>
        <v>0</v>
      </c>
      <c r="M74" s="196">
        <f t="array" ref="M74">IFERROR(
(AVERAGE((IF(DATOS_[[Sexo]:[Sexo]]=$B74,IF(DATOS_[[AGRUP. VALOR. PTO.]:[AGRUP. VALOR. PTO.]]=$B72,IF(DATOS_[[Check Periodo Ref.]:[Check Periodo Ref.]]="Dentro",IF(DATOS_[[Check Equiparado]:[Check Equiparado]]="Sí",IF(DATOS!AH$5="Sí",(1/DATOS_[[% anualiz]:[% anualiz]]),1)*IF(DATOS!AH$4="Sí",1/DATOS_[[% normaliz]:[% normaliz]],1)*(DATOS_[Conc.Sal.04])))))))),
0)</f>
        <v>0</v>
      </c>
      <c r="N74" s="196">
        <f t="array" ref="N74">IFERROR(
(AVERAGE((IF(DATOS_[[Sexo]:[Sexo]]=$B74,IF(DATOS_[[AGRUP. VALOR. PTO.]:[AGRUP. VALOR. PTO.]]=$B72,IF(DATOS_[[Check Periodo Ref.]:[Check Periodo Ref.]]="Dentro",IF(DATOS_[[Check Equiparado]:[Check Equiparado]]="Sí",IF(DATOS!AI$5="Sí",(1/DATOS_[[% anualiz]:[% anualiz]]),1)*IF(DATOS!AI$4="Sí",1/DATOS_[[% normaliz]:[% normaliz]],1)*(DATOS_[Conc.Sal.05])))))))),
0)</f>
        <v>0</v>
      </c>
      <c r="O74" s="196">
        <f t="array" ref="O74">IFERROR(
(AVERAGE((IF(DATOS_[[Sexo]:[Sexo]]=$B74,IF(DATOS_[[AGRUP. VALOR. PTO.]:[AGRUP. VALOR. PTO.]]=$B72,IF(DATOS_[[Check Periodo Ref.]:[Check Periodo Ref.]]="Dentro",IF(DATOS_[[Check Equiparado]:[Check Equiparado]]="Sí",IF(DATOS!AJ$5="Sí",(1/DATOS_[[% anualiz]:[% anualiz]]),1)*IF(DATOS!AJ$4="Sí",1/DATOS_[[% normaliz]:[% normaliz]],1)*(DATOS_[Conc.Sal.06])))))))),
0)</f>
        <v>0</v>
      </c>
      <c r="P74" s="196">
        <f t="array" ref="P74">IFERROR(
(AVERAGE((IF(DATOS_[[Sexo]:[Sexo]]=$B74,IF(DATOS_[[AGRUP. VALOR. PTO.]:[AGRUP. VALOR. PTO.]]=$B72,IF(DATOS_[[Check Periodo Ref.]:[Check Periodo Ref.]]="Dentro",IF(DATOS_[[Check Equiparado]:[Check Equiparado]]="Sí",IF(DATOS!AK$5="Sí",(1/DATOS_[[% anualiz]:[% anualiz]]),1)*IF(DATOS!AK$4="Sí",1/DATOS_[[% normaliz]:[% normaliz]],1)*(DATOS_[Conc.Sal.07])))))))),
0)</f>
        <v>0</v>
      </c>
      <c r="Q74" s="196">
        <f t="array" ref="Q74">IFERROR(
(AVERAGE((IF(DATOS_[[Sexo]:[Sexo]]=$B74,IF(DATOS_[[AGRUP. VALOR. PTO.]:[AGRUP. VALOR. PTO.]]=$B72,IF(DATOS_[[Check Periodo Ref.]:[Check Periodo Ref.]]="Dentro",IF(DATOS_[[Check Equiparado]:[Check Equiparado]]="Sí",IF(DATOS!AL$5="Sí",(1/DATOS_[[% anualiz]:[% anualiz]]),1)*IF(DATOS!AL$4="Sí",1/DATOS_[[% normaliz]:[% normaliz]],1)*(DATOS_[Conc.Sal.08])))))))),
0)</f>
        <v>0</v>
      </c>
      <c r="R74" s="196">
        <f t="array" ref="R74">IFERROR(
(AVERAGE((IF(DATOS_[[Sexo]:[Sexo]]=$B74,IF(DATOS_[[AGRUP. VALOR. PTO.]:[AGRUP. VALOR. PTO.]]=$B72,IF(DATOS_[[Check Periodo Ref.]:[Check Periodo Ref.]]="Dentro",IF(DATOS_[[Check Equiparado]:[Check Equiparado]]="Sí",IF(DATOS!AM$5="Sí",(1/DATOS_[[% anualiz]:[% anualiz]]),1)*IF(DATOS!AM$4="Sí",1/DATOS_[[% normaliz]:[% normaliz]],1)*(DATOS_[Conc.Sal.09])))))))),
0)</f>
        <v>0</v>
      </c>
      <c r="S74" s="196">
        <f t="array" ref="S74">IFERROR(
(AVERAGE((IF(DATOS_[[Sexo]:[Sexo]]=$B74,IF(DATOS_[[AGRUP. VALOR. PTO.]:[AGRUP. VALOR. PTO.]]=$B72,IF(DATOS_[[Check Periodo Ref.]:[Check Periodo Ref.]]="Dentro",IF(DATOS_[[Check Equiparado]:[Check Equiparado]]="Sí",IF(DATOS!AN$5="Sí",(1/DATOS_[[% anualiz]:[% anualiz]]),1)*IF(DATOS!AN$4="Sí",1/DATOS_[[% normaliz]:[% normaliz]],1)*(DATOS_[Conc.Sal.10])))))))),
0)</f>
        <v>0</v>
      </c>
      <c r="T74" s="196">
        <f t="array" ref="T74">IFERROR(
(AVERAGE((IF(DATOS_[[Sexo]:[Sexo]]=$B74,IF(DATOS_[[AGRUP. VALOR. PTO.]:[AGRUP. VALOR. PTO.]]=$B72,IF(DATOS_[[Check Periodo Ref.]:[Check Periodo Ref.]]="Dentro",IF(DATOS_[[Check Equiparado]:[Check Equiparado]]="Sí",IF(DATOS!AO$5="Sí",(1/DATOS_[[% anualiz]:[% anualiz]]),1)*IF(DATOS!AO$4="Sí",1/DATOS_[[% normaliz]:[% normaliz]],1)*(DATOS_[Conc.Sal.11])))))))),
0)</f>
        <v>0</v>
      </c>
      <c r="U74" s="196">
        <f t="array" ref="U74">IFERROR(
(AVERAGE((IF(DATOS_[[Sexo]:[Sexo]]=$B74,IF(DATOS_[[AGRUP. VALOR. PTO.]:[AGRUP. VALOR. PTO.]]=$B72,IF(DATOS_[[Check Periodo Ref.]:[Check Periodo Ref.]]="Dentro",IF(DATOS_[[Check Equiparado]:[Check Equiparado]]="Sí",IF(DATOS!AP$5="Sí",(1/DATOS_[[% anualiz]:[% anualiz]]),1)*IF(DATOS!AP$4="Sí",1/DATOS_[[% normaliz]:[% normaliz]],1)*(DATOS_[Conc.Sal.12])))))))),
0)</f>
        <v>0</v>
      </c>
      <c r="V74" s="196">
        <f t="array" ref="V74">IFERROR(
(AVERAGE((IF(DATOS_[[Sexo]:[Sexo]]=$B74,IF(DATOS_[[AGRUP. VALOR. PTO.]:[AGRUP. VALOR. PTO.]]=$B72,IF(DATOS_[[Check Periodo Ref.]:[Check Periodo Ref.]]="Dentro",IF(DATOS_[[Check Equiparado]:[Check Equiparado]]="Sí",IF(DATOS!AQ$5="Sí",(1/DATOS_[[% anualiz]:[% anualiz]]),1)*IF(DATOS!AQ$4="Sí",1/DATOS_[[% normaliz]:[% normaliz]],1)*(DATOS_[Conc.Sal.13])))))))),
0)</f>
        <v>0</v>
      </c>
      <c r="W74" s="196">
        <f t="array" ref="W74">IFERROR(
(AVERAGE((IF(DATOS_[[Sexo]:[Sexo]]=$B74,IF(DATOS_[[AGRUP. VALOR. PTO.]:[AGRUP. VALOR. PTO.]]=$B72,IF(DATOS_[[Check Periodo Ref.]:[Check Periodo Ref.]]="Dentro",IF(DATOS_[[Check Equiparado]:[Check Equiparado]]="Sí",IF(DATOS!AR$5="Sí",(1/DATOS_[[% anualiz]:[% anualiz]]),1)*IF(DATOS!AR$4="Sí",1/DATOS_[[% normaliz]:[% normaliz]],1)*(DATOS_[Conc.Sal.14])))))))),
0)</f>
        <v>0</v>
      </c>
      <c r="X74" s="196">
        <f t="array" ref="X74">IFERROR(
(AVERAGE((IF(DATOS_[[Sexo]:[Sexo]]=$B74,IF(DATOS_[[AGRUP. VALOR. PTO.]:[AGRUP. VALOR. PTO.]]=$B72,IF(DATOS_[[Check Periodo Ref.]:[Check Periodo Ref.]]="Dentro",IF(DATOS_[[Check Equiparado]:[Check Equiparado]]="Sí",IF(DATOS!AS$5="Sí",(1/DATOS_[[% anualiz]:[% anualiz]]),1)*IF(DATOS!AS$4="Sí",1/DATOS_[[% normaliz]:[% normaliz]],1)*(DATOS_[Conc.Sal.15])))))))),
0)</f>
        <v>0</v>
      </c>
      <c r="Y74" s="196">
        <f t="array" ref="Y74">IFERROR(
(AVERAGE((IF(DATOS_[[Sexo]:[Sexo]]=$B74,IF(DATOS_[[AGRUP. VALOR. PTO.]:[AGRUP. VALOR. PTO.]]=$B72,IF(DATOS_[[Check Periodo Ref.]:[Check Periodo Ref.]]="Dentro",IF(DATOS_[[Check Equiparado]:[Check Equiparado]]="Sí",IF(DATOS!AT$5="Sí",(1/DATOS_[[% anualiz]:[% anualiz]]),1)*IF(DATOS!AT$4="Sí",1/DATOS_[[% normaliz]:[% normaliz]],1)*(DATOS_[Conc.Sal.16])))))))),
0)</f>
        <v>0</v>
      </c>
      <c r="Z74" s="196">
        <f t="array" ref="Z74">IFERROR(
(AVERAGE((IF(DATOS_[[Sexo]:[Sexo]]=$B74,IF(DATOS_[[AGRUP. VALOR. PTO.]:[AGRUP. VALOR. PTO.]]=$B72,IF(DATOS_[[Check Periodo Ref.]:[Check Periodo Ref.]]="Dentro",IF(DATOS_[[Check Equiparado]:[Check Equiparado]]="Sí",IF(DATOS!AU$5="Sí",(1/DATOS_[[% anualiz]:[% anualiz]]),1)*IF(DATOS!AU$4="Sí",1/DATOS_[[% normaliz]:[% normaliz]],1)*(DATOS_[Conc.Sal.17])))))))),
0)</f>
        <v>0</v>
      </c>
      <c r="AA74" s="196">
        <f t="array" ref="AA74">IFERROR(
(AVERAGE((IF(DATOS_[[Sexo]:[Sexo]]=$B74,IF(DATOS_[[AGRUP. VALOR. PTO.]:[AGRUP. VALOR. PTO.]]=$B72,IF(DATOS_[[Check Periodo Ref.]:[Check Periodo Ref.]]="Dentro",IF(DATOS_[[Check Equiparado]:[Check Equiparado]]="Sí",IF(DATOS!AV$5="Sí",(1/DATOS_[[% anualiz]:[% anualiz]]),1)*IF(DATOS!AV$4="Sí",1/DATOS_[[% normaliz]:[% normaliz]],1)*(DATOS_[Conc.Sal.18])))))))),
0)</f>
        <v>0</v>
      </c>
      <c r="AB74" s="196">
        <f t="array" ref="AB74">IFERROR(
(AVERAGE((IF(DATOS_[[Sexo]:[Sexo]]=$B74,IF(DATOS_[[AGRUP. VALOR. PTO.]:[AGRUP. VALOR. PTO.]]=$B72,IF(DATOS_[[Check Periodo Ref.]:[Check Periodo Ref.]]="Dentro",IF(DATOS_[[Check Equiparado]:[Check Equiparado]]="Sí",IF(DATOS!AW$5="Sí",(1/DATOS_[[% anualiz]:[% anualiz]]),1)*IF(DATOS!AW$4="Sí",1/DATOS_[[% normaliz]:[% normaliz]],1)*(DATOS_[Conc.Sal.19])))))))),
0)</f>
        <v>0</v>
      </c>
      <c r="AC74" s="196">
        <f t="array" ref="AC74">IFERROR(
(AVERAGE((IF(DATOS_[[Sexo]:[Sexo]]=$B74,IF(DATOS_[[AGRUP. VALOR. PTO.]:[AGRUP. VALOR. PTO.]]=$B72,IF(DATOS_[[Check Periodo Ref.]:[Check Periodo Ref.]]="Dentro",IF(DATOS_[[Check Equiparado]:[Check Equiparado]]="Sí",IF(DATOS!AX$5="Sí",(1/DATOS_[[% anualiz]:[% anualiz]]),1)*IF(DATOS!AX$4="Sí",1/DATOS_[[% normaliz]:[% normaliz]],1)*(DATOS_[Conc.Sal.20])))))))),
0)</f>
        <v>0</v>
      </c>
      <c r="AD74" s="196">
        <f t="array" ref="AD74">IFERROR(
(AVERAGE((IF(DATOS_[[Sexo]:[Sexo]]=$B74,IF(DATOS_[[AGRUP. VALOR. PTO.]:[AGRUP. VALOR. PTO.]]=$B72,IF(DATOS_[[Check Periodo Ref.]:[Check Periodo Ref.]]="Dentro",IF(DATOS_[[Check Equiparado]:[Check Equiparado]]="Sí",IF(DATOS!AY$5="Sí",(1/DATOS_[[% anualiz]:[% anualiz]]),1)*IF(DATOS!AY$4="Sí",1/DATOS_[[% normaliz]:[% normaliz]],1)*(DATOS_[Conc.Sal.21])))))))),
0)</f>
        <v>0</v>
      </c>
      <c r="AE74" s="196">
        <f t="array" ref="AE74">IFERROR(
(AVERAGE((IF(DATOS_[[Sexo]:[Sexo]]=$B74,IF(DATOS_[[AGRUP. VALOR. PTO.]:[AGRUP. VALOR. PTO.]]=$B72,IF(DATOS_[[Check Periodo Ref.]:[Check Periodo Ref.]]="Dentro",IF(DATOS_[[Check Equiparado]:[Check Equiparado]]="Sí",IF(DATOS!AZ$5="Sí",(1/DATOS_[[% anualiz]:[% anualiz]]),1)*IF(DATOS!AZ$4="Sí",1/DATOS_[[% normaliz]:[% normaliz]],1)*(DATOS_[Conc.Sal.22])))))))),
0)</f>
        <v>0</v>
      </c>
      <c r="AF74" s="196">
        <f t="array" ref="AF74">IFERROR(
(AVERAGE((IF(DATOS_[[Sexo]:[Sexo]]=$B74,IF(DATOS_[[AGRUP. VALOR. PTO.]:[AGRUP. VALOR. PTO.]]=$B72,IF(DATOS_[[Check Periodo Ref.]:[Check Periodo Ref.]]="Dentro",IF(DATOS_[[Check Equiparado]:[Check Equiparado]]="Sí",IF(DATOS!BA$5="Sí",(1/DATOS_[[% anualiz]:[% anualiz]]),1)*IF(DATOS!BA$4="Sí",1/DATOS_[[% normaliz]:[% normaliz]],1)*(DATOS_[Conc.Sal.23])))))))),
0)</f>
        <v>0</v>
      </c>
      <c r="AG74" s="196">
        <f t="array" ref="AG74">IFERROR(
(AVERAGE((IF(DATOS_[[Sexo]:[Sexo]]=$B74,IF(DATOS_[[AGRUP. VALOR. PTO.]:[AGRUP. VALOR. PTO.]]=$B72,IF(DATOS_[[Check Periodo Ref.]:[Check Periodo Ref.]]="Dentro",IF(DATOS_[[Check Equiparado]:[Check Equiparado]]="Sí",IF(DATOS!BB$5="Sí",(1/DATOS_[[% anualiz]:[% anualiz]]),1)*IF(DATOS!BB$4="Sí",1/DATOS_[[% normaliz]:[% normaliz]],1)*(DATOS_[Conc.Sal.24])))))))),
0)</f>
        <v>0</v>
      </c>
      <c r="AH74" s="196">
        <f t="array" ref="AH74">IFERROR(
(AVERAGE((IF(DATOS_[[Sexo]:[Sexo]]=$B74,IF(DATOS_[[AGRUP. VALOR. PTO.]:[AGRUP. VALOR. PTO.]]=$B72,IF(DATOS_[[Check Periodo Ref.]:[Check Periodo Ref.]]="Dentro",IF(DATOS_[[Check Equiparado]:[Check Equiparado]]="Sí",IF(DATOS!BC$5="Sí",(1/DATOS_[[% anualiz]:[% anualiz]]),1)*IF(DATOS!BC$4="Sí",1/DATOS_[[% normaliz]:[% normaliz]],1)*(DATOS_[Conc.Sal.25])))))))),
0)</f>
        <v>0</v>
      </c>
      <c r="AI74" s="196">
        <f t="array" ref="AI74">IFERROR(
(AVERAGE((IF(DATOS_[[Sexo]:[Sexo]]=$B74,IF(DATOS_[[AGRUP. VALOR. PTO.]:[AGRUP. VALOR. PTO.]]=$B72,IF(DATOS_[[Check Periodo Ref.]:[Check Periodo Ref.]]="Dentro",IF(DATOS_[[Check Equiparado]:[Check Equiparado]]="Sí",IF(DATOS!BD$5="Sí",(1/DATOS_[[% anualiz]:[% anualiz]]),1)*IF(DATOS!BD$4="Sí",1/DATOS_[[% normaliz]:[% normaliz]],1)*(DATOS_[Conc.Sal.26])))))))),
0)</f>
        <v>0</v>
      </c>
      <c r="AJ74" s="196">
        <f t="array" ref="AJ74">IFERROR(
(AVERAGE((IF(DATOS_[[Sexo]:[Sexo]]=$B74,IF(DATOS_[[AGRUP. VALOR. PTO.]:[AGRUP. VALOR. PTO.]]=$B72,IF(DATOS_[[Check Periodo Ref.]:[Check Periodo Ref.]]="Dentro",IF(DATOS_[[Check Equiparado]:[Check Equiparado]]="Sí",IF(DATOS!BE$5="Sí",(1/DATOS_[[% anualiz]:[% anualiz]]),1)*IF(DATOS!BE$4="Sí",1/DATOS_[[% normaliz]:[% normaliz]],1)*(DATOS_[Conc.Sal.27])))))))),
0)</f>
        <v>0</v>
      </c>
      <c r="AK74" s="196">
        <f t="array" ref="AK74">IFERROR(
(AVERAGE((IF(DATOS_[[Sexo]:[Sexo]]=$B74,IF(DATOS_[[AGRUP. VALOR. PTO.]:[AGRUP. VALOR. PTO.]]=$B72,IF(DATOS_[[Check Periodo Ref.]:[Check Periodo Ref.]]="Dentro",IF(DATOS_[[Check Equiparado]:[Check Equiparado]]="Sí",IF(DATOS!BF$5="Sí",(1/DATOS_[[% anualiz]:[% anualiz]]),1)*IF(DATOS!BF$4="Sí",1/DATOS_[[% normaliz]:[% normaliz]],1)*(DATOS_[Conc.Sal.28])))))))),
0)</f>
        <v>0</v>
      </c>
      <c r="AL74" s="196">
        <f t="array" ref="AL74">IFERROR(
(AVERAGE((IF(DATOS_[[Sexo]:[Sexo]]=$B74,IF(DATOS_[[AGRUP. VALOR. PTO.]:[AGRUP. VALOR. PTO.]]=$B72,IF(DATOS_[[Check Periodo Ref.]:[Check Periodo Ref.]]="Dentro",IF(DATOS_[[Check Equiparado]:[Check Equiparado]]="Sí",IF(DATOS!BG$5="Sí",(1/DATOS_[[% anualiz]:[% anualiz]]),1)*IF(DATOS!BG$4="Sí",1/DATOS_[[% normaliz]:[% normaliz]],1)*(DATOS_[Conc.Sal.29])))))))),
0)</f>
        <v>0</v>
      </c>
      <c r="AM74" s="196">
        <f t="array" ref="AM74">IFERROR(
(AVERAGE((IF(DATOS_[[Sexo]:[Sexo]]=$B74,IF(DATOS_[[AGRUP. VALOR. PTO.]:[AGRUP. VALOR. PTO.]]=$B72,IF(DATOS_[[Check Periodo Ref.]:[Check Periodo Ref.]]="Dentro",IF(DATOS_[[Check Equiparado]:[Check Equiparado]]="Sí",IF(DATOS!BH$5="Sí",(1/DATOS_[[% anualiz]:[% anualiz]]),1)*IF(DATOS!BH$4="Sí",1/DATOS_[[% normaliz]:[% normaliz]],1)*(DATOS_[Conc.Sal.30])))))))),
0)</f>
        <v>0</v>
      </c>
      <c r="AN74" s="195">
        <f t="array" ref="AN74">IFERROR(
AVERAGE(IF(DATOS_[Sexo]=$B74,IF(DATOS_[[AGRUP. VALOR. PTO.]:[AGRUP. VALOR. PTO.]]=$B72,IF(DATOS_[Check Equiparado]="Sí",IF(DATOS_[Check Periodo Ref.]="Dentro",DATOS_[Tot COMPL.SAL Eq],FALSE))))),
0)</f>
        <v>0</v>
      </c>
      <c r="AO74" s="172">
        <f t="array" ref="AO74">IFERROR(
AVERAGE(IF(DATOS_[Sexo]=$B74,IF(DATOS_[[AGRUP. VALOR. PTO.]:[AGRUP. VALOR. PTO.]]=$B72,IF(DATOS_[Check Equiparado]="Sí",IF(DATOS_[Check Periodo Ref.]="Dentro",DATOS_[TOTAL SALARIO Eq],FALSE))))),
0)</f>
        <v>0</v>
      </c>
      <c r="AP74" s="173">
        <f t="array" ref="AP74">IFERROR(
(AVERAGE((IF(DATOS_[[Sexo]:[Sexo]]=$B74,IF(DATOS_[[AGRUP. VALOR. PTO.]:[AGRUP. VALOR. PTO.]]=$B72,IF(DATOS_[[Check Periodo Ref.]:[Check Periodo Ref.]]="Dentro",IF(DATOS_[[Check Equiparado]:[Check Equiparado]]="Sí",IF(DATOS!BW$5="Sí",(1/DATOS_[[% anualiz]:[% anualiz]]),1)*IF(DATOS!BW$4="Sí",1/DATOS_[[% normaliz]:[% normaliz]],1)*(DATOS_[C.Extra.01])))))))),
0)</f>
        <v>0</v>
      </c>
      <c r="AQ74" s="173">
        <f t="array" ref="AQ74">IFERROR(
(AVERAGE((IF(DATOS_[[Sexo]:[Sexo]]=$B74,IF(DATOS_[[AGRUP. VALOR. PTO.]:[AGRUP. VALOR. PTO.]]=$B72,IF(DATOS_[[Check Periodo Ref.]:[Check Periodo Ref.]]="Dentro",IF(DATOS_[[Check Equiparado]:[Check Equiparado]]="Sí",IF(DATOS!CB$5="Sí",(1/DATOS_[[% anualiz]:[% anualiz]]),1)*IF(DATOS!CB$4="Sí",1/DATOS_[[% normaliz]:[% normaliz]],1)*(DATOS_[C.Extra.06])))))))),
0)</f>
        <v>0</v>
      </c>
      <c r="AR74" s="173">
        <f t="array" ref="AR74">IFERROR(
(AVERAGE((IF(DATOS_[[Sexo]:[Sexo]]=$B74,IF(DATOS_[[AGRUP. VALOR. PTO.]:[AGRUP. VALOR. PTO.]]=$B72,IF(DATOS_[[Check Periodo Ref.]:[Check Periodo Ref.]]="Dentro",IF(DATOS_[[Check Equiparado]:[Check Equiparado]]="Sí",IF(DATOS!CC$5="Sí",(1/DATOS_[[% anualiz]:[% anualiz]]),1)*IF(DATOS!CC$4="Sí",1/DATOS_[[% normaliz]:[% normaliz]],1)*(DATOS_[C.Extra.07])))))))),
0)</f>
        <v>0</v>
      </c>
      <c r="AS74" s="173">
        <f t="array" ref="AS74">IFERROR(
(AVERAGE((IF(DATOS_[[Sexo]:[Sexo]]=$B74,IF(DATOS_[[AGRUP. VALOR. PTO.]:[AGRUP. VALOR. PTO.]]=$B72,IF(DATOS_[[Check Periodo Ref.]:[Check Periodo Ref.]]="Dentro",IF(DATOS_[[Check Equiparado]:[Check Equiparado]]="Sí",IF(DATOS!CD$5="Sí",(1/DATOS_[[% anualiz]:[% anualiz]]),1)*IF(DATOS!CD$4="Sí",1/DATOS_[[% normaliz]:[% normaliz]],1)*(DATOS_[C.Extra.08])))))))),
0)</f>
        <v>0</v>
      </c>
      <c r="AT74" s="173">
        <f t="array" ref="AT74">IFERROR(
(AVERAGE((IF(DATOS_[[Sexo]:[Sexo]]=$B74,IF(DATOS_[[AGRUP. VALOR. PTO.]:[AGRUP. VALOR. PTO.]]=$B72,IF(DATOS_[[Check Periodo Ref.]:[Check Periodo Ref.]]="Dentro",IF(DATOS_[[Check Equiparado]:[Check Equiparado]]="Sí",IF(DATOS!CG$5="Sí",(1/DATOS_[[% anualiz]:[% anualiz]]),1)*IF(DATOS!CG$4="Sí",1/DATOS_[[% normaliz]:[% normaliz]],1)*(DATOS_[C.Extra.11])))))))),
0)</f>
        <v>0</v>
      </c>
      <c r="AU74" s="197">
        <f t="array" ref="AU74">IFERROR(
AVERAGE(IF(DATOS_[Sexo]=$B74,IF(DATOS_[[AGRUP. VALOR. PTO.]:[AGRUP. VALOR. PTO.]]=$B72,IF(DATOS_[Check Equiparado]="Sí",IF(DATOS_[Check Periodo Ref.]="Dentro",DATOS_[Tot Extrasalarial Eq],FALSE))))),
0)</f>
        <v>0</v>
      </c>
      <c r="AV74" s="175">
        <f t="array" ref="AV74">IFERROR(
AVERAGE(IF(DATOS_[Sexo]=$B74,IF(DATOS_[[AGRUP. VALOR. PTO.]:[AGRUP. VALOR. PTO.]]=$B72,IF(DATOS_[Check Equiparado]="Sí",IF(DATOS_[Check Periodo Ref.]="Dentro",DATOS_[TOTAL Retrib Eq],FALSE))))),
0)</f>
        <v>0</v>
      </c>
    </row>
    <row r="75" spans="1:48" ht="15.6" thickBot="1" x14ac:dyDescent="0.3">
      <c r="A75" s="133" t="str">
        <f t="shared" ref="A75" si="83">+A76</f>
        <v>[ocultar]</v>
      </c>
      <c r="B75" s="199" t="s">
        <v>261</v>
      </c>
      <c r="C75" s="200"/>
      <c r="D75" s="201"/>
      <c r="E75" s="201"/>
      <c r="F75" s="201"/>
      <c r="G75" s="201"/>
      <c r="H75" s="201"/>
      <c r="I75" s="189" t="str">
        <f t="shared" ref="I75:AV75" si="84">IFERROR((I76-I77)/I76,"")</f>
        <v/>
      </c>
      <c r="J75" s="190" t="str">
        <f t="shared" si="84"/>
        <v/>
      </c>
      <c r="K75" s="191" t="str">
        <f t="shared" si="84"/>
        <v/>
      </c>
      <c r="L75" s="191" t="str">
        <f t="shared" si="84"/>
        <v/>
      </c>
      <c r="M75" s="191" t="str">
        <f t="shared" si="84"/>
        <v/>
      </c>
      <c r="N75" s="192" t="str">
        <f t="shared" si="84"/>
        <v/>
      </c>
      <c r="O75" s="193" t="str">
        <f t="shared" si="84"/>
        <v/>
      </c>
      <c r="P75" s="193" t="str">
        <f t="shared" si="84"/>
        <v/>
      </c>
      <c r="Q75" s="193" t="str">
        <f t="shared" si="84"/>
        <v/>
      </c>
      <c r="R75" s="193" t="str">
        <f t="shared" si="84"/>
        <v/>
      </c>
      <c r="S75" s="193" t="str">
        <f t="shared" si="84"/>
        <v/>
      </c>
      <c r="T75" s="193" t="str">
        <f t="shared" si="84"/>
        <v/>
      </c>
      <c r="U75" s="193" t="str">
        <f t="shared" si="84"/>
        <v/>
      </c>
      <c r="V75" s="193" t="str">
        <f t="shared" si="84"/>
        <v/>
      </c>
      <c r="W75" s="193" t="str">
        <f t="shared" si="84"/>
        <v/>
      </c>
      <c r="X75" s="193" t="str">
        <f t="shared" si="84"/>
        <v/>
      </c>
      <c r="Y75" s="193" t="str">
        <f t="shared" si="84"/>
        <v/>
      </c>
      <c r="Z75" s="193" t="str">
        <f t="shared" si="84"/>
        <v/>
      </c>
      <c r="AA75" s="193" t="str">
        <f t="shared" si="84"/>
        <v/>
      </c>
      <c r="AB75" s="193" t="str">
        <f t="shared" si="84"/>
        <v/>
      </c>
      <c r="AC75" s="193" t="str">
        <f t="shared" si="84"/>
        <v/>
      </c>
      <c r="AD75" s="193" t="str">
        <f t="shared" si="84"/>
        <v/>
      </c>
      <c r="AE75" s="193" t="str">
        <f t="shared" si="84"/>
        <v/>
      </c>
      <c r="AF75" s="193" t="str">
        <f t="shared" si="84"/>
        <v/>
      </c>
      <c r="AG75" s="193" t="str">
        <f t="shared" si="84"/>
        <v/>
      </c>
      <c r="AH75" s="193" t="str">
        <f t="shared" si="84"/>
        <v/>
      </c>
      <c r="AI75" s="193" t="str">
        <f t="shared" si="84"/>
        <v/>
      </c>
      <c r="AJ75" s="193" t="str">
        <f t="shared" si="84"/>
        <v/>
      </c>
      <c r="AK75" s="193" t="str">
        <f t="shared" si="84"/>
        <v/>
      </c>
      <c r="AL75" s="193" t="str">
        <f t="shared" si="84"/>
        <v/>
      </c>
      <c r="AM75" s="193" t="str">
        <f t="shared" si="84"/>
        <v/>
      </c>
      <c r="AN75" s="189" t="str">
        <f t="shared" si="84"/>
        <v/>
      </c>
      <c r="AO75" s="162" t="str">
        <f t="shared" si="84"/>
        <v/>
      </c>
      <c r="AP75" s="163" t="str">
        <f t="shared" si="84"/>
        <v/>
      </c>
      <c r="AQ75" s="163" t="str">
        <f t="shared" si="84"/>
        <v/>
      </c>
      <c r="AR75" s="163" t="str">
        <f t="shared" si="84"/>
        <v/>
      </c>
      <c r="AS75" s="163" t="str">
        <f t="shared" si="84"/>
        <v/>
      </c>
      <c r="AT75" s="163" t="str">
        <f t="shared" si="84"/>
        <v/>
      </c>
      <c r="AU75" s="194" t="str">
        <f t="shared" si="84"/>
        <v/>
      </c>
      <c r="AV75" s="165" t="str">
        <f t="shared" si="84"/>
        <v/>
      </c>
    </row>
    <row r="76" spans="1:48" x14ac:dyDescent="0.25">
      <c r="A76" s="133" t="str">
        <f t="shared" ref="A76" si="85">+IF(C76+C77=0,"[ocultar]","")</f>
        <v>[ocultar]</v>
      </c>
      <c r="B76" s="202" t="s">
        <v>394</v>
      </c>
      <c r="C76" s="203">
        <f t="array" ref="C76">SUM(IF($B76=DATOS_[Sexo],
IF($B75=DATOS_[AGRUP. VALOR. PTO.],
IF("Dentro"=DATOS_[Check Periodo Ref.],
1/(COUNTIFS(DATOS_[Sexo],$B76,DATOS_[AGRUP. VALOR. PTO.],$B75,DATOS_[Check Periodo Ref.],"Dentro",DATOS_[id/cod],DATOS_[id/cod]))))))</f>
        <v>0</v>
      </c>
      <c r="D76" s="204">
        <f>COUNTIFS(DATOS_[AGRUP. VALOR. PTO.],$B75,DATOS_[Sexo],$B76,DATOS_[Check Periodo Ref.],"Dentro")</f>
        <v>0</v>
      </c>
      <c r="E76" s="204">
        <f>COUNTIFS(DATOS_[AGRUP. VALOR. PTO.],$B75,DATOS_[Sexo],$B76,DATOS_[Check Periodo Ref.],"Dentro",DATOS_[Check Nº SC Norm],"Sí")</f>
        <v>0</v>
      </c>
      <c r="F76" s="204">
        <f>COUNTIFS(DATOS_[AGRUP. VALOR. PTO.],$B75,DATOS_[Sexo],$B76,DATOS_[Check Periodo Ref.],"Dentro",DATOS_[Check Nº SC Anualiz],"Sí")</f>
        <v>0</v>
      </c>
      <c r="G76" s="204">
        <f>COUNTIFS(DATOS_[AGRUP. VALOR. PTO.],$B75,DATOS_[Sexo],$B76,DATOS_[Check Periodo Ref.],"Dentro",DATOS_[Check Nº SC Norm y Anualiz],"Sí")</f>
        <v>0</v>
      </c>
      <c r="H76" s="204">
        <f>COUNTIFS(DATOS_[AGRUP. VALOR. PTO.],$B75,DATOS_[Sexo],$B76,DATOS_[Check Periodo Ref.],"Dentro",DATOS_[Check Equiparación],"Sí")</f>
        <v>0</v>
      </c>
      <c r="I76" s="195">
        <f t="array" ref="I76">IFERROR(
AVERAGE(IF(DATOS_[Sexo]=$B76,IF(DATOS_[[AGRUP. VALOR. PTO.]:[AGRUP. VALOR. PTO.]]=$B75,IF(DATOS_[Check Equiparado]="Sí",IF(DATOS_[Check Periodo Ref.]="Dentro",DATOS_[SALARIO BASE Eq],FALSE))))),
0)</f>
        <v>0</v>
      </c>
      <c r="J76" s="196">
        <f t="array" ref="J76">IFERROR(
(AVERAGE((IF(DATOS_[[Sexo]:[Sexo]]=$B76,IF(DATOS_[[AGRUP. VALOR. PTO.]:[AGRUP. VALOR. PTO.]]=$B75,IF(DATOS_[[Check Periodo Ref.]:[Check Periodo Ref.]]="Dentro",IF(DATOS_[[Check Equiparado]:[Check Equiparado]]="Sí",IF(DATOS!AE$5="Sí",(1/DATOS_[[% anualiz]:[% anualiz]]),1)*IF(DATOS!AE$4="Sí",1/DATOS_[[% normaliz]:[% normaliz]],1)*(DATOS_[Conc.Sal.01])))))))),
0)</f>
        <v>0</v>
      </c>
      <c r="K76" s="196">
        <f t="array" ref="K76">IFERROR(
(AVERAGE((IF(DATOS_[[Sexo]:[Sexo]]=$B76,IF(DATOS_[[AGRUP. VALOR. PTO.]:[AGRUP. VALOR. PTO.]]=$B75,IF(DATOS_[[Check Periodo Ref.]:[Check Periodo Ref.]]="Dentro",IF(DATOS_[[Check Equiparado]:[Check Equiparado]]="Sí",IF(DATOS!AF$5="Sí",(1/DATOS_[[% anualiz]:[% anualiz]]),1)*IF(DATOS!AF$4="Sí",1/DATOS_[[% normaliz]:[% normaliz]],1)*(DATOS_[Conc.Sal.02])))))))),
0)</f>
        <v>0</v>
      </c>
      <c r="L76" s="196">
        <f t="array" ref="L76">IFERROR(
(AVERAGE((IF(DATOS_[[Sexo]:[Sexo]]=$B76,IF(DATOS_[[AGRUP. VALOR. PTO.]:[AGRUP. VALOR. PTO.]]=$B75,IF(DATOS_[[Check Periodo Ref.]:[Check Periodo Ref.]]="Dentro",IF(DATOS_[[Check Equiparado]:[Check Equiparado]]="Sí",IF(DATOS!AG$5="Sí",(1/DATOS_[[% anualiz]:[% anualiz]]),1)*IF(DATOS!AG$4="Sí",1/DATOS_[[% normaliz]:[% normaliz]],1)*(DATOS_[Conc.Sal.03])))))))),
0)</f>
        <v>0</v>
      </c>
      <c r="M76" s="196">
        <f t="array" ref="M76">IFERROR(
(AVERAGE((IF(DATOS_[[Sexo]:[Sexo]]=$B76,IF(DATOS_[[AGRUP. VALOR. PTO.]:[AGRUP. VALOR. PTO.]]=$B75,IF(DATOS_[[Check Periodo Ref.]:[Check Periodo Ref.]]="Dentro",IF(DATOS_[[Check Equiparado]:[Check Equiparado]]="Sí",IF(DATOS!AH$5="Sí",(1/DATOS_[[% anualiz]:[% anualiz]]),1)*IF(DATOS!AH$4="Sí",1/DATOS_[[% normaliz]:[% normaliz]],1)*(DATOS_[Conc.Sal.04])))))))),
0)</f>
        <v>0</v>
      </c>
      <c r="N76" s="196">
        <f t="array" ref="N76">IFERROR(
(AVERAGE((IF(DATOS_[[Sexo]:[Sexo]]=$B76,IF(DATOS_[[AGRUP. VALOR. PTO.]:[AGRUP. VALOR. PTO.]]=$B75,IF(DATOS_[[Check Periodo Ref.]:[Check Periodo Ref.]]="Dentro",IF(DATOS_[[Check Equiparado]:[Check Equiparado]]="Sí",IF(DATOS!AI$5="Sí",(1/DATOS_[[% anualiz]:[% anualiz]]),1)*IF(DATOS!AI$4="Sí",1/DATOS_[[% normaliz]:[% normaliz]],1)*(DATOS_[Conc.Sal.05])))))))),
0)</f>
        <v>0</v>
      </c>
      <c r="O76" s="196">
        <f t="array" ref="O76">IFERROR(
(AVERAGE((IF(DATOS_[[Sexo]:[Sexo]]=$B76,IF(DATOS_[[AGRUP. VALOR. PTO.]:[AGRUP. VALOR. PTO.]]=$B75,IF(DATOS_[[Check Periodo Ref.]:[Check Periodo Ref.]]="Dentro",IF(DATOS_[[Check Equiparado]:[Check Equiparado]]="Sí",IF(DATOS!AJ$5="Sí",(1/DATOS_[[% anualiz]:[% anualiz]]),1)*IF(DATOS!AJ$4="Sí",1/DATOS_[[% normaliz]:[% normaliz]],1)*(DATOS_[Conc.Sal.06])))))))),
0)</f>
        <v>0</v>
      </c>
      <c r="P76" s="196">
        <f t="array" ref="P76">IFERROR(
(AVERAGE((IF(DATOS_[[Sexo]:[Sexo]]=$B76,IF(DATOS_[[AGRUP. VALOR. PTO.]:[AGRUP. VALOR. PTO.]]=$B75,IF(DATOS_[[Check Periodo Ref.]:[Check Periodo Ref.]]="Dentro",IF(DATOS_[[Check Equiparado]:[Check Equiparado]]="Sí",IF(DATOS!AK$5="Sí",(1/DATOS_[[% anualiz]:[% anualiz]]),1)*IF(DATOS!AK$4="Sí",1/DATOS_[[% normaliz]:[% normaliz]],1)*(DATOS_[Conc.Sal.07])))))))),
0)</f>
        <v>0</v>
      </c>
      <c r="Q76" s="196">
        <f t="array" ref="Q76">IFERROR(
(AVERAGE((IF(DATOS_[[Sexo]:[Sexo]]=$B76,IF(DATOS_[[AGRUP. VALOR. PTO.]:[AGRUP. VALOR. PTO.]]=$B75,IF(DATOS_[[Check Periodo Ref.]:[Check Periodo Ref.]]="Dentro",IF(DATOS_[[Check Equiparado]:[Check Equiparado]]="Sí",IF(DATOS!AL$5="Sí",(1/DATOS_[[% anualiz]:[% anualiz]]),1)*IF(DATOS!AL$4="Sí",1/DATOS_[[% normaliz]:[% normaliz]],1)*(DATOS_[Conc.Sal.08])))))))),
0)</f>
        <v>0</v>
      </c>
      <c r="R76" s="196">
        <f t="array" ref="R76">IFERROR(
(AVERAGE((IF(DATOS_[[Sexo]:[Sexo]]=$B76,IF(DATOS_[[AGRUP. VALOR. PTO.]:[AGRUP. VALOR. PTO.]]=$B75,IF(DATOS_[[Check Periodo Ref.]:[Check Periodo Ref.]]="Dentro",IF(DATOS_[[Check Equiparado]:[Check Equiparado]]="Sí",IF(DATOS!AM$5="Sí",(1/DATOS_[[% anualiz]:[% anualiz]]),1)*IF(DATOS!AM$4="Sí",1/DATOS_[[% normaliz]:[% normaliz]],1)*(DATOS_[Conc.Sal.09])))))))),
0)</f>
        <v>0</v>
      </c>
      <c r="S76" s="196">
        <f t="array" ref="S76">IFERROR(
(AVERAGE((IF(DATOS_[[Sexo]:[Sexo]]=$B76,IF(DATOS_[[AGRUP. VALOR. PTO.]:[AGRUP. VALOR. PTO.]]=$B75,IF(DATOS_[[Check Periodo Ref.]:[Check Periodo Ref.]]="Dentro",IF(DATOS_[[Check Equiparado]:[Check Equiparado]]="Sí",IF(DATOS!AN$5="Sí",(1/DATOS_[[% anualiz]:[% anualiz]]),1)*IF(DATOS!AN$4="Sí",1/DATOS_[[% normaliz]:[% normaliz]],1)*(DATOS_[Conc.Sal.10])))))))),
0)</f>
        <v>0</v>
      </c>
      <c r="T76" s="196">
        <f t="array" ref="T76">IFERROR(
(AVERAGE((IF(DATOS_[[Sexo]:[Sexo]]=$B76,IF(DATOS_[[AGRUP. VALOR. PTO.]:[AGRUP. VALOR. PTO.]]=$B75,IF(DATOS_[[Check Periodo Ref.]:[Check Periodo Ref.]]="Dentro",IF(DATOS_[[Check Equiparado]:[Check Equiparado]]="Sí",IF(DATOS!AO$5="Sí",(1/DATOS_[[% anualiz]:[% anualiz]]),1)*IF(DATOS!AO$4="Sí",1/DATOS_[[% normaliz]:[% normaliz]],1)*(DATOS_[Conc.Sal.11])))))))),
0)</f>
        <v>0</v>
      </c>
      <c r="U76" s="196">
        <f t="array" ref="U76">IFERROR(
(AVERAGE((IF(DATOS_[[Sexo]:[Sexo]]=$B76,IF(DATOS_[[AGRUP. VALOR. PTO.]:[AGRUP. VALOR. PTO.]]=$B75,IF(DATOS_[[Check Periodo Ref.]:[Check Periodo Ref.]]="Dentro",IF(DATOS_[[Check Equiparado]:[Check Equiparado]]="Sí",IF(DATOS!AP$5="Sí",(1/DATOS_[[% anualiz]:[% anualiz]]),1)*IF(DATOS!AP$4="Sí",1/DATOS_[[% normaliz]:[% normaliz]],1)*(DATOS_[Conc.Sal.12])))))))),
0)</f>
        <v>0</v>
      </c>
      <c r="V76" s="196">
        <f t="array" ref="V76">IFERROR(
(AVERAGE((IF(DATOS_[[Sexo]:[Sexo]]=$B76,IF(DATOS_[[AGRUP. VALOR. PTO.]:[AGRUP. VALOR. PTO.]]=$B75,IF(DATOS_[[Check Periodo Ref.]:[Check Periodo Ref.]]="Dentro",IF(DATOS_[[Check Equiparado]:[Check Equiparado]]="Sí",IF(DATOS!AQ$5="Sí",(1/DATOS_[[% anualiz]:[% anualiz]]),1)*IF(DATOS!AQ$4="Sí",1/DATOS_[[% normaliz]:[% normaliz]],1)*(DATOS_[Conc.Sal.13])))))))),
0)</f>
        <v>0</v>
      </c>
      <c r="W76" s="196">
        <f t="array" ref="W76">IFERROR(
(AVERAGE((IF(DATOS_[[Sexo]:[Sexo]]=$B76,IF(DATOS_[[AGRUP. VALOR. PTO.]:[AGRUP. VALOR. PTO.]]=$B75,IF(DATOS_[[Check Periodo Ref.]:[Check Periodo Ref.]]="Dentro",IF(DATOS_[[Check Equiparado]:[Check Equiparado]]="Sí",IF(DATOS!AR$5="Sí",(1/DATOS_[[% anualiz]:[% anualiz]]),1)*IF(DATOS!AR$4="Sí",1/DATOS_[[% normaliz]:[% normaliz]],1)*(DATOS_[Conc.Sal.14])))))))),
0)</f>
        <v>0</v>
      </c>
      <c r="X76" s="196">
        <f t="array" ref="X76">IFERROR(
(AVERAGE((IF(DATOS_[[Sexo]:[Sexo]]=$B76,IF(DATOS_[[AGRUP. VALOR. PTO.]:[AGRUP. VALOR. PTO.]]=$B75,IF(DATOS_[[Check Periodo Ref.]:[Check Periodo Ref.]]="Dentro",IF(DATOS_[[Check Equiparado]:[Check Equiparado]]="Sí",IF(DATOS!AS$5="Sí",(1/DATOS_[[% anualiz]:[% anualiz]]),1)*IF(DATOS!AS$4="Sí",1/DATOS_[[% normaliz]:[% normaliz]],1)*(DATOS_[Conc.Sal.15])))))))),
0)</f>
        <v>0</v>
      </c>
      <c r="Y76" s="196">
        <f t="array" ref="Y76">IFERROR(
(AVERAGE((IF(DATOS_[[Sexo]:[Sexo]]=$B76,IF(DATOS_[[AGRUP. VALOR. PTO.]:[AGRUP. VALOR. PTO.]]=$B75,IF(DATOS_[[Check Periodo Ref.]:[Check Periodo Ref.]]="Dentro",IF(DATOS_[[Check Equiparado]:[Check Equiparado]]="Sí",IF(DATOS!AT$5="Sí",(1/DATOS_[[% anualiz]:[% anualiz]]),1)*IF(DATOS!AT$4="Sí",1/DATOS_[[% normaliz]:[% normaliz]],1)*(DATOS_[Conc.Sal.16])))))))),
0)</f>
        <v>0</v>
      </c>
      <c r="Z76" s="196">
        <f t="array" ref="Z76">IFERROR(
(AVERAGE((IF(DATOS_[[Sexo]:[Sexo]]=$B76,IF(DATOS_[[AGRUP. VALOR. PTO.]:[AGRUP. VALOR. PTO.]]=$B75,IF(DATOS_[[Check Periodo Ref.]:[Check Periodo Ref.]]="Dentro",IF(DATOS_[[Check Equiparado]:[Check Equiparado]]="Sí",IF(DATOS!AU$5="Sí",(1/DATOS_[[% anualiz]:[% anualiz]]),1)*IF(DATOS!AU$4="Sí",1/DATOS_[[% normaliz]:[% normaliz]],1)*(DATOS_[Conc.Sal.17])))))))),
0)</f>
        <v>0</v>
      </c>
      <c r="AA76" s="196">
        <f t="array" ref="AA76">IFERROR(
(AVERAGE((IF(DATOS_[[Sexo]:[Sexo]]=$B76,IF(DATOS_[[AGRUP. VALOR. PTO.]:[AGRUP. VALOR. PTO.]]=$B75,IF(DATOS_[[Check Periodo Ref.]:[Check Periodo Ref.]]="Dentro",IF(DATOS_[[Check Equiparado]:[Check Equiparado]]="Sí",IF(DATOS!AV$5="Sí",(1/DATOS_[[% anualiz]:[% anualiz]]),1)*IF(DATOS!AV$4="Sí",1/DATOS_[[% normaliz]:[% normaliz]],1)*(DATOS_[Conc.Sal.18])))))))),
0)</f>
        <v>0</v>
      </c>
      <c r="AB76" s="196">
        <f t="array" ref="AB76">IFERROR(
(AVERAGE((IF(DATOS_[[Sexo]:[Sexo]]=$B76,IF(DATOS_[[AGRUP. VALOR. PTO.]:[AGRUP. VALOR. PTO.]]=$B75,IF(DATOS_[[Check Periodo Ref.]:[Check Periodo Ref.]]="Dentro",IF(DATOS_[[Check Equiparado]:[Check Equiparado]]="Sí",IF(DATOS!AW$5="Sí",(1/DATOS_[[% anualiz]:[% anualiz]]),1)*IF(DATOS!AW$4="Sí",1/DATOS_[[% normaliz]:[% normaliz]],1)*(DATOS_[Conc.Sal.19])))))))),
0)</f>
        <v>0</v>
      </c>
      <c r="AC76" s="196">
        <f t="array" ref="AC76">IFERROR(
(AVERAGE((IF(DATOS_[[Sexo]:[Sexo]]=$B76,IF(DATOS_[[AGRUP. VALOR. PTO.]:[AGRUP. VALOR. PTO.]]=$B75,IF(DATOS_[[Check Periodo Ref.]:[Check Periodo Ref.]]="Dentro",IF(DATOS_[[Check Equiparado]:[Check Equiparado]]="Sí",IF(DATOS!AX$5="Sí",(1/DATOS_[[% anualiz]:[% anualiz]]),1)*IF(DATOS!AX$4="Sí",1/DATOS_[[% normaliz]:[% normaliz]],1)*(DATOS_[Conc.Sal.20])))))))),
0)</f>
        <v>0</v>
      </c>
      <c r="AD76" s="196">
        <f t="array" ref="AD76">IFERROR(
(AVERAGE((IF(DATOS_[[Sexo]:[Sexo]]=$B76,IF(DATOS_[[AGRUP. VALOR. PTO.]:[AGRUP. VALOR. PTO.]]=$B75,IF(DATOS_[[Check Periodo Ref.]:[Check Periodo Ref.]]="Dentro",IF(DATOS_[[Check Equiparado]:[Check Equiparado]]="Sí",IF(DATOS!AY$5="Sí",(1/DATOS_[[% anualiz]:[% anualiz]]),1)*IF(DATOS!AY$4="Sí",1/DATOS_[[% normaliz]:[% normaliz]],1)*(DATOS_[Conc.Sal.21])))))))),
0)</f>
        <v>0</v>
      </c>
      <c r="AE76" s="196">
        <f t="array" ref="AE76">IFERROR(
(AVERAGE((IF(DATOS_[[Sexo]:[Sexo]]=$B76,IF(DATOS_[[AGRUP. VALOR. PTO.]:[AGRUP. VALOR. PTO.]]=$B75,IF(DATOS_[[Check Periodo Ref.]:[Check Periodo Ref.]]="Dentro",IF(DATOS_[[Check Equiparado]:[Check Equiparado]]="Sí",IF(DATOS!AZ$5="Sí",(1/DATOS_[[% anualiz]:[% anualiz]]),1)*IF(DATOS!AZ$4="Sí",1/DATOS_[[% normaliz]:[% normaliz]],1)*(DATOS_[Conc.Sal.22])))))))),
0)</f>
        <v>0</v>
      </c>
      <c r="AF76" s="196">
        <f t="array" ref="AF76">IFERROR(
(AVERAGE((IF(DATOS_[[Sexo]:[Sexo]]=$B76,IF(DATOS_[[AGRUP. VALOR. PTO.]:[AGRUP. VALOR. PTO.]]=$B75,IF(DATOS_[[Check Periodo Ref.]:[Check Periodo Ref.]]="Dentro",IF(DATOS_[[Check Equiparado]:[Check Equiparado]]="Sí",IF(DATOS!BA$5="Sí",(1/DATOS_[[% anualiz]:[% anualiz]]),1)*IF(DATOS!BA$4="Sí",1/DATOS_[[% normaliz]:[% normaliz]],1)*(DATOS_[Conc.Sal.23])))))))),
0)</f>
        <v>0</v>
      </c>
      <c r="AG76" s="196">
        <f t="array" ref="AG76">IFERROR(
(AVERAGE((IF(DATOS_[[Sexo]:[Sexo]]=$B76,IF(DATOS_[[AGRUP. VALOR. PTO.]:[AGRUP. VALOR. PTO.]]=$B75,IF(DATOS_[[Check Periodo Ref.]:[Check Periodo Ref.]]="Dentro",IF(DATOS_[[Check Equiparado]:[Check Equiparado]]="Sí",IF(DATOS!BB$5="Sí",(1/DATOS_[[% anualiz]:[% anualiz]]),1)*IF(DATOS!BB$4="Sí",1/DATOS_[[% normaliz]:[% normaliz]],1)*(DATOS_[Conc.Sal.24])))))))),
0)</f>
        <v>0</v>
      </c>
      <c r="AH76" s="196">
        <f t="array" ref="AH76">IFERROR(
(AVERAGE((IF(DATOS_[[Sexo]:[Sexo]]=$B76,IF(DATOS_[[AGRUP. VALOR. PTO.]:[AGRUP. VALOR. PTO.]]=$B75,IF(DATOS_[[Check Periodo Ref.]:[Check Periodo Ref.]]="Dentro",IF(DATOS_[[Check Equiparado]:[Check Equiparado]]="Sí",IF(DATOS!BC$5="Sí",(1/DATOS_[[% anualiz]:[% anualiz]]),1)*IF(DATOS!BC$4="Sí",1/DATOS_[[% normaliz]:[% normaliz]],1)*(DATOS_[Conc.Sal.25])))))))),
0)</f>
        <v>0</v>
      </c>
      <c r="AI76" s="196">
        <f t="array" ref="AI76">IFERROR(
(AVERAGE((IF(DATOS_[[Sexo]:[Sexo]]=$B76,IF(DATOS_[[AGRUP. VALOR. PTO.]:[AGRUP. VALOR. PTO.]]=$B75,IF(DATOS_[[Check Periodo Ref.]:[Check Periodo Ref.]]="Dentro",IF(DATOS_[[Check Equiparado]:[Check Equiparado]]="Sí",IF(DATOS!BD$5="Sí",(1/DATOS_[[% anualiz]:[% anualiz]]),1)*IF(DATOS!BD$4="Sí",1/DATOS_[[% normaliz]:[% normaliz]],1)*(DATOS_[Conc.Sal.26])))))))),
0)</f>
        <v>0</v>
      </c>
      <c r="AJ76" s="196">
        <f t="array" ref="AJ76">IFERROR(
(AVERAGE((IF(DATOS_[[Sexo]:[Sexo]]=$B76,IF(DATOS_[[AGRUP. VALOR. PTO.]:[AGRUP. VALOR. PTO.]]=$B75,IF(DATOS_[[Check Periodo Ref.]:[Check Periodo Ref.]]="Dentro",IF(DATOS_[[Check Equiparado]:[Check Equiparado]]="Sí",IF(DATOS!BE$5="Sí",(1/DATOS_[[% anualiz]:[% anualiz]]),1)*IF(DATOS!BE$4="Sí",1/DATOS_[[% normaliz]:[% normaliz]],1)*(DATOS_[Conc.Sal.27])))))))),
0)</f>
        <v>0</v>
      </c>
      <c r="AK76" s="196">
        <f t="array" ref="AK76">IFERROR(
(AVERAGE((IF(DATOS_[[Sexo]:[Sexo]]=$B76,IF(DATOS_[[AGRUP. VALOR. PTO.]:[AGRUP. VALOR. PTO.]]=$B75,IF(DATOS_[[Check Periodo Ref.]:[Check Periodo Ref.]]="Dentro",IF(DATOS_[[Check Equiparado]:[Check Equiparado]]="Sí",IF(DATOS!BF$5="Sí",(1/DATOS_[[% anualiz]:[% anualiz]]),1)*IF(DATOS!BF$4="Sí",1/DATOS_[[% normaliz]:[% normaliz]],1)*(DATOS_[Conc.Sal.28])))))))),
0)</f>
        <v>0</v>
      </c>
      <c r="AL76" s="196">
        <f t="array" ref="AL76">IFERROR(
(AVERAGE((IF(DATOS_[[Sexo]:[Sexo]]=$B76,IF(DATOS_[[AGRUP. VALOR. PTO.]:[AGRUP. VALOR. PTO.]]=$B75,IF(DATOS_[[Check Periodo Ref.]:[Check Periodo Ref.]]="Dentro",IF(DATOS_[[Check Equiparado]:[Check Equiparado]]="Sí",IF(DATOS!BG$5="Sí",(1/DATOS_[[% anualiz]:[% anualiz]]),1)*IF(DATOS!BG$4="Sí",1/DATOS_[[% normaliz]:[% normaliz]],1)*(DATOS_[Conc.Sal.29])))))))),
0)</f>
        <v>0</v>
      </c>
      <c r="AM76" s="196">
        <f t="array" ref="AM76">IFERROR(
(AVERAGE((IF(DATOS_[[Sexo]:[Sexo]]=$B76,IF(DATOS_[[AGRUP. VALOR. PTO.]:[AGRUP. VALOR. PTO.]]=$B75,IF(DATOS_[[Check Periodo Ref.]:[Check Periodo Ref.]]="Dentro",IF(DATOS_[[Check Equiparado]:[Check Equiparado]]="Sí",IF(DATOS!BH$5="Sí",(1/DATOS_[[% anualiz]:[% anualiz]]),1)*IF(DATOS!BH$4="Sí",1/DATOS_[[% normaliz]:[% normaliz]],1)*(DATOS_[Conc.Sal.30])))))))),
0)</f>
        <v>0</v>
      </c>
      <c r="AN76" s="195">
        <f t="array" ref="AN76">IFERROR(
AVERAGE(IF(DATOS_[Sexo]=$B76,IF(DATOS_[[AGRUP. VALOR. PTO.]:[AGRUP. VALOR. PTO.]]=$B75,IF(DATOS_[Check Equiparado]="Sí",IF(DATOS_[Check Periodo Ref.]="Dentro",DATOS_[Tot COMPL.SAL Eq],FALSE))))),
0)</f>
        <v>0</v>
      </c>
      <c r="AO76" s="172">
        <f t="array" ref="AO76">IFERROR(
AVERAGE(IF(DATOS_[Sexo]=$B76,IF(DATOS_[[AGRUP. VALOR. PTO.]:[AGRUP. VALOR. PTO.]]=$B75,IF(DATOS_[Check Equiparado]="Sí",IF(DATOS_[Check Periodo Ref.]="Dentro",DATOS_[TOTAL SALARIO Eq],FALSE))))),
0)</f>
        <v>0</v>
      </c>
      <c r="AP76" s="173">
        <f t="array" ref="AP76">IFERROR(
(AVERAGE((IF(DATOS_[[Sexo]:[Sexo]]=$B76,IF(DATOS_[[AGRUP. VALOR. PTO.]:[AGRUP. VALOR. PTO.]]=$B75,IF(DATOS_[[Check Periodo Ref.]:[Check Periodo Ref.]]="Dentro",IF(DATOS_[[Check Equiparado]:[Check Equiparado]]="Sí",IF(DATOS!BW$5="Sí",(1/DATOS_[[% anualiz]:[% anualiz]]),1)*IF(DATOS!BW$4="Sí",1/DATOS_[[% normaliz]:[% normaliz]],1)*(DATOS_[C.Extra.01])))))))),
0)</f>
        <v>0</v>
      </c>
      <c r="AQ76" s="173">
        <f t="array" ref="AQ76">IFERROR(
(AVERAGE((IF(DATOS_[[Sexo]:[Sexo]]=$B76,IF(DATOS_[[AGRUP. VALOR. PTO.]:[AGRUP. VALOR. PTO.]]=$B75,IF(DATOS_[[Check Periodo Ref.]:[Check Periodo Ref.]]="Dentro",IF(DATOS_[[Check Equiparado]:[Check Equiparado]]="Sí",IF(DATOS!CB$5="Sí",(1/DATOS_[[% anualiz]:[% anualiz]]),1)*IF(DATOS!CB$4="Sí",1/DATOS_[[% normaliz]:[% normaliz]],1)*(DATOS_[C.Extra.06])))))))),
0)</f>
        <v>0</v>
      </c>
      <c r="AR76" s="173">
        <f t="array" ref="AR76">IFERROR(
(AVERAGE((IF(DATOS_[[Sexo]:[Sexo]]=$B76,IF(DATOS_[[AGRUP. VALOR. PTO.]:[AGRUP. VALOR. PTO.]]=$B75,IF(DATOS_[[Check Periodo Ref.]:[Check Periodo Ref.]]="Dentro",IF(DATOS_[[Check Equiparado]:[Check Equiparado]]="Sí",IF(DATOS!CC$5="Sí",(1/DATOS_[[% anualiz]:[% anualiz]]),1)*IF(DATOS!CC$4="Sí",1/DATOS_[[% normaliz]:[% normaliz]],1)*(DATOS_[C.Extra.07])))))))),
0)</f>
        <v>0</v>
      </c>
      <c r="AS76" s="173">
        <f t="array" ref="AS76">IFERROR(
(AVERAGE((IF(DATOS_[[Sexo]:[Sexo]]=$B76,IF(DATOS_[[AGRUP. VALOR. PTO.]:[AGRUP. VALOR. PTO.]]=$B75,IF(DATOS_[[Check Periodo Ref.]:[Check Periodo Ref.]]="Dentro",IF(DATOS_[[Check Equiparado]:[Check Equiparado]]="Sí",IF(DATOS!CD$5="Sí",(1/DATOS_[[% anualiz]:[% anualiz]]),1)*IF(DATOS!CD$4="Sí",1/DATOS_[[% normaliz]:[% normaliz]],1)*(DATOS_[C.Extra.08])))))))),
0)</f>
        <v>0</v>
      </c>
      <c r="AT76" s="173">
        <f t="array" ref="AT76">IFERROR(
(AVERAGE((IF(DATOS_[[Sexo]:[Sexo]]=$B76,IF(DATOS_[[AGRUP. VALOR. PTO.]:[AGRUP. VALOR. PTO.]]=$B75,IF(DATOS_[[Check Periodo Ref.]:[Check Periodo Ref.]]="Dentro",IF(DATOS_[[Check Equiparado]:[Check Equiparado]]="Sí",IF(DATOS!CG$5="Sí",(1/DATOS_[[% anualiz]:[% anualiz]]),1)*IF(DATOS!CG$4="Sí",1/DATOS_[[% normaliz]:[% normaliz]],1)*(DATOS_[C.Extra.11])))))))),
0)</f>
        <v>0</v>
      </c>
      <c r="AU76" s="197">
        <f t="array" ref="AU76">IFERROR(
AVERAGE(IF(DATOS_[Sexo]=$B76,IF(DATOS_[[AGRUP. VALOR. PTO.]:[AGRUP. VALOR. PTO.]]=$B75,IF(DATOS_[Check Equiparado]="Sí",IF(DATOS_[Check Periodo Ref.]="Dentro",DATOS_[Tot Extrasalarial Eq],FALSE))))),
0)</f>
        <v>0</v>
      </c>
      <c r="AV76" s="175">
        <f t="array" ref="AV76">IFERROR(
AVERAGE(IF(DATOS_[Sexo]=$B76,IF(DATOS_[[AGRUP. VALOR. PTO.]:[AGRUP. VALOR. PTO.]]=$B75,IF(DATOS_[Check Equiparado]="Sí",IF(DATOS_[Check Periodo Ref.]="Dentro",DATOS_[TOTAL Retrib Eq],FALSE))))),
0)</f>
        <v>0</v>
      </c>
    </row>
    <row r="77" spans="1:48" x14ac:dyDescent="0.25">
      <c r="A77" s="133" t="str">
        <f t="shared" ref="A77" si="86">+A76</f>
        <v>[ocultar]</v>
      </c>
      <c r="B77" s="202" t="s">
        <v>521</v>
      </c>
      <c r="C77" s="203">
        <f t="array" ref="C77">SUM(IF($B77=DATOS_[Sexo],
IF($B75=DATOS_[AGRUP. VALOR. PTO.],
IF("Dentro"=DATOS_[Check Periodo Ref.],
1/(COUNTIFS(DATOS_[Sexo],$B77,DATOS_[AGRUP. VALOR. PTO.],$B75,DATOS_[Check Periodo Ref.],"Dentro",DATOS_[id/cod],DATOS_[id/cod]))))))</f>
        <v>0</v>
      </c>
      <c r="D77" s="204">
        <f>COUNTIFS(DATOS_[AGRUP. VALOR. PTO.],$B75,DATOS_[Sexo],$B77,DATOS_[Check Periodo Ref.],"Dentro")</f>
        <v>0</v>
      </c>
      <c r="E77" s="204">
        <f>COUNTIFS(DATOS_[AGRUP. VALOR. PTO.],$B75,DATOS_[Sexo],$B77,DATOS_[Check Periodo Ref.],"Dentro",DATOS_[Check Nº SC Norm],"Sí")</f>
        <v>0</v>
      </c>
      <c r="F77" s="204">
        <f>COUNTIFS(DATOS_[AGRUP. VALOR. PTO.],$B75,DATOS_[Sexo],$B77,DATOS_[Check Periodo Ref.],"Dentro",DATOS_[Check Nº SC Anualiz],"Sí")</f>
        <v>0</v>
      </c>
      <c r="G77" s="204">
        <f>COUNTIFS(DATOS_[AGRUP. VALOR. PTO.],$B75,DATOS_[Sexo],$B77,DATOS_[Check Periodo Ref.],"Dentro",DATOS_[Check Nº SC Norm y Anualiz],"Sí")</f>
        <v>0</v>
      </c>
      <c r="H77" s="204">
        <f>COUNTIFS(DATOS_[AGRUP. VALOR. PTO.],$B75,DATOS_[Sexo],$B77,DATOS_[Check Periodo Ref.],"Dentro",DATOS_[Check Equiparación],"Sí")</f>
        <v>0</v>
      </c>
      <c r="I77" s="195" cm="1">
        <f t="array" ref="I77">IFERROR(
AVERAGE(IF(DATOS_[Sexo]=$B77,IF(DATOS_[[AGRUP. VALOR. PTO.]:[AGRUP. VALOR. PTO.]]=$B75,IF(DATOS_[Check Equiparado]="Sí",IF(DATOS_[Check Periodo Ref.]="Dentro",DATOS_[SALARIO BASE Eq],FALSE))))),
0)</f>
        <v>0</v>
      </c>
      <c r="J77" s="196">
        <f t="array" ref="J77">IFERROR(
(AVERAGE((IF(DATOS_[[Sexo]:[Sexo]]=$B77,IF(DATOS_[[AGRUP. VALOR. PTO.]:[AGRUP. VALOR. PTO.]]=$B75,IF(DATOS_[[Check Periodo Ref.]:[Check Periodo Ref.]]="Dentro",IF(DATOS_[[Check Equiparado]:[Check Equiparado]]="Sí",IF(DATOS!AE$5="Sí",(1/DATOS_[[% anualiz]:[% anualiz]]),1)*IF(DATOS!AE$4="Sí",1/DATOS_[[% normaliz]:[% normaliz]],1)*(DATOS_[Conc.Sal.01])))))))),
0)</f>
        <v>0</v>
      </c>
      <c r="K77" s="196">
        <f t="array" ref="K77">IFERROR(
(AVERAGE((IF(DATOS_[[Sexo]:[Sexo]]=$B77,IF(DATOS_[[AGRUP. VALOR. PTO.]:[AGRUP. VALOR. PTO.]]=$B75,IF(DATOS_[[Check Periodo Ref.]:[Check Periodo Ref.]]="Dentro",IF(DATOS_[[Check Equiparado]:[Check Equiparado]]="Sí",IF(DATOS!AF$5="Sí",(1/DATOS_[[% anualiz]:[% anualiz]]),1)*IF(DATOS!AF$4="Sí",1/DATOS_[[% normaliz]:[% normaliz]],1)*(DATOS_[Conc.Sal.02])))))))),
0)</f>
        <v>0</v>
      </c>
      <c r="L77" s="196">
        <f t="array" ref="L77">IFERROR(
(AVERAGE((IF(DATOS_[[Sexo]:[Sexo]]=$B77,IF(DATOS_[[AGRUP. VALOR. PTO.]:[AGRUP. VALOR. PTO.]]=$B75,IF(DATOS_[[Check Periodo Ref.]:[Check Periodo Ref.]]="Dentro",IF(DATOS_[[Check Equiparado]:[Check Equiparado]]="Sí",IF(DATOS!AG$5="Sí",(1/DATOS_[[% anualiz]:[% anualiz]]),1)*IF(DATOS!AG$4="Sí",1/DATOS_[[% normaliz]:[% normaliz]],1)*(DATOS_[Conc.Sal.03])))))))),
0)</f>
        <v>0</v>
      </c>
      <c r="M77" s="196">
        <f t="array" ref="M77">IFERROR(
(AVERAGE((IF(DATOS_[[Sexo]:[Sexo]]=$B77,IF(DATOS_[[AGRUP. VALOR. PTO.]:[AGRUP. VALOR. PTO.]]=$B75,IF(DATOS_[[Check Periodo Ref.]:[Check Periodo Ref.]]="Dentro",IF(DATOS_[[Check Equiparado]:[Check Equiparado]]="Sí",IF(DATOS!AH$5="Sí",(1/DATOS_[[% anualiz]:[% anualiz]]),1)*IF(DATOS!AH$4="Sí",1/DATOS_[[% normaliz]:[% normaliz]],1)*(DATOS_[Conc.Sal.04])))))))),
0)</f>
        <v>0</v>
      </c>
      <c r="N77" s="196">
        <f t="array" ref="N77">IFERROR(
(AVERAGE((IF(DATOS_[[Sexo]:[Sexo]]=$B77,IF(DATOS_[[AGRUP. VALOR. PTO.]:[AGRUP. VALOR. PTO.]]=$B75,IF(DATOS_[[Check Periodo Ref.]:[Check Periodo Ref.]]="Dentro",IF(DATOS_[[Check Equiparado]:[Check Equiparado]]="Sí",IF(DATOS!AI$5="Sí",(1/DATOS_[[% anualiz]:[% anualiz]]),1)*IF(DATOS!AI$4="Sí",1/DATOS_[[% normaliz]:[% normaliz]],1)*(DATOS_[Conc.Sal.05])))))))),
0)</f>
        <v>0</v>
      </c>
      <c r="O77" s="196">
        <f t="array" ref="O77">IFERROR(
(AVERAGE((IF(DATOS_[[Sexo]:[Sexo]]=$B77,IF(DATOS_[[AGRUP. VALOR. PTO.]:[AGRUP. VALOR. PTO.]]=$B75,IF(DATOS_[[Check Periodo Ref.]:[Check Periodo Ref.]]="Dentro",IF(DATOS_[[Check Equiparado]:[Check Equiparado]]="Sí",IF(DATOS!AJ$5="Sí",(1/DATOS_[[% anualiz]:[% anualiz]]),1)*IF(DATOS!AJ$4="Sí",1/DATOS_[[% normaliz]:[% normaliz]],1)*(DATOS_[Conc.Sal.06])))))))),
0)</f>
        <v>0</v>
      </c>
      <c r="P77" s="196">
        <f t="array" ref="P77">IFERROR(
(AVERAGE((IF(DATOS_[[Sexo]:[Sexo]]=$B77,IF(DATOS_[[AGRUP. VALOR. PTO.]:[AGRUP. VALOR. PTO.]]=$B75,IF(DATOS_[[Check Periodo Ref.]:[Check Periodo Ref.]]="Dentro",IF(DATOS_[[Check Equiparado]:[Check Equiparado]]="Sí",IF(DATOS!AK$5="Sí",(1/DATOS_[[% anualiz]:[% anualiz]]),1)*IF(DATOS!AK$4="Sí",1/DATOS_[[% normaliz]:[% normaliz]],1)*(DATOS_[Conc.Sal.07])))))))),
0)</f>
        <v>0</v>
      </c>
      <c r="Q77" s="196">
        <f t="array" ref="Q77">IFERROR(
(AVERAGE((IF(DATOS_[[Sexo]:[Sexo]]=$B77,IF(DATOS_[[AGRUP. VALOR. PTO.]:[AGRUP. VALOR. PTO.]]=$B75,IF(DATOS_[[Check Periodo Ref.]:[Check Periodo Ref.]]="Dentro",IF(DATOS_[[Check Equiparado]:[Check Equiparado]]="Sí",IF(DATOS!AL$5="Sí",(1/DATOS_[[% anualiz]:[% anualiz]]),1)*IF(DATOS!AL$4="Sí",1/DATOS_[[% normaliz]:[% normaliz]],1)*(DATOS_[Conc.Sal.08])))))))),
0)</f>
        <v>0</v>
      </c>
      <c r="R77" s="196">
        <f t="array" ref="R77">IFERROR(
(AVERAGE((IF(DATOS_[[Sexo]:[Sexo]]=$B77,IF(DATOS_[[AGRUP. VALOR. PTO.]:[AGRUP. VALOR. PTO.]]=$B75,IF(DATOS_[[Check Periodo Ref.]:[Check Periodo Ref.]]="Dentro",IF(DATOS_[[Check Equiparado]:[Check Equiparado]]="Sí",IF(DATOS!AM$5="Sí",(1/DATOS_[[% anualiz]:[% anualiz]]),1)*IF(DATOS!AM$4="Sí",1/DATOS_[[% normaliz]:[% normaliz]],1)*(DATOS_[Conc.Sal.09])))))))),
0)</f>
        <v>0</v>
      </c>
      <c r="S77" s="196">
        <f t="array" ref="S77">IFERROR(
(AVERAGE((IF(DATOS_[[Sexo]:[Sexo]]=$B77,IF(DATOS_[[AGRUP. VALOR. PTO.]:[AGRUP. VALOR. PTO.]]=$B75,IF(DATOS_[[Check Periodo Ref.]:[Check Periodo Ref.]]="Dentro",IF(DATOS_[[Check Equiparado]:[Check Equiparado]]="Sí",IF(DATOS!AN$5="Sí",(1/DATOS_[[% anualiz]:[% anualiz]]),1)*IF(DATOS!AN$4="Sí",1/DATOS_[[% normaliz]:[% normaliz]],1)*(DATOS_[Conc.Sal.10])))))))),
0)</f>
        <v>0</v>
      </c>
      <c r="T77" s="196">
        <f t="array" ref="T77">IFERROR(
(AVERAGE((IF(DATOS_[[Sexo]:[Sexo]]=$B77,IF(DATOS_[[AGRUP. VALOR. PTO.]:[AGRUP. VALOR. PTO.]]=$B75,IF(DATOS_[[Check Periodo Ref.]:[Check Periodo Ref.]]="Dentro",IF(DATOS_[[Check Equiparado]:[Check Equiparado]]="Sí",IF(DATOS!AO$5="Sí",(1/DATOS_[[% anualiz]:[% anualiz]]),1)*IF(DATOS!AO$4="Sí",1/DATOS_[[% normaliz]:[% normaliz]],1)*(DATOS_[Conc.Sal.11])))))))),
0)</f>
        <v>0</v>
      </c>
      <c r="U77" s="196">
        <f t="array" ref="U77">IFERROR(
(AVERAGE((IF(DATOS_[[Sexo]:[Sexo]]=$B77,IF(DATOS_[[AGRUP. VALOR. PTO.]:[AGRUP. VALOR. PTO.]]=$B75,IF(DATOS_[[Check Periodo Ref.]:[Check Periodo Ref.]]="Dentro",IF(DATOS_[[Check Equiparado]:[Check Equiparado]]="Sí",IF(DATOS!AP$5="Sí",(1/DATOS_[[% anualiz]:[% anualiz]]),1)*IF(DATOS!AP$4="Sí",1/DATOS_[[% normaliz]:[% normaliz]],1)*(DATOS_[Conc.Sal.12])))))))),
0)</f>
        <v>0</v>
      </c>
      <c r="V77" s="196">
        <f t="array" ref="V77">IFERROR(
(AVERAGE((IF(DATOS_[[Sexo]:[Sexo]]=$B77,IF(DATOS_[[AGRUP. VALOR. PTO.]:[AGRUP. VALOR. PTO.]]=$B75,IF(DATOS_[[Check Periodo Ref.]:[Check Periodo Ref.]]="Dentro",IF(DATOS_[[Check Equiparado]:[Check Equiparado]]="Sí",IF(DATOS!AQ$5="Sí",(1/DATOS_[[% anualiz]:[% anualiz]]),1)*IF(DATOS!AQ$4="Sí",1/DATOS_[[% normaliz]:[% normaliz]],1)*(DATOS_[Conc.Sal.13])))))))),
0)</f>
        <v>0</v>
      </c>
      <c r="W77" s="196">
        <f t="array" ref="W77">IFERROR(
(AVERAGE((IF(DATOS_[[Sexo]:[Sexo]]=$B77,IF(DATOS_[[AGRUP. VALOR. PTO.]:[AGRUP. VALOR. PTO.]]=$B75,IF(DATOS_[[Check Periodo Ref.]:[Check Periodo Ref.]]="Dentro",IF(DATOS_[[Check Equiparado]:[Check Equiparado]]="Sí",IF(DATOS!AR$5="Sí",(1/DATOS_[[% anualiz]:[% anualiz]]),1)*IF(DATOS!AR$4="Sí",1/DATOS_[[% normaliz]:[% normaliz]],1)*(DATOS_[Conc.Sal.14])))))))),
0)</f>
        <v>0</v>
      </c>
      <c r="X77" s="196">
        <f t="array" ref="X77">IFERROR(
(AVERAGE((IF(DATOS_[[Sexo]:[Sexo]]=$B77,IF(DATOS_[[AGRUP. VALOR. PTO.]:[AGRUP. VALOR. PTO.]]=$B75,IF(DATOS_[[Check Periodo Ref.]:[Check Periodo Ref.]]="Dentro",IF(DATOS_[[Check Equiparado]:[Check Equiparado]]="Sí",IF(DATOS!AS$5="Sí",(1/DATOS_[[% anualiz]:[% anualiz]]),1)*IF(DATOS!AS$4="Sí",1/DATOS_[[% normaliz]:[% normaliz]],1)*(DATOS_[Conc.Sal.15])))))))),
0)</f>
        <v>0</v>
      </c>
      <c r="Y77" s="196">
        <f t="array" ref="Y77">IFERROR(
(AVERAGE((IF(DATOS_[[Sexo]:[Sexo]]=$B77,IF(DATOS_[[AGRUP. VALOR. PTO.]:[AGRUP. VALOR. PTO.]]=$B75,IF(DATOS_[[Check Periodo Ref.]:[Check Periodo Ref.]]="Dentro",IF(DATOS_[[Check Equiparado]:[Check Equiparado]]="Sí",IF(DATOS!AT$5="Sí",(1/DATOS_[[% anualiz]:[% anualiz]]),1)*IF(DATOS!AT$4="Sí",1/DATOS_[[% normaliz]:[% normaliz]],1)*(DATOS_[Conc.Sal.16])))))))),
0)</f>
        <v>0</v>
      </c>
      <c r="Z77" s="196">
        <f t="array" ref="Z77">IFERROR(
(AVERAGE((IF(DATOS_[[Sexo]:[Sexo]]=$B77,IF(DATOS_[[AGRUP. VALOR. PTO.]:[AGRUP. VALOR. PTO.]]=$B75,IF(DATOS_[[Check Periodo Ref.]:[Check Periodo Ref.]]="Dentro",IF(DATOS_[[Check Equiparado]:[Check Equiparado]]="Sí",IF(DATOS!AU$5="Sí",(1/DATOS_[[% anualiz]:[% anualiz]]),1)*IF(DATOS!AU$4="Sí",1/DATOS_[[% normaliz]:[% normaliz]],1)*(DATOS_[Conc.Sal.17])))))))),
0)</f>
        <v>0</v>
      </c>
      <c r="AA77" s="196">
        <f t="array" ref="AA77">IFERROR(
(AVERAGE((IF(DATOS_[[Sexo]:[Sexo]]=$B77,IF(DATOS_[[AGRUP. VALOR. PTO.]:[AGRUP. VALOR. PTO.]]=$B75,IF(DATOS_[[Check Periodo Ref.]:[Check Periodo Ref.]]="Dentro",IF(DATOS_[[Check Equiparado]:[Check Equiparado]]="Sí",IF(DATOS!AV$5="Sí",(1/DATOS_[[% anualiz]:[% anualiz]]),1)*IF(DATOS!AV$4="Sí",1/DATOS_[[% normaliz]:[% normaliz]],1)*(DATOS_[Conc.Sal.18])))))))),
0)</f>
        <v>0</v>
      </c>
      <c r="AB77" s="196">
        <f t="array" ref="AB77">IFERROR(
(AVERAGE((IF(DATOS_[[Sexo]:[Sexo]]=$B77,IF(DATOS_[[AGRUP. VALOR. PTO.]:[AGRUP. VALOR. PTO.]]=$B75,IF(DATOS_[[Check Periodo Ref.]:[Check Periodo Ref.]]="Dentro",IF(DATOS_[[Check Equiparado]:[Check Equiparado]]="Sí",IF(DATOS!AW$5="Sí",(1/DATOS_[[% anualiz]:[% anualiz]]),1)*IF(DATOS!AW$4="Sí",1/DATOS_[[% normaliz]:[% normaliz]],1)*(DATOS_[Conc.Sal.19])))))))),
0)</f>
        <v>0</v>
      </c>
      <c r="AC77" s="196">
        <f t="array" ref="AC77">IFERROR(
(AVERAGE((IF(DATOS_[[Sexo]:[Sexo]]=$B77,IF(DATOS_[[AGRUP. VALOR. PTO.]:[AGRUP. VALOR. PTO.]]=$B75,IF(DATOS_[[Check Periodo Ref.]:[Check Periodo Ref.]]="Dentro",IF(DATOS_[[Check Equiparado]:[Check Equiparado]]="Sí",IF(DATOS!AX$5="Sí",(1/DATOS_[[% anualiz]:[% anualiz]]),1)*IF(DATOS!AX$4="Sí",1/DATOS_[[% normaliz]:[% normaliz]],1)*(DATOS_[Conc.Sal.20])))))))),
0)</f>
        <v>0</v>
      </c>
      <c r="AD77" s="196">
        <f t="array" ref="AD77">IFERROR(
(AVERAGE((IF(DATOS_[[Sexo]:[Sexo]]=$B77,IF(DATOS_[[AGRUP. VALOR. PTO.]:[AGRUP. VALOR. PTO.]]=$B75,IF(DATOS_[[Check Periodo Ref.]:[Check Periodo Ref.]]="Dentro",IF(DATOS_[[Check Equiparado]:[Check Equiparado]]="Sí",IF(DATOS!AY$5="Sí",(1/DATOS_[[% anualiz]:[% anualiz]]),1)*IF(DATOS!AY$4="Sí",1/DATOS_[[% normaliz]:[% normaliz]],1)*(DATOS_[Conc.Sal.21])))))))),
0)</f>
        <v>0</v>
      </c>
      <c r="AE77" s="196">
        <f t="array" ref="AE77">IFERROR(
(AVERAGE((IF(DATOS_[[Sexo]:[Sexo]]=$B77,IF(DATOS_[[AGRUP. VALOR. PTO.]:[AGRUP. VALOR. PTO.]]=$B75,IF(DATOS_[[Check Periodo Ref.]:[Check Periodo Ref.]]="Dentro",IF(DATOS_[[Check Equiparado]:[Check Equiparado]]="Sí",IF(DATOS!AZ$5="Sí",(1/DATOS_[[% anualiz]:[% anualiz]]),1)*IF(DATOS!AZ$4="Sí",1/DATOS_[[% normaliz]:[% normaliz]],1)*(DATOS_[Conc.Sal.22])))))))),
0)</f>
        <v>0</v>
      </c>
      <c r="AF77" s="196">
        <f t="array" ref="AF77">IFERROR(
(AVERAGE((IF(DATOS_[[Sexo]:[Sexo]]=$B77,IF(DATOS_[[AGRUP. VALOR. PTO.]:[AGRUP. VALOR. PTO.]]=$B75,IF(DATOS_[[Check Periodo Ref.]:[Check Periodo Ref.]]="Dentro",IF(DATOS_[[Check Equiparado]:[Check Equiparado]]="Sí",IF(DATOS!BA$5="Sí",(1/DATOS_[[% anualiz]:[% anualiz]]),1)*IF(DATOS!BA$4="Sí",1/DATOS_[[% normaliz]:[% normaliz]],1)*(DATOS_[Conc.Sal.23])))))))),
0)</f>
        <v>0</v>
      </c>
      <c r="AG77" s="196">
        <f t="array" ref="AG77">IFERROR(
(AVERAGE((IF(DATOS_[[Sexo]:[Sexo]]=$B77,IF(DATOS_[[AGRUP. VALOR. PTO.]:[AGRUP. VALOR. PTO.]]=$B75,IF(DATOS_[[Check Periodo Ref.]:[Check Periodo Ref.]]="Dentro",IF(DATOS_[[Check Equiparado]:[Check Equiparado]]="Sí",IF(DATOS!BB$5="Sí",(1/DATOS_[[% anualiz]:[% anualiz]]),1)*IF(DATOS!BB$4="Sí",1/DATOS_[[% normaliz]:[% normaliz]],1)*(DATOS_[Conc.Sal.24])))))))),
0)</f>
        <v>0</v>
      </c>
      <c r="AH77" s="196">
        <f t="array" ref="AH77">IFERROR(
(AVERAGE((IF(DATOS_[[Sexo]:[Sexo]]=$B77,IF(DATOS_[[AGRUP. VALOR. PTO.]:[AGRUP. VALOR. PTO.]]=$B75,IF(DATOS_[[Check Periodo Ref.]:[Check Periodo Ref.]]="Dentro",IF(DATOS_[[Check Equiparado]:[Check Equiparado]]="Sí",IF(DATOS!BC$5="Sí",(1/DATOS_[[% anualiz]:[% anualiz]]),1)*IF(DATOS!BC$4="Sí",1/DATOS_[[% normaliz]:[% normaliz]],1)*(DATOS_[Conc.Sal.25])))))))),
0)</f>
        <v>0</v>
      </c>
      <c r="AI77" s="196">
        <f t="array" ref="AI77">IFERROR(
(AVERAGE((IF(DATOS_[[Sexo]:[Sexo]]=$B77,IF(DATOS_[[AGRUP. VALOR. PTO.]:[AGRUP. VALOR. PTO.]]=$B75,IF(DATOS_[[Check Periodo Ref.]:[Check Periodo Ref.]]="Dentro",IF(DATOS_[[Check Equiparado]:[Check Equiparado]]="Sí",IF(DATOS!BD$5="Sí",(1/DATOS_[[% anualiz]:[% anualiz]]),1)*IF(DATOS!BD$4="Sí",1/DATOS_[[% normaliz]:[% normaliz]],1)*(DATOS_[Conc.Sal.26])))))))),
0)</f>
        <v>0</v>
      </c>
      <c r="AJ77" s="196">
        <f t="array" ref="AJ77">IFERROR(
(AVERAGE((IF(DATOS_[[Sexo]:[Sexo]]=$B77,IF(DATOS_[[AGRUP. VALOR. PTO.]:[AGRUP. VALOR. PTO.]]=$B75,IF(DATOS_[[Check Periodo Ref.]:[Check Periodo Ref.]]="Dentro",IF(DATOS_[[Check Equiparado]:[Check Equiparado]]="Sí",IF(DATOS!BE$5="Sí",(1/DATOS_[[% anualiz]:[% anualiz]]),1)*IF(DATOS!BE$4="Sí",1/DATOS_[[% normaliz]:[% normaliz]],1)*(DATOS_[Conc.Sal.27])))))))),
0)</f>
        <v>0</v>
      </c>
      <c r="AK77" s="196">
        <f t="array" ref="AK77">IFERROR(
(AVERAGE((IF(DATOS_[[Sexo]:[Sexo]]=$B77,IF(DATOS_[[AGRUP. VALOR. PTO.]:[AGRUP. VALOR. PTO.]]=$B75,IF(DATOS_[[Check Periodo Ref.]:[Check Periodo Ref.]]="Dentro",IF(DATOS_[[Check Equiparado]:[Check Equiparado]]="Sí",IF(DATOS!BF$5="Sí",(1/DATOS_[[% anualiz]:[% anualiz]]),1)*IF(DATOS!BF$4="Sí",1/DATOS_[[% normaliz]:[% normaliz]],1)*(DATOS_[Conc.Sal.28])))))))),
0)</f>
        <v>0</v>
      </c>
      <c r="AL77" s="196">
        <f t="array" ref="AL77">IFERROR(
(AVERAGE((IF(DATOS_[[Sexo]:[Sexo]]=$B77,IF(DATOS_[[AGRUP. VALOR. PTO.]:[AGRUP. VALOR. PTO.]]=$B75,IF(DATOS_[[Check Periodo Ref.]:[Check Periodo Ref.]]="Dentro",IF(DATOS_[[Check Equiparado]:[Check Equiparado]]="Sí",IF(DATOS!BG$5="Sí",(1/DATOS_[[% anualiz]:[% anualiz]]),1)*IF(DATOS!BG$4="Sí",1/DATOS_[[% normaliz]:[% normaliz]],1)*(DATOS_[Conc.Sal.29])))))))),
0)</f>
        <v>0</v>
      </c>
      <c r="AM77" s="196">
        <f t="array" ref="AM77">IFERROR(
(AVERAGE((IF(DATOS_[[Sexo]:[Sexo]]=$B77,IF(DATOS_[[AGRUP. VALOR. PTO.]:[AGRUP. VALOR. PTO.]]=$B75,IF(DATOS_[[Check Periodo Ref.]:[Check Periodo Ref.]]="Dentro",IF(DATOS_[[Check Equiparado]:[Check Equiparado]]="Sí",IF(DATOS!BH$5="Sí",(1/DATOS_[[% anualiz]:[% anualiz]]),1)*IF(DATOS!BH$4="Sí",1/DATOS_[[% normaliz]:[% normaliz]],1)*(DATOS_[Conc.Sal.30])))))))),
0)</f>
        <v>0</v>
      </c>
      <c r="AN77" s="195">
        <f t="array" ref="AN77">IFERROR(
AVERAGE(IF(DATOS_[Sexo]=$B77,IF(DATOS_[[AGRUP. VALOR. PTO.]:[AGRUP. VALOR. PTO.]]=$B75,IF(DATOS_[Check Equiparado]="Sí",IF(DATOS_[Check Periodo Ref.]="Dentro",DATOS_[Tot COMPL.SAL Eq],FALSE))))),
0)</f>
        <v>0</v>
      </c>
      <c r="AO77" s="172">
        <f t="array" ref="AO77">IFERROR(
AVERAGE(IF(DATOS_[Sexo]=$B77,IF(DATOS_[[AGRUP. VALOR. PTO.]:[AGRUP. VALOR. PTO.]]=$B75,IF(DATOS_[Check Equiparado]="Sí",IF(DATOS_[Check Periodo Ref.]="Dentro",DATOS_[TOTAL SALARIO Eq],FALSE))))),
0)</f>
        <v>0</v>
      </c>
      <c r="AP77" s="173">
        <f t="array" ref="AP77">IFERROR(
(AVERAGE((IF(DATOS_[[Sexo]:[Sexo]]=$B77,IF(DATOS_[[AGRUP. VALOR. PTO.]:[AGRUP. VALOR. PTO.]]=$B75,IF(DATOS_[[Check Periodo Ref.]:[Check Periodo Ref.]]="Dentro",IF(DATOS_[[Check Equiparado]:[Check Equiparado]]="Sí",IF(DATOS!BW$5="Sí",(1/DATOS_[[% anualiz]:[% anualiz]]),1)*IF(DATOS!BW$4="Sí",1/DATOS_[[% normaliz]:[% normaliz]],1)*(DATOS_[C.Extra.01])))))))),
0)</f>
        <v>0</v>
      </c>
      <c r="AQ77" s="173">
        <f t="array" ref="AQ77">IFERROR(
(AVERAGE((IF(DATOS_[[Sexo]:[Sexo]]=$B77,IF(DATOS_[[AGRUP. VALOR. PTO.]:[AGRUP. VALOR. PTO.]]=$B75,IF(DATOS_[[Check Periodo Ref.]:[Check Periodo Ref.]]="Dentro",IF(DATOS_[[Check Equiparado]:[Check Equiparado]]="Sí",IF(DATOS!CB$5="Sí",(1/DATOS_[[% anualiz]:[% anualiz]]),1)*IF(DATOS!CB$4="Sí",1/DATOS_[[% normaliz]:[% normaliz]],1)*(DATOS_[C.Extra.06])))))))),
0)</f>
        <v>0</v>
      </c>
      <c r="AR77" s="173">
        <f t="array" ref="AR77">IFERROR(
(AVERAGE((IF(DATOS_[[Sexo]:[Sexo]]=$B77,IF(DATOS_[[AGRUP. VALOR. PTO.]:[AGRUP. VALOR. PTO.]]=$B75,IF(DATOS_[[Check Periodo Ref.]:[Check Periodo Ref.]]="Dentro",IF(DATOS_[[Check Equiparado]:[Check Equiparado]]="Sí",IF(DATOS!CC$5="Sí",(1/DATOS_[[% anualiz]:[% anualiz]]),1)*IF(DATOS!CC$4="Sí",1/DATOS_[[% normaliz]:[% normaliz]],1)*(DATOS_[C.Extra.07])))))))),
0)</f>
        <v>0</v>
      </c>
      <c r="AS77" s="173">
        <f t="array" ref="AS77">IFERROR(
(AVERAGE((IF(DATOS_[[Sexo]:[Sexo]]=$B77,IF(DATOS_[[AGRUP. VALOR. PTO.]:[AGRUP. VALOR. PTO.]]=$B75,IF(DATOS_[[Check Periodo Ref.]:[Check Periodo Ref.]]="Dentro",IF(DATOS_[[Check Equiparado]:[Check Equiparado]]="Sí",IF(DATOS!CD$5="Sí",(1/DATOS_[[% anualiz]:[% anualiz]]),1)*IF(DATOS!CD$4="Sí",1/DATOS_[[% normaliz]:[% normaliz]],1)*(DATOS_[C.Extra.08])))))))),
0)</f>
        <v>0</v>
      </c>
      <c r="AT77" s="173">
        <f t="array" ref="AT77">IFERROR(
(AVERAGE((IF(DATOS_[[Sexo]:[Sexo]]=$B77,IF(DATOS_[[AGRUP. VALOR. PTO.]:[AGRUP. VALOR. PTO.]]=$B75,IF(DATOS_[[Check Periodo Ref.]:[Check Periodo Ref.]]="Dentro",IF(DATOS_[[Check Equiparado]:[Check Equiparado]]="Sí",IF(DATOS!CG$5="Sí",(1/DATOS_[[% anualiz]:[% anualiz]]),1)*IF(DATOS!CG$4="Sí",1/DATOS_[[% normaliz]:[% normaliz]],1)*(DATOS_[C.Extra.11])))))))),
0)</f>
        <v>0</v>
      </c>
      <c r="AU77" s="197">
        <f t="array" ref="AU77">IFERROR(
AVERAGE(IF(DATOS_[Sexo]=$B77,IF(DATOS_[[AGRUP. VALOR. PTO.]:[AGRUP. VALOR. PTO.]]=$B75,IF(DATOS_[Check Equiparado]="Sí",IF(DATOS_[Check Periodo Ref.]="Dentro",DATOS_[Tot Extrasalarial Eq],FALSE))))),
0)</f>
        <v>0</v>
      </c>
      <c r="AV77" s="175">
        <f t="array" ref="AV77">IFERROR(
AVERAGE(IF(DATOS_[Sexo]=$B77,IF(DATOS_[[AGRUP. VALOR. PTO.]:[AGRUP. VALOR. PTO.]]=$B75,IF(DATOS_[Check Equiparado]="Sí",IF(DATOS_[Check Periodo Ref.]="Dentro",DATOS_[TOTAL Retrib Eq],FALSE))))),
0)</f>
        <v>0</v>
      </c>
    </row>
    <row r="78" spans="1:48" ht="15.6" thickBot="1" x14ac:dyDescent="0.3">
      <c r="A78" s="133" t="str">
        <f t="shared" ref="A78" si="87">+A79</f>
        <v>[ocultar]</v>
      </c>
      <c r="B78" s="199" t="s">
        <v>266</v>
      </c>
      <c r="C78" s="200"/>
      <c r="D78" s="201"/>
      <c r="E78" s="201"/>
      <c r="F78" s="201"/>
      <c r="G78" s="201"/>
      <c r="H78" s="201"/>
      <c r="I78" s="189" t="str">
        <f t="shared" ref="I78:AV78" si="88">IFERROR((I79-I80)/I79,"")</f>
        <v/>
      </c>
      <c r="J78" s="190" t="str">
        <f t="shared" si="88"/>
        <v/>
      </c>
      <c r="K78" s="191" t="str">
        <f t="shared" si="88"/>
        <v/>
      </c>
      <c r="L78" s="191" t="str">
        <f t="shared" si="88"/>
        <v/>
      </c>
      <c r="M78" s="191" t="str">
        <f t="shared" si="88"/>
        <v/>
      </c>
      <c r="N78" s="192" t="str">
        <f t="shared" si="88"/>
        <v/>
      </c>
      <c r="O78" s="193" t="str">
        <f t="shared" si="88"/>
        <v/>
      </c>
      <c r="P78" s="193" t="str">
        <f t="shared" si="88"/>
        <v/>
      </c>
      <c r="Q78" s="193" t="str">
        <f t="shared" si="88"/>
        <v/>
      </c>
      <c r="R78" s="193" t="str">
        <f t="shared" si="88"/>
        <v/>
      </c>
      <c r="S78" s="193" t="str">
        <f t="shared" si="88"/>
        <v/>
      </c>
      <c r="T78" s="193" t="str">
        <f t="shared" si="88"/>
        <v/>
      </c>
      <c r="U78" s="193" t="str">
        <f t="shared" si="88"/>
        <v/>
      </c>
      <c r="V78" s="193" t="str">
        <f t="shared" si="88"/>
        <v/>
      </c>
      <c r="W78" s="193" t="str">
        <f t="shared" si="88"/>
        <v/>
      </c>
      <c r="X78" s="193" t="str">
        <f t="shared" si="88"/>
        <v/>
      </c>
      <c r="Y78" s="193" t="str">
        <f t="shared" si="88"/>
        <v/>
      </c>
      <c r="Z78" s="193" t="str">
        <f t="shared" si="88"/>
        <v/>
      </c>
      <c r="AA78" s="193" t="str">
        <f t="shared" si="88"/>
        <v/>
      </c>
      <c r="AB78" s="193" t="str">
        <f t="shared" si="88"/>
        <v/>
      </c>
      <c r="AC78" s="193" t="str">
        <f t="shared" si="88"/>
        <v/>
      </c>
      <c r="AD78" s="193" t="str">
        <f t="shared" si="88"/>
        <v/>
      </c>
      <c r="AE78" s="193" t="str">
        <f t="shared" si="88"/>
        <v/>
      </c>
      <c r="AF78" s="193" t="str">
        <f t="shared" si="88"/>
        <v/>
      </c>
      <c r="AG78" s="193" t="str">
        <f t="shared" si="88"/>
        <v/>
      </c>
      <c r="AH78" s="193" t="str">
        <f t="shared" si="88"/>
        <v/>
      </c>
      <c r="AI78" s="193" t="str">
        <f t="shared" si="88"/>
        <v/>
      </c>
      <c r="AJ78" s="193" t="str">
        <f t="shared" si="88"/>
        <v/>
      </c>
      <c r="AK78" s="193" t="str">
        <f t="shared" si="88"/>
        <v/>
      </c>
      <c r="AL78" s="193" t="str">
        <f t="shared" si="88"/>
        <v/>
      </c>
      <c r="AM78" s="193" t="str">
        <f t="shared" si="88"/>
        <v/>
      </c>
      <c r="AN78" s="189" t="str">
        <f t="shared" si="88"/>
        <v/>
      </c>
      <c r="AO78" s="162" t="str">
        <f t="shared" si="88"/>
        <v/>
      </c>
      <c r="AP78" s="163" t="str">
        <f t="shared" si="88"/>
        <v/>
      </c>
      <c r="AQ78" s="163" t="str">
        <f t="shared" si="88"/>
        <v/>
      </c>
      <c r="AR78" s="163" t="str">
        <f t="shared" si="88"/>
        <v/>
      </c>
      <c r="AS78" s="163" t="str">
        <f t="shared" si="88"/>
        <v/>
      </c>
      <c r="AT78" s="163" t="str">
        <f t="shared" si="88"/>
        <v/>
      </c>
      <c r="AU78" s="194" t="str">
        <f t="shared" si="88"/>
        <v/>
      </c>
      <c r="AV78" s="165" t="str">
        <f t="shared" si="88"/>
        <v/>
      </c>
    </row>
    <row r="79" spans="1:48" x14ac:dyDescent="0.25">
      <c r="A79" s="133" t="str">
        <f t="shared" ref="A79" si="89">+IF(C79+C80=0,"[ocultar]","")</f>
        <v>[ocultar]</v>
      </c>
      <c r="B79" s="202" t="s">
        <v>394</v>
      </c>
      <c r="C79" s="203">
        <f t="array" ref="C79">SUM(IF($B79=DATOS_[Sexo],
IF($B78=DATOS_[AGRUP. VALOR. PTO.],
IF("Dentro"=DATOS_[Check Periodo Ref.],
1/(COUNTIFS(DATOS_[Sexo],$B79,DATOS_[AGRUP. VALOR. PTO.],$B78,DATOS_[Check Periodo Ref.],"Dentro",DATOS_[id/cod],DATOS_[id/cod]))))))</f>
        <v>0</v>
      </c>
      <c r="D79" s="204">
        <f>COUNTIFS(DATOS_[AGRUP. VALOR. PTO.],$B78,DATOS_[Sexo],$B79,DATOS_[Check Periodo Ref.],"Dentro")</f>
        <v>0</v>
      </c>
      <c r="E79" s="204">
        <f>COUNTIFS(DATOS_[AGRUP. VALOR. PTO.],$B78,DATOS_[Sexo],$B79,DATOS_[Check Periodo Ref.],"Dentro",DATOS_[Check Nº SC Norm],"Sí")</f>
        <v>0</v>
      </c>
      <c r="F79" s="204">
        <f>COUNTIFS(DATOS_[AGRUP. VALOR. PTO.],$B78,DATOS_[Sexo],$B79,DATOS_[Check Periodo Ref.],"Dentro",DATOS_[Check Nº SC Anualiz],"Sí")</f>
        <v>0</v>
      </c>
      <c r="G79" s="204">
        <f>COUNTIFS(DATOS_[AGRUP. VALOR. PTO.],$B78,DATOS_[Sexo],$B79,DATOS_[Check Periodo Ref.],"Dentro",DATOS_[Check Nº SC Norm y Anualiz],"Sí")</f>
        <v>0</v>
      </c>
      <c r="H79" s="204">
        <f>COUNTIFS(DATOS_[AGRUP. VALOR. PTO.],$B78,DATOS_[Sexo],$B79,DATOS_[Check Periodo Ref.],"Dentro",DATOS_[Check Equiparación],"Sí")</f>
        <v>0</v>
      </c>
      <c r="I79" s="195">
        <f t="array" ref="I79">IFERROR(
AVERAGE(IF(DATOS_[Sexo]=$B79,IF(DATOS_[[AGRUP. VALOR. PTO.]:[AGRUP. VALOR. PTO.]]=$B78,IF(DATOS_[Check Equiparado]="Sí",IF(DATOS_[Check Periodo Ref.]="Dentro",DATOS_[SALARIO BASE Eq],FALSE))))),
0)</f>
        <v>0</v>
      </c>
      <c r="J79" s="196">
        <f t="array" ref="J79">IFERROR(
(AVERAGE((IF(DATOS_[[Sexo]:[Sexo]]=$B79,IF(DATOS_[[AGRUP. VALOR. PTO.]:[AGRUP. VALOR. PTO.]]=$B78,IF(DATOS_[[Check Periodo Ref.]:[Check Periodo Ref.]]="Dentro",IF(DATOS_[[Check Equiparado]:[Check Equiparado]]="Sí",IF(DATOS!AE$5="Sí",(1/DATOS_[[% anualiz]:[% anualiz]]),1)*IF(DATOS!AE$4="Sí",1/DATOS_[[% normaliz]:[% normaliz]],1)*(DATOS_[Conc.Sal.01])))))))),
0)</f>
        <v>0</v>
      </c>
      <c r="K79" s="196">
        <f t="array" ref="K79">IFERROR(
(AVERAGE((IF(DATOS_[[Sexo]:[Sexo]]=$B79,IF(DATOS_[[AGRUP. VALOR. PTO.]:[AGRUP. VALOR. PTO.]]=$B78,IF(DATOS_[[Check Periodo Ref.]:[Check Periodo Ref.]]="Dentro",IF(DATOS_[[Check Equiparado]:[Check Equiparado]]="Sí",IF(DATOS!AF$5="Sí",(1/DATOS_[[% anualiz]:[% anualiz]]),1)*IF(DATOS!AF$4="Sí",1/DATOS_[[% normaliz]:[% normaliz]],1)*(DATOS_[Conc.Sal.02])))))))),
0)</f>
        <v>0</v>
      </c>
      <c r="L79" s="196">
        <f t="array" ref="L79">IFERROR(
(AVERAGE((IF(DATOS_[[Sexo]:[Sexo]]=$B79,IF(DATOS_[[AGRUP. VALOR. PTO.]:[AGRUP. VALOR. PTO.]]=$B78,IF(DATOS_[[Check Periodo Ref.]:[Check Periodo Ref.]]="Dentro",IF(DATOS_[[Check Equiparado]:[Check Equiparado]]="Sí",IF(DATOS!AG$5="Sí",(1/DATOS_[[% anualiz]:[% anualiz]]),1)*IF(DATOS!AG$4="Sí",1/DATOS_[[% normaliz]:[% normaliz]],1)*(DATOS_[Conc.Sal.03])))))))),
0)</f>
        <v>0</v>
      </c>
      <c r="M79" s="196">
        <f t="array" ref="M79">IFERROR(
(AVERAGE((IF(DATOS_[[Sexo]:[Sexo]]=$B79,IF(DATOS_[[AGRUP. VALOR. PTO.]:[AGRUP. VALOR. PTO.]]=$B78,IF(DATOS_[[Check Periodo Ref.]:[Check Periodo Ref.]]="Dentro",IF(DATOS_[[Check Equiparado]:[Check Equiparado]]="Sí",IF(DATOS!AH$5="Sí",(1/DATOS_[[% anualiz]:[% anualiz]]),1)*IF(DATOS!AH$4="Sí",1/DATOS_[[% normaliz]:[% normaliz]],1)*(DATOS_[Conc.Sal.04])))))))),
0)</f>
        <v>0</v>
      </c>
      <c r="N79" s="196">
        <f t="array" ref="N79">IFERROR(
(AVERAGE((IF(DATOS_[[Sexo]:[Sexo]]=$B79,IF(DATOS_[[AGRUP. VALOR. PTO.]:[AGRUP. VALOR. PTO.]]=$B78,IF(DATOS_[[Check Periodo Ref.]:[Check Periodo Ref.]]="Dentro",IF(DATOS_[[Check Equiparado]:[Check Equiparado]]="Sí",IF(DATOS!AI$5="Sí",(1/DATOS_[[% anualiz]:[% anualiz]]),1)*IF(DATOS!AI$4="Sí",1/DATOS_[[% normaliz]:[% normaliz]],1)*(DATOS_[Conc.Sal.05])))))))),
0)</f>
        <v>0</v>
      </c>
      <c r="O79" s="196">
        <f t="array" ref="O79">IFERROR(
(AVERAGE((IF(DATOS_[[Sexo]:[Sexo]]=$B79,IF(DATOS_[[AGRUP. VALOR. PTO.]:[AGRUP. VALOR. PTO.]]=$B78,IF(DATOS_[[Check Periodo Ref.]:[Check Periodo Ref.]]="Dentro",IF(DATOS_[[Check Equiparado]:[Check Equiparado]]="Sí",IF(DATOS!AJ$5="Sí",(1/DATOS_[[% anualiz]:[% anualiz]]),1)*IF(DATOS!AJ$4="Sí",1/DATOS_[[% normaliz]:[% normaliz]],1)*(DATOS_[Conc.Sal.06])))))))),
0)</f>
        <v>0</v>
      </c>
      <c r="P79" s="196">
        <f t="array" ref="P79">IFERROR(
(AVERAGE((IF(DATOS_[[Sexo]:[Sexo]]=$B79,IF(DATOS_[[AGRUP. VALOR. PTO.]:[AGRUP. VALOR. PTO.]]=$B78,IF(DATOS_[[Check Periodo Ref.]:[Check Periodo Ref.]]="Dentro",IF(DATOS_[[Check Equiparado]:[Check Equiparado]]="Sí",IF(DATOS!AK$5="Sí",(1/DATOS_[[% anualiz]:[% anualiz]]),1)*IF(DATOS!AK$4="Sí",1/DATOS_[[% normaliz]:[% normaliz]],1)*(DATOS_[Conc.Sal.07])))))))),
0)</f>
        <v>0</v>
      </c>
      <c r="Q79" s="196">
        <f t="array" ref="Q79">IFERROR(
(AVERAGE((IF(DATOS_[[Sexo]:[Sexo]]=$B79,IF(DATOS_[[AGRUP. VALOR. PTO.]:[AGRUP. VALOR. PTO.]]=$B78,IF(DATOS_[[Check Periodo Ref.]:[Check Periodo Ref.]]="Dentro",IF(DATOS_[[Check Equiparado]:[Check Equiparado]]="Sí",IF(DATOS!AL$5="Sí",(1/DATOS_[[% anualiz]:[% anualiz]]),1)*IF(DATOS!AL$4="Sí",1/DATOS_[[% normaliz]:[% normaliz]],1)*(DATOS_[Conc.Sal.08])))))))),
0)</f>
        <v>0</v>
      </c>
      <c r="R79" s="196">
        <f t="array" ref="R79">IFERROR(
(AVERAGE((IF(DATOS_[[Sexo]:[Sexo]]=$B79,IF(DATOS_[[AGRUP. VALOR. PTO.]:[AGRUP. VALOR. PTO.]]=$B78,IF(DATOS_[[Check Periodo Ref.]:[Check Periodo Ref.]]="Dentro",IF(DATOS_[[Check Equiparado]:[Check Equiparado]]="Sí",IF(DATOS!AM$5="Sí",(1/DATOS_[[% anualiz]:[% anualiz]]),1)*IF(DATOS!AM$4="Sí",1/DATOS_[[% normaliz]:[% normaliz]],1)*(DATOS_[Conc.Sal.09])))))))),
0)</f>
        <v>0</v>
      </c>
      <c r="S79" s="196">
        <f t="array" ref="S79">IFERROR(
(AVERAGE((IF(DATOS_[[Sexo]:[Sexo]]=$B79,IF(DATOS_[[AGRUP. VALOR. PTO.]:[AGRUP. VALOR. PTO.]]=$B78,IF(DATOS_[[Check Periodo Ref.]:[Check Periodo Ref.]]="Dentro",IF(DATOS_[[Check Equiparado]:[Check Equiparado]]="Sí",IF(DATOS!AN$5="Sí",(1/DATOS_[[% anualiz]:[% anualiz]]),1)*IF(DATOS!AN$4="Sí",1/DATOS_[[% normaliz]:[% normaliz]],1)*(DATOS_[Conc.Sal.10])))))))),
0)</f>
        <v>0</v>
      </c>
      <c r="T79" s="196">
        <f t="array" ref="T79">IFERROR(
(AVERAGE((IF(DATOS_[[Sexo]:[Sexo]]=$B79,IF(DATOS_[[AGRUP. VALOR. PTO.]:[AGRUP. VALOR. PTO.]]=$B78,IF(DATOS_[[Check Periodo Ref.]:[Check Periodo Ref.]]="Dentro",IF(DATOS_[[Check Equiparado]:[Check Equiparado]]="Sí",IF(DATOS!AO$5="Sí",(1/DATOS_[[% anualiz]:[% anualiz]]),1)*IF(DATOS!AO$4="Sí",1/DATOS_[[% normaliz]:[% normaliz]],1)*(DATOS_[Conc.Sal.11])))))))),
0)</f>
        <v>0</v>
      </c>
      <c r="U79" s="196">
        <f t="array" ref="U79">IFERROR(
(AVERAGE((IF(DATOS_[[Sexo]:[Sexo]]=$B79,IF(DATOS_[[AGRUP. VALOR. PTO.]:[AGRUP. VALOR. PTO.]]=$B78,IF(DATOS_[[Check Periodo Ref.]:[Check Periodo Ref.]]="Dentro",IF(DATOS_[[Check Equiparado]:[Check Equiparado]]="Sí",IF(DATOS!AP$5="Sí",(1/DATOS_[[% anualiz]:[% anualiz]]),1)*IF(DATOS!AP$4="Sí",1/DATOS_[[% normaliz]:[% normaliz]],1)*(DATOS_[Conc.Sal.12])))))))),
0)</f>
        <v>0</v>
      </c>
      <c r="V79" s="196">
        <f t="array" ref="V79">IFERROR(
(AVERAGE((IF(DATOS_[[Sexo]:[Sexo]]=$B79,IF(DATOS_[[AGRUP. VALOR. PTO.]:[AGRUP. VALOR. PTO.]]=$B78,IF(DATOS_[[Check Periodo Ref.]:[Check Periodo Ref.]]="Dentro",IF(DATOS_[[Check Equiparado]:[Check Equiparado]]="Sí",IF(DATOS!AQ$5="Sí",(1/DATOS_[[% anualiz]:[% anualiz]]),1)*IF(DATOS!AQ$4="Sí",1/DATOS_[[% normaliz]:[% normaliz]],1)*(DATOS_[Conc.Sal.13])))))))),
0)</f>
        <v>0</v>
      </c>
      <c r="W79" s="196">
        <f t="array" ref="W79">IFERROR(
(AVERAGE((IF(DATOS_[[Sexo]:[Sexo]]=$B79,IF(DATOS_[[AGRUP. VALOR. PTO.]:[AGRUP. VALOR. PTO.]]=$B78,IF(DATOS_[[Check Periodo Ref.]:[Check Periodo Ref.]]="Dentro",IF(DATOS_[[Check Equiparado]:[Check Equiparado]]="Sí",IF(DATOS!AR$5="Sí",(1/DATOS_[[% anualiz]:[% anualiz]]),1)*IF(DATOS!AR$4="Sí",1/DATOS_[[% normaliz]:[% normaliz]],1)*(DATOS_[Conc.Sal.14])))))))),
0)</f>
        <v>0</v>
      </c>
      <c r="X79" s="196">
        <f t="array" ref="X79">IFERROR(
(AVERAGE((IF(DATOS_[[Sexo]:[Sexo]]=$B79,IF(DATOS_[[AGRUP. VALOR. PTO.]:[AGRUP. VALOR. PTO.]]=$B78,IF(DATOS_[[Check Periodo Ref.]:[Check Periodo Ref.]]="Dentro",IF(DATOS_[[Check Equiparado]:[Check Equiparado]]="Sí",IF(DATOS!AS$5="Sí",(1/DATOS_[[% anualiz]:[% anualiz]]),1)*IF(DATOS!AS$4="Sí",1/DATOS_[[% normaliz]:[% normaliz]],1)*(DATOS_[Conc.Sal.15])))))))),
0)</f>
        <v>0</v>
      </c>
      <c r="Y79" s="196">
        <f t="array" ref="Y79">IFERROR(
(AVERAGE((IF(DATOS_[[Sexo]:[Sexo]]=$B79,IF(DATOS_[[AGRUP. VALOR. PTO.]:[AGRUP. VALOR. PTO.]]=$B78,IF(DATOS_[[Check Periodo Ref.]:[Check Periodo Ref.]]="Dentro",IF(DATOS_[[Check Equiparado]:[Check Equiparado]]="Sí",IF(DATOS!AT$5="Sí",(1/DATOS_[[% anualiz]:[% anualiz]]),1)*IF(DATOS!AT$4="Sí",1/DATOS_[[% normaliz]:[% normaliz]],1)*(DATOS_[Conc.Sal.16])))))))),
0)</f>
        <v>0</v>
      </c>
      <c r="Z79" s="196">
        <f t="array" ref="Z79">IFERROR(
(AVERAGE((IF(DATOS_[[Sexo]:[Sexo]]=$B79,IF(DATOS_[[AGRUP. VALOR. PTO.]:[AGRUP. VALOR. PTO.]]=$B78,IF(DATOS_[[Check Periodo Ref.]:[Check Periodo Ref.]]="Dentro",IF(DATOS_[[Check Equiparado]:[Check Equiparado]]="Sí",IF(DATOS!AU$5="Sí",(1/DATOS_[[% anualiz]:[% anualiz]]),1)*IF(DATOS!AU$4="Sí",1/DATOS_[[% normaliz]:[% normaliz]],1)*(DATOS_[Conc.Sal.17])))))))),
0)</f>
        <v>0</v>
      </c>
      <c r="AA79" s="196">
        <f t="array" ref="AA79">IFERROR(
(AVERAGE((IF(DATOS_[[Sexo]:[Sexo]]=$B79,IF(DATOS_[[AGRUP. VALOR. PTO.]:[AGRUP. VALOR. PTO.]]=$B78,IF(DATOS_[[Check Periodo Ref.]:[Check Periodo Ref.]]="Dentro",IF(DATOS_[[Check Equiparado]:[Check Equiparado]]="Sí",IF(DATOS!AV$5="Sí",(1/DATOS_[[% anualiz]:[% anualiz]]),1)*IF(DATOS!AV$4="Sí",1/DATOS_[[% normaliz]:[% normaliz]],1)*(DATOS_[Conc.Sal.18])))))))),
0)</f>
        <v>0</v>
      </c>
      <c r="AB79" s="196">
        <f t="array" ref="AB79">IFERROR(
(AVERAGE((IF(DATOS_[[Sexo]:[Sexo]]=$B79,IF(DATOS_[[AGRUP. VALOR. PTO.]:[AGRUP. VALOR. PTO.]]=$B78,IF(DATOS_[[Check Periodo Ref.]:[Check Periodo Ref.]]="Dentro",IF(DATOS_[[Check Equiparado]:[Check Equiparado]]="Sí",IF(DATOS!AW$5="Sí",(1/DATOS_[[% anualiz]:[% anualiz]]),1)*IF(DATOS!AW$4="Sí",1/DATOS_[[% normaliz]:[% normaliz]],1)*(DATOS_[Conc.Sal.19])))))))),
0)</f>
        <v>0</v>
      </c>
      <c r="AC79" s="196">
        <f t="array" ref="AC79">IFERROR(
(AVERAGE((IF(DATOS_[[Sexo]:[Sexo]]=$B79,IF(DATOS_[[AGRUP. VALOR. PTO.]:[AGRUP. VALOR. PTO.]]=$B78,IF(DATOS_[[Check Periodo Ref.]:[Check Periodo Ref.]]="Dentro",IF(DATOS_[[Check Equiparado]:[Check Equiparado]]="Sí",IF(DATOS!AX$5="Sí",(1/DATOS_[[% anualiz]:[% anualiz]]),1)*IF(DATOS!AX$4="Sí",1/DATOS_[[% normaliz]:[% normaliz]],1)*(DATOS_[Conc.Sal.20])))))))),
0)</f>
        <v>0</v>
      </c>
      <c r="AD79" s="196">
        <f t="array" ref="AD79">IFERROR(
(AVERAGE((IF(DATOS_[[Sexo]:[Sexo]]=$B79,IF(DATOS_[[AGRUP. VALOR. PTO.]:[AGRUP. VALOR. PTO.]]=$B78,IF(DATOS_[[Check Periodo Ref.]:[Check Periodo Ref.]]="Dentro",IF(DATOS_[[Check Equiparado]:[Check Equiparado]]="Sí",IF(DATOS!AY$5="Sí",(1/DATOS_[[% anualiz]:[% anualiz]]),1)*IF(DATOS!AY$4="Sí",1/DATOS_[[% normaliz]:[% normaliz]],1)*(DATOS_[Conc.Sal.21])))))))),
0)</f>
        <v>0</v>
      </c>
      <c r="AE79" s="196">
        <f t="array" ref="AE79">IFERROR(
(AVERAGE((IF(DATOS_[[Sexo]:[Sexo]]=$B79,IF(DATOS_[[AGRUP. VALOR. PTO.]:[AGRUP. VALOR. PTO.]]=$B78,IF(DATOS_[[Check Periodo Ref.]:[Check Periodo Ref.]]="Dentro",IF(DATOS_[[Check Equiparado]:[Check Equiparado]]="Sí",IF(DATOS!AZ$5="Sí",(1/DATOS_[[% anualiz]:[% anualiz]]),1)*IF(DATOS!AZ$4="Sí",1/DATOS_[[% normaliz]:[% normaliz]],1)*(DATOS_[Conc.Sal.22])))))))),
0)</f>
        <v>0</v>
      </c>
      <c r="AF79" s="196">
        <f t="array" ref="AF79">IFERROR(
(AVERAGE((IF(DATOS_[[Sexo]:[Sexo]]=$B79,IF(DATOS_[[AGRUP. VALOR. PTO.]:[AGRUP. VALOR. PTO.]]=$B78,IF(DATOS_[[Check Periodo Ref.]:[Check Periodo Ref.]]="Dentro",IF(DATOS_[[Check Equiparado]:[Check Equiparado]]="Sí",IF(DATOS!BA$5="Sí",(1/DATOS_[[% anualiz]:[% anualiz]]),1)*IF(DATOS!BA$4="Sí",1/DATOS_[[% normaliz]:[% normaliz]],1)*(DATOS_[Conc.Sal.23])))))))),
0)</f>
        <v>0</v>
      </c>
      <c r="AG79" s="196">
        <f t="array" ref="AG79">IFERROR(
(AVERAGE((IF(DATOS_[[Sexo]:[Sexo]]=$B79,IF(DATOS_[[AGRUP. VALOR. PTO.]:[AGRUP. VALOR. PTO.]]=$B78,IF(DATOS_[[Check Periodo Ref.]:[Check Periodo Ref.]]="Dentro",IF(DATOS_[[Check Equiparado]:[Check Equiparado]]="Sí",IF(DATOS!BB$5="Sí",(1/DATOS_[[% anualiz]:[% anualiz]]),1)*IF(DATOS!BB$4="Sí",1/DATOS_[[% normaliz]:[% normaliz]],1)*(DATOS_[Conc.Sal.24])))))))),
0)</f>
        <v>0</v>
      </c>
      <c r="AH79" s="196">
        <f t="array" ref="AH79">IFERROR(
(AVERAGE((IF(DATOS_[[Sexo]:[Sexo]]=$B79,IF(DATOS_[[AGRUP. VALOR. PTO.]:[AGRUP. VALOR. PTO.]]=$B78,IF(DATOS_[[Check Periodo Ref.]:[Check Periodo Ref.]]="Dentro",IF(DATOS_[[Check Equiparado]:[Check Equiparado]]="Sí",IF(DATOS!BC$5="Sí",(1/DATOS_[[% anualiz]:[% anualiz]]),1)*IF(DATOS!BC$4="Sí",1/DATOS_[[% normaliz]:[% normaliz]],1)*(DATOS_[Conc.Sal.25])))))))),
0)</f>
        <v>0</v>
      </c>
      <c r="AI79" s="196">
        <f t="array" ref="AI79">IFERROR(
(AVERAGE((IF(DATOS_[[Sexo]:[Sexo]]=$B79,IF(DATOS_[[AGRUP. VALOR. PTO.]:[AGRUP. VALOR. PTO.]]=$B78,IF(DATOS_[[Check Periodo Ref.]:[Check Periodo Ref.]]="Dentro",IF(DATOS_[[Check Equiparado]:[Check Equiparado]]="Sí",IF(DATOS!BD$5="Sí",(1/DATOS_[[% anualiz]:[% anualiz]]),1)*IF(DATOS!BD$4="Sí",1/DATOS_[[% normaliz]:[% normaliz]],1)*(DATOS_[Conc.Sal.26])))))))),
0)</f>
        <v>0</v>
      </c>
      <c r="AJ79" s="196">
        <f t="array" ref="AJ79">IFERROR(
(AVERAGE((IF(DATOS_[[Sexo]:[Sexo]]=$B79,IF(DATOS_[[AGRUP. VALOR. PTO.]:[AGRUP. VALOR. PTO.]]=$B78,IF(DATOS_[[Check Periodo Ref.]:[Check Periodo Ref.]]="Dentro",IF(DATOS_[[Check Equiparado]:[Check Equiparado]]="Sí",IF(DATOS!BE$5="Sí",(1/DATOS_[[% anualiz]:[% anualiz]]),1)*IF(DATOS!BE$4="Sí",1/DATOS_[[% normaliz]:[% normaliz]],1)*(DATOS_[Conc.Sal.27])))))))),
0)</f>
        <v>0</v>
      </c>
      <c r="AK79" s="196">
        <f t="array" ref="AK79">IFERROR(
(AVERAGE((IF(DATOS_[[Sexo]:[Sexo]]=$B79,IF(DATOS_[[AGRUP. VALOR. PTO.]:[AGRUP. VALOR. PTO.]]=$B78,IF(DATOS_[[Check Periodo Ref.]:[Check Periodo Ref.]]="Dentro",IF(DATOS_[[Check Equiparado]:[Check Equiparado]]="Sí",IF(DATOS!BF$5="Sí",(1/DATOS_[[% anualiz]:[% anualiz]]),1)*IF(DATOS!BF$4="Sí",1/DATOS_[[% normaliz]:[% normaliz]],1)*(DATOS_[Conc.Sal.28])))))))),
0)</f>
        <v>0</v>
      </c>
      <c r="AL79" s="196">
        <f t="array" ref="AL79">IFERROR(
(AVERAGE((IF(DATOS_[[Sexo]:[Sexo]]=$B79,IF(DATOS_[[AGRUP. VALOR. PTO.]:[AGRUP. VALOR. PTO.]]=$B78,IF(DATOS_[[Check Periodo Ref.]:[Check Periodo Ref.]]="Dentro",IF(DATOS_[[Check Equiparado]:[Check Equiparado]]="Sí",IF(DATOS!BG$5="Sí",(1/DATOS_[[% anualiz]:[% anualiz]]),1)*IF(DATOS!BG$4="Sí",1/DATOS_[[% normaliz]:[% normaliz]],1)*(DATOS_[Conc.Sal.29])))))))),
0)</f>
        <v>0</v>
      </c>
      <c r="AM79" s="196">
        <f t="array" ref="AM79">IFERROR(
(AVERAGE((IF(DATOS_[[Sexo]:[Sexo]]=$B79,IF(DATOS_[[AGRUP. VALOR. PTO.]:[AGRUP. VALOR. PTO.]]=$B78,IF(DATOS_[[Check Periodo Ref.]:[Check Periodo Ref.]]="Dentro",IF(DATOS_[[Check Equiparado]:[Check Equiparado]]="Sí",IF(DATOS!BH$5="Sí",(1/DATOS_[[% anualiz]:[% anualiz]]),1)*IF(DATOS!BH$4="Sí",1/DATOS_[[% normaliz]:[% normaliz]],1)*(DATOS_[Conc.Sal.30])))))))),
0)</f>
        <v>0</v>
      </c>
      <c r="AN79" s="195">
        <f t="array" ref="AN79">IFERROR(
AVERAGE(IF(DATOS_[Sexo]=$B79,IF(DATOS_[[AGRUP. VALOR. PTO.]:[AGRUP. VALOR. PTO.]]=$B78,IF(DATOS_[Check Equiparado]="Sí",IF(DATOS_[Check Periodo Ref.]="Dentro",DATOS_[Tot COMPL.SAL Eq],FALSE))))),
0)</f>
        <v>0</v>
      </c>
      <c r="AO79" s="172">
        <f t="array" ref="AO79">IFERROR(
AVERAGE(IF(DATOS_[Sexo]=$B79,IF(DATOS_[[AGRUP. VALOR. PTO.]:[AGRUP. VALOR. PTO.]]=$B78,IF(DATOS_[Check Equiparado]="Sí",IF(DATOS_[Check Periodo Ref.]="Dentro",DATOS_[TOTAL SALARIO Eq],FALSE))))),
0)</f>
        <v>0</v>
      </c>
      <c r="AP79" s="173">
        <f t="array" ref="AP79">IFERROR(
(AVERAGE((IF(DATOS_[[Sexo]:[Sexo]]=$B79,IF(DATOS_[[AGRUP. VALOR. PTO.]:[AGRUP. VALOR. PTO.]]=$B78,IF(DATOS_[[Check Periodo Ref.]:[Check Periodo Ref.]]="Dentro",IF(DATOS_[[Check Equiparado]:[Check Equiparado]]="Sí",IF(DATOS!BW$5="Sí",(1/DATOS_[[% anualiz]:[% anualiz]]),1)*IF(DATOS!BW$4="Sí",1/DATOS_[[% normaliz]:[% normaliz]],1)*(DATOS_[C.Extra.01])))))))),
0)</f>
        <v>0</v>
      </c>
      <c r="AQ79" s="173">
        <f t="array" ref="AQ79">IFERROR(
(AVERAGE((IF(DATOS_[[Sexo]:[Sexo]]=$B79,IF(DATOS_[[AGRUP. VALOR. PTO.]:[AGRUP. VALOR. PTO.]]=$B78,IF(DATOS_[[Check Periodo Ref.]:[Check Periodo Ref.]]="Dentro",IF(DATOS_[[Check Equiparado]:[Check Equiparado]]="Sí",IF(DATOS!CB$5="Sí",(1/DATOS_[[% anualiz]:[% anualiz]]),1)*IF(DATOS!CB$4="Sí",1/DATOS_[[% normaliz]:[% normaliz]],1)*(DATOS_[C.Extra.06])))))))),
0)</f>
        <v>0</v>
      </c>
      <c r="AR79" s="173">
        <f t="array" ref="AR79">IFERROR(
(AVERAGE((IF(DATOS_[[Sexo]:[Sexo]]=$B79,IF(DATOS_[[AGRUP. VALOR. PTO.]:[AGRUP. VALOR. PTO.]]=$B78,IF(DATOS_[[Check Periodo Ref.]:[Check Periodo Ref.]]="Dentro",IF(DATOS_[[Check Equiparado]:[Check Equiparado]]="Sí",IF(DATOS!CC$5="Sí",(1/DATOS_[[% anualiz]:[% anualiz]]),1)*IF(DATOS!CC$4="Sí",1/DATOS_[[% normaliz]:[% normaliz]],1)*(DATOS_[C.Extra.07])))))))),
0)</f>
        <v>0</v>
      </c>
      <c r="AS79" s="173">
        <f t="array" ref="AS79">IFERROR(
(AVERAGE((IF(DATOS_[[Sexo]:[Sexo]]=$B79,IF(DATOS_[[AGRUP. VALOR. PTO.]:[AGRUP. VALOR. PTO.]]=$B78,IF(DATOS_[[Check Periodo Ref.]:[Check Periodo Ref.]]="Dentro",IF(DATOS_[[Check Equiparado]:[Check Equiparado]]="Sí",IF(DATOS!CD$5="Sí",(1/DATOS_[[% anualiz]:[% anualiz]]),1)*IF(DATOS!CD$4="Sí",1/DATOS_[[% normaliz]:[% normaliz]],1)*(DATOS_[C.Extra.08])))))))),
0)</f>
        <v>0</v>
      </c>
      <c r="AT79" s="173">
        <f t="array" ref="AT79">IFERROR(
(AVERAGE((IF(DATOS_[[Sexo]:[Sexo]]=$B79,IF(DATOS_[[AGRUP. VALOR. PTO.]:[AGRUP. VALOR. PTO.]]=$B78,IF(DATOS_[[Check Periodo Ref.]:[Check Periodo Ref.]]="Dentro",IF(DATOS_[[Check Equiparado]:[Check Equiparado]]="Sí",IF(DATOS!CG$5="Sí",(1/DATOS_[[% anualiz]:[% anualiz]]),1)*IF(DATOS!CG$4="Sí",1/DATOS_[[% normaliz]:[% normaliz]],1)*(DATOS_[C.Extra.11])))))))),
0)</f>
        <v>0</v>
      </c>
      <c r="AU79" s="197">
        <f t="array" ref="AU79">IFERROR(
AVERAGE(IF(DATOS_[Sexo]=$B79,IF(DATOS_[[AGRUP. VALOR. PTO.]:[AGRUP. VALOR. PTO.]]=$B78,IF(DATOS_[Check Equiparado]="Sí",IF(DATOS_[Check Periodo Ref.]="Dentro",DATOS_[Tot Extrasalarial Eq],FALSE))))),
0)</f>
        <v>0</v>
      </c>
      <c r="AV79" s="175">
        <f t="array" ref="AV79">IFERROR(
AVERAGE(IF(DATOS_[Sexo]=$B79,IF(DATOS_[[AGRUP. VALOR. PTO.]:[AGRUP. VALOR. PTO.]]=$B78,IF(DATOS_[Check Equiparado]="Sí",IF(DATOS_[Check Periodo Ref.]="Dentro",DATOS_[TOTAL Retrib Eq],FALSE))))),
0)</f>
        <v>0</v>
      </c>
    </row>
    <row r="80" spans="1:48" x14ac:dyDescent="0.25">
      <c r="A80" s="133" t="str">
        <f t="shared" ref="A80" si="90">+A79</f>
        <v>[ocultar]</v>
      </c>
      <c r="B80" s="202" t="s">
        <v>521</v>
      </c>
      <c r="C80" s="203">
        <f t="array" ref="C80">SUM(IF($B80=DATOS_[Sexo],
IF($B78=DATOS_[AGRUP. VALOR. PTO.],
IF("Dentro"=DATOS_[Check Periodo Ref.],
1/(COUNTIFS(DATOS_[Sexo],$B80,DATOS_[AGRUP. VALOR. PTO.],$B78,DATOS_[Check Periodo Ref.],"Dentro",DATOS_[id/cod],DATOS_[id/cod]))))))</f>
        <v>0</v>
      </c>
      <c r="D80" s="204">
        <f>COUNTIFS(DATOS_[AGRUP. VALOR. PTO.],$B78,DATOS_[Sexo],$B80,DATOS_[Check Periodo Ref.],"Dentro")</f>
        <v>0</v>
      </c>
      <c r="E80" s="204">
        <f>COUNTIFS(DATOS_[AGRUP. VALOR. PTO.],$B78,DATOS_[Sexo],$B80,DATOS_[Check Periodo Ref.],"Dentro",DATOS_[Check Nº SC Norm],"Sí")</f>
        <v>0</v>
      </c>
      <c r="F80" s="204">
        <f>COUNTIFS(DATOS_[AGRUP. VALOR. PTO.],$B78,DATOS_[Sexo],$B80,DATOS_[Check Periodo Ref.],"Dentro",DATOS_[Check Nº SC Anualiz],"Sí")</f>
        <v>0</v>
      </c>
      <c r="G80" s="204">
        <f>COUNTIFS(DATOS_[AGRUP. VALOR. PTO.],$B78,DATOS_[Sexo],$B80,DATOS_[Check Periodo Ref.],"Dentro",DATOS_[Check Nº SC Norm y Anualiz],"Sí")</f>
        <v>0</v>
      </c>
      <c r="H80" s="204">
        <f>COUNTIFS(DATOS_[AGRUP. VALOR. PTO.],$B78,DATOS_[Sexo],$B80,DATOS_[Check Periodo Ref.],"Dentro",DATOS_[Check Equiparación],"Sí")</f>
        <v>0</v>
      </c>
      <c r="I80" s="195" cm="1">
        <f t="array" ref="I80">IFERROR(
AVERAGE(IF(DATOS_[Sexo]=$B80,IF(DATOS_[[AGRUP. VALOR. PTO.]:[AGRUP. VALOR. PTO.]]=$B78,IF(DATOS_[Check Equiparado]="Sí",IF(DATOS_[Check Periodo Ref.]="Dentro",DATOS_[SALARIO BASE Eq],FALSE))))),
0)</f>
        <v>0</v>
      </c>
      <c r="J80" s="196">
        <f t="array" ref="J80">IFERROR(
(AVERAGE((IF(DATOS_[[Sexo]:[Sexo]]=$B80,IF(DATOS_[[AGRUP. VALOR. PTO.]:[AGRUP. VALOR. PTO.]]=$B78,IF(DATOS_[[Check Periodo Ref.]:[Check Periodo Ref.]]="Dentro",IF(DATOS_[[Check Equiparado]:[Check Equiparado]]="Sí",IF(DATOS!AE$5="Sí",(1/DATOS_[[% anualiz]:[% anualiz]]),1)*IF(DATOS!AE$4="Sí",1/DATOS_[[% normaliz]:[% normaliz]],1)*(DATOS_[Conc.Sal.01])))))))),
0)</f>
        <v>0</v>
      </c>
      <c r="K80" s="196">
        <f t="array" ref="K80">IFERROR(
(AVERAGE((IF(DATOS_[[Sexo]:[Sexo]]=$B80,IF(DATOS_[[AGRUP. VALOR. PTO.]:[AGRUP. VALOR. PTO.]]=$B78,IF(DATOS_[[Check Periodo Ref.]:[Check Periodo Ref.]]="Dentro",IF(DATOS_[[Check Equiparado]:[Check Equiparado]]="Sí",IF(DATOS!AF$5="Sí",(1/DATOS_[[% anualiz]:[% anualiz]]),1)*IF(DATOS!AF$4="Sí",1/DATOS_[[% normaliz]:[% normaliz]],1)*(DATOS_[Conc.Sal.02])))))))),
0)</f>
        <v>0</v>
      </c>
      <c r="L80" s="196">
        <f t="array" ref="L80">IFERROR(
(AVERAGE((IF(DATOS_[[Sexo]:[Sexo]]=$B80,IF(DATOS_[[AGRUP. VALOR. PTO.]:[AGRUP. VALOR. PTO.]]=$B78,IF(DATOS_[[Check Periodo Ref.]:[Check Periodo Ref.]]="Dentro",IF(DATOS_[[Check Equiparado]:[Check Equiparado]]="Sí",IF(DATOS!AG$5="Sí",(1/DATOS_[[% anualiz]:[% anualiz]]),1)*IF(DATOS!AG$4="Sí",1/DATOS_[[% normaliz]:[% normaliz]],1)*(DATOS_[Conc.Sal.03])))))))),
0)</f>
        <v>0</v>
      </c>
      <c r="M80" s="196">
        <f t="array" ref="M80">IFERROR(
(AVERAGE((IF(DATOS_[[Sexo]:[Sexo]]=$B80,IF(DATOS_[[AGRUP. VALOR. PTO.]:[AGRUP. VALOR. PTO.]]=$B78,IF(DATOS_[[Check Periodo Ref.]:[Check Periodo Ref.]]="Dentro",IF(DATOS_[[Check Equiparado]:[Check Equiparado]]="Sí",IF(DATOS!AH$5="Sí",(1/DATOS_[[% anualiz]:[% anualiz]]),1)*IF(DATOS!AH$4="Sí",1/DATOS_[[% normaliz]:[% normaliz]],1)*(DATOS_[Conc.Sal.04])))))))),
0)</f>
        <v>0</v>
      </c>
      <c r="N80" s="196">
        <f t="array" ref="N80">IFERROR(
(AVERAGE((IF(DATOS_[[Sexo]:[Sexo]]=$B80,IF(DATOS_[[AGRUP. VALOR. PTO.]:[AGRUP. VALOR. PTO.]]=$B78,IF(DATOS_[[Check Periodo Ref.]:[Check Periodo Ref.]]="Dentro",IF(DATOS_[[Check Equiparado]:[Check Equiparado]]="Sí",IF(DATOS!AI$5="Sí",(1/DATOS_[[% anualiz]:[% anualiz]]),1)*IF(DATOS!AI$4="Sí",1/DATOS_[[% normaliz]:[% normaliz]],1)*(DATOS_[Conc.Sal.05])))))))),
0)</f>
        <v>0</v>
      </c>
      <c r="O80" s="196">
        <f t="array" ref="O80">IFERROR(
(AVERAGE((IF(DATOS_[[Sexo]:[Sexo]]=$B80,IF(DATOS_[[AGRUP. VALOR. PTO.]:[AGRUP. VALOR. PTO.]]=$B78,IF(DATOS_[[Check Periodo Ref.]:[Check Periodo Ref.]]="Dentro",IF(DATOS_[[Check Equiparado]:[Check Equiparado]]="Sí",IF(DATOS!AJ$5="Sí",(1/DATOS_[[% anualiz]:[% anualiz]]),1)*IF(DATOS!AJ$4="Sí",1/DATOS_[[% normaliz]:[% normaliz]],1)*(DATOS_[Conc.Sal.06])))))))),
0)</f>
        <v>0</v>
      </c>
      <c r="P80" s="196">
        <f t="array" ref="P80">IFERROR(
(AVERAGE((IF(DATOS_[[Sexo]:[Sexo]]=$B80,IF(DATOS_[[AGRUP. VALOR. PTO.]:[AGRUP. VALOR. PTO.]]=$B78,IF(DATOS_[[Check Periodo Ref.]:[Check Periodo Ref.]]="Dentro",IF(DATOS_[[Check Equiparado]:[Check Equiparado]]="Sí",IF(DATOS!AK$5="Sí",(1/DATOS_[[% anualiz]:[% anualiz]]),1)*IF(DATOS!AK$4="Sí",1/DATOS_[[% normaliz]:[% normaliz]],1)*(DATOS_[Conc.Sal.07])))))))),
0)</f>
        <v>0</v>
      </c>
      <c r="Q80" s="196">
        <f t="array" ref="Q80">IFERROR(
(AVERAGE((IF(DATOS_[[Sexo]:[Sexo]]=$B80,IF(DATOS_[[AGRUP. VALOR. PTO.]:[AGRUP. VALOR. PTO.]]=$B78,IF(DATOS_[[Check Periodo Ref.]:[Check Periodo Ref.]]="Dentro",IF(DATOS_[[Check Equiparado]:[Check Equiparado]]="Sí",IF(DATOS!AL$5="Sí",(1/DATOS_[[% anualiz]:[% anualiz]]),1)*IF(DATOS!AL$4="Sí",1/DATOS_[[% normaliz]:[% normaliz]],1)*(DATOS_[Conc.Sal.08])))))))),
0)</f>
        <v>0</v>
      </c>
      <c r="R80" s="196">
        <f t="array" ref="R80">IFERROR(
(AVERAGE((IF(DATOS_[[Sexo]:[Sexo]]=$B80,IF(DATOS_[[AGRUP. VALOR. PTO.]:[AGRUP. VALOR. PTO.]]=$B78,IF(DATOS_[[Check Periodo Ref.]:[Check Periodo Ref.]]="Dentro",IF(DATOS_[[Check Equiparado]:[Check Equiparado]]="Sí",IF(DATOS!AM$5="Sí",(1/DATOS_[[% anualiz]:[% anualiz]]),1)*IF(DATOS!AM$4="Sí",1/DATOS_[[% normaliz]:[% normaliz]],1)*(DATOS_[Conc.Sal.09])))))))),
0)</f>
        <v>0</v>
      </c>
      <c r="S80" s="196">
        <f t="array" ref="S80">IFERROR(
(AVERAGE((IF(DATOS_[[Sexo]:[Sexo]]=$B80,IF(DATOS_[[AGRUP. VALOR. PTO.]:[AGRUP. VALOR. PTO.]]=$B78,IF(DATOS_[[Check Periodo Ref.]:[Check Periodo Ref.]]="Dentro",IF(DATOS_[[Check Equiparado]:[Check Equiparado]]="Sí",IF(DATOS!AN$5="Sí",(1/DATOS_[[% anualiz]:[% anualiz]]),1)*IF(DATOS!AN$4="Sí",1/DATOS_[[% normaliz]:[% normaliz]],1)*(DATOS_[Conc.Sal.10])))))))),
0)</f>
        <v>0</v>
      </c>
      <c r="T80" s="196">
        <f t="array" ref="T80">IFERROR(
(AVERAGE((IF(DATOS_[[Sexo]:[Sexo]]=$B80,IF(DATOS_[[AGRUP. VALOR. PTO.]:[AGRUP. VALOR. PTO.]]=$B78,IF(DATOS_[[Check Periodo Ref.]:[Check Periodo Ref.]]="Dentro",IF(DATOS_[[Check Equiparado]:[Check Equiparado]]="Sí",IF(DATOS!AO$5="Sí",(1/DATOS_[[% anualiz]:[% anualiz]]),1)*IF(DATOS!AO$4="Sí",1/DATOS_[[% normaliz]:[% normaliz]],1)*(DATOS_[Conc.Sal.11])))))))),
0)</f>
        <v>0</v>
      </c>
      <c r="U80" s="196">
        <f t="array" ref="U80">IFERROR(
(AVERAGE((IF(DATOS_[[Sexo]:[Sexo]]=$B80,IF(DATOS_[[AGRUP. VALOR. PTO.]:[AGRUP. VALOR. PTO.]]=$B78,IF(DATOS_[[Check Periodo Ref.]:[Check Periodo Ref.]]="Dentro",IF(DATOS_[[Check Equiparado]:[Check Equiparado]]="Sí",IF(DATOS!AP$5="Sí",(1/DATOS_[[% anualiz]:[% anualiz]]),1)*IF(DATOS!AP$4="Sí",1/DATOS_[[% normaliz]:[% normaliz]],1)*(DATOS_[Conc.Sal.12])))))))),
0)</f>
        <v>0</v>
      </c>
      <c r="V80" s="196">
        <f t="array" ref="V80">IFERROR(
(AVERAGE((IF(DATOS_[[Sexo]:[Sexo]]=$B80,IF(DATOS_[[AGRUP. VALOR. PTO.]:[AGRUP. VALOR. PTO.]]=$B78,IF(DATOS_[[Check Periodo Ref.]:[Check Periodo Ref.]]="Dentro",IF(DATOS_[[Check Equiparado]:[Check Equiparado]]="Sí",IF(DATOS!AQ$5="Sí",(1/DATOS_[[% anualiz]:[% anualiz]]),1)*IF(DATOS!AQ$4="Sí",1/DATOS_[[% normaliz]:[% normaliz]],1)*(DATOS_[Conc.Sal.13])))))))),
0)</f>
        <v>0</v>
      </c>
      <c r="W80" s="196">
        <f t="array" ref="W80">IFERROR(
(AVERAGE((IF(DATOS_[[Sexo]:[Sexo]]=$B80,IF(DATOS_[[AGRUP. VALOR. PTO.]:[AGRUP. VALOR. PTO.]]=$B78,IF(DATOS_[[Check Periodo Ref.]:[Check Periodo Ref.]]="Dentro",IF(DATOS_[[Check Equiparado]:[Check Equiparado]]="Sí",IF(DATOS!AR$5="Sí",(1/DATOS_[[% anualiz]:[% anualiz]]),1)*IF(DATOS!AR$4="Sí",1/DATOS_[[% normaliz]:[% normaliz]],1)*(DATOS_[Conc.Sal.14])))))))),
0)</f>
        <v>0</v>
      </c>
      <c r="X80" s="196">
        <f t="array" ref="X80">IFERROR(
(AVERAGE((IF(DATOS_[[Sexo]:[Sexo]]=$B80,IF(DATOS_[[AGRUP. VALOR. PTO.]:[AGRUP. VALOR. PTO.]]=$B78,IF(DATOS_[[Check Periodo Ref.]:[Check Periodo Ref.]]="Dentro",IF(DATOS_[[Check Equiparado]:[Check Equiparado]]="Sí",IF(DATOS!AS$5="Sí",(1/DATOS_[[% anualiz]:[% anualiz]]),1)*IF(DATOS!AS$4="Sí",1/DATOS_[[% normaliz]:[% normaliz]],1)*(DATOS_[Conc.Sal.15])))))))),
0)</f>
        <v>0</v>
      </c>
      <c r="Y80" s="196">
        <f t="array" ref="Y80">IFERROR(
(AVERAGE((IF(DATOS_[[Sexo]:[Sexo]]=$B80,IF(DATOS_[[AGRUP. VALOR. PTO.]:[AGRUP. VALOR. PTO.]]=$B78,IF(DATOS_[[Check Periodo Ref.]:[Check Periodo Ref.]]="Dentro",IF(DATOS_[[Check Equiparado]:[Check Equiparado]]="Sí",IF(DATOS!AT$5="Sí",(1/DATOS_[[% anualiz]:[% anualiz]]),1)*IF(DATOS!AT$4="Sí",1/DATOS_[[% normaliz]:[% normaliz]],1)*(DATOS_[Conc.Sal.16])))))))),
0)</f>
        <v>0</v>
      </c>
      <c r="Z80" s="196">
        <f t="array" ref="Z80">IFERROR(
(AVERAGE((IF(DATOS_[[Sexo]:[Sexo]]=$B80,IF(DATOS_[[AGRUP. VALOR. PTO.]:[AGRUP. VALOR. PTO.]]=$B78,IF(DATOS_[[Check Periodo Ref.]:[Check Periodo Ref.]]="Dentro",IF(DATOS_[[Check Equiparado]:[Check Equiparado]]="Sí",IF(DATOS!AU$5="Sí",(1/DATOS_[[% anualiz]:[% anualiz]]),1)*IF(DATOS!AU$4="Sí",1/DATOS_[[% normaliz]:[% normaliz]],1)*(DATOS_[Conc.Sal.17])))))))),
0)</f>
        <v>0</v>
      </c>
      <c r="AA80" s="196">
        <f t="array" ref="AA80">IFERROR(
(AVERAGE((IF(DATOS_[[Sexo]:[Sexo]]=$B80,IF(DATOS_[[AGRUP. VALOR. PTO.]:[AGRUP. VALOR. PTO.]]=$B78,IF(DATOS_[[Check Periodo Ref.]:[Check Periodo Ref.]]="Dentro",IF(DATOS_[[Check Equiparado]:[Check Equiparado]]="Sí",IF(DATOS!AV$5="Sí",(1/DATOS_[[% anualiz]:[% anualiz]]),1)*IF(DATOS!AV$4="Sí",1/DATOS_[[% normaliz]:[% normaliz]],1)*(DATOS_[Conc.Sal.18])))))))),
0)</f>
        <v>0</v>
      </c>
      <c r="AB80" s="196">
        <f t="array" ref="AB80">IFERROR(
(AVERAGE((IF(DATOS_[[Sexo]:[Sexo]]=$B80,IF(DATOS_[[AGRUP. VALOR. PTO.]:[AGRUP. VALOR. PTO.]]=$B78,IF(DATOS_[[Check Periodo Ref.]:[Check Periodo Ref.]]="Dentro",IF(DATOS_[[Check Equiparado]:[Check Equiparado]]="Sí",IF(DATOS!AW$5="Sí",(1/DATOS_[[% anualiz]:[% anualiz]]),1)*IF(DATOS!AW$4="Sí",1/DATOS_[[% normaliz]:[% normaliz]],1)*(DATOS_[Conc.Sal.19])))))))),
0)</f>
        <v>0</v>
      </c>
      <c r="AC80" s="196">
        <f t="array" ref="AC80">IFERROR(
(AVERAGE((IF(DATOS_[[Sexo]:[Sexo]]=$B80,IF(DATOS_[[AGRUP. VALOR. PTO.]:[AGRUP. VALOR. PTO.]]=$B78,IF(DATOS_[[Check Periodo Ref.]:[Check Periodo Ref.]]="Dentro",IF(DATOS_[[Check Equiparado]:[Check Equiparado]]="Sí",IF(DATOS!AX$5="Sí",(1/DATOS_[[% anualiz]:[% anualiz]]),1)*IF(DATOS!AX$4="Sí",1/DATOS_[[% normaliz]:[% normaliz]],1)*(DATOS_[Conc.Sal.20])))))))),
0)</f>
        <v>0</v>
      </c>
      <c r="AD80" s="196">
        <f t="array" ref="AD80">IFERROR(
(AVERAGE((IF(DATOS_[[Sexo]:[Sexo]]=$B80,IF(DATOS_[[AGRUP. VALOR. PTO.]:[AGRUP. VALOR. PTO.]]=$B78,IF(DATOS_[[Check Periodo Ref.]:[Check Periodo Ref.]]="Dentro",IF(DATOS_[[Check Equiparado]:[Check Equiparado]]="Sí",IF(DATOS!AY$5="Sí",(1/DATOS_[[% anualiz]:[% anualiz]]),1)*IF(DATOS!AY$4="Sí",1/DATOS_[[% normaliz]:[% normaliz]],1)*(DATOS_[Conc.Sal.21])))))))),
0)</f>
        <v>0</v>
      </c>
      <c r="AE80" s="196">
        <f t="array" ref="AE80">IFERROR(
(AVERAGE((IF(DATOS_[[Sexo]:[Sexo]]=$B80,IF(DATOS_[[AGRUP. VALOR. PTO.]:[AGRUP. VALOR. PTO.]]=$B78,IF(DATOS_[[Check Periodo Ref.]:[Check Periodo Ref.]]="Dentro",IF(DATOS_[[Check Equiparado]:[Check Equiparado]]="Sí",IF(DATOS!AZ$5="Sí",(1/DATOS_[[% anualiz]:[% anualiz]]),1)*IF(DATOS!AZ$4="Sí",1/DATOS_[[% normaliz]:[% normaliz]],1)*(DATOS_[Conc.Sal.22])))))))),
0)</f>
        <v>0</v>
      </c>
      <c r="AF80" s="196">
        <f t="array" ref="AF80">IFERROR(
(AVERAGE((IF(DATOS_[[Sexo]:[Sexo]]=$B80,IF(DATOS_[[AGRUP. VALOR. PTO.]:[AGRUP. VALOR. PTO.]]=$B78,IF(DATOS_[[Check Periodo Ref.]:[Check Periodo Ref.]]="Dentro",IF(DATOS_[[Check Equiparado]:[Check Equiparado]]="Sí",IF(DATOS!BA$5="Sí",(1/DATOS_[[% anualiz]:[% anualiz]]),1)*IF(DATOS!BA$4="Sí",1/DATOS_[[% normaliz]:[% normaliz]],1)*(DATOS_[Conc.Sal.23])))))))),
0)</f>
        <v>0</v>
      </c>
      <c r="AG80" s="196">
        <f t="array" ref="AG80">IFERROR(
(AVERAGE((IF(DATOS_[[Sexo]:[Sexo]]=$B80,IF(DATOS_[[AGRUP. VALOR. PTO.]:[AGRUP. VALOR. PTO.]]=$B78,IF(DATOS_[[Check Periodo Ref.]:[Check Periodo Ref.]]="Dentro",IF(DATOS_[[Check Equiparado]:[Check Equiparado]]="Sí",IF(DATOS!BB$5="Sí",(1/DATOS_[[% anualiz]:[% anualiz]]),1)*IF(DATOS!BB$4="Sí",1/DATOS_[[% normaliz]:[% normaliz]],1)*(DATOS_[Conc.Sal.24])))))))),
0)</f>
        <v>0</v>
      </c>
      <c r="AH80" s="196">
        <f t="array" ref="AH80">IFERROR(
(AVERAGE((IF(DATOS_[[Sexo]:[Sexo]]=$B80,IF(DATOS_[[AGRUP. VALOR. PTO.]:[AGRUP. VALOR. PTO.]]=$B78,IF(DATOS_[[Check Periodo Ref.]:[Check Periodo Ref.]]="Dentro",IF(DATOS_[[Check Equiparado]:[Check Equiparado]]="Sí",IF(DATOS!BC$5="Sí",(1/DATOS_[[% anualiz]:[% anualiz]]),1)*IF(DATOS!BC$4="Sí",1/DATOS_[[% normaliz]:[% normaliz]],1)*(DATOS_[Conc.Sal.25])))))))),
0)</f>
        <v>0</v>
      </c>
      <c r="AI80" s="196">
        <f t="array" ref="AI80">IFERROR(
(AVERAGE((IF(DATOS_[[Sexo]:[Sexo]]=$B80,IF(DATOS_[[AGRUP. VALOR. PTO.]:[AGRUP. VALOR. PTO.]]=$B78,IF(DATOS_[[Check Periodo Ref.]:[Check Periodo Ref.]]="Dentro",IF(DATOS_[[Check Equiparado]:[Check Equiparado]]="Sí",IF(DATOS!BD$5="Sí",(1/DATOS_[[% anualiz]:[% anualiz]]),1)*IF(DATOS!BD$4="Sí",1/DATOS_[[% normaliz]:[% normaliz]],1)*(DATOS_[Conc.Sal.26])))))))),
0)</f>
        <v>0</v>
      </c>
      <c r="AJ80" s="196">
        <f t="array" ref="AJ80">IFERROR(
(AVERAGE((IF(DATOS_[[Sexo]:[Sexo]]=$B80,IF(DATOS_[[AGRUP. VALOR. PTO.]:[AGRUP. VALOR. PTO.]]=$B78,IF(DATOS_[[Check Periodo Ref.]:[Check Periodo Ref.]]="Dentro",IF(DATOS_[[Check Equiparado]:[Check Equiparado]]="Sí",IF(DATOS!BE$5="Sí",(1/DATOS_[[% anualiz]:[% anualiz]]),1)*IF(DATOS!BE$4="Sí",1/DATOS_[[% normaliz]:[% normaliz]],1)*(DATOS_[Conc.Sal.27])))))))),
0)</f>
        <v>0</v>
      </c>
      <c r="AK80" s="196">
        <f t="array" ref="AK80">IFERROR(
(AVERAGE((IF(DATOS_[[Sexo]:[Sexo]]=$B80,IF(DATOS_[[AGRUP. VALOR. PTO.]:[AGRUP. VALOR. PTO.]]=$B78,IF(DATOS_[[Check Periodo Ref.]:[Check Periodo Ref.]]="Dentro",IF(DATOS_[[Check Equiparado]:[Check Equiparado]]="Sí",IF(DATOS!BF$5="Sí",(1/DATOS_[[% anualiz]:[% anualiz]]),1)*IF(DATOS!BF$4="Sí",1/DATOS_[[% normaliz]:[% normaliz]],1)*(DATOS_[Conc.Sal.28])))))))),
0)</f>
        <v>0</v>
      </c>
      <c r="AL80" s="196">
        <f t="array" ref="AL80">IFERROR(
(AVERAGE((IF(DATOS_[[Sexo]:[Sexo]]=$B80,IF(DATOS_[[AGRUP. VALOR. PTO.]:[AGRUP. VALOR. PTO.]]=$B78,IF(DATOS_[[Check Periodo Ref.]:[Check Periodo Ref.]]="Dentro",IF(DATOS_[[Check Equiparado]:[Check Equiparado]]="Sí",IF(DATOS!BG$5="Sí",(1/DATOS_[[% anualiz]:[% anualiz]]),1)*IF(DATOS!BG$4="Sí",1/DATOS_[[% normaliz]:[% normaliz]],1)*(DATOS_[Conc.Sal.29])))))))),
0)</f>
        <v>0</v>
      </c>
      <c r="AM80" s="196">
        <f t="array" ref="AM80">IFERROR(
(AVERAGE((IF(DATOS_[[Sexo]:[Sexo]]=$B80,IF(DATOS_[[AGRUP. VALOR. PTO.]:[AGRUP. VALOR. PTO.]]=$B78,IF(DATOS_[[Check Periodo Ref.]:[Check Periodo Ref.]]="Dentro",IF(DATOS_[[Check Equiparado]:[Check Equiparado]]="Sí",IF(DATOS!BH$5="Sí",(1/DATOS_[[% anualiz]:[% anualiz]]),1)*IF(DATOS!BH$4="Sí",1/DATOS_[[% normaliz]:[% normaliz]],1)*(DATOS_[Conc.Sal.30])))))))),
0)</f>
        <v>0</v>
      </c>
      <c r="AN80" s="195">
        <f t="array" ref="AN80">IFERROR(
AVERAGE(IF(DATOS_[Sexo]=$B80,IF(DATOS_[[AGRUP. VALOR. PTO.]:[AGRUP. VALOR. PTO.]]=$B78,IF(DATOS_[Check Equiparado]="Sí",IF(DATOS_[Check Periodo Ref.]="Dentro",DATOS_[Tot COMPL.SAL Eq],FALSE))))),
0)</f>
        <v>0</v>
      </c>
      <c r="AO80" s="172">
        <f t="array" ref="AO80">IFERROR(
AVERAGE(IF(DATOS_[Sexo]=$B80,IF(DATOS_[[AGRUP. VALOR. PTO.]:[AGRUP. VALOR. PTO.]]=$B78,IF(DATOS_[Check Equiparado]="Sí",IF(DATOS_[Check Periodo Ref.]="Dentro",DATOS_[TOTAL SALARIO Eq],FALSE))))),
0)</f>
        <v>0</v>
      </c>
      <c r="AP80" s="173">
        <f t="array" ref="AP80">IFERROR(
(AVERAGE((IF(DATOS_[[Sexo]:[Sexo]]=$B80,IF(DATOS_[[AGRUP. VALOR. PTO.]:[AGRUP. VALOR. PTO.]]=$B78,IF(DATOS_[[Check Periodo Ref.]:[Check Periodo Ref.]]="Dentro",IF(DATOS_[[Check Equiparado]:[Check Equiparado]]="Sí",IF(DATOS!BW$5="Sí",(1/DATOS_[[% anualiz]:[% anualiz]]),1)*IF(DATOS!BW$4="Sí",1/DATOS_[[% normaliz]:[% normaliz]],1)*(DATOS_[C.Extra.01])))))))),
0)</f>
        <v>0</v>
      </c>
      <c r="AQ80" s="173">
        <f t="array" ref="AQ80">IFERROR(
(AVERAGE((IF(DATOS_[[Sexo]:[Sexo]]=$B80,IF(DATOS_[[AGRUP. VALOR. PTO.]:[AGRUP. VALOR. PTO.]]=$B78,IF(DATOS_[[Check Periodo Ref.]:[Check Periodo Ref.]]="Dentro",IF(DATOS_[[Check Equiparado]:[Check Equiparado]]="Sí",IF(DATOS!CB$5="Sí",(1/DATOS_[[% anualiz]:[% anualiz]]),1)*IF(DATOS!CB$4="Sí",1/DATOS_[[% normaliz]:[% normaliz]],1)*(DATOS_[C.Extra.06])))))))),
0)</f>
        <v>0</v>
      </c>
      <c r="AR80" s="173">
        <f t="array" ref="AR80">IFERROR(
(AVERAGE((IF(DATOS_[[Sexo]:[Sexo]]=$B80,IF(DATOS_[[AGRUP. VALOR. PTO.]:[AGRUP. VALOR. PTO.]]=$B78,IF(DATOS_[[Check Periodo Ref.]:[Check Periodo Ref.]]="Dentro",IF(DATOS_[[Check Equiparado]:[Check Equiparado]]="Sí",IF(DATOS!CC$5="Sí",(1/DATOS_[[% anualiz]:[% anualiz]]),1)*IF(DATOS!CC$4="Sí",1/DATOS_[[% normaliz]:[% normaliz]],1)*(DATOS_[C.Extra.07])))))))),
0)</f>
        <v>0</v>
      </c>
      <c r="AS80" s="173">
        <f t="array" ref="AS80">IFERROR(
(AVERAGE((IF(DATOS_[[Sexo]:[Sexo]]=$B80,IF(DATOS_[[AGRUP. VALOR. PTO.]:[AGRUP. VALOR. PTO.]]=$B78,IF(DATOS_[[Check Periodo Ref.]:[Check Periodo Ref.]]="Dentro",IF(DATOS_[[Check Equiparado]:[Check Equiparado]]="Sí",IF(DATOS!CD$5="Sí",(1/DATOS_[[% anualiz]:[% anualiz]]),1)*IF(DATOS!CD$4="Sí",1/DATOS_[[% normaliz]:[% normaliz]],1)*(DATOS_[C.Extra.08])))))))),
0)</f>
        <v>0</v>
      </c>
      <c r="AT80" s="173">
        <f t="array" ref="AT80">IFERROR(
(AVERAGE((IF(DATOS_[[Sexo]:[Sexo]]=$B80,IF(DATOS_[[AGRUP. VALOR. PTO.]:[AGRUP. VALOR. PTO.]]=$B78,IF(DATOS_[[Check Periodo Ref.]:[Check Periodo Ref.]]="Dentro",IF(DATOS_[[Check Equiparado]:[Check Equiparado]]="Sí",IF(DATOS!CG$5="Sí",(1/DATOS_[[% anualiz]:[% anualiz]]),1)*IF(DATOS!CG$4="Sí",1/DATOS_[[% normaliz]:[% normaliz]],1)*(DATOS_[C.Extra.11])))))))),
0)</f>
        <v>0</v>
      </c>
      <c r="AU80" s="197">
        <f t="array" ref="AU80">IFERROR(
AVERAGE(IF(DATOS_[Sexo]=$B80,IF(DATOS_[[AGRUP. VALOR. PTO.]:[AGRUP. VALOR. PTO.]]=$B78,IF(DATOS_[Check Equiparado]="Sí",IF(DATOS_[Check Periodo Ref.]="Dentro",DATOS_[Tot Extrasalarial Eq],FALSE))))),
0)</f>
        <v>0</v>
      </c>
      <c r="AV80" s="175">
        <f t="array" ref="AV80">IFERROR(
AVERAGE(IF(DATOS_[Sexo]=$B80,IF(DATOS_[[AGRUP. VALOR. PTO.]:[AGRUP. VALOR. PTO.]]=$B78,IF(DATOS_[Check Equiparado]="Sí",IF(DATOS_[Check Periodo Ref.]="Dentro",DATOS_[TOTAL Retrib Eq],FALSE))))),
0)</f>
        <v>0</v>
      </c>
    </row>
    <row r="81" spans="1:48" ht="15.6" thickBot="1" x14ac:dyDescent="0.3">
      <c r="A81" s="133" t="str">
        <f t="shared" ref="A81" si="91">+A82</f>
        <v>[ocultar]</v>
      </c>
      <c r="B81" s="199" t="s">
        <v>269</v>
      </c>
      <c r="C81" s="200"/>
      <c r="D81" s="201"/>
      <c r="E81" s="201"/>
      <c r="F81" s="201"/>
      <c r="G81" s="201"/>
      <c r="H81" s="201"/>
      <c r="I81" s="189" t="str">
        <f t="shared" ref="I81:AV81" si="92">IFERROR((I82-I83)/I82,"")</f>
        <v/>
      </c>
      <c r="J81" s="190" t="str">
        <f t="shared" si="92"/>
        <v/>
      </c>
      <c r="K81" s="191" t="str">
        <f t="shared" si="92"/>
        <v/>
      </c>
      <c r="L81" s="191" t="str">
        <f t="shared" si="92"/>
        <v/>
      </c>
      <c r="M81" s="191" t="str">
        <f t="shared" si="92"/>
        <v/>
      </c>
      <c r="N81" s="192" t="str">
        <f t="shared" si="92"/>
        <v/>
      </c>
      <c r="O81" s="193" t="str">
        <f t="shared" si="92"/>
        <v/>
      </c>
      <c r="P81" s="193" t="str">
        <f t="shared" si="92"/>
        <v/>
      </c>
      <c r="Q81" s="193" t="str">
        <f t="shared" si="92"/>
        <v/>
      </c>
      <c r="R81" s="193" t="str">
        <f t="shared" si="92"/>
        <v/>
      </c>
      <c r="S81" s="193" t="str">
        <f t="shared" si="92"/>
        <v/>
      </c>
      <c r="T81" s="193" t="str">
        <f t="shared" si="92"/>
        <v/>
      </c>
      <c r="U81" s="193" t="str">
        <f t="shared" si="92"/>
        <v/>
      </c>
      <c r="V81" s="193" t="str">
        <f t="shared" si="92"/>
        <v/>
      </c>
      <c r="W81" s="193" t="str">
        <f t="shared" si="92"/>
        <v/>
      </c>
      <c r="X81" s="193" t="str">
        <f t="shared" si="92"/>
        <v/>
      </c>
      <c r="Y81" s="193" t="str">
        <f t="shared" si="92"/>
        <v/>
      </c>
      <c r="Z81" s="193" t="str">
        <f t="shared" si="92"/>
        <v/>
      </c>
      <c r="AA81" s="193" t="str">
        <f t="shared" si="92"/>
        <v/>
      </c>
      <c r="AB81" s="193" t="str">
        <f t="shared" si="92"/>
        <v/>
      </c>
      <c r="AC81" s="193" t="str">
        <f t="shared" si="92"/>
        <v/>
      </c>
      <c r="AD81" s="193" t="str">
        <f t="shared" si="92"/>
        <v/>
      </c>
      <c r="AE81" s="193" t="str">
        <f t="shared" si="92"/>
        <v/>
      </c>
      <c r="AF81" s="193" t="str">
        <f t="shared" si="92"/>
        <v/>
      </c>
      <c r="AG81" s="193" t="str">
        <f t="shared" si="92"/>
        <v/>
      </c>
      <c r="AH81" s="193" t="str">
        <f t="shared" si="92"/>
        <v/>
      </c>
      <c r="AI81" s="193" t="str">
        <f t="shared" si="92"/>
        <v/>
      </c>
      <c r="AJ81" s="193" t="str">
        <f t="shared" si="92"/>
        <v/>
      </c>
      <c r="AK81" s="193" t="str">
        <f t="shared" si="92"/>
        <v/>
      </c>
      <c r="AL81" s="193" t="str">
        <f t="shared" si="92"/>
        <v/>
      </c>
      <c r="AM81" s="193" t="str">
        <f t="shared" si="92"/>
        <v/>
      </c>
      <c r="AN81" s="189" t="str">
        <f t="shared" si="92"/>
        <v/>
      </c>
      <c r="AO81" s="162" t="str">
        <f t="shared" si="92"/>
        <v/>
      </c>
      <c r="AP81" s="163" t="str">
        <f t="shared" si="92"/>
        <v/>
      </c>
      <c r="AQ81" s="163" t="str">
        <f t="shared" si="92"/>
        <v/>
      </c>
      <c r="AR81" s="163" t="str">
        <f t="shared" si="92"/>
        <v/>
      </c>
      <c r="AS81" s="163" t="str">
        <f t="shared" si="92"/>
        <v/>
      </c>
      <c r="AT81" s="163" t="str">
        <f t="shared" si="92"/>
        <v/>
      </c>
      <c r="AU81" s="194" t="str">
        <f t="shared" si="92"/>
        <v/>
      </c>
      <c r="AV81" s="165" t="str">
        <f t="shared" si="92"/>
        <v/>
      </c>
    </row>
    <row r="82" spans="1:48" x14ac:dyDescent="0.25">
      <c r="A82" s="133" t="str">
        <f t="shared" ref="A82" si="93">+IF(C82+C83=0,"[ocultar]","")</f>
        <v>[ocultar]</v>
      </c>
      <c r="B82" s="202" t="s">
        <v>394</v>
      </c>
      <c r="C82" s="203">
        <f t="array" ref="C82">SUM(IF($B82=DATOS_[Sexo],
IF($B81=DATOS_[AGRUP. VALOR. PTO.],
IF("Dentro"=DATOS_[Check Periodo Ref.],
1/(COUNTIFS(DATOS_[Sexo],$B82,DATOS_[AGRUP. VALOR. PTO.],$B81,DATOS_[Check Periodo Ref.],"Dentro",DATOS_[id/cod],DATOS_[id/cod]))))))</f>
        <v>0</v>
      </c>
      <c r="D82" s="204">
        <f>COUNTIFS(DATOS_[AGRUP. VALOR. PTO.],$B81,DATOS_[Sexo],$B82,DATOS_[Check Periodo Ref.],"Dentro")</f>
        <v>0</v>
      </c>
      <c r="E82" s="204">
        <f>COUNTIFS(DATOS_[AGRUP. VALOR. PTO.],$B81,DATOS_[Sexo],$B82,DATOS_[Check Periodo Ref.],"Dentro",DATOS_[Check Nº SC Norm],"Sí")</f>
        <v>0</v>
      </c>
      <c r="F82" s="204">
        <f>COUNTIFS(DATOS_[AGRUP. VALOR. PTO.],$B81,DATOS_[Sexo],$B82,DATOS_[Check Periodo Ref.],"Dentro",DATOS_[Check Nº SC Anualiz],"Sí")</f>
        <v>0</v>
      </c>
      <c r="G82" s="204">
        <f>COUNTIFS(DATOS_[AGRUP. VALOR. PTO.],$B81,DATOS_[Sexo],$B82,DATOS_[Check Periodo Ref.],"Dentro",DATOS_[Check Nº SC Norm y Anualiz],"Sí")</f>
        <v>0</v>
      </c>
      <c r="H82" s="204">
        <f>COUNTIFS(DATOS_[AGRUP. VALOR. PTO.],$B81,DATOS_[Sexo],$B82,DATOS_[Check Periodo Ref.],"Dentro",DATOS_[Check Equiparación],"Sí")</f>
        <v>0</v>
      </c>
      <c r="I82" s="195">
        <f t="array" ref="I82">IFERROR(
AVERAGE(IF(DATOS_[Sexo]=$B82,IF(DATOS_[[AGRUP. VALOR. PTO.]:[AGRUP. VALOR. PTO.]]=$B81,IF(DATOS_[Check Equiparado]="Sí",IF(DATOS_[Check Periodo Ref.]="Dentro",DATOS_[SALARIO BASE Eq],FALSE))))),
0)</f>
        <v>0</v>
      </c>
      <c r="J82" s="196">
        <f t="array" ref="J82">IFERROR(
(AVERAGE((IF(DATOS_[[Sexo]:[Sexo]]=$B82,IF(DATOS_[[AGRUP. VALOR. PTO.]:[AGRUP. VALOR. PTO.]]=$B81,IF(DATOS_[[Check Periodo Ref.]:[Check Periodo Ref.]]="Dentro",IF(DATOS_[[Check Equiparado]:[Check Equiparado]]="Sí",IF(DATOS!AE$5="Sí",(1/DATOS_[[% anualiz]:[% anualiz]]),1)*IF(DATOS!AE$4="Sí",1/DATOS_[[% normaliz]:[% normaliz]],1)*(DATOS_[Conc.Sal.01])))))))),
0)</f>
        <v>0</v>
      </c>
      <c r="K82" s="196">
        <f t="array" ref="K82">IFERROR(
(AVERAGE((IF(DATOS_[[Sexo]:[Sexo]]=$B82,IF(DATOS_[[AGRUP. VALOR. PTO.]:[AGRUP. VALOR. PTO.]]=$B81,IF(DATOS_[[Check Periodo Ref.]:[Check Periodo Ref.]]="Dentro",IF(DATOS_[[Check Equiparado]:[Check Equiparado]]="Sí",IF(DATOS!AF$5="Sí",(1/DATOS_[[% anualiz]:[% anualiz]]),1)*IF(DATOS!AF$4="Sí",1/DATOS_[[% normaliz]:[% normaliz]],1)*(DATOS_[Conc.Sal.02])))))))),
0)</f>
        <v>0</v>
      </c>
      <c r="L82" s="196">
        <f t="array" ref="L82">IFERROR(
(AVERAGE((IF(DATOS_[[Sexo]:[Sexo]]=$B82,IF(DATOS_[[AGRUP. VALOR. PTO.]:[AGRUP. VALOR. PTO.]]=$B81,IF(DATOS_[[Check Periodo Ref.]:[Check Periodo Ref.]]="Dentro",IF(DATOS_[[Check Equiparado]:[Check Equiparado]]="Sí",IF(DATOS!AG$5="Sí",(1/DATOS_[[% anualiz]:[% anualiz]]),1)*IF(DATOS!AG$4="Sí",1/DATOS_[[% normaliz]:[% normaliz]],1)*(DATOS_[Conc.Sal.03])))))))),
0)</f>
        <v>0</v>
      </c>
      <c r="M82" s="196">
        <f t="array" ref="M82">IFERROR(
(AVERAGE((IF(DATOS_[[Sexo]:[Sexo]]=$B82,IF(DATOS_[[AGRUP. VALOR. PTO.]:[AGRUP. VALOR. PTO.]]=$B81,IF(DATOS_[[Check Periodo Ref.]:[Check Periodo Ref.]]="Dentro",IF(DATOS_[[Check Equiparado]:[Check Equiparado]]="Sí",IF(DATOS!AH$5="Sí",(1/DATOS_[[% anualiz]:[% anualiz]]),1)*IF(DATOS!AH$4="Sí",1/DATOS_[[% normaliz]:[% normaliz]],1)*(DATOS_[Conc.Sal.04])))))))),
0)</f>
        <v>0</v>
      </c>
      <c r="N82" s="196">
        <f t="array" ref="N82">IFERROR(
(AVERAGE((IF(DATOS_[[Sexo]:[Sexo]]=$B82,IF(DATOS_[[AGRUP. VALOR. PTO.]:[AGRUP. VALOR. PTO.]]=$B81,IF(DATOS_[[Check Periodo Ref.]:[Check Periodo Ref.]]="Dentro",IF(DATOS_[[Check Equiparado]:[Check Equiparado]]="Sí",IF(DATOS!AI$5="Sí",(1/DATOS_[[% anualiz]:[% anualiz]]),1)*IF(DATOS!AI$4="Sí",1/DATOS_[[% normaliz]:[% normaliz]],1)*(DATOS_[Conc.Sal.05])))))))),
0)</f>
        <v>0</v>
      </c>
      <c r="O82" s="196">
        <f t="array" ref="O82">IFERROR(
(AVERAGE((IF(DATOS_[[Sexo]:[Sexo]]=$B82,IF(DATOS_[[AGRUP. VALOR. PTO.]:[AGRUP. VALOR. PTO.]]=$B81,IF(DATOS_[[Check Periodo Ref.]:[Check Periodo Ref.]]="Dentro",IF(DATOS_[[Check Equiparado]:[Check Equiparado]]="Sí",IF(DATOS!AJ$5="Sí",(1/DATOS_[[% anualiz]:[% anualiz]]),1)*IF(DATOS!AJ$4="Sí",1/DATOS_[[% normaliz]:[% normaliz]],1)*(DATOS_[Conc.Sal.06])))))))),
0)</f>
        <v>0</v>
      </c>
      <c r="P82" s="196">
        <f t="array" ref="P82">IFERROR(
(AVERAGE((IF(DATOS_[[Sexo]:[Sexo]]=$B82,IF(DATOS_[[AGRUP. VALOR. PTO.]:[AGRUP. VALOR. PTO.]]=$B81,IF(DATOS_[[Check Periodo Ref.]:[Check Periodo Ref.]]="Dentro",IF(DATOS_[[Check Equiparado]:[Check Equiparado]]="Sí",IF(DATOS!AK$5="Sí",(1/DATOS_[[% anualiz]:[% anualiz]]),1)*IF(DATOS!AK$4="Sí",1/DATOS_[[% normaliz]:[% normaliz]],1)*(DATOS_[Conc.Sal.07])))))))),
0)</f>
        <v>0</v>
      </c>
      <c r="Q82" s="196">
        <f t="array" ref="Q82">IFERROR(
(AVERAGE((IF(DATOS_[[Sexo]:[Sexo]]=$B82,IF(DATOS_[[AGRUP. VALOR. PTO.]:[AGRUP. VALOR. PTO.]]=$B81,IF(DATOS_[[Check Periodo Ref.]:[Check Periodo Ref.]]="Dentro",IF(DATOS_[[Check Equiparado]:[Check Equiparado]]="Sí",IF(DATOS!AL$5="Sí",(1/DATOS_[[% anualiz]:[% anualiz]]),1)*IF(DATOS!AL$4="Sí",1/DATOS_[[% normaliz]:[% normaliz]],1)*(DATOS_[Conc.Sal.08])))))))),
0)</f>
        <v>0</v>
      </c>
      <c r="R82" s="196">
        <f t="array" ref="R82">IFERROR(
(AVERAGE((IF(DATOS_[[Sexo]:[Sexo]]=$B82,IF(DATOS_[[AGRUP. VALOR. PTO.]:[AGRUP. VALOR. PTO.]]=$B81,IF(DATOS_[[Check Periodo Ref.]:[Check Periodo Ref.]]="Dentro",IF(DATOS_[[Check Equiparado]:[Check Equiparado]]="Sí",IF(DATOS!AM$5="Sí",(1/DATOS_[[% anualiz]:[% anualiz]]),1)*IF(DATOS!AM$4="Sí",1/DATOS_[[% normaliz]:[% normaliz]],1)*(DATOS_[Conc.Sal.09])))))))),
0)</f>
        <v>0</v>
      </c>
      <c r="S82" s="196">
        <f t="array" ref="S82">IFERROR(
(AVERAGE((IF(DATOS_[[Sexo]:[Sexo]]=$B82,IF(DATOS_[[AGRUP. VALOR. PTO.]:[AGRUP. VALOR. PTO.]]=$B81,IF(DATOS_[[Check Periodo Ref.]:[Check Periodo Ref.]]="Dentro",IF(DATOS_[[Check Equiparado]:[Check Equiparado]]="Sí",IF(DATOS!AN$5="Sí",(1/DATOS_[[% anualiz]:[% anualiz]]),1)*IF(DATOS!AN$4="Sí",1/DATOS_[[% normaliz]:[% normaliz]],1)*(DATOS_[Conc.Sal.10])))))))),
0)</f>
        <v>0</v>
      </c>
      <c r="T82" s="196">
        <f t="array" ref="T82">IFERROR(
(AVERAGE((IF(DATOS_[[Sexo]:[Sexo]]=$B82,IF(DATOS_[[AGRUP. VALOR. PTO.]:[AGRUP. VALOR. PTO.]]=$B81,IF(DATOS_[[Check Periodo Ref.]:[Check Periodo Ref.]]="Dentro",IF(DATOS_[[Check Equiparado]:[Check Equiparado]]="Sí",IF(DATOS!AO$5="Sí",(1/DATOS_[[% anualiz]:[% anualiz]]),1)*IF(DATOS!AO$4="Sí",1/DATOS_[[% normaliz]:[% normaliz]],1)*(DATOS_[Conc.Sal.11])))))))),
0)</f>
        <v>0</v>
      </c>
      <c r="U82" s="196">
        <f t="array" ref="U82">IFERROR(
(AVERAGE((IF(DATOS_[[Sexo]:[Sexo]]=$B82,IF(DATOS_[[AGRUP. VALOR. PTO.]:[AGRUP. VALOR. PTO.]]=$B81,IF(DATOS_[[Check Periodo Ref.]:[Check Periodo Ref.]]="Dentro",IF(DATOS_[[Check Equiparado]:[Check Equiparado]]="Sí",IF(DATOS!AP$5="Sí",(1/DATOS_[[% anualiz]:[% anualiz]]),1)*IF(DATOS!AP$4="Sí",1/DATOS_[[% normaliz]:[% normaliz]],1)*(DATOS_[Conc.Sal.12])))))))),
0)</f>
        <v>0</v>
      </c>
      <c r="V82" s="196">
        <f t="array" ref="V82">IFERROR(
(AVERAGE((IF(DATOS_[[Sexo]:[Sexo]]=$B82,IF(DATOS_[[AGRUP. VALOR. PTO.]:[AGRUP. VALOR. PTO.]]=$B81,IF(DATOS_[[Check Periodo Ref.]:[Check Periodo Ref.]]="Dentro",IF(DATOS_[[Check Equiparado]:[Check Equiparado]]="Sí",IF(DATOS!AQ$5="Sí",(1/DATOS_[[% anualiz]:[% anualiz]]),1)*IF(DATOS!AQ$4="Sí",1/DATOS_[[% normaliz]:[% normaliz]],1)*(DATOS_[Conc.Sal.13])))))))),
0)</f>
        <v>0</v>
      </c>
      <c r="W82" s="196">
        <f t="array" ref="W82">IFERROR(
(AVERAGE((IF(DATOS_[[Sexo]:[Sexo]]=$B82,IF(DATOS_[[AGRUP. VALOR. PTO.]:[AGRUP. VALOR. PTO.]]=$B81,IF(DATOS_[[Check Periodo Ref.]:[Check Periodo Ref.]]="Dentro",IF(DATOS_[[Check Equiparado]:[Check Equiparado]]="Sí",IF(DATOS!AR$5="Sí",(1/DATOS_[[% anualiz]:[% anualiz]]),1)*IF(DATOS!AR$4="Sí",1/DATOS_[[% normaliz]:[% normaliz]],1)*(DATOS_[Conc.Sal.14])))))))),
0)</f>
        <v>0</v>
      </c>
      <c r="X82" s="196">
        <f t="array" ref="X82">IFERROR(
(AVERAGE((IF(DATOS_[[Sexo]:[Sexo]]=$B82,IF(DATOS_[[AGRUP. VALOR. PTO.]:[AGRUP. VALOR. PTO.]]=$B81,IF(DATOS_[[Check Periodo Ref.]:[Check Periodo Ref.]]="Dentro",IF(DATOS_[[Check Equiparado]:[Check Equiparado]]="Sí",IF(DATOS!AS$5="Sí",(1/DATOS_[[% anualiz]:[% anualiz]]),1)*IF(DATOS!AS$4="Sí",1/DATOS_[[% normaliz]:[% normaliz]],1)*(DATOS_[Conc.Sal.15])))))))),
0)</f>
        <v>0</v>
      </c>
      <c r="Y82" s="196">
        <f t="array" ref="Y82">IFERROR(
(AVERAGE((IF(DATOS_[[Sexo]:[Sexo]]=$B82,IF(DATOS_[[AGRUP. VALOR. PTO.]:[AGRUP. VALOR. PTO.]]=$B81,IF(DATOS_[[Check Periodo Ref.]:[Check Periodo Ref.]]="Dentro",IF(DATOS_[[Check Equiparado]:[Check Equiparado]]="Sí",IF(DATOS!AT$5="Sí",(1/DATOS_[[% anualiz]:[% anualiz]]),1)*IF(DATOS!AT$4="Sí",1/DATOS_[[% normaliz]:[% normaliz]],1)*(DATOS_[Conc.Sal.16])))))))),
0)</f>
        <v>0</v>
      </c>
      <c r="Z82" s="196">
        <f t="array" ref="Z82">IFERROR(
(AVERAGE((IF(DATOS_[[Sexo]:[Sexo]]=$B82,IF(DATOS_[[AGRUP. VALOR. PTO.]:[AGRUP. VALOR. PTO.]]=$B81,IF(DATOS_[[Check Periodo Ref.]:[Check Periodo Ref.]]="Dentro",IF(DATOS_[[Check Equiparado]:[Check Equiparado]]="Sí",IF(DATOS!AU$5="Sí",(1/DATOS_[[% anualiz]:[% anualiz]]),1)*IF(DATOS!AU$4="Sí",1/DATOS_[[% normaliz]:[% normaliz]],1)*(DATOS_[Conc.Sal.17])))))))),
0)</f>
        <v>0</v>
      </c>
      <c r="AA82" s="196">
        <f t="array" ref="AA82">IFERROR(
(AVERAGE((IF(DATOS_[[Sexo]:[Sexo]]=$B82,IF(DATOS_[[AGRUP. VALOR. PTO.]:[AGRUP. VALOR. PTO.]]=$B81,IF(DATOS_[[Check Periodo Ref.]:[Check Periodo Ref.]]="Dentro",IF(DATOS_[[Check Equiparado]:[Check Equiparado]]="Sí",IF(DATOS!AV$5="Sí",(1/DATOS_[[% anualiz]:[% anualiz]]),1)*IF(DATOS!AV$4="Sí",1/DATOS_[[% normaliz]:[% normaliz]],1)*(DATOS_[Conc.Sal.18])))))))),
0)</f>
        <v>0</v>
      </c>
      <c r="AB82" s="196">
        <f t="array" ref="AB82">IFERROR(
(AVERAGE((IF(DATOS_[[Sexo]:[Sexo]]=$B82,IF(DATOS_[[AGRUP. VALOR. PTO.]:[AGRUP. VALOR. PTO.]]=$B81,IF(DATOS_[[Check Periodo Ref.]:[Check Periodo Ref.]]="Dentro",IF(DATOS_[[Check Equiparado]:[Check Equiparado]]="Sí",IF(DATOS!AW$5="Sí",(1/DATOS_[[% anualiz]:[% anualiz]]),1)*IF(DATOS!AW$4="Sí",1/DATOS_[[% normaliz]:[% normaliz]],1)*(DATOS_[Conc.Sal.19])))))))),
0)</f>
        <v>0</v>
      </c>
      <c r="AC82" s="196">
        <f t="array" ref="AC82">IFERROR(
(AVERAGE((IF(DATOS_[[Sexo]:[Sexo]]=$B82,IF(DATOS_[[AGRUP. VALOR. PTO.]:[AGRUP. VALOR. PTO.]]=$B81,IF(DATOS_[[Check Periodo Ref.]:[Check Periodo Ref.]]="Dentro",IF(DATOS_[[Check Equiparado]:[Check Equiparado]]="Sí",IF(DATOS!AX$5="Sí",(1/DATOS_[[% anualiz]:[% anualiz]]),1)*IF(DATOS!AX$4="Sí",1/DATOS_[[% normaliz]:[% normaliz]],1)*(DATOS_[Conc.Sal.20])))))))),
0)</f>
        <v>0</v>
      </c>
      <c r="AD82" s="196">
        <f t="array" ref="AD82">IFERROR(
(AVERAGE((IF(DATOS_[[Sexo]:[Sexo]]=$B82,IF(DATOS_[[AGRUP. VALOR. PTO.]:[AGRUP. VALOR. PTO.]]=$B81,IF(DATOS_[[Check Periodo Ref.]:[Check Periodo Ref.]]="Dentro",IF(DATOS_[[Check Equiparado]:[Check Equiparado]]="Sí",IF(DATOS!AY$5="Sí",(1/DATOS_[[% anualiz]:[% anualiz]]),1)*IF(DATOS!AY$4="Sí",1/DATOS_[[% normaliz]:[% normaliz]],1)*(DATOS_[Conc.Sal.21])))))))),
0)</f>
        <v>0</v>
      </c>
      <c r="AE82" s="196">
        <f t="array" ref="AE82">IFERROR(
(AVERAGE((IF(DATOS_[[Sexo]:[Sexo]]=$B82,IF(DATOS_[[AGRUP. VALOR. PTO.]:[AGRUP. VALOR. PTO.]]=$B81,IF(DATOS_[[Check Periodo Ref.]:[Check Periodo Ref.]]="Dentro",IF(DATOS_[[Check Equiparado]:[Check Equiparado]]="Sí",IF(DATOS!AZ$5="Sí",(1/DATOS_[[% anualiz]:[% anualiz]]),1)*IF(DATOS!AZ$4="Sí",1/DATOS_[[% normaliz]:[% normaliz]],1)*(DATOS_[Conc.Sal.22])))))))),
0)</f>
        <v>0</v>
      </c>
      <c r="AF82" s="196">
        <f t="array" ref="AF82">IFERROR(
(AVERAGE((IF(DATOS_[[Sexo]:[Sexo]]=$B82,IF(DATOS_[[AGRUP. VALOR. PTO.]:[AGRUP. VALOR. PTO.]]=$B81,IF(DATOS_[[Check Periodo Ref.]:[Check Periodo Ref.]]="Dentro",IF(DATOS_[[Check Equiparado]:[Check Equiparado]]="Sí",IF(DATOS!BA$5="Sí",(1/DATOS_[[% anualiz]:[% anualiz]]),1)*IF(DATOS!BA$4="Sí",1/DATOS_[[% normaliz]:[% normaliz]],1)*(DATOS_[Conc.Sal.23])))))))),
0)</f>
        <v>0</v>
      </c>
      <c r="AG82" s="196">
        <f t="array" ref="AG82">IFERROR(
(AVERAGE((IF(DATOS_[[Sexo]:[Sexo]]=$B82,IF(DATOS_[[AGRUP. VALOR. PTO.]:[AGRUP. VALOR. PTO.]]=$B81,IF(DATOS_[[Check Periodo Ref.]:[Check Periodo Ref.]]="Dentro",IF(DATOS_[[Check Equiparado]:[Check Equiparado]]="Sí",IF(DATOS!BB$5="Sí",(1/DATOS_[[% anualiz]:[% anualiz]]),1)*IF(DATOS!BB$4="Sí",1/DATOS_[[% normaliz]:[% normaliz]],1)*(DATOS_[Conc.Sal.24])))))))),
0)</f>
        <v>0</v>
      </c>
      <c r="AH82" s="196">
        <f t="array" ref="AH82">IFERROR(
(AVERAGE((IF(DATOS_[[Sexo]:[Sexo]]=$B82,IF(DATOS_[[AGRUP. VALOR. PTO.]:[AGRUP. VALOR. PTO.]]=$B81,IF(DATOS_[[Check Periodo Ref.]:[Check Periodo Ref.]]="Dentro",IF(DATOS_[[Check Equiparado]:[Check Equiparado]]="Sí",IF(DATOS!BC$5="Sí",(1/DATOS_[[% anualiz]:[% anualiz]]),1)*IF(DATOS!BC$4="Sí",1/DATOS_[[% normaliz]:[% normaliz]],1)*(DATOS_[Conc.Sal.25])))))))),
0)</f>
        <v>0</v>
      </c>
      <c r="AI82" s="196">
        <f t="array" ref="AI82">IFERROR(
(AVERAGE((IF(DATOS_[[Sexo]:[Sexo]]=$B82,IF(DATOS_[[AGRUP. VALOR. PTO.]:[AGRUP. VALOR. PTO.]]=$B81,IF(DATOS_[[Check Periodo Ref.]:[Check Periodo Ref.]]="Dentro",IF(DATOS_[[Check Equiparado]:[Check Equiparado]]="Sí",IF(DATOS!BD$5="Sí",(1/DATOS_[[% anualiz]:[% anualiz]]),1)*IF(DATOS!BD$4="Sí",1/DATOS_[[% normaliz]:[% normaliz]],1)*(DATOS_[Conc.Sal.26])))))))),
0)</f>
        <v>0</v>
      </c>
      <c r="AJ82" s="196">
        <f t="array" ref="AJ82">IFERROR(
(AVERAGE((IF(DATOS_[[Sexo]:[Sexo]]=$B82,IF(DATOS_[[AGRUP. VALOR. PTO.]:[AGRUP. VALOR. PTO.]]=$B81,IF(DATOS_[[Check Periodo Ref.]:[Check Periodo Ref.]]="Dentro",IF(DATOS_[[Check Equiparado]:[Check Equiparado]]="Sí",IF(DATOS!BE$5="Sí",(1/DATOS_[[% anualiz]:[% anualiz]]),1)*IF(DATOS!BE$4="Sí",1/DATOS_[[% normaliz]:[% normaliz]],1)*(DATOS_[Conc.Sal.27])))))))),
0)</f>
        <v>0</v>
      </c>
      <c r="AK82" s="196">
        <f t="array" ref="AK82">IFERROR(
(AVERAGE((IF(DATOS_[[Sexo]:[Sexo]]=$B82,IF(DATOS_[[AGRUP. VALOR. PTO.]:[AGRUP. VALOR. PTO.]]=$B81,IF(DATOS_[[Check Periodo Ref.]:[Check Periodo Ref.]]="Dentro",IF(DATOS_[[Check Equiparado]:[Check Equiparado]]="Sí",IF(DATOS!BF$5="Sí",(1/DATOS_[[% anualiz]:[% anualiz]]),1)*IF(DATOS!BF$4="Sí",1/DATOS_[[% normaliz]:[% normaliz]],1)*(DATOS_[Conc.Sal.28])))))))),
0)</f>
        <v>0</v>
      </c>
      <c r="AL82" s="196">
        <f t="array" ref="AL82">IFERROR(
(AVERAGE((IF(DATOS_[[Sexo]:[Sexo]]=$B82,IF(DATOS_[[AGRUP. VALOR. PTO.]:[AGRUP. VALOR. PTO.]]=$B81,IF(DATOS_[[Check Periodo Ref.]:[Check Periodo Ref.]]="Dentro",IF(DATOS_[[Check Equiparado]:[Check Equiparado]]="Sí",IF(DATOS!BG$5="Sí",(1/DATOS_[[% anualiz]:[% anualiz]]),1)*IF(DATOS!BG$4="Sí",1/DATOS_[[% normaliz]:[% normaliz]],1)*(DATOS_[Conc.Sal.29])))))))),
0)</f>
        <v>0</v>
      </c>
      <c r="AM82" s="196">
        <f t="array" ref="AM82">IFERROR(
(AVERAGE((IF(DATOS_[[Sexo]:[Sexo]]=$B82,IF(DATOS_[[AGRUP. VALOR. PTO.]:[AGRUP. VALOR. PTO.]]=$B81,IF(DATOS_[[Check Periodo Ref.]:[Check Periodo Ref.]]="Dentro",IF(DATOS_[[Check Equiparado]:[Check Equiparado]]="Sí",IF(DATOS!BH$5="Sí",(1/DATOS_[[% anualiz]:[% anualiz]]),1)*IF(DATOS!BH$4="Sí",1/DATOS_[[% normaliz]:[% normaliz]],1)*(DATOS_[Conc.Sal.30])))))))),
0)</f>
        <v>0</v>
      </c>
      <c r="AN82" s="195">
        <f t="array" ref="AN82">IFERROR(
AVERAGE(IF(DATOS_[Sexo]=$B82,IF(DATOS_[[AGRUP. VALOR. PTO.]:[AGRUP. VALOR. PTO.]]=$B81,IF(DATOS_[Check Equiparado]="Sí",IF(DATOS_[Check Periodo Ref.]="Dentro",DATOS_[Tot COMPL.SAL Eq],FALSE))))),
0)</f>
        <v>0</v>
      </c>
      <c r="AO82" s="172">
        <f t="array" ref="AO82">IFERROR(
AVERAGE(IF(DATOS_[Sexo]=$B82,IF(DATOS_[[AGRUP. VALOR. PTO.]:[AGRUP. VALOR. PTO.]]=$B81,IF(DATOS_[Check Equiparado]="Sí",IF(DATOS_[Check Periodo Ref.]="Dentro",DATOS_[TOTAL SALARIO Eq],FALSE))))),
0)</f>
        <v>0</v>
      </c>
      <c r="AP82" s="173">
        <f t="array" ref="AP82">IFERROR(
(AVERAGE((IF(DATOS_[[Sexo]:[Sexo]]=$B82,IF(DATOS_[[AGRUP. VALOR. PTO.]:[AGRUP. VALOR. PTO.]]=$B81,IF(DATOS_[[Check Periodo Ref.]:[Check Periodo Ref.]]="Dentro",IF(DATOS_[[Check Equiparado]:[Check Equiparado]]="Sí",IF(DATOS!BW$5="Sí",(1/DATOS_[[% anualiz]:[% anualiz]]),1)*IF(DATOS!BW$4="Sí",1/DATOS_[[% normaliz]:[% normaliz]],1)*(DATOS_[C.Extra.01])))))))),
0)</f>
        <v>0</v>
      </c>
      <c r="AQ82" s="173">
        <f t="array" ref="AQ82">IFERROR(
(AVERAGE((IF(DATOS_[[Sexo]:[Sexo]]=$B82,IF(DATOS_[[AGRUP. VALOR. PTO.]:[AGRUP. VALOR. PTO.]]=$B81,IF(DATOS_[[Check Periodo Ref.]:[Check Periodo Ref.]]="Dentro",IF(DATOS_[[Check Equiparado]:[Check Equiparado]]="Sí",IF(DATOS!CB$5="Sí",(1/DATOS_[[% anualiz]:[% anualiz]]),1)*IF(DATOS!CB$4="Sí",1/DATOS_[[% normaliz]:[% normaliz]],1)*(DATOS_[C.Extra.06])))))))),
0)</f>
        <v>0</v>
      </c>
      <c r="AR82" s="173">
        <f t="array" ref="AR82">IFERROR(
(AVERAGE((IF(DATOS_[[Sexo]:[Sexo]]=$B82,IF(DATOS_[[AGRUP. VALOR. PTO.]:[AGRUP. VALOR. PTO.]]=$B81,IF(DATOS_[[Check Periodo Ref.]:[Check Periodo Ref.]]="Dentro",IF(DATOS_[[Check Equiparado]:[Check Equiparado]]="Sí",IF(DATOS!CC$5="Sí",(1/DATOS_[[% anualiz]:[% anualiz]]),1)*IF(DATOS!CC$4="Sí",1/DATOS_[[% normaliz]:[% normaliz]],1)*(DATOS_[C.Extra.07])))))))),
0)</f>
        <v>0</v>
      </c>
      <c r="AS82" s="173">
        <f t="array" ref="AS82">IFERROR(
(AVERAGE((IF(DATOS_[[Sexo]:[Sexo]]=$B82,IF(DATOS_[[AGRUP. VALOR. PTO.]:[AGRUP. VALOR. PTO.]]=$B81,IF(DATOS_[[Check Periodo Ref.]:[Check Periodo Ref.]]="Dentro",IF(DATOS_[[Check Equiparado]:[Check Equiparado]]="Sí",IF(DATOS!CD$5="Sí",(1/DATOS_[[% anualiz]:[% anualiz]]),1)*IF(DATOS!CD$4="Sí",1/DATOS_[[% normaliz]:[% normaliz]],1)*(DATOS_[C.Extra.08])))))))),
0)</f>
        <v>0</v>
      </c>
      <c r="AT82" s="173">
        <f t="array" ref="AT82">IFERROR(
(AVERAGE((IF(DATOS_[[Sexo]:[Sexo]]=$B82,IF(DATOS_[[AGRUP. VALOR. PTO.]:[AGRUP. VALOR. PTO.]]=$B81,IF(DATOS_[[Check Periodo Ref.]:[Check Periodo Ref.]]="Dentro",IF(DATOS_[[Check Equiparado]:[Check Equiparado]]="Sí",IF(DATOS!CG$5="Sí",(1/DATOS_[[% anualiz]:[% anualiz]]),1)*IF(DATOS!CG$4="Sí",1/DATOS_[[% normaliz]:[% normaliz]],1)*(DATOS_[C.Extra.11])))))))),
0)</f>
        <v>0</v>
      </c>
      <c r="AU82" s="197">
        <f t="array" ref="AU82">IFERROR(
AVERAGE(IF(DATOS_[Sexo]=$B82,IF(DATOS_[[AGRUP. VALOR. PTO.]:[AGRUP. VALOR. PTO.]]=$B81,IF(DATOS_[Check Equiparado]="Sí",IF(DATOS_[Check Periodo Ref.]="Dentro",DATOS_[Tot Extrasalarial Eq],FALSE))))),
0)</f>
        <v>0</v>
      </c>
      <c r="AV82" s="175">
        <f t="array" ref="AV82">IFERROR(
AVERAGE(IF(DATOS_[Sexo]=$B82,IF(DATOS_[[AGRUP. VALOR. PTO.]:[AGRUP. VALOR. PTO.]]=$B81,IF(DATOS_[Check Equiparado]="Sí",IF(DATOS_[Check Periodo Ref.]="Dentro",DATOS_[TOTAL Retrib Eq],FALSE))))),
0)</f>
        <v>0</v>
      </c>
    </row>
    <row r="83" spans="1:48" x14ac:dyDescent="0.25">
      <c r="A83" s="133" t="str">
        <f t="shared" ref="A83" si="94">+A82</f>
        <v>[ocultar]</v>
      </c>
      <c r="B83" s="202" t="s">
        <v>521</v>
      </c>
      <c r="C83" s="203">
        <f t="array" ref="C83">SUM(IF($B83=DATOS_[Sexo],
IF($B81=DATOS_[AGRUP. VALOR. PTO.],
IF("Dentro"=DATOS_[Check Periodo Ref.],
1/(COUNTIFS(DATOS_[Sexo],$B83,DATOS_[AGRUP. VALOR. PTO.],$B81,DATOS_[Check Periodo Ref.],"Dentro",DATOS_[id/cod],DATOS_[id/cod]))))))</f>
        <v>0</v>
      </c>
      <c r="D83" s="204">
        <f>COUNTIFS(DATOS_[AGRUP. VALOR. PTO.],$B81,DATOS_[Sexo],$B83,DATOS_[Check Periodo Ref.],"Dentro")</f>
        <v>0</v>
      </c>
      <c r="E83" s="204">
        <f>COUNTIFS(DATOS_[AGRUP. VALOR. PTO.],$B81,DATOS_[Sexo],$B83,DATOS_[Check Periodo Ref.],"Dentro",DATOS_[Check Nº SC Norm],"Sí")</f>
        <v>0</v>
      </c>
      <c r="F83" s="204">
        <f>COUNTIFS(DATOS_[AGRUP. VALOR. PTO.],$B81,DATOS_[Sexo],$B83,DATOS_[Check Periodo Ref.],"Dentro",DATOS_[Check Nº SC Anualiz],"Sí")</f>
        <v>0</v>
      </c>
      <c r="G83" s="204">
        <f>COUNTIFS(DATOS_[AGRUP. VALOR. PTO.],$B81,DATOS_[Sexo],$B83,DATOS_[Check Periodo Ref.],"Dentro",DATOS_[Check Nº SC Norm y Anualiz],"Sí")</f>
        <v>0</v>
      </c>
      <c r="H83" s="204">
        <f>COUNTIFS(DATOS_[AGRUP. VALOR. PTO.],$B81,DATOS_[Sexo],$B83,DATOS_[Check Periodo Ref.],"Dentro",DATOS_[Check Equiparación],"Sí")</f>
        <v>0</v>
      </c>
      <c r="I83" s="195" cm="1">
        <f t="array" ref="I83">IFERROR(
AVERAGE(IF(DATOS_[Sexo]=$B83,IF(DATOS_[[AGRUP. VALOR. PTO.]:[AGRUP. VALOR. PTO.]]=$B81,IF(DATOS_[Check Equiparado]="Sí",IF(DATOS_[Check Periodo Ref.]="Dentro",DATOS_[SALARIO BASE Eq],FALSE))))),
0)</f>
        <v>0</v>
      </c>
      <c r="J83" s="196">
        <f t="array" ref="J83">IFERROR(
(AVERAGE((IF(DATOS_[[Sexo]:[Sexo]]=$B83,IF(DATOS_[[AGRUP. VALOR. PTO.]:[AGRUP. VALOR. PTO.]]=$B81,IF(DATOS_[[Check Periodo Ref.]:[Check Periodo Ref.]]="Dentro",IF(DATOS_[[Check Equiparado]:[Check Equiparado]]="Sí",IF(DATOS!AE$5="Sí",(1/DATOS_[[% anualiz]:[% anualiz]]),1)*IF(DATOS!AE$4="Sí",1/DATOS_[[% normaliz]:[% normaliz]],1)*(DATOS_[Conc.Sal.01])))))))),
0)</f>
        <v>0</v>
      </c>
      <c r="K83" s="196">
        <f t="array" ref="K83">IFERROR(
(AVERAGE((IF(DATOS_[[Sexo]:[Sexo]]=$B83,IF(DATOS_[[AGRUP. VALOR. PTO.]:[AGRUP. VALOR. PTO.]]=$B81,IF(DATOS_[[Check Periodo Ref.]:[Check Periodo Ref.]]="Dentro",IF(DATOS_[[Check Equiparado]:[Check Equiparado]]="Sí",IF(DATOS!AF$5="Sí",(1/DATOS_[[% anualiz]:[% anualiz]]),1)*IF(DATOS!AF$4="Sí",1/DATOS_[[% normaliz]:[% normaliz]],1)*(DATOS_[Conc.Sal.02])))))))),
0)</f>
        <v>0</v>
      </c>
      <c r="L83" s="196">
        <f t="array" ref="L83">IFERROR(
(AVERAGE((IF(DATOS_[[Sexo]:[Sexo]]=$B83,IF(DATOS_[[AGRUP. VALOR. PTO.]:[AGRUP. VALOR. PTO.]]=$B81,IF(DATOS_[[Check Periodo Ref.]:[Check Periodo Ref.]]="Dentro",IF(DATOS_[[Check Equiparado]:[Check Equiparado]]="Sí",IF(DATOS!AG$5="Sí",(1/DATOS_[[% anualiz]:[% anualiz]]),1)*IF(DATOS!AG$4="Sí",1/DATOS_[[% normaliz]:[% normaliz]],1)*(DATOS_[Conc.Sal.03])))))))),
0)</f>
        <v>0</v>
      </c>
      <c r="M83" s="196">
        <f t="array" ref="M83">IFERROR(
(AVERAGE((IF(DATOS_[[Sexo]:[Sexo]]=$B83,IF(DATOS_[[AGRUP. VALOR. PTO.]:[AGRUP. VALOR. PTO.]]=$B81,IF(DATOS_[[Check Periodo Ref.]:[Check Periodo Ref.]]="Dentro",IF(DATOS_[[Check Equiparado]:[Check Equiparado]]="Sí",IF(DATOS!AH$5="Sí",(1/DATOS_[[% anualiz]:[% anualiz]]),1)*IF(DATOS!AH$4="Sí",1/DATOS_[[% normaliz]:[% normaliz]],1)*(DATOS_[Conc.Sal.04])))))))),
0)</f>
        <v>0</v>
      </c>
      <c r="N83" s="196">
        <f t="array" ref="N83">IFERROR(
(AVERAGE((IF(DATOS_[[Sexo]:[Sexo]]=$B83,IF(DATOS_[[AGRUP. VALOR. PTO.]:[AGRUP. VALOR. PTO.]]=$B81,IF(DATOS_[[Check Periodo Ref.]:[Check Periodo Ref.]]="Dentro",IF(DATOS_[[Check Equiparado]:[Check Equiparado]]="Sí",IF(DATOS!AI$5="Sí",(1/DATOS_[[% anualiz]:[% anualiz]]),1)*IF(DATOS!AI$4="Sí",1/DATOS_[[% normaliz]:[% normaliz]],1)*(DATOS_[Conc.Sal.05])))))))),
0)</f>
        <v>0</v>
      </c>
      <c r="O83" s="196">
        <f t="array" ref="O83">IFERROR(
(AVERAGE((IF(DATOS_[[Sexo]:[Sexo]]=$B83,IF(DATOS_[[AGRUP. VALOR. PTO.]:[AGRUP. VALOR. PTO.]]=$B81,IF(DATOS_[[Check Periodo Ref.]:[Check Periodo Ref.]]="Dentro",IF(DATOS_[[Check Equiparado]:[Check Equiparado]]="Sí",IF(DATOS!AJ$5="Sí",(1/DATOS_[[% anualiz]:[% anualiz]]),1)*IF(DATOS!AJ$4="Sí",1/DATOS_[[% normaliz]:[% normaliz]],1)*(DATOS_[Conc.Sal.06])))))))),
0)</f>
        <v>0</v>
      </c>
      <c r="P83" s="196">
        <f t="array" ref="P83">IFERROR(
(AVERAGE((IF(DATOS_[[Sexo]:[Sexo]]=$B83,IF(DATOS_[[AGRUP. VALOR. PTO.]:[AGRUP. VALOR. PTO.]]=$B81,IF(DATOS_[[Check Periodo Ref.]:[Check Periodo Ref.]]="Dentro",IF(DATOS_[[Check Equiparado]:[Check Equiparado]]="Sí",IF(DATOS!AK$5="Sí",(1/DATOS_[[% anualiz]:[% anualiz]]),1)*IF(DATOS!AK$4="Sí",1/DATOS_[[% normaliz]:[% normaliz]],1)*(DATOS_[Conc.Sal.07])))))))),
0)</f>
        <v>0</v>
      </c>
      <c r="Q83" s="196">
        <f t="array" ref="Q83">IFERROR(
(AVERAGE((IF(DATOS_[[Sexo]:[Sexo]]=$B83,IF(DATOS_[[AGRUP. VALOR. PTO.]:[AGRUP. VALOR. PTO.]]=$B81,IF(DATOS_[[Check Periodo Ref.]:[Check Periodo Ref.]]="Dentro",IF(DATOS_[[Check Equiparado]:[Check Equiparado]]="Sí",IF(DATOS!AL$5="Sí",(1/DATOS_[[% anualiz]:[% anualiz]]),1)*IF(DATOS!AL$4="Sí",1/DATOS_[[% normaliz]:[% normaliz]],1)*(DATOS_[Conc.Sal.08])))))))),
0)</f>
        <v>0</v>
      </c>
      <c r="R83" s="196">
        <f t="array" ref="R83">IFERROR(
(AVERAGE((IF(DATOS_[[Sexo]:[Sexo]]=$B83,IF(DATOS_[[AGRUP. VALOR. PTO.]:[AGRUP. VALOR. PTO.]]=$B81,IF(DATOS_[[Check Periodo Ref.]:[Check Periodo Ref.]]="Dentro",IF(DATOS_[[Check Equiparado]:[Check Equiparado]]="Sí",IF(DATOS!AM$5="Sí",(1/DATOS_[[% anualiz]:[% anualiz]]),1)*IF(DATOS!AM$4="Sí",1/DATOS_[[% normaliz]:[% normaliz]],1)*(DATOS_[Conc.Sal.09])))))))),
0)</f>
        <v>0</v>
      </c>
      <c r="S83" s="196">
        <f t="array" ref="S83">IFERROR(
(AVERAGE((IF(DATOS_[[Sexo]:[Sexo]]=$B83,IF(DATOS_[[AGRUP. VALOR. PTO.]:[AGRUP. VALOR. PTO.]]=$B81,IF(DATOS_[[Check Periodo Ref.]:[Check Periodo Ref.]]="Dentro",IF(DATOS_[[Check Equiparado]:[Check Equiparado]]="Sí",IF(DATOS!AN$5="Sí",(1/DATOS_[[% anualiz]:[% anualiz]]),1)*IF(DATOS!AN$4="Sí",1/DATOS_[[% normaliz]:[% normaliz]],1)*(DATOS_[Conc.Sal.10])))))))),
0)</f>
        <v>0</v>
      </c>
      <c r="T83" s="196">
        <f t="array" ref="T83">IFERROR(
(AVERAGE((IF(DATOS_[[Sexo]:[Sexo]]=$B83,IF(DATOS_[[AGRUP. VALOR. PTO.]:[AGRUP. VALOR. PTO.]]=$B81,IF(DATOS_[[Check Periodo Ref.]:[Check Periodo Ref.]]="Dentro",IF(DATOS_[[Check Equiparado]:[Check Equiparado]]="Sí",IF(DATOS!AO$5="Sí",(1/DATOS_[[% anualiz]:[% anualiz]]),1)*IF(DATOS!AO$4="Sí",1/DATOS_[[% normaliz]:[% normaliz]],1)*(DATOS_[Conc.Sal.11])))))))),
0)</f>
        <v>0</v>
      </c>
      <c r="U83" s="196">
        <f t="array" ref="U83">IFERROR(
(AVERAGE((IF(DATOS_[[Sexo]:[Sexo]]=$B83,IF(DATOS_[[AGRUP. VALOR. PTO.]:[AGRUP. VALOR. PTO.]]=$B81,IF(DATOS_[[Check Periodo Ref.]:[Check Periodo Ref.]]="Dentro",IF(DATOS_[[Check Equiparado]:[Check Equiparado]]="Sí",IF(DATOS!AP$5="Sí",(1/DATOS_[[% anualiz]:[% anualiz]]),1)*IF(DATOS!AP$4="Sí",1/DATOS_[[% normaliz]:[% normaliz]],1)*(DATOS_[Conc.Sal.12])))))))),
0)</f>
        <v>0</v>
      </c>
      <c r="V83" s="196">
        <f t="array" ref="V83">IFERROR(
(AVERAGE((IF(DATOS_[[Sexo]:[Sexo]]=$B83,IF(DATOS_[[AGRUP. VALOR. PTO.]:[AGRUP. VALOR. PTO.]]=$B81,IF(DATOS_[[Check Periodo Ref.]:[Check Periodo Ref.]]="Dentro",IF(DATOS_[[Check Equiparado]:[Check Equiparado]]="Sí",IF(DATOS!AQ$5="Sí",(1/DATOS_[[% anualiz]:[% anualiz]]),1)*IF(DATOS!AQ$4="Sí",1/DATOS_[[% normaliz]:[% normaliz]],1)*(DATOS_[Conc.Sal.13])))))))),
0)</f>
        <v>0</v>
      </c>
      <c r="W83" s="196">
        <f t="array" ref="W83">IFERROR(
(AVERAGE((IF(DATOS_[[Sexo]:[Sexo]]=$B83,IF(DATOS_[[AGRUP. VALOR. PTO.]:[AGRUP. VALOR. PTO.]]=$B81,IF(DATOS_[[Check Periodo Ref.]:[Check Periodo Ref.]]="Dentro",IF(DATOS_[[Check Equiparado]:[Check Equiparado]]="Sí",IF(DATOS!AR$5="Sí",(1/DATOS_[[% anualiz]:[% anualiz]]),1)*IF(DATOS!AR$4="Sí",1/DATOS_[[% normaliz]:[% normaliz]],1)*(DATOS_[Conc.Sal.14])))))))),
0)</f>
        <v>0</v>
      </c>
      <c r="X83" s="196">
        <f t="array" ref="X83">IFERROR(
(AVERAGE((IF(DATOS_[[Sexo]:[Sexo]]=$B83,IF(DATOS_[[AGRUP. VALOR. PTO.]:[AGRUP. VALOR. PTO.]]=$B81,IF(DATOS_[[Check Periodo Ref.]:[Check Periodo Ref.]]="Dentro",IF(DATOS_[[Check Equiparado]:[Check Equiparado]]="Sí",IF(DATOS!AS$5="Sí",(1/DATOS_[[% anualiz]:[% anualiz]]),1)*IF(DATOS!AS$4="Sí",1/DATOS_[[% normaliz]:[% normaliz]],1)*(DATOS_[Conc.Sal.15])))))))),
0)</f>
        <v>0</v>
      </c>
      <c r="Y83" s="196">
        <f t="array" ref="Y83">IFERROR(
(AVERAGE((IF(DATOS_[[Sexo]:[Sexo]]=$B83,IF(DATOS_[[AGRUP. VALOR. PTO.]:[AGRUP. VALOR. PTO.]]=$B81,IF(DATOS_[[Check Periodo Ref.]:[Check Periodo Ref.]]="Dentro",IF(DATOS_[[Check Equiparado]:[Check Equiparado]]="Sí",IF(DATOS!AT$5="Sí",(1/DATOS_[[% anualiz]:[% anualiz]]),1)*IF(DATOS!AT$4="Sí",1/DATOS_[[% normaliz]:[% normaliz]],1)*(DATOS_[Conc.Sal.16])))))))),
0)</f>
        <v>0</v>
      </c>
      <c r="Z83" s="196">
        <f t="array" ref="Z83">IFERROR(
(AVERAGE((IF(DATOS_[[Sexo]:[Sexo]]=$B83,IF(DATOS_[[AGRUP. VALOR. PTO.]:[AGRUP. VALOR. PTO.]]=$B81,IF(DATOS_[[Check Periodo Ref.]:[Check Periodo Ref.]]="Dentro",IF(DATOS_[[Check Equiparado]:[Check Equiparado]]="Sí",IF(DATOS!AU$5="Sí",(1/DATOS_[[% anualiz]:[% anualiz]]),1)*IF(DATOS!AU$4="Sí",1/DATOS_[[% normaliz]:[% normaliz]],1)*(DATOS_[Conc.Sal.17])))))))),
0)</f>
        <v>0</v>
      </c>
      <c r="AA83" s="196">
        <f t="array" ref="AA83">IFERROR(
(AVERAGE((IF(DATOS_[[Sexo]:[Sexo]]=$B83,IF(DATOS_[[AGRUP. VALOR. PTO.]:[AGRUP. VALOR. PTO.]]=$B81,IF(DATOS_[[Check Periodo Ref.]:[Check Periodo Ref.]]="Dentro",IF(DATOS_[[Check Equiparado]:[Check Equiparado]]="Sí",IF(DATOS!AV$5="Sí",(1/DATOS_[[% anualiz]:[% anualiz]]),1)*IF(DATOS!AV$4="Sí",1/DATOS_[[% normaliz]:[% normaliz]],1)*(DATOS_[Conc.Sal.18])))))))),
0)</f>
        <v>0</v>
      </c>
      <c r="AB83" s="196">
        <f t="array" ref="AB83">IFERROR(
(AVERAGE((IF(DATOS_[[Sexo]:[Sexo]]=$B83,IF(DATOS_[[AGRUP. VALOR. PTO.]:[AGRUP. VALOR. PTO.]]=$B81,IF(DATOS_[[Check Periodo Ref.]:[Check Periodo Ref.]]="Dentro",IF(DATOS_[[Check Equiparado]:[Check Equiparado]]="Sí",IF(DATOS!AW$5="Sí",(1/DATOS_[[% anualiz]:[% anualiz]]),1)*IF(DATOS!AW$4="Sí",1/DATOS_[[% normaliz]:[% normaliz]],1)*(DATOS_[Conc.Sal.19])))))))),
0)</f>
        <v>0</v>
      </c>
      <c r="AC83" s="196">
        <f t="array" ref="AC83">IFERROR(
(AVERAGE((IF(DATOS_[[Sexo]:[Sexo]]=$B83,IF(DATOS_[[AGRUP. VALOR. PTO.]:[AGRUP. VALOR. PTO.]]=$B81,IF(DATOS_[[Check Periodo Ref.]:[Check Periodo Ref.]]="Dentro",IF(DATOS_[[Check Equiparado]:[Check Equiparado]]="Sí",IF(DATOS!AX$5="Sí",(1/DATOS_[[% anualiz]:[% anualiz]]),1)*IF(DATOS!AX$4="Sí",1/DATOS_[[% normaliz]:[% normaliz]],1)*(DATOS_[Conc.Sal.20])))))))),
0)</f>
        <v>0</v>
      </c>
      <c r="AD83" s="196">
        <f t="array" ref="AD83">IFERROR(
(AVERAGE((IF(DATOS_[[Sexo]:[Sexo]]=$B83,IF(DATOS_[[AGRUP. VALOR. PTO.]:[AGRUP. VALOR. PTO.]]=$B81,IF(DATOS_[[Check Periodo Ref.]:[Check Periodo Ref.]]="Dentro",IF(DATOS_[[Check Equiparado]:[Check Equiparado]]="Sí",IF(DATOS!AY$5="Sí",(1/DATOS_[[% anualiz]:[% anualiz]]),1)*IF(DATOS!AY$4="Sí",1/DATOS_[[% normaliz]:[% normaliz]],1)*(DATOS_[Conc.Sal.21])))))))),
0)</f>
        <v>0</v>
      </c>
      <c r="AE83" s="196">
        <f t="array" ref="AE83">IFERROR(
(AVERAGE((IF(DATOS_[[Sexo]:[Sexo]]=$B83,IF(DATOS_[[AGRUP. VALOR. PTO.]:[AGRUP. VALOR. PTO.]]=$B81,IF(DATOS_[[Check Periodo Ref.]:[Check Periodo Ref.]]="Dentro",IF(DATOS_[[Check Equiparado]:[Check Equiparado]]="Sí",IF(DATOS!AZ$5="Sí",(1/DATOS_[[% anualiz]:[% anualiz]]),1)*IF(DATOS!AZ$4="Sí",1/DATOS_[[% normaliz]:[% normaliz]],1)*(DATOS_[Conc.Sal.22])))))))),
0)</f>
        <v>0</v>
      </c>
      <c r="AF83" s="196">
        <f t="array" ref="AF83">IFERROR(
(AVERAGE((IF(DATOS_[[Sexo]:[Sexo]]=$B83,IF(DATOS_[[AGRUP. VALOR. PTO.]:[AGRUP. VALOR. PTO.]]=$B81,IF(DATOS_[[Check Periodo Ref.]:[Check Periodo Ref.]]="Dentro",IF(DATOS_[[Check Equiparado]:[Check Equiparado]]="Sí",IF(DATOS!BA$5="Sí",(1/DATOS_[[% anualiz]:[% anualiz]]),1)*IF(DATOS!BA$4="Sí",1/DATOS_[[% normaliz]:[% normaliz]],1)*(DATOS_[Conc.Sal.23])))))))),
0)</f>
        <v>0</v>
      </c>
      <c r="AG83" s="196">
        <f t="array" ref="AG83">IFERROR(
(AVERAGE((IF(DATOS_[[Sexo]:[Sexo]]=$B83,IF(DATOS_[[AGRUP. VALOR. PTO.]:[AGRUP. VALOR. PTO.]]=$B81,IF(DATOS_[[Check Periodo Ref.]:[Check Periodo Ref.]]="Dentro",IF(DATOS_[[Check Equiparado]:[Check Equiparado]]="Sí",IF(DATOS!BB$5="Sí",(1/DATOS_[[% anualiz]:[% anualiz]]),1)*IF(DATOS!BB$4="Sí",1/DATOS_[[% normaliz]:[% normaliz]],1)*(DATOS_[Conc.Sal.24])))))))),
0)</f>
        <v>0</v>
      </c>
      <c r="AH83" s="196">
        <f t="array" ref="AH83">IFERROR(
(AVERAGE((IF(DATOS_[[Sexo]:[Sexo]]=$B83,IF(DATOS_[[AGRUP. VALOR. PTO.]:[AGRUP. VALOR. PTO.]]=$B81,IF(DATOS_[[Check Periodo Ref.]:[Check Periodo Ref.]]="Dentro",IF(DATOS_[[Check Equiparado]:[Check Equiparado]]="Sí",IF(DATOS!BC$5="Sí",(1/DATOS_[[% anualiz]:[% anualiz]]),1)*IF(DATOS!BC$4="Sí",1/DATOS_[[% normaliz]:[% normaliz]],1)*(DATOS_[Conc.Sal.25])))))))),
0)</f>
        <v>0</v>
      </c>
      <c r="AI83" s="196">
        <f t="array" ref="AI83">IFERROR(
(AVERAGE((IF(DATOS_[[Sexo]:[Sexo]]=$B83,IF(DATOS_[[AGRUP. VALOR. PTO.]:[AGRUP. VALOR. PTO.]]=$B81,IF(DATOS_[[Check Periodo Ref.]:[Check Periodo Ref.]]="Dentro",IF(DATOS_[[Check Equiparado]:[Check Equiparado]]="Sí",IF(DATOS!BD$5="Sí",(1/DATOS_[[% anualiz]:[% anualiz]]),1)*IF(DATOS!BD$4="Sí",1/DATOS_[[% normaliz]:[% normaliz]],1)*(DATOS_[Conc.Sal.26])))))))),
0)</f>
        <v>0</v>
      </c>
      <c r="AJ83" s="196">
        <f t="array" ref="AJ83">IFERROR(
(AVERAGE((IF(DATOS_[[Sexo]:[Sexo]]=$B83,IF(DATOS_[[AGRUP. VALOR. PTO.]:[AGRUP. VALOR. PTO.]]=$B81,IF(DATOS_[[Check Periodo Ref.]:[Check Periodo Ref.]]="Dentro",IF(DATOS_[[Check Equiparado]:[Check Equiparado]]="Sí",IF(DATOS!BE$5="Sí",(1/DATOS_[[% anualiz]:[% anualiz]]),1)*IF(DATOS!BE$4="Sí",1/DATOS_[[% normaliz]:[% normaliz]],1)*(DATOS_[Conc.Sal.27])))))))),
0)</f>
        <v>0</v>
      </c>
      <c r="AK83" s="196">
        <f t="array" ref="AK83">IFERROR(
(AVERAGE((IF(DATOS_[[Sexo]:[Sexo]]=$B83,IF(DATOS_[[AGRUP. VALOR. PTO.]:[AGRUP. VALOR. PTO.]]=$B81,IF(DATOS_[[Check Periodo Ref.]:[Check Periodo Ref.]]="Dentro",IF(DATOS_[[Check Equiparado]:[Check Equiparado]]="Sí",IF(DATOS!BF$5="Sí",(1/DATOS_[[% anualiz]:[% anualiz]]),1)*IF(DATOS!BF$4="Sí",1/DATOS_[[% normaliz]:[% normaliz]],1)*(DATOS_[Conc.Sal.28])))))))),
0)</f>
        <v>0</v>
      </c>
      <c r="AL83" s="196">
        <f t="array" ref="AL83">IFERROR(
(AVERAGE((IF(DATOS_[[Sexo]:[Sexo]]=$B83,IF(DATOS_[[AGRUP. VALOR. PTO.]:[AGRUP. VALOR. PTO.]]=$B81,IF(DATOS_[[Check Periodo Ref.]:[Check Periodo Ref.]]="Dentro",IF(DATOS_[[Check Equiparado]:[Check Equiparado]]="Sí",IF(DATOS!BG$5="Sí",(1/DATOS_[[% anualiz]:[% anualiz]]),1)*IF(DATOS!BG$4="Sí",1/DATOS_[[% normaliz]:[% normaliz]],1)*(DATOS_[Conc.Sal.29])))))))),
0)</f>
        <v>0</v>
      </c>
      <c r="AM83" s="196">
        <f t="array" ref="AM83">IFERROR(
(AVERAGE((IF(DATOS_[[Sexo]:[Sexo]]=$B83,IF(DATOS_[[AGRUP. VALOR. PTO.]:[AGRUP. VALOR. PTO.]]=$B81,IF(DATOS_[[Check Periodo Ref.]:[Check Periodo Ref.]]="Dentro",IF(DATOS_[[Check Equiparado]:[Check Equiparado]]="Sí",IF(DATOS!BH$5="Sí",(1/DATOS_[[% anualiz]:[% anualiz]]),1)*IF(DATOS!BH$4="Sí",1/DATOS_[[% normaliz]:[% normaliz]],1)*(DATOS_[Conc.Sal.30])))))))),
0)</f>
        <v>0</v>
      </c>
      <c r="AN83" s="195">
        <f t="array" ref="AN83">IFERROR(
AVERAGE(IF(DATOS_[Sexo]=$B83,IF(DATOS_[[AGRUP. VALOR. PTO.]:[AGRUP. VALOR. PTO.]]=$B81,IF(DATOS_[Check Equiparado]="Sí",IF(DATOS_[Check Periodo Ref.]="Dentro",DATOS_[Tot COMPL.SAL Eq],FALSE))))),
0)</f>
        <v>0</v>
      </c>
      <c r="AO83" s="172">
        <f t="array" ref="AO83">IFERROR(
AVERAGE(IF(DATOS_[Sexo]=$B83,IF(DATOS_[[AGRUP. VALOR. PTO.]:[AGRUP. VALOR. PTO.]]=$B81,IF(DATOS_[Check Equiparado]="Sí",IF(DATOS_[Check Periodo Ref.]="Dentro",DATOS_[TOTAL SALARIO Eq],FALSE))))),
0)</f>
        <v>0</v>
      </c>
      <c r="AP83" s="173">
        <f t="array" ref="AP83">IFERROR(
(AVERAGE((IF(DATOS_[[Sexo]:[Sexo]]=$B83,IF(DATOS_[[AGRUP. VALOR. PTO.]:[AGRUP. VALOR. PTO.]]=$B81,IF(DATOS_[[Check Periodo Ref.]:[Check Periodo Ref.]]="Dentro",IF(DATOS_[[Check Equiparado]:[Check Equiparado]]="Sí",IF(DATOS!BW$5="Sí",(1/DATOS_[[% anualiz]:[% anualiz]]),1)*IF(DATOS!BW$4="Sí",1/DATOS_[[% normaliz]:[% normaliz]],1)*(DATOS_[C.Extra.01])))))))),
0)</f>
        <v>0</v>
      </c>
      <c r="AQ83" s="173">
        <f t="array" ref="AQ83">IFERROR(
(AVERAGE((IF(DATOS_[[Sexo]:[Sexo]]=$B83,IF(DATOS_[[AGRUP. VALOR. PTO.]:[AGRUP. VALOR. PTO.]]=$B81,IF(DATOS_[[Check Periodo Ref.]:[Check Periodo Ref.]]="Dentro",IF(DATOS_[[Check Equiparado]:[Check Equiparado]]="Sí",IF(DATOS!CB$5="Sí",(1/DATOS_[[% anualiz]:[% anualiz]]),1)*IF(DATOS!CB$4="Sí",1/DATOS_[[% normaliz]:[% normaliz]],1)*(DATOS_[C.Extra.06])))))))),
0)</f>
        <v>0</v>
      </c>
      <c r="AR83" s="173">
        <f t="array" ref="AR83">IFERROR(
(AVERAGE((IF(DATOS_[[Sexo]:[Sexo]]=$B83,IF(DATOS_[[AGRUP. VALOR. PTO.]:[AGRUP. VALOR. PTO.]]=$B81,IF(DATOS_[[Check Periodo Ref.]:[Check Periodo Ref.]]="Dentro",IF(DATOS_[[Check Equiparado]:[Check Equiparado]]="Sí",IF(DATOS!CC$5="Sí",(1/DATOS_[[% anualiz]:[% anualiz]]),1)*IF(DATOS!CC$4="Sí",1/DATOS_[[% normaliz]:[% normaliz]],1)*(DATOS_[C.Extra.07])))))))),
0)</f>
        <v>0</v>
      </c>
      <c r="AS83" s="173">
        <f t="array" ref="AS83">IFERROR(
(AVERAGE((IF(DATOS_[[Sexo]:[Sexo]]=$B83,IF(DATOS_[[AGRUP. VALOR. PTO.]:[AGRUP. VALOR. PTO.]]=$B81,IF(DATOS_[[Check Periodo Ref.]:[Check Periodo Ref.]]="Dentro",IF(DATOS_[[Check Equiparado]:[Check Equiparado]]="Sí",IF(DATOS!CD$5="Sí",(1/DATOS_[[% anualiz]:[% anualiz]]),1)*IF(DATOS!CD$4="Sí",1/DATOS_[[% normaliz]:[% normaliz]],1)*(DATOS_[C.Extra.08])))))))),
0)</f>
        <v>0</v>
      </c>
      <c r="AT83" s="173">
        <f t="array" ref="AT83">IFERROR(
(AVERAGE((IF(DATOS_[[Sexo]:[Sexo]]=$B83,IF(DATOS_[[AGRUP. VALOR. PTO.]:[AGRUP. VALOR. PTO.]]=$B81,IF(DATOS_[[Check Periodo Ref.]:[Check Periodo Ref.]]="Dentro",IF(DATOS_[[Check Equiparado]:[Check Equiparado]]="Sí",IF(DATOS!CG$5="Sí",(1/DATOS_[[% anualiz]:[% anualiz]]),1)*IF(DATOS!CG$4="Sí",1/DATOS_[[% normaliz]:[% normaliz]],1)*(DATOS_[C.Extra.11])))))))),
0)</f>
        <v>0</v>
      </c>
      <c r="AU83" s="197">
        <f t="array" ref="AU83">IFERROR(
AVERAGE(IF(DATOS_[Sexo]=$B83,IF(DATOS_[[AGRUP. VALOR. PTO.]:[AGRUP. VALOR. PTO.]]=$B81,IF(DATOS_[Check Equiparado]="Sí",IF(DATOS_[Check Periodo Ref.]="Dentro",DATOS_[Tot Extrasalarial Eq],FALSE))))),
0)</f>
        <v>0</v>
      </c>
      <c r="AV83" s="175">
        <f t="array" ref="AV83">IFERROR(
AVERAGE(IF(DATOS_[Sexo]=$B83,IF(DATOS_[[AGRUP. VALOR. PTO.]:[AGRUP. VALOR. PTO.]]=$B81,IF(DATOS_[Check Equiparado]="Sí",IF(DATOS_[Check Periodo Ref.]="Dentro",DATOS_[TOTAL Retrib Eq],FALSE))))),
0)</f>
        <v>0</v>
      </c>
    </row>
    <row r="84" spans="1:48" ht="15.6" thickBot="1" x14ac:dyDescent="0.3">
      <c r="A84" s="133" t="str">
        <f t="shared" ref="A84" si="95">+A85</f>
        <v>[ocultar]</v>
      </c>
      <c r="B84" s="199" t="s">
        <v>272</v>
      </c>
      <c r="C84" s="200"/>
      <c r="D84" s="201"/>
      <c r="E84" s="201"/>
      <c r="F84" s="201"/>
      <c r="G84" s="201"/>
      <c r="H84" s="201"/>
      <c r="I84" s="189" t="str">
        <f t="shared" ref="I84:AV84" si="96">IFERROR((I85-I86)/I85,"")</f>
        <v/>
      </c>
      <c r="J84" s="190" t="str">
        <f t="shared" si="96"/>
        <v/>
      </c>
      <c r="K84" s="191" t="str">
        <f t="shared" si="96"/>
        <v/>
      </c>
      <c r="L84" s="191" t="str">
        <f t="shared" si="96"/>
        <v/>
      </c>
      <c r="M84" s="191" t="str">
        <f t="shared" si="96"/>
        <v/>
      </c>
      <c r="N84" s="192" t="str">
        <f t="shared" si="96"/>
        <v/>
      </c>
      <c r="O84" s="193" t="str">
        <f t="shared" si="96"/>
        <v/>
      </c>
      <c r="P84" s="193" t="str">
        <f t="shared" si="96"/>
        <v/>
      </c>
      <c r="Q84" s="193" t="str">
        <f t="shared" si="96"/>
        <v/>
      </c>
      <c r="R84" s="193" t="str">
        <f t="shared" si="96"/>
        <v/>
      </c>
      <c r="S84" s="193" t="str">
        <f t="shared" si="96"/>
        <v/>
      </c>
      <c r="T84" s="193" t="str">
        <f t="shared" si="96"/>
        <v/>
      </c>
      <c r="U84" s="193" t="str">
        <f t="shared" si="96"/>
        <v/>
      </c>
      <c r="V84" s="193" t="str">
        <f t="shared" si="96"/>
        <v/>
      </c>
      <c r="W84" s="193" t="str">
        <f t="shared" si="96"/>
        <v/>
      </c>
      <c r="X84" s="193" t="str">
        <f t="shared" si="96"/>
        <v/>
      </c>
      <c r="Y84" s="193" t="str">
        <f t="shared" si="96"/>
        <v/>
      </c>
      <c r="Z84" s="193" t="str">
        <f t="shared" si="96"/>
        <v/>
      </c>
      <c r="AA84" s="193" t="str">
        <f t="shared" si="96"/>
        <v/>
      </c>
      <c r="AB84" s="193" t="str">
        <f t="shared" si="96"/>
        <v/>
      </c>
      <c r="AC84" s="193" t="str">
        <f t="shared" si="96"/>
        <v/>
      </c>
      <c r="AD84" s="193" t="str">
        <f t="shared" si="96"/>
        <v/>
      </c>
      <c r="AE84" s="193" t="str">
        <f t="shared" si="96"/>
        <v/>
      </c>
      <c r="AF84" s="193" t="str">
        <f t="shared" si="96"/>
        <v/>
      </c>
      <c r="AG84" s="193" t="str">
        <f t="shared" si="96"/>
        <v/>
      </c>
      <c r="AH84" s="193" t="str">
        <f t="shared" si="96"/>
        <v/>
      </c>
      <c r="AI84" s="193" t="str">
        <f t="shared" si="96"/>
        <v/>
      </c>
      <c r="AJ84" s="193" t="str">
        <f t="shared" si="96"/>
        <v/>
      </c>
      <c r="AK84" s="193" t="str">
        <f t="shared" si="96"/>
        <v/>
      </c>
      <c r="AL84" s="193" t="str">
        <f t="shared" si="96"/>
        <v/>
      </c>
      <c r="AM84" s="193" t="str">
        <f t="shared" si="96"/>
        <v/>
      </c>
      <c r="AN84" s="189" t="str">
        <f t="shared" si="96"/>
        <v/>
      </c>
      <c r="AO84" s="162" t="str">
        <f t="shared" si="96"/>
        <v/>
      </c>
      <c r="AP84" s="163" t="str">
        <f t="shared" si="96"/>
        <v/>
      </c>
      <c r="AQ84" s="163" t="str">
        <f t="shared" si="96"/>
        <v/>
      </c>
      <c r="AR84" s="163" t="str">
        <f t="shared" si="96"/>
        <v/>
      </c>
      <c r="AS84" s="163" t="str">
        <f t="shared" si="96"/>
        <v/>
      </c>
      <c r="AT84" s="163" t="str">
        <f t="shared" si="96"/>
        <v/>
      </c>
      <c r="AU84" s="194" t="str">
        <f t="shared" si="96"/>
        <v/>
      </c>
      <c r="AV84" s="165" t="str">
        <f t="shared" si="96"/>
        <v/>
      </c>
    </row>
    <row r="85" spans="1:48" x14ac:dyDescent="0.25">
      <c r="A85" s="133" t="str">
        <f t="shared" ref="A85" si="97">+IF(C85+C86=0,"[ocultar]","")</f>
        <v>[ocultar]</v>
      </c>
      <c r="B85" s="202" t="s">
        <v>394</v>
      </c>
      <c r="C85" s="203">
        <f t="array" ref="C85">SUM(IF($B85=DATOS_[Sexo],
IF($B84=DATOS_[AGRUP. VALOR. PTO.],
IF("Dentro"=DATOS_[Check Periodo Ref.],
1/(COUNTIFS(DATOS_[Sexo],$B85,DATOS_[AGRUP. VALOR. PTO.],$B84,DATOS_[Check Periodo Ref.],"Dentro",DATOS_[id/cod],DATOS_[id/cod]))))))</f>
        <v>0</v>
      </c>
      <c r="D85" s="204">
        <f>COUNTIFS(DATOS_[AGRUP. VALOR. PTO.],$B84,DATOS_[Sexo],$B85,DATOS_[Check Periodo Ref.],"Dentro")</f>
        <v>0</v>
      </c>
      <c r="E85" s="204">
        <f>COUNTIFS(DATOS_[AGRUP. VALOR. PTO.],$B84,DATOS_[Sexo],$B85,DATOS_[Check Periodo Ref.],"Dentro",DATOS_[Check Nº SC Norm],"Sí")</f>
        <v>0</v>
      </c>
      <c r="F85" s="204">
        <f>COUNTIFS(DATOS_[AGRUP. VALOR. PTO.],$B84,DATOS_[Sexo],$B85,DATOS_[Check Periodo Ref.],"Dentro",DATOS_[Check Nº SC Anualiz],"Sí")</f>
        <v>0</v>
      </c>
      <c r="G85" s="204">
        <f>COUNTIFS(DATOS_[AGRUP. VALOR. PTO.],$B84,DATOS_[Sexo],$B85,DATOS_[Check Periodo Ref.],"Dentro",DATOS_[Check Nº SC Norm y Anualiz],"Sí")</f>
        <v>0</v>
      </c>
      <c r="H85" s="204">
        <f>COUNTIFS(DATOS_[AGRUP. VALOR. PTO.],$B84,DATOS_[Sexo],$B85,DATOS_[Check Periodo Ref.],"Dentro",DATOS_[Check Equiparación],"Sí")</f>
        <v>0</v>
      </c>
      <c r="I85" s="195">
        <f t="array" ref="I85">IFERROR(
AVERAGE(IF(DATOS_[Sexo]=$B85,IF(DATOS_[[AGRUP. VALOR. PTO.]:[AGRUP. VALOR. PTO.]]=$B84,IF(DATOS_[Check Equiparado]="Sí",IF(DATOS_[Check Periodo Ref.]="Dentro",DATOS_[SALARIO BASE Eq],FALSE))))),
0)</f>
        <v>0</v>
      </c>
      <c r="J85" s="196">
        <f t="array" ref="J85">IFERROR(
(AVERAGE((IF(DATOS_[[Sexo]:[Sexo]]=$B85,IF(DATOS_[[AGRUP. VALOR. PTO.]:[AGRUP. VALOR. PTO.]]=$B84,IF(DATOS_[[Check Periodo Ref.]:[Check Periodo Ref.]]="Dentro",IF(DATOS_[[Check Equiparado]:[Check Equiparado]]="Sí",IF(DATOS!AE$5="Sí",(1/DATOS_[[% anualiz]:[% anualiz]]),1)*IF(DATOS!AE$4="Sí",1/DATOS_[[% normaliz]:[% normaliz]],1)*(DATOS_[Conc.Sal.01])))))))),
0)</f>
        <v>0</v>
      </c>
      <c r="K85" s="196">
        <f t="array" ref="K85">IFERROR(
(AVERAGE((IF(DATOS_[[Sexo]:[Sexo]]=$B85,IF(DATOS_[[AGRUP. VALOR. PTO.]:[AGRUP. VALOR. PTO.]]=$B84,IF(DATOS_[[Check Periodo Ref.]:[Check Periodo Ref.]]="Dentro",IF(DATOS_[[Check Equiparado]:[Check Equiparado]]="Sí",IF(DATOS!AF$5="Sí",(1/DATOS_[[% anualiz]:[% anualiz]]),1)*IF(DATOS!AF$4="Sí",1/DATOS_[[% normaliz]:[% normaliz]],1)*(DATOS_[Conc.Sal.02])))))))),
0)</f>
        <v>0</v>
      </c>
      <c r="L85" s="196">
        <f t="array" ref="L85">IFERROR(
(AVERAGE((IF(DATOS_[[Sexo]:[Sexo]]=$B85,IF(DATOS_[[AGRUP. VALOR. PTO.]:[AGRUP. VALOR. PTO.]]=$B84,IF(DATOS_[[Check Periodo Ref.]:[Check Periodo Ref.]]="Dentro",IF(DATOS_[[Check Equiparado]:[Check Equiparado]]="Sí",IF(DATOS!AG$5="Sí",(1/DATOS_[[% anualiz]:[% anualiz]]),1)*IF(DATOS!AG$4="Sí",1/DATOS_[[% normaliz]:[% normaliz]],1)*(DATOS_[Conc.Sal.03])))))))),
0)</f>
        <v>0</v>
      </c>
      <c r="M85" s="196">
        <f t="array" ref="M85">IFERROR(
(AVERAGE((IF(DATOS_[[Sexo]:[Sexo]]=$B85,IF(DATOS_[[AGRUP. VALOR. PTO.]:[AGRUP. VALOR. PTO.]]=$B84,IF(DATOS_[[Check Periodo Ref.]:[Check Periodo Ref.]]="Dentro",IF(DATOS_[[Check Equiparado]:[Check Equiparado]]="Sí",IF(DATOS!AH$5="Sí",(1/DATOS_[[% anualiz]:[% anualiz]]),1)*IF(DATOS!AH$4="Sí",1/DATOS_[[% normaliz]:[% normaliz]],1)*(DATOS_[Conc.Sal.04])))))))),
0)</f>
        <v>0</v>
      </c>
      <c r="N85" s="196">
        <f t="array" ref="N85">IFERROR(
(AVERAGE((IF(DATOS_[[Sexo]:[Sexo]]=$B85,IF(DATOS_[[AGRUP. VALOR. PTO.]:[AGRUP. VALOR. PTO.]]=$B84,IF(DATOS_[[Check Periodo Ref.]:[Check Periodo Ref.]]="Dentro",IF(DATOS_[[Check Equiparado]:[Check Equiparado]]="Sí",IF(DATOS!AI$5="Sí",(1/DATOS_[[% anualiz]:[% anualiz]]),1)*IF(DATOS!AI$4="Sí",1/DATOS_[[% normaliz]:[% normaliz]],1)*(DATOS_[Conc.Sal.05])))))))),
0)</f>
        <v>0</v>
      </c>
      <c r="O85" s="196">
        <f t="array" ref="O85">IFERROR(
(AVERAGE((IF(DATOS_[[Sexo]:[Sexo]]=$B85,IF(DATOS_[[AGRUP. VALOR. PTO.]:[AGRUP. VALOR. PTO.]]=$B84,IF(DATOS_[[Check Periodo Ref.]:[Check Periodo Ref.]]="Dentro",IF(DATOS_[[Check Equiparado]:[Check Equiparado]]="Sí",IF(DATOS!AJ$5="Sí",(1/DATOS_[[% anualiz]:[% anualiz]]),1)*IF(DATOS!AJ$4="Sí",1/DATOS_[[% normaliz]:[% normaliz]],1)*(DATOS_[Conc.Sal.06])))))))),
0)</f>
        <v>0</v>
      </c>
      <c r="P85" s="196">
        <f t="array" ref="P85">IFERROR(
(AVERAGE((IF(DATOS_[[Sexo]:[Sexo]]=$B85,IF(DATOS_[[AGRUP. VALOR. PTO.]:[AGRUP. VALOR. PTO.]]=$B84,IF(DATOS_[[Check Periodo Ref.]:[Check Periodo Ref.]]="Dentro",IF(DATOS_[[Check Equiparado]:[Check Equiparado]]="Sí",IF(DATOS!AK$5="Sí",(1/DATOS_[[% anualiz]:[% anualiz]]),1)*IF(DATOS!AK$4="Sí",1/DATOS_[[% normaliz]:[% normaliz]],1)*(DATOS_[Conc.Sal.07])))))))),
0)</f>
        <v>0</v>
      </c>
      <c r="Q85" s="196">
        <f t="array" ref="Q85">IFERROR(
(AVERAGE((IF(DATOS_[[Sexo]:[Sexo]]=$B85,IF(DATOS_[[AGRUP. VALOR. PTO.]:[AGRUP. VALOR. PTO.]]=$B84,IF(DATOS_[[Check Periodo Ref.]:[Check Periodo Ref.]]="Dentro",IF(DATOS_[[Check Equiparado]:[Check Equiparado]]="Sí",IF(DATOS!AL$5="Sí",(1/DATOS_[[% anualiz]:[% anualiz]]),1)*IF(DATOS!AL$4="Sí",1/DATOS_[[% normaliz]:[% normaliz]],1)*(DATOS_[Conc.Sal.08])))))))),
0)</f>
        <v>0</v>
      </c>
      <c r="R85" s="196">
        <f t="array" ref="R85">IFERROR(
(AVERAGE((IF(DATOS_[[Sexo]:[Sexo]]=$B85,IF(DATOS_[[AGRUP. VALOR. PTO.]:[AGRUP. VALOR. PTO.]]=$B84,IF(DATOS_[[Check Periodo Ref.]:[Check Periodo Ref.]]="Dentro",IF(DATOS_[[Check Equiparado]:[Check Equiparado]]="Sí",IF(DATOS!AM$5="Sí",(1/DATOS_[[% anualiz]:[% anualiz]]),1)*IF(DATOS!AM$4="Sí",1/DATOS_[[% normaliz]:[% normaliz]],1)*(DATOS_[Conc.Sal.09])))))))),
0)</f>
        <v>0</v>
      </c>
      <c r="S85" s="196">
        <f t="array" ref="S85">IFERROR(
(AVERAGE((IF(DATOS_[[Sexo]:[Sexo]]=$B85,IF(DATOS_[[AGRUP. VALOR. PTO.]:[AGRUP. VALOR. PTO.]]=$B84,IF(DATOS_[[Check Periodo Ref.]:[Check Periodo Ref.]]="Dentro",IF(DATOS_[[Check Equiparado]:[Check Equiparado]]="Sí",IF(DATOS!AN$5="Sí",(1/DATOS_[[% anualiz]:[% anualiz]]),1)*IF(DATOS!AN$4="Sí",1/DATOS_[[% normaliz]:[% normaliz]],1)*(DATOS_[Conc.Sal.10])))))))),
0)</f>
        <v>0</v>
      </c>
      <c r="T85" s="196">
        <f t="array" ref="T85">IFERROR(
(AVERAGE((IF(DATOS_[[Sexo]:[Sexo]]=$B85,IF(DATOS_[[AGRUP. VALOR. PTO.]:[AGRUP. VALOR. PTO.]]=$B84,IF(DATOS_[[Check Periodo Ref.]:[Check Periodo Ref.]]="Dentro",IF(DATOS_[[Check Equiparado]:[Check Equiparado]]="Sí",IF(DATOS!AO$5="Sí",(1/DATOS_[[% anualiz]:[% anualiz]]),1)*IF(DATOS!AO$4="Sí",1/DATOS_[[% normaliz]:[% normaliz]],1)*(DATOS_[Conc.Sal.11])))))))),
0)</f>
        <v>0</v>
      </c>
      <c r="U85" s="196">
        <f t="array" ref="U85">IFERROR(
(AVERAGE((IF(DATOS_[[Sexo]:[Sexo]]=$B85,IF(DATOS_[[AGRUP. VALOR. PTO.]:[AGRUP. VALOR. PTO.]]=$B84,IF(DATOS_[[Check Periodo Ref.]:[Check Periodo Ref.]]="Dentro",IF(DATOS_[[Check Equiparado]:[Check Equiparado]]="Sí",IF(DATOS!AP$5="Sí",(1/DATOS_[[% anualiz]:[% anualiz]]),1)*IF(DATOS!AP$4="Sí",1/DATOS_[[% normaliz]:[% normaliz]],1)*(DATOS_[Conc.Sal.12])))))))),
0)</f>
        <v>0</v>
      </c>
      <c r="V85" s="196">
        <f t="array" ref="V85">IFERROR(
(AVERAGE((IF(DATOS_[[Sexo]:[Sexo]]=$B85,IF(DATOS_[[AGRUP. VALOR. PTO.]:[AGRUP. VALOR. PTO.]]=$B84,IF(DATOS_[[Check Periodo Ref.]:[Check Periodo Ref.]]="Dentro",IF(DATOS_[[Check Equiparado]:[Check Equiparado]]="Sí",IF(DATOS!AQ$5="Sí",(1/DATOS_[[% anualiz]:[% anualiz]]),1)*IF(DATOS!AQ$4="Sí",1/DATOS_[[% normaliz]:[% normaliz]],1)*(DATOS_[Conc.Sal.13])))))))),
0)</f>
        <v>0</v>
      </c>
      <c r="W85" s="196">
        <f t="array" ref="W85">IFERROR(
(AVERAGE((IF(DATOS_[[Sexo]:[Sexo]]=$B85,IF(DATOS_[[AGRUP. VALOR. PTO.]:[AGRUP. VALOR. PTO.]]=$B84,IF(DATOS_[[Check Periodo Ref.]:[Check Periodo Ref.]]="Dentro",IF(DATOS_[[Check Equiparado]:[Check Equiparado]]="Sí",IF(DATOS!AR$5="Sí",(1/DATOS_[[% anualiz]:[% anualiz]]),1)*IF(DATOS!AR$4="Sí",1/DATOS_[[% normaliz]:[% normaliz]],1)*(DATOS_[Conc.Sal.14])))))))),
0)</f>
        <v>0</v>
      </c>
      <c r="X85" s="196">
        <f t="array" ref="X85">IFERROR(
(AVERAGE((IF(DATOS_[[Sexo]:[Sexo]]=$B85,IF(DATOS_[[AGRUP. VALOR. PTO.]:[AGRUP. VALOR. PTO.]]=$B84,IF(DATOS_[[Check Periodo Ref.]:[Check Periodo Ref.]]="Dentro",IF(DATOS_[[Check Equiparado]:[Check Equiparado]]="Sí",IF(DATOS!AS$5="Sí",(1/DATOS_[[% anualiz]:[% anualiz]]),1)*IF(DATOS!AS$4="Sí",1/DATOS_[[% normaliz]:[% normaliz]],1)*(DATOS_[Conc.Sal.15])))))))),
0)</f>
        <v>0</v>
      </c>
      <c r="Y85" s="196">
        <f t="array" ref="Y85">IFERROR(
(AVERAGE((IF(DATOS_[[Sexo]:[Sexo]]=$B85,IF(DATOS_[[AGRUP. VALOR. PTO.]:[AGRUP. VALOR. PTO.]]=$B84,IF(DATOS_[[Check Periodo Ref.]:[Check Periodo Ref.]]="Dentro",IF(DATOS_[[Check Equiparado]:[Check Equiparado]]="Sí",IF(DATOS!AT$5="Sí",(1/DATOS_[[% anualiz]:[% anualiz]]),1)*IF(DATOS!AT$4="Sí",1/DATOS_[[% normaliz]:[% normaliz]],1)*(DATOS_[Conc.Sal.16])))))))),
0)</f>
        <v>0</v>
      </c>
      <c r="Z85" s="196">
        <f t="array" ref="Z85">IFERROR(
(AVERAGE((IF(DATOS_[[Sexo]:[Sexo]]=$B85,IF(DATOS_[[AGRUP. VALOR. PTO.]:[AGRUP. VALOR. PTO.]]=$B84,IF(DATOS_[[Check Periodo Ref.]:[Check Periodo Ref.]]="Dentro",IF(DATOS_[[Check Equiparado]:[Check Equiparado]]="Sí",IF(DATOS!AU$5="Sí",(1/DATOS_[[% anualiz]:[% anualiz]]),1)*IF(DATOS!AU$4="Sí",1/DATOS_[[% normaliz]:[% normaliz]],1)*(DATOS_[Conc.Sal.17])))))))),
0)</f>
        <v>0</v>
      </c>
      <c r="AA85" s="196">
        <f t="array" ref="AA85">IFERROR(
(AVERAGE((IF(DATOS_[[Sexo]:[Sexo]]=$B85,IF(DATOS_[[AGRUP. VALOR. PTO.]:[AGRUP. VALOR. PTO.]]=$B84,IF(DATOS_[[Check Periodo Ref.]:[Check Periodo Ref.]]="Dentro",IF(DATOS_[[Check Equiparado]:[Check Equiparado]]="Sí",IF(DATOS!AV$5="Sí",(1/DATOS_[[% anualiz]:[% anualiz]]),1)*IF(DATOS!AV$4="Sí",1/DATOS_[[% normaliz]:[% normaliz]],1)*(DATOS_[Conc.Sal.18])))))))),
0)</f>
        <v>0</v>
      </c>
      <c r="AB85" s="196">
        <f t="array" ref="AB85">IFERROR(
(AVERAGE((IF(DATOS_[[Sexo]:[Sexo]]=$B85,IF(DATOS_[[AGRUP. VALOR. PTO.]:[AGRUP. VALOR. PTO.]]=$B84,IF(DATOS_[[Check Periodo Ref.]:[Check Periodo Ref.]]="Dentro",IF(DATOS_[[Check Equiparado]:[Check Equiparado]]="Sí",IF(DATOS!AW$5="Sí",(1/DATOS_[[% anualiz]:[% anualiz]]),1)*IF(DATOS!AW$4="Sí",1/DATOS_[[% normaliz]:[% normaliz]],1)*(DATOS_[Conc.Sal.19])))))))),
0)</f>
        <v>0</v>
      </c>
      <c r="AC85" s="196">
        <f t="array" ref="AC85">IFERROR(
(AVERAGE((IF(DATOS_[[Sexo]:[Sexo]]=$B85,IF(DATOS_[[AGRUP. VALOR. PTO.]:[AGRUP. VALOR. PTO.]]=$B84,IF(DATOS_[[Check Periodo Ref.]:[Check Periodo Ref.]]="Dentro",IF(DATOS_[[Check Equiparado]:[Check Equiparado]]="Sí",IF(DATOS!AX$5="Sí",(1/DATOS_[[% anualiz]:[% anualiz]]),1)*IF(DATOS!AX$4="Sí",1/DATOS_[[% normaliz]:[% normaliz]],1)*(DATOS_[Conc.Sal.20])))))))),
0)</f>
        <v>0</v>
      </c>
      <c r="AD85" s="196">
        <f t="array" ref="AD85">IFERROR(
(AVERAGE((IF(DATOS_[[Sexo]:[Sexo]]=$B85,IF(DATOS_[[AGRUP. VALOR. PTO.]:[AGRUP. VALOR. PTO.]]=$B84,IF(DATOS_[[Check Periodo Ref.]:[Check Periodo Ref.]]="Dentro",IF(DATOS_[[Check Equiparado]:[Check Equiparado]]="Sí",IF(DATOS!AY$5="Sí",(1/DATOS_[[% anualiz]:[% anualiz]]),1)*IF(DATOS!AY$4="Sí",1/DATOS_[[% normaliz]:[% normaliz]],1)*(DATOS_[Conc.Sal.21])))))))),
0)</f>
        <v>0</v>
      </c>
      <c r="AE85" s="196">
        <f t="array" ref="AE85">IFERROR(
(AVERAGE((IF(DATOS_[[Sexo]:[Sexo]]=$B85,IF(DATOS_[[AGRUP. VALOR. PTO.]:[AGRUP. VALOR. PTO.]]=$B84,IF(DATOS_[[Check Periodo Ref.]:[Check Periodo Ref.]]="Dentro",IF(DATOS_[[Check Equiparado]:[Check Equiparado]]="Sí",IF(DATOS!AZ$5="Sí",(1/DATOS_[[% anualiz]:[% anualiz]]),1)*IF(DATOS!AZ$4="Sí",1/DATOS_[[% normaliz]:[% normaliz]],1)*(DATOS_[Conc.Sal.22])))))))),
0)</f>
        <v>0</v>
      </c>
      <c r="AF85" s="196">
        <f t="array" ref="AF85">IFERROR(
(AVERAGE((IF(DATOS_[[Sexo]:[Sexo]]=$B85,IF(DATOS_[[AGRUP. VALOR. PTO.]:[AGRUP. VALOR. PTO.]]=$B84,IF(DATOS_[[Check Periodo Ref.]:[Check Periodo Ref.]]="Dentro",IF(DATOS_[[Check Equiparado]:[Check Equiparado]]="Sí",IF(DATOS!BA$5="Sí",(1/DATOS_[[% anualiz]:[% anualiz]]),1)*IF(DATOS!BA$4="Sí",1/DATOS_[[% normaliz]:[% normaliz]],1)*(DATOS_[Conc.Sal.23])))))))),
0)</f>
        <v>0</v>
      </c>
      <c r="AG85" s="196">
        <f t="array" ref="AG85">IFERROR(
(AVERAGE((IF(DATOS_[[Sexo]:[Sexo]]=$B85,IF(DATOS_[[AGRUP. VALOR. PTO.]:[AGRUP. VALOR. PTO.]]=$B84,IF(DATOS_[[Check Periodo Ref.]:[Check Periodo Ref.]]="Dentro",IF(DATOS_[[Check Equiparado]:[Check Equiparado]]="Sí",IF(DATOS!BB$5="Sí",(1/DATOS_[[% anualiz]:[% anualiz]]),1)*IF(DATOS!BB$4="Sí",1/DATOS_[[% normaliz]:[% normaliz]],1)*(DATOS_[Conc.Sal.24])))))))),
0)</f>
        <v>0</v>
      </c>
      <c r="AH85" s="196">
        <f t="array" ref="AH85">IFERROR(
(AVERAGE((IF(DATOS_[[Sexo]:[Sexo]]=$B85,IF(DATOS_[[AGRUP. VALOR. PTO.]:[AGRUP. VALOR. PTO.]]=$B84,IF(DATOS_[[Check Periodo Ref.]:[Check Periodo Ref.]]="Dentro",IF(DATOS_[[Check Equiparado]:[Check Equiparado]]="Sí",IF(DATOS!BC$5="Sí",(1/DATOS_[[% anualiz]:[% anualiz]]),1)*IF(DATOS!BC$4="Sí",1/DATOS_[[% normaliz]:[% normaliz]],1)*(DATOS_[Conc.Sal.25])))))))),
0)</f>
        <v>0</v>
      </c>
      <c r="AI85" s="196">
        <f t="array" ref="AI85">IFERROR(
(AVERAGE((IF(DATOS_[[Sexo]:[Sexo]]=$B85,IF(DATOS_[[AGRUP. VALOR. PTO.]:[AGRUP. VALOR. PTO.]]=$B84,IF(DATOS_[[Check Periodo Ref.]:[Check Periodo Ref.]]="Dentro",IF(DATOS_[[Check Equiparado]:[Check Equiparado]]="Sí",IF(DATOS!BD$5="Sí",(1/DATOS_[[% anualiz]:[% anualiz]]),1)*IF(DATOS!BD$4="Sí",1/DATOS_[[% normaliz]:[% normaliz]],1)*(DATOS_[Conc.Sal.26])))))))),
0)</f>
        <v>0</v>
      </c>
      <c r="AJ85" s="196">
        <f t="array" ref="AJ85">IFERROR(
(AVERAGE((IF(DATOS_[[Sexo]:[Sexo]]=$B85,IF(DATOS_[[AGRUP. VALOR. PTO.]:[AGRUP. VALOR. PTO.]]=$B84,IF(DATOS_[[Check Periodo Ref.]:[Check Periodo Ref.]]="Dentro",IF(DATOS_[[Check Equiparado]:[Check Equiparado]]="Sí",IF(DATOS!BE$5="Sí",(1/DATOS_[[% anualiz]:[% anualiz]]),1)*IF(DATOS!BE$4="Sí",1/DATOS_[[% normaliz]:[% normaliz]],1)*(DATOS_[Conc.Sal.27])))))))),
0)</f>
        <v>0</v>
      </c>
      <c r="AK85" s="196">
        <f t="array" ref="AK85">IFERROR(
(AVERAGE((IF(DATOS_[[Sexo]:[Sexo]]=$B85,IF(DATOS_[[AGRUP. VALOR. PTO.]:[AGRUP. VALOR. PTO.]]=$B84,IF(DATOS_[[Check Periodo Ref.]:[Check Periodo Ref.]]="Dentro",IF(DATOS_[[Check Equiparado]:[Check Equiparado]]="Sí",IF(DATOS!BF$5="Sí",(1/DATOS_[[% anualiz]:[% anualiz]]),1)*IF(DATOS!BF$4="Sí",1/DATOS_[[% normaliz]:[% normaliz]],1)*(DATOS_[Conc.Sal.28])))))))),
0)</f>
        <v>0</v>
      </c>
      <c r="AL85" s="196">
        <f t="array" ref="AL85">IFERROR(
(AVERAGE((IF(DATOS_[[Sexo]:[Sexo]]=$B85,IF(DATOS_[[AGRUP. VALOR. PTO.]:[AGRUP. VALOR. PTO.]]=$B84,IF(DATOS_[[Check Periodo Ref.]:[Check Periodo Ref.]]="Dentro",IF(DATOS_[[Check Equiparado]:[Check Equiparado]]="Sí",IF(DATOS!BG$5="Sí",(1/DATOS_[[% anualiz]:[% anualiz]]),1)*IF(DATOS!BG$4="Sí",1/DATOS_[[% normaliz]:[% normaliz]],1)*(DATOS_[Conc.Sal.29])))))))),
0)</f>
        <v>0</v>
      </c>
      <c r="AM85" s="196">
        <f t="array" ref="AM85">IFERROR(
(AVERAGE((IF(DATOS_[[Sexo]:[Sexo]]=$B85,IF(DATOS_[[AGRUP. VALOR. PTO.]:[AGRUP. VALOR. PTO.]]=$B84,IF(DATOS_[[Check Periodo Ref.]:[Check Periodo Ref.]]="Dentro",IF(DATOS_[[Check Equiparado]:[Check Equiparado]]="Sí",IF(DATOS!BH$5="Sí",(1/DATOS_[[% anualiz]:[% anualiz]]),1)*IF(DATOS!BH$4="Sí",1/DATOS_[[% normaliz]:[% normaliz]],1)*(DATOS_[Conc.Sal.30])))))))),
0)</f>
        <v>0</v>
      </c>
      <c r="AN85" s="195">
        <f t="array" ref="AN85">IFERROR(
AVERAGE(IF(DATOS_[Sexo]=$B85,IF(DATOS_[[AGRUP. VALOR. PTO.]:[AGRUP. VALOR. PTO.]]=$B84,IF(DATOS_[Check Equiparado]="Sí",IF(DATOS_[Check Periodo Ref.]="Dentro",DATOS_[Tot COMPL.SAL Eq],FALSE))))),
0)</f>
        <v>0</v>
      </c>
      <c r="AO85" s="172">
        <f t="array" ref="AO85">IFERROR(
AVERAGE(IF(DATOS_[Sexo]=$B85,IF(DATOS_[[AGRUP. VALOR. PTO.]:[AGRUP. VALOR. PTO.]]=$B84,IF(DATOS_[Check Equiparado]="Sí",IF(DATOS_[Check Periodo Ref.]="Dentro",DATOS_[TOTAL SALARIO Eq],FALSE))))),
0)</f>
        <v>0</v>
      </c>
      <c r="AP85" s="173">
        <f t="array" ref="AP85">IFERROR(
(AVERAGE((IF(DATOS_[[Sexo]:[Sexo]]=$B85,IF(DATOS_[[AGRUP. VALOR. PTO.]:[AGRUP. VALOR. PTO.]]=$B84,IF(DATOS_[[Check Periodo Ref.]:[Check Periodo Ref.]]="Dentro",IF(DATOS_[[Check Equiparado]:[Check Equiparado]]="Sí",IF(DATOS!BW$5="Sí",(1/DATOS_[[% anualiz]:[% anualiz]]),1)*IF(DATOS!BW$4="Sí",1/DATOS_[[% normaliz]:[% normaliz]],1)*(DATOS_[C.Extra.01])))))))),
0)</f>
        <v>0</v>
      </c>
      <c r="AQ85" s="173">
        <f t="array" ref="AQ85">IFERROR(
(AVERAGE((IF(DATOS_[[Sexo]:[Sexo]]=$B85,IF(DATOS_[[AGRUP. VALOR. PTO.]:[AGRUP. VALOR. PTO.]]=$B84,IF(DATOS_[[Check Periodo Ref.]:[Check Periodo Ref.]]="Dentro",IF(DATOS_[[Check Equiparado]:[Check Equiparado]]="Sí",IF(DATOS!CB$5="Sí",(1/DATOS_[[% anualiz]:[% anualiz]]),1)*IF(DATOS!CB$4="Sí",1/DATOS_[[% normaliz]:[% normaliz]],1)*(DATOS_[C.Extra.06])))))))),
0)</f>
        <v>0</v>
      </c>
      <c r="AR85" s="173">
        <f t="array" ref="AR85">IFERROR(
(AVERAGE((IF(DATOS_[[Sexo]:[Sexo]]=$B85,IF(DATOS_[[AGRUP. VALOR. PTO.]:[AGRUP. VALOR. PTO.]]=$B84,IF(DATOS_[[Check Periodo Ref.]:[Check Periodo Ref.]]="Dentro",IF(DATOS_[[Check Equiparado]:[Check Equiparado]]="Sí",IF(DATOS!CC$5="Sí",(1/DATOS_[[% anualiz]:[% anualiz]]),1)*IF(DATOS!CC$4="Sí",1/DATOS_[[% normaliz]:[% normaliz]],1)*(DATOS_[C.Extra.07])))))))),
0)</f>
        <v>0</v>
      </c>
      <c r="AS85" s="173">
        <f t="array" ref="AS85">IFERROR(
(AVERAGE((IF(DATOS_[[Sexo]:[Sexo]]=$B85,IF(DATOS_[[AGRUP. VALOR. PTO.]:[AGRUP. VALOR. PTO.]]=$B84,IF(DATOS_[[Check Periodo Ref.]:[Check Periodo Ref.]]="Dentro",IF(DATOS_[[Check Equiparado]:[Check Equiparado]]="Sí",IF(DATOS!CD$5="Sí",(1/DATOS_[[% anualiz]:[% anualiz]]),1)*IF(DATOS!CD$4="Sí",1/DATOS_[[% normaliz]:[% normaliz]],1)*(DATOS_[C.Extra.08])))))))),
0)</f>
        <v>0</v>
      </c>
      <c r="AT85" s="173">
        <f t="array" ref="AT85">IFERROR(
(AVERAGE((IF(DATOS_[[Sexo]:[Sexo]]=$B85,IF(DATOS_[[AGRUP. VALOR. PTO.]:[AGRUP. VALOR. PTO.]]=$B84,IF(DATOS_[[Check Periodo Ref.]:[Check Periodo Ref.]]="Dentro",IF(DATOS_[[Check Equiparado]:[Check Equiparado]]="Sí",IF(DATOS!CG$5="Sí",(1/DATOS_[[% anualiz]:[% anualiz]]),1)*IF(DATOS!CG$4="Sí",1/DATOS_[[% normaliz]:[% normaliz]],1)*(DATOS_[C.Extra.11])))))))),
0)</f>
        <v>0</v>
      </c>
      <c r="AU85" s="197">
        <f t="array" ref="AU85">IFERROR(
AVERAGE(IF(DATOS_[Sexo]=$B85,IF(DATOS_[[AGRUP. VALOR. PTO.]:[AGRUP. VALOR. PTO.]]=$B84,IF(DATOS_[Check Equiparado]="Sí",IF(DATOS_[Check Periodo Ref.]="Dentro",DATOS_[Tot Extrasalarial Eq],FALSE))))),
0)</f>
        <v>0</v>
      </c>
      <c r="AV85" s="175">
        <f t="array" ref="AV85">IFERROR(
AVERAGE(IF(DATOS_[Sexo]=$B85,IF(DATOS_[[AGRUP. VALOR. PTO.]:[AGRUP. VALOR. PTO.]]=$B84,IF(DATOS_[Check Equiparado]="Sí",IF(DATOS_[Check Periodo Ref.]="Dentro",DATOS_[TOTAL Retrib Eq],FALSE))))),
0)</f>
        <v>0</v>
      </c>
    </row>
    <row r="86" spans="1:48" x14ac:dyDescent="0.25">
      <c r="A86" s="133" t="str">
        <f t="shared" ref="A86" si="98">+A85</f>
        <v>[ocultar]</v>
      </c>
      <c r="B86" s="202" t="s">
        <v>521</v>
      </c>
      <c r="C86" s="203">
        <f t="array" ref="C86">SUM(IF($B86=DATOS_[Sexo],
IF($B84=DATOS_[AGRUP. VALOR. PTO.],
IF("Dentro"=DATOS_[Check Periodo Ref.],
1/(COUNTIFS(DATOS_[Sexo],$B86,DATOS_[AGRUP. VALOR. PTO.],$B84,DATOS_[Check Periodo Ref.],"Dentro",DATOS_[id/cod],DATOS_[id/cod]))))))</f>
        <v>0</v>
      </c>
      <c r="D86" s="204">
        <f>COUNTIFS(DATOS_[AGRUP. VALOR. PTO.],$B84,DATOS_[Sexo],$B86,DATOS_[Check Periodo Ref.],"Dentro")</f>
        <v>0</v>
      </c>
      <c r="E86" s="204">
        <f>COUNTIFS(DATOS_[AGRUP. VALOR. PTO.],$B84,DATOS_[Sexo],$B86,DATOS_[Check Periodo Ref.],"Dentro",DATOS_[Check Nº SC Norm],"Sí")</f>
        <v>0</v>
      </c>
      <c r="F86" s="204">
        <f>COUNTIFS(DATOS_[AGRUP. VALOR. PTO.],$B84,DATOS_[Sexo],$B86,DATOS_[Check Periodo Ref.],"Dentro",DATOS_[Check Nº SC Anualiz],"Sí")</f>
        <v>0</v>
      </c>
      <c r="G86" s="204">
        <f>COUNTIFS(DATOS_[AGRUP. VALOR. PTO.],$B84,DATOS_[Sexo],$B86,DATOS_[Check Periodo Ref.],"Dentro",DATOS_[Check Nº SC Norm y Anualiz],"Sí")</f>
        <v>0</v>
      </c>
      <c r="H86" s="204">
        <f>COUNTIFS(DATOS_[AGRUP. VALOR. PTO.],$B84,DATOS_[Sexo],$B86,DATOS_[Check Periodo Ref.],"Dentro",DATOS_[Check Equiparación],"Sí")</f>
        <v>0</v>
      </c>
      <c r="I86" s="195" cm="1">
        <f t="array" ref="I86">IFERROR(
AVERAGE(IF(DATOS_[Sexo]=$B86,IF(DATOS_[[AGRUP. VALOR. PTO.]:[AGRUP. VALOR. PTO.]]=$B84,IF(DATOS_[Check Equiparado]="Sí",IF(DATOS_[Check Periodo Ref.]="Dentro",DATOS_[SALARIO BASE Eq],FALSE))))),
0)</f>
        <v>0</v>
      </c>
      <c r="J86" s="196">
        <f t="array" ref="J86">IFERROR(
(AVERAGE((IF(DATOS_[[Sexo]:[Sexo]]=$B86,IF(DATOS_[[AGRUP. VALOR. PTO.]:[AGRUP. VALOR. PTO.]]=$B84,IF(DATOS_[[Check Periodo Ref.]:[Check Periodo Ref.]]="Dentro",IF(DATOS_[[Check Equiparado]:[Check Equiparado]]="Sí",IF(DATOS!AE$5="Sí",(1/DATOS_[[% anualiz]:[% anualiz]]),1)*IF(DATOS!AE$4="Sí",1/DATOS_[[% normaliz]:[% normaliz]],1)*(DATOS_[Conc.Sal.01])))))))),
0)</f>
        <v>0</v>
      </c>
      <c r="K86" s="196">
        <f t="array" ref="K86">IFERROR(
(AVERAGE((IF(DATOS_[[Sexo]:[Sexo]]=$B86,IF(DATOS_[[AGRUP. VALOR. PTO.]:[AGRUP. VALOR. PTO.]]=$B84,IF(DATOS_[[Check Periodo Ref.]:[Check Periodo Ref.]]="Dentro",IF(DATOS_[[Check Equiparado]:[Check Equiparado]]="Sí",IF(DATOS!AF$5="Sí",(1/DATOS_[[% anualiz]:[% anualiz]]),1)*IF(DATOS!AF$4="Sí",1/DATOS_[[% normaliz]:[% normaliz]],1)*(DATOS_[Conc.Sal.02])))))))),
0)</f>
        <v>0</v>
      </c>
      <c r="L86" s="196">
        <f t="array" ref="L86">IFERROR(
(AVERAGE((IF(DATOS_[[Sexo]:[Sexo]]=$B86,IF(DATOS_[[AGRUP. VALOR. PTO.]:[AGRUP. VALOR. PTO.]]=$B84,IF(DATOS_[[Check Periodo Ref.]:[Check Periodo Ref.]]="Dentro",IF(DATOS_[[Check Equiparado]:[Check Equiparado]]="Sí",IF(DATOS!AG$5="Sí",(1/DATOS_[[% anualiz]:[% anualiz]]),1)*IF(DATOS!AG$4="Sí",1/DATOS_[[% normaliz]:[% normaliz]],1)*(DATOS_[Conc.Sal.03])))))))),
0)</f>
        <v>0</v>
      </c>
      <c r="M86" s="196">
        <f t="array" ref="M86">IFERROR(
(AVERAGE((IF(DATOS_[[Sexo]:[Sexo]]=$B86,IF(DATOS_[[AGRUP. VALOR. PTO.]:[AGRUP. VALOR. PTO.]]=$B84,IF(DATOS_[[Check Periodo Ref.]:[Check Periodo Ref.]]="Dentro",IF(DATOS_[[Check Equiparado]:[Check Equiparado]]="Sí",IF(DATOS!AH$5="Sí",(1/DATOS_[[% anualiz]:[% anualiz]]),1)*IF(DATOS!AH$4="Sí",1/DATOS_[[% normaliz]:[% normaliz]],1)*(DATOS_[Conc.Sal.04])))))))),
0)</f>
        <v>0</v>
      </c>
      <c r="N86" s="196">
        <f t="array" ref="N86">IFERROR(
(AVERAGE((IF(DATOS_[[Sexo]:[Sexo]]=$B86,IF(DATOS_[[AGRUP. VALOR. PTO.]:[AGRUP. VALOR. PTO.]]=$B84,IF(DATOS_[[Check Periodo Ref.]:[Check Periodo Ref.]]="Dentro",IF(DATOS_[[Check Equiparado]:[Check Equiparado]]="Sí",IF(DATOS!AI$5="Sí",(1/DATOS_[[% anualiz]:[% anualiz]]),1)*IF(DATOS!AI$4="Sí",1/DATOS_[[% normaliz]:[% normaliz]],1)*(DATOS_[Conc.Sal.05])))))))),
0)</f>
        <v>0</v>
      </c>
      <c r="O86" s="196">
        <f t="array" ref="O86">IFERROR(
(AVERAGE((IF(DATOS_[[Sexo]:[Sexo]]=$B86,IF(DATOS_[[AGRUP. VALOR. PTO.]:[AGRUP. VALOR. PTO.]]=$B84,IF(DATOS_[[Check Periodo Ref.]:[Check Periodo Ref.]]="Dentro",IF(DATOS_[[Check Equiparado]:[Check Equiparado]]="Sí",IF(DATOS!AJ$5="Sí",(1/DATOS_[[% anualiz]:[% anualiz]]),1)*IF(DATOS!AJ$4="Sí",1/DATOS_[[% normaliz]:[% normaliz]],1)*(DATOS_[Conc.Sal.06])))))))),
0)</f>
        <v>0</v>
      </c>
      <c r="P86" s="196">
        <f t="array" ref="P86">IFERROR(
(AVERAGE((IF(DATOS_[[Sexo]:[Sexo]]=$B86,IF(DATOS_[[AGRUP. VALOR. PTO.]:[AGRUP. VALOR. PTO.]]=$B84,IF(DATOS_[[Check Periodo Ref.]:[Check Periodo Ref.]]="Dentro",IF(DATOS_[[Check Equiparado]:[Check Equiparado]]="Sí",IF(DATOS!AK$5="Sí",(1/DATOS_[[% anualiz]:[% anualiz]]),1)*IF(DATOS!AK$4="Sí",1/DATOS_[[% normaliz]:[% normaliz]],1)*(DATOS_[Conc.Sal.07])))))))),
0)</f>
        <v>0</v>
      </c>
      <c r="Q86" s="196">
        <f t="array" ref="Q86">IFERROR(
(AVERAGE((IF(DATOS_[[Sexo]:[Sexo]]=$B86,IF(DATOS_[[AGRUP. VALOR. PTO.]:[AGRUP. VALOR. PTO.]]=$B84,IF(DATOS_[[Check Periodo Ref.]:[Check Periodo Ref.]]="Dentro",IF(DATOS_[[Check Equiparado]:[Check Equiparado]]="Sí",IF(DATOS!AL$5="Sí",(1/DATOS_[[% anualiz]:[% anualiz]]),1)*IF(DATOS!AL$4="Sí",1/DATOS_[[% normaliz]:[% normaliz]],1)*(DATOS_[Conc.Sal.08])))))))),
0)</f>
        <v>0</v>
      </c>
      <c r="R86" s="196">
        <f t="array" ref="R86">IFERROR(
(AVERAGE((IF(DATOS_[[Sexo]:[Sexo]]=$B86,IF(DATOS_[[AGRUP. VALOR. PTO.]:[AGRUP. VALOR. PTO.]]=$B84,IF(DATOS_[[Check Periodo Ref.]:[Check Periodo Ref.]]="Dentro",IF(DATOS_[[Check Equiparado]:[Check Equiparado]]="Sí",IF(DATOS!AM$5="Sí",(1/DATOS_[[% anualiz]:[% anualiz]]),1)*IF(DATOS!AM$4="Sí",1/DATOS_[[% normaliz]:[% normaliz]],1)*(DATOS_[Conc.Sal.09])))))))),
0)</f>
        <v>0</v>
      </c>
      <c r="S86" s="196">
        <f t="array" ref="S86">IFERROR(
(AVERAGE((IF(DATOS_[[Sexo]:[Sexo]]=$B86,IF(DATOS_[[AGRUP. VALOR. PTO.]:[AGRUP. VALOR. PTO.]]=$B84,IF(DATOS_[[Check Periodo Ref.]:[Check Periodo Ref.]]="Dentro",IF(DATOS_[[Check Equiparado]:[Check Equiparado]]="Sí",IF(DATOS!AN$5="Sí",(1/DATOS_[[% anualiz]:[% anualiz]]),1)*IF(DATOS!AN$4="Sí",1/DATOS_[[% normaliz]:[% normaliz]],1)*(DATOS_[Conc.Sal.10])))))))),
0)</f>
        <v>0</v>
      </c>
      <c r="T86" s="196">
        <f t="array" ref="T86">IFERROR(
(AVERAGE((IF(DATOS_[[Sexo]:[Sexo]]=$B86,IF(DATOS_[[AGRUP. VALOR. PTO.]:[AGRUP. VALOR. PTO.]]=$B84,IF(DATOS_[[Check Periodo Ref.]:[Check Periodo Ref.]]="Dentro",IF(DATOS_[[Check Equiparado]:[Check Equiparado]]="Sí",IF(DATOS!AO$5="Sí",(1/DATOS_[[% anualiz]:[% anualiz]]),1)*IF(DATOS!AO$4="Sí",1/DATOS_[[% normaliz]:[% normaliz]],1)*(DATOS_[Conc.Sal.11])))))))),
0)</f>
        <v>0</v>
      </c>
      <c r="U86" s="196">
        <f t="array" ref="U86">IFERROR(
(AVERAGE((IF(DATOS_[[Sexo]:[Sexo]]=$B86,IF(DATOS_[[AGRUP. VALOR. PTO.]:[AGRUP. VALOR. PTO.]]=$B84,IF(DATOS_[[Check Periodo Ref.]:[Check Periodo Ref.]]="Dentro",IF(DATOS_[[Check Equiparado]:[Check Equiparado]]="Sí",IF(DATOS!AP$5="Sí",(1/DATOS_[[% anualiz]:[% anualiz]]),1)*IF(DATOS!AP$4="Sí",1/DATOS_[[% normaliz]:[% normaliz]],1)*(DATOS_[Conc.Sal.12])))))))),
0)</f>
        <v>0</v>
      </c>
      <c r="V86" s="196">
        <f t="array" ref="V86">IFERROR(
(AVERAGE((IF(DATOS_[[Sexo]:[Sexo]]=$B86,IF(DATOS_[[AGRUP. VALOR. PTO.]:[AGRUP. VALOR. PTO.]]=$B84,IF(DATOS_[[Check Periodo Ref.]:[Check Periodo Ref.]]="Dentro",IF(DATOS_[[Check Equiparado]:[Check Equiparado]]="Sí",IF(DATOS!AQ$5="Sí",(1/DATOS_[[% anualiz]:[% anualiz]]),1)*IF(DATOS!AQ$4="Sí",1/DATOS_[[% normaliz]:[% normaliz]],1)*(DATOS_[Conc.Sal.13])))))))),
0)</f>
        <v>0</v>
      </c>
      <c r="W86" s="196">
        <f t="array" ref="W86">IFERROR(
(AVERAGE((IF(DATOS_[[Sexo]:[Sexo]]=$B86,IF(DATOS_[[AGRUP. VALOR. PTO.]:[AGRUP. VALOR. PTO.]]=$B84,IF(DATOS_[[Check Periodo Ref.]:[Check Periodo Ref.]]="Dentro",IF(DATOS_[[Check Equiparado]:[Check Equiparado]]="Sí",IF(DATOS!AR$5="Sí",(1/DATOS_[[% anualiz]:[% anualiz]]),1)*IF(DATOS!AR$4="Sí",1/DATOS_[[% normaliz]:[% normaliz]],1)*(DATOS_[Conc.Sal.14])))))))),
0)</f>
        <v>0</v>
      </c>
      <c r="X86" s="196">
        <f t="array" ref="X86">IFERROR(
(AVERAGE((IF(DATOS_[[Sexo]:[Sexo]]=$B86,IF(DATOS_[[AGRUP. VALOR. PTO.]:[AGRUP. VALOR. PTO.]]=$B84,IF(DATOS_[[Check Periodo Ref.]:[Check Periodo Ref.]]="Dentro",IF(DATOS_[[Check Equiparado]:[Check Equiparado]]="Sí",IF(DATOS!AS$5="Sí",(1/DATOS_[[% anualiz]:[% anualiz]]),1)*IF(DATOS!AS$4="Sí",1/DATOS_[[% normaliz]:[% normaliz]],1)*(DATOS_[Conc.Sal.15])))))))),
0)</f>
        <v>0</v>
      </c>
      <c r="Y86" s="196">
        <f t="array" ref="Y86">IFERROR(
(AVERAGE((IF(DATOS_[[Sexo]:[Sexo]]=$B86,IF(DATOS_[[AGRUP. VALOR. PTO.]:[AGRUP. VALOR. PTO.]]=$B84,IF(DATOS_[[Check Periodo Ref.]:[Check Periodo Ref.]]="Dentro",IF(DATOS_[[Check Equiparado]:[Check Equiparado]]="Sí",IF(DATOS!AT$5="Sí",(1/DATOS_[[% anualiz]:[% anualiz]]),1)*IF(DATOS!AT$4="Sí",1/DATOS_[[% normaliz]:[% normaliz]],1)*(DATOS_[Conc.Sal.16])))))))),
0)</f>
        <v>0</v>
      </c>
      <c r="Z86" s="196">
        <f t="array" ref="Z86">IFERROR(
(AVERAGE((IF(DATOS_[[Sexo]:[Sexo]]=$B86,IF(DATOS_[[AGRUP. VALOR. PTO.]:[AGRUP. VALOR. PTO.]]=$B84,IF(DATOS_[[Check Periodo Ref.]:[Check Periodo Ref.]]="Dentro",IF(DATOS_[[Check Equiparado]:[Check Equiparado]]="Sí",IF(DATOS!AU$5="Sí",(1/DATOS_[[% anualiz]:[% anualiz]]),1)*IF(DATOS!AU$4="Sí",1/DATOS_[[% normaliz]:[% normaliz]],1)*(DATOS_[Conc.Sal.17])))))))),
0)</f>
        <v>0</v>
      </c>
      <c r="AA86" s="196">
        <f t="array" ref="AA86">IFERROR(
(AVERAGE((IF(DATOS_[[Sexo]:[Sexo]]=$B86,IF(DATOS_[[AGRUP. VALOR. PTO.]:[AGRUP. VALOR. PTO.]]=$B84,IF(DATOS_[[Check Periodo Ref.]:[Check Periodo Ref.]]="Dentro",IF(DATOS_[[Check Equiparado]:[Check Equiparado]]="Sí",IF(DATOS!AV$5="Sí",(1/DATOS_[[% anualiz]:[% anualiz]]),1)*IF(DATOS!AV$4="Sí",1/DATOS_[[% normaliz]:[% normaliz]],1)*(DATOS_[Conc.Sal.18])))))))),
0)</f>
        <v>0</v>
      </c>
      <c r="AB86" s="196">
        <f t="array" ref="AB86">IFERROR(
(AVERAGE((IF(DATOS_[[Sexo]:[Sexo]]=$B86,IF(DATOS_[[AGRUP. VALOR. PTO.]:[AGRUP. VALOR. PTO.]]=$B84,IF(DATOS_[[Check Periodo Ref.]:[Check Periodo Ref.]]="Dentro",IF(DATOS_[[Check Equiparado]:[Check Equiparado]]="Sí",IF(DATOS!AW$5="Sí",(1/DATOS_[[% anualiz]:[% anualiz]]),1)*IF(DATOS!AW$4="Sí",1/DATOS_[[% normaliz]:[% normaliz]],1)*(DATOS_[Conc.Sal.19])))))))),
0)</f>
        <v>0</v>
      </c>
      <c r="AC86" s="196">
        <f t="array" ref="AC86">IFERROR(
(AVERAGE((IF(DATOS_[[Sexo]:[Sexo]]=$B86,IF(DATOS_[[AGRUP. VALOR. PTO.]:[AGRUP. VALOR. PTO.]]=$B84,IF(DATOS_[[Check Periodo Ref.]:[Check Periodo Ref.]]="Dentro",IF(DATOS_[[Check Equiparado]:[Check Equiparado]]="Sí",IF(DATOS!AX$5="Sí",(1/DATOS_[[% anualiz]:[% anualiz]]),1)*IF(DATOS!AX$4="Sí",1/DATOS_[[% normaliz]:[% normaliz]],1)*(DATOS_[Conc.Sal.20])))))))),
0)</f>
        <v>0</v>
      </c>
      <c r="AD86" s="196">
        <f t="array" ref="AD86">IFERROR(
(AVERAGE((IF(DATOS_[[Sexo]:[Sexo]]=$B86,IF(DATOS_[[AGRUP. VALOR. PTO.]:[AGRUP. VALOR. PTO.]]=$B84,IF(DATOS_[[Check Periodo Ref.]:[Check Periodo Ref.]]="Dentro",IF(DATOS_[[Check Equiparado]:[Check Equiparado]]="Sí",IF(DATOS!AY$5="Sí",(1/DATOS_[[% anualiz]:[% anualiz]]),1)*IF(DATOS!AY$4="Sí",1/DATOS_[[% normaliz]:[% normaliz]],1)*(DATOS_[Conc.Sal.21])))))))),
0)</f>
        <v>0</v>
      </c>
      <c r="AE86" s="196">
        <f t="array" ref="AE86">IFERROR(
(AVERAGE((IF(DATOS_[[Sexo]:[Sexo]]=$B86,IF(DATOS_[[AGRUP. VALOR. PTO.]:[AGRUP. VALOR. PTO.]]=$B84,IF(DATOS_[[Check Periodo Ref.]:[Check Periodo Ref.]]="Dentro",IF(DATOS_[[Check Equiparado]:[Check Equiparado]]="Sí",IF(DATOS!AZ$5="Sí",(1/DATOS_[[% anualiz]:[% anualiz]]),1)*IF(DATOS!AZ$4="Sí",1/DATOS_[[% normaliz]:[% normaliz]],1)*(DATOS_[Conc.Sal.22])))))))),
0)</f>
        <v>0</v>
      </c>
      <c r="AF86" s="196">
        <f t="array" ref="AF86">IFERROR(
(AVERAGE((IF(DATOS_[[Sexo]:[Sexo]]=$B86,IF(DATOS_[[AGRUP. VALOR. PTO.]:[AGRUP. VALOR. PTO.]]=$B84,IF(DATOS_[[Check Periodo Ref.]:[Check Periodo Ref.]]="Dentro",IF(DATOS_[[Check Equiparado]:[Check Equiparado]]="Sí",IF(DATOS!BA$5="Sí",(1/DATOS_[[% anualiz]:[% anualiz]]),1)*IF(DATOS!BA$4="Sí",1/DATOS_[[% normaliz]:[% normaliz]],1)*(DATOS_[Conc.Sal.23])))))))),
0)</f>
        <v>0</v>
      </c>
      <c r="AG86" s="196">
        <f t="array" ref="AG86">IFERROR(
(AVERAGE((IF(DATOS_[[Sexo]:[Sexo]]=$B86,IF(DATOS_[[AGRUP. VALOR. PTO.]:[AGRUP. VALOR. PTO.]]=$B84,IF(DATOS_[[Check Periodo Ref.]:[Check Periodo Ref.]]="Dentro",IF(DATOS_[[Check Equiparado]:[Check Equiparado]]="Sí",IF(DATOS!BB$5="Sí",(1/DATOS_[[% anualiz]:[% anualiz]]),1)*IF(DATOS!BB$4="Sí",1/DATOS_[[% normaliz]:[% normaliz]],1)*(DATOS_[Conc.Sal.24])))))))),
0)</f>
        <v>0</v>
      </c>
      <c r="AH86" s="196">
        <f t="array" ref="AH86">IFERROR(
(AVERAGE((IF(DATOS_[[Sexo]:[Sexo]]=$B86,IF(DATOS_[[AGRUP. VALOR. PTO.]:[AGRUP. VALOR. PTO.]]=$B84,IF(DATOS_[[Check Periodo Ref.]:[Check Periodo Ref.]]="Dentro",IF(DATOS_[[Check Equiparado]:[Check Equiparado]]="Sí",IF(DATOS!BC$5="Sí",(1/DATOS_[[% anualiz]:[% anualiz]]),1)*IF(DATOS!BC$4="Sí",1/DATOS_[[% normaliz]:[% normaliz]],1)*(DATOS_[Conc.Sal.25])))))))),
0)</f>
        <v>0</v>
      </c>
      <c r="AI86" s="196">
        <f t="array" ref="AI86">IFERROR(
(AVERAGE((IF(DATOS_[[Sexo]:[Sexo]]=$B86,IF(DATOS_[[AGRUP. VALOR. PTO.]:[AGRUP. VALOR. PTO.]]=$B84,IF(DATOS_[[Check Periodo Ref.]:[Check Periodo Ref.]]="Dentro",IF(DATOS_[[Check Equiparado]:[Check Equiparado]]="Sí",IF(DATOS!BD$5="Sí",(1/DATOS_[[% anualiz]:[% anualiz]]),1)*IF(DATOS!BD$4="Sí",1/DATOS_[[% normaliz]:[% normaliz]],1)*(DATOS_[Conc.Sal.26])))))))),
0)</f>
        <v>0</v>
      </c>
      <c r="AJ86" s="196">
        <f t="array" ref="AJ86">IFERROR(
(AVERAGE((IF(DATOS_[[Sexo]:[Sexo]]=$B86,IF(DATOS_[[AGRUP. VALOR. PTO.]:[AGRUP. VALOR. PTO.]]=$B84,IF(DATOS_[[Check Periodo Ref.]:[Check Periodo Ref.]]="Dentro",IF(DATOS_[[Check Equiparado]:[Check Equiparado]]="Sí",IF(DATOS!BE$5="Sí",(1/DATOS_[[% anualiz]:[% anualiz]]),1)*IF(DATOS!BE$4="Sí",1/DATOS_[[% normaliz]:[% normaliz]],1)*(DATOS_[Conc.Sal.27])))))))),
0)</f>
        <v>0</v>
      </c>
      <c r="AK86" s="196">
        <f t="array" ref="AK86">IFERROR(
(AVERAGE((IF(DATOS_[[Sexo]:[Sexo]]=$B86,IF(DATOS_[[AGRUP. VALOR. PTO.]:[AGRUP. VALOR. PTO.]]=$B84,IF(DATOS_[[Check Periodo Ref.]:[Check Periodo Ref.]]="Dentro",IF(DATOS_[[Check Equiparado]:[Check Equiparado]]="Sí",IF(DATOS!BF$5="Sí",(1/DATOS_[[% anualiz]:[% anualiz]]),1)*IF(DATOS!BF$4="Sí",1/DATOS_[[% normaliz]:[% normaliz]],1)*(DATOS_[Conc.Sal.28])))))))),
0)</f>
        <v>0</v>
      </c>
      <c r="AL86" s="196">
        <f t="array" ref="AL86">IFERROR(
(AVERAGE((IF(DATOS_[[Sexo]:[Sexo]]=$B86,IF(DATOS_[[AGRUP. VALOR. PTO.]:[AGRUP. VALOR. PTO.]]=$B84,IF(DATOS_[[Check Periodo Ref.]:[Check Periodo Ref.]]="Dentro",IF(DATOS_[[Check Equiparado]:[Check Equiparado]]="Sí",IF(DATOS!BG$5="Sí",(1/DATOS_[[% anualiz]:[% anualiz]]),1)*IF(DATOS!BG$4="Sí",1/DATOS_[[% normaliz]:[% normaliz]],1)*(DATOS_[Conc.Sal.29])))))))),
0)</f>
        <v>0</v>
      </c>
      <c r="AM86" s="196">
        <f t="array" ref="AM86">IFERROR(
(AVERAGE((IF(DATOS_[[Sexo]:[Sexo]]=$B86,IF(DATOS_[[AGRUP. VALOR. PTO.]:[AGRUP. VALOR. PTO.]]=$B84,IF(DATOS_[[Check Periodo Ref.]:[Check Periodo Ref.]]="Dentro",IF(DATOS_[[Check Equiparado]:[Check Equiparado]]="Sí",IF(DATOS!BH$5="Sí",(1/DATOS_[[% anualiz]:[% anualiz]]),1)*IF(DATOS!BH$4="Sí",1/DATOS_[[% normaliz]:[% normaliz]],1)*(DATOS_[Conc.Sal.30])))))))),
0)</f>
        <v>0</v>
      </c>
      <c r="AN86" s="195">
        <f t="array" ref="AN86">IFERROR(
AVERAGE(IF(DATOS_[Sexo]=$B86,IF(DATOS_[[AGRUP. VALOR. PTO.]:[AGRUP. VALOR. PTO.]]=$B84,IF(DATOS_[Check Equiparado]="Sí",IF(DATOS_[Check Periodo Ref.]="Dentro",DATOS_[Tot COMPL.SAL Eq],FALSE))))),
0)</f>
        <v>0</v>
      </c>
      <c r="AO86" s="172">
        <f t="array" ref="AO86">IFERROR(
AVERAGE(IF(DATOS_[Sexo]=$B86,IF(DATOS_[[AGRUP. VALOR. PTO.]:[AGRUP. VALOR. PTO.]]=$B84,IF(DATOS_[Check Equiparado]="Sí",IF(DATOS_[Check Periodo Ref.]="Dentro",DATOS_[TOTAL SALARIO Eq],FALSE))))),
0)</f>
        <v>0</v>
      </c>
      <c r="AP86" s="173">
        <f t="array" ref="AP86">IFERROR(
(AVERAGE((IF(DATOS_[[Sexo]:[Sexo]]=$B86,IF(DATOS_[[AGRUP. VALOR. PTO.]:[AGRUP. VALOR. PTO.]]=$B84,IF(DATOS_[[Check Periodo Ref.]:[Check Periodo Ref.]]="Dentro",IF(DATOS_[[Check Equiparado]:[Check Equiparado]]="Sí",IF(DATOS!BW$5="Sí",(1/DATOS_[[% anualiz]:[% anualiz]]),1)*IF(DATOS!BW$4="Sí",1/DATOS_[[% normaliz]:[% normaliz]],1)*(DATOS_[C.Extra.01])))))))),
0)</f>
        <v>0</v>
      </c>
      <c r="AQ86" s="173">
        <f t="array" ref="AQ86">IFERROR(
(AVERAGE((IF(DATOS_[[Sexo]:[Sexo]]=$B86,IF(DATOS_[[AGRUP. VALOR. PTO.]:[AGRUP. VALOR. PTO.]]=$B84,IF(DATOS_[[Check Periodo Ref.]:[Check Periodo Ref.]]="Dentro",IF(DATOS_[[Check Equiparado]:[Check Equiparado]]="Sí",IF(DATOS!CB$5="Sí",(1/DATOS_[[% anualiz]:[% anualiz]]),1)*IF(DATOS!CB$4="Sí",1/DATOS_[[% normaliz]:[% normaliz]],1)*(DATOS_[C.Extra.06])))))))),
0)</f>
        <v>0</v>
      </c>
      <c r="AR86" s="173">
        <f t="array" ref="AR86">IFERROR(
(AVERAGE((IF(DATOS_[[Sexo]:[Sexo]]=$B86,IF(DATOS_[[AGRUP. VALOR. PTO.]:[AGRUP. VALOR. PTO.]]=$B84,IF(DATOS_[[Check Periodo Ref.]:[Check Periodo Ref.]]="Dentro",IF(DATOS_[[Check Equiparado]:[Check Equiparado]]="Sí",IF(DATOS!CC$5="Sí",(1/DATOS_[[% anualiz]:[% anualiz]]),1)*IF(DATOS!CC$4="Sí",1/DATOS_[[% normaliz]:[% normaliz]],1)*(DATOS_[C.Extra.07])))))))),
0)</f>
        <v>0</v>
      </c>
      <c r="AS86" s="173">
        <f t="array" ref="AS86">IFERROR(
(AVERAGE((IF(DATOS_[[Sexo]:[Sexo]]=$B86,IF(DATOS_[[AGRUP. VALOR. PTO.]:[AGRUP. VALOR. PTO.]]=$B84,IF(DATOS_[[Check Periodo Ref.]:[Check Periodo Ref.]]="Dentro",IF(DATOS_[[Check Equiparado]:[Check Equiparado]]="Sí",IF(DATOS!CD$5="Sí",(1/DATOS_[[% anualiz]:[% anualiz]]),1)*IF(DATOS!CD$4="Sí",1/DATOS_[[% normaliz]:[% normaliz]],1)*(DATOS_[C.Extra.08])))))))),
0)</f>
        <v>0</v>
      </c>
      <c r="AT86" s="173">
        <f t="array" ref="AT86">IFERROR(
(AVERAGE((IF(DATOS_[[Sexo]:[Sexo]]=$B86,IF(DATOS_[[AGRUP. VALOR. PTO.]:[AGRUP. VALOR. PTO.]]=$B84,IF(DATOS_[[Check Periodo Ref.]:[Check Periodo Ref.]]="Dentro",IF(DATOS_[[Check Equiparado]:[Check Equiparado]]="Sí",IF(DATOS!CG$5="Sí",(1/DATOS_[[% anualiz]:[% anualiz]]),1)*IF(DATOS!CG$4="Sí",1/DATOS_[[% normaliz]:[% normaliz]],1)*(DATOS_[C.Extra.11])))))))),
0)</f>
        <v>0</v>
      </c>
      <c r="AU86" s="197">
        <f t="array" ref="AU86">IFERROR(
AVERAGE(IF(DATOS_[Sexo]=$B86,IF(DATOS_[[AGRUP. VALOR. PTO.]:[AGRUP. VALOR. PTO.]]=$B84,IF(DATOS_[Check Equiparado]="Sí",IF(DATOS_[Check Periodo Ref.]="Dentro",DATOS_[Tot Extrasalarial Eq],FALSE))))),
0)</f>
        <v>0</v>
      </c>
      <c r="AV86" s="175">
        <f t="array" ref="AV86">IFERROR(
AVERAGE(IF(DATOS_[Sexo]=$B86,IF(DATOS_[[AGRUP. VALOR. PTO.]:[AGRUP. VALOR. PTO.]]=$B84,IF(DATOS_[Check Equiparado]="Sí",IF(DATOS_[Check Periodo Ref.]="Dentro",DATOS_[TOTAL Retrib Eq],FALSE))))),
0)</f>
        <v>0</v>
      </c>
    </row>
    <row r="87" spans="1:48" ht="15.6" thickBot="1" x14ac:dyDescent="0.3">
      <c r="A87" s="133" t="str">
        <f t="shared" ref="A87" si="99">+A88</f>
        <v>[ocultar]</v>
      </c>
      <c r="B87" s="199" t="s">
        <v>275</v>
      </c>
      <c r="C87" s="200"/>
      <c r="D87" s="201"/>
      <c r="E87" s="201"/>
      <c r="F87" s="201"/>
      <c r="G87" s="201"/>
      <c r="H87" s="201"/>
      <c r="I87" s="189" t="str">
        <f t="shared" ref="I87:AV87" si="100">IFERROR((I88-I89)/I88,"")</f>
        <v/>
      </c>
      <c r="J87" s="190" t="str">
        <f t="shared" si="100"/>
        <v/>
      </c>
      <c r="K87" s="191" t="str">
        <f t="shared" si="100"/>
        <v/>
      </c>
      <c r="L87" s="191" t="str">
        <f t="shared" si="100"/>
        <v/>
      </c>
      <c r="M87" s="191" t="str">
        <f t="shared" si="100"/>
        <v/>
      </c>
      <c r="N87" s="192" t="str">
        <f t="shared" si="100"/>
        <v/>
      </c>
      <c r="O87" s="193" t="str">
        <f t="shared" si="100"/>
        <v/>
      </c>
      <c r="P87" s="193" t="str">
        <f t="shared" si="100"/>
        <v/>
      </c>
      <c r="Q87" s="193" t="str">
        <f t="shared" si="100"/>
        <v/>
      </c>
      <c r="R87" s="193" t="str">
        <f t="shared" si="100"/>
        <v/>
      </c>
      <c r="S87" s="193" t="str">
        <f t="shared" si="100"/>
        <v/>
      </c>
      <c r="T87" s="193" t="str">
        <f t="shared" si="100"/>
        <v/>
      </c>
      <c r="U87" s="193" t="str">
        <f t="shared" si="100"/>
        <v/>
      </c>
      <c r="V87" s="193" t="str">
        <f t="shared" si="100"/>
        <v/>
      </c>
      <c r="W87" s="193" t="str">
        <f t="shared" si="100"/>
        <v/>
      </c>
      <c r="X87" s="193" t="str">
        <f t="shared" si="100"/>
        <v/>
      </c>
      <c r="Y87" s="193" t="str">
        <f t="shared" si="100"/>
        <v/>
      </c>
      <c r="Z87" s="193" t="str">
        <f t="shared" si="100"/>
        <v/>
      </c>
      <c r="AA87" s="193" t="str">
        <f t="shared" si="100"/>
        <v/>
      </c>
      <c r="AB87" s="193" t="str">
        <f t="shared" si="100"/>
        <v/>
      </c>
      <c r="AC87" s="193" t="str">
        <f t="shared" si="100"/>
        <v/>
      </c>
      <c r="AD87" s="193" t="str">
        <f t="shared" si="100"/>
        <v/>
      </c>
      <c r="AE87" s="193" t="str">
        <f t="shared" si="100"/>
        <v/>
      </c>
      <c r="AF87" s="193" t="str">
        <f t="shared" si="100"/>
        <v/>
      </c>
      <c r="AG87" s="193" t="str">
        <f t="shared" si="100"/>
        <v/>
      </c>
      <c r="AH87" s="193" t="str">
        <f t="shared" si="100"/>
        <v/>
      </c>
      <c r="AI87" s="193" t="str">
        <f t="shared" si="100"/>
        <v/>
      </c>
      <c r="AJ87" s="193" t="str">
        <f t="shared" si="100"/>
        <v/>
      </c>
      <c r="AK87" s="193" t="str">
        <f t="shared" si="100"/>
        <v/>
      </c>
      <c r="AL87" s="193" t="str">
        <f t="shared" si="100"/>
        <v/>
      </c>
      <c r="AM87" s="193" t="str">
        <f t="shared" si="100"/>
        <v/>
      </c>
      <c r="AN87" s="189" t="str">
        <f t="shared" si="100"/>
        <v/>
      </c>
      <c r="AO87" s="162" t="str">
        <f t="shared" si="100"/>
        <v/>
      </c>
      <c r="AP87" s="163" t="str">
        <f t="shared" si="100"/>
        <v/>
      </c>
      <c r="AQ87" s="163" t="str">
        <f t="shared" si="100"/>
        <v/>
      </c>
      <c r="AR87" s="163" t="str">
        <f t="shared" si="100"/>
        <v/>
      </c>
      <c r="AS87" s="163" t="str">
        <f t="shared" si="100"/>
        <v/>
      </c>
      <c r="AT87" s="163" t="str">
        <f t="shared" si="100"/>
        <v/>
      </c>
      <c r="AU87" s="194" t="str">
        <f t="shared" si="100"/>
        <v/>
      </c>
      <c r="AV87" s="165" t="str">
        <f t="shared" si="100"/>
        <v/>
      </c>
    </row>
    <row r="88" spans="1:48" x14ac:dyDescent="0.25">
      <c r="A88" s="133" t="str">
        <f t="shared" ref="A88" si="101">+IF(C88+C89=0,"[ocultar]","")</f>
        <v>[ocultar]</v>
      </c>
      <c r="B88" s="202" t="s">
        <v>394</v>
      </c>
      <c r="C88" s="203">
        <f t="array" ref="C88">SUM(IF($B88=DATOS_[Sexo],
IF($B87=DATOS_[AGRUP. VALOR. PTO.],
IF("Dentro"=DATOS_[Check Periodo Ref.],
1/(COUNTIFS(DATOS_[Sexo],$B88,DATOS_[AGRUP. VALOR. PTO.],$B87,DATOS_[Check Periodo Ref.],"Dentro",DATOS_[id/cod],DATOS_[id/cod]))))))</f>
        <v>0</v>
      </c>
      <c r="D88" s="204">
        <f>COUNTIFS(DATOS_[AGRUP. VALOR. PTO.],$B87,DATOS_[Sexo],$B88,DATOS_[Check Periodo Ref.],"Dentro")</f>
        <v>0</v>
      </c>
      <c r="E88" s="204">
        <f>COUNTIFS(DATOS_[AGRUP. VALOR. PTO.],$B87,DATOS_[Sexo],$B88,DATOS_[Check Periodo Ref.],"Dentro",DATOS_[Check Nº SC Norm],"Sí")</f>
        <v>0</v>
      </c>
      <c r="F88" s="204">
        <f>COUNTIFS(DATOS_[AGRUP. VALOR. PTO.],$B87,DATOS_[Sexo],$B88,DATOS_[Check Periodo Ref.],"Dentro",DATOS_[Check Nº SC Anualiz],"Sí")</f>
        <v>0</v>
      </c>
      <c r="G88" s="204">
        <f>COUNTIFS(DATOS_[AGRUP. VALOR. PTO.],$B87,DATOS_[Sexo],$B88,DATOS_[Check Periodo Ref.],"Dentro",DATOS_[Check Nº SC Norm y Anualiz],"Sí")</f>
        <v>0</v>
      </c>
      <c r="H88" s="204">
        <f>COUNTIFS(DATOS_[AGRUP. VALOR. PTO.],$B87,DATOS_[Sexo],$B88,DATOS_[Check Periodo Ref.],"Dentro",DATOS_[Check Equiparación],"Sí")</f>
        <v>0</v>
      </c>
      <c r="I88" s="195">
        <f t="array" ref="I88">IFERROR(
AVERAGE(IF(DATOS_[Sexo]=$B88,IF(DATOS_[[AGRUP. VALOR. PTO.]:[AGRUP. VALOR. PTO.]]=$B87,IF(DATOS_[Check Equiparado]="Sí",IF(DATOS_[Check Periodo Ref.]="Dentro",DATOS_[SALARIO BASE Eq],FALSE))))),
0)</f>
        <v>0</v>
      </c>
      <c r="J88" s="196">
        <f t="array" ref="J88">IFERROR(
(AVERAGE((IF(DATOS_[[Sexo]:[Sexo]]=$B88,IF(DATOS_[[AGRUP. VALOR. PTO.]:[AGRUP. VALOR. PTO.]]=$B87,IF(DATOS_[[Check Periodo Ref.]:[Check Periodo Ref.]]="Dentro",IF(DATOS_[[Check Equiparado]:[Check Equiparado]]="Sí",IF(DATOS!AE$5="Sí",(1/DATOS_[[% anualiz]:[% anualiz]]),1)*IF(DATOS!AE$4="Sí",1/DATOS_[[% normaliz]:[% normaliz]],1)*(DATOS_[Conc.Sal.01])))))))),
0)</f>
        <v>0</v>
      </c>
      <c r="K88" s="196">
        <f t="array" ref="K88">IFERROR(
(AVERAGE((IF(DATOS_[[Sexo]:[Sexo]]=$B88,IF(DATOS_[[AGRUP. VALOR. PTO.]:[AGRUP. VALOR. PTO.]]=$B87,IF(DATOS_[[Check Periodo Ref.]:[Check Periodo Ref.]]="Dentro",IF(DATOS_[[Check Equiparado]:[Check Equiparado]]="Sí",IF(DATOS!AF$5="Sí",(1/DATOS_[[% anualiz]:[% anualiz]]),1)*IF(DATOS!AF$4="Sí",1/DATOS_[[% normaliz]:[% normaliz]],1)*(DATOS_[Conc.Sal.02])))))))),
0)</f>
        <v>0</v>
      </c>
      <c r="L88" s="196">
        <f t="array" ref="L88">IFERROR(
(AVERAGE((IF(DATOS_[[Sexo]:[Sexo]]=$B88,IF(DATOS_[[AGRUP. VALOR. PTO.]:[AGRUP. VALOR. PTO.]]=$B87,IF(DATOS_[[Check Periodo Ref.]:[Check Periodo Ref.]]="Dentro",IF(DATOS_[[Check Equiparado]:[Check Equiparado]]="Sí",IF(DATOS!AG$5="Sí",(1/DATOS_[[% anualiz]:[% anualiz]]),1)*IF(DATOS!AG$4="Sí",1/DATOS_[[% normaliz]:[% normaliz]],1)*(DATOS_[Conc.Sal.03])))))))),
0)</f>
        <v>0</v>
      </c>
      <c r="M88" s="196">
        <f t="array" ref="M88">IFERROR(
(AVERAGE((IF(DATOS_[[Sexo]:[Sexo]]=$B88,IF(DATOS_[[AGRUP. VALOR. PTO.]:[AGRUP. VALOR. PTO.]]=$B87,IF(DATOS_[[Check Periodo Ref.]:[Check Periodo Ref.]]="Dentro",IF(DATOS_[[Check Equiparado]:[Check Equiparado]]="Sí",IF(DATOS!AH$5="Sí",(1/DATOS_[[% anualiz]:[% anualiz]]),1)*IF(DATOS!AH$4="Sí",1/DATOS_[[% normaliz]:[% normaliz]],1)*(DATOS_[Conc.Sal.04])))))))),
0)</f>
        <v>0</v>
      </c>
      <c r="N88" s="196">
        <f t="array" ref="N88">IFERROR(
(AVERAGE((IF(DATOS_[[Sexo]:[Sexo]]=$B88,IF(DATOS_[[AGRUP. VALOR. PTO.]:[AGRUP. VALOR. PTO.]]=$B87,IF(DATOS_[[Check Periodo Ref.]:[Check Periodo Ref.]]="Dentro",IF(DATOS_[[Check Equiparado]:[Check Equiparado]]="Sí",IF(DATOS!AI$5="Sí",(1/DATOS_[[% anualiz]:[% anualiz]]),1)*IF(DATOS!AI$4="Sí",1/DATOS_[[% normaliz]:[% normaliz]],1)*(DATOS_[Conc.Sal.05])))))))),
0)</f>
        <v>0</v>
      </c>
      <c r="O88" s="196">
        <f t="array" ref="O88">IFERROR(
(AVERAGE((IF(DATOS_[[Sexo]:[Sexo]]=$B88,IF(DATOS_[[AGRUP. VALOR. PTO.]:[AGRUP. VALOR. PTO.]]=$B87,IF(DATOS_[[Check Periodo Ref.]:[Check Periodo Ref.]]="Dentro",IF(DATOS_[[Check Equiparado]:[Check Equiparado]]="Sí",IF(DATOS!AJ$5="Sí",(1/DATOS_[[% anualiz]:[% anualiz]]),1)*IF(DATOS!AJ$4="Sí",1/DATOS_[[% normaliz]:[% normaliz]],1)*(DATOS_[Conc.Sal.06])))))))),
0)</f>
        <v>0</v>
      </c>
      <c r="P88" s="196">
        <f t="array" ref="P88">IFERROR(
(AVERAGE((IF(DATOS_[[Sexo]:[Sexo]]=$B88,IF(DATOS_[[AGRUP. VALOR. PTO.]:[AGRUP. VALOR. PTO.]]=$B87,IF(DATOS_[[Check Periodo Ref.]:[Check Periodo Ref.]]="Dentro",IF(DATOS_[[Check Equiparado]:[Check Equiparado]]="Sí",IF(DATOS!AK$5="Sí",(1/DATOS_[[% anualiz]:[% anualiz]]),1)*IF(DATOS!AK$4="Sí",1/DATOS_[[% normaliz]:[% normaliz]],1)*(DATOS_[Conc.Sal.07])))))))),
0)</f>
        <v>0</v>
      </c>
      <c r="Q88" s="196">
        <f t="array" ref="Q88">IFERROR(
(AVERAGE((IF(DATOS_[[Sexo]:[Sexo]]=$B88,IF(DATOS_[[AGRUP. VALOR. PTO.]:[AGRUP. VALOR. PTO.]]=$B87,IF(DATOS_[[Check Periodo Ref.]:[Check Periodo Ref.]]="Dentro",IF(DATOS_[[Check Equiparado]:[Check Equiparado]]="Sí",IF(DATOS!AL$5="Sí",(1/DATOS_[[% anualiz]:[% anualiz]]),1)*IF(DATOS!AL$4="Sí",1/DATOS_[[% normaliz]:[% normaliz]],1)*(DATOS_[Conc.Sal.08])))))))),
0)</f>
        <v>0</v>
      </c>
      <c r="R88" s="196">
        <f t="array" ref="R88">IFERROR(
(AVERAGE((IF(DATOS_[[Sexo]:[Sexo]]=$B88,IF(DATOS_[[AGRUP. VALOR. PTO.]:[AGRUP. VALOR. PTO.]]=$B87,IF(DATOS_[[Check Periodo Ref.]:[Check Periodo Ref.]]="Dentro",IF(DATOS_[[Check Equiparado]:[Check Equiparado]]="Sí",IF(DATOS!AM$5="Sí",(1/DATOS_[[% anualiz]:[% anualiz]]),1)*IF(DATOS!AM$4="Sí",1/DATOS_[[% normaliz]:[% normaliz]],1)*(DATOS_[Conc.Sal.09])))))))),
0)</f>
        <v>0</v>
      </c>
      <c r="S88" s="196">
        <f t="array" ref="S88">IFERROR(
(AVERAGE((IF(DATOS_[[Sexo]:[Sexo]]=$B88,IF(DATOS_[[AGRUP. VALOR. PTO.]:[AGRUP. VALOR. PTO.]]=$B87,IF(DATOS_[[Check Periodo Ref.]:[Check Periodo Ref.]]="Dentro",IF(DATOS_[[Check Equiparado]:[Check Equiparado]]="Sí",IF(DATOS!AN$5="Sí",(1/DATOS_[[% anualiz]:[% anualiz]]),1)*IF(DATOS!AN$4="Sí",1/DATOS_[[% normaliz]:[% normaliz]],1)*(DATOS_[Conc.Sal.10])))))))),
0)</f>
        <v>0</v>
      </c>
      <c r="T88" s="196">
        <f t="array" ref="T88">IFERROR(
(AVERAGE((IF(DATOS_[[Sexo]:[Sexo]]=$B88,IF(DATOS_[[AGRUP. VALOR. PTO.]:[AGRUP. VALOR. PTO.]]=$B87,IF(DATOS_[[Check Periodo Ref.]:[Check Periodo Ref.]]="Dentro",IF(DATOS_[[Check Equiparado]:[Check Equiparado]]="Sí",IF(DATOS!AO$5="Sí",(1/DATOS_[[% anualiz]:[% anualiz]]),1)*IF(DATOS!AO$4="Sí",1/DATOS_[[% normaliz]:[% normaliz]],1)*(DATOS_[Conc.Sal.11])))))))),
0)</f>
        <v>0</v>
      </c>
      <c r="U88" s="196">
        <f t="array" ref="U88">IFERROR(
(AVERAGE((IF(DATOS_[[Sexo]:[Sexo]]=$B88,IF(DATOS_[[AGRUP. VALOR. PTO.]:[AGRUP. VALOR. PTO.]]=$B87,IF(DATOS_[[Check Periodo Ref.]:[Check Periodo Ref.]]="Dentro",IF(DATOS_[[Check Equiparado]:[Check Equiparado]]="Sí",IF(DATOS!AP$5="Sí",(1/DATOS_[[% anualiz]:[% anualiz]]),1)*IF(DATOS!AP$4="Sí",1/DATOS_[[% normaliz]:[% normaliz]],1)*(DATOS_[Conc.Sal.12])))))))),
0)</f>
        <v>0</v>
      </c>
      <c r="V88" s="196">
        <f t="array" ref="V88">IFERROR(
(AVERAGE((IF(DATOS_[[Sexo]:[Sexo]]=$B88,IF(DATOS_[[AGRUP. VALOR. PTO.]:[AGRUP. VALOR. PTO.]]=$B87,IF(DATOS_[[Check Periodo Ref.]:[Check Periodo Ref.]]="Dentro",IF(DATOS_[[Check Equiparado]:[Check Equiparado]]="Sí",IF(DATOS!AQ$5="Sí",(1/DATOS_[[% anualiz]:[% anualiz]]),1)*IF(DATOS!AQ$4="Sí",1/DATOS_[[% normaliz]:[% normaliz]],1)*(DATOS_[Conc.Sal.13])))))))),
0)</f>
        <v>0</v>
      </c>
      <c r="W88" s="196">
        <f t="array" ref="W88">IFERROR(
(AVERAGE((IF(DATOS_[[Sexo]:[Sexo]]=$B88,IF(DATOS_[[AGRUP. VALOR. PTO.]:[AGRUP. VALOR. PTO.]]=$B87,IF(DATOS_[[Check Periodo Ref.]:[Check Periodo Ref.]]="Dentro",IF(DATOS_[[Check Equiparado]:[Check Equiparado]]="Sí",IF(DATOS!AR$5="Sí",(1/DATOS_[[% anualiz]:[% anualiz]]),1)*IF(DATOS!AR$4="Sí",1/DATOS_[[% normaliz]:[% normaliz]],1)*(DATOS_[Conc.Sal.14])))))))),
0)</f>
        <v>0</v>
      </c>
      <c r="X88" s="196">
        <f t="array" ref="X88">IFERROR(
(AVERAGE((IF(DATOS_[[Sexo]:[Sexo]]=$B88,IF(DATOS_[[AGRUP. VALOR. PTO.]:[AGRUP. VALOR. PTO.]]=$B87,IF(DATOS_[[Check Periodo Ref.]:[Check Periodo Ref.]]="Dentro",IF(DATOS_[[Check Equiparado]:[Check Equiparado]]="Sí",IF(DATOS!AS$5="Sí",(1/DATOS_[[% anualiz]:[% anualiz]]),1)*IF(DATOS!AS$4="Sí",1/DATOS_[[% normaliz]:[% normaliz]],1)*(DATOS_[Conc.Sal.15])))))))),
0)</f>
        <v>0</v>
      </c>
      <c r="Y88" s="196">
        <f t="array" ref="Y88">IFERROR(
(AVERAGE((IF(DATOS_[[Sexo]:[Sexo]]=$B88,IF(DATOS_[[AGRUP. VALOR. PTO.]:[AGRUP. VALOR. PTO.]]=$B87,IF(DATOS_[[Check Periodo Ref.]:[Check Periodo Ref.]]="Dentro",IF(DATOS_[[Check Equiparado]:[Check Equiparado]]="Sí",IF(DATOS!AT$5="Sí",(1/DATOS_[[% anualiz]:[% anualiz]]),1)*IF(DATOS!AT$4="Sí",1/DATOS_[[% normaliz]:[% normaliz]],1)*(DATOS_[Conc.Sal.16])))))))),
0)</f>
        <v>0</v>
      </c>
      <c r="Z88" s="196">
        <f t="array" ref="Z88">IFERROR(
(AVERAGE((IF(DATOS_[[Sexo]:[Sexo]]=$B88,IF(DATOS_[[AGRUP. VALOR. PTO.]:[AGRUP. VALOR. PTO.]]=$B87,IF(DATOS_[[Check Periodo Ref.]:[Check Periodo Ref.]]="Dentro",IF(DATOS_[[Check Equiparado]:[Check Equiparado]]="Sí",IF(DATOS!AU$5="Sí",(1/DATOS_[[% anualiz]:[% anualiz]]),1)*IF(DATOS!AU$4="Sí",1/DATOS_[[% normaliz]:[% normaliz]],1)*(DATOS_[Conc.Sal.17])))))))),
0)</f>
        <v>0</v>
      </c>
      <c r="AA88" s="196">
        <f t="array" ref="AA88">IFERROR(
(AVERAGE((IF(DATOS_[[Sexo]:[Sexo]]=$B88,IF(DATOS_[[AGRUP. VALOR. PTO.]:[AGRUP. VALOR. PTO.]]=$B87,IF(DATOS_[[Check Periodo Ref.]:[Check Periodo Ref.]]="Dentro",IF(DATOS_[[Check Equiparado]:[Check Equiparado]]="Sí",IF(DATOS!AV$5="Sí",(1/DATOS_[[% anualiz]:[% anualiz]]),1)*IF(DATOS!AV$4="Sí",1/DATOS_[[% normaliz]:[% normaliz]],1)*(DATOS_[Conc.Sal.18])))))))),
0)</f>
        <v>0</v>
      </c>
      <c r="AB88" s="196">
        <f t="array" ref="AB88">IFERROR(
(AVERAGE((IF(DATOS_[[Sexo]:[Sexo]]=$B88,IF(DATOS_[[AGRUP. VALOR. PTO.]:[AGRUP. VALOR. PTO.]]=$B87,IF(DATOS_[[Check Periodo Ref.]:[Check Periodo Ref.]]="Dentro",IF(DATOS_[[Check Equiparado]:[Check Equiparado]]="Sí",IF(DATOS!AW$5="Sí",(1/DATOS_[[% anualiz]:[% anualiz]]),1)*IF(DATOS!AW$4="Sí",1/DATOS_[[% normaliz]:[% normaliz]],1)*(DATOS_[Conc.Sal.19])))))))),
0)</f>
        <v>0</v>
      </c>
      <c r="AC88" s="196">
        <f t="array" ref="AC88">IFERROR(
(AVERAGE((IF(DATOS_[[Sexo]:[Sexo]]=$B88,IF(DATOS_[[AGRUP. VALOR. PTO.]:[AGRUP. VALOR. PTO.]]=$B87,IF(DATOS_[[Check Periodo Ref.]:[Check Periodo Ref.]]="Dentro",IF(DATOS_[[Check Equiparado]:[Check Equiparado]]="Sí",IF(DATOS!AX$5="Sí",(1/DATOS_[[% anualiz]:[% anualiz]]),1)*IF(DATOS!AX$4="Sí",1/DATOS_[[% normaliz]:[% normaliz]],1)*(DATOS_[Conc.Sal.20])))))))),
0)</f>
        <v>0</v>
      </c>
      <c r="AD88" s="196">
        <f t="array" ref="AD88">IFERROR(
(AVERAGE((IF(DATOS_[[Sexo]:[Sexo]]=$B88,IF(DATOS_[[AGRUP. VALOR. PTO.]:[AGRUP. VALOR. PTO.]]=$B87,IF(DATOS_[[Check Periodo Ref.]:[Check Periodo Ref.]]="Dentro",IF(DATOS_[[Check Equiparado]:[Check Equiparado]]="Sí",IF(DATOS!AY$5="Sí",(1/DATOS_[[% anualiz]:[% anualiz]]),1)*IF(DATOS!AY$4="Sí",1/DATOS_[[% normaliz]:[% normaliz]],1)*(DATOS_[Conc.Sal.21])))))))),
0)</f>
        <v>0</v>
      </c>
      <c r="AE88" s="196">
        <f t="array" ref="AE88">IFERROR(
(AVERAGE((IF(DATOS_[[Sexo]:[Sexo]]=$B88,IF(DATOS_[[AGRUP. VALOR. PTO.]:[AGRUP. VALOR. PTO.]]=$B87,IF(DATOS_[[Check Periodo Ref.]:[Check Periodo Ref.]]="Dentro",IF(DATOS_[[Check Equiparado]:[Check Equiparado]]="Sí",IF(DATOS!AZ$5="Sí",(1/DATOS_[[% anualiz]:[% anualiz]]),1)*IF(DATOS!AZ$4="Sí",1/DATOS_[[% normaliz]:[% normaliz]],1)*(DATOS_[Conc.Sal.22])))))))),
0)</f>
        <v>0</v>
      </c>
      <c r="AF88" s="196">
        <f t="array" ref="AF88">IFERROR(
(AVERAGE((IF(DATOS_[[Sexo]:[Sexo]]=$B88,IF(DATOS_[[AGRUP. VALOR. PTO.]:[AGRUP. VALOR. PTO.]]=$B87,IF(DATOS_[[Check Periodo Ref.]:[Check Periodo Ref.]]="Dentro",IF(DATOS_[[Check Equiparado]:[Check Equiparado]]="Sí",IF(DATOS!BA$5="Sí",(1/DATOS_[[% anualiz]:[% anualiz]]),1)*IF(DATOS!BA$4="Sí",1/DATOS_[[% normaliz]:[% normaliz]],1)*(DATOS_[Conc.Sal.23])))))))),
0)</f>
        <v>0</v>
      </c>
      <c r="AG88" s="196">
        <f t="array" ref="AG88">IFERROR(
(AVERAGE((IF(DATOS_[[Sexo]:[Sexo]]=$B88,IF(DATOS_[[AGRUP. VALOR. PTO.]:[AGRUP. VALOR. PTO.]]=$B87,IF(DATOS_[[Check Periodo Ref.]:[Check Periodo Ref.]]="Dentro",IF(DATOS_[[Check Equiparado]:[Check Equiparado]]="Sí",IF(DATOS!BB$5="Sí",(1/DATOS_[[% anualiz]:[% anualiz]]),1)*IF(DATOS!BB$4="Sí",1/DATOS_[[% normaliz]:[% normaliz]],1)*(DATOS_[Conc.Sal.24])))))))),
0)</f>
        <v>0</v>
      </c>
      <c r="AH88" s="196">
        <f t="array" ref="AH88">IFERROR(
(AVERAGE((IF(DATOS_[[Sexo]:[Sexo]]=$B88,IF(DATOS_[[AGRUP. VALOR. PTO.]:[AGRUP. VALOR. PTO.]]=$B87,IF(DATOS_[[Check Periodo Ref.]:[Check Periodo Ref.]]="Dentro",IF(DATOS_[[Check Equiparado]:[Check Equiparado]]="Sí",IF(DATOS!BC$5="Sí",(1/DATOS_[[% anualiz]:[% anualiz]]),1)*IF(DATOS!BC$4="Sí",1/DATOS_[[% normaliz]:[% normaliz]],1)*(DATOS_[Conc.Sal.25])))))))),
0)</f>
        <v>0</v>
      </c>
      <c r="AI88" s="196">
        <f t="array" ref="AI88">IFERROR(
(AVERAGE((IF(DATOS_[[Sexo]:[Sexo]]=$B88,IF(DATOS_[[AGRUP. VALOR. PTO.]:[AGRUP. VALOR. PTO.]]=$B87,IF(DATOS_[[Check Periodo Ref.]:[Check Periodo Ref.]]="Dentro",IF(DATOS_[[Check Equiparado]:[Check Equiparado]]="Sí",IF(DATOS!BD$5="Sí",(1/DATOS_[[% anualiz]:[% anualiz]]),1)*IF(DATOS!BD$4="Sí",1/DATOS_[[% normaliz]:[% normaliz]],1)*(DATOS_[Conc.Sal.26])))))))),
0)</f>
        <v>0</v>
      </c>
      <c r="AJ88" s="196">
        <f t="array" ref="AJ88">IFERROR(
(AVERAGE((IF(DATOS_[[Sexo]:[Sexo]]=$B88,IF(DATOS_[[AGRUP. VALOR. PTO.]:[AGRUP. VALOR. PTO.]]=$B87,IF(DATOS_[[Check Periodo Ref.]:[Check Periodo Ref.]]="Dentro",IF(DATOS_[[Check Equiparado]:[Check Equiparado]]="Sí",IF(DATOS!BE$5="Sí",(1/DATOS_[[% anualiz]:[% anualiz]]),1)*IF(DATOS!BE$4="Sí",1/DATOS_[[% normaliz]:[% normaliz]],1)*(DATOS_[Conc.Sal.27])))))))),
0)</f>
        <v>0</v>
      </c>
      <c r="AK88" s="196">
        <f t="array" ref="AK88">IFERROR(
(AVERAGE((IF(DATOS_[[Sexo]:[Sexo]]=$B88,IF(DATOS_[[AGRUP. VALOR. PTO.]:[AGRUP. VALOR. PTO.]]=$B87,IF(DATOS_[[Check Periodo Ref.]:[Check Periodo Ref.]]="Dentro",IF(DATOS_[[Check Equiparado]:[Check Equiparado]]="Sí",IF(DATOS!BF$5="Sí",(1/DATOS_[[% anualiz]:[% anualiz]]),1)*IF(DATOS!BF$4="Sí",1/DATOS_[[% normaliz]:[% normaliz]],1)*(DATOS_[Conc.Sal.28])))))))),
0)</f>
        <v>0</v>
      </c>
      <c r="AL88" s="196">
        <f t="array" ref="AL88">IFERROR(
(AVERAGE((IF(DATOS_[[Sexo]:[Sexo]]=$B88,IF(DATOS_[[AGRUP. VALOR. PTO.]:[AGRUP. VALOR. PTO.]]=$B87,IF(DATOS_[[Check Periodo Ref.]:[Check Periodo Ref.]]="Dentro",IF(DATOS_[[Check Equiparado]:[Check Equiparado]]="Sí",IF(DATOS!BG$5="Sí",(1/DATOS_[[% anualiz]:[% anualiz]]),1)*IF(DATOS!BG$4="Sí",1/DATOS_[[% normaliz]:[% normaliz]],1)*(DATOS_[Conc.Sal.29])))))))),
0)</f>
        <v>0</v>
      </c>
      <c r="AM88" s="196">
        <f t="array" ref="AM88">IFERROR(
(AVERAGE((IF(DATOS_[[Sexo]:[Sexo]]=$B88,IF(DATOS_[[AGRUP. VALOR. PTO.]:[AGRUP. VALOR. PTO.]]=$B87,IF(DATOS_[[Check Periodo Ref.]:[Check Periodo Ref.]]="Dentro",IF(DATOS_[[Check Equiparado]:[Check Equiparado]]="Sí",IF(DATOS!BH$5="Sí",(1/DATOS_[[% anualiz]:[% anualiz]]),1)*IF(DATOS!BH$4="Sí",1/DATOS_[[% normaliz]:[% normaliz]],1)*(DATOS_[Conc.Sal.30])))))))),
0)</f>
        <v>0</v>
      </c>
      <c r="AN88" s="195">
        <f t="array" ref="AN88">IFERROR(
AVERAGE(IF(DATOS_[Sexo]=$B88,IF(DATOS_[[AGRUP. VALOR. PTO.]:[AGRUP. VALOR. PTO.]]=$B87,IF(DATOS_[Check Equiparado]="Sí",IF(DATOS_[Check Periodo Ref.]="Dentro",DATOS_[Tot COMPL.SAL Eq],FALSE))))),
0)</f>
        <v>0</v>
      </c>
      <c r="AO88" s="172">
        <f t="array" ref="AO88">IFERROR(
AVERAGE(IF(DATOS_[Sexo]=$B88,IF(DATOS_[[AGRUP. VALOR. PTO.]:[AGRUP. VALOR. PTO.]]=$B87,IF(DATOS_[Check Equiparado]="Sí",IF(DATOS_[Check Periodo Ref.]="Dentro",DATOS_[TOTAL SALARIO Eq],FALSE))))),
0)</f>
        <v>0</v>
      </c>
      <c r="AP88" s="173">
        <f t="array" ref="AP88">IFERROR(
(AVERAGE((IF(DATOS_[[Sexo]:[Sexo]]=$B88,IF(DATOS_[[AGRUP. VALOR. PTO.]:[AGRUP. VALOR. PTO.]]=$B87,IF(DATOS_[[Check Periodo Ref.]:[Check Periodo Ref.]]="Dentro",IF(DATOS_[[Check Equiparado]:[Check Equiparado]]="Sí",IF(DATOS!BW$5="Sí",(1/DATOS_[[% anualiz]:[% anualiz]]),1)*IF(DATOS!BW$4="Sí",1/DATOS_[[% normaliz]:[% normaliz]],1)*(DATOS_[C.Extra.01])))))))),
0)</f>
        <v>0</v>
      </c>
      <c r="AQ88" s="173">
        <f t="array" ref="AQ88">IFERROR(
(AVERAGE((IF(DATOS_[[Sexo]:[Sexo]]=$B88,IF(DATOS_[[AGRUP. VALOR. PTO.]:[AGRUP. VALOR. PTO.]]=$B87,IF(DATOS_[[Check Periodo Ref.]:[Check Periodo Ref.]]="Dentro",IF(DATOS_[[Check Equiparado]:[Check Equiparado]]="Sí",IF(DATOS!CB$5="Sí",(1/DATOS_[[% anualiz]:[% anualiz]]),1)*IF(DATOS!CB$4="Sí",1/DATOS_[[% normaliz]:[% normaliz]],1)*(DATOS_[C.Extra.06])))))))),
0)</f>
        <v>0</v>
      </c>
      <c r="AR88" s="173">
        <f t="array" ref="AR88">IFERROR(
(AVERAGE((IF(DATOS_[[Sexo]:[Sexo]]=$B88,IF(DATOS_[[AGRUP. VALOR. PTO.]:[AGRUP. VALOR. PTO.]]=$B87,IF(DATOS_[[Check Periodo Ref.]:[Check Periodo Ref.]]="Dentro",IF(DATOS_[[Check Equiparado]:[Check Equiparado]]="Sí",IF(DATOS!CC$5="Sí",(1/DATOS_[[% anualiz]:[% anualiz]]),1)*IF(DATOS!CC$4="Sí",1/DATOS_[[% normaliz]:[% normaliz]],1)*(DATOS_[C.Extra.07])))))))),
0)</f>
        <v>0</v>
      </c>
      <c r="AS88" s="173">
        <f t="array" ref="AS88">IFERROR(
(AVERAGE((IF(DATOS_[[Sexo]:[Sexo]]=$B88,IF(DATOS_[[AGRUP. VALOR. PTO.]:[AGRUP. VALOR. PTO.]]=$B87,IF(DATOS_[[Check Periodo Ref.]:[Check Periodo Ref.]]="Dentro",IF(DATOS_[[Check Equiparado]:[Check Equiparado]]="Sí",IF(DATOS!CD$5="Sí",(1/DATOS_[[% anualiz]:[% anualiz]]),1)*IF(DATOS!CD$4="Sí",1/DATOS_[[% normaliz]:[% normaliz]],1)*(DATOS_[C.Extra.08])))))))),
0)</f>
        <v>0</v>
      </c>
      <c r="AT88" s="173">
        <f t="array" ref="AT88">IFERROR(
(AVERAGE((IF(DATOS_[[Sexo]:[Sexo]]=$B88,IF(DATOS_[[AGRUP. VALOR. PTO.]:[AGRUP. VALOR. PTO.]]=$B87,IF(DATOS_[[Check Periodo Ref.]:[Check Periodo Ref.]]="Dentro",IF(DATOS_[[Check Equiparado]:[Check Equiparado]]="Sí",IF(DATOS!CG$5="Sí",(1/DATOS_[[% anualiz]:[% anualiz]]),1)*IF(DATOS!CG$4="Sí",1/DATOS_[[% normaliz]:[% normaliz]],1)*(DATOS_[C.Extra.11])))))))),
0)</f>
        <v>0</v>
      </c>
      <c r="AU88" s="197">
        <f t="array" ref="AU88">IFERROR(
AVERAGE(IF(DATOS_[Sexo]=$B88,IF(DATOS_[[AGRUP. VALOR. PTO.]:[AGRUP. VALOR. PTO.]]=$B87,IF(DATOS_[Check Equiparado]="Sí",IF(DATOS_[Check Periodo Ref.]="Dentro",DATOS_[Tot Extrasalarial Eq],FALSE))))),
0)</f>
        <v>0</v>
      </c>
      <c r="AV88" s="175">
        <f t="array" ref="AV88">IFERROR(
AVERAGE(IF(DATOS_[Sexo]=$B88,IF(DATOS_[[AGRUP. VALOR. PTO.]:[AGRUP. VALOR. PTO.]]=$B87,IF(DATOS_[Check Equiparado]="Sí",IF(DATOS_[Check Periodo Ref.]="Dentro",DATOS_[TOTAL Retrib Eq],FALSE))))),
0)</f>
        <v>0</v>
      </c>
    </row>
    <row r="89" spans="1:48" x14ac:dyDescent="0.25">
      <c r="A89" s="133" t="str">
        <f t="shared" ref="A89" si="102">+A88</f>
        <v>[ocultar]</v>
      </c>
      <c r="B89" s="202" t="s">
        <v>521</v>
      </c>
      <c r="C89" s="203">
        <f t="array" ref="C89">SUM(IF($B89=DATOS_[Sexo],
IF($B87=DATOS_[AGRUP. VALOR. PTO.],
IF("Dentro"=DATOS_[Check Periodo Ref.],
1/(COUNTIFS(DATOS_[Sexo],$B89,DATOS_[AGRUP. VALOR. PTO.],$B87,DATOS_[Check Periodo Ref.],"Dentro",DATOS_[id/cod],DATOS_[id/cod]))))))</f>
        <v>0</v>
      </c>
      <c r="D89" s="204">
        <f>COUNTIFS(DATOS_[AGRUP. VALOR. PTO.],$B87,DATOS_[Sexo],$B89,DATOS_[Check Periodo Ref.],"Dentro")</f>
        <v>0</v>
      </c>
      <c r="E89" s="204">
        <f>COUNTIFS(DATOS_[AGRUP. VALOR. PTO.],$B87,DATOS_[Sexo],$B89,DATOS_[Check Periodo Ref.],"Dentro",DATOS_[Check Nº SC Norm],"Sí")</f>
        <v>0</v>
      </c>
      <c r="F89" s="204">
        <f>COUNTIFS(DATOS_[AGRUP. VALOR. PTO.],$B87,DATOS_[Sexo],$B89,DATOS_[Check Periodo Ref.],"Dentro",DATOS_[Check Nº SC Anualiz],"Sí")</f>
        <v>0</v>
      </c>
      <c r="G89" s="204">
        <f>COUNTIFS(DATOS_[AGRUP. VALOR. PTO.],$B87,DATOS_[Sexo],$B89,DATOS_[Check Periodo Ref.],"Dentro",DATOS_[Check Nº SC Norm y Anualiz],"Sí")</f>
        <v>0</v>
      </c>
      <c r="H89" s="204">
        <f>COUNTIFS(DATOS_[AGRUP. VALOR. PTO.],$B87,DATOS_[Sexo],$B89,DATOS_[Check Periodo Ref.],"Dentro",DATOS_[Check Equiparación],"Sí")</f>
        <v>0</v>
      </c>
      <c r="I89" s="195" cm="1">
        <f t="array" ref="I89">IFERROR(
AVERAGE(IF(DATOS_[Sexo]=$B89,IF(DATOS_[[AGRUP. VALOR. PTO.]:[AGRUP. VALOR. PTO.]]=$B87,IF(DATOS_[Check Equiparado]="Sí",IF(DATOS_[Check Periodo Ref.]="Dentro",DATOS_[SALARIO BASE Eq],FALSE))))),
0)</f>
        <v>0</v>
      </c>
      <c r="J89" s="196">
        <f t="array" ref="J89">IFERROR(
(AVERAGE((IF(DATOS_[[Sexo]:[Sexo]]=$B89,IF(DATOS_[[AGRUP. VALOR. PTO.]:[AGRUP. VALOR. PTO.]]=$B87,IF(DATOS_[[Check Periodo Ref.]:[Check Periodo Ref.]]="Dentro",IF(DATOS_[[Check Equiparado]:[Check Equiparado]]="Sí",IF(DATOS!AE$5="Sí",(1/DATOS_[[% anualiz]:[% anualiz]]),1)*IF(DATOS!AE$4="Sí",1/DATOS_[[% normaliz]:[% normaliz]],1)*(DATOS_[Conc.Sal.01])))))))),
0)</f>
        <v>0</v>
      </c>
      <c r="K89" s="196">
        <f t="array" ref="K89">IFERROR(
(AVERAGE((IF(DATOS_[[Sexo]:[Sexo]]=$B89,IF(DATOS_[[AGRUP. VALOR. PTO.]:[AGRUP. VALOR. PTO.]]=$B87,IF(DATOS_[[Check Periodo Ref.]:[Check Periodo Ref.]]="Dentro",IF(DATOS_[[Check Equiparado]:[Check Equiparado]]="Sí",IF(DATOS!AF$5="Sí",(1/DATOS_[[% anualiz]:[% anualiz]]),1)*IF(DATOS!AF$4="Sí",1/DATOS_[[% normaliz]:[% normaliz]],1)*(DATOS_[Conc.Sal.02])))))))),
0)</f>
        <v>0</v>
      </c>
      <c r="L89" s="196">
        <f t="array" ref="L89">IFERROR(
(AVERAGE((IF(DATOS_[[Sexo]:[Sexo]]=$B89,IF(DATOS_[[AGRUP. VALOR. PTO.]:[AGRUP. VALOR. PTO.]]=$B87,IF(DATOS_[[Check Periodo Ref.]:[Check Periodo Ref.]]="Dentro",IF(DATOS_[[Check Equiparado]:[Check Equiparado]]="Sí",IF(DATOS!AG$5="Sí",(1/DATOS_[[% anualiz]:[% anualiz]]),1)*IF(DATOS!AG$4="Sí",1/DATOS_[[% normaliz]:[% normaliz]],1)*(DATOS_[Conc.Sal.03])))))))),
0)</f>
        <v>0</v>
      </c>
      <c r="M89" s="196">
        <f t="array" ref="M89">IFERROR(
(AVERAGE((IF(DATOS_[[Sexo]:[Sexo]]=$B89,IF(DATOS_[[AGRUP. VALOR. PTO.]:[AGRUP. VALOR. PTO.]]=$B87,IF(DATOS_[[Check Periodo Ref.]:[Check Periodo Ref.]]="Dentro",IF(DATOS_[[Check Equiparado]:[Check Equiparado]]="Sí",IF(DATOS!AH$5="Sí",(1/DATOS_[[% anualiz]:[% anualiz]]),1)*IF(DATOS!AH$4="Sí",1/DATOS_[[% normaliz]:[% normaliz]],1)*(DATOS_[Conc.Sal.04])))))))),
0)</f>
        <v>0</v>
      </c>
      <c r="N89" s="196">
        <f t="array" ref="N89">IFERROR(
(AVERAGE((IF(DATOS_[[Sexo]:[Sexo]]=$B89,IF(DATOS_[[AGRUP. VALOR. PTO.]:[AGRUP. VALOR. PTO.]]=$B87,IF(DATOS_[[Check Periodo Ref.]:[Check Periodo Ref.]]="Dentro",IF(DATOS_[[Check Equiparado]:[Check Equiparado]]="Sí",IF(DATOS!AI$5="Sí",(1/DATOS_[[% anualiz]:[% anualiz]]),1)*IF(DATOS!AI$4="Sí",1/DATOS_[[% normaliz]:[% normaliz]],1)*(DATOS_[Conc.Sal.05])))))))),
0)</f>
        <v>0</v>
      </c>
      <c r="O89" s="196">
        <f t="array" ref="O89">IFERROR(
(AVERAGE((IF(DATOS_[[Sexo]:[Sexo]]=$B89,IF(DATOS_[[AGRUP. VALOR. PTO.]:[AGRUP. VALOR. PTO.]]=$B87,IF(DATOS_[[Check Periodo Ref.]:[Check Periodo Ref.]]="Dentro",IF(DATOS_[[Check Equiparado]:[Check Equiparado]]="Sí",IF(DATOS!AJ$5="Sí",(1/DATOS_[[% anualiz]:[% anualiz]]),1)*IF(DATOS!AJ$4="Sí",1/DATOS_[[% normaliz]:[% normaliz]],1)*(DATOS_[Conc.Sal.06])))))))),
0)</f>
        <v>0</v>
      </c>
      <c r="P89" s="196">
        <f t="array" ref="P89">IFERROR(
(AVERAGE((IF(DATOS_[[Sexo]:[Sexo]]=$B89,IF(DATOS_[[AGRUP. VALOR. PTO.]:[AGRUP. VALOR. PTO.]]=$B87,IF(DATOS_[[Check Periodo Ref.]:[Check Periodo Ref.]]="Dentro",IF(DATOS_[[Check Equiparado]:[Check Equiparado]]="Sí",IF(DATOS!AK$5="Sí",(1/DATOS_[[% anualiz]:[% anualiz]]),1)*IF(DATOS!AK$4="Sí",1/DATOS_[[% normaliz]:[% normaliz]],1)*(DATOS_[Conc.Sal.07])))))))),
0)</f>
        <v>0</v>
      </c>
      <c r="Q89" s="196">
        <f t="array" ref="Q89">IFERROR(
(AVERAGE((IF(DATOS_[[Sexo]:[Sexo]]=$B89,IF(DATOS_[[AGRUP. VALOR. PTO.]:[AGRUP. VALOR. PTO.]]=$B87,IF(DATOS_[[Check Periodo Ref.]:[Check Periodo Ref.]]="Dentro",IF(DATOS_[[Check Equiparado]:[Check Equiparado]]="Sí",IF(DATOS!AL$5="Sí",(1/DATOS_[[% anualiz]:[% anualiz]]),1)*IF(DATOS!AL$4="Sí",1/DATOS_[[% normaliz]:[% normaliz]],1)*(DATOS_[Conc.Sal.08])))))))),
0)</f>
        <v>0</v>
      </c>
      <c r="R89" s="196">
        <f t="array" ref="R89">IFERROR(
(AVERAGE((IF(DATOS_[[Sexo]:[Sexo]]=$B89,IF(DATOS_[[AGRUP. VALOR. PTO.]:[AGRUP. VALOR. PTO.]]=$B87,IF(DATOS_[[Check Periodo Ref.]:[Check Periodo Ref.]]="Dentro",IF(DATOS_[[Check Equiparado]:[Check Equiparado]]="Sí",IF(DATOS!AM$5="Sí",(1/DATOS_[[% anualiz]:[% anualiz]]),1)*IF(DATOS!AM$4="Sí",1/DATOS_[[% normaliz]:[% normaliz]],1)*(DATOS_[Conc.Sal.09])))))))),
0)</f>
        <v>0</v>
      </c>
      <c r="S89" s="196">
        <f t="array" ref="S89">IFERROR(
(AVERAGE((IF(DATOS_[[Sexo]:[Sexo]]=$B89,IF(DATOS_[[AGRUP. VALOR. PTO.]:[AGRUP. VALOR. PTO.]]=$B87,IF(DATOS_[[Check Periodo Ref.]:[Check Periodo Ref.]]="Dentro",IF(DATOS_[[Check Equiparado]:[Check Equiparado]]="Sí",IF(DATOS!AN$5="Sí",(1/DATOS_[[% anualiz]:[% anualiz]]),1)*IF(DATOS!AN$4="Sí",1/DATOS_[[% normaliz]:[% normaliz]],1)*(DATOS_[Conc.Sal.10])))))))),
0)</f>
        <v>0</v>
      </c>
      <c r="T89" s="196">
        <f t="array" ref="T89">IFERROR(
(AVERAGE((IF(DATOS_[[Sexo]:[Sexo]]=$B89,IF(DATOS_[[AGRUP. VALOR. PTO.]:[AGRUP. VALOR. PTO.]]=$B87,IF(DATOS_[[Check Periodo Ref.]:[Check Periodo Ref.]]="Dentro",IF(DATOS_[[Check Equiparado]:[Check Equiparado]]="Sí",IF(DATOS!AO$5="Sí",(1/DATOS_[[% anualiz]:[% anualiz]]),1)*IF(DATOS!AO$4="Sí",1/DATOS_[[% normaliz]:[% normaliz]],1)*(DATOS_[Conc.Sal.11])))))))),
0)</f>
        <v>0</v>
      </c>
      <c r="U89" s="196">
        <f t="array" ref="U89">IFERROR(
(AVERAGE((IF(DATOS_[[Sexo]:[Sexo]]=$B89,IF(DATOS_[[AGRUP. VALOR. PTO.]:[AGRUP. VALOR. PTO.]]=$B87,IF(DATOS_[[Check Periodo Ref.]:[Check Periodo Ref.]]="Dentro",IF(DATOS_[[Check Equiparado]:[Check Equiparado]]="Sí",IF(DATOS!AP$5="Sí",(1/DATOS_[[% anualiz]:[% anualiz]]),1)*IF(DATOS!AP$4="Sí",1/DATOS_[[% normaliz]:[% normaliz]],1)*(DATOS_[Conc.Sal.12])))))))),
0)</f>
        <v>0</v>
      </c>
      <c r="V89" s="196">
        <f t="array" ref="V89">IFERROR(
(AVERAGE((IF(DATOS_[[Sexo]:[Sexo]]=$B89,IF(DATOS_[[AGRUP. VALOR. PTO.]:[AGRUP. VALOR. PTO.]]=$B87,IF(DATOS_[[Check Periodo Ref.]:[Check Periodo Ref.]]="Dentro",IF(DATOS_[[Check Equiparado]:[Check Equiparado]]="Sí",IF(DATOS!AQ$5="Sí",(1/DATOS_[[% anualiz]:[% anualiz]]),1)*IF(DATOS!AQ$4="Sí",1/DATOS_[[% normaliz]:[% normaliz]],1)*(DATOS_[Conc.Sal.13])))))))),
0)</f>
        <v>0</v>
      </c>
      <c r="W89" s="196">
        <f t="array" ref="W89">IFERROR(
(AVERAGE((IF(DATOS_[[Sexo]:[Sexo]]=$B89,IF(DATOS_[[AGRUP. VALOR. PTO.]:[AGRUP. VALOR. PTO.]]=$B87,IF(DATOS_[[Check Periodo Ref.]:[Check Periodo Ref.]]="Dentro",IF(DATOS_[[Check Equiparado]:[Check Equiparado]]="Sí",IF(DATOS!AR$5="Sí",(1/DATOS_[[% anualiz]:[% anualiz]]),1)*IF(DATOS!AR$4="Sí",1/DATOS_[[% normaliz]:[% normaliz]],1)*(DATOS_[Conc.Sal.14])))))))),
0)</f>
        <v>0</v>
      </c>
      <c r="X89" s="196">
        <f t="array" ref="X89">IFERROR(
(AVERAGE((IF(DATOS_[[Sexo]:[Sexo]]=$B89,IF(DATOS_[[AGRUP. VALOR. PTO.]:[AGRUP. VALOR. PTO.]]=$B87,IF(DATOS_[[Check Periodo Ref.]:[Check Periodo Ref.]]="Dentro",IF(DATOS_[[Check Equiparado]:[Check Equiparado]]="Sí",IF(DATOS!AS$5="Sí",(1/DATOS_[[% anualiz]:[% anualiz]]),1)*IF(DATOS!AS$4="Sí",1/DATOS_[[% normaliz]:[% normaliz]],1)*(DATOS_[Conc.Sal.15])))))))),
0)</f>
        <v>0</v>
      </c>
      <c r="Y89" s="196">
        <f t="array" ref="Y89">IFERROR(
(AVERAGE((IF(DATOS_[[Sexo]:[Sexo]]=$B89,IF(DATOS_[[AGRUP. VALOR. PTO.]:[AGRUP. VALOR. PTO.]]=$B87,IF(DATOS_[[Check Periodo Ref.]:[Check Periodo Ref.]]="Dentro",IF(DATOS_[[Check Equiparado]:[Check Equiparado]]="Sí",IF(DATOS!AT$5="Sí",(1/DATOS_[[% anualiz]:[% anualiz]]),1)*IF(DATOS!AT$4="Sí",1/DATOS_[[% normaliz]:[% normaliz]],1)*(DATOS_[Conc.Sal.16])))))))),
0)</f>
        <v>0</v>
      </c>
      <c r="Z89" s="196">
        <f t="array" ref="Z89">IFERROR(
(AVERAGE((IF(DATOS_[[Sexo]:[Sexo]]=$B89,IF(DATOS_[[AGRUP. VALOR. PTO.]:[AGRUP. VALOR. PTO.]]=$B87,IF(DATOS_[[Check Periodo Ref.]:[Check Periodo Ref.]]="Dentro",IF(DATOS_[[Check Equiparado]:[Check Equiparado]]="Sí",IF(DATOS!AU$5="Sí",(1/DATOS_[[% anualiz]:[% anualiz]]),1)*IF(DATOS!AU$4="Sí",1/DATOS_[[% normaliz]:[% normaliz]],1)*(DATOS_[Conc.Sal.17])))))))),
0)</f>
        <v>0</v>
      </c>
      <c r="AA89" s="196">
        <f t="array" ref="AA89">IFERROR(
(AVERAGE((IF(DATOS_[[Sexo]:[Sexo]]=$B89,IF(DATOS_[[AGRUP. VALOR. PTO.]:[AGRUP. VALOR. PTO.]]=$B87,IF(DATOS_[[Check Periodo Ref.]:[Check Periodo Ref.]]="Dentro",IF(DATOS_[[Check Equiparado]:[Check Equiparado]]="Sí",IF(DATOS!AV$5="Sí",(1/DATOS_[[% anualiz]:[% anualiz]]),1)*IF(DATOS!AV$4="Sí",1/DATOS_[[% normaliz]:[% normaliz]],1)*(DATOS_[Conc.Sal.18])))))))),
0)</f>
        <v>0</v>
      </c>
      <c r="AB89" s="196">
        <f t="array" ref="AB89">IFERROR(
(AVERAGE((IF(DATOS_[[Sexo]:[Sexo]]=$B89,IF(DATOS_[[AGRUP. VALOR. PTO.]:[AGRUP. VALOR. PTO.]]=$B87,IF(DATOS_[[Check Periodo Ref.]:[Check Periodo Ref.]]="Dentro",IF(DATOS_[[Check Equiparado]:[Check Equiparado]]="Sí",IF(DATOS!AW$5="Sí",(1/DATOS_[[% anualiz]:[% anualiz]]),1)*IF(DATOS!AW$4="Sí",1/DATOS_[[% normaliz]:[% normaliz]],1)*(DATOS_[Conc.Sal.19])))))))),
0)</f>
        <v>0</v>
      </c>
      <c r="AC89" s="196">
        <f t="array" ref="AC89">IFERROR(
(AVERAGE((IF(DATOS_[[Sexo]:[Sexo]]=$B89,IF(DATOS_[[AGRUP. VALOR. PTO.]:[AGRUP. VALOR. PTO.]]=$B87,IF(DATOS_[[Check Periodo Ref.]:[Check Periodo Ref.]]="Dentro",IF(DATOS_[[Check Equiparado]:[Check Equiparado]]="Sí",IF(DATOS!AX$5="Sí",(1/DATOS_[[% anualiz]:[% anualiz]]),1)*IF(DATOS!AX$4="Sí",1/DATOS_[[% normaliz]:[% normaliz]],1)*(DATOS_[Conc.Sal.20])))))))),
0)</f>
        <v>0</v>
      </c>
      <c r="AD89" s="196">
        <f t="array" ref="AD89">IFERROR(
(AVERAGE((IF(DATOS_[[Sexo]:[Sexo]]=$B89,IF(DATOS_[[AGRUP. VALOR. PTO.]:[AGRUP. VALOR. PTO.]]=$B87,IF(DATOS_[[Check Periodo Ref.]:[Check Periodo Ref.]]="Dentro",IF(DATOS_[[Check Equiparado]:[Check Equiparado]]="Sí",IF(DATOS!AY$5="Sí",(1/DATOS_[[% anualiz]:[% anualiz]]),1)*IF(DATOS!AY$4="Sí",1/DATOS_[[% normaliz]:[% normaliz]],1)*(DATOS_[Conc.Sal.21])))))))),
0)</f>
        <v>0</v>
      </c>
      <c r="AE89" s="196">
        <f t="array" ref="AE89">IFERROR(
(AVERAGE((IF(DATOS_[[Sexo]:[Sexo]]=$B89,IF(DATOS_[[AGRUP. VALOR. PTO.]:[AGRUP. VALOR. PTO.]]=$B87,IF(DATOS_[[Check Periodo Ref.]:[Check Periodo Ref.]]="Dentro",IF(DATOS_[[Check Equiparado]:[Check Equiparado]]="Sí",IF(DATOS!AZ$5="Sí",(1/DATOS_[[% anualiz]:[% anualiz]]),1)*IF(DATOS!AZ$4="Sí",1/DATOS_[[% normaliz]:[% normaliz]],1)*(DATOS_[Conc.Sal.22])))))))),
0)</f>
        <v>0</v>
      </c>
      <c r="AF89" s="196">
        <f t="array" ref="AF89">IFERROR(
(AVERAGE((IF(DATOS_[[Sexo]:[Sexo]]=$B89,IF(DATOS_[[AGRUP. VALOR. PTO.]:[AGRUP. VALOR. PTO.]]=$B87,IF(DATOS_[[Check Periodo Ref.]:[Check Periodo Ref.]]="Dentro",IF(DATOS_[[Check Equiparado]:[Check Equiparado]]="Sí",IF(DATOS!BA$5="Sí",(1/DATOS_[[% anualiz]:[% anualiz]]),1)*IF(DATOS!BA$4="Sí",1/DATOS_[[% normaliz]:[% normaliz]],1)*(DATOS_[Conc.Sal.23])))))))),
0)</f>
        <v>0</v>
      </c>
      <c r="AG89" s="196">
        <f t="array" ref="AG89">IFERROR(
(AVERAGE((IF(DATOS_[[Sexo]:[Sexo]]=$B89,IF(DATOS_[[AGRUP. VALOR. PTO.]:[AGRUP. VALOR. PTO.]]=$B87,IF(DATOS_[[Check Periodo Ref.]:[Check Periodo Ref.]]="Dentro",IF(DATOS_[[Check Equiparado]:[Check Equiparado]]="Sí",IF(DATOS!BB$5="Sí",(1/DATOS_[[% anualiz]:[% anualiz]]),1)*IF(DATOS!BB$4="Sí",1/DATOS_[[% normaliz]:[% normaliz]],1)*(DATOS_[Conc.Sal.24])))))))),
0)</f>
        <v>0</v>
      </c>
      <c r="AH89" s="196">
        <f t="array" ref="AH89">IFERROR(
(AVERAGE((IF(DATOS_[[Sexo]:[Sexo]]=$B89,IF(DATOS_[[AGRUP. VALOR. PTO.]:[AGRUP. VALOR. PTO.]]=$B87,IF(DATOS_[[Check Periodo Ref.]:[Check Periodo Ref.]]="Dentro",IF(DATOS_[[Check Equiparado]:[Check Equiparado]]="Sí",IF(DATOS!BC$5="Sí",(1/DATOS_[[% anualiz]:[% anualiz]]),1)*IF(DATOS!BC$4="Sí",1/DATOS_[[% normaliz]:[% normaliz]],1)*(DATOS_[Conc.Sal.25])))))))),
0)</f>
        <v>0</v>
      </c>
      <c r="AI89" s="196">
        <f t="array" ref="AI89">IFERROR(
(AVERAGE((IF(DATOS_[[Sexo]:[Sexo]]=$B89,IF(DATOS_[[AGRUP. VALOR. PTO.]:[AGRUP. VALOR. PTO.]]=$B87,IF(DATOS_[[Check Periodo Ref.]:[Check Periodo Ref.]]="Dentro",IF(DATOS_[[Check Equiparado]:[Check Equiparado]]="Sí",IF(DATOS!BD$5="Sí",(1/DATOS_[[% anualiz]:[% anualiz]]),1)*IF(DATOS!BD$4="Sí",1/DATOS_[[% normaliz]:[% normaliz]],1)*(DATOS_[Conc.Sal.26])))))))),
0)</f>
        <v>0</v>
      </c>
      <c r="AJ89" s="196">
        <f t="array" ref="AJ89">IFERROR(
(AVERAGE((IF(DATOS_[[Sexo]:[Sexo]]=$B89,IF(DATOS_[[AGRUP. VALOR. PTO.]:[AGRUP. VALOR. PTO.]]=$B87,IF(DATOS_[[Check Periodo Ref.]:[Check Periodo Ref.]]="Dentro",IF(DATOS_[[Check Equiparado]:[Check Equiparado]]="Sí",IF(DATOS!BE$5="Sí",(1/DATOS_[[% anualiz]:[% anualiz]]),1)*IF(DATOS!BE$4="Sí",1/DATOS_[[% normaliz]:[% normaliz]],1)*(DATOS_[Conc.Sal.27])))))))),
0)</f>
        <v>0</v>
      </c>
      <c r="AK89" s="196">
        <f t="array" ref="AK89">IFERROR(
(AVERAGE((IF(DATOS_[[Sexo]:[Sexo]]=$B89,IF(DATOS_[[AGRUP. VALOR. PTO.]:[AGRUP. VALOR. PTO.]]=$B87,IF(DATOS_[[Check Periodo Ref.]:[Check Periodo Ref.]]="Dentro",IF(DATOS_[[Check Equiparado]:[Check Equiparado]]="Sí",IF(DATOS!BF$5="Sí",(1/DATOS_[[% anualiz]:[% anualiz]]),1)*IF(DATOS!BF$4="Sí",1/DATOS_[[% normaliz]:[% normaliz]],1)*(DATOS_[Conc.Sal.28])))))))),
0)</f>
        <v>0</v>
      </c>
      <c r="AL89" s="196">
        <f t="array" ref="AL89">IFERROR(
(AVERAGE((IF(DATOS_[[Sexo]:[Sexo]]=$B89,IF(DATOS_[[AGRUP. VALOR. PTO.]:[AGRUP. VALOR. PTO.]]=$B87,IF(DATOS_[[Check Periodo Ref.]:[Check Periodo Ref.]]="Dentro",IF(DATOS_[[Check Equiparado]:[Check Equiparado]]="Sí",IF(DATOS!BG$5="Sí",(1/DATOS_[[% anualiz]:[% anualiz]]),1)*IF(DATOS!BG$4="Sí",1/DATOS_[[% normaliz]:[% normaliz]],1)*(DATOS_[Conc.Sal.29])))))))),
0)</f>
        <v>0</v>
      </c>
      <c r="AM89" s="196">
        <f t="array" ref="AM89">IFERROR(
(AVERAGE((IF(DATOS_[[Sexo]:[Sexo]]=$B89,IF(DATOS_[[AGRUP. VALOR. PTO.]:[AGRUP. VALOR. PTO.]]=$B87,IF(DATOS_[[Check Periodo Ref.]:[Check Periodo Ref.]]="Dentro",IF(DATOS_[[Check Equiparado]:[Check Equiparado]]="Sí",IF(DATOS!BH$5="Sí",(1/DATOS_[[% anualiz]:[% anualiz]]),1)*IF(DATOS!BH$4="Sí",1/DATOS_[[% normaliz]:[% normaliz]],1)*(DATOS_[Conc.Sal.30])))))))),
0)</f>
        <v>0</v>
      </c>
      <c r="AN89" s="195">
        <f t="array" ref="AN89">IFERROR(
AVERAGE(IF(DATOS_[Sexo]=$B89,IF(DATOS_[[AGRUP. VALOR. PTO.]:[AGRUP. VALOR. PTO.]]=$B87,IF(DATOS_[Check Equiparado]="Sí",IF(DATOS_[Check Periodo Ref.]="Dentro",DATOS_[Tot COMPL.SAL Eq],FALSE))))),
0)</f>
        <v>0</v>
      </c>
      <c r="AO89" s="172">
        <f t="array" ref="AO89">IFERROR(
AVERAGE(IF(DATOS_[Sexo]=$B89,IF(DATOS_[[AGRUP. VALOR. PTO.]:[AGRUP. VALOR. PTO.]]=$B87,IF(DATOS_[Check Equiparado]="Sí",IF(DATOS_[Check Periodo Ref.]="Dentro",DATOS_[TOTAL SALARIO Eq],FALSE))))),
0)</f>
        <v>0</v>
      </c>
      <c r="AP89" s="173">
        <f t="array" ref="AP89">IFERROR(
(AVERAGE((IF(DATOS_[[Sexo]:[Sexo]]=$B89,IF(DATOS_[[AGRUP. VALOR. PTO.]:[AGRUP. VALOR. PTO.]]=$B87,IF(DATOS_[[Check Periodo Ref.]:[Check Periodo Ref.]]="Dentro",IF(DATOS_[[Check Equiparado]:[Check Equiparado]]="Sí",IF(DATOS!BW$5="Sí",(1/DATOS_[[% anualiz]:[% anualiz]]),1)*IF(DATOS!BW$4="Sí",1/DATOS_[[% normaliz]:[% normaliz]],1)*(DATOS_[C.Extra.01])))))))),
0)</f>
        <v>0</v>
      </c>
      <c r="AQ89" s="173">
        <f t="array" ref="AQ89">IFERROR(
(AVERAGE((IF(DATOS_[[Sexo]:[Sexo]]=$B89,IF(DATOS_[[AGRUP. VALOR. PTO.]:[AGRUP. VALOR. PTO.]]=$B87,IF(DATOS_[[Check Periodo Ref.]:[Check Periodo Ref.]]="Dentro",IF(DATOS_[[Check Equiparado]:[Check Equiparado]]="Sí",IF(DATOS!CB$5="Sí",(1/DATOS_[[% anualiz]:[% anualiz]]),1)*IF(DATOS!CB$4="Sí",1/DATOS_[[% normaliz]:[% normaliz]],1)*(DATOS_[C.Extra.06])))))))),
0)</f>
        <v>0</v>
      </c>
      <c r="AR89" s="173">
        <f t="array" ref="AR89">IFERROR(
(AVERAGE((IF(DATOS_[[Sexo]:[Sexo]]=$B89,IF(DATOS_[[AGRUP. VALOR. PTO.]:[AGRUP. VALOR. PTO.]]=$B87,IF(DATOS_[[Check Periodo Ref.]:[Check Periodo Ref.]]="Dentro",IF(DATOS_[[Check Equiparado]:[Check Equiparado]]="Sí",IF(DATOS!CC$5="Sí",(1/DATOS_[[% anualiz]:[% anualiz]]),1)*IF(DATOS!CC$4="Sí",1/DATOS_[[% normaliz]:[% normaliz]],1)*(DATOS_[C.Extra.07])))))))),
0)</f>
        <v>0</v>
      </c>
      <c r="AS89" s="173">
        <f t="array" ref="AS89">IFERROR(
(AVERAGE((IF(DATOS_[[Sexo]:[Sexo]]=$B89,IF(DATOS_[[AGRUP. VALOR. PTO.]:[AGRUP. VALOR. PTO.]]=$B87,IF(DATOS_[[Check Periodo Ref.]:[Check Periodo Ref.]]="Dentro",IF(DATOS_[[Check Equiparado]:[Check Equiparado]]="Sí",IF(DATOS!CD$5="Sí",(1/DATOS_[[% anualiz]:[% anualiz]]),1)*IF(DATOS!CD$4="Sí",1/DATOS_[[% normaliz]:[% normaliz]],1)*(DATOS_[C.Extra.08])))))))),
0)</f>
        <v>0</v>
      </c>
      <c r="AT89" s="173">
        <f t="array" ref="AT89">IFERROR(
(AVERAGE((IF(DATOS_[[Sexo]:[Sexo]]=$B89,IF(DATOS_[[AGRUP. VALOR. PTO.]:[AGRUP. VALOR. PTO.]]=$B87,IF(DATOS_[[Check Periodo Ref.]:[Check Periodo Ref.]]="Dentro",IF(DATOS_[[Check Equiparado]:[Check Equiparado]]="Sí",IF(DATOS!CG$5="Sí",(1/DATOS_[[% anualiz]:[% anualiz]]),1)*IF(DATOS!CG$4="Sí",1/DATOS_[[% normaliz]:[% normaliz]],1)*(DATOS_[C.Extra.11])))))))),
0)</f>
        <v>0</v>
      </c>
      <c r="AU89" s="197">
        <f t="array" ref="AU89">IFERROR(
AVERAGE(IF(DATOS_[Sexo]=$B89,IF(DATOS_[[AGRUP. VALOR. PTO.]:[AGRUP. VALOR. PTO.]]=$B87,IF(DATOS_[Check Equiparado]="Sí",IF(DATOS_[Check Periodo Ref.]="Dentro",DATOS_[Tot Extrasalarial Eq],FALSE))))),
0)</f>
        <v>0</v>
      </c>
      <c r="AV89" s="175">
        <f t="array" ref="AV89">IFERROR(
AVERAGE(IF(DATOS_[Sexo]=$B89,IF(DATOS_[[AGRUP. VALOR. PTO.]:[AGRUP. VALOR. PTO.]]=$B87,IF(DATOS_[Check Equiparado]="Sí",IF(DATOS_[Check Periodo Ref.]="Dentro",DATOS_[TOTAL Retrib Eq],FALSE))))),
0)</f>
        <v>0</v>
      </c>
    </row>
    <row r="90" spans="1:48" ht="15.6" thickBot="1" x14ac:dyDescent="0.3">
      <c r="A90" s="133" t="str">
        <f t="shared" ref="A90" si="103">+A91</f>
        <v>[ocultar]</v>
      </c>
      <c r="B90" s="199" t="s">
        <v>278</v>
      </c>
      <c r="C90" s="200"/>
      <c r="D90" s="201"/>
      <c r="E90" s="201"/>
      <c r="F90" s="201"/>
      <c r="G90" s="201"/>
      <c r="H90" s="201"/>
      <c r="I90" s="189" t="str">
        <f t="shared" ref="I90:AV90" si="104">IFERROR((I91-I92)/I91,"")</f>
        <v/>
      </c>
      <c r="J90" s="190" t="str">
        <f t="shared" si="104"/>
        <v/>
      </c>
      <c r="K90" s="191" t="str">
        <f t="shared" si="104"/>
        <v/>
      </c>
      <c r="L90" s="191" t="str">
        <f t="shared" si="104"/>
        <v/>
      </c>
      <c r="M90" s="191" t="str">
        <f t="shared" si="104"/>
        <v/>
      </c>
      <c r="N90" s="192" t="str">
        <f t="shared" si="104"/>
        <v/>
      </c>
      <c r="O90" s="193" t="str">
        <f t="shared" si="104"/>
        <v/>
      </c>
      <c r="P90" s="193" t="str">
        <f t="shared" si="104"/>
        <v/>
      </c>
      <c r="Q90" s="193" t="str">
        <f t="shared" si="104"/>
        <v/>
      </c>
      <c r="R90" s="193" t="str">
        <f t="shared" si="104"/>
        <v/>
      </c>
      <c r="S90" s="193" t="str">
        <f t="shared" si="104"/>
        <v/>
      </c>
      <c r="T90" s="193" t="str">
        <f t="shared" si="104"/>
        <v/>
      </c>
      <c r="U90" s="193" t="str">
        <f t="shared" si="104"/>
        <v/>
      </c>
      <c r="V90" s="193" t="str">
        <f t="shared" si="104"/>
        <v/>
      </c>
      <c r="W90" s="193" t="str">
        <f t="shared" si="104"/>
        <v/>
      </c>
      <c r="X90" s="193" t="str">
        <f t="shared" si="104"/>
        <v/>
      </c>
      <c r="Y90" s="193" t="str">
        <f t="shared" si="104"/>
        <v/>
      </c>
      <c r="Z90" s="193" t="str">
        <f t="shared" si="104"/>
        <v/>
      </c>
      <c r="AA90" s="193" t="str">
        <f t="shared" si="104"/>
        <v/>
      </c>
      <c r="AB90" s="193" t="str">
        <f t="shared" si="104"/>
        <v/>
      </c>
      <c r="AC90" s="193" t="str">
        <f t="shared" si="104"/>
        <v/>
      </c>
      <c r="AD90" s="193" t="str">
        <f t="shared" si="104"/>
        <v/>
      </c>
      <c r="AE90" s="193" t="str">
        <f t="shared" si="104"/>
        <v/>
      </c>
      <c r="AF90" s="193" t="str">
        <f t="shared" si="104"/>
        <v/>
      </c>
      <c r="AG90" s="193" t="str">
        <f t="shared" si="104"/>
        <v/>
      </c>
      <c r="AH90" s="193" t="str">
        <f t="shared" si="104"/>
        <v/>
      </c>
      <c r="AI90" s="193" t="str">
        <f t="shared" si="104"/>
        <v/>
      </c>
      <c r="AJ90" s="193" t="str">
        <f t="shared" si="104"/>
        <v/>
      </c>
      <c r="AK90" s="193" t="str">
        <f t="shared" si="104"/>
        <v/>
      </c>
      <c r="AL90" s="193" t="str">
        <f t="shared" si="104"/>
        <v/>
      </c>
      <c r="AM90" s="193" t="str">
        <f t="shared" si="104"/>
        <v/>
      </c>
      <c r="AN90" s="189" t="str">
        <f t="shared" si="104"/>
        <v/>
      </c>
      <c r="AO90" s="162" t="str">
        <f t="shared" si="104"/>
        <v/>
      </c>
      <c r="AP90" s="163" t="str">
        <f t="shared" si="104"/>
        <v/>
      </c>
      <c r="AQ90" s="163" t="str">
        <f t="shared" si="104"/>
        <v/>
      </c>
      <c r="AR90" s="163" t="str">
        <f t="shared" si="104"/>
        <v/>
      </c>
      <c r="AS90" s="163" t="str">
        <f t="shared" si="104"/>
        <v/>
      </c>
      <c r="AT90" s="163" t="str">
        <f t="shared" si="104"/>
        <v/>
      </c>
      <c r="AU90" s="194" t="str">
        <f t="shared" si="104"/>
        <v/>
      </c>
      <c r="AV90" s="165" t="str">
        <f t="shared" si="104"/>
        <v/>
      </c>
    </row>
    <row r="91" spans="1:48" x14ac:dyDescent="0.25">
      <c r="A91" s="133" t="str">
        <f t="shared" ref="A91" si="105">+IF(C91+C92=0,"[ocultar]","")</f>
        <v>[ocultar]</v>
      </c>
      <c r="B91" s="202" t="s">
        <v>394</v>
      </c>
      <c r="C91" s="203">
        <f t="array" ref="C91">SUM(IF($B91=DATOS_[Sexo],
IF($B90=DATOS_[AGRUP. VALOR. PTO.],
IF("Dentro"=DATOS_[Check Periodo Ref.],
1/(COUNTIFS(DATOS_[Sexo],$B91,DATOS_[AGRUP. VALOR. PTO.],$B90,DATOS_[Check Periodo Ref.],"Dentro",DATOS_[id/cod],DATOS_[id/cod]))))))</f>
        <v>0</v>
      </c>
      <c r="D91" s="204">
        <f>COUNTIFS(DATOS_[AGRUP. VALOR. PTO.],$B90,DATOS_[Sexo],$B91,DATOS_[Check Periodo Ref.],"Dentro")</f>
        <v>0</v>
      </c>
      <c r="E91" s="204">
        <f>COUNTIFS(DATOS_[AGRUP. VALOR. PTO.],$B90,DATOS_[Sexo],$B91,DATOS_[Check Periodo Ref.],"Dentro",DATOS_[Check Nº SC Norm],"Sí")</f>
        <v>0</v>
      </c>
      <c r="F91" s="204">
        <f>COUNTIFS(DATOS_[AGRUP. VALOR. PTO.],$B90,DATOS_[Sexo],$B91,DATOS_[Check Periodo Ref.],"Dentro",DATOS_[Check Nº SC Anualiz],"Sí")</f>
        <v>0</v>
      </c>
      <c r="G91" s="204">
        <f>COUNTIFS(DATOS_[AGRUP. VALOR. PTO.],$B90,DATOS_[Sexo],$B91,DATOS_[Check Periodo Ref.],"Dentro",DATOS_[Check Nº SC Norm y Anualiz],"Sí")</f>
        <v>0</v>
      </c>
      <c r="H91" s="204">
        <f>COUNTIFS(DATOS_[AGRUP. VALOR. PTO.],$B90,DATOS_[Sexo],$B91,DATOS_[Check Periodo Ref.],"Dentro",DATOS_[Check Equiparación],"Sí")</f>
        <v>0</v>
      </c>
      <c r="I91" s="195">
        <f t="array" ref="I91">IFERROR(
AVERAGE(IF(DATOS_[Sexo]=$B91,IF(DATOS_[[AGRUP. VALOR. PTO.]:[AGRUP. VALOR. PTO.]]=$B90,IF(DATOS_[Check Equiparado]="Sí",IF(DATOS_[Check Periodo Ref.]="Dentro",DATOS_[SALARIO BASE Eq],FALSE))))),
0)</f>
        <v>0</v>
      </c>
      <c r="J91" s="196">
        <f t="array" ref="J91">IFERROR(
(AVERAGE((IF(DATOS_[[Sexo]:[Sexo]]=$B91,IF(DATOS_[[AGRUP. VALOR. PTO.]:[AGRUP. VALOR. PTO.]]=$B90,IF(DATOS_[[Check Periodo Ref.]:[Check Periodo Ref.]]="Dentro",IF(DATOS_[[Check Equiparado]:[Check Equiparado]]="Sí",IF(DATOS!AE$5="Sí",(1/DATOS_[[% anualiz]:[% anualiz]]),1)*IF(DATOS!AE$4="Sí",1/DATOS_[[% normaliz]:[% normaliz]],1)*(DATOS_[Conc.Sal.01])))))))),
0)</f>
        <v>0</v>
      </c>
      <c r="K91" s="196">
        <f t="array" ref="K91">IFERROR(
(AVERAGE((IF(DATOS_[[Sexo]:[Sexo]]=$B91,IF(DATOS_[[AGRUP. VALOR. PTO.]:[AGRUP. VALOR. PTO.]]=$B90,IF(DATOS_[[Check Periodo Ref.]:[Check Periodo Ref.]]="Dentro",IF(DATOS_[[Check Equiparado]:[Check Equiparado]]="Sí",IF(DATOS!AF$5="Sí",(1/DATOS_[[% anualiz]:[% anualiz]]),1)*IF(DATOS!AF$4="Sí",1/DATOS_[[% normaliz]:[% normaliz]],1)*(DATOS_[Conc.Sal.02])))))))),
0)</f>
        <v>0</v>
      </c>
      <c r="L91" s="196">
        <f t="array" ref="L91">IFERROR(
(AVERAGE((IF(DATOS_[[Sexo]:[Sexo]]=$B91,IF(DATOS_[[AGRUP. VALOR. PTO.]:[AGRUP. VALOR. PTO.]]=$B90,IF(DATOS_[[Check Periodo Ref.]:[Check Periodo Ref.]]="Dentro",IF(DATOS_[[Check Equiparado]:[Check Equiparado]]="Sí",IF(DATOS!AG$5="Sí",(1/DATOS_[[% anualiz]:[% anualiz]]),1)*IF(DATOS!AG$4="Sí",1/DATOS_[[% normaliz]:[% normaliz]],1)*(DATOS_[Conc.Sal.03])))))))),
0)</f>
        <v>0</v>
      </c>
      <c r="M91" s="196">
        <f t="array" ref="M91">IFERROR(
(AVERAGE((IF(DATOS_[[Sexo]:[Sexo]]=$B91,IF(DATOS_[[AGRUP. VALOR. PTO.]:[AGRUP. VALOR. PTO.]]=$B90,IF(DATOS_[[Check Periodo Ref.]:[Check Periodo Ref.]]="Dentro",IF(DATOS_[[Check Equiparado]:[Check Equiparado]]="Sí",IF(DATOS!AH$5="Sí",(1/DATOS_[[% anualiz]:[% anualiz]]),1)*IF(DATOS!AH$4="Sí",1/DATOS_[[% normaliz]:[% normaliz]],1)*(DATOS_[Conc.Sal.04])))))))),
0)</f>
        <v>0</v>
      </c>
      <c r="N91" s="196">
        <f t="array" ref="N91">IFERROR(
(AVERAGE((IF(DATOS_[[Sexo]:[Sexo]]=$B91,IF(DATOS_[[AGRUP. VALOR. PTO.]:[AGRUP. VALOR. PTO.]]=$B90,IF(DATOS_[[Check Periodo Ref.]:[Check Periodo Ref.]]="Dentro",IF(DATOS_[[Check Equiparado]:[Check Equiparado]]="Sí",IF(DATOS!AI$5="Sí",(1/DATOS_[[% anualiz]:[% anualiz]]),1)*IF(DATOS!AI$4="Sí",1/DATOS_[[% normaliz]:[% normaliz]],1)*(DATOS_[Conc.Sal.05])))))))),
0)</f>
        <v>0</v>
      </c>
      <c r="O91" s="196">
        <f t="array" ref="O91">IFERROR(
(AVERAGE((IF(DATOS_[[Sexo]:[Sexo]]=$B91,IF(DATOS_[[AGRUP. VALOR. PTO.]:[AGRUP. VALOR. PTO.]]=$B90,IF(DATOS_[[Check Periodo Ref.]:[Check Periodo Ref.]]="Dentro",IF(DATOS_[[Check Equiparado]:[Check Equiparado]]="Sí",IF(DATOS!AJ$5="Sí",(1/DATOS_[[% anualiz]:[% anualiz]]),1)*IF(DATOS!AJ$4="Sí",1/DATOS_[[% normaliz]:[% normaliz]],1)*(DATOS_[Conc.Sal.06])))))))),
0)</f>
        <v>0</v>
      </c>
      <c r="P91" s="196">
        <f t="array" ref="P91">IFERROR(
(AVERAGE((IF(DATOS_[[Sexo]:[Sexo]]=$B91,IF(DATOS_[[AGRUP. VALOR. PTO.]:[AGRUP. VALOR. PTO.]]=$B90,IF(DATOS_[[Check Periodo Ref.]:[Check Periodo Ref.]]="Dentro",IF(DATOS_[[Check Equiparado]:[Check Equiparado]]="Sí",IF(DATOS!AK$5="Sí",(1/DATOS_[[% anualiz]:[% anualiz]]),1)*IF(DATOS!AK$4="Sí",1/DATOS_[[% normaliz]:[% normaliz]],1)*(DATOS_[Conc.Sal.07])))))))),
0)</f>
        <v>0</v>
      </c>
      <c r="Q91" s="196">
        <f t="array" ref="Q91">IFERROR(
(AVERAGE((IF(DATOS_[[Sexo]:[Sexo]]=$B91,IF(DATOS_[[AGRUP. VALOR. PTO.]:[AGRUP. VALOR. PTO.]]=$B90,IF(DATOS_[[Check Periodo Ref.]:[Check Periodo Ref.]]="Dentro",IF(DATOS_[[Check Equiparado]:[Check Equiparado]]="Sí",IF(DATOS!AL$5="Sí",(1/DATOS_[[% anualiz]:[% anualiz]]),1)*IF(DATOS!AL$4="Sí",1/DATOS_[[% normaliz]:[% normaliz]],1)*(DATOS_[Conc.Sal.08])))))))),
0)</f>
        <v>0</v>
      </c>
      <c r="R91" s="196">
        <f t="array" ref="R91">IFERROR(
(AVERAGE((IF(DATOS_[[Sexo]:[Sexo]]=$B91,IF(DATOS_[[AGRUP. VALOR. PTO.]:[AGRUP. VALOR. PTO.]]=$B90,IF(DATOS_[[Check Periodo Ref.]:[Check Periodo Ref.]]="Dentro",IF(DATOS_[[Check Equiparado]:[Check Equiparado]]="Sí",IF(DATOS!AM$5="Sí",(1/DATOS_[[% anualiz]:[% anualiz]]),1)*IF(DATOS!AM$4="Sí",1/DATOS_[[% normaliz]:[% normaliz]],1)*(DATOS_[Conc.Sal.09])))))))),
0)</f>
        <v>0</v>
      </c>
      <c r="S91" s="196">
        <f t="array" ref="S91">IFERROR(
(AVERAGE((IF(DATOS_[[Sexo]:[Sexo]]=$B91,IF(DATOS_[[AGRUP. VALOR. PTO.]:[AGRUP. VALOR. PTO.]]=$B90,IF(DATOS_[[Check Periodo Ref.]:[Check Periodo Ref.]]="Dentro",IF(DATOS_[[Check Equiparado]:[Check Equiparado]]="Sí",IF(DATOS!AN$5="Sí",(1/DATOS_[[% anualiz]:[% anualiz]]),1)*IF(DATOS!AN$4="Sí",1/DATOS_[[% normaliz]:[% normaliz]],1)*(DATOS_[Conc.Sal.10])))))))),
0)</f>
        <v>0</v>
      </c>
      <c r="T91" s="196">
        <f t="array" ref="T91">IFERROR(
(AVERAGE((IF(DATOS_[[Sexo]:[Sexo]]=$B91,IF(DATOS_[[AGRUP. VALOR. PTO.]:[AGRUP. VALOR. PTO.]]=$B90,IF(DATOS_[[Check Periodo Ref.]:[Check Periodo Ref.]]="Dentro",IF(DATOS_[[Check Equiparado]:[Check Equiparado]]="Sí",IF(DATOS!AO$5="Sí",(1/DATOS_[[% anualiz]:[% anualiz]]),1)*IF(DATOS!AO$4="Sí",1/DATOS_[[% normaliz]:[% normaliz]],1)*(DATOS_[Conc.Sal.11])))))))),
0)</f>
        <v>0</v>
      </c>
      <c r="U91" s="196">
        <f t="array" ref="U91">IFERROR(
(AVERAGE((IF(DATOS_[[Sexo]:[Sexo]]=$B91,IF(DATOS_[[AGRUP. VALOR. PTO.]:[AGRUP. VALOR. PTO.]]=$B90,IF(DATOS_[[Check Periodo Ref.]:[Check Periodo Ref.]]="Dentro",IF(DATOS_[[Check Equiparado]:[Check Equiparado]]="Sí",IF(DATOS!AP$5="Sí",(1/DATOS_[[% anualiz]:[% anualiz]]),1)*IF(DATOS!AP$4="Sí",1/DATOS_[[% normaliz]:[% normaliz]],1)*(DATOS_[Conc.Sal.12])))))))),
0)</f>
        <v>0</v>
      </c>
      <c r="V91" s="196">
        <f t="array" ref="V91">IFERROR(
(AVERAGE((IF(DATOS_[[Sexo]:[Sexo]]=$B91,IF(DATOS_[[AGRUP. VALOR. PTO.]:[AGRUP. VALOR. PTO.]]=$B90,IF(DATOS_[[Check Periodo Ref.]:[Check Periodo Ref.]]="Dentro",IF(DATOS_[[Check Equiparado]:[Check Equiparado]]="Sí",IF(DATOS!AQ$5="Sí",(1/DATOS_[[% anualiz]:[% anualiz]]),1)*IF(DATOS!AQ$4="Sí",1/DATOS_[[% normaliz]:[% normaliz]],1)*(DATOS_[Conc.Sal.13])))))))),
0)</f>
        <v>0</v>
      </c>
      <c r="W91" s="196">
        <f t="array" ref="W91">IFERROR(
(AVERAGE((IF(DATOS_[[Sexo]:[Sexo]]=$B91,IF(DATOS_[[AGRUP. VALOR. PTO.]:[AGRUP. VALOR. PTO.]]=$B90,IF(DATOS_[[Check Periodo Ref.]:[Check Periodo Ref.]]="Dentro",IF(DATOS_[[Check Equiparado]:[Check Equiparado]]="Sí",IF(DATOS!AR$5="Sí",(1/DATOS_[[% anualiz]:[% anualiz]]),1)*IF(DATOS!AR$4="Sí",1/DATOS_[[% normaliz]:[% normaliz]],1)*(DATOS_[Conc.Sal.14])))))))),
0)</f>
        <v>0</v>
      </c>
      <c r="X91" s="196">
        <f t="array" ref="X91">IFERROR(
(AVERAGE((IF(DATOS_[[Sexo]:[Sexo]]=$B91,IF(DATOS_[[AGRUP. VALOR. PTO.]:[AGRUP. VALOR. PTO.]]=$B90,IF(DATOS_[[Check Periodo Ref.]:[Check Periodo Ref.]]="Dentro",IF(DATOS_[[Check Equiparado]:[Check Equiparado]]="Sí",IF(DATOS!AS$5="Sí",(1/DATOS_[[% anualiz]:[% anualiz]]),1)*IF(DATOS!AS$4="Sí",1/DATOS_[[% normaliz]:[% normaliz]],1)*(DATOS_[Conc.Sal.15])))))))),
0)</f>
        <v>0</v>
      </c>
      <c r="Y91" s="196">
        <f t="array" ref="Y91">IFERROR(
(AVERAGE((IF(DATOS_[[Sexo]:[Sexo]]=$B91,IF(DATOS_[[AGRUP. VALOR. PTO.]:[AGRUP. VALOR. PTO.]]=$B90,IF(DATOS_[[Check Periodo Ref.]:[Check Periodo Ref.]]="Dentro",IF(DATOS_[[Check Equiparado]:[Check Equiparado]]="Sí",IF(DATOS!AT$5="Sí",(1/DATOS_[[% anualiz]:[% anualiz]]),1)*IF(DATOS!AT$4="Sí",1/DATOS_[[% normaliz]:[% normaliz]],1)*(DATOS_[Conc.Sal.16])))))))),
0)</f>
        <v>0</v>
      </c>
      <c r="Z91" s="196">
        <f t="array" ref="Z91">IFERROR(
(AVERAGE((IF(DATOS_[[Sexo]:[Sexo]]=$B91,IF(DATOS_[[AGRUP. VALOR. PTO.]:[AGRUP. VALOR. PTO.]]=$B90,IF(DATOS_[[Check Periodo Ref.]:[Check Periodo Ref.]]="Dentro",IF(DATOS_[[Check Equiparado]:[Check Equiparado]]="Sí",IF(DATOS!AU$5="Sí",(1/DATOS_[[% anualiz]:[% anualiz]]),1)*IF(DATOS!AU$4="Sí",1/DATOS_[[% normaliz]:[% normaliz]],1)*(DATOS_[Conc.Sal.17])))))))),
0)</f>
        <v>0</v>
      </c>
      <c r="AA91" s="196">
        <f t="array" ref="AA91">IFERROR(
(AVERAGE((IF(DATOS_[[Sexo]:[Sexo]]=$B91,IF(DATOS_[[AGRUP. VALOR. PTO.]:[AGRUP. VALOR. PTO.]]=$B90,IF(DATOS_[[Check Periodo Ref.]:[Check Periodo Ref.]]="Dentro",IF(DATOS_[[Check Equiparado]:[Check Equiparado]]="Sí",IF(DATOS!AV$5="Sí",(1/DATOS_[[% anualiz]:[% anualiz]]),1)*IF(DATOS!AV$4="Sí",1/DATOS_[[% normaliz]:[% normaliz]],1)*(DATOS_[Conc.Sal.18])))))))),
0)</f>
        <v>0</v>
      </c>
      <c r="AB91" s="196">
        <f t="array" ref="AB91">IFERROR(
(AVERAGE((IF(DATOS_[[Sexo]:[Sexo]]=$B91,IF(DATOS_[[AGRUP. VALOR. PTO.]:[AGRUP. VALOR. PTO.]]=$B90,IF(DATOS_[[Check Periodo Ref.]:[Check Periodo Ref.]]="Dentro",IF(DATOS_[[Check Equiparado]:[Check Equiparado]]="Sí",IF(DATOS!AW$5="Sí",(1/DATOS_[[% anualiz]:[% anualiz]]),1)*IF(DATOS!AW$4="Sí",1/DATOS_[[% normaliz]:[% normaliz]],1)*(DATOS_[Conc.Sal.19])))))))),
0)</f>
        <v>0</v>
      </c>
      <c r="AC91" s="196">
        <f t="array" ref="AC91">IFERROR(
(AVERAGE((IF(DATOS_[[Sexo]:[Sexo]]=$B91,IF(DATOS_[[AGRUP. VALOR. PTO.]:[AGRUP. VALOR. PTO.]]=$B90,IF(DATOS_[[Check Periodo Ref.]:[Check Periodo Ref.]]="Dentro",IF(DATOS_[[Check Equiparado]:[Check Equiparado]]="Sí",IF(DATOS!AX$5="Sí",(1/DATOS_[[% anualiz]:[% anualiz]]),1)*IF(DATOS!AX$4="Sí",1/DATOS_[[% normaliz]:[% normaliz]],1)*(DATOS_[Conc.Sal.20])))))))),
0)</f>
        <v>0</v>
      </c>
      <c r="AD91" s="196">
        <f t="array" ref="AD91">IFERROR(
(AVERAGE((IF(DATOS_[[Sexo]:[Sexo]]=$B91,IF(DATOS_[[AGRUP. VALOR. PTO.]:[AGRUP. VALOR. PTO.]]=$B90,IF(DATOS_[[Check Periodo Ref.]:[Check Periodo Ref.]]="Dentro",IF(DATOS_[[Check Equiparado]:[Check Equiparado]]="Sí",IF(DATOS!AY$5="Sí",(1/DATOS_[[% anualiz]:[% anualiz]]),1)*IF(DATOS!AY$4="Sí",1/DATOS_[[% normaliz]:[% normaliz]],1)*(DATOS_[Conc.Sal.21])))))))),
0)</f>
        <v>0</v>
      </c>
      <c r="AE91" s="196">
        <f t="array" ref="AE91">IFERROR(
(AVERAGE((IF(DATOS_[[Sexo]:[Sexo]]=$B91,IF(DATOS_[[AGRUP. VALOR. PTO.]:[AGRUP. VALOR. PTO.]]=$B90,IF(DATOS_[[Check Periodo Ref.]:[Check Periodo Ref.]]="Dentro",IF(DATOS_[[Check Equiparado]:[Check Equiparado]]="Sí",IF(DATOS!AZ$5="Sí",(1/DATOS_[[% anualiz]:[% anualiz]]),1)*IF(DATOS!AZ$4="Sí",1/DATOS_[[% normaliz]:[% normaliz]],1)*(DATOS_[Conc.Sal.22])))))))),
0)</f>
        <v>0</v>
      </c>
      <c r="AF91" s="196">
        <f t="array" ref="AF91">IFERROR(
(AVERAGE((IF(DATOS_[[Sexo]:[Sexo]]=$B91,IF(DATOS_[[AGRUP. VALOR. PTO.]:[AGRUP. VALOR. PTO.]]=$B90,IF(DATOS_[[Check Periodo Ref.]:[Check Periodo Ref.]]="Dentro",IF(DATOS_[[Check Equiparado]:[Check Equiparado]]="Sí",IF(DATOS!BA$5="Sí",(1/DATOS_[[% anualiz]:[% anualiz]]),1)*IF(DATOS!BA$4="Sí",1/DATOS_[[% normaliz]:[% normaliz]],1)*(DATOS_[Conc.Sal.23])))))))),
0)</f>
        <v>0</v>
      </c>
      <c r="AG91" s="196">
        <f t="array" ref="AG91">IFERROR(
(AVERAGE((IF(DATOS_[[Sexo]:[Sexo]]=$B91,IF(DATOS_[[AGRUP. VALOR. PTO.]:[AGRUP. VALOR. PTO.]]=$B90,IF(DATOS_[[Check Periodo Ref.]:[Check Periodo Ref.]]="Dentro",IF(DATOS_[[Check Equiparado]:[Check Equiparado]]="Sí",IF(DATOS!BB$5="Sí",(1/DATOS_[[% anualiz]:[% anualiz]]),1)*IF(DATOS!BB$4="Sí",1/DATOS_[[% normaliz]:[% normaliz]],1)*(DATOS_[Conc.Sal.24])))))))),
0)</f>
        <v>0</v>
      </c>
      <c r="AH91" s="196">
        <f t="array" ref="AH91">IFERROR(
(AVERAGE((IF(DATOS_[[Sexo]:[Sexo]]=$B91,IF(DATOS_[[AGRUP. VALOR. PTO.]:[AGRUP. VALOR. PTO.]]=$B90,IF(DATOS_[[Check Periodo Ref.]:[Check Periodo Ref.]]="Dentro",IF(DATOS_[[Check Equiparado]:[Check Equiparado]]="Sí",IF(DATOS!BC$5="Sí",(1/DATOS_[[% anualiz]:[% anualiz]]),1)*IF(DATOS!BC$4="Sí",1/DATOS_[[% normaliz]:[% normaliz]],1)*(DATOS_[Conc.Sal.25])))))))),
0)</f>
        <v>0</v>
      </c>
      <c r="AI91" s="196">
        <f t="array" ref="AI91">IFERROR(
(AVERAGE((IF(DATOS_[[Sexo]:[Sexo]]=$B91,IF(DATOS_[[AGRUP. VALOR. PTO.]:[AGRUP. VALOR. PTO.]]=$B90,IF(DATOS_[[Check Periodo Ref.]:[Check Periodo Ref.]]="Dentro",IF(DATOS_[[Check Equiparado]:[Check Equiparado]]="Sí",IF(DATOS!BD$5="Sí",(1/DATOS_[[% anualiz]:[% anualiz]]),1)*IF(DATOS!BD$4="Sí",1/DATOS_[[% normaliz]:[% normaliz]],1)*(DATOS_[Conc.Sal.26])))))))),
0)</f>
        <v>0</v>
      </c>
      <c r="AJ91" s="196">
        <f t="array" ref="AJ91">IFERROR(
(AVERAGE((IF(DATOS_[[Sexo]:[Sexo]]=$B91,IF(DATOS_[[AGRUP. VALOR. PTO.]:[AGRUP. VALOR. PTO.]]=$B90,IF(DATOS_[[Check Periodo Ref.]:[Check Periodo Ref.]]="Dentro",IF(DATOS_[[Check Equiparado]:[Check Equiparado]]="Sí",IF(DATOS!BE$5="Sí",(1/DATOS_[[% anualiz]:[% anualiz]]),1)*IF(DATOS!BE$4="Sí",1/DATOS_[[% normaliz]:[% normaliz]],1)*(DATOS_[Conc.Sal.27])))))))),
0)</f>
        <v>0</v>
      </c>
      <c r="AK91" s="196">
        <f t="array" ref="AK91">IFERROR(
(AVERAGE((IF(DATOS_[[Sexo]:[Sexo]]=$B91,IF(DATOS_[[AGRUP. VALOR. PTO.]:[AGRUP. VALOR. PTO.]]=$B90,IF(DATOS_[[Check Periodo Ref.]:[Check Periodo Ref.]]="Dentro",IF(DATOS_[[Check Equiparado]:[Check Equiparado]]="Sí",IF(DATOS!BF$5="Sí",(1/DATOS_[[% anualiz]:[% anualiz]]),1)*IF(DATOS!BF$4="Sí",1/DATOS_[[% normaliz]:[% normaliz]],1)*(DATOS_[Conc.Sal.28])))))))),
0)</f>
        <v>0</v>
      </c>
      <c r="AL91" s="196">
        <f t="array" ref="AL91">IFERROR(
(AVERAGE((IF(DATOS_[[Sexo]:[Sexo]]=$B91,IF(DATOS_[[AGRUP. VALOR. PTO.]:[AGRUP. VALOR. PTO.]]=$B90,IF(DATOS_[[Check Periodo Ref.]:[Check Periodo Ref.]]="Dentro",IF(DATOS_[[Check Equiparado]:[Check Equiparado]]="Sí",IF(DATOS!BG$5="Sí",(1/DATOS_[[% anualiz]:[% anualiz]]),1)*IF(DATOS!BG$4="Sí",1/DATOS_[[% normaliz]:[% normaliz]],1)*(DATOS_[Conc.Sal.29])))))))),
0)</f>
        <v>0</v>
      </c>
      <c r="AM91" s="196">
        <f t="array" ref="AM91">IFERROR(
(AVERAGE((IF(DATOS_[[Sexo]:[Sexo]]=$B91,IF(DATOS_[[AGRUP. VALOR. PTO.]:[AGRUP. VALOR. PTO.]]=$B90,IF(DATOS_[[Check Periodo Ref.]:[Check Periodo Ref.]]="Dentro",IF(DATOS_[[Check Equiparado]:[Check Equiparado]]="Sí",IF(DATOS!BH$5="Sí",(1/DATOS_[[% anualiz]:[% anualiz]]),1)*IF(DATOS!BH$4="Sí",1/DATOS_[[% normaliz]:[% normaliz]],1)*(DATOS_[Conc.Sal.30])))))))),
0)</f>
        <v>0</v>
      </c>
      <c r="AN91" s="195">
        <f t="array" ref="AN91">IFERROR(
AVERAGE(IF(DATOS_[Sexo]=$B91,IF(DATOS_[[AGRUP. VALOR. PTO.]:[AGRUP. VALOR. PTO.]]=$B90,IF(DATOS_[Check Equiparado]="Sí",IF(DATOS_[Check Periodo Ref.]="Dentro",DATOS_[Tot COMPL.SAL Eq],FALSE))))),
0)</f>
        <v>0</v>
      </c>
      <c r="AO91" s="172">
        <f t="array" ref="AO91">IFERROR(
AVERAGE(IF(DATOS_[Sexo]=$B91,IF(DATOS_[[AGRUP. VALOR. PTO.]:[AGRUP. VALOR. PTO.]]=$B90,IF(DATOS_[Check Equiparado]="Sí",IF(DATOS_[Check Periodo Ref.]="Dentro",DATOS_[TOTAL SALARIO Eq],FALSE))))),
0)</f>
        <v>0</v>
      </c>
      <c r="AP91" s="173">
        <f t="array" ref="AP91">IFERROR(
(AVERAGE((IF(DATOS_[[Sexo]:[Sexo]]=$B91,IF(DATOS_[[AGRUP. VALOR. PTO.]:[AGRUP. VALOR. PTO.]]=$B90,IF(DATOS_[[Check Periodo Ref.]:[Check Periodo Ref.]]="Dentro",IF(DATOS_[[Check Equiparado]:[Check Equiparado]]="Sí",IF(DATOS!BW$5="Sí",(1/DATOS_[[% anualiz]:[% anualiz]]),1)*IF(DATOS!BW$4="Sí",1/DATOS_[[% normaliz]:[% normaliz]],1)*(DATOS_[C.Extra.01])))))))),
0)</f>
        <v>0</v>
      </c>
      <c r="AQ91" s="173">
        <f t="array" ref="AQ91">IFERROR(
(AVERAGE((IF(DATOS_[[Sexo]:[Sexo]]=$B91,IF(DATOS_[[AGRUP. VALOR. PTO.]:[AGRUP. VALOR. PTO.]]=$B90,IF(DATOS_[[Check Periodo Ref.]:[Check Periodo Ref.]]="Dentro",IF(DATOS_[[Check Equiparado]:[Check Equiparado]]="Sí",IF(DATOS!CB$5="Sí",(1/DATOS_[[% anualiz]:[% anualiz]]),1)*IF(DATOS!CB$4="Sí",1/DATOS_[[% normaliz]:[% normaliz]],1)*(DATOS_[C.Extra.06])))))))),
0)</f>
        <v>0</v>
      </c>
      <c r="AR91" s="173">
        <f t="array" ref="AR91">IFERROR(
(AVERAGE((IF(DATOS_[[Sexo]:[Sexo]]=$B91,IF(DATOS_[[AGRUP. VALOR. PTO.]:[AGRUP. VALOR. PTO.]]=$B90,IF(DATOS_[[Check Periodo Ref.]:[Check Periodo Ref.]]="Dentro",IF(DATOS_[[Check Equiparado]:[Check Equiparado]]="Sí",IF(DATOS!CC$5="Sí",(1/DATOS_[[% anualiz]:[% anualiz]]),1)*IF(DATOS!CC$4="Sí",1/DATOS_[[% normaliz]:[% normaliz]],1)*(DATOS_[C.Extra.07])))))))),
0)</f>
        <v>0</v>
      </c>
      <c r="AS91" s="173">
        <f t="array" ref="AS91">IFERROR(
(AVERAGE((IF(DATOS_[[Sexo]:[Sexo]]=$B91,IF(DATOS_[[AGRUP. VALOR. PTO.]:[AGRUP. VALOR. PTO.]]=$B90,IF(DATOS_[[Check Periodo Ref.]:[Check Periodo Ref.]]="Dentro",IF(DATOS_[[Check Equiparado]:[Check Equiparado]]="Sí",IF(DATOS!CD$5="Sí",(1/DATOS_[[% anualiz]:[% anualiz]]),1)*IF(DATOS!CD$4="Sí",1/DATOS_[[% normaliz]:[% normaliz]],1)*(DATOS_[C.Extra.08])))))))),
0)</f>
        <v>0</v>
      </c>
      <c r="AT91" s="173">
        <f t="array" ref="AT91">IFERROR(
(AVERAGE((IF(DATOS_[[Sexo]:[Sexo]]=$B91,IF(DATOS_[[AGRUP. VALOR. PTO.]:[AGRUP. VALOR. PTO.]]=$B90,IF(DATOS_[[Check Periodo Ref.]:[Check Periodo Ref.]]="Dentro",IF(DATOS_[[Check Equiparado]:[Check Equiparado]]="Sí",IF(DATOS!CG$5="Sí",(1/DATOS_[[% anualiz]:[% anualiz]]),1)*IF(DATOS!CG$4="Sí",1/DATOS_[[% normaliz]:[% normaliz]],1)*(DATOS_[C.Extra.11])))))))),
0)</f>
        <v>0</v>
      </c>
      <c r="AU91" s="197">
        <f t="array" ref="AU91">IFERROR(
AVERAGE(IF(DATOS_[Sexo]=$B91,IF(DATOS_[[AGRUP. VALOR. PTO.]:[AGRUP. VALOR. PTO.]]=$B90,IF(DATOS_[Check Equiparado]="Sí",IF(DATOS_[Check Periodo Ref.]="Dentro",DATOS_[Tot Extrasalarial Eq],FALSE))))),
0)</f>
        <v>0</v>
      </c>
      <c r="AV91" s="175">
        <f t="array" ref="AV91">IFERROR(
AVERAGE(IF(DATOS_[Sexo]=$B91,IF(DATOS_[[AGRUP. VALOR. PTO.]:[AGRUP. VALOR. PTO.]]=$B90,IF(DATOS_[Check Equiparado]="Sí",IF(DATOS_[Check Periodo Ref.]="Dentro",DATOS_[TOTAL Retrib Eq],FALSE))))),
0)</f>
        <v>0</v>
      </c>
    </row>
    <row r="92" spans="1:48" x14ac:dyDescent="0.25">
      <c r="A92" s="133" t="str">
        <f t="shared" ref="A92" si="106">+A91</f>
        <v>[ocultar]</v>
      </c>
      <c r="B92" s="202" t="s">
        <v>521</v>
      </c>
      <c r="C92" s="203">
        <f t="array" ref="C92">SUM(IF($B92=DATOS_[Sexo],
IF($B90=DATOS_[AGRUP. VALOR. PTO.],
IF("Dentro"=DATOS_[Check Periodo Ref.],
1/(COUNTIFS(DATOS_[Sexo],$B92,DATOS_[AGRUP. VALOR. PTO.],$B90,DATOS_[Check Periodo Ref.],"Dentro",DATOS_[id/cod],DATOS_[id/cod]))))))</f>
        <v>0</v>
      </c>
      <c r="D92" s="204">
        <f>COUNTIFS(DATOS_[AGRUP. VALOR. PTO.],$B90,DATOS_[Sexo],$B92,DATOS_[Check Periodo Ref.],"Dentro")</f>
        <v>0</v>
      </c>
      <c r="E92" s="204">
        <f>COUNTIFS(DATOS_[AGRUP. VALOR. PTO.],$B90,DATOS_[Sexo],$B92,DATOS_[Check Periodo Ref.],"Dentro",DATOS_[Check Nº SC Norm],"Sí")</f>
        <v>0</v>
      </c>
      <c r="F92" s="204">
        <f>COUNTIFS(DATOS_[AGRUP. VALOR. PTO.],$B90,DATOS_[Sexo],$B92,DATOS_[Check Periodo Ref.],"Dentro",DATOS_[Check Nº SC Anualiz],"Sí")</f>
        <v>0</v>
      </c>
      <c r="G92" s="204">
        <f>COUNTIFS(DATOS_[AGRUP. VALOR. PTO.],$B90,DATOS_[Sexo],$B92,DATOS_[Check Periodo Ref.],"Dentro",DATOS_[Check Nº SC Norm y Anualiz],"Sí")</f>
        <v>0</v>
      </c>
      <c r="H92" s="204">
        <f>COUNTIFS(DATOS_[AGRUP. VALOR. PTO.],$B90,DATOS_[Sexo],$B92,DATOS_[Check Periodo Ref.],"Dentro",DATOS_[Check Equiparación],"Sí")</f>
        <v>0</v>
      </c>
      <c r="I92" s="195" cm="1">
        <f t="array" ref="I92">IFERROR(
AVERAGE(IF(DATOS_[Sexo]=$B92,IF(DATOS_[[AGRUP. VALOR. PTO.]:[AGRUP. VALOR. PTO.]]=$B90,IF(DATOS_[Check Equiparado]="Sí",IF(DATOS_[Check Periodo Ref.]="Dentro",DATOS_[SALARIO BASE Eq],FALSE))))),
0)</f>
        <v>0</v>
      </c>
      <c r="J92" s="196">
        <f t="array" ref="J92">IFERROR(
(AVERAGE((IF(DATOS_[[Sexo]:[Sexo]]=$B92,IF(DATOS_[[AGRUP. VALOR. PTO.]:[AGRUP. VALOR. PTO.]]=$B90,IF(DATOS_[[Check Periodo Ref.]:[Check Periodo Ref.]]="Dentro",IF(DATOS_[[Check Equiparado]:[Check Equiparado]]="Sí",IF(DATOS!AE$5="Sí",(1/DATOS_[[% anualiz]:[% anualiz]]),1)*IF(DATOS!AE$4="Sí",1/DATOS_[[% normaliz]:[% normaliz]],1)*(DATOS_[Conc.Sal.01])))))))),
0)</f>
        <v>0</v>
      </c>
      <c r="K92" s="196">
        <f t="array" ref="K92">IFERROR(
(AVERAGE((IF(DATOS_[[Sexo]:[Sexo]]=$B92,IF(DATOS_[[AGRUP. VALOR. PTO.]:[AGRUP. VALOR. PTO.]]=$B90,IF(DATOS_[[Check Periodo Ref.]:[Check Periodo Ref.]]="Dentro",IF(DATOS_[[Check Equiparado]:[Check Equiparado]]="Sí",IF(DATOS!AF$5="Sí",(1/DATOS_[[% anualiz]:[% anualiz]]),1)*IF(DATOS!AF$4="Sí",1/DATOS_[[% normaliz]:[% normaliz]],1)*(DATOS_[Conc.Sal.02])))))))),
0)</f>
        <v>0</v>
      </c>
      <c r="L92" s="196">
        <f t="array" ref="L92">IFERROR(
(AVERAGE((IF(DATOS_[[Sexo]:[Sexo]]=$B92,IF(DATOS_[[AGRUP. VALOR. PTO.]:[AGRUP. VALOR. PTO.]]=$B90,IF(DATOS_[[Check Periodo Ref.]:[Check Periodo Ref.]]="Dentro",IF(DATOS_[[Check Equiparado]:[Check Equiparado]]="Sí",IF(DATOS!AG$5="Sí",(1/DATOS_[[% anualiz]:[% anualiz]]),1)*IF(DATOS!AG$4="Sí",1/DATOS_[[% normaliz]:[% normaliz]],1)*(DATOS_[Conc.Sal.03])))))))),
0)</f>
        <v>0</v>
      </c>
      <c r="M92" s="196">
        <f t="array" ref="M92">IFERROR(
(AVERAGE((IF(DATOS_[[Sexo]:[Sexo]]=$B92,IF(DATOS_[[AGRUP. VALOR. PTO.]:[AGRUP. VALOR. PTO.]]=$B90,IF(DATOS_[[Check Periodo Ref.]:[Check Periodo Ref.]]="Dentro",IF(DATOS_[[Check Equiparado]:[Check Equiparado]]="Sí",IF(DATOS!AH$5="Sí",(1/DATOS_[[% anualiz]:[% anualiz]]),1)*IF(DATOS!AH$4="Sí",1/DATOS_[[% normaliz]:[% normaliz]],1)*(DATOS_[Conc.Sal.04])))))))),
0)</f>
        <v>0</v>
      </c>
      <c r="N92" s="196">
        <f t="array" ref="N92">IFERROR(
(AVERAGE((IF(DATOS_[[Sexo]:[Sexo]]=$B92,IF(DATOS_[[AGRUP. VALOR. PTO.]:[AGRUP. VALOR. PTO.]]=$B90,IF(DATOS_[[Check Periodo Ref.]:[Check Periodo Ref.]]="Dentro",IF(DATOS_[[Check Equiparado]:[Check Equiparado]]="Sí",IF(DATOS!AI$5="Sí",(1/DATOS_[[% anualiz]:[% anualiz]]),1)*IF(DATOS!AI$4="Sí",1/DATOS_[[% normaliz]:[% normaliz]],1)*(DATOS_[Conc.Sal.05])))))))),
0)</f>
        <v>0</v>
      </c>
      <c r="O92" s="196">
        <f t="array" ref="O92">IFERROR(
(AVERAGE((IF(DATOS_[[Sexo]:[Sexo]]=$B92,IF(DATOS_[[AGRUP. VALOR. PTO.]:[AGRUP. VALOR. PTO.]]=$B90,IF(DATOS_[[Check Periodo Ref.]:[Check Periodo Ref.]]="Dentro",IF(DATOS_[[Check Equiparado]:[Check Equiparado]]="Sí",IF(DATOS!AJ$5="Sí",(1/DATOS_[[% anualiz]:[% anualiz]]),1)*IF(DATOS!AJ$4="Sí",1/DATOS_[[% normaliz]:[% normaliz]],1)*(DATOS_[Conc.Sal.06])))))))),
0)</f>
        <v>0</v>
      </c>
      <c r="P92" s="196">
        <f t="array" ref="P92">IFERROR(
(AVERAGE((IF(DATOS_[[Sexo]:[Sexo]]=$B92,IF(DATOS_[[AGRUP. VALOR. PTO.]:[AGRUP. VALOR. PTO.]]=$B90,IF(DATOS_[[Check Periodo Ref.]:[Check Periodo Ref.]]="Dentro",IF(DATOS_[[Check Equiparado]:[Check Equiparado]]="Sí",IF(DATOS!AK$5="Sí",(1/DATOS_[[% anualiz]:[% anualiz]]),1)*IF(DATOS!AK$4="Sí",1/DATOS_[[% normaliz]:[% normaliz]],1)*(DATOS_[Conc.Sal.07])))))))),
0)</f>
        <v>0</v>
      </c>
      <c r="Q92" s="196">
        <f t="array" ref="Q92">IFERROR(
(AVERAGE((IF(DATOS_[[Sexo]:[Sexo]]=$B92,IF(DATOS_[[AGRUP. VALOR. PTO.]:[AGRUP. VALOR. PTO.]]=$B90,IF(DATOS_[[Check Periodo Ref.]:[Check Periodo Ref.]]="Dentro",IF(DATOS_[[Check Equiparado]:[Check Equiparado]]="Sí",IF(DATOS!AL$5="Sí",(1/DATOS_[[% anualiz]:[% anualiz]]),1)*IF(DATOS!AL$4="Sí",1/DATOS_[[% normaliz]:[% normaliz]],1)*(DATOS_[Conc.Sal.08])))))))),
0)</f>
        <v>0</v>
      </c>
      <c r="R92" s="196">
        <f t="array" ref="R92">IFERROR(
(AVERAGE((IF(DATOS_[[Sexo]:[Sexo]]=$B92,IF(DATOS_[[AGRUP. VALOR. PTO.]:[AGRUP. VALOR. PTO.]]=$B90,IF(DATOS_[[Check Periodo Ref.]:[Check Periodo Ref.]]="Dentro",IF(DATOS_[[Check Equiparado]:[Check Equiparado]]="Sí",IF(DATOS!AM$5="Sí",(1/DATOS_[[% anualiz]:[% anualiz]]),1)*IF(DATOS!AM$4="Sí",1/DATOS_[[% normaliz]:[% normaliz]],1)*(DATOS_[Conc.Sal.09])))))))),
0)</f>
        <v>0</v>
      </c>
      <c r="S92" s="196">
        <f t="array" ref="S92">IFERROR(
(AVERAGE((IF(DATOS_[[Sexo]:[Sexo]]=$B92,IF(DATOS_[[AGRUP. VALOR. PTO.]:[AGRUP. VALOR. PTO.]]=$B90,IF(DATOS_[[Check Periodo Ref.]:[Check Periodo Ref.]]="Dentro",IF(DATOS_[[Check Equiparado]:[Check Equiparado]]="Sí",IF(DATOS!AN$5="Sí",(1/DATOS_[[% anualiz]:[% anualiz]]),1)*IF(DATOS!AN$4="Sí",1/DATOS_[[% normaliz]:[% normaliz]],1)*(DATOS_[Conc.Sal.10])))))))),
0)</f>
        <v>0</v>
      </c>
      <c r="T92" s="196">
        <f t="array" ref="T92">IFERROR(
(AVERAGE((IF(DATOS_[[Sexo]:[Sexo]]=$B92,IF(DATOS_[[AGRUP. VALOR. PTO.]:[AGRUP. VALOR. PTO.]]=$B90,IF(DATOS_[[Check Periodo Ref.]:[Check Periodo Ref.]]="Dentro",IF(DATOS_[[Check Equiparado]:[Check Equiparado]]="Sí",IF(DATOS!AO$5="Sí",(1/DATOS_[[% anualiz]:[% anualiz]]),1)*IF(DATOS!AO$4="Sí",1/DATOS_[[% normaliz]:[% normaliz]],1)*(DATOS_[Conc.Sal.11])))))))),
0)</f>
        <v>0</v>
      </c>
      <c r="U92" s="196">
        <f t="array" ref="U92">IFERROR(
(AVERAGE((IF(DATOS_[[Sexo]:[Sexo]]=$B92,IF(DATOS_[[AGRUP. VALOR. PTO.]:[AGRUP. VALOR. PTO.]]=$B90,IF(DATOS_[[Check Periodo Ref.]:[Check Periodo Ref.]]="Dentro",IF(DATOS_[[Check Equiparado]:[Check Equiparado]]="Sí",IF(DATOS!AP$5="Sí",(1/DATOS_[[% anualiz]:[% anualiz]]),1)*IF(DATOS!AP$4="Sí",1/DATOS_[[% normaliz]:[% normaliz]],1)*(DATOS_[Conc.Sal.12])))))))),
0)</f>
        <v>0</v>
      </c>
      <c r="V92" s="196">
        <f t="array" ref="V92">IFERROR(
(AVERAGE((IF(DATOS_[[Sexo]:[Sexo]]=$B92,IF(DATOS_[[AGRUP. VALOR. PTO.]:[AGRUP. VALOR. PTO.]]=$B90,IF(DATOS_[[Check Periodo Ref.]:[Check Periodo Ref.]]="Dentro",IF(DATOS_[[Check Equiparado]:[Check Equiparado]]="Sí",IF(DATOS!AQ$5="Sí",(1/DATOS_[[% anualiz]:[% anualiz]]),1)*IF(DATOS!AQ$4="Sí",1/DATOS_[[% normaliz]:[% normaliz]],1)*(DATOS_[Conc.Sal.13])))))))),
0)</f>
        <v>0</v>
      </c>
      <c r="W92" s="196">
        <f t="array" ref="W92">IFERROR(
(AVERAGE((IF(DATOS_[[Sexo]:[Sexo]]=$B92,IF(DATOS_[[AGRUP. VALOR. PTO.]:[AGRUP. VALOR. PTO.]]=$B90,IF(DATOS_[[Check Periodo Ref.]:[Check Periodo Ref.]]="Dentro",IF(DATOS_[[Check Equiparado]:[Check Equiparado]]="Sí",IF(DATOS!AR$5="Sí",(1/DATOS_[[% anualiz]:[% anualiz]]),1)*IF(DATOS!AR$4="Sí",1/DATOS_[[% normaliz]:[% normaliz]],1)*(DATOS_[Conc.Sal.14])))))))),
0)</f>
        <v>0</v>
      </c>
      <c r="X92" s="196">
        <f t="array" ref="X92">IFERROR(
(AVERAGE((IF(DATOS_[[Sexo]:[Sexo]]=$B92,IF(DATOS_[[AGRUP. VALOR. PTO.]:[AGRUP. VALOR. PTO.]]=$B90,IF(DATOS_[[Check Periodo Ref.]:[Check Periodo Ref.]]="Dentro",IF(DATOS_[[Check Equiparado]:[Check Equiparado]]="Sí",IF(DATOS!AS$5="Sí",(1/DATOS_[[% anualiz]:[% anualiz]]),1)*IF(DATOS!AS$4="Sí",1/DATOS_[[% normaliz]:[% normaliz]],1)*(DATOS_[Conc.Sal.15])))))))),
0)</f>
        <v>0</v>
      </c>
      <c r="Y92" s="196">
        <f t="array" ref="Y92">IFERROR(
(AVERAGE((IF(DATOS_[[Sexo]:[Sexo]]=$B92,IF(DATOS_[[AGRUP. VALOR. PTO.]:[AGRUP. VALOR. PTO.]]=$B90,IF(DATOS_[[Check Periodo Ref.]:[Check Periodo Ref.]]="Dentro",IF(DATOS_[[Check Equiparado]:[Check Equiparado]]="Sí",IF(DATOS!AT$5="Sí",(1/DATOS_[[% anualiz]:[% anualiz]]),1)*IF(DATOS!AT$4="Sí",1/DATOS_[[% normaliz]:[% normaliz]],1)*(DATOS_[Conc.Sal.16])))))))),
0)</f>
        <v>0</v>
      </c>
      <c r="Z92" s="196">
        <f t="array" ref="Z92">IFERROR(
(AVERAGE((IF(DATOS_[[Sexo]:[Sexo]]=$B92,IF(DATOS_[[AGRUP. VALOR. PTO.]:[AGRUP. VALOR. PTO.]]=$B90,IF(DATOS_[[Check Periodo Ref.]:[Check Periodo Ref.]]="Dentro",IF(DATOS_[[Check Equiparado]:[Check Equiparado]]="Sí",IF(DATOS!AU$5="Sí",(1/DATOS_[[% anualiz]:[% anualiz]]),1)*IF(DATOS!AU$4="Sí",1/DATOS_[[% normaliz]:[% normaliz]],1)*(DATOS_[Conc.Sal.17])))))))),
0)</f>
        <v>0</v>
      </c>
      <c r="AA92" s="196">
        <f t="array" ref="AA92">IFERROR(
(AVERAGE((IF(DATOS_[[Sexo]:[Sexo]]=$B92,IF(DATOS_[[AGRUP. VALOR. PTO.]:[AGRUP. VALOR. PTO.]]=$B90,IF(DATOS_[[Check Periodo Ref.]:[Check Periodo Ref.]]="Dentro",IF(DATOS_[[Check Equiparado]:[Check Equiparado]]="Sí",IF(DATOS!AV$5="Sí",(1/DATOS_[[% anualiz]:[% anualiz]]),1)*IF(DATOS!AV$4="Sí",1/DATOS_[[% normaliz]:[% normaliz]],1)*(DATOS_[Conc.Sal.18])))))))),
0)</f>
        <v>0</v>
      </c>
      <c r="AB92" s="196">
        <f t="array" ref="AB92">IFERROR(
(AVERAGE((IF(DATOS_[[Sexo]:[Sexo]]=$B92,IF(DATOS_[[AGRUP. VALOR. PTO.]:[AGRUP. VALOR. PTO.]]=$B90,IF(DATOS_[[Check Periodo Ref.]:[Check Periodo Ref.]]="Dentro",IF(DATOS_[[Check Equiparado]:[Check Equiparado]]="Sí",IF(DATOS!AW$5="Sí",(1/DATOS_[[% anualiz]:[% anualiz]]),1)*IF(DATOS!AW$4="Sí",1/DATOS_[[% normaliz]:[% normaliz]],1)*(DATOS_[Conc.Sal.19])))))))),
0)</f>
        <v>0</v>
      </c>
      <c r="AC92" s="196">
        <f t="array" ref="AC92">IFERROR(
(AVERAGE((IF(DATOS_[[Sexo]:[Sexo]]=$B92,IF(DATOS_[[AGRUP. VALOR. PTO.]:[AGRUP. VALOR. PTO.]]=$B90,IF(DATOS_[[Check Periodo Ref.]:[Check Periodo Ref.]]="Dentro",IF(DATOS_[[Check Equiparado]:[Check Equiparado]]="Sí",IF(DATOS!AX$5="Sí",(1/DATOS_[[% anualiz]:[% anualiz]]),1)*IF(DATOS!AX$4="Sí",1/DATOS_[[% normaliz]:[% normaliz]],1)*(DATOS_[Conc.Sal.20])))))))),
0)</f>
        <v>0</v>
      </c>
      <c r="AD92" s="196">
        <f t="array" ref="AD92">IFERROR(
(AVERAGE((IF(DATOS_[[Sexo]:[Sexo]]=$B92,IF(DATOS_[[AGRUP. VALOR. PTO.]:[AGRUP. VALOR. PTO.]]=$B90,IF(DATOS_[[Check Periodo Ref.]:[Check Periodo Ref.]]="Dentro",IF(DATOS_[[Check Equiparado]:[Check Equiparado]]="Sí",IF(DATOS!AY$5="Sí",(1/DATOS_[[% anualiz]:[% anualiz]]),1)*IF(DATOS!AY$4="Sí",1/DATOS_[[% normaliz]:[% normaliz]],1)*(DATOS_[Conc.Sal.21])))))))),
0)</f>
        <v>0</v>
      </c>
      <c r="AE92" s="196">
        <f t="array" ref="AE92">IFERROR(
(AVERAGE((IF(DATOS_[[Sexo]:[Sexo]]=$B92,IF(DATOS_[[AGRUP. VALOR. PTO.]:[AGRUP. VALOR. PTO.]]=$B90,IF(DATOS_[[Check Periodo Ref.]:[Check Periodo Ref.]]="Dentro",IF(DATOS_[[Check Equiparado]:[Check Equiparado]]="Sí",IF(DATOS!AZ$5="Sí",(1/DATOS_[[% anualiz]:[% anualiz]]),1)*IF(DATOS!AZ$4="Sí",1/DATOS_[[% normaliz]:[% normaliz]],1)*(DATOS_[Conc.Sal.22])))))))),
0)</f>
        <v>0</v>
      </c>
      <c r="AF92" s="196">
        <f t="array" ref="AF92">IFERROR(
(AVERAGE((IF(DATOS_[[Sexo]:[Sexo]]=$B92,IF(DATOS_[[AGRUP. VALOR. PTO.]:[AGRUP. VALOR. PTO.]]=$B90,IF(DATOS_[[Check Periodo Ref.]:[Check Periodo Ref.]]="Dentro",IF(DATOS_[[Check Equiparado]:[Check Equiparado]]="Sí",IF(DATOS!BA$5="Sí",(1/DATOS_[[% anualiz]:[% anualiz]]),1)*IF(DATOS!BA$4="Sí",1/DATOS_[[% normaliz]:[% normaliz]],1)*(DATOS_[Conc.Sal.23])))))))),
0)</f>
        <v>0</v>
      </c>
      <c r="AG92" s="196">
        <f t="array" ref="AG92">IFERROR(
(AVERAGE((IF(DATOS_[[Sexo]:[Sexo]]=$B92,IF(DATOS_[[AGRUP. VALOR. PTO.]:[AGRUP. VALOR. PTO.]]=$B90,IF(DATOS_[[Check Periodo Ref.]:[Check Periodo Ref.]]="Dentro",IF(DATOS_[[Check Equiparado]:[Check Equiparado]]="Sí",IF(DATOS!BB$5="Sí",(1/DATOS_[[% anualiz]:[% anualiz]]),1)*IF(DATOS!BB$4="Sí",1/DATOS_[[% normaliz]:[% normaliz]],1)*(DATOS_[Conc.Sal.24])))))))),
0)</f>
        <v>0</v>
      </c>
      <c r="AH92" s="196">
        <f t="array" ref="AH92">IFERROR(
(AVERAGE((IF(DATOS_[[Sexo]:[Sexo]]=$B92,IF(DATOS_[[AGRUP. VALOR. PTO.]:[AGRUP. VALOR. PTO.]]=$B90,IF(DATOS_[[Check Periodo Ref.]:[Check Periodo Ref.]]="Dentro",IF(DATOS_[[Check Equiparado]:[Check Equiparado]]="Sí",IF(DATOS!BC$5="Sí",(1/DATOS_[[% anualiz]:[% anualiz]]),1)*IF(DATOS!BC$4="Sí",1/DATOS_[[% normaliz]:[% normaliz]],1)*(DATOS_[Conc.Sal.25])))))))),
0)</f>
        <v>0</v>
      </c>
      <c r="AI92" s="196">
        <f t="array" ref="AI92">IFERROR(
(AVERAGE((IF(DATOS_[[Sexo]:[Sexo]]=$B92,IF(DATOS_[[AGRUP. VALOR. PTO.]:[AGRUP. VALOR. PTO.]]=$B90,IF(DATOS_[[Check Periodo Ref.]:[Check Periodo Ref.]]="Dentro",IF(DATOS_[[Check Equiparado]:[Check Equiparado]]="Sí",IF(DATOS!BD$5="Sí",(1/DATOS_[[% anualiz]:[% anualiz]]),1)*IF(DATOS!BD$4="Sí",1/DATOS_[[% normaliz]:[% normaliz]],1)*(DATOS_[Conc.Sal.26])))))))),
0)</f>
        <v>0</v>
      </c>
      <c r="AJ92" s="196">
        <f t="array" ref="AJ92">IFERROR(
(AVERAGE((IF(DATOS_[[Sexo]:[Sexo]]=$B92,IF(DATOS_[[AGRUP. VALOR. PTO.]:[AGRUP. VALOR. PTO.]]=$B90,IF(DATOS_[[Check Periodo Ref.]:[Check Periodo Ref.]]="Dentro",IF(DATOS_[[Check Equiparado]:[Check Equiparado]]="Sí",IF(DATOS!BE$5="Sí",(1/DATOS_[[% anualiz]:[% anualiz]]),1)*IF(DATOS!BE$4="Sí",1/DATOS_[[% normaliz]:[% normaliz]],1)*(DATOS_[Conc.Sal.27])))))))),
0)</f>
        <v>0</v>
      </c>
      <c r="AK92" s="196">
        <f t="array" ref="AK92">IFERROR(
(AVERAGE((IF(DATOS_[[Sexo]:[Sexo]]=$B92,IF(DATOS_[[AGRUP. VALOR. PTO.]:[AGRUP. VALOR. PTO.]]=$B90,IF(DATOS_[[Check Periodo Ref.]:[Check Periodo Ref.]]="Dentro",IF(DATOS_[[Check Equiparado]:[Check Equiparado]]="Sí",IF(DATOS!BF$5="Sí",(1/DATOS_[[% anualiz]:[% anualiz]]),1)*IF(DATOS!BF$4="Sí",1/DATOS_[[% normaliz]:[% normaliz]],1)*(DATOS_[Conc.Sal.28])))))))),
0)</f>
        <v>0</v>
      </c>
      <c r="AL92" s="196">
        <f t="array" ref="AL92">IFERROR(
(AVERAGE((IF(DATOS_[[Sexo]:[Sexo]]=$B92,IF(DATOS_[[AGRUP. VALOR. PTO.]:[AGRUP. VALOR. PTO.]]=$B90,IF(DATOS_[[Check Periodo Ref.]:[Check Periodo Ref.]]="Dentro",IF(DATOS_[[Check Equiparado]:[Check Equiparado]]="Sí",IF(DATOS!BG$5="Sí",(1/DATOS_[[% anualiz]:[% anualiz]]),1)*IF(DATOS!BG$4="Sí",1/DATOS_[[% normaliz]:[% normaliz]],1)*(DATOS_[Conc.Sal.29])))))))),
0)</f>
        <v>0</v>
      </c>
      <c r="AM92" s="196">
        <f t="array" ref="AM92">IFERROR(
(AVERAGE((IF(DATOS_[[Sexo]:[Sexo]]=$B92,IF(DATOS_[[AGRUP. VALOR. PTO.]:[AGRUP. VALOR. PTO.]]=$B90,IF(DATOS_[[Check Periodo Ref.]:[Check Periodo Ref.]]="Dentro",IF(DATOS_[[Check Equiparado]:[Check Equiparado]]="Sí",IF(DATOS!BH$5="Sí",(1/DATOS_[[% anualiz]:[% anualiz]]),1)*IF(DATOS!BH$4="Sí",1/DATOS_[[% normaliz]:[% normaliz]],1)*(DATOS_[Conc.Sal.30])))))))),
0)</f>
        <v>0</v>
      </c>
      <c r="AN92" s="195">
        <f t="array" ref="AN92">IFERROR(
AVERAGE(IF(DATOS_[Sexo]=$B92,IF(DATOS_[[AGRUP. VALOR. PTO.]:[AGRUP. VALOR. PTO.]]=$B90,IF(DATOS_[Check Equiparado]="Sí",IF(DATOS_[Check Periodo Ref.]="Dentro",DATOS_[Tot COMPL.SAL Eq],FALSE))))),
0)</f>
        <v>0</v>
      </c>
      <c r="AO92" s="172">
        <f t="array" ref="AO92">IFERROR(
AVERAGE(IF(DATOS_[Sexo]=$B92,IF(DATOS_[[AGRUP. VALOR. PTO.]:[AGRUP. VALOR. PTO.]]=$B90,IF(DATOS_[Check Equiparado]="Sí",IF(DATOS_[Check Periodo Ref.]="Dentro",DATOS_[TOTAL SALARIO Eq],FALSE))))),
0)</f>
        <v>0</v>
      </c>
      <c r="AP92" s="173">
        <f t="array" ref="AP92">IFERROR(
(AVERAGE((IF(DATOS_[[Sexo]:[Sexo]]=$B92,IF(DATOS_[[AGRUP. VALOR. PTO.]:[AGRUP. VALOR. PTO.]]=$B90,IF(DATOS_[[Check Periodo Ref.]:[Check Periodo Ref.]]="Dentro",IF(DATOS_[[Check Equiparado]:[Check Equiparado]]="Sí",IF(DATOS!BW$5="Sí",(1/DATOS_[[% anualiz]:[% anualiz]]),1)*IF(DATOS!BW$4="Sí",1/DATOS_[[% normaliz]:[% normaliz]],1)*(DATOS_[C.Extra.01])))))))),
0)</f>
        <v>0</v>
      </c>
      <c r="AQ92" s="173">
        <f t="array" ref="AQ92">IFERROR(
(AVERAGE((IF(DATOS_[[Sexo]:[Sexo]]=$B92,IF(DATOS_[[AGRUP. VALOR. PTO.]:[AGRUP. VALOR. PTO.]]=$B90,IF(DATOS_[[Check Periodo Ref.]:[Check Periodo Ref.]]="Dentro",IF(DATOS_[[Check Equiparado]:[Check Equiparado]]="Sí",IF(DATOS!CB$5="Sí",(1/DATOS_[[% anualiz]:[% anualiz]]),1)*IF(DATOS!CB$4="Sí",1/DATOS_[[% normaliz]:[% normaliz]],1)*(DATOS_[C.Extra.06])))))))),
0)</f>
        <v>0</v>
      </c>
      <c r="AR92" s="173">
        <f t="array" ref="AR92">IFERROR(
(AVERAGE((IF(DATOS_[[Sexo]:[Sexo]]=$B92,IF(DATOS_[[AGRUP. VALOR. PTO.]:[AGRUP. VALOR. PTO.]]=$B90,IF(DATOS_[[Check Periodo Ref.]:[Check Periodo Ref.]]="Dentro",IF(DATOS_[[Check Equiparado]:[Check Equiparado]]="Sí",IF(DATOS!CC$5="Sí",(1/DATOS_[[% anualiz]:[% anualiz]]),1)*IF(DATOS!CC$4="Sí",1/DATOS_[[% normaliz]:[% normaliz]],1)*(DATOS_[C.Extra.07])))))))),
0)</f>
        <v>0</v>
      </c>
      <c r="AS92" s="173">
        <f t="array" ref="AS92">IFERROR(
(AVERAGE((IF(DATOS_[[Sexo]:[Sexo]]=$B92,IF(DATOS_[[AGRUP. VALOR. PTO.]:[AGRUP. VALOR. PTO.]]=$B90,IF(DATOS_[[Check Periodo Ref.]:[Check Periodo Ref.]]="Dentro",IF(DATOS_[[Check Equiparado]:[Check Equiparado]]="Sí",IF(DATOS!CD$5="Sí",(1/DATOS_[[% anualiz]:[% anualiz]]),1)*IF(DATOS!CD$4="Sí",1/DATOS_[[% normaliz]:[% normaliz]],1)*(DATOS_[C.Extra.08])))))))),
0)</f>
        <v>0</v>
      </c>
      <c r="AT92" s="173">
        <f t="array" ref="AT92">IFERROR(
(AVERAGE((IF(DATOS_[[Sexo]:[Sexo]]=$B92,IF(DATOS_[[AGRUP. VALOR. PTO.]:[AGRUP. VALOR. PTO.]]=$B90,IF(DATOS_[[Check Periodo Ref.]:[Check Periodo Ref.]]="Dentro",IF(DATOS_[[Check Equiparado]:[Check Equiparado]]="Sí",IF(DATOS!CG$5="Sí",(1/DATOS_[[% anualiz]:[% anualiz]]),1)*IF(DATOS!CG$4="Sí",1/DATOS_[[% normaliz]:[% normaliz]],1)*(DATOS_[C.Extra.11])))))))),
0)</f>
        <v>0</v>
      </c>
      <c r="AU92" s="197">
        <f t="array" ref="AU92">IFERROR(
AVERAGE(IF(DATOS_[Sexo]=$B92,IF(DATOS_[[AGRUP. VALOR. PTO.]:[AGRUP. VALOR. PTO.]]=$B90,IF(DATOS_[Check Equiparado]="Sí",IF(DATOS_[Check Periodo Ref.]="Dentro",DATOS_[Tot Extrasalarial Eq],FALSE))))),
0)</f>
        <v>0</v>
      </c>
      <c r="AV92" s="175">
        <f t="array" ref="AV92">IFERROR(
AVERAGE(IF(DATOS_[Sexo]=$B92,IF(DATOS_[[AGRUP. VALOR. PTO.]:[AGRUP. VALOR. PTO.]]=$B90,IF(DATOS_[Check Equiparado]="Sí",IF(DATOS_[Check Periodo Ref.]="Dentro",DATOS_[TOTAL Retrib Eq],FALSE))))),
0)</f>
        <v>0</v>
      </c>
    </row>
    <row r="93" spans="1:48" ht="15.6" thickBot="1" x14ac:dyDescent="0.3">
      <c r="A93" s="133" t="str">
        <f t="shared" ref="A93" si="107">+A94</f>
        <v>[ocultar]</v>
      </c>
      <c r="B93" s="199" t="s">
        <v>281</v>
      </c>
      <c r="C93" s="200"/>
      <c r="D93" s="201"/>
      <c r="E93" s="201"/>
      <c r="F93" s="201"/>
      <c r="G93" s="201"/>
      <c r="H93" s="201"/>
      <c r="I93" s="189" t="str">
        <f t="shared" ref="I93:AV93" si="108">IFERROR((I94-I95)/I94,"")</f>
        <v/>
      </c>
      <c r="J93" s="190" t="str">
        <f t="shared" si="108"/>
        <v/>
      </c>
      <c r="K93" s="191" t="str">
        <f t="shared" si="108"/>
        <v/>
      </c>
      <c r="L93" s="191" t="str">
        <f t="shared" si="108"/>
        <v/>
      </c>
      <c r="M93" s="191" t="str">
        <f t="shared" si="108"/>
        <v/>
      </c>
      <c r="N93" s="192" t="str">
        <f t="shared" si="108"/>
        <v/>
      </c>
      <c r="O93" s="193" t="str">
        <f t="shared" si="108"/>
        <v/>
      </c>
      <c r="P93" s="193" t="str">
        <f t="shared" si="108"/>
        <v/>
      </c>
      <c r="Q93" s="193" t="str">
        <f t="shared" si="108"/>
        <v/>
      </c>
      <c r="R93" s="193" t="str">
        <f t="shared" si="108"/>
        <v/>
      </c>
      <c r="S93" s="193" t="str">
        <f t="shared" si="108"/>
        <v/>
      </c>
      <c r="T93" s="193" t="str">
        <f t="shared" si="108"/>
        <v/>
      </c>
      <c r="U93" s="193" t="str">
        <f t="shared" si="108"/>
        <v/>
      </c>
      <c r="V93" s="193" t="str">
        <f t="shared" si="108"/>
        <v/>
      </c>
      <c r="W93" s="193" t="str">
        <f t="shared" si="108"/>
        <v/>
      </c>
      <c r="X93" s="193" t="str">
        <f t="shared" si="108"/>
        <v/>
      </c>
      <c r="Y93" s="193" t="str">
        <f t="shared" si="108"/>
        <v/>
      </c>
      <c r="Z93" s="193" t="str">
        <f t="shared" si="108"/>
        <v/>
      </c>
      <c r="AA93" s="193" t="str">
        <f t="shared" si="108"/>
        <v/>
      </c>
      <c r="AB93" s="193" t="str">
        <f t="shared" si="108"/>
        <v/>
      </c>
      <c r="AC93" s="193" t="str">
        <f t="shared" si="108"/>
        <v/>
      </c>
      <c r="AD93" s="193" t="str">
        <f t="shared" si="108"/>
        <v/>
      </c>
      <c r="AE93" s="193" t="str">
        <f t="shared" si="108"/>
        <v/>
      </c>
      <c r="AF93" s="193" t="str">
        <f t="shared" si="108"/>
        <v/>
      </c>
      <c r="AG93" s="193" t="str">
        <f t="shared" si="108"/>
        <v/>
      </c>
      <c r="AH93" s="193" t="str">
        <f t="shared" si="108"/>
        <v/>
      </c>
      <c r="AI93" s="193" t="str">
        <f t="shared" si="108"/>
        <v/>
      </c>
      <c r="AJ93" s="193" t="str">
        <f t="shared" si="108"/>
        <v/>
      </c>
      <c r="AK93" s="193" t="str">
        <f t="shared" si="108"/>
        <v/>
      </c>
      <c r="AL93" s="193" t="str">
        <f t="shared" si="108"/>
        <v/>
      </c>
      <c r="AM93" s="193" t="str">
        <f t="shared" si="108"/>
        <v/>
      </c>
      <c r="AN93" s="189" t="str">
        <f t="shared" si="108"/>
        <v/>
      </c>
      <c r="AO93" s="162" t="str">
        <f t="shared" si="108"/>
        <v/>
      </c>
      <c r="AP93" s="163" t="str">
        <f t="shared" si="108"/>
        <v/>
      </c>
      <c r="AQ93" s="163" t="str">
        <f t="shared" si="108"/>
        <v/>
      </c>
      <c r="AR93" s="163" t="str">
        <f t="shared" si="108"/>
        <v/>
      </c>
      <c r="AS93" s="163" t="str">
        <f t="shared" si="108"/>
        <v/>
      </c>
      <c r="AT93" s="163" t="str">
        <f t="shared" si="108"/>
        <v/>
      </c>
      <c r="AU93" s="194" t="str">
        <f t="shared" si="108"/>
        <v/>
      </c>
      <c r="AV93" s="165" t="str">
        <f t="shared" si="108"/>
        <v/>
      </c>
    </row>
    <row r="94" spans="1:48" x14ac:dyDescent="0.25">
      <c r="A94" s="133" t="str">
        <f t="shared" ref="A94" si="109">+IF(C94+C95=0,"[ocultar]","")</f>
        <v>[ocultar]</v>
      </c>
      <c r="B94" s="202" t="s">
        <v>394</v>
      </c>
      <c r="C94" s="203">
        <f t="array" ref="C94">SUM(IF($B94=DATOS_[Sexo],
IF($B93=DATOS_[AGRUP. VALOR. PTO.],
IF("Dentro"=DATOS_[Check Periodo Ref.],
1/(COUNTIFS(DATOS_[Sexo],$B94,DATOS_[AGRUP. VALOR. PTO.],$B93,DATOS_[Check Periodo Ref.],"Dentro",DATOS_[id/cod],DATOS_[id/cod]))))))</f>
        <v>0</v>
      </c>
      <c r="D94" s="204">
        <f>COUNTIFS(DATOS_[AGRUP. VALOR. PTO.],$B93,DATOS_[Sexo],$B94,DATOS_[Check Periodo Ref.],"Dentro")</f>
        <v>0</v>
      </c>
      <c r="E94" s="204">
        <f>COUNTIFS(DATOS_[AGRUP. VALOR. PTO.],$B93,DATOS_[Sexo],$B94,DATOS_[Check Periodo Ref.],"Dentro",DATOS_[Check Nº SC Norm],"Sí")</f>
        <v>0</v>
      </c>
      <c r="F94" s="204">
        <f>COUNTIFS(DATOS_[AGRUP. VALOR. PTO.],$B93,DATOS_[Sexo],$B94,DATOS_[Check Periodo Ref.],"Dentro",DATOS_[Check Nº SC Anualiz],"Sí")</f>
        <v>0</v>
      </c>
      <c r="G94" s="204">
        <f>COUNTIFS(DATOS_[AGRUP. VALOR. PTO.],$B93,DATOS_[Sexo],$B94,DATOS_[Check Periodo Ref.],"Dentro",DATOS_[Check Nº SC Norm y Anualiz],"Sí")</f>
        <v>0</v>
      </c>
      <c r="H94" s="204">
        <f>COUNTIFS(DATOS_[AGRUP. VALOR. PTO.],$B93,DATOS_[Sexo],$B94,DATOS_[Check Periodo Ref.],"Dentro",DATOS_[Check Equiparación],"Sí")</f>
        <v>0</v>
      </c>
      <c r="I94" s="195">
        <f t="array" ref="I94">IFERROR(
AVERAGE(IF(DATOS_[Sexo]=$B94,IF(DATOS_[[AGRUP. VALOR. PTO.]:[AGRUP. VALOR. PTO.]]=$B93,IF(DATOS_[Check Equiparado]="Sí",IF(DATOS_[Check Periodo Ref.]="Dentro",DATOS_[SALARIO BASE Eq],FALSE))))),
0)</f>
        <v>0</v>
      </c>
      <c r="J94" s="196">
        <f t="array" ref="J94">IFERROR(
(AVERAGE((IF(DATOS_[[Sexo]:[Sexo]]=$B94,IF(DATOS_[[AGRUP. VALOR. PTO.]:[AGRUP. VALOR. PTO.]]=$B93,IF(DATOS_[[Check Periodo Ref.]:[Check Periodo Ref.]]="Dentro",IF(DATOS_[[Check Equiparado]:[Check Equiparado]]="Sí",IF(DATOS!AE$5="Sí",(1/DATOS_[[% anualiz]:[% anualiz]]),1)*IF(DATOS!AE$4="Sí",1/DATOS_[[% normaliz]:[% normaliz]],1)*(DATOS_[Conc.Sal.01])))))))),
0)</f>
        <v>0</v>
      </c>
      <c r="K94" s="196">
        <f t="array" ref="K94">IFERROR(
(AVERAGE((IF(DATOS_[[Sexo]:[Sexo]]=$B94,IF(DATOS_[[AGRUP. VALOR. PTO.]:[AGRUP. VALOR. PTO.]]=$B93,IF(DATOS_[[Check Periodo Ref.]:[Check Periodo Ref.]]="Dentro",IF(DATOS_[[Check Equiparado]:[Check Equiparado]]="Sí",IF(DATOS!AF$5="Sí",(1/DATOS_[[% anualiz]:[% anualiz]]),1)*IF(DATOS!AF$4="Sí",1/DATOS_[[% normaliz]:[% normaliz]],1)*(DATOS_[Conc.Sal.02])))))))),
0)</f>
        <v>0</v>
      </c>
      <c r="L94" s="196">
        <f t="array" ref="L94">IFERROR(
(AVERAGE((IF(DATOS_[[Sexo]:[Sexo]]=$B94,IF(DATOS_[[AGRUP. VALOR. PTO.]:[AGRUP. VALOR. PTO.]]=$B93,IF(DATOS_[[Check Periodo Ref.]:[Check Periodo Ref.]]="Dentro",IF(DATOS_[[Check Equiparado]:[Check Equiparado]]="Sí",IF(DATOS!AG$5="Sí",(1/DATOS_[[% anualiz]:[% anualiz]]),1)*IF(DATOS!AG$4="Sí",1/DATOS_[[% normaliz]:[% normaliz]],1)*(DATOS_[Conc.Sal.03])))))))),
0)</f>
        <v>0</v>
      </c>
      <c r="M94" s="196">
        <f t="array" ref="M94">IFERROR(
(AVERAGE((IF(DATOS_[[Sexo]:[Sexo]]=$B94,IF(DATOS_[[AGRUP. VALOR. PTO.]:[AGRUP. VALOR. PTO.]]=$B93,IF(DATOS_[[Check Periodo Ref.]:[Check Periodo Ref.]]="Dentro",IF(DATOS_[[Check Equiparado]:[Check Equiparado]]="Sí",IF(DATOS!AH$5="Sí",(1/DATOS_[[% anualiz]:[% anualiz]]),1)*IF(DATOS!AH$4="Sí",1/DATOS_[[% normaliz]:[% normaliz]],1)*(DATOS_[Conc.Sal.04])))))))),
0)</f>
        <v>0</v>
      </c>
      <c r="N94" s="196">
        <f t="array" ref="N94">IFERROR(
(AVERAGE((IF(DATOS_[[Sexo]:[Sexo]]=$B94,IF(DATOS_[[AGRUP. VALOR. PTO.]:[AGRUP. VALOR. PTO.]]=$B93,IF(DATOS_[[Check Periodo Ref.]:[Check Periodo Ref.]]="Dentro",IF(DATOS_[[Check Equiparado]:[Check Equiparado]]="Sí",IF(DATOS!AI$5="Sí",(1/DATOS_[[% anualiz]:[% anualiz]]),1)*IF(DATOS!AI$4="Sí",1/DATOS_[[% normaliz]:[% normaliz]],1)*(DATOS_[Conc.Sal.05])))))))),
0)</f>
        <v>0</v>
      </c>
      <c r="O94" s="196">
        <f t="array" ref="O94">IFERROR(
(AVERAGE((IF(DATOS_[[Sexo]:[Sexo]]=$B94,IF(DATOS_[[AGRUP. VALOR. PTO.]:[AGRUP. VALOR. PTO.]]=$B93,IF(DATOS_[[Check Periodo Ref.]:[Check Periodo Ref.]]="Dentro",IF(DATOS_[[Check Equiparado]:[Check Equiparado]]="Sí",IF(DATOS!AJ$5="Sí",(1/DATOS_[[% anualiz]:[% anualiz]]),1)*IF(DATOS!AJ$4="Sí",1/DATOS_[[% normaliz]:[% normaliz]],1)*(DATOS_[Conc.Sal.06])))))))),
0)</f>
        <v>0</v>
      </c>
      <c r="P94" s="196">
        <f t="array" ref="P94">IFERROR(
(AVERAGE((IF(DATOS_[[Sexo]:[Sexo]]=$B94,IF(DATOS_[[AGRUP. VALOR. PTO.]:[AGRUP. VALOR. PTO.]]=$B93,IF(DATOS_[[Check Periodo Ref.]:[Check Periodo Ref.]]="Dentro",IF(DATOS_[[Check Equiparado]:[Check Equiparado]]="Sí",IF(DATOS!AK$5="Sí",(1/DATOS_[[% anualiz]:[% anualiz]]),1)*IF(DATOS!AK$4="Sí",1/DATOS_[[% normaliz]:[% normaliz]],1)*(DATOS_[Conc.Sal.07])))))))),
0)</f>
        <v>0</v>
      </c>
      <c r="Q94" s="196">
        <f t="array" ref="Q94">IFERROR(
(AVERAGE((IF(DATOS_[[Sexo]:[Sexo]]=$B94,IF(DATOS_[[AGRUP. VALOR. PTO.]:[AGRUP. VALOR. PTO.]]=$B93,IF(DATOS_[[Check Periodo Ref.]:[Check Periodo Ref.]]="Dentro",IF(DATOS_[[Check Equiparado]:[Check Equiparado]]="Sí",IF(DATOS!AL$5="Sí",(1/DATOS_[[% anualiz]:[% anualiz]]),1)*IF(DATOS!AL$4="Sí",1/DATOS_[[% normaliz]:[% normaliz]],1)*(DATOS_[Conc.Sal.08])))))))),
0)</f>
        <v>0</v>
      </c>
      <c r="R94" s="196">
        <f t="array" ref="R94">IFERROR(
(AVERAGE((IF(DATOS_[[Sexo]:[Sexo]]=$B94,IF(DATOS_[[AGRUP. VALOR. PTO.]:[AGRUP. VALOR. PTO.]]=$B93,IF(DATOS_[[Check Periodo Ref.]:[Check Periodo Ref.]]="Dentro",IF(DATOS_[[Check Equiparado]:[Check Equiparado]]="Sí",IF(DATOS!AM$5="Sí",(1/DATOS_[[% anualiz]:[% anualiz]]),1)*IF(DATOS!AM$4="Sí",1/DATOS_[[% normaliz]:[% normaliz]],1)*(DATOS_[Conc.Sal.09])))))))),
0)</f>
        <v>0</v>
      </c>
      <c r="S94" s="196">
        <f t="array" ref="S94">IFERROR(
(AVERAGE((IF(DATOS_[[Sexo]:[Sexo]]=$B94,IF(DATOS_[[AGRUP. VALOR. PTO.]:[AGRUP. VALOR. PTO.]]=$B93,IF(DATOS_[[Check Periodo Ref.]:[Check Periodo Ref.]]="Dentro",IF(DATOS_[[Check Equiparado]:[Check Equiparado]]="Sí",IF(DATOS!AN$5="Sí",(1/DATOS_[[% anualiz]:[% anualiz]]),1)*IF(DATOS!AN$4="Sí",1/DATOS_[[% normaliz]:[% normaliz]],1)*(DATOS_[Conc.Sal.10])))))))),
0)</f>
        <v>0</v>
      </c>
      <c r="T94" s="196">
        <f t="array" ref="T94">IFERROR(
(AVERAGE((IF(DATOS_[[Sexo]:[Sexo]]=$B94,IF(DATOS_[[AGRUP. VALOR. PTO.]:[AGRUP. VALOR. PTO.]]=$B93,IF(DATOS_[[Check Periodo Ref.]:[Check Periodo Ref.]]="Dentro",IF(DATOS_[[Check Equiparado]:[Check Equiparado]]="Sí",IF(DATOS!AO$5="Sí",(1/DATOS_[[% anualiz]:[% anualiz]]),1)*IF(DATOS!AO$4="Sí",1/DATOS_[[% normaliz]:[% normaliz]],1)*(DATOS_[Conc.Sal.11])))))))),
0)</f>
        <v>0</v>
      </c>
      <c r="U94" s="196">
        <f t="array" ref="U94">IFERROR(
(AVERAGE((IF(DATOS_[[Sexo]:[Sexo]]=$B94,IF(DATOS_[[AGRUP. VALOR. PTO.]:[AGRUP. VALOR. PTO.]]=$B93,IF(DATOS_[[Check Periodo Ref.]:[Check Periodo Ref.]]="Dentro",IF(DATOS_[[Check Equiparado]:[Check Equiparado]]="Sí",IF(DATOS!AP$5="Sí",(1/DATOS_[[% anualiz]:[% anualiz]]),1)*IF(DATOS!AP$4="Sí",1/DATOS_[[% normaliz]:[% normaliz]],1)*(DATOS_[Conc.Sal.12])))))))),
0)</f>
        <v>0</v>
      </c>
      <c r="V94" s="196">
        <f t="array" ref="V94">IFERROR(
(AVERAGE((IF(DATOS_[[Sexo]:[Sexo]]=$B94,IF(DATOS_[[AGRUP. VALOR. PTO.]:[AGRUP. VALOR. PTO.]]=$B93,IF(DATOS_[[Check Periodo Ref.]:[Check Periodo Ref.]]="Dentro",IF(DATOS_[[Check Equiparado]:[Check Equiparado]]="Sí",IF(DATOS!AQ$5="Sí",(1/DATOS_[[% anualiz]:[% anualiz]]),1)*IF(DATOS!AQ$4="Sí",1/DATOS_[[% normaliz]:[% normaliz]],1)*(DATOS_[Conc.Sal.13])))))))),
0)</f>
        <v>0</v>
      </c>
      <c r="W94" s="196">
        <f t="array" ref="W94">IFERROR(
(AVERAGE((IF(DATOS_[[Sexo]:[Sexo]]=$B94,IF(DATOS_[[AGRUP. VALOR. PTO.]:[AGRUP. VALOR. PTO.]]=$B93,IF(DATOS_[[Check Periodo Ref.]:[Check Periodo Ref.]]="Dentro",IF(DATOS_[[Check Equiparado]:[Check Equiparado]]="Sí",IF(DATOS!AR$5="Sí",(1/DATOS_[[% anualiz]:[% anualiz]]),1)*IF(DATOS!AR$4="Sí",1/DATOS_[[% normaliz]:[% normaliz]],1)*(DATOS_[Conc.Sal.14])))))))),
0)</f>
        <v>0</v>
      </c>
      <c r="X94" s="196">
        <f t="array" ref="X94">IFERROR(
(AVERAGE((IF(DATOS_[[Sexo]:[Sexo]]=$B94,IF(DATOS_[[AGRUP. VALOR. PTO.]:[AGRUP. VALOR. PTO.]]=$B93,IF(DATOS_[[Check Periodo Ref.]:[Check Periodo Ref.]]="Dentro",IF(DATOS_[[Check Equiparado]:[Check Equiparado]]="Sí",IF(DATOS!AS$5="Sí",(1/DATOS_[[% anualiz]:[% anualiz]]),1)*IF(DATOS!AS$4="Sí",1/DATOS_[[% normaliz]:[% normaliz]],1)*(DATOS_[Conc.Sal.15])))))))),
0)</f>
        <v>0</v>
      </c>
      <c r="Y94" s="196">
        <f t="array" ref="Y94">IFERROR(
(AVERAGE((IF(DATOS_[[Sexo]:[Sexo]]=$B94,IF(DATOS_[[AGRUP. VALOR. PTO.]:[AGRUP. VALOR. PTO.]]=$B93,IF(DATOS_[[Check Periodo Ref.]:[Check Periodo Ref.]]="Dentro",IF(DATOS_[[Check Equiparado]:[Check Equiparado]]="Sí",IF(DATOS!AT$5="Sí",(1/DATOS_[[% anualiz]:[% anualiz]]),1)*IF(DATOS!AT$4="Sí",1/DATOS_[[% normaliz]:[% normaliz]],1)*(DATOS_[Conc.Sal.16])))))))),
0)</f>
        <v>0</v>
      </c>
      <c r="Z94" s="196">
        <f t="array" ref="Z94">IFERROR(
(AVERAGE((IF(DATOS_[[Sexo]:[Sexo]]=$B94,IF(DATOS_[[AGRUP. VALOR. PTO.]:[AGRUP. VALOR. PTO.]]=$B93,IF(DATOS_[[Check Periodo Ref.]:[Check Periodo Ref.]]="Dentro",IF(DATOS_[[Check Equiparado]:[Check Equiparado]]="Sí",IF(DATOS!AU$5="Sí",(1/DATOS_[[% anualiz]:[% anualiz]]),1)*IF(DATOS!AU$4="Sí",1/DATOS_[[% normaliz]:[% normaliz]],1)*(DATOS_[Conc.Sal.17])))))))),
0)</f>
        <v>0</v>
      </c>
      <c r="AA94" s="196">
        <f t="array" ref="AA94">IFERROR(
(AVERAGE((IF(DATOS_[[Sexo]:[Sexo]]=$B94,IF(DATOS_[[AGRUP. VALOR. PTO.]:[AGRUP. VALOR. PTO.]]=$B93,IF(DATOS_[[Check Periodo Ref.]:[Check Periodo Ref.]]="Dentro",IF(DATOS_[[Check Equiparado]:[Check Equiparado]]="Sí",IF(DATOS!AV$5="Sí",(1/DATOS_[[% anualiz]:[% anualiz]]),1)*IF(DATOS!AV$4="Sí",1/DATOS_[[% normaliz]:[% normaliz]],1)*(DATOS_[Conc.Sal.18])))))))),
0)</f>
        <v>0</v>
      </c>
      <c r="AB94" s="196">
        <f t="array" ref="AB94">IFERROR(
(AVERAGE((IF(DATOS_[[Sexo]:[Sexo]]=$B94,IF(DATOS_[[AGRUP. VALOR. PTO.]:[AGRUP. VALOR. PTO.]]=$B93,IF(DATOS_[[Check Periodo Ref.]:[Check Periodo Ref.]]="Dentro",IF(DATOS_[[Check Equiparado]:[Check Equiparado]]="Sí",IF(DATOS!AW$5="Sí",(1/DATOS_[[% anualiz]:[% anualiz]]),1)*IF(DATOS!AW$4="Sí",1/DATOS_[[% normaliz]:[% normaliz]],1)*(DATOS_[Conc.Sal.19])))))))),
0)</f>
        <v>0</v>
      </c>
      <c r="AC94" s="196">
        <f t="array" ref="AC94">IFERROR(
(AVERAGE((IF(DATOS_[[Sexo]:[Sexo]]=$B94,IF(DATOS_[[AGRUP. VALOR. PTO.]:[AGRUP. VALOR. PTO.]]=$B93,IF(DATOS_[[Check Periodo Ref.]:[Check Periodo Ref.]]="Dentro",IF(DATOS_[[Check Equiparado]:[Check Equiparado]]="Sí",IF(DATOS!AX$5="Sí",(1/DATOS_[[% anualiz]:[% anualiz]]),1)*IF(DATOS!AX$4="Sí",1/DATOS_[[% normaliz]:[% normaliz]],1)*(DATOS_[Conc.Sal.20])))))))),
0)</f>
        <v>0</v>
      </c>
      <c r="AD94" s="196">
        <f t="array" ref="AD94">IFERROR(
(AVERAGE((IF(DATOS_[[Sexo]:[Sexo]]=$B94,IF(DATOS_[[AGRUP. VALOR. PTO.]:[AGRUP. VALOR. PTO.]]=$B93,IF(DATOS_[[Check Periodo Ref.]:[Check Periodo Ref.]]="Dentro",IF(DATOS_[[Check Equiparado]:[Check Equiparado]]="Sí",IF(DATOS!AY$5="Sí",(1/DATOS_[[% anualiz]:[% anualiz]]),1)*IF(DATOS!AY$4="Sí",1/DATOS_[[% normaliz]:[% normaliz]],1)*(DATOS_[Conc.Sal.21])))))))),
0)</f>
        <v>0</v>
      </c>
      <c r="AE94" s="196">
        <f t="array" ref="AE94">IFERROR(
(AVERAGE((IF(DATOS_[[Sexo]:[Sexo]]=$B94,IF(DATOS_[[AGRUP. VALOR. PTO.]:[AGRUP. VALOR. PTO.]]=$B93,IF(DATOS_[[Check Periodo Ref.]:[Check Periodo Ref.]]="Dentro",IF(DATOS_[[Check Equiparado]:[Check Equiparado]]="Sí",IF(DATOS!AZ$5="Sí",(1/DATOS_[[% anualiz]:[% anualiz]]),1)*IF(DATOS!AZ$4="Sí",1/DATOS_[[% normaliz]:[% normaliz]],1)*(DATOS_[Conc.Sal.22])))))))),
0)</f>
        <v>0</v>
      </c>
      <c r="AF94" s="196">
        <f t="array" ref="AF94">IFERROR(
(AVERAGE((IF(DATOS_[[Sexo]:[Sexo]]=$B94,IF(DATOS_[[AGRUP. VALOR. PTO.]:[AGRUP. VALOR. PTO.]]=$B93,IF(DATOS_[[Check Periodo Ref.]:[Check Periodo Ref.]]="Dentro",IF(DATOS_[[Check Equiparado]:[Check Equiparado]]="Sí",IF(DATOS!BA$5="Sí",(1/DATOS_[[% anualiz]:[% anualiz]]),1)*IF(DATOS!BA$4="Sí",1/DATOS_[[% normaliz]:[% normaliz]],1)*(DATOS_[Conc.Sal.23])))))))),
0)</f>
        <v>0</v>
      </c>
      <c r="AG94" s="196">
        <f t="array" ref="AG94">IFERROR(
(AVERAGE((IF(DATOS_[[Sexo]:[Sexo]]=$B94,IF(DATOS_[[AGRUP. VALOR. PTO.]:[AGRUP. VALOR. PTO.]]=$B93,IF(DATOS_[[Check Periodo Ref.]:[Check Periodo Ref.]]="Dentro",IF(DATOS_[[Check Equiparado]:[Check Equiparado]]="Sí",IF(DATOS!BB$5="Sí",(1/DATOS_[[% anualiz]:[% anualiz]]),1)*IF(DATOS!BB$4="Sí",1/DATOS_[[% normaliz]:[% normaliz]],1)*(DATOS_[Conc.Sal.24])))))))),
0)</f>
        <v>0</v>
      </c>
      <c r="AH94" s="196">
        <f t="array" ref="AH94">IFERROR(
(AVERAGE((IF(DATOS_[[Sexo]:[Sexo]]=$B94,IF(DATOS_[[AGRUP. VALOR. PTO.]:[AGRUP. VALOR. PTO.]]=$B93,IF(DATOS_[[Check Periodo Ref.]:[Check Periodo Ref.]]="Dentro",IF(DATOS_[[Check Equiparado]:[Check Equiparado]]="Sí",IF(DATOS!BC$5="Sí",(1/DATOS_[[% anualiz]:[% anualiz]]),1)*IF(DATOS!BC$4="Sí",1/DATOS_[[% normaliz]:[% normaliz]],1)*(DATOS_[Conc.Sal.25])))))))),
0)</f>
        <v>0</v>
      </c>
      <c r="AI94" s="196">
        <f t="array" ref="AI94">IFERROR(
(AVERAGE((IF(DATOS_[[Sexo]:[Sexo]]=$B94,IF(DATOS_[[AGRUP. VALOR. PTO.]:[AGRUP. VALOR. PTO.]]=$B93,IF(DATOS_[[Check Periodo Ref.]:[Check Periodo Ref.]]="Dentro",IF(DATOS_[[Check Equiparado]:[Check Equiparado]]="Sí",IF(DATOS!BD$5="Sí",(1/DATOS_[[% anualiz]:[% anualiz]]),1)*IF(DATOS!BD$4="Sí",1/DATOS_[[% normaliz]:[% normaliz]],1)*(DATOS_[Conc.Sal.26])))))))),
0)</f>
        <v>0</v>
      </c>
      <c r="AJ94" s="196">
        <f t="array" ref="AJ94">IFERROR(
(AVERAGE((IF(DATOS_[[Sexo]:[Sexo]]=$B94,IF(DATOS_[[AGRUP. VALOR. PTO.]:[AGRUP. VALOR. PTO.]]=$B93,IF(DATOS_[[Check Periodo Ref.]:[Check Periodo Ref.]]="Dentro",IF(DATOS_[[Check Equiparado]:[Check Equiparado]]="Sí",IF(DATOS!BE$5="Sí",(1/DATOS_[[% anualiz]:[% anualiz]]),1)*IF(DATOS!BE$4="Sí",1/DATOS_[[% normaliz]:[% normaliz]],1)*(DATOS_[Conc.Sal.27])))))))),
0)</f>
        <v>0</v>
      </c>
      <c r="AK94" s="196">
        <f t="array" ref="AK94">IFERROR(
(AVERAGE((IF(DATOS_[[Sexo]:[Sexo]]=$B94,IF(DATOS_[[AGRUP. VALOR. PTO.]:[AGRUP. VALOR. PTO.]]=$B93,IF(DATOS_[[Check Periodo Ref.]:[Check Periodo Ref.]]="Dentro",IF(DATOS_[[Check Equiparado]:[Check Equiparado]]="Sí",IF(DATOS!BF$5="Sí",(1/DATOS_[[% anualiz]:[% anualiz]]),1)*IF(DATOS!BF$4="Sí",1/DATOS_[[% normaliz]:[% normaliz]],1)*(DATOS_[Conc.Sal.28])))))))),
0)</f>
        <v>0</v>
      </c>
      <c r="AL94" s="196">
        <f t="array" ref="AL94">IFERROR(
(AVERAGE((IF(DATOS_[[Sexo]:[Sexo]]=$B94,IF(DATOS_[[AGRUP. VALOR. PTO.]:[AGRUP. VALOR. PTO.]]=$B93,IF(DATOS_[[Check Periodo Ref.]:[Check Periodo Ref.]]="Dentro",IF(DATOS_[[Check Equiparado]:[Check Equiparado]]="Sí",IF(DATOS!BG$5="Sí",(1/DATOS_[[% anualiz]:[% anualiz]]),1)*IF(DATOS!BG$4="Sí",1/DATOS_[[% normaliz]:[% normaliz]],1)*(DATOS_[Conc.Sal.29])))))))),
0)</f>
        <v>0</v>
      </c>
      <c r="AM94" s="196">
        <f t="array" ref="AM94">IFERROR(
(AVERAGE((IF(DATOS_[[Sexo]:[Sexo]]=$B94,IF(DATOS_[[AGRUP. VALOR. PTO.]:[AGRUP. VALOR. PTO.]]=$B93,IF(DATOS_[[Check Periodo Ref.]:[Check Periodo Ref.]]="Dentro",IF(DATOS_[[Check Equiparado]:[Check Equiparado]]="Sí",IF(DATOS!BH$5="Sí",(1/DATOS_[[% anualiz]:[% anualiz]]),1)*IF(DATOS!BH$4="Sí",1/DATOS_[[% normaliz]:[% normaliz]],1)*(DATOS_[Conc.Sal.30])))))))),
0)</f>
        <v>0</v>
      </c>
      <c r="AN94" s="195">
        <f t="array" ref="AN94">IFERROR(
AVERAGE(IF(DATOS_[Sexo]=$B94,IF(DATOS_[[AGRUP. VALOR. PTO.]:[AGRUP. VALOR. PTO.]]=$B93,IF(DATOS_[Check Equiparado]="Sí",IF(DATOS_[Check Periodo Ref.]="Dentro",DATOS_[Tot COMPL.SAL Eq],FALSE))))),
0)</f>
        <v>0</v>
      </c>
      <c r="AO94" s="172">
        <f t="array" ref="AO94">IFERROR(
AVERAGE(IF(DATOS_[Sexo]=$B94,IF(DATOS_[[AGRUP. VALOR. PTO.]:[AGRUP. VALOR. PTO.]]=$B93,IF(DATOS_[Check Equiparado]="Sí",IF(DATOS_[Check Periodo Ref.]="Dentro",DATOS_[TOTAL SALARIO Eq],FALSE))))),
0)</f>
        <v>0</v>
      </c>
      <c r="AP94" s="173">
        <f t="array" ref="AP94">IFERROR(
(AVERAGE((IF(DATOS_[[Sexo]:[Sexo]]=$B94,IF(DATOS_[[AGRUP. VALOR. PTO.]:[AGRUP. VALOR. PTO.]]=$B93,IF(DATOS_[[Check Periodo Ref.]:[Check Periodo Ref.]]="Dentro",IF(DATOS_[[Check Equiparado]:[Check Equiparado]]="Sí",IF(DATOS!BW$5="Sí",(1/DATOS_[[% anualiz]:[% anualiz]]),1)*IF(DATOS!BW$4="Sí",1/DATOS_[[% normaliz]:[% normaliz]],1)*(DATOS_[C.Extra.01])))))))),
0)</f>
        <v>0</v>
      </c>
      <c r="AQ94" s="173">
        <f t="array" ref="AQ94">IFERROR(
(AVERAGE((IF(DATOS_[[Sexo]:[Sexo]]=$B94,IF(DATOS_[[AGRUP. VALOR. PTO.]:[AGRUP. VALOR. PTO.]]=$B93,IF(DATOS_[[Check Periodo Ref.]:[Check Periodo Ref.]]="Dentro",IF(DATOS_[[Check Equiparado]:[Check Equiparado]]="Sí",IF(DATOS!CB$5="Sí",(1/DATOS_[[% anualiz]:[% anualiz]]),1)*IF(DATOS!CB$4="Sí",1/DATOS_[[% normaliz]:[% normaliz]],1)*(DATOS_[C.Extra.06])))))))),
0)</f>
        <v>0</v>
      </c>
      <c r="AR94" s="173">
        <f t="array" ref="AR94">IFERROR(
(AVERAGE((IF(DATOS_[[Sexo]:[Sexo]]=$B94,IF(DATOS_[[AGRUP. VALOR. PTO.]:[AGRUP. VALOR. PTO.]]=$B93,IF(DATOS_[[Check Periodo Ref.]:[Check Periodo Ref.]]="Dentro",IF(DATOS_[[Check Equiparado]:[Check Equiparado]]="Sí",IF(DATOS!CC$5="Sí",(1/DATOS_[[% anualiz]:[% anualiz]]),1)*IF(DATOS!CC$4="Sí",1/DATOS_[[% normaliz]:[% normaliz]],1)*(DATOS_[C.Extra.07])))))))),
0)</f>
        <v>0</v>
      </c>
      <c r="AS94" s="173">
        <f t="array" ref="AS94">IFERROR(
(AVERAGE((IF(DATOS_[[Sexo]:[Sexo]]=$B94,IF(DATOS_[[AGRUP. VALOR. PTO.]:[AGRUP. VALOR. PTO.]]=$B93,IF(DATOS_[[Check Periodo Ref.]:[Check Periodo Ref.]]="Dentro",IF(DATOS_[[Check Equiparado]:[Check Equiparado]]="Sí",IF(DATOS!CD$5="Sí",(1/DATOS_[[% anualiz]:[% anualiz]]),1)*IF(DATOS!CD$4="Sí",1/DATOS_[[% normaliz]:[% normaliz]],1)*(DATOS_[C.Extra.08])))))))),
0)</f>
        <v>0</v>
      </c>
      <c r="AT94" s="173">
        <f t="array" ref="AT94">IFERROR(
(AVERAGE((IF(DATOS_[[Sexo]:[Sexo]]=$B94,IF(DATOS_[[AGRUP. VALOR. PTO.]:[AGRUP. VALOR. PTO.]]=$B93,IF(DATOS_[[Check Periodo Ref.]:[Check Periodo Ref.]]="Dentro",IF(DATOS_[[Check Equiparado]:[Check Equiparado]]="Sí",IF(DATOS!CG$5="Sí",(1/DATOS_[[% anualiz]:[% anualiz]]),1)*IF(DATOS!CG$4="Sí",1/DATOS_[[% normaliz]:[% normaliz]],1)*(DATOS_[C.Extra.11])))))))),
0)</f>
        <v>0</v>
      </c>
      <c r="AU94" s="197">
        <f t="array" ref="AU94">IFERROR(
AVERAGE(IF(DATOS_[Sexo]=$B94,IF(DATOS_[[AGRUP. VALOR. PTO.]:[AGRUP. VALOR. PTO.]]=$B93,IF(DATOS_[Check Equiparado]="Sí",IF(DATOS_[Check Periodo Ref.]="Dentro",DATOS_[Tot Extrasalarial Eq],FALSE))))),
0)</f>
        <v>0</v>
      </c>
      <c r="AV94" s="175">
        <f t="array" ref="AV94">IFERROR(
AVERAGE(IF(DATOS_[Sexo]=$B94,IF(DATOS_[[AGRUP. VALOR. PTO.]:[AGRUP. VALOR. PTO.]]=$B93,IF(DATOS_[Check Equiparado]="Sí",IF(DATOS_[Check Periodo Ref.]="Dentro",DATOS_[TOTAL Retrib Eq],FALSE))))),
0)</f>
        <v>0</v>
      </c>
    </row>
    <row r="95" spans="1:48" x14ac:dyDescent="0.25">
      <c r="A95" s="133" t="str">
        <f t="shared" ref="A95" si="110">+A94</f>
        <v>[ocultar]</v>
      </c>
      <c r="B95" s="202" t="s">
        <v>521</v>
      </c>
      <c r="C95" s="203">
        <f t="array" ref="C95">SUM(IF($B95=DATOS_[Sexo],
IF($B93=DATOS_[AGRUP. VALOR. PTO.],
IF("Dentro"=DATOS_[Check Periodo Ref.],
1/(COUNTIFS(DATOS_[Sexo],$B95,DATOS_[AGRUP. VALOR. PTO.],$B93,DATOS_[Check Periodo Ref.],"Dentro",DATOS_[id/cod],DATOS_[id/cod]))))))</f>
        <v>0</v>
      </c>
      <c r="D95" s="204">
        <f>COUNTIFS(DATOS_[AGRUP. VALOR. PTO.],$B93,DATOS_[Sexo],$B95,DATOS_[Check Periodo Ref.],"Dentro")</f>
        <v>0</v>
      </c>
      <c r="E95" s="204">
        <f>COUNTIFS(DATOS_[AGRUP. VALOR. PTO.],$B93,DATOS_[Sexo],$B95,DATOS_[Check Periodo Ref.],"Dentro",DATOS_[Check Nº SC Norm],"Sí")</f>
        <v>0</v>
      </c>
      <c r="F95" s="204">
        <f>COUNTIFS(DATOS_[AGRUP. VALOR. PTO.],$B93,DATOS_[Sexo],$B95,DATOS_[Check Periodo Ref.],"Dentro",DATOS_[Check Nº SC Anualiz],"Sí")</f>
        <v>0</v>
      </c>
      <c r="G95" s="204">
        <f>COUNTIFS(DATOS_[AGRUP. VALOR. PTO.],$B93,DATOS_[Sexo],$B95,DATOS_[Check Periodo Ref.],"Dentro",DATOS_[Check Nº SC Norm y Anualiz],"Sí")</f>
        <v>0</v>
      </c>
      <c r="H95" s="204">
        <f>COUNTIFS(DATOS_[AGRUP. VALOR. PTO.],$B93,DATOS_[Sexo],$B95,DATOS_[Check Periodo Ref.],"Dentro",DATOS_[Check Equiparación],"Sí")</f>
        <v>0</v>
      </c>
      <c r="I95" s="195" cm="1">
        <f t="array" ref="I95">IFERROR(
AVERAGE(IF(DATOS_[Sexo]=$B95,IF(DATOS_[[AGRUP. VALOR. PTO.]:[AGRUP. VALOR. PTO.]]=$B93,IF(DATOS_[Check Equiparado]="Sí",IF(DATOS_[Check Periodo Ref.]="Dentro",DATOS_[SALARIO BASE Eq],FALSE))))),
0)</f>
        <v>0</v>
      </c>
      <c r="J95" s="196">
        <f t="array" ref="J95">IFERROR(
(AVERAGE((IF(DATOS_[[Sexo]:[Sexo]]=$B95,IF(DATOS_[[AGRUP. VALOR. PTO.]:[AGRUP. VALOR. PTO.]]=$B93,IF(DATOS_[[Check Periodo Ref.]:[Check Periodo Ref.]]="Dentro",IF(DATOS_[[Check Equiparado]:[Check Equiparado]]="Sí",IF(DATOS!AE$5="Sí",(1/DATOS_[[% anualiz]:[% anualiz]]),1)*IF(DATOS!AE$4="Sí",1/DATOS_[[% normaliz]:[% normaliz]],1)*(DATOS_[Conc.Sal.01])))))))),
0)</f>
        <v>0</v>
      </c>
      <c r="K95" s="196">
        <f t="array" ref="K95">IFERROR(
(AVERAGE((IF(DATOS_[[Sexo]:[Sexo]]=$B95,IF(DATOS_[[AGRUP. VALOR. PTO.]:[AGRUP. VALOR. PTO.]]=$B93,IF(DATOS_[[Check Periodo Ref.]:[Check Periodo Ref.]]="Dentro",IF(DATOS_[[Check Equiparado]:[Check Equiparado]]="Sí",IF(DATOS!AF$5="Sí",(1/DATOS_[[% anualiz]:[% anualiz]]),1)*IF(DATOS!AF$4="Sí",1/DATOS_[[% normaliz]:[% normaliz]],1)*(DATOS_[Conc.Sal.02])))))))),
0)</f>
        <v>0</v>
      </c>
      <c r="L95" s="196">
        <f t="array" ref="L95">IFERROR(
(AVERAGE((IF(DATOS_[[Sexo]:[Sexo]]=$B95,IF(DATOS_[[AGRUP. VALOR. PTO.]:[AGRUP. VALOR. PTO.]]=$B93,IF(DATOS_[[Check Periodo Ref.]:[Check Periodo Ref.]]="Dentro",IF(DATOS_[[Check Equiparado]:[Check Equiparado]]="Sí",IF(DATOS!AG$5="Sí",(1/DATOS_[[% anualiz]:[% anualiz]]),1)*IF(DATOS!AG$4="Sí",1/DATOS_[[% normaliz]:[% normaliz]],1)*(DATOS_[Conc.Sal.03])))))))),
0)</f>
        <v>0</v>
      </c>
      <c r="M95" s="196">
        <f t="array" ref="M95">IFERROR(
(AVERAGE((IF(DATOS_[[Sexo]:[Sexo]]=$B95,IF(DATOS_[[AGRUP. VALOR. PTO.]:[AGRUP. VALOR. PTO.]]=$B93,IF(DATOS_[[Check Periodo Ref.]:[Check Periodo Ref.]]="Dentro",IF(DATOS_[[Check Equiparado]:[Check Equiparado]]="Sí",IF(DATOS!AH$5="Sí",(1/DATOS_[[% anualiz]:[% anualiz]]),1)*IF(DATOS!AH$4="Sí",1/DATOS_[[% normaliz]:[% normaliz]],1)*(DATOS_[Conc.Sal.04])))))))),
0)</f>
        <v>0</v>
      </c>
      <c r="N95" s="196">
        <f t="array" ref="N95">IFERROR(
(AVERAGE((IF(DATOS_[[Sexo]:[Sexo]]=$B95,IF(DATOS_[[AGRUP. VALOR. PTO.]:[AGRUP. VALOR. PTO.]]=$B93,IF(DATOS_[[Check Periodo Ref.]:[Check Periodo Ref.]]="Dentro",IF(DATOS_[[Check Equiparado]:[Check Equiparado]]="Sí",IF(DATOS!AI$5="Sí",(1/DATOS_[[% anualiz]:[% anualiz]]),1)*IF(DATOS!AI$4="Sí",1/DATOS_[[% normaliz]:[% normaliz]],1)*(DATOS_[Conc.Sal.05])))))))),
0)</f>
        <v>0</v>
      </c>
      <c r="O95" s="196">
        <f t="array" ref="O95">IFERROR(
(AVERAGE((IF(DATOS_[[Sexo]:[Sexo]]=$B95,IF(DATOS_[[AGRUP. VALOR. PTO.]:[AGRUP. VALOR. PTO.]]=$B93,IF(DATOS_[[Check Periodo Ref.]:[Check Periodo Ref.]]="Dentro",IF(DATOS_[[Check Equiparado]:[Check Equiparado]]="Sí",IF(DATOS!AJ$5="Sí",(1/DATOS_[[% anualiz]:[% anualiz]]),1)*IF(DATOS!AJ$4="Sí",1/DATOS_[[% normaliz]:[% normaliz]],1)*(DATOS_[Conc.Sal.06])))))))),
0)</f>
        <v>0</v>
      </c>
      <c r="P95" s="196">
        <f t="array" ref="P95">IFERROR(
(AVERAGE((IF(DATOS_[[Sexo]:[Sexo]]=$B95,IF(DATOS_[[AGRUP. VALOR. PTO.]:[AGRUP. VALOR. PTO.]]=$B93,IF(DATOS_[[Check Periodo Ref.]:[Check Periodo Ref.]]="Dentro",IF(DATOS_[[Check Equiparado]:[Check Equiparado]]="Sí",IF(DATOS!AK$5="Sí",(1/DATOS_[[% anualiz]:[% anualiz]]),1)*IF(DATOS!AK$4="Sí",1/DATOS_[[% normaliz]:[% normaliz]],1)*(DATOS_[Conc.Sal.07])))))))),
0)</f>
        <v>0</v>
      </c>
      <c r="Q95" s="196">
        <f t="array" ref="Q95">IFERROR(
(AVERAGE((IF(DATOS_[[Sexo]:[Sexo]]=$B95,IF(DATOS_[[AGRUP. VALOR. PTO.]:[AGRUP. VALOR. PTO.]]=$B93,IF(DATOS_[[Check Periodo Ref.]:[Check Periodo Ref.]]="Dentro",IF(DATOS_[[Check Equiparado]:[Check Equiparado]]="Sí",IF(DATOS!AL$5="Sí",(1/DATOS_[[% anualiz]:[% anualiz]]),1)*IF(DATOS!AL$4="Sí",1/DATOS_[[% normaliz]:[% normaliz]],1)*(DATOS_[Conc.Sal.08])))))))),
0)</f>
        <v>0</v>
      </c>
      <c r="R95" s="196">
        <f t="array" ref="R95">IFERROR(
(AVERAGE((IF(DATOS_[[Sexo]:[Sexo]]=$B95,IF(DATOS_[[AGRUP. VALOR. PTO.]:[AGRUP. VALOR. PTO.]]=$B93,IF(DATOS_[[Check Periodo Ref.]:[Check Periodo Ref.]]="Dentro",IF(DATOS_[[Check Equiparado]:[Check Equiparado]]="Sí",IF(DATOS!AM$5="Sí",(1/DATOS_[[% anualiz]:[% anualiz]]),1)*IF(DATOS!AM$4="Sí",1/DATOS_[[% normaliz]:[% normaliz]],1)*(DATOS_[Conc.Sal.09])))))))),
0)</f>
        <v>0</v>
      </c>
      <c r="S95" s="196">
        <f t="array" ref="S95">IFERROR(
(AVERAGE((IF(DATOS_[[Sexo]:[Sexo]]=$B95,IF(DATOS_[[AGRUP. VALOR. PTO.]:[AGRUP. VALOR. PTO.]]=$B93,IF(DATOS_[[Check Periodo Ref.]:[Check Periodo Ref.]]="Dentro",IF(DATOS_[[Check Equiparado]:[Check Equiparado]]="Sí",IF(DATOS!AN$5="Sí",(1/DATOS_[[% anualiz]:[% anualiz]]),1)*IF(DATOS!AN$4="Sí",1/DATOS_[[% normaliz]:[% normaliz]],1)*(DATOS_[Conc.Sal.10])))))))),
0)</f>
        <v>0</v>
      </c>
      <c r="T95" s="196">
        <f t="array" ref="T95">IFERROR(
(AVERAGE((IF(DATOS_[[Sexo]:[Sexo]]=$B95,IF(DATOS_[[AGRUP. VALOR. PTO.]:[AGRUP. VALOR. PTO.]]=$B93,IF(DATOS_[[Check Periodo Ref.]:[Check Periodo Ref.]]="Dentro",IF(DATOS_[[Check Equiparado]:[Check Equiparado]]="Sí",IF(DATOS!AO$5="Sí",(1/DATOS_[[% anualiz]:[% anualiz]]),1)*IF(DATOS!AO$4="Sí",1/DATOS_[[% normaliz]:[% normaliz]],1)*(DATOS_[Conc.Sal.11])))))))),
0)</f>
        <v>0</v>
      </c>
      <c r="U95" s="196">
        <f t="array" ref="U95">IFERROR(
(AVERAGE((IF(DATOS_[[Sexo]:[Sexo]]=$B95,IF(DATOS_[[AGRUP. VALOR. PTO.]:[AGRUP. VALOR. PTO.]]=$B93,IF(DATOS_[[Check Periodo Ref.]:[Check Periodo Ref.]]="Dentro",IF(DATOS_[[Check Equiparado]:[Check Equiparado]]="Sí",IF(DATOS!AP$5="Sí",(1/DATOS_[[% anualiz]:[% anualiz]]),1)*IF(DATOS!AP$4="Sí",1/DATOS_[[% normaliz]:[% normaliz]],1)*(DATOS_[Conc.Sal.12])))))))),
0)</f>
        <v>0</v>
      </c>
      <c r="V95" s="196">
        <f t="array" ref="V95">IFERROR(
(AVERAGE((IF(DATOS_[[Sexo]:[Sexo]]=$B95,IF(DATOS_[[AGRUP. VALOR. PTO.]:[AGRUP. VALOR. PTO.]]=$B93,IF(DATOS_[[Check Periodo Ref.]:[Check Periodo Ref.]]="Dentro",IF(DATOS_[[Check Equiparado]:[Check Equiparado]]="Sí",IF(DATOS!AQ$5="Sí",(1/DATOS_[[% anualiz]:[% anualiz]]),1)*IF(DATOS!AQ$4="Sí",1/DATOS_[[% normaliz]:[% normaliz]],1)*(DATOS_[Conc.Sal.13])))))))),
0)</f>
        <v>0</v>
      </c>
      <c r="W95" s="196">
        <f t="array" ref="W95">IFERROR(
(AVERAGE((IF(DATOS_[[Sexo]:[Sexo]]=$B95,IF(DATOS_[[AGRUP. VALOR. PTO.]:[AGRUP. VALOR. PTO.]]=$B93,IF(DATOS_[[Check Periodo Ref.]:[Check Periodo Ref.]]="Dentro",IF(DATOS_[[Check Equiparado]:[Check Equiparado]]="Sí",IF(DATOS!AR$5="Sí",(1/DATOS_[[% anualiz]:[% anualiz]]),1)*IF(DATOS!AR$4="Sí",1/DATOS_[[% normaliz]:[% normaliz]],1)*(DATOS_[Conc.Sal.14])))))))),
0)</f>
        <v>0</v>
      </c>
      <c r="X95" s="196">
        <f t="array" ref="X95">IFERROR(
(AVERAGE((IF(DATOS_[[Sexo]:[Sexo]]=$B95,IF(DATOS_[[AGRUP. VALOR. PTO.]:[AGRUP. VALOR. PTO.]]=$B93,IF(DATOS_[[Check Periodo Ref.]:[Check Periodo Ref.]]="Dentro",IF(DATOS_[[Check Equiparado]:[Check Equiparado]]="Sí",IF(DATOS!AS$5="Sí",(1/DATOS_[[% anualiz]:[% anualiz]]),1)*IF(DATOS!AS$4="Sí",1/DATOS_[[% normaliz]:[% normaliz]],1)*(DATOS_[Conc.Sal.15])))))))),
0)</f>
        <v>0</v>
      </c>
      <c r="Y95" s="196">
        <f t="array" ref="Y95">IFERROR(
(AVERAGE((IF(DATOS_[[Sexo]:[Sexo]]=$B95,IF(DATOS_[[AGRUP. VALOR. PTO.]:[AGRUP. VALOR. PTO.]]=$B93,IF(DATOS_[[Check Periodo Ref.]:[Check Periodo Ref.]]="Dentro",IF(DATOS_[[Check Equiparado]:[Check Equiparado]]="Sí",IF(DATOS!AT$5="Sí",(1/DATOS_[[% anualiz]:[% anualiz]]),1)*IF(DATOS!AT$4="Sí",1/DATOS_[[% normaliz]:[% normaliz]],1)*(DATOS_[Conc.Sal.16])))))))),
0)</f>
        <v>0</v>
      </c>
      <c r="Z95" s="196">
        <f t="array" ref="Z95">IFERROR(
(AVERAGE((IF(DATOS_[[Sexo]:[Sexo]]=$B95,IF(DATOS_[[AGRUP. VALOR. PTO.]:[AGRUP. VALOR. PTO.]]=$B93,IF(DATOS_[[Check Periodo Ref.]:[Check Periodo Ref.]]="Dentro",IF(DATOS_[[Check Equiparado]:[Check Equiparado]]="Sí",IF(DATOS!AU$5="Sí",(1/DATOS_[[% anualiz]:[% anualiz]]),1)*IF(DATOS!AU$4="Sí",1/DATOS_[[% normaliz]:[% normaliz]],1)*(DATOS_[Conc.Sal.17])))))))),
0)</f>
        <v>0</v>
      </c>
      <c r="AA95" s="196">
        <f t="array" ref="AA95">IFERROR(
(AVERAGE((IF(DATOS_[[Sexo]:[Sexo]]=$B95,IF(DATOS_[[AGRUP. VALOR. PTO.]:[AGRUP. VALOR. PTO.]]=$B93,IF(DATOS_[[Check Periodo Ref.]:[Check Periodo Ref.]]="Dentro",IF(DATOS_[[Check Equiparado]:[Check Equiparado]]="Sí",IF(DATOS!AV$5="Sí",(1/DATOS_[[% anualiz]:[% anualiz]]),1)*IF(DATOS!AV$4="Sí",1/DATOS_[[% normaliz]:[% normaliz]],1)*(DATOS_[Conc.Sal.18])))))))),
0)</f>
        <v>0</v>
      </c>
      <c r="AB95" s="196">
        <f t="array" ref="AB95">IFERROR(
(AVERAGE((IF(DATOS_[[Sexo]:[Sexo]]=$B95,IF(DATOS_[[AGRUP. VALOR. PTO.]:[AGRUP. VALOR. PTO.]]=$B93,IF(DATOS_[[Check Periodo Ref.]:[Check Periodo Ref.]]="Dentro",IF(DATOS_[[Check Equiparado]:[Check Equiparado]]="Sí",IF(DATOS!AW$5="Sí",(1/DATOS_[[% anualiz]:[% anualiz]]),1)*IF(DATOS!AW$4="Sí",1/DATOS_[[% normaliz]:[% normaliz]],1)*(DATOS_[Conc.Sal.19])))))))),
0)</f>
        <v>0</v>
      </c>
      <c r="AC95" s="196">
        <f t="array" ref="AC95">IFERROR(
(AVERAGE((IF(DATOS_[[Sexo]:[Sexo]]=$B95,IF(DATOS_[[AGRUP. VALOR. PTO.]:[AGRUP. VALOR. PTO.]]=$B93,IF(DATOS_[[Check Periodo Ref.]:[Check Periodo Ref.]]="Dentro",IF(DATOS_[[Check Equiparado]:[Check Equiparado]]="Sí",IF(DATOS!AX$5="Sí",(1/DATOS_[[% anualiz]:[% anualiz]]),1)*IF(DATOS!AX$4="Sí",1/DATOS_[[% normaliz]:[% normaliz]],1)*(DATOS_[Conc.Sal.20])))))))),
0)</f>
        <v>0</v>
      </c>
      <c r="AD95" s="196">
        <f t="array" ref="AD95">IFERROR(
(AVERAGE((IF(DATOS_[[Sexo]:[Sexo]]=$B95,IF(DATOS_[[AGRUP. VALOR. PTO.]:[AGRUP. VALOR. PTO.]]=$B93,IF(DATOS_[[Check Periodo Ref.]:[Check Periodo Ref.]]="Dentro",IF(DATOS_[[Check Equiparado]:[Check Equiparado]]="Sí",IF(DATOS!AY$5="Sí",(1/DATOS_[[% anualiz]:[% anualiz]]),1)*IF(DATOS!AY$4="Sí",1/DATOS_[[% normaliz]:[% normaliz]],1)*(DATOS_[Conc.Sal.21])))))))),
0)</f>
        <v>0</v>
      </c>
      <c r="AE95" s="196">
        <f t="array" ref="AE95">IFERROR(
(AVERAGE((IF(DATOS_[[Sexo]:[Sexo]]=$B95,IF(DATOS_[[AGRUP. VALOR. PTO.]:[AGRUP. VALOR. PTO.]]=$B93,IF(DATOS_[[Check Periodo Ref.]:[Check Periodo Ref.]]="Dentro",IF(DATOS_[[Check Equiparado]:[Check Equiparado]]="Sí",IF(DATOS!AZ$5="Sí",(1/DATOS_[[% anualiz]:[% anualiz]]),1)*IF(DATOS!AZ$4="Sí",1/DATOS_[[% normaliz]:[% normaliz]],1)*(DATOS_[Conc.Sal.22])))))))),
0)</f>
        <v>0</v>
      </c>
      <c r="AF95" s="196">
        <f t="array" ref="AF95">IFERROR(
(AVERAGE((IF(DATOS_[[Sexo]:[Sexo]]=$B95,IF(DATOS_[[AGRUP. VALOR. PTO.]:[AGRUP. VALOR. PTO.]]=$B93,IF(DATOS_[[Check Periodo Ref.]:[Check Periodo Ref.]]="Dentro",IF(DATOS_[[Check Equiparado]:[Check Equiparado]]="Sí",IF(DATOS!BA$5="Sí",(1/DATOS_[[% anualiz]:[% anualiz]]),1)*IF(DATOS!BA$4="Sí",1/DATOS_[[% normaliz]:[% normaliz]],1)*(DATOS_[Conc.Sal.23])))))))),
0)</f>
        <v>0</v>
      </c>
      <c r="AG95" s="196">
        <f t="array" ref="AG95">IFERROR(
(AVERAGE((IF(DATOS_[[Sexo]:[Sexo]]=$B95,IF(DATOS_[[AGRUP. VALOR. PTO.]:[AGRUP. VALOR. PTO.]]=$B93,IF(DATOS_[[Check Periodo Ref.]:[Check Periodo Ref.]]="Dentro",IF(DATOS_[[Check Equiparado]:[Check Equiparado]]="Sí",IF(DATOS!BB$5="Sí",(1/DATOS_[[% anualiz]:[% anualiz]]),1)*IF(DATOS!BB$4="Sí",1/DATOS_[[% normaliz]:[% normaliz]],1)*(DATOS_[Conc.Sal.24])))))))),
0)</f>
        <v>0</v>
      </c>
      <c r="AH95" s="196">
        <f t="array" ref="AH95">IFERROR(
(AVERAGE((IF(DATOS_[[Sexo]:[Sexo]]=$B95,IF(DATOS_[[AGRUP. VALOR. PTO.]:[AGRUP. VALOR. PTO.]]=$B93,IF(DATOS_[[Check Periodo Ref.]:[Check Periodo Ref.]]="Dentro",IF(DATOS_[[Check Equiparado]:[Check Equiparado]]="Sí",IF(DATOS!BC$5="Sí",(1/DATOS_[[% anualiz]:[% anualiz]]),1)*IF(DATOS!BC$4="Sí",1/DATOS_[[% normaliz]:[% normaliz]],1)*(DATOS_[Conc.Sal.25])))))))),
0)</f>
        <v>0</v>
      </c>
      <c r="AI95" s="196">
        <f t="array" ref="AI95">IFERROR(
(AVERAGE((IF(DATOS_[[Sexo]:[Sexo]]=$B95,IF(DATOS_[[AGRUP. VALOR. PTO.]:[AGRUP. VALOR. PTO.]]=$B93,IF(DATOS_[[Check Periodo Ref.]:[Check Periodo Ref.]]="Dentro",IF(DATOS_[[Check Equiparado]:[Check Equiparado]]="Sí",IF(DATOS!BD$5="Sí",(1/DATOS_[[% anualiz]:[% anualiz]]),1)*IF(DATOS!BD$4="Sí",1/DATOS_[[% normaliz]:[% normaliz]],1)*(DATOS_[Conc.Sal.26])))))))),
0)</f>
        <v>0</v>
      </c>
      <c r="AJ95" s="196">
        <f t="array" ref="AJ95">IFERROR(
(AVERAGE((IF(DATOS_[[Sexo]:[Sexo]]=$B95,IF(DATOS_[[AGRUP. VALOR. PTO.]:[AGRUP. VALOR. PTO.]]=$B93,IF(DATOS_[[Check Periodo Ref.]:[Check Periodo Ref.]]="Dentro",IF(DATOS_[[Check Equiparado]:[Check Equiparado]]="Sí",IF(DATOS!BE$5="Sí",(1/DATOS_[[% anualiz]:[% anualiz]]),1)*IF(DATOS!BE$4="Sí",1/DATOS_[[% normaliz]:[% normaliz]],1)*(DATOS_[Conc.Sal.27])))))))),
0)</f>
        <v>0</v>
      </c>
      <c r="AK95" s="196">
        <f t="array" ref="AK95">IFERROR(
(AVERAGE((IF(DATOS_[[Sexo]:[Sexo]]=$B95,IF(DATOS_[[AGRUP. VALOR. PTO.]:[AGRUP. VALOR. PTO.]]=$B93,IF(DATOS_[[Check Periodo Ref.]:[Check Periodo Ref.]]="Dentro",IF(DATOS_[[Check Equiparado]:[Check Equiparado]]="Sí",IF(DATOS!BF$5="Sí",(1/DATOS_[[% anualiz]:[% anualiz]]),1)*IF(DATOS!BF$4="Sí",1/DATOS_[[% normaliz]:[% normaliz]],1)*(DATOS_[Conc.Sal.28])))))))),
0)</f>
        <v>0</v>
      </c>
      <c r="AL95" s="196">
        <f t="array" ref="AL95">IFERROR(
(AVERAGE((IF(DATOS_[[Sexo]:[Sexo]]=$B95,IF(DATOS_[[AGRUP. VALOR. PTO.]:[AGRUP. VALOR. PTO.]]=$B93,IF(DATOS_[[Check Periodo Ref.]:[Check Periodo Ref.]]="Dentro",IF(DATOS_[[Check Equiparado]:[Check Equiparado]]="Sí",IF(DATOS!BG$5="Sí",(1/DATOS_[[% anualiz]:[% anualiz]]),1)*IF(DATOS!BG$4="Sí",1/DATOS_[[% normaliz]:[% normaliz]],1)*(DATOS_[Conc.Sal.29])))))))),
0)</f>
        <v>0</v>
      </c>
      <c r="AM95" s="196">
        <f t="array" ref="AM95">IFERROR(
(AVERAGE((IF(DATOS_[[Sexo]:[Sexo]]=$B95,IF(DATOS_[[AGRUP. VALOR. PTO.]:[AGRUP. VALOR. PTO.]]=$B93,IF(DATOS_[[Check Periodo Ref.]:[Check Periodo Ref.]]="Dentro",IF(DATOS_[[Check Equiparado]:[Check Equiparado]]="Sí",IF(DATOS!BH$5="Sí",(1/DATOS_[[% anualiz]:[% anualiz]]),1)*IF(DATOS!BH$4="Sí",1/DATOS_[[% normaliz]:[% normaliz]],1)*(DATOS_[Conc.Sal.30])))))))),
0)</f>
        <v>0</v>
      </c>
      <c r="AN95" s="195">
        <f t="array" ref="AN95">IFERROR(
AVERAGE(IF(DATOS_[Sexo]=$B95,IF(DATOS_[[AGRUP. VALOR. PTO.]:[AGRUP. VALOR. PTO.]]=$B93,IF(DATOS_[Check Equiparado]="Sí",IF(DATOS_[Check Periodo Ref.]="Dentro",DATOS_[Tot COMPL.SAL Eq],FALSE))))),
0)</f>
        <v>0</v>
      </c>
      <c r="AO95" s="172">
        <f t="array" ref="AO95">IFERROR(
AVERAGE(IF(DATOS_[Sexo]=$B95,IF(DATOS_[[AGRUP. VALOR. PTO.]:[AGRUP. VALOR. PTO.]]=$B93,IF(DATOS_[Check Equiparado]="Sí",IF(DATOS_[Check Periodo Ref.]="Dentro",DATOS_[TOTAL SALARIO Eq],FALSE))))),
0)</f>
        <v>0</v>
      </c>
      <c r="AP95" s="173">
        <f t="array" ref="AP95">IFERROR(
(AVERAGE((IF(DATOS_[[Sexo]:[Sexo]]=$B95,IF(DATOS_[[AGRUP. VALOR. PTO.]:[AGRUP. VALOR. PTO.]]=$B93,IF(DATOS_[[Check Periodo Ref.]:[Check Periodo Ref.]]="Dentro",IF(DATOS_[[Check Equiparado]:[Check Equiparado]]="Sí",IF(DATOS!BW$5="Sí",(1/DATOS_[[% anualiz]:[% anualiz]]),1)*IF(DATOS!BW$4="Sí",1/DATOS_[[% normaliz]:[% normaliz]],1)*(DATOS_[C.Extra.01])))))))),
0)</f>
        <v>0</v>
      </c>
      <c r="AQ95" s="173">
        <f t="array" ref="AQ95">IFERROR(
(AVERAGE((IF(DATOS_[[Sexo]:[Sexo]]=$B95,IF(DATOS_[[AGRUP. VALOR. PTO.]:[AGRUP. VALOR. PTO.]]=$B93,IF(DATOS_[[Check Periodo Ref.]:[Check Periodo Ref.]]="Dentro",IF(DATOS_[[Check Equiparado]:[Check Equiparado]]="Sí",IF(DATOS!CB$5="Sí",(1/DATOS_[[% anualiz]:[% anualiz]]),1)*IF(DATOS!CB$4="Sí",1/DATOS_[[% normaliz]:[% normaliz]],1)*(DATOS_[C.Extra.06])))))))),
0)</f>
        <v>0</v>
      </c>
      <c r="AR95" s="173">
        <f t="array" ref="AR95">IFERROR(
(AVERAGE((IF(DATOS_[[Sexo]:[Sexo]]=$B95,IF(DATOS_[[AGRUP. VALOR. PTO.]:[AGRUP. VALOR. PTO.]]=$B93,IF(DATOS_[[Check Periodo Ref.]:[Check Periodo Ref.]]="Dentro",IF(DATOS_[[Check Equiparado]:[Check Equiparado]]="Sí",IF(DATOS!CC$5="Sí",(1/DATOS_[[% anualiz]:[% anualiz]]),1)*IF(DATOS!CC$4="Sí",1/DATOS_[[% normaliz]:[% normaliz]],1)*(DATOS_[C.Extra.07])))))))),
0)</f>
        <v>0</v>
      </c>
      <c r="AS95" s="173">
        <f t="array" ref="AS95">IFERROR(
(AVERAGE((IF(DATOS_[[Sexo]:[Sexo]]=$B95,IF(DATOS_[[AGRUP. VALOR. PTO.]:[AGRUP. VALOR. PTO.]]=$B93,IF(DATOS_[[Check Periodo Ref.]:[Check Periodo Ref.]]="Dentro",IF(DATOS_[[Check Equiparado]:[Check Equiparado]]="Sí",IF(DATOS!CD$5="Sí",(1/DATOS_[[% anualiz]:[% anualiz]]),1)*IF(DATOS!CD$4="Sí",1/DATOS_[[% normaliz]:[% normaliz]],1)*(DATOS_[C.Extra.08])))))))),
0)</f>
        <v>0</v>
      </c>
      <c r="AT95" s="173">
        <f t="array" ref="AT95">IFERROR(
(AVERAGE((IF(DATOS_[[Sexo]:[Sexo]]=$B95,IF(DATOS_[[AGRUP. VALOR. PTO.]:[AGRUP. VALOR. PTO.]]=$B93,IF(DATOS_[[Check Periodo Ref.]:[Check Periodo Ref.]]="Dentro",IF(DATOS_[[Check Equiparado]:[Check Equiparado]]="Sí",IF(DATOS!CG$5="Sí",(1/DATOS_[[% anualiz]:[% anualiz]]),1)*IF(DATOS!CG$4="Sí",1/DATOS_[[% normaliz]:[% normaliz]],1)*(DATOS_[C.Extra.11])))))))),
0)</f>
        <v>0</v>
      </c>
      <c r="AU95" s="197">
        <f t="array" ref="AU95">IFERROR(
AVERAGE(IF(DATOS_[Sexo]=$B95,IF(DATOS_[[AGRUP. VALOR. PTO.]:[AGRUP. VALOR. PTO.]]=$B93,IF(DATOS_[Check Equiparado]="Sí",IF(DATOS_[Check Periodo Ref.]="Dentro",DATOS_[Tot Extrasalarial Eq],FALSE))))),
0)</f>
        <v>0</v>
      </c>
      <c r="AV95" s="175">
        <f t="array" ref="AV95">IFERROR(
AVERAGE(IF(DATOS_[Sexo]=$B95,IF(DATOS_[[AGRUP. VALOR. PTO.]:[AGRUP. VALOR. PTO.]]=$B93,IF(DATOS_[Check Equiparado]="Sí",IF(DATOS_[Check Periodo Ref.]="Dentro",DATOS_[TOTAL Retrib Eq],FALSE))))),
0)</f>
        <v>0</v>
      </c>
    </row>
    <row r="96" spans="1:48" ht="15.6" thickBot="1" x14ac:dyDescent="0.3">
      <c r="A96" s="133" t="str">
        <f t="shared" ref="A96" si="111">+A97</f>
        <v>[ocultar]</v>
      </c>
      <c r="B96" s="199" t="s">
        <v>284</v>
      </c>
      <c r="C96" s="200"/>
      <c r="D96" s="201"/>
      <c r="E96" s="201"/>
      <c r="F96" s="201"/>
      <c r="G96" s="201"/>
      <c r="H96" s="201"/>
      <c r="I96" s="189" t="str">
        <f t="shared" ref="I96:AV96" si="112">IFERROR((I97-I98)/I97,"")</f>
        <v/>
      </c>
      <c r="J96" s="190" t="str">
        <f t="shared" si="112"/>
        <v/>
      </c>
      <c r="K96" s="191" t="str">
        <f t="shared" si="112"/>
        <v/>
      </c>
      <c r="L96" s="191" t="str">
        <f t="shared" si="112"/>
        <v/>
      </c>
      <c r="M96" s="191" t="str">
        <f t="shared" si="112"/>
        <v/>
      </c>
      <c r="N96" s="192" t="str">
        <f t="shared" si="112"/>
        <v/>
      </c>
      <c r="O96" s="193" t="str">
        <f t="shared" si="112"/>
        <v/>
      </c>
      <c r="P96" s="193" t="str">
        <f t="shared" si="112"/>
        <v/>
      </c>
      <c r="Q96" s="193" t="str">
        <f t="shared" si="112"/>
        <v/>
      </c>
      <c r="R96" s="193" t="str">
        <f t="shared" si="112"/>
        <v/>
      </c>
      <c r="S96" s="193" t="str">
        <f t="shared" si="112"/>
        <v/>
      </c>
      <c r="T96" s="193" t="str">
        <f t="shared" si="112"/>
        <v/>
      </c>
      <c r="U96" s="193" t="str">
        <f t="shared" si="112"/>
        <v/>
      </c>
      <c r="V96" s="193" t="str">
        <f t="shared" si="112"/>
        <v/>
      </c>
      <c r="W96" s="193" t="str">
        <f t="shared" si="112"/>
        <v/>
      </c>
      <c r="X96" s="193" t="str">
        <f t="shared" si="112"/>
        <v/>
      </c>
      <c r="Y96" s="193" t="str">
        <f t="shared" si="112"/>
        <v/>
      </c>
      <c r="Z96" s="193" t="str">
        <f t="shared" si="112"/>
        <v/>
      </c>
      <c r="AA96" s="193" t="str">
        <f t="shared" si="112"/>
        <v/>
      </c>
      <c r="AB96" s="193" t="str">
        <f t="shared" si="112"/>
        <v/>
      </c>
      <c r="AC96" s="193" t="str">
        <f t="shared" si="112"/>
        <v/>
      </c>
      <c r="AD96" s="193" t="str">
        <f t="shared" si="112"/>
        <v/>
      </c>
      <c r="AE96" s="193" t="str">
        <f t="shared" si="112"/>
        <v/>
      </c>
      <c r="AF96" s="193" t="str">
        <f t="shared" si="112"/>
        <v/>
      </c>
      <c r="AG96" s="193" t="str">
        <f t="shared" si="112"/>
        <v/>
      </c>
      <c r="AH96" s="193" t="str">
        <f t="shared" si="112"/>
        <v/>
      </c>
      <c r="AI96" s="193" t="str">
        <f t="shared" si="112"/>
        <v/>
      </c>
      <c r="AJ96" s="193" t="str">
        <f t="shared" si="112"/>
        <v/>
      </c>
      <c r="AK96" s="193" t="str">
        <f t="shared" si="112"/>
        <v/>
      </c>
      <c r="AL96" s="193" t="str">
        <f t="shared" si="112"/>
        <v/>
      </c>
      <c r="AM96" s="193" t="str">
        <f t="shared" si="112"/>
        <v/>
      </c>
      <c r="AN96" s="189" t="str">
        <f t="shared" si="112"/>
        <v/>
      </c>
      <c r="AO96" s="162" t="str">
        <f t="shared" si="112"/>
        <v/>
      </c>
      <c r="AP96" s="163" t="str">
        <f t="shared" si="112"/>
        <v/>
      </c>
      <c r="AQ96" s="163" t="str">
        <f t="shared" si="112"/>
        <v/>
      </c>
      <c r="AR96" s="163" t="str">
        <f t="shared" si="112"/>
        <v/>
      </c>
      <c r="AS96" s="163" t="str">
        <f t="shared" si="112"/>
        <v/>
      </c>
      <c r="AT96" s="163" t="str">
        <f t="shared" si="112"/>
        <v/>
      </c>
      <c r="AU96" s="194" t="str">
        <f t="shared" si="112"/>
        <v/>
      </c>
      <c r="AV96" s="165" t="str">
        <f t="shared" si="112"/>
        <v/>
      </c>
    </row>
    <row r="97" spans="1:48" x14ac:dyDescent="0.25">
      <c r="A97" s="133" t="str">
        <f t="shared" ref="A97" si="113">+IF(C97+C98=0,"[ocultar]","")</f>
        <v>[ocultar]</v>
      </c>
      <c r="B97" s="202" t="s">
        <v>394</v>
      </c>
      <c r="C97" s="203">
        <f t="array" ref="C97">SUM(IF($B97=DATOS_[Sexo],
IF($B96=DATOS_[AGRUP. VALOR. PTO.],
IF("Dentro"=DATOS_[Check Periodo Ref.],
1/(COUNTIFS(DATOS_[Sexo],$B97,DATOS_[AGRUP. VALOR. PTO.],$B96,DATOS_[Check Periodo Ref.],"Dentro",DATOS_[id/cod],DATOS_[id/cod]))))))</f>
        <v>0</v>
      </c>
      <c r="D97" s="204">
        <f>COUNTIFS(DATOS_[AGRUP. VALOR. PTO.],$B96,DATOS_[Sexo],$B97,DATOS_[Check Periodo Ref.],"Dentro")</f>
        <v>0</v>
      </c>
      <c r="E97" s="204">
        <f>COUNTIFS(DATOS_[AGRUP. VALOR. PTO.],$B96,DATOS_[Sexo],$B97,DATOS_[Check Periodo Ref.],"Dentro",DATOS_[Check Nº SC Norm],"Sí")</f>
        <v>0</v>
      </c>
      <c r="F97" s="204">
        <f>COUNTIFS(DATOS_[AGRUP. VALOR. PTO.],$B96,DATOS_[Sexo],$B97,DATOS_[Check Periodo Ref.],"Dentro",DATOS_[Check Nº SC Anualiz],"Sí")</f>
        <v>0</v>
      </c>
      <c r="G97" s="204">
        <f>COUNTIFS(DATOS_[AGRUP. VALOR. PTO.],$B96,DATOS_[Sexo],$B97,DATOS_[Check Periodo Ref.],"Dentro",DATOS_[Check Nº SC Norm y Anualiz],"Sí")</f>
        <v>0</v>
      </c>
      <c r="H97" s="204">
        <f>COUNTIFS(DATOS_[AGRUP. VALOR. PTO.],$B96,DATOS_[Sexo],$B97,DATOS_[Check Periodo Ref.],"Dentro",DATOS_[Check Equiparación],"Sí")</f>
        <v>0</v>
      </c>
      <c r="I97" s="195">
        <f t="array" ref="I97">IFERROR(
AVERAGE(IF(DATOS_[Sexo]=$B97,IF(DATOS_[[AGRUP. VALOR. PTO.]:[AGRUP. VALOR. PTO.]]=$B96,IF(DATOS_[Check Equiparado]="Sí",IF(DATOS_[Check Periodo Ref.]="Dentro",DATOS_[SALARIO BASE Eq],FALSE))))),
0)</f>
        <v>0</v>
      </c>
      <c r="J97" s="196">
        <f t="array" ref="J97">IFERROR(
(AVERAGE((IF(DATOS_[[Sexo]:[Sexo]]=$B97,IF(DATOS_[[AGRUP. VALOR. PTO.]:[AGRUP. VALOR. PTO.]]=$B96,IF(DATOS_[[Check Periodo Ref.]:[Check Periodo Ref.]]="Dentro",IF(DATOS_[[Check Equiparado]:[Check Equiparado]]="Sí",IF(DATOS!AE$5="Sí",(1/DATOS_[[% anualiz]:[% anualiz]]),1)*IF(DATOS!AE$4="Sí",1/DATOS_[[% normaliz]:[% normaliz]],1)*(DATOS_[Conc.Sal.01])))))))),
0)</f>
        <v>0</v>
      </c>
      <c r="K97" s="196">
        <f t="array" ref="K97">IFERROR(
(AVERAGE((IF(DATOS_[[Sexo]:[Sexo]]=$B97,IF(DATOS_[[AGRUP. VALOR. PTO.]:[AGRUP. VALOR. PTO.]]=$B96,IF(DATOS_[[Check Periodo Ref.]:[Check Periodo Ref.]]="Dentro",IF(DATOS_[[Check Equiparado]:[Check Equiparado]]="Sí",IF(DATOS!AF$5="Sí",(1/DATOS_[[% anualiz]:[% anualiz]]),1)*IF(DATOS!AF$4="Sí",1/DATOS_[[% normaliz]:[% normaliz]],1)*(DATOS_[Conc.Sal.02])))))))),
0)</f>
        <v>0</v>
      </c>
      <c r="L97" s="196">
        <f t="array" ref="L97">IFERROR(
(AVERAGE((IF(DATOS_[[Sexo]:[Sexo]]=$B97,IF(DATOS_[[AGRUP. VALOR. PTO.]:[AGRUP. VALOR. PTO.]]=$B96,IF(DATOS_[[Check Periodo Ref.]:[Check Periodo Ref.]]="Dentro",IF(DATOS_[[Check Equiparado]:[Check Equiparado]]="Sí",IF(DATOS!AG$5="Sí",(1/DATOS_[[% anualiz]:[% anualiz]]),1)*IF(DATOS!AG$4="Sí",1/DATOS_[[% normaliz]:[% normaliz]],1)*(DATOS_[Conc.Sal.03])))))))),
0)</f>
        <v>0</v>
      </c>
      <c r="M97" s="196">
        <f t="array" ref="M97">IFERROR(
(AVERAGE((IF(DATOS_[[Sexo]:[Sexo]]=$B97,IF(DATOS_[[AGRUP. VALOR. PTO.]:[AGRUP. VALOR. PTO.]]=$B96,IF(DATOS_[[Check Periodo Ref.]:[Check Periodo Ref.]]="Dentro",IF(DATOS_[[Check Equiparado]:[Check Equiparado]]="Sí",IF(DATOS!AH$5="Sí",(1/DATOS_[[% anualiz]:[% anualiz]]),1)*IF(DATOS!AH$4="Sí",1/DATOS_[[% normaliz]:[% normaliz]],1)*(DATOS_[Conc.Sal.04])))))))),
0)</f>
        <v>0</v>
      </c>
      <c r="N97" s="196">
        <f t="array" ref="N97">IFERROR(
(AVERAGE((IF(DATOS_[[Sexo]:[Sexo]]=$B97,IF(DATOS_[[AGRUP. VALOR. PTO.]:[AGRUP. VALOR. PTO.]]=$B96,IF(DATOS_[[Check Periodo Ref.]:[Check Periodo Ref.]]="Dentro",IF(DATOS_[[Check Equiparado]:[Check Equiparado]]="Sí",IF(DATOS!AI$5="Sí",(1/DATOS_[[% anualiz]:[% anualiz]]),1)*IF(DATOS!AI$4="Sí",1/DATOS_[[% normaliz]:[% normaliz]],1)*(DATOS_[Conc.Sal.05])))))))),
0)</f>
        <v>0</v>
      </c>
      <c r="O97" s="196">
        <f t="array" ref="O97">IFERROR(
(AVERAGE((IF(DATOS_[[Sexo]:[Sexo]]=$B97,IF(DATOS_[[AGRUP. VALOR. PTO.]:[AGRUP. VALOR. PTO.]]=$B96,IF(DATOS_[[Check Periodo Ref.]:[Check Periodo Ref.]]="Dentro",IF(DATOS_[[Check Equiparado]:[Check Equiparado]]="Sí",IF(DATOS!AJ$5="Sí",(1/DATOS_[[% anualiz]:[% anualiz]]),1)*IF(DATOS!AJ$4="Sí",1/DATOS_[[% normaliz]:[% normaliz]],1)*(DATOS_[Conc.Sal.06])))))))),
0)</f>
        <v>0</v>
      </c>
      <c r="P97" s="196">
        <f t="array" ref="P97">IFERROR(
(AVERAGE((IF(DATOS_[[Sexo]:[Sexo]]=$B97,IF(DATOS_[[AGRUP. VALOR. PTO.]:[AGRUP. VALOR. PTO.]]=$B96,IF(DATOS_[[Check Periodo Ref.]:[Check Periodo Ref.]]="Dentro",IF(DATOS_[[Check Equiparado]:[Check Equiparado]]="Sí",IF(DATOS!AK$5="Sí",(1/DATOS_[[% anualiz]:[% anualiz]]),1)*IF(DATOS!AK$4="Sí",1/DATOS_[[% normaliz]:[% normaliz]],1)*(DATOS_[Conc.Sal.07])))))))),
0)</f>
        <v>0</v>
      </c>
      <c r="Q97" s="196">
        <f t="array" ref="Q97">IFERROR(
(AVERAGE((IF(DATOS_[[Sexo]:[Sexo]]=$B97,IF(DATOS_[[AGRUP. VALOR. PTO.]:[AGRUP. VALOR. PTO.]]=$B96,IF(DATOS_[[Check Periodo Ref.]:[Check Periodo Ref.]]="Dentro",IF(DATOS_[[Check Equiparado]:[Check Equiparado]]="Sí",IF(DATOS!AL$5="Sí",(1/DATOS_[[% anualiz]:[% anualiz]]),1)*IF(DATOS!AL$4="Sí",1/DATOS_[[% normaliz]:[% normaliz]],1)*(DATOS_[Conc.Sal.08])))))))),
0)</f>
        <v>0</v>
      </c>
      <c r="R97" s="196">
        <f t="array" ref="R97">IFERROR(
(AVERAGE((IF(DATOS_[[Sexo]:[Sexo]]=$B97,IF(DATOS_[[AGRUP. VALOR. PTO.]:[AGRUP. VALOR. PTO.]]=$B96,IF(DATOS_[[Check Periodo Ref.]:[Check Periodo Ref.]]="Dentro",IF(DATOS_[[Check Equiparado]:[Check Equiparado]]="Sí",IF(DATOS!AM$5="Sí",(1/DATOS_[[% anualiz]:[% anualiz]]),1)*IF(DATOS!AM$4="Sí",1/DATOS_[[% normaliz]:[% normaliz]],1)*(DATOS_[Conc.Sal.09])))))))),
0)</f>
        <v>0</v>
      </c>
      <c r="S97" s="196">
        <f t="array" ref="S97">IFERROR(
(AVERAGE((IF(DATOS_[[Sexo]:[Sexo]]=$B97,IF(DATOS_[[AGRUP. VALOR. PTO.]:[AGRUP. VALOR. PTO.]]=$B96,IF(DATOS_[[Check Periodo Ref.]:[Check Periodo Ref.]]="Dentro",IF(DATOS_[[Check Equiparado]:[Check Equiparado]]="Sí",IF(DATOS!AN$5="Sí",(1/DATOS_[[% anualiz]:[% anualiz]]),1)*IF(DATOS!AN$4="Sí",1/DATOS_[[% normaliz]:[% normaliz]],1)*(DATOS_[Conc.Sal.10])))))))),
0)</f>
        <v>0</v>
      </c>
      <c r="T97" s="196">
        <f t="array" ref="T97">IFERROR(
(AVERAGE((IF(DATOS_[[Sexo]:[Sexo]]=$B97,IF(DATOS_[[AGRUP. VALOR. PTO.]:[AGRUP. VALOR. PTO.]]=$B96,IF(DATOS_[[Check Periodo Ref.]:[Check Periodo Ref.]]="Dentro",IF(DATOS_[[Check Equiparado]:[Check Equiparado]]="Sí",IF(DATOS!AO$5="Sí",(1/DATOS_[[% anualiz]:[% anualiz]]),1)*IF(DATOS!AO$4="Sí",1/DATOS_[[% normaliz]:[% normaliz]],1)*(DATOS_[Conc.Sal.11])))))))),
0)</f>
        <v>0</v>
      </c>
      <c r="U97" s="196">
        <f t="array" ref="U97">IFERROR(
(AVERAGE((IF(DATOS_[[Sexo]:[Sexo]]=$B97,IF(DATOS_[[AGRUP. VALOR. PTO.]:[AGRUP. VALOR. PTO.]]=$B96,IF(DATOS_[[Check Periodo Ref.]:[Check Periodo Ref.]]="Dentro",IF(DATOS_[[Check Equiparado]:[Check Equiparado]]="Sí",IF(DATOS!AP$5="Sí",(1/DATOS_[[% anualiz]:[% anualiz]]),1)*IF(DATOS!AP$4="Sí",1/DATOS_[[% normaliz]:[% normaliz]],1)*(DATOS_[Conc.Sal.12])))))))),
0)</f>
        <v>0</v>
      </c>
      <c r="V97" s="196">
        <f t="array" ref="V97">IFERROR(
(AVERAGE((IF(DATOS_[[Sexo]:[Sexo]]=$B97,IF(DATOS_[[AGRUP. VALOR. PTO.]:[AGRUP. VALOR. PTO.]]=$B96,IF(DATOS_[[Check Periodo Ref.]:[Check Periodo Ref.]]="Dentro",IF(DATOS_[[Check Equiparado]:[Check Equiparado]]="Sí",IF(DATOS!AQ$5="Sí",(1/DATOS_[[% anualiz]:[% anualiz]]),1)*IF(DATOS!AQ$4="Sí",1/DATOS_[[% normaliz]:[% normaliz]],1)*(DATOS_[Conc.Sal.13])))))))),
0)</f>
        <v>0</v>
      </c>
      <c r="W97" s="196">
        <f t="array" ref="W97">IFERROR(
(AVERAGE((IF(DATOS_[[Sexo]:[Sexo]]=$B97,IF(DATOS_[[AGRUP. VALOR. PTO.]:[AGRUP. VALOR. PTO.]]=$B96,IF(DATOS_[[Check Periodo Ref.]:[Check Periodo Ref.]]="Dentro",IF(DATOS_[[Check Equiparado]:[Check Equiparado]]="Sí",IF(DATOS!AR$5="Sí",(1/DATOS_[[% anualiz]:[% anualiz]]),1)*IF(DATOS!AR$4="Sí",1/DATOS_[[% normaliz]:[% normaliz]],1)*(DATOS_[Conc.Sal.14])))))))),
0)</f>
        <v>0</v>
      </c>
      <c r="X97" s="196">
        <f t="array" ref="X97">IFERROR(
(AVERAGE((IF(DATOS_[[Sexo]:[Sexo]]=$B97,IF(DATOS_[[AGRUP. VALOR. PTO.]:[AGRUP. VALOR. PTO.]]=$B96,IF(DATOS_[[Check Periodo Ref.]:[Check Periodo Ref.]]="Dentro",IF(DATOS_[[Check Equiparado]:[Check Equiparado]]="Sí",IF(DATOS!AS$5="Sí",(1/DATOS_[[% anualiz]:[% anualiz]]),1)*IF(DATOS!AS$4="Sí",1/DATOS_[[% normaliz]:[% normaliz]],1)*(DATOS_[Conc.Sal.15])))))))),
0)</f>
        <v>0</v>
      </c>
      <c r="Y97" s="196">
        <f t="array" ref="Y97">IFERROR(
(AVERAGE((IF(DATOS_[[Sexo]:[Sexo]]=$B97,IF(DATOS_[[AGRUP. VALOR. PTO.]:[AGRUP. VALOR. PTO.]]=$B96,IF(DATOS_[[Check Periodo Ref.]:[Check Periodo Ref.]]="Dentro",IF(DATOS_[[Check Equiparado]:[Check Equiparado]]="Sí",IF(DATOS!AT$5="Sí",(1/DATOS_[[% anualiz]:[% anualiz]]),1)*IF(DATOS!AT$4="Sí",1/DATOS_[[% normaliz]:[% normaliz]],1)*(DATOS_[Conc.Sal.16])))))))),
0)</f>
        <v>0</v>
      </c>
      <c r="Z97" s="196">
        <f t="array" ref="Z97">IFERROR(
(AVERAGE((IF(DATOS_[[Sexo]:[Sexo]]=$B97,IF(DATOS_[[AGRUP. VALOR. PTO.]:[AGRUP. VALOR. PTO.]]=$B96,IF(DATOS_[[Check Periodo Ref.]:[Check Periodo Ref.]]="Dentro",IF(DATOS_[[Check Equiparado]:[Check Equiparado]]="Sí",IF(DATOS!AU$5="Sí",(1/DATOS_[[% anualiz]:[% anualiz]]),1)*IF(DATOS!AU$4="Sí",1/DATOS_[[% normaliz]:[% normaliz]],1)*(DATOS_[Conc.Sal.17])))))))),
0)</f>
        <v>0</v>
      </c>
      <c r="AA97" s="196">
        <f t="array" ref="AA97">IFERROR(
(AVERAGE((IF(DATOS_[[Sexo]:[Sexo]]=$B97,IF(DATOS_[[AGRUP. VALOR. PTO.]:[AGRUP. VALOR. PTO.]]=$B96,IF(DATOS_[[Check Periodo Ref.]:[Check Periodo Ref.]]="Dentro",IF(DATOS_[[Check Equiparado]:[Check Equiparado]]="Sí",IF(DATOS!AV$5="Sí",(1/DATOS_[[% anualiz]:[% anualiz]]),1)*IF(DATOS!AV$4="Sí",1/DATOS_[[% normaliz]:[% normaliz]],1)*(DATOS_[Conc.Sal.18])))))))),
0)</f>
        <v>0</v>
      </c>
      <c r="AB97" s="196">
        <f t="array" ref="AB97">IFERROR(
(AVERAGE((IF(DATOS_[[Sexo]:[Sexo]]=$B97,IF(DATOS_[[AGRUP. VALOR. PTO.]:[AGRUP. VALOR. PTO.]]=$B96,IF(DATOS_[[Check Periodo Ref.]:[Check Periodo Ref.]]="Dentro",IF(DATOS_[[Check Equiparado]:[Check Equiparado]]="Sí",IF(DATOS!AW$5="Sí",(1/DATOS_[[% anualiz]:[% anualiz]]),1)*IF(DATOS!AW$4="Sí",1/DATOS_[[% normaliz]:[% normaliz]],1)*(DATOS_[Conc.Sal.19])))))))),
0)</f>
        <v>0</v>
      </c>
      <c r="AC97" s="196">
        <f t="array" ref="AC97">IFERROR(
(AVERAGE((IF(DATOS_[[Sexo]:[Sexo]]=$B97,IF(DATOS_[[AGRUP. VALOR. PTO.]:[AGRUP. VALOR. PTO.]]=$B96,IF(DATOS_[[Check Periodo Ref.]:[Check Periodo Ref.]]="Dentro",IF(DATOS_[[Check Equiparado]:[Check Equiparado]]="Sí",IF(DATOS!AX$5="Sí",(1/DATOS_[[% anualiz]:[% anualiz]]),1)*IF(DATOS!AX$4="Sí",1/DATOS_[[% normaliz]:[% normaliz]],1)*(DATOS_[Conc.Sal.20])))))))),
0)</f>
        <v>0</v>
      </c>
      <c r="AD97" s="196">
        <f t="array" ref="AD97">IFERROR(
(AVERAGE((IF(DATOS_[[Sexo]:[Sexo]]=$B97,IF(DATOS_[[AGRUP. VALOR. PTO.]:[AGRUP. VALOR. PTO.]]=$B96,IF(DATOS_[[Check Periodo Ref.]:[Check Periodo Ref.]]="Dentro",IF(DATOS_[[Check Equiparado]:[Check Equiparado]]="Sí",IF(DATOS!AY$5="Sí",(1/DATOS_[[% anualiz]:[% anualiz]]),1)*IF(DATOS!AY$4="Sí",1/DATOS_[[% normaliz]:[% normaliz]],1)*(DATOS_[Conc.Sal.21])))))))),
0)</f>
        <v>0</v>
      </c>
      <c r="AE97" s="196">
        <f t="array" ref="AE97">IFERROR(
(AVERAGE((IF(DATOS_[[Sexo]:[Sexo]]=$B97,IF(DATOS_[[AGRUP. VALOR. PTO.]:[AGRUP. VALOR. PTO.]]=$B96,IF(DATOS_[[Check Periodo Ref.]:[Check Periodo Ref.]]="Dentro",IF(DATOS_[[Check Equiparado]:[Check Equiparado]]="Sí",IF(DATOS!AZ$5="Sí",(1/DATOS_[[% anualiz]:[% anualiz]]),1)*IF(DATOS!AZ$4="Sí",1/DATOS_[[% normaliz]:[% normaliz]],1)*(DATOS_[Conc.Sal.22])))))))),
0)</f>
        <v>0</v>
      </c>
      <c r="AF97" s="196">
        <f t="array" ref="AF97">IFERROR(
(AVERAGE((IF(DATOS_[[Sexo]:[Sexo]]=$B97,IF(DATOS_[[AGRUP. VALOR. PTO.]:[AGRUP. VALOR. PTO.]]=$B96,IF(DATOS_[[Check Periodo Ref.]:[Check Periodo Ref.]]="Dentro",IF(DATOS_[[Check Equiparado]:[Check Equiparado]]="Sí",IF(DATOS!BA$5="Sí",(1/DATOS_[[% anualiz]:[% anualiz]]),1)*IF(DATOS!BA$4="Sí",1/DATOS_[[% normaliz]:[% normaliz]],1)*(DATOS_[Conc.Sal.23])))))))),
0)</f>
        <v>0</v>
      </c>
      <c r="AG97" s="196">
        <f t="array" ref="AG97">IFERROR(
(AVERAGE((IF(DATOS_[[Sexo]:[Sexo]]=$B97,IF(DATOS_[[AGRUP. VALOR. PTO.]:[AGRUP. VALOR. PTO.]]=$B96,IF(DATOS_[[Check Periodo Ref.]:[Check Periodo Ref.]]="Dentro",IF(DATOS_[[Check Equiparado]:[Check Equiparado]]="Sí",IF(DATOS!BB$5="Sí",(1/DATOS_[[% anualiz]:[% anualiz]]),1)*IF(DATOS!BB$4="Sí",1/DATOS_[[% normaliz]:[% normaliz]],1)*(DATOS_[Conc.Sal.24])))))))),
0)</f>
        <v>0</v>
      </c>
      <c r="AH97" s="196">
        <f t="array" ref="AH97">IFERROR(
(AVERAGE((IF(DATOS_[[Sexo]:[Sexo]]=$B97,IF(DATOS_[[AGRUP. VALOR. PTO.]:[AGRUP. VALOR. PTO.]]=$B96,IF(DATOS_[[Check Periodo Ref.]:[Check Periodo Ref.]]="Dentro",IF(DATOS_[[Check Equiparado]:[Check Equiparado]]="Sí",IF(DATOS!BC$5="Sí",(1/DATOS_[[% anualiz]:[% anualiz]]),1)*IF(DATOS!BC$4="Sí",1/DATOS_[[% normaliz]:[% normaliz]],1)*(DATOS_[Conc.Sal.25])))))))),
0)</f>
        <v>0</v>
      </c>
      <c r="AI97" s="196">
        <f t="array" ref="AI97">IFERROR(
(AVERAGE((IF(DATOS_[[Sexo]:[Sexo]]=$B97,IF(DATOS_[[AGRUP. VALOR. PTO.]:[AGRUP. VALOR. PTO.]]=$B96,IF(DATOS_[[Check Periodo Ref.]:[Check Periodo Ref.]]="Dentro",IF(DATOS_[[Check Equiparado]:[Check Equiparado]]="Sí",IF(DATOS!BD$5="Sí",(1/DATOS_[[% anualiz]:[% anualiz]]),1)*IF(DATOS!BD$4="Sí",1/DATOS_[[% normaliz]:[% normaliz]],1)*(DATOS_[Conc.Sal.26])))))))),
0)</f>
        <v>0</v>
      </c>
      <c r="AJ97" s="196">
        <f t="array" ref="AJ97">IFERROR(
(AVERAGE((IF(DATOS_[[Sexo]:[Sexo]]=$B97,IF(DATOS_[[AGRUP. VALOR. PTO.]:[AGRUP. VALOR. PTO.]]=$B96,IF(DATOS_[[Check Periodo Ref.]:[Check Periodo Ref.]]="Dentro",IF(DATOS_[[Check Equiparado]:[Check Equiparado]]="Sí",IF(DATOS!BE$5="Sí",(1/DATOS_[[% anualiz]:[% anualiz]]),1)*IF(DATOS!BE$4="Sí",1/DATOS_[[% normaliz]:[% normaliz]],1)*(DATOS_[Conc.Sal.27])))))))),
0)</f>
        <v>0</v>
      </c>
      <c r="AK97" s="196">
        <f t="array" ref="AK97">IFERROR(
(AVERAGE((IF(DATOS_[[Sexo]:[Sexo]]=$B97,IF(DATOS_[[AGRUP. VALOR. PTO.]:[AGRUP. VALOR. PTO.]]=$B96,IF(DATOS_[[Check Periodo Ref.]:[Check Periodo Ref.]]="Dentro",IF(DATOS_[[Check Equiparado]:[Check Equiparado]]="Sí",IF(DATOS!BF$5="Sí",(1/DATOS_[[% anualiz]:[% anualiz]]),1)*IF(DATOS!BF$4="Sí",1/DATOS_[[% normaliz]:[% normaliz]],1)*(DATOS_[Conc.Sal.28])))))))),
0)</f>
        <v>0</v>
      </c>
      <c r="AL97" s="196">
        <f t="array" ref="AL97">IFERROR(
(AVERAGE((IF(DATOS_[[Sexo]:[Sexo]]=$B97,IF(DATOS_[[AGRUP. VALOR. PTO.]:[AGRUP. VALOR. PTO.]]=$B96,IF(DATOS_[[Check Periodo Ref.]:[Check Periodo Ref.]]="Dentro",IF(DATOS_[[Check Equiparado]:[Check Equiparado]]="Sí",IF(DATOS!BG$5="Sí",(1/DATOS_[[% anualiz]:[% anualiz]]),1)*IF(DATOS!BG$4="Sí",1/DATOS_[[% normaliz]:[% normaliz]],1)*(DATOS_[Conc.Sal.29])))))))),
0)</f>
        <v>0</v>
      </c>
      <c r="AM97" s="196">
        <f t="array" ref="AM97">IFERROR(
(AVERAGE((IF(DATOS_[[Sexo]:[Sexo]]=$B97,IF(DATOS_[[AGRUP. VALOR. PTO.]:[AGRUP. VALOR. PTO.]]=$B96,IF(DATOS_[[Check Periodo Ref.]:[Check Periodo Ref.]]="Dentro",IF(DATOS_[[Check Equiparado]:[Check Equiparado]]="Sí",IF(DATOS!BH$5="Sí",(1/DATOS_[[% anualiz]:[% anualiz]]),1)*IF(DATOS!BH$4="Sí",1/DATOS_[[% normaliz]:[% normaliz]],1)*(DATOS_[Conc.Sal.30])))))))),
0)</f>
        <v>0</v>
      </c>
      <c r="AN97" s="195">
        <f t="array" ref="AN97">IFERROR(
AVERAGE(IF(DATOS_[Sexo]=$B97,IF(DATOS_[[AGRUP. VALOR. PTO.]:[AGRUP. VALOR. PTO.]]=$B96,IF(DATOS_[Check Equiparado]="Sí",IF(DATOS_[Check Periodo Ref.]="Dentro",DATOS_[Tot COMPL.SAL Eq],FALSE))))),
0)</f>
        <v>0</v>
      </c>
      <c r="AO97" s="172">
        <f t="array" ref="AO97">IFERROR(
AVERAGE(IF(DATOS_[Sexo]=$B97,IF(DATOS_[[AGRUP. VALOR. PTO.]:[AGRUP. VALOR. PTO.]]=$B96,IF(DATOS_[Check Equiparado]="Sí",IF(DATOS_[Check Periodo Ref.]="Dentro",DATOS_[TOTAL SALARIO Eq],FALSE))))),
0)</f>
        <v>0</v>
      </c>
      <c r="AP97" s="173">
        <f t="array" ref="AP97">IFERROR(
(AVERAGE((IF(DATOS_[[Sexo]:[Sexo]]=$B97,IF(DATOS_[[AGRUP. VALOR. PTO.]:[AGRUP. VALOR. PTO.]]=$B96,IF(DATOS_[[Check Periodo Ref.]:[Check Periodo Ref.]]="Dentro",IF(DATOS_[[Check Equiparado]:[Check Equiparado]]="Sí",IF(DATOS!BW$5="Sí",(1/DATOS_[[% anualiz]:[% anualiz]]),1)*IF(DATOS!BW$4="Sí",1/DATOS_[[% normaliz]:[% normaliz]],1)*(DATOS_[C.Extra.01])))))))),
0)</f>
        <v>0</v>
      </c>
      <c r="AQ97" s="173">
        <f t="array" ref="AQ97">IFERROR(
(AVERAGE((IF(DATOS_[[Sexo]:[Sexo]]=$B97,IF(DATOS_[[AGRUP. VALOR. PTO.]:[AGRUP. VALOR. PTO.]]=$B96,IF(DATOS_[[Check Periodo Ref.]:[Check Periodo Ref.]]="Dentro",IF(DATOS_[[Check Equiparado]:[Check Equiparado]]="Sí",IF(DATOS!CB$5="Sí",(1/DATOS_[[% anualiz]:[% anualiz]]),1)*IF(DATOS!CB$4="Sí",1/DATOS_[[% normaliz]:[% normaliz]],1)*(DATOS_[C.Extra.06])))))))),
0)</f>
        <v>0</v>
      </c>
      <c r="AR97" s="173">
        <f t="array" ref="AR97">IFERROR(
(AVERAGE((IF(DATOS_[[Sexo]:[Sexo]]=$B97,IF(DATOS_[[AGRUP. VALOR. PTO.]:[AGRUP. VALOR. PTO.]]=$B96,IF(DATOS_[[Check Periodo Ref.]:[Check Periodo Ref.]]="Dentro",IF(DATOS_[[Check Equiparado]:[Check Equiparado]]="Sí",IF(DATOS!CC$5="Sí",(1/DATOS_[[% anualiz]:[% anualiz]]),1)*IF(DATOS!CC$4="Sí",1/DATOS_[[% normaliz]:[% normaliz]],1)*(DATOS_[C.Extra.07])))))))),
0)</f>
        <v>0</v>
      </c>
      <c r="AS97" s="173">
        <f t="array" ref="AS97">IFERROR(
(AVERAGE((IF(DATOS_[[Sexo]:[Sexo]]=$B97,IF(DATOS_[[AGRUP. VALOR. PTO.]:[AGRUP. VALOR. PTO.]]=$B96,IF(DATOS_[[Check Periodo Ref.]:[Check Periodo Ref.]]="Dentro",IF(DATOS_[[Check Equiparado]:[Check Equiparado]]="Sí",IF(DATOS!CD$5="Sí",(1/DATOS_[[% anualiz]:[% anualiz]]),1)*IF(DATOS!CD$4="Sí",1/DATOS_[[% normaliz]:[% normaliz]],1)*(DATOS_[C.Extra.08])))))))),
0)</f>
        <v>0</v>
      </c>
      <c r="AT97" s="173">
        <f t="array" ref="AT97">IFERROR(
(AVERAGE((IF(DATOS_[[Sexo]:[Sexo]]=$B97,IF(DATOS_[[AGRUP. VALOR. PTO.]:[AGRUP. VALOR. PTO.]]=$B96,IF(DATOS_[[Check Periodo Ref.]:[Check Periodo Ref.]]="Dentro",IF(DATOS_[[Check Equiparado]:[Check Equiparado]]="Sí",IF(DATOS!CG$5="Sí",(1/DATOS_[[% anualiz]:[% anualiz]]),1)*IF(DATOS!CG$4="Sí",1/DATOS_[[% normaliz]:[% normaliz]],1)*(DATOS_[C.Extra.11])))))))),
0)</f>
        <v>0</v>
      </c>
      <c r="AU97" s="197">
        <f t="array" ref="AU97">IFERROR(
AVERAGE(IF(DATOS_[Sexo]=$B97,IF(DATOS_[[AGRUP. VALOR. PTO.]:[AGRUP. VALOR. PTO.]]=$B96,IF(DATOS_[Check Equiparado]="Sí",IF(DATOS_[Check Periodo Ref.]="Dentro",DATOS_[Tot Extrasalarial Eq],FALSE))))),
0)</f>
        <v>0</v>
      </c>
      <c r="AV97" s="175">
        <f t="array" ref="AV97">IFERROR(
AVERAGE(IF(DATOS_[Sexo]=$B97,IF(DATOS_[[AGRUP. VALOR. PTO.]:[AGRUP. VALOR. PTO.]]=$B96,IF(DATOS_[Check Equiparado]="Sí",IF(DATOS_[Check Periodo Ref.]="Dentro",DATOS_[TOTAL Retrib Eq],FALSE))))),
0)</f>
        <v>0</v>
      </c>
    </row>
    <row r="98" spans="1:48" x14ac:dyDescent="0.25">
      <c r="A98" s="133" t="str">
        <f t="shared" ref="A98" si="114">+A97</f>
        <v>[ocultar]</v>
      </c>
      <c r="B98" s="202" t="s">
        <v>521</v>
      </c>
      <c r="C98" s="203">
        <f t="array" ref="C98">SUM(IF($B98=DATOS_[Sexo],
IF($B96=DATOS_[AGRUP. VALOR. PTO.],
IF("Dentro"=DATOS_[Check Periodo Ref.],
1/(COUNTIFS(DATOS_[Sexo],$B98,DATOS_[AGRUP. VALOR. PTO.],$B96,DATOS_[Check Periodo Ref.],"Dentro",DATOS_[id/cod],DATOS_[id/cod]))))))</f>
        <v>0</v>
      </c>
      <c r="D98" s="204">
        <f>COUNTIFS(DATOS_[AGRUP. VALOR. PTO.],$B96,DATOS_[Sexo],$B98,DATOS_[Check Periodo Ref.],"Dentro")</f>
        <v>0</v>
      </c>
      <c r="E98" s="204">
        <f>COUNTIFS(DATOS_[AGRUP. VALOR. PTO.],$B96,DATOS_[Sexo],$B98,DATOS_[Check Periodo Ref.],"Dentro",DATOS_[Check Nº SC Norm],"Sí")</f>
        <v>0</v>
      </c>
      <c r="F98" s="204">
        <f>COUNTIFS(DATOS_[AGRUP. VALOR. PTO.],$B96,DATOS_[Sexo],$B98,DATOS_[Check Periodo Ref.],"Dentro",DATOS_[Check Nº SC Anualiz],"Sí")</f>
        <v>0</v>
      </c>
      <c r="G98" s="204">
        <f>COUNTIFS(DATOS_[AGRUP. VALOR. PTO.],$B96,DATOS_[Sexo],$B98,DATOS_[Check Periodo Ref.],"Dentro",DATOS_[Check Nº SC Norm y Anualiz],"Sí")</f>
        <v>0</v>
      </c>
      <c r="H98" s="204">
        <f>COUNTIFS(DATOS_[AGRUP. VALOR. PTO.],$B96,DATOS_[Sexo],$B98,DATOS_[Check Periodo Ref.],"Dentro",DATOS_[Check Equiparación],"Sí")</f>
        <v>0</v>
      </c>
      <c r="I98" s="195" cm="1">
        <f t="array" ref="I98">IFERROR(
AVERAGE(IF(DATOS_[Sexo]=$B98,IF(DATOS_[[AGRUP. VALOR. PTO.]:[AGRUP. VALOR. PTO.]]=$B96,IF(DATOS_[Check Equiparado]="Sí",IF(DATOS_[Check Periodo Ref.]="Dentro",DATOS_[SALARIO BASE Eq],FALSE))))),
0)</f>
        <v>0</v>
      </c>
      <c r="J98" s="196">
        <f t="array" ref="J98">IFERROR(
(AVERAGE((IF(DATOS_[[Sexo]:[Sexo]]=$B98,IF(DATOS_[[AGRUP. VALOR. PTO.]:[AGRUP. VALOR. PTO.]]=$B96,IF(DATOS_[[Check Periodo Ref.]:[Check Periodo Ref.]]="Dentro",IF(DATOS_[[Check Equiparado]:[Check Equiparado]]="Sí",IF(DATOS!AE$5="Sí",(1/DATOS_[[% anualiz]:[% anualiz]]),1)*IF(DATOS!AE$4="Sí",1/DATOS_[[% normaliz]:[% normaliz]],1)*(DATOS_[Conc.Sal.01])))))))),
0)</f>
        <v>0</v>
      </c>
      <c r="K98" s="196">
        <f t="array" ref="K98">IFERROR(
(AVERAGE((IF(DATOS_[[Sexo]:[Sexo]]=$B98,IF(DATOS_[[AGRUP. VALOR. PTO.]:[AGRUP. VALOR. PTO.]]=$B96,IF(DATOS_[[Check Periodo Ref.]:[Check Periodo Ref.]]="Dentro",IF(DATOS_[[Check Equiparado]:[Check Equiparado]]="Sí",IF(DATOS!AF$5="Sí",(1/DATOS_[[% anualiz]:[% anualiz]]),1)*IF(DATOS!AF$4="Sí",1/DATOS_[[% normaliz]:[% normaliz]],1)*(DATOS_[Conc.Sal.02])))))))),
0)</f>
        <v>0</v>
      </c>
      <c r="L98" s="196">
        <f t="array" ref="L98">IFERROR(
(AVERAGE((IF(DATOS_[[Sexo]:[Sexo]]=$B98,IF(DATOS_[[AGRUP. VALOR. PTO.]:[AGRUP. VALOR. PTO.]]=$B96,IF(DATOS_[[Check Periodo Ref.]:[Check Periodo Ref.]]="Dentro",IF(DATOS_[[Check Equiparado]:[Check Equiparado]]="Sí",IF(DATOS!AG$5="Sí",(1/DATOS_[[% anualiz]:[% anualiz]]),1)*IF(DATOS!AG$4="Sí",1/DATOS_[[% normaliz]:[% normaliz]],1)*(DATOS_[Conc.Sal.03])))))))),
0)</f>
        <v>0</v>
      </c>
      <c r="M98" s="196">
        <f t="array" ref="M98">IFERROR(
(AVERAGE((IF(DATOS_[[Sexo]:[Sexo]]=$B98,IF(DATOS_[[AGRUP. VALOR. PTO.]:[AGRUP. VALOR. PTO.]]=$B96,IF(DATOS_[[Check Periodo Ref.]:[Check Periodo Ref.]]="Dentro",IF(DATOS_[[Check Equiparado]:[Check Equiparado]]="Sí",IF(DATOS!AH$5="Sí",(1/DATOS_[[% anualiz]:[% anualiz]]),1)*IF(DATOS!AH$4="Sí",1/DATOS_[[% normaliz]:[% normaliz]],1)*(DATOS_[Conc.Sal.04])))))))),
0)</f>
        <v>0</v>
      </c>
      <c r="N98" s="196">
        <f t="array" ref="N98">IFERROR(
(AVERAGE((IF(DATOS_[[Sexo]:[Sexo]]=$B98,IF(DATOS_[[AGRUP. VALOR. PTO.]:[AGRUP. VALOR. PTO.]]=$B96,IF(DATOS_[[Check Periodo Ref.]:[Check Periodo Ref.]]="Dentro",IF(DATOS_[[Check Equiparado]:[Check Equiparado]]="Sí",IF(DATOS!AI$5="Sí",(1/DATOS_[[% anualiz]:[% anualiz]]),1)*IF(DATOS!AI$4="Sí",1/DATOS_[[% normaliz]:[% normaliz]],1)*(DATOS_[Conc.Sal.05])))))))),
0)</f>
        <v>0</v>
      </c>
      <c r="O98" s="196">
        <f t="array" ref="O98">IFERROR(
(AVERAGE((IF(DATOS_[[Sexo]:[Sexo]]=$B98,IF(DATOS_[[AGRUP. VALOR. PTO.]:[AGRUP. VALOR. PTO.]]=$B96,IF(DATOS_[[Check Periodo Ref.]:[Check Periodo Ref.]]="Dentro",IF(DATOS_[[Check Equiparado]:[Check Equiparado]]="Sí",IF(DATOS!AJ$5="Sí",(1/DATOS_[[% anualiz]:[% anualiz]]),1)*IF(DATOS!AJ$4="Sí",1/DATOS_[[% normaliz]:[% normaliz]],1)*(DATOS_[Conc.Sal.06])))))))),
0)</f>
        <v>0</v>
      </c>
      <c r="P98" s="196">
        <f t="array" ref="P98">IFERROR(
(AVERAGE((IF(DATOS_[[Sexo]:[Sexo]]=$B98,IF(DATOS_[[AGRUP. VALOR. PTO.]:[AGRUP. VALOR. PTO.]]=$B96,IF(DATOS_[[Check Periodo Ref.]:[Check Periodo Ref.]]="Dentro",IF(DATOS_[[Check Equiparado]:[Check Equiparado]]="Sí",IF(DATOS!AK$5="Sí",(1/DATOS_[[% anualiz]:[% anualiz]]),1)*IF(DATOS!AK$4="Sí",1/DATOS_[[% normaliz]:[% normaliz]],1)*(DATOS_[Conc.Sal.07])))))))),
0)</f>
        <v>0</v>
      </c>
      <c r="Q98" s="196">
        <f t="array" ref="Q98">IFERROR(
(AVERAGE((IF(DATOS_[[Sexo]:[Sexo]]=$B98,IF(DATOS_[[AGRUP. VALOR. PTO.]:[AGRUP. VALOR. PTO.]]=$B96,IF(DATOS_[[Check Periodo Ref.]:[Check Periodo Ref.]]="Dentro",IF(DATOS_[[Check Equiparado]:[Check Equiparado]]="Sí",IF(DATOS!AL$5="Sí",(1/DATOS_[[% anualiz]:[% anualiz]]),1)*IF(DATOS!AL$4="Sí",1/DATOS_[[% normaliz]:[% normaliz]],1)*(DATOS_[Conc.Sal.08])))))))),
0)</f>
        <v>0</v>
      </c>
      <c r="R98" s="196">
        <f t="array" ref="R98">IFERROR(
(AVERAGE((IF(DATOS_[[Sexo]:[Sexo]]=$B98,IF(DATOS_[[AGRUP. VALOR. PTO.]:[AGRUP. VALOR. PTO.]]=$B96,IF(DATOS_[[Check Periodo Ref.]:[Check Periodo Ref.]]="Dentro",IF(DATOS_[[Check Equiparado]:[Check Equiparado]]="Sí",IF(DATOS!AM$5="Sí",(1/DATOS_[[% anualiz]:[% anualiz]]),1)*IF(DATOS!AM$4="Sí",1/DATOS_[[% normaliz]:[% normaliz]],1)*(DATOS_[Conc.Sal.09])))))))),
0)</f>
        <v>0</v>
      </c>
      <c r="S98" s="196">
        <f t="array" ref="S98">IFERROR(
(AVERAGE((IF(DATOS_[[Sexo]:[Sexo]]=$B98,IF(DATOS_[[AGRUP. VALOR. PTO.]:[AGRUP. VALOR. PTO.]]=$B96,IF(DATOS_[[Check Periodo Ref.]:[Check Periodo Ref.]]="Dentro",IF(DATOS_[[Check Equiparado]:[Check Equiparado]]="Sí",IF(DATOS!AN$5="Sí",(1/DATOS_[[% anualiz]:[% anualiz]]),1)*IF(DATOS!AN$4="Sí",1/DATOS_[[% normaliz]:[% normaliz]],1)*(DATOS_[Conc.Sal.10])))))))),
0)</f>
        <v>0</v>
      </c>
      <c r="T98" s="196">
        <f t="array" ref="T98">IFERROR(
(AVERAGE((IF(DATOS_[[Sexo]:[Sexo]]=$B98,IF(DATOS_[[AGRUP. VALOR. PTO.]:[AGRUP. VALOR. PTO.]]=$B96,IF(DATOS_[[Check Periodo Ref.]:[Check Periodo Ref.]]="Dentro",IF(DATOS_[[Check Equiparado]:[Check Equiparado]]="Sí",IF(DATOS!AO$5="Sí",(1/DATOS_[[% anualiz]:[% anualiz]]),1)*IF(DATOS!AO$4="Sí",1/DATOS_[[% normaliz]:[% normaliz]],1)*(DATOS_[Conc.Sal.11])))))))),
0)</f>
        <v>0</v>
      </c>
      <c r="U98" s="196">
        <f t="array" ref="U98">IFERROR(
(AVERAGE((IF(DATOS_[[Sexo]:[Sexo]]=$B98,IF(DATOS_[[AGRUP. VALOR. PTO.]:[AGRUP. VALOR. PTO.]]=$B96,IF(DATOS_[[Check Periodo Ref.]:[Check Periodo Ref.]]="Dentro",IF(DATOS_[[Check Equiparado]:[Check Equiparado]]="Sí",IF(DATOS!AP$5="Sí",(1/DATOS_[[% anualiz]:[% anualiz]]),1)*IF(DATOS!AP$4="Sí",1/DATOS_[[% normaliz]:[% normaliz]],1)*(DATOS_[Conc.Sal.12])))))))),
0)</f>
        <v>0</v>
      </c>
      <c r="V98" s="196">
        <f t="array" ref="V98">IFERROR(
(AVERAGE((IF(DATOS_[[Sexo]:[Sexo]]=$B98,IF(DATOS_[[AGRUP. VALOR. PTO.]:[AGRUP. VALOR. PTO.]]=$B96,IF(DATOS_[[Check Periodo Ref.]:[Check Periodo Ref.]]="Dentro",IF(DATOS_[[Check Equiparado]:[Check Equiparado]]="Sí",IF(DATOS!AQ$5="Sí",(1/DATOS_[[% anualiz]:[% anualiz]]),1)*IF(DATOS!AQ$4="Sí",1/DATOS_[[% normaliz]:[% normaliz]],1)*(DATOS_[Conc.Sal.13])))))))),
0)</f>
        <v>0</v>
      </c>
      <c r="W98" s="196">
        <f t="array" ref="W98">IFERROR(
(AVERAGE((IF(DATOS_[[Sexo]:[Sexo]]=$B98,IF(DATOS_[[AGRUP. VALOR. PTO.]:[AGRUP. VALOR. PTO.]]=$B96,IF(DATOS_[[Check Periodo Ref.]:[Check Periodo Ref.]]="Dentro",IF(DATOS_[[Check Equiparado]:[Check Equiparado]]="Sí",IF(DATOS!AR$5="Sí",(1/DATOS_[[% anualiz]:[% anualiz]]),1)*IF(DATOS!AR$4="Sí",1/DATOS_[[% normaliz]:[% normaliz]],1)*(DATOS_[Conc.Sal.14])))))))),
0)</f>
        <v>0</v>
      </c>
      <c r="X98" s="196">
        <f t="array" ref="X98">IFERROR(
(AVERAGE((IF(DATOS_[[Sexo]:[Sexo]]=$B98,IF(DATOS_[[AGRUP. VALOR. PTO.]:[AGRUP. VALOR. PTO.]]=$B96,IF(DATOS_[[Check Periodo Ref.]:[Check Periodo Ref.]]="Dentro",IF(DATOS_[[Check Equiparado]:[Check Equiparado]]="Sí",IF(DATOS!AS$5="Sí",(1/DATOS_[[% anualiz]:[% anualiz]]),1)*IF(DATOS!AS$4="Sí",1/DATOS_[[% normaliz]:[% normaliz]],1)*(DATOS_[Conc.Sal.15])))))))),
0)</f>
        <v>0</v>
      </c>
      <c r="Y98" s="196">
        <f t="array" ref="Y98">IFERROR(
(AVERAGE((IF(DATOS_[[Sexo]:[Sexo]]=$B98,IF(DATOS_[[AGRUP. VALOR. PTO.]:[AGRUP. VALOR. PTO.]]=$B96,IF(DATOS_[[Check Periodo Ref.]:[Check Periodo Ref.]]="Dentro",IF(DATOS_[[Check Equiparado]:[Check Equiparado]]="Sí",IF(DATOS!AT$5="Sí",(1/DATOS_[[% anualiz]:[% anualiz]]),1)*IF(DATOS!AT$4="Sí",1/DATOS_[[% normaliz]:[% normaliz]],1)*(DATOS_[Conc.Sal.16])))))))),
0)</f>
        <v>0</v>
      </c>
      <c r="Z98" s="196">
        <f t="array" ref="Z98">IFERROR(
(AVERAGE((IF(DATOS_[[Sexo]:[Sexo]]=$B98,IF(DATOS_[[AGRUP. VALOR. PTO.]:[AGRUP. VALOR. PTO.]]=$B96,IF(DATOS_[[Check Periodo Ref.]:[Check Periodo Ref.]]="Dentro",IF(DATOS_[[Check Equiparado]:[Check Equiparado]]="Sí",IF(DATOS!AU$5="Sí",(1/DATOS_[[% anualiz]:[% anualiz]]),1)*IF(DATOS!AU$4="Sí",1/DATOS_[[% normaliz]:[% normaliz]],1)*(DATOS_[Conc.Sal.17])))))))),
0)</f>
        <v>0</v>
      </c>
      <c r="AA98" s="196">
        <f t="array" ref="AA98">IFERROR(
(AVERAGE((IF(DATOS_[[Sexo]:[Sexo]]=$B98,IF(DATOS_[[AGRUP. VALOR. PTO.]:[AGRUP. VALOR. PTO.]]=$B96,IF(DATOS_[[Check Periodo Ref.]:[Check Periodo Ref.]]="Dentro",IF(DATOS_[[Check Equiparado]:[Check Equiparado]]="Sí",IF(DATOS!AV$5="Sí",(1/DATOS_[[% anualiz]:[% anualiz]]),1)*IF(DATOS!AV$4="Sí",1/DATOS_[[% normaliz]:[% normaliz]],1)*(DATOS_[Conc.Sal.18])))))))),
0)</f>
        <v>0</v>
      </c>
      <c r="AB98" s="196">
        <f t="array" ref="AB98">IFERROR(
(AVERAGE((IF(DATOS_[[Sexo]:[Sexo]]=$B98,IF(DATOS_[[AGRUP. VALOR. PTO.]:[AGRUP. VALOR. PTO.]]=$B96,IF(DATOS_[[Check Periodo Ref.]:[Check Periodo Ref.]]="Dentro",IF(DATOS_[[Check Equiparado]:[Check Equiparado]]="Sí",IF(DATOS!AW$5="Sí",(1/DATOS_[[% anualiz]:[% anualiz]]),1)*IF(DATOS!AW$4="Sí",1/DATOS_[[% normaliz]:[% normaliz]],1)*(DATOS_[Conc.Sal.19])))))))),
0)</f>
        <v>0</v>
      </c>
      <c r="AC98" s="196">
        <f t="array" ref="AC98">IFERROR(
(AVERAGE((IF(DATOS_[[Sexo]:[Sexo]]=$B98,IF(DATOS_[[AGRUP. VALOR. PTO.]:[AGRUP. VALOR. PTO.]]=$B96,IF(DATOS_[[Check Periodo Ref.]:[Check Periodo Ref.]]="Dentro",IF(DATOS_[[Check Equiparado]:[Check Equiparado]]="Sí",IF(DATOS!AX$5="Sí",(1/DATOS_[[% anualiz]:[% anualiz]]),1)*IF(DATOS!AX$4="Sí",1/DATOS_[[% normaliz]:[% normaliz]],1)*(DATOS_[Conc.Sal.20])))))))),
0)</f>
        <v>0</v>
      </c>
      <c r="AD98" s="196">
        <f t="array" ref="AD98">IFERROR(
(AVERAGE((IF(DATOS_[[Sexo]:[Sexo]]=$B98,IF(DATOS_[[AGRUP. VALOR. PTO.]:[AGRUP. VALOR. PTO.]]=$B96,IF(DATOS_[[Check Periodo Ref.]:[Check Periodo Ref.]]="Dentro",IF(DATOS_[[Check Equiparado]:[Check Equiparado]]="Sí",IF(DATOS!AY$5="Sí",(1/DATOS_[[% anualiz]:[% anualiz]]),1)*IF(DATOS!AY$4="Sí",1/DATOS_[[% normaliz]:[% normaliz]],1)*(DATOS_[Conc.Sal.21])))))))),
0)</f>
        <v>0</v>
      </c>
      <c r="AE98" s="196">
        <f t="array" ref="AE98">IFERROR(
(AVERAGE((IF(DATOS_[[Sexo]:[Sexo]]=$B98,IF(DATOS_[[AGRUP. VALOR. PTO.]:[AGRUP. VALOR. PTO.]]=$B96,IF(DATOS_[[Check Periodo Ref.]:[Check Periodo Ref.]]="Dentro",IF(DATOS_[[Check Equiparado]:[Check Equiparado]]="Sí",IF(DATOS!AZ$5="Sí",(1/DATOS_[[% anualiz]:[% anualiz]]),1)*IF(DATOS!AZ$4="Sí",1/DATOS_[[% normaliz]:[% normaliz]],1)*(DATOS_[Conc.Sal.22])))))))),
0)</f>
        <v>0</v>
      </c>
      <c r="AF98" s="196">
        <f t="array" ref="AF98">IFERROR(
(AVERAGE((IF(DATOS_[[Sexo]:[Sexo]]=$B98,IF(DATOS_[[AGRUP. VALOR. PTO.]:[AGRUP. VALOR. PTO.]]=$B96,IF(DATOS_[[Check Periodo Ref.]:[Check Periodo Ref.]]="Dentro",IF(DATOS_[[Check Equiparado]:[Check Equiparado]]="Sí",IF(DATOS!BA$5="Sí",(1/DATOS_[[% anualiz]:[% anualiz]]),1)*IF(DATOS!BA$4="Sí",1/DATOS_[[% normaliz]:[% normaliz]],1)*(DATOS_[Conc.Sal.23])))))))),
0)</f>
        <v>0</v>
      </c>
      <c r="AG98" s="196">
        <f t="array" ref="AG98">IFERROR(
(AVERAGE((IF(DATOS_[[Sexo]:[Sexo]]=$B98,IF(DATOS_[[AGRUP. VALOR. PTO.]:[AGRUP. VALOR. PTO.]]=$B96,IF(DATOS_[[Check Periodo Ref.]:[Check Periodo Ref.]]="Dentro",IF(DATOS_[[Check Equiparado]:[Check Equiparado]]="Sí",IF(DATOS!BB$5="Sí",(1/DATOS_[[% anualiz]:[% anualiz]]),1)*IF(DATOS!BB$4="Sí",1/DATOS_[[% normaliz]:[% normaliz]],1)*(DATOS_[Conc.Sal.24])))))))),
0)</f>
        <v>0</v>
      </c>
      <c r="AH98" s="196">
        <f t="array" ref="AH98">IFERROR(
(AVERAGE((IF(DATOS_[[Sexo]:[Sexo]]=$B98,IF(DATOS_[[AGRUP. VALOR. PTO.]:[AGRUP. VALOR. PTO.]]=$B96,IF(DATOS_[[Check Periodo Ref.]:[Check Periodo Ref.]]="Dentro",IF(DATOS_[[Check Equiparado]:[Check Equiparado]]="Sí",IF(DATOS!BC$5="Sí",(1/DATOS_[[% anualiz]:[% anualiz]]),1)*IF(DATOS!BC$4="Sí",1/DATOS_[[% normaliz]:[% normaliz]],1)*(DATOS_[Conc.Sal.25])))))))),
0)</f>
        <v>0</v>
      </c>
      <c r="AI98" s="196">
        <f t="array" ref="AI98">IFERROR(
(AVERAGE((IF(DATOS_[[Sexo]:[Sexo]]=$B98,IF(DATOS_[[AGRUP. VALOR. PTO.]:[AGRUP. VALOR. PTO.]]=$B96,IF(DATOS_[[Check Periodo Ref.]:[Check Periodo Ref.]]="Dentro",IF(DATOS_[[Check Equiparado]:[Check Equiparado]]="Sí",IF(DATOS!BD$5="Sí",(1/DATOS_[[% anualiz]:[% anualiz]]),1)*IF(DATOS!BD$4="Sí",1/DATOS_[[% normaliz]:[% normaliz]],1)*(DATOS_[Conc.Sal.26])))))))),
0)</f>
        <v>0</v>
      </c>
      <c r="AJ98" s="196">
        <f t="array" ref="AJ98">IFERROR(
(AVERAGE((IF(DATOS_[[Sexo]:[Sexo]]=$B98,IF(DATOS_[[AGRUP. VALOR. PTO.]:[AGRUP. VALOR. PTO.]]=$B96,IF(DATOS_[[Check Periodo Ref.]:[Check Periodo Ref.]]="Dentro",IF(DATOS_[[Check Equiparado]:[Check Equiparado]]="Sí",IF(DATOS!BE$5="Sí",(1/DATOS_[[% anualiz]:[% anualiz]]),1)*IF(DATOS!BE$4="Sí",1/DATOS_[[% normaliz]:[% normaliz]],1)*(DATOS_[Conc.Sal.27])))))))),
0)</f>
        <v>0</v>
      </c>
      <c r="AK98" s="196">
        <f t="array" ref="AK98">IFERROR(
(AVERAGE((IF(DATOS_[[Sexo]:[Sexo]]=$B98,IF(DATOS_[[AGRUP. VALOR. PTO.]:[AGRUP. VALOR. PTO.]]=$B96,IF(DATOS_[[Check Periodo Ref.]:[Check Periodo Ref.]]="Dentro",IF(DATOS_[[Check Equiparado]:[Check Equiparado]]="Sí",IF(DATOS!BF$5="Sí",(1/DATOS_[[% anualiz]:[% anualiz]]),1)*IF(DATOS!BF$4="Sí",1/DATOS_[[% normaliz]:[% normaliz]],1)*(DATOS_[Conc.Sal.28])))))))),
0)</f>
        <v>0</v>
      </c>
      <c r="AL98" s="196">
        <f t="array" ref="AL98">IFERROR(
(AVERAGE((IF(DATOS_[[Sexo]:[Sexo]]=$B98,IF(DATOS_[[AGRUP. VALOR. PTO.]:[AGRUP. VALOR. PTO.]]=$B96,IF(DATOS_[[Check Periodo Ref.]:[Check Periodo Ref.]]="Dentro",IF(DATOS_[[Check Equiparado]:[Check Equiparado]]="Sí",IF(DATOS!BG$5="Sí",(1/DATOS_[[% anualiz]:[% anualiz]]),1)*IF(DATOS!BG$4="Sí",1/DATOS_[[% normaliz]:[% normaliz]],1)*(DATOS_[Conc.Sal.29])))))))),
0)</f>
        <v>0</v>
      </c>
      <c r="AM98" s="196">
        <f t="array" ref="AM98">IFERROR(
(AVERAGE((IF(DATOS_[[Sexo]:[Sexo]]=$B98,IF(DATOS_[[AGRUP. VALOR. PTO.]:[AGRUP. VALOR. PTO.]]=$B96,IF(DATOS_[[Check Periodo Ref.]:[Check Periodo Ref.]]="Dentro",IF(DATOS_[[Check Equiparado]:[Check Equiparado]]="Sí",IF(DATOS!BH$5="Sí",(1/DATOS_[[% anualiz]:[% anualiz]]),1)*IF(DATOS!BH$4="Sí",1/DATOS_[[% normaliz]:[% normaliz]],1)*(DATOS_[Conc.Sal.30])))))))),
0)</f>
        <v>0</v>
      </c>
      <c r="AN98" s="195">
        <f t="array" ref="AN98">IFERROR(
AVERAGE(IF(DATOS_[Sexo]=$B98,IF(DATOS_[[AGRUP. VALOR. PTO.]:[AGRUP. VALOR. PTO.]]=$B96,IF(DATOS_[Check Equiparado]="Sí",IF(DATOS_[Check Periodo Ref.]="Dentro",DATOS_[Tot COMPL.SAL Eq],FALSE))))),
0)</f>
        <v>0</v>
      </c>
      <c r="AO98" s="172">
        <f t="array" ref="AO98">IFERROR(
AVERAGE(IF(DATOS_[Sexo]=$B98,IF(DATOS_[[AGRUP. VALOR. PTO.]:[AGRUP. VALOR. PTO.]]=$B96,IF(DATOS_[Check Equiparado]="Sí",IF(DATOS_[Check Periodo Ref.]="Dentro",DATOS_[TOTAL SALARIO Eq],FALSE))))),
0)</f>
        <v>0</v>
      </c>
      <c r="AP98" s="173">
        <f t="array" ref="AP98">IFERROR(
(AVERAGE((IF(DATOS_[[Sexo]:[Sexo]]=$B98,IF(DATOS_[[AGRUP. VALOR. PTO.]:[AGRUP. VALOR. PTO.]]=$B96,IF(DATOS_[[Check Periodo Ref.]:[Check Periodo Ref.]]="Dentro",IF(DATOS_[[Check Equiparado]:[Check Equiparado]]="Sí",IF(DATOS!BW$5="Sí",(1/DATOS_[[% anualiz]:[% anualiz]]),1)*IF(DATOS!BW$4="Sí",1/DATOS_[[% normaliz]:[% normaliz]],1)*(DATOS_[C.Extra.01])))))))),
0)</f>
        <v>0</v>
      </c>
      <c r="AQ98" s="173">
        <f t="array" ref="AQ98">IFERROR(
(AVERAGE((IF(DATOS_[[Sexo]:[Sexo]]=$B98,IF(DATOS_[[AGRUP. VALOR. PTO.]:[AGRUP. VALOR. PTO.]]=$B96,IF(DATOS_[[Check Periodo Ref.]:[Check Periodo Ref.]]="Dentro",IF(DATOS_[[Check Equiparado]:[Check Equiparado]]="Sí",IF(DATOS!CB$5="Sí",(1/DATOS_[[% anualiz]:[% anualiz]]),1)*IF(DATOS!CB$4="Sí",1/DATOS_[[% normaliz]:[% normaliz]],1)*(DATOS_[C.Extra.06])))))))),
0)</f>
        <v>0</v>
      </c>
      <c r="AR98" s="173">
        <f t="array" ref="AR98">IFERROR(
(AVERAGE((IF(DATOS_[[Sexo]:[Sexo]]=$B98,IF(DATOS_[[AGRUP. VALOR. PTO.]:[AGRUP. VALOR. PTO.]]=$B96,IF(DATOS_[[Check Periodo Ref.]:[Check Periodo Ref.]]="Dentro",IF(DATOS_[[Check Equiparado]:[Check Equiparado]]="Sí",IF(DATOS!CC$5="Sí",(1/DATOS_[[% anualiz]:[% anualiz]]),1)*IF(DATOS!CC$4="Sí",1/DATOS_[[% normaliz]:[% normaliz]],1)*(DATOS_[C.Extra.07])))))))),
0)</f>
        <v>0</v>
      </c>
      <c r="AS98" s="173">
        <f t="array" ref="AS98">IFERROR(
(AVERAGE((IF(DATOS_[[Sexo]:[Sexo]]=$B98,IF(DATOS_[[AGRUP. VALOR. PTO.]:[AGRUP. VALOR. PTO.]]=$B96,IF(DATOS_[[Check Periodo Ref.]:[Check Periodo Ref.]]="Dentro",IF(DATOS_[[Check Equiparado]:[Check Equiparado]]="Sí",IF(DATOS!CD$5="Sí",(1/DATOS_[[% anualiz]:[% anualiz]]),1)*IF(DATOS!CD$4="Sí",1/DATOS_[[% normaliz]:[% normaliz]],1)*(DATOS_[C.Extra.08])))))))),
0)</f>
        <v>0</v>
      </c>
      <c r="AT98" s="173">
        <f t="array" ref="AT98">IFERROR(
(AVERAGE((IF(DATOS_[[Sexo]:[Sexo]]=$B98,IF(DATOS_[[AGRUP. VALOR. PTO.]:[AGRUP. VALOR. PTO.]]=$B96,IF(DATOS_[[Check Periodo Ref.]:[Check Periodo Ref.]]="Dentro",IF(DATOS_[[Check Equiparado]:[Check Equiparado]]="Sí",IF(DATOS!CG$5="Sí",(1/DATOS_[[% anualiz]:[% anualiz]]),1)*IF(DATOS!CG$4="Sí",1/DATOS_[[% normaliz]:[% normaliz]],1)*(DATOS_[C.Extra.11])))))))),
0)</f>
        <v>0</v>
      </c>
      <c r="AU98" s="197">
        <f t="array" ref="AU98">IFERROR(
AVERAGE(IF(DATOS_[Sexo]=$B98,IF(DATOS_[[AGRUP. VALOR. PTO.]:[AGRUP. VALOR. PTO.]]=$B96,IF(DATOS_[Check Equiparado]="Sí",IF(DATOS_[Check Periodo Ref.]="Dentro",DATOS_[Tot Extrasalarial Eq],FALSE))))),
0)</f>
        <v>0</v>
      </c>
      <c r="AV98" s="175">
        <f t="array" ref="AV98">IFERROR(
AVERAGE(IF(DATOS_[Sexo]=$B98,IF(DATOS_[[AGRUP. VALOR. PTO.]:[AGRUP. VALOR. PTO.]]=$B96,IF(DATOS_[Check Equiparado]="Sí",IF(DATOS_[Check Periodo Ref.]="Dentro",DATOS_[TOTAL Retrib Eq],FALSE))))),
0)</f>
        <v>0</v>
      </c>
    </row>
    <row r="99" spans="1:48" ht="15.6" thickBot="1" x14ac:dyDescent="0.3">
      <c r="A99" s="133" t="str">
        <f t="shared" ref="A99" si="115">+A100</f>
        <v>[ocultar]</v>
      </c>
      <c r="B99" s="199" t="s">
        <v>287</v>
      </c>
      <c r="C99" s="200"/>
      <c r="D99" s="201"/>
      <c r="E99" s="201"/>
      <c r="F99" s="201"/>
      <c r="G99" s="201"/>
      <c r="H99" s="201"/>
      <c r="I99" s="189" t="str">
        <f t="shared" ref="I99:AV99" si="116">IFERROR((I100-I101)/I100,"")</f>
        <v/>
      </c>
      <c r="J99" s="190" t="str">
        <f t="shared" si="116"/>
        <v/>
      </c>
      <c r="K99" s="191" t="str">
        <f t="shared" si="116"/>
        <v/>
      </c>
      <c r="L99" s="191" t="str">
        <f t="shared" si="116"/>
        <v/>
      </c>
      <c r="M99" s="191" t="str">
        <f t="shared" si="116"/>
        <v/>
      </c>
      <c r="N99" s="192" t="str">
        <f t="shared" si="116"/>
        <v/>
      </c>
      <c r="O99" s="193" t="str">
        <f t="shared" si="116"/>
        <v/>
      </c>
      <c r="P99" s="193" t="str">
        <f t="shared" si="116"/>
        <v/>
      </c>
      <c r="Q99" s="193" t="str">
        <f t="shared" si="116"/>
        <v/>
      </c>
      <c r="R99" s="193" t="str">
        <f t="shared" si="116"/>
        <v/>
      </c>
      <c r="S99" s="193" t="str">
        <f t="shared" si="116"/>
        <v/>
      </c>
      <c r="T99" s="193" t="str">
        <f t="shared" si="116"/>
        <v/>
      </c>
      <c r="U99" s="193" t="str">
        <f t="shared" si="116"/>
        <v/>
      </c>
      <c r="V99" s="193" t="str">
        <f t="shared" si="116"/>
        <v/>
      </c>
      <c r="W99" s="193" t="str">
        <f t="shared" si="116"/>
        <v/>
      </c>
      <c r="X99" s="193" t="str">
        <f t="shared" si="116"/>
        <v/>
      </c>
      <c r="Y99" s="193" t="str">
        <f t="shared" si="116"/>
        <v/>
      </c>
      <c r="Z99" s="193" t="str">
        <f t="shared" si="116"/>
        <v/>
      </c>
      <c r="AA99" s="193" t="str">
        <f t="shared" si="116"/>
        <v/>
      </c>
      <c r="AB99" s="193" t="str">
        <f t="shared" si="116"/>
        <v/>
      </c>
      <c r="AC99" s="193" t="str">
        <f t="shared" si="116"/>
        <v/>
      </c>
      <c r="AD99" s="193" t="str">
        <f t="shared" si="116"/>
        <v/>
      </c>
      <c r="AE99" s="193" t="str">
        <f t="shared" si="116"/>
        <v/>
      </c>
      <c r="AF99" s="193" t="str">
        <f t="shared" si="116"/>
        <v/>
      </c>
      <c r="AG99" s="193" t="str">
        <f t="shared" si="116"/>
        <v/>
      </c>
      <c r="AH99" s="193" t="str">
        <f t="shared" si="116"/>
        <v/>
      </c>
      <c r="AI99" s="193" t="str">
        <f t="shared" si="116"/>
        <v/>
      </c>
      <c r="AJ99" s="193" t="str">
        <f t="shared" si="116"/>
        <v/>
      </c>
      <c r="AK99" s="193" t="str">
        <f t="shared" si="116"/>
        <v/>
      </c>
      <c r="AL99" s="193" t="str">
        <f t="shared" si="116"/>
        <v/>
      </c>
      <c r="AM99" s="193" t="str">
        <f t="shared" si="116"/>
        <v/>
      </c>
      <c r="AN99" s="189" t="str">
        <f t="shared" si="116"/>
        <v/>
      </c>
      <c r="AO99" s="162" t="str">
        <f t="shared" si="116"/>
        <v/>
      </c>
      <c r="AP99" s="163" t="str">
        <f t="shared" si="116"/>
        <v/>
      </c>
      <c r="AQ99" s="163" t="str">
        <f t="shared" si="116"/>
        <v/>
      </c>
      <c r="AR99" s="163" t="str">
        <f t="shared" si="116"/>
        <v/>
      </c>
      <c r="AS99" s="163" t="str">
        <f t="shared" si="116"/>
        <v/>
      </c>
      <c r="AT99" s="163" t="str">
        <f t="shared" si="116"/>
        <v/>
      </c>
      <c r="AU99" s="194" t="str">
        <f t="shared" si="116"/>
        <v/>
      </c>
      <c r="AV99" s="165" t="str">
        <f t="shared" si="116"/>
        <v/>
      </c>
    </row>
    <row r="100" spans="1:48" x14ac:dyDescent="0.25">
      <c r="A100" s="133" t="str">
        <f t="shared" ref="A100" si="117">+IF(C100+C101=0,"[ocultar]","")</f>
        <v>[ocultar]</v>
      </c>
      <c r="B100" s="202" t="s">
        <v>394</v>
      </c>
      <c r="C100" s="203">
        <f t="array" ref="C100">SUM(IF($B100=DATOS_[Sexo],
IF($B99=DATOS_[AGRUP. VALOR. PTO.],
IF("Dentro"=DATOS_[Check Periodo Ref.],
1/(COUNTIFS(DATOS_[Sexo],$B100,DATOS_[AGRUP. VALOR. PTO.],$B99,DATOS_[Check Periodo Ref.],"Dentro",DATOS_[id/cod],DATOS_[id/cod]))))))</f>
        <v>0</v>
      </c>
      <c r="D100" s="204">
        <f>COUNTIFS(DATOS_[AGRUP. VALOR. PTO.],$B99,DATOS_[Sexo],$B100,DATOS_[Check Periodo Ref.],"Dentro")</f>
        <v>0</v>
      </c>
      <c r="E100" s="204">
        <f>COUNTIFS(DATOS_[AGRUP. VALOR. PTO.],$B99,DATOS_[Sexo],$B100,DATOS_[Check Periodo Ref.],"Dentro",DATOS_[Check Nº SC Norm],"Sí")</f>
        <v>0</v>
      </c>
      <c r="F100" s="204">
        <f>COUNTIFS(DATOS_[AGRUP. VALOR. PTO.],$B99,DATOS_[Sexo],$B100,DATOS_[Check Periodo Ref.],"Dentro",DATOS_[Check Nº SC Anualiz],"Sí")</f>
        <v>0</v>
      </c>
      <c r="G100" s="204">
        <f>COUNTIFS(DATOS_[AGRUP. VALOR. PTO.],$B99,DATOS_[Sexo],$B100,DATOS_[Check Periodo Ref.],"Dentro",DATOS_[Check Nº SC Norm y Anualiz],"Sí")</f>
        <v>0</v>
      </c>
      <c r="H100" s="204">
        <f>COUNTIFS(DATOS_[AGRUP. VALOR. PTO.],$B99,DATOS_[Sexo],$B100,DATOS_[Check Periodo Ref.],"Dentro",DATOS_[Check Equiparación],"Sí")</f>
        <v>0</v>
      </c>
      <c r="I100" s="195">
        <f t="array" ref="I100">IFERROR(
AVERAGE(IF(DATOS_[Sexo]=$B100,IF(DATOS_[[AGRUP. VALOR. PTO.]:[AGRUP. VALOR. PTO.]]=$B99,IF(DATOS_[Check Equiparado]="Sí",IF(DATOS_[Check Periodo Ref.]="Dentro",DATOS_[SALARIO BASE Eq],FALSE))))),
0)</f>
        <v>0</v>
      </c>
      <c r="J100" s="196">
        <f t="array" ref="J100">IFERROR(
(AVERAGE((IF(DATOS_[[Sexo]:[Sexo]]=$B100,IF(DATOS_[[AGRUP. VALOR. PTO.]:[AGRUP. VALOR. PTO.]]=$B99,IF(DATOS_[[Check Periodo Ref.]:[Check Periodo Ref.]]="Dentro",IF(DATOS_[[Check Equiparado]:[Check Equiparado]]="Sí",IF(DATOS!AE$5="Sí",(1/DATOS_[[% anualiz]:[% anualiz]]),1)*IF(DATOS!AE$4="Sí",1/DATOS_[[% normaliz]:[% normaliz]],1)*(DATOS_[Conc.Sal.01])))))))),
0)</f>
        <v>0</v>
      </c>
      <c r="K100" s="196">
        <f t="array" ref="K100">IFERROR(
(AVERAGE((IF(DATOS_[[Sexo]:[Sexo]]=$B100,IF(DATOS_[[AGRUP. VALOR. PTO.]:[AGRUP. VALOR. PTO.]]=$B99,IF(DATOS_[[Check Periodo Ref.]:[Check Periodo Ref.]]="Dentro",IF(DATOS_[[Check Equiparado]:[Check Equiparado]]="Sí",IF(DATOS!AF$5="Sí",(1/DATOS_[[% anualiz]:[% anualiz]]),1)*IF(DATOS!AF$4="Sí",1/DATOS_[[% normaliz]:[% normaliz]],1)*(DATOS_[Conc.Sal.02])))))))),
0)</f>
        <v>0</v>
      </c>
      <c r="L100" s="196">
        <f t="array" ref="L100">IFERROR(
(AVERAGE((IF(DATOS_[[Sexo]:[Sexo]]=$B100,IF(DATOS_[[AGRUP. VALOR. PTO.]:[AGRUP. VALOR. PTO.]]=$B99,IF(DATOS_[[Check Periodo Ref.]:[Check Periodo Ref.]]="Dentro",IF(DATOS_[[Check Equiparado]:[Check Equiparado]]="Sí",IF(DATOS!AG$5="Sí",(1/DATOS_[[% anualiz]:[% anualiz]]),1)*IF(DATOS!AG$4="Sí",1/DATOS_[[% normaliz]:[% normaliz]],1)*(DATOS_[Conc.Sal.03])))))))),
0)</f>
        <v>0</v>
      </c>
      <c r="M100" s="196">
        <f t="array" ref="M100">IFERROR(
(AVERAGE((IF(DATOS_[[Sexo]:[Sexo]]=$B100,IF(DATOS_[[AGRUP. VALOR. PTO.]:[AGRUP. VALOR. PTO.]]=$B99,IF(DATOS_[[Check Periodo Ref.]:[Check Periodo Ref.]]="Dentro",IF(DATOS_[[Check Equiparado]:[Check Equiparado]]="Sí",IF(DATOS!AH$5="Sí",(1/DATOS_[[% anualiz]:[% anualiz]]),1)*IF(DATOS!AH$4="Sí",1/DATOS_[[% normaliz]:[% normaliz]],1)*(DATOS_[Conc.Sal.04])))))))),
0)</f>
        <v>0</v>
      </c>
      <c r="N100" s="196">
        <f t="array" ref="N100">IFERROR(
(AVERAGE((IF(DATOS_[[Sexo]:[Sexo]]=$B100,IF(DATOS_[[AGRUP. VALOR. PTO.]:[AGRUP. VALOR. PTO.]]=$B99,IF(DATOS_[[Check Periodo Ref.]:[Check Periodo Ref.]]="Dentro",IF(DATOS_[[Check Equiparado]:[Check Equiparado]]="Sí",IF(DATOS!AI$5="Sí",(1/DATOS_[[% anualiz]:[% anualiz]]),1)*IF(DATOS!AI$4="Sí",1/DATOS_[[% normaliz]:[% normaliz]],1)*(DATOS_[Conc.Sal.05])))))))),
0)</f>
        <v>0</v>
      </c>
      <c r="O100" s="196">
        <f t="array" ref="O100">IFERROR(
(AVERAGE((IF(DATOS_[[Sexo]:[Sexo]]=$B100,IF(DATOS_[[AGRUP. VALOR. PTO.]:[AGRUP. VALOR. PTO.]]=$B99,IF(DATOS_[[Check Periodo Ref.]:[Check Periodo Ref.]]="Dentro",IF(DATOS_[[Check Equiparado]:[Check Equiparado]]="Sí",IF(DATOS!AJ$5="Sí",(1/DATOS_[[% anualiz]:[% anualiz]]),1)*IF(DATOS!AJ$4="Sí",1/DATOS_[[% normaliz]:[% normaliz]],1)*(DATOS_[Conc.Sal.06])))))))),
0)</f>
        <v>0</v>
      </c>
      <c r="P100" s="196">
        <f t="array" ref="P100">IFERROR(
(AVERAGE((IF(DATOS_[[Sexo]:[Sexo]]=$B100,IF(DATOS_[[AGRUP. VALOR. PTO.]:[AGRUP. VALOR. PTO.]]=$B99,IF(DATOS_[[Check Periodo Ref.]:[Check Periodo Ref.]]="Dentro",IF(DATOS_[[Check Equiparado]:[Check Equiparado]]="Sí",IF(DATOS!AK$5="Sí",(1/DATOS_[[% anualiz]:[% anualiz]]),1)*IF(DATOS!AK$4="Sí",1/DATOS_[[% normaliz]:[% normaliz]],1)*(DATOS_[Conc.Sal.07])))))))),
0)</f>
        <v>0</v>
      </c>
      <c r="Q100" s="196">
        <f t="array" ref="Q100">IFERROR(
(AVERAGE((IF(DATOS_[[Sexo]:[Sexo]]=$B100,IF(DATOS_[[AGRUP. VALOR. PTO.]:[AGRUP. VALOR. PTO.]]=$B99,IF(DATOS_[[Check Periodo Ref.]:[Check Periodo Ref.]]="Dentro",IF(DATOS_[[Check Equiparado]:[Check Equiparado]]="Sí",IF(DATOS!AL$5="Sí",(1/DATOS_[[% anualiz]:[% anualiz]]),1)*IF(DATOS!AL$4="Sí",1/DATOS_[[% normaliz]:[% normaliz]],1)*(DATOS_[Conc.Sal.08])))))))),
0)</f>
        <v>0</v>
      </c>
      <c r="R100" s="196">
        <f t="array" ref="R100">IFERROR(
(AVERAGE((IF(DATOS_[[Sexo]:[Sexo]]=$B100,IF(DATOS_[[AGRUP. VALOR. PTO.]:[AGRUP. VALOR. PTO.]]=$B99,IF(DATOS_[[Check Periodo Ref.]:[Check Periodo Ref.]]="Dentro",IF(DATOS_[[Check Equiparado]:[Check Equiparado]]="Sí",IF(DATOS!AM$5="Sí",(1/DATOS_[[% anualiz]:[% anualiz]]),1)*IF(DATOS!AM$4="Sí",1/DATOS_[[% normaliz]:[% normaliz]],1)*(DATOS_[Conc.Sal.09])))))))),
0)</f>
        <v>0</v>
      </c>
      <c r="S100" s="196">
        <f t="array" ref="S100">IFERROR(
(AVERAGE((IF(DATOS_[[Sexo]:[Sexo]]=$B100,IF(DATOS_[[AGRUP. VALOR. PTO.]:[AGRUP. VALOR. PTO.]]=$B99,IF(DATOS_[[Check Periodo Ref.]:[Check Periodo Ref.]]="Dentro",IF(DATOS_[[Check Equiparado]:[Check Equiparado]]="Sí",IF(DATOS!AN$5="Sí",(1/DATOS_[[% anualiz]:[% anualiz]]),1)*IF(DATOS!AN$4="Sí",1/DATOS_[[% normaliz]:[% normaliz]],1)*(DATOS_[Conc.Sal.10])))))))),
0)</f>
        <v>0</v>
      </c>
      <c r="T100" s="196">
        <f t="array" ref="T100">IFERROR(
(AVERAGE((IF(DATOS_[[Sexo]:[Sexo]]=$B100,IF(DATOS_[[AGRUP. VALOR. PTO.]:[AGRUP. VALOR. PTO.]]=$B99,IF(DATOS_[[Check Periodo Ref.]:[Check Periodo Ref.]]="Dentro",IF(DATOS_[[Check Equiparado]:[Check Equiparado]]="Sí",IF(DATOS!AO$5="Sí",(1/DATOS_[[% anualiz]:[% anualiz]]),1)*IF(DATOS!AO$4="Sí",1/DATOS_[[% normaliz]:[% normaliz]],1)*(DATOS_[Conc.Sal.11])))))))),
0)</f>
        <v>0</v>
      </c>
      <c r="U100" s="196">
        <f t="array" ref="U100">IFERROR(
(AVERAGE((IF(DATOS_[[Sexo]:[Sexo]]=$B100,IF(DATOS_[[AGRUP. VALOR. PTO.]:[AGRUP. VALOR. PTO.]]=$B99,IF(DATOS_[[Check Periodo Ref.]:[Check Periodo Ref.]]="Dentro",IF(DATOS_[[Check Equiparado]:[Check Equiparado]]="Sí",IF(DATOS!AP$5="Sí",(1/DATOS_[[% anualiz]:[% anualiz]]),1)*IF(DATOS!AP$4="Sí",1/DATOS_[[% normaliz]:[% normaliz]],1)*(DATOS_[Conc.Sal.12])))))))),
0)</f>
        <v>0</v>
      </c>
      <c r="V100" s="196">
        <f t="array" ref="V100">IFERROR(
(AVERAGE((IF(DATOS_[[Sexo]:[Sexo]]=$B100,IF(DATOS_[[AGRUP. VALOR. PTO.]:[AGRUP. VALOR. PTO.]]=$B99,IF(DATOS_[[Check Periodo Ref.]:[Check Periodo Ref.]]="Dentro",IF(DATOS_[[Check Equiparado]:[Check Equiparado]]="Sí",IF(DATOS!AQ$5="Sí",(1/DATOS_[[% anualiz]:[% anualiz]]),1)*IF(DATOS!AQ$4="Sí",1/DATOS_[[% normaliz]:[% normaliz]],1)*(DATOS_[Conc.Sal.13])))))))),
0)</f>
        <v>0</v>
      </c>
      <c r="W100" s="196">
        <f t="array" ref="W100">IFERROR(
(AVERAGE((IF(DATOS_[[Sexo]:[Sexo]]=$B100,IF(DATOS_[[AGRUP. VALOR. PTO.]:[AGRUP. VALOR. PTO.]]=$B99,IF(DATOS_[[Check Periodo Ref.]:[Check Periodo Ref.]]="Dentro",IF(DATOS_[[Check Equiparado]:[Check Equiparado]]="Sí",IF(DATOS!AR$5="Sí",(1/DATOS_[[% anualiz]:[% anualiz]]),1)*IF(DATOS!AR$4="Sí",1/DATOS_[[% normaliz]:[% normaliz]],1)*(DATOS_[Conc.Sal.14])))))))),
0)</f>
        <v>0</v>
      </c>
      <c r="X100" s="196">
        <f t="array" ref="X100">IFERROR(
(AVERAGE((IF(DATOS_[[Sexo]:[Sexo]]=$B100,IF(DATOS_[[AGRUP. VALOR. PTO.]:[AGRUP. VALOR. PTO.]]=$B99,IF(DATOS_[[Check Periodo Ref.]:[Check Periodo Ref.]]="Dentro",IF(DATOS_[[Check Equiparado]:[Check Equiparado]]="Sí",IF(DATOS!AS$5="Sí",(1/DATOS_[[% anualiz]:[% anualiz]]),1)*IF(DATOS!AS$4="Sí",1/DATOS_[[% normaliz]:[% normaliz]],1)*(DATOS_[Conc.Sal.15])))))))),
0)</f>
        <v>0</v>
      </c>
      <c r="Y100" s="196">
        <f t="array" ref="Y100">IFERROR(
(AVERAGE((IF(DATOS_[[Sexo]:[Sexo]]=$B100,IF(DATOS_[[AGRUP. VALOR. PTO.]:[AGRUP. VALOR. PTO.]]=$B99,IF(DATOS_[[Check Periodo Ref.]:[Check Periodo Ref.]]="Dentro",IF(DATOS_[[Check Equiparado]:[Check Equiparado]]="Sí",IF(DATOS!AT$5="Sí",(1/DATOS_[[% anualiz]:[% anualiz]]),1)*IF(DATOS!AT$4="Sí",1/DATOS_[[% normaliz]:[% normaliz]],1)*(DATOS_[Conc.Sal.16])))))))),
0)</f>
        <v>0</v>
      </c>
      <c r="Z100" s="196">
        <f t="array" ref="Z100">IFERROR(
(AVERAGE((IF(DATOS_[[Sexo]:[Sexo]]=$B100,IF(DATOS_[[AGRUP. VALOR. PTO.]:[AGRUP. VALOR. PTO.]]=$B99,IF(DATOS_[[Check Periodo Ref.]:[Check Periodo Ref.]]="Dentro",IF(DATOS_[[Check Equiparado]:[Check Equiparado]]="Sí",IF(DATOS!AU$5="Sí",(1/DATOS_[[% anualiz]:[% anualiz]]),1)*IF(DATOS!AU$4="Sí",1/DATOS_[[% normaliz]:[% normaliz]],1)*(DATOS_[Conc.Sal.17])))))))),
0)</f>
        <v>0</v>
      </c>
      <c r="AA100" s="196">
        <f t="array" ref="AA100">IFERROR(
(AVERAGE((IF(DATOS_[[Sexo]:[Sexo]]=$B100,IF(DATOS_[[AGRUP. VALOR. PTO.]:[AGRUP. VALOR. PTO.]]=$B99,IF(DATOS_[[Check Periodo Ref.]:[Check Periodo Ref.]]="Dentro",IF(DATOS_[[Check Equiparado]:[Check Equiparado]]="Sí",IF(DATOS!AV$5="Sí",(1/DATOS_[[% anualiz]:[% anualiz]]),1)*IF(DATOS!AV$4="Sí",1/DATOS_[[% normaliz]:[% normaliz]],1)*(DATOS_[Conc.Sal.18])))))))),
0)</f>
        <v>0</v>
      </c>
      <c r="AB100" s="196">
        <f t="array" ref="AB100">IFERROR(
(AVERAGE((IF(DATOS_[[Sexo]:[Sexo]]=$B100,IF(DATOS_[[AGRUP. VALOR. PTO.]:[AGRUP. VALOR. PTO.]]=$B99,IF(DATOS_[[Check Periodo Ref.]:[Check Periodo Ref.]]="Dentro",IF(DATOS_[[Check Equiparado]:[Check Equiparado]]="Sí",IF(DATOS!AW$5="Sí",(1/DATOS_[[% anualiz]:[% anualiz]]),1)*IF(DATOS!AW$4="Sí",1/DATOS_[[% normaliz]:[% normaliz]],1)*(DATOS_[Conc.Sal.19])))))))),
0)</f>
        <v>0</v>
      </c>
      <c r="AC100" s="196">
        <f t="array" ref="AC100">IFERROR(
(AVERAGE((IF(DATOS_[[Sexo]:[Sexo]]=$B100,IF(DATOS_[[AGRUP. VALOR. PTO.]:[AGRUP. VALOR. PTO.]]=$B99,IF(DATOS_[[Check Periodo Ref.]:[Check Periodo Ref.]]="Dentro",IF(DATOS_[[Check Equiparado]:[Check Equiparado]]="Sí",IF(DATOS!AX$5="Sí",(1/DATOS_[[% anualiz]:[% anualiz]]),1)*IF(DATOS!AX$4="Sí",1/DATOS_[[% normaliz]:[% normaliz]],1)*(DATOS_[Conc.Sal.20])))))))),
0)</f>
        <v>0</v>
      </c>
      <c r="AD100" s="196">
        <f t="array" ref="AD100">IFERROR(
(AVERAGE((IF(DATOS_[[Sexo]:[Sexo]]=$B100,IF(DATOS_[[AGRUP. VALOR. PTO.]:[AGRUP. VALOR. PTO.]]=$B99,IF(DATOS_[[Check Periodo Ref.]:[Check Periodo Ref.]]="Dentro",IF(DATOS_[[Check Equiparado]:[Check Equiparado]]="Sí",IF(DATOS!AY$5="Sí",(1/DATOS_[[% anualiz]:[% anualiz]]),1)*IF(DATOS!AY$4="Sí",1/DATOS_[[% normaliz]:[% normaliz]],1)*(DATOS_[Conc.Sal.21])))))))),
0)</f>
        <v>0</v>
      </c>
      <c r="AE100" s="196">
        <f t="array" ref="AE100">IFERROR(
(AVERAGE((IF(DATOS_[[Sexo]:[Sexo]]=$B100,IF(DATOS_[[AGRUP. VALOR. PTO.]:[AGRUP. VALOR. PTO.]]=$B99,IF(DATOS_[[Check Periodo Ref.]:[Check Periodo Ref.]]="Dentro",IF(DATOS_[[Check Equiparado]:[Check Equiparado]]="Sí",IF(DATOS!AZ$5="Sí",(1/DATOS_[[% anualiz]:[% anualiz]]),1)*IF(DATOS!AZ$4="Sí",1/DATOS_[[% normaliz]:[% normaliz]],1)*(DATOS_[Conc.Sal.22])))))))),
0)</f>
        <v>0</v>
      </c>
      <c r="AF100" s="196">
        <f t="array" ref="AF100">IFERROR(
(AVERAGE((IF(DATOS_[[Sexo]:[Sexo]]=$B100,IF(DATOS_[[AGRUP. VALOR. PTO.]:[AGRUP. VALOR. PTO.]]=$B99,IF(DATOS_[[Check Periodo Ref.]:[Check Periodo Ref.]]="Dentro",IF(DATOS_[[Check Equiparado]:[Check Equiparado]]="Sí",IF(DATOS!BA$5="Sí",(1/DATOS_[[% anualiz]:[% anualiz]]),1)*IF(DATOS!BA$4="Sí",1/DATOS_[[% normaliz]:[% normaliz]],1)*(DATOS_[Conc.Sal.23])))))))),
0)</f>
        <v>0</v>
      </c>
      <c r="AG100" s="196">
        <f t="array" ref="AG100">IFERROR(
(AVERAGE((IF(DATOS_[[Sexo]:[Sexo]]=$B100,IF(DATOS_[[AGRUP. VALOR. PTO.]:[AGRUP. VALOR. PTO.]]=$B99,IF(DATOS_[[Check Periodo Ref.]:[Check Periodo Ref.]]="Dentro",IF(DATOS_[[Check Equiparado]:[Check Equiparado]]="Sí",IF(DATOS!BB$5="Sí",(1/DATOS_[[% anualiz]:[% anualiz]]),1)*IF(DATOS!BB$4="Sí",1/DATOS_[[% normaliz]:[% normaliz]],1)*(DATOS_[Conc.Sal.24])))))))),
0)</f>
        <v>0</v>
      </c>
      <c r="AH100" s="196">
        <f t="array" ref="AH100">IFERROR(
(AVERAGE((IF(DATOS_[[Sexo]:[Sexo]]=$B100,IF(DATOS_[[AGRUP. VALOR. PTO.]:[AGRUP. VALOR. PTO.]]=$B99,IF(DATOS_[[Check Periodo Ref.]:[Check Periodo Ref.]]="Dentro",IF(DATOS_[[Check Equiparado]:[Check Equiparado]]="Sí",IF(DATOS!BC$5="Sí",(1/DATOS_[[% anualiz]:[% anualiz]]),1)*IF(DATOS!BC$4="Sí",1/DATOS_[[% normaliz]:[% normaliz]],1)*(DATOS_[Conc.Sal.25])))))))),
0)</f>
        <v>0</v>
      </c>
      <c r="AI100" s="196">
        <f t="array" ref="AI100">IFERROR(
(AVERAGE((IF(DATOS_[[Sexo]:[Sexo]]=$B100,IF(DATOS_[[AGRUP. VALOR. PTO.]:[AGRUP. VALOR. PTO.]]=$B99,IF(DATOS_[[Check Periodo Ref.]:[Check Periodo Ref.]]="Dentro",IF(DATOS_[[Check Equiparado]:[Check Equiparado]]="Sí",IF(DATOS!BD$5="Sí",(1/DATOS_[[% anualiz]:[% anualiz]]),1)*IF(DATOS!BD$4="Sí",1/DATOS_[[% normaliz]:[% normaliz]],1)*(DATOS_[Conc.Sal.26])))))))),
0)</f>
        <v>0</v>
      </c>
      <c r="AJ100" s="196">
        <f t="array" ref="AJ100">IFERROR(
(AVERAGE((IF(DATOS_[[Sexo]:[Sexo]]=$B100,IF(DATOS_[[AGRUP. VALOR. PTO.]:[AGRUP. VALOR. PTO.]]=$B99,IF(DATOS_[[Check Periodo Ref.]:[Check Periodo Ref.]]="Dentro",IF(DATOS_[[Check Equiparado]:[Check Equiparado]]="Sí",IF(DATOS!BE$5="Sí",(1/DATOS_[[% anualiz]:[% anualiz]]),1)*IF(DATOS!BE$4="Sí",1/DATOS_[[% normaliz]:[% normaliz]],1)*(DATOS_[Conc.Sal.27])))))))),
0)</f>
        <v>0</v>
      </c>
      <c r="AK100" s="196">
        <f t="array" ref="AK100">IFERROR(
(AVERAGE((IF(DATOS_[[Sexo]:[Sexo]]=$B100,IF(DATOS_[[AGRUP. VALOR. PTO.]:[AGRUP. VALOR. PTO.]]=$B99,IF(DATOS_[[Check Periodo Ref.]:[Check Periodo Ref.]]="Dentro",IF(DATOS_[[Check Equiparado]:[Check Equiparado]]="Sí",IF(DATOS!BF$5="Sí",(1/DATOS_[[% anualiz]:[% anualiz]]),1)*IF(DATOS!BF$4="Sí",1/DATOS_[[% normaliz]:[% normaliz]],1)*(DATOS_[Conc.Sal.28])))))))),
0)</f>
        <v>0</v>
      </c>
      <c r="AL100" s="196">
        <f t="array" ref="AL100">IFERROR(
(AVERAGE((IF(DATOS_[[Sexo]:[Sexo]]=$B100,IF(DATOS_[[AGRUP. VALOR. PTO.]:[AGRUP. VALOR. PTO.]]=$B99,IF(DATOS_[[Check Periodo Ref.]:[Check Periodo Ref.]]="Dentro",IF(DATOS_[[Check Equiparado]:[Check Equiparado]]="Sí",IF(DATOS!BG$5="Sí",(1/DATOS_[[% anualiz]:[% anualiz]]),1)*IF(DATOS!BG$4="Sí",1/DATOS_[[% normaliz]:[% normaliz]],1)*(DATOS_[Conc.Sal.29])))))))),
0)</f>
        <v>0</v>
      </c>
      <c r="AM100" s="196">
        <f t="array" ref="AM100">IFERROR(
(AVERAGE((IF(DATOS_[[Sexo]:[Sexo]]=$B100,IF(DATOS_[[AGRUP. VALOR. PTO.]:[AGRUP. VALOR. PTO.]]=$B99,IF(DATOS_[[Check Periodo Ref.]:[Check Periodo Ref.]]="Dentro",IF(DATOS_[[Check Equiparado]:[Check Equiparado]]="Sí",IF(DATOS!BH$5="Sí",(1/DATOS_[[% anualiz]:[% anualiz]]),1)*IF(DATOS!BH$4="Sí",1/DATOS_[[% normaliz]:[% normaliz]],1)*(DATOS_[Conc.Sal.30])))))))),
0)</f>
        <v>0</v>
      </c>
      <c r="AN100" s="195">
        <f t="array" ref="AN100">IFERROR(
AVERAGE(IF(DATOS_[Sexo]=$B100,IF(DATOS_[[AGRUP. VALOR. PTO.]:[AGRUP. VALOR. PTO.]]=$B99,IF(DATOS_[Check Equiparado]="Sí",IF(DATOS_[Check Periodo Ref.]="Dentro",DATOS_[Tot COMPL.SAL Eq],FALSE))))),
0)</f>
        <v>0</v>
      </c>
      <c r="AO100" s="172">
        <f t="array" ref="AO100">IFERROR(
AVERAGE(IF(DATOS_[Sexo]=$B100,IF(DATOS_[[AGRUP. VALOR. PTO.]:[AGRUP. VALOR. PTO.]]=$B99,IF(DATOS_[Check Equiparado]="Sí",IF(DATOS_[Check Periodo Ref.]="Dentro",DATOS_[TOTAL SALARIO Eq],FALSE))))),
0)</f>
        <v>0</v>
      </c>
      <c r="AP100" s="173">
        <f t="array" ref="AP100">IFERROR(
(AVERAGE((IF(DATOS_[[Sexo]:[Sexo]]=$B100,IF(DATOS_[[AGRUP. VALOR. PTO.]:[AGRUP. VALOR. PTO.]]=$B99,IF(DATOS_[[Check Periodo Ref.]:[Check Periodo Ref.]]="Dentro",IF(DATOS_[[Check Equiparado]:[Check Equiparado]]="Sí",IF(DATOS!BW$5="Sí",(1/DATOS_[[% anualiz]:[% anualiz]]),1)*IF(DATOS!BW$4="Sí",1/DATOS_[[% normaliz]:[% normaliz]],1)*(DATOS_[C.Extra.01])))))))),
0)</f>
        <v>0</v>
      </c>
      <c r="AQ100" s="173">
        <f t="array" ref="AQ100">IFERROR(
(AVERAGE((IF(DATOS_[[Sexo]:[Sexo]]=$B100,IF(DATOS_[[AGRUP. VALOR. PTO.]:[AGRUP. VALOR. PTO.]]=$B99,IF(DATOS_[[Check Periodo Ref.]:[Check Periodo Ref.]]="Dentro",IF(DATOS_[[Check Equiparado]:[Check Equiparado]]="Sí",IF(DATOS!CB$5="Sí",(1/DATOS_[[% anualiz]:[% anualiz]]),1)*IF(DATOS!CB$4="Sí",1/DATOS_[[% normaliz]:[% normaliz]],1)*(DATOS_[C.Extra.06])))))))),
0)</f>
        <v>0</v>
      </c>
      <c r="AR100" s="173">
        <f t="array" ref="AR100">IFERROR(
(AVERAGE((IF(DATOS_[[Sexo]:[Sexo]]=$B100,IF(DATOS_[[AGRUP. VALOR. PTO.]:[AGRUP. VALOR. PTO.]]=$B99,IF(DATOS_[[Check Periodo Ref.]:[Check Periodo Ref.]]="Dentro",IF(DATOS_[[Check Equiparado]:[Check Equiparado]]="Sí",IF(DATOS!CC$5="Sí",(1/DATOS_[[% anualiz]:[% anualiz]]),1)*IF(DATOS!CC$4="Sí",1/DATOS_[[% normaliz]:[% normaliz]],1)*(DATOS_[C.Extra.07])))))))),
0)</f>
        <v>0</v>
      </c>
      <c r="AS100" s="173">
        <f t="array" ref="AS100">IFERROR(
(AVERAGE((IF(DATOS_[[Sexo]:[Sexo]]=$B100,IF(DATOS_[[AGRUP. VALOR. PTO.]:[AGRUP. VALOR. PTO.]]=$B99,IF(DATOS_[[Check Periodo Ref.]:[Check Periodo Ref.]]="Dentro",IF(DATOS_[[Check Equiparado]:[Check Equiparado]]="Sí",IF(DATOS!CD$5="Sí",(1/DATOS_[[% anualiz]:[% anualiz]]),1)*IF(DATOS!CD$4="Sí",1/DATOS_[[% normaliz]:[% normaliz]],1)*(DATOS_[C.Extra.08])))))))),
0)</f>
        <v>0</v>
      </c>
      <c r="AT100" s="173">
        <f t="array" ref="AT100">IFERROR(
(AVERAGE((IF(DATOS_[[Sexo]:[Sexo]]=$B100,IF(DATOS_[[AGRUP. VALOR. PTO.]:[AGRUP. VALOR. PTO.]]=$B99,IF(DATOS_[[Check Periodo Ref.]:[Check Periodo Ref.]]="Dentro",IF(DATOS_[[Check Equiparado]:[Check Equiparado]]="Sí",IF(DATOS!CG$5="Sí",(1/DATOS_[[% anualiz]:[% anualiz]]),1)*IF(DATOS!CG$4="Sí",1/DATOS_[[% normaliz]:[% normaliz]],1)*(DATOS_[C.Extra.11])))))))),
0)</f>
        <v>0</v>
      </c>
      <c r="AU100" s="197">
        <f t="array" ref="AU100">IFERROR(
AVERAGE(IF(DATOS_[Sexo]=$B100,IF(DATOS_[[AGRUP. VALOR. PTO.]:[AGRUP. VALOR. PTO.]]=$B99,IF(DATOS_[Check Equiparado]="Sí",IF(DATOS_[Check Periodo Ref.]="Dentro",DATOS_[Tot Extrasalarial Eq],FALSE))))),
0)</f>
        <v>0</v>
      </c>
      <c r="AV100" s="175">
        <f t="array" ref="AV100">IFERROR(
AVERAGE(IF(DATOS_[Sexo]=$B100,IF(DATOS_[[AGRUP. VALOR. PTO.]:[AGRUP. VALOR. PTO.]]=$B99,IF(DATOS_[Check Equiparado]="Sí",IF(DATOS_[Check Periodo Ref.]="Dentro",DATOS_[TOTAL Retrib Eq],FALSE))))),
0)</f>
        <v>0</v>
      </c>
    </row>
    <row r="101" spans="1:48" x14ac:dyDescent="0.25">
      <c r="A101" s="133" t="str">
        <f t="shared" ref="A101" si="118">+A100</f>
        <v>[ocultar]</v>
      </c>
      <c r="B101" s="202" t="s">
        <v>521</v>
      </c>
      <c r="C101" s="203">
        <f t="array" ref="C101">SUM(IF($B101=DATOS_[Sexo],
IF($B99=DATOS_[AGRUP. VALOR. PTO.],
IF("Dentro"=DATOS_[Check Periodo Ref.],
1/(COUNTIFS(DATOS_[Sexo],$B101,DATOS_[AGRUP. VALOR. PTO.],$B99,DATOS_[Check Periodo Ref.],"Dentro",DATOS_[id/cod],DATOS_[id/cod]))))))</f>
        <v>0</v>
      </c>
      <c r="D101" s="204">
        <f>COUNTIFS(DATOS_[AGRUP. VALOR. PTO.],$B99,DATOS_[Sexo],$B101,DATOS_[Check Periodo Ref.],"Dentro")</f>
        <v>0</v>
      </c>
      <c r="E101" s="204">
        <f>COUNTIFS(DATOS_[AGRUP. VALOR. PTO.],$B99,DATOS_[Sexo],$B101,DATOS_[Check Periodo Ref.],"Dentro",DATOS_[Check Nº SC Norm],"Sí")</f>
        <v>0</v>
      </c>
      <c r="F101" s="204">
        <f>COUNTIFS(DATOS_[AGRUP. VALOR. PTO.],$B99,DATOS_[Sexo],$B101,DATOS_[Check Periodo Ref.],"Dentro",DATOS_[Check Nº SC Anualiz],"Sí")</f>
        <v>0</v>
      </c>
      <c r="G101" s="204">
        <f>COUNTIFS(DATOS_[AGRUP. VALOR. PTO.],$B99,DATOS_[Sexo],$B101,DATOS_[Check Periodo Ref.],"Dentro",DATOS_[Check Nº SC Norm y Anualiz],"Sí")</f>
        <v>0</v>
      </c>
      <c r="H101" s="204">
        <f>COUNTIFS(DATOS_[AGRUP. VALOR. PTO.],$B99,DATOS_[Sexo],$B101,DATOS_[Check Periodo Ref.],"Dentro",DATOS_[Check Equiparación],"Sí")</f>
        <v>0</v>
      </c>
      <c r="I101" s="195" cm="1">
        <f t="array" ref="I101">IFERROR(
AVERAGE(IF(DATOS_[Sexo]=$B101,IF(DATOS_[[AGRUP. VALOR. PTO.]:[AGRUP. VALOR. PTO.]]=$B99,IF(DATOS_[Check Equiparado]="Sí",IF(DATOS_[Check Periodo Ref.]="Dentro",DATOS_[SALARIO BASE Eq],FALSE))))),
0)</f>
        <v>0</v>
      </c>
      <c r="J101" s="196">
        <f t="array" ref="J101">IFERROR(
(AVERAGE((IF(DATOS_[[Sexo]:[Sexo]]=$B101,IF(DATOS_[[AGRUP. VALOR. PTO.]:[AGRUP. VALOR. PTO.]]=$B99,IF(DATOS_[[Check Periodo Ref.]:[Check Periodo Ref.]]="Dentro",IF(DATOS_[[Check Equiparado]:[Check Equiparado]]="Sí",IF(DATOS!AE$5="Sí",(1/DATOS_[[% anualiz]:[% anualiz]]),1)*IF(DATOS!AE$4="Sí",1/DATOS_[[% normaliz]:[% normaliz]],1)*(DATOS_[Conc.Sal.01])))))))),
0)</f>
        <v>0</v>
      </c>
      <c r="K101" s="196">
        <f t="array" ref="K101">IFERROR(
(AVERAGE((IF(DATOS_[[Sexo]:[Sexo]]=$B101,IF(DATOS_[[AGRUP. VALOR. PTO.]:[AGRUP. VALOR. PTO.]]=$B99,IF(DATOS_[[Check Periodo Ref.]:[Check Periodo Ref.]]="Dentro",IF(DATOS_[[Check Equiparado]:[Check Equiparado]]="Sí",IF(DATOS!AF$5="Sí",(1/DATOS_[[% anualiz]:[% anualiz]]),1)*IF(DATOS!AF$4="Sí",1/DATOS_[[% normaliz]:[% normaliz]],1)*(DATOS_[Conc.Sal.02])))))))),
0)</f>
        <v>0</v>
      </c>
      <c r="L101" s="196">
        <f t="array" ref="L101">IFERROR(
(AVERAGE((IF(DATOS_[[Sexo]:[Sexo]]=$B101,IF(DATOS_[[AGRUP. VALOR. PTO.]:[AGRUP. VALOR. PTO.]]=$B99,IF(DATOS_[[Check Periodo Ref.]:[Check Periodo Ref.]]="Dentro",IF(DATOS_[[Check Equiparado]:[Check Equiparado]]="Sí",IF(DATOS!AG$5="Sí",(1/DATOS_[[% anualiz]:[% anualiz]]),1)*IF(DATOS!AG$4="Sí",1/DATOS_[[% normaliz]:[% normaliz]],1)*(DATOS_[Conc.Sal.03])))))))),
0)</f>
        <v>0</v>
      </c>
      <c r="M101" s="196">
        <f t="array" ref="M101">IFERROR(
(AVERAGE((IF(DATOS_[[Sexo]:[Sexo]]=$B101,IF(DATOS_[[AGRUP. VALOR. PTO.]:[AGRUP. VALOR. PTO.]]=$B99,IF(DATOS_[[Check Periodo Ref.]:[Check Periodo Ref.]]="Dentro",IF(DATOS_[[Check Equiparado]:[Check Equiparado]]="Sí",IF(DATOS!AH$5="Sí",(1/DATOS_[[% anualiz]:[% anualiz]]),1)*IF(DATOS!AH$4="Sí",1/DATOS_[[% normaliz]:[% normaliz]],1)*(DATOS_[Conc.Sal.04])))))))),
0)</f>
        <v>0</v>
      </c>
      <c r="N101" s="196">
        <f t="array" ref="N101">IFERROR(
(AVERAGE((IF(DATOS_[[Sexo]:[Sexo]]=$B101,IF(DATOS_[[AGRUP. VALOR. PTO.]:[AGRUP. VALOR. PTO.]]=$B99,IF(DATOS_[[Check Periodo Ref.]:[Check Periodo Ref.]]="Dentro",IF(DATOS_[[Check Equiparado]:[Check Equiparado]]="Sí",IF(DATOS!AI$5="Sí",(1/DATOS_[[% anualiz]:[% anualiz]]),1)*IF(DATOS!AI$4="Sí",1/DATOS_[[% normaliz]:[% normaliz]],1)*(DATOS_[Conc.Sal.05])))))))),
0)</f>
        <v>0</v>
      </c>
      <c r="O101" s="196">
        <f t="array" ref="O101">IFERROR(
(AVERAGE((IF(DATOS_[[Sexo]:[Sexo]]=$B101,IF(DATOS_[[AGRUP. VALOR. PTO.]:[AGRUP. VALOR. PTO.]]=$B99,IF(DATOS_[[Check Periodo Ref.]:[Check Periodo Ref.]]="Dentro",IF(DATOS_[[Check Equiparado]:[Check Equiparado]]="Sí",IF(DATOS!AJ$5="Sí",(1/DATOS_[[% anualiz]:[% anualiz]]),1)*IF(DATOS!AJ$4="Sí",1/DATOS_[[% normaliz]:[% normaliz]],1)*(DATOS_[Conc.Sal.06])))))))),
0)</f>
        <v>0</v>
      </c>
      <c r="P101" s="196">
        <f t="array" ref="P101">IFERROR(
(AVERAGE((IF(DATOS_[[Sexo]:[Sexo]]=$B101,IF(DATOS_[[AGRUP. VALOR. PTO.]:[AGRUP. VALOR. PTO.]]=$B99,IF(DATOS_[[Check Periodo Ref.]:[Check Periodo Ref.]]="Dentro",IF(DATOS_[[Check Equiparado]:[Check Equiparado]]="Sí",IF(DATOS!AK$5="Sí",(1/DATOS_[[% anualiz]:[% anualiz]]),1)*IF(DATOS!AK$4="Sí",1/DATOS_[[% normaliz]:[% normaliz]],1)*(DATOS_[Conc.Sal.07])))))))),
0)</f>
        <v>0</v>
      </c>
      <c r="Q101" s="196">
        <f t="array" ref="Q101">IFERROR(
(AVERAGE((IF(DATOS_[[Sexo]:[Sexo]]=$B101,IF(DATOS_[[AGRUP. VALOR. PTO.]:[AGRUP. VALOR. PTO.]]=$B99,IF(DATOS_[[Check Periodo Ref.]:[Check Periodo Ref.]]="Dentro",IF(DATOS_[[Check Equiparado]:[Check Equiparado]]="Sí",IF(DATOS!AL$5="Sí",(1/DATOS_[[% anualiz]:[% anualiz]]),1)*IF(DATOS!AL$4="Sí",1/DATOS_[[% normaliz]:[% normaliz]],1)*(DATOS_[Conc.Sal.08])))))))),
0)</f>
        <v>0</v>
      </c>
      <c r="R101" s="196">
        <f t="array" ref="R101">IFERROR(
(AVERAGE((IF(DATOS_[[Sexo]:[Sexo]]=$B101,IF(DATOS_[[AGRUP. VALOR. PTO.]:[AGRUP. VALOR. PTO.]]=$B99,IF(DATOS_[[Check Periodo Ref.]:[Check Periodo Ref.]]="Dentro",IF(DATOS_[[Check Equiparado]:[Check Equiparado]]="Sí",IF(DATOS!AM$5="Sí",(1/DATOS_[[% anualiz]:[% anualiz]]),1)*IF(DATOS!AM$4="Sí",1/DATOS_[[% normaliz]:[% normaliz]],1)*(DATOS_[Conc.Sal.09])))))))),
0)</f>
        <v>0</v>
      </c>
      <c r="S101" s="196">
        <f t="array" ref="S101">IFERROR(
(AVERAGE((IF(DATOS_[[Sexo]:[Sexo]]=$B101,IF(DATOS_[[AGRUP. VALOR. PTO.]:[AGRUP. VALOR. PTO.]]=$B99,IF(DATOS_[[Check Periodo Ref.]:[Check Periodo Ref.]]="Dentro",IF(DATOS_[[Check Equiparado]:[Check Equiparado]]="Sí",IF(DATOS!AN$5="Sí",(1/DATOS_[[% anualiz]:[% anualiz]]),1)*IF(DATOS!AN$4="Sí",1/DATOS_[[% normaliz]:[% normaliz]],1)*(DATOS_[Conc.Sal.10])))))))),
0)</f>
        <v>0</v>
      </c>
      <c r="T101" s="196">
        <f t="array" ref="T101">IFERROR(
(AVERAGE((IF(DATOS_[[Sexo]:[Sexo]]=$B101,IF(DATOS_[[AGRUP. VALOR. PTO.]:[AGRUP. VALOR. PTO.]]=$B99,IF(DATOS_[[Check Periodo Ref.]:[Check Periodo Ref.]]="Dentro",IF(DATOS_[[Check Equiparado]:[Check Equiparado]]="Sí",IF(DATOS!AO$5="Sí",(1/DATOS_[[% anualiz]:[% anualiz]]),1)*IF(DATOS!AO$4="Sí",1/DATOS_[[% normaliz]:[% normaliz]],1)*(DATOS_[Conc.Sal.11])))))))),
0)</f>
        <v>0</v>
      </c>
      <c r="U101" s="196">
        <f t="array" ref="U101">IFERROR(
(AVERAGE((IF(DATOS_[[Sexo]:[Sexo]]=$B101,IF(DATOS_[[AGRUP. VALOR. PTO.]:[AGRUP. VALOR. PTO.]]=$B99,IF(DATOS_[[Check Periodo Ref.]:[Check Periodo Ref.]]="Dentro",IF(DATOS_[[Check Equiparado]:[Check Equiparado]]="Sí",IF(DATOS!AP$5="Sí",(1/DATOS_[[% anualiz]:[% anualiz]]),1)*IF(DATOS!AP$4="Sí",1/DATOS_[[% normaliz]:[% normaliz]],1)*(DATOS_[Conc.Sal.12])))))))),
0)</f>
        <v>0</v>
      </c>
      <c r="V101" s="196">
        <f t="array" ref="V101">IFERROR(
(AVERAGE((IF(DATOS_[[Sexo]:[Sexo]]=$B101,IF(DATOS_[[AGRUP. VALOR. PTO.]:[AGRUP. VALOR. PTO.]]=$B99,IF(DATOS_[[Check Periodo Ref.]:[Check Periodo Ref.]]="Dentro",IF(DATOS_[[Check Equiparado]:[Check Equiparado]]="Sí",IF(DATOS!AQ$5="Sí",(1/DATOS_[[% anualiz]:[% anualiz]]),1)*IF(DATOS!AQ$4="Sí",1/DATOS_[[% normaliz]:[% normaliz]],1)*(DATOS_[Conc.Sal.13])))))))),
0)</f>
        <v>0</v>
      </c>
      <c r="W101" s="196">
        <f t="array" ref="W101">IFERROR(
(AVERAGE((IF(DATOS_[[Sexo]:[Sexo]]=$B101,IF(DATOS_[[AGRUP. VALOR. PTO.]:[AGRUP. VALOR. PTO.]]=$B99,IF(DATOS_[[Check Periodo Ref.]:[Check Periodo Ref.]]="Dentro",IF(DATOS_[[Check Equiparado]:[Check Equiparado]]="Sí",IF(DATOS!AR$5="Sí",(1/DATOS_[[% anualiz]:[% anualiz]]),1)*IF(DATOS!AR$4="Sí",1/DATOS_[[% normaliz]:[% normaliz]],1)*(DATOS_[Conc.Sal.14])))))))),
0)</f>
        <v>0</v>
      </c>
      <c r="X101" s="196">
        <f t="array" ref="X101">IFERROR(
(AVERAGE((IF(DATOS_[[Sexo]:[Sexo]]=$B101,IF(DATOS_[[AGRUP. VALOR. PTO.]:[AGRUP. VALOR. PTO.]]=$B99,IF(DATOS_[[Check Periodo Ref.]:[Check Periodo Ref.]]="Dentro",IF(DATOS_[[Check Equiparado]:[Check Equiparado]]="Sí",IF(DATOS!AS$5="Sí",(1/DATOS_[[% anualiz]:[% anualiz]]),1)*IF(DATOS!AS$4="Sí",1/DATOS_[[% normaliz]:[% normaliz]],1)*(DATOS_[Conc.Sal.15])))))))),
0)</f>
        <v>0</v>
      </c>
      <c r="Y101" s="196">
        <f t="array" ref="Y101">IFERROR(
(AVERAGE((IF(DATOS_[[Sexo]:[Sexo]]=$B101,IF(DATOS_[[AGRUP. VALOR. PTO.]:[AGRUP. VALOR. PTO.]]=$B99,IF(DATOS_[[Check Periodo Ref.]:[Check Periodo Ref.]]="Dentro",IF(DATOS_[[Check Equiparado]:[Check Equiparado]]="Sí",IF(DATOS!AT$5="Sí",(1/DATOS_[[% anualiz]:[% anualiz]]),1)*IF(DATOS!AT$4="Sí",1/DATOS_[[% normaliz]:[% normaliz]],1)*(DATOS_[Conc.Sal.16])))))))),
0)</f>
        <v>0</v>
      </c>
      <c r="Z101" s="196">
        <f t="array" ref="Z101">IFERROR(
(AVERAGE((IF(DATOS_[[Sexo]:[Sexo]]=$B101,IF(DATOS_[[AGRUP. VALOR. PTO.]:[AGRUP. VALOR. PTO.]]=$B99,IF(DATOS_[[Check Periodo Ref.]:[Check Periodo Ref.]]="Dentro",IF(DATOS_[[Check Equiparado]:[Check Equiparado]]="Sí",IF(DATOS!AU$5="Sí",(1/DATOS_[[% anualiz]:[% anualiz]]),1)*IF(DATOS!AU$4="Sí",1/DATOS_[[% normaliz]:[% normaliz]],1)*(DATOS_[Conc.Sal.17])))))))),
0)</f>
        <v>0</v>
      </c>
      <c r="AA101" s="196">
        <f t="array" ref="AA101">IFERROR(
(AVERAGE((IF(DATOS_[[Sexo]:[Sexo]]=$B101,IF(DATOS_[[AGRUP. VALOR. PTO.]:[AGRUP. VALOR. PTO.]]=$B99,IF(DATOS_[[Check Periodo Ref.]:[Check Periodo Ref.]]="Dentro",IF(DATOS_[[Check Equiparado]:[Check Equiparado]]="Sí",IF(DATOS!AV$5="Sí",(1/DATOS_[[% anualiz]:[% anualiz]]),1)*IF(DATOS!AV$4="Sí",1/DATOS_[[% normaliz]:[% normaliz]],1)*(DATOS_[Conc.Sal.18])))))))),
0)</f>
        <v>0</v>
      </c>
      <c r="AB101" s="196">
        <f t="array" ref="AB101">IFERROR(
(AVERAGE((IF(DATOS_[[Sexo]:[Sexo]]=$B101,IF(DATOS_[[AGRUP. VALOR. PTO.]:[AGRUP. VALOR. PTO.]]=$B99,IF(DATOS_[[Check Periodo Ref.]:[Check Periodo Ref.]]="Dentro",IF(DATOS_[[Check Equiparado]:[Check Equiparado]]="Sí",IF(DATOS!AW$5="Sí",(1/DATOS_[[% anualiz]:[% anualiz]]),1)*IF(DATOS!AW$4="Sí",1/DATOS_[[% normaliz]:[% normaliz]],1)*(DATOS_[Conc.Sal.19])))))))),
0)</f>
        <v>0</v>
      </c>
      <c r="AC101" s="196">
        <f t="array" ref="AC101">IFERROR(
(AVERAGE((IF(DATOS_[[Sexo]:[Sexo]]=$B101,IF(DATOS_[[AGRUP. VALOR. PTO.]:[AGRUP. VALOR. PTO.]]=$B99,IF(DATOS_[[Check Periodo Ref.]:[Check Periodo Ref.]]="Dentro",IF(DATOS_[[Check Equiparado]:[Check Equiparado]]="Sí",IF(DATOS!AX$5="Sí",(1/DATOS_[[% anualiz]:[% anualiz]]),1)*IF(DATOS!AX$4="Sí",1/DATOS_[[% normaliz]:[% normaliz]],1)*(DATOS_[Conc.Sal.20])))))))),
0)</f>
        <v>0</v>
      </c>
      <c r="AD101" s="196">
        <f t="array" ref="AD101">IFERROR(
(AVERAGE((IF(DATOS_[[Sexo]:[Sexo]]=$B101,IF(DATOS_[[AGRUP. VALOR. PTO.]:[AGRUP. VALOR. PTO.]]=$B99,IF(DATOS_[[Check Periodo Ref.]:[Check Periodo Ref.]]="Dentro",IF(DATOS_[[Check Equiparado]:[Check Equiparado]]="Sí",IF(DATOS!AY$5="Sí",(1/DATOS_[[% anualiz]:[% anualiz]]),1)*IF(DATOS!AY$4="Sí",1/DATOS_[[% normaliz]:[% normaliz]],1)*(DATOS_[Conc.Sal.21])))))))),
0)</f>
        <v>0</v>
      </c>
      <c r="AE101" s="196">
        <f t="array" ref="AE101">IFERROR(
(AVERAGE((IF(DATOS_[[Sexo]:[Sexo]]=$B101,IF(DATOS_[[AGRUP. VALOR. PTO.]:[AGRUP. VALOR. PTO.]]=$B99,IF(DATOS_[[Check Periodo Ref.]:[Check Periodo Ref.]]="Dentro",IF(DATOS_[[Check Equiparado]:[Check Equiparado]]="Sí",IF(DATOS!AZ$5="Sí",(1/DATOS_[[% anualiz]:[% anualiz]]),1)*IF(DATOS!AZ$4="Sí",1/DATOS_[[% normaliz]:[% normaliz]],1)*(DATOS_[Conc.Sal.22])))))))),
0)</f>
        <v>0</v>
      </c>
      <c r="AF101" s="196">
        <f t="array" ref="AF101">IFERROR(
(AVERAGE((IF(DATOS_[[Sexo]:[Sexo]]=$B101,IF(DATOS_[[AGRUP. VALOR. PTO.]:[AGRUP. VALOR. PTO.]]=$B99,IF(DATOS_[[Check Periodo Ref.]:[Check Periodo Ref.]]="Dentro",IF(DATOS_[[Check Equiparado]:[Check Equiparado]]="Sí",IF(DATOS!BA$5="Sí",(1/DATOS_[[% anualiz]:[% anualiz]]),1)*IF(DATOS!BA$4="Sí",1/DATOS_[[% normaliz]:[% normaliz]],1)*(DATOS_[Conc.Sal.23])))))))),
0)</f>
        <v>0</v>
      </c>
      <c r="AG101" s="196">
        <f t="array" ref="AG101">IFERROR(
(AVERAGE((IF(DATOS_[[Sexo]:[Sexo]]=$B101,IF(DATOS_[[AGRUP. VALOR. PTO.]:[AGRUP. VALOR. PTO.]]=$B99,IF(DATOS_[[Check Periodo Ref.]:[Check Periodo Ref.]]="Dentro",IF(DATOS_[[Check Equiparado]:[Check Equiparado]]="Sí",IF(DATOS!BB$5="Sí",(1/DATOS_[[% anualiz]:[% anualiz]]),1)*IF(DATOS!BB$4="Sí",1/DATOS_[[% normaliz]:[% normaliz]],1)*(DATOS_[Conc.Sal.24])))))))),
0)</f>
        <v>0</v>
      </c>
      <c r="AH101" s="196">
        <f t="array" ref="AH101">IFERROR(
(AVERAGE((IF(DATOS_[[Sexo]:[Sexo]]=$B101,IF(DATOS_[[AGRUP. VALOR. PTO.]:[AGRUP. VALOR. PTO.]]=$B99,IF(DATOS_[[Check Periodo Ref.]:[Check Periodo Ref.]]="Dentro",IF(DATOS_[[Check Equiparado]:[Check Equiparado]]="Sí",IF(DATOS!BC$5="Sí",(1/DATOS_[[% anualiz]:[% anualiz]]),1)*IF(DATOS!BC$4="Sí",1/DATOS_[[% normaliz]:[% normaliz]],1)*(DATOS_[Conc.Sal.25])))))))),
0)</f>
        <v>0</v>
      </c>
      <c r="AI101" s="196">
        <f t="array" ref="AI101">IFERROR(
(AVERAGE((IF(DATOS_[[Sexo]:[Sexo]]=$B101,IF(DATOS_[[AGRUP. VALOR. PTO.]:[AGRUP. VALOR. PTO.]]=$B99,IF(DATOS_[[Check Periodo Ref.]:[Check Periodo Ref.]]="Dentro",IF(DATOS_[[Check Equiparado]:[Check Equiparado]]="Sí",IF(DATOS!BD$5="Sí",(1/DATOS_[[% anualiz]:[% anualiz]]),1)*IF(DATOS!BD$4="Sí",1/DATOS_[[% normaliz]:[% normaliz]],1)*(DATOS_[Conc.Sal.26])))))))),
0)</f>
        <v>0</v>
      </c>
      <c r="AJ101" s="196">
        <f t="array" ref="AJ101">IFERROR(
(AVERAGE((IF(DATOS_[[Sexo]:[Sexo]]=$B101,IF(DATOS_[[AGRUP. VALOR. PTO.]:[AGRUP. VALOR. PTO.]]=$B99,IF(DATOS_[[Check Periodo Ref.]:[Check Periodo Ref.]]="Dentro",IF(DATOS_[[Check Equiparado]:[Check Equiparado]]="Sí",IF(DATOS!BE$5="Sí",(1/DATOS_[[% anualiz]:[% anualiz]]),1)*IF(DATOS!BE$4="Sí",1/DATOS_[[% normaliz]:[% normaliz]],1)*(DATOS_[Conc.Sal.27])))))))),
0)</f>
        <v>0</v>
      </c>
      <c r="AK101" s="196">
        <f t="array" ref="AK101">IFERROR(
(AVERAGE((IF(DATOS_[[Sexo]:[Sexo]]=$B101,IF(DATOS_[[AGRUP. VALOR. PTO.]:[AGRUP. VALOR. PTO.]]=$B99,IF(DATOS_[[Check Periodo Ref.]:[Check Periodo Ref.]]="Dentro",IF(DATOS_[[Check Equiparado]:[Check Equiparado]]="Sí",IF(DATOS!BF$5="Sí",(1/DATOS_[[% anualiz]:[% anualiz]]),1)*IF(DATOS!BF$4="Sí",1/DATOS_[[% normaliz]:[% normaliz]],1)*(DATOS_[Conc.Sal.28])))))))),
0)</f>
        <v>0</v>
      </c>
      <c r="AL101" s="196">
        <f t="array" ref="AL101">IFERROR(
(AVERAGE((IF(DATOS_[[Sexo]:[Sexo]]=$B101,IF(DATOS_[[AGRUP. VALOR. PTO.]:[AGRUP. VALOR. PTO.]]=$B99,IF(DATOS_[[Check Periodo Ref.]:[Check Periodo Ref.]]="Dentro",IF(DATOS_[[Check Equiparado]:[Check Equiparado]]="Sí",IF(DATOS!BG$5="Sí",(1/DATOS_[[% anualiz]:[% anualiz]]),1)*IF(DATOS!BG$4="Sí",1/DATOS_[[% normaliz]:[% normaliz]],1)*(DATOS_[Conc.Sal.29])))))))),
0)</f>
        <v>0</v>
      </c>
      <c r="AM101" s="196">
        <f t="array" ref="AM101">IFERROR(
(AVERAGE((IF(DATOS_[[Sexo]:[Sexo]]=$B101,IF(DATOS_[[AGRUP. VALOR. PTO.]:[AGRUP. VALOR. PTO.]]=$B99,IF(DATOS_[[Check Periodo Ref.]:[Check Periodo Ref.]]="Dentro",IF(DATOS_[[Check Equiparado]:[Check Equiparado]]="Sí",IF(DATOS!BH$5="Sí",(1/DATOS_[[% anualiz]:[% anualiz]]),1)*IF(DATOS!BH$4="Sí",1/DATOS_[[% normaliz]:[% normaliz]],1)*(DATOS_[Conc.Sal.30])))))))),
0)</f>
        <v>0</v>
      </c>
      <c r="AN101" s="195">
        <f t="array" ref="AN101">IFERROR(
AVERAGE(IF(DATOS_[Sexo]=$B101,IF(DATOS_[[AGRUP. VALOR. PTO.]:[AGRUP. VALOR. PTO.]]=$B99,IF(DATOS_[Check Equiparado]="Sí",IF(DATOS_[Check Periodo Ref.]="Dentro",DATOS_[Tot COMPL.SAL Eq],FALSE))))),
0)</f>
        <v>0</v>
      </c>
      <c r="AO101" s="172">
        <f t="array" ref="AO101">IFERROR(
AVERAGE(IF(DATOS_[Sexo]=$B101,IF(DATOS_[[AGRUP. VALOR. PTO.]:[AGRUP. VALOR. PTO.]]=$B99,IF(DATOS_[Check Equiparado]="Sí",IF(DATOS_[Check Periodo Ref.]="Dentro",DATOS_[TOTAL SALARIO Eq],FALSE))))),
0)</f>
        <v>0</v>
      </c>
      <c r="AP101" s="173">
        <f t="array" ref="AP101">IFERROR(
(AVERAGE((IF(DATOS_[[Sexo]:[Sexo]]=$B101,IF(DATOS_[[AGRUP. VALOR. PTO.]:[AGRUP. VALOR. PTO.]]=$B99,IF(DATOS_[[Check Periodo Ref.]:[Check Periodo Ref.]]="Dentro",IF(DATOS_[[Check Equiparado]:[Check Equiparado]]="Sí",IF(DATOS!BW$5="Sí",(1/DATOS_[[% anualiz]:[% anualiz]]),1)*IF(DATOS!BW$4="Sí",1/DATOS_[[% normaliz]:[% normaliz]],1)*(DATOS_[C.Extra.01])))))))),
0)</f>
        <v>0</v>
      </c>
      <c r="AQ101" s="173">
        <f t="array" ref="AQ101">IFERROR(
(AVERAGE((IF(DATOS_[[Sexo]:[Sexo]]=$B101,IF(DATOS_[[AGRUP. VALOR. PTO.]:[AGRUP. VALOR. PTO.]]=$B99,IF(DATOS_[[Check Periodo Ref.]:[Check Periodo Ref.]]="Dentro",IF(DATOS_[[Check Equiparado]:[Check Equiparado]]="Sí",IF(DATOS!CB$5="Sí",(1/DATOS_[[% anualiz]:[% anualiz]]),1)*IF(DATOS!CB$4="Sí",1/DATOS_[[% normaliz]:[% normaliz]],1)*(DATOS_[C.Extra.06])))))))),
0)</f>
        <v>0</v>
      </c>
      <c r="AR101" s="173">
        <f t="array" ref="AR101">IFERROR(
(AVERAGE((IF(DATOS_[[Sexo]:[Sexo]]=$B101,IF(DATOS_[[AGRUP. VALOR. PTO.]:[AGRUP. VALOR. PTO.]]=$B99,IF(DATOS_[[Check Periodo Ref.]:[Check Periodo Ref.]]="Dentro",IF(DATOS_[[Check Equiparado]:[Check Equiparado]]="Sí",IF(DATOS!CC$5="Sí",(1/DATOS_[[% anualiz]:[% anualiz]]),1)*IF(DATOS!CC$4="Sí",1/DATOS_[[% normaliz]:[% normaliz]],1)*(DATOS_[C.Extra.07])))))))),
0)</f>
        <v>0</v>
      </c>
      <c r="AS101" s="173">
        <f t="array" ref="AS101">IFERROR(
(AVERAGE((IF(DATOS_[[Sexo]:[Sexo]]=$B101,IF(DATOS_[[AGRUP. VALOR. PTO.]:[AGRUP. VALOR. PTO.]]=$B99,IF(DATOS_[[Check Periodo Ref.]:[Check Periodo Ref.]]="Dentro",IF(DATOS_[[Check Equiparado]:[Check Equiparado]]="Sí",IF(DATOS!CD$5="Sí",(1/DATOS_[[% anualiz]:[% anualiz]]),1)*IF(DATOS!CD$4="Sí",1/DATOS_[[% normaliz]:[% normaliz]],1)*(DATOS_[C.Extra.08])))))))),
0)</f>
        <v>0</v>
      </c>
      <c r="AT101" s="173">
        <f t="array" ref="AT101">IFERROR(
(AVERAGE((IF(DATOS_[[Sexo]:[Sexo]]=$B101,IF(DATOS_[[AGRUP. VALOR. PTO.]:[AGRUP. VALOR. PTO.]]=$B99,IF(DATOS_[[Check Periodo Ref.]:[Check Periodo Ref.]]="Dentro",IF(DATOS_[[Check Equiparado]:[Check Equiparado]]="Sí",IF(DATOS!CG$5="Sí",(1/DATOS_[[% anualiz]:[% anualiz]]),1)*IF(DATOS!CG$4="Sí",1/DATOS_[[% normaliz]:[% normaliz]],1)*(DATOS_[C.Extra.11])))))))),
0)</f>
        <v>0</v>
      </c>
      <c r="AU101" s="197">
        <f t="array" ref="AU101">IFERROR(
AVERAGE(IF(DATOS_[Sexo]=$B101,IF(DATOS_[[AGRUP. VALOR. PTO.]:[AGRUP. VALOR. PTO.]]=$B99,IF(DATOS_[Check Equiparado]="Sí",IF(DATOS_[Check Periodo Ref.]="Dentro",DATOS_[Tot Extrasalarial Eq],FALSE))))),
0)</f>
        <v>0</v>
      </c>
      <c r="AV101" s="175">
        <f t="array" ref="AV101">IFERROR(
AVERAGE(IF(DATOS_[Sexo]=$B101,IF(DATOS_[[AGRUP. VALOR. PTO.]:[AGRUP. VALOR. PTO.]]=$B99,IF(DATOS_[Check Equiparado]="Sí",IF(DATOS_[Check Periodo Ref.]="Dentro",DATOS_[TOTAL Retrib Eq],FALSE))))),
0)</f>
        <v>0</v>
      </c>
    </row>
    <row r="102" spans="1:48" ht="15.6" thickBot="1" x14ac:dyDescent="0.3">
      <c r="A102" s="133" t="str">
        <f t="shared" ref="A102" si="119">+A103</f>
        <v>[ocultar]</v>
      </c>
      <c r="B102" s="199" t="s">
        <v>290</v>
      </c>
      <c r="C102" s="200"/>
      <c r="D102" s="201"/>
      <c r="E102" s="201"/>
      <c r="F102" s="201"/>
      <c r="G102" s="201"/>
      <c r="H102" s="201"/>
      <c r="I102" s="189" t="str">
        <f t="shared" ref="I102:AV102" si="120">IFERROR((I103-I104)/I103,"")</f>
        <v/>
      </c>
      <c r="J102" s="190" t="str">
        <f t="shared" si="120"/>
        <v/>
      </c>
      <c r="K102" s="191" t="str">
        <f t="shared" si="120"/>
        <v/>
      </c>
      <c r="L102" s="191" t="str">
        <f t="shared" si="120"/>
        <v/>
      </c>
      <c r="M102" s="191" t="str">
        <f t="shared" si="120"/>
        <v/>
      </c>
      <c r="N102" s="192" t="str">
        <f t="shared" si="120"/>
        <v/>
      </c>
      <c r="O102" s="193" t="str">
        <f t="shared" si="120"/>
        <v/>
      </c>
      <c r="P102" s="193" t="str">
        <f t="shared" si="120"/>
        <v/>
      </c>
      <c r="Q102" s="193" t="str">
        <f t="shared" si="120"/>
        <v/>
      </c>
      <c r="R102" s="193" t="str">
        <f t="shared" si="120"/>
        <v/>
      </c>
      <c r="S102" s="193" t="str">
        <f t="shared" si="120"/>
        <v/>
      </c>
      <c r="T102" s="193" t="str">
        <f t="shared" si="120"/>
        <v/>
      </c>
      <c r="U102" s="193" t="str">
        <f t="shared" si="120"/>
        <v/>
      </c>
      <c r="V102" s="193" t="str">
        <f t="shared" si="120"/>
        <v/>
      </c>
      <c r="W102" s="193" t="str">
        <f t="shared" si="120"/>
        <v/>
      </c>
      <c r="X102" s="193" t="str">
        <f t="shared" si="120"/>
        <v/>
      </c>
      <c r="Y102" s="193" t="str">
        <f t="shared" si="120"/>
        <v/>
      </c>
      <c r="Z102" s="193" t="str">
        <f t="shared" si="120"/>
        <v/>
      </c>
      <c r="AA102" s="193" t="str">
        <f t="shared" si="120"/>
        <v/>
      </c>
      <c r="AB102" s="193" t="str">
        <f t="shared" si="120"/>
        <v/>
      </c>
      <c r="AC102" s="193" t="str">
        <f t="shared" si="120"/>
        <v/>
      </c>
      <c r="AD102" s="193" t="str">
        <f t="shared" si="120"/>
        <v/>
      </c>
      <c r="AE102" s="193" t="str">
        <f t="shared" si="120"/>
        <v/>
      </c>
      <c r="AF102" s="193" t="str">
        <f t="shared" si="120"/>
        <v/>
      </c>
      <c r="AG102" s="193" t="str">
        <f t="shared" si="120"/>
        <v/>
      </c>
      <c r="AH102" s="193" t="str">
        <f t="shared" si="120"/>
        <v/>
      </c>
      <c r="AI102" s="193" t="str">
        <f t="shared" si="120"/>
        <v/>
      </c>
      <c r="AJ102" s="193" t="str">
        <f t="shared" si="120"/>
        <v/>
      </c>
      <c r="AK102" s="193" t="str">
        <f t="shared" si="120"/>
        <v/>
      </c>
      <c r="AL102" s="193" t="str">
        <f t="shared" si="120"/>
        <v/>
      </c>
      <c r="AM102" s="193" t="str">
        <f t="shared" si="120"/>
        <v/>
      </c>
      <c r="AN102" s="189" t="str">
        <f t="shared" si="120"/>
        <v/>
      </c>
      <c r="AO102" s="162" t="str">
        <f t="shared" si="120"/>
        <v/>
      </c>
      <c r="AP102" s="163" t="str">
        <f t="shared" si="120"/>
        <v/>
      </c>
      <c r="AQ102" s="163" t="str">
        <f t="shared" si="120"/>
        <v/>
      </c>
      <c r="AR102" s="163" t="str">
        <f t="shared" si="120"/>
        <v/>
      </c>
      <c r="AS102" s="163" t="str">
        <f t="shared" si="120"/>
        <v/>
      </c>
      <c r="AT102" s="163" t="str">
        <f t="shared" si="120"/>
        <v/>
      </c>
      <c r="AU102" s="194" t="str">
        <f t="shared" si="120"/>
        <v/>
      </c>
      <c r="AV102" s="165" t="str">
        <f t="shared" si="120"/>
        <v/>
      </c>
    </row>
    <row r="103" spans="1:48" x14ac:dyDescent="0.25">
      <c r="A103" s="133" t="str">
        <f t="shared" ref="A103" si="121">+IF(C103+C104=0,"[ocultar]","")</f>
        <v>[ocultar]</v>
      </c>
      <c r="B103" s="202" t="s">
        <v>394</v>
      </c>
      <c r="C103" s="203">
        <f t="array" ref="C103">SUM(IF($B103=DATOS_[Sexo],
IF($B102=DATOS_[AGRUP. VALOR. PTO.],
IF("Dentro"=DATOS_[Check Periodo Ref.],
1/(COUNTIFS(DATOS_[Sexo],$B103,DATOS_[AGRUP. VALOR. PTO.],$B102,DATOS_[Check Periodo Ref.],"Dentro",DATOS_[id/cod],DATOS_[id/cod]))))))</f>
        <v>0</v>
      </c>
      <c r="D103" s="204">
        <f>COUNTIFS(DATOS_[AGRUP. VALOR. PTO.],$B102,DATOS_[Sexo],$B103,DATOS_[Check Periodo Ref.],"Dentro")</f>
        <v>0</v>
      </c>
      <c r="E103" s="204">
        <f>COUNTIFS(DATOS_[AGRUP. VALOR. PTO.],$B102,DATOS_[Sexo],$B103,DATOS_[Check Periodo Ref.],"Dentro",DATOS_[Check Nº SC Norm],"Sí")</f>
        <v>0</v>
      </c>
      <c r="F103" s="204">
        <f>COUNTIFS(DATOS_[AGRUP. VALOR. PTO.],$B102,DATOS_[Sexo],$B103,DATOS_[Check Periodo Ref.],"Dentro",DATOS_[Check Nº SC Anualiz],"Sí")</f>
        <v>0</v>
      </c>
      <c r="G103" s="204">
        <f>COUNTIFS(DATOS_[AGRUP. VALOR. PTO.],$B102,DATOS_[Sexo],$B103,DATOS_[Check Periodo Ref.],"Dentro",DATOS_[Check Nº SC Norm y Anualiz],"Sí")</f>
        <v>0</v>
      </c>
      <c r="H103" s="204">
        <f>COUNTIFS(DATOS_[AGRUP. VALOR. PTO.],$B102,DATOS_[Sexo],$B103,DATOS_[Check Periodo Ref.],"Dentro",DATOS_[Check Equiparación],"Sí")</f>
        <v>0</v>
      </c>
      <c r="I103" s="195">
        <f t="array" ref="I103">IFERROR(
AVERAGE(IF(DATOS_[Sexo]=$B103,IF(DATOS_[[AGRUP. VALOR. PTO.]:[AGRUP. VALOR. PTO.]]=$B102,IF(DATOS_[Check Equiparado]="Sí",IF(DATOS_[Check Periodo Ref.]="Dentro",DATOS_[SALARIO BASE Eq],FALSE))))),
0)</f>
        <v>0</v>
      </c>
      <c r="J103" s="196">
        <f t="array" ref="J103">IFERROR(
(AVERAGE((IF(DATOS_[[Sexo]:[Sexo]]=$B103,IF(DATOS_[[AGRUP. VALOR. PTO.]:[AGRUP. VALOR. PTO.]]=$B102,IF(DATOS_[[Check Periodo Ref.]:[Check Periodo Ref.]]="Dentro",IF(DATOS_[[Check Equiparado]:[Check Equiparado]]="Sí",IF(DATOS!AE$5="Sí",(1/DATOS_[[% anualiz]:[% anualiz]]),1)*IF(DATOS!AE$4="Sí",1/DATOS_[[% normaliz]:[% normaliz]],1)*(DATOS_[Conc.Sal.01])))))))),
0)</f>
        <v>0</v>
      </c>
      <c r="K103" s="196">
        <f t="array" ref="K103">IFERROR(
(AVERAGE((IF(DATOS_[[Sexo]:[Sexo]]=$B103,IF(DATOS_[[AGRUP. VALOR. PTO.]:[AGRUP. VALOR. PTO.]]=$B102,IF(DATOS_[[Check Periodo Ref.]:[Check Periodo Ref.]]="Dentro",IF(DATOS_[[Check Equiparado]:[Check Equiparado]]="Sí",IF(DATOS!AF$5="Sí",(1/DATOS_[[% anualiz]:[% anualiz]]),1)*IF(DATOS!AF$4="Sí",1/DATOS_[[% normaliz]:[% normaliz]],1)*(DATOS_[Conc.Sal.02])))))))),
0)</f>
        <v>0</v>
      </c>
      <c r="L103" s="196">
        <f t="array" ref="L103">IFERROR(
(AVERAGE((IF(DATOS_[[Sexo]:[Sexo]]=$B103,IF(DATOS_[[AGRUP. VALOR. PTO.]:[AGRUP. VALOR. PTO.]]=$B102,IF(DATOS_[[Check Periodo Ref.]:[Check Periodo Ref.]]="Dentro",IF(DATOS_[[Check Equiparado]:[Check Equiparado]]="Sí",IF(DATOS!AG$5="Sí",(1/DATOS_[[% anualiz]:[% anualiz]]),1)*IF(DATOS!AG$4="Sí",1/DATOS_[[% normaliz]:[% normaliz]],1)*(DATOS_[Conc.Sal.03])))))))),
0)</f>
        <v>0</v>
      </c>
      <c r="M103" s="196">
        <f t="array" ref="M103">IFERROR(
(AVERAGE((IF(DATOS_[[Sexo]:[Sexo]]=$B103,IF(DATOS_[[AGRUP. VALOR. PTO.]:[AGRUP. VALOR. PTO.]]=$B102,IF(DATOS_[[Check Periodo Ref.]:[Check Periodo Ref.]]="Dentro",IF(DATOS_[[Check Equiparado]:[Check Equiparado]]="Sí",IF(DATOS!AH$5="Sí",(1/DATOS_[[% anualiz]:[% anualiz]]),1)*IF(DATOS!AH$4="Sí",1/DATOS_[[% normaliz]:[% normaliz]],1)*(DATOS_[Conc.Sal.04])))))))),
0)</f>
        <v>0</v>
      </c>
      <c r="N103" s="196">
        <f t="array" ref="N103">IFERROR(
(AVERAGE((IF(DATOS_[[Sexo]:[Sexo]]=$B103,IF(DATOS_[[AGRUP. VALOR. PTO.]:[AGRUP. VALOR. PTO.]]=$B102,IF(DATOS_[[Check Periodo Ref.]:[Check Periodo Ref.]]="Dentro",IF(DATOS_[[Check Equiparado]:[Check Equiparado]]="Sí",IF(DATOS!AI$5="Sí",(1/DATOS_[[% anualiz]:[% anualiz]]),1)*IF(DATOS!AI$4="Sí",1/DATOS_[[% normaliz]:[% normaliz]],1)*(DATOS_[Conc.Sal.05])))))))),
0)</f>
        <v>0</v>
      </c>
      <c r="O103" s="196">
        <f t="array" ref="O103">IFERROR(
(AVERAGE((IF(DATOS_[[Sexo]:[Sexo]]=$B103,IF(DATOS_[[AGRUP. VALOR. PTO.]:[AGRUP. VALOR. PTO.]]=$B102,IF(DATOS_[[Check Periodo Ref.]:[Check Periodo Ref.]]="Dentro",IF(DATOS_[[Check Equiparado]:[Check Equiparado]]="Sí",IF(DATOS!AJ$5="Sí",(1/DATOS_[[% anualiz]:[% anualiz]]),1)*IF(DATOS!AJ$4="Sí",1/DATOS_[[% normaliz]:[% normaliz]],1)*(DATOS_[Conc.Sal.06])))))))),
0)</f>
        <v>0</v>
      </c>
      <c r="P103" s="196">
        <f t="array" ref="P103">IFERROR(
(AVERAGE((IF(DATOS_[[Sexo]:[Sexo]]=$B103,IF(DATOS_[[AGRUP. VALOR. PTO.]:[AGRUP. VALOR. PTO.]]=$B102,IF(DATOS_[[Check Periodo Ref.]:[Check Periodo Ref.]]="Dentro",IF(DATOS_[[Check Equiparado]:[Check Equiparado]]="Sí",IF(DATOS!AK$5="Sí",(1/DATOS_[[% anualiz]:[% anualiz]]),1)*IF(DATOS!AK$4="Sí",1/DATOS_[[% normaliz]:[% normaliz]],1)*(DATOS_[Conc.Sal.07])))))))),
0)</f>
        <v>0</v>
      </c>
      <c r="Q103" s="196">
        <f t="array" ref="Q103">IFERROR(
(AVERAGE((IF(DATOS_[[Sexo]:[Sexo]]=$B103,IF(DATOS_[[AGRUP. VALOR. PTO.]:[AGRUP. VALOR. PTO.]]=$B102,IF(DATOS_[[Check Periodo Ref.]:[Check Periodo Ref.]]="Dentro",IF(DATOS_[[Check Equiparado]:[Check Equiparado]]="Sí",IF(DATOS!AL$5="Sí",(1/DATOS_[[% anualiz]:[% anualiz]]),1)*IF(DATOS!AL$4="Sí",1/DATOS_[[% normaliz]:[% normaliz]],1)*(DATOS_[Conc.Sal.08])))))))),
0)</f>
        <v>0</v>
      </c>
      <c r="R103" s="196">
        <f t="array" ref="R103">IFERROR(
(AVERAGE((IF(DATOS_[[Sexo]:[Sexo]]=$B103,IF(DATOS_[[AGRUP. VALOR. PTO.]:[AGRUP. VALOR. PTO.]]=$B102,IF(DATOS_[[Check Periodo Ref.]:[Check Periodo Ref.]]="Dentro",IF(DATOS_[[Check Equiparado]:[Check Equiparado]]="Sí",IF(DATOS!AM$5="Sí",(1/DATOS_[[% anualiz]:[% anualiz]]),1)*IF(DATOS!AM$4="Sí",1/DATOS_[[% normaliz]:[% normaliz]],1)*(DATOS_[Conc.Sal.09])))))))),
0)</f>
        <v>0</v>
      </c>
      <c r="S103" s="196">
        <f t="array" ref="S103">IFERROR(
(AVERAGE((IF(DATOS_[[Sexo]:[Sexo]]=$B103,IF(DATOS_[[AGRUP. VALOR. PTO.]:[AGRUP. VALOR. PTO.]]=$B102,IF(DATOS_[[Check Periodo Ref.]:[Check Periodo Ref.]]="Dentro",IF(DATOS_[[Check Equiparado]:[Check Equiparado]]="Sí",IF(DATOS!AN$5="Sí",(1/DATOS_[[% anualiz]:[% anualiz]]),1)*IF(DATOS!AN$4="Sí",1/DATOS_[[% normaliz]:[% normaliz]],1)*(DATOS_[Conc.Sal.10])))))))),
0)</f>
        <v>0</v>
      </c>
      <c r="T103" s="196">
        <f t="array" ref="T103">IFERROR(
(AVERAGE((IF(DATOS_[[Sexo]:[Sexo]]=$B103,IF(DATOS_[[AGRUP. VALOR. PTO.]:[AGRUP. VALOR. PTO.]]=$B102,IF(DATOS_[[Check Periodo Ref.]:[Check Periodo Ref.]]="Dentro",IF(DATOS_[[Check Equiparado]:[Check Equiparado]]="Sí",IF(DATOS!AO$5="Sí",(1/DATOS_[[% anualiz]:[% anualiz]]),1)*IF(DATOS!AO$4="Sí",1/DATOS_[[% normaliz]:[% normaliz]],1)*(DATOS_[Conc.Sal.11])))))))),
0)</f>
        <v>0</v>
      </c>
      <c r="U103" s="196">
        <f t="array" ref="U103">IFERROR(
(AVERAGE((IF(DATOS_[[Sexo]:[Sexo]]=$B103,IF(DATOS_[[AGRUP. VALOR. PTO.]:[AGRUP. VALOR. PTO.]]=$B102,IF(DATOS_[[Check Periodo Ref.]:[Check Periodo Ref.]]="Dentro",IF(DATOS_[[Check Equiparado]:[Check Equiparado]]="Sí",IF(DATOS!AP$5="Sí",(1/DATOS_[[% anualiz]:[% anualiz]]),1)*IF(DATOS!AP$4="Sí",1/DATOS_[[% normaliz]:[% normaliz]],1)*(DATOS_[Conc.Sal.12])))))))),
0)</f>
        <v>0</v>
      </c>
      <c r="V103" s="196">
        <f t="array" ref="V103">IFERROR(
(AVERAGE((IF(DATOS_[[Sexo]:[Sexo]]=$B103,IF(DATOS_[[AGRUP. VALOR. PTO.]:[AGRUP. VALOR. PTO.]]=$B102,IF(DATOS_[[Check Periodo Ref.]:[Check Periodo Ref.]]="Dentro",IF(DATOS_[[Check Equiparado]:[Check Equiparado]]="Sí",IF(DATOS!AQ$5="Sí",(1/DATOS_[[% anualiz]:[% anualiz]]),1)*IF(DATOS!AQ$4="Sí",1/DATOS_[[% normaliz]:[% normaliz]],1)*(DATOS_[Conc.Sal.13])))))))),
0)</f>
        <v>0</v>
      </c>
      <c r="W103" s="196">
        <f t="array" ref="W103">IFERROR(
(AVERAGE((IF(DATOS_[[Sexo]:[Sexo]]=$B103,IF(DATOS_[[AGRUP. VALOR. PTO.]:[AGRUP. VALOR. PTO.]]=$B102,IF(DATOS_[[Check Periodo Ref.]:[Check Periodo Ref.]]="Dentro",IF(DATOS_[[Check Equiparado]:[Check Equiparado]]="Sí",IF(DATOS!AR$5="Sí",(1/DATOS_[[% anualiz]:[% anualiz]]),1)*IF(DATOS!AR$4="Sí",1/DATOS_[[% normaliz]:[% normaliz]],1)*(DATOS_[Conc.Sal.14])))))))),
0)</f>
        <v>0</v>
      </c>
      <c r="X103" s="196">
        <f t="array" ref="X103">IFERROR(
(AVERAGE((IF(DATOS_[[Sexo]:[Sexo]]=$B103,IF(DATOS_[[AGRUP. VALOR. PTO.]:[AGRUP. VALOR. PTO.]]=$B102,IF(DATOS_[[Check Periodo Ref.]:[Check Periodo Ref.]]="Dentro",IF(DATOS_[[Check Equiparado]:[Check Equiparado]]="Sí",IF(DATOS!AS$5="Sí",(1/DATOS_[[% anualiz]:[% anualiz]]),1)*IF(DATOS!AS$4="Sí",1/DATOS_[[% normaliz]:[% normaliz]],1)*(DATOS_[Conc.Sal.15])))))))),
0)</f>
        <v>0</v>
      </c>
      <c r="Y103" s="196">
        <f t="array" ref="Y103">IFERROR(
(AVERAGE((IF(DATOS_[[Sexo]:[Sexo]]=$B103,IF(DATOS_[[AGRUP. VALOR. PTO.]:[AGRUP. VALOR. PTO.]]=$B102,IF(DATOS_[[Check Periodo Ref.]:[Check Periodo Ref.]]="Dentro",IF(DATOS_[[Check Equiparado]:[Check Equiparado]]="Sí",IF(DATOS!AT$5="Sí",(1/DATOS_[[% anualiz]:[% anualiz]]),1)*IF(DATOS!AT$4="Sí",1/DATOS_[[% normaliz]:[% normaliz]],1)*(DATOS_[Conc.Sal.16])))))))),
0)</f>
        <v>0</v>
      </c>
      <c r="Z103" s="196">
        <f t="array" ref="Z103">IFERROR(
(AVERAGE((IF(DATOS_[[Sexo]:[Sexo]]=$B103,IF(DATOS_[[AGRUP. VALOR. PTO.]:[AGRUP. VALOR. PTO.]]=$B102,IF(DATOS_[[Check Periodo Ref.]:[Check Periodo Ref.]]="Dentro",IF(DATOS_[[Check Equiparado]:[Check Equiparado]]="Sí",IF(DATOS!AU$5="Sí",(1/DATOS_[[% anualiz]:[% anualiz]]),1)*IF(DATOS!AU$4="Sí",1/DATOS_[[% normaliz]:[% normaliz]],1)*(DATOS_[Conc.Sal.17])))))))),
0)</f>
        <v>0</v>
      </c>
      <c r="AA103" s="196">
        <f t="array" ref="AA103">IFERROR(
(AVERAGE((IF(DATOS_[[Sexo]:[Sexo]]=$B103,IF(DATOS_[[AGRUP. VALOR. PTO.]:[AGRUP. VALOR. PTO.]]=$B102,IF(DATOS_[[Check Periodo Ref.]:[Check Periodo Ref.]]="Dentro",IF(DATOS_[[Check Equiparado]:[Check Equiparado]]="Sí",IF(DATOS!AV$5="Sí",(1/DATOS_[[% anualiz]:[% anualiz]]),1)*IF(DATOS!AV$4="Sí",1/DATOS_[[% normaliz]:[% normaliz]],1)*(DATOS_[Conc.Sal.18])))))))),
0)</f>
        <v>0</v>
      </c>
      <c r="AB103" s="196">
        <f t="array" ref="AB103">IFERROR(
(AVERAGE((IF(DATOS_[[Sexo]:[Sexo]]=$B103,IF(DATOS_[[AGRUP. VALOR. PTO.]:[AGRUP. VALOR. PTO.]]=$B102,IF(DATOS_[[Check Periodo Ref.]:[Check Periodo Ref.]]="Dentro",IF(DATOS_[[Check Equiparado]:[Check Equiparado]]="Sí",IF(DATOS!AW$5="Sí",(1/DATOS_[[% anualiz]:[% anualiz]]),1)*IF(DATOS!AW$4="Sí",1/DATOS_[[% normaliz]:[% normaliz]],1)*(DATOS_[Conc.Sal.19])))))))),
0)</f>
        <v>0</v>
      </c>
      <c r="AC103" s="196">
        <f t="array" ref="AC103">IFERROR(
(AVERAGE((IF(DATOS_[[Sexo]:[Sexo]]=$B103,IF(DATOS_[[AGRUP. VALOR. PTO.]:[AGRUP. VALOR. PTO.]]=$B102,IF(DATOS_[[Check Periodo Ref.]:[Check Periodo Ref.]]="Dentro",IF(DATOS_[[Check Equiparado]:[Check Equiparado]]="Sí",IF(DATOS!AX$5="Sí",(1/DATOS_[[% anualiz]:[% anualiz]]),1)*IF(DATOS!AX$4="Sí",1/DATOS_[[% normaliz]:[% normaliz]],1)*(DATOS_[Conc.Sal.20])))))))),
0)</f>
        <v>0</v>
      </c>
      <c r="AD103" s="196">
        <f t="array" ref="AD103">IFERROR(
(AVERAGE((IF(DATOS_[[Sexo]:[Sexo]]=$B103,IF(DATOS_[[AGRUP. VALOR. PTO.]:[AGRUP. VALOR. PTO.]]=$B102,IF(DATOS_[[Check Periodo Ref.]:[Check Periodo Ref.]]="Dentro",IF(DATOS_[[Check Equiparado]:[Check Equiparado]]="Sí",IF(DATOS!AY$5="Sí",(1/DATOS_[[% anualiz]:[% anualiz]]),1)*IF(DATOS!AY$4="Sí",1/DATOS_[[% normaliz]:[% normaliz]],1)*(DATOS_[Conc.Sal.21])))))))),
0)</f>
        <v>0</v>
      </c>
      <c r="AE103" s="196">
        <f t="array" ref="AE103">IFERROR(
(AVERAGE((IF(DATOS_[[Sexo]:[Sexo]]=$B103,IF(DATOS_[[AGRUP. VALOR. PTO.]:[AGRUP. VALOR. PTO.]]=$B102,IF(DATOS_[[Check Periodo Ref.]:[Check Periodo Ref.]]="Dentro",IF(DATOS_[[Check Equiparado]:[Check Equiparado]]="Sí",IF(DATOS!AZ$5="Sí",(1/DATOS_[[% anualiz]:[% anualiz]]),1)*IF(DATOS!AZ$4="Sí",1/DATOS_[[% normaliz]:[% normaliz]],1)*(DATOS_[Conc.Sal.22])))))))),
0)</f>
        <v>0</v>
      </c>
      <c r="AF103" s="196">
        <f t="array" ref="AF103">IFERROR(
(AVERAGE((IF(DATOS_[[Sexo]:[Sexo]]=$B103,IF(DATOS_[[AGRUP. VALOR. PTO.]:[AGRUP. VALOR. PTO.]]=$B102,IF(DATOS_[[Check Periodo Ref.]:[Check Periodo Ref.]]="Dentro",IF(DATOS_[[Check Equiparado]:[Check Equiparado]]="Sí",IF(DATOS!BA$5="Sí",(1/DATOS_[[% anualiz]:[% anualiz]]),1)*IF(DATOS!BA$4="Sí",1/DATOS_[[% normaliz]:[% normaliz]],1)*(DATOS_[Conc.Sal.23])))))))),
0)</f>
        <v>0</v>
      </c>
      <c r="AG103" s="196">
        <f t="array" ref="AG103">IFERROR(
(AVERAGE((IF(DATOS_[[Sexo]:[Sexo]]=$B103,IF(DATOS_[[AGRUP. VALOR. PTO.]:[AGRUP. VALOR. PTO.]]=$B102,IF(DATOS_[[Check Periodo Ref.]:[Check Periodo Ref.]]="Dentro",IF(DATOS_[[Check Equiparado]:[Check Equiparado]]="Sí",IF(DATOS!BB$5="Sí",(1/DATOS_[[% anualiz]:[% anualiz]]),1)*IF(DATOS!BB$4="Sí",1/DATOS_[[% normaliz]:[% normaliz]],1)*(DATOS_[Conc.Sal.24])))))))),
0)</f>
        <v>0</v>
      </c>
      <c r="AH103" s="196">
        <f t="array" ref="AH103">IFERROR(
(AVERAGE((IF(DATOS_[[Sexo]:[Sexo]]=$B103,IF(DATOS_[[AGRUP. VALOR. PTO.]:[AGRUP. VALOR. PTO.]]=$B102,IF(DATOS_[[Check Periodo Ref.]:[Check Periodo Ref.]]="Dentro",IF(DATOS_[[Check Equiparado]:[Check Equiparado]]="Sí",IF(DATOS!BC$5="Sí",(1/DATOS_[[% anualiz]:[% anualiz]]),1)*IF(DATOS!BC$4="Sí",1/DATOS_[[% normaliz]:[% normaliz]],1)*(DATOS_[Conc.Sal.25])))))))),
0)</f>
        <v>0</v>
      </c>
      <c r="AI103" s="196">
        <f t="array" ref="AI103">IFERROR(
(AVERAGE((IF(DATOS_[[Sexo]:[Sexo]]=$B103,IF(DATOS_[[AGRUP. VALOR. PTO.]:[AGRUP. VALOR. PTO.]]=$B102,IF(DATOS_[[Check Periodo Ref.]:[Check Periodo Ref.]]="Dentro",IF(DATOS_[[Check Equiparado]:[Check Equiparado]]="Sí",IF(DATOS!BD$5="Sí",(1/DATOS_[[% anualiz]:[% anualiz]]),1)*IF(DATOS!BD$4="Sí",1/DATOS_[[% normaliz]:[% normaliz]],1)*(DATOS_[Conc.Sal.26])))))))),
0)</f>
        <v>0</v>
      </c>
      <c r="AJ103" s="196">
        <f t="array" ref="AJ103">IFERROR(
(AVERAGE((IF(DATOS_[[Sexo]:[Sexo]]=$B103,IF(DATOS_[[AGRUP. VALOR. PTO.]:[AGRUP. VALOR. PTO.]]=$B102,IF(DATOS_[[Check Periodo Ref.]:[Check Periodo Ref.]]="Dentro",IF(DATOS_[[Check Equiparado]:[Check Equiparado]]="Sí",IF(DATOS!BE$5="Sí",(1/DATOS_[[% anualiz]:[% anualiz]]),1)*IF(DATOS!BE$4="Sí",1/DATOS_[[% normaliz]:[% normaliz]],1)*(DATOS_[Conc.Sal.27])))))))),
0)</f>
        <v>0</v>
      </c>
      <c r="AK103" s="196">
        <f t="array" ref="AK103">IFERROR(
(AVERAGE((IF(DATOS_[[Sexo]:[Sexo]]=$B103,IF(DATOS_[[AGRUP. VALOR. PTO.]:[AGRUP. VALOR. PTO.]]=$B102,IF(DATOS_[[Check Periodo Ref.]:[Check Periodo Ref.]]="Dentro",IF(DATOS_[[Check Equiparado]:[Check Equiparado]]="Sí",IF(DATOS!BF$5="Sí",(1/DATOS_[[% anualiz]:[% anualiz]]),1)*IF(DATOS!BF$4="Sí",1/DATOS_[[% normaliz]:[% normaliz]],1)*(DATOS_[Conc.Sal.28])))))))),
0)</f>
        <v>0</v>
      </c>
      <c r="AL103" s="196">
        <f t="array" ref="AL103">IFERROR(
(AVERAGE((IF(DATOS_[[Sexo]:[Sexo]]=$B103,IF(DATOS_[[AGRUP. VALOR. PTO.]:[AGRUP. VALOR. PTO.]]=$B102,IF(DATOS_[[Check Periodo Ref.]:[Check Periodo Ref.]]="Dentro",IF(DATOS_[[Check Equiparado]:[Check Equiparado]]="Sí",IF(DATOS!BG$5="Sí",(1/DATOS_[[% anualiz]:[% anualiz]]),1)*IF(DATOS!BG$4="Sí",1/DATOS_[[% normaliz]:[% normaliz]],1)*(DATOS_[Conc.Sal.29])))))))),
0)</f>
        <v>0</v>
      </c>
      <c r="AM103" s="196">
        <f t="array" ref="AM103">IFERROR(
(AVERAGE((IF(DATOS_[[Sexo]:[Sexo]]=$B103,IF(DATOS_[[AGRUP. VALOR. PTO.]:[AGRUP. VALOR. PTO.]]=$B102,IF(DATOS_[[Check Periodo Ref.]:[Check Periodo Ref.]]="Dentro",IF(DATOS_[[Check Equiparado]:[Check Equiparado]]="Sí",IF(DATOS!BH$5="Sí",(1/DATOS_[[% anualiz]:[% anualiz]]),1)*IF(DATOS!BH$4="Sí",1/DATOS_[[% normaliz]:[% normaliz]],1)*(DATOS_[Conc.Sal.30])))))))),
0)</f>
        <v>0</v>
      </c>
      <c r="AN103" s="195">
        <f t="array" ref="AN103">IFERROR(
AVERAGE(IF(DATOS_[Sexo]=$B103,IF(DATOS_[[AGRUP. VALOR. PTO.]:[AGRUP. VALOR. PTO.]]=$B102,IF(DATOS_[Check Equiparado]="Sí",IF(DATOS_[Check Periodo Ref.]="Dentro",DATOS_[Tot COMPL.SAL Eq],FALSE))))),
0)</f>
        <v>0</v>
      </c>
      <c r="AO103" s="172">
        <f t="array" ref="AO103">IFERROR(
AVERAGE(IF(DATOS_[Sexo]=$B103,IF(DATOS_[[AGRUP. VALOR. PTO.]:[AGRUP. VALOR. PTO.]]=$B102,IF(DATOS_[Check Equiparado]="Sí",IF(DATOS_[Check Periodo Ref.]="Dentro",DATOS_[TOTAL SALARIO Eq],FALSE))))),
0)</f>
        <v>0</v>
      </c>
      <c r="AP103" s="173">
        <f t="array" ref="AP103">IFERROR(
(AVERAGE((IF(DATOS_[[Sexo]:[Sexo]]=$B103,IF(DATOS_[[AGRUP. VALOR. PTO.]:[AGRUP. VALOR. PTO.]]=$B102,IF(DATOS_[[Check Periodo Ref.]:[Check Periodo Ref.]]="Dentro",IF(DATOS_[[Check Equiparado]:[Check Equiparado]]="Sí",IF(DATOS!BW$5="Sí",(1/DATOS_[[% anualiz]:[% anualiz]]),1)*IF(DATOS!BW$4="Sí",1/DATOS_[[% normaliz]:[% normaliz]],1)*(DATOS_[C.Extra.01])))))))),
0)</f>
        <v>0</v>
      </c>
      <c r="AQ103" s="173">
        <f t="array" ref="AQ103">IFERROR(
(AVERAGE((IF(DATOS_[[Sexo]:[Sexo]]=$B103,IF(DATOS_[[AGRUP. VALOR. PTO.]:[AGRUP. VALOR. PTO.]]=$B102,IF(DATOS_[[Check Periodo Ref.]:[Check Periodo Ref.]]="Dentro",IF(DATOS_[[Check Equiparado]:[Check Equiparado]]="Sí",IF(DATOS!CB$5="Sí",(1/DATOS_[[% anualiz]:[% anualiz]]),1)*IF(DATOS!CB$4="Sí",1/DATOS_[[% normaliz]:[% normaliz]],1)*(DATOS_[C.Extra.06])))))))),
0)</f>
        <v>0</v>
      </c>
      <c r="AR103" s="173">
        <f t="array" ref="AR103">IFERROR(
(AVERAGE((IF(DATOS_[[Sexo]:[Sexo]]=$B103,IF(DATOS_[[AGRUP. VALOR. PTO.]:[AGRUP. VALOR. PTO.]]=$B102,IF(DATOS_[[Check Periodo Ref.]:[Check Periodo Ref.]]="Dentro",IF(DATOS_[[Check Equiparado]:[Check Equiparado]]="Sí",IF(DATOS!CC$5="Sí",(1/DATOS_[[% anualiz]:[% anualiz]]),1)*IF(DATOS!CC$4="Sí",1/DATOS_[[% normaliz]:[% normaliz]],1)*(DATOS_[C.Extra.07])))))))),
0)</f>
        <v>0</v>
      </c>
      <c r="AS103" s="173">
        <f t="array" ref="AS103">IFERROR(
(AVERAGE((IF(DATOS_[[Sexo]:[Sexo]]=$B103,IF(DATOS_[[AGRUP. VALOR. PTO.]:[AGRUP. VALOR. PTO.]]=$B102,IF(DATOS_[[Check Periodo Ref.]:[Check Periodo Ref.]]="Dentro",IF(DATOS_[[Check Equiparado]:[Check Equiparado]]="Sí",IF(DATOS!CD$5="Sí",(1/DATOS_[[% anualiz]:[% anualiz]]),1)*IF(DATOS!CD$4="Sí",1/DATOS_[[% normaliz]:[% normaliz]],1)*(DATOS_[C.Extra.08])))))))),
0)</f>
        <v>0</v>
      </c>
      <c r="AT103" s="173">
        <f t="array" ref="AT103">IFERROR(
(AVERAGE((IF(DATOS_[[Sexo]:[Sexo]]=$B103,IF(DATOS_[[AGRUP. VALOR. PTO.]:[AGRUP. VALOR. PTO.]]=$B102,IF(DATOS_[[Check Periodo Ref.]:[Check Periodo Ref.]]="Dentro",IF(DATOS_[[Check Equiparado]:[Check Equiparado]]="Sí",IF(DATOS!CG$5="Sí",(1/DATOS_[[% anualiz]:[% anualiz]]),1)*IF(DATOS!CG$4="Sí",1/DATOS_[[% normaliz]:[% normaliz]],1)*(DATOS_[C.Extra.11])))))))),
0)</f>
        <v>0</v>
      </c>
      <c r="AU103" s="197">
        <f t="array" ref="AU103">IFERROR(
AVERAGE(IF(DATOS_[Sexo]=$B103,IF(DATOS_[[AGRUP. VALOR. PTO.]:[AGRUP. VALOR. PTO.]]=$B102,IF(DATOS_[Check Equiparado]="Sí",IF(DATOS_[Check Periodo Ref.]="Dentro",DATOS_[Tot Extrasalarial Eq],FALSE))))),
0)</f>
        <v>0</v>
      </c>
      <c r="AV103" s="175">
        <f t="array" ref="AV103">IFERROR(
AVERAGE(IF(DATOS_[Sexo]=$B103,IF(DATOS_[[AGRUP. VALOR. PTO.]:[AGRUP. VALOR. PTO.]]=$B102,IF(DATOS_[Check Equiparado]="Sí",IF(DATOS_[Check Periodo Ref.]="Dentro",DATOS_[TOTAL Retrib Eq],FALSE))))),
0)</f>
        <v>0</v>
      </c>
    </row>
    <row r="104" spans="1:48" x14ac:dyDescent="0.25">
      <c r="A104" s="133" t="str">
        <f t="shared" ref="A104" si="122">+A103</f>
        <v>[ocultar]</v>
      </c>
      <c r="B104" s="202" t="s">
        <v>521</v>
      </c>
      <c r="C104" s="203">
        <f t="array" ref="C104">SUM(IF($B104=DATOS_[Sexo],
IF($B102=DATOS_[AGRUP. VALOR. PTO.],
IF("Dentro"=DATOS_[Check Periodo Ref.],
1/(COUNTIFS(DATOS_[Sexo],$B104,DATOS_[AGRUP. VALOR. PTO.],$B102,DATOS_[Check Periodo Ref.],"Dentro",DATOS_[id/cod],DATOS_[id/cod]))))))</f>
        <v>0</v>
      </c>
      <c r="D104" s="204">
        <f>COUNTIFS(DATOS_[AGRUP. VALOR. PTO.],$B102,DATOS_[Sexo],$B104,DATOS_[Check Periodo Ref.],"Dentro")</f>
        <v>0</v>
      </c>
      <c r="E104" s="204">
        <f>COUNTIFS(DATOS_[AGRUP. VALOR. PTO.],$B102,DATOS_[Sexo],$B104,DATOS_[Check Periodo Ref.],"Dentro",DATOS_[Check Nº SC Norm],"Sí")</f>
        <v>0</v>
      </c>
      <c r="F104" s="204">
        <f>COUNTIFS(DATOS_[AGRUP. VALOR. PTO.],$B102,DATOS_[Sexo],$B104,DATOS_[Check Periodo Ref.],"Dentro",DATOS_[Check Nº SC Anualiz],"Sí")</f>
        <v>0</v>
      </c>
      <c r="G104" s="204">
        <f>COUNTIFS(DATOS_[AGRUP. VALOR. PTO.],$B102,DATOS_[Sexo],$B104,DATOS_[Check Periodo Ref.],"Dentro",DATOS_[Check Nº SC Norm y Anualiz],"Sí")</f>
        <v>0</v>
      </c>
      <c r="H104" s="204">
        <f>COUNTIFS(DATOS_[AGRUP. VALOR. PTO.],$B102,DATOS_[Sexo],$B104,DATOS_[Check Periodo Ref.],"Dentro",DATOS_[Check Equiparación],"Sí")</f>
        <v>0</v>
      </c>
      <c r="I104" s="195" cm="1">
        <f t="array" ref="I104">IFERROR(
AVERAGE(IF(DATOS_[Sexo]=$B104,IF(DATOS_[[AGRUP. VALOR. PTO.]:[AGRUP. VALOR. PTO.]]=$B102,IF(DATOS_[Check Equiparado]="Sí",IF(DATOS_[Check Periodo Ref.]="Dentro",DATOS_[SALARIO BASE Eq],FALSE))))),
0)</f>
        <v>0</v>
      </c>
      <c r="J104" s="196">
        <f t="array" ref="J104">IFERROR(
(AVERAGE((IF(DATOS_[[Sexo]:[Sexo]]=$B104,IF(DATOS_[[AGRUP. VALOR. PTO.]:[AGRUP. VALOR. PTO.]]=$B102,IF(DATOS_[[Check Periodo Ref.]:[Check Periodo Ref.]]="Dentro",IF(DATOS_[[Check Equiparado]:[Check Equiparado]]="Sí",IF(DATOS!AE$5="Sí",(1/DATOS_[[% anualiz]:[% anualiz]]),1)*IF(DATOS!AE$4="Sí",1/DATOS_[[% normaliz]:[% normaliz]],1)*(DATOS_[Conc.Sal.01])))))))),
0)</f>
        <v>0</v>
      </c>
      <c r="K104" s="196">
        <f t="array" ref="K104">IFERROR(
(AVERAGE((IF(DATOS_[[Sexo]:[Sexo]]=$B104,IF(DATOS_[[AGRUP. VALOR. PTO.]:[AGRUP. VALOR. PTO.]]=$B102,IF(DATOS_[[Check Periodo Ref.]:[Check Periodo Ref.]]="Dentro",IF(DATOS_[[Check Equiparado]:[Check Equiparado]]="Sí",IF(DATOS!AF$5="Sí",(1/DATOS_[[% anualiz]:[% anualiz]]),1)*IF(DATOS!AF$4="Sí",1/DATOS_[[% normaliz]:[% normaliz]],1)*(DATOS_[Conc.Sal.02])))))))),
0)</f>
        <v>0</v>
      </c>
      <c r="L104" s="196">
        <f t="array" ref="L104">IFERROR(
(AVERAGE((IF(DATOS_[[Sexo]:[Sexo]]=$B104,IF(DATOS_[[AGRUP. VALOR. PTO.]:[AGRUP. VALOR. PTO.]]=$B102,IF(DATOS_[[Check Periodo Ref.]:[Check Periodo Ref.]]="Dentro",IF(DATOS_[[Check Equiparado]:[Check Equiparado]]="Sí",IF(DATOS!AG$5="Sí",(1/DATOS_[[% anualiz]:[% anualiz]]),1)*IF(DATOS!AG$4="Sí",1/DATOS_[[% normaliz]:[% normaliz]],1)*(DATOS_[Conc.Sal.03])))))))),
0)</f>
        <v>0</v>
      </c>
      <c r="M104" s="196">
        <f t="array" ref="M104">IFERROR(
(AVERAGE((IF(DATOS_[[Sexo]:[Sexo]]=$B104,IF(DATOS_[[AGRUP. VALOR. PTO.]:[AGRUP. VALOR. PTO.]]=$B102,IF(DATOS_[[Check Periodo Ref.]:[Check Periodo Ref.]]="Dentro",IF(DATOS_[[Check Equiparado]:[Check Equiparado]]="Sí",IF(DATOS!AH$5="Sí",(1/DATOS_[[% anualiz]:[% anualiz]]),1)*IF(DATOS!AH$4="Sí",1/DATOS_[[% normaliz]:[% normaliz]],1)*(DATOS_[Conc.Sal.04])))))))),
0)</f>
        <v>0</v>
      </c>
      <c r="N104" s="196">
        <f t="array" ref="N104">IFERROR(
(AVERAGE((IF(DATOS_[[Sexo]:[Sexo]]=$B104,IF(DATOS_[[AGRUP. VALOR. PTO.]:[AGRUP. VALOR. PTO.]]=$B102,IF(DATOS_[[Check Periodo Ref.]:[Check Periodo Ref.]]="Dentro",IF(DATOS_[[Check Equiparado]:[Check Equiparado]]="Sí",IF(DATOS!AI$5="Sí",(1/DATOS_[[% anualiz]:[% anualiz]]),1)*IF(DATOS!AI$4="Sí",1/DATOS_[[% normaliz]:[% normaliz]],1)*(DATOS_[Conc.Sal.05])))))))),
0)</f>
        <v>0</v>
      </c>
      <c r="O104" s="196">
        <f t="array" ref="O104">IFERROR(
(AVERAGE((IF(DATOS_[[Sexo]:[Sexo]]=$B104,IF(DATOS_[[AGRUP. VALOR. PTO.]:[AGRUP. VALOR. PTO.]]=$B102,IF(DATOS_[[Check Periodo Ref.]:[Check Periodo Ref.]]="Dentro",IF(DATOS_[[Check Equiparado]:[Check Equiparado]]="Sí",IF(DATOS!AJ$5="Sí",(1/DATOS_[[% anualiz]:[% anualiz]]),1)*IF(DATOS!AJ$4="Sí",1/DATOS_[[% normaliz]:[% normaliz]],1)*(DATOS_[Conc.Sal.06])))))))),
0)</f>
        <v>0</v>
      </c>
      <c r="P104" s="196">
        <f t="array" ref="P104">IFERROR(
(AVERAGE((IF(DATOS_[[Sexo]:[Sexo]]=$B104,IF(DATOS_[[AGRUP. VALOR. PTO.]:[AGRUP. VALOR. PTO.]]=$B102,IF(DATOS_[[Check Periodo Ref.]:[Check Periodo Ref.]]="Dentro",IF(DATOS_[[Check Equiparado]:[Check Equiparado]]="Sí",IF(DATOS!AK$5="Sí",(1/DATOS_[[% anualiz]:[% anualiz]]),1)*IF(DATOS!AK$4="Sí",1/DATOS_[[% normaliz]:[% normaliz]],1)*(DATOS_[Conc.Sal.07])))))))),
0)</f>
        <v>0</v>
      </c>
      <c r="Q104" s="196">
        <f t="array" ref="Q104">IFERROR(
(AVERAGE((IF(DATOS_[[Sexo]:[Sexo]]=$B104,IF(DATOS_[[AGRUP. VALOR. PTO.]:[AGRUP. VALOR. PTO.]]=$B102,IF(DATOS_[[Check Periodo Ref.]:[Check Periodo Ref.]]="Dentro",IF(DATOS_[[Check Equiparado]:[Check Equiparado]]="Sí",IF(DATOS!AL$5="Sí",(1/DATOS_[[% anualiz]:[% anualiz]]),1)*IF(DATOS!AL$4="Sí",1/DATOS_[[% normaliz]:[% normaliz]],1)*(DATOS_[Conc.Sal.08])))))))),
0)</f>
        <v>0</v>
      </c>
      <c r="R104" s="196">
        <f t="array" ref="R104">IFERROR(
(AVERAGE((IF(DATOS_[[Sexo]:[Sexo]]=$B104,IF(DATOS_[[AGRUP. VALOR. PTO.]:[AGRUP. VALOR. PTO.]]=$B102,IF(DATOS_[[Check Periodo Ref.]:[Check Periodo Ref.]]="Dentro",IF(DATOS_[[Check Equiparado]:[Check Equiparado]]="Sí",IF(DATOS!AM$5="Sí",(1/DATOS_[[% anualiz]:[% anualiz]]),1)*IF(DATOS!AM$4="Sí",1/DATOS_[[% normaliz]:[% normaliz]],1)*(DATOS_[Conc.Sal.09])))))))),
0)</f>
        <v>0</v>
      </c>
      <c r="S104" s="196">
        <f t="array" ref="S104">IFERROR(
(AVERAGE((IF(DATOS_[[Sexo]:[Sexo]]=$B104,IF(DATOS_[[AGRUP. VALOR. PTO.]:[AGRUP. VALOR. PTO.]]=$B102,IF(DATOS_[[Check Periodo Ref.]:[Check Periodo Ref.]]="Dentro",IF(DATOS_[[Check Equiparado]:[Check Equiparado]]="Sí",IF(DATOS!AN$5="Sí",(1/DATOS_[[% anualiz]:[% anualiz]]),1)*IF(DATOS!AN$4="Sí",1/DATOS_[[% normaliz]:[% normaliz]],1)*(DATOS_[Conc.Sal.10])))))))),
0)</f>
        <v>0</v>
      </c>
      <c r="T104" s="196">
        <f t="array" ref="T104">IFERROR(
(AVERAGE((IF(DATOS_[[Sexo]:[Sexo]]=$B104,IF(DATOS_[[AGRUP. VALOR. PTO.]:[AGRUP. VALOR. PTO.]]=$B102,IF(DATOS_[[Check Periodo Ref.]:[Check Periodo Ref.]]="Dentro",IF(DATOS_[[Check Equiparado]:[Check Equiparado]]="Sí",IF(DATOS!AO$5="Sí",(1/DATOS_[[% anualiz]:[% anualiz]]),1)*IF(DATOS!AO$4="Sí",1/DATOS_[[% normaliz]:[% normaliz]],1)*(DATOS_[Conc.Sal.11])))))))),
0)</f>
        <v>0</v>
      </c>
      <c r="U104" s="196">
        <f t="array" ref="U104">IFERROR(
(AVERAGE((IF(DATOS_[[Sexo]:[Sexo]]=$B104,IF(DATOS_[[AGRUP. VALOR. PTO.]:[AGRUP. VALOR. PTO.]]=$B102,IF(DATOS_[[Check Periodo Ref.]:[Check Periodo Ref.]]="Dentro",IF(DATOS_[[Check Equiparado]:[Check Equiparado]]="Sí",IF(DATOS!AP$5="Sí",(1/DATOS_[[% anualiz]:[% anualiz]]),1)*IF(DATOS!AP$4="Sí",1/DATOS_[[% normaliz]:[% normaliz]],1)*(DATOS_[Conc.Sal.12])))))))),
0)</f>
        <v>0</v>
      </c>
      <c r="V104" s="196">
        <f t="array" ref="V104">IFERROR(
(AVERAGE((IF(DATOS_[[Sexo]:[Sexo]]=$B104,IF(DATOS_[[AGRUP. VALOR. PTO.]:[AGRUP. VALOR. PTO.]]=$B102,IF(DATOS_[[Check Periodo Ref.]:[Check Periodo Ref.]]="Dentro",IF(DATOS_[[Check Equiparado]:[Check Equiparado]]="Sí",IF(DATOS!AQ$5="Sí",(1/DATOS_[[% anualiz]:[% anualiz]]),1)*IF(DATOS!AQ$4="Sí",1/DATOS_[[% normaliz]:[% normaliz]],1)*(DATOS_[Conc.Sal.13])))))))),
0)</f>
        <v>0</v>
      </c>
      <c r="W104" s="196">
        <f t="array" ref="W104">IFERROR(
(AVERAGE((IF(DATOS_[[Sexo]:[Sexo]]=$B104,IF(DATOS_[[AGRUP. VALOR. PTO.]:[AGRUP. VALOR. PTO.]]=$B102,IF(DATOS_[[Check Periodo Ref.]:[Check Periodo Ref.]]="Dentro",IF(DATOS_[[Check Equiparado]:[Check Equiparado]]="Sí",IF(DATOS!AR$5="Sí",(1/DATOS_[[% anualiz]:[% anualiz]]),1)*IF(DATOS!AR$4="Sí",1/DATOS_[[% normaliz]:[% normaliz]],1)*(DATOS_[Conc.Sal.14])))))))),
0)</f>
        <v>0</v>
      </c>
      <c r="X104" s="196">
        <f t="array" ref="X104">IFERROR(
(AVERAGE((IF(DATOS_[[Sexo]:[Sexo]]=$B104,IF(DATOS_[[AGRUP. VALOR. PTO.]:[AGRUP. VALOR. PTO.]]=$B102,IF(DATOS_[[Check Periodo Ref.]:[Check Periodo Ref.]]="Dentro",IF(DATOS_[[Check Equiparado]:[Check Equiparado]]="Sí",IF(DATOS!AS$5="Sí",(1/DATOS_[[% anualiz]:[% anualiz]]),1)*IF(DATOS!AS$4="Sí",1/DATOS_[[% normaliz]:[% normaliz]],1)*(DATOS_[Conc.Sal.15])))))))),
0)</f>
        <v>0</v>
      </c>
      <c r="Y104" s="196">
        <f t="array" ref="Y104">IFERROR(
(AVERAGE((IF(DATOS_[[Sexo]:[Sexo]]=$B104,IF(DATOS_[[AGRUP. VALOR. PTO.]:[AGRUP. VALOR. PTO.]]=$B102,IF(DATOS_[[Check Periodo Ref.]:[Check Periodo Ref.]]="Dentro",IF(DATOS_[[Check Equiparado]:[Check Equiparado]]="Sí",IF(DATOS!AT$5="Sí",(1/DATOS_[[% anualiz]:[% anualiz]]),1)*IF(DATOS!AT$4="Sí",1/DATOS_[[% normaliz]:[% normaliz]],1)*(DATOS_[Conc.Sal.16])))))))),
0)</f>
        <v>0</v>
      </c>
      <c r="Z104" s="196">
        <f t="array" ref="Z104">IFERROR(
(AVERAGE((IF(DATOS_[[Sexo]:[Sexo]]=$B104,IF(DATOS_[[AGRUP. VALOR. PTO.]:[AGRUP. VALOR. PTO.]]=$B102,IF(DATOS_[[Check Periodo Ref.]:[Check Periodo Ref.]]="Dentro",IF(DATOS_[[Check Equiparado]:[Check Equiparado]]="Sí",IF(DATOS!AU$5="Sí",(1/DATOS_[[% anualiz]:[% anualiz]]),1)*IF(DATOS!AU$4="Sí",1/DATOS_[[% normaliz]:[% normaliz]],1)*(DATOS_[Conc.Sal.17])))))))),
0)</f>
        <v>0</v>
      </c>
      <c r="AA104" s="196">
        <f t="array" ref="AA104">IFERROR(
(AVERAGE((IF(DATOS_[[Sexo]:[Sexo]]=$B104,IF(DATOS_[[AGRUP. VALOR. PTO.]:[AGRUP. VALOR. PTO.]]=$B102,IF(DATOS_[[Check Periodo Ref.]:[Check Periodo Ref.]]="Dentro",IF(DATOS_[[Check Equiparado]:[Check Equiparado]]="Sí",IF(DATOS!AV$5="Sí",(1/DATOS_[[% anualiz]:[% anualiz]]),1)*IF(DATOS!AV$4="Sí",1/DATOS_[[% normaliz]:[% normaliz]],1)*(DATOS_[Conc.Sal.18])))))))),
0)</f>
        <v>0</v>
      </c>
      <c r="AB104" s="196">
        <f t="array" ref="AB104">IFERROR(
(AVERAGE((IF(DATOS_[[Sexo]:[Sexo]]=$B104,IF(DATOS_[[AGRUP. VALOR. PTO.]:[AGRUP. VALOR. PTO.]]=$B102,IF(DATOS_[[Check Periodo Ref.]:[Check Periodo Ref.]]="Dentro",IF(DATOS_[[Check Equiparado]:[Check Equiparado]]="Sí",IF(DATOS!AW$5="Sí",(1/DATOS_[[% anualiz]:[% anualiz]]),1)*IF(DATOS!AW$4="Sí",1/DATOS_[[% normaliz]:[% normaliz]],1)*(DATOS_[Conc.Sal.19])))))))),
0)</f>
        <v>0</v>
      </c>
      <c r="AC104" s="196">
        <f t="array" ref="AC104">IFERROR(
(AVERAGE((IF(DATOS_[[Sexo]:[Sexo]]=$B104,IF(DATOS_[[AGRUP. VALOR. PTO.]:[AGRUP. VALOR. PTO.]]=$B102,IF(DATOS_[[Check Periodo Ref.]:[Check Periodo Ref.]]="Dentro",IF(DATOS_[[Check Equiparado]:[Check Equiparado]]="Sí",IF(DATOS!AX$5="Sí",(1/DATOS_[[% anualiz]:[% anualiz]]),1)*IF(DATOS!AX$4="Sí",1/DATOS_[[% normaliz]:[% normaliz]],1)*(DATOS_[Conc.Sal.20])))))))),
0)</f>
        <v>0</v>
      </c>
      <c r="AD104" s="196">
        <f t="array" ref="AD104">IFERROR(
(AVERAGE((IF(DATOS_[[Sexo]:[Sexo]]=$B104,IF(DATOS_[[AGRUP. VALOR. PTO.]:[AGRUP. VALOR. PTO.]]=$B102,IF(DATOS_[[Check Periodo Ref.]:[Check Periodo Ref.]]="Dentro",IF(DATOS_[[Check Equiparado]:[Check Equiparado]]="Sí",IF(DATOS!AY$5="Sí",(1/DATOS_[[% anualiz]:[% anualiz]]),1)*IF(DATOS!AY$4="Sí",1/DATOS_[[% normaliz]:[% normaliz]],1)*(DATOS_[Conc.Sal.21])))))))),
0)</f>
        <v>0</v>
      </c>
      <c r="AE104" s="196">
        <f t="array" ref="AE104">IFERROR(
(AVERAGE((IF(DATOS_[[Sexo]:[Sexo]]=$B104,IF(DATOS_[[AGRUP. VALOR. PTO.]:[AGRUP. VALOR. PTO.]]=$B102,IF(DATOS_[[Check Periodo Ref.]:[Check Periodo Ref.]]="Dentro",IF(DATOS_[[Check Equiparado]:[Check Equiparado]]="Sí",IF(DATOS!AZ$5="Sí",(1/DATOS_[[% anualiz]:[% anualiz]]),1)*IF(DATOS!AZ$4="Sí",1/DATOS_[[% normaliz]:[% normaliz]],1)*(DATOS_[Conc.Sal.22])))))))),
0)</f>
        <v>0</v>
      </c>
      <c r="AF104" s="196">
        <f t="array" ref="AF104">IFERROR(
(AVERAGE((IF(DATOS_[[Sexo]:[Sexo]]=$B104,IF(DATOS_[[AGRUP. VALOR. PTO.]:[AGRUP. VALOR. PTO.]]=$B102,IF(DATOS_[[Check Periodo Ref.]:[Check Periodo Ref.]]="Dentro",IF(DATOS_[[Check Equiparado]:[Check Equiparado]]="Sí",IF(DATOS!BA$5="Sí",(1/DATOS_[[% anualiz]:[% anualiz]]),1)*IF(DATOS!BA$4="Sí",1/DATOS_[[% normaliz]:[% normaliz]],1)*(DATOS_[Conc.Sal.23])))))))),
0)</f>
        <v>0</v>
      </c>
      <c r="AG104" s="196">
        <f t="array" ref="AG104">IFERROR(
(AVERAGE((IF(DATOS_[[Sexo]:[Sexo]]=$B104,IF(DATOS_[[AGRUP. VALOR. PTO.]:[AGRUP. VALOR. PTO.]]=$B102,IF(DATOS_[[Check Periodo Ref.]:[Check Periodo Ref.]]="Dentro",IF(DATOS_[[Check Equiparado]:[Check Equiparado]]="Sí",IF(DATOS!BB$5="Sí",(1/DATOS_[[% anualiz]:[% anualiz]]),1)*IF(DATOS!BB$4="Sí",1/DATOS_[[% normaliz]:[% normaliz]],1)*(DATOS_[Conc.Sal.24])))))))),
0)</f>
        <v>0</v>
      </c>
      <c r="AH104" s="196">
        <f t="array" ref="AH104">IFERROR(
(AVERAGE((IF(DATOS_[[Sexo]:[Sexo]]=$B104,IF(DATOS_[[AGRUP. VALOR. PTO.]:[AGRUP. VALOR. PTO.]]=$B102,IF(DATOS_[[Check Periodo Ref.]:[Check Periodo Ref.]]="Dentro",IF(DATOS_[[Check Equiparado]:[Check Equiparado]]="Sí",IF(DATOS!BC$5="Sí",(1/DATOS_[[% anualiz]:[% anualiz]]),1)*IF(DATOS!BC$4="Sí",1/DATOS_[[% normaliz]:[% normaliz]],1)*(DATOS_[Conc.Sal.25])))))))),
0)</f>
        <v>0</v>
      </c>
      <c r="AI104" s="196">
        <f t="array" ref="AI104">IFERROR(
(AVERAGE((IF(DATOS_[[Sexo]:[Sexo]]=$B104,IF(DATOS_[[AGRUP. VALOR. PTO.]:[AGRUP. VALOR. PTO.]]=$B102,IF(DATOS_[[Check Periodo Ref.]:[Check Periodo Ref.]]="Dentro",IF(DATOS_[[Check Equiparado]:[Check Equiparado]]="Sí",IF(DATOS!BD$5="Sí",(1/DATOS_[[% anualiz]:[% anualiz]]),1)*IF(DATOS!BD$4="Sí",1/DATOS_[[% normaliz]:[% normaliz]],1)*(DATOS_[Conc.Sal.26])))))))),
0)</f>
        <v>0</v>
      </c>
      <c r="AJ104" s="196">
        <f t="array" ref="AJ104">IFERROR(
(AVERAGE((IF(DATOS_[[Sexo]:[Sexo]]=$B104,IF(DATOS_[[AGRUP. VALOR. PTO.]:[AGRUP. VALOR. PTO.]]=$B102,IF(DATOS_[[Check Periodo Ref.]:[Check Periodo Ref.]]="Dentro",IF(DATOS_[[Check Equiparado]:[Check Equiparado]]="Sí",IF(DATOS!BE$5="Sí",(1/DATOS_[[% anualiz]:[% anualiz]]),1)*IF(DATOS!BE$4="Sí",1/DATOS_[[% normaliz]:[% normaliz]],1)*(DATOS_[Conc.Sal.27])))))))),
0)</f>
        <v>0</v>
      </c>
      <c r="AK104" s="196">
        <f t="array" ref="AK104">IFERROR(
(AVERAGE((IF(DATOS_[[Sexo]:[Sexo]]=$B104,IF(DATOS_[[AGRUP. VALOR. PTO.]:[AGRUP. VALOR. PTO.]]=$B102,IF(DATOS_[[Check Periodo Ref.]:[Check Periodo Ref.]]="Dentro",IF(DATOS_[[Check Equiparado]:[Check Equiparado]]="Sí",IF(DATOS!BF$5="Sí",(1/DATOS_[[% anualiz]:[% anualiz]]),1)*IF(DATOS!BF$4="Sí",1/DATOS_[[% normaliz]:[% normaliz]],1)*(DATOS_[Conc.Sal.28])))))))),
0)</f>
        <v>0</v>
      </c>
      <c r="AL104" s="196">
        <f t="array" ref="AL104">IFERROR(
(AVERAGE((IF(DATOS_[[Sexo]:[Sexo]]=$B104,IF(DATOS_[[AGRUP. VALOR. PTO.]:[AGRUP. VALOR. PTO.]]=$B102,IF(DATOS_[[Check Periodo Ref.]:[Check Periodo Ref.]]="Dentro",IF(DATOS_[[Check Equiparado]:[Check Equiparado]]="Sí",IF(DATOS!BG$5="Sí",(1/DATOS_[[% anualiz]:[% anualiz]]),1)*IF(DATOS!BG$4="Sí",1/DATOS_[[% normaliz]:[% normaliz]],1)*(DATOS_[Conc.Sal.29])))))))),
0)</f>
        <v>0</v>
      </c>
      <c r="AM104" s="196">
        <f t="array" ref="AM104">IFERROR(
(AVERAGE((IF(DATOS_[[Sexo]:[Sexo]]=$B104,IF(DATOS_[[AGRUP. VALOR. PTO.]:[AGRUP. VALOR. PTO.]]=$B102,IF(DATOS_[[Check Periodo Ref.]:[Check Periodo Ref.]]="Dentro",IF(DATOS_[[Check Equiparado]:[Check Equiparado]]="Sí",IF(DATOS!BH$5="Sí",(1/DATOS_[[% anualiz]:[% anualiz]]),1)*IF(DATOS!BH$4="Sí",1/DATOS_[[% normaliz]:[% normaliz]],1)*(DATOS_[Conc.Sal.30])))))))),
0)</f>
        <v>0</v>
      </c>
      <c r="AN104" s="195">
        <f t="array" ref="AN104">IFERROR(
AVERAGE(IF(DATOS_[Sexo]=$B104,IF(DATOS_[[AGRUP. VALOR. PTO.]:[AGRUP. VALOR. PTO.]]=$B102,IF(DATOS_[Check Equiparado]="Sí",IF(DATOS_[Check Periodo Ref.]="Dentro",DATOS_[Tot COMPL.SAL Eq],FALSE))))),
0)</f>
        <v>0</v>
      </c>
      <c r="AO104" s="172">
        <f t="array" ref="AO104">IFERROR(
AVERAGE(IF(DATOS_[Sexo]=$B104,IF(DATOS_[[AGRUP. VALOR. PTO.]:[AGRUP. VALOR. PTO.]]=$B102,IF(DATOS_[Check Equiparado]="Sí",IF(DATOS_[Check Periodo Ref.]="Dentro",DATOS_[TOTAL SALARIO Eq],FALSE))))),
0)</f>
        <v>0</v>
      </c>
      <c r="AP104" s="173">
        <f t="array" ref="AP104">IFERROR(
(AVERAGE((IF(DATOS_[[Sexo]:[Sexo]]=$B104,IF(DATOS_[[AGRUP. VALOR. PTO.]:[AGRUP. VALOR. PTO.]]=$B102,IF(DATOS_[[Check Periodo Ref.]:[Check Periodo Ref.]]="Dentro",IF(DATOS_[[Check Equiparado]:[Check Equiparado]]="Sí",IF(DATOS!BW$5="Sí",(1/DATOS_[[% anualiz]:[% anualiz]]),1)*IF(DATOS!BW$4="Sí",1/DATOS_[[% normaliz]:[% normaliz]],1)*(DATOS_[C.Extra.01])))))))),
0)</f>
        <v>0</v>
      </c>
      <c r="AQ104" s="173">
        <f t="array" ref="AQ104">IFERROR(
(AVERAGE((IF(DATOS_[[Sexo]:[Sexo]]=$B104,IF(DATOS_[[AGRUP. VALOR. PTO.]:[AGRUP. VALOR. PTO.]]=$B102,IF(DATOS_[[Check Periodo Ref.]:[Check Periodo Ref.]]="Dentro",IF(DATOS_[[Check Equiparado]:[Check Equiparado]]="Sí",IF(DATOS!CB$5="Sí",(1/DATOS_[[% anualiz]:[% anualiz]]),1)*IF(DATOS!CB$4="Sí",1/DATOS_[[% normaliz]:[% normaliz]],1)*(DATOS_[C.Extra.06])))))))),
0)</f>
        <v>0</v>
      </c>
      <c r="AR104" s="173">
        <f t="array" ref="AR104">IFERROR(
(AVERAGE((IF(DATOS_[[Sexo]:[Sexo]]=$B104,IF(DATOS_[[AGRUP. VALOR. PTO.]:[AGRUP. VALOR. PTO.]]=$B102,IF(DATOS_[[Check Periodo Ref.]:[Check Periodo Ref.]]="Dentro",IF(DATOS_[[Check Equiparado]:[Check Equiparado]]="Sí",IF(DATOS!CC$5="Sí",(1/DATOS_[[% anualiz]:[% anualiz]]),1)*IF(DATOS!CC$4="Sí",1/DATOS_[[% normaliz]:[% normaliz]],1)*(DATOS_[C.Extra.07])))))))),
0)</f>
        <v>0</v>
      </c>
      <c r="AS104" s="173">
        <f t="array" ref="AS104">IFERROR(
(AVERAGE((IF(DATOS_[[Sexo]:[Sexo]]=$B104,IF(DATOS_[[AGRUP. VALOR. PTO.]:[AGRUP. VALOR. PTO.]]=$B102,IF(DATOS_[[Check Periodo Ref.]:[Check Periodo Ref.]]="Dentro",IF(DATOS_[[Check Equiparado]:[Check Equiparado]]="Sí",IF(DATOS!CD$5="Sí",(1/DATOS_[[% anualiz]:[% anualiz]]),1)*IF(DATOS!CD$4="Sí",1/DATOS_[[% normaliz]:[% normaliz]],1)*(DATOS_[C.Extra.08])))))))),
0)</f>
        <v>0</v>
      </c>
      <c r="AT104" s="173">
        <f t="array" ref="AT104">IFERROR(
(AVERAGE((IF(DATOS_[[Sexo]:[Sexo]]=$B104,IF(DATOS_[[AGRUP. VALOR. PTO.]:[AGRUP. VALOR. PTO.]]=$B102,IF(DATOS_[[Check Periodo Ref.]:[Check Periodo Ref.]]="Dentro",IF(DATOS_[[Check Equiparado]:[Check Equiparado]]="Sí",IF(DATOS!CG$5="Sí",(1/DATOS_[[% anualiz]:[% anualiz]]),1)*IF(DATOS!CG$4="Sí",1/DATOS_[[% normaliz]:[% normaliz]],1)*(DATOS_[C.Extra.11])))))))),
0)</f>
        <v>0</v>
      </c>
      <c r="AU104" s="197">
        <f t="array" ref="AU104">IFERROR(
AVERAGE(IF(DATOS_[Sexo]=$B104,IF(DATOS_[[AGRUP. VALOR. PTO.]:[AGRUP. VALOR. PTO.]]=$B102,IF(DATOS_[Check Equiparado]="Sí",IF(DATOS_[Check Periodo Ref.]="Dentro",DATOS_[Tot Extrasalarial Eq],FALSE))))),
0)</f>
        <v>0</v>
      </c>
      <c r="AV104" s="175">
        <f t="array" ref="AV104">IFERROR(
AVERAGE(IF(DATOS_[Sexo]=$B104,IF(DATOS_[[AGRUP. VALOR. PTO.]:[AGRUP. VALOR. PTO.]]=$B102,IF(DATOS_[Check Equiparado]="Sí",IF(DATOS_[Check Periodo Ref.]="Dentro",DATOS_[TOTAL Retrib Eq],FALSE))))),
0)</f>
        <v>0</v>
      </c>
    </row>
    <row r="105" spans="1:48" ht="25.65" customHeight="1" x14ac:dyDescent="0.25">
      <c r="B105" s="208"/>
      <c r="C105" s="209"/>
      <c r="D105" s="210"/>
      <c r="E105" s="210"/>
      <c r="F105" s="210"/>
      <c r="G105" s="210"/>
      <c r="H105" s="210"/>
    </row>
    <row r="106" spans="1:48" x14ac:dyDescent="0.25">
      <c r="B106" s="202"/>
      <c r="C106" s="203"/>
      <c r="D106" s="204"/>
      <c r="E106" s="204"/>
      <c r="F106" s="204"/>
      <c r="G106" s="204"/>
      <c r="H106" s="204"/>
    </row>
    <row r="107" spans="1:48" x14ac:dyDescent="0.25">
      <c r="B107" s="202"/>
      <c r="C107" s="203"/>
      <c r="D107" s="204"/>
      <c r="E107" s="204"/>
      <c r="F107" s="204"/>
      <c r="G107" s="204"/>
      <c r="H107" s="204"/>
    </row>
    <row r="108" spans="1:48" x14ac:dyDescent="0.25">
      <c r="B108" s="208"/>
      <c r="C108" s="209"/>
      <c r="D108" s="210"/>
      <c r="E108" s="210"/>
      <c r="F108" s="210"/>
      <c r="G108" s="210"/>
      <c r="H108" s="210"/>
    </row>
    <row r="109" spans="1:48" x14ac:dyDescent="0.25">
      <c r="B109" s="202"/>
      <c r="C109" s="203"/>
      <c r="D109" s="204"/>
      <c r="E109" s="204"/>
      <c r="F109" s="204"/>
      <c r="G109" s="204"/>
      <c r="H109" s="204"/>
    </row>
    <row r="110" spans="1:48" x14ac:dyDescent="0.25">
      <c r="B110" s="202"/>
      <c r="C110" s="203"/>
      <c r="D110" s="204"/>
      <c r="E110" s="204"/>
      <c r="F110" s="204"/>
      <c r="G110" s="204"/>
      <c r="H110" s="204"/>
    </row>
    <row r="111" spans="1:48" x14ac:dyDescent="0.25">
      <c r="B111" s="208"/>
      <c r="C111" s="209"/>
      <c r="D111" s="210"/>
      <c r="E111" s="210"/>
      <c r="F111" s="210"/>
      <c r="G111" s="210"/>
      <c r="H111" s="210"/>
    </row>
    <row r="112" spans="1:48" x14ac:dyDescent="0.25">
      <c r="B112" s="202"/>
      <c r="C112" s="203"/>
      <c r="D112" s="204"/>
      <c r="E112" s="204"/>
      <c r="F112" s="204"/>
      <c r="G112" s="204"/>
      <c r="H112" s="204"/>
    </row>
    <row r="113" spans="2:8" x14ac:dyDescent="0.25">
      <c r="B113" s="202"/>
      <c r="C113" s="203"/>
      <c r="D113" s="204"/>
      <c r="E113" s="204"/>
      <c r="F113" s="204"/>
      <c r="G113" s="204"/>
      <c r="H113" s="204"/>
    </row>
    <row r="114" spans="2:8" x14ac:dyDescent="0.25">
      <c r="B114" s="208"/>
      <c r="C114" s="209"/>
      <c r="D114" s="210"/>
      <c r="E114" s="210"/>
      <c r="F114" s="210"/>
      <c r="G114" s="210"/>
      <c r="H114" s="210"/>
    </row>
    <row r="115" spans="2:8" x14ac:dyDescent="0.25">
      <c r="B115" s="202"/>
      <c r="C115" s="203"/>
      <c r="D115" s="204"/>
      <c r="E115" s="204"/>
      <c r="F115" s="204"/>
      <c r="G115" s="204"/>
      <c r="H115" s="204"/>
    </row>
    <row r="116" spans="2:8" x14ac:dyDescent="0.25">
      <c r="B116" s="202"/>
      <c r="C116" s="203"/>
      <c r="D116" s="204"/>
      <c r="E116" s="204"/>
      <c r="F116" s="204"/>
      <c r="G116" s="204"/>
      <c r="H116" s="204"/>
    </row>
  </sheetData>
  <dataConsolidate/>
  <pageMargins left="0.25" right="0.25" top="0.75" bottom="0.75" header="0.3" footer="0.3"/>
  <pageSetup paperSize="9" scale="85" fitToHeight="0"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CC99"/>
    <pageSetUpPr fitToPage="1"/>
  </sheetPr>
  <dimension ref="A1:AV116"/>
  <sheetViews>
    <sheetView showGridLines="0" zoomScale="80" zoomScaleNormal="80" workbookViewId="0">
      <selection activeCell="U5" sqref="U5"/>
    </sheetView>
  </sheetViews>
  <sheetFormatPr baseColWidth="10" defaultColWidth="8.44140625" defaultRowHeight="13.8" outlineLevelCol="1" x14ac:dyDescent="0.25"/>
  <cols>
    <col min="1" max="1" width="8.44140625" style="133"/>
    <col min="2" max="2" width="11" style="133" bestFit="1" customWidth="1"/>
    <col min="3" max="3" width="8.44140625" style="133"/>
    <col min="4" max="4" width="9.109375" style="133" customWidth="1"/>
    <col min="5" max="8" width="10.44140625" style="133" hidden="1" customWidth="1"/>
    <col min="9" max="9" width="10.44140625" style="133" customWidth="1"/>
    <col min="10" max="19" width="8.88671875" style="133" customWidth="1"/>
    <col min="20" max="31" width="8.88671875" style="133" customWidth="1" outlineLevel="1"/>
    <col min="32" max="39" width="8.88671875" style="133" hidden="1" customWidth="1" outlineLevel="1"/>
    <col min="40" max="40" width="11.88671875" style="133" customWidth="1"/>
    <col min="41" max="41" width="10.44140625" style="133" customWidth="1"/>
    <col min="42" max="43" width="8.6640625" style="133" customWidth="1"/>
    <col min="44" max="46" width="8.6640625" style="133" hidden="1" customWidth="1"/>
    <col min="47" max="47" width="12.6640625" style="133" customWidth="1"/>
    <col min="48" max="48" width="10.44140625" style="133" customWidth="1"/>
    <col min="49" max="16384" width="8.44140625" style="133"/>
  </cols>
  <sheetData>
    <row r="1" spans="1:48" ht="42.6" customHeight="1" x14ac:dyDescent="0.25">
      <c r="I1" s="254" t="s">
        <v>625</v>
      </c>
    </row>
    <row r="2" spans="1:48" ht="14.1" customHeight="1" x14ac:dyDescent="0.25">
      <c r="K2" s="133" t="str">
        <f>+IF(K8="[ocultar]",K8,"")</f>
        <v/>
      </c>
      <c r="L2" s="133" t="str">
        <f t="shared" ref="L2:AT2" si="0">+IF(L8="[ocultar]",L8,"")</f>
        <v/>
      </c>
      <c r="M2" s="133" t="str">
        <f t="shared" si="0"/>
        <v/>
      </c>
      <c r="N2" s="133" t="str">
        <f t="shared" si="0"/>
        <v/>
      </c>
      <c r="O2" s="133" t="str">
        <f t="shared" si="0"/>
        <v/>
      </c>
      <c r="P2" s="133" t="str">
        <f t="shared" si="0"/>
        <v/>
      </c>
      <c r="Q2" s="133" t="str">
        <f t="shared" si="0"/>
        <v/>
      </c>
      <c r="R2" s="133" t="str">
        <f t="shared" si="0"/>
        <v/>
      </c>
      <c r="S2" s="133" t="str">
        <f t="shared" si="0"/>
        <v/>
      </c>
      <c r="T2" s="133" t="str">
        <f t="shared" si="0"/>
        <v/>
      </c>
      <c r="U2" s="133" t="str">
        <f t="shared" si="0"/>
        <v/>
      </c>
      <c r="V2" s="133" t="str">
        <f t="shared" si="0"/>
        <v/>
      </c>
      <c r="W2" s="133" t="str">
        <f t="shared" si="0"/>
        <v/>
      </c>
      <c r="X2" s="133" t="str">
        <f t="shared" si="0"/>
        <v/>
      </c>
      <c r="Y2" s="133" t="str">
        <f t="shared" si="0"/>
        <v/>
      </c>
      <c r="Z2" s="133" t="str">
        <f t="shared" si="0"/>
        <v/>
      </c>
      <c r="AA2" s="133" t="str">
        <f t="shared" si="0"/>
        <v/>
      </c>
      <c r="AB2" s="133" t="str">
        <f t="shared" si="0"/>
        <v/>
      </c>
      <c r="AC2" s="133" t="str">
        <f t="shared" si="0"/>
        <v/>
      </c>
      <c r="AD2" s="133" t="str">
        <f t="shared" si="0"/>
        <v/>
      </c>
      <c r="AE2" s="133" t="str">
        <f t="shared" si="0"/>
        <v>[ocultar]</v>
      </c>
      <c r="AF2" s="133" t="str">
        <f t="shared" si="0"/>
        <v>[ocultar]</v>
      </c>
      <c r="AG2" s="133" t="str">
        <f t="shared" si="0"/>
        <v>[ocultar]</v>
      </c>
      <c r="AH2" s="133" t="str">
        <f t="shared" si="0"/>
        <v>[ocultar]</v>
      </c>
      <c r="AI2" s="133" t="str">
        <f t="shared" si="0"/>
        <v>[ocultar]</v>
      </c>
      <c r="AJ2" s="133" t="str">
        <f t="shared" si="0"/>
        <v>[ocultar]</v>
      </c>
      <c r="AK2" s="133" t="str">
        <f t="shared" si="0"/>
        <v>[ocultar]</v>
      </c>
      <c r="AL2" s="133" t="str">
        <f t="shared" si="0"/>
        <v>[ocultar]</v>
      </c>
      <c r="AM2" s="133" t="str">
        <f t="shared" si="0"/>
        <v>[ocultar]</v>
      </c>
      <c r="AN2" s="133" t="str">
        <f t="shared" si="0"/>
        <v/>
      </c>
      <c r="AO2" s="133" t="str">
        <f t="shared" si="0"/>
        <v/>
      </c>
      <c r="AP2" s="133" t="str">
        <f t="shared" si="0"/>
        <v>[ocultar]</v>
      </c>
      <c r="AQ2" s="133" t="str">
        <f t="shared" si="0"/>
        <v>[ocultar]</v>
      </c>
      <c r="AR2" s="133" t="str">
        <f t="shared" si="0"/>
        <v>[ocultar]</v>
      </c>
      <c r="AS2" s="133" t="str">
        <f t="shared" si="0"/>
        <v>[ocultar]</v>
      </c>
      <c r="AT2" s="133" t="str">
        <f t="shared" si="0"/>
        <v>[ocultar]</v>
      </c>
    </row>
    <row r="3" spans="1:48" ht="14.1" customHeight="1" x14ac:dyDescent="0.25">
      <c r="I3" s="211" t="str">
        <f>+"Razón Social: "&amp;Inicio!C6&amp;"  -  NIF: "&amp;Inicio!C8</f>
        <v>Razón Social: TANATORIOS DE CORDOBA, SA/Convenio Colectivo de Sector de POMPAS FUNEBRES (14000425011981) de Córdoba  -  NIF: A14087548</v>
      </c>
      <c r="J3" s="212"/>
    </row>
    <row r="4" spans="1:48" ht="14.1" customHeight="1" x14ac:dyDescent="0.25">
      <c r="I4" s="213" t="s">
        <v>4</v>
      </c>
      <c r="J4" s="214"/>
    </row>
    <row r="5" spans="1:48" ht="14.1" customHeight="1" x14ac:dyDescent="0.25">
      <c r="I5" s="215">
        <f>+Inicio!E10</f>
        <v>45292</v>
      </c>
      <c r="J5" s="216" t="str">
        <f>+Inicio!D10</f>
        <v>fecha inicio</v>
      </c>
    </row>
    <row r="6" spans="1:48" ht="14.1" customHeight="1" x14ac:dyDescent="0.25">
      <c r="I6" s="215">
        <f>+Inicio!G10</f>
        <v>45657</v>
      </c>
      <c r="J6" s="216" t="s">
        <v>6</v>
      </c>
    </row>
    <row r="7" spans="1:48" s="143" customFormat="1" ht="14.1" customHeight="1" x14ac:dyDescent="0.25">
      <c r="H7" s="1"/>
      <c r="I7" s="1"/>
      <c r="J7" s="1"/>
    </row>
    <row r="8" spans="1:48" s="203" customFormat="1" ht="46.35" customHeight="1" x14ac:dyDescent="0.3">
      <c r="B8" s="198"/>
      <c r="C8" s="198" t="s">
        <v>621</v>
      </c>
      <c r="D8" s="198" t="s">
        <v>622</v>
      </c>
      <c r="E8" s="198" t="s">
        <v>314</v>
      </c>
      <c r="F8" s="198" t="s">
        <v>316</v>
      </c>
      <c r="G8" s="198" t="s">
        <v>318</v>
      </c>
      <c r="H8" s="198" t="s">
        <v>624</v>
      </c>
      <c r="I8" s="146" t="s">
        <v>323</v>
      </c>
      <c r="J8" s="147" t="str">
        <f>+IF(DATOS!AE6="","[ocultar]",DATOS!AE6)</f>
        <v>HORAS EXTRAS</v>
      </c>
      <c r="K8" s="147" t="str">
        <f>+IF(DATOS!AF6="","[ocultar]",DATOS!AF6)</f>
        <v>SEGURO CONVENIO</v>
      </c>
      <c r="L8" s="147" t="str">
        <f>+IF(DATOS!AG6="","[ocultar]",DATOS!AG6)</f>
        <v>PLUS UNIFICADO</v>
      </c>
      <c r="M8" s="147" t="str">
        <f>+IF(DATOS!AH6="","[ocultar]",DATOS!AH6)</f>
        <v>GARANTIA AD PERS</v>
      </c>
      <c r="N8" s="147" t="str">
        <f>+IF(DATOS!AI6="","[ocultar]",DATOS!AI6)</f>
        <v>COMISIONES</v>
      </c>
      <c r="O8" s="147" t="str">
        <f>+IF(DATOS!AJ6="","[ocultar]",DATOS!AJ6)</f>
        <v>DOMINGOS Y FESTIVOS</v>
      </c>
      <c r="P8" s="147" t="str">
        <f>+IF(DATOS!AK6="","[ocultar]",DATOS!AK6)</f>
        <v>LOCOMOCION NO</v>
      </c>
      <c r="Q8" s="147" t="str">
        <f>+IF(DATOS!AL6="","[ocultar]",DATOS!AL6)</f>
        <v>PLUS EXTRA VAC</v>
      </c>
      <c r="R8" s="147" t="str">
        <f>+IF(DATOS!AM6="","[ocultar]",DATOS!AM6)</f>
        <v>PLUS DE TRANS</v>
      </c>
      <c r="S8" s="147" t="str">
        <f>+IF(DATOS!AN6="","[ocultar]",DATOS!AN6)</f>
        <v>PLUS ACTIVIDAD</v>
      </c>
      <c r="T8" s="147" t="str">
        <f>+IF(DATOS!AO6="","[ocultar]",DATOS!AO6)</f>
        <v>CUOTA SINDICAL</v>
      </c>
      <c r="U8" s="147" t="str">
        <f>+IF(DATOS!AP6="","[ocultar]",DATOS!AP6)</f>
        <v>AYUDA FAMILIAR</v>
      </c>
      <c r="V8" s="147" t="str">
        <f>+IF(DATOS!AQ6="","[ocultar]",DATOS!AQ6)</f>
        <v>INCENTIVO</v>
      </c>
      <c r="W8" s="147" t="str">
        <f>+IF(DATOS!AR6="","[ocultar]",DATOS!AR6)</f>
        <v>SEGURO MEDICO</v>
      </c>
      <c r="X8" s="147" t="str">
        <f>+IF(DATOS!AS6="","[ocultar]",DATOS!AS6)</f>
        <v>DES. SEGURO MEDICO</v>
      </c>
      <c r="Y8" s="147" t="str">
        <f>+IF(DATOS!AT6="","[ocultar]",DATOS!AT6)</f>
        <v>SEGURO SALUD 2</v>
      </c>
      <c r="Z8" s="147" t="str">
        <f>+IF(DATOS!AU6="","[ocultar]",DATOS!AU6)</f>
        <v>COMP. EMPRESA I.T.</v>
      </c>
      <c r="AA8" s="147" t="str">
        <f>+IF(DATOS!AV6="","[ocultar]",DATOS!AV6)</f>
        <v>I.T. CUENTA EMPRESA</v>
      </c>
      <c r="AB8" s="147" t="str">
        <f>+IF(DATOS!AW6="","[ocultar]",DATOS!AW6)</f>
        <v>SALARIO EN ESPECIE</v>
      </c>
      <c r="AC8" s="147" t="str">
        <f>+IF(DATOS!AX6="","[ocultar]",DATOS!AX6)</f>
        <v>PLUS DE POLIVALENCIA</v>
      </c>
      <c r="AD8" s="147" t="str">
        <f>+IF(DATOS!AY6="","[ocultar]",DATOS!AY6)</f>
        <v>LIQUID  PAGAS EXTRA</v>
      </c>
      <c r="AE8" s="147" t="str">
        <f>+IF(DATOS!AZ6="","[ocultar]",DATOS!AZ6)</f>
        <v>[ocultar]</v>
      </c>
      <c r="AF8" s="147" t="str">
        <f>+IF(DATOS!BA6="","[ocultar]",DATOS!BA6)</f>
        <v>[ocultar]</v>
      </c>
      <c r="AG8" s="147" t="str">
        <f>+IF(DATOS!BB6="","[ocultar]",DATOS!BB6)</f>
        <v>[ocultar]</v>
      </c>
      <c r="AH8" s="147" t="str">
        <f>+IF(DATOS!BC6="","[ocultar]",DATOS!BC6)</f>
        <v>[ocultar]</v>
      </c>
      <c r="AI8" s="147" t="str">
        <f>+IF(DATOS!BD6="","[ocultar]",DATOS!BD6)</f>
        <v>[ocultar]</v>
      </c>
      <c r="AJ8" s="147" t="str">
        <f>+IF(DATOS!BE6="","[ocultar]",DATOS!BE6)</f>
        <v>[ocultar]</v>
      </c>
      <c r="AK8" s="147" t="str">
        <f>+IF(DATOS!BF6="","[ocultar]",DATOS!BF6)</f>
        <v>[ocultar]</v>
      </c>
      <c r="AL8" s="147" t="str">
        <f>+IF(DATOS!BG6="","[ocultar]",DATOS!BG6)</f>
        <v>[ocultar]</v>
      </c>
      <c r="AM8" s="147" t="str">
        <f>+IF(DATOS!BH6="","[ocultar]",DATOS!BH6)</f>
        <v>[ocultar]</v>
      </c>
      <c r="AN8" s="148" t="s">
        <v>324</v>
      </c>
      <c r="AO8" s="149" t="s">
        <v>325</v>
      </c>
      <c r="AP8" s="150" t="str">
        <f>+IF(DATOS!BW6="","[ocultar]",DATOS!BW6)</f>
        <v>[ocultar]</v>
      </c>
      <c r="AQ8" s="150" t="str">
        <f>+IF(DATOS!CB6="","[ocultar]",DATOS!CB6)</f>
        <v>[ocultar]</v>
      </c>
      <c r="AR8" s="150" t="str">
        <f>+IF(DATOS!CC6="","[ocultar]",DATOS!CC6)</f>
        <v>[ocultar]</v>
      </c>
      <c r="AS8" s="150" t="str">
        <f>+IF(DATOS!CD6="","[ocultar]",DATOS!CD6)</f>
        <v>[ocultar]</v>
      </c>
      <c r="AT8" s="150" t="str">
        <f>+IF(DATOS!CG6="","[ocultar]",DATOS!CG6)</f>
        <v>[ocultar]</v>
      </c>
      <c r="AU8" s="151" t="s">
        <v>326</v>
      </c>
      <c r="AV8" s="148" t="s">
        <v>327</v>
      </c>
    </row>
    <row r="9" spans="1:48" ht="15.6" thickBot="1" x14ac:dyDescent="0.3">
      <c r="B9" s="199" t="s">
        <v>623</v>
      </c>
      <c r="C9" s="200"/>
      <c r="D9" s="201"/>
      <c r="E9" s="201"/>
      <c r="F9" s="201"/>
      <c r="G9" s="201"/>
      <c r="H9" s="201"/>
      <c r="I9" s="156" t="str">
        <f t="shared" ref="I9" si="1">IFERROR((I10-I11)/I10,"")</f>
        <v/>
      </c>
      <c r="J9" s="157" t="str">
        <f>IFERROR((J10-J11)/J10,"")</f>
        <v/>
      </c>
      <c r="K9" s="158" t="str">
        <f t="shared" ref="K9:AV9" si="2">IFERROR((K10-K11)/K10,"")</f>
        <v/>
      </c>
      <c r="L9" s="158" t="str">
        <f t="shared" si="2"/>
        <v/>
      </c>
      <c r="M9" s="158" t="str">
        <f t="shared" si="2"/>
        <v/>
      </c>
      <c r="N9" s="159" t="str">
        <f t="shared" si="2"/>
        <v/>
      </c>
      <c r="O9" s="160" t="str">
        <f t="shared" si="2"/>
        <v/>
      </c>
      <c r="P9" s="160" t="str">
        <f t="shared" si="2"/>
        <v/>
      </c>
      <c r="Q9" s="160" t="str">
        <f t="shared" si="2"/>
        <v/>
      </c>
      <c r="R9" s="160" t="str">
        <f t="shared" si="2"/>
        <v/>
      </c>
      <c r="S9" s="160" t="str">
        <f t="shared" si="2"/>
        <v/>
      </c>
      <c r="T9" s="160" t="str">
        <f t="shared" si="2"/>
        <v/>
      </c>
      <c r="U9" s="160" t="str">
        <f t="shared" si="2"/>
        <v/>
      </c>
      <c r="V9" s="160" t="str">
        <f t="shared" si="2"/>
        <v/>
      </c>
      <c r="W9" s="160" t="str">
        <f t="shared" si="2"/>
        <v/>
      </c>
      <c r="X9" s="160" t="str">
        <f t="shared" si="2"/>
        <v/>
      </c>
      <c r="Y9" s="160" t="str">
        <f t="shared" si="2"/>
        <v/>
      </c>
      <c r="Z9" s="159" t="str">
        <f t="shared" si="2"/>
        <v/>
      </c>
      <c r="AA9" s="159" t="str">
        <f t="shared" si="2"/>
        <v/>
      </c>
      <c r="AB9" s="159" t="str">
        <f t="shared" si="2"/>
        <v/>
      </c>
      <c r="AC9" s="159" t="str">
        <f t="shared" si="2"/>
        <v/>
      </c>
      <c r="AD9" s="159" t="str">
        <f t="shared" si="2"/>
        <v/>
      </c>
      <c r="AE9" s="159" t="str">
        <f t="shared" si="2"/>
        <v/>
      </c>
      <c r="AF9" s="159" t="str">
        <f t="shared" si="2"/>
        <v/>
      </c>
      <c r="AG9" s="159" t="str">
        <f t="shared" si="2"/>
        <v/>
      </c>
      <c r="AH9" s="159" t="str">
        <f t="shared" si="2"/>
        <v/>
      </c>
      <c r="AI9" s="159" t="str">
        <f t="shared" si="2"/>
        <v/>
      </c>
      <c r="AJ9" s="159" t="str">
        <f t="shared" si="2"/>
        <v/>
      </c>
      <c r="AK9" s="159" t="str">
        <f t="shared" si="2"/>
        <v/>
      </c>
      <c r="AL9" s="159" t="str">
        <f t="shared" si="2"/>
        <v/>
      </c>
      <c r="AM9" s="159" t="str">
        <f t="shared" si="2"/>
        <v/>
      </c>
      <c r="AN9" s="161" t="str">
        <f t="shared" si="2"/>
        <v/>
      </c>
      <c r="AO9" s="162" t="str">
        <f t="shared" si="2"/>
        <v/>
      </c>
      <c r="AP9" s="163" t="str">
        <f t="shared" si="2"/>
        <v/>
      </c>
      <c r="AQ9" s="163" t="str">
        <f t="shared" si="2"/>
        <v/>
      </c>
      <c r="AR9" s="163" t="str">
        <f t="shared" si="2"/>
        <v/>
      </c>
      <c r="AS9" s="163" t="str">
        <f t="shared" si="2"/>
        <v/>
      </c>
      <c r="AT9" s="163" t="str">
        <f t="shared" si="2"/>
        <v/>
      </c>
      <c r="AU9" s="164" t="str">
        <f t="shared" si="2"/>
        <v/>
      </c>
      <c r="AV9" s="165" t="str">
        <f t="shared" si="2"/>
        <v/>
      </c>
    </row>
    <row r="10" spans="1:48" x14ac:dyDescent="0.25">
      <c r="B10" s="202" t="s">
        <v>394</v>
      </c>
      <c r="C10" s="203">
        <f t="array" ref="C10">SUM(IF($B10=DATOS_[Sexo],
IF("Dentro"=DATOS_[Check Periodo Ref.],
1/(COUNTIFS(DATOS_[Sexo],$B10,DATOS_[Check Periodo Ref.],"Dentro",DATOS_[id/cod],DATOS_[id/cod])))))</f>
        <v>60</v>
      </c>
      <c r="D10" s="204">
        <f>COUNTIFS(DATOS_[AGRUP. VALOR. PTO.],"&lt;&gt;",DATOS_[Sexo],$B10,DATOS_[Check Periodo Ref.],"Dentro")</f>
        <v>0</v>
      </c>
      <c r="E10" s="204">
        <f>COUNTIFS(DATOS_[AGRUP. VALOR. PTO.],"&lt;&gt;",DATOS_[Sexo],$B10,DATOS_[Check Periodo Ref.],"Dentro",DATOS_[Check Nº SC Norm],"Sí")</f>
        <v>0</v>
      </c>
      <c r="F10" s="204">
        <f>COUNTIFS(DATOS_[AGRUP. VALOR. PTO.],"&lt;&gt;",DATOS_[Sexo],$B10,DATOS_[Check Periodo Ref.],"Dentro",DATOS_[Check Nº SC Anualiz],"Sí")</f>
        <v>0</v>
      </c>
      <c r="G10" s="204">
        <f>COUNTIFS(DATOS_[AGRUP. VALOR. PTO.],"&lt;&gt;",DATOS_[Sexo],$B10,DATOS_[Check Periodo Ref.],"Dentro",DATOS_[Check Nº SC Norm y Anualiz],"Sí")</f>
        <v>0</v>
      </c>
      <c r="H10" s="204">
        <f>COUNTIFS(DATOS_[AGRUP. VALOR. PTO.],"&lt;&gt;",DATOS_[Sexo],$B10,DATOS_[Check Periodo Ref.],"Dentro",DATOS_[Check Equiparación],"Sí")</f>
        <v>0</v>
      </c>
      <c r="I10" s="169">
        <f t="array" ref="I10">IFERROR(
MEDIAN(IF(DATOS_[Sexo]=$B10,IF(DATOS_[Check Equiparado]="Sí",IF(DATOS_[Check Periodo Ref.]="Dentro",DATOS_[SALARIO BASE Eq],FALSE)))),
0)</f>
        <v>0</v>
      </c>
      <c r="J10" s="170">
        <f t="array" ref="J10">IFERROR(
(MEDIAN((IF(DATOS_[[Sexo]:[Sexo]]=$B10,IF(DATOS_[[Check Periodo Ref.]:[Check Periodo Ref.]]="Dentro",IF(DATOS_[[Check Equiparado]:[Check Equiparado]]="Sí",IF(DATOS!AE$5="Sí",(1/DATOS_[[% anualiz]:[% anualiz]]),1)*IF(DATOS!AE$4="Sí",1/DATOS_[[% normaliz]:[% normaliz]],1)*(DATOS_[Conc.Sal.01]))))))),
0)</f>
        <v>0</v>
      </c>
      <c r="K10" s="170">
        <f t="array" ref="K10">IFERROR(
(MEDIAN((IF(DATOS_[[Sexo]:[Sexo]]=$B10,IF(DATOS_[[Check Periodo Ref.]:[Check Periodo Ref.]]="Dentro",IF(DATOS_[[Check Equiparado]:[Check Equiparado]]="Sí",IF(DATOS!AF$5="Sí",(1/DATOS_[[% anualiz]:[% anualiz]]),1)*IF(DATOS!AF$4="Sí",1/DATOS_[[% normaliz]:[% normaliz]],1)*(DATOS_[Conc.Sal.02]))))))),
0)</f>
        <v>0</v>
      </c>
      <c r="L10" s="170">
        <f t="array" ref="L10">IFERROR(
(MEDIAN((IF(DATOS_[[Sexo]:[Sexo]]=$B10,IF(DATOS_[[Check Periodo Ref.]:[Check Periodo Ref.]]="Dentro",IF(DATOS_[[Check Equiparado]:[Check Equiparado]]="Sí",IF(DATOS!AG$5="Sí",(1/DATOS_[[% anualiz]:[% anualiz]]),1)*IF(DATOS!AG$4="Sí",1/DATOS_[[% normaliz]:[% normaliz]],1)*(DATOS_[Conc.Sal.03]))))))),
0)</f>
        <v>0</v>
      </c>
      <c r="M10" s="170">
        <f t="array" ref="M10">IFERROR(
(MEDIAN((IF(DATOS_[[Sexo]:[Sexo]]=$B10,IF(DATOS_[[Check Periodo Ref.]:[Check Periodo Ref.]]="Dentro",IF(DATOS_[[Check Equiparado]:[Check Equiparado]]="Sí",IF(DATOS!AH$5="Sí",(1/DATOS_[[% anualiz]:[% anualiz]]),1)*IF(DATOS!AH$4="Sí",1/DATOS_[[% normaliz]:[% normaliz]],1)*(DATOS_[Conc.Sal.04]))))))),
0)</f>
        <v>0</v>
      </c>
      <c r="N10" s="170">
        <f t="array" ref="N10">IFERROR(
(MEDIAN((IF(DATOS_[[Sexo]:[Sexo]]=$B10,IF(DATOS_[[Check Periodo Ref.]:[Check Periodo Ref.]]="Dentro",IF(DATOS_[[Check Equiparado]:[Check Equiparado]]="Sí",IF(DATOS!AI$5="Sí",(1/DATOS_[[% anualiz]:[% anualiz]]),1)*IF(DATOS!AI$4="Sí",1/DATOS_[[% normaliz]:[% normaliz]],1)*(DATOS_[Conc.Sal.05]))))))),
0)</f>
        <v>0</v>
      </c>
      <c r="O10" s="170">
        <f t="array" ref="O10">IFERROR(
(MEDIAN((IF(DATOS_[[Sexo]:[Sexo]]=$B10,IF(DATOS_[[Check Periodo Ref.]:[Check Periodo Ref.]]="Dentro",IF(DATOS_[[Check Equiparado]:[Check Equiparado]]="Sí",IF(DATOS!AJ$5="Sí",(1/DATOS_[[% anualiz]:[% anualiz]]),1)*IF(DATOS!AJ$4="Sí",1/DATOS_[[% normaliz]:[% normaliz]],1)*(DATOS_[Conc.Sal.06]))))))),
0)</f>
        <v>0</v>
      </c>
      <c r="P10" s="170">
        <f t="array" ref="P10">IFERROR(
(MEDIAN((IF(DATOS_[[Sexo]:[Sexo]]=$B10,IF(DATOS_[[Check Periodo Ref.]:[Check Periodo Ref.]]="Dentro",IF(DATOS_[[Check Equiparado]:[Check Equiparado]]="Sí",IF(DATOS!AK$5="Sí",(1/DATOS_[[% anualiz]:[% anualiz]]),1)*IF(DATOS!AK$4="Sí",1/DATOS_[[% normaliz]:[% normaliz]],1)*(DATOS_[Conc.Sal.07]))))))),
0)</f>
        <v>0</v>
      </c>
      <c r="Q10" s="170">
        <f t="array" ref="Q10">IFERROR(
(MEDIAN((IF(DATOS_[[Sexo]:[Sexo]]=$B10,IF(DATOS_[[Check Periodo Ref.]:[Check Periodo Ref.]]="Dentro",IF(DATOS_[[Check Equiparado]:[Check Equiparado]]="Sí",IF(DATOS!AL$5="Sí",(1/DATOS_[[% anualiz]:[% anualiz]]),1)*IF(DATOS!AL$4="Sí",1/DATOS_[[% normaliz]:[% normaliz]],1)*(DATOS_[Conc.Sal.08]))))))),
0)</f>
        <v>0</v>
      </c>
      <c r="R10" s="170">
        <f t="array" ref="R10">IFERROR(
(MEDIAN((IF(DATOS_[[Sexo]:[Sexo]]=$B10,IF(DATOS_[[Check Periodo Ref.]:[Check Periodo Ref.]]="Dentro",IF(DATOS_[[Check Equiparado]:[Check Equiparado]]="Sí",IF(DATOS!AM$5="Sí",(1/DATOS_[[% anualiz]:[% anualiz]]),1)*IF(DATOS!AM$4="Sí",1/DATOS_[[% normaliz]:[% normaliz]],1)*(DATOS_[Conc.Sal.09]))))))),
0)</f>
        <v>0</v>
      </c>
      <c r="S10" s="170">
        <f t="array" ref="S10">IFERROR(
(MEDIAN((IF(DATOS_[[Sexo]:[Sexo]]=$B10,IF(DATOS_[[Check Periodo Ref.]:[Check Periodo Ref.]]="Dentro",IF(DATOS_[[Check Equiparado]:[Check Equiparado]]="Sí",IF(DATOS!AN$5="Sí",(1/DATOS_[[% anualiz]:[% anualiz]]),1)*IF(DATOS!AN$4="Sí",1/DATOS_[[% normaliz]:[% normaliz]],1)*(DATOS_[Conc.Sal.10]))))))),
0)</f>
        <v>0</v>
      </c>
      <c r="T10" s="170">
        <f t="array" ref="T10">IFERROR(
(MEDIAN((IF(DATOS_[[Sexo]:[Sexo]]=$B10,IF(DATOS_[[Check Periodo Ref.]:[Check Periodo Ref.]]="Dentro",IF(DATOS_[[Check Equiparado]:[Check Equiparado]]="Sí",IF(DATOS!AO$5="Sí",(1/DATOS_[[% anualiz]:[% anualiz]]),1)*IF(DATOS!AO$4="Sí",1/DATOS_[[% normaliz]:[% normaliz]],1)*(DATOS_[Conc.Sal.11]))))))),
0)</f>
        <v>0</v>
      </c>
      <c r="U10" s="170">
        <f t="array" ref="U10">IFERROR(
(MEDIAN((IF(DATOS_[[Sexo]:[Sexo]]=$B10,IF(DATOS_[[Check Periodo Ref.]:[Check Periodo Ref.]]="Dentro",IF(DATOS_[[Check Equiparado]:[Check Equiparado]]="Sí",IF(DATOS!AP$5="Sí",(1/DATOS_[[% anualiz]:[% anualiz]]),1)*IF(DATOS!AP$4="Sí",1/DATOS_[[% normaliz]:[% normaliz]],1)*(DATOS_[Conc.Sal.12]))))))),
0)</f>
        <v>0</v>
      </c>
      <c r="V10" s="170">
        <f t="array" ref="V10">IFERROR(
(MEDIAN((IF(DATOS_[[Sexo]:[Sexo]]=$B10,IF(DATOS_[[Check Periodo Ref.]:[Check Periodo Ref.]]="Dentro",IF(DATOS_[[Check Equiparado]:[Check Equiparado]]="Sí",IF(DATOS!AQ$5="Sí",(1/DATOS_[[% anualiz]:[% anualiz]]),1)*IF(DATOS!AQ$4="Sí",1/DATOS_[[% normaliz]:[% normaliz]],1)*(DATOS_[Conc.Sal.13]))))))),
0)</f>
        <v>0</v>
      </c>
      <c r="W10" s="170">
        <f t="array" ref="W10">IFERROR(
(MEDIAN((IF(DATOS_[[Sexo]:[Sexo]]=$B10,IF(DATOS_[[Check Periodo Ref.]:[Check Periodo Ref.]]="Dentro",IF(DATOS_[[Check Equiparado]:[Check Equiparado]]="Sí",IF(DATOS!AR$5="Sí",(1/DATOS_[[% anualiz]:[% anualiz]]),1)*IF(DATOS!AR$4="Sí",1/DATOS_[[% normaliz]:[% normaliz]],1)*(DATOS_[Conc.Sal.14]))))))),
0)</f>
        <v>0</v>
      </c>
      <c r="X10" s="170">
        <f t="array" ref="X10">IFERROR(
(MEDIAN((IF(DATOS_[[Sexo]:[Sexo]]=$B10,IF(DATOS_[[Check Periodo Ref.]:[Check Periodo Ref.]]="Dentro",IF(DATOS_[[Check Equiparado]:[Check Equiparado]]="Sí",IF(DATOS!AS$5="Sí",(1/DATOS_[[% anualiz]:[% anualiz]]),1)*IF(DATOS!AS$4="Sí",1/DATOS_[[% normaliz]:[% normaliz]],1)*(DATOS_[Conc.Sal.15]))))))),
0)</f>
        <v>0</v>
      </c>
      <c r="Y10" s="170">
        <f t="array" ref="Y10">IFERROR(
(MEDIAN((IF(DATOS_[[Sexo]:[Sexo]]=$B10,IF(DATOS_[[Check Periodo Ref.]:[Check Periodo Ref.]]="Dentro",IF(DATOS_[[Check Equiparado]:[Check Equiparado]]="Sí",IF(DATOS!AT$5="Sí",(1/DATOS_[[% anualiz]:[% anualiz]]),1)*IF(DATOS!AT$4="Sí",1/DATOS_[[% normaliz]:[% normaliz]],1)*(DATOS_[Conc.Sal.16]))))))),
0)</f>
        <v>0</v>
      </c>
      <c r="Z10" s="170">
        <f t="array" ref="Z10">IFERROR(
(MEDIAN((IF(DATOS_[[Sexo]:[Sexo]]=$B10,IF(DATOS_[[Check Periodo Ref.]:[Check Periodo Ref.]]="Dentro",IF(DATOS_[[Check Equiparado]:[Check Equiparado]]="Sí",IF(DATOS!AU$5="Sí",(1/DATOS_[[% anualiz]:[% anualiz]]),1)*IF(DATOS!AU$4="Sí",1/DATOS_[[% normaliz]:[% normaliz]],1)*(DATOS_[Conc.Sal.17]))))))),
0)</f>
        <v>0</v>
      </c>
      <c r="AA10" s="170">
        <f t="array" ref="AA10">IFERROR(
(MEDIAN((IF(DATOS_[[Sexo]:[Sexo]]=$B10,IF(DATOS_[[Check Periodo Ref.]:[Check Periodo Ref.]]="Dentro",IF(DATOS_[[Check Equiparado]:[Check Equiparado]]="Sí",IF(DATOS!AV$5="Sí",(1/DATOS_[[% anualiz]:[% anualiz]]),1)*IF(DATOS!AV$4="Sí",1/DATOS_[[% normaliz]:[% normaliz]],1)*(DATOS_[Conc.Sal.18]))))))),
0)</f>
        <v>0</v>
      </c>
      <c r="AB10" s="170">
        <f t="array" ref="AB10">IFERROR(
(MEDIAN((IF(DATOS_[[Sexo]:[Sexo]]=$B10,IF(DATOS_[[Check Periodo Ref.]:[Check Periodo Ref.]]="Dentro",IF(DATOS_[[Check Equiparado]:[Check Equiparado]]="Sí",IF(DATOS!AW$5="Sí",(1/DATOS_[[% anualiz]:[% anualiz]]),1)*IF(DATOS!AW$4="Sí",1/DATOS_[[% normaliz]:[% normaliz]],1)*(DATOS_[Conc.Sal.19]))))))),
0)</f>
        <v>0</v>
      </c>
      <c r="AC10" s="170">
        <f t="array" ref="AC10">IFERROR(
(MEDIAN((IF(DATOS_[[Sexo]:[Sexo]]=$B10,IF(DATOS_[[Check Periodo Ref.]:[Check Periodo Ref.]]="Dentro",IF(DATOS_[[Check Equiparado]:[Check Equiparado]]="Sí",IF(DATOS!AX$5="Sí",(1/DATOS_[[% anualiz]:[% anualiz]]),1)*IF(DATOS!AX$4="Sí",1/DATOS_[[% normaliz]:[% normaliz]],1)*(DATOS_[Conc.Sal.20]))))))),
0)</f>
        <v>0</v>
      </c>
      <c r="AD10" s="170">
        <f t="array" ref="AD10">IFERROR(
(MEDIAN((IF(DATOS_[[Sexo]:[Sexo]]=$B10,IF(DATOS_[[Check Periodo Ref.]:[Check Periodo Ref.]]="Dentro",IF(DATOS_[[Check Equiparado]:[Check Equiparado]]="Sí",IF(DATOS!AY$5="Sí",(1/DATOS_[[% anualiz]:[% anualiz]]),1)*IF(DATOS!AY$4="Sí",1/DATOS_[[% normaliz]:[% normaliz]],1)*(DATOS_[Conc.Sal.21]))))))),
0)</f>
        <v>0</v>
      </c>
      <c r="AE10" s="170">
        <f t="array" ref="AE10">IFERROR(
(MEDIAN((IF(DATOS_[[Sexo]:[Sexo]]=$B10,IF(DATOS_[[Check Periodo Ref.]:[Check Periodo Ref.]]="Dentro",IF(DATOS_[[Check Equiparado]:[Check Equiparado]]="Sí",IF(DATOS!AZ$5="Sí",(1/DATOS_[[% anualiz]:[% anualiz]]),1)*IF(DATOS!AZ$4="Sí",1/DATOS_[[% normaliz]:[% normaliz]],1)*(DATOS_[Conc.Sal.22]))))))),
0)</f>
        <v>0</v>
      </c>
      <c r="AF10" s="170">
        <f t="array" ref="AF10">IFERROR(
(MEDIAN((IF(DATOS_[[Sexo]:[Sexo]]=$B10,IF(DATOS_[[Check Periodo Ref.]:[Check Periodo Ref.]]="Dentro",IF(DATOS_[[Check Equiparado]:[Check Equiparado]]="Sí",IF(DATOS!BA$5="Sí",(1/DATOS_[[% anualiz]:[% anualiz]]),1)*IF(DATOS!BA$4="Sí",1/DATOS_[[% normaliz]:[% normaliz]],1)*(DATOS_[Conc.Sal.23]))))))),
0)</f>
        <v>0</v>
      </c>
      <c r="AG10" s="170">
        <f t="array" ref="AG10">IFERROR(
(MEDIAN((IF(DATOS_[[Sexo]:[Sexo]]=$B10,IF(DATOS_[[Check Periodo Ref.]:[Check Periodo Ref.]]="Dentro",IF(DATOS_[[Check Equiparado]:[Check Equiparado]]="Sí",IF(DATOS!BB$5="Sí",(1/DATOS_[[% anualiz]:[% anualiz]]),1)*IF(DATOS!BB$4="Sí",1/DATOS_[[% normaliz]:[% normaliz]],1)*(DATOS_[Conc.Sal.24]))))))),
0)</f>
        <v>0</v>
      </c>
      <c r="AH10" s="170">
        <f t="array" ref="AH10">IFERROR(
(MEDIAN((IF(DATOS_[[Sexo]:[Sexo]]=$B10,IF(DATOS_[[Check Periodo Ref.]:[Check Periodo Ref.]]="Dentro",IF(DATOS_[[Check Equiparado]:[Check Equiparado]]="Sí",IF(DATOS!BC$5="Sí",(1/DATOS_[[% anualiz]:[% anualiz]]),1)*IF(DATOS!BC$4="Sí",1/DATOS_[[% normaliz]:[% normaliz]],1)*(DATOS_[Conc.Sal.25]))))))),
0)</f>
        <v>0</v>
      </c>
      <c r="AI10" s="170">
        <f t="array" ref="AI10">IFERROR(
(MEDIAN((IF(DATOS_[[Sexo]:[Sexo]]=$B10,IF(DATOS_[[Check Periodo Ref.]:[Check Periodo Ref.]]="Dentro",IF(DATOS_[[Check Equiparado]:[Check Equiparado]]="Sí",IF(DATOS!BD$5="Sí",(1/DATOS_[[% anualiz]:[% anualiz]]),1)*IF(DATOS!BD$4="Sí",1/DATOS_[[% normaliz]:[% normaliz]],1)*(DATOS_[Conc.Sal.26]))))))),
0)</f>
        <v>0</v>
      </c>
      <c r="AJ10" s="170">
        <f t="array" ref="AJ10">IFERROR(
(MEDIAN((IF(DATOS_[[Sexo]:[Sexo]]=$B10,IF(DATOS_[[Check Periodo Ref.]:[Check Periodo Ref.]]="Dentro",IF(DATOS_[[Check Equiparado]:[Check Equiparado]]="Sí",IF(DATOS!BE$5="Sí",(1/DATOS_[[% anualiz]:[% anualiz]]),1)*IF(DATOS!BE$4="Sí",1/DATOS_[[% normaliz]:[% normaliz]],1)*(DATOS_[Conc.Sal.27]))))))),
0)</f>
        <v>0</v>
      </c>
      <c r="AK10" s="170">
        <f t="array" ref="AK10">IFERROR(
(MEDIAN((IF(DATOS_[[Sexo]:[Sexo]]=$B10,IF(DATOS_[[Check Periodo Ref.]:[Check Periodo Ref.]]="Dentro",IF(DATOS_[[Check Equiparado]:[Check Equiparado]]="Sí",IF(DATOS!BF$5="Sí",(1/DATOS_[[% anualiz]:[% anualiz]]),1)*IF(DATOS!BF$4="Sí",1/DATOS_[[% normaliz]:[% normaliz]],1)*(DATOS_[Conc.Sal.28]))))))),
0)</f>
        <v>0</v>
      </c>
      <c r="AL10" s="170">
        <f t="array" ref="AL10">IFERROR(
(MEDIAN((IF(DATOS_[[Sexo]:[Sexo]]=$B10,IF(DATOS_[[Check Periodo Ref.]:[Check Periodo Ref.]]="Dentro",IF(DATOS_[[Check Equiparado]:[Check Equiparado]]="Sí",IF(DATOS!BG$5="Sí",(1/DATOS_[[% anualiz]:[% anualiz]]),1)*IF(DATOS!BG$4="Sí",1/DATOS_[[% normaliz]:[% normaliz]],1)*(DATOS_[Conc.Sal.29]))))))),
0)</f>
        <v>0</v>
      </c>
      <c r="AM10" s="170">
        <f t="array" ref="AM10">IFERROR(
(MEDIAN((IF(DATOS_[[Sexo]:[Sexo]]=$B10,IF(DATOS_[[Check Periodo Ref.]:[Check Periodo Ref.]]="Dentro",IF(DATOS_[[Check Equiparado]:[Check Equiparado]]="Sí",IF(DATOS!BH$5="Sí",(1/DATOS_[[% anualiz]:[% anualiz]]),1)*IF(DATOS!BH$4="Sí",1/DATOS_[[% normaliz]:[% normaliz]],1)*(DATOS_[Conc.Sal.30]))))))),
0)</f>
        <v>0</v>
      </c>
      <c r="AN10" s="171">
        <f t="array" ref="AN10">IFERROR(
MEDIAN(IF(DATOS_[Sexo]=$B10,IF(DATOS_[Check Equiparado]="Sí",IF(DATOS_[Check Periodo Ref.]="Dentro",DATOS_[Tot COMPL.SAL Eq],FALSE)))),
0)</f>
        <v>0</v>
      </c>
      <c r="AO10" s="172">
        <f t="array" ref="AO10">IFERROR(
MEDIAN(IF(DATOS_[Sexo]=$B10,IF(DATOS_[Check Equiparado]="Sí",IF(DATOS_[Check Periodo Ref.]="Dentro",DATOS_[TOTAL SALARIO Eq],FALSE)))),
0)</f>
        <v>0</v>
      </c>
      <c r="AP10" s="173">
        <f t="array" ref="AP10">IFERROR(
(MEDIAN((IF(DATOS_[[Sexo]:[Sexo]]=$B10,IF(DATOS_[[Check Periodo Ref.]:[Check Periodo Ref.]]="Dentro",IF(DATOS_[[Check Equiparado]:[Check Equiparado]]="Sí",IF(DATOS!BW$5="Sí",(1/DATOS_[[% anualiz]:[% anualiz]]),1)*IF(DATOS!BW$4="Sí",1/DATOS_[[% normaliz]:[% normaliz]],1)*(DATOS_[C.Extra.01]))))))),
0)</f>
        <v>0</v>
      </c>
      <c r="AQ10" s="173">
        <f t="array" ref="AQ10">IFERROR(
(MEDIAN((IF(DATOS_[[Sexo]:[Sexo]]=$B10,IF(DATOS_[[Check Periodo Ref.]:[Check Periodo Ref.]]="Dentro",IF(DATOS_[[Check Equiparado]:[Check Equiparado]]="Sí",IF(DATOS!CB$5="Sí",(1/DATOS_[[% anualiz]:[% anualiz]]),1)*IF(DATOS!CB$4="Sí",1/DATOS_[[% normaliz]:[% normaliz]],1)*(DATOS_[C.Extra.06]))))))),
0)</f>
        <v>0</v>
      </c>
      <c r="AR10" s="173">
        <f t="array" ref="AR10">IFERROR(
(MEDIAN((IF(DATOS_[[Sexo]:[Sexo]]=$B10,IF(DATOS_[[Check Periodo Ref.]:[Check Periodo Ref.]]="Dentro",IF(DATOS_[[Check Equiparado]:[Check Equiparado]]="Sí",IF(DATOS!CC$5="Sí",(1/DATOS_[[% anualiz]:[% anualiz]]),1)*IF(DATOS!CC$4="Sí",1/DATOS_[[% normaliz]:[% normaliz]],1)*(DATOS_[C.Extra.07]))))))),
0)</f>
        <v>0</v>
      </c>
      <c r="AS10" s="173">
        <f t="array" ref="AS10">IFERROR(
(MEDIAN((IF(DATOS_[[Sexo]:[Sexo]]=$B10,IF(DATOS_[[Check Periodo Ref.]:[Check Periodo Ref.]]="Dentro",IF(DATOS_[[Check Equiparado]:[Check Equiparado]]="Sí",IF(DATOS!CD$5="Sí",(1/DATOS_[[% anualiz]:[% anualiz]]),1)*IF(DATOS!CD$4="Sí",1/DATOS_[[% normaliz]:[% normaliz]],1)*(DATOS_[C.Extra.08]))))))),
0)</f>
        <v>0</v>
      </c>
      <c r="AT10" s="173">
        <f t="array" ref="AT10">IFERROR(
(MEDIAN((IF(DATOS_[[Sexo]:[Sexo]]=$B10,IF(DATOS_[[Check Periodo Ref.]:[Check Periodo Ref.]]="Dentro",IF(DATOS_[[Check Equiparado]:[Check Equiparado]]="Sí",IF(DATOS!CG$5="Sí",(1/DATOS_[[% anualiz]:[% anualiz]]),1)*IF(DATOS!CG$4="Sí",1/DATOS_[[% normaliz]:[% normaliz]],1)*(DATOS_[C.Extra.11]))))))),
0)</f>
        <v>0</v>
      </c>
      <c r="AU10" s="174">
        <f t="array" ref="AU10">IFERROR(
MEDIAN(IF(DATOS_[Sexo]=$B10,IF(DATOS_[Check Equiparado]="Sí",IF(DATOS_[Check Periodo Ref.]="Dentro",DATOS_[Tot Extrasalarial Eq],FALSE)))),
0)</f>
        <v>0</v>
      </c>
      <c r="AV10" s="175">
        <f t="array" ref="AV10">IFERROR(
MEDIAN(IF(DATOS_[Sexo]=$B10,IF(DATOS_[Check Equiparado]="Sí",IF(DATOS_[Check Periodo Ref.]="Dentro",DATOS_[TOTAL Retrib Eq],FALSE)))),
0)</f>
        <v>0</v>
      </c>
    </row>
    <row r="11" spans="1:48" x14ac:dyDescent="0.25">
      <c r="B11" s="202" t="s">
        <v>521</v>
      </c>
      <c r="C11" s="203">
        <f t="array" ref="C11">SUM(IF($B11=DATOS_[Sexo],
IF("Dentro"=DATOS_[Check Periodo Ref.],
1/(COUNTIFS(DATOS_[Sexo],$B11,DATOS_[Check Periodo Ref.],"Dentro",DATOS_[id/cod],DATOS_[id/cod])))))</f>
        <v>52.000000000000007</v>
      </c>
      <c r="D11" s="204">
        <f>COUNTIFS(DATOS_[AGRUP. VALOR. PTO.],"&lt;&gt;",DATOS_[Sexo],$B11,DATOS_[Check Periodo Ref.],"Dentro")</f>
        <v>0</v>
      </c>
      <c r="E11" s="204">
        <f>COUNTIFS(DATOS_[AGRUP. VALOR. PTO.],"&lt;&gt;",DATOS_[Sexo],$B11,DATOS_[Check Periodo Ref.],"Dentro",DATOS_[Check Nº SC Norm],"Sí")</f>
        <v>0</v>
      </c>
      <c r="F11" s="204">
        <f>COUNTIFS(DATOS_[AGRUP. VALOR. PTO.],"&lt;&gt;",DATOS_[Sexo],$B11,DATOS_[Check Periodo Ref.],"Dentro",DATOS_[Check Nº SC Anualiz],"Sí")</f>
        <v>0</v>
      </c>
      <c r="G11" s="204">
        <f>COUNTIFS(DATOS_[AGRUP. VALOR. PTO.],"&lt;&gt;",DATOS_[Sexo],$B11,DATOS_[Check Periodo Ref.],"Dentro",DATOS_[Check Nº SC Norm y Anualiz],"Sí")</f>
        <v>0</v>
      </c>
      <c r="H11" s="204">
        <f>COUNTIFS(DATOS_[AGRUP. VALOR. PTO.],"&lt;&gt;",DATOS_[Sexo],$B11,DATOS_[Check Periodo Ref.],"Dentro",DATOS_[Check Equiparación],"Sí")</f>
        <v>0</v>
      </c>
      <c r="I11" s="169">
        <f t="array" ref="I11">IFERROR(
MEDIAN(IF(DATOS_[Sexo]=$B11,IF(DATOS_[Check Equiparado]="Sí",IF(DATOS_[Check Periodo Ref.]="Dentro",DATOS_[SALARIO BASE Eq],FALSE)))),
0)</f>
        <v>0</v>
      </c>
      <c r="J11" s="170">
        <f t="array" ref="J11">IFERROR(
(MEDIAN((IF(DATOS_[[Sexo]:[Sexo]]=$B11,IF(DATOS_[[Check Periodo Ref.]:[Check Periodo Ref.]]="Dentro",IF(DATOS_[[Check Equiparado]:[Check Equiparado]]="Sí",IF(DATOS!AE$5="Sí",(1/DATOS_[[% anualiz]:[% anualiz]]),1)*IF(DATOS!AE$4="Sí",1/DATOS_[[% normaliz]:[% normaliz]],1)*(DATOS_[Conc.Sal.01]))))))),
0)</f>
        <v>0</v>
      </c>
      <c r="K11" s="170">
        <f t="array" ref="K11">IFERROR(
(MEDIAN((IF(DATOS_[[Sexo]:[Sexo]]=$B11,IF(DATOS_[[Check Periodo Ref.]:[Check Periodo Ref.]]="Dentro",IF(DATOS_[[Check Equiparado]:[Check Equiparado]]="Sí",IF(DATOS!AF$5="Sí",(1/DATOS_[[% anualiz]:[% anualiz]]),1)*IF(DATOS!AF$4="Sí",1/DATOS_[[% normaliz]:[% normaliz]],1)*(DATOS_[Conc.Sal.02]))))))),
0)</f>
        <v>0</v>
      </c>
      <c r="L11" s="170">
        <f t="array" ref="L11">IFERROR(
(MEDIAN((IF(DATOS_[[Sexo]:[Sexo]]=$B11,IF(DATOS_[[Check Periodo Ref.]:[Check Periodo Ref.]]="Dentro",IF(DATOS_[[Check Equiparado]:[Check Equiparado]]="Sí",IF(DATOS!AG$5="Sí",(1/DATOS_[[% anualiz]:[% anualiz]]),1)*IF(DATOS!AG$4="Sí",1/DATOS_[[% normaliz]:[% normaliz]],1)*(DATOS_[Conc.Sal.03]))))))),
0)</f>
        <v>0</v>
      </c>
      <c r="M11" s="170">
        <f t="array" ref="M11">IFERROR(
(MEDIAN((IF(DATOS_[[Sexo]:[Sexo]]=$B11,IF(DATOS_[[Check Periodo Ref.]:[Check Periodo Ref.]]="Dentro",IF(DATOS_[[Check Equiparado]:[Check Equiparado]]="Sí",IF(DATOS!AH$5="Sí",(1/DATOS_[[% anualiz]:[% anualiz]]),1)*IF(DATOS!AH$4="Sí",1/DATOS_[[% normaliz]:[% normaliz]],1)*(DATOS_[Conc.Sal.04]))))))),
0)</f>
        <v>0</v>
      </c>
      <c r="N11" s="170">
        <f t="array" ref="N11">IFERROR(
(MEDIAN((IF(DATOS_[[Sexo]:[Sexo]]=$B11,IF(DATOS_[[Check Periodo Ref.]:[Check Periodo Ref.]]="Dentro",IF(DATOS_[[Check Equiparado]:[Check Equiparado]]="Sí",IF(DATOS!AI$5="Sí",(1/DATOS_[[% anualiz]:[% anualiz]]),1)*IF(DATOS!AI$4="Sí",1/DATOS_[[% normaliz]:[% normaliz]],1)*(DATOS_[Conc.Sal.05]))))))),
0)</f>
        <v>0</v>
      </c>
      <c r="O11" s="170">
        <f t="array" ref="O11">IFERROR(
(MEDIAN((IF(DATOS_[[Sexo]:[Sexo]]=$B11,IF(DATOS_[[Check Periodo Ref.]:[Check Periodo Ref.]]="Dentro",IF(DATOS_[[Check Equiparado]:[Check Equiparado]]="Sí",IF(DATOS!AJ$5="Sí",(1/DATOS_[[% anualiz]:[% anualiz]]),1)*IF(DATOS!AJ$4="Sí",1/DATOS_[[% normaliz]:[% normaliz]],1)*(DATOS_[Conc.Sal.06]))))))),
0)</f>
        <v>0</v>
      </c>
      <c r="P11" s="170">
        <f t="array" ref="P11">IFERROR(
(MEDIAN((IF(DATOS_[[Sexo]:[Sexo]]=$B11,IF(DATOS_[[Check Periodo Ref.]:[Check Periodo Ref.]]="Dentro",IF(DATOS_[[Check Equiparado]:[Check Equiparado]]="Sí",IF(DATOS!AK$5="Sí",(1/DATOS_[[% anualiz]:[% anualiz]]),1)*IF(DATOS!AK$4="Sí",1/DATOS_[[% normaliz]:[% normaliz]],1)*(DATOS_[Conc.Sal.07]))))))),
0)</f>
        <v>0</v>
      </c>
      <c r="Q11" s="170">
        <f t="array" ref="Q11">IFERROR(
(MEDIAN((IF(DATOS_[[Sexo]:[Sexo]]=$B11,IF(DATOS_[[Check Periodo Ref.]:[Check Periodo Ref.]]="Dentro",IF(DATOS_[[Check Equiparado]:[Check Equiparado]]="Sí",IF(DATOS!AL$5="Sí",(1/DATOS_[[% anualiz]:[% anualiz]]),1)*IF(DATOS!AL$4="Sí",1/DATOS_[[% normaliz]:[% normaliz]],1)*(DATOS_[Conc.Sal.08]))))))),
0)</f>
        <v>0</v>
      </c>
      <c r="R11" s="170">
        <f t="array" ref="R11">IFERROR(
(MEDIAN((IF(DATOS_[[Sexo]:[Sexo]]=$B11,IF(DATOS_[[Check Periodo Ref.]:[Check Periodo Ref.]]="Dentro",IF(DATOS_[[Check Equiparado]:[Check Equiparado]]="Sí",IF(DATOS!AM$5="Sí",(1/DATOS_[[% anualiz]:[% anualiz]]),1)*IF(DATOS!AM$4="Sí",1/DATOS_[[% normaliz]:[% normaliz]],1)*(DATOS_[Conc.Sal.09]))))))),
0)</f>
        <v>0</v>
      </c>
      <c r="S11" s="170">
        <f t="array" ref="S11">IFERROR(
(MEDIAN((IF(DATOS_[[Sexo]:[Sexo]]=$B11,IF(DATOS_[[Check Periodo Ref.]:[Check Periodo Ref.]]="Dentro",IF(DATOS_[[Check Equiparado]:[Check Equiparado]]="Sí",IF(DATOS!AN$5="Sí",(1/DATOS_[[% anualiz]:[% anualiz]]),1)*IF(DATOS!AN$4="Sí",1/DATOS_[[% normaliz]:[% normaliz]],1)*(DATOS_[Conc.Sal.10]))))))),
0)</f>
        <v>0</v>
      </c>
      <c r="T11" s="170">
        <f t="array" ref="T11">IFERROR(
(MEDIAN((IF(DATOS_[[Sexo]:[Sexo]]=$B11,IF(DATOS_[[Check Periodo Ref.]:[Check Periodo Ref.]]="Dentro",IF(DATOS_[[Check Equiparado]:[Check Equiparado]]="Sí",IF(DATOS!AO$5="Sí",(1/DATOS_[[% anualiz]:[% anualiz]]),1)*IF(DATOS!AO$4="Sí",1/DATOS_[[% normaliz]:[% normaliz]],1)*(DATOS_[Conc.Sal.11]))))))),
0)</f>
        <v>0</v>
      </c>
      <c r="U11" s="170">
        <f t="array" ref="U11">IFERROR(
(MEDIAN((IF(DATOS_[[Sexo]:[Sexo]]=$B11,IF(DATOS_[[Check Periodo Ref.]:[Check Periodo Ref.]]="Dentro",IF(DATOS_[[Check Equiparado]:[Check Equiparado]]="Sí",IF(DATOS!AP$5="Sí",(1/DATOS_[[% anualiz]:[% anualiz]]),1)*IF(DATOS!AP$4="Sí",1/DATOS_[[% normaliz]:[% normaliz]],1)*(DATOS_[Conc.Sal.12]))))))),
0)</f>
        <v>0</v>
      </c>
      <c r="V11" s="170">
        <f t="array" ref="V11">IFERROR(
(MEDIAN((IF(DATOS_[[Sexo]:[Sexo]]=$B11,IF(DATOS_[[Check Periodo Ref.]:[Check Periodo Ref.]]="Dentro",IF(DATOS_[[Check Equiparado]:[Check Equiparado]]="Sí",IF(DATOS!AQ$5="Sí",(1/DATOS_[[% anualiz]:[% anualiz]]),1)*IF(DATOS!AQ$4="Sí",1/DATOS_[[% normaliz]:[% normaliz]],1)*(DATOS_[Conc.Sal.13]))))))),
0)</f>
        <v>0</v>
      </c>
      <c r="W11" s="170">
        <f t="array" ref="W11">IFERROR(
(MEDIAN((IF(DATOS_[[Sexo]:[Sexo]]=$B11,IF(DATOS_[[Check Periodo Ref.]:[Check Periodo Ref.]]="Dentro",IF(DATOS_[[Check Equiparado]:[Check Equiparado]]="Sí",IF(DATOS!AR$5="Sí",(1/DATOS_[[% anualiz]:[% anualiz]]),1)*IF(DATOS!AR$4="Sí",1/DATOS_[[% normaliz]:[% normaliz]],1)*(DATOS_[Conc.Sal.14]))))))),
0)</f>
        <v>0</v>
      </c>
      <c r="X11" s="170">
        <f t="array" ref="X11">IFERROR(
(MEDIAN((IF(DATOS_[[Sexo]:[Sexo]]=$B11,IF(DATOS_[[Check Periodo Ref.]:[Check Periodo Ref.]]="Dentro",IF(DATOS_[[Check Equiparado]:[Check Equiparado]]="Sí",IF(DATOS!AS$5="Sí",(1/DATOS_[[% anualiz]:[% anualiz]]),1)*IF(DATOS!AS$4="Sí",1/DATOS_[[% normaliz]:[% normaliz]],1)*(DATOS_[Conc.Sal.15]))))))),
0)</f>
        <v>0</v>
      </c>
      <c r="Y11" s="170">
        <f t="array" ref="Y11">IFERROR(
(MEDIAN((IF(DATOS_[[Sexo]:[Sexo]]=$B11,IF(DATOS_[[Check Periodo Ref.]:[Check Periodo Ref.]]="Dentro",IF(DATOS_[[Check Equiparado]:[Check Equiparado]]="Sí",IF(DATOS!AT$5="Sí",(1/DATOS_[[% anualiz]:[% anualiz]]),1)*IF(DATOS!AT$4="Sí",1/DATOS_[[% normaliz]:[% normaliz]],1)*(DATOS_[Conc.Sal.16]))))))),
0)</f>
        <v>0</v>
      </c>
      <c r="Z11" s="170">
        <f t="array" ref="Z11">IFERROR(
(MEDIAN((IF(DATOS_[[Sexo]:[Sexo]]=$B11,IF(DATOS_[[Check Periodo Ref.]:[Check Periodo Ref.]]="Dentro",IF(DATOS_[[Check Equiparado]:[Check Equiparado]]="Sí",IF(DATOS!AU$5="Sí",(1/DATOS_[[% anualiz]:[% anualiz]]),1)*IF(DATOS!AU$4="Sí",1/DATOS_[[% normaliz]:[% normaliz]],1)*(DATOS_[Conc.Sal.17]))))))),
0)</f>
        <v>0</v>
      </c>
      <c r="AA11" s="170">
        <f t="array" ref="AA11">IFERROR(
(MEDIAN((IF(DATOS_[[Sexo]:[Sexo]]=$B11,IF(DATOS_[[Check Periodo Ref.]:[Check Periodo Ref.]]="Dentro",IF(DATOS_[[Check Equiparado]:[Check Equiparado]]="Sí",IF(DATOS!AV$5="Sí",(1/DATOS_[[% anualiz]:[% anualiz]]),1)*IF(DATOS!AV$4="Sí",1/DATOS_[[% normaliz]:[% normaliz]],1)*(DATOS_[Conc.Sal.18]))))))),
0)</f>
        <v>0</v>
      </c>
      <c r="AB11" s="170">
        <f t="array" ref="AB11">IFERROR(
(MEDIAN((IF(DATOS_[[Sexo]:[Sexo]]=$B11,IF(DATOS_[[Check Periodo Ref.]:[Check Periodo Ref.]]="Dentro",IF(DATOS_[[Check Equiparado]:[Check Equiparado]]="Sí",IF(DATOS!AW$5="Sí",(1/DATOS_[[% anualiz]:[% anualiz]]),1)*IF(DATOS!AW$4="Sí",1/DATOS_[[% normaliz]:[% normaliz]],1)*(DATOS_[Conc.Sal.19]))))))),
0)</f>
        <v>0</v>
      </c>
      <c r="AC11" s="170">
        <f t="array" ref="AC11">IFERROR(
(MEDIAN((IF(DATOS_[[Sexo]:[Sexo]]=$B11,IF(DATOS_[[Check Periodo Ref.]:[Check Periodo Ref.]]="Dentro",IF(DATOS_[[Check Equiparado]:[Check Equiparado]]="Sí",IF(DATOS!AX$5="Sí",(1/DATOS_[[% anualiz]:[% anualiz]]),1)*IF(DATOS!AX$4="Sí",1/DATOS_[[% normaliz]:[% normaliz]],1)*(DATOS_[Conc.Sal.20]))))))),
0)</f>
        <v>0</v>
      </c>
      <c r="AD11" s="170">
        <f t="array" ref="AD11">IFERROR(
(MEDIAN((IF(DATOS_[[Sexo]:[Sexo]]=$B11,IF(DATOS_[[Check Periodo Ref.]:[Check Periodo Ref.]]="Dentro",IF(DATOS_[[Check Equiparado]:[Check Equiparado]]="Sí",IF(DATOS!AY$5="Sí",(1/DATOS_[[% anualiz]:[% anualiz]]),1)*IF(DATOS!AY$4="Sí",1/DATOS_[[% normaliz]:[% normaliz]],1)*(DATOS_[Conc.Sal.21]))))))),
0)</f>
        <v>0</v>
      </c>
      <c r="AE11" s="170">
        <f t="array" ref="AE11">IFERROR(
(MEDIAN((IF(DATOS_[[Sexo]:[Sexo]]=$B11,IF(DATOS_[[Check Periodo Ref.]:[Check Periodo Ref.]]="Dentro",IF(DATOS_[[Check Equiparado]:[Check Equiparado]]="Sí",IF(DATOS!AZ$5="Sí",(1/DATOS_[[% anualiz]:[% anualiz]]),1)*IF(DATOS!AZ$4="Sí",1/DATOS_[[% normaliz]:[% normaliz]],1)*(DATOS_[Conc.Sal.22]))))))),
0)</f>
        <v>0</v>
      </c>
      <c r="AF11" s="170">
        <f t="array" ref="AF11">IFERROR(
(MEDIAN((IF(DATOS_[[Sexo]:[Sexo]]=$B11,IF(DATOS_[[Check Periodo Ref.]:[Check Periodo Ref.]]="Dentro",IF(DATOS_[[Check Equiparado]:[Check Equiparado]]="Sí",IF(DATOS!BA$5="Sí",(1/DATOS_[[% anualiz]:[% anualiz]]),1)*IF(DATOS!BA$4="Sí",1/DATOS_[[% normaliz]:[% normaliz]],1)*(DATOS_[Conc.Sal.23]))))))),
0)</f>
        <v>0</v>
      </c>
      <c r="AG11" s="170">
        <f t="array" ref="AG11">IFERROR(
(MEDIAN((IF(DATOS_[[Sexo]:[Sexo]]=$B11,IF(DATOS_[[Check Periodo Ref.]:[Check Periodo Ref.]]="Dentro",IF(DATOS_[[Check Equiparado]:[Check Equiparado]]="Sí",IF(DATOS!BB$5="Sí",(1/DATOS_[[% anualiz]:[% anualiz]]),1)*IF(DATOS!BB$4="Sí",1/DATOS_[[% normaliz]:[% normaliz]],1)*(DATOS_[Conc.Sal.24]))))))),
0)</f>
        <v>0</v>
      </c>
      <c r="AH11" s="170">
        <f t="array" ref="AH11">IFERROR(
(MEDIAN((IF(DATOS_[[Sexo]:[Sexo]]=$B11,IF(DATOS_[[Check Periodo Ref.]:[Check Periodo Ref.]]="Dentro",IF(DATOS_[[Check Equiparado]:[Check Equiparado]]="Sí",IF(DATOS!BC$5="Sí",(1/DATOS_[[% anualiz]:[% anualiz]]),1)*IF(DATOS!BC$4="Sí",1/DATOS_[[% normaliz]:[% normaliz]],1)*(DATOS_[Conc.Sal.25]))))))),
0)</f>
        <v>0</v>
      </c>
      <c r="AI11" s="170">
        <f t="array" ref="AI11">IFERROR(
(MEDIAN((IF(DATOS_[[Sexo]:[Sexo]]=$B11,IF(DATOS_[[Check Periodo Ref.]:[Check Periodo Ref.]]="Dentro",IF(DATOS_[[Check Equiparado]:[Check Equiparado]]="Sí",IF(DATOS!BD$5="Sí",(1/DATOS_[[% anualiz]:[% anualiz]]),1)*IF(DATOS!BD$4="Sí",1/DATOS_[[% normaliz]:[% normaliz]],1)*(DATOS_[Conc.Sal.26]))))))),
0)</f>
        <v>0</v>
      </c>
      <c r="AJ11" s="170">
        <f t="array" ref="AJ11">IFERROR(
(MEDIAN((IF(DATOS_[[Sexo]:[Sexo]]=$B11,IF(DATOS_[[Check Periodo Ref.]:[Check Periodo Ref.]]="Dentro",IF(DATOS_[[Check Equiparado]:[Check Equiparado]]="Sí",IF(DATOS!BE$5="Sí",(1/DATOS_[[% anualiz]:[% anualiz]]),1)*IF(DATOS!BE$4="Sí",1/DATOS_[[% normaliz]:[% normaliz]],1)*(DATOS_[Conc.Sal.27]))))))),
0)</f>
        <v>0</v>
      </c>
      <c r="AK11" s="170">
        <f t="array" ref="AK11">IFERROR(
(MEDIAN((IF(DATOS_[[Sexo]:[Sexo]]=$B11,IF(DATOS_[[Check Periodo Ref.]:[Check Periodo Ref.]]="Dentro",IF(DATOS_[[Check Equiparado]:[Check Equiparado]]="Sí",IF(DATOS!BF$5="Sí",(1/DATOS_[[% anualiz]:[% anualiz]]),1)*IF(DATOS!BF$4="Sí",1/DATOS_[[% normaliz]:[% normaliz]],1)*(DATOS_[Conc.Sal.28]))))))),
0)</f>
        <v>0</v>
      </c>
      <c r="AL11" s="170">
        <f t="array" ref="AL11">IFERROR(
(MEDIAN((IF(DATOS_[[Sexo]:[Sexo]]=$B11,IF(DATOS_[[Check Periodo Ref.]:[Check Periodo Ref.]]="Dentro",IF(DATOS_[[Check Equiparado]:[Check Equiparado]]="Sí",IF(DATOS!BG$5="Sí",(1/DATOS_[[% anualiz]:[% anualiz]]),1)*IF(DATOS!BG$4="Sí",1/DATOS_[[% normaliz]:[% normaliz]],1)*(DATOS_[Conc.Sal.29]))))))),
0)</f>
        <v>0</v>
      </c>
      <c r="AM11" s="170">
        <f t="array" ref="AM11">IFERROR(
(MEDIAN((IF(DATOS_[[Sexo]:[Sexo]]=$B11,IF(DATOS_[[Check Periodo Ref.]:[Check Periodo Ref.]]="Dentro",IF(DATOS_[[Check Equiparado]:[Check Equiparado]]="Sí",IF(DATOS!BH$5="Sí",(1/DATOS_[[% anualiz]:[% anualiz]]),1)*IF(DATOS!BH$4="Sí",1/DATOS_[[% normaliz]:[% normaliz]],1)*(DATOS_[Conc.Sal.30]))))))),
0)</f>
        <v>0</v>
      </c>
      <c r="AN11" s="171">
        <f t="array" ref="AN11">IFERROR(
MEDIAN(IF(DATOS_[Sexo]=$B11,IF(DATOS_[Check Equiparado]="Sí",IF(DATOS_[Check Periodo Ref.]="Dentro",DATOS_[Tot COMPL.SAL Eq],FALSE)))),
0)</f>
        <v>0</v>
      </c>
      <c r="AO11" s="172">
        <f t="array" ref="AO11">IFERROR(
MEDIAN(IF(DATOS_[Sexo]=$B11,IF(DATOS_[Check Equiparado]="Sí",IF(DATOS_[Check Periodo Ref.]="Dentro",DATOS_[TOTAL SALARIO Eq],FALSE)))),
0)</f>
        <v>0</v>
      </c>
      <c r="AP11" s="173">
        <f t="array" ref="AP11">IFERROR(
(MEDIAN((IF(DATOS_[[Sexo]:[Sexo]]=$B11,IF(DATOS_[[Check Periodo Ref.]:[Check Periodo Ref.]]="Dentro",IF(DATOS_[[Check Equiparado]:[Check Equiparado]]="Sí",IF(DATOS!BW$5="Sí",(1/DATOS_[[% anualiz]:[% anualiz]]),1)*IF(DATOS!BW$4="Sí",1/DATOS_[[% normaliz]:[% normaliz]],1)*(DATOS_[C.Extra.01]))))))),
0)</f>
        <v>0</v>
      </c>
      <c r="AQ11" s="173">
        <f t="array" ref="AQ11">IFERROR(
(MEDIAN((IF(DATOS_[[Sexo]:[Sexo]]=$B11,IF(DATOS_[[Check Periodo Ref.]:[Check Periodo Ref.]]="Dentro",IF(DATOS_[[Check Equiparado]:[Check Equiparado]]="Sí",IF(DATOS!CB$5="Sí",(1/DATOS_[[% anualiz]:[% anualiz]]),1)*IF(DATOS!CB$4="Sí",1/DATOS_[[% normaliz]:[% normaliz]],1)*(DATOS_[C.Extra.06]))))))),
0)</f>
        <v>0</v>
      </c>
      <c r="AR11" s="173">
        <f t="array" ref="AR11">IFERROR(
(MEDIAN((IF(DATOS_[[Sexo]:[Sexo]]=$B11,IF(DATOS_[[Check Periodo Ref.]:[Check Periodo Ref.]]="Dentro",IF(DATOS_[[Check Equiparado]:[Check Equiparado]]="Sí",IF(DATOS!CC$5="Sí",(1/DATOS_[[% anualiz]:[% anualiz]]),1)*IF(DATOS!CC$4="Sí",1/DATOS_[[% normaliz]:[% normaliz]],1)*(DATOS_[C.Extra.07]))))))),
0)</f>
        <v>0</v>
      </c>
      <c r="AS11" s="173">
        <f t="array" ref="AS11">IFERROR(
(MEDIAN((IF(DATOS_[[Sexo]:[Sexo]]=$B11,IF(DATOS_[[Check Periodo Ref.]:[Check Periodo Ref.]]="Dentro",IF(DATOS_[[Check Equiparado]:[Check Equiparado]]="Sí",IF(DATOS!CD$5="Sí",(1/DATOS_[[% anualiz]:[% anualiz]]),1)*IF(DATOS!CD$4="Sí",1/DATOS_[[% normaliz]:[% normaliz]],1)*(DATOS_[C.Extra.08]))))))),
0)</f>
        <v>0</v>
      </c>
      <c r="AT11" s="173">
        <f t="array" ref="AT11">IFERROR(
(MEDIAN((IF(DATOS_[[Sexo]:[Sexo]]=$B11,IF(DATOS_[[Check Periodo Ref.]:[Check Periodo Ref.]]="Dentro",IF(DATOS_[[Check Equiparado]:[Check Equiparado]]="Sí",IF(DATOS!CG$5="Sí",(1/DATOS_[[% anualiz]:[% anualiz]]),1)*IF(DATOS!CG$4="Sí",1/DATOS_[[% normaliz]:[% normaliz]],1)*(DATOS_[C.Extra.11]))))))),
0)</f>
        <v>0</v>
      </c>
      <c r="AU11" s="174">
        <f t="array" ref="AU11">IFERROR(
MEDIAN(IF(DATOS_[Sexo]=$B11,IF(DATOS_[Check Equiparado]="Sí",IF(DATOS_[Check Periodo Ref.]="Dentro",DATOS_[Tot Extrasalarial Eq],FALSE)))),
0)</f>
        <v>0</v>
      </c>
      <c r="AV11" s="175">
        <f t="array" ref="AV11">IFERROR(
MEDIAN(IF(DATOS_[Sexo]=$B11,IF(DATOS_[Check Equiparado]="Sí",IF(DATOS_[Check Periodo Ref.]="Dentro",DATOS_[TOTAL Retrib Eq],FALSE)))),
0)</f>
        <v>0</v>
      </c>
    </row>
    <row r="12" spans="1:48" x14ac:dyDescent="0.25">
      <c r="D12" s="205"/>
      <c r="E12" s="205"/>
      <c r="F12" s="205"/>
      <c r="G12" s="205"/>
      <c r="H12" s="205"/>
      <c r="N12" s="206"/>
      <c r="O12" s="207"/>
      <c r="P12" s="207"/>
      <c r="Q12" s="207"/>
      <c r="R12" s="207"/>
      <c r="S12" s="207"/>
      <c r="T12" s="207"/>
      <c r="U12" s="207"/>
      <c r="V12" s="207"/>
      <c r="W12" s="207"/>
      <c r="X12" s="207"/>
      <c r="Y12" s="207"/>
      <c r="Z12" s="206"/>
      <c r="AA12" s="206"/>
      <c r="AB12" s="206"/>
      <c r="AC12" s="206"/>
      <c r="AD12" s="206"/>
      <c r="AE12" s="206"/>
      <c r="AF12" s="206"/>
      <c r="AG12" s="206"/>
      <c r="AH12" s="206"/>
      <c r="AI12" s="206"/>
      <c r="AJ12" s="206"/>
      <c r="AK12" s="206"/>
      <c r="AL12" s="206"/>
      <c r="AM12" s="206"/>
      <c r="AP12" s="207"/>
      <c r="AQ12" s="207"/>
      <c r="AR12" s="207"/>
      <c r="AS12" s="207"/>
      <c r="AT12" s="207"/>
    </row>
    <row r="13" spans="1:48" x14ac:dyDescent="0.25">
      <c r="D13" s="205"/>
      <c r="E13" s="205"/>
      <c r="F13" s="205"/>
      <c r="G13" s="205"/>
      <c r="H13" s="205"/>
      <c r="N13" s="206"/>
      <c r="O13" s="207"/>
      <c r="P13" s="207"/>
      <c r="Q13" s="207"/>
      <c r="R13" s="207"/>
      <c r="S13" s="207"/>
      <c r="T13" s="207"/>
      <c r="U13" s="207"/>
      <c r="V13" s="207"/>
      <c r="W13" s="207"/>
      <c r="X13" s="207"/>
      <c r="Y13" s="207"/>
      <c r="Z13" s="206"/>
      <c r="AA13" s="206"/>
      <c r="AB13" s="206"/>
      <c r="AC13" s="206"/>
      <c r="AD13" s="206"/>
      <c r="AE13" s="206"/>
      <c r="AF13" s="206"/>
      <c r="AG13" s="206"/>
      <c r="AH13" s="206"/>
      <c r="AI13" s="206"/>
      <c r="AJ13" s="206"/>
      <c r="AK13" s="206"/>
      <c r="AL13" s="206"/>
      <c r="AM13" s="206"/>
      <c r="AP13" s="207"/>
      <c r="AQ13" s="207"/>
      <c r="AR13" s="207"/>
      <c r="AS13" s="207"/>
      <c r="AT13" s="207"/>
    </row>
    <row r="14" spans="1:48" s="203" customFormat="1" ht="46.35" customHeight="1" x14ac:dyDescent="0.3">
      <c r="B14" s="198"/>
      <c r="C14" s="198" t="s">
        <v>621</v>
      </c>
      <c r="D14" s="198" t="s">
        <v>622</v>
      </c>
      <c r="E14" s="198" t="s">
        <v>314</v>
      </c>
      <c r="F14" s="198" t="s">
        <v>316</v>
      </c>
      <c r="G14" s="198" t="s">
        <v>318</v>
      </c>
      <c r="H14" s="198" t="s">
        <v>624</v>
      </c>
      <c r="I14" s="146" t="s">
        <v>323</v>
      </c>
      <c r="J14" s="187" t="str">
        <f>+J8</f>
        <v>HORAS EXTRAS</v>
      </c>
      <c r="K14" s="187" t="str">
        <f t="shared" ref="K14:AM14" si="3">+K8</f>
        <v>SEGURO CONVENIO</v>
      </c>
      <c r="L14" s="187" t="str">
        <f t="shared" si="3"/>
        <v>PLUS UNIFICADO</v>
      </c>
      <c r="M14" s="187" t="str">
        <f t="shared" si="3"/>
        <v>GARANTIA AD PERS</v>
      </c>
      <c r="N14" s="187" t="str">
        <f t="shared" si="3"/>
        <v>COMISIONES</v>
      </c>
      <c r="O14" s="187" t="str">
        <f t="shared" si="3"/>
        <v>DOMINGOS Y FESTIVOS</v>
      </c>
      <c r="P14" s="187" t="str">
        <f t="shared" si="3"/>
        <v>LOCOMOCION NO</v>
      </c>
      <c r="Q14" s="187" t="str">
        <f t="shared" si="3"/>
        <v>PLUS EXTRA VAC</v>
      </c>
      <c r="R14" s="187" t="str">
        <f t="shared" si="3"/>
        <v>PLUS DE TRANS</v>
      </c>
      <c r="S14" s="187" t="str">
        <f t="shared" si="3"/>
        <v>PLUS ACTIVIDAD</v>
      </c>
      <c r="T14" s="187" t="str">
        <f t="shared" si="3"/>
        <v>CUOTA SINDICAL</v>
      </c>
      <c r="U14" s="187" t="str">
        <f t="shared" si="3"/>
        <v>AYUDA FAMILIAR</v>
      </c>
      <c r="V14" s="187" t="str">
        <f t="shared" si="3"/>
        <v>INCENTIVO</v>
      </c>
      <c r="W14" s="187" t="str">
        <f t="shared" si="3"/>
        <v>SEGURO MEDICO</v>
      </c>
      <c r="X14" s="187" t="str">
        <f t="shared" si="3"/>
        <v>DES. SEGURO MEDICO</v>
      </c>
      <c r="Y14" s="187" t="str">
        <f t="shared" si="3"/>
        <v>SEGURO SALUD 2</v>
      </c>
      <c r="Z14" s="187" t="str">
        <f t="shared" si="3"/>
        <v>COMP. EMPRESA I.T.</v>
      </c>
      <c r="AA14" s="187" t="str">
        <f t="shared" si="3"/>
        <v>I.T. CUENTA EMPRESA</v>
      </c>
      <c r="AB14" s="187" t="str">
        <f t="shared" si="3"/>
        <v>SALARIO EN ESPECIE</v>
      </c>
      <c r="AC14" s="187" t="str">
        <f t="shared" si="3"/>
        <v>PLUS DE POLIVALENCIA</v>
      </c>
      <c r="AD14" s="187" t="str">
        <f t="shared" si="3"/>
        <v>LIQUID  PAGAS EXTRA</v>
      </c>
      <c r="AE14" s="187" t="str">
        <f t="shared" si="3"/>
        <v>[ocultar]</v>
      </c>
      <c r="AF14" s="187" t="str">
        <f t="shared" si="3"/>
        <v>[ocultar]</v>
      </c>
      <c r="AG14" s="187" t="str">
        <f t="shared" si="3"/>
        <v>[ocultar]</v>
      </c>
      <c r="AH14" s="187" t="str">
        <f t="shared" si="3"/>
        <v>[ocultar]</v>
      </c>
      <c r="AI14" s="187" t="str">
        <f t="shared" si="3"/>
        <v>[ocultar]</v>
      </c>
      <c r="AJ14" s="187" t="str">
        <f t="shared" si="3"/>
        <v>[ocultar]</v>
      </c>
      <c r="AK14" s="187" t="str">
        <f t="shared" si="3"/>
        <v>[ocultar]</v>
      </c>
      <c r="AL14" s="187" t="str">
        <f t="shared" si="3"/>
        <v>[ocultar]</v>
      </c>
      <c r="AM14" s="187" t="str">
        <f t="shared" si="3"/>
        <v>[ocultar]</v>
      </c>
      <c r="AN14" s="148" t="s">
        <v>324</v>
      </c>
      <c r="AO14" s="188" t="s">
        <v>325</v>
      </c>
      <c r="AP14" s="150" t="str">
        <f>+AP8</f>
        <v>[ocultar]</v>
      </c>
      <c r="AQ14" s="150" t="str">
        <f t="shared" ref="AQ14:AT14" si="4">+AQ8</f>
        <v>[ocultar]</v>
      </c>
      <c r="AR14" s="150" t="str">
        <f t="shared" si="4"/>
        <v>[ocultar]</v>
      </c>
      <c r="AS14" s="150" t="str">
        <f t="shared" si="4"/>
        <v>[ocultar]</v>
      </c>
      <c r="AT14" s="150" t="str">
        <f t="shared" si="4"/>
        <v>[ocultar]</v>
      </c>
      <c r="AU14" s="151" t="s">
        <v>326</v>
      </c>
      <c r="AV14" s="148" t="s">
        <v>327</v>
      </c>
    </row>
    <row r="15" spans="1:48" ht="15.6" thickBot="1" x14ac:dyDescent="0.3">
      <c r="A15" s="133" t="str">
        <f>+A16</f>
        <v>[ocultar]</v>
      </c>
      <c r="B15" s="199" t="s">
        <v>179</v>
      </c>
      <c r="C15" s="200"/>
      <c r="D15" s="201"/>
      <c r="E15" s="201"/>
      <c r="F15" s="201"/>
      <c r="G15" s="201"/>
      <c r="H15" s="201"/>
      <c r="I15" s="189" t="str">
        <f t="shared" ref="I15" si="5">IFERROR((I16-I17)/I16,"")</f>
        <v/>
      </c>
      <c r="J15" s="190" t="str">
        <f>IFERROR((J16-J17)/J16,"")</f>
        <v/>
      </c>
      <c r="K15" s="191" t="str">
        <f t="shared" ref="K15:AV15" si="6">IFERROR((K16-K17)/K16,"")</f>
        <v/>
      </c>
      <c r="L15" s="191" t="str">
        <f t="shared" si="6"/>
        <v/>
      </c>
      <c r="M15" s="191" t="str">
        <f t="shared" si="6"/>
        <v/>
      </c>
      <c r="N15" s="192" t="str">
        <f t="shared" si="6"/>
        <v/>
      </c>
      <c r="O15" s="193" t="str">
        <f t="shared" si="6"/>
        <v/>
      </c>
      <c r="P15" s="193" t="str">
        <f t="shared" si="6"/>
        <v/>
      </c>
      <c r="Q15" s="193" t="str">
        <f t="shared" si="6"/>
        <v/>
      </c>
      <c r="R15" s="193" t="str">
        <f t="shared" si="6"/>
        <v/>
      </c>
      <c r="S15" s="193" t="str">
        <f t="shared" si="6"/>
        <v/>
      </c>
      <c r="T15" s="193" t="str">
        <f t="shared" si="6"/>
        <v/>
      </c>
      <c r="U15" s="193" t="str">
        <f t="shared" si="6"/>
        <v/>
      </c>
      <c r="V15" s="193" t="str">
        <f t="shared" si="6"/>
        <v/>
      </c>
      <c r="W15" s="193" t="str">
        <f t="shared" si="6"/>
        <v/>
      </c>
      <c r="X15" s="193" t="str">
        <f t="shared" si="6"/>
        <v/>
      </c>
      <c r="Y15" s="193" t="str">
        <f t="shared" si="6"/>
        <v/>
      </c>
      <c r="Z15" s="193" t="str">
        <f t="shared" si="6"/>
        <v/>
      </c>
      <c r="AA15" s="193" t="str">
        <f t="shared" si="6"/>
        <v/>
      </c>
      <c r="AB15" s="193" t="str">
        <f t="shared" si="6"/>
        <v/>
      </c>
      <c r="AC15" s="193" t="str">
        <f t="shared" si="6"/>
        <v/>
      </c>
      <c r="AD15" s="193" t="str">
        <f t="shared" si="6"/>
        <v/>
      </c>
      <c r="AE15" s="193" t="str">
        <f t="shared" si="6"/>
        <v/>
      </c>
      <c r="AF15" s="193" t="str">
        <f t="shared" si="6"/>
        <v/>
      </c>
      <c r="AG15" s="193" t="str">
        <f t="shared" si="6"/>
        <v/>
      </c>
      <c r="AH15" s="193" t="str">
        <f t="shared" si="6"/>
        <v/>
      </c>
      <c r="AI15" s="193" t="str">
        <f t="shared" si="6"/>
        <v/>
      </c>
      <c r="AJ15" s="193" t="str">
        <f t="shared" si="6"/>
        <v/>
      </c>
      <c r="AK15" s="193" t="str">
        <f t="shared" si="6"/>
        <v/>
      </c>
      <c r="AL15" s="193" t="str">
        <f t="shared" si="6"/>
        <v/>
      </c>
      <c r="AM15" s="193" t="str">
        <f t="shared" si="6"/>
        <v/>
      </c>
      <c r="AN15" s="189" t="str">
        <f t="shared" si="6"/>
        <v/>
      </c>
      <c r="AO15" s="162" t="str">
        <f t="shared" si="6"/>
        <v/>
      </c>
      <c r="AP15" s="163" t="str">
        <f t="shared" si="6"/>
        <v/>
      </c>
      <c r="AQ15" s="163" t="str">
        <f t="shared" si="6"/>
        <v/>
      </c>
      <c r="AR15" s="163" t="str">
        <f t="shared" si="6"/>
        <v/>
      </c>
      <c r="AS15" s="163" t="str">
        <f t="shared" si="6"/>
        <v/>
      </c>
      <c r="AT15" s="163" t="str">
        <f t="shared" si="6"/>
        <v/>
      </c>
      <c r="AU15" s="194" t="str">
        <f t="shared" si="6"/>
        <v/>
      </c>
      <c r="AV15" s="165" t="str">
        <f t="shared" si="6"/>
        <v/>
      </c>
    </row>
    <row r="16" spans="1:48" x14ac:dyDescent="0.25">
      <c r="A16" s="133" t="str">
        <f>+IF(C16+C17=0,"[ocultar]","")</f>
        <v>[ocultar]</v>
      </c>
      <c r="B16" s="202" t="s">
        <v>394</v>
      </c>
      <c r="C16" s="203">
        <f t="array" ref="C16">SUM(IF($B16=DATOS_[Sexo],
IF($B15=DATOS_[AGRUP. VALOR. PTO.],
IF("Dentro"=DATOS_[Check Periodo Ref.],
1/(COUNTIFS(DATOS_[Sexo],$B16,DATOS_[AGRUP. VALOR. PTO.],$B15,DATOS_[Check Periodo Ref.],"Dentro",DATOS_[id/cod],DATOS_[id/cod]))))))</f>
        <v>0</v>
      </c>
      <c r="D16" s="204">
        <f>COUNTIFS(DATOS_[AGRUP. VALOR. PTO.],$B15,DATOS_[Sexo],$B16,DATOS_[Check Periodo Ref.],"Dentro")</f>
        <v>0</v>
      </c>
      <c r="E16" s="204">
        <f>COUNTIFS(DATOS_[AGRUP. VALOR. PTO.],$B15,DATOS_[Sexo],$B16,DATOS_[Check Periodo Ref.],"Dentro",DATOS_[Check Nº SC Norm],"Sí")</f>
        <v>0</v>
      </c>
      <c r="F16" s="204">
        <f>COUNTIFS(DATOS_[AGRUP. VALOR. PTO.],$B15,DATOS_[Sexo],$B16,DATOS_[Check Periodo Ref.],"Dentro",DATOS_[Check Nº SC Anualiz],"Sí")</f>
        <v>0</v>
      </c>
      <c r="G16" s="204">
        <f>COUNTIFS(DATOS_[AGRUP. VALOR. PTO.],$B15,DATOS_[Sexo],$B16,DATOS_[Check Periodo Ref.],"Dentro",DATOS_[Check Nº SC Norm y Anualiz],"Sí")</f>
        <v>0</v>
      </c>
      <c r="H16" s="204">
        <f>COUNTIFS(DATOS_[AGRUP. VALOR. PTO.],$B15,DATOS_[Sexo],$B16,DATOS_[Check Periodo Ref.],"Dentro",DATOS_[Check Equiparación],"Sí")</f>
        <v>0</v>
      </c>
      <c r="I16" s="195">
        <f t="array" ref="I16">IFERROR(
MEDIAN(IF(DATOS_[Sexo]=$B16,IF(DATOS_[[AGRUP. VALOR. PTO.]:[AGRUP. VALOR. PTO.]]=$B15,IF(DATOS_[Check Equiparado]="Sí",IF(DATOS_[Check Periodo Ref.]="Dentro",DATOS_[SALARIO BASE Eq],FALSE))))),
0)</f>
        <v>0</v>
      </c>
      <c r="J16" s="196">
        <f t="array" ref="J16">IFERROR(
(MEDIAN((IF(DATOS_[[Sexo]:[Sexo]]=$B16,IF(DATOS_[[AGRUP. VALOR. PTO.]:[AGRUP. VALOR. PTO.]]=$B15,IF(DATOS_[[Check Periodo Ref.]:[Check Periodo Ref.]]="Dentro",IF(DATOS_[[Check Equiparado]:[Check Equiparado]]="Sí",IF(DATOS!AE$5="Sí",(1/DATOS_[[% anualiz]:[% anualiz]]),1)*IF(DATOS!AE$4="Sí",1/DATOS_[[% normaliz]:[% normaliz]],1)*(DATOS_[Conc.Sal.01])))))))),
0)</f>
        <v>0</v>
      </c>
      <c r="K16" s="196">
        <f t="array" ref="K16">IFERROR(
(MEDIAN((IF(DATOS_[[Sexo]:[Sexo]]=$B16,IF(DATOS_[[AGRUP. VALOR. PTO.]:[AGRUP. VALOR. PTO.]]=$B15,IF(DATOS_[[Check Periodo Ref.]:[Check Periodo Ref.]]="Dentro",IF(DATOS_[[Check Equiparado]:[Check Equiparado]]="Sí",IF(DATOS!AF$5="Sí",(1/DATOS_[[% anualiz]:[% anualiz]]),1)*IF(DATOS!AF$4="Sí",1/DATOS_[[% normaliz]:[% normaliz]],1)*(DATOS_[Conc.Sal.02])))))))),
0)</f>
        <v>0</v>
      </c>
      <c r="L16" s="196">
        <f t="array" ref="L16">IFERROR(
(MEDIAN((IF(DATOS_[[Sexo]:[Sexo]]=$B16,IF(DATOS_[[AGRUP. VALOR. PTO.]:[AGRUP. VALOR. PTO.]]=$B15,IF(DATOS_[[Check Periodo Ref.]:[Check Periodo Ref.]]="Dentro",IF(DATOS_[[Check Equiparado]:[Check Equiparado]]="Sí",IF(DATOS!AG$5="Sí",(1/DATOS_[[% anualiz]:[% anualiz]]),1)*IF(DATOS!AG$4="Sí",1/DATOS_[[% normaliz]:[% normaliz]],1)*(DATOS_[Conc.Sal.03])))))))),
0)</f>
        <v>0</v>
      </c>
      <c r="M16" s="196">
        <f t="array" ref="M16">IFERROR(
(MEDIAN((IF(DATOS_[[Sexo]:[Sexo]]=$B16,IF(DATOS_[[AGRUP. VALOR. PTO.]:[AGRUP. VALOR. PTO.]]=$B15,IF(DATOS_[[Check Periodo Ref.]:[Check Periodo Ref.]]="Dentro",IF(DATOS_[[Check Equiparado]:[Check Equiparado]]="Sí",IF(DATOS!AH$5="Sí",(1/DATOS_[[% anualiz]:[% anualiz]]),1)*IF(DATOS!AH$4="Sí",1/DATOS_[[% normaliz]:[% normaliz]],1)*(DATOS_[Conc.Sal.04])))))))),
0)</f>
        <v>0</v>
      </c>
      <c r="N16" s="196">
        <f t="array" ref="N16">IFERROR(
(MEDIAN((IF(DATOS_[[Sexo]:[Sexo]]=$B16,IF(DATOS_[[AGRUP. VALOR. PTO.]:[AGRUP. VALOR. PTO.]]=$B15,IF(DATOS_[[Check Periodo Ref.]:[Check Periodo Ref.]]="Dentro",IF(DATOS_[[Check Equiparado]:[Check Equiparado]]="Sí",IF(DATOS!AI$5="Sí",(1/DATOS_[[% anualiz]:[% anualiz]]),1)*IF(DATOS!AI$4="Sí",1/DATOS_[[% normaliz]:[% normaliz]],1)*(DATOS_[Conc.Sal.05])))))))),
0)</f>
        <v>0</v>
      </c>
      <c r="O16" s="196">
        <f t="array" ref="O16">IFERROR(
(MEDIAN((IF(DATOS_[[Sexo]:[Sexo]]=$B16,IF(DATOS_[[AGRUP. VALOR. PTO.]:[AGRUP. VALOR. PTO.]]=$B15,IF(DATOS_[[Check Periodo Ref.]:[Check Periodo Ref.]]="Dentro",IF(DATOS_[[Check Equiparado]:[Check Equiparado]]="Sí",IF(DATOS!AJ$5="Sí",(1/DATOS_[[% anualiz]:[% anualiz]]),1)*IF(DATOS!AJ$4="Sí",1/DATOS_[[% normaliz]:[% normaliz]],1)*(DATOS_[Conc.Sal.06])))))))),
0)</f>
        <v>0</v>
      </c>
      <c r="P16" s="196">
        <f t="array" ref="P16">IFERROR(
(MEDIAN((IF(DATOS_[[Sexo]:[Sexo]]=$B16,IF(DATOS_[[AGRUP. VALOR. PTO.]:[AGRUP. VALOR. PTO.]]=$B15,IF(DATOS_[[Check Periodo Ref.]:[Check Periodo Ref.]]="Dentro",IF(DATOS_[[Check Equiparado]:[Check Equiparado]]="Sí",IF(DATOS!AK$5="Sí",(1/DATOS_[[% anualiz]:[% anualiz]]),1)*IF(DATOS!AK$4="Sí",1/DATOS_[[% normaliz]:[% normaliz]],1)*(DATOS_[Conc.Sal.07])))))))),
0)</f>
        <v>0</v>
      </c>
      <c r="Q16" s="196">
        <f t="array" ref="Q16">IFERROR(
(MEDIAN((IF(DATOS_[[Sexo]:[Sexo]]=$B16,IF(DATOS_[[AGRUP. VALOR. PTO.]:[AGRUP. VALOR. PTO.]]=$B15,IF(DATOS_[[Check Periodo Ref.]:[Check Periodo Ref.]]="Dentro",IF(DATOS_[[Check Equiparado]:[Check Equiparado]]="Sí",IF(DATOS!AL$5="Sí",(1/DATOS_[[% anualiz]:[% anualiz]]),1)*IF(DATOS!AL$4="Sí",1/DATOS_[[% normaliz]:[% normaliz]],1)*(DATOS_[Conc.Sal.08])))))))),
0)</f>
        <v>0</v>
      </c>
      <c r="R16" s="196">
        <f t="array" ref="R16">IFERROR(
(MEDIAN((IF(DATOS_[[Sexo]:[Sexo]]=$B16,IF(DATOS_[[AGRUP. VALOR. PTO.]:[AGRUP. VALOR. PTO.]]=$B15,IF(DATOS_[[Check Periodo Ref.]:[Check Periodo Ref.]]="Dentro",IF(DATOS_[[Check Equiparado]:[Check Equiparado]]="Sí",IF(DATOS!AM$5="Sí",(1/DATOS_[[% anualiz]:[% anualiz]]),1)*IF(DATOS!AM$4="Sí",1/DATOS_[[% normaliz]:[% normaliz]],1)*(DATOS_[Conc.Sal.09])))))))),
0)</f>
        <v>0</v>
      </c>
      <c r="S16" s="196">
        <f t="array" ref="S16">IFERROR(
(MEDIAN((IF(DATOS_[[Sexo]:[Sexo]]=$B16,IF(DATOS_[[AGRUP. VALOR. PTO.]:[AGRUP. VALOR. PTO.]]=$B15,IF(DATOS_[[Check Periodo Ref.]:[Check Periodo Ref.]]="Dentro",IF(DATOS_[[Check Equiparado]:[Check Equiparado]]="Sí",IF(DATOS!AN$5="Sí",(1/DATOS_[[% anualiz]:[% anualiz]]),1)*IF(DATOS!AN$4="Sí",1/DATOS_[[% normaliz]:[% normaliz]],1)*(DATOS_[Conc.Sal.10])))))))),
0)</f>
        <v>0</v>
      </c>
      <c r="T16" s="196">
        <f t="array" ref="T16">IFERROR(
(MEDIAN((IF(DATOS_[[Sexo]:[Sexo]]=$B16,IF(DATOS_[[AGRUP. VALOR. PTO.]:[AGRUP. VALOR. PTO.]]=$B15,IF(DATOS_[[Check Periodo Ref.]:[Check Periodo Ref.]]="Dentro",IF(DATOS_[[Check Equiparado]:[Check Equiparado]]="Sí",IF(DATOS!AO$5="Sí",(1/DATOS_[[% anualiz]:[% anualiz]]),1)*IF(DATOS!AO$4="Sí",1/DATOS_[[% normaliz]:[% normaliz]],1)*(DATOS_[Conc.Sal.11])))))))),
0)</f>
        <v>0</v>
      </c>
      <c r="U16" s="196">
        <f t="array" ref="U16">IFERROR(
(MEDIAN((IF(DATOS_[[Sexo]:[Sexo]]=$B16,IF(DATOS_[[AGRUP. VALOR. PTO.]:[AGRUP. VALOR. PTO.]]=$B15,IF(DATOS_[[Check Periodo Ref.]:[Check Periodo Ref.]]="Dentro",IF(DATOS_[[Check Equiparado]:[Check Equiparado]]="Sí",IF(DATOS!AP$5="Sí",(1/DATOS_[[% anualiz]:[% anualiz]]),1)*IF(DATOS!AP$4="Sí",1/DATOS_[[% normaliz]:[% normaliz]],1)*(DATOS_[Conc.Sal.12])))))))),
0)</f>
        <v>0</v>
      </c>
      <c r="V16" s="196">
        <f t="array" ref="V16">IFERROR(
(MEDIAN((IF(DATOS_[[Sexo]:[Sexo]]=$B16,IF(DATOS_[[AGRUP. VALOR. PTO.]:[AGRUP. VALOR. PTO.]]=$B15,IF(DATOS_[[Check Periodo Ref.]:[Check Periodo Ref.]]="Dentro",IF(DATOS_[[Check Equiparado]:[Check Equiparado]]="Sí",IF(DATOS!AQ$5="Sí",(1/DATOS_[[% anualiz]:[% anualiz]]),1)*IF(DATOS!AQ$4="Sí",1/DATOS_[[% normaliz]:[% normaliz]],1)*(DATOS_[Conc.Sal.13])))))))),
0)</f>
        <v>0</v>
      </c>
      <c r="W16" s="196">
        <f t="array" ref="W16">IFERROR(
(MEDIAN((IF(DATOS_[[Sexo]:[Sexo]]=$B16,IF(DATOS_[[AGRUP. VALOR. PTO.]:[AGRUP. VALOR. PTO.]]=$B15,IF(DATOS_[[Check Periodo Ref.]:[Check Periodo Ref.]]="Dentro",IF(DATOS_[[Check Equiparado]:[Check Equiparado]]="Sí",IF(DATOS!AR$5="Sí",(1/DATOS_[[% anualiz]:[% anualiz]]),1)*IF(DATOS!AR$4="Sí",1/DATOS_[[% normaliz]:[% normaliz]],1)*(DATOS_[Conc.Sal.14])))))))),
0)</f>
        <v>0</v>
      </c>
      <c r="X16" s="196">
        <f t="array" ref="X16">IFERROR(
(MEDIAN((IF(DATOS_[[Sexo]:[Sexo]]=$B16,IF(DATOS_[[AGRUP. VALOR. PTO.]:[AGRUP. VALOR. PTO.]]=$B15,IF(DATOS_[[Check Periodo Ref.]:[Check Periodo Ref.]]="Dentro",IF(DATOS_[[Check Equiparado]:[Check Equiparado]]="Sí",IF(DATOS!AS$5="Sí",(1/DATOS_[[% anualiz]:[% anualiz]]),1)*IF(DATOS!AS$4="Sí",1/DATOS_[[% normaliz]:[% normaliz]],1)*(DATOS_[Conc.Sal.15])))))))),
0)</f>
        <v>0</v>
      </c>
      <c r="Y16" s="196">
        <f t="array" ref="Y16">IFERROR(
(MEDIAN((IF(DATOS_[[Sexo]:[Sexo]]=$B16,IF(DATOS_[[AGRUP. VALOR. PTO.]:[AGRUP. VALOR. PTO.]]=$B15,IF(DATOS_[[Check Periodo Ref.]:[Check Periodo Ref.]]="Dentro",IF(DATOS_[[Check Equiparado]:[Check Equiparado]]="Sí",IF(DATOS!AT$5="Sí",(1/DATOS_[[% anualiz]:[% anualiz]]),1)*IF(DATOS!AT$4="Sí",1/DATOS_[[% normaliz]:[% normaliz]],1)*(DATOS_[Conc.Sal.16])))))))),
0)</f>
        <v>0</v>
      </c>
      <c r="Z16" s="196">
        <f t="array" ref="Z16">IFERROR(
(MEDIAN((IF(DATOS_[[Sexo]:[Sexo]]=$B16,IF(DATOS_[[AGRUP. VALOR. PTO.]:[AGRUP. VALOR. PTO.]]=$B15,IF(DATOS_[[Check Periodo Ref.]:[Check Periodo Ref.]]="Dentro",IF(DATOS_[[Check Equiparado]:[Check Equiparado]]="Sí",IF(DATOS!AU$5="Sí",(1/DATOS_[[% anualiz]:[% anualiz]]),1)*IF(DATOS!AU$4="Sí",1/DATOS_[[% normaliz]:[% normaliz]],1)*(DATOS_[Conc.Sal.17])))))))),
0)</f>
        <v>0</v>
      </c>
      <c r="AA16" s="196">
        <f t="array" ref="AA16">IFERROR(
(MEDIAN((IF(DATOS_[[Sexo]:[Sexo]]=$B16,IF(DATOS_[[AGRUP. VALOR. PTO.]:[AGRUP. VALOR. PTO.]]=$B15,IF(DATOS_[[Check Periodo Ref.]:[Check Periodo Ref.]]="Dentro",IF(DATOS_[[Check Equiparado]:[Check Equiparado]]="Sí",IF(DATOS!AV$5="Sí",(1/DATOS_[[% anualiz]:[% anualiz]]),1)*IF(DATOS!AV$4="Sí",1/DATOS_[[% normaliz]:[% normaliz]],1)*(DATOS_[Conc.Sal.18])))))))),
0)</f>
        <v>0</v>
      </c>
      <c r="AB16" s="196">
        <f t="array" ref="AB16">IFERROR(
(MEDIAN((IF(DATOS_[[Sexo]:[Sexo]]=$B16,IF(DATOS_[[AGRUP. VALOR. PTO.]:[AGRUP. VALOR. PTO.]]=$B15,IF(DATOS_[[Check Periodo Ref.]:[Check Periodo Ref.]]="Dentro",IF(DATOS_[[Check Equiparado]:[Check Equiparado]]="Sí",IF(DATOS!AW$5="Sí",(1/DATOS_[[% anualiz]:[% anualiz]]),1)*IF(DATOS!AW$4="Sí",1/DATOS_[[% normaliz]:[% normaliz]],1)*(DATOS_[Conc.Sal.19])))))))),
0)</f>
        <v>0</v>
      </c>
      <c r="AC16" s="196">
        <f t="array" ref="AC16">IFERROR(
(MEDIAN((IF(DATOS_[[Sexo]:[Sexo]]=$B16,IF(DATOS_[[AGRUP. VALOR. PTO.]:[AGRUP. VALOR. PTO.]]=$B15,IF(DATOS_[[Check Periodo Ref.]:[Check Periodo Ref.]]="Dentro",IF(DATOS_[[Check Equiparado]:[Check Equiparado]]="Sí",IF(DATOS!AX$5="Sí",(1/DATOS_[[% anualiz]:[% anualiz]]),1)*IF(DATOS!AX$4="Sí",1/DATOS_[[% normaliz]:[% normaliz]],1)*(DATOS_[Conc.Sal.20])))))))),
0)</f>
        <v>0</v>
      </c>
      <c r="AD16" s="196">
        <f t="array" ref="AD16">IFERROR(
(MEDIAN((IF(DATOS_[[Sexo]:[Sexo]]=$B16,IF(DATOS_[[AGRUP. VALOR. PTO.]:[AGRUP. VALOR. PTO.]]=$B15,IF(DATOS_[[Check Periodo Ref.]:[Check Periodo Ref.]]="Dentro",IF(DATOS_[[Check Equiparado]:[Check Equiparado]]="Sí",IF(DATOS!AY$5="Sí",(1/DATOS_[[% anualiz]:[% anualiz]]),1)*IF(DATOS!AY$4="Sí",1/DATOS_[[% normaliz]:[% normaliz]],1)*(DATOS_[Conc.Sal.21])))))))),
0)</f>
        <v>0</v>
      </c>
      <c r="AE16" s="196">
        <f t="array" ref="AE16">IFERROR(
(MEDIAN((IF(DATOS_[[Sexo]:[Sexo]]=$B16,IF(DATOS_[[AGRUP. VALOR. PTO.]:[AGRUP. VALOR. PTO.]]=$B15,IF(DATOS_[[Check Periodo Ref.]:[Check Periodo Ref.]]="Dentro",IF(DATOS_[[Check Equiparado]:[Check Equiparado]]="Sí",IF(DATOS!AZ$5="Sí",(1/DATOS_[[% anualiz]:[% anualiz]]),1)*IF(DATOS!AZ$4="Sí",1/DATOS_[[% normaliz]:[% normaliz]],1)*(DATOS_[Conc.Sal.22])))))))),
0)</f>
        <v>0</v>
      </c>
      <c r="AF16" s="196">
        <f t="array" ref="AF16">IFERROR(
(MEDIAN((IF(DATOS_[[Sexo]:[Sexo]]=$B16,IF(DATOS_[[AGRUP. VALOR. PTO.]:[AGRUP. VALOR. PTO.]]=$B15,IF(DATOS_[[Check Periodo Ref.]:[Check Periodo Ref.]]="Dentro",IF(DATOS_[[Check Equiparado]:[Check Equiparado]]="Sí",IF(DATOS!BA$5="Sí",(1/DATOS_[[% anualiz]:[% anualiz]]),1)*IF(DATOS!BA$4="Sí",1/DATOS_[[% normaliz]:[% normaliz]],1)*(DATOS_[Conc.Sal.23])))))))),
0)</f>
        <v>0</v>
      </c>
      <c r="AG16" s="196">
        <f t="array" ref="AG16">IFERROR(
(MEDIAN((IF(DATOS_[[Sexo]:[Sexo]]=$B16,IF(DATOS_[[AGRUP. VALOR. PTO.]:[AGRUP. VALOR. PTO.]]=$B15,IF(DATOS_[[Check Periodo Ref.]:[Check Periodo Ref.]]="Dentro",IF(DATOS_[[Check Equiparado]:[Check Equiparado]]="Sí",IF(DATOS!BB$5="Sí",(1/DATOS_[[% anualiz]:[% anualiz]]),1)*IF(DATOS!BB$4="Sí",1/DATOS_[[% normaliz]:[% normaliz]],1)*(DATOS_[Conc.Sal.24])))))))),
0)</f>
        <v>0</v>
      </c>
      <c r="AH16" s="196">
        <f t="array" ref="AH16">IFERROR(
(MEDIAN((IF(DATOS_[[Sexo]:[Sexo]]=$B16,IF(DATOS_[[AGRUP. VALOR. PTO.]:[AGRUP. VALOR. PTO.]]=$B15,IF(DATOS_[[Check Periodo Ref.]:[Check Periodo Ref.]]="Dentro",IF(DATOS_[[Check Equiparado]:[Check Equiparado]]="Sí",IF(DATOS!BC$5="Sí",(1/DATOS_[[% anualiz]:[% anualiz]]),1)*IF(DATOS!BC$4="Sí",1/DATOS_[[% normaliz]:[% normaliz]],1)*(DATOS_[Conc.Sal.25])))))))),
0)</f>
        <v>0</v>
      </c>
      <c r="AI16" s="196">
        <f t="array" ref="AI16">IFERROR(
(MEDIAN((IF(DATOS_[[Sexo]:[Sexo]]=$B16,IF(DATOS_[[AGRUP. VALOR. PTO.]:[AGRUP. VALOR. PTO.]]=$B15,IF(DATOS_[[Check Periodo Ref.]:[Check Periodo Ref.]]="Dentro",IF(DATOS_[[Check Equiparado]:[Check Equiparado]]="Sí",IF(DATOS!BD$5="Sí",(1/DATOS_[[% anualiz]:[% anualiz]]),1)*IF(DATOS!BD$4="Sí",1/DATOS_[[% normaliz]:[% normaliz]],1)*(DATOS_[Conc.Sal.26])))))))),
0)</f>
        <v>0</v>
      </c>
      <c r="AJ16" s="196">
        <f t="array" ref="AJ16">IFERROR(
(MEDIAN((IF(DATOS_[[Sexo]:[Sexo]]=$B16,IF(DATOS_[[AGRUP. VALOR. PTO.]:[AGRUP. VALOR. PTO.]]=$B15,IF(DATOS_[[Check Periodo Ref.]:[Check Periodo Ref.]]="Dentro",IF(DATOS_[[Check Equiparado]:[Check Equiparado]]="Sí",IF(DATOS!BE$5="Sí",(1/DATOS_[[% anualiz]:[% anualiz]]),1)*IF(DATOS!BE$4="Sí",1/DATOS_[[% normaliz]:[% normaliz]],1)*(DATOS_[Conc.Sal.27])))))))),
0)</f>
        <v>0</v>
      </c>
      <c r="AK16" s="196">
        <f t="array" ref="AK16">IFERROR(
(MEDIAN((IF(DATOS_[[Sexo]:[Sexo]]=$B16,IF(DATOS_[[AGRUP. VALOR. PTO.]:[AGRUP. VALOR. PTO.]]=$B15,IF(DATOS_[[Check Periodo Ref.]:[Check Periodo Ref.]]="Dentro",IF(DATOS_[[Check Equiparado]:[Check Equiparado]]="Sí",IF(DATOS!BF$5="Sí",(1/DATOS_[[% anualiz]:[% anualiz]]),1)*IF(DATOS!BF$4="Sí",1/DATOS_[[% normaliz]:[% normaliz]],1)*(DATOS_[Conc.Sal.28])))))))),
0)</f>
        <v>0</v>
      </c>
      <c r="AL16" s="196">
        <f t="array" ref="AL16">IFERROR(
(MEDIAN((IF(DATOS_[[Sexo]:[Sexo]]=$B16,IF(DATOS_[[AGRUP. VALOR. PTO.]:[AGRUP. VALOR. PTO.]]=$B15,IF(DATOS_[[Check Periodo Ref.]:[Check Periodo Ref.]]="Dentro",IF(DATOS_[[Check Equiparado]:[Check Equiparado]]="Sí",IF(DATOS!BG$5="Sí",(1/DATOS_[[% anualiz]:[% anualiz]]),1)*IF(DATOS!BG$4="Sí",1/DATOS_[[% normaliz]:[% normaliz]],1)*(DATOS_[Conc.Sal.29])))))))),
0)</f>
        <v>0</v>
      </c>
      <c r="AM16" s="196">
        <f t="array" ref="AM16">IFERROR(
(MEDIAN((IF(DATOS_[[Sexo]:[Sexo]]=$B16,IF(DATOS_[[AGRUP. VALOR. PTO.]:[AGRUP. VALOR. PTO.]]=$B15,IF(DATOS_[[Check Periodo Ref.]:[Check Periodo Ref.]]="Dentro",IF(DATOS_[[Check Equiparado]:[Check Equiparado]]="Sí",IF(DATOS!BH$5="Sí",(1/DATOS_[[% anualiz]:[% anualiz]]),1)*IF(DATOS!BH$4="Sí",1/DATOS_[[% normaliz]:[% normaliz]],1)*(DATOS_[Conc.Sal.30])))))))),
0)</f>
        <v>0</v>
      </c>
      <c r="AN16" s="195">
        <f t="array" ref="AN16">IFERROR(
MEDIAN(IF(DATOS_[Sexo]=$B16,IF(DATOS_[[AGRUP. VALOR. PTO.]:[AGRUP. VALOR. PTO.]]=$B15,IF(DATOS_[Check Equiparado]="Sí",IF(DATOS_[Check Periodo Ref.]="Dentro",DATOS_[Tot COMPL.SAL Eq],FALSE))))),
0)</f>
        <v>0</v>
      </c>
      <c r="AO16" s="172">
        <f t="array" ref="AO16">IFERROR(
MEDIAN(IF(DATOS_[Sexo]=$B16,IF(DATOS_[[AGRUP. VALOR. PTO.]:[AGRUP. VALOR. PTO.]]=$B15,IF(DATOS_[Check Equiparado]="Sí",IF(DATOS_[Check Periodo Ref.]="Dentro",DATOS_[TOTAL SALARIO Eq],FALSE))))),
0)</f>
        <v>0</v>
      </c>
      <c r="AP16" s="173">
        <f t="array" ref="AP16">IFERROR(
(MEDIAN((IF(DATOS_[[Sexo]:[Sexo]]=$B16,IF(DATOS_[[AGRUP. VALOR. PTO.]:[AGRUP. VALOR. PTO.]]=$B15,IF(DATOS_[[Check Periodo Ref.]:[Check Periodo Ref.]]="Dentro",IF(DATOS_[[Check Equiparado]:[Check Equiparado]]="Sí",IF(DATOS!BW$5="Sí",(1/DATOS_[[% anualiz]:[% anualiz]]),1)*IF(DATOS!BW$4="Sí",1/DATOS_[[% normaliz]:[% normaliz]],1)*(DATOS_[C.Extra.01])))))))),
0)</f>
        <v>0</v>
      </c>
      <c r="AQ16" s="173">
        <f t="array" ref="AQ16">IFERROR(
(MEDIAN((IF(DATOS_[[Sexo]:[Sexo]]=$B16,IF(DATOS_[[AGRUP. VALOR. PTO.]:[AGRUP. VALOR. PTO.]]=$B15,IF(DATOS_[[Check Periodo Ref.]:[Check Periodo Ref.]]="Dentro",IF(DATOS_[[Check Equiparado]:[Check Equiparado]]="Sí",IF(DATOS!CB$5="Sí",(1/DATOS_[[% anualiz]:[% anualiz]]),1)*IF(DATOS!CB$4="Sí",1/DATOS_[[% normaliz]:[% normaliz]],1)*(DATOS_[C.Extra.06])))))))),
0)</f>
        <v>0</v>
      </c>
      <c r="AR16" s="173">
        <f t="array" ref="AR16">IFERROR(
(MEDIAN((IF(DATOS_[[Sexo]:[Sexo]]=$B16,IF(DATOS_[[AGRUP. VALOR. PTO.]:[AGRUP. VALOR. PTO.]]=$B15,IF(DATOS_[[Check Periodo Ref.]:[Check Periodo Ref.]]="Dentro",IF(DATOS_[[Check Equiparado]:[Check Equiparado]]="Sí",IF(DATOS!CC$5="Sí",(1/DATOS_[[% anualiz]:[% anualiz]]),1)*IF(DATOS!CC$4="Sí",1/DATOS_[[% normaliz]:[% normaliz]],1)*(DATOS_[C.Extra.07])))))))),
0)</f>
        <v>0</v>
      </c>
      <c r="AS16" s="173">
        <f t="array" ref="AS16">IFERROR(
(MEDIAN((IF(DATOS_[[Sexo]:[Sexo]]=$B16,IF(DATOS_[[AGRUP. VALOR. PTO.]:[AGRUP. VALOR. PTO.]]=$B15,IF(DATOS_[[Check Periodo Ref.]:[Check Periodo Ref.]]="Dentro",IF(DATOS_[[Check Equiparado]:[Check Equiparado]]="Sí",IF(DATOS!CD$5="Sí",(1/DATOS_[[% anualiz]:[% anualiz]]),1)*IF(DATOS!CD$4="Sí",1/DATOS_[[% normaliz]:[% normaliz]],1)*(DATOS_[C.Extra.08])))))))),
0)</f>
        <v>0</v>
      </c>
      <c r="AT16" s="173">
        <f t="array" ref="AT16">IFERROR(
(MEDIAN((IF(DATOS_[[Sexo]:[Sexo]]=$B16,IF(DATOS_[[AGRUP. VALOR. PTO.]:[AGRUP. VALOR. PTO.]]=$B15,IF(DATOS_[[Check Periodo Ref.]:[Check Periodo Ref.]]="Dentro",IF(DATOS_[[Check Equiparado]:[Check Equiparado]]="Sí",IF(DATOS!CG$5="Sí",(1/DATOS_[[% anualiz]:[% anualiz]]),1)*IF(DATOS!CG$4="Sí",1/DATOS_[[% normaliz]:[% normaliz]],1)*(DATOS_[C.Extra.11])))))))),
0)</f>
        <v>0</v>
      </c>
      <c r="AU16" s="197">
        <f t="array" ref="AU16">IFERROR(
MEDIAN(IF(DATOS_[Sexo]=$B16,IF(DATOS_[[AGRUP. VALOR. PTO.]:[AGRUP. VALOR. PTO.]]=$B15,IF(DATOS_[Check Equiparado]="Sí",IF(DATOS_[Check Periodo Ref.]="Dentro",DATOS_[Tot Extrasalarial Eq],FALSE))))),
0)</f>
        <v>0</v>
      </c>
      <c r="AV16" s="175">
        <f t="array" ref="AV16">IFERROR(
MEDIAN(IF(DATOS_[Sexo]=$B16,IF(DATOS_[[AGRUP. VALOR. PTO.]:[AGRUP. VALOR. PTO.]]=$B15,IF(DATOS_[Check Equiparado]="Sí",IF(DATOS_[Check Periodo Ref.]="Dentro",DATOS_[TOTAL Retrib Eq],FALSE))))),
0)</f>
        <v>0</v>
      </c>
    </row>
    <row r="17" spans="1:48" x14ac:dyDescent="0.25">
      <c r="A17" s="133" t="str">
        <f>+A16</f>
        <v>[ocultar]</v>
      </c>
      <c r="B17" s="202" t="s">
        <v>521</v>
      </c>
      <c r="C17" s="203">
        <f t="array" ref="C17">SUM(IF($B17=DATOS_[Sexo],
IF($B15=DATOS_[AGRUP. VALOR. PTO.],
IF("Dentro"=DATOS_[Check Periodo Ref.],
1/(COUNTIFS(DATOS_[Sexo],$B17,DATOS_[AGRUP. VALOR. PTO.],$B15,DATOS_[Check Periodo Ref.],"Dentro",DATOS_[id/cod],DATOS_[id/cod]))))))</f>
        <v>0</v>
      </c>
      <c r="D17" s="204">
        <f>COUNTIFS(DATOS_[AGRUP. VALOR. PTO.],$B15,DATOS_[Sexo],$B17,DATOS_[Check Periodo Ref.],"Dentro")</f>
        <v>0</v>
      </c>
      <c r="E17" s="204">
        <f>COUNTIFS(DATOS_[AGRUP. VALOR. PTO.],$B15,DATOS_[Sexo],$B17,DATOS_[Check Periodo Ref.],"Dentro",DATOS_[Check Nº SC Norm],"Sí")</f>
        <v>0</v>
      </c>
      <c r="F17" s="204">
        <f>COUNTIFS(DATOS_[AGRUP. VALOR. PTO.],$B15,DATOS_[Sexo],$B17,DATOS_[Check Periodo Ref.],"Dentro",DATOS_[Check Nº SC Anualiz],"Sí")</f>
        <v>0</v>
      </c>
      <c r="G17" s="204">
        <f>COUNTIFS(DATOS_[AGRUP. VALOR. PTO.],$B15,DATOS_[Sexo],$B17,DATOS_[Check Periodo Ref.],"Dentro",DATOS_[Check Nº SC Norm y Anualiz],"Sí")</f>
        <v>0</v>
      </c>
      <c r="H17" s="204">
        <f>COUNTIFS(DATOS_[AGRUP. VALOR. PTO.],$B15,DATOS_[Sexo],$B17,DATOS_[Check Periodo Ref.],"Dentro",DATOS_[Check Equiparación],"Sí")</f>
        <v>0</v>
      </c>
      <c r="I17" s="195" cm="1">
        <f t="array" ref="I17">IFERROR(
MEDIAN(IF(DATOS_[Sexo]=$B17,IF(DATOS_[[AGRUP. VALOR. PTO.]:[AGRUP. VALOR. PTO.]]=$B15,IF(DATOS_[Check Equiparado]="Sí",IF(DATOS_[Check Periodo Ref.]="Dentro",DATOS_[SALARIO BASE Eq],FALSE))))),
0)</f>
        <v>0</v>
      </c>
      <c r="J17" s="196">
        <f t="array" ref="J17">IFERROR(
(MEDIAN((IF(DATOS_[[Sexo]:[Sexo]]=$B17,IF(DATOS_[[AGRUP. VALOR. PTO.]:[AGRUP. VALOR. PTO.]]=$B15,IF(DATOS_[[Check Periodo Ref.]:[Check Periodo Ref.]]="Dentro",IF(DATOS_[[Check Equiparado]:[Check Equiparado]]="Sí",IF(DATOS!AE$5="Sí",(1/DATOS_[[% anualiz]:[% anualiz]]),1)*IF(DATOS!AE$4="Sí",1/DATOS_[[% normaliz]:[% normaliz]],1)*(DATOS_[Conc.Sal.01])))))))),
0)</f>
        <v>0</v>
      </c>
      <c r="K17" s="196">
        <f t="array" ref="K17">IFERROR(
(MEDIAN((IF(DATOS_[[Sexo]:[Sexo]]=$B17,IF(DATOS_[[AGRUP. VALOR. PTO.]:[AGRUP. VALOR. PTO.]]=$B15,IF(DATOS_[[Check Periodo Ref.]:[Check Periodo Ref.]]="Dentro",IF(DATOS_[[Check Equiparado]:[Check Equiparado]]="Sí",IF(DATOS!AF$5="Sí",(1/DATOS_[[% anualiz]:[% anualiz]]),1)*IF(DATOS!AF$4="Sí",1/DATOS_[[% normaliz]:[% normaliz]],1)*(DATOS_[Conc.Sal.02])))))))),
0)</f>
        <v>0</v>
      </c>
      <c r="L17" s="196">
        <f t="array" ref="L17">IFERROR(
(MEDIAN((IF(DATOS_[[Sexo]:[Sexo]]=$B17,IF(DATOS_[[AGRUP. VALOR. PTO.]:[AGRUP. VALOR. PTO.]]=$B15,IF(DATOS_[[Check Periodo Ref.]:[Check Periodo Ref.]]="Dentro",IF(DATOS_[[Check Equiparado]:[Check Equiparado]]="Sí",IF(DATOS!AG$5="Sí",(1/DATOS_[[% anualiz]:[% anualiz]]),1)*IF(DATOS!AG$4="Sí",1/DATOS_[[% normaliz]:[% normaliz]],1)*(DATOS_[Conc.Sal.03])))))))),
0)</f>
        <v>0</v>
      </c>
      <c r="M17" s="196">
        <f t="array" ref="M17">IFERROR(
(MEDIAN((IF(DATOS_[[Sexo]:[Sexo]]=$B17,IF(DATOS_[[AGRUP. VALOR. PTO.]:[AGRUP. VALOR. PTO.]]=$B15,IF(DATOS_[[Check Periodo Ref.]:[Check Periodo Ref.]]="Dentro",IF(DATOS_[[Check Equiparado]:[Check Equiparado]]="Sí",IF(DATOS!AH$5="Sí",(1/DATOS_[[% anualiz]:[% anualiz]]),1)*IF(DATOS!AH$4="Sí",1/DATOS_[[% normaliz]:[% normaliz]],1)*(DATOS_[Conc.Sal.04])))))))),
0)</f>
        <v>0</v>
      </c>
      <c r="N17" s="196">
        <f t="array" ref="N17">IFERROR(
(MEDIAN((IF(DATOS_[[Sexo]:[Sexo]]=$B17,IF(DATOS_[[AGRUP. VALOR. PTO.]:[AGRUP. VALOR. PTO.]]=$B15,IF(DATOS_[[Check Periodo Ref.]:[Check Periodo Ref.]]="Dentro",IF(DATOS_[[Check Equiparado]:[Check Equiparado]]="Sí",IF(DATOS!AI$5="Sí",(1/DATOS_[[% anualiz]:[% anualiz]]),1)*IF(DATOS!AI$4="Sí",1/DATOS_[[% normaliz]:[% normaliz]],1)*(DATOS_[Conc.Sal.05])))))))),
0)</f>
        <v>0</v>
      </c>
      <c r="O17" s="196">
        <f t="array" ref="O17">IFERROR(
(MEDIAN((IF(DATOS_[[Sexo]:[Sexo]]=$B17,IF(DATOS_[[AGRUP. VALOR. PTO.]:[AGRUP. VALOR. PTO.]]=$B15,IF(DATOS_[[Check Periodo Ref.]:[Check Periodo Ref.]]="Dentro",IF(DATOS_[[Check Equiparado]:[Check Equiparado]]="Sí",IF(DATOS!AJ$5="Sí",(1/DATOS_[[% anualiz]:[% anualiz]]),1)*IF(DATOS!AJ$4="Sí",1/DATOS_[[% normaliz]:[% normaliz]],1)*(DATOS_[Conc.Sal.06])))))))),
0)</f>
        <v>0</v>
      </c>
      <c r="P17" s="196">
        <f t="array" ref="P17">IFERROR(
(MEDIAN((IF(DATOS_[[Sexo]:[Sexo]]=$B17,IF(DATOS_[[AGRUP. VALOR. PTO.]:[AGRUP. VALOR. PTO.]]=$B15,IF(DATOS_[[Check Periodo Ref.]:[Check Periodo Ref.]]="Dentro",IF(DATOS_[[Check Equiparado]:[Check Equiparado]]="Sí",IF(DATOS!AK$5="Sí",(1/DATOS_[[% anualiz]:[% anualiz]]),1)*IF(DATOS!AK$4="Sí",1/DATOS_[[% normaliz]:[% normaliz]],1)*(DATOS_[Conc.Sal.07])))))))),
0)</f>
        <v>0</v>
      </c>
      <c r="Q17" s="196">
        <f t="array" ref="Q17">IFERROR(
(MEDIAN((IF(DATOS_[[Sexo]:[Sexo]]=$B17,IF(DATOS_[[AGRUP. VALOR. PTO.]:[AGRUP. VALOR. PTO.]]=$B15,IF(DATOS_[[Check Periodo Ref.]:[Check Periodo Ref.]]="Dentro",IF(DATOS_[[Check Equiparado]:[Check Equiparado]]="Sí",IF(DATOS!AL$5="Sí",(1/DATOS_[[% anualiz]:[% anualiz]]),1)*IF(DATOS!AL$4="Sí",1/DATOS_[[% normaliz]:[% normaliz]],1)*(DATOS_[Conc.Sal.08])))))))),
0)</f>
        <v>0</v>
      </c>
      <c r="R17" s="196">
        <f t="array" ref="R17">IFERROR(
(MEDIAN((IF(DATOS_[[Sexo]:[Sexo]]=$B17,IF(DATOS_[[AGRUP. VALOR. PTO.]:[AGRUP. VALOR. PTO.]]=$B15,IF(DATOS_[[Check Periodo Ref.]:[Check Periodo Ref.]]="Dentro",IF(DATOS_[[Check Equiparado]:[Check Equiparado]]="Sí",IF(DATOS!AM$5="Sí",(1/DATOS_[[% anualiz]:[% anualiz]]),1)*IF(DATOS!AM$4="Sí",1/DATOS_[[% normaliz]:[% normaliz]],1)*(DATOS_[Conc.Sal.09])))))))),
0)</f>
        <v>0</v>
      </c>
      <c r="S17" s="196">
        <f t="array" ref="S17">IFERROR(
(MEDIAN((IF(DATOS_[[Sexo]:[Sexo]]=$B17,IF(DATOS_[[AGRUP. VALOR. PTO.]:[AGRUP. VALOR. PTO.]]=$B15,IF(DATOS_[[Check Periodo Ref.]:[Check Periodo Ref.]]="Dentro",IF(DATOS_[[Check Equiparado]:[Check Equiparado]]="Sí",IF(DATOS!AN$5="Sí",(1/DATOS_[[% anualiz]:[% anualiz]]),1)*IF(DATOS!AN$4="Sí",1/DATOS_[[% normaliz]:[% normaliz]],1)*(DATOS_[Conc.Sal.10])))))))),
0)</f>
        <v>0</v>
      </c>
      <c r="T17" s="196">
        <f t="array" ref="T17">IFERROR(
(MEDIAN((IF(DATOS_[[Sexo]:[Sexo]]=$B17,IF(DATOS_[[AGRUP. VALOR. PTO.]:[AGRUP. VALOR. PTO.]]=$B15,IF(DATOS_[[Check Periodo Ref.]:[Check Periodo Ref.]]="Dentro",IF(DATOS_[[Check Equiparado]:[Check Equiparado]]="Sí",IF(DATOS!AO$5="Sí",(1/DATOS_[[% anualiz]:[% anualiz]]),1)*IF(DATOS!AO$4="Sí",1/DATOS_[[% normaliz]:[% normaliz]],1)*(DATOS_[Conc.Sal.11])))))))),
0)</f>
        <v>0</v>
      </c>
      <c r="U17" s="196">
        <f t="array" ref="U17">IFERROR(
(MEDIAN((IF(DATOS_[[Sexo]:[Sexo]]=$B17,IF(DATOS_[[AGRUP. VALOR. PTO.]:[AGRUP. VALOR. PTO.]]=$B15,IF(DATOS_[[Check Periodo Ref.]:[Check Periodo Ref.]]="Dentro",IF(DATOS_[[Check Equiparado]:[Check Equiparado]]="Sí",IF(DATOS!AP$5="Sí",(1/DATOS_[[% anualiz]:[% anualiz]]),1)*IF(DATOS!AP$4="Sí",1/DATOS_[[% normaliz]:[% normaliz]],1)*(DATOS_[Conc.Sal.12])))))))),
0)</f>
        <v>0</v>
      </c>
      <c r="V17" s="196">
        <f t="array" ref="V17">IFERROR(
(MEDIAN((IF(DATOS_[[Sexo]:[Sexo]]=$B17,IF(DATOS_[[AGRUP. VALOR. PTO.]:[AGRUP. VALOR. PTO.]]=$B15,IF(DATOS_[[Check Periodo Ref.]:[Check Periodo Ref.]]="Dentro",IF(DATOS_[[Check Equiparado]:[Check Equiparado]]="Sí",IF(DATOS!AQ$5="Sí",(1/DATOS_[[% anualiz]:[% anualiz]]),1)*IF(DATOS!AQ$4="Sí",1/DATOS_[[% normaliz]:[% normaliz]],1)*(DATOS_[Conc.Sal.13])))))))),
0)</f>
        <v>0</v>
      </c>
      <c r="W17" s="196">
        <f t="array" ref="W17">IFERROR(
(MEDIAN((IF(DATOS_[[Sexo]:[Sexo]]=$B17,IF(DATOS_[[AGRUP. VALOR. PTO.]:[AGRUP. VALOR. PTO.]]=$B15,IF(DATOS_[[Check Periodo Ref.]:[Check Periodo Ref.]]="Dentro",IF(DATOS_[[Check Equiparado]:[Check Equiparado]]="Sí",IF(DATOS!AR$5="Sí",(1/DATOS_[[% anualiz]:[% anualiz]]),1)*IF(DATOS!AR$4="Sí",1/DATOS_[[% normaliz]:[% normaliz]],1)*(DATOS_[Conc.Sal.14])))))))),
0)</f>
        <v>0</v>
      </c>
      <c r="X17" s="196">
        <f t="array" ref="X17">IFERROR(
(MEDIAN((IF(DATOS_[[Sexo]:[Sexo]]=$B17,IF(DATOS_[[AGRUP. VALOR. PTO.]:[AGRUP. VALOR. PTO.]]=$B15,IF(DATOS_[[Check Periodo Ref.]:[Check Periodo Ref.]]="Dentro",IF(DATOS_[[Check Equiparado]:[Check Equiparado]]="Sí",IF(DATOS!AS$5="Sí",(1/DATOS_[[% anualiz]:[% anualiz]]),1)*IF(DATOS!AS$4="Sí",1/DATOS_[[% normaliz]:[% normaliz]],1)*(DATOS_[Conc.Sal.15])))))))),
0)</f>
        <v>0</v>
      </c>
      <c r="Y17" s="196">
        <f t="array" ref="Y17">IFERROR(
(MEDIAN((IF(DATOS_[[Sexo]:[Sexo]]=$B17,IF(DATOS_[[AGRUP. VALOR. PTO.]:[AGRUP. VALOR. PTO.]]=$B15,IF(DATOS_[[Check Periodo Ref.]:[Check Periodo Ref.]]="Dentro",IF(DATOS_[[Check Equiparado]:[Check Equiparado]]="Sí",IF(DATOS!AT$5="Sí",(1/DATOS_[[% anualiz]:[% anualiz]]),1)*IF(DATOS!AT$4="Sí",1/DATOS_[[% normaliz]:[% normaliz]],1)*(DATOS_[Conc.Sal.16])))))))),
0)</f>
        <v>0</v>
      </c>
      <c r="Z17" s="196">
        <f t="array" ref="Z17">IFERROR(
(MEDIAN((IF(DATOS_[[Sexo]:[Sexo]]=$B17,IF(DATOS_[[AGRUP. VALOR. PTO.]:[AGRUP. VALOR. PTO.]]=$B15,IF(DATOS_[[Check Periodo Ref.]:[Check Periodo Ref.]]="Dentro",IF(DATOS_[[Check Equiparado]:[Check Equiparado]]="Sí",IF(DATOS!AU$5="Sí",(1/DATOS_[[% anualiz]:[% anualiz]]),1)*IF(DATOS!AU$4="Sí",1/DATOS_[[% normaliz]:[% normaliz]],1)*(DATOS_[Conc.Sal.17])))))))),
0)</f>
        <v>0</v>
      </c>
      <c r="AA17" s="196">
        <f t="array" ref="AA17">IFERROR(
(MEDIAN((IF(DATOS_[[Sexo]:[Sexo]]=$B17,IF(DATOS_[[AGRUP. VALOR. PTO.]:[AGRUP. VALOR. PTO.]]=$B15,IF(DATOS_[[Check Periodo Ref.]:[Check Periodo Ref.]]="Dentro",IF(DATOS_[[Check Equiparado]:[Check Equiparado]]="Sí",IF(DATOS!AV$5="Sí",(1/DATOS_[[% anualiz]:[% anualiz]]),1)*IF(DATOS!AV$4="Sí",1/DATOS_[[% normaliz]:[% normaliz]],1)*(DATOS_[Conc.Sal.18])))))))),
0)</f>
        <v>0</v>
      </c>
      <c r="AB17" s="196">
        <f t="array" ref="AB17">IFERROR(
(MEDIAN((IF(DATOS_[[Sexo]:[Sexo]]=$B17,IF(DATOS_[[AGRUP. VALOR. PTO.]:[AGRUP. VALOR. PTO.]]=$B15,IF(DATOS_[[Check Periodo Ref.]:[Check Periodo Ref.]]="Dentro",IF(DATOS_[[Check Equiparado]:[Check Equiparado]]="Sí",IF(DATOS!AW$5="Sí",(1/DATOS_[[% anualiz]:[% anualiz]]),1)*IF(DATOS!AW$4="Sí",1/DATOS_[[% normaliz]:[% normaliz]],1)*(DATOS_[Conc.Sal.19])))))))),
0)</f>
        <v>0</v>
      </c>
      <c r="AC17" s="196">
        <f t="array" ref="AC17">IFERROR(
(MEDIAN((IF(DATOS_[[Sexo]:[Sexo]]=$B17,IF(DATOS_[[AGRUP. VALOR. PTO.]:[AGRUP. VALOR. PTO.]]=$B15,IF(DATOS_[[Check Periodo Ref.]:[Check Periodo Ref.]]="Dentro",IF(DATOS_[[Check Equiparado]:[Check Equiparado]]="Sí",IF(DATOS!AX$5="Sí",(1/DATOS_[[% anualiz]:[% anualiz]]),1)*IF(DATOS!AX$4="Sí",1/DATOS_[[% normaliz]:[% normaliz]],1)*(DATOS_[Conc.Sal.20])))))))),
0)</f>
        <v>0</v>
      </c>
      <c r="AD17" s="196">
        <f t="array" ref="AD17">IFERROR(
(MEDIAN((IF(DATOS_[[Sexo]:[Sexo]]=$B17,IF(DATOS_[[AGRUP. VALOR. PTO.]:[AGRUP. VALOR. PTO.]]=$B15,IF(DATOS_[[Check Periodo Ref.]:[Check Periodo Ref.]]="Dentro",IF(DATOS_[[Check Equiparado]:[Check Equiparado]]="Sí",IF(DATOS!AY$5="Sí",(1/DATOS_[[% anualiz]:[% anualiz]]),1)*IF(DATOS!AY$4="Sí",1/DATOS_[[% normaliz]:[% normaliz]],1)*(DATOS_[Conc.Sal.21])))))))),
0)</f>
        <v>0</v>
      </c>
      <c r="AE17" s="196">
        <f t="array" ref="AE17">IFERROR(
(MEDIAN((IF(DATOS_[[Sexo]:[Sexo]]=$B17,IF(DATOS_[[AGRUP. VALOR. PTO.]:[AGRUP. VALOR. PTO.]]=$B15,IF(DATOS_[[Check Periodo Ref.]:[Check Periodo Ref.]]="Dentro",IF(DATOS_[[Check Equiparado]:[Check Equiparado]]="Sí",IF(DATOS!AZ$5="Sí",(1/DATOS_[[% anualiz]:[% anualiz]]),1)*IF(DATOS!AZ$4="Sí",1/DATOS_[[% normaliz]:[% normaliz]],1)*(DATOS_[Conc.Sal.22])))))))),
0)</f>
        <v>0</v>
      </c>
      <c r="AF17" s="196">
        <f t="array" ref="AF17">IFERROR(
(MEDIAN((IF(DATOS_[[Sexo]:[Sexo]]=$B17,IF(DATOS_[[AGRUP. VALOR. PTO.]:[AGRUP. VALOR. PTO.]]=$B15,IF(DATOS_[[Check Periodo Ref.]:[Check Periodo Ref.]]="Dentro",IF(DATOS_[[Check Equiparado]:[Check Equiparado]]="Sí",IF(DATOS!BA$5="Sí",(1/DATOS_[[% anualiz]:[% anualiz]]),1)*IF(DATOS!BA$4="Sí",1/DATOS_[[% normaliz]:[% normaliz]],1)*(DATOS_[Conc.Sal.23])))))))),
0)</f>
        <v>0</v>
      </c>
      <c r="AG17" s="196">
        <f t="array" ref="AG17">IFERROR(
(MEDIAN((IF(DATOS_[[Sexo]:[Sexo]]=$B17,IF(DATOS_[[AGRUP. VALOR. PTO.]:[AGRUP. VALOR. PTO.]]=$B15,IF(DATOS_[[Check Periodo Ref.]:[Check Periodo Ref.]]="Dentro",IF(DATOS_[[Check Equiparado]:[Check Equiparado]]="Sí",IF(DATOS!BB$5="Sí",(1/DATOS_[[% anualiz]:[% anualiz]]),1)*IF(DATOS!BB$4="Sí",1/DATOS_[[% normaliz]:[% normaliz]],1)*(DATOS_[Conc.Sal.24])))))))),
0)</f>
        <v>0</v>
      </c>
      <c r="AH17" s="196">
        <f t="array" ref="AH17">IFERROR(
(MEDIAN((IF(DATOS_[[Sexo]:[Sexo]]=$B17,IF(DATOS_[[AGRUP. VALOR. PTO.]:[AGRUP. VALOR. PTO.]]=$B15,IF(DATOS_[[Check Periodo Ref.]:[Check Periodo Ref.]]="Dentro",IF(DATOS_[[Check Equiparado]:[Check Equiparado]]="Sí",IF(DATOS!BC$5="Sí",(1/DATOS_[[% anualiz]:[% anualiz]]),1)*IF(DATOS!BC$4="Sí",1/DATOS_[[% normaliz]:[% normaliz]],1)*(DATOS_[Conc.Sal.25])))))))),
0)</f>
        <v>0</v>
      </c>
      <c r="AI17" s="196">
        <f t="array" ref="AI17">IFERROR(
(MEDIAN((IF(DATOS_[[Sexo]:[Sexo]]=$B17,IF(DATOS_[[AGRUP. VALOR. PTO.]:[AGRUP. VALOR. PTO.]]=$B15,IF(DATOS_[[Check Periodo Ref.]:[Check Periodo Ref.]]="Dentro",IF(DATOS_[[Check Equiparado]:[Check Equiparado]]="Sí",IF(DATOS!BD$5="Sí",(1/DATOS_[[% anualiz]:[% anualiz]]),1)*IF(DATOS!BD$4="Sí",1/DATOS_[[% normaliz]:[% normaliz]],1)*(DATOS_[Conc.Sal.26])))))))),
0)</f>
        <v>0</v>
      </c>
      <c r="AJ17" s="196">
        <f t="array" ref="AJ17">IFERROR(
(MEDIAN((IF(DATOS_[[Sexo]:[Sexo]]=$B17,IF(DATOS_[[AGRUP. VALOR. PTO.]:[AGRUP. VALOR. PTO.]]=$B15,IF(DATOS_[[Check Periodo Ref.]:[Check Periodo Ref.]]="Dentro",IF(DATOS_[[Check Equiparado]:[Check Equiparado]]="Sí",IF(DATOS!BE$5="Sí",(1/DATOS_[[% anualiz]:[% anualiz]]),1)*IF(DATOS!BE$4="Sí",1/DATOS_[[% normaliz]:[% normaliz]],1)*(DATOS_[Conc.Sal.27])))))))),
0)</f>
        <v>0</v>
      </c>
      <c r="AK17" s="196">
        <f t="array" ref="AK17">IFERROR(
(MEDIAN((IF(DATOS_[[Sexo]:[Sexo]]=$B17,IF(DATOS_[[AGRUP. VALOR. PTO.]:[AGRUP. VALOR. PTO.]]=$B15,IF(DATOS_[[Check Periodo Ref.]:[Check Periodo Ref.]]="Dentro",IF(DATOS_[[Check Equiparado]:[Check Equiparado]]="Sí",IF(DATOS!BF$5="Sí",(1/DATOS_[[% anualiz]:[% anualiz]]),1)*IF(DATOS!BF$4="Sí",1/DATOS_[[% normaliz]:[% normaliz]],1)*(DATOS_[Conc.Sal.28])))))))),
0)</f>
        <v>0</v>
      </c>
      <c r="AL17" s="196">
        <f t="array" ref="AL17">IFERROR(
(MEDIAN((IF(DATOS_[[Sexo]:[Sexo]]=$B17,IF(DATOS_[[AGRUP. VALOR. PTO.]:[AGRUP. VALOR. PTO.]]=$B15,IF(DATOS_[[Check Periodo Ref.]:[Check Periodo Ref.]]="Dentro",IF(DATOS_[[Check Equiparado]:[Check Equiparado]]="Sí",IF(DATOS!BG$5="Sí",(1/DATOS_[[% anualiz]:[% anualiz]]),1)*IF(DATOS!BG$4="Sí",1/DATOS_[[% normaliz]:[% normaliz]],1)*(DATOS_[Conc.Sal.29])))))))),
0)</f>
        <v>0</v>
      </c>
      <c r="AM17" s="196">
        <f t="array" ref="AM17">IFERROR(
(MEDIAN((IF(DATOS_[[Sexo]:[Sexo]]=$B17,IF(DATOS_[[AGRUP. VALOR. PTO.]:[AGRUP. VALOR. PTO.]]=$B15,IF(DATOS_[[Check Periodo Ref.]:[Check Periodo Ref.]]="Dentro",IF(DATOS_[[Check Equiparado]:[Check Equiparado]]="Sí",IF(DATOS!BH$5="Sí",(1/DATOS_[[% anualiz]:[% anualiz]]),1)*IF(DATOS!BH$4="Sí",1/DATOS_[[% normaliz]:[% normaliz]],1)*(DATOS_[Conc.Sal.30])))))))),
0)</f>
        <v>0</v>
      </c>
      <c r="AN17" s="195">
        <f t="array" ref="AN17">IFERROR(
MEDIAN(IF(DATOS_[Sexo]=$B17,IF(DATOS_[[AGRUP. VALOR. PTO.]:[AGRUP. VALOR. PTO.]]=$B15,IF(DATOS_[Check Equiparado]="Sí",IF(DATOS_[Check Periodo Ref.]="Dentro",DATOS_[Tot COMPL.SAL Eq],FALSE))))),
0)</f>
        <v>0</v>
      </c>
      <c r="AO17" s="172">
        <f t="array" ref="AO17">IFERROR(
MEDIAN(IF(DATOS_[Sexo]=$B17,IF(DATOS_[[AGRUP. VALOR. PTO.]:[AGRUP. VALOR. PTO.]]=$B15,IF(DATOS_[Check Equiparado]="Sí",IF(DATOS_[Check Periodo Ref.]="Dentro",DATOS_[TOTAL SALARIO Eq],FALSE))))),
0)</f>
        <v>0</v>
      </c>
      <c r="AP17" s="173">
        <f t="array" ref="AP17">IFERROR(
(MEDIAN((IF(DATOS_[[Sexo]:[Sexo]]=$B17,IF(DATOS_[[AGRUP. VALOR. PTO.]:[AGRUP. VALOR. PTO.]]=$B15,IF(DATOS_[[Check Periodo Ref.]:[Check Periodo Ref.]]="Dentro",IF(DATOS_[[Check Equiparado]:[Check Equiparado]]="Sí",IF(DATOS!BW$5="Sí",(1/DATOS_[[% anualiz]:[% anualiz]]),1)*IF(DATOS!BW$4="Sí",1/DATOS_[[% normaliz]:[% normaliz]],1)*(DATOS_[C.Extra.01])))))))),
0)</f>
        <v>0</v>
      </c>
      <c r="AQ17" s="173">
        <f t="array" ref="AQ17">IFERROR(
(MEDIAN((IF(DATOS_[[Sexo]:[Sexo]]=$B17,IF(DATOS_[[AGRUP. VALOR. PTO.]:[AGRUP. VALOR. PTO.]]=$B15,IF(DATOS_[[Check Periodo Ref.]:[Check Periodo Ref.]]="Dentro",IF(DATOS_[[Check Equiparado]:[Check Equiparado]]="Sí",IF(DATOS!CB$5="Sí",(1/DATOS_[[% anualiz]:[% anualiz]]),1)*IF(DATOS!CB$4="Sí",1/DATOS_[[% normaliz]:[% normaliz]],1)*(DATOS_[C.Extra.06])))))))),
0)</f>
        <v>0</v>
      </c>
      <c r="AR17" s="173">
        <f t="array" ref="AR17">IFERROR(
(MEDIAN((IF(DATOS_[[Sexo]:[Sexo]]=$B17,IF(DATOS_[[AGRUP. VALOR. PTO.]:[AGRUP. VALOR. PTO.]]=$B15,IF(DATOS_[[Check Periodo Ref.]:[Check Periodo Ref.]]="Dentro",IF(DATOS_[[Check Equiparado]:[Check Equiparado]]="Sí",IF(DATOS!CC$5="Sí",(1/DATOS_[[% anualiz]:[% anualiz]]),1)*IF(DATOS!CC$4="Sí",1/DATOS_[[% normaliz]:[% normaliz]],1)*(DATOS_[C.Extra.07])))))))),
0)</f>
        <v>0</v>
      </c>
      <c r="AS17" s="173">
        <f t="array" ref="AS17">IFERROR(
(MEDIAN((IF(DATOS_[[Sexo]:[Sexo]]=$B17,IF(DATOS_[[AGRUP. VALOR. PTO.]:[AGRUP. VALOR. PTO.]]=$B15,IF(DATOS_[[Check Periodo Ref.]:[Check Periodo Ref.]]="Dentro",IF(DATOS_[[Check Equiparado]:[Check Equiparado]]="Sí",IF(DATOS!CD$5="Sí",(1/DATOS_[[% anualiz]:[% anualiz]]),1)*IF(DATOS!CD$4="Sí",1/DATOS_[[% normaliz]:[% normaliz]],1)*(DATOS_[C.Extra.08])))))))),
0)</f>
        <v>0</v>
      </c>
      <c r="AT17" s="173">
        <f t="array" ref="AT17">IFERROR(
(MEDIAN((IF(DATOS_[[Sexo]:[Sexo]]=$B17,IF(DATOS_[[AGRUP. VALOR. PTO.]:[AGRUP. VALOR. PTO.]]=$B15,IF(DATOS_[[Check Periodo Ref.]:[Check Periodo Ref.]]="Dentro",IF(DATOS_[[Check Equiparado]:[Check Equiparado]]="Sí",IF(DATOS!CG$5="Sí",(1/DATOS_[[% anualiz]:[% anualiz]]),1)*IF(DATOS!CG$4="Sí",1/DATOS_[[% normaliz]:[% normaliz]],1)*(DATOS_[C.Extra.11])))))))),
0)</f>
        <v>0</v>
      </c>
      <c r="AU17" s="197">
        <f t="array" ref="AU17">IFERROR(
MEDIAN(IF(DATOS_[Sexo]=$B17,IF(DATOS_[[AGRUP. VALOR. PTO.]:[AGRUP. VALOR. PTO.]]=$B15,IF(DATOS_[Check Equiparado]="Sí",IF(DATOS_[Check Periodo Ref.]="Dentro",DATOS_[Tot Extrasalarial Eq],FALSE))))),
0)</f>
        <v>0</v>
      </c>
      <c r="AV17" s="175">
        <f t="array" ref="AV17">IFERROR(
MEDIAN(IF(DATOS_[Sexo]=$B17,IF(DATOS_[[AGRUP. VALOR. PTO.]:[AGRUP. VALOR. PTO.]]=$B15,IF(DATOS_[Check Equiparado]="Sí",IF(DATOS_[Check Periodo Ref.]="Dentro",DATOS_[TOTAL Retrib Eq],FALSE))))),
0)</f>
        <v>0</v>
      </c>
    </row>
    <row r="18" spans="1:48" ht="15.6" thickBot="1" x14ac:dyDescent="0.3">
      <c r="A18" s="133" t="str">
        <f t="shared" ref="A18" si="7">+A19</f>
        <v>[ocultar]</v>
      </c>
      <c r="B18" s="199" t="s">
        <v>183</v>
      </c>
      <c r="C18" s="200"/>
      <c r="D18" s="201"/>
      <c r="E18" s="201"/>
      <c r="F18" s="201"/>
      <c r="G18" s="201"/>
      <c r="H18" s="201"/>
      <c r="I18" s="189" t="str">
        <f t="shared" ref="I18:AV18" si="8">IFERROR((I19-I20)/I19,"")</f>
        <v/>
      </c>
      <c r="J18" s="190" t="str">
        <f t="shared" si="8"/>
        <v/>
      </c>
      <c r="K18" s="191" t="str">
        <f t="shared" si="8"/>
        <v/>
      </c>
      <c r="L18" s="191" t="str">
        <f t="shared" si="8"/>
        <v/>
      </c>
      <c r="M18" s="191" t="str">
        <f t="shared" si="8"/>
        <v/>
      </c>
      <c r="N18" s="192" t="str">
        <f t="shared" si="8"/>
        <v/>
      </c>
      <c r="O18" s="193" t="str">
        <f t="shared" si="8"/>
        <v/>
      </c>
      <c r="P18" s="193" t="str">
        <f t="shared" si="8"/>
        <v/>
      </c>
      <c r="Q18" s="193" t="str">
        <f t="shared" si="8"/>
        <v/>
      </c>
      <c r="R18" s="193" t="str">
        <f t="shared" si="8"/>
        <v/>
      </c>
      <c r="S18" s="193" t="str">
        <f t="shared" si="8"/>
        <v/>
      </c>
      <c r="T18" s="193" t="str">
        <f t="shared" si="8"/>
        <v/>
      </c>
      <c r="U18" s="193" t="str">
        <f t="shared" si="8"/>
        <v/>
      </c>
      <c r="V18" s="193" t="str">
        <f t="shared" si="8"/>
        <v/>
      </c>
      <c r="W18" s="193" t="str">
        <f t="shared" si="8"/>
        <v/>
      </c>
      <c r="X18" s="193" t="str">
        <f t="shared" si="8"/>
        <v/>
      </c>
      <c r="Y18" s="193" t="str">
        <f t="shared" si="8"/>
        <v/>
      </c>
      <c r="Z18" s="193" t="str">
        <f t="shared" si="8"/>
        <v/>
      </c>
      <c r="AA18" s="193" t="str">
        <f t="shared" si="8"/>
        <v/>
      </c>
      <c r="AB18" s="193" t="str">
        <f t="shared" si="8"/>
        <v/>
      </c>
      <c r="AC18" s="193" t="str">
        <f t="shared" si="8"/>
        <v/>
      </c>
      <c r="AD18" s="193" t="str">
        <f t="shared" si="8"/>
        <v/>
      </c>
      <c r="AE18" s="193" t="str">
        <f t="shared" si="8"/>
        <v/>
      </c>
      <c r="AF18" s="193" t="str">
        <f t="shared" si="8"/>
        <v/>
      </c>
      <c r="AG18" s="193" t="str">
        <f t="shared" si="8"/>
        <v/>
      </c>
      <c r="AH18" s="193" t="str">
        <f t="shared" si="8"/>
        <v/>
      </c>
      <c r="AI18" s="193" t="str">
        <f t="shared" si="8"/>
        <v/>
      </c>
      <c r="AJ18" s="193" t="str">
        <f t="shared" si="8"/>
        <v/>
      </c>
      <c r="AK18" s="193" t="str">
        <f t="shared" si="8"/>
        <v/>
      </c>
      <c r="AL18" s="193" t="str">
        <f t="shared" si="8"/>
        <v/>
      </c>
      <c r="AM18" s="193" t="str">
        <f t="shared" si="8"/>
        <v/>
      </c>
      <c r="AN18" s="189" t="str">
        <f t="shared" si="8"/>
        <v/>
      </c>
      <c r="AO18" s="162" t="str">
        <f t="shared" si="8"/>
        <v/>
      </c>
      <c r="AP18" s="163" t="str">
        <f t="shared" si="8"/>
        <v/>
      </c>
      <c r="AQ18" s="163" t="str">
        <f t="shared" si="8"/>
        <v/>
      </c>
      <c r="AR18" s="163" t="str">
        <f t="shared" si="8"/>
        <v/>
      </c>
      <c r="AS18" s="163" t="str">
        <f t="shared" si="8"/>
        <v/>
      </c>
      <c r="AT18" s="163" t="str">
        <f t="shared" si="8"/>
        <v/>
      </c>
      <c r="AU18" s="194" t="str">
        <f t="shared" si="8"/>
        <v/>
      </c>
      <c r="AV18" s="165" t="str">
        <f t="shared" si="8"/>
        <v/>
      </c>
    </row>
    <row r="19" spans="1:48" x14ac:dyDescent="0.25">
      <c r="A19" s="133" t="str">
        <f t="shared" ref="A19" si="9">+IF(C19+C20=0,"[ocultar]","")</f>
        <v>[ocultar]</v>
      </c>
      <c r="B19" s="202" t="s">
        <v>394</v>
      </c>
      <c r="C19" s="203">
        <f t="array" ref="C19">SUM(IF($B19=DATOS_[Sexo],
IF($B18=DATOS_[AGRUP. VALOR. PTO.],
IF("Dentro"=DATOS_[Check Periodo Ref.],
1/(COUNTIFS(DATOS_[Sexo],$B19,DATOS_[AGRUP. VALOR. PTO.],$B18,DATOS_[Check Periodo Ref.],"Dentro",DATOS_[id/cod],DATOS_[id/cod]))))))</f>
        <v>0</v>
      </c>
      <c r="D19" s="204">
        <f>COUNTIFS(DATOS_[AGRUP. VALOR. PTO.],$B18,DATOS_[Sexo],$B19,DATOS_[Check Periodo Ref.],"Dentro")</f>
        <v>0</v>
      </c>
      <c r="E19" s="204">
        <f>COUNTIFS(DATOS_[AGRUP. VALOR. PTO.],$B18,DATOS_[Sexo],$B19,DATOS_[Check Periodo Ref.],"Dentro",DATOS_[Check Nº SC Norm],"Sí")</f>
        <v>0</v>
      </c>
      <c r="F19" s="204">
        <f>COUNTIFS(DATOS_[AGRUP. VALOR. PTO.],$B18,DATOS_[Sexo],$B19,DATOS_[Check Periodo Ref.],"Dentro",DATOS_[Check Nº SC Anualiz],"Sí")</f>
        <v>0</v>
      </c>
      <c r="G19" s="204">
        <f>COUNTIFS(DATOS_[AGRUP. VALOR. PTO.],$B18,DATOS_[Sexo],$B19,DATOS_[Check Periodo Ref.],"Dentro",DATOS_[Check Nº SC Norm y Anualiz],"Sí")</f>
        <v>0</v>
      </c>
      <c r="H19" s="204">
        <f>COUNTIFS(DATOS_[AGRUP. VALOR. PTO.],$B18,DATOS_[Sexo],$B19,DATOS_[Check Periodo Ref.],"Dentro",DATOS_[Check Equiparación],"Sí")</f>
        <v>0</v>
      </c>
      <c r="I19" s="195">
        <f t="array" ref="I19">IFERROR(
MEDIAN(IF(DATOS_[Sexo]=$B19,IF(DATOS_[[AGRUP. VALOR. PTO.]:[AGRUP. VALOR. PTO.]]=$B18,IF(DATOS_[Check Equiparado]="Sí",IF(DATOS_[Check Periodo Ref.]="Dentro",DATOS_[SALARIO BASE Eq],FALSE))))),
0)</f>
        <v>0</v>
      </c>
      <c r="J19" s="196">
        <f t="array" ref="J19">IFERROR(
(MEDIAN((IF(DATOS_[[Sexo]:[Sexo]]=$B19,IF(DATOS_[[AGRUP. VALOR. PTO.]:[AGRUP. VALOR. PTO.]]=$B18,IF(DATOS_[[Check Periodo Ref.]:[Check Periodo Ref.]]="Dentro",IF(DATOS_[[Check Equiparado]:[Check Equiparado]]="Sí",IF(DATOS!AE$5="Sí",(1/DATOS_[[% anualiz]:[% anualiz]]),1)*IF(DATOS!AE$4="Sí",1/DATOS_[[% normaliz]:[% normaliz]],1)*(DATOS_[Conc.Sal.01])))))))),
0)</f>
        <v>0</v>
      </c>
      <c r="K19" s="196">
        <f t="array" ref="K19">IFERROR(
(MEDIAN((IF(DATOS_[[Sexo]:[Sexo]]=$B19,IF(DATOS_[[AGRUP. VALOR. PTO.]:[AGRUP. VALOR. PTO.]]=$B18,IF(DATOS_[[Check Periodo Ref.]:[Check Periodo Ref.]]="Dentro",IF(DATOS_[[Check Equiparado]:[Check Equiparado]]="Sí",IF(DATOS!AF$5="Sí",(1/DATOS_[[% anualiz]:[% anualiz]]),1)*IF(DATOS!AF$4="Sí",1/DATOS_[[% normaliz]:[% normaliz]],1)*(DATOS_[Conc.Sal.02])))))))),
0)</f>
        <v>0</v>
      </c>
      <c r="L19" s="196">
        <f t="array" ref="L19">IFERROR(
(MEDIAN((IF(DATOS_[[Sexo]:[Sexo]]=$B19,IF(DATOS_[[AGRUP. VALOR. PTO.]:[AGRUP. VALOR. PTO.]]=$B18,IF(DATOS_[[Check Periodo Ref.]:[Check Periodo Ref.]]="Dentro",IF(DATOS_[[Check Equiparado]:[Check Equiparado]]="Sí",IF(DATOS!AG$5="Sí",(1/DATOS_[[% anualiz]:[% anualiz]]),1)*IF(DATOS!AG$4="Sí",1/DATOS_[[% normaliz]:[% normaliz]],1)*(DATOS_[Conc.Sal.03])))))))),
0)</f>
        <v>0</v>
      </c>
      <c r="M19" s="196">
        <f t="array" ref="M19">IFERROR(
(MEDIAN((IF(DATOS_[[Sexo]:[Sexo]]=$B19,IF(DATOS_[[AGRUP. VALOR. PTO.]:[AGRUP. VALOR. PTO.]]=$B18,IF(DATOS_[[Check Periodo Ref.]:[Check Periodo Ref.]]="Dentro",IF(DATOS_[[Check Equiparado]:[Check Equiparado]]="Sí",IF(DATOS!AH$5="Sí",(1/DATOS_[[% anualiz]:[% anualiz]]),1)*IF(DATOS!AH$4="Sí",1/DATOS_[[% normaliz]:[% normaliz]],1)*(DATOS_[Conc.Sal.04])))))))),
0)</f>
        <v>0</v>
      </c>
      <c r="N19" s="196">
        <f t="array" ref="N19">IFERROR(
(MEDIAN((IF(DATOS_[[Sexo]:[Sexo]]=$B19,IF(DATOS_[[AGRUP. VALOR. PTO.]:[AGRUP. VALOR. PTO.]]=$B18,IF(DATOS_[[Check Periodo Ref.]:[Check Periodo Ref.]]="Dentro",IF(DATOS_[[Check Equiparado]:[Check Equiparado]]="Sí",IF(DATOS!AI$5="Sí",(1/DATOS_[[% anualiz]:[% anualiz]]),1)*IF(DATOS!AI$4="Sí",1/DATOS_[[% normaliz]:[% normaliz]],1)*(DATOS_[Conc.Sal.05])))))))),
0)</f>
        <v>0</v>
      </c>
      <c r="O19" s="196">
        <f t="array" ref="O19">IFERROR(
(MEDIAN((IF(DATOS_[[Sexo]:[Sexo]]=$B19,IF(DATOS_[[AGRUP. VALOR. PTO.]:[AGRUP. VALOR. PTO.]]=$B18,IF(DATOS_[[Check Periodo Ref.]:[Check Periodo Ref.]]="Dentro",IF(DATOS_[[Check Equiparado]:[Check Equiparado]]="Sí",IF(DATOS!AJ$5="Sí",(1/DATOS_[[% anualiz]:[% anualiz]]),1)*IF(DATOS!AJ$4="Sí",1/DATOS_[[% normaliz]:[% normaliz]],1)*(DATOS_[Conc.Sal.06])))))))),
0)</f>
        <v>0</v>
      </c>
      <c r="P19" s="196">
        <f t="array" ref="P19">IFERROR(
(MEDIAN((IF(DATOS_[[Sexo]:[Sexo]]=$B19,IF(DATOS_[[AGRUP. VALOR. PTO.]:[AGRUP. VALOR. PTO.]]=$B18,IF(DATOS_[[Check Periodo Ref.]:[Check Periodo Ref.]]="Dentro",IF(DATOS_[[Check Equiparado]:[Check Equiparado]]="Sí",IF(DATOS!AK$5="Sí",(1/DATOS_[[% anualiz]:[% anualiz]]),1)*IF(DATOS!AK$4="Sí",1/DATOS_[[% normaliz]:[% normaliz]],1)*(DATOS_[Conc.Sal.07])))))))),
0)</f>
        <v>0</v>
      </c>
      <c r="Q19" s="196">
        <f t="array" ref="Q19">IFERROR(
(MEDIAN((IF(DATOS_[[Sexo]:[Sexo]]=$B19,IF(DATOS_[[AGRUP. VALOR. PTO.]:[AGRUP. VALOR. PTO.]]=$B18,IF(DATOS_[[Check Periodo Ref.]:[Check Periodo Ref.]]="Dentro",IF(DATOS_[[Check Equiparado]:[Check Equiparado]]="Sí",IF(DATOS!AL$5="Sí",(1/DATOS_[[% anualiz]:[% anualiz]]),1)*IF(DATOS!AL$4="Sí",1/DATOS_[[% normaliz]:[% normaliz]],1)*(DATOS_[Conc.Sal.08])))))))),
0)</f>
        <v>0</v>
      </c>
      <c r="R19" s="196">
        <f t="array" ref="R19">IFERROR(
(MEDIAN((IF(DATOS_[[Sexo]:[Sexo]]=$B19,IF(DATOS_[[AGRUP. VALOR. PTO.]:[AGRUP. VALOR. PTO.]]=$B18,IF(DATOS_[[Check Periodo Ref.]:[Check Periodo Ref.]]="Dentro",IF(DATOS_[[Check Equiparado]:[Check Equiparado]]="Sí",IF(DATOS!AM$5="Sí",(1/DATOS_[[% anualiz]:[% anualiz]]),1)*IF(DATOS!AM$4="Sí",1/DATOS_[[% normaliz]:[% normaliz]],1)*(DATOS_[Conc.Sal.09])))))))),
0)</f>
        <v>0</v>
      </c>
      <c r="S19" s="196">
        <f t="array" ref="S19">IFERROR(
(MEDIAN((IF(DATOS_[[Sexo]:[Sexo]]=$B19,IF(DATOS_[[AGRUP. VALOR. PTO.]:[AGRUP. VALOR. PTO.]]=$B18,IF(DATOS_[[Check Periodo Ref.]:[Check Periodo Ref.]]="Dentro",IF(DATOS_[[Check Equiparado]:[Check Equiparado]]="Sí",IF(DATOS!AN$5="Sí",(1/DATOS_[[% anualiz]:[% anualiz]]),1)*IF(DATOS!AN$4="Sí",1/DATOS_[[% normaliz]:[% normaliz]],1)*(DATOS_[Conc.Sal.10])))))))),
0)</f>
        <v>0</v>
      </c>
      <c r="T19" s="196">
        <f t="array" ref="T19">IFERROR(
(MEDIAN((IF(DATOS_[[Sexo]:[Sexo]]=$B19,IF(DATOS_[[AGRUP. VALOR. PTO.]:[AGRUP. VALOR. PTO.]]=$B18,IF(DATOS_[[Check Periodo Ref.]:[Check Periodo Ref.]]="Dentro",IF(DATOS_[[Check Equiparado]:[Check Equiparado]]="Sí",IF(DATOS!AO$5="Sí",(1/DATOS_[[% anualiz]:[% anualiz]]),1)*IF(DATOS!AO$4="Sí",1/DATOS_[[% normaliz]:[% normaliz]],1)*(DATOS_[Conc.Sal.11])))))))),
0)</f>
        <v>0</v>
      </c>
      <c r="U19" s="196">
        <f t="array" ref="U19">IFERROR(
(MEDIAN((IF(DATOS_[[Sexo]:[Sexo]]=$B19,IF(DATOS_[[AGRUP. VALOR. PTO.]:[AGRUP. VALOR. PTO.]]=$B18,IF(DATOS_[[Check Periodo Ref.]:[Check Periodo Ref.]]="Dentro",IF(DATOS_[[Check Equiparado]:[Check Equiparado]]="Sí",IF(DATOS!AP$5="Sí",(1/DATOS_[[% anualiz]:[% anualiz]]),1)*IF(DATOS!AP$4="Sí",1/DATOS_[[% normaliz]:[% normaliz]],1)*(DATOS_[Conc.Sal.12])))))))),
0)</f>
        <v>0</v>
      </c>
      <c r="V19" s="196">
        <f t="array" ref="V19">IFERROR(
(MEDIAN((IF(DATOS_[[Sexo]:[Sexo]]=$B19,IF(DATOS_[[AGRUP. VALOR. PTO.]:[AGRUP. VALOR. PTO.]]=$B18,IF(DATOS_[[Check Periodo Ref.]:[Check Periodo Ref.]]="Dentro",IF(DATOS_[[Check Equiparado]:[Check Equiparado]]="Sí",IF(DATOS!AQ$5="Sí",(1/DATOS_[[% anualiz]:[% anualiz]]),1)*IF(DATOS!AQ$4="Sí",1/DATOS_[[% normaliz]:[% normaliz]],1)*(DATOS_[Conc.Sal.13])))))))),
0)</f>
        <v>0</v>
      </c>
      <c r="W19" s="196">
        <f t="array" ref="W19">IFERROR(
(MEDIAN((IF(DATOS_[[Sexo]:[Sexo]]=$B19,IF(DATOS_[[AGRUP. VALOR. PTO.]:[AGRUP. VALOR. PTO.]]=$B18,IF(DATOS_[[Check Periodo Ref.]:[Check Periodo Ref.]]="Dentro",IF(DATOS_[[Check Equiparado]:[Check Equiparado]]="Sí",IF(DATOS!AR$5="Sí",(1/DATOS_[[% anualiz]:[% anualiz]]),1)*IF(DATOS!AR$4="Sí",1/DATOS_[[% normaliz]:[% normaliz]],1)*(DATOS_[Conc.Sal.14])))))))),
0)</f>
        <v>0</v>
      </c>
      <c r="X19" s="196">
        <f t="array" ref="X19">IFERROR(
(MEDIAN((IF(DATOS_[[Sexo]:[Sexo]]=$B19,IF(DATOS_[[AGRUP. VALOR. PTO.]:[AGRUP. VALOR. PTO.]]=$B18,IF(DATOS_[[Check Periodo Ref.]:[Check Periodo Ref.]]="Dentro",IF(DATOS_[[Check Equiparado]:[Check Equiparado]]="Sí",IF(DATOS!AS$5="Sí",(1/DATOS_[[% anualiz]:[% anualiz]]),1)*IF(DATOS!AS$4="Sí",1/DATOS_[[% normaliz]:[% normaliz]],1)*(DATOS_[Conc.Sal.15])))))))),
0)</f>
        <v>0</v>
      </c>
      <c r="Y19" s="196">
        <f t="array" ref="Y19">IFERROR(
(MEDIAN((IF(DATOS_[[Sexo]:[Sexo]]=$B19,IF(DATOS_[[AGRUP. VALOR. PTO.]:[AGRUP. VALOR. PTO.]]=$B18,IF(DATOS_[[Check Periodo Ref.]:[Check Periodo Ref.]]="Dentro",IF(DATOS_[[Check Equiparado]:[Check Equiparado]]="Sí",IF(DATOS!AT$5="Sí",(1/DATOS_[[% anualiz]:[% anualiz]]),1)*IF(DATOS!AT$4="Sí",1/DATOS_[[% normaliz]:[% normaliz]],1)*(DATOS_[Conc.Sal.16])))))))),
0)</f>
        <v>0</v>
      </c>
      <c r="Z19" s="196">
        <f t="array" ref="Z19">IFERROR(
(MEDIAN((IF(DATOS_[[Sexo]:[Sexo]]=$B19,IF(DATOS_[[AGRUP. VALOR. PTO.]:[AGRUP. VALOR. PTO.]]=$B18,IF(DATOS_[[Check Periodo Ref.]:[Check Periodo Ref.]]="Dentro",IF(DATOS_[[Check Equiparado]:[Check Equiparado]]="Sí",IF(DATOS!AU$5="Sí",(1/DATOS_[[% anualiz]:[% anualiz]]),1)*IF(DATOS!AU$4="Sí",1/DATOS_[[% normaliz]:[% normaliz]],1)*(DATOS_[Conc.Sal.17])))))))),
0)</f>
        <v>0</v>
      </c>
      <c r="AA19" s="196">
        <f t="array" ref="AA19">IFERROR(
(MEDIAN((IF(DATOS_[[Sexo]:[Sexo]]=$B19,IF(DATOS_[[AGRUP. VALOR. PTO.]:[AGRUP. VALOR. PTO.]]=$B18,IF(DATOS_[[Check Periodo Ref.]:[Check Periodo Ref.]]="Dentro",IF(DATOS_[[Check Equiparado]:[Check Equiparado]]="Sí",IF(DATOS!AV$5="Sí",(1/DATOS_[[% anualiz]:[% anualiz]]),1)*IF(DATOS!AV$4="Sí",1/DATOS_[[% normaliz]:[% normaliz]],1)*(DATOS_[Conc.Sal.18])))))))),
0)</f>
        <v>0</v>
      </c>
      <c r="AB19" s="196">
        <f t="array" ref="AB19">IFERROR(
(MEDIAN((IF(DATOS_[[Sexo]:[Sexo]]=$B19,IF(DATOS_[[AGRUP. VALOR. PTO.]:[AGRUP. VALOR. PTO.]]=$B18,IF(DATOS_[[Check Periodo Ref.]:[Check Periodo Ref.]]="Dentro",IF(DATOS_[[Check Equiparado]:[Check Equiparado]]="Sí",IF(DATOS!AW$5="Sí",(1/DATOS_[[% anualiz]:[% anualiz]]),1)*IF(DATOS!AW$4="Sí",1/DATOS_[[% normaliz]:[% normaliz]],1)*(DATOS_[Conc.Sal.19])))))))),
0)</f>
        <v>0</v>
      </c>
      <c r="AC19" s="196">
        <f t="array" ref="AC19">IFERROR(
(MEDIAN((IF(DATOS_[[Sexo]:[Sexo]]=$B19,IF(DATOS_[[AGRUP. VALOR. PTO.]:[AGRUP. VALOR. PTO.]]=$B18,IF(DATOS_[[Check Periodo Ref.]:[Check Periodo Ref.]]="Dentro",IF(DATOS_[[Check Equiparado]:[Check Equiparado]]="Sí",IF(DATOS!AX$5="Sí",(1/DATOS_[[% anualiz]:[% anualiz]]),1)*IF(DATOS!AX$4="Sí",1/DATOS_[[% normaliz]:[% normaliz]],1)*(DATOS_[Conc.Sal.20])))))))),
0)</f>
        <v>0</v>
      </c>
      <c r="AD19" s="196">
        <f t="array" ref="AD19">IFERROR(
(MEDIAN((IF(DATOS_[[Sexo]:[Sexo]]=$B19,IF(DATOS_[[AGRUP. VALOR. PTO.]:[AGRUP. VALOR. PTO.]]=$B18,IF(DATOS_[[Check Periodo Ref.]:[Check Periodo Ref.]]="Dentro",IF(DATOS_[[Check Equiparado]:[Check Equiparado]]="Sí",IF(DATOS!AY$5="Sí",(1/DATOS_[[% anualiz]:[% anualiz]]),1)*IF(DATOS!AY$4="Sí",1/DATOS_[[% normaliz]:[% normaliz]],1)*(DATOS_[Conc.Sal.21])))))))),
0)</f>
        <v>0</v>
      </c>
      <c r="AE19" s="196">
        <f t="array" ref="AE19">IFERROR(
(MEDIAN((IF(DATOS_[[Sexo]:[Sexo]]=$B19,IF(DATOS_[[AGRUP. VALOR. PTO.]:[AGRUP. VALOR. PTO.]]=$B18,IF(DATOS_[[Check Periodo Ref.]:[Check Periodo Ref.]]="Dentro",IF(DATOS_[[Check Equiparado]:[Check Equiparado]]="Sí",IF(DATOS!AZ$5="Sí",(1/DATOS_[[% anualiz]:[% anualiz]]),1)*IF(DATOS!AZ$4="Sí",1/DATOS_[[% normaliz]:[% normaliz]],1)*(DATOS_[Conc.Sal.22])))))))),
0)</f>
        <v>0</v>
      </c>
      <c r="AF19" s="196">
        <f t="array" ref="AF19">IFERROR(
(MEDIAN((IF(DATOS_[[Sexo]:[Sexo]]=$B19,IF(DATOS_[[AGRUP. VALOR. PTO.]:[AGRUP. VALOR. PTO.]]=$B18,IF(DATOS_[[Check Periodo Ref.]:[Check Periodo Ref.]]="Dentro",IF(DATOS_[[Check Equiparado]:[Check Equiparado]]="Sí",IF(DATOS!BA$5="Sí",(1/DATOS_[[% anualiz]:[% anualiz]]),1)*IF(DATOS!BA$4="Sí",1/DATOS_[[% normaliz]:[% normaliz]],1)*(DATOS_[Conc.Sal.23])))))))),
0)</f>
        <v>0</v>
      </c>
      <c r="AG19" s="196">
        <f t="array" ref="AG19">IFERROR(
(MEDIAN((IF(DATOS_[[Sexo]:[Sexo]]=$B19,IF(DATOS_[[AGRUP. VALOR. PTO.]:[AGRUP. VALOR. PTO.]]=$B18,IF(DATOS_[[Check Periodo Ref.]:[Check Periodo Ref.]]="Dentro",IF(DATOS_[[Check Equiparado]:[Check Equiparado]]="Sí",IF(DATOS!BB$5="Sí",(1/DATOS_[[% anualiz]:[% anualiz]]),1)*IF(DATOS!BB$4="Sí",1/DATOS_[[% normaliz]:[% normaliz]],1)*(DATOS_[Conc.Sal.24])))))))),
0)</f>
        <v>0</v>
      </c>
      <c r="AH19" s="196">
        <f t="array" ref="AH19">IFERROR(
(MEDIAN((IF(DATOS_[[Sexo]:[Sexo]]=$B19,IF(DATOS_[[AGRUP. VALOR. PTO.]:[AGRUP. VALOR. PTO.]]=$B18,IF(DATOS_[[Check Periodo Ref.]:[Check Periodo Ref.]]="Dentro",IF(DATOS_[[Check Equiparado]:[Check Equiparado]]="Sí",IF(DATOS!BC$5="Sí",(1/DATOS_[[% anualiz]:[% anualiz]]),1)*IF(DATOS!BC$4="Sí",1/DATOS_[[% normaliz]:[% normaliz]],1)*(DATOS_[Conc.Sal.25])))))))),
0)</f>
        <v>0</v>
      </c>
      <c r="AI19" s="196">
        <f t="array" ref="AI19">IFERROR(
(MEDIAN((IF(DATOS_[[Sexo]:[Sexo]]=$B19,IF(DATOS_[[AGRUP. VALOR. PTO.]:[AGRUP. VALOR. PTO.]]=$B18,IF(DATOS_[[Check Periodo Ref.]:[Check Periodo Ref.]]="Dentro",IF(DATOS_[[Check Equiparado]:[Check Equiparado]]="Sí",IF(DATOS!BD$5="Sí",(1/DATOS_[[% anualiz]:[% anualiz]]),1)*IF(DATOS!BD$4="Sí",1/DATOS_[[% normaliz]:[% normaliz]],1)*(DATOS_[Conc.Sal.26])))))))),
0)</f>
        <v>0</v>
      </c>
      <c r="AJ19" s="196">
        <f t="array" ref="AJ19">IFERROR(
(MEDIAN((IF(DATOS_[[Sexo]:[Sexo]]=$B19,IF(DATOS_[[AGRUP. VALOR. PTO.]:[AGRUP. VALOR. PTO.]]=$B18,IF(DATOS_[[Check Periodo Ref.]:[Check Periodo Ref.]]="Dentro",IF(DATOS_[[Check Equiparado]:[Check Equiparado]]="Sí",IF(DATOS!BE$5="Sí",(1/DATOS_[[% anualiz]:[% anualiz]]),1)*IF(DATOS!BE$4="Sí",1/DATOS_[[% normaliz]:[% normaliz]],1)*(DATOS_[Conc.Sal.27])))))))),
0)</f>
        <v>0</v>
      </c>
      <c r="AK19" s="196">
        <f t="array" ref="AK19">IFERROR(
(MEDIAN((IF(DATOS_[[Sexo]:[Sexo]]=$B19,IF(DATOS_[[AGRUP. VALOR. PTO.]:[AGRUP. VALOR. PTO.]]=$B18,IF(DATOS_[[Check Periodo Ref.]:[Check Periodo Ref.]]="Dentro",IF(DATOS_[[Check Equiparado]:[Check Equiparado]]="Sí",IF(DATOS!BF$5="Sí",(1/DATOS_[[% anualiz]:[% anualiz]]),1)*IF(DATOS!BF$4="Sí",1/DATOS_[[% normaliz]:[% normaliz]],1)*(DATOS_[Conc.Sal.28])))))))),
0)</f>
        <v>0</v>
      </c>
      <c r="AL19" s="196">
        <f t="array" ref="AL19">IFERROR(
(MEDIAN((IF(DATOS_[[Sexo]:[Sexo]]=$B19,IF(DATOS_[[AGRUP. VALOR. PTO.]:[AGRUP. VALOR. PTO.]]=$B18,IF(DATOS_[[Check Periodo Ref.]:[Check Periodo Ref.]]="Dentro",IF(DATOS_[[Check Equiparado]:[Check Equiparado]]="Sí",IF(DATOS!BG$5="Sí",(1/DATOS_[[% anualiz]:[% anualiz]]),1)*IF(DATOS!BG$4="Sí",1/DATOS_[[% normaliz]:[% normaliz]],1)*(DATOS_[Conc.Sal.29])))))))),
0)</f>
        <v>0</v>
      </c>
      <c r="AM19" s="196">
        <f t="array" ref="AM19">IFERROR(
(MEDIAN((IF(DATOS_[[Sexo]:[Sexo]]=$B19,IF(DATOS_[[AGRUP. VALOR. PTO.]:[AGRUP. VALOR. PTO.]]=$B18,IF(DATOS_[[Check Periodo Ref.]:[Check Periodo Ref.]]="Dentro",IF(DATOS_[[Check Equiparado]:[Check Equiparado]]="Sí",IF(DATOS!BH$5="Sí",(1/DATOS_[[% anualiz]:[% anualiz]]),1)*IF(DATOS!BH$4="Sí",1/DATOS_[[% normaliz]:[% normaliz]],1)*(DATOS_[Conc.Sal.30])))))))),
0)</f>
        <v>0</v>
      </c>
      <c r="AN19" s="195">
        <f t="array" ref="AN19">IFERROR(
MEDIAN(IF(DATOS_[Sexo]=$B19,IF(DATOS_[[AGRUP. VALOR. PTO.]:[AGRUP. VALOR. PTO.]]=$B18,IF(DATOS_[Check Equiparado]="Sí",IF(DATOS_[Check Periodo Ref.]="Dentro",DATOS_[Tot COMPL.SAL Eq],FALSE))))),
0)</f>
        <v>0</v>
      </c>
      <c r="AO19" s="172">
        <f t="array" ref="AO19">IFERROR(
MEDIAN(IF(DATOS_[Sexo]=$B19,IF(DATOS_[[AGRUP. VALOR. PTO.]:[AGRUP. VALOR. PTO.]]=$B18,IF(DATOS_[Check Equiparado]="Sí",IF(DATOS_[Check Periodo Ref.]="Dentro",DATOS_[TOTAL SALARIO Eq],FALSE))))),
0)</f>
        <v>0</v>
      </c>
      <c r="AP19" s="173">
        <f t="array" ref="AP19">IFERROR(
(MEDIAN((IF(DATOS_[[Sexo]:[Sexo]]=$B19,IF(DATOS_[[AGRUP. VALOR. PTO.]:[AGRUP. VALOR. PTO.]]=$B18,IF(DATOS_[[Check Periodo Ref.]:[Check Periodo Ref.]]="Dentro",IF(DATOS_[[Check Equiparado]:[Check Equiparado]]="Sí",IF(DATOS!BW$5="Sí",(1/DATOS_[[% anualiz]:[% anualiz]]),1)*IF(DATOS!BW$4="Sí",1/DATOS_[[% normaliz]:[% normaliz]],1)*(DATOS_[C.Extra.01])))))))),
0)</f>
        <v>0</v>
      </c>
      <c r="AQ19" s="173">
        <f t="array" ref="AQ19">IFERROR(
(MEDIAN((IF(DATOS_[[Sexo]:[Sexo]]=$B19,IF(DATOS_[[AGRUP. VALOR. PTO.]:[AGRUP. VALOR. PTO.]]=$B18,IF(DATOS_[[Check Periodo Ref.]:[Check Periodo Ref.]]="Dentro",IF(DATOS_[[Check Equiparado]:[Check Equiparado]]="Sí",IF(DATOS!CB$5="Sí",(1/DATOS_[[% anualiz]:[% anualiz]]),1)*IF(DATOS!CB$4="Sí",1/DATOS_[[% normaliz]:[% normaliz]],1)*(DATOS_[C.Extra.06])))))))),
0)</f>
        <v>0</v>
      </c>
      <c r="AR19" s="173">
        <f t="array" ref="AR19">IFERROR(
(MEDIAN((IF(DATOS_[[Sexo]:[Sexo]]=$B19,IF(DATOS_[[AGRUP. VALOR. PTO.]:[AGRUP. VALOR. PTO.]]=$B18,IF(DATOS_[[Check Periodo Ref.]:[Check Periodo Ref.]]="Dentro",IF(DATOS_[[Check Equiparado]:[Check Equiparado]]="Sí",IF(DATOS!CC$5="Sí",(1/DATOS_[[% anualiz]:[% anualiz]]),1)*IF(DATOS!CC$4="Sí",1/DATOS_[[% normaliz]:[% normaliz]],1)*(DATOS_[C.Extra.07])))))))),
0)</f>
        <v>0</v>
      </c>
      <c r="AS19" s="173">
        <f t="array" ref="AS19">IFERROR(
(MEDIAN((IF(DATOS_[[Sexo]:[Sexo]]=$B19,IF(DATOS_[[AGRUP. VALOR. PTO.]:[AGRUP. VALOR. PTO.]]=$B18,IF(DATOS_[[Check Periodo Ref.]:[Check Periodo Ref.]]="Dentro",IF(DATOS_[[Check Equiparado]:[Check Equiparado]]="Sí",IF(DATOS!CD$5="Sí",(1/DATOS_[[% anualiz]:[% anualiz]]),1)*IF(DATOS!CD$4="Sí",1/DATOS_[[% normaliz]:[% normaliz]],1)*(DATOS_[C.Extra.08])))))))),
0)</f>
        <v>0</v>
      </c>
      <c r="AT19" s="173">
        <f t="array" ref="AT19">IFERROR(
(MEDIAN((IF(DATOS_[[Sexo]:[Sexo]]=$B19,IF(DATOS_[[AGRUP. VALOR. PTO.]:[AGRUP. VALOR. PTO.]]=$B18,IF(DATOS_[[Check Periodo Ref.]:[Check Periodo Ref.]]="Dentro",IF(DATOS_[[Check Equiparado]:[Check Equiparado]]="Sí",IF(DATOS!CG$5="Sí",(1/DATOS_[[% anualiz]:[% anualiz]]),1)*IF(DATOS!CG$4="Sí",1/DATOS_[[% normaliz]:[% normaliz]],1)*(DATOS_[C.Extra.11])))))))),
0)</f>
        <v>0</v>
      </c>
      <c r="AU19" s="197">
        <f t="array" ref="AU19">IFERROR(
MEDIAN(IF(DATOS_[Sexo]=$B19,IF(DATOS_[[AGRUP. VALOR. PTO.]:[AGRUP. VALOR. PTO.]]=$B18,IF(DATOS_[Check Equiparado]="Sí",IF(DATOS_[Check Periodo Ref.]="Dentro",DATOS_[Tot Extrasalarial Eq],FALSE))))),
0)</f>
        <v>0</v>
      </c>
      <c r="AV19" s="175">
        <f t="array" ref="AV19">IFERROR(
MEDIAN(IF(DATOS_[Sexo]=$B19,IF(DATOS_[[AGRUP. VALOR. PTO.]:[AGRUP. VALOR. PTO.]]=$B18,IF(DATOS_[Check Equiparado]="Sí",IF(DATOS_[Check Periodo Ref.]="Dentro",DATOS_[TOTAL Retrib Eq],FALSE))))),
0)</f>
        <v>0</v>
      </c>
    </row>
    <row r="20" spans="1:48" x14ac:dyDescent="0.25">
      <c r="A20" s="133" t="str">
        <f t="shared" ref="A20" si="10">+A19</f>
        <v>[ocultar]</v>
      </c>
      <c r="B20" s="202" t="s">
        <v>521</v>
      </c>
      <c r="C20" s="203">
        <f t="array" ref="C20">SUM(IF($B20=DATOS_[Sexo],
IF($B18=DATOS_[AGRUP. VALOR. PTO.],
IF("Dentro"=DATOS_[Check Periodo Ref.],
1/(COUNTIFS(DATOS_[Sexo],$B20,DATOS_[AGRUP. VALOR. PTO.],$B18,DATOS_[Check Periodo Ref.],"Dentro",DATOS_[id/cod],DATOS_[id/cod]))))))</f>
        <v>0</v>
      </c>
      <c r="D20" s="204">
        <f>COUNTIFS(DATOS_[AGRUP. VALOR. PTO.],$B18,DATOS_[Sexo],$B20,DATOS_[Check Periodo Ref.],"Dentro")</f>
        <v>0</v>
      </c>
      <c r="E20" s="204">
        <f>COUNTIFS(DATOS_[AGRUP. VALOR. PTO.],$B18,DATOS_[Sexo],$B20,DATOS_[Check Periodo Ref.],"Dentro",DATOS_[Check Nº SC Norm],"Sí")</f>
        <v>0</v>
      </c>
      <c r="F20" s="204">
        <f>COUNTIFS(DATOS_[AGRUP. VALOR. PTO.],$B18,DATOS_[Sexo],$B20,DATOS_[Check Periodo Ref.],"Dentro",DATOS_[Check Nº SC Anualiz],"Sí")</f>
        <v>0</v>
      </c>
      <c r="G20" s="204">
        <f>COUNTIFS(DATOS_[AGRUP. VALOR. PTO.],$B18,DATOS_[Sexo],$B20,DATOS_[Check Periodo Ref.],"Dentro",DATOS_[Check Nº SC Norm y Anualiz],"Sí")</f>
        <v>0</v>
      </c>
      <c r="H20" s="204">
        <f>COUNTIFS(DATOS_[AGRUP. VALOR. PTO.],$B18,DATOS_[Sexo],$B20,DATOS_[Check Periodo Ref.],"Dentro",DATOS_[Check Equiparación],"Sí")</f>
        <v>0</v>
      </c>
      <c r="I20" s="195" cm="1">
        <f t="array" ref="I20">IFERROR(
MEDIAN(IF(DATOS_[Sexo]=$B20,IF(DATOS_[[AGRUP. VALOR. PTO.]:[AGRUP. VALOR. PTO.]]=$B18,IF(DATOS_[Check Equiparado]="Sí",IF(DATOS_[Check Periodo Ref.]="Dentro",DATOS_[SALARIO BASE Eq],FALSE))))),
0)</f>
        <v>0</v>
      </c>
      <c r="J20" s="196">
        <f t="array" ref="J20">IFERROR(
(MEDIAN((IF(DATOS_[[Sexo]:[Sexo]]=$B20,IF(DATOS_[[AGRUP. VALOR. PTO.]:[AGRUP. VALOR. PTO.]]=$B18,IF(DATOS_[[Check Periodo Ref.]:[Check Periodo Ref.]]="Dentro",IF(DATOS_[[Check Equiparado]:[Check Equiparado]]="Sí",IF(DATOS!AE$5="Sí",(1/DATOS_[[% anualiz]:[% anualiz]]),1)*IF(DATOS!AE$4="Sí",1/DATOS_[[% normaliz]:[% normaliz]],1)*(DATOS_[Conc.Sal.01])))))))),
0)</f>
        <v>0</v>
      </c>
      <c r="K20" s="196">
        <f t="array" ref="K20">IFERROR(
(MEDIAN((IF(DATOS_[[Sexo]:[Sexo]]=$B20,IF(DATOS_[[AGRUP. VALOR. PTO.]:[AGRUP. VALOR. PTO.]]=$B18,IF(DATOS_[[Check Periodo Ref.]:[Check Periodo Ref.]]="Dentro",IF(DATOS_[[Check Equiparado]:[Check Equiparado]]="Sí",IF(DATOS!AF$5="Sí",(1/DATOS_[[% anualiz]:[% anualiz]]),1)*IF(DATOS!AF$4="Sí",1/DATOS_[[% normaliz]:[% normaliz]],1)*(DATOS_[Conc.Sal.02])))))))),
0)</f>
        <v>0</v>
      </c>
      <c r="L20" s="196">
        <f t="array" ref="L20">IFERROR(
(MEDIAN((IF(DATOS_[[Sexo]:[Sexo]]=$B20,IF(DATOS_[[AGRUP. VALOR. PTO.]:[AGRUP. VALOR. PTO.]]=$B18,IF(DATOS_[[Check Periodo Ref.]:[Check Periodo Ref.]]="Dentro",IF(DATOS_[[Check Equiparado]:[Check Equiparado]]="Sí",IF(DATOS!AG$5="Sí",(1/DATOS_[[% anualiz]:[% anualiz]]),1)*IF(DATOS!AG$4="Sí",1/DATOS_[[% normaliz]:[% normaliz]],1)*(DATOS_[Conc.Sal.03])))))))),
0)</f>
        <v>0</v>
      </c>
      <c r="M20" s="196">
        <f t="array" ref="M20">IFERROR(
(MEDIAN((IF(DATOS_[[Sexo]:[Sexo]]=$B20,IF(DATOS_[[AGRUP. VALOR. PTO.]:[AGRUP. VALOR. PTO.]]=$B18,IF(DATOS_[[Check Periodo Ref.]:[Check Periodo Ref.]]="Dentro",IF(DATOS_[[Check Equiparado]:[Check Equiparado]]="Sí",IF(DATOS!AH$5="Sí",(1/DATOS_[[% anualiz]:[% anualiz]]),1)*IF(DATOS!AH$4="Sí",1/DATOS_[[% normaliz]:[% normaliz]],1)*(DATOS_[Conc.Sal.04])))))))),
0)</f>
        <v>0</v>
      </c>
      <c r="N20" s="196">
        <f t="array" ref="N20">IFERROR(
(MEDIAN((IF(DATOS_[[Sexo]:[Sexo]]=$B20,IF(DATOS_[[AGRUP. VALOR. PTO.]:[AGRUP. VALOR. PTO.]]=$B18,IF(DATOS_[[Check Periodo Ref.]:[Check Periodo Ref.]]="Dentro",IF(DATOS_[[Check Equiparado]:[Check Equiparado]]="Sí",IF(DATOS!AI$5="Sí",(1/DATOS_[[% anualiz]:[% anualiz]]),1)*IF(DATOS!AI$4="Sí",1/DATOS_[[% normaliz]:[% normaliz]],1)*(DATOS_[Conc.Sal.05])))))))),
0)</f>
        <v>0</v>
      </c>
      <c r="O20" s="196">
        <f t="array" ref="O20">IFERROR(
(MEDIAN((IF(DATOS_[[Sexo]:[Sexo]]=$B20,IF(DATOS_[[AGRUP. VALOR. PTO.]:[AGRUP. VALOR. PTO.]]=$B18,IF(DATOS_[[Check Periodo Ref.]:[Check Periodo Ref.]]="Dentro",IF(DATOS_[[Check Equiparado]:[Check Equiparado]]="Sí",IF(DATOS!AJ$5="Sí",(1/DATOS_[[% anualiz]:[% anualiz]]),1)*IF(DATOS!AJ$4="Sí",1/DATOS_[[% normaliz]:[% normaliz]],1)*(DATOS_[Conc.Sal.06])))))))),
0)</f>
        <v>0</v>
      </c>
      <c r="P20" s="196">
        <f t="array" ref="P20">IFERROR(
(MEDIAN((IF(DATOS_[[Sexo]:[Sexo]]=$B20,IF(DATOS_[[AGRUP. VALOR. PTO.]:[AGRUP. VALOR. PTO.]]=$B18,IF(DATOS_[[Check Periodo Ref.]:[Check Periodo Ref.]]="Dentro",IF(DATOS_[[Check Equiparado]:[Check Equiparado]]="Sí",IF(DATOS!AK$5="Sí",(1/DATOS_[[% anualiz]:[% anualiz]]),1)*IF(DATOS!AK$4="Sí",1/DATOS_[[% normaliz]:[% normaliz]],1)*(DATOS_[Conc.Sal.07])))))))),
0)</f>
        <v>0</v>
      </c>
      <c r="Q20" s="196">
        <f t="array" ref="Q20">IFERROR(
(MEDIAN((IF(DATOS_[[Sexo]:[Sexo]]=$B20,IF(DATOS_[[AGRUP. VALOR. PTO.]:[AGRUP. VALOR. PTO.]]=$B18,IF(DATOS_[[Check Periodo Ref.]:[Check Periodo Ref.]]="Dentro",IF(DATOS_[[Check Equiparado]:[Check Equiparado]]="Sí",IF(DATOS!AL$5="Sí",(1/DATOS_[[% anualiz]:[% anualiz]]),1)*IF(DATOS!AL$4="Sí",1/DATOS_[[% normaliz]:[% normaliz]],1)*(DATOS_[Conc.Sal.08])))))))),
0)</f>
        <v>0</v>
      </c>
      <c r="R20" s="196">
        <f t="array" ref="R20">IFERROR(
(MEDIAN((IF(DATOS_[[Sexo]:[Sexo]]=$B20,IF(DATOS_[[AGRUP. VALOR. PTO.]:[AGRUP. VALOR. PTO.]]=$B18,IF(DATOS_[[Check Periodo Ref.]:[Check Periodo Ref.]]="Dentro",IF(DATOS_[[Check Equiparado]:[Check Equiparado]]="Sí",IF(DATOS!AM$5="Sí",(1/DATOS_[[% anualiz]:[% anualiz]]),1)*IF(DATOS!AM$4="Sí",1/DATOS_[[% normaliz]:[% normaliz]],1)*(DATOS_[Conc.Sal.09])))))))),
0)</f>
        <v>0</v>
      </c>
      <c r="S20" s="196">
        <f t="array" ref="S20">IFERROR(
(MEDIAN((IF(DATOS_[[Sexo]:[Sexo]]=$B20,IF(DATOS_[[AGRUP. VALOR. PTO.]:[AGRUP. VALOR. PTO.]]=$B18,IF(DATOS_[[Check Periodo Ref.]:[Check Periodo Ref.]]="Dentro",IF(DATOS_[[Check Equiparado]:[Check Equiparado]]="Sí",IF(DATOS!AN$5="Sí",(1/DATOS_[[% anualiz]:[% anualiz]]),1)*IF(DATOS!AN$4="Sí",1/DATOS_[[% normaliz]:[% normaliz]],1)*(DATOS_[Conc.Sal.10])))))))),
0)</f>
        <v>0</v>
      </c>
      <c r="T20" s="196">
        <f t="array" ref="T20">IFERROR(
(MEDIAN((IF(DATOS_[[Sexo]:[Sexo]]=$B20,IF(DATOS_[[AGRUP. VALOR. PTO.]:[AGRUP. VALOR. PTO.]]=$B18,IF(DATOS_[[Check Periodo Ref.]:[Check Periodo Ref.]]="Dentro",IF(DATOS_[[Check Equiparado]:[Check Equiparado]]="Sí",IF(DATOS!AO$5="Sí",(1/DATOS_[[% anualiz]:[% anualiz]]),1)*IF(DATOS!AO$4="Sí",1/DATOS_[[% normaliz]:[% normaliz]],1)*(DATOS_[Conc.Sal.11])))))))),
0)</f>
        <v>0</v>
      </c>
      <c r="U20" s="196">
        <f t="array" ref="U20">IFERROR(
(MEDIAN((IF(DATOS_[[Sexo]:[Sexo]]=$B20,IF(DATOS_[[AGRUP. VALOR. PTO.]:[AGRUP. VALOR. PTO.]]=$B18,IF(DATOS_[[Check Periodo Ref.]:[Check Periodo Ref.]]="Dentro",IF(DATOS_[[Check Equiparado]:[Check Equiparado]]="Sí",IF(DATOS!AP$5="Sí",(1/DATOS_[[% anualiz]:[% anualiz]]),1)*IF(DATOS!AP$4="Sí",1/DATOS_[[% normaliz]:[% normaliz]],1)*(DATOS_[Conc.Sal.12])))))))),
0)</f>
        <v>0</v>
      </c>
      <c r="V20" s="196">
        <f t="array" ref="V20">IFERROR(
(MEDIAN((IF(DATOS_[[Sexo]:[Sexo]]=$B20,IF(DATOS_[[AGRUP. VALOR. PTO.]:[AGRUP. VALOR. PTO.]]=$B18,IF(DATOS_[[Check Periodo Ref.]:[Check Periodo Ref.]]="Dentro",IF(DATOS_[[Check Equiparado]:[Check Equiparado]]="Sí",IF(DATOS!AQ$5="Sí",(1/DATOS_[[% anualiz]:[% anualiz]]),1)*IF(DATOS!AQ$4="Sí",1/DATOS_[[% normaliz]:[% normaliz]],1)*(DATOS_[Conc.Sal.13])))))))),
0)</f>
        <v>0</v>
      </c>
      <c r="W20" s="196">
        <f t="array" ref="W20">IFERROR(
(MEDIAN((IF(DATOS_[[Sexo]:[Sexo]]=$B20,IF(DATOS_[[AGRUP. VALOR. PTO.]:[AGRUP. VALOR. PTO.]]=$B18,IF(DATOS_[[Check Periodo Ref.]:[Check Periodo Ref.]]="Dentro",IF(DATOS_[[Check Equiparado]:[Check Equiparado]]="Sí",IF(DATOS!AR$5="Sí",(1/DATOS_[[% anualiz]:[% anualiz]]),1)*IF(DATOS!AR$4="Sí",1/DATOS_[[% normaliz]:[% normaliz]],1)*(DATOS_[Conc.Sal.14])))))))),
0)</f>
        <v>0</v>
      </c>
      <c r="X20" s="196">
        <f t="array" ref="X20">IFERROR(
(MEDIAN((IF(DATOS_[[Sexo]:[Sexo]]=$B20,IF(DATOS_[[AGRUP. VALOR. PTO.]:[AGRUP. VALOR. PTO.]]=$B18,IF(DATOS_[[Check Periodo Ref.]:[Check Periodo Ref.]]="Dentro",IF(DATOS_[[Check Equiparado]:[Check Equiparado]]="Sí",IF(DATOS!AS$5="Sí",(1/DATOS_[[% anualiz]:[% anualiz]]),1)*IF(DATOS!AS$4="Sí",1/DATOS_[[% normaliz]:[% normaliz]],1)*(DATOS_[Conc.Sal.15])))))))),
0)</f>
        <v>0</v>
      </c>
      <c r="Y20" s="196">
        <f t="array" ref="Y20">IFERROR(
(MEDIAN((IF(DATOS_[[Sexo]:[Sexo]]=$B20,IF(DATOS_[[AGRUP. VALOR. PTO.]:[AGRUP. VALOR. PTO.]]=$B18,IF(DATOS_[[Check Periodo Ref.]:[Check Periodo Ref.]]="Dentro",IF(DATOS_[[Check Equiparado]:[Check Equiparado]]="Sí",IF(DATOS!AT$5="Sí",(1/DATOS_[[% anualiz]:[% anualiz]]),1)*IF(DATOS!AT$4="Sí",1/DATOS_[[% normaliz]:[% normaliz]],1)*(DATOS_[Conc.Sal.16])))))))),
0)</f>
        <v>0</v>
      </c>
      <c r="Z20" s="196">
        <f t="array" ref="Z20">IFERROR(
(MEDIAN((IF(DATOS_[[Sexo]:[Sexo]]=$B20,IF(DATOS_[[AGRUP. VALOR. PTO.]:[AGRUP. VALOR. PTO.]]=$B18,IF(DATOS_[[Check Periodo Ref.]:[Check Periodo Ref.]]="Dentro",IF(DATOS_[[Check Equiparado]:[Check Equiparado]]="Sí",IF(DATOS!AU$5="Sí",(1/DATOS_[[% anualiz]:[% anualiz]]),1)*IF(DATOS!AU$4="Sí",1/DATOS_[[% normaliz]:[% normaliz]],1)*(DATOS_[Conc.Sal.17])))))))),
0)</f>
        <v>0</v>
      </c>
      <c r="AA20" s="196">
        <f t="array" ref="AA20">IFERROR(
(MEDIAN((IF(DATOS_[[Sexo]:[Sexo]]=$B20,IF(DATOS_[[AGRUP. VALOR. PTO.]:[AGRUP. VALOR. PTO.]]=$B18,IF(DATOS_[[Check Periodo Ref.]:[Check Periodo Ref.]]="Dentro",IF(DATOS_[[Check Equiparado]:[Check Equiparado]]="Sí",IF(DATOS!AV$5="Sí",(1/DATOS_[[% anualiz]:[% anualiz]]),1)*IF(DATOS!AV$4="Sí",1/DATOS_[[% normaliz]:[% normaliz]],1)*(DATOS_[Conc.Sal.18])))))))),
0)</f>
        <v>0</v>
      </c>
      <c r="AB20" s="196">
        <f t="array" ref="AB20">IFERROR(
(MEDIAN((IF(DATOS_[[Sexo]:[Sexo]]=$B20,IF(DATOS_[[AGRUP. VALOR. PTO.]:[AGRUP. VALOR. PTO.]]=$B18,IF(DATOS_[[Check Periodo Ref.]:[Check Periodo Ref.]]="Dentro",IF(DATOS_[[Check Equiparado]:[Check Equiparado]]="Sí",IF(DATOS!AW$5="Sí",(1/DATOS_[[% anualiz]:[% anualiz]]),1)*IF(DATOS!AW$4="Sí",1/DATOS_[[% normaliz]:[% normaliz]],1)*(DATOS_[Conc.Sal.19])))))))),
0)</f>
        <v>0</v>
      </c>
      <c r="AC20" s="196">
        <f t="array" ref="AC20">IFERROR(
(MEDIAN((IF(DATOS_[[Sexo]:[Sexo]]=$B20,IF(DATOS_[[AGRUP. VALOR. PTO.]:[AGRUP. VALOR. PTO.]]=$B18,IF(DATOS_[[Check Periodo Ref.]:[Check Periodo Ref.]]="Dentro",IF(DATOS_[[Check Equiparado]:[Check Equiparado]]="Sí",IF(DATOS!AX$5="Sí",(1/DATOS_[[% anualiz]:[% anualiz]]),1)*IF(DATOS!AX$4="Sí",1/DATOS_[[% normaliz]:[% normaliz]],1)*(DATOS_[Conc.Sal.20])))))))),
0)</f>
        <v>0</v>
      </c>
      <c r="AD20" s="196">
        <f t="array" ref="AD20">IFERROR(
(MEDIAN((IF(DATOS_[[Sexo]:[Sexo]]=$B20,IF(DATOS_[[AGRUP. VALOR. PTO.]:[AGRUP. VALOR. PTO.]]=$B18,IF(DATOS_[[Check Periodo Ref.]:[Check Periodo Ref.]]="Dentro",IF(DATOS_[[Check Equiparado]:[Check Equiparado]]="Sí",IF(DATOS!AY$5="Sí",(1/DATOS_[[% anualiz]:[% anualiz]]),1)*IF(DATOS!AY$4="Sí",1/DATOS_[[% normaliz]:[% normaliz]],1)*(DATOS_[Conc.Sal.21])))))))),
0)</f>
        <v>0</v>
      </c>
      <c r="AE20" s="196">
        <f t="array" ref="AE20">IFERROR(
(MEDIAN((IF(DATOS_[[Sexo]:[Sexo]]=$B20,IF(DATOS_[[AGRUP. VALOR. PTO.]:[AGRUP. VALOR. PTO.]]=$B18,IF(DATOS_[[Check Periodo Ref.]:[Check Periodo Ref.]]="Dentro",IF(DATOS_[[Check Equiparado]:[Check Equiparado]]="Sí",IF(DATOS!AZ$5="Sí",(1/DATOS_[[% anualiz]:[% anualiz]]),1)*IF(DATOS!AZ$4="Sí",1/DATOS_[[% normaliz]:[% normaliz]],1)*(DATOS_[Conc.Sal.22])))))))),
0)</f>
        <v>0</v>
      </c>
      <c r="AF20" s="196">
        <f t="array" ref="AF20">IFERROR(
(MEDIAN((IF(DATOS_[[Sexo]:[Sexo]]=$B20,IF(DATOS_[[AGRUP. VALOR. PTO.]:[AGRUP. VALOR. PTO.]]=$B18,IF(DATOS_[[Check Periodo Ref.]:[Check Periodo Ref.]]="Dentro",IF(DATOS_[[Check Equiparado]:[Check Equiparado]]="Sí",IF(DATOS!BA$5="Sí",(1/DATOS_[[% anualiz]:[% anualiz]]),1)*IF(DATOS!BA$4="Sí",1/DATOS_[[% normaliz]:[% normaliz]],1)*(DATOS_[Conc.Sal.23])))))))),
0)</f>
        <v>0</v>
      </c>
      <c r="AG20" s="196">
        <f t="array" ref="AG20">IFERROR(
(MEDIAN((IF(DATOS_[[Sexo]:[Sexo]]=$B20,IF(DATOS_[[AGRUP. VALOR. PTO.]:[AGRUP. VALOR. PTO.]]=$B18,IF(DATOS_[[Check Periodo Ref.]:[Check Periodo Ref.]]="Dentro",IF(DATOS_[[Check Equiparado]:[Check Equiparado]]="Sí",IF(DATOS!BB$5="Sí",(1/DATOS_[[% anualiz]:[% anualiz]]),1)*IF(DATOS!BB$4="Sí",1/DATOS_[[% normaliz]:[% normaliz]],1)*(DATOS_[Conc.Sal.24])))))))),
0)</f>
        <v>0</v>
      </c>
      <c r="AH20" s="196">
        <f t="array" ref="AH20">IFERROR(
(MEDIAN((IF(DATOS_[[Sexo]:[Sexo]]=$B20,IF(DATOS_[[AGRUP. VALOR. PTO.]:[AGRUP. VALOR. PTO.]]=$B18,IF(DATOS_[[Check Periodo Ref.]:[Check Periodo Ref.]]="Dentro",IF(DATOS_[[Check Equiparado]:[Check Equiparado]]="Sí",IF(DATOS!BC$5="Sí",(1/DATOS_[[% anualiz]:[% anualiz]]),1)*IF(DATOS!BC$4="Sí",1/DATOS_[[% normaliz]:[% normaliz]],1)*(DATOS_[Conc.Sal.25])))))))),
0)</f>
        <v>0</v>
      </c>
      <c r="AI20" s="196">
        <f t="array" ref="AI20">IFERROR(
(MEDIAN((IF(DATOS_[[Sexo]:[Sexo]]=$B20,IF(DATOS_[[AGRUP. VALOR. PTO.]:[AGRUP. VALOR. PTO.]]=$B18,IF(DATOS_[[Check Periodo Ref.]:[Check Periodo Ref.]]="Dentro",IF(DATOS_[[Check Equiparado]:[Check Equiparado]]="Sí",IF(DATOS!BD$5="Sí",(1/DATOS_[[% anualiz]:[% anualiz]]),1)*IF(DATOS!BD$4="Sí",1/DATOS_[[% normaliz]:[% normaliz]],1)*(DATOS_[Conc.Sal.26])))))))),
0)</f>
        <v>0</v>
      </c>
      <c r="AJ20" s="196">
        <f t="array" ref="AJ20">IFERROR(
(MEDIAN((IF(DATOS_[[Sexo]:[Sexo]]=$B20,IF(DATOS_[[AGRUP. VALOR. PTO.]:[AGRUP. VALOR. PTO.]]=$B18,IF(DATOS_[[Check Periodo Ref.]:[Check Periodo Ref.]]="Dentro",IF(DATOS_[[Check Equiparado]:[Check Equiparado]]="Sí",IF(DATOS!BE$5="Sí",(1/DATOS_[[% anualiz]:[% anualiz]]),1)*IF(DATOS!BE$4="Sí",1/DATOS_[[% normaliz]:[% normaliz]],1)*(DATOS_[Conc.Sal.27])))))))),
0)</f>
        <v>0</v>
      </c>
      <c r="AK20" s="196">
        <f t="array" ref="AK20">IFERROR(
(MEDIAN((IF(DATOS_[[Sexo]:[Sexo]]=$B20,IF(DATOS_[[AGRUP. VALOR. PTO.]:[AGRUP. VALOR. PTO.]]=$B18,IF(DATOS_[[Check Periodo Ref.]:[Check Periodo Ref.]]="Dentro",IF(DATOS_[[Check Equiparado]:[Check Equiparado]]="Sí",IF(DATOS!BF$5="Sí",(1/DATOS_[[% anualiz]:[% anualiz]]),1)*IF(DATOS!BF$4="Sí",1/DATOS_[[% normaliz]:[% normaliz]],1)*(DATOS_[Conc.Sal.28])))))))),
0)</f>
        <v>0</v>
      </c>
      <c r="AL20" s="196">
        <f t="array" ref="AL20">IFERROR(
(MEDIAN((IF(DATOS_[[Sexo]:[Sexo]]=$B20,IF(DATOS_[[AGRUP. VALOR. PTO.]:[AGRUP. VALOR. PTO.]]=$B18,IF(DATOS_[[Check Periodo Ref.]:[Check Periodo Ref.]]="Dentro",IF(DATOS_[[Check Equiparado]:[Check Equiparado]]="Sí",IF(DATOS!BG$5="Sí",(1/DATOS_[[% anualiz]:[% anualiz]]),1)*IF(DATOS!BG$4="Sí",1/DATOS_[[% normaliz]:[% normaliz]],1)*(DATOS_[Conc.Sal.29])))))))),
0)</f>
        <v>0</v>
      </c>
      <c r="AM20" s="196">
        <f t="array" ref="AM20">IFERROR(
(MEDIAN((IF(DATOS_[[Sexo]:[Sexo]]=$B20,IF(DATOS_[[AGRUP. VALOR. PTO.]:[AGRUP. VALOR. PTO.]]=$B18,IF(DATOS_[[Check Periodo Ref.]:[Check Periodo Ref.]]="Dentro",IF(DATOS_[[Check Equiparado]:[Check Equiparado]]="Sí",IF(DATOS!BH$5="Sí",(1/DATOS_[[% anualiz]:[% anualiz]]),1)*IF(DATOS!BH$4="Sí",1/DATOS_[[% normaliz]:[% normaliz]],1)*(DATOS_[Conc.Sal.30])))))))),
0)</f>
        <v>0</v>
      </c>
      <c r="AN20" s="195">
        <f t="array" ref="AN20">IFERROR(
MEDIAN(IF(DATOS_[Sexo]=$B20,IF(DATOS_[[AGRUP. VALOR. PTO.]:[AGRUP. VALOR. PTO.]]=$B18,IF(DATOS_[Check Equiparado]="Sí",IF(DATOS_[Check Periodo Ref.]="Dentro",DATOS_[Tot COMPL.SAL Eq],FALSE))))),
0)</f>
        <v>0</v>
      </c>
      <c r="AO20" s="172">
        <f t="array" ref="AO20">IFERROR(
MEDIAN(IF(DATOS_[Sexo]=$B20,IF(DATOS_[[AGRUP. VALOR. PTO.]:[AGRUP. VALOR. PTO.]]=$B18,IF(DATOS_[Check Equiparado]="Sí",IF(DATOS_[Check Periodo Ref.]="Dentro",DATOS_[TOTAL SALARIO Eq],FALSE))))),
0)</f>
        <v>0</v>
      </c>
      <c r="AP20" s="173">
        <f t="array" ref="AP20">IFERROR(
(MEDIAN((IF(DATOS_[[Sexo]:[Sexo]]=$B20,IF(DATOS_[[AGRUP. VALOR. PTO.]:[AGRUP. VALOR. PTO.]]=$B18,IF(DATOS_[[Check Periodo Ref.]:[Check Periodo Ref.]]="Dentro",IF(DATOS_[[Check Equiparado]:[Check Equiparado]]="Sí",IF(DATOS!BW$5="Sí",(1/DATOS_[[% anualiz]:[% anualiz]]),1)*IF(DATOS!BW$4="Sí",1/DATOS_[[% normaliz]:[% normaliz]],1)*(DATOS_[C.Extra.01])))))))),
0)</f>
        <v>0</v>
      </c>
      <c r="AQ20" s="173">
        <f t="array" ref="AQ20">IFERROR(
(MEDIAN((IF(DATOS_[[Sexo]:[Sexo]]=$B20,IF(DATOS_[[AGRUP. VALOR. PTO.]:[AGRUP. VALOR. PTO.]]=$B18,IF(DATOS_[[Check Periodo Ref.]:[Check Periodo Ref.]]="Dentro",IF(DATOS_[[Check Equiparado]:[Check Equiparado]]="Sí",IF(DATOS!CB$5="Sí",(1/DATOS_[[% anualiz]:[% anualiz]]),1)*IF(DATOS!CB$4="Sí",1/DATOS_[[% normaliz]:[% normaliz]],1)*(DATOS_[C.Extra.06])))))))),
0)</f>
        <v>0</v>
      </c>
      <c r="AR20" s="173">
        <f t="array" ref="AR20">IFERROR(
(MEDIAN((IF(DATOS_[[Sexo]:[Sexo]]=$B20,IF(DATOS_[[AGRUP. VALOR. PTO.]:[AGRUP. VALOR. PTO.]]=$B18,IF(DATOS_[[Check Periodo Ref.]:[Check Periodo Ref.]]="Dentro",IF(DATOS_[[Check Equiparado]:[Check Equiparado]]="Sí",IF(DATOS!CC$5="Sí",(1/DATOS_[[% anualiz]:[% anualiz]]),1)*IF(DATOS!CC$4="Sí",1/DATOS_[[% normaliz]:[% normaliz]],1)*(DATOS_[C.Extra.07])))))))),
0)</f>
        <v>0</v>
      </c>
      <c r="AS20" s="173">
        <f t="array" ref="AS20">IFERROR(
(MEDIAN((IF(DATOS_[[Sexo]:[Sexo]]=$B20,IF(DATOS_[[AGRUP. VALOR. PTO.]:[AGRUP. VALOR. PTO.]]=$B18,IF(DATOS_[[Check Periodo Ref.]:[Check Periodo Ref.]]="Dentro",IF(DATOS_[[Check Equiparado]:[Check Equiparado]]="Sí",IF(DATOS!CD$5="Sí",(1/DATOS_[[% anualiz]:[% anualiz]]),1)*IF(DATOS!CD$4="Sí",1/DATOS_[[% normaliz]:[% normaliz]],1)*(DATOS_[C.Extra.08])))))))),
0)</f>
        <v>0</v>
      </c>
      <c r="AT20" s="173">
        <f t="array" ref="AT20">IFERROR(
(MEDIAN((IF(DATOS_[[Sexo]:[Sexo]]=$B20,IF(DATOS_[[AGRUP. VALOR. PTO.]:[AGRUP. VALOR. PTO.]]=$B18,IF(DATOS_[[Check Periodo Ref.]:[Check Periodo Ref.]]="Dentro",IF(DATOS_[[Check Equiparado]:[Check Equiparado]]="Sí",IF(DATOS!CG$5="Sí",(1/DATOS_[[% anualiz]:[% anualiz]]),1)*IF(DATOS!CG$4="Sí",1/DATOS_[[% normaliz]:[% normaliz]],1)*(DATOS_[C.Extra.11])))))))),
0)</f>
        <v>0</v>
      </c>
      <c r="AU20" s="197">
        <f t="array" ref="AU20">IFERROR(
MEDIAN(IF(DATOS_[Sexo]=$B20,IF(DATOS_[[AGRUP. VALOR. PTO.]:[AGRUP. VALOR. PTO.]]=$B18,IF(DATOS_[Check Equiparado]="Sí",IF(DATOS_[Check Periodo Ref.]="Dentro",DATOS_[Tot Extrasalarial Eq],FALSE))))),
0)</f>
        <v>0</v>
      </c>
      <c r="AV20" s="175">
        <f t="array" ref="AV20">IFERROR(
MEDIAN(IF(DATOS_[Sexo]=$B20,IF(DATOS_[[AGRUP. VALOR. PTO.]:[AGRUP. VALOR. PTO.]]=$B18,IF(DATOS_[Check Equiparado]="Sí",IF(DATOS_[Check Periodo Ref.]="Dentro",DATOS_[TOTAL Retrib Eq],FALSE))))),
0)</f>
        <v>0</v>
      </c>
    </row>
    <row r="21" spans="1:48" ht="15.6" thickBot="1" x14ac:dyDescent="0.3">
      <c r="A21" s="133" t="str">
        <f t="shared" ref="A21" si="11">+A22</f>
        <v>[ocultar]</v>
      </c>
      <c r="B21" s="199" t="s">
        <v>186</v>
      </c>
      <c r="C21" s="200"/>
      <c r="D21" s="201"/>
      <c r="E21" s="201"/>
      <c r="F21" s="201"/>
      <c r="G21" s="201"/>
      <c r="H21" s="201"/>
      <c r="I21" s="189" t="str">
        <f t="shared" ref="I21:AV21" si="12">IFERROR((I22-I23)/I22,"")</f>
        <v/>
      </c>
      <c r="J21" s="190" t="str">
        <f t="shared" si="12"/>
        <v/>
      </c>
      <c r="K21" s="191" t="str">
        <f t="shared" si="12"/>
        <v/>
      </c>
      <c r="L21" s="191" t="str">
        <f t="shared" si="12"/>
        <v/>
      </c>
      <c r="M21" s="191" t="str">
        <f t="shared" si="12"/>
        <v/>
      </c>
      <c r="N21" s="192" t="str">
        <f t="shared" si="12"/>
        <v/>
      </c>
      <c r="O21" s="193" t="str">
        <f t="shared" si="12"/>
        <v/>
      </c>
      <c r="P21" s="193" t="str">
        <f t="shared" si="12"/>
        <v/>
      </c>
      <c r="Q21" s="193" t="str">
        <f t="shared" si="12"/>
        <v/>
      </c>
      <c r="R21" s="193" t="str">
        <f t="shared" si="12"/>
        <v/>
      </c>
      <c r="S21" s="193" t="str">
        <f t="shared" si="12"/>
        <v/>
      </c>
      <c r="T21" s="193" t="str">
        <f t="shared" si="12"/>
        <v/>
      </c>
      <c r="U21" s="193" t="str">
        <f t="shared" si="12"/>
        <v/>
      </c>
      <c r="V21" s="193" t="str">
        <f t="shared" si="12"/>
        <v/>
      </c>
      <c r="W21" s="193" t="str">
        <f t="shared" si="12"/>
        <v/>
      </c>
      <c r="X21" s="193" t="str">
        <f t="shared" si="12"/>
        <v/>
      </c>
      <c r="Y21" s="193" t="str">
        <f t="shared" si="12"/>
        <v/>
      </c>
      <c r="Z21" s="193" t="str">
        <f t="shared" si="12"/>
        <v/>
      </c>
      <c r="AA21" s="193" t="str">
        <f t="shared" si="12"/>
        <v/>
      </c>
      <c r="AB21" s="193" t="str">
        <f t="shared" si="12"/>
        <v/>
      </c>
      <c r="AC21" s="193" t="str">
        <f t="shared" si="12"/>
        <v/>
      </c>
      <c r="AD21" s="193" t="str">
        <f t="shared" si="12"/>
        <v/>
      </c>
      <c r="AE21" s="193" t="str">
        <f t="shared" si="12"/>
        <v/>
      </c>
      <c r="AF21" s="193" t="str">
        <f t="shared" si="12"/>
        <v/>
      </c>
      <c r="AG21" s="193" t="str">
        <f t="shared" si="12"/>
        <v/>
      </c>
      <c r="AH21" s="193" t="str">
        <f t="shared" si="12"/>
        <v/>
      </c>
      <c r="AI21" s="193" t="str">
        <f t="shared" si="12"/>
        <v/>
      </c>
      <c r="AJ21" s="193" t="str">
        <f t="shared" si="12"/>
        <v/>
      </c>
      <c r="AK21" s="193" t="str">
        <f t="shared" si="12"/>
        <v/>
      </c>
      <c r="AL21" s="193" t="str">
        <f t="shared" si="12"/>
        <v/>
      </c>
      <c r="AM21" s="193" t="str">
        <f t="shared" si="12"/>
        <v/>
      </c>
      <c r="AN21" s="189" t="str">
        <f t="shared" si="12"/>
        <v/>
      </c>
      <c r="AO21" s="162" t="str">
        <f t="shared" si="12"/>
        <v/>
      </c>
      <c r="AP21" s="163" t="str">
        <f t="shared" si="12"/>
        <v/>
      </c>
      <c r="AQ21" s="163" t="str">
        <f t="shared" si="12"/>
        <v/>
      </c>
      <c r="AR21" s="163" t="str">
        <f t="shared" si="12"/>
        <v/>
      </c>
      <c r="AS21" s="163" t="str">
        <f t="shared" si="12"/>
        <v/>
      </c>
      <c r="AT21" s="163" t="str">
        <f t="shared" si="12"/>
        <v/>
      </c>
      <c r="AU21" s="194" t="str">
        <f t="shared" si="12"/>
        <v/>
      </c>
      <c r="AV21" s="165" t="str">
        <f t="shared" si="12"/>
        <v/>
      </c>
    </row>
    <row r="22" spans="1:48" x14ac:dyDescent="0.25">
      <c r="A22" s="133" t="str">
        <f t="shared" ref="A22" si="13">+IF(C22+C23=0,"[ocultar]","")</f>
        <v>[ocultar]</v>
      </c>
      <c r="B22" s="202" t="s">
        <v>394</v>
      </c>
      <c r="C22" s="203">
        <f t="array" ref="C22">SUM(IF($B22=DATOS_[Sexo],
IF($B21=DATOS_[AGRUP. VALOR. PTO.],
IF("Dentro"=DATOS_[Check Periodo Ref.],
1/(COUNTIFS(DATOS_[Sexo],$B22,DATOS_[AGRUP. VALOR. PTO.],$B21,DATOS_[Check Periodo Ref.],"Dentro",DATOS_[id/cod],DATOS_[id/cod]))))))</f>
        <v>0</v>
      </c>
      <c r="D22" s="204">
        <f>COUNTIFS(DATOS_[AGRUP. VALOR. PTO.],$B21,DATOS_[Sexo],$B22,DATOS_[Check Periodo Ref.],"Dentro")</f>
        <v>0</v>
      </c>
      <c r="E22" s="204">
        <f>COUNTIFS(DATOS_[AGRUP. VALOR. PTO.],$B21,DATOS_[Sexo],$B22,DATOS_[Check Periodo Ref.],"Dentro",DATOS_[Check Nº SC Norm],"Sí")</f>
        <v>0</v>
      </c>
      <c r="F22" s="204">
        <f>COUNTIFS(DATOS_[AGRUP. VALOR. PTO.],$B21,DATOS_[Sexo],$B22,DATOS_[Check Periodo Ref.],"Dentro",DATOS_[Check Nº SC Anualiz],"Sí")</f>
        <v>0</v>
      </c>
      <c r="G22" s="204">
        <f>COUNTIFS(DATOS_[AGRUP. VALOR. PTO.],$B21,DATOS_[Sexo],$B22,DATOS_[Check Periodo Ref.],"Dentro",DATOS_[Check Nº SC Norm y Anualiz],"Sí")</f>
        <v>0</v>
      </c>
      <c r="H22" s="204">
        <f>COUNTIFS(DATOS_[AGRUP. VALOR. PTO.],$B21,DATOS_[Sexo],$B22,DATOS_[Check Periodo Ref.],"Dentro",DATOS_[Check Equiparación],"Sí")</f>
        <v>0</v>
      </c>
      <c r="I22" s="195">
        <f t="array" ref="I22">IFERROR(
MEDIAN(IF(DATOS_[Sexo]=$B22,IF(DATOS_[[AGRUP. VALOR. PTO.]:[AGRUP. VALOR. PTO.]]=$B21,IF(DATOS_[Check Equiparado]="Sí",IF(DATOS_[Check Periodo Ref.]="Dentro",DATOS_[SALARIO BASE Eq],FALSE))))),
0)</f>
        <v>0</v>
      </c>
      <c r="J22" s="196">
        <f t="array" ref="J22">IFERROR(
(MEDIAN((IF(DATOS_[[Sexo]:[Sexo]]=$B22,IF(DATOS_[[AGRUP. VALOR. PTO.]:[AGRUP. VALOR. PTO.]]=$B21,IF(DATOS_[[Check Periodo Ref.]:[Check Periodo Ref.]]="Dentro",IF(DATOS_[[Check Equiparado]:[Check Equiparado]]="Sí",IF(DATOS!AE$5="Sí",(1/DATOS_[[% anualiz]:[% anualiz]]),1)*IF(DATOS!AE$4="Sí",1/DATOS_[[% normaliz]:[% normaliz]],1)*(DATOS_[Conc.Sal.01])))))))),
0)</f>
        <v>0</v>
      </c>
      <c r="K22" s="196">
        <f t="array" ref="K22">IFERROR(
(MEDIAN((IF(DATOS_[[Sexo]:[Sexo]]=$B22,IF(DATOS_[[AGRUP. VALOR. PTO.]:[AGRUP. VALOR. PTO.]]=$B21,IF(DATOS_[[Check Periodo Ref.]:[Check Periodo Ref.]]="Dentro",IF(DATOS_[[Check Equiparado]:[Check Equiparado]]="Sí",IF(DATOS!AF$5="Sí",(1/DATOS_[[% anualiz]:[% anualiz]]),1)*IF(DATOS!AF$4="Sí",1/DATOS_[[% normaliz]:[% normaliz]],1)*(DATOS_[Conc.Sal.02])))))))),
0)</f>
        <v>0</v>
      </c>
      <c r="L22" s="196">
        <f t="array" ref="L22">IFERROR(
(MEDIAN((IF(DATOS_[[Sexo]:[Sexo]]=$B22,IF(DATOS_[[AGRUP. VALOR. PTO.]:[AGRUP. VALOR. PTO.]]=$B21,IF(DATOS_[[Check Periodo Ref.]:[Check Periodo Ref.]]="Dentro",IF(DATOS_[[Check Equiparado]:[Check Equiparado]]="Sí",IF(DATOS!AG$5="Sí",(1/DATOS_[[% anualiz]:[% anualiz]]),1)*IF(DATOS!AG$4="Sí",1/DATOS_[[% normaliz]:[% normaliz]],1)*(DATOS_[Conc.Sal.03])))))))),
0)</f>
        <v>0</v>
      </c>
      <c r="M22" s="196">
        <f t="array" ref="M22">IFERROR(
(MEDIAN((IF(DATOS_[[Sexo]:[Sexo]]=$B22,IF(DATOS_[[AGRUP. VALOR. PTO.]:[AGRUP. VALOR. PTO.]]=$B21,IF(DATOS_[[Check Periodo Ref.]:[Check Periodo Ref.]]="Dentro",IF(DATOS_[[Check Equiparado]:[Check Equiparado]]="Sí",IF(DATOS!AH$5="Sí",(1/DATOS_[[% anualiz]:[% anualiz]]),1)*IF(DATOS!AH$4="Sí",1/DATOS_[[% normaliz]:[% normaliz]],1)*(DATOS_[Conc.Sal.04])))))))),
0)</f>
        <v>0</v>
      </c>
      <c r="N22" s="196">
        <f t="array" ref="N22">IFERROR(
(MEDIAN((IF(DATOS_[[Sexo]:[Sexo]]=$B22,IF(DATOS_[[AGRUP. VALOR. PTO.]:[AGRUP. VALOR. PTO.]]=$B21,IF(DATOS_[[Check Periodo Ref.]:[Check Periodo Ref.]]="Dentro",IF(DATOS_[[Check Equiparado]:[Check Equiparado]]="Sí",IF(DATOS!AI$5="Sí",(1/DATOS_[[% anualiz]:[% anualiz]]),1)*IF(DATOS!AI$4="Sí",1/DATOS_[[% normaliz]:[% normaliz]],1)*(DATOS_[Conc.Sal.05])))))))),
0)</f>
        <v>0</v>
      </c>
      <c r="O22" s="196">
        <f t="array" ref="O22">IFERROR(
(MEDIAN((IF(DATOS_[[Sexo]:[Sexo]]=$B22,IF(DATOS_[[AGRUP. VALOR. PTO.]:[AGRUP. VALOR. PTO.]]=$B21,IF(DATOS_[[Check Periodo Ref.]:[Check Periodo Ref.]]="Dentro",IF(DATOS_[[Check Equiparado]:[Check Equiparado]]="Sí",IF(DATOS!AJ$5="Sí",(1/DATOS_[[% anualiz]:[% anualiz]]),1)*IF(DATOS!AJ$4="Sí",1/DATOS_[[% normaliz]:[% normaliz]],1)*(DATOS_[Conc.Sal.06])))))))),
0)</f>
        <v>0</v>
      </c>
      <c r="P22" s="196">
        <f t="array" ref="P22">IFERROR(
(MEDIAN((IF(DATOS_[[Sexo]:[Sexo]]=$B22,IF(DATOS_[[AGRUP. VALOR. PTO.]:[AGRUP. VALOR. PTO.]]=$B21,IF(DATOS_[[Check Periodo Ref.]:[Check Periodo Ref.]]="Dentro",IF(DATOS_[[Check Equiparado]:[Check Equiparado]]="Sí",IF(DATOS!AK$5="Sí",(1/DATOS_[[% anualiz]:[% anualiz]]),1)*IF(DATOS!AK$4="Sí",1/DATOS_[[% normaliz]:[% normaliz]],1)*(DATOS_[Conc.Sal.07])))))))),
0)</f>
        <v>0</v>
      </c>
      <c r="Q22" s="196">
        <f t="array" ref="Q22">IFERROR(
(MEDIAN((IF(DATOS_[[Sexo]:[Sexo]]=$B22,IF(DATOS_[[AGRUP. VALOR. PTO.]:[AGRUP. VALOR. PTO.]]=$B21,IF(DATOS_[[Check Periodo Ref.]:[Check Periodo Ref.]]="Dentro",IF(DATOS_[[Check Equiparado]:[Check Equiparado]]="Sí",IF(DATOS!AL$5="Sí",(1/DATOS_[[% anualiz]:[% anualiz]]),1)*IF(DATOS!AL$4="Sí",1/DATOS_[[% normaliz]:[% normaliz]],1)*(DATOS_[Conc.Sal.08])))))))),
0)</f>
        <v>0</v>
      </c>
      <c r="R22" s="196">
        <f t="array" ref="R22">IFERROR(
(MEDIAN((IF(DATOS_[[Sexo]:[Sexo]]=$B22,IF(DATOS_[[AGRUP. VALOR. PTO.]:[AGRUP. VALOR. PTO.]]=$B21,IF(DATOS_[[Check Periodo Ref.]:[Check Periodo Ref.]]="Dentro",IF(DATOS_[[Check Equiparado]:[Check Equiparado]]="Sí",IF(DATOS!AM$5="Sí",(1/DATOS_[[% anualiz]:[% anualiz]]),1)*IF(DATOS!AM$4="Sí",1/DATOS_[[% normaliz]:[% normaliz]],1)*(DATOS_[Conc.Sal.09])))))))),
0)</f>
        <v>0</v>
      </c>
      <c r="S22" s="196">
        <f t="array" ref="S22">IFERROR(
(MEDIAN((IF(DATOS_[[Sexo]:[Sexo]]=$B22,IF(DATOS_[[AGRUP. VALOR. PTO.]:[AGRUP. VALOR. PTO.]]=$B21,IF(DATOS_[[Check Periodo Ref.]:[Check Periodo Ref.]]="Dentro",IF(DATOS_[[Check Equiparado]:[Check Equiparado]]="Sí",IF(DATOS!AN$5="Sí",(1/DATOS_[[% anualiz]:[% anualiz]]),1)*IF(DATOS!AN$4="Sí",1/DATOS_[[% normaliz]:[% normaliz]],1)*(DATOS_[Conc.Sal.10])))))))),
0)</f>
        <v>0</v>
      </c>
      <c r="T22" s="196">
        <f t="array" ref="T22">IFERROR(
(MEDIAN((IF(DATOS_[[Sexo]:[Sexo]]=$B22,IF(DATOS_[[AGRUP. VALOR. PTO.]:[AGRUP. VALOR. PTO.]]=$B21,IF(DATOS_[[Check Periodo Ref.]:[Check Periodo Ref.]]="Dentro",IF(DATOS_[[Check Equiparado]:[Check Equiparado]]="Sí",IF(DATOS!AO$5="Sí",(1/DATOS_[[% anualiz]:[% anualiz]]),1)*IF(DATOS!AO$4="Sí",1/DATOS_[[% normaliz]:[% normaliz]],1)*(DATOS_[Conc.Sal.11])))))))),
0)</f>
        <v>0</v>
      </c>
      <c r="U22" s="196">
        <f t="array" ref="U22">IFERROR(
(MEDIAN((IF(DATOS_[[Sexo]:[Sexo]]=$B22,IF(DATOS_[[AGRUP. VALOR. PTO.]:[AGRUP. VALOR. PTO.]]=$B21,IF(DATOS_[[Check Periodo Ref.]:[Check Periodo Ref.]]="Dentro",IF(DATOS_[[Check Equiparado]:[Check Equiparado]]="Sí",IF(DATOS!AP$5="Sí",(1/DATOS_[[% anualiz]:[% anualiz]]),1)*IF(DATOS!AP$4="Sí",1/DATOS_[[% normaliz]:[% normaliz]],1)*(DATOS_[Conc.Sal.12])))))))),
0)</f>
        <v>0</v>
      </c>
      <c r="V22" s="196">
        <f t="array" ref="V22">IFERROR(
(MEDIAN((IF(DATOS_[[Sexo]:[Sexo]]=$B22,IF(DATOS_[[AGRUP. VALOR. PTO.]:[AGRUP. VALOR. PTO.]]=$B21,IF(DATOS_[[Check Periodo Ref.]:[Check Periodo Ref.]]="Dentro",IF(DATOS_[[Check Equiparado]:[Check Equiparado]]="Sí",IF(DATOS!AQ$5="Sí",(1/DATOS_[[% anualiz]:[% anualiz]]),1)*IF(DATOS!AQ$4="Sí",1/DATOS_[[% normaliz]:[% normaliz]],1)*(DATOS_[Conc.Sal.13])))))))),
0)</f>
        <v>0</v>
      </c>
      <c r="W22" s="196">
        <f t="array" ref="W22">IFERROR(
(MEDIAN((IF(DATOS_[[Sexo]:[Sexo]]=$B22,IF(DATOS_[[AGRUP. VALOR. PTO.]:[AGRUP. VALOR. PTO.]]=$B21,IF(DATOS_[[Check Periodo Ref.]:[Check Periodo Ref.]]="Dentro",IF(DATOS_[[Check Equiparado]:[Check Equiparado]]="Sí",IF(DATOS!AR$5="Sí",(1/DATOS_[[% anualiz]:[% anualiz]]),1)*IF(DATOS!AR$4="Sí",1/DATOS_[[% normaliz]:[% normaliz]],1)*(DATOS_[Conc.Sal.14])))))))),
0)</f>
        <v>0</v>
      </c>
      <c r="X22" s="196">
        <f t="array" ref="X22">IFERROR(
(MEDIAN((IF(DATOS_[[Sexo]:[Sexo]]=$B22,IF(DATOS_[[AGRUP. VALOR. PTO.]:[AGRUP. VALOR. PTO.]]=$B21,IF(DATOS_[[Check Periodo Ref.]:[Check Periodo Ref.]]="Dentro",IF(DATOS_[[Check Equiparado]:[Check Equiparado]]="Sí",IF(DATOS!AS$5="Sí",(1/DATOS_[[% anualiz]:[% anualiz]]),1)*IF(DATOS!AS$4="Sí",1/DATOS_[[% normaliz]:[% normaliz]],1)*(DATOS_[Conc.Sal.15])))))))),
0)</f>
        <v>0</v>
      </c>
      <c r="Y22" s="196">
        <f t="array" ref="Y22">IFERROR(
(MEDIAN((IF(DATOS_[[Sexo]:[Sexo]]=$B22,IF(DATOS_[[AGRUP. VALOR. PTO.]:[AGRUP. VALOR. PTO.]]=$B21,IF(DATOS_[[Check Periodo Ref.]:[Check Periodo Ref.]]="Dentro",IF(DATOS_[[Check Equiparado]:[Check Equiparado]]="Sí",IF(DATOS!AT$5="Sí",(1/DATOS_[[% anualiz]:[% anualiz]]),1)*IF(DATOS!AT$4="Sí",1/DATOS_[[% normaliz]:[% normaliz]],1)*(DATOS_[Conc.Sal.16])))))))),
0)</f>
        <v>0</v>
      </c>
      <c r="Z22" s="196">
        <f t="array" ref="Z22">IFERROR(
(MEDIAN((IF(DATOS_[[Sexo]:[Sexo]]=$B22,IF(DATOS_[[AGRUP. VALOR. PTO.]:[AGRUP. VALOR. PTO.]]=$B21,IF(DATOS_[[Check Periodo Ref.]:[Check Periodo Ref.]]="Dentro",IF(DATOS_[[Check Equiparado]:[Check Equiparado]]="Sí",IF(DATOS!AU$5="Sí",(1/DATOS_[[% anualiz]:[% anualiz]]),1)*IF(DATOS!AU$4="Sí",1/DATOS_[[% normaliz]:[% normaliz]],1)*(DATOS_[Conc.Sal.17])))))))),
0)</f>
        <v>0</v>
      </c>
      <c r="AA22" s="196">
        <f t="array" ref="AA22">IFERROR(
(MEDIAN((IF(DATOS_[[Sexo]:[Sexo]]=$B22,IF(DATOS_[[AGRUP. VALOR. PTO.]:[AGRUP. VALOR. PTO.]]=$B21,IF(DATOS_[[Check Periodo Ref.]:[Check Periodo Ref.]]="Dentro",IF(DATOS_[[Check Equiparado]:[Check Equiparado]]="Sí",IF(DATOS!AV$5="Sí",(1/DATOS_[[% anualiz]:[% anualiz]]),1)*IF(DATOS!AV$4="Sí",1/DATOS_[[% normaliz]:[% normaliz]],1)*(DATOS_[Conc.Sal.18])))))))),
0)</f>
        <v>0</v>
      </c>
      <c r="AB22" s="196">
        <f t="array" ref="AB22">IFERROR(
(MEDIAN((IF(DATOS_[[Sexo]:[Sexo]]=$B22,IF(DATOS_[[AGRUP. VALOR. PTO.]:[AGRUP. VALOR. PTO.]]=$B21,IF(DATOS_[[Check Periodo Ref.]:[Check Periodo Ref.]]="Dentro",IF(DATOS_[[Check Equiparado]:[Check Equiparado]]="Sí",IF(DATOS!AW$5="Sí",(1/DATOS_[[% anualiz]:[% anualiz]]),1)*IF(DATOS!AW$4="Sí",1/DATOS_[[% normaliz]:[% normaliz]],1)*(DATOS_[Conc.Sal.19])))))))),
0)</f>
        <v>0</v>
      </c>
      <c r="AC22" s="196">
        <f t="array" ref="AC22">IFERROR(
(MEDIAN((IF(DATOS_[[Sexo]:[Sexo]]=$B22,IF(DATOS_[[AGRUP. VALOR. PTO.]:[AGRUP. VALOR. PTO.]]=$B21,IF(DATOS_[[Check Periodo Ref.]:[Check Periodo Ref.]]="Dentro",IF(DATOS_[[Check Equiparado]:[Check Equiparado]]="Sí",IF(DATOS!AX$5="Sí",(1/DATOS_[[% anualiz]:[% anualiz]]),1)*IF(DATOS!AX$4="Sí",1/DATOS_[[% normaliz]:[% normaliz]],1)*(DATOS_[Conc.Sal.20])))))))),
0)</f>
        <v>0</v>
      </c>
      <c r="AD22" s="196">
        <f t="array" ref="AD22">IFERROR(
(MEDIAN((IF(DATOS_[[Sexo]:[Sexo]]=$B22,IF(DATOS_[[AGRUP. VALOR. PTO.]:[AGRUP. VALOR. PTO.]]=$B21,IF(DATOS_[[Check Periodo Ref.]:[Check Periodo Ref.]]="Dentro",IF(DATOS_[[Check Equiparado]:[Check Equiparado]]="Sí",IF(DATOS!AY$5="Sí",(1/DATOS_[[% anualiz]:[% anualiz]]),1)*IF(DATOS!AY$4="Sí",1/DATOS_[[% normaliz]:[% normaliz]],1)*(DATOS_[Conc.Sal.21])))))))),
0)</f>
        <v>0</v>
      </c>
      <c r="AE22" s="196">
        <f t="array" ref="AE22">IFERROR(
(MEDIAN((IF(DATOS_[[Sexo]:[Sexo]]=$B22,IF(DATOS_[[AGRUP. VALOR. PTO.]:[AGRUP. VALOR. PTO.]]=$B21,IF(DATOS_[[Check Periodo Ref.]:[Check Periodo Ref.]]="Dentro",IF(DATOS_[[Check Equiparado]:[Check Equiparado]]="Sí",IF(DATOS!AZ$5="Sí",(1/DATOS_[[% anualiz]:[% anualiz]]),1)*IF(DATOS!AZ$4="Sí",1/DATOS_[[% normaliz]:[% normaliz]],1)*(DATOS_[Conc.Sal.22])))))))),
0)</f>
        <v>0</v>
      </c>
      <c r="AF22" s="196">
        <f t="array" ref="AF22">IFERROR(
(MEDIAN((IF(DATOS_[[Sexo]:[Sexo]]=$B22,IF(DATOS_[[AGRUP. VALOR. PTO.]:[AGRUP. VALOR. PTO.]]=$B21,IF(DATOS_[[Check Periodo Ref.]:[Check Periodo Ref.]]="Dentro",IF(DATOS_[[Check Equiparado]:[Check Equiparado]]="Sí",IF(DATOS!BA$5="Sí",(1/DATOS_[[% anualiz]:[% anualiz]]),1)*IF(DATOS!BA$4="Sí",1/DATOS_[[% normaliz]:[% normaliz]],1)*(DATOS_[Conc.Sal.23])))))))),
0)</f>
        <v>0</v>
      </c>
      <c r="AG22" s="196">
        <f t="array" ref="AG22">IFERROR(
(MEDIAN((IF(DATOS_[[Sexo]:[Sexo]]=$B22,IF(DATOS_[[AGRUP. VALOR. PTO.]:[AGRUP. VALOR. PTO.]]=$B21,IF(DATOS_[[Check Periodo Ref.]:[Check Periodo Ref.]]="Dentro",IF(DATOS_[[Check Equiparado]:[Check Equiparado]]="Sí",IF(DATOS!BB$5="Sí",(1/DATOS_[[% anualiz]:[% anualiz]]),1)*IF(DATOS!BB$4="Sí",1/DATOS_[[% normaliz]:[% normaliz]],1)*(DATOS_[Conc.Sal.24])))))))),
0)</f>
        <v>0</v>
      </c>
      <c r="AH22" s="196">
        <f t="array" ref="AH22">IFERROR(
(MEDIAN((IF(DATOS_[[Sexo]:[Sexo]]=$B22,IF(DATOS_[[AGRUP. VALOR. PTO.]:[AGRUP. VALOR. PTO.]]=$B21,IF(DATOS_[[Check Periodo Ref.]:[Check Periodo Ref.]]="Dentro",IF(DATOS_[[Check Equiparado]:[Check Equiparado]]="Sí",IF(DATOS!BC$5="Sí",(1/DATOS_[[% anualiz]:[% anualiz]]),1)*IF(DATOS!BC$4="Sí",1/DATOS_[[% normaliz]:[% normaliz]],1)*(DATOS_[Conc.Sal.25])))))))),
0)</f>
        <v>0</v>
      </c>
      <c r="AI22" s="196">
        <f t="array" ref="AI22">IFERROR(
(MEDIAN((IF(DATOS_[[Sexo]:[Sexo]]=$B22,IF(DATOS_[[AGRUP. VALOR. PTO.]:[AGRUP. VALOR. PTO.]]=$B21,IF(DATOS_[[Check Periodo Ref.]:[Check Periodo Ref.]]="Dentro",IF(DATOS_[[Check Equiparado]:[Check Equiparado]]="Sí",IF(DATOS!BD$5="Sí",(1/DATOS_[[% anualiz]:[% anualiz]]),1)*IF(DATOS!BD$4="Sí",1/DATOS_[[% normaliz]:[% normaliz]],1)*(DATOS_[Conc.Sal.26])))))))),
0)</f>
        <v>0</v>
      </c>
      <c r="AJ22" s="196">
        <f t="array" ref="AJ22">IFERROR(
(MEDIAN((IF(DATOS_[[Sexo]:[Sexo]]=$B22,IF(DATOS_[[AGRUP. VALOR. PTO.]:[AGRUP. VALOR. PTO.]]=$B21,IF(DATOS_[[Check Periodo Ref.]:[Check Periodo Ref.]]="Dentro",IF(DATOS_[[Check Equiparado]:[Check Equiparado]]="Sí",IF(DATOS!BE$5="Sí",(1/DATOS_[[% anualiz]:[% anualiz]]),1)*IF(DATOS!BE$4="Sí",1/DATOS_[[% normaliz]:[% normaliz]],1)*(DATOS_[Conc.Sal.27])))))))),
0)</f>
        <v>0</v>
      </c>
      <c r="AK22" s="196">
        <f t="array" ref="AK22">IFERROR(
(MEDIAN((IF(DATOS_[[Sexo]:[Sexo]]=$B22,IF(DATOS_[[AGRUP. VALOR. PTO.]:[AGRUP. VALOR. PTO.]]=$B21,IF(DATOS_[[Check Periodo Ref.]:[Check Periodo Ref.]]="Dentro",IF(DATOS_[[Check Equiparado]:[Check Equiparado]]="Sí",IF(DATOS!BF$5="Sí",(1/DATOS_[[% anualiz]:[% anualiz]]),1)*IF(DATOS!BF$4="Sí",1/DATOS_[[% normaliz]:[% normaliz]],1)*(DATOS_[Conc.Sal.28])))))))),
0)</f>
        <v>0</v>
      </c>
      <c r="AL22" s="196">
        <f t="array" ref="AL22">IFERROR(
(MEDIAN((IF(DATOS_[[Sexo]:[Sexo]]=$B22,IF(DATOS_[[AGRUP. VALOR. PTO.]:[AGRUP. VALOR. PTO.]]=$B21,IF(DATOS_[[Check Periodo Ref.]:[Check Periodo Ref.]]="Dentro",IF(DATOS_[[Check Equiparado]:[Check Equiparado]]="Sí",IF(DATOS!BG$5="Sí",(1/DATOS_[[% anualiz]:[% anualiz]]),1)*IF(DATOS!BG$4="Sí",1/DATOS_[[% normaliz]:[% normaliz]],1)*(DATOS_[Conc.Sal.29])))))))),
0)</f>
        <v>0</v>
      </c>
      <c r="AM22" s="196">
        <f t="array" ref="AM22">IFERROR(
(MEDIAN((IF(DATOS_[[Sexo]:[Sexo]]=$B22,IF(DATOS_[[AGRUP. VALOR. PTO.]:[AGRUP. VALOR. PTO.]]=$B21,IF(DATOS_[[Check Periodo Ref.]:[Check Periodo Ref.]]="Dentro",IF(DATOS_[[Check Equiparado]:[Check Equiparado]]="Sí",IF(DATOS!BH$5="Sí",(1/DATOS_[[% anualiz]:[% anualiz]]),1)*IF(DATOS!BH$4="Sí",1/DATOS_[[% normaliz]:[% normaliz]],1)*(DATOS_[Conc.Sal.30])))))))),
0)</f>
        <v>0</v>
      </c>
      <c r="AN22" s="195">
        <f t="array" ref="AN22">IFERROR(
MEDIAN(IF(DATOS_[Sexo]=$B22,IF(DATOS_[[AGRUP. VALOR. PTO.]:[AGRUP. VALOR. PTO.]]=$B21,IF(DATOS_[Check Equiparado]="Sí",IF(DATOS_[Check Periodo Ref.]="Dentro",DATOS_[Tot COMPL.SAL Eq],FALSE))))),
0)</f>
        <v>0</v>
      </c>
      <c r="AO22" s="172">
        <f t="array" ref="AO22">IFERROR(
MEDIAN(IF(DATOS_[Sexo]=$B22,IF(DATOS_[[AGRUP. VALOR. PTO.]:[AGRUP. VALOR. PTO.]]=$B21,IF(DATOS_[Check Equiparado]="Sí",IF(DATOS_[Check Periodo Ref.]="Dentro",DATOS_[TOTAL SALARIO Eq],FALSE))))),
0)</f>
        <v>0</v>
      </c>
      <c r="AP22" s="173">
        <f t="array" ref="AP22">IFERROR(
(MEDIAN((IF(DATOS_[[Sexo]:[Sexo]]=$B22,IF(DATOS_[[AGRUP. VALOR. PTO.]:[AGRUP. VALOR. PTO.]]=$B21,IF(DATOS_[[Check Periodo Ref.]:[Check Periodo Ref.]]="Dentro",IF(DATOS_[[Check Equiparado]:[Check Equiparado]]="Sí",IF(DATOS!BW$5="Sí",(1/DATOS_[[% anualiz]:[% anualiz]]),1)*IF(DATOS!BW$4="Sí",1/DATOS_[[% normaliz]:[% normaliz]],1)*(DATOS_[C.Extra.01])))))))),
0)</f>
        <v>0</v>
      </c>
      <c r="AQ22" s="173">
        <f t="array" ref="AQ22">IFERROR(
(MEDIAN((IF(DATOS_[[Sexo]:[Sexo]]=$B22,IF(DATOS_[[AGRUP. VALOR. PTO.]:[AGRUP. VALOR. PTO.]]=$B21,IF(DATOS_[[Check Periodo Ref.]:[Check Periodo Ref.]]="Dentro",IF(DATOS_[[Check Equiparado]:[Check Equiparado]]="Sí",IF(DATOS!CB$5="Sí",(1/DATOS_[[% anualiz]:[% anualiz]]),1)*IF(DATOS!CB$4="Sí",1/DATOS_[[% normaliz]:[% normaliz]],1)*(DATOS_[C.Extra.06])))))))),
0)</f>
        <v>0</v>
      </c>
      <c r="AR22" s="173">
        <f t="array" ref="AR22">IFERROR(
(MEDIAN((IF(DATOS_[[Sexo]:[Sexo]]=$B22,IF(DATOS_[[AGRUP. VALOR. PTO.]:[AGRUP. VALOR. PTO.]]=$B21,IF(DATOS_[[Check Periodo Ref.]:[Check Periodo Ref.]]="Dentro",IF(DATOS_[[Check Equiparado]:[Check Equiparado]]="Sí",IF(DATOS!CC$5="Sí",(1/DATOS_[[% anualiz]:[% anualiz]]),1)*IF(DATOS!CC$4="Sí",1/DATOS_[[% normaliz]:[% normaliz]],1)*(DATOS_[C.Extra.07])))))))),
0)</f>
        <v>0</v>
      </c>
      <c r="AS22" s="173">
        <f t="array" ref="AS22">IFERROR(
(MEDIAN((IF(DATOS_[[Sexo]:[Sexo]]=$B22,IF(DATOS_[[AGRUP. VALOR. PTO.]:[AGRUP. VALOR. PTO.]]=$B21,IF(DATOS_[[Check Periodo Ref.]:[Check Periodo Ref.]]="Dentro",IF(DATOS_[[Check Equiparado]:[Check Equiparado]]="Sí",IF(DATOS!CD$5="Sí",(1/DATOS_[[% anualiz]:[% anualiz]]),1)*IF(DATOS!CD$4="Sí",1/DATOS_[[% normaliz]:[% normaliz]],1)*(DATOS_[C.Extra.08])))))))),
0)</f>
        <v>0</v>
      </c>
      <c r="AT22" s="173">
        <f t="array" ref="AT22">IFERROR(
(MEDIAN((IF(DATOS_[[Sexo]:[Sexo]]=$B22,IF(DATOS_[[AGRUP. VALOR. PTO.]:[AGRUP. VALOR. PTO.]]=$B21,IF(DATOS_[[Check Periodo Ref.]:[Check Periodo Ref.]]="Dentro",IF(DATOS_[[Check Equiparado]:[Check Equiparado]]="Sí",IF(DATOS!CG$5="Sí",(1/DATOS_[[% anualiz]:[% anualiz]]),1)*IF(DATOS!CG$4="Sí",1/DATOS_[[% normaliz]:[% normaliz]],1)*(DATOS_[C.Extra.11])))))))),
0)</f>
        <v>0</v>
      </c>
      <c r="AU22" s="197">
        <f t="array" ref="AU22">IFERROR(
MEDIAN(IF(DATOS_[Sexo]=$B22,IF(DATOS_[[AGRUP. VALOR. PTO.]:[AGRUP. VALOR. PTO.]]=$B21,IF(DATOS_[Check Equiparado]="Sí",IF(DATOS_[Check Periodo Ref.]="Dentro",DATOS_[Tot Extrasalarial Eq],FALSE))))),
0)</f>
        <v>0</v>
      </c>
      <c r="AV22" s="175">
        <f t="array" ref="AV22">IFERROR(
MEDIAN(IF(DATOS_[Sexo]=$B22,IF(DATOS_[[AGRUP. VALOR. PTO.]:[AGRUP. VALOR. PTO.]]=$B21,IF(DATOS_[Check Equiparado]="Sí",IF(DATOS_[Check Periodo Ref.]="Dentro",DATOS_[TOTAL Retrib Eq],FALSE))))),
0)</f>
        <v>0</v>
      </c>
    </row>
    <row r="23" spans="1:48" x14ac:dyDescent="0.25">
      <c r="A23" s="133" t="str">
        <f t="shared" ref="A23" si="14">+A22</f>
        <v>[ocultar]</v>
      </c>
      <c r="B23" s="202" t="s">
        <v>521</v>
      </c>
      <c r="C23" s="203">
        <f t="array" ref="C23">SUM(IF($B23=DATOS_[Sexo],
IF($B21=DATOS_[AGRUP. VALOR. PTO.],
IF("Dentro"=DATOS_[Check Periodo Ref.],
1/(COUNTIFS(DATOS_[Sexo],$B23,DATOS_[AGRUP. VALOR. PTO.],$B21,DATOS_[Check Periodo Ref.],"Dentro",DATOS_[id/cod],DATOS_[id/cod]))))))</f>
        <v>0</v>
      </c>
      <c r="D23" s="204">
        <f>COUNTIFS(DATOS_[AGRUP. VALOR. PTO.],$B21,DATOS_[Sexo],$B23,DATOS_[Check Periodo Ref.],"Dentro")</f>
        <v>0</v>
      </c>
      <c r="E23" s="204">
        <f>COUNTIFS(DATOS_[AGRUP. VALOR. PTO.],$B21,DATOS_[Sexo],$B23,DATOS_[Check Periodo Ref.],"Dentro",DATOS_[Check Nº SC Norm],"Sí")</f>
        <v>0</v>
      </c>
      <c r="F23" s="204">
        <f>COUNTIFS(DATOS_[AGRUP. VALOR. PTO.],$B21,DATOS_[Sexo],$B23,DATOS_[Check Periodo Ref.],"Dentro",DATOS_[Check Nº SC Anualiz],"Sí")</f>
        <v>0</v>
      </c>
      <c r="G23" s="204">
        <f>COUNTIFS(DATOS_[AGRUP. VALOR. PTO.],$B21,DATOS_[Sexo],$B23,DATOS_[Check Periodo Ref.],"Dentro",DATOS_[Check Nº SC Norm y Anualiz],"Sí")</f>
        <v>0</v>
      </c>
      <c r="H23" s="204">
        <f>COUNTIFS(DATOS_[AGRUP. VALOR. PTO.],$B21,DATOS_[Sexo],$B23,DATOS_[Check Periodo Ref.],"Dentro",DATOS_[Check Equiparación],"Sí")</f>
        <v>0</v>
      </c>
      <c r="I23" s="195" cm="1">
        <f t="array" ref="I23">IFERROR(
MEDIAN(IF(DATOS_[Sexo]=$B23,IF(DATOS_[[AGRUP. VALOR. PTO.]:[AGRUP. VALOR. PTO.]]=$B21,IF(DATOS_[Check Equiparado]="Sí",IF(DATOS_[Check Periodo Ref.]="Dentro",DATOS_[SALARIO BASE Eq],FALSE))))),
0)</f>
        <v>0</v>
      </c>
      <c r="J23" s="196">
        <f t="array" ref="J23">IFERROR(
(MEDIAN((IF(DATOS_[[Sexo]:[Sexo]]=$B23,IF(DATOS_[[AGRUP. VALOR. PTO.]:[AGRUP. VALOR. PTO.]]=$B21,IF(DATOS_[[Check Periodo Ref.]:[Check Periodo Ref.]]="Dentro",IF(DATOS_[[Check Equiparado]:[Check Equiparado]]="Sí",IF(DATOS!AE$5="Sí",(1/DATOS_[[% anualiz]:[% anualiz]]),1)*IF(DATOS!AE$4="Sí",1/DATOS_[[% normaliz]:[% normaliz]],1)*(DATOS_[Conc.Sal.01])))))))),
0)</f>
        <v>0</v>
      </c>
      <c r="K23" s="196">
        <f t="array" ref="K23">IFERROR(
(MEDIAN((IF(DATOS_[[Sexo]:[Sexo]]=$B23,IF(DATOS_[[AGRUP. VALOR. PTO.]:[AGRUP. VALOR. PTO.]]=$B21,IF(DATOS_[[Check Periodo Ref.]:[Check Periodo Ref.]]="Dentro",IF(DATOS_[[Check Equiparado]:[Check Equiparado]]="Sí",IF(DATOS!AF$5="Sí",(1/DATOS_[[% anualiz]:[% anualiz]]),1)*IF(DATOS!AF$4="Sí",1/DATOS_[[% normaliz]:[% normaliz]],1)*(DATOS_[Conc.Sal.02])))))))),
0)</f>
        <v>0</v>
      </c>
      <c r="L23" s="196">
        <f t="array" ref="L23">IFERROR(
(MEDIAN((IF(DATOS_[[Sexo]:[Sexo]]=$B23,IF(DATOS_[[AGRUP. VALOR. PTO.]:[AGRUP. VALOR. PTO.]]=$B21,IF(DATOS_[[Check Periodo Ref.]:[Check Periodo Ref.]]="Dentro",IF(DATOS_[[Check Equiparado]:[Check Equiparado]]="Sí",IF(DATOS!AG$5="Sí",(1/DATOS_[[% anualiz]:[% anualiz]]),1)*IF(DATOS!AG$4="Sí",1/DATOS_[[% normaliz]:[% normaliz]],1)*(DATOS_[Conc.Sal.03])))))))),
0)</f>
        <v>0</v>
      </c>
      <c r="M23" s="196">
        <f t="array" ref="M23">IFERROR(
(MEDIAN((IF(DATOS_[[Sexo]:[Sexo]]=$B23,IF(DATOS_[[AGRUP. VALOR. PTO.]:[AGRUP. VALOR. PTO.]]=$B21,IF(DATOS_[[Check Periodo Ref.]:[Check Periodo Ref.]]="Dentro",IF(DATOS_[[Check Equiparado]:[Check Equiparado]]="Sí",IF(DATOS!AH$5="Sí",(1/DATOS_[[% anualiz]:[% anualiz]]),1)*IF(DATOS!AH$4="Sí",1/DATOS_[[% normaliz]:[% normaliz]],1)*(DATOS_[Conc.Sal.04])))))))),
0)</f>
        <v>0</v>
      </c>
      <c r="N23" s="196">
        <f t="array" ref="N23">IFERROR(
(MEDIAN((IF(DATOS_[[Sexo]:[Sexo]]=$B23,IF(DATOS_[[AGRUP. VALOR. PTO.]:[AGRUP. VALOR. PTO.]]=$B21,IF(DATOS_[[Check Periodo Ref.]:[Check Periodo Ref.]]="Dentro",IF(DATOS_[[Check Equiparado]:[Check Equiparado]]="Sí",IF(DATOS!AI$5="Sí",(1/DATOS_[[% anualiz]:[% anualiz]]),1)*IF(DATOS!AI$4="Sí",1/DATOS_[[% normaliz]:[% normaliz]],1)*(DATOS_[Conc.Sal.05])))))))),
0)</f>
        <v>0</v>
      </c>
      <c r="O23" s="196">
        <f t="array" ref="O23">IFERROR(
(MEDIAN((IF(DATOS_[[Sexo]:[Sexo]]=$B23,IF(DATOS_[[AGRUP. VALOR. PTO.]:[AGRUP. VALOR. PTO.]]=$B21,IF(DATOS_[[Check Periodo Ref.]:[Check Periodo Ref.]]="Dentro",IF(DATOS_[[Check Equiparado]:[Check Equiparado]]="Sí",IF(DATOS!AJ$5="Sí",(1/DATOS_[[% anualiz]:[% anualiz]]),1)*IF(DATOS!AJ$4="Sí",1/DATOS_[[% normaliz]:[% normaliz]],1)*(DATOS_[Conc.Sal.06])))))))),
0)</f>
        <v>0</v>
      </c>
      <c r="P23" s="196">
        <f t="array" ref="P23">IFERROR(
(MEDIAN((IF(DATOS_[[Sexo]:[Sexo]]=$B23,IF(DATOS_[[AGRUP. VALOR. PTO.]:[AGRUP. VALOR. PTO.]]=$B21,IF(DATOS_[[Check Periodo Ref.]:[Check Periodo Ref.]]="Dentro",IF(DATOS_[[Check Equiparado]:[Check Equiparado]]="Sí",IF(DATOS!AK$5="Sí",(1/DATOS_[[% anualiz]:[% anualiz]]),1)*IF(DATOS!AK$4="Sí",1/DATOS_[[% normaliz]:[% normaliz]],1)*(DATOS_[Conc.Sal.07])))))))),
0)</f>
        <v>0</v>
      </c>
      <c r="Q23" s="196">
        <f t="array" ref="Q23">IFERROR(
(MEDIAN((IF(DATOS_[[Sexo]:[Sexo]]=$B23,IF(DATOS_[[AGRUP. VALOR. PTO.]:[AGRUP. VALOR. PTO.]]=$B21,IF(DATOS_[[Check Periodo Ref.]:[Check Periodo Ref.]]="Dentro",IF(DATOS_[[Check Equiparado]:[Check Equiparado]]="Sí",IF(DATOS!AL$5="Sí",(1/DATOS_[[% anualiz]:[% anualiz]]),1)*IF(DATOS!AL$4="Sí",1/DATOS_[[% normaliz]:[% normaliz]],1)*(DATOS_[Conc.Sal.08])))))))),
0)</f>
        <v>0</v>
      </c>
      <c r="R23" s="196">
        <f t="array" ref="R23">IFERROR(
(MEDIAN((IF(DATOS_[[Sexo]:[Sexo]]=$B23,IF(DATOS_[[AGRUP. VALOR. PTO.]:[AGRUP. VALOR. PTO.]]=$B21,IF(DATOS_[[Check Periodo Ref.]:[Check Periodo Ref.]]="Dentro",IF(DATOS_[[Check Equiparado]:[Check Equiparado]]="Sí",IF(DATOS!AM$5="Sí",(1/DATOS_[[% anualiz]:[% anualiz]]),1)*IF(DATOS!AM$4="Sí",1/DATOS_[[% normaliz]:[% normaliz]],1)*(DATOS_[Conc.Sal.09])))))))),
0)</f>
        <v>0</v>
      </c>
      <c r="S23" s="196">
        <f t="array" ref="S23">IFERROR(
(MEDIAN((IF(DATOS_[[Sexo]:[Sexo]]=$B23,IF(DATOS_[[AGRUP. VALOR. PTO.]:[AGRUP. VALOR. PTO.]]=$B21,IF(DATOS_[[Check Periodo Ref.]:[Check Periodo Ref.]]="Dentro",IF(DATOS_[[Check Equiparado]:[Check Equiparado]]="Sí",IF(DATOS!AN$5="Sí",(1/DATOS_[[% anualiz]:[% anualiz]]),1)*IF(DATOS!AN$4="Sí",1/DATOS_[[% normaliz]:[% normaliz]],1)*(DATOS_[Conc.Sal.10])))))))),
0)</f>
        <v>0</v>
      </c>
      <c r="T23" s="196">
        <f t="array" ref="T23">IFERROR(
(MEDIAN((IF(DATOS_[[Sexo]:[Sexo]]=$B23,IF(DATOS_[[AGRUP. VALOR. PTO.]:[AGRUP. VALOR. PTO.]]=$B21,IF(DATOS_[[Check Periodo Ref.]:[Check Periodo Ref.]]="Dentro",IF(DATOS_[[Check Equiparado]:[Check Equiparado]]="Sí",IF(DATOS!AO$5="Sí",(1/DATOS_[[% anualiz]:[% anualiz]]),1)*IF(DATOS!AO$4="Sí",1/DATOS_[[% normaliz]:[% normaliz]],1)*(DATOS_[Conc.Sal.11])))))))),
0)</f>
        <v>0</v>
      </c>
      <c r="U23" s="196">
        <f t="array" ref="U23">IFERROR(
(MEDIAN((IF(DATOS_[[Sexo]:[Sexo]]=$B23,IF(DATOS_[[AGRUP. VALOR. PTO.]:[AGRUP. VALOR. PTO.]]=$B21,IF(DATOS_[[Check Periodo Ref.]:[Check Periodo Ref.]]="Dentro",IF(DATOS_[[Check Equiparado]:[Check Equiparado]]="Sí",IF(DATOS!AP$5="Sí",(1/DATOS_[[% anualiz]:[% anualiz]]),1)*IF(DATOS!AP$4="Sí",1/DATOS_[[% normaliz]:[% normaliz]],1)*(DATOS_[Conc.Sal.12])))))))),
0)</f>
        <v>0</v>
      </c>
      <c r="V23" s="196">
        <f t="array" ref="V23">IFERROR(
(MEDIAN((IF(DATOS_[[Sexo]:[Sexo]]=$B23,IF(DATOS_[[AGRUP. VALOR. PTO.]:[AGRUP. VALOR. PTO.]]=$B21,IF(DATOS_[[Check Periodo Ref.]:[Check Periodo Ref.]]="Dentro",IF(DATOS_[[Check Equiparado]:[Check Equiparado]]="Sí",IF(DATOS!AQ$5="Sí",(1/DATOS_[[% anualiz]:[% anualiz]]),1)*IF(DATOS!AQ$4="Sí",1/DATOS_[[% normaliz]:[% normaliz]],1)*(DATOS_[Conc.Sal.13])))))))),
0)</f>
        <v>0</v>
      </c>
      <c r="W23" s="196">
        <f t="array" ref="W23">IFERROR(
(MEDIAN((IF(DATOS_[[Sexo]:[Sexo]]=$B23,IF(DATOS_[[AGRUP. VALOR. PTO.]:[AGRUP. VALOR. PTO.]]=$B21,IF(DATOS_[[Check Periodo Ref.]:[Check Periodo Ref.]]="Dentro",IF(DATOS_[[Check Equiparado]:[Check Equiparado]]="Sí",IF(DATOS!AR$5="Sí",(1/DATOS_[[% anualiz]:[% anualiz]]),1)*IF(DATOS!AR$4="Sí",1/DATOS_[[% normaliz]:[% normaliz]],1)*(DATOS_[Conc.Sal.14])))))))),
0)</f>
        <v>0</v>
      </c>
      <c r="X23" s="196">
        <f t="array" ref="X23">IFERROR(
(MEDIAN((IF(DATOS_[[Sexo]:[Sexo]]=$B23,IF(DATOS_[[AGRUP. VALOR. PTO.]:[AGRUP. VALOR. PTO.]]=$B21,IF(DATOS_[[Check Periodo Ref.]:[Check Periodo Ref.]]="Dentro",IF(DATOS_[[Check Equiparado]:[Check Equiparado]]="Sí",IF(DATOS!AS$5="Sí",(1/DATOS_[[% anualiz]:[% anualiz]]),1)*IF(DATOS!AS$4="Sí",1/DATOS_[[% normaliz]:[% normaliz]],1)*(DATOS_[Conc.Sal.15])))))))),
0)</f>
        <v>0</v>
      </c>
      <c r="Y23" s="196">
        <f t="array" ref="Y23">IFERROR(
(MEDIAN((IF(DATOS_[[Sexo]:[Sexo]]=$B23,IF(DATOS_[[AGRUP. VALOR. PTO.]:[AGRUP. VALOR. PTO.]]=$B21,IF(DATOS_[[Check Periodo Ref.]:[Check Periodo Ref.]]="Dentro",IF(DATOS_[[Check Equiparado]:[Check Equiparado]]="Sí",IF(DATOS!AT$5="Sí",(1/DATOS_[[% anualiz]:[% anualiz]]),1)*IF(DATOS!AT$4="Sí",1/DATOS_[[% normaliz]:[% normaliz]],1)*(DATOS_[Conc.Sal.16])))))))),
0)</f>
        <v>0</v>
      </c>
      <c r="Z23" s="196">
        <f t="array" ref="Z23">IFERROR(
(MEDIAN((IF(DATOS_[[Sexo]:[Sexo]]=$B23,IF(DATOS_[[AGRUP. VALOR. PTO.]:[AGRUP. VALOR. PTO.]]=$B21,IF(DATOS_[[Check Periodo Ref.]:[Check Periodo Ref.]]="Dentro",IF(DATOS_[[Check Equiparado]:[Check Equiparado]]="Sí",IF(DATOS!AU$5="Sí",(1/DATOS_[[% anualiz]:[% anualiz]]),1)*IF(DATOS!AU$4="Sí",1/DATOS_[[% normaliz]:[% normaliz]],1)*(DATOS_[Conc.Sal.17])))))))),
0)</f>
        <v>0</v>
      </c>
      <c r="AA23" s="196">
        <f t="array" ref="AA23">IFERROR(
(MEDIAN((IF(DATOS_[[Sexo]:[Sexo]]=$B23,IF(DATOS_[[AGRUP. VALOR. PTO.]:[AGRUP. VALOR. PTO.]]=$B21,IF(DATOS_[[Check Periodo Ref.]:[Check Periodo Ref.]]="Dentro",IF(DATOS_[[Check Equiparado]:[Check Equiparado]]="Sí",IF(DATOS!AV$5="Sí",(1/DATOS_[[% anualiz]:[% anualiz]]),1)*IF(DATOS!AV$4="Sí",1/DATOS_[[% normaliz]:[% normaliz]],1)*(DATOS_[Conc.Sal.18])))))))),
0)</f>
        <v>0</v>
      </c>
      <c r="AB23" s="196">
        <f t="array" ref="AB23">IFERROR(
(MEDIAN((IF(DATOS_[[Sexo]:[Sexo]]=$B23,IF(DATOS_[[AGRUP. VALOR. PTO.]:[AGRUP. VALOR. PTO.]]=$B21,IF(DATOS_[[Check Periodo Ref.]:[Check Periodo Ref.]]="Dentro",IF(DATOS_[[Check Equiparado]:[Check Equiparado]]="Sí",IF(DATOS!AW$5="Sí",(1/DATOS_[[% anualiz]:[% anualiz]]),1)*IF(DATOS!AW$4="Sí",1/DATOS_[[% normaliz]:[% normaliz]],1)*(DATOS_[Conc.Sal.19])))))))),
0)</f>
        <v>0</v>
      </c>
      <c r="AC23" s="196">
        <f t="array" ref="AC23">IFERROR(
(MEDIAN((IF(DATOS_[[Sexo]:[Sexo]]=$B23,IF(DATOS_[[AGRUP. VALOR. PTO.]:[AGRUP. VALOR. PTO.]]=$B21,IF(DATOS_[[Check Periodo Ref.]:[Check Periodo Ref.]]="Dentro",IF(DATOS_[[Check Equiparado]:[Check Equiparado]]="Sí",IF(DATOS!AX$5="Sí",(1/DATOS_[[% anualiz]:[% anualiz]]),1)*IF(DATOS!AX$4="Sí",1/DATOS_[[% normaliz]:[% normaliz]],1)*(DATOS_[Conc.Sal.20])))))))),
0)</f>
        <v>0</v>
      </c>
      <c r="AD23" s="196">
        <f t="array" ref="AD23">IFERROR(
(MEDIAN((IF(DATOS_[[Sexo]:[Sexo]]=$B23,IF(DATOS_[[AGRUP. VALOR. PTO.]:[AGRUP. VALOR. PTO.]]=$B21,IF(DATOS_[[Check Periodo Ref.]:[Check Periodo Ref.]]="Dentro",IF(DATOS_[[Check Equiparado]:[Check Equiparado]]="Sí",IF(DATOS!AY$5="Sí",(1/DATOS_[[% anualiz]:[% anualiz]]),1)*IF(DATOS!AY$4="Sí",1/DATOS_[[% normaliz]:[% normaliz]],1)*(DATOS_[Conc.Sal.21])))))))),
0)</f>
        <v>0</v>
      </c>
      <c r="AE23" s="196">
        <f t="array" ref="AE23">IFERROR(
(MEDIAN((IF(DATOS_[[Sexo]:[Sexo]]=$B23,IF(DATOS_[[AGRUP. VALOR. PTO.]:[AGRUP. VALOR. PTO.]]=$B21,IF(DATOS_[[Check Periodo Ref.]:[Check Periodo Ref.]]="Dentro",IF(DATOS_[[Check Equiparado]:[Check Equiparado]]="Sí",IF(DATOS!AZ$5="Sí",(1/DATOS_[[% anualiz]:[% anualiz]]),1)*IF(DATOS!AZ$4="Sí",1/DATOS_[[% normaliz]:[% normaliz]],1)*(DATOS_[Conc.Sal.22])))))))),
0)</f>
        <v>0</v>
      </c>
      <c r="AF23" s="196">
        <f t="array" ref="AF23">IFERROR(
(MEDIAN((IF(DATOS_[[Sexo]:[Sexo]]=$B23,IF(DATOS_[[AGRUP. VALOR. PTO.]:[AGRUP. VALOR. PTO.]]=$B21,IF(DATOS_[[Check Periodo Ref.]:[Check Periodo Ref.]]="Dentro",IF(DATOS_[[Check Equiparado]:[Check Equiparado]]="Sí",IF(DATOS!BA$5="Sí",(1/DATOS_[[% anualiz]:[% anualiz]]),1)*IF(DATOS!BA$4="Sí",1/DATOS_[[% normaliz]:[% normaliz]],1)*(DATOS_[Conc.Sal.23])))))))),
0)</f>
        <v>0</v>
      </c>
      <c r="AG23" s="196">
        <f t="array" ref="AG23">IFERROR(
(MEDIAN((IF(DATOS_[[Sexo]:[Sexo]]=$B23,IF(DATOS_[[AGRUP. VALOR. PTO.]:[AGRUP. VALOR. PTO.]]=$B21,IF(DATOS_[[Check Periodo Ref.]:[Check Periodo Ref.]]="Dentro",IF(DATOS_[[Check Equiparado]:[Check Equiparado]]="Sí",IF(DATOS!BB$5="Sí",(1/DATOS_[[% anualiz]:[% anualiz]]),1)*IF(DATOS!BB$4="Sí",1/DATOS_[[% normaliz]:[% normaliz]],1)*(DATOS_[Conc.Sal.24])))))))),
0)</f>
        <v>0</v>
      </c>
      <c r="AH23" s="196">
        <f t="array" ref="AH23">IFERROR(
(MEDIAN((IF(DATOS_[[Sexo]:[Sexo]]=$B23,IF(DATOS_[[AGRUP. VALOR. PTO.]:[AGRUP. VALOR. PTO.]]=$B21,IF(DATOS_[[Check Periodo Ref.]:[Check Periodo Ref.]]="Dentro",IF(DATOS_[[Check Equiparado]:[Check Equiparado]]="Sí",IF(DATOS!BC$5="Sí",(1/DATOS_[[% anualiz]:[% anualiz]]),1)*IF(DATOS!BC$4="Sí",1/DATOS_[[% normaliz]:[% normaliz]],1)*(DATOS_[Conc.Sal.25])))))))),
0)</f>
        <v>0</v>
      </c>
      <c r="AI23" s="196">
        <f t="array" ref="AI23">IFERROR(
(MEDIAN((IF(DATOS_[[Sexo]:[Sexo]]=$B23,IF(DATOS_[[AGRUP. VALOR. PTO.]:[AGRUP. VALOR. PTO.]]=$B21,IF(DATOS_[[Check Periodo Ref.]:[Check Periodo Ref.]]="Dentro",IF(DATOS_[[Check Equiparado]:[Check Equiparado]]="Sí",IF(DATOS!BD$5="Sí",(1/DATOS_[[% anualiz]:[% anualiz]]),1)*IF(DATOS!BD$4="Sí",1/DATOS_[[% normaliz]:[% normaliz]],1)*(DATOS_[Conc.Sal.26])))))))),
0)</f>
        <v>0</v>
      </c>
      <c r="AJ23" s="196">
        <f t="array" ref="AJ23">IFERROR(
(MEDIAN((IF(DATOS_[[Sexo]:[Sexo]]=$B23,IF(DATOS_[[AGRUP. VALOR. PTO.]:[AGRUP. VALOR. PTO.]]=$B21,IF(DATOS_[[Check Periodo Ref.]:[Check Periodo Ref.]]="Dentro",IF(DATOS_[[Check Equiparado]:[Check Equiparado]]="Sí",IF(DATOS!BE$5="Sí",(1/DATOS_[[% anualiz]:[% anualiz]]),1)*IF(DATOS!BE$4="Sí",1/DATOS_[[% normaliz]:[% normaliz]],1)*(DATOS_[Conc.Sal.27])))))))),
0)</f>
        <v>0</v>
      </c>
      <c r="AK23" s="196">
        <f t="array" ref="AK23">IFERROR(
(MEDIAN((IF(DATOS_[[Sexo]:[Sexo]]=$B23,IF(DATOS_[[AGRUP. VALOR. PTO.]:[AGRUP. VALOR. PTO.]]=$B21,IF(DATOS_[[Check Periodo Ref.]:[Check Periodo Ref.]]="Dentro",IF(DATOS_[[Check Equiparado]:[Check Equiparado]]="Sí",IF(DATOS!BF$5="Sí",(1/DATOS_[[% anualiz]:[% anualiz]]),1)*IF(DATOS!BF$4="Sí",1/DATOS_[[% normaliz]:[% normaliz]],1)*(DATOS_[Conc.Sal.28])))))))),
0)</f>
        <v>0</v>
      </c>
      <c r="AL23" s="196">
        <f t="array" ref="AL23">IFERROR(
(MEDIAN((IF(DATOS_[[Sexo]:[Sexo]]=$B23,IF(DATOS_[[AGRUP. VALOR. PTO.]:[AGRUP. VALOR. PTO.]]=$B21,IF(DATOS_[[Check Periodo Ref.]:[Check Periodo Ref.]]="Dentro",IF(DATOS_[[Check Equiparado]:[Check Equiparado]]="Sí",IF(DATOS!BG$5="Sí",(1/DATOS_[[% anualiz]:[% anualiz]]),1)*IF(DATOS!BG$4="Sí",1/DATOS_[[% normaliz]:[% normaliz]],1)*(DATOS_[Conc.Sal.29])))))))),
0)</f>
        <v>0</v>
      </c>
      <c r="AM23" s="196">
        <f t="array" ref="AM23">IFERROR(
(MEDIAN((IF(DATOS_[[Sexo]:[Sexo]]=$B23,IF(DATOS_[[AGRUP. VALOR. PTO.]:[AGRUP. VALOR. PTO.]]=$B21,IF(DATOS_[[Check Periodo Ref.]:[Check Periodo Ref.]]="Dentro",IF(DATOS_[[Check Equiparado]:[Check Equiparado]]="Sí",IF(DATOS!BH$5="Sí",(1/DATOS_[[% anualiz]:[% anualiz]]),1)*IF(DATOS!BH$4="Sí",1/DATOS_[[% normaliz]:[% normaliz]],1)*(DATOS_[Conc.Sal.30])))))))),
0)</f>
        <v>0</v>
      </c>
      <c r="AN23" s="195">
        <f t="array" ref="AN23">IFERROR(
MEDIAN(IF(DATOS_[Sexo]=$B23,IF(DATOS_[[AGRUP. VALOR. PTO.]:[AGRUP. VALOR. PTO.]]=$B21,IF(DATOS_[Check Equiparado]="Sí",IF(DATOS_[Check Periodo Ref.]="Dentro",DATOS_[Tot COMPL.SAL Eq],FALSE))))),
0)</f>
        <v>0</v>
      </c>
      <c r="AO23" s="172">
        <f t="array" ref="AO23">IFERROR(
MEDIAN(IF(DATOS_[Sexo]=$B23,IF(DATOS_[[AGRUP. VALOR. PTO.]:[AGRUP. VALOR. PTO.]]=$B21,IF(DATOS_[Check Equiparado]="Sí",IF(DATOS_[Check Periodo Ref.]="Dentro",DATOS_[TOTAL SALARIO Eq],FALSE))))),
0)</f>
        <v>0</v>
      </c>
      <c r="AP23" s="173">
        <f t="array" ref="AP23">IFERROR(
(MEDIAN((IF(DATOS_[[Sexo]:[Sexo]]=$B23,IF(DATOS_[[AGRUP. VALOR. PTO.]:[AGRUP. VALOR. PTO.]]=$B21,IF(DATOS_[[Check Periodo Ref.]:[Check Periodo Ref.]]="Dentro",IF(DATOS_[[Check Equiparado]:[Check Equiparado]]="Sí",IF(DATOS!BW$5="Sí",(1/DATOS_[[% anualiz]:[% anualiz]]),1)*IF(DATOS!BW$4="Sí",1/DATOS_[[% normaliz]:[% normaliz]],1)*(DATOS_[C.Extra.01])))))))),
0)</f>
        <v>0</v>
      </c>
      <c r="AQ23" s="173">
        <f t="array" ref="AQ23">IFERROR(
(MEDIAN((IF(DATOS_[[Sexo]:[Sexo]]=$B23,IF(DATOS_[[AGRUP. VALOR. PTO.]:[AGRUP. VALOR. PTO.]]=$B21,IF(DATOS_[[Check Periodo Ref.]:[Check Periodo Ref.]]="Dentro",IF(DATOS_[[Check Equiparado]:[Check Equiparado]]="Sí",IF(DATOS!CB$5="Sí",(1/DATOS_[[% anualiz]:[% anualiz]]),1)*IF(DATOS!CB$4="Sí",1/DATOS_[[% normaliz]:[% normaliz]],1)*(DATOS_[C.Extra.06])))))))),
0)</f>
        <v>0</v>
      </c>
      <c r="AR23" s="173">
        <f t="array" ref="AR23">IFERROR(
(MEDIAN((IF(DATOS_[[Sexo]:[Sexo]]=$B23,IF(DATOS_[[AGRUP. VALOR. PTO.]:[AGRUP. VALOR. PTO.]]=$B21,IF(DATOS_[[Check Periodo Ref.]:[Check Periodo Ref.]]="Dentro",IF(DATOS_[[Check Equiparado]:[Check Equiparado]]="Sí",IF(DATOS!CC$5="Sí",(1/DATOS_[[% anualiz]:[% anualiz]]),1)*IF(DATOS!CC$4="Sí",1/DATOS_[[% normaliz]:[% normaliz]],1)*(DATOS_[C.Extra.07])))))))),
0)</f>
        <v>0</v>
      </c>
      <c r="AS23" s="173">
        <f t="array" ref="AS23">IFERROR(
(MEDIAN((IF(DATOS_[[Sexo]:[Sexo]]=$B23,IF(DATOS_[[AGRUP. VALOR. PTO.]:[AGRUP. VALOR. PTO.]]=$B21,IF(DATOS_[[Check Periodo Ref.]:[Check Periodo Ref.]]="Dentro",IF(DATOS_[[Check Equiparado]:[Check Equiparado]]="Sí",IF(DATOS!CD$5="Sí",(1/DATOS_[[% anualiz]:[% anualiz]]),1)*IF(DATOS!CD$4="Sí",1/DATOS_[[% normaliz]:[% normaliz]],1)*(DATOS_[C.Extra.08])))))))),
0)</f>
        <v>0</v>
      </c>
      <c r="AT23" s="173">
        <f t="array" ref="AT23">IFERROR(
(MEDIAN((IF(DATOS_[[Sexo]:[Sexo]]=$B23,IF(DATOS_[[AGRUP. VALOR. PTO.]:[AGRUP. VALOR. PTO.]]=$B21,IF(DATOS_[[Check Periodo Ref.]:[Check Periodo Ref.]]="Dentro",IF(DATOS_[[Check Equiparado]:[Check Equiparado]]="Sí",IF(DATOS!CG$5="Sí",(1/DATOS_[[% anualiz]:[% anualiz]]),1)*IF(DATOS!CG$4="Sí",1/DATOS_[[% normaliz]:[% normaliz]],1)*(DATOS_[C.Extra.11])))))))),
0)</f>
        <v>0</v>
      </c>
      <c r="AU23" s="197">
        <f t="array" ref="AU23">IFERROR(
MEDIAN(IF(DATOS_[Sexo]=$B23,IF(DATOS_[[AGRUP. VALOR. PTO.]:[AGRUP. VALOR. PTO.]]=$B21,IF(DATOS_[Check Equiparado]="Sí",IF(DATOS_[Check Periodo Ref.]="Dentro",DATOS_[Tot Extrasalarial Eq],FALSE))))),
0)</f>
        <v>0</v>
      </c>
      <c r="AV23" s="175">
        <f t="array" ref="AV23">IFERROR(
MEDIAN(IF(DATOS_[Sexo]=$B23,IF(DATOS_[[AGRUP. VALOR. PTO.]:[AGRUP. VALOR. PTO.]]=$B21,IF(DATOS_[Check Equiparado]="Sí",IF(DATOS_[Check Periodo Ref.]="Dentro",DATOS_[TOTAL Retrib Eq],FALSE))))),
0)</f>
        <v>0</v>
      </c>
    </row>
    <row r="24" spans="1:48" ht="15.6" thickBot="1" x14ac:dyDescent="0.3">
      <c r="A24" s="133" t="str">
        <f t="shared" ref="A24" si="15">+A25</f>
        <v>[ocultar]</v>
      </c>
      <c r="B24" s="199" t="s">
        <v>189</v>
      </c>
      <c r="C24" s="200"/>
      <c r="D24" s="201"/>
      <c r="E24" s="201"/>
      <c r="F24" s="201"/>
      <c r="G24" s="201"/>
      <c r="H24" s="201"/>
      <c r="I24" s="189" t="str">
        <f t="shared" ref="I24:AV24" si="16">IFERROR((I25-I26)/I25,"")</f>
        <v/>
      </c>
      <c r="J24" s="190" t="str">
        <f t="shared" si="16"/>
        <v/>
      </c>
      <c r="K24" s="191" t="str">
        <f t="shared" si="16"/>
        <v/>
      </c>
      <c r="L24" s="191" t="str">
        <f t="shared" si="16"/>
        <v/>
      </c>
      <c r="M24" s="191" t="str">
        <f t="shared" si="16"/>
        <v/>
      </c>
      <c r="N24" s="192" t="str">
        <f t="shared" si="16"/>
        <v/>
      </c>
      <c r="O24" s="193" t="str">
        <f t="shared" si="16"/>
        <v/>
      </c>
      <c r="P24" s="193" t="str">
        <f t="shared" si="16"/>
        <v/>
      </c>
      <c r="Q24" s="193" t="str">
        <f t="shared" si="16"/>
        <v/>
      </c>
      <c r="R24" s="193" t="str">
        <f t="shared" si="16"/>
        <v/>
      </c>
      <c r="S24" s="193" t="str">
        <f t="shared" si="16"/>
        <v/>
      </c>
      <c r="T24" s="193" t="str">
        <f t="shared" si="16"/>
        <v/>
      </c>
      <c r="U24" s="193" t="str">
        <f t="shared" si="16"/>
        <v/>
      </c>
      <c r="V24" s="193" t="str">
        <f t="shared" si="16"/>
        <v/>
      </c>
      <c r="W24" s="193" t="str">
        <f t="shared" si="16"/>
        <v/>
      </c>
      <c r="X24" s="193" t="str">
        <f t="shared" si="16"/>
        <v/>
      </c>
      <c r="Y24" s="193" t="str">
        <f t="shared" si="16"/>
        <v/>
      </c>
      <c r="Z24" s="193" t="str">
        <f t="shared" si="16"/>
        <v/>
      </c>
      <c r="AA24" s="193" t="str">
        <f t="shared" si="16"/>
        <v/>
      </c>
      <c r="AB24" s="193" t="str">
        <f t="shared" si="16"/>
        <v/>
      </c>
      <c r="AC24" s="193" t="str">
        <f t="shared" si="16"/>
        <v/>
      </c>
      <c r="AD24" s="193" t="str">
        <f t="shared" si="16"/>
        <v/>
      </c>
      <c r="AE24" s="193" t="str">
        <f t="shared" si="16"/>
        <v/>
      </c>
      <c r="AF24" s="193" t="str">
        <f t="shared" si="16"/>
        <v/>
      </c>
      <c r="AG24" s="193" t="str">
        <f t="shared" si="16"/>
        <v/>
      </c>
      <c r="AH24" s="193" t="str">
        <f t="shared" si="16"/>
        <v/>
      </c>
      <c r="AI24" s="193" t="str">
        <f t="shared" si="16"/>
        <v/>
      </c>
      <c r="AJ24" s="193" t="str">
        <f t="shared" si="16"/>
        <v/>
      </c>
      <c r="AK24" s="193" t="str">
        <f t="shared" si="16"/>
        <v/>
      </c>
      <c r="AL24" s="193" t="str">
        <f t="shared" si="16"/>
        <v/>
      </c>
      <c r="AM24" s="193" t="str">
        <f t="shared" si="16"/>
        <v/>
      </c>
      <c r="AN24" s="189" t="str">
        <f t="shared" si="16"/>
        <v/>
      </c>
      <c r="AO24" s="162" t="str">
        <f t="shared" si="16"/>
        <v/>
      </c>
      <c r="AP24" s="163" t="str">
        <f t="shared" si="16"/>
        <v/>
      </c>
      <c r="AQ24" s="163" t="str">
        <f t="shared" si="16"/>
        <v/>
      </c>
      <c r="AR24" s="163" t="str">
        <f t="shared" si="16"/>
        <v/>
      </c>
      <c r="AS24" s="163" t="str">
        <f t="shared" si="16"/>
        <v/>
      </c>
      <c r="AT24" s="163" t="str">
        <f t="shared" si="16"/>
        <v/>
      </c>
      <c r="AU24" s="194" t="str">
        <f t="shared" si="16"/>
        <v/>
      </c>
      <c r="AV24" s="165" t="str">
        <f t="shared" si="16"/>
        <v/>
      </c>
    </row>
    <row r="25" spans="1:48" x14ac:dyDescent="0.25">
      <c r="A25" s="133" t="str">
        <f t="shared" ref="A25" si="17">+IF(C25+C26=0,"[ocultar]","")</f>
        <v>[ocultar]</v>
      </c>
      <c r="B25" s="202" t="s">
        <v>394</v>
      </c>
      <c r="C25" s="203">
        <f t="array" ref="C25">SUM(IF($B25=DATOS_[Sexo],
IF($B24=DATOS_[AGRUP. VALOR. PTO.],
IF("Dentro"=DATOS_[Check Periodo Ref.],
1/(COUNTIFS(DATOS_[Sexo],$B25,DATOS_[AGRUP. VALOR. PTO.],$B24,DATOS_[Check Periodo Ref.],"Dentro",DATOS_[id/cod],DATOS_[id/cod]))))))</f>
        <v>0</v>
      </c>
      <c r="D25" s="204">
        <f>COUNTIFS(DATOS_[AGRUP. VALOR. PTO.],$B24,DATOS_[Sexo],$B25,DATOS_[Check Periodo Ref.],"Dentro")</f>
        <v>0</v>
      </c>
      <c r="E25" s="204">
        <f>COUNTIFS(DATOS_[AGRUP. VALOR. PTO.],$B24,DATOS_[Sexo],$B25,DATOS_[Check Periodo Ref.],"Dentro",DATOS_[Check Nº SC Norm],"Sí")</f>
        <v>0</v>
      </c>
      <c r="F25" s="204">
        <f>COUNTIFS(DATOS_[AGRUP. VALOR. PTO.],$B24,DATOS_[Sexo],$B25,DATOS_[Check Periodo Ref.],"Dentro",DATOS_[Check Nº SC Anualiz],"Sí")</f>
        <v>0</v>
      </c>
      <c r="G25" s="204">
        <f>COUNTIFS(DATOS_[AGRUP. VALOR. PTO.],$B24,DATOS_[Sexo],$B25,DATOS_[Check Periodo Ref.],"Dentro",DATOS_[Check Nº SC Norm y Anualiz],"Sí")</f>
        <v>0</v>
      </c>
      <c r="H25" s="204">
        <f>COUNTIFS(DATOS_[AGRUP. VALOR. PTO.],$B24,DATOS_[Sexo],$B25,DATOS_[Check Periodo Ref.],"Dentro",DATOS_[Check Equiparación],"Sí")</f>
        <v>0</v>
      </c>
      <c r="I25" s="195">
        <f t="array" ref="I25">IFERROR(
MEDIAN(IF(DATOS_[Sexo]=$B25,IF(DATOS_[[AGRUP. VALOR. PTO.]:[AGRUP. VALOR. PTO.]]=$B24,IF(DATOS_[Check Equiparado]="Sí",IF(DATOS_[Check Periodo Ref.]="Dentro",DATOS_[SALARIO BASE Eq],FALSE))))),
0)</f>
        <v>0</v>
      </c>
      <c r="J25" s="196">
        <f t="array" ref="J25">IFERROR(
(MEDIAN((IF(DATOS_[[Sexo]:[Sexo]]=$B25,IF(DATOS_[[AGRUP. VALOR. PTO.]:[AGRUP. VALOR. PTO.]]=$B24,IF(DATOS_[[Check Periodo Ref.]:[Check Periodo Ref.]]="Dentro",IF(DATOS_[[Check Equiparado]:[Check Equiparado]]="Sí",IF(DATOS!AE$5="Sí",(1/DATOS_[[% anualiz]:[% anualiz]]),1)*IF(DATOS!AE$4="Sí",1/DATOS_[[% normaliz]:[% normaliz]],1)*(DATOS_[Conc.Sal.01])))))))),
0)</f>
        <v>0</v>
      </c>
      <c r="K25" s="196">
        <f t="array" ref="K25">IFERROR(
(MEDIAN((IF(DATOS_[[Sexo]:[Sexo]]=$B25,IF(DATOS_[[AGRUP. VALOR. PTO.]:[AGRUP. VALOR. PTO.]]=$B24,IF(DATOS_[[Check Periodo Ref.]:[Check Periodo Ref.]]="Dentro",IF(DATOS_[[Check Equiparado]:[Check Equiparado]]="Sí",IF(DATOS!AF$5="Sí",(1/DATOS_[[% anualiz]:[% anualiz]]),1)*IF(DATOS!AF$4="Sí",1/DATOS_[[% normaliz]:[% normaliz]],1)*(DATOS_[Conc.Sal.02])))))))),
0)</f>
        <v>0</v>
      </c>
      <c r="L25" s="196">
        <f t="array" ref="L25">IFERROR(
(MEDIAN((IF(DATOS_[[Sexo]:[Sexo]]=$B25,IF(DATOS_[[AGRUP. VALOR. PTO.]:[AGRUP. VALOR. PTO.]]=$B24,IF(DATOS_[[Check Periodo Ref.]:[Check Periodo Ref.]]="Dentro",IF(DATOS_[[Check Equiparado]:[Check Equiparado]]="Sí",IF(DATOS!AG$5="Sí",(1/DATOS_[[% anualiz]:[% anualiz]]),1)*IF(DATOS!AG$4="Sí",1/DATOS_[[% normaliz]:[% normaliz]],1)*(DATOS_[Conc.Sal.03])))))))),
0)</f>
        <v>0</v>
      </c>
      <c r="M25" s="196">
        <f t="array" ref="M25">IFERROR(
(MEDIAN((IF(DATOS_[[Sexo]:[Sexo]]=$B25,IF(DATOS_[[AGRUP. VALOR. PTO.]:[AGRUP. VALOR. PTO.]]=$B24,IF(DATOS_[[Check Periodo Ref.]:[Check Periodo Ref.]]="Dentro",IF(DATOS_[[Check Equiparado]:[Check Equiparado]]="Sí",IF(DATOS!AH$5="Sí",(1/DATOS_[[% anualiz]:[% anualiz]]),1)*IF(DATOS!AH$4="Sí",1/DATOS_[[% normaliz]:[% normaliz]],1)*(DATOS_[Conc.Sal.04])))))))),
0)</f>
        <v>0</v>
      </c>
      <c r="N25" s="196">
        <f t="array" ref="N25">IFERROR(
(MEDIAN((IF(DATOS_[[Sexo]:[Sexo]]=$B25,IF(DATOS_[[AGRUP. VALOR. PTO.]:[AGRUP. VALOR. PTO.]]=$B24,IF(DATOS_[[Check Periodo Ref.]:[Check Periodo Ref.]]="Dentro",IF(DATOS_[[Check Equiparado]:[Check Equiparado]]="Sí",IF(DATOS!AI$5="Sí",(1/DATOS_[[% anualiz]:[% anualiz]]),1)*IF(DATOS!AI$4="Sí",1/DATOS_[[% normaliz]:[% normaliz]],1)*(DATOS_[Conc.Sal.05])))))))),
0)</f>
        <v>0</v>
      </c>
      <c r="O25" s="196">
        <f t="array" ref="O25">IFERROR(
(MEDIAN((IF(DATOS_[[Sexo]:[Sexo]]=$B25,IF(DATOS_[[AGRUP. VALOR. PTO.]:[AGRUP. VALOR. PTO.]]=$B24,IF(DATOS_[[Check Periodo Ref.]:[Check Periodo Ref.]]="Dentro",IF(DATOS_[[Check Equiparado]:[Check Equiparado]]="Sí",IF(DATOS!AJ$5="Sí",(1/DATOS_[[% anualiz]:[% anualiz]]),1)*IF(DATOS!AJ$4="Sí",1/DATOS_[[% normaliz]:[% normaliz]],1)*(DATOS_[Conc.Sal.06])))))))),
0)</f>
        <v>0</v>
      </c>
      <c r="P25" s="196">
        <f t="array" ref="P25">IFERROR(
(MEDIAN((IF(DATOS_[[Sexo]:[Sexo]]=$B25,IF(DATOS_[[AGRUP. VALOR. PTO.]:[AGRUP. VALOR. PTO.]]=$B24,IF(DATOS_[[Check Periodo Ref.]:[Check Periodo Ref.]]="Dentro",IF(DATOS_[[Check Equiparado]:[Check Equiparado]]="Sí",IF(DATOS!AK$5="Sí",(1/DATOS_[[% anualiz]:[% anualiz]]),1)*IF(DATOS!AK$4="Sí",1/DATOS_[[% normaliz]:[% normaliz]],1)*(DATOS_[Conc.Sal.07])))))))),
0)</f>
        <v>0</v>
      </c>
      <c r="Q25" s="196">
        <f t="array" ref="Q25">IFERROR(
(MEDIAN((IF(DATOS_[[Sexo]:[Sexo]]=$B25,IF(DATOS_[[AGRUP. VALOR. PTO.]:[AGRUP. VALOR. PTO.]]=$B24,IF(DATOS_[[Check Periodo Ref.]:[Check Periodo Ref.]]="Dentro",IF(DATOS_[[Check Equiparado]:[Check Equiparado]]="Sí",IF(DATOS!AL$5="Sí",(1/DATOS_[[% anualiz]:[% anualiz]]),1)*IF(DATOS!AL$4="Sí",1/DATOS_[[% normaliz]:[% normaliz]],1)*(DATOS_[Conc.Sal.08])))))))),
0)</f>
        <v>0</v>
      </c>
      <c r="R25" s="196">
        <f t="array" ref="R25">IFERROR(
(MEDIAN((IF(DATOS_[[Sexo]:[Sexo]]=$B25,IF(DATOS_[[AGRUP. VALOR. PTO.]:[AGRUP. VALOR. PTO.]]=$B24,IF(DATOS_[[Check Periodo Ref.]:[Check Periodo Ref.]]="Dentro",IF(DATOS_[[Check Equiparado]:[Check Equiparado]]="Sí",IF(DATOS!AM$5="Sí",(1/DATOS_[[% anualiz]:[% anualiz]]),1)*IF(DATOS!AM$4="Sí",1/DATOS_[[% normaliz]:[% normaliz]],1)*(DATOS_[Conc.Sal.09])))))))),
0)</f>
        <v>0</v>
      </c>
      <c r="S25" s="196">
        <f t="array" ref="S25">IFERROR(
(MEDIAN((IF(DATOS_[[Sexo]:[Sexo]]=$B25,IF(DATOS_[[AGRUP. VALOR. PTO.]:[AGRUP. VALOR. PTO.]]=$B24,IF(DATOS_[[Check Periodo Ref.]:[Check Periodo Ref.]]="Dentro",IF(DATOS_[[Check Equiparado]:[Check Equiparado]]="Sí",IF(DATOS!AN$5="Sí",(1/DATOS_[[% anualiz]:[% anualiz]]),1)*IF(DATOS!AN$4="Sí",1/DATOS_[[% normaliz]:[% normaliz]],1)*(DATOS_[Conc.Sal.10])))))))),
0)</f>
        <v>0</v>
      </c>
      <c r="T25" s="196">
        <f t="array" ref="T25">IFERROR(
(MEDIAN((IF(DATOS_[[Sexo]:[Sexo]]=$B25,IF(DATOS_[[AGRUP. VALOR. PTO.]:[AGRUP. VALOR. PTO.]]=$B24,IF(DATOS_[[Check Periodo Ref.]:[Check Periodo Ref.]]="Dentro",IF(DATOS_[[Check Equiparado]:[Check Equiparado]]="Sí",IF(DATOS!AO$5="Sí",(1/DATOS_[[% anualiz]:[% anualiz]]),1)*IF(DATOS!AO$4="Sí",1/DATOS_[[% normaliz]:[% normaliz]],1)*(DATOS_[Conc.Sal.11])))))))),
0)</f>
        <v>0</v>
      </c>
      <c r="U25" s="196">
        <f t="array" ref="U25">IFERROR(
(MEDIAN((IF(DATOS_[[Sexo]:[Sexo]]=$B25,IF(DATOS_[[AGRUP. VALOR. PTO.]:[AGRUP. VALOR. PTO.]]=$B24,IF(DATOS_[[Check Periodo Ref.]:[Check Periodo Ref.]]="Dentro",IF(DATOS_[[Check Equiparado]:[Check Equiparado]]="Sí",IF(DATOS!AP$5="Sí",(1/DATOS_[[% anualiz]:[% anualiz]]),1)*IF(DATOS!AP$4="Sí",1/DATOS_[[% normaliz]:[% normaliz]],1)*(DATOS_[Conc.Sal.12])))))))),
0)</f>
        <v>0</v>
      </c>
      <c r="V25" s="196">
        <f t="array" ref="V25">IFERROR(
(MEDIAN((IF(DATOS_[[Sexo]:[Sexo]]=$B25,IF(DATOS_[[AGRUP. VALOR. PTO.]:[AGRUP. VALOR. PTO.]]=$B24,IF(DATOS_[[Check Periodo Ref.]:[Check Periodo Ref.]]="Dentro",IF(DATOS_[[Check Equiparado]:[Check Equiparado]]="Sí",IF(DATOS!AQ$5="Sí",(1/DATOS_[[% anualiz]:[% anualiz]]),1)*IF(DATOS!AQ$4="Sí",1/DATOS_[[% normaliz]:[% normaliz]],1)*(DATOS_[Conc.Sal.13])))))))),
0)</f>
        <v>0</v>
      </c>
      <c r="W25" s="196">
        <f t="array" ref="W25">IFERROR(
(MEDIAN((IF(DATOS_[[Sexo]:[Sexo]]=$B25,IF(DATOS_[[AGRUP. VALOR. PTO.]:[AGRUP. VALOR. PTO.]]=$B24,IF(DATOS_[[Check Periodo Ref.]:[Check Periodo Ref.]]="Dentro",IF(DATOS_[[Check Equiparado]:[Check Equiparado]]="Sí",IF(DATOS!AR$5="Sí",(1/DATOS_[[% anualiz]:[% anualiz]]),1)*IF(DATOS!AR$4="Sí",1/DATOS_[[% normaliz]:[% normaliz]],1)*(DATOS_[Conc.Sal.14])))))))),
0)</f>
        <v>0</v>
      </c>
      <c r="X25" s="196">
        <f t="array" ref="X25">IFERROR(
(MEDIAN((IF(DATOS_[[Sexo]:[Sexo]]=$B25,IF(DATOS_[[AGRUP. VALOR. PTO.]:[AGRUP. VALOR. PTO.]]=$B24,IF(DATOS_[[Check Periodo Ref.]:[Check Periodo Ref.]]="Dentro",IF(DATOS_[[Check Equiparado]:[Check Equiparado]]="Sí",IF(DATOS!AS$5="Sí",(1/DATOS_[[% anualiz]:[% anualiz]]),1)*IF(DATOS!AS$4="Sí",1/DATOS_[[% normaliz]:[% normaliz]],1)*(DATOS_[Conc.Sal.15])))))))),
0)</f>
        <v>0</v>
      </c>
      <c r="Y25" s="196">
        <f t="array" ref="Y25">IFERROR(
(MEDIAN((IF(DATOS_[[Sexo]:[Sexo]]=$B25,IF(DATOS_[[AGRUP. VALOR. PTO.]:[AGRUP. VALOR. PTO.]]=$B24,IF(DATOS_[[Check Periodo Ref.]:[Check Periodo Ref.]]="Dentro",IF(DATOS_[[Check Equiparado]:[Check Equiparado]]="Sí",IF(DATOS!AT$5="Sí",(1/DATOS_[[% anualiz]:[% anualiz]]),1)*IF(DATOS!AT$4="Sí",1/DATOS_[[% normaliz]:[% normaliz]],1)*(DATOS_[Conc.Sal.16])))))))),
0)</f>
        <v>0</v>
      </c>
      <c r="Z25" s="196">
        <f t="array" ref="Z25">IFERROR(
(MEDIAN((IF(DATOS_[[Sexo]:[Sexo]]=$B25,IF(DATOS_[[AGRUP. VALOR. PTO.]:[AGRUP. VALOR. PTO.]]=$B24,IF(DATOS_[[Check Periodo Ref.]:[Check Periodo Ref.]]="Dentro",IF(DATOS_[[Check Equiparado]:[Check Equiparado]]="Sí",IF(DATOS!AU$5="Sí",(1/DATOS_[[% anualiz]:[% anualiz]]),1)*IF(DATOS!AU$4="Sí",1/DATOS_[[% normaliz]:[% normaliz]],1)*(DATOS_[Conc.Sal.17])))))))),
0)</f>
        <v>0</v>
      </c>
      <c r="AA25" s="196">
        <f t="array" ref="AA25">IFERROR(
(MEDIAN((IF(DATOS_[[Sexo]:[Sexo]]=$B25,IF(DATOS_[[AGRUP. VALOR. PTO.]:[AGRUP. VALOR. PTO.]]=$B24,IF(DATOS_[[Check Periodo Ref.]:[Check Periodo Ref.]]="Dentro",IF(DATOS_[[Check Equiparado]:[Check Equiparado]]="Sí",IF(DATOS!AV$5="Sí",(1/DATOS_[[% anualiz]:[% anualiz]]),1)*IF(DATOS!AV$4="Sí",1/DATOS_[[% normaliz]:[% normaliz]],1)*(DATOS_[Conc.Sal.18])))))))),
0)</f>
        <v>0</v>
      </c>
      <c r="AB25" s="196">
        <f t="array" ref="AB25">IFERROR(
(MEDIAN((IF(DATOS_[[Sexo]:[Sexo]]=$B25,IF(DATOS_[[AGRUP. VALOR. PTO.]:[AGRUP. VALOR. PTO.]]=$B24,IF(DATOS_[[Check Periodo Ref.]:[Check Periodo Ref.]]="Dentro",IF(DATOS_[[Check Equiparado]:[Check Equiparado]]="Sí",IF(DATOS!AW$5="Sí",(1/DATOS_[[% anualiz]:[% anualiz]]),1)*IF(DATOS!AW$4="Sí",1/DATOS_[[% normaliz]:[% normaliz]],1)*(DATOS_[Conc.Sal.19])))))))),
0)</f>
        <v>0</v>
      </c>
      <c r="AC25" s="196">
        <f t="array" ref="AC25">IFERROR(
(MEDIAN((IF(DATOS_[[Sexo]:[Sexo]]=$B25,IF(DATOS_[[AGRUP. VALOR. PTO.]:[AGRUP. VALOR. PTO.]]=$B24,IF(DATOS_[[Check Periodo Ref.]:[Check Periodo Ref.]]="Dentro",IF(DATOS_[[Check Equiparado]:[Check Equiparado]]="Sí",IF(DATOS!AX$5="Sí",(1/DATOS_[[% anualiz]:[% anualiz]]),1)*IF(DATOS!AX$4="Sí",1/DATOS_[[% normaliz]:[% normaliz]],1)*(DATOS_[Conc.Sal.20])))))))),
0)</f>
        <v>0</v>
      </c>
      <c r="AD25" s="196">
        <f t="array" ref="AD25">IFERROR(
(MEDIAN((IF(DATOS_[[Sexo]:[Sexo]]=$B25,IF(DATOS_[[AGRUP. VALOR. PTO.]:[AGRUP. VALOR. PTO.]]=$B24,IF(DATOS_[[Check Periodo Ref.]:[Check Periodo Ref.]]="Dentro",IF(DATOS_[[Check Equiparado]:[Check Equiparado]]="Sí",IF(DATOS!AY$5="Sí",(1/DATOS_[[% anualiz]:[% anualiz]]),1)*IF(DATOS!AY$4="Sí",1/DATOS_[[% normaliz]:[% normaliz]],1)*(DATOS_[Conc.Sal.21])))))))),
0)</f>
        <v>0</v>
      </c>
      <c r="AE25" s="196">
        <f t="array" ref="AE25">IFERROR(
(MEDIAN((IF(DATOS_[[Sexo]:[Sexo]]=$B25,IF(DATOS_[[AGRUP. VALOR. PTO.]:[AGRUP. VALOR. PTO.]]=$B24,IF(DATOS_[[Check Periodo Ref.]:[Check Periodo Ref.]]="Dentro",IF(DATOS_[[Check Equiparado]:[Check Equiparado]]="Sí",IF(DATOS!AZ$5="Sí",(1/DATOS_[[% anualiz]:[% anualiz]]),1)*IF(DATOS!AZ$4="Sí",1/DATOS_[[% normaliz]:[% normaliz]],1)*(DATOS_[Conc.Sal.22])))))))),
0)</f>
        <v>0</v>
      </c>
      <c r="AF25" s="196">
        <f t="array" ref="AF25">IFERROR(
(MEDIAN((IF(DATOS_[[Sexo]:[Sexo]]=$B25,IF(DATOS_[[AGRUP. VALOR. PTO.]:[AGRUP. VALOR. PTO.]]=$B24,IF(DATOS_[[Check Periodo Ref.]:[Check Periodo Ref.]]="Dentro",IF(DATOS_[[Check Equiparado]:[Check Equiparado]]="Sí",IF(DATOS!BA$5="Sí",(1/DATOS_[[% anualiz]:[% anualiz]]),1)*IF(DATOS!BA$4="Sí",1/DATOS_[[% normaliz]:[% normaliz]],1)*(DATOS_[Conc.Sal.23])))))))),
0)</f>
        <v>0</v>
      </c>
      <c r="AG25" s="196">
        <f t="array" ref="AG25">IFERROR(
(MEDIAN((IF(DATOS_[[Sexo]:[Sexo]]=$B25,IF(DATOS_[[AGRUP. VALOR. PTO.]:[AGRUP. VALOR. PTO.]]=$B24,IF(DATOS_[[Check Periodo Ref.]:[Check Periodo Ref.]]="Dentro",IF(DATOS_[[Check Equiparado]:[Check Equiparado]]="Sí",IF(DATOS!BB$5="Sí",(1/DATOS_[[% anualiz]:[% anualiz]]),1)*IF(DATOS!BB$4="Sí",1/DATOS_[[% normaliz]:[% normaliz]],1)*(DATOS_[Conc.Sal.24])))))))),
0)</f>
        <v>0</v>
      </c>
      <c r="AH25" s="196">
        <f t="array" ref="AH25">IFERROR(
(MEDIAN((IF(DATOS_[[Sexo]:[Sexo]]=$B25,IF(DATOS_[[AGRUP. VALOR. PTO.]:[AGRUP. VALOR. PTO.]]=$B24,IF(DATOS_[[Check Periodo Ref.]:[Check Periodo Ref.]]="Dentro",IF(DATOS_[[Check Equiparado]:[Check Equiparado]]="Sí",IF(DATOS!BC$5="Sí",(1/DATOS_[[% anualiz]:[% anualiz]]),1)*IF(DATOS!BC$4="Sí",1/DATOS_[[% normaliz]:[% normaliz]],1)*(DATOS_[Conc.Sal.25])))))))),
0)</f>
        <v>0</v>
      </c>
      <c r="AI25" s="196">
        <f t="array" ref="AI25">IFERROR(
(MEDIAN((IF(DATOS_[[Sexo]:[Sexo]]=$B25,IF(DATOS_[[AGRUP. VALOR. PTO.]:[AGRUP. VALOR. PTO.]]=$B24,IF(DATOS_[[Check Periodo Ref.]:[Check Periodo Ref.]]="Dentro",IF(DATOS_[[Check Equiparado]:[Check Equiparado]]="Sí",IF(DATOS!BD$5="Sí",(1/DATOS_[[% anualiz]:[% anualiz]]),1)*IF(DATOS!BD$4="Sí",1/DATOS_[[% normaliz]:[% normaliz]],1)*(DATOS_[Conc.Sal.26])))))))),
0)</f>
        <v>0</v>
      </c>
      <c r="AJ25" s="196">
        <f t="array" ref="AJ25">IFERROR(
(MEDIAN((IF(DATOS_[[Sexo]:[Sexo]]=$B25,IF(DATOS_[[AGRUP. VALOR. PTO.]:[AGRUP. VALOR. PTO.]]=$B24,IF(DATOS_[[Check Periodo Ref.]:[Check Periodo Ref.]]="Dentro",IF(DATOS_[[Check Equiparado]:[Check Equiparado]]="Sí",IF(DATOS!BE$5="Sí",(1/DATOS_[[% anualiz]:[% anualiz]]),1)*IF(DATOS!BE$4="Sí",1/DATOS_[[% normaliz]:[% normaliz]],1)*(DATOS_[Conc.Sal.27])))))))),
0)</f>
        <v>0</v>
      </c>
      <c r="AK25" s="196">
        <f t="array" ref="AK25">IFERROR(
(MEDIAN((IF(DATOS_[[Sexo]:[Sexo]]=$B25,IF(DATOS_[[AGRUP. VALOR. PTO.]:[AGRUP. VALOR. PTO.]]=$B24,IF(DATOS_[[Check Periodo Ref.]:[Check Periodo Ref.]]="Dentro",IF(DATOS_[[Check Equiparado]:[Check Equiparado]]="Sí",IF(DATOS!BF$5="Sí",(1/DATOS_[[% anualiz]:[% anualiz]]),1)*IF(DATOS!BF$4="Sí",1/DATOS_[[% normaliz]:[% normaliz]],1)*(DATOS_[Conc.Sal.28])))))))),
0)</f>
        <v>0</v>
      </c>
      <c r="AL25" s="196">
        <f t="array" ref="AL25">IFERROR(
(MEDIAN((IF(DATOS_[[Sexo]:[Sexo]]=$B25,IF(DATOS_[[AGRUP. VALOR. PTO.]:[AGRUP. VALOR. PTO.]]=$B24,IF(DATOS_[[Check Periodo Ref.]:[Check Periodo Ref.]]="Dentro",IF(DATOS_[[Check Equiparado]:[Check Equiparado]]="Sí",IF(DATOS!BG$5="Sí",(1/DATOS_[[% anualiz]:[% anualiz]]),1)*IF(DATOS!BG$4="Sí",1/DATOS_[[% normaliz]:[% normaliz]],1)*(DATOS_[Conc.Sal.29])))))))),
0)</f>
        <v>0</v>
      </c>
      <c r="AM25" s="196">
        <f t="array" ref="AM25">IFERROR(
(MEDIAN((IF(DATOS_[[Sexo]:[Sexo]]=$B25,IF(DATOS_[[AGRUP. VALOR. PTO.]:[AGRUP. VALOR. PTO.]]=$B24,IF(DATOS_[[Check Periodo Ref.]:[Check Periodo Ref.]]="Dentro",IF(DATOS_[[Check Equiparado]:[Check Equiparado]]="Sí",IF(DATOS!BH$5="Sí",(1/DATOS_[[% anualiz]:[% anualiz]]),1)*IF(DATOS!BH$4="Sí",1/DATOS_[[% normaliz]:[% normaliz]],1)*(DATOS_[Conc.Sal.30])))))))),
0)</f>
        <v>0</v>
      </c>
      <c r="AN25" s="195">
        <f t="array" ref="AN25">IFERROR(
MEDIAN(IF(DATOS_[Sexo]=$B25,IF(DATOS_[[AGRUP. VALOR. PTO.]:[AGRUP. VALOR. PTO.]]=$B24,IF(DATOS_[Check Equiparado]="Sí",IF(DATOS_[Check Periodo Ref.]="Dentro",DATOS_[Tot COMPL.SAL Eq],FALSE))))),
0)</f>
        <v>0</v>
      </c>
      <c r="AO25" s="172">
        <f t="array" ref="AO25">IFERROR(
MEDIAN(IF(DATOS_[Sexo]=$B25,IF(DATOS_[[AGRUP. VALOR. PTO.]:[AGRUP. VALOR. PTO.]]=$B24,IF(DATOS_[Check Equiparado]="Sí",IF(DATOS_[Check Periodo Ref.]="Dentro",DATOS_[TOTAL SALARIO Eq],FALSE))))),
0)</f>
        <v>0</v>
      </c>
      <c r="AP25" s="173">
        <f t="array" ref="AP25">IFERROR(
(MEDIAN((IF(DATOS_[[Sexo]:[Sexo]]=$B25,IF(DATOS_[[AGRUP. VALOR. PTO.]:[AGRUP. VALOR. PTO.]]=$B24,IF(DATOS_[[Check Periodo Ref.]:[Check Periodo Ref.]]="Dentro",IF(DATOS_[[Check Equiparado]:[Check Equiparado]]="Sí",IF(DATOS!BW$5="Sí",(1/DATOS_[[% anualiz]:[% anualiz]]),1)*IF(DATOS!BW$4="Sí",1/DATOS_[[% normaliz]:[% normaliz]],1)*(DATOS_[C.Extra.01])))))))),
0)</f>
        <v>0</v>
      </c>
      <c r="AQ25" s="173">
        <f t="array" ref="AQ25">IFERROR(
(MEDIAN((IF(DATOS_[[Sexo]:[Sexo]]=$B25,IF(DATOS_[[AGRUP. VALOR. PTO.]:[AGRUP. VALOR. PTO.]]=$B24,IF(DATOS_[[Check Periodo Ref.]:[Check Periodo Ref.]]="Dentro",IF(DATOS_[[Check Equiparado]:[Check Equiparado]]="Sí",IF(DATOS!CB$5="Sí",(1/DATOS_[[% anualiz]:[% anualiz]]),1)*IF(DATOS!CB$4="Sí",1/DATOS_[[% normaliz]:[% normaliz]],1)*(DATOS_[C.Extra.06])))))))),
0)</f>
        <v>0</v>
      </c>
      <c r="AR25" s="173">
        <f t="array" ref="AR25">IFERROR(
(MEDIAN((IF(DATOS_[[Sexo]:[Sexo]]=$B25,IF(DATOS_[[AGRUP. VALOR. PTO.]:[AGRUP. VALOR. PTO.]]=$B24,IF(DATOS_[[Check Periodo Ref.]:[Check Periodo Ref.]]="Dentro",IF(DATOS_[[Check Equiparado]:[Check Equiparado]]="Sí",IF(DATOS!CC$5="Sí",(1/DATOS_[[% anualiz]:[% anualiz]]),1)*IF(DATOS!CC$4="Sí",1/DATOS_[[% normaliz]:[% normaliz]],1)*(DATOS_[C.Extra.07])))))))),
0)</f>
        <v>0</v>
      </c>
      <c r="AS25" s="173">
        <f t="array" ref="AS25">IFERROR(
(MEDIAN((IF(DATOS_[[Sexo]:[Sexo]]=$B25,IF(DATOS_[[AGRUP. VALOR. PTO.]:[AGRUP. VALOR. PTO.]]=$B24,IF(DATOS_[[Check Periodo Ref.]:[Check Periodo Ref.]]="Dentro",IF(DATOS_[[Check Equiparado]:[Check Equiparado]]="Sí",IF(DATOS!CD$5="Sí",(1/DATOS_[[% anualiz]:[% anualiz]]),1)*IF(DATOS!CD$4="Sí",1/DATOS_[[% normaliz]:[% normaliz]],1)*(DATOS_[C.Extra.08])))))))),
0)</f>
        <v>0</v>
      </c>
      <c r="AT25" s="173">
        <f t="array" ref="AT25">IFERROR(
(MEDIAN((IF(DATOS_[[Sexo]:[Sexo]]=$B25,IF(DATOS_[[AGRUP. VALOR. PTO.]:[AGRUP. VALOR. PTO.]]=$B24,IF(DATOS_[[Check Periodo Ref.]:[Check Periodo Ref.]]="Dentro",IF(DATOS_[[Check Equiparado]:[Check Equiparado]]="Sí",IF(DATOS!CG$5="Sí",(1/DATOS_[[% anualiz]:[% anualiz]]),1)*IF(DATOS!CG$4="Sí",1/DATOS_[[% normaliz]:[% normaliz]],1)*(DATOS_[C.Extra.11])))))))),
0)</f>
        <v>0</v>
      </c>
      <c r="AU25" s="197">
        <f t="array" ref="AU25">IFERROR(
MEDIAN(IF(DATOS_[Sexo]=$B25,IF(DATOS_[[AGRUP. VALOR. PTO.]:[AGRUP. VALOR. PTO.]]=$B24,IF(DATOS_[Check Equiparado]="Sí",IF(DATOS_[Check Periodo Ref.]="Dentro",DATOS_[Tot Extrasalarial Eq],FALSE))))),
0)</f>
        <v>0</v>
      </c>
      <c r="AV25" s="175">
        <f t="array" ref="AV25">IFERROR(
MEDIAN(IF(DATOS_[Sexo]=$B25,IF(DATOS_[[AGRUP. VALOR. PTO.]:[AGRUP. VALOR. PTO.]]=$B24,IF(DATOS_[Check Equiparado]="Sí",IF(DATOS_[Check Periodo Ref.]="Dentro",DATOS_[TOTAL Retrib Eq],FALSE))))),
0)</f>
        <v>0</v>
      </c>
    </row>
    <row r="26" spans="1:48" x14ac:dyDescent="0.25">
      <c r="A26" s="133" t="str">
        <f t="shared" ref="A26" si="18">+A25</f>
        <v>[ocultar]</v>
      </c>
      <c r="B26" s="202" t="s">
        <v>521</v>
      </c>
      <c r="C26" s="203">
        <f t="array" ref="C26">SUM(IF($B26=DATOS_[Sexo],
IF($B24=DATOS_[AGRUP. VALOR. PTO.],
IF("Dentro"=DATOS_[Check Periodo Ref.],
1/(COUNTIFS(DATOS_[Sexo],$B26,DATOS_[AGRUP. VALOR. PTO.],$B24,DATOS_[Check Periodo Ref.],"Dentro",DATOS_[id/cod],DATOS_[id/cod]))))))</f>
        <v>0</v>
      </c>
      <c r="D26" s="204">
        <f>COUNTIFS(DATOS_[AGRUP. VALOR. PTO.],$B24,DATOS_[Sexo],$B26,DATOS_[Check Periodo Ref.],"Dentro")</f>
        <v>0</v>
      </c>
      <c r="E26" s="204">
        <f>COUNTIFS(DATOS_[AGRUP. VALOR. PTO.],$B24,DATOS_[Sexo],$B26,DATOS_[Check Periodo Ref.],"Dentro",DATOS_[Check Nº SC Norm],"Sí")</f>
        <v>0</v>
      </c>
      <c r="F26" s="204">
        <f>COUNTIFS(DATOS_[AGRUP. VALOR. PTO.],$B24,DATOS_[Sexo],$B26,DATOS_[Check Periodo Ref.],"Dentro",DATOS_[Check Nº SC Anualiz],"Sí")</f>
        <v>0</v>
      </c>
      <c r="G26" s="204">
        <f>COUNTIFS(DATOS_[AGRUP. VALOR. PTO.],$B24,DATOS_[Sexo],$B26,DATOS_[Check Periodo Ref.],"Dentro",DATOS_[Check Nº SC Norm y Anualiz],"Sí")</f>
        <v>0</v>
      </c>
      <c r="H26" s="204">
        <f>COUNTIFS(DATOS_[AGRUP. VALOR. PTO.],$B24,DATOS_[Sexo],$B26,DATOS_[Check Periodo Ref.],"Dentro",DATOS_[Check Equiparación],"Sí")</f>
        <v>0</v>
      </c>
      <c r="I26" s="195" cm="1">
        <f t="array" ref="I26">IFERROR(
MEDIAN(IF(DATOS_[Sexo]=$B26,IF(DATOS_[[AGRUP. VALOR. PTO.]:[AGRUP. VALOR. PTO.]]=$B24,IF(DATOS_[Check Equiparado]="Sí",IF(DATOS_[Check Periodo Ref.]="Dentro",DATOS_[SALARIO BASE Eq],FALSE))))),
0)</f>
        <v>0</v>
      </c>
      <c r="J26" s="196">
        <f t="array" ref="J26">IFERROR(
(MEDIAN((IF(DATOS_[[Sexo]:[Sexo]]=$B26,IF(DATOS_[[AGRUP. VALOR. PTO.]:[AGRUP. VALOR. PTO.]]=$B24,IF(DATOS_[[Check Periodo Ref.]:[Check Periodo Ref.]]="Dentro",IF(DATOS_[[Check Equiparado]:[Check Equiparado]]="Sí",IF(DATOS!AE$5="Sí",(1/DATOS_[[% anualiz]:[% anualiz]]),1)*IF(DATOS!AE$4="Sí",1/DATOS_[[% normaliz]:[% normaliz]],1)*(DATOS_[Conc.Sal.01])))))))),
0)</f>
        <v>0</v>
      </c>
      <c r="K26" s="196">
        <f t="array" ref="K26">IFERROR(
(MEDIAN((IF(DATOS_[[Sexo]:[Sexo]]=$B26,IF(DATOS_[[AGRUP. VALOR. PTO.]:[AGRUP. VALOR. PTO.]]=$B24,IF(DATOS_[[Check Periodo Ref.]:[Check Periodo Ref.]]="Dentro",IF(DATOS_[[Check Equiparado]:[Check Equiparado]]="Sí",IF(DATOS!AF$5="Sí",(1/DATOS_[[% anualiz]:[% anualiz]]),1)*IF(DATOS!AF$4="Sí",1/DATOS_[[% normaliz]:[% normaliz]],1)*(DATOS_[Conc.Sal.02])))))))),
0)</f>
        <v>0</v>
      </c>
      <c r="L26" s="196">
        <f t="array" ref="L26">IFERROR(
(MEDIAN((IF(DATOS_[[Sexo]:[Sexo]]=$B26,IF(DATOS_[[AGRUP. VALOR. PTO.]:[AGRUP. VALOR. PTO.]]=$B24,IF(DATOS_[[Check Periodo Ref.]:[Check Periodo Ref.]]="Dentro",IF(DATOS_[[Check Equiparado]:[Check Equiparado]]="Sí",IF(DATOS!AG$5="Sí",(1/DATOS_[[% anualiz]:[% anualiz]]),1)*IF(DATOS!AG$4="Sí",1/DATOS_[[% normaliz]:[% normaliz]],1)*(DATOS_[Conc.Sal.03])))))))),
0)</f>
        <v>0</v>
      </c>
      <c r="M26" s="196">
        <f t="array" ref="M26">IFERROR(
(MEDIAN((IF(DATOS_[[Sexo]:[Sexo]]=$B26,IF(DATOS_[[AGRUP. VALOR. PTO.]:[AGRUP. VALOR. PTO.]]=$B24,IF(DATOS_[[Check Periodo Ref.]:[Check Periodo Ref.]]="Dentro",IF(DATOS_[[Check Equiparado]:[Check Equiparado]]="Sí",IF(DATOS!AH$5="Sí",(1/DATOS_[[% anualiz]:[% anualiz]]),1)*IF(DATOS!AH$4="Sí",1/DATOS_[[% normaliz]:[% normaliz]],1)*(DATOS_[Conc.Sal.04])))))))),
0)</f>
        <v>0</v>
      </c>
      <c r="N26" s="196">
        <f t="array" ref="N26">IFERROR(
(MEDIAN((IF(DATOS_[[Sexo]:[Sexo]]=$B26,IF(DATOS_[[AGRUP. VALOR. PTO.]:[AGRUP. VALOR. PTO.]]=$B24,IF(DATOS_[[Check Periodo Ref.]:[Check Periodo Ref.]]="Dentro",IF(DATOS_[[Check Equiparado]:[Check Equiparado]]="Sí",IF(DATOS!AI$5="Sí",(1/DATOS_[[% anualiz]:[% anualiz]]),1)*IF(DATOS!AI$4="Sí",1/DATOS_[[% normaliz]:[% normaliz]],1)*(DATOS_[Conc.Sal.05])))))))),
0)</f>
        <v>0</v>
      </c>
      <c r="O26" s="196">
        <f t="array" ref="O26">IFERROR(
(MEDIAN((IF(DATOS_[[Sexo]:[Sexo]]=$B26,IF(DATOS_[[AGRUP. VALOR. PTO.]:[AGRUP. VALOR. PTO.]]=$B24,IF(DATOS_[[Check Periodo Ref.]:[Check Periodo Ref.]]="Dentro",IF(DATOS_[[Check Equiparado]:[Check Equiparado]]="Sí",IF(DATOS!AJ$5="Sí",(1/DATOS_[[% anualiz]:[% anualiz]]),1)*IF(DATOS!AJ$4="Sí",1/DATOS_[[% normaliz]:[% normaliz]],1)*(DATOS_[Conc.Sal.06])))))))),
0)</f>
        <v>0</v>
      </c>
      <c r="P26" s="196">
        <f t="array" ref="P26">IFERROR(
(MEDIAN((IF(DATOS_[[Sexo]:[Sexo]]=$B26,IF(DATOS_[[AGRUP. VALOR. PTO.]:[AGRUP. VALOR. PTO.]]=$B24,IF(DATOS_[[Check Periodo Ref.]:[Check Periodo Ref.]]="Dentro",IF(DATOS_[[Check Equiparado]:[Check Equiparado]]="Sí",IF(DATOS!AK$5="Sí",(1/DATOS_[[% anualiz]:[% anualiz]]),1)*IF(DATOS!AK$4="Sí",1/DATOS_[[% normaliz]:[% normaliz]],1)*(DATOS_[Conc.Sal.07])))))))),
0)</f>
        <v>0</v>
      </c>
      <c r="Q26" s="196">
        <f t="array" ref="Q26">IFERROR(
(MEDIAN((IF(DATOS_[[Sexo]:[Sexo]]=$B26,IF(DATOS_[[AGRUP. VALOR. PTO.]:[AGRUP. VALOR. PTO.]]=$B24,IF(DATOS_[[Check Periodo Ref.]:[Check Periodo Ref.]]="Dentro",IF(DATOS_[[Check Equiparado]:[Check Equiparado]]="Sí",IF(DATOS!AL$5="Sí",(1/DATOS_[[% anualiz]:[% anualiz]]),1)*IF(DATOS!AL$4="Sí",1/DATOS_[[% normaliz]:[% normaliz]],1)*(DATOS_[Conc.Sal.08])))))))),
0)</f>
        <v>0</v>
      </c>
      <c r="R26" s="196">
        <f t="array" ref="R26">IFERROR(
(MEDIAN((IF(DATOS_[[Sexo]:[Sexo]]=$B26,IF(DATOS_[[AGRUP. VALOR. PTO.]:[AGRUP. VALOR. PTO.]]=$B24,IF(DATOS_[[Check Periodo Ref.]:[Check Periodo Ref.]]="Dentro",IF(DATOS_[[Check Equiparado]:[Check Equiparado]]="Sí",IF(DATOS!AM$5="Sí",(1/DATOS_[[% anualiz]:[% anualiz]]),1)*IF(DATOS!AM$4="Sí",1/DATOS_[[% normaliz]:[% normaliz]],1)*(DATOS_[Conc.Sal.09])))))))),
0)</f>
        <v>0</v>
      </c>
      <c r="S26" s="196">
        <f t="array" ref="S26">IFERROR(
(MEDIAN((IF(DATOS_[[Sexo]:[Sexo]]=$B26,IF(DATOS_[[AGRUP. VALOR. PTO.]:[AGRUP. VALOR. PTO.]]=$B24,IF(DATOS_[[Check Periodo Ref.]:[Check Periodo Ref.]]="Dentro",IF(DATOS_[[Check Equiparado]:[Check Equiparado]]="Sí",IF(DATOS!AN$5="Sí",(1/DATOS_[[% anualiz]:[% anualiz]]),1)*IF(DATOS!AN$4="Sí",1/DATOS_[[% normaliz]:[% normaliz]],1)*(DATOS_[Conc.Sal.10])))))))),
0)</f>
        <v>0</v>
      </c>
      <c r="T26" s="196">
        <f t="array" ref="T26">IFERROR(
(MEDIAN((IF(DATOS_[[Sexo]:[Sexo]]=$B26,IF(DATOS_[[AGRUP. VALOR. PTO.]:[AGRUP. VALOR. PTO.]]=$B24,IF(DATOS_[[Check Periodo Ref.]:[Check Periodo Ref.]]="Dentro",IF(DATOS_[[Check Equiparado]:[Check Equiparado]]="Sí",IF(DATOS!AO$5="Sí",(1/DATOS_[[% anualiz]:[% anualiz]]),1)*IF(DATOS!AO$4="Sí",1/DATOS_[[% normaliz]:[% normaliz]],1)*(DATOS_[Conc.Sal.11])))))))),
0)</f>
        <v>0</v>
      </c>
      <c r="U26" s="196">
        <f t="array" ref="U26">IFERROR(
(MEDIAN((IF(DATOS_[[Sexo]:[Sexo]]=$B26,IF(DATOS_[[AGRUP. VALOR. PTO.]:[AGRUP. VALOR. PTO.]]=$B24,IF(DATOS_[[Check Periodo Ref.]:[Check Periodo Ref.]]="Dentro",IF(DATOS_[[Check Equiparado]:[Check Equiparado]]="Sí",IF(DATOS!AP$5="Sí",(1/DATOS_[[% anualiz]:[% anualiz]]),1)*IF(DATOS!AP$4="Sí",1/DATOS_[[% normaliz]:[% normaliz]],1)*(DATOS_[Conc.Sal.12])))))))),
0)</f>
        <v>0</v>
      </c>
      <c r="V26" s="196">
        <f t="array" ref="V26">IFERROR(
(MEDIAN((IF(DATOS_[[Sexo]:[Sexo]]=$B26,IF(DATOS_[[AGRUP. VALOR. PTO.]:[AGRUP. VALOR. PTO.]]=$B24,IF(DATOS_[[Check Periodo Ref.]:[Check Periodo Ref.]]="Dentro",IF(DATOS_[[Check Equiparado]:[Check Equiparado]]="Sí",IF(DATOS!AQ$5="Sí",(1/DATOS_[[% anualiz]:[% anualiz]]),1)*IF(DATOS!AQ$4="Sí",1/DATOS_[[% normaliz]:[% normaliz]],1)*(DATOS_[Conc.Sal.13])))))))),
0)</f>
        <v>0</v>
      </c>
      <c r="W26" s="196">
        <f t="array" ref="W26">IFERROR(
(MEDIAN((IF(DATOS_[[Sexo]:[Sexo]]=$B26,IF(DATOS_[[AGRUP. VALOR. PTO.]:[AGRUP. VALOR. PTO.]]=$B24,IF(DATOS_[[Check Periodo Ref.]:[Check Periodo Ref.]]="Dentro",IF(DATOS_[[Check Equiparado]:[Check Equiparado]]="Sí",IF(DATOS!AR$5="Sí",(1/DATOS_[[% anualiz]:[% anualiz]]),1)*IF(DATOS!AR$4="Sí",1/DATOS_[[% normaliz]:[% normaliz]],1)*(DATOS_[Conc.Sal.14])))))))),
0)</f>
        <v>0</v>
      </c>
      <c r="X26" s="196">
        <f t="array" ref="X26">IFERROR(
(MEDIAN((IF(DATOS_[[Sexo]:[Sexo]]=$B26,IF(DATOS_[[AGRUP. VALOR. PTO.]:[AGRUP. VALOR. PTO.]]=$B24,IF(DATOS_[[Check Periodo Ref.]:[Check Periodo Ref.]]="Dentro",IF(DATOS_[[Check Equiparado]:[Check Equiparado]]="Sí",IF(DATOS!AS$5="Sí",(1/DATOS_[[% anualiz]:[% anualiz]]),1)*IF(DATOS!AS$4="Sí",1/DATOS_[[% normaliz]:[% normaliz]],1)*(DATOS_[Conc.Sal.15])))))))),
0)</f>
        <v>0</v>
      </c>
      <c r="Y26" s="196">
        <f t="array" ref="Y26">IFERROR(
(MEDIAN((IF(DATOS_[[Sexo]:[Sexo]]=$B26,IF(DATOS_[[AGRUP. VALOR. PTO.]:[AGRUP. VALOR. PTO.]]=$B24,IF(DATOS_[[Check Periodo Ref.]:[Check Periodo Ref.]]="Dentro",IF(DATOS_[[Check Equiparado]:[Check Equiparado]]="Sí",IF(DATOS!AT$5="Sí",(1/DATOS_[[% anualiz]:[% anualiz]]),1)*IF(DATOS!AT$4="Sí",1/DATOS_[[% normaliz]:[% normaliz]],1)*(DATOS_[Conc.Sal.16])))))))),
0)</f>
        <v>0</v>
      </c>
      <c r="Z26" s="196">
        <f t="array" ref="Z26">IFERROR(
(MEDIAN((IF(DATOS_[[Sexo]:[Sexo]]=$B26,IF(DATOS_[[AGRUP. VALOR. PTO.]:[AGRUP. VALOR. PTO.]]=$B24,IF(DATOS_[[Check Periodo Ref.]:[Check Periodo Ref.]]="Dentro",IF(DATOS_[[Check Equiparado]:[Check Equiparado]]="Sí",IF(DATOS!AU$5="Sí",(1/DATOS_[[% anualiz]:[% anualiz]]),1)*IF(DATOS!AU$4="Sí",1/DATOS_[[% normaliz]:[% normaliz]],1)*(DATOS_[Conc.Sal.17])))))))),
0)</f>
        <v>0</v>
      </c>
      <c r="AA26" s="196">
        <f t="array" ref="AA26">IFERROR(
(MEDIAN((IF(DATOS_[[Sexo]:[Sexo]]=$B26,IF(DATOS_[[AGRUP. VALOR. PTO.]:[AGRUP. VALOR. PTO.]]=$B24,IF(DATOS_[[Check Periodo Ref.]:[Check Periodo Ref.]]="Dentro",IF(DATOS_[[Check Equiparado]:[Check Equiparado]]="Sí",IF(DATOS!AV$5="Sí",(1/DATOS_[[% anualiz]:[% anualiz]]),1)*IF(DATOS!AV$4="Sí",1/DATOS_[[% normaliz]:[% normaliz]],1)*(DATOS_[Conc.Sal.18])))))))),
0)</f>
        <v>0</v>
      </c>
      <c r="AB26" s="196">
        <f t="array" ref="AB26">IFERROR(
(MEDIAN((IF(DATOS_[[Sexo]:[Sexo]]=$B26,IF(DATOS_[[AGRUP. VALOR. PTO.]:[AGRUP. VALOR. PTO.]]=$B24,IF(DATOS_[[Check Periodo Ref.]:[Check Periodo Ref.]]="Dentro",IF(DATOS_[[Check Equiparado]:[Check Equiparado]]="Sí",IF(DATOS!AW$5="Sí",(1/DATOS_[[% anualiz]:[% anualiz]]),1)*IF(DATOS!AW$4="Sí",1/DATOS_[[% normaliz]:[% normaliz]],1)*(DATOS_[Conc.Sal.19])))))))),
0)</f>
        <v>0</v>
      </c>
      <c r="AC26" s="196">
        <f t="array" ref="AC26">IFERROR(
(MEDIAN((IF(DATOS_[[Sexo]:[Sexo]]=$B26,IF(DATOS_[[AGRUP. VALOR. PTO.]:[AGRUP. VALOR. PTO.]]=$B24,IF(DATOS_[[Check Periodo Ref.]:[Check Periodo Ref.]]="Dentro",IF(DATOS_[[Check Equiparado]:[Check Equiparado]]="Sí",IF(DATOS!AX$5="Sí",(1/DATOS_[[% anualiz]:[% anualiz]]),1)*IF(DATOS!AX$4="Sí",1/DATOS_[[% normaliz]:[% normaliz]],1)*(DATOS_[Conc.Sal.20])))))))),
0)</f>
        <v>0</v>
      </c>
      <c r="AD26" s="196">
        <f t="array" ref="AD26">IFERROR(
(MEDIAN((IF(DATOS_[[Sexo]:[Sexo]]=$B26,IF(DATOS_[[AGRUP. VALOR. PTO.]:[AGRUP. VALOR. PTO.]]=$B24,IF(DATOS_[[Check Periodo Ref.]:[Check Periodo Ref.]]="Dentro",IF(DATOS_[[Check Equiparado]:[Check Equiparado]]="Sí",IF(DATOS!AY$5="Sí",(1/DATOS_[[% anualiz]:[% anualiz]]),1)*IF(DATOS!AY$4="Sí",1/DATOS_[[% normaliz]:[% normaliz]],1)*(DATOS_[Conc.Sal.21])))))))),
0)</f>
        <v>0</v>
      </c>
      <c r="AE26" s="196">
        <f t="array" ref="AE26">IFERROR(
(MEDIAN((IF(DATOS_[[Sexo]:[Sexo]]=$B26,IF(DATOS_[[AGRUP. VALOR. PTO.]:[AGRUP. VALOR. PTO.]]=$B24,IF(DATOS_[[Check Periodo Ref.]:[Check Periodo Ref.]]="Dentro",IF(DATOS_[[Check Equiparado]:[Check Equiparado]]="Sí",IF(DATOS!AZ$5="Sí",(1/DATOS_[[% anualiz]:[% anualiz]]),1)*IF(DATOS!AZ$4="Sí",1/DATOS_[[% normaliz]:[% normaliz]],1)*(DATOS_[Conc.Sal.22])))))))),
0)</f>
        <v>0</v>
      </c>
      <c r="AF26" s="196">
        <f t="array" ref="AF26">IFERROR(
(MEDIAN((IF(DATOS_[[Sexo]:[Sexo]]=$B26,IF(DATOS_[[AGRUP. VALOR. PTO.]:[AGRUP. VALOR. PTO.]]=$B24,IF(DATOS_[[Check Periodo Ref.]:[Check Periodo Ref.]]="Dentro",IF(DATOS_[[Check Equiparado]:[Check Equiparado]]="Sí",IF(DATOS!BA$5="Sí",(1/DATOS_[[% anualiz]:[% anualiz]]),1)*IF(DATOS!BA$4="Sí",1/DATOS_[[% normaliz]:[% normaliz]],1)*(DATOS_[Conc.Sal.23])))))))),
0)</f>
        <v>0</v>
      </c>
      <c r="AG26" s="196">
        <f t="array" ref="AG26">IFERROR(
(MEDIAN((IF(DATOS_[[Sexo]:[Sexo]]=$B26,IF(DATOS_[[AGRUP. VALOR. PTO.]:[AGRUP. VALOR. PTO.]]=$B24,IF(DATOS_[[Check Periodo Ref.]:[Check Periodo Ref.]]="Dentro",IF(DATOS_[[Check Equiparado]:[Check Equiparado]]="Sí",IF(DATOS!BB$5="Sí",(1/DATOS_[[% anualiz]:[% anualiz]]),1)*IF(DATOS!BB$4="Sí",1/DATOS_[[% normaliz]:[% normaliz]],1)*(DATOS_[Conc.Sal.24])))))))),
0)</f>
        <v>0</v>
      </c>
      <c r="AH26" s="196">
        <f t="array" ref="AH26">IFERROR(
(MEDIAN((IF(DATOS_[[Sexo]:[Sexo]]=$B26,IF(DATOS_[[AGRUP. VALOR. PTO.]:[AGRUP. VALOR. PTO.]]=$B24,IF(DATOS_[[Check Periodo Ref.]:[Check Periodo Ref.]]="Dentro",IF(DATOS_[[Check Equiparado]:[Check Equiparado]]="Sí",IF(DATOS!BC$5="Sí",(1/DATOS_[[% anualiz]:[% anualiz]]),1)*IF(DATOS!BC$4="Sí",1/DATOS_[[% normaliz]:[% normaliz]],1)*(DATOS_[Conc.Sal.25])))))))),
0)</f>
        <v>0</v>
      </c>
      <c r="AI26" s="196">
        <f t="array" ref="AI26">IFERROR(
(MEDIAN((IF(DATOS_[[Sexo]:[Sexo]]=$B26,IF(DATOS_[[AGRUP. VALOR. PTO.]:[AGRUP. VALOR. PTO.]]=$B24,IF(DATOS_[[Check Periodo Ref.]:[Check Periodo Ref.]]="Dentro",IF(DATOS_[[Check Equiparado]:[Check Equiparado]]="Sí",IF(DATOS!BD$5="Sí",(1/DATOS_[[% anualiz]:[% anualiz]]),1)*IF(DATOS!BD$4="Sí",1/DATOS_[[% normaliz]:[% normaliz]],1)*(DATOS_[Conc.Sal.26])))))))),
0)</f>
        <v>0</v>
      </c>
      <c r="AJ26" s="196">
        <f t="array" ref="AJ26">IFERROR(
(MEDIAN((IF(DATOS_[[Sexo]:[Sexo]]=$B26,IF(DATOS_[[AGRUP. VALOR. PTO.]:[AGRUP. VALOR. PTO.]]=$B24,IF(DATOS_[[Check Periodo Ref.]:[Check Periodo Ref.]]="Dentro",IF(DATOS_[[Check Equiparado]:[Check Equiparado]]="Sí",IF(DATOS!BE$5="Sí",(1/DATOS_[[% anualiz]:[% anualiz]]),1)*IF(DATOS!BE$4="Sí",1/DATOS_[[% normaliz]:[% normaliz]],1)*(DATOS_[Conc.Sal.27])))))))),
0)</f>
        <v>0</v>
      </c>
      <c r="AK26" s="196">
        <f t="array" ref="AK26">IFERROR(
(MEDIAN((IF(DATOS_[[Sexo]:[Sexo]]=$B26,IF(DATOS_[[AGRUP. VALOR. PTO.]:[AGRUP. VALOR. PTO.]]=$B24,IF(DATOS_[[Check Periodo Ref.]:[Check Periodo Ref.]]="Dentro",IF(DATOS_[[Check Equiparado]:[Check Equiparado]]="Sí",IF(DATOS!BF$5="Sí",(1/DATOS_[[% anualiz]:[% anualiz]]),1)*IF(DATOS!BF$4="Sí",1/DATOS_[[% normaliz]:[% normaliz]],1)*(DATOS_[Conc.Sal.28])))))))),
0)</f>
        <v>0</v>
      </c>
      <c r="AL26" s="196">
        <f t="array" ref="AL26">IFERROR(
(MEDIAN((IF(DATOS_[[Sexo]:[Sexo]]=$B26,IF(DATOS_[[AGRUP. VALOR. PTO.]:[AGRUP. VALOR. PTO.]]=$B24,IF(DATOS_[[Check Periodo Ref.]:[Check Periodo Ref.]]="Dentro",IF(DATOS_[[Check Equiparado]:[Check Equiparado]]="Sí",IF(DATOS!BG$5="Sí",(1/DATOS_[[% anualiz]:[% anualiz]]),1)*IF(DATOS!BG$4="Sí",1/DATOS_[[% normaliz]:[% normaliz]],1)*(DATOS_[Conc.Sal.29])))))))),
0)</f>
        <v>0</v>
      </c>
      <c r="AM26" s="196">
        <f t="array" ref="AM26">IFERROR(
(MEDIAN((IF(DATOS_[[Sexo]:[Sexo]]=$B26,IF(DATOS_[[AGRUP. VALOR. PTO.]:[AGRUP. VALOR. PTO.]]=$B24,IF(DATOS_[[Check Periodo Ref.]:[Check Periodo Ref.]]="Dentro",IF(DATOS_[[Check Equiparado]:[Check Equiparado]]="Sí",IF(DATOS!BH$5="Sí",(1/DATOS_[[% anualiz]:[% anualiz]]),1)*IF(DATOS!BH$4="Sí",1/DATOS_[[% normaliz]:[% normaliz]],1)*(DATOS_[Conc.Sal.30])))))))),
0)</f>
        <v>0</v>
      </c>
      <c r="AN26" s="195">
        <f t="array" ref="AN26">IFERROR(
MEDIAN(IF(DATOS_[Sexo]=$B26,IF(DATOS_[[AGRUP. VALOR. PTO.]:[AGRUP. VALOR. PTO.]]=$B24,IF(DATOS_[Check Equiparado]="Sí",IF(DATOS_[Check Periodo Ref.]="Dentro",DATOS_[Tot COMPL.SAL Eq],FALSE))))),
0)</f>
        <v>0</v>
      </c>
      <c r="AO26" s="172">
        <f t="array" ref="AO26">IFERROR(
MEDIAN(IF(DATOS_[Sexo]=$B26,IF(DATOS_[[AGRUP. VALOR. PTO.]:[AGRUP. VALOR. PTO.]]=$B24,IF(DATOS_[Check Equiparado]="Sí",IF(DATOS_[Check Periodo Ref.]="Dentro",DATOS_[TOTAL SALARIO Eq],FALSE))))),
0)</f>
        <v>0</v>
      </c>
      <c r="AP26" s="173">
        <f t="array" ref="AP26">IFERROR(
(MEDIAN((IF(DATOS_[[Sexo]:[Sexo]]=$B26,IF(DATOS_[[AGRUP. VALOR. PTO.]:[AGRUP. VALOR. PTO.]]=$B24,IF(DATOS_[[Check Periodo Ref.]:[Check Periodo Ref.]]="Dentro",IF(DATOS_[[Check Equiparado]:[Check Equiparado]]="Sí",IF(DATOS!BW$5="Sí",(1/DATOS_[[% anualiz]:[% anualiz]]),1)*IF(DATOS!BW$4="Sí",1/DATOS_[[% normaliz]:[% normaliz]],1)*(DATOS_[C.Extra.01])))))))),
0)</f>
        <v>0</v>
      </c>
      <c r="AQ26" s="173">
        <f t="array" ref="AQ26">IFERROR(
(MEDIAN((IF(DATOS_[[Sexo]:[Sexo]]=$B26,IF(DATOS_[[AGRUP. VALOR. PTO.]:[AGRUP. VALOR. PTO.]]=$B24,IF(DATOS_[[Check Periodo Ref.]:[Check Periodo Ref.]]="Dentro",IF(DATOS_[[Check Equiparado]:[Check Equiparado]]="Sí",IF(DATOS!CB$5="Sí",(1/DATOS_[[% anualiz]:[% anualiz]]),1)*IF(DATOS!CB$4="Sí",1/DATOS_[[% normaliz]:[% normaliz]],1)*(DATOS_[C.Extra.06])))))))),
0)</f>
        <v>0</v>
      </c>
      <c r="AR26" s="173">
        <f t="array" ref="AR26">IFERROR(
(MEDIAN((IF(DATOS_[[Sexo]:[Sexo]]=$B26,IF(DATOS_[[AGRUP. VALOR. PTO.]:[AGRUP. VALOR. PTO.]]=$B24,IF(DATOS_[[Check Periodo Ref.]:[Check Periodo Ref.]]="Dentro",IF(DATOS_[[Check Equiparado]:[Check Equiparado]]="Sí",IF(DATOS!CC$5="Sí",(1/DATOS_[[% anualiz]:[% anualiz]]),1)*IF(DATOS!CC$4="Sí",1/DATOS_[[% normaliz]:[% normaliz]],1)*(DATOS_[C.Extra.07])))))))),
0)</f>
        <v>0</v>
      </c>
      <c r="AS26" s="173">
        <f t="array" ref="AS26">IFERROR(
(MEDIAN((IF(DATOS_[[Sexo]:[Sexo]]=$B26,IF(DATOS_[[AGRUP. VALOR. PTO.]:[AGRUP. VALOR. PTO.]]=$B24,IF(DATOS_[[Check Periodo Ref.]:[Check Periodo Ref.]]="Dentro",IF(DATOS_[[Check Equiparado]:[Check Equiparado]]="Sí",IF(DATOS!CD$5="Sí",(1/DATOS_[[% anualiz]:[% anualiz]]),1)*IF(DATOS!CD$4="Sí",1/DATOS_[[% normaliz]:[% normaliz]],1)*(DATOS_[C.Extra.08])))))))),
0)</f>
        <v>0</v>
      </c>
      <c r="AT26" s="173">
        <f t="array" ref="AT26">IFERROR(
(MEDIAN((IF(DATOS_[[Sexo]:[Sexo]]=$B26,IF(DATOS_[[AGRUP. VALOR. PTO.]:[AGRUP. VALOR. PTO.]]=$B24,IF(DATOS_[[Check Periodo Ref.]:[Check Periodo Ref.]]="Dentro",IF(DATOS_[[Check Equiparado]:[Check Equiparado]]="Sí",IF(DATOS!CG$5="Sí",(1/DATOS_[[% anualiz]:[% anualiz]]),1)*IF(DATOS!CG$4="Sí",1/DATOS_[[% normaliz]:[% normaliz]],1)*(DATOS_[C.Extra.11])))))))),
0)</f>
        <v>0</v>
      </c>
      <c r="AU26" s="197">
        <f t="array" ref="AU26">IFERROR(
MEDIAN(IF(DATOS_[Sexo]=$B26,IF(DATOS_[[AGRUP. VALOR. PTO.]:[AGRUP. VALOR. PTO.]]=$B24,IF(DATOS_[Check Equiparado]="Sí",IF(DATOS_[Check Periodo Ref.]="Dentro",DATOS_[Tot Extrasalarial Eq],FALSE))))),
0)</f>
        <v>0</v>
      </c>
      <c r="AV26" s="175">
        <f t="array" ref="AV26">IFERROR(
MEDIAN(IF(DATOS_[Sexo]=$B26,IF(DATOS_[[AGRUP. VALOR. PTO.]:[AGRUP. VALOR. PTO.]]=$B24,IF(DATOS_[Check Equiparado]="Sí",IF(DATOS_[Check Periodo Ref.]="Dentro",DATOS_[TOTAL Retrib Eq],FALSE))))),
0)</f>
        <v>0</v>
      </c>
    </row>
    <row r="27" spans="1:48" ht="15.6" thickBot="1" x14ac:dyDescent="0.3">
      <c r="A27" s="133" t="str">
        <f t="shared" ref="A27" si="19">+A28</f>
        <v>[ocultar]</v>
      </c>
      <c r="B27" s="199" t="s">
        <v>193</v>
      </c>
      <c r="C27" s="200"/>
      <c r="D27" s="201"/>
      <c r="E27" s="201"/>
      <c r="F27" s="201"/>
      <c r="G27" s="201"/>
      <c r="H27" s="201"/>
      <c r="I27" s="189" t="str">
        <f t="shared" ref="I27:AV27" si="20">IFERROR((I28-I29)/I28,"")</f>
        <v/>
      </c>
      <c r="J27" s="190" t="str">
        <f t="shared" si="20"/>
        <v/>
      </c>
      <c r="K27" s="191" t="str">
        <f t="shared" si="20"/>
        <v/>
      </c>
      <c r="L27" s="191" t="str">
        <f t="shared" si="20"/>
        <v/>
      </c>
      <c r="M27" s="191" t="str">
        <f t="shared" si="20"/>
        <v/>
      </c>
      <c r="N27" s="192" t="str">
        <f t="shared" si="20"/>
        <v/>
      </c>
      <c r="O27" s="193" t="str">
        <f t="shared" si="20"/>
        <v/>
      </c>
      <c r="P27" s="193" t="str">
        <f t="shared" si="20"/>
        <v/>
      </c>
      <c r="Q27" s="193" t="str">
        <f t="shared" si="20"/>
        <v/>
      </c>
      <c r="R27" s="193" t="str">
        <f t="shared" si="20"/>
        <v/>
      </c>
      <c r="S27" s="193" t="str">
        <f t="shared" si="20"/>
        <v/>
      </c>
      <c r="T27" s="193" t="str">
        <f t="shared" si="20"/>
        <v/>
      </c>
      <c r="U27" s="193" t="str">
        <f t="shared" si="20"/>
        <v/>
      </c>
      <c r="V27" s="193" t="str">
        <f t="shared" si="20"/>
        <v/>
      </c>
      <c r="W27" s="193" t="str">
        <f t="shared" si="20"/>
        <v/>
      </c>
      <c r="X27" s="193" t="str">
        <f t="shared" si="20"/>
        <v/>
      </c>
      <c r="Y27" s="193" t="str">
        <f t="shared" si="20"/>
        <v/>
      </c>
      <c r="Z27" s="193" t="str">
        <f t="shared" si="20"/>
        <v/>
      </c>
      <c r="AA27" s="193" t="str">
        <f t="shared" si="20"/>
        <v/>
      </c>
      <c r="AB27" s="193" t="str">
        <f t="shared" si="20"/>
        <v/>
      </c>
      <c r="AC27" s="193" t="str">
        <f t="shared" si="20"/>
        <v/>
      </c>
      <c r="AD27" s="193" t="str">
        <f t="shared" si="20"/>
        <v/>
      </c>
      <c r="AE27" s="193" t="str">
        <f t="shared" si="20"/>
        <v/>
      </c>
      <c r="AF27" s="193" t="str">
        <f t="shared" si="20"/>
        <v/>
      </c>
      <c r="AG27" s="193" t="str">
        <f t="shared" si="20"/>
        <v/>
      </c>
      <c r="AH27" s="193" t="str">
        <f t="shared" si="20"/>
        <v/>
      </c>
      <c r="AI27" s="193" t="str">
        <f t="shared" si="20"/>
        <v/>
      </c>
      <c r="AJ27" s="193" t="str">
        <f t="shared" si="20"/>
        <v/>
      </c>
      <c r="AK27" s="193" t="str">
        <f t="shared" si="20"/>
        <v/>
      </c>
      <c r="AL27" s="193" t="str">
        <f t="shared" si="20"/>
        <v/>
      </c>
      <c r="AM27" s="193" t="str">
        <f t="shared" si="20"/>
        <v/>
      </c>
      <c r="AN27" s="189" t="str">
        <f t="shared" si="20"/>
        <v/>
      </c>
      <c r="AO27" s="162" t="str">
        <f t="shared" si="20"/>
        <v/>
      </c>
      <c r="AP27" s="163" t="str">
        <f t="shared" si="20"/>
        <v/>
      </c>
      <c r="AQ27" s="163" t="str">
        <f t="shared" si="20"/>
        <v/>
      </c>
      <c r="AR27" s="163" t="str">
        <f t="shared" si="20"/>
        <v/>
      </c>
      <c r="AS27" s="163" t="str">
        <f t="shared" si="20"/>
        <v/>
      </c>
      <c r="AT27" s="163" t="str">
        <f t="shared" si="20"/>
        <v/>
      </c>
      <c r="AU27" s="194" t="str">
        <f t="shared" si="20"/>
        <v/>
      </c>
      <c r="AV27" s="165" t="str">
        <f t="shared" si="20"/>
        <v/>
      </c>
    </row>
    <row r="28" spans="1:48" x14ac:dyDescent="0.25">
      <c r="A28" s="133" t="str">
        <f t="shared" ref="A28" si="21">+IF(C28+C29=0,"[ocultar]","")</f>
        <v>[ocultar]</v>
      </c>
      <c r="B28" s="202" t="s">
        <v>394</v>
      </c>
      <c r="C28" s="203">
        <f t="array" ref="C28">SUM(IF($B28=DATOS_[Sexo],
IF($B27=DATOS_[AGRUP. VALOR. PTO.],
IF("Dentro"=DATOS_[Check Periodo Ref.],
1/(COUNTIFS(DATOS_[Sexo],$B28,DATOS_[AGRUP. VALOR. PTO.],$B27,DATOS_[Check Periodo Ref.],"Dentro",DATOS_[id/cod],DATOS_[id/cod]))))))</f>
        <v>0</v>
      </c>
      <c r="D28" s="204">
        <f>COUNTIFS(DATOS_[AGRUP. VALOR. PTO.],$B27,DATOS_[Sexo],$B28,DATOS_[Check Periodo Ref.],"Dentro")</f>
        <v>0</v>
      </c>
      <c r="E28" s="204">
        <f>COUNTIFS(DATOS_[AGRUP. VALOR. PTO.],$B27,DATOS_[Sexo],$B28,DATOS_[Check Periodo Ref.],"Dentro",DATOS_[Check Nº SC Norm],"Sí")</f>
        <v>0</v>
      </c>
      <c r="F28" s="204">
        <f>COUNTIFS(DATOS_[AGRUP. VALOR. PTO.],$B27,DATOS_[Sexo],$B28,DATOS_[Check Periodo Ref.],"Dentro",DATOS_[Check Nº SC Anualiz],"Sí")</f>
        <v>0</v>
      </c>
      <c r="G28" s="204">
        <f>COUNTIFS(DATOS_[AGRUP. VALOR. PTO.],$B27,DATOS_[Sexo],$B28,DATOS_[Check Periodo Ref.],"Dentro",DATOS_[Check Nº SC Norm y Anualiz],"Sí")</f>
        <v>0</v>
      </c>
      <c r="H28" s="204">
        <f>COUNTIFS(DATOS_[AGRUP. VALOR. PTO.],$B27,DATOS_[Sexo],$B28,DATOS_[Check Periodo Ref.],"Dentro",DATOS_[Check Equiparación],"Sí")</f>
        <v>0</v>
      </c>
      <c r="I28" s="195">
        <f t="array" ref="I28">IFERROR(
MEDIAN(IF(DATOS_[Sexo]=$B28,IF(DATOS_[[AGRUP. VALOR. PTO.]:[AGRUP. VALOR. PTO.]]=$B27,IF(DATOS_[Check Equiparado]="Sí",IF(DATOS_[Check Periodo Ref.]="Dentro",DATOS_[SALARIO BASE Eq],FALSE))))),
0)</f>
        <v>0</v>
      </c>
      <c r="J28" s="196">
        <f t="array" ref="J28">IFERROR(
(MEDIAN((IF(DATOS_[[Sexo]:[Sexo]]=$B28,IF(DATOS_[[AGRUP. VALOR. PTO.]:[AGRUP. VALOR. PTO.]]=$B27,IF(DATOS_[[Check Periodo Ref.]:[Check Periodo Ref.]]="Dentro",IF(DATOS_[[Check Equiparado]:[Check Equiparado]]="Sí",IF(DATOS!AE$5="Sí",(1/DATOS_[[% anualiz]:[% anualiz]]),1)*IF(DATOS!AE$4="Sí",1/DATOS_[[% normaliz]:[% normaliz]],1)*(DATOS_[Conc.Sal.01])))))))),
0)</f>
        <v>0</v>
      </c>
      <c r="K28" s="196">
        <f t="array" ref="K28">IFERROR(
(MEDIAN((IF(DATOS_[[Sexo]:[Sexo]]=$B28,IF(DATOS_[[AGRUP. VALOR. PTO.]:[AGRUP. VALOR. PTO.]]=$B27,IF(DATOS_[[Check Periodo Ref.]:[Check Periodo Ref.]]="Dentro",IF(DATOS_[[Check Equiparado]:[Check Equiparado]]="Sí",IF(DATOS!AF$5="Sí",(1/DATOS_[[% anualiz]:[% anualiz]]),1)*IF(DATOS!AF$4="Sí",1/DATOS_[[% normaliz]:[% normaliz]],1)*(DATOS_[Conc.Sal.02])))))))),
0)</f>
        <v>0</v>
      </c>
      <c r="L28" s="196">
        <f t="array" ref="L28">IFERROR(
(MEDIAN((IF(DATOS_[[Sexo]:[Sexo]]=$B28,IF(DATOS_[[AGRUP. VALOR. PTO.]:[AGRUP. VALOR. PTO.]]=$B27,IF(DATOS_[[Check Periodo Ref.]:[Check Periodo Ref.]]="Dentro",IF(DATOS_[[Check Equiparado]:[Check Equiparado]]="Sí",IF(DATOS!AG$5="Sí",(1/DATOS_[[% anualiz]:[% anualiz]]),1)*IF(DATOS!AG$4="Sí",1/DATOS_[[% normaliz]:[% normaliz]],1)*(DATOS_[Conc.Sal.03])))))))),
0)</f>
        <v>0</v>
      </c>
      <c r="M28" s="196">
        <f t="array" ref="M28">IFERROR(
(MEDIAN((IF(DATOS_[[Sexo]:[Sexo]]=$B28,IF(DATOS_[[AGRUP. VALOR. PTO.]:[AGRUP. VALOR. PTO.]]=$B27,IF(DATOS_[[Check Periodo Ref.]:[Check Periodo Ref.]]="Dentro",IF(DATOS_[[Check Equiparado]:[Check Equiparado]]="Sí",IF(DATOS!AH$5="Sí",(1/DATOS_[[% anualiz]:[% anualiz]]),1)*IF(DATOS!AH$4="Sí",1/DATOS_[[% normaliz]:[% normaliz]],1)*(DATOS_[Conc.Sal.04])))))))),
0)</f>
        <v>0</v>
      </c>
      <c r="N28" s="196">
        <f t="array" ref="N28">IFERROR(
(MEDIAN((IF(DATOS_[[Sexo]:[Sexo]]=$B28,IF(DATOS_[[AGRUP. VALOR. PTO.]:[AGRUP. VALOR. PTO.]]=$B27,IF(DATOS_[[Check Periodo Ref.]:[Check Periodo Ref.]]="Dentro",IF(DATOS_[[Check Equiparado]:[Check Equiparado]]="Sí",IF(DATOS!AI$5="Sí",(1/DATOS_[[% anualiz]:[% anualiz]]),1)*IF(DATOS!AI$4="Sí",1/DATOS_[[% normaliz]:[% normaliz]],1)*(DATOS_[Conc.Sal.05])))))))),
0)</f>
        <v>0</v>
      </c>
      <c r="O28" s="196">
        <f t="array" ref="O28">IFERROR(
(MEDIAN((IF(DATOS_[[Sexo]:[Sexo]]=$B28,IF(DATOS_[[AGRUP. VALOR. PTO.]:[AGRUP. VALOR. PTO.]]=$B27,IF(DATOS_[[Check Periodo Ref.]:[Check Periodo Ref.]]="Dentro",IF(DATOS_[[Check Equiparado]:[Check Equiparado]]="Sí",IF(DATOS!AJ$5="Sí",(1/DATOS_[[% anualiz]:[% anualiz]]),1)*IF(DATOS!AJ$4="Sí",1/DATOS_[[% normaliz]:[% normaliz]],1)*(DATOS_[Conc.Sal.06])))))))),
0)</f>
        <v>0</v>
      </c>
      <c r="P28" s="196">
        <f t="array" ref="P28">IFERROR(
(MEDIAN((IF(DATOS_[[Sexo]:[Sexo]]=$B28,IF(DATOS_[[AGRUP. VALOR. PTO.]:[AGRUP. VALOR. PTO.]]=$B27,IF(DATOS_[[Check Periodo Ref.]:[Check Periodo Ref.]]="Dentro",IF(DATOS_[[Check Equiparado]:[Check Equiparado]]="Sí",IF(DATOS!AK$5="Sí",(1/DATOS_[[% anualiz]:[% anualiz]]),1)*IF(DATOS!AK$4="Sí",1/DATOS_[[% normaliz]:[% normaliz]],1)*(DATOS_[Conc.Sal.07])))))))),
0)</f>
        <v>0</v>
      </c>
      <c r="Q28" s="196">
        <f t="array" ref="Q28">IFERROR(
(MEDIAN((IF(DATOS_[[Sexo]:[Sexo]]=$B28,IF(DATOS_[[AGRUP. VALOR. PTO.]:[AGRUP. VALOR. PTO.]]=$B27,IF(DATOS_[[Check Periodo Ref.]:[Check Periodo Ref.]]="Dentro",IF(DATOS_[[Check Equiparado]:[Check Equiparado]]="Sí",IF(DATOS!AL$5="Sí",(1/DATOS_[[% anualiz]:[% anualiz]]),1)*IF(DATOS!AL$4="Sí",1/DATOS_[[% normaliz]:[% normaliz]],1)*(DATOS_[Conc.Sal.08])))))))),
0)</f>
        <v>0</v>
      </c>
      <c r="R28" s="196">
        <f t="array" ref="R28">IFERROR(
(MEDIAN((IF(DATOS_[[Sexo]:[Sexo]]=$B28,IF(DATOS_[[AGRUP. VALOR. PTO.]:[AGRUP. VALOR. PTO.]]=$B27,IF(DATOS_[[Check Periodo Ref.]:[Check Periodo Ref.]]="Dentro",IF(DATOS_[[Check Equiparado]:[Check Equiparado]]="Sí",IF(DATOS!AM$5="Sí",(1/DATOS_[[% anualiz]:[% anualiz]]),1)*IF(DATOS!AM$4="Sí",1/DATOS_[[% normaliz]:[% normaliz]],1)*(DATOS_[Conc.Sal.09])))))))),
0)</f>
        <v>0</v>
      </c>
      <c r="S28" s="196">
        <f t="array" ref="S28">IFERROR(
(MEDIAN((IF(DATOS_[[Sexo]:[Sexo]]=$B28,IF(DATOS_[[AGRUP. VALOR. PTO.]:[AGRUP. VALOR. PTO.]]=$B27,IF(DATOS_[[Check Periodo Ref.]:[Check Periodo Ref.]]="Dentro",IF(DATOS_[[Check Equiparado]:[Check Equiparado]]="Sí",IF(DATOS!AN$5="Sí",(1/DATOS_[[% anualiz]:[% anualiz]]),1)*IF(DATOS!AN$4="Sí",1/DATOS_[[% normaliz]:[% normaliz]],1)*(DATOS_[Conc.Sal.10])))))))),
0)</f>
        <v>0</v>
      </c>
      <c r="T28" s="196">
        <f t="array" ref="T28">IFERROR(
(MEDIAN((IF(DATOS_[[Sexo]:[Sexo]]=$B28,IF(DATOS_[[AGRUP. VALOR. PTO.]:[AGRUP. VALOR. PTO.]]=$B27,IF(DATOS_[[Check Periodo Ref.]:[Check Periodo Ref.]]="Dentro",IF(DATOS_[[Check Equiparado]:[Check Equiparado]]="Sí",IF(DATOS!AO$5="Sí",(1/DATOS_[[% anualiz]:[% anualiz]]),1)*IF(DATOS!AO$4="Sí",1/DATOS_[[% normaliz]:[% normaliz]],1)*(DATOS_[Conc.Sal.11])))))))),
0)</f>
        <v>0</v>
      </c>
      <c r="U28" s="196">
        <f t="array" ref="U28">IFERROR(
(MEDIAN((IF(DATOS_[[Sexo]:[Sexo]]=$B28,IF(DATOS_[[AGRUP. VALOR. PTO.]:[AGRUP. VALOR. PTO.]]=$B27,IF(DATOS_[[Check Periodo Ref.]:[Check Periodo Ref.]]="Dentro",IF(DATOS_[[Check Equiparado]:[Check Equiparado]]="Sí",IF(DATOS!AP$5="Sí",(1/DATOS_[[% anualiz]:[% anualiz]]),1)*IF(DATOS!AP$4="Sí",1/DATOS_[[% normaliz]:[% normaliz]],1)*(DATOS_[Conc.Sal.12])))))))),
0)</f>
        <v>0</v>
      </c>
      <c r="V28" s="196">
        <f t="array" ref="V28">IFERROR(
(MEDIAN((IF(DATOS_[[Sexo]:[Sexo]]=$B28,IF(DATOS_[[AGRUP. VALOR. PTO.]:[AGRUP. VALOR. PTO.]]=$B27,IF(DATOS_[[Check Periodo Ref.]:[Check Periodo Ref.]]="Dentro",IF(DATOS_[[Check Equiparado]:[Check Equiparado]]="Sí",IF(DATOS!AQ$5="Sí",(1/DATOS_[[% anualiz]:[% anualiz]]),1)*IF(DATOS!AQ$4="Sí",1/DATOS_[[% normaliz]:[% normaliz]],1)*(DATOS_[Conc.Sal.13])))))))),
0)</f>
        <v>0</v>
      </c>
      <c r="W28" s="196">
        <f t="array" ref="W28">IFERROR(
(MEDIAN((IF(DATOS_[[Sexo]:[Sexo]]=$B28,IF(DATOS_[[AGRUP. VALOR. PTO.]:[AGRUP. VALOR. PTO.]]=$B27,IF(DATOS_[[Check Periodo Ref.]:[Check Periodo Ref.]]="Dentro",IF(DATOS_[[Check Equiparado]:[Check Equiparado]]="Sí",IF(DATOS!AR$5="Sí",(1/DATOS_[[% anualiz]:[% anualiz]]),1)*IF(DATOS!AR$4="Sí",1/DATOS_[[% normaliz]:[% normaliz]],1)*(DATOS_[Conc.Sal.14])))))))),
0)</f>
        <v>0</v>
      </c>
      <c r="X28" s="196">
        <f t="array" ref="X28">IFERROR(
(MEDIAN((IF(DATOS_[[Sexo]:[Sexo]]=$B28,IF(DATOS_[[AGRUP. VALOR. PTO.]:[AGRUP. VALOR. PTO.]]=$B27,IF(DATOS_[[Check Periodo Ref.]:[Check Periodo Ref.]]="Dentro",IF(DATOS_[[Check Equiparado]:[Check Equiparado]]="Sí",IF(DATOS!AS$5="Sí",(1/DATOS_[[% anualiz]:[% anualiz]]),1)*IF(DATOS!AS$4="Sí",1/DATOS_[[% normaliz]:[% normaliz]],1)*(DATOS_[Conc.Sal.15])))))))),
0)</f>
        <v>0</v>
      </c>
      <c r="Y28" s="196">
        <f t="array" ref="Y28">IFERROR(
(MEDIAN((IF(DATOS_[[Sexo]:[Sexo]]=$B28,IF(DATOS_[[AGRUP. VALOR. PTO.]:[AGRUP. VALOR. PTO.]]=$B27,IF(DATOS_[[Check Periodo Ref.]:[Check Periodo Ref.]]="Dentro",IF(DATOS_[[Check Equiparado]:[Check Equiparado]]="Sí",IF(DATOS!AT$5="Sí",(1/DATOS_[[% anualiz]:[% anualiz]]),1)*IF(DATOS!AT$4="Sí",1/DATOS_[[% normaliz]:[% normaliz]],1)*(DATOS_[Conc.Sal.16])))))))),
0)</f>
        <v>0</v>
      </c>
      <c r="Z28" s="196">
        <f t="array" ref="Z28">IFERROR(
(MEDIAN((IF(DATOS_[[Sexo]:[Sexo]]=$B28,IF(DATOS_[[AGRUP. VALOR. PTO.]:[AGRUP. VALOR. PTO.]]=$B27,IF(DATOS_[[Check Periodo Ref.]:[Check Periodo Ref.]]="Dentro",IF(DATOS_[[Check Equiparado]:[Check Equiparado]]="Sí",IF(DATOS!AU$5="Sí",(1/DATOS_[[% anualiz]:[% anualiz]]),1)*IF(DATOS!AU$4="Sí",1/DATOS_[[% normaliz]:[% normaliz]],1)*(DATOS_[Conc.Sal.17])))))))),
0)</f>
        <v>0</v>
      </c>
      <c r="AA28" s="196">
        <f t="array" ref="AA28">IFERROR(
(MEDIAN((IF(DATOS_[[Sexo]:[Sexo]]=$B28,IF(DATOS_[[AGRUP. VALOR. PTO.]:[AGRUP. VALOR. PTO.]]=$B27,IF(DATOS_[[Check Periodo Ref.]:[Check Periodo Ref.]]="Dentro",IF(DATOS_[[Check Equiparado]:[Check Equiparado]]="Sí",IF(DATOS!AV$5="Sí",(1/DATOS_[[% anualiz]:[% anualiz]]),1)*IF(DATOS!AV$4="Sí",1/DATOS_[[% normaliz]:[% normaliz]],1)*(DATOS_[Conc.Sal.18])))))))),
0)</f>
        <v>0</v>
      </c>
      <c r="AB28" s="196">
        <f t="array" ref="AB28">IFERROR(
(MEDIAN((IF(DATOS_[[Sexo]:[Sexo]]=$B28,IF(DATOS_[[AGRUP. VALOR. PTO.]:[AGRUP. VALOR. PTO.]]=$B27,IF(DATOS_[[Check Periodo Ref.]:[Check Periodo Ref.]]="Dentro",IF(DATOS_[[Check Equiparado]:[Check Equiparado]]="Sí",IF(DATOS!AW$5="Sí",(1/DATOS_[[% anualiz]:[% anualiz]]),1)*IF(DATOS!AW$4="Sí",1/DATOS_[[% normaliz]:[% normaliz]],1)*(DATOS_[Conc.Sal.19])))))))),
0)</f>
        <v>0</v>
      </c>
      <c r="AC28" s="196">
        <f t="array" ref="AC28">IFERROR(
(MEDIAN((IF(DATOS_[[Sexo]:[Sexo]]=$B28,IF(DATOS_[[AGRUP. VALOR. PTO.]:[AGRUP. VALOR. PTO.]]=$B27,IF(DATOS_[[Check Periodo Ref.]:[Check Periodo Ref.]]="Dentro",IF(DATOS_[[Check Equiparado]:[Check Equiparado]]="Sí",IF(DATOS!AX$5="Sí",(1/DATOS_[[% anualiz]:[% anualiz]]),1)*IF(DATOS!AX$4="Sí",1/DATOS_[[% normaliz]:[% normaliz]],1)*(DATOS_[Conc.Sal.20])))))))),
0)</f>
        <v>0</v>
      </c>
      <c r="AD28" s="196">
        <f t="array" ref="AD28">IFERROR(
(MEDIAN((IF(DATOS_[[Sexo]:[Sexo]]=$B28,IF(DATOS_[[AGRUP. VALOR. PTO.]:[AGRUP. VALOR. PTO.]]=$B27,IF(DATOS_[[Check Periodo Ref.]:[Check Periodo Ref.]]="Dentro",IF(DATOS_[[Check Equiparado]:[Check Equiparado]]="Sí",IF(DATOS!AY$5="Sí",(1/DATOS_[[% anualiz]:[% anualiz]]),1)*IF(DATOS!AY$4="Sí",1/DATOS_[[% normaliz]:[% normaliz]],1)*(DATOS_[Conc.Sal.21])))))))),
0)</f>
        <v>0</v>
      </c>
      <c r="AE28" s="196">
        <f t="array" ref="AE28">IFERROR(
(MEDIAN((IF(DATOS_[[Sexo]:[Sexo]]=$B28,IF(DATOS_[[AGRUP. VALOR. PTO.]:[AGRUP. VALOR. PTO.]]=$B27,IF(DATOS_[[Check Periodo Ref.]:[Check Periodo Ref.]]="Dentro",IF(DATOS_[[Check Equiparado]:[Check Equiparado]]="Sí",IF(DATOS!AZ$5="Sí",(1/DATOS_[[% anualiz]:[% anualiz]]),1)*IF(DATOS!AZ$4="Sí",1/DATOS_[[% normaliz]:[% normaliz]],1)*(DATOS_[Conc.Sal.22])))))))),
0)</f>
        <v>0</v>
      </c>
      <c r="AF28" s="196">
        <f t="array" ref="AF28">IFERROR(
(MEDIAN((IF(DATOS_[[Sexo]:[Sexo]]=$B28,IF(DATOS_[[AGRUP. VALOR. PTO.]:[AGRUP. VALOR. PTO.]]=$B27,IF(DATOS_[[Check Periodo Ref.]:[Check Periodo Ref.]]="Dentro",IF(DATOS_[[Check Equiparado]:[Check Equiparado]]="Sí",IF(DATOS!BA$5="Sí",(1/DATOS_[[% anualiz]:[% anualiz]]),1)*IF(DATOS!BA$4="Sí",1/DATOS_[[% normaliz]:[% normaliz]],1)*(DATOS_[Conc.Sal.23])))))))),
0)</f>
        <v>0</v>
      </c>
      <c r="AG28" s="196">
        <f t="array" ref="AG28">IFERROR(
(MEDIAN((IF(DATOS_[[Sexo]:[Sexo]]=$B28,IF(DATOS_[[AGRUP. VALOR. PTO.]:[AGRUP. VALOR. PTO.]]=$B27,IF(DATOS_[[Check Periodo Ref.]:[Check Periodo Ref.]]="Dentro",IF(DATOS_[[Check Equiparado]:[Check Equiparado]]="Sí",IF(DATOS!BB$5="Sí",(1/DATOS_[[% anualiz]:[% anualiz]]),1)*IF(DATOS!BB$4="Sí",1/DATOS_[[% normaliz]:[% normaliz]],1)*(DATOS_[Conc.Sal.24])))))))),
0)</f>
        <v>0</v>
      </c>
      <c r="AH28" s="196">
        <f t="array" ref="AH28">IFERROR(
(MEDIAN((IF(DATOS_[[Sexo]:[Sexo]]=$B28,IF(DATOS_[[AGRUP. VALOR. PTO.]:[AGRUP. VALOR. PTO.]]=$B27,IF(DATOS_[[Check Periodo Ref.]:[Check Periodo Ref.]]="Dentro",IF(DATOS_[[Check Equiparado]:[Check Equiparado]]="Sí",IF(DATOS!BC$5="Sí",(1/DATOS_[[% anualiz]:[% anualiz]]),1)*IF(DATOS!BC$4="Sí",1/DATOS_[[% normaliz]:[% normaliz]],1)*(DATOS_[Conc.Sal.25])))))))),
0)</f>
        <v>0</v>
      </c>
      <c r="AI28" s="196">
        <f t="array" ref="AI28">IFERROR(
(MEDIAN((IF(DATOS_[[Sexo]:[Sexo]]=$B28,IF(DATOS_[[AGRUP. VALOR. PTO.]:[AGRUP. VALOR. PTO.]]=$B27,IF(DATOS_[[Check Periodo Ref.]:[Check Periodo Ref.]]="Dentro",IF(DATOS_[[Check Equiparado]:[Check Equiparado]]="Sí",IF(DATOS!BD$5="Sí",(1/DATOS_[[% anualiz]:[% anualiz]]),1)*IF(DATOS!BD$4="Sí",1/DATOS_[[% normaliz]:[% normaliz]],1)*(DATOS_[Conc.Sal.26])))))))),
0)</f>
        <v>0</v>
      </c>
      <c r="AJ28" s="196">
        <f t="array" ref="AJ28">IFERROR(
(MEDIAN((IF(DATOS_[[Sexo]:[Sexo]]=$B28,IF(DATOS_[[AGRUP. VALOR. PTO.]:[AGRUP. VALOR. PTO.]]=$B27,IF(DATOS_[[Check Periodo Ref.]:[Check Periodo Ref.]]="Dentro",IF(DATOS_[[Check Equiparado]:[Check Equiparado]]="Sí",IF(DATOS!BE$5="Sí",(1/DATOS_[[% anualiz]:[% anualiz]]),1)*IF(DATOS!BE$4="Sí",1/DATOS_[[% normaliz]:[% normaliz]],1)*(DATOS_[Conc.Sal.27])))))))),
0)</f>
        <v>0</v>
      </c>
      <c r="AK28" s="196">
        <f t="array" ref="AK28">IFERROR(
(MEDIAN((IF(DATOS_[[Sexo]:[Sexo]]=$B28,IF(DATOS_[[AGRUP. VALOR. PTO.]:[AGRUP. VALOR. PTO.]]=$B27,IF(DATOS_[[Check Periodo Ref.]:[Check Periodo Ref.]]="Dentro",IF(DATOS_[[Check Equiparado]:[Check Equiparado]]="Sí",IF(DATOS!BF$5="Sí",(1/DATOS_[[% anualiz]:[% anualiz]]),1)*IF(DATOS!BF$4="Sí",1/DATOS_[[% normaliz]:[% normaliz]],1)*(DATOS_[Conc.Sal.28])))))))),
0)</f>
        <v>0</v>
      </c>
      <c r="AL28" s="196">
        <f t="array" ref="AL28">IFERROR(
(MEDIAN((IF(DATOS_[[Sexo]:[Sexo]]=$B28,IF(DATOS_[[AGRUP. VALOR. PTO.]:[AGRUP. VALOR. PTO.]]=$B27,IF(DATOS_[[Check Periodo Ref.]:[Check Periodo Ref.]]="Dentro",IF(DATOS_[[Check Equiparado]:[Check Equiparado]]="Sí",IF(DATOS!BG$5="Sí",(1/DATOS_[[% anualiz]:[% anualiz]]),1)*IF(DATOS!BG$4="Sí",1/DATOS_[[% normaliz]:[% normaliz]],1)*(DATOS_[Conc.Sal.29])))))))),
0)</f>
        <v>0</v>
      </c>
      <c r="AM28" s="196">
        <f t="array" ref="AM28">IFERROR(
(MEDIAN((IF(DATOS_[[Sexo]:[Sexo]]=$B28,IF(DATOS_[[AGRUP. VALOR. PTO.]:[AGRUP. VALOR. PTO.]]=$B27,IF(DATOS_[[Check Periodo Ref.]:[Check Periodo Ref.]]="Dentro",IF(DATOS_[[Check Equiparado]:[Check Equiparado]]="Sí",IF(DATOS!BH$5="Sí",(1/DATOS_[[% anualiz]:[% anualiz]]),1)*IF(DATOS!BH$4="Sí",1/DATOS_[[% normaliz]:[% normaliz]],1)*(DATOS_[Conc.Sal.30])))))))),
0)</f>
        <v>0</v>
      </c>
      <c r="AN28" s="195">
        <f t="array" ref="AN28">IFERROR(
MEDIAN(IF(DATOS_[Sexo]=$B28,IF(DATOS_[[AGRUP. VALOR. PTO.]:[AGRUP. VALOR. PTO.]]=$B27,IF(DATOS_[Check Equiparado]="Sí",IF(DATOS_[Check Periodo Ref.]="Dentro",DATOS_[Tot COMPL.SAL Eq],FALSE))))),
0)</f>
        <v>0</v>
      </c>
      <c r="AO28" s="172">
        <f t="array" ref="AO28">IFERROR(
MEDIAN(IF(DATOS_[Sexo]=$B28,IF(DATOS_[[AGRUP. VALOR. PTO.]:[AGRUP. VALOR. PTO.]]=$B27,IF(DATOS_[Check Equiparado]="Sí",IF(DATOS_[Check Periodo Ref.]="Dentro",DATOS_[TOTAL SALARIO Eq],FALSE))))),
0)</f>
        <v>0</v>
      </c>
      <c r="AP28" s="173">
        <f t="array" ref="AP28">IFERROR(
(MEDIAN((IF(DATOS_[[Sexo]:[Sexo]]=$B28,IF(DATOS_[[AGRUP. VALOR. PTO.]:[AGRUP. VALOR. PTO.]]=$B27,IF(DATOS_[[Check Periodo Ref.]:[Check Periodo Ref.]]="Dentro",IF(DATOS_[[Check Equiparado]:[Check Equiparado]]="Sí",IF(DATOS!BW$5="Sí",(1/DATOS_[[% anualiz]:[% anualiz]]),1)*IF(DATOS!BW$4="Sí",1/DATOS_[[% normaliz]:[% normaliz]],1)*(DATOS_[C.Extra.01])))))))),
0)</f>
        <v>0</v>
      </c>
      <c r="AQ28" s="173">
        <f t="array" ref="AQ28">IFERROR(
(MEDIAN((IF(DATOS_[[Sexo]:[Sexo]]=$B28,IF(DATOS_[[AGRUP. VALOR. PTO.]:[AGRUP. VALOR. PTO.]]=$B27,IF(DATOS_[[Check Periodo Ref.]:[Check Periodo Ref.]]="Dentro",IF(DATOS_[[Check Equiparado]:[Check Equiparado]]="Sí",IF(DATOS!CB$5="Sí",(1/DATOS_[[% anualiz]:[% anualiz]]),1)*IF(DATOS!CB$4="Sí",1/DATOS_[[% normaliz]:[% normaliz]],1)*(DATOS_[C.Extra.06])))))))),
0)</f>
        <v>0</v>
      </c>
      <c r="AR28" s="173">
        <f t="array" ref="AR28">IFERROR(
(MEDIAN((IF(DATOS_[[Sexo]:[Sexo]]=$B28,IF(DATOS_[[AGRUP. VALOR. PTO.]:[AGRUP. VALOR. PTO.]]=$B27,IF(DATOS_[[Check Periodo Ref.]:[Check Periodo Ref.]]="Dentro",IF(DATOS_[[Check Equiparado]:[Check Equiparado]]="Sí",IF(DATOS!CC$5="Sí",(1/DATOS_[[% anualiz]:[% anualiz]]),1)*IF(DATOS!CC$4="Sí",1/DATOS_[[% normaliz]:[% normaliz]],1)*(DATOS_[C.Extra.07])))))))),
0)</f>
        <v>0</v>
      </c>
      <c r="AS28" s="173">
        <f t="array" ref="AS28">IFERROR(
(MEDIAN((IF(DATOS_[[Sexo]:[Sexo]]=$B28,IF(DATOS_[[AGRUP. VALOR. PTO.]:[AGRUP. VALOR. PTO.]]=$B27,IF(DATOS_[[Check Periodo Ref.]:[Check Periodo Ref.]]="Dentro",IF(DATOS_[[Check Equiparado]:[Check Equiparado]]="Sí",IF(DATOS!CD$5="Sí",(1/DATOS_[[% anualiz]:[% anualiz]]),1)*IF(DATOS!CD$4="Sí",1/DATOS_[[% normaliz]:[% normaliz]],1)*(DATOS_[C.Extra.08])))))))),
0)</f>
        <v>0</v>
      </c>
      <c r="AT28" s="173">
        <f t="array" ref="AT28">IFERROR(
(MEDIAN((IF(DATOS_[[Sexo]:[Sexo]]=$B28,IF(DATOS_[[AGRUP. VALOR. PTO.]:[AGRUP. VALOR. PTO.]]=$B27,IF(DATOS_[[Check Periodo Ref.]:[Check Periodo Ref.]]="Dentro",IF(DATOS_[[Check Equiparado]:[Check Equiparado]]="Sí",IF(DATOS!CG$5="Sí",(1/DATOS_[[% anualiz]:[% anualiz]]),1)*IF(DATOS!CG$4="Sí",1/DATOS_[[% normaliz]:[% normaliz]],1)*(DATOS_[C.Extra.11])))))))),
0)</f>
        <v>0</v>
      </c>
      <c r="AU28" s="197">
        <f t="array" ref="AU28">IFERROR(
MEDIAN(IF(DATOS_[Sexo]=$B28,IF(DATOS_[[AGRUP. VALOR. PTO.]:[AGRUP. VALOR. PTO.]]=$B27,IF(DATOS_[Check Equiparado]="Sí",IF(DATOS_[Check Periodo Ref.]="Dentro",DATOS_[Tot Extrasalarial Eq],FALSE))))),
0)</f>
        <v>0</v>
      </c>
      <c r="AV28" s="175">
        <f t="array" ref="AV28">IFERROR(
MEDIAN(IF(DATOS_[Sexo]=$B28,IF(DATOS_[[AGRUP. VALOR. PTO.]:[AGRUP. VALOR. PTO.]]=$B27,IF(DATOS_[Check Equiparado]="Sí",IF(DATOS_[Check Periodo Ref.]="Dentro",DATOS_[TOTAL Retrib Eq],FALSE))))),
0)</f>
        <v>0</v>
      </c>
    </row>
    <row r="29" spans="1:48" x14ac:dyDescent="0.25">
      <c r="A29" s="133" t="str">
        <f t="shared" ref="A29" si="22">+A28</f>
        <v>[ocultar]</v>
      </c>
      <c r="B29" s="202" t="s">
        <v>521</v>
      </c>
      <c r="C29" s="203">
        <f t="array" ref="C29">SUM(IF($B29=DATOS_[Sexo],
IF($B27=DATOS_[AGRUP. VALOR. PTO.],
IF("Dentro"=DATOS_[Check Periodo Ref.],
1/(COUNTIFS(DATOS_[Sexo],$B29,DATOS_[AGRUP. VALOR. PTO.],$B27,DATOS_[Check Periodo Ref.],"Dentro",DATOS_[id/cod],DATOS_[id/cod]))))))</f>
        <v>0</v>
      </c>
      <c r="D29" s="204">
        <f>COUNTIFS(DATOS_[AGRUP. VALOR. PTO.],$B27,DATOS_[Sexo],$B29,DATOS_[Check Periodo Ref.],"Dentro")</f>
        <v>0</v>
      </c>
      <c r="E29" s="204">
        <f>COUNTIFS(DATOS_[AGRUP. VALOR. PTO.],$B27,DATOS_[Sexo],$B29,DATOS_[Check Periodo Ref.],"Dentro",DATOS_[Check Nº SC Norm],"Sí")</f>
        <v>0</v>
      </c>
      <c r="F29" s="204">
        <f>COUNTIFS(DATOS_[AGRUP. VALOR. PTO.],$B27,DATOS_[Sexo],$B29,DATOS_[Check Periodo Ref.],"Dentro",DATOS_[Check Nº SC Anualiz],"Sí")</f>
        <v>0</v>
      </c>
      <c r="G29" s="204">
        <f>COUNTIFS(DATOS_[AGRUP. VALOR. PTO.],$B27,DATOS_[Sexo],$B29,DATOS_[Check Periodo Ref.],"Dentro",DATOS_[Check Nº SC Norm y Anualiz],"Sí")</f>
        <v>0</v>
      </c>
      <c r="H29" s="204">
        <f>COUNTIFS(DATOS_[AGRUP. VALOR. PTO.],$B27,DATOS_[Sexo],$B29,DATOS_[Check Periodo Ref.],"Dentro",DATOS_[Check Equiparación],"Sí")</f>
        <v>0</v>
      </c>
      <c r="I29" s="195" cm="1">
        <f t="array" ref="I29">IFERROR(
MEDIAN(IF(DATOS_[Sexo]=$B29,IF(DATOS_[[AGRUP. VALOR. PTO.]:[AGRUP. VALOR. PTO.]]=$B27,IF(DATOS_[Check Equiparado]="Sí",IF(DATOS_[Check Periodo Ref.]="Dentro",DATOS_[SALARIO BASE Eq],FALSE))))),
0)</f>
        <v>0</v>
      </c>
      <c r="J29" s="196">
        <f t="array" ref="J29">IFERROR(
(MEDIAN((IF(DATOS_[[Sexo]:[Sexo]]=$B29,IF(DATOS_[[AGRUP. VALOR. PTO.]:[AGRUP. VALOR. PTO.]]=$B27,IF(DATOS_[[Check Periodo Ref.]:[Check Periodo Ref.]]="Dentro",IF(DATOS_[[Check Equiparado]:[Check Equiparado]]="Sí",IF(DATOS!AE$5="Sí",(1/DATOS_[[% anualiz]:[% anualiz]]),1)*IF(DATOS!AE$4="Sí",1/DATOS_[[% normaliz]:[% normaliz]],1)*(DATOS_[Conc.Sal.01])))))))),
0)</f>
        <v>0</v>
      </c>
      <c r="K29" s="196">
        <f t="array" ref="K29">IFERROR(
(MEDIAN((IF(DATOS_[[Sexo]:[Sexo]]=$B29,IF(DATOS_[[AGRUP. VALOR. PTO.]:[AGRUP. VALOR. PTO.]]=$B27,IF(DATOS_[[Check Periodo Ref.]:[Check Periodo Ref.]]="Dentro",IF(DATOS_[[Check Equiparado]:[Check Equiparado]]="Sí",IF(DATOS!AF$5="Sí",(1/DATOS_[[% anualiz]:[% anualiz]]),1)*IF(DATOS!AF$4="Sí",1/DATOS_[[% normaliz]:[% normaliz]],1)*(DATOS_[Conc.Sal.02])))))))),
0)</f>
        <v>0</v>
      </c>
      <c r="L29" s="196">
        <f t="array" ref="L29">IFERROR(
(MEDIAN((IF(DATOS_[[Sexo]:[Sexo]]=$B29,IF(DATOS_[[AGRUP. VALOR. PTO.]:[AGRUP. VALOR. PTO.]]=$B27,IF(DATOS_[[Check Periodo Ref.]:[Check Periodo Ref.]]="Dentro",IF(DATOS_[[Check Equiparado]:[Check Equiparado]]="Sí",IF(DATOS!AG$5="Sí",(1/DATOS_[[% anualiz]:[% anualiz]]),1)*IF(DATOS!AG$4="Sí",1/DATOS_[[% normaliz]:[% normaliz]],1)*(DATOS_[Conc.Sal.03])))))))),
0)</f>
        <v>0</v>
      </c>
      <c r="M29" s="196">
        <f t="array" ref="M29">IFERROR(
(MEDIAN((IF(DATOS_[[Sexo]:[Sexo]]=$B29,IF(DATOS_[[AGRUP. VALOR. PTO.]:[AGRUP. VALOR. PTO.]]=$B27,IF(DATOS_[[Check Periodo Ref.]:[Check Periodo Ref.]]="Dentro",IF(DATOS_[[Check Equiparado]:[Check Equiparado]]="Sí",IF(DATOS!AH$5="Sí",(1/DATOS_[[% anualiz]:[% anualiz]]),1)*IF(DATOS!AH$4="Sí",1/DATOS_[[% normaliz]:[% normaliz]],1)*(DATOS_[Conc.Sal.04])))))))),
0)</f>
        <v>0</v>
      </c>
      <c r="N29" s="196">
        <f t="array" ref="N29">IFERROR(
(MEDIAN((IF(DATOS_[[Sexo]:[Sexo]]=$B29,IF(DATOS_[[AGRUP. VALOR. PTO.]:[AGRUP. VALOR. PTO.]]=$B27,IF(DATOS_[[Check Periodo Ref.]:[Check Periodo Ref.]]="Dentro",IF(DATOS_[[Check Equiparado]:[Check Equiparado]]="Sí",IF(DATOS!AI$5="Sí",(1/DATOS_[[% anualiz]:[% anualiz]]),1)*IF(DATOS!AI$4="Sí",1/DATOS_[[% normaliz]:[% normaliz]],1)*(DATOS_[Conc.Sal.05])))))))),
0)</f>
        <v>0</v>
      </c>
      <c r="O29" s="196">
        <f t="array" ref="O29">IFERROR(
(MEDIAN((IF(DATOS_[[Sexo]:[Sexo]]=$B29,IF(DATOS_[[AGRUP. VALOR. PTO.]:[AGRUP. VALOR. PTO.]]=$B27,IF(DATOS_[[Check Periodo Ref.]:[Check Periodo Ref.]]="Dentro",IF(DATOS_[[Check Equiparado]:[Check Equiparado]]="Sí",IF(DATOS!AJ$5="Sí",(1/DATOS_[[% anualiz]:[% anualiz]]),1)*IF(DATOS!AJ$4="Sí",1/DATOS_[[% normaliz]:[% normaliz]],1)*(DATOS_[Conc.Sal.06])))))))),
0)</f>
        <v>0</v>
      </c>
      <c r="P29" s="196">
        <f t="array" ref="P29">IFERROR(
(MEDIAN((IF(DATOS_[[Sexo]:[Sexo]]=$B29,IF(DATOS_[[AGRUP. VALOR. PTO.]:[AGRUP. VALOR. PTO.]]=$B27,IF(DATOS_[[Check Periodo Ref.]:[Check Periodo Ref.]]="Dentro",IF(DATOS_[[Check Equiparado]:[Check Equiparado]]="Sí",IF(DATOS!AK$5="Sí",(1/DATOS_[[% anualiz]:[% anualiz]]),1)*IF(DATOS!AK$4="Sí",1/DATOS_[[% normaliz]:[% normaliz]],1)*(DATOS_[Conc.Sal.07])))))))),
0)</f>
        <v>0</v>
      </c>
      <c r="Q29" s="196">
        <f t="array" ref="Q29">IFERROR(
(MEDIAN((IF(DATOS_[[Sexo]:[Sexo]]=$B29,IF(DATOS_[[AGRUP. VALOR. PTO.]:[AGRUP. VALOR. PTO.]]=$B27,IF(DATOS_[[Check Periodo Ref.]:[Check Periodo Ref.]]="Dentro",IF(DATOS_[[Check Equiparado]:[Check Equiparado]]="Sí",IF(DATOS!AL$5="Sí",(1/DATOS_[[% anualiz]:[% anualiz]]),1)*IF(DATOS!AL$4="Sí",1/DATOS_[[% normaliz]:[% normaliz]],1)*(DATOS_[Conc.Sal.08])))))))),
0)</f>
        <v>0</v>
      </c>
      <c r="R29" s="196">
        <f t="array" ref="R29">IFERROR(
(MEDIAN((IF(DATOS_[[Sexo]:[Sexo]]=$B29,IF(DATOS_[[AGRUP. VALOR. PTO.]:[AGRUP. VALOR. PTO.]]=$B27,IF(DATOS_[[Check Periodo Ref.]:[Check Periodo Ref.]]="Dentro",IF(DATOS_[[Check Equiparado]:[Check Equiparado]]="Sí",IF(DATOS!AM$5="Sí",(1/DATOS_[[% anualiz]:[% anualiz]]),1)*IF(DATOS!AM$4="Sí",1/DATOS_[[% normaliz]:[% normaliz]],1)*(DATOS_[Conc.Sal.09])))))))),
0)</f>
        <v>0</v>
      </c>
      <c r="S29" s="196">
        <f t="array" ref="S29">IFERROR(
(MEDIAN((IF(DATOS_[[Sexo]:[Sexo]]=$B29,IF(DATOS_[[AGRUP. VALOR. PTO.]:[AGRUP. VALOR. PTO.]]=$B27,IF(DATOS_[[Check Periodo Ref.]:[Check Periodo Ref.]]="Dentro",IF(DATOS_[[Check Equiparado]:[Check Equiparado]]="Sí",IF(DATOS!AN$5="Sí",(1/DATOS_[[% anualiz]:[% anualiz]]),1)*IF(DATOS!AN$4="Sí",1/DATOS_[[% normaliz]:[% normaliz]],1)*(DATOS_[Conc.Sal.10])))))))),
0)</f>
        <v>0</v>
      </c>
      <c r="T29" s="196">
        <f t="array" ref="T29">IFERROR(
(MEDIAN((IF(DATOS_[[Sexo]:[Sexo]]=$B29,IF(DATOS_[[AGRUP. VALOR. PTO.]:[AGRUP. VALOR. PTO.]]=$B27,IF(DATOS_[[Check Periodo Ref.]:[Check Periodo Ref.]]="Dentro",IF(DATOS_[[Check Equiparado]:[Check Equiparado]]="Sí",IF(DATOS!AO$5="Sí",(1/DATOS_[[% anualiz]:[% anualiz]]),1)*IF(DATOS!AO$4="Sí",1/DATOS_[[% normaliz]:[% normaliz]],1)*(DATOS_[Conc.Sal.11])))))))),
0)</f>
        <v>0</v>
      </c>
      <c r="U29" s="196">
        <f t="array" ref="U29">IFERROR(
(MEDIAN((IF(DATOS_[[Sexo]:[Sexo]]=$B29,IF(DATOS_[[AGRUP. VALOR. PTO.]:[AGRUP. VALOR. PTO.]]=$B27,IF(DATOS_[[Check Periodo Ref.]:[Check Periodo Ref.]]="Dentro",IF(DATOS_[[Check Equiparado]:[Check Equiparado]]="Sí",IF(DATOS!AP$5="Sí",(1/DATOS_[[% anualiz]:[% anualiz]]),1)*IF(DATOS!AP$4="Sí",1/DATOS_[[% normaliz]:[% normaliz]],1)*(DATOS_[Conc.Sal.12])))))))),
0)</f>
        <v>0</v>
      </c>
      <c r="V29" s="196">
        <f t="array" ref="V29">IFERROR(
(MEDIAN((IF(DATOS_[[Sexo]:[Sexo]]=$B29,IF(DATOS_[[AGRUP. VALOR. PTO.]:[AGRUP. VALOR. PTO.]]=$B27,IF(DATOS_[[Check Periodo Ref.]:[Check Periodo Ref.]]="Dentro",IF(DATOS_[[Check Equiparado]:[Check Equiparado]]="Sí",IF(DATOS!AQ$5="Sí",(1/DATOS_[[% anualiz]:[% anualiz]]),1)*IF(DATOS!AQ$4="Sí",1/DATOS_[[% normaliz]:[% normaliz]],1)*(DATOS_[Conc.Sal.13])))))))),
0)</f>
        <v>0</v>
      </c>
      <c r="W29" s="196">
        <f t="array" ref="W29">IFERROR(
(MEDIAN((IF(DATOS_[[Sexo]:[Sexo]]=$B29,IF(DATOS_[[AGRUP. VALOR. PTO.]:[AGRUP. VALOR. PTO.]]=$B27,IF(DATOS_[[Check Periodo Ref.]:[Check Periodo Ref.]]="Dentro",IF(DATOS_[[Check Equiparado]:[Check Equiparado]]="Sí",IF(DATOS!AR$5="Sí",(1/DATOS_[[% anualiz]:[% anualiz]]),1)*IF(DATOS!AR$4="Sí",1/DATOS_[[% normaliz]:[% normaliz]],1)*(DATOS_[Conc.Sal.14])))))))),
0)</f>
        <v>0</v>
      </c>
      <c r="X29" s="196">
        <f t="array" ref="X29">IFERROR(
(MEDIAN((IF(DATOS_[[Sexo]:[Sexo]]=$B29,IF(DATOS_[[AGRUP. VALOR. PTO.]:[AGRUP. VALOR. PTO.]]=$B27,IF(DATOS_[[Check Periodo Ref.]:[Check Periodo Ref.]]="Dentro",IF(DATOS_[[Check Equiparado]:[Check Equiparado]]="Sí",IF(DATOS!AS$5="Sí",(1/DATOS_[[% anualiz]:[% anualiz]]),1)*IF(DATOS!AS$4="Sí",1/DATOS_[[% normaliz]:[% normaliz]],1)*(DATOS_[Conc.Sal.15])))))))),
0)</f>
        <v>0</v>
      </c>
      <c r="Y29" s="196">
        <f t="array" ref="Y29">IFERROR(
(MEDIAN((IF(DATOS_[[Sexo]:[Sexo]]=$B29,IF(DATOS_[[AGRUP. VALOR. PTO.]:[AGRUP. VALOR. PTO.]]=$B27,IF(DATOS_[[Check Periodo Ref.]:[Check Periodo Ref.]]="Dentro",IF(DATOS_[[Check Equiparado]:[Check Equiparado]]="Sí",IF(DATOS!AT$5="Sí",(1/DATOS_[[% anualiz]:[% anualiz]]),1)*IF(DATOS!AT$4="Sí",1/DATOS_[[% normaliz]:[% normaliz]],1)*(DATOS_[Conc.Sal.16])))))))),
0)</f>
        <v>0</v>
      </c>
      <c r="Z29" s="196">
        <f t="array" ref="Z29">IFERROR(
(MEDIAN((IF(DATOS_[[Sexo]:[Sexo]]=$B29,IF(DATOS_[[AGRUP. VALOR. PTO.]:[AGRUP. VALOR. PTO.]]=$B27,IF(DATOS_[[Check Periodo Ref.]:[Check Periodo Ref.]]="Dentro",IF(DATOS_[[Check Equiparado]:[Check Equiparado]]="Sí",IF(DATOS!AU$5="Sí",(1/DATOS_[[% anualiz]:[% anualiz]]),1)*IF(DATOS!AU$4="Sí",1/DATOS_[[% normaliz]:[% normaliz]],1)*(DATOS_[Conc.Sal.17])))))))),
0)</f>
        <v>0</v>
      </c>
      <c r="AA29" s="196">
        <f t="array" ref="AA29">IFERROR(
(MEDIAN((IF(DATOS_[[Sexo]:[Sexo]]=$B29,IF(DATOS_[[AGRUP. VALOR. PTO.]:[AGRUP. VALOR. PTO.]]=$B27,IF(DATOS_[[Check Periodo Ref.]:[Check Periodo Ref.]]="Dentro",IF(DATOS_[[Check Equiparado]:[Check Equiparado]]="Sí",IF(DATOS!AV$5="Sí",(1/DATOS_[[% anualiz]:[% anualiz]]),1)*IF(DATOS!AV$4="Sí",1/DATOS_[[% normaliz]:[% normaliz]],1)*(DATOS_[Conc.Sal.18])))))))),
0)</f>
        <v>0</v>
      </c>
      <c r="AB29" s="196">
        <f t="array" ref="AB29">IFERROR(
(MEDIAN((IF(DATOS_[[Sexo]:[Sexo]]=$B29,IF(DATOS_[[AGRUP. VALOR. PTO.]:[AGRUP. VALOR. PTO.]]=$B27,IF(DATOS_[[Check Periodo Ref.]:[Check Periodo Ref.]]="Dentro",IF(DATOS_[[Check Equiparado]:[Check Equiparado]]="Sí",IF(DATOS!AW$5="Sí",(1/DATOS_[[% anualiz]:[% anualiz]]),1)*IF(DATOS!AW$4="Sí",1/DATOS_[[% normaliz]:[% normaliz]],1)*(DATOS_[Conc.Sal.19])))))))),
0)</f>
        <v>0</v>
      </c>
      <c r="AC29" s="196">
        <f t="array" ref="AC29">IFERROR(
(MEDIAN((IF(DATOS_[[Sexo]:[Sexo]]=$B29,IF(DATOS_[[AGRUP. VALOR. PTO.]:[AGRUP. VALOR. PTO.]]=$B27,IF(DATOS_[[Check Periodo Ref.]:[Check Periodo Ref.]]="Dentro",IF(DATOS_[[Check Equiparado]:[Check Equiparado]]="Sí",IF(DATOS!AX$5="Sí",(1/DATOS_[[% anualiz]:[% anualiz]]),1)*IF(DATOS!AX$4="Sí",1/DATOS_[[% normaliz]:[% normaliz]],1)*(DATOS_[Conc.Sal.20])))))))),
0)</f>
        <v>0</v>
      </c>
      <c r="AD29" s="196">
        <f t="array" ref="AD29">IFERROR(
(MEDIAN((IF(DATOS_[[Sexo]:[Sexo]]=$B29,IF(DATOS_[[AGRUP. VALOR. PTO.]:[AGRUP. VALOR. PTO.]]=$B27,IF(DATOS_[[Check Periodo Ref.]:[Check Periodo Ref.]]="Dentro",IF(DATOS_[[Check Equiparado]:[Check Equiparado]]="Sí",IF(DATOS!AY$5="Sí",(1/DATOS_[[% anualiz]:[% anualiz]]),1)*IF(DATOS!AY$4="Sí",1/DATOS_[[% normaliz]:[% normaliz]],1)*(DATOS_[Conc.Sal.21])))))))),
0)</f>
        <v>0</v>
      </c>
      <c r="AE29" s="196">
        <f t="array" ref="AE29">IFERROR(
(MEDIAN((IF(DATOS_[[Sexo]:[Sexo]]=$B29,IF(DATOS_[[AGRUP. VALOR. PTO.]:[AGRUP. VALOR. PTO.]]=$B27,IF(DATOS_[[Check Periodo Ref.]:[Check Periodo Ref.]]="Dentro",IF(DATOS_[[Check Equiparado]:[Check Equiparado]]="Sí",IF(DATOS!AZ$5="Sí",(1/DATOS_[[% anualiz]:[% anualiz]]),1)*IF(DATOS!AZ$4="Sí",1/DATOS_[[% normaliz]:[% normaliz]],1)*(DATOS_[Conc.Sal.22])))))))),
0)</f>
        <v>0</v>
      </c>
      <c r="AF29" s="196">
        <f t="array" ref="AF29">IFERROR(
(MEDIAN((IF(DATOS_[[Sexo]:[Sexo]]=$B29,IF(DATOS_[[AGRUP. VALOR. PTO.]:[AGRUP. VALOR. PTO.]]=$B27,IF(DATOS_[[Check Periodo Ref.]:[Check Periodo Ref.]]="Dentro",IF(DATOS_[[Check Equiparado]:[Check Equiparado]]="Sí",IF(DATOS!BA$5="Sí",(1/DATOS_[[% anualiz]:[% anualiz]]),1)*IF(DATOS!BA$4="Sí",1/DATOS_[[% normaliz]:[% normaliz]],1)*(DATOS_[Conc.Sal.23])))))))),
0)</f>
        <v>0</v>
      </c>
      <c r="AG29" s="196">
        <f t="array" ref="AG29">IFERROR(
(MEDIAN((IF(DATOS_[[Sexo]:[Sexo]]=$B29,IF(DATOS_[[AGRUP. VALOR. PTO.]:[AGRUP. VALOR. PTO.]]=$B27,IF(DATOS_[[Check Periodo Ref.]:[Check Periodo Ref.]]="Dentro",IF(DATOS_[[Check Equiparado]:[Check Equiparado]]="Sí",IF(DATOS!BB$5="Sí",(1/DATOS_[[% anualiz]:[% anualiz]]),1)*IF(DATOS!BB$4="Sí",1/DATOS_[[% normaliz]:[% normaliz]],1)*(DATOS_[Conc.Sal.24])))))))),
0)</f>
        <v>0</v>
      </c>
      <c r="AH29" s="196">
        <f t="array" ref="AH29">IFERROR(
(MEDIAN((IF(DATOS_[[Sexo]:[Sexo]]=$B29,IF(DATOS_[[AGRUP. VALOR. PTO.]:[AGRUP. VALOR. PTO.]]=$B27,IF(DATOS_[[Check Periodo Ref.]:[Check Periodo Ref.]]="Dentro",IF(DATOS_[[Check Equiparado]:[Check Equiparado]]="Sí",IF(DATOS!BC$5="Sí",(1/DATOS_[[% anualiz]:[% anualiz]]),1)*IF(DATOS!BC$4="Sí",1/DATOS_[[% normaliz]:[% normaliz]],1)*(DATOS_[Conc.Sal.25])))))))),
0)</f>
        <v>0</v>
      </c>
      <c r="AI29" s="196">
        <f t="array" ref="AI29">IFERROR(
(MEDIAN((IF(DATOS_[[Sexo]:[Sexo]]=$B29,IF(DATOS_[[AGRUP. VALOR. PTO.]:[AGRUP. VALOR. PTO.]]=$B27,IF(DATOS_[[Check Periodo Ref.]:[Check Periodo Ref.]]="Dentro",IF(DATOS_[[Check Equiparado]:[Check Equiparado]]="Sí",IF(DATOS!BD$5="Sí",(1/DATOS_[[% anualiz]:[% anualiz]]),1)*IF(DATOS!BD$4="Sí",1/DATOS_[[% normaliz]:[% normaliz]],1)*(DATOS_[Conc.Sal.26])))))))),
0)</f>
        <v>0</v>
      </c>
      <c r="AJ29" s="196">
        <f t="array" ref="AJ29">IFERROR(
(MEDIAN((IF(DATOS_[[Sexo]:[Sexo]]=$B29,IF(DATOS_[[AGRUP. VALOR. PTO.]:[AGRUP. VALOR. PTO.]]=$B27,IF(DATOS_[[Check Periodo Ref.]:[Check Periodo Ref.]]="Dentro",IF(DATOS_[[Check Equiparado]:[Check Equiparado]]="Sí",IF(DATOS!BE$5="Sí",(1/DATOS_[[% anualiz]:[% anualiz]]),1)*IF(DATOS!BE$4="Sí",1/DATOS_[[% normaliz]:[% normaliz]],1)*(DATOS_[Conc.Sal.27])))))))),
0)</f>
        <v>0</v>
      </c>
      <c r="AK29" s="196">
        <f t="array" ref="AK29">IFERROR(
(MEDIAN((IF(DATOS_[[Sexo]:[Sexo]]=$B29,IF(DATOS_[[AGRUP. VALOR. PTO.]:[AGRUP. VALOR. PTO.]]=$B27,IF(DATOS_[[Check Periodo Ref.]:[Check Periodo Ref.]]="Dentro",IF(DATOS_[[Check Equiparado]:[Check Equiparado]]="Sí",IF(DATOS!BF$5="Sí",(1/DATOS_[[% anualiz]:[% anualiz]]),1)*IF(DATOS!BF$4="Sí",1/DATOS_[[% normaliz]:[% normaliz]],1)*(DATOS_[Conc.Sal.28])))))))),
0)</f>
        <v>0</v>
      </c>
      <c r="AL29" s="196">
        <f t="array" ref="AL29">IFERROR(
(MEDIAN((IF(DATOS_[[Sexo]:[Sexo]]=$B29,IF(DATOS_[[AGRUP. VALOR. PTO.]:[AGRUP. VALOR. PTO.]]=$B27,IF(DATOS_[[Check Periodo Ref.]:[Check Periodo Ref.]]="Dentro",IF(DATOS_[[Check Equiparado]:[Check Equiparado]]="Sí",IF(DATOS!BG$5="Sí",(1/DATOS_[[% anualiz]:[% anualiz]]),1)*IF(DATOS!BG$4="Sí",1/DATOS_[[% normaliz]:[% normaliz]],1)*(DATOS_[Conc.Sal.29])))))))),
0)</f>
        <v>0</v>
      </c>
      <c r="AM29" s="196">
        <f t="array" ref="AM29">IFERROR(
(MEDIAN((IF(DATOS_[[Sexo]:[Sexo]]=$B29,IF(DATOS_[[AGRUP. VALOR. PTO.]:[AGRUP. VALOR. PTO.]]=$B27,IF(DATOS_[[Check Periodo Ref.]:[Check Periodo Ref.]]="Dentro",IF(DATOS_[[Check Equiparado]:[Check Equiparado]]="Sí",IF(DATOS!BH$5="Sí",(1/DATOS_[[% anualiz]:[% anualiz]]),1)*IF(DATOS!BH$4="Sí",1/DATOS_[[% normaliz]:[% normaliz]],1)*(DATOS_[Conc.Sal.30])))))))),
0)</f>
        <v>0</v>
      </c>
      <c r="AN29" s="195">
        <f t="array" ref="AN29">IFERROR(
MEDIAN(IF(DATOS_[Sexo]=$B29,IF(DATOS_[[AGRUP. VALOR. PTO.]:[AGRUP. VALOR. PTO.]]=$B27,IF(DATOS_[Check Equiparado]="Sí",IF(DATOS_[Check Periodo Ref.]="Dentro",DATOS_[Tot COMPL.SAL Eq],FALSE))))),
0)</f>
        <v>0</v>
      </c>
      <c r="AO29" s="172">
        <f t="array" ref="AO29">IFERROR(
MEDIAN(IF(DATOS_[Sexo]=$B29,IF(DATOS_[[AGRUP. VALOR. PTO.]:[AGRUP. VALOR. PTO.]]=$B27,IF(DATOS_[Check Equiparado]="Sí",IF(DATOS_[Check Periodo Ref.]="Dentro",DATOS_[TOTAL SALARIO Eq],FALSE))))),
0)</f>
        <v>0</v>
      </c>
      <c r="AP29" s="173">
        <f t="array" ref="AP29">IFERROR(
(MEDIAN((IF(DATOS_[[Sexo]:[Sexo]]=$B29,IF(DATOS_[[AGRUP. VALOR. PTO.]:[AGRUP. VALOR. PTO.]]=$B27,IF(DATOS_[[Check Periodo Ref.]:[Check Periodo Ref.]]="Dentro",IF(DATOS_[[Check Equiparado]:[Check Equiparado]]="Sí",IF(DATOS!BW$5="Sí",(1/DATOS_[[% anualiz]:[% anualiz]]),1)*IF(DATOS!BW$4="Sí",1/DATOS_[[% normaliz]:[% normaliz]],1)*(DATOS_[C.Extra.01])))))))),
0)</f>
        <v>0</v>
      </c>
      <c r="AQ29" s="173">
        <f t="array" ref="AQ29">IFERROR(
(MEDIAN((IF(DATOS_[[Sexo]:[Sexo]]=$B29,IF(DATOS_[[AGRUP. VALOR. PTO.]:[AGRUP. VALOR. PTO.]]=$B27,IF(DATOS_[[Check Periodo Ref.]:[Check Periodo Ref.]]="Dentro",IF(DATOS_[[Check Equiparado]:[Check Equiparado]]="Sí",IF(DATOS!CB$5="Sí",(1/DATOS_[[% anualiz]:[% anualiz]]),1)*IF(DATOS!CB$4="Sí",1/DATOS_[[% normaliz]:[% normaliz]],1)*(DATOS_[C.Extra.06])))))))),
0)</f>
        <v>0</v>
      </c>
      <c r="AR29" s="173">
        <f t="array" ref="AR29">IFERROR(
(MEDIAN((IF(DATOS_[[Sexo]:[Sexo]]=$B29,IF(DATOS_[[AGRUP. VALOR. PTO.]:[AGRUP. VALOR. PTO.]]=$B27,IF(DATOS_[[Check Periodo Ref.]:[Check Periodo Ref.]]="Dentro",IF(DATOS_[[Check Equiparado]:[Check Equiparado]]="Sí",IF(DATOS!CC$5="Sí",(1/DATOS_[[% anualiz]:[% anualiz]]),1)*IF(DATOS!CC$4="Sí",1/DATOS_[[% normaliz]:[% normaliz]],1)*(DATOS_[C.Extra.07])))))))),
0)</f>
        <v>0</v>
      </c>
      <c r="AS29" s="173">
        <f t="array" ref="AS29">IFERROR(
(MEDIAN((IF(DATOS_[[Sexo]:[Sexo]]=$B29,IF(DATOS_[[AGRUP. VALOR. PTO.]:[AGRUP. VALOR. PTO.]]=$B27,IF(DATOS_[[Check Periodo Ref.]:[Check Periodo Ref.]]="Dentro",IF(DATOS_[[Check Equiparado]:[Check Equiparado]]="Sí",IF(DATOS!CD$5="Sí",(1/DATOS_[[% anualiz]:[% anualiz]]),1)*IF(DATOS!CD$4="Sí",1/DATOS_[[% normaliz]:[% normaliz]],1)*(DATOS_[C.Extra.08])))))))),
0)</f>
        <v>0</v>
      </c>
      <c r="AT29" s="173">
        <f t="array" ref="AT29">IFERROR(
(MEDIAN((IF(DATOS_[[Sexo]:[Sexo]]=$B29,IF(DATOS_[[AGRUP. VALOR. PTO.]:[AGRUP. VALOR. PTO.]]=$B27,IF(DATOS_[[Check Periodo Ref.]:[Check Periodo Ref.]]="Dentro",IF(DATOS_[[Check Equiparado]:[Check Equiparado]]="Sí",IF(DATOS!CG$5="Sí",(1/DATOS_[[% anualiz]:[% anualiz]]),1)*IF(DATOS!CG$4="Sí",1/DATOS_[[% normaliz]:[% normaliz]],1)*(DATOS_[C.Extra.11])))))))),
0)</f>
        <v>0</v>
      </c>
      <c r="AU29" s="197">
        <f t="array" ref="AU29">IFERROR(
MEDIAN(IF(DATOS_[Sexo]=$B29,IF(DATOS_[[AGRUP. VALOR. PTO.]:[AGRUP. VALOR. PTO.]]=$B27,IF(DATOS_[Check Equiparado]="Sí",IF(DATOS_[Check Periodo Ref.]="Dentro",DATOS_[Tot Extrasalarial Eq],FALSE))))),
0)</f>
        <v>0</v>
      </c>
      <c r="AV29" s="175">
        <f t="array" ref="AV29">IFERROR(
MEDIAN(IF(DATOS_[Sexo]=$B29,IF(DATOS_[[AGRUP. VALOR. PTO.]:[AGRUP. VALOR. PTO.]]=$B27,IF(DATOS_[Check Equiparado]="Sí",IF(DATOS_[Check Periodo Ref.]="Dentro",DATOS_[TOTAL Retrib Eq],FALSE))))),
0)</f>
        <v>0</v>
      </c>
    </row>
    <row r="30" spans="1:48" ht="15.6" thickBot="1" x14ac:dyDescent="0.3">
      <c r="A30" s="133" t="str">
        <f t="shared" ref="A30" si="23">+A31</f>
        <v>[ocultar]</v>
      </c>
      <c r="B30" s="199" t="s">
        <v>196</v>
      </c>
      <c r="C30" s="200"/>
      <c r="D30" s="201"/>
      <c r="E30" s="201"/>
      <c r="F30" s="201"/>
      <c r="G30" s="201"/>
      <c r="H30" s="201"/>
      <c r="I30" s="189" t="str">
        <f t="shared" ref="I30:AV30" si="24">IFERROR((I31-I32)/I31,"")</f>
        <v/>
      </c>
      <c r="J30" s="190" t="str">
        <f t="shared" si="24"/>
        <v/>
      </c>
      <c r="K30" s="191" t="str">
        <f t="shared" si="24"/>
        <v/>
      </c>
      <c r="L30" s="191" t="str">
        <f t="shared" si="24"/>
        <v/>
      </c>
      <c r="M30" s="191" t="str">
        <f t="shared" si="24"/>
        <v/>
      </c>
      <c r="N30" s="192" t="str">
        <f t="shared" si="24"/>
        <v/>
      </c>
      <c r="O30" s="193" t="str">
        <f t="shared" si="24"/>
        <v/>
      </c>
      <c r="P30" s="193" t="str">
        <f t="shared" si="24"/>
        <v/>
      </c>
      <c r="Q30" s="193" t="str">
        <f t="shared" si="24"/>
        <v/>
      </c>
      <c r="R30" s="193" t="str">
        <f t="shared" si="24"/>
        <v/>
      </c>
      <c r="S30" s="193" t="str">
        <f t="shared" si="24"/>
        <v/>
      </c>
      <c r="T30" s="193" t="str">
        <f t="shared" si="24"/>
        <v/>
      </c>
      <c r="U30" s="193" t="str">
        <f t="shared" si="24"/>
        <v/>
      </c>
      <c r="V30" s="193" t="str">
        <f t="shared" si="24"/>
        <v/>
      </c>
      <c r="W30" s="193" t="str">
        <f t="shared" si="24"/>
        <v/>
      </c>
      <c r="X30" s="193" t="str">
        <f t="shared" si="24"/>
        <v/>
      </c>
      <c r="Y30" s="193" t="str">
        <f t="shared" si="24"/>
        <v/>
      </c>
      <c r="Z30" s="193" t="str">
        <f t="shared" si="24"/>
        <v/>
      </c>
      <c r="AA30" s="193" t="str">
        <f t="shared" si="24"/>
        <v/>
      </c>
      <c r="AB30" s="193" t="str">
        <f t="shared" si="24"/>
        <v/>
      </c>
      <c r="AC30" s="193" t="str">
        <f t="shared" si="24"/>
        <v/>
      </c>
      <c r="AD30" s="193" t="str">
        <f t="shared" si="24"/>
        <v/>
      </c>
      <c r="AE30" s="193" t="str">
        <f t="shared" si="24"/>
        <v/>
      </c>
      <c r="AF30" s="193" t="str">
        <f t="shared" si="24"/>
        <v/>
      </c>
      <c r="AG30" s="193" t="str">
        <f t="shared" si="24"/>
        <v/>
      </c>
      <c r="AH30" s="193" t="str">
        <f t="shared" si="24"/>
        <v/>
      </c>
      <c r="AI30" s="193" t="str">
        <f t="shared" si="24"/>
        <v/>
      </c>
      <c r="AJ30" s="193" t="str">
        <f t="shared" si="24"/>
        <v/>
      </c>
      <c r="AK30" s="193" t="str">
        <f t="shared" si="24"/>
        <v/>
      </c>
      <c r="AL30" s="193" t="str">
        <f t="shared" si="24"/>
        <v/>
      </c>
      <c r="AM30" s="193" t="str">
        <f t="shared" si="24"/>
        <v/>
      </c>
      <c r="AN30" s="189" t="str">
        <f t="shared" si="24"/>
        <v/>
      </c>
      <c r="AO30" s="162" t="str">
        <f t="shared" si="24"/>
        <v/>
      </c>
      <c r="AP30" s="163" t="str">
        <f t="shared" si="24"/>
        <v/>
      </c>
      <c r="AQ30" s="163" t="str">
        <f t="shared" si="24"/>
        <v/>
      </c>
      <c r="AR30" s="163" t="str">
        <f t="shared" si="24"/>
        <v/>
      </c>
      <c r="AS30" s="163" t="str">
        <f t="shared" si="24"/>
        <v/>
      </c>
      <c r="AT30" s="163" t="str">
        <f t="shared" si="24"/>
        <v/>
      </c>
      <c r="AU30" s="194" t="str">
        <f t="shared" si="24"/>
        <v/>
      </c>
      <c r="AV30" s="165" t="str">
        <f t="shared" si="24"/>
        <v/>
      </c>
    </row>
    <row r="31" spans="1:48" x14ac:dyDescent="0.25">
      <c r="A31" s="133" t="str">
        <f t="shared" ref="A31" si="25">+IF(C31+C32=0,"[ocultar]","")</f>
        <v>[ocultar]</v>
      </c>
      <c r="B31" s="202" t="s">
        <v>394</v>
      </c>
      <c r="C31" s="203">
        <f t="array" ref="C31">SUM(IF($B31=DATOS_[Sexo],
IF($B30=DATOS_[AGRUP. VALOR. PTO.],
IF("Dentro"=DATOS_[Check Periodo Ref.],
1/(COUNTIFS(DATOS_[Sexo],$B31,DATOS_[AGRUP. VALOR. PTO.],$B30,DATOS_[Check Periodo Ref.],"Dentro",DATOS_[id/cod],DATOS_[id/cod]))))))</f>
        <v>0</v>
      </c>
      <c r="D31" s="204">
        <f>COUNTIFS(DATOS_[AGRUP. VALOR. PTO.],$B30,DATOS_[Sexo],$B31,DATOS_[Check Periodo Ref.],"Dentro")</f>
        <v>0</v>
      </c>
      <c r="E31" s="204">
        <f>COUNTIFS(DATOS_[AGRUP. VALOR. PTO.],$B30,DATOS_[Sexo],$B31,DATOS_[Check Periodo Ref.],"Dentro",DATOS_[Check Nº SC Norm],"Sí")</f>
        <v>0</v>
      </c>
      <c r="F31" s="204">
        <f>COUNTIFS(DATOS_[AGRUP. VALOR. PTO.],$B30,DATOS_[Sexo],$B31,DATOS_[Check Periodo Ref.],"Dentro",DATOS_[Check Nº SC Anualiz],"Sí")</f>
        <v>0</v>
      </c>
      <c r="G31" s="204">
        <f>COUNTIFS(DATOS_[AGRUP. VALOR. PTO.],$B30,DATOS_[Sexo],$B31,DATOS_[Check Periodo Ref.],"Dentro",DATOS_[Check Nº SC Norm y Anualiz],"Sí")</f>
        <v>0</v>
      </c>
      <c r="H31" s="204">
        <f>COUNTIFS(DATOS_[AGRUP. VALOR. PTO.],$B30,DATOS_[Sexo],$B31,DATOS_[Check Periodo Ref.],"Dentro",DATOS_[Check Equiparación],"Sí")</f>
        <v>0</v>
      </c>
      <c r="I31" s="195">
        <f t="array" ref="I31">IFERROR(
MEDIAN(IF(DATOS_[Sexo]=$B31,IF(DATOS_[[AGRUP. VALOR. PTO.]:[AGRUP. VALOR. PTO.]]=$B30,IF(DATOS_[Check Equiparado]="Sí",IF(DATOS_[Check Periodo Ref.]="Dentro",DATOS_[SALARIO BASE Eq],FALSE))))),
0)</f>
        <v>0</v>
      </c>
      <c r="J31" s="196">
        <f t="array" ref="J31">IFERROR(
(MEDIAN((IF(DATOS_[[Sexo]:[Sexo]]=$B31,IF(DATOS_[[AGRUP. VALOR. PTO.]:[AGRUP. VALOR. PTO.]]=$B30,IF(DATOS_[[Check Periodo Ref.]:[Check Periodo Ref.]]="Dentro",IF(DATOS_[[Check Equiparado]:[Check Equiparado]]="Sí",IF(DATOS!AE$5="Sí",(1/DATOS_[[% anualiz]:[% anualiz]]),1)*IF(DATOS!AE$4="Sí",1/DATOS_[[% normaliz]:[% normaliz]],1)*(DATOS_[Conc.Sal.01])))))))),
0)</f>
        <v>0</v>
      </c>
      <c r="K31" s="196">
        <f t="array" ref="K31">IFERROR(
(MEDIAN((IF(DATOS_[[Sexo]:[Sexo]]=$B31,IF(DATOS_[[AGRUP. VALOR. PTO.]:[AGRUP. VALOR. PTO.]]=$B30,IF(DATOS_[[Check Periodo Ref.]:[Check Periodo Ref.]]="Dentro",IF(DATOS_[[Check Equiparado]:[Check Equiparado]]="Sí",IF(DATOS!AF$5="Sí",(1/DATOS_[[% anualiz]:[% anualiz]]),1)*IF(DATOS!AF$4="Sí",1/DATOS_[[% normaliz]:[% normaliz]],1)*(DATOS_[Conc.Sal.02])))))))),
0)</f>
        <v>0</v>
      </c>
      <c r="L31" s="196">
        <f t="array" ref="L31">IFERROR(
(MEDIAN((IF(DATOS_[[Sexo]:[Sexo]]=$B31,IF(DATOS_[[AGRUP. VALOR. PTO.]:[AGRUP. VALOR. PTO.]]=$B30,IF(DATOS_[[Check Periodo Ref.]:[Check Periodo Ref.]]="Dentro",IF(DATOS_[[Check Equiparado]:[Check Equiparado]]="Sí",IF(DATOS!AG$5="Sí",(1/DATOS_[[% anualiz]:[% anualiz]]),1)*IF(DATOS!AG$4="Sí",1/DATOS_[[% normaliz]:[% normaliz]],1)*(DATOS_[Conc.Sal.03])))))))),
0)</f>
        <v>0</v>
      </c>
      <c r="M31" s="196">
        <f t="array" ref="M31">IFERROR(
(MEDIAN((IF(DATOS_[[Sexo]:[Sexo]]=$B31,IF(DATOS_[[AGRUP. VALOR. PTO.]:[AGRUP. VALOR. PTO.]]=$B30,IF(DATOS_[[Check Periodo Ref.]:[Check Periodo Ref.]]="Dentro",IF(DATOS_[[Check Equiparado]:[Check Equiparado]]="Sí",IF(DATOS!AH$5="Sí",(1/DATOS_[[% anualiz]:[% anualiz]]),1)*IF(DATOS!AH$4="Sí",1/DATOS_[[% normaliz]:[% normaliz]],1)*(DATOS_[Conc.Sal.04])))))))),
0)</f>
        <v>0</v>
      </c>
      <c r="N31" s="196">
        <f t="array" ref="N31">IFERROR(
(MEDIAN((IF(DATOS_[[Sexo]:[Sexo]]=$B31,IF(DATOS_[[AGRUP. VALOR. PTO.]:[AGRUP. VALOR. PTO.]]=$B30,IF(DATOS_[[Check Periodo Ref.]:[Check Periodo Ref.]]="Dentro",IF(DATOS_[[Check Equiparado]:[Check Equiparado]]="Sí",IF(DATOS!AI$5="Sí",(1/DATOS_[[% anualiz]:[% anualiz]]),1)*IF(DATOS!AI$4="Sí",1/DATOS_[[% normaliz]:[% normaliz]],1)*(DATOS_[Conc.Sal.05])))))))),
0)</f>
        <v>0</v>
      </c>
      <c r="O31" s="196">
        <f t="array" ref="O31">IFERROR(
(MEDIAN((IF(DATOS_[[Sexo]:[Sexo]]=$B31,IF(DATOS_[[AGRUP. VALOR. PTO.]:[AGRUP. VALOR. PTO.]]=$B30,IF(DATOS_[[Check Periodo Ref.]:[Check Periodo Ref.]]="Dentro",IF(DATOS_[[Check Equiparado]:[Check Equiparado]]="Sí",IF(DATOS!AJ$5="Sí",(1/DATOS_[[% anualiz]:[% anualiz]]),1)*IF(DATOS!AJ$4="Sí",1/DATOS_[[% normaliz]:[% normaliz]],1)*(DATOS_[Conc.Sal.06])))))))),
0)</f>
        <v>0</v>
      </c>
      <c r="P31" s="196">
        <f t="array" ref="P31">IFERROR(
(MEDIAN((IF(DATOS_[[Sexo]:[Sexo]]=$B31,IF(DATOS_[[AGRUP. VALOR. PTO.]:[AGRUP. VALOR. PTO.]]=$B30,IF(DATOS_[[Check Periodo Ref.]:[Check Periodo Ref.]]="Dentro",IF(DATOS_[[Check Equiparado]:[Check Equiparado]]="Sí",IF(DATOS!AK$5="Sí",(1/DATOS_[[% anualiz]:[% anualiz]]),1)*IF(DATOS!AK$4="Sí",1/DATOS_[[% normaliz]:[% normaliz]],1)*(DATOS_[Conc.Sal.07])))))))),
0)</f>
        <v>0</v>
      </c>
      <c r="Q31" s="196">
        <f t="array" ref="Q31">IFERROR(
(MEDIAN((IF(DATOS_[[Sexo]:[Sexo]]=$B31,IF(DATOS_[[AGRUP. VALOR. PTO.]:[AGRUP. VALOR. PTO.]]=$B30,IF(DATOS_[[Check Periodo Ref.]:[Check Periodo Ref.]]="Dentro",IF(DATOS_[[Check Equiparado]:[Check Equiparado]]="Sí",IF(DATOS!AL$5="Sí",(1/DATOS_[[% anualiz]:[% anualiz]]),1)*IF(DATOS!AL$4="Sí",1/DATOS_[[% normaliz]:[% normaliz]],1)*(DATOS_[Conc.Sal.08])))))))),
0)</f>
        <v>0</v>
      </c>
      <c r="R31" s="196">
        <f t="array" ref="R31">IFERROR(
(MEDIAN((IF(DATOS_[[Sexo]:[Sexo]]=$B31,IF(DATOS_[[AGRUP. VALOR. PTO.]:[AGRUP. VALOR. PTO.]]=$B30,IF(DATOS_[[Check Periodo Ref.]:[Check Periodo Ref.]]="Dentro",IF(DATOS_[[Check Equiparado]:[Check Equiparado]]="Sí",IF(DATOS!AM$5="Sí",(1/DATOS_[[% anualiz]:[% anualiz]]),1)*IF(DATOS!AM$4="Sí",1/DATOS_[[% normaliz]:[% normaliz]],1)*(DATOS_[Conc.Sal.09])))))))),
0)</f>
        <v>0</v>
      </c>
      <c r="S31" s="196">
        <f t="array" ref="S31">IFERROR(
(MEDIAN((IF(DATOS_[[Sexo]:[Sexo]]=$B31,IF(DATOS_[[AGRUP. VALOR. PTO.]:[AGRUP. VALOR. PTO.]]=$B30,IF(DATOS_[[Check Periodo Ref.]:[Check Periodo Ref.]]="Dentro",IF(DATOS_[[Check Equiparado]:[Check Equiparado]]="Sí",IF(DATOS!AN$5="Sí",(1/DATOS_[[% anualiz]:[% anualiz]]),1)*IF(DATOS!AN$4="Sí",1/DATOS_[[% normaliz]:[% normaliz]],1)*(DATOS_[Conc.Sal.10])))))))),
0)</f>
        <v>0</v>
      </c>
      <c r="T31" s="196">
        <f t="array" ref="T31">IFERROR(
(MEDIAN((IF(DATOS_[[Sexo]:[Sexo]]=$B31,IF(DATOS_[[AGRUP. VALOR. PTO.]:[AGRUP. VALOR. PTO.]]=$B30,IF(DATOS_[[Check Periodo Ref.]:[Check Periodo Ref.]]="Dentro",IF(DATOS_[[Check Equiparado]:[Check Equiparado]]="Sí",IF(DATOS!AO$5="Sí",(1/DATOS_[[% anualiz]:[% anualiz]]),1)*IF(DATOS!AO$4="Sí",1/DATOS_[[% normaliz]:[% normaliz]],1)*(DATOS_[Conc.Sal.11])))))))),
0)</f>
        <v>0</v>
      </c>
      <c r="U31" s="196">
        <f t="array" ref="U31">IFERROR(
(MEDIAN((IF(DATOS_[[Sexo]:[Sexo]]=$B31,IF(DATOS_[[AGRUP. VALOR. PTO.]:[AGRUP. VALOR. PTO.]]=$B30,IF(DATOS_[[Check Periodo Ref.]:[Check Periodo Ref.]]="Dentro",IF(DATOS_[[Check Equiparado]:[Check Equiparado]]="Sí",IF(DATOS!AP$5="Sí",(1/DATOS_[[% anualiz]:[% anualiz]]),1)*IF(DATOS!AP$4="Sí",1/DATOS_[[% normaliz]:[% normaliz]],1)*(DATOS_[Conc.Sal.12])))))))),
0)</f>
        <v>0</v>
      </c>
      <c r="V31" s="196">
        <f t="array" ref="V31">IFERROR(
(MEDIAN((IF(DATOS_[[Sexo]:[Sexo]]=$B31,IF(DATOS_[[AGRUP. VALOR. PTO.]:[AGRUP. VALOR. PTO.]]=$B30,IF(DATOS_[[Check Periodo Ref.]:[Check Periodo Ref.]]="Dentro",IF(DATOS_[[Check Equiparado]:[Check Equiparado]]="Sí",IF(DATOS!AQ$5="Sí",(1/DATOS_[[% anualiz]:[% anualiz]]),1)*IF(DATOS!AQ$4="Sí",1/DATOS_[[% normaliz]:[% normaliz]],1)*(DATOS_[Conc.Sal.13])))))))),
0)</f>
        <v>0</v>
      </c>
      <c r="W31" s="196">
        <f t="array" ref="W31">IFERROR(
(MEDIAN((IF(DATOS_[[Sexo]:[Sexo]]=$B31,IF(DATOS_[[AGRUP. VALOR. PTO.]:[AGRUP. VALOR. PTO.]]=$B30,IF(DATOS_[[Check Periodo Ref.]:[Check Periodo Ref.]]="Dentro",IF(DATOS_[[Check Equiparado]:[Check Equiparado]]="Sí",IF(DATOS!AR$5="Sí",(1/DATOS_[[% anualiz]:[% anualiz]]),1)*IF(DATOS!AR$4="Sí",1/DATOS_[[% normaliz]:[% normaliz]],1)*(DATOS_[Conc.Sal.14])))))))),
0)</f>
        <v>0</v>
      </c>
      <c r="X31" s="196">
        <f t="array" ref="X31">IFERROR(
(MEDIAN((IF(DATOS_[[Sexo]:[Sexo]]=$B31,IF(DATOS_[[AGRUP. VALOR. PTO.]:[AGRUP. VALOR. PTO.]]=$B30,IF(DATOS_[[Check Periodo Ref.]:[Check Periodo Ref.]]="Dentro",IF(DATOS_[[Check Equiparado]:[Check Equiparado]]="Sí",IF(DATOS!AS$5="Sí",(1/DATOS_[[% anualiz]:[% anualiz]]),1)*IF(DATOS!AS$4="Sí",1/DATOS_[[% normaliz]:[% normaliz]],1)*(DATOS_[Conc.Sal.15])))))))),
0)</f>
        <v>0</v>
      </c>
      <c r="Y31" s="196">
        <f t="array" ref="Y31">IFERROR(
(MEDIAN((IF(DATOS_[[Sexo]:[Sexo]]=$B31,IF(DATOS_[[AGRUP. VALOR. PTO.]:[AGRUP. VALOR. PTO.]]=$B30,IF(DATOS_[[Check Periodo Ref.]:[Check Periodo Ref.]]="Dentro",IF(DATOS_[[Check Equiparado]:[Check Equiparado]]="Sí",IF(DATOS!AT$5="Sí",(1/DATOS_[[% anualiz]:[% anualiz]]),1)*IF(DATOS!AT$4="Sí",1/DATOS_[[% normaliz]:[% normaliz]],1)*(DATOS_[Conc.Sal.16])))))))),
0)</f>
        <v>0</v>
      </c>
      <c r="Z31" s="196">
        <f t="array" ref="Z31">IFERROR(
(MEDIAN((IF(DATOS_[[Sexo]:[Sexo]]=$B31,IF(DATOS_[[AGRUP. VALOR. PTO.]:[AGRUP. VALOR. PTO.]]=$B30,IF(DATOS_[[Check Periodo Ref.]:[Check Periodo Ref.]]="Dentro",IF(DATOS_[[Check Equiparado]:[Check Equiparado]]="Sí",IF(DATOS!AU$5="Sí",(1/DATOS_[[% anualiz]:[% anualiz]]),1)*IF(DATOS!AU$4="Sí",1/DATOS_[[% normaliz]:[% normaliz]],1)*(DATOS_[Conc.Sal.17])))))))),
0)</f>
        <v>0</v>
      </c>
      <c r="AA31" s="196">
        <f t="array" ref="AA31">IFERROR(
(MEDIAN((IF(DATOS_[[Sexo]:[Sexo]]=$B31,IF(DATOS_[[AGRUP. VALOR. PTO.]:[AGRUP. VALOR. PTO.]]=$B30,IF(DATOS_[[Check Periodo Ref.]:[Check Periodo Ref.]]="Dentro",IF(DATOS_[[Check Equiparado]:[Check Equiparado]]="Sí",IF(DATOS!AV$5="Sí",(1/DATOS_[[% anualiz]:[% anualiz]]),1)*IF(DATOS!AV$4="Sí",1/DATOS_[[% normaliz]:[% normaliz]],1)*(DATOS_[Conc.Sal.18])))))))),
0)</f>
        <v>0</v>
      </c>
      <c r="AB31" s="196">
        <f t="array" ref="AB31">IFERROR(
(MEDIAN((IF(DATOS_[[Sexo]:[Sexo]]=$B31,IF(DATOS_[[AGRUP. VALOR. PTO.]:[AGRUP. VALOR. PTO.]]=$B30,IF(DATOS_[[Check Periodo Ref.]:[Check Periodo Ref.]]="Dentro",IF(DATOS_[[Check Equiparado]:[Check Equiparado]]="Sí",IF(DATOS!AW$5="Sí",(1/DATOS_[[% anualiz]:[% anualiz]]),1)*IF(DATOS!AW$4="Sí",1/DATOS_[[% normaliz]:[% normaliz]],1)*(DATOS_[Conc.Sal.19])))))))),
0)</f>
        <v>0</v>
      </c>
      <c r="AC31" s="196">
        <f t="array" ref="AC31">IFERROR(
(MEDIAN((IF(DATOS_[[Sexo]:[Sexo]]=$B31,IF(DATOS_[[AGRUP. VALOR. PTO.]:[AGRUP. VALOR. PTO.]]=$B30,IF(DATOS_[[Check Periodo Ref.]:[Check Periodo Ref.]]="Dentro",IF(DATOS_[[Check Equiparado]:[Check Equiparado]]="Sí",IF(DATOS!AX$5="Sí",(1/DATOS_[[% anualiz]:[% anualiz]]),1)*IF(DATOS!AX$4="Sí",1/DATOS_[[% normaliz]:[% normaliz]],1)*(DATOS_[Conc.Sal.20])))))))),
0)</f>
        <v>0</v>
      </c>
      <c r="AD31" s="196">
        <f t="array" ref="AD31">IFERROR(
(MEDIAN((IF(DATOS_[[Sexo]:[Sexo]]=$B31,IF(DATOS_[[AGRUP. VALOR. PTO.]:[AGRUP. VALOR. PTO.]]=$B30,IF(DATOS_[[Check Periodo Ref.]:[Check Periodo Ref.]]="Dentro",IF(DATOS_[[Check Equiparado]:[Check Equiparado]]="Sí",IF(DATOS!AY$5="Sí",(1/DATOS_[[% anualiz]:[% anualiz]]),1)*IF(DATOS!AY$4="Sí",1/DATOS_[[% normaliz]:[% normaliz]],1)*(DATOS_[Conc.Sal.21])))))))),
0)</f>
        <v>0</v>
      </c>
      <c r="AE31" s="196">
        <f t="array" ref="AE31">IFERROR(
(MEDIAN((IF(DATOS_[[Sexo]:[Sexo]]=$B31,IF(DATOS_[[AGRUP. VALOR. PTO.]:[AGRUP. VALOR. PTO.]]=$B30,IF(DATOS_[[Check Periodo Ref.]:[Check Periodo Ref.]]="Dentro",IF(DATOS_[[Check Equiparado]:[Check Equiparado]]="Sí",IF(DATOS!AZ$5="Sí",(1/DATOS_[[% anualiz]:[% anualiz]]),1)*IF(DATOS!AZ$4="Sí",1/DATOS_[[% normaliz]:[% normaliz]],1)*(DATOS_[Conc.Sal.22])))))))),
0)</f>
        <v>0</v>
      </c>
      <c r="AF31" s="196">
        <f t="array" ref="AF31">IFERROR(
(MEDIAN((IF(DATOS_[[Sexo]:[Sexo]]=$B31,IF(DATOS_[[AGRUP. VALOR. PTO.]:[AGRUP. VALOR. PTO.]]=$B30,IF(DATOS_[[Check Periodo Ref.]:[Check Periodo Ref.]]="Dentro",IF(DATOS_[[Check Equiparado]:[Check Equiparado]]="Sí",IF(DATOS!BA$5="Sí",(1/DATOS_[[% anualiz]:[% anualiz]]),1)*IF(DATOS!BA$4="Sí",1/DATOS_[[% normaliz]:[% normaliz]],1)*(DATOS_[Conc.Sal.23])))))))),
0)</f>
        <v>0</v>
      </c>
      <c r="AG31" s="196">
        <f t="array" ref="AG31">IFERROR(
(MEDIAN((IF(DATOS_[[Sexo]:[Sexo]]=$B31,IF(DATOS_[[AGRUP. VALOR. PTO.]:[AGRUP. VALOR. PTO.]]=$B30,IF(DATOS_[[Check Periodo Ref.]:[Check Periodo Ref.]]="Dentro",IF(DATOS_[[Check Equiparado]:[Check Equiparado]]="Sí",IF(DATOS!BB$5="Sí",(1/DATOS_[[% anualiz]:[% anualiz]]),1)*IF(DATOS!BB$4="Sí",1/DATOS_[[% normaliz]:[% normaliz]],1)*(DATOS_[Conc.Sal.24])))))))),
0)</f>
        <v>0</v>
      </c>
      <c r="AH31" s="196">
        <f t="array" ref="AH31">IFERROR(
(MEDIAN((IF(DATOS_[[Sexo]:[Sexo]]=$B31,IF(DATOS_[[AGRUP. VALOR. PTO.]:[AGRUP. VALOR. PTO.]]=$B30,IF(DATOS_[[Check Periodo Ref.]:[Check Periodo Ref.]]="Dentro",IF(DATOS_[[Check Equiparado]:[Check Equiparado]]="Sí",IF(DATOS!BC$5="Sí",(1/DATOS_[[% anualiz]:[% anualiz]]),1)*IF(DATOS!BC$4="Sí",1/DATOS_[[% normaliz]:[% normaliz]],1)*(DATOS_[Conc.Sal.25])))))))),
0)</f>
        <v>0</v>
      </c>
      <c r="AI31" s="196">
        <f t="array" ref="AI31">IFERROR(
(MEDIAN((IF(DATOS_[[Sexo]:[Sexo]]=$B31,IF(DATOS_[[AGRUP. VALOR. PTO.]:[AGRUP. VALOR. PTO.]]=$B30,IF(DATOS_[[Check Periodo Ref.]:[Check Periodo Ref.]]="Dentro",IF(DATOS_[[Check Equiparado]:[Check Equiparado]]="Sí",IF(DATOS!BD$5="Sí",(1/DATOS_[[% anualiz]:[% anualiz]]),1)*IF(DATOS!BD$4="Sí",1/DATOS_[[% normaliz]:[% normaliz]],1)*(DATOS_[Conc.Sal.26])))))))),
0)</f>
        <v>0</v>
      </c>
      <c r="AJ31" s="196">
        <f t="array" ref="AJ31">IFERROR(
(MEDIAN((IF(DATOS_[[Sexo]:[Sexo]]=$B31,IF(DATOS_[[AGRUP. VALOR. PTO.]:[AGRUP. VALOR. PTO.]]=$B30,IF(DATOS_[[Check Periodo Ref.]:[Check Periodo Ref.]]="Dentro",IF(DATOS_[[Check Equiparado]:[Check Equiparado]]="Sí",IF(DATOS!BE$5="Sí",(1/DATOS_[[% anualiz]:[% anualiz]]),1)*IF(DATOS!BE$4="Sí",1/DATOS_[[% normaliz]:[% normaliz]],1)*(DATOS_[Conc.Sal.27])))))))),
0)</f>
        <v>0</v>
      </c>
      <c r="AK31" s="196">
        <f t="array" ref="AK31">IFERROR(
(MEDIAN((IF(DATOS_[[Sexo]:[Sexo]]=$B31,IF(DATOS_[[AGRUP. VALOR. PTO.]:[AGRUP. VALOR. PTO.]]=$B30,IF(DATOS_[[Check Periodo Ref.]:[Check Periodo Ref.]]="Dentro",IF(DATOS_[[Check Equiparado]:[Check Equiparado]]="Sí",IF(DATOS!BF$5="Sí",(1/DATOS_[[% anualiz]:[% anualiz]]),1)*IF(DATOS!BF$4="Sí",1/DATOS_[[% normaliz]:[% normaliz]],1)*(DATOS_[Conc.Sal.28])))))))),
0)</f>
        <v>0</v>
      </c>
      <c r="AL31" s="196">
        <f t="array" ref="AL31">IFERROR(
(MEDIAN((IF(DATOS_[[Sexo]:[Sexo]]=$B31,IF(DATOS_[[AGRUP. VALOR. PTO.]:[AGRUP. VALOR. PTO.]]=$B30,IF(DATOS_[[Check Periodo Ref.]:[Check Periodo Ref.]]="Dentro",IF(DATOS_[[Check Equiparado]:[Check Equiparado]]="Sí",IF(DATOS!BG$5="Sí",(1/DATOS_[[% anualiz]:[% anualiz]]),1)*IF(DATOS!BG$4="Sí",1/DATOS_[[% normaliz]:[% normaliz]],1)*(DATOS_[Conc.Sal.29])))))))),
0)</f>
        <v>0</v>
      </c>
      <c r="AM31" s="196">
        <f t="array" ref="AM31">IFERROR(
(MEDIAN((IF(DATOS_[[Sexo]:[Sexo]]=$B31,IF(DATOS_[[AGRUP. VALOR. PTO.]:[AGRUP. VALOR. PTO.]]=$B30,IF(DATOS_[[Check Periodo Ref.]:[Check Periodo Ref.]]="Dentro",IF(DATOS_[[Check Equiparado]:[Check Equiparado]]="Sí",IF(DATOS!BH$5="Sí",(1/DATOS_[[% anualiz]:[% anualiz]]),1)*IF(DATOS!BH$4="Sí",1/DATOS_[[% normaliz]:[% normaliz]],1)*(DATOS_[Conc.Sal.30])))))))),
0)</f>
        <v>0</v>
      </c>
      <c r="AN31" s="195">
        <f t="array" ref="AN31">IFERROR(
MEDIAN(IF(DATOS_[Sexo]=$B31,IF(DATOS_[[AGRUP. VALOR. PTO.]:[AGRUP. VALOR. PTO.]]=$B30,IF(DATOS_[Check Equiparado]="Sí",IF(DATOS_[Check Periodo Ref.]="Dentro",DATOS_[Tot COMPL.SAL Eq],FALSE))))),
0)</f>
        <v>0</v>
      </c>
      <c r="AO31" s="172">
        <f t="array" ref="AO31">IFERROR(
MEDIAN(IF(DATOS_[Sexo]=$B31,IF(DATOS_[[AGRUP. VALOR. PTO.]:[AGRUP. VALOR. PTO.]]=$B30,IF(DATOS_[Check Equiparado]="Sí",IF(DATOS_[Check Periodo Ref.]="Dentro",DATOS_[TOTAL SALARIO Eq],FALSE))))),
0)</f>
        <v>0</v>
      </c>
      <c r="AP31" s="173">
        <f t="array" ref="AP31">IFERROR(
(MEDIAN((IF(DATOS_[[Sexo]:[Sexo]]=$B31,IF(DATOS_[[AGRUP. VALOR. PTO.]:[AGRUP. VALOR. PTO.]]=$B30,IF(DATOS_[[Check Periodo Ref.]:[Check Periodo Ref.]]="Dentro",IF(DATOS_[[Check Equiparado]:[Check Equiparado]]="Sí",IF(DATOS!BW$5="Sí",(1/DATOS_[[% anualiz]:[% anualiz]]),1)*IF(DATOS!BW$4="Sí",1/DATOS_[[% normaliz]:[% normaliz]],1)*(DATOS_[C.Extra.01])))))))),
0)</f>
        <v>0</v>
      </c>
      <c r="AQ31" s="173">
        <f t="array" ref="AQ31">IFERROR(
(MEDIAN((IF(DATOS_[[Sexo]:[Sexo]]=$B31,IF(DATOS_[[AGRUP. VALOR. PTO.]:[AGRUP. VALOR. PTO.]]=$B30,IF(DATOS_[[Check Periodo Ref.]:[Check Periodo Ref.]]="Dentro",IF(DATOS_[[Check Equiparado]:[Check Equiparado]]="Sí",IF(DATOS!CB$5="Sí",(1/DATOS_[[% anualiz]:[% anualiz]]),1)*IF(DATOS!CB$4="Sí",1/DATOS_[[% normaliz]:[% normaliz]],1)*(DATOS_[C.Extra.06])))))))),
0)</f>
        <v>0</v>
      </c>
      <c r="AR31" s="173">
        <f t="array" ref="AR31">IFERROR(
(MEDIAN((IF(DATOS_[[Sexo]:[Sexo]]=$B31,IF(DATOS_[[AGRUP. VALOR. PTO.]:[AGRUP. VALOR. PTO.]]=$B30,IF(DATOS_[[Check Periodo Ref.]:[Check Periodo Ref.]]="Dentro",IF(DATOS_[[Check Equiparado]:[Check Equiparado]]="Sí",IF(DATOS!CC$5="Sí",(1/DATOS_[[% anualiz]:[% anualiz]]),1)*IF(DATOS!CC$4="Sí",1/DATOS_[[% normaliz]:[% normaliz]],1)*(DATOS_[C.Extra.07])))))))),
0)</f>
        <v>0</v>
      </c>
      <c r="AS31" s="173">
        <f t="array" ref="AS31">IFERROR(
(MEDIAN((IF(DATOS_[[Sexo]:[Sexo]]=$B31,IF(DATOS_[[AGRUP. VALOR. PTO.]:[AGRUP. VALOR. PTO.]]=$B30,IF(DATOS_[[Check Periodo Ref.]:[Check Periodo Ref.]]="Dentro",IF(DATOS_[[Check Equiparado]:[Check Equiparado]]="Sí",IF(DATOS!CD$5="Sí",(1/DATOS_[[% anualiz]:[% anualiz]]),1)*IF(DATOS!CD$4="Sí",1/DATOS_[[% normaliz]:[% normaliz]],1)*(DATOS_[C.Extra.08])))))))),
0)</f>
        <v>0</v>
      </c>
      <c r="AT31" s="173">
        <f t="array" ref="AT31">IFERROR(
(MEDIAN((IF(DATOS_[[Sexo]:[Sexo]]=$B31,IF(DATOS_[[AGRUP. VALOR. PTO.]:[AGRUP. VALOR. PTO.]]=$B30,IF(DATOS_[[Check Periodo Ref.]:[Check Periodo Ref.]]="Dentro",IF(DATOS_[[Check Equiparado]:[Check Equiparado]]="Sí",IF(DATOS!CG$5="Sí",(1/DATOS_[[% anualiz]:[% anualiz]]),1)*IF(DATOS!CG$4="Sí",1/DATOS_[[% normaliz]:[% normaliz]],1)*(DATOS_[C.Extra.11])))))))),
0)</f>
        <v>0</v>
      </c>
      <c r="AU31" s="197">
        <f t="array" ref="AU31">IFERROR(
MEDIAN(IF(DATOS_[Sexo]=$B31,IF(DATOS_[[AGRUP. VALOR. PTO.]:[AGRUP. VALOR. PTO.]]=$B30,IF(DATOS_[Check Equiparado]="Sí",IF(DATOS_[Check Periodo Ref.]="Dentro",DATOS_[Tot Extrasalarial Eq],FALSE))))),
0)</f>
        <v>0</v>
      </c>
      <c r="AV31" s="175">
        <f t="array" ref="AV31">IFERROR(
MEDIAN(IF(DATOS_[Sexo]=$B31,IF(DATOS_[[AGRUP. VALOR. PTO.]:[AGRUP. VALOR. PTO.]]=$B30,IF(DATOS_[Check Equiparado]="Sí",IF(DATOS_[Check Periodo Ref.]="Dentro",DATOS_[TOTAL Retrib Eq],FALSE))))),
0)</f>
        <v>0</v>
      </c>
    </row>
    <row r="32" spans="1:48" x14ac:dyDescent="0.25">
      <c r="A32" s="133" t="str">
        <f t="shared" ref="A32" si="26">+A31</f>
        <v>[ocultar]</v>
      </c>
      <c r="B32" s="202" t="s">
        <v>521</v>
      </c>
      <c r="C32" s="203">
        <f t="array" ref="C32">SUM(IF($B32=DATOS_[Sexo],
IF($B30=DATOS_[AGRUP. VALOR. PTO.],
IF("Dentro"=DATOS_[Check Periodo Ref.],
1/(COUNTIFS(DATOS_[Sexo],$B32,DATOS_[AGRUP. VALOR. PTO.],$B30,DATOS_[Check Periodo Ref.],"Dentro",DATOS_[id/cod],DATOS_[id/cod]))))))</f>
        <v>0</v>
      </c>
      <c r="D32" s="204">
        <f>COUNTIFS(DATOS_[AGRUP. VALOR. PTO.],$B30,DATOS_[Sexo],$B32,DATOS_[Check Periodo Ref.],"Dentro")</f>
        <v>0</v>
      </c>
      <c r="E32" s="204">
        <f>COUNTIFS(DATOS_[AGRUP. VALOR. PTO.],$B30,DATOS_[Sexo],$B32,DATOS_[Check Periodo Ref.],"Dentro",DATOS_[Check Nº SC Norm],"Sí")</f>
        <v>0</v>
      </c>
      <c r="F32" s="204">
        <f>COUNTIFS(DATOS_[AGRUP. VALOR. PTO.],$B30,DATOS_[Sexo],$B32,DATOS_[Check Periodo Ref.],"Dentro",DATOS_[Check Nº SC Anualiz],"Sí")</f>
        <v>0</v>
      </c>
      <c r="G32" s="204">
        <f>COUNTIFS(DATOS_[AGRUP. VALOR. PTO.],$B30,DATOS_[Sexo],$B32,DATOS_[Check Periodo Ref.],"Dentro",DATOS_[Check Nº SC Norm y Anualiz],"Sí")</f>
        <v>0</v>
      </c>
      <c r="H32" s="204">
        <f>COUNTIFS(DATOS_[AGRUP. VALOR. PTO.],$B30,DATOS_[Sexo],$B32,DATOS_[Check Periodo Ref.],"Dentro",DATOS_[Check Equiparación],"Sí")</f>
        <v>0</v>
      </c>
      <c r="I32" s="195" cm="1">
        <f t="array" ref="I32">IFERROR(
MEDIAN(IF(DATOS_[Sexo]=$B32,IF(DATOS_[[AGRUP. VALOR. PTO.]:[AGRUP. VALOR. PTO.]]=$B30,IF(DATOS_[Check Equiparado]="Sí",IF(DATOS_[Check Periodo Ref.]="Dentro",DATOS_[SALARIO BASE Eq],FALSE))))),
0)</f>
        <v>0</v>
      </c>
      <c r="J32" s="196">
        <f t="array" ref="J32">IFERROR(
(MEDIAN((IF(DATOS_[[Sexo]:[Sexo]]=$B32,IF(DATOS_[[AGRUP. VALOR. PTO.]:[AGRUP. VALOR. PTO.]]=$B30,IF(DATOS_[[Check Periodo Ref.]:[Check Periodo Ref.]]="Dentro",IF(DATOS_[[Check Equiparado]:[Check Equiparado]]="Sí",IF(DATOS!AE$5="Sí",(1/DATOS_[[% anualiz]:[% anualiz]]),1)*IF(DATOS!AE$4="Sí",1/DATOS_[[% normaliz]:[% normaliz]],1)*(DATOS_[Conc.Sal.01])))))))),
0)</f>
        <v>0</v>
      </c>
      <c r="K32" s="196">
        <f t="array" ref="K32">IFERROR(
(MEDIAN((IF(DATOS_[[Sexo]:[Sexo]]=$B32,IF(DATOS_[[AGRUP. VALOR. PTO.]:[AGRUP. VALOR. PTO.]]=$B30,IF(DATOS_[[Check Periodo Ref.]:[Check Periodo Ref.]]="Dentro",IF(DATOS_[[Check Equiparado]:[Check Equiparado]]="Sí",IF(DATOS!AF$5="Sí",(1/DATOS_[[% anualiz]:[% anualiz]]),1)*IF(DATOS!AF$4="Sí",1/DATOS_[[% normaliz]:[% normaliz]],1)*(DATOS_[Conc.Sal.02])))))))),
0)</f>
        <v>0</v>
      </c>
      <c r="L32" s="196">
        <f t="array" ref="L32">IFERROR(
(MEDIAN((IF(DATOS_[[Sexo]:[Sexo]]=$B32,IF(DATOS_[[AGRUP. VALOR. PTO.]:[AGRUP. VALOR. PTO.]]=$B30,IF(DATOS_[[Check Periodo Ref.]:[Check Periodo Ref.]]="Dentro",IF(DATOS_[[Check Equiparado]:[Check Equiparado]]="Sí",IF(DATOS!AG$5="Sí",(1/DATOS_[[% anualiz]:[% anualiz]]),1)*IF(DATOS!AG$4="Sí",1/DATOS_[[% normaliz]:[% normaliz]],1)*(DATOS_[Conc.Sal.03])))))))),
0)</f>
        <v>0</v>
      </c>
      <c r="M32" s="196">
        <f t="array" ref="M32">IFERROR(
(MEDIAN((IF(DATOS_[[Sexo]:[Sexo]]=$B32,IF(DATOS_[[AGRUP. VALOR. PTO.]:[AGRUP. VALOR. PTO.]]=$B30,IF(DATOS_[[Check Periodo Ref.]:[Check Periodo Ref.]]="Dentro",IF(DATOS_[[Check Equiparado]:[Check Equiparado]]="Sí",IF(DATOS!AH$5="Sí",(1/DATOS_[[% anualiz]:[% anualiz]]),1)*IF(DATOS!AH$4="Sí",1/DATOS_[[% normaliz]:[% normaliz]],1)*(DATOS_[Conc.Sal.04])))))))),
0)</f>
        <v>0</v>
      </c>
      <c r="N32" s="196">
        <f t="array" ref="N32">IFERROR(
(MEDIAN((IF(DATOS_[[Sexo]:[Sexo]]=$B32,IF(DATOS_[[AGRUP. VALOR. PTO.]:[AGRUP. VALOR. PTO.]]=$B30,IF(DATOS_[[Check Periodo Ref.]:[Check Periodo Ref.]]="Dentro",IF(DATOS_[[Check Equiparado]:[Check Equiparado]]="Sí",IF(DATOS!AI$5="Sí",(1/DATOS_[[% anualiz]:[% anualiz]]),1)*IF(DATOS!AI$4="Sí",1/DATOS_[[% normaliz]:[% normaliz]],1)*(DATOS_[Conc.Sal.05])))))))),
0)</f>
        <v>0</v>
      </c>
      <c r="O32" s="196">
        <f t="array" ref="O32">IFERROR(
(MEDIAN((IF(DATOS_[[Sexo]:[Sexo]]=$B32,IF(DATOS_[[AGRUP. VALOR. PTO.]:[AGRUP. VALOR. PTO.]]=$B30,IF(DATOS_[[Check Periodo Ref.]:[Check Periodo Ref.]]="Dentro",IF(DATOS_[[Check Equiparado]:[Check Equiparado]]="Sí",IF(DATOS!AJ$5="Sí",(1/DATOS_[[% anualiz]:[% anualiz]]),1)*IF(DATOS!AJ$4="Sí",1/DATOS_[[% normaliz]:[% normaliz]],1)*(DATOS_[Conc.Sal.06])))))))),
0)</f>
        <v>0</v>
      </c>
      <c r="P32" s="196">
        <f t="array" ref="P32">IFERROR(
(MEDIAN((IF(DATOS_[[Sexo]:[Sexo]]=$B32,IF(DATOS_[[AGRUP. VALOR. PTO.]:[AGRUP. VALOR. PTO.]]=$B30,IF(DATOS_[[Check Periodo Ref.]:[Check Periodo Ref.]]="Dentro",IF(DATOS_[[Check Equiparado]:[Check Equiparado]]="Sí",IF(DATOS!AK$5="Sí",(1/DATOS_[[% anualiz]:[% anualiz]]),1)*IF(DATOS!AK$4="Sí",1/DATOS_[[% normaliz]:[% normaliz]],1)*(DATOS_[Conc.Sal.07])))))))),
0)</f>
        <v>0</v>
      </c>
      <c r="Q32" s="196">
        <f t="array" ref="Q32">IFERROR(
(MEDIAN((IF(DATOS_[[Sexo]:[Sexo]]=$B32,IF(DATOS_[[AGRUP. VALOR. PTO.]:[AGRUP. VALOR. PTO.]]=$B30,IF(DATOS_[[Check Periodo Ref.]:[Check Periodo Ref.]]="Dentro",IF(DATOS_[[Check Equiparado]:[Check Equiparado]]="Sí",IF(DATOS!AL$5="Sí",(1/DATOS_[[% anualiz]:[% anualiz]]),1)*IF(DATOS!AL$4="Sí",1/DATOS_[[% normaliz]:[% normaliz]],1)*(DATOS_[Conc.Sal.08])))))))),
0)</f>
        <v>0</v>
      </c>
      <c r="R32" s="196">
        <f t="array" ref="R32">IFERROR(
(MEDIAN((IF(DATOS_[[Sexo]:[Sexo]]=$B32,IF(DATOS_[[AGRUP. VALOR. PTO.]:[AGRUP. VALOR. PTO.]]=$B30,IF(DATOS_[[Check Periodo Ref.]:[Check Periodo Ref.]]="Dentro",IF(DATOS_[[Check Equiparado]:[Check Equiparado]]="Sí",IF(DATOS!AM$5="Sí",(1/DATOS_[[% anualiz]:[% anualiz]]),1)*IF(DATOS!AM$4="Sí",1/DATOS_[[% normaliz]:[% normaliz]],1)*(DATOS_[Conc.Sal.09])))))))),
0)</f>
        <v>0</v>
      </c>
      <c r="S32" s="196">
        <f t="array" ref="S32">IFERROR(
(MEDIAN((IF(DATOS_[[Sexo]:[Sexo]]=$B32,IF(DATOS_[[AGRUP. VALOR. PTO.]:[AGRUP. VALOR. PTO.]]=$B30,IF(DATOS_[[Check Periodo Ref.]:[Check Periodo Ref.]]="Dentro",IF(DATOS_[[Check Equiparado]:[Check Equiparado]]="Sí",IF(DATOS!AN$5="Sí",(1/DATOS_[[% anualiz]:[% anualiz]]),1)*IF(DATOS!AN$4="Sí",1/DATOS_[[% normaliz]:[% normaliz]],1)*(DATOS_[Conc.Sal.10])))))))),
0)</f>
        <v>0</v>
      </c>
      <c r="T32" s="196">
        <f t="array" ref="T32">IFERROR(
(MEDIAN((IF(DATOS_[[Sexo]:[Sexo]]=$B32,IF(DATOS_[[AGRUP. VALOR. PTO.]:[AGRUP. VALOR. PTO.]]=$B30,IF(DATOS_[[Check Periodo Ref.]:[Check Periodo Ref.]]="Dentro",IF(DATOS_[[Check Equiparado]:[Check Equiparado]]="Sí",IF(DATOS!AO$5="Sí",(1/DATOS_[[% anualiz]:[% anualiz]]),1)*IF(DATOS!AO$4="Sí",1/DATOS_[[% normaliz]:[% normaliz]],1)*(DATOS_[Conc.Sal.11])))))))),
0)</f>
        <v>0</v>
      </c>
      <c r="U32" s="196">
        <f t="array" ref="U32">IFERROR(
(MEDIAN((IF(DATOS_[[Sexo]:[Sexo]]=$B32,IF(DATOS_[[AGRUP. VALOR. PTO.]:[AGRUP. VALOR. PTO.]]=$B30,IF(DATOS_[[Check Periodo Ref.]:[Check Periodo Ref.]]="Dentro",IF(DATOS_[[Check Equiparado]:[Check Equiparado]]="Sí",IF(DATOS!AP$5="Sí",(1/DATOS_[[% anualiz]:[% anualiz]]),1)*IF(DATOS!AP$4="Sí",1/DATOS_[[% normaliz]:[% normaliz]],1)*(DATOS_[Conc.Sal.12])))))))),
0)</f>
        <v>0</v>
      </c>
      <c r="V32" s="196">
        <f t="array" ref="V32">IFERROR(
(MEDIAN((IF(DATOS_[[Sexo]:[Sexo]]=$B32,IF(DATOS_[[AGRUP. VALOR. PTO.]:[AGRUP. VALOR. PTO.]]=$B30,IF(DATOS_[[Check Periodo Ref.]:[Check Periodo Ref.]]="Dentro",IF(DATOS_[[Check Equiparado]:[Check Equiparado]]="Sí",IF(DATOS!AQ$5="Sí",(1/DATOS_[[% anualiz]:[% anualiz]]),1)*IF(DATOS!AQ$4="Sí",1/DATOS_[[% normaliz]:[% normaliz]],1)*(DATOS_[Conc.Sal.13])))))))),
0)</f>
        <v>0</v>
      </c>
      <c r="W32" s="196">
        <f t="array" ref="W32">IFERROR(
(MEDIAN((IF(DATOS_[[Sexo]:[Sexo]]=$B32,IF(DATOS_[[AGRUP. VALOR. PTO.]:[AGRUP. VALOR. PTO.]]=$B30,IF(DATOS_[[Check Periodo Ref.]:[Check Periodo Ref.]]="Dentro",IF(DATOS_[[Check Equiparado]:[Check Equiparado]]="Sí",IF(DATOS!AR$5="Sí",(1/DATOS_[[% anualiz]:[% anualiz]]),1)*IF(DATOS!AR$4="Sí",1/DATOS_[[% normaliz]:[% normaliz]],1)*(DATOS_[Conc.Sal.14])))))))),
0)</f>
        <v>0</v>
      </c>
      <c r="X32" s="196">
        <f t="array" ref="X32">IFERROR(
(MEDIAN((IF(DATOS_[[Sexo]:[Sexo]]=$B32,IF(DATOS_[[AGRUP. VALOR. PTO.]:[AGRUP. VALOR. PTO.]]=$B30,IF(DATOS_[[Check Periodo Ref.]:[Check Periodo Ref.]]="Dentro",IF(DATOS_[[Check Equiparado]:[Check Equiparado]]="Sí",IF(DATOS!AS$5="Sí",(1/DATOS_[[% anualiz]:[% anualiz]]),1)*IF(DATOS!AS$4="Sí",1/DATOS_[[% normaliz]:[% normaliz]],1)*(DATOS_[Conc.Sal.15])))))))),
0)</f>
        <v>0</v>
      </c>
      <c r="Y32" s="196">
        <f t="array" ref="Y32">IFERROR(
(MEDIAN((IF(DATOS_[[Sexo]:[Sexo]]=$B32,IF(DATOS_[[AGRUP. VALOR. PTO.]:[AGRUP. VALOR. PTO.]]=$B30,IF(DATOS_[[Check Periodo Ref.]:[Check Periodo Ref.]]="Dentro",IF(DATOS_[[Check Equiparado]:[Check Equiparado]]="Sí",IF(DATOS!AT$5="Sí",(1/DATOS_[[% anualiz]:[% anualiz]]),1)*IF(DATOS!AT$4="Sí",1/DATOS_[[% normaliz]:[% normaliz]],1)*(DATOS_[Conc.Sal.16])))))))),
0)</f>
        <v>0</v>
      </c>
      <c r="Z32" s="196">
        <f t="array" ref="Z32">IFERROR(
(MEDIAN((IF(DATOS_[[Sexo]:[Sexo]]=$B32,IF(DATOS_[[AGRUP. VALOR. PTO.]:[AGRUP. VALOR. PTO.]]=$B30,IF(DATOS_[[Check Periodo Ref.]:[Check Periodo Ref.]]="Dentro",IF(DATOS_[[Check Equiparado]:[Check Equiparado]]="Sí",IF(DATOS!AU$5="Sí",(1/DATOS_[[% anualiz]:[% anualiz]]),1)*IF(DATOS!AU$4="Sí",1/DATOS_[[% normaliz]:[% normaliz]],1)*(DATOS_[Conc.Sal.17])))))))),
0)</f>
        <v>0</v>
      </c>
      <c r="AA32" s="196">
        <f t="array" ref="AA32">IFERROR(
(MEDIAN((IF(DATOS_[[Sexo]:[Sexo]]=$B32,IF(DATOS_[[AGRUP. VALOR. PTO.]:[AGRUP. VALOR. PTO.]]=$B30,IF(DATOS_[[Check Periodo Ref.]:[Check Periodo Ref.]]="Dentro",IF(DATOS_[[Check Equiparado]:[Check Equiparado]]="Sí",IF(DATOS!AV$5="Sí",(1/DATOS_[[% anualiz]:[% anualiz]]),1)*IF(DATOS!AV$4="Sí",1/DATOS_[[% normaliz]:[% normaliz]],1)*(DATOS_[Conc.Sal.18])))))))),
0)</f>
        <v>0</v>
      </c>
      <c r="AB32" s="196">
        <f t="array" ref="AB32">IFERROR(
(MEDIAN((IF(DATOS_[[Sexo]:[Sexo]]=$B32,IF(DATOS_[[AGRUP. VALOR. PTO.]:[AGRUP. VALOR. PTO.]]=$B30,IF(DATOS_[[Check Periodo Ref.]:[Check Periodo Ref.]]="Dentro",IF(DATOS_[[Check Equiparado]:[Check Equiparado]]="Sí",IF(DATOS!AW$5="Sí",(1/DATOS_[[% anualiz]:[% anualiz]]),1)*IF(DATOS!AW$4="Sí",1/DATOS_[[% normaliz]:[% normaliz]],1)*(DATOS_[Conc.Sal.19])))))))),
0)</f>
        <v>0</v>
      </c>
      <c r="AC32" s="196">
        <f t="array" ref="AC32">IFERROR(
(MEDIAN((IF(DATOS_[[Sexo]:[Sexo]]=$B32,IF(DATOS_[[AGRUP. VALOR. PTO.]:[AGRUP. VALOR. PTO.]]=$B30,IF(DATOS_[[Check Periodo Ref.]:[Check Periodo Ref.]]="Dentro",IF(DATOS_[[Check Equiparado]:[Check Equiparado]]="Sí",IF(DATOS!AX$5="Sí",(1/DATOS_[[% anualiz]:[% anualiz]]),1)*IF(DATOS!AX$4="Sí",1/DATOS_[[% normaliz]:[% normaliz]],1)*(DATOS_[Conc.Sal.20])))))))),
0)</f>
        <v>0</v>
      </c>
      <c r="AD32" s="196">
        <f t="array" ref="AD32">IFERROR(
(MEDIAN((IF(DATOS_[[Sexo]:[Sexo]]=$B32,IF(DATOS_[[AGRUP. VALOR. PTO.]:[AGRUP. VALOR. PTO.]]=$B30,IF(DATOS_[[Check Periodo Ref.]:[Check Periodo Ref.]]="Dentro",IF(DATOS_[[Check Equiparado]:[Check Equiparado]]="Sí",IF(DATOS!AY$5="Sí",(1/DATOS_[[% anualiz]:[% anualiz]]),1)*IF(DATOS!AY$4="Sí",1/DATOS_[[% normaliz]:[% normaliz]],1)*(DATOS_[Conc.Sal.21])))))))),
0)</f>
        <v>0</v>
      </c>
      <c r="AE32" s="196">
        <f t="array" ref="AE32">IFERROR(
(MEDIAN((IF(DATOS_[[Sexo]:[Sexo]]=$B32,IF(DATOS_[[AGRUP. VALOR. PTO.]:[AGRUP. VALOR. PTO.]]=$B30,IF(DATOS_[[Check Periodo Ref.]:[Check Periodo Ref.]]="Dentro",IF(DATOS_[[Check Equiparado]:[Check Equiparado]]="Sí",IF(DATOS!AZ$5="Sí",(1/DATOS_[[% anualiz]:[% anualiz]]),1)*IF(DATOS!AZ$4="Sí",1/DATOS_[[% normaliz]:[% normaliz]],1)*(DATOS_[Conc.Sal.22])))))))),
0)</f>
        <v>0</v>
      </c>
      <c r="AF32" s="196">
        <f t="array" ref="AF32">IFERROR(
(MEDIAN((IF(DATOS_[[Sexo]:[Sexo]]=$B32,IF(DATOS_[[AGRUP. VALOR. PTO.]:[AGRUP. VALOR. PTO.]]=$B30,IF(DATOS_[[Check Periodo Ref.]:[Check Periodo Ref.]]="Dentro",IF(DATOS_[[Check Equiparado]:[Check Equiparado]]="Sí",IF(DATOS!BA$5="Sí",(1/DATOS_[[% anualiz]:[% anualiz]]),1)*IF(DATOS!BA$4="Sí",1/DATOS_[[% normaliz]:[% normaliz]],1)*(DATOS_[Conc.Sal.23])))))))),
0)</f>
        <v>0</v>
      </c>
      <c r="AG32" s="196">
        <f t="array" ref="AG32">IFERROR(
(MEDIAN((IF(DATOS_[[Sexo]:[Sexo]]=$B32,IF(DATOS_[[AGRUP. VALOR. PTO.]:[AGRUP. VALOR. PTO.]]=$B30,IF(DATOS_[[Check Periodo Ref.]:[Check Periodo Ref.]]="Dentro",IF(DATOS_[[Check Equiparado]:[Check Equiparado]]="Sí",IF(DATOS!BB$5="Sí",(1/DATOS_[[% anualiz]:[% anualiz]]),1)*IF(DATOS!BB$4="Sí",1/DATOS_[[% normaliz]:[% normaliz]],1)*(DATOS_[Conc.Sal.24])))))))),
0)</f>
        <v>0</v>
      </c>
      <c r="AH32" s="196">
        <f t="array" ref="AH32">IFERROR(
(MEDIAN((IF(DATOS_[[Sexo]:[Sexo]]=$B32,IF(DATOS_[[AGRUP. VALOR. PTO.]:[AGRUP. VALOR. PTO.]]=$B30,IF(DATOS_[[Check Periodo Ref.]:[Check Periodo Ref.]]="Dentro",IF(DATOS_[[Check Equiparado]:[Check Equiparado]]="Sí",IF(DATOS!BC$5="Sí",(1/DATOS_[[% anualiz]:[% anualiz]]),1)*IF(DATOS!BC$4="Sí",1/DATOS_[[% normaliz]:[% normaliz]],1)*(DATOS_[Conc.Sal.25])))))))),
0)</f>
        <v>0</v>
      </c>
      <c r="AI32" s="196">
        <f t="array" ref="AI32">IFERROR(
(MEDIAN((IF(DATOS_[[Sexo]:[Sexo]]=$B32,IF(DATOS_[[AGRUP. VALOR. PTO.]:[AGRUP. VALOR. PTO.]]=$B30,IF(DATOS_[[Check Periodo Ref.]:[Check Periodo Ref.]]="Dentro",IF(DATOS_[[Check Equiparado]:[Check Equiparado]]="Sí",IF(DATOS!BD$5="Sí",(1/DATOS_[[% anualiz]:[% anualiz]]),1)*IF(DATOS!BD$4="Sí",1/DATOS_[[% normaliz]:[% normaliz]],1)*(DATOS_[Conc.Sal.26])))))))),
0)</f>
        <v>0</v>
      </c>
      <c r="AJ32" s="196">
        <f t="array" ref="AJ32">IFERROR(
(MEDIAN((IF(DATOS_[[Sexo]:[Sexo]]=$B32,IF(DATOS_[[AGRUP. VALOR. PTO.]:[AGRUP. VALOR. PTO.]]=$B30,IF(DATOS_[[Check Periodo Ref.]:[Check Periodo Ref.]]="Dentro",IF(DATOS_[[Check Equiparado]:[Check Equiparado]]="Sí",IF(DATOS!BE$5="Sí",(1/DATOS_[[% anualiz]:[% anualiz]]),1)*IF(DATOS!BE$4="Sí",1/DATOS_[[% normaliz]:[% normaliz]],1)*(DATOS_[Conc.Sal.27])))))))),
0)</f>
        <v>0</v>
      </c>
      <c r="AK32" s="196">
        <f t="array" ref="AK32">IFERROR(
(MEDIAN((IF(DATOS_[[Sexo]:[Sexo]]=$B32,IF(DATOS_[[AGRUP. VALOR. PTO.]:[AGRUP. VALOR. PTO.]]=$B30,IF(DATOS_[[Check Periodo Ref.]:[Check Periodo Ref.]]="Dentro",IF(DATOS_[[Check Equiparado]:[Check Equiparado]]="Sí",IF(DATOS!BF$5="Sí",(1/DATOS_[[% anualiz]:[% anualiz]]),1)*IF(DATOS!BF$4="Sí",1/DATOS_[[% normaliz]:[% normaliz]],1)*(DATOS_[Conc.Sal.28])))))))),
0)</f>
        <v>0</v>
      </c>
      <c r="AL32" s="196">
        <f t="array" ref="AL32">IFERROR(
(MEDIAN((IF(DATOS_[[Sexo]:[Sexo]]=$B32,IF(DATOS_[[AGRUP. VALOR. PTO.]:[AGRUP. VALOR. PTO.]]=$B30,IF(DATOS_[[Check Periodo Ref.]:[Check Periodo Ref.]]="Dentro",IF(DATOS_[[Check Equiparado]:[Check Equiparado]]="Sí",IF(DATOS!BG$5="Sí",(1/DATOS_[[% anualiz]:[% anualiz]]),1)*IF(DATOS!BG$4="Sí",1/DATOS_[[% normaliz]:[% normaliz]],1)*(DATOS_[Conc.Sal.29])))))))),
0)</f>
        <v>0</v>
      </c>
      <c r="AM32" s="196">
        <f t="array" ref="AM32">IFERROR(
(MEDIAN((IF(DATOS_[[Sexo]:[Sexo]]=$B32,IF(DATOS_[[AGRUP. VALOR. PTO.]:[AGRUP. VALOR. PTO.]]=$B30,IF(DATOS_[[Check Periodo Ref.]:[Check Periodo Ref.]]="Dentro",IF(DATOS_[[Check Equiparado]:[Check Equiparado]]="Sí",IF(DATOS!BH$5="Sí",(1/DATOS_[[% anualiz]:[% anualiz]]),1)*IF(DATOS!BH$4="Sí",1/DATOS_[[% normaliz]:[% normaliz]],1)*(DATOS_[Conc.Sal.30])))))))),
0)</f>
        <v>0</v>
      </c>
      <c r="AN32" s="195">
        <f t="array" ref="AN32">IFERROR(
MEDIAN(IF(DATOS_[Sexo]=$B32,IF(DATOS_[[AGRUP. VALOR. PTO.]:[AGRUP. VALOR. PTO.]]=$B30,IF(DATOS_[Check Equiparado]="Sí",IF(DATOS_[Check Periodo Ref.]="Dentro",DATOS_[Tot COMPL.SAL Eq],FALSE))))),
0)</f>
        <v>0</v>
      </c>
      <c r="AO32" s="172">
        <f t="array" ref="AO32">IFERROR(
MEDIAN(IF(DATOS_[Sexo]=$B32,IF(DATOS_[[AGRUP. VALOR. PTO.]:[AGRUP. VALOR. PTO.]]=$B30,IF(DATOS_[Check Equiparado]="Sí",IF(DATOS_[Check Periodo Ref.]="Dentro",DATOS_[TOTAL SALARIO Eq],FALSE))))),
0)</f>
        <v>0</v>
      </c>
      <c r="AP32" s="173">
        <f t="array" ref="AP32">IFERROR(
(MEDIAN((IF(DATOS_[[Sexo]:[Sexo]]=$B32,IF(DATOS_[[AGRUP. VALOR. PTO.]:[AGRUP. VALOR. PTO.]]=$B30,IF(DATOS_[[Check Periodo Ref.]:[Check Periodo Ref.]]="Dentro",IF(DATOS_[[Check Equiparado]:[Check Equiparado]]="Sí",IF(DATOS!BW$5="Sí",(1/DATOS_[[% anualiz]:[% anualiz]]),1)*IF(DATOS!BW$4="Sí",1/DATOS_[[% normaliz]:[% normaliz]],1)*(DATOS_[C.Extra.01])))))))),
0)</f>
        <v>0</v>
      </c>
      <c r="AQ32" s="173">
        <f t="array" ref="AQ32">IFERROR(
(MEDIAN((IF(DATOS_[[Sexo]:[Sexo]]=$B32,IF(DATOS_[[AGRUP. VALOR. PTO.]:[AGRUP. VALOR. PTO.]]=$B30,IF(DATOS_[[Check Periodo Ref.]:[Check Periodo Ref.]]="Dentro",IF(DATOS_[[Check Equiparado]:[Check Equiparado]]="Sí",IF(DATOS!CB$5="Sí",(1/DATOS_[[% anualiz]:[% anualiz]]),1)*IF(DATOS!CB$4="Sí",1/DATOS_[[% normaliz]:[% normaliz]],1)*(DATOS_[C.Extra.06])))))))),
0)</f>
        <v>0</v>
      </c>
      <c r="AR32" s="173">
        <f t="array" ref="AR32">IFERROR(
(MEDIAN((IF(DATOS_[[Sexo]:[Sexo]]=$B32,IF(DATOS_[[AGRUP. VALOR. PTO.]:[AGRUP. VALOR. PTO.]]=$B30,IF(DATOS_[[Check Periodo Ref.]:[Check Periodo Ref.]]="Dentro",IF(DATOS_[[Check Equiparado]:[Check Equiparado]]="Sí",IF(DATOS!CC$5="Sí",(1/DATOS_[[% anualiz]:[% anualiz]]),1)*IF(DATOS!CC$4="Sí",1/DATOS_[[% normaliz]:[% normaliz]],1)*(DATOS_[C.Extra.07])))))))),
0)</f>
        <v>0</v>
      </c>
      <c r="AS32" s="173">
        <f t="array" ref="AS32">IFERROR(
(MEDIAN((IF(DATOS_[[Sexo]:[Sexo]]=$B32,IF(DATOS_[[AGRUP. VALOR. PTO.]:[AGRUP. VALOR. PTO.]]=$B30,IF(DATOS_[[Check Periodo Ref.]:[Check Periodo Ref.]]="Dentro",IF(DATOS_[[Check Equiparado]:[Check Equiparado]]="Sí",IF(DATOS!CD$5="Sí",(1/DATOS_[[% anualiz]:[% anualiz]]),1)*IF(DATOS!CD$4="Sí",1/DATOS_[[% normaliz]:[% normaliz]],1)*(DATOS_[C.Extra.08])))))))),
0)</f>
        <v>0</v>
      </c>
      <c r="AT32" s="173">
        <f t="array" ref="AT32">IFERROR(
(MEDIAN((IF(DATOS_[[Sexo]:[Sexo]]=$B32,IF(DATOS_[[AGRUP. VALOR. PTO.]:[AGRUP. VALOR. PTO.]]=$B30,IF(DATOS_[[Check Periodo Ref.]:[Check Periodo Ref.]]="Dentro",IF(DATOS_[[Check Equiparado]:[Check Equiparado]]="Sí",IF(DATOS!CG$5="Sí",(1/DATOS_[[% anualiz]:[% anualiz]]),1)*IF(DATOS!CG$4="Sí",1/DATOS_[[% normaliz]:[% normaliz]],1)*(DATOS_[C.Extra.11])))))))),
0)</f>
        <v>0</v>
      </c>
      <c r="AU32" s="197">
        <f t="array" ref="AU32">IFERROR(
MEDIAN(IF(DATOS_[Sexo]=$B32,IF(DATOS_[[AGRUP. VALOR. PTO.]:[AGRUP. VALOR. PTO.]]=$B30,IF(DATOS_[Check Equiparado]="Sí",IF(DATOS_[Check Periodo Ref.]="Dentro",DATOS_[Tot Extrasalarial Eq],FALSE))))),
0)</f>
        <v>0</v>
      </c>
      <c r="AV32" s="175">
        <f t="array" ref="AV32">IFERROR(
MEDIAN(IF(DATOS_[Sexo]=$B32,IF(DATOS_[[AGRUP. VALOR. PTO.]:[AGRUP. VALOR. PTO.]]=$B30,IF(DATOS_[Check Equiparado]="Sí",IF(DATOS_[Check Periodo Ref.]="Dentro",DATOS_[TOTAL Retrib Eq],FALSE))))),
0)</f>
        <v>0</v>
      </c>
    </row>
    <row r="33" spans="1:48" ht="15.6" thickBot="1" x14ac:dyDescent="0.3">
      <c r="A33" s="133" t="str">
        <f t="shared" ref="A33" si="27">+A34</f>
        <v>[ocultar]</v>
      </c>
      <c r="B33" s="199" t="s">
        <v>200</v>
      </c>
      <c r="C33" s="200"/>
      <c r="D33" s="201"/>
      <c r="E33" s="201"/>
      <c r="F33" s="201"/>
      <c r="G33" s="201"/>
      <c r="H33" s="201"/>
      <c r="I33" s="189" t="str">
        <f t="shared" ref="I33:AV33" si="28">IFERROR((I34-I35)/I34,"")</f>
        <v/>
      </c>
      <c r="J33" s="190" t="str">
        <f t="shared" si="28"/>
        <v/>
      </c>
      <c r="K33" s="191" t="str">
        <f t="shared" si="28"/>
        <v/>
      </c>
      <c r="L33" s="191" t="str">
        <f t="shared" si="28"/>
        <v/>
      </c>
      <c r="M33" s="191" t="str">
        <f t="shared" si="28"/>
        <v/>
      </c>
      <c r="N33" s="192" t="str">
        <f t="shared" si="28"/>
        <v/>
      </c>
      <c r="O33" s="193" t="str">
        <f t="shared" si="28"/>
        <v/>
      </c>
      <c r="P33" s="193" t="str">
        <f t="shared" si="28"/>
        <v/>
      </c>
      <c r="Q33" s="193" t="str">
        <f t="shared" si="28"/>
        <v/>
      </c>
      <c r="R33" s="193" t="str">
        <f t="shared" si="28"/>
        <v/>
      </c>
      <c r="S33" s="193" t="str">
        <f t="shared" si="28"/>
        <v/>
      </c>
      <c r="T33" s="193" t="str">
        <f t="shared" si="28"/>
        <v/>
      </c>
      <c r="U33" s="193" t="str">
        <f t="shared" si="28"/>
        <v/>
      </c>
      <c r="V33" s="193" t="str">
        <f t="shared" si="28"/>
        <v/>
      </c>
      <c r="W33" s="193" t="str">
        <f t="shared" si="28"/>
        <v/>
      </c>
      <c r="X33" s="193" t="str">
        <f t="shared" si="28"/>
        <v/>
      </c>
      <c r="Y33" s="193" t="str">
        <f t="shared" si="28"/>
        <v/>
      </c>
      <c r="Z33" s="193" t="str">
        <f t="shared" si="28"/>
        <v/>
      </c>
      <c r="AA33" s="193" t="str">
        <f t="shared" si="28"/>
        <v/>
      </c>
      <c r="AB33" s="193" t="str">
        <f t="shared" si="28"/>
        <v/>
      </c>
      <c r="AC33" s="193" t="str">
        <f t="shared" si="28"/>
        <v/>
      </c>
      <c r="AD33" s="193" t="str">
        <f t="shared" si="28"/>
        <v/>
      </c>
      <c r="AE33" s="193" t="str">
        <f t="shared" si="28"/>
        <v/>
      </c>
      <c r="AF33" s="193" t="str">
        <f t="shared" si="28"/>
        <v/>
      </c>
      <c r="AG33" s="193" t="str">
        <f t="shared" si="28"/>
        <v/>
      </c>
      <c r="AH33" s="193" t="str">
        <f t="shared" si="28"/>
        <v/>
      </c>
      <c r="AI33" s="193" t="str">
        <f t="shared" si="28"/>
        <v/>
      </c>
      <c r="AJ33" s="193" t="str">
        <f t="shared" si="28"/>
        <v/>
      </c>
      <c r="AK33" s="193" t="str">
        <f t="shared" si="28"/>
        <v/>
      </c>
      <c r="AL33" s="193" t="str">
        <f t="shared" si="28"/>
        <v/>
      </c>
      <c r="AM33" s="193" t="str">
        <f t="shared" si="28"/>
        <v/>
      </c>
      <c r="AN33" s="189" t="str">
        <f t="shared" si="28"/>
        <v/>
      </c>
      <c r="AO33" s="162" t="str">
        <f t="shared" si="28"/>
        <v/>
      </c>
      <c r="AP33" s="163" t="str">
        <f t="shared" si="28"/>
        <v/>
      </c>
      <c r="AQ33" s="163" t="str">
        <f t="shared" si="28"/>
        <v/>
      </c>
      <c r="AR33" s="163" t="str">
        <f t="shared" si="28"/>
        <v/>
      </c>
      <c r="AS33" s="163" t="str">
        <f t="shared" si="28"/>
        <v/>
      </c>
      <c r="AT33" s="163" t="str">
        <f t="shared" si="28"/>
        <v/>
      </c>
      <c r="AU33" s="194" t="str">
        <f t="shared" si="28"/>
        <v/>
      </c>
      <c r="AV33" s="165" t="str">
        <f t="shared" si="28"/>
        <v/>
      </c>
    </row>
    <row r="34" spans="1:48" x14ac:dyDescent="0.25">
      <c r="A34" s="133" t="str">
        <f t="shared" ref="A34" si="29">+IF(C34+C35=0,"[ocultar]","")</f>
        <v>[ocultar]</v>
      </c>
      <c r="B34" s="202" t="s">
        <v>394</v>
      </c>
      <c r="C34" s="203">
        <f t="array" ref="C34">SUM(IF($B34=DATOS_[Sexo],
IF($B33=DATOS_[AGRUP. VALOR. PTO.],
IF("Dentro"=DATOS_[Check Periodo Ref.],
1/(COUNTIFS(DATOS_[Sexo],$B34,DATOS_[AGRUP. VALOR. PTO.],$B33,DATOS_[Check Periodo Ref.],"Dentro",DATOS_[id/cod],DATOS_[id/cod]))))))</f>
        <v>0</v>
      </c>
      <c r="D34" s="204">
        <f>COUNTIFS(DATOS_[AGRUP. VALOR. PTO.],$B33,DATOS_[Sexo],$B34,DATOS_[Check Periodo Ref.],"Dentro")</f>
        <v>0</v>
      </c>
      <c r="E34" s="204">
        <f>COUNTIFS(DATOS_[AGRUP. VALOR. PTO.],$B33,DATOS_[Sexo],$B34,DATOS_[Check Periodo Ref.],"Dentro",DATOS_[Check Nº SC Norm],"Sí")</f>
        <v>0</v>
      </c>
      <c r="F34" s="204">
        <f>COUNTIFS(DATOS_[AGRUP. VALOR. PTO.],$B33,DATOS_[Sexo],$B34,DATOS_[Check Periodo Ref.],"Dentro",DATOS_[Check Nº SC Anualiz],"Sí")</f>
        <v>0</v>
      </c>
      <c r="G34" s="204">
        <f>COUNTIFS(DATOS_[AGRUP. VALOR. PTO.],$B33,DATOS_[Sexo],$B34,DATOS_[Check Periodo Ref.],"Dentro",DATOS_[Check Nº SC Norm y Anualiz],"Sí")</f>
        <v>0</v>
      </c>
      <c r="H34" s="204">
        <f>COUNTIFS(DATOS_[AGRUP. VALOR. PTO.],$B33,DATOS_[Sexo],$B34,DATOS_[Check Periodo Ref.],"Dentro",DATOS_[Check Equiparación],"Sí")</f>
        <v>0</v>
      </c>
      <c r="I34" s="195">
        <f t="array" ref="I34">IFERROR(
MEDIAN(IF(DATOS_[Sexo]=$B34,IF(DATOS_[[AGRUP. VALOR. PTO.]:[AGRUP. VALOR. PTO.]]=$B33,IF(DATOS_[Check Equiparado]="Sí",IF(DATOS_[Check Periodo Ref.]="Dentro",DATOS_[SALARIO BASE Eq],FALSE))))),
0)</f>
        <v>0</v>
      </c>
      <c r="J34" s="196">
        <f t="array" ref="J34">IFERROR(
(MEDIAN((IF(DATOS_[[Sexo]:[Sexo]]=$B34,IF(DATOS_[[AGRUP. VALOR. PTO.]:[AGRUP. VALOR. PTO.]]=$B33,IF(DATOS_[[Check Periodo Ref.]:[Check Periodo Ref.]]="Dentro",IF(DATOS_[[Check Equiparado]:[Check Equiparado]]="Sí",IF(DATOS!AE$5="Sí",(1/DATOS_[[% anualiz]:[% anualiz]]),1)*IF(DATOS!AE$4="Sí",1/DATOS_[[% normaliz]:[% normaliz]],1)*(DATOS_[Conc.Sal.01])))))))),
0)</f>
        <v>0</v>
      </c>
      <c r="K34" s="196">
        <f t="array" ref="K34">IFERROR(
(MEDIAN((IF(DATOS_[[Sexo]:[Sexo]]=$B34,IF(DATOS_[[AGRUP. VALOR. PTO.]:[AGRUP. VALOR. PTO.]]=$B33,IF(DATOS_[[Check Periodo Ref.]:[Check Periodo Ref.]]="Dentro",IF(DATOS_[[Check Equiparado]:[Check Equiparado]]="Sí",IF(DATOS!AF$5="Sí",(1/DATOS_[[% anualiz]:[% anualiz]]),1)*IF(DATOS!AF$4="Sí",1/DATOS_[[% normaliz]:[% normaliz]],1)*(DATOS_[Conc.Sal.02])))))))),
0)</f>
        <v>0</v>
      </c>
      <c r="L34" s="196">
        <f t="array" ref="L34">IFERROR(
(MEDIAN((IF(DATOS_[[Sexo]:[Sexo]]=$B34,IF(DATOS_[[AGRUP. VALOR. PTO.]:[AGRUP. VALOR. PTO.]]=$B33,IF(DATOS_[[Check Periodo Ref.]:[Check Periodo Ref.]]="Dentro",IF(DATOS_[[Check Equiparado]:[Check Equiparado]]="Sí",IF(DATOS!AG$5="Sí",(1/DATOS_[[% anualiz]:[% anualiz]]),1)*IF(DATOS!AG$4="Sí",1/DATOS_[[% normaliz]:[% normaliz]],1)*(DATOS_[Conc.Sal.03])))))))),
0)</f>
        <v>0</v>
      </c>
      <c r="M34" s="196">
        <f t="array" ref="M34">IFERROR(
(MEDIAN((IF(DATOS_[[Sexo]:[Sexo]]=$B34,IF(DATOS_[[AGRUP. VALOR. PTO.]:[AGRUP. VALOR. PTO.]]=$B33,IF(DATOS_[[Check Periodo Ref.]:[Check Periodo Ref.]]="Dentro",IF(DATOS_[[Check Equiparado]:[Check Equiparado]]="Sí",IF(DATOS!AH$5="Sí",(1/DATOS_[[% anualiz]:[% anualiz]]),1)*IF(DATOS!AH$4="Sí",1/DATOS_[[% normaliz]:[% normaliz]],1)*(DATOS_[Conc.Sal.04])))))))),
0)</f>
        <v>0</v>
      </c>
      <c r="N34" s="196">
        <f t="array" ref="N34">IFERROR(
(MEDIAN((IF(DATOS_[[Sexo]:[Sexo]]=$B34,IF(DATOS_[[AGRUP. VALOR. PTO.]:[AGRUP. VALOR. PTO.]]=$B33,IF(DATOS_[[Check Periodo Ref.]:[Check Periodo Ref.]]="Dentro",IF(DATOS_[[Check Equiparado]:[Check Equiparado]]="Sí",IF(DATOS!AI$5="Sí",(1/DATOS_[[% anualiz]:[% anualiz]]),1)*IF(DATOS!AI$4="Sí",1/DATOS_[[% normaliz]:[% normaliz]],1)*(DATOS_[Conc.Sal.05])))))))),
0)</f>
        <v>0</v>
      </c>
      <c r="O34" s="196">
        <f t="array" ref="O34">IFERROR(
(MEDIAN((IF(DATOS_[[Sexo]:[Sexo]]=$B34,IF(DATOS_[[AGRUP. VALOR. PTO.]:[AGRUP. VALOR. PTO.]]=$B33,IF(DATOS_[[Check Periodo Ref.]:[Check Periodo Ref.]]="Dentro",IF(DATOS_[[Check Equiparado]:[Check Equiparado]]="Sí",IF(DATOS!AJ$5="Sí",(1/DATOS_[[% anualiz]:[% anualiz]]),1)*IF(DATOS!AJ$4="Sí",1/DATOS_[[% normaliz]:[% normaliz]],1)*(DATOS_[Conc.Sal.06])))))))),
0)</f>
        <v>0</v>
      </c>
      <c r="P34" s="196">
        <f t="array" ref="P34">IFERROR(
(MEDIAN((IF(DATOS_[[Sexo]:[Sexo]]=$B34,IF(DATOS_[[AGRUP. VALOR. PTO.]:[AGRUP. VALOR. PTO.]]=$B33,IF(DATOS_[[Check Periodo Ref.]:[Check Periodo Ref.]]="Dentro",IF(DATOS_[[Check Equiparado]:[Check Equiparado]]="Sí",IF(DATOS!AK$5="Sí",(1/DATOS_[[% anualiz]:[% anualiz]]),1)*IF(DATOS!AK$4="Sí",1/DATOS_[[% normaliz]:[% normaliz]],1)*(DATOS_[Conc.Sal.07])))))))),
0)</f>
        <v>0</v>
      </c>
      <c r="Q34" s="196">
        <f t="array" ref="Q34">IFERROR(
(MEDIAN((IF(DATOS_[[Sexo]:[Sexo]]=$B34,IF(DATOS_[[AGRUP. VALOR. PTO.]:[AGRUP. VALOR. PTO.]]=$B33,IF(DATOS_[[Check Periodo Ref.]:[Check Periodo Ref.]]="Dentro",IF(DATOS_[[Check Equiparado]:[Check Equiparado]]="Sí",IF(DATOS!AL$5="Sí",(1/DATOS_[[% anualiz]:[% anualiz]]),1)*IF(DATOS!AL$4="Sí",1/DATOS_[[% normaliz]:[% normaliz]],1)*(DATOS_[Conc.Sal.08])))))))),
0)</f>
        <v>0</v>
      </c>
      <c r="R34" s="196">
        <f t="array" ref="R34">IFERROR(
(MEDIAN((IF(DATOS_[[Sexo]:[Sexo]]=$B34,IF(DATOS_[[AGRUP. VALOR. PTO.]:[AGRUP. VALOR. PTO.]]=$B33,IF(DATOS_[[Check Periodo Ref.]:[Check Periodo Ref.]]="Dentro",IF(DATOS_[[Check Equiparado]:[Check Equiparado]]="Sí",IF(DATOS!AM$5="Sí",(1/DATOS_[[% anualiz]:[% anualiz]]),1)*IF(DATOS!AM$4="Sí",1/DATOS_[[% normaliz]:[% normaliz]],1)*(DATOS_[Conc.Sal.09])))))))),
0)</f>
        <v>0</v>
      </c>
      <c r="S34" s="196">
        <f t="array" ref="S34">IFERROR(
(MEDIAN((IF(DATOS_[[Sexo]:[Sexo]]=$B34,IF(DATOS_[[AGRUP. VALOR. PTO.]:[AGRUP. VALOR. PTO.]]=$B33,IF(DATOS_[[Check Periodo Ref.]:[Check Periodo Ref.]]="Dentro",IF(DATOS_[[Check Equiparado]:[Check Equiparado]]="Sí",IF(DATOS!AN$5="Sí",(1/DATOS_[[% anualiz]:[% anualiz]]),1)*IF(DATOS!AN$4="Sí",1/DATOS_[[% normaliz]:[% normaliz]],1)*(DATOS_[Conc.Sal.10])))))))),
0)</f>
        <v>0</v>
      </c>
      <c r="T34" s="196">
        <f t="array" ref="T34">IFERROR(
(MEDIAN((IF(DATOS_[[Sexo]:[Sexo]]=$B34,IF(DATOS_[[AGRUP. VALOR. PTO.]:[AGRUP. VALOR. PTO.]]=$B33,IF(DATOS_[[Check Periodo Ref.]:[Check Periodo Ref.]]="Dentro",IF(DATOS_[[Check Equiparado]:[Check Equiparado]]="Sí",IF(DATOS!AO$5="Sí",(1/DATOS_[[% anualiz]:[% anualiz]]),1)*IF(DATOS!AO$4="Sí",1/DATOS_[[% normaliz]:[% normaliz]],1)*(DATOS_[Conc.Sal.11])))))))),
0)</f>
        <v>0</v>
      </c>
      <c r="U34" s="196">
        <f t="array" ref="U34">IFERROR(
(MEDIAN((IF(DATOS_[[Sexo]:[Sexo]]=$B34,IF(DATOS_[[AGRUP. VALOR. PTO.]:[AGRUP. VALOR. PTO.]]=$B33,IF(DATOS_[[Check Periodo Ref.]:[Check Periodo Ref.]]="Dentro",IF(DATOS_[[Check Equiparado]:[Check Equiparado]]="Sí",IF(DATOS!AP$5="Sí",(1/DATOS_[[% anualiz]:[% anualiz]]),1)*IF(DATOS!AP$4="Sí",1/DATOS_[[% normaliz]:[% normaliz]],1)*(DATOS_[Conc.Sal.12])))))))),
0)</f>
        <v>0</v>
      </c>
      <c r="V34" s="196">
        <f t="array" ref="V34">IFERROR(
(MEDIAN((IF(DATOS_[[Sexo]:[Sexo]]=$B34,IF(DATOS_[[AGRUP. VALOR. PTO.]:[AGRUP. VALOR. PTO.]]=$B33,IF(DATOS_[[Check Periodo Ref.]:[Check Periodo Ref.]]="Dentro",IF(DATOS_[[Check Equiparado]:[Check Equiparado]]="Sí",IF(DATOS!AQ$5="Sí",(1/DATOS_[[% anualiz]:[% anualiz]]),1)*IF(DATOS!AQ$4="Sí",1/DATOS_[[% normaliz]:[% normaliz]],1)*(DATOS_[Conc.Sal.13])))))))),
0)</f>
        <v>0</v>
      </c>
      <c r="W34" s="196">
        <f t="array" ref="W34">IFERROR(
(MEDIAN((IF(DATOS_[[Sexo]:[Sexo]]=$B34,IF(DATOS_[[AGRUP. VALOR. PTO.]:[AGRUP. VALOR. PTO.]]=$B33,IF(DATOS_[[Check Periodo Ref.]:[Check Periodo Ref.]]="Dentro",IF(DATOS_[[Check Equiparado]:[Check Equiparado]]="Sí",IF(DATOS!AR$5="Sí",(1/DATOS_[[% anualiz]:[% anualiz]]),1)*IF(DATOS!AR$4="Sí",1/DATOS_[[% normaliz]:[% normaliz]],1)*(DATOS_[Conc.Sal.14])))))))),
0)</f>
        <v>0</v>
      </c>
      <c r="X34" s="196">
        <f t="array" ref="X34">IFERROR(
(MEDIAN((IF(DATOS_[[Sexo]:[Sexo]]=$B34,IF(DATOS_[[AGRUP. VALOR. PTO.]:[AGRUP. VALOR. PTO.]]=$B33,IF(DATOS_[[Check Periodo Ref.]:[Check Periodo Ref.]]="Dentro",IF(DATOS_[[Check Equiparado]:[Check Equiparado]]="Sí",IF(DATOS!AS$5="Sí",(1/DATOS_[[% anualiz]:[% anualiz]]),1)*IF(DATOS!AS$4="Sí",1/DATOS_[[% normaliz]:[% normaliz]],1)*(DATOS_[Conc.Sal.15])))))))),
0)</f>
        <v>0</v>
      </c>
      <c r="Y34" s="196">
        <f t="array" ref="Y34">IFERROR(
(MEDIAN((IF(DATOS_[[Sexo]:[Sexo]]=$B34,IF(DATOS_[[AGRUP. VALOR. PTO.]:[AGRUP. VALOR. PTO.]]=$B33,IF(DATOS_[[Check Periodo Ref.]:[Check Periodo Ref.]]="Dentro",IF(DATOS_[[Check Equiparado]:[Check Equiparado]]="Sí",IF(DATOS!AT$5="Sí",(1/DATOS_[[% anualiz]:[% anualiz]]),1)*IF(DATOS!AT$4="Sí",1/DATOS_[[% normaliz]:[% normaliz]],1)*(DATOS_[Conc.Sal.16])))))))),
0)</f>
        <v>0</v>
      </c>
      <c r="Z34" s="196">
        <f t="array" ref="Z34">IFERROR(
(MEDIAN((IF(DATOS_[[Sexo]:[Sexo]]=$B34,IF(DATOS_[[AGRUP. VALOR. PTO.]:[AGRUP. VALOR. PTO.]]=$B33,IF(DATOS_[[Check Periodo Ref.]:[Check Periodo Ref.]]="Dentro",IF(DATOS_[[Check Equiparado]:[Check Equiparado]]="Sí",IF(DATOS!AU$5="Sí",(1/DATOS_[[% anualiz]:[% anualiz]]),1)*IF(DATOS!AU$4="Sí",1/DATOS_[[% normaliz]:[% normaliz]],1)*(DATOS_[Conc.Sal.17])))))))),
0)</f>
        <v>0</v>
      </c>
      <c r="AA34" s="196">
        <f t="array" ref="AA34">IFERROR(
(MEDIAN((IF(DATOS_[[Sexo]:[Sexo]]=$B34,IF(DATOS_[[AGRUP. VALOR. PTO.]:[AGRUP. VALOR. PTO.]]=$B33,IF(DATOS_[[Check Periodo Ref.]:[Check Periodo Ref.]]="Dentro",IF(DATOS_[[Check Equiparado]:[Check Equiparado]]="Sí",IF(DATOS!AV$5="Sí",(1/DATOS_[[% anualiz]:[% anualiz]]),1)*IF(DATOS!AV$4="Sí",1/DATOS_[[% normaliz]:[% normaliz]],1)*(DATOS_[Conc.Sal.18])))))))),
0)</f>
        <v>0</v>
      </c>
      <c r="AB34" s="196">
        <f t="array" ref="AB34">IFERROR(
(MEDIAN((IF(DATOS_[[Sexo]:[Sexo]]=$B34,IF(DATOS_[[AGRUP. VALOR. PTO.]:[AGRUP. VALOR. PTO.]]=$B33,IF(DATOS_[[Check Periodo Ref.]:[Check Periodo Ref.]]="Dentro",IF(DATOS_[[Check Equiparado]:[Check Equiparado]]="Sí",IF(DATOS!AW$5="Sí",(1/DATOS_[[% anualiz]:[% anualiz]]),1)*IF(DATOS!AW$4="Sí",1/DATOS_[[% normaliz]:[% normaliz]],1)*(DATOS_[Conc.Sal.19])))))))),
0)</f>
        <v>0</v>
      </c>
      <c r="AC34" s="196">
        <f t="array" ref="AC34">IFERROR(
(MEDIAN((IF(DATOS_[[Sexo]:[Sexo]]=$B34,IF(DATOS_[[AGRUP. VALOR. PTO.]:[AGRUP. VALOR. PTO.]]=$B33,IF(DATOS_[[Check Periodo Ref.]:[Check Periodo Ref.]]="Dentro",IF(DATOS_[[Check Equiparado]:[Check Equiparado]]="Sí",IF(DATOS!AX$5="Sí",(1/DATOS_[[% anualiz]:[% anualiz]]),1)*IF(DATOS!AX$4="Sí",1/DATOS_[[% normaliz]:[% normaliz]],1)*(DATOS_[Conc.Sal.20])))))))),
0)</f>
        <v>0</v>
      </c>
      <c r="AD34" s="196">
        <f t="array" ref="AD34">IFERROR(
(MEDIAN((IF(DATOS_[[Sexo]:[Sexo]]=$B34,IF(DATOS_[[AGRUP. VALOR. PTO.]:[AGRUP. VALOR. PTO.]]=$B33,IF(DATOS_[[Check Periodo Ref.]:[Check Periodo Ref.]]="Dentro",IF(DATOS_[[Check Equiparado]:[Check Equiparado]]="Sí",IF(DATOS!AY$5="Sí",(1/DATOS_[[% anualiz]:[% anualiz]]),1)*IF(DATOS!AY$4="Sí",1/DATOS_[[% normaliz]:[% normaliz]],1)*(DATOS_[Conc.Sal.21])))))))),
0)</f>
        <v>0</v>
      </c>
      <c r="AE34" s="196">
        <f t="array" ref="AE34">IFERROR(
(MEDIAN((IF(DATOS_[[Sexo]:[Sexo]]=$B34,IF(DATOS_[[AGRUP. VALOR. PTO.]:[AGRUP. VALOR. PTO.]]=$B33,IF(DATOS_[[Check Periodo Ref.]:[Check Periodo Ref.]]="Dentro",IF(DATOS_[[Check Equiparado]:[Check Equiparado]]="Sí",IF(DATOS!AZ$5="Sí",(1/DATOS_[[% anualiz]:[% anualiz]]),1)*IF(DATOS!AZ$4="Sí",1/DATOS_[[% normaliz]:[% normaliz]],1)*(DATOS_[Conc.Sal.22])))))))),
0)</f>
        <v>0</v>
      </c>
      <c r="AF34" s="196">
        <f t="array" ref="AF34">IFERROR(
(MEDIAN((IF(DATOS_[[Sexo]:[Sexo]]=$B34,IF(DATOS_[[AGRUP. VALOR. PTO.]:[AGRUP. VALOR. PTO.]]=$B33,IF(DATOS_[[Check Periodo Ref.]:[Check Periodo Ref.]]="Dentro",IF(DATOS_[[Check Equiparado]:[Check Equiparado]]="Sí",IF(DATOS!BA$5="Sí",(1/DATOS_[[% anualiz]:[% anualiz]]),1)*IF(DATOS!BA$4="Sí",1/DATOS_[[% normaliz]:[% normaliz]],1)*(DATOS_[Conc.Sal.23])))))))),
0)</f>
        <v>0</v>
      </c>
      <c r="AG34" s="196">
        <f t="array" ref="AG34">IFERROR(
(MEDIAN((IF(DATOS_[[Sexo]:[Sexo]]=$B34,IF(DATOS_[[AGRUP. VALOR. PTO.]:[AGRUP. VALOR. PTO.]]=$B33,IF(DATOS_[[Check Periodo Ref.]:[Check Periodo Ref.]]="Dentro",IF(DATOS_[[Check Equiparado]:[Check Equiparado]]="Sí",IF(DATOS!BB$5="Sí",(1/DATOS_[[% anualiz]:[% anualiz]]),1)*IF(DATOS!BB$4="Sí",1/DATOS_[[% normaliz]:[% normaliz]],1)*(DATOS_[Conc.Sal.24])))))))),
0)</f>
        <v>0</v>
      </c>
      <c r="AH34" s="196">
        <f t="array" ref="AH34">IFERROR(
(MEDIAN((IF(DATOS_[[Sexo]:[Sexo]]=$B34,IF(DATOS_[[AGRUP. VALOR. PTO.]:[AGRUP. VALOR. PTO.]]=$B33,IF(DATOS_[[Check Periodo Ref.]:[Check Periodo Ref.]]="Dentro",IF(DATOS_[[Check Equiparado]:[Check Equiparado]]="Sí",IF(DATOS!BC$5="Sí",(1/DATOS_[[% anualiz]:[% anualiz]]),1)*IF(DATOS!BC$4="Sí",1/DATOS_[[% normaliz]:[% normaliz]],1)*(DATOS_[Conc.Sal.25])))))))),
0)</f>
        <v>0</v>
      </c>
      <c r="AI34" s="196">
        <f t="array" ref="AI34">IFERROR(
(MEDIAN((IF(DATOS_[[Sexo]:[Sexo]]=$B34,IF(DATOS_[[AGRUP. VALOR. PTO.]:[AGRUP. VALOR. PTO.]]=$B33,IF(DATOS_[[Check Periodo Ref.]:[Check Periodo Ref.]]="Dentro",IF(DATOS_[[Check Equiparado]:[Check Equiparado]]="Sí",IF(DATOS!BD$5="Sí",(1/DATOS_[[% anualiz]:[% anualiz]]),1)*IF(DATOS!BD$4="Sí",1/DATOS_[[% normaliz]:[% normaliz]],1)*(DATOS_[Conc.Sal.26])))))))),
0)</f>
        <v>0</v>
      </c>
      <c r="AJ34" s="196">
        <f t="array" ref="AJ34">IFERROR(
(MEDIAN((IF(DATOS_[[Sexo]:[Sexo]]=$B34,IF(DATOS_[[AGRUP. VALOR. PTO.]:[AGRUP. VALOR. PTO.]]=$B33,IF(DATOS_[[Check Periodo Ref.]:[Check Periodo Ref.]]="Dentro",IF(DATOS_[[Check Equiparado]:[Check Equiparado]]="Sí",IF(DATOS!BE$5="Sí",(1/DATOS_[[% anualiz]:[% anualiz]]),1)*IF(DATOS!BE$4="Sí",1/DATOS_[[% normaliz]:[% normaliz]],1)*(DATOS_[Conc.Sal.27])))))))),
0)</f>
        <v>0</v>
      </c>
      <c r="AK34" s="196">
        <f t="array" ref="AK34">IFERROR(
(MEDIAN((IF(DATOS_[[Sexo]:[Sexo]]=$B34,IF(DATOS_[[AGRUP. VALOR. PTO.]:[AGRUP. VALOR. PTO.]]=$B33,IF(DATOS_[[Check Periodo Ref.]:[Check Periodo Ref.]]="Dentro",IF(DATOS_[[Check Equiparado]:[Check Equiparado]]="Sí",IF(DATOS!BF$5="Sí",(1/DATOS_[[% anualiz]:[% anualiz]]),1)*IF(DATOS!BF$4="Sí",1/DATOS_[[% normaliz]:[% normaliz]],1)*(DATOS_[Conc.Sal.28])))))))),
0)</f>
        <v>0</v>
      </c>
      <c r="AL34" s="196">
        <f t="array" ref="AL34">IFERROR(
(MEDIAN((IF(DATOS_[[Sexo]:[Sexo]]=$B34,IF(DATOS_[[AGRUP. VALOR. PTO.]:[AGRUP. VALOR. PTO.]]=$B33,IF(DATOS_[[Check Periodo Ref.]:[Check Periodo Ref.]]="Dentro",IF(DATOS_[[Check Equiparado]:[Check Equiparado]]="Sí",IF(DATOS!BG$5="Sí",(1/DATOS_[[% anualiz]:[% anualiz]]),1)*IF(DATOS!BG$4="Sí",1/DATOS_[[% normaliz]:[% normaliz]],1)*(DATOS_[Conc.Sal.29])))))))),
0)</f>
        <v>0</v>
      </c>
      <c r="AM34" s="196">
        <f t="array" ref="AM34">IFERROR(
(MEDIAN((IF(DATOS_[[Sexo]:[Sexo]]=$B34,IF(DATOS_[[AGRUP. VALOR. PTO.]:[AGRUP. VALOR. PTO.]]=$B33,IF(DATOS_[[Check Periodo Ref.]:[Check Periodo Ref.]]="Dentro",IF(DATOS_[[Check Equiparado]:[Check Equiparado]]="Sí",IF(DATOS!BH$5="Sí",(1/DATOS_[[% anualiz]:[% anualiz]]),1)*IF(DATOS!BH$4="Sí",1/DATOS_[[% normaliz]:[% normaliz]],1)*(DATOS_[Conc.Sal.30])))))))),
0)</f>
        <v>0</v>
      </c>
      <c r="AN34" s="195">
        <f t="array" ref="AN34">IFERROR(
MEDIAN(IF(DATOS_[Sexo]=$B34,IF(DATOS_[[AGRUP. VALOR. PTO.]:[AGRUP. VALOR. PTO.]]=$B33,IF(DATOS_[Check Equiparado]="Sí",IF(DATOS_[Check Periodo Ref.]="Dentro",DATOS_[Tot COMPL.SAL Eq],FALSE))))),
0)</f>
        <v>0</v>
      </c>
      <c r="AO34" s="172">
        <f t="array" ref="AO34">IFERROR(
MEDIAN(IF(DATOS_[Sexo]=$B34,IF(DATOS_[[AGRUP. VALOR. PTO.]:[AGRUP. VALOR. PTO.]]=$B33,IF(DATOS_[Check Equiparado]="Sí",IF(DATOS_[Check Periodo Ref.]="Dentro",DATOS_[TOTAL SALARIO Eq],FALSE))))),
0)</f>
        <v>0</v>
      </c>
      <c r="AP34" s="173">
        <f t="array" ref="AP34">IFERROR(
(MEDIAN((IF(DATOS_[[Sexo]:[Sexo]]=$B34,IF(DATOS_[[AGRUP. VALOR. PTO.]:[AGRUP. VALOR. PTO.]]=$B33,IF(DATOS_[[Check Periodo Ref.]:[Check Periodo Ref.]]="Dentro",IF(DATOS_[[Check Equiparado]:[Check Equiparado]]="Sí",IF(DATOS!BW$5="Sí",(1/DATOS_[[% anualiz]:[% anualiz]]),1)*IF(DATOS!BW$4="Sí",1/DATOS_[[% normaliz]:[% normaliz]],1)*(DATOS_[C.Extra.01])))))))),
0)</f>
        <v>0</v>
      </c>
      <c r="AQ34" s="173">
        <f t="array" ref="AQ34">IFERROR(
(MEDIAN((IF(DATOS_[[Sexo]:[Sexo]]=$B34,IF(DATOS_[[AGRUP. VALOR. PTO.]:[AGRUP. VALOR. PTO.]]=$B33,IF(DATOS_[[Check Periodo Ref.]:[Check Periodo Ref.]]="Dentro",IF(DATOS_[[Check Equiparado]:[Check Equiparado]]="Sí",IF(DATOS!CB$5="Sí",(1/DATOS_[[% anualiz]:[% anualiz]]),1)*IF(DATOS!CB$4="Sí",1/DATOS_[[% normaliz]:[% normaliz]],1)*(DATOS_[C.Extra.06])))))))),
0)</f>
        <v>0</v>
      </c>
      <c r="AR34" s="173">
        <f t="array" ref="AR34">IFERROR(
(MEDIAN((IF(DATOS_[[Sexo]:[Sexo]]=$B34,IF(DATOS_[[AGRUP. VALOR. PTO.]:[AGRUP. VALOR. PTO.]]=$B33,IF(DATOS_[[Check Periodo Ref.]:[Check Periodo Ref.]]="Dentro",IF(DATOS_[[Check Equiparado]:[Check Equiparado]]="Sí",IF(DATOS!CC$5="Sí",(1/DATOS_[[% anualiz]:[% anualiz]]),1)*IF(DATOS!CC$4="Sí",1/DATOS_[[% normaliz]:[% normaliz]],1)*(DATOS_[C.Extra.07])))))))),
0)</f>
        <v>0</v>
      </c>
      <c r="AS34" s="173">
        <f t="array" ref="AS34">IFERROR(
(MEDIAN((IF(DATOS_[[Sexo]:[Sexo]]=$B34,IF(DATOS_[[AGRUP. VALOR. PTO.]:[AGRUP. VALOR. PTO.]]=$B33,IF(DATOS_[[Check Periodo Ref.]:[Check Periodo Ref.]]="Dentro",IF(DATOS_[[Check Equiparado]:[Check Equiparado]]="Sí",IF(DATOS!CD$5="Sí",(1/DATOS_[[% anualiz]:[% anualiz]]),1)*IF(DATOS!CD$4="Sí",1/DATOS_[[% normaliz]:[% normaliz]],1)*(DATOS_[C.Extra.08])))))))),
0)</f>
        <v>0</v>
      </c>
      <c r="AT34" s="173">
        <f t="array" ref="AT34">IFERROR(
(MEDIAN((IF(DATOS_[[Sexo]:[Sexo]]=$B34,IF(DATOS_[[AGRUP. VALOR. PTO.]:[AGRUP. VALOR. PTO.]]=$B33,IF(DATOS_[[Check Periodo Ref.]:[Check Periodo Ref.]]="Dentro",IF(DATOS_[[Check Equiparado]:[Check Equiparado]]="Sí",IF(DATOS!CG$5="Sí",(1/DATOS_[[% anualiz]:[% anualiz]]),1)*IF(DATOS!CG$4="Sí",1/DATOS_[[% normaliz]:[% normaliz]],1)*(DATOS_[C.Extra.11])))))))),
0)</f>
        <v>0</v>
      </c>
      <c r="AU34" s="197">
        <f t="array" ref="AU34">IFERROR(
MEDIAN(IF(DATOS_[Sexo]=$B34,IF(DATOS_[[AGRUP. VALOR. PTO.]:[AGRUP. VALOR. PTO.]]=$B33,IF(DATOS_[Check Equiparado]="Sí",IF(DATOS_[Check Periodo Ref.]="Dentro",DATOS_[Tot Extrasalarial Eq],FALSE))))),
0)</f>
        <v>0</v>
      </c>
      <c r="AV34" s="175">
        <f t="array" ref="AV34">IFERROR(
MEDIAN(IF(DATOS_[Sexo]=$B34,IF(DATOS_[[AGRUP. VALOR. PTO.]:[AGRUP. VALOR. PTO.]]=$B33,IF(DATOS_[Check Equiparado]="Sí",IF(DATOS_[Check Periodo Ref.]="Dentro",DATOS_[TOTAL Retrib Eq],FALSE))))),
0)</f>
        <v>0</v>
      </c>
    </row>
    <row r="35" spans="1:48" x14ac:dyDescent="0.25">
      <c r="A35" s="133" t="str">
        <f t="shared" ref="A35" si="30">+A34</f>
        <v>[ocultar]</v>
      </c>
      <c r="B35" s="202" t="s">
        <v>521</v>
      </c>
      <c r="C35" s="203">
        <f t="array" ref="C35">SUM(IF($B35=DATOS_[Sexo],
IF($B33=DATOS_[AGRUP. VALOR. PTO.],
IF("Dentro"=DATOS_[Check Periodo Ref.],
1/(COUNTIFS(DATOS_[Sexo],$B35,DATOS_[AGRUP. VALOR. PTO.],$B33,DATOS_[Check Periodo Ref.],"Dentro",DATOS_[id/cod],DATOS_[id/cod]))))))</f>
        <v>0</v>
      </c>
      <c r="D35" s="204">
        <f>COUNTIFS(DATOS_[AGRUP. VALOR. PTO.],$B33,DATOS_[Sexo],$B35,DATOS_[Check Periodo Ref.],"Dentro")</f>
        <v>0</v>
      </c>
      <c r="E35" s="204">
        <f>COUNTIFS(DATOS_[AGRUP. VALOR. PTO.],$B33,DATOS_[Sexo],$B35,DATOS_[Check Periodo Ref.],"Dentro",DATOS_[Check Nº SC Norm],"Sí")</f>
        <v>0</v>
      </c>
      <c r="F35" s="204">
        <f>COUNTIFS(DATOS_[AGRUP. VALOR. PTO.],$B33,DATOS_[Sexo],$B35,DATOS_[Check Periodo Ref.],"Dentro",DATOS_[Check Nº SC Anualiz],"Sí")</f>
        <v>0</v>
      </c>
      <c r="G35" s="204">
        <f>COUNTIFS(DATOS_[AGRUP. VALOR. PTO.],$B33,DATOS_[Sexo],$B35,DATOS_[Check Periodo Ref.],"Dentro",DATOS_[Check Nº SC Norm y Anualiz],"Sí")</f>
        <v>0</v>
      </c>
      <c r="H35" s="204">
        <f>COUNTIFS(DATOS_[AGRUP. VALOR. PTO.],$B33,DATOS_[Sexo],$B35,DATOS_[Check Periodo Ref.],"Dentro",DATOS_[Check Equiparación],"Sí")</f>
        <v>0</v>
      </c>
      <c r="I35" s="195" cm="1">
        <f t="array" ref="I35">IFERROR(
MEDIAN(IF(DATOS_[Sexo]=$B35,IF(DATOS_[[AGRUP. VALOR. PTO.]:[AGRUP. VALOR. PTO.]]=$B33,IF(DATOS_[Check Equiparado]="Sí",IF(DATOS_[Check Periodo Ref.]="Dentro",DATOS_[SALARIO BASE Eq],FALSE))))),
0)</f>
        <v>0</v>
      </c>
      <c r="J35" s="196">
        <f t="array" ref="J35">IFERROR(
(MEDIAN((IF(DATOS_[[Sexo]:[Sexo]]=$B35,IF(DATOS_[[AGRUP. VALOR. PTO.]:[AGRUP. VALOR. PTO.]]=$B33,IF(DATOS_[[Check Periodo Ref.]:[Check Periodo Ref.]]="Dentro",IF(DATOS_[[Check Equiparado]:[Check Equiparado]]="Sí",IF(DATOS!AE$5="Sí",(1/DATOS_[[% anualiz]:[% anualiz]]),1)*IF(DATOS!AE$4="Sí",1/DATOS_[[% normaliz]:[% normaliz]],1)*(DATOS_[Conc.Sal.01])))))))),
0)</f>
        <v>0</v>
      </c>
      <c r="K35" s="196">
        <f t="array" ref="K35">IFERROR(
(MEDIAN((IF(DATOS_[[Sexo]:[Sexo]]=$B35,IF(DATOS_[[AGRUP. VALOR. PTO.]:[AGRUP. VALOR. PTO.]]=$B33,IF(DATOS_[[Check Periodo Ref.]:[Check Periodo Ref.]]="Dentro",IF(DATOS_[[Check Equiparado]:[Check Equiparado]]="Sí",IF(DATOS!AF$5="Sí",(1/DATOS_[[% anualiz]:[% anualiz]]),1)*IF(DATOS!AF$4="Sí",1/DATOS_[[% normaliz]:[% normaliz]],1)*(DATOS_[Conc.Sal.02])))))))),
0)</f>
        <v>0</v>
      </c>
      <c r="L35" s="196">
        <f t="array" ref="L35">IFERROR(
(MEDIAN((IF(DATOS_[[Sexo]:[Sexo]]=$B35,IF(DATOS_[[AGRUP. VALOR. PTO.]:[AGRUP. VALOR. PTO.]]=$B33,IF(DATOS_[[Check Periodo Ref.]:[Check Periodo Ref.]]="Dentro",IF(DATOS_[[Check Equiparado]:[Check Equiparado]]="Sí",IF(DATOS!AG$5="Sí",(1/DATOS_[[% anualiz]:[% anualiz]]),1)*IF(DATOS!AG$4="Sí",1/DATOS_[[% normaliz]:[% normaliz]],1)*(DATOS_[Conc.Sal.03])))))))),
0)</f>
        <v>0</v>
      </c>
      <c r="M35" s="196">
        <f t="array" ref="M35">IFERROR(
(MEDIAN((IF(DATOS_[[Sexo]:[Sexo]]=$B35,IF(DATOS_[[AGRUP. VALOR. PTO.]:[AGRUP. VALOR. PTO.]]=$B33,IF(DATOS_[[Check Periodo Ref.]:[Check Periodo Ref.]]="Dentro",IF(DATOS_[[Check Equiparado]:[Check Equiparado]]="Sí",IF(DATOS!AH$5="Sí",(1/DATOS_[[% anualiz]:[% anualiz]]),1)*IF(DATOS!AH$4="Sí",1/DATOS_[[% normaliz]:[% normaliz]],1)*(DATOS_[Conc.Sal.04])))))))),
0)</f>
        <v>0</v>
      </c>
      <c r="N35" s="196">
        <f t="array" ref="N35">IFERROR(
(MEDIAN((IF(DATOS_[[Sexo]:[Sexo]]=$B35,IF(DATOS_[[AGRUP. VALOR. PTO.]:[AGRUP. VALOR. PTO.]]=$B33,IF(DATOS_[[Check Periodo Ref.]:[Check Periodo Ref.]]="Dentro",IF(DATOS_[[Check Equiparado]:[Check Equiparado]]="Sí",IF(DATOS!AI$5="Sí",(1/DATOS_[[% anualiz]:[% anualiz]]),1)*IF(DATOS!AI$4="Sí",1/DATOS_[[% normaliz]:[% normaliz]],1)*(DATOS_[Conc.Sal.05])))))))),
0)</f>
        <v>0</v>
      </c>
      <c r="O35" s="196">
        <f t="array" ref="O35">IFERROR(
(MEDIAN((IF(DATOS_[[Sexo]:[Sexo]]=$B35,IF(DATOS_[[AGRUP. VALOR. PTO.]:[AGRUP. VALOR. PTO.]]=$B33,IF(DATOS_[[Check Periodo Ref.]:[Check Periodo Ref.]]="Dentro",IF(DATOS_[[Check Equiparado]:[Check Equiparado]]="Sí",IF(DATOS!AJ$5="Sí",(1/DATOS_[[% anualiz]:[% anualiz]]),1)*IF(DATOS!AJ$4="Sí",1/DATOS_[[% normaliz]:[% normaliz]],1)*(DATOS_[Conc.Sal.06])))))))),
0)</f>
        <v>0</v>
      </c>
      <c r="P35" s="196">
        <f t="array" ref="P35">IFERROR(
(MEDIAN((IF(DATOS_[[Sexo]:[Sexo]]=$B35,IF(DATOS_[[AGRUP. VALOR. PTO.]:[AGRUP. VALOR. PTO.]]=$B33,IF(DATOS_[[Check Periodo Ref.]:[Check Periodo Ref.]]="Dentro",IF(DATOS_[[Check Equiparado]:[Check Equiparado]]="Sí",IF(DATOS!AK$5="Sí",(1/DATOS_[[% anualiz]:[% anualiz]]),1)*IF(DATOS!AK$4="Sí",1/DATOS_[[% normaliz]:[% normaliz]],1)*(DATOS_[Conc.Sal.07])))))))),
0)</f>
        <v>0</v>
      </c>
      <c r="Q35" s="196">
        <f t="array" ref="Q35">IFERROR(
(MEDIAN((IF(DATOS_[[Sexo]:[Sexo]]=$B35,IF(DATOS_[[AGRUP. VALOR. PTO.]:[AGRUP. VALOR. PTO.]]=$B33,IF(DATOS_[[Check Periodo Ref.]:[Check Periodo Ref.]]="Dentro",IF(DATOS_[[Check Equiparado]:[Check Equiparado]]="Sí",IF(DATOS!AL$5="Sí",(1/DATOS_[[% anualiz]:[% anualiz]]),1)*IF(DATOS!AL$4="Sí",1/DATOS_[[% normaliz]:[% normaliz]],1)*(DATOS_[Conc.Sal.08])))))))),
0)</f>
        <v>0</v>
      </c>
      <c r="R35" s="196">
        <f t="array" ref="R35">IFERROR(
(MEDIAN((IF(DATOS_[[Sexo]:[Sexo]]=$B35,IF(DATOS_[[AGRUP. VALOR. PTO.]:[AGRUP. VALOR. PTO.]]=$B33,IF(DATOS_[[Check Periodo Ref.]:[Check Periodo Ref.]]="Dentro",IF(DATOS_[[Check Equiparado]:[Check Equiparado]]="Sí",IF(DATOS!AM$5="Sí",(1/DATOS_[[% anualiz]:[% anualiz]]),1)*IF(DATOS!AM$4="Sí",1/DATOS_[[% normaliz]:[% normaliz]],1)*(DATOS_[Conc.Sal.09])))))))),
0)</f>
        <v>0</v>
      </c>
      <c r="S35" s="196">
        <f t="array" ref="S35">IFERROR(
(MEDIAN((IF(DATOS_[[Sexo]:[Sexo]]=$B35,IF(DATOS_[[AGRUP. VALOR. PTO.]:[AGRUP. VALOR. PTO.]]=$B33,IF(DATOS_[[Check Periodo Ref.]:[Check Periodo Ref.]]="Dentro",IF(DATOS_[[Check Equiparado]:[Check Equiparado]]="Sí",IF(DATOS!AN$5="Sí",(1/DATOS_[[% anualiz]:[% anualiz]]),1)*IF(DATOS!AN$4="Sí",1/DATOS_[[% normaliz]:[% normaliz]],1)*(DATOS_[Conc.Sal.10])))))))),
0)</f>
        <v>0</v>
      </c>
      <c r="T35" s="196">
        <f t="array" ref="T35">IFERROR(
(MEDIAN((IF(DATOS_[[Sexo]:[Sexo]]=$B35,IF(DATOS_[[AGRUP. VALOR. PTO.]:[AGRUP. VALOR. PTO.]]=$B33,IF(DATOS_[[Check Periodo Ref.]:[Check Periodo Ref.]]="Dentro",IF(DATOS_[[Check Equiparado]:[Check Equiparado]]="Sí",IF(DATOS!AO$5="Sí",(1/DATOS_[[% anualiz]:[% anualiz]]),1)*IF(DATOS!AO$4="Sí",1/DATOS_[[% normaliz]:[% normaliz]],1)*(DATOS_[Conc.Sal.11])))))))),
0)</f>
        <v>0</v>
      </c>
      <c r="U35" s="196">
        <f t="array" ref="U35">IFERROR(
(MEDIAN((IF(DATOS_[[Sexo]:[Sexo]]=$B35,IF(DATOS_[[AGRUP. VALOR. PTO.]:[AGRUP. VALOR. PTO.]]=$B33,IF(DATOS_[[Check Periodo Ref.]:[Check Periodo Ref.]]="Dentro",IF(DATOS_[[Check Equiparado]:[Check Equiparado]]="Sí",IF(DATOS!AP$5="Sí",(1/DATOS_[[% anualiz]:[% anualiz]]),1)*IF(DATOS!AP$4="Sí",1/DATOS_[[% normaliz]:[% normaliz]],1)*(DATOS_[Conc.Sal.12])))))))),
0)</f>
        <v>0</v>
      </c>
      <c r="V35" s="196">
        <f t="array" ref="V35">IFERROR(
(MEDIAN((IF(DATOS_[[Sexo]:[Sexo]]=$B35,IF(DATOS_[[AGRUP. VALOR. PTO.]:[AGRUP. VALOR. PTO.]]=$B33,IF(DATOS_[[Check Periodo Ref.]:[Check Periodo Ref.]]="Dentro",IF(DATOS_[[Check Equiparado]:[Check Equiparado]]="Sí",IF(DATOS!AQ$5="Sí",(1/DATOS_[[% anualiz]:[% anualiz]]),1)*IF(DATOS!AQ$4="Sí",1/DATOS_[[% normaliz]:[% normaliz]],1)*(DATOS_[Conc.Sal.13])))))))),
0)</f>
        <v>0</v>
      </c>
      <c r="W35" s="196">
        <f t="array" ref="W35">IFERROR(
(MEDIAN((IF(DATOS_[[Sexo]:[Sexo]]=$B35,IF(DATOS_[[AGRUP. VALOR. PTO.]:[AGRUP. VALOR. PTO.]]=$B33,IF(DATOS_[[Check Periodo Ref.]:[Check Periodo Ref.]]="Dentro",IF(DATOS_[[Check Equiparado]:[Check Equiparado]]="Sí",IF(DATOS!AR$5="Sí",(1/DATOS_[[% anualiz]:[% anualiz]]),1)*IF(DATOS!AR$4="Sí",1/DATOS_[[% normaliz]:[% normaliz]],1)*(DATOS_[Conc.Sal.14])))))))),
0)</f>
        <v>0</v>
      </c>
      <c r="X35" s="196">
        <f t="array" ref="X35">IFERROR(
(MEDIAN((IF(DATOS_[[Sexo]:[Sexo]]=$B35,IF(DATOS_[[AGRUP. VALOR. PTO.]:[AGRUP. VALOR. PTO.]]=$B33,IF(DATOS_[[Check Periodo Ref.]:[Check Periodo Ref.]]="Dentro",IF(DATOS_[[Check Equiparado]:[Check Equiparado]]="Sí",IF(DATOS!AS$5="Sí",(1/DATOS_[[% anualiz]:[% anualiz]]),1)*IF(DATOS!AS$4="Sí",1/DATOS_[[% normaliz]:[% normaliz]],1)*(DATOS_[Conc.Sal.15])))))))),
0)</f>
        <v>0</v>
      </c>
      <c r="Y35" s="196">
        <f t="array" ref="Y35">IFERROR(
(MEDIAN((IF(DATOS_[[Sexo]:[Sexo]]=$B35,IF(DATOS_[[AGRUP. VALOR. PTO.]:[AGRUP. VALOR. PTO.]]=$B33,IF(DATOS_[[Check Periodo Ref.]:[Check Periodo Ref.]]="Dentro",IF(DATOS_[[Check Equiparado]:[Check Equiparado]]="Sí",IF(DATOS!AT$5="Sí",(1/DATOS_[[% anualiz]:[% anualiz]]),1)*IF(DATOS!AT$4="Sí",1/DATOS_[[% normaliz]:[% normaliz]],1)*(DATOS_[Conc.Sal.16])))))))),
0)</f>
        <v>0</v>
      </c>
      <c r="Z35" s="196">
        <f t="array" ref="Z35">IFERROR(
(MEDIAN((IF(DATOS_[[Sexo]:[Sexo]]=$B35,IF(DATOS_[[AGRUP. VALOR. PTO.]:[AGRUP. VALOR. PTO.]]=$B33,IF(DATOS_[[Check Periodo Ref.]:[Check Periodo Ref.]]="Dentro",IF(DATOS_[[Check Equiparado]:[Check Equiparado]]="Sí",IF(DATOS!AU$5="Sí",(1/DATOS_[[% anualiz]:[% anualiz]]),1)*IF(DATOS!AU$4="Sí",1/DATOS_[[% normaliz]:[% normaliz]],1)*(DATOS_[Conc.Sal.17])))))))),
0)</f>
        <v>0</v>
      </c>
      <c r="AA35" s="196">
        <f t="array" ref="AA35">IFERROR(
(MEDIAN((IF(DATOS_[[Sexo]:[Sexo]]=$B35,IF(DATOS_[[AGRUP. VALOR. PTO.]:[AGRUP. VALOR. PTO.]]=$B33,IF(DATOS_[[Check Periodo Ref.]:[Check Periodo Ref.]]="Dentro",IF(DATOS_[[Check Equiparado]:[Check Equiparado]]="Sí",IF(DATOS!AV$5="Sí",(1/DATOS_[[% anualiz]:[% anualiz]]),1)*IF(DATOS!AV$4="Sí",1/DATOS_[[% normaliz]:[% normaliz]],1)*(DATOS_[Conc.Sal.18])))))))),
0)</f>
        <v>0</v>
      </c>
      <c r="AB35" s="196">
        <f t="array" ref="AB35">IFERROR(
(MEDIAN((IF(DATOS_[[Sexo]:[Sexo]]=$B35,IF(DATOS_[[AGRUP. VALOR. PTO.]:[AGRUP. VALOR. PTO.]]=$B33,IF(DATOS_[[Check Periodo Ref.]:[Check Periodo Ref.]]="Dentro",IF(DATOS_[[Check Equiparado]:[Check Equiparado]]="Sí",IF(DATOS!AW$5="Sí",(1/DATOS_[[% anualiz]:[% anualiz]]),1)*IF(DATOS!AW$4="Sí",1/DATOS_[[% normaliz]:[% normaliz]],1)*(DATOS_[Conc.Sal.19])))))))),
0)</f>
        <v>0</v>
      </c>
      <c r="AC35" s="196">
        <f t="array" ref="AC35">IFERROR(
(MEDIAN((IF(DATOS_[[Sexo]:[Sexo]]=$B35,IF(DATOS_[[AGRUP. VALOR. PTO.]:[AGRUP. VALOR. PTO.]]=$B33,IF(DATOS_[[Check Periodo Ref.]:[Check Periodo Ref.]]="Dentro",IF(DATOS_[[Check Equiparado]:[Check Equiparado]]="Sí",IF(DATOS!AX$5="Sí",(1/DATOS_[[% anualiz]:[% anualiz]]),1)*IF(DATOS!AX$4="Sí",1/DATOS_[[% normaliz]:[% normaliz]],1)*(DATOS_[Conc.Sal.20])))))))),
0)</f>
        <v>0</v>
      </c>
      <c r="AD35" s="196">
        <f t="array" ref="AD35">IFERROR(
(MEDIAN((IF(DATOS_[[Sexo]:[Sexo]]=$B35,IF(DATOS_[[AGRUP. VALOR. PTO.]:[AGRUP. VALOR. PTO.]]=$B33,IF(DATOS_[[Check Periodo Ref.]:[Check Periodo Ref.]]="Dentro",IF(DATOS_[[Check Equiparado]:[Check Equiparado]]="Sí",IF(DATOS!AY$5="Sí",(1/DATOS_[[% anualiz]:[% anualiz]]),1)*IF(DATOS!AY$4="Sí",1/DATOS_[[% normaliz]:[% normaliz]],1)*(DATOS_[Conc.Sal.21])))))))),
0)</f>
        <v>0</v>
      </c>
      <c r="AE35" s="196">
        <f t="array" ref="AE35">IFERROR(
(MEDIAN((IF(DATOS_[[Sexo]:[Sexo]]=$B35,IF(DATOS_[[AGRUP. VALOR. PTO.]:[AGRUP. VALOR. PTO.]]=$B33,IF(DATOS_[[Check Periodo Ref.]:[Check Periodo Ref.]]="Dentro",IF(DATOS_[[Check Equiparado]:[Check Equiparado]]="Sí",IF(DATOS!AZ$5="Sí",(1/DATOS_[[% anualiz]:[% anualiz]]),1)*IF(DATOS!AZ$4="Sí",1/DATOS_[[% normaliz]:[% normaliz]],1)*(DATOS_[Conc.Sal.22])))))))),
0)</f>
        <v>0</v>
      </c>
      <c r="AF35" s="196">
        <f t="array" ref="AF35">IFERROR(
(MEDIAN((IF(DATOS_[[Sexo]:[Sexo]]=$B35,IF(DATOS_[[AGRUP. VALOR. PTO.]:[AGRUP. VALOR. PTO.]]=$B33,IF(DATOS_[[Check Periodo Ref.]:[Check Periodo Ref.]]="Dentro",IF(DATOS_[[Check Equiparado]:[Check Equiparado]]="Sí",IF(DATOS!BA$5="Sí",(1/DATOS_[[% anualiz]:[% anualiz]]),1)*IF(DATOS!BA$4="Sí",1/DATOS_[[% normaliz]:[% normaliz]],1)*(DATOS_[Conc.Sal.23])))))))),
0)</f>
        <v>0</v>
      </c>
      <c r="AG35" s="196">
        <f t="array" ref="AG35">IFERROR(
(MEDIAN((IF(DATOS_[[Sexo]:[Sexo]]=$B35,IF(DATOS_[[AGRUP. VALOR. PTO.]:[AGRUP. VALOR. PTO.]]=$B33,IF(DATOS_[[Check Periodo Ref.]:[Check Periodo Ref.]]="Dentro",IF(DATOS_[[Check Equiparado]:[Check Equiparado]]="Sí",IF(DATOS!BB$5="Sí",(1/DATOS_[[% anualiz]:[% anualiz]]),1)*IF(DATOS!BB$4="Sí",1/DATOS_[[% normaliz]:[% normaliz]],1)*(DATOS_[Conc.Sal.24])))))))),
0)</f>
        <v>0</v>
      </c>
      <c r="AH35" s="196">
        <f t="array" ref="AH35">IFERROR(
(MEDIAN((IF(DATOS_[[Sexo]:[Sexo]]=$B35,IF(DATOS_[[AGRUP. VALOR. PTO.]:[AGRUP. VALOR. PTO.]]=$B33,IF(DATOS_[[Check Periodo Ref.]:[Check Periodo Ref.]]="Dentro",IF(DATOS_[[Check Equiparado]:[Check Equiparado]]="Sí",IF(DATOS!BC$5="Sí",(1/DATOS_[[% anualiz]:[% anualiz]]),1)*IF(DATOS!BC$4="Sí",1/DATOS_[[% normaliz]:[% normaliz]],1)*(DATOS_[Conc.Sal.25])))))))),
0)</f>
        <v>0</v>
      </c>
      <c r="AI35" s="196">
        <f t="array" ref="AI35">IFERROR(
(MEDIAN((IF(DATOS_[[Sexo]:[Sexo]]=$B35,IF(DATOS_[[AGRUP. VALOR. PTO.]:[AGRUP. VALOR. PTO.]]=$B33,IF(DATOS_[[Check Periodo Ref.]:[Check Periodo Ref.]]="Dentro",IF(DATOS_[[Check Equiparado]:[Check Equiparado]]="Sí",IF(DATOS!BD$5="Sí",(1/DATOS_[[% anualiz]:[% anualiz]]),1)*IF(DATOS!BD$4="Sí",1/DATOS_[[% normaliz]:[% normaliz]],1)*(DATOS_[Conc.Sal.26])))))))),
0)</f>
        <v>0</v>
      </c>
      <c r="AJ35" s="196">
        <f t="array" ref="AJ35">IFERROR(
(MEDIAN((IF(DATOS_[[Sexo]:[Sexo]]=$B35,IF(DATOS_[[AGRUP. VALOR. PTO.]:[AGRUP. VALOR. PTO.]]=$B33,IF(DATOS_[[Check Periodo Ref.]:[Check Periodo Ref.]]="Dentro",IF(DATOS_[[Check Equiparado]:[Check Equiparado]]="Sí",IF(DATOS!BE$5="Sí",(1/DATOS_[[% anualiz]:[% anualiz]]),1)*IF(DATOS!BE$4="Sí",1/DATOS_[[% normaliz]:[% normaliz]],1)*(DATOS_[Conc.Sal.27])))))))),
0)</f>
        <v>0</v>
      </c>
      <c r="AK35" s="196">
        <f t="array" ref="AK35">IFERROR(
(MEDIAN((IF(DATOS_[[Sexo]:[Sexo]]=$B35,IF(DATOS_[[AGRUP. VALOR. PTO.]:[AGRUP. VALOR. PTO.]]=$B33,IF(DATOS_[[Check Periodo Ref.]:[Check Periodo Ref.]]="Dentro",IF(DATOS_[[Check Equiparado]:[Check Equiparado]]="Sí",IF(DATOS!BF$5="Sí",(1/DATOS_[[% anualiz]:[% anualiz]]),1)*IF(DATOS!BF$4="Sí",1/DATOS_[[% normaliz]:[% normaliz]],1)*(DATOS_[Conc.Sal.28])))))))),
0)</f>
        <v>0</v>
      </c>
      <c r="AL35" s="196">
        <f t="array" ref="AL35">IFERROR(
(MEDIAN((IF(DATOS_[[Sexo]:[Sexo]]=$B35,IF(DATOS_[[AGRUP. VALOR. PTO.]:[AGRUP. VALOR. PTO.]]=$B33,IF(DATOS_[[Check Periodo Ref.]:[Check Periodo Ref.]]="Dentro",IF(DATOS_[[Check Equiparado]:[Check Equiparado]]="Sí",IF(DATOS!BG$5="Sí",(1/DATOS_[[% anualiz]:[% anualiz]]),1)*IF(DATOS!BG$4="Sí",1/DATOS_[[% normaliz]:[% normaliz]],1)*(DATOS_[Conc.Sal.29])))))))),
0)</f>
        <v>0</v>
      </c>
      <c r="AM35" s="196">
        <f t="array" ref="AM35">IFERROR(
(MEDIAN((IF(DATOS_[[Sexo]:[Sexo]]=$B35,IF(DATOS_[[AGRUP. VALOR. PTO.]:[AGRUP. VALOR. PTO.]]=$B33,IF(DATOS_[[Check Periodo Ref.]:[Check Periodo Ref.]]="Dentro",IF(DATOS_[[Check Equiparado]:[Check Equiparado]]="Sí",IF(DATOS!BH$5="Sí",(1/DATOS_[[% anualiz]:[% anualiz]]),1)*IF(DATOS!BH$4="Sí",1/DATOS_[[% normaliz]:[% normaliz]],1)*(DATOS_[Conc.Sal.30])))))))),
0)</f>
        <v>0</v>
      </c>
      <c r="AN35" s="195">
        <f t="array" ref="AN35">IFERROR(
MEDIAN(IF(DATOS_[Sexo]=$B35,IF(DATOS_[[AGRUP. VALOR. PTO.]:[AGRUP. VALOR. PTO.]]=$B33,IF(DATOS_[Check Equiparado]="Sí",IF(DATOS_[Check Periodo Ref.]="Dentro",DATOS_[Tot COMPL.SAL Eq],FALSE))))),
0)</f>
        <v>0</v>
      </c>
      <c r="AO35" s="172">
        <f t="array" ref="AO35">IFERROR(
MEDIAN(IF(DATOS_[Sexo]=$B35,IF(DATOS_[[AGRUP. VALOR. PTO.]:[AGRUP. VALOR. PTO.]]=$B33,IF(DATOS_[Check Equiparado]="Sí",IF(DATOS_[Check Periodo Ref.]="Dentro",DATOS_[TOTAL SALARIO Eq],FALSE))))),
0)</f>
        <v>0</v>
      </c>
      <c r="AP35" s="173">
        <f t="array" ref="AP35">IFERROR(
(MEDIAN((IF(DATOS_[[Sexo]:[Sexo]]=$B35,IF(DATOS_[[AGRUP. VALOR. PTO.]:[AGRUP. VALOR. PTO.]]=$B33,IF(DATOS_[[Check Periodo Ref.]:[Check Periodo Ref.]]="Dentro",IF(DATOS_[[Check Equiparado]:[Check Equiparado]]="Sí",IF(DATOS!BW$5="Sí",(1/DATOS_[[% anualiz]:[% anualiz]]),1)*IF(DATOS!BW$4="Sí",1/DATOS_[[% normaliz]:[% normaliz]],1)*(DATOS_[C.Extra.01])))))))),
0)</f>
        <v>0</v>
      </c>
      <c r="AQ35" s="173">
        <f t="array" ref="AQ35">IFERROR(
(MEDIAN((IF(DATOS_[[Sexo]:[Sexo]]=$B35,IF(DATOS_[[AGRUP. VALOR. PTO.]:[AGRUP. VALOR. PTO.]]=$B33,IF(DATOS_[[Check Periodo Ref.]:[Check Periodo Ref.]]="Dentro",IF(DATOS_[[Check Equiparado]:[Check Equiparado]]="Sí",IF(DATOS!CB$5="Sí",(1/DATOS_[[% anualiz]:[% anualiz]]),1)*IF(DATOS!CB$4="Sí",1/DATOS_[[% normaliz]:[% normaliz]],1)*(DATOS_[C.Extra.06])))))))),
0)</f>
        <v>0</v>
      </c>
      <c r="AR35" s="173">
        <f t="array" ref="AR35">IFERROR(
(MEDIAN((IF(DATOS_[[Sexo]:[Sexo]]=$B35,IF(DATOS_[[AGRUP. VALOR. PTO.]:[AGRUP. VALOR. PTO.]]=$B33,IF(DATOS_[[Check Periodo Ref.]:[Check Periodo Ref.]]="Dentro",IF(DATOS_[[Check Equiparado]:[Check Equiparado]]="Sí",IF(DATOS!CC$5="Sí",(1/DATOS_[[% anualiz]:[% anualiz]]),1)*IF(DATOS!CC$4="Sí",1/DATOS_[[% normaliz]:[% normaliz]],1)*(DATOS_[C.Extra.07])))))))),
0)</f>
        <v>0</v>
      </c>
      <c r="AS35" s="173">
        <f t="array" ref="AS35">IFERROR(
(MEDIAN((IF(DATOS_[[Sexo]:[Sexo]]=$B35,IF(DATOS_[[AGRUP. VALOR. PTO.]:[AGRUP. VALOR. PTO.]]=$B33,IF(DATOS_[[Check Periodo Ref.]:[Check Periodo Ref.]]="Dentro",IF(DATOS_[[Check Equiparado]:[Check Equiparado]]="Sí",IF(DATOS!CD$5="Sí",(1/DATOS_[[% anualiz]:[% anualiz]]),1)*IF(DATOS!CD$4="Sí",1/DATOS_[[% normaliz]:[% normaliz]],1)*(DATOS_[C.Extra.08])))))))),
0)</f>
        <v>0</v>
      </c>
      <c r="AT35" s="173">
        <f t="array" ref="AT35">IFERROR(
(MEDIAN((IF(DATOS_[[Sexo]:[Sexo]]=$B35,IF(DATOS_[[AGRUP. VALOR. PTO.]:[AGRUP. VALOR. PTO.]]=$B33,IF(DATOS_[[Check Periodo Ref.]:[Check Periodo Ref.]]="Dentro",IF(DATOS_[[Check Equiparado]:[Check Equiparado]]="Sí",IF(DATOS!CG$5="Sí",(1/DATOS_[[% anualiz]:[% anualiz]]),1)*IF(DATOS!CG$4="Sí",1/DATOS_[[% normaliz]:[% normaliz]],1)*(DATOS_[C.Extra.11])))))))),
0)</f>
        <v>0</v>
      </c>
      <c r="AU35" s="197">
        <f t="array" ref="AU35">IFERROR(
MEDIAN(IF(DATOS_[Sexo]=$B35,IF(DATOS_[[AGRUP. VALOR. PTO.]:[AGRUP. VALOR. PTO.]]=$B33,IF(DATOS_[Check Equiparado]="Sí",IF(DATOS_[Check Periodo Ref.]="Dentro",DATOS_[Tot Extrasalarial Eq],FALSE))))),
0)</f>
        <v>0</v>
      </c>
      <c r="AV35" s="175">
        <f t="array" ref="AV35">IFERROR(
MEDIAN(IF(DATOS_[Sexo]=$B35,IF(DATOS_[[AGRUP. VALOR. PTO.]:[AGRUP. VALOR. PTO.]]=$B33,IF(DATOS_[Check Equiparado]="Sí",IF(DATOS_[Check Periodo Ref.]="Dentro",DATOS_[TOTAL Retrib Eq],FALSE))))),
0)</f>
        <v>0</v>
      </c>
    </row>
    <row r="36" spans="1:48" ht="15.6" thickBot="1" x14ac:dyDescent="0.3">
      <c r="A36" s="133" t="str">
        <f t="shared" ref="A36" si="31">+A37</f>
        <v>[ocultar]</v>
      </c>
      <c r="B36" s="199" t="s">
        <v>204</v>
      </c>
      <c r="C36" s="200"/>
      <c r="D36" s="201"/>
      <c r="E36" s="201"/>
      <c r="F36" s="201"/>
      <c r="G36" s="201"/>
      <c r="H36" s="201"/>
      <c r="I36" s="189" t="str">
        <f t="shared" ref="I36:AV36" si="32">IFERROR((I37-I38)/I37,"")</f>
        <v/>
      </c>
      <c r="J36" s="190" t="str">
        <f t="shared" si="32"/>
        <v/>
      </c>
      <c r="K36" s="191" t="str">
        <f t="shared" si="32"/>
        <v/>
      </c>
      <c r="L36" s="191" t="str">
        <f t="shared" si="32"/>
        <v/>
      </c>
      <c r="M36" s="191" t="str">
        <f t="shared" si="32"/>
        <v/>
      </c>
      <c r="N36" s="192" t="str">
        <f t="shared" si="32"/>
        <v/>
      </c>
      <c r="O36" s="193" t="str">
        <f t="shared" si="32"/>
        <v/>
      </c>
      <c r="P36" s="193" t="str">
        <f t="shared" si="32"/>
        <v/>
      </c>
      <c r="Q36" s="193" t="str">
        <f t="shared" si="32"/>
        <v/>
      </c>
      <c r="R36" s="193" t="str">
        <f t="shared" si="32"/>
        <v/>
      </c>
      <c r="S36" s="193" t="str">
        <f t="shared" si="32"/>
        <v/>
      </c>
      <c r="T36" s="193" t="str">
        <f t="shared" si="32"/>
        <v/>
      </c>
      <c r="U36" s="193" t="str">
        <f t="shared" si="32"/>
        <v/>
      </c>
      <c r="V36" s="193" t="str">
        <f t="shared" si="32"/>
        <v/>
      </c>
      <c r="W36" s="193" t="str">
        <f t="shared" si="32"/>
        <v/>
      </c>
      <c r="X36" s="193" t="str">
        <f t="shared" si="32"/>
        <v/>
      </c>
      <c r="Y36" s="193" t="str">
        <f t="shared" si="32"/>
        <v/>
      </c>
      <c r="Z36" s="193" t="str">
        <f t="shared" si="32"/>
        <v/>
      </c>
      <c r="AA36" s="193" t="str">
        <f t="shared" si="32"/>
        <v/>
      </c>
      <c r="AB36" s="193" t="str">
        <f t="shared" si="32"/>
        <v/>
      </c>
      <c r="AC36" s="193" t="str">
        <f t="shared" si="32"/>
        <v/>
      </c>
      <c r="AD36" s="193" t="str">
        <f t="shared" si="32"/>
        <v/>
      </c>
      <c r="AE36" s="193" t="str">
        <f t="shared" si="32"/>
        <v/>
      </c>
      <c r="AF36" s="193" t="str">
        <f t="shared" si="32"/>
        <v/>
      </c>
      <c r="AG36" s="193" t="str">
        <f t="shared" si="32"/>
        <v/>
      </c>
      <c r="AH36" s="193" t="str">
        <f t="shared" si="32"/>
        <v/>
      </c>
      <c r="AI36" s="193" t="str">
        <f t="shared" si="32"/>
        <v/>
      </c>
      <c r="AJ36" s="193" t="str">
        <f t="shared" si="32"/>
        <v/>
      </c>
      <c r="AK36" s="193" t="str">
        <f t="shared" si="32"/>
        <v/>
      </c>
      <c r="AL36" s="193" t="str">
        <f t="shared" si="32"/>
        <v/>
      </c>
      <c r="AM36" s="193" t="str">
        <f t="shared" si="32"/>
        <v/>
      </c>
      <c r="AN36" s="189" t="str">
        <f t="shared" si="32"/>
        <v/>
      </c>
      <c r="AO36" s="162" t="str">
        <f t="shared" si="32"/>
        <v/>
      </c>
      <c r="AP36" s="163" t="str">
        <f t="shared" si="32"/>
        <v/>
      </c>
      <c r="AQ36" s="163" t="str">
        <f t="shared" si="32"/>
        <v/>
      </c>
      <c r="AR36" s="163" t="str">
        <f t="shared" si="32"/>
        <v/>
      </c>
      <c r="AS36" s="163" t="str">
        <f t="shared" si="32"/>
        <v/>
      </c>
      <c r="AT36" s="163" t="str">
        <f t="shared" si="32"/>
        <v/>
      </c>
      <c r="AU36" s="194" t="str">
        <f t="shared" si="32"/>
        <v/>
      </c>
      <c r="AV36" s="165" t="str">
        <f t="shared" si="32"/>
        <v/>
      </c>
    </row>
    <row r="37" spans="1:48" x14ac:dyDescent="0.25">
      <c r="A37" s="133" t="str">
        <f t="shared" ref="A37" si="33">+IF(C37+C38=0,"[ocultar]","")</f>
        <v>[ocultar]</v>
      </c>
      <c r="B37" s="202" t="s">
        <v>394</v>
      </c>
      <c r="C37" s="203">
        <f t="array" ref="C37">SUM(IF($B37=DATOS_[Sexo],
IF($B36=DATOS_[AGRUP. VALOR. PTO.],
IF("Dentro"=DATOS_[Check Periodo Ref.],
1/(COUNTIFS(DATOS_[Sexo],$B37,DATOS_[AGRUP. VALOR. PTO.],$B36,DATOS_[Check Periodo Ref.],"Dentro",DATOS_[id/cod],DATOS_[id/cod]))))))</f>
        <v>0</v>
      </c>
      <c r="D37" s="204">
        <f>COUNTIFS(DATOS_[AGRUP. VALOR. PTO.],$B36,DATOS_[Sexo],$B37,DATOS_[Check Periodo Ref.],"Dentro")</f>
        <v>0</v>
      </c>
      <c r="E37" s="204">
        <f>COUNTIFS(DATOS_[AGRUP. VALOR. PTO.],$B36,DATOS_[Sexo],$B37,DATOS_[Check Periodo Ref.],"Dentro",DATOS_[Check Nº SC Norm],"Sí")</f>
        <v>0</v>
      </c>
      <c r="F37" s="204">
        <f>COUNTIFS(DATOS_[AGRUP. VALOR. PTO.],$B36,DATOS_[Sexo],$B37,DATOS_[Check Periodo Ref.],"Dentro",DATOS_[Check Nº SC Anualiz],"Sí")</f>
        <v>0</v>
      </c>
      <c r="G37" s="204">
        <f>COUNTIFS(DATOS_[AGRUP. VALOR. PTO.],$B36,DATOS_[Sexo],$B37,DATOS_[Check Periodo Ref.],"Dentro",DATOS_[Check Nº SC Norm y Anualiz],"Sí")</f>
        <v>0</v>
      </c>
      <c r="H37" s="204">
        <f>COUNTIFS(DATOS_[AGRUP. VALOR. PTO.],$B36,DATOS_[Sexo],$B37,DATOS_[Check Periodo Ref.],"Dentro",DATOS_[Check Equiparación],"Sí")</f>
        <v>0</v>
      </c>
      <c r="I37" s="195">
        <f t="array" ref="I37">IFERROR(
MEDIAN(IF(DATOS_[Sexo]=$B37,IF(DATOS_[[AGRUP. VALOR. PTO.]:[AGRUP. VALOR. PTO.]]=$B36,IF(DATOS_[Check Equiparado]="Sí",IF(DATOS_[Check Periodo Ref.]="Dentro",DATOS_[SALARIO BASE Eq],FALSE))))),
0)</f>
        <v>0</v>
      </c>
      <c r="J37" s="196">
        <f t="array" ref="J37">IFERROR(
(MEDIAN((IF(DATOS_[[Sexo]:[Sexo]]=$B37,IF(DATOS_[[AGRUP. VALOR. PTO.]:[AGRUP. VALOR. PTO.]]=$B36,IF(DATOS_[[Check Periodo Ref.]:[Check Periodo Ref.]]="Dentro",IF(DATOS_[[Check Equiparado]:[Check Equiparado]]="Sí",IF(DATOS!AE$5="Sí",(1/DATOS_[[% anualiz]:[% anualiz]]),1)*IF(DATOS!AE$4="Sí",1/DATOS_[[% normaliz]:[% normaliz]],1)*(DATOS_[Conc.Sal.01])))))))),
0)</f>
        <v>0</v>
      </c>
      <c r="K37" s="196">
        <f t="array" ref="K37">IFERROR(
(MEDIAN((IF(DATOS_[[Sexo]:[Sexo]]=$B37,IF(DATOS_[[AGRUP. VALOR. PTO.]:[AGRUP. VALOR. PTO.]]=$B36,IF(DATOS_[[Check Periodo Ref.]:[Check Periodo Ref.]]="Dentro",IF(DATOS_[[Check Equiparado]:[Check Equiparado]]="Sí",IF(DATOS!AF$5="Sí",(1/DATOS_[[% anualiz]:[% anualiz]]),1)*IF(DATOS!AF$4="Sí",1/DATOS_[[% normaliz]:[% normaliz]],1)*(DATOS_[Conc.Sal.02])))))))),
0)</f>
        <v>0</v>
      </c>
      <c r="L37" s="196">
        <f t="array" ref="L37">IFERROR(
(MEDIAN((IF(DATOS_[[Sexo]:[Sexo]]=$B37,IF(DATOS_[[AGRUP. VALOR. PTO.]:[AGRUP. VALOR. PTO.]]=$B36,IF(DATOS_[[Check Periodo Ref.]:[Check Periodo Ref.]]="Dentro",IF(DATOS_[[Check Equiparado]:[Check Equiparado]]="Sí",IF(DATOS!AG$5="Sí",(1/DATOS_[[% anualiz]:[% anualiz]]),1)*IF(DATOS!AG$4="Sí",1/DATOS_[[% normaliz]:[% normaliz]],1)*(DATOS_[Conc.Sal.03])))))))),
0)</f>
        <v>0</v>
      </c>
      <c r="M37" s="196">
        <f t="array" ref="M37">IFERROR(
(MEDIAN((IF(DATOS_[[Sexo]:[Sexo]]=$B37,IF(DATOS_[[AGRUP. VALOR. PTO.]:[AGRUP. VALOR. PTO.]]=$B36,IF(DATOS_[[Check Periodo Ref.]:[Check Periodo Ref.]]="Dentro",IF(DATOS_[[Check Equiparado]:[Check Equiparado]]="Sí",IF(DATOS!AH$5="Sí",(1/DATOS_[[% anualiz]:[% anualiz]]),1)*IF(DATOS!AH$4="Sí",1/DATOS_[[% normaliz]:[% normaliz]],1)*(DATOS_[Conc.Sal.04])))))))),
0)</f>
        <v>0</v>
      </c>
      <c r="N37" s="196">
        <f t="array" ref="N37">IFERROR(
(MEDIAN((IF(DATOS_[[Sexo]:[Sexo]]=$B37,IF(DATOS_[[AGRUP. VALOR. PTO.]:[AGRUP. VALOR. PTO.]]=$B36,IF(DATOS_[[Check Periodo Ref.]:[Check Periodo Ref.]]="Dentro",IF(DATOS_[[Check Equiparado]:[Check Equiparado]]="Sí",IF(DATOS!AI$5="Sí",(1/DATOS_[[% anualiz]:[% anualiz]]),1)*IF(DATOS!AI$4="Sí",1/DATOS_[[% normaliz]:[% normaliz]],1)*(DATOS_[Conc.Sal.05])))))))),
0)</f>
        <v>0</v>
      </c>
      <c r="O37" s="196">
        <f t="array" ref="O37">IFERROR(
(MEDIAN((IF(DATOS_[[Sexo]:[Sexo]]=$B37,IF(DATOS_[[AGRUP. VALOR. PTO.]:[AGRUP. VALOR. PTO.]]=$B36,IF(DATOS_[[Check Periodo Ref.]:[Check Periodo Ref.]]="Dentro",IF(DATOS_[[Check Equiparado]:[Check Equiparado]]="Sí",IF(DATOS!AJ$5="Sí",(1/DATOS_[[% anualiz]:[% anualiz]]),1)*IF(DATOS!AJ$4="Sí",1/DATOS_[[% normaliz]:[% normaliz]],1)*(DATOS_[Conc.Sal.06])))))))),
0)</f>
        <v>0</v>
      </c>
      <c r="P37" s="196">
        <f t="array" ref="P37">IFERROR(
(MEDIAN((IF(DATOS_[[Sexo]:[Sexo]]=$B37,IF(DATOS_[[AGRUP. VALOR. PTO.]:[AGRUP. VALOR. PTO.]]=$B36,IF(DATOS_[[Check Periodo Ref.]:[Check Periodo Ref.]]="Dentro",IF(DATOS_[[Check Equiparado]:[Check Equiparado]]="Sí",IF(DATOS!AK$5="Sí",(1/DATOS_[[% anualiz]:[% anualiz]]),1)*IF(DATOS!AK$4="Sí",1/DATOS_[[% normaliz]:[% normaliz]],1)*(DATOS_[Conc.Sal.07])))))))),
0)</f>
        <v>0</v>
      </c>
      <c r="Q37" s="196">
        <f t="array" ref="Q37">IFERROR(
(MEDIAN((IF(DATOS_[[Sexo]:[Sexo]]=$B37,IF(DATOS_[[AGRUP. VALOR. PTO.]:[AGRUP. VALOR. PTO.]]=$B36,IF(DATOS_[[Check Periodo Ref.]:[Check Periodo Ref.]]="Dentro",IF(DATOS_[[Check Equiparado]:[Check Equiparado]]="Sí",IF(DATOS!AL$5="Sí",(1/DATOS_[[% anualiz]:[% anualiz]]),1)*IF(DATOS!AL$4="Sí",1/DATOS_[[% normaliz]:[% normaliz]],1)*(DATOS_[Conc.Sal.08])))))))),
0)</f>
        <v>0</v>
      </c>
      <c r="R37" s="196">
        <f t="array" ref="R37">IFERROR(
(MEDIAN((IF(DATOS_[[Sexo]:[Sexo]]=$B37,IF(DATOS_[[AGRUP. VALOR. PTO.]:[AGRUP. VALOR. PTO.]]=$B36,IF(DATOS_[[Check Periodo Ref.]:[Check Periodo Ref.]]="Dentro",IF(DATOS_[[Check Equiparado]:[Check Equiparado]]="Sí",IF(DATOS!AM$5="Sí",(1/DATOS_[[% anualiz]:[% anualiz]]),1)*IF(DATOS!AM$4="Sí",1/DATOS_[[% normaliz]:[% normaliz]],1)*(DATOS_[Conc.Sal.09])))))))),
0)</f>
        <v>0</v>
      </c>
      <c r="S37" s="196">
        <f t="array" ref="S37">IFERROR(
(MEDIAN((IF(DATOS_[[Sexo]:[Sexo]]=$B37,IF(DATOS_[[AGRUP. VALOR. PTO.]:[AGRUP. VALOR. PTO.]]=$B36,IF(DATOS_[[Check Periodo Ref.]:[Check Periodo Ref.]]="Dentro",IF(DATOS_[[Check Equiparado]:[Check Equiparado]]="Sí",IF(DATOS!AN$5="Sí",(1/DATOS_[[% anualiz]:[% anualiz]]),1)*IF(DATOS!AN$4="Sí",1/DATOS_[[% normaliz]:[% normaliz]],1)*(DATOS_[Conc.Sal.10])))))))),
0)</f>
        <v>0</v>
      </c>
      <c r="T37" s="196">
        <f t="array" ref="T37">IFERROR(
(MEDIAN((IF(DATOS_[[Sexo]:[Sexo]]=$B37,IF(DATOS_[[AGRUP. VALOR. PTO.]:[AGRUP. VALOR. PTO.]]=$B36,IF(DATOS_[[Check Periodo Ref.]:[Check Periodo Ref.]]="Dentro",IF(DATOS_[[Check Equiparado]:[Check Equiparado]]="Sí",IF(DATOS!AO$5="Sí",(1/DATOS_[[% anualiz]:[% anualiz]]),1)*IF(DATOS!AO$4="Sí",1/DATOS_[[% normaliz]:[% normaliz]],1)*(DATOS_[Conc.Sal.11])))))))),
0)</f>
        <v>0</v>
      </c>
      <c r="U37" s="196">
        <f t="array" ref="U37">IFERROR(
(MEDIAN((IF(DATOS_[[Sexo]:[Sexo]]=$B37,IF(DATOS_[[AGRUP. VALOR. PTO.]:[AGRUP. VALOR. PTO.]]=$B36,IF(DATOS_[[Check Periodo Ref.]:[Check Periodo Ref.]]="Dentro",IF(DATOS_[[Check Equiparado]:[Check Equiparado]]="Sí",IF(DATOS!AP$5="Sí",(1/DATOS_[[% anualiz]:[% anualiz]]),1)*IF(DATOS!AP$4="Sí",1/DATOS_[[% normaliz]:[% normaliz]],1)*(DATOS_[Conc.Sal.12])))))))),
0)</f>
        <v>0</v>
      </c>
      <c r="V37" s="196">
        <f t="array" ref="V37">IFERROR(
(MEDIAN((IF(DATOS_[[Sexo]:[Sexo]]=$B37,IF(DATOS_[[AGRUP. VALOR. PTO.]:[AGRUP. VALOR. PTO.]]=$B36,IF(DATOS_[[Check Periodo Ref.]:[Check Periodo Ref.]]="Dentro",IF(DATOS_[[Check Equiparado]:[Check Equiparado]]="Sí",IF(DATOS!AQ$5="Sí",(1/DATOS_[[% anualiz]:[% anualiz]]),1)*IF(DATOS!AQ$4="Sí",1/DATOS_[[% normaliz]:[% normaliz]],1)*(DATOS_[Conc.Sal.13])))))))),
0)</f>
        <v>0</v>
      </c>
      <c r="W37" s="196">
        <f t="array" ref="W37">IFERROR(
(MEDIAN((IF(DATOS_[[Sexo]:[Sexo]]=$B37,IF(DATOS_[[AGRUP. VALOR. PTO.]:[AGRUP. VALOR. PTO.]]=$B36,IF(DATOS_[[Check Periodo Ref.]:[Check Periodo Ref.]]="Dentro",IF(DATOS_[[Check Equiparado]:[Check Equiparado]]="Sí",IF(DATOS!AR$5="Sí",(1/DATOS_[[% anualiz]:[% anualiz]]),1)*IF(DATOS!AR$4="Sí",1/DATOS_[[% normaliz]:[% normaliz]],1)*(DATOS_[Conc.Sal.14])))))))),
0)</f>
        <v>0</v>
      </c>
      <c r="X37" s="196">
        <f t="array" ref="X37">IFERROR(
(MEDIAN((IF(DATOS_[[Sexo]:[Sexo]]=$B37,IF(DATOS_[[AGRUP. VALOR. PTO.]:[AGRUP. VALOR. PTO.]]=$B36,IF(DATOS_[[Check Periodo Ref.]:[Check Periodo Ref.]]="Dentro",IF(DATOS_[[Check Equiparado]:[Check Equiparado]]="Sí",IF(DATOS!AS$5="Sí",(1/DATOS_[[% anualiz]:[% anualiz]]),1)*IF(DATOS!AS$4="Sí",1/DATOS_[[% normaliz]:[% normaliz]],1)*(DATOS_[Conc.Sal.15])))))))),
0)</f>
        <v>0</v>
      </c>
      <c r="Y37" s="196">
        <f t="array" ref="Y37">IFERROR(
(MEDIAN((IF(DATOS_[[Sexo]:[Sexo]]=$B37,IF(DATOS_[[AGRUP. VALOR. PTO.]:[AGRUP. VALOR. PTO.]]=$B36,IF(DATOS_[[Check Periodo Ref.]:[Check Periodo Ref.]]="Dentro",IF(DATOS_[[Check Equiparado]:[Check Equiparado]]="Sí",IF(DATOS!AT$5="Sí",(1/DATOS_[[% anualiz]:[% anualiz]]),1)*IF(DATOS!AT$4="Sí",1/DATOS_[[% normaliz]:[% normaliz]],1)*(DATOS_[Conc.Sal.16])))))))),
0)</f>
        <v>0</v>
      </c>
      <c r="Z37" s="196">
        <f t="array" ref="Z37">IFERROR(
(MEDIAN((IF(DATOS_[[Sexo]:[Sexo]]=$B37,IF(DATOS_[[AGRUP. VALOR. PTO.]:[AGRUP. VALOR. PTO.]]=$B36,IF(DATOS_[[Check Periodo Ref.]:[Check Periodo Ref.]]="Dentro",IF(DATOS_[[Check Equiparado]:[Check Equiparado]]="Sí",IF(DATOS!AU$5="Sí",(1/DATOS_[[% anualiz]:[% anualiz]]),1)*IF(DATOS!AU$4="Sí",1/DATOS_[[% normaliz]:[% normaliz]],1)*(DATOS_[Conc.Sal.17])))))))),
0)</f>
        <v>0</v>
      </c>
      <c r="AA37" s="196">
        <f t="array" ref="AA37">IFERROR(
(MEDIAN((IF(DATOS_[[Sexo]:[Sexo]]=$B37,IF(DATOS_[[AGRUP. VALOR. PTO.]:[AGRUP. VALOR. PTO.]]=$B36,IF(DATOS_[[Check Periodo Ref.]:[Check Periodo Ref.]]="Dentro",IF(DATOS_[[Check Equiparado]:[Check Equiparado]]="Sí",IF(DATOS!AV$5="Sí",(1/DATOS_[[% anualiz]:[% anualiz]]),1)*IF(DATOS!AV$4="Sí",1/DATOS_[[% normaliz]:[% normaliz]],1)*(DATOS_[Conc.Sal.18])))))))),
0)</f>
        <v>0</v>
      </c>
      <c r="AB37" s="196">
        <f t="array" ref="AB37">IFERROR(
(MEDIAN((IF(DATOS_[[Sexo]:[Sexo]]=$B37,IF(DATOS_[[AGRUP. VALOR. PTO.]:[AGRUP. VALOR. PTO.]]=$B36,IF(DATOS_[[Check Periodo Ref.]:[Check Periodo Ref.]]="Dentro",IF(DATOS_[[Check Equiparado]:[Check Equiparado]]="Sí",IF(DATOS!AW$5="Sí",(1/DATOS_[[% anualiz]:[% anualiz]]),1)*IF(DATOS!AW$4="Sí",1/DATOS_[[% normaliz]:[% normaliz]],1)*(DATOS_[Conc.Sal.19])))))))),
0)</f>
        <v>0</v>
      </c>
      <c r="AC37" s="196">
        <f t="array" ref="AC37">IFERROR(
(MEDIAN((IF(DATOS_[[Sexo]:[Sexo]]=$B37,IF(DATOS_[[AGRUP. VALOR. PTO.]:[AGRUP. VALOR. PTO.]]=$B36,IF(DATOS_[[Check Periodo Ref.]:[Check Periodo Ref.]]="Dentro",IF(DATOS_[[Check Equiparado]:[Check Equiparado]]="Sí",IF(DATOS!AX$5="Sí",(1/DATOS_[[% anualiz]:[% anualiz]]),1)*IF(DATOS!AX$4="Sí",1/DATOS_[[% normaliz]:[% normaliz]],1)*(DATOS_[Conc.Sal.20])))))))),
0)</f>
        <v>0</v>
      </c>
      <c r="AD37" s="196">
        <f t="array" ref="AD37">IFERROR(
(MEDIAN((IF(DATOS_[[Sexo]:[Sexo]]=$B37,IF(DATOS_[[AGRUP. VALOR. PTO.]:[AGRUP. VALOR. PTO.]]=$B36,IF(DATOS_[[Check Periodo Ref.]:[Check Periodo Ref.]]="Dentro",IF(DATOS_[[Check Equiparado]:[Check Equiparado]]="Sí",IF(DATOS!AY$5="Sí",(1/DATOS_[[% anualiz]:[% anualiz]]),1)*IF(DATOS!AY$4="Sí",1/DATOS_[[% normaliz]:[% normaliz]],1)*(DATOS_[Conc.Sal.21])))))))),
0)</f>
        <v>0</v>
      </c>
      <c r="AE37" s="196">
        <f t="array" ref="AE37">IFERROR(
(MEDIAN((IF(DATOS_[[Sexo]:[Sexo]]=$B37,IF(DATOS_[[AGRUP. VALOR. PTO.]:[AGRUP. VALOR. PTO.]]=$B36,IF(DATOS_[[Check Periodo Ref.]:[Check Periodo Ref.]]="Dentro",IF(DATOS_[[Check Equiparado]:[Check Equiparado]]="Sí",IF(DATOS!AZ$5="Sí",(1/DATOS_[[% anualiz]:[% anualiz]]),1)*IF(DATOS!AZ$4="Sí",1/DATOS_[[% normaliz]:[% normaliz]],1)*(DATOS_[Conc.Sal.22])))))))),
0)</f>
        <v>0</v>
      </c>
      <c r="AF37" s="196">
        <f t="array" ref="AF37">IFERROR(
(MEDIAN((IF(DATOS_[[Sexo]:[Sexo]]=$B37,IF(DATOS_[[AGRUP. VALOR. PTO.]:[AGRUP. VALOR. PTO.]]=$B36,IF(DATOS_[[Check Periodo Ref.]:[Check Periodo Ref.]]="Dentro",IF(DATOS_[[Check Equiparado]:[Check Equiparado]]="Sí",IF(DATOS!BA$5="Sí",(1/DATOS_[[% anualiz]:[% anualiz]]),1)*IF(DATOS!BA$4="Sí",1/DATOS_[[% normaliz]:[% normaliz]],1)*(DATOS_[Conc.Sal.23])))))))),
0)</f>
        <v>0</v>
      </c>
      <c r="AG37" s="196">
        <f t="array" ref="AG37">IFERROR(
(MEDIAN((IF(DATOS_[[Sexo]:[Sexo]]=$B37,IF(DATOS_[[AGRUP. VALOR. PTO.]:[AGRUP. VALOR. PTO.]]=$B36,IF(DATOS_[[Check Periodo Ref.]:[Check Periodo Ref.]]="Dentro",IF(DATOS_[[Check Equiparado]:[Check Equiparado]]="Sí",IF(DATOS!BB$5="Sí",(1/DATOS_[[% anualiz]:[% anualiz]]),1)*IF(DATOS!BB$4="Sí",1/DATOS_[[% normaliz]:[% normaliz]],1)*(DATOS_[Conc.Sal.24])))))))),
0)</f>
        <v>0</v>
      </c>
      <c r="AH37" s="196">
        <f t="array" ref="AH37">IFERROR(
(MEDIAN((IF(DATOS_[[Sexo]:[Sexo]]=$B37,IF(DATOS_[[AGRUP. VALOR. PTO.]:[AGRUP. VALOR. PTO.]]=$B36,IF(DATOS_[[Check Periodo Ref.]:[Check Periodo Ref.]]="Dentro",IF(DATOS_[[Check Equiparado]:[Check Equiparado]]="Sí",IF(DATOS!BC$5="Sí",(1/DATOS_[[% anualiz]:[% anualiz]]),1)*IF(DATOS!BC$4="Sí",1/DATOS_[[% normaliz]:[% normaliz]],1)*(DATOS_[Conc.Sal.25])))))))),
0)</f>
        <v>0</v>
      </c>
      <c r="AI37" s="196">
        <f t="array" ref="AI37">IFERROR(
(MEDIAN((IF(DATOS_[[Sexo]:[Sexo]]=$B37,IF(DATOS_[[AGRUP. VALOR. PTO.]:[AGRUP. VALOR. PTO.]]=$B36,IF(DATOS_[[Check Periodo Ref.]:[Check Periodo Ref.]]="Dentro",IF(DATOS_[[Check Equiparado]:[Check Equiparado]]="Sí",IF(DATOS!BD$5="Sí",(1/DATOS_[[% anualiz]:[% anualiz]]),1)*IF(DATOS!BD$4="Sí",1/DATOS_[[% normaliz]:[% normaliz]],1)*(DATOS_[Conc.Sal.26])))))))),
0)</f>
        <v>0</v>
      </c>
      <c r="AJ37" s="196">
        <f t="array" ref="AJ37">IFERROR(
(MEDIAN((IF(DATOS_[[Sexo]:[Sexo]]=$B37,IF(DATOS_[[AGRUP. VALOR. PTO.]:[AGRUP. VALOR. PTO.]]=$B36,IF(DATOS_[[Check Periodo Ref.]:[Check Periodo Ref.]]="Dentro",IF(DATOS_[[Check Equiparado]:[Check Equiparado]]="Sí",IF(DATOS!BE$5="Sí",(1/DATOS_[[% anualiz]:[% anualiz]]),1)*IF(DATOS!BE$4="Sí",1/DATOS_[[% normaliz]:[% normaliz]],1)*(DATOS_[Conc.Sal.27])))))))),
0)</f>
        <v>0</v>
      </c>
      <c r="AK37" s="196">
        <f t="array" ref="AK37">IFERROR(
(MEDIAN((IF(DATOS_[[Sexo]:[Sexo]]=$B37,IF(DATOS_[[AGRUP. VALOR. PTO.]:[AGRUP. VALOR. PTO.]]=$B36,IF(DATOS_[[Check Periodo Ref.]:[Check Periodo Ref.]]="Dentro",IF(DATOS_[[Check Equiparado]:[Check Equiparado]]="Sí",IF(DATOS!BF$5="Sí",(1/DATOS_[[% anualiz]:[% anualiz]]),1)*IF(DATOS!BF$4="Sí",1/DATOS_[[% normaliz]:[% normaliz]],1)*(DATOS_[Conc.Sal.28])))))))),
0)</f>
        <v>0</v>
      </c>
      <c r="AL37" s="196">
        <f t="array" ref="AL37">IFERROR(
(MEDIAN((IF(DATOS_[[Sexo]:[Sexo]]=$B37,IF(DATOS_[[AGRUP. VALOR. PTO.]:[AGRUP. VALOR. PTO.]]=$B36,IF(DATOS_[[Check Periodo Ref.]:[Check Periodo Ref.]]="Dentro",IF(DATOS_[[Check Equiparado]:[Check Equiparado]]="Sí",IF(DATOS!BG$5="Sí",(1/DATOS_[[% anualiz]:[% anualiz]]),1)*IF(DATOS!BG$4="Sí",1/DATOS_[[% normaliz]:[% normaliz]],1)*(DATOS_[Conc.Sal.29])))))))),
0)</f>
        <v>0</v>
      </c>
      <c r="AM37" s="196">
        <f t="array" ref="AM37">IFERROR(
(MEDIAN((IF(DATOS_[[Sexo]:[Sexo]]=$B37,IF(DATOS_[[AGRUP. VALOR. PTO.]:[AGRUP. VALOR. PTO.]]=$B36,IF(DATOS_[[Check Periodo Ref.]:[Check Periodo Ref.]]="Dentro",IF(DATOS_[[Check Equiparado]:[Check Equiparado]]="Sí",IF(DATOS!BH$5="Sí",(1/DATOS_[[% anualiz]:[% anualiz]]),1)*IF(DATOS!BH$4="Sí",1/DATOS_[[% normaliz]:[% normaliz]],1)*(DATOS_[Conc.Sal.30])))))))),
0)</f>
        <v>0</v>
      </c>
      <c r="AN37" s="195">
        <f t="array" ref="AN37">IFERROR(
MEDIAN(IF(DATOS_[Sexo]=$B37,IF(DATOS_[[AGRUP. VALOR. PTO.]:[AGRUP. VALOR. PTO.]]=$B36,IF(DATOS_[Check Equiparado]="Sí",IF(DATOS_[Check Periodo Ref.]="Dentro",DATOS_[Tot COMPL.SAL Eq],FALSE))))),
0)</f>
        <v>0</v>
      </c>
      <c r="AO37" s="172">
        <f t="array" ref="AO37">IFERROR(
MEDIAN(IF(DATOS_[Sexo]=$B37,IF(DATOS_[[AGRUP. VALOR. PTO.]:[AGRUP. VALOR. PTO.]]=$B36,IF(DATOS_[Check Equiparado]="Sí",IF(DATOS_[Check Periodo Ref.]="Dentro",DATOS_[TOTAL SALARIO Eq],FALSE))))),
0)</f>
        <v>0</v>
      </c>
      <c r="AP37" s="173">
        <f t="array" ref="AP37">IFERROR(
(MEDIAN((IF(DATOS_[[Sexo]:[Sexo]]=$B37,IF(DATOS_[[AGRUP. VALOR. PTO.]:[AGRUP. VALOR. PTO.]]=$B36,IF(DATOS_[[Check Periodo Ref.]:[Check Periodo Ref.]]="Dentro",IF(DATOS_[[Check Equiparado]:[Check Equiparado]]="Sí",IF(DATOS!BW$5="Sí",(1/DATOS_[[% anualiz]:[% anualiz]]),1)*IF(DATOS!BW$4="Sí",1/DATOS_[[% normaliz]:[% normaliz]],1)*(DATOS_[C.Extra.01])))))))),
0)</f>
        <v>0</v>
      </c>
      <c r="AQ37" s="173">
        <f t="array" ref="AQ37">IFERROR(
(MEDIAN((IF(DATOS_[[Sexo]:[Sexo]]=$B37,IF(DATOS_[[AGRUP. VALOR. PTO.]:[AGRUP. VALOR. PTO.]]=$B36,IF(DATOS_[[Check Periodo Ref.]:[Check Periodo Ref.]]="Dentro",IF(DATOS_[[Check Equiparado]:[Check Equiparado]]="Sí",IF(DATOS!CB$5="Sí",(1/DATOS_[[% anualiz]:[% anualiz]]),1)*IF(DATOS!CB$4="Sí",1/DATOS_[[% normaliz]:[% normaliz]],1)*(DATOS_[C.Extra.06])))))))),
0)</f>
        <v>0</v>
      </c>
      <c r="AR37" s="173">
        <f t="array" ref="AR37">IFERROR(
(MEDIAN((IF(DATOS_[[Sexo]:[Sexo]]=$B37,IF(DATOS_[[AGRUP. VALOR. PTO.]:[AGRUP. VALOR. PTO.]]=$B36,IF(DATOS_[[Check Periodo Ref.]:[Check Periodo Ref.]]="Dentro",IF(DATOS_[[Check Equiparado]:[Check Equiparado]]="Sí",IF(DATOS!CC$5="Sí",(1/DATOS_[[% anualiz]:[% anualiz]]),1)*IF(DATOS!CC$4="Sí",1/DATOS_[[% normaliz]:[% normaliz]],1)*(DATOS_[C.Extra.07])))))))),
0)</f>
        <v>0</v>
      </c>
      <c r="AS37" s="173">
        <f t="array" ref="AS37">IFERROR(
(MEDIAN((IF(DATOS_[[Sexo]:[Sexo]]=$B37,IF(DATOS_[[AGRUP. VALOR. PTO.]:[AGRUP. VALOR. PTO.]]=$B36,IF(DATOS_[[Check Periodo Ref.]:[Check Periodo Ref.]]="Dentro",IF(DATOS_[[Check Equiparado]:[Check Equiparado]]="Sí",IF(DATOS!CD$5="Sí",(1/DATOS_[[% anualiz]:[% anualiz]]),1)*IF(DATOS!CD$4="Sí",1/DATOS_[[% normaliz]:[% normaliz]],1)*(DATOS_[C.Extra.08])))))))),
0)</f>
        <v>0</v>
      </c>
      <c r="AT37" s="173">
        <f t="array" ref="AT37">IFERROR(
(MEDIAN((IF(DATOS_[[Sexo]:[Sexo]]=$B37,IF(DATOS_[[AGRUP. VALOR. PTO.]:[AGRUP. VALOR. PTO.]]=$B36,IF(DATOS_[[Check Periodo Ref.]:[Check Periodo Ref.]]="Dentro",IF(DATOS_[[Check Equiparado]:[Check Equiparado]]="Sí",IF(DATOS!CG$5="Sí",(1/DATOS_[[% anualiz]:[% anualiz]]),1)*IF(DATOS!CG$4="Sí",1/DATOS_[[% normaliz]:[% normaliz]],1)*(DATOS_[C.Extra.11])))))))),
0)</f>
        <v>0</v>
      </c>
      <c r="AU37" s="197">
        <f t="array" ref="AU37">IFERROR(
MEDIAN(IF(DATOS_[Sexo]=$B37,IF(DATOS_[[AGRUP. VALOR. PTO.]:[AGRUP. VALOR. PTO.]]=$B36,IF(DATOS_[Check Equiparado]="Sí",IF(DATOS_[Check Periodo Ref.]="Dentro",DATOS_[Tot Extrasalarial Eq],FALSE))))),
0)</f>
        <v>0</v>
      </c>
      <c r="AV37" s="175">
        <f t="array" ref="AV37">IFERROR(
MEDIAN(IF(DATOS_[Sexo]=$B37,IF(DATOS_[[AGRUP. VALOR. PTO.]:[AGRUP. VALOR. PTO.]]=$B36,IF(DATOS_[Check Equiparado]="Sí",IF(DATOS_[Check Periodo Ref.]="Dentro",DATOS_[TOTAL Retrib Eq],FALSE))))),
0)</f>
        <v>0</v>
      </c>
    </row>
    <row r="38" spans="1:48" x14ac:dyDescent="0.25">
      <c r="A38" s="133" t="str">
        <f t="shared" ref="A38" si="34">+A37</f>
        <v>[ocultar]</v>
      </c>
      <c r="B38" s="202" t="s">
        <v>521</v>
      </c>
      <c r="C38" s="203">
        <f t="array" ref="C38">SUM(IF($B38=DATOS_[Sexo],
IF($B36=DATOS_[AGRUP. VALOR. PTO.],
IF("Dentro"=DATOS_[Check Periodo Ref.],
1/(COUNTIFS(DATOS_[Sexo],$B38,DATOS_[AGRUP. VALOR. PTO.],$B36,DATOS_[Check Periodo Ref.],"Dentro",DATOS_[id/cod],DATOS_[id/cod]))))))</f>
        <v>0</v>
      </c>
      <c r="D38" s="204">
        <f>COUNTIFS(DATOS_[AGRUP. VALOR. PTO.],$B36,DATOS_[Sexo],$B38,DATOS_[Check Periodo Ref.],"Dentro")</f>
        <v>0</v>
      </c>
      <c r="E38" s="204">
        <f>COUNTIFS(DATOS_[AGRUP. VALOR. PTO.],$B36,DATOS_[Sexo],$B38,DATOS_[Check Periodo Ref.],"Dentro",DATOS_[Check Nº SC Norm],"Sí")</f>
        <v>0</v>
      </c>
      <c r="F38" s="204">
        <f>COUNTIFS(DATOS_[AGRUP. VALOR. PTO.],$B36,DATOS_[Sexo],$B38,DATOS_[Check Periodo Ref.],"Dentro",DATOS_[Check Nº SC Anualiz],"Sí")</f>
        <v>0</v>
      </c>
      <c r="G38" s="204">
        <f>COUNTIFS(DATOS_[AGRUP. VALOR. PTO.],$B36,DATOS_[Sexo],$B38,DATOS_[Check Periodo Ref.],"Dentro",DATOS_[Check Nº SC Norm y Anualiz],"Sí")</f>
        <v>0</v>
      </c>
      <c r="H38" s="204">
        <f>COUNTIFS(DATOS_[AGRUP. VALOR. PTO.],$B36,DATOS_[Sexo],$B38,DATOS_[Check Periodo Ref.],"Dentro",DATOS_[Check Equiparación],"Sí")</f>
        <v>0</v>
      </c>
      <c r="I38" s="195" cm="1">
        <f t="array" ref="I38">IFERROR(
MEDIAN(IF(DATOS_[Sexo]=$B38,IF(DATOS_[[AGRUP. VALOR. PTO.]:[AGRUP. VALOR. PTO.]]=$B36,IF(DATOS_[Check Equiparado]="Sí",IF(DATOS_[Check Periodo Ref.]="Dentro",DATOS_[SALARIO BASE Eq],FALSE))))),
0)</f>
        <v>0</v>
      </c>
      <c r="J38" s="196">
        <f t="array" ref="J38">IFERROR(
(MEDIAN((IF(DATOS_[[Sexo]:[Sexo]]=$B38,IF(DATOS_[[AGRUP. VALOR. PTO.]:[AGRUP. VALOR. PTO.]]=$B36,IF(DATOS_[[Check Periodo Ref.]:[Check Periodo Ref.]]="Dentro",IF(DATOS_[[Check Equiparado]:[Check Equiparado]]="Sí",IF(DATOS!AE$5="Sí",(1/DATOS_[[% anualiz]:[% anualiz]]),1)*IF(DATOS!AE$4="Sí",1/DATOS_[[% normaliz]:[% normaliz]],1)*(DATOS_[Conc.Sal.01])))))))),
0)</f>
        <v>0</v>
      </c>
      <c r="K38" s="196">
        <f t="array" ref="K38">IFERROR(
(MEDIAN((IF(DATOS_[[Sexo]:[Sexo]]=$B38,IF(DATOS_[[AGRUP. VALOR. PTO.]:[AGRUP. VALOR. PTO.]]=$B36,IF(DATOS_[[Check Periodo Ref.]:[Check Periodo Ref.]]="Dentro",IF(DATOS_[[Check Equiparado]:[Check Equiparado]]="Sí",IF(DATOS!AF$5="Sí",(1/DATOS_[[% anualiz]:[% anualiz]]),1)*IF(DATOS!AF$4="Sí",1/DATOS_[[% normaliz]:[% normaliz]],1)*(DATOS_[Conc.Sal.02])))))))),
0)</f>
        <v>0</v>
      </c>
      <c r="L38" s="196">
        <f t="array" ref="L38">IFERROR(
(MEDIAN((IF(DATOS_[[Sexo]:[Sexo]]=$B38,IF(DATOS_[[AGRUP. VALOR. PTO.]:[AGRUP. VALOR. PTO.]]=$B36,IF(DATOS_[[Check Periodo Ref.]:[Check Periodo Ref.]]="Dentro",IF(DATOS_[[Check Equiparado]:[Check Equiparado]]="Sí",IF(DATOS!AG$5="Sí",(1/DATOS_[[% anualiz]:[% anualiz]]),1)*IF(DATOS!AG$4="Sí",1/DATOS_[[% normaliz]:[% normaliz]],1)*(DATOS_[Conc.Sal.03])))))))),
0)</f>
        <v>0</v>
      </c>
      <c r="M38" s="196">
        <f t="array" ref="M38">IFERROR(
(MEDIAN((IF(DATOS_[[Sexo]:[Sexo]]=$B38,IF(DATOS_[[AGRUP. VALOR. PTO.]:[AGRUP. VALOR. PTO.]]=$B36,IF(DATOS_[[Check Periodo Ref.]:[Check Periodo Ref.]]="Dentro",IF(DATOS_[[Check Equiparado]:[Check Equiparado]]="Sí",IF(DATOS!AH$5="Sí",(1/DATOS_[[% anualiz]:[% anualiz]]),1)*IF(DATOS!AH$4="Sí",1/DATOS_[[% normaliz]:[% normaliz]],1)*(DATOS_[Conc.Sal.04])))))))),
0)</f>
        <v>0</v>
      </c>
      <c r="N38" s="196">
        <f t="array" ref="N38">IFERROR(
(MEDIAN((IF(DATOS_[[Sexo]:[Sexo]]=$B38,IF(DATOS_[[AGRUP. VALOR. PTO.]:[AGRUP. VALOR. PTO.]]=$B36,IF(DATOS_[[Check Periodo Ref.]:[Check Periodo Ref.]]="Dentro",IF(DATOS_[[Check Equiparado]:[Check Equiparado]]="Sí",IF(DATOS!AI$5="Sí",(1/DATOS_[[% anualiz]:[% anualiz]]),1)*IF(DATOS!AI$4="Sí",1/DATOS_[[% normaliz]:[% normaliz]],1)*(DATOS_[Conc.Sal.05])))))))),
0)</f>
        <v>0</v>
      </c>
      <c r="O38" s="196">
        <f t="array" ref="O38">IFERROR(
(MEDIAN((IF(DATOS_[[Sexo]:[Sexo]]=$B38,IF(DATOS_[[AGRUP. VALOR. PTO.]:[AGRUP. VALOR. PTO.]]=$B36,IF(DATOS_[[Check Periodo Ref.]:[Check Periodo Ref.]]="Dentro",IF(DATOS_[[Check Equiparado]:[Check Equiparado]]="Sí",IF(DATOS!AJ$5="Sí",(1/DATOS_[[% anualiz]:[% anualiz]]),1)*IF(DATOS!AJ$4="Sí",1/DATOS_[[% normaliz]:[% normaliz]],1)*(DATOS_[Conc.Sal.06])))))))),
0)</f>
        <v>0</v>
      </c>
      <c r="P38" s="196">
        <f t="array" ref="P38">IFERROR(
(MEDIAN((IF(DATOS_[[Sexo]:[Sexo]]=$B38,IF(DATOS_[[AGRUP. VALOR. PTO.]:[AGRUP. VALOR. PTO.]]=$B36,IF(DATOS_[[Check Periodo Ref.]:[Check Periodo Ref.]]="Dentro",IF(DATOS_[[Check Equiparado]:[Check Equiparado]]="Sí",IF(DATOS!AK$5="Sí",(1/DATOS_[[% anualiz]:[% anualiz]]),1)*IF(DATOS!AK$4="Sí",1/DATOS_[[% normaliz]:[% normaliz]],1)*(DATOS_[Conc.Sal.07])))))))),
0)</f>
        <v>0</v>
      </c>
      <c r="Q38" s="196">
        <f t="array" ref="Q38">IFERROR(
(MEDIAN((IF(DATOS_[[Sexo]:[Sexo]]=$B38,IF(DATOS_[[AGRUP. VALOR. PTO.]:[AGRUP. VALOR. PTO.]]=$B36,IF(DATOS_[[Check Periodo Ref.]:[Check Periodo Ref.]]="Dentro",IF(DATOS_[[Check Equiparado]:[Check Equiparado]]="Sí",IF(DATOS!AL$5="Sí",(1/DATOS_[[% anualiz]:[% anualiz]]),1)*IF(DATOS!AL$4="Sí",1/DATOS_[[% normaliz]:[% normaliz]],1)*(DATOS_[Conc.Sal.08])))))))),
0)</f>
        <v>0</v>
      </c>
      <c r="R38" s="196">
        <f t="array" ref="R38">IFERROR(
(MEDIAN((IF(DATOS_[[Sexo]:[Sexo]]=$B38,IF(DATOS_[[AGRUP. VALOR. PTO.]:[AGRUP. VALOR. PTO.]]=$B36,IF(DATOS_[[Check Periodo Ref.]:[Check Periodo Ref.]]="Dentro",IF(DATOS_[[Check Equiparado]:[Check Equiparado]]="Sí",IF(DATOS!AM$5="Sí",(1/DATOS_[[% anualiz]:[% anualiz]]),1)*IF(DATOS!AM$4="Sí",1/DATOS_[[% normaliz]:[% normaliz]],1)*(DATOS_[Conc.Sal.09])))))))),
0)</f>
        <v>0</v>
      </c>
      <c r="S38" s="196">
        <f t="array" ref="S38">IFERROR(
(MEDIAN((IF(DATOS_[[Sexo]:[Sexo]]=$B38,IF(DATOS_[[AGRUP. VALOR. PTO.]:[AGRUP. VALOR. PTO.]]=$B36,IF(DATOS_[[Check Periodo Ref.]:[Check Periodo Ref.]]="Dentro",IF(DATOS_[[Check Equiparado]:[Check Equiparado]]="Sí",IF(DATOS!AN$5="Sí",(1/DATOS_[[% anualiz]:[% anualiz]]),1)*IF(DATOS!AN$4="Sí",1/DATOS_[[% normaliz]:[% normaliz]],1)*(DATOS_[Conc.Sal.10])))))))),
0)</f>
        <v>0</v>
      </c>
      <c r="T38" s="196">
        <f t="array" ref="T38">IFERROR(
(MEDIAN((IF(DATOS_[[Sexo]:[Sexo]]=$B38,IF(DATOS_[[AGRUP. VALOR. PTO.]:[AGRUP. VALOR. PTO.]]=$B36,IF(DATOS_[[Check Periodo Ref.]:[Check Periodo Ref.]]="Dentro",IF(DATOS_[[Check Equiparado]:[Check Equiparado]]="Sí",IF(DATOS!AO$5="Sí",(1/DATOS_[[% anualiz]:[% anualiz]]),1)*IF(DATOS!AO$4="Sí",1/DATOS_[[% normaliz]:[% normaliz]],1)*(DATOS_[Conc.Sal.11])))))))),
0)</f>
        <v>0</v>
      </c>
      <c r="U38" s="196">
        <f t="array" ref="U38">IFERROR(
(MEDIAN((IF(DATOS_[[Sexo]:[Sexo]]=$B38,IF(DATOS_[[AGRUP. VALOR. PTO.]:[AGRUP. VALOR. PTO.]]=$B36,IF(DATOS_[[Check Periodo Ref.]:[Check Periodo Ref.]]="Dentro",IF(DATOS_[[Check Equiparado]:[Check Equiparado]]="Sí",IF(DATOS!AP$5="Sí",(1/DATOS_[[% anualiz]:[% anualiz]]),1)*IF(DATOS!AP$4="Sí",1/DATOS_[[% normaliz]:[% normaliz]],1)*(DATOS_[Conc.Sal.12])))))))),
0)</f>
        <v>0</v>
      </c>
      <c r="V38" s="196">
        <f t="array" ref="V38">IFERROR(
(MEDIAN((IF(DATOS_[[Sexo]:[Sexo]]=$B38,IF(DATOS_[[AGRUP. VALOR. PTO.]:[AGRUP. VALOR. PTO.]]=$B36,IF(DATOS_[[Check Periodo Ref.]:[Check Periodo Ref.]]="Dentro",IF(DATOS_[[Check Equiparado]:[Check Equiparado]]="Sí",IF(DATOS!AQ$5="Sí",(1/DATOS_[[% anualiz]:[% anualiz]]),1)*IF(DATOS!AQ$4="Sí",1/DATOS_[[% normaliz]:[% normaliz]],1)*(DATOS_[Conc.Sal.13])))))))),
0)</f>
        <v>0</v>
      </c>
      <c r="W38" s="196">
        <f t="array" ref="W38">IFERROR(
(MEDIAN((IF(DATOS_[[Sexo]:[Sexo]]=$B38,IF(DATOS_[[AGRUP. VALOR. PTO.]:[AGRUP. VALOR. PTO.]]=$B36,IF(DATOS_[[Check Periodo Ref.]:[Check Periodo Ref.]]="Dentro",IF(DATOS_[[Check Equiparado]:[Check Equiparado]]="Sí",IF(DATOS!AR$5="Sí",(1/DATOS_[[% anualiz]:[% anualiz]]),1)*IF(DATOS!AR$4="Sí",1/DATOS_[[% normaliz]:[% normaliz]],1)*(DATOS_[Conc.Sal.14])))))))),
0)</f>
        <v>0</v>
      </c>
      <c r="X38" s="196">
        <f t="array" ref="X38">IFERROR(
(MEDIAN((IF(DATOS_[[Sexo]:[Sexo]]=$B38,IF(DATOS_[[AGRUP. VALOR. PTO.]:[AGRUP. VALOR. PTO.]]=$B36,IF(DATOS_[[Check Periodo Ref.]:[Check Periodo Ref.]]="Dentro",IF(DATOS_[[Check Equiparado]:[Check Equiparado]]="Sí",IF(DATOS!AS$5="Sí",(1/DATOS_[[% anualiz]:[% anualiz]]),1)*IF(DATOS!AS$4="Sí",1/DATOS_[[% normaliz]:[% normaliz]],1)*(DATOS_[Conc.Sal.15])))))))),
0)</f>
        <v>0</v>
      </c>
      <c r="Y38" s="196">
        <f t="array" ref="Y38">IFERROR(
(MEDIAN((IF(DATOS_[[Sexo]:[Sexo]]=$B38,IF(DATOS_[[AGRUP. VALOR. PTO.]:[AGRUP. VALOR. PTO.]]=$B36,IF(DATOS_[[Check Periodo Ref.]:[Check Periodo Ref.]]="Dentro",IF(DATOS_[[Check Equiparado]:[Check Equiparado]]="Sí",IF(DATOS!AT$5="Sí",(1/DATOS_[[% anualiz]:[% anualiz]]),1)*IF(DATOS!AT$4="Sí",1/DATOS_[[% normaliz]:[% normaliz]],1)*(DATOS_[Conc.Sal.16])))))))),
0)</f>
        <v>0</v>
      </c>
      <c r="Z38" s="196">
        <f t="array" ref="Z38">IFERROR(
(MEDIAN((IF(DATOS_[[Sexo]:[Sexo]]=$B38,IF(DATOS_[[AGRUP. VALOR. PTO.]:[AGRUP. VALOR. PTO.]]=$B36,IF(DATOS_[[Check Periodo Ref.]:[Check Periodo Ref.]]="Dentro",IF(DATOS_[[Check Equiparado]:[Check Equiparado]]="Sí",IF(DATOS!AU$5="Sí",(1/DATOS_[[% anualiz]:[% anualiz]]),1)*IF(DATOS!AU$4="Sí",1/DATOS_[[% normaliz]:[% normaliz]],1)*(DATOS_[Conc.Sal.17])))))))),
0)</f>
        <v>0</v>
      </c>
      <c r="AA38" s="196">
        <f t="array" ref="AA38">IFERROR(
(MEDIAN((IF(DATOS_[[Sexo]:[Sexo]]=$B38,IF(DATOS_[[AGRUP. VALOR. PTO.]:[AGRUP. VALOR. PTO.]]=$B36,IF(DATOS_[[Check Periodo Ref.]:[Check Periodo Ref.]]="Dentro",IF(DATOS_[[Check Equiparado]:[Check Equiparado]]="Sí",IF(DATOS!AV$5="Sí",(1/DATOS_[[% anualiz]:[% anualiz]]),1)*IF(DATOS!AV$4="Sí",1/DATOS_[[% normaliz]:[% normaliz]],1)*(DATOS_[Conc.Sal.18])))))))),
0)</f>
        <v>0</v>
      </c>
      <c r="AB38" s="196">
        <f t="array" ref="AB38">IFERROR(
(MEDIAN((IF(DATOS_[[Sexo]:[Sexo]]=$B38,IF(DATOS_[[AGRUP. VALOR. PTO.]:[AGRUP. VALOR. PTO.]]=$B36,IF(DATOS_[[Check Periodo Ref.]:[Check Periodo Ref.]]="Dentro",IF(DATOS_[[Check Equiparado]:[Check Equiparado]]="Sí",IF(DATOS!AW$5="Sí",(1/DATOS_[[% anualiz]:[% anualiz]]),1)*IF(DATOS!AW$4="Sí",1/DATOS_[[% normaliz]:[% normaliz]],1)*(DATOS_[Conc.Sal.19])))))))),
0)</f>
        <v>0</v>
      </c>
      <c r="AC38" s="196">
        <f t="array" ref="AC38">IFERROR(
(MEDIAN((IF(DATOS_[[Sexo]:[Sexo]]=$B38,IF(DATOS_[[AGRUP. VALOR. PTO.]:[AGRUP. VALOR. PTO.]]=$B36,IF(DATOS_[[Check Periodo Ref.]:[Check Periodo Ref.]]="Dentro",IF(DATOS_[[Check Equiparado]:[Check Equiparado]]="Sí",IF(DATOS!AX$5="Sí",(1/DATOS_[[% anualiz]:[% anualiz]]),1)*IF(DATOS!AX$4="Sí",1/DATOS_[[% normaliz]:[% normaliz]],1)*(DATOS_[Conc.Sal.20])))))))),
0)</f>
        <v>0</v>
      </c>
      <c r="AD38" s="196">
        <f t="array" ref="AD38">IFERROR(
(MEDIAN((IF(DATOS_[[Sexo]:[Sexo]]=$B38,IF(DATOS_[[AGRUP. VALOR. PTO.]:[AGRUP. VALOR. PTO.]]=$B36,IF(DATOS_[[Check Periodo Ref.]:[Check Periodo Ref.]]="Dentro",IF(DATOS_[[Check Equiparado]:[Check Equiparado]]="Sí",IF(DATOS!AY$5="Sí",(1/DATOS_[[% anualiz]:[% anualiz]]),1)*IF(DATOS!AY$4="Sí",1/DATOS_[[% normaliz]:[% normaliz]],1)*(DATOS_[Conc.Sal.21])))))))),
0)</f>
        <v>0</v>
      </c>
      <c r="AE38" s="196">
        <f t="array" ref="AE38">IFERROR(
(MEDIAN((IF(DATOS_[[Sexo]:[Sexo]]=$B38,IF(DATOS_[[AGRUP. VALOR. PTO.]:[AGRUP. VALOR. PTO.]]=$B36,IF(DATOS_[[Check Periodo Ref.]:[Check Periodo Ref.]]="Dentro",IF(DATOS_[[Check Equiparado]:[Check Equiparado]]="Sí",IF(DATOS!AZ$5="Sí",(1/DATOS_[[% anualiz]:[% anualiz]]),1)*IF(DATOS!AZ$4="Sí",1/DATOS_[[% normaliz]:[% normaliz]],1)*(DATOS_[Conc.Sal.22])))))))),
0)</f>
        <v>0</v>
      </c>
      <c r="AF38" s="196">
        <f t="array" ref="AF38">IFERROR(
(MEDIAN((IF(DATOS_[[Sexo]:[Sexo]]=$B38,IF(DATOS_[[AGRUP. VALOR. PTO.]:[AGRUP. VALOR. PTO.]]=$B36,IF(DATOS_[[Check Periodo Ref.]:[Check Periodo Ref.]]="Dentro",IF(DATOS_[[Check Equiparado]:[Check Equiparado]]="Sí",IF(DATOS!BA$5="Sí",(1/DATOS_[[% anualiz]:[% anualiz]]),1)*IF(DATOS!BA$4="Sí",1/DATOS_[[% normaliz]:[% normaliz]],1)*(DATOS_[Conc.Sal.23])))))))),
0)</f>
        <v>0</v>
      </c>
      <c r="AG38" s="196">
        <f t="array" ref="AG38">IFERROR(
(MEDIAN((IF(DATOS_[[Sexo]:[Sexo]]=$B38,IF(DATOS_[[AGRUP. VALOR. PTO.]:[AGRUP. VALOR. PTO.]]=$B36,IF(DATOS_[[Check Periodo Ref.]:[Check Periodo Ref.]]="Dentro",IF(DATOS_[[Check Equiparado]:[Check Equiparado]]="Sí",IF(DATOS!BB$5="Sí",(1/DATOS_[[% anualiz]:[% anualiz]]),1)*IF(DATOS!BB$4="Sí",1/DATOS_[[% normaliz]:[% normaliz]],1)*(DATOS_[Conc.Sal.24])))))))),
0)</f>
        <v>0</v>
      </c>
      <c r="AH38" s="196">
        <f t="array" ref="AH38">IFERROR(
(MEDIAN((IF(DATOS_[[Sexo]:[Sexo]]=$B38,IF(DATOS_[[AGRUP. VALOR. PTO.]:[AGRUP. VALOR. PTO.]]=$B36,IF(DATOS_[[Check Periodo Ref.]:[Check Periodo Ref.]]="Dentro",IF(DATOS_[[Check Equiparado]:[Check Equiparado]]="Sí",IF(DATOS!BC$5="Sí",(1/DATOS_[[% anualiz]:[% anualiz]]),1)*IF(DATOS!BC$4="Sí",1/DATOS_[[% normaliz]:[% normaliz]],1)*(DATOS_[Conc.Sal.25])))))))),
0)</f>
        <v>0</v>
      </c>
      <c r="AI38" s="196">
        <f t="array" ref="AI38">IFERROR(
(MEDIAN((IF(DATOS_[[Sexo]:[Sexo]]=$B38,IF(DATOS_[[AGRUP. VALOR. PTO.]:[AGRUP. VALOR. PTO.]]=$B36,IF(DATOS_[[Check Periodo Ref.]:[Check Periodo Ref.]]="Dentro",IF(DATOS_[[Check Equiparado]:[Check Equiparado]]="Sí",IF(DATOS!BD$5="Sí",(1/DATOS_[[% anualiz]:[% anualiz]]),1)*IF(DATOS!BD$4="Sí",1/DATOS_[[% normaliz]:[% normaliz]],1)*(DATOS_[Conc.Sal.26])))))))),
0)</f>
        <v>0</v>
      </c>
      <c r="AJ38" s="196">
        <f t="array" ref="AJ38">IFERROR(
(MEDIAN((IF(DATOS_[[Sexo]:[Sexo]]=$B38,IF(DATOS_[[AGRUP. VALOR. PTO.]:[AGRUP. VALOR. PTO.]]=$B36,IF(DATOS_[[Check Periodo Ref.]:[Check Periodo Ref.]]="Dentro",IF(DATOS_[[Check Equiparado]:[Check Equiparado]]="Sí",IF(DATOS!BE$5="Sí",(1/DATOS_[[% anualiz]:[% anualiz]]),1)*IF(DATOS!BE$4="Sí",1/DATOS_[[% normaliz]:[% normaliz]],1)*(DATOS_[Conc.Sal.27])))))))),
0)</f>
        <v>0</v>
      </c>
      <c r="AK38" s="196">
        <f t="array" ref="AK38">IFERROR(
(MEDIAN((IF(DATOS_[[Sexo]:[Sexo]]=$B38,IF(DATOS_[[AGRUP. VALOR. PTO.]:[AGRUP. VALOR. PTO.]]=$B36,IF(DATOS_[[Check Periodo Ref.]:[Check Periodo Ref.]]="Dentro",IF(DATOS_[[Check Equiparado]:[Check Equiparado]]="Sí",IF(DATOS!BF$5="Sí",(1/DATOS_[[% anualiz]:[% anualiz]]),1)*IF(DATOS!BF$4="Sí",1/DATOS_[[% normaliz]:[% normaliz]],1)*(DATOS_[Conc.Sal.28])))))))),
0)</f>
        <v>0</v>
      </c>
      <c r="AL38" s="196">
        <f t="array" ref="AL38">IFERROR(
(MEDIAN((IF(DATOS_[[Sexo]:[Sexo]]=$B38,IF(DATOS_[[AGRUP. VALOR. PTO.]:[AGRUP. VALOR. PTO.]]=$B36,IF(DATOS_[[Check Periodo Ref.]:[Check Periodo Ref.]]="Dentro",IF(DATOS_[[Check Equiparado]:[Check Equiparado]]="Sí",IF(DATOS!BG$5="Sí",(1/DATOS_[[% anualiz]:[% anualiz]]),1)*IF(DATOS!BG$4="Sí",1/DATOS_[[% normaliz]:[% normaliz]],1)*(DATOS_[Conc.Sal.29])))))))),
0)</f>
        <v>0</v>
      </c>
      <c r="AM38" s="196">
        <f t="array" ref="AM38">IFERROR(
(MEDIAN((IF(DATOS_[[Sexo]:[Sexo]]=$B38,IF(DATOS_[[AGRUP. VALOR. PTO.]:[AGRUP. VALOR. PTO.]]=$B36,IF(DATOS_[[Check Periodo Ref.]:[Check Periodo Ref.]]="Dentro",IF(DATOS_[[Check Equiparado]:[Check Equiparado]]="Sí",IF(DATOS!BH$5="Sí",(1/DATOS_[[% anualiz]:[% anualiz]]),1)*IF(DATOS!BH$4="Sí",1/DATOS_[[% normaliz]:[% normaliz]],1)*(DATOS_[Conc.Sal.30])))))))),
0)</f>
        <v>0</v>
      </c>
      <c r="AN38" s="195">
        <f t="array" ref="AN38">IFERROR(
MEDIAN(IF(DATOS_[Sexo]=$B38,IF(DATOS_[[AGRUP. VALOR. PTO.]:[AGRUP. VALOR. PTO.]]=$B36,IF(DATOS_[Check Equiparado]="Sí",IF(DATOS_[Check Periodo Ref.]="Dentro",DATOS_[Tot COMPL.SAL Eq],FALSE))))),
0)</f>
        <v>0</v>
      </c>
      <c r="AO38" s="172">
        <f t="array" ref="AO38">IFERROR(
MEDIAN(IF(DATOS_[Sexo]=$B38,IF(DATOS_[[AGRUP. VALOR. PTO.]:[AGRUP. VALOR. PTO.]]=$B36,IF(DATOS_[Check Equiparado]="Sí",IF(DATOS_[Check Periodo Ref.]="Dentro",DATOS_[TOTAL SALARIO Eq],FALSE))))),
0)</f>
        <v>0</v>
      </c>
      <c r="AP38" s="173">
        <f t="array" ref="AP38">IFERROR(
(MEDIAN((IF(DATOS_[[Sexo]:[Sexo]]=$B38,IF(DATOS_[[AGRUP. VALOR. PTO.]:[AGRUP. VALOR. PTO.]]=$B36,IF(DATOS_[[Check Periodo Ref.]:[Check Periodo Ref.]]="Dentro",IF(DATOS_[[Check Equiparado]:[Check Equiparado]]="Sí",IF(DATOS!BW$5="Sí",(1/DATOS_[[% anualiz]:[% anualiz]]),1)*IF(DATOS!BW$4="Sí",1/DATOS_[[% normaliz]:[% normaliz]],1)*(DATOS_[C.Extra.01])))))))),
0)</f>
        <v>0</v>
      </c>
      <c r="AQ38" s="173">
        <f t="array" ref="AQ38">IFERROR(
(MEDIAN((IF(DATOS_[[Sexo]:[Sexo]]=$B38,IF(DATOS_[[AGRUP. VALOR. PTO.]:[AGRUP. VALOR. PTO.]]=$B36,IF(DATOS_[[Check Periodo Ref.]:[Check Periodo Ref.]]="Dentro",IF(DATOS_[[Check Equiparado]:[Check Equiparado]]="Sí",IF(DATOS!CB$5="Sí",(1/DATOS_[[% anualiz]:[% anualiz]]),1)*IF(DATOS!CB$4="Sí",1/DATOS_[[% normaliz]:[% normaliz]],1)*(DATOS_[C.Extra.06])))))))),
0)</f>
        <v>0</v>
      </c>
      <c r="AR38" s="173">
        <f t="array" ref="AR38">IFERROR(
(MEDIAN((IF(DATOS_[[Sexo]:[Sexo]]=$B38,IF(DATOS_[[AGRUP. VALOR. PTO.]:[AGRUP. VALOR. PTO.]]=$B36,IF(DATOS_[[Check Periodo Ref.]:[Check Periodo Ref.]]="Dentro",IF(DATOS_[[Check Equiparado]:[Check Equiparado]]="Sí",IF(DATOS!CC$5="Sí",(1/DATOS_[[% anualiz]:[% anualiz]]),1)*IF(DATOS!CC$4="Sí",1/DATOS_[[% normaliz]:[% normaliz]],1)*(DATOS_[C.Extra.07])))))))),
0)</f>
        <v>0</v>
      </c>
      <c r="AS38" s="173">
        <f t="array" ref="AS38">IFERROR(
(MEDIAN((IF(DATOS_[[Sexo]:[Sexo]]=$B38,IF(DATOS_[[AGRUP. VALOR. PTO.]:[AGRUP. VALOR. PTO.]]=$B36,IF(DATOS_[[Check Periodo Ref.]:[Check Periodo Ref.]]="Dentro",IF(DATOS_[[Check Equiparado]:[Check Equiparado]]="Sí",IF(DATOS!CD$5="Sí",(1/DATOS_[[% anualiz]:[% anualiz]]),1)*IF(DATOS!CD$4="Sí",1/DATOS_[[% normaliz]:[% normaliz]],1)*(DATOS_[C.Extra.08])))))))),
0)</f>
        <v>0</v>
      </c>
      <c r="AT38" s="173">
        <f t="array" ref="AT38">IFERROR(
(MEDIAN((IF(DATOS_[[Sexo]:[Sexo]]=$B38,IF(DATOS_[[AGRUP. VALOR. PTO.]:[AGRUP. VALOR. PTO.]]=$B36,IF(DATOS_[[Check Periodo Ref.]:[Check Periodo Ref.]]="Dentro",IF(DATOS_[[Check Equiparado]:[Check Equiparado]]="Sí",IF(DATOS!CG$5="Sí",(1/DATOS_[[% anualiz]:[% anualiz]]),1)*IF(DATOS!CG$4="Sí",1/DATOS_[[% normaliz]:[% normaliz]],1)*(DATOS_[C.Extra.11])))))))),
0)</f>
        <v>0</v>
      </c>
      <c r="AU38" s="197">
        <f t="array" ref="AU38">IFERROR(
MEDIAN(IF(DATOS_[Sexo]=$B38,IF(DATOS_[[AGRUP. VALOR. PTO.]:[AGRUP. VALOR. PTO.]]=$B36,IF(DATOS_[Check Equiparado]="Sí",IF(DATOS_[Check Periodo Ref.]="Dentro",DATOS_[Tot Extrasalarial Eq],FALSE))))),
0)</f>
        <v>0</v>
      </c>
      <c r="AV38" s="175">
        <f t="array" ref="AV38">IFERROR(
MEDIAN(IF(DATOS_[Sexo]=$B38,IF(DATOS_[[AGRUP. VALOR. PTO.]:[AGRUP. VALOR. PTO.]]=$B36,IF(DATOS_[Check Equiparado]="Sí",IF(DATOS_[Check Periodo Ref.]="Dentro",DATOS_[TOTAL Retrib Eq],FALSE))))),
0)</f>
        <v>0</v>
      </c>
    </row>
    <row r="39" spans="1:48" ht="15.6" thickBot="1" x14ac:dyDescent="0.3">
      <c r="A39" s="133" t="str">
        <f t="shared" ref="A39" si="35">+A40</f>
        <v>[ocultar]</v>
      </c>
      <c r="B39" s="199" t="s">
        <v>209</v>
      </c>
      <c r="C39" s="200"/>
      <c r="D39" s="201"/>
      <c r="E39" s="201"/>
      <c r="F39" s="201"/>
      <c r="G39" s="201"/>
      <c r="H39" s="201"/>
      <c r="I39" s="189" t="str">
        <f t="shared" ref="I39:AV39" si="36">IFERROR((I40-I41)/I40,"")</f>
        <v/>
      </c>
      <c r="J39" s="190" t="str">
        <f t="shared" si="36"/>
        <v/>
      </c>
      <c r="K39" s="191" t="str">
        <f t="shared" si="36"/>
        <v/>
      </c>
      <c r="L39" s="191" t="str">
        <f t="shared" si="36"/>
        <v/>
      </c>
      <c r="M39" s="191" t="str">
        <f t="shared" si="36"/>
        <v/>
      </c>
      <c r="N39" s="192" t="str">
        <f t="shared" si="36"/>
        <v/>
      </c>
      <c r="O39" s="193" t="str">
        <f t="shared" si="36"/>
        <v/>
      </c>
      <c r="P39" s="193" t="str">
        <f t="shared" si="36"/>
        <v/>
      </c>
      <c r="Q39" s="193" t="str">
        <f t="shared" si="36"/>
        <v/>
      </c>
      <c r="R39" s="193" t="str">
        <f t="shared" si="36"/>
        <v/>
      </c>
      <c r="S39" s="193" t="str">
        <f t="shared" si="36"/>
        <v/>
      </c>
      <c r="T39" s="193" t="str">
        <f t="shared" si="36"/>
        <v/>
      </c>
      <c r="U39" s="193" t="str">
        <f t="shared" si="36"/>
        <v/>
      </c>
      <c r="V39" s="193" t="str">
        <f t="shared" si="36"/>
        <v/>
      </c>
      <c r="W39" s="193" t="str">
        <f t="shared" si="36"/>
        <v/>
      </c>
      <c r="X39" s="193" t="str">
        <f t="shared" si="36"/>
        <v/>
      </c>
      <c r="Y39" s="193" t="str">
        <f t="shared" si="36"/>
        <v/>
      </c>
      <c r="Z39" s="193" t="str">
        <f t="shared" si="36"/>
        <v/>
      </c>
      <c r="AA39" s="193" t="str">
        <f t="shared" si="36"/>
        <v/>
      </c>
      <c r="AB39" s="193" t="str">
        <f t="shared" si="36"/>
        <v/>
      </c>
      <c r="AC39" s="193" t="str">
        <f t="shared" si="36"/>
        <v/>
      </c>
      <c r="AD39" s="193" t="str">
        <f t="shared" si="36"/>
        <v/>
      </c>
      <c r="AE39" s="193" t="str">
        <f t="shared" si="36"/>
        <v/>
      </c>
      <c r="AF39" s="193" t="str">
        <f t="shared" si="36"/>
        <v/>
      </c>
      <c r="AG39" s="193" t="str">
        <f t="shared" si="36"/>
        <v/>
      </c>
      <c r="AH39" s="193" t="str">
        <f t="shared" si="36"/>
        <v/>
      </c>
      <c r="AI39" s="193" t="str">
        <f t="shared" si="36"/>
        <v/>
      </c>
      <c r="AJ39" s="193" t="str">
        <f t="shared" si="36"/>
        <v/>
      </c>
      <c r="AK39" s="193" t="str">
        <f t="shared" si="36"/>
        <v/>
      </c>
      <c r="AL39" s="193" t="str">
        <f t="shared" si="36"/>
        <v/>
      </c>
      <c r="AM39" s="193" t="str">
        <f t="shared" si="36"/>
        <v/>
      </c>
      <c r="AN39" s="189" t="str">
        <f t="shared" si="36"/>
        <v/>
      </c>
      <c r="AO39" s="162" t="str">
        <f t="shared" si="36"/>
        <v/>
      </c>
      <c r="AP39" s="163" t="str">
        <f t="shared" si="36"/>
        <v/>
      </c>
      <c r="AQ39" s="163" t="str">
        <f t="shared" si="36"/>
        <v/>
      </c>
      <c r="AR39" s="163" t="str">
        <f t="shared" si="36"/>
        <v/>
      </c>
      <c r="AS39" s="163" t="str">
        <f t="shared" si="36"/>
        <v/>
      </c>
      <c r="AT39" s="163" t="str">
        <f t="shared" si="36"/>
        <v/>
      </c>
      <c r="AU39" s="194" t="str">
        <f t="shared" si="36"/>
        <v/>
      </c>
      <c r="AV39" s="165" t="str">
        <f t="shared" si="36"/>
        <v/>
      </c>
    </row>
    <row r="40" spans="1:48" x14ac:dyDescent="0.25">
      <c r="A40" s="133" t="str">
        <f t="shared" ref="A40" si="37">+IF(C40+C41=0,"[ocultar]","")</f>
        <v>[ocultar]</v>
      </c>
      <c r="B40" s="202" t="s">
        <v>394</v>
      </c>
      <c r="C40" s="203">
        <f t="array" ref="C40">SUM(IF($B40=DATOS_[Sexo],
IF($B39=DATOS_[AGRUP. VALOR. PTO.],
IF("Dentro"=DATOS_[Check Periodo Ref.],
1/(COUNTIFS(DATOS_[Sexo],$B40,DATOS_[AGRUP. VALOR. PTO.],$B39,DATOS_[Check Periodo Ref.],"Dentro",DATOS_[id/cod],DATOS_[id/cod]))))))</f>
        <v>0</v>
      </c>
      <c r="D40" s="204">
        <f>COUNTIFS(DATOS_[AGRUP. VALOR. PTO.],$B39,DATOS_[Sexo],$B40,DATOS_[Check Periodo Ref.],"Dentro")</f>
        <v>0</v>
      </c>
      <c r="E40" s="204">
        <f>COUNTIFS(DATOS_[AGRUP. VALOR. PTO.],$B39,DATOS_[Sexo],$B40,DATOS_[Check Periodo Ref.],"Dentro",DATOS_[Check Nº SC Norm],"Sí")</f>
        <v>0</v>
      </c>
      <c r="F40" s="204">
        <f>COUNTIFS(DATOS_[AGRUP. VALOR. PTO.],$B39,DATOS_[Sexo],$B40,DATOS_[Check Periodo Ref.],"Dentro",DATOS_[Check Nº SC Anualiz],"Sí")</f>
        <v>0</v>
      </c>
      <c r="G40" s="204">
        <f>COUNTIFS(DATOS_[AGRUP. VALOR. PTO.],$B39,DATOS_[Sexo],$B40,DATOS_[Check Periodo Ref.],"Dentro",DATOS_[Check Nº SC Norm y Anualiz],"Sí")</f>
        <v>0</v>
      </c>
      <c r="H40" s="204">
        <f>COUNTIFS(DATOS_[AGRUP. VALOR. PTO.],$B39,DATOS_[Sexo],$B40,DATOS_[Check Periodo Ref.],"Dentro",DATOS_[Check Equiparación],"Sí")</f>
        <v>0</v>
      </c>
      <c r="I40" s="195">
        <f t="array" ref="I40">IFERROR(
MEDIAN(IF(DATOS_[Sexo]=$B40,IF(DATOS_[[AGRUP. VALOR. PTO.]:[AGRUP. VALOR. PTO.]]=$B39,IF(DATOS_[Check Equiparado]="Sí",IF(DATOS_[Check Periodo Ref.]="Dentro",DATOS_[SALARIO BASE Eq],FALSE))))),
0)</f>
        <v>0</v>
      </c>
      <c r="J40" s="196">
        <f t="array" ref="J40">IFERROR(
(MEDIAN((IF(DATOS_[[Sexo]:[Sexo]]=$B40,IF(DATOS_[[AGRUP. VALOR. PTO.]:[AGRUP. VALOR. PTO.]]=$B39,IF(DATOS_[[Check Periodo Ref.]:[Check Periodo Ref.]]="Dentro",IF(DATOS_[[Check Equiparado]:[Check Equiparado]]="Sí",IF(DATOS!AE$5="Sí",(1/DATOS_[[% anualiz]:[% anualiz]]),1)*IF(DATOS!AE$4="Sí",1/DATOS_[[% normaliz]:[% normaliz]],1)*(DATOS_[Conc.Sal.01])))))))),
0)</f>
        <v>0</v>
      </c>
      <c r="K40" s="196">
        <f t="array" ref="K40">IFERROR(
(MEDIAN((IF(DATOS_[[Sexo]:[Sexo]]=$B40,IF(DATOS_[[AGRUP. VALOR. PTO.]:[AGRUP. VALOR. PTO.]]=$B39,IF(DATOS_[[Check Periodo Ref.]:[Check Periodo Ref.]]="Dentro",IF(DATOS_[[Check Equiparado]:[Check Equiparado]]="Sí",IF(DATOS!AF$5="Sí",(1/DATOS_[[% anualiz]:[% anualiz]]),1)*IF(DATOS!AF$4="Sí",1/DATOS_[[% normaliz]:[% normaliz]],1)*(DATOS_[Conc.Sal.02])))))))),
0)</f>
        <v>0</v>
      </c>
      <c r="L40" s="196">
        <f t="array" ref="L40">IFERROR(
(MEDIAN((IF(DATOS_[[Sexo]:[Sexo]]=$B40,IF(DATOS_[[AGRUP. VALOR. PTO.]:[AGRUP. VALOR. PTO.]]=$B39,IF(DATOS_[[Check Periodo Ref.]:[Check Periodo Ref.]]="Dentro",IF(DATOS_[[Check Equiparado]:[Check Equiparado]]="Sí",IF(DATOS!AG$5="Sí",(1/DATOS_[[% anualiz]:[% anualiz]]),1)*IF(DATOS!AG$4="Sí",1/DATOS_[[% normaliz]:[% normaliz]],1)*(DATOS_[Conc.Sal.03])))))))),
0)</f>
        <v>0</v>
      </c>
      <c r="M40" s="196">
        <f t="array" ref="M40">IFERROR(
(MEDIAN((IF(DATOS_[[Sexo]:[Sexo]]=$B40,IF(DATOS_[[AGRUP. VALOR. PTO.]:[AGRUP. VALOR. PTO.]]=$B39,IF(DATOS_[[Check Periodo Ref.]:[Check Periodo Ref.]]="Dentro",IF(DATOS_[[Check Equiparado]:[Check Equiparado]]="Sí",IF(DATOS!AH$5="Sí",(1/DATOS_[[% anualiz]:[% anualiz]]),1)*IF(DATOS!AH$4="Sí",1/DATOS_[[% normaliz]:[% normaliz]],1)*(DATOS_[Conc.Sal.04])))))))),
0)</f>
        <v>0</v>
      </c>
      <c r="N40" s="196">
        <f t="array" ref="N40">IFERROR(
(MEDIAN((IF(DATOS_[[Sexo]:[Sexo]]=$B40,IF(DATOS_[[AGRUP. VALOR. PTO.]:[AGRUP. VALOR. PTO.]]=$B39,IF(DATOS_[[Check Periodo Ref.]:[Check Periodo Ref.]]="Dentro",IF(DATOS_[[Check Equiparado]:[Check Equiparado]]="Sí",IF(DATOS!AI$5="Sí",(1/DATOS_[[% anualiz]:[% anualiz]]),1)*IF(DATOS!AI$4="Sí",1/DATOS_[[% normaliz]:[% normaliz]],1)*(DATOS_[Conc.Sal.05])))))))),
0)</f>
        <v>0</v>
      </c>
      <c r="O40" s="196">
        <f t="array" ref="O40">IFERROR(
(MEDIAN((IF(DATOS_[[Sexo]:[Sexo]]=$B40,IF(DATOS_[[AGRUP. VALOR. PTO.]:[AGRUP. VALOR. PTO.]]=$B39,IF(DATOS_[[Check Periodo Ref.]:[Check Periodo Ref.]]="Dentro",IF(DATOS_[[Check Equiparado]:[Check Equiparado]]="Sí",IF(DATOS!AJ$5="Sí",(1/DATOS_[[% anualiz]:[% anualiz]]),1)*IF(DATOS!AJ$4="Sí",1/DATOS_[[% normaliz]:[% normaliz]],1)*(DATOS_[Conc.Sal.06])))))))),
0)</f>
        <v>0</v>
      </c>
      <c r="P40" s="196">
        <f t="array" ref="P40">IFERROR(
(MEDIAN((IF(DATOS_[[Sexo]:[Sexo]]=$B40,IF(DATOS_[[AGRUP. VALOR. PTO.]:[AGRUP. VALOR. PTO.]]=$B39,IF(DATOS_[[Check Periodo Ref.]:[Check Periodo Ref.]]="Dentro",IF(DATOS_[[Check Equiparado]:[Check Equiparado]]="Sí",IF(DATOS!AK$5="Sí",(1/DATOS_[[% anualiz]:[% anualiz]]),1)*IF(DATOS!AK$4="Sí",1/DATOS_[[% normaliz]:[% normaliz]],1)*(DATOS_[Conc.Sal.07])))))))),
0)</f>
        <v>0</v>
      </c>
      <c r="Q40" s="196">
        <f t="array" ref="Q40">IFERROR(
(MEDIAN((IF(DATOS_[[Sexo]:[Sexo]]=$B40,IF(DATOS_[[AGRUP. VALOR. PTO.]:[AGRUP. VALOR. PTO.]]=$B39,IF(DATOS_[[Check Periodo Ref.]:[Check Periodo Ref.]]="Dentro",IF(DATOS_[[Check Equiparado]:[Check Equiparado]]="Sí",IF(DATOS!AL$5="Sí",(1/DATOS_[[% anualiz]:[% anualiz]]),1)*IF(DATOS!AL$4="Sí",1/DATOS_[[% normaliz]:[% normaliz]],1)*(DATOS_[Conc.Sal.08])))))))),
0)</f>
        <v>0</v>
      </c>
      <c r="R40" s="196">
        <f t="array" ref="R40">IFERROR(
(MEDIAN((IF(DATOS_[[Sexo]:[Sexo]]=$B40,IF(DATOS_[[AGRUP. VALOR. PTO.]:[AGRUP. VALOR. PTO.]]=$B39,IF(DATOS_[[Check Periodo Ref.]:[Check Periodo Ref.]]="Dentro",IF(DATOS_[[Check Equiparado]:[Check Equiparado]]="Sí",IF(DATOS!AM$5="Sí",(1/DATOS_[[% anualiz]:[% anualiz]]),1)*IF(DATOS!AM$4="Sí",1/DATOS_[[% normaliz]:[% normaliz]],1)*(DATOS_[Conc.Sal.09])))))))),
0)</f>
        <v>0</v>
      </c>
      <c r="S40" s="196">
        <f t="array" ref="S40">IFERROR(
(MEDIAN((IF(DATOS_[[Sexo]:[Sexo]]=$B40,IF(DATOS_[[AGRUP. VALOR. PTO.]:[AGRUP. VALOR. PTO.]]=$B39,IF(DATOS_[[Check Periodo Ref.]:[Check Periodo Ref.]]="Dentro",IF(DATOS_[[Check Equiparado]:[Check Equiparado]]="Sí",IF(DATOS!AN$5="Sí",(1/DATOS_[[% anualiz]:[% anualiz]]),1)*IF(DATOS!AN$4="Sí",1/DATOS_[[% normaliz]:[% normaliz]],1)*(DATOS_[Conc.Sal.10])))))))),
0)</f>
        <v>0</v>
      </c>
      <c r="T40" s="196">
        <f t="array" ref="T40">IFERROR(
(MEDIAN((IF(DATOS_[[Sexo]:[Sexo]]=$B40,IF(DATOS_[[AGRUP. VALOR. PTO.]:[AGRUP. VALOR. PTO.]]=$B39,IF(DATOS_[[Check Periodo Ref.]:[Check Periodo Ref.]]="Dentro",IF(DATOS_[[Check Equiparado]:[Check Equiparado]]="Sí",IF(DATOS!AO$5="Sí",(1/DATOS_[[% anualiz]:[% anualiz]]),1)*IF(DATOS!AO$4="Sí",1/DATOS_[[% normaliz]:[% normaliz]],1)*(DATOS_[Conc.Sal.11])))))))),
0)</f>
        <v>0</v>
      </c>
      <c r="U40" s="196">
        <f t="array" ref="U40">IFERROR(
(MEDIAN((IF(DATOS_[[Sexo]:[Sexo]]=$B40,IF(DATOS_[[AGRUP. VALOR. PTO.]:[AGRUP. VALOR. PTO.]]=$B39,IF(DATOS_[[Check Periodo Ref.]:[Check Periodo Ref.]]="Dentro",IF(DATOS_[[Check Equiparado]:[Check Equiparado]]="Sí",IF(DATOS!AP$5="Sí",(1/DATOS_[[% anualiz]:[% anualiz]]),1)*IF(DATOS!AP$4="Sí",1/DATOS_[[% normaliz]:[% normaliz]],1)*(DATOS_[Conc.Sal.12])))))))),
0)</f>
        <v>0</v>
      </c>
      <c r="V40" s="196">
        <f t="array" ref="V40">IFERROR(
(MEDIAN((IF(DATOS_[[Sexo]:[Sexo]]=$B40,IF(DATOS_[[AGRUP. VALOR. PTO.]:[AGRUP. VALOR. PTO.]]=$B39,IF(DATOS_[[Check Periodo Ref.]:[Check Periodo Ref.]]="Dentro",IF(DATOS_[[Check Equiparado]:[Check Equiparado]]="Sí",IF(DATOS!AQ$5="Sí",(1/DATOS_[[% anualiz]:[% anualiz]]),1)*IF(DATOS!AQ$4="Sí",1/DATOS_[[% normaliz]:[% normaliz]],1)*(DATOS_[Conc.Sal.13])))))))),
0)</f>
        <v>0</v>
      </c>
      <c r="W40" s="196">
        <f t="array" ref="W40">IFERROR(
(MEDIAN((IF(DATOS_[[Sexo]:[Sexo]]=$B40,IF(DATOS_[[AGRUP. VALOR. PTO.]:[AGRUP. VALOR. PTO.]]=$B39,IF(DATOS_[[Check Periodo Ref.]:[Check Periodo Ref.]]="Dentro",IF(DATOS_[[Check Equiparado]:[Check Equiparado]]="Sí",IF(DATOS!AR$5="Sí",(1/DATOS_[[% anualiz]:[% anualiz]]),1)*IF(DATOS!AR$4="Sí",1/DATOS_[[% normaliz]:[% normaliz]],1)*(DATOS_[Conc.Sal.14])))))))),
0)</f>
        <v>0</v>
      </c>
      <c r="X40" s="196">
        <f t="array" ref="X40">IFERROR(
(MEDIAN((IF(DATOS_[[Sexo]:[Sexo]]=$B40,IF(DATOS_[[AGRUP. VALOR. PTO.]:[AGRUP. VALOR. PTO.]]=$B39,IF(DATOS_[[Check Periodo Ref.]:[Check Periodo Ref.]]="Dentro",IF(DATOS_[[Check Equiparado]:[Check Equiparado]]="Sí",IF(DATOS!AS$5="Sí",(1/DATOS_[[% anualiz]:[% anualiz]]),1)*IF(DATOS!AS$4="Sí",1/DATOS_[[% normaliz]:[% normaliz]],1)*(DATOS_[Conc.Sal.15])))))))),
0)</f>
        <v>0</v>
      </c>
      <c r="Y40" s="196">
        <f t="array" ref="Y40">IFERROR(
(MEDIAN((IF(DATOS_[[Sexo]:[Sexo]]=$B40,IF(DATOS_[[AGRUP. VALOR. PTO.]:[AGRUP. VALOR. PTO.]]=$B39,IF(DATOS_[[Check Periodo Ref.]:[Check Periodo Ref.]]="Dentro",IF(DATOS_[[Check Equiparado]:[Check Equiparado]]="Sí",IF(DATOS!AT$5="Sí",(1/DATOS_[[% anualiz]:[% anualiz]]),1)*IF(DATOS!AT$4="Sí",1/DATOS_[[% normaliz]:[% normaliz]],1)*(DATOS_[Conc.Sal.16])))))))),
0)</f>
        <v>0</v>
      </c>
      <c r="Z40" s="196">
        <f t="array" ref="Z40">IFERROR(
(MEDIAN((IF(DATOS_[[Sexo]:[Sexo]]=$B40,IF(DATOS_[[AGRUP. VALOR. PTO.]:[AGRUP. VALOR. PTO.]]=$B39,IF(DATOS_[[Check Periodo Ref.]:[Check Periodo Ref.]]="Dentro",IF(DATOS_[[Check Equiparado]:[Check Equiparado]]="Sí",IF(DATOS!AU$5="Sí",(1/DATOS_[[% anualiz]:[% anualiz]]),1)*IF(DATOS!AU$4="Sí",1/DATOS_[[% normaliz]:[% normaliz]],1)*(DATOS_[Conc.Sal.17])))))))),
0)</f>
        <v>0</v>
      </c>
      <c r="AA40" s="196">
        <f t="array" ref="AA40">IFERROR(
(MEDIAN((IF(DATOS_[[Sexo]:[Sexo]]=$B40,IF(DATOS_[[AGRUP. VALOR. PTO.]:[AGRUP. VALOR. PTO.]]=$B39,IF(DATOS_[[Check Periodo Ref.]:[Check Periodo Ref.]]="Dentro",IF(DATOS_[[Check Equiparado]:[Check Equiparado]]="Sí",IF(DATOS!AV$5="Sí",(1/DATOS_[[% anualiz]:[% anualiz]]),1)*IF(DATOS!AV$4="Sí",1/DATOS_[[% normaliz]:[% normaliz]],1)*(DATOS_[Conc.Sal.18])))))))),
0)</f>
        <v>0</v>
      </c>
      <c r="AB40" s="196">
        <f t="array" ref="AB40">IFERROR(
(MEDIAN((IF(DATOS_[[Sexo]:[Sexo]]=$B40,IF(DATOS_[[AGRUP. VALOR. PTO.]:[AGRUP. VALOR. PTO.]]=$B39,IF(DATOS_[[Check Periodo Ref.]:[Check Periodo Ref.]]="Dentro",IF(DATOS_[[Check Equiparado]:[Check Equiparado]]="Sí",IF(DATOS!AW$5="Sí",(1/DATOS_[[% anualiz]:[% anualiz]]),1)*IF(DATOS!AW$4="Sí",1/DATOS_[[% normaliz]:[% normaliz]],1)*(DATOS_[Conc.Sal.19])))))))),
0)</f>
        <v>0</v>
      </c>
      <c r="AC40" s="196">
        <f t="array" ref="AC40">IFERROR(
(MEDIAN((IF(DATOS_[[Sexo]:[Sexo]]=$B40,IF(DATOS_[[AGRUP. VALOR. PTO.]:[AGRUP. VALOR. PTO.]]=$B39,IF(DATOS_[[Check Periodo Ref.]:[Check Periodo Ref.]]="Dentro",IF(DATOS_[[Check Equiparado]:[Check Equiparado]]="Sí",IF(DATOS!AX$5="Sí",(1/DATOS_[[% anualiz]:[% anualiz]]),1)*IF(DATOS!AX$4="Sí",1/DATOS_[[% normaliz]:[% normaliz]],1)*(DATOS_[Conc.Sal.20])))))))),
0)</f>
        <v>0</v>
      </c>
      <c r="AD40" s="196">
        <f t="array" ref="AD40">IFERROR(
(MEDIAN((IF(DATOS_[[Sexo]:[Sexo]]=$B40,IF(DATOS_[[AGRUP. VALOR. PTO.]:[AGRUP. VALOR. PTO.]]=$B39,IF(DATOS_[[Check Periodo Ref.]:[Check Periodo Ref.]]="Dentro",IF(DATOS_[[Check Equiparado]:[Check Equiparado]]="Sí",IF(DATOS!AY$5="Sí",(1/DATOS_[[% anualiz]:[% anualiz]]),1)*IF(DATOS!AY$4="Sí",1/DATOS_[[% normaliz]:[% normaliz]],1)*(DATOS_[Conc.Sal.21])))))))),
0)</f>
        <v>0</v>
      </c>
      <c r="AE40" s="196">
        <f t="array" ref="AE40">IFERROR(
(MEDIAN((IF(DATOS_[[Sexo]:[Sexo]]=$B40,IF(DATOS_[[AGRUP. VALOR. PTO.]:[AGRUP. VALOR. PTO.]]=$B39,IF(DATOS_[[Check Periodo Ref.]:[Check Periodo Ref.]]="Dentro",IF(DATOS_[[Check Equiparado]:[Check Equiparado]]="Sí",IF(DATOS!AZ$5="Sí",(1/DATOS_[[% anualiz]:[% anualiz]]),1)*IF(DATOS!AZ$4="Sí",1/DATOS_[[% normaliz]:[% normaliz]],1)*(DATOS_[Conc.Sal.22])))))))),
0)</f>
        <v>0</v>
      </c>
      <c r="AF40" s="196">
        <f t="array" ref="AF40">IFERROR(
(MEDIAN((IF(DATOS_[[Sexo]:[Sexo]]=$B40,IF(DATOS_[[AGRUP. VALOR. PTO.]:[AGRUP. VALOR. PTO.]]=$B39,IF(DATOS_[[Check Periodo Ref.]:[Check Periodo Ref.]]="Dentro",IF(DATOS_[[Check Equiparado]:[Check Equiparado]]="Sí",IF(DATOS!BA$5="Sí",(1/DATOS_[[% anualiz]:[% anualiz]]),1)*IF(DATOS!BA$4="Sí",1/DATOS_[[% normaliz]:[% normaliz]],1)*(DATOS_[Conc.Sal.23])))))))),
0)</f>
        <v>0</v>
      </c>
      <c r="AG40" s="196">
        <f t="array" ref="AG40">IFERROR(
(MEDIAN((IF(DATOS_[[Sexo]:[Sexo]]=$B40,IF(DATOS_[[AGRUP. VALOR. PTO.]:[AGRUP. VALOR. PTO.]]=$B39,IF(DATOS_[[Check Periodo Ref.]:[Check Periodo Ref.]]="Dentro",IF(DATOS_[[Check Equiparado]:[Check Equiparado]]="Sí",IF(DATOS!BB$5="Sí",(1/DATOS_[[% anualiz]:[% anualiz]]),1)*IF(DATOS!BB$4="Sí",1/DATOS_[[% normaliz]:[% normaliz]],1)*(DATOS_[Conc.Sal.24])))))))),
0)</f>
        <v>0</v>
      </c>
      <c r="AH40" s="196">
        <f t="array" ref="AH40">IFERROR(
(MEDIAN((IF(DATOS_[[Sexo]:[Sexo]]=$B40,IF(DATOS_[[AGRUP. VALOR. PTO.]:[AGRUP. VALOR. PTO.]]=$B39,IF(DATOS_[[Check Periodo Ref.]:[Check Periodo Ref.]]="Dentro",IF(DATOS_[[Check Equiparado]:[Check Equiparado]]="Sí",IF(DATOS!BC$5="Sí",(1/DATOS_[[% anualiz]:[% anualiz]]),1)*IF(DATOS!BC$4="Sí",1/DATOS_[[% normaliz]:[% normaliz]],1)*(DATOS_[Conc.Sal.25])))))))),
0)</f>
        <v>0</v>
      </c>
      <c r="AI40" s="196">
        <f t="array" ref="AI40">IFERROR(
(MEDIAN((IF(DATOS_[[Sexo]:[Sexo]]=$B40,IF(DATOS_[[AGRUP. VALOR. PTO.]:[AGRUP. VALOR. PTO.]]=$B39,IF(DATOS_[[Check Periodo Ref.]:[Check Periodo Ref.]]="Dentro",IF(DATOS_[[Check Equiparado]:[Check Equiparado]]="Sí",IF(DATOS!BD$5="Sí",(1/DATOS_[[% anualiz]:[% anualiz]]),1)*IF(DATOS!BD$4="Sí",1/DATOS_[[% normaliz]:[% normaliz]],1)*(DATOS_[Conc.Sal.26])))))))),
0)</f>
        <v>0</v>
      </c>
      <c r="AJ40" s="196">
        <f t="array" ref="AJ40">IFERROR(
(MEDIAN((IF(DATOS_[[Sexo]:[Sexo]]=$B40,IF(DATOS_[[AGRUP. VALOR. PTO.]:[AGRUP. VALOR. PTO.]]=$B39,IF(DATOS_[[Check Periodo Ref.]:[Check Periodo Ref.]]="Dentro",IF(DATOS_[[Check Equiparado]:[Check Equiparado]]="Sí",IF(DATOS!BE$5="Sí",(1/DATOS_[[% anualiz]:[% anualiz]]),1)*IF(DATOS!BE$4="Sí",1/DATOS_[[% normaliz]:[% normaliz]],1)*(DATOS_[Conc.Sal.27])))))))),
0)</f>
        <v>0</v>
      </c>
      <c r="AK40" s="196">
        <f t="array" ref="AK40">IFERROR(
(MEDIAN((IF(DATOS_[[Sexo]:[Sexo]]=$B40,IF(DATOS_[[AGRUP. VALOR. PTO.]:[AGRUP. VALOR. PTO.]]=$B39,IF(DATOS_[[Check Periodo Ref.]:[Check Periodo Ref.]]="Dentro",IF(DATOS_[[Check Equiparado]:[Check Equiparado]]="Sí",IF(DATOS!BF$5="Sí",(1/DATOS_[[% anualiz]:[% anualiz]]),1)*IF(DATOS!BF$4="Sí",1/DATOS_[[% normaliz]:[% normaliz]],1)*(DATOS_[Conc.Sal.28])))))))),
0)</f>
        <v>0</v>
      </c>
      <c r="AL40" s="196">
        <f t="array" ref="AL40">IFERROR(
(MEDIAN((IF(DATOS_[[Sexo]:[Sexo]]=$B40,IF(DATOS_[[AGRUP. VALOR. PTO.]:[AGRUP. VALOR. PTO.]]=$B39,IF(DATOS_[[Check Periodo Ref.]:[Check Periodo Ref.]]="Dentro",IF(DATOS_[[Check Equiparado]:[Check Equiparado]]="Sí",IF(DATOS!BG$5="Sí",(1/DATOS_[[% anualiz]:[% anualiz]]),1)*IF(DATOS!BG$4="Sí",1/DATOS_[[% normaliz]:[% normaliz]],1)*(DATOS_[Conc.Sal.29])))))))),
0)</f>
        <v>0</v>
      </c>
      <c r="AM40" s="196">
        <f t="array" ref="AM40">IFERROR(
(MEDIAN((IF(DATOS_[[Sexo]:[Sexo]]=$B40,IF(DATOS_[[AGRUP. VALOR. PTO.]:[AGRUP. VALOR. PTO.]]=$B39,IF(DATOS_[[Check Periodo Ref.]:[Check Periodo Ref.]]="Dentro",IF(DATOS_[[Check Equiparado]:[Check Equiparado]]="Sí",IF(DATOS!BH$5="Sí",(1/DATOS_[[% anualiz]:[% anualiz]]),1)*IF(DATOS!BH$4="Sí",1/DATOS_[[% normaliz]:[% normaliz]],1)*(DATOS_[Conc.Sal.30])))))))),
0)</f>
        <v>0</v>
      </c>
      <c r="AN40" s="195">
        <f t="array" ref="AN40">IFERROR(
MEDIAN(IF(DATOS_[Sexo]=$B40,IF(DATOS_[[AGRUP. VALOR. PTO.]:[AGRUP. VALOR. PTO.]]=$B39,IF(DATOS_[Check Equiparado]="Sí",IF(DATOS_[Check Periodo Ref.]="Dentro",DATOS_[Tot COMPL.SAL Eq],FALSE))))),
0)</f>
        <v>0</v>
      </c>
      <c r="AO40" s="172">
        <f t="array" ref="AO40">IFERROR(
MEDIAN(IF(DATOS_[Sexo]=$B40,IF(DATOS_[[AGRUP. VALOR. PTO.]:[AGRUP. VALOR. PTO.]]=$B39,IF(DATOS_[Check Equiparado]="Sí",IF(DATOS_[Check Periodo Ref.]="Dentro",DATOS_[TOTAL SALARIO Eq],FALSE))))),
0)</f>
        <v>0</v>
      </c>
      <c r="AP40" s="173">
        <f t="array" ref="AP40">IFERROR(
(MEDIAN((IF(DATOS_[[Sexo]:[Sexo]]=$B40,IF(DATOS_[[AGRUP. VALOR. PTO.]:[AGRUP. VALOR. PTO.]]=$B39,IF(DATOS_[[Check Periodo Ref.]:[Check Periodo Ref.]]="Dentro",IF(DATOS_[[Check Equiparado]:[Check Equiparado]]="Sí",IF(DATOS!BW$5="Sí",(1/DATOS_[[% anualiz]:[% anualiz]]),1)*IF(DATOS!BW$4="Sí",1/DATOS_[[% normaliz]:[% normaliz]],1)*(DATOS_[C.Extra.01])))))))),
0)</f>
        <v>0</v>
      </c>
      <c r="AQ40" s="173">
        <f t="array" ref="AQ40">IFERROR(
(MEDIAN((IF(DATOS_[[Sexo]:[Sexo]]=$B40,IF(DATOS_[[AGRUP. VALOR. PTO.]:[AGRUP. VALOR. PTO.]]=$B39,IF(DATOS_[[Check Periodo Ref.]:[Check Periodo Ref.]]="Dentro",IF(DATOS_[[Check Equiparado]:[Check Equiparado]]="Sí",IF(DATOS!CB$5="Sí",(1/DATOS_[[% anualiz]:[% anualiz]]),1)*IF(DATOS!CB$4="Sí",1/DATOS_[[% normaliz]:[% normaliz]],1)*(DATOS_[C.Extra.06])))))))),
0)</f>
        <v>0</v>
      </c>
      <c r="AR40" s="173">
        <f t="array" ref="AR40">IFERROR(
(MEDIAN((IF(DATOS_[[Sexo]:[Sexo]]=$B40,IF(DATOS_[[AGRUP. VALOR. PTO.]:[AGRUP. VALOR. PTO.]]=$B39,IF(DATOS_[[Check Periodo Ref.]:[Check Periodo Ref.]]="Dentro",IF(DATOS_[[Check Equiparado]:[Check Equiparado]]="Sí",IF(DATOS!CC$5="Sí",(1/DATOS_[[% anualiz]:[% anualiz]]),1)*IF(DATOS!CC$4="Sí",1/DATOS_[[% normaliz]:[% normaliz]],1)*(DATOS_[C.Extra.07])))))))),
0)</f>
        <v>0</v>
      </c>
      <c r="AS40" s="173">
        <f t="array" ref="AS40">IFERROR(
(MEDIAN((IF(DATOS_[[Sexo]:[Sexo]]=$B40,IF(DATOS_[[AGRUP. VALOR. PTO.]:[AGRUP. VALOR. PTO.]]=$B39,IF(DATOS_[[Check Periodo Ref.]:[Check Periodo Ref.]]="Dentro",IF(DATOS_[[Check Equiparado]:[Check Equiparado]]="Sí",IF(DATOS!CD$5="Sí",(1/DATOS_[[% anualiz]:[% anualiz]]),1)*IF(DATOS!CD$4="Sí",1/DATOS_[[% normaliz]:[% normaliz]],1)*(DATOS_[C.Extra.08])))))))),
0)</f>
        <v>0</v>
      </c>
      <c r="AT40" s="173">
        <f t="array" ref="AT40">IFERROR(
(MEDIAN((IF(DATOS_[[Sexo]:[Sexo]]=$B40,IF(DATOS_[[AGRUP. VALOR. PTO.]:[AGRUP. VALOR. PTO.]]=$B39,IF(DATOS_[[Check Periodo Ref.]:[Check Periodo Ref.]]="Dentro",IF(DATOS_[[Check Equiparado]:[Check Equiparado]]="Sí",IF(DATOS!CG$5="Sí",(1/DATOS_[[% anualiz]:[% anualiz]]),1)*IF(DATOS!CG$4="Sí",1/DATOS_[[% normaliz]:[% normaliz]],1)*(DATOS_[C.Extra.11])))))))),
0)</f>
        <v>0</v>
      </c>
      <c r="AU40" s="197">
        <f t="array" ref="AU40">IFERROR(
MEDIAN(IF(DATOS_[Sexo]=$B40,IF(DATOS_[[AGRUP. VALOR. PTO.]:[AGRUP. VALOR. PTO.]]=$B39,IF(DATOS_[Check Equiparado]="Sí",IF(DATOS_[Check Periodo Ref.]="Dentro",DATOS_[Tot Extrasalarial Eq],FALSE))))),
0)</f>
        <v>0</v>
      </c>
      <c r="AV40" s="175">
        <f t="array" ref="AV40">IFERROR(
MEDIAN(IF(DATOS_[Sexo]=$B40,IF(DATOS_[[AGRUP. VALOR. PTO.]:[AGRUP. VALOR. PTO.]]=$B39,IF(DATOS_[Check Equiparado]="Sí",IF(DATOS_[Check Periodo Ref.]="Dentro",DATOS_[TOTAL Retrib Eq],FALSE))))),
0)</f>
        <v>0</v>
      </c>
    </row>
    <row r="41" spans="1:48" x14ac:dyDescent="0.25">
      <c r="A41" s="133" t="str">
        <f t="shared" ref="A41" si="38">+A40</f>
        <v>[ocultar]</v>
      </c>
      <c r="B41" s="202" t="s">
        <v>521</v>
      </c>
      <c r="C41" s="203">
        <f t="array" ref="C41">SUM(IF($B41=DATOS_[Sexo],
IF($B39=DATOS_[AGRUP. VALOR. PTO.],
IF("Dentro"=DATOS_[Check Periodo Ref.],
1/(COUNTIFS(DATOS_[Sexo],$B41,DATOS_[AGRUP. VALOR. PTO.],$B39,DATOS_[Check Periodo Ref.],"Dentro",DATOS_[id/cod],DATOS_[id/cod]))))))</f>
        <v>0</v>
      </c>
      <c r="D41" s="204">
        <f>COUNTIFS(DATOS_[AGRUP. VALOR. PTO.],$B39,DATOS_[Sexo],$B41,DATOS_[Check Periodo Ref.],"Dentro")</f>
        <v>0</v>
      </c>
      <c r="E41" s="204">
        <f>COUNTIFS(DATOS_[AGRUP. VALOR. PTO.],$B39,DATOS_[Sexo],$B41,DATOS_[Check Periodo Ref.],"Dentro",DATOS_[Check Nº SC Norm],"Sí")</f>
        <v>0</v>
      </c>
      <c r="F41" s="204">
        <f>COUNTIFS(DATOS_[AGRUP. VALOR. PTO.],$B39,DATOS_[Sexo],$B41,DATOS_[Check Periodo Ref.],"Dentro",DATOS_[Check Nº SC Anualiz],"Sí")</f>
        <v>0</v>
      </c>
      <c r="G41" s="204">
        <f>COUNTIFS(DATOS_[AGRUP. VALOR. PTO.],$B39,DATOS_[Sexo],$B41,DATOS_[Check Periodo Ref.],"Dentro",DATOS_[Check Nº SC Norm y Anualiz],"Sí")</f>
        <v>0</v>
      </c>
      <c r="H41" s="204">
        <f>COUNTIFS(DATOS_[AGRUP. VALOR. PTO.],$B39,DATOS_[Sexo],$B41,DATOS_[Check Periodo Ref.],"Dentro",DATOS_[Check Equiparación],"Sí")</f>
        <v>0</v>
      </c>
      <c r="I41" s="195" cm="1">
        <f t="array" ref="I41">IFERROR(
MEDIAN(IF(DATOS_[Sexo]=$B41,IF(DATOS_[[AGRUP. VALOR. PTO.]:[AGRUP. VALOR. PTO.]]=$B39,IF(DATOS_[Check Equiparado]="Sí",IF(DATOS_[Check Periodo Ref.]="Dentro",DATOS_[SALARIO BASE Eq],FALSE))))),
0)</f>
        <v>0</v>
      </c>
      <c r="J41" s="196">
        <f t="array" ref="J41">IFERROR(
(MEDIAN((IF(DATOS_[[Sexo]:[Sexo]]=$B41,IF(DATOS_[[AGRUP. VALOR. PTO.]:[AGRUP. VALOR. PTO.]]=$B39,IF(DATOS_[[Check Periodo Ref.]:[Check Periodo Ref.]]="Dentro",IF(DATOS_[[Check Equiparado]:[Check Equiparado]]="Sí",IF(DATOS!AE$5="Sí",(1/DATOS_[[% anualiz]:[% anualiz]]),1)*IF(DATOS!AE$4="Sí",1/DATOS_[[% normaliz]:[% normaliz]],1)*(DATOS_[Conc.Sal.01])))))))),
0)</f>
        <v>0</v>
      </c>
      <c r="K41" s="196">
        <f t="array" ref="K41">IFERROR(
(MEDIAN((IF(DATOS_[[Sexo]:[Sexo]]=$B41,IF(DATOS_[[AGRUP. VALOR. PTO.]:[AGRUP. VALOR. PTO.]]=$B39,IF(DATOS_[[Check Periodo Ref.]:[Check Periodo Ref.]]="Dentro",IF(DATOS_[[Check Equiparado]:[Check Equiparado]]="Sí",IF(DATOS!AF$5="Sí",(1/DATOS_[[% anualiz]:[% anualiz]]),1)*IF(DATOS!AF$4="Sí",1/DATOS_[[% normaliz]:[% normaliz]],1)*(DATOS_[Conc.Sal.02])))))))),
0)</f>
        <v>0</v>
      </c>
      <c r="L41" s="196">
        <f t="array" ref="L41">IFERROR(
(MEDIAN((IF(DATOS_[[Sexo]:[Sexo]]=$B41,IF(DATOS_[[AGRUP. VALOR. PTO.]:[AGRUP. VALOR. PTO.]]=$B39,IF(DATOS_[[Check Periodo Ref.]:[Check Periodo Ref.]]="Dentro",IF(DATOS_[[Check Equiparado]:[Check Equiparado]]="Sí",IF(DATOS!AG$5="Sí",(1/DATOS_[[% anualiz]:[% anualiz]]),1)*IF(DATOS!AG$4="Sí",1/DATOS_[[% normaliz]:[% normaliz]],1)*(DATOS_[Conc.Sal.03])))))))),
0)</f>
        <v>0</v>
      </c>
      <c r="M41" s="196">
        <f t="array" ref="M41">IFERROR(
(MEDIAN((IF(DATOS_[[Sexo]:[Sexo]]=$B41,IF(DATOS_[[AGRUP. VALOR. PTO.]:[AGRUP. VALOR. PTO.]]=$B39,IF(DATOS_[[Check Periodo Ref.]:[Check Periodo Ref.]]="Dentro",IF(DATOS_[[Check Equiparado]:[Check Equiparado]]="Sí",IF(DATOS!AH$5="Sí",(1/DATOS_[[% anualiz]:[% anualiz]]),1)*IF(DATOS!AH$4="Sí",1/DATOS_[[% normaliz]:[% normaliz]],1)*(DATOS_[Conc.Sal.04])))))))),
0)</f>
        <v>0</v>
      </c>
      <c r="N41" s="196">
        <f t="array" ref="N41">IFERROR(
(MEDIAN((IF(DATOS_[[Sexo]:[Sexo]]=$B41,IF(DATOS_[[AGRUP. VALOR. PTO.]:[AGRUP. VALOR. PTO.]]=$B39,IF(DATOS_[[Check Periodo Ref.]:[Check Periodo Ref.]]="Dentro",IF(DATOS_[[Check Equiparado]:[Check Equiparado]]="Sí",IF(DATOS!AI$5="Sí",(1/DATOS_[[% anualiz]:[% anualiz]]),1)*IF(DATOS!AI$4="Sí",1/DATOS_[[% normaliz]:[% normaliz]],1)*(DATOS_[Conc.Sal.05])))))))),
0)</f>
        <v>0</v>
      </c>
      <c r="O41" s="196">
        <f t="array" ref="O41">IFERROR(
(MEDIAN((IF(DATOS_[[Sexo]:[Sexo]]=$B41,IF(DATOS_[[AGRUP. VALOR. PTO.]:[AGRUP. VALOR. PTO.]]=$B39,IF(DATOS_[[Check Periodo Ref.]:[Check Periodo Ref.]]="Dentro",IF(DATOS_[[Check Equiparado]:[Check Equiparado]]="Sí",IF(DATOS!AJ$5="Sí",(1/DATOS_[[% anualiz]:[% anualiz]]),1)*IF(DATOS!AJ$4="Sí",1/DATOS_[[% normaliz]:[% normaliz]],1)*(DATOS_[Conc.Sal.06])))))))),
0)</f>
        <v>0</v>
      </c>
      <c r="P41" s="196">
        <f t="array" ref="P41">IFERROR(
(MEDIAN((IF(DATOS_[[Sexo]:[Sexo]]=$B41,IF(DATOS_[[AGRUP. VALOR. PTO.]:[AGRUP. VALOR. PTO.]]=$B39,IF(DATOS_[[Check Periodo Ref.]:[Check Periodo Ref.]]="Dentro",IF(DATOS_[[Check Equiparado]:[Check Equiparado]]="Sí",IF(DATOS!AK$5="Sí",(1/DATOS_[[% anualiz]:[% anualiz]]),1)*IF(DATOS!AK$4="Sí",1/DATOS_[[% normaliz]:[% normaliz]],1)*(DATOS_[Conc.Sal.07])))))))),
0)</f>
        <v>0</v>
      </c>
      <c r="Q41" s="196">
        <f t="array" ref="Q41">IFERROR(
(MEDIAN((IF(DATOS_[[Sexo]:[Sexo]]=$B41,IF(DATOS_[[AGRUP. VALOR. PTO.]:[AGRUP. VALOR. PTO.]]=$B39,IF(DATOS_[[Check Periodo Ref.]:[Check Periodo Ref.]]="Dentro",IF(DATOS_[[Check Equiparado]:[Check Equiparado]]="Sí",IF(DATOS!AL$5="Sí",(1/DATOS_[[% anualiz]:[% anualiz]]),1)*IF(DATOS!AL$4="Sí",1/DATOS_[[% normaliz]:[% normaliz]],1)*(DATOS_[Conc.Sal.08])))))))),
0)</f>
        <v>0</v>
      </c>
      <c r="R41" s="196">
        <f t="array" ref="R41">IFERROR(
(MEDIAN((IF(DATOS_[[Sexo]:[Sexo]]=$B41,IF(DATOS_[[AGRUP. VALOR. PTO.]:[AGRUP. VALOR. PTO.]]=$B39,IF(DATOS_[[Check Periodo Ref.]:[Check Periodo Ref.]]="Dentro",IF(DATOS_[[Check Equiparado]:[Check Equiparado]]="Sí",IF(DATOS!AM$5="Sí",(1/DATOS_[[% anualiz]:[% anualiz]]),1)*IF(DATOS!AM$4="Sí",1/DATOS_[[% normaliz]:[% normaliz]],1)*(DATOS_[Conc.Sal.09])))))))),
0)</f>
        <v>0</v>
      </c>
      <c r="S41" s="196">
        <f t="array" ref="S41">IFERROR(
(MEDIAN((IF(DATOS_[[Sexo]:[Sexo]]=$B41,IF(DATOS_[[AGRUP. VALOR. PTO.]:[AGRUP. VALOR. PTO.]]=$B39,IF(DATOS_[[Check Periodo Ref.]:[Check Periodo Ref.]]="Dentro",IF(DATOS_[[Check Equiparado]:[Check Equiparado]]="Sí",IF(DATOS!AN$5="Sí",(1/DATOS_[[% anualiz]:[% anualiz]]),1)*IF(DATOS!AN$4="Sí",1/DATOS_[[% normaliz]:[% normaliz]],1)*(DATOS_[Conc.Sal.10])))))))),
0)</f>
        <v>0</v>
      </c>
      <c r="T41" s="196">
        <f t="array" ref="T41">IFERROR(
(MEDIAN((IF(DATOS_[[Sexo]:[Sexo]]=$B41,IF(DATOS_[[AGRUP. VALOR. PTO.]:[AGRUP. VALOR. PTO.]]=$B39,IF(DATOS_[[Check Periodo Ref.]:[Check Periodo Ref.]]="Dentro",IF(DATOS_[[Check Equiparado]:[Check Equiparado]]="Sí",IF(DATOS!AO$5="Sí",(1/DATOS_[[% anualiz]:[% anualiz]]),1)*IF(DATOS!AO$4="Sí",1/DATOS_[[% normaliz]:[% normaliz]],1)*(DATOS_[Conc.Sal.11])))))))),
0)</f>
        <v>0</v>
      </c>
      <c r="U41" s="196">
        <f t="array" ref="U41">IFERROR(
(MEDIAN((IF(DATOS_[[Sexo]:[Sexo]]=$B41,IF(DATOS_[[AGRUP. VALOR. PTO.]:[AGRUP. VALOR. PTO.]]=$B39,IF(DATOS_[[Check Periodo Ref.]:[Check Periodo Ref.]]="Dentro",IF(DATOS_[[Check Equiparado]:[Check Equiparado]]="Sí",IF(DATOS!AP$5="Sí",(1/DATOS_[[% anualiz]:[% anualiz]]),1)*IF(DATOS!AP$4="Sí",1/DATOS_[[% normaliz]:[% normaliz]],1)*(DATOS_[Conc.Sal.12])))))))),
0)</f>
        <v>0</v>
      </c>
      <c r="V41" s="196">
        <f t="array" ref="V41">IFERROR(
(MEDIAN((IF(DATOS_[[Sexo]:[Sexo]]=$B41,IF(DATOS_[[AGRUP. VALOR. PTO.]:[AGRUP. VALOR. PTO.]]=$B39,IF(DATOS_[[Check Periodo Ref.]:[Check Periodo Ref.]]="Dentro",IF(DATOS_[[Check Equiparado]:[Check Equiparado]]="Sí",IF(DATOS!AQ$5="Sí",(1/DATOS_[[% anualiz]:[% anualiz]]),1)*IF(DATOS!AQ$4="Sí",1/DATOS_[[% normaliz]:[% normaliz]],1)*(DATOS_[Conc.Sal.13])))))))),
0)</f>
        <v>0</v>
      </c>
      <c r="W41" s="196">
        <f t="array" ref="W41">IFERROR(
(MEDIAN((IF(DATOS_[[Sexo]:[Sexo]]=$B41,IF(DATOS_[[AGRUP. VALOR. PTO.]:[AGRUP. VALOR. PTO.]]=$B39,IF(DATOS_[[Check Periodo Ref.]:[Check Periodo Ref.]]="Dentro",IF(DATOS_[[Check Equiparado]:[Check Equiparado]]="Sí",IF(DATOS!AR$5="Sí",(1/DATOS_[[% anualiz]:[% anualiz]]),1)*IF(DATOS!AR$4="Sí",1/DATOS_[[% normaliz]:[% normaliz]],1)*(DATOS_[Conc.Sal.14])))))))),
0)</f>
        <v>0</v>
      </c>
      <c r="X41" s="196">
        <f t="array" ref="X41">IFERROR(
(MEDIAN((IF(DATOS_[[Sexo]:[Sexo]]=$B41,IF(DATOS_[[AGRUP. VALOR. PTO.]:[AGRUP. VALOR. PTO.]]=$B39,IF(DATOS_[[Check Periodo Ref.]:[Check Periodo Ref.]]="Dentro",IF(DATOS_[[Check Equiparado]:[Check Equiparado]]="Sí",IF(DATOS!AS$5="Sí",(1/DATOS_[[% anualiz]:[% anualiz]]),1)*IF(DATOS!AS$4="Sí",1/DATOS_[[% normaliz]:[% normaliz]],1)*(DATOS_[Conc.Sal.15])))))))),
0)</f>
        <v>0</v>
      </c>
      <c r="Y41" s="196">
        <f t="array" ref="Y41">IFERROR(
(MEDIAN((IF(DATOS_[[Sexo]:[Sexo]]=$B41,IF(DATOS_[[AGRUP. VALOR. PTO.]:[AGRUP. VALOR. PTO.]]=$B39,IF(DATOS_[[Check Periodo Ref.]:[Check Periodo Ref.]]="Dentro",IF(DATOS_[[Check Equiparado]:[Check Equiparado]]="Sí",IF(DATOS!AT$5="Sí",(1/DATOS_[[% anualiz]:[% anualiz]]),1)*IF(DATOS!AT$4="Sí",1/DATOS_[[% normaliz]:[% normaliz]],1)*(DATOS_[Conc.Sal.16])))))))),
0)</f>
        <v>0</v>
      </c>
      <c r="Z41" s="196">
        <f t="array" ref="Z41">IFERROR(
(MEDIAN((IF(DATOS_[[Sexo]:[Sexo]]=$B41,IF(DATOS_[[AGRUP. VALOR. PTO.]:[AGRUP. VALOR. PTO.]]=$B39,IF(DATOS_[[Check Periodo Ref.]:[Check Periodo Ref.]]="Dentro",IF(DATOS_[[Check Equiparado]:[Check Equiparado]]="Sí",IF(DATOS!AU$5="Sí",(1/DATOS_[[% anualiz]:[% anualiz]]),1)*IF(DATOS!AU$4="Sí",1/DATOS_[[% normaliz]:[% normaliz]],1)*(DATOS_[Conc.Sal.17])))))))),
0)</f>
        <v>0</v>
      </c>
      <c r="AA41" s="196">
        <f t="array" ref="AA41">IFERROR(
(MEDIAN((IF(DATOS_[[Sexo]:[Sexo]]=$B41,IF(DATOS_[[AGRUP. VALOR. PTO.]:[AGRUP. VALOR. PTO.]]=$B39,IF(DATOS_[[Check Periodo Ref.]:[Check Periodo Ref.]]="Dentro",IF(DATOS_[[Check Equiparado]:[Check Equiparado]]="Sí",IF(DATOS!AV$5="Sí",(1/DATOS_[[% anualiz]:[% anualiz]]),1)*IF(DATOS!AV$4="Sí",1/DATOS_[[% normaliz]:[% normaliz]],1)*(DATOS_[Conc.Sal.18])))))))),
0)</f>
        <v>0</v>
      </c>
      <c r="AB41" s="196">
        <f t="array" ref="AB41">IFERROR(
(MEDIAN((IF(DATOS_[[Sexo]:[Sexo]]=$B41,IF(DATOS_[[AGRUP. VALOR. PTO.]:[AGRUP. VALOR. PTO.]]=$B39,IF(DATOS_[[Check Periodo Ref.]:[Check Periodo Ref.]]="Dentro",IF(DATOS_[[Check Equiparado]:[Check Equiparado]]="Sí",IF(DATOS!AW$5="Sí",(1/DATOS_[[% anualiz]:[% anualiz]]),1)*IF(DATOS!AW$4="Sí",1/DATOS_[[% normaliz]:[% normaliz]],1)*(DATOS_[Conc.Sal.19])))))))),
0)</f>
        <v>0</v>
      </c>
      <c r="AC41" s="196">
        <f t="array" ref="AC41">IFERROR(
(MEDIAN((IF(DATOS_[[Sexo]:[Sexo]]=$B41,IF(DATOS_[[AGRUP. VALOR. PTO.]:[AGRUP. VALOR. PTO.]]=$B39,IF(DATOS_[[Check Periodo Ref.]:[Check Periodo Ref.]]="Dentro",IF(DATOS_[[Check Equiparado]:[Check Equiparado]]="Sí",IF(DATOS!AX$5="Sí",(1/DATOS_[[% anualiz]:[% anualiz]]),1)*IF(DATOS!AX$4="Sí",1/DATOS_[[% normaliz]:[% normaliz]],1)*(DATOS_[Conc.Sal.20])))))))),
0)</f>
        <v>0</v>
      </c>
      <c r="AD41" s="196">
        <f t="array" ref="AD41">IFERROR(
(MEDIAN((IF(DATOS_[[Sexo]:[Sexo]]=$B41,IF(DATOS_[[AGRUP. VALOR. PTO.]:[AGRUP. VALOR. PTO.]]=$B39,IF(DATOS_[[Check Periodo Ref.]:[Check Periodo Ref.]]="Dentro",IF(DATOS_[[Check Equiparado]:[Check Equiparado]]="Sí",IF(DATOS!AY$5="Sí",(1/DATOS_[[% anualiz]:[% anualiz]]),1)*IF(DATOS!AY$4="Sí",1/DATOS_[[% normaliz]:[% normaliz]],1)*(DATOS_[Conc.Sal.21])))))))),
0)</f>
        <v>0</v>
      </c>
      <c r="AE41" s="196">
        <f t="array" ref="AE41">IFERROR(
(MEDIAN((IF(DATOS_[[Sexo]:[Sexo]]=$B41,IF(DATOS_[[AGRUP. VALOR. PTO.]:[AGRUP. VALOR. PTO.]]=$B39,IF(DATOS_[[Check Periodo Ref.]:[Check Periodo Ref.]]="Dentro",IF(DATOS_[[Check Equiparado]:[Check Equiparado]]="Sí",IF(DATOS!AZ$5="Sí",(1/DATOS_[[% anualiz]:[% anualiz]]),1)*IF(DATOS!AZ$4="Sí",1/DATOS_[[% normaliz]:[% normaliz]],1)*(DATOS_[Conc.Sal.22])))))))),
0)</f>
        <v>0</v>
      </c>
      <c r="AF41" s="196">
        <f t="array" ref="AF41">IFERROR(
(MEDIAN((IF(DATOS_[[Sexo]:[Sexo]]=$B41,IF(DATOS_[[AGRUP. VALOR. PTO.]:[AGRUP. VALOR. PTO.]]=$B39,IF(DATOS_[[Check Periodo Ref.]:[Check Periodo Ref.]]="Dentro",IF(DATOS_[[Check Equiparado]:[Check Equiparado]]="Sí",IF(DATOS!BA$5="Sí",(1/DATOS_[[% anualiz]:[% anualiz]]),1)*IF(DATOS!BA$4="Sí",1/DATOS_[[% normaliz]:[% normaliz]],1)*(DATOS_[Conc.Sal.23])))))))),
0)</f>
        <v>0</v>
      </c>
      <c r="AG41" s="196">
        <f t="array" ref="AG41">IFERROR(
(MEDIAN((IF(DATOS_[[Sexo]:[Sexo]]=$B41,IF(DATOS_[[AGRUP. VALOR. PTO.]:[AGRUP. VALOR. PTO.]]=$B39,IF(DATOS_[[Check Periodo Ref.]:[Check Periodo Ref.]]="Dentro",IF(DATOS_[[Check Equiparado]:[Check Equiparado]]="Sí",IF(DATOS!BB$5="Sí",(1/DATOS_[[% anualiz]:[% anualiz]]),1)*IF(DATOS!BB$4="Sí",1/DATOS_[[% normaliz]:[% normaliz]],1)*(DATOS_[Conc.Sal.24])))))))),
0)</f>
        <v>0</v>
      </c>
      <c r="AH41" s="196">
        <f t="array" ref="AH41">IFERROR(
(MEDIAN((IF(DATOS_[[Sexo]:[Sexo]]=$B41,IF(DATOS_[[AGRUP. VALOR. PTO.]:[AGRUP. VALOR. PTO.]]=$B39,IF(DATOS_[[Check Periodo Ref.]:[Check Periodo Ref.]]="Dentro",IF(DATOS_[[Check Equiparado]:[Check Equiparado]]="Sí",IF(DATOS!BC$5="Sí",(1/DATOS_[[% anualiz]:[% anualiz]]),1)*IF(DATOS!BC$4="Sí",1/DATOS_[[% normaliz]:[% normaliz]],1)*(DATOS_[Conc.Sal.25])))))))),
0)</f>
        <v>0</v>
      </c>
      <c r="AI41" s="196">
        <f t="array" ref="AI41">IFERROR(
(MEDIAN((IF(DATOS_[[Sexo]:[Sexo]]=$B41,IF(DATOS_[[AGRUP. VALOR. PTO.]:[AGRUP. VALOR. PTO.]]=$B39,IF(DATOS_[[Check Periodo Ref.]:[Check Periodo Ref.]]="Dentro",IF(DATOS_[[Check Equiparado]:[Check Equiparado]]="Sí",IF(DATOS!BD$5="Sí",(1/DATOS_[[% anualiz]:[% anualiz]]),1)*IF(DATOS!BD$4="Sí",1/DATOS_[[% normaliz]:[% normaliz]],1)*(DATOS_[Conc.Sal.26])))))))),
0)</f>
        <v>0</v>
      </c>
      <c r="AJ41" s="196">
        <f t="array" ref="AJ41">IFERROR(
(MEDIAN((IF(DATOS_[[Sexo]:[Sexo]]=$B41,IF(DATOS_[[AGRUP. VALOR. PTO.]:[AGRUP. VALOR. PTO.]]=$B39,IF(DATOS_[[Check Periodo Ref.]:[Check Periodo Ref.]]="Dentro",IF(DATOS_[[Check Equiparado]:[Check Equiparado]]="Sí",IF(DATOS!BE$5="Sí",(1/DATOS_[[% anualiz]:[% anualiz]]),1)*IF(DATOS!BE$4="Sí",1/DATOS_[[% normaliz]:[% normaliz]],1)*(DATOS_[Conc.Sal.27])))))))),
0)</f>
        <v>0</v>
      </c>
      <c r="AK41" s="196">
        <f t="array" ref="AK41">IFERROR(
(MEDIAN((IF(DATOS_[[Sexo]:[Sexo]]=$B41,IF(DATOS_[[AGRUP. VALOR. PTO.]:[AGRUP. VALOR. PTO.]]=$B39,IF(DATOS_[[Check Periodo Ref.]:[Check Periodo Ref.]]="Dentro",IF(DATOS_[[Check Equiparado]:[Check Equiparado]]="Sí",IF(DATOS!BF$5="Sí",(1/DATOS_[[% anualiz]:[% anualiz]]),1)*IF(DATOS!BF$4="Sí",1/DATOS_[[% normaliz]:[% normaliz]],1)*(DATOS_[Conc.Sal.28])))))))),
0)</f>
        <v>0</v>
      </c>
      <c r="AL41" s="196">
        <f t="array" ref="AL41">IFERROR(
(MEDIAN((IF(DATOS_[[Sexo]:[Sexo]]=$B41,IF(DATOS_[[AGRUP. VALOR. PTO.]:[AGRUP. VALOR. PTO.]]=$B39,IF(DATOS_[[Check Periodo Ref.]:[Check Periodo Ref.]]="Dentro",IF(DATOS_[[Check Equiparado]:[Check Equiparado]]="Sí",IF(DATOS!BG$5="Sí",(1/DATOS_[[% anualiz]:[% anualiz]]),1)*IF(DATOS!BG$4="Sí",1/DATOS_[[% normaliz]:[% normaliz]],1)*(DATOS_[Conc.Sal.29])))))))),
0)</f>
        <v>0</v>
      </c>
      <c r="AM41" s="196">
        <f t="array" ref="AM41">IFERROR(
(MEDIAN((IF(DATOS_[[Sexo]:[Sexo]]=$B41,IF(DATOS_[[AGRUP. VALOR. PTO.]:[AGRUP. VALOR. PTO.]]=$B39,IF(DATOS_[[Check Periodo Ref.]:[Check Periodo Ref.]]="Dentro",IF(DATOS_[[Check Equiparado]:[Check Equiparado]]="Sí",IF(DATOS!BH$5="Sí",(1/DATOS_[[% anualiz]:[% anualiz]]),1)*IF(DATOS!BH$4="Sí",1/DATOS_[[% normaliz]:[% normaliz]],1)*(DATOS_[Conc.Sal.30])))))))),
0)</f>
        <v>0</v>
      </c>
      <c r="AN41" s="195">
        <f t="array" ref="AN41">IFERROR(
MEDIAN(IF(DATOS_[Sexo]=$B41,IF(DATOS_[[AGRUP. VALOR. PTO.]:[AGRUP. VALOR. PTO.]]=$B39,IF(DATOS_[Check Equiparado]="Sí",IF(DATOS_[Check Periodo Ref.]="Dentro",DATOS_[Tot COMPL.SAL Eq],FALSE))))),
0)</f>
        <v>0</v>
      </c>
      <c r="AO41" s="172">
        <f t="array" ref="AO41">IFERROR(
MEDIAN(IF(DATOS_[Sexo]=$B41,IF(DATOS_[[AGRUP. VALOR. PTO.]:[AGRUP. VALOR. PTO.]]=$B39,IF(DATOS_[Check Equiparado]="Sí",IF(DATOS_[Check Periodo Ref.]="Dentro",DATOS_[TOTAL SALARIO Eq],FALSE))))),
0)</f>
        <v>0</v>
      </c>
      <c r="AP41" s="173">
        <f t="array" ref="AP41">IFERROR(
(MEDIAN((IF(DATOS_[[Sexo]:[Sexo]]=$B41,IF(DATOS_[[AGRUP. VALOR. PTO.]:[AGRUP. VALOR. PTO.]]=$B39,IF(DATOS_[[Check Periodo Ref.]:[Check Periodo Ref.]]="Dentro",IF(DATOS_[[Check Equiparado]:[Check Equiparado]]="Sí",IF(DATOS!BW$5="Sí",(1/DATOS_[[% anualiz]:[% anualiz]]),1)*IF(DATOS!BW$4="Sí",1/DATOS_[[% normaliz]:[% normaliz]],1)*(DATOS_[C.Extra.01])))))))),
0)</f>
        <v>0</v>
      </c>
      <c r="AQ41" s="173">
        <f t="array" ref="AQ41">IFERROR(
(MEDIAN((IF(DATOS_[[Sexo]:[Sexo]]=$B41,IF(DATOS_[[AGRUP. VALOR. PTO.]:[AGRUP. VALOR. PTO.]]=$B39,IF(DATOS_[[Check Periodo Ref.]:[Check Periodo Ref.]]="Dentro",IF(DATOS_[[Check Equiparado]:[Check Equiparado]]="Sí",IF(DATOS!CB$5="Sí",(1/DATOS_[[% anualiz]:[% anualiz]]),1)*IF(DATOS!CB$4="Sí",1/DATOS_[[% normaliz]:[% normaliz]],1)*(DATOS_[C.Extra.06])))))))),
0)</f>
        <v>0</v>
      </c>
      <c r="AR41" s="173">
        <f t="array" ref="AR41">IFERROR(
(MEDIAN((IF(DATOS_[[Sexo]:[Sexo]]=$B41,IF(DATOS_[[AGRUP. VALOR. PTO.]:[AGRUP. VALOR. PTO.]]=$B39,IF(DATOS_[[Check Periodo Ref.]:[Check Periodo Ref.]]="Dentro",IF(DATOS_[[Check Equiparado]:[Check Equiparado]]="Sí",IF(DATOS!CC$5="Sí",(1/DATOS_[[% anualiz]:[% anualiz]]),1)*IF(DATOS!CC$4="Sí",1/DATOS_[[% normaliz]:[% normaliz]],1)*(DATOS_[C.Extra.07])))))))),
0)</f>
        <v>0</v>
      </c>
      <c r="AS41" s="173">
        <f t="array" ref="AS41">IFERROR(
(MEDIAN((IF(DATOS_[[Sexo]:[Sexo]]=$B41,IF(DATOS_[[AGRUP. VALOR. PTO.]:[AGRUP. VALOR. PTO.]]=$B39,IF(DATOS_[[Check Periodo Ref.]:[Check Periodo Ref.]]="Dentro",IF(DATOS_[[Check Equiparado]:[Check Equiparado]]="Sí",IF(DATOS!CD$5="Sí",(1/DATOS_[[% anualiz]:[% anualiz]]),1)*IF(DATOS!CD$4="Sí",1/DATOS_[[% normaliz]:[% normaliz]],1)*(DATOS_[C.Extra.08])))))))),
0)</f>
        <v>0</v>
      </c>
      <c r="AT41" s="173">
        <f t="array" ref="AT41">IFERROR(
(MEDIAN((IF(DATOS_[[Sexo]:[Sexo]]=$B41,IF(DATOS_[[AGRUP. VALOR. PTO.]:[AGRUP. VALOR. PTO.]]=$B39,IF(DATOS_[[Check Periodo Ref.]:[Check Periodo Ref.]]="Dentro",IF(DATOS_[[Check Equiparado]:[Check Equiparado]]="Sí",IF(DATOS!CG$5="Sí",(1/DATOS_[[% anualiz]:[% anualiz]]),1)*IF(DATOS!CG$4="Sí",1/DATOS_[[% normaliz]:[% normaliz]],1)*(DATOS_[C.Extra.11])))))))),
0)</f>
        <v>0</v>
      </c>
      <c r="AU41" s="197">
        <f t="array" ref="AU41">IFERROR(
MEDIAN(IF(DATOS_[Sexo]=$B41,IF(DATOS_[[AGRUP. VALOR. PTO.]:[AGRUP. VALOR. PTO.]]=$B39,IF(DATOS_[Check Equiparado]="Sí",IF(DATOS_[Check Periodo Ref.]="Dentro",DATOS_[Tot Extrasalarial Eq],FALSE))))),
0)</f>
        <v>0</v>
      </c>
      <c r="AV41" s="175">
        <f t="array" ref="AV41">IFERROR(
MEDIAN(IF(DATOS_[Sexo]=$B41,IF(DATOS_[[AGRUP. VALOR. PTO.]:[AGRUP. VALOR. PTO.]]=$B39,IF(DATOS_[Check Equiparado]="Sí",IF(DATOS_[Check Periodo Ref.]="Dentro",DATOS_[TOTAL Retrib Eq],FALSE))))),
0)</f>
        <v>0</v>
      </c>
    </row>
    <row r="42" spans="1:48" ht="15.6" thickBot="1" x14ac:dyDescent="0.3">
      <c r="A42" s="133" t="str">
        <f t="shared" ref="A42" si="39">+A43</f>
        <v>[ocultar]</v>
      </c>
      <c r="B42" s="199" t="s">
        <v>214</v>
      </c>
      <c r="C42" s="200"/>
      <c r="D42" s="201"/>
      <c r="E42" s="201"/>
      <c r="F42" s="201"/>
      <c r="G42" s="201"/>
      <c r="H42" s="201"/>
      <c r="I42" s="189" t="str">
        <f t="shared" ref="I42:AV42" si="40">IFERROR((I43-I44)/I43,"")</f>
        <v/>
      </c>
      <c r="J42" s="190" t="str">
        <f t="shared" si="40"/>
        <v/>
      </c>
      <c r="K42" s="191" t="str">
        <f t="shared" si="40"/>
        <v/>
      </c>
      <c r="L42" s="191" t="str">
        <f t="shared" si="40"/>
        <v/>
      </c>
      <c r="M42" s="191" t="str">
        <f t="shared" si="40"/>
        <v/>
      </c>
      <c r="N42" s="192" t="str">
        <f t="shared" si="40"/>
        <v/>
      </c>
      <c r="O42" s="193" t="str">
        <f t="shared" si="40"/>
        <v/>
      </c>
      <c r="P42" s="193" t="str">
        <f t="shared" si="40"/>
        <v/>
      </c>
      <c r="Q42" s="193" t="str">
        <f t="shared" si="40"/>
        <v/>
      </c>
      <c r="R42" s="193" t="str">
        <f t="shared" si="40"/>
        <v/>
      </c>
      <c r="S42" s="193" t="str">
        <f t="shared" si="40"/>
        <v/>
      </c>
      <c r="T42" s="193" t="str">
        <f t="shared" si="40"/>
        <v/>
      </c>
      <c r="U42" s="193" t="str">
        <f t="shared" si="40"/>
        <v/>
      </c>
      <c r="V42" s="193" t="str">
        <f t="shared" si="40"/>
        <v/>
      </c>
      <c r="W42" s="193" t="str">
        <f t="shared" si="40"/>
        <v/>
      </c>
      <c r="X42" s="193" t="str">
        <f t="shared" si="40"/>
        <v/>
      </c>
      <c r="Y42" s="193" t="str">
        <f t="shared" si="40"/>
        <v/>
      </c>
      <c r="Z42" s="193" t="str">
        <f t="shared" si="40"/>
        <v/>
      </c>
      <c r="AA42" s="193" t="str">
        <f t="shared" si="40"/>
        <v/>
      </c>
      <c r="AB42" s="193" t="str">
        <f t="shared" si="40"/>
        <v/>
      </c>
      <c r="AC42" s="193" t="str">
        <f t="shared" si="40"/>
        <v/>
      </c>
      <c r="AD42" s="193" t="str">
        <f t="shared" si="40"/>
        <v/>
      </c>
      <c r="AE42" s="193" t="str">
        <f t="shared" si="40"/>
        <v/>
      </c>
      <c r="AF42" s="193" t="str">
        <f t="shared" si="40"/>
        <v/>
      </c>
      <c r="AG42" s="193" t="str">
        <f t="shared" si="40"/>
        <v/>
      </c>
      <c r="AH42" s="193" t="str">
        <f t="shared" si="40"/>
        <v/>
      </c>
      <c r="AI42" s="193" t="str">
        <f t="shared" si="40"/>
        <v/>
      </c>
      <c r="AJ42" s="193" t="str">
        <f t="shared" si="40"/>
        <v/>
      </c>
      <c r="AK42" s="193" t="str">
        <f t="shared" si="40"/>
        <v/>
      </c>
      <c r="AL42" s="193" t="str">
        <f t="shared" si="40"/>
        <v/>
      </c>
      <c r="AM42" s="193" t="str">
        <f t="shared" si="40"/>
        <v/>
      </c>
      <c r="AN42" s="189" t="str">
        <f t="shared" si="40"/>
        <v/>
      </c>
      <c r="AO42" s="162" t="str">
        <f t="shared" si="40"/>
        <v/>
      </c>
      <c r="AP42" s="163" t="str">
        <f t="shared" si="40"/>
        <v/>
      </c>
      <c r="AQ42" s="163" t="str">
        <f t="shared" si="40"/>
        <v/>
      </c>
      <c r="AR42" s="163" t="str">
        <f t="shared" si="40"/>
        <v/>
      </c>
      <c r="AS42" s="163" t="str">
        <f t="shared" si="40"/>
        <v/>
      </c>
      <c r="AT42" s="163" t="str">
        <f t="shared" si="40"/>
        <v/>
      </c>
      <c r="AU42" s="194" t="str">
        <f t="shared" si="40"/>
        <v/>
      </c>
      <c r="AV42" s="165" t="str">
        <f t="shared" si="40"/>
        <v/>
      </c>
    </row>
    <row r="43" spans="1:48" x14ac:dyDescent="0.25">
      <c r="A43" s="133" t="str">
        <f t="shared" ref="A43" si="41">+IF(C43+C44=0,"[ocultar]","")</f>
        <v>[ocultar]</v>
      </c>
      <c r="B43" s="202" t="s">
        <v>394</v>
      </c>
      <c r="C43" s="203">
        <f t="array" ref="C43">SUM(IF($B43=DATOS_[Sexo],
IF($B42=DATOS_[AGRUP. VALOR. PTO.],
IF("Dentro"=DATOS_[Check Periodo Ref.],
1/(COUNTIFS(DATOS_[Sexo],$B43,DATOS_[AGRUP. VALOR. PTO.],$B42,DATOS_[Check Periodo Ref.],"Dentro",DATOS_[id/cod],DATOS_[id/cod]))))))</f>
        <v>0</v>
      </c>
      <c r="D43" s="204">
        <f>COUNTIFS(DATOS_[AGRUP. VALOR. PTO.],$B42,DATOS_[Sexo],$B43,DATOS_[Check Periodo Ref.],"Dentro")</f>
        <v>0</v>
      </c>
      <c r="E43" s="204">
        <f>COUNTIFS(DATOS_[AGRUP. VALOR. PTO.],$B42,DATOS_[Sexo],$B43,DATOS_[Check Periodo Ref.],"Dentro",DATOS_[Check Nº SC Norm],"Sí")</f>
        <v>0</v>
      </c>
      <c r="F43" s="204">
        <f>COUNTIFS(DATOS_[AGRUP. VALOR. PTO.],$B42,DATOS_[Sexo],$B43,DATOS_[Check Periodo Ref.],"Dentro",DATOS_[Check Nº SC Anualiz],"Sí")</f>
        <v>0</v>
      </c>
      <c r="G43" s="204">
        <f>COUNTIFS(DATOS_[AGRUP. VALOR. PTO.],$B42,DATOS_[Sexo],$B43,DATOS_[Check Periodo Ref.],"Dentro",DATOS_[Check Nº SC Norm y Anualiz],"Sí")</f>
        <v>0</v>
      </c>
      <c r="H43" s="204">
        <f>COUNTIFS(DATOS_[AGRUP. VALOR. PTO.],$B42,DATOS_[Sexo],$B43,DATOS_[Check Periodo Ref.],"Dentro",DATOS_[Check Equiparación],"Sí")</f>
        <v>0</v>
      </c>
      <c r="I43" s="195">
        <f t="array" ref="I43">IFERROR(
MEDIAN(IF(DATOS_[Sexo]=$B43,IF(DATOS_[[AGRUP. VALOR. PTO.]:[AGRUP. VALOR. PTO.]]=$B42,IF(DATOS_[Check Equiparado]="Sí",IF(DATOS_[Check Periodo Ref.]="Dentro",DATOS_[SALARIO BASE Eq],FALSE))))),
0)</f>
        <v>0</v>
      </c>
      <c r="J43" s="196">
        <f t="array" ref="J43">IFERROR(
(MEDIAN((IF(DATOS_[[Sexo]:[Sexo]]=$B43,IF(DATOS_[[AGRUP. VALOR. PTO.]:[AGRUP. VALOR. PTO.]]=$B42,IF(DATOS_[[Check Periodo Ref.]:[Check Periodo Ref.]]="Dentro",IF(DATOS_[[Check Equiparado]:[Check Equiparado]]="Sí",IF(DATOS!AE$5="Sí",(1/DATOS_[[% anualiz]:[% anualiz]]),1)*IF(DATOS!AE$4="Sí",1/DATOS_[[% normaliz]:[% normaliz]],1)*(DATOS_[Conc.Sal.01])))))))),
0)</f>
        <v>0</v>
      </c>
      <c r="K43" s="196">
        <f t="array" ref="K43">IFERROR(
(MEDIAN((IF(DATOS_[[Sexo]:[Sexo]]=$B43,IF(DATOS_[[AGRUP. VALOR. PTO.]:[AGRUP. VALOR. PTO.]]=$B42,IF(DATOS_[[Check Periodo Ref.]:[Check Periodo Ref.]]="Dentro",IF(DATOS_[[Check Equiparado]:[Check Equiparado]]="Sí",IF(DATOS!AF$5="Sí",(1/DATOS_[[% anualiz]:[% anualiz]]),1)*IF(DATOS!AF$4="Sí",1/DATOS_[[% normaliz]:[% normaliz]],1)*(DATOS_[Conc.Sal.02])))))))),
0)</f>
        <v>0</v>
      </c>
      <c r="L43" s="196">
        <f t="array" ref="L43">IFERROR(
(MEDIAN((IF(DATOS_[[Sexo]:[Sexo]]=$B43,IF(DATOS_[[AGRUP. VALOR. PTO.]:[AGRUP. VALOR. PTO.]]=$B42,IF(DATOS_[[Check Periodo Ref.]:[Check Periodo Ref.]]="Dentro",IF(DATOS_[[Check Equiparado]:[Check Equiparado]]="Sí",IF(DATOS!AG$5="Sí",(1/DATOS_[[% anualiz]:[% anualiz]]),1)*IF(DATOS!AG$4="Sí",1/DATOS_[[% normaliz]:[% normaliz]],1)*(DATOS_[Conc.Sal.03])))))))),
0)</f>
        <v>0</v>
      </c>
      <c r="M43" s="196">
        <f t="array" ref="M43">IFERROR(
(MEDIAN((IF(DATOS_[[Sexo]:[Sexo]]=$B43,IF(DATOS_[[AGRUP. VALOR. PTO.]:[AGRUP. VALOR. PTO.]]=$B42,IF(DATOS_[[Check Periodo Ref.]:[Check Periodo Ref.]]="Dentro",IF(DATOS_[[Check Equiparado]:[Check Equiparado]]="Sí",IF(DATOS!AH$5="Sí",(1/DATOS_[[% anualiz]:[% anualiz]]),1)*IF(DATOS!AH$4="Sí",1/DATOS_[[% normaliz]:[% normaliz]],1)*(DATOS_[Conc.Sal.04])))))))),
0)</f>
        <v>0</v>
      </c>
      <c r="N43" s="196">
        <f t="array" ref="N43">IFERROR(
(MEDIAN((IF(DATOS_[[Sexo]:[Sexo]]=$B43,IF(DATOS_[[AGRUP. VALOR. PTO.]:[AGRUP. VALOR. PTO.]]=$B42,IF(DATOS_[[Check Periodo Ref.]:[Check Periodo Ref.]]="Dentro",IF(DATOS_[[Check Equiparado]:[Check Equiparado]]="Sí",IF(DATOS!AI$5="Sí",(1/DATOS_[[% anualiz]:[% anualiz]]),1)*IF(DATOS!AI$4="Sí",1/DATOS_[[% normaliz]:[% normaliz]],1)*(DATOS_[Conc.Sal.05])))))))),
0)</f>
        <v>0</v>
      </c>
      <c r="O43" s="196">
        <f t="array" ref="O43">IFERROR(
(MEDIAN((IF(DATOS_[[Sexo]:[Sexo]]=$B43,IF(DATOS_[[AGRUP. VALOR. PTO.]:[AGRUP. VALOR. PTO.]]=$B42,IF(DATOS_[[Check Periodo Ref.]:[Check Periodo Ref.]]="Dentro",IF(DATOS_[[Check Equiparado]:[Check Equiparado]]="Sí",IF(DATOS!AJ$5="Sí",(1/DATOS_[[% anualiz]:[% anualiz]]),1)*IF(DATOS!AJ$4="Sí",1/DATOS_[[% normaliz]:[% normaliz]],1)*(DATOS_[Conc.Sal.06])))))))),
0)</f>
        <v>0</v>
      </c>
      <c r="P43" s="196">
        <f t="array" ref="P43">IFERROR(
(MEDIAN((IF(DATOS_[[Sexo]:[Sexo]]=$B43,IF(DATOS_[[AGRUP. VALOR. PTO.]:[AGRUP. VALOR. PTO.]]=$B42,IF(DATOS_[[Check Periodo Ref.]:[Check Periodo Ref.]]="Dentro",IF(DATOS_[[Check Equiparado]:[Check Equiparado]]="Sí",IF(DATOS!AK$5="Sí",(1/DATOS_[[% anualiz]:[% anualiz]]),1)*IF(DATOS!AK$4="Sí",1/DATOS_[[% normaliz]:[% normaliz]],1)*(DATOS_[Conc.Sal.07])))))))),
0)</f>
        <v>0</v>
      </c>
      <c r="Q43" s="196">
        <f t="array" ref="Q43">IFERROR(
(MEDIAN((IF(DATOS_[[Sexo]:[Sexo]]=$B43,IF(DATOS_[[AGRUP. VALOR. PTO.]:[AGRUP. VALOR. PTO.]]=$B42,IF(DATOS_[[Check Periodo Ref.]:[Check Periodo Ref.]]="Dentro",IF(DATOS_[[Check Equiparado]:[Check Equiparado]]="Sí",IF(DATOS!AL$5="Sí",(1/DATOS_[[% anualiz]:[% anualiz]]),1)*IF(DATOS!AL$4="Sí",1/DATOS_[[% normaliz]:[% normaliz]],1)*(DATOS_[Conc.Sal.08])))))))),
0)</f>
        <v>0</v>
      </c>
      <c r="R43" s="196">
        <f t="array" ref="R43">IFERROR(
(MEDIAN((IF(DATOS_[[Sexo]:[Sexo]]=$B43,IF(DATOS_[[AGRUP. VALOR. PTO.]:[AGRUP. VALOR. PTO.]]=$B42,IF(DATOS_[[Check Periodo Ref.]:[Check Periodo Ref.]]="Dentro",IF(DATOS_[[Check Equiparado]:[Check Equiparado]]="Sí",IF(DATOS!AM$5="Sí",(1/DATOS_[[% anualiz]:[% anualiz]]),1)*IF(DATOS!AM$4="Sí",1/DATOS_[[% normaliz]:[% normaliz]],1)*(DATOS_[Conc.Sal.09])))))))),
0)</f>
        <v>0</v>
      </c>
      <c r="S43" s="196">
        <f t="array" ref="S43">IFERROR(
(MEDIAN((IF(DATOS_[[Sexo]:[Sexo]]=$B43,IF(DATOS_[[AGRUP. VALOR. PTO.]:[AGRUP. VALOR. PTO.]]=$B42,IF(DATOS_[[Check Periodo Ref.]:[Check Periodo Ref.]]="Dentro",IF(DATOS_[[Check Equiparado]:[Check Equiparado]]="Sí",IF(DATOS!AN$5="Sí",(1/DATOS_[[% anualiz]:[% anualiz]]),1)*IF(DATOS!AN$4="Sí",1/DATOS_[[% normaliz]:[% normaliz]],1)*(DATOS_[Conc.Sal.10])))))))),
0)</f>
        <v>0</v>
      </c>
      <c r="T43" s="196">
        <f t="array" ref="T43">IFERROR(
(MEDIAN((IF(DATOS_[[Sexo]:[Sexo]]=$B43,IF(DATOS_[[AGRUP. VALOR. PTO.]:[AGRUP. VALOR. PTO.]]=$B42,IF(DATOS_[[Check Periodo Ref.]:[Check Periodo Ref.]]="Dentro",IF(DATOS_[[Check Equiparado]:[Check Equiparado]]="Sí",IF(DATOS!AO$5="Sí",(1/DATOS_[[% anualiz]:[% anualiz]]),1)*IF(DATOS!AO$4="Sí",1/DATOS_[[% normaliz]:[% normaliz]],1)*(DATOS_[Conc.Sal.11])))))))),
0)</f>
        <v>0</v>
      </c>
      <c r="U43" s="196">
        <f t="array" ref="U43">IFERROR(
(MEDIAN((IF(DATOS_[[Sexo]:[Sexo]]=$B43,IF(DATOS_[[AGRUP. VALOR. PTO.]:[AGRUP. VALOR. PTO.]]=$B42,IF(DATOS_[[Check Periodo Ref.]:[Check Periodo Ref.]]="Dentro",IF(DATOS_[[Check Equiparado]:[Check Equiparado]]="Sí",IF(DATOS!AP$5="Sí",(1/DATOS_[[% anualiz]:[% anualiz]]),1)*IF(DATOS!AP$4="Sí",1/DATOS_[[% normaliz]:[% normaliz]],1)*(DATOS_[Conc.Sal.12])))))))),
0)</f>
        <v>0</v>
      </c>
      <c r="V43" s="196">
        <f t="array" ref="V43">IFERROR(
(MEDIAN((IF(DATOS_[[Sexo]:[Sexo]]=$B43,IF(DATOS_[[AGRUP. VALOR. PTO.]:[AGRUP. VALOR. PTO.]]=$B42,IF(DATOS_[[Check Periodo Ref.]:[Check Periodo Ref.]]="Dentro",IF(DATOS_[[Check Equiparado]:[Check Equiparado]]="Sí",IF(DATOS!AQ$5="Sí",(1/DATOS_[[% anualiz]:[% anualiz]]),1)*IF(DATOS!AQ$4="Sí",1/DATOS_[[% normaliz]:[% normaliz]],1)*(DATOS_[Conc.Sal.13])))))))),
0)</f>
        <v>0</v>
      </c>
      <c r="W43" s="196">
        <f t="array" ref="W43">IFERROR(
(MEDIAN((IF(DATOS_[[Sexo]:[Sexo]]=$B43,IF(DATOS_[[AGRUP. VALOR. PTO.]:[AGRUP. VALOR. PTO.]]=$B42,IF(DATOS_[[Check Periodo Ref.]:[Check Periodo Ref.]]="Dentro",IF(DATOS_[[Check Equiparado]:[Check Equiparado]]="Sí",IF(DATOS!AR$5="Sí",(1/DATOS_[[% anualiz]:[% anualiz]]),1)*IF(DATOS!AR$4="Sí",1/DATOS_[[% normaliz]:[% normaliz]],1)*(DATOS_[Conc.Sal.14])))))))),
0)</f>
        <v>0</v>
      </c>
      <c r="X43" s="196">
        <f t="array" ref="X43">IFERROR(
(MEDIAN((IF(DATOS_[[Sexo]:[Sexo]]=$B43,IF(DATOS_[[AGRUP. VALOR. PTO.]:[AGRUP. VALOR. PTO.]]=$B42,IF(DATOS_[[Check Periodo Ref.]:[Check Periodo Ref.]]="Dentro",IF(DATOS_[[Check Equiparado]:[Check Equiparado]]="Sí",IF(DATOS!AS$5="Sí",(1/DATOS_[[% anualiz]:[% anualiz]]),1)*IF(DATOS!AS$4="Sí",1/DATOS_[[% normaliz]:[% normaliz]],1)*(DATOS_[Conc.Sal.15])))))))),
0)</f>
        <v>0</v>
      </c>
      <c r="Y43" s="196">
        <f t="array" ref="Y43">IFERROR(
(MEDIAN((IF(DATOS_[[Sexo]:[Sexo]]=$B43,IF(DATOS_[[AGRUP. VALOR. PTO.]:[AGRUP. VALOR. PTO.]]=$B42,IF(DATOS_[[Check Periodo Ref.]:[Check Periodo Ref.]]="Dentro",IF(DATOS_[[Check Equiparado]:[Check Equiparado]]="Sí",IF(DATOS!AT$5="Sí",(1/DATOS_[[% anualiz]:[% anualiz]]),1)*IF(DATOS!AT$4="Sí",1/DATOS_[[% normaliz]:[% normaliz]],1)*(DATOS_[Conc.Sal.16])))))))),
0)</f>
        <v>0</v>
      </c>
      <c r="Z43" s="196">
        <f t="array" ref="Z43">IFERROR(
(MEDIAN((IF(DATOS_[[Sexo]:[Sexo]]=$B43,IF(DATOS_[[AGRUP. VALOR. PTO.]:[AGRUP. VALOR. PTO.]]=$B42,IF(DATOS_[[Check Periodo Ref.]:[Check Periodo Ref.]]="Dentro",IF(DATOS_[[Check Equiparado]:[Check Equiparado]]="Sí",IF(DATOS!AU$5="Sí",(1/DATOS_[[% anualiz]:[% anualiz]]),1)*IF(DATOS!AU$4="Sí",1/DATOS_[[% normaliz]:[% normaliz]],1)*(DATOS_[Conc.Sal.17])))))))),
0)</f>
        <v>0</v>
      </c>
      <c r="AA43" s="196">
        <f t="array" ref="AA43">IFERROR(
(MEDIAN((IF(DATOS_[[Sexo]:[Sexo]]=$B43,IF(DATOS_[[AGRUP. VALOR. PTO.]:[AGRUP. VALOR. PTO.]]=$B42,IF(DATOS_[[Check Periodo Ref.]:[Check Periodo Ref.]]="Dentro",IF(DATOS_[[Check Equiparado]:[Check Equiparado]]="Sí",IF(DATOS!AV$5="Sí",(1/DATOS_[[% anualiz]:[% anualiz]]),1)*IF(DATOS!AV$4="Sí",1/DATOS_[[% normaliz]:[% normaliz]],1)*(DATOS_[Conc.Sal.18])))))))),
0)</f>
        <v>0</v>
      </c>
      <c r="AB43" s="196">
        <f t="array" ref="AB43">IFERROR(
(MEDIAN((IF(DATOS_[[Sexo]:[Sexo]]=$B43,IF(DATOS_[[AGRUP. VALOR. PTO.]:[AGRUP. VALOR. PTO.]]=$B42,IF(DATOS_[[Check Periodo Ref.]:[Check Periodo Ref.]]="Dentro",IF(DATOS_[[Check Equiparado]:[Check Equiparado]]="Sí",IF(DATOS!AW$5="Sí",(1/DATOS_[[% anualiz]:[% anualiz]]),1)*IF(DATOS!AW$4="Sí",1/DATOS_[[% normaliz]:[% normaliz]],1)*(DATOS_[Conc.Sal.19])))))))),
0)</f>
        <v>0</v>
      </c>
      <c r="AC43" s="196">
        <f t="array" ref="AC43">IFERROR(
(MEDIAN((IF(DATOS_[[Sexo]:[Sexo]]=$B43,IF(DATOS_[[AGRUP. VALOR. PTO.]:[AGRUP. VALOR. PTO.]]=$B42,IF(DATOS_[[Check Periodo Ref.]:[Check Periodo Ref.]]="Dentro",IF(DATOS_[[Check Equiparado]:[Check Equiparado]]="Sí",IF(DATOS!AX$5="Sí",(1/DATOS_[[% anualiz]:[% anualiz]]),1)*IF(DATOS!AX$4="Sí",1/DATOS_[[% normaliz]:[% normaliz]],1)*(DATOS_[Conc.Sal.20])))))))),
0)</f>
        <v>0</v>
      </c>
      <c r="AD43" s="196">
        <f t="array" ref="AD43">IFERROR(
(MEDIAN((IF(DATOS_[[Sexo]:[Sexo]]=$B43,IF(DATOS_[[AGRUP. VALOR. PTO.]:[AGRUP. VALOR. PTO.]]=$B42,IF(DATOS_[[Check Periodo Ref.]:[Check Periodo Ref.]]="Dentro",IF(DATOS_[[Check Equiparado]:[Check Equiparado]]="Sí",IF(DATOS!AY$5="Sí",(1/DATOS_[[% anualiz]:[% anualiz]]),1)*IF(DATOS!AY$4="Sí",1/DATOS_[[% normaliz]:[% normaliz]],1)*(DATOS_[Conc.Sal.21])))))))),
0)</f>
        <v>0</v>
      </c>
      <c r="AE43" s="196">
        <f t="array" ref="AE43">IFERROR(
(MEDIAN((IF(DATOS_[[Sexo]:[Sexo]]=$B43,IF(DATOS_[[AGRUP. VALOR. PTO.]:[AGRUP. VALOR. PTO.]]=$B42,IF(DATOS_[[Check Periodo Ref.]:[Check Periodo Ref.]]="Dentro",IF(DATOS_[[Check Equiparado]:[Check Equiparado]]="Sí",IF(DATOS!AZ$5="Sí",(1/DATOS_[[% anualiz]:[% anualiz]]),1)*IF(DATOS!AZ$4="Sí",1/DATOS_[[% normaliz]:[% normaliz]],1)*(DATOS_[Conc.Sal.22])))))))),
0)</f>
        <v>0</v>
      </c>
      <c r="AF43" s="196">
        <f t="array" ref="AF43">IFERROR(
(MEDIAN((IF(DATOS_[[Sexo]:[Sexo]]=$B43,IF(DATOS_[[AGRUP. VALOR. PTO.]:[AGRUP. VALOR. PTO.]]=$B42,IF(DATOS_[[Check Periodo Ref.]:[Check Periodo Ref.]]="Dentro",IF(DATOS_[[Check Equiparado]:[Check Equiparado]]="Sí",IF(DATOS!BA$5="Sí",(1/DATOS_[[% anualiz]:[% anualiz]]),1)*IF(DATOS!BA$4="Sí",1/DATOS_[[% normaliz]:[% normaliz]],1)*(DATOS_[Conc.Sal.23])))))))),
0)</f>
        <v>0</v>
      </c>
      <c r="AG43" s="196">
        <f t="array" ref="AG43">IFERROR(
(MEDIAN((IF(DATOS_[[Sexo]:[Sexo]]=$B43,IF(DATOS_[[AGRUP. VALOR. PTO.]:[AGRUP. VALOR. PTO.]]=$B42,IF(DATOS_[[Check Periodo Ref.]:[Check Periodo Ref.]]="Dentro",IF(DATOS_[[Check Equiparado]:[Check Equiparado]]="Sí",IF(DATOS!BB$5="Sí",(1/DATOS_[[% anualiz]:[% anualiz]]),1)*IF(DATOS!BB$4="Sí",1/DATOS_[[% normaliz]:[% normaliz]],1)*(DATOS_[Conc.Sal.24])))))))),
0)</f>
        <v>0</v>
      </c>
      <c r="AH43" s="196">
        <f t="array" ref="AH43">IFERROR(
(MEDIAN((IF(DATOS_[[Sexo]:[Sexo]]=$B43,IF(DATOS_[[AGRUP. VALOR. PTO.]:[AGRUP. VALOR. PTO.]]=$B42,IF(DATOS_[[Check Periodo Ref.]:[Check Periodo Ref.]]="Dentro",IF(DATOS_[[Check Equiparado]:[Check Equiparado]]="Sí",IF(DATOS!BC$5="Sí",(1/DATOS_[[% anualiz]:[% anualiz]]),1)*IF(DATOS!BC$4="Sí",1/DATOS_[[% normaliz]:[% normaliz]],1)*(DATOS_[Conc.Sal.25])))))))),
0)</f>
        <v>0</v>
      </c>
      <c r="AI43" s="196">
        <f t="array" ref="AI43">IFERROR(
(MEDIAN((IF(DATOS_[[Sexo]:[Sexo]]=$B43,IF(DATOS_[[AGRUP. VALOR. PTO.]:[AGRUP. VALOR. PTO.]]=$B42,IF(DATOS_[[Check Periodo Ref.]:[Check Periodo Ref.]]="Dentro",IF(DATOS_[[Check Equiparado]:[Check Equiparado]]="Sí",IF(DATOS!BD$5="Sí",(1/DATOS_[[% anualiz]:[% anualiz]]),1)*IF(DATOS!BD$4="Sí",1/DATOS_[[% normaliz]:[% normaliz]],1)*(DATOS_[Conc.Sal.26])))))))),
0)</f>
        <v>0</v>
      </c>
      <c r="AJ43" s="196">
        <f t="array" ref="AJ43">IFERROR(
(MEDIAN((IF(DATOS_[[Sexo]:[Sexo]]=$B43,IF(DATOS_[[AGRUP. VALOR. PTO.]:[AGRUP. VALOR. PTO.]]=$B42,IF(DATOS_[[Check Periodo Ref.]:[Check Periodo Ref.]]="Dentro",IF(DATOS_[[Check Equiparado]:[Check Equiparado]]="Sí",IF(DATOS!BE$5="Sí",(1/DATOS_[[% anualiz]:[% anualiz]]),1)*IF(DATOS!BE$4="Sí",1/DATOS_[[% normaliz]:[% normaliz]],1)*(DATOS_[Conc.Sal.27])))))))),
0)</f>
        <v>0</v>
      </c>
      <c r="AK43" s="196">
        <f t="array" ref="AK43">IFERROR(
(MEDIAN((IF(DATOS_[[Sexo]:[Sexo]]=$B43,IF(DATOS_[[AGRUP. VALOR. PTO.]:[AGRUP. VALOR. PTO.]]=$B42,IF(DATOS_[[Check Periodo Ref.]:[Check Periodo Ref.]]="Dentro",IF(DATOS_[[Check Equiparado]:[Check Equiparado]]="Sí",IF(DATOS!BF$5="Sí",(1/DATOS_[[% anualiz]:[% anualiz]]),1)*IF(DATOS!BF$4="Sí",1/DATOS_[[% normaliz]:[% normaliz]],1)*(DATOS_[Conc.Sal.28])))))))),
0)</f>
        <v>0</v>
      </c>
      <c r="AL43" s="196">
        <f t="array" ref="AL43">IFERROR(
(MEDIAN((IF(DATOS_[[Sexo]:[Sexo]]=$B43,IF(DATOS_[[AGRUP. VALOR. PTO.]:[AGRUP. VALOR. PTO.]]=$B42,IF(DATOS_[[Check Periodo Ref.]:[Check Periodo Ref.]]="Dentro",IF(DATOS_[[Check Equiparado]:[Check Equiparado]]="Sí",IF(DATOS!BG$5="Sí",(1/DATOS_[[% anualiz]:[% anualiz]]),1)*IF(DATOS!BG$4="Sí",1/DATOS_[[% normaliz]:[% normaliz]],1)*(DATOS_[Conc.Sal.29])))))))),
0)</f>
        <v>0</v>
      </c>
      <c r="AM43" s="196">
        <f t="array" ref="AM43">IFERROR(
(MEDIAN((IF(DATOS_[[Sexo]:[Sexo]]=$B43,IF(DATOS_[[AGRUP. VALOR. PTO.]:[AGRUP. VALOR. PTO.]]=$B42,IF(DATOS_[[Check Periodo Ref.]:[Check Periodo Ref.]]="Dentro",IF(DATOS_[[Check Equiparado]:[Check Equiparado]]="Sí",IF(DATOS!BH$5="Sí",(1/DATOS_[[% anualiz]:[% anualiz]]),1)*IF(DATOS!BH$4="Sí",1/DATOS_[[% normaliz]:[% normaliz]],1)*(DATOS_[Conc.Sal.30])))))))),
0)</f>
        <v>0</v>
      </c>
      <c r="AN43" s="195">
        <f t="array" ref="AN43">IFERROR(
MEDIAN(IF(DATOS_[Sexo]=$B43,IF(DATOS_[[AGRUP. VALOR. PTO.]:[AGRUP. VALOR. PTO.]]=$B42,IF(DATOS_[Check Equiparado]="Sí",IF(DATOS_[Check Periodo Ref.]="Dentro",DATOS_[Tot COMPL.SAL Eq],FALSE))))),
0)</f>
        <v>0</v>
      </c>
      <c r="AO43" s="172">
        <f t="array" ref="AO43">IFERROR(
MEDIAN(IF(DATOS_[Sexo]=$B43,IF(DATOS_[[AGRUP. VALOR. PTO.]:[AGRUP. VALOR. PTO.]]=$B42,IF(DATOS_[Check Equiparado]="Sí",IF(DATOS_[Check Periodo Ref.]="Dentro",DATOS_[TOTAL SALARIO Eq],FALSE))))),
0)</f>
        <v>0</v>
      </c>
      <c r="AP43" s="173">
        <f t="array" ref="AP43">IFERROR(
(MEDIAN((IF(DATOS_[[Sexo]:[Sexo]]=$B43,IF(DATOS_[[AGRUP. VALOR. PTO.]:[AGRUP. VALOR. PTO.]]=$B42,IF(DATOS_[[Check Periodo Ref.]:[Check Periodo Ref.]]="Dentro",IF(DATOS_[[Check Equiparado]:[Check Equiparado]]="Sí",IF(DATOS!BW$5="Sí",(1/DATOS_[[% anualiz]:[% anualiz]]),1)*IF(DATOS!BW$4="Sí",1/DATOS_[[% normaliz]:[% normaliz]],1)*(DATOS_[C.Extra.01])))))))),
0)</f>
        <v>0</v>
      </c>
      <c r="AQ43" s="173">
        <f t="array" ref="AQ43">IFERROR(
(MEDIAN((IF(DATOS_[[Sexo]:[Sexo]]=$B43,IF(DATOS_[[AGRUP. VALOR. PTO.]:[AGRUP. VALOR. PTO.]]=$B42,IF(DATOS_[[Check Periodo Ref.]:[Check Periodo Ref.]]="Dentro",IF(DATOS_[[Check Equiparado]:[Check Equiparado]]="Sí",IF(DATOS!CB$5="Sí",(1/DATOS_[[% anualiz]:[% anualiz]]),1)*IF(DATOS!CB$4="Sí",1/DATOS_[[% normaliz]:[% normaliz]],1)*(DATOS_[C.Extra.06])))))))),
0)</f>
        <v>0</v>
      </c>
      <c r="AR43" s="173">
        <f t="array" ref="AR43">IFERROR(
(MEDIAN((IF(DATOS_[[Sexo]:[Sexo]]=$B43,IF(DATOS_[[AGRUP. VALOR. PTO.]:[AGRUP. VALOR. PTO.]]=$B42,IF(DATOS_[[Check Periodo Ref.]:[Check Periodo Ref.]]="Dentro",IF(DATOS_[[Check Equiparado]:[Check Equiparado]]="Sí",IF(DATOS!CC$5="Sí",(1/DATOS_[[% anualiz]:[% anualiz]]),1)*IF(DATOS!CC$4="Sí",1/DATOS_[[% normaliz]:[% normaliz]],1)*(DATOS_[C.Extra.07])))))))),
0)</f>
        <v>0</v>
      </c>
      <c r="AS43" s="173">
        <f t="array" ref="AS43">IFERROR(
(MEDIAN((IF(DATOS_[[Sexo]:[Sexo]]=$B43,IF(DATOS_[[AGRUP. VALOR. PTO.]:[AGRUP. VALOR. PTO.]]=$B42,IF(DATOS_[[Check Periodo Ref.]:[Check Periodo Ref.]]="Dentro",IF(DATOS_[[Check Equiparado]:[Check Equiparado]]="Sí",IF(DATOS!CD$5="Sí",(1/DATOS_[[% anualiz]:[% anualiz]]),1)*IF(DATOS!CD$4="Sí",1/DATOS_[[% normaliz]:[% normaliz]],1)*(DATOS_[C.Extra.08])))))))),
0)</f>
        <v>0</v>
      </c>
      <c r="AT43" s="173">
        <f t="array" ref="AT43">IFERROR(
(MEDIAN((IF(DATOS_[[Sexo]:[Sexo]]=$B43,IF(DATOS_[[AGRUP. VALOR. PTO.]:[AGRUP. VALOR. PTO.]]=$B42,IF(DATOS_[[Check Periodo Ref.]:[Check Periodo Ref.]]="Dentro",IF(DATOS_[[Check Equiparado]:[Check Equiparado]]="Sí",IF(DATOS!CG$5="Sí",(1/DATOS_[[% anualiz]:[% anualiz]]),1)*IF(DATOS!CG$4="Sí",1/DATOS_[[% normaliz]:[% normaliz]],1)*(DATOS_[C.Extra.11])))))))),
0)</f>
        <v>0</v>
      </c>
      <c r="AU43" s="197">
        <f t="array" ref="AU43">IFERROR(
MEDIAN(IF(DATOS_[Sexo]=$B43,IF(DATOS_[[AGRUP. VALOR. PTO.]:[AGRUP. VALOR. PTO.]]=$B42,IF(DATOS_[Check Equiparado]="Sí",IF(DATOS_[Check Periodo Ref.]="Dentro",DATOS_[Tot Extrasalarial Eq],FALSE))))),
0)</f>
        <v>0</v>
      </c>
      <c r="AV43" s="175">
        <f t="array" ref="AV43">IFERROR(
MEDIAN(IF(DATOS_[Sexo]=$B43,IF(DATOS_[[AGRUP. VALOR. PTO.]:[AGRUP. VALOR. PTO.]]=$B42,IF(DATOS_[Check Equiparado]="Sí",IF(DATOS_[Check Periodo Ref.]="Dentro",DATOS_[TOTAL Retrib Eq],FALSE))))),
0)</f>
        <v>0</v>
      </c>
    </row>
    <row r="44" spans="1:48" x14ac:dyDescent="0.25">
      <c r="A44" s="133" t="str">
        <f t="shared" ref="A44" si="42">+A43</f>
        <v>[ocultar]</v>
      </c>
      <c r="B44" s="202" t="s">
        <v>521</v>
      </c>
      <c r="C44" s="203">
        <f t="array" ref="C44">SUM(IF($B44=DATOS_[Sexo],
IF($B42=DATOS_[AGRUP. VALOR. PTO.],
IF("Dentro"=DATOS_[Check Periodo Ref.],
1/(COUNTIFS(DATOS_[Sexo],$B44,DATOS_[AGRUP. VALOR. PTO.],$B42,DATOS_[Check Periodo Ref.],"Dentro",DATOS_[id/cod],DATOS_[id/cod]))))))</f>
        <v>0</v>
      </c>
      <c r="D44" s="204">
        <f>COUNTIFS(DATOS_[AGRUP. VALOR. PTO.],$B42,DATOS_[Sexo],$B44,DATOS_[Check Periodo Ref.],"Dentro")</f>
        <v>0</v>
      </c>
      <c r="E44" s="204">
        <f>COUNTIFS(DATOS_[AGRUP. VALOR. PTO.],$B42,DATOS_[Sexo],$B44,DATOS_[Check Periodo Ref.],"Dentro",DATOS_[Check Nº SC Norm],"Sí")</f>
        <v>0</v>
      </c>
      <c r="F44" s="204">
        <f>COUNTIFS(DATOS_[AGRUP. VALOR. PTO.],$B42,DATOS_[Sexo],$B44,DATOS_[Check Periodo Ref.],"Dentro",DATOS_[Check Nº SC Anualiz],"Sí")</f>
        <v>0</v>
      </c>
      <c r="G44" s="204">
        <f>COUNTIFS(DATOS_[AGRUP. VALOR. PTO.],$B42,DATOS_[Sexo],$B44,DATOS_[Check Periodo Ref.],"Dentro",DATOS_[Check Nº SC Norm y Anualiz],"Sí")</f>
        <v>0</v>
      </c>
      <c r="H44" s="204">
        <f>COUNTIFS(DATOS_[AGRUP. VALOR. PTO.],$B42,DATOS_[Sexo],$B44,DATOS_[Check Periodo Ref.],"Dentro",DATOS_[Check Equiparación],"Sí")</f>
        <v>0</v>
      </c>
      <c r="I44" s="195" cm="1">
        <f t="array" ref="I44">IFERROR(
MEDIAN(IF(DATOS_[Sexo]=$B44,IF(DATOS_[[AGRUP. VALOR. PTO.]:[AGRUP. VALOR. PTO.]]=$B42,IF(DATOS_[Check Equiparado]="Sí",IF(DATOS_[Check Periodo Ref.]="Dentro",DATOS_[SALARIO BASE Eq],FALSE))))),
0)</f>
        <v>0</v>
      </c>
      <c r="J44" s="196">
        <f t="array" ref="J44">IFERROR(
(MEDIAN((IF(DATOS_[[Sexo]:[Sexo]]=$B44,IF(DATOS_[[AGRUP. VALOR. PTO.]:[AGRUP. VALOR. PTO.]]=$B42,IF(DATOS_[[Check Periodo Ref.]:[Check Periodo Ref.]]="Dentro",IF(DATOS_[[Check Equiparado]:[Check Equiparado]]="Sí",IF(DATOS!AE$5="Sí",(1/DATOS_[[% anualiz]:[% anualiz]]),1)*IF(DATOS!AE$4="Sí",1/DATOS_[[% normaliz]:[% normaliz]],1)*(DATOS_[Conc.Sal.01])))))))),
0)</f>
        <v>0</v>
      </c>
      <c r="K44" s="196">
        <f t="array" ref="K44">IFERROR(
(MEDIAN((IF(DATOS_[[Sexo]:[Sexo]]=$B44,IF(DATOS_[[AGRUP. VALOR. PTO.]:[AGRUP. VALOR. PTO.]]=$B42,IF(DATOS_[[Check Periodo Ref.]:[Check Periodo Ref.]]="Dentro",IF(DATOS_[[Check Equiparado]:[Check Equiparado]]="Sí",IF(DATOS!AF$5="Sí",(1/DATOS_[[% anualiz]:[% anualiz]]),1)*IF(DATOS!AF$4="Sí",1/DATOS_[[% normaliz]:[% normaliz]],1)*(DATOS_[Conc.Sal.02])))))))),
0)</f>
        <v>0</v>
      </c>
      <c r="L44" s="196">
        <f t="array" ref="L44">IFERROR(
(MEDIAN((IF(DATOS_[[Sexo]:[Sexo]]=$B44,IF(DATOS_[[AGRUP. VALOR. PTO.]:[AGRUP. VALOR. PTO.]]=$B42,IF(DATOS_[[Check Periodo Ref.]:[Check Periodo Ref.]]="Dentro",IF(DATOS_[[Check Equiparado]:[Check Equiparado]]="Sí",IF(DATOS!AG$5="Sí",(1/DATOS_[[% anualiz]:[% anualiz]]),1)*IF(DATOS!AG$4="Sí",1/DATOS_[[% normaliz]:[% normaliz]],1)*(DATOS_[Conc.Sal.03])))))))),
0)</f>
        <v>0</v>
      </c>
      <c r="M44" s="196">
        <f t="array" ref="M44">IFERROR(
(MEDIAN((IF(DATOS_[[Sexo]:[Sexo]]=$B44,IF(DATOS_[[AGRUP. VALOR. PTO.]:[AGRUP. VALOR. PTO.]]=$B42,IF(DATOS_[[Check Periodo Ref.]:[Check Periodo Ref.]]="Dentro",IF(DATOS_[[Check Equiparado]:[Check Equiparado]]="Sí",IF(DATOS!AH$5="Sí",(1/DATOS_[[% anualiz]:[% anualiz]]),1)*IF(DATOS!AH$4="Sí",1/DATOS_[[% normaliz]:[% normaliz]],1)*(DATOS_[Conc.Sal.04])))))))),
0)</f>
        <v>0</v>
      </c>
      <c r="N44" s="196">
        <f t="array" ref="N44">IFERROR(
(MEDIAN((IF(DATOS_[[Sexo]:[Sexo]]=$B44,IF(DATOS_[[AGRUP. VALOR. PTO.]:[AGRUP. VALOR. PTO.]]=$B42,IF(DATOS_[[Check Periodo Ref.]:[Check Periodo Ref.]]="Dentro",IF(DATOS_[[Check Equiparado]:[Check Equiparado]]="Sí",IF(DATOS!AI$5="Sí",(1/DATOS_[[% anualiz]:[% anualiz]]),1)*IF(DATOS!AI$4="Sí",1/DATOS_[[% normaliz]:[% normaliz]],1)*(DATOS_[Conc.Sal.05])))))))),
0)</f>
        <v>0</v>
      </c>
      <c r="O44" s="196">
        <f t="array" ref="O44">IFERROR(
(MEDIAN((IF(DATOS_[[Sexo]:[Sexo]]=$B44,IF(DATOS_[[AGRUP. VALOR. PTO.]:[AGRUP. VALOR. PTO.]]=$B42,IF(DATOS_[[Check Periodo Ref.]:[Check Periodo Ref.]]="Dentro",IF(DATOS_[[Check Equiparado]:[Check Equiparado]]="Sí",IF(DATOS!AJ$5="Sí",(1/DATOS_[[% anualiz]:[% anualiz]]),1)*IF(DATOS!AJ$4="Sí",1/DATOS_[[% normaliz]:[% normaliz]],1)*(DATOS_[Conc.Sal.06])))))))),
0)</f>
        <v>0</v>
      </c>
      <c r="P44" s="196">
        <f t="array" ref="P44">IFERROR(
(MEDIAN((IF(DATOS_[[Sexo]:[Sexo]]=$B44,IF(DATOS_[[AGRUP. VALOR. PTO.]:[AGRUP. VALOR. PTO.]]=$B42,IF(DATOS_[[Check Periodo Ref.]:[Check Periodo Ref.]]="Dentro",IF(DATOS_[[Check Equiparado]:[Check Equiparado]]="Sí",IF(DATOS!AK$5="Sí",(1/DATOS_[[% anualiz]:[% anualiz]]),1)*IF(DATOS!AK$4="Sí",1/DATOS_[[% normaliz]:[% normaliz]],1)*(DATOS_[Conc.Sal.07])))))))),
0)</f>
        <v>0</v>
      </c>
      <c r="Q44" s="196">
        <f t="array" ref="Q44">IFERROR(
(MEDIAN((IF(DATOS_[[Sexo]:[Sexo]]=$B44,IF(DATOS_[[AGRUP. VALOR. PTO.]:[AGRUP. VALOR. PTO.]]=$B42,IF(DATOS_[[Check Periodo Ref.]:[Check Periodo Ref.]]="Dentro",IF(DATOS_[[Check Equiparado]:[Check Equiparado]]="Sí",IF(DATOS!AL$5="Sí",(1/DATOS_[[% anualiz]:[% anualiz]]),1)*IF(DATOS!AL$4="Sí",1/DATOS_[[% normaliz]:[% normaliz]],1)*(DATOS_[Conc.Sal.08])))))))),
0)</f>
        <v>0</v>
      </c>
      <c r="R44" s="196">
        <f t="array" ref="R44">IFERROR(
(MEDIAN((IF(DATOS_[[Sexo]:[Sexo]]=$B44,IF(DATOS_[[AGRUP. VALOR. PTO.]:[AGRUP. VALOR. PTO.]]=$B42,IF(DATOS_[[Check Periodo Ref.]:[Check Periodo Ref.]]="Dentro",IF(DATOS_[[Check Equiparado]:[Check Equiparado]]="Sí",IF(DATOS!AM$5="Sí",(1/DATOS_[[% anualiz]:[% anualiz]]),1)*IF(DATOS!AM$4="Sí",1/DATOS_[[% normaliz]:[% normaliz]],1)*(DATOS_[Conc.Sal.09])))))))),
0)</f>
        <v>0</v>
      </c>
      <c r="S44" s="196">
        <f t="array" ref="S44">IFERROR(
(MEDIAN((IF(DATOS_[[Sexo]:[Sexo]]=$B44,IF(DATOS_[[AGRUP. VALOR. PTO.]:[AGRUP. VALOR. PTO.]]=$B42,IF(DATOS_[[Check Periodo Ref.]:[Check Periodo Ref.]]="Dentro",IF(DATOS_[[Check Equiparado]:[Check Equiparado]]="Sí",IF(DATOS!AN$5="Sí",(1/DATOS_[[% anualiz]:[% anualiz]]),1)*IF(DATOS!AN$4="Sí",1/DATOS_[[% normaliz]:[% normaliz]],1)*(DATOS_[Conc.Sal.10])))))))),
0)</f>
        <v>0</v>
      </c>
      <c r="T44" s="196">
        <f t="array" ref="T44">IFERROR(
(MEDIAN((IF(DATOS_[[Sexo]:[Sexo]]=$B44,IF(DATOS_[[AGRUP. VALOR. PTO.]:[AGRUP. VALOR. PTO.]]=$B42,IF(DATOS_[[Check Periodo Ref.]:[Check Periodo Ref.]]="Dentro",IF(DATOS_[[Check Equiparado]:[Check Equiparado]]="Sí",IF(DATOS!AO$5="Sí",(1/DATOS_[[% anualiz]:[% anualiz]]),1)*IF(DATOS!AO$4="Sí",1/DATOS_[[% normaliz]:[% normaliz]],1)*(DATOS_[Conc.Sal.11])))))))),
0)</f>
        <v>0</v>
      </c>
      <c r="U44" s="196">
        <f t="array" ref="U44">IFERROR(
(MEDIAN((IF(DATOS_[[Sexo]:[Sexo]]=$B44,IF(DATOS_[[AGRUP. VALOR. PTO.]:[AGRUP. VALOR. PTO.]]=$B42,IF(DATOS_[[Check Periodo Ref.]:[Check Periodo Ref.]]="Dentro",IF(DATOS_[[Check Equiparado]:[Check Equiparado]]="Sí",IF(DATOS!AP$5="Sí",(1/DATOS_[[% anualiz]:[% anualiz]]),1)*IF(DATOS!AP$4="Sí",1/DATOS_[[% normaliz]:[% normaliz]],1)*(DATOS_[Conc.Sal.12])))))))),
0)</f>
        <v>0</v>
      </c>
      <c r="V44" s="196">
        <f t="array" ref="V44">IFERROR(
(MEDIAN((IF(DATOS_[[Sexo]:[Sexo]]=$B44,IF(DATOS_[[AGRUP. VALOR. PTO.]:[AGRUP. VALOR. PTO.]]=$B42,IF(DATOS_[[Check Periodo Ref.]:[Check Periodo Ref.]]="Dentro",IF(DATOS_[[Check Equiparado]:[Check Equiparado]]="Sí",IF(DATOS!AQ$5="Sí",(1/DATOS_[[% anualiz]:[% anualiz]]),1)*IF(DATOS!AQ$4="Sí",1/DATOS_[[% normaliz]:[% normaliz]],1)*(DATOS_[Conc.Sal.13])))))))),
0)</f>
        <v>0</v>
      </c>
      <c r="W44" s="196">
        <f t="array" ref="W44">IFERROR(
(MEDIAN((IF(DATOS_[[Sexo]:[Sexo]]=$B44,IF(DATOS_[[AGRUP. VALOR. PTO.]:[AGRUP. VALOR. PTO.]]=$B42,IF(DATOS_[[Check Periodo Ref.]:[Check Periodo Ref.]]="Dentro",IF(DATOS_[[Check Equiparado]:[Check Equiparado]]="Sí",IF(DATOS!AR$5="Sí",(1/DATOS_[[% anualiz]:[% anualiz]]),1)*IF(DATOS!AR$4="Sí",1/DATOS_[[% normaliz]:[% normaliz]],1)*(DATOS_[Conc.Sal.14])))))))),
0)</f>
        <v>0</v>
      </c>
      <c r="X44" s="196">
        <f t="array" ref="X44">IFERROR(
(MEDIAN((IF(DATOS_[[Sexo]:[Sexo]]=$B44,IF(DATOS_[[AGRUP. VALOR. PTO.]:[AGRUP. VALOR. PTO.]]=$B42,IF(DATOS_[[Check Periodo Ref.]:[Check Periodo Ref.]]="Dentro",IF(DATOS_[[Check Equiparado]:[Check Equiparado]]="Sí",IF(DATOS!AS$5="Sí",(1/DATOS_[[% anualiz]:[% anualiz]]),1)*IF(DATOS!AS$4="Sí",1/DATOS_[[% normaliz]:[% normaliz]],1)*(DATOS_[Conc.Sal.15])))))))),
0)</f>
        <v>0</v>
      </c>
      <c r="Y44" s="196">
        <f t="array" ref="Y44">IFERROR(
(MEDIAN((IF(DATOS_[[Sexo]:[Sexo]]=$B44,IF(DATOS_[[AGRUP. VALOR. PTO.]:[AGRUP. VALOR. PTO.]]=$B42,IF(DATOS_[[Check Periodo Ref.]:[Check Periodo Ref.]]="Dentro",IF(DATOS_[[Check Equiparado]:[Check Equiparado]]="Sí",IF(DATOS!AT$5="Sí",(1/DATOS_[[% anualiz]:[% anualiz]]),1)*IF(DATOS!AT$4="Sí",1/DATOS_[[% normaliz]:[% normaliz]],1)*(DATOS_[Conc.Sal.16])))))))),
0)</f>
        <v>0</v>
      </c>
      <c r="Z44" s="196">
        <f t="array" ref="Z44">IFERROR(
(MEDIAN((IF(DATOS_[[Sexo]:[Sexo]]=$B44,IF(DATOS_[[AGRUP. VALOR. PTO.]:[AGRUP. VALOR. PTO.]]=$B42,IF(DATOS_[[Check Periodo Ref.]:[Check Periodo Ref.]]="Dentro",IF(DATOS_[[Check Equiparado]:[Check Equiparado]]="Sí",IF(DATOS!AU$5="Sí",(1/DATOS_[[% anualiz]:[% anualiz]]),1)*IF(DATOS!AU$4="Sí",1/DATOS_[[% normaliz]:[% normaliz]],1)*(DATOS_[Conc.Sal.17])))))))),
0)</f>
        <v>0</v>
      </c>
      <c r="AA44" s="196">
        <f t="array" ref="AA44">IFERROR(
(MEDIAN((IF(DATOS_[[Sexo]:[Sexo]]=$B44,IF(DATOS_[[AGRUP. VALOR. PTO.]:[AGRUP. VALOR. PTO.]]=$B42,IF(DATOS_[[Check Periodo Ref.]:[Check Periodo Ref.]]="Dentro",IF(DATOS_[[Check Equiparado]:[Check Equiparado]]="Sí",IF(DATOS!AV$5="Sí",(1/DATOS_[[% anualiz]:[% anualiz]]),1)*IF(DATOS!AV$4="Sí",1/DATOS_[[% normaliz]:[% normaliz]],1)*(DATOS_[Conc.Sal.18])))))))),
0)</f>
        <v>0</v>
      </c>
      <c r="AB44" s="196">
        <f t="array" ref="AB44">IFERROR(
(MEDIAN((IF(DATOS_[[Sexo]:[Sexo]]=$B44,IF(DATOS_[[AGRUP. VALOR. PTO.]:[AGRUP. VALOR. PTO.]]=$B42,IF(DATOS_[[Check Periodo Ref.]:[Check Periodo Ref.]]="Dentro",IF(DATOS_[[Check Equiparado]:[Check Equiparado]]="Sí",IF(DATOS!AW$5="Sí",(1/DATOS_[[% anualiz]:[% anualiz]]),1)*IF(DATOS!AW$4="Sí",1/DATOS_[[% normaliz]:[% normaliz]],1)*(DATOS_[Conc.Sal.19])))))))),
0)</f>
        <v>0</v>
      </c>
      <c r="AC44" s="196">
        <f t="array" ref="AC44">IFERROR(
(MEDIAN((IF(DATOS_[[Sexo]:[Sexo]]=$B44,IF(DATOS_[[AGRUP. VALOR. PTO.]:[AGRUP. VALOR. PTO.]]=$B42,IF(DATOS_[[Check Periodo Ref.]:[Check Periodo Ref.]]="Dentro",IF(DATOS_[[Check Equiparado]:[Check Equiparado]]="Sí",IF(DATOS!AX$5="Sí",(1/DATOS_[[% anualiz]:[% anualiz]]),1)*IF(DATOS!AX$4="Sí",1/DATOS_[[% normaliz]:[% normaliz]],1)*(DATOS_[Conc.Sal.20])))))))),
0)</f>
        <v>0</v>
      </c>
      <c r="AD44" s="196">
        <f t="array" ref="AD44">IFERROR(
(MEDIAN((IF(DATOS_[[Sexo]:[Sexo]]=$B44,IF(DATOS_[[AGRUP. VALOR. PTO.]:[AGRUP. VALOR. PTO.]]=$B42,IF(DATOS_[[Check Periodo Ref.]:[Check Periodo Ref.]]="Dentro",IF(DATOS_[[Check Equiparado]:[Check Equiparado]]="Sí",IF(DATOS!AY$5="Sí",(1/DATOS_[[% anualiz]:[% anualiz]]),1)*IF(DATOS!AY$4="Sí",1/DATOS_[[% normaliz]:[% normaliz]],1)*(DATOS_[Conc.Sal.21])))))))),
0)</f>
        <v>0</v>
      </c>
      <c r="AE44" s="196">
        <f t="array" ref="AE44">IFERROR(
(MEDIAN((IF(DATOS_[[Sexo]:[Sexo]]=$B44,IF(DATOS_[[AGRUP. VALOR. PTO.]:[AGRUP. VALOR. PTO.]]=$B42,IF(DATOS_[[Check Periodo Ref.]:[Check Periodo Ref.]]="Dentro",IF(DATOS_[[Check Equiparado]:[Check Equiparado]]="Sí",IF(DATOS!AZ$5="Sí",(1/DATOS_[[% anualiz]:[% anualiz]]),1)*IF(DATOS!AZ$4="Sí",1/DATOS_[[% normaliz]:[% normaliz]],1)*(DATOS_[Conc.Sal.22])))))))),
0)</f>
        <v>0</v>
      </c>
      <c r="AF44" s="196">
        <f t="array" ref="AF44">IFERROR(
(MEDIAN((IF(DATOS_[[Sexo]:[Sexo]]=$B44,IF(DATOS_[[AGRUP. VALOR. PTO.]:[AGRUP. VALOR. PTO.]]=$B42,IF(DATOS_[[Check Periodo Ref.]:[Check Periodo Ref.]]="Dentro",IF(DATOS_[[Check Equiparado]:[Check Equiparado]]="Sí",IF(DATOS!BA$5="Sí",(1/DATOS_[[% anualiz]:[% anualiz]]),1)*IF(DATOS!BA$4="Sí",1/DATOS_[[% normaliz]:[% normaliz]],1)*(DATOS_[Conc.Sal.23])))))))),
0)</f>
        <v>0</v>
      </c>
      <c r="AG44" s="196">
        <f t="array" ref="AG44">IFERROR(
(MEDIAN((IF(DATOS_[[Sexo]:[Sexo]]=$B44,IF(DATOS_[[AGRUP. VALOR. PTO.]:[AGRUP. VALOR. PTO.]]=$B42,IF(DATOS_[[Check Periodo Ref.]:[Check Periodo Ref.]]="Dentro",IF(DATOS_[[Check Equiparado]:[Check Equiparado]]="Sí",IF(DATOS!BB$5="Sí",(1/DATOS_[[% anualiz]:[% anualiz]]),1)*IF(DATOS!BB$4="Sí",1/DATOS_[[% normaliz]:[% normaliz]],1)*(DATOS_[Conc.Sal.24])))))))),
0)</f>
        <v>0</v>
      </c>
      <c r="AH44" s="196">
        <f t="array" ref="AH44">IFERROR(
(MEDIAN((IF(DATOS_[[Sexo]:[Sexo]]=$B44,IF(DATOS_[[AGRUP. VALOR. PTO.]:[AGRUP. VALOR. PTO.]]=$B42,IF(DATOS_[[Check Periodo Ref.]:[Check Periodo Ref.]]="Dentro",IF(DATOS_[[Check Equiparado]:[Check Equiparado]]="Sí",IF(DATOS!BC$5="Sí",(1/DATOS_[[% anualiz]:[% anualiz]]),1)*IF(DATOS!BC$4="Sí",1/DATOS_[[% normaliz]:[% normaliz]],1)*(DATOS_[Conc.Sal.25])))))))),
0)</f>
        <v>0</v>
      </c>
      <c r="AI44" s="196">
        <f t="array" ref="AI44">IFERROR(
(MEDIAN((IF(DATOS_[[Sexo]:[Sexo]]=$B44,IF(DATOS_[[AGRUP. VALOR. PTO.]:[AGRUP. VALOR. PTO.]]=$B42,IF(DATOS_[[Check Periodo Ref.]:[Check Periodo Ref.]]="Dentro",IF(DATOS_[[Check Equiparado]:[Check Equiparado]]="Sí",IF(DATOS!BD$5="Sí",(1/DATOS_[[% anualiz]:[% anualiz]]),1)*IF(DATOS!BD$4="Sí",1/DATOS_[[% normaliz]:[% normaliz]],1)*(DATOS_[Conc.Sal.26])))))))),
0)</f>
        <v>0</v>
      </c>
      <c r="AJ44" s="196">
        <f t="array" ref="AJ44">IFERROR(
(MEDIAN((IF(DATOS_[[Sexo]:[Sexo]]=$B44,IF(DATOS_[[AGRUP. VALOR. PTO.]:[AGRUP. VALOR. PTO.]]=$B42,IF(DATOS_[[Check Periodo Ref.]:[Check Periodo Ref.]]="Dentro",IF(DATOS_[[Check Equiparado]:[Check Equiparado]]="Sí",IF(DATOS!BE$5="Sí",(1/DATOS_[[% anualiz]:[% anualiz]]),1)*IF(DATOS!BE$4="Sí",1/DATOS_[[% normaliz]:[% normaliz]],1)*(DATOS_[Conc.Sal.27])))))))),
0)</f>
        <v>0</v>
      </c>
      <c r="AK44" s="196">
        <f t="array" ref="AK44">IFERROR(
(MEDIAN((IF(DATOS_[[Sexo]:[Sexo]]=$B44,IF(DATOS_[[AGRUP. VALOR. PTO.]:[AGRUP. VALOR. PTO.]]=$B42,IF(DATOS_[[Check Periodo Ref.]:[Check Periodo Ref.]]="Dentro",IF(DATOS_[[Check Equiparado]:[Check Equiparado]]="Sí",IF(DATOS!BF$5="Sí",(1/DATOS_[[% anualiz]:[% anualiz]]),1)*IF(DATOS!BF$4="Sí",1/DATOS_[[% normaliz]:[% normaliz]],1)*(DATOS_[Conc.Sal.28])))))))),
0)</f>
        <v>0</v>
      </c>
      <c r="AL44" s="196">
        <f t="array" ref="AL44">IFERROR(
(MEDIAN((IF(DATOS_[[Sexo]:[Sexo]]=$B44,IF(DATOS_[[AGRUP. VALOR. PTO.]:[AGRUP. VALOR. PTO.]]=$B42,IF(DATOS_[[Check Periodo Ref.]:[Check Periodo Ref.]]="Dentro",IF(DATOS_[[Check Equiparado]:[Check Equiparado]]="Sí",IF(DATOS!BG$5="Sí",(1/DATOS_[[% anualiz]:[% anualiz]]),1)*IF(DATOS!BG$4="Sí",1/DATOS_[[% normaliz]:[% normaliz]],1)*(DATOS_[Conc.Sal.29])))))))),
0)</f>
        <v>0</v>
      </c>
      <c r="AM44" s="196">
        <f t="array" ref="AM44">IFERROR(
(MEDIAN((IF(DATOS_[[Sexo]:[Sexo]]=$B44,IF(DATOS_[[AGRUP. VALOR. PTO.]:[AGRUP. VALOR. PTO.]]=$B42,IF(DATOS_[[Check Periodo Ref.]:[Check Periodo Ref.]]="Dentro",IF(DATOS_[[Check Equiparado]:[Check Equiparado]]="Sí",IF(DATOS!BH$5="Sí",(1/DATOS_[[% anualiz]:[% anualiz]]),1)*IF(DATOS!BH$4="Sí",1/DATOS_[[% normaliz]:[% normaliz]],1)*(DATOS_[Conc.Sal.30])))))))),
0)</f>
        <v>0</v>
      </c>
      <c r="AN44" s="195">
        <f t="array" ref="AN44">IFERROR(
MEDIAN(IF(DATOS_[Sexo]=$B44,IF(DATOS_[[AGRUP. VALOR. PTO.]:[AGRUP. VALOR. PTO.]]=$B42,IF(DATOS_[Check Equiparado]="Sí",IF(DATOS_[Check Periodo Ref.]="Dentro",DATOS_[Tot COMPL.SAL Eq],FALSE))))),
0)</f>
        <v>0</v>
      </c>
      <c r="AO44" s="172">
        <f t="array" ref="AO44">IFERROR(
MEDIAN(IF(DATOS_[Sexo]=$B44,IF(DATOS_[[AGRUP. VALOR. PTO.]:[AGRUP. VALOR. PTO.]]=$B42,IF(DATOS_[Check Equiparado]="Sí",IF(DATOS_[Check Periodo Ref.]="Dentro",DATOS_[TOTAL SALARIO Eq],FALSE))))),
0)</f>
        <v>0</v>
      </c>
      <c r="AP44" s="173">
        <f t="array" ref="AP44">IFERROR(
(MEDIAN((IF(DATOS_[[Sexo]:[Sexo]]=$B44,IF(DATOS_[[AGRUP. VALOR. PTO.]:[AGRUP. VALOR. PTO.]]=$B42,IF(DATOS_[[Check Periodo Ref.]:[Check Periodo Ref.]]="Dentro",IF(DATOS_[[Check Equiparado]:[Check Equiparado]]="Sí",IF(DATOS!BW$5="Sí",(1/DATOS_[[% anualiz]:[% anualiz]]),1)*IF(DATOS!BW$4="Sí",1/DATOS_[[% normaliz]:[% normaliz]],1)*(DATOS_[C.Extra.01])))))))),
0)</f>
        <v>0</v>
      </c>
      <c r="AQ44" s="173">
        <f t="array" ref="AQ44">IFERROR(
(MEDIAN((IF(DATOS_[[Sexo]:[Sexo]]=$B44,IF(DATOS_[[AGRUP. VALOR. PTO.]:[AGRUP. VALOR. PTO.]]=$B42,IF(DATOS_[[Check Periodo Ref.]:[Check Periodo Ref.]]="Dentro",IF(DATOS_[[Check Equiparado]:[Check Equiparado]]="Sí",IF(DATOS!CB$5="Sí",(1/DATOS_[[% anualiz]:[% anualiz]]),1)*IF(DATOS!CB$4="Sí",1/DATOS_[[% normaliz]:[% normaliz]],1)*(DATOS_[C.Extra.06])))))))),
0)</f>
        <v>0</v>
      </c>
      <c r="AR44" s="173">
        <f t="array" ref="AR44">IFERROR(
(MEDIAN((IF(DATOS_[[Sexo]:[Sexo]]=$B44,IF(DATOS_[[AGRUP. VALOR. PTO.]:[AGRUP. VALOR. PTO.]]=$B42,IF(DATOS_[[Check Periodo Ref.]:[Check Periodo Ref.]]="Dentro",IF(DATOS_[[Check Equiparado]:[Check Equiparado]]="Sí",IF(DATOS!CC$5="Sí",(1/DATOS_[[% anualiz]:[% anualiz]]),1)*IF(DATOS!CC$4="Sí",1/DATOS_[[% normaliz]:[% normaliz]],1)*(DATOS_[C.Extra.07])))))))),
0)</f>
        <v>0</v>
      </c>
      <c r="AS44" s="173">
        <f t="array" ref="AS44">IFERROR(
(MEDIAN((IF(DATOS_[[Sexo]:[Sexo]]=$B44,IF(DATOS_[[AGRUP. VALOR. PTO.]:[AGRUP. VALOR. PTO.]]=$B42,IF(DATOS_[[Check Periodo Ref.]:[Check Periodo Ref.]]="Dentro",IF(DATOS_[[Check Equiparado]:[Check Equiparado]]="Sí",IF(DATOS!CD$5="Sí",(1/DATOS_[[% anualiz]:[% anualiz]]),1)*IF(DATOS!CD$4="Sí",1/DATOS_[[% normaliz]:[% normaliz]],1)*(DATOS_[C.Extra.08])))))))),
0)</f>
        <v>0</v>
      </c>
      <c r="AT44" s="173">
        <f t="array" ref="AT44">IFERROR(
(MEDIAN((IF(DATOS_[[Sexo]:[Sexo]]=$B44,IF(DATOS_[[AGRUP. VALOR. PTO.]:[AGRUP. VALOR. PTO.]]=$B42,IF(DATOS_[[Check Periodo Ref.]:[Check Periodo Ref.]]="Dentro",IF(DATOS_[[Check Equiparado]:[Check Equiparado]]="Sí",IF(DATOS!CG$5="Sí",(1/DATOS_[[% anualiz]:[% anualiz]]),1)*IF(DATOS!CG$4="Sí",1/DATOS_[[% normaliz]:[% normaliz]],1)*(DATOS_[C.Extra.11])))))))),
0)</f>
        <v>0</v>
      </c>
      <c r="AU44" s="197">
        <f t="array" ref="AU44">IFERROR(
MEDIAN(IF(DATOS_[Sexo]=$B44,IF(DATOS_[[AGRUP. VALOR. PTO.]:[AGRUP. VALOR. PTO.]]=$B42,IF(DATOS_[Check Equiparado]="Sí",IF(DATOS_[Check Periodo Ref.]="Dentro",DATOS_[Tot Extrasalarial Eq],FALSE))))),
0)</f>
        <v>0</v>
      </c>
      <c r="AV44" s="175">
        <f t="array" ref="AV44">IFERROR(
MEDIAN(IF(DATOS_[Sexo]=$B44,IF(DATOS_[[AGRUP. VALOR. PTO.]:[AGRUP. VALOR. PTO.]]=$B42,IF(DATOS_[Check Equiparado]="Sí",IF(DATOS_[Check Periodo Ref.]="Dentro",DATOS_[TOTAL Retrib Eq],FALSE))))),
0)</f>
        <v>0</v>
      </c>
    </row>
    <row r="45" spans="1:48" ht="15.6" thickBot="1" x14ac:dyDescent="0.3">
      <c r="A45" s="133" t="str">
        <f t="shared" ref="A45" si="43">+A46</f>
        <v>[ocultar]</v>
      </c>
      <c r="B45" s="199" t="s">
        <v>218</v>
      </c>
      <c r="C45" s="200"/>
      <c r="D45" s="201"/>
      <c r="E45" s="201"/>
      <c r="F45" s="201"/>
      <c r="G45" s="201"/>
      <c r="H45" s="201"/>
      <c r="I45" s="189" t="str">
        <f t="shared" ref="I45:AV45" si="44">IFERROR((I46-I47)/I46,"")</f>
        <v/>
      </c>
      <c r="J45" s="190" t="str">
        <f t="shared" si="44"/>
        <v/>
      </c>
      <c r="K45" s="191" t="str">
        <f t="shared" si="44"/>
        <v/>
      </c>
      <c r="L45" s="191" t="str">
        <f t="shared" si="44"/>
        <v/>
      </c>
      <c r="M45" s="191" t="str">
        <f t="shared" si="44"/>
        <v/>
      </c>
      <c r="N45" s="192" t="str">
        <f t="shared" si="44"/>
        <v/>
      </c>
      <c r="O45" s="193" t="str">
        <f t="shared" si="44"/>
        <v/>
      </c>
      <c r="P45" s="193" t="str">
        <f t="shared" si="44"/>
        <v/>
      </c>
      <c r="Q45" s="193" t="str">
        <f t="shared" si="44"/>
        <v/>
      </c>
      <c r="R45" s="193" t="str">
        <f t="shared" si="44"/>
        <v/>
      </c>
      <c r="S45" s="193" t="str">
        <f t="shared" si="44"/>
        <v/>
      </c>
      <c r="T45" s="193" t="str">
        <f t="shared" si="44"/>
        <v/>
      </c>
      <c r="U45" s="193" t="str">
        <f t="shared" si="44"/>
        <v/>
      </c>
      <c r="V45" s="193" t="str">
        <f t="shared" si="44"/>
        <v/>
      </c>
      <c r="W45" s="193" t="str">
        <f t="shared" si="44"/>
        <v/>
      </c>
      <c r="X45" s="193" t="str">
        <f t="shared" si="44"/>
        <v/>
      </c>
      <c r="Y45" s="193" t="str">
        <f t="shared" si="44"/>
        <v/>
      </c>
      <c r="Z45" s="193" t="str">
        <f t="shared" si="44"/>
        <v/>
      </c>
      <c r="AA45" s="193" t="str">
        <f t="shared" si="44"/>
        <v/>
      </c>
      <c r="AB45" s="193" t="str">
        <f t="shared" si="44"/>
        <v/>
      </c>
      <c r="AC45" s="193" t="str">
        <f t="shared" si="44"/>
        <v/>
      </c>
      <c r="AD45" s="193" t="str">
        <f t="shared" si="44"/>
        <v/>
      </c>
      <c r="AE45" s="193" t="str">
        <f t="shared" si="44"/>
        <v/>
      </c>
      <c r="AF45" s="193" t="str">
        <f t="shared" si="44"/>
        <v/>
      </c>
      <c r="AG45" s="193" t="str">
        <f t="shared" si="44"/>
        <v/>
      </c>
      <c r="AH45" s="193" t="str">
        <f t="shared" si="44"/>
        <v/>
      </c>
      <c r="AI45" s="193" t="str">
        <f t="shared" si="44"/>
        <v/>
      </c>
      <c r="AJ45" s="193" t="str">
        <f t="shared" si="44"/>
        <v/>
      </c>
      <c r="AK45" s="193" t="str">
        <f t="shared" si="44"/>
        <v/>
      </c>
      <c r="AL45" s="193" t="str">
        <f t="shared" si="44"/>
        <v/>
      </c>
      <c r="AM45" s="193" t="str">
        <f t="shared" si="44"/>
        <v/>
      </c>
      <c r="AN45" s="189" t="str">
        <f t="shared" si="44"/>
        <v/>
      </c>
      <c r="AO45" s="162" t="str">
        <f t="shared" si="44"/>
        <v/>
      </c>
      <c r="AP45" s="163" t="str">
        <f t="shared" si="44"/>
        <v/>
      </c>
      <c r="AQ45" s="163" t="str">
        <f t="shared" si="44"/>
        <v/>
      </c>
      <c r="AR45" s="163" t="str">
        <f t="shared" si="44"/>
        <v/>
      </c>
      <c r="AS45" s="163" t="str">
        <f t="shared" si="44"/>
        <v/>
      </c>
      <c r="AT45" s="163" t="str">
        <f t="shared" si="44"/>
        <v/>
      </c>
      <c r="AU45" s="194" t="str">
        <f t="shared" si="44"/>
        <v/>
      </c>
      <c r="AV45" s="165" t="str">
        <f t="shared" si="44"/>
        <v/>
      </c>
    </row>
    <row r="46" spans="1:48" x14ac:dyDescent="0.25">
      <c r="A46" s="133" t="str">
        <f t="shared" ref="A46" si="45">+IF(C46+C47=0,"[ocultar]","")</f>
        <v>[ocultar]</v>
      </c>
      <c r="B46" s="202" t="s">
        <v>394</v>
      </c>
      <c r="C46" s="203">
        <f t="array" ref="C46">SUM(IF($B46=DATOS_[Sexo],
IF($B45=DATOS_[AGRUP. VALOR. PTO.],
IF("Dentro"=DATOS_[Check Periodo Ref.],
1/(COUNTIFS(DATOS_[Sexo],$B46,DATOS_[AGRUP. VALOR. PTO.],$B45,DATOS_[Check Periodo Ref.],"Dentro",DATOS_[id/cod],DATOS_[id/cod]))))))</f>
        <v>0</v>
      </c>
      <c r="D46" s="204">
        <f>COUNTIFS(DATOS_[AGRUP. VALOR. PTO.],$B45,DATOS_[Sexo],$B46,DATOS_[Check Periodo Ref.],"Dentro")</f>
        <v>0</v>
      </c>
      <c r="E46" s="204">
        <f>COUNTIFS(DATOS_[AGRUP. VALOR. PTO.],$B45,DATOS_[Sexo],$B46,DATOS_[Check Periodo Ref.],"Dentro",DATOS_[Check Nº SC Norm],"Sí")</f>
        <v>0</v>
      </c>
      <c r="F46" s="204">
        <f>COUNTIFS(DATOS_[AGRUP. VALOR. PTO.],$B45,DATOS_[Sexo],$B46,DATOS_[Check Periodo Ref.],"Dentro",DATOS_[Check Nº SC Anualiz],"Sí")</f>
        <v>0</v>
      </c>
      <c r="G46" s="204">
        <f>COUNTIFS(DATOS_[AGRUP. VALOR. PTO.],$B45,DATOS_[Sexo],$B46,DATOS_[Check Periodo Ref.],"Dentro",DATOS_[Check Nº SC Norm y Anualiz],"Sí")</f>
        <v>0</v>
      </c>
      <c r="H46" s="204">
        <f>COUNTIFS(DATOS_[AGRUP. VALOR. PTO.],$B45,DATOS_[Sexo],$B46,DATOS_[Check Periodo Ref.],"Dentro",DATOS_[Check Equiparación],"Sí")</f>
        <v>0</v>
      </c>
      <c r="I46" s="195">
        <f t="array" ref="I46">IFERROR(
MEDIAN(IF(DATOS_[Sexo]=$B46,IF(DATOS_[[AGRUP. VALOR. PTO.]:[AGRUP. VALOR. PTO.]]=$B45,IF(DATOS_[Check Equiparado]="Sí",IF(DATOS_[Check Periodo Ref.]="Dentro",DATOS_[SALARIO BASE Eq],FALSE))))),
0)</f>
        <v>0</v>
      </c>
      <c r="J46" s="196">
        <f t="array" ref="J46">IFERROR(
(MEDIAN((IF(DATOS_[[Sexo]:[Sexo]]=$B46,IF(DATOS_[[AGRUP. VALOR. PTO.]:[AGRUP. VALOR. PTO.]]=$B45,IF(DATOS_[[Check Periodo Ref.]:[Check Periodo Ref.]]="Dentro",IF(DATOS_[[Check Equiparado]:[Check Equiparado]]="Sí",IF(DATOS!AE$5="Sí",(1/DATOS_[[% anualiz]:[% anualiz]]),1)*IF(DATOS!AE$4="Sí",1/DATOS_[[% normaliz]:[% normaliz]],1)*(DATOS_[Conc.Sal.01])))))))),
0)</f>
        <v>0</v>
      </c>
      <c r="K46" s="196">
        <f t="array" ref="K46">IFERROR(
(MEDIAN((IF(DATOS_[[Sexo]:[Sexo]]=$B46,IF(DATOS_[[AGRUP. VALOR. PTO.]:[AGRUP. VALOR. PTO.]]=$B45,IF(DATOS_[[Check Periodo Ref.]:[Check Periodo Ref.]]="Dentro",IF(DATOS_[[Check Equiparado]:[Check Equiparado]]="Sí",IF(DATOS!AF$5="Sí",(1/DATOS_[[% anualiz]:[% anualiz]]),1)*IF(DATOS!AF$4="Sí",1/DATOS_[[% normaliz]:[% normaliz]],1)*(DATOS_[Conc.Sal.02])))))))),
0)</f>
        <v>0</v>
      </c>
      <c r="L46" s="196">
        <f t="array" ref="L46">IFERROR(
(MEDIAN((IF(DATOS_[[Sexo]:[Sexo]]=$B46,IF(DATOS_[[AGRUP. VALOR. PTO.]:[AGRUP. VALOR. PTO.]]=$B45,IF(DATOS_[[Check Periodo Ref.]:[Check Periodo Ref.]]="Dentro",IF(DATOS_[[Check Equiparado]:[Check Equiparado]]="Sí",IF(DATOS!AG$5="Sí",(1/DATOS_[[% anualiz]:[% anualiz]]),1)*IF(DATOS!AG$4="Sí",1/DATOS_[[% normaliz]:[% normaliz]],1)*(DATOS_[Conc.Sal.03])))))))),
0)</f>
        <v>0</v>
      </c>
      <c r="M46" s="196">
        <f t="array" ref="M46">IFERROR(
(MEDIAN((IF(DATOS_[[Sexo]:[Sexo]]=$B46,IF(DATOS_[[AGRUP. VALOR. PTO.]:[AGRUP. VALOR. PTO.]]=$B45,IF(DATOS_[[Check Periodo Ref.]:[Check Periodo Ref.]]="Dentro",IF(DATOS_[[Check Equiparado]:[Check Equiparado]]="Sí",IF(DATOS!AH$5="Sí",(1/DATOS_[[% anualiz]:[% anualiz]]),1)*IF(DATOS!AH$4="Sí",1/DATOS_[[% normaliz]:[% normaliz]],1)*(DATOS_[Conc.Sal.04])))))))),
0)</f>
        <v>0</v>
      </c>
      <c r="N46" s="196">
        <f t="array" ref="N46">IFERROR(
(MEDIAN((IF(DATOS_[[Sexo]:[Sexo]]=$B46,IF(DATOS_[[AGRUP. VALOR. PTO.]:[AGRUP. VALOR. PTO.]]=$B45,IF(DATOS_[[Check Periodo Ref.]:[Check Periodo Ref.]]="Dentro",IF(DATOS_[[Check Equiparado]:[Check Equiparado]]="Sí",IF(DATOS!AI$5="Sí",(1/DATOS_[[% anualiz]:[% anualiz]]),1)*IF(DATOS!AI$4="Sí",1/DATOS_[[% normaliz]:[% normaliz]],1)*(DATOS_[Conc.Sal.05])))))))),
0)</f>
        <v>0</v>
      </c>
      <c r="O46" s="196">
        <f t="array" ref="O46">IFERROR(
(MEDIAN((IF(DATOS_[[Sexo]:[Sexo]]=$B46,IF(DATOS_[[AGRUP. VALOR. PTO.]:[AGRUP. VALOR. PTO.]]=$B45,IF(DATOS_[[Check Periodo Ref.]:[Check Periodo Ref.]]="Dentro",IF(DATOS_[[Check Equiparado]:[Check Equiparado]]="Sí",IF(DATOS!AJ$5="Sí",(1/DATOS_[[% anualiz]:[% anualiz]]),1)*IF(DATOS!AJ$4="Sí",1/DATOS_[[% normaliz]:[% normaliz]],1)*(DATOS_[Conc.Sal.06])))))))),
0)</f>
        <v>0</v>
      </c>
      <c r="P46" s="196">
        <f t="array" ref="P46">IFERROR(
(MEDIAN((IF(DATOS_[[Sexo]:[Sexo]]=$B46,IF(DATOS_[[AGRUP. VALOR. PTO.]:[AGRUP. VALOR. PTO.]]=$B45,IF(DATOS_[[Check Periodo Ref.]:[Check Periodo Ref.]]="Dentro",IF(DATOS_[[Check Equiparado]:[Check Equiparado]]="Sí",IF(DATOS!AK$5="Sí",(1/DATOS_[[% anualiz]:[% anualiz]]),1)*IF(DATOS!AK$4="Sí",1/DATOS_[[% normaliz]:[% normaliz]],1)*(DATOS_[Conc.Sal.07])))))))),
0)</f>
        <v>0</v>
      </c>
      <c r="Q46" s="196">
        <f t="array" ref="Q46">IFERROR(
(MEDIAN((IF(DATOS_[[Sexo]:[Sexo]]=$B46,IF(DATOS_[[AGRUP. VALOR. PTO.]:[AGRUP. VALOR. PTO.]]=$B45,IF(DATOS_[[Check Periodo Ref.]:[Check Periodo Ref.]]="Dentro",IF(DATOS_[[Check Equiparado]:[Check Equiparado]]="Sí",IF(DATOS!AL$5="Sí",(1/DATOS_[[% anualiz]:[% anualiz]]),1)*IF(DATOS!AL$4="Sí",1/DATOS_[[% normaliz]:[% normaliz]],1)*(DATOS_[Conc.Sal.08])))))))),
0)</f>
        <v>0</v>
      </c>
      <c r="R46" s="196">
        <f t="array" ref="R46">IFERROR(
(MEDIAN((IF(DATOS_[[Sexo]:[Sexo]]=$B46,IF(DATOS_[[AGRUP. VALOR. PTO.]:[AGRUP. VALOR. PTO.]]=$B45,IF(DATOS_[[Check Periodo Ref.]:[Check Periodo Ref.]]="Dentro",IF(DATOS_[[Check Equiparado]:[Check Equiparado]]="Sí",IF(DATOS!AM$5="Sí",(1/DATOS_[[% anualiz]:[% anualiz]]),1)*IF(DATOS!AM$4="Sí",1/DATOS_[[% normaliz]:[% normaliz]],1)*(DATOS_[Conc.Sal.09])))))))),
0)</f>
        <v>0</v>
      </c>
      <c r="S46" s="196">
        <f t="array" ref="S46">IFERROR(
(MEDIAN((IF(DATOS_[[Sexo]:[Sexo]]=$B46,IF(DATOS_[[AGRUP. VALOR. PTO.]:[AGRUP. VALOR. PTO.]]=$B45,IF(DATOS_[[Check Periodo Ref.]:[Check Periodo Ref.]]="Dentro",IF(DATOS_[[Check Equiparado]:[Check Equiparado]]="Sí",IF(DATOS!AN$5="Sí",(1/DATOS_[[% anualiz]:[% anualiz]]),1)*IF(DATOS!AN$4="Sí",1/DATOS_[[% normaliz]:[% normaliz]],1)*(DATOS_[Conc.Sal.10])))))))),
0)</f>
        <v>0</v>
      </c>
      <c r="T46" s="196">
        <f t="array" ref="T46">IFERROR(
(MEDIAN((IF(DATOS_[[Sexo]:[Sexo]]=$B46,IF(DATOS_[[AGRUP. VALOR. PTO.]:[AGRUP. VALOR. PTO.]]=$B45,IF(DATOS_[[Check Periodo Ref.]:[Check Periodo Ref.]]="Dentro",IF(DATOS_[[Check Equiparado]:[Check Equiparado]]="Sí",IF(DATOS!AO$5="Sí",(1/DATOS_[[% anualiz]:[% anualiz]]),1)*IF(DATOS!AO$4="Sí",1/DATOS_[[% normaliz]:[% normaliz]],1)*(DATOS_[Conc.Sal.11])))))))),
0)</f>
        <v>0</v>
      </c>
      <c r="U46" s="196">
        <f t="array" ref="U46">IFERROR(
(MEDIAN((IF(DATOS_[[Sexo]:[Sexo]]=$B46,IF(DATOS_[[AGRUP. VALOR. PTO.]:[AGRUP. VALOR. PTO.]]=$B45,IF(DATOS_[[Check Periodo Ref.]:[Check Periodo Ref.]]="Dentro",IF(DATOS_[[Check Equiparado]:[Check Equiparado]]="Sí",IF(DATOS!AP$5="Sí",(1/DATOS_[[% anualiz]:[% anualiz]]),1)*IF(DATOS!AP$4="Sí",1/DATOS_[[% normaliz]:[% normaliz]],1)*(DATOS_[Conc.Sal.12])))))))),
0)</f>
        <v>0</v>
      </c>
      <c r="V46" s="196">
        <f t="array" ref="V46">IFERROR(
(MEDIAN((IF(DATOS_[[Sexo]:[Sexo]]=$B46,IF(DATOS_[[AGRUP. VALOR. PTO.]:[AGRUP. VALOR. PTO.]]=$B45,IF(DATOS_[[Check Periodo Ref.]:[Check Periodo Ref.]]="Dentro",IF(DATOS_[[Check Equiparado]:[Check Equiparado]]="Sí",IF(DATOS!AQ$5="Sí",(1/DATOS_[[% anualiz]:[% anualiz]]),1)*IF(DATOS!AQ$4="Sí",1/DATOS_[[% normaliz]:[% normaliz]],1)*(DATOS_[Conc.Sal.13])))))))),
0)</f>
        <v>0</v>
      </c>
      <c r="W46" s="196">
        <f t="array" ref="W46">IFERROR(
(MEDIAN((IF(DATOS_[[Sexo]:[Sexo]]=$B46,IF(DATOS_[[AGRUP. VALOR. PTO.]:[AGRUP. VALOR. PTO.]]=$B45,IF(DATOS_[[Check Periodo Ref.]:[Check Periodo Ref.]]="Dentro",IF(DATOS_[[Check Equiparado]:[Check Equiparado]]="Sí",IF(DATOS!AR$5="Sí",(1/DATOS_[[% anualiz]:[% anualiz]]),1)*IF(DATOS!AR$4="Sí",1/DATOS_[[% normaliz]:[% normaliz]],1)*(DATOS_[Conc.Sal.14])))))))),
0)</f>
        <v>0</v>
      </c>
      <c r="X46" s="196">
        <f t="array" ref="X46">IFERROR(
(MEDIAN((IF(DATOS_[[Sexo]:[Sexo]]=$B46,IF(DATOS_[[AGRUP. VALOR. PTO.]:[AGRUP. VALOR. PTO.]]=$B45,IF(DATOS_[[Check Periodo Ref.]:[Check Periodo Ref.]]="Dentro",IF(DATOS_[[Check Equiparado]:[Check Equiparado]]="Sí",IF(DATOS!AS$5="Sí",(1/DATOS_[[% anualiz]:[% anualiz]]),1)*IF(DATOS!AS$4="Sí",1/DATOS_[[% normaliz]:[% normaliz]],1)*(DATOS_[Conc.Sal.15])))))))),
0)</f>
        <v>0</v>
      </c>
      <c r="Y46" s="196">
        <f t="array" ref="Y46">IFERROR(
(MEDIAN((IF(DATOS_[[Sexo]:[Sexo]]=$B46,IF(DATOS_[[AGRUP. VALOR. PTO.]:[AGRUP. VALOR. PTO.]]=$B45,IF(DATOS_[[Check Periodo Ref.]:[Check Periodo Ref.]]="Dentro",IF(DATOS_[[Check Equiparado]:[Check Equiparado]]="Sí",IF(DATOS!AT$5="Sí",(1/DATOS_[[% anualiz]:[% anualiz]]),1)*IF(DATOS!AT$4="Sí",1/DATOS_[[% normaliz]:[% normaliz]],1)*(DATOS_[Conc.Sal.16])))))))),
0)</f>
        <v>0</v>
      </c>
      <c r="Z46" s="196">
        <f t="array" ref="Z46">IFERROR(
(MEDIAN((IF(DATOS_[[Sexo]:[Sexo]]=$B46,IF(DATOS_[[AGRUP. VALOR. PTO.]:[AGRUP. VALOR. PTO.]]=$B45,IF(DATOS_[[Check Periodo Ref.]:[Check Periodo Ref.]]="Dentro",IF(DATOS_[[Check Equiparado]:[Check Equiparado]]="Sí",IF(DATOS!AU$5="Sí",(1/DATOS_[[% anualiz]:[% anualiz]]),1)*IF(DATOS!AU$4="Sí",1/DATOS_[[% normaliz]:[% normaliz]],1)*(DATOS_[Conc.Sal.17])))))))),
0)</f>
        <v>0</v>
      </c>
      <c r="AA46" s="196">
        <f t="array" ref="AA46">IFERROR(
(MEDIAN((IF(DATOS_[[Sexo]:[Sexo]]=$B46,IF(DATOS_[[AGRUP. VALOR. PTO.]:[AGRUP. VALOR. PTO.]]=$B45,IF(DATOS_[[Check Periodo Ref.]:[Check Periodo Ref.]]="Dentro",IF(DATOS_[[Check Equiparado]:[Check Equiparado]]="Sí",IF(DATOS!AV$5="Sí",(1/DATOS_[[% anualiz]:[% anualiz]]),1)*IF(DATOS!AV$4="Sí",1/DATOS_[[% normaliz]:[% normaliz]],1)*(DATOS_[Conc.Sal.18])))))))),
0)</f>
        <v>0</v>
      </c>
      <c r="AB46" s="196">
        <f t="array" ref="AB46">IFERROR(
(MEDIAN((IF(DATOS_[[Sexo]:[Sexo]]=$B46,IF(DATOS_[[AGRUP. VALOR. PTO.]:[AGRUP. VALOR. PTO.]]=$B45,IF(DATOS_[[Check Periodo Ref.]:[Check Periodo Ref.]]="Dentro",IF(DATOS_[[Check Equiparado]:[Check Equiparado]]="Sí",IF(DATOS!AW$5="Sí",(1/DATOS_[[% anualiz]:[% anualiz]]),1)*IF(DATOS!AW$4="Sí",1/DATOS_[[% normaliz]:[% normaliz]],1)*(DATOS_[Conc.Sal.19])))))))),
0)</f>
        <v>0</v>
      </c>
      <c r="AC46" s="196">
        <f t="array" ref="AC46">IFERROR(
(MEDIAN((IF(DATOS_[[Sexo]:[Sexo]]=$B46,IF(DATOS_[[AGRUP. VALOR. PTO.]:[AGRUP. VALOR. PTO.]]=$B45,IF(DATOS_[[Check Periodo Ref.]:[Check Periodo Ref.]]="Dentro",IF(DATOS_[[Check Equiparado]:[Check Equiparado]]="Sí",IF(DATOS!AX$5="Sí",(1/DATOS_[[% anualiz]:[% anualiz]]),1)*IF(DATOS!AX$4="Sí",1/DATOS_[[% normaliz]:[% normaliz]],1)*(DATOS_[Conc.Sal.20])))))))),
0)</f>
        <v>0</v>
      </c>
      <c r="AD46" s="196">
        <f t="array" ref="AD46">IFERROR(
(MEDIAN((IF(DATOS_[[Sexo]:[Sexo]]=$B46,IF(DATOS_[[AGRUP. VALOR. PTO.]:[AGRUP. VALOR. PTO.]]=$B45,IF(DATOS_[[Check Periodo Ref.]:[Check Periodo Ref.]]="Dentro",IF(DATOS_[[Check Equiparado]:[Check Equiparado]]="Sí",IF(DATOS!AY$5="Sí",(1/DATOS_[[% anualiz]:[% anualiz]]),1)*IF(DATOS!AY$4="Sí",1/DATOS_[[% normaliz]:[% normaliz]],1)*(DATOS_[Conc.Sal.21])))))))),
0)</f>
        <v>0</v>
      </c>
      <c r="AE46" s="196">
        <f t="array" ref="AE46">IFERROR(
(MEDIAN((IF(DATOS_[[Sexo]:[Sexo]]=$B46,IF(DATOS_[[AGRUP. VALOR. PTO.]:[AGRUP. VALOR. PTO.]]=$B45,IF(DATOS_[[Check Periodo Ref.]:[Check Periodo Ref.]]="Dentro",IF(DATOS_[[Check Equiparado]:[Check Equiparado]]="Sí",IF(DATOS!AZ$5="Sí",(1/DATOS_[[% anualiz]:[% anualiz]]),1)*IF(DATOS!AZ$4="Sí",1/DATOS_[[% normaliz]:[% normaliz]],1)*(DATOS_[Conc.Sal.22])))))))),
0)</f>
        <v>0</v>
      </c>
      <c r="AF46" s="196">
        <f t="array" ref="AF46">IFERROR(
(MEDIAN((IF(DATOS_[[Sexo]:[Sexo]]=$B46,IF(DATOS_[[AGRUP. VALOR. PTO.]:[AGRUP. VALOR. PTO.]]=$B45,IF(DATOS_[[Check Periodo Ref.]:[Check Periodo Ref.]]="Dentro",IF(DATOS_[[Check Equiparado]:[Check Equiparado]]="Sí",IF(DATOS!BA$5="Sí",(1/DATOS_[[% anualiz]:[% anualiz]]),1)*IF(DATOS!BA$4="Sí",1/DATOS_[[% normaliz]:[% normaliz]],1)*(DATOS_[Conc.Sal.23])))))))),
0)</f>
        <v>0</v>
      </c>
      <c r="AG46" s="196">
        <f t="array" ref="AG46">IFERROR(
(MEDIAN((IF(DATOS_[[Sexo]:[Sexo]]=$B46,IF(DATOS_[[AGRUP. VALOR. PTO.]:[AGRUP. VALOR. PTO.]]=$B45,IF(DATOS_[[Check Periodo Ref.]:[Check Periodo Ref.]]="Dentro",IF(DATOS_[[Check Equiparado]:[Check Equiparado]]="Sí",IF(DATOS!BB$5="Sí",(1/DATOS_[[% anualiz]:[% anualiz]]),1)*IF(DATOS!BB$4="Sí",1/DATOS_[[% normaliz]:[% normaliz]],1)*(DATOS_[Conc.Sal.24])))))))),
0)</f>
        <v>0</v>
      </c>
      <c r="AH46" s="196">
        <f t="array" ref="AH46">IFERROR(
(MEDIAN((IF(DATOS_[[Sexo]:[Sexo]]=$B46,IF(DATOS_[[AGRUP. VALOR. PTO.]:[AGRUP. VALOR. PTO.]]=$B45,IF(DATOS_[[Check Periodo Ref.]:[Check Periodo Ref.]]="Dentro",IF(DATOS_[[Check Equiparado]:[Check Equiparado]]="Sí",IF(DATOS!BC$5="Sí",(1/DATOS_[[% anualiz]:[% anualiz]]),1)*IF(DATOS!BC$4="Sí",1/DATOS_[[% normaliz]:[% normaliz]],1)*(DATOS_[Conc.Sal.25])))))))),
0)</f>
        <v>0</v>
      </c>
      <c r="AI46" s="196">
        <f t="array" ref="AI46">IFERROR(
(MEDIAN((IF(DATOS_[[Sexo]:[Sexo]]=$B46,IF(DATOS_[[AGRUP. VALOR. PTO.]:[AGRUP. VALOR. PTO.]]=$B45,IF(DATOS_[[Check Periodo Ref.]:[Check Periodo Ref.]]="Dentro",IF(DATOS_[[Check Equiparado]:[Check Equiparado]]="Sí",IF(DATOS!BD$5="Sí",(1/DATOS_[[% anualiz]:[% anualiz]]),1)*IF(DATOS!BD$4="Sí",1/DATOS_[[% normaliz]:[% normaliz]],1)*(DATOS_[Conc.Sal.26])))))))),
0)</f>
        <v>0</v>
      </c>
      <c r="AJ46" s="196">
        <f t="array" ref="AJ46">IFERROR(
(MEDIAN((IF(DATOS_[[Sexo]:[Sexo]]=$B46,IF(DATOS_[[AGRUP. VALOR. PTO.]:[AGRUP. VALOR. PTO.]]=$B45,IF(DATOS_[[Check Periodo Ref.]:[Check Periodo Ref.]]="Dentro",IF(DATOS_[[Check Equiparado]:[Check Equiparado]]="Sí",IF(DATOS!BE$5="Sí",(1/DATOS_[[% anualiz]:[% anualiz]]),1)*IF(DATOS!BE$4="Sí",1/DATOS_[[% normaliz]:[% normaliz]],1)*(DATOS_[Conc.Sal.27])))))))),
0)</f>
        <v>0</v>
      </c>
      <c r="AK46" s="196">
        <f t="array" ref="AK46">IFERROR(
(MEDIAN((IF(DATOS_[[Sexo]:[Sexo]]=$B46,IF(DATOS_[[AGRUP. VALOR. PTO.]:[AGRUP. VALOR. PTO.]]=$B45,IF(DATOS_[[Check Periodo Ref.]:[Check Periodo Ref.]]="Dentro",IF(DATOS_[[Check Equiparado]:[Check Equiparado]]="Sí",IF(DATOS!BF$5="Sí",(1/DATOS_[[% anualiz]:[% anualiz]]),1)*IF(DATOS!BF$4="Sí",1/DATOS_[[% normaliz]:[% normaliz]],1)*(DATOS_[Conc.Sal.28])))))))),
0)</f>
        <v>0</v>
      </c>
      <c r="AL46" s="196">
        <f t="array" ref="AL46">IFERROR(
(MEDIAN((IF(DATOS_[[Sexo]:[Sexo]]=$B46,IF(DATOS_[[AGRUP. VALOR. PTO.]:[AGRUP. VALOR. PTO.]]=$B45,IF(DATOS_[[Check Periodo Ref.]:[Check Periodo Ref.]]="Dentro",IF(DATOS_[[Check Equiparado]:[Check Equiparado]]="Sí",IF(DATOS!BG$5="Sí",(1/DATOS_[[% anualiz]:[% anualiz]]),1)*IF(DATOS!BG$4="Sí",1/DATOS_[[% normaliz]:[% normaliz]],1)*(DATOS_[Conc.Sal.29])))))))),
0)</f>
        <v>0</v>
      </c>
      <c r="AM46" s="196">
        <f t="array" ref="AM46">IFERROR(
(MEDIAN((IF(DATOS_[[Sexo]:[Sexo]]=$B46,IF(DATOS_[[AGRUP. VALOR. PTO.]:[AGRUP. VALOR. PTO.]]=$B45,IF(DATOS_[[Check Periodo Ref.]:[Check Periodo Ref.]]="Dentro",IF(DATOS_[[Check Equiparado]:[Check Equiparado]]="Sí",IF(DATOS!BH$5="Sí",(1/DATOS_[[% anualiz]:[% anualiz]]),1)*IF(DATOS!BH$4="Sí",1/DATOS_[[% normaliz]:[% normaliz]],1)*(DATOS_[Conc.Sal.30])))))))),
0)</f>
        <v>0</v>
      </c>
      <c r="AN46" s="195">
        <f t="array" ref="AN46">IFERROR(
MEDIAN(IF(DATOS_[Sexo]=$B46,IF(DATOS_[[AGRUP. VALOR. PTO.]:[AGRUP. VALOR. PTO.]]=$B45,IF(DATOS_[Check Equiparado]="Sí",IF(DATOS_[Check Periodo Ref.]="Dentro",DATOS_[Tot COMPL.SAL Eq],FALSE))))),
0)</f>
        <v>0</v>
      </c>
      <c r="AO46" s="172">
        <f t="array" ref="AO46">IFERROR(
MEDIAN(IF(DATOS_[Sexo]=$B46,IF(DATOS_[[AGRUP. VALOR. PTO.]:[AGRUP. VALOR. PTO.]]=$B45,IF(DATOS_[Check Equiparado]="Sí",IF(DATOS_[Check Periodo Ref.]="Dentro",DATOS_[TOTAL SALARIO Eq],FALSE))))),
0)</f>
        <v>0</v>
      </c>
      <c r="AP46" s="173">
        <f t="array" ref="AP46">IFERROR(
(MEDIAN((IF(DATOS_[[Sexo]:[Sexo]]=$B46,IF(DATOS_[[AGRUP. VALOR. PTO.]:[AGRUP. VALOR. PTO.]]=$B45,IF(DATOS_[[Check Periodo Ref.]:[Check Periodo Ref.]]="Dentro",IF(DATOS_[[Check Equiparado]:[Check Equiparado]]="Sí",IF(DATOS!BW$5="Sí",(1/DATOS_[[% anualiz]:[% anualiz]]),1)*IF(DATOS!BW$4="Sí",1/DATOS_[[% normaliz]:[% normaliz]],1)*(DATOS_[C.Extra.01])))))))),
0)</f>
        <v>0</v>
      </c>
      <c r="AQ46" s="173">
        <f t="array" ref="AQ46">IFERROR(
(MEDIAN((IF(DATOS_[[Sexo]:[Sexo]]=$B46,IF(DATOS_[[AGRUP. VALOR. PTO.]:[AGRUP. VALOR. PTO.]]=$B45,IF(DATOS_[[Check Periodo Ref.]:[Check Periodo Ref.]]="Dentro",IF(DATOS_[[Check Equiparado]:[Check Equiparado]]="Sí",IF(DATOS!CB$5="Sí",(1/DATOS_[[% anualiz]:[% anualiz]]),1)*IF(DATOS!CB$4="Sí",1/DATOS_[[% normaliz]:[% normaliz]],1)*(DATOS_[C.Extra.06])))))))),
0)</f>
        <v>0</v>
      </c>
      <c r="AR46" s="173">
        <f t="array" ref="AR46">IFERROR(
(MEDIAN((IF(DATOS_[[Sexo]:[Sexo]]=$B46,IF(DATOS_[[AGRUP. VALOR. PTO.]:[AGRUP. VALOR. PTO.]]=$B45,IF(DATOS_[[Check Periodo Ref.]:[Check Periodo Ref.]]="Dentro",IF(DATOS_[[Check Equiparado]:[Check Equiparado]]="Sí",IF(DATOS!CC$5="Sí",(1/DATOS_[[% anualiz]:[% anualiz]]),1)*IF(DATOS!CC$4="Sí",1/DATOS_[[% normaliz]:[% normaliz]],1)*(DATOS_[C.Extra.07])))))))),
0)</f>
        <v>0</v>
      </c>
      <c r="AS46" s="173">
        <f t="array" ref="AS46">IFERROR(
(MEDIAN((IF(DATOS_[[Sexo]:[Sexo]]=$B46,IF(DATOS_[[AGRUP. VALOR. PTO.]:[AGRUP. VALOR. PTO.]]=$B45,IF(DATOS_[[Check Periodo Ref.]:[Check Periodo Ref.]]="Dentro",IF(DATOS_[[Check Equiparado]:[Check Equiparado]]="Sí",IF(DATOS!CD$5="Sí",(1/DATOS_[[% anualiz]:[% anualiz]]),1)*IF(DATOS!CD$4="Sí",1/DATOS_[[% normaliz]:[% normaliz]],1)*(DATOS_[C.Extra.08])))))))),
0)</f>
        <v>0</v>
      </c>
      <c r="AT46" s="173">
        <f t="array" ref="AT46">IFERROR(
(MEDIAN((IF(DATOS_[[Sexo]:[Sexo]]=$B46,IF(DATOS_[[AGRUP. VALOR. PTO.]:[AGRUP. VALOR. PTO.]]=$B45,IF(DATOS_[[Check Periodo Ref.]:[Check Periodo Ref.]]="Dentro",IF(DATOS_[[Check Equiparado]:[Check Equiparado]]="Sí",IF(DATOS!CG$5="Sí",(1/DATOS_[[% anualiz]:[% anualiz]]),1)*IF(DATOS!CG$4="Sí",1/DATOS_[[% normaliz]:[% normaliz]],1)*(DATOS_[C.Extra.11])))))))),
0)</f>
        <v>0</v>
      </c>
      <c r="AU46" s="197">
        <f t="array" ref="AU46">IFERROR(
MEDIAN(IF(DATOS_[Sexo]=$B46,IF(DATOS_[[AGRUP. VALOR. PTO.]:[AGRUP. VALOR. PTO.]]=$B45,IF(DATOS_[Check Equiparado]="Sí",IF(DATOS_[Check Periodo Ref.]="Dentro",DATOS_[Tot Extrasalarial Eq],FALSE))))),
0)</f>
        <v>0</v>
      </c>
      <c r="AV46" s="175">
        <f t="array" ref="AV46">IFERROR(
MEDIAN(IF(DATOS_[Sexo]=$B46,IF(DATOS_[[AGRUP. VALOR. PTO.]:[AGRUP. VALOR. PTO.]]=$B45,IF(DATOS_[Check Equiparado]="Sí",IF(DATOS_[Check Periodo Ref.]="Dentro",DATOS_[TOTAL Retrib Eq],FALSE))))),
0)</f>
        <v>0</v>
      </c>
    </row>
    <row r="47" spans="1:48" x14ac:dyDescent="0.25">
      <c r="A47" s="133" t="str">
        <f t="shared" ref="A47" si="46">+A46</f>
        <v>[ocultar]</v>
      </c>
      <c r="B47" s="202" t="s">
        <v>521</v>
      </c>
      <c r="C47" s="203">
        <f t="array" ref="C47">SUM(IF($B47=DATOS_[Sexo],
IF($B45=DATOS_[AGRUP. VALOR. PTO.],
IF("Dentro"=DATOS_[Check Periodo Ref.],
1/(COUNTIFS(DATOS_[Sexo],$B47,DATOS_[AGRUP. VALOR. PTO.],$B45,DATOS_[Check Periodo Ref.],"Dentro",DATOS_[id/cod],DATOS_[id/cod]))))))</f>
        <v>0</v>
      </c>
      <c r="D47" s="204">
        <f>COUNTIFS(DATOS_[AGRUP. VALOR. PTO.],$B45,DATOS_[Sexo],$B47,DATOS_[Check Periodo Ref.],"Dentro")</f>
        <v>0</v>
      </c>
      <c r="E47" s="204">
        <f>COUNTIFS(DATOS_[AGRUP. VALOR. PTO.],$B45,DATOS_[Sexo],$B47,DATOS_[Check Periodo Ref.],"Dentro",DATOS_[Check Nº SC Norm],"Sí")</f>
        <v>0</v>
      </c>
      <c r="F47" s="204">
        <f>COUNTIFS(DATOS_[AGRUP. VALOR. PTO.],$B45,DATOS_[Sexo],$B47,DATOS_[Check Periodo Ref.],"Dentro",DATOS_[Check Nº SC Anualiz],"Sí")</f>
        <v>0</v>
      </c>
      <c r="G47" s="204">
        <f>COUNTIFS(DATOS_[AGRUP. VALOR. PTO.],$B45,DATOS_[Sexo],$B47,DATOS_[Check Periodo Ref.],"Dentro",DATOS_[Check Nº SC Norm y Anualiz],"Sí")</f>
        <v>0</v>
      </c>
      <c r="H47" s="204">
        <f>COUNTIFS(DATOS_[AGRUP. VALOR. PTO.],$B45,DATOS_[Sexo],$B47,DATOS_[Check Periodo Ref.],"Dentro",DATOS_[Check Equiparación],"Sí")</f>
        <v>0</v>
      </c>
      <c r="I47" s="195" cm="1">
        <f t="array" ref="I47">IFERROR(
MEDIAN(IF(DATOS_[Sexo]=$B47,IF(DATOS_[[AGRUP. VALOR. PTO.]:[AGRUP. VALOR. PTO.]]=$B45,IF(DATOS_[Check Equiparado]="Sí",IF(DATOS_[Check Periodo Ref.]="Dentro",DATOS_[SALARIO BASE Eq],FALSE))))),
0)</f>
        <v>0</v>
      </c>
      <c r="J47" s="196">
        <f t="array" ref="J47">IFERROR(
(MEDIAN((IF(DATOS_[[Sexo]:[Sexo]]=$B47,IF(DATOS_[[AGRUP. VALOR. PTO.]:[AGRUP. VALOR. PTO.]]=$B45,IF(DATOS_[[Check Periodo Ref.]:[Check Periodo Ref.]]="Dentro",IF(DATOS_[[Check Equiparado]:[Check Equiparado]]="Sí",IF(DATOS!AE$5="Sí",(1/DATOS_[[% anualiz]:[% anualiz]]),1)*IF(DATOS!AE$4="Sí",1/DATOS_[[% normaliz]:[% normaliz]],1)*(DATOS_[Conc.Sal.01])))))))),
0)</f>
        <v>0</v>
      </c>
      <c r="K47" s="196">
        <f t="array" ref="K47">IFERROR(
(MEDIAN((IF(DATOS_[[Sexo]:[Sexo]]=$B47,IF(DATOS_[[AGRUP. VALOR. PTO.]:[AGRUP. VALOR. PTO.]]=$B45,IF(DATOS_[[Check Periodo Ref.]:[Check Periodo Ref.]]="Dentro",IF(DATOS_[[Check Equiparado]:[Check Equiparado]]="Sí",IF(DATOS!AF$5="Sí",(1/DATOS_[[% anualiz]:[% anualiz]]),1)*IF(DATOS!AF$4="Sí",1/DATOS_[[% normaliz]:[% normaliz]],1)*(DATOS_[Conc.Sal.02])))))))),
0)</f>
        <v>0</v>
      </c>
      <c r="L47" s="196">
        <f t="array" ref="L47">IFERROR(
(MEDIAN((IF(DATOS_[[Sexo]:[Sexo]]=$B47,IF(DATOS_[[AGRUP. VALOR. PTO.]:[AGRUP. VALOR. PTO.]]=$B45,IF(DATOS_[[Check Periodo Ref.]:[Check Periodo Ref.]]="Dentro",IF(DATOS_[[Check Equiparado]:[Check Equiparado]]="Sí",IF(DATOS!AG$5="Sí",(1/DATOS_[[% anualiz]:[% anualiz]]),1)*IF(DATOS!AG$4="Sí",1/DATOS_[[% normaliz]:[% normaliz]],1)*(DATOS_[Conc.Sal.03])))))))),
0)</f>
        <v>0</v>
      </c>
      <c r="M47" s="196">
        <f t="array" ref="M47">IFERROR(
(MEDIAN((IF(DATOS_[[Sexo]:[Sexo]]=$B47,IF(DATOS_[[AGRUP. VALOR. PTO.]:[AGRUP. VALOR. PTO.]]=$B45,IF(DATOS_[[Check Periodo Ref.]:[Check Periodo Ref.]]="Dentro",IF(DATOS_[[Check Equiparado]:[Check Equiparado]]="Sí",IF(DATOS!AH$5="Sí",(1/DATOS_[[% anualiz]:[% anualiz]]),1)*IF(DATOS!AH$4="Sí",1/DATOS_[[% normaliz]:[% normaliz]],1)*(DATOS_[Conc.Sal.04])))))))),
0)</f>
        <v>0</v>
      </c>
      <c r="N47" s="196">
        <f t="array" ref="N47">IFERROR(
(MEDIAN((IF(DATOS_[[Sexo]:[Sexo]]=$B47,IF(DATOS_[[AGRUP. VALOR. PTO.]:[AGRUP. VALOR. PTO.]]=$B45,IF(DATOS_[[Check Periodo Ref.]:[Check Periodo Ref.]]="Dentro",IF(DATOS_[[Check Equiparado]:[Check Equiparado]]="Sí",IF(DATOS!AI$5="Sí",(1/DATOS_[[% anualiz]:[% anualiz]]),1)*IF(DATOS!AI$4="Sí",1/DATOS_[[% normaliz]:[% normaliz]],1)*(DATOS_[Conc.Sal.05])))))))),
0)</f>
        <v>0</v>
      </c>
      <c r="O47" s="196">
        <f t="array" ref="O47">IFERROR(
(MEDIAN((IF(DATOS_[[Sexo]:[Sexo]]=$B47,IF(DATOS_[[AGRUP. VALOR. PTO.]:[AGRUP. VALOR. PTO.]]=$B45,IF(DATOS_[[Check Periodo Ref.]:[Check Periodo Ref.]]="Dentro",IF(DATOS_[[Check Equiparado]:[Check Equiparado]]="Sí",IF(DATOS!AJ$5="Sí",(1/DATOS_[[% anualiz]:[% anualiz]]),1)*IF(DATOS!AJ$4="Sí",1/DATOS_[[% normaliz]:[% normaliz]],1)*(DATOS_[Conc.Sal.06])))))))),
0)</f>
        <v>0</v>
      </c>
      <c r="P47" s="196">
        <f t="array" ref="P47">IFERROR(
(MEDIAN((IF(DATOS_[[Sexo]:[Sexo]]=$B47,IF(DATOS_[[AGRUP. VALOR. PTO.]:[AGRUP. VALOR. PTO.]]=$B45,IF(DATOS_[[Check Periodo Ref.]:[Check Periodo Ref.]]="Dentro",IF(DATOS_[[Check Equiparado]:[Check Equiparado]]="Sí",IF(DATOS!AK$5="Sí",(1/DATOS_[[% anualiz]:[% anualiz]]),1)*IF(DATOS!AK$4="Sí",1/DATOS_[[% normaliz]:[% normaliz]],1)*(DATOS_[Conc.Sal.07])))))))),
0)</f>
        <v>0</v>
      </c>
      <c r="Q47" s="196">
        <f t="array" ref="Q47">IFERROR(
(MEDIAN((IF(DATOS_[[Sexo]:[Sexo]]=$B47,IF(DATOS_[[AGRUP. VALOR. PTO.]:[AGRUP. VALOR. PTO.]]=$B45,IF(DATOS_[[Check Periodo Ref.]:[Check Periodo Ref.]]="Dentro",IF(DATOS_[[Check Equiparado]:[Check Equiparado]]="Sí",IF(DATOS!AL$5="Sí",(1/DATOS_[[% anualiz]:[% anualiz]]),1)*IF(DATOS!AL$4="Sí",1/DATOS_[[% normaliz]:[% normaliz]],1)*(DATOS_[Conc.Sal.08])))))))),
0)</f>
        <v>0</v>
      </c>
      <c r="R47" s="196">
        <f t="array" ref="R47">IFERROR(
(MEDIAN((IF(DATOS_[[Sexo]:[Sexo]]=$B47,IF(DATOS_[[AGRUP. VALOR. PTO.]:[AGRUP. VALOR. PTO.]]=$B45,IF(DATOS_[[Check Periodo Ref.]:[Check Periodo Ref.]]="Dentro",IF(DATOS_[[Check Equiparado]:[Check Equiparado]]="Sí",IF(DATOS!AM$5="Sí",(1/DATOS_[[% anualiz]:[% anualiz]]),1)*IF(DATOS!AM$4="Sí",1/DATOS_[[% normaliz]:[% normaliz]],1)*(DATOS_[Conc.Sal.09])))))))),
0)</f>
        <v>0</v>
      </c>
      <c r="S47" s="196">
        <f t="array" ref="S47">IFERROR(
(MEDIAN((IF(DATOS_[[Sexo]:[Sexo]]=$B47,IF(DATOS_[[AGRUP. VALOR. PTO.]:[AGRUP. VALOR. PTO.]]=$B45,IF(DATOS_[[Check Periodo Ref.]:[Check Periodo Ref.]]="Dentro",IF(DATOS_[[Check Equiparado]:[Check Equiparado]]="Sí",IF(DATOS!AN$5="Sí",(1/DATOS_[[% anualiz]:[% anualiz]]),1)*IF(DATOS!AN$4="Sí",1/DATOS_[[% normaliz]:[% normaliz]],1)*(DATOS_[Conc.Sal.10])))))))),
0)</f>
        <v>0</v>
      </c>
      <c r="T47" s="196">
        <f t="array" ref="T47">IFERROR(
(MEDIAN((IF(DATOS_[[Sexo]:[Sexo]]=$B47,IF(DATOS_[[AGRUP. VALOR. PTO.]:[AGRUP. VALOR. PTO.]]=$B45,IF(DATOS_[[Check Periodo Ref.]:[Check Periodo Ref.]]="Dentro",IF(DATOS_[[Check Equiparado]:[Check Equiparado]]="Sí",IF(DATOS!AO$5="Sí",(1/DATOS_[[% anualiz]:[% anualiz]]),1)*IF(DATOS!AO$4="Sí",1/DATOS_[[% normaliz]:[% normaliz]],1)*(DATOS_[Conc.Sal.11])))))))),
0)</f>
        <v>0</v>
      </c>
      <c r="U47" s="196">
        <f t="array" ref="U47">IFERROR(
(MEDIAN((IF(DATOS_[[Sexo]:[Sexo]]=$B47,IF(DATOS_[[AGRUP. VALOR. PTO.]:[AGRUP. VALOR. PTO.]]=$B45,IF(DATOS_[[Check Periodo Ref.]:[Check Periodo Ref.]]="Dentro",IF(DATOS_[[Check Equiparado]:[Check Equiparado]]="Sí",IF(DATOS!AP$5="Sí",(1/DATOS_[[% anualiz]:[% anualiz]]),1)*IF(DATOS!AP$4="Sí",1/DATOS_[[% normaliz]:[% normaliz]],1)*(DATOS_[Conc.Sal.12])))))))),
0)</f>
        <v>0</v>
      </c>
      <c r="V47" s="196">
        <f t="array" ref="V47">IFERROR(
(MEDIAN((IF(DATOS_[[Sexo]:[Sexo]]=$B47,IF(DATOS_[[AGRUP. VALOR. PTO.]:[AGRUP. VALOR. PTO.]]=$B45,IF(DATOS_[[Check Periodo Ref.]:[Check Periodo Ref.]]="Dentro",IF(DATOS_[[Check Equiparado]:[Check Equiparado]]="Sí",IF(DATOS!AQ$5="Sí",(1/DATOS_[[% anualiz]:[% anualiz]]),1)*IF(DATOS!AQ$4="Sí",1/DATOS_[[% normaliz]:[% normaliz]],1)*(DATOS_[Conc.Sal.13])))))))),
0)</f>
        <v>0</v>
      </c>
      <c r="W47" s="196">
        <f t="array" ref="W47">IFERROR(
(MEDIAN((IF(DATOS_[[Sexo]:[Sexo]]=$B47,IF(DATOS_[[AGRUP. VALOR. PTO.]:[AGRUP. VALOR. PTO.]]=$B45,IF(DATOS_[[Check Periodo Ref.]:[Check Periodo Ref.]]="Dentro",IF(DATOS_[[Check Equiparado]:[Check Equiparado]]="Sí",IF(DATOS!AR$5="Sí",(1/DATOS_[[% anualiz]:[% anualiz]]),1)*IF(DATOS!AR$4="Sí",1/DATOS_[[% normaliz]:[% normaliz]],1)*(DATOS_[Conc.Sal.14])))))))),
0)</f>
        <v>0</v>
      </c>
      <c r="X47" s="196">
        <f t="array" ref="X47">IFERROR(
(MEDIAN((IF(DATOS_[[Sexo]:[Sexo]]=$B47,IF(DATOS_[[AGRUP. VALOR. PTO.]:[AGRUP. VALOR. PTO.]]=$B45,IF(DATOS_[[Check Periodo Ref.]:[Check Periodo Ref.]]="Dentro",IF(DATOS_[[Check Equiparado]:[Check Equiparado]]="Sí",IF(DATOS!AS$5="Sí",(1/DATOS_[[% anualiz]:[% anualiz]]),1)*IF(DATOS!AS$4="Sí",1/DATOS_[[% normaliz]:[% normaliz]],1)*(DATOS_[Conc.Sal.15])))))))),
0)</f>
        <v>0</v>
      </c>
      <c r="Y47" s="196">
        <f t="array" ref="Y47">IFERROR(
(MEDIAN((IF(DATOS_[[Sexo]:[Sexo]]=$B47,IF(DATOS_[[AGRUP. VALOR. PTO.]:[AGRUP. VALOR. PTO.]]=$B45,IF(DATOS_[[Check Periodo Ref.]:[Check Periodo Ref.]]="Dentro",IF(DATOS_[[Check Equiparado]:[Check Equiparado]]="Sí",IF(DATOS!AT$5="Sí",(1/DATOS_[[% anualiz]:[% anualiz]]),1)*IF(DATOS!AT$4="Sí",1/DATOS_[[% normaliz]:[% normaliz]],1)*(DATOS_[Conc.Sal.16])))))))),
0)</f>
        <v>0</v>
      </c>
      <c r="Z47" s="196">
        <f t="array" ref="Z47">IFERROR(
(MEDIAN((IF(DATOS_[[Sexo]:[Sexo]]=$B47,IF(DATOS_[[AGRUP. VALOR. PTO.]:[AGRUP. VALOR. PTO.]]=$B45,IF(DATOS_[[Check Periodo Ref.]:[Check Periodo Ref.]]="Dentro",IF(DATOS_[[Check Equiparado]:[Check Equiparado]]="Sí",IF(DATOS!AU$5="Sí",(1/DATOS_[[% anualiz]:[% anualiz]]),1)*IF(DATOS!AU$4="Sí",1/DATOS_[[% normaliz]:[% normaliz]],1)*(DATOS_[Conc.Sal.17])))))))),
0)</f>
        <v>0</v>
      </c>
      <c r="AA47" s="196">
        <f t="array" ref="AA47">IFERROR(
(MEDIAN((IF(DATOS_[[Sexo]:[Sexo]]=$B47,IF(DATOS_[[AGRUP. VALOR. PTO.]:[AGRUP. VALOR. PTO.]]=$B45,IF(DATOS_[[Check Periodo Ref.]:[Check Periodo Ref.]]="Dentro",IF(DATOS_[[Check Equiparado]:[Check Equiparado]]="Sí",IF(DATOS!AV$5="Sí",(1/DATOS_[[% anualiz]:[% anualiz]]),1)*IF(DATOS!AV$4="Sí",1/DATOS_[[% normaliz]:[% normaliz]],1)*(DATOS_[Conc.Sal.18])))))))),
0)</f>
        <v>0</v>
      </c>
      <c r="AB47" s="196">
        <f t="array" ref="AB47">IFERROR(
(MEDIAN((IF(DATOS_[[Sexo]:[Sexo]]=$B47,IF(DATOS_[[AGRUP. VALOR. PTO.]:[AGRUP. VALOR. PTO.]]=$B45,IF(DATOS_[[Check Periodo Ref.]:[Check Periodo Ref.]]="Dentro",IF(DATOS_[[Check Equiparado]:[Check Equiparado]]="Sí",IF(DATOS!AW$5="Sí",(1/DATOS_[[% anualiz]:[% anualiz]]),1)*IF(DATOS!AW$4="Sí",1/DATOS_[[% normaliz]:[% normaliz]],1)*(DATOS_[Conc.Sal.19])))))))),
0)</f>
        <v>0</v>
      </c>
      <c r="AC47" s="196">
        <f t="array" ref="AC47">IFERROR(
(MEDIAN((IF(DATOS_[[Sexo]:[Sexo]]=$B47,IF(DATOS_[[AGRUP. VALOR. PTO.]:[AGRUP. VALOR. PTO.]]=$B45,IF(DATOS_[[Check Periodo Ref.]:[Check Periodo Ref.]]="Dentro",IF(DATOS_[[Check Equiparado]:[Check Equiparado]]="Sí",IF(DATOS!AX$5="Sí",(1/DATOS_[[% anualiz]:[% anualiz]]),1)*IF(DATOS!AX$4="Sí",1/DATOS_[[% normaliz]:[% normaliz]],1)*(DATOS_[Conc.Sal.20])))))))),
0)</f>
        <v>0</v>
      </c>
      <c r="AD47" s="196">
        <f t="array" ref="AD47">IFERROR(
(MEDIAN((IF(DATOS_[[Sexo]:[Sexo]]=$B47,IF(DATOS_[[AGRUP. VALOR. PTO.]:[AGRUP. VALOR. PTO.]]=$B45,IF(DATOS_[[Check Periodo Ref.]:[Check Periodo Ref.]]="Dentro",IF(DATOS_[[Check Equiparado]:[Check Equiparado]]="Sí",IF(DATOS!AY$5="Sí",(1/DATOS_[[% anualiz]:[% anualiz]]),1)*IF(DATOS!AY$4="Sí",1/DATOS_[[% normaliz]:[% normaliz]],1)*(DATOS_[Conc.Sal.21])))))))),
0)</f>
        <v>0</v>
      </c>
      <c r="AE47" s="196">
        <f t="array" ref="AE47">IFERROR(
(MEDIAN((IF(DATOS_[[Sexo]:[Sexo]]=$B47,IF(DATOS_[[AGRUP. VALOR. PTO.]:[AGRUP. VALOR. PTO.]]=$B45,IF(DATOS_[[Check Periodo Ref.]:[Check Periodo Ref.]]="Dentro",IF(DATOS_[[Check Equiparado]:[Check Equiparado]]="Sí",IF(DATOS!AZ$5="Sí",(1/DATOS_[[% anualiz]:[% anualiz]]),1)*IF(DATOS!AZ$4="Sí",1/DATOS_[[% normaliz]:[% normaliz]],1)*(DATOS_[Conc.Sal.22])))))))),
0)</f>
        <v>0</v>
      </c>
      <c r="AF47" s="196">
        <f t="array" ref="AF47">IFERROR(
(MEDIAN((IF(DATOS_[[Sexo]:[Sexo]]=$B47,IF(DATOS_[[AGRUP. VALOR. PTO.]:[AGRUP. VALOR. PTO.]]=$B45,IF(DATOS_[[Check Periodo Ref.]:[Check Periodo Ref.]]="Dentro",IF(DATOS_[[Check Equiparado]:[Check Equiparado]]="Sí",IF(DATOS!BA$5="Sí",(1/DATOS_[[% anualiz]:[% anualiz]]),1)*IF(DATOS!BA$4="Sí",1/DATOS_[[% normaliz]:[% normaliz]],1)*(DATOS_[Conc.Sal.23])))))))),
0)</f>
        <v>0</v>
      </c>
      <c r="AG47" s="196">
        <f t="array" ref="AG47">IFERROR(
(MEDIAN((IF(DATOS_[[Sexo]:[Sexo]]=$B47,IF(DATOS_[[AGRUP. VALOR. PTO.]:[AGRUP. VALOR. PTO.]]=$B45,IF(DATOS_[[Check Periodo Ref.]:[Check Periodo Ref.]]="Dentro",IF(DATOS_[[Check Equiparado]:[Check Equiparado]]="Sí",IF(DATOS!BB$5="Sí",(1/DATOS_[[% anualiz]:[% anualiz]]),1)*IF(DATOS!BB$4="Sí",1/DATOS_[[% normaliz]:[% normaliz]],1)*(DATOS_[Conc.Sal.24])))))))),
0)</f>
        <v>0</v>
      </c>
      <c r="AH47" s="196">
        <f t="array" ref="AH47">IFERROR(
(MEDIAN((IF(DATOS_[[Sexo]:[Sexo]]=$B47,IF(DATOS_[[AGRUP. VALOR. PTO.]:[AGRUP. VALOR. PTO.]]=$B45,IF(DATOS_[[Check Periodo Ref.]:[Check Periodo Ref.]]="Dentro",IF(DATOS_[[Check Equiparado]:[Check Equiparado]]="Sí",IF(DATOS!BC$5="Sí",(1/DATOS_[[% anualiz]:[% anualiz]]),1)*IF(DATOS!BC$4="Sí",1/DATOS_[[% normaliz]:[% normaliz]],1)*(DATOS_[Conc.Sal.25])))))))),
0)</f>
        <v>0</v>
      </c>
      <c r="AI47" s="196">
        <f t="array" ref="AI47">IFERROR(
(MEDIAN((IF(DATOS_[[Sexo]:[Sexo]]=$B47,IF(DATOS_[[AGRUP. VALOR. PTO.]:[AGRUP. VALOR. PTO.]]=$B45,IF(DATOS_[[Check Periodo Ref.]:[Check Periodo Ref.]]="Dentro",IF(DATOS_[[Check Equiparado]:[Check Equiparado]]="Sí",IF(DATOS!BD$5="Sí",(1/DATOS_[[% anualiz]:[% anualiz]]),1)*IF(DATOS!BD$4="Sí",1/DATOS_[[% normaliz]:[% normaliz]],1)*(DATOS_[Conc.Sal.26])))))))),
0)</f>
        <v>0</v>
      </c>
      <c r="AJ47" s="196">
        <f t="array" ref="AJ47">IFERROR(
(MEDIAN((IF(DATOS_[[Sexo]:[Sexo]]=$B47,IF(DATOS_[[AGRUP. VALOR. PTO.]:[AGRUP. VALOR. PTO.]]=$B45,IF(DATOS_[[Check Periodo Ref.]:[Check Periodo Ref.]]="Dentro",IF(DATOS_[[Check Equiparado]:[Check Equiparado]]="Sí",IF(DATOS!BE$5="Sí",(1/DATOS_[[% anualiz]:[% anualiz]]),1)*IF(DATOS!BE$4="Sí",1/DATOS_[[% normaliz]:[% normaliz]],1)*(DATOS_[Conc.Sal.27])))))))),
0)</f>
        <v>0</v>
      </c>
      <c r="AK47" s="196">
        <f t="array" ref="AK47">IFERROR(
(MEDIAN((IF(DATOS_[[Sexo]:[Sexo]]=$B47,IF(DATOS_[[AGRUP. VALOR. PTO.]:[AGRUP. VALOR. PTO.]]=$B45,IF(DATOS_[[Check Periodo Ref.]:[Check Periodo Ref.]]="Dentro",IF(DATOS_[[Check Equiparado]:[Check Equiparado]]="Sí",IF(DATOS!BF$5="Sí",(1/DATOS_[[% anualiz]:[% anualiz]]),1)*IF(DATOS!BF$4="Sí",1/DATOS_[[% normaliz]:[% normaliz]],1)*(DATOS_[Conc.Sal.28])))))))),
0)</f>
        <v>0</v>
      </c>
      <c r="AL47" s="196">
        <f t="array" ref="AL47">IFERROR(
(MEDIAN((IF(DATOS_[[Sexo]:[Sexo]]=$B47,IF(DATOS_[[AGRUP. VALOR. PTO.]:[AGRUP. VALOR. PTO.]]=$B45,IF(DATOS_[[Check Periodo Ref.]:[Check Periodo Ref.]]="Dentro",IF(DATOS_[[Check Equiparado]:[Check Equiparado]]="Sí",IF(DATOS!BG$5="Sí",(1/DATOS_[[% anualiz]:[% anualiz]]),1)*IF(DATOS!BG$4="Sí",1/DATOS_[[% normaliz]:[% normaliz]],1)*(DATOS_[Conc.Sal.29])))))))),
0)</f>
        <v>0</v>
      </c>
      <c r="AM47" s="196">
        <f t="array" ref="AM47">IFERROR(
(MEDIAN((IF(DATOS_[[Sexo]:[Sexo]]=$B47,IF(DATOS_[[AGRUP. VALOR. PTO.]:[AGRUP. VALOR. PTO.]]=$B45,IF(DATOS_[[Check Periodo Ref.]:[Check Periodo Ref.]]="Dentro",IF(DATOS_[[Check Equiparado]:[Check Equiparado]]="Sí",IF(DATOS!BH$5="Sí",(1/DATOS_[[% anualiz]:[% anualiz]]),1)*IF(DATOS!BH$4="Sí",1/DATOS_[[% normaliz]:[% normaliz]],1)*(DATOS_[Conc.Sal.30])))))))),
0)</f>
        <v>0</v>
      </c>
      <c r="AN47" s="195">
        <f t="array" ref="AN47">IFERROR(
MEDIAN(IF(DATOS_[Sexo]=$B47,IF(DATOS_[[AGRUP. VALOR. PTO.]:[AGRUP. VALOR. PTO.]]=$B45,IF(DATOS_[Check Equiparado]="Sí",IF(DATOS_[Check Periodo Ref.]="Dentro",DATOS_[Tot COMPL.SAL Eq],FALSE))))),
0)</f>
        <v>0</v>
      </c>
      <c r="AO47" s="172">
        <f t="array" ref="AO47">IFERROR(
MEDIAN(IF(DATOS_[Sexo]=$B47,IF(DATOS_[[AGRUP. VALOR. PTO.]:[AGRUP. VALOR. PTO.]]=$B45,IF(DATOS_[Check Equiparado]="Sí",IF(DATOS_[Check Periodo Ref.]="Dentro",DATOS_[TOTAL SALARIO Eq],FALSE))))),
0)</f>
        <v>0</v>
      </c>
      <c r="AP47" s="173">
        <f t="array" ref="AP47">IFERROR(
(MEDIAN((IF(DATOS_[[Sexo]:[Sexo]]=$B47,IF(DATOS_[[AGRUP. VALOR. PTO.]:[AGRUP. VALOR. PTO.]]=$B45,IF(DATOS_[[Check Periodo Ref.]:[Check Periodo Ref.]]="Dentro",IF(DATOS_[[Check Equiparado]:[Check Equiparado]]="Sí",IF(DATOS!BW$5="Sí",(1/DATOS_[[% anualiz]:[% anualiz]]),1)*IF(DATOS!BW$4="Sí",1/DATOS_[[% normaliz]:[% normaliz]],1)*(DATOS_[C.Extra.01])))))))),
0)</f>
        <v>0</v>
      </c>
      <c r="AQ47" s="173">
        <f t="array" ref="AQ47">IFERROR(
(MEDIAN((IF(DATOS_[[Sexo]:[Sexo]]=$B47,IF(DATOS_[[AGRUP. VALOR. PTO.]:[AGRUP. VALOR. PTO.]]=$B45,IF(DATOS_[[Check Periodo Ref.]:[Check Periodo Ref.]]="Dentro",IF(DATOS_[[Check Equiparado]:[Check Equiparado]]="Sí",IF(DATOS!CB$5="Sí",(1/DATOS_[[% anualiz]:[% anualiz]]),1)*IF(DATOS!CB$4="Sí",1/DATOS_[[% normaliz]:[% normaliz]],1)*(DATOS_[C.Extra.06])))))))),
0)</f>
        <v>0</v>
      </c>
      <c r="AR47" s="173">
        <f t="array" ref="AR47">IFERROR(
(MEDIAN((IF(DATOS_[[Sexo]:[Sexo]]=$B47,IF(DATOS_[[AGRUP. VALOR. PTO.]:[AGRUP. VALOR. PTO.]]=$B45,IF(DATOS_[[Check Periodo Ref.]:[Check Periodo Ref.]]="Dentro",IF(DATOS_[[Check Equiparado]:[Check Equiparado]]="Sí",IF(DATOS!CC$5="Sí",(1/DATOS_[[% anualiz]:[% anualiz]]),1)*IF(DATOS!CC$4="Sí",1/DATOS_[[% normaliz]:[% normaliz]],1)*(DATOS_[C.Extra.07])))))))),
0)</f>
        <v>0</v>
      </c>
      <c r="AS47" s="173">
        <f t="array" ref="AS47">IFERROR(
(MEDIAN((IF(DATOS_[[Sexo]:[Sexo]]=$B47,IF(DATOS_[[AGRUP. VALOR. PTO.]:[AGRUP. VALOR. PTO.]]=$B45,IF(DATOS_[[Check Periodo Ref.]:[Check Periodo Ref.]]="Dentro",IF(DATOS_[[Check Equiparado]:[Check Equiparado]]="Sí",IF(DATOS!CD$5="Sí",(1/DATOS_[[% anualiz]:[% anualiz]]),1)*IF(DATOS!CD$4="Sí",1/DATOS_[[% normaliz]:[% normaliz]],1)*(DATOS_[C.Extra.08])))))))),
0)</f>
        <v>0</v>
      </c>
      <c r="AT47" s="173">
        <f t="array" ref="AT47">IFERROR(
(MEDIAN((IF(DATOS_[[Sexo]:[Sexo]]=$B47,IF(DATOS_[[AGRUP. VALOR. PTO.]:[AGRUP. VALOR. PTO.]]=$B45,IF(DATOS_[[Check Periodo Ref.]:[Check Periodo Ref.]]="Dentro",IF(DATOS_[[Check Equiparado]:[Check Equiparado]]="Sí",IF(DATOS!CG$5="Sí",(1/DATOS_[[% anualiz]:[% anualiz]]),1)*IF(DATOS!CG$4="Sí",1/DATOS_[[% normaliz]:[% normaliz]],1)*(DATOS_[C.Extra.11])))))))),
0)</f>
        <v>0</v>
      </c>
      <c r="AU47" s="197">
        <f t="array" ref="AU47">IFERROR(
MEDIAN(IF(DATOS_[Sexo]=$B47,IF(DATOS_[[AGRUP. VALOR. PTO.]:[AGRUP. VALOR. PTO.]]=$B45,IF(DATOS_[Check Equiparado]="Sí",IF(DATOS_[Check Periodo Ref.]="Dentro",DATOS_[Tot Extrasalarial Eq],FALSE))))),
0)</f>
        <v>0</v>
      </c>
      <c r="AV47" s="175">
        <f t="array" ref="AV47">IFERROR(
MEDIAN(IF(DATOS_[Sexo]=$B47,IF(DATOS_[[AGRUP. VALOR. PTO.]:[AGRUP. VALOR. PTO.]]=$B45,IF(DATOS_[Check Equiparado]="Sí",IF(DATOS_[Check Periodo Ref.]="Dentro",DATOS_[TOTAL Retrib Eq],FALSE))))),
0)</f>
        <v>0</v>
      </c>
    </row>
    <row r="48" spans="1:48" ht="15.6" thickBot="1" x14ac:dyDescent="0.3">
      <c r="A48" s="133" t="str">
        <f t="shared" ref="A48" si="47">+A49</f>
        <v>[ocultar]</v>
      </c>
      <c r="B48" s="199" t="s">
        <v>222</v>
      </c>
      <c r="C48" s="200"/>
      <c r="D48" s="201"/>
      <c r="E48" s="201"/>
      <c r="F48" s="201"/>
      <c r="G48" s="201"/>
      <c r="H48" s="201"/>
      <c r="I48" s="189" t="str">
        <f t="shared" ref="I48:AV48" si="48">IFERROR((I49-I50)/I49,"")</f>
        <v/>
      </c>
      <c r="J48" s="190" t="str">
        <f t="shared" si="48"/>
        <v/>
      </c>
      <c r="K48" s="191" t="str">
        <f t="shared" si="48"/>
        <v/>
      </c>
      <c r="L48" s="191" t="str">
        <f t="shared" si="48"/>
        <v/>
      </c>
      <c r="M48" s="191" t="str">
        <f t="shared" si="48"/>
        <v/>
      </c>
      <c r="N48" s="192" t="str">
        <f t="shared" si="48"/>
        <v/>
      </c>
      <c r="O48" s="193" t="str">
        <f t="shared" si="48"/>
        <v/>
      </c>
      <c r="P48" s="193" t="str">
        <f t="shared" si="48"/>
        <v/>
      </c>
      <c r="Q48" s="193" t="str">
        <f t="shared" si="48"/>
        <v/>
      </c>
      <c r="R48" s="193" t="str">
        <f t="shared" si="48"/>
        <v/>
      </c>
      <c r="S48" s="193" t="str">
        <f t="shared" si="48"/>
        <v/>
      </c>
      <c r="T48" s="193" t="str">
        <f t="shared" si="48"/>
        <v/>
      </c>
      <c r="U48" s="193" t="str">
        <f t="shared" si="48"/>
        <v/>
      </c>
      <c r="V48" s="193" t="str">
        <f t="shared" si="48"/>
        <v/>
      </c>
      <c r="W48" s="193" t="str">
        <f t="shared" si="48"/>
        <v/>
      </c>
      <c r="X48" s="193" t="str">
        <f t="shared" si="48"/>
        <v/>
      </c>
      <c r="Y48" s="193" t="str">
        <f t="shared" si="48"/>
        <v/>
      </c>
      <c r="Z48" s="193" t="str">
        <f t="shared" si="48"/>
        <v/>
      </c>
      <c r="AA48" s="193" t="str">
        <f t="shared" si="48"/>
        <v/>
      </c>
      <c r="AB48" s="193" t="str">
        <f t="shared" si="48"/>
        <v/>
      </c>
      <c r="AC48" s="193" t="str">
        <f t="shared" si="48"/>
        <v/>
      </c>
      <c r="AD48" s="193" t="str">
        <f t="shared" si="48"/>
        <v/>
      </c>
      <c r="AE48" s="193" t="str">
        <f t="shared" si="48"/>
        <v/>
      </c>
      <c r="AF48" s="193" t="str">
        <f t="shared" si="48"/>
        <v/>
      </c>
      <c r="AG48" s="193" t="str">
        <f t="shared" si="48"/>
        <v/>
      </c>
      <c r="AH48" s="193" t="str">
        <f t="shared" si="48"/>
        <v/>
      </c>
      <c r="AI48" s="193" t="str">
        <f t="shared" si="48"/>
        <v/>
      </c>
      <c r="AJ48" s="193" t="str">
        <f t="shared" si="48"/>
        <v/>
      </c>
      <c r="AK48" s="193" t="str">
        <f t="shared" si="48"/>
        <v/>
      </c>
      <c r="AL48" s="193" t="str">
        <f t="shared" si="48"/>
        <v/>
      </c>
      <c r="AM48" s="193" t="str">
        <f t="shared" si="48"/>
        <v/>
      </c>
      <c r="AN48" s="189" t="str">
        <f t="shared" si="48"/>
        <v/>
      </c>
      <c r="AO48" s="162" t="str">
        <f t="shared" si="48"/>
        <v/>
      </c>
      <c r="AP48" s="163" t="str">
        <f t="shared" si="48"/>
        <v/>
      </c>
      <c r="AQ48" s="163" t="str">
        <f t="shared" si="48"/>
        <v/>
      </c>
      <c r="AR48" s="163" t="str">
        <f t="shared" si="48"/>
        <v/>
      </c>
      <c r="AS48" s="163" t="str">
        <f t="shared" si="48"/>
        <v/>
      </c>
      <c r="AT48" s="163" t="str">
        <f t="shared" si="48"/>
        <v/>
      </c>
      <c r="AU48" s="194" t="str">
        <f t="shared" si="48"/>
        <v/>
      </c>
      <c r="AV48" s="165" t="str">
        <f t="shared" si="48"/>
        <v/>
      </c>
    </row>
    <row r="49" spans="1:48" x14ac:dyDescent="0.25">
      <c r="A49" s="133" t="str">
        <f t="shared" ref="A49" si="49">+IF(C49+C50=0,"[ocultar]","")</f>
        <v>[ocultar]</v>
      </c>
      <c r="B49" s="202" t="s">
        <v>394</v>
      </c>
      <c r="C49" s="203">
        <f t="array" ref="C49">SUM(IF($B49=DATOS_[Sexo],
IF($B48=DATOS_[AGRUP. VALOR. PTO.],
IF("Dentro"=DATOS_[Check Periodo Ref.],
1/(COUNTIFS(DATOS_[Sexo],$B49,DATOS_[AGRUP. VALOR. PTO.],$B48,DATOS_[Check Periodo Ref.],"Dentro",DATOS_[id/cod],DATOS_[id/cod]))))))</f>
        <v>0</v>
      </c>
      <c r="D49" s="204">
        <f>COUNTIFS(DATOS_[AGRUP. VALOR. PTO.],$B48,DATOS_[Sexo],$B49,DATOS_[Check Periodo Ref.],"Dentro")</f>
        <v>0</v>
      </c>
      <c r="E49" s="204">
        <f>COUNTIFS(DATOS_[AGRUP. VALOR. PTO.],$B48,DATOS_[Sexo],$B49,DATOS_[Check Periodo Ref.],"Dentro",DATOS_[Check Nº SC Norm],"Sí")</f>
        <v>0</v>
      </c>
      <c r="F49" s="204">
        <f>COUNTIFS(DATOS_[AGRUP. VALOR. PTO.],$B48,DATOS_[Sexo],$B49,DATOS_[Check Periodo Ref.],"Dentro",DATOS_[Check Nº SC Anualiz],"Sí")</f>
        <v>0</v>
      </c>
      <c r="G49" s="204">
        <f>COUNTIFS(DATOS_[AGRUP. VALOR. PTO.],$B48,DATOS_[Sexo],$B49,DATOS_[Check Periodo Ref.],"Dentro",DATOS_[Check Nº SC Norm y Anualiz],"Sí")</f>
        <v>0</v>
      </c>
      <c r="H49" s="204">
        <f>COUNTIFS(DATOS_[AGRUP. VALOR. PTO.],$B48,DATOS_[Sexo],$B49,DATOS_[Check Periodo Ref.],"Dentro",DATOS_[Check Equiparación],"Sí")</f>
        <v>0</v>
      </c>
      <c r="I49" s="195">
        <f t="array" ref="I49">IFERROR(
MEDIAN(IF(DATOS_[Sexo]=$B49,IF(DATOS_[[AGRUP. VALOR. PTO.]:[AGRUP. VALOR. PTO.]]=$B48,IF(DATOS_[Check Equiparado]="Sí",IF(DATOS_[Check Periodo Ref.]="Dentro",DATOS_[SALARIO BASE Eq],FALSE))))),
0)</f>
        <v>0</v>
      </c>
      <c r="J49" s="196">
        <f t="array" ref="J49">IFERROR(
(MEDIAN((IF(DATOS_[[Sexo]:[Sexo]]=$B49,IF(DATOS_[[AGRUP. VALOR. PTO.]:[AGRUP. VALOR. PTO.]]=$B48,IF(DATOS_[[Check Periodo Ref.]:[Check Periodo Ref.]]="Dentro",IF(DATOS_[[Check Equiparado]:[Check Equiparado]]="Sí",IF(DATOS!AE$5="Sí",(1/DATOS_[[% anualiz]:[% anualiz]]),1)*IF(DATOS!AE$4="Sí",1/DATOS_[[% normaliz]:[% normaliz]],1)*(DATOS_[Conc.Sal.01])))))))),
0)</f>
        <v>0</v>
      </c>
      <c r="K49" s="196">
        <f t="array" ref="K49">IFERROR(
(MEDIAN((IF(DATOS_[[Sexo]:[Sexo]]=$B49,IF(DATOS_[[AGRUP. VALOR. PTO.]:[AGRUP. VALOR. PTO.]]=$B48,IF(DATOS_[[Check Periodo Ref.]:[Check Periodo Ref.]]="Dentro",IF(DATOS_[[Check Equiparado]:[Check Equiparado]]="Sí",IF(DATOS!AF$5="Sí",(1/DATOS_[[% anualiz]:[% anualiz]]),1)*IF(DATOS!AF$4="Sí",1/DATOS_[[% normaliz]:[% normaliz]],1)*(DATOS_[Conc.Sal.02])))))))),
0)</f>
        <v>0</v>
      </c>
      <c r="L49" s="196">
        <f t="array" ref="L49">IFERROR(
(MEDIAN((IF(DATOS_[[Sexo]:[Sexo]]=$B49,IF(DATOS_[[AGRUP. VALOR. PTO.]:[AGRUP. VALOR. PTO.]]=$B48,IF(DATOS_[[Check Periodo Ref.]:[Check Periodo Ref.]]="Dentro",IF(DATOS_[[Check Equiparado]:[Check Equiparado]]="Sí",IF(DATOS!AG$5="Sí",(1/DATOS_[[% anualiz]:[% anualiz]]),1)*IF(DATOS!AG$4="Sí",1/DATOS_[[% normaliz]:[% normaliz]],1)*(DATOS_[Conc.Sal.03])))))))),
0)</f>
        <v>0</v>
      </c>
      <c r="M49" s="196">
        <f t="array" ref="M49">IFERROR(
(MEDIAN((IF(DATOS_[[Sexo]:[Sexo]]=$B49,IF(DATOS_[[AGRUP. VALOR. PTO.]:[AGRUP. VALOR. PTO.]]=$B48,IF(DATOS_[[Check Periodo Ref.]:[Check Periodo Ref.]]="Dentro",IF(DATOS_[[Check Equiparado]:[Check Equiparado]]="Sí",IF(DATOS!AH$5="Sí",(1/DATOS_[[% anualiz]:[% anualiz]]),1)*IF(DATOS!AH$4="Sí",1/DATOS_[[% normaliz]:[% normaliz]],1)*(DATOS_[Conc.Sal.04])))))))),
0)</f>
        <v>0</v>
      </c>
      <c r="N49" s="196">
        <f t="array" ref="N49">IFERROR(
(MEDIAN((IF(DATOS_[[Sexo]:[Sexo]]=$B49,IF(DATOS_[[AGRUP. VALOR. PTO.]:[AGRUP. VALOR. PTO.]]=$B48,IF(DATOS_[[Check Periodo Ref.]:[Check Periodo Ref.]]="Dentro",IF(DATOS_[[Check Equiparado]:[Check Equiparado]]="Sí",IF(DATOS!AI$5="Sí",(1/DATOS_[[% anualiz]:[% anualiz]]),1)*IF(DATOS!AI$4="Sí",1/DATOS_[[% normaliz]:[% normaliz]],1)*(DATOS_[Conc.Sal.05])))))))),
0)</f>
        <v>0</v>
      </c>
      <c r="O49" s="196">
        <f t="array" ref="O49">IFERROR(
(MEDIAN((IF(DATOS_[[Sexo]:[Sexo]]=$B49,IF(DATOS_[[AGRUP. VALOR. PTO.]:[AGRUP. VALOR. PTO.]]=$B48,IF(DATOS_[[Check Periodo Ref.]:[Check Periodo Ref.]]="Dentro",IF(DATOS_[[Check Equiparado]:[Check Equiparado]]="Sí",IF(DATOS!AJ$5="Sí",(1/DATOS_[[% anualiz]:[% anualiz]]),1)*IF(DATOS!AJ$4="Sí",1/DATOS_[[% normaliz]:[% normaliz]],1)*(DATOS_[Conc.Sal.06])))))))),
0)</f>
        <v>0</v>
      </c>
      <c r="P49" s="196">
        <f t="array" ref="P49">IFERROR(
(MEDIAN((IF(DATOS_[[Sexo]:[Sexo]]=$B49,IF(DATOS_[[AGRUP. VALOR. PTO.]:[AGRUP. VALOR. PTO.]]=$B48,IF(DATOS_[[Check Periodo Ref.]:[Check Periodo Ref.]]="Dentro",IF(DATOS_[[Check Equiparado]:[Check Equiparado]]="Sí",IF(DATOS!AK$5="Sí",(1/DATOS_[[% anualiz]:[% anualiz]]),1)*IF(DATOS!AK$4="Sí",1/DATOS_[[% normaliz]:[% normaliz]],1)*(DATOS_[Conc.Sal.07])))))))),
0)</f>
        <v>0</v>
      </c>
      <c r="Q49" s="196">
        <f t="array" ref="Q49">IFERROR(
(MEDIAN((IF(DATOS_[[Sexo]:[Sexo]]=$B49,IF(DATOS_[[AGRUP. VALOR. PTO.]:[AGRUP. VALOR. PTO.]]=$B48,IF(DATOS_[[Check Periodo Ref.]:[Check Periodo Ref.]]="Dentro",IF(DATOS_[[Check Equiparado]:[Check Equiparado]]="Sí",IF(DATOS!AL$5="Sí",(1/DATOS_[[% anualiz]:[% anualiz]]),1)*IF(DATOS!AL$4="Sí",1/DATOS_[[% normaliz]:[% normaliz]],1)*(DATOS_[Conc.Sal.08])))))))),
0)</f>
        <v>0</v>
      </c>
      <c r="R49" s="196">
        <f t="array" ref="R49">IFERROR(
(MEDIAN((IF(DATOS_[[Sexo]:[Sexo]]=$B49,IF(DATOS_[[AGRUP. VALOR. PTO.]:[AGRUP. VALOR. PTO.]]=$B48,IF(DATOS_[[Check Periodo Ref.]:[Check Periodo Ref.]]="Dentro",IF(DATOS_[[Check Equiparado]:[Check Equiparado]]="Sí",IF(DATOS!AM$5="Sí",(1/DATOS_[[% anualiz]:[% anualiz]]),1)*IF(DATOS!AM$4="Sí",1/DATOS_[[% normaliz]:[% normaliz]],1)*(DATOS_[Conc.Sal.09])))))))),
0)</f>
        <v>0</v>
      </c>
      <c r="S49" s="196">
        <f t="array" ref="S49">IFERROR(
(MEDIAN((IF(DATOS_[[Sexo]:[Sexo]]=$B49,IF(DATOS_[[AGRUP. VALOR. PTO.]:[AGRUP. VALOR. PTO.]]=$B48,IF(DATOS_[[Check Periodo Ref.]:[Check Periodo Ref.]]="Dentro",IF(DATOS_[[Check Equiparado]:[Check Equiparado]]="Sí",IF(DATOS!AN$5="Sí",(1/DATOS_[[% anualiz]:[% anualiz]]),1)*IF(DATOS!AN$4="Sí",1/DATOS_[[% normaliz]:[% normaliz]],1)*(DATOS_[Conc.Sal.10])))))))),
0)</f>
        <v>0</v>
      </c>
      <c r="T49" s="196">
        <f t="array" ref="T49">IFERROR(
(MEDIAN((IF(DATOS_[[Sexo]:[Sexo]]=$B49,IF(DATOS_[[AGRUP. VALOR. PTO.]:[AGRUP. VALOR. PTO.]]=$B48,IF(DATOS_[[Check Periodo Ref.]:[Check Periodo Ref.]]="Dentro",IF(DATOS_[[Check Equiparado]:[Check Equiparado]]="Sí",IF(DATOS!AO$5="Sí",(1/DATOS_[[% anualiz]:[% anualiz]]),1)*IF(DATOS!AO$4="Sí",1/DATOS_[[% normaliz]:[% normaliz]],1)*(DATOS_[Conc.Sal.11])))))))),
0)</f>
        <v>0</v>
      </c>
      <c r="U49" s="196">
        <f t="array" ref="U49">IFERROR(
(MEDIAN((IF(DATOS_[[Sexo]:[Sexo]]=$B49,IF(DATOS_[[AGRUP. VALOR. PTO.]:[AGRUP. VALOR. PTO.]]=$B48,IF(DATOS_[[Check Periodo Ref.]:[Check Periodo Ref.]]="Dentro",IF(DATOS_[[Check Equiparado]:[Check Equiparado]]="Sí",IF(DATOS!AP$5="Sí",(1/DATOS_[[% anualiz]:[% anualiz]]),1)*IF(DATOS!AP$4="Sí",1/DATOS_[[% normaliz]:[% normaliz]],1)*(DATOS_[Conc.Sal.12])))))))),
0)</f>
        <v>0</v>
      </c>
      <c r="V49" s="196">
        <f t="array" ref="V49">IFERROR(
(MEDIAN((IF(DATOS_[[Sexo]:[Sexo]]=$B49,IF(DATOS_[[AGRUP. VALOR. PTO.]:[AGRUP. VALOR. PTO.]]=$B48,IF(DATOS_[[Check Periodo Ref.]:[Check Periodo Ref.]]="Dentro",IF(DATOS_[[Check Equiparado]:[Check Equiparado]]="Sí",IF(DATOS!AQ$5="Sí",(1/DATOS_[[% anualiz]:[% anualiz]]),1)*IF(DATOS!AQ$4="Sí",1/DATOS_[[% normaliz]:[% normaliz]],1)*(DATOS_[Conc.Sal.13])))))))),
0)</f>
        <v>0</v>
      </c>
      <c r="W49" s="196">
        <f t="array" ref="W49">IFERROR(
(MEDIAN((IF(DATOS_[[Sexo]:[Sexo]]=$B49,IF(DATOS_[[AGRUP. VALOR. PTO.]:[AGRUP. VALOR. PTO.]]=$B48,IF(DATOS_[[Check Periodo Ref.]:[Check Periodo Ref.]]="Dentro",IF(DATOS_[[Check Equiparado]:[Check Equiparado]]="Sí",IF(DATOS!AR$5="Sí",(1/DATOS_[[% anualiz]:[% anualiz]]),1)*IF(DATOS!AR$4="Sí",1/DATOS_[[% normaliz]:[% normaliz]],1)*(DATOS_[Conc.Sal.14])))))))),
0)</f>
        <v>0</v>
      </c>
      <c r="X49" s="196">
        <f t="array" ref="X49">IFERROR(
(MEDIAN((IF(DATOS_[[Sexo]:[Sexo]]=$B49,IF(DATOS_[[AGRUP. VALOR. PTO.]:[AGRUP. VALOR. PTO.]]=$B48,IF(DATOS_[[Check Periodo Ref.]:[Check Periodo Ref.]]="Dentro",IF(DATOS_[[Check Equiparado]:[Check Equiparado]]="Sí",IF(DATOS!AS$5="Sí",(1/DATOS_[[% anualiz]:[% anualiz]]),1)*IF(DATOS!AS$4="Sí",1/DATOS_[[% normaliz]:[% normaliz]],1)*(DATOS_[Conc.Sal.15])))))))),
0)</f>
        <v>0</v>
      </c>
      <c r="Y49" s="196">
        <f t="array" ref="Y49">IFERROR(
(MEDIAN((IF(DATOS_[[Sexo]:[Sexo]]=$B49,IF(DATOS_[[AGRUP. VALOR. PTO.]:[AGRUP. VALOR. PTO.]]=$B48,IF(DATOS_[[Check Periodo Ref.]:[Check Periodo Ref.]]="Dentro",IF(DATOS_[[Check Equiparado]:[Check Equiparado]]="Sí",IF(DATOS!AT$5="Sí",(1/DATOS_[[% anualiz]:[% anualiz]]),1)*IF(DATOS!AT$4="Sí",1/DATOS_[[% normaliz]:[% normaliz]],1)*(DATOS_[Conc.Sal.16])))))))),
0)</f>
        <v>0</v>
      </c>
      <c r="Z49" s="196">
        <f t="array" ref="Z49">IFERROR(
(MEDIAN((IF(DATOS_[[Sexo]:[Sexo]]=$B49,IF(DATOS_[[AGRUP. VALOR. PTO.]:[AGRUP. VALOR. PTO.]]=$B48,IF(DATOS_[[Check Periodo Ref.]:[Check Periodo Ref.]]="Dentro",IF(DATOS_[[Check Equiparado]:[Check Equiparado]]="Sí",IF(DATOS!AU$5="Sí",(1/DATOS_[[% anualiz]:[% anualiz]]),1)*IF(DATOS!AU$4="Sí",1/DATOS_[[% normaliz]:[% normaliz]],1)*(DATOS_[Conc.Sal.17])))))))),
0)</f>
        <v>0</v>
      </c>
      <c r="AA49" s="196">
        <f t="array" ref="AA49">IFERROR(
(MEDIAN((IF(DATOS_[[Sexo]:[Sexo]]=$B49,IF(DATOS_[[AGRUP. VALOR. PTO.]:[AGRUP. VALOR. PTO.]]=$B48,IF(DATOS_[[Check Periodo Ref.]:[Check Periodo Ref.]]="Dentro",IF(DATOS_[[Check Equiparado]:[Check Equiparado]]="Sí",IF(DATOS!AV$5="Sí",(1/DATOS_[[% anualiz]:[% anualiz]]),1)*IF(DATOS!AV$4="Sí",1/DATOS_[[% normaliz]:[% normaliz]],1)*(DATOS_[Conc.Sal.18])))))))),
0)</f>
        <v>0</v>
      </c>
      <c r="AB49" s="196">
        <f t="array" ref="AB49">IFERROR(
(MEDIAN((IF(DATOS_[[Sexo]:[Sexo]]=$B49,IF(DATOS_[[AGRUP. VALOR. PTO.]:[AGRUP. VALOR. PTO.]]=$B48,IF(DATOS_[[Check Periodo Ref.]:[Check Periodo Ref.]]="Dentro",IF(DATOS_[[Check Equiparado]:[Check Equiparado]]="Sí",IF(DATOS!AW$5="Sí",(1/DATOS_[[% anualiz]:[% anualiz]]),1)*IF(DATOS!AW$4="Sí",1/DATOS_[[% normaliz]:[% normaliz]],1)*(DATOS_[Conc.Sal.19])))))))),
0)</f>
        <v>0</v>
      </c>
      <c r="AC49" s="196">
        <f t="array" ref="AC49">IFERROR(
(MEDIAN((IF(DATOS_[[Sexo]:[Sexo]]=$B49,IF(DATOS_[[AGRUP. VALOR. PTO.]:[AGRUP. VALOR. PTO.]]=$B48,IF(DATOS_[[Check Periodo Ref.]:[Check Periodo Ref.]]="Dentro",IF(DATOS_[[Check Equiparado]:[Check Equiparado]]="Sí",IF(DATOS!AX$5="Sí",(1/DATOS_[[% anualiz]:[% anualiz]]),1)*IF(DATOS!AX$4="Sí",1/DATOS_[[% normaliz]:[% normaliz]],1)*(DATOS_[Conc.Sal.20])))))))),
0)</f>
        <v>0</v>
      </c>
      <c r="AD49" s="196">
        <f t="array" ref="AD49">IFERROR(
(MEDIAN((IF(DATOS_[[Sexo]:[Sexo]]=$B49,IF(DATOS_[[AGRUP. VALOR. PTO.]:[AGRUP. VALOR. PTO.]]=$B48,IF(DATOS_[[Check Periodo Ref.]:[Check Periodo Ref.]]="Dentro",IF(DATOS_[[Check Equiparado]:[Check Equiparado]]="Sí",IF(DATOS!AY$5="Sí",(1/DATOS_[[% anualiz]:[% anualiz]]),1)*IF(DATOS!AY$4="Sí",1/DATOS_[[% normaliz]:[% normaliz]],1)*(DATOS_[Conc.Sal.21])))))))),
0)</f>
        <v>0</v>
      </c>
      <c r="AE49" s="196">
        <f t="array" ref="AE49">IFERROR(
(MEDIAN((IF(DATOS_[[Sexo]:[Sexo]]=$B49,IF(DATOS_[[AGRUP. VALOR. PTO.]:[AGRUP. VALOR. PTO.]]=$B48,IF(DATOS_[[Check Periodo Ref.]:[Check Periodo Ref.]]="Dentro",IF(DATOS_[[Check Equiparado]:[Check Equiparado]]="Sí",IF(DATOS!AZ$5="Sí",(1/DATOS_[[% anualiz]:[% anualiz]]),1)*IF(DATOS!AZ$4="Sí",1/DATOS_[[% normaliz]:[% normaliz]],1)*(DATOS_[Conc.Sal.22])))))))),
0)</f>
        <v>0</v>
      </c>
      <c r="AF49" s="196">
        <f t="array" ref="AF49">IFERROR(
(MEDIAN((IF(DATOS_[[Sexo]:[Sexo]]=$B49,IF(DATOS_[[AGRUP. VALOR. PTO.]:[AGRUP. VALOR. PTO.]]=$B48,IF(DATOS_[[Check Periodo Ref.]:[Check Periodo Ref.]]="Dentro",IF(DATOS_[[Check Equiparado]:[Check Equiparado]]="Sí",IF(DATOS!BA$5="Sí",(1/DATOS_[[% anualiz]:[% anualiz]]),1)*IF(DATOS!BA$4="Sí",1/DATOS_[[% normaliz]:[% normaliz]],1)*(DATOS_[Conc.Sal.23])))))))),
0)</f>
        <v>0</v>
      </c>
      <c r="AG49" s="196">
        <f t="array" ref="AG49">IFERROR(
(MEDIAN((IF(DATOS_[[Sexo]:[Sexo]]=$B49,IF(DATOS_[[AGRUP. VALOR. PTO.]:[AGRUP. VALOR. PTO.]]=$B48,IF(DATOS_[[Check Periodo Ref.]:[Check Periodo Ref.]]="Dentro",IF(DATOS_[[Check Equiparado]:[Check Equiparado]]="Sí",IF(DATOS!BB$5="Sí",(1/DATOS_[[% anualiz]:[% anualiz]]),1)*IF(DATOS!BB$4="Sí",1/DATOS_[[% normaliz]:[% normaliz]],1)*(DATOS_[Conc.Sal.24])))))))),
0)</f>
        <v>0</v>
      </c>
      <c r="AH49" s="196">
        <f t="array" ref="AH49">IFERROR(
(MEDIAN((IF(DATOS_[[Sexo]:[Sexo]]=$B49,IF(DATOS_[[AGRUP. VALOR. PTO.]:[AGRUP. VALOR. PTO.]]=$B48,IF(DATOS_[[Check Periodo Ref.]:[Check Periodo Ref.]]="Dentro",IF(DATOS_[[Check Equiparado]:[Check Equiparado]]="Sí",IF(DATOS!BC$5="Sí",(1/DATOS_[[% anualiz]:[% anualiz]]),1)*IF(DATOS!BC$4="Sí",1/DATOS_[[% normaliz]:[% normaliz]],1)*(DATOS_[Conc.Sal.25])))))))),
0)</f>
        <v>0</v>
      </c>
      <c r="AI49" s="196">
        <f t="array" ref="AI49">IFERROR(
(MEDIAN((IF(DATOS_[[Sexo]:[Sexo]]=$B49,IF(DATOS_[[AGRUP. VALOR. PTO.]:[AGRUP. VALOR. PTO.]]=$B48,IF(DATOS_[[Check Periodo Ref.]:[Check Periodo Ref.]]="Dentro",IF(DATOS_[[Check Equiparado]:[Check Equiparado]]="Sí",IF(DATOS!BD$5="Sí",(1/DATOS_[[% anualiz]:[% anualiz]]),1)*IF(DATOS!BD$4="Sí",1/DATOS_[[% normaliz]:[% normaliz]],1)*(DATOS_[Conc.Sal.26])))))))),
0)</f>
        <v>0</v>
      </c>
      <c r="AJ49" s="196">
        <f t="array" ref="AJ49">IFERROR(
(MEDIAN((IF(DATOS_[[Sexo]:[Sexo]]=$B49,IF(DATOS_[[AGRUP. VALOR. PTO.]:[AGRUP. VALOR. PTO.]]=$B48,IF(DATOS_[[Check Periodo Ref.]:[Check Periodo Ref.]]="Dentro",IF(DATOS_[[Check Equiparado]:[Check Equiparado]]="Sí",IF(DATOS!BE$5="Sí",(1/DATOS_[[% anualiz]:[% anualiz]]),1)*IF(DATOS!BE$4="Sí",1/DATOS_[[% normaliz]:[% normaliz]],1)*(DATOS_[Conc.Sal.27])))))))),
0)</f>
        <v>0</v>
      </c>
      <c r="AK49" s="196">
        <f t="array" ref="AK49">IFERROR(
(MEDIAN((IF(DATOS_[[Sexo]:[Sexo]]=$B49,IF(DATOS_[[AGRUP. VALOR. PTO.]:[AGRUP. VALOR. PTO.]]=$B48,IF(DATOS_[[Check Periodo Ref.]:[Check Periodo Ref.]]="Dentro",IF(DATOS_[[Check Equiparado]:[Check Equiparado]]="Sí",IF(DATOS!BF$5="Sí",(1/DATOS_[[% anualiz]:[% anualiz]]),1)*IF(DATOS!BF$4="Sí",1/DATOS_[[% normaliz]:[% normaliz]],1)*(DATOS_[Conc.Sal.28])))))))),
0)</f>
        <v>0</v>
      </c>
      <c r="AL49" s="196">
        <f t="array" ref="AL49">IFERROR(
(MEDIAN((IF(DATOS_[[Sexo]:[Sexo]]=$B49,IF(DATOS_[[AGRUP. VALOR. PTO.]:[AGRUP. VALOR. PTO.]]=$B48,IF(DATOS_[[Check Periodo Ref.]:[Check Periodo Ref.]]="Dentro",IF(DATOS_[[Check Equiparado]:[Check Equiparado]]="Sí",IF(DATOS!BG$5="Sí",(1/DATOS_[[% anualiz]:[% anualiz]]),1)*IF(DATOS!BG$4="Sí",1/DATOS_[[% normaliz]:[% normaliz]],1)*(DATOS_[Conc.Sal.29])))))))),
0)</f>
        <v>0</v>
      </c>
      <c r="AM49" s="196">
        <f t="array" ref="AM49">IFERROR(
(MEDIAN((IF(DATOS_[[Sexo]:[Sexo]]=$B49,IF(DATOS_[[AGRUP. VALOR. PTO.]:[AGRUP. VALOR. PTO.]]=$B48,IF(DATOS_[[Check Periodo Ref.]:[Check Periodo Ref.]]="Dentro",IF(DATOS_[[Check Equiparado]:[Check Equiparado]]="Sí",IF(DATOS!BH$5="Sí",(1/DATOS_[[% anualiz]:[% anualiz]]),1)*IF(DATOS!BH$4="Sí",1/DATOS_[[% normaliz]:[% normaliz]],1)*(DATOS_[Conc.Sal.30])))))))),
0)</f>
        <v>0</v>
      </c>
      <c r="AN49" s="195">
        <f t="array" ref="AN49">IFERROR(
MEDIAN(IF(DATOS_[Sexo]=$B49,IF(DATOS_[[AGRUP. VALOR. PTO.]:[AGRUP. VALOR. PTO.]]=$B48,IF(DATOS_[Check Equiparado]="Sí",IF(DATOS_[Check Periodo Ref.]="Dentro",DATOS_[Tot COMPL.SAL Eq],FALSE))))),
0)</f>
        <v>0</v>
      </c>
      <c r="AO49" s="172">
        <f t="array" ref="AO49">IFERROR(
MEDIAN(IF(DATOS_[Sexo]=$B49,IF(DATOS_[[AGRUP. VALOR. PTO.]:[AGRUP. VALOR. PTO.]]=$B48,IF(DATOS_[Check Equiparado]="Sí",IF(DATOS_[Check Periodo Ref.]="Dentro",DATOS_[TOTAL SALARIO Eq],FALSE))))),
0)</f>
        <v>0</v>
      </c>
      <c r="AP49" s="173">
        <f t="array" ref="AP49">IFERROR(
(MEDIAN((IF(DATOS_[[Sexo]:[Sexo]]=$B49,IF(DATOS_[[AGRUP. VALOR. PTO.]:[AGRUP. VALOR. PTO.]]=$B48,IF(DATOS_[[Check Periodo Ref.]:[Check Periodo Ref.]]="Dentro",IF(DATOS_[[Check Equiparado]:[Check Equiparado]]="Sí",IF(DATOS!BW$5="Sí",(1/DATOS_[[% anualiz]:[% anualiz]]),1)*IF(DATOS!BW$4="Sí",1/DATOS_[[% normaliz]:[% normaliz]],1)*(DATOS_[C.Extra.01])))))))),
0)</f>
        <v>0</v>
      </c>
      <c r="AQ49" s="173">
        <f t="array" ref="AQ49">IFERROR(
(MEDIAN((IF(DATOS_[[Sexo]:[Sexo]]=$B49,IF(DATOS_[[AGRUP. VALOR. PTO.]:[AGRUP. VALOR. PTO.]]=$B48,IF(DATOS_[[Check Periodo Ref.]:[Check Periodo Ref.]]="Dentro",IF(DATOS_[[Check Equiparado]:[Check Equiparado]]="Sí",IF(DATOS!CB$5="Sí",(1/DATOS_[[% anualiz]:[% anualiz]]),1)*IF(DATOS!CB$4="Sí",1/DATOS_[[% normaliz]:[% normaliz]],1)*(DATOS_[C.Extra.06])))))))),
0)</f>
        <v>0</v>
      </c>
      <c r="AR49" s="173">
        <f t="array" ref="AR49">IFERROR(
(MEDIAN((IF(DATOS_[[Sexo]:[Sexo]]=$B49,IF(DATOS_[[AGRUP. VALOR. PTO.]:[AGRUP. VALOR. PTO.]]=$B48,IF(DATOS_[[Check Periodo Ref.]:[Check Periodo Ref.]]="Dentro",IF(DATOS_[[Check Equiparado]:[Check Equiparado]]="Sí",IF(DATOS!CC$5="Sí",(1/DATOS_[[% anualiz]:[% anualiz]]),1)*IF(DATOS!CC$4="Sí",1/DATOS_[[% normaliz]:[% normaliz]],1)*(DATOS_[C.Extra.07])))))))),
0)</f>
        <v>0</v>
      </c>
      <c r="AS49" s="173">
        <f t="array" ref="AS49">IFERROR(
(MEDIAN((IF(DATOS_[[Sexo]:[Sexo]]=$B49,IF(DATOS_[[AGRUP. VALOR. PTO.]:[AGRUP. VALOR. PTO.]]=$B48,IF(DATOS_[[Check Periodo Ref.]:[Check Periodo Ref.]]="Dentro",IF(DATOS_[[Check Equiparado]:[Check Equiparado]]="Sí",IF(DATOS!CD$5="Sí",(1/DATOS_[[% anualiz]:[% anualiz]]),1)*IF(DATOS!CD$4="Sí",1/DATOS_[[% normaliz]:[% normaliz]],1)*(DATOS_[C.Extra.08])))))))),
0)</f>
        <v>0</v>
      </c>
      <c r="AT49" s="173">
        <f t="array" ref="AT49">IFERROR(
(MEDIAN((IF(DATOS_[[Sexo]:[Sexo]]=$B49,IF(DATOS_[[AGRUP. VALOR. PTO.]:[AGRUP. VALOR. PTO.]]=$B48,IF(DATOS_[[Check Periodo Ref.]:[Check Periodo Ref.]]="Dentro",IF(DATOS_[[Check Equiparado]:[Check Equiparado]]="Sí",IF(DATOS!CG$5="Sí",(1/DATOS_[[% anualiz]:[% anualiz]]),1)*IF(DATOS!CG$4="Sí",1/DATOS_[[% normaliz]:[% normaliz]],1)*(DATOS_[C.Extra.11])))))))),
0)</f>
        <v>0</v>
      </c>
      <c r="AU49" s="197">
        <f t="array" ref="AU49">IFERROR(
MEDIAN(IF(DATOS_[Sexo]=$B49,IF(DATOS_[[AGRUP. VALOR. PTO.]:[AGRUP. VALOR. PTO.]]=$B48,IF(DATOS_[Check Equiparado]="Sí",IF(DATOS_[Check Periodo Ref.]="Dentro",DATOS_[Tot Extrasalarial Eq],FALSE))))),
0)</f>
        <v>0</v>
      </c>
      <c r="AV49" s="175">
        <f t="array" ref="AV49">IFERROR(
MEDIAN(IF(DATOS_[Sexo]=$B49,IF(DATOS_[[AGRUP. VALOR. PTO.]:[AGRUP. VALOR. PTO.]]=$B48,IF(DATOS_[Check Equiparado]="Sí",IF(DATOS_[Check Periodo Ref.]="Dentro",DATOS_[TOTAL Retrib Eq],FALSE))))),
0)</f>
        <v>0</v>
      </c>
    </row>
    <row r="50" spans="1:48" x14ac:dyDescent="0.25">
      <c r="A50" s="133" t="str">
        <f t="shared" ref="A50" si="50">+A49</f>
        <v>[ocultar]</v>
      </c>
      <c r="B50" s="202" t="s">
        <v>521</v>
      </c>
      <c r="C50" s="203">
        <f t="array" ref="C50">SUM(IF($B50=DATOS_[Sexo],
IF($B48=DATOS_[AGRUP. VALOR. PTO.],
IF("Dentro"=DATOS_[Check Periodo Ref.],
1/(COUNTIFS(DATOS_[Sexo],$B50,DATOS_[AGRUP. VALOR. PTO.],$B48,DATOS_[Check Periodo Ref.],"Dentro",DATOS_[id/cod],DATOS_[id/cod]))))))</f>
        <v>0</v>
      </c>
      <c r="D50" s="204">
        <f>COUNTIFS(DATOS_[AGRUP. VALOR. PTO.],$B48,DATOS_[Sexo],$B50,DATOS_[Check Periodo Ref.],"Dentro")</f>
        <v>0</v>
      </c>
      <c r="E50" s="204">
        <f>COUNTIFS(DATOS_[AGRUP. VALOR. PTO.],$B48,DATOS_[Sexo],$B50,DATOS_[Check Periodo Ref.],"Dentro",DATOS_[Check Nº SC Norm],"Sí")</f>
        <v>0</v>
      </c>
      <c r="F50" s="204">
        <f>COUNTIFS(DATOS_[AGRUP. VALOR. PTO.],$B48,DATOS_[Sexo],$B50,DATOS_[Check Periodo Ref.],"Dentro",DATOS_[Check Nº SC Anualiz],"Sí")</f>
        <v>0</v>
      </c>
      <c r="G50" s="204">
        <f>COUNTIFS(DATOS_[AGRUP. VALOR. PTO.],$B48,DATOS_[Sexo],$B50,DATOS_[Check Periodo Ref.],"Dentro",DATOS_[Check Nº SC Norm y Anualiz],"Sí")</f>
        <v>0</v>
      </c>
      <c r="H50" s="204">
        <f>COUNTIFS(DATOS_[AGRUP. VALOR. PTO.],$B48,DATOS_[Sexo],$B50,DATOS_[Check Periodo Ref.],"Dentro",DATOS_[Check Equiparación],"Sí")</f>
        <v>0</v>
      </c>
      <c r="I50" s="195" cm="1">
        <f t="array" ref="I50">IFERROR(
MEDIAN(IF(DATOS_[Sexo]=$B50,IF(DATOS_[[AGRUP. VALOR. PTO.]:[AGRUP. VALOR. PTO.]]=$B48,IF(DATOS_[Check Equiparado]="Sí",IF(DATOS_[Check Periodo Ref.]="Dentro",DATOS_[SALARIO BASE Eq],FALSE))))),
0)</f>
        <v>0</v>
      </c>
      <c r="J50" s="196">
        <f t="array" ref="J50">IFERROR(
(MEDIAN((IF(DATOS_[[Sexo]:[Sexo]]=$B50,IF(DATOS_[[AGRUP. VALOR. PTO.]:[AGRUP. VALOR. PTO.]]=$B48,IF(DATOS_[[Check Periodo Ref.]:[Check Periodo Ref.]]="Dentro",IF(DATOS_[[Check Equiparado]:[Check Equiparado]]="Sí",IF(DATOS!AE$5="Sí",(1/DATOS_[[% anualiz]:[% anualiz]]),1)*IF(DATOS!AE$4="Sí",1/DATOS_[[% normaliz]:[% normaliz]],1)*(DATOS_[Conc.Sal.01])))))))),
0)</f>
        <v>0</v>
      </c>
      <c r="K50" s="196">
        <f t="array" ref="K50">IFERROR(
(MEDIAN((IF(DATOS_[[Sexo]:[Sexo]]=$B50,IF(DATOS_[[AGRUP. VALOR. PTO.]:[AGRUP. VALOR. PTO.]]=$B48,IF(DATOS_[[Check Periodo Ref.]:[Check Periodo Ref.]]="Dentro",IF(DATOS_[[Check Equiparado]:[Check Equiparado]]="Sí",IF(DATOS!AF$5="Sí",(1/DATOS_[[% anualiz]:[% anualiz]]),1)*IF(DATOS!AF$4="Sí",1/DATOS_[[% normaliz]:[% normaliz]],1)*(DATOS_[Conc.Sal.02])))))))),
0)</f>
        <v>0</v>
      </c>
      <c r="L50" s="196">
        <f t="array" ref="L50">IFERROR(
(MEDIAN((IF(DATOS_[[Sexo]:[Sexo]]=$B50,IF(DATOS_[[AGRUP. VALOR. PTO.]:[AGRUP. VALOR. PTO.]]=$B48,IF(DATOS_[[Check Periodo Ref.]:[Check Periodo Ref.]]="Dentro",IF(DATOS_[[Check Equiparado]:[Check Equiparado]]="Sí",IF(DATOS!AG$5="Sí",(1/DATOS_[[% anualiz]:[% anualiz]]),1)*IF(DATOS!AG$4="Sí",1/DATOS_[[% normaliz]:[% normaliz]],1)*(DATOS_[Conc.Sal.03])))))))),
0)</f>
        <v>0</v>
      </c>
      <c r="M50" s="196">
        <f t="array" ref="M50">IFERROR(
(MEDIAN((IF(DATOS_[[Sexo]:[Sexo]]=$B50,IF(DATOS_[[AGRUP. VALOR. PTO.]:[AGRUP. VALOR. PTO.]]=$B48,IF(DATOS_[[Check Periodo Ref.]:[Check Periodo Ref.]]="Dentro",IF(DATOS_[[Check Equiparado]:[Check Equiparado]]="Sí",IF(DATOS!AH$5="Sí",(1/DATOS_[[% anualiz]:[% anualiz]]),1)*IF(DATOS!AH$4="Sí",1/DATOS_[[% normaliz]:[% normaliz]],1)*(DATOS_[Conc.Sal.04])))))))),
0)</f>
        <v>0</v>
      </c>
      <c r="N50" s="196">
        <f t="array" ref="N50">IFERROR(
(MEDIAN((IF(DATOS_[[Sexo]:[Sexo]]=$B50,IF(DATOS_[[AGRUP. VALOR. PTO.]:[AGRUP. VALOR. PTO.]]=$B48,IF(DATOS_[[Check Periodo Ref.]:[Check Periodo Ref.]]="Dentro",IF(DATOS_[[Check Equiparado]:[Check Equiparado]]="Sí",IF(DATOS!AI$5="Sí",(1/DATOS_[[% anualiz]:[% anualiz]]),1)*IF(DATOS!AI$4="Sí",1/DATOS_[[% normaliz]:[% normaliz]],1)*(DATOS_[Conc.Sal.05])))))))),
0)</f>
        <v>0</v>
      </c>
      <c r="O50" s="196">
        <f t="array" ref="O50">IFERROR(
(MEDIAN((IF(DATOS_[[Sexo]:[Sexo]]=$B50,IF(DATOS_[[AGRUP. VALOR. PTO.]:[AGRUP. VALOR. PTO.]]=$B48,IF(DATOS_[[Check Periodo Ref.]:[Check Periodo Ref.]]="Dentro",IF(DATOS_[[Check Equiparado]:[Check Equiparado]]="Sí",IF(DATOS!AJ$5="Sí",(1/DATOS_[[% anualiz]:[% anualiz]]),1)*IF(DATOS!AJ$4="Sí",1/DATOS_[[% normaliz]:[% normaliz]],1)*(DATOS_[Conc.Sal.06])))))))),
0)</f>
        <v>0</v>
      </c>
      <c r="P50" s="196">
        <f t="array" ref="P50">IFERROR(
(MEDIAN((IF(DATOS_[[Sexo]:[Sexo]]=$B50,IF(DATOS_[[AGRUP. VALOR. PTO.]:[AGRUP. VALOR. PTO.]]=$B48,IF(DATOS_[[Check Periodo Ref.]:[Check Periodo Ref.]]="Dentro",IF(DATOS_[[Check Equiparado]:[Check Equiparado]]="Sí",IF(DATOS!AK$5="Sí",(1/DATOS_[[% anualiz]:[% anualiz]]),1)*IF(DATOS!AK$4="Sí",1/DATOS_[[% normaliz]:[% normaliz]],1)*(DATOS_[Conc.Sal.07])))))))),
0)</f>
        <v>0</v>
      </c>
      <c r="Q50" s="196">
        <f t="array" ref="Q50">IFERROR(
(MEDIAN((IF(DATOS_[[Sexo]:[Sexo]]=$B50,IF(DATOS_[[AGRUP. VALOR. PTO.]:[AGRUP. VALOR. PTO.]]=$B48,IF(DATOS_[[Check Periodo Ref.]:[Check Periodo Ref.]]="Dentro",IF(DATOS_[[Check Equiparado]:[Check Equiparado]]="Sí",IF(DATOS!AL$5="Sí",(1/DATOS_[[% anualiz]:[% anualiz]]),1)*IF(DATOS!AL$4="Sí",1/DATOS_[[% normaliz]:[% normaliz]],1)*(DATOS_[Conc.Sal.08])))))))),
0)</f>
        <v>0</v>
      </c>
      <c r="R50" s="196">
        <f t="array" ref="R50">IFERROR(
(MEDIAN((IF(DATOS_[[Sexo]:[Sexo]]=$B50,IF(DATOS_[[AGRUP. VALOR. PTO.]:[AGRUP. VALOR. PTO.]]=$B48,IF(DATOS_[[Check Periodo Ref.]:[Check Periodo Ref.]]="Dentro",IF(DATOS_[[Check Equiparado]:[Check Equiparado]]="Sí",IF(DATOS!AM$5="Sí",(1/DATOS_[[% anualiz]:[% anualiz]]),1)*IF(DATOS!AM$4="Sí",1/DATOS_[[% normaliz]:[% normaliz]],1)*(DATOS_[Conc.Sal.09])))))))),
0)</f>
        <v>0</v>
      </c>
      <c r="S50" s="196">
        <f t="array" ref="S50">IFERROR(
(MEDIAN((IF(DATOS_[[Sexo]:[Sexo]]=$B50,IF(DATOS_[[AGRUP. VALOR. PTO.]:[AGRUP. VALOR. PTO.]]=$B48,IF(DATOS_[[Check Periodo Ref.]:[Check Periodo Ref.]]="Dentro",IF(DATOS_[[Check Equiparado]:[Check Equiparado]]="Sí",IF(DATOS!AN$5="Sí",(1/DATOS_[[% anualiz]:[% anualiz]]),1)*IF(DATOS!AN$4="Sí",1/DATOS_[[% normaliz]:[% normaliz]],1)*(DATOS_[Conc.Sal.10])))))))),
0)</f>
        <v>0</v>
      </c>
      <c r="T50" s="196">
        <f t="array" ref="T50">IFERROR(
(MEDIAN((IF(DATOS_[[Sexo]:[Sexo]]=$B50,IF(DATOS_[[AGRUP. VALOR. PTO.]:[AGRUP. VALOR. PTO.]]=$B48,IF(DATOS_[[Check Periodo Ref.]:[Check Periodo Ref.]]="Dentro",IF(DATOS_[[Check Equiparado]:[Check Equiparado]]="Sí",IF(DATOS!AO$5="Sí",(1/DATOS_[[% anualiz]:[% anualiz]]),1)*IF(DATOS!AO$4="Sí",1/DATOS_[[% normaliz]:[% normaliz]],1)*(DATOS_[Conc.Sal.11])))))))),
0)</f>
        <v>0</v>
      </c>
      <c r="U50" s="196">
        <f t="array" ref="U50">IFERROR(
(MEDIAN((IF(DATOS_[[Sexo]:[Sexo]]=$B50,IF(DATOS_[[AGRUP. VALOR. PTO.]:[AGRUP. VALOR. PTO.]]=$B48,IF(DATOS_[[Check Periodo Ref.]:[Check Periodo Ref.]]="Dentro",IF(DATOS_[[Check Equiparado]:[Check Equiparado]]="Sí",IF(DATOS!AP$5="Sí",(1/DATOS_[[% anualiz]:[% anualiz]]),1)*IF(DATOS!AP$4="Sí",1/DATOS_[[% normaliz]:[% normaliz]],1)*(DATOS_[Conc.Sal.12])))))))),
0)</f>
        <v>0</v>
      </c>
      <c r="V50" s="196">
        <f t="array" ref="V50">IFERROR(
(MEDIAN((IF(DATOS_[[Sexo]:[Sexo]]=$B50,IF(DATOS_[[AGRUP. VALOR. PTO.]:[AGRUP. VALOR. PTO.]]=$B48,IF(DATOS_[[Check Periodo Ref.]:[Check Periodo Ref.]]="Dentro",IF(DATOS_[[Check Equiparado]:[Check Equiparado]]="Sí",IF(DATOS!AQ$5="Sí",(1/DATOS_[[% anualiz]:[% anualiz]]),1)*IF(DATOS!AQ$4="Sí",1/DATOS_[[% normaliz]:[% normaliz]],1)*(DATOS_[Conc.Sal.13])))))))),
0)</f>
        <v>0</v>
      </c>
      <c r="W50" s="196">
        <f t="array" ref="W50">IFERROR(
(MEDIAN((IF(DATOS_[[Sexo]:[Sexo]]=$B50,IF(DATOS_[[AGRUP. VALOR. PTO.]:[AGRUP. VALOR. PTO.]]=$B48,IF(DATOS_[[Check Periodo Ref.]:[Check Periodo Ref.]]="Dentro",IF(DATOS_[[Check Equiparado]:[Check Equiparado]]="Sí",IF(DATOS!AR$5="Sí",(1/DATOS_[[% anualiz]:[% anualiz]]),1)*IF(DATOS!AR$4="Sí",1/DATOS_[[% normaliz]:[% normaliz]],1)*(DATOS_[Conc.Sal.14])))))))),
0)</f>
        <v>0</v>
      </c>
      <c r="X50" s="196">
        <f t="array" ref="X50">IFERROR(
(MEDIAN((IF(DATOS_[[Sexo]:[Sexo]]=$B50,IF(DATOS_[[AGRUP. VALOR. PTO.]:[AGRUP. VALOR. PTO.]]=$B48,IF(DATOS_[[Check Periodo Ref.]:[Check Periodo Ref.]]="Dentro",IF(DATOS_[[Check Equiparado]:[Check Equiparado]]="Sí",IF(DATOS!AS$5="Sí",(1/DATOS_[[% anualiz]:[% anualiz]]),1)*IF(DATOS!AS$4="Sí",1/DATOS_[[% normaliz]:[% normaliz]],1)*(DATOS_[Conc.Sal.15])))))))),
0)</f>
        <v>0</v>
      </c>
      <c r="Y50" s="196">
        <f t="array" ref="Y50">IFERROR(
(MEDIAN((IF(DATOS_[[Sexo]:[Sexo]]=$B50,IF(DATOS_[[AGRUP. VALOR. PTO.]:[AGRUP. VALOR. PTO.]]=$B48,IF(DATOS_[[Check Periodo Ref.]:[Check Periodo Ref.]]="Dentro",IF(DATOS_[[Check Equiparado]:[Check Equiparado]]="Sí",IF(DATOS!AT$5="Sí",(1/DATOS_[[% anualiz]:[% anualiz]]),1)*IF(DATOS!AT$4="Sí",1/DATOS_[[% normaliz]:[% normaliz]],1)*(DATOS_[Conc.Sal.16])))))))),
0)</f>
        <v>0</v>
      </c>
      <c r="Z50" s="196">
        <f t="array" ref="Z50">IFERROR(
(MEDIAN((IF(DATOS_[[Sexo]:[Sexo]]=$B50,IF(DATOS_[[AGRUP. VALOR. PTO.]:[AGRUP. VALOR. PTO.]]=$B48,IF(DATOS_[[Check Periodo Ref.]:[Check Periodo Ref.]]="Dentro",IF(DATOS_[[Check Equiparado]:[Check Equiparado]]="Sí",IF(DATOS!AU$5="Sí",(1/DATOS_[[% anualiz]:[% anualiz]]),1)*IF(DATOS!AU$4="Sí",1/DATOS_[[% normaliz]:[% normaliz]],1)*(DATOS_[Conc.Sal.17])))))))),
0)</f>
        <v>0</v>
      </c>
      <c r="AA50" s="196">
        <f t="array" ref="AA50">IFERROR(
(MEDIAN((IF(DATOS_[[Sexo]:[Sexo]]=$B50,IF(DATOS_[[AGRUP. VALOR. PTO.]:[AGRUP. VALOR. PTO.]]=$B48,IF(DATOS_[[Check Periodo Ref.]:[Check Periodo Ref.]]="Dentro",IF(DATOS_[[Check Equiparado]:[Check Equiparado]]="Sí",IF(DATOS!AV$5="Sí",(1/DATOS_[[% anualiz]:[% anualiz]]),1)*IF(DATOS!AV$4="Sí",1/DATOS_[[% normaliz]:[% normaliz]],1)*(DATOS_[Conc.Sal.18])))))))),
0)</f>
        <v>0</v>
      </c>
      <c r="AB50" s="196">
        <f t="array" ref="AB50">IFERROR(
(MEDIAN((IF(DATOS_[[Sexo]:[Sexo]]=$B50,IF(DATOS_[[AGRUP. VALOR. PTO.]:[AGRUP. VALOR. PTO.]]=$B48,IF(DATOS_[[Check Periodo Ref.]:[Check Periodo Ref.]]="Dentro",IF(DATOS_[[Check Equiparado]:[Check Equiparado]]="Sí",IF(DATOS!AW$5="Sí",(1/DATOS_[[% anualiz]:[% anualiz]]),1)*IF(DATOS!AW$4="Sí",1/DATOS_[[% normaliz]:[% normaliz]],1)*(DATOS_[Conc.Sal.19])))))))),
0)</f>
        <v>0</v>
      </c>
      <c r="AC50" s="196">
        <f t="array" ref="AC50">IFERROR(
(MEDIAN((IF(DATOS_[[Sexo]:[Sexo]]=$B50,IF(DATOS_[[AGRUP. VALOR. PTO.]:[AGRUP. VALOR. PTO.]]=$B48,IF(DATOS_[[Check Periodo Ref.]:[Check Periodo Ref.]]="Dentro",IF(DATOS_[[Check Equiparado]:[Check Equiparado]]="Sí",IF(DATOS!AX$5="Sí",(1/DATOS_[[% anualiz]:[% anualiz]]),1)*IF(DATOS!AX$4="Sí",1/DATOS_[[% normaliz]:[% normaliz]],1)*(DATOS_[Conc.Sal.20])))))))),
0)</f>
        <v>0</v>
      </c>
      <c r="AD50" s="196">
        <f t="array" ref="AD50">IFERROR(
(MEDIAN((IF(DATOS_[[Sexo]:[Sexo]]=$B50,IF(DATOS_[[AGRUP. VALOR. PTO.]:[AGRUP. VALOR. PTO.]]=$B48,IF(DATOS_[[Check Periodo Ref.]:[Check Periodo Ref.]]="Dentro",IF(DATOS_[[Check Equiparado]:[Check Equiparado]]="Sí",IF(DATOS!AY$5="Sí",(1/DATOS_[[% anualiz]:[% anualiz]]),1)*IF(DATOS!AY$4="Sí",1/DATOS_[[% normaliz]:[% normaliz]],1)*(DATOS_[Conc.Sal.21])))))))),
0)</f>
        <v>0</v>
      </c>
      <c r="AE50" s="196">
        <f t="array" ref="AE50">IFERROR(
(MEDIAN((IF(DATOS_[[Sexo]:[Sexo]]=$B50,IF(DATOS_[[AGRUP. VALOR. PTO.]:[AGRUP. VALOR. PTO.]]=$B48,IF(DATOS_[[Check Periodo Ref.]:[Check Periodo Ref.]]="Dentro",IF(DATOS_[[Check Equiparado]:[Check Equiparado]]="Sí",IF(DATOS!AZ$5="Sí",(1/DATOS_[[% anualiz]:[% anualiz]]),1)*IF(DATOS!AZ$4="Sí",1/DATOS_[[% normaliz]:[% normaliz]],1)*(DATOS_[Conc.Sal.22])))))))),
0)</f>
        <v>0</v>
      </c>
      <c r="AF50" s="196">
        <f t="array" ref="AF50">IFERROR(
(MEDIAN((IF(DATOS_[[Sexo]:[Sexo]]=$B50,IF(DATOS_[[AGRUP. VALOR. PTO.]:[AGRUP. VALOR. PTO.]]=$B48,IF(DATOS_[[Check Periodo Ref.]:[Check Periodo Ref.]]="Dentro",IF(DATOS_[[Check Equiparado]:[Check Equiparado]]="Sí",IF(DATOS!BA$5="Sí",(1/DATOS_[[% anualiz]:[% anualiz]]),1)*IF(DATOS!BA$4="Sí",1/DATOS_[[% normaliz]:[% normaliz]],1)*(DATOS_[Conc.Sal.23])))))))),
0)</f>
        <v>0</v>
      </c>
      <c r="AG50" s="196">
        <f t="array" ref="AG50">IFERROR(
(MEDIAN((IF(DATOS_[[Sexo]:[Sexo]]=$B50,IF(DATOS_[[AGRUP. VALOR. PTO.]:[AGRUP. VALOR. PTO.]]=$B48,IF(DATOS_[[Check Periodo Ref.]:[Check Periodo Ref.]]="Dentro",IF(DATOS_[[Check Equiparado]:[Check Equiparado]]="Sí",IF(DATOS!BB$5="Sí",(1/DATOS_[[% anualiz]:[% anualiz]]),1)*IF(DATOS!BB$4="Sí",1/DATOS_[[% normaliz]:[% normaliz]],1)*(DATOS_[Conc.Sal.24])))))))),
0)</f>
        <v>0</v>
      </c>
      <c r="AH50" s="196">
        <f t="array" ref="AH50">IFERROR(
(MEDIAN((IF(DATOS_[[Sexo]:[Sexo]]=$B50,IF(DATOS_[[AGRUP. VALOR. PTO.]:[AGRUP. VALOR. PTO.]]=$B48,IF(DATOS_[[Check Periodo Ref.]:[Check Periodo Ref.]]="Dentro",IF(DATOS_[[Check Equiparado]:[Check Equiparado]]="Sí",IF(DATOS!BC$5="Sí",(1/DATOS_[[% anualiz]:[% anualiz]]),1)*IF(DATOS!BC$4="Sí",1/DATOS_[[% normaliz]:[% normaliz]],1)*(DATOS_[Conc.Sal.25])))))))),
0)</f>
        <v>0</v>
      </c>
      <c r="AI50" s="196">
        <f t="array" ref="AI50">IFERROR(
(MEDIAN((IF(DATOS_[[Sexo]:[Sexo]]=$B50,IF(DATOS_[[AGRUP. VALOR. PTO.]:[AGRUP. VALOR. PTO.]]=$B48,IF(DATOS_[[Check Periodo Ref.]:[Check Periodo Ref.]]="Dentro",IF(DATOS_[[Check Equiparado]:[Check Equiparado]]="Sí",IF(DATOS!BD$5="Sí",(1/DATOS_[[% anualiz]:[% anualiz]]),1)*IF(DATOS!BD$4="Sí",1/DATOS_[[% normaliz]:[% normaliz]],1)*(DATOS_[Conc.Sal.26])))))))),
0)</f>
        <v>0</v>
      </c>
      <c r="AJ50" s="196">
        <f t="array" ref="AJ50">IFERROR(
(MEDIAN((IF(DATOS_[[Sexo]:[Sexo]]=$B50,IF(DATOS_[[AGRUP. VALOR. PTO.]:[AGRUP. VALOR. PTO.]]=$B48,IF(DATOS_[[Check Periodo Ref.]:[Check Periodo Ref.]]="Dentro",IF(DATOS_[[Check Equiparado]:[Check Equiparado]]="Sí",IF(DATOS!BE$5="Sí",(1/DATOS_[[% anualiz]:[% anualiz]]),1)*IF(DATOS!BE$4="Sí",1/DATOS_[[% normaliz]:[% normaliz]],1)*(DATOS_[Conc.Sal.27])))))))),
0)</f>
        <v>0</v>
      </c>
      <c r="AK50" s="196">
        <f t="array" ref="AK50">IFERROR(
(MEDIAN((IF(DATOS_[[Sexo]:[Sexo]]=$B50,IF(DATOS_[[AGRUP. VALOR. PTO.]:[AGRUP. VALOR. PTO.]]=$B48,IF(DATOS_[[Check Periodo Ref.]:[Check Periodo Ref.]]="Dentro",IF(DATOS_[[Check Equiparado]:[Check Equiparado]]="Sí",IF(DATOS!BF$5="Sí",(1/DATOS_[[% anualiz]:[% anualiz]]),1)*IF(DATOS!BF$4="Sí",1/DATOS_[[% normaliz]:[% normaliz]],1)*(DATOS_[Conc.Sal.28])))))))),
0)</f>
        <v>0</v>
      </c>
      <c r="AL50" s="196">
        <f t="array" ref="AL50">IFERROR(
(MEDIAN((IF(DATOS_[[Sexo]:[Sexo]]=$B50,IF(DATOS_[[AGRUP. VALOR. PTO.]:[AGRUP. VALOR. PTO.]]=$B48,IF(DATOS_[[Check Periodo Ref.]:[Check Periodo Ref.]]="Dentro",IF(DATOS_[[Check Equiparado]:[Check Equiparado]]="Sí",IF(DATOS!BG$5="Sí",(1/DATOS_[[% anualiz]:[% anualiz]]),1)*IF(DATOS!BG$4="Sí",1/DATOS_[[% normaliz]:[% normaliz]],1)*(DATOS_[Conc.Sal.29])))))))),
0)</f>
        <v>0</v>
      </c>
      <c r="AM50" s="196">
        <f t="array" ref="AM50">IFERROR(
(MEDIAN((IF(DATOS_[[Sexo]:[Sexo]]=$B50,IF(DATOS_[[AGRUP. VALOR. PTO.]:[AGRUP. VALOR. PTO.]]=$B48,IF(DATOS_[[Check Periodo Ref.]:[Check Periodo Ref.]]="Dentro",IF(DATOS_[[Check Equiparado]:[Check Equiparado]]="Sí",IF(DATOS!BH$5="Sí",(1/DATOS_[[% anualiz]:[% anualiz]]),1)*IF(DATOS!BH$4="Sí",1/DATOS_[[% normaliz]:[% normaliz]],1)*(DATOS_[Conc.Sal.30])))))))),
0)</f>
        <v>0</v>
      </c>
      <c r="AN50" s="195">
        <f t="array" ref="AN50">IFERROR(
MEDIAN(IF(DATOS_[Sexo]=$B50,IF(DATOS_[[AGRUP. VALOR. PTO.]:[AGRUP. VALOR. PTO.]]=$B48,IF(DATOS_[Check Equiparado]="Sí",IF(DATOS_[Check Periodo Ref.]="Dentro",DATOS_[Tot COMPL.SAL Eq],FALSE))))),
0)</f>
        <v>0</v>
      </c>
      <c r="AO50" s="172">
        <f t="array" ref="AO50">IFERROR(
MEDIAN(IF(DATOS_[Sexo]=$B50,IF(DATOS_[[AGRUP. VALOR. PTO.]:[AGRUP. VALOR. PTO.]]=$B48,IF(DATOS_[Check Equiparado]="Sí",IF(DATOS_[Check Periodo Ref.]="Dentro",DATOS_[TOTAL SALARIO Eq],FALSE))))),
0)</f>
        <v>0</v>
      </c>
      <c r="AP50" s="173">
        <f t="array" ref="AP50">IFERROR(
(MEDIAN((IF(DATOS_[[Sexo]:[Sexo]]=$B50,IF(DATOS_[[AGRUP. VALOR. PTO.]:[AGRUP. VALOR. PTO.]]=$B48,IF(DATOS_[[Check Periodo Ref.]:[Check Periodo Ref.]]="Dentro",IF(DATOS_[[Check Equiparado]:[Check Equiparado]]="Sí",IF(DATOS!BW$5="Sí",(1/DATOS_[[% anualiz]:[% anualiz]]),1)*IF(DATOS!BW$4="Sí",1/DATOS_[[% normaliz]:[% normaliz]],1)*(DATOS_[C.Extra.01])))))))),
0)</f>
        <v>0</v>
      </c>
      <c r="AQ50" s="173">
        <f t="array" ref="AQ50">IFERROR(
(MEDIAN((IF(DATOS_[[Sexo]:[Sexo]]=$B50,IF(DATOS_[[AGRUP. VALOR. PTO.]:[AGRUP. VALOR. PTO.]]=$B48,IF(DATOS_[[Check Periodo Ref.]:[Check Periodo Ref.]]="Dentro",IF(DATOS_[[Check Equiparado]:[Check Equiparado]]="Sí",IF(DATOS!CB$5="Sí",(1/DATOS_[[% anualiz]:[% anualiz]]),1)*IF(DATOS!CB$4="Sí",1/DATOS_[[% normaliz]:[% normaliz]],1)*(DATOS_[C.Extra.06])))))))),
0)</f>
        <v>0</v>
      </c>
      <c r="AR50" s="173">
        <f t="array" ref="AR50">IFERROR(
(MEDIAN((IF(DATOS_[[Sexo]:[Sexo]]=$B50,IF(DATOS_[[AGRUP. VALOR. PTO.]:[AGRUP. VALOR. PTO.]]=$B48,IF(DATOS_[[Check Periodo Ref.]:[Check Periodo Ref.]]="Dentro",IF(DATOS_[[Check Equiparado]:[Check Equiparado]]="Sí",IF(DATOS!CC$5="Sí",(1/DATOS_[[% anualiz]:[% anualiz]]),1)*IF(DATOS!CC$4="Sí",1/DATOS_[[% normaliz]:[% normaliz]],1)*(DATOS_[C.Extra.07])))))))),
0)</f>
        <v>0</v>
      </c>
      <c r="AS50" s="173">
        <f t="array" ref="AS50">IFERROR(
(MEDIAN((IF(DATOS_[[Sexo]:[Sexo]]=$B50,IF(DATOS_[[AGRUP. VALOR. PTO.]:[AGRUP. VALOR. PTO.]]=$B48,IF(DATOS_[[Check Periodo Ref.]:[Check Periodo Ref.]]="Dentro",IF(DATOS_[[Check Equiparado]:[Check Equiparado]]="Sí",IF(DATOS!CD$5="Sí",(1/DATOS_[[% anualiz]:[% anualiz]]),1)*IF(DATOS!CD$4="Sí",1/DATOS_[[% normaliz]:[% normaliz]],1)*(DATOS_[C.Extra.08])))))))),
0)</f>
        <v>0</v>
      </c>
      <c r="AT50" s="173">
        <f t="array" ref="AT50">IFERROR(
(MEDIAN((IF(DATOS_[[Sexo]:[Sexo]]=$B50,IF(DATOS_[[AGRUP. VALOR. PTO.]:[AGRUP. VALOR. PTO.]]=$B48,IF(DATOS_[[Check Periodo Ref.]:[Check Periodo Ref.]]="Dentro",IF(DATOS_[[Check Equiparado]:[Check Equiparado]]="Sí",IF(DATOS!CG$5="Sí",(1/DATOS_[[% anualiz]:[% anualiz]]),1)*IF(DATOS!CG$4="Sí",1/DATOS_[[% normaliz]:[% normaliz]],1)*(DATOS_[C.Extra.11])))))))),
0)</f>
        <v>0</v>
      </c>
      <c r="AU50" s="197">
        <f t="array" ref="AU50">IFERROR(
MEDIAN(IF(DATOS_[Sexo]=$B50,IF(DATOS_[[AGRUP. VALOR. PTO.]:[AGRUP. VALOR. PTO.]]=$B48,IF(DATOS_[Check Equiparado]="Sí",IF(DATOS_[Check Periodo Ref.]="Dentro",DATOS_[Tot Extrasalarial Eq],FALSE))))),
0)</f>
        <v>0</v>
      </c>
      <c r="AV50" s="175">
        <f t="array" ref="AV50">IFERROR(
MEDIAN(IF(DATOS_[Sexo]=$B50,IF(DATOS_[[AGRUP. VALOR. PTO.]:[AGRUP. VALOR. PTO.]]=$B48,IF(DATOS_[Check Equiparado]="Sí",IF(DATOS_[Check Periodo Ref.]="Dentro",DATOS_[TOTAL Retrib Eq],FALSE))))),
0)</f>
        <v>0</v>
      </c>
    </row>
    <row r="51" spans="1:48" ht="15.6" thickBot="1" x14ac:dyDescent="0.3">
      <c r="A51" s="133" t="str">
        <f t="shared" ref="A51" si="51">+A52</f>
        <v>[ocultar]</v>
      </c>
      <c r="B51" s="199" t="s">
        <v>226</v>
      </c>
      <c r="C51" s="200"/>
      <c r="D51" s="201"/>
      <c r="E51" s="201"/>
      <c r="F51" s="201"/>
      <c r="G51" s="201"/>
      <c r="H51" s="201"/>
      <c r="I51" s="189" t="str">
        <f t="shared" ref="I51:AV51" si="52">IFERROR((I52-I53)/I52,"")</f>
        <v/>
      </c>
      <c r="J51" s="190" t="str">
        <f t="shared" si="52"/>
        <v/>
      </c>
      <c r="K51" s="191" t="str">
        <f t="shared" si="52"/>
        <v/>
      </c>
      <c r="L51" s="191" t="str">
        <f t="shared" si="52"/>
        <v/>
      </c>
      <c r="M51" s="191" t="str">
        <f t="shared" si="52"/>
        <v/>
      </c>
      <c r="N51" s="192" t="str">
        <f t="shared" si="52"/>
        <v/>
      </c>
      <c r="O51" s="193" t="str">
        <f t="shared" si="52"/>
        <v/>
      </c>
      <c r="P51" s="193" t="str">
        <f t="shared" si="52"/>
        <v/>
      </c>
      <c r="Q51" s="193" t="str">
        <f t="shared" si="52"/>
        <v/>
      </c>
      <c r="R51" s="193" t="str">
        <f t="shared" si="52"/>
        <v/>
      </c>
      <c r="S51" s="193" t="str">
        <f t="shared" si="52"/>
        <v/>
      </c>
      <c r="T51" s="193" t="str">
        <f t="shared" si="52"/>
        <v/>
      </c>
      <c r="U51" s="193" t="str">
        <f t="shared" si="52"/>
        <v/>
      </c>
      <c r="V51" s="193" t="str">
        <f t="shared" si="52"/>
        <v/>
      </c>
      <c r="W51" s="193" t="str">
        <f t="shared" si="52"/>
        <v/>
      </c>
      <c r="X51" s="193" t="str">
        <f t="shared" si="52"/>
        <v/>
      </c>
      <c r="Y51" s="193" t="str">
        <f t="shared" si="52"/>
        <v/>
      </c>
      <c r="Z51" s="193" t="str">
        <f t="shared" si="52"/>
        <v/>
      </c>
      <c r="AA51" s="193" t="str">
        <f t="shared" si="52"/>
        <v/>
      </c>
      <c r="AB51" s="193" t="str">
        <f t="shared" si="52"/>
        <v/>
      </c>
      <c r="AC51" s="193" t="str">
        <f t="shared" si="52"/>
        <v/>
      </c>
      <c r="AD51" s="193" t="str">
        <f t="shared" si="52"/>
        <v/>
      </c>
      <c r="AE51" s="193" t="str">
        <f t="shared" si="52"/>
        <v/>
      </c>
      <c r="AF51" s="193" t="str">
        <f t="shared" si="52"/>
        <v/>
      </c>
      <c r="AG51" s="193" t="str">
        <f t="shared" si="52"/>
        <v/>
      </c>
      <c r="AH51" s="193" t="str">
        <f t="shared" si="52"/>
        <v/>
      </c>
      <c r="AI51" s="193" t="str">
        <f t="shared" si="52"/>
        <v/>
      </c>
      <c r="AJ51" s="193" t="str">
        <f t="shared" si="52"/>
        <v/>
      </c>
      <c r="AK51" s="193" t="str">
        <f t="shared" si="52"/>
        <v/>
      </c>
      <c r="AL51" s="193" t="str">
        <f t="shared" si="52"/>
        <v/>
      </c>
      <c r="AM51" s="193" t="str">
        <f t="shared" si="52"/>
        <v/>
      </c>
      <c r="AN51" s="189" t="str">
        <f t="shared" si="52"/>
        <v/>
      </c>
      <c r="AO51" s="162" t="str">
        <f t="shared" si="52"/>
        <v/>
      </c>
      <c r="AP51" s="163" t="str">
        <f t="shared" si="52"/>
        <v/>
      </c>
      <c r="AQ51" s="163" t="str">
        <f t="shared" si="52"/>
        <v/>
      </c>
      <c r="AR51" s="163" t="str">
        <f t="shared" si="52"/>
        <v/>
      </c>
      <c r="AS51" s="163" t="str">
        <f t="shared" si="52"/>
        <v/>
      </c>
      <c r="AT51" s="163" t="str">
        <f t="shared" si="52"/>
        <v/>
      </c>
      <c r="AU51" s="194" t="str">
        <f t="shared" si="52"/>
        <v/>
      </c>
      <c r="AV51" s="165" t="str">
        <f t="shared" si="52"/>
        <v/>
      </c>
    </row>
    <row r="52" spans="1:48" x14ac:dyDescent="0.25">
      <c r="A52" s="133" t="str">
        <f t="shared" ref="A52" si="53">+IF(C52+C53=0,"[ocultar]","")</f>
        <v>[ocultar]</v>
      </c>
      <c r="B52" s="202" t="s">
        <v>394</v>
      </c>
      <c r="C52" s="203">
        <f t="array" ref="C52">SUM(IF($B52=DATOS_[Sexo],
IF($B51=DATOS_[AGRUP. VALOR. PTO.],
IF("Dentro"=DATOS_[Check Periodo Ref.],
1/(COUNTIFS(DATOS_[Sexo],$B52,DATOS_[AGRUP. VALOR. PTO.],$B51,DATOS_[Check Periodo Ref.],"Dentro",DATOS_[id/cod],DATOS_[id/cod]))))))</f>
        <v>0</v>
      </c>
      <c r="D52" s="204">
        <f>COUNTIFS(DATOS_[AGRUP. VALOR. PTO.],$B51,DATOS_[Sexo],$B52,DATOS_[Check Periodo Ref.],"Dentro")</f>
        <v>0</v>
      </c>
      <c r="E52" s="204">
        <f>COUNTIFS(DATOS_[AGRUP. VALOR. PTO.],$B51,DATOS_[Sexo],$B52,DATOS_[Check Periodo Ref.],"Dentro",DATOS_[Check Nº SC Norm],"Sí")</f>
        <v>0</v>
      </c>
      <c r="F52" s="204">
        <f>COUNTIFS(DATOS_[AGRUP. VALOR. PTO.],$B51,DATOS_[Sexo],$B52,DATOS_[Check Periodo Ref.],"Dentro",DATOS_[Check Nº SC Anualiz],"Sí")</f>
        <v>0</v>
      </c>
      <c r="G52" s="204">
        <f>COUNTIFS(DATOS_[AGRUP. VALOR. PTO.],$B51,DATOS_[Sexo],$B52,DATOS_[Check Periodo Ref.],"Dentro",DATOS_[Check Nº SC Norm y Anualiz],"Sí")</f>
        <v>0</v>
      </c>
      <c r="H52" s="204">
        <f>COUNTIFS(DATOS_[AGRUP. VALOR. PTO.],$B51,DATOS_[Sexo],$B52,DATOS_[Check Periodo Ref.],"Dentro",DATOS_[Check Equiparación],"Sí")</f>
        <v>0</v>
      </c>
      <c r="I52" s="195">
        <f t="array" ref="I52">IFERROR(
MEDIAN(IF(DATOS_[Sexo]=$B52,IF(DATOS_[[AGRUP. VALOR. PTO.]:[AGRUP. VALOR. PTO.]]=$B51,IF(DATOS_[Check Equiparado]="Sí",IF(DATOS_[Check Periodo Ref.]="Dentro",DATOS_[SALARIO BASE Eq],FALSE))))),
0)</f>
        <v>0</v>
      </c>
      <c r="J52" s="196">
        <f t="array" ref="J52">IFERROR(
(MEDIAN((IF(DATOS_[[Sexo]:[Sexo]]=$B52,IF(DATOS_[[AGRUP. VALOR. PTO.]:[AGRUP. VALOR. PTO.]]=$B51,IF(DATOS_[[Check Periodo Ref.]:[Check Periodo Ref.]]="Dentro",IF(DATOS_[[Check Equiparado]:[Check Equiparado]]="Sí",IF(DATOS!AE$5="Sí",(1/DATOS_[[% anualiz]:[% anualiz]]),1)*IF(DATOS!AE$4="Sí",1/DATOS_[[% normaliz]:[% normaliz]],1)*(DATOS_[Conc.Sal.01])))))))),
0)</f>
        <v>0</v>
      </c>
      <c r="K52" s="196">
        <f t="array" ref="K52">IFERROR(
(MEDIAN((IF(DATOS_[[Sexo]:[Sexo]]=$B52,IF(DATOS_[[AGRUP. VALOR. PTO.]:[AGRUP. VALOR. PTO.]]=$B51,IF(DATOS_[[Check Periodo Ref.]:[Check Periodo Ref.]]="Dentro",IF(DATOS_[[Check Equiparado]:[Check Equiparado]]="Sí",IF(DATOS!AF$5="Sí",(1/DATOS_[[% anualiz]:[% anualiz]]),1)*IF(DATOS!AF$4="Sí",1/DATOS_[[% normaliz]:[% normaliz]],1)*(DATOS_[Conc.Sal.02])))))))),
0)</f>
        <v>0</v>
      </c>
      <c r="L52" s="196">
        <f t="array" ref="L52">IFERROR(
(MEDIAN((IF(DATOS_[[Sexo]:[Sexo]]=$B52,IF(DATOS_[[AGRUP. VALOR. PTO.]:[AGRUP. VALOR. PTO.]]=$B51,IF(DATOS_[[Check Periodo Ref.]:[Check Periodo Ref.]]="Dentro",IF(DATOS_[[Check Equiparado]:[Check Equiparado]]="Sí",IF(DATOS!AG$5="Sí",(1/DATOS_[[% anualiz]:[% anualiz]]),1)*IF(DATOS!AG$4="Sí",1/DATOS_[[% normaliz]:[% normaliz]],1)*(DATOS_[Conc.Sal.03])))))))),
0)</f>
        <v>0</v>
      </c>
      <c r="M52" s="196">
        <f t="array" ref="M52">IFERROR(
(MEDIAN((IF(DATOS_[[Sexo]:[Sexo]]=$B52,IF(DATOS_[[AGRUP. VALOR. PTO.]:[AGRUP. VALOR. PTO.]]=$B51,IF(DATOS_[[Check Periodo Ref.]:[Check Periodo Ref.]]="Dentro",IF(DATOS_[[Check Equiparado]:[Check Equiparado]]="Sí",IF(DATOS!AH$5="Sí",(1/DATOS_[[% anualiz]:[% anualiz]]),1)*IF(DATOS!AH$4="Sí",1/DATOS_[[% normaliz]:[% normaliz]],1)*(DATOS_[Conc.Sal.04])))))))),
0)</f>
        <v>0</v>
      </c>
      <c r="N52" s="196">
        <f t="array" ref="N52">IFERROR(
(MEDIAN((IF(DATOS_[[Sexo]:[Sexo]]=$B52,IF(DATOS_[[AGRUP. VALOR. PTO.]:[AGRUP. VALOR. PTO.]]=$B51,IF(DATOS_[[Check Periodo Ref.]:[Check Periodo Ref.]]="Dentro",IF(DATOS_[[Check Equiparado]:[Check Equiparado]]="Sí",IF(DATOS!AI$5="Sí",(1/DATOS_[[% anualiz]:[% anualiz]]),1)*IF(DATOS!AI$4="Sí",1/DATOS_[[% normaliz]:[% normaliz]],1)*(DATOS_[Conc.Sal.05])))))))),
0)</f>
        <v>0</v>
      </c>
      <c r="O52" s="196">
        <f t="array" ref="O52">IFERROR(
(MEDIAN((IF(DATOS_[[Sexo]:[Sexo]]=$B52,IF(DATOS_[[AGRUP. VALOR. PTO.]:[AGRUP. VALOR. PTO.]]=$B51,IF(DATOS_[[Check Periodo Ref.]:[Check Periodo Ref.]]="Dentro",IF(DATOS_[[Check Equiparado]:[Check Equiparado]]="Sí",IF(DATOS!AJ$5="Sí",(1/DATOS_[[% anualiz]:[% anualiz]]),1)*IF(DATOS!AJ$4="Sí",1/DATOS_[[% normaliz]:[% normaliz]],1)*(DATOS_[Conc.Sal.06])))))))),
0)</f>
        <v>0</v>
      </c>
      <c r="P52" s="196">
        <f t="array" ref="P52">IFERROR(
(MEDIAN((IF(DATOS_[[Sexo]:[Sexo]]=$B52,IF(DATOS_[[AGRUP. VALOR. PTO.]:[AGRUP. VALOR. PTO.]]=$B51,IF(DATOS_[[Check Periodo Ref.]:[Check Periodo Ref.]]="Dentro",IF(DATOS_[[Check Equiparado]:[Check Equiparado]]="Sí",IF(DATOS!AK$5="Sí",(1/DATOS_[[% anualiz]:[% anualiz]]),1)*IF(DATOS!AK$4="Sí",1/DATOS_[[% normaliz]:[% normaliz]],1)*(DATOS_[Conc.Sal.07])))))))),
0)</f>
        <v>0</v>
      </c>
      <c r="Q52" s="196">
        <f t="array" ref="Q52">IFERROR(
(MEDIAN((IF(DATOS_[[Sexo]:[Sexo]]=$B52,IF(DATOS_[[AGRUP. VALOR. PTO.]:[AGRUP. VALOR. PTO.]]=$B51,IF(DATOS_[[Check Periodo Ref.]:[Check Periodo Ref.]]="Dentro",IF(DATOS_[[Check Equiparado]:[Check Equiparado]]="Sí",IF(DATOS!AL$5="Sí",(1/DATOS_[[% anualiz]:[% anualiz]]),1)*IF(DATOS!AL$4="Sí",1/DATOS_[[% normaliz]:[% normaliz]],1)*(DATOS_[Conc.Sal.08])))))))),
0)</f>
        <v>0</v>
      </c>
      <c r="R52" s="196">
        <f t="array" ref="R52">IFERROR(
(MEDIAN((IF(DATOS_[[Sexo]:[Sexo]]=$B52,IF(DATOS_[[AGRUP. VALOR. PTO.]:[AGRUP. VALOR. PTO.]]=$B51,IF(DATOS_[[Check Periodo Ref.]:[Check Periodo Ref.]]="Dentro",IF(DATOS_[[Check Equiparado]:[Check Equiparado]]="Sí",IF(DATOS!AM$5="Sí",(1/DATOS_[[% anualiz]:[% anualiz]]),1)*IF(DATOS!AM$4="Sí",1/DATOS_[[% normaliz]:[% normaliz]],1)*(DATOS_[Conc.Sal.09])))))))),
0)</f>
        <v>0</v>
      </c>
      <c r="S52" s="196">
        <f t="array" ref="S52">IFERROR(
(MEDIAN((IF(DATOS_[[Sexo]:[Sexo]]=$B52,IF(DATOS_[[AGRUP. VALOR. PTO.]:[AGRUP. VALOR. PTO.]]=$B51,IF(DATOS_[[Check Periodo Ref.]:[Check Periodo Ref.]]="Dentro",IF(DATOS_[[Check Equiparado]:[Check Equiparado]]="Sí",IF(DATOS!AN$5="Sí",(1/DATOS_[[% anualiz]:[% anualiz]]),1)*IF(DATOS!AN$4="Sí",1/DATOS_[[% normaliz]:[% normaliz]],1)*(DATOS_[Conc.Sal.10])))))))),
0)</f>
        <v>0</v>
      </c>
      <c r="T52" s="196">
        <f t="array" ref="T52">IFERROR(
(MEDIAN((IF(DATOS_[[Sexo]:[Sexo]]=$B52,IF(DATOS_[[AGRUP. VALOR. PTO.]:[AGRUP. VALOR. PTO.]]=$B51,IF(DATOS_[[Check Periodo Ref.]:[Check Periodo Ref.]]="Dentro",IF(DATOS_[[Check Equiparado]:[Check Equiparado]]="Sí",IF(DATOS!AO$5="Sí",(1/DATOS_[[% anualiz]:[% anualiz]]),1)*IF(DATOS!AO$4="Sí",1/DATOS_[[% normaliz]:[% normaliz]],1)*(DATOS_[Conc.Sal.11])))))))),
0)</f>
        <v>0</v>
      </c>
      <c r="U52" s="196">
        <f t="array" ref="U52">IFERROR(
(MEDIAN((IF(DATOS_[[Sexo]:[Sexo]]=$B52,IF(DATOS_[[AGRUP. VALOR. PTO.]:[AGRUP. VALOR. PTO.]]=$B51,IF(DATOS_[[Check Periodo Ref.]:[Check Periodo Ref.]]="Dentro",IF(DATOS_[[Check Equiparado]:[Check Equiparado]]="Sí",IF(DATOS!AP$5="Sí",(1/DATOS_[[% anualiz]:[% anualiz]]),1)*IF(DATOS!AP$4="Sí",1/DATOS_[[% normaliz]:[% normaliz]],1)*(DATOS_[Conc.Sal.12])))))))),
0)</f>
        <v>0</v>
      </c>
      <c r="V52" s="196">
        <f t="array" ref="V52">IFERROR(
(MEDIAN((IF(DATOS_[[Sexo]:[Sexo]]=$B52,IF(DATOS_[[AGRUP. VALOR. PTO.]:[AGRUP. VALOR. PTO.]]=$B51,IF(DATOS_[[Check Periodo Ref.]:[Check Periodo Ref.]]="Dentro",IF(DATOS_[[Check Equiparado]:[Check Equiparado]]="Sí",IF(DATOS!AQ$5="Sí",(1/DATOS_[[% anualiz]:[% anualiz]]),1)*IF(DATOS!AQ$4="Sí",1/DATOS_[[% normaliz]:[% normaliz]],1)*(DATOS_[Conc.Sal.13])))))))),
0)</f>
        <v>0</v>
      </c>
      <c r="W52" s="196">
        <f t="array" ref="W52">IFERROR(
(MEDIAN((IF(DATOS_[[Sexo]:[Sexo]]=$B52,IF(DATOS_[[AGRUP. VALOR. PTO.]:[AGRUP. VALOR. PTO.]]=$B51,IF(DATOS_[[Check Periodo Ref.]:[Check Periodo Ref.]]="Dentro",IF(DATOS_[[Check Equiparado]:[Check Equiparado]]="Sí",IF(DATOS!AR$5="Sí",(1/DATOS_[[% anualiz]:[% anualiz]]),1)*IF(DATOS!AR$4="Sí",1/DATOS_[[% normaliz]:[% normaliz]],1)*(DATOS_[Conc.Sal.14])))))))),
0)</f>
        <v>0</v>
      </c>
      <c r="X52" s="196">
        <f t="array" ref="X52">IFERROR(
(MEDIAN((IF(DATOS_[[Sexo]:[Sexo]]=$B52,IF(DATOS_[[AGRUP. VALOR. PTO.]:[AGRUP. VALOR. PTO.]]=$B51,IF(DATOS_[[Check Periodo Ref.]:[Check Periodo Ref.]]="Dentro",IF(DATOS_[[Check Equiparado]:[Check Equiparado]]="Sí",IF(DATOS!AS$5="Sí",(1/DATOS_[[% anualiz]:[% anualiz]]),1)*IF(DATOS!AS$4="Sí",1/DATOS_[[% normaliz]:[% normaliz]],1)*(DATOS_[Conc.Sal.15])))))))),
0)</f>
        <v>0</v>
      </c>
      <c r="Y52" s="196">
        <f t="array" ref="Y52">IFERROR(
(MEDIAN((IF(DATOS_[[Sexo]:[Sexo]]=$B52,IF(DATOS_[[AGRUP. VALOR. PTO.]:[AGRUP. VALOR. PTO.]]=$B51,IF(DATOS_[[Check Periodo Ref.]:[Check Periodo Ref.]]="Dentro",IF(DATOS_[[Check Equiparado]:[Check Equiparado]]="Sí",IF(DATOS!AT$5="Sí",(1/DATOS_[[% anualiz]:[% anualiz]]),1)*IF(DATOS!AT$4="Sí",1/DATOS_[[% normaliz]:[% normaliz]],1)*(DATOS_[Conc.Sal.16])))))))),
0)</f>
        <v>0</v>
      </c>
      <c r="Z52" s="196">
        <f t="array" ref="Z52">IFERROR(
(MEDIAN((IF(DATOS_[[Sexo]:[Sexo]]=$B52,IF(DATOS_[[AGRUP. VALOR. PTO.]:[AGRUP. VALOR. PTO.]]=$B51,IF(DATOS_[[Check Periodo Ref.]:[Check Periodo Ref.]]="Dentro",IF(DATOS_[[Check Equiparado]:[Check Equiparado]]="Sí",IF(DATOS!AU$5="Sí",(1/DATOS_[[% anualiz]:[% anualiz]]),1)*IF(DATOS!AU$4="Sí",1/DATOS_[[% normaliz]:[% normaliz]],1)*(DATOS_[Conc.Sal.17])))))))),
0)</f>
        <v>0</v>
      </c>
      <c r="AA52" s="196">
        <f t="array" ref="AA52">IFERROR(
(MEDIAN((IF(DATOS_[[Sexo]:[Sexo]]=$B52,IF(DATOS_[[AGRUP. VALOR. PTO.]:[AGRUP. VALOR. PTO.]]=$B51,IF(DATOS_[[Check Periodo Ref.]:[Check Periodo Ref.]]="Dentro",IF(DATOS_[[Check Equiparado]:[Check Equiparado]]="Sí",IF(DATOS!AV$5="Sí",(1/DATOS_[[% anualiz]:[% anualiz]]),1)*IF(DATOS!AV$4="Sí",1/DATOS_[[% normaliz]:[% normaliz]],1)*(DATOS_[Conc.Sal.18])))))))),
0)</f>
        <v>0</v>
      </c>
      <c r="AB52" s="196">
        <f t="array" ref="AB52">IFERROR(
(MEDIAN((IF(DATOS_[[Sexo]:[Sexo]]=$B52,IF(DATOS_[[AGRUP. VALOR. PTO.]:[AGRUP. VALOR. PTO.]]=$B51,IF(DATOS_[[Check Periodo Ref.]:[Check Periodo Ref.]]="Dentro",IF(DATOS_[[Check Equiparado]:[Check Equiparado]]="Sí",IF(DATOS!AW$5="Sí",(1/DATOS_[[% anualiz]:[% anualiz]]),1)*IF(DATOS!AW$4="Sí",1/DATOS_[[% normaliz]:[% normaliz]],1)*(DATOS_[Conc.Sal.19])))))))),
0)</f>
        <v>0</v>
      </c>
      <c r="AC52" s="196">
        <f t="array" ref="AC52">IFERROR(
(MEDIAN((IF(DATOS_[[Sexo]:[Sexo]]=$B52,IF(DATOS_[[AGRUP. VALOR. PTO.]:[AGRUP. VALOR. PTO.]]=$B51,IF(DATOS_[[Check Periodo Ref.]:[Check Periodo Ref.]]="Dentro",IF(DATOS_[[Check Equiparado]:[Check Equiparado]]="Sí",IF(DATOS!AX$5="Sí",(1/DATOS_[[% anualiz]:[% anualiz]]),1)*IF(DATOS!AX$4="Sí",1/DATOS_[[% normaliz]:[% normaliz]],1)*(DATOS_[Conc.Sal.20])))))))),
0)</f>
        <v>0</v>
      </c>
      <c r="AD52" s="196">
        <f t="array" ref="AD52">IFERROR(
(MEDIAN((IF(DATOS_[[Sexo]:[Sexo]]=$B52,IF(DATOS_[[AGRUP. VALOR. PTO.]:[AGRUP. VALOR. PTO.]]=$B51,IF(DATOS_[[Check Periodo Ref.]:[Check Periodo Ref.]]="Dentro",IF(DATOS_[[Check Equiparado]:[Check Equiparado]]="Sí",IF(DATOS!AY$5="Sí",(1/DATOS_[[% anualiz]:[% anualiz]]),1)*IF(DATOS!AY$4="Sí",1/DATOS_[[% normaliz]:[% normaliz]],1)*(DATOS_[Conc.Sal.21])))))))),
0)</f>
        <v>0</v>
      </c>
      <c r="AE52" s="196">
        <f t="array" ref="AE52">IFERROR(
(MEDIAN((IF(DATOS_[[Sexo]:[Sexo]]=$B52,IF(DATOS_[[AGRUP. VALOR. PTO.]:[AGRUP. VALOR. PTO.]]=$B51,IF(DATOS_[[Check Periodo Ref.]:[Check Periodo Ref.]]="Dentro",IF(DATOS_[[Check Equiparado]:[Check Equiparado]]="Sí",IF(DATOS!AZ$5="Sí",(1/DATOS_[[% anualiz]:[% anualiz]]),1)*IF(DATOS!AZ$4="Sí",1/DATOS_[[% normaliz]:[% normaliz]],1)*(DATOS_[Conc.Sal.22])))))))),
0)</f>
        <v>0</v>
      </c>
      <c r="AF52" s="196">
        <f t="array" ref="AF52">IFERROR(
(MEDIAN((IF(DATOS_[[Sexo]:[Sexo]]=$B52,IF(DATOS_[[AGRUP. VALOR. PTO.]:[AGRUP. VALOR. PTO.]]=$B51,IF(DATOS_[[Check Periodo Ref.]:[Check Periodo Ref.]]="Dentro",IF(DATOS_[[Check Equiparado]:[Check Equiparado]]="Sí",IF(DATOS!BA$5="Sí",(1/DATOS_[[% anualiz]:[% anualiz]]),1)*IF(DATOS!BA$4="Sí",1/DATOS_[[% normaliz]:[% normaliz]],1)*(DATOS_[Conc.Sal.23])))))))),
0)</f>
        <v>0</v>
      </c>
      <c r="AG52" s="196">
        <f t="array" ref="AG52">IFERROR(
(MEDIAN((IF(DATOS_[[Sexo]:[Sexo]]=$B52,IF(DATOS_[[AGRUP. VALOR. PTO.]:[AGRUP. VALOR. PTO.]]=$B51,IF(DATOS_[[Check Periodo Ref.]:[Check Periodo Ref.]]="Dentro",IF(DATOS_[[Check Equiparado]:[Check Equiparado]]="Sí",IF(DATOS!BB$5="Sí",(1/DATOS_[[% anualiz]:[% anualiz]]),1)*IF(DATOS!BB$4="Sí",1/DATOS_[[% normaliz]:[% normaliz]],1)*(DATOS_[Conc.Sal.24])))))))),
0)</f>
        <v>0</v>
      </c>
      <c r="AH52" s="196">
        <f t="array" ref="AH52">IFERROR(
(MEDIAN((IF(DATOS_[[Sexo]:[Sexo]]=$B52,IF(DATOS_[[AGRUP. VALOR. PTO.]:[AGRUP. VALOR. PTO.]]=$B51,IF(DATOS_[[Check Periodo Ref.]:[Check Periodo Ref.]]="Dentro",IF(DATOS_[[Check Equiparado]:[Check Equiparado]]="Sí",IF(DATOS!BC$5="Sí",(1/DATOS_[[% anualiz]:[% anualiz]]),1)*IF(DATOS!BC$4="Sí",1/DATOS_[[% normaliz]:[% normaliz]],1)*(DATOS_[Conc.Sal.25])))))))),
0)</f>
        <v>0</v>
      </c>
      <c r="AI52" s="196">
        <f t="array" ref="AI52">IFERROR(
(MEDIAN((IF(DATOS_[[Sexo]:[Sexo]]=$B52,IF(DATOS_[[AGRUP. VALOR. PTO.]:[AGRUP. VALOR. PTO.]]=$B51,IF(DATOS_[[Check Periodo Ref.]:[Check Periodo Ref.]]="Dentro",IF(DATOS_[[Check Equiparado]:[Check Equiparado]]="Sí",IF(DATOS!BD$5="Sí",(1/DATOS_[[% anualiz]:[% anualiz]]),1)*IF(DATOS!BD$4="Sí",1/DATOS_[[% normaliz]:[% normaliz]],1)*(DATOS_[Conc.Sal.26])))))))),
0)</f>
        <v>0</v>
      </c>
      <c r="AJ52" s="196">
        <f t="array" ref="AJ52">IFERROR(
(MEDIAN((IF(DATOS_[[Sexo]:[Sexo]]=$B52,IF(DATOS_[[AGRUP. VALOR. PTO.]:[AGRUP. VALOR. PTO.]]=$B51,IF(DATOS_[[Check Periodo Ref.]:[Check Periodo Ref.]]="Dentro",IF(DATOS_[[Check Equiparado]:[Check Equiparado]]="Sí",IF(DATOS!BE$5="Sí",(1/DATOS_[[% anualiz]:[% anualiz]]),1)*IF(DATOS!BE$4="Sí",1/DATOS_[[% normaliz]:[% normaliz]],1)*(DATOS_[Conc.Sal.27])))))))),
0)</f>
        <v>0</v>
      </c>
      <c r="AK52" s="196">
        <f t="array" ref="AK52">IFERROR(
(MEDIAN((IF(DATOS_[[Sexo]:[Sexo]]=$B52,IF(DATOS_[[AGRUP. VALOR. PTO.]:[AGRUP. VALOR. PTO.]]=$B51,IF(DATOS_[[Check Periodo Ref.]:[Check Periodo Ref.]]="Dentro",IF(DATOS_[[Check Equiparado]:[Check Equiparado]]="Sí",IF(DATOS!BF$5="Sí",(1/DATOS_[[% anualiz]:[% anualiz]]),1)*IF(DATOS!BF$4="Sí",1/DATOS_[[% normaliz]:[% normaliz]],1)*(DATOS_[Conc.Sal.28])))))))),
0)</f>
        <v>0</v>
      </c>
      <c r="AL52" s="196">
        <f t="array" ref="AL52">IFERROR(
(MEDIAN((IF(DATOS_[[Sexo]:[Sexo]]=$B52,IF(DATOS_[[AGRUP. VALOR. PTO.]:[AGRUP. VALOR. PTO.]]=$B51,IF(DATOS_[[Check Periodo Ref.]:[Check Periodo Ref.]]="Dentro",IF(DATOS_[[Check Equiparado]:[Check Equiparado]]="Sí",IF(DATOS!BG$5="Sí",(1/DATOS_[[% anualiz]:[% anualiz]]),1)*IF(DATOS!BG$4="Sí",1/DATOS_[[% normaliz]:[% normaliz]],1)*(DATOS_[Conc.Sal.29])))))))),
0)</f>
        <v>0</v>
      </c>
      <c r="AM52" s="196">
        <f t="array" ref="AM52">IFERROR(
(MEDIAN((IF(DATOS_[[Sexo]:[Sexo]]=$B52,IF(DATOS_[[AGRUP. VALOR. PTO.]:[AGRUP. VALOR. PTO.]]=$B51,IF(DATOS_[[Check Periodo Ref.]:[Check Periodo Ref.]]="Dentro",IF(DATOS_[[Check Equiparado]:[Check Equiparado]]="Sí",IF(DATOS!BH$5="Sí",(1/DATOS_[[% anualiz]:[% anualiz]]),1)*IF(DATOS!BH$4="Sí",1/DATOS_[[% normaliz]:[% normaliz]],1)*(DATOS_[Conc.Sal.30])))))))),
0)</f>
        <v>0</v>
      </c>
      <c r="AN52" s="195">
        <f t="array" ref="AN52">IFERROR(
MEDIAN(IF(DATOS_[Sexo]=$B52,IF(DATOS_[[AGRUP. VALOR. PTO.]:[AGRUP. VALOR. PTO.]]=$B51,IF(DATOS_[Check Equiparado]="Sí",IF(DATOS_[Check Periodo Ref.]="Dentro",DATOS_[Tot COMPL.SAL Eq],FALSE))))),
0)</f>
        <v>0</v>
      </c>
      <c r="AO52" s="172">
        <f t="array" ref="AO52">IFERROR(
MEDIAN(IF(DATOS_[Sexo]=$B52,IF(DATOS_[[AGRUP. VALOR. PTO.]:[AGRUP. VALOR. PTO.]]=$B51,IF(DATOS_[Check Equiparado]="Sí",IF(DATOS_[Check Periodo Ref.]="Dentro",DATOS_[TOTAL SALARIO Eq],FALSE))))),
0)</f>
        <v>0</v>
      </c>
      <c r="AP52" s="173">
        <f t="array" ref="AP52">IFERROR(
(MEDIAN((IF(DATOS_[[Sexo]:[Sexo]]=$B52,IF(DATOS_[[AGRUP. VALOR. PTO.]:[AGRUP. VALOR. PTO.]]=$B51,IF(DATOS_[[Check Periodo Ref.]:[Check Periodo Ref.]]="Dentro",IF(DATOS_[[Check Equiparado]:[Check Equiparado]]="Sí",IF(DATOS!BW$5="Sí",(1/DATOS_[[% anualiz]:[% anualiz]]),1)*IF(DATOS!BW$4="Sí",1/DATOS_[[% normaliz]:[% normaliz]],1)*(DATOS_[C.Extra.01])))))))),
0)</f>
        <v>0</v>
      </c>
      <c r="AQ52" s="173">
        <f t="array" ref="AQ52">IFERROR(
(MEDIAN((IF(DATOS_[[Sexo]:[Sexo]]=$B52,IF(DATOS_[[AGRUP. VALOR. PTO.]:[AGRUP. VALOR. PTO.]]=$B51,IF(DATOS_[[Check Periodo Ref.]:[Check Periodo Ref.]]="Dentro",IF(DATOS_[[Check Equiparado]:[Check Equiparado]]="Sí",IF(DATOS!CB$5="Sí",(1/DATOS_[[% anualiz]:[% anualiz]]),1)*IF(DATOS!CB$4="Sí",1/DATOS_[[% normaliz]:[% normaliz]],1)*(DATOS_[C.Extra.06])))))))),
0)</f>
        <v>0</v>
      </c>
      <c r="AR52" s="173">
        <f t="array" ref="AR52">IFERROR(
(MEDIAN((IF(DATOS_[[Sexo]:[Sexo]]=$B52,IF(DATOS_[[AGRUP. VALOR. PTO.]:[AGRUP. VALOR. PTO.]]=$B51,IF(DATOS_[[Check Periodo Ref.]:[Check Periodo Ref.]]="Dentro",IF(DATOS_[[Check Equiparado]:[Check Equiparado]]="Sí",IF(DATOS!CC$5="Sí",(1/DATOS_[[% anualiz]:[% anualiz]]),1)*IF(DATOS!CC$4="Sí",1/DATOS_[[% normaliz]:[% normaliz]],1)*(DATOS_[C.Extra.07])))))))),
0)</f>
        <v>0</v>
      </c>
      <c r="AS52" s="173">
        <f t="array" ref="AS52">IFERROR(
(MEDIAN((IF(DATOS_[[Sexo]:[Sexo]]=$B52,IF(DATOS_[[AGRUP. VALOR. PTO.]:[AGRUP. VALOR. PTO.]]=$B51,IF(DATOS_[[Check Periodo Ref.]:[Check Periodo Ref.]]="Dentro",IF(DATOS_[[Check Equiparado]:[Check Equiparado]]="Sí",IF(DATOS!CD$5="Sí",(1/DATOS_[[% anualiz]:[% anualiz]]),1)*IF(DATOS!CD$4="Sí",1/DATOS_[[% normaliz]:[% normaliz]],1)*(DATOS_[C.Extra.08])))))))),
0)</f>
        <v>0</v>
      </c>
      <c r="AT52" s="173">
        <f t="array" ref="AT52">IFERROR(
(MEDIAN((IF(DATOS_[[Sexo]:[Sexo]]=$B52,IF(DATOS_[[AGRUP. VALOR. PTO.]:[AGRUP. VALOR. PTO.]]=$B51,IF(DATOS_[[Check Periodo Ref.]:[Check Periodo Ref.]]="Dentro",IF(DATOS_[[Check Equiparado]:[Check Equiparado]]="Sí",IF(DATOS!CG$5="Sí",(1/DATOS_[[% anualiz]:[% anualiz]]),1)*IF(DATOS!CG$4="Sí",1/DATOS_[[% normaliz]:[% normaliz]],1)*(DATOS_[C.Extra.11])))))))),
0)</f>
        <v>0</v>
      </c>
      <c r="AU52" s="197">
        <f t="array" ref="AU52">IFERROR(
MEDIAN(IF(DATOS_[Sexo]=$B52,IF(DATOS_[[AGRUP. VALOR. PTO.]:[AGRUP. VALOR. PTO.]]=$B51,IF(DATOS_[Check Equiparado]="Sí",IF(DATOS_[Check Periodo Ref.]="Dentro",DATOS_[Tot Extrasalarial Eq],FALSE))))),
0)</f>
        <v>0</v>
      </c>
      <c r="AV52" s="175">
        <f t="array" ref="AV52">IFERROR(
MEDIAN(IF(DATOS_[Sexo]=$B52,IF(DATOS_[[AGRUP. VALOR. PTO.]:[AGRUP. VALOR. PTO.]]=$B51,IF(DATOS_[Check Equiparado]="Sí",IF(DATOS_[Check Periodo Ref.]="Dentro",DATOS_[TOTAL Retrib Eq],FALSE))))),
0)</f>
        <v>0</v>
      </c>
    </row>
    <row r="53" spans="1:48" x14ac:dyDescent="0.25">
      <c r="A53" s="133" t="str">
        <f t="shared" ref="A53" si="54">+A52</f>
        <v>[ocultar]</v>
      </c>
      <c r="B53" s="202" t="s">
        <v>521</v>
      </c>
      <c r="C53" s="203">
        <f t="array" ref="C53">SUM(IF($B53=DATOS_[Sexo],
IF($B51=DATOS_[AGRUP. VALOR. PTO.],
IF("Dentro"=DATOS_[Check Periodo Ref.],
1/(COUNTIFS(DATOS_[Sexo],$B53,DATOS_[AGRUP. VALOR. PTO.],$B51,DATOS_[Check Periodo Ref.],"Dentro",DATOS_[id/cod],DATOS_[id/cod]))))))</f>
        <v>0</v>
      </c>
      <c r="D53" s="204">
        <f>COUNTIFS(DATOS_[AGRUP. VALOR. PTO.],$B51,DATOS_[Sexo],$B53,DATOS_[Check Periodo Ref.],"Dentro")</f>
        <v>0</v>
      </c>
      <c r="E53" s="204">
        <f>COUNTIFS(DATOS_[AGRUP. VALOR. PTO.],$B51,DATOS_[Sexo],$B53,DATOS_[Check Periodo Ref.],"Dentro",DATOS_[Check Nº SC Norm],"Sí")</f>
        <v>0</v>
      </c>
      <c r="F53" s="204">
        <f>COUNTIFS(DATOS_[AGRUP. VALOR. PTO.],$B51,DATOS_[Sexo],$B53,DATOS_[Check Periodo Ref.],"Dentro",DATOS_[Check Nº SC Anualiz],"Sí")</f>
        <v>0</v>
      </c>
      <c r="G53" s="204">
        <f>COUNTIFS(DATOS_[AGRUP. VALOR. PTO.],$B51,DATOS_[Sexo],$B53,DATOS_[Check Periodo Ref.],"Dentro",DATOS_[Check Nº SC Norm y Anualiz],"Sí")</f>
        <v>0</v>
      </c>
      <c r="H53" s="204">
        <f>COUNTIFS(DATOS_[AGRUP. VALOR. PTO.],$B51,DATOS_[Sexo],$B53,DATOS_[Check Periodo Ref.],"Dentro",DATOS_[Check Equiparación],"Sí")</f>
        <v>0</v>
      </c>
      <c r="I53" s="195" cm="1">
        <f t="array" ref="I53">IFERROR(
MEDIAN(IF(DATOS_[Sexo]=$B53,IF(DATOS_[[AGRUP. VALOR. PTO.]:[AGRUP. VALOR. PTO.]]=$B51,IF(DATOS_[Check Equiparado]="Sí",IF(DATOS_[Check Periodo Ref.]="Dentro",DATOS_[SALARIO BASE Eq],FALSE))))),
0)</f>
        <v>0</v>
      </c>
      <c r="J53" s="196">
        <f t="array" ref="J53">IFERROR(
(MEDIAN((IF(DATOS_[[Sexo]:[Sexo]]=$B53,IF(DATOS_[[AGRUP. VALOR. PTO.]:[AGRUP. VALOR. PTO.]]=$B51,IF(DATOS_[[Check Periodo Ref.]:[Check Periodo Ref.]]="Dentro",IF(DATOS_[[Check Equiparado]:[Check Equiparado]]="Sí",IF(DATOS!AE$5="Sí",(1/DATOS_[[% anualiz]:[% anualiz]]),1)*IF(DATOS!AE$4="Sí",1/DATOS_[[% normaliz]:[% normaliz]],1)*(DATOS_[Conc.Sal.01])))))))),
0)</f>
        <v>0</v>
      </c>
      <c r="K53" s="196">
        <f t="array" ref="K53">IFERROR(
(MEDIAN((IF(DATOS_[[Sexo]:[Sexo]]=$B53,IF(DATOS_[[AGRUP. VALOR. PTO.]:[AGRUP. VALOR. PTO.]]=$B51,IF(DATOS_[[Check Periodo Ref.]:[Check Periodo Ref.]]="Dentro",IF(DATOS_[[Check Equiparado]:[Check Equiparado]]="Sí",IF(DATOS!AF$5="Sí",(1/DATOS_[[% anualiz]:[% anualiz]]),1)*IF(DATOS!AF$4="Sí",1/DATOS_[[% normaliz]:[% normaliz]],1)*(DATOS_[Conc.Sal.02])))))))),
0)</f>
        <v>0</v>
      </c>
      <c r="L53" s="196">
        <f t="array" ref="L53">IFERROR(
(MEDIAN((IF(DATOS_[[Sexo]:[Sexo]]=$B53,IF(DATOS_[[AGRUP. VALOR. PTO.]:[AGRUP. VALOR. PTO.]]=$B51,IF(DATOS_[[Check Periodo Ref.]:[Check Periodo Ref.]]="Dentro",IF(DATOS_[[Check Equiparado]:[Check Equiparado]]="Sí",IF(DATOS!AG$5="Sí",(1/DATOS_[[% anualiz]:[% anualiz]]),1)*IF(DATOS!AG$4="Sí",1/DATOS_[[% normaliz]:[% normaliz]],1)*(DATOS_[Conc.Sal.03])))))))),
0)</f>
        <v>0</v>
      </c>
      <c r="M53" s="196">
        <f t="array" ref="M53">IFERROR(
(MEDIAN((IF(DATOS_[[Sexo]:[Sexo]]=$B53,IF(DATOS_[[AGRUP. VALOR. PTO.]:[AGRUP. VALOR. PTO.]]=$B51,IF(DATOS_[[Check Periodo Ref.]:[Check Periodo Ref.]]="Dentro",IF(DATOS_[[Check Equiparado]:[Check Equiparado]]="Sí",IF(DATOS!AH$5="Sí",(1/DATOS_[[% anualiz]:[% anualiz]]),1)*IF(DATOS!AH$4="Sí",1/DATOS_[[% normaliz]:[% normaliz]],1)*(DATOS_[Conc.Sal.04])))))))),
0)</f>
        <v>0</v>
      </c>
      <c r="N53" s="196">
        <f t="array" ref="N53">IFERROR(
(MEDIAN((IF(DATOS_[[Sexo]:[Sexo]]=$B53,IF(DATOS_[[AGRUP. VALOR. PTO.]:[AGRUP. VALOR. PTO.]]=$B51,IF(DATOS_[[Check Periodo Ref.]:[Check Periodo Ref.]]="Dentro",IF(DATOS_[[Check Equiparado]:[Check Equiparado]]="Sí",IF(DATOS!AI$5="Sí",(1/DATOS_[[% anualiz]:[% anualiz]]),1)*IF(DATOS!AI$4="Sí",1/DATOS_[[% normaliz]:[% normaliz]],1)*(DATOS_[Conc.Sal.05])))))))),
0)</f>
        <v>0</v>
      </c>
      <c r="O53" s="196">
        <f t="array" ref="O53">IFERROR(
(MEDIAN((IF(DATOS_[[Sexo]:[Sexo]]=$B53,IF(DATOS_[[AGRUP. VALOR. PTO.]:[AGRUP. VALOR. PTO.]]=$B51,IF(DATOS_[[Check Periodo Ref.]:[Check Periodo Ref.]]="Dentro",IF(DATOS_[[Check Equiparado]:[Check Equiparado]]="Sí",IF(DATOS!AJ$5="Sí",(1/DATOS_[[% anualiz]:[% anualiz]]),1)*IF(DATOS!AJ$4="Sí",1/DATOS_[[% normaliz]:[% normaliz]],1)*(DATOS_[Conc.Sal.06])))))))),
0)</f>
        <v>0</v>
      </c>
      <c r="P53" s="196">
        <f t="array" ref="P53">IFERROR(
(MEDIAN((IF(DATOS_[[Sexo]:[Sexo]]=$B53,IF(DATOS_[[AGRUP. VALOR. PTO.]:[AGRUP. VALOR. PTO.]]=$B51,IF(DATOS_[[Check Periodo Ref.]:[Check Periodo Ref.]]="Dentro",IF(DATOS_[[Check Equiparado]:[Check Equiparado]]="Sí",IF(DATOS!AK$5="Sí",(1/DATOS_[[% anualiz]:[% anualiz]]),1)*IF(DATOS!AK$4="Sí",1/DATOS_[[% normaliz]:[% normaliz]],1)*(DATOS_[Conc.Sal.07])))))))),
0)</f>
        <v>0</v>
      </c>
      <c r="Q53" s="196">
        <f t="array" ref="Q53">IFERROR(
(MEDIAN((IF(DATOS_[[Sexo]:[Sexo]]=$B53,IF(DATOS_[[AGRUP. VALOR. PTO.]:[AGRUP. VALOR. PTO.]]=$B51,IF(DATOS_[[Check Periodo Ref.]:[Check Periodo Ref.]]="Dentro",IF(DATOS_[[Check Equiparado]:[Check Equiparado]]="Sí",IF(DATOS!AL$5="Sí",(1/DATOS_[[% anualiz]:[% anualiz]]),1)*IF(DATOS!AL$4="Sí",1/DATOS_[[% normaliz]:[% normaliz]],1)*(DATOS_[Conc.Sal.08])))))))),
0)</f>
        <v>0</v>
      </c>
      <c r="R53" s="196">
        <f t="array" ref="R53">IFERROR(
(MEDIAN((IF(DATOS_[[Sexo]:[Sexo]]=$B53,IF(DATOS_[[AGRUP. VALOR. PTO.]:[AGRUP. VALOR. PTO.]]=$B51,IF(DATOS_[[Check Periodo Ref.]:[Check Periodo Ref.]]="Dentro",IF(DATOS_[[Check Equiparado]:[Check Equiparado]]="Sí",IF(DATOS!AM$5="Sí",(1/DATOS_[[% anualiz]:[% anualiz]]),1)*IF(DATOS!AM$4="Sí",1/DATOS_[[% normaliz]:[% normaliz]],1)*(DATOS_[Conc.Sal.09])))))))),
0)</f>
        <v>0</v>
      </c>
      <c r="S53" s="196">
        <f t="array" ref="S53">IFERROR(
(MEDIAN((IF(DATOS_[[Sexo]:[Sexo]]=$B53,IF(DATOS_[[AGRUP. VALOR. PTO.]:[AGRUP. VALOR. PTO.]]=$B51,IF(DATOS_[[Check Periodo Ref.]:[Check Periodo Ref.]]="Dentro",IF(DATOS_[[Check Equiparado]:[Check Equiparado]]="Sí",IF(DATOS!AN$5="Sí",(1/DATOS_[[% anualiz]:[% anualiz]]),1)*IF(DATOS!AN$4="Sí",1/DATOS_[[% normaliz]:[% normaliz]],1)*(DATOS_[Conc.Sal.10])))))))),
0)</f>
        <v>0</v>
      </c>
      <c r="T53" s="196">
        <f t="array" ref="T53">IFERROR(
(MEDIAN((IF(DATOS_[[Sexo]:[Sexo]]=$B53,IF(DATOS_[[AGRUP. VALOR. PTO.]:[AGRUP. VALOR. PTO.]]=$B51,IF(DATOS_[[Check Periodo Ref.]:[Check Periodo Ref.]]="Dentro",IF(DATOS_[[Check Equiparado]:[Check Equiparado]]="Sí",IF(DATOS!AO$5="Sí",(1/DATOS_[[% anualiz]:[% anualiz]]),1)*IF(DATOS!AO$4="Sí",1/DATOS_[[% normaliz]:[% normaliz]],1)*(DATOS_[Conc.Sal.11])))))))),
0)</f>
        <v>0</v>
      </c>
      <c r="U53" s="196">
        <f t="array" ref="U53">IFERROR(
(MEDIAN((IF(DATOS_[[Sexo]:[Sexo]]=$B53,IF(DATOS_[[AGRUP. VALOR. PTO.]:[AGRUP. VALOR. PTO.]]=$B51,IF(DATOS_[[Check Periodo Ref.]:[Check Periodo Ref.]]="Dentro",IF(DATOS_[[Check Equiparado]:[Check Equiparado]]="Sí",IF(DATOS!AP$5="Sí",(1/DATOS_[[% anualiz]:[% anualiz]]),1)*IF(DATOS!AP$4="Sí",1/DATOS_[[% normaliz]:[% normaliz]],1)*(DATOS_[Conc.Sal.12])))))))),
0)</f>
        <v>0</v>
      </c>
      <c r="V53" s="196">
        <f t="array" ref="V53">IFERROR(
(MEDIAN((IF(DATOS_[[Sexo]:[Sexo]]=$B53,IF(DATOS_[[AGRUP. VALOR. PTO.]:[AGRUP. VALOR. PTO.]]=$B51,IF(DATOS_[[Check Periodo Ref.]:[Check Periodo Ref.]]="Dentro",IF(DATOS_[[Check Equiparado]:[Check Equiparado]]="Sí",IF(DATOS!AQ$5="Sí",(1/DATOS_[[% anualiz]:[% anualiz]]),1)*IF(DATOS!AQ$4="Sí",1/DATOS_[[% normaliz]:[% normaliz]],1)*(DATOS_[Conc.Sal.13])))))))),
0)</f>
        <v>0</v>
      </c>
      <c r="W53" s="196">
        <f t="array" ref="W53">IFERROR(
(MEDIAN((IF(DATOS_[[Sexo]:[Sexo]]=$B53,IF(DATOS_[[AGRUP. VALOR. PTO.]:[AGRUP. VALOR. PTO.]]=$B51,IF(DATOS_[[Check Periodo Ref.]:[Check Periodo Ref.]]="Dentro",IF(DATOS_[[Check Equiparado]:[Check Equiparado]]="Sí",IF(DATOS!AR$5="Sí",(1/DATOS_[[% anualiz]:[% anualiz]]),1)*IF(DATOS!AR$4="Sí",1/DATOS_[[% normaliz]:[% normaliz]],1)*(DATOS_[Conc.Sal.14])))))))),
0)</f>
        <v>0</v>
      </c>
      <c r="X53" s="196">
        <f t="array" ref="X53">IFERROR(
(MEDIAN((IF(DATOS_[[Sexo]:[Sexo]]=$B53,IF(DATOS_[[AGRUP. VALOR. PTO.]:[AGRUP. VALOR. PTO.]]=$B51,IF(DATOS_[[Check Periodo Ref.]:[Check Periodo Ref.]]="Dentro",IF(DATOS_[[Check Equiparado]:[Check Equiparado]]="Sí",IF(DATOS!AS$5="Sí",(1/DATOS_[[% anualiz]:[% anualiz]]),1)*IF(DATOS!AS$4="Sí",1/DATOS_[[% normaliz]:[% normaliz]],1)*(DATOS_[Conc.Sal.15])))))))),
0)</f>
        <v>0</v>
      </c>
      <c r="Y53" s="196">
        <f t="array" ref="Y53">IFERROR(
(MEDIAN((IF(DATOS_[[Sexo]:[Sexo]]=$B53,IF(DATOS_[[AGRUP. VALOR. PTO.]:[AGRUP. VALOR. PTO.]]=$B51,IF(DATOS_[[Check Periodo Ref.]:[Check Periodo Ref.]]="Dentro",IF(DATOS_[[Check Equiparado]:[Check Equiparado]]="Sí",IF(DATOS!AT$5="Sí",(1/DATOS_[[% anualiz]:[% anualiz]]),1)*IF(DATOS!AT$4="Sí",1/DATOS_[[% normaliz]:[% normaliz]],1)*(DATOS_[Conc.Sal.16])))))))),
0)</f>
        <v>0</v>
      </c>
      <c r="Z53" s="196">
        <f t="array" ref="Z53">IFERROR(
(MEDIAN((IF(DATOS_[[Sexo]:[Sexo]]=$B53,IF(DATOS_[[AGRUP. VALOR. PTO.]:[AGRUP. VALOR. PTO.]]=$B51,IF(DATOS_[[Check Periodo Ref.]:[Check Periodo Ref.]]="Dentro",IF(DATOS_[[Check Equiparado]:[Check Equiparado]]="Sí",IF(DATOS!AU$5="Sí",(1/DATOS_[[% anualiz]:[% anualiz]]),1)*IF(DATOS!AU$4="Sí",1/DATOS_[[% normaliz]:[% normaliz]],1)*(DATOS_[Conc.Sal.17])))))))),
0)</f>
        <v>0</v>
      </c>
      <c r="AA53" s="196">
        <f t="array" ref="AA53">IFERROR(
(MEDIAN((IF(DATOS_[[Sexo]:[Sexo]]=$B53,IF(DATOS_[[AGRUP. VALOR. PTO.]:[AGRUP. VALOR. PTO.]]=$B51,IF(DATOS_[[Check Periodo Ref.]:[Check Periodo Ref.]]="Dentro",IF(DATOS_[[Check Equiparado]:[Check Equiparado]]="Sí",IF(DATOS!AV$5="Sí",(1/DATOS_[[% anualiz]:[% anualiz]]),1)*IF(DATOS!AV$4="Sí",1/DATOS_[[% normaliz]:[% normaliz]],1)*(DATOS_[Conc.Sal.18])))))))),
0)</f>
        <v>0</v>
      </c>
      <c r="AB53" s="196">
        <f t="array" ref="AB53">IFERROR(
(MEDIAN((IF(DATOS_[[Sexo]:[Sexo]]=$B53,IF(DATOS_[[AGRUP. VALOR. PTO.]:[AGRUP. VALOR. PTO.]]=$B51,IF(DATOS_[[Check Periodo Ref.]:[Check Periodo Ref.]]="Dentro",IF(DATOS_[[Check Equiparado]:[Check Equiparado]]="Sí",IF(DATOS!AW$5="Sí",(1/DATOS_[[% anualiz]:[% anualiz]]),1)*IF(DATOS!AW$4="Sí",1/DATOS_[[% normaliz]:[% normaliz]],1)*(DATOS_[Conc.Sal.19])))))))),
0)</f>
        <v>0</v>
      </c>
      <c r="AC53" s="196">
        <f t="array" ref="AC53">IFERROR(
(MEDIAN((IF(DATOS_[[Sexo]:[Sexo]]=$B53,IF(DATOS_[[AGRUP. VALOR. PTO.]:[AGRUP. VALOR. PTO.]]=$B51,IF(DATOS_[[Check Periodo Ref.]:[Check Periodo Ref.]]="Dentro",IF(DATOS_[[Check Equiparado]:[Check Equiparado]]="Sí",IF(DATOS!AX$5="Sí",(1/DATOS_[[% anualiz]:[% anualiz]]),1)*IF(DATOS!AX$4="Sí",1/DATOS_[[% normaliz]:[% normaliz]],1)*(DATOS_[Conc.Sal.20])))))))),
0)</f>
        <v>0</v>
      </c>
      <c r="AD53" s="196">
        <f t="array" ref="AD53">IFERROR(
(MEDIAN((IF(DATOS_[[Sexo]:[Sexo]]=$B53,IF(DATOS_[[AGRUP. VALOR. PTO.]:[AGRUP. VALOR. PTO.]]=$B51,IF(DATOS_[[Check Periodo Ref.]:[Check Periodo Ref.]]="Dentro",IF(DATOS_[[Check Equiparado]:[Check Equiparado]]="Sí",IF(DATOS!AY$5="Sí",(1/DATOS_[[% anualiz]:[% anualiz]]),1)*IF(DATOS!AY$4="Sí",1/DATOS_[[% normaliz]:[% normaliz]],1)*(DATOS_[Conc.Sal.21])))))))),
0)</f>
        <v>0</v>
      </c>
      <c r="AE53" s="196">
        <f t="array" ref="AE53">IFERROR(
(MEDIAN((IF(DATOS_[[Sexo]:[Sexo]]=$B53,IF(DATOS_[[AGRUP. VALOR. PTO.]:[AGRUP. VALOR. PTO.]]=$B51,IF(DATOS_[[Check Periodo Ref.]:[Check Periodo Ref.]]="Dentro",IF(DATOS_[[Check Equiparado]:[Check Equiparado]]="Sí",IF(DATOS!AZ$5="Sí",(1/DATOS_[[% anualiz]:[% anualiz]]),1)*IF(DATOS!AZ$4="Sí",1/DATOS_[[% normaliz]:[% normaliz]],1)*(DATOS_[Conc.Sal.22])))))))),
0)</f>
        <v>0</v>
      </c>
      <c r="AF53" s="196">
        <f t="array" ref="AF53">IFERROR(
(MEDIAN((IF(DATOS_[[Sexo]:[Sexo]]=$B53,IF(DATOS_[[AGRUP. VALOR. PTO.]:[AGRUP. VALOR. PTO.]]=$B51,IF(DATOS_[[Check Periodo Ref.]:[Check Periodo Ref.]]="Dentro",IF(DATOS_[[Check Equiparado]:[Check Equiparado]]="Sí",IF(DATOS!BA$5="Sí",(1/DATOS_[[% anualiz]:[% anualiz]]),1)*IF(DATOS!BA$4="Sí",1/DATOS_[[% normaliz]:[% normaliz]],1)*(DATOS_[Conc.Sal.23])))))))),
0)</f>
        <v>0</v>
      </c>
      <c r="AG53" s="196">
        <f t="array" ref="AG53">IFERROR(
(MEDIAN((IF(DATOS_[[Sexo]:[Sexo]]=$B53,IF(DATOS_[[AGRUP. VALOR. PTO.]:[AGRUP. VALOR. PTO.]]=$B51,IF(DATOS_[[Check Periodo Ref.]:[Check Periodo Ref.]]="Dentro",IF(DATOS_[[Check Equiparado]:[Check Equiparado]]="Sí",IF(DATOS!BB$5="Sí",(1/DATOS_[[% anualiz]:[% anualiz]]),1)*IF(DATOS!BB$4="Sí",1/DATOS_[[% normaliz]:[% normaliz]],1)*(DATOS_[Conc.Sal.24])))))))),
0)</f>
        <v>0</v>
      </c>
      <c r="AH53" s="196">
        <f t="array" ref="AH53">IFERROR(
(MEDIAN((IF(DATOS_[[Sexo]:[Sexo]]=$B53,IF(DATOS_[[AGRUP. VALOR. PTO.]:[AGRUP. VALOR. PTO.]]=$B51,IF(DATOS_[[Check Periodo Ref.]:[Check Periodo Ref.]]="Dentro",IF(DATOS_[[Check Equiparado]:[Check Equiparado]]="Sí",IF(DATOS!BC$5="Sí",(1/DATOS_[[% anualiz]:[% anualiz]]),1)*IF(DATOS!BC$4="Sí",1/DATOS_[[% normaliz]:[% normaliz]],1)*(DATOS_[Conc.Sal.25])))))))),
0)</f>
        <v>0</v>
      </c>
      <c r="AI53" s="196">
        <f t="array" ref="AI53">IFERROR(
(MEDIAN((IF(DATOS_[[Sexo]:[Sexo]]=$B53,IF(DATOS_[[AGRUP. VALOR. PTO.]:[AGRUP. VALOR. PTO.]]=$B51,IF(DATOS_[[Check Periodo Ref.]:[Check Periodo Ref.]]="Dentro",IF(DATOS_[[Check Equiparado]:[Check Equiparado]]="Sí",IF(DATOS!BD$5="Sí",(1/DATOS_[[% anualiz]:[% anualiz]]),1)*IF(DATOS!BD$4="Sí",1/DATOS_[[% normaliz]:[% normaliz]],1)*(DATOS_[Conc.Sal.26])))))))),
0)</f>
        <v>0</v>
      </c>
      <c r="AJ53" s="196">
        <f t="array" ref="AJ53">IFERROR(
(MEDIAN((IF(DATOS_[[Sexo]:[Sexo]]=$B53,IF(DATOS_[[AGRUP. VALOR. PTO.]:[AGRUP. VALOR. PTO.]]=$B51,IF(DATOS_[[Check Periodo Ref.]:[Check Periodo Ref.]]="Dentro",IF(DATOS_[[Check Equiparado]:[Check Equiparado]]="Sí",IF(DATOS!BE$5="Sí",(1/DATOS_[[% anualiz]:[% anualiz]]),1)*IF(DATOS!BE$4="Sí",1/DATOS_[[% normaliz]:[% normaliz]],1)*(DATOS_[Conc.Sal.27])))))))),
0)</f>
        <v>0</v>
      </c>
      <c r="AK53" s="196">
        <f t="array" ref="AK53">IFERROR(
(MEDIAN((IF(DATOS_[[Sexo]:[Sexo]]=$B53,IF(DATOS_[[AGRUP. VALOR. PTO.]:[AGRUP. VALOR. PTO.]]=$B51,IF(DATOS_[[Check Periodo Ref.]:[Check Periodo Ref.]]="Dentro",IF(DATOS_[[Check Equiparado]:[Check Equiparado]]="Sí",IF(DATOS!BF$5="Sí",(1/DATOS_[[% anualiz]:[% anualiz]]),1)*IF(DATOS!BF$4="Sí",1/DATOS_[[% normaliz]:[% normaliz]],1)*(DATOS_[Conc.Sal.28])))))))),
0)</f>
        <v>0</v>
      </c>
      <c r="AL53" s="196">
        <f t="array" ref="AL53">IFERROR(
(MEDIAN((IF(DATOS_[[Sexo]:[Sexo]]=$B53,IF(DATOS_[[AGRUP. VALOR. PTO.]:[AGRUP. VALOR. PTO.]]=$B51,IF(DATOS_[[Check Periodo Ref.]:[Check Periodo Ref.]]="Dentro",IF(DATOS_[[Check Equiparado]:[Check Equiparado]]="Sí",IF(DATOS!BG$5="Sí",(1/DATOS_[[% anualiz]:[% anualiz]]),1)*IF(DATOS!BG$4="Sí",1/DATOS_[[% normaliz]:[% normaliz]],1)*(DATOS_[Conc.Sal.29])))))))),
0)</f>
        <v>0</v>
      </c>
      <c r="AM53" s="196">
        <f t="array" ref="AM53">IFERROR(
(MEDIAN((IF(DATOS_[[Sexo]:[Sexo]]=$B53,IF(DATOS_[[AGRUP. VALOR. PTO.]:[AGRUP. VALOR. PTO.]]=$B51,IF(DATOS_[[Check Periodo Ref.]:[Check Periodo Ref.]]="Dentro",IF(DATOS_[[Check Equiparado]:[Check Equiparado]]="Sí",IF(DATOS!BH$5="Sí",(1/DATOS_[[% anualiz]:[% anualiz]]),1)*IF(DATOS!BH$4="Sí",1/DATOS_[[% normaliz]:[% normaliz]],1)*(DATOS_[Conc.Sal.30])))))))),
0)</f>
        <v>0</v>
      </c>
      <c r="AN53" s="195">
        <f t="array" ref="AN53">IFERROR(
MEDIAN(IF(DATOS_[Sexo]=$B53,IF(DATOS_[[AGRUP. VALOR. PTO.]:[AGRUP. VALOR. PTO.]]=$B51,IF(DATOS_[Check Equiparado]="Sí",IF(DATOS_[Check Periodo Ref.]="Dentro",DATOS_[Tot COMPL.SAL Eq],FALSE))))),
0)</f>
        <v>0</v>
      </c>
      <c r="AO53" s="172">
        <f t="array" ref="AO53">IFERROR(
MEDIAN(IF(DATOS_[Sexo]=$B53,IF(DATOS_[[AGRUP. VALOR. PTO.]:[AGRUP. VALOR. PTO.]]=$B51,IF(DATOS_[Check Equiparado]="Sí",IF(DATOS_[Check Periodo Ref.]="Dentro",DATOS_[TOTAL SALARIO Eq],FALSE))))),
0)</f>
        <v>0</v>
      </c>
      <c r="AP53" s="173">
        <f t="array" ref="AP53">IFERROR(
(MEDIAN((IF(DATOS_[[Sexo]:[Sexo]]=$B53,IF(DATOS_[[AGRUP. VALOR. PTO.]:[AGRUP. VALOR. PTO.]]=$B52,IF(DATOS_[[Check Periodo Ref.]:[Check Periodo Ref.]]="Dentro",IF(DATOS_[[Check Equiparado]:[Check Equiparado]]="Sí",IF(DATOS!BW$5="Sí",(1/DATOS_[[% anualiz]:[% anualiz]]),1)*IF(DATOS!BW$4="Sí",1/DATOS_[[% normaliz]:[% normaliz]],1)*(DATOS_[C.Extra.01])))))))),
0)</f>
        <v>0</v>
      </c>
      <c r="AQ53" s="173">
        <f t="array" ref="AQ53">IFERROR(
(MEDIAN((IF(DATOS_[[Sexo]:[Sexo]]=$B53,IF(DATOS_[[AGRUP. VALOR. PTO.]:[AGRUP. VALOR. PTO.]]=$B52,IF(DATOS_[[Check Periodo Ref.]:[Check Periodo Ref.]]="Dentro",IF(DATOS_[[Check Equiparado]:[Check Equiparado]]="Sí",IF(DATOS!CB$5="Sí",(1/DATOS_[[% anualiz]:[% anualiz]]),1)*IF(DATOS!CB$4="Sí",1/DATOS_[[% normaliz]:[% normaliz]],1)*(DATOS_[C.Extra.06])))))))),
0)</f>
        <v>0</v>
      </c>
      <c r="AR53" s="173">
        <f t="array" ref="AR53">IFERROR(
(MEDIAN((IF(DATOS_[[Sexo]:[Sexo]]=$B53,IF(DATOS_[[AGRUP. VALOR. PTO.]:[AGRUP. VALOR. PTO.]]=$B52,IF(DATOS_[[Check Periodo Ref.]:[Check Periodo Ref.]]="Dentro",IF(DATOS_[[Check Equiparado]:[Check Equiparado]]="Sí",IF(DATOS!CC$5="Sí",(1/DATOS_[[% anualiz]:[% anualiz]]),1)*IF(DATOS!CC$4="Sí",1/DATOS_[[% normaliz]:[% normaliz]],1)*(DATOS_[C.Extra.07])))))))),
0)</f>
        <v>0</v>
      </c>
      <c r="AS53" s="173">
        <f t="array" ref="AS53">IFERROR(
(MEDIAN((IF(DATOS_[[Sexo]:[Sexo]]=$B53,IF(DATOS_[[AGRUP. VALOR. PTO.]:[AGRUP. VALOR. PTO.]]=$B52,IF(DATOS_[[Check Periodo Ref.]:[Check Periodo Ref.]]="Dentro",IF(DATOS_[[Check Equiparado]:[Check Equiparado]]="Sí",IF(DATOS!CD$5="Sí",(1/DATOS_[[% anualiz]:[% anualiz]]),1)*IF(DATOS!CD$4="Sí",1/DATOS_[[% normaliz]:[% normaliz]],1)*(DATOS_[C.Extra.08])))))))),
0)</f>
        <v>0</v>
      </c>
      <c r="AT53" s="173">
        <f t="array" ref="AT53">IFERROR(
(MEDIAN((IF(DATOS_[[Sexo]:[Sexo]]=$B53,IF(DATOS_[[AGRUP. VALOR. PTO.]:[AGRUP. VALOR. PTO.]]=$B52,IF(DATOS_[[Check Periodo Ref.]:[Check Periodo Ref.]]="Dentro",IF(DATOS_[[Check Equiparado]:[Check Equiparado]]="Sí",IF(DATOS!CG$5="Sí",(1/DATOS_[[% anualiz]:[% anualiz]]),1)*IF(DATOS!CG$4="Sí",1/DATOS_[[% normaliz]:[% normaliz]],1)*(DATOS_[C.Extra.11])))))))),
0)</f>
        <v>0</v>
      </c>
      <c r="AU53" s="197">
        <f t="array" ref="AU53">IFERROR(
MEDIAN(IF(DATOS_[Sexo]=$B53,IF(DATOS_[[AGRUP. VALOR. PTO.]:[AGRUP. VALOR. PTO.]]=$B51,IF(DATOS_[Check Equiparado]="Sí",IF(DATOS_[Check Periodo Ref.]="Dentro",DATOS_[Tot Extrasalarial Eq],FALSE))))),
0)</f>
        <v>0</v>
      </c>
      <c r="AV53" s="175">
        <f t="array" ref="AV53">IFERROR(
MEDIAN(IF(DATOS_[Sexo]=$B53,IF(DATOS_[[AGRUP. VALOR. PTO.]:[AGRUP. VALOR. PTO.]]=$B51,IF(DATOS_[Check Equiparado]="Sí",IF(DATOS_[Check Periodo Ref.]="Dentro",DATOS_[TOTAL Retrib Eq],FALSE))))),
0)</f>
        <v>0</v>
      </c>
    </row>
    <row r="54" spans="1:48" ht="15.6" thickBot="1" x14ac:dyDescent="0.3">
      <c r="A54" s="133" t="str">
        <f t="shared" ref="A54" si="55">+A55</f>
        <v>[ocultar]</v>
      </c>
      <c r="B54" s="199" t="s">
        <v>230</v>
      </c>
      <c r="C54" s="200"/>
      <c r="D54" s="201"/>
      <c r="E54" s="201"/>
      <c r="F54" s="201"/>
      <c r="G54" s="201"/>
      <c r="H54" s="201"/>
      <c r="I54" s="189" t="str">
        <f t="shared" ref="I54:AV54" si="56">IFERROR((I55-I56)/I55,"")</f>
        <v/>
      </c>
      <c r="J54" s="190" t="str">
        <f t="shared" si="56"/>
        <v/>
      </c>
      <c r="K54" s="191" t="str">
        <f t="shared" si="56"/>
        <v/>
      </c>
      <c r="L54" s="191" t="str">
        <f t="shared" si="56"/>
        <v/>
      </c>
      <c r="M54" s="191" t="str">
        <f t="shared" si="56"/>
        <v/>
      </c>
      <c r="N54" s="192" t="str">
        <f t="shared" si="56"/>
        <v/>
      </c>
      <c r="O54" s="193" t="str">
        <f t="shared" si="56"/>
        <v/>
      </c>
      <c r="P54" s="193" t="str">
        <f t="shared" si="56"/>
        <v/>
      </c>
      <c r="Q54" s="193" t="str">
        <f t="shared" si="56"/>
        <v/>
      </c>
      <c r="R54" s="193" t="str">
        <f t="shared" si="56"/>
        <v/>
      </c>
      <c r="S54" s="193" t="str">
        <f t="shared" si="56"/>
        <v/>
      </c>
      <c r="T54" s="193" t="str">
        <f t="shared" si="56"/>
        <v/>
      </c>
      <c r="U54" s="193" t="str">
        <f t="shared" si="56"/>
        <v/>
      </c>
      <c r="V54" s="193" t="str">
        <f t="shared" si="56"/>
        <v/>
      </c>
      <c r="W54" s="193" t="str">
        <f t="shared" si="56"/>
        <v/>
      </c>
      <c r="X54" s="193" t="str">
        <f t="shared" si="56"/>
        <v/>
      </c>
      <c r="Y54" s="193" t="str">
        <f t="shared" si="56"/>
        <v/>
      </c>
      <c r="Z54" s="193" t="str">
        <f t="shared" si="56"/>
        <v/>
      </c>
      <c r="AA54" s="193" t="str">
        <f t="shared" si="56"/>
        <v/>
      </c>
      <c r="AB54" s="193" t="str">
        <f t="shared" si="56"/>
        <v/>
      </c>
      <c r="AC54" s="193" t="str">
        <f t="shared" si="56"/>
        <v/>
      </c>
      <c r="AD54" s="193" t="str">
        <f t="shared" si="56"/>
        <v/>
      </c>
      <c r="AE54" s="193" t="str">
        <f t="shared" si="56"/>
        <v/>
      </c>
      <c r="AF54" s="193" t="str">
        <f t="shared" si="56"/>
        <v/>
      </c>
      <c r="AG54" s="193" t="str">
        <f t="shared" si="56"/>
        <v/>
      </c>
      <c r="AH54" s="193" t="str">
        <f t="shared" si="56"/>
        <v/>
      </c>
      <c r="AI54" s="193" t="str">
        <f t="shared" si="56"/>
        <v/>
      </c>
      <c r="AJ54" s="193" t="str">
        <f t="shared" si="56"/>
        <v/>
      </c>
      <c r="AK54" s="193" t="str">
        <f t="shared" si="56"/>
        <v/>
      </c>
      <c r="AL54" s="193" t="str">
        <f t="shared" si="56"/>
        <v/>
      </c>
      <c r="AM54" s="193" t="str">
        <f t="shared" si="56"/>
        <v/>
      </c>
      <c r="AN54" s="189" t="str">
        <f t="shared" si="56"/>
        <v/>
      </c>
      <c r="AO54" s="162" t="str">
        <f t="shared" si="56"/>
        <v/>
      </c>
      <c r="AP54" s="163" t="str">
        <f t="shared" si="56"/>
        <v/>
      </c>
      <c r="AQ54" s="163" t="str">
        <f t="shared" si="56"/>
        <v/>
      </c>
      <c r="AR54" s="163" t="str">
        <f t="shared" si="56"/>
        <v/>
      </c>
      <c r="AS54" s="163" t="str">
        <f t="shared" si="56"/>
        <v/>
      </c>
      <c r="AT54" s="163" t="str">
        <f t="shared" si="56"/>
        <v/>
      </c>
      <c r="AU54" s="194" t="str">
        <f t="shared" si="56"/>
        <v/>
      </c>
      <c r="AV54" s="165" t="str">
        <f t="shared" si="56"/>
        <v/>
      </c>
    </row>
    <row r="55" spans="1:48" x14ac:dyDescent="0.25">
      <c r="A55" s="133" t="str">
        <f t="shared" ref="A55" si="57">+IF(C55+C56=0,"[ocultar]","")</f>
        <v>[ocultar]</v>
      </c>
      <c r="B55" s="202" t="s">
        <v>394</v>
      </c>
      <c r="C55" s="203">
        <f t="array" ref="C55">SUM(IF($B55=DATOS_[Sexo],
IF($B54=DATOS_[AGRUP. VALOR. PTO.],
IF("Dentro"=DATOS_[Check Periodo Ref.],
1/(COUNTIFS(DATOS_[Sexo],$B55,DATOS_[AGRUP. VALOR. PTO.],$B54,DATOS_[Check Periodo Ref.],"Dentro",DATOS_[id/cod],DATOS_[id/cod]))))))</f>
        <v>0</v>
      </c>
      <c r="D55" s="204">
        <f>COUNTIFS(DATOS_[AGRUP. VALOR. PTO.],$B54,DATOS_[Sexo],$B55,DATOS_[Check Periodo Ref.],"Dentro")</f>
        <v>0</v>
      </c>
      <c r="E55" s="204">
        <f>COUNTIFS(DATOS_[AGRUP. VALOR. PTO.],$B54,DATOS_[Sexo],$B55,DATOS_[Check Periodo Ref.],"Dentro",DATOS_[Check Nº SC Norm],"Sí")</f>
        <v>0</v>
      </c>
      <c r="F55" s="204">
        <f>COUNTIFS(DATOS_[AGRUP. VALOR. PTO.],$B54,DATOS_[Sexo],$B55,DATOS_[Check Periodo Ref.],"Dentro",DATOS_[Check Nº SC Anualiz],"Sí")</f>
        <v>0</v>
      </c>
      <c r="G55" s="204">
        <f>COUNTIFS(DATOS_[AGRUP. VALOR. PTO.],$B54,DATOS_[Sexo],$B55,DATOS_[Check Periodo Ref.],"Dentro",DATOS_[Check Nº SC Norm y Anualiz],"Sí")</f>
        <v>0</v>
      </c>
      <c r="H55" s="204">
        <f>COUNTIFS(DATOS_[AGRUP. VALOR. PTO.],$B54,DATOS_[Sexo],$B55,DATOS_[Check Periodo Ref.],"Dentro",DATOS_[Check Equiparación],"Sí")</f>
        <v>0</v>
      </c>
      <c r="I55" s="195">
        <f t="array" ref="I55">IFERROR(
MEDIAN(IF(DATOS_[Sexo]=$B55,IF(DATOS_[[AGRUP. VALOR. PTO.]:[AGRUP. VALOR. PTO.]]=$B54,IF(DATOS_[Check Equiparado]="Sí",IF(DATOS_[Check Periodo Ref.]="Dentro",DATOS_[SALARIO BASE Eq],FALSE))))),
0)</f>
        <v>0</v>
      </c>
      <c r="J55" s="196">
        <f t="array" ref="J55">IFERROR(
(MEDIAN((IF(DATOS_[[Sexo]:[Sexo]]=$B55,IF(DATOS_[[AGRUP. VALOR. PTO.]:[AGRUP. VALOR. PTO.]]=$B54,IF(DATOS_[[Check Periodo Ref.]:[Check Periodo Ref.]]="Dentro",IF(DATOS_[[Check Equiparado]:[Check Equiparado]]="Sí",IF(DATOS!AE$5="Sí",(1/DATOS_[[% anualiz]:[% anualiz]]),1)*IF(DATOS!AE$4="Sí",1/DATOS_[[% normaliz]:[% normaliz]],1)*(DATOS_[Conc.Sal.01])))))))),
0)</f>
        <v>0</v>
      </c>
      <c r="K55" s="196">
        <f t="array" ref="K55">IFERROR(
(MEDIAN((IF(DATOS_[[Sexo]:[Sexo]]=$B55,IF(DATOS_[[AGRUP. VALOR. PTO.]:[AGRUP. VALOR. PTO.]]=$B54,IF(DATOS_[[Check Periodo Ref.]:[Check Periodo Ref.]]="Dentro",IF(DATOS_[[Check Equiparado]:[Check Equiparado]]="Sí",IF(DATOS!AF$5="Sí",(1/DATOS_[[% anualiz]:[% anualiz]]),1)*IF(DATOS!AF$4="Sí",1/DATOS_[[% normaliz]:[% normaliz]],1)*(DATOS_[Conc.Sal.02])))))))),
0)</f>
        <v>0</v>
      </c>
      <c r="L55" s="196">
        <f t="array" ref="L55">IFERROR(
(MEDIAN((IF(DATOS_[[Sexo]:[Sexo]]=$B55,IF(DATOS_[[AGRUP. VALOR. PTO.]:[AGRUP. VALOR. PTO.]]=$B54,IF(DATOS_[[Check Periodo Ref.]:[Check Periodo Ref.]]="Dentro",IF(DATOS_[[Check Equiparado]:[Check Equiparado]]="Sí",IF(DATOS!AG$5="Sí",(1/DATOS_[[% anualiz]:[% anualiz]]),1)*IF(DATOS!AG$4="Sí",1/DATOS_[[% normaliz]:[% normaliz]],1)*(DATOS_[Conc.Sal.03])))))))),
0)</f>
        <v>0</v>
      </c>
      <c r="M55" s="196">
        <f t="array" ref="M55">IFERROR(
(MEDIAN((IF(DATOS_[[Sexo]:[Sexo]]=$B55,IF(DATOS_[[AGRUP. VALOR. PTO.]:[AGRUP. VALOR. PTO.]]=$B54,IF(DATOS_[[Check Periodo Ref.]:[Check Periodo Ref.]]="Dentro",IF(DATOS_[[Check Equiparado]:[Check Equiparado]]="Sí",IF(DATOS!AH$5="Sí",(1/DATOS_[[% anualiz]:[% anualiz]]),1)*IF(DATOS!AH$4="Sí",1/DATOS_[[% normaliz]:[% normaliz]],1)*(DATOS_[Conc.Sal.04])))))))),
0)</f>
        <v>0</v>
      </c>
      <c r="N55" s="196">
        <f t="array" ref="N55">IFERROR(
(MEDIAN((IF(DATOS_[[Sexo]:[Sexo]]=$B55,IF(DATOS_[[AGRUP. VALOR. PTO.]:[AGRUP. VALOR. PTO.]]=$B54,IF(DATOS_[[Check Periodo Ref.]:[Check Periodo Ref.]]="Dentro",IF(DATOS_[[Check Equiparado]:[Check Equiparado]]="Sí",IF(DATOS!AI$5="Sí",(1/DATOS_[[% anualiz]:[% anualiz]]),1)*IF(DATOS!AI$4="Sí",1/DATOS_[[% normaliz]:[% normaliz]],1)*(DATOS_[Conc.Sal.05])))))))),
0)</f>
        <v>0</v>
      </c>
      <c r="O55" s="196">
        <f t="array" ref="O55">IFERROR(
(MEDIAN((IF(DATOS_[[Sexo]:[Sexo]]=$B55,IF(DATOS_[[AGRUP. VALOR. PTO.]:[AGRUP. VALOR. PTO.]]=$B54,IF(DATOS_[[Check Periodo Ref.]:[Check Periodo Ref.]]="Dentro",IF(DATOS_[[Check Equiparado]:[Check Equiparado]]="Sí",IF(DATOS!AJ$5="Sí",(1/DATOS_[[% anualiz]:[% anualiz]]),1)*IF(DATOS!AJ$4="Sí",1/DATOS_[[% normaliz]:[% normaliz]],1)*(DATOS_[Conc.Sal.06])))))))),
0)</f>
        <v>0</v>
      </c>
      <c r="P55" s="196">
        <f t="array" ref="P55">IFERROR(
(MEDIAN((IF(DATOS_[[Sexo]:[Sexo]]=$B55,IF(DATOS_[[AGRUP. VALOR. PTO.]:[AGRUP. VALOR. PTO.]]=$B54,IF(DATOS_[[Check Periodo Ref.]:[Check Periodo Ref.]]="Dentro",IF(DATOS_[[Check Equiparado]:[Check Equiparado]]="Sí",IF(DATOS!AK$5="Sí",(1/DATOS_[[% anualiz]:[% anualiz]]),1)*IF(DATOS!AK$4="Sí",1/DATOS_[[% normaliz]:[% normaliz]],1)*(DATOS_[Conc.Sal.07])))))))),
0)</f>
        <v>0</v>
      </c>
      <c r="Q55" s="196">
        <f t="array" ref="Q55">IFERROR(
(MEDIAN((IF(DATOS_[[Sexo]:[Sexo]]=$B55,IF(DATOS_[[AGRUP. VALOR. PTO.]:[AGRUP. VALOR. PTO.]]=$B54,IF(DATOS_[[Check Periodo Ref.]:[Check Periodo Ref.]]="Dentro",IF(DATOS_[[Check Equiparado]:[Check Equiparado]]="Sí",IF(DATOS!AL$5="Sí",(1/DATOS_[[% anualiz]:[% anualiz]]),1)*IF(DATOS!AL$4="Sí",1/DATOS_[[% normaliz]:[% normaliz]],1)*(DATOS_[Conc.Sal.08])))))))),
0)</f>
        <v>0</v>
      </c>
      <c r="R55" s="196">
        <f t="array" ref="R55">IFERROR(
(MEDIAN((IF(DATOS_[[Sexo]:[Sexo]]=$B55,IF(DATOS_[[AGRUP. VALOR. PTO.]:[AGRUP. VALOR. PTO.]]=$B54,IF(DATOS_[[Check Periodo Ref.]:[Check Periodo Ref.]]="Dentro",IF(DATOS_[[Check Equiparado]:[Check Equiparado]]="Sí",IF(DATOS!AM$5="Sí",(1/DATOS_[[% anualiz]:[% anualiz]]),1)*IF(DATOS!AM$4="Sí",1/DATOS_[[% normaliz]:[% normaliz]],1)*(DATOS_[Conc.Sal.09])))))))),
0)</f>
        <v>0</v>
      </c>
      <c r="S55" s="196">
        <f t="array" ref="S55">IFERROR(
(MEDIAN((IF(DATOS_[[Sexo]:[Sexo]]=$B55,IF(DATOS_[[AGRUP. VALOR. PTO.]:[AGRUP. VALOR. PTO.]]=$B54,IF(DATOS_[[Check Periodo Ref.]:[Check Periodo Ref.]]="Dentro",IF(DATOS_[[Check Equiparado]:[Check Equiparado]]="Sí",IF(DATOS!AN$5="Sí",(1/DATOS_[[% anualiz]:[% anualiz]]),1)*IF(DATOS!AN$4="Sí",1/DATOS_[[% normaliz]:[% normaliz]],1)*(DATOS_[Conc.Sal.10])))))))),
0)</f>
        <v>0</v>
      </c>
      <c r="T55" s="196">
        <f t="array" ref="T55">IFERROR(
(MEDIAN((IF(DATOS_[[Sexo]:[Sexo]]=$B55,IF(DATOS_[[AGRUP. VALOR. PTO.]:[AGRUP. VALOR. PTO.]]=$B54,IF(DATOS_[[Check Periodo Ref.]:[Check Periodo Ref.]]="Dentro",IF(DATOS_[[Check Equiparado]:[Check Equiparado]]="Sí",IF(DATOS!AO$5="Sí",(1/DATOS_[[% anualiz]:[% anualiz]]),1)*IF(DATOS!AO$4="Sí",1/DATOS_[[% normaliz]:[% normaliz]],1)*(DATOS_[Conc.Sal.11])))))))),
0)</f>
        <v>0</v>
      </c>
      <c r="U55" s="196">
        <f t="array" ref="U55">IFERROR(
(MEDIAN((IF(DATOS_[[Sexo]:[Sexo]]=$B55,IF(DATOS_[[AGRUP. VALOR. PTO.]:[AGRUP. VALOR. PTO.]]=$B54,IF(DATOS_[[Check Periodo Ref.]:[Check Periodo Ref.]]="Dentro",IF(DATOS_[[Check Equiparado]:[Check Equiparado]]="Sí",IF(DATOS!AP$5="Sí",(1/DATOS_[[% anualiz]:[% anualiz]]),1)*IF(DATOS!AP$4="Sí",1/DATOS_[[% normaliz]:[% normaliz]],1)*(DATOS_[Conc.Sal.12])))))))),
0)</f>
        <v>0</v>
      </c>
      <c r="V55" s="196">
        <f t="array" ref="V55">IFERROR(
(MEDIAN((IF(DATOS_[[Sexo]:[Sexo]]=$B55,IF(DATOS_[[AGRUP. VALOR. PTO.]:[AGRUP. VALOR. PTO.]]=$B54,IF(DATOS_[[Check Periodo Ref.]:[Check Periodo Ref.]]="Dentro",IF(DATOS_[[Check Equiparado]:[Check Equiparado]]="Sí",IF(DATOS!AQ$5="Sí",(1/DATOS_[[% anualiz]:[% anualiz]]),1)*IF(DATOS!AQ$4="Sí",1/DATOS_[[% normaliz]:[% normaliz]],1)*(DATOS_[Conc.Sal.13])))))))),
0)</f>
        <v>0</v>
      </c>
      <c r="W55" s="196">
        <f t="array" ref="W55">IFERROR(
(MEDIAN((IF(DATOS_[[Sexo]:[Sexo]]=$B55,IF(DATOS_[[AGRUP. VALOR. PTO.]:[AGRUP. VALOR. PTO.]]=$B54,IF(DATOS_[[Check Periodo Ref.]:[Check Periodo Ref.]]="Dentro",IF(DATOS_[[Check Equiparado]:[Check Equiparado]]="Sí",IF(DATOS!AR$5="Sí",(1/DATOS_[[% anualiz]:[% anualiz]]),1)*IF(DATOS!AR$4="Sí",1/DATOS_[[% normaliz]:[% normaliz]],1)*(DATOS_[Conc.Sal.14])))))))),
0)</f>
        <v>0</v>
      </c>
      <c r="X55" s="196">
        <f t="array" ref="X55">IFERROR(
(MEDIAN((IF(DATOS_[[Sexo]:[Sexo]]=$B55,IF(DATOS_[[AGRUP. VALOR. PTO.]:[AGRUP. VALOR. PTO.]]=$B54,IF(DATOS_[[Check Periodo Ref.]:[Check Periodo Ref.]]="Dentro",IF(DATOS_[[Check Equiparado]:[Check Equiparado]]="Sí",IF(DATOS!AS$5="Sí",(1/DATOS_[[% anualiz]:[% anualiz]]),1)*IF(DATOS!AS$4="Sí",1/DATOS_[[% normaliz]:[% normaliz]],1)*(DATOS_[Conc.Sal.15])))))))),
0)</f>
        <v>0</v>
      </c>
      <c r="Y55" s="196">
        <f t="array" ref="Y55">IFERROR(
(MEDIAN((IF(DATOS_[[Sexo]:[Sexo]]=$B55,IF(DATOS_[[AGRUP. VALOR. PTO.]:[AGRUP. VALOR. PTO.]]=$B54,IF(DATOS_[[Check Periodo Ref.]:[Check Periodo Ref.]]="Dentro",IF(DATOS_[[Check Equiparado]:[Check Equiparado]]="Sí",IF(DATOS!AT$5="Sí",(1/DATOS_[[% anualiz]:[% anualiz]]),1)*IF(DATOS!AT$4="Sí",1/DATOS_[[% normaliz]:[% normaliz]],1)*(DATOS_[Conc.Sal.16])))))))),
0)</f>
        <v>0</v>
      </c>
      <c r="Z55" s="196">
        <f t="array" ref="Z55">IFERROR(
(MEDIAN((IF(DATOS_[[Sexo]:[Sexo]]=$B55,IF(DATOS_[[AGRUP. VALOR. PTO.]:[AGRUP. VALOR. PTO.]]=$B54,IF(DATOS_[[Check Periodo Ref.]:[Check Periodo Ref.]]="Dentro",IF(DATOS_[[Check Equiparado]:[Check Equiparado]]="Sí",IF(DATOS!AU$5="Sí",(1/DATOS_[[% anualiz]:[% anualiz]]),1)*IF(DATOS!AU$4="Sí",1/DATOS_[[% normaliz]:[% normaliz]],1)*(DATOS_[Conc.Sal.17])))))))),
0)</f>
        <v>0</v>
      </c>
      <c r="AA55" s="196">
        <f t="array" ref="AA55">IFERROR(
(MEDIAN((IF(DATOS_[[Sexo]:[Sexo]]=$B55,IF(DATOS_[[AGRUP. VALOR. PTO.]:[AGRUP. VALOR. PTO.]]=$B54,IF(DATOS_[[Check Periodo Ref.]:[Check Periodo Ref.]]="Dentro",IF(DATOS_[[Check Equiparado]:[Check Equiparado]]="Sí",IF(DATOS!AV$5="Sí",(1/DATOS_[[% anualiz]:[% anualiz]]),1)*IF(DATOS!AV$4="Sí",1/DATOS_[[% normaliz]:[% normaliz]],1)*(DATOS_[Conc.Sal.18])))))))),
0)</f>
        <v>0</v>
      </c>
      <c r="AB55" s="196">
        <f t="array" ref="AB55">IFERROR(
(MEDIAN((IF(DATOS_[[Sexo]:[Sexo]]=$B55,IF(DATOS_[[AGRUP. VALOR. PTO.]:[AGRUP. VALOR. PTO.]]=$B54,IF(DATOS_[[Check Periodo Ref.]:[Check Periodo Ref.]]="Dentro",IF(DATOS_[[Check Equiparado]:[Check Equiparado]]="Sí",IF(DATOS!AW$5="Sí",(1/DATOS_[[% anualiz]:[% anualiz]]),1)*IF(DATOS!AW$4="Sí",1/DATOS_[[% normaliz]:[% normaliz]],1)*(DATOS_[Conc.Sal.19])))))))),
0)</f>
        <v>0</v>
      </c>
      <c r="AC55" s="196">
        <f t="array" ref="AC55">IFERROR(
(MEDIAN((IF(DATOS_[[Sexo]:[Sexo]]=$B55,IF(DATOS_[[AGRUP. VALOR. PTO.]:[AGRUP. VALOR. PTO.]]=$B54,IF(DATOS_[[Check Periodo Ref.]:[Check Periodo Ref.]]="Dentro",IF(DATOS_[[Check Equiparado]:[Check Equiparado]]="Sí",IF(DATOS!AX$5="Sí",(1/DATOS_[[% anualiz]:[% anualiz]]),1)*IF(DATOS!AX$4="Sí",1/DATOS_[[% normaliz]:[% normaliz]],1)*(DATOS_[Conc.Sal.20])))))))),
0)</f>
        <v>0</v>
      </c>
      <c r="AD55" s="196">
        <f t="array" ref="AD55">IFERROR(
(MEDIAN((IF(DATOS_[[Sexo]:[Sexo]]=$B55,IF(DATOS_[[AGRUP. VALOR. PTO.]:[AGRUP. VALOR. PTO.]]=$B54,IF(DATOS_[[Check Periodo Ref.]:[Check Periodo Ref.]]="Dentro",IF(DATOS_[[Check Equiparado]:[Check Equiparado]]="Sí",IF(DATOS!AY$5="Sí",(1/DATOS_[[% anualiz]:[% anualiz]]),1)*IF(DATOS!AY$4="Sí",1/DATOS_[[% normaliz]:[% normaliz]],1)*(DATOS_[Conc.Sal.21])))))))),
0)</f>
        <v>0</v>
      </c>
      <c r="AE55" s="196">
        <f t="array" ref="AE55">IFERROR(
(MEDIAN((IF(DATOS_[[Sexo]:[Sexo]]=$B55,IF(DATOS_[[AGRUP. VALOR. PTO.]:[AGRUP. VALOR. PTO.]]=$B54,IF(DATOS_[[Check Periodo Ref.]:[Check Periodo Ref.]]="Dentro",IF(DATOS_[[Check Equiparado]:[Check Equiparado]]="Sí",IF(DATOS!AZ$5="Sí",(1/DATOS_[[% anualiz]:[% anualiz]]),1)*IF(DATOS!AZ$4="Sí",1/DATOS_[[% normaliz]:[% normaliz]],1)*(DATOS_[Conc.Sal.22])))))))),
0)</f>
        <v>0</v>
      </c>
      <c r="AF55" s="196">
        <f t="array" ref="AF55">IFERROR(
(MEDIAN((IF(DATOS_[[Sexo]:[Sexo]]=$B55,IF(DATOS_[[AGRUP. VALOR. PTO.]:[AGRUP. VALOR. PTO.]]=$B54,IF(DATOS_[[Check Periodo Ref.]:[Check Periodo Ref.]]="Dentro",IF(DATOS_[[Check Equiparado]:[Check Equiparado]]="Sí",IF(DATOS!BA$5="Sí",(1/DATOS_[[% anualiz]:[% anualiz]]),1)*IF(DATOS!BA$4="Sí",1/DATOS_[[% normaliz]:[% normaliz]],1)*(DATOS_[Conc.Sal.23])))))))),
0)</f>
        <v>0</v>
      </c>
      <c r="AG55" s="196">
        <f t="array" ref="AG55">IFERROR(
(MEDIAN((IF(DATOS_[[Sexo]:[Sexo]]=$B55,IF(DATOS_[[AGRUP. VALOR. PTO.]:[AGRUP. VALOR. PTO.]]=$B54,IF(DATOS_[[Check Periodo Ref.]:[Check Periodo Ref.]]="Dentro",IF(DATOS_[[Check Equiparado]:[Check Equiparado]]="Sí",IF(DATOS!BB$5="Sí",(1/DATOS_[[% anualiz]:[% anualiz]]),1)*IF(DATOS!BB$4="Sí",1/DATOS_[[% normaliz]:[% normaliz]],1)*(DATOS_[Conc.Sal.24])))))))),
0)</f>
        <v>0</v>
      </c>
      <c r="AH55" s="196">
        <f t="array" ref="AH55">IFERROR(
(MEDIAN((IF(DATOS_[[Sexo]:[Sexo]]=$B55,IF(DATOS_[[AGRUP. VALOR. PTO.]:[AGRUP. VALOR. PTO.]]=$B54,IF(DATOS_[[Check Periodo Ref.]:[Check Periodo Ref.]]="Dentro",IF(DATOS_[[Check Equiparado]:[Check Equiparado]]="Sí",IF(DATOS!BC$5="Sí",(1/DATOS_[[% anualiz]:[% anualiz]]),1)*IF(DATOS!BC$4="Sí",1/DATOS_[[% normaliz]:[% normaliz]],1)*(DATOS_[Conc.Sal.25])))))))),
0)</f>
        <v>0</v>
      </c>
      <c r="AI55" s="196">
        <f t="array" ref="AI55">IFERROR(
(MEDIAN((IF(DATOS_[[Sexo]:[Sexo]]=$B55,IF(DATOS_[[AGRUP. VALOR. PTO.]:[AGRUP. VALOR. PTO.]]=$B54,IF(DATOS_[[Check Periodo Ref.]:[Check Periodo Ref.]]="Dentro",IF(DATOS_[[Check Equiparado]:[Check Equiparado]]="Sí",IF(DATOS!BD$5="Sí",(1/DATOS_[[% anualiz]:[% anualiz]]),1)*IF(DATOS!BD$4="Sí",1/DATOS_[[% normaliz]:[% normaliz]],1)*(DATOS_[Conc.Sal.26])))))))),
0)</f>
        <v>0</v>
      </c>
      <c r="AJ55" s="196">
        <f t="array" ref="AJ55">IFERROR(
(MEDIAN((IF(DATOS_[[Sexo]:[Sexo]]=$B55,IF(DATOS_[[AGRUP. VALOR. PTO.]:[AGRUP. VALOR. PTO.]]=$B54,IF(DATOS_[[Check Periodo Ref.]:[Check Periodo Ref.]]="Dentro",IF(DATOS_[[Check Equiparado]:[Check Equiparado]]="Sí",IF(DATOS!BE$5="Sí",(1/DATOS_[[% anualiz]:[% anualiz]]),1)*IF(DATOS!BE$4="Sí",1/DATOS_[[% normaliz]:[% normaliz]],1)*(DATOS_[Conc.Sal.27])))))))),
0)</f>
        <v>0</v>
      </c>
      <c r="AK55" s="196">
        <f t="array" ref="AK55">IFERROR(
(MEDIAN((IF(DATOS_[[Sexo]:[Sexo]]=$B55,IF(DATOS_[[AGRUP. VALOR. PTO.]:[AGRUP. VALOR. PTO.]]=$B54,IF(DATOS_[[Check Periodo Ref.]:[Check Periodo Ref.]]="Dentro",IF(DATOS_[[Check Equiparado]:[Check Equiparado]]="Sí",IF(DATOS!BF$5="Sí",(1/DATOS_[[% anualiz]:[% anualiz]]),1)*IF(DATOS!BF$4="Sí",1/DATOS_[[% normaliz]:[% normaliz]],1)*(DATOS_[Conc.Sal.28])))))))),
0)</f>
        <v>0</v>
      </c>
      <c r="AL55" s="196">
        <f t="array" ref="AL55">IFERROR(
(MEDIAN((IF(DATOS_[[Sexo]:[Sexo]]=$B55,IF(DATOS_[[AGRUP. VALOR. PTO.]:[AGRUP. VALOR. PTO.]]=$B54,IF(DATOS_[[Check Periodo Ref.]:[Check Periodo Ref.]]="Dentro",IF(DATOS_[[Check Equiparado]:[Check Equiparado]]="Sí",IF(DATOS!BG$5="Sí",(1/DATOS_[[% anualiz]:[% anualiz]]),1)*IF(DATOS!BG$4="Sí",1/DATOS_[[% normaliz]:[% normaliz]],1)*(DATOS_[Conc.Sal.29])))))))),
0)</f>
        <v>0</v>
      </c>
      <c r="AM55" s="196">
        <f t="array" ref="AM55">IFERROR(
(MEDIAN((IF(DATOS_[[Sexo]:[Sexo]]=$B55,IF(DATOS_[[AGRUP. VALOR. PTO.]:[AGRUP. VALOR. PTO.]]=$B54,IF(DATOS_[[Check Periodo Ref.]:[Check Periodo Ref.]]="Dentro",IF(DATOS_[[Check Equiparado]:[Check Equiparado]]="Sí",IF(DATOS!BH$5="Sí",(1/DATOS_[[% anualiz]:[% anualiz]]),1)*IF(DATOS!BH$4="Sí",1/DATOS_[[% normaliz]:[% normaliz]],1)*(DATOS_[Conc.Sal.30])))))))),
0)</f>
        <v>0</v>
      </c>
      <c r="AN55" s="195">
        <f t="array" ref="AN55">IFERROR(
MEDIAN(IF(DATOS_[Sexo]=$B55,IF(DATOS_[[AGRUP. VALOR. PTO.]:[AGRUP. VALOR. PTO.]]=$B54,IF(DATOS_[Check Equiparado]="Sí",IF(DATOS_[Check Periodo Ref.]="Dentro",DATOS_[Tot COMPL.SAL Eq],FALSE))))),
0)</f>
        <v>0</v>
      </c>
      <c r="AO55" s="172">
        <f t="array" ref="AO55">IFERROR(
MEDIAN(IF(DATOS_[Sexo]=$B55,IF(DATOS_[[AGRUP. VALOR. PTO.]:[AGRUP. VALOR. PTO.]]=$B54,IF(DATOS_[Check Equiparado]="Sí",IF(DATOS_[Check Periodo Ref.]="Dentro",DATOS_[TOTAL SALARIO Eq],FALSE))))),
0)</f>
        <v>0</v>
      </c>
      <c r="AP55" s="173">
        <f t="array" ref="AP55">IFERROR(
(MEDIAN((IF(DATOS_[[Sexo]:[Sexo]]=$B55,IF(DATOS_[[AGRUP. VALOR. PTO.]:[AGRUP. VALOR. PTO.]]=$B54,IF(DATOS_[[Check Periodo Ref.]:[Check Periodo Ref.]]="Dentro",IF(DATOS_[[Check Equiparado]:[Check Equiparado]]="Sí",IF(DATOS!BW$5="Sí",(1/DATOS_[[% anualiz]:[% anualiz]]),1)*IF(DATOS!BW$4="Sí",1/DATOS_[[% normaliz]:[% normaliz]],1)*(DATOS_[C.Extra.01])))))))),
0)</f>
        <v>0</v>
      </c>
      <c r="AQ55" s="173">
        <f t="array" ref="AQ55">IFERROR(
(MEDIAN((IF(DATOS_[[Sexo]:[Sexo]]=$B55,IF(DATOS_[[AGRUP. VALOR. PTO.]:[AGRUP. VALOR. PTO.]]=$B54,IF(DATOS_[[Check Periodo Ref.]:[Check Periodo Ref.]]="Dentro",IF(DATOS_[[Check Equiparado]:[Check Equiparado]]="Sí",IF(DATOS!CB$5="Sí",(1/DATOS_[[% anualiz]:[% anualiz]]),1)*IF(DATOS!CB$4="Sí",1/DATOS_[[% normaliz]:[% normaliz]],1)*(DATOS_[C.Extra.06])))))))),
0)</f>
        <v>0</v>
      </c>
      <c r="AR55" s="173">
        <f t="array" ref="AR55">IFERROR(
(MEDIAN((IF(DATOS_[[Sexo]:[Sexo]]=$B55,IF(DATOS_[[AGRUP. VALOR. PTO.]:[AGRUP. VALOR. PTO.]]=$B54,IF(DATOS_[[Check Periodo Ref.]:[Check Periodo Ref.]]="Dentro",IF(DATOS_[[Check Equiparado]:[Check Equiparado]]="Sí",IF(DATOS!CC$5="Sí",(1/DATOS_[[% anualiz]:[% anualiz]]),1)*IF(DATOS!CC$4="Sí",1/DATOS_[[% normaliz]:[% normaliz]],1)*(DATOS_[C.Extra.07])))))))),
0)</f>
        <v>0</v>
      </c>
      <c r="AS55" s="173">
        <f t="array" ref="AS55">IFERROR(
(MEDIAN((IF(DATOS_[[Sexo]:[Sexo]]=$B55,IF(DATOS_[[AGRUP. VALOR. PTO.]:[AGRUP. VALOR. PTO.]]=$B54,IF(DATOS_[[Check Periodo Ref.]:[Check Periodo Ref.]]="Dentro",IF(DATOS_[[Check Equiparado]:[Check Equiparado]]="Sí",IF(DATOS!CD$5="Sí",(1/DATOS_[[% anualiz]:[% anualiz]]),1)*IF(DATOS!CD$4="Sí",1/DATOS_[[% normaliz]:[% normaliz]],1)*(DATOS_[C.Extra.08])))))))),
0)</f>
        <v>0</v>
      </c>
      <c r="AT55" s="173">
        <f t="array" ref="AT55">IFERROR(
(MEDIAN((IF(DATOS_[[Sexo]:[Sexo]]=$B55,IF(DATOS_[[AGRUP. VALOR. PTO.]:[AGRUP. VALOR. PTO.]]=$B54,IF(DATOS_[[Check Periodo Ref.]:[Check Periodo Ref.]]="Dentro",IF(DATOS_[[Check Equiparado]:[Check Equiparado]]="Sí",IF(DATOS!CG$5="Sí",(1/DATOS_[[% anualiz]:[% anualiz]]),1)*IF(DATOS!CG$4="Sí",1/DATOS_[[% normaliz]:[% normaliz]],1)*(DATOS_[C.Extra.11])))))))),
0)</f>
        <v>0</v>
      </c>
      <c r="AU55" s="197">
        <f t="array" ref="AU55">IFERROR(
MEDIAN(IF(DATOS_[Sexo]=$B55,IF(DATOS_[[AGRUP. VALOR. PTO.]:[AGRUP. VALOR. PTO.]]=$B54,IF(DATOS_[Check Equiparado]="Sí",IF(DATOS_[Check Periodo Ref.]="Dentro",DATOS_[Tot Extrasalarial Eq],FALSE))))),
0)</f>
        <v>0</v>
      </c>
      <c r="AV55" s="175">
        <f t="array" ref="AV55">IFERROR(
MEDIAN(IF(DATOS_[Sexo]=$B55,IF(DATOS_[[AGRUP. VALOR. PTO.]:[AGRUP. VALOR. PTO.]]=$B54,IF(DATOS_[Check Equiparado]="Sí",IF(DATOS_[Check Periodo Ref.]="Dentro",DATOS_[TOTAL Retrib Eq],FALSE))))),
0)</f>
        <v>0</v>
      </c>
    </row>
    <row r="56" spans="1:48" x14ac:dyDescent="0.25">
      <c r="A56" s="133" t="str">
        <f t="shared" ref="A56" si="58">+A55</f>
        <v>[ocultar]</v>
      </c>
      <c r="B56" s="202" t="s">
        <v>521</v>
      </c>
      <c r="C56" s="203">
        <f t="array" ref="C56">SUM(IF($B56=DATOS_[Sexo],
IF($B54=DATOS_[AGRUP. VALOR. PTO.],
IF("Dentro"=DATOS_[Check Periodo Ref.],
1/(COUNTIFS(DATOS_[Sexo],$B56,DATOS_[AGRUP. VALOR. PTO.],$B54,DATOS_[Check Periodo Ref.],"Dentro",DATOS_[id/cod],DATOS_[id/cod]))))))</f>
        <v>0</v>
      </c>
      <c r="D56" s="204">
        <f>COUNTIFS(DATOS_[AGRUP. VALOR. PTO.],$B54,DATOS_[Sexo],$B56,DATOS_[Check Periodo Ref.],"Dentro")</f>
        <v>0</v>
      </c>
      <c r="E56" s="204">
        <f>COUNTIFS(DATOS_[AGRUP. VALOR. PTO.],$B54,DATOS_[Sexo],$B56,DATOS_[Check Periodo Ref.],"Dentro",DATOS_[Check Nº SC Norm],"Sí")</f>
        <v>0</v>
      </c>
      <c r="F56" s="204">
        <f>COUNTIFS(DATOS_[AGRUP. VALOR. PTO.],$B54,DATOS_[Sexo],$B56,DATOS_[Check Periodo Ref.],"Dentro",DATOS_[Check Nº SC Anualiz],"Sí")</f>
        <v>0</v>
      </c>
      <c r="G56" s="204">
        <f>COUNTIFS(DATOS_[AGRUP. VALOR. PTO.],$B54,DATOS_[Sexo],$B56,DATOS_[Check Periodo Ref.],"Dentro",DATOS_[Check Nº SC Norm y Anualiz],"Sí")</f>
        <v>0</v>
      </c>
      <c r="H56" s="204">
        <f>COUNTIFS(DATOS_[AGRUP. VALOR. PTO.],$B54,DATOS_[Sexo],$B56,DATOS_[Check Periodo Ref.],"Dentro",DATOS_[Check Equiparación],"Sí")</f>
        <v>0</v>
      </c>
      <c r="I56" s="195" cm="1">
        <f t="array" ref="I56">IFERROR(
MEDIAN(IF(DATOS_[Sexo]=$B56,IF(DATOS_[[AGRUP. VALOR. PTO.]:[AGRUP. VALOR. PTO.]]=$B54,IF(DATOS_[Check Equiparado]="Sí",IF(DATOS_[Check Periodo Ref.]="Dentro",DATOS_[SALARIO BASE Eq],FALSE))))),
0)</f>
        <v>0</v>
      </c>
      <c r="J56" s="196">
        <f t="array" ref="J56">IFERROR(
(MEDIAN((IF(DATOS_[[Sexo]:[Sexo]]=$B56,IF(DATOS_[[AGRUP. VALOR. PTO.]:[AGRUP. VALOR. PTO.]]=$B54,IF(DATOS_[[Check Periodo Ref.]:[Check Periodo Ref.]]="Dentro",IF(DATOS_[[Check Equiparado]:[Check Equiparado]]="Sí",IF(DATOS!AE$5="Sí",(1/DATOS_[[% anualiz]:[% anualiz]]),1)*IF(DATOS!AE$4="Sí",1/DATOS_[[% normaliz]:[% normaliz]],1)*(DATOS_[Conc.Sal.01])))))))),
0)</f>
        <v>0</v>
      </c>
      <c r="K56" s="196">
        <f t="array" ref="K56">IFERROR(
(MEDIAN((IF(DATOS_[[Sexo]:[Sexo]]=$B56,IF(DATOS_[[AGRUP. VALOR. PTO.]:[AGRUP. VALOR. PTO.]]=$B54,IF(DATOS_[[Check Periodo Ref.]:[Check Periodo Ref.]]="Dentro",IF(DATOS_[[Check Equiparado]:[Check Equiparado]]="Sí",IF(DATOS!AF$5="Sí",(1/DATOS_[[% anualiz]:[% anualiz]]),1)*IF(DATOS!AF$4="Sí",1/DATOS_[[% normaliz]:[% normaliz]],1)*(DATOS_[Conc.Sal.02])))))))),
0)</f>
        <v>0</v>
      </c>
      <c r="L56" s="196">
        <f t="array" ref="L56">IFERROR(
(MEDIAN((IF(DATOS_[[Sexo]:[Sexo]]=$B56,IF(DATOS_[[AGRUP. VALOR. PTO.]:[AGRUP. VALOR. PTO.]]=$B54,IF(DATOS_[[Check Periodo Ref.]:[Check Periodo Ref.]]="Dentro",IF(DATOS_[[Check Equiparado]:[Check Equiparado]]="Sí",IF(DATOS!AG$5="Sí",(1/DATOS_[[% anualiz]:[% anualiz]]),1)*IF(DATOS!AG$4="Sí",1/DATOS_[[% normaliz]:[% normaliz]],1)*(DATOS_[Conc.Sal.03])))))))),
0)</f>
        <v>0</v>
      </c>
      <c r="M56" s="196">
        <f t="array" ref="M56">IFERROR(
(MEDIAN((IF(DATOS_[[Sexo]:[Sexo]]=$B56,IF(DATOS_[[AGRUP. VALOR. PTO.]:[AGRUP. VALOR. PTO.]]=$B54,IF(DATOS_[[Check Periodo Ref.]:[Check Periodo Ref.]]="Dentro",IF(DATOS_[[Check Equiparado]:[Check Equiparado]]="Sí",IF(DATOS!AH$5="Sí",(1/DATOS_[[% anualiz]:[% anualiz]]),1)*IF(DATOS!AH$4="Sí",1/DATOS_[[% normaliz]:[% normaliz]],1)*(DATOS_[Conc.Sal.04])))))))),
0)</f>
        <v>0</v>
      </c>
      <c r="N56" s="196">
        <f t="array" ref="N56">IFERROR(
(MEDIAN((IF(DATOS_[[Sexo]:[Sexo]]=$B56,IF(DATOS_[[AGRUP. VALOR. PTO.]:[AGRUP. VALOR. PTO.]]=$B54,IF(DATOS_[[Check Periodo Ref.]:[Check Periodo Ref.]]="Dentro",IF(DATOS_[[Check Equiparado]:[Check Equiparado]]="Sí",IF(DATOS!AI$5="Sí",(1/DATOS_[[% anualiz]:[% anualiz]]),1)*IF(DATOS!AI$4="Sí",1/DATOS_[[% normaliz]:[% normaliz]],1)*(DATOS_[Conc.Sal.05])))))))),
0)</f>
        <v>0</v>
      </c>
      <c r="O56" s="196">
        <f t="array" ref="O56">IFERROR(
(MEDIAN((IF(DATOS_[[Sexo]:[Sexo]]=$B56,IF(DATOS_[[AGRUP. VALOR. PTO.]:[AGRUP. VALOR. PTO.]]=$B54,IF(DATOS_[[Check Periodo Ref.]:[Check Periodo Ref.]]="Dentro",IF(DATOS_[[Check Equiparado]:[Check Equiparado]]="Sí",IF(DATOS!AJ$5="Sí",(1/DATOS_[[% anualiz]:[% anualiz]]),1)*IF(DATOS!AJ$4="Sí",1/DATOS_[[% normaliz]:[% normaliz]],1)*(DATOS_[Conc.Sal.06])))))))),
0)</f>
        <v>0</v>
      </c>
      <c r="P56" s="196">
        <f t="array" ref="P56">IFERROR(
(MEDIAN((IF(DATOS_[[Sexo]:[Sexo]]=$B56,IF(DATOS_[[AGRUP. VALOR. PTO.]:[AGRUP. VALOR. PTO.]]=$B54,IF(DATOS_[[Check Periodo Ref.]:[Check Periodo Ref.]]="Dentro",IF(DATOS_[[Check Equiparado]:[Check Equiparado]]="Sí",IF(DATOS!AK$5="Sí",(1/DATOS_[[% anualiz]:[% anualiz]]),1)*IF(DATOS!AK$4="Sí",1/DATOS_[[% normaliz]:[% normaliz]],1)*(DATOS_[Conc.Sal.07])))))))),
0)</f>
        <v>0</v>
      </c>
      <c r="Q56" s="196">
        <f t="array" ref="Q56">IFERROR(
(MEDIAN((IF(DATOS_[[Sexo]:[Sexo]]=$B56,IF(DATOS_[[AGRUP. VALOR. PTO.]:[AGRUP. VALOR. PTO.]]=$B54,IF(DATOS_[[Check Periodo Ref.]:[Check Periodo Ref.]]="Dentro",IF(DATOS_[[Check Equiparado]:[Check Equiparado]]="Sí",IF(DATOS!AL$5="Sí",(1/DATOS_[[% anualiz]:[% anualiz]]),1)*IF(DATOS!AL$4="Sí",1/DATOS_[[% normaliz]:[% normaliz]],1)*(DATOS_[Conc.Sal.08])))))))),
0)</f>
        <v>0</v>
      </c>
      <c r="R56" s="196">
        <f t="array" ref="R56">IFERROR(
(MEDIAN((IF(DATOS_[[Sexo]:[Sexo]]=$B56,IF(DATOS_[[AGRUP. VALOR. PTO.]:[AGRUP. VALOR. PTO.]]=$B54,IF(DATOS_[[Check Periodo Ref.]:[Check Periodo Ref.]]="Dentro",IF(DATOS_[[Check Equiparado]:[Check Equiparado]]="Sí",IF(DATOS!AM$5="Sí",(1/DATOS_[[% anualiz]:[% anualiz]]),1)*IF(DATOS!AM$4="Sí",1/DATOS_[[% normaliz]:[% normaliz]],1)*(DATOS_[Conc.Sal.09])))))))),
0)</f>
        <v>0</v>
      </c>
      <c r="S56" s="196">
        <f t="array" ref="S56">IFERROR(
(MEDIAN((IF(DATOS_[[Sexo]:[Sexo]]=$B56,IF(DATOS_[[AGRUP. VALOR. PTO.]:[AGRUP. VALOR. PTO.]]=$B54,IF(DATOS_[[Check Periodo Ref.]:[Check Periodo Ref.]]="Dentro",IF(DATOS_[[Check Equiparado]:[Check Equiparado]]="Sí",IF(DATOS!AN$5="Sí",(1/DATOS_[[% anualiz]:[% anualiz]]),1)*IF(DATOS!AN$4="Sí",1/DATOS_[[% normaliz]:[% normaliz]],1)*(DATOS_[Conc.Sal.10])))))))),
0)</f>
        <v>0</v>
      </c>
      <c r="T56" s="196">
        <f t="array" ref="T56">IFERROR(
(MEDIAN((IF(DATOS_[[Sexo]:[Sexo]]=$B56,IF(DATOS_[[AGRUP. VALOR. PTO.]:[AGRUP. VALOR. PTO.]]=$B54,IF(DATOS_[[Check Periodo Ref.]:[Check Periodo Ref.]]="Dentro",IF(DATOS_[[Check Equiparado]:[Check Equiparado]]="Sí",IF(DATOS!AO$5="Sí",(1/DATOS_[[% anualiz]:[% anualiz]]),1)*IF(DATOS!AO$4="Sí",1/DATOS_[[% normaliz]:[% normaliz]],1)*(DATOS_[Conc.Sal.11])))))))),
0)</f>
        <v>0</v>
      </c>
      <c r="U56" s="196">
        <f t="array" ref="U56">IFERROR(
(MEDIAN((IF(DATOS_[[Sexo]:[Sexo]]=$B56,IF(DATOS_[[AGRUP. VALOR. PTO.]:[AGRUP. VALOR. PTO.]]=$B54,IF(DATOS_[[Check Periodo Ref.]:[Check Periodo Ref.]]="Dentro",IF(DATOS_[[Check Equiparado]:[Check Equiparado]]="Sí",IF(DATOS!AP$5="Sí",(1/DATOS_[[% anualiz]:[% anualiz]]),1)*IF(DATOS!AP$4="Sí",1/DATOS_[[% normaliz]:[% normaliz]],1)*(DATOS_[Conc.Sal.12])))))))),
0)</f>
        <v>0</v>
      </c>
      <c r="V56" s="196">
        <f t="array" ref="V56">IFERROR(
(MEDIAN((IF(DATOS_[[Sexo]:[Sexo]]=$B56,IF(DATOS_[[AGRUP. VALOR. PTO.]:[AGRUP. VALOR. PTO.]]=$B54,IF(DATOS_[[Check Periodo Ref.]:[Check Periodo Ref.]]="Dentro",IF(DATOS_[[Check Equiparado]:[Check Equiparado]]="Sí",IF(DATOS!AQ$5="Sí",(1/DATOS_[[% anualiz]:[% anualiz]]),1)*IF(DATOS!AQ$4="Sí",1/DATOS_[[% normaliz]:[% normaliz]],1)*(DATOS_[Conc.Sal.13])))))))),
0)</f>
        <v>0</v>
      </c>
      <c r="W56" s="196">
        <f t="array" ref="W56">IFERROR(
(MEDIAN((IF(DATOS_[[Sexo]:[Sexo]]=$B56,IF(DATOS_[[AGRUP. VALOR. PTO.]:[AGRUP. VALOR. PTO.]]=$B54,IF(DATOS_[[Check Periodo Ref.]:[Check Periodo Ref.]]="Dentro",IF(DATOS_[[Check Equiparado]:[Check Equiparado]]="Sí",IF(DATOS!AR$5="Sí",(1/DATOS_[[% anualiz]:[% anualiz]]),1)*IF(DATOS!AR$4="Sí",1/DATOS_[[% normaliz]:[% normaliz]],1)*(DATOS_[Conc.Sal.14])))))))),
0)</f>
        <v>0</v>
      </c>
      <c r="X56" s="196">
        <f t="array" ref="X56">IFERROR(
(MEDIAN((IF(DATOS_[[Sexo]:[Sexo]]=$B56,IF(DATOS_[[AGRUP. VALOR. PTO.]:[AGRUP. VALOR. PTO.]]=$B54,IF(DATOS_[[Check Periodo Ref.]:[Check Periodo Ref.]]="Dentro",IF(DATOS_[[Check Equiparado]:[Check Equiparado]]="Sí",IF(DATOS!AS$5="Sí",(1/DATOS_[[% anualiz]:[% anualiz]]),1)*IF(DATOS!AS$4="Sí",1/DATOS_[[% normaliz]:[% normaliz]],1)*(DATOS_[Conc.Sal.15])))))))),
0)</f>
        <v>0</v>
      </c>
      <c r="Y56" s="196">
        <f t="array" ref="Y56">IFERROR(
(MEDIAN((IF(DATOS_[[Sexo]:[Sexo]]=$B56,IF(DATOS_[[AGRUP. VALOR. PTO.]:[AGRUP. VALOR. PTO.]]=$B54,IF(DATOS_[[Check Periodo Ref.]:[Check Periodo Ref.]]="Dentro",IF(DATOS_[[Check Equiparado]:[Check Equiparado]]="Sí",IF(DATOS!AT$5="Sí",(1/DATOS_[[% anualiz]:[% anualiz]]),1)*IF(DATOS!AT$4="Sí",1/DATOS_[[% normaliz]:[% normaliz]],1)*(DATOS_[Conc.Sal.16])))))))),
0)</f>
        <v>0</v>
      </c>
      <c r="Z56" s="196">
        <f t="array" ref="Z56">IFERROR(
(MEDIAN((IF(DATOS_[[Sexo]:[Sexo]]=$B56,IF(DATOS_[[AGRUP. VALOR. PTO.]:[AGRUP. VALOR. PTO.]]=$B54,IF(DATOS_[[Check Periodo Ref.]:[Check Periodo Ref.]]="Dentro",IF(DATOS_[[Check Equiparado]:[Check Equiparado]]="Sí",IF(DATOS!AU$5="Sí",(1/DATOS_[[% anualiz]:[% anualiz]]),1)*IF(DATOS!AU$4="Sí",1/DATOS_[[% normaliz]:[% normaliz]],1)*(DATOS_[Conc.Sal.17])))))))),
0)</f>
        <v>0</v>
      </c>
      <c r="AA56" s="196">
        <f t="array" ref="AA56">IFERROR(
(MEDIAN((IF(DATOS_[[Sexo]:[Sexo]]=$B56,IF(DATOS_[[AGRUP. VALOR. PTO.]:[AGRUP. VALOR. PTO.]]=$B54,IF(DATOS_[[Check Periodo Ref.]:[Check Periodo Ref.]]="Dentro",IF(DATOS_[[Check Equiparado]:[Check Equiparado]]="Sí",IF(DATOS!AV$5="Sí",(1/DATOS_[[% anualiz]:[% anualiz]]),1)*IF(DATOS!AV$4="Sí",1/DATOS_[[% normaliz]:[% normaliz]],1)*(DATOS_[Conc.Sal.18])))))))),
0)</f>
        <v>0</v>
      </c>
      <c r="AB56" s="196">
        <f t="array" ref="AB56">IFERROR(
(MEDIAN((IF(DATOS_[[Sexo]:[Sexo]]=$B56,IF(DATOS_[[AGRUP. VALOR. PTO.]:[AGRUP. VALOR. PTO.]]=$B54,IF(DATOS_[[Check Periodo Ref.]:[Check Periodo Ref.]]="Dentro",IF(DATOS_[[Check Equiparado]:[Check Equiparado]]="Sí",IF(DATOS!AW$5="Sí",(1/DATOS_[[% anualiz]:[% anualiz]]),1)*IF(DATOS!AW$4="Sí",1/DATOS_[[% normaliz]:[% normaliz]],1)*(DATOS_[Conc.Sal.19])))))))),
0)</f>
        <v>0</v>
      </c>
      <c r="AC56" s="196">
        <f t="array" ref="AC56">IFERROR(
(MEDIAN((IF(DATOS_[[Sexo]:[Sexo]]=$B56,IF(DATOS_[[AGRUP. VALOR. PTO.]:[AGRUP. VALOR. PTO.]]=$B54,IF(DATOS_[[Check Periodo Ref.]:[Check Periodo Ref.]]="Dentro",IF(DATOS_[[Check Equiparado]:[Check Equiparado]]="Sí",IF(DATOS!AX$5="Sí",(1/DATOS_[[% anualiz]:[% anualiz]]),1)*IF(DATOS!AX$4="Sí",1/DATOS_[[% normaliz]:[% normaliz]],1)*(DATOS_[Conc.Sal.20])))))))),
0)</f>
        <v>0</v>
      </c>
      <c r="AD56" s="196">
        <f t="array" ref="AD56">IFERROR(
(MEDIAN((IF(DATOS_[[Sexo]:[Sexo]]=$B56,IF(DATOS_[[AGRUP. VALOR. PTO.]:[AGRUP. VALOR. PTO.]]=$B54,IF(DATOS_[[Check Periodo Ref.]:[Check Periodo Ref.]]="Dentro",IF(DATOS_[[Check Equiparado]:[Check Equiparado]]="Sí",IF(DATOS!AY$5="Sí",(1/DATOS_[[% anualiz]:[% anualiz]]),1)*IF(DATOS!AY$4="Sí",1/DATOS_[[% normaliz]:[% normaliz]],1)*(DATOS_[Conc.Sal.21])))))))),
0)</f>
        <v>0</v>
      </c>
      <c r="AE56" s="196">
        <f t="array" ref="AE56">IFERROR(
(MEDIAN((IF(DATOS_[[Sexo]:[Sexo]]=$B56,IF(DATOS_[[AGRUP. VALOR. PTO.]:[AGRUP. VALOR. PTO.]]=$B54,IF(DATOS_[[Check Periodo Ref.]:[Check Periodo Ref.]]="Dentro",IF(DATOS_[[Check Equiparado]:[Check Equiparado]]="Sí",IF(DATOS!AZ$5="Sí",(1/DATOS_[[% anualiz]:[% anualiz]]),1)*IF(DATOS!AZ$4="Sí",1/DATOS_[[% normaliz]:[% normaliz]],1)*(DATOS_[Conc.Sal.22])))))))),
0)</f>
        <v>0</v>
      </c>
      <c r="AF56" s="196">
        <f t="array" ref="AF56">IFERROR(
(MEDIAN((IF(DATOS_[[Sexo]:[Sexo]]=$B56,IF(DATOS_[[AGRUP. VALOR. PTO.]:[AGRUP. VALOR. PTO.]]=$B54,IF(DATOS_[[Check Periodo Ref.]:[Check Periodo Ref.]]="Dentro",IF(DATOS_[[Check Equiparado]:[Check Equiparado]]="Sí",IF(DATOS!BA$5="Sí",(1/DATOS_[[% anualiz]:[% anualiz]]),1)*IF(DATOS!BA$4="Sí",1/DATOS_[[% normaliz]:[% normaliz]],1)*(DATOS_[Conc.Sal.23])))))))),
0)</f>
        <v>0</v>
      </c>
      <c r="AG56" s="196">
        <f t="array" ref="AG56">IFERROR(
(MEDIAN((IF(DATOS_[[Sexo]:[Sexo]]=$B56,IF(DATOS_[[AGRUP. VALOR. PTO.]:[AGRUP. VALOR. PTO.]]=$B54,IF(DATOS_[[Check Periodo Ref.]:[Check Periodo Ref.]]="Dentro",IF(DATOS_[[Check Equiparado]:[Check Equiparado]]="Sí",IF(DATOS!BB$5="Sí",(1/DATOS_[[% anualiz]:[% anualiz]]),1)*IF(DATOS!BB$4="Sí",1/DATOS_[[% normaliz]:[% normaliz]],1)*(DATOS_[Conc.Sal.24])))))))),
0)</f>
        <v>0</v>
      </c>
      <c r="AH56" s="196">
        <f t="array" ref="AH56">IFERROR(
(MEDIAN((IF(DATOS_[[Sexo]:[Sexo]]=$B56,IF(DATOS_[[AGRUP. VALOR. PTO.]:[AGRUP. VALOR. PTO.]]=$B54,IF(DATOS_[[Check Periodo Ref.]:[Check Periodo Ref.]]="Dentro",IF(DATOS_[[Check Equiparado]:[Check Equiparado]]="Sí",IF(DATOS!BC$5="Sí",(1/DATOS_[[% anualiz]:[% anualiz]]),1)*IF(DATOS!BC$4="Sí",1/DATOS_[[% normaliz]:[% normaliz]],1)*(DATOS_[Conc.Sal.25])))))))),
0)</f>
        <v>0</v>
      </c>
      <c r="AI56" s="196">
        <f t="array" ref="AI56">IFERROR(
(MEDIAN((IF(DATOS_[[Sexo]:[Sexo]]=$B56,IF(DATOS_[[AGRUP. VALOR. PTO.]:[AGRUP. VALOR. PTO.]]=$B54,IF(DATOS_[[Check Periodo Ref.]:[Check Periodo Ref.]]="Dentro",IF(DATOS_[[Check Equiparado]:[Check Equiparado]]="Sí",IF(DATOS!BD$5="Sí",(1/DATOS_[[% anualiz]:[% anualiz]]),1)*IF(DATOS!BD$4="Sí",1/DATOS_[[% normaliz]:[% normaliz]],1)*(DATOS_[Conc.Sal.26])))))))),
0)</f>
        <v>0</v>
      </c>
      <c r="AJ56" s="196">
        <f t="array" ref="AJ56">IFERROR(
(MEDIAN((IF(DATOS_[[Sexo]:[Sexo]]=$B56,IF(DATOS_[[AGRUP. VALOR. PTO.]:[AGRUP. VALOR. PTO.]]=$B54,IF(DATOS_[[Check Periodo Ref.]:[Check Periodo Ref.]]="Dentro",IF(DATOS_[[Check Equiparado]:[Check Equiparado]]="Sí",IF(DATOS!BE$5="Sí",(1/DATOS_[[% anualiz]:[% anualiz]]),1)*IF(DATOS!BE$4="Sí",1/DATOS_[[% normaliz]:[% normaliz]],1)*(DATOS_[Conc.Sal.27])))))))),
0)</f>
        <v>0</v>
      </c>
      <c r="AK56" s="196">
        <f t="array" ref="AK56">IFERROR(
(MEDIAN((IF(DATOS_[[Sexo]:[Sexo]]=$B56,IF(DATOS_[[AGRUP. VALOR. PTO.]:[AGRUP. VALOR. PTO.]]=$B54,IF(DATOS_[[Check Periodo Ref.]:[Check Periodo Ref.]]="Dentro",IF(DATOS_[[Check Equiparado]:[Check Equiparado]]="Sí",IF(DATOS!BF$5="Sí",(1/DATOS_[[% anualiz]:[% anualiz]]),1)*IF(DATOS!BF$4="Sí",1/DATOS_[[% normaliz]:[% normaliz]],1)*(DATOS_[Conc.Sal.28])))))))),
0)</f>
        <v>0</v>
      </c>
      <c r="AL56" s="196">
        <f t="array" ref="AL56">IFERROR(
(MEDIAN((IF(DATOS_[[Sexo]:[Sexo]]=$B56,IF(DATOS_[[AGRUP. VALOR. PTO.]:[AGRUP. VALOR. PTO.]]=$B54,IF(DATOS_[[Check Periodo Ref.]:[Check Periodo Ref.]]="Dentro",IF(DATOS_[[Check Equiparado]:[Check Equiparado]]="Sí",IF(DATOS!BG$5="Sí",(1/DATOS_[[% anualiz]:[% anualiz]]),1)*IF(DATOS!BG$4="Sí",1/DATOS_[[% normaliz]:[% normaliz]],1)*(DATOS_[Conc.Sal.29])))))))),
0)</f>
        <v>0</v>
      </c>
      <c r="AM56" s="196">
        <f t="array" ref="AM56">IFERROR(
(MEDIAN((IF(DATOS_[[Sexo]:[Sexo]]=$B56,IF(DATOS_[[AGRUP. VALOR. PTO.]:[AGRUP. VALOR. PTO.]]=$B54,IF(DATOS_[[Check Periodo Ref.]:[Check Periodo Ref.]]="Dentro",IF(DATOS_[[Check Equiparado]:[Check Equiparado]]="Sí",IF(DATOS!BH$5="Sí",(1/DATOS_[[% anualiz]:[% anualiz]]),1)*IF(DATOS!BH$4="Sí",1/DATOS_[[% normaliz]:[% normaliz]],1)*(DATOS_[Conc.Sal.30])))))))),
0)</f>
        <v>0</v>
      </c>
      <c r="AN56" s="195">
        <f t="array" ref="AN56">IFERROR(
MEDIAN(IF(DATOS_[Sexo]=$B56,IF(DATOS_[[AGRUP. VALOR. PTO.]:[AGRUP. VALOR. PTO.]]=$B54,IF(DATOS_[Check Equiparado]="Sí",IF(DATOS_[Check Periodo Ref.]="Dentro",DATOS_[Tot COMPL.SAL Eq],FALSE))))),
0)</f>
        <v>0</v>
      </c>
      <c r="AO56" s="172">
        <f t="array" ref="AO56">IFERROR(
MEDIAN(IF(DATOS_[Sexo]=$B56,IF(DATOS_[[AGRUP. VALOR. PTO.]:[AGRUP. VALOR. PTO.]]=$B54,IF(DATOS_[Check Equiparado]="Sí",IF(DATOS_[Check Periodo Ref.]="Dentro",DATOS_[TOTAL SALARIO Eq],FALSE))))),
0)</f>
        <v>0</v>
      </c>
      <c r="AP56" s="173">
        <f t="array" ref="AP56">IFERROR(
(MEDIAN((IF(DATOS_[[Sexo]:[Sexo]]=$B56,IF(DATOS_[[AGRUP. VALOR. PTO.]:[AGRUP. VALOR. PTO.]]=$B55,IF(DATOS_[[Check Periodo Ref.]:[Check Periodo Ref.]]="Dentro",IF(DATOS_[[Check Equiparado]:[Check Equiparado]]="Sí",IF(DATOS!BW$5="Sí",(1/DATOS_[[% anualiz]:[% anualiz]]),1)*IF(DATOS!BW$4="Sí",1/DATOS_[[% normaliz]:[% normaliz]],1)*(DATOS_[C.Extra.01])))))))),
0)</f>
        <v>0</v>
      </c>
      <c r="AQ56" s="173">
        <f t="array" ref="AQ56">IFERROR(
(MEDIAN((IF(DATOS_[[Sexo]:[Sexo]]=$B56,IF(DATOS_[[AGRUP. VALOR. PTO.]:[AGRUP. VALOR. PTO.]]=$B55,IF(DATOS_[[Check Periodo Ref.]:[Check Periodo Ref.]]="Dentro",IF(DATOS_[[Check Equiparado]:[Check Equiparado]]="Sí",IF(DATOS!CB$5="Sí",(1/DATOS_[[% anualiz]:[% anualiz]]),1)*IF(DATOS!CB$4="Sí",1/DATOS_[[% normaliz]:[% normaliz]],1)*(DATOS_[C.Extra.06])))))))),
0)</f>
        <v>0</v>
      </c>
      <c r="AR56" s="173">
        <f t="array" ref="AR56">IFERROR(
(MEDIAN((IF(DATOS_[[Sexo]:[Sexo]]=$B56,IF(DATOS_[[AGRUP. VALOR. PTO.]:[AGRUP. VALOR. PTO.]]=$B55,IF(DATOS_[[Check Periodo Ref.]:[Check Periodo Ref.]]="Dentro",IF(DATOS_[[Check Equiparado]:[Check Equiparado]]="Sí",IF(DATOS!CC$5="Sí",(1/DATOS_[[% anualiz]:[% anualiz]]),1)*IF(DATOS!CC$4="Sí",1/DATOS_[[% normaliz]:[% normaliz]],1)*(DATOS_[C.Extra.07])))))))),
0)</f>
        <v>0</v>
      </c>
      <c r="AS56" s="173">
        <f t="array" ref="AS56">IFERROR(
(MEDIAN((IF(DATOS_[[Sexo]:[Sexo]]=$B56,IF(DATOS_[[AGRUP. VALOR. PTO.]:[AGRUP. VALOR. PTO.]]=$B55,IF(DATOS_[[Check Periodo Ref.]:[Check Periodo Ref.]]="Dentro",IF(DATOS_[[Check Equiparado]:[Check Equiparado]]="Sí",IF(DATOS!CD$5="Sí",(1/DATOS_[[% anualiz]:[% anualiz]]),1)*IF(DATOS!CD$4="Sí",1/DATOS_[[% normaliz]:[% normaliz]],1)*(DATOS_[C.Extra.08])))))))),
0)</f>
        <v>0</v>
      </c>
      <c r="AT56" s="173">
        <f t="array" ref="AT56">IFERROR(
(MEDIAN((IF(DATOS_[[Sexo]:[Sexo]]=$B56,IF(DATOS_[[AGRUP. VALOR. PTO.]:[AGRUP. VALOR. PTO.]]=$B55,IF(DATOS_[[Check Periodo Ref.]:[Check Periodo Ref.]]="Dentro",IF(DATOS_[[Check Equiparado]:[Check Equiparado]]="Sí",IF(DATOS!CG$5="Sí",(1/DATOS_[[% anualiz]:[% anualiz]]),1)*IF(DATOS!CG$4="Sí",1/DATOS_[[% normaliz]:[% normaliz]],1)*(DATOS_[C.Extra.11])))))))),
0)</f>
        <v>0</v>
      </c>
      <c r="AU56" s="197">
        <f t="array" ref="AU56">IFERROR(
MEDIAN(IF(DATOS_[Sexo]=$B56,IF(DATOS_[[AGRUP. VALOR. PTO.]:[AGRUP. VALOR. PTO.]]=$B54,IF(DATOS_[Check Equiparado]="Sí",IF(DATOS_[Check Periodo Ref.]="Dentro",DATOS_[Tot Extrasalarial Eq],FALSE))))),
0)</f>
        <v>0</v>
      </c>
      <c r="AV56" s="175">
        <f t="array" ref="AV56">IFERROR(
MEDIAN(IF(DATOS_[Sexo]=$B56,IF(DATOS_[[AGRUP. VALOR. PTO.]:[AGRUP. VALOR. PTO.]]=$B54,IF(DATOS_[Check Equiparado]="Sí",IF(DATOS_[Check Periodo Ref.]="Dentro",DATOS_[TOTAL Retrib Eq],FALSE))))),
0)</f>
        <v>0</v>
      </c>
    </row>
    <row r="57" spans="1:48" ht="15.6" thickBot="1" x14ac:dyDescent="0.3">
      <c r="A57" s="133" t="str">
        <f t="shared" ref="A57" si="59">+A58</f>
        <v>[ocultar]</v>
      </c>
      <c r="B57" s="199" t="s">
        <v>234</v>
      </c>
      <c r="C57" s="200"/>
      <c r="D57" s="201"/>
      <c r="E57" s="201"/>
      <c r="F57" s="201"/>
      <c r="G57" s="201"/>
      <c r="H57" s="201"/>
      <c r="I57" s="189" t="str">
        <f t="shared" ref="I57:AV57" si="60">IFERROR((I58-I59)/I58,"")</f>
        <v/>
      </c>
      <c r="J57" s="190" t="str">
        <f t="shared" si="60"/>
        <v/>
      </c>
      <c r="K57" s="191" t="str">
        <f t="shared" si="60"/>
        <v/>
      </c>
      <c r="L57" s="191" t="str">
        <f t="shared" si="60"/>
        <v/>
      </c>
      <c r="M57" s="191" t="str">
        <f t="shared" si="60"/>
        <v/>
      </c>
      <c r="N57" s="192" t="str">
        <f t="shared" si="60"/>
        <v/>
      </c>
      <c r="O57" s="193" t="str">
        <f t="shared" si="60"/>
        <v/>
      </c>
      <c r="P57" s="193" t="str">
        <f t="shared" si="60"/>
        <v/>
      </c>
      <c r="Q57" s="193" t="str">
        <f t="shared" si="60"/>
        <v/>
      </c>
      <c r="R57" s="193" t="str">
        <f t="shared" si="60"/>
        <v/>
      </c>
      <c r="S57" s="193" t="str">
        <f t="shared" si="60"/>
        <v/>
      </c>
      <c r="T57" s="193" t="str">
        <f t="shared" si="60"/>
        <v/>
      </c>
      <c r="U57" s="193" t="str">
        <f t="shared" si="60"/>
        <v/>
      </c>
      <c r="V57" s="193" t="str">
        <f t="shared" si="60"/>
        <v/>
      </c>
      <c r="W57" s="193" t="str">
        <f t="shared" si="60"/>
        <v/>
      </c>
      <c r="X57" s="193" t="str">
        <f t="shared" si="60"/>
        <v/>
      </c>
      <c r="Y57" s="193" t="str">
        <f t="shared" si="60"/>
        <v/>
      </c>
      <c r="Z57" s="193" t="str">
        <f t="shared" si="60"/>
        <v/>
      </c>
      <c r="AA57" s="193" t="str">
        <f t="shared" si="60"/>
        <v/>
      </c>
      <c r="AB57" s="193" t="str">
        <f t="shared" si="60"/>
        <v/>
      </c>
      <c r="AC57" s="193" t="str">
        <f t="shared" si="60"/>
        <v/>
      </c>
      <c r="AD57" s="193" t="str">
        <f t="shared" si="60"/>
        <v/>
      </c>
      <c r="AE57" s="193" t="str">
        <f t="shared" si="60"/>
        <v/>
      </c>
      <c r="AF57" s="193" t="str">
        <f t="shared" si="60"/>
        <v/>
      </c>
      <c r="AG57" s="193" t="str">
        <f t="shared" si="60"/>
        <v/>
      </c>
      <c r="AH57" s="193" t="str">
        <f t="shared" si="60"/>
        <v/>
      </c>
      <c r="AI57" s="193" t="str">
        <f t="shared" si="60"/>
        <v/>
      </c>
      <c r="AJ57" s="193" t="str">
        <f t="shared" si="60"/>
        <v/>
      </c>
      <c r="AK57" s="193" t="str">
        <f t="shared" si="60"/>
        <v/>
      </c>
      <c r="AL57" s="193" t="str">
        <f t="shared" si="60"/>
        <v/>
      </c>
      <c r="AM57" s="193" t="str">
        <f t="shared" si="60"/>
        <v/>
      </c>
      <c r="AN57" s="189" t="str">
        <f t="shared" si="60"/>
        <v/>
      </c>
      <c r="AO57" s="162" t="str">
        <f t="shared" si="60"/>
        <v/>
      </c>
      <c r="AP57" s="163" t="str">
        <f t="shared" si="60"/>
        <v/>
      </c>
      <c r="AQ57" s="163" t="str">
        <f t="shared" si="60"/>
        <v/>
      </c>
      <c r="AR57" s="163" t="str">
        <f t="shared" si="60"/>
        <v/>
      </c>
      <c r="AS57" s="163" t="str">
        <f t="shared" si="60"/>
        <v/>
      </c>
      <c r="AT57" s="163" t="str">
        <f t="shared" si="60"/>
        <v/>
      </c>
      <c r="AU57" s="194" t="str">
        <f t="shared" si="60"/>
        <v/>
      </c>
      <c r="AV57" s="165" t="str">
        <f t="shared" si="60"/>
        <v/>
      </c>
    </row>
    <row r="58" spans="1:48" x14ac:dyDescent="0.25">
      <c r="A58" s="133" t="str">
        <f t="shared" ref="A58" si="61">+IF(C58+C59=0,"[ocultar]","")</f>
        <v>[ocultar]</v>
      </c>
      <c r="B58" s="202" t="s">
        <v>394</v>
      </c>
      <c r="C58" s="203">
        <f t="array" ref="C58">SUM(IF($B58=DATOS_[Sexo],
IF($B57=DATOS_[AGRUP. VALOR. PTO.],
IF("Dentro"=DATOS_[Check Periodo Ref.],
1/(COUNTIFS(DATOS_[Sexo],$B58,DATOS_[AGRUP. VALOR. PTO.],$B57,DATOS_[Check Periodo Ref.],"Dentro",DATOS_[id/cod],DATOS_[id/cod]))))))</f>
        <v>0</v>
      </c>
      <c r="D58" s="204">
        <f>COUNTIFS(DATOS_[AGRUP. VALOR. PTO.],$B57,DATOS_[Sexo],$B58,DATOS_[Check Periodo Ref.],"Dentro")</f>
        <v>0</v>
      </c>
      <c r="E58" s="204">
        <f>COUNTIFS(DATOS_[AGRUP. VALOR. PTO.],$B57,DATOS_[Sexo],$B58,DATOS_[Check Periodo Ref.],"Dentro",DATOS_[Check Nº SC Norm],"Sí")</f>
        <v>0</v>
      </c>
      <c r="F58" s="204">
        <f>COUNTIFS(DATOS_[AGRUP. VALOR. PTO.],$B57,DATOS_[Sexo],$B58,DATOS_[Check Periodo Ref.],"Dentro",DATOS_[Check Nº SC Anualiz],"Sí")</f>
        <v>0</v>
      </c>
      <c r="G58" s="204">
        <f>COUNTIFS(DATOS_[AGRUP. VALOR. PTO.],$B57,DATOS_[Sexo],$B58,DATOS_[Check Periodo Ref.],"Dentro",DATOS_[Check Nº SC Norm y Anualiz],"Sí")</f>
        <v>0</v>
      </c>
      <c r="H58" s="204">
        <f>COUNTIFS(DATOS_[AGRUP. VALOR. PTO.],$B57,DATOS_[Sexo],$B58,DATOS_[Check Periodo Ref.],"Dentro",DATOS_[Check Equiparación],"Sí")</f>
        <v>0</v>
      </c>
      <c r="I58" s="195">
        <f t="array" ref="I58">IFERROR(
MEDIAN(IF(DATOS_[Sexo]=$B58,IF(DATOS_[[AGRUP. VALOR. PTO.]:[AGRUP. VALOR. PTO.]]=$B57,IF(DATOS_[Check Equiparado]="Sí",IF(DATOS_[Check Periodo Ref.]="Dentro",DATOS_[SALARIO BASE Eq],FALSE))))),
0)</f>
        <v>0</v>
      </c>
      <c r="J58" s="196">
        <f t="array" ref="J58">IFERROR(
(MEDIAN((IF(DATOS_[[Sexo]:[Sexo]]=$B58,IF(DATOS_[[AGRUP. VALOR. PTO.]:[AGRUP. VALOR. PTO.]]=$B57,IF(DATOS_[[Check Periodo Ref.]:[Check Periodo Ref.]]="Dentro",IF(DATOS_[[Check Equiparado]:[Check Equiparado]]="Sí",IF(DATOS!AE$5="Sí",(1/DATOS_[[% anualiz]:[% anualiz]]),1)*IF(DATOS!AE$4="Sí",1/DATOS_[[% normaliz]:[% normaliz]],1)*(DATOS_[Conc.Sal.01])))))))),
0)</f>
        <v>0</v>
      </c>
      <c r="K58" s="196">
        <f t="array" ref="K58">IFERROR(
(MEDIAN((IF(DATOS_[[Sexo]:[Sexo]]=$B58,IF(DATOS_[[AGRUP. VALOR. PTO.]:[AGRUP. VALOR. PTO.]]=$B57,IF(DATOS_[[Check Periodo Ref.]:[Check Periodo Ref.]]="Dentro",IF(DATOS_[[Check Equiparado]:[Check Equiparado]]="Sí",IF(DATOS!AF$5="Sí",(1/DATOS_[[% anualiz]:[% anualiz]]),1)*IF(DATOS!AF$4="Sí",1/DATOS_[[% normaliz]:[% normaliz]],1)*(DATOS_[Conc.Sal.02])))))))),
0)</f>
        <v>0</v>
      </c>
      <c r="L58" s="196">
        <f t="array" ref="L58">IFERROR(
(MEDIAN((IF(DATOS_[[Sexo]:[Sexo]]=$B58,IF(DATOS_[[AGRUP. VALOR. PTO.]:[AGRUP. VALOR. PTO.]]=$B57,IF(DATOS_[[Check Periodo Ref.]:[Check Periodo Ref.]]="Dentro",IF(DATOS_[[Check Equiparado]:[Check Equiparado]]="Sí",IF(DATOS!AG$5="Sí",(1/DATOS_[[% anualiz]:[% anualiz]]),1)*IF(DATOS!AG$4="Sí",1/DATOS_[[% normaliz]:[% normaliz]],1)*(DATOS_[Conc.Sal.03])))))))),
0)</f>
        <v>0</v>
      </c>
      <c r="M58" s="196">
        <f t="array" ref="M58">IFERROR(
(MEDIAN((IF(DATOS_[[Sexo]:[Sexo]]=$B58,IF(DATOS_[[AGRUP. VALOR. PTO.]:[AGRUP. VALOR. PTO.]]=$B57,IF(DATOS_[[Check Periodo Ref.]:[Check Periodo Ref.]]="Dentro",IF(DATOS_[[Check Equiparado]:[Check Equiparado]]="Sí",IF(DATOS!AH$5="Sí",(1/DATOS_[[% anualiz]:[% anualiz]]),1)*IF(DATOS!AH$4="Sí",1/DATOS_[[% normaliz]:[% normaliz]],1)*(DATOS_[Conc.Sal.04])))))))),
0)</f>
        <v>0</v>
      </c>
      <c r="N58" s="196">
        <f t="array" ref="N58">IFERROR(
(MEDIAN((IF(DATOS_[[Sexo]:[Sexo]]=$B58,IF(DATOS_[[AGRUP. VALOR. PTO.]:[AGRUP. VALOR. PTO.]]=$B57,IF(DATOS_[[Check Periodo Ref.]:[Check Periodo Ref.]]="Dentro",IF(DATOS_[[Check Equiparado]:[Check Equiparado]]="Sí",IF(DATOS!AI$5="Sí",(1/DATOS_[[% anualiz]:[% anualiz]]),1)*IF(DATOS!AI$4="Sí",1/DATOS_[[% normaliz]:[% normaliz]],1)*(DATOS_[Conc.Sal.05])))))))),
0)</f>
        <v>0</v>
      </c>
      <c r="O58" s="196">
        <f t="array" ref="O58">IFERROR(
(MEDIAN((IF(DATOS_[[Sexo]:[Sexo]]=$B58,IF(DATOS_[[AGRUP. VALOR. PTO.]:[AGRUP. VALOR. PTO.]]=$B57,IF(DATOS_[[Check Periodo Ref.]:[Check Periodo Ref.]]="Dentro",IF(DATOS_[[Check Equiparado]:[Check Equiparado]]="Sí",IF(DATOS!AJ$5="Sí",(1/DATOS_[[% anualiz]:[% anualiz]]),1)*IF(DATOS!AJ$4="Sí",1/DATOS_[[% normaliz]:[% normaliz]],1)*(DATOS_[Conc.Sal.06])))))))),
0)</f>
        <v>0</v>
      </c>
      <c r="P58" s="196">
        <f t="array" ref="P58">IFERROR(
(MEDIAN((IF(DATOS_[[Sexo]:[Sexo]]=$B58,IF(DATOS_[[AGRUP. VALOR. PTO.]:[AGRUP. VALOR. PTO.]]=$B57,IF(DATOS_[[Check Periodo Ref.]:[Check Periodo Ref.]]="Dentro",IF(DATOS_[[Check Equiparado]:[Check Equiparado]]="Sí",IF(DATOS!AK$5="Sí",(1/DATOS_[[% anualiz]:[% anualiz]]),1)*IF(DATOS!AK$4="Sí",1/DATOS_[[% normaliz]:[% normaliz]],1)*(DATOS_[Conc.Sal.07])))))))),
0)</f>
        <v>0</v>
      </c>
      <c r="Q58" s="196">
        <f t="array" ref="Q58">IFERROR(
(MEDIAN((IF(DATOS_[[Sexo]:[Sexo]]=$B58,IF(DATOS_[[AGRUP. VALOR. PTO.]:[AGRUP. VALOR. PTO.]]=$B57,IF(DATOS_[[Check Periodo Ref.]:[Check Periodo Ref.]]="Dentro",IF(DATOS_[[Check Equiparado]:[Check Equiparado]]="Sí",IF(DATOS!AL$5="Sí",(1/DATOS_[[% anualiz]:[% anualiz]]),1)*IF(DATOS!AL$4="Sí",1/DATOS_[[% normaliz]:[% normaliz]],1)*(DATOS_[Conc.Sal.08])))))))),
0)</f>
        <v>0</v>
      </c>
      <c r="R58" s="196">
        <f t="array" ref="R58">IFERROR(
(MEDIAN((IF(DATOS_[[Sexo]:[Sexo]]=$B58,IF(DATOS_[[AGRUP. VALOR. PTO.]:[AGRUP. VALOR. PTO.]]=$B57,IF(DATOS_[[Check Periodo Ref.]:[Check Periodo Ref.]]="Dentro",IF(DATOS_[[Check Equiparado]:[Check Equiparado]]="Sí",IF(DATOS!AM$5="Sí",(1/DATOS_[[% anualiz]:[% anualiz]]),1)*IF(DATOS!AM$4="Sí",1/DATOS_[[% normaliz]:[% normaliz]],1)*(DATOS_[Conc.Sal.09])))))))),
0)</f>
        <v>0</v>
      </c>
      <c r="S58" s="196">
        <f t="array" ref="S58">IFERROR(
(MEDIAN((IF(DATOS_[[Sexo]:[Sexo]]=$B58,IF(DATOS_[[AGRUP. VALOR. PTO.]:[AGRUP. VALOR. PTO.]]=$B57,IF(DATOS_[[Check Periodo Ref.]:[Check Periodo Ref.]]="Dentro",IF(DATOS_[[Check Equiparado]:[Check Equiparado]]="Sí",IF(DATOS!AN$5="Sí",(1/DATOS_[[% anualiz]:[% anualiz]]),1)*IF(DATOS!AN$4="Sí",1/DATOS_[[% normaliz]:[% normaliz]],1)*(DATOS_[Conc.Sal.10])))))))),
0)</f>
        <v>0</v>
      </c>
      <c r="T58" s="196">
        <f t="array" ref="T58">IFERROR(
(MEDIAN((IF(DATOS_[[Sexo]:[Sexo]]=$B58,IF(DATOS_[[AGRUP. VALOR. PTO.]:[AGRUP. VALOR. PTO.]]=$B57,IF(DATOS_[[Check Periodo Ref.]:[Check Periodo Ref.]]="Dentro",IF(DATOS_[[Check Equiparado]:[Check Equiparado]]="Sí",IF(DATOS!AO$5="Sí",(1/DATOS_[[% anualiz]:[% anualiz]]),1)*IF(DATOS!AO$4="Sí",1/DATOS_[[% normaliz]:[% normaliz]],1)*(DATOS_[Conc.Sal.11])))))))),
0)</f>
        <v>0</v>
      </c>
      <c r="U58" s="196">
        <f t="array" ref="U58">IFERROR(
(MEDIAN((IF(DATOS_[[Sexo]:[Sexo]]=$B58,IF(DATOS_[[AGRUP. VALOR. PTO.]:[AGRUP. VALOR. PTO.]]=$B57,IF(DATOS_[[Check Periodo Ref.]:[Check Periodo Ref.]]="Dentro",IF(DATOS_[[Check Equiparado]:[Check Equiparado]]="Sí",IF(DATOS!AP$5="Sí",(1/DATOS_[[% anualiz]:[% anualiz]]),1)*IF(DATOS!AP$4="Sí",1/DATOS_[[% normaliz]:[% normaliz]],1)*(DATOS_[Conc.Sal.12])))))))),
0)</f>
        <v>0</v>
      </c>
      <c r="V58" s="196">
        <f t="array" ref="V58">IFERROR(
(MEDIAN((IF(DATOS_[[Sexo]:[Sexo]]=$B58,IF(DATOS_[[AGRUP. VALOR. PTO.]:[AGRUP. VALOR. PTO.]]=$B57,IF(DATOS_[[Check Periodo Ref.]:[Check Periodo Ref.]]="Dentro",IF(DATOS_[[Check Equiparado]:[Check Equiparado]]="Sí",IF(DATOS!AQ$5="Sí",(1/DATOS_[[% anualiz]:[% anualiz]]),1)*IF(DATOS!AQ$4="Sí",1/DATOS_[[% normaliz]:[% normaliz]],1)*(DATOS_[Conc.Sal.13])))))))),
0)</f>
        <v>0</v>
      </c>
      <c r="W58" s="196">
        <f t="array" ref="W58">IFERROR(
(MEDIAN((IF(DATOS_[[Sexo]:[Sexo]]=$B58,IF(DATOS_[[AGRUP. VALOR. PTO.]:[AGRUP. VALOR. PTO.]]=$B57,IF(DATOS_[[Check Periodo Ref.]:[Check Periodo Ref.]]="Dentro",IF(DATOS_[[Check Equiparado]:[Check Equiparado]]="Sí",IF(DATOS!AR$5="Sí",(1/DATOS_[[% anualiz]:[% anualiz]]),1)*IF(DATOS!AR$4="Sí",1/DATOS_[[% normaliz]:[% normaliz]],1)*(DATOS_[Conc.Sal.14])))))))),
0)</f>
        <v>0</v>
      </c>
      <c r="X58" s="196">
        <f t="array" ref="X58">IFERROR(
(MEDIAN((IF(DATOS_[[Sexo]:[Sexo]]=$B58,IF(DATOS_[[AGRUP. VALOR. PTO.]:[AGRUP. VALOR. PTO.]]=$B57,IF(DATOS_[[Check Periodo Ref.]:[Check Periodo Ref.]]="Dentro",IF(DATOS_[[Check Equiparado]:[Check Equiparado]]="Sí",IF(DATOS!AS$5="Sí",(1/DATOS_[[% anualiz]:[% anualiz]]),1)*IF(DATOS!AS$4="Sí",1/DATOS_[[% normaliz]:[% normaliz]],1)*(DATOS_[Conc.Sal.15])))))))),
0)</f>
        <v>0</v>
      </c>
      <c r="Y58" s="196">
        <f t="array" ref="Y58">IFERROR(
(MEDIAN((IF(DATOS_[[Sexo]:[Sexo]]=$B58,IF(DATOS_[[AGRUP. VALOR. PTO.]:[AGRUP. VALOR. PTO.]]=$B57,IF(DATOS_[[Check Periodo Ref.]:[Check Periodo Ref.]]="Dentro",IF(DATOS_[[Check Equiparado]:[Check Equiparado]]="Sí",IF(DATOS!AT$5="Sí",(1/DATOS_[[% anualiz]:[% anualiz]]),1)*IF(DATOS!AT$4="Sí",1/DATOS_[[% normaliz]:[% normaliz]],1)*(DATOS_[Conc.Sal.16])))))))),
0)</f>
        <v>0</v>
      </c>
      <c r="Z58" s="196">
        <f t="array" ref="Z58">IFERROR(
(MEDIAN((IF(DATOS_[[Sexo]:[Sexo]]=$B58,IF(DATOS_[[AGRUP. VALOR. PTO.]:[AGRUP. VALOR. PTO.]]=$B57,IF(DATOS_[[Check Periodo Ref.]:[Check Periodo Ref.]]="Dentro",IF(DATOS_[[Check Equiparado]:[Check Equiparado]]="Sí",IF(DATOS!AU$5="Sí",(1/DATOS_[[% anualiz]:[% anualiz]]),1)*IF(DATOS!AU$4="Sí",1/DATOS_[[% normaliz]:[% normaliz]],1)*(DATOS_[Conc.Sal.17])))))))),
0)</f>
        <v>0</v>
      </c>
      <c r="AA58" s="196">
        <f t="array" ref="AA58">IFERROR(
(MEDIAN((IF(DATOS_[[Sexo]:[Sexo]]=$B58,IF(DATOS_[[AGRUP. VALOR. PTO.]:[AGRUP. VALOR. PTO.]]=$B57,IF(DATOS_[[Check Periodo Ref.]:[Check Periodo Ref.]]="Dentro",IF(DATOS_[[Check Equiparado]:[Check Equiparado]]="Sí",IF(DATOS!AV$5="Sí",(1/DATOS_[[% anualiz]:[% anualiz]]),1)*IF(DATOS!AV$4="Sí",1/DATOS_[[% normaliz]:[% normaliz]],1)*(DATOS_[Conc.Sal.18])))))))),
0)</f>
        <v>0</v>
      </c>
      <c r="AB58" s="196">
        <f t="array" ref="AB58">IFERROR(
(MEDIAN((IF(DATOS_[[Sexo]:[Sexo]]=$B58,IF(DATOS_[[AGRUP. VALOR. PTO.]:[AGRUP. VALOR. PTO.]]=$B57,IF(DATOS_[[Check Periodo Ref.]:[Check Periodo Ref.]]="Dentro",IF(DATOS_[[Check Equiparado]:[Check Equiparado]]="Sí",IF(DATOS!AW$5="Sí",(1/DATOS_[[% anualiz]:[% anualiz]]),1)*IF(DATOS!AW$4="Sí",1/DATOS_[[% normaliz]:[% normaliz]],1)*(DATOS_[Conc.Sal.19])))))))),
0)</f>
        <v>0</v>
      </c>
      <c r="AC58" s="196">
        <f t="array" ref="AC58">IFERROR(
(MEDIAN((IF(DATOS_[[Sexo]:[Sexo]]=$B58,IF(DATOS_[[AGRUP. VALOR. PTO.]:[AGRUP. VALOR. PTO.]]=$B57,IF(DATOS_[[Check Periodo Ref.]:[Check Periodo Ref.]]="Dentro",IF(DATOS_[[Check Equiparado]:[Check Equiparado]]="Sí",IF(DATOS!AX$5="Sí",(1/DATOS_[[% anualiz]:[% anualiz]]),1)*IF(DATOS!AX$4="Sí",1/DATOS_[[% normaliz]:[% normaliz]],1)*(DATOS_[Conc.Sal.20])))))))),
0)</f>
        <v>0</v>
      </c>
      <c r="AD58" s="196">
        <f t="array" ref="AD58">IFERROR(
(MEDIAN((IF(DATOS_[[Sexo]:[Sexo]]=$B58,IF(DATOS_[[AGRUP. VALOR. PTO.]:[AGRUP. VALOR. PTO.]]=$B57,IF(DATOS_[[Check Periodo Ref.]:[Check Periodo Ref.]]="Dentro",IF(DATOS_[[Check Equiparado]:[Check Equiparado]]="Sí",IF(DATOS!AY$5="Sí",(1/DATOS_[[% anualiz]:[% anualiz]]),1)*IF(DATOS!AY$4="Sí",1/DATOS_[[% normaliz]:[% normaliz]],1)*(DATOS_[Conc.Sal.21])))))))),
0)</f>
        <v>0</v>
      </c>
      <c r="AE58" s="196">
        <f t="array" ref="AE58">IFERROR(
(MEDIAN((IF(DATOS_[[Sexo]:[Sexo]]=$B58,IF(DATOS_[[AGRUP. VALOR. PTO.]:[AGRUP. VALOR. PTO.]]=$B57,IF(DATOS_[[Check Periodo Ref.]:[Check Periodo Ref.]]="Dentro",IF(DATOS_[[Check Equiparado]:[Check Equiparado]]="Sí",IF(DATOS!AZ$5="Sí",(1/DATOS_[[% anualiz]:[% anualiz]]),1)*IF(DATOS!AZ$4="Sí",1/DATOS_[[% normaliz]:[% normaliz]],1)*(DATOS_[Conc.Sal.22])))))))),
0)</f>
        <v>0</v>
      </c>
      <c r="AF58" s="196">
        <f t="array" ref="AF58">IFERROR(
(MEDIAN((IF(DATOS_[[Sexo]:[Sexo]]=$B58,IF(DATOS_[[AGRUP. VALOR. PTO.]:[AGRUP. VALOR. PTO.]]=$B57,IF(DATOS_[[Check Periodo Ref.]:[Check Periodo Ref.]]="Dentro",IF(DATOS_[[Check Equiparado]:[Check Equiparado]]="Sí",IF(DATOS!BA$5="Sí",(1/DATOS_[[% anualiz]:[% anualiz]]),1)*IF(DATOS!BA$4="Sí",1/DATOS_[[% normaliz]:[% normaliz]],1)*(DATOS_[Conc.Sal.23])))))))),
0)</f>
        <v>0</v>
      </c>
      <c r="AG58" s="196">
        <f t="array" ref="AG58">IFERROR(
(MEDIAN((IF(DATOS_[[Sexo]:[Sexo]]=$B58,IF(DATOS_[[AGRUP. VALOR. PTO.]:[AGRUP. VALOR. PTO.]]=$B57,IF(DATOS_[[Check Periodo Ref.]:[Check Periodo Ref.]]="Dentro",IF(DATOS_[[Check Equiparado]:[Check Equiparado]]="Sí",IF(DATOS!BB$5="Sí",(1/DATOS_[[% anualiz]:[% anualiz]]),1)*IF(DATOS!BB$4="Sí",1/DATOS_[[% normaliz]:[% normaliz]],1)*(DATOS_[Conc.Sal.24])))))))),
0)</f>
        <v>0</v>
      </c>
      <c r="AH58" s="196">
        <f t="array" ref="AH58">IFERROR(
(MEDIAN((IF(DATOS_[[Sexo]:[Sexo]]=$B58,IF(DATOS_[[AGRUP. VALOR. PTO.]:[AGRUP. VALOR. PTO.]]=$B57,IF(DATOS_[[Check Periodo Ref.]:[Check Periodo Ref.]]="Dentro",IF(DATOS_[[Check Equiparado]:[Check Equiparado]]="Sí",IF(DATOS!BC$5="Sí",(1/DATOS_[[% anualiz]:[% anualiz]]),1)*IF(DATOS!BC$4="Sí",1/DATOS_[[% normaliz]:[% normaliz]],1)*(DATOS_[Conc.Sal.25])))))))),
0)</f>
        <v>0</v>
      </c>
      <c r="AI58" s="196">
        <f t="array" ref="AI58">IFERROR(
(MEDIAN((IF(DATOS_[[Sexo]:[Sexo]]=$B58,IF(DATOS_[[AGRUP. VALOR. PTO.]:[AGRUP. VALOR. PTO.]]=$B57,IF(DATOS_[[Check Periodo Ref.]:[Check Periodo Ref.]]="Dentro",IF(DATOS_[[Check Equiparado]:[Check Equiparado]]="Sí",IF(DATOS!BD$5="Sí",(1/DATOS_[[% anualiz]:[% anualiz]]),1)*IF(DATOS!BD$4="Sí",1/DATOS_[[% normaliz]:[% normaliz]],1)*(DATOS_[Conc.Sal.26])))))))),
0)</f>
        <v>0</v>
      </c>
      <c r="AJ58" s="196">
        <f t="array" ref="AJ58">IFERROR(
(MEDIAN((IF(DATOS_[[Sexo]:[Sexo]]=$B58,IF(DATOS_[[AGRUP. VALOR. PTO.]:[AGRUP. VALOR. PTO.]]=$B57,IF(DATOS_[[Check Periodo Ref.]:[Check Periodo Ref.]]="Dentro",IF(DATOS_[[Check Equiparado]:[Check Equiparado]]="Sí",IF(DATOS!BE$5="Sí",(1/DATOS_[[% anualiz]:[% anualiz]]),1)*IF(DATOS!BE$4="Sí",1/DATOS_[[% normaliz]:[% normaliz]],1)*(DATOS_[Conc.Sal.27])))))))),
0)</f>
        <v>0</v>
      </c>
      <c r="AK58" s="196">
        <f t="array" ref="AK58">IFERROR(
(MEDIAN((IF(DATOS_[[Sexo]:[Sexo]]=$B58,IF(DATOS_[[AGRUP. VALOR. PTO.]:[AGRUP. VALOR. PTO.]]=$B57,IF(DATOS_[[Check Periodo Ref.]:[Check Periodo Ref.]]="Dentro",IF(DATOS_[[Check Equiparado]:[Check Equiparado]]="Sí",IF(DATOS!BF$5="Sí",(1/DATOS_[[% anualiz]:[% anualiz]]),1)*IF(DATOS!BF$4="Sí",1/DATOS_[[% normaliz]:[% normaliz]],1)*(DATOS_[Conc.Sal.28])))))))),
0)</f>
        <v>0</v>
      </c>
      <c r="AL58" s="196">
        <f t="array" ref="AL58">IFERROR(
(MEDIAN((IF(DATOS_[[Sexo]:[Sexo]]=$B58,IF(DATOS_[[AGRUP. VALOR. PTO.]:[AGRUP. VALOR. PTO.]]=$B57,IF(DATOS_[[Check Periodo Ref.]:[Check Periodo Ref.]]="Dentro",IF(DATOS_[[Check Equiparado]:[Check Equiparado]]="Sí",IF(DATOS!BG$5="Sí",(1/DATOS_[[% anualiz]:[% anualiz]]),1)*IF(DATOS!BG$4="Sí",1/DATOS_[[% normaliz]:[% normaliz]],1)*(DATOS_[Conc.Sal.29])))))))),
0)</f>
        <v>0</v>
      </c>
      <c r="AM58" s="196">
        <f t="array" ref="AM58">IFERROR(
(MEDIAN((IF(DATOS_[[Sexo]:[Sexo]]=$B58,IF(DATOS_[[AGRUP. VALOR. PTO.]:[AGRUP. VALOR. PTO.]]=$B57,IF(DATOS_[[Check Periodo Ref.]:[Check Periodo Ref.]]="Dentro",IF(DATOS_[[Check Equiparado]:[Check Equiparado]]="Sí",IF(DATOS!BH$5="Sí",(1/DATOS_[[% anualiz]:[% anualiz]]),1)*IF(DATOS!BH$4="Sí",1/DATOS_[[% normaliz]:[% normaliz]],1)*(DATOS_[Conc.Sal.30])))))))),
0)</f>
        <v>0</v>
      </c>
      <c r="AN58" s="195">
        <f t="array" ref="AN58">IFERROR(
MEDIAN(IF(DATOS_[Sexo]=$B58,IF(DATOS_[[AGRUP. VALOR. PTO.]:[AGRUP. VALOR. PTO.]]=$B57,IF(DATOS_[Check Equiparado]="Sí",IF(DATOS_[Check Periodo Ref.]="Dentro",DATOS_[Tot COMPL.SAL Eq],FALSE))))),
0)</f>
        <v>0</v>
      </c>
      <c r="AO58" s="172">
        <f t="array" ref="AO58">IFERROR(
MEDIAN(IF(DATOS_[Sexo]=$B58,IF(DATOS_[[AGRUP. VALOR. PTO.]:[AGRUP. VALOR. PTO.]]=$B57,IF(DATOS_[Check Equiparado]="Sí",IF(DATOS_[Check Periodo Ref.]="Dentro",DATOS_[TOTAL SALARIO Eq],FALSE))))),
0)</f>
        <v>0</v>
      </c>
      <c r="AP58" s="173">
        <f t="array" ref="AP58">IFERROR(
(MEDIAN((IF(DATOS_[[Sexo]:[Sexo]]=$B58,IF(DATOS_[[AGRUP. VALOR. PTO.]:[AGRUP. VALOR. PTO.]]=$B57,IF(DATOS_[[Check Periodo Ref.]:[Check Periodo Ref.]]="Dentro",IF(DATOS_[[Check Equiparado]:[Check Equiparado]]="Sí",IF(DATOS!BW$5="Sí",(1/DATOS_[[% anualiz]:[% anualiz]]),1)*IF(DATOS!BW$4="Sí",1/DATOS_[[% normaliz]:[% normaliz]],1)*(DATOS_[C.Extra.01])))))))),
0)</f>
        <v>0</v>
      </c>
      <c r="AQ58" s="173">
        <f t="array" ref="AQ58">IFERROR(
(MEDIAN((IF(DATOS_[[Sexo]:[Sexo]]=$B58,IF(DATOS_[[AGRUP. VALOR. PTO.]:[AGRUP. VALOR. PTO.]]=$B57,IF(DATOS_[[Check Periodo Ref.]:[Check Periodo Ref.]]="Dentro",IF(DATOS_[[Check Equiparado]:[Check Equiparado]]="Sí",IF(DATOS!CB$5="Sí",(1/DATOS_[[% anualiz]:[% anualiz]]),1)*IF(DATOS!CB$4="Sí",1/DATOS_[[% normaliz]:[% normaliz]],1)*(DATOS_[C.Extra.06])))))))),
0)</f>
        <v>0</v>
      </c>
      <c r="AR58" s="173">
        <f t="array" ref="AR58">IFERROR(
(MEDIAN((IF(DATOS_[[Sexo]:[Sexo]]=$B58,IF(DATOS_[[AGRUP. VALOR. PTO.]:[AGRUP. VALOR. PTO.]]=$B57,IF(DATOS_[[Check Periodo Ref.]:[Check Periodo Ref.]]="Dentro",IF(DATOS_[[Check Equiparado]:[Check Equiparado]]="Sí",IF(DATOS!CC$5="Sí",(1/DATOS_[[% anualiz]:[% anualiz]]),1)*IF(DATOS!CC$4="Sí",1/DATOS_[[% normaliz]:[% normaliz]],1)*(DATOS_[C.Extra.07])))))))),
0)</f>
        <v>0</v>
      </c>
      <c r="AS58" s="173">
        <f t="array" ref="AS58">IFERROR(
(MEDIAN((IF(DATOS_[[Sexo]:[Sexo]]=$B58,IF(DATOS_[[AGRUP. VALOR. PTO.]:[AGRUP. VALOR. PTO.]]=$B57,IF(DATOS_[[Check Periodo Ref.]:[Check Periodo Ref.]]="Dentro",IF(DATOS_[[Check Equiparado]:[Check Equiparado]]="Sí",IF(DATOS!CD$5="Sí",(1/DATOS_[[% anualiz]:[% anualiz]]),1)*IF(DATOS!CD$4="Sí",1/DATOS_[[% normaliz]:[% normaliz]],1)*(DATOS_[C.Extra.08])))))))),
0)</f>
        <v>0</v>
      </c>
      <c r="AT58" s="173">
        <f t="array" ref="AT58">IFERROR(
(MEDIAN((IF(DATOS_[[Sexo]:[Sexo]]=$B58,IF(DATOS_[[AGRUP. VALOR. PTO.]:[AGRUP. VALOR. PTO.]]=$B57,IF(DATOS_[[Check Periodo Ref.]:[Check Periodo Ref.]]="Dentro",IF(DATOS_[[Check Equiparado]:[Check Equiparado]]="Sí",IF(DATOS!CG$5="Sí",(1/DATOS_[[% anualiz]:[% anualiz]]),1)*IF(DATOS!CG$4="Sí",1/DATOS_[[% normaliz]:[% normaliz]],1)*(DATOS_[C.Extra.11])))))))),
0)</f>
        <v>0</v>
      </c>
      <c r="AU58" s="197">
        <f t="array" ref="AU58">IFERROR(
MEDIAN(IF(DATOS_[Sexo]=$B58,IF(DATOS_[[AGRUP. VALOR. PTO.]:[AGRUP. VALOR. PTO.]]=$B57,IF(DATOS_[Check Equiparado]="Sí",IF(DATOS_[Check Periodo Ref.]="Dentro",DATOS_[Tot Extrasalarial Eq],FALSE))))),
0)</f>
        <v>0</v>
      </c>
      <c r="AV58" s="175">
        <f t="array" ref="AV58">IFERROR(
MEDIAN(IF(DATOS_[Sexo]=$B58,IF(DATOS_[[AGRUP. VALOR. PTO.]:[AGRUP. VALOR. PTO.]]=$B57,IF(DATOS_[Check Equiparado]="Sí",IF(DATOS_[Check Periodo Ref.]="Dentro",DATOS_[TOTAL Retrib Eq],FALSE))))),
0)</f>
        <v>0</v>
      </c>
    </row>
    <row r="59" spans="1:48" x14ac:dyDescent="0.25">
      <c r="A59" s="133" t="str">
        <f t="shared" ref="A59" si="62">+A58</f>
        <v>[ocultar]</v>
      </c>
      <c r="B59" s="202" t="s">
        <v>521</v>
      </c>
      <c r="C59" s="203">
        <f t="array" ref="C59">SUM(IF($B59=DATOS_[Sexo],
IF($B57=DATOS_[AGRUP. VALOR. PTO.],
IF("Dentro"=DATOS_[Check Periodo Ref.],
1/(COUNTIFS(DATOS_[Sexo],$B59,DATOS_[AGRUP. VALOR. PTO.],$B57,DATOS_[Check Periodo Ref.],"Dentro",DATOS_[id/cod],DATOS_[id/cod]))))))</f>
        <v>0</v>
      </c>
      <c r="D59" s="204">
        <f>COUNTIFS(DATOS_[AGRUP. VALOR. PTO.],$B57,DATOS_[Sexo],$B59,DATOS_[Check Periodo Ref.],"Dentro")</f>
        <v>0</v>
      </c>
      <c r="E59" s="204">
        <f>COUNTIFS(DATOS_[AGRUP. VALOR. PTO.],$B57,DATOS_[Sexo],$B59,DATOS_[Check Periodo Ref.],"Dentro",DATOS_[Check Nº SC Norm],"Sí")</f>
        <v>0</v>
      </c>
      <c r="F59" s="204">
        <f>COUNTIFS(DATOS_[AGRUP. VALOR. PTO.],$B57,DATOS_[Sexo],$B59,DATOS_[Check Periodo Ref.],"Dentro",DATOS_[Check Nº SC Anualiz],"Sí")</f>
        <v>0</v>
      </c>
      <c r="G59" s="204">
        <f>COUNTIFS(DATOS_[AGRUP. VALOR. PTO.],$B57,DATOS_[Sexo],$B59,DATOS_[Check Periodo Ref.],"Dentro",DATOS_[Check Nº SC Norm y Anualiz],"Sí")</f>
        <v>0</v>
      </c>
      <c r="H59" s="204">
        <f>COUNTIFS(DATOS_[AGRUP. VALOR. PTO.],$B57,DATOS_[Sexo],$B59,DATOS_[Check Periodo Ref.],"Dentro",DATOS_[Check Equiparación],"Sí")</f>
        <v>0</v>
      </c>
      <c r="I59" s="195" cm="1">
        <f t="array" ref="I59">IFERROR(
MEDIAN(IF(DATOS_[Sexo]=$B59,IF(DATOS_[[AGRUP. VALOR. PTO.]:[AGRUP. VALOR. PTO.]]=$B57,IF(DATOS_[Check Equiparado]="Sí",IF(DATOS_[Check Periodo Ref.]="Dentro",DATOS_[SALARIO BASE Eq],FALSE))))),
0)</f>
        <v>0</v>
      </c>
      <c r="J59" s="196">
        <f t="array" ref="J59">IFERROR(
(MEDIAN((IF(DATOS_[[Sexo]:[Sexo]]=$B59,IF(DATOS_[[AGRUP. VALOR. PTO.]:[AGRUP. VALOR. PTO.]]=$B57,IF(DATOS_[[Check Periodo Ref.]:[Check Periodo Ref.]]="Dentro",IF(DATOS_[[Check Equiparado]:[Check Equiparado]]="Sí",IF(DATOS!AE$5="Sí",(1/DATOS_[[% anualiz]:[% anualiz]]),1)*IF(DATOS!AE$4="Sí",1/DATOS_[[% normaliz]:[% normaliz]],1)*(DATOS_[Conc.Sal.01])))))))),
0)</f>
        <v>0</v>
      </c>
      <c r="K59" s="196">
        <f t="array" ref="K59">IFERROR(
(MEDIAN((IF(DATOS_[[Sexo]:[Sexo]]=$B59,IF(DATOS_[[AGRUP. VALOR. PTO.]:[AGRUP. VALOR. PTO.]]=$B57,IF(DATOS_[[Check Periodo Ref.]:[Check Periodo Ref.]]="Dentro",IF(DATOS_[[Check Equiparado]:[Check Equiparado]]="Sí",IF(DATOS!AF$5="Sí",(1/DATOS_[[% anualiz]:[% anualiz]]),1)*IF(DATOS!AF$4="Sí",1/DATOS_[[% normaliz]:[% normaliz]],1)*(DATOS_[Conc.Sal.02])))))))),
0)</f>
        <v>0</v>
      </c>
      <c r="L59" s="196">
        <f t="array" ref="L59">IFERROR(
(MEDIAN((IF(DATOS_[[Sexo]:[Sexo]]=$B59,IF(DATOS_[[AGRUP. VALOR. PTO.]:[AGRUP. VALOR. PTO.]]=$B57,IF(DATOS_[[Check Periodo Ref.]:[Check Periodo Ref.]]="Dentro",IF(DATOS_[[Check Equiparado]:[Check Equiparado]]="Sí",IF(DATOS!AG$5="Sí",(1/DATOS_[[% anualiz]:[% anualiz]]),1)*IF(DATOS!AG$4="Sí",1/DATOS_[[% normaliz]:[% normaliz]],1)*(DATOS_[Conc.Sal.03])))))))),
0)</f>
        <v>0</v>
      </c>
      <c r="M59" s="196">
        <f t="array" ref="M59">IFERROR(
(MEDIAN((IF(DATOS_[[Sexo]:[Sexo]]=$B59,IF(DATOS_[[AGRUP. VALOR. PTO.]:[AGRUP. VALOR. PTO.]]=$B57,IF(DATOS_[[Check Periodo Ref.]:[Check Periodo Ref.]]="Dentro",IF(DATOS_[[Check Equiparado]:[Check Equiparado]]="Sí",IF(DATOS!AH$5="Sí",(1/DATOS_[[% anualiz]:[% anualiz]]),1)*IF(DATOS!AH$4="Sí",1/DATOS_[[% normaliz]:[% normaliz]],1)*(DATOS_[Conc.Sal.04])))))))),
0)</f>
        <v>0</v>
      </c>
      <c r="N59" s="196">
        <f t="array" ref="N59">IFERROR(
(MEDIAN((IF(DATOS_[[Sexo]:[Sexo]]=$B59,IF(DATOS_[[AGRUP. VALOR. PTO.]:[AGRUP. VALOR. PTO.]]=$B57,IF(DATOS_[[Check Periodo Ref.]:[Check Periodo Ref.]]="Dentro",IF(DATOS_[[Check Equiparado]:[Check Equiparado]]="Sí",IF(DATOS!AI$5="Sí",(1/DATOS_[[% anualiz]:[% anualiz]]),1)*IF(DATOS!AI$4="Sí",1/DATOS_[[% normaliz]:[% normaliz]],1)*(DATOS_[Conc.Sal.05])))))))),
0)</f>
        <v>0</v>
      </c>
      <c r="O59" s="196">
        <f t="array" ref="O59">IFERROR(
(MEDIAN((IF(DATOS_[[Sexo]:[Sexo]]=$B59,IF(DATOS_[[AGRUP. VALOR. PTO.]:[AGRUP. VALOR. PTO.]]=$B57,IF(DATOS_[[Check Periodo Ref.]:[Check Periodo Ref.]]="Dentro",IF(DATOS_[[Check Equiparado]:[Check Equiparado]]="Sí",IF(DATOS!AJ$5="Sí",(1/DATOS_[[% anualiz]:[% anualiz]]),1)*IF(DATOS!AJ$4="Sí",1/DATOS_[[% normaliz]:[% normaliz]],1)*(DATOS_[Conc.Sal.06])))))))),
0)</f>
        <v>0</v>
      </c>
      <c r="P59" s="196">
        <f t="array" ref="P59">IFERROR(
(MEDIAN((IF(DATOS_[[Sexo]:[Sexo]]=$B59,IF(DATOS_[[AGRUP. VALOR. PTO.]:[AGRUP. VALOR. PTO.]]=$B57,IF(DATOS_[[Check Periodo Ref.]:[Check Periodo Ref.]]="Dentro",IF(DATOS_[[Check Equiparado]:[Check Equiparado]]="Sí",IF(DATOS!AK$5="Sí",(1/DATOS_[[% anualiz]:[% anualiz]]),1)*IF(DATOS!AK$4="Sí",1/DATOS_[[% normaliz]:[% normaliz]],1)*(DATOS_[Conc.Sal.07])))))))),
0)</f>
        <v>0</v>
      </c>
      <c r="Q59" s="196">
        <f t="array" ref="Q59">IFERROR(
(MEDIAN((IF(DATOS_[[Sexo]:[Sexo]]=$B59,IF(DATOS_[[AGRUP. VALOR. PTO.]:[AGRUP. VALOR. PTO.]]=$B57,IF(DATOS_[[Check Periodo Ref.]:[Check Periodo Ref.]]="Dentro",IF(DATOS_[[Check Equiparado]:[Check Equiparado]]="Sí",IF(DATOS!AL$5="Sí",(1/DATOS_[[% anualiz]:[% anualiz]]),1)*IF(DATOS!AL$4="Sí",1/DATOS_[[% normaliz]:[% normaliz]],1)*(DATOS_[Conc.Sal.08])))))))),
0)</f>
        <v>0</v>
      </c>
      <c r="R59" s="196">
        <f t="array" ref="R59">IFERROR(
(MEDIAN((IF(DATOS_[[Sexo]:[Sexo]]=$B59,IF(DATOS_[[AGRUP. VALOR. PTO.]:[AGRUP. VALOR. PTO.]]=$B57,IF(DATOS_[[Check Periodo Ref.]:[Check Periodo Ref.]]="Dentro",IF(DATOS_[[Check Equiparado]:[Check Equiparado]]="Sí",IF(DATOS!AM$5="Sí",(1/DATOS_[[% anualiz]:[% anualiz]]),1)*IF(DATOS!AM$4="Sí",1/DATOS_[[% normaliz]:[% normaliz]],1)*(DATOS_[Conc.Sal.09])))))))),
0)</f>
        <v>0</v>
      </c>
      <c r="S59" s="196">
        <f t="array" ref="S59">IFERROR(
(MEDIAN((IF(DATOS_[[Sexo]:[Sexo]]=$B59,IF(DATOS_[[AGRUP. VALOR. PTO.]:[AGRUP. VALOR. PTO.]]=$B57,IF(DATOS_[[Check Periodo Ref.]:[Check Periodo Ref.]]="Dentro",IF(DATOS_[[Check Equiparado]:[Check Equiparado]]="Sí",IF(DATOS!AN$5="Sí",(1/DATOS_[[% anualiz]:[% anualiz]]),1)*IF(DATOS!AN$4="Sí",1/DATOS_[[% normaliz]:[% normaliz]],1)*(DATOS_[Conc.Sal.10])))))))),
0)</f>
        <v>0</v>
      </c>
      <c r="T59" s="196">
        <f t="array" ref="T59">IFERROR(
(MEDIAN((IF(DATOS_[[Sexo]:[Sexo]]=$B59,IF(DATOS_[[AGRUP. VALOR. PTO.]:[AGRUP. VALOR. PTO.]]=$B57,IF(DATOS_[[Check Periodo Ref.]:[Check Periodo Ref.]]="Dentro",IF(DATOS_[[Check Equiparado]:[Check Equiparado]]="Sí",IF(DATOS!AO$5="Sí",(1/DATOS_[[% anualiz]:[% anualiz]]),1)*IF(DATOS!AO$4="Sí",1/DATOS_[[% normaliz]:[% normaliz]],1)*(DATOS_[Conc.Sal.11])))))))),
0)</f>
        <v>0</v>
      </c>
      <c r="U59" s="196">
        <f t="array" ref="U59">IFERROR(
(MEDIAN((IF(DATOS_[[Sexo]:[Sexo]]=$B59,IF(DATOS_[[AGRUP. VALOR. PTO.]:[AGRUP. VALOR. PTO.]]=$B57,IF(DATOS_[[Check Periodo Ref.]:[Check Periodo Ref.]]="Dentro",IF(DATOS_[[Check Equiparado]:[Check Equiparado]]="Sí",IF(DATOS!AP$5="Sí",(1/DATOS_[[% anualiz]:[% anualiz]]),1)*IF(DATOS!AP$4="Sí",1/DATOS_[[% normaliz]:[% normaliz]],1)*(DATOS_[Conc.Sal.12])))))))),
0)</f>
        <v>0</v>
      </c>
      <c r="V59" s="196">
        <f t="array" ref="V59">IFERROR(
(MEDIAN((IF(DATOS_[[Sexo]:[Sexo]]=$B59,IF(DATOS_[[AGRUP. VALOR. PTO.]:[AGRUP. VALOR. PTO.]]=$B57,IF(DATOS_[[Check Periodo Ref.]:[Check Periodo Ref.]]="Dentro",IF(DATOS_[[Check Equiparado]:[Check Equiparado]]="Sí",IF(DATOS!AQ$5="Sí",(1/DATOS_[[% anualiz]:[% anualiz]]),1)*IF(DATOS!AQ$4="Sí",1/DATOS_[[% normaliz]:[% normaliz]],1)*(DATOS_[Conc.Sal.13])))))))),
0)</f>
        <v>0</v>
      </c>
      <c r="W59" s="196">
        <f t="array" ref="W59">IFERROR(
(MEDIAN((IF(DATOS_[[Sexo]:[Sexo]]=$B59,IF(DATOS_[[AGRUP. VALOR. PTO.]:[AGRUP. VALOR. PTO.]]=$B57,IF(DATOS_[[Check Periodo Ref.]:[Check Periodo Ref.]]="Dentro",IF(DATOS_[[Check Equiparado]:[Check Equiparado]]="Sí",IF(DATOS!AR$5="Sí",(1/DATOS_[[% anualiz]:[% anualiz]]),1)*IF(DATOS!AR$4="Sí",1/DATOS_[[% normaliz]:[% normaliz]],1)*(DATOS_[Conc.Sal.14])))))))),
0)</f>
        <v>0</v>
      </c>
      <c r="X59" s="196">
        <f t="array" ref="X59">IFERROR(
(MEDIAN((IF(DATOS_[[Sexo]:[Sexo]]=$B59,IF(DATOS_[[AGRUP. VALOR. PTO.]:[AGRUP. VALOR. PTO.]]=$B57,IF(DATOS_[[Check Periodo Ref.]:[Check Periodo Ref.]]="Dentro",IF(DATOS_[[Check Equiparado]:[Check Equiparado]]="Sí",IF(DATOS!AS$5="Sí",(1/DATOS_[[% anualiz]:[% anualiz]]),1)*IF(DATOS!AS$4="Sí",1/DATOS_[[% normaliz]:[% normaliz]],1)*(DATOS_[Conc.Sal.15])))))))),
0)</f>
        <v>0</v>
      </c>
      <c r="Y59" s="196">
        <f t="array" ref="Y59">IFERROR(
(MEDIAN((IF(DATOS_[[Sexo]:[Sexo]]=$B59,IF(DATOS_[[AGRUP. VALOR. PTO.]:[AGRUP. VALOR. PTO.]]=$B57,IF(DATOS_[[Check Periodo Ref.]:[Check Periodo Ref.]]="Dentro",IF(DATOS_[[Check Equiparado]:[Check Equiparado]]="Sí",IF(DATOS!AT$5="Sí",(1/DATOS_[[% anualiz]:[% anualiz]]),1)*IF(DATOS!AT$4="Sí",1/DATOS_[[% normaliz]:[% normaliz]],1)*(DATOS_[Conc.Sal.16])))))))),
0)</f>
        <v>0</v>
      </c>
      <c r="Z59" s="196">
        <f t="array" ref="Z59">IFERROR(
(MEDIAN((IF(DATOS_[[Sexo]:[Sexo]]=$B59,IF(DATOS_[[AGRUP. VALOR. PTO.]:[AGRUP. VALOR. PTO.]]=$B57,IF(DATOS_[[Check Periodo Ref.]:[Check Periodo Ref.]]="Dentro",IF(DATOS_[[Check Equiparado]:[Check Equiparado]]="Sí",IF(DATOS!AU$5="Sí",(1/DATOS_[[% anualiz]:[% anualiz]]),1)*IF(DATOS!AU$4="Sí",1/DATOS_[[% normaliz]:[% normaliz]],1)*(DATOS_[Conc.Sal.17])))))))),
0)</f>
        <v>0</v>
      </c>
      <c r="AA59" s="196">
        <f t="array" ref="AA59">IFERROR(
(MEDIAN((IF(DATOS_[[Sexo]:[Sexo]]=$B59,IF(DATOS_[[AGRUP. VALOR. PTO.]:[AGRUP. VALOR. PTO.]]=$B57,IF(DATOS_[[Check Periodo Ref.]:[Check Periodo Ref.]]="Dentro",IF(DATOS_[[Check Equiparado]:[Check Equiparado]]="Sí",IF(DATOS!AV$5="Sí",(1/DATOS_[[% anualiz]:[% anualiz]]),1)*IF(DATOS!AV$4="Sí",1/DATOS_[[% normaliz]:[% normaliz]],1)*(DATOS_[Conc.Sal.18])))))))),
0)</f>
        <v>0</v>
      </c>
      <c r="AB59" s="196">
        <f t="array" ref="AB59">IFERROR(
(MEDIAN((IF(DATOS_[[Sexo]:[Sexo]]=$B59,IF(DATOS_[[AGRUP. VALOR. PTO.]:[AGRUP. VALOR. PTO.]]=$B57,IF(DATOS_[[Check Periodo Ref.]:[Check Periodo Ref.]]="Dentro",IF(DATOS_[[Check Equiparado]:[Check Equiparado]]="Sí",IF(DATOS!AW$5="Sí",(1/DATOS_[[% anualiz]:[% anualiz]]),1)*IF(DATOS!AW$4="Sí",1/DATOS_[[% normaliz]:[% normaliz]],1)*(DATOS_[Conc.Sal.19])))))))),
0)</f>
        <v>0</v>
      </c>
      <c r="AC59" s="196">
        <f t="array" ref="AC59">IFERROR(
(MEDIAN((IF(DATOS_[[Sexo]:[Sexo]]=$B59,IF(DATOS_[[AGRUP. VALOR. PTO.]:[AGRUP. VALOR. PTO.]]=$B57,IF(DATOS_[[Check Periodo Ref.]:[Check Periodo Ref.]]="Dentro",IF(DATOS_[[Check Equiparado]:[Check Equiparado]]="Sí",IF(DATOS!AX$5="Sí",(1/DATOS_[[% anualiz]:[% anualiz]]),1)*IF(DATOS!AX$4="Sí",1/DATOS_[[% normaliz]:[% normaliz]],1)*(DATOS_[Conc.Sal.20])))))))),
0)</f>
        <v>0</v>
      </c>
      <c r="AD59" s="196">
        <f t="array" ref="AD59">IFERROR(
(MEDIAN((IF(DATOS_[[Sexo]:[Sexo]]=$B59,IF(DATOS_[[AGRUP. VALOR. PTO.]:[AGRUP. VALOR. PTO.]]=$B57,IF(DATOS_[[Check Periodo Ref.]:[Check Periodo Ref.]]="Dentro",IF(DATOS_[[Check Equiparado]:[Check Equiparado]]="Sí",IF(DATOS!AY$5="Sí",(1/DATOS_[[% anualiz]:[% anualiz]]),1)*IF(DATOS!AY$4="Sí",1/DATOS_[[% normaliz]:[% normaliz]],1)*(DATOS_[Conc.Sal.21])))))))),
0)</f>
        <v>0</v>
      </c>
      <c r="AE59" s="196">
        <f t="array" ref="AE59">IFERROR(
(MEDIAN((IF(DATOS_[[Sexo]:[Sexo]]=$B59,IF(DATOS_[[AGRUP. VALOR. PTO.]:[AGRUP. VALOR. PTO.]]=$B57,IF(DATOS_[[Check Periodo Ref.]:[Check Periodo Ref.]]="Dentro",IF(DATOS_[[Check Equiparado]:[Check Equiparado]]="Sí",IF(DATOS!AZ$5="Sí",(1/DATOS_[[% anualiz]:[% anualiz]]),1)*IF(DATOS!AZ$4="Sí",1/DATOS_[[% normaliz]:[% normaliz]],1)*(DATOS_[Conc.Sal.22])))))))),
0)</f>
        <v>0</v>
      </c>
      <c r="AF59" s="196">
        <f t="array" ref="AF59">IFERROR(
(MEDIAN((IF(DATOS_[[Sexo]:[Sexo]]=$B59,IF(DATOS_[[AGRUP. VALOR. PTO.]:[AGRUP. VALOR. PTO.]]=$B57,IF(DATOS_[[Check Periodo Ref.]:[Check Periodo Ref.]]="Dentro",IF(DATOS_[[Check Equiparado]:[Check Equiparado]]="Sí",IF(DATOS!BA$5="Sí",(1/DATOS_[[% anualiz]:[% anualiz]]),1)*IF(DATOS!BA$4="Sí",1/DATOS_[[% normaliz]:[% normaliz]],1)*(DATOS_[Conc.Sal.23])))))))),
0)</f>
        <v>0</v>
      </c>
      <c r="AG59" s="196">
        <f t="array" ref="AG59">IFERROR(
(MEDIAN((IF(DATOS_[[Sexo]:[Sexo]]=$B59,IF(DATOS_[[AGRUP. VALOR. PTO.]:[AGRUP. VALOR. PTO.]]=$B57,IF(DATOS_[[Check Periodo Ref.]:[Check Periodo Ref.]]="Dentro",IF(DATOS_[[Check Equiparado]:[Check Equiparado]]="Sí",IF(DATOS!BB$5="Sí",(1/DATOS_[[% anualiz]:[% anualiz]]),1)*IF(DATOS!BB$4="Sí",1/DATOS_[[% normaliz]:[% normaliz]],1)*(DATOS_[Conc.Sal.24])))))))),
0)</f>
        <v>0</v>
      </c>
      <c r="AH59" s="196">
        <f t="array" ref="AH59">IFERROR(
(MEDIAN((IF(DATOS_[[Sexo]:[Sexo]]=$B59,IF(DATOS_[[AGRUP. VALOR. PTO.]:[AGRUP. VALOR. PTO.]]=$B57,IF(DATOS_[[Check Periodo Ref.]:[Check Periodo Ref.]]="Dentro",IF(DATOS_[[Check Equiparado]:[Check Equiparado]]="Sí",IF(DATOS!BC$5="Sí",(1/DATOS_[[% anualiz]:[% anualiz]]),1)*IF(DATOS!BC$4="Sí",1/DATOS_[[% normaliz]:[% normaliz]],1)*(DATOS_[Conc.Sal.25])))))))),
0)</f>
        <v>0</v>
      </c>
      <c r="AI59" s="196">
        <f t="array" ref="AI59">IFERROR(
(MEDIAN((IF(DATOS_[[Sexo]:[Sexo]]=$B59,IF(DATOS_[[AGRUP. VALOR. PTO.]:[AGRUP. VALOR. PTO.]]=$B57,IF(DATOS_[[Check Periodo Ref.]:[Check Periodo Ref.]]="Dentro",IF(DATOS_[[Check Equiparado]:[Check Equiparado]]="Sí",IF(DATOS!BD$5="Sí",(1/DATOS_[[% anualiz]:[% anualiz]]),1)*IF(DATOS!BD$4="Sí",1/DATOS_[[% normaliz]:[% normaliz]],1)*(DATOS_[Conc.Sal.26])))))))),
0)</f>
        <v>0</v>
      </c>
      <c r="AJ59" s="196">
        <f t="array" ref="AJ59">IFERROR(
(MEDIAN((IF(DATOS_[[Sexo]:[Sexo]]=$B59,IF(DATOS_[[AGRUP. VALOR. PTO.]:[AGRUP. VALOR. PTO.]]=$B57,IF(DATOS_[[Check Periodo Ref.]:[Check Periodo Ref.]]="Dentro",IF(DATOS_[[Check Equiparado]:[Check Equiparado]]="Sí",IF(DATOS!BE$5="Sí",(1/DATOS_[[% anualiz]:[% anualiz]]),1)*IF(DATOS!BE$4="Sí",1/DATOS_[[% normaliz]:[% normaliz]],1)*(DATOS_[Conc.Sal.27])))))))),
0)</f>
        <v>0</v>
      </c>
      <c r="AK59" s="196">
        <f t="array" ref="AK59">IFERROR(
(MEDIAN((IF(DATOS_[[Sexo]:[Sexo]]=$B59,IF(DATOS_[[AGRUP. VALOR. PTO.]:[AGRUP. VALOR. PTO.]]=$B57,IF(DATOS_[[Check Periodo Ref.]:[Check Periodo Ref.]]="Dentro",IF(DATOS_[[Check Equiparado]:[Check Equiparado]]="Sí",IF(DATOS!BF$5="Sí",(1/DATOS_[[% anualiz]:[% anualiz]]),1)*IF(DATOS!BF$4="Sí",1/DATOS_[[% normaliz]:[% normaliz]],1)*(DATOS_[Conc.Sal.28])))))))),
0)</f>
        <v>0</v>
      </c>
      <c r="AL59" s="196">
        <f t="array" ref="AL59">IFERROR(
(MEDIAN((IF(DATOS_[[Sexo]:[Sexo]]=$B59,IF(DATOS_[[AGRUP. VALOR. PTO.]:[AGRUP. VALOR. PTO.]]=$B57,IF(DATOS_[[Check Periodo Ref.]:[Check Periodo Ref.]]="Dentro",IF(DATOS_[[Check Equiparado]:[Check Equiparado]]="Sí",IF(DATOS!BG$5="Sí",(1/DATOS_[[% anualiz]:[% anualiz]]),1)*IF(DATOS!BG$4="Sí",1/DATOS_[[% normaliz]:[% normaliz]],1)*(DATOS_[Conc.Sal.29])))))))),
0)</f>
        <v>0</v>
      </c>
      <c r="AM59" s="196">
        <f t="array" ref="AM59">IFERROR(
(MEDIAN((IF(DATOS_[[Sexo]:[Sexo]]=$B59,IF(DATOS_[[AGRUP. VALOR. PTO.]:[AGRUP. VALOR. PTO.]]=$B57,IF(DATOS_[[Check Periodo Ref.]:[Check Periodo Ref.]]="Dentro",IF(DATOS_[[Check Equiparado]:[Check Equiparado]]="Sí",IF(DATOS!BH$5="Sí",(1/DATOS_[[% anualiz]:[% anualiz]]),1)*IF(DATOS!BH$4="Sí",1/DATOS_[[% normaliz]:[% normaliz]],1)*(DATOS_[Conc.Sal.30])))))))),
0)</f>
        <v>0</v>
      </c>
      <c r="AN59" s="195">
        <f t="array" ref="AN59">IFERROR(
MEDIAN(IF(DATOS_[Sexo]=$B59,IF(DATOS_[[AGRUP. VALOR. PTO.]:[AGRUP. VALOR. PTO.]]=$B57,IF(DATOS_[Check Equiparado]="Sí",IF(DATOS_[Check Periodo Ref.]="Dentro",DATOS_[Tot COMPL.SAL Eq],FALSE))))),
0)</f>
        <v>0</v>
      </c>
      <c r="AO59" s="172">
        <f t="array" ref="AO59">IFERROR(
MEDIAN(IF(DATOS_[Sexo]=$B59,IF(DATOS_[[AGRUP. VALOR. PTO.]:[AGRUP. VALOR. PTO.]]=$B57,IF(DATOS_[Check Equiparado]="Sí",IF(DATOS_[Check Periodo Ref.]="Dentro",DATOS_[TOTAL SALARIO Eq],FALSE))))),
0)</f>
        <v>0</v>
      </c>
      <c r="AP59" s="173">
        <f t="array" ref="AP59">IFERROR(
(MEDIAN((IF(DATOS_[[Sexo]:[Sexo]]=$B59,IF(DATOS_[[AGRUP. VALOR. PTO.]:[AGRUP. VALOR. PTO.]]=$B58,IF(DATOS_[[Check Periodo Ref.]:[Check Periodo Ref.]]="Dentro",IF(DATOS_[[Check Equiparado]:[Check Equiparado]]="Sí",IF(DATOS!BW$5="Sí",(1/DATOS_[[% anualiz]:[% anualiz]]),1)*IF(DATOS!BW$4="Sí",1/DATOS_[[% normaliz]:[% normaliz]],1)*(DATOS_[C.Extra.01])))))))),
0)</f>
        <v>0</v>
      </c>
      <c r="AQ59" s="173">
        <f t="array" ref="AQ59">IFERROR(
(MEDIAN((IF(DATOS_[[Sexo]:[Sexo]]=$B59,IF(DATOS_[[AGRUP. VALOR. PTO.]:[AGRUP. VALOR. PTO.]]=$B58,IF(DATOS_[[Check Periodo Ref.]:[Check Periodo Ref.]]="Dentro",IF(DATOS_[[Check Equiparado]:[Check Equiparado]]="Sí",IF(DATOS!CB$5="Sí",(1/DATOS_[[% anualiz]:[% anualiz]]),1)*IF(DATOS!CB$4="Sí",1/DATOS_[[% normaliz]:[% normaliz]],1)*(DATOS_[C.Extra.06])))))))),
0)</f>
        <v>0</v>
      </c>
      <c r="AR59" s="173">
        <f t="array" ref="AR59">IFERROR(
(MEDIAN((IF(DATOS_[[Sexo]:[Sexo]]=$B59,IF(DATOS_[[AGRUP. VALOR. PTO.]:[AGRUP. VALOR. PTO.]]=$B58,IF(DATOS_[[Check Periodo Ref.]:[Check Periodo Ref.]]="Dentro",IF(DATOS_[[Check Equiparado]:[Check Equiparado]]="Sí",IF(DATOS!CC$5="Sí",(1/DATOS_[[% anualiz]:[% anualiz]]),1)*IF(DATOS!CC$4="Sí",1/DATOS_[[% normaliz]:[% normaliz]],1)*(DATOS_[C.Extra.07])))))))),
0)</f>
        <v>0</v>
      </c>
      <c r="AS59" s="173">
        <f t="array" ref="AS59">IFERROR(
(MEDIAN((IF(DATOS_[[Sexo]:[Sexo]]=$B59,IF(DATOS_[[AGRUP. VALOR. PTO.]:[AGRUP. VALOR. PTO.]]=$B58,IF(DATOS_[[Check Periodo Ref.]:[Check Periodo Ref.]]="Dentro",IF(DATOS_[[Check Equiparado]:[Check Equiparado]]="Sí",IF(DATOS!CD$5="Sí",(1/DATOS_[[% anualiz]:[% anualiz]]),1)*IF(DATOS!CD$4="Sí",1/DATOS_[[% normaliz]:[% normaliz]],1)*(DATOS_[C.Extra.08])))))))),
0)</f>
        <v>0</v>
      </c>
      <c r="AT59" s="173">
        <f t="array" ref="AT59">IFERROR(
(MEDIAN((IF(DATOS_[[Sexo]:[Sexo]]=$B59,IF(DATOS_[[AGRUP. VALOR. PTO.]:[AGRUP. VALOR. PTO.]]=$B58,IF(DATOS_[[Check Periodo Ref.]:[Check Periodo Ref.]]="Dentro",IF(DATOS_[[Check Equiparado]:[Check Equiparado]]="Sí",IF(DATOS!CG$5="Sí",(1/DATOS_[[% anualiz]:[% anualiz]]),1)*IF(DATOS!CG$4="Sí",1/DATOS_[[% normaliz]:[% normaliz]],1)*(DATOS_[C.Extra.11])))))))),
0)</f>
        <v>0</v>
      </c>
      <c r="AU59" s="197">
        <f t="array" ref="AU59">IFERROR(
MEDIAN(IF(DATOS_[Sexo]=$B59,IF(DATOS_[[AGRUP. VALOR. PTO.]:[AGRUP. VALOR. PTO.]]=$B57,IF(DATOS_[Check Equiparado]="Sí",IF(DATOS_[Check Periodo Ref.]="Dentro",DATOS_[Tot Extrasalarial Eq],FALSE))))),
0)</f>
        <v>0</v>
      </c>
      <c r="AV59" s="175">
        <f t="array" ref="AV59">IFERROR(
MEDIAN(IF(DATOS_[Sexo]=$B59,IF(DATOS_[[AGRUP. VALOR. PTO.]:[AGRUP. VALOR. PTO.]]=$B57,IF(DATOS_[Check Equiparado]="Sí",IF(DATOS_[Check Periodo Ref.]="Dentro",DATOS_[TOTAL Retrib Eq],FALSE))))),
0)</f>
        <v>0</v>
      </c>
    </row>
    <row r="60" spans="1:48" ht="15.6" thickBot="1" x14ac:dyDescent="0.3">
      <c r="A60" s="133" t="str">
        <f t="shared" ref="A60" si="63">+A61</f>
        <v>[ocultar]</v>
      </c>
      <c r="B60" s="199" t="s">
        <v>239</v>
      </c>
      <c r="C60" s="200"/>
      <c r="D60" s="201"/>
      <c r="E60" s="201"/>
      <c r="F60" s="201"/>
      <c r="G60" s="201"/>
      <c r="H60" s="201"/>
      <c r="I60" s="189" t="str">
        <f t="shared" ref="I60:AV60" si="64">IFERROR((I61-I62)/I61,"")</f>
        <v/>
      </c>
      <c r="J60" s="190" t="str">
        <f t="shared" si="64"/>
        <v/>
      </c>
      <c r="K60" s="191" t="str">
        <f t="shared" si="64"/>
        <v/>
      </c>
      <c r="L60" s="191" t="str">
        <f t="shared" si="64"/>
        <v/>
      </c>
      <c r="M60" s="191" t="str">
        <f t="shared" si="64"/>
        <v/>
      </c>
      <c r="N60" s="192" t="str">
        <f t="shared" si="64"/>
        <v/>
      </c>
      <c r="O60" s="193" t="str">
        <f t="shared" si="64"/>
        <v/>
      </c>
      <c r="P60" s="193" t="str">
        <f t="shared" si="64"/>
        <v/>
      </c>
      <c r="Q60" s="193" t="str">
        <f t="shared" si="64"/>
        <v/>
      </c>
      <c r="R60" s="193" t="str">
        <f t="shared" si="64"/>
        <v/>
      </c>
      <c r="S60" s="193" t="str">
        <f t="shared" si="64"/>
        <v/>
      </c>
      <c r="T60" s="193" t="str">
        <f t="shared" si="64"/>
        <v/>
      </c>
      <c r="U60" s="193" t="str">
        <f t="shared" si="64"/>
        <v/>
      </c>
      <c r="V60" s="193" t="str">
        <f t="shared" si="64"/>
        <v/>
      </c>
      <c r="W60" s="193" t="str">
        <f t="shared" si="64"/>
        <v/>
      </c>
      <c r="X60" s="193" t="str">
        <f t="shared" si="64"/>
        <v/>
      </c>
      <c r="Y60" s="193" t="str">
        <f t="shared" si="64"/>
        <v/>
      </c>
      <c r="Z60" s="193" t="str">
        <f t="shared" si="64"/>
        <v/>
      </c>
      <c r="AA60" s="193" t="str">
        <f t="shared" si="64"/>
        <v/>
      </c>
      <c r="AB60" s="193" t="str">
        <f t="shared" si="64"/>
        <v/>
      </c>
      <c r="AC60" s="193" t="str">
        <f t="shared" si="64"/>
        <v/>
      </c>
      <c r="AD60" s="193" t="str">
        <f t="shared" si="64"/>
        <v/>
      </c>
      <c r="AE60" s="193" t="str">
        <f t="shared" si="64"/>
        <v/>
      </c>
      <c r="AF60" s="193" t="str">
        <f t="shared" si="64"/>
        <v/>
      </c>
      <c r="AG60" s="193" t="str">
        <f t="shared" si="64"/>
        <v/>
      </c>
      <c r="AH60" s="193" t="str">
        <f t="shared" si="64"/>
        <v/>
      </c>
      <c r="AI60" s="193" t="str">
        <f t="shared" si="64"/>
        <v/>
      </c>
      <c r="AJ60" s="193" t="str">
        <f t="shared" si="64"/>
        <v/>
      </c>
      <c r="AK60" s="193" t="str">
        <f t="shared" si="64"/>
        <v/>
      </c>
      <c r="AL60" s="193" t="str">
        <f t="shared" si="64"/>
        <v/>
      </c>
      <c r="AM60" s="193" t="str">
        <f t="shared" si="64"/>
        <v/>
      </c>
      <c r="AN60" s="189" t="str">
        <f t="shared" si="64"/>
        <v/>
      </c>
      <c r="AO60" s="162" t="str">
        <f t="shared" si="64"/>
        <v/>
      </c>
      <c r="AP60" s="163" t="str">
        <f t="shared" si="64"/>
        <v/>
      </c>
      <c r="AQ60" s="163" t="str">
        <f t="shared" si="64"/>
        <v/>
      </c>
      <c r="AR60" s="163" t="str">
        <f t="shared" si="64"/>
        <v/>
      </c>
      <c r="AS60" s="163" t="str">
        <f t="shared" si="64"/>
        <v/>
      </c>
      <c r="AT60" s="163" t="str">
        <f t="shared" si="64"/>
        <v/>
      </c>
      <c r="AU60" s="194" t="str">
        <f t="shared" si="64"/>
        <v/>
      </c>
      <c r="AV60" s="165" t="str">
        <f t="shared" si="64"/>
        <v/>
      </c>
    </row>
    <row r="61" spans="1:48" x14ac:dyDescent="0.25">
      <c r="A61" s="133" t="str">
        <f t="shared" ref="A61" si="65">+IF(C61+C62=0,"[ocultar]","")</f>
        <v>[ocultar]</v>
      </c>
      <c r="B61" s="202" t="s">
        <v>394</v>
      </c>
      <c r="C61" s="203">
        <f t="array" ref="C61">SUM(IF($B61=DATOS_[Sexo],
IF($B60=DATOS_[AGRUP. VALOR. PTO.],
IF("Dentro"=DATOS_[Check Periodo Ref.],
1/(COUNTIFS(DATOS_[Sexo],$B61,DATOS_[AGRUP. VALOR. PTO.],$B60,DATOS_[Check Periodo Ref.],"Dentro",DATOS_[id/cod],DATOS_[id/cod]))))))</f>
        <v>0</v>
      </c>
      <c r="D61" s="204">
        <f>COUNTIFS(DATOS_[AGRUP. VALOR. PTO.],$B60,DATOS_[Sexo],$B61,DATOS_[Check Periodo Ref.],"Dentro")</f>
        <v>0</v>
      </c>
      <c r="E61" s="204">
        <f>COUNTIFS(DATOS_[AGRUP. VALOR. PTO.],$B60,DATOS_[Sexo],$B61,DATOS_[Check Periodo Ref.],"Dentro",DATOS_[Check Nº SC Norm],"Sí")</f>
        <v>0</v>
      </c>
      <c r="F61" s="204">
        <f>COUNTIFS(DATOS_[AGRUP. VALOR. PTO.],$B60,DATOS_[Sexo],$B61,DATOS_[Check Periodo Ref.],"Dentro",DATOS_[Check Nº SC Anualiz],"Sí")</f>
        <v>0</v>
      </c>
      <c r="G61" s="204">
        <f>COUNTIFS(DATOS_[AGRUP. VALOR. PTO.],$B60,DATOS_[Sexo],$B61,DATOS_[Check Periodo Ref.],"Dentro",DATOS_[Check Nº SC Norm y Anualiz],"Sí")</f>
        <v>0</v>
      </c>
      <c r="H61" s="204">
        <f>COUNTIFS(DATOS_[AGRUP. VALOR. PTO.],$B60,DATOS_[Sexo],$B61,DATOS_[Check Periodo Ref.],"Dentro",DATOS_[Check Equiparación],"Sí")</f>
        <v>0</v>
      </c>
      <c r="I61" s="195">
        <f t="array" ref="I61">IFERROR(
MEDIAN(IF(DATOS_[Sexo]=$B61,IF(DATOS_[[AGRUP. VALOR. PTO.]:[AGRUP. VALOR. PTO.]]=$B60,IF(DATOS_[Check Equiparado]="Sí",IF(DATOS_[Check Periodo Ref.]="Dentro",DATOS_[SALARIO BASE Eq],FALSE))))),
0)</f>
        <v>0</v>
      </c>
      <c r="J61" s="196">
        <f t="array" ref="J61">IFERROR(
(MEDIAN((IF(DATOS_[[Sexo]:[Sexo]]=$B61,IF(DATOS_[[AGRUP. VALOR. PTO.]:[AGRUP. VALOR. PTO.]]=$B60,IF(DATOS_[[Check Periodo Ref.]:[Check Periodo Ref.]]="Dentro",IF(DATOS_[[Check Equiparado]:[Check Equiparado]]="Sí",IF(DATOS!AE$5="Sí",(1/DATOS_[[% anualiz]:[% anualiz]]),1)*IF(DATOS!AE$4="Sí",1/DATOS_[[% normaliz]:[% normaliz]],1)*(DATOS_[Conc.Sal.01])))))))),
0)</f>
        <v>0</v>
      </c>
      <c r="K61" s="196">
        <f t="array" ref="K61">IFERROR(
(MEDIAN((IF(DATOS_[[Sexo]:[Sexo]]=$B61,IF(DATOS_[[AGRUP. VALOR. PTO.]:[AGRUP. VALOR. PTO.]]=$B60,IF(DATOS_[[Check Periodo Ref.]:[Check Periodo Ref.]]="Dentro",IF(DATOS_[[Check Equiparado]:[Check Equiparado]]="Sí",IF(DATOS!AF$5="Sí",(1/DATOS_[[% anualiz]:[% anualiz]]),1)*IF(DATOS!AF$4="Sí",1/DATOS_[[% normaliz]:[% normaliz]],1)*(DATOS_[Conc.Sal.02])))))))),
0)</f>
        <v>0</v>
      </c>
      <c r="L61" s="196">
        <f t="array" ref="L61">IFERROR(
(MEDIAN((IF(DATOS_[[Sexo]:[Sexo]]=$B61,IF(DATOS_[[AGRUP. VALOR. PTO.]:[AGRUP. VALOR. PTO.]]=$B60,IF(DATOS_[[Check Periodo Ref.]:[Check Periodo Ref.]]="Dentro",IF(DATOS_[[Check Equiparado]:[Check Equiparado]]="Sí",IF(DATOS!AG$5="Sí",(1/DATOS_[[% anualiz]:[% anualiz]]),1)*IF(DATOS!AG$4="Sí",1/DATOS_[[% normaliz]:[% normaliz]],1)*(DATOS_[Conc.Sal.03])))))))),
0)</f>
        <v>0</v>
      </c>
      <c r="M61" s="196">
        <f t="array" ref="M61">IFERROR(
(MEDIAN((IF(DATOS_[[Sexo]:[Sexo]]=$B61,IF(DATOS_[[AGRUP. VALOR. PTO.]:[AGRUP. VALOR. PTO.]]=$B60,IF(DATOS_[[Check Periodo Ref.]:[Check Periodo Ref.]]="Dentro",IF(DATOS_[[Check Equiparado]:[Check Equiparado]]="Sí",IF(DATOS!AH$5="Sí",(1/DATOS_[[% anualiz]:[% anualiz]]),1)*IF(DATOS!AH$4="Sí",1/DATOS_[[% normaliz]:[% normaliz]],1)*(DATOS_[Conc.Sal.04])))))))),
0)</f>
        <v>0</v>
      </c>
      <c r="N61" s="196">
        <f t="array" ref="N61">IFERROR(
(MEDIAN((IF(DATOS_[[Sexo]:[Sexo]]=$B61,IF(DATOS_[[AGRUP. VALOR. PTO.]:[AGRUP. VALOR. PTO.]]=$B60,IF(DATOS_[[Check Periodo Ref.]:[Check Periodo Ref.]]="Dentro",IF(DATOS_[[Check Equiparado]:[Check Equiparado]]="Sí",IF(DATOS!AI$5="Sí",(1/DATOS_[[% anualiz]:[% anualiz]]),1)*IF(DATOS!AI$4="Sí",1/DATOS_[[% normaliz]:[% normaliz]],1)*(DATOS_[Conc.Sal.05])))))))),
0)</f>
        <v>0</v>
      </c>
      <c r="O61" s="196">
        <f t="array" ref="O61">IFERROR(
(MEDIAN((IF(DATOS_[[Sexo]:[Sexo]]=$B61,IF(DATOS_[[AGRUP. VALOR. PTO.]:[AGRUP. VALOR. PTO.]]=$B60,IF(DATOS_[[Check Periodo Ref.]:[Check Periodo Ref.]]="Dentro",IF(DATOS_[[Check Equiparado]:[Check Equiparado]]="Sí",IF(DATOS!AJ$5="Sí",(1/DATOS_[[% anualiz]:[% anualiz]]),1)*IF(DATOS!AJ$4="Sí",1/DATOS_[[% normaliz]:[% normaliz]],1)*(DATOS_[Conc.Sal.06])))))))),
0)</f>
        <v>0</v>
      </c>
      <c r="P61" s="196">
        <f t="array" ref="P61">IFERROR(
(MEDIAN((IF(DATOS_[[Sexo]:[Sexo]]=$B61,IF(DATOS_[[AGRUP. VALOR. PTO.]:[AGRUP. VALOR. PTO.]]=$B60,IF(DATOS_[[Check Periodo Ref.]:[Check Periodo Ref.]]="Dentro",IF(DATOS_[[Check Equiparado]:[Check Equiparado]]="Sí",IF(DATOS!AK$5="Sí",(1/DATOS_[[% anualiz]:[% anualiz]]),1)*IF(DATOS!AK$4="Sí",1/DATOS_[[% normaliz]:[% normaliz]],1)*(DATOS_[Conc.Sal.07])))))))),
0)</f>
        <v>0</v>
      </c>
      <c r="Q61" s="196">
        <f t="array" ref="Q61">IFERROR(
(MEDIAN((IF(DATOS_[[Sexo]:[Sexo]]=$B61,IF(DATOS_[[AGRUP. VALOR. PTO.]:[AGRUP. VALOR. PTO.]]=$B60,IF(DATOS_[[Check Periodo Ref.]:[Check Periodo Ref.]]="Dentro",IF(DATOS_[[Check Equiparado]:[Check Equiparado]]="Sí",IF(DATOS!AL$5="Sí",(1/DATOS_[[% anualiz]:[% anualiz]]),1)*IF(DATOS!AL$4="Sí",1/DATOS_[[% normaliz]:[% normaliz]],1)*(DATOS_[Conc.Sal.08])))))))),
0)</f>
        <v>0</v>
      </c>
      <c r="R61" s="196">
        <f t="array" ref="R61">IFERROR(
(MEDIAN((IF(DATOS_[[Sexo]:[Sexo]]=$B61,IF(DATOS_[[AGRUP. VALOR. PTO.]:[AGRUP. VALOR. PTO.]]=$B60,IF(DATOS_[[Check Periodo Ref.]:[Check Periodo Ref.]]="Dentro",IF(DATOS_[[Check Equiparado]:[Check Equiparado]]="Sí",IF(DATOS!AM$5="Sí",(1/DATOS_[[% anualiz]:[% anualiz]]),1)*IF(DATOS!AM$4="Sí",1/DATOS_[[% normaliz]:[% normaliz]],1)*(DATOS_[Conc.Sal.09])))))))),
0)</f>
        <v>0</v>
      </c>
      <c r="S61" s="196">
        <f t="array" ref="S61">IFERROR(
(MEDIAN((IF(DATOS_[[Sexo]:[Sexo]]=$B61,IF(DATOS_[[AGRUP. VALOR. PTO.]:[AGRUP. VALOR. PTO.]]=$B60,IF(DATOS_[[Check Periodo Ref.]:[Check Periodo Ref.]]="Dentro",IF(DATOS_[[Check Equiparado]:[Check Equiparado]]="Sí",IF(DATOS!AN$5="Sí",(1/DATOS_[[% anualiz]:[% anualiz]]),1)*IF(DATOS!AN$4="Sí",1/DATOS_[[% normaliz]:[% normaliz]],1)*(DATOS_[Conc.Sal.10])))))))),
0)</f>
        <v>0</v>
      </c>
      <c r="T61" s="196">
        <f t="array" ref="T61">IFERROR(
(MEDIAN((IF(DATOS_[[Sexo]:[Sexo]]=$B61,IF(DATOS_[[AGRUP. VALOR. PTO.]:[AGRUP. VALOR. PTO.]]=$B60,IF(DATOS_[[Check Periodo Ref.]:[Check Periodo Ref.]]="Dentro",IF(DATOS_[[Check Equiparado]:[Check Equiparado]]="Sí",IF(DATOS!AO$5="Sí",(1/DATOS_[[% anualiz]:[% anualiz]]),1)*IF(DATOS!AO$4="Sí",1/DATOS_[[% normaliz]:[% normaliz]],1)*(DATOS_[Conc.Sal.11])))))))),
0)</f>
        <v>0</v>
      </c>
      <c r="U61" s="196">
        <f t="array" ref="U61">IFERROR(
(MEDIAN((IF(DATOS_[[Sexo]:[Sexo]]=$B61,IF(DATOS_[[AGRUP. VALOR. PTO.]:[AGRUP. VALOR. PTO.]]=$B60,IF(DATOS_[[Check Periodo Ref.]:[Check Periodo Ref.]]="Dentro",IF(DATOS_[[Check Equiparado]:[Check Equiparado]]="Sí",IF(DATOS!AP$5="Sí",(1/DATOS_[[% anualiz]:[% anualiz]]),1)*IF(DATOS!AP$4="Sí",1/DATOS_[[% normaliz]:[% normaliz]],1)*(DATOS_[Conc.Sal.12])))))))),
0)</f>
        <v>0</v>
      </c>
      <c r="V61" s="196">
        <f t="array" ref="V61">IFERROR(
(MEDIAN((IF(DATOS_[[Sexo]:[Sexo]]=$B61,IF(DATOS_[[AGRUP. VALOR. PTO.]:[AGRUP. VALOR. PTO.]]=$B60,IF(DATOS_[[Check Periodo Ref.]:[Check Periodo Ref.]]="Dentro",IF(DATOS_[[Check Equiparado]:[Check Equiparado]]="Sí",IF(DATOS!AQ$5="Sí",(1/DATOS_[[% anualiz]:[% anualiz]]),1)*IF(DATOS!AQ$4="Sí",1/DATOS_[[% normaliz]:[% normaliz]],1)*(DATOS_[Conc.Sal.13])))))))),
0)</f>
        <v>0</v>
      </c>
      <c r="W61" s="196">
        <f t="array" ref="W61">IFERROR(
(MEDIAN((IF(DATOS_[[Sexo]:[Sexo]]=$B61,IF(DATOS_[[AGRUP. VALOR. PTO.]:[AGRUP. VALOR. PTO.]]=$B60,IF(DATOS_[[Check Periodo Ref.]:[Check Periodo Ref.]]="Dentro",IF(DATOS_[[Check Equiparado]:[Check Equiparado]]="Sí",IF(DATOS!AR$5="Sí",(1/DATOS_[[% anualiz]:[% anualiz]]),1)*IF(DATOS!AR$4="Sí",1/DATOS_[[% normaliz]:[% normaliz]],1)*(DATOS_[Conc.Sal.14])))))))),
0)</f>
        <v>0</v>
      </c>
      <c r="X61" s="196">
        <f t="array" ref="X61">IFERROR(
(MEDIAN((IF(DATOS_[[Sexo]:[Sexo]]=$B61,IF(DATOS_[[AGRUP. VALOR. PTO.]:[AGRUP. VALOR. PTO.]]=$B60,IF(DATOS_[[Check Periodo Ref.]:[Check Periodo Ref.]]="Dentro",IF(DATOS_[[Check Equiparado]:[Check Equiparado]]="Sí",IF(DATOS!AS$5="Sí",(1/DATOS_[[% anualiz]:[% anualiz]]),1)*IF(DATOS!AS$4="Sí",1/DATOS_[[% normaliz]:[% normaliz]],1)*(DATOS_[Conc.Sal.15])))))))),
0)</f>
        <v>0</v>
      </c>
      <c r="Y61" s="196">
        <f t="array" ref="Y61">IFERROR(
(MEDIAN((IF(DATOS_[[Sexo]:[Sexo]]=$B61,IF(DATOS_[[AGRUP. VALOR. PTO.]:[AGRUP. VALOR. PTO.]]=$B60,IF(DATOS_[[Check Periodo Ref.]:[Check Periodo Ref.]]="Dentro",IF(DATOS_[[Check Equiparado]:[Check Equiparado]]="Sí",IF(DATOS!AT$5="Sí",(1/DATOS_[[% anualiz]:[% anualiz]]),1)*IF(DATOS!AT$4="Sí",1/DATOS_[[% normaliz]:[% normaliz]],1)*(DATOS_[Conc.Sal.16])))))))),
0)</f>
        <v>0</v>
      </c>
      <c r="Z61" s="196">
        <f t="array" ref="Z61">IFERROR(
(MEDIAN((IF(DATOS_[[Sexo]:[Sexo]]=$B61,IF(DATOS_[[AGRUP. VALOR. PTO.]:[AGRUP. VALOR. PTO.]]=$B60,IF(DATOS_[[Check Periodo Ref.]:[Check Periodo Ref.]]="Dentro",IF(DATOS_[[Check Equiparado]:[Check Equiparado]]="Sí",IF(DATOS!AU$5="Sí",(1/DATOS_[[% anualiz]:[% anualiz]]),1)*IF(DATOS!AU$4="Sí",1/DATOS_[[% normaliz]:[% normaliz]],1)*(DATOS_[Conc.Sal.17])))))))),
0)</f>
        <v>0</v>
      </c>
      <c r="AA61" s="196">
        <f t="array" ref="AA61">IFERROR(
(MEDIAN((IF(DATOS_[[Sexo]:[Sexo]]=$B61,IF(DATOS_[[AGRUP. VALOR. PTO.]:[AGRUP. VALOR. PTO.]]=$B60,IF(DATOS_[[Check Periodo Ref.]:[Check Periodo Ref.]]="Dentro",IF(DATOS_[[Check Equiparado]:[Check Equiparado]]="Sí",IF(DATOS!AV$5="Sí",(1/DATOS_[[% anualiz]:[% anualiz]]),1)*IF(DATOS!AV$4="Sí",1/DATOS_[[% normaliz]:[% normaliz]],1)*(DATOS_[Conc.Sal.18])))))))),
0)</f>
        <v>0</v>
      </c>
      <c r="AB61" s="196">
        <f t="array" ref="AB61">IFERROR(
(MEDIAN((IF(DATOS_[[Sexo]:[Sexo]]=$B61,IF(DATOS_[[AGRUP. VALOR. PTO.]:[AGRUP. VALOR. PTO.]]=$B60,IF(DATOS_[[Check Periodo Ref.]:[Check Periodo Ref.]]="Dentro",IF(DATOS_[[Check Equiparado]:[Check Equiparado]]="Sí",IF(DATOS!AW$5="Sí",(1/DATOS_[[% anualiz]:[% anualiz]]),1)*IF(DATOS!AW$4="Sí",1/DATOS_[[% normaliz]:[% normaliz]],1)*(DATOS_[Conc.Sal.19])))))))),
0)</f>
        <v>0</v>
      </c>
      <c r="AC61" s="196">
        <f t="array" ref="AC61">IFERROR(
(MEDIAN((IF(DATOS_[[Sexo]:[Sexo]]=$B61,IF(DATOS_[[AGRUP. VALOR. PTO.]:[AGRUP. VALOR. PTO.]]=$B60,IF(DATOS_[[Check Periodo Ref.]:[Check Periodo Ref.]]="Dentro",IF(DATOS_[[Check Equiparado]:[Check Equiparado]]="Sí",IF(DATOS!AX$5="Sí",(1/DATOS_[[% anualiz]:[% anualiz]]),1)*IF(DATOS!AX$4="Sí",1/DATOS_[[% normaliz]:[% normaliz]],1)*(DATOS_[Conc.Sal.20])))))))),
0)</f>
        <v>0</v>
      </c>
      <c r="AD61" s="196">
        <f t="array" ref="AD61">IFERROR(
(MEDIAN((IF(DATOS_[[Sexo]:[Sexo]]=$B61,IF(DATOS_[[AGRUP. VALOR. PTO.]:[AGRUP. VALOR. PTO.]]=$B60,IF(DATOS_[[Check Periodo Ref.]:[Check Periodo Ref.]]="Dentro",IF(DATOS_[[Check Equiparado]:[Check Equiparado]]="Sí",IF(DATOS!AY$5="Sí",(1/DATOS_[[% anualiz]:[% anualiz]]),1)*IF(DATOS!AY$4="Sí",1/DATOS_[[% normaliz]:[% normaliz]],1)*(DATOS_[Conc.Sal.21])))))))),
0)</f>
        <v>0</v>
      </c>
      <c r="AE61" s="196">
        <f t="array" ref="AE61">IFERROR(
(MEDIAN((IF(DATOS_[[Sexo]:[Sexo]]=$B61,IF(DATOS_[[AGRUP. VALOR. PTO.]:[AGRUP. VALOR. PTO.]]=$B60,IF(DATOS_[[Check Periodo Ref.]:[Check Periodo Ref.]]="Dentro",IF(DATOS_[[Check Equiparado]:[Check Equiparado]]="Sí",IF(DATOS!AZ$5="Sí",(1/DATOS_[[% anualiz]:[% anualiz]]),1)*IF(DATOS!AZ$4="Sí",1/DATOS_[[% normaliz]:[% normaliz]],1)*(DATOS_[Conc.Sal.22])))))))),
0)</f>
        <v>0</v>
      </c>
      <c r="AF61" s="196">
        <f t="array" ref="AF61">IFERROR(
(MEDIAN((IF(DATOS_[[Sexo]:[Sexo]]=$B61,IF(DATOS_[[AGRUP. VALOR. PTO.]:[AGRUP. VALOR. PTO.]]=$B60,IF(DATOS_[[Check Periodo Ref.]:[Check Periodo Ref.]]="Dentro",IF(DATOS_[[Check Equiparado]:[Check Equiparado]]="Sí",IF(DATOS!BA$5="Sí",(1/DATOS_[[% anualiz]:[% anualiz]]),1)*IF(DATOS!BA$4="Sí",1/DATOS_[[% normaliz]:[% normaliz]],1)*(DATOS_[Conc.Sal.23])))))))),
0)</f>
        <v>0</v>
      </c>
      <c r="AG61" s="196">
        <f t="array" ref="AG61">IFERROR(
(MEDIAN((IF(DATOS_[[Sexo]:[Sexo]]=$B61,IF(DATOS_[[AGRUP. VALOR. PTO.]:[AGRUP. VALOR. PTO.]]=$B60,IF(DATOS_[[Check Periodo Ref.]:[Check Periodo Ref.]]="Dentro",IF(DATOS_[[Check Equiparado]:[Check Equiparado]]="Sí",IF(DATOS!BB$5="Sí",(1/DATOS_[[% anualiz]:[% anualiz]]),1)*IF(DATOS!BB$4="Sí",1/DATOS_[[% normaliz]:[% normaliz]],1)*(DATOS_[Conc.Sal.24])))))))),
0)</f>
        <v>0</v>
      </c>
      <c r="AH61" s="196">
        <f t="array" ref="AH61">IFERROR(
(MEDIAN((IF(DATOS_[[Sexo]:[Sexo]]=$B61,IF(DATOS_[[AGRUP. VALOR. PTO.]:[AGRUP. VALOR. PTO.]]=$B60,IF(DATOS_[[Check Periodo Ref.]:[Check Periodo Ref.]]="Dentro",IF(DATOS_[[Check Equiparado]:[Check Equiparado]]="Sí",IF(DATOS!BC$5="Sí",(1/DATOS_[[% anualiz]:[% anualiz]]),1)*IF(DATOS!BC$4="Sí",1/DATOS_[[% normaliz]:[% normaliz]],1)*(DATOS_[Conc.Sal.25])))))))),
0)</f>
        <v>0</v>
      </c>
      <c r="AI61" s="196">
        <f t="array" ref="AI61">IFERROR(
(MEDIAN((IF(DATOS_[[Sexo]:[Sexo]]=$B61,IF(DATOS_[[AGRUP. VALOR. PTO.]:[AGRUP. VALOR. PTO.]]=$B60,IF(DATOS_[[Check Periodo Ref.]:[Check Periodo Ref.]]="Dentro",IF(DATOS_[[Check Equiparado]:[Check Equiparado]]="Sí",IF(DATOS!BD$5="Sí",(1/DATOS_[[% anualiz]:[% anualiz]]),1)*IF(DATOS!BD$4="Sí",1/DATOS_[[% normaliz]:[% normaliz]],1)*(DATOS_[Conc.Sal.26])))))))),
0)</f>
        <v>0</v>
      </c>
      <c r="AJ61" s="196">
        <f t="array" ref="AJ61">IFERROR(
(MEDIAN((IF(DATOS_[[Sexo]:[Sexo]]=$B61,IF(DATOS_[[AGRUP. VALOR. PTO.]:[AGRUP. VALOR. PTO.]]=$B60,IF(DATOS_[[Check Periodo Ref.]:[Check Periodo Ref.]]="Dentro",IF(DATOS_[[Check Equiparado]:[Check Equiparado]]="Sí",IF(DATOS!BE$5="Sí",(1/DATOS_[[% anualiz]:[% anualiz]]),1)*IF(DATOS!BE$4="Sí",1/DATOS_[[% normaliz]:[% normaliz]],1)*(DATOS_[Conc.Sal.27])))))))),
0)</f>
        <v>0</v>
      </c>
      <c r="AK61" s="196">
        <f t="array" ref="AK61">IFERROR(
(MEDIAN((IF(DATOS_[[Sexo]:[Sexo]]=$B61,IF(DATOS_[[AGRUP. VALOR. PTO.]:[AGRUP. VALOR. PTO.]]=$B60,IF(DATOS_[[Check Periodo Ref.]:[Check Periodo Ref.]]="Dentro",IF(DATOS_[[Check Equiparado]:[Check Equiparado]]="Sí",IF(DATOS!BF$5="Sí",(1/DATOS_[[% anualiz]:[% anualiz]]),1)*IF(DATOS!BF$4="Sí",1/DATOS_[[% normaliz]:[% normaliz]],1)*(DATOS_[Conc.Sal.28])))))))),
0)</f>
        <v>0</v>
      </c>
      <c r="AL61" s="196">
        <f t="array" ref="AL61">IFERROR(
(MEDIAN((IF(DATOS_[[Sexo]:[Sexo]]=$B61,IF(DATOS_[[AGRUP. VALOR. PTO.]:[AGRUP. VALOR. PTO.]]=$B60,IF(DATOS_[[Check Periodo Ref.]:[Check Periodo Ref.]]="Dentro",IF(DATOS_[[Check Equiparado]:[Check Equiparado]]="Sí",IF(DATOS!BG$5="Sí",(1/DATOS_[[% anualiz]:[% anualiz]]),1)*IF(DATOS!BG$4="Sí",1/DATOS_[[% normaliz]:[% normaliz]],1)*(DATOS_[Conc.Sal.29])))))))),
0)</f>
        <v>0</v>
      </c>
      <c r="AM61" s="196">
        <f t="array" ref="AM61">IFERROR(
(MEDIAN((IF(DATOS_[[Sexo]:[Sexo]]=$B61,IF(DATOS_[[AGRUP. VALOR. PTO.]:[AGRUP. VALOR. PTO.]]=$B60,IF(DATOS_[[Check Periodo Ref.]:[Check Periodo Ref.]]="Dentro",IF(DATOS_[[Check Equiparado]:[Check Equiparado]]="Sí",IF(DATOS!BH$5="Sí",(1/DATOS_[[% anualiz]:[% anualiz]]),1)*IF(DATOS!BH$4="Sí",1/DATOS_[[% normaliz]:[% normaliz]],1)*(DATOS_[Conc.Sal.30])))))))),
0)</f>
        <v>0</v>
      </c>
      <c r="AN61" s="195">
        <f t="array" ref="AN61">IFERROR(
MEDIAN(IF(DATOS_[Sexo]=$B61,IF(DATOS_[[AGRUP. VALOR. PTO.]:[AGRUP. VALOR. PTO.]]=$B60,IF(DATOS_[Check Equiparado]="Sí",IF(DATOS_[Check Periodo Ref.]="Dentro",DATOS_[Tot COMPL.SAL Eq],FALSE))))),
0)</f>
        <v>0</v>
      </c>
      <c r="AO61" s="172">
        <f t="array" ref="AO61">IFERROR(
MEDIAN(IF(DATOS_[Sexo]=$B61,IF(DATOS_[[AGRUP. VALOR. PTO.]:[AGRUP. VALOR. PTO.]]=$B60,IF(DATOS_[Check Equiparado]="Sí",IF(DATOS_[Check Periodo Ref.]="Dentro",DATOS_[TOTAL SALARIO Eq],FALSE))))),
0)</f>
        <v>0</v>
      </c>
      <c r="AP61" s="173">
        <f t="array" ref="AP61">IFERROR(
(MEDIAN((IF(DATOS_[[Sexo]:[Sexo]]=$B61,IF(DATOS_[[AGRUP. VALOR. PTO.]:[AGRUP. VALOR. PTO.]]=$B60,IF(DATOS_[[Check Periodo Ref.]:[Check Periodo Ref.]]="Dentro",IF(DATOS_[[Check Equiparado]:[Check Equiparado]]="Sí",IF(DATOS!BW$5="Sí",(1/DATOS_[[% anualiz]:[% anualiz]]),1)*IF(DATOS!BW$4="Sí",1/DATOS_[[% normaliz]:[% normaliz]],1)*(DATOS_[C.Extra.01])))))))),
0)</f>
        <v>0</v>
      </c>
      <c r="AQ61" s="173">
        <f t="array" ref="AQ61">IFERROR(
(MEDIAN((IF(DATOS_[[Sexo]:[Sexo]]=$B61,IF(DATOS_[[AGRUP. VALOR. PTO.]:[AGRUP. VALOR. PTO.]]=$B60,IF(DATOS_[[Check Periodo Ref.]:[Check Periodo Ref.]]="Dentro",IF(DATOS_[[Check Equiparado]:[Check Equiparado]]="Sí",IF(DATOS!CB$5="Sí",(1/DATOS_[[% anualiz]:[% anualiz]]),1)*IF(DATOS!CB$4="Sí",1/DATOS_[[% normaliz]:[% normaliz]],1)*(DATOS_[C.Extra.06])))))))),
0)</f>
        <v>0</v>
      </c>
      <c r="AR61" s="173">
        <f t="array" ref="AR61">IFERROR(
(MEDIAN((IF(DATOS_[[Sexo]:[Sexo]]=$B61,IF(DATOS_[[AGRUP. VALOR. PTO.]:[AGRUP. VALOR. PTO.]]=$B60,IF(DATOS_[[Check Periodo Ref.]:[Check Periodo Ref.]]="Dentro",IF(DATOS_[[Check Equiparado]:[Check Equiparado]]="Sí",IF(DATOS!CC$5="Sí",(1/DATOS_[[% anualiz]:[% anualiz]]),1)*IF(DATOS!CC$4="Sí",1/DATOS_[[% normaliz]:[% normaliz]],1)*(DATOS_[C.Extra.07])))))))),
0)</f>
        <v>0</v>
      </c>
      <c r="AS61" s="173">
        <f t="array" ref="AS61">IFERROR(
(MEDIAN((IF(DATOS_[[Sexo]:[Sexo]]=$B61,IF(DATOS_[[AGRUP. VALOR. PTO.]:[AGRUP. VALOR. PTO.]]=$B60,IF(DATOS_[[Check Periodo Ref.]:[Check Periodo Ref.]]="Dentro",IF(DATOS_[[Check Equiparado]:[Check Equiparado]]="Sí",IF(DATOS!CD$5="Sí",(1/DATOS_[[% anualiz]:[% anualiz]]),1)*IF(DATOS!CD$4="Sí",1/DATOS_[[% normaliz]:[% normaliz]],1)*(DATOS_[C.Extra.08])))))))),
0)</f>
        <v>0</v>
      </c>
      <c r="AT61" s="173">
        <f t="array" ref="AT61">IFERROR(
(MEDIAN((IF(DATOS_[[Sexo]:[Sexo]]=$B61,IF(DATOS_[[AGRUP. VALOR. PTO.]:[AGRUP. VALOR. PTO.]]=$B60,IF(DATOS_[[Check Periodo Ref.]:[Check Periodo Ref.]]="Dentro",IF(DATOS_[[Check Equiparado]:[Check Equiparado]]="Sí",IF(DATOS!CG$5="Sí",(1/DATOS_[[% anualiz]:[% anualiz]]),1)*IF(DATOS!CG$4="Sí",1/DATOS_[[% normaliz]:[% normaliz]],1)*(DATOS_[C.Extra.11])))))))),
0)</f>
        <v>0</v>
      </c>
      <c r="AU61" s="197">
        <f t="array" ref="AU61">IFERROR(
MEDIAN(IF(DATOS_[Sexo]=$B61,IF(DATOS_[[AGRUP. VALOR. PTO.]:[AGRUP. VALOR. PTO.]]=$B60,IF(DATOS_[Check Equiparado]="Sí",IF(DATOS_[Check Periodo Ref.]="Dentro",DATOS_[Tot Extrasalarial Eq],FALSE))))),
0)</f>
        <v>0</v>
      </c>
      <c r="AV61" s="175">
        <f t="array" ref="AV61">IFERROR(
MEDIAN(IF(DATOS_[Sexo]=$B61,IF(DATOS_[[AGRUP. VALOR. PTO.]:[AGRUP. VALOR. PTO.]]=$B60,IF(DATOS_[Check Equiparado]="Sí",IF(DATOS_[Check Periodo Ref.]="Dentro",DATOS_[TOTAL Retrib Eq],FALSE))))),
0)</f>
        <v>0</v>
      </c>
    </row>
    <row r="62" spans="1:48" x14ac:dyDescent="0.25">
      <c r="A62" s="133" t="str">
        <f t="shared" ref="A62" si="66">+A61</f>
        <v>[ocultar]</v>
      </c>
      <c r="B62" s="202" t="s">
        <v>521</v>
      </c>
      <c r="C62" s="203">
        <f t="array" ref="C62">SUM(IF($B62=DATOS_[Sexo],
IF($B60=DATOS_[AGRUP. VALOR. PTO.],
IF("Dentro"=DATOS_[Check Periodo Ref.],
1/(COUNTIFS(DATOS_[Sexo],$B62,DATOS_[AGRUP. VALOR. PTO.],$B60,DATOS_[Check Periodo Ref.],"Dentro",DATOS_[id/cod],DATOS_[id/cod]))))))</f>
        <v>0</v>
      </c>
      <c r="D62" s="204">
        <f>COUNTIFS(DATOS_[AGRUP. VALOR. PTO.],$B60,DATOS_[Sexo],$B62,DATOS_[Check Periodo Ref.],"Dentro")</f>
        <v>0</v>
      </c>
      <c r="E62" s="204">
        <f>COUNTIFS(DATOS_[AGRUP. VALOR. PTO.],$B60,DATOS_[Sexo],$B62,DATOS_[Check Periodo Ref.],"Dentro",DATOS_[Check Nº SC Norm],"Sí")</f>
        <v>0</v>
      </c>
      <c r="F62" s="204">
        <f>COUNTIFS(DATOS_[AGRUP. VALOR. PTO.],$B60,DATOS_[Sexo],$B62,DATOS_[Check Periodo Ref.],"Dentro",DATOS_[Check Nº SC Anualiz],"Sí")</f>
        <v>0</v>
      </c>
      <c r="G62" s="204">
        <f>COUNTIFS(DATOS_[AGRUP. VALOR. PTO.],$B60,DATOS_[Sexo],$B62,DATOS_[Check Periodo Ref.],"Dentro",DATOS_[Check Nº SC Norm y Anualiz],"Sí")</f>
        <v>0</v>
      </c>
      <c r="H62" s="204">
        <f>COUNTIFS(DATOS_[AGRUP. VALOR. PTO.],$B60,DATOS_[Sexo],$B62,DATOS_[Check Periodo Ref.],"Dentro",DATOS_[Check Equiparación],"Sí")</f>
        <v>0</v>
      </c>
      <c r="I62" s="195" cm="1">
        <f t="array" ref="I62">IFERROR(
MEDIAN(IF(DATOS_[Sexo]=$B62,IF(DATOS_[[AGRUP. VALOR. PTO.]:[AGRUP. VALOR. PTO.]]=$B60,IF(DATOS_[Check Equiparado]="Sí",IF(DATOS_[Check Periodo Ref.]="Dentro",DATOS_[SALARIO BASE Eq],FALSE))))),
0)</f>
        <v>0</v>
      </c>
      <c r="J62" s="196">
        <f t="array" ref="J62">IFERROR(
(MEDIAN((IF(DATOS_[[Sexo]:[Sexo]]=$B62,IF(DATOS_[[AGRUP. VALOR. PTO.]:[AGRUP. VALOR. PTO.]]=$B60,IF(DATOS_[[Check Periodo Ref.]:[Check Periodo Ref.]]="Dentro",IF(DATOS_[[Check Equiparado]:[Check Equiparado]]="Sí",IF(DATOS!AE$5="Sí",(1/DATOS_[[% anualiz]:[% anualiz]]),1)*IF(DATOS!AE$4="Sí",1/DATOS_[[% normaliz]:[% normaliz]],1)*(DATOS_[Conc.Sal.01])))))))),
0)</f>
        <v>0</v>
      </c>
      <c r="K62" s="196">
        <f t="array" ref="K62">IFERROR(
(MEDIAN((IF(DATOS_[[Sexo]:[Sexo]]=$B62,IF(DATOS_[[AGRUP. VALOR. PTO.]:[AGRUP. VALOR. PTO.]]=$B60,IF(DATOS_[[Check Periodo Ref.]:[Check Periodo Ref.]]="Dentro",IF(DATOS_[[Check Equiparado]:[Check Equiparado]]="Sí",IF(DATOS!AF$5="Sí",(1/DATOS_[[% anualiz]:[% anualiz]]),1)*IF(DATOS!AF$4="Sí",1/DATOS_[[% normaliz]:[% normaliz]],1)*(DATOS_[Conc.Sal.02])))))))),
0)</f>
        <v>0</v>
      </c>
      <c r="L62" s="196">
        <f t="array" ref="L62">IFERROR(
(MEDIAN((IF(DATOS_[[Sexo]:[Sexo]]=$B62,IF(DATOS_[[AGRUP. VALOR. PTO.]:[AGRUP. VALOR. PTO.]]=$B60,IF(DATOS_[[Check Periodo Ref.]:[Check Periodo Ref.]]="Dentro",IF(DATOS_[[Check Equiparado]:[Check Equiparado]]="Sí",IF(DATOS!AG$5="Sí",(1/DATOS_[[% anualiz]:[% anualiz]]),1)*IF(DATOS!AG$4="Sí",1/DATOS_[[% normaliz]:[% normaliz]],1)*(DATOS_[Conc.Sal.03])))))))),
0)</f>
        <v>0</v>
      </c>
      <c r="M62" s="196">
        <f t="array" ref="M62">IFERROR(
(MEDIAN((IF(DATOS_[[Sexo]:[Sexo]]=$B62,IF(DATOS_[[AGRUP. VALOR. PTO.]:[AGRUP. VALOR. PTO.]]=$B60,IF(DATOS_[[Check Periodo Ref.]:[Check Periodo Ref.]]="Dentro",IF(DATOS_[[Check Equiparado]:[Check Equiparado]]="Sí",IF(DATOS!AH$5="Sí",(1/DATOS_[[% anualiz]:[% anualiz]]),1)*IF(DATOS!AH$4="Sí",1/DATOS_[[% normaliz]:[% normaliz]],1)*(DATOS_[Conc.Sal.04])))))))),
0)</f>
        <v>0</v>
      </c>
      <c r="N62" s="196">
        <f t="array" ref="N62">IFERROR(
(MEDIAN((IF(DATOS_[[Sexo]:[Sexo]]=$B62,IF(DATOS_[[AGRUP. VALOR. PTO.]:[AGRUP. VALOR. PTO.]]=$B60,IF(DATOS_[[Check Periodo Ref.]:[Check Periodo Ref.]]="Dentro",IF(DATOS_[[Check Equiparado]:[Check Equiparado]]="Sí",IF(DATOS!AI$5="Sí",(1/DATOS_[[% anualiz]:[% anualiz]]),1)*IF(DATOS!AI$4="Sí",1/DATOS_[[% normaliz]:[% normaliz]],1)*(DATOS_[Conc.Sal.05])))))))),
0)</f>
        <v>0</v>
      </c>
      <c r="O62" s="196">
        <f t="array" ref="O62">IFERROR(
(MEDIAN((IF(DATOS_[[Sexo]:[Sexo]]=$B62,IF(DATOS_[[AGRUP. VALOR. PTO.]:[AGRUP. VALOR. PTO.]]=$B60,IF(DATOS_[[Check Periodo Ref.]:[Check Periodo Ref.]]="Dentro",IF(DATOS_[[Check Equiparado]:[Check Equiparado]]="Sí",IF(DATOS!AJ$5="Sí",(1/DATOS_[[% anualiz]:[% anualiz]]),1)*IF(DATOS!AJ$4="Sí",1/DATOS_[[% normaliz]:[% normaliz]],1)*(DATOS_[Conc.Sal.06])))))))),
0)</f>
        <v>0</v>
      </c>
      <c r="P62" s="196">
        <f t="array" ref="P62">IFERROR(
(MEDIAN((IF(DATOS_[[Sexo]:[Sexo]]=$B62,IF(DATOS_[[AGRUP. VALOR. PTO.]:[AGRUP. VALOR. PTO.]]=$B60,IF(DATOS_[[Check Periodo Ref.]:[Check Periodo Ref.]]="Dentro",IF(DATOS_[[Check Equiparado]:[Check Equiparado]]="Sí",IF(DATOS!AK$5="Sí",(1/DATOS_[[% anualiz]:[% anualiz]]),1)*IF(DATOS!AK$4="Sí",1/DATOS_[[% normaliz]:[% normaliz]],1)*(DATOS_[Conc.Sal.07])))))))),
0)</f>
        <v>0</v>
      </c>
      <c r="Q62" s="196">
        <f t="array" ref="Q62">IFERROR(
(MEDIAN((IF(DATOS_[[Sexo]:[Sexo]]=$B62,IF(DATOS_[[AGRUP. VALOR. PTO.]:[AGRUP. VALOR. PTO.]]=$B60,IF(DATOS_[[Check Periodo Ref.]:[Check Periodo Ref.]]="Dentro",IF(DATOS_[[Check Equiparado]:[Check Equiparado]]="Sí",IF(DATOS!AL$5="Sí",(1/DATOS_[[% anualiz]:[% anualiz]]),1)*IF(DATOS!AL$4="Sí",1/DATOS_[[% normaliz]:[% normaliz]],1)*(DATOS_[Conc.Sal.08])))))))),
0)</f>
        <v>0</v>
      </c>
      <c r="R62" s="196">
        <f t="array" ref="R62">IFERROR(
(MEDIAN((IF(DATOS_[[Sexo]:[Sexo]]=$B62,IF(DATOS_[[AGRUP. VALOR. PTO.]:[AGRUP. VALOR. PTO.]]=$B60,IF(DATOS_[[Check Periodo Ref.]:[Check Periodo Ref.]]="Dentro",IF(DATOS_[[Check Equiparado]:[Check Equiparado]]="Sí",IF(DATOS!AM$5="Sí",(1/DATOS_[[% anualiz]:[% anualiz]]),1)*IF(DATOS!AM$4="Sí",1/DATOS_[[% normaliz]:[% normaliz]],1)*(DATOS_[Conc.Sal.09])))))))),
0)</f>
        <v>0</v>
      </c>
      <c r="S62" s="196">
        <f t="array" ref="S62">IFERROR(
(MEDIAN((IF(DATOS_[[Sexo]:[Sexo]]=$B62,IF(DATOS_[[AGRUP. VALOR. PTO.]:[AGRUP. VALOR. PTO.]]=$B60,IF(DATOS_[[Check Periodo Ref.]:[Check Periodo Ref.]]="Dentro",IF(DATOS_[[Check Equiparado]:[Check Equiparado]]="Sí",IF(DATOS!AN$5="Sí",(1/DATOS_[[% anualiz]:[% anualiz]]),1)*IF(DATOS!AN$4="Sí",1/DATOS_[[% normaliz]:[% normaliz]],1)*(DATOS_[Conc.Sal.10])))))))),
0)</f>
        <v>0</v>
      </c>
      <c r="T62" s="196">
        <f t="array" ref="T62">IFERROR(
(MEDIAN((IF(DATOS_[[Sexo]:[Sexo]]=$B62,IF(DATOS_[[AGRUP. VALOR. PTO.]:[AGRUP. VALOR. PTO.]]=$B60,IF(DATOS_[[Check Periodo Ref.]:[Check Periodo Ref.]]="Dentro",IF(DATOS_[[Check Equiparado]:[Check Equiparado]]="Sí",IF(DATOS!AO$5="Sí",(1/DATOS_[[% anualiz]:[% anualiz]]),1)*IF(DATOS!AO$4="Sí",1/DATOS_[[% normaliz]:[% normaliz]],1)*(DATOS_[Conc.Sal.11])))))))),
0)</f>
        <v>0</v>
      </c>
      <c r="U62" s="196">
        <f t="array" ref="U62">IFERROR(
(MEDIAN((IF(DATOS_[[Sexo]:[Sexo]]=$B62,IF(DATOS_[[AGRUP. VALOR. PTO.]:[AGRUP. VALOR. PTO.]]=$B60,IF(DATOS_[[Check Periodo Ref.]:[Check Periodo Ref.]]="Dentro",IF(DATOS_[[Check Equiparado]:[Check Equiparado]]="Sí",IF(DATOS!AP$5="Sí",(1/DATOS_[[% anualiz]:[% anualiz]]),1)*IF(DATOS!AP$4="Sí",1/DATOS_[[% normaliz]:[% normaliz]],1)*(DATOS_[Conc.Sal.12])))))))),
0)</f>
        <v>0</v>
      </c>
      <c r="V62" s="196">
        <f t="array" ref="V62">IFERROR(
(MEDIAN((IF(DATOS_[[Sexo]:[Sexo]]=$B62,IF(DATOS_[[AGRUP. VALOR. PTO.]:[AGRUP. VALOR. PTO.]]=$B60,IF(DATOS_[[Check Periodo Ref.]:[Check Periodo Ref.]]="Dentro",IF(DATOS_[[Check Equiparado]:[Check Equiparado]]="Sí",IF(DATOS!AQ$5="Sí",(1/DATOS_[[% anualiz]:[% anualiz]]),1)*IF(DATOS!AQ$4="Sí",1/DATOS_[[% normaliz]:[% normaliz]],1)*(DATOS_[Conc.Sal.13])))))))),
0)</f>
        <v>0</v>
      </c>
      <c r="W62" s="196">
        <f t="array" ref="W62">IFERROR(
(MEDIAN((IF(DATOS_[[Sexo]:[Sexo]]=$B62,IF(DATOS_[[AGRUP. VALOR. PTO.]:[AGRUP. VALOR. PTO.]]=$B60,IF(DATOS_[[Check Periodo Ref.]:[Check Periodo Ref.]]="Dentro",IF(DATOS_[[Check Equiparado]:[Check Equiparado]]="Sí",IF(DATOS!AR$5="Sí",(1/DATOS_[[% anualiz]:[% anualiz]]),1)*IF(DATOS!AR$4="Sí",1/DATOS_[[% normaliz]:[% normaliz]],1)*(DATOS_[Conc.Sal.14])))))))),
0)</f>
        <v>0</v>
      </c>
      <c r="X62" s="196">
        <f t="array" ref="X62">IFERROR(
(MEDIAN((IF(DATOS_[[Sexo]:[Sexo]]=$B62,IF(DATOS_[[AGRUP. VALOR. PTO.]:[AGRUP. VALOR. PTO.]]=$B60,IF(DATOS_[[Check Periodo Ref.]:[Check Periodo Ref.]]="Dentro",IF(DATOS_[[Check Equiparado]:[Check Equiparado]]="Sí",IF(DATOS!AS$5="Sí",(1/DATOS_[[% anualiz]:[% anualiz]]),1)*IF(DATOS!AS$4="Sí",1/DATOS_[[% normaliz]:[% normaliz]],1)*(DATOS_[Conc.Sal.15])))))))),
0)</f>
        <v>0</v>
      </c>
      <c r="Y62" s="196">
        <f t="array" ref="Y62">IFERROR(
(MEDIAN((IF(DATOS_[[Sexo]:[Sexo]]=$B62,IF(DATOS_[[AGRUP. VALOR. PTO.]:[AGRUP. VALOR. PTO.]]=$B60,IF(DATOS_[[Check Periodo Ref.]:[Check Periodo Ref.]]="Dentro",IF(DATOS_[[Check Equiparado]:[Check Equiparado]]="Sí",IF(DATOS!AT$5="Sí",(1/DATOS_[[% anualiz]:[% anualiz]]),1)*IF(DATOS!AT$4="Sí",1/DATOS_[[% normaliz]:[% normaliz]],1)*(DATOS_[Conc.Sal.16])))))))),
0)</f>
        <v>0</v>
      </c>
      <c r="Z62" s="196">
        <f t="array" ref="Z62">IFERROR(
(MEDIAN((IF(DATOS_[[Sexo]:[Sexo]]=$B62,IF(DATOS_[[AGRUP. VALOR. PTO.]:[AGRUP. VALOR. PTO.]]=$B60,IF(DATOS_[[Check Periodo Ref.]:[Check Periodo Ref.]]="Dentro",IF(DATOS_[[Check Equiparado]:[Check Equiparado]]="Sí",IF(DATOS!AU$5="Sí",(1/DATOS_[[% anualiz]:[% anualiz]]),1)*IF(DATOS!AU$4="Sí",1/DATOS_[[% normaliz]:[% normaliz]],1)*(DATOS_[Conc.Sal.17])))))))),
0)</f>
        <v>0</v>
      </c>
      <c r="AA62" s="196">
        <f t="array" ref="AA62">IFERROR(
(MEDIAN((IF(DATOS_[[Sexo]:[Sexo]]=$B62,IF(DATOS_[[AGRUP. VALOR. PTO.]:[AGRUP. VALOR. PTO.]]=$B60,IF(DATOS_[[Check Periodo Ref.]:[Check Periodo Ref.]]="Dentro",IF(DATOS_[[Check Equiparado]:[Check Equiparado]]="Sí",IF(DATOS!AV$5="Sí",(1/DATOS_[[% anualiz]:[% anualiz]]),1)*IF(DATOS!AV$4="Sí",1/DATOS_[[% normaliz]:[% normaliz]],1)*(DATOS_[Conc.Sal.18])))))))),
0)</f>
        <v>0</v>
      </c>
      <c r="AB62" s="196">
        <f t="array" ref="AB62">IFERROR(
(MEDIAN((IF(DATOS_[[Sexo]:[Sexo]]=$B62,IF(DATOS_[[AGRUP. VALOR. PTO.]:[AGRUP. VALOR. PTO.]]=$B60,IF(DATOS_[[Check Periodo Ref.]:[Check Periodo Ref.]]="Dentro",IF(DATOS_[[Check Equiparado]:[Check Equiparado]]="Sí",IF(DATOS!AW$5="Sí",(1/DATOS_[[% anualiz]:[% anualiz]]),1)*IF(DATOS!AW$4="Sí",1/DATOS_[[% normaliz]:[% normaliz]],1)*(DATOS_[Conc.Sal.19])))))))),
0)</f>
        <v>0</v>
      </c>
      <c r="AC62" s="196">
        <f t="array" ref="AC62">IFERROR(
(MEDIAN((IF(DATOS_[[Sexo]:[Sexo]]=$B62,IF(DATOS_[[AGRUP. VALOR. PTO.]:[AGRUP. VALOR. PTO.]]=$B60,IF(DATOS_[[Check Periodo Ref.]:[Check Periodo Ref.]]="Dentro",IF(DATOS_[[Check Equiparado]:[Check Equiparado]]="Sí",IF(DATOS!AX$5="Sí",(1/DATOS_[[% anualiz]:[% anualiz]]),1)*IF(DATOS!AX$4="Sí",1/DATOS_[[% normaliz]:[% normaliz]],1)*(DATOS_[Conc.Sal.20])))))))),
0)</f>
        <v>0</v>
      </c>
      <c r="AD62" s="196">
        <f t="array" ref="AD62">IFERROR(
(MEDIAN((IF(DATOS_[[Sexo]:[Sexo]]=$B62,IF(DATOS_[[AGRUP. VALOR. PTO.]:[AGRUP. VALOR. PTO.]]=$B60,IF(DATOS_[[Check Periodo Ref.]:[Check Periodo Ref.]]="Dentro",IF(DATOS_[[Check Equiparado]:[Check Equiparado]]="Sí",IF(DATOS!AY$5="Sí",(1/DATOS_[[% anualiz]:[% anualiz]]),1)*IF(DATOS!AY$4="Sí",1/DATOS_[[% normaliz]:[% normaliz]],1)*(DATOS_[Conc.Sal.21])))))))),
0)</f>
        <v>0</v>
      </c>
      <c r="AE62" s="196">
        <f t="array" ref="AE62">IFERROR(
(MEDIAN((IF(DATOS_[[Sexo]:[Sexo]]=$B62,IF(DATOS_[[AGRUP. VALOR. PTO.]:[AGRUP. VALOR. PTO.]]=$B60,IF(DATOS_[[Check Periodo Ref.]:[Check Periodo Ref.]]="Dentro",IF(DATOS_[[Check Equiparado]:[Check Equiparado]]="Sí",IF(DATOS!AZ$5="Sí",(1/DATOS_[[% anualiz]:[% anualiz]]),1)*IF(DATOS!AZ$4="Sí",1/DATOS_[[% normaliz]:[% normaliz]],1)*(DATOS_[Conc.Sal.22])))))))),
0)</f>
        <v>0</v>
      </c>
      <c r="AF62" s="196">
        <f t="array" ref="AF62">IFERROR(
(MEDIAN((IF(DATOS_[[Sexo]:[Sexo]]=$B62,IF(DATOS_[[AGRUP. VALOR. PTO.]:[AGRUP. VALOR. PTO.]]=$B60,IF(DATOS_[[Check Periodo Ref.]:[Check Periodo Ref.]]="Dentro",IF(DATOS_[[Check Equiparado]:[Check Equiparado]]="Sí",IF(DATOS!BA$5="Sí",(1/DATOS_[[% anualiz]:[% anualiz]]),1)*IF(DATOS!BA$4="Sí",1/DATOS_[[% normaliz]:[% normaliz]],1)*(DATOS_[Conc.Sal.23])))))))),
0)</f>
        <v>0</v>
      </c>
      <c r="AG62" s="196">
        <f t="array" ref="AG62">IFERROR(
(MEDIAN((IF(DATOS_[[Sexo]:[Sexo]]=$B62,IF(DATOS_[[AGRUP. VALOR. PTO.]:[AGRUP. VALOR. PTO.]]=$B60,IF(DATOS_[[Check Periodo Ref.]:[Check Periodo Ref.]]="Dentro",IF(DATOS_[[Check Equiparado]:[Check Equiparado]]="Sí",IF(DATOS!BB$5="Sí",(1/DATOS_[[% anualiz]:[% anualiz]]),1)*IF(DATOS!BB$4="Sí",1/DATOS_[[% normaliz]:[% normaliz]],1)*(DATOS_[Conc.Sal.24])))))))),
0)</f>
        <v>0</v>
      </c>
      <c r="AH62" s="196">
        <f t="array" ref="AH62">IFERROR(
(MEDIAN((IF(DATOS_[[Sexo]:[Sexo]]=$B62,IF(DATOS_[[AGRUP. VALOR. PTO.]:[AGRUP. VALOR. PTO.]]=$B60,IF(DATOS_[[Check Periodo Ref.]:[Check Periodo Ref.]]="Dentro",IF(DATOS_[[Check Equiparado]:[Check Equiparado]]="Sí",IF(DATOS!BC$5="Sí",(1/DATOS_[[% anualiz]:[% anualiz]]),1)*IF(DATOS!BC$4="Sí",1/DATOS_[[% normaliz]:[% normaliz]],1)*(DATOS_[Conc.Sal.25])))))))),
0)</f>
        <v>0</v>
      </c>
      <c r="AI62" s="196">
        <f t="array" ref="AI62">IFERROR(
(MEDIAN((IF(DATOS_[[Sexo]:[Sexo]]=$B62,IF(DATOS_[[AGRUP. VALOR. PTO.]:[AGRUP. VALOR. PTO.]]=$B60,IF(DATOS_[[Check Periodo Ref.]:[Check Periodo Ref.]]="Dentro",IF(DATOS_[[Check Equiparado]:[Check Equiparado]]="Sí",IF(DATOS!BD$5="Sí",(1/DATOS_[[% anualiz]:[% anualiz]]),1)*IF(DATOS!BD$4="Sí",1/DATOS_[[% normaliz]:[% normaliz]],1)*(DATOS_[Conc.Sal.26])))))))),
0)</f>
        <v>0</v>
      </c>
      <c r="AJ62" s="196">
        <f t="array" ref="AJ62">IFERROR(
(MEDIAN((IF(DATOS_[[Sexo]:[Sexo]]=$B62,IF(DATOS_[[AGRUP. VALOR. PTO.]:[AGRUP. VALOR. PTO.]]=$B60,IF(DATOS_[[Check Periodo Ref.]:[Check Periodo Ref.]]="Dentro",IF(DATOS_[[Check Equiparado]:[Check Equiparado]]="Sí",IF(DATOS!BE$5="Sí",(1/DATOS_[[% anualiz]:[% anualiz]]),1)*IF(DATOS!BE$4="Sí",1/DATOS_[[% normaliz]:[% normaliz]],1)*(DATOS_[Conc.Sal.27])))))))),
0)</f>
        <v>0</v>
      </c>
      <c r="AK62" s="196">
        <f t="array" ref="AK62">IFERROR(
(MEDIAN((IF(DATOS_[[Sexo]:[Sexo]]=$B62,IF(DATOS_[[AGRUP. VALOR. PTO.]:[AGRUP. VALOR. PTO.]]=$B60,IF(DATOS_[[Check Periodo Ref.]:[Check Periodo Ref.]]="Dentro",IF(DATOS_[[Check Equiparado]:[Check Equiparado]]="Sí",IF(DATOS!BF$5="Sí",(1/DATOS_[[% anualiz]:[% anualiz]]),1)*IF(DATOS!BF$4="Sí",1/DATOS_[[% normaliz]:[% normaliz]],1)*(DATOS_[Conc.Sal.28])))))))),
0)</f>
        <v>0</v>
      </c>
      <c r="AL62" s="196">
        <f t="array" ref="AL62">IFERROR(
(MEDIAN((IF(DATOS_[[Sexo]:[Sexo]]=$B62,IF(DATOS_[[AGRUP. VALOR. PTO.]:[AGRUP. VALOR. PTO.]]=$B60,IF(DATOS_[[Check Periodo Ref.]:[Check Periodo Ref.]]="Dentro",IF(DATOS_[[Check Equiparado]:[Check Equiparado]]="Sí",IF(DATOS!BG$5="Sí",(1/DATOS_[[% anualiz]:[% anualiz]]),1)*IF(DATOS!BG$4="Sí",1/DATOS_[[% normaliz]:[% normaliz]],1)*(DATOS_[Conc.Sal.29])))))))),
0)</f>
        <v>0</v>
      </c>
      <c r="AM62" s="196">
        <f t="array" ref="AM62">IFERROR(
(MEDIAN((IF(DATOS_[[Sexo]:[Sexo]]=$B62,IF(DATOS_[[AGRUP. VALOR. PTO.]:[AGRUP. VALOR. PTO.]]=$B60,IF(DATOS_[[Check Periodo Ref.]:[Check Periodo Ref.]]="Dentro",IF(DATOS_[[Check Equiparado]:[Check Equiparado]]="Sí",IF(DATOS!BH$5="Sí",(1/DATOS_[[% anualiz]:[% anualiz]]),1)*IF(DATOS!BH$4="Sí",1/DATOS_[[% normaliz]:[% normaliz]],1)*(DATOS_[Conc.Sal.30])))))))),
0)</f>
        <v>0</v>
      </c>
      <c r="AN62" s="195">
        <f t="array" ref="AN62">IFERROR(
MEDIAN(IF(DATOS_[Sexo]=$B62,IF(DATOS_[[AGRUP. VALOR. PTO.]:[AGRUP. VALOR. PTO.]]=$B60,IF(DATOS_[Check Equiparado]="Sí",IF(DATOS_[Check Periodo Ref.]="Dentro",DATOS_[Tot COMPL.SAL Eq],FALSE))))),
0)</f>
        <v>0</v>
      </c>
      <c r="AO62" s="172">
        <f t="array" ref="AO62">IFERROR(
MEDIAN(IF(DATOS_[Sexo]=$B62,IF(DATOS_[[AGRUP. VALOR. PTO.]:[AGRUP. VALOR. PTO.]]=$B60,IF(DATOS_[Check Equiparado]="Sí",IF(DATOS_[Check Periodo Ref.]="Dentro",DATOS_[TOTAL SALARIO Eq],FALSE))))),
0)</f>
        <v>0</v>
      </c>
      <c r="AP62" s="173">
        <f t="array" ref="AP62">IFERROR(
(MEDIAN((IF(DATOS_[[Sexo]:[Sexo]]=$B62,IF(DATOS_[[AGRUP. VALOR. PTO.]:[AGRUP. VALOR. PTO.]]=$B61,IF(DATOS_[[Check Periodo Ref.]:[Check Periodo Ref.]]="Dentro",IF(DATOS_[[Check Equiparado]:[Check Equiparado]]="Sí",IF(DATOS!BW$5="Sí",(1/DATOS_[[% anualiz]:[% anualiz]]),1)*IF(DATOS!BW$4="Sí",1/DATOS_[[% normaliz]:[% normaliz]],1)*(DATOS_[C.Extra.01])))))))),
0)</f>
        <v>0</v>
      </c>
      <c r="AQ62" s="173">
        <f t="array" ref="AQ62">IFERROR(
(MEDIAN((IF(DATOS_[[Sexo]:[Sexo]]=$B62,IF(DATOS_[[AGRUP. VALOR. PTO.]:[AGRUP. VALOR. PTO.]]=$B61,IF(DATOS_[[Check Periodo Ref.]:[Check Periodo Ref.]]="Dentro",IF(DATOS_[[Check Equiparado]:[Check Equiparado]]="Sí",IF(DATOS!CB$5="Sí",(1/DATOS_[[% anualiz]:[% anualiz]]),1)*IF(DATOS!CB$4="Sí",1/DATOS_[[% normaliz]:[% normaliz]],1)*(DATOS_[C.Extra.06])))))))),
0)</f>
        <v>0</v>
      </c>
      <c r="AR62" s="173">
        <f t="array" ref="AR62">IFERROR(
(MEDIAN((IF(DATOS_[[Sexo]:[Sexo]]=$B62,IF(DATOS_[[AGRUP. VALOR. PTO.]:[AGRUP. VALOR. PTO.]]=$B61,IF(DATOS_[[Check Periodo Ref.]:[Check Periodo Ref.]]="Dentro",IF(DATOS_[[Check Equiparado]:[Check Equiparado]]="Sí",IF(DATOS!CC$5="Sí",(1/DATOS_[[% anualiz]:[% anualiz]]),1)*IF(DATOS!CC$4="Sí",1/DATOS_[[% normaliz]:[% normaliz]],1)*(DATOS_[C.Extra.07])))))))),
0)</f>
        <v>0</v>
      </c>
      <c r="AS62" s="173">
        <f t="array" ref="AS62">IFERROR(
(MEDIAN((IF(DATOS_[[Sexo]:[Sexo]]=$B62,IF(DATOS_[[AGRUP. VALOR. PTO.]:[AGRUP. VALOR. PTO.]]=$B61,IF(DATOS_[[Check Periodo Ref.]:[Check Periodo Ref.]]="Dentro",IF(DATOS_[[Check Equiparado]:[Check Equiparado]]="Sí",IF(DATOS!CD$5="Sí",(1/DATOS_[[% anualiz]:[% anualiz]]),1)*IF(DATOS!CD$4="Sí",1/DATOS_[[% normaliz]:[% normaliz]],1)*(DATOS_[C.Extra.08])))))))),
0)</f>
        <v>0</v>
      </c>
      <c r="AT62" s="173">
        <f t="array" ref="AT62">IFERROR(
(MEDIAN((IF(DATOS_[[Sexo]:[Sexo]]=$B62,IF(DATOS_[[AGRUP. VALOR. PTO.]:[AGRUP. VALOR. PTO.]]=$B61,IF(DATOS_[[Check Periodo Ref.]:[Check Periodo Ref.]]="Dentro",IF(DATOS_[[Check Equiparado]:[Check Equiparado]]="Sí",IF(DATOS!CG$5="Sí",(1/DATOS_[[% anualiz]:[% anualiz]]),1)*IF(DATOS!CG$4="Sí",1/DATOS_[[% normaliz]:[% normaliz]],1)*(DATOS_[C.Extra.11])))))))),
0)</f>
        <v>0</v>
      </c>
      <c r="AU62" s="197">
        <f t="array" ref="AU62">IFERROR(
MEDIAN(IF(DATOS_[Sexo]=$B62,IF(DATOS_[[AGRUP. VALOR. PTO.]:[AGRUP. VALOR. PTO.]]=$B60,IF(DATOS_[Check Equiparado]="Sí",IF(DATOS_[Check Periodo Ref.]="Dentro",DATOS_[Tot Extrasalarial Eq],FALSE))))),
0)</f>
        <v>0</v>
      </c>
      <c r="AV62" s="175">
        <f t="array" ref="AV62">IFERROR(
MEDIAN(IF(DATOS_[Sexo]=$B62,IF(DATOS_[[AGRUP. VALOR. PTO.]:[AGRUP. VALOR. PTO.]]=$B60,IF(DATOS_[Check Equiparado]="Sí",IF(DATOS_[Check Periodo Ref.]="Dentro",DATOS_[TOTAL Retrib Eq],FALSE))))),
0)</f>
        <v>0</v>
      </c>
    </row>
    <row r="63" spans="1:48" ht="15.6" thickBot="1" x14ac:dyDescent="0.3">
      <c r="A63" s="133" t="str">
        <f t="shared" ref="A63" si="67">+A64</f>
        <v>[ocultar]</v>
      </c>
      <c r="B63" s="199" t="s">
        <v>244</v>
      </c>
      <c r="C63" s="200"/>
      <c r="D63" s="201"/>
      <c r="E63" s="201"/>
      <c r="F63" s="201"/>
      <c r="G63" s="201"/>
      <c r="H63" s="201"/>
      <c r="I63" s="189" t="str">
        <f t="shared" ref="I63:AV63" si="68">IFERROR((I64-I65)/I64,"")</f>
        <v/>
      </c>
      <c r="J63" s="190" t="str">
        <f t="shared" si="68"/>
        <v/>
      </c>
      <c r="K63" s="191" t="str">
        <f t="shared" si="68"/>
        <v/>
      </c>
      <c r="L63" s="191" t="str">
        <f t="shared" si="68"/>
        <v/>
      </c>
      <c r="M63" s="191" t="str">
        <f t="shared" si="68"/>
        <v/>
      </c>
      <c r="N63" s="192" t="str">
        <f t="shared" si="68"/>
        <v/>
      </c>
      <c r="O63" s="193" t="str">
        <f t="shared" si="68"/>
        <v/>
      </c>
      <c r="P63" s="193" t="str">
        <f t="shared" si="68"/>
        <v/>
      </c>
      <c r="Q63" s="193" t="str">
        <f t="shared" si="68"/>
        <v/>
      </c>
      <c r="R63" s="193" t="str">
        <f t="shared" si="68"/>
        <v/>
      </c>
      <c r="S63" s="193" t="str">
        <f t="shared" si="68"/>
        <v/>
      </c>
      <c r="T63" s="193" t="str">
        <f t="shared" si="68"/>
        <v/>
      </c>
      <c r="U63" s="193" t="str">
        <f t="shared" si="68"/>
        <v/>
      </c>
      <c r="V63" s="193" t="str">
        <f t="shared" si="68"/>
        <v/>
      </c>
      <c r="W63" s="193" t="str">
        <f t="shared" si="68"/>
        <v/>
      </c>
      <c r="X63" s="193" t="str">
        <f t="shared" si="68"/>
        <v/>
      </c>
      <c r="Y63" s="193" t="str">
        <f t="shared" si="68"/>
        <v/>
      </c>
      <c r="Z63" s="193" t="str">
        <f t="shared" si="68"/>
        <v/>
      </c>
      <c r="AA63" s="193" t="str">
        <f t="shared" si="68"/>
        <v/>
      </c>
      <c r="AB63" s="193" t="str">
        <f t="shared" si="68"/>
        <v/>
      </c>
      <c r="AC63" s="193" t="str">
        <f t="shared" si="68"/>
        <v/>
      </c>
      <c r="AD63" s="193" t="str">
        <f t="shared" si="68"/>
        <v/>
      </c>
      <c r="AE63" s="193" t="str">
        <f t="shared" si="68"/>
        <v/>
      </c>
      <c r="AF63" s="193" t="str">
        <f t="shared" si="68"/>
        <v/>
      </c>
      <c r="AG63" s="193" t="str">
        <f t="shared" si="68"/>
        <v/>
      </c>
      <c r="AH63" s="193" t="str">
        <f t="shared" si="68"/>
        <v/>
      </c>
      <c r="AI63" s="193" t="str">
        <f t="shared" si="68"/>
        <v/>
      </c>
      <c r="AJ63" s="193" t="str">
        <f t="shared" si="68"/>
        <v/>
      </c>
      <c r="AK63" s="193" t="str">
        <f t="shared" si="68"/>
        <v/>
      </c>
      <c r="AL63" s="193" t="str">
        <f t="shared" si="68"/>
        <v/>
      </c>
      <c r="AM63" s="193" t="str">
        <f t="shared" si="68"/>
        <v/>
      </c>
      <c r="AN63" s="189" t="str">
        <f t="shared" si="68"/>
        <v/>
      </c>
      <c r="AO63" s="162" t="str">
        <f t="shared" si="68"/>
        <v/>
      </c>
      <c r="AP63" s="163" t="str">
        <f t="shared" si="68"/>
        <v/>
      </c>
      <c r="AQ63" s="163" t="str">
        <f t="shared" si="68"/>
        <v/>
      </c>
      <c r="AR63" s="163" t="str">
        <f t="shared" si="68"/>
        <v/>
      </c>
      <c r="AS63" s="163" t="str">
        <f t="shared" si="68"/>
        <v/>
      </c>
      <c r="AT63" s="163" t="str">
        <f t="shared" si="68"/>
        <v/>
      </c>
      <c r="AU63" s="194" t="str">
        <f t="shared" si="68"/>
        <v/>
      </c>
      <c r="AV63" s="165" t="str">
        <f t="shared" si="68"/>
        <v/>
      </c>
    </row>
    <row r="64" spans="1:48" x14ac:dyDescent="0.25">
      <c r="A64" s="133" t="str">
        <f t="shared" ref="A64" si="69">+IF(C64+C65=0,"[ocultar]","")</f>
        <v>[ocultar]</v>
      </c>
      <c r="B64" s="202" t="s">
        <v>394</v>
      </c>
      <c r="C64" s="203">
        <f t="array" ref="C64">SUM(IF($B64=DATOS_[Sexo],
IF($B63=DATOS_[AGRUP. VALOR. PTO.],
IF("Dentro"=DATOS_[Check Periodo Ref.],
1/(COUNTIFS(DATOS_[Sexo],$B64,DATOS_[AGRUP. VALOR. PTO.],$B63,DATOS_[Check Periodo Ref.],"Dentro",DATOS_[id/cod],DATOS_[id/cod]))))))</f>
        <v>0</v>
      </c>
      <c r="D64" s="204">
        <f>COUNTIFS(DATOS_[AGRUP. VALOR. PTO.],$B63,DATOS_[Sexo],$B64,DATOS_[Check Periodo Ref.],"Dentro")</f>
        <v>0</v>
      </c>
      <c r="E64" s="204">
        <f>COUNTIFS(DATOS_[AGRUP. VALOR. PTO.],$B63,DATOS_[Sexo],$B64,DATOS_[Check Periodo Ref.],"Dentro",DATOS_[Check Nº SC Norm],"Sí")</f>
        <v>0</v>
      </c>
      <c r="F64" s="204">
        <f>COUNTIFS(DATOS_[AGRUP. VALOR. PTO.],$B63,DATOS_[Sexo],$B64,DATOS_[Check Periodo Ref.],"Dentro",DATOS_[Check Nº SC Anualiz],"Sí")</f>
        <v>0</v>
      </c>
      <c r="G64" s="204">
        <f>COUNTIFS(DATOS_[AGRUP. VALOR. PTO.],$B63,DATOS_[Sexo],$B64,DATOS_[Check Periodo Ref.],"Dentro",DATOS_[Check Nº SC Norm y Anualiz],"Sí")</f>
        <v>0</v>
      </c>
      <c r="H64" s="204">
        <f>COUNTIFS(DATOS_[AGRUP. VALOR. PTO.],$B63,DATOS_[Sexo],$B64,DATOS_[Check Periodo Ref.],"Dentro",DATOS_[Check Equiparación],"Sí")</f>
        <v>0</v>
      </c>
      <c r="I64" s="195">
        <f t="array" ref="I64">IFERROR(
MEDIAN(IF(DATOS_[Sexo]=$B64,IF(DATOS_[[AGRUP. VALOR. PTO.]:[AGRUP. VALOR. PTO.]]=$B63,IF(DATOS_[Check Equiparado]="Sí",IF(DATOS_[Check Periodo Ref.]="Dentro",DATOS_[SALARIO BASE Eq],FALSE))))),
0)</f>
        <v>0</v>
      </c>
      <c r="J64" s="196">
        <f t="array" ref="J64">IFERROR(
(MEDIAN((IF(DATOS_[[Sexo]:[Sexo]]=$B64,IF(DATOS_[[AGRUP. VALOR. PTO.]:[AGRUP. VALOR. PTO.]]=$B63,IF(DATOS_[[Check Periodo Ref.]:[Check Periodo Ref.]]="Dentro",IF(DATOS_[[Check Equiparado]:[Check Equiparado]]="Sí",IF(DATOS!AE$5="Sí",(1/DATOS_[[% anualiz]:[% anualiz]]),1)*IF(DATOS!AE$4="Sí",1/DATOS_[[% normaliz]:[% normaliz]],1)*(DATOS_[Conc.Sal.01])))))))),
0)</f>
        <v>0</v>
      </c>
      <c r="K64" s="196">
        <f t="array" ref="K64">IFERROR(
(MEDIAN((IF(DATOS_[[Sexo]:[Sexo]]=$B64,IF(DATOS_[[AGRUP. VALOR. PTO.]:[AGRUP. VALOR. PTO.]]=$B63,IF(DATOS_[[Check Periodo Ref.]:[Check Periodo Ref.]]="Dentro",IF(DATOS_[[Check Equiparado]:[Check Equiparado]]="Sí",IF(DATOS!AF$5="Sí",(1/DATOS_[[% anualiz]:[% anualiz]]),1)*IF(DATOS!AF$4="Sí",1/DATOS_[[% normaliz]:[% normaliz]],1)*(DATOS_[Conc.Sal.02])))))))),
0)</f>
        <v>0</v>
      </c>
      <c r="L64" s="196">
        <f t="array" ref="L64">IFERROR(
(MEDIAN((IF(DATOS_[[Sexo]:[Sexo]]=$B64,IF(DATOS_[[AGRUP. VALOR. PTO.]:[AGRUP. VALOR. PTO.]]=$B63,IF(DATOS_[[Check Periodo Ref.]:[Check Periodo Ref.]]="Dentro",IF(DATOS_[[Check Equiparado]:[Check Equiparado]]="Sí",IF(DATOS!AG$5="Sí",(1/DATOS_[[% anualiz]:[% anualiz]]),1)*IF(DATOS!AG$4="Sí",1/DATOS_[[% normaliz]:[% normaliz]],1)*(DATOS_[Conc.Sal.03])))))))),
0)</f>
        <v>0</v>
      </c>
      <c r="M64" s="196">
        <f t="array" ref="M64">IFERROR(
(MEDIAN((IF(DATOS_[[Sexo]:[Sexo]]=$B64,IF(DATOS_[[AGRUP. VALOR. PTO.]:[AGRUP. VALOR. PTO.]]=$B63,IF(DATOS_[[Check Periodo Ref.]:[Check Periodo Ref.]]="Dentro",IF(DATOS_[[Check Equiparado]:[Check Equiparado]]="Sí",IF(DATOS!AH$5="Sí",(1/DATOS_[[% anualiz]:[% anualiz]]),1)*IF(DATOS!AH$4="Sí",1/DATOS_[[% normaliz]:[% normaliz]],1)*(DATOS_[Conc.Sal.04])))))))),
0)</f>
        <v>0</v>
      </c>
      <c r="N64" s="196">
        <f t="array" ref="N64">IFERROR(
(MEDIAN((IF(DATOS_[[Sexo]:[Sexo]]=$B64,IF(DATOS_[[AGRUP. VALOR. PTO.]:[AGRUP. VALOR. PTO.]]=$B63,IF(DATOS_[[Check Periodo Ref.]:[Check Periodo Ref.]]="Dentro",IF(DATOS_[[Check Equiparado]:[Check Equiparado]]="Sí",IF(DATOS!AI$5="Sí",(1/DATOS_[[% anualiz]:[% anualiz]]),1)*IF(DATOS!AI$4="Sí",1/DATOS_[[% normaliz]:[% normaliz]],1)*(DATOS_[Conc.Sal.05])))))))),
0)</f>
        <v>0</v>
      </c>
      <c r="O64" s="196">
        <f t="array" ref="O64">IFERROR(
(MEDIAN((IF(DATOS_[[Sexo]:[Sexo]]=$B64,IF(DATOS_[[AGRUP. VALOR. PTO.]:[AGRUP. VALOR. PTO.]]=$B63,IF(DATOS_[[Check Periodo Ref.]:[Check Periodo Ref.]]="Dentro",IF(DATOS_[[Check Equiparado]:[Check Equiparado]]="Sí",IF(DATOS!AJ$5="Sí",(1/DATOS_[[% anualiz]:[% anualiz]]),1)*IF(DATOS!AJ$4="Sí",1/DATOS_[[% normaliz]:[% normaliz]],1)*(DATOS_[Conc.Sal.06])))))))),
0)</f>
        <v>0</v>
      </c>
      <c r="P64" s="196">
        <f t="array" ref="P64">IFERROR(
(MEDIAN((IF(DATOS_[[Sexo]:[Sexo]]=$B64,IF(DATOS_[[AGRUP. VALOR. PTO.]:[AGRUP. VALOR. PTO.]]=$B63,IF(DATOS_[[Check Periodo Ref.]:[Check Periodo Ref.]]="Dentro",IF(DATOS_[[Check Equiparado]:[Check Equiparado]]="Sí",IF(DATOS!AK$5="Sí",(1/DATOS_[[% anualiz]:[% anualiz]]),1)*IF(DATOS!AK$4="Sí",1/DATOS_[[% normaliz]:[% normaliz]],1)*(DATOS_[Conc.Sal.07])))))))),
0)</f>
        <v>0</v>
      </c>
      <c r="Q64" s="196">
        <f t="array" ref="Q64">IFERROR(
(MEDIAN((IF(DATOS_[[Sexo]:[Sexo]]=$B64,IF(DATOS_[[AGRUP. VALOR. PTO.]:[AGRUP. VALOR. PTO.]]=$B63,IF(DATOS_[[Check Periodo Ref.]:[Check Periodo Ref.]]="Dentro",IF(DATOS_[[Check Equiparado]:[Check Equiparado]]="Sí",IF(DATOS!AL$5="Sí",(1/DATOS_[[% anualiz]:[% anualiz]]),1)*IF(DATOS!AL$4="Sí",1/DATOS_[[% normaliz]:[% normaliz]],1)*(DATOS_[Conc.Sal.08])))))))),
0)</f>
        <v>0</v>
      </c>
      <c r="R64" s="196">
        <f t="array" ref="R64">IFERROR(
(MEDIAN((IF(DATOS_[[Sexo]:[Sexo]]=$B64,IF(DATOS_[[AGRUP. VALOR. PTO.]:[AGRUP. VALOR. PTO.]]=$B63,IF(DATOS_[[Check Periodo Ref.]:[Check Periodo Ref.]]="Dentro",IF(DATOS_[[Check Equiparado]:[Check Equiparado]]="Sí",IF(DATOS!AM$5="Sí",(1/DATOS_[[% anualiz]:[% anualiz]]),1)*IF(DATOS!AM$4="Sí",1/DATOS_[[% normaliz]:[% normaliz]],1)*(DATOS_[Conc.Sal.09])))))))),
0)</f>
        <v>0</v>
      </c>
      <c r="S64" s="196">
        <f t="array" ref="S64">IFERROR(
(MEDIAN((IF(DATOS_[[Sexo]:[Sexo]]=$B64,IF(DATOS_[[AGRUP. VALOR. PTO.]:[AGRUP. VALOR. PTO.]]=$B63,IF(DATOS_[[Check Periodo Ref.]:[Check Periodo Ref.]]="Dentro",IF(DATOS_[[Check Equiparado]:[Check Equiparado]]="Sí",IF(DATOS!AN$5="Sí",(1/DATOS_[[% anualiz]:[% anualiz]]),1)*IF(DATOS!AN$4="Sí",1/DATOS_[[% normaliz]:[% normaliz]],1)*(DATOS_[Conc.Sal.10])))))))),
0)</f>
        <v>0</v>
      </c>
      <c r="T64" s="196">
        <f t="array" ref="T64">IFERROR(
(MEDIAN((IF(DATOS_[[Sexo]:[Sexo]]=$B64,IF(DATOS_[[AGRUP. VALOR. PTO.]:[AGRUP. VALOR. PTO.]]=$B63,IF(DATOS_[[Check Periodo Ref.]:[Check Periodo Ref.]]="Dentro",IF(DATOS_[[Check Equiparado]:[Check Equiparado]]="Sí",IF(DATOS!AO$5="Sí",(1/DATOS_[[% anualiz]:[% anualiz]]),1)*IF(DATOS!AO$4="Sí",1/DATOS_[[% normaliz]:[% normaliz]],1)*(DATOS_[Conc.Sal.11])))))))),
0)</f>
        <v>0</v>
      </c>
      <c r="U64" s="196">
        <f t="array" ref="U64">IFERROR(
(MEDIAN((IF(DATOS_[[Sexo]:[Sexo]]=$B64,IF(DATOS_[[AGRUP. VALOR. PTO.]:[AGRUP. VALOR. PTO.]]=$B63,IF(DATOS_[[Check Periodo Ref.]:[Check Periodo Ref.]]="Dentro",IF(DATOS_[[Check Equiparado]:[Check Equiparado]]="Sí",IF(DATOS!AP$5="Sí",(1/DATOS_[[% anualiz]:[% anualiz]]),1)*IF(DATOS!AP$4="Sí",1/DATOS_[[% normaliz]:[% normaliz]],1)*(DATOS_[Conc.Sal.12])))))))),
0)</f>
        <v>0</v>
      </c>
      <c r="V64" s="196">
        <f t="array" ref="V64">IFERROR(
(MEDIAN((IF(DATOS_[[Sexo]:[Sexo]]=$B64,IF(DATOS_[[AGRUP. VALOR. PTO.]:[AGRUP. VALOR. PTO.]]=$B63,IF(DATOS_[[Check Periodo Ref.]:[Check Periodo Ref.]]="Dentro",IF(DATOS_[[Check Equiparado]:[Check Equiparado]]="Sí",IF(DATOS!AQ$5="Sí",(1/DATOS_[[% anualiz]:[% anualiz]]),1)*IF(DATOS!AQ$4="Sí",1/DATOS_[[% normaliz]:[% normaliz]],1)*(DATOS_[Conc.Sal.13])))))))),
0)</f>
        <v>0</v>
      </c>
      <c r="W64" s="196">
        <f t="array" ref="W64">IFERROR(
(MEDIAN((IF(DATOS_[[Sexo]:[Sexo]]=$B64,IF(DATOS_[[AGRUP. VALOR. PTO.]:[AGRUP. VALOR. PTO.]]=$B63,IF(DATOS_[[Check Periodo Ref.]:[Check Periodo Ref.]]="Dentro",IF(DATOS_[[Check Equiparado]:[Check Equiparado]]="Sí",IF(DATOS!AR$5="Sí",(1/DATOS_[[% anualiz]:[% anualiz]]),1)*IF(DATOS!AR$4="Sí",1/DATOS_[[% normaliz]:[% normaliz]],1)*(DATOS_[Conc.Sal.14])))))))),
0)</f>
        <v>0</v>
      </c>
      <c r="X64" s="196">
        <f t="array" ref="X64">IFERROR(
(MEDIAN((IF(DATOS_[[Sexo]:[Sexo]]=$B64,IF(DATOS_[[AGRUP. VALOR. PTO.]:[AGRUP. VALOR. PTO.]]=$B63,IF(DATOS_[[Check Periodo Ref.]:[Check Periodo Ref.]]="Dentro",IF(DATOS_[[Check Equiparado]:[Check Equiparado]]="Sí",IF(DATOS!AS$5="Sí",(1/DATOS_[[% anualiz]:[% anualiz]]),1)*IF(DATOS!AS$4="Sí",1/DATOS_[[% normaliz]:[% normaliz]],1)*(DATOS_[Conc.Sal.15])))))))),
0)</f>
        <v>0</v>
      </c>
      <c r="Y64" s="196">
        <f t="array" ref="Y64">IFERROR(
(MEDIAN((IF(DATOS_[[Sexo]:[Sexo]]=$B64,IF(DATOS_[[AGRUP. VALOR. PTO.]:[AGRUP. VALOR. PTO.]]=$B63,IF(DATOS_[[Check Periodo Ref.]:[Check Periodo Ref.]]="Dentro",IF(DATOS_[[Check Equiparado]:[Check Equiparado]]="Sí",IF(DATOS!AT$5="Sí",(1/DATOS_[[% anualiz]:[% anualiz]]),1)*IF(DATOS!AT$4="Sí",1/DATOS_[[% normaliz]:[% normaliz]],1)*(DATOS_[Conc.Sal.16])))))))),
0)</f>
        <v>0</v>
      </c>
      <c r="Z64" s="196">
        <f t="array" ref="Z64">IFERROR(
(MEDIAN((IF(DATOS_[[Sexo]:[Sexo]]=$B64,IF(DATOS_[[AGRUP. VALOR. PTO.]:[AGRUP. VALOR. PTO.]]=$B63,IF(DATOS_[[Check Periodo Ref.]:[Check Periodo Ref.]]="Dentro",IF(DATOS_[[Check Equiparado]:[Check Equiparado]]="Sí",IF(DATOS!AU$5="Sí",(1/DATOS_[[% anualiz]:[% anualiz]]),1)*IF(DATOS!AU$4="Sí",1/DATOS_[[% normaliz]:[% normaliz]],1)*(DATOS_[Conc.Sal.17])))))))),
0)</f>
        <v>0</v>
      </c>
      <c r="AA64" s="196">
        <f t="array" ref="AA64">IFERROR(
(MEDIAN((IF(DATOS_[[Sexo]:[Sexo]]=$B64,IF(DATOS_[[AGRUP. VALOR. PTO.]:[AGRUP. VALOR. PTO.]]=$B63,IF(DATOS_[[Check Periodo Ref.]:[Check Periodo Ref.]]="Dentro",IF(DATOS_[[Check Equiparado]:[Check Equiparado]]="Sí",IF(DATOS!AV$5="Sí",(1/DATOS_[[% anualiz]:[% anualiz]]),1)*IF(DATOS!AV$4="Sí",1/DATOS_[[% normaliz]:[% normaliz]],1)*(DATOS_[Conc.Sal.18])))))))),
0)</f>
        <v>0</v>
      </c>
      <c r="AB64" s="196">
        <f t="array" ref="AB64">IFERROR(
(MEDIAN((IF(DATOS_[[Sexo]:[Sexo]]=$B64,IF(DATOS_[[AGRUP. VALOR. PTO.]:[AGRUP. VALOR. PTO.]]=$B63,IF(DATOS_[[Check Periodo Ref.]:[Check Periodo Ref.]]="Dentro",IF(DATOS_[[Check Equiparado]:[Check Equiparado]]="Sí",IF(DATOS!AW$5="Sí",(1/DATOS_[[% anualiz]:[% anualiz]]),1)*IF(DATOS!AW$4="Sí",1/DATOS_[[% normaliz]:[% normaliz]],1)*(DATOS_[Conc.Sal.19])))))))),
0)</f>
        <v>0</v>
      </c>
      <c r="AC64" s="196">
        <f t="array" ref="AC64">IFERROR(
(MEDIAN((IF(DATOS_[[Sexo]:[Sexo]]=$B64,IF(DATOS_[[AGRUP. VALOR. PTO.]:[AGRUP. VALOR. PTO.]]=$B63,IF(DATOS_[[Check Periodo Ref.]:[Check Periodo Ref.]]="Dentro",IF(DATOS_[[Check Equiparado]:[Check Equiparado]]="Sí",IF(DATOS!AX$5="Sí",(1/DATOS_[[% anualiz]:[% anualiz]]),1)*IF(DATOS!AX$4="Sí",1/DATOS_[[% normaliz]:[% normaliz]],1)*(DATOS_[Conc.Sal.20])))))))),
0)</f>
        <v>0</v>
      </c>
      <c r="AD64" s="196">
        <f t="array" ref="AD64">IFERROR(
(MEDIAN((IF(DATOS_[[Sexo]:[Sexo]]=$B64,IF(DATOS_[[AGRUP. VALOR. PTO.]:[AGRUP. VALOR. PTO.]]=$B63,IF(DATOS_[[Check Periodo Ref.]:[Check Periodo Ref.]]="Dentro",IF(DATOS_[[Check Equiparado]:[Check Equiparado]]="Sí",IF(DATOS!AY$5="Sí",(1/DATOS_[[% anualiz]:[% anualiz]]),1)*IF(DATOS!AY$4="Sí",1/DATOS_[[% normaliz]:[% normaliz]],1)*(DATOS_[Conc.Sal.21])))))))),
0)</f>
        <v>0</v>
      </c>
      <c r="AE64" s="196">
        <f t="array" ref="AE64">IFERROR(
(MEDIAN((IF(DATOS_[[Sexo]:[Sexo]]=$B64,IF(DATOS_[[AGRUP. VALOR. PTO.]:[AGRUP. VALOR. PTO.]]=$B63,IF(DATOS_[[Check Periodo Ref.]:[Check Periodo Ref.]]="Dentro",IF(DATOS_[[Check Equiparado]:[Check Equiparado]]="Sí",IF(DATOS!AZ$5="Sí",(1/DATOS_[[% anualiz]:[% anualiz]]),1)*IF(DATOS!AZ$4="Sí",1/DATOS_[[% normaliz]:[% normaliz]],1)*(DATOS_[Conc.Sal.22])))))))),
0)</f>
        <v>0</v>
      </c>
      <c r="AF64" s="196">
        <f t="array" ref="AF64">IFERROR(
(MEDIAN((IF(DATOS_[[Sexo]:[Sexo]]=$B64,IF(DATOS_[[AGRUP. VALOR. PTO.]:[AGRUP. VALOR. PTO.]]=$B63,IF(DATOS_[[Check Periodo Ref.]:[Check Periodo Ref.]]="Dentro",IF(DATOS_[[Check Equiparado]:[Check Equiparado]]="Sí",IF(DATOS!BA$5="Sí",(1/DATOS_[[% anualiz]:[% anualiz]]),1)*IF(DATOS!BA$4="Sí",1/DATOS_[[% normaliz]:[% normaliz]],1)*(DATOS_[Conc.Sal.23])))))))),
0)</f>
        <v>0</v>
      </c>
      <c r="AG64" s="196">
        <f t="array" ref="AG64">IFERROR(
(MEDIAN((IF(DATOS_[[Sexo]:[Sexo]]=$B64,IF(DATOS_[[AGRUP. VALOR. PTO.]:[AGRUP. VALOR. PTO.]]=$B63,IF(DATOS_[[Check Periodo Ref.]:[Check Periodo Ref.]]="Dentro",IF(DATOS_[[Check Equiparado]:[Check Equiparado]]="Sí",IF(DATOS!BB$5="Sí",(1/DATOS_[[% anualiz]:[% anualiz]]),1)*IF(DATOS!BB$4="Sí",1/DATOS_[[% normaliz]:[% normaliz]],1)*(DATOS_[Conc.Sal.24])))))))),
0)</f>
        <v>0</v>
      </c>
      <c r="AH64" s="196">
        <f t="array" ref="AH64">IFERROR(
(MEDIAN((IF(DATOS_[[Sexo]:[Sexo]]=$B64,IF(DATOS_[[AGRUP. VALOR. PTO.]:[AGRUP. VALOR. PTO.]]=$B63,IF(DATOS_[[Check Periodo Ref.]:[Check Periodo Ref.]]="Dentro",IF(DATOS_[[Check Equiparado]:[Check Equiparado]]="Sí",IF(DATOS!BC$5="Sí",(1/DATOS_[[% anualiz]:[% anualiz]]),1)*IF(DATOS!BC$4="Sí",1/DATOS_[[% normaliz]:[% normaliz]],1)*(DATOS_[Conc.Sal.25])))))))),
0)</f>
        <v>0</v>
      </c>
      <c r="AI64" s="196">
        <f t="array" ref="AI64">IFERROR(
(MEDIAN((IF(DATOS_[[Sexo]:[Sexo]]=$B64,IF(DATOS_[[AGRUP. VALOR. PTO.]:[AGRUP. VALOR. PTO.]]=$B63,IF(DATOS_[[Check Periodo Ref.]:[Check Periodo Ref.]]="Dentro",IF(DATOS_[[Check Equiparado]:[Check Equiparado]]="Sí",IF(DATOS!BD$5="Sí",(1/DATOS_[[% anualiz]:[% anualiz]]),1)*IF(DATOS!BD$4="Sí",1/DATOS_[[% normaliz]:[% normaliz]],1)*(DATOS_[Conc.Sal.26])))))))),
0)</f>
        <v>0</v>
      </c>
      <c r="AJ64" s="196">
        <f t="array" ref="AJ64">IFERROR(
(MEDIAN((IF(DATOS_[[Sexo]:[Sexo]]=$B64,IF(DATOS_[[AGRUP. VALOR. PTO.]:[AGRUP. VALOR. PTO.]]=$B63,IF(DATOS_[[Check Periodo Ref.]:[Check Periodo Ref.]]="Dentro",IF(DATOS_[[Check Equiparado]:[Check Equiparado]]="Sí",IF(DATOS!BE$5="Sí",(1/DATOS_[[% anualiz]:[% anualiz]]),1)*IF(DATOS!BE$4="Sí",1/DATOS_[[% normaliz]:[% normaliz]],1)*(DATOS_[Conc.Sal.27])))))))),
0)</f>
        <v>0</v>
      </c>
      <c r="AK64" s="196">
        <f t="array" ref="AK64">IFERROR(
(MEDIAN((IF(DATOS_[[Sexo]:[Sexo]]=$B64,IF(DATOS_[[AGRUP. VALOR. PTO.]:[AGRUP. VALOR. PTO.]]=$B63,IF(DATOS_[[Check Periodo Ref.]:[Check Periodo Ref.]]="Dentro",IF(DATOS_[[Check Equiparado]:[Check Equiparado]]="Sí",IF(DATOS!BF$5="Sí",(1/DATOS_[[% anualiz]:[% anualiz]]),1)*IF(DATOS!BF$4="Sí",1/DATOS_[[% normaliz]:[% normaliz]],1)*(DATOS_[Conc.Sal.28])))))))),
0)</f>
        <v>0</v>
      </c>
      <c r="AL64" s="196">
        <f t="array" ref="AL64">IFERROR(
(MEDIAN((IF(DATOS_[[Sexo]:[Sexo]]=$B64,IF(DATOS_[[AGRUP. VALOR. PTO.]:[AGRUP. VALOR. PTO.]]=$B63,IF(DATOS_[[Check Periodo Ref.]:[Check Periodo Ref.]]="Dentro",IF(DATOS_[[Check Equiparado]:[Check Equiparado]]="Sí",IF(DATOS!BG$5="Sí",(1/DATOS_[[% anualiz]:[% anualiz]]),1)*IF(DATOS!BG$4="Sí",1/DATOS_[[% normaliz]:[% normaliz]],1)*(DATOS_[Conc.Sal.29])))))))),
0)</f>
        <v>0</v>
      </c>
      <c r="AM64" s="196">
        <f t="array" ref="AM64">IFERROR(
(MEDIAN((IF(DATOS_[[Sexo]:[Sexo]]=$B64,IF(DATOS_[[AGRUP. VALOR. PTO.]:[AGRUP. VALOR. PTO.]]=$B63,IF(DATOS_[[Check Periodo Ref.]:[Check Periodo Ref.]]="Dentro",IF(DATOS_[[Check Equiparado]:[Check Equiparado]]="Sí",IF(DATOS!BH$5="Sí",(1/DATOS_[[% anualiz]:[% anualiz]]),1)*IF(DATOS!BH$4="Sí",1/DATOS_[[% normaliz]:[% normaliz]],1)*(DATOS_[Conc.Sal.30])))))))),
0)</f>
        <v>0</v>
      </c>
      <c r="AN64" s="195">
        <f t="array" ref="AN64">IFERROR(
MEDIAN(IF(DATOS_[Sexo]=$B64,IF(DATOS_[[AGRUP. VALOR. PTO.]:[AGRUP. VALOR. PTO.]]=$B63,IF(DATOS_[Check Equiparado]="Sí",IF(DATOS_[Check Periodo Ref.]="Dentro",DATOS_[Tot COMPL.SAL Eq],FALSE))))),
0)</f>
        <v>0</v>
      </c>
      <c r="AO64" s="172">
        <f t="array" ref="AO64">IFERROR(
MEDIAN(IF(DATOS_[Sexo]=$B64,IF(DATOS_[[AGRUP. VALOR. PTO.]:[AGRUP. VALOR. PTO.]]=$B63,IF(DATOS_[Check Equiparado]="Sí",IF(DATOS_[Check Periodo Ref.]="Dentro",DATOS_[TOTAL SALARIO Eq],FALSE))))),
0)</f>
        <v>0</v>
      </c>
      <c r="AP64" s="173">
        <f t="array" ref="AP64">IFERROR(
(MEDIAN((IF(DATOS_[[Sexo]:[Sexo]]=$B64,IF(DATOS_[[AGRUP. VALOR. PTO.]:[AGRUP. VALOR. PTO.]]=$B63,IF(DATOS_[[Check Periodo Ref.]:[Check Periodo Ref.]]="Dentro",IF(DATOS_[[Check Equiparado]:[Check Equiparado]]="Sí",IF(DATOS!BW$5="Sí",(1/DATOS_[[% anualiz]:[% anualiz]]),1)*IF(DATOS!BW$4="Sí",1/DATOS_[[% normaliz]:[% normaliz]],1)*(DATOS_[C.Extra.01])))))))),
0)</f>
        <v>0</v>
      </c>
      <c r="AQ64" s="173">
        <f t="array" ref="AQ64">IFERROR(
(MEDIAN((IF(DATOS_[[Sexo]:[Sexo]]=$B64,IF(DATOS_[[AGRUP. VALOR. PTO.]:[AGRUP. VALOR. PTO.]]=$B63,IF(DATOS_[[Check Periodo Ref.]:[Check Periodo Ref.]]="Dentro",IF(DATOS_[[Check Equiparado]:[Check Equiparado]]="Sí",IF(DATOS!CB$5="Sí",(1/DATOS_[[% anualiz]:[% anualiz]]),1)*IF(DATOS!CB$4="Sí",1/DATOS_[[% normaliz]:[% normaliz]],1)*(DATOS_[C.Extra.06])))))))),
0)</f>
        <v>0</v>
      </c>
      <c r="AR64" s="173">
        <f t="array" ref="AR64">IFERROR(
(MEDIAN((IF(DATOS_[[Sexo]:[Sexo]]=$B64,IF(DATOS_[[AGRUP. VALOR. PTO.]:[AGRUP. VALOR. PTO.]]=$B63,IF(DATOS_[[Check Periodo Ref.]:[Check Periodo Ref.]]="Dentro",IF(DATOS_[[Check Equiparado]:[Check Equiparado]]="Sí",IF(DATOS!CC$5="Sí",(1/DATOS_[[% anualiz]:[% anualiz]]),1)*IF(DATOS!CC$4="Sí",1/DATOS_[[% normaliz]:[% normaliz]],1)*(DATOS_[C.Extra.07])))))))),
0)</f>
        <v>0</v>
      </c>
      <c r="AS64" s="173">
        <f t="array" ref="AS64">IFERROR(
(MEDIAN((IF(DATOS_[[Sexo]:[Sexo]]=$B64,IF(DATOS_[[AGRUP. VALOR. PTO.]:[AGRUP. VALOR. PTO.]]=$B63,IF(DATOS_[[Check Periodo Ref.]:[Check Periodo Ref.]]="Dentro",IF(DATOS_[[Check Equiparado]:[Check Equiparado]]="Sí",IF(DATOS!CD$5="Sí",(1/DATOS_[[% anualiz]:[% anualiz]]),1)*IF(DATOS!CD$4="Sí",1/DATOS_[[% normaliz]:[% normaliz]],1)*(DATOS_[C.Extra.08])))))))),
0)</f>
        <v>0</v>
      </c>
      <c r="AT64" s="173">
        <f t="array" ref="AT64">IFERROR(
(MEDIAN((IF(DATOS_[[Sexo]:[Sexo]]=$B64,IF(DATOS_[[AGRUP. VALOR. PTO.]:[AGRUP. VALOR. PTO.]]=$B63,IF(DATOS_[[Check Periodo Ref.]:[Check Periodo Ref.]]="Dentro",IF(DATOS_[[Check Equiparado]:[Check Equiparado]]="Sí",IF(DATOS!CG$5="Sí",(1/DATOS_[[% anualiz]:[% anualiz]]),1)*IF(DATOS!CG$4="Sí",1/DATOS_[[% normaliz]:[% normaliz]],1)*(DATOS_[C.Extra.11])))))))),
0)</f>
        <v>0</v>
      </c>
      <c r="AU64" s="197">
        <f t="array" ref="AU64">IFERROR(
MEDIAN(IF(DATOS_[Sexo]=$B64,IF(DATOS_[[AGRUP. VALOR. PTO.]:[AGRUP. VALOR. PTO.]]=$B63,IF(DATOS_[Check Equiparado]="Sí",IF(DATOS_[Check Periodo Ref.]="Dentro",DATOS_[Tot Extrasalarial Eq],FALSE))))),
0)</f>
        <v>0</v>
      </c>
      <c r="AV64" s="175">
        <f t="array" ref="AV64">IFERROR(
MEDIAN(IF(DATOS_[Sexo]=$B64,IF(DATOS_[[AGRUP. VALOR. PTO.]:[AGRUP. VALOR. PTO.]]=$B63,IF(DATOS_[Check Equiparado]="Sí",IF(DATOS_[Check Periodo Ref.]="Dentro",DATOS_[TOTAL Retrib Eq],FALSE))))),
0)</f>
        <v>0</v>
      </c>
    </row>
    <row r="65" spans="1:48" x14ac:dyDescent="0.25">
      <c r="A65" s="133" t="str">
        <f t="shared" ref="A65" si="70">+A64</f>
        <v>[ocultar]</v>
      </c>
      <c r="B65" s="202" t="s">
        <v>521</v>
      </c>
      <c r="C65" s="203">
        <f t="array" ref="C65">SUM(IF($B65=DATOS_[Sexo],
IF($B63=DATOS_[AGRUP. VALOR. PTO.],
IF("Dentro"=DATOS_[Check Periodo Ref.],
1/(COUNTIFS(DATOS_[Sexo],$B65,DATOS_[AGRUP. VALOR. PTO.],$B63,DATOS_[Check Periodo Ref.],"Dentro",DATOS_[id/cod],DATOS_[id/cod]))))))</f>
        <v>0</v>
      </c>
      <c r="D65" s="204">
        <f>COUNTIFS(DATOS_[AGRUP. VALOR. PTO.],$B63,DATOS_[Sexo],$B65,DATOS_[Check Periodo Ref.],"Dentro")</f>
        <v>0</v>
      </c>
      <c r="E65" s="204">
        <f>COUNTIFS(DATOS_[AGRUP. VALOR. PTO.],$B63,DATOS_[Sexo],$B65,DATOS_[Check Periodo Ref.],"Dentro",DATOS_[Check Nº SC Norm],"Sí")</f>
        <v>0</v>
      </c>
      <c r="F65" s="204">
        <f>COUNTIFS(DATOS_[AGRUP. VALOR. PTO.],$B63,DATOS_[Sexo],$B65,DATOS_[Check Periodo Ref.],"Dentro",DATOS_[Check Nº SC Anualiz],"Sí")</f>
        <v>0</v>
      </c>
      <c r="G65" s="204">
        <f>COUNTIFS(DATOS_[AGRUP. VALOR. PTO.],$B63,DATOS_[Sexo],$B65,DATOS_[Check Periodo Ref.],"Dentro",DATOS_[Check Nº SC Norm y Anualiz],"Sí")</f>
        <v>0</v>
      </c>
      <c r="H65" s="204">
        <f>COUNTIFS(DATOS_[AGRUP. VALOR. PTO.],$B63,DATOS_[Sexo],$B65,DATOS_[Check Periodo Ref.],"Dentro",DATOS_[Check Equiparación],"Sí")</f>
        <v>0</v>
      </c>
      <c r="I65" s="195" cm="1">
        <f t="array" ref="I65">IFERROR(
MEDIAN(IF(DATOS_[Sexo]=$B65,IF(DATOS_[[AGRUP. VALOR. PTO.]:[AGRUP. VALOR. PTO.]]=$B63,IF(DATOS_[Check Equiparado]="Sí",IF(DATOS_[Check Periodo Ref.]="Dentro",DATOS_[SALARIO BASE Eq],FALSE))))),
0)</f>
        <v>0</v>
      </c>
      <c r="J65" s="196">
        <f t="array" ref="J65">IFERROR(
(MEDIAN((IF(DATOS_[[Sexo]:[Sexo]]=$B65,IF(DATOS_[[AGRUP. VALOR. PTO.]:[AGRUP. VALOR. PTO.]]=$B63,IF(DATOS_[[Check Periodo Ref.]:[Check Periodo Ref.]]="Dentro",IF(DATOS_[[Check Equiparado]:[Check Equiparado]]="Sí",IF(DATOS!AE$5="Sí",(1/DATOS_[[% anualiz]:[% anualiz]]),1)*IF(DATOS!AE$4="Sí",1/DATOS_[[% normaliz]:[% normaliz]],1)*(DATOS_[Conc.Sal.01])))))))),
0)</f>
        <v>0</v>
      </c>
      <c r="K65" s="196">
        <f t="array" ref="K65">IFERROR(
(MEDIAN((IF(DATOS_[[Sexo]:[Sexo]]=$B65,IF(DATOS_[[AGRUP. VALOR. PTO.]:[AGRUP. VALOR. PTO.]]=$B63,IF(DATOS_[[Check Periodo Ref.]:[Check Periodo Ref.]]="Dentro",IF(DATOS_[[Check Equiparado]:[Check Equiparado]]="Sí",IF(DATOS!AF$5="Sí",(1/DATOS_[[% anualiz]:[% anualiz]]),1)*IF(DATOS!AF$4="Sí",1/DATOS_[[% normaliz]:[% normaliz]],1)*(DATOS_[Conc.Sal.02])))))))),
0)</f>
        <v>0</v>
      </c>
      <c r="L65" s="196">
        <f t="array" ref="L65">IFERROR(
(MEDIAN((IF(DATOS_[[Sexo]:[Sexo]]=$B65,IF(DATOS_[[AGRUP. VALOR. PTO.]:[AGRUP. VALOR. PTO.]]=$B63,IF(DATOS_[[Check Periodo Ref.]:[Check Periodo Ref.]]="Dentro",IF(DATOS_[[Check Equiparado]:[Check Equiparado]]="Sí",IF(DATOS!AG$5="Sí",(1/DATOS_[[% anualiz]:[% anualiz]]),1)*IF(DATOS!AG$4="Sí",1/DATOS_[[% normaliz]:[% normaliz]],1)*(DATOS_[Conc.Sal.03])))))))),
0)</f>
        <v>0</v>
      </c>
      <c r="M65" s="196">
        <f t="array" ref="M65">IFERROR(
(MEDIAN((IF(DATOS_[[Sexo]:[Sexo]]=$B65,IF(DATOS_[[AGRUP. VALOR. PTO.]:[AGRUP. VALOR. PTO.]]=$B63,IF(DATOS_[[Check Periodo Ref.]:[Check Periodo Ref.]]="Dentro",IF(DATOS_[[Check Equiparado]:[Check Equiparado]]="Sí",IF(DATOS!AH$5="Sí",(1/DATOS_[[% anualiz]:[% anualiz]]),1)*IF(DATOS!AH$4="Sí",1/DATOS_[[% normaliz]:[% normaliz]],1)*(DATOS_[Conc.Sal.04])))))))),
0)</f>
        <v>0</v>
      </c>
      <c r="N65" s="196">
        <f t="array" ref="N65">IFERROR(
(MEDIAN((IF(DATOS_[[Sexo]:[Sexo]]=$B65,IF(DATOS_[[AGRUP. VALOR. PTO.]:[AGRUP. VALOR. PTO.]]=$B63,IF(DATOS_[[Check Periodo Ref.]:[Check Periodo Ref.]]="Dentro",IF(DATOS_[[Check Equiparado]:[Check Equiparado]]="Sí",IF(DATOS!AI$5="Sí",(1/DATOS_[[% anualiz]:[% anualiz]]),1)*IF(DATOS!AI$4="Sí",1/DATOS_[[% normaliz]:[% normaliz]],1)*(DATOS_[Conc.Sal.05])))))))),
0)</f>
        <v>0</v>
      </c>
      <c r="O65" s="196">
        <f t="array" ref="O65">IFERROR(
(MEDIAN((IF(DATOS_[[Sexo]:[Sexo]]=$B65,IF(DATOS_[[AGRUP. VALOR. PTO.]:[AGRUP. VALOR. PTO.]]=$B63,IF(DATOS_[[Check Periodo Ref.]:[Check Periodo Ref.]]="Dentro",IF(DATOS_[[Check Equiparado]:[Check Equiparado]]="Sí",IF(DATOS!AJ$5="Sí",(1/DATOS_[[% anualiz]:[% anualiz]]),1)*IF(DATOS!AJ$4="Sí",1/DATOS_[[% normaliz]:[% normaliz]],1)*(DATOS_[Conc.Sal.06])))))))),
0)</f>
        <v>0</v>
      </c>
      <c r="P65" s="196">
        <f t="array" ref="P65">IFERROR(
(MEDIAN((IF(DATOS_[[Sexo]:[Sexo]]=$B65,IF(DATOS_[[AGRUP. VALOR. PTO.]:[AGRUP. VALOR. PTO.]]=$B63,IF(DATOS_[[Check Periodo Ref.]:[Check Periodo Ref.]]="Dentro",IF(DATOS_[[Check Equiparado]:[Check Equiparado]]="Sí",IF(DATOS!AK$5="Sí",(1/DATOS_[[% anualiz]:[% anualiz]]),1)*IF(DATOS!AK$4="Sí",1/DATOS_[[% normaliz]:[% normaliz]],1)*(DATOS_[Conc.Sal.07])))))))),
0)</f>
        <v>0</v>
      </c>
      <c r="Q65" s="196">
        <f t="array" ref="Q65">IFERROR(
(MEDIAN((IF(DATOS_[[Sexo]:[Sexo]]=$B65,IF(DATOS_[[AGRUP. VALOR. PTO.]:[AGRUP. VALOR. PTO.]]=$B63,IF(DATOS_[[Check Periodo Ref.]:[Check Periodo Ref.]]="Dentro",IF(DATOS_[[Check Equiparado]:[Check Equiparado]]="Sí",IF(DATOS!AL$5="Sí",(1/DATOS_[[% anualiz]:[% anualiz]]),1)*IF(DATOS!AL$4="Sí",1/DATOS_[[% normaliz]:[% normaliz]],1)*(DATOS_[Conc.Sal.08])))))))),
0)</f>
        <v>0</v>
      </c>
      <c r="R65" s="196">
        <f t="array" ref="R65">IFERROR(
(MEDIAN((IF(DATOS_[[Sexo]:[Sexo]]=$B65,IF(DATOS_[[AGRUP. VALOR. PTO.]:[AGRUP. VALOR. PTO.]]=$B63,IF(DATOS_[[Check Periodo Ref.]:[Check Periodo Ref.]]="Dentro",IF(DATOS_[[Check Equiparado]:[Check Equiparado]]="Sí",IF(DATOS!AM$5="Sí",(1/DATOS_[[% anualiz]:[% anualiz]]),1)*IF(DATOS!AM$4="Sí",1/DATOS_[[% normaliz]:[% normaliz]],1)*(DATOS_[Conc.Sal.09])))))))),
0)</f>
        <v>0</v>
      </c>
      <c r="S65" s="196">
        <f t="array" ref="S65">IFERROR(
(MEDIAN((IF(DATOS_[[Sexo]:[Sexo]]=$B65,IF(DATOS_[[AGRUP. VALOR. PTO.]:[AGRUP. VALOR. PTO.]]=$B63,IF(DATOS_[[Check Periodo Ref.]:[Check Periodo Ref.]]="Dentro",IF(DATOS_[[Check Equiparado]:[Check Equiparado]]="Sí",IF(DATOS!AN$5="Sí",(1/DATOS_[[% anualiz]:[% anualiz]]),1)*IF(DATOS!AN$4="Sí",1/DATOS_[[% normaliz]:[% normaliz]],1)*(DATOS_[Conc.Sal.10])))))))),
0)</f>
        <v>0</v>
      </c>
      <c r="T65" s="196">
        <f t="array" ref="T65">IFERROR(
(MEDIAN((IF(DATOS_[[Sexo]:[Sexo]]=$B65,IF(DATOS_[[AGRUP. VALOR. PTO.]:[AGRUP. VALOR. PTO.]]=$B63,IF(DATOS_[[Check Periodo Ref.]:[Check Periodo Ref.]]="Dentro",IF(DATOS_[[Check Equiparado]:[Check Equiparado]]="Sí",IF(DATOS!AO$5="Sí",(1/DATOS_[[% anualiz]:[% anualiz]]),1)*IF(DATOS!AO$4="Sí",1/DATOS_[[% normaliz]:[% normaliz]],1)*(DATOS_[Conc.Sal.11])))))))),
0)</f>
        <v>0</v>
      </c>
      <c r="U65" s="196">
        <f t="array" ref="U65">IFERROR(
(MEDIAN((IF(DATOS_[[Sexo]:[Sexo]]=$B65,IF(DATOS_[[AGRUP. VALOR. PTO.]:[AGRUP. VALOR. PTO.]]=$B63,IF(DATOS_[[Check Periodo Ref.]:[Check Periodo Ref.]]="Dentro",IF(DATOS_[[Check Equiparado]:[Check Equiparado]]="Sí",IF(DATOS!AP$5="Sí",(1/DATOS_[[% anualiz]:[% anualiz]]),1)*IF(DATOS!AP$4="Sí",1/DATOS_[[% normaliz]:[% normaliz]],1)*(DATOS_[Conc.Sal.12])))))))),
0)</f>
        <v>0</v>
      </c>
      <c r="V65" s="196">
        <f t="array" ref="V65">IFERROR(
(MEDIAN((IF(DATOS_[[Sexo]:[Sexo]]=$B65,IF(DATOS_[[AGRUP. VALOR. PTO.]:[AGRUP. VALOR. PTO.]]=$B63,IF(DATOS_[[Check Periodo Ref.]:[Check Periodo Ref.]]="Dentro",IF(DATOS_[[Check Equiparado]:[Check Equiparado]]="Sí",IF(DATOS!AQ$5="Sí",(1/DATOS_[[% anualiz]:[% anualiz]]),1)*IF(DATOS!AQ$4="Sí",1/DATOS_[[% normaliz]:[% normaliz]],1)*(DATOS_[Conc.Sal.13])))))))),
0)</f>
        <v>0</v>
      </c>
      <c r="W65" s="196">
        <f t="array" ref="W65">IFERROR(
(MEDIAN((IF(DATOS_[[Sexo]:[Sexo]]=$B65,IF(DATOS_[[AGRUP. VALOR. PTO.]:[AGRUP. VALOR. PTO.]]=$B63,IF(DATOS_[[Check Periodo Ref.]:[Check Periodo Ref.]]="Dentro",IF(DATOS_[[Check Equiparado]:[Check Equiparado]]="Sí",IF(DATOS!AR$5="Sí",(1/DATOS_[[% anualiz]:[% anualiz]]),1)*IF(DATOS!AR$4="Sí",1/DATOS_[[% normaliz]:[% normaliz]],1)*(DATOS_[Conc.Sal.14])))))))),
0)</f>
        <v>0</v>
      </c>
      <c r="X65" s="196">
        <f t="array" ref="X65">IFERROR(
(MEDIAN((IF(DATOS_[[Sexo]:[Sexo]]=$B65,IF(DATOS_[[AGRUP. VALOR. PTO.]:[AGRUP. VALOR. PTO.]]=$B63,IF(DATOS_[[Check Periodo Ref.]:[Check Periodo Ref.]]="Dentro",IF(DATOS_[[Check Equiparado]:[Check Equiparado]]="Sí",IF(DATOS!AS$5="Sí",(1/DATOS_[[% anualiz]:[% anualiz]]),1)*IF(DATOS!AS$4="Sí",1/DATOS_[[% normaliz]:[% normaliz]],1)*(DATOS_[Conc.Sal.15])))))))),
0)</f>
        <v>0</v>
      </c>
      <c r="Y65" s="196">
        <f t="array" ref="Y65">IFERROR(
(MEDIAN((IF(DATOS_[[Sexo]:[Sexo]]=$B65,IF(DATOS_[[AGRUP. VALOR. PTO.]:[AGRUP. VALOR. PTO.]]=$B63,IF(DATOS_[[Check Periodo Ref.]:[Check Periodo Ref.]]="Dentro",IF(DATOS_[[Check Equiparado]:[Check Equiparado]]="Sí",IF(DATOS!AT$5="Sí",(1/DATOS_[[% anualiz]:[% anualiz]]),1)*IF(DATOS!AT$4="Sí",1/DATOS_[[% normaliz]:[% normaliz]],1)*(DATOS_[Conc.Sal.16])))))))),
0)</f>
        <v>0</v>
      </c>
      <c r="Z65" s="196">
        <f t="array" ref="Z65">IFERROR(
(MEDIAN((IF(DATOS_[[Sexo]:[Sexo]]=$B65,IF(DATOS_[[AGRUP. VALOR. PTO.]:[AGRUP. VALOR. PTO.]]=$B63,IF(DATOS_[[Check Periodo Ref.]:[Check Periodo Ref.]]="Dentro",IF(DATOS_[[Check Equiparado]:[Check Equiparado]]="Sí",IF(DATOS!AU$5="Sí",(1/DATOS_[[% anualiz]:[% anualiz]]),1)*IF(DATOS!AU$4="Sí",1/DATOS_[[% normaliz]:[% normaliz]],1)*(DATOS_[Conc.Sal.17])))))))),
0)</f>
        <v>0</v>
      </c>
      <c r="AA65" s="196">
        <f t="array" ref="AA65">IFERROR(
(MEDIAN((IF(DATOS_[[Sexo]:[Sexo]]=$B65,IF(DATOS_[[AGRUP. VALOR. PTO.]:[AGRUP. VALOR. PTO.]]=$B63,IF(DATOS_[[Check Periodo Ref.]:[Check Periodo Ref.]]="Dentro",IF(DATOS_[[Check Equiparado]:[Check Equiparado]]="Sí",IF(DATOS!AV$5="Sí",(1/DATOS_[[% anualiz]:[% anualiz]]),1)*IF(DATOS!AV$4="Sí",1/DATOS_[[% normaliz]:[% normaliz]],1)*(DATOS_[Conc.Sal.18])))))))),
0)</f>
        <v>0</v>
      </c>
      <c r="AB65" s="196">
        <f t="array" ref="AB65">IFERROR(
(MEDIAN((IF(DATOS_[[Sexo]:[Sexo]]=$B65,IF(DATOS_[[AGRUP. VALOR. PTO.]:[AGRUP. VALOR. PTO.]]=$B63,IF(DATOS_[[Check Periodo Ref.]:[Check Periodo Ref.]]="Dentro",IF(DATOS_[[Check Equiparado]:[Check Equiparado]]="Sí",IF(DATOS!AW$5="Sí",(1/DATOS_[[% anualiz]:[% anualiz]]),1)*IF(DATOS!AW$4="Sí",1/DATOS_[[% normaliz]:[% normaliz]],1)*(DATOS_[Conc.Sal.19])))))))),
0)</f>
        <v>0</v>
      </c>
      <c r="AC65" s="196">
        <f t="array" ref="AC65">IFERROR(
(MEDIAN((IF(DATOS_[[Sexo]:[Sexo]]=$B65,IF(DATOS_[[AGRUP. VALOR. PTO.]:[AGRUP. VALOR. PTO.]]=$B63,IF(DATOS_[[Check Periodo Ref.]:[Check Periodo Ref.]]="Dentro",IF(DATOS_[[Check Equiparado]:[Check Equiparado]]="Sí",IF(DATOS!AX$5="Sí",(1/DATOS_[[% anualiz]:[% anualiz]]),1)*IF(DATOS!AX$4="Sí",1/DATOS_[[% normaliz]:[% normaliz]],1)*(DATOS_[Conc.Sal.20])))))))),
0)</f>
        <v>0</v>
      </c>
      <c r="AD65" s="196">
        <f t="array" ref="AD65">IFERROR(
(MEDIAN((IF(DATOS_[[Sexo]:[Sexo]]=$B65,IF(DATOS_[[AGRUP. VALOR. PTO.]:[AGRUP. VALOR. PTO.]]=$B63,IF(DATOS_[[Check Periodo Ref.]:[Check Periodo Ref.]]="Dentro",IF(DATOS_[[Check Equiparado]:[Check Equiparado]]="Sí",IF(DATOS!AY$5="Sí",(1/DATOS_[[% anualiz]:[% anualiz]]),1)*IF(DATOS!AY$4="Sí",1/DATOS_[[% normaliz]:[% normaliz]],1)*(DATOS_[Conc.Sal.21])))))))),
0)</f>
        <v>0</v>
      </c>
      <c r="AE65" s="196">
        <f t="array" ref="AE65">IFERROR(
(MEDIAN((IF(DATOS_[[Sexo]:[Sexo]]=$B65,IF(DATOS_[[AGRUP. VALOR. PTO.]:[AGRUP. VALOR. PTO.]]=$B63,IF(DATOS_[[Check Periodo Ref.]:[Check Periodo Ref.]]="Dentro",IF(DATOS_[[Check Equiparado]:[Check Equiparado]]="Sí",IF(DATOS!AZ$5="Sí",(1/DATOS_[[% anualiz]:[% anualiz]]),1)*IF(DATOS!AZ$4="Sí",1/DATOS_[[% normaliz]:[% normaliz]],1)*(DATOS_[Conc.Sal.22])))))))),
0)</f>
        <v>0</v>
      </c>
      <c r="AF65" s="196">
        <f t="array" ref="AF65">IFERROR(
(MEDIAN((IF(DATOS_[[Sexo]:[Sexo]]=$B65,IF(DATOS_[[AGRUP. VALOR. PTO.]:[AGRUP. VALOR. PTO.]]=$B63,IF(DATOS_[[Check Periodo Ref.]:[Check Periodo Ref.]]="Dentro",IF(DATOS_[[Check Equiparado]:[Check Equiparado]]="Sí",IF(DATOS!BA$5="Sí",(1/DATOS_[[% anualiz]:[% anualiz]]),1)*IF(DATOS!BA$4="Sí",1/DATOS_[[% normaliz]:[% normaliz]],1)*(DATOS_[Conc.Sal.23])))))))),
0)</f>
        <v>0</v>
      </c>
      <c r="AG65" s="196">
        <f t="array" ref="AG65">IFERROR(
(MEDIAN((IF(DATOS_[[Sexo]:[Sexo]]=$B65,IF(DATOS_[[AGRUP. VALOR. PTO.]:[AGRUP. VALOR. PTO.]]=$B63,IF(DATOS_[[Check Periodo Ref.]:[Check Periodo Ref.]]="Dentro",IF(DATOS_[[Check Equiparado]:[Check Equiparado]]="Sí",IF(DATOS!BB$5="Sí",(1/DATOS_[[% anualiz]:[% anualiz]]),1)*IF(DATOS!BB$4="Sí",1/DATOS_[[% normaliz]:[% normaliz]],1)*(DATOS_[Conc.Sal.24])))))))),
0)</f>
        <v>0</v>
      </c>
      <c r="AH65" s="196">
        <f t="array" ref="AH65">IFERROR(
(MEDIAN((IF(DATOS_[[Sexo]:[Sexo]]=$B65,IF(DATOS_[[AGRUP. VALOR. PTO.]:[AGRUP. VALOR. PTO.]]=$B63,IF(DATOS_[[Check Periodo Ref.]:[Check Periodo Ref.]]="Dentro",IF(DATOS_[[Check Equiparado]:[Check Equiparado]]="Sí",IF(DATOS!BC$5="Sí",(1/DATOS_[[% anualiz]:[% anualiz]]),1)*IF(DATOS!BC$4="Sí",1/DATOS_[[% normaliz]:[% normaliz]],1)*(DATOS_[Conc.Sal.25])))))))),
0)</f>
        <v>0</v>
      </c>
      <c r="AI65" s="196">
        <f t="array" ref="AI65">IFERROR(
(MEDIAN((IF(DATOS_[[Sexo]:[Sexo]]=$B65,IF(DATOS_[[AGRUP. VALOR. PTO.]:[AGRUP. VALOR. PTO.]]=$B63,IF(DATOS_[[Check Periodo Ref.]:[Check Periodo Ref.]]="Dentro",IF(DATOS_[[Check Equiparado]:[Check Equiparado]]="Sí",IF(DATOS!BD$5="Sí",(1/DATOS_[[% anualiz]:[% anualiz]]),1)*IF(DATOS!BD$4="Sí",1/DATOS_[[% normaliz]:[% normaliz]],1)*(DATOS_[Conc.Sal.26])))))))),
0)</f>
        <v>0</v>
      </c>
      <c r="AJ65" s="196">
        <f t="array" ref="AJ65">IFERROR(
(MEDIAN((IF(DATOS_[[Sexo]:[Sexo]]=$B65,IF(DATOS_[[AGRUP. VALOR. PTO.]:[AGRUP. VALOR. PTO.]]=$B63,IF(DATOS_[[Check Periodo Ref.]:[Check Periodo Ref.]]="Dentro",IF(DATOS_[[Check Equiparado]:[Check Equiparado]]="Sí",IF(DATOS!BE$5="Sí",(1/DATOS_[[% anualiz]:[% anualiz]]),1)*IF(DATOS!BE$4="Sí",1/DATOS_[[% normaliz]:[% normaliz]],1)*(DATOS_[Conc.Sal.27])))))))),
0)</f>
        <v>0</v>
      </c>
      <c r="AK65" s="196">
        <f t="array" ref="AK65">IFERROR(
(MEDIAN((IF(DATOS_[[Sexo]:[Sexo]]=$B65,IF(DATOS_[[AGRUP. VALOR. PTO.]:[AGRUP. VALOR. PTO.]]=$B63,IF(DATOS_[[Check Periodo Ref.]:[Check Periodo Ref.]]="Dentro",IF(DATOS_[[Check Equiparado]:[Check Equiparado]]="Sí",IF(DATOS!BF$5="Sí",(1/DATOS_[[% anualiz]:[% anualiz]]),1)*IF(DATOS!BF$4="Sí",1/DATOS_[[% normaliz]:[% normaliz]],1)*(DATOS_[Conc.Sal.28])))))))),
0)</f>
        <v>0</v>
      </c>
      <c r="AL65" s="196">
        <f t="array" ref="AL65">IFERROR(
(MEDIAN((IF(DATOS_[[Sexo]:[Sexo]]=$B65,IF(DATOS_[[AGRUP. VALOR. PTO.]:[AGRUP. VALOR. PTO.]]=$B63,IF(DATOS_[[Check Periodo Ref.]:[Check Periodo Ref.]]="Dentro",IF(DATOS_[[Check Equiparado]:[Check Equiparado]]="Sí",IF(DATOS!BG$5="Sí",(1/DATOS_[[% anualiz]:[% anualiz]]),1)*IF(DATOS!BG$4="Sí",1/DATOS_[[% normaliz]:[% normaliz]],1)*(DATOS_[Conc.Sal.29])))))))),
0)</f>
        <v>0</v>
      </c>
      <c r="AM65" s="196">
        <f t="array" ref="AM65">IFERROR(
(MEDIAN((IF(DATOS_[[Sexo]:[Sexo]]=$B65,IF(DATOS_[[AGRUP. VALOR. PTO.]:[AGRUP. VALOR. PTO.]]=$B63,IF(DATOS_[[Check Periodo Ref.]:[Check Periodo Ref.]]="Dentro",IF(DATOS_[[Check Equiparado]:[Check Equiparado]]="Sí",IF(DATOS!BH$5="Sí",(1/DATOS_[[% anualiz]:[% anualiz]]),1)*IF(DATOS!BH$4="Sí",1/DATOS_[[% normaliz]:[% normaliz]],1)*(DATOS_[Conc.Sal.30])))))))),
0)</f>
        <v>0</v>
      </c>
      <c r="AN65" s="195">
        <f t="array" ref="AN65">IFERROR(
MEDIAN(IF(DATOS_[Sexo]=$B65,IF(DATOS_[[AGRUP. VALOR. PTO.]:[AGRUP. VALOR. PTO.]]=$B63,IF(DATOS_[Check Equiparado]="Sí",IF(DATOS_[Check Periodo Ref.]="Dentro",DATOS_[Tot COMPL.SAL Eq],FALSE))))),
0)</f>
        <v>0</v>
      </c>
      <c r="AO65" s="172">
        <f t="array" ref="AO65">IFERROR(
MEDIAN(IF(DATOS_[Sexo]=$B65,IF(DATOS_[[AGRUP. VALOR. PTO.]:[AGRUP. VALOR. PTO.]]=$B63,IF(DATOS_[Check Equiparado]="Sí",IF(DATOS_[Check Periodo Ref.]="Dentro",DATOS_[TOTAL SALARIO Eq],FALSE))))),
0)</f>
        <v>0</v>
      </c>
      <c r="AP65" s="173">
        <f t="array" ref="AP65">IFERROR(
(MEDIAN((IF(DATOS_[[Sexo]:[Sexo]]=$B65,IF(DATOS_[[AGRUP. VALOR. PTO.]:[AGRUP. VALOR. PTO.]]=$B64,IF(DATOS_[[Check Periodo Ref.]:[Check Periodo Ref.]]="Dentro",IF(DATOS_[[Check Equiparado]:[Check Equiparado]]="Sí",IF(DATOS!BW$5="Sí",(1/DATOS_[[% anualiz]:[% anualiz]]),1)*IF(DATOS!BW$4="Sí",1/DATOS_[[% normaliz]:[% normaliz]],1)*(DATOS_[C.Extra.01])))))))),
0)</f>
        <v>0</v>
      </c>
      <c r="AQ65" s="173">
        <f t="array" ref="AQ65">IFERROR(
(MEDIAN((IF(DATOS_[[Sexo]:[Sexo]]=$B65,IF(DATOS_[[AGRUP. VALOR. PTO.]:[AGRUP. VALOR. PTO.]]=$B64,IF(DATOS_[[Check Periodo Ref.]:[Check Periodo Ref.]]="Dentro",IF(DATOS_[[Check Equiparado]:[Check Equiparado]]="Sí",IF(DATOS!CB$5="Sí",(1/DATOS_[[% anualiz]:[% anualiz]]),1)*IF(DATOS!CB$4="Sí",1/DATOS_[[% normaliz]:[% normaliz]],1)*(DATOS_[C.Extra.06])))))))),
0)</f>
        <v>0</v>
      </c>
      <c r="AR65" s="173">
        <f t="array" ref="AR65">IFERROR(
(MEDIAN((IF(DATOS_[[Sexo]:[Sexo]]=$B65,IF(DATOS_[[AGRUP. VALOR. PTO.]:[AGRUP. VALOR. PTO.]]=$B64,IF(DATOS_[[Check Periodo Ref.]:[Check Periodo Ref.]]="Dentro",IF(DATOS_[[Check Equiparado]:[Check Equiparado]]="Sí",IF(DATOS!CC$5="Sí",(1/DATOS_[[% anualiz]:[% anualiz]]),1)*IF(DATOS!CC$4="Sí",1/DATOS_[[% normaliz]:[% normaliz]],1)*(DATOS_[C.Extra.07])))))))),
0)</f>
        <v>0</v>
      </c>
      <c r="AS65" s="173">
        <f t="array" ref="AS65">IFERROR(
(MEDIAN((IF(DATOS_[[Sexo]:[Sexo]]=$B65,IF(DATOS_[[AGRUP. VALOR. PTO.]:[AGRUP. VALOR. PTO.]]=$B64,IF(DATOS_[[Check Periodo Ref.]:[Check Periodo Ref.]]="Dentro",IF(DATOS_[[Check Equiparado]:[Check Equiparado]]="Sí",IF(DATOS!CD$5="Sí",(1/DATOS_[[% anualiz]:[% anualiz]]),1)*IF(DATOS!CD$4="Sí",1/DATOS_[[% normaliz]:[% normaliz]],1)*(DATOS_[C.Extra.08])))))))),
0)</f>
        <v>0</v>
      </c>
      <c r="AT65" s="173">
        <f t="array" ref="AT65">IFERROR(
(MEDIAN((IF(DATOS_[[Sexo]:[Sexo]]=$B65,IF(DATOS_[[AGRUP. VALOR. PTO.]:[AGRUP. VALOR. PTO.]]=$B64,IF(DATOS_[[Check Periodo Ref.]:[Check Periodo Ref.]]="Dentro",IF(DATOS_[[Check Equiparado]:[Check Equiparado]]="Sí",IF(DATOS!CG$5="Sí",(1/DATOS_[[% anualiz]:[% anualiz]]),1)*IF(DATOS!CG$4="Sí",1/DATOS_[[% normaliz]:[% normaliz]],1)*(DATOS_[C.Extra.11])))))))),
0)</f>
        <v>0</v>
      </c>
      <c r="AU65" s="197">
        <f t="array" ref="AU65">IFERROR(
MEDIAN(IF(DATOS_[Sexo]=$B65,IF(DATOS_[[AGRUP. VALOR. PTO.]:[AGRUP. VALOR. PTO.]]=$B63,IF(DATOS_[Check Equiparado]="Sí",IF(DATOS_[Check Periodo Ref.]="Dentro",DATOS_[Tot Extrasalarial Eq],FALSE))))),
0)</f>
        <v>0</v>
      </c>
      <c r="AV65" s="175">
        <f t="array" ref="AV65">IFERROR(
MEDIAN(IF(DATOS_[Sexo]=$B65,IF(DATOS_[[AGRUP. VALOR. PTO.]:[AGRUP. VALOR. PTO.]]=$B63,IF(DATOS_[Check Equiparado]="Sí",IF(DATOS_[Check Periodo Ref.]="Dentro",DATOS_[TOTAL Retrib Eq],FALSE))))),
0)</f>
        <v>0</v>
      </c>
    </row>
    <row r="66" spans="1:48" ht="15.6" thickBot="1" x14ac:dyDescent="0.3">
      <c r="A66" s="133" t="str">
        <f t="shared" ref="A66" si="71">+A67</f>
        <v>[ocultar]</v>
      </c>
      <c r="B66" s="199" t="s">
        <v>249</v>
      </c>
      <c r="C66" s="200"/>
      <c r="D66" s="201"/>
      <c r="E66" s="201"/>
      <c r="F66" s="201"/>
      <c r="G66" s="201"/>
      <c r="H66" s="201"/>
      <c r="I66" s="189" t="str">
        <f t="shared" ref="I66:AV66" si="72">IFERROR((I67-I68)/I67,"")</f>
        <v/>
      </c>
      <c r="J66" s="190" t="str">
        <f t="shared" si="72"/>
        <v/>
      </c>
      <c r="K66" s="191" t="str">
        <f t="shared" si="72"/>
        <v/>
      </c>
      <c r="L66" s="191" t="str">
        <f t="shared" si="72"/>
        <v/>
      </c>
      <c r="M66" s="191" t="str">
        <f t="shared" si="72"/>
        <v/>
      </c>
      <c r="N66" s="192" t="str">
        <f t="shared" si="72"/>
        <v/>
      </c>
      <c r="O66" s="193" t="str">
        <f t="shared" si="72"/>
        <v/>
      </c>
      <c r="P66" s="193" t="str">
        <f t="shared" si="72"/>
        <v/>
      </c>
      <c r="Q66" s="193" t="str">
        <f t="shared" si="72"/>
        <v/>
      </c>
      <c r="R66" s="193" t="str">
        <f t="shared" si="72"/>
        <v/>
      </c>
      <c r="S66" s="193" t="str">
        <f t="shared" si="72"/>
        <v/>
      </c>
      <c r="T66" s="193" t="str">
        <f t="shared" si="72"/>
        <v/>
      </c>
      <c r="U66" s="193" t="str">
        <f t="shared" si="72"/>
        <v/>
      </c>
      <c r="V66" s="193" t="str">
        <f t="shared" si="72"/>
        <v/>
      </c>
      <c r="W66" s="193" t="str">
        <f t="shared" si="72"/>
        <v/>
      </c>
      <c r="X66" s="193" t="str">
        <f t="shared" si="72"/>
        <v/>
      </c>
      <c r="Y66" s="193" t="str">
        <f t="shared" si="72"/>
        <v/>
      </c>
      <c r="Z66" s="193" t="str">
        <f t="shared" si="72"/>
        <v/>
      </c>
      <c r="AA66" s="193" t="str">
        <f t="shared" si="72"/>
        <v/>
      </c>
      <c r="AB66" s="193" t="str">
        <f t="shared" si="72"/>
        <v/>
      </c>
      <c r="AC66" s="193" t="str">
        <f t="shared" si="72"/>
        <v/>
      </c>
      <c r="AD66" s="193" t="str">
        <f t="shared" si="72"/>
        <v/>
      </c>
      <c r="AE66" s="193" t="str">
        <f t="shared" si="72"/>
        <v/>
      </c>
      <c r="AF66" s="193" t="str">
        <f t="shared" si="72"/>
        <v/>
      </c>
      <c r="AG66" s="193" t="str">
        <f t="shared" si="72"/>
        <v/>
      </c>
      <c r="AH66" s="193" t="str">
        <f t="shared" si="72"/>
        <v/>
      </c>
      <c r="AI66" s="193" t="str">
        <f t="shared" si="72"/>
        <v/>
      </c>
      <c r="AJ66" s="193" t="str">
        <f t="shared" si="72"/>
        <v/>
      </c>
      <c r="AK66" s="193" t="str">
        <f t="shared" si="72"/>
        <v/>
      </c>
      <c r="AL66" s="193" t="str">
        <f t="shared" si="72"/>
        <v/>
      </c>
      <c r="AM66" s="193" t="str">
        <f t="shared" si="72"/>
        <v/>
      </c>
      <c r="AN66" s="189" t="str">
        <f t="shared" si="72"/>
        <v/>
      </c>
      <c r="AO66" s="162" t="str">
        <f t="shared" si="72"/>
        <v/>
      </c>
      <c r="AP66" s="163" t="str">
        <f t="shared" si="72"/>
        <v/>
      </c>
      <c r="AQ66" s="163" t="str">
        <f t="shared" si="72"/>
        <v/>
      </c>
      <c r="AR66" s="163" t="str">
        <f t="shared" si="72"/>
        <v/>
      </c>
      <c r="AS66" s="163" t="str">
        <f t="shared" si="72"/>
        <v/>
      </c>
      <c r="AT66" s="163" t="str">
        <f t="shared" si="72"/>
        <v/>
      </c>
      <c r="AU66" s="194" t="str">
        <f t="shared" si="72"/>
        <v/>
      </c>
      <c r="AV66" s="165" t="str">
        <f t="shared" si="72"/>
        <v/>
      </c>
    </row>
    <row r="67" spans="1:48" x14ac:dyDescent="0.25">
      <c r="A67" s="133" t="str">
        <f t="shared" ref="A67" si="73">+IF(C67+C68=0,"[ocultar]","")</f>
        <v>[ocultar]</v>
      </c>
      <c r="B67" s="202" t="s">
        <v>394</v>
      </c>
      <c r="C67" s="203">
        <f t="array" ref="C67">SUM(IF($B67=DATOS_[Sexo],
IF($B66=DATOS_[AGRUP. VALOR. PTO.],
IF("Dentro"=DATOS_[Check Periodo Ref.],
1/(COUNTIFS(DATOS_[Sexo],$B67,DATOS_[AGRUP. VALOR. PTO.],$B66,DATOS_[Check Periodo Ref.],"Dentro",DATOS_[id/cod],DATOS_[id/cod]))))))</f>
        <v>0</v>
      </c>
      <c r="D67" s="204">
        <f>COUNTIFS(DATOS_[AGRUP. VALOR. PTO.],$B66,DATOS_[Sexo],$B67,DATOS_[Check Periodo Ref.],"Dentro")</f>
        <v>0</v>
      </c>
      <c r="E67" s="204">
        <f>COUNTIFS(DATOS_[AGRUP. VALOR. PTO.],$B66,DATOS_[Sexo],$B67,DATOS_[Check Periodo Ref.],"Dentro",DATOS_[Check Nº SC Norm],"Sí")</f>
        <v>0</v>
      </c>
      <c r="F67" s="204">
        <f>COUNTIFS(DATOS_[AGRUP. VALOR. PTO.],$B66,DATOS_[Sexo],$B67,DATOS_[Check Periodo Ref.],"Dentro",DATOS_[Check Nº SC Anualiz],"Sí")</f>
        <v>0</v>
      </c>
      <c r="G67" s="204">
        <f>COUNTIFS(DATOS_[AGRUP. VALOR. PTO.],$B66,DATOS_[Sexo],$B67,DATOS_[Check Periodo Ref.],"Dentro",DATOS_[Check Nº SC Norm y Anualiz],"Sí")</f>
        <v>0</v>
      </c>
      <c r="H67" s="204">
        <f>COUNTIFS(DATOS_[AGRUP. VALOR. PTO.],$B66,DATOS_[Sexo],$B67,DATOS_[Check Periodo Ref.],"Dentro",DATOS_[Check Equiparación],"Sí")</f>
        <v>0</v>
      </c>
      <c r="I67" s="195">
        <f t="array" ref="I67">IFERROR(
MEDIAN(IF(DATOS_[Sexo]=$B67,IF(DATOS_[[AGRUP. VALOR. PTO.]:[AGRUP. VALOR. PTO.]]=$B66,IF(DATOS_[Check Equiparado]="Sí",IF(DATOS_[Check Periodo Ref.]="Dentro",DATOS_[SALARIO BASE Eq],FALSE))))),
0)</f>
        <v>0</v>
      </c>
      <c r="J67" s="196">
        <f t="array" ref="J67">IFERROR(
(MEDIAN((IF(DATOS_[[Sexo]:[Sexo]]=$B67,IF(DATOS_[[AGRUP. VALOR. PTO.]:[AGRUP. VALOR. PTO.]]=$B66,IF(DATOS_[[Check Periodo Ref.]:[Check Periodo Ref.]]="Dentro",IF(DATOS_[[Check Equiparado]:[Check Equiparado]]="Sí",IF(DATOS!AE$5="Sí",(1/DATOS_[[% anualiz]:[% anualiz]]),1)*IF(DATOS!AE$4="Sí",1/DATOS_[[% normaliz]:[% normaliz]],1)*(DATOS_[Conc.Sal.01])))))))),
0)</f>
        <v>0</v>
      </c>
      <c r="K67" s="196">
        <f t="array" ref="K67">IFERROR(
(MEDIAN((IF(DATOS_[[Sexo]:[Sexo]]=$B67,IF(DATOS_[[AGRUP. VALOR. PTO.]:[AGRUP. VALOR. PTO.]]=$B66,IF(DATOS_[[Check Periodo Ref.]:[Check Periodo Ref.]]="Dentro",IF(DATOS_[[Check Equiparado]:[Check Equiparado]]="Sí",IF(DATOS!AF$5="Sí",(1/DATOS_[[% anualiz]:[% anualiz]]),1)*IF(DATOS!AF$4="Sí",1/DATOS_[[% normaliz]:[% normaliz]],1)*(DATOS_[Conc.Sal.02])))))))),
0)</f>
        <v>0</v>
      </c>
      <c r="L67" s="196">
        <f t="array" ref="L67">IFERROR(
(MEDIAN((IF(DATOS_[[Sexo]:[Sexo]]=$B67,IF(DATOS_[[AGRUP. VALOR. PTO.]:[AGRUP. VALOR. PTO.]]=$B66,IF(DATOS_[[Check Periodo Ref.]:[Check Periodo Ref.]]="Dentro",IF(DATOS_[[Check Equiparado]:[Check Equiparado]]="Sí",IF(DATOS!AG$5="Sí",(1/DATOS_[[% anualiz]:[% anualiz]]),1)*IF(DATOS!AG$4="Sí",1/DATOS_[[% normaliz]:[% normaliz]],1)*(DATOS_[Conc.Sal.03])))))))),
0)</f>
        <v>0</v>
      </c>
      <c r="M67" s="196">
        <f t="array" ref="M67">IFERROR(
(MEDIAN((IF(DATOS_[[Sexo]:[Sexo]]=$B67,IF(DATOS_[[AGRUP. VALOR. PTO.]:[AGRUP. VALOR. PTO.]]=$B66,IF(DATOS_[[Check Periodo Ref.]:[Check Periodo Ref.]]="Dentro",IF(DATOS_[[Check Equiparado]:[Check Equiparado]]="Sí",IF(DATOS!AH$5="Sí",(1/DATOS_[[% anualiz]:[% anualiz]]),1)*IF(DATOS!AH$4="Sí",1/DATOS_[[% normaliz]:[% normaliz]],1)*(DATOS_[Conc.Sal.04])))))))),
0)</f>
        <v>0</v>
      </c>
      <c r="N67" s="196">
        <f t="array" ref="N67">IFERROR(
(MEDIAN((IF(DATOS_[[Sexo]:[Sexo]]=$B67,IF(DATOS_[[AGRUP. VALOR. PTO.]:[AGRUP. VALOR. PTO.]]=$B66,IF(DATOS_[[Check Periodo Ref.]:[Check Periodo Ref.]]="Dentro",IF(DATOS_[[Check Equiparado]:[Check Equiparado]]="Sí",IF(DATOS!AI$5="Sí",(1/DATOS_[[% anualiz]:[% anualiz]]),1)*IF(DATOS!AI$4="Sí",1/DATOS_[[% normaliz]:[% normaliz]],1)*(DATOS_[Conc.Sal.05])))))))),
0)</f>
        <v>0</v>
      </c>
      <c r="O67" s="196">
        <f t="array" ref="O67">IFERROR(
(MEDIAN((IF(DATOS_[[Sexo]:[Sexo]]=$B67,IF(DATOS_[[AGRUP. VALOR. PTO.]:[AGRUP. VALOR. PTO.]]=$B66,IF(DATOS_[[Check Periodo Ref.]:[Check Periodo Ref.]]="Dentro",IF(DATOS_[[Check Equiparado]:[Check Equiparado]]="Sí",IF(DATOS!AJ$5="Sí",(1/DATOS_[[% anualiz]:[% anualiz]]),1)*IF(DATOS!AJ$4="Sí",1/DATOS_[[% normaliz]:[% normaliz]],1)*(DATOS_[Conc.Sal.06])))))))),
0)</f>
        <v>0</v>
      </c>
      <c r="P67" s="196">
        <f t="array" ref="P67">IFERROR(
(MEDIAN((IF(DATOS_[[Sexo]:[Sexo]]=$B67,IF(DATOS_[[AGRUP. VALOR. PTO.]:[AGRUP. VALOR. PTO.]]=$B66,IF(DATOS_[[Check Periodo Ref.]:[Check Periodo Ref.]]="Dentro",IF(DATOS_[[Check Equiparado]:[Check Equiparado]]="Sí",IF(DATOS!AK$5="Sí",(1/DATOS_[[% anualiz]:[% anualiz]]),1)*IF(DATOS!AK$4="Sí",1/DATOS_[[% normaliz]:[% normaliz]],1)*(DATOS_[Conc.Sal.07])))))))),
0)</f>
        <v>0</v>
      </c>
      <c r="Q67" s="196">
        <f t="array" ref="Q67">IFERROR(
(MEDIAN((IF(DATOS_[[Sexo]:[Sexo]]=$B67,IF(DATOS_[[AGRUP. VALOR. PTO.]:[AGRUP. VALOR. PTO.]]=$B66,IF(DATOS_[[Check Periodo Ref.]:[Check Periodo Ref.]]="Dentro",IF(DATOS_[[Check Equiparado]:[Check Equiparado]]="Sí",IF(DATOS!AL$5="Sí",(1/DATOS_[[% anualiz]:[% anualiz]]),1)*IF(DATOS!AL$4="Sí",1/DATOS_[[% normaliz]:[% normaliz]],1)*(DATOS_[Conc.Sal.08])))))))),
0)</f>
        <v>0</v>
      </c>
      <c r="R67" s="196">
        <f t="array" ref="R67">IFERROR(
(MEDIAN((IF(DATOS_[[Sexo]:[Sexo]]=$B67,IF(DATOS_[[AGRUP. VALOR. PTO.]:[AGRUP. VALOR. PTO.]]=$B66,IF(DATOS_[[Check Periodo Ref.]:[Check Periodo Ref.]]="Dentro",IF(DATOS_[[Check Equiparado]:[Check Equiparado]]="Sí",IF(DATOS!AM$5="Sí",(1/DATOS_[[% anualiz]:[% anualiz]]),1)*IF(DATOS!AM$4="Sí",1/DATOS_[[% normaliz]:[% normaliz]],1)*(DATOS_[Conc.Sal.09])))))))),
0)</f>
        <v>0</v>
      </c>
      <c r="S67" s="196">
        <f t="array" ref="S67">IFERROR(
(MEDIAN((IF(DATOS_[[Sexo]:[Sexo]]=$B67,IF(DATOS_[[AGRUP. VALOR. PTO.]:[AGRUP. VALOR. PTO.]]=$B66,IF(DATOS_[[Check Periodo Ref.]:[Check Periodo Ref.]]="Dentro",IF(DATOS_[[Check Equiparado]:[Check Equiparado]]="Sí",IF(DATOS!AN$5="Sí",(1/DATOS_[[% anualiz]:[% anualiz]]),1)*IF(DATOS!AN$4="Sí",1/DATOS_[[% normaliz]:[% normaliz]],1)*(DATOS_[Conc.Sal.10])))))))),
0)</f>
        <v>0</v>
      </c>
      <c r="T67" s="196">
        <f t="array" ref="T67">IFERROR(
(MEDIAN((IF(DATOS_[[Sexo]:[Sexo]]=$B67,IF(DATOS_[[AGRUP. VALOR. PTO.]:[AGRUP. VALOR. PTO.]]=$B66,IF(DATOS_[[Check Periodo Ref.]:[Check Periodo Ref.]]="Dentro",IF(DATOS_[[Check Equiparado]:[Check Equiparado]]="Sí",IF(DATOS!AO$5="Sí",(1/DATOS_[[% anualiz]:[% anualiz]]),1)*IF(DATOS!AO$4="Sí",1/DATOS_[[% normaliz]:[% normaliz]],1)*(DATOS_[Conc.Sal.11])))))))),
0)</f>
        <v>0</v>
      </c>
      <c r="U67" s="196">
        <f t="array" ref="U67">IFERROR(
(MEDIAN((IF(DATOS_[[Sexo]:[Sexo]]=$B67,IF(DATOS_[[AGRUP. VALOR. PTO.]:[AGRUP. VALOR. PTO.]]=$B66,IF(DATOS_[[Check Periodo Ref.]:[Check Periodo Ref.]]="Dentro",IF(DATOS_[[Check Equiparado]:[Check Equiparado]]="Sí",IF(DATOS!AP$5="Sí",(1/DATOS_[[% anualiz]:[% anualiz]]),1)*IF(DATOS!AP$4="Sí",1/DATOS_[[% normaliz]:[% normaliz]],1)*(DATOS_[Conc.Sal.12])))))))),
0)</f>
        <v>0</v>
      </c>
      <c r="V67" s="196">
        <f t="array" ref="V67">IFERROR(
(MEDIAN((IF(DATOS_[[Sexo]:[Sexo]]=$B67,IF(DATOS_[[AGRUP. VALOR. PTO.]:[AGRUP. VALOR. PTO.]]=$B66,IF(DATOS_[[Check Periodo Ref.]:[Check Periodo Ref.]]="Dentro",IF(DATOS_[[Check Equiparado]:[Check Equiparado]]="Sí",IF(DATOS!AQ$5="Sí",(1/DATOS_[[% anualiz]:[% anualiz]]),1)*IF(DATOS!AQ$4="Sí",1/DATOS_[[% normaliz]:[% normaliz]],1)*(DATOS_[Conc.Sal.13])))))))),
0)</f>
        <v>0</v>
      </c>
      <c r="W67" s="196">
        <f t="array" ref="W67">IFERROR(
(MEDIAN((IF(DATOS_[[Sexo]:[Sexo]]=$B67,IF(DATOS_[[AGRUP. VALOR. PTO.]:[AGRUP. VALOR. PTO.]]=$B66,IF(DATOS_[[Check Periodo Ref.]:[Check Periodo Ref.]]="Dentro",IF(DATOS_[[Check Equiparado]:[Check Equiparado]]="Sí",IF(DATOS!AR$5="Sí",(1/DATOS_[[% anualiz]:[% anualiz]]),1)*IF(DATOS!AR$4="Sí",1/DATOS_[[% normaliz]:[% normaliz]],1)*(DATOS_[Conc.Sal.14])))))))),
0)</f>
        <v>0</v>
      </c>
      <c r="X67" s="196">
        <f t="array" ref="X67">IFERROR(
(MEDIAN((IF(DATOS_[[Sexo]:[Sexo]]=$B67,IF(DATOS_[[AGRUP. VALOR. PTO.]:[AGRUP. VALOR. PTO.]]=$B66,IF(DATOS_[[Check Periodo Ref.]:[Check Periodo Ref.]]="Dentro",IF(DATOS_[[Check Equiparado]:[Check Equiparado]]="Sí",IF(DATOS!AS$5="Sí",(1/DATOS_[[% anualiz]:[% anualiz]]),1)*IF(DATOS!AS$4="Sí",1/DATOS_[[% normaliz]:[% normaliz]],1)*(DATOS_[Conc.Sal.15])))))))),
0)</f>
        <v>0</v>
      </c>
      <c r="Y67" s="196">
        <f t="array" ref="Y67">IFERROR(
(MEDIAN((IF(DATOS_[[Sexo]:[Sexo]]=$B67,IF(DATOS_[[AGRUP. VALOR. PTO.]:[AGRUP. VALOR. PTO.]]=$B66,IF(DATOS_[[Check Periodo Ref.]:[Check Periodo Ref.]]="Dentro",IF(DATOS_[[Check Equiparado]:[Check Equiparado]]="Sí",IF(DATOS!AT$5="Sí",(1/DATOS_[[% anualiz]:[% anualiz]]),1)*IF(DATOS!AT$4="Sí",1/DATOS_[[% normaliz]:[% normaliz]],1)*(DATOS_[Conc.Sal.16])))))))),
0)</f>
        <v>0</v>
      </c>
      <c r="Z67" s="196">
        <f t="array" ref="Z67">IFERROR(
(MEDIAN((IF(DATOS_[[Sexo]:[Sexo]]=$B67,IF(DATOS_[[AGRUP. VALOR. PTO.]:[AGRUP. VALOR. PTO.]]=$B66,IF(DATOS_[[Check Periodo Ref.]:[Check Periodo Ref.]]="Dentro",IF(DATOS_[[Check Equiparado]:[Check Equiparado]]="Sí",IF(DATOS!AU$5="Sí",(1/DATOS_[[% anualiz]:[% anualiz]]),1)*IF(DATOS!AU$4="Sí",1/DATOS_[[% normaliz]:[% normaliz]],1)*(DATOS_[Conc.Sal.17])))))))),
0)</f>
        <v>0</v>
      </c>
      <c r="AA67" s="196">
        <f t="array" ref="AA67">IFERROR(
(MEDIAN((IF(DATOS_[[Sexo]:[Sexo]]=$B67,IF(DATOS_[[AGRUP. VALOR. PTO.]:[AGRUP. VALOR. PTO.]]=$B66,IF(DATOS_[[Check Periodo Ref.]:[Check Periodo Ref.]]="Dentro",IF(DATOS_[[Check Equiparado]:[Check Equiparado]]="Sí",IF(DATOS!AV$5="Sí",(1/DATOS_[[% anualiz]:[% anualiz]]),1)*IF(DATOS!AV$4="Sí",1/DATOS_[[% normaliz]:[% normaliz]],1)*(DATOS_[Conc.Sal.18])))))))),
0)</f>
        <v>0</v>
      </c>
      <c r="AB67" s="196">
        <f t="array" ref="AB67">IFERROR(
(MEDIAN((IF(DATOS_[[Sexo]:[Sexo]]=$B67,IF(DATOS_[[AGRUP. VALOR. PTO.]:[AGRUP. VALOR. PTO.]]=$B66,IF(DATOS_[[Check Periodo Ref.]:[Check Periodo Ref.]]="Dentro",IF(DATOS_[[Check Equiparado]:[Check Equiparado]]="Sí",IF(DATOS!AW$5="Sí",(1/DATOS_[[% anualiz]:[% anualiz]]),1)*IF(DATOS!AW$4="Sí",1/DATOS_[[% normaliz]:[% normaliz]],1)*(DATOS_[Conc.Sal.19])))))))),
0)</f>
        <v>0</v>
      </c>
      <c r="AC67" s="196">
        <f t="array" ref="AC67">IFERROR(
(MEDIAN((IF(DATOS_[[Sexo]:[Sexo]]=$B67,IF(DATOS_[[AGRUP. VALOR. PTO.]:[AGRUP. VALOR. PTO.]]=$B66,IF(DATOS_[[Check Periodo Ref.]:[Check Periodo Ref.]]="Dentro",IF(DATOS_[[Check Equiparado]:[Check Equiparado]]="Sí",IF(DATOS!AX$5="Sí",(1/DATOS_[[% anualiz]:[% anualiz]]),1)*IF(DATOS!AX$4="Sí",1/DATOS_[[% normaliz]:[% normaliz]],1)*(DATOS_[Conc.Sal.20])))))))),
0)</f>
        <v>0</v>
      </c>
      <c r="AD67" s="196">
        <f t="array" ref="AD67">IFERROR(
(MEDIAN((IF(DATOS_[[Sexo]:[Sexo]]=$B67,IF(DATOS_[[AGRUP. VALOR. PTO.]:[AGRUP. VALOR. PTO.]]=$B66,IF(DATOS_[[Check Periodo Ref.]:[Check Periodo Ref.]]="Dentro",IF(DATOS_[[Check Equiparado]:[Check Equiparado]]="Sí",IF(DATOS!AY$5="Sí",(1/DATOS_[[% anualiz]:[% anualiz]]),1)*IF(DATOS!AY$4="Sí",1/DATOS_[[% normaliz]:[% normaliz]],1)*(DATOS_[Conc.Sal.21])))))))),
0)</f>
        <v>0</v>
      </c>
      <c r="AE67" s="196">
        <f t="array" ref="AE67">IFERROR(
(MEDIAN((IF(DATOS_[[Sexo]:[Sexo]]=$B67,IF(DATOS_[[AGRUP. VALOR. PTO.]:[AGRUP. VALOR. PTO.]]=$B66,IF(DATOS_[[Check Periodo Ref.]:[Check Periodo Ref.]]="Dentro",IF(DATOS_[[Check Equiparado]:[Check Equiparado]]="Sí",IF(DATOS!AZ$5="Sí",(1/DATOS_[[% anualiz]:[% anualiz]]),1)*IF(DATOS!AZ$4="Sí",1/DATOS_[[% normaliz]:[% normaliz]],1)*(DATOS_[Conc.Sal.22])))))))),
0)</f>
        <v>0</v>
      </c>
      <c r="AF67" s="196">
        <f t="array" ref="AF67">IFERROR(
(MEDIAN((IF(DATOS_[[Sexo]:[Sexo]]=$B67,IF(DATOS_[[AGRUP. VALOR. PTO.]:[AGRUP. VALOR. PTO.]]=$B66,IF(DATOS_[[Check Periodo Ref.]:[Check Periodo Ref.]]="Dentro",IF(DATOS_[[Check Equiparado]:[Check Equiparado]]="Sí",IF(DATOS!BA$5="Sí",(1/DATOS_[[% anualiz]:[% anualiz]]),1)*IF(DATOS!BA$4="Sí",1/DATOS_[[% normaliz]:[% normaliz]],1)*(DATOS_[Conc.Sal.23])))))))),
0)</f>
        <v>0</v>
      </c>
      <c r="AG67" s="196">
        <f t="array" ref="AG67">IFERROR(
(MEDIAN((IF(DATOS_[[Sexo]:[Sexo]]=$B67,IF(DATOS_[[AGRUP. VALOR. PTO.]:[AGRUP. VALOR. PTO.]]=$B66,IF(DATOS_[[Check Periodo Ref.]:[Check Periodo Ref.]]="Dentro",IF(DATOS_[[Check Equiparado]:[Check Equiparado]]="Sí",IF(DATOS!BB$5="Sí",(1/DATOS_[[% anualiz]:[% anualiz]]),1)*IF(DATOS!BB$4="Sí",1/DATOS_[[% normaliz]:[% normaliz]],1)*(DATOS_[Conc.Sal.24])))))))),
0)</f>
        <v>0</v>
      </c>
      <c r="AH67" s="196">
        <f t="array" ref="AH67">IFERROR(
(MEDIAN((IF(DATOS_[[Sexo]:[Sexo]]=$B67,IF(DATOS_[[AGRUP. VALOR. PTO.]:[AGRUP. VALOR. PTO.]]=$B66,IF(DATOS_[[Check Periodo Ref.]:[Check Periodo Ref.]]="Dentro",IF(DATOS_[[Check Equiparado]:[Check Equiparado]]="Sí",IF(DATOS!BC$5="Sí",(1/DATOS_[[% anualiz]:[% anualiz]]),1)*IF(DATOS!BC$4="Sí",1/DATOS_[[% normaliz]:[% normaliz]],1)*(DATOS_[Conc.Sal.25])))))))),
0)</f>
        <v>0</v>
      </c>
      <c r="AI67" s="196">
        <f t="array" ref="AI67">IFERROR(
(MEDIAN((IF(DATOS_[[Sexo]:[Sexo]]=$B67,IF(DATOS_[[AGRUP. VALOR. PTO.]:[AGRUP. VALOR. PTO.]]=$B66,IF(DATOS_[[Check Periodo Ref.]:[Check Periodo Ref.]]="Dentro",IF(DATOS_[[Check Equiparado]:[Check Equiparado]]="Sí",IF(DATOS!BD$5="Sí",(1/DATOS_[[% anualiz]:[% anualiz]]),1)*IF(DATOS!BD$4="Sí",1/DATOS_[[% normaliz]:[% normaliz]],1)*(DATOS_[Conc.Sal.26])))))))),
0)</f>
        <v>0</v>
      </c>
      <c r="AJ67" s="196">
        <f t="array" ref="AJ67">IFERROR(
(MEDIAN((IF(DATOS_[[Sexo]:[Sexo]]=$B67,IF(DATOS_[[AGRUP. VALOR. PTO.]:[AGRUP. VALOR. PTO.]]=$B66,IF(DATOS_[[Check Periodo Ref.]:[Check Periodo Ref.]]="Dentro",IF(DATOS_[[Check Equiparado]:[Check Equiparado]]="Sí",IF(DATOS!BE$5="Sí",(1/DATOS_[[% anualiz]:[% anualiz]]),1)*IF(DATOS!BE$4="Sí",1/DATOS_[[% normaliz]:[% normaliz]],1)*(DATOS_[Conc.Sal.27])))))))),
0)</f>
        <v>0</v>
      </c>
      <c r="AK67" s="196">
        <f t="array" ref="AK67">IFERROR(
(MEDIAN((IF(DATOS_[[Sexo]:[Sexo]]=$B67,IF(DATOS_[[AGRUP. VALOR. PTO.]:[AGRUP. VALOR. PTO.]]=$B66,IF(DATOS_[[Check Periodo Ref.]:[Check Periodo Ref.]]="Dentro",IF(DATOS_[[Check Equiparado]:[Check Equiparado]]="Sí",IF(DATOS!BF$5="Sí",(1/DATOS_[[% anualiz]:[% anualiz]]),1)*IF(DATOS!BF$4="Sí",1/DATOS_[[% normaliz]:[% normaliz]],1)*(DATOS_[Conc.Sal.28])))))))),
0)</f>
        <v>0</v>
      </c>
      <c r="AL67" s="196">
        <f t="array" ref="AL67">IFERROR(
(MEDIAN((IF(DATOS_[[Sexo]:[Sexo]]=$B67,IF(DATOS_[[AGRUP. VALOR. PTO.]:[AGRUP. VALOR. PTO.]]=$B66,IF(DATOS_[[Check Periodo Ref.]:[Check Periodo Ref.]]="Dentro",IF(DATOS_[[Check Equiparado]:[Check Equiparado]]="Sí",IF(DATOS!BG$5="Sí",(1/DATOS_[[% anualiz]:[% anualiz]]),1)*IF(DATOS!BG$4="Sí",1/DATOS_[[% normaliz]:[% normaliz]],1)*(DATOS_[Conc.Sal.29])))))))),
0)</f>
        <v>0</v>
      </c>
      <c r="AM67" s="196">
        <f t="array" ref="AM67">IFERROR(
(MEDIAN((IF(DATOS_[[Sexo]:[Sexo]]=$B67,IF(DATOS_[[AGRUP. VALOR. PTO.]:[AGRUP. VALOR. PTO.]]=$B66,IF(DATOS_[[Check Periodo Ref.]:[Check Periodo Ref.]]="Dentro",IF(DATOS_[[Check Equiparado]:[Check Equiparado]]="Sí",IF(DATOS!BH$5="Sí",(1/DATOS_[[% anualiz]:[% anualiz]]),1)*IF(DATOS!BH$4="Sí",1/DATOS_[[% normaliz]:[% normaliz]],1)*(DATOS_[Conc.Sal.30])))))))),
0)</f>
        <v>0</v>
      </c>
      <c r="AN67" s="195">
        <f t="array" ref="AN67">IFERROR(
MEDIAN(IF(DATOS_[Sexo]=$B67,IF(DATOS_[[AGRUP. VALOR. PTO.]:[AGRUP. VALOR. PTO.]]=$B66,IF(DATOS_[Check Equiparado]="Sí",IF(DATOS_[Check Periodo Ref.]="Dentro",DATOS_[Tot COMPL.SAL Eq],FALSE))))),
0)</f>
        <v>0</v>
      </c>
      <c r="AO67" s="172">
        <f t="array" ref="AO67">IFERROR(
MEDIAN(IF(DATOS_[Sexo]=$B67,IF(DATOS_[[AGRUP. VALOR. PTO.]:[AGRUP. VALOR. PTO.]]=$B66,IF(DATOS_[Check Equiparado]="Sí",IF(DATOS_[Check Periodo Ref.]="Dentro",DATOS_[TOTAL SALARIO Eq],FALSE))))),
0)</f>
        <v>0</v>
      </c>
      <c r="AP67" s="173">
        <f t="array" ref="AP67">IFERROR(
(MEDIAN((IF(DATOS_[[Sexo]:[Sexo]]=$B67,IF(DATOS_[[AGRUP. VALOR. PTO.]:[AGRUP. VALOR. PTO.]]=$B66,IF(DATOS_[[Check Periodo Ref.]:[Check Periodo Ref.]]="Dentro",IF(DATOS_[[Check Equiparado]:[Check Equiparado]]="Sí",IF(DATOS!BW$5="Sí",(1/DATOS_[[% anualiz]:[% anualiz]]),1)*IF(DATOS!BW$4="Sí",1/DATOS_[[% normaliz]:[% normaliz]],1)*(DATOS_[C.Extra.01])))))))),
0)</f>
        <v>0</v>
      </c>
      <c r="AQ67" s="173">
        <f t="array" ref="AQ67">IFERROR(
(MEDIAN((IF(DATOS_[[Sexo]:[Sexo]]=$B67,IF(DATOS_[[AGRUP. VALOR. PTO.]:[AGRUP. VALOR. PTO.]]=$B66,IF(DATOS_[[Check Periodo Ref.]:[Check Periodo Ref.]]="Dentro",IF(DATOS_[[Check Equiparado]:[Check Equiparado]]="Sí",IF(DATOS!CB$5="Sí",(1/DATOS_[[% anualiz]:[% anualiz]]),1)*IF(DATOS!CB$4="Sí",1/DATOS_[[% normaliz]:[% normaliz]],1)*(DATOS_[C.Extra.06])))))))),
0)</f>
        <v>0</v>
      </c>
      <c r="AR67" s="173">
        <f t="array" ref="AR67">IFERROR(
(MEDIAN((IF(DATOS_[[Sexo]:[Sexo]]=$B67,IF(DATOS_[[AGRUP. VALOR. PTO.]:[AGRUP. VALOR. PTO.]]=$B66,IF(DATOS_[[Check Periodo Ref.]:[Check Periodo Ref.]]="Dentro",IF(DATOS_[[Check Equiparado]:[Check Equiparado]]="Sí",IF(DATOS!CC$5="Sí",(1/DATOS_[[% anualiz]:[% anualiz]]),1)*IF(DATOS!CC$4="Sí",1/DATOS_[[% normaliz]:[% normaliz]],1)*(DATOS_[C.Extra.07])))))))),
0)</f>
        <v>0</v>
      </c>
      <c r="AS67" s="173">
        <f t="array" ref="AS67">IFERROR(
(MEDIAN((IF(DATOS_[[Sexo]:[Sexo]]=$B67,IF(DATOS_[[AGRUP. VALOR. PTO.]:[AGRUP. VALOR. PTO.]]=$B66,IF(DATOS_[[Check Periodo Ref.]:[Check Periodo Ref.]]="Dentro",IF(DATOS_[[Check Equiparado]:[Check Equiparado]]="Sí",IF(DATOS!CD$5="Sí",(1/DATOS_[[% anualiz]:[% anualiz]]),1)*IF(DATOS!CD$4="Sí",1/DATOS_[[% normaliz]:[% normaliz]],1)*(DATOS_[C.Extra.08])))))))),
0)</f>
        <v>0</v>
      </c>
      <c r="AT67" s="173">
        <f t="array" ref="AT67">IFERROR(
(MEDIAN((IF(DATOS_[[Sexo]:[Sexo]]=$B67,IF(DATOS_[[AGRUP. VALOR. PTO.]:[AGRUP. VALOR. PTO.]]=$B66,IF(DATOS_[[Check Periodo Ref.]:[Check Periodo Ref.]]="Dentro",IF(DATOS_[[Check Equiparado]:[Check Equiparado]]="Sí",IF(DATOS!CG$5="Sí",(1/DATOS_[[% anualiz]:[% anualiz]]),1)*IF(DATOS!CG$4="Sí",1/DATOS_[[% normaliz]:[% normaliz]],1)*(DATOS_[C.Extra.11])))))))),
0)</f>
        <v>0</v>
      </c>
      <c r="AU67" s="197">
        <f t="array" ref="AU67">IFERROR(
MEDIAN(IF(DATOS_[Sexo]=$B67,IF(DATOS_[[AGRUP. VALOR. PTO.]:[AGRUP. VALOR. PTO.]]=$B66,IF(DATOS_[Check Equiparado]="Sí",IF(DATOS_[Check Periodo Ref.]="Dentro",DATOS_[Tot Extrasalarial Eq],FALSE))))),
0)</f>
        <v>0</v>
      </c>
      <c r="AV67" s="175">
        <f t="array" ref="AV67">IFERROR(
MEDIAN(IF(DATOS_[Sexo]=$B67,IF(DATOS_[[AGRUP. VALOR. PTO.]:[AGRUP. VALOR. PTO.]]=$B66,IF(DATOS_[Check Equiparado]="Sí",IF(DATOS_[Check Periodo Ref.]="Dentro",DATOS_[TOTAL Retrib Eq],FALSE))))),
0)</f>
        <v>0</v>
      </c>
    </row>
    <row r="68" spans="1:48" x14ac:dyDescent="0.25">
      <c r="A68" s="133" t="str">
        <f t="shared" ref="A68" si="74">+A67</f>
        <v>[ocultar]</v>
      </c>
      <c r="B68" s="202" t="s">
        <v>521</v>
      </c>
      <c r="C68" s="203">
        <f t="array" ref="C68">SUM(IF($B68=DATOS_[Sexo],
IF($B66=DATOS_[AGRUP. VALOR. PTO.],
IF("Dentro"=DATOS_[Check Periodo Ref.],
1/(COUNTIFS(DATOS_[Sexo],$B68,DATOS_[AGRUP. VALOR. PTO.],$B66,DATOS_[Check Periodo Ref.],"Dentro",DATOS_[id/cod],DATOS_[id/cod]))))))</f>
        <v>0</v>
      </c>
      <c r="D68" s="204">
        <f>COUNTIFS(DATOS_[AGRUP. VALOR. PTO.],$B66,DATOS_[Sexo],$B68,DATOS_[Check Periodo Ref.],"Dentro")</f>
        <v>0</v>
      </c>
      <c r="E68" s="204">
        <f>COUNTIFS(DATOS_[AGRUP. VALOR. PTO.],$B66,DATOS_[Sexo],$B68,DATOS_[Check Periodo Ref.],"Dentro",DATOS_[Check Nº SC Norm],"Sí")</f>
        <v>0</v>
      </c>
      <c r="F68" s="204">
        <f>COUNTIFS(DATOS_[AGRUP. VALOR. PTO.],$B66,DATOS_[Sexo],$B68,DATOS_[Check Periodo Ref.],"Dentro",DATOS_[Check Nº SC Anualiz],"Sí")</f>
        <v>0</v>
      </c>
      <c r="G68" s="204">
        <f>COUNTIFS(DATOS_[AGRUP. VALOR. PTO.],$B66,DATOS_[Sexo],$B68,DATOS_[Check Periodo Ref.],"Dentro",DATOS_[Check Nº SC Norm y Anualiz],"Sí")</f>
        <v>0</v>
      </c>
      <c r="H68" s="204">
        <f>COUNTIFS(DATOS_[AGRUP. VALOR. PTO.],$B66,DATOS_[Sexo],$B68,DATOS_[Check Periodo Ref.],"Dentro",DATOS_[Check Equiparación],"Sí")</f>
        <v>0</v>
      </c>
      <c r="I68" s="195" cm="1">
        <f t="array" ref="I68">IFERROR(
MEDIAN(IF(DATOS_[Sexo]=$B68,IF(DATOS_[[AGRUP. VALOR. PTO.]:[AGRUP. VALOR. PTO.]]=$B66,IF(DATOS_[Check Equiparado]="Sí",IF(DATOS_[Check Periodo Ref.]="Dentro",DATOS_[SALARIO BASE Eq],FALSE))))),
0)</f>
        <v>0</v>
      </c>
      <c r="J68" s="196">
        <f t="array" ref="J68">IFERROR(
(MEDIAN((IF(DATOS_[[Sexo]:[Sexo]]=$B68,IF(DATOS_[[AGRUP. VALOR. PTO.]:[AGRUP. VALOR. PTO.]]=$B66,IF(DATOS_[[Check Periodo Ref.]:[Check Periodo Ref.]]="Dentro",IF(DATOS_[[Check Equiparado]:[Check Equiparado]]="Sí",IF(DATOS!AE$5="Sí",(1/DATOS_[[% anualiz]:[% anualiz]]),1)*IF(DATOS!AE$4="Sí",1/DATOS_[[% normaliz]:[% normaliz]],1)*(DATOS_[Conc.Sal.01])))))))),
0)</f>
        <v>0</v>
      </c>
      <c r="K68" s="196">
        <f t="array" ref="K68">IFERROR(
(MEDIAN((IF(DATOS_[[Sexo]:[Sexo]]=$B68,IF(DATOS_[[AGRUP. VALOR. PTO.]:[AGRUP. VALOR. PTO.]]=$B66,IF(DATOS_[[Check Periodo Ref.]:[Check Periodo Ref.]]="Dentro",IF(DATOS_[[Check Equiparado]:[Check Equiparado]]="Sí",IF(DATOS!AF$5="Sí",(1/DATOS_[[% anualiz]:[% anualiz]]),1)*IF(DATOS!AF$4="Sí",1/DATOS_[[% normaliz]:[% normaliz]],1)*(DATOS_[Conc.Sal.02])))))))),
0)</f>
        <v>0</v>
      </c>
      <c r="L68" s="196">
        <f t="array" ref="L68">IFERROR(
(MEDIAN((IF(DATOS_[[Sexo]:[Sexo]]=$B68,IF(DATOS_[[AGRUP. VALOR. PTO.]:[AGRUP. VALOR. PTO.]]=$B66,IF(DATOS_[[Check Periodo Ref.]:[Check Periodo Ref.]]="Dentro",IF(DATOS_[[Check Equiparado]:[Check Equiparado]]="Sí",IF(DATOS!AG$5="Sí",(1/DATOS_[[% anualiz]:[% anualiz]]),1)*IF(DATOS!AG$4="Sí",1/DATOS_[[% normaliz]:[% normaliz]],1)*(DATOS_[Conc.Sal.03])))))))),
0)</f>
        <v>0</v>
      </c>
      <c r="M68" s="196">
        <f t="array" ref="M68">IFERROR(
(MEDIAN((IF(DATOS_[[Sexo]:[Sexo]]=$B68,IF(DATOS_[[AGRUP. VALOR. PTO.]:[AGRUP. VALOR. PTO.]]=$B66,IF(DATOS_[[Check Periodo Ref.]:[Check Periodo Ref.]]="Dentro",IF(DATOS_[[Check Equiparado]:[Check Equiparado]]="Sí",IF(DATOS!AH$5="Sí",(1/DATOS_[[% anualiz]:[% anualiz]]),1)*IF(DATOS!AH$4="Sí",1/DATOS_[[% normaliz]:[% normaliz]],1)*(DATOS_[Conc.Sal.04])))))))),
0)</f>
        <v>0</v>
      </c>
      <c r="N68" s="196">
        <f t="array" ref="N68">IFERROR(
(MEDIAN((IF(DATOS_[[Sexo]:[Sexo]]=$B68,IF(DATOS_[[AGRUP. VALOR. PTO.]:[AGRUP. VALOR. PTO.]]=$B66,IF(DATOS_[[Check Periodo Ref.]:[Check Periodo Ref.]]="Dentro",IF(DATOS_[[Check Equiparado]:[Check Equiparado]]="Sí",IF(DATOS!AI$5="Sí",(1/DATOS_[[% anualiz]:[% anualiz]]),1)*IF(DATOS!AI$4="Sí",1/DATOS_[[% normaliz]:[% normaliz]],1)*(DATOS_[Conc.Sal.05])))))))),
0)</f>
        <v>0</v>
      </c>
      <c r="O68" s="196">
        <f t="array" ref="O68">IFERROR(
(MEDIAN((IF(DATOS_[[Sexo]:[Sexo]]=$B68,IF(DATOS_[[AGRUP. VALOR. PTO.]:[AGRUP. VALOR. PTO.]]=$B66,IF(DATOS_[[Check Periodo Ref.]:[Check Periodo Ref.]]="Dentro",IF(DATOS_[[Check Equiparado]:[Check Equiparado]]="Sí",IF(DATOS!AJ$5="Sí",(1/DATOS_[[% anualiz]:[% anualiz]]),1)*IF(DATOS!AJ$4="Sí",1/DATOS_[[% normaliz]:[% normaliz]],1)*(DATOS_[Conc.Sal.06])))))))),
0)</f>
        <v>0</v>
      </c>
      <c r="P68" s="196">
        <f t="array" ref="P68">IFERROR(
(MEDIAN((IF(DATOS_[[Sexo]:[Sexo]]=$B68,IF(DATOS_[[AGRUP. VALOR. PTO.]:[AGRUP. VALOR. PTO.]]=$B66,IF(DATOS_[[Check Periodo Ref.]:[Check Periodo Ref.]]="Dentro",IF(DATOS_[[Check Equiparado]:[Check Equiparado]]="Sí",IF(DATOS!AK$5="Sí",(1/DATOS_[[% anualiz]:[% anualiz]]),1)*IF(DATOS!AK$4="Sí",1/DATOS_[[% normaliz]:[% normaliz]],1)*(DATOS_[Conc.Sal.07])))))))),
0)</f>
        <v>0</v>
      </c>
      <c r="Q68" s="196">
        <f t="array" ref="Q68">IFERROR(
(MEDIAN((IF(DATOS_[[Sexo]:[Sexo]]=$B68,IF(DATOS_[[AGRUP. VALOR. PTO.]:[AGRUP. VALOR. PTO.]]=$B66,IF(DATOS_[[Check Periodo Ref.]:[Check Periodo Ref.]]="Dentro",IF(DATOS_[[Check Equiparado]:[Check Equiparado]]="Sí",IF(DATOS!AL$5="Sí",(1/DATOS_[[% anualiz]:[% anualiz]]),1)*IF(DATOS!AL$4="Sí",1/DATOS_[[% normaliz]:[% normaliz]],1)*(DATOS_[Conc.Sal.08])))))))),
0)</f>
        <v>0</v>
      </c>
      <c r="R68" s="196">
        <f t="array" ref="R68">IFERROR(
(MEDIAN((IF(DATOS_[[Sexo]:[Sexo]]=$B68,IF(DATOS_[[AGRUP. VALOR. PTO.]:[AGRUP. VALOR. PTO.]]=$B66,IF(DATOS_[[Check Periodo Ref.]:[Check Periodo Ref.]]="Dentro",IF(DATOS_[[Check Equiparado]:[Check Equiparado]]="Sí",IF(DATOS!AM$5="Sí",(1/DATOS_[[% anualiz]:[% anualiz]]),1)*IF(DATOS!AM$4="Sí",1/DATOS_[[% normaliz]:[% normaliz]],1)*(DATOS_[Conc.Sal.09])))))))),
0)</f>
        <v>0</v>
      </c>
      <c r="S68" s="196">
        <f t="array" ref="S68">IFERROR(
(MEDIAN((IF(DATOS_[[Sexo]:[Sexo]]=$B68,IF(DATOS_[[AGRUP. VALOR. PTO.]:[AGRUP. VALOR. PTO.]]=$B66,IF(DATOS_[[Check Periodo Ref.]:[Check Periodo Ref.]]="Dentro",IF(DATOS_[[Check Equiparado]:[Check Equiparado]]="Sí",IF(DATOS!AN$5="Sí",(1/DATOS_[[% anualiz]:[% anualiz]]),1)*IF(DATOS!AN$4="Sí",1/DATOS_[[% normaliz]:[% normaliz]],1)*(DATOS_[Conc.Sal.10])))))))),
0)</f>
        <v>0</v>
      </c>
      <c r="T68" s="196">
        <f t="array" ref="T68">IFERROR(
(MEDIAN((IF(DATOS_[[Sexo]:[Sexo]]=$B68,IF(DATOS_[[AGRUP. VALOR. PTO.]:[AGRUP. VALOR. PTO.]]=$B66,IF(DATOS_[[Check Periodo Ref.]:[Check Periodo Ref.]]="Dentro",IF(DATOS_[[Check Equiparado]:[Check Equiparado]]="Sí",IF(DATOS!AO$5="Sí",(1/DATOS_[[% anualiz]:[% anualiz]]),1)*IF(DATOS!AO$4="Sí",1/DATOS_[[% normaliz]:[% normaliz]],1)*(DATOS_[Conc.Sal.11])))))))),
0)</f>
        <v>0</v>
      </c>
      <c r="U68" s="196">
        <f t="array" ref="U68">IFERROR(
(MEDIAN((IF(DATOS_[[Sexo]:[Sexo]]=$B68,IF(DATOS_[[AGRUP. VALOR. PTO.]:[AGRUP. VALOR. PTO.]]=$B66,IF(DATOS_[[Check Periodo Ref.]:[Check Periodo Ref.]]="Dentro",IF(DATOS_[[Check Equiparado]:[Check Equiparado]]="Sí",IF(DATOS!AP$5="Sí",(1/DATOS_[[% anualiz]:[% anualiz]]),1)*IF(DATOS!AP$4="Sí",1/DATOS_[[% normaliz]:[% normaliz]],1)*(DATOS_[Conc.Sal.12])))))))),
0)</f>
        <v>0</v>
      </c>
      <c r="V68" s="196">
        <f t="array" ref="V68">IFERROR(
(MEDIAN((IF(DATOS_[[Sexo]:[Sexo]]=$B68,IF(DATOS_[[AGRUP. VALOR. PTO.]:[AGRUP. VALOR. PTO.]]=$B66,IF(DATOS_[[Check Periodo Ref.]:[Check Periodo Ref.]]="Dentro",IF(DATOS_[[Check Equiparado]:[Check Equiparado]]="Sí",IF(DATOS!AQ$5="Sí",(1/DATOS_[[% anualiz]:[% anualiz]]),1)*IF(DATOS!AQ$4="Sí",1/DATOS_[[% normaliz]:[% normaliz]],1)*(DATOS_[Conc.Sal.13])))))))),
0)</f>
        <v>0</v>
      </c>
      <c r="W68" s="196">
        <f t="array" ref="W68">IFERROR(
(MEDIAN((IF(DATOS_[[Sexo]:[Sexo]]=$B68,IF(DATOS_[[AGRUP. VALOR. PTO.]:[AGRUP. VALOR. PTO.]]=$B66,IF(DATOS_[[Check Periodo Ref.]:[Check Periodo Ref.]]="Dentro",IF(DATOS_[[Check Equiparado]:[Check Equiparado]]="Sí",IF(DATOS!AR$5="Sí",(1/DATOS_[[% anualiz]:[% anualiz]]),1)*IF(DATOS!AR$4="Sí",1/DATOS_[[% normaliz]:[% normaliz]],1)*(DATOS_[Conc.Sal.14])))))))),
0)</f>
        <v>0</v>
      </c>
      <c r="X68" s="196">
        <f t="array" ref="X68">IFERROR(
(MEDIAN((IF(DATOS_[[Sexo]:[Sexo]]=$B68,IF(DATOS_[[AGRUP. VALOR. PTO.]:[AGRUP. VALOR. PTO.]]=$B66,IF(DATOS_[[Check Periodo Ref.]:[Check Periodo Ref.]]="Dentro",IF(DATOS_[[Check Equiparado]:[Check Equiparado]]="Sí",IF(DATOS!AS$5="Sí",(1/DATOS_[[% anualiz]:[% anualiz]]),1)*IF(DATOS!AS$4="Sí",1/DATOS_[[% normaliz]:[% normaliz]],1)*(DATOS_[Conc.Sal.15])))))))),
0)</f>
        <v>0</v>
      </c>
      <c r="Y68" s="196">
        <f t="array" ref="Y68">IFERROR(
(MEDIAN((IF(DATOS_[[Sexo]:[Sexo]]=$B68,IF(DATOS_[[AGRUP. VALOR. PTO.]:[AGRUP. VALOR. PTO.]]=$B66,IF(DATOS_[[Check Periodo Ref.]:[Check Periodo Ref.]]="Dentro",IF(DATOS_[[Check Equiparado]:[Check Equiparado]]="Sí",IF(DATOS!AT$5="Sí",(1/DATOS_[[% anualiz]:[% anualiz]]),1)*IF(DATOS!AT$4="Sí",1/DATOS_[[% normaliz]:[% normaliz]],1)*(DATOS_[Conc.Sal.16])))))))),
0)</f>
        <v>0</v>
      </c>
      <c r="Z68" s="196">
        <f t="array" ref="Z68">IFERROR(
(MEDIAN((IF(DATOS_[[Sexo]:[Sexo]]=$B68,IF(DATOS_[[AGRUP. VALOR. PTO.]:[AGRUP. VALOR. PTO.]]=$B66,IF(DATOS_[[Check Periodo Ref.]:[Check Periodo Ref.]]="Dentro",IF(DATOS_[[Check Equiparado]:[Check Equiparado]]="Sí",IF(DATOS!AU$5="Sí",(1/DATOS_[[% anualiz]:[% anualiz]]),1)*IF(DATOS!AU$4="Sí",1/DATOS_[[% normaliz]:[% normaliz]],1)*(DATOS_[Conc.Sal.17])))))))),
0)</f>
        <v>0</v>
      </c>
      <c r="AA68" s="196">
        <f t="array" ref="AA68">IFERROR(
(MEDIAN((IF(DATOS_[[Sexo]:[Sexo]]=$B68,IF(DATOS_[[AGRUP. VALOR. PTO.]:[AGRUP. VALOR. PTO.]]=$B66,IF(DATOS_[[Check Periodo Ref.]:[Check Periodo Ref.]]="Dentro",IF(DATOS_[[Check Equiparado]:[Check Equiparado]]="Sí",IF(DATOS!AV$5="Sí",(1/DATOS_[[% anualiz]:[% anualiz]]),1)*IF(DATOS!AV$4="Sí",1/DATOS_[[% normaliz]:[% normaliz]],1)*(DATOS_[Conc.Sal.18])))))))),
0)</f>
        <v>0</v>
      </c>
      <c r="AB68" s="196">
        <f t="array" ref="AB68">IFERROR(
(MEDIAN((IF(DATOS_[[Sexo]:[Sexo]]=$B68,IF(DATOS_[[AGRUP. VALOR. PTO.]:[AGRUP. VALOR. PTO.]]=$B66,IF(DATOS_[[Check Periodo Ref.]:[Check Periodo Ref.]]="Dentro",IF(DATOS_[[Check Equiparado]:[Check Equiparado]]="Sí",IF(DATOS!AW$5="Sí",(1/DATOS_[[% anualiz]:[% anualiz]]),1)*IF(DATOS!AW$4="Sí",1/DATOS_[[% normaliz]:[% normaliz]],1)*(DATOS_[Conc.Sal.19])))))))),
0)</f>
        <v>0</v>
      </c>
      <c r="AC68" s="196">
        <f t="array" ref="AC68">IFERROR(
(MEDIAN((IF(DATOS_[[Sexo]:[Sexo]]=$B68,IF(DATOS_[[AGRUP. VALOR. PTO.]:[AGRUP. VALOR. PTO.]]=$B66,IF(DATOS_[[Check Periodo Ref.]:[Check Periodo Ref.]]="Dentro",IF(DATOS_[[Check Equiparado]:[Check Equiparado]]="Sí",IF(DATOS!AX$5="Sí",(1/DATOS_[[% anualiz]:[% anualiz]]),1)*IF(DATOS!AX$4="Sí",1/DATOS_[[% normaliz]:[% normaliz]],1)*(DATOS_[Conc.Sal.20])))))))),
0)</f>
        <v>0</v>
      </c>
      <c r="AD68" s="196">
        <f t="array" ref="AD68">IFERROR(
(MEDIAN((IF(DATOS_[[Sexo]:[Sexo]]=$B68,IF(DATOS_[[AGRUP. VALOR. PTO.]:[AGRUP. VALOR. PTO.]]=$B66,IF(DATOS_[[Check Periodo Ref.]:[Check Periodo Ref.]]="Dentro",IF(DATOS_[[Check Equiparado]:[Check Equiparado]]="Sí",IF(DATOS!AY$5="Sí",(1/DATOS_[[% anualiz]:[% anualiz]]),1)*IF(DATOS!AY$4="Sí",1/DATOS_[[% normaliz]:[% normaliz]],1)*(DATOS_[Conc.Sal.21])))))))),
0)</f>
        <v>0</v>
      </c>
      <c r="AE68" s="196">
        <f t="array" ref="AE68">IFERROR(
(MEDIAN((IF(DATOS_[[Sexo]:[Sexo]]=$B68,IF(DATOS_[[AGRUP. VALOR. PTO.]:[AGRUP. VALOR. PTO.]]=$B66,IF(DATOS_[[Check Periodo Ref.]:[Check Periodo Ref.]]="Dentro",IF(DATOS_[[Check Equiparado]:[Check Equiparado]]="Sí",IF(DATOS!AZ$5="Sí",(1/DATOS_[[% anualiz]:[% anualiz]]),1)*IF(DATOS!AZ$4="Sí",1/DATOS_[[% normaliz]:[% normaliz]],1)*(DATOS_[Conc.Sal.22])))))))),
0)</f>
        <v>0</v>
      </c>
      <c r="AF68" s="196">
        <f t="array" ref="AF68">IFERROR(
(MEDIAN((IF(DATOS_[[Sexo]:[Sexo]]=$B68,IF(DATOS_[[AGRUP. VALOR. PTO.]:[AGRUP. VALOR. PTO.]]=$B66,IF(DATOS_[[Check Periodo Ref.]:[Check Periodo Ref.]]="Dentro",IF(DATOS_[[Check Equiparado]:[Check Equiparado]]="Sí",IF(DATOS!BA$5="Sí",(1/DATOS_[[% anualiz]:[% anualiz]]),1)*IF(DATOS!BA$4="Sí",1/DATOS_[[% normaliz]:[% normaliz]],1)*(DATOS_[Conc.Sal.23])))))))),
0)</f>
        <v>0</v>
      </c>
      <c r="AG68" s="196">
        <f t="array" ref="AG68">IFERROR(
(MEDIAN((IF(DATOS_[[Sexo]:[Sexo]]=$B68,IF(DATOS_[[AGRUP. VALOR. PTO.]:[AGRUP. VALOR. PTO.]]=$B66,IF(DATOS_[[Check Periodo Ref.]:[Check Periodo Ref.]]="Dentro",IF(DATOS_[[Check Equiparado]:[Check Equiparado]]="Sí",IF(DATOS!BB$5="Sí",(1/DATOS_[[% anualiz]:[% anualiz]]),1)*IF(DATOS!BB$4="Sí",1/DATOS_[[% normaliz]:[% normaliz]],1)*(DATOS_[Conc.Sal.24])))))))),
0)</f>
        <v>0</v>
      </c>
      <c r="AH68" s="196">
        <f t="array" ref="AH68">IFERROR(
(MEDIAN((IF(DATOS_[[Sexo]:[Sexo]]=$B68,IF(DATOS_[[AGRUP. VALOR. PTO.]:[AGRUP. VALOR. PTO.]]=$B66,IF(DATOS_[[Check Periodo Ref.]:[Check Periodo Ref.]]="Dentro",IF(DATOS_[[Check Equiparado]:[Check Equiparado]]="Sí",IF(DATOS!BC$5="Sí",(1/DATOS_[[% anualiz]:[% anualiz]]),1)*IF(DATOS!BC$4="Sí",1/DATOS_[[% normaliz]:[% normaliz]],1)*(DATOS_[Conc.Sal.25])))))))),
0)</f>
        <v>0</v>
      </c>
      <c r="AI68" s="196">
        <f t="array" ref="AI68">IFERROR(
(MEDIAN((IF(DATOS_[[Sexo]:[Sexo]]=$B68,IF(DATOS_[[AGRUP. VALOR. PTO.]:[AGRUP. VALOR. PTO.]]=$B66,IF(DATOS_[[Check Periodo Ref.]:[Check Periodo Ref.]]="Dentro",IF(DATOS_[[Check Equiparado]:[Check Equiparado]]="Sí",IF(DATOS!BD$5="Sí",(1/DATOS_[[% anualiz]:[% anualiz]]),1)*IF(DATOS!BD$4="Sí",1/DATOS_[[% normaliz]:[% normaliz]],1)*(DATOS_[Conc.Sal.26])))))))),
0)</f>
        <v>0</v>
      </c>
      <c r="AJ68" s="196">
        <f t="array" ref="AJ68">IFERROR(
(MEDIAN((IF(DATOS_[[Sexo]:[Sexo]]=$B68,IF(DATOS_[[AGRUP. VALOR. PTO.]:[AGRUP. VALOR. PTO.]]=$B66,IF(DATOS_[[Check Periodo Ref.]:[Check Periodo Ref.]]="Dentro",IF(DATOS_[[Check Equiparado]:[Check Equiparado]]="Sí",IF(DATOS!BE$5="Sí",(1/DATOS_[[% anualiz]:[% anualiz]]),1)*IF(DATOS!BE$4="Sí",1/DATOS_[[% normaliz]:[% normaliz]],1)*(DATOS_[Conc.Sal.27])))))))),
0)</f>
        <v>0</v>
      </c>
      <c r="AK68" s="196">
        <f t="array" ref="AK68">IFERROR(
(MEDIAN((IF(DATOS_[[Sexo]:[Sexo]]=$B68,IF(DATOS_[[AGRUP. VALOR. PTO.]:[AGRUP. VALOR. PTO.]]=$B66,IF(DATOS_[[Check Periodo Ref.]:[Check Periodo Ref.]]="Dentro",IF(DATOS_[[Check Equiparado]:[Check Equiparado]]="Sí",IF(DATOS!BF$5="Sí",(1/DATOS_[[% anualiz]:[% anualiz]]),1)*IF(DATOS!BF$4="Sí",1/DATOS_[[% normaliz]:[% normaliz]],1)*(DATOS_[Conc.Sal.28])))))))),
0)</f>
        <v>0</v>
      </c>
      <c r="AL68" s="196">
        <f t="array" ref="AL68">IFERROR(
(MEDIAN((IF(DATOS_[[Sexo]:[Sexo]]=$B68,IF(DATOS_[[AGRUP. VALOR. PTO.]:[AGRUP. VALOR. PTO.]]=$B66,IF(DATOS_[[Check Periodo Ref.]:[Check Periodo Ref.]]="Dentro",IF(DATOS_[[Check Equiparado]:[Check Equiparado]]="Sí",IF(DATOS!BG$5="Sí",(1/DATOS_[[% anualiz]:[% anualiz]]),1)*IF(DATOS!BG$4="Sí",1/DATOS_[[% normaliz]:[% normaliz]],1)*(DATOS_[Conc.Sal.29])))))))),
0)</f>
        <v>0</v>
      </c>
      <c r="AM68" s="196">
        <f t="array" ref="AM68">IFERROR(
(MEDIAN((IF(DATOS_[[Sexo]:[Sexo]]=$B68,IF(DATOS_[[AGRUP. VALOR. PTO.]:[AGRUP. VALOR. PTO.]]=$B66,IF(DATOS_[[Check Periodo Ref.]:[Check Periodo Ref.]]="Dentro",IF(DATOS_[[Check Equiparado]:[Check Equiparado]]="Sí",IF(DATOS!BH$5="Sí",(1/DATOS_[[% anualiz]:[% anualiz]]),1)*IF(DATOS!BH$4="Sí",1/DATOS_[[% normaliz]:[% normaliz]],1)*(DATOS_[Conc.Sal.30])))))))),
0)</f>
        <v>0</v>
      </c>
      <c r="AN68" s="195">
        <f t="array" ref="AN68">IFERROR(
MEDIAN(IF(DATOS_[Sexo]=$B68,IF(DATOS_[[AGRUP. VALOR. PTO.]:[AGRUP. VALOR. PTO.]]=$B66,IF(DATOS_[Check Equiparado]="Sí",IF(DATOS_[Check Periodo Ref.]="Dentro",DATOS_[Tot COMPL.SAL Eq],FALSE))))),
0)</f>
        <v>0</v>
      </c>
      <c r="AO68" s="172">
        <f t="array" ref="AO68">IFERROR(
MEDIAN(IF(DATOS_[Sexo]=$B68,IF(DATOS_[[AGRUP. VALOR. PTO.]:[AGRUP. VALOR. PTO.]]=$B66,IF(DATOS_[Check Equiparado]="Sí",IF(DATOS_[Check Periodo Ref.]="Dentro",DATOS_[TOTAL SALARIO Eq],FALSE))))),
0)</f>
        <v>0</v>
      </c>
      <c r="AP68" s="173">
        <f t="array" ref="AP68">IFERROR(
(MEDIAN((IF(DATOS_[[Sexo]:[Sexo]]=$B68,IF(DATOS_[[AGRUP. VALOR. PTO.]:[AGRUP. VALOR. PTO.]]=$B67,IF(DATOS_[[Check Periodo Ref.]:[Check Periodo Ref.]]="Dentro",IF(DATOS_[[Check Equiparado]:[Check Equiparado]]="Sí",IF(DATOS!BW$5="Sí",(1/DATOS_[[% anualiz]:[% anualiz]]),1)*IF(DATOS!BW$4="Sí",1/DATOS_[[% normaliz]:[% normaliz]],1)*(DATOS_[C.Extra.01])))))))),
0)</f>
        <v>0</v>
      </c>
      <c r="AQ68" s="173">
        <f t="array" ref="AQ68">IFERROR(
(MEDIAN((IF(DATOS_[[Sexo]:[Sexo]]=$B68,IF(DATOS_[[AGRUP. VALOR. PTO.]:[AGRUP. VALOR. PTO.]]=$B67,IF(DATOS_[[Check Periodo Ref.]:[Check Periodo Ref.]]="Dentro",IF(DATOS_[[Check Equiparado]:[Check Equiparado]]="Sí",IF(DATOS!CB$5="Sí",(1/DATOS_[[% anualiz]:[% anualiz]]),1)*IF(DATOS!CB$4="Sí",1/DATOS_[[% normaliz]:[% normaliz]],1)*(DATOS_[C.Extra.06])))))))),
0)</f>
        <v>0</v>
      </c>
      <c r="AR68" s="173">
        <f t="array" ref="AR68">IFERROR(
(MEDIAN((IF(DATOS_[[Sexo]:[Sexo]]=$B68,IF(DATOS_[[AGRUP. VALOR. PTO.]:[AGRUP. VALOR. PTO.]]=$B67,IF(DATOS_[[Check Periodo Ref.]:[Check Periodo Ref.]]="Dentro",IF(DATOS_[[Check Equiparado]:[Check Equiparado]]="Sí",IF(DATOS!CC$5="Sí",(1/DATOS_[[% anualiz]:[% anualiz]]),1)*IF(DATOS!CC$4="Sí",1/DATOS_[[% normaliz]:[% normaliz]],1)*(DATOS_[C.Extra.07])))))))),
0)</f>
        <v>0</v>
      </c>
      <c r="AS68" s="173">
        <f t="array" ref="AS68">IFERROR(
(MEDIAN((IF(DATOS_[[Sexo]:[Sexo]]=$B68,IF(DATOS_[[AGRUP. VALOR. PTO.]:[AGRUP. VALOR. PTO.]]=$B67,IF(DATOS_[[Check Periodo Ref.]:[Check Periodo Ref.]]="Dentro",IF(DATOS_[[Check Equiparado]:[Check Equiparado]]="Sí",IF(DATOS!CD$5="Sí",(1/DATOS_[[% anualiz]:[% anualiz]]),1)*IF(DATOS!CD$4="Sí",1/DATOS_[[% normaliz]:[% normaliz]],1)*(DATOS_[C.Extra.08])))))))),
0)</f>
        <v>0</v>
      </c>
      <c r="AT68" s="173">
        <f t="array" ref="AT68">IFERROR(
(MEDIAN((IF(DATOS_[[Sexo]:[Sexo]]=$B68,IF(DATOS_[[AGRUP. VALOR. PTO.]:[AGRUP. VALOR. PTO.]]=$B67,IF(DATOS_[[Check Periodo Ref.]:[Check Periodo Ref.]]="Dentro",IF(DATOS_[[Check Equiparado]:[Check Equiparado]]="Sí",IF(DATOS!CG$5="Sí",(1/DATOS_[[% anualiz]:[% anualiz]]),1)*IF(DATOS!CG$4="Sí",1/DATOS_[[% normaliz]:[% normaliz]],1)*(DATOS_[C.Extra.11])))))))),
0)</f>
        <v>0</v>
      </c>
      <c r="AU68" s="197">
        <f t="array" ref="AU68">IFERROR(
MEDIAN(IF(DATOS_[Sexo]=$B68,IF(DATOS_[[AGRUP. VALOR. PTO.]:[AGRUP. VALOR. PTO.]]=$B66,IF(DATOS_[Check Equiparado]="Sí",IF(DATOS_[Check Periodo Ref.]="Dentro",DATOS_[Tot Extrasalarial Eq],FALSE))))),
0)</f>
        <v>0</v>
      </c>
      <c r="AV68" s="175">
        <f t="array" ref="AV68">IFERROR(
MEDIAN(IF(DATOS_[Sexo]=$B68,IF(DATOS_[[AGRUP. VALOR. PTO.]:[AGRUP. VALOR. PTO.]]=$B66,IF(DATOS_[Check Equiparado]="Sí",IF(DATOS_[Check Periodo Ref.]="Dentro",DATOS_[TOTAL Retrib Eq],FALSE))))),
0)</f>
        <v>0</v>
      </c>
    </row>
    <row r="69" spans="1:48" ht="15.6" thickBot="1" x14ac:dyDescent="0.3">
      <c r="A69" s="133" t="str">
        <f t="shared" ref="A69" si="75">+A70</f>
        <v>[ocultar]</v>
      </c>
      <c r="B69" s="199" t="s">
        <v>253</v>
      </c>
      <c r="C69" s="200"/>
      <c r="D69" s="201"/>
      <c r="E69" s="201"/>
      <c r="F69" s="201"/>
      <c r="G69" s="201"/>
      <c r="H69" s="201"/>
      <c r="I69" s="189" t="str">
        <f t="shared" ref="I69:AV69" si="76">IFERROR((I70-I71)/I70,"")</f>
        <v/>
      </c>
      <c r="J69" s="190" t="str">
        <f t="shared" si="76"/>
        <v/>
      </c>
      <c r="K69" s="191" t="str">
        <f t="shared" si="76"/>
        <v/>
      </c>
      <c r="L69" s="191" t="str">
        <f t="shared" si="76"/>
        <v/>
      </c>
      <c r="M69" s="191" t="str">
        <f t="shared" si="76"/>
        <v/>
      </c>
      <c r="N69" s="192" t="str">
        <f t="shared" si="76"/>
        <v/>
      </c>
      <c r="O69" s="193" t="str">
        <f t="shared" si="76"/>
        <v/>
      </c>
      <c r="P69" s="193" t="str">
        <f t="shared" si="76"/>
        <v/>
      </c>
      <c r="Q69" s="193" t="str">
        <f t="shared" si="76"/>
        <v/>
      </c>
      <c r="R69" s="193" t="str">
        <f t="shared" si="76"/>
        <v/>
      </c>
      <c r="S69" s="193" t="str">
        <f t="shared" si="76"/>
        <v/>
      </c>
      <c r="T69" s="193" t="str">
        <f t="shared" si="76"/>
        <v/>
      </c>
      <c r="U69" s="193" t="str">
        <f t="shared" si="76"/>
        <v/>
      </c>
      <c r="V69" s="193" t="str">
        <f t="shared" si="76"/>
        <v/>
      </c>
      <c r="W69" s="193" t="str">
        <f t="shared" si="76"/>
        <v/>
      </c>
      <c r="X69" s="193" t="str">
        <f t="shared" si="76"/>
        <v/>
      </c>
      <c r="Y69" s="193" t="str">
        <f t="shared" si="76"/>
        <v/>
      </c>
      <c r="Z69" s="193" t="str">
        <f t="shared" si="76"/>
        <v/>
      </c>
      <c r="AA69" s="193" t="str">
        <f t="shared" si="76"/>
        <v/>
      </c>
      <c r="AB69" s="193" t="str">
        <f t="shared" si="76"/>
        <v/>
      </c>
      <c r="AC69" s="193" t="str">
        <f t="shared" si="76"/>
        <v/>
      </c>
      <c r="AD69" s="193" t="str">
        <f t="shared" si="76"/>
        <v/>
      </c>
      <c r="AE69" s="193" t="str">
        <f t="shared" si="76"/>
        <v/>
      </c>
      <c r="AF69" s="193" t="str">
        <f t="shared" si="76"/>
        <v/>
      </c>
      <c r="AG69" s="193" t="str">
        <f t="shared" si="76"/>
        <v/>
      </c>
      <c r="AH69" s="193" t="str">
        <f t="shared" si="76"/>
        <v/>
      </c>
      <c r="AI69" s="193" t="str">
        <f t="shared" si="76"/>
        <v/>
      </c>
      <c r="AJ69" s="193" t="str">
        <f t="shared" si="76"/>
        <v/>
      </c>
      <c r="AK69" s="193" t="str">
        <f t="shared" si="76"/>
        <v/>
      </c>
      <c r="AL69" s="193" t="str">
        <f t="shared" si="76"/>
        <v/>
      </c>
      <c r="AM69" s="193" t="str">
        <f t="shared" si="76"/>
        <v/>
      </c>
      <c r="AN69" s="189" t="str">
        <f t="shared" si="76"/>
        <v/>
      </c>
      <c r="AO69" s="162" t="str">
        <f t="shared" si="76"/>
        <v/>
      </c>
      <c r="AP69" s="163" t="str">
        <f t="shared" si="76"/>
        <v/>
      </c>
      <c r="AQ69" s="163" t="str">
        <f t="shared" si="76"/>
        <v/>
      </c>
      <c r="AR69" s="163" t="str">
        <f t="shared" si="76"/>
        <v/>
      </c>
      <c r="AS69" s="163" t="str">
        <f t="shared" si="76"/>
        <v/>
      </c>
      <c r="AT69" s="163" t="str">
        <f t="shared" si="76"/>
        <v/>
      </c>
      <c r="AU69" s="194" t="str">
        <f t="shared" si="76"/>
        <v/>
      </c>
      <c r="AV69" s="165" t="str">
        <f t="shared" si="76"/>
        <v/>
      </c>
    </row>
    <row r="70" spans="1:48" x14ac:dyDescent="0.25">
      <c r="A70" s="133" t="str">
        <f t="shared" ref="A70" si="77">+IF(C70+C71=0,"[ocultar]","")</f>
        <v>[ocultar]</v>
      </c>
      <c r="B70" s="202" t="s">
        <v>394</v>
      </c>
      <c r="C70" s="203">
        <f t="array" ref="C70">SUM(IF($B70=DATOS_[Sexo],
IF($B69=DATOS_[AGRUP. VALOR. PTO.],
IF("Dentro"=DATOS_[Check Periodo Ref.],
1/(COUNTIFS(DATOS_[Sexo],$B70,DATOS_[AGRUP. VALOR. PTO.],$B69,DATOS_[Check Periodo Ref.],"Dentro",DATOS_[id/cod],DATOS_[id/cod]))))))</f>
        <v>0</v>
      </c>
      <c r="D70" s="204">
        <f>COUNTIFS(DATOS_[AGRUP. VALOR. PTO.],$B69,DATOS_[Sexo],$B70,DATOS_[Check Periodo Ref.],"Dentro")</f>
        <v>0</v>
      </c>
      <c r="E70" s="204">
        <f>COUNTIFS(DATOS_[AGRUP. VALOR. PTO.],$B69,DATOS_[Sexo],$B70,DATOS_[Check Periodo Ref.],"Dentro",DATOS_[Check Nº SC Norm],"Sí")</f>
        <v>0</v>
      </c>
      <c r="F70" s="204">
        <f>COUNTIFS(DATOS_[AGRUP. VALOR. PTO.],$B69,DATOS_[Sexo],$B70,DATOS_[Check Periodo Ref.],"Dentro",DATOS_[Check Nº SC Anualiz],"Sí")</f>
        <v>0</v>
      </c>
      <c r="G70" s="204">
        <f>COUNTIFS(DATOS_[AGRUP. VALOR. PTO.],$B69,DATOS_[Sexo],$B70,DATOS_[Check Periodo Ref.],"Dentro",DATOS_[Check Nº SC Norm y Anualiz],"Sí")</f>
        <v>0</v>
      </c>
      <c r="H70" s="204">
        <f>COUNTIFS(DATOS_[AGRUP. VALOR. PTO.],$B69,DATOS_[Sexo],$B70,DATOS_[Check Periodo Ref.],"Dentro",DATOS_[Check Equiparación],"Sí")</f>
        <v>0</v>
      </c>
      <c r="I70" s="195">
        <f t="array" ref="I70">IFERROR(
MEDIAN(IF(DATOS_[Sexo]=$B70,IF(DATOS_[[AGRUP. VALOR. PTO.]:[AGRUP. VALOR. PTO.]]=$B69,IF(DATOS_[Check Equiparado]="Sí",IF(DATOS_[Check Periodo Ref.]="Dentro",DATOS_[SALARIO BASE Eq],FALSE))))),
0)</f>
        <v>0</v>
      </c>
      <c r="J70" s="196">
        <f t="array" ref="J70">IFERROR(
(MEDIAN((IF(DATOS_[[Sexo]:[Sexo]]=$B70,IF(DATOS_[[AGRUP. VALOR. PTO.]:[AGRUP. VALOR. PTO.]]=$B69,IF(DATOS_[[Check Periodo Ref.]:[Check Periodo Ref.]]="Dentro",IF(DATOS_[[Check Equiparado]:[Check Equiparado]]="Sí",IF(DATOS!AE$5="Sí",(1/DATOS_[[% anualiz]:[% anualiz]]),1)*IF(DATOS!AE$4="Sí",1/DATOS_[[% normaliz]:[% normaliz]],1)*(DATOS_[Conc.Sal.01])))))))),
0)</f>
        <v>0</v>
      </c>
      <c r="K70" s="196">
        <f t="array" ref="K70">IFERROR(
(MEDIAN((IF(DATOS_[[Sexo]:[Sexo]]=$B70,IF(DATOS_[[AGRUP. VALOR. PTO.]:[AGRUP. VALOR. PTO.]]=$B69,IF(DATOS_[[Check Periodo Ref.]:[Check Periodo Ref.]]="Dentro",IF(DATOS_[[Check Equiparado]:[Check Equiparado]]="Sí",IF(DATOS!AF$5="Sí",(1/DATOS_[[% anualiz]:[% anualiz]]),1)*IF(DATOS!AF$4="Sí",1/DATOS_[[% normaliz]:[% normaliz]],1)*(DATOS_[Conc.Sal.02])))))))),
0)</f>
        <v>0</v>
      </c>
      <c r="L70" s="196">
        <f t="array" ref="L70">IFERROR(
(MEDIAN((IF(DATOS_[[Sexo]:[Sexo]]=$B70,IF(DATOS_[[AGRUP. VALOR. PTO.]:[AGRUP. VALOR. PTO.]]=$B69,IF(DATOS_[[Check Periodo Ref.]:[Check Periodo Ref.]]="Dentro",IF(DATOS_[[Check Equiparado]:[Check Equiparado]]="Sí",IF(DATOS!AG$5="Sí",(1/DATOS_[[% anualiz]:[% anualiz]]),1)*IF(DATOS!AG$4="Sí",1/DATOS_[[% normaliz]:[% normaliz]],1)*(DATOS_[Conc.Sal.03])))))))),
0)</f>
        <v>0</v>
      </c>
      <c r="M70" s="196">
        <f t="array" ref="M70">IFERROR(
(MEDIAN((IF(DATOS_[[Sexo]:[Sexo]]=$B70,IF(DATOS_[[AGRUP. VALOR. PTO.]:[AGRUP. VALOR. PTO.]]=$B69,IF(DATOS_[[Check Periodo Ref.]:[Check Periodo Ref.]]="Dentro",IF(DATOS_[[Check Equiparado]:[Check Equiparado]]="Sí",IF(DATOS!AH$5="Sí",(1/DATOS_[[% anualiz]:[% anualiz]]),1)*IF(DATOS!AH$4="Sí",1/DATOS_[[% normaliz]:[% normaliz]],1)*(DATOS_[Conc.Sal.04])))))))),
0)</f>
        <v>0</v>
      </c>
      <c r="N70" s="196">
        <f t="array" ref="N70">IFERROR(
(MEDIAN((IF(DATOS_[[Sexo]:[Sexo]]=$B70,IF(DATOS_[[AGRUP. VALOR. PTO.]:[AGRUP. VALOR. PTO.]]=$B69,IF(DATOS_[[Check Periodo Ref.]:[Check Periodo Ref.]]="Dentro",IF(DATOS_[[Check Equiparado]:[Check Equiparado]]="Sí",IF(DATOS!AI$5="Sí",(1/DATOS_[[% anualiz]:[% anualiz]]),1)*IF(DATOS!AI$4="Sí",1/DATOS_[[% normaliz]:[% normaliz]],1)*(DATOS_[Conc.Sal.05])))))))),
0)</f>
        <v>0</v>
      </c>
      <c r="O70" s="196">
        <f t="array" ref="O70">IFERROR(
(MEDIAN((IF(DATOS_[[Sexo]:[Sexo]]=$B70,IF(DATOS_[[AGRUP. VALOR. PTO.]:[AGRUP. VALOR. PTO.]]=$B69,IF(DATOS_[[Check Periodo Ref.]:[Check Periodo Ref.]]="Dentro",IF(DATOS_[[Check Equiparado]:[Check Equiparado]]="Sí",IF(DATOS!AJ$5="Sí",(1/DATOS_[[% anualiz]:[% anualiz]]),1)*IF(DATOS!AJ$4="Sí",1/DATOS_[[% normaliz]:[% normaliz]],1)*(DATOS_[Conc.Sal.06])))))))),
0)</f>
        <v>0</v>
      </c>
      <c r="P70" s="196">
        <f t="array" ref="P70">IFERROR(
(MEDIAN((IF(DATOS_[[Sexo]:[Sexo]]=$B70,IF(DATOS_[[AGRUP. VALOR. PTO.]:[AGRUP. VALOR. PTO.]]=$B69,IF(DATOS_[[Check Periodo Ref.]:[Check Periodo Ref.]]="Dentro",IF(DATOS_[[Check Equiparado]:[Check Equiparado]]="Sí",IF(DATOS!AK$5="Sí",(1/DATOS_[[% anualiz]:[% anualiz]]),1)*IF(DATOS!AK$4="Sí",1/DATOS_[[% normaliz]:[% normaliz]],1)*(DATOS_[Conc.Sal.07])))))))),
0)</f>
        <v>0</v>
      </c>
      <c r="Q70" s="196">
        <f t="array" ref="Q70">IFERROR(
(MEDIAN((IF(DATOS_[[Sexo]:[Sexo]]=$B70,IF(DATOS_[[AGRUP. VALOR. PTO.]:[AGRUP. VALOR. PTO.]]=$B69,IF(DATOS_[[Check Periodo Ref.]:[Check Periodo Ref.]]="Dentro",IF(DATOS_[[Check Equiparado]:[Check Equiparado]]="Sí",IF(DATOS!AL$5="Sí",(1/DATOS_[[% anualiz]:[% anualiz]]),1)*IF(DATOS!AL$4="Sí",1/DATOS_[[% normaliz]:[% normaliz]],1)*(DATOS_[Conc.Sal.08])))))))),
0)</f>
        <v>0</v>
      </c>
      <c r="R70" s="196">
        <f t="array" ref="R70">IFERROR(
(MEDIAN((IF(DATOS_[[Sexo]:[Sexo]]=$B70,IF(DATOS_[[AGRUP. VALOR. PTO.]:[AGRUP. VALOR. PTO.]]=$B69,IF(DATOS_[[Check Periodo Ref.]:[Check Periodo Ref.]]="Dentro",IF(DATOS_[[Check Equiparado]:[Check Equiparado]]="Sí",IF(DATOS!AM$5="Sí",(1/DATOS_[[% anualiz]:[% anualiz]]),1)*IF(DATOS!AM$4="Sí",1/DATOS_[[% normaliz]:[% normaliz]],1)*(DATOS_[Conc.Sal.09])))))))),
0)</f>
        <v>0</v>
      </c>
      <c r="S70" s="196">
        <f t="array" ref="S70">IFERROR(
(MEDIAN((IF(DATOS_[[Sexo]:[Sexo]]=$B70,IF(DATOS_[[AGRUP. VALOR. PTO.]:[AGRUP. VALOR. PTO.]]=$B69,IF(DATOS_[[Check Periodo Ref.]:[Check Periodo Ref.]]="Dentro",IF(DATOS_[[Check Equiparado]:[Check Equiparado]]="Sí",IF(DATOS!AN$5="Sí",(1/DATOS_[[% anualiz]:[% anualiz]]),1)*IF(DATOS!AN$4="Sí",1/DATOS_[[% normaliz]:[% normaliz]],1)*(DATOS_[Conc.Sal.10])))))))),
0)</f>
        <v>0</v>
      </c>
      <c r="T70" s="196">
        <f t="array" ref="T70">IFERROR(
(MEDIAN((IF(DATOS_[[Sexo]:[Sexo]]=$B70,IF(DATOS_[[AGRUP. VALOR. PTO.]:[AGRUP. VALOR. PTO.]]=$B69,IF(DATOS_[[Check Periodo Ref.]:[Check Periodo Ref.]]="Dentro",IF(DATOS_[[Check Equiparado]:[Check Equiparado]]="Sí",IF(DATOS!AO$5="Sí",(1/DATOS_[[% anualiz]:[% anualiz]]),1)*IF(DATOS!AO$4="Sí",1/DATOS_[[% normaliz]:[% normaliz]],1)*(DATOS_[Conc.Sal.11])))))))),
0)</f>
        <v>0</v>
      </c>
      <c r="U70" s="196">
        <f t="array" ref="U70">IFERROR(
(MEDIAN((IF(DATOS_[[Sexo]:[Sexo]]=$B70,IF(DATOS_[[AGRUP. VALOR. PTO.]:[AGRUP. VALOR. PTO.]]=$B69,IF(DATOS_[[Check Periodo Ref.]:[Check Periodo Ref.]]="Dentro",IF(DATOS_[[Check Equiparado]:[Check Equiparado]]="Sí",IF(DATOS!AP$5="Sí",(1/DATOS_[[% anualiz]:[% anualiz]]),1)*IF(DATOS!AP$4="Sí",1/DATOS_[[% normaliz]:[% normaliz]],1)*(DATOS_[Conc.Sal.12])))))))),
0)</f>
        <v>0</v>
      </c>
      <c r="V70" s="196">
        <f t="array" ref="V70">IFERROR(
(MEDIAN((IF(DATOS_[[Sexo]:[Sexo]]=$B70,IF(DATOS_[[AGRUP. VALOR. PTO.]:[AGRUP. VALOR. PTO.]]=$B69,IF(DATOS_[[Check Periodo Ref.]:[Check Periodo Ref.]]="Dentro",IF(DATOS_[[Check Equiparado]:[Check Equiparado]]="Sí",IF(DATOS!AQ$5="Sí",(1/DATOS_[[% anualiz]:[% anualiz]]),1)*IF(DATOS!AQ$4="Sí",1/DATOS_[[% normaliz]:[% normaliz]],1)*(DATOS_[Conc.Sal.13])))))))),
0)</f>
        <v>0</v>
      </c>
      <c r="W70" s="196">
        <f t="array" ref="W70">IFERROR(
(MEDIAN((IF(DATOS_[[Sexo]:[Sexo]]=$B70,IF(DATOS_[[AGRUP. VALOR. PTO.]:[AGRUP. VALOR. PTO.]]=$B69,IF(DATOS_[[Check Periodo Ref.]:[Check Periodo Ref.]]="Dentro",IF(DATOS_[[Check Equiparado]:[Check Equiparado]]="Sí",IF(DATOS!AR$5="Sí",(1/DATOS_[[% anualiz]:[% anualiz]]),1)*IF(DATOS!AR$4="Sí",1/DATOS_[[% normaliz]:[% normaliz]],1)*(DATOS_[Conc.Sal.14])))))))),
0)</f>
        <v>0</v>
      </c>
      <c r="X70" s="196">
        <f t="array" ref="X70">IFERROR(
(MEDIAN((IF(DATOS_[[Sexo]:[Sexo]]=$B70,IF(DATOS_[[AGRUP. VALOR. PTO.]:[AGRUP. VALOR. PTO.]]=$B69,IF(DATOS_[[Check Periodo Ref.]:[Check Periodo Ref.]]="Dentro",IF(DATOS_[[Check Equiparado]:[Check Equiparado]]="Sí",IF(DATOS!AS$5="Sí",(1/DATOS_[[% anualiz]:[% anualiz]]),1)*IF(DATOS!AS$4="Sí",1/DATOS_[[% normaliz]:[% normaliz]],1)*(DATOS_[Conc.Sal.15])))))))),
0)</f>
        <v>0</v>
      </c>
      <c r="Y70" s="196">
        <f t="array" ref="Y70">IFERROR(
(MEDIAN((IF(DATOS_[[Sexo]:[Sexo]]=$B70,IF(DATOS_[[AGRUP. VALOR. PTO.]:[AGRUP. VALOR. PTO.]]=$B69,IF(DATOS_[[Check Periodo Ref.]:[Check Periodo Ref.]]="Dentro",IF(DATOS_[[Check Equiparado]:[Check Equiparado]]="Sí",IF(DATOS!AT$5="Sí",(1/DATOS_[[% anualiz]:[% anualiz]]),1)*IF(DATOS!AT$4="Sí",1/DATOS_[[% normaliz]:[% normaliz]],1)*(DATOS_[Conc.Sal.16])))))))),
0)</f>
        <v>0</v>
      </c>
      <c r="Z70" s="196">
        <f t="array" ref="Z70">IFERROR(
(MEDIAN((IF(DATOS_[[Sexo]:[Sexo]]=$B70,IF(DATOS_[[AGRUP. VALOR. PTO.]:[AGRUP. VALOR. PTO.]]=$B69,IF(DATOS_[[Check Periodo Ref.]:[Check Periodo Ref.]]="Dentro",IF(DATOS_[[Check Equiparado]:[Check Equiparado]]="Sí",IF(DATOS!AU$5="Sí",(1/DATOS_[[% anualiz]:[% anualiz]]),1)*IF(DATOS!AU$4="Sí",1/DATOS_[[% normaliz]:[% normaliz]],1)*(DATOS_[Conc.Sal.17])))))))),
0)</f>
        <v>0</v>
      </c>
      <c r="AA70" s="196">
        <f t="array" ref="AA70">IFERROR(
(MEDIAN((IF(DATOS_[[Sexo]:[Sexo]]=$B70,IF(DATOS_[[AGRUP. VALOR. PTO.]:[AGRUP. VALOR. PTO.]]=$B69,IF(DATOS_[[Check Periodo Ref.]:[Check Periodo Ref.]]="Dentro",IF(DATOS_[[Check Equiparado]:[Check Equiparado]]="Sí",IF(DATOS!AV$5="Sí",(1/DATOS_[[% anualiz]:[% anualiz]]),1)*IF(DATOS!AV$4="Sí",1/DATOS_[[% normaliz]:[% normaliz]],1)*(DATOS_[Conc.Sal.18])))))))),
0)</f>
        <v>0</v>
      </c>
      <c r="AB70" s="196">
        <f t="array" ref="AB70">IFERROR(
(MEDIAN((IF(DATOS_[[Sexo]:[Sexo]]=$B70,IF(DATOS_[[AGRUP. VALOR. PTO.]:[AGRUP. VALOR. PTO.]]=$B69,IF(DATOS_[[Check Periodo Ref.]:[Check Periodo Ref.]]="Dentro",IF(DATOS_[[Check Equiparado]:[Check Equiparado]]="Sí",IF(DATOS!AW$5="Sí",(1/DATOS_[[% anualiz]:[% anualiz]]),1)*IF(DATOS!AW$4="Sí",1/DATOS_[[% normaliz]:[% normaliz]],1)*(DATOS_[Conc.Sal.19])))))))),
0)</f>
        <v>0</v>
      </c>
      <c r="AC70" s="196">
        <f t="array" ref="AC70">IFERROR(
(MEDIAN((IF(DATOS_[[Sexo]:[Sexo]]=$B70,IF(DATOS_[[AGRUP. VALOR. PTO.]:[AGRUP. VALOR. PTO.]]=$B69,IF(DATOS_[[Check Periodo Ref.]:[Check Periodo Ref.]]="Dentro",IF(DATOS_[[Check Equiparado]:[Check Equiparado]]="Sí",IF(DATOS!AX$5="Sí",(1/DATOS_[[% anualiz]:[% anualiz]]),1)*IF(DATOS!AX$4="Sí",1/DATOS_[[% normaliz]:[% normaliz]],1)*(DATOS_[Conc.Sal.20])))))))),
0)</f>
        <v>0</v>
      </c>
      <c r="AD70" s="196">
        <f t="array" ref="AD70">IFERROR(
(MEDIAN((IF(DATOS_[[Sexo]:[Sexo]]=$B70,IF(DATOS_[[AGRUP. VALOR. PTO.]:[AGRUP. VALOR. PTO.]]=$B69,IF(DATOS_[[Check Periodo Ref.]:[Check Periodo Ref.]]="Dentro",IF(DATOS_[[Check Equiparado]:[Check Equiparado]]="Sí",IF(DATOS!AY$5="Sí",(1/DATOS_[[% anualiz]:[% anualiz]]),1)*IF(DATOS!AY$4="Sí",1/DATOS_[[% normaliz]:[% normaliz]],1)*(DATOS_[Conc.Sal.21])))))))),
0)</f>
        <v>0</v>
      </c>
      <c r="AE70" s="196">
        <f t="array" ref="AE70">IFERROR(
(MEDIAN((IF(DATOS_[[Sexo]:[Sexo]]=$B70,IF(DATOS_[[AGRUP. VALOR. PTO.]:[AGRUP. VALOR. PTO.]]=$B69,IF(DATOS_[[Check Periodo Ref.]:[Check Periodo Ref.]]="Dentro",IF(DATOS_[[Check Equiparado]:[Check Equiparado]]="Sí",IF(DATOS!AZ$5="Sí",(1/DATOS_[[% anualiz]:[% anualiz]]),1)*IF(DATOS!AZ$4="Sí",1/DATOS_[[% normaliz]:[% normaliz]],1)*(DATOS_[Conc.Sal.22])))))))),
0)</f>
        <v>0</v>
      </c>
      <c r="AF70" s="196">
        <f t="array" ref="AF70">IFERROR(
(MEDIAN((IF(DATOS_[[Sexo]:[Sexo]]=$B70,IF(DATOS_[[AGRUP. VALOR. PTO.]:[AGRUP. VALOR. PTO.]]=$B69,IF(DATOS_[[Check Periodo Ref.]:[Check Periodo Ref.]]="Dentro",IF(DATOS_[[Check Equiparado]:[Check Equiparado]]="Sí",IF(DATOS!BA$5="Sí",(1/DATOS_[[% anualiz]:[% anualiz]]),1)*IF(DATOS!BA$4="Sí",1/DATOS_[[% normaliz]:[% normaliz]],1)*(DATOS_[Conc.Sal.23])))))))),
0)</f>
        <v>0</v>
      </c>
      <c r="AG70" s="196">
        <f t="array" ref="AG70">IFERROR(
(MEDIAN((IF(DATOS_[[Sexo]:[Sexo]]=$B70,IF(DATOS_[[AGRUP. VALOR. PTO.]:[AGRUP. VALOR. PTO.]]=$B69,IF(DATOS_[[Check Periodo Ref.]:[Check Periodo Ref.]]="Dentro",IF(DATOS_[[Check Equiparado]:[Check Equiparado]]="Sí",IF(DATOS!BB$5="Sí",(1/DATOS_[[% anualiz]:[% anualiz]]),1)*IF(DATOS!BB$4="Sí",1/DATOS_[[% normaliz]:[% normaliz]],1)*(DATOS_[Conc.Sal.24])))))))),
0)</f>
        <v>0</v>
      </c>
      <c r="AH70" s="196">
        <f t="array" ref="AH70">IFERROR(
(MEDIAN((IF(DATOS_[[Sexo]:[Sexo]]=$B70,IF(DATOS_[[AGRUP. VALOR. PTO.]:[AGRUP. VALOR. PTO.]]=$B69,IF(DATOS_[[Check Periodo Ref.]:[Check Periodo Ref.]]="Dentro",IF(DATOS_[[Check Equiparado]:[Check Equiparado]]="Sí",IF(DATOS!BC$5="Sí",(1/DATOS_[[% anualiz]:[% anualiz]]),1)*IF(DATOS!BC$4="Sí",1/DATOS_[[% normaliz]:[% normaliz]],1)*(DATOS_[Conc.Sal.25])))))))),
0)</f>
        <v>0</v>
      </c>
      <c r="AI70" s="196">
        <f t="array" ref="AI70">IFERROR(
(MEDIAN((IF(DATOS_[[Sexo]:[Sexo]]=$B70,IF(DATOS_[[AGRUP. VALOR. PTO.]:[AGRUP. VALOR. PTO.]]=$B69,IF(DATOS_[[Check Periodo Ref.]:[Check Periodo Ref.]]="Dentro",IF(DATOS_[[Check Equiparado]:[Check Equiparado]]="Sí",IF(DATOS!BD$5="Sí",(1/DATOS_[[% anualiz]:[% anualiz]]),1)*IF(DATOS!BD$4="Sí",1/DATOS_[[% normaliz]:[% normaliz]],1)*(DATOS_[Conc.Sal.26])))))))),
0)</f>
        <v>0</v>
      </c>
      <c r="AJ70" s="196">
        <f t="array" ref="AJ70">IFERROR(
(MEDIAN((IF(DATOS_[[Sexo]:[Sexo]]=$B70,IF(DATOS_[[AGRUP. VALOR. PTO.]:[AGRUP. VALOR. PTO.]]=$B69,IF(DATOS_[[Check Periodo Ref.]:[Check Periodo Ref.]]="Dentro",IF(DATOS_[[Check Equiparado]:[Check Equiparado]]="Sí",IF(DATOS!BE$5="Sí",(1/DATOS_[[% anualiz]:[% anualiz]]),1)*IF(DATOS!BE$4="Sí",1/DATOS_[[% normaliz]:[% normaliz]],1)*(DATOS_[Conc.Sal.27])))))))),
0)</f>
        <v>0</v>
      </c>
      <c r="AK70" s="196">
        <f t="array" ref="AK70">IFERROR(
(MEDIAN((IF(DATOS_[[Sexo]:[Sexo]]=$B70,IF(DATOS_[[AGRUP. VALOR. PTO.]:[AGRUP. VALOR. PTO.]]=$B69,IF(DATOS_[[Check Periodo Ref.]:[Check Periodo Ref.]]="Dentro",IF(DATOS_[[Check Equiparado]:[Check Equiparado]]="Sí",IF(DATOS!BF$5="Sí",(1/DATOS_[[% anualiz]:[% anualiz]]),1)*IF(DATOS!BF$4="Sí",1/DATOS_[[% normaliz]:[% normaliz]],1)*(DATOS_[Conc.Sal.28])))))))),
0)</f>
        <v>0</v>
      </c>
      <c r="AL70" s="196">
        <f t="array" ref="AL70">IFERROR(
(MEDIAN((IF(DATOS_[[Sexo]:[Sexo]]=$B70,IF(DATOS_[[AGRUP. VALOR. PTO.]:[AGRUP. VALOR. PTO.]]=$B69,IF(DATOS_[[Check Periodo Ref.]:[Check Periodo Ref.]]="Dentro",IF(DATOS_[[Check Equiparado]:[Check Equiparado]]="Sí",IF(DATOS!BG$5="Sí",(1/DATOS_[[% anualiz]:[% anualiz]]),1)*IF(DATOS!BG$4="Sí",1/DATOS_[[% normaliz]:[% normaliz]],1)*(DATOS_[Conc.Sal.29])))))))),
0)</f>
        <v>0</v>
      </c>
      <c r="AM70" s="196">
        <f t="array" ref="AM70">IFERROR(
(MEDIAN((IF(DATOS_[[Sexo]:[Sexo]]=$B70,IF(DATOS_[[AGRUP. VALOR. PTO.]:[AGRUP. VALOR. PTO.]]=$B69,IF(DATOS_[[Check Periodo Ref.]:[Check Periodo Ref.]]="Dentro",IF(DATOS_[[Check Equiparado]:[Check Equiparado]]="Sí",IF(DATOS!BH$5="Sí",(1/DATOS_[[% anualiz]:[% anualiz]]),1)*IF(DATOS!BH$4="Sí",1/DATOS_[[% normaliz]:[% normaliz]],1)*(DATOS_[Conc.Sal.30])))))))),
0)</f>
        <v>0</v>
      </c>
      <c r="AN70" s="195">
        <f t="array" ref="AN70">IFERROR(
MEDIAN(IF(DATOS_[Sexo]=$B70,IF(DATOS_[[AGRUP. VALOR. PTO.]:[AGRUP. VALOR. PTO.]]=$B69,IF(DATOS_[Check Equiparado]="Sí",IF(DATOS_[Check Periodo Ref.]="Dentro",DATOS_[Tot COMPL.SAL Eq],FALSE))))),
0)</f>
        <v>0</v>
      </c>
      <c r="AO70" s="172">
        <f t="array" ref="AO70">IFERROR(
MEDIAN(IF(DATOS_[Sexo]=$B70,IF(DATOS_[[AGRUP. VALOR. PTO.]:[AGRUP. VALOR. PTO.]]=$B69,IF(DATOS_[Check Equiparado]="Sí",IF(DATOS_[Check Periodo Ref.]="Dentro",DATOS_[TOTAL SALARIO Eq],FALSE))))),
0)</f>
        <v>0</v>
      </c>
      <c r="AP70" s="173">
        <f t="array" ref="AP70">IFERROR(
(MEDIAN((IF(DATOS_[[Sexo]:[Sexo]]=$B70,IF(DATOS_[[AGRUP. VALOR. PTO.]:[AGRUP. VALOR. PTO.]]=$B69,IF(DATOS_[[Check Periodo Ref.]:[Check Periodo Ref.]]="Dentro",IF(DATOS_[[Check Equiparado]:[Check Equiparado]]="Sí",IF(DATOS!BW$5="Sí",(1/DATOS_[[% anualiz]:[% anualiz]]),1)*IF(DATOS!BW$4="Sí",1/DATOS_[[% normaliz]:[% normaliz]],1)*(DATOS_[C.Extra.01])))))))),
0)</f>
        <v>0</v>
      </c>
      <c r="AQ70" s="173">
        <f t="array" ref="AQ70">IFERROR(
(MEDIAN((IF(DATOS_[[Sexo]:[Sexo]]=$B70,IF(DATOS_[[AGRUP. VALOR. PTO.]:[AGRUP. VALOR. PTO.]]=$B69,IF(DATOS_[[Check Periodo Ref.]:[Check Periodo Ref.]]="Dentro",IF(DATOS_[[Check Equiparado]:[Check Equiparado]]="Sí",IF(DATOS!CB$5="Sí",(1/DATOS_[[% anualiz]:[% anualiz]]),1)*IF(DATOS!CB$4="Sí",1/DATOS_[[% normaliz]:[% normaliz]],1)*(DATOS_[C.Extra.06])))))))),
0)</f>
        <v>0</v>
      </c>
      <c r="AR70" s="173">
        <f t="array" ref="AR70">IFERROR(
(MEDIAN((IF(DATOS_[[Sexo]:[Sexo]]=$B70,IF(DATOS_[[AGRUP. VALOR. PTO.]:[AGRUP. VALOR. PTO.]]=$B69,IF(DATOS_[[Check Periodo Ref.]:[Check Periodo Ref.]]="Dentro",IF(DATOS_[[Check Equiparado]:[Check Equiparado]]="Sí",IF(DATOS!CC$5="Sí",(1/DATOS_[[% anualiz]:[% anualiz]]),1)*IF(DATOS!CC$4="Sí",1/DATOS_[[% normaliz]:[% normaliz]],1)*(DATOS_[C.Extra.07])))))))),
0)</f>
        <v>0</v>
      </c>
      <c r="AS70" s="173">
        <f t="array" ref="AS70">IFERROR(
(MEDIAN((IF(DATOS_[[Sexo]:[Sexo]]=$B70,IF(DATOS_[[AGRUP. VALOR. PTO.]:[AGRUP. VALOR. PTO.]]=$B69,IF(DATOS_[[Check Periodo Ref.]:[Check Periodo Ref.]]="Dentro",IF(DATOS_[[Check Equiparado]:[Check Equiparado]]="Sí",IF(DATOS!CD$5="Sí",(1/DATOS_[[% anualiz]:[% anualiz]]),1)*IF(DATOS!CD$4="Sí",1/DATOS_[[% normaliz]:[% normaliz]],1)*(DATOS_[C.Extra.08])))))))),
0)</f>
        <v>0</v>
      </c>
      <c r="AT70" s="173">
        <f t="array" ref="AT70">IFERROR(
(MEDIAN((IF(DATOS_[[Sexo]:[Sexo]]=$B70,IF(DATOS_[[AGRUP. VALOR. PTO.]:[AGRUP. VALOR. PTO.]]=$B69,IF(DATOS_[[Check Periodo Ref.]:[Check Periodo Ref.]]="Dentro",IF(DATOS_[[Check Equiparado]:[Check Equiparado]]="Sí",IF(DATOS!CG$5="Sí",(1/DATOS_[[% anualiz]:[% anualiz]]),1)*IF(DATOS!CG$4="Sí",1/DATOS_[[% normaliz]:[% normaliz]],1)*(DATOS_[C.Extra.11])))))))),
0)</f>
        <v>0</v>
      </c>
      <c r="AU70" s="197">
        <f t="array" ref="AU70">IFERROR(
MEDIAN(IF(DATOS_[Sexo]=$B70,IF(DATOS_[[AGRUP. VALOR. PTO.]:[AGRUP. VALOR. PTO.]]=$B69,IF(DATOS_[Check Equiparado]="Sí",IF(DATOS_[Check Periodo Ref.]="Dentro",DATOS_[Tot Extrasalarial Eq],FALSE))))),
0)</f>
        <v>0</v>
      </c>
      <c r="AV70" s="175">
        <f t="array" ref="AV70">IFERROR(
MEDIAN(IF(DATOS_[Sexo]=$B70,IF(DATOS_[[AGRUP. VALOR. PTO.]:[AGRUP. VALOR. PTO.]]=$B69,IF(DATOS_[Check Equiparado]="Sí",IF(DATOS_[Check Periodo Ref.]="Dentro",DATOS_[TOTAL Retrib Eq],FALSE))))),
0)</f>
        <v>0</v>
      </c>
    </row>
    <row r="71" spans="1:48" x14ac:dyDescent="0.25">
      <c r="A71" s="133" t="str">
        <f t="shared" ref="A71" si="78">+A70</f>
        <v>[ocultar]</v>
      </c>
      <c r="B71" s="202" t="s">
        <v>521</v>
      </c>
      <c r="C71" s="203">
        <f t="array" ref="C71">SUM(IF($B71=DATOS_[Sexo],
IF($B69=DATOS_[AGRUP. VALOR. PTO.],
IF("Dentro"=DATOS_[Check Periodo Ref.],
1/(COUNTIFS(DATOS_[Sexo],$B71,DATOS_[AGRUP. VALOR. PTO.],$B69,DATOS_[Check Periodo Ref.],"Dentro",DATOS_[id/cod],DATOS_[id/cod]))))))</f>
        <v>0</v>
      </c>
      <c r="D71" s="204">
        <f>COUNTIFS(DATOS_[AGRUP. VALOR. PTO.],$B69,DATOS_[Sexo],$B71,DATOS_[Check Periodo Ref.],"Dentro")</f>
        <v>0</v>
      </c>
      <c r="E71" s="204">
        <f>COUNTIFS(DATOS_[AGRUP. VALOR. PTO.],$B69,DATOS_[Sexo],$B71,DATOS_[Check Periodo Ref.],"Dentro",DATOS_[Check Nº SC Norm],"Sí")</f>
        <v>0</v>
      </c>
      <c r="F71" s="204">
        <f>COUNTIFS(DATOS_[AGRUP. VALOR. PTO.],$B69,DATOS_[Sexo],$B71,DATOS_[Check Periodo Ref.],"Dentro",DATOS_[Check Nº SC Anualiz],"Sí")</f>
        <v>0</v>
      </c>
      <c r="G71" s="204">
        <f>COUNTIFS(DATOS_[AGRUP. VALOR. PTO.],$B69,DATOS_[Sexo],$B71,DATOS_[Check Periodo Ref.],"Dentro",DATOS_[Check Nº SC Norm y Anualiz],"Sí")</f>
        <v>0</v>
      </c>
      <c r="H71" s="204">
        <f>COUNTIFS(DATOS_[AGRUP. VALOR. PTO.],$B69,DATOS_[Sexo],$B71,DATOS_[Check Periodo Ref.],"Dentro",DATOS_[Check Equiparación],"Sí")</f>
        <v>0</v>
      </c>
      <c r="I71" s="195" cm="1">
        <f t="array" ref="I71">IFERROR(
MEDIAN(IF(DATOS_[Sexo]=$B71,IF(DATOS_[[AGRUP. VALOR. PTO.]:[AGRUP. VALOR. PTO.]]=$B69,IF(DATOS_[Check Equiparado]="Sí",IF(DATOS_[Check Periodo Ref.]="Dentro",DATOS_[SALARIO BASE Eq],FALSE))))),
0)</f>
        <v>0</v>
      </c>
      <c r="J71" s="196">
        <f t="array" ref="J71">IFERROR(
(MEDIAN((IF(DATOS_[[Sexo]:[Sexo]]=$B71,IF(DATOS_[[AGRUP. VALOR. PTO.]:[AGRUP. VALOR. PTO.]]=$B69,IF(DATOS_[[Check Periodo Ref.]:[Check Periodo Ref.]]="Dentro",IF(DATOS_[[Check Equiparado]:[Check Equiparado]]="Sí",IF(DATOS!AE$5="Sí",(1/DATOS_[[% anualiz]:[% anualiz]]),1)*IF(DATOS!AE$4="Sí",1/DATOS_[[% normaliz]:[% normaliz]],1)*(DATOS_[Conc.Sal.01])))))))),
0)</f>
        <v>0</v>
      </c>
      <c r="K71" s="196">
        <f t="array" ref="K71">IFERROR(
(MEDIAN((IF(DATOS_[[Sexo]:[Sexo]]=$B71,IF(DATOS_[[AGRUP. VALOR. PTO.]:[AGRUP. VALOR. PTO.]]=$B69,IF(DATOS_[[Check Periodo Ref.]:[Check Periodo Ref.]]="Dentro",IF(DATOS_[[Check Equiparado]:[Check Equiparado]]="Sí",IF(DATOS!AF$5="Sí",(1/DATOS_[[% anualiz]:[% anualiz]]),1)*IF(DATOS!AF$4="Sí",1/DATOS_[[% normaliz]:[% normaliz]],1)*(DATOS_[Conc.Sal.02])))))))),
0)</f>
        <v>0</v>
      </c>
      <c r="L71" s="196">
        <f t="array" ref="L71">IFERROR(
(MEDIAN((IF(DATOS_[[Sexo]:[Sexo]]=$B71,IF(DATOS_[[AGRUP. VALOR. PTO.]:[AGRUP. VALOR. PTO.]]=$B69,IF(DATOS_[[Check Periodo Ref.]:[Check Periodo Ref.]]="Dentro",IF(DATOS_[[Check Equiparado]:[Check Equiparado]]="Sí",IF(DATOS!AG$5="Sí",(1/DATOS_[[% anualiz]:[% anualiz]]),1)*IF(DATOS!AG$4="Sí",1/DATOS_[[% normaliz]:[% normaliz]],1)*(DATOS_[Conc.Sal.03])))))))),
0)</f>
        <v>0</v>
      </c>
      <c r="M71" s="196">
        <f t="array" ref="M71">IFERROR(
(MEDIAN((IF(DATOS_[[Sexo]:[Sexo]]=$B71,IF(DATOS_[[AGRUP. VALOR. PTO.]:[AGRUP. VALOR. PTO.]]=$B69,IF(DATOS_[[Check Periodo Ref.]:[Check Periodo Ref.]]="Dentro",IF(DATOS_[[Check Equiparado]:[Check Equiparado]]="Sí",IF(DATOS!AH$5="Sí",(1/DATOS_[[% anualiz]:[% anualiz]]),1)*IF(DATOS!AH$4="Sí",1/DATOS_[[% normaliz]:[% normaliz]],1)*(DATOS_[Conc.Sal.04])))))))),
0)</f>
        <v>0</v>
      </c>
      <c r="N71" s="196">
        <f t="array" ref="N71">IFERROR(
(MEDIAN((IF(DATOS_[[Sexo]:[Sexo]]=$B71,IF(DATOS_[[AGRUP. VALOR. PTO.]:[AGRUP. VALOR. PTO.]]=$B69,IF(DATOS_[[Check Periodo Ref.]:[Check Periodo Ref.]]="Dentro",IF(DATOS_[[Check Equiparado]:[Check Equiparado]]="Sí",IF(DATOS!AI$5="Sí",(1/DATOS_[[% anualiz]:[% anualiz]]),1)*IF(DATOS!AI$4="Sí",1/DATOS_[[% normaliz]:[% normaliz]],1)*(DATOS_[Conc.Sal.05])))))))),
0)</f>
        <v>0</v>
      </c>
      <c r="O71" s="196">
        <f t="array" ref="O71">IFERROR(
(MEDIAN((IF(DATOS_[[Sexo]:[Sexo]]=$B71,IF(DATOS_[[AGRUP. VALOR. PTO.]:[AGRUP. VALOR. PTO.]]=$B69,IF(DATOS_[[Check Periodo Ref.]:[Check Periodo Ref.]]="Dentro",IF(DATOS_[[Check Equiparado]:[Check Equiparado]]="Sí",IF(DATOS!AJ$5="Sí",(1/DATOS_[[% anualiz]:[% anualiz]]),1)*IF(DATOS!AJ$4="Sí",1/DATOS_[[% normaliz]:[% normaliz]],1)*(DATOS_[Conc.Sal.06])))))))),
0)</f>
        <v>0</v>
      </c>
      <c r="P71" s="196">
        <f t="array" ref="P71">IFERROR(
(MEDIAN((IF(DATOS_[[Sexo]:[Sexo]]=$B71,IF(DATOS_[[AGRUP. VALOR. PTO.]:[AGRUP. VALOR. PTO.]]=$B69,IF(DATOS_[[Check Periodo Ref.]:[Check Periodo Ref.]]="Dentro",IF(DATOS_[[Check Equiparado]:[Check Equiparado]]="Sí",IF(DATOS!AK$5="Sí",(1/DATOS_[[% anualiz]:[% anualiz]]),1)*IF(DATOS!AK$4="Sí",1/DATOS_[[% normaliz]:[% normaliz]],1)*(DATOS_[Conc.Sal.07])))))))),
0)</f>
        <v>0</v>
      </c>
      <c r="Q71" s="196">
        <f t="array" ref="Q71">IFERROR(
(MEDIAN((IF(DATOS_[[Sexo]:[Sexo]]=$B71,IF(DATOS_[[AGRUP. VALOR. PTO.]:[AGRUP. VALOR. PTO.]]=$B69,IF(DATOS_[[Check Periodo Ref.]:[Check Periodo Ref.]]="Dentro",IF(DATOS_[[Check Equiparado]:[Check Equiparado]]="Sí",IF(DATOS!AL$5="Sí",(1/DATOS_[[% anualiz]:[% anualiz]]),1)*IF(DATOS!AL$4="Sí",1/DATOS_[[% normaliz]:[% normaliz]],1)*(DATOS_[Conc.Sal.08])))))))),
0)</f>
        <v>0</v>
      </c>
      <c r="R71" s="196">
        <f t="array" ref="R71">IFERROR(
(MEDIAN((IF(DATOS_[[Sexo]:[Sexo]]=$B71,IF(DATOS_[[AGRUP. VALOR. PTO.]:[AGRUP. VALOR. PTO.]]=$B69,IF(DATOS_[[Check Periodo Ref.]:[Check Periodo Ref.]]="Dentro",IF(DATOS_[[Check Equiparado]:[Check Equiparado]]="Sí",IF(DATOS!AM$5="Sí",(1/DATOS_[[% anualiz]:[% anualiz]]),1)*IF(DATOS!AM$4="Sí",1/DATOS_[[% normaliz]:[% normaliz]],1)*(DATOS_[Conc.Sal.09])))))))),
0)</f>
        <v>0</v>
      </c>
      <c r="S71" s="196">
        <f t="array" ref="S71">IFERROR(
(MEDIAN((IF(DATOS_[[Sexo]:[Sexo]]=$B71,IF(DATOS_[[AGRUP. VALOR. PTO.]:[AGRUP. VALOR. PTO.]]=$B69,IF(DATOS_[[Check Periodo Ref.]:[Check Periodo Ref.]]="Dentro",IF(DATOS_[[Check Equiparado]:[Check Equiparado]]="Sí",IF(DATOS!AN$5="Sí",(1/DATOS_[[% anualiz]:[% anualiz]]),1)*IF(DATOS!AN$4="Sí",1/DATOS_[[% normaliz]:[% normaliz]],1)*(DATOS_[Conc.Sal.10])))))))),
0)</f>
        <v>0</v>
      </c>
      <c r="T71" s="196">
        <f t="array" ref="T71">IFERROR(
(MEDIAN((IF(DATOS_[[Sexo]:[Sexo]]=$B71,IF(DATOS_[[AGRUP. VALOR. PTO.]:[AGRUP. VALOR. PTO.]]=$B69,IF(DATOS_[[Check Periodo Ref.]:[Check Periodo Ref.]]="Dentro",IF(DATOS_[[Check Equiparado]:[Check Equiparado]]="Sí",IF(DATOS!AO$5="Sí",(1/DATOS_[[% anualiz]:[% anualiz]]),1)*IF(DATOS!AO$4="Sí",1/DATOS_[[% normaliz]:[% normaliz]],1)*(DATOS_[Conc.Sal.11])))))))),
0)</f>
        <v>0</v>
      </c>
      <c r="U71" s="196">
        <f t="array" ref="U71">IFERROR(
(MEDIAN((IF(DATOS_[[Sexo]:[Sexo]]=$B71,IF(DATOS_[[AGRUP. VALOR. PTO.]:[AGRUP. VALOR. PTO.]]=$B69,IF(DATOS_[[Check Periodo Ref.]:[Check Periodo Ref.]]="Dentro",IF(DATOS_[[Check Equiparado]:[Check Equiparado]]="Sí",IF(DATOS!AP$5="Sí",(1/DATOS_[[% anualiz]:[% anualiz]]),1)*IF(DATOS!AP$4="Sí",1/DATOS_[[% normaliz]:[% normaliz]],1)*(DATOS_[Conc.Sal.12])))))))),
0)</f>
        <v>0</v>
      </c>
      <c r="V71" s="196">
        <f t="array" ref="V71">IFERROR(
(MEDIAN((IF(DATOS_[[Sexo]:[Sexo]]=$B71,IF(DATOS_[[AGRUP. VALOR. PTO.]:[AGRUP. VALOR. PTO.]]=$B69,IF(DATOS_[[Check Periodo Ref.]:[Check Periodo Ref.]]="Dentro",IF(DATOS_[[Check Equiparado]:[Check Equiparado]]="Sí",IF(DATOS!AQ$5="Sí",(1/DATOS_[[% anualiz]:[% anualiz]]),1)*IF(DATOS!AQ$4="Sí",1/DATOS_[[% normaliz]:[% normaliz]],1)*(DATOS_[Conc.Sal.13])))))))),
0)</f>
        <v>0</v>
      </c>
      <c r="W71" s="196">
        <f t="array" ref="W71">IFERROR(
(MEDIAN((IF(DATOS_[[Sexo]:[Sexo]]=$B71,IF(DATOS_[[AGRUP. VALOR. PTO.]:[AGRUP. VALOR. PTO.]]=$B69,IF(DATOS_[[Check Periodo Ref.]:[Check Periodo Ref.]]="Dentro",IF(DATOS_[[Check Equiparado]:[Check Equiparado]]="Sí",IF(DATOS!AR$5="Sí",(1/DATOS_[[% anualiz]:[% anualiz]]),1)*IF(DATOS!AR$4="Sí",1/DATOS_[[% normaliz]:[% normaliz]],1)*(DATOS_[Conc.Sal.14])))))))),
0)</f>
        <v>0</v>
      </c>
      <c r="X71" s="196">
        <f t="array" ref="X71">IFERROR(
(MEDIAN((IF(DATOS_[[Sexo]:[Sexo]]=$B71,IF(DATOS_[[AGRUP. VALOR. PTO.]:[AGRUP. VALOR. PTO.]]=$B69,IF(DATOS_[[Check Periodo Ref.]:[Check Periodo Ref.]]="Dentro",IF(DATOS_[[Check Equiparado]:[Check Equiparado]]="Sí",IF(DATOS!AS$5="Sí",(1/DATOS_[[% anualiz]:[% anualiz]]),1)*IF(DATOS!AS$4="Sí",1/DATOS_[[% normaliz]:[% normaliz]],1)*(DATOS_[Conc.Sal.15])))))))),
0)</f>
        <v>0</v>
      </c>
      <c r="Y71" s="196">
        <f t="array" ref="Y71">IFERROR(
(MEDIAN((IF(DATOS_[[Sexo]:[Sexo]]=$B71,IF(DATOS_[[AGRUP. VALOR. PTO.]:[AGRUP. VALOR. PTO.]]=$B69,IF(DATOS_[[Check Periodo Ref.]:[Check Periodo Ref.]]="Dentro",IF(DATOS_[[Check Equiparado]:[Check Equiparado]]="Sí",IF(DATOS!AT$5="Sí",(1/DATOS_[[% anualiz]:[% anualiz]]),1)*IF(DATOS!AT$4="Sí",1/DATOS_[[% normaliz]:[% normaliz]],1)*(DATOS_[Conc.Sal.16])))))))),
0)</f>
        <v>0</v>
      </c>
      <c r="Z71" s="196">
        <f t="array" ref="Z71">IFERROR(
(MEDIAN((IF(DATOS_[[Sexo]:[Sexo]]=$B71,IF(DATOS_[[AGRUP. VALOR. PTO.]:[AGRUP. VALOR. PTO.]]=$B69,IF(DATOS_[[Check Periodo Ref.]:[Check Periodo Ref.]]="Dentro",IF(DATOS_[[Check Equiparado]:[Check Equiparado]]="Sí",IF(DATOS!AU$5="Sí",(1/DATOS_[[% anualiz]:[% anualiz]]),1)*IF(DATOS!AU$4="Sí",1/DATOS_[[% normaliz]:[% normaliz]],1)*(DATOS_[Conc.Sal.17])))))))),
0)</f>
        <v>0</v>
      </c>
      <c r="AA71" s="196">
        <f t="array" ref="AA71">IFERROR(
(MEDIAN((IF(DATOS_[[Sexo]:[Sexo]]=$B71,IF(DATOS_[[AGRUP. VALOR. PTO.]:[AGRUP. VALOR. PTO.]]=$B69,IF(DATOS_[[Check Periodo Ref.]:[Check Periodo Ref.]]="Dentro",IF(DATOS_[[Check Equiparado]:[Check Equiparado]]="Sí",IF(DATOS!AV$5="Sí",(1/DATOS_[[% anualiz]:[% anualiz]]),1)*IF(DATOS!AV$4="Sí",1/DATOS_[[% normaliz]:[% normaliz]],1)*(DATOS_[Conc.Sal.18])))))))),
0)</f>
        <v>0</v>
      </c>
      <c r="AB71" s="196">
        <f t="array" ref="AB71">IFERROR(
(MEDIAN((IF(DATOS_[[Sexo]:[Sexo]]=$B71,IF(DATOS_[[AGRUP. VALOR. PTO.]:[AGRUP. VALOR. PTO.]]=$B69,IF(DATOS_[[Check Periodo Ref.]:[Check Periodo Ref.]]="Dentro",IF(DATOS_[[Check Equiparado]:[Check Equiparado]]="Sí",IF(DATOS!AW$5="Sí",(1/DATOS_[[% anualiz]:[% anualiz]]),1)*IF(DATOS!AW$4="Sí",1/DATOS_[[% normaliz]:[% normaliz]],1)*(DATOS_[Conc.Sal.19])))))))),
0)</f>
        <v>0</v>
      </c>
      <c r="AC71" s="196">
        <f t="array" ref="AC71">IFERROR(
(MEDIAN((IF(DATOS_[[Sexo]:[Sexo]]=$B71,IF(DATOS_[[AGRUP. VALOR. PTO.]:[AGRUP. VALOR. PTO.]]=$B69,IF(DATOS_[[Check Periodo Ref.]:[Check Periodo Ref.]]="Dentro",IF(DATOS_[[Check Equiparado]:[Check Equiparado]]="Sí",IF(DATOS!AX$5="Sí",(1/DATOS_[[% anualiz]:[% anualiz]]),1)*IF(DATOS!AX$4="Sí",1/DATOS_[[% normaliz]:[% normaliz]],1)*(DATOS_[Conc.Sal.20])))))))),
0)</f>
        <v>0</v>
      </c>
      <c r="AD71" s="196">
        <f t="array" ref="AD71">IFERROR(
(MEDIAN((IF(DATOS_[[Sexo]:[Sexo]]=$B71,IF(DATOS_[[AGRUP. VALOR. PTO.]:[AGRUP. VALOR. PTO.]]=$B69,IF(DATOS_[[Check Periodo Ref.]:[Check Periodo Ref.]]="Dentro",IF(DATOS_[[Check Equiparado]:[Check Equiparado]]="Sí",IF(DATOS!AY$5="Sí",(1/DATOS_[[% anualiz]:[% anualiz]]),1)*IF(DATOS!AY$4="Sí",1/DATOS_[[% normaliz]:[% normaliz]],1)*(DATOS_[Conc.Sal.21])))))))),
0)</f>
        <v>0</v>
      </c>
      <c r="AE71" s="196">
        <f t="array" ref="AE71">IFERROR(
(MEDIAN((IF(DATOS_[[Sexo]:[Sexo]]=$B71,IF(DATOS_[[AGRUP. VALOR. PTO.]:[AGRUP. VALOR. PTO.]]=$B69,IF(DATOS_[[Check Periodo Ref.]:[Check Periodo Ref.]]="Dentro",IF(DATOS_[[Check Equiparado]:[Check Equiparado]]="Sí",IF(DATOS!AZ$5="Sí",(1/DATOS_[[% anualiz]:[% anualiz]]),1)*IF(DATOS!AZ$4="Sí",1/DATOS_[[% normaliz]:[% normaliz]],1)*(DATOS_[Conc.Sal.22])))))))),
0)</f>
        <v>0</v>
      </c>
      <c r="AF71" s="196">
        <f t="array" ref="AF71">IFERROR(
(MEDIAN((IF(DATOS_[[Sexo]:[Sexo]]=$B71,IF(DATOS_[[AGRUP. VALOR. PTO.]:[AGRUP. VALOR. PTO.]]=$B69,IF(DATOS_[[Check Periodo Ref.]:[Check Periodo Ref.]]="Dentro",IF(DATOS_[[Check Equiparado]:[Check Equiparado]]="Sí",IF(DATOS!BA$5="Sí",(1/DATOS_[[% anualiz]:[% anualiz]]),1)*IF(DATOS!BA$4="Sí",1/DATOS_[[% normaliz]:[% normaliz]],1)*(DATOS_[Conc.Sal.23])))))))),
0)</f>
        <v>0</v>
      </c>
      <c r="AG71" s="196">
        <f t="array" ref="AG71">IFERROR(
(MEDIAN((IF(DATOS_[[Sexo]:[Sexo]]=$B71,IF(DATOS_[[AGRUP. VALOR. PTO.]:[AGRUP. VALOR. PTO.]]=$B69,IF(DATOS_[[Check Periodo Ref.]:[Check Periodo Ref.]]="Dentro",IF(DATOS_[[Check Equiparado]:[Check Equiparado]]="Sí",IF(DATOS!BB$5="Sí",(1/DATOS_[[% anualiz]:[% anualiz]]),1)*IF(DATOS!BB$4="Sí",1/DATOS_[[% normaliz]:[% normaliz]],1)*(DATOS_[Conc.Sal.24])))))))),
0)</f>
        <v>0</v>
      </c>
      <c r="AH71" s="196">
        <f t="array" ref="AH71">IFERROR(
(MEDIAN((IF(DATOS_[[Sexo]:[Sexo]]=$B71,IF(DATOS_[[AGRUP. VALOR. PTO.]:[AGRUP. VALOR. PTO.]]=$B69,IF(DATOS_[[Check Periodo Ref.]:[Check Periodo Ref.]]="Dentro",IF(DATOS_[[Check Equiparado]:[Check Equiparado]]="Sí",IF(DATOS!BC$5="Sí",(1/DATOS_[[% anualiz]:[% anualiz]]),1)*IF(DATOS!BC$4="Sí",1/DATOS_[[% normaliz]:[% normaliz]],1)*(DATOS_[Conc.Sal.25])))))))),
0)</f>
        <v>0</v>
      </c>
      <c r="AI71" s="196">
        <f t="array" ref="AI71">IFERROR(
(MEDIAN((IF(DATOS_[[Sexo]:[Sexo]]=$B71,IF(DATOS_[[AGRUP. VALOR. PTO.]:[AGRUP. VALOR. PTO.]]=$B69,IF(DATOS_[[Check Periodo Ref.]:[Check Periodo Ref.]]="Dentro",IF(DATOS_[[Check Equiparado]:[Check Equiparado]]="Sí",IF(DATOS!BD$5="Sí",(1/DATOS_[[% anualiz]:[% anualiz]]),1)*IF(DATOS!BD$4="Sí",1/DATOS_[[% normaliz]:[% normaliz]],1)*(DATOS_[Conc.Sal.26])))))))),
0)</f>
        <v>0</v>
      </c>
      <c r="AJ71" s="196">
        <f t="array" ref="AJ71">IFERROR(
(MEDIAN((IF(DATOS_[[Sexo]:[Sexo]]=$B71,IF(DATOS_[[AGRUP. VALOR. PTO.]:[AGRUP. VALOR. PTO.]]=$B69,IF(DATOS_[[Check Periodo Ref.]:[Check Periodo Ref.]]="Dentro",IF(DATOS_[[Check Equiparado]:[Check Equiparado]]="Sí",IF(DATOS!BE$5="Sí",(1/DATOS_[[% anualiz]:[% anualiz]]),1)*IF(DATOS!BE$4="Sí",1/DATOS_[[% normaliz]:[% normaliz]],1)*(DATOS_[Conc.Sal.27])))))))),
0)</f>
        <v>0</v>
      </c>
      <c r="AK71" s="196">
        <f t="array" ref="AK71">IFERROR(
(MEDIAN((IF(DATOS_[[Sexo]:[Sexo]]=$B71,IF(DATOS_[[AGRUP. VALOR. PTO.]:[AGRUP. VALOR. PTO.]]=$B69,IF(DATOS_[[Check Periodo Ref.]:[Check Periodo Ref.]]="Dentro",IF(DATOS_[[Check Equiparado]:[Check Equiparado]]="Sí",IF(DATOS!BF$5="Sí",(1/DATOS_[[% anualiz]:[% anualiz]]),1)*IF(DATOS!BF$4="Sí",1/DATOS_[[% normaliz]:[% normaliz]],1)*(DATOS_[Conc.Sal.28])))))))),
0)</f>
        <v>0</v>
      </c>
      <c r="AL71" s="196">
        <f t="array" ref="AL71">IFERROR(
(MEDIAN((IF(DATOS_[[Sexo]:[Sexo]]=$B71,IF(DATOS_[[AGRUP. VALOR. PTO.]:[AGRUP. VALOR. PTO.]]=$B69,IF(DATOS_[[Check Periodo Ref.]:[Check Periodo Ref.]]="Dentro",IF(DATOS_[[Check Equiparado]:[Check Equiparado]]="Sí",IF(DATOS!BG$5="Sí",(1/DATOS_[[% anualiz]:[% anualiz]]),1)*IF(DATOS!BG$4="Sí",1/DATOS_[[% normaliz]:[% normaliz]],1)*(DATOS_[Conc.Sal.29])))))))),
0)</f>
        <v>0</v>
      </c>
      <c r="AM71" s="196">
        <f t="array" ref="AM71">IFERROR(
(MEDIAN((IF(DATOS_[[Sexo]:[Sexo]]=$B71,IF(DATOS_[[AGRUP. VALOR. PTO.]:[AGRUP. VALOR. PTO.]]=$B69,IF(DATOS_[[Check Periodo Ref.]:[Check Periodo Ref.]]="Dentro",IF(DATOS_[[Check Equiparado]:[Check Equiparado]]="Sí",IF(DATOS!BH$5="Sí",(1/DATOS_[[% anualiz]:[% anualiz]]),1)*IF(DATOS!BH$4="Sí",1/DATOS_[[% normaliz]:[% normaliz]],1)*(DATOS_[Conc.Sal.30])))))))),
0)</f>
        <v>0</v>
      </c>
      <c r="AN71" s="195">
        <f t="array" ref="AN71">IFERROR(
MEDIAN(IF(DATOS_[Sexo]=$B71,IF(DATOS_[[AGRUP. VALOR. PTO.]:[AGRUP. VALOR. PTO.]]=$B69,IF(DATOS_[Check Equiparado]="Sí",IF(DATOS_[Check Periodo Ref.]="Dentro",DATOS_[Tot COMPL.SAL Eq],FALSE))))),
0)</f>
        <v>0</v>
      </c>
      <c r="AO71" s="172">
        <f t="array" ref="AO71">IFERROR(
MEDIAN(IF(DATOS_[Sexo]=$B71,IF(DATOS_[[AGRUP. VALOR. PTO.]:[AGRUP. VALOR. PTO.]]=$B69,IF(DATOS_[Check Equiparado]="Sí",IF(DATOS_[Check Periodo Ref.]="Dentro",DATOS_[TOTAL SALARIO Eq],FALSE))))),
0)</f>
        <v>0</v>
      </c>
      <c r="AP71" s="173">
        <f t="array" ref="AP71">IFERROR(
(MEDIAN((IF(DATOS_[[Sexo]:[Sexo]]=$B71,IF(DATOS_[[AGRUP. VALOR. PTO.]:[AGRUP. VALOR. PTO.]]=$B70,IF(DATOS_[[Check Periodo Ref.]:[Check Periodo Ref.]]="Dentro",IF(DATOS_[[Check Equiparado]:[Check Equiparado]]="Sí",IF(DATOS!BW$5="Sí",(1/DATOS_[[% anualiz]:[% anualiz]]),1)*IF(DATOS!BW$4="Sí",1/DATOS_[[% normaliz]:[% normaliz]],1)*(DATOS_[C.Extra.01])))))))),
0)</f>
        <v>0</v>
      </c>
      <c r="AQ71" s="173">
        <f t="array" ref="AQ71">IFERROR(
(MEDIAN((IF(DATOS_[[Sexo]:[Sexo]]=$B71,IF(DATOS_[[AGRUP. VALOR. PTO.]:[AGRUP. VALOR. PTO.]]=$B70,IF(DATOS_[[Check Periodo Ref.]:[Check Periodo Ref.]]="Dentro",IF(DATOS_[[Check Equiparado]:[Check Equiparado]]="Sí",IF(DATOS!CB$5="Sí",(1/DATOS_[[% anualiz]:[% anualiz]]),1)*IF(DATOS!CB$4="Sí",1/DATOS_[[% normaliz]:[% normaliz]],1)*(DATOS_[C.Extra.06])))))))),
0)</f>
        <v>0</v>
      </c>
      <c r="AR71" s="173">
        <f t="array" ref="AR71">IFERROR(
(MEDIAN((IF(DATOS_[[Sexo]:[Sexo]]=$B71,IF(DATOS_[[AGRUP. VALOR. PTO.]:[AGRUP. VALOR. PTO.]]=$B70,IF(DATOS_[[Check Periodo Ref.]:[Check Periodo Ref.]]="Dentro",IF(DATOS_[[Check Equiparado]:[Check Equiparado]]="Sí",IF(DATOS!CC$5="Sí",(1/DATOS_[[% anualiz]:[% anualiz]]),1)*IF(DATOS!CC$4="Sí",1/DATOS_[[% normaliz]:[% normaliz]],1)*(DATOS_[C.Extra.07])))))))),
0)</f>
        <v>0</v>
      </c>
      <c r="AS71" s="173">
        <f t="array" ref="AS71">IFERROR(
(MEDIAN((IF(DATOS_[[Sexo]:[Sexo]]=$B71,IF(DATOS_[[AGRUP. VALOR. PTO.]:[AGRUP. VALOR. PTO.]]=$B70,IF(DATOS_[[Check Periodo Ref.]:[Check Periodo Ref.]]="Dentro",IF(DATOS_[[Check Equiparado]:[Check Equiparado]]="Sí",IF(DATOS!CD$5="Sí",(1/DATOS_[[% anualiz]:[% anualiz]]),1)*IF(DATOS!CD$4="Sí",1/DATOS_[[% normaliz]:[% normaliz]],1)*(DATOS_[C.Extra.08])))))))),
0)</f>
        <v>0</v>
      </c>
      <c r="AT71" s="173">
        <f t="array" ref="AT71">IFERROR(
(MEDIAN((IF(DATOS_[[Sexo]:[Sexo]]=$B71,IF(DATOS_[[AGRUP. VALOR. PTO.]:[AGRUP. VALOR. PTO.]]=$B70,IF(DATOS_[[Check Periodo Ref.]:[Check Periodo Ref.]]="Dentro",IF(DATOS_[[Check Equiparado]:[Check Equiparado]]="Sí",IF(DATOS!CG$5="Sí",(1/DATOS_[[% anualiz]:[% anualiz]]),1)*IF(DATOS!CG$4="Sí",1/DATOS_[[% normaliz]:[% normaliz]],1)*(DATOS_[C.Extra.11])))))))),
0)</f>
        <v>0</v>
      </c>
      <c r="AU71" s="197">
        <f t="array" ref="AU71">IFERROR(
MEDIAN(IF(DATOS_[Sexo]=$B71,IF(DATOS_[[AGRUP. VALOR. PTO.]:[AGRUP. VALOR. PTO.]]=$B69,IF(DATOS_[Check Equiparado]="Sí",IF(DATOS_[Check Periodo Ref.]="Dentro",DATOS_[Tot Extrasalarial Eq],FALSE))))),
0)</f>
        <v>0</v>
      </c>
      <c r="AV71" s="175">
        <f t="array" ref="AV71">IFERROR(
MEDIAN(IF(DATOS_[Sexo]=$B71,IF(DATOS_[[AGRUP. VALOR. PTO.]:[AGRUP. VALOR. PTO.]]=$B69,IF(DATOS_[Check Equiparado]="Sí",IF(DATOS_[Check Periodo Ref.]="Dentro",DATOS_[TOTAL Retrib Eq],FALSE))))),
0)</f>
        <v>0</v>
      </c>
    </row>
    <row r="72" spans="1:48" ht="15.6" thickBot="1" x14ac:dyDescent="0.3">
      <c r="A72" s="133" t="str">
        <f t="shared" ref="A72" si="79">+A73</f>
        <v>[ocultar]</v>
      </c>
      <c r="B72" s="199" t="s">
        <v>257</v>
      </c>
      <c r="C72" s="200"/>
      <c r="D72" s="201"/>
      <c r="E72" s="201"/>
      <c r="F72" s="201"/>
      <c r="G72" s="201"/>
      <c r="H72" s="201"/>
      <c r="I72" s="189" t="str">
        <f t="shared" ref="I72:AV72" si="80">IFERROR((I73-I74)/I73,"")</f>
        <v/>
      </c>
      <c r="J72" s="190" t="str">
        <f t="shared" si="80"/>
        <v/>
      </c>
      <c r="K72" s="191" t="str">
        <f t="shared" si="80"/>
        <v/>
      </c>
      <c r="L72" s="191" t="str">
        <f t="shared" si="80"/>
        <v/>
      </c>
      <c r="M72" s="191" t="str">
        <f t="shared" si="80"/>
        <v/>
      </c>
      <c r="N72" s="192" t="str">
        <f t="shared" si="80"/>
        <v/>
      </c>
      <c r="O72" s="193" t="str">
        <f t="shared" si="80"/>
        <v/>
      </c>
      <c r="P72" s="193" t="str">
        <f t="shared" si="80"/>
        <v/>
      </c>
      <c r="Q72" s="193" t="str">
        <f t="shared" si="80"/>
        <v/>
      </c>
      <c r="R72" s="193" t="str">
        <f t="shared" si="80"/>
        <v/>
      </c>
      <c r="S72" s="193" t="str">
        <f t="shared" si="80"/>
        <v/>
      </c>
      <c r="T72" s="193" t="str">
        <f t="shared" si="80"/>
        <v/>
      </c>
      <c r="U72" s="193" t="str">
        <f t="shared" si="80"/>
        <v/>
      </c>
      <c r="V72" s="193" t="str">
        <f t="shared" si="80"/>
        <v/>
      </c>
      <c r="W72" s="193" t="str">
        <f t="shared" si="80"/>
        <v/>
      </c>
      <c r="X72" s="193" t="str">
        <f t="shared" si="80"/>
        <v/>
      </c>
      <c r="Y72" s="193" t="str">
        <f t="shared" si="80"/>
        <v/>
      </c>
      <c r="Z72" s="193" t="str">
        <f t="shared" si="80"/>
        <v/>
      </c>
      <c r="AA72" s="193" t="str">
        <f t="shared" si="80"/>
        <v/>
      </c>
      <c r="AB72" s="193" t="str">
        <f t="shared" si="80"/>
        <v/>
      </c>
      <c r="AC72" s="193" t="str">
        <f t="shared" si="80"/>
        <v/>
      </c>
      <c r="AD72" s="193" t="str">
        <f t="shared" si="80"/>
        <v/>
      </c>
      <c r="AE72" s="193" t="str">
        <f t="shared" si="80"/>
        <v/>
      </c>
      <c r="AF72" s="193" t="str">
        <f t="shared" si="80"/>
        <v/>
      </c>
      <c r="AG72" s="193" t="str">
        <f t="shared" si="80"/>
        <v/>
      </c>
      <c r="AH72" s="193" t="str">
        <f t="shared" si="80"/>
        <v/>
      </c>
      <c r="AI72" s="193" t="str">
        <f t="shared" si="80"/>
        <v/>
      </c>
      <c r="AJ72" s="193" t="str">
        <f t="shared" si="80"/>
        <v/>
      </c>
      <c r="AK72" s="193" t="str">
        <f t="shared" si="80"/>
        <v/>
      </c>
      <c r="AL72" s="193" t="str">
        <f t="shared" si="80"/>
        <v/>
      </c>
      <c r="AM72" s="193" t="str">
        <f t="shared" si="80"/>
        <v/>
      </c>
      <c r="AN72" s="189" t="str">
        <f t="shared" si="80"/>
        <v/>
      </c>
      <c r="AO72" s="162" t="str">
        <f t="shared" si="80"/>
        <v/>
      </c>
      <c r="AP72" s="163" t="str">
        <f t="shared" si="80"/>
        <v/>
      </c>
      <c r="AQ72" s="163" t="str">
        <f t="shared" si="80"/>
        <v/>
      </c>
      <c r="AR72" s="163" t="str">
        <f t="shared" si="80"/>
        <v/>
      </c>
      <c r="AS72" s="163" t="str">
        <f t="shared" si="80"/>
        <v/>
      </c>
      <c r="AT72" s="163" t="str">
        <f t="shared" si="80"/>
        <v/>
      </c>
      <c r="AU72" s="194" t="str">
        <f t="shared" si="80"/>
        <v/>
      </c>
      <c r="AV72" s="165" t="str">
        <f t="shared" si="80"/>
        <v/>
      </c>
    </row>
    <row r="73" spans="1:48" x14ac:dyDescent="0.25">
      <c r="A73" s="133" t="str">
        <f t="shared" ref="A73" si="81">+IF(C73+C74=0,"[ocultar]","")</f>
        <v>[ocultar]</v>
      </c>
      <c r="B73" s="202" t="s">
        <v>394</v>
      </c>
      <c r="C73" s="203">
        <f t="array" ref="C73">SUM(IF($B73=DATOS_[Sexo],
IF($B72=DATOS_[AGRUP. VALOR. PTO.],
IF("Dentro"=DATOS_[Check Periodo Ref.],
1/(COUNTIFS(DATOS_[Sexo],$B73,DATOS_[AGRUP. VALOR. PTO.],$B72,DATOS_[Check Periodo Ref.],"Dentro",DATOS_[id/cod],DATOS_[id/cod]))))))</f>
        <v>0</v>
      </c>
      <c r="D73" s="204">
        <f>COUNTIFS(DATOS_[AGRUP. VALOR. PTO.],$B72,DATOS_[Sexo],$B73,DATOS_[Check Periodo Ref.],"Dentro")</f>
        <v>0</v>
      </c>
      <c r="E73" s="204">
        <f>COUNTIFS(DATOS_[AGRUP. VALOR. PTO.],$B72,DATOS_[Sexo],$B73,DATOS_[Check Periodo Ref.],"Dentro",DATOS_[Check Nº SC Norm],"Sí")</f>
        <v>0</v>
      </c>
      <c r="F73" s="204">
        <f>COUNTIFS(DATOS_[AGRUP. VALOR. PTO.],$B72,DATOS_[Sexo],$B73,DATOS_[Check Periodo Ref.],"Dentro",DATOS_[Check Nº SC Anualiz],"Sí")</f>
        <v>0</v>
      </c>
      <c r="G73" s="204">
        <f>COUNTIFS(DATOS_[AGRUP. VALOR. PTO.],$B72,DATOS_[Sexo],$B73,DATOS_[Check Periodo Ref.],"Dentro",DATOS_[Check Nº SC Norm y Anualiz],"Sí")</f>
        <v>0</v>
      </c>
      <c r="H73" s="204">
        <f>COUNTIFS(DATOS_[AGRUP. VALOR. PTO.],$B72,DATOS_[Sexo],$B73,DATOS_[Check Periodo Ref.],"Dentro",DATOS_[Check Equiparación],"Sí")</f>
        <v>0</v>
      </c>
      <c r="I73" s="195">
        <f t="array" ref="I73">IFERROR(
MEDIAN(IF(DATOS_[Sexo]=$B73,IF(DATOS_[[AGRUP. VALOR. PTO.]:[AGRUP. VALOR. PTO.]]=$B72,IF(DATOS_[Check Equiparado]="Sí",IF(DATOS_[Check Periodo Ref.]="Dentro",DATOS_[SALARIO BASE Eq],FALSE))))),
0)</f>
        <v>0</v>
      </c>
      <c r="J73" s="196">
        <f t="array" ref="J73">IFERROR(
(MEDIAN((IF(DATOS_[[Sexo]:[Sexo]]=$B73,IF(DATOS_[[AGRUP. VALOR. PTO.]:[AGRUP. VALOR. PTO.]]=$B72,IF(DATOS_[[Check Periodo Ref.]:[Check Periodo Ref.]]="Dentro",IF(DATOS_[[Check Equiparado]:[Check Equiparado]]="Sí",IF(DATOS!AE$5="Sí",(1/DATOS_[[% anualiz]:[% anualiz]]),1)*IF(DATOS!AE$4="Sí",1/DATOS_[[% normaliz]:[% normaliz]],1)*(DATOS_[Conc.Sal.01])))))))),
0)</f>
        <v>0</v>
      </c>
      <c r="K73" s="196">
        <f t="array" ref="K73">IFERROR(
(MEDIAN((IF(DATOS_[[Sexo]:[Sexo]]=$B73,IF(DATOS_[[AGRUP. VALOR. PTO.]:[AGRUP. VALOR. PTO.]]=$B72,IF(DATOS_[[Check Periodo Ref.]:[Check Periodo Ref.]]="Dentro",IF(DATOS_[[Check Equiparado]:[Check Equiparado]]="Sí",IF(DATOS!AF$5="Sí",(1/DATOS_[[% anualiz]:[% anualiz]]),1)*IF(DATOS!AF$4="Sí",1/DATOS_[[% normaliz]:[% normaliz]],1)*(DATOS_[Conc.Sal.02])))))))),
0)</f>
        <v>0</v>
      </c>
      <c r="L73" s="196">
        <f t="array" ref="L73">IFERROR(
(MEDIAN((IF(DATOS_[[Sexo]:[Sexo]]=$B73,IF(DATOS_[[AGRUP. VALOR. PTO.]:[AGRUP. VALOR. PTO.]]=$B72,IF(DATOS_[[Check Periodo Ref.]:[Check Periodo Ref.]]="Dentro",IF(DATOS_[[Check Equiparado]:[Check Equiparado]]="Sí",IF(DATOS!AG$5="Sí",(1/DATOS_[[% anualiz]:[% anualiz]]),1)*IF(DATOS!AG$4="Sí",1/DATOS_[[% normaliz]:[% normaliz]],1)*(DATOS_[Conc.Sal.03])))))))),
0)</f>
        <v>0</v>
      </c>
      <c r="M73" s="196">
        <f t="array" ref="M73">IFERROR(
(MEDIAN((IF(DATOS_[[Sexo]:[Sexo]]=$B73,IF(DATOS_[[AGRUP. VALOR. PTO.]:[AGRUP. VALOR. PTO.]]=$B72,IF(DATOS_[[Check Periodo Ref.]:[Check Periodo Ref.]]="Dentro",IF(DATOS_[[Check Equiparado]:[Check Equiparado]]="Sí",IF(DATOS!AH$5="Sí",(1/DATOS_[[% anualiz]:[% anualiz]]),1)*IF(DATOS!AH$4="Sí",1/DATOS_[[% normaliz]:[% normaliz]],1)*(DATOS_[Conc.Sal.04])))))))),
0)</f>
        <v>0</v>
      </c>
      <c r="N73" s="196">
        <f t="array" ref="N73">IFERROR(
(MEDIAN((IF(DATOS_[[Sexo]:[Sexo]]=$B73,IF(DATOS_[[AGRUP. VALOR. PTO.]:[AGRUP. VALOR. PTO.]]=$B72,IF(DATOS_[[Check Periodo Ref.]:[Check Periodo Ref.]]="Dentro",IF(DATOS_[[Check Equiparado]:[Check Equiparado]]="Sí",IF(DATOS!AI$5="Sí",(1/DATOS_[[% anualiz]:[% anualiz]]),1)*IF(DATOS!AI$4="Sí",1/DATOS_[[% normaliz]:[% normaliz]],1)*(DATOS_[Conc.Sal.05])))))))),
0)</f>
        <v>0</v>
      </c>
      <c r="O73" s="196">
        <f t="array" ref="O73">IFERROR(
(MEDIAN((IF(DATOS_[[Sexo]:[Sexo]]=$B73,IF(DATOS_[[AGRUP. VALOR. PTO.]:[AGRUP. VALOR. PTO.]]=$B72,IF(DATOS_[[Check Periodo Ref.]:[Check Periodo Ref.]]="Dentro",IF(DATOS_[[Check Equiparado]:[Check Equiparado]]="Sí",IF(DATOS!AJ$5="Sí",(1/DATOS_[[% anualiz]:[% anualiz]]),1)*IF(DATOS!AJ$4="Sí",1/DATOS_[[% normaliz]:[% normaliz]],1)*(DATOS_[Conc.Sal.06])))))))),
0)</f>
        <v>0</v>
      </c>
      <c r="P73" s="196">
        <f t="array" ref="P73">IFERROR(
(MEDIAN((IF(DATOS_[[Sexo]:[Sexo]]=$B73,IF(DATOS_[[AGRUP. VALOR. PTO.]:[AGRUP. VALOR. PTO.]]=$B72,IF(DATOS_[[Check Periodo Ref.]:[Check Periodo Ref.]]="Dentro",IF(DATOS_[[Check Equiparado]:[Check Equiparado]]="Sí",IF(DATOS!AK$5="Sí",(1/DATOS_[[% anualiz]:[% anualiz]]),1)*IF(DATOS!AK$4="Sí",1/DATOS_[[% normaliz]:[% normaliz]],1)*(DATOS_[Conc.Sal.07])))))))),
0)</f>
        <v>0</v>
      </c>
      <c r="Q73" s="196">
        <f t="array" ref="Q73">IFERROR(
(MEDIAN((IF(DATOS_[[Sexo]:[Sexo]]=$B73,IF(DATOS_[[AGRUP. VALOR. PTO.]:[AGRUP. VALOR. PTO.]]=$B72,IF(DATOS_[[Check Periodo Ref.]:[Check Periodo Ref.]]="Dentro",IF(DATOS_[[Check Equiparado]:[Check Equiparado]]="Sí",IF(DATOS!AL$5="Sí",(1/DATOS_[[% anualiz]:[% anualiz]]),1)*IF(DATOS!AL$4="Sí",1/DATOS_[[% normaliz]:[% normaliz]],1)*(DATOS_[Conc.Sal.08])))))))),
0)</f>
        <v>0</v>
      </c>
      <c r="R73" s="196">
        <f t="array" ref="R73">IFERROR(
(MEDIAN((IF(DATOS_[[Sexo]:[Sexo]]=$B73,IF(DATOS_[[AGRUP. VALOR. PTO.]:[AGRUP. VALOR. PTO.]]=$B72,IF(DATOS_[[Check Periodo Ref.]:[Check Periodo Ref.]]="Dentro",IF(DATOS_[[Check Equiparado]:[Check Equiparado]]="Sí",IF(DATOS!AM$5="Sí",(1/DATOS_[[% anualiz]:[% anualiz]]),1)*IF(DATOS!AM$4="Sí",1/DATOS_[[% normaliz]:[% normaliz]],1)*(DATOS_[Conc.Sal.09])))))))),
0)</f>
        <v>0</v>
      </c>
      <c r="S73" s="196">
        <f t="array" ref="S73">IFERROR(
(MEDIAN((IF(DATOS_[[Sexo]:[Sexo]]=$B73,IF(DATOS_[[AGRUP. VALOR. PTO.]:[AGRUP. VALOR. PTO.]]=$B72,IF(DATOS_[[Check Periodo Ref.]:[Check Periodo Ref.]]="Dentro",IF(DATOS_[[Check Equiparado]:[Check Equiparado]]="Sí",IF(DATOS!AN$5="Sí",(1/DATOS_[[% anualiz]:[% anualiz]]),1)*IF(DATOS!AN$4="Sí",1/DATOS_[[% normaliz]:[% normaliz]],1)*(DATOS_[Conc.Sal.10])))))))),
0)</f>
        <v>0</v>
      </c>
      <c r="T73" s="196">
        <f t="array" ref="T73">IFERROR(
(MEDIAN((IF(DATOS_[[Sexo]:[Sexo]]=$B73,IF(DATOS_[[AGRUP. VALOR. PTO.]:[AGRUP. VALOR. PTO.]]=$B72,IF(DATOS_[[Check Periodo Ref.]:[Check Periodo Ref.]]="Dentro",IF(DATOS_[[Check Equiparado]:[Check Equiparado]]="Sí",IF(DATOS!AO$5="Sí",(1/DATOS_[[% anualiz]:[% anualiz]]),1)*IF(DATOS!AO$4="Sí",1/DATOS_[[% normaliz]:[% normaliz]],1)*(DATOS_[Conc.Sal.11])))))))),
0)</f>
        <v>0</v>
      </c>
      <c r="U73" s="196">
        <f t="array" ref="U73">IFERROR(
(MEDIAN((IF(DATOS_[[Sexo]:[Sexo]]=$B73,IF(DATOS_[[AGRUP. VALOR. PTO.]:[AGRUP. VALOR. PTO.]]=$B72,IF(DATOS_[[Check Periodo Ref.]:[Check Periodo Ref.]]="Dentro",IF(DATOS_[[Check Equiparado]:[Check Equiparado]]="Sí",IF(DATOS!AP$5="Sí",(1/DATOS_[[% anualiz]:[% anualiz]]),1)*IF(DATOS!AP$4="Sí",1/DATOS_[[% normaliz]:[% normaliz]],1)*(DATOS_[Conc.Sal.12])))))))),
0)</f>
        <v>0</v>
      </c>
      <c r="V73" s="196">
        <f t="array" ref="V73">IFERROR(
(MEDIAN((IF(DATOS_[[Sexo]:[Sexo]]=$B73,IF(DATOS_[[AGRUP. VALOR. PTO.]:[AGRUP. VALOR. PTO.]]=$B72,IF(DATOS_[[Check Periodo Ref.]:[Check Periodo Ref.]]="Dentro",IF(DATOS_[[Check Equiparado]:[Check Equiparado]]="Sí",IF(DATOS!AQ$5="Sí",(1/DATOS_[[% anualiz]:[% anualiz]]),1)*IF(DATOS!AQ$4="Sí",1/DATOS_[[% normaliz]:[% normaliz]],1)*(DATOS_[Conc.Sal.13])))))))),
0)</f>
        <v>0</v>
      </c>
      <c r="W73" s="196">
        <f t="array" ref="W73">IFERROR(
(MEDIAN((IF(DATOS_[[Sexo]:[Sexo]]=$B73,IF(DATOS_[[AGRUP. VALOR. PTO.]:[AGRUP. VALOR. PTO.]]=$B72,IF(DATOS_[[Check Periodo Ref.]:[Check Periodo Ref.]]="Dentro",IF(DATOS_[[Check Equiparado]:[Check Equiparado]]="Sí",IF(DATOS!AR$5="Sí",(1/DATOS_[[% anualiz]:[% anualiz]]),1)*IF(DATOS!AR$4="Sí",1/DATOS_[[% normaliz]:[% normaliz]],1)*(DATOS_[Conc.Sal.14])))))))),
0)</f>
        <v>0</v>
      </c>
      <c r="X73" s="196">
        <f t="array" ref="X73">IFERROR(
(MEDIAN((IF(DATOS_[[Sexo]:[Sexo]]=$B73,IF(DATOS_[[AGRUP. VALOR. PTO.]:[AGRUP. VALOR. PTO.]]=$B72,IF(DATOS_[[Check Periodo Ref.]:[Check Periodo Ref.]]="Dentro",IF(DATOS_[[Check Equiparado]:[Check Equiparado]]="Sí",IF(DATOS!AS$5="Sí",(1/DATOS_[[% anualiz]:[% anualiz]]),1)*IF(DATOS!AS$4="Sí",1/DATOS_[[% normaliz]:[% normaliz]],1)*(DATOS_[Conc.Sal.15])))))))),
0)</f>
        <v>0</v>
      </c>
      <c r="Y73" s="196">
        <f t="array" ref="Y73">IFERROR(
(MEDIAN((IF(DATOS_[[Sexo]:[Sexo]]=$B73,IF(DATOS_[[AGRUP. VALOR. PTO.]:[AGRUP. VALOR. PTO.]]=$B72,IF(DATOS_[[Check Periodo Ref.]:[Check Periodo Ref.]]="Dentro",IF(DATOS_[[Check Equiparado]:[Check Equiparado]]="Sí",IF(DATOS!AT$5="Sí",(1/DATOS_[[% anualiz]:[% anualiz]]),1)*IF(DATOS!AT$4="Sí",1/DATOS_[[% normaliz]:[% normaliz]],1)*(DATOS_[Conc.Sal.16])))))))),
0)</f>
        <v>0</v>
      </c>
      <c r="Z73" s="196">
        <f t="array" ref="Z73">IFERROR(
(MEDIAN((IF(DATOS_[[Sexo]:[Sexo]]=$B73,IF(DATOS_[[AGRUP. VALOR. PTO.]:[AGRUP. VALOR. PTO.]]=$B72,IF(DATOS_[[Check Periodo Ref.]:[Check Periodo Ref.]]="Dentro",IF(DATOS_[[Check Equiparado]:[Check Equiparado]]="Sí",IF(DATOS!AU$5="Sí",(1/DATOS_[[% anualiz]:[% anualiz]]),1)*IF(DATOS!AU$4="Sí",1/DATOS_[[% normaliz]:[% normaliz]],1)*(DATOS_[Conc.Sal.17])))))))),
0)</f>
        <v>0</v>
      </c>
      <c r="AA73" s="196">
        <f t="array" ref="AA73">IFERROR(
(MEDIAN((IF(DATOS_[[Sexo]:[Sexo]]=$B73,IF(DATOS_[[AGRUP. VALOR. PTO.]:[AGRUP. VALOR. PTO.]]=$B72,IF(DATOS_[[Check Periodo Ref.]:[Check Periodo Ref.]]="Dentro",IF(DATOS_[[Check Equiparado]:[Check Equiparado]]="Sí",IF(DATOS!AV$5="Sí",(1/DATOS_[[% anualiz]:[% anualiz]]),1)*IF(DATOS!AV$4="Sí",1/DATOS_[[% normaliz]:[% normaliz]],1)*(DATOS_[Conc.Sal.18])))))))),
0)</f>
        <v>0</v>
      </c>
      <c r="AB73" s="196">
        <f t="array" ref="AB73">IFERROR(
(MEDIAN((IF(DATOS_[[Sexo]:[Sexo]]=$B73,IF(DATOS_[[AGRUP. VALOR. PTO.]:[AGRUP. VALOR. PTO.]]=$B72,IF(DATOS_[[Check Periodo Ref.]:[Check Periodo Ref.]]="Dentro",IF(DATOS_[[Check Equiparado]:[Check Equiparado]]="Sí",IF(DATOS!AW$5="Sí",(1/DATOS_[[% anualiz]:[% anualiz]]),1)*IF(DATOS!AW$4="Sí",1/DATOS_[[% normaliz]:[% normaliz]],1)*(DATOS_[Conc.Sal.19])))))))),
0)</f>
        <v>0</v>
      </c>
      <c r="AC73" s="196">
        <f t="array" ref="AC73">IFERROR(
(MEDIAN((IF(DATOS_[[Sexo]:[Sexo]]=$B73,IF(DATOS_[[AGRUP. VALOR. PTO.]:[AGRUP. VALOR. PTO.]]=$B72,IF(DATOS_[[Check Periodo Ref.]:[Check Periodo Ref.]]="Dentro",IF(DATOS_[[Check Equiparado]:[Check Equiparado]]="Sí",IF(DATOS!AX$5="Sí",(1/DATOS_[[% anualiz]:[% anualiz]]),1)*IF(DATOS!AX$4="Sí",1/DATOS_[[% normaliz]:[% normaliz]],1)*(DATOS_[Conc.Sal.20])))))))),
0)</f>
        <v>0</v>
      </c>
      <c r="AD73" s="196">
        <f t="array" ref="AD73">IFERROR(
(MEDIAN((IF(DATOS_[[Sexo]:[Sexo]]=$B73,IF(DATOS_[[AGRUP. VALOR. PTO.]:[AGRUP. VALOR. PTO.]]=$B72,IF(DATOS_[[Check Periodo Ref.]:[Check Periodo Ref.]]="Dentro",IF(DATOS_[[Check Equiparado]:[Check Equiparado]]="Sí",IF(DATOS!AY$5="Sí",(1/DATOS_[[% anualiz]:[% anualiz]]),1)*IF(DATOS!AY$4="Sí",1/DATOS_[[% normaliz]:[% normaliz]],1)*(DATOS_[Conc.Sal.21])))))))),
0)</f>
        <v>0</v>
      </c>
      <c r="AE73" s="196">
        <f t="array" ref="AE73">IFERROR(
(MEDIAN((IF(DATOS_[[Sexo]:[Sexo]]=$B73,IF(DATOS_[[AGRUP. VALOR. PTO.]:[AGRUP. VALOR. PTO.]]=$B72,IF(DATOS_[[Check Periodo Ref.]:[Check Periodo Ref.]]="Dentro",IF(DATOS_[[Check Equiparado]:[Check Equiparado]]="Sí",IF(DATOS!AZ$5="Sí",(1/DATOS_[[% anualiz]:[% anualiz]]),1)*IF(DATOS!AZ$4="Sí",1/DATOS_[[% normaliz]:[% normaliz]],1)*(DATOS_[Conc.Sal.22])))))))),
0)</f>
        <v>0</v>
      </c>
      <c r="AF73" s="196">
        <f t="array" ref="AF73">IFERROR(
(MEDIAN((IF(DATOS_[[Sexo]:[Sexo]]=$B73,IF(DATOS_[[AGRUP. VALOR. PTO.]:[AGRUP. VALOR. PTO.]]=$B72,IF(DATOS_[[Check Periodo Ref.]:[Check Periodo Ref.]]="Dentro",IF(DATOS_[[Check Equiparado]:[Check Equiparado]]="Sí",IF(DATOS!BA$5="Sí",(1/DATOS_[[% anualiz]:[% anualiz]]),1)*IF(DATOS!BA$4="Sí",1/DATOS_[[% normaliz]:[% normaliz]],1)*(DATOS_[Conc.Sal.23])))))))),
0)</f>
        <v>0</v>
      </c>
      <c r="AG73" s="196">
        <f t="array" ref="AG73">IFERROR(
(MEDIAN((IF(DATOS_[[Sexo]:[Sexo]]=$B73,IF(DATOS_[[AGRUP. VALOR. PTO.]:[AGRUP. VALOR. PTO.]]=$B72,IF(DATOS_[[Check Periodo Ref.]:[Check Periodo Ref.]]="Dentro",IF(DATOS_[[Check Equiparado]:[Check Equiparado]]="Sí",IF(DATOS!BB$5="Sí",(1/DATOS_[[% anualiz]:[% anualiz]]),1)*IF(DATOS!BB$4="Sí",1/DATOS_[[% normaliz]:[% normaliz]],1)*(DATOS_[Conc.Sal.24])))))))),
0)</f>
        <v>0</v>
      </c>
      <c r="AH73" s="196">
        <f t="array" ref="AH73">IFERROR(
(MEDIAN((IF(DATOS_[[Sexo]:[Sexo]]=$B73,IF(DATOS_[[AGRUP. VALOR. PTO.]:[AGRUP. VALOR. PTO.]]=$B72,IF(DATOS_[[Check Periodo Ref.]:[Check Periodo Ref.]]="Dentro",IF(DATOS_[[Check Equiparado]:[Check Equiparado]]="Sí",IF(DATOS!BC$5="Sí",(1/DATOS_[[% anualiz]:[% anualiz]]),1)*IF(DATOS!BC$4="Sí",1/DATOS_[[% normaliz]:[% normaliz]],1)*(DATOS_[Conc.Sal.25])))))))),
0)</f>
        <v>0</v>
      </c>
      <c r="AI73" s="196">
        <f t="array" ref="AI73">IFERROR(
(MEDIAN((IF(DATOS_[[Sexo]:[Sexo]]=$B73,IF(DATOS_[[AGRUP. VALOR. PTO.]:[AGRUP. VALOR. PTO.]]=$B72,IF(DATOS_[[Check Periodo Ref.]:[Check Periodo Ref.]]="Dentro",IF(DATOS_[[Check Equiparado]:[Check Equiparado]]="Sí",IF(DATOS!BD$5="Sí",(1/DATOS_[[% anualiz]:[% anualiz]]),1)*IF(DATOS!BD$4="Sí",1/DATOS_[[% normaliz]:[% normaliz]],1)*(DATOS_[Conc.Sal.26])))))))),
0)</f>
        <v>0</v>
      </c>
      <c r="AJ73" s="196">
        <f t="array" ref="AJ73">IFERROR(
(MEDIAN((IF(DATOS_[[Sexo]:[Sexo]]=$B73,IF(DATOS_[[AGRUP. VALOR. PTO.]:[AGRUP. VALOR. PTO.]]=$B72,IF(DATOS_[[Check Periodo Ref.]:[Check Periodo Ref.]]="Dentro",IF(DATOS_[[Check Equiparado]:[Check Equiparado]]="Sí",IF(DATOS!BE$5="Sí",(1/DATOS_[[% anualiz]:[% anualiz]]),1)*IF(DATOS!BE$4="Sí",1/DATOS_[[% normaliz]:[% normaliz]],1)*(DATOS_[Conc.Sal.27])))))))),
0)</f>
        <v>0</v>
      </c>
      <c r="AK73" s="196">
        <f t="array" ref="AK73">IFERROR(
(MEDIAN((IF(DATOS_[[Sexo]:[Sexo]]=$B73,IF(DATOS_[[AGRUP. VALOR. PTO.]:[AGRUP. VALOR. PTO.]]=$B72,IF(DATOS_[[Check Periodo Ref.]:[Check Periodo Ref.]]="Dentro",IF(DATOS_[[Check Equiparado]:[Check Equiparado]]="Sí",IF(DATOS!BF$5="Sí",(1/DATOS_[[% anualiz]:[% anualiz]]),1)*IF(DATOS!BF$4="Sí",1/DATOS_[[% normaliz]:[% normaliz]],1)*(DATOS_[Conc.Sal.28])))))))),
0)</f>
        <v>0</v>
      </c>
      <c r="AL73" s="196">
        <f t="array" ref="AL73">IFERROR(
(MEDIAN((IF(DATOS_[[Sexo]:[Sexo]]=$B73,IF(DATOS_[[AGRUP. VALOR. PTO.]:[AGRUP. VALOR. PTO.]]=$B72,IF(DATOS_[[Check Periodo Ref.]:[Check Periodo Ref.]]="Dentro",IF(DATOS_[[Check Equiparado]:[Check Equiparado]]="Sí",IF(DATOS!BG$5="Sí",(1/DATOS_[[% anualiz]:[% anualiz]]),1)*IF(DATOS!BG$4="Sí",1/DATOS_[[% normaliz]:[% normaliz]],1)*(DATOS_[Conc.Sal.29])))))))),
0)</f>
        <v>0</v>
      </c>
      <c r="AM73" s="196">
        <f t="array" ref="AM73">IFERROR(
(MEDIAN((IF(DATOS_[[Sexo]:[Sexo]]=$B73,IF(DATOS_[[AGRUP. VALOR. PTO.]:[AGRUP. VALOR. PTO.]]=$B72,IF(DATOS_[[Check Periodo Ref.]:[Check Periodo Ref.]]="Dentro",IF(DATOS_[[Check Equiparado]:[Check Equiparado]]="Sí",IF(DATOS!BH$5="Sí",(1/DATOS_[[% anualiz]:[% anualiz]]),1)*IF(DATOS!BH$4="Sí",1/DATOS_[[% normaliz]:[% normaliz]],1)*(DATOS_[Conc.Sal.30])))))))),
0)</f>
        <v>0</v>
      </c>
      <c r="AN73" s="195">
        <f t="array" ref="AN73">IFERROR(
MEDIAN(IF(DATOS_[Sexo]=$B73,IF(DATOS_[[AGRUP. VALOR. PTO.]:[AGRUP. VALOR. PTO.]]=$B72,IF(DATOS_[Check Equiparado]="Sí",IF(DATOS_[Check Periodo Ref.]="Dentro",DATOS_[Tot COMPL.SAL Eq],FALSE))))),
0)</f>
        <v>0</v>
      </c>
      <c r="AO73" s="172">
        <f t="array" ref="AO73">IFERROR(
MEDIAN(IF(DATOS_[Sexo]=$B73,IF(DATOS_[[AGRUP. VALOR. PTO.]:[AGRUP. VALOR. PTO.]]=$B72,IF(DATOS_[Check Equiparado]="Sí",IF(DATOS_[Check Periodo Ref.]="Dentro",DATOS_[TOTAL SALARIO Eq],FALSE))))),
0)</f>
        <v>0</v>
      </c>
      <c r="AP73" s="173">
        <f t="array" ref="AP73">IFERROR(
(MEDIAN((IF(DATOS_[[Sexo]:[Sexo]]=$B73,IF(DATOS_[[AGRUP. VALOR. PTO.]:[AGRUP. VALOR. PTO.]]=$B72,IF(DATOS_[[Check Periodo Ref.]:[Check Periodo Ref.]]="Dentro",IF(DATOS_[[Check Equiparado]:[Check Equiparado]]="Sí",IF(DATOS!BW$5="Sí",(1/DATOS_[[% anualiz]:[% anualiz]]),1)*IF(DATOS!BW$4="Sí",1/DATOS_[[% normaliz]:[% normaliz]],1)*(DATOS_[C.Extra.01])))))))),
0)</f>
        <v>0</v>
      </c>
      <c r="AQ73" s="173">
        <f t="array" ref="AQ73">IFERROR(
(MEDIAN((IF(DATOS_[[Sexo]:[Sexo]]=$B73,IF(DATOS_[[AGRUP. VALOR. PTO.]:[AGRUP. VALOR. PTO.]]=$B72,IF(DATOS_[[Check Periodo Ref.]:[Check Periodo Ref.]]="Dentro",IF(DATOS_[[Check Equiparado]:[Check Equiparado]]="Sí",IF(DATOS!CB$5="Sí",(1/DATOS_[[% anualiz]:[% anualiz]]),1)*IF(DATOS!CB$4="Sí",1/DATOS_[[% normaliz]:[% normaliz]],1)*(DATOS_[C.Extra.06])))))))),
0)</f>
        <v>0</v>
      </c>
      <c r="AR73" s="173">
        <f t="array" ref="AR73">IFERROR(
(MEDIAN((IF(DATOS_[[Sexo]:[Sexo]]=$B73,IF(DATOS_[[AGRUP. VALOR. PTO.]:[AGRUP. VALOR. PTO.]]=$B72,IF(DATOS_[[Check Periodo Ref.]:[Check Periodo Ref.]]="Dentro",IF(DATOS_[[Check Equiparado]:[Check Equiparado]]="Sí",IF(DATOS!CC$5="Sí",(1/DATOS_[[% anualiz]:[% anualiz]]),1)*IF(DATOS!CC$4="Sí",1/DATOS_[[% normaliz]:[% normaliz]],1)*(DATOS_[C.Extra.07])))))))),
0)</f>
        <v>0</v>
      </c>
      <c r="AS73" s="173">
        <f t="array" ref="AS73">IFERROR(
(MEDIAN((IF(DATOS_[[Sexo]:[Sexo]]=$B73,IF(DATOS_[[AGRUP. VALOR. PTO.]:[AGRUP. VALOR. PTO.]]=$B72,IF(DATOS_[[Check Periodo Ref.]:[Check Periodo Ref.]]="Dentro",IF(DATOS_[[Check Equiparado]:[Check Equiparado]]="Sí",IF(DATOS!CD$5="Sí",(1/DATOS_[[% anualiz]:[% anualiz]]),1)*IF(DATOS!CD$4="Sí",1/DATOS_[[% normaliz]:[% normaliz]],1)*(DATOS_[C.Extra.08])))))))),
0)</f>
        <v>0</v>
      </c>
      <c r="AT73" s="173">
        <f t="array" ref="AT73">IFERROR(
(MEDIAN((IF(DATOS_[[Sexo]:[Sexo]]=$B73,IF(DATOS_[[AGRUP. VALOR. PTO.]:[AGRUP. VALOR. PTO.]]=$B72,IF(DATOS_[[Check Periodo Ref.]:[Check Periodo Ref.]]="Dentro",IF(DATOS_[[Check Equiparado]:[Check Equiparado]]="Sí",IF(DATOS!CG$5="Sí",(1/DATOS_[[% anualiz]:[% anualiz]]),1)*IF(DATOS!CG$4="Sí",1/DATOS_[[% normaliz]:[% normaliz]],1)*(DATOS_[C.Extra.11])))))))),
0)</f>
        <v>0</v>
      </c>
      <c r="AU73" s="197">
        <f t="array" ref="AU73">IFERROR(
MEDIAN(IF(DATOS_[Sexo]=$B73,IF(DATOS_[[AGRUP. VALOR. PTO.]:[AGRUP. VALOR. PTO.]]=$B72,IF(DATOS_[Check Equiparado]="Sí",IF(DATOS_[Check Periodo Ref.]="Dentro",DATOS_[Tot Extrasalarial Eq],FALSE))))),
0)</f>
        <v>0</v>
      </c>
      <c r="AV73" s="175">
        <f t="array" ref="AV73">IFERROR(
MEDIAN(IF(DATOS_[Sexo]=$B73,IF(DATOS_[[AGRUP. VALOR. PTO.]:[AGRUP. VALOR. PTO.]]=$B72,IF(DATOS_[Check Equiparado]="Sí",IF(DATOS_[Check Periodo Ref.]="Dentro",DATOS_[TOTAL Retrib Eq],FALSE))))),
0)</f>
        <v>0</v>
      </c>
    </row>
    <row r="74" spans="1:48" x14ac:dyDescent="0.25">
      <c r="A74" s="133" t="str">
        <f t="shared" ref="A74" si="82">+A73</f>
        <v>[ocultar]</v>
      </c>
      <c r="B74" s="202" t="s">
        <v>521</v>
      </c>
      <c r="C74" s="203">
        <f t="array" ref="C74">SUM(IF($B74=DATOS_[Sexo],
IF($B72=DATOS_[AGRUP. VALOR. PTO.],
IF("Dentro"=DATOS_[Check Periodo Ref.],
1/(COUNTIFS(DATOS_[Sexo],$B74,DATOS_[AGRUP. VALOR. PTO.],$B72,DATOS_[Check Periodo Ref.],"Dentro",DATOS_[id/cod],DATOS_[id/cod]))))))</f>
        <v>0</v>
      </c>
      <c r="D74" s="204">
        <f>COUNTIFS(DATOS_[AGRUP. VALOR. PTO.],$B72,DATOS_[Sexo],$B74,DATOS_[Check Periodo Ref.],"Dentro")</f>
        <v>0</v>
      </c>
      <c r="E74" s="204">
        <f>COUNTIFS(DATOS_[AGRUP. VALOR. PTO.],$B72,DATOS_[Sexo],$B74,DATOS_[Check Periodo Ref.],"Dentro",DATOS_[Check Nº SC Norm],"Sí")</f>
        <v>0</v>
      </c>
      <c r="F74" s="204">
        <f>COUNTIFS(DATOS_[AGRUP. VALOR. PTO.],$B72,DATOS_[Sexo],$B74,DATOS_[Check Periodo Ref.],"Dentro",DATOS_[Check Nº SC Anualiz],"Sí")</f>
        <v>0</v>
      </c>
      <c r="G74" s="204">
        <f>COUNTIFS(DATOS_[AGRUP. VALOR. PTO.],$B72,DATOS_[Sexo],$B74,DATOS_[Check Periodo Ref.],"Dentro",DATOS_[Check Nº SC Norm y Anualiz],"Sí")</f>
        <v>0</v>
      </c>
      <c r="H74" s="204">
        <f>COUNTIFS(DATOS_[AGRUP. VALOR. PTO.],$B72,DATOS_[Sexo],$B74,DATOS_[Check Periodo Ref.],"Dentro",DATOS_[Check Equiparación],"Sí")</f>
        <v>0</v>
      </c>
      <c r="I74" s="195" cm="1">
        <f t="array" ref="I74">IFERROR(
MEDIAN(IF(DATOS_[Sexo]=$B74,IF(DATOS_[[AGRUP. VALOR. PTO.]:[AGRUP. VALOR. PTO.]]=$B72,IF(DATOS_[Check Equiparado]="Sí",IF(DATOS_[Check Periodo Ref.]="Dentro",DATOS_[SALARIO BASE Eq],FALSE))))),
0)</f>
        <v>0</v>
      </c>
      <c r="J74" s="196">
        <f t="array" ref="J74">IFERROR(
(MEDIAN((IF(DATOS_[[Sexo]:[Sexo]]=$B74,IF(DATOS_[[AGRUP. VALOR. PTO.]:[AGRUP. VALOR. PTO.]]=$B72,IF(DATOS_[[Check Periodo Ref.]:[Check Periodo Ref.]]="Dentro",IF(DATOS_[[Check Equiparado]:[Check Equiparado]]="Sí",IF(DATOS!AE$5="Sí",(1/DATOS_[[% anualiz]:[% anualiz]]),1)*IF(DATOS!AE$4="Sí",1/DATOS_[[% normaliz]:[% normaliz]],1)*(DATOS_[Conc.Sal.01])))))))),
0)</f>
        <v>0</v>
      </c>
      <c r="K74" s="196">
        <f t="array" ref="K74">IFERROR(
(MEDIAN((IF(DATOS_[[Sexo]:[Sexo]]=$B74,IF(DATOS_[[AGRUP. VALOR. PTO.]:[AGRUP. VALOR. PTO.]]=$B72,IF(DATOS_[[Check Periodo Ref.]:[Check Periodo Ref.]]="Dentro",IF(DATOS_[[Check Equiparado]:[Check Equiparado]]="Sí",IF(DATOS!AF$5="Sí",(1/DATOS_[[% anualiz]:[% anualiz]]),1)*IF(DATOS!AF$4="Sí",1/DATOS_[[% normaliz]:[% normaliz]],1)*(DATOS_[Conc.Sal.02])))))))),
0)</f>
        <v>0</v>
      </c>
      <c r="L74" s="196">
        <f t="array" ref="L74">IFERROR(
(MEDIAN((IF(DATOS_[[Sexo]:[Sexo]]=$B74,IF(DATOS_[[AGRUP. VALOR. PTO.]:[AGRUP. VALOR. PTO.]]=$B72,IF(DATOS_[[Check Periodo Ref.]:[Check Periodo Ref.]]="Dentro",IF(DATOS_[[Check Equiparado]:[Check Equiparado]]="Sí",IF(DATOS!AG$5="Sí",(1/DATOS_[[% anualiz]:[% anualiz]]),1)*IF(DATOS!AG$4="Sí",1/DATOS_[[% normaliz]:[% normaliz]],1)*(DATOS_[Conc.Sal.03])))))))),
0)</f>
        <v>0</v>
      </c>
      <c r="M74" s="196">
        <f t="array" ref="M74">IFERROR(
(MEDIAN((IF(DATOS_[[Sexo]:[Sexo]]=$B74,IF(DATOS_[[AGRUP. VALOR. PTO.]:[AGRUP. VALOR. PTO.]]=$B72,IF(DATOS_[[Check Periodo Ref.]:[Check Periodo Ref.]]="Dentro",IF(DATOS_[[Check Equiparado]:[Check Equiparado]]="Sí",IF(DATOS!AH$5="Sí",(1/DATOS_[[% anualiz]:[% anualiz]]),1)*IF(DATOS!AH$4="Sí",1/DATOS_[[% normaliz]:[% normaliz]],1)*(DATOS_[Conc.Sal.04])))))))),
0)</f>
        <v>0</v>
      </c>
      <c r="N74" s="196">
        <f t="array" ref="N74">IFERROR(
(MEDIAN((IF(DATOS_[[Sexo]:[Sexo]]=$B74,IF(DATOS_[[AGRUP. VALOR. PTO.]:[AGRUP. VALOR. PTO.]]=$B72,IF(DATOS_[[Check Periodo Ref.]:[Check Periodo Ref.]]="Dentro",IF(DATOS_[[Check Equiparado]:[Check Equiparado]]="Sí",IF(DATOS!AI$5="Sí",(1/DATOS_[[% anualiz]:[% anualiz]]),1)*IF(DATOS!AI$4="Sí",1/DATOS_[[% normaliz]:[% normaliz]],1)*(DATOS_[Conc.Sal.05])))))))),
0)</f>
        <v>0</v>
      </c>
      <c r="O74" s="196">
        <f t="array" ref="O74">IFERROR(
(MEDIAN((IF(DATOS_[[Sexo]:[Sexo]]=$B74,IF(DATOS_[[AGRUP. VALOR. PTO.]:[AGRUP. VALOR. PTO.]]=$B72,IF(DATOS_[[Check Periodo Ref.]:[Check Periodo Ref.]]="Dentro",IF(DATOS_[[Check Equiparado]:[Check Equiparado]]="Sí",IF(DATOS!AJ$5="Sí",(1/DATOS_[[% anualiz]:[% anualiz]]),1)*IF(DATOS!AJ$4="Sí",1/DATOS_[[% normaliz]:[% normaliz]],1)*(DATOS_[Conc.Sal.06])))))))),
0)</f>
        <v>0</v>
      </c>
      <c r="P74" s="196">
        <f t="array" ref="P74">IFERROR(
(MEDIAN((IF(DATOS_[[Sexo]:[Sexo]]=$B74,IF(DATOS_[[AGRUP. VALOR. PTO.]:[AGRUP. VALOR. PTO.]]=$B72,IF(DATOS_[[Check Periodo Ref.]:[Check Periodo Ref.]]="Dentro",IF(DATOS_[[Check Equiparado]:[Check Equiparado]]="Sí",IF(DATOS!AK$5="Sí",(1/DATOS_[[% anualiz]:[% anualiz]]),1)*IF(DATOS!AK$4="Sí",1/DATOS_[[% normaliz]:[% normaliz]],1)*(DATOS_[Conc.Sal.07])))))))),
0)</f>
        <v>0</v>
      </c>
      <c r="Q74" s="196">
        <f t="array" ref="Q74">IFERROR(
(MEDIAN((IF(DATOS_[[Sexo]:[Sexo]]=$B74,IF(DATOS_[[AGRUP. VALOR. PTO.]:[AGRUP. VALOR. PTO.]]=$B72,IF(DATOS_[[Check Periodo Ref.]:[Check Periodo Ref.]]="Dentro",IF(DATOS_[[Check Equiparado]:[Check Equiparado]]="Sí",IF(DATOS!AL$5="Sí",(1/DATOS_[[% anualiz]:[% anualiz]]),1)*IF(DATOS!AL$4="Sí",1/DATOS_[[% normaliz]:[% normaliz]],1)*(DATOS_[Conc.Sal.08])))))))),
0)</f>
        <v>0</v>
      </c>
      <c r="R74" s="196">
        <f t="array" ref="R74">IFERROR(
(MEDIAN((IF(DATOS_[[Sexo]:[Sexo]]=$B74,IF(DATOS_[[AGRUP. VALOR. PTO.]:[AGRUP. VALOR. PTO.]]=$B72,IF(DATOS_[[Check Periodo Ref.]:[Check Periodo Ref.]]="Dentro",IF(DATOS_[[Check Equiparado]:[Check Equiparado]]="Sí",IF(DATOS!AM$5="Sí",(1/DATOS_[[% anualiz]:[% anualiz]]),1)*IF(DATOS!AM$4="Sí",1/DATOS_[[% normaliz]:[% normaliz]],1)*(DATOS_[Conc.Sal.09])))))))),
0)</f>
        <v>0</v>
      </c>
      <c r="S74" s="196">
        <f t="array" ref="S74">IFERROR(
(MEDIAN((IF(DATOS_[[Sexo]:[Sexo]]=$B74,IF(DATOS_[[AGRUP. VALOR. PTO.]:[AGRUP. VALOR. PTO.]]=$B72,IF(DATOS_[[Check Periodo Ref.]:[Check Periodo Ref.]]="Dentro",IF(DATOS_[[Check Equiparado]:[Check Equiparado]]="Sí",IF(DATOS!AN$5="Sí",(1/DATOS_[[% anualiz]:[% anualiz]]),1)*IF(DATOS!AN$4="Sí",1/DATOS_[[% normaliz]:[% normaliz]],1)*(DATOS_[Conc.Sal.10])))))))),
0)</f>
        <v>0</v>
      </c>
      <c r="T74" s="196">
        <f t="array" ref="T74">IFERROR(
(MEDIAN((IF(DATOS_[[Sexo]:[Sexo]]=$B74,IF(DATOS_[[AGRUP. VALOR. PTO.]:[AGRUP. VALOR. PTO.]]=$B72,IF(DATOS_[[Check Periodo Ref.]:[Check Periodo Ref.]]="Dentro",IF(DATOS_[[Check Equiparado]:[Check Equiparado]]="Sí",IF(DATOS!AO$5="Sí",(1/DATOS_[[% anualiz]:[% anualiz]]),1)*IF(DATOS!AO$4="Sí",1/DATOS_[[% normaliz]:[% normaliz]],1)*(DATOS_[Conc.Sal.11])))))))),
0)</f>
        <v>0</v>
      </c>
      <c r="U74" s="196">
        <f t="array" ref="U74">IFERROR(
(MEDIAN((IF(DATOS_[[Sexo]:[Sexo]]=$B74,IF(DATOS_[[AGRUP. VALOR. PTO.]:[AGRUP. VALOR. PTO.]]=$B72,IF(DATOS_[[Check Periodo Ref.]:[Check Periodo Ref.]]="Dentro",IF(DATOS_[[Check Equiparado]:[Check Equiparado]]="Sí",IF(DATOS!AP$5="Sí",(1/DATOS_[[% anualiz]:[% anualiz]]),1)*IF(DATOS!AP$4="Sí",1/DATOS_[[% normaliz]:[% normaliz]],1)*(DATOS_[Conc.Sal.12])))))))),
0)</f>
        <v>0</v>
      </c>
      <c r="V74" s="196">
        <f t="array" ref="V74">IFERROR(
(MEDIAN((IF(DATOS_[[Sexo]:[Sexo]]=$B74,IF(DATOS_[[AGRUP. VALOR. PTO.]:[AGRUP. VALOR. PTO.]]=$B72,IF(DATOS_[[Check Periodo Ref.]:[Check Periodo Ref.]]="Dentro",IF(DATOS_[[Check Equiparado]:[Check Equiparado]]="Sí",IF(DATOS!AQ$5="Sí",(1/DATOS_[[% anualiz]:[% anualiz]]),1)*IF(DATOS!AQ$4="Sí",1/DATOS_[[% normaliz]:[% normaliz]],1)*(DATOS_[Conc.Sal.13])))))))),
0)</f>
        <v>0</v>
      </c>
      <c r="W74" s="196">
        <f t="array" ref="W74">IFERROR(
(MEDIAN((IF(DATOS_[[Sexo]:[Sexo]]=$B74,IF(DATOS_[[AGRUP. VALOR. PTO.]:[AGRUP. VALOR. PTO.]]=$B72,IF(DATOS_[[Check Periodo Ref.]:[Check Periodo Ref.]]="Dentro",IF(DATOS_[[Check Equiparado]:[Check Equiparado]]="Sí",IF(DATOS!AR$5="Sí",(1/DATOS_[[% anualiz]:[% anualiz]]),1)*IF(DATOS!AR$4="Sí",1/DATOS_[[% normaliz]:[% normaliz]],1)*(DATOS_[Conc.Sal.14])))))))),
0)</f>
        <v>0</v>
      </c>
      <c r="X74" s="196">
        <f t="array" ref="X74">IFERROR(
(MEDIAN((IF(DATOS_[[Sexo]:[Sexo]]=$B74,IF(DATOS_[[AGRUP. VALOR. PTO.]:[AGRUP. VALOR. PTO.]]=$B72,IF(DATOS_[[Check Periodo Ref.]:[Check Periodo Ref.]]="Dentro",IF(DATOS_[[Check Equiparado]:[Check Equiparado]]="Sí",IF(DATOS!AS$5="Sí",(1/DATOS_[[% anualiz]:[% anualiz]]),1)*IF(DATOS!AS$4="Sí",1/DATOS_[[% normaliz]:[% normaliz]],1)*(DATOS_[Conc.Sal.15])))))))),
0)</f>
        <v>0</v>
      </c>
      <c r="Y74" s="196">
        <f t="array" ref="Y74">IFERROR(
(MEDIAN((IF(DATOS_[[Sexo]:[Sexo]]=$B74,IF(DATOS_[[AGRUP. VALOR. PTO.]:[AGRUP. VALOR. PTO.]]=$B72,IF(DATOS_[[Check Periodo Ref.]:[Check Periodo Ref.]]="Dentro",IF(DATOS_[[Check Equiparado]:[Check Equiparado]]="Sí",IF(DATOS!AT$5="Sí",(1/DATOS_[[% anualiz]:[% anualiz]]),1)*IF(DATOS!AT$4="Sí",1/DATOS_[[% normaliz]:[% normaliz]],1)*(DATOS_[Conc.Sal.16])))))))),
0)</f>
        <v>0</v>
      </c>
      <c r="Z74" s="196">
        <f t="array" ref="Z74">IFERROR(
(MEDIAN((IF(DATOS_[[Sexo]:[Sexo]]=$B74,IF(DATOS_[[AGRUP. VALOR. PTO.]:[AGRUP. VALOR. PTO.]]=$B72,IF(DATOS_[[Check Periodo Ref.]:[Check Periodo Ref.]]="Dentro",IF(DATOS_[[Check Equiparado]:[Check Equiparado]]="Sí",IF(DATOS!AU$5="Sí",(1/DATOS_[[% anualiz]:[% anualiz]]),1)*IF(DATOS!AU$4="Sí",1/DATOS_[[% normaliz]:[% normaliz]],1)*(DATOS_[Conc.Sal.17])))))))),
0)</f>
        <v>0</v>
      </c>
      <c r="AA74" s="196">
        <f t="array" ref="AA74">IFERROR(
(MEDIAN((IF(DATOS_[[Sexo]:[Sexo]]=$B74,IF(DATOS_[[AGRUP. VALOR. PTO.]:[AGRUP. VALOR. PTO.]]=$B72,IF(DATOS_[[Check Periodo Ref.]:[Check Periodo Ref.]]="Dentro",IF(DATOS_[[Check Equiparado]:[Check Equiparado]]="Sí",IF(DATOS!AV$5="Sí",(1/DATOS_[[% anualiz]:[% anualiz]]),1)*IF(DATOS!AV$4="Sí",1/DATOS_[[% normaliz]:[% normaliz]],1)*(DATOS_[Conc.Sal.18])))))))),
0)</f>
        <v>0</v>
      </c>
      <c r="AB74" s="196">
        <f t="array" ref="AB74">IFERROR(
(MEDIAN((IF(DATOS_[[Sexo]:[Sexo]]=$B74,IF(DATOS_[[AGRUP. VALOR. PTO.]:[AGRUP. VALOR. PTO.]]=$B72,IF(DATOS_[[Check Periodo Ref.]:[Check Periodo Ref.]]="Dentro",IF(DATOS_[[Check Equiparado]:[Check Equiparado]]="Sí",IF(DATOS!AW$5="Sí",(1/DATOS_[[% anualiz]:[% anualiz]]),1)*IF(DATOS!AW$4="Sí",1/DATOS_[[% normaliz]:[% normaliz]],1)*(DATOS_[Conc.Sal.19])))))))),
0)</f>
        <v>0</v>
      </c>
      <c r="AC74" s="196">
        <f t="array" ref="AC74">IFERROR(
(MEDIAN((IF(DATOS_[[Sexo]:[Sexo]]=$B74,IF(DATOS_[[AGRUP. VALOR. PTO.]:[AGRUP. VALOR. PTO.]]=$B72,IF(DATOS_[[Check Periodo Ref.]:[Check Periodo Ref.]]="Dentro",IF(DATOS_[[Check Equiparado]:[Check Equiparado]]="Sí",IF(DATOS!AX$5="Sí",(1/DATOS_[[% anualiz]:[% anualiz]]),1)*IF(DATOS!AX$4="Sí",1/DATOS_[[% normaliz]:[% normaliz]],1)*(DATOS_[Conc.Sal.20])))))))),
0)</f>
        <v>0</v>
      </c>
      <c r="AD74" s="196">
        <f t="array" ref="AD74">IFERROR(
(MEDIAN((IF(DATOS_[[Sexo]:[Sexo]]=$B74,IF(DATOS_[[AGRUP. VALOR. PTO.]:[AGRUP. VALOR. PTO.]]=$B72,IF(DATOS_[[Check Periodo Ref.]:[Check Periodo Ref.]]="Dentro",IF(DATOS_[[Check Equiparado]:[Check Equiparado]]="Sí",IF(DATOS!AY$5="Sí",(1/DATOS_[[% anualiz]:[% anualiz]]),1)*IF(DATOS!AY$4="Sí",1/DATOS_[[% normaliz]:[% normaliz]],1)*(DATOS_[Conc.Sal.21])))))))),
0)</f>
        <v>0</v>
      </c>
      <c r="AE74" s="196">
        <f t="array" ref="AE74">IFERROR(
(MEDIAN((IF(DATOS_[[Sexo]:[Sexo]]=$B74,IF(DATOS_[[AGRUP. VALOR. PTO.]:[AGRUP. VALOR. PTO.]]=$B72,IF(DATOS_[[Check Periodo Ref.]:[Check Periodo Ref.]]="Dentro",IF(DATOS_[[Check Equiparado]:[Check Equiparado]]="Sí",IF(DATOS!AZ$5="Sí",(1/DATOS_[[% anualiz]:[% anualiz]]),1)*IF(DATOS!AZ$4="Sí",1/DATOS_[[% normaliz]:[% normaliz]],1)*(DATOS_[Conc.Sal.22])))))))),
0)</f>
        <v>0</v>
      </c>
      <c r="AF74" s="196">
        <f t="array" ref="AF74">IFERROR(
(MEDIAN((IF(DATOS_[[Sexo]:[Sexo]]=$B74,IF(DATOS_[[AGRUP. VALOR. PTO.]:[AGRUP. VALOR. PTO.]]=$B72,IF(DATOS_[[Check Periodo Ref.]:[Check Periodo Ref.]]="Dentro",IF(DATOS_[[Check Equiparado]:[Check Equiparado]]="Sí",IF(DATOS!BA$5="Sí",(1/DATOS_[[% anualiz]:[% anualiz]]),1)*IF(DATOS!BA$4="Sí",1/DATOS_[[% normaliz]:[% normaliz]],1)*(DATOS_[Conc.Sal.23])))))))),
0)</f>
        <v>0</v>
      </c>
      <c r="AG74" s="196">
        <f t="array" ref="AG74">IFERROR(
(MEDIAN((IF(DATOS_[[Sexo]:[Sexo]]=$B74,IF(DATOS_[[AGRUP. VALOR. PTO.]:[AGRUP. VALOR. PTO.]]=$B72,IF(DATOS_[[Check Periodo Ref.]:[Check Periodo Ref.]]="Dentro",IF(DATOS_[[Check Equiparado]:[Check Equiparado]]="Sí",IF(DATOS!BB$5="Sí",(1/DATOS_[[% anualiz]:[% anualiz]]),1)*IF(DATOS!BB$4="Sí",1/DATOS_[[% normaliz]:[% normaliz]],1)*(DATOS_[Conc.Sal.24])))))))),
0)</f>
        <v>0</v>
      </c>
      <c r="AH74" s="196">
        <f t="array" ref="AH74">IFERROR(
(MEDIAN((IF(DATOS_[[Sexo]:[Sexo]]=$B74,IF(DATOS_[[AGRUP. VALOR. PTO.]:[AGRUP. VALOR. PTO.]]=$B72,IF(DATOS_[[Check Periodo Ref.]:[Check Periodo Ref.]]="Dentro",IF(DATOS_[[Check Equiparado]:[Check Equiparado]]="Sí",IF(DATOS!BC$5="Sí",(1/DATOS_[[% anualiz]:[% anualiz]]),1)*IF(DATOS!BC$4="Sí",1/DATOS_[[% normaliz]:[% normaliz]],1)*(DATOS_[Conc.Sal.25])))))))),
0)</f>
        <v>0</v>
      </c>
      <c r="AI74" s="196">
        <f t="array" ref="AI74">IFERROR(
(MEDIAN((IF(DATOS_[[Sexo]:[Sexo]]=$B74,IF(DATOS_[[AGRUP. VALOR. PTO.]:[AGRUP. VALOR. PTO.]]=$B72,IF(DATOS_[[Check Periodo Ref.]:[Check Periodo Ref.]]="Dentro",IF(DATOS_[[Check Equiparado]:[Check Equiparado]]="Sí",IF(DATOS!BD$5="Sí",(1/DATOS_[[% anualiz]:[% anualiz]]),1)*IF(DATOS!BD$4="Sí",1/DATOS_[[% normaliz]:[% normaliz]],1)*(DATOS_[Conc.Sal.26])))))))),
0)</f>
        <v>0</v>
      </c>
      <c r="AJ74" s="196">
        <f t="array" ref="AJ74">IFERROR(
(MEDIAN((IF(DATOS_[[Sexo]:[Sexo]]=$B74,IF(DATOS_[[AGRUP. VALOR. PTO.]:[AGRUP. VALOR. PTO.]]=$B72,IF(DATOS_[[Check Periodo Ref.]:[Check Periodo Ref.]]="Dentro",IF(DATOS_[[Check Equiparado]:[Check Equiparado]]="Sí",IF(DATOS!BE$5="Sí",(1/DATOS_[[% anualiz]:[% anualiz]]),1)*IF(DATOS!BE$4="Sí",1/DATOS_[[% normaliz]:[% normaliz]],1)*(DATOS_[Conc.Sal.27])))))))),
0)</f>
        <v>0</v>
      </c>
      <c r="AK74" s="196">
        <f t="array" ref="AK74">IFERROR(
(MEDIAN((IF(DATOS_[[Sexo]:[Sexo]]=$B74,IF(DATOS_[[AGRUP. VALOR. PTO.]:[AGRUP. VALOR. PTO.]]=$B72,IF(DATOS_[[Check Periodo Ref.]:[Check Periodo Ref.]]="Dentro",IF(DATOS_[[Check Equiparado]:[Check Equiparado]]="Sí",IF(DATOS!BF$5="Sí",(1/DATOS_[[% anualiz]:[% anualiz]]),1)*IF(DATOS!BF$4="Sí",1/DATOS_[[% normaliz]:[% normaliz]],1)*(DATOS_[Conc.Sal.28])))))))),
0)</f>
        <v>0</v>
      </c>
      <c r="AL74" s="196">
        <f t="array" ref="AL74">IFERROR(
(MEDIAN((IF(DATOS_[[Sexo]:[Sexo]]=$B74,IF(DATOS_[[AGRUP. VALOR. PTO.]:[AGRUP. VALOR. PTO.]]=$B72,IF(DATOS_[[Check Periodo Ref.]:[Check Periodo Ref.]]="Dentro",IF(DATOS_[[Check Equiparado]:[Check Equiparado]]="Sí",IF(DATOS!BG$5="Sí",(1/DATOS_[[% anualiz]:[% anualiz]]),1)*IF(DATOS!BG$4="Sí",1/DATOS_[[% normaliz]:[% normaliz]],1)*(DATOS_[Conc.Sal.29])))))))),
0)</f>
        <v>0</v>
      </c>
      <c r="AM74" s="196">
        <f t="array" ref="AM74">IFERROR(
(MEDIAN((IF(DATOS_[[Sexo]:[Sexo]]=$B74,IF(DATOS_[[AGRUP. VALOR. PTO.]:[AGRUP. VALOR. PTO.]]=$B72,IF(DATOS_[[Check Periodo Ref.]:[Check Periodo Ref.]]="Dentro",IF(DATOS_[[Check Equiparado]:[Check Equiparado]]="Sí",IF(DATOS!BH$5="Sí",(1/DATOS_[[% anualiz]:[% anualiz]]),1)*IF(DATOS!BH$4="Sí",1/DATOS_[[% normaliz]:[% normaliz]],1)*(DATOS_[Conc.Sal.30])))))))),
0)</f>
        <v>0</v>
      </c>
      <c r="AN74" s="195">
        <f t="array" ref="AN74">IFERROR(
MEDIAN(IF(DATOS_[Sexo]=$B74,IF(DATOS_[[AGRUP. VALOR. PTO.]:[AGRUP. VALOR. PTO.]]=$B72,IF(DATOS_[Check Equiparado]="Sí",IF(DATOS_[Check Periodo Ref.]="Dentro",DATOS_[Tot COMPL.SAL Eq],FALSE))))),
0)</f>
        <v>0</v>
      </c>
      <c r="AO74" s="172">
        <f t="array" ref="AO74">IFERROR(
MEDIAN(IF(DATOS_[Sexo]=$B74,IF(DATOS_[[AGRUP. VALOR. PTO.]:[AGRUP. VALOR. PTO.]]=$B72,IF(DATOS_[Check Equiparado]="Sí",IF(DATOS_[Check Periodo Ref.]="Dentro",DATOS_[TOTAL SALARIO Eq],FALSE))))),
0)</f>
        <v>0</v>
      </c>
      <c r="AP74" s="173">
        <f t="array" ref="AP74">IFERROR(
(MEDIAN((IF(DATOS_[[Sexo]:[Sexo]]=$B74,IF(DATOS_[[AGRUP. VALOR. PTO.]:[AGRUP. VALOR. PTO.]]=$B73,IF(DATOS_[[Check Periodo Ref.]:[Check Periodo Ref.]]="Dentro",IF(DATOS_[[Check Equiparado]:[Check Equiparado]]="Sí",IF(DATOS!BW$5="Sí",(1/DATOS_[[% anualiz]:[% anualiz]]),1)*IF(DATOS!BW$4="Sí",1/DATOS_[[% normaliz]:[% normaliz]],1)*(DATOS_[C.Extra.01])))))))),
0)</f>
        <v>0</v>
      </c>
      <c r="AQ74" s="173">
        <f t="array" ref="AQ74">IFERROR(
(MEDIAN((IF(DATOS_[[Sexo]:[Sexo]]=$B74,IF(DATOS_[[AGRUP. VALOR. PTO.]:[AGRUP. VALOR. PTO.]]=$B73,IF(DATOS_[[Check Periodo Ref.]:[Check Periodo Ref.]]="Dentro",IF(DATOS_[[Check Equiparado]:[Check Equiparado]]="Sí",IF(DATOS!CB$5="Sí",(1/DATOS_[[% anualiz]:[% anualiz]]),1)*IF(DATOS!CB$4="Sí",1/DATOS_[[% normaliz]:[% normaliz]],1)*(DATOS_[C.Extra.06])))))))),
0)</f>
        <v>0</v>
      </c>
      <c r="AR74" s="173">
        <f t="array" ref="AR74">IFERROR(
(MEDIAN((IF(DATOS_[[Sexo]:[Sexo]]=$B74,IF(DATOS_[[AGRUP. VALOR. PTO.]:[AGRUP. VALOR. PTO.]]=$B73,IF(DATOS_[[Check Periodo Ref.]:[Check Periodo Ref.]]="Dentro",IF(DATOS_[[Check Equiparado]:[Check Equiparado]]="Sí",IF(DATOS!CC$5="Sí",(1/DATOS_[[% anualiz]:[% anualiz]]),1)*IF(DATOS!CC$4="Sí",1/DATOS_[[% normaliz]:[% normaliz]],1)*(DATOS_[C.Extra.07])))))))),
0)</f>
        <v>0</v>
      </c>
      <c r="AS74" s="173">
        <f t="array" ref="AS74">IFERROR(
(MEDIAN((IF(DATOS_[[Sexo]:[Sexo]]=$B74,IF(DATOS_[[AGRUP. VALOR. PTO.]:[AGRUP. VALOR. PTO.]]=$B73,IF(DATOS_[[Check Periodo Ref.]:[Check Periodo Ref.]]="Dentro",IF(DATOS_[[Check Equiparado]:[Check Equiparado]]="Sí",IF(DATOS!CD$5="Sí",(1/DATOS_[[% anualiz]:[% anualiz]]),1)*IF(DATOS!CD$4="Sí",1/DATOS_[[% normaliz]:[% normaliz]],1)*(DATOS_[C.Extra.08])))))))),
0)</f>
        <v>0</v>
      </c>
      <c r="AT74" s="173">
        <f t="array" ref="AT74">IFERROR(
(MEDIAN((IF(DATOS_[[Sexo]:[Sexo]]=$B74,IF(DATOS_[[AGRUP. VALOR. PTO.]:[AGRUP. VALOR. PTO.]]=$B73,IF(DATOS_[[Check Periodo Ref.]:[Check Periodo Ref.]]="Dentro",IF(DATOS_[[Check Equiparado]:[Check Equiparado]]="Sí",IF(DATOS!CG$5="Sí",(1/DATOS_[[% anualiz]:[% anualiz]]),1)*IF(DATOS!CG$4="Sí",1/DATOS_[[% normaliz]:[% normaliz]],1)*(DATOS_[C.Extra.11])))))))),
0)</f>
        <v>0</v>
      </c>
      <c r="AU74" s="197">
        <f t="array" ref="AU74">IFERROR(
MEDIAN(IF(DATOS_[Sexo]=$B74,IF(DATOS_[[AGRUP. VALOR. PTO.]:[AGRUP. VALOR. PTO.]]=$B72,IF(DATOS_[Check Equiparado]="Sí",IF(DATOS_[Check Periodo Ref.]="Dentro",DATOS_[Tot Extrasalarial Eq],FALSE))))),
0)</f>
        <v>0</v>
      </c>
      <c r="AV74" s="175">
        <f t="array" ref="AV74">IFERROR(
MEDIAN(IF(DATOS_[Sexo]=$B74,IF(DATOS_[[AGRUP. VALOR. PTO.]:[AGRUP. VALOR. PTO.]]=$B72,IF(DATOS_[Check Equiparado]="Sí",IF(DATOS_[Check Periodo Ref.]="Dentro",DATOS_[TOTAL Retrib Eq],FALSE))))),
0)</f>
        <v>0</v>
      </c>
    </row>
    <row r="75" spans="1:48" ht="15.6" thickBot="1" x14ac:dyDescent="0.3">
      <c r="A75" s="133" t="str">
        <f t="shared" ref="A75" si="83">+A76</f>
        <v>[ocultar]</v>
      </c>
      <c r="B75" s="199" t="s">
        <v>261</v>
      </c>
      <c r="C75" s="200"/>
      <c r="D75" s="201"/>
      <c r="E75" s="201"/>
      <c r="F75" s="201"/>
      <c r="G75" s="201"/>
      <c r="H75" s="201"/>
      <c r="I75" s="189" t="str">
        <f t="shared" ref="I75:AV75" si="84">IFERROR((I76-I77)/I76,"")</f>
        <v/>
      </c>
      <c r="J75" s="190" t="str">
        <f t="shared" si="84"/>
        <v/>
      </c>
      <c r="K75" s="191" t="str">
        <f t="shared" si="84"/>
        <v/>
      </c>
      <c r="L75" s="191" t="str">
        <f t="shared" si="84"/>
        <v/>
      </c>
      <c r="M75" s="191" t="str">
        <f t="shared" si="84"/>
        <v/>
      </c>
      <c r="N75" s="192" t="str">
        <f t="shared" si="84"/>
        <v/>
      </c>
      <c r="O75" s="193" t="str">
        <f t="shared" si="84"/>
        <v/>
      </c>
      <c r="P75" s="193" t="str">
        <f t="shared" si="84"/>
        <v/>
      </c>
      <c r="Q75" s="193" t="str">
        <f t="shared" si="84"/>
        <v/>
      </c>
      <c r="R75" s="193" t="str">
        <f t="shared" si="84"/>
        <v/>
      </c>
      <c r="S75" s="193" t="str">
        <f t="shared" si="84"/>
        <v/>
      </c>
      <c r="T75" s="193" t="str">
        <f t="shared" si="84"/>
        <v/>
      </c>
      <c r="U75" s="193" t="str">
        <f t="shared" si="84"/>
        <v/>
      </c>
      <c r="V75" s="193" t="str">
        <f t="shared" si="84"/>
        <v/>
      </c>
      <c r="W75" s="193" t="str">
        <f t="shared" si="84"/>
        <v/>
      </c>
      <c r="X75" s="193" t="str">
        <f t="shared" si="84"/>
        <v/>
      </c>
      <c r="Y75" s="193" t="str">
        <f t="shared" si="84"/>
        <v/>
      </c>
      <c r="Z75" s="193" t="str">
        <f t="shared" si="84"/>
        <v/>
      </c>
      <c r="AA75" s="193" t="str">
        <f t="shared" si="84"/>
        <v/>
      </c>
      <c r="AB75" s="193" t="str">
        <f t="shared" si="84"/>
        <v/>
      </c>
      <c r="AC75" s="193" t="str">
        <f t="shared" si="84"/>
        <v/>
      </c>
      <c r="AD75" s="193" t="str">
        <f t="shared" si="84"/>
        <v/>
      </c>
      <c r="AE75" s="193" t="str">
        <f t="shared" si="84"/>
        <v/>
      </c>
      <c r="AF75" s="193" t="str">
        <f t="shared" si="84"/>
        <v/>
      </c>
      <c r="AG75" s="193" t="str">
        <f t="shared" si="84"/>
        <v/>
      </c>
      <c r="AH75" s="193" t="str">
        <f t="shared" si="84"/>
        <v/>
      </c>
      <c r="AI75" s="193" t="str">
        <f t="shared" si="84"/>
        <v/>
      </c>
      <c r="AJ75" s="193" t="str">
        <f t="shared" si="84"/>
        <v/>
      </c>
      <c r="AK75" s="193" t="str">
        <f t="shared" si="84"/>
        <v/>
      </c>
      <c r="AL75" s="193" t="str">
        <f t="shared" si="84"/>
        <v/>
      </c>
      <c r="AM75" s="193" t="str">
        <f t="shared" si="84"/>
        <v/>
      </c>
      <c r="AN75" s="189" t="str">
        <f t="shared" si="84"/>
        <v/>
      </c>
      <c r="AO75" s="162" t="str">
        <f t="shared" si="84"/>
        <v/>
      </c>
      <c r="AP75" s="163" t="str">
        <f t="shared" si="84"/>
        <v/>
      </c>
      <c r="AQ75" s="163" t="str">
        <f t="shared" si="84"/>
        <v/>
      </c>
      <c r="AR75" s="163" t="str">
        <f t="shared" si="84"/>
        <v/>
      </c>
      <c r="AS75" s="163" t="str">
        <f t="shared" si="84"/>
        <v/>
      </c>
      <c r="AT75" s="163" t="str">
        <f t="shared" si="84"/>
        <v/>
      </c>
      <c r="AU75" s="194" t="str">
        <f t="shared" si="84"/>
        <v/>
      </c>
      <c r="AV75" s="165" t="str">
        <f t="shared" si="84"/>
        <v/>
      </c>
    </row>
    <row r="76" spans="1:48" x14ac:dyDescent="0.25">
      <c r="A76" s="133" t="str">
        <f t="shared" ref="A76" si="85">+IF(C76+C77=0,"[ocultar]","")</f>
        <v>[ocultar]</v>
      </c>
      <c r="B76" s="202" t="s">
        <v>394</v>
      </c>
      <c r="C76" s="203">
        <f t="array" ref="C76">SUM(IF($B76=DATOS_[Sexo],
IF($B75=DATOS_[AGRUP. VALOR. PTO.],
IF("Dentro"=DATOS_[Check Periodo Ref.],
1/(COUNTIFS(DATOS_[Sexo],$B76,DATOS_[AGRUP. VALOR. PTO.],$B75,DATOS_[Check Periodo Ref.],"Dentro",DATOS_[id/cod],DATOS_[id/cod]))))))</f>
        <v>0</v>
      </c>
      <c r="D76" s="204">
        <f>COUNTIFS(DATOS_[AGRUP. VALOR. PTO.],$B75,DATOS_[Sexo],$B76,DATOS_[Check Periodo Ref.],"Dentro")</f>
        <v>0</v>
      </c>
      <c r="E76" s="204">
        <f>COUNTIFS(DATOS_[AGRUP. VALOR. PTO.],$B75,DATOS_[Sexo],$B76,DATOS_[Check Periodo Ref.],"Dentro",DATOS_[Check Nº SC Norm],"Sí")</f>
        <v>0</v>
      </c>
      <c r="F76" s="204">
        <f>COUNTIFS(DATOS_[AGRUP. VALOR. PTO.],$B75,DATOS_[Sexo],$B76,DATOS_[Check Periodo Ref.],"Dentro",DATOS_[Check Nº SC Anualiz],"Sí")</f>
        <v>0</v>
      </c>
      <c r="G76" s="204">
        <f>COUNTIFS(DATOS_[AGRUP. VALOR. PTO.],$B75,DATOS_[Sexo],$B76,DATOS_[Check Periodo Ref.],"Dentro",DATOS_[Check Nº SC Norm y Anualiz],"Sí")</f>
        <v>0</v>
      </c>
      <c r="H76" s="204">
        <f>COUNTIFS(DATOS_[AGRUP. VALOR. PTO.],$B75,DATOS_[Sexo],$B76,DATOS_[Check Periodo Ref.],"Dentro",DATOS_[Check Equiparación],"Sí")</f>
        <v>0</v>
      </c>
      <c r="I76" s="195">
        <f t="array" ref="I76">IFERROR(
MEDIAN(IF(DATOS_[Sexo]=$B76,IF(DATOS_[[AGRUP. VALOR. PTO.]:[AGRUP. VALOR. PTO.]]=$B75,IF(DATOS_[Check Equiparado]="Sí",IF(DATOS_[Check Periodo Ref.]="Dentro",DATOS_[SALARIO BASE Eq],FALSE))))),
0)</f>
        <v>0</v>
      </c>
      <c r="J76" s="196">
        <f t="array" ref="J76">IFERROR(
(MEDIAN((IF(DATOS_[[Sexo]:[Sexo]]=$B76,IF(DATOS_[[AGRUP. VALOR. PTO.]:[AGRUP. VALOR. PTO.]]=$B75,IF(DATOS_[[Check Periodo Ref.]:[Check Periodo Ref.]]="Dentro",IF(DATOS_[[Check Equiparado]:[Check Equiparado]]="Sí",IF(DATOS!AE$5="Sí",(1/DATOS_[[% anualiz]:[% anualiz]]),1)*IF(DATOS!AE$4="Sí",1/DATOS_[[% normaliz]:[% normaliz]],1)*(DATOS_[Conc.Sal.01])))))))),
0)</f>
        <v>0</v>
      </c>
      <c r="K76" s="196">
        <f t="array" ref="K76">IFERROR(
(MEDIAN((IF(DATOS_[[Sexo]:[Sexo]]=$B76,IF(DATOS_[[AGRUP. VALOR. PTO.]:[AGRUP. VALOR. PTO.]]=$B75,IF(DATOS_[[Check Periodo Ref.]:[Check Periodo Ref.]]="Dentro",IF(DATOS_[[Check Equiparado]:[Check Equiparado]]="Sí",IF(DATOS!AF$5="Sí",(1/DATOS_[[% anualiz]:[% anualiz]]),1)*IF(DATOS!AF$4="Sí",1/DATOS_[[% normaliz]:[% normaliz]],1)*(DATOS_[Conc.Sal.02])))))))),
0)</f>
        <v>0</v>
      </c>
      <c r="L76" s="196">
        <f t="array" ref="L76">IFERROR(
(MEDIAN((IF(DATOS_[[Sexo]:[Sexo]]=$B76,IF(DATOS_[[AGRUP. VALOR. PTO.]:[AGRUP. VALOR. PTO.]]=$B75,IF(DATOS_[[Check Periodo Ref.]:[Check Periodo Ref.]]="Dentro",IF(DATOS_[[Check Equiparado]:[Check Equiparado]]="Sí",IF(DATOS!AG$5="Sí",(1/DATOS_[[% anualiz]:[% anualiz]]),1)*IF(DATOS!AG$4="Sí",1/DATOS_[[% normaliz]:[% normaliz]],1)*(DATOS_[Conc.Sal.03])))))))),
0)</f>
        <v>0</v>
      </c>
      <c r="M76" s="196">
        <f t="array" ref="M76">IFERROR(
(MEDIAN((IF(DATOS_[[Sexo]:[Sexo]]=$B76,IF(DATOS_[[AGRUP. VALOR. PTO.]:[AGRUP. VALOR. PTO.]]=$B75,IF(DATOS_[[Check Periodo Ref.]:[Check Periodo Ref.]]="Dentro",IF(DATOS_[[Check Equiparado]:[Check Equiparado]]="Sí",IF(DATOS!AH$5="Sí",(1/DATOS_[[% anualiz]:[% anualiz]]),1)*IF(DATOS!AH$4="Sí",1/DATOS_[[% normaliz]:[% normaliz]],1)*(DATOS_[Conc.Sal.04])))))))),
0)</f>
        <v>0</v>
      </c>
      <c r="N76" s="196">
        <f t="array" ref="N76">IFERROR(
(MEDIAN((IF(DATOS_[[Sexo]:[Sexo]]=$B76,IF(DATOS_[[AGRUP. VALOR. PTO.]:[AGRUP. VALOR. PTO.]]=$B75,IF(DATOS_[[Check Periodo Ref.]:[Check Periodo Ref.]]="Dentro",IF(DATOS_[[Check Equiparado]:[Check Equiparado]]="Sí",IF(DATOS!AI$5="Sí",(1/DATOS_[[% anualiz]:[% anualiz]]),1)*IF(DATOS!AI$4="Sí",1/DATOS_[[% normaliz]:[% normaliz]],1)*(DATOS_[Conc.Sal.05])))))))),
0)</f>
        <v>0</v>
      </c>
      <c r="O76" s="196">
        <f t="array" ref="O76">IFERROR(
(MEDIAN((IF(DATOS_[[Sexo]:[Sexo]]=$B76,IF(DATOS_[[AGRUP. VALOR. PTO.]:[AGRUP. VALOR. PTO.]]=$B75,IF(DATOS_[[Check Periodo Ref.]:[Check Periodo Ref.]]="Dentro",IF(DATOS_[[Check Equiparado]:[Check Equiparado]]="Sí",IF(DATOS!AJ$5="Sí",(1/DATOS_[[% anualiz]:[% anualiz]]),1)*IF(DATOS!AJ$4="Sí",1/DATOS_[[% normaliz]:[% normaliz]],1)*(DATOS_[Conc.Sal.06])))))))),
0)</f>
        <v>0</v>
      </c>
      <c r="P76" s="196">
        <f t="array" ref="P76">IFERROR(
(MEDIAN((IF(DATOS_[[Sexo]:[Sexo]]=$B76,IF(DATOS_[[AGRUP. VALOR. PTO.]:[AGRUP. VALOR. PTO.]]=$B75,IF(DATOS_[[Check Periodo Ref.]:[Check Periodo Ref.]]="Dentro",IF(DATOS_[[Check Equiparado]:[Check Equiparado]]="Sí",IF(DATOS!AK$5="Sí",(1/DATOS_[[% anualiz]:[% anualiz]]),1)*IF(DATOS!AK$4="Sí",1/DATOS_[[% normaliz]:[% normaliz]],1)*(DATOS_[Conc.Sal.07])))))))),
0)</f>
        <v>0</v>
      </c>
      <c r="Q76" s="196">
        <f t="array" ref="Q76">IFERROR(
(MEDIAN((IF(DATOS_[[Sexo]:[Sexo]]=$B76,IF(DATOS_[[AGRUP. VALOR. PTO.]:[AGRUP. VALOR. PTO.]]=$B75,IF(DATOS_[[Check Periodo Ref.]:[Check Periodo Ref.]]="Dentro",IF(DATOS_[[Check Equiparado]:[Check Equiparado]]="Sí",IF(DATOS!AL$5="Sí",(1/DATOS_[[% anualiz]:[% anualiz]]),1)*IF(DATOS!AL$4="Sí",1/DATOS_[[% normaliz]:[% normaliz]],1)*(DATOS_[Conc.Sal.08])))))))),
0)</f>
        <v>0</v>
      </c>
      <c r="R76" s="196">
        <f t="array" ref="R76">IFERROR(
(MEDIAN((IF(DATOS_[[Sexo]:[Sexo]]=$B76,IF(DATOS_[[AGRUP. VALOR. PTO.]:[AGRUP. VALOR. PTO.]]=$B75,IF(DATOS_[[Check Periodo Ref.]:[Check Periodo Ref.]]="Dentro",IF(DATOS_[[Check Equiparado]:[Check Equiparado]]="Sí",IF(DATOS!AM$5="Sí",(1/DATOS_[[% anualiz]:[% anualiz]]),1)*IF(DATOS!AM$4="Sí",1/DATOS_[[% normaliz]:[% normaliz]],1)*(DATOS_[Conc.Sal.09])))))))),
0)</f>
        <v>0</v>
      </c>
      <c r="S76" s="196">
        <f t="array" ref="S76">IFERROR(
(MEDIAN((IF(DATOS_[[Sexo]:[Sexo]]=$B76,IF(DATOS_[[AGRUP. VALOR. PTO.]:[AGRUP. VALOR. PTO.]]=$B75,IF(DATOS_[[Check Periodo Ref.]:[Check Periodo Ref.]]="Dentro",IF(DATOS_[[Check Equiparado]:[Check Equiparado]]="Sí",IF(DATOS!AN$5="Sí",(1/DATOS_[[% anualiz]:[% anualiz]]),1)*IF(DATOS!AN$4="Sí",1/DATOS_[[% normaliz]:[% normaliz]],1)*(DATOS_[Conc.Sal.10])))))))),
0)</f>
        <v>0</v>
      </c>
      <c r="T76" s="196">
        <f t="array" ref="T76">IFERROR(
(MEDIAN((IF(DATOS_[[Sexo]:[Sexo]]=$B76,IF(DATOS_[[AGRUP. VALOR. PTO.]:[AGRUP. VALOR. PTO.]]=$B75,IF(DATOS_[[Check Periodo Ref.]:[Check Periodo Ref.]]="Dentro",IF(DATOS_[[Check Equiparado]:[Check Equiparado]]="Sí",IF(DATOS!AO$5="Sí",(1/DATOS_[[% anualiz]:[% anualiz]]),1)*IF(DATOS!AO$4="Sí",1/DATOS_[[% normaliz]:[% normaliz]],1)*(DATOS_[Conc.Sal.11])))))))),
0)</f>
        <v>0</v>
      </c>
      <c r="U76" s="196">
        <f t="array" ref="U76">IFERROR(
(MEDIAN((IF(DATOS_[[Sexo]:[Sexo]]=$B76,IF(DATOS_[[AGRUP. VALOR. PTO.]:[AGRUP. VALOR. PTO.]]=$B75,IF(DATOS_[[Check Periodo Ref.]:[Check Periodo Ref.]]="Dentro",IF(DATOS_[[Check Equiparado]:[Check Equiparado]]="Sí",IF(DATOS!AP$5="Sí",(1/DATOS_[[% anualiz]:[% anualiz]]),1)*IF(DATOS!AP$4="Sí",1/DATOS_[[% normaliz]:[% normaliz]],1)*(DATOS_[Conc.Sal.12])))))))),
0)</f>
        <v>0</v>
      </c>
      <c r="V76" s="196">
        <f t="array" ref="V76">IFERROR(
(MEDIAN((IF(DATOS_[[Sexo]:[Sexo]]=$B76,IF(DATOS_[[AGRUP. VALOR. PTO.]:[AGRUP. VALOR. PTO.]]=$B75,IF(DATOS_[[Check Periodo Ref.]:[Check Periodo Ref.]]="Dentro",IF(DATOS_[[Check Equiparado]:[Check Equiparado]]="Sí",IF(DATOS!AQ$5="Sí",(1/DATOS_[[% anualiz]:[% anualiz]]),1)*IF(DATOS!AQ$4="Sí",1/DATOS_[[% normaliz]:[% normaliz]],1)*(DATOS_[Conc.Sal.13])))))))),
0)</f>
        <v>0</v>
      </c>
      <c r="W76" s="196">
        <f t="array" ref="W76">IFERROR(
(MEDIAN((IF(DATOS_[[Sexo]:[Sexo]]=$B76,IF(DATOS_[[AGRUP. VALOR. PTO.]:[AGRUP. VALOR. PTO.]]=$B75,IF(DATOS_[[Check Periodo Ref.]:[Check Periodo Ref.]]="Dentro",IF(DATOS_[[Check Equiparado]:[Check Equiparado]]="Sí",IF(DATOS!AR$5="Sí",(1/DATOS_[[% anualiz]:[% anualiz]]),1)*IF(DATOS!AR$4="Sí",1/DATOS_[[% normaliz]:[% normaliz]],1)*(DATOS_[Conc.Sal.14])))))))),
0)</f>
        <v>0</v>
      </c>
      <c r="X76" s="196">
        <f t="array" ref="X76">IFERROR(
(MEDIAN((IF(DATOS_[[Sexo]:[Sexo]]=$B76,IF(DATOS_[[AGRUP. VALOR. PTO.]:[AGRUP. VALOR. PTO.]]=$B75,IF(DATOS_[[Check Periodo Ref.]:[Check Periodo Ref.]]="Dentro",IF(DATOS_[[Check Equiparado]:[Check Equiparado]]="Sí",IF(DATOS!AS$5="Sí",(1/DATOS_[[% anualiz]:[% anualiz]]),1)*IF(DATOS!AS$4="Sí",1/DATOS_[[% normaliz]:[% normaliz]],1)*(DATOS_[Conc.Sal.15])))))))),
0)</f>
        <v>0</v>
      </c>
      <c r="Y76" s="196">
        <f t="array" ref="Y76">IFERROR(
(MEDIAN((IF(DATOS_[[Sexo]:[Sexo]]=$B76,IF(DATOS_[[AGRUP. VALOR. PTO.]:[AGRUP. VALOR. PTO.]]=$B75,IF(DATOS_[[Check Periodo Ref.]:[Check Periodo Ref.]]="Dentro",IF(DATOS_[[Check Equiparado]:[Check Equiparado]]="Sí",IF(DATOS!AT$5="Sí",(1/DATOS_[[% anualiz]:[% anualiz]]),1)*IF(DATOS!AT$4="Sí",1/DATOS_[[% normaliz]:[% normaliz]],1)*(DATOS_[Conc.Sal.16])))))))),
0)</f>
        <v>0</v>
      </c>
      <c r="Z76" s="196">
        <f t="array" ref="Z76">IFERROR(
(MEDIAN((IF(DATOS_[[Sexo]:[Sexo]]=$B76,IF(DATOS_[[AGRUP. VALOR. PTO.]:[AGRUP. VALOR. PTO.]]=$B75,IF(DATOS_[[Check Periodo Ref.]:[Check Periodo Ref.]]="Dentro",IF(DATOS_[[Check Equiparado]:[Check Equiparado]]="Sí",IF(DATOS!AU$5="Sí",(1/DATOS_[[% anualiz]:[% anualiz]]),1)*IF(DATOS!AU$4="Sí",1/DATOS_[[% normaliz]:[% normaliz]],1)*(DATOS_[Conc.Sal.17])))))))),
0)</f>
        <v>0</v>
      </c>
      <c r="AA76" s="196">
        <f t="array" ref="AA76">IFERROR(
(MEDIAN((IF(DATOS_[[Sexo]:[Sexo]]=$B76,IF(DATOS_[[AGRUP. VALOR. PTO.]:[AGRUP. VALOR. PTO.]]=$B75,IF(DATOS_[[Check Periodo Ref.]:[Check Periodo Ref.]]="Dentro",IF(DATOS_[[Check Equiparado]:[Check Equiparado]]="Sí",IF(DATOS!AV$5="Sí",(1/DATOS_[[% anualiz]:[% anualiz]]),1)*IF(DATOS!AV$4="Sí",1/DATOS_[[% normaliz]:[% normaliz]],1)*(DATOS_[Conc.Sal.18])))))))),
0)</f>
        <v>0</v>
      </c>
      <c r="AB76" s="196">
        <f t="array" ref="AB76">IFERROR(
(MEDIAN((IF(DATOS_[[Sexo]:[Sexo]]=$B76,IF(DATOS_[[AGRUP. VALOR. PTO.]:[AGRUP. VALOR. PTO.]]=$B75,IF(DATOS_[[Check Periodo Ref.]:[Check Periodo Ref.]]="Dentro",IF(DATOS_[[Check Equiparado]:[Check Equiparado]]="Sí",IF(DATOS!AW$5="Sí",(1/DATOS_[[% anualiz]:[% anualiz]]),1)*IF(DATOS!AW$4="Sí",1/DATOS_[[% normaliz]:[% normaliz]],1)*(DATOS_[Conc.Sal.19])))))))),
0)</f>
        <v>0</v>
      </c>
      <c r="AC76" s="196">
        <f t="array" ref="AC76">IFERROR(
(MEDIAN((IF(DATOS_[[Sexo]:[Sexo]]=$B76,IF(DATOS_[[AGRUP. VALOR. PTO.]:[AGRUP. VALOR. PTO.]]=$B75,IF(DATOS_[[Check Periodo Ref.]:[Check Periodo Ref.]]="Dentro",IF(DATOS_[[Check Equiparado]:[Check Equiparado]]="Sí",IF(DATOS!AX$5="Sí",(1/DATOS_[[% anualiz]:[% anualiz]]),1)*IF(DATOS!AX$4="Sí",1/DATOS_[[% normaliz]:[% normaliz]],1)*(DATOS_[Conc.Sal.20])))))))),
0)</f>
        <v>0</v>
      </c>
      <c r="AD76" s="196">
        <f t="array" ref="AD76">IFERROR(
(MEDIAN((IF(DATOS_[[Sexo]:[Sexo]]=$B76,IF(DATOS_[[AGRUP. VALOR. PTO.]:[AGRUP. VALOR. PTO.]]=$B75,IF(DATOS_[[Check Periodo Ref.]:[Check Periodo Ref.]]="Dentro",IF(DATOS_[[Check Equiparado]:[Check Equiparado]]="Sí",IF(DATOS!AY$5="Sí",(1/DATOS_[[% anualiz]:[% anualiz]]),1)*IF(DATOS!AY$4="Sí",1/DATOS_[[% normaliz]:[% normaliz]],1)*(DATOS_[Conc.Sal.21])))))))),
0)</f>
        <v>0</v>
      </c>
      <c r="AE76" s="196">
        <f t="array" ref="AE76">IFERROR(
(MEDIAN((IF(DATOS_[[Sexo]:[Sexo]]=$B76,IF(DATOS_[[AGRUP. VALOR. PTO.]:[AGRUP. VALOR. PTO.]]=$B75,IF(DATOS_[[Check Periodo Ref.]:[Check Periodo Ref.]]="Dentro",IF(DATOS_[[Check Equiparado]:[Check Equiparado]]="Sí",IF(DATOS!AZ$5="Sí",(1/DATOS_[[% anualiz]:[% anualiz]]),1)*IF(DATOS!AZ$4="Sí",1/DATOS_[[% normaliz]:[% normaliz]],1)*(DATOS_[Conc.Sal.22])))))))),
0)</f>
        <v>0</v>
      </c>
      <c r="AF76" s="196">
        <f t="array" ref="AF76">IFERROR(
(MEDIAN((IF(DATOS_[[Sexo]:[Sexo]]=$B76,IF(DATOS_[[AGRUP. VALOR. PTO.]:[AGRUP. VALOR. PTO.]]=$B75,IF(DATOS_[[Check Periodo Ref.]:[Check Periodo Ref.]]="Dentro",IF(DATOS_[[Check Equiparado]:[Check Equiparado]]="Sí",IF(DATOS!BA$5="Sí",(1/DATOS_[[% anualiz]:[% anualiz]]),1)*IF(DATOS!BA$4="Sí",1/DATOS_[[% normaliz]:[% normaliz]],1)*(DATOS_[Conc.Sal.23])))))))),
0)</f>
        <v>0</v>
      </c>
      <c r="AG76" s="196">
        <f t="array" ref="AG76">IFERROR(
(MEDIAN((IF(DATOS_[[Sexo]:[Sexo]]=$B76,IF(DATOS_[[AGRUP. VALOR. PTO.]:[AGRUP. VALOR. PTO.]]=$B75,IF(DATOS_[[Check Periodo Ref.]:[Check Periodo Ref.]]="Dentro",IF(DATOS_[[Check Equiparado]:[Check Equiparado]]="Sí",IF(DATOS!BB$5="Sí",(1/DATOS_[[% anualiz]:[% anualiz]]),1)*IF(DATOS!BB$4="Sí",1/DATOS_[[% normaliz]:[% normaliz]],1)*(DATOS_[Conc.Sal.24])))))))),
0)</f>
        <v>0</v>
      </c>
      <c r="AH76" s="196">
        <f t="array" ref="AH76">IFERROR(
(MEDIAN((IF(DATOS_[[Sexo]:[Sexo]]=$B76,IF(DATOS_[[AGRUP. VALOR. PTO.]:[AGRUP. VALOR. PTO.]]=$B75,IF(DATOS_[[Check Periodo Ref.]:[Check Periodo Ref.]]="Dentro",IF(DATOS_[[Check Equiparado]:[Check Equiparado]]="Sí",IF(DATOS!BC$5="Sí",(1/DATOS_[[% anualiz]:[% anualiz]]),1)*IF(DATOS!BC$4="Sí",1/DATOS_[[% normaliz]:[% normaliz]],1)*(DATOS_[Conc.Sal.25])))))))),
0)</f>
        <v>0</v>
      </c>
      <c r="AI76" s="196">
        <f t="array" ref="AI76">IFERROR(
(MEDIAN((IF(DATOS_[[Sexo]:[Sexo]]=$B76,IF(DATOS_[[AGRUP. VALOR. PTO.]:[AGRUP. VALOR. PTO.]]=$B75,IF(DATOS_[[Check Periodo Ref.]:[Check Periodo Ref.]]="Dentro",IF(DATOS_[[Check Equiparado]:[Check Equiparado]]="Sí",IF(DATOS!BD$5="Sí",(1/DATOS_[[% anualiz]:[% anualiz]]),1)*IF(DATOS!BD$4="Sí",1/DATOS_[[% normaliz]:[% normaliz]],1)*(DATOS_[Conc.Sal.26])))))))),
0)</f>
        <v>0</v>
      </c>
      <c r="AJ76" s="196">
        <f t="array" ref="AJ76">IFERROR(
(MEDIAN((IF(DATOS_[[Sexo]:[Sexo]]=$B76,IF(DATOS_[[AGRUP. VALOR. PTO.]:[AGRUP. VALOR. PTO.]]=$B75,IF(DATOS_[[Check Periodo Ref.]:[Check Periodo Ref.]]="Dentro",IF(DATOS_[[Check Equiparado]:[Check Equiparado]]="Sí",IF(DATOS!BE$5="Sí",(1/DATOS_[[% anualiz]:[% anualiz]]),1)*IF(DATOS!BE$4="Sí",1/DATOS_[[% normaliz]:[% normaliz]],1)*(DATOS_[Conc.Sal.27])))))))),
0)</f>
        <v>0</v>
      </c>
      <c r="AK76" s="196">
        <f t="array" ref="AK76">IFERROR(
(MEDIAN((IF(DATOS_[[Sexo]:[Sexo]]=$B76,IF(DATOS_[[AGRUP. VALOR. PTO.]:[AGRUP. VALOR. PTO.]]=$B75,IF(DATOS_[[Check Periodo Ref.]:[Check Periodo Ref.]]="Dentro",IF(DATOS_[[Check Equiparado]:[Check Equiparado]]="Sí",IF(DATOS!BF$5="Sí",(1/DATOS_[[% anualiz]:[% anualiz]]),1)*IF(DATOS!BF$4="Sí",1/DATOS_[[% normaliz]:[% normaliz]],1)*(DATOS_[Conc.Sal.28])))))))),
0)</f>
        <v>0</v>
      </c>
      <c r="AL76" s="196">
        <f t="array" ref="AL76">IFERROR(
(MEDIAN((IF(DATOS_[[Sexo]:[Sexo]]=$B76,IF(DATOS_[[AGRUP. VALOR. PTO.]:[AGRUP. VALOR. PTO.]]=$B75,IF(DATOS_[[Check Periodo Ref.]:[Check Periodo Ref.]]="Dentro",IF(DATOS_[[Check Equiparado]:[Check Equiparado]]="Sí",IF(DATOS!BG$5="Sí",(1/DATOS_[[% anualiz]:[% anualiz]]),1)*IF(DATOS!BG$4="Sí",1/DATOS_[[% normaliz]:[% normaliz]],1)*(DATOS_[Conc.Sal.29])))))))),
0)</f>
        <v>0</v>
      </c>
      <c r="AM76" s="196">
        <f t="array" ref="AM76">IFERROR(
(MEDIAN((IF(DATOS_[[Sexo]:[Sexo]]=$B76,IF(DATOS_[[AGRUP. VALOR. PTO.]:[AGRUP. VALOR. PTO.]]=$B75,IF(DATOS_[[Check Periodo Ref.]:[Check Periodo Ref.]]="Dentro",IF(DATOS_[[Check Equiparado]:[Check Equiparado]]="Sí",IF(DATOS!BH$5="Sí",(1/DATOS_[[% anualiz]:[% anualiz]]),1)*IF(DATOS!BH$4="Sí",1/DATOS_[[% normaliz]:[% normaliz]],1)*(DATOS_[Conc.Sal.30])))))))),
0)</f>
        <v>0</v>
      </c>
      <c r="AN76" s="195">
        <f t="array" ref="AN76">IFERROR(
MEDIAN(IF(DATOS_[Sexo]=$B76,IF(DATOS_[[AGRUP. VALOR. PTO.]:[AGRUP. VALOR. PTO.]]=$B75,IF(DATOS_[Check Equiparado]="Sí",IF(DATOS_[Check Periodo Ref.]="Dentro",DATOS_[Tot COMPL.SAL Eq],FALSE))))),
0)</f>
        <v>0</v>
      </c>
      <c r="AO76" s="172">
        <f t="array" ref="AO76">IFERROR(
MEDIAN(IF(DATOS_[Sexo]=$B76,IF(DATOS_[[AGRUP. VALOR. PTO.]:[AGRUP. VALOR. PTO.]]=$B75,IF(DATOS_[Check Equiparado]="Sí",IF(DATOS_[Check Periodo Ref.]="Dentro",DATOS_[TOTAL SALARIO Eq],FALSE))))),
0)</f>
        <v>0</v>
      </c>
      <c r="AP76" s="173">
        <f t="array" ref="AP76">IFERROR(
(MEDIAN((IF(DATOS_[[Sexo]:[Sexo]]=$B76,IF(DATOS_[[AGRUP. VALOR. PTO.]:[AGRUP. VALOR. PTO.]]=$B75,IF(DATOS_[[Check Periodo Ref.]:[Check Periodo Ref.]]="Dentro",IF(DATOS_[[Check Equiparado]:[Check Equiparado]]="Sí",IF(DATOS!BW$5="Sí",(1/DATOS_[[% anualiz]:[% anualiz]]),1)*IF(DATOS!BW$4="Sí",1/DATOS_[[% normaliz]:[% normaliz]],1)*(DATOS_[C.Extra.01])))))))),
0)</f>
        <v>0</v>
      </c>
      <c r="AQ76" s="173">
        <f t="array" ref="AQ76">IFERROR(
(MEDIAN((IF(DATOS_[[Sexo]:[Sexo]]=$B76,IF(DATOS_[[AGRUP. VALOR. PTO.]:[AGRUP. VALOR. PTO.]]=$B75,IF(DATOS_[[Check Periodo Ref.]:[Check Periodo Ref.]]="Dentro",IF(DATOS_[[Check Equiparado]:[Check Equiparado]]="Sí",IF(DATOS!CB$5="Sí",(1/DATOS_[[% anualiz]:[% anualiz]]),1)*IF(DATOS!CB$4="Sí",1/DATOS_[[% normaliz]:[% normaliz]],1)*(DATOS_[C.Extra.06])))))))),
0)</f>
        <v>0</v>
      </c>
      <c r="AR76" s="173">
        <f t="array" ref="AR76">IFERROR(
(MEDIAN((IF(DATOS_[[Sexo]:[Sexo]]=$B76,IF(DATOS_[[AGRUP. VALOR. PTO.]:[AGRUP. VALOR. PTO.]]=$B75,IF(DATOS_[[Check Periodo Ref.]:[Check Periodo Ref.]]="Dentro",IF(DATOS_[[Check Equiparado]:[Check Equiparado]]="Sí",IF(DATOS!CC$5="Sí",(1/DATOS_[[% anualiz]:[% anualiz]]),1)*IF(DATOS!CC$4="Sí",1/DATOS_[[% normaliz]:[% normaliz]],1)*(DATOS_[C.Extra.07])))))))),
0)</f>
        <v>0</v>
      </c>
      <c r="AS76" s="173">
        <f t="array" ref="AS76">IFERROR(
(MEDIAN((IF(DATOS_[[Sexo]:[Sexo]]=$B76,IF(DATOS_[[AGRUP. VALOR. PTO.]:[AGRUP. VALOR. PTO.]]=$B75,IF(DATOS_[[Check Periodo Ref.]:[Check Periodo Ref.]]="Dentro",IF(DATOS_[[Check Equiparado]:[Check Equiparado]]="Sí",IF(DATOS!CD$5="Sí",(1/DATOS_[[% anualiz]:[% anualiz]]),1)*IF(DATOS!CD$4="Sí",1/DATOS_[[% normaliz]:[% normaliz]],1)*(DATOS_[C.Extra.08])))))))),
0)</f>
        <v>0</v>
      </c>
      <c r="AT76" s="173">
        <f t="array" ref="AT76">IFERROR(
(MEDIAN((IF(DATOS_[[Sexo]:[Sexo]]=$B76,IF(DATOS_[[AGRUP. VALOR. PTO.]:[AGRUP. VALOR. PTO.]]=$B75,IF(DATOS_[[Check Periodo Ref.]:[Check Periodo Ref.]]="Dentro",IF(DATOS_[[Check Equiparado]:[Check Equiparado]]="Sí",IF(DATOS!CG$5="Sí",(1/DATOS_[[% anualiz]:[% anualiz]]),1)*IF(DATOS!CG$4="Sí",1/DATOS_[[% normaliz]:[% normaliz]],1)*(DATOS_[C.Extra.11])))))))),
0)</f>
        <v>0</v>
      </c>
      <c r="AU76" s="197">
        <f t="array" ref="AU76">IFERROR(
MEDIAN(IF(DATOS_[Sexo]=$B76,IF(DATOS_[[AGRUP. VALOR. PTO.]:[AGRUP. VALOR. PTO.]]=$B75,IF(DATOS_[Check Equiparado]="Sí",IF(DATOS_[Check Periodo Ref.]="Dentro",DATOS_[Tot Extrasalarial Eq],FALSE))))),
0)</f>
        <v>0</v>
      </c>
      <c r="AV76" s="175">
        <f t="array" ref="AV76">IFERROR(
MEDIAN(IF(DATOS_[Sexo]=$B76,IF(DATOS_[[AGRUP. VALOR. PTO.]:[AGRUP. VALOR. PTO.]]=$B75,IF(DATOS_[Check Equiparado]="Sí",IF(DATOS_[Check Periodo Ref.]="Dentro",DATOS_[TOTAL Retrib Eq],FALSE))))),
0)</f>
        <v>0</v>
      </c>
    </row>
    <row r="77" spans="1:48" x14ac:dyDescent="0.25">
      <c r="A77" s="133" t="str">
        <f t="shared" ref="A77" si="86">+A76</f>
        <v>[ocultar]</v>
      </c>
      <c r="B77" s="202" t="s">
        <v>521</v>
      </c>
      <c r="C77" s="203">
        <f t="array" ref="C77">SUM(IF($B77=DATOS_[Sexo],
IF($B75=DATOS_[AGRUP. VALOR. PTO.],
IF("Dentro"=DATOS_[Check Periodo Ref.],
1/(COUNTIFS(DATOS_[Sexo],$B77,DATOS_[AGRUP. VALOR. PTO.],$B75,DATOS_[Check Periodo Ref.],"Dentro",DATOS_[id/cod],DATOS_[id/cod]))))))</f>
        <v>0</v>
      </c>
      <c r="D77" s="204">
        <f>COUNTIFS(DATOS_[AGRUP. VALOR. PTO.],$B75,DATOS_[Sexo],$B77,DATOS_[Check Periodo Ref.],"Dentro")</f>
        <v>0</v>
      </c>
      <c r="E77" s="204">
        <f>COUNTIFS(DATOS_[AGRUP. VALOR. PTO.],$B75,DATOS_[Sexo],$B77,DATOS_[Check Periodo Ref.],"Dentro",DATOS_[Check Nº SC Norm],"Sí")</f>
        <v>0</v>
      </c>
      <c r="F77" s="204">
        <f>COUNTIFS(DATOS_[AGRUP. VALOR. PTO.],$B75,DATOS_[Sexo],$B77,DATOS_[Check Periodo Ref.],"Dentro",DATOS_[Check Nº SC Anualiz],"Sí")</f>
        <v>0</v>
      </c>
      <c r="G77" s="204">
        <f>COUNTIFS(DATOS_[AGRUP. VALOR. PTO.],$B75,DATOS_[Sexo],$B77,DATOS_[Check Periodo Ref.],"Dentro",DATOS_[Check Nº SC Norm y Anualiz],"Sí")</f>
        <v>0</v>
      </c>
      <c r="H77" s="204">
        <f>COUNTIFS(DATOS_[AGRUP. VALOR. PTO.],$B75,DATOS_[Sexo],$B77,DATOS_[Check Periodo Ref.],"Dentro",DATOS_[Check Equiparación],"Sí")</f>
        <v>0</v>
      </c>
      <c r="I77" s="195" cm="1">
        <f t="array" ref="I77">IFERROR(
MEDIAN(IF(DATOS_[Sexo]=$B77,IF(DATOS_[[AGRUP. VALOR. PTO.]:[AGRUP. VALOR. PTO.]]=$B75,IF(DATOS_[Check Equiparado]="Sí",IF(DATOS_[Check Periodo Ref.]="Dentro",DATOS_[SALARIO BASE Eq],FALSE))))),
0)</f>
        <v>0</v>
      </c>
      <c r="J77" s="196">
        <f t="array" ref="J77">IFERROR(
(MEDIAN((IF(DATOS_[[Sexo]:[Sexo]]=$B77,IF(DATOS_[[AGRUP. VALOR. PTO.]:[AGRUP. VALOR. PTO.]]=$B75,IF(DATOS_[[Check Periodo Ref.]:[Check Periodo Ref.]]="Dentro",IF(DATOS_[[Check Equiparado]:[Check Equiparado]]="Sí",IF(DATOS!AE$5="Sí",(1/DATOS_[[% anualiz]:[% anualiz]]),1)*IF(DATOS!AE$4="Sí",1/DATOS_[[% normaliz]:[% normaliz]],1)*(DATOS_[Conc.Sal.01])))))))),
0)</f>
        <v>0</v>
      </c>
      <c r="K77" s="196">
        <f t="array" ref="K77">IFERROR(
(MEDIAN((IF(DATOS_[[Sexo]:[Sexo]]=$B77,IF(DATOS_[[AGRUP. VALOR. PTO.]:[AGRUP. VALOR. PTO.]]=$B75,IF(DATOS_[[Check Periodo Ref.]:[Check Periodo Ref.]]="Dentro",IF(DATOS_[[Check Equiparado]:[Check Equiparado]]="Sí",IF(DATOS!AF$5="Sí",(1/DATOS_[[% anualiz]:[% anualiz]]),1)*IF(DATOS!AF$4="Sí",1/DATOS_[[% normaliz]:[% normaliz]],1)*(DATOS_[Conc.Sal.02])))))))),
0)</f>
        <v>0</v>
      </c>
      <c r="L77" s="196">
        <f t="array" ref="L77">IFERROR(
(MEDIAN((IF(DATOS_[[Sexo]:[Sexo]]=$B77,IF(DATOS_[[AGRUP. VALOR. PTO.]:[AGRUP. VALOR. PTO.]]=$B75,IF(DATOS_[[Check Periodo Ref.]:[Check Periodo Ref.]]="Dentro",IF(DATOS_[[Check Equiparado]:[Check Equiparado]]="Sí",IF(DATOS!AG$5="Sí",(1/DATOS_[[% anualiz]:[% anualiz]]),1)*IF(DATOS!AG$4="Sí",1/DATOS_[[% normaliz]:[% normaliz]],1)*(DATOS_[Conc.Sal.03])))))))),
0)</f>
        <v>0</v>
      </c>
      <c r="M77" s="196">
        <f t="array" ref="M77">IFERROR(
(MEDIAN((IF(DATOS_[[Sexo]:[Sexo]]=$B77,IF(DATOS_[[AGRUP. VALOR. PTO.]:[AGRUP. VALOR. PTO.]]=$B75,IF(DATOS_[[Check Periodo Ref.]:[Check Periodo Ref.]]="Dentro",IF(DATOS_[[Check Equiparado]:[Check Equiparado]]="Sí",IF(DATOS!AH$5="Sí",(1/DATOS_[[% anualiz]:[% anualiz]]),1)*IF(DATOS!AH$4="Sí",1/DATOS_[[% normaliz]:[% normaliz]],1)*(DATOS_[Conc.Sal.04])))))))),
0)</f>
        <v>0</v>
      </c>
      <c r="N77" s="196">
        <f t="array" ref="N77">IFERROR(
(MEDIAN((IF(DATOS_[[Sexo]:[Sexo]]=$B77,IF(DATOS_[[AGRUP. VALOR. PTO.]:[AGRUP. VALOR. PTO.]]=$B75,IF(DATOS_[[Check Periodo Ref.]:[Check Periodo Ref.]]="Dentro",IF(DATOS_[[Check Equiparado]:[Check Equiparado]]="Sí",IF(DATOS!AI$5="Sí",(1/DATOS_[[% anualiz]:[% anualiz]]),1)*IF(DATOS!AI$4="Sí",1/DATOS_[[% normaliz]:[% normaliz]],1)*(DATOS_[Conc.Sal.05])))))))),
0)</f>
        <v>0</v>
      </c>
      <c r="O77" s="196">
        <f t="array" ref="O77">IFERROR(
(MEDIAN((IF(DATOS_[[Sexo]:[Sexo]]=$B77,IF(DATOS_[[AGRUP. VALOR. PTO.]:[AGRUP. VALOR. PTO.]]=$B75,IF(DATOS_[[Check Periodo Ref.]:[Check Periodo Ref.]]="Dentro",IF(DATOS_[[Check Equiparado]:[Check Equiparado]]="Sí",IF(DATOS!AJ$5="Sí",(1/DATOS_[[% anualiz]:[% anualiz]]),1)*IF(DATOS!AJ$4="Sí",1/DATOS_[[% normaliz]:[% normaliz]],1)*(DATOS_[Conc.Sal.06])))))))),
0)</f>
        <v>0</v>
      </c>
      <c r="P77" s="196">
        <f t="array" ref="P77">IFERROR(
(MEDIAN((IF(DATOS_[[Sexo]:[Sexo]]=$B77,IF(DATOS_[[AGRUP. VALOR. PTO.]:[AGRUP. VALOR. PTO.]]=$B75,IF(DATOS_[[Check Periodo Ref.]:[Check Periodo Ref.]]="Dentro",IF(DATOS_[[Check Equiparado]:[Check Equiparado]]="Sí",IF(DATOS!AK$5="Sí",(1/DATOS_[[% anualiz]:[% anualiz]]),1)*IF(DATOS!AK$4="Sí",1/DATOS_[[% normaliz]:[% normaliz]],1)*(DATOS_[Conc.Sal.07])))))))),
0)</f>
        <v>0</v>
      </c>
      <c r="Q77" s="196">
        <f t="array" ref="Q77">IFERROR(
(MEDIAN((IF(DATOS_[[Sexo]:[Sexo]]=$B77,IF(DATOS_[[AGRUP. VALOR. PTO.]:[AGRUP. VALOR. PTO.]]=$B75,IF(DATOS_[[Check Periodo Ref.]:[Check Periodo Ref.]]="Dentro",IF(DATOS_[[Check Equiparado]:[Check Equiparado]]="Sí",IF(DATOS!AL$5="Sí",(1/DATOS_[[% anualiz]:[% anualiz]]),1)*IF(DATOS!AL$4="Sí",1/DATOS_[[% normaliz]:[% normaliz]],1)*(DATOS_[Conc.Sal.08])))))))),
0)</f>
        <v>0</v>
      </c>
      <c r="R77" s="196">
        <f t="array" ref="R77">IFERROR(
(MEDIAN((IF(DATOS_[[Sexo]:[Sexo]]=$B77,IF(DATOS_[[AGRUP. VALOR. PTO.]:[AGRUP. VALOR. PTO.]]=$B75,IF(DATOS_[[Check Periodo Ref.]:[Check Periodo Ref.]]="Dentro",IF(DATOS_[[Check Equiparado]:[Check Equiparado]]="Sí",IF(DATOS!AM$5="Sí",(1/DATOS_[[% anualiz]:[% anualiz]]),1)*IF(DATOS!AM$4="Sí",1/DATOS_[[% normaliz]:[% normaliz]],1)*(DATOS_[Conc.Sal.09])))))))),
0)</f>
        <v>0</v>
      </c>
      <c r="S77" s="196">
        <f t="array" ref="S77">IFERROR(
(MEDIAN((IF(DATOS_[[Sexo]:[Sexo]]=$B77,IF(DATOS_[[AGRUP. VALOR. PTO.]:[AGRUP. VALOR. PTO.]]=$B75,IF(DATOS_[[Check Periodo Ref.]:[Check Periodo Ref.]]="Dentro",IF(DATOS_[[Check Equiparado]:[Check Equiparado]]="Sí",IF(DATOS!AN$5="Sí",(1/DATOS_[[% anualiz]:[% anualiz]]),1)*IF(DATOS!AN$4="Sí",1/DATOS_[[% normaliz]:[% normaliz]],1)*(DATOS_[Conc.Sal.10])))))))),
0)</f>
        <v>0</v>
      </c>
      <c r="T77" s="196">
        <f t="array" ref="T77">IFERROR(
(MEDIAN((IF(DATOS_[[Sexo]:[Sexo]]=$B77,IF(DATOS_[[AGRUP. VALOR. PTO.]:[AGRUP. VALOR. PTO.]]=$B75,IF(DATOS_[[Check Periodo Ref.]:[Check Periodo Ref.]]="Dentro",IF(DATOS_[[Check Equiparado]:[Check Equiparado]]="Sí",IF(DATOS!AO$5="Sí",(1/DATOS_[[% anualiz]:[% anualiz]]),1)*IF(DATOS!AO$4="Sí",1/DATOS_[[% normaliz]:[% normaliz]],1)*(DATOS_[Conc.Sal.11])))))))),
0)</f>
        <v>0</v>
      </c>
      <c r="U77" s="196">
        <f t="array" ref="U77">IFERROR(
(MEDIAN((IF(DATOS_[[Sexo]:[Sexo]]=$B77,IF(DATOS_[[AGRUP. VALOR. PTO.]:[AGRUP. VALOR. PTO.]]=$B75,IF(DATOS_[[Check Periodo Ref.]:[Check Periodo Ref.]]="Dentro",IF(DATOS_[[Check Equiparado]:[Check Equiparado]]="Sí",IF(DATOS!AP$5="Sí",(1/DATOS_[[% anualiz]:[% anualiz]]),1)*IF(DATOS!AP$4="Sí",1/DATOS_[[% normaliz]:[% normaliz]],1)*(DATOS_[Conc.Sal.12])))))))),
0)</f>
        <v>0</v>
      </c>
      <c r="V77" s="196">
        <f t="array" ref="V77">IFERROR(
(MEDIAN((IF(DATOS_[[Sexo]:[Sexo]]=$B77,IF(DATOS_[[AGRUP. VALOR. PTO.]:[AGRUP. VALOR. PTO.]]=$B75,IF(DATOS_[[Check Periodo Ref.]:[Check Periodo Ref.]]="Dentro",IF(DATOS_[[Check Equiparado]:[Check Equiparado]]="Sí",IF(DATOS!AQ$5="Sí",(1/DATOS_[[% anualiz]:[% anualiz]]),1)*IF(DATOS!AQ$4="Sí",1/DATOS_[[% normaliz]:[% normaliz]],1)*(DATOS_[Conc.Sal.13])))))))),
0)</f>
        <v>0</v>
      </c>
      <c r="W77" s="196">
        <f t="array" ref="W77">IFERROR(
(MEDIAN((IF(DATOS_[[Sexo]:[Sexo]]=$B77,IF(DATOS_[[AGRUP. VALOR. PTO.]:[AGRUP. VALOR. PTO.]]=$B75,IF(DATOS_[[Check Periodo Ref.]:[Check Periodo Ref.]]="Dentro",IF(DATOS_[[Check Equiparado]:[Check Equiparado]]="Sí",IF(DATOS!AR$5="Sí",(1/DATOS_[[% anualiz]:[% anualiz]]),1)*IF(DATOS!AR$4="Sí",1/DATOS_[[% normaliz]:[% normaliz]],1)*(DATOS_[Conc.Sal.14])))))))),
0)</f>
        <v>0</v>
      </c>
      <c r="X77" s="196">
        <f t="array" ref="X77">IFERROR(
(MEDIAN((IF(DATOS_[[Sexo]:[Sexo]]=$B77,IF(DATOS_[[AGRUP. VALOR. PTO.]:[AGRUP. VALOR. PTO.]]=$B75,IF(DATOS_[[Check Periodo Ref.]:[Check Periodo Ref.]]="Dentro",IF(DATOS_[[Check Equiparado]:[Check Equiparado]]="Sí",IF(DATOS!AS$5="Sí",(1/DATOS_[[% anualiz]:[% anualiz]]),1)*IF(DATOS!AS$4="Sí",1/DATOS_[[% normaliz]:[% normaliz]],1)*(DATOS_[Conc.Sal.15])))))))),
0)</f>
        <v>0</v>
      </c>
      <c r="Y77" s="196">
        <f t="array" ref="Y77">IFERROR(
(MEDIAN((IF(DATOS_[[Sexo]:[Sexo]]=$B77,IF(DATOS_[[AGRUP. VALOR. PTO.]:[AGRUP. VALOR. PTO.]]=$B75,IF(DATOS_[[Check Periodo Ref.]:[Check Periodo Ref.]]="Dentro",IF(DATOS_[[Check Equiparado]:[Check Equiparado]]="Sí",IF(DATOS!AT$5="Sí",(1/DATOS_[[% anualiz]:[% anualiz]]),1)*IF(DATOS!AT$4="Sí",1/DATOS_[[% normaliz]:[% normaliz]],1)*(DATOS_[Conc.Sal.16])))))))),
0)</f>
        <v>0</v>
      </c>
      <c r="Z77" s="196">
        <f t="array" ref="Z77">IFERROR(
(MEDIAN((IF(DATOS_[[Sexo]:[Sexo]]=$B77,IF(DATOS_[[AGRUP. VALOR. PTO.]:[AGRUP. VALOR. PTO.]]=$B75,IF(DATOS_[[Check Periodo Ref.]:[Check Periodo Ref.]]="Dentro",IF(DATOS_[[Check Equiparado]:[Check Equiparado]]="Sí",IF(DATOS!AU$5="Sí",(1/DATOS_[[% anualiz]:[% anualiz]]),1)*IF(DATOS!AU$4="Sí",1/DATOS_[[% normaliz]:[% normaliz]],1)*(DATOS_[Conc.Sal.17])))))))),
0)</f>
        <v>0</v>
      </c>
      <c r="AA77" s="196">
        <f t="array" ref="AA77">IFERROR(
(MEDIAN((IF(DATOS_[[Sexo]:[Sexo]]=$B77,IF(DATOS_[[AGRUP. VALOR. PTO.]:[AGRUP. VALOR. PTO.]]=$B75,IF(DATOS_[[Check Periodo Ref.]:[Check Periodo Ref.]]="Dentro",IF(DATOS_[[Check Equiparado]:[Check Equiparado]]="Sí",IF(DATOS!AV$5="Sí",(1/DATOS_[[% anualiz]:[% anualiz]]),1)*IF(DATOS!AV$4="Sí",1/DATOS_[[% normaliz]:[% normaliz]],1)*(DATOS_[Conc.Sal.18])))))))),
0)</f>
        <v>0</v>
      </c>
      <c r="AB77" s="196">
        <f t="array" ref="AB77">IFERROR(
(MEDIAN((IF(DATOS_[[Sexo]:[Sexo]]=$B77,IF(DATOS_[[AGRUP. VALOR. PTO.]:[AGRUP. VALOR. PTO.]]=$B75,IF(DATOS_[[Check Periodo Ref.]:[Check Periodo Ref.]]="Dentro",IF(DATOS_[[Check Equiparado]:[Check Equiparado]]="Sí",IF(DATOS!AW$5="Sí",(1/DATOS_[[% anualiz]:[% anualiz]]),1)*IF(DATOS!AW$4="Sí",1/DATOS_[[% normaliz]:[% normaliz]],1)*(DATOS_[Conc.Sal.19])))))))),
0)</f>
        <v>0</v>
      </c>
      <c r="AC77" s="196">
        <f t="array" ref="AC77">IFERROR(
(MEDIAN((IF(DATOS_[[Sexo]:[Sexo]]=$B77,IF(DATOS_[[AGRUP. VALOR. PTO.]:[AGRUP. VALOR. PTO.]]=$B75,IF(DATOS_[[Check Periodo Ref.]:[Check Periodo Ref.]]="Dentro",IF(DATOS_[[Check Equiparado]:[Check Equiparado]]="Sí",IF(DATOS!AX$5="Sí",(1/DATOS_[[% anualiz]:[% anualiz]]),1)*IF(DATOS!AX$4="Sí",1/DATOS_[[% normaliz]:[% normaliz]],1)*(DATOS_[Conc.Sal.20])))))))),
0)</f>
        <v>0</v>
      </c>
      <c r="AD77" s="196">
        <f t="array" ref="AD77">IFERROR(
(MEDIAN((IF(DATOS_[[Sexo]:[Sexo]]=$B77,IF(DATOS_[[AGRUP. VALOR. PTO.]:[AGRUP. VALOR. PTO.]]=$B75,IF(DATOS_[[Check Periodo Ref.]:[Check Periodo Ref.]]="Dentro",IF(DATOS_[[Check Equiparado]:[Check Equiparado]]="Sí",IF(DATOS!AY$5="Sí",(1/DATOS_[[% anualiz]:[% anualiz]]),1)*IF(DATOS!AY$4="Sí",1/DATOS_[[% normaliz]:[% normaliz]],1)*(DATOS_[Conc.Sal.21])))))))),
0)</f>
        <v>0</v>
      </c>
      <c r="AE77" s="196">
        <f t="array" ref="AE77">IFERROR(
(MEDIAN((IF(DATOS_[[Sexo]:[Sexo]]=$B77,IF(DATOS_[[AGRUP. VALOR. PTO.]:[AGRUP. VALOR. PTO.]]=$B75,IF(DATOS_[[Check Periodo Ref.]:[Check Periodo Ref.]]="Dentro",IF(DATOS_[[Check Equiparado]:[Check Equiparado]]="Sí",IF(DATOS!AZ$5="Sí",(1/DATOS_[[% anualiz]:[% anualiz]]),1)*IF(DATOS!AZ$4="Sí",1/DATOS_[[% normaliz]:[% normaliz]],1)*(DATOS_[Conc.Sal.22])))))))),
0)</f>
        <v>0</v>
      </c>
      <c r="AF77" s="196">
        <f t="array" ref="AF77">IFERROR(
(MEDIAN((IF(DATOS_[[Sexo]:[Sexo]]=$B77,IF(DATOS_[[AGRUP. VALOR. PTO.]:[AGRUP. VALOR. PTO.]]=$B75,IF(DATOS_[[Check Periodo Ref.]:[Check Periodo Ref.]]="Dentro",IF(DATOS_[[Check Equiparado]:[Check Equiparado]]="Sí",IF(DATOS!BA$5="Sí",(1/DATOS_[[% anualiz]:[% anualiz]]),1)*IF(DATOS!BA$4="Sí",1/DATOS_[[% normaliz]:[% normaliz]],1)*(DATOS_[Conc.Sal.23])))))))),
0)</f>
        <v>0</v>
      </c>
      <c r="AG77" s="196">
        <f t="array" ref="AG77">IFERROR(
(MEDIAN((IF(DATOS_[[Sexo]:[Sexo]]=$B77,IF(DATOS_[[AGRUP. VALOR. PTO.]:[AGRUP. VALOR. PTO.]]=$B75,IF(DATOS_[[Check Periodo Ref.]:[Check Periodo Ref.]]="Dentro",IF(DATOS_[[Check Equiparado]:[Check Equiparado]]="Sí",IF(DATOS!BB$5="Sí",(1/DATOS_[[% anualiz]:[% anualiz]]),1)*IF(DATOS!BB$4="Sí",1/DATOS_[[% normaliz]:[% normaliz]],1)*(DATOS_[Conc.Sal.24])))))))),
0)</f>
        <v>0</v>
      </c>
      <c r="AH77" s="196">
        <f t="array" ref="AH77">IFERROR(
(MEDIAN((IF(DATOS_[[Sexo]:[Sexo]]=$B77,IF(DATOS_[[AGRUP. VALOR. PTO.]:[AGRUP. VALOR. PTO.]]=$B75,IF(DATOS_[[Check Periodo Ref.]:[Check Periodo Ref.]]="Dentro",IF(DATOS_[[Check Equiparado]:[Check Equiparado]]="Sí",IF(DATOS!BC$5="Sí",(1/DATOS_[[% anualiz]:[% anualiz]]),1)*IF(DATOS!BC$4="Sí",1/DATOS_[[% normaliz]:[% normaliz]],1)*(DATOS_[Conc.Sal.25])))))))),
0)</f>
        <v>0</v>
      </c>
      <c r="AI77" s="196">
        <f t="array" ref="AI77">IFERROR(
(MEDIAN((IF(DATOS_[[Sexo]:[Sexo]]=$B77,IF(DATOS_[[AGRUP. VALOR. PTO.]:[AGRUP. VALOR. PTO.]]=$B75,IF(DATOS_[[Check Periodo Ref.]:[Check Periodo Ref.]]="Dentro",IF(DATOS_[[Check Equiparado]:[Check Equiparado]]="Sí",IF(DATOS!BD$5="Sí",(1/DATOS_[[% anualiz]:[% anualiz]]),1)*IF(DATOS!BD$4="Sí",1/DATOS_[[% normaliz]:[% normaliz]],1)*(DATOS_[Conc.Sal.26])))))))),
0)</f>
        <v>0</v>
      </c>
      <c r="AJ77" s="196">
        <f t="array" ref="AJ77">IFERROR(
(MEDIAN((IF(DATOS_[[Sexo]:[Sexo]]=$B77,IF(DATOS_[[AGRUP. VALOR. PTO.]:[AGRUP. VALOR. PTO.]]=$B75,IF(DATOS_[[Check Periodo Ref.]:[Check Periodo Ref.]]="Dentro",IF(DATOS_[[Check Equiparado]:[Check Equiparado]]="Sí",IF(DATOS!BE$5="Sí",(1/DATOS_[[% anualiz]:[% anualiz]]),1)*IF(DATOS!BE$4="Sí",1/DATOS_[[% normaliz]:[% normaliz]],1)*(DATOS_[Conc.Sal.27])))))))),
0)</f>
        <v>0</v>
      </c>
      <c r="AK77" s="196">
        <f t="array" ref="AK77">IFERROR(
(MEDIAN((IF(DATOS_[[Sexo]:[Sexo]]=$B77,IF(DATOS_[[AGRUP. VALOR. PTO.]:[AGRUP. VALOR. PTO.]]=$B75,IF(DATOS_[[Check Periodo Ref.]:[Check Periodo Ref.]]="Dentro",IF(DATOS_[[Check Equiparado]:[Check Equiparado]]="Sí",IF(DATOS!BF$5="Sí",(1/DATOS_[[% anualiz]:[% anualiz]]),1)*IF(DATOS!BF$4="Sí",1/DATOS_[[% normaliz]:[% normaliz]],1)*(DATOS_[Conc.Sal.28])))))))),
0)</f>
        <v>0</v>
      </c>
      <c r="AL77" s="196">
        <f t="array" ref="AL77">IFERROR(
(MEDIAN((IF(DATOS_[[Sexo]:[Sexo]]=$B77,IF(DATOS_[[AGRUP. VALOR. PTO.]:[AGRUP. VALOR. PTO.]]=$B75,IF(DATOS_[[Check Periodo Ref.]:[Check Periodo Ref.]]="Dentro",IF(DATOS_[[Check Equiparado]:[Check Equiparado]]="Sí",IF(DATOS!BG$5="Sí",(1/DATOS_[[% anualiz]:[% anualiz]]),1)*IF(DATOS!BG$4="Sí",1/DATOS_[[% normaliz]:[% normaliz]],1)*(DATOS_[Conc.Sal.29])))))))),
0)</f>
        <v>0</v>
      </c>
      <c r="AM77" s="196">
        <f t="array" ref="AM77">IFERROR(
(MEDIAN((IF(DATOS_[[Sexo]:[Sexo]]=$B77,IF(DATOS_[[AGRUP. VALOR. PTO.]:[AGRUP. VALOR. PTO.]]=$B75,IF(DATOS_[[Check Periodo Ref.]:[Check Periodo Ref.]]="Dentro",IF(DATOS_[[Check Equiparado]:[Check Equiparado]]="Sí",IF(DATOS!BH$5="Sí",(1/DATOS_[[% anualiz]:[% anualiz]]),1)*IF(DATOS!BH$4="Sí",1/DATOS_[[% normaliz]:[% normaliz]],1)*(DATOS_[Conc.Sal.30])))))))),
0)</f>
        <v>0</v>
      </c>
      <c r="AN77" s="195">
        <f t="array" ref="AN77">IFERROR(
MEDIAN(IF(DATOS_[Sexo]=$B77,IF(DATOS_[[AGRUP. VALOR. PTO.]:[AGRUP. VALOR. PTO.]]=$B75,IF(DATOS_[Check Equiparado]="Sí",IF(DATOS_[Check Periodo Ref.]="Dentro",DATOS_[Tot COMPL.SAL Eq],FALSE))))),
0)</f>
        <v>0</v>
      </c>
      <c r="AO77" s="172">
        <f t="array" ref="AO77">IFERROR(
MEDIAN(IF(DATOS_[Sexo]=$B77,IF(DATOS_[[AGRUP. VALOR. PTO.]:[AGRUP. VALOR. PTO.]]=$B75,IF(DATOS_[Check Equiparado]="Sí",IF(DATOS_[Check Periodo Ref.]="Dentro",DATOS_[TOTAL SALARIO Eq],FALSE))))),
0)</f>
        <v>0</v>
      </c>
      <c r="AP77" s="173">
        <f t="array" ref="AP77">IFERROR(
(MEDIAN((IF(DATOS_[[Sexo]:[Sexo]]=$B77,IF(DATOS_[[AGRUP. VALOR. PTO.]:[AGRUP. VALOR. PTO.]]=$B76,IF(DATOS_[[Check Periodo Ref.]:[Check Periodo Ref.]]="Dentro",IF(DATOS_[[Check Equiparado]:[Check Equiparado]]="Sí",IF(DATOS!BW$5="Sí",(1/DATOS_[[% anualiz]:[% anualiz]]),1)*IF(DATOS!BW$4="Sí",1/DATOS_[[% normaliz]:[% normaliz]],1)*(DATOS_[C.Extra.01])))))))),
0)</f>
        <v>0</v>
      </c>
      <c r="AQ77" s="173">
        <f t="array" ref="AQ77">IFERROR(
(MEDIAN((IF(DATOS_[[Sexo]:[Sexo]]=$B77,IF(DATOS_[[AGRUP. VALOR. PTO.]:[AGRUP. VALOR. PTO.]]=$B76,IF(DATOS_[[Check Periodo Ref.]:[Check Periodo Ref.]]="Dentro",IF(DATOS_[[Check Equiparado]:[Check Equiparado]]="Sí",IF(DATOS!CB$5="Sí",(1/DATOS_[[% anualiz]:[% anualiz]]),1)*IF(DATOS!CB$4="Sí",1/DATOS_[[% normaliz]:[% normaliz]],1)*(DATOS_[C.Extra.06])))))))),
0)</f>
        <v>0</v>
      </c>
      <c r="AR77" s="173">
        <f t="array" ref="AR77">IFERROR(
(MEDIAN((IF(DATOS_[[Sexo]:[Sexo]]=$B77,IF(DATOS_[[AGRUP. VALOR. PTO.]:[AGRUP. VALOR. PTO.]]=$B76,IF(DATOS_[[Check Periodo Ref.]:[Check Periodo Ref.]]="Dentro",IF(DATOS_[[Check Equiparado]:[Check Equiparado]]="Sí",IF(DATOS!CC$5="Sí",(1/DATOS_[[% anualiz]:[% anualiz]]),1)*IF(DATOS!CC$4="Sí",1/DATOS_[[% normaliz]:[% normaliz]],1)*(DATOS_[C.Extra.07])))))))),
0)</f>
        <v>0</v>
      </c>
      <c r="AS77" s="173">
        <f t="array" ref="AS77">IFERROR(
(MEDIAN((IF(DATOS_[[Sexo]:[Sexo]]=$B77,IF(DATOS_[[AGRUP. VALOR. PTO.]:[AGRUP. VALOR. PTO.]]=$B76,IF(DATOS_[[Check Periodo Ref.]:[Check Periodo Ref.]]="Dentro",IF(DATOS_[[Check Equiparado]:[Check Equiparado]]="Sí",IF(DATOS!CD$5="Sí",(1/DATOS_[[% anualiz]:[% anualiz]]),1)*IF(DATOS!CD$4="Sí",1/DATOS_[[% normaliz]:[% normaliz]],1)*(DATOS_[C.Extra.08])))))))),
0)</f>
        <v>0</v>
      </c>
      <c r="AT77" s="173">
        <f t="array" ref="AT77">IFERROR(
(MEDIAN((IF(DATOS_[[Sexo]:[Sexo]]=$B77,IF(DATOS_[[AGRUP. VALOR. PTO.]:[AGRUP. VALOR. PTO.]]=$B76,IF(DATOS_[[Check Periodo Ref.]:[Check Periodo Ref.]]="Dentro",IF(DATOS_[[Check Equiparado]:[Check Equiparado]]="Sí",IF(DATOS!CG$5="Sí",(1/DATOS_[[% anualiz]:[% anualiz]]),1)*IF(DATOS!CG$4="Sí",1/DATOS_[[% normaliz]:[% normaliz]],1)*(DATOS_[C.Extra.11])))))))),
0)</f>
        <v>0</v>
      </c>
      <c r="AU77" s="197">
        <f t="array" ref="AU77">IFERROR(
MEDIAN(IF(DATOS_[Sexo]=$B77,IF(DATOS_[[AGRUP. VALOR. PTO.]:[AGRUP. VALOR. PTO.]]=$B75,IF(DATOS_[Check Equiparado]="Sí",IF(DATOS_[Check Periodo Ref.]="Dentro",DATOS_[Tot Extrasalarial Eq],FALSE))))),
0)</f>
        <v>0</v>
      </c>
      <c r="AV77" s="175">
        <f t="array" ref="AV77">IFERROR(
MEDIAN(IF(DATOS_[Sexo]=$B77,IF(DATOS_[[AGRUP. VALOR. PTO.]:[AGRUP. VALOR. PTO.]]=$B75,IF(DATOS_[Check Equiparado]="Sí",IF(DATOS_[Check Periodo Ref.]="Dentro",DATOS_[TOTAL Retrib Eq],FALSE))))),
0)</f>
        <v>0</v>
      </c>
    </row>
    <row r="78" spans="1:48" ht="15.6" thickBot="1" x14ac:dyDescent="0.3">
      <c r="A78" s="133" t="str">
        <f t="shared" ref="A78" si="87">+A79</f>
        <v>[ocultar]</v>
      </c>
      <c r="B78" s="199" t="s">
        <v>266</v>
      </c>
      <c r="C78" s="200"/>
      <c r="D78" s="201"/>
      <c r="E78" s="201"/>
      <c r="F78" s="201"/>
      <c r="G78" s="201"/>
      <c r="H78" s="201"/>
      <c r="I78" s="189" t="str">
        <f t="shared" ref="I78:AV78" si="88">IFERROR((I79-I80)/I79,"")</f>
        <v/>
      </c>
      <c r="J78" s="190" t="str">
        <f t="shared" si="88"/>
        <v/>
      </c>
      <c r="K78" s="191" t="str">
        <f t="shared" si="88"/>
        <v/>
      </c>
      <c r="L78" s="191" t="str">
        <f t="shared" si="88"/>
        <v/>
      </c>
      <c r="M78" s="191" t="str">
        <f t="shared" si="88"/>
        <v/>
      </c>
      <c r="N78" s="192" t="str">
        <f t="shared" si="88"/>
        <v/>
      </c>
      <c r="O78" s="193" t="str">
        <f t="shared" si="88"/>
        <v/>
      </c>
      <c r="P78" s="193" t="str">
        <f t="shared" si="88"/>
        <v/>
      </c>
      <c r="Q78" s="193" t="str">
        <f t="shared" si="88"/>
        <v/>
      </c>
      <c r="R78" s="193" t="str">
        <f t="shared" si="88"/>
        <v/>
      </c>
      <c r="S78" s="193" t="str">
        <f t="shared" si="88"/>
        <v/>
      </c>
      <c r="T78" s="193" t="str">
        <f t="shared" si="88"/>
        <v/>
      </c>
      <c r="U78" s="193" t="str">
        <f t="shared" si="88"/>
        <v/>
      </c>
      <c r="V78" s="193" t="str">
        <f t="shared" si="88"/>
        <v/>
      </c>
      <c r="W78" s="193" t="str">
        <f t="shared" si="88"/>
        <v/>
      </c>
      <c r="X78" s="193" t="str">
        <f t="shared" si="88"/>
        <v/>
      </c>
      <c r="Y78" s="193" t="str">
        <f t="shared" si="88"/>
        <v/>
      </c>
      <c r="Z78" s="193" t="str">
        <f t="shared" si="88"/>
        <v/>
      </c>
      <c r="AA78" s="193" t="str">
        <f t="shared" si="88"/>
        <v/>
      </c>
      <c r="AB78" s="193" t="str">
        <f t="shared" si="88"/>
        <v/>
      </c>
      <c r="AC78" s="193" t="str">
        <f t="shared" si="88"/>
        <v/>
      </c>
      <c r="AD78" s="193" t="str">
        <f t="shared" si="88"/>
        <v/>
      </c>
      <c r="AE78" s="193" t="str">
        <f t="shared" si="88"/>
        <v/>
      </c>
      <c r="AF78" s="193" t="str">
        <f t="shared" si="88"/>
        <v/>
      </c>
      <c r="AG78" s="193" t="str">
        <f t="shared" si="88"/>
        <v/>
      </c>
      <c r="AH78" s="193" t="str">
        <f t="shared" si="88"/>
        <v/>
      </c>
      <c r="AI78" s="193" t="str">
        <f t="shared" si="88"/>
        <v/>
      </c>
      <c r="AJ78" s="193" t="str">
        <f t="shared" si="88"/>
        <v/>
      </c>
      <c r="AK78" s="193" t="str">
        <f t="shared" si="88"/>
        <v/>
      </c>
      <c r="AL78" s="193" t="str">
        <f t="shared" si="88"/>
        <v/>
      </c>
      <c r="AM78" s="193" t="str">
        <f t="shared" si="88"/>
        <v/>
      </c>
      <c r="AN78" s="189" t="str">
        <f t="shared" si="88"/>
        <v/>
      </c>
      <c r="AO78" s="162" t="str">
        <f t="shared" si="88"/>
        <v/>
      </c>
      <c r="AP78" s="163" t="str">
        <f t="shared" si="88"/>
        <v/>
      </c>
      <c r="AQ78" s="163" t="str">
        <f t="shared" si="88"/>
        <v/>
      </c>
      <c r="AR78" s="163" t="str">
        <f t="shared" si="88"/>
        <v/>
      </c>
      <c r="AS78" s="163" t="str">
        <f t="shared" si="88"/>
        <v/>
      </c>
      <c r="AT78" s="163" t="str">
        <f t="shared" si="88"/>
        <v/>
      </c>
      <c r="AU78" s="194" t="str">
        <f t="shared" si="88"/>
        <v/>
      </c>
      <c r="AV78" s="165" t="str">
        <f t="shared" si="88"/>
        <v/>
      </c>
    </row>
    <row r="79" spans="1:48" x14ac:dyDescent="0.25">
      <c r="A79" s="133" t="str">
        <f t="shared" ref="A79" si="89">+IF(C79+C80=0,"[ocultar]","")</f>
        <v>[ocultar]</v>
      </c>
      <c r="B79" s="202" t="s">
        <v>394</v>
      </c>
      <c r="C79" s="203">
        <f t="array" ref="C79">SUM(IF($B79=DATOS_[Sexo],
IF($B78=DATOS_[AGRUP. VALOR. PTO.],
IF("Dentro"=DATOS_[Check Periodo Ref.],
1/(COUNTIFS(DATOS_[Sexo],$B79,DATOS_[AGRUP. VALOR. PTO.],$B78,DATOS_[Check Periodo Ref.],"Dentro",DATOS_[id/cod],DATOS_[id/cod]))))))</f>
        <v>0</v>
      </c>
      <c r="D79" s="204">
        <f>COUNTIFS(DATOS_[AGRUP. VALOR. PTO.],$B78,DATOS_[Sexo],$B79,DATOS_[Check Periodo Ref.],"Dentro")</f>
        <v>0</v>
      </c>
      <c r="E79" s="204">
        <f>COUNTIFS(DATOS_[AGRUP. VALOR. PTO.],$B78,DATOS_[Sexo],$B79,DATOS_[Check Periodo Ref.],"Dentro",DATOS_[Check Nº SC Norm],"Sí")</f>
        <v>0</v>
      </c>
      <c r="F79" s="204">
        <f>COUNTIFS(DATOS_[AGRUP. VALOR. PTO.],$B78,DATOS_[Sexo],$B79,DATOS_[Check Periodo Ref.],"Dentro",DATOS_[Check Nº SC Anualiz],"Sí")</f>
        <v>0</v>
      </c>
      <c r="G79" s="204">
        <f>COUNTIFS(DATOS_[AGRUP. VALOR. PTO.],$B78,DATOS_[Sexo],$B79,DATOS_[Check Periodo Ref.],"Dentro",DATOS_[Check Nº SC Norm y Anualiz],"Sí")</f>
        <v>0</v>
      </c>
      <c r="H79" s="204">
        <f>COUNTIFS(DATOS_[AGRUP. VALOR. PTO.],$B78,DATOS_[Sexo],$B79,DATOS_[Check Periodo Ref.],"Dentro",DATOS_[Check Equiparación],"Sí")</f>
        <v>0</v>
      </c>
      <c r="I79" s="195">
        <f t="array" ref="I79">IFERROR(
MEDIAN(IF(DATOS_[Sexo]=$B79,IF(DATOS_[[AGRUP. VALOR. PTO.]:[AGRUP. VALOR. PTO.]]=$B78,IF(DATOS_[Check Equiparado]="Sí",IF(DATOS_[Check Periodo Ref.]="Dentro",DATOS_[SALARIO BASE Eq],FALSE))))),
0)</f>
        <v>0</v>
      </c>
      <c r="J79" s="196">
        <f t="array" ref="J79">IFERROR(
(MEDIAN((IF(DATOS_[[Sexo]:[Sexo]]=$B79,IF(DATOS_[[AGRUP. VALOR. PTO.]:[AGRUP. VALOR. PTO.]]=$B78,IF(DATOS_[[Check Periodo Ref.]:[Check Periodo Ref.]]="Dentro",IF(DATOS_[[Check Equiparado]:[Check Equiparado]]="Sí",IF(DATOS!AE$5="Sí",(1/DATOS_[[% anualiz]:[% anualiz]]),1)*IF(DATOS!AE$4="Sí",1/DATOS_[[% normaliz]:[% normaliz]],1)*(DATOS_[Conc.Sal.01])))))))),
0)</f>
        <v>0</v>
      </c>
      <c r="K79" s="196">
        <f t="array" ref="K79">IFERROR(
(MEDIAN((IF(DATOS_[[Sexo]:[Sexo]]=$B79,IF(DATOS_[[AGRUP. VALOR. PTO.]:[AGRUP. VALOR. PTO.]]=$B78,IF(DATOS_[[Check Periodo Ref.]:[Check Periodo Ref.]]="Dentro",IF(DATOS_[[Check Equiparado]:[Check Equiparado]]="Sí",IF(DATOS!AF$5="Sí",(1/DATOS_[[% anualiz]:[% anualiz]]),1)*IF(DATOS!AF$4="Sí",1/DATOS_[[% normaliz]:[% normaliz]],1)*(DATOS_[Conc.Sal.02])))))))),
0)</f>
        <v>0</v>
      </c>
      <c r="L79" s="196">
        <f t="array" ref="L79">IFERROR(
(MEDIAN((IF(DATOS_[[Sexo]:[Sexo]]=$B79,IF(DATOS_[[AGRUP. VALOR. PTO.]:[AGRUP. VALOR. PTO.]]=$B78,IF(DATOS_[[Check Periodo Ref.]:[Check Periodo Ref.]]="Dentro",IF(DATOS_[[Check Equiparado]:[Check Equiparado]]="Sí",IF(DATOS!AG$5="Sí",(1/DATOS_[[% anualiz]:[% anualiz]]),1)*IF(DATOS!AG$4="Sí",1/DATOS_[[% normaliz]:[% normaliz]],1)*(DATOS_[Conc.Sal.03])))))))),
0)</f>
        <v>0</v>
      </c>
      <c r="M79" s="196">
        <f t="array" ref="M79">IFERROR(
(MEDIAN((IF(DATOS_[[Sexo]:[Sexo]]=$B79,IF(DATOS_[[AGRUP. VALOR. PTO.]:[AGRUP. VALOR. PTO.]]=$B78,IF(DATOS_[[Check Periodo Ref.]:[Check Periodo Ref.]]="Dentro",IF(DATOS_[[Check Equiparado]:[Check Equiparado]]="Sí",IF(DATOS!AH$5="Sí",(1/DATOS_[[% anualiz]:[% anualiz]]),1)*IF(DATOS!AH$4="Sí",1/DATOS_[[% normaliz]:[% normaliz]],1)*(DATOS_[Conc.Sal.04])))))))),
0)</f>
        <v>0</v>
      </c>
      <c r="N79" s="196">
        <f t="array" ref="N79">IFERROR(
(MEDIAN((IF(DATOS_[[Sexo]:[Sexo]]=$B79,IF(DATOS_[[AGRUP. VALOR. PTO.]:[AGRUP. VALOR. PTO.]]=$B78,IF(DATOS_[[Check Periodo Ref.]:[Check Periodo Ref.]]="Dentro",IF(DATOS_[[Check Equiparado]:[Check Equiparado]]="Sí",IF(DATOS!AI$5="Sí",(1/DATOS_[[% anualiz]:[% anualiz]]),1)*IF(DATOS!AI$4="Sí",1/DATOS_[[% normaliz]:[% normaliz]],1)*(DATOS_[Conc.Sal.05])))))))),
0)</f>
        <v>0</v>
      </c>
      <c r="O79" s="196">
        <f t="array" ref="O79">IFERROR(
(MEDIAN((IF(DATOS_[[Sexo]:[Sexo]]=$B79,IF(DATOS_[[AGRUP. VALOR. PTO.]:[AGRUP. VALOR. PTO.]]=$B78,IF(DATOS_[[Check Periodo Ref.]:[Check Periodo Ref.]]="Dentro",IF(DATOS_[[Check Equiparado]:[Check Equiparado]]="Sí",IF(DATOS!AJ$5="Sí",(1/DATOS_[[% anualiz]:[% anualiz]]),1)*IF(DATOS!AJ$4="Sí",1/DATOS_[[% normaliz]:[% normaliz]],1)*(DATOS_[Conc.Sal.06])))))))),
0)</f>
        <v>0</v>
      </c>
      <c r="P79" s="196">
        <f t="array" ref="P79">IFERROR(
(MEDIAN((IF(DATOS_[[Sexo]:[Sexo]]=$B79,IF(DATOS_[[AGRUP. VALOR. PTO.]:[AGRUP. VALOR. PTO.]]=$B78,IF(DATOS_[[Check Periodo Ref.]:[Check Periodo Ref.]]="Dentro",IF(DATOS_[[Check Equiparado]:[Check Equiparado]]="Sí",IF(DATOS!AK$5="Sí",(1/DATOS_[[% anualiz]:[% anualiz]]),1)*IF(DATOS!AK$4="Sí",1/DATOS_[[% normaliz]:[% normaliz]],1)*(DATOS_[Conc.Sal.07])))))))),
0)</f>
        <v>0</v>
      </c>
      <c r="Q79" s="196">
        <f t="array" ref="Q79">IFERROR(
(MEDIAN((IF(DATOS_[[Sexo]:[Sexo]]=$B79,IF(DATOS_[[AGRUP. VALOR. PTO.]:[AGRUP. VALOR. PTO.]]=$B78,IF(DATOS_[[Check Periodo Ref.]:[Check Periodo Ref.]]="Dentro",IF(DATOS_[[Check Equiparado]:[Check Equiparado]]="Sí",IF(DATOS!AL$5="Sí",(1/DATOS_[[% anualiz]:[% anualiz]]),1)*IF(DATOS!AL$4="Sí",1/DATOS_[[% normaliz]:[% normaliz]],1)*(DATOS_[Conc.Sal.08])))))))),
0)</f>
        <v>0</v>
      </c>
      <c r="R79" s="196">
        <f t="array" ref="R79">IFERROR(
(MEDIAN((IF(DATOS_[[Sexo]:[Sexo]]=$B79,IF(DATOS_[[AGRUP. VALOR. PTO.]:[AGRUP. VALOR. PTO.]]=$B78,IF(DATOS_[[Check Periodo Ref.]:[Check Periodo Ref.]]="Dentro",IF(DATOS_[[Check Equiparado]:[Check Equiparado]]="Sí",IF(DATOS!AM$5="Sí",(1/DATOS_[[% anualiz]:[% anualiz]]),1)*IF(DATOS!AM$4="Sí",1/DATOS_[[% normaliz]:[% normaliz]],1)*(DATOS_[Conc.Sal.09])))))))),
0)</f>
        <v>0</v>
      </c>
      <c r="S79" s="196">
        <f t="array" ref="S79">IFERROR(
(MEDIAN((IF(DATOS_[[Sexo]:[Sexo]]=$B79,IF(DATOS_[[AGRUP. VALOR. PTO.]:[AGRUP. VALOR. PTO.]]=$B78,IF(DATOS_[[Check Periodo Ref.]:[Check Periodo Ref.]]="Dentro",IF(DATOS_[[Check Equiparado]:[Check Equiparado]]="Sí",IF(DATOS!AN$5="Sí",(1/DATOS_[[% anualiz]:[% anualiz]]),1)*IF(DATOS!AN$4="Sí",1/DATOS_[[% normaliz]:[% normaliz]],1)*(DATOS_[Conc.Sal.10])))))))),
0)</f>
        <v>0</v>
      </c>
      <c r="T79" s="196">
        <f t="array" ref="T79">IFERROR(
(MEDIAN((IF(DATOS_[[Sexo]:[Sexo]]=$B79,IF(DATOS_[[AGRUP. VALOR. PTO.]:[AGRUP. VALOR. PTO.]]=$B78,IF(DATOS_[[Check Periodo Ref.]:[Check Periodo Ref.]]="Dentro",IF(DATOS_[[Check Equiparado]:[Check Equiparado]]="Sí",IF(DATOS!AO$5="Sí",(1/DATOS_[[% anualiz]:[% anualiz]]),1)*IF(DATOS!AO$4="Sí",1/DATOS_[[% normaliz]:[% normaliz]],1)*(DATOS_[Conc.Sal.11])))))))),
0)</f>
        <v>0</v>
      </c>
      <c r="U79" s="196">
        <f t="array" ref="U79">IFERROR(
(MEDIAN((IF(DATOS_[[Sexo]:[Sexo]]=$B79,IF(DATOS_[[AGRUP. VALOR. PTO.]:[AGRUP. VALOR. PTO.]]=$B78,IF(DATOS_[[Check Periodo Ref.]:[Check Periodo Ref.]]="Dentro",IF(DATOS_[[Check Equiparado]:[Check Equiparado]]="Sí",IF(DATOS!AP$5="Sí",(1/DATOS_[[% anualiz]:[% anualiz]]),1)*IF(DATOS!AP$4="Sí",1/DATOS_[[% normaliz]:[% normaliz]],1)*(DATOS_[Conc.Sal.12])))))))),
0)</f>
        <v>0</v>
      </c>
      <c r="V79" s="196">
        <f t="array" ref="V79">IFERROR(
(MEDIAN((IF(DATOS_[[Sexo]:[Sexo]]=$B79,IF(DATOS_[[AGRUP. VALOR. PTO.]:[AGRUP. VALOR. PTO.]]=$B78,IF(DATOS_[[Check Periodo Ref.]:[Check Periodo Ref.]]="Dentro",IF(DATOS_[[Check Equiparado]:[Check Equiparado]]="Sí",IF(DATOS!AQ$5="Sí",(1/DATOS_[[% anualiz]:[% anualiz]]),1)*IF(DATOS!AQ$4="Sí",1/DATOS_[[% normaliz]:[% normaliz]],1)*(DATOS_[Conc.Sal.13])))))))),
0)</f>
        <v>0</v>
      </c>
      <c r="W79" s="196">
        <f t="array" ref="W79">IFERROR(
(MEDIAN((IF(DATOS_[[Sexo]:[Sexo]]=$B79,IF(DATOS_[[AGRUP. VALOR. PTO.]:[AGRUP. VALOR. PTO.]]=$B78,IF(DATOS_[[Check Periodo Ref.]:[Check Periodo Ref.]]="Dentro",IF(DATOS_[[Check Equiparado]:[Check Equiparado]]="Sí",IF(DATOS!AR$5="Sí",(1/DATOS_[[% anualiz]:[% anualiz]]),1)*IF(DATOS!AR$4="Sí",1/DATOS_[[% normaliz]:[% normaliz]],1)*(DATOS_[Conc.Sal.14])))))))),
0)</f>
        <v>0</v>
      </c>
      <c r="X79" s="196">
        <f t="array" ref="X79">IFERROR(
(MEDIAN((IF(DATOS_[[Sexo]:[Sexo]]=$B79,IF(DATOS_[[AGRUP. VALOR. PTO.]:[AGRUP. VALOR. PTO.]]=$B78,IF(DATOS_[[Check Periodo Ref.]:[Check Periodo Ref.]]="Dentro",IF(DATOS_[[Check Equiparado]:[Check Equiparado]]="Sí",IF(DATOS!AS$5="Sí",(1/DATOS_[[% anualiz]:[% anualiz]]),1)*IF(DATOS!AS$4="Sí",1/DATOS_[[% normaliz]:[% normaliz]],1)*(DATOS_[Conc.Sal.15])))))))),
0)</f>
        <v>0</v>
      </c>
      <c r="Y79" s="196">
        <f t="array" ref="Y79">IFERROR(
(MEDIAN((IF(DATOS_[[Sexo]:[Sexo]]=$B79,IF(DATOS_[[AGRUP. VALOR. PTO.]:[AGRUP. VALOR. PTO.]]=$B78,IF(DATOS_[[Check Periodo Ref.]:[Check Periodo Ref.]]="Dentro",IF(DATOS_[[Check Equiparado]:[Check Equiparado]]="Sí",IF(DATOS!AT$5="Sí",(1/DATOS_[[% anualiz]:[% anualiz]]),1)*IF(DATOS!AT$4="Sí",1/DATOS_[[% normaliz]:[% normaliz]],1)*(DATOS_[Conc.Sal.16])))))))),
0)</f>
        <v>0</v>
      </c>
      <c r="Z79" s="196">
        <f t="array" ref="Z79">IFERROR(
(MEDIAN((IF(DATOS_[[Sexo]:[Sexo]]=$B79,IF(DATOS_[[AGRUP. VALOR. PTO.]:[AGRUP. VALOR. PTO.]]=$B78,IF(DATOS_[[Check Periodo Ref.]:[Check Periodo Ref.]]="Dentro",IF(DATOS_[[Check Equiparado]:[Check Equiparado]]="Sí",IF(DATOS!AU$5="Sí",(1/DATOS_[[% anualiz]:[% anualiz]]),1)*IF(DATOS!AU$4="Sí",1/DATOS_[[% normaliz]:[% normaliz]],1)*(DATOS_[Conc.Sal.17])))))))),
0)</f>
        <v>0</v>
      </c>
      <c r="AA79" s="196">
        <f t="array" ref="AA79">IFERROR(
(MEDIAN((IF(DATOS_[[Sexo]:[Sexo]]=$B79,IF(DATOS_[[AGRUP. VALOR. PTO.]:[AGRUP. VALOR. PTO.]]=$B78,IF(DATOS_[[Check Periodo Ref.]:[Check Periodo Ref.]]="Dentro",IF(DATOS_[[Check Equiparado]:[Check Equiparado]]="Sí",IF(DATOS!AV$5="Sí",(1/DATOS_[[% anualiz]:[% anualiz]]),1)*IF(DATOS!AV$4="Sí",1/DATOS_[[% normaliz]:[% normaliz]],1)*(DATOS_[Conc.Sal.18])))))))),
0)</f>
        <v>0</v>
      </c>
      <c r="AB79" s="196">
        <f t="array" ref="AB79">IFERROR(
(MEDIAN((IF(DATOS_[[Sexo]:[Sexo]]=$B79,IF(DATOS_[[AGRUP. VALOR. PTO.]:[AGRUP. VALOR. PTO.]]=$B78,IF(DATOS_[[Check Periodo Ref.]:[Check Periodo Ref.]]="Dentro",IF(DATOS_[[Check Equiparado]:[Check Equiparado]]="Sí",IF(DATOS!AW$5="Sí",(1/DATOS_[[% anualiz]:[% anualiz]]),1)*IF(DATOS!AW$4="Sí",1/DATOS_[[% normaliz]:[% normaliz]],1)*(DATOS_[Conc.Sal.19])))))))),
0)</f>
        <v>0</v>
      </c>
      <c r="AC79" s="196">
        <f t="array" ref="AC79">IFERROR(
(MEDIAN((IF(DATOS_[[Sexo]:[Sexo]]=$B79,IF(DATOS_[[AGRUP. VALOR. PTO.]:[AGRUP. VALOR. PTO.]]=$B78,IF(DATOS_[[Check Periodo Ref.]:[Check Periodo Ref.]]="Dentro",IF(DATOS_[[Check Equiparado]:[Check Equiparado]]="Sí",IF(DATOS!AX$5="Sí",(1/DATOS_[[% anualiz]:[% anualiz]]),1)*IF(DATOS!AX$4="Sí",1/DATOS_[[% normaliz]:[% normaliz]],1)*(DATOS_[Conc.Sal.20])))))))),
0)</f>
        <v>0</v>
      </c>
      <c r="AD79" s="196">
        <f t="array" ref="AD79">IFERROR(
(MEDIAN((IF(DATOS_[[Sexo]:[Sexo]]=$B79,IF(DATOS_[[AGRUP. VALOR. PTO.]:[AGRUP. VALOR. PTO.]]=$B78,IF(DATOS_[[Check Periodo Ref.]:[Check Periodo Ref.]]="Dentro",IF(DATOS_[[Check Equiparado]:[Check Equiparado]]="Sí",IF(DATOS!AY$5="Sí",(1/DATOS_[[% anualiz]:[% anualiz]]),1)*IF(DATOS!AY$4="Sí",1/DATOS_[[% normaliz]:[% normaliz]],1)*(DATOS_[Conc.Sal.21])))))))),
0)</f>
        <v>0</v>
      </c>
      <c r="AE79" s="196">
        <f t="array" ref="AE79">IFERROR(
(MEDIAN((IF(DATOS_[[Sexo]:[Sexo]]=$B79,IF(DATOS_[[AGRUP. VALOR. PTO.]:[AGRUP. VALOR. PTO.]]=$B78,IF(DATOS_[[Check Periodo Ref.]:[Check Periodo Ref.]]="Dentro",IF(DATOS_[[Check Equiparado]:[Check Equiparado]]="Sí",IF(DATOS!AZ$5="Sí",(1/DATOS_[[% anualiz]:[% anualiz]]),1)*IF(DATOS!AZ$4="Sí",1/DATOS_[[% normaliz]:[% normaliz]],1)*(DATOS_[Conc.Sal.22])))))))),
0)</f>
        <v>0</v>
      </c>
      <c r="AF79" s="196">
        <f t="array" ref="AF79">IFERROR(
(MEDIAN((IF(DATOS_[[Sexo]:[Sexo]]=$B79,IF(DATOS_[[AGRUP. VALOR. PTO.]:[AGRUP. VALOR. PTO.]]=$B78,IF(DATOS_[[Check Periodo Ref.]:[Check Periodo Ref.]]="Dentro",IF(DATOS_[[Check Equiparado]:[Check Equiparado]]="Sí",IF(DATOS!BA$5="Sí",(1/DATOS_[[% anualiz]:[% anualiz]]),1)*IF(DATOS!BA$4="Sí",1/DATOS_[[% normaliz]:[% normaliz]],1)*(DATOS_[Conc.Sal.23])))))))),
0)</f>
        <v>0</v>
      </c>
      <c r="AG79" s="196">
        <f t="array" ref="AG79">IFERROR(
(MEDIAN((IF(DATOS_[[Sexo]:[Sexo]]=$B79,IF(DATOS_[[AGRUP. VALOR. PTO.]:[AGRUP. VALOR. PTO.]]=$B78,IF(DATOS_[[Check Periodo Ref.]:[Check Periodo Ref.]]="Dentro",IF(DATOS_[[Check Equiparado]:[Check Equiparado]]="Sí",IF(DATOS!BB$5="Sí",(1/DATOS_[[% anualiz]:[% anualiz]]),1)*IF(DATOS!BB$4="Sí",1/DATOS_[[% normaliz]:[% normaliz]],1)*(DATOS_[Conc.Sal.24])))))))),
0)</f>
        <v>0</v>
      </c>
      <c r="AH79" s="196">
        <f t="array" ref="AH79">IFERROR(
(MEDIAN((IF(DATOS_[[Sexo]:[Sexo]]=$B79,IF(DATOS_[[AGRUP. VALOR. PTO.]:[AGRUP. VALOR. PTO.]]=$B78,IF(DATOS_[[Check Periodo Ref.]:[Check Periodo Ref.]]="Dentro",IF(DATOS_[[Check Equiparado]:[Check Equiparado]]="Sí",IF(DATOS!BC$5="Sí",(1/DATOS_[[% anualiz]:[% anualiz]]),1)*IF(DATOS!BC$4="Sí",1/DATOS_[[% normaliz]:[% normaliz]],1)*(DATOS_[Conc.Sal.25])))))))),
0)</f>
        <v>0</v>
      </c>
      <c r="AI79" s="196">
        <f t="array" ref="AI79">IFERROR(
(MEDIAN((IF(DATOS_[[Sexo]:[Sexo]]=$B79,IF(DATOS_[[AGRUP. VALOR. PTO.]:[AGRUP. VALOR. PTO.]]=$B78,IF(DATOS_[[Check Periodo Ref.]:[Check Periodo Ref.]]="Dentro",IF(DATOS_[[Check Equiparado]:[Check Equiparado]]="Sí",IF(DATOS!BD$5="Sí",(1/DATOS_[[% anualiz]:[% anualiz]]),1)*IF(DATOS!BD$4="Sí",1/DATOS_[[% normaliz]:[% normaliz]],1)*(DATOS_[Conc.Sal.26])))))))),
0)</f>
        <v>0</v>
      </c>
      <c r="AJ79" s="196">
        <f t="array" ref="AJ79">IFERROR(
(MEDIAN((IF(DATOS_[[Sexo]:[Sexo]]=$B79,IF(DATOS_[[AGRUP. VALOR. PTO.]:[AGRUP. VALOR. PTO.]]=$B78,IF(DATOS_[[Check Periodo Ref.]:[Check Periodo Ref.]]="Dentro",IF(DATOS_[[Check Equiparado]:[Check Equiparado]]="Sí",IF(DATOS!BE$5="Sí",(1/DATOS_[[% anualiz]:[% anualiz]]),1)*IF(DATOS!BE$4="Sí",1/DATOS_[[% normaliz]:[% normaliz]],1)*(DATOS_[Conc.Sal.27])))))))),
0)</f>
        <v>0</v>
      </c>
      <c r="AK79" s="196">
        <f t="array" ref="AK79">IFERROR(
(MEDIAN((IF(DATOS_[[Sexo]:[Sexo]]=$B79,IF(DATOS_[[AGRUP. VALOR. PTO.]:[AGRUP. VALOR. PTO.]]=$B78,IF(DATOS_[[Check Periodo Ref.]:[Check Periodo Ref.]]="Dentro",IF(DATOS_[[Check Equiparado]:[Check Equiparado]]="Sí",IF(DATOS!BF$5="Sí",(1/DATOS_[[% anualiz]:[% anualiz]]),1)*IF(DATOS!BF$4="Sí",1/DATOS_[[% normaliz]:[% normaliz]],1)*(DATOS_[Conc.Sal.28])))))))),
0)</f>
        <v>0</v>
      </c>
      <c r="AL79" s="196">
        <f t="array" ref="AL79">IFERROR(
(MEDIAN((IF(DATOS_[[Sexo]:[Sexo]]=$B79,IF(DATOS_[[AGRUP. VALOR. PTO.]:[AGRUP. VALOR. PTO.]]=$B78,IF(DATOS_[[Check Periodo Ref.]:[Check Periodo Ref.]]="Dentro",IF(DATOS_[[Check Equiparado]:[Check Equiparado]]="Sí",IF(DATOS!BG$5="Sí",(1/DATOS_[[% anualiz]:[% anualiz]]),1)*IF(DATOS!BG$4="Sí",1/DATOS_[[% normaliz]:[% normaliz]],1)*(DATOS_[Conc.Sal.29])))))))),
0)</f>
        <v>0</v>
      </c>
      <c r="AM79" s="196">
        <f t="array" ref="AM79">IFERROR(
(MEDIAN((IF(DATOS_[[Sexo]:[Sexo]]=$B79,IF(DATOS_[[AGRUP. VALOR. PTO.]:[AGRUP. VALOR. PTO.]]=$B78,IF(DATOS_[[Check Periodo Ref.]:[Check Periodo Ref.]]="Dentro",IF(DATOS_[[Check Equiparado]:[Check Equiparado]]="Sí",IF(DATOS!BH$5="Sí",(1/DATOS_[[% anualiz]:[% anualiz]]),1)*IF(DATOS!BH$4="Sí",1/DATOS_[[% normaliz]:[% normaliz]],1)*(DATOS_[Conc.Sal.30])))))))),
0)</f>
        <v>0</v>
      </c>
      <c r="AN79" s="195">
        <f t="array" ref="AN79">IFERROR(
MEDIAN(IF(DATOS_[Sexo]=$B79,IF(DATOS_[[AGRUP. VALOR. PTO.]:[AGRUP. VALOR. PTO.]]=$B78,IF(DATOS_[Check Equiparado]="Sí",IF(DATOS_[Check Periodo Ref.]="Dentro",DATOS_[Tot COMPL.SAL Eq],FALSE))))),
0)</f>
        <v>0</v>
      </c>
      <c r="AO79" s="172">
        <f t="array" ref="AO79">IFERROR(
MEDIAN(IF(DATOS_[Sexo]=$B79,IF(DATOS_[[AGRUP. VALOR. PTO.]:[AGRUP. VALOR. PTO.]]=$B78,IF(DATOS_[Check Equiparado]="Sí",IF(DATOS_[Check Periodo Ref.]="Dentro",DATOS_[TOTAL SALARIO Eq],FALSE))))),
0)</f>
        <v>0</v>
      </c>
      <c r="AP79" s="173">
        <f t="array" ref="AP79">IFERROR(
(MEDIAN((IF(DATOS_[[Sexo]:[Sexo]]=$B79,IF(DATOS_[[AGRUP. VALOR. PTO.]:[AGRUP. VALOR. PTO.]]=$B78,IF(DATOS_[[Check Periodo Ref.]:[Check Periodo Ref.]]="Dentro",IF(DATOS_[[Check Equiparado]:[Check Equiparado]]="Sí",IF(DATOS!BW$5="Sí",(1/DATOS_[[% anualiz]:[% anualiz]]),1)*IF(DATOS!BW$4="Sí",1/DATOS_[[% normaliz]:[% normaliz]],1)*(DATOS_[C.Extra.01])))))))),
0)</f>
        <v>0</v>
      </c>
      <c r="AQ79" s="173">
        <f t="array" ref="AQ79">IFERROR(
(MEDIAN((IF(DATOS_[[Sexo]:[Sexo]]=$B79,IF(DATOS_[[AGRUP. VALOR. PTO.]:[AGRUP. VALOR. PTO.]]=$B78,IF(DATOS_[[Check Periodo Ref.]:[Check Periodo Ref.]]="Dentro",IF(DATOS_[[Check Equiparado]:[Check Equiparado]]="Sí",IF(DATOS!CB$5="Sí",(1/DATOS_[[% anualiz]:[% anualiz]]),1)*IF(DATOS!CB$4="Sí",1/DATOS_[[% normaliz]:[% normaliz]],1)*(DATOS_[C.Extra.06])))))))),
0)</f>
        <v>0</v>
      </c>
      <c r="AR79" s="173">
        <f t="array" ref="AR79">IFERROR(
(MEDIAN((IF(DATOS_[[Sexo]:[Sexo]]=$B79,IF(DATOS_[[AGRUP. VALOR. PTO.]:[AGRUP. VALOR. PTO.]]=$B78,IF(DATOS_[[Check Periodo Ref.]:[Check Periodo Ref.]]="Dentro",IF(DATOS_[[Check Equiparado]:[Check Equiparado]]="Sí",IF(DATOS!CC$5="Sí",(1/DATOS_[[% anualiz]:[% anualiz]]),1)*IF(DATOS!CC$4="Sí",1/DATOS_[[% normaliz]:[% normaliz]],1)*(DATOS_[C.Extra.07])))))))),
0)</f>
        <v>0</v>
      </c>
      <c r="AS79" s="173">
        <f t="array" ref="AS79">IFERROR(
(MEDIAN((IF(DATOS_[[Sexo]:[Sexo]]=$B79,IF(DATOS_[[AGRUP. VALOR. PTO.]:[AGRUP. VALOR. PTO.]]=$B78,IF(DATOS_[[Check Periodo Ref.]:[Check Periodo Ref.]]="Dentro",IF(DATOS_[[Check Equiparado]:[Check Equiparado]]="Sí",IF(DATOS!CD$5="Sí",(1/DATOS_[[% anualiz]:[% anualiz]]),1)*IF(DATOS!CD$4="Sí",1/DATOS_[[% normaliz]:[% normaliz]],1)*(DATOS_[C.Extra.08])))))))),
0)</f>
        <v>0</v>
      </c>
      <c r="AT79" s="173">
        <f t="array" ref="AT79">IFERROR(
(MEDIAN((IF(DATOS_[[Sexo]:[Sexo]]=$B79,IF(DATOS_[[AGRUP. VALOR. PTO.]:[AGRUP. VALOR. PTO.]]=$B78,IF(DATOS_[[Check Periodo Ref.]:[Check Periodo Ref.]]="Dentro",IF(DATOS_[[Check Equiparado]:[Check Equiparado]]="Sí",IF(DATOS!CG$5="Sí",(1/DATOS_[[% anualiz]:[% anualiz]]),1)*IF(DATOS!CG$4="Sí",1/DATOS_[[% normaliz]:[% normaliz]],1)*(DATOS_[C.Extra.11])))))))),
0)</f>
        <v>0</v>
      </c>
      <c r="AU79" s="197">
        <f t="array" ref="AU79">IFERROR(
MEDIAN(IF(DATOS_[Sexo]=$B79,IF(DATOS_[[AGRUP. VALOR. PTO.]:[AGRUP. VALOR. PTO.]]=$B78,IF(DATOS_[Check Equiparado]="Sí",IF(DATOS_[Check Periodo Ref.]="Dentro",DATOS_[Tot Extrasalarial Eq],FALSE))))),
0)</f>
        <v>0</v>
      </c>
      <c r="AV79" s="175">
        <f t="array" ref="AV79">IFERROR(
MEDIAN(IF(DATOS_[Sexo]=$B79,IF(DATOS_[[AGRUP. VALOR. PTO.]:[AGRUP. VALOR. PTO.]]=$B78,IF(DATOS_[Check Equiparado]="Sí",IF(DATOS_[Check Periodo Ref.]="Dentro",DATOS_[TOTAL Retrib Eq],FALSE))))),
0)</f>
        <v>0</v>
      </c>
    </row>
    <row r="80" spans="1:48" x14ac:dyDescent="0.25">
      <c r="A80" s="133" t="str">
        <f t="shared" ref="A80" si="90">+A79</f>
        <v>[ocultar]</v>
      </c>
      <c r="B80" s="202" t="s">
        <v>521</v>
      </c>
      <c r="C80" s="203">
        <f t="array" ref="C80">SUM(IF($B80=DATOS_[Sexo],
IF($B78=DATOS_[AGRUP. VALOR. PTO.],
IF("Dentro"=DATOS_[Check Periodo Ref.],
1/(COUNTIFS(DATOS_[Sexo],$B80,DATOS_[AGRUP. VALOR. PTO.],$B78,DATOS_[Check Periodo Ref.],"Dentro",DATOS_[id/cod],DATOS_[id/cod]))))))</f>
        <v>0</v>
      </c>
      <c r="D80" s="204">
        <f>COUNTIFS(DATOS_[AGRUP. VALOR. PTO.],$B78,DATOS_[Sexo],$B80,DATOS_[Check Periodo Ref.],"Dentro")</f>
        <v>0</v>
      </c>
      <c r="E80" s="204">
        <f>COUNTIFS(DATOS_[AGRUP. VALOR. PTO.],$B78,DATOS_[Sexo],$B80,DATOS_[Check Periodo Ref.],"Dentro",DATOS_[Check Nº SC Norm],"Sí")</f>
        <v>0</v>
      </c>
      <c r="F80" s="204">
        <f>COUNTIFS(DATOS_[AGRUP. VALOR. PTO.],$B78,DATOS_[Sexo],$B80,DATOS_[Check Periodo Ref.],"Dentro",DATOS_[Check Nº SC Anualiz],"Sí")</f>
        <v>0</v>
      </c>
      <c r="G80" s="204">
        <f>COUNTIFS(DATOS_[AGRUP. VALOR. PTO.],$B78,DATOS_[Sexo],$B80,DATOS_[Check Periodo Ref.],"Dentro",DATOS_[Check Nº SC Norm y Anualiz],"Sí")</f>
        <v>0</v>
      </c>
      <c r="H80" s="204">
        <f>COUNTIFS(DATOS_[AGRUP. VALOR. PTO.],$B78,DATOS_[Sexo],$B80,DATOS_[Check Periodo Ref.],"Dentro",DATOS_[Check Equiparación],"Sí")</f>
        <v>0</v>
      </c>
      <c r="I80" s="195" cm="1">
        <f t="array" ref="I80">IFERROR(
MEDIAN(IF(DATOS_[Sexo]=$B80,IF(DATOS_[[AGRUP. VALOR. PTO.]:[AGRUP. VALOR. PTO.]]=$B78,IF(DATOS_[Check Equiparado]="Sí",IF(DATOS_[Check Periodo Ref.]="Dentro",DATOS_[SALARIO BASE Eq],FALSE))))),
0)</f>
        <v>0</v>
      </c>
      <c r="J80" s="196">
        <f t="array" ref="J80">IFERROR(
(MEDIAN((IF(DATOS_[[Sexo]:[Sexo]]=$B80,IF(DATOS_[[AGRUP. VALOR. PTO.]:[AGRUP. VALOR. PTO.]]=$B78,IF(DATOS_[[Check Periodo Ref.]:[Check Periodo Ref.]]="Dentro",IF(DATOS_[[Check Equiparado]:[Check Equiparado]]="Sí",IF(DATOS!AE$5="Sí",(1/DATOS_[[% anualiz]:[% anualiz]]),1)*IF(DATOS!AE$4="Sí",1/DATOS_[[% normaliz]:[% normaliz]],1)*(DATOS_[Conc.Sal.01])))))))),
0)</f>
        <v>0</v>
      </c>
      <c r="K80" s="196">
        <f t="array" ref="K80">IFERROR(
(MEDIAN((IF(DATOS_[[Sexo]:[Sexo]]=$B80,IF(DATOS_[[AGRUP. VALOR. PTO.]:[AGRUP. VALOR. PTO.]]=$B78,IF(DATOS_[[Check Periodo Ref.]:[Check Periodo Ref.]]="Dentro",IF(DATOS_[[Check Equiparado]:[Check Equiparado]]="Sí",IF(DATOS!AF$5="Sí",(1/DATOS_[[% anualiz]:[% anualiz]]),1)*IF(DATOS!AF$4="Sí",1/DATOS_[[% normaliz]:[% normaliz]],1)*(DATOS_[Conc.Sal.02])))))))),
0)</f>
        <v>0</v>
      </c>
      <c r="L80" s="196">
        <f t="array" ref="L80">IFERROR(
(MEDIAN((IF(DATOS_[[Sexo]:[Sexo]]=$B80,IF(DATOS_[[AGRUP. VALOR. PTO.]:[AGRUP. VALOR. PTO.]]=$B78,IF(DATOS_[[Check Periodo Ref.]:[Check Periodo Ref.]]="Dentro",IF(DATOS_[[Check Equiparado]:[Check Equiparado]]="Sí",IF(DATOS!AG$5="Sí",(1/DATOS_[[% anualiz]:[% anualiz]]),1)*IF(DATOS!AG$4="Sí",1/DATOS_[[% normaliz]:[% normaliz]],1)*(DATOS_[Conc.Sal.03])))))))),
0)</f>
        <v>0</v>
      </c>
      <c r="M80" s="196">
        <f t="array" ref="M80">IFERROR(
(MEDIAN((IF(DATOS_[[Sexo]:[Sexo]]=$B80,IF(DATOS_[[AGRUP. VALOR. PTO.]:[AGRUP. VALOR. PTO.]]=$B78,IF(DATOS_[[Check Periodo Ref.]:[Check Periodo Ref.]]="Dentro",IF(DATOS_[[Check Equiparado]:[Check Equiparado]]="Sí",IF(DATOS!AH$5="Sí",(1/DATOS_[[% anualiz]:[% anualiz]]),1)*IF(DATOS!AH$4="Sí",1/DATOS_[[% normaliz]:[% normaliz]],1)*(DATOS_[Conc.Sal.04])))))))),
0)</f>
        <v>0</v>
      </c>
      <c r="N80" s="196">
        <f t="array" ref="N80">IFERROR(
(MEDIAN((IF(DATOS_[[Sexo]:[Sexo]]=$B80,IF(DATOS_[[AGRUP. VALOR. PTO.]:[AGRUP. VALOR. PTO.]]=$B78,IF(DATOS_[[Check Periodo Ref.]:[Check Periodo Ref.]]="Dentro",IF(DATOS_[[Check Equiparado]:[Check Equiparado]]="Sí",IF(DATOS!AI$5="Sí",(1/DATOS_[[% anualiz]:[% anualiz]]),1)*IF(DATOS!AI$4="Sí",1/DATOS_[[% normaliz]:[% normaliz]],1)*(DATOS_[Conc.Sal.05])))))))),
0)</f>
        <v>0</v>
      </c>
      <c r="O80" s="196">
        <f t="array" ref="O80">IFERROR(
(MEDIAN((IF(DATOS_[[Sexo]:[Sexo]]=$B80,IF(DATOS_[[AGRUP. VALOR. PTO.]:[AGRUP. VALOR. PTO.]]=$B78,IF(DATOS_[[Check Periodo Ref.]:[Check Periodo Ref.]]="Dentro",IF(DATOS_[[Check Equiparado]:[Check Equiparado]]="Sí",IF(DATOS!AJ$5="Sí",(1/DATOS_[[% anualiz]:[% anualiz]]),1)*IF(DATOS!AJ$4="Sí",1/DATOS_[[% normaliz]:[% normaliz]],1)*(DATOS_[Conc.Sal.06])))))))),
0)</f>
        <v>0</v>
      </c>
      <c r="P80" s="196">
        <f t="array" ref="P80">IFERROR(
(MEDIAN((IF(DATOS_[[Sexo]:[Sexo]]=$B80,IF(DATOS_[[AGRUP. VALOR. PTO.]:[AGRUP. VALOR. PTO.]]=$B78,IF(DATOS_[[Check Periodo Ref.]:[Check Periodo Ref.]]="Dentro",IF(DATOS_[[Check Equiparado]:[Check Equiparado]]="Sí",IF(DATOS!AK$5="Sí",(1/DATOS_[[% anualiz]:[% anualiz]]),1)*IF(DATOS!AK$4="Sí",1/DATOS_[[% normaliz]:[% normaliz]],1)*(DATOS_[Conc.Sal.07])))))))),
0)</f>
        <v>0</v>
      </c>
      <c r="Q80" s="196">
        <f t="array" ref="Q80">IFERROR(
(MEDIAN((IF(DATOS_[[Sexo]:[Sexo]]=$B80,IF(DATOS_[[AGRUP. VALOR. PTO.]:[AGRUP. VALOR. PTO.]]=$B78,IF(DATOS_[[Check Periodo Ref.]:[Check Periodo Ref.]]="Dentro",IF(DATOS_[[Check Equiparado]:[Check Equiparado]]="Sí",IF(DATOS!AL$5="Sí",(1/DATOS_[[% anualiz]:[% anualiz]]),1)*IF(DATOS!AL$4="Sí",1/DATOS_[[% normaliz]:[% normaliz]],1)*(DATOS_[Conc.Sal.08])))))))),
0)</f>
        <v>0</v>
      </c>
      <c r="R80" s="196">
        <f t="array" ref="R80">IFERROR(
(MEDIAN((IF(DATOS_[[Sexo]:[Sexo]]=$B80,IF(DATOS_[[AGRUP. VALOR. PTO.]:[AGRUP. VALOR. PTO.]]=$B78,IF(DATOS_[[Check Periodo Ref.]:[Check Periodo Ref.]]="Dentro",IF(DATOS_[[Check Equiparado]:[Check Equiparado]]="Sí",IF(DATOS!AM$5="Sí",(1/DATOS_[[% anualiz]:[% anualiz]]),1)*IF(DATOS!AM$4="Sí",1/DATOS_[[% normaliz]:[% normaliz]],1)*(DATOS_[Conc.Sal.09])))))))),
0)</f>
        <v>0</v>
      </c>
      <c r="S80" s="196">
        <f t="array" ref="S80">IFERROR(
(MEDIAN((IF(DATOS_[[Sexo]:[Sexo]]=$B80,IF(DATOS_[[AGRUP. VALOR. PTO.]:[AGRUP. VALOR. PTO.]]=$B78,IF(DATOS_[[Check Periodo Ref.]:[Check Periodo Ref.]]="Dentro",IF(DATOS_[[Check Equiparado]:[Check Equiparado]]="Sí",IF(DATOS!AN$5="Sí",(1/DATOS_[[% anualiz]:[% anualiz]]),1)*IF(DATOS!AN$4="Sí",1/DATOS_[[% normaliz]:[% normaliz]],1)*(DATOS_[Conc.Sal.10])))))))),
0)</f>
        <v>0</v>
      </c>
      <c r="T80" s="196">
        <f t="array" ref="T80">IFERROR(
(MEDIAN((IF(DATOS_[[Sexo]:[Sexo]]=$B80,IF(DATOS_[[AGRUP. VALOR. PTO.]:[AGRUP. VALOR. PTO.]]=$B78,IF(DATOS_[[Check Periodo Ref.]:[Check Periodo Ref.]]="Dentro",IF(DATOS_[[Check Equiparado]:[Check Equiparado]]="Sí",IF(DATOS!AO$5="Sí",(1/DATOS_[[% anualiz]:[% anualiz]]),1)*IF(DATOS!AO$4="Sí",1/DATOS_[[% normaliz]:[% normaliz]],1)*(DATOS_[Conc.Sal.11])))))))),
0)</f>
        <v>0</v>
      </c>
      <c r="U80" s="196">
        <f t="array" ref="U80">IFERROR(
(MEDIAN((IF(DATOS_[[Sexo]:[Sexo]]=$B80,IF(DATOS_[[AGRUP. VALOR. PTO.]:[AGRUP. VALOR. PTO.]]=$B78,IF(DATOS_[[Check Periodo Ref.]:[Check Periodo Ref.]]="Dentro",IF(DATOS_[[Check Equiparado]:[Check Equiparado]]="Sí",IF(DATOS!AP$5="Sí",(1/DATOS_[[% anualiz]:[% anualiz]]),1)*IF(DATOS!AP$4="Sí",1/DATOS_[[% normaliz]:[% normaliz]],1)*(DATOS_[Conc.Sal.12])))))))),
0)</f>
        <v>0</v>
      </c>
      <c r="V80" s="196">
        <f t="array" ref="V80">IFERROR(
(MEDIAN((IF(DATOS_[[Sexo]:[Sexo]]=$B80,IF(DATOS_[[AGRUP. VALOR. PTO.]:[AGRUP. VALOR. PTO.]]=$B78,IF(DATOS_[[Check Periodo Ref.]:[Check Periodo Ref.]]="Dentro",IF(DATOS_[[Check Equiparado]:[Check Equiparado]]="Sí",IF(DATOS!AQ$5="Sí",(1/DATOS_[[% anualiz]:[% anualiz]]),1)*IF(DATOS!AQ$4="Sí",1/DATOS_[[% normaliz]:[% normaliz]],1)*(DATOS_[Conc.Sal.13])))))))),
0)</f>
        <v>0</v>
      </c>
      <c r="W80" s="196">
        <f t="array" ref="W80">IFERROR(
(MEDIAN((IF(DATOS_[[Sexo]:[Sexo]]=$B80,IF(DATOS_[[AGRUP. VALOR. PTO.]:[AGRUP. VALOR. PTO.]]=$B78,IF(DATOS_[[Check Periodo Ref.]:[Check Periodo Ref.]]="Dentro",IF(DATOS_[[Check Equiparado]:[Check Equiparado]]="Sí",IF(DATOS!AR$5="Sí",(1/DATOS_[[% anualiz]:[% anualiz]]),1)*IF(DATOS!AR$4="Sí",1/DATOS_[[% normaliz]:[% normaliz]],1)*(DATOS_[Conc.Sal.14])))))))),
0)</f>
        <v>0</v>
      </c>
      <c r="X80" s="196">
        <f t="array" ref="X80">IFERROR(
(MEDIAN((IF(DATOS_[[Sexo]:[Sexo]]=$B80,IF(DATOS_[[AGRUP. VALOR. PTO.]:[AGRUP. VALOR. PTO.]]=$B78,IF(DATOS_[[Check Periodo Ref.]:[Check Periodo Ref.]]="Dentro",IF(DATOS_[[Check Equiparado]:[Check Equiparado]]="Sí",IF(DATOS!AS$5="Sí",(1/DATOS_[[% anualiz]:[% anualiz]]),1)*IF(DATOS!AS$4="Sí",1/DATOS_[[% normaliz]:[% normaliz]],1)*(DATOS_[Conc.Sal.15])))))))),
0)</f>
        <v>0</v>
      </c>
      <c r="Y80" s="196">
        <f t="array" ref="Y80">IFERROR(
(MEDIAN((IF(DATOS_[[Sexo]:[Sexo]]=$B80,IF(DATOS_[[AGRUP. VALOR. PTO.]:[AGRUP. VALOR. PTO.]]=$B78,IF(DATOS_[[Check Periodo Ref.]:[Check Periodo Ref.]]="Dentro",IF(DATOS_[[Check Equiparado]:[Check Equiparado]]="Sí",IF(DATOS!AT$5="Sí",(1/DATOS_[[% anualiz]:[% anualiz]]),1)*IF(DATOS!AT$4="Sí",1/DATOS_[[% normaliz]:[% normaliz]],1)*(DATOS_[Conc.Sal.16])))))))),
0)</f>
        <v>0</v>
      </c>
      <c r="Z80" s="196">
        <f t="array" ref="Z80">IFERROR(
(MEDIAN((IF(DATOS_[[Sexo]:[Sexo]]=$B80,IF(DATOS_[[AGRUP. VALOR. PTO.]:[AGRUP. VALOR. PTO.]]=$B78,IF(DATOS_[[Check Periodo Ref.]:[Check Periodo Ref.]]="Dentro",IF(DATOS_[[Check Equiparado]:[Check Equiparado]]="Sí",IF(DATOS!AU$5="Sí",(1/DATOS_[[% anualiz]:[% anualiz]]),1)*IF(DATOS!AU$4="Sí",1/DATOS_[[% normaliz]:[% normaliz]],1)*(DATOS_[Conc.Sal.17])))))))),
0)</f>
        <v>0</v>
      </c>
      <c r="AA80" s="196">
        <f t="array" ref="AA80">IFERROR(
(MEDIAN((IF(DATOS_[[Sexo]:[Sexo]]=$B80,IF(DATOS_[[AGRUP. VALOR. PTO.]:[AGRUP. VALOR. PTO.]]=$B78,IF(DATOS_[[Check Periodo Ref.]:[Check Periodo Ref.]]="Dentro",IF(DATOS_[[Check Equiparado]:[Check Equiparado]]="Sí",IF(DATOS!AV$5="Sí",(1/DATOS_[[% anualiz]:[% anualiz]]),1)*IF(DATOS!AV$4="Sí",1/DATOS_[[% normaliz]:[% normaliz]],1)*(DATOS_[Conc.Sal.18])))))))),
0)</f>
        <v>0</v>
      </c>
      <c r="AB80" s="196">
        <f t="array" ref="AB80">IFERROR(
(MEDIAN((IF(DATOS_[[Sexo]:[Sexo]]=$B80,IF(DATOS_[[AGRUP. VALOR. PTO.]:[AGRUP. VALOR. PTO.]]=$B78,IF(DATOS_[[Check Periodo Ref.]:[Check Periodo Ref.]]="Dentro",IF(DATOS_[[Check Equiparado]:[Check Equiparado]]="Sí",IF(DATOS!AW$5="Sí",(1/DATOS_[[% anualiz]:[% anualiz]]),1)*IF(DATOS!AW$4="Sí",1/DATOS_[[% normaliz]:[% normaliz]],1)*(DATOS_[Conc.Sal.19])))))))),
0)</f>
        <v>0</v>
      </c>
      <c r="AC80" s="196">
        <f t="array" ref="AC80">IFERROR(
(MEDIAN((IF(DATOS_[[Sexo]:[Sexo]]=$B80,IF(DATOS_[[AGRUP. VALOR. PTO.]:[AGRUP. VALOR. PTO.]]=$B78,IF(DATOS_[[Check Periodo Ref.]:[Check Periodo Ref.]]="Dentro",IF(DATOS_[[Check Equiparado]:[Check Equiparado]]="Sí",IF(DATOS!AX$5="Sí",(1/DATOS_[[% anualiz]:[% anualiz]]),1)*IF(DATOS!AX$4="Sí",1/DATOS_[[% normaliz]:[% normaliz]],1)*(DATOS_[Conc.Sal.20])))))))),
0)</f>
        <v>0</v>
      </c>
      <c r="AD80" s="196">
        <f t="array" ref="AD80">IFERROR(
(MEDIAN((IF(DATOS_[[Sexo]:[Sexo]]=$B80,IF(DATOS_[[AGRUP. VALOR. PTO.]:[AGRUP. VALOR. PTO.]]=$B78,IF(DATOS_[[Check Periodo Ref.]:[Check Periodo Ref.]]="Dentro",IF(DATOS_[[Check Equiparado]:[Check Equiparado]]="Sí",IF(DATOS!AY$5="Sí",(1/DATOS_[[% anualiz]:[% anualiz]]),1)*IF(DATOS!AY$4="Sí",1/DATOS_[[% normaliz]:[% normaliz]],1)*(DATOS_[Conc.Sal.21])))))))),
0)</f>
        <v>0</v>
      </c>
      <c r="AE80" s="196">
        <f t="array" ref="AE80">IFERROR(
(MEDIAN((IF(DATOS_[[Sexo]:[Sexo]]=$B80,IF(DATOS_[[AGRUP. VALOR. PTO.]:[AGRUP. VALOR. PTO.]]=$B78,IF(DATOS_[[Check Periodo Ref.]:[Check Periodo Ref.]]="Dentro",IF(DATOS_[[Check Equiparado]:[Check Equiparado]]="Sí",IF(DATOS!AZ$5="Sí",(1/DATOS_[[% anualiz]:[% anualiz]]),1)*IF(DATOS!AZ$4="Sí",1/DATOS_[[% normaliz]:[% normaliz]],1)*(DATOS_[Conc.Sal.22])))))))),
0)</f>
        <v>0</v>
      </c>
      <c r="AF80" s="196">
        <f t="array" ref="AF80">IFERROR(
(MEDIAN((IF(DATOS_[[Sexo]:[Sexo]]=$B80,IF(DATOS_[[AGRUP. VALOR. PTO.]:[AGRUP. VALOR. PTO.]]=$B78,IF(DATOS_[[Check Periodo Ref.]:[Check Periodo Ref.]]="Dentro",IF(DATOS_[[Check Equiparado]:[Check Equiparado]]="Sí",IF(DATOS!BA$5="Sí",(1/DATOS_[[% anualiz]:[% anualiz]]),1)*IF(DATOS!BA$4="Sí",1/DATOS_[[% normaliz]:[% normaliz]],1)*(DATOS_[Conc.Sal.23])))))))),
0)</f>
        <v>0</v>
      </c>
      <c r="AG80" s="196">
        <f t="array" ref="AG80">IFERROR(
(MEDIAN((IF(DATOS_[[Sexo]:[Sexo]]=$B80,IF(DATOS_[[AGRUP. VALOR. PTO.]:[AGRUP. VALOR. PTO.]]=$B78,IF(DATOS_[[Check Periodo Ref.]:[Check Periodo Ref.]]="Dentro",IF(DATOS_[[Check Equiparado]:[Check Equiparado]]="Sí",IF(DATOS!BB$5="Sí",(1/DATOS_[[% anualiz]:[% anualiz]]),1)*IF(DATOS!BB$4="Sí",1/DATOS_[[% normaliz]:[% normaliz]],1)*(DATOS_[Conc.Sal.24])))))))),
0)</f>
        <v>0</v>
      </c>
      <c r="AH80" s="196">
        <f t="array" ref="AH80">IFERROR(
(MEDIAN((IF(DATOS_[[Sexo]:[Sexo]]=$B80,IF(DATOS_[[AGRUP. VALOR. PTO.]:[AGRUP. VALOR. PTO.]]=$B78,IF(DATOS_[[Check Periodo Ref.]:[Check Periodo Ref.]]="Dentro",IF(DATOS_[[Check Equiparado]:[Check Equiparado]]="Sí",IF(DATOS!BC$5="Sí",(1/DATOS_[[% anualiz]:[% anualiz]]),1)*IF(DATOS!BC$4="Sí",1/DATOS_[[% normaliz]:[% normaliz]],1)*(DATOS_[Conc.Sal.25])))))))),
0)</f>
        <v>0</v>
      </c>
      <c r="AI80" s="196">
        <f t="array" ref="AI80">IFERROR(
(MEDIAN((IF(DATOS_[[Sexo]:[Sexo]]=$B80,IF(DATOS_[[AGRUP. VALOR. PTO.]:[AGRUP. VALOR. PTO.]]=$B78,IF(DATOS_[[Check Periodo Ref.]:[Check Periodo Ref.]]="Dentro",IF(DATOS_[[Check Equiparado]:[Check Equiparado]]="Sí",IF(DATOS!BD$5="Sí",(1/DATOS_[[% anualiz]:[% anualiz]]),1)*IF(DATOS!BD$4="Sí",1/DATOS_[[% normaliz]:[% normaliz]],1)*(DATOS_[Conc.Sal.26])))))))),
0)</f>
        <v>0</v>
      </c>
      <c r="AJ80" s="196">
        <f t="array" ref="AJ80">IFERROR(
(MEDIAN((IF(DATOS_[[Sexo]:[Sexo]]=$B80,IF(DATOS_[[AGRUP. VALOR. PTO.]:[AGRUP. VALOR. PTO.]]=$B78,IF(DATOS_[[Check Periodo Ref.]:[Check Periodo Ref.]]="Dentro",IF(DATOS_[[Check Equiparado]:[Check Equiparado]]="Sí",IF(DATOS!BE$5="Sí",(1/DATOS_[[% anualiz]:[% anualiz]]),1)*IF(DATOS!BE$4="Sí",1/DATOS_[[% normaliz]:[% normaliz]],1)*(DATOS_[Conc.Sal.27])))))))),
0)</f>
        <v>0</v>
      </c>
      <c r="AK80" s="196">
        <f t="array" ref="AK80">IFERROR(
(MEDIAN((IF(DATOS_[[Sexo]:[Sexo]]=$B80,IF(DATOS_[[AGRUP. VALOR. PTO.]:[AGRUP. VALOR. PTO.]]=$B78,IF(DATOS_[[Check Periodo Ref.]:[Check Periodo Ref.]]="Dentro",IF(DATOS_[[Check Equiparado]:[Check Equiparado]]="Sí",IF(DATOS!BF$5="Sí",(1/DATOS_[[% anualiz]:[% anualiz]]),1)*IF(DATOS!BF$4="Sí",1/DATOS_[[% normaliz]:[% normaliz]],1)*(DATOS_[Conc.Sal.28])))))))),
0)</f>
        <v>0</v>
      </c>
      <c r="AL80" s="196">
        <f t="array" ref="AL80">IFERROR(
(MEDIAN((IF(DATOS_[[Sexo]:[Sexo]]=$B80,IF(DATOS_[[AGRUP. VALOR. PTO.]:[AGRUP. VALOR. PTO.]]=$B78,IF(DATOS_[[Check Periodo Ref.]:[Check Periodo Ref.]]="Dentro",IF(DATOS_[[Check Equiparado]:[Check Equiparado]]="Sí",IF(DATOS!BG$5="Sí",(1/DATOS_[[% anualiz]:[% anualiz]]),1)*IF(DATOS!BG$4="Sí",1/DATOS_[[% normaliz]:[% normaliz]],1)*(DATOS_[Conc.Sal.29])))))))),
0)</f>
        <v>0</v>
      </c>
      <c r="AM80" s="196">
        <f t="array" ref="AM80">IFERROR(
(MEDIAN((IF(DATOS_[[Sexo]:[Sexo]]=$B80,IF(DATOS_[[AGRUP. VALOR. PTO.]:[AGRUP. VALOR. PTO.]]=$B78,IF(DATOS_[[Check Periodo Ref.]:[Check Periodo Ref.]]="Dentro",IF(DATOS_[[Check Equiparado]:[Check Equiparado]]="Sí",IF(DATOS!BH$5="Sí",(1/DATOS_[[% anualiz]:[% anualiz]]),1)*IF(DATOS!BH$4="Sí",1/DATOS_[[% normaliz]:[% normaliz]],1)*(DATOS_[Conc.Sal.30])))))))),
0)</f>
        <v>0</v>
      </c>
      <c r="AN80" s="195">
        <f t="array" ref="AN80">IFERROR(
MEDIAN(IF(DATOS_[Sexo]=$B80,IF(DATOS_[[AGRUP. VALOR. PTO.]:[AGRUP. VALOR. PTO.]]=$B78,IF(DATOS_[Check Equiparado]="Sí",IF(DATOS_[Check Periodo Ref.]="Dentro",DATOS_[Tot COMPL.SAL Eq],FALSE))))),
0)</f>
        <v>0</v>
      </c>
      <c r="AO80" s="172">
        <f t="array" ref="AO80">IFERROR(
MEDIAN(IF(DATOS_[Sexo]=$B80,IF(DATOS_[[AGRUP. VALOR. PTO.]:[AGRUP. VALOR. PTO.]]=$B78,IF(DATOS_[Check Equiparado]="Sí",IF(DATOS_[Check Periodo Ref.]="Dentro",DATOS_[TOTAL SALARIO Eq],FALSE))))),
0)</f>
        <v>0</v>
      </c>
      <c r="AP80" s="173">
        <f t="array" ref="AP80">IFERROR(
(MEDIAN((IF(DATOS_[[Sexo]:[Sexo]]=$B80,IF(DATOS_[[AGRUP. VALOR. PTO.]:[AGRUP. VALOR. PTO.]]=$B79,IF(DATOS_[[Check Periodo Ref.]:[Check Periodo Ref.]]="Dentro",IF(DATOS_[[Check Equiparado]:[Check Equiparado]]="Sí",IF(DATOS!BW$5="Sí",(1/DATOS_[[% anualiz]:[% anualiz]]),1)*IF(DATOS!BW$4="Sí",1/DATOS_[[% normaliz]:[% normaliz]],1)*(DATOS_[C.Extra.01])))))))),
0)</f>
        <v>0</v>
      </c>
      <c r="AQ80" s="173">
        <f t="array" ref="AQ80">IFERROR(
(MEDIAN((IF(DATOS_[[Sexo]:[Sexo]]=$B80,IF(DATOS_[[AGRUP. VALOR. PTO.]:[AGRUP. VALOR. PTO.]]=$B79,IF(DATOS_[[Check Periodo Ref.]:[Check Periodo Ref.]]="Dentro",IF(DATOS_[[Check Equiparado]:[Check Equiparado]]="Sí",IF(DATOS!CB$5="Sí",(1/DATOS_[[% anualiz]:[% anualiz]]),1)*IF(DATOS!CB$4="Sí",1/DATOS_[[% normaliz]:[% normaliz]],1)*(DATOS_[C.Extra.06])))))))),
0)</f>
        <v>0</v>
      </c>
      <c r="AR80" s="173">
        <f t="array" ref="AR80">IFERROR(
(MEDIAN((IF(DATOS_[[Sexo]:[Sexo]]=$B80,IF(DATOS_[[AGRUP. VALOR. PTO.]:[AGRUP. VALOR. PTO.]]=$B79,IF(DATOS_[[Check Periodo Ref.]:[Check Periodo Ref.]]="Dentro",IF(DATOS_[[Check Equiparado]:[Check Equiparado]]="Sí",IF(DATOS!CC$5="Sí",(1/DATOS_[[% anualiz]:[% anualiz]]),1)*IF(DATOS!CC$4="Sí",1/DATOS_[[% normaliz]:[% normaliz]],1)*(DATOS_[C.Extra.07])))))))),
0)</f>
        <v>0</v>
      </c>
      <c r="AS80" s="173">
        <f t="array" ref="AS80">IFERROR(
(MEDIAN((IF(DATOS_[[Sexo]:[Sexo]]=$B80,IF(DATOS_[[AGRUP. VALOR. PTO.]:[AGRUP. VALOR. PTO.]]=$B79,IF(DATOS_[[Check Periodo Ref.]:[Check Periodo Ref.]]="Dentro",IF(DATOS_[[Check Equiparado]:[Check Equiparado]]="Sí",IF(DATOS!CD$5="Sí",(1/DATOS_[[% anualiz]:[% anualiz]]),1)*IF(DATOS!CD$4="Sí",1/DATOS_[[% normaliz]:[% normaliz]],1)*(DATOS_[C.Extra.08])))))))),
0)</f>
        <v>0</v>
      </c>
      <c r="AT80" s="173">
        <f t="array" ref="AT80">IFERROR(
(MEDIAN((IF(DATOS_[[Sexo]:[Sexo]]=$B80,IF(DATOS_[[AGRUP. VALOR. PTO.]:[AGRUP. VALOR. PTO.]]=$B79,IF(DATOS_[[Check Periodo Ref.]:[Check Periodo Ref.]]="Dentro",IF(DATOS_[[Check Equiparado]:[Check Equiparado]]="Sí",IF(DATOS!CG$5="Sí",(1/DATOS_[[% anualiz]:[% anualiz]]),1)*IF(DATOS!CG$4="Sí",1/DATOS_[[% normaliz]:[% normaliz]],1)*(DATOS_[C.Extra.11])))))))),
0)</f>
        <v>0</v>
      </c>
      <c r="AU80" s="197">
        <f t="array" ref="AU80">IFERROR(
MEDIAN(IF(DATOS_[Sexo]=$B80,IF(DATOS_[[AGRUP. VALOR. PTO.]:[AGRUP. VALOR. PTO.]]=$B78,IF(DATOS_[Check Equiparado]="Sí",IF(DATOS_[Check Periodo Ref.]="Dentro",DATOS_[Tot Extrasalarial Eq],FALSE))))),
0)</f>
        <v>0</v>
      </c>
      <c r="AV80" s="175">
        <f t="array" ref="AV80">IFERROR(
MEDIAN(IF(DATOS_[Sexo]=$B80,IF(DATOS_[[AGRUP. VALOR. PTO.]:[AGRUP. VALOR. PTO.]]=$B78,IF(DATOS_[Check Equiparado]="Sí",IF(DATOS_[Check Periodo Ref.]="Dentro",DATOS_[TOTAL Retrib Eq],FALSE))))),
0)</f>
        <v>0</v>
      </c>
    </row>
    <row r="81" spans="1:48" ht="15.6" thickBot="1" x14ac:dyDescent="0.3">
      <c r="A81" s="133" t="str">
        <f t="shared" ref="A81" si="91">+A82</f>
        <v>[ocultar]</v>
      </c>
      <c r="B81" s="199" t="s">
        <v>269</v>
      </c>
      <c r="C81" s="200"/>
      <c r="D81" s="201"/>
      <c r="E81" s="201"/>
      <c r="F81" s="201"/>
      <c r="G81" s="201"/>
      <c r="H81" s="201"/>
      <c r="I81" s="189" t="str">
        <f t="shared" ref="I81:AV81" si="92">IFERROR((I82-I83)/I82,"")</f>
        <v/>
      </c>
      <c r="J81" s="190" t="str">
        <f t="shared" si="92"/>
        <v/>
      </c>
      <c r="K81" s="191" t="str">
        <f t="shared" si="92"/>
        <v/>
      </c>
      <c r="L81" s="191" t="str">
        <f t="shared" si="92"/>
        <v/>
      </c>
      <c r="M81" s="191" t="str">
        <f t="shared" si="92"/>
        <v/>
      </c>
      <c r="N81" s="192" t="str">
        <f t="shared" si="92"/>
        <v/>
      </c>
      <c r="O81" s="193" t="str">
        <f t="shared" si="92"/>
        <v/>
      </c>
      <c r="P81" s="193" t="str">
        <f t="shared" si="92"/>
        <v/>
      </c>
      <c r="Q81" s="193" t="str">
        <f t="shared" si="92"/>
        <v/>
      </c>
      <c r="R81" s="193" t="str">
        <f t="shared" si="92"/>
        <v/>
      </c>
      <c r="S81" s="193" t="str">
        <f t="shared" si="92"/>
        <v/>
      </c>
      <c r="T81" s="193" t="str">
        <f t="shared" si="92"/>
        <v/>
      </c>
      <c r="U81" s="193" t="str">
        <f t="shared" si="92"/>
        <v/>
      </c>
      <c r="V81" s="193" t="str">
        <f t="shared" si="92"/>
        <v/>
      </c>
      <c r="W81" s="193" t="str">
        <f t="shared" si="92"/>
        <v/>
      </c>
      <c r="X81" s="193" t="str">
        <f t="shared" si="92"/>
        <v/>
      </c>
      <c r="Y81" s="193" t="str">
        <f t="shared" si="92"/>
        <v/>
      </c>
      <c r="Z81" s="193" t="str">
        <f t="shared" si="92"/>
        <v/>
      </c>
      <c r="AA81" s="193" t="str">
        <f t="shared" si="92"/>
        <v/>
      </c>
      <c r="AB81" s="193" t="str">
        <f t="shared" si="92"/>
        <v/>
      </c>
      <c r="AC81" s="193" t="str">
        <f t="shared" si="92"/>
        <v/>
      </c>
      <c r="AD81" s="193" t="str">
        <f t="shared" si="92"/>
        <v/>
      </c>
      <c r="AE81" s="193" t="str">
        <f t="shared" si="92"/>
        <v/>
      </c>
      <c r="AF81" s="193" t="str">
        <f t="shared" si="92"/>
        <v/>
      </c>
      <c r="AG81" s="193" t="str">
        <f t="shared" si="92"/>
        <v/>
      </c>
      <c r="AH81" s="193" t="str">
        <f t="shared" si="92"/>
        <v/>
      </c>
      <c r="AI81" s="193" t="str">
        <f t="shared" si="92"/>
        <v/>
      </c>
      <c r="AJ81" s="193" t="str">
        <f t="shared" si="92"/>
        <v/>
      </c>
      <c r="AK81" s="193" t="str">
        <f t="shared" si="92"/>
        <v/>
      </c>
      <c r="AL81" s="193" t="str">
        <f t="shared" si="92"/>
        <v/>
      </c>
      <c r="AM81" s="193" t="str">
        <f t="shared" si="92"/>
        <v/>
      </c>
      <c r="AN81" s="189" t="str">
        <f t="shared" si="92"/>
        <v/>
      </c>
      <c r="AO81" s="162" t="str">
        <f t="shared" si="92"/>
        <v/>
      </c>
      <c r="AP81" s="163" t="str">
        <f t="shared" si="92"/>
        <v/>
      </c>
      <c r="AQ81" s="163" t="str">
        <f t="shared" si="92"/>
        <v/>
      </c>
      <c r="AR81" s="163" t="str">
        <f t="shared" si="92"/>
        <v/>
      </c>
      <c r="AS81" s="163" t="str">
        <f t="shared" si="92"/>
        <v/>
      </c>
      <c r="AT81" s="163" t="str">
        <f t="shared" si="92"/>
        <v/>
      </c>
      <c r="AU81" s="194" t="str">
        <f t="shared" si="92"/>
        <v/>
      </c>
      <c r="AV81" s="165" t="str">
        <f t="shared" si="92"/>
        <v/>
      </c>
    </row>
    <row r="82" spans="1:48" x14ac:dyDescent="0.25">
      <c r="A82" s="133" t="str">
        <f t="shared" ref="A82" si="93">+IF(C82+C83=0,"[ocultar]","")</f>
        <v>[ocultar]</v>
      </c>
      <c r="B82" s="202" t="s">
        <v>394</v>
      </c>
      <c r="C82" s="203">
        <f t="array" ref="C82">SUM(IF($B82=DATOS_[Sexo],
IF($B81=DATOS_[AGRUP. VALOR. PTO.],
IF("Dentro"=DATOS_[Check Periodo Ref.],
1/(COUNTIFS(DATOS_[Sexo],$B82,DATOS_[AGRUP. VALOR. PTO.],$B81,DATOS_[Check Periodo Ref.],"Dentro",DATOS_[id/cod],DATOS_[id/cod]))))))</f>
        <v>0</v>
      </c>
      <c r="D82" s="204">
        <f>COUNTIFS(DATOS_[AGRUP. VALOR. PTO.],$B81,DATOS_[Sexo],$B82,DATOS_[Check Periodo Ref.],"Dentro")</f>
        <v>0</v>
      </c>
      <c r="E82" s="204">
        <f>COUNTIFS(DATOS_[AGRUP. VALOR. PTO.],$B81,DATOS_[Sexo],$B82,DATOS_[Check Periodo Ref.],"Dentro",DATOS_[Check Nº SC Norm],"Sí")</f>
        <v>0</v>
      </c>
      <c r="F82" s="204">
        <f>COUNTIFS(DATOS_[AGRUP. VALOR. PTO.],$B81,DATOS_[Sexo],$B82,DATOS_[Check Periodo Ref.],"Dentro",DATOS_[Check Nº SC Anualiz],"Sí")</f>
        <v>0</v>
      </c>
      <c r="G82" s="204">
        <f>COUNTIFS(DATOS_[AGRUP. VALOR. PTO.],$B81,DATOS_[Sexo],$B82,DATOS_[Check Periodo Ref.],"Dentro",DATOS_[Check Nº SC Norm y Anualiz],"Sí")</f>
        <v>0</v>
      </c>
      <c r="H82" s="204">
        <f>COUNTIFS(DATOS_[AGRUP. VALOR. PTO.],$B81,DATOS_[Sexo],$B82,DATOS_[Check Periodo Ref.],"Dentro",DATOS_[Check Equiparación],"Sí")</f>
        <v>0</v>
      </c>
      <c r="I82" s="195">
        <f t="array" ref="I82">IFERROR(
MEDIAN(IF(DATOS_[Sexo]=$B82,IF(DATOS_[[AGRUP. VALOR. PTO.]:[AGRUP. VALOR. PTO.]]=$B81,IF(DATOS_[Check Equiparado]="Sí",IF(DATOS_[Check Periodo Ref.]="Dentro",DATOS_[SALARIO BASE Eq],FALSE))))),
0)</f>
        <v>0</v>
      </c>
      <c r="J82" s="196">
        <f t="array" ref="J82">IFERROR(
(MEDIAN((IF(DATOS_[[Sexo]:[Sexo]]=$B82,IF(DATOS_[[AGRUP. VALOR. PTO.]:[AGRUP. VALOR. PTO.]]=$B81,IF(DATOS_[[Check Periodo Ref.]:[Check Periodo Ref.]]="Dentro",IF(DATOS_[[Check Equiparado]:[Check Equiparado]]="Sí",IF(DATOS!AE$5="Sí",(1/DATOS_[[% anualiz]:[% anualiz]]),1)*IF(DATOS!AE$4="Sí",1/DATOS_[[% normaliz]:[% normaliz]],1)*(DATOS_[Conc.Sal.01])))))))),
0)</f>
        <v>0</v>
      </c>
      <c r="K82" s="196">
        <f t="array" ref="K82">IFERROR(
(MEDIAN((IF(DATOS_[[Sexo]:[Sexo]]=$B82,IF(DATOS_[[AGRUP. VALOR. PTO.]:[AGRUP. VALOR. PTO.]]=$B81,IF(DATOS_[[Check Periodo Ref.]:[Check Periodo Ref.]]="Dentro",IF(DATOS_[[Check Equiparado]:[Check Equiparado]]="Sí",IF(DATOS!AF$5="Sí",(1/DATOS_[[% anualiz]:[% anualiz]]),1)*IF(DATOS!AF$4="Sí",1/DATOS_[[% normaliz]:[% normaliz]],1)*(DATOS_[Conc.Sal.02])))))))),
0)</f>
        <v>0</v>
      </c>
      <c r="L82" s="196">
        <f t="array" ref="L82">IFERROR(
(MEDIAN((IF(DATOS_[[Sexo]:[Sexo]]=$B82,IF(DATOS_[[AGRUP. VALOR. PTO.]:[AGRUP. VALOR. PTO.]]=$B81,IF(DATOS_[[Check Periodo Ref.]:[Check Periodo Ref.]]="Dentro",IF(DATOS_[[Check Equiparado]:[Check Equiparado]]="Sí",IF(DATOS!AG$5="Sí",(1/DATOS_[[% anualiz]:[% anualiz]]),1)*IF(DATOS!AG$4="Sí",1/DATOS_[[% normaliz]:[% normaliz]],1)*(DATOS_[Conc.Sal.03])))))))),
0)</f>
        <v>0</v>
      </c>
      <c r="M82" s="196">
        <f t="array" ref="M82">IFERROR(
(MEDIAN((IF(DATOS_[[Sexo]:[Sexo]]=$B82,IF(DATOS_[[AGRUP. VALOR. PTO.]:[AGRUP. VALOR. PTO.]]=$B81,IF(DATOS_[[Check Periodo Ref.]:[Check Periodo Ref.]]="Dentro",IF(DATOS_[[Check Equiparado]:[Check Equiparado]]="Sí",IF(DATOS!AH$5="Sí",(1/DATOS_[[% anualiz]:[% anualiz]]),1)*IF(DATOS!AH$4="Sí",1/DATOS_[[% normaliz]:[% normaliz]],1)*(DATOS_[Conc.Sal.04])))))))),
0)</f>
        <v>0</v>
      </c>
      <c r="N82" s="196">
        <f t="array" ref="N82">IFERROR(
(MEDIAN((IF(DATOS_[[Sexo]:[Sexo]]=$B82,IF(DATOS_[[AGRUP. VALOR. PTO.]:[AGRUP. VALOR. PTO.]]=$B81,IF(DATOS_[[Check Periodo Ref.]:[Check Periodo Ref.]]="Dentro",IF(DATOS_[[Check Equiparado]:[Check Equiparado]]="Sí",IF(DATOS!AI$5="Sí",(1/DATOS_[[% anualiz]:[% anualiz]]),1)*IF(DATOS!AI$4="Sí",1/DATOS_[[% normaliz]:[% normaliz]],1)*(DATOS_[Conc.Sal.05])))))))),
0)</f>
        <v>0</v>
      </c>
      <c r="O82" s="196">
        <f t="array" ref="O82">IFERROR(
(MEDIAN((IF(DATOS_[[Sexo]:[Sexo]]=$B82,IF(DATOS_[[AGRUP. VALOR. PTO.]:[AGRUP. VALOR. PTO.]]=$B81,IF(DATOS_[[Check Periodo Ref.]:[Check Periodo Ref.]]="Dentro",IF(DATOS_[[Check Equiparado]:[Check Equiparado]]="Sí",IF(DATOS!AJ$5="Sí",(1/DATOS_[[% anualiz]:[% anualiz]]),1)*IF(DATOS!AJ$4="Sí",1/DATOS_[[% normaliz]:[% normaliz]],1)*(DATOS_[Conc.Sal.06])))))))),
0)</f>
        <v>0</v>
      </c>
      <c r="P82" s="196">
        <f t="array" ref="P82">IFERROR(
(MEDIAN((IF(DATOS_[[Sexo]:[Sexo]]=$B82,IF(DATOS_[[AGRUP. VALOR. PTO.]:[AGRUP. VALOR. PTO.]]=$B81,IF(DATOS_[[Check Periodo Ref.]:[Check Periodo Ref.]]="Dentro",IF(DATOS_[[Check Equiparado]:[Check Equiparado]]="Sí",IF(DATOS!AK$5="Sí",(1/DATOS_[[% anualiz]:[% anualiz]]),1)*IF(DATOS!AK$4="Sí",1/DATOS_[[% normaliz]:[% normaliz]],1)*(DATOS_[Conc.Sal.07])))))))),
0)</f>
        <v>0</v>
      </c>
      <c r="Q82" s="196">
        <f t="array" ref="Q82">IFERROR(
(MEDIAN((IF(DATOS_[[Sexo]:[Sexo]]=$B82,IF(DATOS_[[AGRUP. VALOR. PTO.]:[AGRUP. VALOR. PTO.]]=$B81,IF(DATOS_[[Check Periodo Ref.]:[Check Periodo Ref.]]="Dentro",IF(DATOS_[[Check Equiparado]:[Check Equiparado]]="Sí",IF(DATOS!AL$5="Sí",(1/DATOS_[[% anualiz]:[% anualiz]]),1)*IF(DATOS!AL$4="Sí",1/DATOS_[[% normaliz]:[% normaliz]],1)*(DATOS_[Conc.Sal.08])))))))),
0)</f>
        <v>0</v>
      </c>
      <c r="R82" s="196">
        <f t="array" ref="R82">IFERROR(
(MEDIAN((IF(DATOS_[[Sexo]:[Sexo]]=$B82,IF(DATOS_[[AGRUP. VALOR. PTO.]:[AGRUP. VALOR. PTO.]]=$B81,IF(DATOS_[[Check Periodo Ref.]:[Check Periodo Ref.]]="Dentro",IF(DATOS_[[Check Equiparado]:[Check Equiparado]]="Sí",IF(DATOS!AM$5="Sí",(1/DATOS_[[% anualiz]:[% anualiz]]),1)*IF(DATOS!AM$4="Sí",1/DATOS_[[% normaliz]:[% normaliz]],1)*(DATOS_[Conc.Sal.09])))))))),
0)</f>
        <v>0</v>
      </c>
      <c r="S82" s="196">
        <f t="array" ref="S82">IFERROR(
(MEDIAN((IF(DATOS_[[Sexo]:[Sexo]]=$B82,IF(DATOS_[[AGRUP. VALOR. PTO.]:[AGRUP. VALOR. PTO.]]=$B81,IF(DATOS_[[Check Periodo Ref.]:[Check Periodo Ref.]]="Dentro",IF(DATOS_[[Check Equiparado]:[Check Equiparado]]="Sí",IF(DATOS!AN$5="Sí",(1/DATOS_[[% anualiz]:[% anualiz]]),1)*IF(DATOS!AN$4="Sí",1/DATOS_[[% normaliz]:[% normaliz]],1)*(DATOS_[Conc.Sal.10])))))))),
0)</f>
        <v>0</v>
      </c>
      <c r="T82" s="196">
        <f t="array" ref="T82">IFERROR(
(MEDIAN((IF(DATOS_[[Sexo]:[Sexo]]=$B82,IF(DATOS_[[AGRUP. VALOR. PTO.]:[AGRUP. VALOR. PTO.]]=$B81,IF(DATOS_[[Check Periodo Ref.]:[Check Periodo Ref.]]="Dentro",IF(DATOS_[[Check Equiparado]:[Check Equiparado]]="Sí",IF(DATOS!AO$5="Sí",(1/DATOS_[[% anualiz]:[% anualiz]]),1)*IF(DATOS!AO$4="Sí",1/DATOS_[[% normaliz]:[% normaliz]],1)*(DATOS_[Conc.Sal.11])))))))),
0)</f>
        <v>0</v>
      </c>
      <c r="U82" s="196">
        <f t="array" ref="U82">IFERROR(
(MEDIAN((IF(DATOS_[[Sexo]:[Sexo]]=$B82,IF(DATOS_[[AGRUP. VALOR. PTO.]:[AGRUP. VALOR. PTO.]]=$B81,IF(DATOS_[[Check Periodo Ref.]:[Check Periodo Ref.]]="Dentro",IF(DATOS_[[Check Equiparado]:[Check Equiparado]]="Sí",IF(DATOS!AP$5="Sí",(1/DATOS_[[% anualiz]:[% anualiz]]),1)*IF(DATOS!AP$4="Sí",1/DATOS_[[% normaliz]:[% normaliz]],1)*(DATOS_[Conc.Sal.12])))))))),
0)</f>
        <v>0</v>
      </c>
      <c r="V82" s="196">
        <f t="array" ref="V82">IFERROR(
(MEDIAN((IF(DATOS_[[Sexo]:[Sexo]]=$B82,IF(DATOS_[[AGRUP. VALOR. PTO.]:[AGRUP. VALOR. PTO.]]=$B81,IF(DATOS_[[Check Periodo Ref.]:[Check Periodo Ref.]]="Dentro",IF(DATOS_[[Check Equiparado]:[Check Equiparado]]="Sí",IF(DATOS!AQ$5="Sí",(1/DATOS_[[% anualiz]:[% anualiz]]),1)*IF(DATOS!AQ$4="Sí",1/DATOS_[[% normaliz]:[% normaliz]],1)*(DATOS_[Conc.Sal.13])))))))),
0)</f>
        <v>0</v>
      </c>
      <c r="W82" s="196">
        <f t="array" ref="W82">IFERROR(
(MEDIAN((IF(DATOS_[[Sexo]:[Sexo]]=$B82,IF(DATOS_[[AGRUP. VALOR. PTO.]:[AGRUP. VALOR. PTO.]]=$B81,IF(DATOS_[[Check Periodo Ref.]:[Check Periodo Ref.]]="Dentro",IF(DATOS_[[Check Equiparado]:[Check Equiparado]]="Sí",IF(DATOS!AR$5="Sí",(1/DATOS_[[% anualiz]:[% anualiz]]),1)*IF(DATOS!AR$4="Sí",1/DATOS_[[% normaliz]:[% normaliz]],1)*(DATOS_[Conc.Sal.14])))))))),
0)</f>
        <v>0</v>
      </c>
      <c r="X82" s="196">
        <f t="array" ref="X82">IFERROR(
(MEDIAN((IF(DATOS_[[Sexo]:[Sexo]]=$B82,IF(DATOS_[[AGRUP. VALOR. PTO.]:[AGRUP. VALOR. PTO.]]=$B81,IF(DATOS_[[Check Periodo Ref.]:[Check Periodo Ref.]]="Dentro",IF(DATOS_[[Check Equiparado]:[Check Equiparado]]="Sí",IF(DATOS!AS$5="Sí",(1/DATOS_[[% anualiz]:[% anualiz]]),1)*IF(DATOS!AS$4="Sí",1/DATOS_[[% normaliz]:[% normaliz]],1)*(DATOS_[Conc.Sal.15])))))))),
0)</f>
        <v>0</v>
      </c>
      <c r="Y82" s="196">
        <f t="array" ref="Y82">IFERROR(
(MEDIAN((IF(DATOS_[[Sexo]:[Sexo]]=$B82,IF(DATOS_[[AGRUP. VALOR. PTO.]:[AGRUP. VALOR. PTO.]]=$B81,IF(DATOS_[[Check Periodo Ref.]:[Check Periodo Ref.]]="Dentro",IF(DATOS_[[Check Equiparado]:[Check Equiparado]]="Sí",IF(DATOS!AT$5="Sí",(1/DATOS_[[% anualiz]:[% anualiz]]),1)*IF(DATOS!AT$4="Sí",1/DATOS_[[% normaliz]:[% normaliz]],1)*(DATOS_[Conc.Sal.16])))))))),
0)</f>
        <v>0</v>
      </c>
      <c r="Z82" s="196">
        <f t="array" ref="Z82">IFERROR(
(MEDIAN((IF(DATOS_[[Sexo]:[Sexo]]=$B82,IF(DATOS_[[AGRUP. VALOR. PTO.]:[AGRUP. VALOR. PTO.]]=$B81,IF(DATOS_[[Check Periodo Ref.]:[Check Periodo Ref.]]="Dentro",IF(DATOS_[[Check Equiparado]:[Check Equiparado]]="Sí",IF(DATOS!AU$5="Sí",(1/DATOS_[[% anualiz]:[% anualiz]]),1)*IF(DATOS!AU$4="Sí",1/DATOS_[[% normaliz]:[% normaliz]],1)*(DATOS_[Conc.Sal.17])))))))),
0)</f>
        <v>0</v>
      </c>
      <c r="AA82" s="196">
        <f t="array" ref="AA82">IFERROR(
(MEDIAN((IF(DATOS_[[Sexo]:[Sexo]]=$B82,IF(DATOS_[[AGRUP. VALOR. PTO.]:[AGRUP. VALOR. PTO.]]=$B81,IF(DATOS_[[Check Periodo Ref.]:[Check Periodo Ref.]]="Dentro",IF(DATOS_[[Check Equiparado]:[Check Equiparado]]="Sí",IF(DATOS!AV$5="Sí",(1/DATOS_[[% anualiz]:[% anualiz]]),1)*IF(DATOS!AV$4="Sí",1/DATOS_[[% normaliz]:[% normaliz]],1)*(DATOS_[Conc.Sal.18])))))))),
0)</f>
        <v>0</v>
      </c>
      <c r="AB82" s="196">
        <f t="array" ref="AB82">IFERROR(
(MEDIAN((IF(DATOS_[[Sexo]:[Sexo]]=$B82,IF(DATOS_[[AGRUP. VALOR. PTO.]:[AGRUP. VALOR. PTO.]]=$B81,IF(DATOS_[[Check Periodo Ref.]:[Check Periodo Ref.]]="Dentro",IF(DATOS_[[Check Equiparado]:[Check Equiparado]]="Sí",IF(DATOS!AW$5="Sí",(1/DATOS_[[% anualiz]:[% anualiz]]),1)*IF(DATOS!AW$4="Sí",1/DATOS_[[% normaliz]:[% normaliz]],1)*(DATOS_[Conc.Sal.19])))))))),
0)</f>
        <v>0</v>
      </c>
      <c r="AC82" s="196">
        <f t="array" ref="AC82">IFERROR(
(MEDIAN((IF(DATOS_[[Sexo]:[Sexo]]=$B82,IF(DATOS_[[AGRUP. VALOR. PTO.]:[AGRUP. VALOR. PTO.]]=$B81,IF(DATOS_[[Check Periodo Ref.]:[Check Periodo Ref.]]="Dentro",IF(DATOS_[[Check Equiparado]:[Check Equiparado]]="Sí",IF(DATOS!AX$5="Sí",(1/DATOS_[[% anualiz]:[% anualiz]]),1)*IF(DATOS!AX$4="Sí",1/DATOS_[[% normaliz]:[% normaliz]],1)*(DATOS_[Conc.Sal.20])))))))),
0)</f>
        <v>0</v>
      </c>
      <c r="AD82" s="196">
        <f t="array" ref="AD82">IFERROR(
(MEDIAN((IF(DATOS_[[Sexo]:[Sexo]]=$B82,IF(DATOS_[[AGRUP. VALOR. PTO.]:[AGRUP. VALOR. PTO.]]=$B81,IF(DATOS_[[Check Periodo Ref.]:[Check Periodo Ref.]]="Dentro",IF(DATOS_[[Check Equiparado]:[Check Equiparado]]="Sí",IF(DATOS!AY$5="Sí",(1/DATOS_[[% anualiz]:[% anualiz]]),1)*IF(DATOS!AY$4="Sí",1/DATOS_[[% normaliz]:[% normaliz]],1)*(DATOS_[Conc.Sal.21])))))))),
0)</f>
        <v>0</v>
      </c>
      <c r="AE82" s="196">
        <f t="array" ref="AE82">IFERROR(
(MEDIAN((IF(DATOS_[[Sexo]:[Sexo]]=$B82,IF(DATOS_[[AGRUP. VALOR. PTO.]:[AGRUP. VALOR. PTO.]]=$B81,IF(DATOS_[[Check Periodo Ref.]:[Check Periodo Ref.]]="Dentro",IF(DATOS_[[Check Equiparado]:[Check Equiparado]]="Sí",IF(DATOS!AZ$5="Sí",(1/DATOS_[[% anualiz]:[% anualiz]]),1)*IF(DATOS!AZ$4="Sí",1/DATOS_[[% normaliz]:[% normaliz]],1)*(DATOS_[Conc.Sal.22])))))))),
0)</f>
        <v>0</v>
      </c>
      <c r="AF82" s="196">
        <f t="array" ref="AF82">IFERROR(
(MEDIAN((IF(DATOS_[[Sexo]:[Sexo]]=$B82,IF(DATOS_[[AGRUP. VALOR. PTO.]:[AGRUP. VALOR. PTO.]]=$B81,IF(DATOS_[[Check Periodo Ref.]:[Check Periodo Ref.]]="Dentro",IF(DATOS_[[Check Equiparado]:[Check Equiparado]]="Sí",IF(DATOS!BA$5="Sí",(1/DATOS_[[% anualiz]:[% anualiz]]),1)*IF(DATOS!BA$4="Sí",1/DATOS_[[% normaliz]:[% normaliz]],1)*(DATOS_[Conc.Sal.23])))))))),
0)</f>
        <v>0</v>
      </c>
      <c r="AG82" s="196">
        <f t="array" ref="AG82">IFERROR(
(MEDIAN((IF(DATOS_[[Sexo]:[Sexo]]=$B82,IF(DATOS_[[AGRUP. VALOR. PTO.]:[AGRUP. VALOR. PTO.]]=$B81,IF(DATOS_[[Check Periodo Ref.]:[Check Periodo Ref.]]="Dentro",IF(DATOS_[[Check Equiparado]:[Check Equiparado]]="Sí",IF(DATOS!BB$5="Sí",(1/DATOS_[[% anualiz]:[% anualiz]]),1)*IF(DATOS!BB$4="Sí",1/DATOS_[[% normaliz]:[% normaliz]],1)*(DATOS_[Conc.Sal.24])))))))),
0)</f>
        <v>0</v>
      </c>
      <c r="AH82" s="196">
        <f t="array" ref="AH82">IFERROR(
(MEDIAN((IF(DATOS_[[Sexo]:[Sexo]]=$B82,IF(DATOS_[[AGRUP. VALOR. PTO.]:[AGRUP. VALOR. PTO.]]=$B81,IF(DATOS_[[Check Periodo Ref.]:[Check Periodo Ref.]]="Dentro",IF(DATOS_[[Check Equiparado]:[Check Equiparado]]="Sí",IF(DATOS!BC$5="Sí",(1/DATOS_[[% anualiz]:[% anualiz]]),1)*IF(DATOS!BC$4="Sí",1/DATOS_[[% normaliz]:[% normaliz]],1)*(DATOS_[Conc.Sal.25])))))))),
0)</f>
        <v>0</v>
      </c>
      <c r="AI82" s="196">
        <f t="array" ref="AI82">IFERROR(
(MEDIAN((IF(DATOS_[[Sexo]:[Sexo]]=$B82,IF(DATOS_[[AGRUP. VALOR. PTO.]:[AGRUP. VALOR. PTO.]]=$B81,IF(DATOS_[[Check Periodo Ref.]:[Check Periodo Ref.]]="Dentro",IF(DATOS_[[Check Equiparado]:[Check Equiparado]]="Sí",IF(DATOS!BD$5="Sí",(1/DATOS_[[% anualiz]:[% anualiz]]),1)*IF(DATOS!BD$4="Sí",1/DATOS_[[% normaliz]:[% normaliz]],1)*(DATOS_[Conc.Sal.26])))))))),
0)</f>
        <v>0</v>
      </c>
      <c r="AJ82" s="196">
        <f t="array" ref="AJ82">IFERROR(
(MEDIAN((IF(DATOS_[[Sexo]:[Sexo]]=$B82,IF(DATOS_[[AGRUP. VALOR. PTO.]:[AGRUP. VALOR. PTO.]]=$B81,IF(DATOS_[[Check Periodo Ref.]:[Check Periodo Ref.]]="Dentro",IF(DATOS_[[Check Equiparado]:[Check Equiparado]]="Sí",IF(DATOS!BE$5="Sí",(1/DATOS_[[% anualiz]:[% anualiz]]),1)*IF(DATOS!BE$4="Sí",1/DATOS_[[% normaliz]:[% normaliz]],1)*(DATOS_[Conc.Sal.27])))))))),
0)</f>
        <v>0</v>
      </c>
      <c r="AK82" s="196">
        <f t="array" ref="AK82">IFERROR(
(MEDIAN((IF(DATOS_[[Sexo]:[Sexo]]=$B82,IF(DATOS_[[AGRUP. VALOR. PTO.]:[AGRUP. VALOR. PTO.]]=$B81,IF(DATOS_[[Check Periodo Ref.]:[Check Periodo Ref.]]="Dentro",IF(DATOS_[[Check Equiparado]:[Check Equiparado]]="Sí",IF(DATOS!BF$5="Sí",(1/DATOS_[[% anualiz]:[% anualiz]]),1)*IF(DATOS!BF$4="Sí",1/DATOS_[[% normaliz]:[% normaliz]],1)*(DATOS_[Conc.Sal.28])))))))),
0)</f>
        <v>0</v>
      </c>
      <c r="AL82" s="196">
        <f t="array" ref="AL82">IFERROR(
(MEDIAN((IF(DATOS_[[Sexo]:[Sexo]]=$B82,IF(DATOS_[[AGRUP. VALOR. PTO.]:[AGRUP. VALOR. PTO.]]=$B81,IF(DATOS_[[Check Periodo Ref.]:[Check Periodo Ref.]]="Dentro",IF(DATOS_[[Check Equiparado]:[Check Equiparado]]="Sí",IF(DATOS!BG$5="Sí",(1/DATOS_[[% anualiz]:[% anualiz]]),1)*IF(DATOS!BG$4="Sí",1/DATOS_[[% normaliz]:[% normaliz]],1)*(DATOS_[Conc.Sal.29])))))))),
0)</f>
        <v>0</v>
      </c>
      <c r="AM82" s="196">
        <f t="array" ref="AM82">IFERROR(
(MEDIAN((IF(DATOS_[[Sexo]:[Sexo]]=$B82,IF(DATOS_[[AGRUP. VALOR. PTO.]:[AGRUP. VALOR. PTO.]]=$B81,IF(DATOS_[[Check Periodo Ref.]:[Check Periodo Ref.]]="Dentro",IF(DATOS_[[Check Equiparado]:[Check Equiparado]]="Sí",IF(DATOS!BH$5="Sí",(1/DATOS_[[% anualiz]:[% anualiz]]),1)*IF(DATOS!BH$4="Sí",1/DATOS_[[% normaliz]:[% normaliz]],1)*(DATOS_[Conc.Sal.30])))))))),
0)</f>
        <v>0</v>
      </c>
      <c r="AN82" s="195">
        <f t="array" ref="AN82">IFERROR(
MEDIAN(IF(DATOS_[Sexo]=$B82,IF(DATOS_[[AGRUP. VALOR. PTO.]:[AGRUP. VALOR. PTO.]]=$B81,IF(DATOS_[Check Equiparado]="Sí",IF(DATOS_[Check Periodo Ref.]="Dentro",DATOS_[Tot COMPL.SAL Eq],FALSE))))),
0)</f>
        <v>0</v>
      </c>
      <c r="AO82" s="172">
        <f t="array" ref="AO82">IFERROR(
MEDIAN(IF(DATOS_[Sexo]=$B82,IF(DATOS_[[AGRUP. VALOR. PTO.]:[AGRUP. VALOR. PTO.]]=$B81,IF(DATOS_[Check Equiparado]="Sí",IF(DATOS_[Check Periodo Ref.]="Dentro",DATOS_[TOTAL SALARIO Eq],FALSE))))),
0)</f>
        <v>0</v>
      </c>
      <c r="AP82" s="173">
        <f t="array" ref="AP82">IFERROR(
(MEDIAN((IF(DATOS_[[Sexo]:[Sexo]]=$B82,IF(DATOS_[[AGRUP. VALOR. PTO.]:[AGRUP. VALOR. PTO.]]=$B81,IF(DATOS_[[Check Periodo Ref.]:[Check Periodo Ref.]]="Dentro",IF(DATOS_[[Check Equiparado]:[Check Equiparado]]="Sí",IF(DATOS!BW$5="Sí",(1/DATOS_[[% anualiz]:[% anualiz]]),1)*IF(DATOS!BW$4="Sí",1/DATOS_[[% normaliz]:[% normaliz]],1)*(DATOS_[C.Extra.01])))))))),
0)</f>
        <v>0</v>
      </c>
      <c r="AQ82" s="173">
        <f t="array" ref="AQ82">IFERROR(
(MEDIAN((IF(DATOS_[[Sexo]:[Sexo]]=$B82,IF(DATOS_[[AGRUP. VALOR. PTO.]:[AGRUP. VALOR. PTO.]]=$B81,IF(DATOS_[[Check Periodo Ref.]:[Check Periodo Ref.]]="Dentro",IF(DATOS_[[Check Equiparado]:[Check Equiparado]]="Sí",IF(DATOS!CB$5="Sí",(1/DATOS_[[% anualiz]:[% anualiz]]),1)*IF(DATOS!CB$4="Sí",1/DATOS_[[% normaliz]:[% normaliz]],1)*(DATOS_[C.Extra.06])))))))),
0)</f>
        <v>0</v>
      </c>
      <c r="AR82" s="173">
        <f t="array" ref="AR82">IFERROR(
(MEDIAN((IF(DATOS_[[Sexo]:[Sexo]]=$B82,IF(DATOS_[[AGRUP. VALOR. PTO.]:[AGRUP. VALOR. PTO.]]=$B81,IF(DATOS_[[Check Periodo Ref.]:[Check Periodo Ref.]]="Dentro",IF(DATOS_[[Check Equiparado]:[Check Equiparado]]="Sí",IF(DATOS!CC$5="Sí",(1/DATOS_[[% anualiz]:[% anualiz]]),1)*IF(DATOS!CC$4="Sí",1/DATOS_[[% normaliz]:[% normaliz]],1)*(DATOS_[C.Extra.07])))))))),
0)</f>
        <v>0</v>
      </c>
      <c r="AS82" s="173">
        <f t="array" ref="AS82">IFERROR(
(MEDIAN((IF(DATOS_[[Sexo]:[Sexo]]=$B82,IF(DATOS_[[AGRUP. VALOR. PTO.]:[AGRUP. VALOR. PTO.]]=$B81,IF(DATOS_[[Check Periodo Ref.]:[Check Periodo Ref.]]="Dentro",IF(DATOS_[[Check Equiparado]:[Check Equiparado]]="Sí",IF(DATOS!CD$5="Sí",(1/DATOS_[[% anualiz]:[% anualiz]]),1)*IF(DATOS!CD$4="Sí",1/DATOS_[[% normaliz]:[% normaliz]],1)*(DATOS_[C.Extra.08])))))))),
0)</f>
        <v>0</v>
      </c>
      <c r="AT82" s="173">
        <f t="array" ref="AT82">IFERROR(
(MEDIAN((IF(DATOS_[[Sexo]:[Sexo]]=$B82,IF(DATOS_[[AGRUP. VALOR. PTO.]:[AGRUP. VALOR. PTO.]]=$B81,IF(DATOS_[[Check Periodo Ref.]:[Check Periodo Ref.]]="Dentro",IF(DATOS_[[Check Equiparado]:[Check Equiparado]]="Sí",IF(DATOS!CG$5="Sí",(1/DATOS_[[% anualiz]:[% anualiz]]),1)*IF(DATOS!CG$4="Sí",1/DATOS_[[% normaliz]:[% normaliz]],1)*(DATOS_[C.Extra.11])))))))),
0)</f>
        <v>0</v>
      </c>
      <c r="AU82" s="197">
        <f t="array" ref="AU82">IFERROR(
MEDIAN(IF(DATOS_[Sexo]=$B82,IF(DATOS_[[AGRUP. VALOR. PTO.]:[AGRUP. VALOR. PTO.]]=$B81,IF(DATOS_[Check Equiparado]="Sí",IF(DATOS_[Check Periodo Ref.]="Dentro",DATOS_[Tot Extrasalarial Eq],FALSE))))),
0)</f>
        <v>0</v>
      </c>
      <c r="AV82" s="175">
        <f t="array" ref="AV82">IFERROR(
MEDIAN(IF(DATOS_[Sexo]=$B82,IF(DATOS_[[AGRUP. VALOR. PTO.]:[AGRUP. VALOR. PTO.]]=$B81,IF(DATOS_[Check Equiparado]="Sí",IF(DATOS_[Check Periodo Ref.]="Dentro",DATOS_[TOTAL Retrib Eq],FALSE))))),
0)</f>
        <v>0</v>
      </c>
    </row>
    <row r="83" spans="1:48" x14ac:dyDescent="0.25">
      <c r="A83" s="133" t="str">
        <f t="shared" ref="A83" si="94">+A82</f>
        <v>[ocultar]</v>
      </c>
      <c r="B83" s="202" t="s">
        <v>521</v>
      </c>
      <c r="C83" s="203">
        <f t="array" ref="C83">SUM(IF($B83=DATOS_[Sexo],
IF($B81=DATOS_[AGRUP. VALOR. PTO.],
IF("Dentro"=DATOS_[Check Periodo Ref.],
1/(COUNTIFS(DATOS_[Sexo],$B83,DATOS_[AGRUP. VALOR. PTO.],$B81,DATOS_[Check Periodo Ref.],"Dentro",DATOS_[id/cod],DATOS_[id/cod]))))))</f>
        <v>0</v>
      </c>
      <c r="D83" s="204">
        <f>COUNTIFS(DATOS_[AGRUP. VALOR. PTO.],$B81,DATOS_[Sexo],$B83,DATOS_[Check Periodo Ref.],"Dentro")</f>
        <v>0</v>
      </c>
      <c r="E83" s="204">
        <f>COUNTIFS(DATOS_[AGRUP. VALOR. PTO.],$B81,DATOS_[Sexo],$B83,DATOS_[Check Periodo Ref.],"Dentro",DATOS_[Check Nº SC Norm],"Sí")</f>
        <v>0</v>
      </c>
      <c r="F83" s="204">
        <f>COUNTIFS(DATOS_[AGRUP. VALOR. PTO.],$B81,DATOS_[Sexo],$B83,DATOS_[Check Periodo Ref.],"Dentro",DATOS_[Check Nº SC Anualiz],"Sí")</f>
        <v>0</v>
      </c>
      <c r="G83" s="204">
        <f>COUNTIFS(DATOS_[AGRUP. VALOR. PTO.],$B81,DATOS_[Sexo],$B83,DATOS_[Check Periodo Ref.],"Dentro",DATOS_[Check Nº SC Norm y Anualiz],"Sí")</f>
        <v>0</v>
      </c>
      <c r="H83" s="204">
        <f>COUNTIFS(DATOS_[AGRUP. VALOR. PTO.],$B81,DATOS_[Sexo],$B83,DATOS_[Check Periodo Ref.],"Dentro",DATOS_[Check Equiparación],"Sí")</f>
        <v>0</v>
      </c>
      <c r="I83" s="195" cm="1">
        <f t="array" ref="I83">IFERROR(
MEDIAN(IF(DATOS_[Sexo]=$B83,IF(DATOS_[[AGRUP. VALOR. PTO.]:[AGRUP. VALOR. PTO.]]=$B81,IF(DATOS_[Check Equiparado]="Sí",IF(DATOS_[Check Periodo Ref.]="Dentro",DATOS_[SALARIO BASE Eq],FALSE))))),
0)</f>
        <v>0</v>
      </c>
      <c r="J83" s="196">
        <f t="array" ref="J83">IFERROR(
(MEDIAN((IF(DATOS_[[Sexo]:[Sexo]]=$B83,IF(DATOS_[[AGRUP. VALOR. PTO.]:[AGRUP. VALOR. PTO.]]=$B81,IF(DATOS_[[Check Periodo Ref.]:[Check Periodo Ref.]]="Dentro",IF(DATOS_[[Check Equiparado]:[Check Equiparado]]="Sí",IF(DATOS!AE$5="Sí",(1/DATOS_[[% anualiz]:[% anualiz]]),1)*IF(DATOS!AE$4="Sí",1/DATOS_[[% normaliz]:[% normaliz]],1)*(DATOS_[Conc.Sal.01])))))))),
0)</f>
        <v>0</v>
      </c>
      <c r="K83" s="196">
        <f t="array" ref="K83">IFERROR(
(MEDIAN((IF(DATOS_[[Sexo]:[Sexo]]=$B83,IF(DATOS_[[AGRUP. VALOR. PTO.]:[AGRUP. VALOR. PTO.]]=$B81,IF(DATOS_[[Check Periodo Ref.]:[Check Periodo Ref.]]="Dentro",IF(DATOS_[[Check Equiparado]:[Check Equiparado]]="Sí",IF(DATOS!AF$5="Sí",(1/DATOS_[[% anualiz]:[% anualiz]]),1)*IF(DATOS!AF$4="Sí",1/DATOS_[[% normaliz]:[% normaliz]],1)*(DATOS_[Conc.Sal.02])))))))),
0)</f>
        <v>0</v>
      </c>
      <c r="L83" s="196">
        <f t="array" ref="L83">IFERROR(
(MEDIAN((IF(DATOS_[[Sexo]:[Sexo]]=$B83,IF(DATOS_[[AGRUP. VALOR. PTO.]:[AGRUP. VALOR. PTO.]]=$B81,IF(DATOS_[[Check Periodo Ref.]:[Check Periodo Ref.]]="Dentro",IF(DATOS_[[Check Equiparado]:[Check Equiparado]]="Sí",IF(DATOS!AG$5="Sí",(1/DATOS_[[% anualiz]:[% anualiz]]),1)*IF(DATOS!AG$4="Sí",1/DATOS_[[% normaliz]:[% normaliz]],1)*(DATOS_[Conc.Sal.03])))))))),
0)</f>
        <v>0</v>
      </c>
      <c r="M83" s="196">
        <f t="array" ref="M83">IFERROR(
(MEDIAN((IF(DATOS_[[Sexo]:[Sexo]]=$B83,IF(DATOS_[[AGRUP. VALOR. PTO.]:[AGRUP. VALOR. PTO.]]=$B81,IF(DATOS_[[Check Periodo Ref.]:[Check Periodo Ref.]]="Dentro",IF(DATOS_[[Check Equiparado]:[Check Equiparado]]="Sí",IF(DATOS!AH$5="Sí",(1/DATOS_[[% anualiz]:[% anualiz]]),1)*IF(DATOS!AH$4="Sí",1/DATOS_[[% normaliz]:[% normaliz]],1)*(DATOS_[Conc.Sal.04])))))))),
0)</f>
        <v>0</v>
      </c>
      <c r="N83" s="196">
        <f t="array" ref="N83">IFERROR(
(MEDIAN((IF(DATOS_[[Sexo]:[Sexo]]=$B83,IF(DATOS_[[AGRUP. VALOR. PTO.]:[AGRUP. VALOR. PTO.]]=$B81,IF(DATOS_[[Check Periodo Ref.]:[Check Periodo Ref.]]="Dentro",IF(DATOS_[[Check Equiparado]:[Check Equiparado]]="Sí",IF(DATOS!AI$5="Sí",(1/DATOS_[[% anualiz]:[% anualiz]]),1)*IF(DATOS!AI$4="Sí",1/DATOS_[[% normaliz]:[% normaliz]],1)*(DATOS_[Conc.Sal.05])))))))),
0)</f>
        <v>0</v>
      </c>
      <c r="O83" s="196">
        <f t="array" ref="O83">IFERROR(
(MEDIAN((IF(DATOS_[[Sexo]:[Sexo]]=$B83,IF(DATOS_[[AGRUP. VALOR. PTO.]:[AGRUP. VALOR. PTO.]]=$B81,IF(DATOS_[[Check Periodo Ref.]:[Check Periodo Ref.]]="Dentro",IF(DATOS_[[Check Equiparado]:[Check Equiparado]]="Sí",IF(DATOS!AJ$5="Sí",(1/DATOS_[[% anualiz]:[% anualiz]]),1)*IF(DATOS!AJ$4="Sí",1/DATOS_[[% normaliz]:[% normaliz]],1)*(DATOS_[Conc.Sal.06])))))))),
0)</f>
        <v>0</v>
      </c>
      <c r="P83" s="196">
        <f t="array" ref="P83">IFERROR(
(MEDIAN((IF(DATOS_[[Sexo]:[Sexo]]=$B83,IF(DATOS_[[AGRUP. VALOR. PTO.]:[AGRUP. VALOR. PTO.]]=$B81,IF(DATOS_[[Check Periodo Ref.]:[Check Periodo Ref.]]="Dentro",IF(DATOS_[[Check Equiparado]:[Check Equiparado]]="Sí",IF(DATOS!AK$5="Sí",(1/DATOS_[[% anualiz]:[% anualiz]]),1)*IF(DATOS!AK$4="Sí",1/DATOS_[[% normaliz]:[% normaliz]],1)*(DATOS_[Conc.Sal.07])))))))),
0)</f>
        <v>0</v>
      </c>
      <c r="Q83" s="196">
        <f t="array" ref="Q83">IFERROR(
(MEDIAN((IF(DATOS_[[Sexo]:[Sexo]]=$B83,IF(DATOS_[[AGRUP. VALOR. PTO.]:[AGRUP. VALOR. PTO.]]=$B81,IF(DATOS_[[Check Periodo Ref.]:[Check Periodo Ref.]]="Dentro",IF(DATOS_[[Check Equiparado]:[Check Equiparado]]="Sí",IF(DATOS!AL$5="Sí",(1/DATOS_[[% anualiz]:[% anualiz]]),1)*IF(DATOS!AL$4="Sí",1/DATOS_[[% normaliz]:[% normaliz]],1)*(DATOS_[Conc.Sal.08])))))))),
0)</f>
        <v>0</v>
      </c>
      <c r="R83" s="196">
        <f t="array" ref="R83">IFERROR(
(MEDIAN((IF(DATOS_[[Sexo]:[Sexo]]=$B83,IF(DATOS_[[AGRUP. VALOR. PTO.]:[AGRUP. VALOR. PTO.]]=$B81,IF(DATOS_[[Check Periodo Ref.]:[Check Periodo Ref.]]="Dentro",IF(DATOS_[[Check Equiparado]:[Check Equiparado]]="Sí",IF(DATOS!AM$5="Sí",(1/DATOS_[[% anualiz]:[% anualiz]]),1)*IF(DATOS!AM$4="Sí",1/DATOS_[[% normaliz]:[% normaliz]],1)*(DATOS_[Conc.Sal.09])))))))),
0)</f>
        <v>0</v>
      </c>
      <c r="S83" s="196">
        <f t="array" ref="S83">IFERROR(
(MEDIAN((IF(DATOS_[[Sexo]:[Sexo]]=$B83,IF(DATOS_[[AGRUP. VALOR. PTO.]:[AGRUP. VALOR. PTO.]]=$B81,IF(DATOS_[[Check Periodo Ref.]:[Check Periodo Ref.]]="Dentro",IF(DATOS_[[Check Equiparado]:[Check Equiparado]]="Sí",IF(DATOS!AN$5="Sí",(1/DATOS_[[% anualiz]:[% anualiz]]),1)*IF(DATOS!AN$4="Sí",1/DATOS_[[% normaliz]:[% normaliz]],1)*(DATOS_[Conc.Sal.10])))))))),
0)</f>
        <v>0</v>
      </c>
      <c r="T83" s="196">
        <f t="array" ref="T83">IFERROR(
(MEDIAN((IF(DATOS_[[Sexo]:[Sexo]]=$B83,IF(DATOS_[[AGRUP. VALOR. PTO.]:[AGRUP. VALOR. PTO.]]=$B81,IF(DATOS_[[Check Periodo Ref.]:[Check Periodo Ref.]]="Dentro",IF(DATOS_[[Check Equiparado]:[Check Equiparado]]="Sí",IF(DATOS!AO$5="Sí",(1/DATOS_[[% anualiz]:[% anualiz]]),1)*IF(DATOS!AO$4="Sí",1/DATOS_[[% normaliz]:[% normaliz]],1)*(DATOS_[Conc.Sal.11])))))))),
0)</f>
        <v>0</v>
      </c>
      <c r="U83" s="196">
        <f t="array" ref="U83">IFERROR(
(MEDIAN((IF(DATOS_[[Sexo]:[Sexo]]=$B83,IF(DATOS_[[AGRUP. VALOR. PTO.]:[AGRUP. VALOR. PTO.]]=$B81,IF(DATOS_[[Check Periodo Ref.]:[Check Periodo Ref.]]="Dentro",IF(DATOS_[[Check Equiparado]:[Check Equiparado]]="Sí",IF(DATOS!AP$5="Sí",(1/DATOS_[[% anualiz]:[% anualiz]]),1)*IF(DATOS!AP$4="Sí",1/DATOS_[[% normaliz]:[% normaliz]],1)*(DATOS_[Conc.Sal.12])))))))),
0)</f>
        <v>0</v>
      </c>
      <c r="V83" s="196">
        <f t="array" ref="V83">IFERROR(
(MEDIAN((IF(DATOS_[[Sexo]:[Sexo]]=$B83,IF(DATOS_[[AGRUP. VALOR. PTO.]:[AGRUP. VALOR. PTO.]]=$B81,IF(DATOS_[[Check Periodo Ref.]:[Check Periodo Ref.]]="Dentro",IF(DATOS_[[Check Equiparado]:[Check Equiparado]]="Sí",IF(DATOS!AQ$5="Sí",(1/DATOS_[[% anualiz]:[% anualiz]]),1)*IF(DATOS!AQ$4="Sí",1/DATOS_[[% normaliz]:[% normaliz]],1)*(DATOS_[Conc.Sal.13])))))))),
0)</f>
        <v>0</v>
      </c>
      <c r="W83" s="196">
        <f t="array" ref="W83">IFERROR(
(MEDIAN((IF(DATOS_[[Sexo]:[Sexo]]=$B83,IF(DATOS_[[AGRUP. VALOR. PTO.]:[AGRUP. VALOR. PTO.]]=$B81,IF(DATOS_[[Check Periodo Ref.]:[Check Periodo Ref.]]="Dentro",IF(DATOS_[[Check Equiparado]:[Check Equiparado]]="Sí",IF(DATOS!AR$5="Sí",(1/DATOS_[[% anualiz]:[% anualiz]]),1)*IF(DATOS!AR$4="Sí",1/DATOS_[[% normaliz]:[% normaliz]],1)*(DATOS_[Conc.Sal.14])))))))),
0)</f>
        <v>0</v>
      </c>
      <c r="X83" s="196">
        <f t="array" ref="X83">IFERROR(
(MEDIAN((IF(DATOS_[[Sexo]:[Sexo]]=$B83,IF(DATOS_[[AGRUP. VALOR. PTO.]:[AGRUP. VALOR. PTO.]]=$B81,IF(DATOS_[[Check Periodo Ref.]:[Check Periodo Ref.]]="Dentro",IF(DATOS_[[Check Equiparado]:[Check Equiparado]]="Sí",IF(DATOS!AS$5="Sí",(1/DATOS_[[% anualiz]:[% anualiz]]),1)*IF(DATOS!AS$4="Sí",1/DATOS_[[% normaliz]:[% normaliz]],1)*(DATOS_[Conc.Sal.15])))))))),
0)</f>
        <v>0</v>
      </c>
      <c r="Y83" s="196">
        <f t="array" ref="Y83">IFERROR(
(MEDIAN((IF(DATOS_[[Sexo]:[Sexo]]=$B83,IF(DATOS_[[AGRUP. VALOR. PTO.]:[AGRUP. VALOR. PTO.]]=$B81,IF(DATOS_[[Check Periodo Ref.]:[Check Periodo Ref.]]="Dentro",IF(DATOS_[[Check Equiparado]:[Check Equiparado]]="Sí",IF(DATOS!AT$5="Sí",(1/DATOS_[[% anualiz]:[% anualiz]]),1)*IF(DATOS!AT$4="Sí",1/DATOS_[[% normaliz]:[% normaliz]],1)*(DATOS_[Conc.Sal.16])))))))),
0)</f>
        <v>0</v>
      </c>
      <c r="Z83" s="196">
        <f t="array" ref="Z83">IFERROR(
(MEDIAN((IF(DATOS_[[Sexo]:[Sexo]]=$B83,IF(DATOS_[[AGRUP. VALOR. PTO.]:[AGRUP. VALOR. PTO.]]=$B81,IF(DATOS_[[Check Periodo Ref.]:[Check Periodo Ref.]]="Dentro",IF(DATOS_[[Check Equiparado]:[Check Equiparado]]="Sí",IF(DATOS!AU$5="Sí",(1/DATOS_[[% anualiz]:[% anualiz]]),1)*IF(DATOS!AU$4="Sí",1/DATOS_[[% normaliz]:[% normaliz]],1)*(DATOS_[Conc.Sal.17])))))))),
0)</f>
        <v>0</v>
      </c>
      <c r="AA83" s="196">
        <f t="array" ref="AA83">IFERROR(
(MEDIAN((IF(DATOS_[[Sexo]:[Sexo]]=$B83,IF(DATOS_[[AGRUP. VALOR. PTO.]:[AGRUP. VALOR. PTO.]]=$B81,IF(DATOS_[[Check Periodo Ref.]:[Check Periodo Ref.]]="Dentro",IF(DATOS_[[Check Equiparado]:[Check Equiparado]]="Sí",IF(DATOS!AV$5="Sí",(1/DATOS_[[% anualiz]:[% anualiz]]),1)*IF(DATOS!AV$4="Sí",1/DATOS_[[% normaliz]:[% normaliz]],1)*(DATOS_[Conc.Sal.18])))))))),
0)</f>
        <v>0</v>
      </c>
      <c r="AB83" s="196">
        <f t="array" ref="AB83">IFERROR(
(MEDIAN((IF(DATOS_[[Sexo]:[Sexo]]=$B83,IF(DATOS_[[AGRUP. VALOR. PTO.]:[AGRUP. VALOR. PTO.]]=$B81,IF(DATOS_[[Check Periodo Ref.]:[Check Periodo Ref.]]="Dentro",IF(DATOS_[[Check Equiparado]:[Check Equiparado]]="Sí",IF(DATOS!AW$5="Sí",(1/DATOS_[[% anualiz]:[% anualiz]]),1)*IF(DATOS!AW$4="Sí",1/DATOS_[[% normaliz]:[% normaliz]],1)*(DATOS_[Conc.Sal.19])))))))),
0)</f>
        <v>0</v>
      </c>
      <c r="AC83" s="196">
        <f t="array" ref="AC83">IFERROR(
(MEDIAN((IF(DATOS_[[Sexo]:[Sexo]]=$B83,IF(DATOS_[[AGRUP. VALOR. PTO.]:[AGRUP. VALOR. PTO.]]=$B81,IF(DATOS_[[Check Periodo Ref.]:[Check Periodo Ref.]]="Dentro",IF(DATOS_[[Check Equiparado]:[Check Equiparado]]="Sí",IF(DATOS!AX$5="Sí",(1/DATOS_[[% anualiz]:[% anualiz]]),1)*IF(DATOS!AX$4="Sí",1/DATOS_[[% normaliz]:[% normaliz]],1)*(DATOS_[Conc.Sal.20])))))))),
0)</f>
        <v>0</v>
      </c>
      <c r="AD83" s="196">
        <f t="array" ref="AD83">IFERROR(
(MEDIAN((IF(DATOS_[[Sexo]:[Sexo]]=$B83,IF(DATOS_[[AGRUP. VALOR. PTO.]:[AGRUP. VALOR. PTO.]]=$B81,IF(DATOS_[[Check Periodo Ref.]:[Check Periodo Ref.]]="Dentro",IF(DATOS_[[Check Equiparado]:[Check Equiparado]]="Sí",IF(DATOS!AY$5="Sí",(1/DATOS_[[% anualiz]:[% anualiz]]),1)*IF(DATOS!AY$4="Sí",1/DATOS_[[% normaliz]:[% normaliz]],1)*(DATOS_[Conc.Sal.21])))))))),
0)</f>
        <v>0</v>
      </c>
      <c r="AE83" s="196">
        <f t="array" ref="AE83">IFERROR(
(MEDIAN((IF(DATOS_[[Sexo]:[Sexo]]=$B83,IF(DATOS_[[AGRUP. VALOR. PTO.]:[AGRUP. VALOR. PTO.]]=$B81,IF(DATOS_[[Check Periodo Ref.]:[Check Periodo Ref.]]="Dentro",IF(DATOS_[[Check Equiparado]:[Check Equiparado]]="Sí",IF(DATOS!AZ$5="Sí",(1/DATOS_[[% anualiz]:[% anualiz]]),1)*IF(DATOS!AZ$4="Sí",1/DATOS_[[% normaliz]:[% normaliz]],1)*(DATOS_[Conc.Sal.22])))))))),
0)</f>
        <v>0</v>
      </c>
      <c r="AF83" s="196">
        <f t="array" ref="AF83">IFERROR(
(MEDIAN((IF(DATOS_[[Sexo]:[Sexo]]=$B83,IF(DATOS_[[AGRUP. VALOR. PTO.]:[AGRUP. VALOR. PTO.]]=$B81,IF(DATOS_[[Check Periodo Ref.]:[Check Periodo Ref.]]="Dentro",IF(DATOS_[[Check Equiparado]:[Check Equiparado]]="Sí",IF(DATOS!BA$5="Sí",(1/DATOS_[[% anualiz]:[% anualiz]]),1)*IF(DATOS!BA$4="Sí",1/DATOS_[[% normaliz]:[% normaliz]],1)*(DATOS_[Conc.Sal.23])))))))),
0)</f>
        <v>0</v>
      </c>
      <c r="AG83" s="196">
        <f t="array" ref="AG83">IFERROR(
(MEDIAN((IF(DATOS_[[Sexo]:[Sexo]]=$B83,IF(DATOS_[[AGRUP. VALOR. PTO.]:[AGRUP. VALOR. PTO.]]=$B81,IF(DATOS_[[Check Periodo Ref.]:[Check Periodo Ref.]]="Dentro",IF(DATOS_[[Check Equiparado]:[Check Equiparado]]="Sí",IF(DATOS!BB$5="Sí",(1/DATOS_[[% anualiz]:[% anualiz]]),1)*IF(DATOS!BB$4="Sí",1/DATOS_[[% normaliz]:[% normaliz]],1)*(DATOS_[Conc.Sal.24])))))))),
0)</f>
        <v>0</v>
      </c>
      <c r="AH83" s="196">
        <f t="array" ref="AH83">IFERROR(
(MEDIAN((IF(DATOS_[[Sexo]:[Sexo]]=$B83,IF(DATOS_[[AGRUP. VALOR. PTO.]:[AGRUP. VALOR. PTO.]]=$B81,IF(DATOS_[[Check Periodo Ref.]:[Check Periodo Ref.]]="Dentro",IF(DATOS_[[Check Equiparado]:[Check Equiparado]]="Sí",IF(DATOS!BC$5="Sí",(1/DATOS_[[% anualiz]:[% anualiz]]),1)*IF(DATOS!BC$4="Sí",1/DATOS_[[% normaliz]:[% normaliz]],1)*(DATOS_[Conc.Sal.25])))))))),
0)</f>
        <v>0</v>
      </c>
      <c r="AI83" s="196">
        <f t="array" ref="AI83">IFERROR(
(MEDIAN((IF(DATOS_[[Sexo]:[Sexo]]=$B83,IF(DATOS_[[AGRUP. VALOR. PTO.]:[AGRUP. VALOR. PTO.]]=$B81,IF(DATOS_[[Check Periodo Ref.]:[Check Periodo Ref.]]="Dentro",IF(DATOS_[[Check Equiparado]:[Check Equiparado]]="Sí",IF(DATOS!BD$5="Sí",(1/DATOS_[[% anualiz]:[% anualiz]]),1)*IF(DATOS!BD$4="Sí",1/DATOS_[[% normaliz]:[% normaliz]],1)*(DATOS_[Conc.Sal.26])))))))),
0)</f>
        <v>0</v>
      </c>
      <c r="AJ83" s="196">
        <f t="array" ref="AJ83">IFERROR(
(MEDIAN((IF(DATOS_[[Sexo]:[Sexo]]=$B83,IF(DATOS_[[AGRUP. VALOR. PTO.]:[AGRUP. VALOR. PTO.]]=$B81,IF(DATOS_[[Check Periodo Ref.]:[Check Periodo Ref.]]="Dentro",IF(DATOS_[[Check Equiparado]:[Check Equiparado]]="Sí",IF(DATOS!BE$5="Sí",(1/DATOS_[[% anualiz]:[% anualiz]]),1)*IF(DATOS!BE$4="Sí",1/DATOS_[[% normaliz]:[% normaliz]],1)*(DATOS_[Conc.Sal.27])))))))),
0)</f>
        <v>0</v>
      </c>
      <c r="AK83" s="196">
        <f t="array" ref="AK83">IFERROR(
(MEDIAN((IF(DATOS_[[Sexo]:[Sexo]]=$B83,IF(DATOS_[[AGRUP. VALOR. PTO.]:[AGRUP. VALOR. PTO.]]=$B81,IF(DATOS_[[Check Periodo Ref.]:[Check Periodo Ref.]]="Dentro",IF(DATOS_[[Check Equiparado]:[Check Equiparado]]="Sí",IF(DATOS!BF$5="Sí",(1/DATOS_[[% anualiz]:[% anualiz]]),1)*IF(DATOS!BF$4="Sí",1/DATOS_[[% normaliz]:[% normaliz]],1)*(DATOS_[Conc.Sal.28])))))))),
0)</f>
        <v>0</v>
      </c>
      <c r="AL83" s="196">
        <f t="array" ref="AL83">IFERROR(
(MEDIAN((IF(DATOS_[[Sexo]:[Sexo]]=$B83,IF(DATOS_[[AGRUP. VALOR. PTO.]:[AGRUP. VALOR. PTO.]]=$B81,IF(DATOS_[[Check Periodo Ref.]:[Check Periodo Ref.]]="Dentro",IF(DATOS_[[Check Equiparado]:[Check Equiparado]]="Sí",IF(DATOS!BG$5="Sí",(1/DATOS_[[% anualiz]:[% anualiz]]),1)*IF(DATOS!BG$4="Sí",1/DATOS_[[% normaliz]:[% normaliz]],1)*(DATOS_[Conc.Sal.29])))))))),
0)</f>
        <v>0</v>
      </c>
      <c r="AM83" s="196">
        <f t="array" ref="AM83">IFERROR(
(MEDIAN((IF(DATOS_[[Sexo]:[Sexo]]=$B83,IF(DATOS_[[AGRUP. VALOR. PTO.]:[AGRUP. VALOR. PTO.]]=$B81,IF(DATOS_[[Check Periodo Ref.]:[Check Periodo Ref.]]="Dentro",IF(DATOS_[[Check Equiparado]:[Check Equiparado]]="Sí",IF(DATOS!BH$5="Sí",(1/DATOS_[[% anualiz]:[% anualiz]]),1)*IF(DATOS!BH$4="Sí",1/DATOS_[[% normaliz]:[% normaliz]],1)*(DATOS_[Conc.Sal.30])))))))),
0)</f>
        <v>0</v>
      </c>
      <c r="AN83" s="195">
        <f t="array" ref="AN83">IFERROR(
MEDIAN(IF(DATOS_[Sexo]=$B83,IF(DATOS_[[AGRUP. VALOR. PTO.]:[AGRUP. VALOR. PTO.]]=$B81,IF(DATOS_[Check Equiparado]="Sí",IF(DATOS_[Check Periodo Ref.]="Dentro",DATOS_[Tot COMPL.SAL Eq],FALSE))))),
0)</f>
        <v>0</v>
      </c>
      <c r="AO83" s="172">
        <f t="array" ref="AO83">IFERROR(
MEDIAN(IF(DATOS_[Sexo]=$B83,IF(DATOS_[[AGRUP. VALOR. PTO.]:[AGRUP. VALOR. PTO.]]=$B81,IF(DATOS_[Check Equiparado]="Sí",IF(DATOS_[Check Periodo Ref.]="Dentro",DATOS_[TOTAL SALARIO Eq],FALSE))))),
0)</f>
        <v>0</v>
      </c>
      <c r="AP83" s="173">
        <f t="array" ref="AP83">IFERROR(
(MEDIAN((IF(DATOS_[[Sexo]:[Sexo]]=$B83,IF(DATOS_[[AGRUP. VALOR. PTO.]:[AGRUP. VALOR. PTO.]]=$B82,IF(DATOS_[[Check Periodo Ref.]:[Check Periodo Ref.]]="Dentro",IF(DATOS_[[Check Equiparado]:[Check Equiparado]]="Sí",IF(DATOS!BW$5="Sí",(1/DATOS_[[% anualiz]:[% anualiz]]),1)*IF(DATOS!BW$4="Sí",1/DATOS_[[% normaliz]:[% normaliz]],1)*(DATOS_[C.Extra.01])))))))),
0)</f>
        <v>0</v>
      </c>
      <c r="AQ83" s="173">
        <f t="array" ref="AQ83">IFERROR(
(MEDIAN((IF(DATOS_[[Sexo]:[Sexo]]=$B83,IF(DATOS_[[AGRUP. VALOR. PTO.]:[AGRUP. VALOR. PTO.]]=$B82,IF(DATOS_[[Check Periodo Ref.]:[Check Periodo Ref.]]="Dentro",IF(DATOS_[[Check Equiparado]:[Check Equiparado]]="Sí",IF(DATOS!CB$5="Sí",(1/DATOS_[[% anualiz]:[% anualiz]]),1)*IF(DATOS!CB$4="Sí",1/DATOS_[[% normaliz]:[% normaliz]],1)*(DATOS_[C.Extra.06])))))))),
0)</f>
        <v>0</v>
      </c>
      <c r="AR83" s="173">
        <f t="array" ref="AR83">IFERROR(
(MEDIAN((IF(DATOS_[[Sexo]:[Sexo]]=$B83,IF(DATOS_[[AGRUP. VALOR. PTO.]:[AGRUP. VALOR. PTO.]]=$B82,IF(DATOS_[[Check Periodo Ref.]:[Check Periodo Ref.]]="Dentro",IF(DATOS_[[Check Equiparado]:[Check Equiparado]]="Sí",IF(DATOS!CC$5="Sí",(1/DATOS_[[% anualiz]:[% anualiz]]),1)*IF(DATOS!CC$4="Sí",1/DATOS_[[% normaliz]:[% normaliz]],1)*(DATOS_[C.Extra.07])))))))),
0)</f>
        <v>0</v>
      </c>
      <c r="AS83" s="173">
        <f t="array" ref="AS83">IFERROR(
(MEDIAN((IF(DATOS_[[Sexo]:[Sexo]]=$B83,IF(DATOS_[[AGRUP. VALOR. PTO.]:[AGRUP. VALOR. PTO.]]=$B82,IF(DATOS_[[Check Periodo Ref.]:[Check Periodo Ref.]]="Dentro",IF(DATOS_[[Check Equiparado]:[Check Equiparado]]="Sí",IF(DATOS!CD$5="Sí",(1/DATOS_[[% anualiz]:[% anualiz]]),1)*IF(DATOS!CD$4="Sí",1/DATOS_[[% normaliz]:[% normaliz]],1)*(DATOS_[C.Extra.08])))))))),
0)</f>
        <v>0</v>
      </c>
      <c r="AT83" s="173">
        <f t="array" ref="AT83">IFERROR(
(MEDIAN((IF(DATOS_[[Sexo]:[Sexo]]=$B83,IF(DATOS_[[AGRUP. VALOR. PTO.]:[AGRUP. VALOR. PTO.]]=$B82,IF(DATOS_[[Check Periodo Ref.]:[Check Periodo Ref.]]="Dentro",IF(DATOS_[[Check Equiparado]:[Check Equiparado]]="Sí",IF(DATOS!CG$5="Sí",(1/DATOS_[[% anualiz]:[% anualiz]]),1)*IF(DATOS!CG$4="Sí",1/DATOS_[[% normaliz]:[% normaliz]],1)*(DATOS_[C.Extra.11])))))))),
0)</f>
        <v>0</v>
      </c>
      <c r="AU83" s="197">
        <f t="array" ref="AU83">IFERROR(
MEDIAN(IF(DATOS_[Sexo]=$B83,IF(DATOS_[[AGRUP. VALOR. PTO.]:[AGRUP. VALOR. PTO.]]=$B81,IF(DATOS_[Check Equiparado]="Sí",IF(DATOS_[Check Periodo Ref.]="Dentro",DATOS_[Tot Extrasalarial Eq],FALSE))))),
0)</f>
        <v>0</v>
      </c>
      <c r="AV83" s="175">
        <f t="array" ref="AV83">IFERROR(
MEDIAN(IF(DATOS_[Sexo]=$B83,IF(DATOS_[[AGRUP. VALOR. PTO.]:[AGRUP. VALOR. PTO.]]=$B81,IF(DATOS_[Check Equiparado]="Sí",IF(DATOS_[Check Periodo Ref.]="Dentro",DATOS_[TOTAL Retrib Eq],FALSE))))),
0)</f>
        <v>0</v>
      </c>
    </row>
    <row r="84" spans="1:48" ht="15.6" thickBot="1" x14ac:dyDescent="0.3">
      <c r="A84" s="133" t="str">
        <f t="shared" ref="A84" si="95">+A85</f>
        <v>[ocultar]</v>
      </c>
      <c r="B84" s="199" t="s">
        <v>272</v>
      </c>
      <c r="C84" s="200"/>
      <c r="D84" s="201"/>
      <c r="E84" s="201"/>
      <c r="F84" s="201"/>
      <c r="G84" s="201"/>
      <c r="H84" s="201"/>
      <c r="I84" s="189" t="str">
        <f t="shared" ref="I84:AV84" si="96">IFERROR((I85-I86)/I85,"")</f>
        <v/>
      </c>
      <c r="J84" s="190" t="str">
        <f t="shared" si="96"/>
        <v/>
      </c>
      <c r="K84" s="191" t="str">
        <f t="shared" si="96"/>
        <v/>
      </c>
      <c r="L84" s="191" t="str">
        <f t="shared" si="96"/>
        <v/>
      </c>
      <c r="M84" s="191" t="str">
        <f t="shared" si="96"/>
        <v/>
      </c>
      <c r="N84" s="192" t="str">
        <f t="shared" si="96"/>
        <v/>
      </c>
      <c r="O84" s="193" t="str">
        <f t="shared" si="96"/>
        <v/>
      </c>
      <c r="P84" s="193" t="str">
        <f t="shared" si="96"/>
        <v/>
      </c>
      <c r="Q84" s="193" t="str">
        <f t="shared" si="96"/>
        <v/>
      </c>
      <c r="R84" s="193" t="str">
        <f t="shared" si="96"/>
        <v/>
      </c>
      <c r="S84" s="193" t="str">
        <f t="shared" si="96"/>
        <v/>
      </c>
      <c r="T84" s="193" t="str">
        <f t="shared" si="96"/>
        <v/>
      </c>
      <c r="U84" s="193" t="str">
        <f t="shared" si="96"/>
        <v/>
      </c>
      <c r="V84" s="193" t="str">
        <f t="shared" si="96"/>
        <v/>
      </c>
      <c r="W84" s="193" t="str">
        <f t="shared" si="96"/>
        <v/>
      </c>
      <c r="X84" s="193" t="str">
        <f t="shared" si="96"/>
        <v/>
      </c>
      <c r="Y84" s="193" t="str">
        <f t="shared" si="96"/>
        <v/>
      </c>
      <c r="Z84" s="193" t="str">
        <f t="shared" si="96"/>
        <v/>
      </c>
      <c r="AA84" s="193" t="str">
        <f t="shared" si="96"/>
        <v/>
      </c>
      <c r="AB84" s="193" t="str">
        <f t="shared" si="96"/>
        <v/>
      </c>
      <c r="AC84" s="193" t="str">
        <f t="shared" si="96"/>
        <v/>
      </c>
      <c r="AD84" s="193" t="str">
        <f t="shared" si="96"/>
        <v/>
      </c>
      <c r="AE84" s="193" t="str">
        <f t="shared" si="96"/>
        <v/>
      </c>
      <c r="AF84" s="193" t="str">
        <f t="shared" si="96"/>
        <v/>
      </c>
      <c r="AG84" s="193" t="str">
        <f t="shared" si="96"/>
        <v/>
      </c>
      <c r="AH84" s="193" t="str">
        <f t="shared" si="96"/>
        <v/>
      </c>
      <c r="AI84" s="193" t="str">
        <f t="shared" si="96"/>
        <v/>
      </c>
      <c r="AJ84" s="193" t="str">
        <f t="shared" si="96"/>
        <v/>
      </c>
      <c r="AK84" s="193" t="str">
        <f t="shared" si="96"/>
        <v/>
      </c>
      <c r="AL84" s="193" t="str">
        <f t="shared" si="96"/>
        <v/>
      </c>
      <c r="AM84" s="193" t="str">
        <f t="shared" si="96"/>
        <v/>
      </c>
      <c r="AN84" s="189" t="str">
        <f t="shared" si="96"/>
        <v/>
      </c>
      <c r="AO84" s="162" t="str">
        <f t="shared" si="96"/>
        <v/>
      </c>
      <c r="AP84" s="163" t="str">
        <f t="shared" si="96"/>
        <v/>
      </c>
      <c r="AQ84" s="163" t="str">
        <f t="shared" si="96"/>
        <v/>
      </c>
      <c r="AR84" s="163" t="str">
        <f t="shared" si="96"/>
        <v/>
      </c>
      <c r="AS84" s="163" t="str">
        <f t="shared" si="96"/>
        <v/>
      </c>
      <c r="AT84" s="163" t="str">
        <f t="shared" si="96"/>
        <v/>
      </c>
      <c r="AU84" s="194" t="str">
        <f t="shared" si="96"/>
        <v/>
      </c>
      <c r="AV84" s="165" t="str">
        <f t="shared" si="96"/>
        <v/>
      </c>
    </row>
    <row r="85" spans="1:48" x14ac:dyDescent="0.25">
      <c r="A85" s="133" t="str">
        <f t="shared" ref="A85" si="97">+IF(C85+C86=0,"[ocultar]","")</f>
        <v>[ocultar]</v>
      </c>
      <c r="B85" s="202" t="s">
        <v>394</v>
      </c>
      <c r="C85" s="203">
        <f t="array" ref="C85">SUM(IF($B85=DATOS_[Sexo],
IF($B84=DATOS_[AGRUP. VALOR. PTO.],
IF("Dentro"=DATOS_[Check Periodo Ref.],
1/(COUNTIFS(DATOS_[Sexo],$B85,DATOS_[AGRUP. VALOR. PTO.],$B84,DATOS_[Check Periodo Ref.],"Dentro",DATOS_[id/cod],DATOS_[id/cod]))))))</f>
        <v>0</v>
      </c>
      <c r="D85" s="204">
        <f>COUNTIFS(DATOS_[AGRUP. VALOR. PTO.],$B84,DATOS_[Sexo],$B85,DATOS_[Check Periodo Ref.],"Dentro")</f>
        <v>0</v>
      </c>
      <c r="E85" s="204">
        <f>COUNTIFS(DATOS_[AGRUP. VALOR. PTO.],$B84,DATOS_[Sexo],$B85,DATOS_[Check Periodo Ref.],"Dentro",DATOS_[Check Nº SC Norm],"Sí")</f>
        <v>0</v>
      </c>
      <c r="F85" s="204">
        <f>COUNTIFS(DATOS_[AGRUP. VALOR. PTO.],$B84,DATOS_[Sexo],$B85,DATOS_[Check Periodo Ref.],"Dentro",DATOS_[Check Nº SC Anualiz],"Sí")</f>
        <v>0</v>
      </c>
      <c r="G85" s="204">
        <f>COUNTIFS(DATOS_[AGRUP. VALOR. PTO.],$B84,DATOS_[Sexo],$B85,DATOS_[Check Periodo Ref.],"Dentro",DATOS_[Check Nº SC Norm y Anualiz],"Sí")</f>
        <v>0</v>
      </c>
      <c r="H85" s="204">
        <f>COUNTIFS(DATOS_[AGRUP. VALOR. PTO.],$B84,DATOS_[Sexo],$B85,DATOS_[Check Periodo Ref.],"Dentro",DATOS_[Check Equiparación],"Sí")</f>
        <v>0</v>
      </c>
      <c r="I85" s="195">
        <f t="array" ref="I85">IFERROR(
MEDIAN(IF(DATOS_[Sexo]=$B85,IF(DATOS_[[AGRUP. VALOR. PTO.]:[AGRUP. VALOR. PTO.]]=$B84,IF(DATOS_[Check Equiparado]="Sí",IF(DATOS_[Check Periodo Ref.]="Dentro",DATOS_[SALARIO BASE Eq],FALSE))))),
0)</f>
        <v>0</v>
      </c>
      <c r="J85" s="196">
        <f t="array" ref="J85">IFERROR(
(MEDIAN((IF(DATOS_[[Sexo]:[Sexo]]=$B85,IF(DATOS_[[AGRUP. VALOR. PTO.]:[AGRUP. VALOR. PTO.]]=$B84,IF(DATOS_[[Check Periodo Ref.]:[Check Periodo Ref.]]="Dentro",IF(DATOS_[[Check Equiparado]:[Check Equiparado]]="Sí",IF(DATOS!AE$5="Sí",(1/DATOS_[[% anualiz]:[% anualiz]]),1)*IF(DATOS!AE$4="Sí",1/DATOS_[[% normaliz]:[% normaliz]],1)*(DATOS_[Conc.Sal.01])))))))),
0)</f>
        <v>0</v>
      </c>
      <c r="K85" s="196">
        <f t="array" ref="K85">IFERROR(
(MEDIAN((IF(DATOS_[[Sexo]:[Sexo]]=$B85,IF(DATOS_[[AGRUP. VALOR. PTO.]:[AGRUP. VALOR. PTO.]]=$B84,IF(DATOS_[[Check Periodo Ref.]:[Check Periodo Ref.]]="Dentro",IF(DATOS_[[Check Equiparado]:[Check Equiparado]]="Sí",IF(DATOS!AF$5="Sí",(1/DATOS_[[% anualiz]:[% anualiz]]),1)*IF(DATOS!AF$4="Sí",1/DATOS_[[% normaliz]:[% normaliz]],1)*(DATOS_[Conc.Sal.02])))))))),
0)</f>
        <v>0</v>
      </c>
      <c r="L85" s="196">
        <f t="array" ref="L85">IFERROR(
(MEDIAN((IF(DATOS_[[Sexo]:[Sexo]]=$B85,IF(DATOS_[[AGRUP. VALOR. PTO.]:[AGRUP. VALOR. PTO.]]=$B84,IF(DATOS_[[Check Periodo Ref.]:[Check Periodo Ref.]]="Dentro",IF(DATOS_[[Check Equiparado]:[Check Equiparado]]="Sí",IF(DATOS!AG$5="Sí",(1/DATOS_[[% anualiz]:[% anualiz]]),1)*IF(DATOS!AG$4="Sí",1/DATOS_[[% normaliz]:[% normaliz]],1)*(DATOS_[Conc.Sal.03])))))))),
0)</f>
        <v>0</v>
      </c>
      <c r="M85" s="196">
        <f t="array" ref="M85">IFERROR(
(MEDIAN((IF(DATOS_[[Sexo]:[Sexo]]=$B85,IF(DATOS_[[AGRUP. VALOR. PTO.]:[AGRUP. VALOR. PTO.]]=$B84,IF(DATOS_[[Check Periodo Ref.]:[Check Periodo Ref.]]="Dentro",IF(DATOS_[[Check Equiparado]:[Check Equiparado]]="Sí",IF(DATOS!AH$5="Sí",(1/DATOS_[[% anualiz]:[% anualiz]]),1)*IF(DATOS!AH$4="Sí",1/DATOS_[[% normaliz]:[% normaliz]],1)*(DATOS_[Conc.Sal.04])))))))),
0)</f>
        <v>0</v>
      </c>
      <c r="N85" s="196">
        <f t="array" ref="N85">IFERROR(
(MEDIAN((IF(DATOS_[[Sexo]:[Sexo]]=$B85,IF(DATOS_[[AGRUP. VALOR. PTO.]:[AGRUP. VALOR. PTO.]]=$B84,IF(DATOS_[[Check Periodo Ref.]:[Check Periodo Ref.]]="Dentro",IF(DATOS_[[Check Equiparado]:[Check Equiparado]]="Sí",IF(DATOS!AI$5="Sí",(1/DATOS_[[% anualiz]:[% anualiz]]),1)*IF(DATOS!AI$4="Sí",1/DATOS_[[% normaliz]:[% normaliz]],1)*(DATOS_[Conc.Sal.05])))))))),
0)</f>
        <v>0</v>
      </c>
      <c r="O85" s="196">
        <f t="array" ref="O85">IFERROR(
(MEDIAN((IF(DATOS_[[Sexo]:[Sexo]]=$B85,IF(DATOS_[[AGRUP. VALOR. PTO.]:[AGRUP. VALOR. PTO.]]=$B84,IF(DATOS_[[Check Periodo Ref.]:[Check Periodo Ref.]]="Dentro",IF(DATOS_[[Check Equiparado]:[Check Equiparado]]="Sí",IF(DATOS!AJ$5="Sí",(1/DATOS_[[% anualiz]:[% anualiz]]),1)*IF(DATOS!AJ$4="Sí",1/DATOS_[[% normaliz]:[% normaliz]],1)*(DATOS_[Conc.Sal.06])))))))),
0)</f>
        <v>0</v>
      </c>
      <c r="P85" s="196">
        <f t="array" ref="P85">IFERROR(
(MEDIAN((IF(DATOS_[[Sexo]:[Sexo]]=$B85,IF(DATOS_[[AGRUP. VALOR. PTO.]:[AGRUP. VALOR. PTO.]]=$B84,IF(DATOS_[[Check Periodo Ref.]:[Check Periodo Ref.]]="Dentro",IF(DATOS_[[Check Equiparado]:[Check Equiparado]]="Sí",IF(DATOS!AK$5="Sí",(1/DATOS_[[% anualiz]:[% anualiz]]),1)*IF(DATOS!AK$4="Sí",1/DATOS_[[% normaliz]:[% normaliz]],1)*(DATOS_[Conc.Sal.07])))))))),
0)</f>
        <v>0</v>
      </c>
      <c r="Q85" s="196">
        <f t="array" ref="Q85">IFERROR(
(MEDIAN((IF(DATOS_[[Sexo]:[Sexo]]=$B85,IF(DATOS_[[AGRUP. VALOR. PTO.]:[AGRUP. VALOR. PTO.]]=$B84,IF(DATOS_[[Check Periodo Ref.]:[Check Periodo Ref.]]="Dentro",IF(DATOS_[[Check Equiparado]:[Check Equiparado]]="Sí",IF(DATOS!AL$5="Sí",(1/DATOS_[[% anualiz]:[% anualiz]]),1)*IF(DATOS!AL$4="Sí",1/DATOS_[[% normaliz]:[% normaliz]],1)*(DATOS_[Conc.Sal.08])))))))),
0)</f>
        <v>0</v>
      </c>
      <c r="R85" s="196">
        <f t="array" ref="R85">IFERROR(
(MEDIAN((IF(DATOS_[[Sexo]:[Sexo]]=$B85,IF(DATOS_[[AGRUP. VALOR. PTO.]:[AGRUP. VALOR. PTO.]]=$B84,IF(DATOS_[[Check Periodo Ref.]:[Check Periodo Ref.]]="Dentro",IF(DATOS_[[Check Equiparado]:[Check Equiparado]]="Sí",IF(DATOS!AM$5="Sí",(1/DATOS_[[% anualiz]:[% anualiz]]),1)*IF(DATOS!AM$4="Sí",1/DATOS_[[% normaliz]:[% normaliz]],1)*(DATOS_[Conc.Sal.09])))))))),
0)</f>
        <v>0</v>
      </c>
      <c r="S85" s="196">
        <f t="array" ref="S85">IFERROR(
(MEDIAN((IF(DATOS_[[Sexo]:[Sexo]]=$B85,IF(DATOS_[[AGRUP. VALOR. PTO.]:[AGRUP. VALOR. PTO.]]=$B84,IF(DATOS_[[Check Periodo Ref.]:[Check Periodo Ref.]]="Dentro",IF(DATOS_[[Check Equiparado]:[Check Equiparado]]="Sí",IF(DATOS!AN$5="Sí",(1/DATOS_[[% anualiz]:[% anualiz]]),1)*IF(DATOS!AN$4="Sí",1/DATOS_[[% normaliz]:[% normaliz]],1)*(DATOS_[Conc.Sal.10])))))))),
0)</f>
        <v>0</v>
      </c>
      <c r="T85" s="196">
        <f t="array" ref="T85">IFERROR(
(MEDIAN((IF(DATOS_[[Sexo]:[Sexo]]=$B85,IF(DATOS_[[AGRUP. VALOR. PTO.]:[AGRUP. VALOR. PTO.]]=$B84,IF(DATOS_[[Check Periodo Ref.]:[Check Periodo Ref.]]="Dentro",IF(DATOS_[[Check Equiparado]:[Check Equiparado]]="Sí",IF(DATOS!AO$5="Sí",(1/DATOS_[[% anualiz]:[% anualiz]]),1)*IF(DATOS!AO$4="Sí",1/DATOS_[[% normaliz]:[% normaliz]],1)*(DATOS_[Conc.Sal.11])))))))),
0)</f>
        <v>0</v>
      </c>
      <c r="U85" s="196">
        <f t="array" ref="U85">IFERROR(
(MEDIAN((IF(DATOS_[[Sexo]:[Sexo]]=$B85,IF(DATOS_[[AGRUP. VALOR. PTO.]:[AGRUP. VALOR. PTO.]]=$B84,IF(DATOS_[[Check Periodo Ref.]:[Check Periodo Ref.]]="Dentro",IF(DATOS_[[Check Equiparado]:[Check Equiparado]]="Sí",IF(DATOS!AP$5="Sí",(1/DATOS_[[% anualiz]:[% anualiz]]),1)*IF(DATOS!AP$4="Sí",1/DATOS_[[% normaliz]:[% normaliz]],1)*(DATOS_[Conc.Sal.12])))))))),
0)</f>
        <v>0</v>
      </c>
      <c r="V85" s="196">
        <f t="array" ref="V85">IFERROR(
(MEDIAN((IF(DATOS_[[Sexo]:[Sexo]]=$B85,IF(DATOS_[[AGRUP. VALOR. PTO.]:[AGRUP. VALOR. PTO.]]=$B84,IF(DATOS_[[Check Periodo Ref.]:[Check Periodo Ref.]]="Dentro",IF(DATOS_[[Check Equiparado]:[Check Equiparado]]="Sí",IF(DATOS!AQ$5="Sí",(1/DATOS_[[% anualiz]:[% anualiz]]),1)*IF(DATOS!AQ$4="Sí",1/DATOS_[[% normaliz]:[% normaliz]],1)*(DATOS_[Conc.Sal.13])))))))),
0)</f>
        <v>0</v>
      </c>
      <c r="W85" s="196">
        <f t="array" ref="W85">IFERROR(
(MEDIAN((IF(DATOS_[[Sexo]:[Sexo]]=$B85,IF(DATOS_[[AGRUP. VALOR. PTO.]:[AGRUP. VALOR. PTO.]]=$B84,IF(DATOS_[[Check Periodo Ref.]:[Check Periodo Ref.]]="Dentro",IF(DATOS_[[Check Equiparado]:[Check Equiparado]]="Sí",IF(DATOS!AR$5="Sí",(1/DATOS_[[% anualiz]:[% anualiz]]),1)*IF(DATOS!AR$4="Sí",1/DATOS_[[% normaliz]:[% normaliz]],1)*(DATOS_[Conc.Sal.14])))))))),
0)</f>
        <v>0</v>
      </c>
      <c r="X85" s="196">
        <f t="array" ref="X85">IFERROR(
(MEDIAN((IF(DATOS_[[Sexo]:[Sexo]]=$B85,IF(DATOS_[[AGRUP. VALOR. PTO.]:[AGRUP. VALOR. PTO.]]=$B84,IF(DATOS_[[Check Periodo Ref.]:[Check Periodo Ref.]]="Dentro",IF(DATOS_[[Check Equiparado]:[Check Equiparado]]="Sí",IF(DATOS!AS$5="Sí",(1/DATOS_[[% anualiz]:[% anualiz]]),1)*IF(DATOS!AS$4="Sí",1/DATOS_[[% normaliz]:[% normaliz]],1)*(DATOS_[Conc.Sal.15])))))))),
0)</f>
        <v>0</v>
      </c>
      <c r="Y85" s="196">
        <f t="array" ref="Y85">IFERROR(
(MEDIAN((IF(DATOS_[[Sexo]:[Sexo]]=$B85,IF(DATOS_[[AGRUP. VALOR. PTO.]:[AGRUP. VALOR. PTO.]]=$B84,IF(DATOS_[[Check Periodo Ref.]:[Check Periodo Ref.]]="Dentro",IF(DATOS_[[Check Equiparado]:[Check Equiparado]]="Sí",IF(DATOS!AT$5="Sí",(1/DATOS_[[% anualiz]:[% anualiz]]),1)*IF(DATOS!AT$4="Sí",1/DATOS_[[% normaliz]:[% normaliz]],1)*(DATOS_[Conc.Sal.16])))))))),
0)</f>
        <v>0</v>
      </c>
      <c r="Z85" s="196">
        <f t="array" ref="Z85">IFERROR(
(MEDIAN((IF(DATOS_[[Sexo]:[Sexo]]=$B85,IF(DATOS_[[AGRUP. VALOR. PTO.]:[AGRUP. VALOR. PTO.]]=$B84,IF(DATOS_[[Check Periodo Ref.]:[Check Periodo Ref.]]="Dentro",IF(DATOS_[[Check Equiparado]:[Check Equiparado]]="Sí",IF(DATOS!AU$5="Sí",(1/DATOS_[[% anualiz]:[% anualiz]]),1)*IF(DATOS!AU$4="Sí",1/DATOS_[[% normaliz]:[% normaliz]],1)*(DATOS_[Conc.Sal.17])))))))),
0)</f>
        <v>0</v>
      </c>
      <c r="AA85" s="196">
        <f t="array" ref="AA85">IFERROR(
(MEDIAN((IF(DATOS_[[Sexo]:[Sexo]]=$B85,IF(DATOS_[[AGRUP. VALOR. PTO.]:[AGRUP. VALOR. PTO.]]=$B84,IF(DATOS_[[Check Periodo Ref.]:[Check Periodo Ref.]]="Dentro",IF(DATOS_[[Check Equiparado]:[Check Equiparado]]="Sí",IF(DATOS!AV$5="Sí",(1/DATOS_[[% anualiz]:[% anualiz]]),1)*IF(DATOS!AV$4="Sí",1/DATOS_[[% normaliz]:[% normaliz]],1)*(DATOS_[Conc.Sal.18])))))))),
0)</f>
        <v>0</v>
      </c>
      <c r="AB85" s="196">
        <f t="array" ref="AB85">IFERROR(
(MEDIAN((IF(DATOS_[[Sexo]:[Sexo]]=$B85,IF(DATOS_[[AGRUP. VALOR. PTO.]:[AGRUP. VALOR. PTO.]]=$B84,IF(DATOS_[[Check Periodo Ref.]:[Check Periodo Ref.]]="Dentro",IF(DATOS_[[Check Equiparado]:[Check Equiparado]]="Sí",IF(DATOS!AW$5="Sí",(1/DATOS_[[% anualiz]:[% anualiz]]),1)*IF(DATOS!AW$4="Sí",1/DATOS_[[% normaliz]:[% normaliz]],1)*(DATOS_[Conc.Sal.19])))))))),
0)</f>
        <v>0</v>
      </c>
      <c r="AC85" s="196">
        <f t="array" ref="AC85">IFERROR(
(MEDIAN((IF(DATOS_[[Sexo]:[Sexo]]=$B85,IF(DATOS_[[AGRUP. VALOR. PTO.]:[AGRUP. VALOR. PTO.]]=$B84,IF(DATOS_[[Check Periodo Ref.]:[Check Periodo Ref.]]="Dentro",IF(DATOS_[[Check Equiparado]:[Check Equiparado]]="Sí",IF(DATOS!AX$5="Sí",(1/DATOS_[[% anualiz]:[% anualiz]]),1)*IF(DATOS!AX$4="Sí",1/DATOS_[[% normaliz]:[% normaliz]],1)*(DATOS_[Conc.Sal.20])))))))),
0)</f>
        <v>0</v>
      </c>
      <c r="AD85" s="196">
        <f t="array" ref="AD85">IFERROR(
(MEDIAN((IF(DATOS_[[Sexo]:[Sexo]]=$B85,IF(DATOS_[[AGRUP. VALOR. PTO.]:[AGRUP. VALOR. PTO.]]=$B84,IF(DATOS_[[Check Periodo Ref.]:[Check Periodo Ref.]]="Dentro",IF(DATOS_[[Check Equiparado]:[Check Equiparado]]="Sí",IF(DATOS!AY$5="Sí",(1/DATOS_[[% anualiz]:[% anualiz]]),1)*IF(DATOS!AY$4="Sí",1/DATOS_[[% normaliz]:[% normaliz]],1)*(DATOS_[Conc.Sal.21])))))))),
0)</f>
        <v>0</v>
      </c>
      <c r="AE85" s="196">
        <f t="array" ref="AE85">IFERROR(
(MEDIAN((IF(DATOS_[[Sexo]:[Sexo]]=$B85,IF(DATOS_[[AGRUP. VALOR. PTO.]:[AGRUP. VALOR. PTO.]]=$B84,IF(DATOS_[[Check Periodo Ref.]:[Check Periodo Ref.]]="Dentro",IF(DATOS_[[Check Equiparado]:[Check Equiparado]]="Sí",IF(DATOS!AZ$5="Sí",(1/DATOS_[[% anualiz]:[% anualiz]]),1)*IF(DATOS!AZ$4="Sí",1/DATOS_[[% normaliz]:[% normaliz]],1)*(DATOS_[Conc.Sal.22])))))))),
0)</f>
        <v>0</v>
      </c>
      <c r="AF85" s="196">
        <f t="array" ref="AF85">IFERROR(
(MEDIAN((IF(DATOS_[[Sexo]:[Sexo]]=$B85,IF(DATOS_[[AGRUP. VALOR. PTO.]:[AGRUP. VALOR. PTO.]]=$B84,IF(DATOS_[[Check Periodo Ref.]:[Check Periodo Ref.]]="Dentro",IF(DATOS_[[Check Equiparado]:[Check Equiparado]]="Sí",IF(DATOS!BA$5="Sí",(1/DATOS_[[% anualiz]:[% anualiz]]),1)*IF(DATOS!BA$4="Sí",1/DATOS_[[% normaliz]:[% normaliz]],1)*(DATOS_[Conc.Sal.23])))))))),
0)</f>
        <v>0</v>
      </c>
      <c r="AG85" s="196">
        <f t="array" ref="AG85">IFERROR(
(MEDIAN((IF(DATOS_[[Sexo]:[Sexo]]=$B85,IF(DATOS_[[AGRUP. VALOR. PTO.]:[AGRUP. VALOR. PTO.]]=$B84,IF(DATOS_[[Check Periodo Ref.]:[Check Periodo Ref.]]="Dentro",IF(DATOS_[[Check Equiparado]:[Check Equiparado]]="Sí",IF(DATOS!BB$5="Sí",(1/DATOS_[[% anualiz]:[% anualiz]]),1)*IF(DATOS!BB$4="Sí",1/DATOS_[[% normaliz]:[% normaliz]],1)*(DATOS_[Conc.Sal.24])))))))),
0)</f>
        <v>0</v>
      </c>
      <c r="AH85" s="196">
        <f t="array" ref="AH85">IFERROR(
(MEDIAN((IF(DATOS_[[Sexo]:[Sexo]]=$B85,IF(DATOS_[[AGRUP. VALOR. PTO.]:[AGRUP. VALOR. PTO.]]=$B84,IF(DATOS_[[Check Periodo Ref.]:[Check Periodo Ref.]]="Dentro",IF(DATOS_[[Check Equiparado]:[Check Equiparado]]="Sí",IF(DATOS!BC$5="Sí",(1/DATOS_[[% anualiz]:[% anualiz]]),1)*IF(DATOS!BC$4="Sí",1/DATOS_[[% normaliz]:[% normaliz]],1)*(DATOS_[Conc.Sal.25])))))))),
0)</f>
        <v>0</v>
      </c>
      <c r="AI85" s="196">
        <f t="array" ref="AI85">IFERROR(
(MEDIAN((IF(DATOS_[[Sexo]:[Sexo]]=$B85,IF(DATOS_[[AGRUP. VALOR. PTO.]:[AGRUP. VALOR. PTO.]]=$B84,IF(DATOS_[[Check Periodo Ref.]:[Check Periodo Ref.]]="Dentro",IF(DATOS_[[Check Equiparado]:[Check Equiparado]]="Sí",IF(DATOS!BD$5="Sí",(1/DATOS_[[% anualiz]:[% anualiz]]),1)*IF(DATOS!BD$4="Sí",1/DATOS_[[% normaliz]:[% normaliz]],1)*(DATOS_[Conc.Sal.26])))))))),
0)</f>
        <v>0</v>
      </c>
      <c r="AJ85" s="196">
        <f t="array" ref="AJ85">IFERROR(
(MEDIAN((IF(DATOS_[[Sexo]:[Sexo]]=$B85,IF(DATOS_[[AGRUP. VALOR. PTO.]:[AGRUP. VALOR. PTO.]]=$B84,IF(DATOS_[[Check Periodo Ref.]:[Check Periodo Ref.]]="Dentro",IF(DATOS_[[Check Equiparado]:[Check Equiparado]]="Sí",IF(DATOS!BE$5="Sí",(1/DATOS_[[% anualiz]:[% anualiz]]),1)*IF(DATOS!BE$4="Sí",1/DATOS_[[% normaliz]:[% normaliz]],1)*(DATOS_[Conc.Sal.27])))))))),
0)</f>
        <v>0</v>
      </c>
      <c r="AK85" s="196">
        <f t="array" ref="AK85">IFERROR(
(MEDIAN((IF(DATOS_[[Sexo]:[Sexo]]=$B85,IF(DATOS_[[AGRUP. VALOR. PTO.]:[AGRUP. VALOR. PTO.]]=$B84,IF(DATOS_[[Check Periodo Ref.]:[Check Periodo Ref.]]="Dentro",IF(DATOS_[[Check Equiparado]:[Check Equiparado]]="Sí",IF(DATOS!BF$5="Sí",(1/DATOS_[[% anualiz]:[% anualiz]]),1)*IF(DATOS!BF$4="Sí",1/DATOS_[[% normaliz]:[% normaliz]],1)*(DATOS_[Conc.Sal.28])))))))),
0)</f>
        <v>0</v>
      </c>
      <c r="AL85" s="196">
        <f t="array" ref="AL85">IFERROR(
(MEDIAN((IF(DATOS_[[Sexo]:[Sexo]]=$B85,IF(DATOS_[[AGRUP. VALOR. PTO.]:[AGRUP. VALOR. PTO.]]=$B84,IF(DATOS_[[Check Periodo Ref.]:[Check Periodo Ref.]]="Dentro",IF(DATOS_[[Check Equiparado]:[Check Equiparado]]="Sí",IF(DATOS!BG$5="Sí",(1/DATOS_[[% anualiz]:[% anualiz]]),1)*IF(DATOS!BG$4="Sí",1/DATOS_[[% normaliz]:[% normaliz]],1)*(DATOS_[Conc.Sal.29])))))))),
0)</f>
        <v>0</v>
      </c>
      <c r="AM85" s="196">
        <f t="array" ref="AM85">IFERROR(
(MEDIAN((IF(DATOS_[[Sexo]:[Sexo]]=$B85,IF(DATOS_[[AGRUP. VALOR. PTO.]:[AGRUP. VALOR. PTO.]]=$B84,IF(DATOS_[[Check Periodo Ref.]:[Check Periodo Ref.]]="Dentro",IF(DATOS_[[Check Equiparado]:[Check Equiparado]]="Sí",IF(DATOS!BH$5="Sí",(1/DATOS_[[% anualiz]:[% anualiz]]),1)*IF(DATOS!BH$4="Sí",1/DATOS_[[% normaliz]:[% normaliz]],1)*(DATOS_[Conc.Sal.30])))))))),
0)</f>
        <v>0</v>
      </c>
      <c r="AN85" s="195">
        <f t="array" ref="AN85">IFERROR(
MEDIAN(IF(DATOS_[Sexo]=$B85,IF(DATOS_[[AGRUP. VALOR. PTO.]:[AGRUP. VALOR. PTO.]]=$B84,IF(DATOS_[Check Equiparado]="Sí",IF(DATOS_[Check Periodo Ref.]="Dentro",DATOS_[Tot COMPL.SAL Eq],FALSE))))),
0)</f>
        <v>0</v>
      </c>
      <c r="AO85" s="172">
        <f t="array" ref="AO85">IFERROR(
MEDIAN(IF(DATOS_[Sexo]=$B85,IF(DATOS_[[AGRUP. VALOR. PTO.]:[AGRUP. VALOR. PTO.]]=$B84,IF(DATOS_[Check Equiparado]="Sí",IF(DATOS_[Check Periodo Ref.]="Dentro",DATOS_[TOTAL SALARIO Eq],FALSE))))),
0)</f>
        <v>0</v>
      </c>
      <c r="AP85" s="173">
        <f t="array" ref="AP85">IFERROR(
(MEDIAN((IF(DATOS_[[Sexo]:[Sexo]]=$B85,IF(DATOS_[[AGRUP. VALOR. PTO.]:[AGRUP. VALOR. PTO.]]=$B84,IF(DATOS_[[Check Periodo Ref.]:[Check Periodo Ref.]]="Dentro",IF(DATOS_[[Check Equiparado]:[Check Equiparado]]="Sí",IF(DATOS!BW$5="Sí",(1/DATOS_[[% anualiz]:[% anualiz]]),1)*IF(DATOS!BW$4="Sí",1/DATOS_[[% normaliz]:[% normaliz]],1)*(DATOS_[C.Extra.01])))))))),
0)</f>
        <v>0</v>
      </c>
      <c r="AQ85" s="173">
        <f t="array" ref="AQ85">IFERROR(
(MEDIAN((IF(DATOS_[[Sexo]:[Sexo]]=$B85,IF(DATOS_[[AGRUP. VALOR. PTO.]:[AGRUP. VALOR. PTO.]]=$B84,IF(DATOS_[[Check Periodo Ref.]:[Check Periodo Ref.]]="Dentro",IF(DATOS_[[Check Equiparado]:[Check Equiparado]]="Sí",IF(DATOS!CB$5="Sí",(1/DATOS_[[% anualiz]:[% anualiz]]),1)*IF(DATOS!CB$4="Sí",1/DATOS_[[% normaliz]:[% normaliz]],1)*(DATOS_[C.Extra.06])))))))),
0)</f>
        <v>0</v>
      </c>
      <c r="AR85" s="173">
        <f t="array" ref="AR85">IFERROR(
(MEDIAN((IF(DATOS_[[Sexo]:[Sexo]]=$B85,IF(DATOS_[[AGRUP. VALOR. PTO.]:[AGRUP. VALOR. PTO.]]=$B84,IF(DATOS_[[Check Periodo Ref.]:[Check Periodo Ref.]]="Dentro",IF(DATOS_[[Check Equiparado]:[Check Equiparado]]="Sí",IF(DATOS!CC$5="Sí",(1/DATOS_[[% anualiz]:[% anualiz]]),1)*IF(DATOS!CC$4="Sí",1/DATOS_[[% normaliz]:[% normaliz]],1)*(DATOS_[C.Extra.07])))))))),
0)</f>
        <v>0</v>
      </c>
      <c r="AS85" s="173">
        <f t="array" ref="AS85">IFERROR(
(MEDIAN((IF(DATOS_[[Sexo]:[Sexo]]=$B85,IF(DATOS_[[AGRUP. VALOR. PTO.]:[AGRUP. VALOR. PTO.]]=$B84,IF(DATOS_[[Check Periodo Ref.]:[Check Periodo Ref.]]="Dentro",IF(DATOS_[[Check Equiparado]:[Check Equiparado]]="Sí",IF(DATOS!CD$5="Sí",(1/DATOS_[[% anualiz]:[% anualiz]]),1)*IF(DATOS!CD$4="Sí",1/DATOS_[[% normaliz]:[% normaliz]],1)*(DATOS_[C.Extra.08])))))))),
0)</f>
        <v>0</v>
      </c>
      <c r="AT85" s="173">
        <f t="array" ref="AT85">IFERROR(
(MEDIAN((IF(DATOS_[[Sexo]:[Sexo]]=$B85,IF(DATOS_[[AGRUP. VALOR. PTO.]:[AGRUP. VALOR. PTO.]]=$B84,IF(DATOS_[[Check Periodo Ref.]:[Check Periodo Ref.]]="Dentro",IF(DATOS_[[Check Equiparado]:[Check Equiparado]]="Sí",IF(DATOS!CG$5="Sí",(1/DATOS_[[% anualiz]:[% anualiz]]),1)*IF(DATOS!CG$4="Sí",1/DATOS_[[% normaliz]:[% normaliz]],1)*(DATOS_[C.Extra.11])))))))),
0)</f>
        <v>0</v>
      </c>
      <c r="AU85" s="197">
        <f t="array" ref="AU85">IFERROR(
MEDIAN(IF(DATOS_[Sexo]=$B85,IF(DATOS_[[AGRUP. VALOR. PTO.]:[AGRUP. VALOR. PTO.]]=$B84,IF(DATOS_[Check Equiparado]="Sí",IF(DATOS_[Check Periodo Ref.]="Dentro",DATOS_[Tot Extrasalarial Eq],FALSE))))),
0)</f>
        <v>0</v>
      </c>
      <c r="AV85" s="175">
        <f t="array" ref="AV85">IFERROR(
MEDIAN(IF(DATOS_[Sexo]=$B85,IF(DATOS_[[AGRUP. VALOR. PTO.]:[AGRUP. VALOR. PTO.]]=$B84,IF(DATOS_[Check Equiparado]="Sí",IF(DATOS_[Check Periodo Ref.]="Dentro",DATOS_[TOTAL Retrib Eq],FALSE))))),
0)</f>
        <v>0</v>
      </c>
    </row>
    <row r="86" spans="1:48" x14ac:dyDescent="0.25">
      <c r="A86" s="133" t="str">
        <f t="shared" ref="A86" si="98">+A85</f>
        <v>[ocultar]</v>
      </c>
      <c r="B86" s="202" t="s">
        <v>521</v>
      </c>
      <c r="C86" s="203">
        <f t="array" ref="C86">SUM(IF($B86=DATOS_[Sexo],
IF($B84=DATOS_[AGRUP. VALOR. PTO.],
IF("Dentro"=DATOS_[Check Periodo Ref.],
1/(COUNTIFS(DATOS_[Sexo],$B86,DATOS_[AGRUP. VALOR. PTO.],$B84,DATOS_[Check Periodo Ref.],"Dentro",DATOS_[id/cod],DATOS_[id/cod]))))))</f>
        <v>0</v>
      </c>
      <c r="D86" s="204">
        <f>COUNTIFS(DATOS_[AGRUP. VALOR. PTO.],$B84,DATOS_[Sexo],$B86,DATOS_[Check Periodo Ref.],"Dentro")</f>
        <v>0</v>
      </c>
      <c r="E86" s="204">
        <f>COUNTIFS(DATOS_[AGRUP. VALOR. PTO.],$B84,DATOS_[Sexo],$B86,DATOS_[Check Periodo Ref.],"Dentro",DATOS_[Check Nº SC Norm],"Sí")</f>
        <v>0</v>
      </c>
      <c r="F86" s="204">
        <f>COUNTIFS(DATOS_[AGRUP. VALOR. PTO.],$B84,DATOS_[Sexo],$B86,DATOS_[Check Periodo Ref.],"Dentro",DATOS_[Check Nº SC Anualiz],"Sí")</f>
        <v>0</v>
      </c>
      <c r="G86" s="204">
        <f>COUNTIFS(DATOS_[AGRUP. VALOR. PTO.],$B84,DATOS_[Sexo],$B86,DATOS_[Check Periodo Ref.],"Dentro",DATOS_[Check Nº SC Norm y Anualiz],"Sí")</f>
        <v>0</v>
      </c>
      <c r="H86" s="204">
        <f>COUNTIFS(DATOS_[AGRUP. VALOR. PTO.],$B84,DATOS_[Sexo],$B86,DATOS_[Check Periodo Ref.],"Dentro",DATOS_[Check Equiparación],"Sí")</f>
        <v>0</v>
      </c>
      <c r="I86" s="195" cm="1">
        <f t="array" ref="I86">IFERROR(
MEDIAN(IF(DATOS_[Sexo]=$B86,IF(DATOS_[[AGRUP. VALOR. PTO.]:[AGRUP. VALOR. PTO.]]=$B84,IF(DATOS_[Check Equiparado]="Sí",IF(DATOS_[Check Periodo Ref.]="Dentro",DATOS_[SALARIO BASE Eq],FALSE))))),
0)</f>
        <v>0</v>
      </c>
      <c r="J86" s="196">
        <f t="array" ref="J86">IFERROR(
(MEDIAN((IF(DATOS_[[Sexo]:[Sexo]]=$B86,IF(DATOS_[[AGRUP. VALOR. PTO.]:[AGRUP. VALOR. PTO.]]=$B84,IF(DATOS_[[Check Periodo Ref.]:[Check Periodo Ref.]]="Dentro",IF(DATOS_[[Check Equiparado]:[Check Equiparado]]="Sí",IF(DATOS!AE$5="Sí",(1/DATOS_[[% anualiz]:[% anualiz]]),1)*IF(DATOS!AE$4="Sí",1/DATOS_[[% normaliz]:[% normaliz]],1)*(DATOS_[Conc.Sal.01])))))))),
0)</f>
        <v>0</v>
      </c>
      <c r="K86" s="196">
        <f t="array" ref="K86">IFERROR(
(MEDIAN((IF(DATOS_[[Sexo]:[Sexo]]=$B86,IF(DATOS_[[AGRUP. VALOR. PTO.]:[AGRUP. VALOR. PTO.]]=$B84,IF(DATOS_[[Check Periodo Ref.]:[Check Periodo Ref.]]="Dentro",IF(DATOS_[[Check Equiparado]:[Check Equiparado]]="Sí",IF(DATOS!AF$5="Sí",(1/DATOS_[[% anualiz]:[% anualiz]]),1)*IF(DATOS!AF$4="Sí",1/DATOS_[[% normaliz]:[% normaliz]],1)*(DATOS_[Conc.Sal.02])))))))),
0)</f>
        <v>0</v>
      </c>
      <c r="L86" s="196">
        <f t="array" ref="L86">IFERROR(
(MEDIAN((IF(DATOS_[[Sexo]:[Sexo]]=$B86,IF(DATOS_[[AGRUP. VALOR. PTO.]:[AGRUP. VALOR. PTO.]]=$B84,IF(DATOS_[[Check Periodo Ref.]:[Check Periodo Ref.]]="Dentro",IF(DATOS_[[Check Equiparado]:[Check Equiparado]]="Sí",IF(DATOS!AG$5="Sí",(1/DATOS_[[% anualiz]:[% anualiz]]),1)*IF(DATOS!AG$4="Sí",1/DATOS_[[% normaliz]:[% normaliz]],1)*(DATOS_[Conc.Sal.03])))))))),
0)</f>
        <v>0</v>
      </c>
      <c r="M86" s="196">
        <f t="array" ref="M86">IFERROR(
(MEDIAN((IF(DATOS_[[Sexo]:[Sexo]]=$B86,IF(DATOS_[[AGRUP. VALOR. PTO.]:[AGRUP. VALOR. PTO.]]=$B84,IF(DATOS_[[Check Periodo Ref.]:[Check Periodo Ref.]]="Dentro",IF(DATOS_[[Check Equiparado]:[Check Equiparado]]="Sí",IF(DATOS!AH$5="Sí",(1/DATOS_[[% anualiz]:[% anualiz]]),1)*IF(DATOS!AH$4="Sí",1/DATOS_[[% normaliz]:[% normaliz]],1)*(DATOS_[Conc.Sal.04])))))))),
0)</f>
        <v>0</v>
      </c>
      <c r="N86" s="196">
        <f t="array" ref="N86">IFERROR(
(MEDIAN((IF(DATOS_[[Sexo]:[Sexo]]=$B86,IF(DATOS_[[AGRUP. VALOR. PTO.]:[AGRUP. VALOR. PTO.]]=$B84,IF(DATOS_[[Check Periodo Ref.]:[Check Periodo Ref.]]="Dentro",IF(DATOS_[[Check Equiparado]:[Check Equiparado]]="Sí",IF(DATOS!AI$5="Sí",(1/DATOS_[[% anualiz]:[% anualiz]]),1)*IF(DATOS!AI$4="Sí",1/DATOS_[[% normaliz]:[% normaliz]],1)*(DATOS_[Conc.Sal.05])))))))),
0)</f>
        <v>0</v>
      </c>
      <c r="O86" s="196">
        <f t="array" ref="O86">IFERROR(
(MEDIAN((IF(DATOS_[[Sexo]:[Sexo]]=$B86,IF(DATOS_[[AGRUP. VALOR. PTO.]:[AGRUP. VALOR. PTO.]]=$B84,IF(DATOS_[[Check Periodo Ref.]:[Check Periodo Ref.]]="Dentro",IF(DATOS_[[Check Equiparado]:[Check Equiparado]]="Sí",IF(DATOS!AJ$5="Sí",(1/DATOS_[[% anualiz]:[% anualiz]]),1)*IF(DATOS!AJ$4="Sí",1/DATOS_[[% normaliz]:[% normaliz]],1)*(DATOS_[Conc.Sal.06])))))))),
0)</f>
        <v>0</v>
      </c>
      <c r="P86" s="196">
        <f t="array" ref="P86">IFERROR(
(MEDIAN((IF(DATOS_[[Sexo]:[Sexo]]=$B86,IF(DATOS_[[AGRUP. VALOR. PTO.]:[AGRUP. VALOR. PTO.]]=$B84,IF(DATOS_[[Check Periodo Ref.]:[Check Periodo Ref.]]="Dentro",IF(DATOS_[[Check Equiparado]:[Check Equiparado]]="Sí",IF(DATOS!AK$5="Sí",(1/DATOS_[[% anualiz]:[% anualiz]]),1)*IF(DATOS!AK$4="Sí",1/DATOS_[[% normaliz]:[% normaliz]],1)*(DATOS_[Conc.Sal.07])))))))),
0)</f>
        <v>0</v>
      </c>
      <c r="Q86" s="196">
        <f t="array" ref="Q86">IFERROR(
(MEDIAN((IF(DATOS_[[Sexo]:[Sexo]]=$B86,IF(DATOS_[[AGRUP. VALOR. PTO.]:[AGRUP. VALOR. PTO.]]=$B84,IF(DATOS_[[Check Periodo Ref.]:[Check Periodo Ref.]]="Dentro",IF(DATOS_[[Check Equiparado]:[Check Equiparado]]="Sí",IF(DATOS!AL$5="Sí",(1/DATOS_[[% anualiz]:[% anualiz]]),1)*IF(DATOS!AL$4="Sí",1/DATOS_[[% normaliz]:[% normaliz]],1)*(DATOS_[Conc.Sal.08])))))))),
0)</f>
        <v>0</v>
      </c>
      <c r="R86" s="196">
        <f t="array" ref="R86">IFERROR(
(MEDIAN((IF(DATOS_[[Sexo]:[Sexo]]=$B86,IF(DATOS_[[AGRUP. VALOR. PTO.]:[AGRUP. VALOR. PTO.]]=$B84,IF(DATOS_[[Check Periodo Ref.]:[Check Periodo Ref.]]="Dentro",IF(DATOS_[[Check Equiparado]:[Check Equiparado]]="Sí",IF(DATOS!AM$5="Sí",(1/DATOS_[[% anualiz]:[% anualiz]]),1)*IF(DATOS!AM$4="Sí",1/DATOS_[[% normaliz]:[% normaliz]],1)*(DATOS_[Conc.Sal.09])))))))),
0)</f>
        <v>0</v>
      </c>
      <c r="S86" s="196">
        <f t="array" ref="S86">IFERROR(
(MEDIAN((IF(DATOS_[[Sexo]:[Sexo]]=$B86,IF(DATOS_[[AGRUP. VALOR. PTO.]:[AGRUP. VALOR. PTO.]]=$B84,IF(DATOS_[[Check Periodo Ref.]:[Check Periodo Ref.]]="Dentro",IF(DATOS_[[Check Equiparado]:[Check Equiparado]]="Sí",IF(DATOS!AN$5="Sí",(1/DATOS_[[% anualiz]:[% anualiz]]),1)*IF(DATOS!AN$4="Sí",1/DATOS_[[% normaliz]:[% normaliz]],1)*(DATOS_[Conc.Sal.10])))))))),
0)</f>
        <v>0</v>
      </c>
      <c r="T86" s="196">
        <f t="array" ref="T86">IFERROR(
(MEDIAN((IF(DATOS_[[Sexo]:[Sexo]]=$B86,IF(DATOS_[[AGRUP. VALOR. PTO.]:[AGRUP. VALOR. PTO.]]=$B84,IF(DATOS_[[Check Periodo Ref.]:[Check Periodo Ref.]]="Dentro",IF(DATOS_[[Check Equiparado]:[Check Equiparado]]="Sí",IF(DATOS!AO$5="Sí",(1/DATOS_[[% anualiz]:[% anualiz]]),1)*IF(DATOS!AO$4="Sí",1/DATOS_[[% normaliz]:[% normaliz]],1)*(DATOS_[Conc.Sal.11])))))))),
0)</f>
        <v>0</v>
      </c>
      <c r="U86" s="196">
        <f t="array" ref="U86">IFERROR(
(MEDIAN((IF(DATOS_[[Sexo]:[Sexo]]=$B86,IF(DATOS_[[AGRUP. VALOR. PTO.]:[AGRUP. VALOR. PTO.]]=$B84,IF(DATOS_[[Check Periodo Ref.]:[Check Periodo Ref.]]="Dentro",IF(DATOS_[[Check Equiparado]:[Check Equiparado]]="Sí",IF(DATOS!AP$5="Sí",(1/DATOS_[[% anualiz]:[% anualiz]]),1)*IF(DATOS!AP$4="Sí",1/DATOS_[[% normaliz]:[% normaliz]],1)*(DATOS_[Conc.Sal.12])))))))),
0)</f>
        <v>0</v>
      </c>
      <c r="V86" s="196">
        <f t="array" ref="V86">IFERROR(
(MEDIAN((IF(DATOS_[[Sexo]:[Sexo]]=$B86,IF(DATOS_[[AGRUP. VALOR. PTO.]:[AGRUP. VALOR. PTO.]]=$B84,IF(DATOS_[[Check Periodo Ref.]:[Check Periodo Ref.]]="Dentro",IF(DATOS_[[Check Equiparado]:[Check Equiparado]]="Sí",IF(DATOS!AQ$5="Sí",(1/DATOS_[[% anualiz]:[% anualiz]]),1)*IF(DATOS!AQ$4="Sí",1/DATOS_[[% normaliz]:[% normaliz]],1)*(DATOS_[Conc.Sal.13])))))))),
0)</f>
        <v>0</v>
      </c>
      <c r="W86" s="196">
        <f t="array" ref="W86">IFERROR(
(MEDIAN((IF(DATOS_[[Sexo]:[Sexo]]=$B86,IF(DATOS_[[AGRUP. VALOR. PTO.]:[AGRUP. VALOR. PTO.]]=$B84,IF(DATOS_[[Check Periodo Ref.]:[Check Periodo Ref.]]="Dentro",IF(DATOS_[[Check Equiparado]:[Check Equiparado]]="Sí",IF(DATOS!AR$5="Sí",(1/DATOS_[[% anualiz]:[% anualiz]]),1)*IF(DATOS!AR$4="Sí",1/DATOS_[[% normaliz]:[% normaliz]],1)*(DATOS_[Conc.Sal.14])))))))),
0)</f>
        <v>0</v>
      </c>
      <c r="X86" s="196">
        <f t="array" ref="X86">IFERROR(
(MEDIAN((IF(DATOS_[[Sexo]:[Sexo]]=$B86,IF(DATOS_[[AGRUP. VALOR. PTO.]:[AGRUP. VALOR. PTO.]]=$B84,IF(DATOS_[[Check Periodo Ref.]:[Check Periodo Ref.]]="Dentro",IF(DATOS_[[Check Equiparado]:[Check Equiparado]]="Sí",IF(DATOS!AS$5="Sí",(1/DATOS_[[% anualiz]:[% anualiz]]),1)*IF(DATOS!AS$4="Sí",1/DATOS_[[% normaliz]:[% normaliz]],1)*(DATOS_[Conc.Sal.15])))))))),
0)</f>
        <v>0</v>
      </c>
      <c r="Y86" s="196">
        <f t="array" ref="Y86">IFERROR(
(MEDIAN((IF(DATOS_[[Sexo]:[Sexo]]=$B86,IF(DATOS_[[AGRUP. VALOR. PTO.]:[AGRUP. VALOR. PTO.]]=$B84,IF(DATOS_[[Check Periodo Ref.]:[Check Periodo Ref.]]="Dentro",IF(DATOS_[[Check Equiparado]:[Check Equiparado]]="Sí",IF(DATOS!AT$5="Sí",(1/DATOS_[[% anualiz]:[% anualiz]]),1)*IF(DATOS!AT$4="Sí",1/DATOS_[[% normaliz]:[% normaliz]],1)*(DATOS_[Conc.Sal.16])))))))),
0)</f>
        <v>0</v>
      </c>
      <c r="Z86" s="196">
        <f t="array" ref="Z86">IFERROR(
(MEDIAN((IF(DATOS_[[Sexo]:[Sexo]]=$B86,IF(DATOS_[[AGRUP. VALOR. PTO.]:[AGRUP. VALOR. PTO.]]=$B84,IF(DATOS_[[Check Periodo Ref.]:[Check Periodo Ref.]]="Dentro",IF(DATOS_[[Check Equiparado]:[Check Equiparado]]="Sí",IF(DATOS!AU$5="Sí",(1/DATOS_[[% anualiz]:[% anualiz]]),1)*IF(DATOS!AU$4="Sí",1/DATOS_[[% normaliz]:[% normaliz]],1)*(DATOS_[Conc.Sal.17])))))))),
0)</f>
        <v>0</v>
      </c>
      <c r="AA86" s="196">
        <f t="array" ref="AA86">IFERROR(
(MEDIAN((IF(DATOS_[[Sexo]:[Sexo]]=$B86,IF(DATOS_[[AGRUP. VALOR. PTO.]:[AGRUP. VALOR. PTO.]]=$B84,IF(DATOS_[[Check Periodo Ref.]:[Check Periodo Ref.]]="Dentro",IF(DATOS_[[Check Equiparado]:[Check Equiparado]]="Sí",IF(DATOS!AV$5="Sí",(1/DATOS_[[% anualiz]:[% anualiz]]),1)*IF(DATOS!AV$4="Sí",1/DATOS_[[% normaliz]:[% normaliz]],1)*(DATOS_[Conc.Sal.18])))))))),
0)</f>
        <v>0</v>
      </c>
      <c r="AB86" s="196">
        <f t="array" ref="AB86">IFERROR(
(MEDIAN((IF(DATOS_[[Sexo]:[Sexo]]=$B86,IF(DATOS_[[AGRUP. VALOR. PTO.]:[AGRUP. VALOR. PTO.]]=$B84,IF(DATOS_[[Check Periodo Ref.]:[Check Periodo Ref.]]="Dentro",IF(DATOS_[[Check Equiparado]:[Check Equiparado]]="Sí",IF(DATOS!AW$5="Sí",(1/DATOS_[[% anualiz]:[% anualiz]]),1)*IF(DATOS!AW$4="Sí",1/DATOS_[[% normaliz]:[% normaliz]],1)*(DATOS_[Conc.Sal.19])))))))),
0)</f>
        <v>0</v>
      </c>
      <c r="AC86" s="196">
        <f t="array" ref="AC86">IFERROR(
(MEDIAN((IF(DATOS_[[Sexo]:[Sexo]]=$B86,IF(DATOS_[[AGRUP. VALOR. PTO.]:[AGRUP. VALOR. PTO.]]=$B84,IF(DATOS_[[Check Periodo Ref.]:[Check Periodo Ref.]]="Dentro",IF(DATOS_[[Check Equiparado]:[Check Equiparado]]="Sí",IF(DATOS!AX$5="Sí",(1/DATOS_[[% anualiz]:[% anualiz]]),1)*IF(DATOS!AX$4="Sí",1/DATOS_[[% normaliz]:[% normaliz]],1)*(DATOS_[Conc.Sal.20])))))))),
0)</f>
        <v>0</v>
      </c>
      <c r="AD86" s="196">
        <f t="array" ref="AD86">IFERROR(
(MEDIAN((IF(DATOS_[[Sexo]:[Sexo]]=$B86,IF(DATOS_[[AGRUP. VALOR. PTO.]:[AGRUP. VALOR. PTO.]]=$B84,IF(DATOS_[[Check Periodo Ref.]:[Check Periodo Ref.]]="Dentro",IF(DATOS_[[Check Equiparado]:[Check Equiparado]]="Sí",IF(DATOS!AY$5="Sí",(1/DATOS_[[% anualiz]:[% anualiz]]),1)*IF(DATOS!AY$4="Sí",1/DATOS_[[% normaliz]:[% normaliz]],1)*(DATOS_[Conc.Sal.21])))))))),
0)</f>
        <v>0</v>
      </c>
      <c r="AE86" s="196">
        <f t="array" ref="AE86">IFERROR(
(MEDIAN((IF(DATOS_[[Sexo]:[Sexo]]=$B86,IF(DATOS_[[AGRUP. VALOR. PTO.]:[AGRUP. VALOR. PTO.]]=$B84,IF(DATOS_[[Check Periodo Ref.]:[Check Periodo Ref.]]="Dentro",IF(DATOS_[[Check Equiparado]:[Check Equiparado]]="Sí",IF(DATOS!AZ$5="Sí",(1/DATOS_[[% anualiz]:[% anualiz]]),1)*IF(DATOS!AZ$4="Sí",1/DATOS_[[% normaliz]:[% normaliz]],1)*(DATOS_[Conc.Sal.22])))))))),
0)</f>
        <v>0</v>
      </c>
      <c r="AF86" s="196">
        <f t="array" ref="AF86">IFERROR(
(MEDIAN((IF(DATOS_[[Sexo]:[Sexo]]=$B86,IF(DATOS_[[AGRUP. VALOR. PTO.]:[AGRUP. VALOR. PTO.]]=$B84,IF(DATOS_[[Check Periodo Ref.]:[Check Periodo Ref.]]="Dentro",IF(DATOS_[[Check Equiparado]:[Check Equiparado]]="Sí",IF(DATOS!BA$5="Sí",(1/DATOS_[[% anualiz]:[% anualiz]]),1)*IF(DATOS!BA$4="Sí",1/DATOS_[[% normaliz]:[% normaliz]],1)*(DATOS_[Conc.Sal.23])))))))),
0)</f>
        <v>0</v>
      </c>
      <c r="AG86" s="196">
        <f t="array" ref="AG86">IFERROR(
(MEDIAN((IF(DATOS_[[Sexo]:[Sexo]]=$B86,IF(DATOS_[[AGRUP. VALOR. PTO.]:[AGRUP. VALOR. PTO.]]=$B84,IF(DATOS_[[Check Periodo Ref.]:[Check Periodo Ref.]]="Dentro",IF(DATOS_[[Check Equiparado]:[Check Equiparado]]="Sí",IF(DATOS!BB$5="Sí",(1/DATOS_[[% anualiz]:[% anualiz]]),1)*IF(DATOS!BB$4="Sí",1/DATOS_[[% normaliz]:[% normaliz]],1)*(DATOS_[Conc.Sal.24])))))))),
0)</f>
        <v>0</v>
      </c>
      <c r="AH86" s="196">
        <f t="array" ref="AH86">IFERROR(
(MEDIAN((IF(DATOS_[[Sexo]:[Sexo]]=$B86,IF(DATOS_[[AGRUP. VALOR. PTO.]:[AGRUP. VALOR. PTO.]]=$B84,IF(DATOS_[[Check Periodo Ref.]:[Check Periodo Ref.]]="Dentro",IF(DATOS_[[Check Equiparado]:[Check Equiparado]]="Sí",IF(DATOS!BC$5="Sí",(1/DATOS_[[% anualiz]:[% anualiz]]),1)*IF(DATOS!BC$4="Sí",1/DATOS_[[% normaliz]:[% normaliz]],1)*(DATOS_[Conc.Sal.25])))))))),
0)</f>
        <v>0</v>
      </c>
      <c r="AI86" s="196">
        <f t="array" ref="AI86">IFERROR(
(MEDIAN((IF(DATOS_[[Sexo]:[Sexo]]=$B86,IF(DATOS_[[AGRUP. VALOR. PTO.]:[AGRUP. VALOR. PTO.]]=$B84,IF(DATOS_[[Check Periodo Ref.]:[Check Periodo Ref.]]="Dentro",IF(DATOS_[[Check Equiparado]:[Check Equiparado]]="Sí",IF(DATOS!BD$5="Sí",(1/DATOS_[[% anualiz]:[% anualiz]]),1)*IF(DATOS!BD$4="Sí",1/DATOS_[[% normaliz]:[% normaliz]],1)*(DATOS_[Conc.Sal.26])))))))),
0)</f>
        <v>0</v>
      </c>
      <c r="AJ86" s="196">
        <f t="array" ref="AJ86">IFERROR(
(MEDIAN((IF(DATOS_[[Sexo]:[Sexo]]=$B86,IF(DATOS_[[AGRUP. VALOR. PTO.]:[AGRUP. VALOR. PTO.]]=$B84,IF(DATOS_[[Check Periodo Ref.]:[Check Periodo Ref.]]="Dentro",IF(DATOS_[[Check Equiparado]:[Check Equiparado]]="Sí",IF(DATOS!BE$5="Sí",(1/DATOS_[[% anualiz]:[% anualiz]]),1)*IF(DATOS!BE$4="Sí",1/DATOS_[[% normaliz]:[% normaliz]],1)*(DATOS_[Conc.Sal.27])))))))),
0)</f>
        <v>0</v>
      </c>
      <c r="AK86" s="196">
        <f t="array" ref="AK86">IFERROR(
(MEDIAN((IF(DATOS_[[Sexo]:[Sexo]]=$B86,IF(DATOS_[[AGRUP. VALOR. PTO.]:[AGRUP. VALOR. PTO.]]=$B84,IF(DATOS_[[Check Periodo Ref.]:[Check Periodo Ref.]]="Dentro",IF(DATOS_[[Check Equiparado]:[Check Equiparado]]="Sí",IF(DATOS!BF$5="Sí",(1/DATOS_[[% anualiz]:[% anualiz]]),1)*IF(DATOS!BF$4="Sí",1/DATOS_[[% normaliz]:[% normaliz]],1)*(DATOS_[Conc.Sal.28])))))))),
0)</f>
        <v>0</v>
      </c>
      <c r="AL86" s="196">
        <f t="array" ref="AL86">IFERROR(
(MEDIAN((IF(DATOS_[[Sexo]:[Sexo]]=$B86,IF(DATOS_[[AGRUP. VALOR. PTO.]:[AGRUP. VALOR. PTO.]]=$B84,IF(DATOS_[[Check Periodo Ref.]:[Check Periodo Ref.]]="Dentro",IF(DATOS_[[Check Equiparado]:[Check Equiparado]]="Sí",IF(DATOS!BG$5="Sí",(1/DATOS_[[% anualiz]:[% anualiz]]),1)*IF(DATOS!BG$4="Sí",1/DATOS_[[% normaliz]:[% normaliz]],1)*(DATOS_[Conc.Sal.29])))))))),
0)</f>
        <v>0</v>
      </c>
      <c r="AM86" s="196">
        <f t="array" ref="AM86">IFERROR(
(MEDIAN((IF(DATOS_[[Sexo]:[Sexo]]=$B86,IF(DATOS_[[AGRUP. VALOR. PTO.]:[AGRUP. VALOR. PTO.]]=$B84,IF(DATOS_[[Check Periodo Ref.]:[Check Periodo Ref.]]="Dentro",IF(DATOS_[[Check Equiparado]:[Check Equiparado]]="Sí",IF(DATOS!BH$5="Sí",(1/DATOS_[[% anualiz]:[% anualiz]]),1)*IF(DATOS!BH$4="Sí",1/DATOS_[[% normaliz]:[% normaliz]],1)*(DATOS_[Conc.Sal.30])))))))),
0)</f>
        <v>0</v>
      </c>
      <c r="AN86" s="195">
        <f t="array" ref="AN86">IFERROR(
MEDIAN(IF(DATOS_[Sexo]=$B86,IF(DATOS_[[AGRUP. VALOR. PTO.]:[AGRUP. VALOR. PTO.]]=$B84,IF(DATOS_[Check Equiparado]="Sí",IF(DATOS_[Check Periodo Ref.]="Dentro",DATOS_[Tot COMPL.SAL Eq],FALSE))))),
0)</f>
        <v>0</v>
      </c>
      <c r="AO86" s="172">
        <f t="array" ref="AO86">IFERROR(
MEDIAN(IF(DATOS_[Sexo]=$B86,IF(DATOS_[[AGRUP. VALOR. PTO.]:[AGRUP. VALOR. PTO.]]=$B84,IF(DATOS_[Check Equiparado]="Sí",IF(DATOS_[Check Periodo Ref.]="Dentro",DATOS_[TOTAL SALARIO Eq],FALSE))))),
0)</f>
        <v>0</v>
      </c>
      <c r="AP86" s="173">
        <f t="array" ref="AP86">IFERROR(
(MEDIAN((IF(DATOS_[[Sexo]:[Sexo]]=$B86,IF(DATOS_[[AGRUP. VALOR. PTO.]:[AGRUP. VALOR. PTO.]]=$B85,IF(DATOS_[[Check Periodo Ref.]:[Check Periodo Ref.]]="Dentro",IF(DATOS_[[Check Equiparado]:[Check Equiparado]]="Sí",IF(DATOS!BW$5="Sí",(1/DATOS_[[% anualiz]:[% anualiz]]),1)*IF(DATOS!BW$4="Sí",1/DATOS_[[% normaliz]:[% normaliz]],1)*(DATOS_[C.Extra.01])))))))),
0)</f>
        <v>0</v>
      </c>
      <c r="AQ86" s="173">
        <f t="array" ref="AQ86">IFERROR(
(MEDIAN((IF(DATOS_[[Sexo]:[Sexo]]=$B86,IF(DATOS_[[AGRUP. VALOR. PTO.]:[AGRUP. VALOR. PTO.]]=$B85,IF(DATOS_[[Check Periodo Ref.]:[Check Periodo Ref.]]="Dentro",IF(DATOS_[[Check Equiparado]:[Check Equiparado]]="Sí",IF(DATOS!CB$5="Sí",(1/DATOS_[[% anualiz]:[% anualiz]]),1)*IF(DATOS!CB$4="Sí",1/DATOS_[[% normaliz]:[% normaliz]],1)*(DATOS_[C.Extra.06])))))))),
0)</f>
        <v>0</v>
      </c>
      <c r="AR86" s="173">
        <f t="array" ref="AR86">IFERROR(
(MEDIAN((IF(DATOS_[[Sexo]:[Sexo]]=$B86,IF(DATOS_[[AGRUP. VALOR. PTO.]:[AGRUP. VALOR. PTO.]]=$B85,IF(DATOS_[[Check Periodo Ref.]:[Check Periodo Ref.]]="Dentro",IF(DATOS_[[Check Equiparado]:[Check Equiparado]]="Sí",IF(DATOS!CC$5="Sí",(1/DATOS_[[% anualiz]:[% anualiz]]),1)*IF(DATOS!CC$4="Sí",1/DATOS_[[% normaliz]:[% normaliz]],1)*(DATOS_[C.Extra.07])))))))),
0)</f>
        <v>0</v>
      </c>
      <c r="AS86" s="173">
        <f t="array" ref="AS86">IFERROR(
(MEDIAN((IF(DATOS_[[Sexo]:[Sexo]]=$B86,IF(DATOS_[[AGRUP. VALOR. PTO.]:[AGRUP. VALOR. PTO.]]=$B85,IF(DATOS_[[Check Periodo Ref.]:[Check Periodo Ref.]]="Dentro",IF(DATOS_[[Check Equiparado]:[Check Equiparado]]="Sí",IF(DATOS!CD$5="Sí",(1/DATOS_[[% anualiz]:[% anualiz]]),1)*IF(DATOS!CD$4="Sí",1/DATOS_[[% normaliz]:[% normaliz]],1)*(DATOS_[C.Extra.08])))))))),
0)</f>
        <v>0</v>
      </c>
      <c r="AT86" s="173">
        <f t="array" ref="AT86">IFERROR(
(MEDIAN((IF(DATOS_[[Sexo]:[Sexo]]=$B86,IF(DATOS_[[AGRUP. VALOR. PTO.]:[AGRUP. VALOR. PTO.]]=$B85,IF(DATOS_[[Check Periodo Ref.]:[Check Periodo Ref.]]="Dentro",IF(DATOS_[[Check Equiparado]:[Check Equiparado]]="Sí",IF(DATOS!CG$5="Sí",(1/DATOS_[[% anualiz]:[% anualiz]]),1)*IF(DATOS!CG$4="Sí",1/DATOS_[[% normaliz]:[% normaliz]],1)*(DATOS_[C.Extra.11])))))))),
0)</f>
        <v>0</v>
      </c>
      <c r="AU86" s="197">
        <f t="array" ref="AU86">IFERROR(
MEDIAN(IF(DATOS_[Sexo]=$B86,IF(DATOS_[[AGRUP. VALOR. PTO.]:[AGRUP. VALOR. PTO.]]=$B84,IF(DATOS_[Check Equiparado]="Sí",IF(DATOS_[Check Periodo Ref.]="Dentro",DATOS_[Tot Extrasalarial Eq],FALSE))))),
0)</f>
        <v>0</v>
      </c>
      <c r="AV86" s="175">
        <f t="array" ref="AV86">IFERROR(
MEDIAN(IF(DATOS_[Sexo]=$B86,IF(DATOS_[[AGRUP. VALOR. PTO.]:[AGRUP. VALOR. PTO.]]=$B84,IF(DATOS_[Check Equiparado]="Sí",IF(DATOS_[Check Periodo Ref.]="Dentro",DATOS_[TOTAL Retrib Eq],FALSE))))),
0)</f>
        <v>0</v>
      </c>
    </row>
    <row r="87" spans="1:48" ht="15.6" thickBot="1" x14ac:dyDescent="0.3">
      <c r="A87" s="133" t="str">
        <f t="shared" ref="A87" si="99">+A88</f>
        <v>[ocultar]</v>
      </c>
      <c r="B87" s="199" t="s">
        <v>275</v>
      </c>
      <c r="C87" s="200"/>
      <c r="D87" s="201"/>
      <c r="E87" s="201"/>
      <c r="F87" s="201"/>
      <c r="G87" s="201"/>
      <c r="H87" s="201"/>
      <c r="I87" s="189" t="str">
        <f t="shared" ref="I87:AV87" si="100">IFERROR((I88-I89)/I88,"")</f>
        <v/>
      </c>
      <c r="J87" s="190" t="str">
        <f t="shared" si="100"/>
        <v/>
      </c>
      <c r="K87" s="191" t="str">
        <f t="shared" si="100"/>
        <v/>
      </c>
      <c r="L87" s="191" t="str">
        <f t="shared" si="100"/>
        <v/>
      </c>
      <c r="M87" s="191" t="str">
        <f t="shared" si="100"/>
        <v/>
      </c>
      <c r="N87" s="192" t="str">
        <f t="shared" si="100"/>
        <v/>
      </c>
      <c r="O87" s="193" t="str">
        <f t="shared" si="100"/>
        <v/>
      </c>
      <c r="P87" s="193" t="str">
        <f t="shared" si="100"/>
        <v/>
      </c>
      <c r="Q87" s="193" t="str">
        <f t="shared" si="100"/>
        <v/>
      </c>
      <c r="R87" s="193" t="str">
        <f t="shared" si="100"/>
        <v/>
      </c>
      <c r="S87" s="193" t="str">
        <f t="shared" si="100"/>
        <v/>
      </c>
      <c r="T87" s="193" t="str">
        <f t="shared" si="100"/>
        <v/>
      </c>
      <c r="U87" s="193" t="str">
        <f t="shared" si="100"/>
        <v/>
      </c>
      <c r="V87" s="193" t="str">
        <f t="shared" si="100"/>
        <v/>
      </c>
      <c r="W87" s="193" t="str">
        <f t="shared" si="100"/>
        <v/>
      </c>
      <c r="X87" s="193" t="str">
        <f t="shared" si="100"/>
        <v/>
      </c>
      <c r="Y87" s="193" t="str">
        <f t="shared" si="100"/>
        <v/>
      </c>
      <c r="Z87" s="193" t="str">
        <f t="shared" si="100"/>
        <v/>
      </c>
      <c r="AA87" s="193" t="str">
        <f t="shared" si="100"/>
        <v/>
      </c>
      <c r="AB87" s="193" t="str">
        <f t="shared" si="100"/>
        <v/>
      </c>
      <c r="AC87" s="193" t="str">
        <f t="shared" si="100"/>
        <v/>
      </c>
      <c r="AD87" s="193" t="str">
        <f t="shared" si="100"/>
        <v/>
      </c>
      <c r="AE87" s="193" t="str">
        <f t="shared" si="100"/>
        <v/>
      </c>
      <c r="AF87" s="193" t="str">
        <f t="shared" si="100"/>
        <v/>
      </c>
      <c r="AG87" s="193" t="str">
        <f t="shared" si="100"/>
        <v/>
      </c>
      <c r="AH87" s="193" t="str">
        <f t="shared" si="100"/>
        <v/>
      </c>
      <c r="AI87" s="193" t="str">
        <f t="shared" si="100"/>
        <v/>
      </c>
      <c r="AJ87" s="193" t="str">
        <f t="shared" si="100"/>
        <v/>
      </c>
      <c r="AK87" s="193" t="str">
        <f t="shared" si="100"/>
        <v/>
      </c>
      <c r="AL87" s="193" t="str">
        <f t="shared" si="100"/>
        <v/>
      </c>
      <c r="AM87" s="193" t="str">
        <f t="shared" si="100"/>
        <v/>
      </c>
      <c r="AN87" s="189" t="str">
        <f t="shared" si="100"/>
        <v/>
      </c>
      <c r="AO87" s="162" t="str">
        <f t="shared" si="100"/>
        <v/>
      </c>
      <c r="AP87" s="163" t="str">
        <f t="shared" si="100"/>
        <v/>
      </c>
      <c r="AQ87" s="163" t="str">
        <f t="shared" si="100"/>
        <v/>
      </c>
      <c r="AR87" s="163" t="str">
        <f t="shared" si="100"/>
        <v/>
      </c>
      <c r="AS87" s="163" t="str">
        <f t="shared" si="100"/>
        <v/>
      </c>
      <c r="AT87" s="163" t="str">
        <f t="shared" si="100"/>
        <v/>
      </c>
      <c r="AU87" s="194" t="str">
        <f t="shared" si="100"/>
        <v/>
      </c>
      <c r="AV87" s="165" t="str">
        <f t="shared" si="100"/>
        <v/>
      </c>
    </row>
    <row r="88" spans="1:48" x14ac:dyDescent="0.25">
      <c r="A88" s="133" t="str">
        <f t="shared" ref="A88" si="101">+IF(C88+C89=0,"[ocultar]","")</f>
        <v>[ocultar]</v>
      </c>
      <c r="B88" s="202" t="s">
        <v>394</v>
      </c>
      <c r="C88" s="203">
        <f t="array" ref="C88">SUM(IF($B88=DATOS_[Sexo],
IF($B87=DATOS_[AGRUP. VALOR. PTO.],
IF("Dentro"=DATOS_[Check Periodo Ref.],
1/(COUNTIFS(DATOS_[Sexo],$B88,DATOS_[AGRUP. VALOR. PTO.],$B87,DATOS_[Check Periodo Ref.],"Dentro",DATOS_[id/cod],DATOS_[id/cod]))))))</f>
        <v>0</v>
      </c>
      <c r="D88" s="204">
        <f>COUNTIFS(DATOS_[AGRUP. VALOR. PTO.],$B87,DATOS_[Sexo],$B88,DATOS_[Check Periodo Ref.],"Dentro")</f>
        <v>0</v>
      </c>
      <c r="E88" s="204">
        <f>COUNTIFS(DATOS_[AGRUP. VALOR. PTO.],$B87,DATOS_[Sexo],$B88,DATOS_[Check Periodo Ref.],"Dentro",DATOS_[Check Nº SC Norm],"Sí")</f>
        <v>0</v>
      </c>
      <c r="F88" s="204">
        <f>COUNTIFS(DATOS_[AGRUP. VALOR. PTO.],$B87,DATOS_[Sexo],$B88,DATOS_[Check Periodo Ref.],"Dentro",DATOS_[Check Nº SC Anualiz],"Sí")</f>
        <v>0</v>
      </c>
      <c r="G88" s="204">
        <f>COUNTIFS(DATOS_[AGRUP. VALOR. PTO.],$B87,DATOS_[Sexo],$B88,DATOS_[Check Periodo Ref.],"Dentro",DATOS_[Check Nº SC Norm y Anualiz],"Sí")</f>
        <v>0</v>
      </c>
      <c r="H88" s="204">
        <f>COUNTIFS(DATOS_[AGRUP. VALOR. PTO.],$B87,DATOS_[Sexo],$B88,DATOS_[Check Periodo Ref.],"Dentro",DATOS_[Check Equiparación],"Sí")</f>
        <v>0</v>
      </c>
      <c r="I88" s="195">
        <f t="array" ref="I88">IFERROR(
MEDIAN(IF(DATOS_[Sexo]=$B88,IF(DATOS_[[AGRUP. VALOR. PTO.]:[AGRUP. VALOR. PTO.]]=$B87,IF(DATOS_[Check Equiparado]="Sí",IF(DATOS_[Check Periodo Ref.]="Dentro",DATOS_[SALARIO BASE Eq],FALSE))))),
0)</f>
        <v>0</v>
      </c>
      <c r="J88" s="196">
        <f t="array" ref="J88">IFERROR(
(MEDIAN((IF(DATOS_[[Sexo]:[Sexo]]=$B88,IF(DATOS_[[AGRUP. VALOR. PTO.]:[AGRUP. VALOR. PTO.]]=$B87,IF(DATOS_[[Check Periodo Ref.]:[Check Periodo Ref.]]="Dentro",IF(DATOS_[[Check Equiparado]:[Check Equiparado]]="Sí",IF(DATOS!AE$5="Sí",(1/DATOS_[[% anualiz]:[% anualiz]]),1)*IF(DATOS!AE$4="Sí",1/DATOS_[[% normaliz]:[% normaliz]],1)*(DATOS_[Conc.Sal.01])))))))),
0)</f>
        <v>0</v>
      </c>
      <c r="K88" s="196">
        <f t="array" ref="K88">IFERROR(
(MEDIAN((IF(DATOS_[[Sexo]:[Sexo]]=$B88,IF(DATOS_[[AGRUP. VALOR. PTO.]:[AGRUP. VALOR. PTO.]]=$B87,IF(DATOS_[[Check Periodo Ref.]:[Check Periodo Ref.]]="Dentro",IF(DATOS_[[Check Equiparado]:[Check Equiparado]]="Sí",IF(DATOS!AF$5="Sí",(1/DATOS_[[% anualiz]:[% anualiz]]),1)*IF(DATOS!AF$4="Sí",1/DATOS_[[% normaliz]:[% normaliz]],1)*(DATOS_[Conc.Sal.02])))))))),
0)</f>
        <v>0</v>
      </c>
      <c r="L88" s="196">
        <f t="array" ref="L88">IFERROR(
(MEDIAN((IF(DATOS_[[Sexo]:[Sexo]]=$B88,IF(DATOS_[[AGRUP. VALOR. PTO.]:[AGRUP. VALOR. PTO.]]=$B87,IF(DATOS_[[Check Periodo Ref.]:[Check Periodo Ref.]]="Dentro",IF(DATOS_[[Check Equiparado]:[Check Equiparado]]="Sí",IF(DATOS!AG$5="Sí",(1/DATOS_[[% anualiz]:[% anualiz]]),1)*IF(DATOS!AG$4="Sí",1/DATOS_[[% normaliz]:[% normaliz]],1)*(DATOS_[Conc.Sal.03])))))))),
0)</f>
        <v>0</v>
      </c>
      <c r="M88" s="196">
        <f t="array" ref="M88">IFERROR(
(MEDIAN((IF(DATOS_[[Sexo]:[Sexo]]=$B88,IF(DATOS_[[AGRUP. VALOR. PTO.]:[AGRUP. VALOR. PTO.]]=$B87,IF(DATOS_[[Check Periodo Ref.]:[Check Periodo Ref.]]="Dentro",IF(DATOS_[[Check Equiparado]:[Check Equiparado]]="Sí",IF(DATOS!AH$5="Sí",(1/DATOS_[[% anualiz]:[% anualiz]]),1)*IF(DATOS!AH$4="Sí",1/DATOS_[[% normaliz]:[% normaliz]],1)*(DATOS_[Conc.Sal.04])))))))),
0)</f>
        <v>0</v>
      </c>
      <c r="N88" s="196">
        <f t="array" ref="N88">IFERROR(
(MEDIAN((IF(DATOS_[[Sexo]:[Sexo]]=$B88,IF(DATOS_[[AGRUP. VALOR. PTO.]:[AGRUP. VALOR. PTO.]]=$B87,IF(DATOS_[[Check Periodo Ref.]:[Check Periodo Ref.]]="Dentro",IF(DATOS_[[Check Equiparado]:[Check Equiparado]]="Sí",IF(DATOS!AI$5="Sí",(1/DATOS_[[% anualiz]:[% anualiz]]),1)*IF(DATOS!AI$4="Sí",1/DATOS_[[% normaliz]:[% normaliz]],1)*(DATOS_[Conc.Sal.05])))))))),
0)</f>
        <v>0</v>
      </c>
      <c r="O88" s="196">
        <f t="array" ref="O88">IFERROR(
(MEDIAN((IF(DATOS_[[Sexo]:[Sexo]]=$B88,IF(DATOS_[[AGRUP. VALOR. PTO.]:[AGRUP. VALOR. PTO.]]=$B87,IF(DATOS_[[Check Periodo Ref.]:[Check Periodo Ref.]]="Dentro",IF(DATOS_[[Check Equiparado]:[Check Equiparado]]="Sí",IF(DATOS!AJ$5="Sí",(1/DATOS_[[% anualiz]:[% anualiz]]),1)*IF(DATOS!AJ$4="Sí",1/DATOS_[[% normaliz]:[% normaliz]],1)*(DATOS_[Conc.Sal.06])))))))),
0)</f>
        <v>0</v>
      </c>
      <c r="P88" s="196">
        <f t="array" ref="P88">IFERROR(
(MEDIAN((IF(DATOS_[[Sexo]:[Sexo]]=$B88,IF(DATOS_[[AGRUP. VALOR. PTO.]:[AGRUP. VALOR. PTO.]]=$B87,IF(DATOS_[[Check Periodo Ref.]:[Check Periodo Ref.]]="Dentro",IF(DATOS_[[Check Equiparado]:[Check Equiparado]]="Sí",IF(DATOS!AK$5="Sí",(1/DATOS_[[% anualiz]:[% anualiz]]),1)*IF(DATOS!AK$4="Sí",1/DATOS_[[% normaliz]:[% normaliz]],1)*(DATOS_[Conc.Sal.07])))))))),
0)</f>
        <v>0</v>
      </c>
      <c r="Q88" s="196">
        <f t="array" ref="Q88">IFERROR(
(MEDIAN((IF(DATOS_[[Sexo]:[Sexo]]=$B88,IF(DATOS_[[AGRUP. VALOR. PTO.]:[AGRUP. VALOR. PTO.]]=$B87,IF(DATOS_[[Check Periodo Ref.]:[Check Periodo Ref.]]="Dentro",IF(DATOS_[[Check Equiparado]:[Check Equiparado]]="Sí",IF(DATOS!AL$5="Sí",(1/DATOS_[[% anualiz]:[% anualiz]]),1)*IF(DATOS!AL$4="Sí",1/DATOS_[[% normaliz]:[% normaliz]],1)*(DATOS_[Conc.Sal.08])))))))),
0)</f>
        <v>0</v>
      </c>
      <c r="R88" s="196">
        <f t="array" ref="R88">IFERROR(
(MEDIAN((IF(DATOS_[[Sexo]:[Sexo]]=$B88,IF(DATOS_[[AGRUP. VALOR. PTO.]:[AGRUP. VALOR. PTO.]]=$B87,IF(DATOS_[[Check Periodo Ref.]:[Check Periodo Ref.]]="Dentro",IF(DATOS_[[Check Equiparado]:[Check Equiparado]]="Sí",IF(DATOS!AM$5="Sí",(1/DATOS_[[% anualiz]:[% anualiz]]),1)*IF(DATOS!AM$4="Sí",1/DATOS_[[% normaliz]:[% normaliz]],1)*(DATOS_[Conc.Sal.09])))))))),
0)</f>
        <v>0</v>
      </c>
      <c r="S88" s="196">
        <f t="array" ref="S88">IFERROR(
(MEDIAN((IF(DATOS_[[Sexo]:[Sexo]]=$B88,IF(DATOS_[[AGRUP. VALOR. PTO.]:[AGRUP. VALOR. PTO.]]=$B87,IF(DATOS_[[Check Periodo Ref.]:[Check Periodo Ref.]]="Dentro",IF(DATOS_[[Check Equiparado]:[Check Equiparado]]="Sí",IF(DATOS!AN$5="Sí",(1/DATOS_[[% anualiz]:[% anualiz]]),1)*IF(DATOS!AN$4="Sí",1/DATOS_[[% normaliz]:[% normaliz]],1)*(DATOS_[Conc.Sal.10])))))))),
0)</f>
        <v>0</v>
      </c>
      <c r="T88" s="196">
        <f t="array" ref="T88">IFERROR(
(MEDIAN((IF(DATOS_[[Sexo]:[Sexo]]=$B88,IF(DATOS_[[AGRUP. VALOR. PTO.]:[AGRUP. VALOR. PTO.]]=$B87,IF(DATOS_[[Check Periodo Ref.]:[Check Periodo Ref.]]="Dentro",IF(DATOS_[[Check Equiparado]:[Check Equiparado]]="Sí",IF(DATOS!AO$5="Sí",(1/DATOS_[[% anualiz]:[% anualiz]]),1)*IF(DATOS!AO$4="Sí",1/DATOS_[[% normaliz]:[% normaliz]],1)*(DATOS_[Conc.Sal.11])))))))),
0)</f>
        <v>0</v>
      </c>
      <c r="U88" s="196">
        <f t="array" ref="U88">IFERROR(
(MEDIAN((IF(DATOS_[[Sexo]:[Sexo]]=$B88,IF(DATOS_[[AGRUP. VALOR. PTO.]:[AGRUP. VALOR. PTO.]]=$B87,IF(DATOS_[[Check Periodo Ref.]:[Check Periodo Ref.]]="Dentro",IF(DATOS_[[Check Equiparado]:[Check Equiparado]]="Sí",IF(DATOS!AP$5="Sí",(1/DATOS_[[% anualiz]:[% anualiz]]),1)*IF(DATOS!AP$4="Sí",1/DATOS_[[% normaliz]:[% normaliz]],1)*(DATOS_[Conc.Sal.12])))))))),
0)</f>
        <v>0</v>
      </c>
      <c r="V88" s="196">
        <f t="array" ref="V88">IFERROR(
(MEDIAN((IF(DATOS_[[Sexo]:[Sexo]]=$B88,IF(DATOS_[[AGRUP. VALOR. PTO.]:[AGRUP. VALOR. PTO.]]=$B87,IF(DATOS_[[Check Periodo Ref.]:[Check Periodo Ref.]]="Dentro",IF(DATOS_[[Check Equiparado]:[Check Equiparado]]="Sí",IF(DATOS!AQ$5="Sí",(1/DATOS_[[% anualiz]:[% anualiz]]),1)*IF(DATOS!AQ$4="Sí",1/DATOS_[[% normaliz]:[% normaliz]],1)*(DATOS_[Conc.Sal.13])))))))),
0)</f>
        <v>0</v>
      </c>
      <c r="W88" s="196">
        <f t="array" ref="W88">IFERROR(
(MEDIAN((IF(DATOS_[[Sexo]:[Sexo]]=$B88,IF(DATOS_[[AGRUP. VALOR. PTO.]:[AGRUP. VALOR. PTO.]]=$B87,IF(DATOS_[[Check Periodo Ref.]:[Check Periodo Ref.]]="Dentro",IF(DATOS_[[Check Equiparado]:[Check Equiparado]]="Sí",IF(DATOS!AR$5="Sí",(1/DATOS_[[% anualiz]:[% anualiz]]),1)*IF(DATOS!AR$4="Sí",1/DATOS_[[% normaliz]:[% normaliz]],1)*(DATOS_[Conc.Sal.14])))))))),
0)</f>
        <v>0</v>
      </c>
      <c r="X88" s="196">
        <f t="array" ref="X88">IFERROR(
(MEDIAN((IF(DATOS_[[Sexo]:[Sexo]]=$B88,IF(DATOS_[[AGRUP. VALOR. PTO.]:[AGRUP. VALOR. PTO.]]=$B87,IF(DATOS_[[Check Periodo Ref.]:[Check Periodo Ref.]]="Dentro",IF(DATOS_[[Check Equiparado]:[Check Equiparado]]="Sí",IF(DATOS!AS$5="Sí",(1/DATOS_[[% anualiz]:[% anualiz]]),1)*IF(DATOS!AS$4="Sí",1/DATOS_[[% normaliz]:[% normaliz]],1)*(DATOS_[Conc.Sal.15])))))))),
0)</f>
        <v>0</v>
      </c>
      <c r="Y88" s="196">
        <f t="array" ref="Y88">IFERROR(
(MEDIAN((IF(DATOS_[[Sexo]:[Sexo]]=$B88,IF(DATOS_[[AGRUP. VALOR. PTO.]:[AGRUP. VALOR. PTO.]]=$B87,IF(DATOS_[[Check Periodo Ref.]:[Check Periodo Ref.]]="Dentro",IF(DATOS_[[Check Equiparado]:[Check Equiparado]]="Sí",IF(DATOS!AT$5="Sí",(1/DATOS_[[% anualiz]:[% anualiz]]),1)*IF(DATOS!AT$4="Sí",1/DATOS_[[% normaliz]:[% normaliz]],1)*(DATOS_[Conc.Sal.16])))))))),
0)</f>
        <v>0</v>
      </c>
      <c r="Z88" s="196">
        <f t="array" ref="Z88">IFERROR(
(MEDIAN((IF(DATOS_[[Sexo]:[Sexo]]=$B88,IF(DATOS_[[AGRUP. VALOR. PTO.]:[AGRUP. VALOR. PTO.]]=$B87,IF(DATOS_[[Check Periodo Ref.]:[Check Periodo Ref.]]="Dentro",IF(DATOS_[[Check Equiparado]:[Check Equiparado]]="Sí",IF(DATOS!AU$5="Sí",(1/DATOS_[[% anualiz]:[% anualiz]]),1)*IF(DATOS!AU$4="Sí",1/DATOS_[[% normaliz]:[% normaliz]],1)*(DATOS_[Conc.Sal.17])))))))),
0)</f>
        <v>0</v>
      </c>
      <c r="AA88" s="196">
        <f t="array" ref="AA88">IFERROR(
(MEDIAN((IF(DATOS_[[Sexo]:[Sexo]]=$B88,IF(DATOS_[[AGRUP. VALOR. PTO.]:[AGRUP. VALOR. PTO.]]=$B87,IF(DATOS_[[Check Periodo Ref.]:[Check Periodo Ref.]]="Dentro",IF(DATOS_[[Check Equiparado]:[Check Equiparado]]="Sí",IF(DATOS!AV$5="Sí",(1/DATOS_[[% anualiz]:[% anualiz]]),1)*IF(DATOS!AV$4="Sí",1/DATOS_[[% normaliz]:[% normaliz]],1)*(DATOS_[Conc.Sal.18])))))))),
0)</f>
        <v>0</v>
      </c>
      <c r="AB88" s="196">
        <f t="array" ref="AB88">IFERROR(
(MEDIAN((IF(DATOS_[[Sexo]:[Sexo]]=$B88,IF(DATOS_[[AGRUP. VALOR. PTO.]:[AGRUP. VALOR. PTO.]]=$B87,IF(DATOS_[[Check Periodo Ref.]:[Check Periodo Ref.]]="Dentro",IF(DATOS_[[Check Equiparado]:[Check Equiparado]]="Sí",IF(DATOS!AW$5="Sí",(1/DATOS_[[% anualiz]:[% anualiz]]),1)*IF(DATOS!AW$4="Sí",1/DATOS_[[% normaliz]:[% normaliz]],1)*(DATOS_[Conc.Sal.19])))))))),
0)</f>
        <v>0</v>
      </c>
      <c r="AC88" s="196">
        <f t="array" ref="AC88">IFERROR(
(MEDIAN((IF(DATOS_[[Sexo]:[Sexo]]=$B88,IF(DATOS_[[AGRUP. VALOR. PTO.]:[AGRUP. VALOR. PTO.]]=$B87,IF(DATOS_[[Check Periodo Ref.]:[Check Periodo Ref.]]="Dentro",IF(DATOS_[[Check Equiparado]:[Check Equiparado]]="Sí",IF(DATOS!AX$5="Sí",(1/DATOS_[[% anualiz]:[% anualiz]]),1)*IF(DATOS!AX$4="Sí",1/DATOS_[[% normaliz]:[% normaliz]],1)*(DATOS_[Conc.Sal.20])))))))),
0)</f>
        <v>0</v>
      </c>
      <c r="AD88" s="196">
        <f t="array" ref="AD88">IFERROR(
(MEDIAN((IF(DATOS_[[Sexo]:[Sexo]]=$B88,IF(DATOS_[[AGRUP. VALOR. PTO.]:[AGRUP. VALOR. PTO.]]=$B87,IF(DATOS_[[Check Periodo Ref.]:[Check Periodo Ref.]]="Dentro",IF(DATOS_[[Check Equiparado]:[Check Equiparado]]="Sí",IF(DATOS!AY$5="Sí",(1/DATOS_[[% anualiz]:[% anualiz]]),1)*IF(DATOS!AY$4="Sí",1/DATOS_[[% normaliz]:[% normaliz]],1)*(DATOS_[Conc.Sal.21])))))))),
0)</f>
        <v>0</v>
      </c>
      <c r="AE88" s="196">
        <f t="array" ref="AE88">IFERROR(
(MEDIAN((IF(DATOS_[[Sexo]:[Sexo]]=$B88,IF(DATOS_[[AGRUP. VALOR. PTO.]:[AGRUP. VALOR. PTO.]]=$B87,IF(DATOS_[[Check Periodo Ref.]:[Check Periodo Ref.]]="Dentro",IF(DATOS_[[Check Equiparado]:[Check Equiparado]]="Sí",IF(DATOS!AZ$5="Sí",(1/DATOS_[[% anualiz]:[% anualiz]]),1)*IF(DATOS!AZ$4="Sí",1/DATOS_[[% normaliz]:[% normaliz]],1)*(DATOS_[Conc.Sal.22])))))))),
0)</f>
        <v>0</v>
      </c>
      <c r="AF88" s="196">
        <f t="array" ref="AF88">IFERROR(
(MEDIAN((IF(DATOS_[[Sexo]:[Sexo]]=$B88,IF(DATOS_[[AGRUP. VALOR. PTO.]:[AGRUP. VALOR. PTO.]]=$B87,IF(DATOS_[[Check Periodo Ref.]:[Check Periodo Ref.]]="Dentro",IF(DATOS_[[Check Equiparado]:[Check Equiparado]]="Sí",IF(DATOS!BA$5="Sí",(1/DATOS_[[% anualiz]:[% anualiz]]),1)*IF(DATOS!BA$4="Sí",1/DATOS_[[% normaliz]:[% normaliz]],1)*(DATOS_[Conc.Sal.23])))))))),
0)</f>
        <v>0</v>
      </c>
      <c r="AG88" s="196">
        <f t="array" ref="AG88">IFERROR(
(MEDIAN((IF(DATOS_[[Sexo]:[Sexo]]=$B88,IF(DATOS_[[AGRUP. VALOR. PTO.]:[AGRUP. VALOR. PTO.]]=$B87,IF(DATOS_[[Check Periodo Ref.]:[Check Periodo Ref.]]="Dentro",IF(DATOS_[[Check Equiparado]:[Check Equiparado]]="Sí",IF(DATOS!BB$5="Sí",(1/DATOS_[[% anualiz]:[% anualiz]]),1)*IF(DATOS!BB$4="Sí",1/DATOS_[[% normaliz]:[% normaliz]],1)*(DATOS_[Conc.Sal.24])))))))),
0)</f>
        <v>0</v>
      </c>
      <c r="AH88" s="196">
        <f t="array" ref="AH88">IFERROR(
(MEDIAN((IF(DATOS_[[Sexo]:[Sexo]]=$B88,IF(DATOS_[[AGRUP. VALOR. PTO.]:[AGRUP. VALOR. PTO.]]=$B87,IF(DATOS_[[Check Periodo Ref.]:[Check Periodo Ref.]]="Dentro",IF(DATOS_[[Check Equiparado]:[Check Equiparado]]="Sí",IF(DATOS!BC$5="Sí",(1/DATOS_[[% anualiz]:[% anualiz]]),1)*IF(DATOS!BC$4="Sí",1/DATOS_[[% normaliz]:[% normaliz]],1)*(DATOS_[Conc.Sal.25])))))))),
0)</f>
        <v>0</v>
      </c>
      <c r="AI88" s="196">
        <f t="array" ref="AI88">IFERROR(
(MEDIAN((IF(DATOS_[[Sexo]:[Sexo]]=$B88,IF(DATOS_[[AGRUP. VALOR. PTO.]:[AGRUP. VALOR. PTO.]]=$B87,IF(DATOS_[[Check Periodo Ref.]:[Check Periodo Ref.]]="Dentro",IF(DATOS_[[Check Equiparado]:[Check Equiparado]]="Sí",IF(DATOS!BD$5="Sí",(1/DATOS_[[% anualiz]:[% anualiz]]),1)*IF(DATOS!BD$4="Sí",1/DATOS_[[% normaliz]:[% normaliz]],1)*(DATOS_[Conc.Sal.26])))))))),
0)</f>
        <v>0</v>
      </c>
      <c r="AJ88" s="196">
        <f t="array" ref="AJ88">IFERROR(
(MEDIAN((IF(DATOS_[[Sexo]:[Sexo]]=$B88,IF(DATOS_[[AGRUP. VALOR. PTO.]:[AGRUP. VALOR. PTO.]]=$B87,IF(DATOS_[[Check Periodo Ref.]:[Check Periodo Ref.]]="Dentro",IF(DATOS_[[Check Equiparado]:[Check Equiparado]]="Sí",IF(DATOS!BE$5="Sí",(1/DATOS_[[% anualiz]:[% anualiz]]),1)*IF(DATOS!BE$4="Sí",1/DATOS_[[% normaliz]:[% normaliz]],1)*(DATOS_[Conc.Sal.27])))))))),
0)</f>
        <v>0</v>
      </c>
      <c r="AK88" s="196">
        <f t="array" ref="AK88">IFERROR(
(MEDIAN((IF(DATOS_[[Sexo]:[Sexo]]=$B88,IF(DATOS_[[AGRUP. VALOR. PTO.]:[AGRUP. VALOR. PTO.]]=$B87,IF(DATOS_[[Check Periodo Ref.]:[Check Periodo Ref.]]="Dentro",IF(DATOS_[[Check Equiparado]:[Check Equiparado]]="Sí",IF(DATOS!BF$5="Sí",(1/DATOS_[[% anualiz]:[% anualiz]]),1)*IF(DATOS!BF$4="Sí",1/DATOS_[[% normaliz]:[% normaliz]],1)*(DATOS_[Conc.Sal.28])))))))),
0)</f>
        <v>0</v>
      </c>
      <c r="AL88" s="196">
        <f t="array" ref="AL88">IFERROR(
(MEDIAN((IF(DATOS_[[Sexo]:[Sexo]]=$B88,IF(DATOS_[[AGRUP. VALOR. PTO.]:[AGRUP. VALOR. PTO.]]=$B87,IF(DATOS_[[Check Periodo Ref.]:[Check Periodo Ref.]]="Dentro",IF(DATOS_[[Check Equiparado]:[Check Equiparado]]="Sí",IF(DATOS!BG$5="Sí",(1/DATOS_[[% anualiz]:[% anualiz]]),1)*IF(DATOS!BG$4="Sí",1/DATOS_[[% normaliz]:[% normaliz]],1)*(DATOS_[Conc.Sal.29])))))))),
0)</f>
        <v>0</v>
      </c>
      <c r="AM88" s="196">
        <f t="array" ref="AM88">IFERROR(
(MEDIAN((IF(DATOS_[[Sexo]:[Sexo]]=$B88,IF(DATOS_[[AGRUP. VALOR. PTO.]:[AGRUP. VALOR. PTO.]]=$B87,IF(DATOS_[[Check Periodo Ref.]:[Check Periodo Ref.]]="Dentro",IF(DATOS_[[Check Equiparado]:[Check Equiparado]]="Sí",IF(DATOS!BH$5="Sí",(1/DATOS_[[% anualiz]:[% anualiz]]),1)*IF(DATOS!BH$4="Sí",1/DATOS_[[% normaliz]:[% normaliz]],1)*(DATOS_[Conc.Sal.30])))))))),
0)</f>
        <v>0</v>
      </c>
      <c r="AN88" s="195">
        <f t="array" ref="AN88">IFERROR(
MEDIAN(IF(DATOS_[Sexo]=$B88,IF(DATOS_[[AGRUP. VALOR. PTO.]:[AGRUP. VALOR. PTO.]]=$B87,IF(DATOS_[Check Equiparado]="Sí",IF(DATOS_[Check Periodo Ref.]="Dentro",DATOS_[Tot COMPL.SAL Eq],FALSE))))),
0)</f>
        <v>0</v>
      </c>
      <c r="AO88" s="172">
        <f t="array" ref="AO88">IFERROR(
MEDIAN(IF(DATOS_[Sexo]=$B88,IF(DATOS_[[AGRUP. VALOR. PTO.]:[AGRUP. VALOR. PTO.]]=$B87,IF(DATOS_[Check Equiparado]="Sí",IF(DATOS_[Check Periodo Ref.]="Dentro",DATOS_[TOTAL SALARIO Eq],FALSE))))),
0)</f>
        <v>0</v>
      </c>
      <c r="AP88" s="173">
        <f t="array" ref="AP88">IFERROR(
(MEDIAN((IF(DATOS_[[Sexo]:[Sexo]]=$B88,IF(DATOS_[[AGRUP. VALOR. PTO.]:[AGRUP. VALOR. PTO.]]=$B87,IF(DATOS_[[Check Periodo Ref.]:[Check Periodo Ref.]]="Dentro",IF(DATOS_[[Check Equiparado]:[Check Equiparado]]="Sí",IF(DATOS!BW$5="Sí",(1/DATOS_[[% anualiz]:[% anualiz]]),1)*IF(DATOS!BW$4="Sí",1/DATOS_[[% normaliz]:[% normaliz]],1)*(DATOS_[C.Extra.01])))))))),
0)</f>
        <v>0</v>
      </c>
      <c r="AQ88" s="173">
        <f t="array" ref="AQ88">IFERROR(
(MEDIAN((IF(DATOS_[[Sexo]:[Sexo]]=$B88,IF(DATOS_[[AGRUP. VALOR. PTO.]:[AGRUP. VALOR. PTO.]]=$B87,IF(DATOS_[[Check Periodo Ref.]:[Check Periodo Ref.]]="Dentro",IF(DATOS_[[Check Equiparado]:[Check Equiparado]]="Sí",IF(DATOS!CB$5="Sí",(1/DATOS_[[% anualiz]:[% anualiz]]),1)*IF(DATOS!CB$4="Sí",1/DATOS_[[% normaliz]:[% normaliz]],1)*(DATOS_[C.Extra.06])))))))),
0)</f>
        <v>0</v>
      </c>
      <c r="AR88" s="173">
        <f t="array" ref="AR88">IFERROR(
(MEDIAN((IF(DATOS_[[Sexo]:[Sexo]]=$B88,IF(DATOS_[[AGRUP. VALOR. PTO.]:[AGRUP. VALOR. PTO.]]=$B87,IF(DATOS_[[Check Periodo Ref.]:[Check Periodo Ref.]]="Dentro",IF(DATOS_[[Check Equiparado]:[Check Equiparado]]="Sí",IF(DATOS!CC$5="Sí",(1/DATOS_[[% anualiz]:[% anualiz]]),1)*IF(DATOS!CC$4="Sí",1/DATOS_[[% normaliz]:[% normaliz]],1)*(DATOS_[C.Extra.07])))))))),
0)</f>
        <v>0</v>
      </c>
      <c r="AS88" s="173">
        <f t="array" ref="AS88">IFERROR(
(MEDIAN((IF(DATOS_[[Sexo]:[Sexo]]=$B88,IF(DATOS_[[AGRUP. VALOR. PTO.]:[AGRUP. VALOR. PTO.]]=$B87,IF(DATOS_[[Check Periodo Ref.]:[Check Periodo Ref.]]="Dentro",IF(DATOS_[[Check Equiparado]:[Check Equiparado]]="Sí",IF(DATOS!CD$5="Sí",(1/DATOS_[[% anualiz]:[% anualiz]]),1)*IF(DATOS!CD$4="Sí",1/DATOS_[[% normaliz]:[% normaliz]],1)*(DATOS_[C.Extra.08])))))))),
0)</f>
        <v>0</v>
      </c>
      <c r="AT88" s="173">
        <f t="array" ref="AT88">IFERROR(
(MEDIAN((IF(DATOS_[[Sexo]:[Sexo]]=$B88,IF(DATOS_[[AGRUP. VALOR. PTO.]:[AGRUP. VALOR. PTO.]]=$B87,IF(DATOS_[[Check Periodo Ref.]:[Check Periodo Ref.]]="Dentro",IF(DATOS_[[Check Equiparado]:[Check Equiparado]]="Sí",IF(DATOS!CG$5="Sí",(1/DATOS_[[% anualiz]:[% anualiz]]),1)*IF(DATOS!CG$4="Sí",1/DATOS_[[% normaliz]:[% normaliz]],1)*(DATOS_[C.Extra.11])))))))),
0)</f>
        <v>0</v>
      </c>
      <c r="AU88" s="197">
        <f t="array" ref="AU88">IFERROR(
MEDIAN(IF(DATOS_[Sexo]=$B88,IF(DATOS_[[AGRUP. VALOR. PTO.]:[AGRUP. VALOR. PTO.]]=$B87,IF(DATOS_[Check Equiparado]="Sí",IF(DATOS_[Check Periodo Ref.]="Dentro",DATOS_[Tot Extrasalarial Eq],FALSE))))),
0)</f>
        <v>0</v>
      </c>
      <c r="AV88" s="175">
        <f t="array" ref="AV88">IFERROR(
MEDIAN(IF(DATOS_[Sexo]=$B88,IF(DATOS_[[AGRUP. VALOR. PTO.]:[AGRUP. VALOR. PTO.]]=$B87,IF(DATOS_[Check Equiparado]="Sí",IF(DATOS_[Check Periodo Ref.]="Dentro",DATOS_[TOTAL Retrib Eq],FALSE))))),
0)</f>
        <v>0</v>
      </c>
    </row>
    <row r="89" spans="1:48" x14ac:dyDescent="0.25">
      <c r="A89" s="133" t="str">
        <f t="shared" ref="A89" si="102">+A88</f>
        <v>[ocultar]</v>
      </c>
      <c r="B89" s="202" t="s">
        <v>521</v>
      </c>
      <c r="C89" s="203">
        <f t="array" ref="C89">SUM(IF($B89=DATOS_[Sexo],
IF($B87=DATOS_[AGRUP. VALOR. PTO.],
IF("Dentro"=DATOS_[Check Periodo Ref.],
1/(COUNTIFS(DATOS_[Sexo],$B89,DATOS_[AGRUP. VALOR. PTO.],$B87,DATOS_[Check Periodo Ref.],"Dentro",DATOS_[id/cod],DATOS_[id/cod]))))))</f>
        <v>0</v>
      </c>
      <c r="D89" s="204">
        <f>COUNTIFS(DATOS_[AGRUP. VALOR. PTO.],$B87,DATOS_[Sexo],$B89,DATOS_[Check Periodo Ref.],"Dentro")</f>
        <v>0</v>
      </c>
      <c r="E89" s="204">
        <f>COUNTIFS(DATOS_[AGRUP. VALOR. PTO.],$B87,DATOS_[Sexo],$B89,DATOS_[Check Periodo Ref.],"Dentro",DATOS_[Check Nº SC Norm],"Sí")</f>
        <v>0</v>
      </c>
      <c r="F89" s="204">
        <f>COUNTIFS(DATOS_[AGRUP. VALOR. PTO.],$B87,DATOS_[Sexo],$B89,DATOS_[Check Periodo Ref.],"Dentro",DATOS_[Check Nº SC Anualiz],"Sí")</f>
        <v>0</v>
      </c>
      <c r="G89" s="204">
        <f>COUNTIFS(DATOS_[AGRUP. VALOR. PTO.],$B87,DATOS_[Sexo],$B89,DATOS_[Check Periodo Ref.],"Dentro",DATOS_[Check Nº SC Norm y Anualiz],"Sí")</f>
        <v>0</v>
      </c>
      <c r="H89" s="204">
        <f>COUNTIFS(DATOS_[AGRUP. VALOR. PTO.],$B87,DATOS_[Sexo],$B89,DATOS_[Check Periodo Ref.],"Dentro",DATOS_[Check Equiparación],"Sí")</f>
        <v>0</v>
      </c>
      <c r="I89" s="195" cm="1">
        <f t="array" ref="I89">IFERROR(
MEDIAN(IF(DATOS_[Sexo]=$B89,IF(DATOS_[[AGRUP. VALOR. PTO.]:[AGRUP. VALOR. PTO.]]=$B87,IF(DATOS_[Check Equiparado]="Sí",IF(DATOS_[Check Periodo Ref.]="Dentro",DATOS_[SALARIO BASE Eq],FALSE))))),
0)</f>
        <v>0</v>
      </c>
      <c r="J89" s="196">
        <f t="array" ref="J89">IFERROR(
(MEDIAN((IF(DATOS_[[Sexo]:[Sexo]]=$B89,IF(DATOS_[[AGRUP. VALOR. PTO.]:[AGRUP. VALOR. PTO.]]=$B87,IF(DATOS_[[Check Periodo Ref.]:[Check Periodo Ref.]]="Dentro",IF(DATOS_[[Check Equiparado]:[Check Equiparado]]="Sí",IF(DATOS!AE$5="Sí",(1/DATOS_[[% anualiz]:[% anualiz]]),1)*IF(DATOS!AE$4="Sí",1/DATOS_[[% normaliz]:[% normaliz]],1)*(DATOS_[Conc.Sal.01])))))))),
0)</f>
        <v>0</v>
      </c>
      <c r="K89" s="196">
        <f t="array" ref="K89">IFERROR(
(MEDIAN((IF(DATOS_[[Sexo]:[Sexo]]=$B89,IF(DATOS_[[AGRUP. VALOR. PTO.]:[AGRUP. VALOR. PTO.]]=$B87,IF(DATOS_[[Check Periodo Ref.]:[Check Periodo Ref.]]="Dentro",IF(DATOS_[[Check Equiparado]:[Check Equiparado]]="Sí",IF(DATOS!AF$5="Sí",(1/DATOS_[[% anualiz]:[% anualiz]]),1)*IF(DATOS!AF$4="Sí",1/DATOS_[[% normaliz]:[% normaliz]],1)*(DATOS_[Conc.Sal.02])))))))),
0)</f>
        <v>0</v>
      </c>
      <c r="L89" s="196">
        <f t="array" ref="L89">IFERROR(
(MEDIAN((IF(DATOS_[[Sexo]:[Sexo]]=$B89,IF(DATOS_[[AGRUP. VALOR. PTO.]:[AGRUP. VALOR. PTO.]]=$B87,IF(DATOS_[[Check Periodo Ref.]:[Check Periodo Ref.]]="Dentro",IF(DATOS_[[Check Equiparado]:[Check Equiparado]]="Sí",IF(DATOS!AG$5="Sí",(1/DATOS_[[% anualiz]:[% anualiz]]),1)*IF(DATOS!AG$4="Sí",1/DATOS_[[% normaliz]:[% normaliz]],1)*(DATOS_[Conc.Sal.03])))))))),
0)</f>
        <v>0</v>
      </c>
      <c r="M89" s="196">
        <f t="array" ref="M89">IFERROR(
(MEDIAN((IF(DATOS_[[Sexo]:[Sexo]]=$B89,IF(DATOS_[[AGRUP. VALOR. PTO.]:[AGRUP. VALOR. PTO.]]=$B87,IF(DATOS_[[Check Periodo Ref.]:[Check Periodo Ref.]]="Dentro",IF(DATOS_[[Check Equiparado]:[Check Equiparado]]="Sí",IF(DATOS!AH$5="Sí",(1/DATOS_[[% anualiz]:[% anualiz]]),1)*IF(DATOS!AH$4="Sí",1/DATOS_[[% normaliz]:[% normaliz]],1)*(DATOS_[Conc.Sal.04])))))))),
0)</f>
        <v>0</v>
      </c>
      <c r="N89" s="196">
        <f t="array" ref="N89">IFERROR(
(MEDIAN((IF(DATOS_[[Sexo]:[Sexo]]=$B89,IF(DATOS_[[AGRUP. VALOR. PTO.]:[AGRUP. VALOR. PTO.]]=$B87,IF(DATOS_[[Check Periodo Ref.]:[Check Periodo Ref.]]="Dentro",IF(DATOS_[[Check Equiparado]:[Check Equiparado]]="Sí",IF(DATOS!AI$5="Sí",(1/DATOS_[[% anualiz]:[% anualiz]]),1)*IF(DATOS!AI$4="Sí",1/DATOS_[[% normaliz]:[% normaliz]],1)*(DATOS_[Conc.Sal.05])))))))),
0)</f>
        <v>0</v>
      </c>
      <c r="O89" s="196">
        <f t="array" ref="O89">IFERROR(
(MEDIAN((IF(DATOS_[[Sexo]:[Sexo]]=$B89,IF(DATOS_[[AGRUP. VALOR. PTO.]:[AGRUP. VALOR. PTO.]]=$B87,IF(DATOS_[[Check Periodo Ref.]:[Check Periodo Ref.]]="Dentro",IF(DATOS_[[Check Equiparado]:[Check Equiparado]]="Sí",IF(DATOS!AJ$5="Sí",(1/DATOS_[[% anualiz]:[% anualiz]]),1)*IF(DATOS!AJ$4="Sí",1/DATOS_[[% normaliz]:[% normaliz]],1)*(DATOS_[Conc.Sal.06])))))))),
0)</f>
        <v>0</v>
      </c>
      <c r="P89" s="196">
        <f t="array" ref="P89">IFERROR(
(MEDIAN((IF(DATOS_[[Sexo]:[Sexo]]=$B89,IF(DATOS_[[AGRUP. VALOR. PTO.]:[AGRUP. VALOR. PTO.]]=$B87,IF(DATOS_[[Check Periodo Ref.]:[Check Periodo Ref.]]="Dentro",IF(DATOS_[[Check Equiparado]:[Check Equiparado]]="Sí",IF(DATOS!AK$5="Sí",(1/DATOS_[[% anualiz]:[% anualiz]]),1)*IF(DATOS!AK$4="Sí",1/DATOS_[[% normaliz]:[% normaliz]],1)*(DATOS_[Conc.Sal.07])))))))),
0)</f>
        <v>0</v>
      </c>
      <c r="Q89" s="196">
        <f t="array" ref="Q89">IFERROR(
(MEDIAN((IF(DATOS_[[Sexo]:[Sexo]]=$B89,IF(DATOS_[[AGRUP. VALOR. PTO.]:[AGRUP. VALOR. PTO.]]=$B87,IF(DATOS_[[Check Periodo Ref.]:[Check Periodo Ref.]]="Dentro",IF(DATOS_[[Check Equiparado]:[Check Equiparado]]="Sí",IF(DATOS!AL$5="Sí",(1/DATOS_[[% anualiz]:[% anualiz]]),1)*IF(DATOS!AL$4="Sí",1/DATOS_[[% normaliz]:[% normaliz]],1)*(DATOS_[Conc.Sal.08])))))))),
0)</f>
        <v>0</v>
      </c>
      <c r="R89" s="196">
        <f t="array" ref="R89">IFERROR(
(MEDIAN((IF(DATOS_[[Sexo]:[Sexo]]=$B89,IF(DATOS_[[AGRUP. VALOR. PTO.]:[AGRUP. VALOR. PTO.]]=$B87,IF(DATOS_[[Check Periodo Ref.]:[Check Periodo Ref.]]="Dentro",IF(DATOS_[[Check Equiparado]:[Check Equiparado]]="Sí",IF(DATOS!AM$5="Sí",(1/DATOS_[[% anualiz]:[% anualiz]]),1)*IF(DATOS!AM$4="Sí",1/DATOS_[[% normaliz]:[% normaliz]],1)*(DATOS_[Conc.Sal.09])))))))),
0)</f>
        <v>0</v>
      </c>
      <c r="S89" s="196">
        <f t="array" ref="S89">IFERROR(
(MEDIAN((IF(DATOS_[[Sexo]:[Sexo]]=$B89,IF(DATOS_[[AGRUP. VALOR. PTO.]:[AGRUP. VALOR. PTO.]]=$B87,IF(DATOS_[[Check Periodo Ref.]:[Check Periodo Ref.]]="Dentro",IF(DATOS_[[Check Equiparado]:[Check Equiparado]]="Sí",IF(DATOS!AN$5="Sí",(1/DATOS_[[% anualiz]:[% anualiz]]),1)*IF(DATOS!AN$4="Sí",1/DATOS_[[% normaliz]:[% normaliz]],1)*(DATOS_[Conc.Sal.10])))))))),
0)</f>
        <v>0</v>
      </c>
      <c r="T89" s="196">
        <f t="array" ref="T89">IFERROR(
(MEDIAN((IF(DATOS_[[Sexo]:[Sexo]]=$B89,IF(DATOS_[[AGRUP. VALOR. PTO.]:[AGRUP. VALOR. PTO.]]=$B87,IF(DATOS_[[Check Periodo Ref.]:[Check Periodo Ref.]]="Dentro",IF(DATOS_[[Check Equiparado]:[Check Equiparado]]="Sí",IF(DATOS!AO$5="Sí",(1/DATOS_[[% anualiz]:[% anualiz]]),1)*IF(DATOS!AO$4="Sí",1/DATOS_[[% normaliz]:[% normaliz]],1)*(DATOS_[Conc.Sal.11])))))))),
0)</f>
        <v>0</v>
      </c>
      <c r="U89" s="196">
        <f t="array" ref="U89">IFERROR(
(MEDIAN((IF(DATOS_[[Sexo]:[Sexo]]=$B89,IF(DATOS_[[AGRUP. VALOR. PTO.]:[AGRUP. VALOR. PTO.]]=$B87,IF(DATOS_[[Check Periodo Ref.]:[Check Periodo Ref.]]="Dentro",IF(DATOS_[[Check Equiparado]:[Check Equiparado]]="Sí",IF(DATOS!AP$5="Sí",(1/DATOS_[[% anualiz]:[% anualiz]]),1)*IF(DATOS!AP$4="Sí",1/DATOS_[[% normaliz]:[% normaliz]],1)*(DATOS_[Conc.Sal.12])))))))),
0)</f>
        <v>0</v>
      </c>
      <c r="V89" s="196">
        <f t="array" ref="V89">IFERROR(
(MEDIAN((IF(DATOS_[[Sexo]:[Sexo]]=$B89,IF(DATOS_[[AGRUP. VALOR. PTO.]:[AGRUP. VALOR. PTO.]]=$B87,IF(DATOS_[[Check Periodo Ref.]:[Check Periodo Ref.]]="Dentro",IF(DATOS_[[Check Equiparado]:[Check Equiparado]]="Sí",IF(DATOS!AQ$5="Sí",(1/DATOS_[[% anualiz]:[% anualiz]]),1)*IF(DATOS!AQ$4="Sí",1/DATOS_[[% normaliz]:[% normaliz]],1)*(DATOS_[Conc.Sal.13])))))))),
0)</f>
        <v>0</v>
      </c>
      <c r="W89" s="196">
        <f t="array" ref="W89">IFERROR(
(MEDIAN((IF(DATOS_[[Sexo]:[Sexo]]=$B89,IF(DATOS_[[AGRUP. VALOR. PTO.]:[AGRUP. VALOR. PTO.]]=$B87,IF(DATOS_[[Check Periodo Ref.]:[Check Periodo Ref.]]="Dentro",IF(DATOS_[[Check Equiparado]:[Check Equiparado]]="Sí",IF(DATOS!AR$5="Sí",(1/DATOS_[[% anualiz]:[% anualiz]]),1)*IF(DATOS!AR$4="Sí",1/DATOS_[[% normaliz]:[% normaliz]],1)*(DATOS_[Conc.Sal.14])))))))),
0)</f>
        <v>0</v>
      </c>
      <c r="X89" s="196">
        <f t="array" ref="X89">IFERROR(
(MEDIAN((IF(DATOS_[[Sexo]:[Sexo]]=$B89,IF(DATOS_[[AGRUP. VALOR. PTO.]:[AGRUP. VALOR. PTO.]]=$B87,IF(DATOS_[[Check Periodo Ref.]:[Check Periodo Ref.]]="Dentro",IF(DATOS_[[Check Equiparado]:[Check Equiparado]]="Sí",IF(DATOS!AS$5="Sí",(1/DATOS_[[% anualiz]:[% anualiz]]),1)*IF(DATOS!AS$4="Sí",1/DATOS_[[% normaliz]:[% normaliz]],1)*(DATOS_[Conc.Sal.15])))))))),
0)</f>
        <v>0</v>
      </c>
      <c r="Y89" s="196">
        <f t="array" ref="Y89">IFERROR(
(MEDIAN((IF(DATOS_[[Sexo]:[Sexo]]=$B89,IF(DATOS_[[AGRUP. VALOR. PTO.]:[AGRUP. VALOR. PTO.]]=$B87,IF(DATOS_[[Check Periodo Ref.]:[Check Periodo Ref.]]="Dentro",IF(DATOS_[[Check Equiparado]:[Check Equiparado]]="Sí",IF(DATOS!AT$5="Sí",(1/DATOS_[[% anualiz]:[% anualiz]]),1)*IF(DATOS!AT$4="Sí",1/DATOS_[[% normaliz]:[% normaliz]],1)*(DATOS_[Conc.Sal.16])))))))),
0)</f>
        <v>0</v>
      </c>
      <c r="Z89" s="196">
        <f t="array" ref="Z89">IFERROR(
(MEDIAN((IF(DATOS_[[Sexo]:[Sexo]]=$B89,IF(DATOS_[[AGRUP. VALOR. PTO.]:[AGRUP. VALOR. PTO.]]=$B87,IF(DATOS_[[Check Periodo Ref.]:[Check Periodo Ref.]]="Dentro",IF(DATOS_[[Check Equiparado]:[Check Equiparado]]="Sí",IF(DATOS!AU$5="Sí",(1/DATOS_[[% anualiz]:[% anualiz]]),1)*IF(DATOS!AU$4="Sí",1/DATOS_[[% normaliz]:[% normaliz]],1)*(DATOS_[Conc.Sal.17])))))))),
0)</f>
        <v>0</v>
      </c>
      <c r="AA89" s="196">
        <f t="array" ref="AA89">IFERROR(
(MEDIAN((IF(DATOS_[[Sexo]:[Sexo]]=$B89,IF(DATOS_[[AGRUP. VALOR. PTO.]:[AGRUP. VALOR. PTO.]]=$B87,IF(DATOS_[[Check Periodo Ref.]:[Check Periodo Ref.]]="Dentro",IF(DATOS_[[Check Equiparado]:[Check Equiparado]]="Sí",IF(DATOS!AV$5="Sí",(1/DATOS_[[% anualiz]:[% anualiz]]),1)*IF(DATOS!AV$4="Sí",1/DATOS_[[% normaliz]:[% normaliz]],1)*(DATOS_[Conc.Sal.18])))))))),
0)</f>
        <v>0</v>
      </c>
      <c r="AB89" s="196">
        <f t="array" ref="AB89">IFERROR(
(MEDIAN((IF(DATOS_[[Sexo]:[Sexo]]=$B89,IF(DATOS_[[AGRUP. VALOR. PTO.]:[AGRUP. VALOR. PTO.]]=$B87,IF(DATOS_[[Check Periodo Ref.]:[Check Periodo Ref.]]="Dentro",IF(DATOS_[[Check Equiparado]:[Check Equiparado]]="Sí",IF(DATOS!AW$5="Sí",(1/DATOS_[[% anualiz]:[% anualiz]]),1)*IF(DATOS!AW$4="Sí",1/DATOS_[[% normaliz]:[% normaliz]],1)*(DATOS_[Conc.Sal.19])))))))),
0)</f>
        <v>0</v>
      </c>
      <c r="AC89" s="196">
        <f t="array" ref="AC89">IFERROR(
(MEDIAN((IF(DATOS_[[Sexo]:[Sexo]]=$B89,IF(DATOS_[[AGRUP. VALOR. PTO.]:[AGRUP. VALOR. PTO.]]=$B87,IF(DATOS_[[Check Periodo Ref.]:[Check Periodo Ref.]]="Dentro",IF(DATOS_[[Check Equiparado]:[Check Equiparado]]="Sí",IF(DATOS!AX$5="Sí",(1/DATOS_[[% anualiz]:[% anualiz]]),1)*IF(DATOS!AX$4="Sí",1/DATOS_[[% normaliz]:[% normaliz]],1)*(DATOS_[Conc.Sal.20])))))))),
0)</f>
        <v>0</v>
      </c>
      <c r="AD89" s="196">
        <f t="array" ref="AD89">IFERROR(
(MEDIAN((IF(DATOS_[[Sexo]:[Sexo]]=$B89,IF(DATOS_[[AGRUP. VALOR. PTO.]:[AGRUP. VALOR. PTO.]]=$B87,IF(DATOS_[[Check Periodo Ref.]:[Check Periodo Ref.]]="Dentro",IF(DATOS_[[Check Equiparado]:[Check Equiparado]]="Sí",IF(DATOS!AY$5="Sí",(1/DATOS_[[% anualiz]:[% anualiz]]),1)*IF(DATOS!AY$4="Sí",1/DATOS_[[% normaliz]:[% normaliz]],1)*(DATOS_[Conc.Sal.21])))))))),
0)</f>
        <v>0</v>
      </c>
      <c r="AE89" s="196">
        <f t="array" ref="AE89">IFERROR(
(MEDIAN((IF(DATOS_[[Sexo]:[Sexo]]=$B89,IF(DATOS_[[AGRUP. VALOR. PTO.]:[AGRUP. VALOR. PTO.]]=$B87,IF(DATOS_[[Check Periodo Ref.]:[Check Periodo Ref.]]="Dentro",IF(DATOS_[[Check Equiparado]:[Check Equiparado]]="Sí",IF(DATOS!AZ$5="Sí",(1/DATOS_[[% anualiz]:[% anualiz]]),1)*IF(DATOS!AZ$4="Sí",1/DATOS_[[% normaliz]:[% normaliz]],1)*(DATOS_[Conc.Sal.22])))))))),
0)</f>
        <v>0</v>
      </c>
      <c r="AF89" s="196">
        <f t="array" ref="AF89">IFERROR(
(MEDIAN((IF(DATOS_[[Sexo]:[Sexo]]=$B89,IF(DATOS_[[AGRUP. VALOR. PTO.]:[AGRUP. VALOR. PTO.]]=$B87,IF(DATOS_[[Check Periodo Ref.]:[Check Periodo Ref.]]="Dentro",IF(DATOS_[[Check Equiparado]:[Check Equiparado]]="Sí",IF(DATOS!BA$5="Sí",(1/DATOS_[[% anualiz]:[% anualiz]]),1)*IF(DATOS!BA$4="Sí",1/DATOS_[[% normaliz]:[% normaliz]],1)*(DATOS_[Conc.Sal.23])))))))),
0)</f>
        <v>0</v>
      </c>
      <c r="AG89" s="196">
        <f t="array" ref="AG89">IFERROR(
(MEDIAN((IF(DATOS_[[Sexo]:[Sexo]]=$B89,IF(DATOS_[[AGRUP. VALOR. PTO.]:[AGRUP. VALOR. PTO.]]=$B87,IF(DATOS_[[Check Periodo Ref.]:[Check Periodo Ref.]]="Dentro",IF(DATOS_[[Check Equiparado]:[Check Equiparado]]="Sí",IF(DATOS!BB$5="Sí",(1/DATOS_[[% anualiz]:[% anualiz]]),1)*IF(DATOS!BB$4="Sí",1/DATOS_[[% normaliz]:[% normaliz]],1)*(DATOS_[Conc.Sal.24])))))))),
0)</f>
        <v>0</v>
      </c>
      <c r="AH89" s="196">
        <f t="array" ref="AH89">IFERROR(
(MEDIAN((IF(DATOS_[[Sexo]:[Sexo]]=$B89,IF(DATOS_[[AGRUP. VALOR. PTO.]:[AGRUP. VALOR. PTO.]]=$B87,IF(DATOS_[[Check Periodo Ref.]:[Check Periodo Ref.]]="Dentro",IF(DATOS_[[Check Equiparado]:[Check Equiparado]]="Sí",IF(DATOS!BC$5="Sí",(1/DATOS_[[% anualiz]:[% anualiz]]),1)*IF(DATOS!BC$4="Sí",1/DATOS_[[% normaliz]:[% normaliz]],1)*(DATOS_[Conc.Sal.25])))))))),
0)</f>
        <v>0</v>
      </c>
      <c r="AI89" s="196">
        <f t="array" ref="AI89">IFERROR(
(MEDIAN((IF(DATOS_[[Sexo]:[Sexo]]=$B89,IF(DATOS_[[AGRUP. VALOR. PTO.]:[AGRUP. VALOR. PTO.]]=$B87,IF(DATOS_[[Check Periodo Ref.]:[Check Periodo Ref.]]="Dentro",IF(DATOS_[[Check Equiparado]:[Check Equiparado]]="Sí",IF(DATOS!BD$5="Sí",(1/DATOS_[[% anualiz]:[% anualiz]]),1)*IF(DATOS!BD$4="Sí",1/DATOS_[[% normaliz]:[% normaliz]],1)*(DATOS_[Conc.Sal.26])))))))),
0)</f>
        <v>0</v>
      </c>
      <c r="AJ89" s="196">
        <f t="array" ref="AJ89">IFERROR(
(MEDIAN((IF(DATOS_[[Sexo]:[Sexo]]=$B89,IF(DATOS_[[AGRUP. VALOR. PTO.]:[AGRUP. VALOR. PTO.]]=$B87,IF(DATOS_[[Check Periodo Ref.]:[Check Periodo Ref.]]="Dentro",IF(DATOS_[[Check Equiparado]:[Check Equiparado]]="Sí",IF(DATOS!BE$5="Sí",(1/DATOS_[[% anualiz]:[% anualiz]]),1)*IF(DATOS!BE$4="Sí",1/DATOS_[[% normaliz]:[% normaliz]],1)*(DATOS_[Conc.Sal.27])))))))),
0)</f>
        <v>0</v>
      </c>
      <c r="AK89" s="196">
        <f t="array" ref="AK89">IFERROR(
(MEDIAN((IF(DATOS_[[Sexo]:[Sexo]]=$B89,IF(DATOS_[[AGRUP. VALOR. PTO.]:[AGRUP. VALOR. PTO.]]=$B87,IF(DATOS_[[Check Periodo Ref.]:[Check Periodo Ref.]]="Dentro",IF(DATOS_[[Check Equiparado]:[Check Equiparado]]="Sí",IF(DATOS!BF$5="Sí",(1/DATOS_[[% anualiz]:[% anualiz]]),1)*IF(DATOS!BF$4="Sí",1/DATOS_[[% normaliz]:[% normaliz]],1)*(DATOS_[Conc.Sal.28])))))))),
0)</f>
        <v>0</v>
      </c>
      <c r="AL89" s="196">
        <f t="array" ref="AL89">IFERROR(
(MEDIAN((IF(DATOS_[[Sexo]:[Sexo]]=$B89,IF(DATOS_[[AGRUP. VALOR. PTO.]:[AGRUP. VALOR. PTO.]]=$B87,IF(DATOS_[[Check Periodo Ref.]:[Check Periodo Ref.]]="Dentro",IF(DATOS_[[Check Equiparado]:[Check Equiparado]]="Sí",IF(DATOS!BG$5="Sí",(1/DATOS_[[% anualiz]:[% anualiz]]),1)*IF(DATOS!BG$4="Sí",1/DATOS_[[% normaliz]:[% normaliz]],1)*(DATOS_[Conc.Sal.29])))))))),
0)</f>
        <v>0</v>
      </c>
      <c r="AM89" s="196">
        <f t="array" ref="AM89">IFERROR(
(MEDIAN((IF(DATOS_[[Sexo]:[Sexo]]=$B89,IF(DATOS_[[AGRUP. VALOR. PTO.]:[AGRUP. VALOR. PTO.]]=$B87,IF(DATOS_[[Check Periodo Ref.]:[Check Periodo Ref.]]="Dentro",IF(DATOS_[[Check Equiparado]:[Check Equiparado]]="Sí",IF(DATOS!BH$5="Sí",(1/DATOS_[[% anualiz]:[% anualiz]]),1)*IF(DATOS!BH$4="Sí",1/DATOS_[[% normaliz]:[% normaliz]],1)*(DATOS_[Conc.Sal.30])))))))),
0)</f>
        <v>0</v>
      </c>
      <c r="AN89" s="195">
        <f t="array" ref="AN89">IFERROR(
MEDIAN(IF(DATOS_[Sexo]=$B89,IF(DATOS_[[AGRUP. VALOR. PTO.]:[AGRUP. VALOR. PTO.]]=$B87,IF(DATOS_[Check Equiparado]="Sí",IF(DATOS_[Check Periodo Ref.]="Dentro",DATOS_[Tot COMPL.SAL Eq],FALSE))))),
0)</f>
        <v>0</v>
      </c>
      <c r="AO89" s="172">
        <f t="array" ref="AO89">IFERROR(
MEDIAN(IF(DATOS_[Sexo]=$B89,IF(DATOS_[[AGRUP. VALOR. PTO.]:[AGRUP. VALOR. PTO.]]=$B87,IF(DATOS_[Check Equiparado]="Sí",IF(DATOS_[Check Periodo Ref.]="Dentro",DATOS_[TOTAL SALARIO Eq],FALSE))))),
0)</f>
        <v>0</v>
      </c>
      <c r="AP89" s="173">
        <f t="array" ref="AP89">IFERROR(
(MEDIAN((IF(DATOS_[[Sexo]:[Sexo]]=$B89,IF(DATOS_[[AGRUP. VALOR. PTO.]:[AGRUP. VALOR. PTO.]]=$B88,IF(DATOS_[[Check Periodo Ref.]:[Check Periodo Ref.]]="Dentro",IF(DATOS_[[Check Equiparado]:[Check Equiparado]]="Sí",IF(DATOS!BW$5="Sí",(1/DATOS_[[% anualiz]:[% anualiz]]),1)*IF(DATOS!BW$4="Sí",1/DATOS_[[% normaliz]:[% normaliz]],1)*(DATOS_[C.Extra.01])))))))),
0)</f>
        <v>0</v>
      </c>
      <c r="AQ89" s="173">
        <f t="array" ref="AQ89">IFERROR(
(MEDIAN((IF(DATOS_[[Sexo]:[Sexo]]=$B89,IF(DATOS_[[AGRUP. VALOR. PTO.]:[AGRUP. VALOR. PTO.]]=$B88,IF(DATOS_[[Check Periodo Ref.]:[Check Periodo Ref.]]="Dentro",IF(DATOS_[[Check Equiparado]:[Check Equiparado]]="Sí",IF(DATOS!CB$5="Sí",(1/DATOS_[[% anualiz]:[% anualiz]]),1)*IF(DATOS!CB$4="Sí",1/DATOS_[[% normaliz]:[% normaliz]],1)*(DATOS_[C.Extra.06])))))))),
0)</f>
        <v>0</v>
      </c>
      <c r="AR89" s="173">
        <f t="array" ref="AR89">IFERROR(
(MEDIAN((IF(DATOS_[[Sexo]:[Sexo]]=$B89,IF(DATOS_[[AGRUP. VALOR. PTO.]:[AGRUP. VALOR. PTO.]]=$B88,IF(DATOS_[[Check Periodo Ref.]:[Check Periodo Ref.]]="Dentro",IF(DATOS_[[Check Equiparado]:[Check Equiparado]]="Sí",IF(DATOS!CC$5="Sí",(1/DATOS_[[% anualiz]:[% anualiz]]),1)*IF(DATOS!CC$4="Sí",1/DATOS_[[% normaliz]:[% normaliz]],1)*(DATOS_[C.Extra.07])))))))),
0)</f>
        <v>0</v>
      </c>
      <c r="AS89" s="173">
        <f t="array" ref="AS89">IFERROR(
(MEDIAN((IF(DATOS_[[Sexo]:[Sexo]]=$B89,IF(DATOS_[[AGRUP. VALOR. PTO.]:[AGRUP. VALOR. PTO.]]=$B88,IF(DATOS_[[Check Periodo Ref.]:[Check Periodo Ref.]]="Dentro",IF(DATOS_[[Check Equiparado]:[Check Equiparado]]="Sí",IF(DATOS!CD$5="Sí",(1/DATOS_[[% anualiz]:[% anualiz]]),1)*IF(DATOS!CD$4="Sí",1/DATOS_[[% normaliz]:[% normaliz]],1)*(DATOS_[C.Extra.08])))))))),
0)</f>
        <v>0</v>
      </c>
      <c r="AT89" s="173">
        <f t="array" ref="AT89">IFERROR(
(MEDIAN((IF(DATOS_[[Sexo]:[Sexo]]=$B89,IF(DATOS_[[AGRUP. VALOR. PTO.]:[AGRUP. VALOR. PTO.]]=$B88,IF(DATOS_[[Check Periodo Ref.]:[Check Periodo Ref.]]="Dentro",IF(DATOS_[[Check Equiparado]:[Check Equiparado]]="Sí",IF(DATOS!CG$5="Sí",(1/DATOS_[[% anualiz]:[% anualiz]]),1)*IF(DATOS!CG$4="Sí",1/DATOS_[[% normaliz]:[% normaliz]],1)*(DATOS_[C.Extra.11])))))))),
0)</f>
        <v>0</v>
      </c>
      <c r="AU89" s="197">
        <f t="array" ref="AU89">IFERROR(
MEDIAN(IF(DATOS_[Sexo]=$B89,IF(DATOS_[[AGRUP. VALOR. PTO.]:[AGRUP. VALOR. PTO.]]=$B87,IF(DATOS_[Check Equiparado]="Sí",IF(DATOS_[Check Periodo Ref.]="Dentro",DATOS_[Tot Extrasalarial Eq],FALSE))))),
0)</f>
        <v>0</v>
      </c>
      <c r="AV89" s="175">
        <f t="array" ref="AV89">IFERROR(
MEDIAN(IF(DATOS_[Sexo]=$B89,IF(DATOS_[[AGRUP. VALOR. PTO.]:[AGRUP. VALOR. PTO.]]=$B87,IF(DATOS_[Check Equiparado]="Sí",IF(DATOS_[Check Periodo Ref.]="Dentro",DATOS_[TOTAL Retrib Eq],FALSE))))),
0)</f>
        <v>0</v>
      </c>
    </row>
    <row r="90" spans="1:48" ht="15.6" thickBot="1" x14ac:dyDescent="0.3">
      <c r="A90" s="133" t="str">
        <f t="shared" ref="A90" si="103">+A91</f>
        <v>[ocultar]</v>
      </c>
      <c r="B90" s="199" t="s">
        <v>278</v>
      </c>
      <c r="C90" s="200"/>
      <c r="D90" s="201"/>
      <c r="E90" s="201"/>
      <c r="F90" s="201"/>
      <c r="G90" s="201"/>
      <c r="H90" s="201"/>
      <c r="I90" s="189" t="str">
        <f t="shared" ref="I90:AV90" si="104">IFERROR((I91-I92)/I91,"")</f>
        <v/>
      </c>
      <c r="J90" s="190" t="str">
        <f t="shared" si="104"/>
        <v/>
      </c>
      <c r="K90" s="191" t="str">
        <f t="shared" si="104"/>
        <v/>
      </c>
      <c r="L90" s="191" t="str">
        <f t="shared" si="104"/>
        <v/>
      </c>
      <c r="M90" s="191" t="str">
        <f t="shared" si="104"/>
        <v/>
      </c>
      <c r="N90" s="192" t="str">
        <f t="shared" si="104"/>
        <v/>
      </c>
      <c r="O90" s="193" t="str">
        <f t="shared" si="104"/>
        <v/>
      </c>
      <c r="P90" s="193" t="str">
        <f t="shared" si="104"/>
        <v/>
      </c>
      <c r="Q90" s="193" t="str">
        <f t="shared" si="104"/>
        <v/>
      </c>
      <c r="R90" s="193" t="str">
        <f t="shared" si="104"/>
        <v/>
      </c>
      <c r="S90" s="193" t="str">
        <f t="shared" si="104"/>
        <v/>
      </c>
      <c r="T90" s="193" t="str">
        <f t="shared" si="104"/>
        <v/>
      </c>
      <c r="U90" s="193" t="str">
        <f t="shared" si="104"/>
        <v/>
      </c>
      <c r="V90" s="193" t="str">
        <f t="shared" si="104"/>
        <v/>
      </c>
      <c r="W90" s="193" t="str">
        <f t="shared" si="104"/>
        <v/>
      </c>
      <c r="X90" s="193" t="str">
        <f t="shared" si="104"/>
        <v/>
      </c>
      <c r="Y90" s="193" t="str">
        <f t="shared" si="104"/>
        <v/>
      </c>
      <c r="Z90" s="193" t="str">
        <f t="shared" si="104"/>
        <v/>
      </c>
      <c r="AA90" s="193" t="str">
        <f t="shared" si="104"/>
        <v/>
      </c>
      <c r="AB90" s="193" t="str">
        <f t="shared" si="104"/>
        <v/>
      </c>
      <c r="AC90" s="193" t="str">
        <f t="shared" si="104"/>
        <v/>
      </c>
      <c r="AD90" s="193" t="str">
        <f t="shared" si="104"/>
        <v/>
      </c>
      <c r="AE90" s="193" t="str">
        <f t="shared" si="104"/>
        <v/>
      </c>
      <c r="AF90" s="193" t="str">
        <f t="shared" si="104"/>
        <v/>
      </c>
      <c r="AG90" s="193" t="str">
        <f t="shared" si="104"/>
        <v/>
      </c>
      <c r="AH90" s="193" t="str">
        <f t="shared" si="104"/>
        <v/>
      </c>
      <c r="AI90" s="193" t="str">
        <f t="shared" si="104"/>
        <v/>
      </c>
      <c r="AJ90" s="193" t="str">
        <f t="shared" si="104"/>
        <v/>
      </c>
      <c r="AK90" s="193" t="str">
        <f t="shared" si="104"/>
        <v/>
      </c>
      <c r="AL90" s="193" t="str">
        <f t="shared" si="104"/>
        <v/>
      </c>
      <c r="AM90" s="193" t="str">
        <f t="shared" si="104"/>
        <v/>
      </c>
      <c r="AN90" s="189" t="str">
        <f t="shared" si="104"/>
        <v/>
      </c>
      <c r="AO90" s="162" t="str">
        <f t="shared" si="104"/>
        <v/>
      </c>
      <c r="AP90" s="163" t="str">
        <f t="shared" si="104"/>
        <v/>
      </c>
      <c r="AQ90" s="163" t="str">
        <f t="shared" si="104"/>
        <v/>
      </c>
      <c r="AR90" s="163" t="str">
        <f t="shared" si="104"/>
        <v/>
      </c>
      <c r="AS90" s="163" t="str">
        <f t="shared" si="104"/>
        <v/>
      </c>
      <c r="AT90" s="163" t="str">
        <f t="shared" si="104"/>
        <v/>
      </c>
      <c r="AU90" s="194" t="str">
        <f t="shared" si="104"/>
        <v/>
      </c>
      <c r="AV90" s="165" t="str">
        <f t="shared" si="104"/>
        <v/>
      </c>
    </row>
    <row r="91" spans="1:48" x14ac:dyDescent="0.25">
      <c r="A91" s="133" t="str">
        <f t="shared" ref="A91" si="105">+IF(C91+C92=0,"[ocultar]","")</f>
        <v>[ocultar]</v>
      </c>
      <c r="B91" s="202" t="s">
        <v>394</v>
      </c>
      <c r="C91" s="203">
        <f t="array" ref="C91">SUM(IF($B91=DATOS_[Sexo],
IF($B90=DATOS_[AGRUP. VALOR. PTO.],
IF("Dentro"=DATOS_[Check Periodo Ref.],
1/(COUNTIFS(DATOS_[Sexo],$B91,DATOS_[AGRUP. VALOR. PTO.],$B90,DATOS_[Check Periodo Ref.],"Dentro",DATOS_[id/cod],DATOS_[id/cod]))))))</f>
        <v>0</v>
      </c>
      <c r="D91" s="204">
        <f>COUNTIFS(DATOS_[AGRUP. VALOR. PTO.],$B90,DATOS_[Sexo],$B91,DATOS_[Check Periodo Ref.],"Dentro")</f>
        <v>0</v>
      </c>
      <c r="E91" s="204">
        <f>COUNTIFS(DATOS_[AGRUP. VALOR. PTO.],$B90,DATOS_[Sexo],$B91,DATOS_[Check Periodo Ref.],"Dentro",DATOS_[Check Nº SC Norm],"Sí")</f>
        <v>0</v>
      </c>
      <c r="F91" s="204">
        <f>COUNTIFS(DATOS_[AGRUP. VALOR. PTO.],$B90,DATOS_[Sexo],$B91,DATOS_[Check Periodo Ref.],"Dentro",DATOS_[Check Nº SC Anualiz],"Sí")</f>
        <v>0</v>
      </c>
      <c r="G91" s="204">
        <f>COUNTIFS(DATOS_[AGRUP. VALOR. PTO.],$B90,DATOS_[Sexo],$B91,DATOS_[Check Periodo Ref.],"Dentro",DATOS_[Check Nº SC Norm y Anualiz],"Sí")</f>
        <v>0</v>
      </c>
      <c r="H91" s="204">
        <f>COUNTIFS(DATOS_[AGRUP. VALOR. PTO.],$B90,DATOS_[Sexo],$B91,DATOS_[Check Periodo Ref.],"Dentro",DATOS_[Check Equiparación],"Sí")</f>
        <v>0</v>
      </c>
      <c r="I91" s="195">
        <f t="array" ref="I91">IFERROR(
MEDIAN(IF(DATOS_[Sexo]=$B91,IF(DATOS_[[AGRUP. VALOR. PTO.]:[AGRUP. VALOR. PTO.]]=$B90,IF(DATOS_[Check Equiparado]="Sí",IF(DATOS_[Check Periodo Ref.]="Dentro",DATOS_[SALARIO BASE Eq],FALSE))))),
0)</f>
        <v>0</v>
      </c>
      <c r="J91" s="196">
        <f t="array" ref="J91">IFERROR(
(MEDIAN((IF(DATOS_[[Sexo]:[Sexo]]=$B91,IF(DATOS_[[AGRUP. VALOR. PTO.]:[AGRUP. VALOR. PTO.]]=$B90,IF(DATOS_[[Check Periodo Ref.]:[Check Periodo Ref.]]="Dentro",IF(DATOS_[[Check Equiparado]:[Check Equiparado]]="Sí",IF(DATOS!AE$5="Sí",(1/DATOS_[[% anualiz]:[% anualiz]]),1)*IF(DATOS!AE$4="Sí",1/DATOS_[[% normaliz]:[% normaliz]],1)*(DATOS_[Conc.Sal.01])))))))),
0)</f>
        <v>0</v>
      </c>
      <c r="K91" s="196">
        <f t="array" ref="K91">IFERROR(
(MEDIAN((IF(DATOS_[[Sexo]:[Sexo]]=$B91,IF(DATOS_[[AGRUP. VALOR. PTO.]:[AGRUP. VALOR. PTO.]]=$B90,IF(DATOS_[[Check Periodo Ref.]:[Check Periodo Ref.]]="Dentro",IF(DATOS_[[Check Equiparado]:[Check Equiparado]]="Sí",IF(DATOS!AF$5="Sí",(1/DATOS_[[% anualiz]:[% anualiz]]),1)*IF(DATOS!AF$4="Sí",1/DATOS_[[% normaliz]:[% normaliz]],1)*(DATOS_[Conc.Sal.02])))))))),
0)</f>
        <v>0</v>
      </c>
      <c r="L91" s="196">
        <f t="array" ref="L91">IFERROR(
(MEDIAN((IF(DATOS_[[Sexo]:[Sexo]]=$B91,IF(DATOS_[[AGRUP. VALOR. PTO.]:[AGRUP. VALOR. PTO.]]=$B90,IF(DATOS_[[Check Periodo Ref.]:[Check Periodo Ref.]]="Dentro",IF(DATOS_[[Check Equiparado]:[Check Equiparado]]="Sí",IF(DATOS!AG$5="Sí",(1/DATOS_[[% anualiz]:[% anualiz]]),1)*IF(DATOS!AG$4="Sí",1/DATOS_[[% normaliz]:[% normaliz]],1)*(DATOS_[Conc.Sal.03])))))))),
0)</f>
        <v>0</v>
      </c>
      <c r="M91" s="196">
        <f t="array" ref="M91">IFERROR(
(MEDIAN((IF(DATOS_[[Sexo]:[Sexo]]=$B91,IF(DATOS_[[AGRUP. VALOR. PTO.]:[AGRUP. VALOR. PTO.]]=$B90,IF(DATOS_[[Check Periodo Ref.]:[Check Periodo Ref.]]="Dentro",IF(DATOS_[[Check Equiparado]:[Check Equiparado]]="Sí",IF(DATOS!AH$5="Sí",(1/DATOS_[[% anualiz]:[% anualiz]]),1)*IF(DATOS!AH$4="Sí",1/DATOS_[[% normaliz]:[% normaliz]],1)*(DATOS_[Conc.Sal.04])))))))),
0)</f>
        <v>0</v>
      </c>
      <c r="N91" s="196">
        <f t="array" ref="N91">IFERROR(
(MEDIAN((IF(DATOS_[[Sexo]:[Sexo]]=$B91,IF(DATOS_[[AGRUP. VALOR. PTO.]:[AGRUP. VALOR. PTO.]]=$B90,IF(DATOS_[[Check Periodo Ref.]:[Check Periodo Ref.]]="Dentro",IF(DATOS_[[Check Equiparado]:[Check Equiparado]]="Sí",IF(DATOS!AI$5="Sí",(1/DATOS_[[% anualiz]:[% anualiz]]),1)*IF(DATOS!AI$4="Sí",1/DATOS_[[% normaliz]:[% normaliz]],1)*(DATOS_[Conc.Sal.05])))))))),
0)</f>
        <v>0</v>
      </c>
      <c r="O91" s="196">
        <f t="array" ref="O91">IFERROR(
(MEDIAN((IF(DATOS_[[Sexo]:[Sexo]]=$B91,IF(DATOS_[[AGRUP. VALOR. PTO.]:[AGRUP. VALOR. PTO.]]=$B90,IF(DATOS_[[Check Periodo Ref.]:[Check Periodo Ref.]]="Dentro",IF(DATOS_[[Check Equiparado]:[Check Equiparado]]="Sí",IF(DATOS!AJ$5="Sí",(1/DATOS_[[% anualiz]:[% anualiz]]),1)*IF(DATOS!AJ$4="Sí",1/DATOS_[[% normaliz]:[% normaliz]],1)*(DATOS_[Conc.Sal.06])))))))),
0)</f>
        <v>0</v>
      </c>
      <c r="P91" s="196">
        <f t="array" ref="P91">IFERROR(
(MEDIAN((IF(DATOS_[[Sexo]:[Sexo]]=$B91,IF(DATOS_[[AGRUP. VALOR. PTO.]:[AGRUP. VALOR. PTO.]]=$B90,IF(DATOS_[[Check Periodo Ref.]:[Check Periodo Ref.]]="Dentro",IF(DATOS_[[Check Equiparado]:[Check Equiparado]]="Sí",IF(DATOS!AK$5="Sí",(1/DATOS_[[% anualiz]:[% anualiz]]),1)*IF(DATOS!AK$4="Sí",1/DATOS_[[% normaliz]:[% normaliz]],1)*(DATOS_[Conc.Sal.07])))))))),
0)</f>
        <v>0</v>
      </c>
      <c r="Q91" s="196">
        <f t="array" ref="Q91">IFERROR(
(MEDIAN((IF(DATOS_[[Sexo]:[Sexo]]=$B91,IF(DATOS_[[AGRUP. VALOR. PTO.]:[AGRUP. VALOR. PTO.]]=$B90,IF(DATOS_[[Check Periodo Ref.]:[Check Periodo Ref.]]="Dentro",IF(DATOS_[[Check Equiparado]:[Check Equiparado]]="Sí",IF(DATOS!AL$5="Sí",(1/DATOS_[[% anualiz]:[% anualiz]]),1)*IF(DATOS!AL$4="Sí",1/DATOS_[[% normaliz]:[% normaliz]],1)*(DATOS_[Conc.Sal.08])))))))),
0)</f>
        <v>0</v>
      </c>
      <c r="R91" s="196">
        <f t="array" ref="R91">IFERROR(
(MEDIAN((IF(DATOS_[[Sexo]:[Sexo]]=$B91,IF(DATOS_[[AGRUP. VALOR. PTO.]:[AGRUP. VALOR. PTO.]]=$B90,IF(DATOS_[[Check Periodo Ref.]:[Check Periodo Ref.]]="Dentro",IF(DATOS_[[Check Equiparado]:[Check Equiparado]]="Sí",IF(DATOS!AM$5="Sí",(1/DATOS_[[% anualiz]:[% anualiz]]),1)*IF(DATOS!AM$4="Sí",1/DATOS_[[% normaliz]:[% normaliz]],1)*(DATOS_[Conc.Sal.09])))))))),
0)</f>
        <v>0</v>
      </c>
      <c r="S91" s="196">
        <f t="array" ref="S91">IFERROR(
(MEDIAN((IF(DATOS_[[Sexo]:[Sexo]]=$B91,IF(DATOS_[[AGRUP. VALOR. PTO.]:[AGRUP. VALOR. PTO.]]=$B90,IF(DATOS_[[Check Periodo Ref.]:[Check Periodo Ref.]]="Dentro",IF(DATOS_[[Check Equiparado]:[Check Equiparado]]="Sí",IF(DATOS!AN$5="Sí",(1/DATOS_[[% anualiz]:[% anualiz]]),1)*IF(DATOS!AN$4="Sí",1/DATOS_[[% normaliz]:[% normaliz]],1)*(DATOS_[Conc.Sal.10])))))))),
0)</f>
        <v>0</v>
      </c>
      <c r="T91" s="196">
        <f t="array" ref="T91">IFERROR(
(MEDIAN((IF(DATOS_[[Sexo]:[Sexo]]=$B91,IF(DATOS_[[AGRUP. VALOR. PTO.]:[AGRUP. VALOR. PTO.]]=$B90,IF(DATOS_[[Check Periodo Ref.]:[Check Periodo Ref.]]="Dentro",IF(DATOS_[[Check Equiparado]:[Check Equiparado]]="Sí",IF(DATOS!AO$5="Sí",(1/DATOS_[[% anualiz]:[% anualiz]]),1)*IF(DATOS!AO$4="Sí",1/DATOS_[[% normaliz]:[% normaliz]],1)*(DATOS_[Conc.Sal.11])))))))),
0)</f>
        <v>0</v>
      </c>
      <c r="U91" s="196">
        <f t="array" ref="U91">IFERROR(
(MEDIAN((IF(DATOS_[[Sexo]:[Sexo]]=$B91,IF(DATOS_[[AGRUP. VALOR. PTO.]:[AGRUP. VALOR. PTO.]]=$B90,IF(DATOS_[[Check Periodo Ref.]:[Check Periodo Ref.]]="Dentro",IF(DATOS_[[Check Equiparado]:[Check Equiparado]]="Sí",IF(DATOS!AP$5="Sí",(1/DATOS_[[% anualiz]:[% anualiz]]),1)*IF(DATOS!AP$4="Sí",1/DATOS_[[% normaliz]:[% normaliz]],1)*(DATOS_[Conc.Sal.12])))))))),
0)</f>
        <v>0</v>
      </c>
      <c r="V91" s="196">
        <f t="array" ref="V91">IFERROR(
(MEDIAN((IF(DATOS_[[Sexo]:[Sexo]]=$B91,IF(DATOS_[[AGRUP. VALOR. PTO.]:[AGRUP. VALOR. PTO.]]=$B90,IF(DATOS_[[Check Periodo Ref.]:[Check Periodo Ref.]]="Dentro",IF(DATOS_[[Check Equiparado]:[Check Equiparado]]="Sí",IF(DATOS!AQ$5="Sí",(1/DATOS_[[% anualiz]:[% anualiz]]),1)*IF(DATOS!AQ$4="Sí",1/DATOS_[[% normaliz]:[% normaliz]],1)*(DATOS_[Conc.Sal.13])))))))),
0)</f>
        <v>0</v>
      </c>
      <c r="W91" s="196">
        <f t="array" ref="W91">IFERROR(
(MEDIAN((IF(DATOS_[[Sexo]:[Sexo]]=$B91,IF(DATOS_[[AGRUP. VALOR. PTO.]:[AGRUP. VALOR. PTO.]]=$B90,IF(DATOS_[[Check Periodo Ref.]:[Check Periodo Ref.]]="Dentro",IF(DATOS_[[Check Equiparado]:[Check Equiparado]]="Sí",IF(DATOS!AR$5="Sí",(1/DATOS_[[% anualiz]:[% anualiz]]),1)*IF(DATOS!AR$4="Sí",1/DATOS_[[% normaliz]:[% normaliz]],1)*(DATOS_[Conc.Sal.14])))))))),
0)</f>
        <v>0</v>
      </c>
      <c r="X91" s="196">
        <f t="array" ref="X91">IFERROR(
(MEDIAN((IF(DATOS_[[Sexo]:[Sexo]]=$B91,IF(DATOS_[[AGRUP. VALOR. PTO.]:[AGRUP. VALOR. PTO.]]=$B90,IF(DATOS_[[Check Periodo Ref.]:[Check Periodo Ref.]]="Dentro",IF(DATOS_[[Check Equiparado]:[Check Equiparado]]="Sí",IF(DATOS!AS$5="Sí",(1/DATOS_[[% anualiz]:[% anualiz]]),1)*IF(DATOS!AS$4="Sí",1/DATOS_[[% normaliz]:[% normaliz]],1)*(DATOS_[Conc.Sal.15])))))))),
0)</f>
        <v>0</v>
      </c>
      <c r="Y91" s="196">
        <f t="array" ref="Y91">IFERROR(
(MEDIAN((IF(DATOS_[[Sexo]:[Sexo]]=$B91,IF(DATOS_[[AGRUP. VALOR. PTO.]:[AGRUP. VALOR. PTO.]]=$B90,IF(DATOS_[[Check Periodo Ref.]:[Check Periodo Ref.]]="Dentro",IF(DATOS_[[Check Equiparado]:[Check Equiparado]]="Sí",IF(DATOS!AT$5="Sí",(1/DATOS_[[% anualiz]:[% anualiz]]),1)*IF(DATOS!AT$4="Sí",1/DATOS_[[% normaliz]:[% normaliz]],1)*(DATOS_[Conc.Sal.16])))))))),
0)</f>
        <v>0</v>
      </c>
      <c r="Z91" s="196">
        <f t="array" ref="Z91">IFERROR(
(MEDIAN((IF(DATOS_[[Sexo]:[Sexo]]=$B91,IF(DATOS_[[AGRUP. VALOR. PTO.]:[AGRUP. VALOR. PTO.]]=$B90,IF(DATOS_[[Check Periodo Ref.]:[Check Periodo Ref.]]="Dentro",IF(DATOS_[[Check Equiparado]:[Check Equiparado]]="Sí",IF(DATOS!AU$5="Sí",(1/DATOS_[[% anualiz]:[% anualiz]]),1)*IF(DATOS!AU$4="Sí",1/DATOS_[[% normaliz]:[% normaliz]],1)*(DATOS_[Conc.Sal.17])))))))),
0)</f>
        <v>0</v>
      </c>
      <c r="AA91" s="196">
        <f t="array" ref="AA91">IFERROR(
(MEDIAN((IF(DATOS_[[Sexo]:[Sexo]]=$B91,IF(DATOS_[[AGRUP. VALOR. PTO.]:[AGRUP. VALOR. PTO.]]=$B90,IF(DATOS_[[Check Periodo Ref.]:[Check Periodo Ref.]]="Dentro",IF(DATOS_[[Check Equiparado]:[Check Equiparado]]="Sí",IF(DATOS!AV$5="Sí",(1/DATOS_[[% anualiz]:[% anualiz]]),1)*IF(DATOS!AV$4="Sí",1/DATOS_[[% normaliz]:[% normaliz]],1)*(DATOS_[Conc.Sal.18])))))))),
0)</f>
        <v>0</v>
      </c>
      <c r="AB91" s="196">
        <f t="array" ref="AB91">IFERROR(
(MEDIAN((IF(DATOS_[[Sexo]:[Sexo]]=$B91,IF(DATOS_[[AGRUP. VALOR. PTO.]:[AGRUP. VALOR. PTO.]]=$B90,IF(DATOS_[[Check Periodo Ref.]:[Check Periodo Ref.]]="Dentro",IF(DATOS_[[Check Equiparado]:[Check Equiparado]]="Sí",IF(DATOS!AW$5="Sí",(1/DATOS_[[% anualiz]:[% anualiz]]),1)*IF(DATOS!AW$4="Sí",1/DATOS_[[% normaliz]:[% normaliz]],1)*(DATOS_[Conc.Sal.19])))))))),
0)</f>
        <v>0</v>
      </c>
      <c r="AC91" s="196">
        <f t="array" ref="AC91">IFERROR(
(MEDIAN((IF(DATOS_[[Sexo]:[Sexo]]=$B91,IF(DATOS_[[AGRUP. VALOR. PTO.]:[AGRUP. VALOR. PTO.]]=$B90,IF(DATOS_[[Check Periodo Ref.]:[Check Periodo Ref.]]="Dentro",IF(DATOS_[[Check Equiparado]:[Check Equiparado]]="Sí",IF(DATOS!AX$5="Sí",(1/DATOS_[[% anualiz]:[% anualiz]]),1)*IF(DATOS!AX$4="Sí",1/DATOS_[[% normaliz]:[% normaliz]],1)*(DATOS_[Conc.Sal.20])))))))),
0)</f>
        <v>0</v>
      </c>
      <c r="AD91" s="196">
        <f t="array" ref="AD91">IFERROR(
(MEDIAN((IF(DATOS_[[Sexo]:[Sexo]]=$B91,IF(DATOS_[[AGRUP. VALOR. PTO.]:[AGRUP. VALOR. PTO.]]=$B90,IF(DATOS_[[Check Periodo Ref.]:[Check Periodo Ref.]]="Dentro",IF(DATOS_[[Check Equiparado]:[Check Equiparado]]="Sí",IF(DATOS!AY$5="Sí",(1/DATOS_[[% anualiz]:[% anualiz]]),1)*IF(DATOS!AY$4="Sí",1/DATOS_[[% normaliz]:[% normaliz]],1)*(DATOS_[Conc.Sal.21])))))))),
0)</f>
        <v>0</v>
      </c>
      <c r="AE91" s="196">
        <f t="array" ref="AE91">IFERROR(
(MEDIAN((IF(DATOS_[[Sexo]:[Sexo]]=$B91,IF(DATOS_[[AGRUP. VALOR. PTO.]:[AGRUP. VALOR. PTO.]]=$B90,IF(DATOS_[[Check Periodo Ref.]:[Check Periodo Ref.]]="Dentro",IF(DATOS_[[Check Equiparado]:[Check Equiparado]]="Sí",IF(DATOS!AZ$5="Sí",(1/DATOS_[[% anualiz]:[% anualiz]]),1)*IF(DATOS!AZ$4="Sí",1/DATOS_[[% normaliz]:[% normaliz]],1)*(DATOS_[Conc.Sal.22])))))))),
0)</f>
        <v>0</v>
      </c>
      <c r="AF91" s="196">
        <f t="array" ref="AF91">IFERROR(
(MEDIAN((IF(DATOS_[[Sexo]:[Sexo]]=$B91,IF(DATOS_[[AGRUP. VALOR. PTO.]:[AGRUP. VALOR. PTO.]]=$B90,IF(DATOS_[[Check Periodo Ref.]:[Check Periodo Ref.]]="Dentro",IF(DATOS_[[Check Equiparado]:[Check Equiparado]]="Sí",IF(DATOS!BA$5="Sí",(1/DATOS_[[% anualiz]:[% anualiz]]),1)*IF(DATOS!BA$4="Sí",1/DATOS_[[% normaliz]:[% normaliz]],1)*(DATOS_[Conc.Sal.23])))))))),
0)</f>
        <v>0</v>
      </c>
      <c r="AG91" s="196">
        <f t="array" ref="AG91">IFERROR(
(MEDIAN((IF(DATOS_[[Sexo]:[Sexo]]=$B91,IF(DATOS_[[AGRUP. VALOR. PTO.]:[AGRUP. VALOR. PTO.]]=$B90,IF(DATOS_[[Check Periodo Ref.]:[Check Periodo Ref.]]="Dentro",IF(DATOS_[[Check Equiparado]:[Check Equiparado]]="Sí",IF(DATOS!BB$5="Sí",(1/DATOS_[[% anualiz]:[% anualiz]]),1)*IF(DATOS!BB$4="Sí",1/DATOS_[[% normaliz]:[% normaliz]],1)*(DATOS_[Conc.Sal.24])))))))),
0)</f>
        <v>0</v>
      </c>
      <c r="AH91" s="196">
        <f t="array" ref="AH91">IFERROR(
(MEDIAN((IF(DATOS_[[Sexo]:[Sexo]]=$B91,IF(DATOS_[[AGRUP. VALOR. PTO.]:[AGRUP. VALOR. PTO.]]=$B90,IF(DATOS_[[Check Periodo Ref.]:[Check Periodo Ref.]]="Dentro",IF(DATOS_[[Check Equiparado]:[Check Equiparado]]="Sí",IF(DATOS!BC$5="Sí",(1/DATOS_[[% anualiz]:[% anualiz]]),1)*IF(DATOS!BC$4="Sí",1/DATOS_[[% normaliz]:[% normaliz]],1)*(DATOS_[Conc.Sal.25])))))))),
0)</f>
        <v>0</v>
      </c>
      <c r="AI91" s="196">
        <f t="array" ref="AI91">IFERROR(
(MEDIAN((IF(DATOS_[[Sexo]:[Sexo]]=$B91,IF(DATOS_[[AGRUP. VALOR. PTO.]:[AGRUP. VALOR. PTO.]]=$B90,IF(DATOS_[[Check Periodo Ref.]:[Check Periodo Ref.]]="Dentro",IF(DATOS_[[Check Equiparado]:[Check Equiparado]]="Sí",IF(DATOS!BD$5="Sí",(1/DATOS_[[% anualiz]:[% anualiz]]),1)*IF(DATOS!BD$4="Sí",1/DATOS_[[% normaliz]:[% normaliz]],1)*(DATOS_[Conc.Sal.26])))))))),
0)</f>
        <v>0</v>
      </c>
      <c r="AJ91" s="196">
        <f t="array" ref="AJ91">IFERROR(
(MEDIAN((IF(DATOS_[[Sexo]:[Sexo]]=$B91,IF(DATOS_[[AGRUP. VALOR. PTO.]:[AGRUP. VALOR. PTO.]]=$B90,IF(DATOS_[[Check Periodo Ref.]:[Check Periodo Ref.]]="Dentro",IF(DATOS_[[Check Equiparado]:[Check Equiparado]]="Sí",IF(DATOS!BE$5="Sí",(1/DATOS_[[% anualiz]:[% anualiz]]),1)*IF(DATOS!BE$4="Sí",1/DATOS_[[% normaliz]:[% normaliz]],1)*(DATOS_[Conc.Sal.27])))))))),
0)</f>
        <v>0</v>
      </c>
      <c r="AK91" s="196">
        <f t="array" ref="AK91">IFERROR(
(MEDIAN((IF(DATOS_[[Sexo]:[Sexo]]=$B91,IF(DATOS_[[AGRUP. VALOR. PTO.]:[AGRUP. VALOR. PTO.]]=$B90,IF(DATOS_[[Check Periodo Ref.]:[Check Periodo Ref.]]="Dentro",IF(DATOS_[[Check Equiparado]:[Check Equiparado]]="Sí",IF(DATOS!BF$5="Sí",(1/DATOS_[[% anualiz]:[% anualiz]]),1)*IF(DATOS!BF$4="Sí",1/DATOS_[[% normaliz]:[% normaliz]],1)*(DATOS_[Conc.Sal.28])))))))),
0)</f>
        <v>0</v>
      </c>
      <c r="AL91" s="196">
        <f t="array" ref="AL91">IFERROR(
(MEDIAN((IF(DATOS_[[Sexo]:[Sexo]]=$B91,IF(DATOS_[[AGRUP. VALOR. PTO.]:[AGRUP. VALOR. PTO.]]=$B90,IF(DATOS_[[Check Periodo Ref.]:[Check Periodo Ref.]]="Dentro",IF(DATOS_[[Check Equiparado]:[Check Equiparado]]="Sí",IF(DATOS!BG$5="Sí",(1/DATOS_[[% anualiz]:[% anualiz]]),1)*IF(DATOS!BG$4="Sí",1/DATOS_[[% normaliz]:[% normaliz]],1)*(DATOS_[Conc.Sal.29])))))))),
0)</f>
        <v>0</v>
      </c>
      <c r="AM91" s="196">
        <f t="array" ref="AM91">IFERROR(
(MEDIAN((IF(DATOS_[[Sexo]:[Sexo]]=$B91,IF(DATOS_[[AGRUP. VALOR. PTO.]:[AGRUP. VALOR. PTO.]]=$B90,IF(DATOS_[[Check Periodo Ref.]:[Check Periodo Ref.]]="Dentro",IF(DATOS_[[Check Equiparado]:[Check Equiparado]]="Sí",IF(DATOS!BH$5="Sí",(1/DATOS_[[% anualiz]:[% anualiz]]),1)*IF(DATOS!BH$4="Sí",1/DATOS_[[% normaliz]:[% normaliz]],1)*(DATOS_[Conc.Sal.30])))))))),
0)</f>
        <v>0</v>
      </c>
      <c r="AN91" s="195">
        <f t="array" ref="AN91">IFERROR(
MEDIAN(IF(DATOS_[Sexo]=$B91,IF(DATOS_[[AGRUP. VALOR. PTO.]:[AGRUP. VALOR. PTO.]]=$B90,IF(DATOS_[Check Equiparado]="Sí",IF(DATOS_[Check Periodo Ref.]="Dentro",DATOS_[Tot COMPL.SAL Eq],FALSE))))),
0)</f>
        <v>0</v>
      </c>
      <c r="AO91" s="172">
        <f t="array" ref="AO91">IFERROR(
MEDIAN(IF(DATOS_[Sexo]=$B91,IF(DATOS_[[AGRUP. VALOR. PTO.]:[AGRUP. VALOR. PTO.]]=$B90,IF(DATOS_[Check Equiparado]="Sí",IF(DATOS_[Check Periodo Ref.]="Dentro",DATOS_[TOTAL SALARIO Eq],FALSE))))),
0)</f>
        <v>0</v>
      </c>
      <c r="AP91" s="173">
        <f t="array" ref="AP91">IFERROR(
(MEDIAN((IF(DATOS_[[Sexo]:[Sexo]]=$B91,IF(DATOS_[[AGRUP. VALOR. PTO.]:[AGRUP. VALOR. PTO.]]=$B90,IF(DATOS_[[Check Periodo Ref.]:[Check Periodo Ref.]]="Dentro",IF(DATOS_[[Check Equiparado]:[Check Equiparado]]="Sí",IF(DATOS!BW$5="Sí",(1/DATOS_[[% anualiz]:[% anualiz]]),1)*IF(DATOS!BW$4="Sí",1/DATOS_[[% normaliz]:[% normaliz]],1)*(DATOS_[C.Extra.01])))))))),
0)</f>
        <v>0</v>
      </c>
      <c r="AQ91" s="173">
        <f t="array" ref="AQ91">IFERROR(
(MEDIAN((IF(DATOS_[[Sexo]:[Sexo]]=$B91,IF(DATOS_[[AGRUP. VALOR. PTO.]:[AGRUP. VALOR. PTO.]]=$B90,IF(DATOS_[[Check Periodo Ref.]:[Check Periodo Ref.]]="Dentro",IF(DATOS_[[Check Equiparado]:[Check Equiparado]]="Sí",IF(DATOS!CB$5="Sí",(1/DATOS_[[% anualiz]:[% anualiz]]),1)*IF(DATOS!CB$4="Sí",1/DATOS_[[% normaliz]:[% normaliz]],1)*(DATOS_[C.Extra.06])))))))),
0)</f>
        <v>0</v>
      </c>
      <c r="AR91" s="173">
        <f t="array" ref="AR91">IFERROR(
(MEDIAN((IF(DATOS_[[Sexo]:[Sexo]]=$B91,IF(DATOS_[[AGRUP. VALOR. PTO.]:[AGRUP. VALOR. PTO.]]=$B90,IF(DATOS_[[Check Periodo Ref.]:[Check Periodo Ref.]]="Dentro",IF(DATOS_[[Check Equiparado]:[Check Equiparado]]="Sí",IF(DATOS!CC$5="Sí",(1/DATOS_[[% anualiz]:[% anualiz]]),1)*IF(DATOS!CC$4="Sí",1/DATOS_[[% normaliz]:[% normaliz]],1)*(DATOS_[C.Extra.07])))))))),
0)</f>
        <v>0</v>
      </c>
      <c r="AS91" s="173">
        <f t="array" ref="AS91">IFERROR(
(MEDIAN((IF(DATOS_[[Sexo]:[Sexo]]=$B91,IF(DATOS_[[AGRUP. VALOR. PTO.]:[AGRUP. VALOR. PTO.]]=$B90,IF(DATOS_[[Check Periodo Ref.]:[Check Periodo Ref.]]="Dentro",IF(DATOS_[[Check Equiparado]:[Check Equiparado]]="Sí",IF(DATOS!CD$5="Sí",(1/DATOS_[[% anualiz]:[% anualiz]]),1)*IF(DATOS!CD$4="Sí",1/DATOS_[[% normaliz]:[% normaliz]],1)*(DATOS_[C.Extra.08])))))))),
0)</f>
        <v>0</v>
      </c>
      <c r="AT91" s="173">
        <f t="array" ref="AT91">IFERROR(
(MEDIAN((IF(DATOS_[[Sexo]:[Sexo]]=$B91,IF(DATOS_[[AGRUP. VALOR. PTO.]:[AGRUP. VALOR. PTO.]]=$B90,IF(DATOS_[[Check Periodo Ref.]:[Check Periodo Ref.]]="Dentro",IF(DATOS_[[Check Equiparado]:[Check Equiparado]]="Sí",IF(DATOS!CG$5="Sí",(1/DATOS_[[% anualiz]:[% anualiz]]),1)*IF(DATOS!CG$4="Sí",1/DATOS_[[% normaliz]:[% normaliz]],1)*(DATOS_[C.Extra.11])))))))),
0)</f>
        <v>0</v>
      </c>
      <c r="AU91" s="197">
        <f t="array" ref="AU91">IFERROR(
MEDIAN(IF(DATOS_[Sexo]=$B91,IF(DATOS_[[AGRUP. VALOR. PTO.]:[AGRUP. VALOR. PTO.]]=$B90,IF(DATOS_[Check Equiparado]="Sí",IF(DATOS_[Check Periodo Ref.]="Dentro",DATOS_[Tot Extrasalarial Eq],FALSE))))),
0)</f>
        <v>0</v>
      </c>
      <c r="AV91" s="175">
        <f t="array" ref="AV91">IFERROR(
MEDIAN(IF(DATOS_[Sexo]=$B91,IF(DATOS_[[AGRUP. VALOR. PTO.]:[AGRUP. VALOR. PTO.]]=$B90,IF(DATOS_[Check Equiparado]="Sí",IF(DATOS_[Check Periodo Ref.]="Dentro",DATOS_[TOTAL Retrib Eq],FALSE))))),
0)</f>
        <v>0</v>
      </c>
    </row>
    <row r="92" spans="1:48" x14ac:dyDescent="0.25">
      <c r="A92" s="133" t="str">
        <f t="shared" ref="A92" si="106">+A91</f>
        <v>[ocultar]</v>
      </c>
      <c r="B92" s="202" t="s">
        <v>521</v>
      </c>
      <c r="C92" s="203">
        <f t="array" ref="C92">SUM(IF($B92=DATOS_[Sexo],
IF($B90=DATOS_[AGRUP. VALOR. PTO.],
IF("Dentro"=DATOS_[Check Periodo Ref.],
1/(COUNTIFS(DATOS_[Sexo],$B92,DATOS_[AGRUP. VALOR. PTO.],$B90,DATOS_[Check Periodo Ref.],"Dentro",DATOS_[id/cod],DATOS_[id/cod]))))))</f>
        <v>0</v>
      </c>
      <c r="D92" s="204">
        <f>COUNTIFS(DATOS_[AGRUP. VALOR. PTO.],$B90,DATOS_[Sexo],$B92,DATOS_[Check Periodo Ref.],"Dentro")</f>
        <v>0</v>
      </c>
      <c r="E92" s="204">
        <f>COUNTIFS(DATOS_[AGRUP. VALOR. PTO.],$B90,DATOS_[Sexo],$B92,DATOS_[Check Periodo Ref.],"Dentro",DATOS_[Check Nº SC Norm],"Sí")</f>
        <v>0</v>
      </c>
      <c r="F92" s="204">
        <f>COUNTIFS(DATOS_[AGRUP. VALOR. PTO.],$B90,DATOS_[Sexo],$B92,DATOS_[Check Periodo Ref.],"Dentro",DATOS_[Check Nº SC Anualiz],"Sí")</f>
        <v>0</v>
      </c>
      <c r="G92" s="204">
        <f>COUNTIFS(DATOS_[AGRUP. VALOR. PTO.],$B90,DATOS_[Sexo],$B92,DATOS_[Check Periodo Ref.],"Dentro",DATOS_[Check Nº SC Norm y Anualiz],"Sí")</f>
        <v>0</v>
      </c>
      <c r="H92" s="204">
        <f>COUNTIFS(DATOS_[AGRUP. VALOR. PTO.],$B90,DATOS_[Sexo],$B92,DATOS_[Check Periodo Ref.],"Dentro",DATOS_[Check Equiparación],"Sí")</f>
        <v>0</v>
      </c>
      <c r="I92" s="195" cm="1">
        <f t="array" ref="I92">IFERROR(
MEDIAN(IF(DATOS_[Sexo]=$B92,IF(DATOS_[[AGRUP. VALOR. PTO.]:[AGRUP. VALOR. PTO.]]=$B90,IF(DATOS_[Check Equiparado]="Sí",IF(DATOS_[Check Periodo Ref.]="Dentro",DATOS_[SALARIO BASE Eq],FALSE))))),
0)</f>
        <v>0</v>
      </c>
      <c r="J92" s="196">
        <f t="array" ref="J92">IFERROR(
(MEDIAN((IF(DATOS_[[Sexo]:[Sexo]]=$B92,IF(DATOS_[[AGRUP. VALOR. PTO.]:[AGRUP. VALOR. PTO.]]=$B90,IF(DATOS_[[Check Periodo Ref.]:[Check Periodo Ref.]]="Dentro",IF(DATOS_[[Check Equiparado]:[Check Equiparado]]="Sí",IF(DATOS!AE$5="Sí",(1/DATOS_[[% anualiz]:[% anualiz]]),1)*IF(DATOS!AE$4="Sí",1/DATOS_[[% normaliz]:[% normaliz]],1)*(DATOS_[Conc.Sal.01])))))))),
0)</f>
        <v>0</v>
      </c>
      <c r="K92" s="196">
        <f t="array" ref="K92">IFERROR(
(MEDIAN((IF(DATOS_[[Sexo]:[Sexo]]=$B92,IF(DATOS_[[AGRUP. VALOR. PTO.]:[AGRUP. VALOR. PTO.]]=$B90,IF(DATOS_[[Check Periodo Ref.]:[Check Periodo Ref.]]="Dentro",IF(DATOS_[[Check Equiparado]:[Check Equiparado]]="Sí",IF(DATOS!AF$5="Sí",(1/DATOS_[[% anualiz]:[% anualiz]]),1)*IF(DATOS!AF$4="Sí",1/DATOS_[[% normaliz]:[% normaliz]],1)*(DATOS_[Conc.Sal.02])))))))),
0)</f>
        <v>0</v>
      </c>
      <c r="L92" s="196">
        <f t="array" ref="L92">IFERROR(
(MEDIAN((IF(DATOS_[[Sexo]:[Sexo]]=$B92,IF(DATOS_[[AGRUP. VALOR. PTO.]:[AGRUP. VALOR. PTO.]]=$B90,IF(DATOS_[[Check Periodo Ref.]:[Check Periodo Ref.]]="Dentro",IF(DATOS_[[Check Equiparado]:[Check Equiparado]]="Sí",IF(DATOS!AG$5="Sí",(1/DATOS_[[% anualiz]:[% anualiz]]),1)*IF(DATOS!AG$4="Sí",1/DATOS_[[% normaliz]:[% normaliz]],1)*(DATOS_[Conc.Sal.03])))))))),
0)</f>
        <v>0</v>
      </c>
      <c r="M92" s="196">
        <f t="array" ref="M92">IFERROR(
(MEDIAN((IF(DATOS_[[Sexo]:[Sexo]]=$B92,IF(DATOS_[[AGRUP. VALOR. PTO.]:[AGRUP. VALOR. PTO.]]=$B90,IF(DATOS_[[Check Periodo Ref.]:[Check Periodo Ref.]]="Dentro",IF(DATOS_[[Check Equiparado]:[Check Equiparado]]="Sí",IF(DATOS!AH$5="Sí",(1/DATOS_[[% anualiz]:[% anualiz]]),1)*IF(DATOS!AH$4="Sí",1/DATOS_[[% normaliz]:[% normaliz]],1)*(DATOS_[Conc.Sal.04])))))))),
0)</f>
        <v>0</v>
      </c>
      <c r="N92" s="196">
        <f t="array" ref="N92">IFERROR(
(MEDIAN((IF(DATOS_[[Sexo]:[Sexo]]=$B92,IF(DATOS_[[AGRUP. VALOR. PTO.]:[AGRUP. VALOR. PTO.]]=$B90,IF(DATOS_[[Check Periodo Ref.]:[Check Periodo Ref.]]="Dentro",IF(DATOS_[[Check Equiparado]:[Check Equiparado]]="Sí",IF(DATOS!AI$5="Sí",(1/DATOS_[[% anualiz]:[% anualiz]]),1)*IF(DATOS!AI$4="Sí",1/DATOS_[[% normaliz]:[% normaliz]],1)*(DATOS_[Conc.Sal.05])))))))),
0)</f>
        <v>0</v>
      </c>
      <c r="O92" s="196">
        <f t="array" ref="O92">IFERROR(
(MEDIAN((IF(DATOS_[[Sexo]:[Sexo]]=$B92,IF(DATOS_[[AGRUP. VALOR. PTO.]:[AGRUP. VALOR. PTO.]]=$B90,IF(DATOS_[[Check Periodo Ref.]:[Check Periodo Ref.]]="Dentro",IF(DATOS_[[Check Equiparado]:[Check Equiparado]]="Sí",IF(DATOS!AJ$5="Sí",(1/DATOS_[[% anualiz]:[% anualiz]]),1)*IF(DATOS!AJ$4="Sí",1/DATOS_[[% normaliz]:[% normaliz]],1)*(DATOS_[Conc.Sal.06])))))))),
0)</f>
        <v>0</v>
      </c>
      <c r="P92" s="196">
        <f t="array" ref="P92">IFERROR(
(MEDIAN((IF(DATOS_[[Sexo]:[Sexo]]=$B92,IF(DATOS_[[AGRUP. VALOR. PTO.]:[AGRUP. VALOR. PTO.]]=$B90,IF(DATOS_[[Check Periodo Ref.]:[Check Periodo Ref.]]="Dentro",IF(DATOS_[[Check Equiparado]:[Check Equiparado]]="Sí",IF(DATOS!AK$5="Sí",(1/DATOS_[[% anualiz]:[% anualiz]]),1)*IF(DATOS!AK$4="Sí",1/DATOS_[[% normaliz]:[% normaliz]],1)*(DATOS_[Conc.Sal.07])))))))),
0)</f>
        <v>0</v>
      </c>
      <c r="Q92" s="196">
        <f t="array" ref="Q92">IFERROR(
(MEDIAN((IF(DATOS_[[Sexo]:[Sexo]]=$B92,IF(DATOS_[[AGRUP. VALOR. PTO.]:[AGRUP. VALOR. PTO.]]=$B90,IF(DATOS_[[Check Periodo Ref.]:[Check Periodo Ref.]]="Dentro",IF(DATOS_[[Check Equiparado]:[Check Equiparado]]="Sí",IF(DATOS!AL$5="Sí",(1/DATOS_[[% anualiz]:[% anualiz]]),1)*IF(DATOS!AL$4="Sí",1/DATOS_[[% normaliz]:[% normaliz]],1)*(DATOS_[Conc.Sal.08])))))))),
0)</f>
        <v>0</v>
      </c>
      <c r="R92" s="196">
        <f t="array" ref="R92">IFERROR(
(MEDIAN((IF(DATOS_[[Sexo]:[Sexo]]=$B92,IF(DATOS_[[AGRUP. VALOR. PTO.]:[AGRUP. VALOR. PTO.]]=$B90,IF(DATOS_[[Check Periodo Ref.]:[Check Periodo Ref.]]="Dentro",IF(DATOS_[[Check Equiparado]:[Check Equiparado]]="Sí",IF(DATOS!AM$5="Sí",(1/DATOS_[[% anualiz]:[% anualiz]]),1)*IF(DATOS!AM$4="Sí",1/DATOS_[[% normaliz]:[% normaliz]],1)*(DATOS_[Conc.Sal.09])))))))),
0)</f>
        <v>0</v>
      </c>
      <c r="S92" s="196">
        <f t="array" ref="S92">IFERROR(
(MEDIAN((IF(DATOS_[[Sexo]:[Sexo]]=$B92,IF(DATOS_[[AGRUP. VALOR. PTO.]:[AGRUP. VALOR. PTO.]]=$B90,IF(DATOS_[[Check Periodo Ref.]:[Check Periodo Ref.]]="Dentro",IF(DATOS_[[Check Equiparado]:[Check Equiparado]]="Sí",IF(DATOS!AN$5="Sí",(1/DATOS_[[% anualiz]:[% anualiz]]),1)*IF(DATOS!AN$4="Sí",1/DATOS_[[% normaliz]:[% normaliz]],1)*(DATOS_[Conc.Sal.10])))))))),
0)</f>
        <v>0</v>
      </c>
      <c r="T92" s="196">
        <f t="array" ref="T92">IFERROR(
(MEDIAN((IF(DATOS_[[Sexo]:[Sexo]]=$B92,IF(DATOS_[[AGRUP. VALOR. PTO.]:[AGRUP. VALOR. PTO.]]=$B90,IF(DATOS_[[Check Periodo Ref.]:[Check Periodo Ref.]]="Dentro",IF(DATOS_[[Check Equiparado]:[Check Equiparado]]="Sí",IF(DATOS!AO$5="Sí",(1/DATOS_[[% anualiz]:[% anualiz]]),1)*IF(DATOS!AO$4="Sí",1/DATOS_[[% normaliz]:[% normaliz]],1)*(DATOS_[Conc.Sal.11])))))))),
0)</f>
        <v>0</v>
      </c>
      <c r="U92" s="196">
        <f t="array" ref="U92">IFERROR(
(MEDIAN((IF(DATOS_[[Sexo]:[Sexo]]=$B92,IF(DATOS_[[AGRUP. VALOR. PTO.]:[AGRUP. VALOR. PTO.]]=$B90,IF(DATOS_[[Check Periodo Ref.]:[Check Periodo Ref.]]="Dentro",IF(DATOS_[[Check Equiparado]:[Check Equiparado]]="Sí",IF(DATOS!AP$5="Sí",(1/DATOS_[[% anualiz]:[% anualiz]]),1)*IF(DATOS!AP$4="Sí",1/DATOS_[[% normaliz]:[% normaliz]],1)*(DATOS_[Conc.Sal.12])))))))),
0)</f>
        <v>0</v>
      </c>
      <c r="V92" s="196">
        <f t="array" ref="V92">IFERROR(
(MEDIAN((IF(DATOS_[[Sexo]:[Sexo]]=$B92,IF(DATOS_[[AGRUP. VALOR. PTO.]:[AGRUP. VALOR. PTO.]]=$B90,IF(DATOS_[[Check Periodo Ref.]:[Check Periodo Ref.]]="Dentro",IF(DATOS_[[Check Equiparado]:[Check Equiparado]]="Sí",IF(DATOS!AQ$5="Sí",(1/DATOS_[[% anualiz]:[% anualiz]]),1)*IF(DATOS!AQ$4="Sí",1/DATOS_[[% normaliz]:[% normaliz]],1)*(DATOS_[Conc.Sal.13])))))))),
0)</f>
        <v>0</v>
      </c>
      <c r="W92" s="196">
        <f t="array" ref="W92">IFERROR(
(MEDIAN((IF(DATOS_[[Sexo]:[Sexo]]=$B92,IF(DATOS_[[AGRUP. VALOR. PTO.]:[AGRUP. VALOR. PTO.]]=$B90,IF(DATOS_[[Check Periodo Ref.]:[Check Periodo Ref.]]="Dentro",IF(DATOS_[[Check Equiparado]:[Check Equiparado]]="Sí",IF(DATOS!AR$5="Sí",(1/DATOS_[[% anualiz]:[% anualiz]]),1)*IF(DATOS!AR$4="Sí",1/DATOS_[[% normaliz]:[% normaliz]],1)*(DATOS_[Conc.Sal.14])))))))),
0)</f>
        <v>0</v>
      </c>
      <c r="X92" s="196">
        <f t="array" ref="X92">IFERROR(
(MEDIAN((IF(DATOS_[[Sexo]:[Sexo]]=$B92,IF(DATOS_[[AGRUP. VALOR. PTO.]:[AGRUP. VALOR. PTO.]]=$B90,IF(DATOS_[[Check Periodo Ref.]:[Check Periodo Ref.]]="Dentro",IF(DATOS_[[Check Equiparado]:[Check Equiparado]]="Sí",IF(DATOS!AS$5="Sí",(1/DATOS_[[% anualiz]:[% anualiz]]),1)*IF(DATOS!AS$4="Sí",1/DATOS_[[% normaliz]:[% normaliz]],1)*(DATOS_[Conc.Sal.15])))))))),
0)</f>
        <v>0</v>
      </c>
      <c r="Y92" s="196">
        <f t="array" ref="Y92">IFERROR(
(MEDIAN((IF(DATOS_[[Sexo]:[Sexo]]=$B92,IF(DATOS_[[AGRUP. VALOR. PTO.]:[AGRUP. VALOR. PTO.]]=$B90,IF(DATOS_[[Check Periodo Ref.]:[Check Periodo Ref.]]="Dentro",IF(DATOS_[[Check Equiparado]:[Check Equiparado]]="Sí",IF(DATOS!AT$5="Sí",(1/DATOS_[[% anualiz]:[% anualiz]]),1)*IF(DATOS!AT$4="Sí",1/DATOS_[[% normaliz]:[% normaliz]],1)*(DATOS_[Conc.Sal.16])))))))),
0)</f>
        <v>0</v>
      </c>
      <c r="Z92" s="196">
        <f t="array" ref="Z92">IFERROR(
(MEDIAN((IF(DATOS_[[Sexo]:[Sexo]]=$B92,IF(DATOS_[[AGRUP. VALOR. PTO.]:[AGRUP. VALOR. PTO.]]=$B90,IF(DATOS_[[Check Periodo Ref.]:[Check Periodo Ref.]]="Dentro",IF(DATOS_[[Check Equiparado]:[Check Equiparado]]="Sí",IF(DATOS!AU$5="Sí",(1/DATOS_[[% anualiz]:[% anualiz]]),1)*IF(DATOS!AU$4="Sí",1/DATOS_[[% normaliz]:[% normaliz]],1)*(DATOS_[Conc.Sal.17])))))))),
0)</f>
        <v>0</v>
      </c>
      <c r="AA92" s="196">
        <f t="array" ref="AA92">IFERROR(
(MEDIAN((IF(DATOS_[[Sexo]:[Sexo]]=$B92,IF(DATOS_[[AGRUP. VALOR. PTO.]:[AGRUP. VALOR. PTO.]]=$B90,IF(DATOS_[[Check Periodo Ref.]:[Check Periodo Ref.]]="Dentro",IF(DATOS_[[Check Equiparado]:[Check Equiparado]]="Sí",IF(DATOS!AV$5="Sí",(1/DATOS_[[% anualiz]:[% anualiz]]),1)*IF(DATOS!AV$4="Sí",1/DATOS_[[% normaliz]:[% normaliz]],1)*(DATOS_[Conc.Sal.18])))))))),
0)</f>
        <v>0</v>
      </c>
      <c r="AB92" s="196">
        <f t="array" ref="AB92">IFERROR(
(MEDIAN((IF(DATOS_[[Sexo]:[Sexo]]=$B92,IF(DATOS_[[AGRUP. VALOR. PTO.]:[AGRUP. VALOR. PTO.]]=$B90,IF(DATOS_[[Check Periodo Ref.]:[Check Periodo Ref.]]="Dentro",IF(DATOS_[[Check Equiparado]:[Check Equiparado]]="Sí",IF(DATOS!AW$5="Sí",(1/DATOS_[[% anualiz]:[% anualiz]]),1)*IF(DATOS!AW$4="Sí",1/DATOS_[[% normaliz]:[% normaliz]],1)*(DATOS_[Conc.Sal.19])))))))),
0)</f>
        <v>0</v>
      </c>
      <c r="AC92" s="196">
        <f t="array" ref="AC92">IFERROR(
(MEDIAN((IF(DATOS_[[Sexo]:[Sexo]]=$B92,IF(DATOS_[[AGRUP. VALOR. PTO.]:[AGRUP. VALOR. PTO.]]=$B90,IF(DATOS_[[Check Periodo Ref.]:[Check Periodo Ref.]]="Dentro",IF(DATOS_[[Check Equiparado]:[Check Equiparado]]="Sí",IF(DATOS!AX$5="Sí",(1/DATOS_[[% anualiz]:[% anualiz]]),1)*IF(DATOS!AX$4="Sí",1/DATOS_[[% normaliz]:[% normaliz]],1)*(DATOS_[Conc.Sal.20])))))))),
0)</f>
        <v>0</v>
      </c>
      <c r="AD92" s="196">
        <f t="array" ref="AD92">IFERROR(
(MEDIAN((IF(DATOS_[[Sexo]:[Sexo]]=$B92,IF(DATOS_[[AGRUP. VALOR. PTO.]:[AGRUP. VALOR. PTO.]]=$B90,IF(DATOS_[[Check Periodo Ref.]:[Check Periodo Ref.]]="Dentro",IF(DATOS_[[Check Equiparado]:[Check Equiparado]]="Sí",IF(DATOS!AY$5="Sí",(1/DATOS_[[% anualiz]:[% anualiz]]),1)*IF(DATOS!AY$4="Sí",1/DATOS_[[% normaliz]:[% normaliz]],1)*(DATOS_[Conc.Sal.21])))))))),
0)</f>
        <v>0</v>
      </c>
      <c r="AE92" s="196">
        <f t="array" ref="AE92">IFERROR(
(MEDIAN((IF(DATOS_[[Sexo]:[Sexo]]=$B92,IF(DATOS_[[AGRUP. VALOR. PTO.]:[AGRUP. VALOR. PTO.]]=$B90,IF(DATOS_[[Check Periodo Ref.]:[Check Periodo Ref.]]="Dentro",IF(DATOS_[[Check Equiparado]:[Check Equiparado]]="Sí",IF(DATOS!AZ$5="Sí",(1/DATOS_[[% anualiz]:[% anualiz]]),1)*IF(DATOS!AZ$4="Sí",1/DATOS_[[% normaliz]:[% normaliz]],1)*(DATOS_[Conc.Sal.22])))))))),
0)</f>
        <v>0</v>
      </c>
      <c r="AF92" s="196">
        <f t="array" ref="AF92">IFERROR(
(MEDIAN((IF(DATOS_[[Sexo]:[Sexo]]=$B92,IF(DATOS_[[AGRUP. VALOR. PTO.]:[AGRUP. VALOR. PTO.]]=$B90,IF(DATOS_[[Check Periodo Ref.]:[Check Periodo Ref.]]="Dentro",IF(DATOS_[[Check Equiparado]:[Check Equiparado]]="Sí",IF(DATOS!BA$5="Sí",(1/DATOS_[[% anualiz]:[% anualiz]]),1)*IF(DATOS!BA$4="Sí",1/DATOS_[[% normaliz]:[% normaliz]],1)*(DATOS_[Conc.Sal.23])))))))),
0)</f>
        <v>0</v>
      </c>
      <c r="AG92" s="196">
        <f t="array" ref="AG92">IFERROR(
(MEDIAN((IF(DATOS_[[Sexo]:[Sexo]]=$B92,IF(DATOS_[[AGRUP. VALOR. PTO.]:[AGRUP. VALOR. PTO.]]=$B90,IF(DATOS_[[Check Periodo Ref.]:[Check Periodo Ref.]]="Dentro",IF(DATOS_[[Check Equiparado]:[Check Equiparado]]="Sí",IF(DATOS!BB$5="Sí",(1/DATOS_[[% anualiz]:[% anualiz]]),1)*IF(DATOS!BB$4="Sí",1/DATOS_[[% normaliz]:[% normaliz]],1)*(DATOS_[Conc.Sal.24])))))))),
0)</f>
        <v>0</v>
      </c>
      <c r="AH92" s="196">
        <f t="array" ref="AH92">IFERROR(
(MEDIAN((IF(DATOS_[[Sexo]:[Sexo]]=$B92,IF(DATOS_[[AGRUP. VALOR. PTO.]:[AGRUP. VALOR. PTO.]]=$B90,IF(DATOS_[[Check Periodo Ref.]:[Check Periodo Ref.]]="Dentro",IF(DATOS_[[Check Equiparado]:[Check Equiparado]]="Sí",IF(DATOS!BC$5="Sí",(1/DATOS_[[% anualiz]:[% anualiz]]),1)*IF(DATOS!BC$4="Sí",1/DATOS_[[% normaliz]:[% normaliz]],1)*(DATOS_[Conc.Sal.25])))))))),
0)</f>
        <v>0</v>
      </c>
      <c r="AI92" s="196">
        <f t="array" ref="AI92">IFERROR(
(MEDIAN((IF(DATOS_[[Sexo]:[Sexo]]=$B92,IF(DATOS_[[AGRUP. VALOR. PTO.]:[AGRUP. VALOR. PTO.]]=$B90,IF(DATOS_[[Check Periodo Ref.]:[Check Periodo Ref.]]="Dentro",IF(DATOS_[[Check Equiparado]:[Check Equiparado]]="Sí",IF(DATOS!BD$5="Sí",(1/DATOS_[[% anualiz]:[% anualiz]]),1)*IF(DATOS!BD$4="Sí",1/DATOS_[[% normaliz]:[% normaliz]],1)*(DATOS_[Conc.Sal.26])))))))),
0)</f>
        <v>0</v>
      </c>
      <c r="AJ92" s="196">
        <f t="array" ref="AJ92">IFERROR(
(MEDIAN((IF(DATOS_[[Sexo]:[Sexo]]=$B92,IF(DATOS_[[AGRUP. VALOR. PTO.]:[AGRUP. VALOR. PTO.]]=$B90,IF(DATOS_[[Check Periodo Ref.]:[Check Periodo Ref.]]="Dentro",IF(DATOS_[[Check Equiparado]:[Check Equiparado]]="Sí",IF(DATOS!BE$5="Sí",(1/DATOS_[[% anualiz]:[% anualiz]]),1)*IF(DATOS!BE$4="Sí",1/DATOS_[[% normaliz]:[% normaliz]],1)*(DATOS_[Conc.Sal.27])))))))),
0)</f>
        <v>0</v>
      </c>
      <c r="AK92" s="196">
        <f t="array" ref="AK92">IFERROR(
(MEDIAN((IF(DATOS_[[Sexo]:[Sexo]]=$B92,IF(DATOS_[[AGRUP. VALOR. PTO.]:[AGRUP. VALOR. PTO.]]=$B90,IF(DATOS_[[Check Periodo Ref.]:[Check Periodo Ref.]]="Dentro",IF(DATOS_[[Check Equiparado]:[Check Equiparado]]="Sí",IF(DATOS!BF$5="Sí",(1/DATOS_[[% anualiz]:[% anualiz]]),1)*IF(DATOS!BF$4="Sí",1/DATOS_[[% normaliz]:[% normaliz]],1)*(DATOS_[Conc.Sal.28])))))))),
0)</f>
        <v>0</v>
      </c>
      <c r="AL92" s="196">
        <f t="array" ref="AL92">IFERROR(
(MEDIAN((IF(DATOS_[[Sexo]:[Sexo]]=$B92,IF(DATOS_[[AGRUP. VALOR. PTO.]:[AGRUP. VALOR. PTO.]]=$B90,IF(DATOS_[[Check Periodo Ref.]:[Check Periodo Ref.]]="Dentro",IF(DATOS_[[Check Equiparado]:[Check Equiparado]]="Sí",IF(DATOS!BG$5="Sí",(1/DATOS_[[% anualiz]:[% anualiz]]),1)*IF(DATOS!BG$4="Sí",1/DATOS_[[% normaliz]:[% normaliz]],1)*(DATOS_[Conc.Sal.29])))))))),
0)</f>
        <v>0</v>
      </c>
      <c r="AM92" s="196">
        <f t="array" ref="AM92">IFERROR(
(MEDIAN((IF(DATOS_[[Sexo]:[Sexo]]=$B92,IF(DATOS_[[AGRUP. VALOR. PTO.]:[AGRUP. VALOR. PTO.]]=$B90,IF(DATOS_[[Check Periodo Ref.]:[Check Periodo Ref.]]="Dentro",IF(DATOS_[[Check Equiparado]:[Check Equiparado]]="Sí",IF(DATOS!BH$5="Sí",(1/DATOS_[[% anualiz]:[% anualiz]]),1)*IF(DATOS!BH$4="Sí",1/DATOS_[[% normaliz]:[% normaliz]],1)*(DATOS_[Conc.Sal.30])))))))),
0)</f>
        <v>0</v>
      </c>
      <c r="AN92" s="195">
        <f t="array" ref="AN92">IFERROR(
MEDIAN(IF(DATOS_[Sexo]=$B92,IF(DATOS_[[AGRUP. VALOR. PTO.]:[AGRUP. VALOR. PTO.]]=$B90,IF(DATOS_[Check Equiparado]="Sí",IF(DATOS_[Check Periodo Ref.]="Dentro",DATOS_[Tot COMPL.SAL Eq],FALSE))))),
0)</f>
        <v>0</v>
      </c>
      <c r="AO92" s="172">
        <f t="array" ref="AO92">IFERROR(
MEDIAN(IF(DATOS_[Sexo]=$B92,IF(DATOS_[[AGRUP. VALOR. PTO.]:[AGRUP. VALOR. PTO.]]=$B90,IF(DATOS_[Check Equiparado]="Sí",IF(DATOS_[Check Periodo Ref.]="Dentro",DATOS_[TOTAL SALARIO Eq],FALSE))))),
0)</f>
        <v>0</v>
      </c>
      <c r="AP92" s="173">
        <f t="array" ref="AP92">IFERROR(
(MEDIAN((IF(DATOS_[[Sexo]:[Sexo]]=$B92,IF(DATOS_[[AGRUP. VALOR. PTO.]:[AGRUP. VALOR. PTO.]]=$B91,IF(DATOS_[[Check Periodo Ref.]:[Check Periodo Ref.]]="Dentro",IF(DATOS_[[Check Equiparado]:[Check Equiparado]]="Sí",IF(DATOS!BW$5="Sí",(1/DATOS_[[% anualiz]:[% anualiz]]),1)*IF(DATOS!BW$4="Sí",1/DATOS_[[% normaliz]:[% normaliz]],1)*(DATOS_[C.Extra.01])))))))),
0)</f>
        <v>0</v>
      </c>
      <c r="AQ92" s="173">
        <f t="array" ref="AQ92">IFERROR(
(MEDIAN((IF(DATOS_[[Sexo]:[Sexo]]=$B92,IF(DATOS_[[AGRUP. VALOR. PTO.]:[AGRUP. VALOR. PTO.]]=$B91,IF(DATOS_[[Check Periodo Ref.]:[Check Periodo Ref.]]="Dentro",IF(DATOS_[[Check Equiparado]:[Check Equiparado]]="Sí",IF(DATOS!CB$5="Sí",(1/DATOS_[[% anualiz]:[% anualiz]]),1)*IF(DATOS!CB$4="Sí",1/DATOS_[[% normaliz]:[% normaliz]],1)*(DATOS_[C.Extra.06])))))))),
0)</f>
        <v>0</v>
      </c>
      <c r="AR92" s="173">
        <f t="array" ref="AR92">IFERROR(
(MEDIAN((IF(DATOS_[[Sexo]:[Sexo]]=$B92,IF(DATOS_[[AGRUP. VALOR. PTO.]:[AGRUP. VALOR. PTO.]]=$B91,IF(DATOS_[[Check Periodo Ref.]:[Check Periodo Ref.]]="Dentro",IF(DATOS_[[Check Equiparado]:[Check Equiparado]]="Sí",IF(DATOS!CC$5="Sí",(1/DATOS_[[% anualiz]:[% anualiz]]),1)*IF(DATOS!CC$4="Sí",1/DATOS_[[% normaliz]:[% normaliz]],1)*(DATOS_[C.Extra.07])))))))),
0)</f>
        <v>0</v>
      </c>
      <c r="AS92" s="173">
        <f t="array" ref="AS92">IFERROR(
(MEDIAN((IF(DATOS_[[Sexo]:[Sexo]]=$B92,IF(DATOS_[[AGRUP. VALOR. PTO.]:[AGRUP. VALOR. PTO.]]=$B91,IF(DATOS_[[Check Periodo Ref.]:[Check Periodo Ref.]]="Dentro",IF(DATOS_[[Check Equiparado]:[Check Equiparado]]="Sí",IF(DATOS!CD$5="Sí",(1/DATOS_[[% anualiz]:[% anualiz]]),1)*IF(DATOS!CD$4="Sí",1/DATOS_[[% normaliz]:[% normaliz]],1)*(DATOS_[C.Extra.08])))))))),
0)</f>
        <v>0</v>
      </c>
      <c r="AT92" s="173">
        <f t="array" ref="AT92">IFERROR(
(MEDIAN((IF(DATOS_[[Sexo]:[Sexo]]=$B92,IF(DATOS_[[AGRUP. VALOR. PTO.]:[AGRUP. VALOR. PTO.]]=$B91,IF(DATOS_[[Check Periodo Ref.]:[Check Periodo Ref.]]="Dentro",IF(DATOS_[[Check Equiparado]:[Check Equiparado]]="Sí",IF(DATOS!CG$5="Sí",(1/DATOS_[[% anualiz]:[% anualiz]]),1)*IF(DATOS!CG$4="Sí",1/DATOS_[[% normaliz]:[% normaliz]],1)*(DATOS_[C.Extra.11])))))))),
0)</f>
        <v>0</v>
      </c>
      <c r="AU92" s="197">
        <f t="array" ref="AU92">IFERROR(
MEDIAN(IF(DATOS_[Sexo]=$B92,IF(DATOS_[[AGRUP. VALOR. PTO.]:[AGRUP. VALOR. PTO.]]=$B90,IF(DATOS_[Check Equiparado]="Sí",IF(DATOS_[Check Periodo Ref.]="Dentro",DATOS_[Tot Extrasalarial Eq],FALSE))))),
0)</f>
        <v>0</v>
      </c>
      <c r="AV92" s="175">
        <f t="array" ref="AV92">IFERROR(
MEDIAN(IF(DATOS_[Sexo]=$B92,IF(DATOS_[[AGRUP. VALOR. PTO.]:[AGRUP. VALOR. PTO.]]=$B90,IF(DATOS_[Check Equiparado]="Sí",IF(DATOS_[Check Periodo Ref.]="Dentro",DATOS_[TOTAL Retrib Eq],FALSE))))),
0)</f>
        <v>0</v>
      </c>
    </row>
    <row r="93" spans="1:48" ht="15.6" thickBot="1" x14ac:dyDescent="0.3">
      <c r="A93" s="133" t="str">
        <f t="shared" ref="A93" si="107">+A94</f>
        <v>[ocultar]</v>
      </c>
      <c r="B93" s="199" t="s">
        <v>281</v>
      </c>
      <c r="C93" s="200"/>
      <c r="D93" s="201"/>
      <c r="E93" s="201"/>
      <c r="F93" s="201"/>
      <c r="G93" s="201"/>
      <c r="H93" s="201"/>
      <c r="I93" s="189" t="str">
        <f t="shared" ref="I93:AV93" si="108">IFERROR((I94-I95)/I94,"")</f>
        <v/>
      </c>
      <c r="J93" s="190" t="str">
        <f t="shared" si="108"/>
        <v/>
      </c>
      <c r="K93" s="191" t="str">
        <f t="shared" si="108"/>
        <v/>
      </c>
      <c r="L93" s="191" t="str">
        <f t="shared" si="108"/>
        <v/>
      </c>
      <c r="M93" s="191" t="str">
        <f t="shared" si="108"/>
        <v/>
      </c>
      <c r="N93" s="192" t="str">
        <f t="shared" si="108"/>
        <v/>
      </c>
      <c r="O93" s="193" t="str">
        <f t="shared" si="108"/>
        <v/>
      </c>
      <c r="P93" s="193" t="str">
        <f t="shared" si="108"/>
        <v/>
      </c>
      <c r="Q93" s="193" t="str">
        <f t="shared" si="108"/>
        <v/>
      </c>
      <c r="R93" s="193" t="str">
        <f t="shared" si="108"/>
        <v/>
      </c>
      <c r="S93" s="193" t="str">
        <f t="shared" si="108"/>
        <v/>
      </c>
      <c r="T93" s="193" t="str">
        <f t="shared" si="108"/>
        <v/>
      </c>
      <c r="U93" s="193" t="str">
        <f t="shared" si="108"/>
        <v/>
      </c>
      <c r="V93" s="193" t="str">
        <f t="shared" si="108"/>
        <v/>
      </c>
      <c r="W93" s="193" t="str">
        <f t="shared" si="108"/>
        <v/>
      </c>
      <c r="X93" s="193" t="str">
        <f t="shared" si="108"/>
        <v/>
      </c>
      <c r="Y93" s="193" t="str">
        <f t="shared" si="108"/>
        <v/>
      </c>
      <c r="Z93" s="193" t="str">
        <f t="shared" si="108"/>
        <v/>
      </c>
      <c r="AA93" s="193" t="str">
        <f t="shared" si="108"/>
        <v/>
      </c>
      <c r="AB93" s="193" t="str">
        <f t="shared" si="108"/>
        <v/>
      </c>
      <c r="AC93" s="193" t="str">
        <f t="shared" si="108"/>
        <v/>
      </c>
      <c r="AD93" s="193" t="str">
        <f t="shared" si="108"/>
        <v/>
      </c>
      <c r="AE93" s="193" t="str">
        <f t="shared" si="108"/>
        <v/>
      </c>
      <c r="AF93" s="193" t="str">
        <f t="shared" si="108"/>
        <v/>
      </c>
      <c r="AG93" s="193" t="str">
        <f t="shared" si="108"/>
        <v/>
      </c>
      <c r="AH93" s="193" t="str">
        <f t="shared" si="108"/>
        <v/>
      </c>
      <c r="AI93" s="193" t="str">
        <f t="shared" si="108"/>
        <v/>
      </c>
      <c r="AJ93" s="193" t="str">
        <f t="shared" si="108"/>
        <v/>
      </c>
      <c r="AK93" s="193" t="str">
        <f t="shared" si="108"/>
        <v/>
      </c>
      <c r="AL93" s="193" t="str">
        <f t="shared" si="108"/>
        <v/>
      </c>
      <c r="AM93" s="193" t="str">
        <f t="shared" si="108"/>
        <v/>
      </c>
      <c r="AN93" s="189" t="str">
        <f t="shared" si="108"/>
        <v/>
      </c>
      <c r="AO93" s="162" t="str">
        <f t="shared" si="108"/>
        <v/>
      </c>
      <c r="AP93" s="163" t="str">
        <f t="shared" si="108"/>
        <v/>
      </c>
      <c r="AQ93" s="163" t="str">
        <f t="shared" si="108"/>
        <v/>
      </c>
      <c r="AR93" s="163" t="str">
        <f t="shared" si="108"/>
        <v/>
      </c>
      <c r="AS93" s="163" t="str">
        <f t="shared" si="108"/>
        <v/>
      </c>
      <c r="AT93" s="163" t="str">
        <f t="shared" si="108"/>
        <v/>
      </c>
      <c r="AU93" s="194" t="str">
        <f t="shared" si="108"/>
        <v/>
      </c>
      <c r="AV93" s="165" t="str">
        <f t="shared" si="108"/>
        <v/>
      </c>
    </row>
    <row r="94" spans="1:48" x14ac:dyDescent="0.25">
      <c r="A94" s="133" t="str">
        <f t="shared" ref="A94" si="109">+IF(C94+C95=0,"[ocultar]","")</f>
        <v>[ocultar]</v>
      </c>
      <c r="B94" s="202" t="s">
        <v>394</v>
      </c>
      <c r="C94" s="203">
        <f t="array" ref="C94">SUM(IF($B94=DATOS_[Sexo],
IF($B93=DATOS_[AGRUP. VALOR. PTO.],
IF("Dentro"=DATOS_[Check Periodo Ref.],
1/(COUNTIFS(DATOS_[Sexo],$B94,DATOS_[AGRUP. VALOR. PTO.],$B93,DATOS_[Check Periodo Ref.],"Dentro",DATOS_[id/cod],DATOS_[id/cod]))))))</f>
        <v>0</v>
      </c>
      <c r="D94" s="204">
        <f>COUNTIFS(DATOS_[AGRUP. VALOR. PTO.],$B93,DATOS_[Sexo],$B94,DATOS_[Check Periodo Ref.],"Dentro")</f>
        <v>0</v>
      </c>
      <c r="E94" s="204">
        <f>COUNTIFS(DATOS_[AGRUP. VALOR. PTO.],$B93,DATOS_[Sexo],$B94,DATOS_[Check Periodo Ref.],"Dentro",DATOS_[Check Nº SC Norm],"Sí")</f>
        <v>0</v>
      </c>
      <c r="F94" s="204">
        <f>COUNTIFS(DATOS_[AGRUP. VALOR. PTO.],$B93,DATOS_[Sexo],$B94,DATOS_[Check Periodo Ref.],"Dentro",DATOS_[Check Nº SC Anualiz],"Sí")</f>
        <v>0</v>
      </c>
      <c r="G94" s="204">
        <f>COUNTIFS(DATOS_[AGRUP. VALOR. PTO.],$B93,DATOS_[Sexo],$B94,DATOS_[Check Periodo Ref.],"Dentro",DATOS_[Check Nº SC Norm y Anualiz],"Sí")</f>
        <v>0</v>
      </c>
      <c r="H94" s="204">
        <f>COUNTIFS(DATOS_[AGRUP. VALOR. PTO.],$B93,DATOS_[Sexo],$B94,DATOS_[Check Periodo Ref.],"Dentro",DATOS_[Check Equiparación],"Sí")</f>
        <v>0</v>
      </c>
      <c r="I94" s="195">
        <f t="array" ref="I94">IFERROR(
MEDIAN(IF(DATOS_[Sexo]=$B94,IF(DATOS_[[AGRUP. VALOR. PTO.]:[AGRUP. VALOR. PTO.]]=$B93,IF(DATOS_[Check Equiparado]="Sí",IF(DATOS_[Check Periodo Ref.]="Dentro",DATOS_[SALARIO BASE Eq],FALSE))))),
0)</f>
        <v>0</v>
      </c>
      <c r="J94" s="196">
        <f t="array" ref="J94">IFERROR(
(MEDIAN((IF(DATOS_[[Sexo]:[Sexo]]=$B94,IF(DATOS_[[AGRUP. VALOR. PTO.]:[AGRUP. VALOR. PTO.]]=$B93,IF(DATOS_[[Check Periodo Ref.]:[Check Periodo Ref.]]="Dentro",IF(DATOS_[[Check Equiparado]:[Check Equiparado]]="Sí",IF(DATOS!AE$5="Sí",(1/DATOS_[[% anualiz]:[% anualiz]]),1)*IF(DATOS!AE$4="Sí",1/DATOS_[[% normaliz]:[% normaliz]],1)*(DATOS_[Conc.Sal.01])))))))),
0)</f>
        <v>0</v>
      </c>
      <c r="K94" s="196">
        <f t="array" ref="K94">IFERROR(
(MEDIAN((IF(DATOS_[[Sexo]:[Sexo]]=$B94,IF(DATOS_[[AGRUP. VALOR. PTO.]:[AGRUP. VALOR. PTO.]]=$B93,IF(DATOS_[[Check Periodo Ref.]:[Check Periodo Ref.]]="Dentro",IF(DATOS_[[Check Equiparado]:[Check Equiparado]]="Sí",IF(DATOS!AF$5="Sí",(1/DATOS_[[% anualiz]:[% anualiz]]),1)*IF(DATOS!AF$4="Sí",1/DATOS_[[% normaliz]:[% normaliz]],1)*(DATOS_[Conc.Sal.02])))))))),
0)</f>
        <v>0</v>
      </c>
      <c r="L94" s="196">
        <f t="array" ref="L94">IFERROR(
(MEDIAN((IF(DATOS_[[Sexo]:[Sexo]]=$B94,IF(DATOS_[[AGRUP. VALOR. PTO.]:[AGRUP. VALOR. PTO.]]=$B93,IF(DATOS_[[Check Periodo Ref.]:[Check Periodo Ref.]]="Dentro",IF(DATOS_[[Check Equiparado]:[Check Equiparado]]="Sí",IF(DATOS!AG$5="Sí",(1/DATOS_[[% anualiz]:[% anualiz]]),1)*IF(DATOS!AG$4="Sí",1/DATOS_[[% normaliz]:[% normaliz]],1)*(DATOS_[Conc.Sal.03])))))))),
0)</f>
        <v>0</v>
      </c>
      <c r="M94" s="196">
        <f t="array" ref="M94">IFERROR(
(MEDIAN((IF(DATOS_[[Sexo]:[Sexo]]=$B94,IF(DATOS_[[AGRUP. VALOR. PTO.]:[AGRUP. VALOR. PTO.]]=$B93,IF(DATOS_[[Check Periodo Ref.]:[Check Periodo Ref.]]="Dentro",IF(DATOS_[[Check Equiparado]:[Check Equiparado]]="Sí",IF(DATOS!AH$5="Sí",(1/DATOS_[[% anualiz]:[% anualiz]]),1)*IF(DATOS!AH$4="Sí",1/DATOS_[[% normaliz]:[% normaliz]],1)*(DATOS_[Conc.Sal.04])))))))),
0)</f>
        <v>0</v>
      </c>
      <c r="N94" s="196">
        <f t="array" ref="N94">IFERROR(
(MEDIAN((IF(DATOS_[[Sexo]:[Sexo]]=$B94,IF(DATOS_[[AGRUP. VALOR. PTO.]:[AGRUP. VALOR. PTO.]]=$B93,IF(DATOS_[[Check Periodo Ref.]:[Check Periodo Ref.]]="Dentro",IF(DATOS_[[Check Equiparado]:[Check Equiparado]]="Sí",IF(DATOS!AI$5="Sí",(1/DATOS_[[% anualiz]:[% anualiz]]),1)*IF(DATOS!AI$4="Sí",1/DATOS_[[% normaliz]:[% normaliz]],1)*(DATOS_[Conc.Sal.05])))))))),
0)</f>
        <v>0</v>
      </c>
      <c r="O94" s="196">
        <f t="array" ref="O94">IFERROR(
(MEDIAN((IF(DATOS_[[Sexo]:[Sexo]]=$B94,IF(DATOS_[[AGRUP. VALOR. PTO.]:[AGRUP. VALOR. PTO.]]=$B93,IF(DATOS_[[Check Periodo Ref.]:[Check Periodo Ref.]]="Dentro",IF(DATOS_[[Check Equiparado]:[Check Equiparado]]="Sí",IF(DATOS!AJ$5="Sí",(1/DATOS_[[% anualiz]:[% anualiz]]),1)*IF(DATOS!AJ$4="Sí",1/DATOS_[[% normaliz]:[% normaliz]],1)*(DATOS_[Conc.Sal.06])))))))),
0)</f>
        <v>0</v>
      </c>
      <c r="P94" s="196">
        <f t="array" ref="P94">IFERROR(
(MEDIAN((IF(DATOS_[[Sexo]:[Sexo]]=$B94,IF(DATOS_[[AGRUP. VALOR. PTO.]:[AGRUP. VALOR. PTO.]]=$B93,IF(DATOS_[[Check Periodo Ref.]:[Check Periodo Ref.]]="Dentro",IF(DATOS_[[Check Equiparado]:[Check Equiparado]]="Sí",IF(DATOS!AK$5="Sí",(1/DATOS_[[% anualiz]:[% anualiz]]),1)*IF(DATOS!AK$4="Sí",1/DATOS_[[% normaliz]:[% normaliz]],1)*(DATOS_[Conc.Sal.07])))))))),
0)</f>
        <v>0</v>
      </c>
      <c r="Q94" s="196">
        <f t="array" ref="Q94">IFERROR(
(MEDIAN((IF(DATOS_[[Sexo]:[Sexo]]=$B94,IF(DATOS_[[AGRUP. VALOR. PTO.]:[AGRUP. VALOR. PTO.]]=$B93,IF(DATOS_[[Check Periodo Ref.]:[Check Periodo Ref.]]="Dentro",IF(DATOS_[[Check Equiparado]:[Check Equiparado]]="Sí",IF(DATOS!AL$5="Sí",(1/DATOS_[[% anualiz]:[% anualiz]]),1)*IF(DATOS!AL$4="Sí",1/DATOS_[[% normaliz]:[% normaliz]],1)*(DATOS_[Conc.Sal.08])))))))),
0)</f>
        <v>0</v>
      </c>
      <c r="R94" s="196">
        <f t="array" ref="R94">IFERROR(
(MEDIAN((IF(DATOS_[[Sexo]:[Sexo]]=$B94,IF(DATOS_[[AGRUP. VALOR. PTO.]:[AGRUP. VALOR. PTO.]]=$B93,IF(DATOS_[[Check Periodo Ref.]:[Check Periodo Ref.]]="Dentro",IF(DATOS_[[Check Equiparado]:[Check Equiparado]]="Sí",IF(DATOS!AM$5="Sí",(1/DATOS_[[% anualiz]:[% anualiz]]),1)*IF(DATOS!AM$4="Sí",1/DATOS_[[% normaliz]:[% normaliz]],1)*(DATOS_[Conc.Sal.09])))))))),
0)</f>
        <v>0</v>
      </c>
      <c r="S94" s="196">
        <f t="array" ref="S94">IFERROR(
(MEDIAN((IF(DATOS_[[Sexo]:[Sexo]]=$B94,IF(DATOS_[[AGRUP. VALOR. PTO.]:[AGRUP. VALOR. PTO.]]=$B93,IF(DATOS_[[Check Periodo Ref.]:[Check Periodo Ref.]]="Dentro",IF(DATOS_[[Check Equiparado]:[Check Equiparado]]="Sí",IF(DATOS!AN$5="Sí",(1/DATOS_[[% anualiz]:[% anualiz]]),1)*IF(DATOS!AN$4="Sí",1/DATOS_[[% normaliz]:[% normaliz]],1)*(DATOS_[Conc.Sal.10])))))))),
0)</f>
        <v>0</v>
      </c>
      <c r="T94" s="196">
        <f t="array" ref="T94">IFERROR(
(MEDIAN((IF(DATOS_[[Sexo]:[Sexo]]=$B94,IF(DATOS_[[AGRUP. VALOR. PTO.]:[AGRUP. VALOR. PTO.]]=$B93,IF(DATOS_[[Check Periodo Ref.]:[Check Periodo Ref.]]="Dentro",IF(DATOS_[[Check Equiparado]:[Check Equiparado]]="Sí",IF(DATOS!AO$5="Sí",(1/DATOS_[[% anualiz]:[% anualiz]]),1)*IF(DATOS!AO$4="Sí",1/DATOS_[[% normaliz]:[% normaliz]],1)*(DATOS_[Conc.Sal.11])))))))),
0)</f>
        <v>0</v>
      </c>
      <c r="U94" s="196">
        <f t="array" ref="U94">IFERROR(
(MEDIAN((IF(DATOS_[[Sexo]:[Sexo]]=$B94,IF(DATOS_[[AGRUP. VALOR. PTO.]:[AGRUP. VALOR. PTO.]]=$B93,IF(DATOS_[[Check Periodo Ref.]:[Check Periodo Ref.]]="Dentro",IF(DATOS_[[Check Equiparado]:[Check Equiparado]]="Sí",IF(DATOS!AP$5="Sí",(1/DATOS_[[% anualiz]:[% anualiz]]),1)*IF(DATOS!AP$4="Sí",1/DATOS_[[% normaliz]:[% normaliz]],1)*(DATOS_[Conc.Sal.12])))))))),
0)</f>
        <v>0</v>
      </c>
      <c r="V94" s="196">
        <f t="array" ref="V94">IFERROR(
(MEDIAN((IF(DATOS_[[Sexo]:[Sexo]]=$B94,IF(DATOS_[[AGRUP. VALOR. PTO.]:[AGRUP. VALOR. PTO.]]=$B93,IF(DATOS_[[Check Periodo Ref.]:[Check Periodo Ref.]]="Dentro",IF(DATOS_[[Check Equiparado]:[Check Equiparado]]="Sí",IF(DATOS!AQ$5="Sí",(1/DATOS_[[% anualiz]:[% anualiz]]),1)*IF(DATOS!AQ$4="Sí",1/DATOS_[[% normaliz]:[% normaliz]],1)*(DATOS_[Conc.Sal.13])))))))),
0)</f>
        <v>0</v>
      </c>
      <c r="W94" s="196">
        <f t="array" ref="W94">IFERROR(
(MEDIAN((IF(DATOS_[[Sexo]:[Sexo]]=$B94,IF(DATOS_[[AGRUP. VALOR. PTO.]:[AGRUP. VALOR. PTO.]]=$B93,IF(DATOS_[[Check Periodo Ref.]:[Check Periodo Ref.]]="Dentro",IF(DATOS_[[Check Equiparado]:[Check Equiparado]]="Sí",IF(DATOS!AR$5="Sí",(1/DATOS_[[% anualiz]:[% anualiz]]),1)*IF(DATOS!AR$4="Sí",1/DATOS_[[% normaliz]:[% normaliz]],1)*(DATOS_[Conc.Sal.14])))))))),
0)</f>
        <v>0</v>
      </c>
      <c r="X94" s="196">
        <f t="array" ref="X94">IFERROR(
(MEDIAN((IF(DATOS_[[Sexo]:[Sexo]]=$B94,IF(DATOS_[[AGRUP. VALOR. PTO.]:[AGRUP. VALOR. PTO.]]=$B93,IF(DATOS_[[Check Periodo Ref.]:[Check Periodo Ref.]]="Dentro",IF(DATOS_[[Check Equiparado]:[Check Equiparado]]="Sí",IF(DATOS!AS$5="Sí",(1/DATOS_[[% anualiz]:[% anualiz]]),1)*IF(DATOS!AS$4="Sí",1/DATOS_[[% normaliz]:[% normaliz]],1)*(DATOS_[Conc.Sal.15])))))))),
0)</f>
        <v>0</v>
      </c>
      <c r="Y94" s="196">
        <f t="array" ref="Y94">IFERROR(
(MEDIAN((IF(DATOS_[[Sexo]:[Sexo]]=$B94,IF(DATOS_[[AGRUP. VALOR. PTO.]:[AGRUP. VALOR. PTO.]]=$B93,IF(DATOS_[[Check Periodo Ref.]:[Check Periodo Ref.]]="Dentro",IF(DATOS_[[Check Equiparado]:[Check Equiparado]]="Sí",IF(DATOS!AT$5="Sí",(1/DATOS_[[% anualiz]:[% anualiz]]),1)*IF(DATOS!AT$4="Sí",1/DATOS_[[% normaliz]:[% normaliz]],1)*(DATOS_[Conc.Sal.16])))))))),
0)</f>
        <v>0</v>
      </c>
      <c r="Z94" s="196">
        <f t="array" ref="Z94">IFERROR(
(MEDIAN((IF(DATOS_[[Sexo]:[Sexo]]=$B94,IF(DATOS_[[AGRUP. VALOR. PTO.]:[AGRUP. VALOR. PTO.]]=$B93,IF(DATOS_[[Check Periodo Ref.]:[Check Periodo Ref.]]="Dentro",IF(DATOS_[[Check Equiparado]:[Check Equiparado]]="Sí",IF(DATOS!AU$5="Sí",(1/DATOS_[[% anualiz]:[% anualiz]]),1)*IF(DATOS!AU$4="Sí",1/DATOS_[[% normaliz]:[% normaliz]],1)*(DATOS_[Conc.Sal.17])))))))),
0)</f>
        <v>0</v>
      </c>
      <c r="AA94" s="196">
        <f t="array" ref="AA94">IFERROR(
(MEDIAN((IF(DATOS_[[Sexo]:[Sexo]]=$B94,IF(DATOS_[[AGRUP. VALOR. PTO.]:[AGRUP. VALOR. PTO.]]=$B93,IF(DATOS_[[Check Periodo Ref.]:[Check Periodo Ref.]]="Dentro",IF(DATOS_[[Check Equiparado]:[Check Equiparado]]="Sí",IF(DATOS!AV$5="Sí",(1/DATOS_[[% anualiz]:[% anualiz]]),1)*IF(DATOS!AV$4="Sí",1/DATOS_[[% normaliz]:[% normaliz]],1)*(DATOS_[Conc.Sal.18])))))))),
0)</f>
        <v>0</v>
      </c>
      <c r="AB94" s="196">
        <f t="array" ref="AB94">IFERROR(
(MEDIAN((IF(DATOS_[[Sexo]:[Sexo]]=$B94,IF(DATOS_[[AGRUP. VALOR. PTO.]:[AGRUP. VALOR. PTO.]]=$B93,IF(DATOS_[[Check Periodo Ref.]:[Check Periodo Ref.]]="Dentro",IF(DATOS_[[Check Equiparado]:[Check Equiparado]]="Sí",IF(DATOS!AW$5="Sí",(1/DATOS_[[% anualiz]:[% anualiz]]),1)*IF(DATOS!AW$4="Sí",1/DATOS_[[% normaliz]:[% normaliz]],1)*(DATOS_[Conc.Sal.19])))))))),
0)</f>
        <v>0</v>
      </c>
      <c r="AC94" s="196">
        <f t="array" ref="AC94">IFERROR(
(MEDIAN((IF(DATOS_[[Sexo]:[Sexo]]=$B94,IF(DATOS_[[AGRUP. VALOR. PTO.]:[AGRUP. VALOR. PTO.]]=$B93,IF(DATOS_[[Check Periodo Ref.]:[Check Periodo Ref.]]="Dentro",IF(DATOS_[[Check Equiparado]:[Check Equiparado]]="Sí",IF(DATOS!AX$5="Sí",(1/DATOS_[[% anualiz]:[% anualiz]]),1)*IF(DATOS!AX$4="Sí",1/DATOS_[[% normaliz]:[% normaliz]],1)*(DATOS_[Conc.Sal.20])))))))),
0)</f>
        <v>0</v>
      </c>
      <c r="AD94" s="196">
        <f t="array" ref="AD94">IFERROR(
(MEDIAN((IF(DATOS_[[Sexo]:[Sexo]]=$B94,IF(DATOS_[[AGRUP. VALOR. PTO.]:[AGRUP. VALOR. PTO.]]=$B93,IF(DATOS_[[Check Periodo Ref.]:[Check Periodo Ref.]]="Dentro",IF(DATOS_[[Check Equiparado]:[Check Equiparado]]="Sí",IF(DATOS!AY$5="Sí",(1/DATOS_[[% anualiz]:[% anualiz]]),1)*IF(DATOS!AY$4="Sí",1/DATOS_[[% normaliz]:[% normaliz]],1)*(DATOS_[Conc.Sal.21])))))))),
0)</f>
        <v>0</v>
      </c>
      <c r="AE94" s="196">
        <f t="array" ref="AE94">IFERROR(
(MEDIAN((IF(DATOS_[[Sexo]:[Sexo]]=$B94,IF(DATOS_[[AGRUP. VALOR. PTO.]:[AGRUP. VALOR. PTO.]]=$B93,IF(DATOS_[[Check Periodo Ref.]:[Check Periodo Ref.]]="Dentro",IF(DATOS_[[Check Equiparado]:[Check Equiparado]]="Sí",IF(DATOS!AZ$5="Sí",(1/DATOS_[[% anualiz]:[% anualiz]]),1)*IF(DATOS!AZ$4="Sí",1/DATOS_[[% normaliz]:[% normaliz]],1)*(DATOS_[Conc.Sal.22])))))))),
0)</f>
        <v>0</v>
      </c>
      <c r="AF94" s="196">
        <f t="array" ref="AF94">IFERROR(
(MEDIAN((IF(DATOS_[[Sexo]:[Sexo]]=$B94,IF(DATOS_[[AGRUP. VALOR. PTO.]:[AGRUP. VALOR. PTO.]]=$B93,IF(DATOS_[[Check Periodo Ref.]:[Check Periodo Ref.]]="Dentro",IF(DATOS_[[Check Equiparado]:[Check Equiparado]]="Sí",IF(DATOS!BA$5="Sí",(1/DATOS_[[% anualiz]:[% anualiz]]),1)*IF(DATOS!BA$4="Sí",1/DATOS_[[% normaliz]:[% normaliz]],1)*(DATOS_[Conc.Sal.23])))))))),
0)</f>
        <v>0</v>
      </c>
      <c r="AG94" s="196">
        <f t="array" ref="AG94">IFERROR(
(MEDIAN((IF(DATOS_[[Sexo]:[Sexo]]=$B94,IF(DATOS_[[AGRUP. VALOR. PTO.]:[AGRUP. VALOR. PTO.]]=$B93,IF(DATOS_[[Check Periodo Ref.]:[Check Periodo Ref.]]="Dentro",IF(DATOS_[[Check Equiparado]:[Check Equiparado]]="Sí",IF(DATOS!BB$5="Sí",(1/DATOS_[[% anualiz]:[% anualiz]]),1)*IF(DATOS!BB$4="Sí",1/DATOS_[[% normaliz]:[% normaliz]],1)*(DATOS_[Conc.Sal.24])))))))),
0)</f>
        <v>0</v>
      </c>
      <c r="AH94" s="196">
        <f t="array" ref="AH94">IFERROR(
(MEDIAN((IF(DATOS_[[Sexo]:[Sexo]]=$B94,IF(DATOS_[[AGRUP. VALOR. PTO.]:[AGRUP. VALOR. PTO.]]=$B93,IF(DATOS_[[Check Periodo Ref.]:[Check Periodo Ref.]]="Dentro",IF(DATOS_[[Check Equiparado]:[Check Equiparado]]="Sí",IF(DATOS!BC$5="Sí",(1/DATOS_[[% anualiz]:[% anualiz]]),1)*IF(DATOS!BC$4="Sí",1/DATOS_[[% normaliz]:[% normaliz]],1)*(DATOS_[Conc.Sal.25])))))))),
0)</f>
        <v>0</v>
      </c>
      <c r="AI94" s="196">
        <f t="array" ref="AI94">IFERROR(
(MEDIAN((IF(DATOS_[[Sexo]:[Sexo]]=$B94,IF(DATOS_[[AGRUP. VALOR. PTO.]:[AGRUP. VALOR. PTO.]]=$B93,IF(DATOS_[[Check Periodo Ref.]:[Check Periodo Ref.]]="Dentro",IF(DATOS_[[Check Equiparado]:[Check Equiparado]]="Sí",IF(DATOS!BD$5="Sí",(1/DATOS_[[% anualiz]:[% anualiz]]),1)*IF(DATOS!BD$4="Sí",1/DATOS_[[% normaliz]:[% normaliz]],1)*(DATOS_[Conc.Sal.26])))))))),
0)</f>
        <v>0</v>
      </c>
      <c r="AJ94" s="196">
        <f t="array" ref="AJ94">IFERROR(
(MEDIAN((IF(DATOS_[[Sexo]:[Sexo]]=$B94,IF(DATOS_[[AGRUP. VALOR. PTO.]:[AGRUP. VALOR. PTO.]]=$B93,IF(DATOS_[[Check Periodo Ref.]:[Check Periodo Ref.]]="Dentro",IF(DATOS_[[Check Equiparado]:[Check Equiparado]]="Sí",IF(DATOS!BE$5="Sí",(1/DATOS_[[% anualiz]:[% anualiz]]),1)*IF(DATOS!BE$4="Sí",1/DATOS_[[% normaliz]:[% normaliz]],1)*(DATOS_[Conc.Sal.27])))))))),
0)</f>
        <v>0</v>
      </c>
      <c r="AK94" s="196">
        <f t="array" ref="AK94">IFERROR(
(MEDIAN((IF(DATOS_[[Sexo]:[Sexo]]=$B94,IF(DATOS_[[AGRUP. VALOR. PTO.]:[AGRUP. VALOR. PTO.]]=$B93,IF(DATOS_[[Check Periodo Ref.]:[Check Periodo Ref.]]="Dentro",IF(DATOS_[[Check Equiparado]:[Check Equiparado]]="Sí",IF(DATOS!BF$5="Sí",(1/DATOS_[[% anualiz]:[% anualiz]]),1)*IF(DATOS!BF$4="Sí",1/DATOS_[[% normaliz]:[% normaliz]],1)*(DATOS_[Conc.Sal.28])))))))),
0)</f>
        <v>0</v>
      </c>
      <c r="AL94" s="196">
        <f t="array" ref="AL94">IFERROR(
(MEDIAN((IF(DATOS_[[Sexo]:[Sexo]]=$B94,IF(DATOS_[[AGRUP. VALOR. PTO.]:[AGRUP. VALOR. PTO.]]=$B93,IF(DATOS_[[Check Periodo Ref.]:[Check Periodo Ref.]]="Dentro",IF(DATOS_[[Check Equiparado]:[Check Equiparado]]="Sí",IF(DATOS!BG$5="Sí",(1/DATOS_[[% anualiz]:[% anualiz]]),1)*IF(DATOS!BG$4="Sí",1/DATOS_[[% normaliz]:[% normaliz]],1)*(DATOS_[Conc.Sal.29])))))))),
0)</f>
        <v>0</v>
      </c>
      <c r="AM94" s="196">
        <f t="array" ref="AM94">IFERROR(
(MEDIAN((IF(DATOS_[[Sexo]:[Sexo]]=$B94,IF(DATOS_[[AGRUP. VALOR. PTO.]:[AGRUP. VALOR. PTO.]]=$B93,IF(DATOS_[[Check Periodo Ref.]:[Check Periodo Ref.]]="Dentro",IF(DATOS_[[Check Equiparado]:[Check Equiparado]]="Sí",IF(DATOS!BH$5="Sí",(1/DATOS_[[% anualiz]:[% anualiz]]),1)*IF(DATOS!BH$4="Sí",1/DATOS_[[% normaliz]:[% normaliz]],1)*(DATOS_[Conc.Sal.30])))))))),
0)</f>
        <v>0</v>
      </c>
      <c r="AN94" s="195">
        <f t="array" ref="AN94">IFERROR(
MEDIAN(IF(DATOS_[Sexo]=$B94,IF(DATOS_[[AGRUP. VALOR. PTO.]:[AGRUP. VALOR. PTO.]]=$B93,IF(DATOS_[Check Equiparado]="Sí",IF(DATOS_[Check Periodo Ref.]="Dentro",DATOS_[Tot COMPL.SAL Eq],FALSE))))),
0)</f>
        <v>0</v>
      </c>
      <c r="AO94" s="172">
        <f t="array" ref="AO94">IFERROR(
MEDIAN(IF(DATOS_[Sexo]=$B94,IF(DATOS_[[AGRUP. VALOR. PTO.]:[AGRUP. VALOR. PTO.]]=$B93,IF(DATOS_[Check Equiparado]="Sí",IF(DATOS_[Check Periodo Ref.]="Dentro",DATOS_[TOTAL SALARIO Eq],FALSE))))),
0)</f>
        <v>0</v>
      </c>
      <c r="AP94" s="173">
        <f t="array" ref="AP94">IFERROR(
(MEDIAN((IF(DATOS_[[Sexo]:[Sexo]]=$B94,IF(DATOS_[[AGRUP. VALOR. PTO.]:[AGRUP. VALOR. PTO.]]=$B93,IF(DATOS_[[Check Periodo Ref.]:[Check Periodo Ref.]]="Dentro",IF(DATOS_[[Check Equiparado]:[Check Equiparado]]="Sí",IF(DATOS!BW$5="Sí",(1/DATOS_[[% anualiz]:[% anualiz]]),1)*IF(DATOS!BW$4="Sí",1/DATOS_[[% normaliz]:[% normaliz]],1)*(DATOS_[C.Extra.01])))))))),
0)</f>
        <v>0</v>
      </c>
      <c r="AQ94" s="173">
        <f t="array" ref="AQ94">IFERROR(
(MEDIAN((IF(DATOS_[[Sexo]:[Sexo]]=$B94,IF(DATOS_[[AGRUP. VALOR. PTO.]:[AGRUP. VALOR. PTO.]]=$B93,IF(DATOS_[[Check Periodo Ref.]:[Check Periodo Ref.]]="Dentro",IF(DATOS_[[Check Equiparado]:[Check Equiparado]]="Sí",IF(DATOS!CB$5="Sí",(1/DATOS_[[% anualiz]:[% anualiz]]),1)*IF(DATOS!CB$4="Sí",1/DATOS_[[% normaliz]:[% normaliz]],1)*(DATOS_[C.Extra.06])))))))),
0)</f>
        <v>0</v>
      </c>
      <c r="AR94" s="173">
        <f t="array" ref="AR94">IFERROR(
(MEDIAN((IF(DATOS_[[Sexo]:[Sexo]]=$B94,IF(DATOS_[[AGRUP. VALOR. PTO.]:[AGRUP. VALOR. PTO.]]=$B93,IF(DATOS_[[Check Periodo Ref.]:[Check Periodo Ref.]]="Dentro",IF(DATOS_[[Check Equiparado]:[Check Equiparado]]="Sí",IF(DATOS!CC$5="Sí",(1/DATOS_[[% anualiz]:[% anualiz]]),1)*IF(DATOS!CC$4="Sí",1/DATOS_[[% normaliz]:[% normaliz]],1)*(DATOS_[C.Extra.07])))))))),
0)</f>
        <v>0</v>
      </c>
      <c r="AS94" s="173">
        <f t="array" ref="AS94">IFERROR(
(MEDIAN((IF(DATOS_[[Sexo]:[Sexo]]=$B94,IF(DATOS_[[AGRUP. VALOR. PTO.]:[AGRUP. VALOR. PTO.]]=$B93,IF(DATOS_[[Check Periodo Ref.]:[Check Periodo Ref.]]="Dentro",IF(DATOS_[[Check Equiparado]:[Check Equiparado]]="Sí",IF(DATOS!CD$5="Sí",(1/DATOS_[[% anualiz]:[% anualiz]]),1)*IF(DATOS!CD$4="Sí",1/DATOS_[[% normaliz]:[% normaliz]],1)*(DATOS_[C.Extra.08])))))))),
0)</f>
        <v>0</v>
      </c>
      <c r="AT94" s="173">
        <f t="array" ref="AT94">IFERROR(
(MEDIAN((IF(DATOS_[[Sexo]:[Sexo]]=$B94,IF(DATOS_[[AGRUP. VALOR. PTO.]:[AGRUP. VALOR. PTO.]]=$B93,IF(DATOS_[[Check Periodo Ref.]:[Check Periodo Ref.]]="Dentro",IF(DATOS_[[Check Equiparado]:[Check Equiparado]]="Sí",IF(DATOS!CG$5="Sí",(1/DATOS_[[% anualiz]:[% anualiz]]),1)*IF(DATOS!CG$4="Sí",1/DATOS_[[% normaliz]:[% normaliz]],1)*(DATOS_[C.Extra.11])))))))),
0)</f>
        <v>0</v>
      </c>
      <c r="AU94" s="197">
        <f t="array" ref="AU94">IFERROR(
MEDIAN(IF(DATOS_[Sexo]=$B94,IF(DATOS_[[AGRUP. VALOR. PTO.]:[AGRUP. VALOR. PTO.]]=$B93,IF(DATOS_[Check Equiparado]="Sí",IF(DATOS_[Check Periodo Ref.]="Dentro",DATOS_[Tot Extrasalarial Eq],FALSE))))),
0)</f>
        <v>0</v>
      </c>
      <c r="AV94" s="175">
        <f t="array" ref="AV94">IFERROR(
MEDIAN(IF(DATOS_[Sexo]=$B94,IF(DATOS_[[AGRUP. VALOR. PTO.]:[AGRUP. VALOR. PTO.]]=$B93,IF(DATOS_[Check Equiparado]="Sí",IF(DATOS_[Check Periodo Ref.]="Dentro",DATOS_[TOTAL Retrib Eq],FALSE))))),
0)</f>
        <v>0</v>
      </c>
    </row>
    <row r="95" spans="1:48" x14ac:dyDescent="0.25">
      <c r="A95" s="133" t="str">
        <f t="shared" ref="A95" si="110">+A94</f>
        <v>[ocultar]</v>
      </c>
      <c r="B95" s="202" t="s">
        <v>521</v>
      </c>
      <c r="C95" s="203">
        <f t="array" ref="C95">SUM(IF($B95=DATOS_[Sexo],
IF($B93=DATOS_[AGRUP. VALOR. PTO.],
IF("Dentro"=DATOS_[Check Periodo Ref.],
1/(COUNTIFS(DATOS_[Sexo],$B95,DATOS_[AGRUP. VALOR. PTO.],$B93,DATOS_[Check Periodo Ref.],"Dentro",DATOS_[id/cod],DATOS_[id/cod]))))))</f>
        <v>0</v>
      </c>
      <c r="D95" s="204">
        <f>COUNTIFS(DATOS_[AGRUP. VALOR. PTO.],$B93,DATOS_[Sexo],$B95,DATOS_[Check Periodo Ref.],"Dentro")</f>
        <v>0</v>
      </c>
      <c r="E95" s="204">
        <f>COUNTIFS(DATOS_[AGRUP. VALOR. PTO.],$B93,DATOS_[Sexo],$B95,DATOS_[Check Periodo Ref.],"Dentro",DATOS_[Check Nº SC Norm],"Sí")</f>
        <v>0</v>
      </c>
      <c r="F95" s="204">
        <f>COUNTIFS(DATOS_[AGRUP. VALOR. PTO.],$B93,DATOS_[Sexo],$B95,DATOS_[Check Periodo Ref.],"Dentro",DATOS_[Check Nº SC Anualiz],"Sí")</f>
        <v>0</v>
      </c>
      <c r="G95" s="204">
        <f>COUNTIFS(DATOS_[AGRUP. VALOR. PTO.],$B93,DATOS_[Sexo],$B95,DATOS_[Check Periodo Ref.],"Dentro",DATOS_[Check Nº SC Norm y Anualiz],"Sí")</f>
        <v>0</v>
      </c>
      <c r="H95" s="204">
        <f>COUNTIFS(DATOS_[AGRUP. VALOR. PTO.],$B93,DATOS_[Sexo],$B95,DATOS_[Check Periodo Ref.],"Dentro",DATOS_[Check Equiparación],"Sí")</f>
        <v>0</v>
      </c>
      <c r="I95" s="195" cm="1">
        <f t="array" ref="I95">IFERROR(
MEDIAN(IF(DATOS_[Sexo]=$B95,IF(DATOS_[[AGRUP. VALOR. PTO.]:[AGRUP. VALOR. PTO.]]=$B93,IF(DATOS_[Check Equiparado]="Sí",IF(DATOS_[Check Periodo Ref.]="Dentro",DATOS_[SALARIO BASE Eq],FALSE))))),
0)</f>
        <v>0</v>
      </c>
      <c r="J95" s="196">
        <f t="array" ref="J95">IFERROR(
(MEDIAN((IF(DATOS_[[Sexo]:[Sexo]]=$B95,IF(DATOS_[[AGRUP. VALOR. PTO.]:[AGRUP. VALOR. PTO.]]=$B93,IF(DATOS_[[Check Periodo Ref.]:[Check Periodo Ref.]]="Dentro",IF(DATOS_[[Check Equiparado]:[Check Equiparado]]="Sí",IF(DATOS!AE$5="Sí",(1/DATOS_[[% anualiz]:[% anualiz]]),1)*IF(DATOS!AE$4="Sí",1/DATOS_[[% normaliz]:[% normaliz]],1)*(DATOS_[Conc.Sal.01])))))))),
0)</f>
        <v>0</v>
      </c>
      <c r="K95" s="196">
        <f t="array" ref="K95">IFERROR(
(MEDIAN((IF(DATOS_[[Sexo]:[Sexo]]=$B95,IF(DATOS_[[AGRUP. VALOR. PTO.]:[AGRUP. VALOR. PTO.]]=$B93,IF(DATOS_[[Check Periodo Ref.]:[Check Periodo Ref.]]="Dentro",IF(DATOS_[[Check Equiparado]:[Check Equiparado]]="Sí",IF(DATOS!AF$5="Sí",(1/DATOS_[[% anualiz]:[% anualiz]]),1)*IF(DATOS!AF$4="Sí",1/DATOS_[[% normaliz]:[% normaliz]],1)*(DATOS_[Conc.Sal.02])))))))),
0)</f>
        <v>0</v>
      </c>
      <c r="L95" s="196">
        <f t="array" ref="L95">IFERROR(
(MEDIAN((IF(DATOS_[[Sexo]:[Sexo]]=$B95,IF(DATOS_[[AGRUP. VALOR. PTO.]:[AGRUP. VALOR. PTO.]]=$B93,IF(DATOS_[[Check Periodo Ref.]:[Check Periodo Ref.]]="Dentro",IF(DATOS_[[Check Equiparado]:[Check Equiparado]]="Sí",IF(DATOS!AG$5="Sí",(1/DATOS_[[% anualiz]:[% anualiz]]),1)*IF(DATOS!AG$4="Sí",1/DATOS_[[% normaliz]:[% normaliz]],1)*(DATOS_[Conc.Sal.03])))))))),
0)</f>
        <v>0</v>
      </c>
      <c r="M95" s="196">
        <f t="array" ref="M95">IFERROR(
(MEDIAN((IF(DATOS_[[Sexo]:[Sexo]]=$B95,IF(DATOS_[[AGRUP. VALOR. PTO.]:[AGRUP. VALOR. PTO.]]=$B93,IF(DATOS_[[Check Periodo Ref.]:[Check Periodo Ref.]]="Dentro",IF(DATOS_[[Check Equiparado]:[Check Equiparado]]="Sí",IF(DATOS!AH$5="Sí",(1/DATOS_[[% anualiz]:[% anualiz]]),1)*IF(DATOS!AH$4="Sí",1/DATOS_[[% normaliz]:[% normaliz]],1)*(DATOS_[Conc.Sal.04])))))))),
0)</f>
        <v>0</v>
      </c>
      <c r="N95" s="196">
        <f t="array" ref="N95">IFERROR(
(MEDIAN((IF(DATOS_[[Sexo]:[Sexo]]=$B95,IF(DATOS_[[AGRUP. VALOR. PTO.]:[AGRUP. VALOR. PTO.]]=$B93,IF(DATOS_[[Check Periodo Ref.]:[Check Periodo Ref.]]="Dentro",IF(DATOS_[[Check Equiparado]:[Check Equiparado]]="Sí",IF(DATOS!AI$5="Sí",(1/DATOS_[[% anualiz]:[% anualiz]]),1)*IF(DATOS!AI$4="Sí",1/DATOS_[[% normaliz]:[% normaliz]],1)*(DATOS_[Conc.Sal.05])))))))),
0)</f>
        <v>0</v>
      </c>
      <c r="O95" s="196">
        <f t="array" ref="O95">IFERROR(
(MEDIAN((IF(DATOS_[[Sexo]:[Sexo]]=$B95,IF(DATOS_[[AGRUP. VALOR. PTO.]:[AGRUP. VALOR. PTO.]]=$B93,IF(DATOS_[[Check Periodo Ref.]:[Check Periodo Ref.]]="Dentro",IF(DATOS_[[Check Equiparado]:[Check Equiparado]]="Sí",IF(DATOS!AJ$5="Sí",(1/DATOS_[[% anualiz]:[% anualiz]]),1)*IF(DATOS!AJ$4="Sí",1/DATOS_[[% normaliz]:[% normaliz]],1)*(DATOS_[Conc.Sal.06])))))))),
0)</f>
        <v>0</v>
      </c>
      <c r="P95" s="196">
        <f t="array" ref="P95">IFERROR(
(MEDIAN((IF(DATOS_[[Sexo]:[Sexo]]=$B95,IF(DATOS_[[AGRUP. VALOR. PTO.]:[AGRUP. VALOR. PTO.]]=$B93,IF(DATOS_[[Check Periodo Ref.]:[Check Periodo Ref.]]="Dentro",IF(DATOS_[[Check Equiparado]:[Check Equiparado]]="Sí",IF(DATOS!AK$5="Sí",(1/DATOS_[[% anualiz]:[% anualiz]]),1)*IF(DATOS!AK$4="Sí",1/DATOS_[[% normaliz]:[% normaliz]],1)*(DATOS_[Conc.Sal.07])))))))),
0)</f>
        <v>0</v>
      </c>
      <c r="Q95" s="196">
        <f t="array" ref="Q95">IFERROR(
(MEDIAN((IF(DATOS_[[Sexo]:[Sexo]]=$B95,IF(DATOS_[[AGRUP. VALOR. PTO.]:[AGRUP. VALOR. PTO.]]=$B93,IF(DATOS_[[Check Periodo Ref.]:[Check Periodo Ref.]]="Dentro",IF(DATOS_[[Check Equiparado]:[Check Equiparado]]="Sí",IF(DATOS!AL$5="Sí",(1/DATOS_[[% anualiz]:[% anualiz]]),1)*IF(DATOS!AL$4="Sí",1/DATOS_[[% normaliz]:[% normaliz]],1)*(DATOS_[Conc.Sal.08])))))))),
0)</f>
        <v>0</v>
      </c>
      <c r="R95" s="196">
        <f t="array" ref="R95">IFERROR(
(MEDIAN((IF(DATOS_[[Sexo]:[Sexo]]=$B95,IF(DATOS_[[AGRUP. VALOR. PTO.]:[AGRUP. VALOR. PTO.]]=$B93,IF(DATOS_[[Check Periodo Ref.]:[Check Periodo Ref.]]="Dentro",IF(DATOS_[[Check Equiparado]:[Check Equiparado]]="Sí",IF(DATOS!AM$5="Sí",(1/DATOS_[[% anualiz]:[% anualiz]]),1)*IF(DATOS!AM$4="Sí",1/DATOS_[[% normaliz]:[% normaliz]],1)*(DATOS_[Conc.Sal.09])))))))),
0)</f>
        <v>0</v>
      </c>
      <c r="S95" s="196">
        <f t="array" ref="S95">IFERROR(
(MEDIAN((IF(DATOS_[[Sexo]:[Sexo]]=$B95,IF(DATOS_[[AGRUP. VALOR. PTO.]:[AGRUP. VALOR. PTO.]]=$B93,IF(DATOS_[[Check Periodo Ref.]:[Check Periodo Ref.]]="Dentro",IF(DATOS_[[Check Equiparado]:[Check Equiparado]]="Sí",IF(DATOS!AN$5="Sí",(1/DATOS_[[% anualiz]:[% anualiz]]),1)*IF(DATOS!AN$4="Sí",1/DATOS_[[% normaliz]:[% normaliz]],1)*(DATOS_[Conc.Sal.10])))))))),
0)</f>
        <v>0</v>
      </c>
      <c r="T95" s="196">
        <f t="array" ref="T95">IFERROR(
(MEDIAN((IF(DATOS_[[Sexo]:[Sexo]]=$B95,IF(DATOS_[[AGRUP. VALOR. PTO.]:[AGRUP. VALOR. PTO.]]=$B93,IF(DATOS_[[Check Periodo Ref.]:[Check Periodo Ref.]]="Dentro",IF(DATOS_[[Check Equiparado]:[Check Equiparado]]="Sí",IF(DATOS!AO$5="Sí",(1/DATOS_[[% anualiz]:[% anualiz]]),1)*IF(DATOS!AO$4="Sí",1/DATOS_[[% normaliz]:[% normaliz]],1)*(DATOS_[Conc.Sal.11])))))))),
0)</f>
        <v>0</v>
      </c>
      <c r="U95" s="196">
        <f t="array" ref="U95">IFERROR(
(MEDIAN((IF(DATOS_[[Sexo]:[Sexo]]=$B95,IF(DATOS_[[AGRUP. VALOR. PTO.]:[AGRUP. VALOR. PTO.]]=$B93,IF(DATOS_[[Check Periodo Ref.]:[Check Periodo Ref.]]="Dentro",IF(DATOS_[[Check Equiparado]:[Check Equiparado]]="Sí",IF(DATOS!AP$5="Sí",(1/DATOS_[[% anualiz]:[% anualiz]]),1)*IF(DATOS!AP$4="Sí",1/DATOS_[[% normaliz]:[% normaliz]],1)*(DATOS_[Conc.Sal.12])))))))),
0)</f>
        <v>0</v>
      </c>
      <c r="V95" s="196">
        <f t="array" ref="V95">IFERROR(
(MEDIAN((IF(DATOS_[[Sexo]:[Sexo]]=$B95,IF(DATOS_[[AGRUP. VALOR. PTO.]:[AGRUP. VALOR. PTO.]]=$B93,IF(DATOS_[[Check Periodo Ref.]:[Check Periodo Ref.]]="Dentro",IF(DATOS_[[Check Equiparado]:[Check Equiparado]]="Sí",IF(DATOS!AQ$5="Sí",(1/DATOS_[[% anualiz]:[% anualiz]]),1)*IF(DATOS!AQ$4="Sí",1/DATOS_[[% normaliz]:[% normaliz]],1)*(DATOS_[Conc.Sal.13])))))))),
0)</f>
        <v>0</v>
      </c>
      <c r="W95" s="196">
        <f t="array" ref="W95">IFERROR(
(MEDIAN((IF(DATOS_[[Sexo]:[Sexo]]=$B95,IF(DATOS_[[AGRUP. VALOR. PTO.]:[AGRUP. VALOR. PTO.]]=$B93,IF(DATOS_[[Check Periodo Ref.]:[Check Periodo Ref.]]="Dentro",IF(DATOS_[[Check Equiparado]:[Check Equiparado]]="Sí",IF(DATOS!AR$5="Sí",(1/DATOS_[[% anualiz]:[% anualiz]]),1)*IF(DATOS!AR$4="Sí",1/DATOS_[[% normaliz]:[% normaliz]],1)*(DATOS_[Conc.Sal.14])))))))),
0)</f>
        <v>0</v>
      </c>
      <c r="X95" s="196">
        <f t="array" ref="X95">IFERROR(
(MEDIAN((IF(DATOS_[[Sexo]:[Sexo]]=$B95,IF(DATOS_[[AGRUP. VALOR. PTO.]:[AGRUP. VALOR. PTO.]]=$B93,IF(DATOS_[[Check Periodo Ref.]:[Check Periodo Ref.]]="Dentro",IF(DATOS_[[Check Equiparado]:[Check Equiparado]]="Sí",IF(DATOS!AS$5="Sí",(1/DATOS_[[% anualiz]:[% anualiz]]),1)*IF(DATOS!AS$4="Sí",1/DATOS_[[% normaliz]:[% normaliz]],1)*(DATOS_[Conc.Sal.15])))))))),
0)</f>
        <v>0</v>
      </c>
      <c r="Y95" s="196">
        <f t="array" ref="Y95">IFERROR(
(MEDIAN((IF(DATOS_[[Sexo]:[Sexo]]=$B95,IF(DATOS_[[AGRUP. VALOR. PTO.]:[AGRUP. VALOR. PTO.]]=$B93,IF(DATOS_[[Check Periodo Ref.]:[Check Periodo Ref.]]="Dentro",IF(DATOS_[[Check Equiparado]:[Check Equiparado]]="Sí",IF(DATOS!AT$5="Sí",(1/DATOS_[[% anualiz]:[% anualiz]]),1)*IF(DATOS!AT$4="Sí",1/DATOS_[[% normaliz]:[% normaliz]],1)*(DATOS_[Conc.Sal.16])))))))),
0)</f>
        <v>0</v>
      </c>
      <c r="Z95" s="196">
        <f t="array" ref="Z95">IFERROR(
(MEDIAN((IF(DATOS_[[Sexo]:[Sexo]]=$B95,IF(DATOS_[[AGRUP. VALOR. PTO.]:[AGRUP. VALOR. PTO.]]=$B93,IF(DATOS_[[Check Periodo Ref.]:[Check Periodo Ref.]]="Dentro",IF(DATOS_[[Check Equiparado]:[Check Equiparado]]="Sí",IF(DATOS!AU$5="Sí",(1/DATOS_[[% anualiz]:[% anualiz]]),1)*IF(DATOS!AU$4="Sí",1/DATOS_[[% normaliz]:[% normaliz]],1)*(DATOS_[Conc.Sal.17])))))))),
0)</f>
        <v>0</v>
      </c>
      <c r="AA95" s="196">
        <f t="array" ref="AA95">IFERROR(
(MEDIAN((IF(DATOS_[[Sexo]:[Sexo]]=$B95,IF(DATOS_[[AGRUP. VALOR. PTO.]:[AGRUP. VALOR. PTO.]]=$B93,IF(DATOS_[[Check Periodo Ref.]:[Check Periodo Ref.]]="Dentro",IF(DATOS_[[Check Equiparado]:[Check Equiparado]]="Sí",IF(DATOS!AV$5="Sí",(1/DATOS_[[% anualiz]:[% anualiz]]),1)*IF(DATOS!AV$4="Sí",1/DATOS_[[% normaliz]:[% normaliz]],1)*(DATOS_[Conc.Sal.18])))))))),
0)</f>
        <v>0</v>
      </c>
      <c r="AB95" s="196">
        <f t="array" ref="AB95">IFERROR(
(MEDIAN((IF(DATOS_[[Sexo]:[Sexo]]=$B95,IF(DATOS_[[AGRUP. VALOR. PTO.]:[AGRUP. VALOR. PTO.]]=$B93,IF(DATOS_[[Check Periodo Ref.]:[Check Periodo Ref.]]="Dentro",IF(DATOS_[[Check Equiparado]:[Check Equiparado]]="Sí",IF(DATOS!AW$5="Sí",(1/DATOS_[[% anualiz]:[% anualiz]]),1)*IF(DATOS!AW$4="Sí",1/DATOS_[[% normaliz]:[% normaliz]],1)*(DATOS_[Conc.Sal.19])))))))),
0)</f>
        <v>0</v>
      </c>
      <c r="AC95" s="196">
        <f t="array" ref="AC95">IFERROR(
(MEDIAN((IF(DATOS_[[Sexo]:[Sexo]]=$B95,IF(DATOS_[[AGRUP. VALOR. PTO.]:[AGRUP. VALOR. PTO.]]=$B93,IF(DATOS_[[Check Periodo Ref.]:[Check Periodo Ref.]]="Dentro",IF(DATOS_[[Check Equiparado]:[Check Equiparado]]="Sí",IF(DATOS!AX$5="Sí",(1/DATOS_[[% anualiz]:[% anualiz]]),1)*IF(DATOS!AX$4="Sí",1/DATOS_[[% normaliz]:[% normaliz]],1)*(DATOS_[Conc.Sal.20])))))))),
0)</f>
        <v>0</v>
      </c>
      <c r="AD95" s="196">
        <f t="array" ref="AD95">IFERROR(
(MEDIAN((IF(DATOS_[[Sexo]:[Sexo]]=$B95,IF(DATOS_[[AGRUP. VALOR. PTO.]:[AGRUP. VALOR. PTO.]]=$B93,IF(DATOS_[[Check Periodo Ref.]:[Check Periodo Ref.]]="Dentro",IF(DATOS_[[Check Equiparado]:[Check Equiparado]]="Sí",IF(DATOS!AY$5="Sí",(1/DATOS_[[% anualiz]:[% anualiz]]),1)*IF(DATOS!AY$4="Sí",1/DATOS_[[% normaliz]:[% normaliz]],1)*(DATOS_[Conc.Sal.21])))))))),
0)</f>
        <v>0</v>
      </c>
      <c r="AE95" s="196">
        <f t="array" ref="AE95">IFERROR(
(MEDIAN((IF(DATOS_[[Sexo]:[Sexo]]=$B95,IF(DATOS_[[AGRUP. VALOR. PTO.]:[AGRUP. VALOR. PTO.]]=$B93,IF(DATOS_[[Check Periodo Ref.]:[Check Periodo Ref.]]="Dentro",IF(DATOS_[[Check Equiparado]:[Check Equiparado]]="Sí",IF(DATOS!AZ$5="Sí",(1/DATOS_[[% anualiz]:[% anualiz]]),1)*IF(DATOS!AZ$4="Sí",1/DATOS_[[% normaliz]:[% normaliz]],1)*(DATOS_[Conc.Sal.22])))))))),
0)</f>
        <v>0</v>
      </c>
      <c r="AF95" s="196">
        <f t="array" ref="AF95">IFERROR(
(MEDIAN((IF(DATOS_[[Sexo]:[Sexo]]=$B95,IF(DATOS_[[AGRUP. VALOR. PTO.]:[AGRUP. VALOR. PTO.]]=$B93,IF(DATOS_[[Check Periodo Ref.]:[Check Periodo Ref.]]="Dentro",IF(DATOS_[[Check Equiparado]:[Check Equiparado]]="Sí",IF(DATOS!BA$5="Sí",(1/DATOS_[[% anualiz]:[% anualiz]]),1)*IF(DATOS!BA$4="Sí",1/DATOS_[[% normaliz]:[% normaliz]],1)*(DATOS_[Conc.Sal.23])))))))),
0)</f>
        <v>0</v>
      </c>
      <c r="AG95" s="196">
        <f t="array" ref="AG95">IFERROR(
(MEDIAN((IF(DATOS_[[Sexo]:[Sexo]]=$B95,IF(DATOS_[[AGRUP. VALOR. PTO.]:[AGRUP. VALOR. PTO.]]=$B93,IF(DATOS_[[Check Periodo Ref.]:[Check Periodo Ref.]]="Dentro",IF(DATOS_[[Check Equiparado]:[Check Equiparado]]="Sí",IF(DATOS!BB$5="Sí",(1/DATOS_[[% anualiz]:[% anualiz]]),1)*IF(DATOS!BB$4="Sí",1/DATOS_[[% normaliz]:[% normaliz]],1)*(DATOS_[Conc.Sal.24])))))))),
0)</f>
        <v>0</v>
      </c>
      <c r="AH95" s="196">
        <f t="array" ref="AH95">IFERROR(
(MEDIAN((IF(DATOS_[[Sexo]:[Sexo]]=$B95,IF(DATOS_[[AGRUP. VALOR. PTO.]:[AGRUP. VALOR. PTO.]]=$B93,IF(DATOS_[[Check Periodo Ref.]:[Check Periodo Ref.]]="Dentro",IF(DATOS_[[Check Equiparado]:[Check Equiparado]]="Sí",IF(DATOS!BC$5="Sí",(1/DATOS_[[% anualiz]:[% anualiz]]),1)*IF(DATOS!BC$4="Sí",1/DATOS_[[% normaliz]:[% normaliz]],1)*(DATOS_[Conc.Sal.25])))))))),
0)</f>
        <v>0</v>
      </c>
      <c r="AI95" s="196">
        <f t="array" ref="AI95">IFERROR(
(MEDIAN((IF(DATOS_[[Sexo]:[Sexo]]=$B95,IF(DATOS_[[AGRUP. VALOR. PTO.]:[AGRUP. VALOR. PTO.]]=$B93,IF(DATOS_[[Check Periodo Ref.]:[Check Periodo Ref.]]="Dentro",IF(DATOS_[[Check Equiparado]:[Check Equiparado]]="Sí",IF(DATOS!BD$5="Sí",(1/DATOS_[[% anualiz]:[% anualiz]]),1)*IF(DATOS!BD$4="Sí",1/DATOS_[[% normaliz]:[% normaliz]],1)*(DATOS_[Conc.Sal.26])))))))),
0)</f>
        <v>0</v>
      </c>
      <c r="AJ95" s="196">
        <f t="array" ref="AJ95">IFERROR(
(MEDIAN((IF(DATOS_[[Sexo]:[Sexo]]=$B95,IF(DATOS_[[AGRUP. VALOR. PTO.]:[AGRUP. VALOR. PTO.]]=$B93,IF(DATOS_[[Check Periodo Ref.]:[Check Periodo Ref.]]="Dentro",IF(DATOS_[[Check Equiparado]:[Check Equiparado]]="Sí",IF(DATOS!BE$5="Sí",(1/DATOS_[[% anualiz]:[% anualiz]]),1)*IF(DATOS!BE$4="Sí",1/DATOS_[[% normaliz]:[% normaliz]],1)*(DATOS_[Conc.Sal.27])))))))),
0)</f>
        <v>0</v>
      </c>
      <c r="AK95" s="196">
        <f t="array" ref="AK95">IFERROR(
(MEDIAN((IF(DATOS_[[Sexo]:[Sexo]]=$B95,IF(DATOS_[[AGRUP. VALOR. PTO.]:[AGRUP. VALOR. PTO.]]=$B93,IF(DATOS_[[Check Periodo Ref.]:[Check Periodo Ref.]]="Dentro",IF(DATOS_[[Check Equiparado]:[Check Equiparado]]="Sí",IF(DATOS!BF$5="Sí",(1/DATOS_[[% anualiz]:[% anualiz]]),1)*IF(DATOS!BF$4="Sí",1/DATOS_[[% normaliz]:[% normaliz]],1)*(DATOS_[Conc.Sal.28])))))))),
0)</f>
        <v>0</v>
      </c>
      <c r="AL95" s="196">
        <f t="array" ref="AL95">IFERROR(
(MEDIAN((IF(DATOS_[[Sexo]:[Sexo]]=$B95,IF(DATOS_[[AGRUP. VALOR. PTO.]:[AGRUP. VALOR. PTO.]]=$B93,IF(DATOS_[[Check Periodo Ref.]:[Check Periodo Ref.]]="Dentro",IF(DATOS_[[Check Equiparado]:[Check Equiparado]]="Sí",IF(DATOS!BG$5="Sí",(1/DATOS_[[% anualiz]:[% anualiz]]),1)*IF(DATOS!BG$4="Sí",1/DATOS_[[% normaliz]:[% normaliz]],1)*(DATOS_[Conc.Sal.29])))))))),
0)</f>
        <v>0</v>
      </c>
      <c r="AM95" s="196">
        <f t="array" ref="AM95">IFERROR(
(MEDIAN((IF(DATOS_[[Sexo]:[Sexo]]=$B95,IF(DATOS_[[AGRUP. VALOR. PTO.]:[AGRUP. VALOR. PTO.]]=$B93,IF(DATOS_[[Check Periodo Ref.]:[Check Periodo Ref.]]="Dentro",IF(DATOS_[[Check Equiparado]:[Check Equiparado]]="Sí",IF(DATOS!BH$5="Sí",(1/DATOS_[[% anualiz]:[% anualiz]]),1)*IF(DATOS!BH$4="Sí",1/DATOS_[[% normaliz]:[% normaliz]],1)*(DATOS_[Conc.Sal.30])))))))),
0)</f>
        <v>0</v>
      </c>
      <c r="AN95" s="195">
        <f t="array" ref="AN95">IFERROR(
MEDIAN(IF(DATOS_[Sexo]=$B95,IF(DATOS_[[AGRUP. VALOR. PTO.]:[AGRUP. VALOR. PTO.]]=$B93,IF(DATOS_[Check Equiparado]="Sí",IF(DATOS_[Check Periodo Ref.]="Dentro",DATOS_[Tot COMPL.SAL Eq],FALSE))))),
0)</f>
        <v>0</v>
      </c>
      <c r="AO95" s="172">
        <f t="array" ref="AO95">IFERROR(
MEDIAN(IF(DATOS_[Sexo]=$B95,IF(DATOS_[[AGRUP. VALOR. PTO.]:[AGRUP. VALOR. PTO.]]=$B93,IF(DATOS_[Check Equiparado]="Sí",IF(DATOS_[Check Periodo Ref.]="Dentro",DATOS_[TOTAL SALARIO Eq],FALSE))))),
0)</f>
        <v>0</v>
      </c>
      <c r="AP95" s="173">
        <f t="array" ref="AP95">IFERROR(
(MEDIAN((IF(DATOS_[[Sexo]:[Sexo]]=$B95,IF(DATOS_[[AGRUP. VALOR. PTO.]:[AGRUP. VALOR. PTO.]]=$B94,IF(DATOS_[[Check Periodo Ref.]:[Check Periodo Ref.]]="Dentro",IF(DATOS_[[Check Equiparado]:[Check Equiparado]]="Sí",IF(DATOS!BW$5="Sí",(1/DATOS_[[% anualiz]:[% anualiz]]),1)*IF(DATOS!BW$4="Sí",1/DATOS_[[% normaliz]:[% normaliz]],1)*(DATOS_[C.Extra.01])))))))),
0)</f>
        <v>0</v>
      </c>
      <c r="AQ95" s="173">
        <f t="array" ref="AQ95">IFERROR(
(MEDIAN((IF(DATOS_[[Sexo]:[Sexo]]=$B95,IF(DATOS_[[AGRUP. VALOR. PTO.]:[AGRUP. VALOR. PTO.]]=$B94,IF(DATOS_[[Check Periodo Ref.]:[Check Periodo Ref.]]="Dentro",IF(DATOS_[[Check Equiparado]:[Check Equiparado]]="Sí",IF(DATOS!CB$5="Sí",(1/DATOS_[[% anualiz]:[% anualiz]]),1)*IF(DATOS!CB$4="Sí",1/DATOS_[[% normaliz]:[% normaliz]],1)*(DATOS_[C.Extra.06])))))))),
0)</f>
        <v>0</v>
      </c>
      <c r="AR95" s="173">
        <f t="array" ref="AR95">IFERROR(
(MEDIAN((IF(DATOS_[[Sexo]:[Sexo]]=$B95,IF(DATOS_[[AGRUP. VALOR. PTO.]:[AGRUP. VALOR. PTO.]]=$B94,IF(DATOS_[[Check Periodo Ref.]:[Check Periodo Ref.]]="Dentro",IF(DATOS_[[Check Equiparado]:[Check Equiparado]]="Sí",IF(DATOS!CC$5="Sí",(1/DATOS_[[% anualiz]:[% anualiz]]),1)*IF(DATOS!CC$4="Sí",1/DATOS_[[% normaliz]:[% normaliz]],1)*(DATOS_[C.Extra.07])))))))),
0)</f>
        <v>0</v>
      </c>
      <c r="AS95" s="173">
        <f t="array" ref="AS95">IFERROR(
(MEDIAN((IF(DATOS_[[Sexo]:[Sexo]]=$B95,IF(DATOS_[[AGRUP. VALOR. PTO.]:[AGRUP. VALOR. PTO.]]=$B94,IF(DATOS_[[Check Periodo Ref.]:[Check Periodo Ref.]]="Dentro",IF(DATOS_[[Check Equiparado]:[Check Equiparado]]="Sí",IF(DATOS!CD$5="Sí",(1/DATOS_[[% anualiz]:[% anualiz]]),1)*IF(DATOS!CD$4="Sí",1/DATOS_[[% normaliz]:[% normaliz]],1)*(DATOS_[C.Extra.08])))))))),
0)</f>
        <v>0</v>
      </c>
      <c r="AT95" s="173">
        <f t="array" ref="AT95">IFERROR(
(MEDIAN((IF(DATOS_[[Sexo]:[Sexo]]=$B95,IF(DATOS_[[AGRUP. VALOR. PTO.]:[AGRUP. VALOR. PTO.]]=$B94,IF(DATOS_[[Check Periodo Ref.]:[Check Periodo Ref.]]="Dentro",IF(DATOS_[[Check Equiparado]:[Check Equiparado]]="Sí",IF(DATOS!CG$5="Sí",(1/DATOS_[[% anualiz]:[% anualiz]]),1)*IF(DATOS!CG$4="Sí",1/DATOS_[[% normaliz]:[% normaliz]],1)*(DATOS_[C.Extra.11])))))))),
0)</f>
        <v>0</v>
      </c>
      <c r="AU95" s="197">
        <f t="array" ref="AU95">IFERROR(
MEDIAN(IF(DATOS_[Sexo]=$B95,IF(DATOS_[[AGRUP. VALOR. PTO.]:[AGRUP. VALOR. PTO.]]=$B93,IF(DATOS_[Check Equiparado]="Sí",IF(DATOS_[Check Periodo Ref.]="Dentro",DATOS_[Tot Extrasalarial Eq],FALSE))))),
0)</f>
        <v>0</v>
      </c>
      <c r="AV95" s="175">
        <f t="array" ref="AV95">IFERROR(
MEDIAN(IF(DATOS_[Sexo]=$B95,IF(DATOS_[[AGRUP. VALOR. PTO.]:[AGRUP. VALOR. PTO.]]=$B93,IF(DATOS_[Check Equiparado]="Sí",IF(DATOS_[Check Periodo Ref.]="Dentro",DATOS_[TOTAL Retrib Eq],FALSE))))),
0)</f>
        <v>0</v>
      </c>
    </row>
    <row r="96" spans="1:48" ht="15.6" thickBot="1" x14ac:dyDescent="0.3">
      <c r="A96" s="133" t="str">
        <f t="shared" ref="A96" si="111">+A97</f>
        <v>[ocultar]</v>
      </c>
      <c r="B96" s="199" t="s">
        <v>284</v>
      </c>
      <c r="C96" s="200"/>
      <c r="D96" s="201"/>
      <c r="E96" s="201"/>
      <c r="F96" s="201"/>
      <c r="G96" s="201"/>
      <c r="H96" s="201"/>
      <c r="I96" s="189" t="str">
        <f t="shared" ref="I96:AV96" si="112">IFERROR((I97-I98)/I97,"")</f>
        <v/>
      </c>
      <c r="J96" s="190" t="str">
        <f t="shared" si="112"/>
        <v/>
      </c>
      <c r="K96" s="191" t="str">
        <f t="shared" si="112"/>
        <v/>
      </c>
      <c r="L96" s="191" t="str">
        <f t="shared" si="112"/>
        <v/>
      </c>
      <c r="M96" s="191" t="str">
        <f t="shared" si="112"/>
        <v/>
      </c>
      <c r="N96" s="192" t="str">
        <f t="shared" si="112"/>
        <v/>
      </c>
      <c r="O96" s="193" t="str">
        <f t="shared" si="112"/>
        <v/>
      </c>
      <c r="P96" s="193" t="str">
        <f t="shared" si="112"/>
        <v/>
      </c>
      <c r="Q96" s="193" t="str">
        <f t="shared" si="112"/>
        <v/>
      </c>
      <c r="R96" s="193" t="str">
        <f t="shared" si="112"/>
        <v/>
      </c>
      <c r="S96" s="193" t="str">
        <f t="shared" si="112"/>
        <v/>
      </c>
      <c r="T96" s="193" t="str">
        <f t="shared" si="112"/>
        <v/>
      </c>
      <c r="U96" s="193" t="str">
        <f t="shared" si="112"/>
        <v/>
      </c>
      <c r="V96" s="193" t="str">
        <f t="shared" si="112"/>
        <v/>
      </c>
      <c r="W96" s="193" t="str">
        <f t="shared" si="112"/>
        <v/>
      </c>
      <c r="X96" s="193" t="str">
        <f t="shared" si="112"/>
        <v/>
      </c>
      <c r="Y96" s="193" t="str">
        <f t="shared" si="112"/>
        <v/>
      </c>
      <c r="Z96" s="193" t="str">
        <f t="shared" si="112"/>
        <v/>
      </c>
      <c r="AA96" s="193" t="str">
        <f t="shared" si="112"/>
        <v/>
      </c>
      <c r="AB96" s="193" t="str">
        <f t="shared" si="112"/>
        <v/>
      </c>
      <c r="AC96" s="193" t="str">
        <f t="shared" si="112"/>
        <v/>
      </c>
      <c r="AD96" s="193" t="str">
        <f t="shared" si="112"/>
        <v/>
      </c>
      <c r="AE96" s="193" t="str">
        <f t="shared" si="112"/>
        <v/>
      </c>
      <c r="AF96" s="193" t="str">
        <f t="shared" si="112"/>
        <v/>
      </c>
      <c r="AG96" s="193" t="str">
        <f t="shared" si="112"/>
        <v/>
      </c>
      <c r="AH96" s="193" t="str">
        <f t="shared" si="112"/>
        <v/>
      </c>
      <c r="AI96" s="193" t="str">
        <f t="shared" si="112"/>
        <v/>
      </c>
      <c r="AJ96" s="193" t="str">
        <f t="shared" si="112"/>
        <v/>
      </c>
      <c r="AK96" s="193" t="str">
        <f t="shared" si="112"/>
        <v/>
      </c>
      <c r="AL96" s="193" t="str">
        <f t="shared" si="112"/>
        <v/>
      </c>
      <c r="AM96" s="193" t="str">
        <f t="shared" si="112"/>
        <v/>
      </c>
      <c r="AN96" s="189" t="str">
        <f t="shared" si="112"/>
        <v/>
      </c>
      <c r="AO96" s="162" t="str">
        <f t="shared" si="112"/>
        <v/>
      </c>
      <c r="AP96" s="163" t="str">
        <f t="shared" si="112"/>
        <v/>
      </c>
      <c r="AQ96" s="163" t="str">
        <f t="shared" si="112"/>
        <v/>
      </c>
      <c r="AR96" s="163" t="str">
        <f t="shared" si="112"/>
        <v/>
      </c>
      <c r="AS96" s="163" t="str">
        <f t="shared" si="112"/>
        <v/>
      </c>
      <c r="AT96" s="163" t="str">
        <f t="shared" si="112"/>
        <v/>
      </c>
      <c r="AU96" s="194" t="str">
        <f t="shared" si="112"/>
        <v/>
      </c>
      <c r="AV96" s="165" t="str">
        <f t="shared" si="112"/>
        <v/>
      </c>
    </row>
    <row r="97" spans="1:48" x14ac:dyDescent="0.25">
      <c r="A97" s="133" t="str">
        <f t="shared" ref="A97" si="113">+IF(C97+C98=0,"[ocultar]","")</f>
        <v>[ocultar]</v>
      </c>
      <c r="B97" s="202" t="s">
        <v>394</v>
      </c>
      <c r="C97" s="203">
        <f t="array" ref="C97">SUM(IF($B97=DATOS_[Sexo],
IF($B96=DATOS_[AGRUP. VALOR. PTO.],
IF("Dentro"=DATOS_[Check Periodo Ref.],
1/(COUNTIFS(DATOS_[Sexo],$B97,DATOS_[AGRUP. VALOR. PTO.],$B96,DATOS_[Check Periodo Ref.],"Dentro",DATOS_[id/cod],DATOS_[id/cod]))))))</f>
        <v>0</v>
      </c>
      <c r="D97" s="204">
        <f>COUNTIFS(DATOS_[AGRUP. VALOR. PTO.],$B96,DATOS_[Sexo],$B97,DATOS_[Check Periodo Ref.],"Dentro")</f>
        <v>0</v>
      </c>
      <c r="E97" s="204">
        <f>COUNTIFS(DATOS_[AGRUP. VALOR. PTO.],$B96,DATOS_[Sexo],$B97,DATOS_[Check Periodo Ref.],"Dentro",DATOS_[Check Nº SC Norm],"Sí")</f>
        <v>0</v>
      </c>
      <c r="F97" s="204">
        <f>COUNTIFS(DATOS_[AGRUP. VALOR. PTO.],$B96,DATOS_[Sexo],$B97,DATOS_[Check Periodo Ref.],"Dentro",DATOS_[Check Nº SC Anualiz],"Sí")</f>
        <v>0</v>
      </c>
      <c r="G97" s="204">
        <f>COUNTIFS(DATOS_[AGRUP. VALOR. PTO.],$B96,DATOS_[Sexo],$B97,DATOS_[Check Periodo Ref.],"Dentro",DATOS_[Check Nº SC Norm y Anualiz],"Sí")</f>
        <v>0</v>
      </c>
      <c r="H97" s="204">
        <f>COUNTIFS(DATOS_[AGRUP. VALOR. PTO.],$B96,DATOS_[Sexo],$B97,DATOS_[Check Periodo Ref.],"Dentro",DATOS_[Check Equiparación],"Sí")</f>
        <v>0</v>
      </c>
      <c r="I97" s="195">
        <f t="array" ref="I97">IFERROR(
MEDIAN(IF(DATOS_[Sexo]=$B97,IF(DATOS_[[AGRUP. VALOR. PTO.]:[AGRUP. VALOR. PTO.]]=$B96,IF(DATOS_[Check Equiparado]="Sí",IF(DATOS_[Check Periodo Ref.]="Dentro",DATOS_[SALARIO BASE Eq],FALSE))))),
0)</f>
        <v>0</v>
      </c>
      <c r="J97" s="196">
        <f t="array" ref="J97">IFERROR(
(MEDIAN((IF(DATOS_[[Sexo]:[Sexo]]=$B97,IF(DATOS_[[AGRUP. VALOR. PTO.]:[AGRUP. VALOR. PTO.]]=$B96,IF(DATOS_[[Check Periodo Ref.]:[Check Periodo Ref.]]="Dentro",IF(DATOS_[[Check Equiparado]:[Check Equiparado]]="Sí",IF(DATOS!AE$5="Sí",(1/DATOS_[[% anualiz]:[% anualiz]]),1)*IF(DATOS!AE$4="Sí",1/DATOS_[[% normaliz]:[% normaliz]],1)*(DATOS_[Conc.Sal.01])))))))),
0)</f>
        <v>0</v>
      </c>
      <c r="K97" s="196">
        <f t="array" ref="K97">IFERROR(
(MEDIAN((IF(DATOS_[[Sexo]:[Sexo]]=$B97,IF(DATOS_[[AGRUP. VALOR. PTO.]:[AGRUP. VALOR. PTO.]]=$B96,IF(DATOS_[[Check Periodo Ref.]:[Check Periodo Ref.]]="Dentro",IF(DATOS_[[Check Equiparado]:[Check Equiparado]]="Sí",IF(DATOS!AF$5="Sí",(1/DATOS_[[% anualiz]:[% anualiz]]),1)*IF(DATOS!AF$4="Sí",1/DATOS_[[% normaliz]:[% normaliz]],1)*(DATOS_[Conc.Sal.02])))))))),
0)</f>
        <v>0</v>
      </c>
      <c r="L97" s="196">
        <f t="array" ref="L97">IFERROR(
(MEDIAN((IF(DATOS_[[Sexo]:[Sexo]]=$B97,IF(DATOS_[[AGRUP. VALOR. PTO.]:[AGRUP. VALOR. PTO.]]=$B96,IF(DATOS_[[Check Periodo Ref.]:[Check Periodo Ref.]]="Dentro",IF(DATOS_[[Check Equiparado]:[Check Equiparado]]="Sí",IF(DATOS!AG$5="Sí",(1/DATOS_[[% anualiz]:[% anualiz]]),1)*IF(DATOS!AG$4="Sí",1/DATOS_[[% normaliz]:[% normaliz]],1)*(DATOS_[Conc.Sal.03])))))))),
0)</f>
        <v>0</v>
      </c>
      <c r="M97" s="196">
        <f t="array" ref="M97">IFERROR(
(MEDIAN((IF(DATOS_[[Sexo]:[Sexo]]=$B97,IF(DATOS_[[AGRUP. VALOR. PTO.]:[AGRUP. VALOR. PTO.]]=$B96,IF(DATOS_[[Check Periodo Ref.]:[Check Periodo Ref.]]="Dentro",IF(DATOS_[[Check Equiparado]:[Check Equiparado]]="Sí",IF(DATOS!AH$5="Sí",(1/DATOS_[[% anualiz]:[% anualiz]]),1)*IF(DATOS!AH$4="Sí",1/DATOS_[[% normaliz]:[% normaliz]],1)*(DATOS_[Conc.Sal.04])))))))),
0)</f>
        <v>0</v>
      </c>
      <c r="N97" s="196">
        <f t="array" ref="N97">IFERROR(
(MEDIAN((IF(DATOS_[[Sexo]:[Sexo]]=$B97,IF(DATOS_[[AGRUP. VALOR. PTO.]:[AGRUP. VALOR. PTO.]]=$B96,IF(DATOS_[[Check Periodo Ref.]:[Check Periodo Ref.]]="Dentro",IF(DATOS_[[Check Equiparado]:[Check Equiparado]]="Sí",IF(DATOS!AI$5="Sí",(1/DATOS_[[% anualiz]:[% anualiz]]),1)*IF(DATOS!AI$4="Sí",1/DATOS_[[% normaliz]:[% normaliz]],1)*(DATOS_[Conc.Sal.05])))))))),
0)</f>
        <v>0</v>
      </c>
      <c r="O97" s="196">
        <f t="array" ref="O97">IFERROR(
(MEDIAN((IF(DATOS_[[Sexo]:[Sexo]]=$B97,IF(DATOS_[[AGRUP. VALOR. PTO.]:[AGRUP. VALOR. PTO.]]=$B96,IF(DATOS_[[Check Periodo Ref.]:[Check Periodo Ref.]]="Dentro",IF(DATOS_[[Check Equiparado]:[Check Equiparado]]="Sí",IF(DATOS!AJ$5="Sí",(1/DATOS_[[% anualiz]:[% anualiz]]),1)*IF(DATOS!AJ$4="Sí",1/DATOS_[[% normaliz]:[% normaliz]],1)*(DATOS_[Conc.Sal.06])))))))),
0)</f>
        <v>0</v>
      </c>
      <c r="P97" s="196">
        <f t="array" ref="P97">IFERROR(
(MEDIAN((IF(DATOS_[[Sexo]:[Sexo]]=$B97,IF(DATOS_[[AGRUP. VALOR. PTO.]:[AGRUP. VALOR. PTO.]]=$B96,IF(DATOS_[[Check Periodo Ref.]:[Check Periodo Ref.]]="Dentro",IF(DATOS_[[Check Equiparado]:[Check Equiparado]]="Sí",IF(DATOS!AK$5="Sí",(1/DATOS_[[% anualiz]:[% anualiz]]),1)*IF(DATOS!AK$4="Sí",1/DATOS_[[% normaliz]:[% normaliz]],1)*(DATOS_[Conc.Sal.07])))))))),
0)</f>
        <v>0</v>
      </c>
      <c r="Q97" s="196">
        <f t="array" ref="Q97">IFERROR(
(MEDIAN((IF(DATOS_[[Sexo]:[Sexo]]=$B97,IF(DATOS_[[AGRUP. VALOR. PTO.]:[AGRUP. VALOR. PTO.]]=$B96,IF(DATOS_[[Check Periodo Ref.]:[Check Periodo Ref.]]="Dentro",IF(DATOS_[[Check Equiparado]:[Check Equiparado]]="Sí",IF(DATOS!AL$5="Sí",(1/DATOS_[[% anualiz]:[% anualiz]]),1)*IF(DATOS!AL$4="Sí",1/DATOS_[[% normaliz]:[% normaliz]],1)*(DATOS_[Conc.Sal.08])))))))),
0)</f>
        <v>0</v>
      </c>
      <c r="R97" s="196">
        <f t="array" ref="R97">IFERROR(
(MEDIAN((IF(DATOS_[[Sexo]:[Sexo]]=$B97,IF(DATOS_[[AGRUP. VALOR. PTO.]:[AGRUP. VALOR. PTO.]]=$B96,IF(DATOS_[[Check Periodo Ref.]:[Check Periodo Ref.]]="Dentro",IF(DATOS_[[Check Equiparado]:[Check Equiparado]]="Sí",IF(DATOS!AM$5="Sí",(1/DATOS_[[% anualiz]:[% anualiz]]),1)*IF(DATOS!AM$4="Sí",1/DATOS_[[% normaliz]:[% normaliz]],1)*(DATOS_[Conc.Sal.09])))))))),
0)</f>
        <v>0</v>
      </c>
      <c r="S97" s="196">
        <f t="array" ref="S97">IFERROR(
(MEDIAN((IF(DATOS_[[Sexo]:[Sexo]]=$B97,IF(DATOS_[[AGRUP. VALOR. PTO.]:[AGRUP. VALOR. PTO.]]=$B96,IF(DATOS_[[Check Periodo Ref.]:[Check Periodo Ref.]]="Dentro",IF(DATOS_[[Check Equiparado]:[Check Equiparado]]="Sí",IF(DATOS!AN$5="Sí",(1/DATOS_[[% anualiz]:[% anualiz]]),1)*IF(DATOS!AN$4="Sí",1/DATOS_[[% normaliz]:[% normaliz]],1)*(DATOS_[Conc.Sal.10])))))))),
0)</f>
        <v>0</v>
      </c>
      <c r="T97" s="196">
        <f t="array" ref="T97">IFERROR(
(MEDIAN((IF(DATOS_[[Sexo]:[Sexo]]=$B97,IF(DATOS_[[AGRUP. VALOR. PTO.]:[AGRUP. VALOR. PTO.]]=$B96,IF(DATOS_[[Check Periodo Ref.]:[Check Periodo Ref.]]="Dentro",IF(DATOS_[[Check Equiparado]:[Check Equiparado]]="Sí",IF(DATOS!AO$5="Sí",(1/DATOS_[[% anualiz]:[% anualiz]]),1)*IF(DATOS!AO$4="Sí",1/DATOS_[[% normaliz]:[% normaliz]],1)*(DATOS_[Conc.Sal.11])))))))),
0)</f>
        <v>0</v>
      </c>
      <c r="U97" s="196">
        <f t="array" ref="U97">IFERROR(
(MEDIAN((IF(DATOS_[[Sexo]:[Sexo]]=$B97,IF(DATOS_[[AGRUP. VALOR. PTO.]:[AGRUP. VALOR. PTO.]]=$B96,IF(DATOS_[[Check Periodo Ref.]:[Check Periodo Ref.]]="Dentro",IF(DATOS_[[Check Equiparado]:[Check Equiparado]]="Sí",IF(DATOS!AP$5="Sí",(1/DATOS_[[% anualiz]:[% anualiz]]),1)*IF(DATOS!AP$4="Sí",1/DATOS_[[% normaliz]:[% normaliz]],1)*(DATOS_[Conc.Sal.12])))))))),
0)</f>
        <v>0</v>
      </c>
      <c r="V97" s="196">
        <f t="array" ref="V97">IFERROR(
(MEDIAN((IF(DATOS_[[Sexo]:[Sexo]]=$B97,IF(DATOS_[[AGRUP. VALOR. PTO.]:[AGRUP. VALOR. PTO.]]=$B96,IF(DATOS_[[Check Periodo Ref.]:[Check Periodo Ref.]]="Dentro",IF(DATOS_[[Check Equiparado]:[Check Equiparado]]="Sí",IF(DATOS!AQ$5="Sí",(1/DATOS_[[% anualiz]:[% anualiz]]),1)*IF(DATOS!AQ$4="Sí",1/DATOS_[[% normaliz]:[% normaliz]],1)*(DATOS_[Conc.Sal.13])))))))),
0)</f>
        <v>0</v>
      </c>
      <c r="W97" s="196">
        <f t="array" ref="W97">IFERROR(
(MEDIAN((IF(DATOS_[[Sexo]:[Sexo]]=$B97,IF(DATOS_[[AGRUP. VALOR. PTO.]:[AGRUP. VALOR. PTO.]]=$B96,IF(DATOS_[[Check Periodo Ref.]:[Check Periodo Ref.]]="Dentro",IF(DATOS_[[Check Equiparado]:[Check Equiparado]]="Sí",IF(DATOS!AR$5="Sí",(1/DATOS_[[% anualiz]:[% anualiz]]),1)*IF(DATOS!AR$4="Sí",1/DATOS_[[% normaliz]:[% normaliz]],1)*(DATOS_[Conc.Sal.14])))))))),
0)</f>
        <v>0</v>
      </c>
      <c r="X97" s="196">
        <f t="array" ref="X97">IFERROR(
(MEDIAN((IF(DATOS_[[Sexo]:[Sexo]]=$B97,IF(DATOS_[[AGRUP. VALOR. PTO.]:[AGRUP. VALOR. PTO.]]=$B96,IF(DATOS_[[Check Periodo Ref.]:[Check Periodo Ref.]]="Dentro",IF(DATOS_[[Check Equiparado]:[Check Equiparado]]="Sí",IF(DATOS!AS$5="Sí",(1/DATOS_[[% anualiz]:[% anualiz]]),1)*IF(DATOS!AS$4="Sí",1/DATOS_[[% normaliz]:[% normaliz]],1)*(DATOS_[Conc.Sal.15])))))))),
0)</f>
        <v>0</v>
      </c>
      <c r="Y97" s="196">
        <f t="array" ref="Y97">IFERROR(
(MEDIAN((IF(DATOS_[[Sexo]:[Sexo]]=$B97,IF(DATOS_[[AGRUP. VALOR. PTO.]:[AGRUP. VALOR. PTO.]]=$B96,IF(DATOS_[[Check Periodo Ref.]:[Check Periodo Ref.]]="Dentro",IF(DATOS_[[Check Equiparado]:[Check Equiparado]]="Sí",IF(DATOS!AT$5="Sí",(1/DATOS_[[% anualiz]:[% anualiz]]),1)*IF(DATOS!AT$4="Sí",1/DATOS_[[% normaliz]:[% normaliz]],1)*(DATOS_[Conc.Sal.16])))))))),
0)</f>
        <v>0</v>
      </c>
      <c r="Z97" s="196">
        <f t="array" ref="Z97">IFERROR(
(MEDIAN((IF(DATOS_[[Sexo]:[Sexo]]=$B97,IF(DATOS_[[AGRUP. VALOR. PTO.]:[AGRUP. VALOR. PTO.]]=$B96,IF(DATOS_[[Check Periodo Ref.]:[Check Periodo Ref.]]="Dentro",IF(DATOS_[[Check Equiparado]:[Check Equiparado]]="Sí",IF(DATOS!AU$5="Sí",(1/DATOS_[[% anualiz]:[% anualiz]]),1)*IF(DATOS!AU$4="Sí",1/DATOS_[[% normaliz]:[% normaliz]],1)*(DATOS_[Conc.Sal.17])))))))),
0)</f>
        <v>0</v>
      </c>
      <c r="AA97" s="196">
        <f t="array" ref="AA97">IFERROR(
(MEDIAN((IF(DATOS_[[Sexo]:[Sexo]]=$B97,IF(DATOS_[[AGRUP. VALOR. PTO.]:[AGRUP. VALOR. PTO.]]=$B96,IF(DATOS_[[Check Periodo Ref.]:[Check Periodo Ref.]]="Dentro",IF(DATOS_[[Check Equiparado]:[Check Equiparado]]="Sí",IF(DATOS!AV$5="Sí",(1/DATOS_[[% anualiz]:[% anualiz]]),1)*IF(DATOS!AV$4="Sí",1/DATOS_[[% normaliz]:[% normaliz]],1)*(DATOS_[Conc.Sal.18])))))))),
0)</f>
        <v>0</v>
      </c>
      <c r="AB97" s="196">
        <f t="array" ref="AB97">IFERROR(
(MEDIAN((IF(DATOS_[[Sexo]:[Sexo]]=$B97,IF(DATOS_[[AGRUP. VALOR. PTO.]:[AGRUP. VALOR. PTO.]]=$B96,IF(DATOS_[[Check Periodo Ref.]:[Check Periodo Ref.]]="Dentro",IF(DATOS_[[Check Equiparado]:[Check Equiparado]]="Sí",IF(DATOS!AW$5="Sí",(1/DATOS_[[% anualiz]:[% anualiz]]),1)*IF(DATOS!AW$4="Sí",1/DATOS_[[% normaliz]:[% normaliz]],1)*(DATOS_[Conc.Sal.19])))))))),
0)</f>
        <v>0</v>
      </c>
      <c r="AC97" s="196">
        <f t="array" ref="AC97">IFERROR(
(MEDIAN((IF(DATOS_[[Sexo]:[Sexo]]=$B97,IF(DATOS_[[AGRUP. VALOR. PTO.]:[AGRUP. VALOR. PTO.]]=$B96,IF(DATOS_[[Check Periodo Ref.]:[Check Periodo Ref.]]="Dentro",IF(DATOS_[[Check Equiparado]:[Check Equiparado]]="Sí",IF(DATOS!AX$5="Sí",(1/DATOS_[[% anualiz]:[% anualiz]]),1)*IF(DATOS!AX$4="Sí",1/DATOS_[[% normaliz]:[% normaliz]],1)*(DATOS_[Conc.Sal.20])))))))),
0)</f>
        <v>0</v>
      </c>
      <c r="AD97" s="196">
        <f t="array" ref="AD97">IFERROR(
(MEDIAN((IF(DATOS_[[Sexo]:[Sexo]]=$B97,IF(DATOS_[[AGRUP. VALOR. PTO.]:[AGRUP. VALOR. PTO.]]=$B96,IF(DATOS_[[Check Periodo Ref.]:[Check Periodo Ref.]]="Dentro",IF(DATOS_[[Check Equiparado]:[Check Equiparado]]="Sí",IF(DATOS!AY$5="Sí",(1/DATOS_[[% anualiz]:[% anualiz]]),1)*IF(DATOS!AY$4="Sí",1/DATOS_[[% normaliz]:[% normaliz]],1)*(DATOS_[Conc.Sal.21])))))))),
0)</f>
        <v>0</v>
      </c>
      <c r="AE97" s="196">
        <f t="array" ref="AE97">IFERROR(
(MEDIAN((IF(DATOS_[[Sexo]:[Sexo]]=$B97,IF(DATOS_[[AGRUP. VALOR. PTO.]:[AGRUP. VALOR. PTO.]]=$B96,IF(DATOS_[[Check Periodo Ref.]:[Check Periodo Ref.]]="Dentro",IF(DATOS_[[Check Equiparado]:[Check Equiparado]]="Sí",IF(DATOS!AZ$5="Sí",(1/DATOS_[[% anualiz]:[% anualiz]]),1)*IF(DATOS!AZ$4="Sí",1/DATOS_[[% normaliz]:[% normaliz]],1)*(DATOS_[Conc.Sal.22])))))))),
0)</f>
        <v>0</v>
      </c>
      <c r="AF97" s="196">
        <f t="array" ref="AF97">IFERROR(
(MEDIAN((IF(DATOS_[[Sexo]:[Sexo]]=$B97,IF(DATOS_[[AGRUP. VALOR. PTO.]:[AGRUP. VALOR. PTO.]]=$B96,IF(DATOS_[[Check Periodo Ref.]:[Check Periodo Ref.]]="Dentro",IF(DATOS_[[Check Equiparado]:[Check Equiparado]]="Sí",IF(DATOS!BA$5="Sí",(1/DATOS_[[% anualiz]:[% anualiz]]),1)*IF(DATOS!BA$4="Sí",1/DATOS_[[% normaliz]:[% normaliz]],1)*(DATOS_[Conc.Sal.23])))))))),
0)</f>
        <v>0</v>
      </c>
      <c r="AG97" s="196">
        <f t="array" ref="AG97">IFERROR(
(MEDIAN((IF(DATOS_[[Sexo]:[Sexo]]=$B97,IF(DATOS_[[AGRUP. VALOR. PTO.]:[AGRUP. VALOR. PTO.]]=$B96,IF(DATOS_[[Check Periodo Ref.]:[Check Periodo Ref.]]="Dentro",IF(DATOS_[[Check Equiparado]:[Check Equiparado]]="Sí",IF(DATOS!BB$5="Sí",(1/DATOS_[[% anualiz]:[% anualiz]]),1)*IF(DATOS!BB$4="Sí",1/DATOS_[[% normaliz]:[% normaliz]],1)*(DATOS_[Conc.Sal.24])))))))),
0)</f>
        <v>0</v>
      </c>
      <c r="AH97" s="196">
        <f t="array" ref="AH97">IFERROR(
(MEDIAN((IF(DATOS_[[Sexo]:[Sexo]]=$B97,IF(DATOS_[[AGRUP. VALOR. PTO.]:[AGRUP. VALOR. PTO.]]=$B96,IF(DATOS_[[Check Periodo Ref.]:[Check Periodo Ref.]]="Dentro",IF(DATOS_[[Check Equiparado]:[Check Equiparado]]="Sí",IF(DATOS!BC$5="Sí",(1/DATOS_[[% anualiz]:[% anualiz]]),1)*IF(DATOS!BC$4="Sí",1/DATOS_[[% normaliz]:[% normaliz]],1)*(DATOS_[Conc.Sal.25])))))))),
0)</f>
        <v>0</v>
      </c>
      <c r="AI97" s="196">
        <f t="array" ref="AI97">IFERROR(
(MEDIAN((IF(DATOS_[[Sexo]:[Sexo]]=$B97,IF(DATOS_[[AGRUP. VALOR. PTO.]:[AGRUP. VALOR. PTO.]]=$B96,IF(DATOS_[[Check Periodo Ref.]:[Check Periodo Ref.]]="Dentro",IF(DATOS_[[Check Equiparado]:[Check Equiparado]]="Sí",IF(DATOS!BD$5="Sí",(1/DATOS_[[% anualiz]:[% anualiz]]),1)*IF(DATOS!BD$4="Sí",1/DATOS_[[% normaliz]:[% normaliz]],1)*(DATOS_[Conc.Sal.26])))))))),
0)</f>
        <v>0</v>
      </c>
      <c r="AJ97" s="196">
        <f t="array" ref="AJ97">IFERROR(
(MEDIAN((IF(DATOS_[[Sexo]:[Sexo]]=$B97,IF(DATOS_[[AGRUP. VALOR. PTO.]:[AGRUP. VALOR. PTO.]]=$B96,IF(DATOS_[[Check Periodo Ref.]:[Check Periodo Ref.]]="Dentro",IF(DATOS_[[Check Equiparado]:[Check Equiparado]]="Sí",IF(DATOS!BE$5="Sí",(1/DATOS_[[% anualiz]:[% anualiz]]),1)*IF(DATOS!BE$4="Sí",1/DATOS_[[% normaliz]:[% normaliz]],1)*(DATOS_[Conc.Sal.27])))))))),
0)</f>
        <v>0</v>
      </c>
      <c r="AK97" s="196">
        <f t="array" ref="AK97">IFERROR(
(MEDIAN((IF(DATOS_[[Sexo]:[Sexo]]=$B97,IF(DATOS_[[AGRUP. VALOR. PTO.]:[AGRUP. VALOR. PTO.]]=$B96,IF(DATOS_[[Check Periodo Ref.]:[Check Periodo Ref.]]="Dentro",IF(DATOS_[[Check Equiparado]:[Check Equiparado]]="Sí",IF(DATOS!BF$5="Sí",(1/DATOS_[[% anualiz]:[% anualiz]]),1)*IF(DATOS!BF$4="Sí",1/DATOS_[[% normaliz]:[% normaliz]],1)*(DATOS_[Conc.Sal.28])))))))),
0)</f>
        <v>0</v>
      </c>
      <c r="AL97" s="196">
        <f t="array" ref="AL97">IFERROR(
(MEDIAN((IF(DATOS_[[Sexo]:[Sexo]]=$B97,IF(DATOS_[[AGRUP. VALOR. PTO.]:[AGRUP. VALOR. PTO.]]=$B96,IF(DATOS_[[Check Periodo Ref.]:[Check Periodo Ref.]]="Dentro",IF(DATOS_[[Check Equiparado]:[Check Equiparado]]="Sí",IF(DATOS!BG$5="Sí",(1/DATOS_[[% anualiz]:[% anualiz]]),1)*IF(DATOS!BG$4="Sí",1/DATOS_[[% normaliz]:[% normaliz]],1)*(DATOS_[Conc.Sal.29])))))))),
0)</f>
        <v>0</v>
      </c>
      <c r="AM97" s="196">
        <f t="array" ref="AM97">IFERROR(
(MEDIAN((IF(DATOS_[[Sexo]:[Sexo]]=$B97,IF(DATOS_[[AGRUP. VALOR. PTO.]:[AGRUP. VALOR. PTO.]]=$B96,IF(DATOS_[[Check Periodo Ref.]:[Check Periodo Ref.]]="Dentro",IF(DATOS_[[Check Equiparado]:[Check Equiparado]]="Sí",IF(DATOS!BH$5="Sí",(1/DATOS_[[% anualiz]:[% anualiz]]),1)*IF(DATOS!BH$4="Sí",1/DATOS_[[% normaliz]:[% normaliz]],1)*(DATOS_[Conc.Sal.30])))))))),
0)</f>
        <v>0</v>
      </c>
      <c r="AN97" s="195">
        <f t="array" ref="AN97">IFERROR(
MEDIAN(IF(DATOS_[Sexo]=$B97,IF(DATOS_[[AGRUP. VALOR. PTO.]:[AGRUP. VALOR. PTO.]]=$B96,IF(DATOS_[Check Equiparado]="Sí",IF(DATOS_[Check Periodo Ref.]="Dentro",DATOS_[Tot COMPL.SAL Eq],FALSE))))),
0)</f>
        <v>0</v>
      </c>
      <c r="AO97" s="172">
        <f t="array" ref="AO97">IFERROR(
MEDIAN(IF(DATOS_[Sexo]=$B97,IF(DATOS_[[AGRUP. VALOR. PTO.]:[AGRUP. VALOR. PTO.]]=$B96,IF(DATOS_[Check Equiparado]="Sí",IF(DATOS_[Check Periodo Ref.]="Dentro",DATOS_[TOTAL SALARIO Eq],FALSE))))),
0)</f>
        <v>0</v>
      </c>
      <c r="AP97" s="173">
        <f t="array" ref="AP97">IFERROR(
(MEDIAN((IF(DATOS_[[Sexo]:[Sexo]]=$B97,IF(DATOS_[[AGRUP. VALOR. PTO.]:[AGRUP. VALOR. PTO.]]=$B96,IF(DATOS_[[Check Periodo Ref.]:[Check Periodo Ref.]]="Dentro",IF(DATOS_[[Check Equiparado]:[Check Equiparado]]="Sí",IF(DATOS!BW$5="Sí",(1/DATOS_[[% anualiz]:[% anualiz]]),1)*IF(DATOS!BW$4="Sí",1/DATOS_[[% normaliz]:[% normaliz]],1)*(DATOS_[C.Extra.01])))))))),
0)</f>
        <v>0</v>
      </c>
      <c r="AQ97" s="173">
        <f t="array" ref="AQ97">IFERROR(
(MEDIAN((IF(DATOS_[[Sexo]:[Sexo]]=$B97,IF(DATOS_[[AGRUP. VALOR. PTO.]:[AGRUP. VALOR. PTO.]]=$B96,IF(DATOS_[[Check Periodo Ref.]:[Check Periodo Ref.]]="Dentro",IF(DATOS_[[Check Equiparado]:[Check Equiparado]]="Sí",IF(DATOS!CB$5="Sí",(1/DATOS_[[% anualiz]:[% anualiz]]),1)*IF(DATOS!CB$4="Sí",1/DATOS_[[% normaliz]:[% normaliz]],1)*(DATOS_[C.Extra.06])))))))),
0)</f>
        <v>0</v>
      </c>
      <c r="AR97" s="173">
        <f t="array" ref="AR97">IFERROR(
(MEDIAN((IF(DATOS_[[Sexo]:[Sexo]]=$B97,IF(DATOS_[[AGRUP. VALOR. PTO.]:[AGRUP. VALOR. PTO.]]=$B96,IF(DATOS_[[Check Periodo Ref.]:[Check Periodo Ref.]]="Dentro",IF(DATOS_[[Check Equiparado]:[Check Equiparado]]="Sí",IF(DATOS!CC$5="Sí",(1/DATOS_[[% anualiz]:[% anualiz]]),1)*IF(DATOS!CC$4="Sí",1/DATOS_[[% normaliz]:[% normaliz]],1)*(DATOS_[C.Extra.07])))))))),
0)</f>
        <v>0</v>
      </c>
      <c r="AS97" s="173">
        <f t="array" ref="AS97">IFERROR(
(MEDIAN((IF(DATOS_[[Sexo]:[Sexo]]=$B97,IF(DATOS_[[AGRUP. VALOR. PTO.]:[AGRUP. VALOR. PTO.]]=$B96,IF(DATOS_[[Check Periodo Ref.]:[Check Periodo Ref.]]="Dentro",IF(DATOS_[[Check Equiparado]:[Check Equiparado]]="Sí",IF(DATOS!CD$5="Sí",(1/DATOS_[[% anualiz]:[% anualiz]]),1)*IF(DATOS!CD$4="Sí",1/DATOS_[[% normaliz]:[% normaliz]],1)*(DATOS_[C.Extra.08])))))))),
0)</f>
        <v>0</v>
      </c>
      <c r="AT97" s="173">
        <f t="array" ref="AT97">IFERROR(
(MEDIAN((IF(DATOS_[[Sexo]:[Sexo]]=$B97,IF(DATOS_[[AGRUP. VALOR. PTO.]:[AGRUP. VALOR. PTO.]]=$B96,IF(DATOS_[[Check Periodo Ref.]:[Check Periodo Ref.]]="Dentro",IF(DATOS_[[Check Equiparado]:[Check Equiparado]]="Sí",IF(DATOS!CG$5="Sí",(1/DATOS_[[% anualiz]:[% anualiz]]),1)*IF(DATOS!CG$4="Sí",1/DATOS_[[% normaliz]:[% normaliz]],1)*(DATOS_[C.Extra.11])))))))),
0)</f>
        <v>0</v>
      </c>
      <c r="AU97" s="197">
        <f t="array" ref="AU97">IFERROR(
MEDIAN(IF(DATOS_[Sexo]=$B97,IF(DATOS_[[AGRUP. VALOR. PTO.]:[AGRUP. VALOR. PTO.]]=$B96,IF(DATOS_[Check Equiparado]="Sí",IF(DATOS_[Check Periodo Ref.]="Dentro",DATOS_[Tot Extrasalarial Eq],FALSE))))),
0)</f>
        <v>0</v>
      </c>
      <c r="AV97" s="175">
        <f t="array" ref="AV97">IFERROR(
MEDIAN(IF(DATOS_[Sexo]=$B97,IF(DATOS_[[AGRUP. VALOR. PTO.]:[AGRUP. VALOR. PTO.]]=$B96,IF(DATOS_[Check Equiparado]="Sí",IF(DATOS_[Check Periodo Ref.]="Dentro",DATOS_[TOTAL Retrib Eq],FALSE))))),
0)</f>
        <v>0</v>
      </c>
    </row>
    <row r="98" spans="1:48" x14ac:dyDescent="0.25">
      <c r="A98" s="133" t="str">
        <f t="shared" ref="A98" si="114">+A97</f>
        <v>[ocultar]</v>
      </c>
      <c r="B98" s="202" t="s">
        <v>521</v>
      </c>
      <c r="C98" s="203">
        <f t="array" ref="C98">SUM(IF($B98=DATOS_[Sexo],
IF($B96=DATOS_[AGRUP. VALOR. PTO.],
IF("Dentro"=DATOS_[Check Periodo Ref.],
1/(COUNTIFS(DATOS_[Sexo],$B98,DATOS_[AGRUP. VALOR. PTO.],$B96,DATOS_[Check Periodo Ref.],"Dentro",DATOS_[id/cod],DATOS_[id/cod]))))))</f>
        <v>0</v>
      </c>
      <c r="D98" s="204">
        <f>COUNTIFS(DATOS_[AGRUP. VALOR. PTO.],$B96,DATOS_[Sexo],$B98,DATOS_[Check Periodo Ref.],"Dentro")</f>
        <v>0</v>
      </c>
      <c r="E98" s="204">
        <f>COUNTIFS(DATOS_[AGRUP. VALOR. PTO.],$B96,DATOS_[Sexo],$B98,DATOS_[Check Periodo Ref.],"Dentro",DATOS_[Check Nº SC Norm],"Sí")</f>
        <v>0</v>
      </c>
      <c r="F98" s="204">
        <f>COUNTIFS(DATOS_[AGRUP. VALOR. PTO.],$B96,DATOS_[Sexo],$B98,DATOS_[Check Periodo Ref.],"Dentro",DATOS_[Check Nº SC Anualiz],"Sí")</f>
        <v>0</v>
      </c>
      <c r="G98" s="204">
        <f>COUNTIFS(DATOS_[AGRUP. VALOR. PTO.],$B96,DATOS_[Sexo],$B98,DATOS_[Check Periodo Ref.],"Dentro",DATOS_[Check Nº SC Norm y Anualiz],"Sí")</f>
        <v>0</v>
      </c>
      <c r="H98" s="204">
        <f>COUNTIFS(DATOS_[AGRUP. VALOR. PTO.],$B96,DATOS_[Sexo],$B98,DATOS_[Check Periodo Ref.],"Dentro",DATOS_[Check Equiparación],"Sí")</f>
        <v>0</v>
      </c>
      <c r="I98" s="195" cm="1">
        <f t="array" ref="I98">IFERROR(
MEDIAN(IF(DATOS_[Sexo]=$B98,IF(DATOS_[[AGRUP. VALOR. PTO.]:[AGRUP. VALOR. PTO.]]=$B96,IF(DATOS_[Check Equiparado]="Sí",IF(DATOS_[Check Periodo Ref.]="Dentro",DATOS_[SALARIO BASE Eq],FALSE))))),
0)</f>
        <v>0</v>
      </c>
      <c r="J98" s="196">
        <f t="array" ref="J98">IFERROR(
(MEDIAN((IF(DATOS_[[Sexo]:[Sexo]]=$B98,IF(DATOS_[[AGRUP. VALOR. PTO.]:[AGRUP. VALOR. PTO.]]=$B96,IF(DATOS_[[Check Periodo Ref.]:[Check Periodo Ref.]]="Dentro",IF(DATOS_[[Check Equiparado]:[Check Equiparado]]="Sí",IF(DATOS!AE$5="Sí",(1/DATOS_[[% anualiz]:[% anualiz]]),1)*IF(DATOS!AE$4="Sí",1/DATOS_[[% normaliz]:[% normaliz]],1)*(DATOS_[Conc.Sal.01])))))))),
0)</f>
        <v>0</v>
      </c>
      <c r="K98" s="196">
        <f t="array" ref="K98">IFERROR(
(MEDIAN((IF(DATOS_[[Sexo]:[Sexo]]=$B98,IF(DATOS_[[AGRUP. VALOR. PTO.]:[AGRUP. VALOR. PTO.]]=$B96,IF(DATOS_[[Check Periodo Ref.]:[Check Periodo Ref.]]="Dentro",IF(DATOS_[[Check Equiparado]:[Check Equiparado]]="Sí",IF(DATOS!AF$5="Sí",(1/DATOS_[[% anualiz]:[% anualiz]]),1)*IF(DATOS!AF$4="Sí",1/DATOS_[[% normaliz]:[% normaliz]],1)*(DATOS_[Conc.Sal.02])))))))),
0)</f>
        <v>0</v>
      </c>
      <c r="L98" s="196">
        <f t="array" ref="L98">IFERROR(
(MEDIAN((IF(DATOS_[[Sexo]:[Sexo]]=$B98,IF(DATOS_[[AGRUP. VALOR. PTO.]:[AGRUP. VALOR. PTO.]]=$B96,IF(DATOS_[[Check Periodo Ref.]:[Check Periodo Ref.]]="Dentro",IF(DATOS_[[Check Equiparado]:[Check Equiparado]]="Sí",IF(DATOS!AG$5="Sí",(1/DATOS_[[% anualiz]:[% anualiz]]),1)*IF(DATOS!AG$4="Sí",1/DATOS_[[% normaliz]:[% normaliz]],1)*(DATOS_[Conc.Sal.03])))))))),
0)</f>
        <v>0</v>
      </c>
      <c r="M98" s="196">
        <f t="array" ref="M98">IFERROR(
(MEDIAN((IF(DATOS_[[Sexo]:[Sexo]]=$B98,IF(DATOS_[[AGRUP. VALOR. PTO.]:[AGRUP. VALOR. PTO.]]=$B96,IF(DATOS_[[Check Periodo Ref.]:[Check Periodo Ref.]]="Dentro",IF(DATOS_[[Check Equiparado]:[Check Equiparado]]="Sí",IF(DATOS!AH$5="Sí",(1/DATOS_[[% anualiz]:[% anualiz]]),1)*IF(DATOS!AH$4="Sí",1/DATOS_[[% normaliz]:[% normaliz]],1)*(DATOS_[Conc.Sal.04])))))))),
0)</f>
        <v>0</v>
      </c>
      <c r="N98" s="196">
        <f t="array" ref="N98">IFERROR(
(MEDIAN((IF(DATOS_[[Sexo]:[Sexo]]=$B98,IF(DATOS_[[AGRUP. VALOR. PTO.]:[AGRUP. VALOR. PTO.]]=$B96,IF(DATOS_[[Check Periodo Ref.]:[Check Periodo Ref.]]="Dentro",IF(DATOS_[[Check Equiparado]:[Check Equiparado]]="Sí",IF(DATOS!AI$5="Sí",(1/DATOS_[[% anualiz]:[% anualiz]]),1)*IF(DATOS!AI$4="Sí",1/DATOS_[[% normaliz]:[% normaliz]],1)*(DATOS_[Conc.Sal.05])))))))),
0)</f>
        <v>0</v>
      </c>
      <c r="O98" s="196">
        <f t="array" ref="O98">IFERROR(
(MEDIAN((IF(DATOS_[[Sexo]:[Sexo]]=$B98,IF(DATOS_[[AGRUP. VALOR. PTO.]:[AGRUP. VALOR. PTO.]]=$B96,IF(DATOS_[[Check Periodo Ref.]:[Check Periodo Ref.]]="Dentro",IF(DATOS_[[Check Equiparado]:[Check Equiparado]]="Sí",IF(DATOS!AJ$5="Sí",(1/DATOS_[[% anualiz]:[% anualiz]]),1)*IF(DATOS!AJ$4="Sí",1/DATOS_[[% normaliz]:[% normaliz]],1)*(DATOS_[Conc.Sal.06])))))))),
0)</f>
        <v>0</v>
      </c>
      <c r="P98" s="196">
        <f t="array" ref="P98">IFERROR(
(MEDIAN((IF(DATOS_[[Sexo]:[Sexo]]=$B98,IF(DATOS_[[AGRUP. VALOR. PTO.]:[AGRUP. VALOR. PTO.]]=$B96,IF(DATOS_[[Check Periodo Ref.]:[Check Periodo Ref.]]="Dentro",IF(DATOS_[[Check Equiparado]:[Check Equiparado]]="Sí",IF(DATOS!AK$5="Sí",(1/DATOS_[[% anualiz]:[% anualiz]]),1)*IF(DATOS!AK$4="Sí",1/DATOS_[[% normaliz]:[% normaliz]],1)*(DATOS_[Conc.Sal.07])))))))),
0)</f>
        <v>0</v>
      </c>
      <c r="Q98" s="196">
        <f t="array" ref="Q98">IFERROR(
(MEDIAN((IF(DATOS_[[Sexo]:[Sexo]]=$B98,IF(DATOS_[[AGRUP. VALOR. PTO.]:[AGRUP. VALOR. PTO.]]=$B96,IF(DATOS_[[Check Periodo Ref.]:[Check Periodo Ref.]]="Dentro",IF(DATOS_[[Check Equiparado]:[Check Equiparado]]="Sí",IF(DATOS!AL$5="Sí",(1/DATOS_[[% anualiz]:[% anualiz]]),1)*IF(DATOS!AL$4="Sí",1/DATOS_[[% normaliz]:[% normaliz]],1)*(DATOS_[Conc.Sal.08])))))))),
0)</f>
        <v>0</v>
      </c>
      <c r="R98" s="196">
        <f t="array" ref="R98">IFERROR(
(MEDIAN((IF(DATOS_[[Sexo]:[Sexo]]=$B98,IF(DATOS_[[AGRUP. VALOR. PTO.]:[AGRUP. VALOR. PTO.]]=$B96,IF(DATOS_[[Check Periodo Ref.]:[Check Periodo Ref.]]="Dentro",IF(DATOS_[[Check Equiparado]:[Check Equiparado]]="Sí",IF(DATOS!AM$5="Sí",(1/DATOS_[[% anualiz]:[% anualiz]]),1)*IF(DATOS!AM$4="Sí",1/DATOS_[[% normaliz]:[% normaliz]],1)*(DATOS_[Conc.Sal.09])))))))),
0)</f>
        <v>0</v>
      </c>
      <c r="S98" s="196">
        <f t="array" ref="S98">IFERROR(
(MEDIAN((IF(DATOS_[[Sexo]:[Sexo]]=$B98,IF(DATOS_[[AGRUP. VALOR. PTO.]:[AGRUP. VALOR. PTO.]]=$B96,IF(DATOS_[[Check Periodo Ref.]:[Check Periodo Ref.]]="Dentro",IF(DATOS_[[Check Equiparado]:[Check Equiparado]]="Sí",IF(DATOS!AN$5="Sí",(1/DATOS_[[% anualiz]:[% anualiz]]),1)*IF(DATOS!AN$4="Sí",1/DATOS_[[% normaliz]:[% normaliz]],1)*(DATOS_[Conc.Sal.10])))))))),
0)</f>
        <v>0</v>
      </c>
      <c r="T98" s="196">
        <f t="array" ref="T98">IFERROR(
(MEDIAN((IF(DATOS_[[Sexo]:[Sexo]]=$B98,IF(DATOS_[[AGRUP. VALOR. PTO.]:[AGRUP. VALOR. PTO.]]=$B96,IF(DATOS_[[Check Periodo Ref.]:[Check Periodo Ref.]]="Dentro",IF(DATOS_[[Check Equiparado]:[Check Equiparado]]="Sí",IF(DATOS!AO$5="Sí",(1/DATOS_[[% anualiz]:[% anualiz]]),1)*IF(DATOS!AO$4="Sí",1/DATOS_[[% normaliz]:[% normaliz]],1)*(DATOS_[Conc.Sal.11])))))))),
0)</f>
        <v>0</v>
      </c>
      <c r="U98" s="196">
        <f t="array" ref="U98">IFERROR(
(MEDIAN((IF(DATOS_[[Sexo]:[Sexo]]=$B98,IF(DATOS_[[AGRUP. VALOR. PTO.]:[AGRUP. VALOR. PTO.]]=$B96,IF(DATOS_[[Check Periodo Ref.]:[Check Periodo Ref.]]="Dentro",IF(DATOS_[[Check Equiparado]:[Check Equiparado]]="Sí",IF(DATOS!AP$5="Sí",(1/DATOS_[[% anualiz]:[% anualiz]]),1)*IF(DATOS!AP$4="Sí",1/DATOS_[[% normaliz]:[% normaliz]],1)*(DATOS_[Conc.Sal.12])))))))),
0)</f>
        <v>0</v>
      </c>
      <c r="V98" s="196">
        <f t="array" ref="V98">IFERROR(
(MEDIAN((IF(DATOS_[[Sexo]:[Sexo]]=$B98,IF(DATOS_[[AGRUP. VALOR. PTO.]:[AGRUP. VALOR. PTO.]]=$B96,IF(DATOS_[[Check Periodo Ref.]:[Check Periodo Ref.]]="Dentro",IF(DATOS_[[Check Equiparado]:[Check Equiparado]]="Sí",IF(DATOS!AQ$5="Sí",(1/DATOS_[[% anualiz]:[% anualiz]]),1)*IF(DATOS!AQ$4="Sí",1/DATOS_[[% normaliz]:[% normaliz]],1)*(DATOS_[Conc.Sal.13])))))))),
0)</f>
        <v>0</v>
      </c>
      <c r="W98" s="196">
        <f t="array" ref="W98">IFERROR(
(MEDIAN((IF(DATOS_[[Sexo]:[Sexo]]=$B98,IF(DATOS_[[AGRUP. VALOR. PTO.]:[AGRUP. VALOR. PTO.]]=$B96,IF(DATOS_[[Check Periodo Ref.]:[Check Periodo Ref.]]="Dentro",IF(DATOS_[[Check Equiparado]:[Check Equiparado]]="Sí",IF(DATOS!AR$5="Sí",(1/DATOS_[[% anualiz]:[% anualiz]]),1)*IF(DATOS!AR$4="Sí",1/DATOS_[[% normaliz]:[% normaliz]],1)*(DATOS_[Conc.Sal.14])))))))),
0)</f>
        <v>0</v>
      </c>
      <c r="X98" s="196">
        <f t="array" ref="X98">IFERROR(
(MEDIAN((IF(DATOS_[[Sexo]:[Sexo]]=$B98,IF(DATOS_[[AGRUP. VALOR. PTO.]:[AGRUP. VALOR. PTO.]]=$B96,IF(DATOS_[[Check Periodo Ref.]:[Check Periodo Ref.]]="Dentro",IF(DATOS_[[Check Equiparado]:[Check Equiparado]]="Sí",IF(DATOS!AS$5="Sí",(1/DATOS_[[% anualiz]:[% anualiz]]),1)*IF(DATOS!AS$4="Sí",1/DATOS_[[% normaliz]:[% normaliz]],1)*(DATOS_[Conc.Sal.15])))))))),
0)</f>
        <v>0</v>
      </c>
      <c r="Y98" s="196">
        <f t="array" ref="Y98">IFERROR(
(MEDIAN((IF(DATOS_[[Sexo]:[Sexo]]=$B98,IF(DATOS_[[AGRUP. VALOR. PTO.]:[AGRUP. VALOR. PTO.]]=$B96,IF(DATOS_[[Check Periodo Ref.]:[Check Periodo Ref.]]="Dentro",IF(DATOS_[[Check Equiparado]:[Check Equiparado]]="Sí",IF(DATOS!AT$5="Sí",(1/DATOS_[[% anualiz]:[% anualiz]]),1)*IF(DATOS!AT$4="Sí",1/DATOS_[[% normaliz]:[% normaliz]],1)*(DATOS_[Conc.Sal.16])))))))),
0)</f>
        <v>0</v>
      </c>
      <c r="Z98" s="196">
        <f t="array" ref="Z98">IFERROR(
(MEDIAN((IF(DATOS_[[Sexo]:[Sexo]]=$B98,IF(DATOS_[[AGRUP. VALOR. PTO.]:[AGRUP. VALOR. PTO.]]=$B96,IF(DATOS_[[Check Periodo Ref.]:[Check Periodo Ref.]]="Dentro",IF(DATOS_[[Check Equiparado]:[Check Equiparado]]="Sí",IF(DATOS!AU$5="Sí",(1/DATOS_[[% anualiz]:[% anualiz]]),1)*IF(DATOS!AU$4="Sí",1/DATOS_[[% normaliz]:[% normaliz]],1)*(DATOS_[Conc.Sal.17])))))))),
0)</f>
        <v>0</v>
      </c>
      <c r="AA98" s="196">
        <f t="array" ref="AA98">IFERROR(
(MEDIAN((IF(DATOS_[[Sexo]:[Sexo]]=$B98,IF(DATOS_[[AGRUP. VALOR. PTO.]:[AGRUP. VALOR. PTO.]]=$B96,IF(DATOS_[[Check Periodo Ref.]:[Check Periodo Ref.]]="Dentro",IF(DATOS_[[Check Equiparado]:[Check Equiparado]]="Sí",IF(DATOS!AV$5="Sí",(1/DATOS_[[% anualiz]:[% anualiz]]),1)*IF(DATOS!AV$4="Sí",1/DATOS_[[% normaliz]:[% normaliz]],1)*(DATOS_[Conc.Sal.18])))))))),
0)</f>
        <v>0</v>
      </c>
      <c r="AB98" s="196">
        <f t="array" ref="AB98">IFERROR(
(MEDIAN((IF(DATOS_[[Sexo]:[Sexo]]=$B98,IF(DATOS_[[AGRUP. VALOR. PTO.]:[AGRUP. VALOR. PTO.]]=$B96,IF(DATOS_[[Check Periodo Ref.]:[Check Periodo Ref.]]="Dentro",IF(DATOS_[[Check Equiparado]:[Check Equiparado]]="Sí",IF(DATOS!AW$5="Sí",(1/DATOS_[[% anualiz]:[% anualiz]]),1)*IF(DATOS!AW$4="Sí",1/DATOS_[[% normaliz]:[% normaliz]],1)*(DATOS_[Conc.Sal.19])))))))),
0)</f>
        <v>0</v>
      </c>
      <c r="AC98" s="196">
        <f t="array" ref="AC98">IFERROR(
(MEDIAN((IF(DATOS_[[Sexo]:[Sexo]]=$B98,IF(DATOS_[[AGRUP. VALOR. PTO.]:[AGRUP. VALOR. PTO.]]=$B96,IF(DATOS_[[Check Periodo Ref.]:[Check Periodo Ref.]]="Dentro",IF(DATOS_[[Check Equiparado]:[Check Equiparado]]="Sí",IF(DATOS!AX$5="Sí",(1/DATOS_[[% anualiz]:[% anualiz]]),1)*IF(DATOS!AX$4="Sí",1/DATOS_[[% normaliz]:[% normaliz]],1)*(DATOS_[Conc.Sal.20])))))))),
0)</f>
        <v>0</v>
      </c>
      <c r="AD98" s="196">
        <f t="array" ref="AD98">IFERROR(
(MEDIAN((IF(DATOS_[[Sexo]:[Sexo]]=$B98,IF(DATOS_[[AGRUP. VALOR. PTO.]:[AGRUP. VALOR. PTO.]]=$B96,IF(DATOS_[[Check Periodo Ref.]:[Check Periodo Ref.]]="Dentro",IF(DATOS_[[Check Equiparado]:[Check Equiparado]]="Sí",IF(DATOS!AY$5="Sí",(1/DATOS_[[% anualiz]:[% anualiz]]),1)*IF(DATOS!AY$4="Sí",1/DATOS_[[% normaliz]:[% normaliz]],1)*(DATOS_[Conc.Sal.21])))))))),
0)</f>
        <v>0</v>
      </c>
      <c r="AE98" s="196">
        <f t="array" ref="AE98">IFERROR(
(MEDIAN((IF(DATOS_[[Sexo]:[Sexo]]=$B98,IF(DATOS_[[AGRUP. VALOR. PTO.]:[AGRUP. VALOR. PTO.]]=$B96,IF(DATOS_[[Check Periodo Ref.]:[Check Periodo Ref.]]="Dentro",IF(DATOS_[[Check Equiparado]:[Check Equiparado]]="Sí",IF(DATOS!AZ$5="Sí",(1/DATOS_[[% anualiz]:[% anualiz]]),1)*IF(DATOS!AZ$4="Sí",1/DATOS_[[% normaliz]:[% normaliz]],1)*(DATOS_[Conc.Sal.22])))))))),
0)</f>
        <v>0</v>
      </c>
      <c r="AF98" s="196">
        <f t="array" ref="AF98">IFERROR(
(MEDIAN((IF(DATOS_[[Sexo]:[Sexo]]=$B98,IF(DATOS_[[AGRUP. VALOR. PTO.]:[AGRUP. VALOR. PTO.]]=$B96,IF(DATOS_[[Check Periodo Ref.]:[Check Periodo Ref.]]="Dentro",IF(DATOS_[[Check Equiparado]:[Check Equiparado]]="Sí",IF(DATOS!BA$5="Sí",(1/DATOS_[[% anualiz]:[% anualiz]]),1)*IF(DATOS!BA$4="Sí",1/DATOS_[[% normaliz]:[% normaliz]],1)*(DATOS_[Conc.Sal.23])))))))),
0)</f>
        <v>0</v>
      </c>
      <c r="AG98" s="196">
        <f t="array" ref="AG98">IFERROR(
(MEDIAN((IF(DATOS_[[Sexo]:[Sexo]]=$B98,IF(DATOS_[[AGRUP. VALOR. PTO.]:[AGRUP. VALOR. PTO.]]=$B96,IF(DATOS_[[Check Periodo Ref.]:[Check Periodo Ref.]]="Dentro",IF(DATOS_[[Check Equiparado]:[Check Equiparado]]="Sí",IF(DATOS!BB$5="Sí",(1/DATOS_[[% anualiz]:[% anualiz]]),1)*IF(DATOS!BB$4="Sí",1/DATOS_[[% normaliz]:[% normaliz]],1)*(DATOS_[Conc.Sal.24])))))))),
0)</f>
        <v>0</v>
      </c>
      <c r="AH98" s="196">
        <f t="array" ref="AH98">IFERROR(
(MEDIAN((IF(DATOS_[[Sexo]:[Sexo]]=$B98,IF(DATOS_[[AGRUP. VALOR. PTO.]:[AGRUP. VALOR. PTO.]]=$B96,IF(DATOS_[[Check Periodo Ref.]:[Check Periodo Ref.]]="Dentro",IF(DATOS_[[Check Equiparado]:[Check Equiparado]]="Sí",IF(DATOS!BC$5="Sí",(1/DATOS_[[% anualiz]:[% anualiz]]),1)*IF(DATOS!BC$4="Sí",1/DATOS_[[% normaliz]:[% normaliz]],1)*(DATOS_[Conc.Sal.25])))))))),
0)</f>
        <v>0</v>
      </c>
      <c r="AI98" s="196">
        <f t="array" ref="AI98">IFERROR(
(MEDIAN((IF(DATOS_[[Sexo]:[Sexo]]=$B98,IF(DATOS_[[AGRUP. VALOR. PTO.]:[AGRUP. VALOR. PTO.]]=$B96,IF(DATOS_[[Check Periodo Ref.]:[Check Periodo Ref.]]="Dentro",IF(DATOS_[[Check Equiparado]:[Check Equiparado]]="Sí",IF(DATOS!BD$5="Sí",(1/DATOS_[[% anualiz]:[% anualiz]]),1)*IF(DATOS!BD$4="Sí",1/DATOS_[[% normaliz]:[% normaliz]],1)*(DATOS_[Conc.Sal.26])))))))),
0)</f>
        <v>0</v>
      </c>
      <c r="AJ98" s="196">
        <f t="array" ref="AJ98">IFERROR(
(MEDIAN((IF(DATOS_[[Sexo]:[Sexo]]=$B98,IF(DATOS_[[AGRUP. VALOR. PTO.]:[AGRUP. VALOR. PTO.]]=$B96,IF(DATOS_[[Check Periodo Ref.]:[Check Periodo Ref.]]="Dentro",IF(DATOS_[[Check Equiparado]:[Check Equiparado]]="Sí",IF(DATOS!BE$5="Sí",(1/DATOS_[[% anualiz]:[% anualiz]]),1)*IF(DATOS!BE$4="Sí",1/DATOS_[[% normaliz]:[% normaliz]],1)*(DATOS_[Conc.Sal.27])))))))),
0)</f>
        <v>0</v>
      </c>
      <c r="AK98" s="196">
        <f t="array" ref="AK98">IFERROR(
(MEDIAN((IF(DATOS_[[Sexo]:[Sexo]]=$B98,IF(DATOS_[[AGRUP. VALOR. PTO.]:[AGRUP. VALOR. PTO.]]=$B96,IF(DATOS_[[Check Periodo Ref.]:[Check Periodo Ref.]]="Dentro",IF(DATOS_[[Check Equiparado]:[Check Equiparado]]="Sí",IF(DATOS!BF$5="Sí",(1/DATOS_[[% anualiz]:[% anualiz]]),1)*IF(DATOS!BF$4="Sí",1/DATOS_[[% normaliz]:[% normaliz]],1)*(DATOS_[Conc.Sal.28])))))))),
0)</f>
        <v>0</v>
      </c>
      <c r="AL98" s="196">
        <f t="array" ref="AL98">IFERROR(
(MEDIAN((IF(DATOS_[[Sexo]:[Sexo]]=$B98,IF(DATOS_[[AGRUP. VALOR. PTO.]:[AGRUP. VALOR. PTO.]]=$B96,IF(DATOS_[[Check Periodo Ref.]:[Check Periodo Ref.]]="Dentro",IF(DATOS_[[Check Equiparado]:[Check Equiparado]]="Sí",IF(DATOS!BG$5="Sí",(1/DATOS_[[% anualiz]:[% anualiz]]),1)*IF(DATOS!BG$4="Sí",1/DATOS_[[% normaliz]:[% normaliz]],1)*(DATOS_[Conc.Sal.29])))))))),
0)</f>
        <v>0</v>
      </c>
      <c r="AM98" s="196">
        <f t="array" ref="AM98">IFERROR(
(MEDIAN((IF(DATOS_[[Sexo]:[Sexo]]=$B98,IF(DATOS_[[AGRUP. VALOR. PTO.]:[AGRUP. VALOR. PTO.]]=$B96,IF(DATOS_[[Check Periodo Ref.]:[Check Periodo Ref.]]="Dentro",IF(DATOS_[[Check Equiparado]:[Check Equiparado]]="Sí",IF(DATOS!BH$5="Sí",(1/DATOS_[[% anualiz]:[% anualiz]]),1)*IF(DATOS!BH$4="Sí",1/DATOS_[[% normaliz]:[% normaliz]],1)*(DATOS_[Conc.Sal.30])))))))),
0)</f>
        <v>0</v>
      </c>
      <c r="AN98" s="195">
        <f t="array" ref="AN98">IFERROR(
MEDIAN(IF(DATOS_[Sexo]=$B98,IF(DATOS_[[AGRUP. VALOR. PTO.]:[AGRUP. VALOR. PTO.]]=$B96,IF(DATOS_[Check Equiparado]="Sí",IF(DATOS_[Check Periodo Ref.]="Dentro",DATOS_[Tot COMPL.SAL Eq],FALSE))))),
0)</f>
        <v>0</v>
      </c>
      <c r="AO98" s="172">
        <f t="array" ref="AO98">IFERROR(
MEDIAN(IF(DATOS_[Sexo]=$B98,IF(DATOS_[[AGRUP. VALOR. PTO.]:[AGRUP. VALOR. PTO.]]=$B96,IF(DATOS_[Check Equiparado]="Sí",IF(DATOS_[Check Periodo Ref.]="Dentro",DATOS_[TOTAL SALARIO Eq],FALSE))))),
0)</f>
        <v>0</v>
      </c>
      <c r="AP98" s="173">
        <f t="array" ref="AP98">IFERROR(
(MEDIAN((IF(DATOS_[[Sexo]:[Sexo]]=$B98,IF(DATOS_[[AGRUP. VALOR. PTO.]:[AGRUP. VALOR. PTO.]]=$B97,IF(DATOS_[[Check Periodo Ref.]:[Check Periodo Ref.]]="Dentro",IF(DATOS_[[Check Equiparado]:[Check Equiparado]]="Sí",IF(DATOS!BW$5="Sí",(1/DATOS_[[% anualiz]:[% anualiz]]),1)*IF(DATOS!BW$4="Sí",1/DATOS_[[% normaliz]:[% normaliz]],1)*(DATOS_[C.Extra.01])))))))),
0)</f>
        <v>0</v>
      </c>
      <c r="AQ98" s="173">
        <f t="array" ref="AQ98">IFERROR(
(MEDIAN((IF(DATOS_[[Sexo]:[Sexo]]=$B98,IF(DATOS_[[AGRUP. VALOR. PTO.]:[AGRUP. VALOR. PTO.]]=$B97,IF(DATOS_[[Check Periodo Ref.]:[Check Periodo Ref.]]="Dentro",IF(DATOS_[[Check Equiparado]:[Check Equiparado]]="Sí",IF(DATOS!CB$5="Sí",(1/DATOS_[[% anualiz]:[% anualiz]]),1)*IF(DATOS!CB$4="Sí",1/DATOS_[[% normaliz]:[% normaliz]],1)*(DATOS_[C.Extra.06])))))))),
0)</f>
        <v>0</v>
      </c>
      <c r="AR98" s="173">
        <f t="array" ref="AR98">IFERROR(
(MEDIAN((IF(DATOS_[[Sexo]:[Sexo]]=$B98,IF(DATOS_[[AGRUP. VALOR. PTO.]:[AGRUP. VALOR. PTO.]]=$B97,IF(DATOS_[[Check Periodo Ref.]:[Check Periodo Ref.]]="Dentro",IF(DATOS_[[Check Equiparado]:[Check Equiparado]]="Sí",IF(DATOS!CC$5="Sí",(1/DATOS_[[% anualiz]:[% anualiz]]),1)*IF(DATOS!CC$4="Sí",1/DATOS_[[% normaliz]:[% normaliz]],1)*(DATOS_[C.Extra.07])))))))),
0)</f>
        <v>0</v>
      </c>
      <c r="AS98" s="173">
        <f t="array" ref="AS98">IFERROR(
(MEDIAN((IF(DATOS_[[Sexo]:[Sexo]]=$B98,IF(DATOS_[[AGRUP. VALOR. PTO.]:[AGRUP. VALOR. PTO.]]=$B97,IF(DATOS_[[Check Periodo Ref.]:[Check Periodo Ref.]]="Dentro",IF(DATOS_[[Check Equiparado]:[Check Equiparado]]="Sí",IF(DATOS!CD$5="Sí",(1/DATOS_[[% anualiz]:[% anualiz]]),1)*IF(DATOS!CD$4="Sí",1/DATOS_[[% normaliz]:[% normaliz]],1)*(DATOS_[C.Extra.08])))))))),
0)</f>
        <v>0</v>
      </c>
      <c r="AT98" s="173">
        <f t="array" ref="AT98">IFERROR(
(MEDIAN((IF(DATOS_[[Sexo]:[Sexo]]=$B98,IF(DATOS_[[AGRUP. VALOR. PTO.]:[AGRUP. VALOR. PTO.]]=$B97,IF(DATOS_[[Check Periodo Ref.]:[Check Periodo Ref.]]="Dentro",IF(DATOS_[[Check Equiparado]:[Check Equiparado]]="Sí",IF(DATOS!CG$5="Sí",(1/DATOS_[[% anualiz]:[% anualiz]]),1)*IF(DATOS!CG$4="Sí",1/DATOS_[[% normaliz]:[% normaliz]],1)*(DATOS_[C.Extra.11])))))))),
0)</f>
        <v>0</v>
      </c>
      <c r="AU98" s="197">
        <f t="array" ref="AU98">IFERROR(
MEDIAN(IF(DATOS_[Sexo]=$B98,IF(DATOS_[[AGRUP. VALOR. PTO.]:[AGRUP. VALOR. PTO.]]=$B96,IF(DATOS_[Check Equiparado]="Sí",IF(DATOS_[Check Periodo Ref.]="Dentro",DATOS_[Tot Extrasalarial Eq],FALSE))))),
0)</f>
        <v>0</v>
      </c>
      <c r="AV98" s="175">
        <f t="array" ref="AV98">IFERROR(
MEDIAN(IF(DATOS_[Sexo]=$B98,IF(DATOS_[[AGRUP. VALOR. PTO.]:[AGRUP. VALOR. PTO.]]=$B96,IF(DATOS_[Check Equiparado]="Sí",IF(DATOS_[Check Periodo Ref.]="Dentro",DATOS_[TOTAL Retrib Eq],FALSE))))),
0)</f>
        <v>0</v>
      </c>
    </row>
    <row r="99" spans="1:48" ht="15.6" thickBot="1" x14ac:dyDescent="0.3">
      <c r="A99" s="133" t="str">
        <f t="shared" ref="A99" si="115">+A100</f>
        <v>[ocultar]</v>
      </c>
      <c r="B99" s="199" t="s">
        <v>287</v>
      </c>
      <c r="C99" s="200"/>
      <c r="D99" s="201"/>
      <c r="E99" s="201"/>
      <c r="F99" s="201"/>
      <c r="G99" s="201"/>
      <c r="H99" s="201"/>
      <c r="I99" s="189" t="str">
        <f t="shared" ref="I99:AV99" si="116">IFERROR((I100-I101)/I100,"")</f>
        <v/>
      </c>
      <c r="J99" s="190" t="str">
        <f t="shared" si="116"/>
        <v/>
      </c>
      <c r="K99" s="191" t="str">
        <f t="shared" si="116"/>
        <v/>
      </c>
      <c r="L99" s="191" t="str">
        <f t="shared" si="116"/>
        <v/>
      </c>
      <c r="M99" s="191" t="str">
        <f t="shared" si="116"/>
        <v/>
      </c>
      <c r="N99" s="192" t="str">
        <f t="shared" si="116"/>
        <v/>
      </c>
      <c r="O99" s="193" t="str">
        <f t="shared" si="116"/>
        <v/>
      </c>
      <c r="P99" s="193" t="str">
        <f t="shared" si="116"/>
        <v/>
      </c>
      <c r="Q99" s="193" t="str">
        <f t="shared" si="116"/>
        <v/>
      </c>
      <c r="R99" s="193" t="str">
        <f t="shared" si="116"/>
        <v/>
      </c>
      <c r="S99" s="193" t="str">
        <f t="shared" si="116"/>
        <v/>
      </c>
      <c r="T99" s="193" t="str">
        <f t="shared" si="116"/>
        <v/>
      </c>
      <c r="U99" s="193" t="str">
        <f t="shared" si="116"/>
        <v/>
      </c>
      <c r="V99" s="193" t="str">
        <f t="shared" si="116"/>
        <v/>
      </c>
      <c r="W99" s="193" t="str">
        <f t="shared" si="116"/>
        <v/>
      </c>
      <c r="X99" s="193" t="str">
        <f t="shared" si="116"/>
        <v/>
      </c>
      <c r="Y99" s="193" t="str">
        <f t="shared" si="116"/>
        <v/>
      </c>
      <c r="Z99" s="193" t="str">
        <f t="shared" si="116"/>
        <v/>
      </c>
      <c r="AA99" s="193" t="str">
        <f t="shared" si="116"/>
        <v/>
      </c>
      <c r="AB99" s="193" t="str">
        <f t="shared" si="116"/>
        <v/>
      </c>
      <c r="AC99" s="193" t="str">
        <f t="shared" si="116"/>
        <v/>
      </c>
      <c r="AD99" s="193" t="str">
        <f t="shared" si="116"/>
        <v/>
      </c>
      <c r="AE99" s="193" t="str">
        <f t="shared" si="116"/>
        <v/>
      </c>
      <c r="AF99" s="193" t="str">
        <f t="shared" si="116"/>
        <v/>
      </c>
      <c r="AG99" s="193" t="str">
        <f t="shared" si="116"/>
        <v/>
      </c>
      <c r="AH99" s="193" t="str">
        <f t="shared" si="116"/>
        <v/>
      </c>
      <c r="AI99" s="193" t="str">
        <f t="shared" si="116"/>
        <v/>
      </c>
      <c r="AJ99" s="193" t="str">
        <f t="shared" si="116"/>
        <v/>
      </c>
      <c r="AK99" s="193" t="str">
        <f t="shared" si="116"/>
        <v/>
      </c>
      <c r="AL99" s="193" t="str">
        <f t="shared" si="116"/>
        <v/>
      </c>
      <c r="AM99" s="193" t="str">
        <f t="shared" si="116"/>
        <v/>
      </c>
      <c r="AN99" s="189" t="str">
        <f t="shared" si="116"/>
        <v/>
      </c>
      <c r="AO99" s="162" t="str">
        <f t="shared" si="116"/>
        <v/>
      </c>
      <c r="AP99" s="163" t="str">
        <f t="shared" si="116"/>
        <v/>
      </c>
      <c r="AQ99" s="163" t="str">
        <f t="shared" si="116"/>
        <v/>
      </c>
      <c r="AR99" s="163" t="str">
        <f t="shared" si="116"/>
        <v/>
      </c>
      <c r="AS99" s="163" t="str">
        <f t="shared" si="116"/>
        <v/>
      </c>
      <c r="AT99" s="163" t="str">
        <f t="shared" si="116"/>
        <v/>
      </c>
      <c r="AU99" s="194" t="str">
        <f t="shared" si="116"/>
        <v/>
      </c>
      <c r="AV99" s="165" t="str">
        <f t="shared" si="116"/>
        <v/>
      </c>
    </row>
    <row r="100" spans="1:48" x14ac:dyDescent="0.25">
      <c r="A100" s="133" t="str">
        <f t="shared" ref="A100" si="117">+IF(C100+C101=0,"[ocultar]","")</f>
        <v>[ocultar]</v>
      </c>
      <c r="B100" s="202" t="s">
        <v>394</v>
      </c>
      <c r="C100" s="203">
        <f t="array" ref="C100">SUM(IF($B100=DATOS_[Sexo],
IF($B99=DATOS_[AGRUP. VALOR. PTO.],
IF("Dentro"=DATOS_[Check Periodo Ref.],
1/(COUNTIFS(DATOS_[Sexo],$B100,DATOS_[AGRUP. VALOR. PTO.],$B99,DATOS_[Check Periodo Ref.],"Dentro",DATOS_[id/cod],DATOS_[id/cod]))))))</f>
        <v>0</v>
      </c>
      <c r="D100" s="204">
        <f>COUNTIFS(DATOS_[AGRUP. VALOR. PTO.],$B99,DATOS_[Sexo],$B100,DATOS_[Check Periodo Ref.],"Dentro")</f>
        <v>0</v>
      </c>
      <c r="E100" s="204">
        <f>COUNTIFS(DATOS_[AGRUP. VALOR. PTO.],$B99,DATOS_[Sexo],$B100,DATOS_[Check Periodo Ref.],"Dentro",DATOS_[Check Nº SC Norm],"Sí")</f>
        <v>0</v>
      </c>
      <c r="F100" s="204">
        <f>COUNTIFS(DATOS_[AGRUP. VALOR. PTO.],$B99,DATOS_[Sexo],$B100,DATOS_[Check Periodo Ref.],"Dentro",DATOS_[Check Nº SC Anualiz],"Sí")</f>
        <v>0</v>
      </c>
      <c r="G100" s="204">
        <f>COUNTIFS(DATOS_[AGRUP. VALOR. PTO.],$B99,DATOS_[Sexo],$B100,DATOS_[Check Periodo Ref.],"Dentro",DATOS_[Check Nº SC Norm y Anualiz],"Sí")</f>
        <v>0</v>
      </c>
      <c r="H100" s="204">
        <f>COUNTIFS(DATOS_[AGRUP. VALOR. PTO.],$B99,DATOS_[Sexo],$B100,DATOS_[Check Periodo Ref.],"Dentro",DATOS_[Check Equiparación],"Sí")</f>
        <v>0</v>
      </c>
      <c r="I100" s="195">
        <f t="array" ref="I100">IFERROR(
MEDIAN(IF(DATOS_[Sexo]=$B100,IF(DATOS_[[AGRUP. VALOR. PTO.]:[AGRUP. VALOR. PTO.]]=$B99,IF(DATOS_[Check Equiparado]="Sí",IF(DATOS_[Check Periodo Ref.]="Dentro",DATOS_[SALARIO BASE Eq],FALSE))))),
0)</f>
        <v>0</v>
      </c>
      <c r="J100" s="196">
        <f t="array" ref="J100">IFERROR(
(MEDIAN((IF(DATOS_[[Sexo]:[Sexo]]=$B100,IF(DATOS_[[AGRUP. VALOR. PTO.]:[AGRUP. VALOR. PTO.]]=$B99,IF(DATOS_[[Check Periodo Ref.]:[Check Periodo Ref.]]="Dentro",IF(DATOS_[[Check Equiparado]:[Check Equiparado]]="Sí",IF(DATOS!AE$5="Sí",(1/DATOS_[[% anualiz]:[% anualiz]]),1)*IF(DATOS!AE$4="Sí",1/DATOS_[[% normaliz]:[% normaliz]],1)*(DATOS_[Conc.Sal.01])))))))),
0)</f>
        <v>0</v>
      </c>
      <c r="K100" s="196">
        <f t="array" ref="K100">IFERROR(
(MEDIAN((IF(DATOS_[[Sexo]:[Sexo]]=$B100,IF(DATOS_[[AGRUP. VALOR. PTO.]:[AGRUP. VALOR. PTO.]]=$B99,IF(DATOS_[[Check Periodo Ref.]:[Check Periodo Ref.]]="Dentro",IF(DATOS_[[Check Equiparado]:[Check Equiparado]]="Sí",IF(DATOS!AF$5="Sí",(1/DATOS_[[% anualiz]:[% anualiz]]),1)*IF(DATOS!AF$4="Sí",1/DATOS_[[% normaliz]:[% normaliz]],1)*(DATOS_[Conc.Sal.02])))))))),
0)</f>
        <v>0</v>
      </c>
      <c r="L100" s="196">
        <f t="array" ref="L100">IFERROR(
(MEDIAN((IF(DATOS_[[Sexo]:[Sexo]]=$B100,IF(DATOS_[[AGRUP. VALOR. PTO.]:[AGRUP. VALOR. PTO.]]=$B99,IF(DATOS_[[Check Periodo Ref.]:[Check Periodo Ref.]]="Dentro",IF(DATOS_[[Check Equiparado]:[Check Equiparado]]="Sí",IF(DATOS!AG$5="Sí",(1/DATOS_[[% anualiz]:[% anualiz]]),1)*IF(DATOS!AG$4="Sí",1/DATOS_[[% normaliz]:[% normaliz]],1)*(DATOS_[Conc.Sal.03])))))))),
0)</f>
        <v>0</v>
      </c>
      <c r="M100" s="196">
        <f t="array" ref="M100">IFERROR(
(MEDIAN((IF(DATOS_[[Sexo]:[Sexo]]=$B100,IF(DATOS_[[AGRUP. VALOR. PTO.]:[AGRUP. VALOR. PTO.]]=$B99,IF(DATOS_[[Check Periodo Ref.]:[Check Periodo Ref.]]="Dentro",IF(DATOS_[[Check Equiparado]:[Check Equiparado]]="Sí",IF(DATOS!AH$5="Sí",(1/DATOS_[[% anualiz]:[% anualiz]]),1)*IF(DATOS!AH$4="Sí",1/DATOS_[[% normaliz]:[% normaliz]],1)*(DATOS_[Conc.Sal.04])))))))),
0)</f>
        <v>0</v>
      </c>
      <c r="N100" s="196">
        <f t="array" ref="N100">IFERROR(
(MEDIAN((IF(DATOS_[[Sexo]:[Sexo]]=$B100,IF(DATOS_[[AGRUP. VALOR. PTO.]:[AGRUP. VALOR. PTO.]]=$B99,IF(DATOS_[[Check Periodo Ref.]:[Check Periodo Ref.]]="Dentro",IF(DATOS_[[Check Equiparado]:[Check Equiparado]]="Sí",IF(DATOS!AI$5="Sí",(1/DATOS_[[% anualiz]:[% anualiz]]),1)*IF(DATOS!AI$4="Sí",1/DATOS_[[% normaliz]:[% normaliz]],1)*(DATOS_[Conc.Sal.05])))))))),
0)</f>
        <v>0</v>
      </c>
      <c r="O100" s="196">
        <f t="array" ref="O100">IFERROR(
(MEDIAN((IF(DATOS_[[Sexo]:[Sexo]]=$B100,IF(DATOS_[[AGRUP. VALOR. PTO.]:[AGRUP. VALOR. PTO.]]=$B99,IF(DATOS_[[Check Periodo Ref.]:[Check Periodo Ref.]]="Dentro",IF(DATOS_[[Check Equiparado]:[Check Equiparado]]="Sí",IF(DATOS!AJ$5="Sí",(1/DATOS_[[% anualiz]:[% anualiz]]),1)*IF(DATOS!AJ$4="Sí",1/DATOS_[[% normaliz]:[% normaliz]],1)*(DATOS_[Conc.Sal.06])))))))),
0)</f>
        <v>0</v>
      </c>
      <c r="P100" s="196">
        <f t="array" ref="P100">IFERROR(
(MEDIAN((IF(DATOS_[[Sexo]:[Sexo]]=$B100,IF(DATOS_[[AGRUP. VALOR. PTO.]:[AGRUP. VALOR. PTO.]]=$B99,IF(DATOS_[[Check Periodo Ref.]:[Check Periodo Ref.]]="Dentro",IF(DATOS_[[Check Equiparado]:[Check Equiparado]]="Sí",IF(DATOS!AK$5="Sí",(1/DATOS_[[% anualiz]:[% anualiz]]),1)*IF(DATOS!AK$4="Sí",1/DATOS_[[% normaliz]:[% normaliz]],1)*(DATOS_[Conc.Sal.07])))))))),
0)</f>
        <v>0</v>
      </c>
      <c r="Q100" s="196">
        <f t="array" ref="Q100">IFERROR(
(MEDIAN((IF(DATOS_[[Sexo]:[Sexo]]=$B100,IF(DATOS_[[AGRUP. VALOR. PTO.]:[AGRUP. VALOR. PTO.]]=$B99,IF(DATOS_[[Check Periodo Ref.]:[Check Periodo Ref.]]="Dentro",IF(DATOS_[[Check Equiparado]:[Check Equiparado]]="Sí",IF(DATOS!AL$5="Sí",(1/DATOS_[[% anualiz]:[% anualiz]]),1)*IF(DATOS!AL$4="Sí",1/DATOS_[[% normaliz]:[% normaliz]],1)*(DATOS_[Conc.Sal.08])))))))),
0)</f>
        <v>0</v>
      </c>
      <c r="R100" s="196">
        <f t="array" ref="R100">IFERROR(
(MEDIAN((IF(DATOS_[[Sexo]:[Sexo]]=$B100,IF(DATOS_[[AGRUP. VALOR. PTO.]:[AGRUP. VALOR. PTO.]]=$B99,IF(DATOS_[[Check Periodo Ref.]:[Check Periodo Ref.]]="Dentro",IF(DATOS_[[Check Equiparado]:[Check Equiparado]]="Sí",IF(DATOS!AM$5="Sí",(1/DATOS_[[% anualiz]:[% anualiz]]),1)*IF(DATOS!AM$4="Sí",1/DATOS_[[% normaliz]:[% normaliz]],1)*(DATOS_[Conc.Sal.09])))))))),
0)</f>
        <v>0</v>
      </c>
      <c r="S100" s="196">
        <f t="array" ref="S100">IFERROR(
(MEDIAN((IF(DATOS_[[Sexo]:[Sexo]]=$B100,IF(DATOS_[[AGRUP. VALOR. PTO.]:[AGRUP. VALOR. PTO.]]=$B99,IF(DATOS_[[Check Periodo Ref.]:[Check Periodo Ref.]]="Dentro",IF(DATOS_[[Check Equiparado]:[Check Equiparado]]="Sí",IF(DATOS!AN$5="Sí",(1/DATOS_[[% anualiz]:[% anualiz]]),1)*IF(DATOS!AN$4="Sí",1/DATOS_[[% normaliz]:[% normaliz]],1)*(DATOS_[Conc.Sal.10])))))))),
0)</f>
        <v>0</v>
      </c>
      <c r="T100" s="196">
        <f t="array" ref="T100">IFERROR(
(MEDIAN((IF(DATOS_[[Sexo]:[Sexo]]=$B100,IF(DATOS_[[AGRUP. VALOR. PTO.]:[AGRUP. VALOR. PTO.]]=$B99,IF(DATOS_[[Check Periodo Ref.]:[Check Periodo Ref.]]="Dentro",IF(DATOS_[[Check Equiparado]:[Check Equiparado]]="Sí",IF(DATOS!AO$5="Sí",(1/DATOS_[[% anualiz]:[% anualiz]]),1)*IF(DATOS!AO$4="Sí",1/DATOS_[[% normaliz]:[% normaliz]],1)*(DATOS_[Conc.Sal.11])))))))),
0)</f>
        <v>0</v>
      </c>
      <c r="U100" s="196">
        <f t="array" ref="U100">IFERROR(
(MEDIAN((IF(DATOS_[[Sexo]:[Sexo]]=$B100,IF(DATOS_[[AGRUP. VALOR. PTO.]:[AGRUP. VALOR. PTO.]]=$B99,IF(DATOS_[[Check Periodo Ref.]:[Check Periodo Ref.]]="Dentro",IF(DATOS_[[Check Equiparado]:[Check Equiparado]]="Sí",IF(DATOS!AP$5="Sí",(1/DATOS_[[% anualiz]:[% anualiz]]),1)*IF(DATOS!AP$4="Sí",1/DATOS_[[% normaliz]:[% normaliz]],1)*(DATOS_[Conc.Sal.12])))))))),
0)</f>
        <v>0</v>
      </c>
      <c r="V100" s="196">
        <f t="array" ref="V100">IFERROR(
(MEDIAN((IF(DATOS_[[Sexo]:[Sexo]]=$B100,IF(DATOS_[[AGRUP. VALOR. PTO.]:[AGRUP. VALOR. PTO.]]=$B99,IF(DATOS_[[Check Periodo Ref.]:[Check Periodo Ref.]]="Dentro",IF(DATOS_[[Check Equiparado]:[Check Equiparado]]="Sí",IF(DATOS!AQ$5="Sí",(1/DATOS_[[% anualiz]:[% anualiz]]),1)*IF(DATOS!AQ$4="Sí",1/DATOS_[[% normaliz]:[% normaliz]],1)*(DATOS_[Conc.Sal.13])))))))),
0)</f>
        <v>0</v>
      </c>
      <c r="W100" s="196">
        <f t="array" ref="W100">IFERROR(
(MEDIAN((IF(DATOS_[[Sexo]:[Sexo]]=$B100,IF(DATOS_[[AGRUP. VALOR. PTO.]:[AGRUP. VALOR. PTO.]]=$B99,IF(DATOS_[[Check Periodo Ref.]:[Check Periodo Ref.]]="Dentro",IF(DATOS_[[Check Equiparado]:[Check Equiparado]]="Sí",IF(DATOS!AR$5="Sí",(1/DATOS_[[% anualiz]:[% anualiz]]),1)*IF(DATOS!AR$4="Sí",1/DATOS_[[% normaliz]:[% normaliz]],1)*(DATOS_[Conc.Sal.14])))))))),
0)</f>
        <v>0</v>
      </c>
      <c r="X100" s="196">
        <f t="array" ref="X100">IFERROR(
(MEDIAN((IF(DATOS_[[Sexo]:[Sexo]]=$B100,IF(DATOS_[[AGRUP. VALOR. PTO.]:[AGRUP. VALOR. PTO.]]=$B99,IF(DATOS_[[Check Periodo Ref.]:[Check Periodo Ref.]]="Dentro",IF(DATOS_[[Check Equiparado]:[Check Equiparado]]="Sí",IF(DATOS!AS$5="Sí",(1/DATOS_[[% anualiz]:[% anualiz]]),1)*IF(DATOS!AS$4="Sí",1/DATOS_[[% normaliz]:[% normaliz]],1)*(DATOS_[Conc.Sal.15])))))))),
0)</f>
        <v>0</v>
      </c>
      <c r="Y100" s="196">
        <f t="array" ref="Y100">IFERROR(
(MEDIAN((IF(DATOS_[[Sexo]:[Sexo]]=$B100,IF(DATOS_[[AGRUP. VALOR. PTO.]:[AGRUP. VALOR. PTO.]]=$B99,IF(DATOS_[[Check Periodo Ref.]:[Check Periodo Ref.]]="Dentro",IF(DATOS_[[Check Equiparado]:[Check Equiparado]]="Sí",IF(DATOS!AT$5="Sí",(1/DATOS_[[% anualiz]:[% anualiz]]),1)*IF(DATOS!AT$4="Sí",1/DATOS_[[% normaliz]:[% normaliz]],1)*(DATOS_[Conc.Sal.16])))))))),
0)</f>
        <v>0</v>
      </c>
      <c r="Z100" s="196">
        <f t="array" ref="Z100">IFERROR(
(MEDIAN((IF(DATOS_[[Sexo]:[Sexo]]=$B100,IF(DATOS_[[AGRUP. VALOR. PTO.]:[AGRUP. VALOR. PTO.]]=$B99,IF(DATOS_[[Check Periodo Ref.]:[Check Periodo Ref.]]="Dentro",IF(DATOS_[[Check Equiparado]:[Check Equiparado]]="Sí",IF(DATOS!AU$5="Sí",(1/DATOS_[[% anualiz]:[% anualiz]]),1)*IF(DATOS!AU$4="Sí",1/DATOS_[[% normaliz]:[% normaliz]],1)*(DATOS_[Conc.Sal.17])))))))),
0)</f>
        <v>0</v>
      </c>
      <c r="AA100" s="196">
        <f t="array" ref="AA100">IFERROR(
(MEDIAN((IF(DATOS_[[Sexo]:[Sexo]]=$B100,IF(DATOS_[[AGRUP. VALOR. PTO.]:[AGRUP. VALOR. PTO.]]=$B99,IF(DATOS_[[Check Periodo Ref.]:[Check Periodo Ref.]]="Dentro",IF(DATOS_[[Check Equiparado]:[Check Equiparado]]="Sí",IF(DATOS!AV$5="Sí",(1/DATOS_[[% anualiz]:[% anualiz]]),1)*IF(DATOS!AV$4="Sí",1/DATOS_[[% normaliz]:[% normaliz]],1)*(DATOS_[Conc.Sal.18])))))))),
0)</f>
        <v>0</v>
      </c>
      <c r="AB100" s="196">
        <f t="array" ref="AB100">IFERROR(
(MEDIAN((IF(DATOS_[[Sexo]:[Sexo]]=$B100,IF(DATOS_[[AGRUP. VALOR. PTO.]:[AGRUP. VALOR. PTO.]]=$B99,IF(DATOS_[[Check Periodo Ref.]:[Check Periodo Ref.]]="Dentro",IF(DATOS_[[Check Equiparado]:[Check Equiparado]]="Sí",IF(DATOS!AW$5="Sí",(1/DATOS_[[% anualiz]:[% anualiz]]),1)*IF(DATOS!AW$4="Sí",1/DATOS_[[% normaliz]:[% normaliz]],1)*(DATOS_[Conc.Sal.19])))))))),
0)</f>
        <v>0</v>
      </c>
      <c r="AC100" s="196">
        <f t="array" ref="AC100">IFERROR(
(MEDIAN((IF(DATOS_[[Sexo]:[Sexo]]=$B100,IF(DATOS_[[AGRUP. VALOR. PTO.]:[AGRUP. VALOR. PTO.]]=$B99,IF(DATOS_[[Check Periodo Ref.]:[Check Periodo Ref.]]="Dentro",IF(DATOS_[[Check Equiparado]:[Check Equiparado]]="Sí",IF(DATOS!AX$5="Sí",(1/DATOS_[[% anualiz]:[% anualiz]]),1)*IF(DATOS!AX$4="Sí",1/DATOS_[[% normaliz]:[% normaliz]],1)*(DATOS_[Conc.Sal.20])))))))),
0)</f>
        <v>0</v>
      </c>
      <c r="AD100" s="196">
        <f t="array" ref="AD100">IFERROR(
(MEDIAN((IF(DATOS_[[Sexo]:[Sexo]]=$B100,IF(DATOS_[[AGRUP. VALOR. PTO.]:[AGRUP. VALOR. PTO.]]=$B99,IF(DATOS_[[Check Periodo Ref.]:[Check Periodo Ref.]]="Dentro",IF(DATOS_[[Check Equiparado]:[Check Equiparado]]="Sí",IF(DATOS!AY$5="Sí",(1/DATOS_[[% anualiz]:[% anualiz]]),1)*IF(DATOS!AY$4="Sí",1/DATOS_[[% normaliz]:[% normaliz]],1)*(DATOS_[Conc.Sal.21])))))))),
0)</f>
        <v>0</v>
      </c>
      <c r="AE100" s="196">
        <f t="array" ref="AE100">IFERROR(
(MEDIAN((IF(DATOS_[[Sexo]:[Sexo]]=$B100,IF(DATOS_[[AGRUP. VALOR. PTO.]:[AGRUP. VALOR. PTO.]]=$B99,IF(DATOS_[[Check Periodo Ref.]:[Check Periodo Ref.]]="Dentro",IF(DATOS_[[Check Equiparado]:[Check Equiparado]]="Sí",IF(DATOS!AZ$5="Sí",(1/DATOS_[[% anualiz]:[% anualiz]]),1)*IF(DATOS!AZ$4="Sí",1/DATOS_[[% normaliz]:[% normaliz]],1)*(DATOS_[Conc.Sal.22])))))))),
0)</f>
        <v>0</v>
      </c>
      <c r="AF100" s="196">
        <f t="array" ref="AF100">IFERROR(
(MEDIAN((IF(DATOS_[[Sexo]:[Sexo]]=$B100,IF(DATOS_[[AGRUP. VALOR. PTO.]:[AGRUP. VALOR. PTO.]]=$B99,IF(DATOS_[[Check Periodo Ref.]:[Check Periodo Ref.]]="Dentro",IF(DATOS_[[Check Equiparado]:[Check Equiparado]]="Sí",IF(DATOS!BA$5="Sí",(1/DATOS_[[% anualiz]:[% anualiz]]),1)*IF(DATOS!BA$4="Sí",1/DATOS_[[% normaliz]:[% normaliz]],1)*(DATOS_[Conc.Sal.23])))))))),
0)</f>
        <v>0</v>
      </c>
      <c r="AG100" s="196">
        <f t="array" ref="AG100">IFERROR(
(MEDIAN((IF(DATOS_[[Sexo]:[Sexo]]=$B100,IF(DATOS_[[AGRUP. VALOR. PTO.]:[AGRUP. VALOR. PTO.]]=$B99,IF(DATOS_[[Check Periodo Ref.]:[Check Periodo Ref.]]="Dentro",IF(DATOS_[[Check Equiparado]:[Check Equiparado]]="Sí",IF(DATOS!BB$5="Sí",(1/DATOS_[[% anualiz]:[% anualiz]]),1)*IF(DATOS!BB$4="Sí",1/DATOS_[[% normaliz]:[% normaliz]],1)*(DATOS_[Conc.Sal.24])))))))),
0)</f>
        <v>0</v>
      </c>
      <c r="AH100" s="196">
        <f t="array" ref="AH100">IFERROR(
(MEDIAN((IF(DATOS_[[Sexo]:[Sexo]]=$B100,IF(DATOS_[[AGRUP. VALOR. PTO.]:[AGRUP. VALOR. PTO.]]=$B99,IF(DATOS_[[Check Periodo Ref.]:[Check Periodo Ref.]]="Dentro",IF(DATOS_[[Check Equiparado]:[Check Equiparado]]="Sí",IF(DATOS!BC$5="Sí",(1/DATOS_[[% anualiz]:[% anualiz]]),1)*IF(DATOS!BC$4="Sí",1/DATOS_[[% normaliz]:[% normaliz]],1)*(DATOS_[Conc.Sal.25])))))))),
0)</f>
        <v>0</v>
      </c>
      <c r="AI100" s="196">
        <f t="array" ref="AI100">IFERROR(
(MEDIAN((IF(DATOS_[[Sexo]:[Sexo]]=$B100,IF(DATOS_[[AGRUP. VALOR. PTO.]:[AGRUP. VALOR. PTO.]]=$B99,IF(DATOS_[[Check Periodo Ref.]:[Check Periodo Ref.]]="Dentro",IF(DATOS_[[Check Equiparado]:[Check Equiparado]]="Sí",IF(DATOS!BD$5="Sí",(1/DATOS_[[% anualiz]:[% anualiz]]),1)*IF(DATOS!BD$4="Sí",1/DATOS_[[% normaliz]:[% normaliz]],1)*(DATOS_[Conc.Sal.26])))))))),
0)</f>
        <v>0</v>
      </c>
      <c r="AJ100" s="196">
        <f t="array" ref="AJ100">IFERROR(
(MEDIAN((IF(DATOS_[[Sexo]:[Sexo]]=$B100,IF(DATOS_[[AGRUP. VALOR. PTO.]:[AGRUP. VALOR. PTO.]]=$B99,IF(DATOS_[[Check Periodo Ref.]:[Check Periodo Ref.]]="Dentro",IF(DATOS_[[Check Equiparado]:[Check Equiparado]]="Sí",IF(DATOS!BE$5="Sí",(1/DATOS_[[% anualiz]:[% anualiz]]),1)*IF(DATOS!BE$4="Sí",1/DATOS_[[% normaliz]:[% normaliz]],1)*(DATOS_[Conc.Sal.27])))))))),
0)</f>
        <v>0</v>
      </c>
      <c r="AK100" s="196">
        <f t="array" ref="AK100">IFERROR(
(MEDIAN((IF(DATOS_[[Sexo]:[Sexo]]=$B100,IF(DATOS_[[AGRUP. VALOR. PTO.]:[AGRUP. VALOR. PTO.]]=$B99,IF(DATOS_[[Check Periodo Ref.]:[Check Periodo Ref.]]="Dentro",IF(DATOS_[[Check Equiparado]:[Check Equiparado]]="Sí",IF(DATOS!BF$5="Sí",(1/DATOS_[[% anualiz]:[% anualiz]]),1)*IF(DATOS!BF$4="Sí",1/DATOS_[[% normaliz]:[% normaliz]],1)*(DATOS_[Conc.Sal.28])))))))),
0)</f>
        <v>0</v>
      </c>
      <c r="AL100" s="196">
        <f t="array" ref="AL100">IFERROR(
(MEDIAN((IF(DATOS_[[Sexo]:[Sexo]]=$B100,IF(DATOS_[[AGRUP. VALOR. PTO.]:[AGRUP. VALOR. PTO.]]=$B99,IF(DATOS_[[Check Periodo Ref.]:[Check Periodo Ref.]]="Dentro",IF(DATOS_[[Check Equiparado]:[Check Equiparado]]="Sí",IF(DATOS!BG$5="Sí",(1/DATOS_[[% anualiz]:[% anualiz]]),1)*IF(DATOS!BG$4="Sí",1/DATOS_[[% normaliz]:[% normaliz]],1)*(DATOS_[Conc.Sal.29])))))))),
0)</f>
        <v>0</v>
      </c>
      <c r="AM100" s="196">
        <f t="array" ref="AM100">IFERROR(
(MEDIAN((IF(DATOS_[[Sexo]:[Sexo]]=$B100,IF(DATOS_[[AGRUP. VALOR. PTO.]:[AGRUP. VALOR. PTO.]]=$B99,IF(DATOS_[[Check Periodo Ref.]:[Check Periodo Ref.]]="Dentro",IF(DATOS_[[Check Equiparado]:[Check Equiparado]]="Sí",IF(DATOS!BH$5="Sí",(1/DATOS_[[% anualiz]:[% anualiz]]),1)*IF(DATOS!BH$4="Sí",1/DATOS_[[% normaliz]:[% normaliz]],1)*(DATOS_[Conc.Sal.30])))))))),
0)</f>
        <v>0</v>
      </c>
      <c r="AN100" s="195">
        <f t="array" ref="AN100">IFERROR(
MEDIAN(IF(DATOS_[Sexo]=$B100,IF(DATOS_[[AGRUP. VALOR. PTO.]:[AGRUP. VALOR. PTO.]]=$B99,IF(DATOS_[Check Equiparado]="Sí",IF(DATOS_[Check Periodo Ref.]="Dentro",DATOS_[Tot COMPL.SAL Eq],FALSE))))),
0)</f>
        <v>0</v>
      </c>
      <c r="AO100" s="172">
        <f t="array" ref="AO100">IFERROR(
MEDIAN(IF(DATOS_[Sexo]=$B100,IF(DATOS_[[AGRUP. VALOR. PTO.]:[AGRUP. VALOR. PTO.]]=$B99,IF(DATOS_[Check Equiparado]="Sí",IF(DATOS_[Check Periodo Ref.]="Dentro",DATOS_[TOTAL SALARIO Eq],FALSE))))),
0)</f>
        <v>0</v>
      </c>
      <c r="AP100" s="173">
        <f t="array" ref="AP100">IFERROR(
(MEDIAN((IF(DATOS_[[Sexo]:[Sexo]]=$B100,IF(DATOS_[[AGRUP. VALOR. PTO.]:[AGRUP. VALOR. PTO.]]=$B99,IF(DATOS_[[Check Periodo Ref.]:[Check Periodo Ref.]]="Dentro",IF(DATOS_[[Check Equiparado]:[Check Equiparado]]="Sí",IF(DATOS!BW$5="Sí",(1/DATOS_[[% anualiz]:[% anualiz]]),1)*IF(DATOS!BW$4="Sí",1/DATOS_[[% normaliz]:[% normaliz]],1)*(DATOS_[C.Extra.01])))))))),
0)</f>
        <v>0</v>
      </c>
      <c r="AQ100" s="173">
        <f t="array" ref="AQ100">IFERROR(
(MEDIAN((IF(DATOS_[[Sexo]:[Sexo]]=$B100,IF(DATOS_[[AGRUP. VALOR. PTO.]:[AGRUP. VALOR. PTO.]]=$B99,IF(DATOS_[[Check Periodo Ref.]:[Check Periodo Ref.]]="Dentro",IF(DATOS_[[Check Equiparado]:[Check Equiparado]]="Sí",IF(DATOS!CB$5="Sí",(1/DATOS_[[% anualiz]:[% anualiz]]),1)*IF(DATOS!CB$4="Sí",1/DATOS_[[% normaliz]:[% normaliz]],1)*(DATOS_[C.Extra.06])))))))),
0)</f>
        <v>0</v>
      </c>
      <c r="AR100" s="173">
        <f t="array" ref="AR100">IFERROR(
(MEDIAN((IF(DATOS_[[Sexo]:[Sexo]]=$B100,IF(DATOS_[[AGRUP. VALOR. PTO.]:[AGRUP. VALOR. PTO.]]=$B99,IF(DATOS_[[Check Periodo Ref.]:[Check Periodo Ref.]]="Dentro",IF(DATOS_[[Check Equiparado]:[Check Equiparado]]="Sí",IF(DATOS!CC$5="Sí",(1/DATOS_[[% anualiz]:[% anualiz]]),1)*IF(DATOS!CC$4="Sí",1/DATOS_[[% normaliz]:[% normaliz]],1)*(DATOS_[C.Extra.07])))))))),
0)</f>
        <v>0</v>
      </c>
      <c r="AS100" s="173">
        <f t="array" ref="AS100">IFERROR(
(MEDIAN((IF(DATOS_[[Sexo]:[Sexo]]=$B100,IF(DATOS_[[AGRUP. VALOR. PTO.]:[AGRUP. VALOR. PTO.]]=$B99,IF(DATOS_[[Check Periodo Ref.]:[Check Periodo Ref.]]="Dentro",IF(DATOS_[[Check Equiparado]:[Check Equiparado]]="Sí",IF(DATOS!CD$5="Sí",(1/DATOS_[[% anualiz]:[% anualiz]]),1)*IF(DATOS!CD$4="Sí",1/DATOS_[[% normaliz]:[% normaliz]],1)*(DATOS_[C.Extra.08])))))))),
0)</f>
        <v>0</v>
      </c>
      <c r="AT100" s="173">
        <f t="array" ref="AT100">IFERROR(
(MEDIAN((IF(DATOS_[[Sexo]:[Sexo]]=$B100,IF(DATOS_[[AGRUP. VALOR. PTO.]:[AGRUP. VALOR. PTO.]]=$B99,IF(DATOS_[[Check Periodo Ref.]:[Check Periodo Ref.]]="Dentro",IF(DATOS_[[Check Equiparado]:[Check Equiparado]]="Sí",IF(DATOS!CG$5="Sí",(1/DATOS_[[% anualiz]:[% anualiz]]),1)*IF(DATOS!CG$4="Sí",1/DATOS_[[% normaliz]:[% normaliz]],1)*(DATOS_[C.Extra.11])))))))),
0)</f>
        <v>0</v>
      </c>
      <c r="AU100" s="197">
        <f t="array" ref="AU100">IFERROR(
MEDIAN(IF(DATOS_[Sexo]=$B100,IF(DATOS_[[AGRUP. VALOR. PTO.]:[AGRUP. VALOR. PTO.]]=$B99,IF(DATOS_[Check Equiparado]="Sí",IF(DATOS_[Check Periodo Ref.]="Dentro",DATOS_[Tot Extrasalarial Eq],FALSE))))),
0)</f>
        <v>0</v>
      </c>
      <c r="AV100" s="175">
        <f t="array" ref="AV100">IFERROR(
MEDIAN(IF(DATOS_[Sexo]=$B100,IF(DATOS_[[AGRUP. VALOR. PTO.]:[AGRUP. VALOR. PTO.]]=$B99,IF(DATOS_[Check Equiparado]="Sí",IF(DATOS_[Check Periodo Ref.]="Dentro",DATOS_[TOTAL Retrib Eq],FALSE))))),
0)</f>
        <v>0</v>
      </c>
    </row>
    <row r="101" spans="1:48" x14ac:dyDescent="0.25">
      <c r="A101" s="133" t="str">
        <f t="shared" ref="A101" si="118">+A100</f>
        <v>[ocultar]</v>
      </c>
      <c r="B101" s="202" t="s">
        <v>521</v>
      </c>
      <c r="C101" s="203">
        <f t="array" ref="C101">SUM(IF($B101=DATOS_[Sexo],
IF($B99=DATOS_[AGRUP. VALOR. PTO.],
IF("Dentro"=DATOS_[Check Periodo Ref.],
1/(COUNTIFS(DATOS_[Sexo],$B101,DATOS_[AGRUP. VALOR. PTO.],$B99,DATOS_[Check Periodo Ref.],"Dentro",DATOS_[id/cod],DATOS_[id/cod]))))))</f>
        <v>0</v>
      </c>
      <c r="D101" s="204">
        <f>COUNTIFS(DATOS_[AGRUP. VALOR. PTO.],$B99,DATOS_[Sexo],$B101,DATOS_[Check Periodo Ref.],"Dentro")</f>
        <v>0</v>
      </c>
      <c r="E101" s="204">
        <f>COUNTIFS(DATOS_[AGRUP. VALOR. PTO.],$B99,DATOS_[Sexo],$B101,DATOS_[Check Periodo Ref.],"Dentro",DATOS_[Check Nº SC Norm],"Sí")</f>
        <v>0</v>
      </c>
      <c r="F101" s="204">
        <f>COUNTIFS(DATOS_[AGRUP. VALOR. PTO.],$B99,DATOS_[Sexo],$B101,DATOS_[Check Periodo Ref.],"Dentro",DATOS_[Check Nº SC Anualiz],"Sí")</f>
        <v>0</v>
      </c>
      <c r="G101" s="204">
        <f>COUNTIFS(DATOS_[AGRUP. VALOR. PTO.],$B99,DATOS_[Sexo],$B101,DATOS_[Check Periodo Ref.],"Dentro",DATOS_[Check Nº SC Norm y Anualiz],"Sí")</f>
        <v>0</v>
      </c>
      <c r="H101" s="204">
        <f>COUNTIFS(DATOS_[AGRUP. VALOR. PTO.],$B99,DATOS_[Sexo],$B101,DATOS_[Check Periodo Ref.],"Dentro",DATOS_[Check Equiparación],"Sí")</f>
        <v>0</v>
      </c>
      <c r="I101" s="195" cm="1">
        <f t="array" ref="I101">IFERROR(
MEDIAN(IF(DATOS_[Sexo]=$B101,IF(DATOS_[[AGRUP. VALOR. PTO.]:[AGRUP. VALOR. PTO.]]=$B99,IF(DATOS_[Check Equiparado]="Sí",IF(DATOS_[Check Periodo Ref.]="Dentro",DATOS_[SALARIO BASE Eq],FALSE))))),
0)</f>
        <v>0</v>
      </c>
      <c r="J101" s="196">
        <f t="array" ref="J101">IFERROR(
(MEDIAN((IF(DATOS_[[Sexo]:[Sexo]]=$B101,IF(DATOS_[[AGRUP. VALOR. PTO.]:[AGRUP. VALOR. PTO.]]=$B99,IF(DATOS_[[Check Periodo Ref.]:[Check Periodo Ref.]]="Dentro",IF(DATOS_[[Check Equiparado]:[Check Equiparado]]="Sí",IF(DATOS!AE$5="Sí",(1/DATOS_[[% anualiz]:[% anualiz]]),1)*IF(DATOS!AE$4="Sí",1/DATOS_[[% normaliz]:[% normaliz]],1)*(DATOS_[Conc.Sal.01])))))))),
0)</f>
        <v>0</v>
      </c>
      <c r="K101" s="196">
        <f t="array" ref="K101">IFERROR(
(MEDIAN((IF(DATOS_[[Sexo]:[Sexo]]=$B101,IF(DATOS_[[AGRUP. VALOR. PTO.]:[AGRUP. VALOR. PTO.]]=$B99,IF(DATOS_[[Check Periodo Ref.]:[Check Periodo Ref.]]="Dentro",IF(DATOS_[[Check Equiparado]:[Check Equiparado]]="Sí",IF(DATOS!AF$5="Sí",(1/DATOS_[[% anualiz]:[% anualiz]]),1)*IF(DATOS!AF$4="Sí",1/DATOS_[[% normaliz]:[% normaliz]],1)*(DATOS_[Conc.Sal.02])))))))),
0)</f>
        <v>0</v>
      </c>
      <c r="L101" s="196">
        <f t="array" ref="L101">IFERROR(
(MEDIAN((IF(DATOS_[[Sexo]:[Sexo]]=$B101,IF(DATOS_[[AGRUP. VALOR. PTO.]:[AGRUP. VALOR. PTO.]]=$B99,IF(DATOS_[[Check Periodo Ref.]:[Check Periodo Ref.]]="Dentro",IF(DATOS_[[Check Equiparado]:[Check Equiparado]]="Sí",IF(DATOS!AG$5="Sí",(1/DATOS_[[% anualiz]:[% anualiz]]),1)*IF(DATOS!AG$4="Sí",1/DATOS_[[% normaliz]:[% normaliz]],1)*(DATOS_[Conc.Sal.03])))))))),
0)</f>
        <v>0</v>
      </c>
      <c r="M101" s="196">
        <f t="array" ref="M101">IFERROR(
(MEDIAN((IF(DATOS_[[Sexo]:[Sexo]]=$B101,IF(DATOS_[[AGRUP. VALOR. PTO.]:[AGRUP. VALOR. PTO.]]=$B99,IF(DATOS_[[Check Periodo Ref.]:[Check Periodo Ref.]]="Dentro",IF(DATOS_[[Check Equiparado]:[Check Equiparado]]="Sí",IF(DATOS!AH$5="Sí",(1/DATOS_[[% anualiz]:[% anualiz]]),1)*IF(DATOS!AH$4="Sí",1/DATOS_[[% normaliz]:[% normaliz]],1)*(DATOS_[Conc.Sal.04])))))))),
0)</f>
        <v>0</v>
      </c>
      <c r="N101" s="196">
        <f t="array" ref="N101">IFERROR(
(MEDIAN((IF(DATOS_[[Sexo]:[Sexo]]=$B101,IF(DATOS_[[AGRUP. VALOR. PTO.]:[AGRUP. VALOR. PTO.]]=$B99,IF(DATOS_[[Check Periodo Ref.]:[Check Periodo Ref.]]="Dentro",IF(DATOS_[[Check Equiparado]:[Check Equiparado]]="Sí",IF(DATOS!AI$5="Sí",(1/DATOS_[[% anualiz]:[% anualiz]]),1)*IF(DATOS!AI$4="Sí",1/DATOS_[[% normaliz]:[% normaliz]],1)*(DATOS_[Conc.Sal.05])))))))),
0)</f>
        <v>0</v>
      </c>
      <c r="O101" s="196">
        <f t="array" ref="O101">IFERROR(
(MEDIAN((IF(DATOS_[[Sexo]:[Sexo]]=$B101,IF(DATOS_[[AGRUP. VALOR. PTO.]:[AGRUP. VALOR. PTO.]]=$B99,IF(DATOS_[[Check Periodo Ref.]:[Check Periodo Ref.]]="Dentro",IF(DATOS_[[Check Equiparado]:[Check Equiparado]]="Sí",IF(DATOS!AJ$5="Sí",(1/DATOS_[[% anualiz]:[% anualiz]]),1)*IF(DATOS!AJ$4="Sí",1/DATOS_[[% normaliz]:[% normaliz]],1)*(DATOS_[Conc.Sal.06])))))))),
0)</f>
        <v>0</v>
      </c>
      <c r="P101" s="196">
        <f t="array" ref="P101">IFERROR(
(MEDIAN((IF(DATOS_[[Sexo]:[Sexo]]=$B101,IF(DATOS_[[AGRUP. VALOR. PTO.]:[AGRUP. VALOR. PTO.]]=$B99,IF(DATOS_[[Check Periodo Ref.]:[Check Periodo Ref.]]="Dentro",IF(DATOS_[[Check Equiparado]:[Check Equiparado]]="Sí",IF(DATOS!AK$5="Sí",(1/DATOS_[[% anualiz]:[% anualiz]]),1)*IF(DATOS!AK$4="Sí",1/DATOS_[[% normaliz]:[% normaliz]],1)*(DATOS_[Conc.Sal.07])))))))),
0)</f>
        <v>0</v>
      </c>
      <c r="Q101" s="196">
        <f t="array" ref="Q101">IFERROR(
(MEDIAN((IF(DATOS_[[Sexo]:[Sexo]]=$B101,IF(DATOS_[[AGRUP. VALOR. PTO.]:[AGRUP. VALOR. PTO.]]=$B99,IF(DATOS_[[Check Periodo Ref.]:[Check Periodo Ref.]]="Dentro",IF(DATOS_[[Check Equiparado]:[Check Equiparado]]="Sí",IF(DATOS!AL$5="Sí",(1/DATOS_[[% anualiz]:[% anualiz]]),1)*IF(DATOS!AL$4="Sí",1/DATOS_[[% normaliz]:[% normaliz]],1)*(DATOS_[Conc.Sal.08])))))))),
0)</f>
        <v>0</v>
      </c>
      <c r="R101" s="196">
        <f t="array" ref="R101">IFERROR(
(MEDIAN((IF(DATOS_[[Sexo]:[Sexo]]=$B101,IF(DATOS_[[AGRUP. VALOR. PTO.]:[AGRUP. VALOR. PTO.]]=$B99,IF(DATOS_[[Check Periodo Ref.]:[Check Periodo Ref.]]="Dentro",IF(DATOS_[[Check Equiparado]:[Check Equiparado]]="Sí",IF(DATOS!AM$5="Sí",(1/DATOS_[[% anualiz]:[% anualiz]]),1)*IF(DATOS!AM$4="Sí",1/DATOS_[[% normaliz]:[% normaliz]],1)*(DATOS_[Conc.Sal.09])))))))),
0)</f>
        <v>0</v>
      </c>
      <c r="S101" s="196">
        <f t="array" ref="S101">IFERROR(
(MEDIAN((IF(DATOS_[[Sexo]:[Sexo]]=$B101,IF(DATOS_[[AGRUP. VALOR. PTO.]:[AGRUP. VALOR. PTO.]]=$B99,IF(DATOS_[[Check Periodo Ref.]:[Check Periodo Ref.]]="Dentro",IF(DATOS_[[Check Equiparado]:[Check Equiparado]]="Sí",IF(DATOS!AN$5="Sí",(1/DATOS_[[% anualiz]:[% anualiz]]),1)*IF(DATOS!AN$4="Sí",1/DATOS_[[% normaliz]:[% normaliz]],1)*(DATOS_[Conc.Sal.10])))))))),
0)</f>
        <v>0</v>
      </c>
      <c r="T101" s="196">
        <f t="array" ref="T101">IFERROR(
(MEDIAN((IF(DATOS_[[Sexo]:[Sexo]]=$B101,IF(DATOS_[[AGRUP. VALOR. PTO.]:[AGRUP. VALOR. PTO.]]=$B99,IF(DATOS_[[Check Periodo Ref.]:[Check Periodo Ref.]]="Dentro",IF(DATOS_[[Check Equiparado]:[Check Equiparado]]="Sí",IF(DATOS!AO$5="Sí",(1/DATOS_[[% anualiz]:[% anualiz]]),1)*IF(DATOS!AO$4="Sí",1/DATOS_[[% normaliz]:[% normaliz]],1)*(DATOS_[Conc.Sal.11])))))))),
0)</f>
        <v>0</v>
      </c>
      <c r="U101" s="196">
        <f t="array" ref="U101">IFERROR(
(MEDIAN((IF(DATOS_[[Sexo]:[Sexo]]=$B101,IF(DATOS_[[AGRUP. VALOR. PTO.]:[AGRUP. VALOR. PTO.]]=$B99,IF(DATOS_[[Check Periodo Ref.]:[Check Periodo Ref.]]="Dentro",IF(DATOS_[[Check Equiparado]:[Check Equiparado]]="Sí",IF(DATOS!AP$5="Sí",(1/DATOS_[[% anualiz]:[% anualiz]]),1)*IF(DATOS!AP$4="Sí",1/DATOS_[[% normaliz]:[% normaliz]],1)*(DATOS_[Conc.Sal.12])))))))),
0)</f>
        <v>0</v>
      </c>
      <c r="V101" s="196">
        <f t="array" ref="V101">IFERROR(
(MEDIAN((IF(DATOS_[[Sexo]:[Sexo]]=$B101,IF(DATOS_[[AGRUP. VALOR. PTO.]:[AGRUP. VALOR. PTO.]]=$B99,IF(DATOS_[[Check Periodo Ref.]:[Check Periodo Ref.]]="Dentro",IF(DATOS_[[Check Equiparado]:[Check Equiparado]]="Sí",IF(DATOS!AQ$5="Sí",(1/DATOS_[[% anualiz]:[% anualiz]]),1)*IF(DATOS!AQ$4="Sí",1/DATOS_[[% normaliz]:[% normaliz]],1)*(DATOS_[Conc.Sal.13])))))))),
0)</f>
        <v>0</v>
      </c>
      <c r="W101" s="196">
        <f t="array" ref="W101">IFERROR(
(MEDIAN((IF(DATOS_[[Sexo]:[Sexo]]=$B101,IF(DATOS_[[AGRUP. VALOR. PTO.]:[AGRUP. VALOR. PTO.]]=$B99,IF(DATOS_[[Check Periodo Ref.]:[Check Periodo Ref.]]="Dentro",IF(DATOS_[[Check Equiparado]:[Check Equiparado]]="Sí",IF(DATOS!AR$5="Sí",(1/DATOS_[[% anualiz]:[% anualiz]]),1)*IF(DATOS!AR$4="Sí",1/DATOS_[[% normaliz]:[% normaliz]],1)*(DATOS_[Conc.Sal.14])))))))),
0)</f>
        <v>0</v>
      </c>
      <c r="X101" s="196">
        <f t="array" ref="X101">IFERROR(
(MEDIAN((IF(DATOS_[[Sexo]:[Sexo]]=$B101,IF(DATOS_[[AGRUP. VALOR. PTO.]:[AGRUP. VALOR. PTO.]]=$B99,IF(DATOS_[[Check Periodo Ref.]:[Check Periodo Ref.]]="Dentro",IF(DATOS_[[Check Equiparado]:[Check Equiparado]]="Sí",IF(DATOS!AS$5="Sí",(1/DATOS_[[% anualiz]:[% anualiz]]),1)*IF(DATOS!AS$4="Sí",1/DATOS_[[% normaliz]:[% normaliz]],1)*(DATOS_[Conc.Sal.15])))))))),
0)</f>
        <v>0</v>
      </c>
      <c r="Y101" s="196">
        <f t="array" ref="Y101">IFERROR(
(MEDIAN((IF(DATOS_[[Sexo]:[Sexo]]=$B101,IF(DATOS_[[AGRUP. VALOR. PTO.]:[AGRUP. VALOR. PTO.]]=$B99,IF(DATOS_[[Check Periodo Ref.]:[Check Periodo Ref.]]="Dentro",IF(DATOS_[[Check Equiparado]:[Check Equiparado]]="Sí",IF(DATOS!AT$5="Sí",(1/DATOS_[[% anualiz]:[% anualiz]]),1)*IF(DATOS!AT$4="Sí",1/DATOS_[[% normaliz]:[% normaliz]],1)*(DATOS_[Conc.Sal.16])))))))),
0)</f>
        <v>0</v>
      </c>
      <c r="Z101" s="196">
        <f t="array" ref="Z101">IFERROR(
(MEDIAN((IF(DATOS_[[Sexo]:[Sexo]]=$B101,IF(DATOS_[[AGRUP. VALOR. PTO.]:[AGRUP. VALOR. PTO.]]=$B99,IF(DATOS_[[Check Periodo Ref.]:[Check Periodo Ref.]]="Dentro",IF(DATOS_[[Check Equiparado]:[Check Equiparado]]="Sí",IF(DATOS!AU$5="Sí",(1/DATOS_[[% anualiz]:[% anualiz]]),1)*IF(DATOS!AU$4="Sí",1/DATOS_[[% normaliz]:[% normaliz]],1)*(DATOS_[Conc.Sal.17])))))))),
0)</f>
        <v>0</v>
      </c>
      <c r="AA101" s="196">
        <f t="array" ref="AA101">IFERROR(
(MEDIAN((IF(DATOS_[[Sexo]:[Sexo]]=$B101,IF(DATOS_[[AGRUP. VALOR. PTO.]:[AGRUP. VALOR. PTO.]]=$B99,IF(DATOS_[[Check Periodo Ref.]:[Check Periodo Ref.]]="Dentro",IF(DATOS_[[Check Equiparado]:[Check Equiparado]]="Sí",IF(DATOS!AV$5="Sí",(1/DATOS_[[% anualiz]:[% anualiz]]),1)*IF(DATOS!AV$4="Sí",1/DATOS_[[% normaliz]:[% normaliz]],1)*(DATOS_[Conc.Sal.18])))))))),
0)</f>
        <v>0</v>
      </c>
      <c r="AB101" s="196">
        <f t="array" ref="AB101">IFERROR(
(MEDIAN((IF(DATOS_[[Sexo]:[Sexo]]=$B101,IF(DATOS_[[AGRUP. VALOR. PTO.]:[AGRUP. VALOR. PTO.]]=$B99,IF(DATOS_[[Check Periodo Ref.]:[Check Periodo Ref.]]="Dentro",IF(DATOS_[[Check Equiparado]:[Check Equiparado]]="Sí",IF(DATOS!AW$5="Sí",(1/DATOS_[[% anualiz]:[% anualiz]]),1)*IF(DATOS!AW$4="Sí",1/DATOS_[[% normaliz]:[% normaliz]],1)*(DATOS_[Conc.Sal.19])))))))),
0)</f>
        <v>0</v>
      </c>
      <c r="AC101" s="196">
        <f t="array" ref="AC101">IFERROR(
(MEDIAN((IF(DATOS_[[Sexo]:[Sexo]]=$B101,IF(DATOS_[[AGRUP. VALOR. PTO.]:[AGRUP. VALOR. PTO.]]=$B99,IF(DATOS_[[Check Periodo Ref.]:[Check Periodo Ref.]]="Dentro",IF(DATOS_[[Check Equiparado]:[Check Equiparado]]="Sí",IF(DATOS!AX$5="Sí",(1/DATOS_[[% anualiz]:[% anualiz]]),1)*IF(DATOS!AX$4="Sí",1/DATOS_[[% normaliz]:[% normaliz]],1)*(DATOS_[Conc.Sal.20])))))))),
0)</f>
        <v>0</v>
      </c>
      <c r="AD101" s="196">
        <f t="array" ref="AD101">IFERROR(
(MEDIAN((IF(DATOS_[[Sexo]:[Sexo]]=$B101,IF(DATOS_[[AGRUP. VALOR. PTO.]:[AGRUP. VALOR. PTO.]]=$B99,IF(DATOS_[[Check Periodo Ref.]:[Check Periodo Ref.]]="Dentro",IF(DATOS_[[Check Equiparado]:[Check Equiparado]]="Sí",IF(DATOS!AY$5="Sí",(1/DATOS_[[% anualiz]:[% anualiz]]),1)*IF(DATOS!AY$4="Sí",1/DATOS_[[% normaliz]:[% normaliz]],1)*(DATOS_[Conc.Sal.21])))))))),
0)</f>
        <v>0</v>
      </c>
      <c r="AE101" s="196">
        <f t="array" ref="AE101">IFERROR(
(MEDIAN((IF(DATOS_[[Sexo]:[Sexo]]=$B101,IF(DATOS_[[AGRUP. VALOR. PTO.]:[AGRUP. VALOR. PTO.]]=$B99,IF(DATOS_[[Check Periodo Ref.]:[Check Periodo Ref.]]="Dentro",IF(DATOS_[[Check Equiparado]:[Check Equiparado]]="Sí",IF(DATOS!AZ$5="Sí",(1/DATOS_[[% anualiz]:[% anualiz]]),1)*IF(DATOS!AZ$4="Sí",1/DATOS_[[% normaliz]:[% normaliz]],1)*(DATOS_[Conc.Sal.22])))))))),
0)</f>
        <v>0</v>
      </c>
      <c r="AF101" s="196">
        <f t="array" ref="AF101">IFERROR(
(MEDIAN((IF(DATOS_[[Sexo]:[Sexo]]=$B101,IF(DATOS_[[AGRUP. VALOR. PTO.]:[AGRUP. VALOR. PTO.]]=$B99,IF(DATOS_[[Check Periodo Ref.]:[Check Periodo Ref.]]="Dentro",IF(DATOS_[[Check Equiparado]:[Check Equiparado]]="Sí",IF(DATOS!BA$5="Sí",(1/DATOS_[[% anualiz]:[% anualiz]]),1)*IF(DATOS!BA$4="Sí",1/DATOS_[[% normaliz]:[% normaliz]],1)*(DATOS_[Conc.Sal.23])))))))),
0)</f>
        <v>0</v>
      </c>
      <c r="AG101" s="196">
        <f t="array" ref="AG101">IFERROR(
(MEDIAN((IF(DATOS_[[Sexo]:[Sexo]]=$B101,IF(DATOS_[[AGRUP. VALOR. PTO.]:[AGRUP. VALOR. PTO.]]=$B99,IF(DATOS_[[Check Periodo Ref.]:[Check Periodo Ref.]]="Dentro",IF(DATOS_[[Check Equiparado]:[Check Equiparado]]="Sí",IF(DATOS!BB$5="Sí",(1/DATOS_[[% anualiz]:[% anualiz]]),1)*IF(DATOS!BB$4="Sí",1/DATOS_[[% normaliz]:[% normaliz]],1)*(DATOS_[Conc.Sal.24])))))))),
0)</f>
        <v>0</v>
      </c>
      <c r="AH101" s="196">
        <f t="array" ref="AH101">IFERROR(
(MEDIAN((IF(DATOS_[[Sexo]:[Sexo]]=$B101,IF(DATOS_[[AGRUP. VALOR. PTO.]:[AGRUP. VALOR. PTO.]]=$B99,IF(DATOS_[[Check Periodo Ref.]:[Check Periodo Ref.]]="Dentro",IF(DATOS_[[Check Equiparado]:[Check Equiparado]]="Sí",IF(DATOS!BC$5="Sí",(1/DATOS_[[% anualiz]:[% anualiz]]),1)*IF(DATOS!BC$4="Sí",1/DATOS_[[% normaliz]:[% normaliz]],1)*(DATOS_[Conc.Sal.25])))))))),
0)</f>
        <v>0</v>
      </c>
      <c r="AI101" s="196">
        <f t="array" ref="AI101">IFERROR(
(MEDIAN((IF(DATOS_[[Sexo]:[Sexo]]=$B101,IF(DATOS_[[AGRUP. VALOR. PTO.]:[AGRUP. VALOR. PTO.]]=$B99,IF(DATOS_[[Check Periodo Ref.]:[Check Periodo Ref.]]="Dentro",IF(DATOS_[[Check Equiparado]:[Check Equiparado]]="Sí",IF(DATOS!BD$5="Sí",(1/DATOS_[[% anualiz]:[% anualiz]]),1)*IF(DATOS!BD$4="Sí",1/DATOS_[[% normaliz]:[% normaliz]],1)*(DATOS_[Conc.Sal.26])))))))),
0)</f>
        <v>0</v>
      </c>
      <c r="AJ101" s="196">
        <f t="array" ref="AJ101">IFERROR(
(MEDIAN((IF(DATOS_[[Sexo]:[Sexo]]=$B101,IF(DATOS_[[AGRUP. VALOR. PTO.]:[AGRUP. VALOR. PTO.]]=$B99,IF(DATOS_[[Check Periodo Ref.]:[Check Periodo Ref.]]="Dentro",IF(DATOS_[[Check Equiparado]:[Check Equiparado]]="Sí",IF(DATOS!BE$5="Sí",(1/DATOS_[[% anualiz]:[% anualiz]]),1)*IF(DATOS!BE$4="Sí",1/DATOS_[[% normaliz]:[% normaliz]],1)*(DATOS_[Conc.Sal.27])))))))),
0)</f>
        <v>0</v>
      </c>
      <c r="AK101" s="196">
        <f t="array" ref="AK101">IFERROR(
(MEDIAN((IF(DATOS_[[Sexo]:[Sexo]]=$B101,IF(DATOS_[[AGRUP. VALOR. PTO.]:[AGRUP. VALOR. PTO.]]=$B99,IF(DATOS_[[Check Periodo Ref.]:[Check Periodo Ref.]]="Dentro",IF(DATOS_[[Check Equiparado]:[Check Equiparado]]="Sí",IF(DATOS!BF$5="Sí",(1/DATOS_[[% anualiz]:[% anualiz]]),1)*IF(DATOS!BF$4="Sí",1/DATOS_[[% normaliz]:[% normaliz]],1)*(DATOS_[Conc.Sal.28])))))))),
0)</f>
        <v>0</v>
      </c>
      <c r="AL101" s="196">
        <f t="array" ref="AL101">IFERROR(
(MEDIAN((IF(DATOS_[[Sexo]:[Sexo]]=$B101,IF(DATOS_[[AGRUP. VALOR. PTO.]:[AGRUP. VALOR. PTO.]]=$B99,IF(DATOS_[[Check Periodo Ref.]:[Check Periodo Ref.]]="Dentro",IF(DATOS_[[Check Equiparado]:[Check Equiparado]]="Sí",IF(DATOS!BG$5="Sí",(1/DATOS_[[% anualiz]:[% anualiz]]),1)*IF(DATOS!BG$4="Sí",1/DATOS_[[% normaliz]:[% normaliz]],1)*(DATOS_[Conc.Sal.29])))))))),
0)</f>
        <v>0</v>
      </c>
      <c r="AM101" s="196">
        <f t="array" ref="AM101">IFERROR(
(MEDIAN((IF(DATOS_[[Sexo]:[Sexo]]=$B101,IF(DATOS_[[AGRUP. VALOR. PTO.]:[AGRUP. VALOR. PTO.]]=$B99,IF(DATOS_[[Check Periodo Ref.]:[Check Periodo Ref.]]="Dentro",IF(DATOS_[[Check Equiparado]:[Check Equiparado]]="Sí",IF(DATOS!BH$5="Sí",(1/DATOS_[[% anualiz]:[% anualiz]]),1)*IF(DATOS!BH$4="Sí",1/DATOS_[[% normaliz]:[% normaliz]],1)*(DATOS_[Conc.Sal.30])))))))),
0)</f>
        <v>0</v>
      </c>
      <c r="AN101" s="195">
        <f t="array" ref="AN101">IFERROR(
MEDIAN(IF(DATOS_[Sexo]=$B101,IF(DATOS_[[AGRUP. VALOR. PTO.]:[AGRUP. VALOR. PTO.]]=$B99,IF(DATOS_[Check Equiparado]="Sí",IF(DATOS_[Check Periodo Ref.]="Dentro",DATOS_[Tot COMPL.SAL Eq],FALSE))))),
0)</f>
        <v>0</v>
      </c>
      <c r="AO101" s="172">
        <f t="array" ref="AO101">IFERROR(
MEDIAN(IF(DATOS_[Sexo]=$B101,IF(DATOS_[[AGRUP. VALOR. PTO.]:[AGRUP. VALOR. PTO.]]=$B99,IF(DATOS_[Check Equiparado]="Sí",IF(DATOS_[Check Periodo Ref.]="Dentro",DATOS_[TOTAL SALARIO Eq],FALSE))))),
0)</f>
        <v>0</v>
      </c>
      <c r="AP101" s="173">
        <f t="array" ref="AP101">IFERROR(
(MEDIAN((IF(DATOS_[[Sexo]:[Sexo]]=$B101,IF(DATOS_[[AGRUP. VALOR. PTO.]:[AGRUP. VALOR. PTO.]]=$B100,IF(DATOS_[[Check Periodo Ref.]:[Check Periodo Ref.]]="Dentro",IF(DATOS_[[Check Equiparado]:[Check Equiparado]]="Sí",IF(DATOS!BW$5="Sí",(1/DATOS_[[% anualiz]:[% anualiz]]),1)*IF(DATOS!BW$4="Sí",1/DATOS_[[% normaliz]:[% normaliz]],1)*(DATOS_[C.Extra.01])))))))),
0)</f>
        <v>0</v>
      </c>
      <c r="AQ101" s="173">
        <f t="array" ref="AQ101">IFERROR(
(MEDIAN((IF(DATOS_[[Sexo]:[Sexo]]=$B101,IF(DATOS_[[AGRUP. VALOR. PTO.]:[AGRUP. VALOR. PTO.]]=$B100,IF(DATOS_[[Check Periodo Ref.]:[Check Periodo Ref.]]="Dentro",IF(DATOS_[[Check Equiparado]:[Check Equiparado]]="Sí",IF(DATOS!CB$5="Sí",(1/DATOS_[[% anualiz]:[% anualiz]]),1)*IF(DATOS!CB$4="Sí",1/DATOS_[[% normaliz]:[% normaliz]],1)*(DATOS_[C.Extra.06])))))))),
0)</f>
        <v>0</v>
      </c>
      <c r="AR101" s="173">
        <f t="array" ref="AR101">IFERROR(
(MEDIAN((IF(DATOS_[[Sexo]:[Sexo]]=$B101,IF(DATOS_[[AGRUP. VALOR. PTO.]:[AGRUP. VALOR. PTO.]]=$B100,IF(DATOS_[[Check Periodo Ref.]:[Check Periodo Ref.]]="Dentro",IF(DATOS_[[Check Equiparado]:[Check Equiparado]]="Sí",IF(DATOS!CC$5="Sí",(1/DATOS_[[% anualiz]:[% anualiz]]),1)*IF(DATOS!CC$4="Sí",1/DATOS_[[% normaliz]:[% normaliz]],1)*(DATOS_[C.Extra.07])))))))),
0)</f>
        <v>0</v>
      </c>
      <c r="AS101" s="173">
        <f t="array" ref="AS101">IFERROR(
(MEDIAN((IF(DATOS_[[Sexo]:[Sexo]]=$B101,IF(DATOS_[[AGRUP. VALOR. PTO.]:[AGRUP. VALOR. PTO.]]=$B100,IF(DATOS_[[Check Periodo Ref.]:[Check Periodo Ref.]]="Dentro",IF(DATOS_[[Check Equiparado]:[Check Equiparado]]="Sí",IF(DATOS!CD$5="Sí",(1/DATOS_[[% anualiz]:[% anualiz]]),1)*IF(DATOS!CD$4="Sí",1/DATOS_[[% normaliz]:[% normaliz]],1)*(DATOS_[C.Extra.08])))))))),
0)</f>
        <v>0</v>
      </c>
      <c r="AT101" s="173">
        <f t="array" ref="AT101">IFERROR(
(MEDIAN((IF(DATOS_[[Sexo]:[Sexo]]=$B101,IF(DATOS_[[AGRUP. VALOR. PTO.]:[AGRUP. VALOR. PTO.]]=$B100,IF(DATOS_[[Check Periodo Ref.]:[Check Periodo Ref.]]="Dentro",IF(DATOS_[[Check Equiparado]:[Check Equiparado]]="Sí",IF(DATOS!CG$5="Sí",(1/DATOS_[[% anualiz]:[% anualiz]]),1)*IF(DATOS!CG$4="Sí",1/DATOS_[[% normaliz]:[% normaliz]],1)*(DATOS_[C.Extra.11])))))))),
0)</f>
        <v>0</v>
      </c>
      <c r="AU101" s="197">
        <f t="array" ref="AU101">IFERROR(
MEDIAN(IF(DATOS_[Sexo]=$B101,IF(DATOS_[[AGRUP. VALOR. PTO.]:[AGRUP. VALOR. PTO.]]=$B99,IF(DATOS_[Check Equiparado]="Sí",IF(DATOS_[Check Periodo Ref.]="Dentro",DATOS_[Tot Extrasalarial Eq],FALSE))))),
0)</f>
        <v>0</v>
      </c>
      <c r="AV101" s="175">
        <f t="array" ref="AV101">IFERROR(
MEDIAN(IF(DATOS_[Sexo]=$B101,IF(DATOS_[[AGRUP. VALOR. PTO.]:[AGRUP. VALOR. PTO.]]=$B99,IF(DATOS_[Check Equiparado]="Sí",IF(DATOS_[Check Periodo Ref.]="Dentro",DATOS_[TOTAL Retrib Eq],FALSE))))),
0)</f>
        <v>0</v>
      </c>
    </row>
    <row r="102" spans="1:48" ht="15.6" thickBot="1" x14ac:dyDescent="0.3">
      <c r="A102" s="133" t="str">
        <f t="shared" ref="A102" si="119">+A103</f>
        <v>[ocultar]</v>
      </c>
      <c r="B102" s="199" t="s">
        <v>290</v>
      </c>
      <c r="C102" s="200"/>
      <c r="D102" s="201"/>
      <c r="E102" s="201"/>
      <c r="F102" s="201"/>
      <c r="G102" s="201"/>
      <c r="H102" s="201"/>
      <c r="I102" s="189" t="str">
        <f t="shared" ref="I102:AV102" si="120">IFERROR((I103-I104)/I103,"")</f>
        <v/>
      </c>
      <c r="J102" s="190" t="str">
        <f t="shared" si="120"/>
        <v/>
      </c>
      <c r="K102" s="191" t="str">
        <f t="shared" si="120"/>
        <v/>
      </c>
      <c r="L102" s="191" t="str">
        <f t="shared" si="120"/>
        <v/>
      </c>
      <c r="M102" s="191" t="str">
        <f t="shared" si="120"/>
        <v/>
      </c>
      <c r="N102" s="192" t="str">
        <f t="shared" si="120"/>
        <v/>
      </c>
      <c r="O102" s="193" t="str">
        <f t="shared" si="120"/>
        <v/>
      </c>
      <c r="P102" s="193" t="str">
        <f t="shared" si="120"/>
        <v/>
      </c>
      <c r="Q102" s="193" t="str">
        <f t="shared" si="120"/>
        <v/>
      </c>
      <c r="R102" s="193" t="str">
        <f t="shared" si="120"/>
        <v/>
      </c>
      <c r="S102" s="193" t="str">
        <f t="shared" si="120"/>
        <v/>
      </c>
      <c r="T102" s="193" t="str">
        <f t="shared" si="120"/>
        <v/>
      </c>
      <c r="U102" s="193" t="str">
        <f t="shared" si="120"/>
        <v/>
      </c>
      <c r="V102" s="193" t="str">
        <f t="shared" si="120"/>
        <v/>
      </c>
      <c r="W102" s="193" t="str">
        <f t="shared" si="120"/>
        <v/>
      </c>
      <c r="X102" s="193" t="str">
        <f t="shared" si="120"/>
        <v/>
      </c>
      <c r="Y102" s="193" t="str">
        <f t="shared" si="120"/>
        <v/>
      </c>
      <c r="Z102" s="193" t="str">
        <f t="shared" si="120"/>
        <v/>
      </c>
      <c r="AA102" s="193" t="str">
        <f t="shared" si="120"/>
        <v/>
      </c>
      <c r="AB102" s="193" t="str">
        <f t="shared" si="120"/>
        <v/>
      </c>
      <c r="AC102" s="193" t="str">
        <f t="shared" si="120"/>
        <v/>
      </c>
      <c r="AD102" s="193" t="str">
        <f t="shared" si="120"/>
        <v/>
      </c>
      <c r="AE102" s="193" t="str">
        <f t="shared" si="120"/>
        <v/>
      </c>
      <c r="AF102" s="193" t="str">
        <f t="shared" si="120"/>
        <v/>
      </c>
      <c r="AG102" s="193" t="str">
        <f t="shared" si="120"/>
        <v/>
      </c>
      <c r="AH102" s="193" t="str">
        <f t="shared" si="120"/>
        <v/>
      </c>
      <c r="AI102" s="193" t="str">
        <f t="shared" si="120"/>
        <v/>
      </c>
      <c r="AJ102" s="193" t="str">
        <f t="shared" si="120"/>
        <v/>
      </c>
      <c r="AK102" s="193" t="str">
        <f t="shared" si="120"/>
        <v/>
      </c>
      <c r="AL102" s="193" t="str">
        <f t="shared" si="120"/>
        <v/>
      </c>
      <c r="AM102" s="193" t="str">
        <f t="shared" si="120"/>
        <v/>
      </c>
      <c r="AN102" s="189" t="str">
        <f t="shared" si="120"/>
        <v/>
      </c>
      <c r="AO102" s="162" t="str">
        <f t="shared" si="120"/>
        <v/>
      </c>
      <c r="AP102" s="163" t="str">
        <f t="shared" si="120"/>
        <v/>
      </c>
      <c r="AQ102" s="163" t="str">
        <f t="shared" si="120"/>
        <v/>
      </c>
      <c r="AR102" s="163" t="str">
        <f t="shared" si="120"/>
        <v/>
      </c>
      <c r="AS102" s="163" t="str">
        <f t="shared" si="120"/>
        <v/>
      </c>
      <c r="AT102" s="163" t="str">
        <f t="shared" si="120"/>
        <v/>
      </c>
      <c r="AU102" s="194" t="str">
        <f t="shared" si="120"/>
        <v/>
      </c>
      <c r="AV102" s="165" t="str">
        <f t="shared" si="120"/>
        <v/>
      </c>
    </row>
    <row r="103" spans="1:48" x14ac:dyDescent="0.25">
      <c r="A103" s="133" t="str">
        <f t="shared" ref="A103" si="121">+IF(C103+C104=0,"[ocultar]","")</f>
        <v>[ocultar]</v>
      </c>
      <c r="B103" s="202" t="s">
        <v>394</v>
      </c>
      <c r="C103" s="203">
        <f t="array" ref="C103">SUM(IF($B103=DATOS_[Sexo],
IF($B102=DATOS_[AGRUP. VALOR. PTO.],
IF("Dentro"=DATOS_[Check Periodo Ref.],
1/(COUNTIFS(DATOS_[Sexo],$B103,DATOS_[AGRUP. VALOR. PTO.],$B102,DATOS_[Check Periodo Ref.],"Dentro",DATOS_[id/cod],DATOS_[id/cod]))))))</f>
        <v>0</v>
      </c>
      <c r="D103" s="204">
        <f>COUNTIFS(DATOS_[AGRUP. VALOR. PTO.],$B102,DATOS_[Sexo],$B103,DATOS_[Check Periodo Ref.],"Dentro")</f>
        <v>0</v>
      </c>
      <c r="E103" s="204">
        <f>COUNTIFS(DATOS_[AGRUP. VALOR. PTO.],$B102,DATOS_[Sexo],$B103,DATOS_[Check Periodo Ref.],"Dentro",DATOS_[Check Nº SC Norm],"Sí")</f>
        <v>0</v>
      </c>
      <c r="F103" s="204">
        <f>COUNTIFS(DATOS_[AGRUP. VALOR. PTO.],$B102,DATOS_[Sexo],$B103,DATOS_[Check Periodo Ref.],"Dentro",DATOS_[Check Nº SC Anualiz],"Sí")</f>
        <v>0</v>
      </c>
      <c r="G103" s="204">
        <f>COUNTIFS(DATOS_[AGRUP. VALOR. PTO.],$B102,DATOS_[Sexo],$B103,DATOS_[Check Periodo Ref.],"Dentro",DATOS_[Check Nº SC Norm y Anualiz],"Sí")</f>
        <v>0</v>
      </c>
      <c r="H103" s="204">
        <f>COUNTIFS(DATOS_[AGRUP. VALOR. PTO.],$B102,DATOS_[Sexo],$B103,DATOS_[Check Periodo Ref.],"Dentro",DATOS_[Check Equiparación],"Sí")</f>
        <v>0</v>
      </c>
      <c r="I103" s="195">
        <f t="array" ref="I103">IFERROR(
MEDIAN(IF(DATOS_[Sexo]=$B103,IF(DATOS_[[AGRUP. VALOR. PTO.]:[AGRUP. VALOR. PTO.]]=$B102,IF(DATOS_[Check Equiparado]="Sí",IF(DATOS_[Check Periodo Ref.]="Dentro",DATOS_[SALARIO BASE Eq],FALSE))))),
0)</f>
        <v>0</v>
      </c>
      <c r="J103" s="196">
        <f t="array" ref="J103">IFERROR(
(MEDIAN((IF(DATOS_[[Sexo]:[Sexo]]=$B103,IF(DATOS_[[AGRUP. VALOR. PTO.]:[AGRUP. VALOR. PTO.]]=$B102,IF(DATOS_[[Check Periodo Ref.]:[Check Periodo Ref.]]="Dentro",IF(DATOS_[[Check Equiparado]:[Check Equiparado]]="Sí",IF(DATOS!AE$5="Sí",(1/DATOS_[[% anualiz]:[% anualiz]]),1)*IF(DATOS!AE$4="Sí",1/DATOS_[[% normaliz]:[% normaliz]],1)*(DATOS_[Conc.Sal.01])))))))),
0)</f>
        <v>0</v>
      </c>
      <c r="K103" s="196">
        <f t="array" ref="K103">IFERROR(
(MEDIAN((IF(DATOS_[[Sexo]:[Sexo]]=$B103,IF(DATOS_[[AGRUP. VALOR. PTO.]:[AGRUP. VALOR. PTO.]]=$B102,IF(DATOS_[[Check Periodo Ref.]:[Check Periodo Ref.]]="Dentro",IF(DATOS_[[Check Equiparado]:[Check Equiparado]]="Sí",IF(DATOS!AF$5="Sí",(1/DATOS_[[% anualiz]:[% anualiz]]),1)*IF(DATOS!AF$4="Sí",1/DATOS_[[% normaliz]:[% normaliz]],1)*(DATOS_[Conc.Sal.02])))))))),
0)</f>
        <v>0</v>
      </c>
      <c r="L103" s="196">
        <f t="array" ref="L103">IFERROR(
(MEDIAN((IF(DATOS_[[Sexo]:[Sexo]]=$B103,IF(DATOS_[[AGRUP. VALOR. PTO.]:[AGRUP. VALOR. PTO.]]=$B102,IF(DATOS_[[Check Periodo Ref.]:[Check Periodo Ref.]]="Dentro",IF(DATOS_[[Check Equiparado]:[Check Equiparado]]="Sí",IF(DATOS!AG$5="Sí",(1/DATOS_[[% anualiz]:[% anualiz]]),1)*IF(DATOS!AG$4="Sí",1/DATOS_[[% normaliz]:[% normaliz]],1)*(DATOS_[Conc.Sal.03])))))))),
0)</f>
        <v>0</v>
      </c>
      <c r="M103" s="196">
        <f t="array" ref="M103">IFERROR(
(MEDIAN((IF(DATOS_[[Sexo]:[Sexo]]=$B103,IF(DATOS_[[AGRUP. VALOR. PTO.]:[AGRUP. VALOR. PTO.]]=$B102,IF(DATOS_[[Check Periodo Ref.]:[Check Periodo Ref.]]="Dentro",IF(DATOS_[[Check Equiparado]:[Check Equiparado]]="Sí",IF(DATOS!AH$5="Sí",(1/DATOS_[[% anualiz]:[% anualiz]]),1)*IF(DATOS!AH$4="Sí",1/DATOS_[[% normaliz]:[% normaliz]],1)*(DATOS_[Conc.Sal.04])))))))),
0)</f>
        <v>0</v>
      </c>
      <c r="N103" s="196">
        <f t="array" ref="N103">IFERROR(
(MEDIAN((IF(DATOS_[[Sexo]:[Sexo]]=$B103,IF(DATOS_[[AGRUP. VALOR. PTO.]:[AGRUP. VALOR. PTO.]]=$B102,IF(DATOS_[[Check Periodo Ref.]:[Check Periodo Ref.]]="Dentro",IF(DATOS_[[Check Equiparado]:[Check Equiparado]]="Sí",IF(DATOS!AI$5="Sí",(1/DATOS_[[% anualiz]:[% anualiz]]),1)*IF(DATOS!AI$4="Sí",1/DATOS_[[% normaliz]:[% normaliz]],1)*(DATOS_[Conc.Sal.05])))))))),
0)</f>
        <v>0</v>
      </c>
      <c r="O103" s="196">
        <f t="array" ref="O103">IFERROR(
(MEDIAN((IF(DATOS_[[Sexo]:[Sexo]]=$B103,IF(DATOS_[[AGRUP. VALOR. PTO.]:[AGRUP. VALOR. PTO.]]=$B102,IF(DATOS_[[Check Periodo Ref.]:[Check Periodo Ref.]]="Dentro",IF(DATOS_[[Check Equiparado]:[Check Equiparado]]="Sí",IF(DATOS!AJ$5="Sí",(1/DATOS_[[% anualiz]:[% anualiz]]),1)*IF(DATOS!AJ$4="Sí",1/DATOS_[[% normaliz]:[% normaliz]],1)*(DATOS_[Conc.Sal.06])))))))),
0)</f>
        <v>0</v>
      </c>
      <c r="P103" s="196">
        <f t="array" ref="P103">IFERROR(
(MEDIAN((IF(DATOS_[[Sexo]:[Sexo]]=$B103,IF(DATOS_[[AGRUP. VALOR. PTO.]:[AGRUP. VALOR. PTO.]]=$B102,IF(DATOS_[[Check Periodo Ref.]:[Check Periodo Ref.]]="Dentro",IF(DATOS_[[Check Equiparado]:[Check Equiparado]]="Sí",IF(DATOS!AK$5="Sí",(1/DATOS_[[% anualiz]:[% anualiz]]),1)*IF(DATOS!AK$4="Sí",1/DATOS_[[% normaliz]:[% normaliz]],1)*(DATOS_[Conc.Sal.07])))))))),
0)</f>
        <v>0</v>
      </c>
      <c r="Q103" s="196">
        <f t="array" ref="Q103">IFERROR(
(MEDIAN((IF(DATOS_[[Sexo]:[Sexo]]=$B103,IF(DATOS_[[AGRUP. VALOR. PTO.]:[AGRUP. VALOR. PTO.]]=$B102,IF(DATOS_[[Check Periodo Ref.]:[Check Periodo Ref.]]="Dentro",IF(DATOS_[[Check Equiparado]:[Check Equiparado]]="Sí",IF(DATOS!AL$5="Sí",(1/DATOS_[[% anualiz]:[% anualiz]]),1)*IF(DATOS!AL$4="Sí",1/DATOS_[[% normaliz]:[% normaliz]],1)*(DATOS_[Conc.Sal.08])))))))),
0)</f>
        <v>0</v>
      </c>
      <c r="R103" s="196">
        <f t="array" ref="R103">IFERROR(
(MEDIAN((IF(DATOS_[[Sexo]:[Sexo]]=$B103,IF(DATOS_[[AGRUP. VALOR. PTO.]:[AGRUP. VALOR. PTO.]]=$B102,IF(DATOS_[[Check Periodo Ref.]:[Check Periodo Ref.]]="Dentro",IF(DATOS_[[Check Equiparado]:[Check Equiparado]]="Sí",IF(DATOS!AM$5="Sí",(1/DATOS_[[% anualiz]:[% anualiz]]),1)*IF(DATOS!AM$4="Sí",1/DATOS_[[% normaliz]:[% normaliz]],1)*(DATOS_[Conc.Sal.09])))))))),
0)</f>
        <v>0</v>
      </c>
      <c r="S103" s="196">
        <f t="array" ref="S103">IFERROR(
(MEDIAN((IF(DATOS_[[Sexo]:[Sexo]]=$B103,IF(DATOS_[[AGRUP. VALOR. PTO.]:[AGRUP. VALOR. PTO.]]=$B102,IF(DATOS_[[Check Periodo Ref.]:[Check Periodo Ref.]]="Dentro",IF(DATOS_[[Check Equiparado]:[Check Equiparado]]="Sí",IF(DATOS!AN$5="Sí",(1/DATOS_[[% anualiz]:[% anualiz]]),1)*IF(DATOS!AN$4="Sí",1/DATOS_[[% normaliz]:[% normaliz]],1)*(DATOS_[Conc.Sal.10])))))))),
0)</f>
        <v>0</v>
      </c>
      <c r="T103" s="196">
        <f t="array" ref="T103">IFERROR(
(MEDIAN((IF(DATOS_[[Sexo]:[Sexo]]=$B103,IF(DATOS_[[AGRUP. VALOR. PTO.]:[AGRUP. VALOR. PTO.]]=$B102,IF(DATOS_[[Check Periodo Ref.]:[Check Periodo Ref.]]="Dentro",IF(DATOS_[[Check Equiparado]:[Check Equiparado]]="Sí",IF(DATOS!AO$5="Sí",(1/DATOS_[[% anualiz]:[% anualiz]]),1)*IF(DATOS!AO$4="Sí",1/DATOS_[[% normaliz]:[% normaliz]],1)*(DATOS_[Conc.Sal.11])))))))),
0)</f>
        <v>0</v>
      </c>
      <c r="U103" s="196">
        <f t="array" ref="U103">IFERROR(
(MEDIAN((IF(DATOS_[[Sexo]:[Sexo]]=$B103,IF(DATOS_[[AGRUP. VALOR. PTO.]:[AGRUP. VALOR. PTO.]]=$B102,IF(DATOS_[[Check Periodo Ref.]:[Check Periodo Ref.]]="Dentro",IF(DATOS_[[Check Equiparado]:[Check Equiparado]]="Sí",IF(DATOS!AP$5="Sí",(1/DATOS_[[% anualiz]:[% anualiz]]),1)*IF(DATOS!AP$4="Sí",1/DATOS_[[% normaliz]:[% normaliz]],1)*(DATOS_[Conc.Sal.12])))))))),
0)</f>
        <v>0</v>
      </c>
      <c r="V103" s="196">
        <f t="array" ref="V103">IFERROR(
(MEDIAN((IF(DATOS_[[Sexo]:[Sexo]]=$B103,IF(DATOS_[[AGRUP. VALOR. PTO.]:[AGRUP. VALOR. PTO.]]=$B102,IF(DATOS_[[Check Periodo Ref.]:[Check Periodo Ref.]]="Dentro",IF(DATOS_[[Check Equiparado]:[Check Equiparado]]="Sí",IF(DATOS!AQ$5="Sí",(1/DATOS_[[% anualiz]:[% anualiz]]),1)*IF(DATOS!AQ$4="Sí",1/DATOS_[[% normaliz]:[% normaliz]],1)*(DATOS_[Conc.Sal.13])))))))),
0)</f>
        <v>0</v>
      </c>
      <c r="W103" s="196">
        <f t="array" ref="W103">IFERROR(
(MEDIAN((IF(DATOS_[[Sexo]:[Sexo]]=$B103,IF(DATOS_[[AGRUP. VALOR. PTO.]:[AGRUP. VALOR. PTO.]]=$B102,IF(DATOS_[[Check Periodo Ref.]:[Check Periodo Ref.]]="Dentro",IF(DATOS_[[Check Equiparado]:[Check Equiparado]]="Sí",IF(DATOS!AR$5="Sí",(1/DATOS_[[% anualiz]:[% anualiz]]),1)*IF(DATOS!AR$4="Sí",1/DATOS_[[% normaliz]:[% normaliz]],1)*(DATOS_[Conc.Sal.14])))))))),
0)</f>
        <v>0</v>
      </c>
      <c r="X103" s="196">
        <f t="array" ref="X103">IFERROR(
(MEDIAN((IF(DATOS_[[Sexo]:[Sexo]]=$B103,IF(DATOS_[[AGRUP. VALOR. PTO.]:[AGRUP. VALOR. PTO.]]=$B102,IF(DATOS_[[Check Periodo Ref.]:[Check Periodo Ref.]]="Dentro",IF(DATOS_[[Check Equiparado]:[Check Equiparado]]="Sí",IF(DATOS!AS$5="Sí",(1/DATOS_[[% anualiz]:[% anualiz]]),1)*IF(DATOS!AS$4="Sí",1/DATOS_[[% normaliz]:[% normaliz]],1)*(DATOS_[Conc.Sal.15])))))))),
0)</f>
        <v>0</v>
      </c>
      <c r="Y103" s="196">
        <f t="array" ref="Y103">IFERROR(
(MEDIAN((IF(DATOS_[[Sexo]:[Sexo]]=$B103,IF(DATOS_[[AGRUP. VALOR. PTO.]:[AGRUP. VALOR. PTO.]]=$B102,IF(DATOS_[[Check Periodo Ref.]:[Check Periodo Ref.]]="Dentro",IF(DATOS_[[Check Equiparado]:[Check Equiparado]]="Sí",IF(DATOS!AT$5="Sí",(1/DATOS_[[% anualiz]:[% anualiz]]),1)*IF(DATOS!AT$4="Sí",1/DATOS_[[% normaliz]:[% normaliz]],1)*(DATOS_[Conc.Sal.16])))))))),
0)</f>
        <v>0</v>
      </c>
      <c r="Z103" s="196">
        <f t="array" ref="Z103">IFERROR(
(MEDIAN((IF(DATOS_[[Sexo]:[Sexo]]=$B103,IF(DATOS_[[AGRUP. VALOR. PTO.]:[AGRUP. VALOR. PTO.]]=$B102,IF(DATOS_[[Check Periodo Ref.]:[Check Periodo Ref.]]="Dentro",IF(DATOS_[[Check Equiparado]:[Check Equiparado]]="Sí",IF(DATOS!AU$5="Sí",(1/DATOS_[[% anualiz]:[% anualiz]]),1)*IF(DATOS!AU$4="Sí",1/DATOS_[[% normaliz]:[% normaliz]],1)*(DATOS_[Conc.Sal.17])))))))),
0)</f>
        <v>0</v>
      </c>
      <c r="AA103" s="196">
        <f t="array" ref="AA103">IFERROR(
(MEDIAN((IF(DATOS_[[Sexo]:[Sexo]]=$B103,IF(DATOS_[[AGRUP. VALOR. PTO.]:[AGRUP. VALOR. PTO.]]=$B102,IF(DATOS_[[Check Periodo Ref.]:[Check Periodo Ref.]]="Dentro",IF(DATOS_[[Check Equiparado]:[Check Equiparado]]="Sí",IF(DATOS!AV$5="Sí",(1/DATOS_[[% anualiz]:[% anualiz]]),1)*IF(DATOS!AV$4="Sí",1/DATOS_[[% normaliz]:[% normaliz]],1)*(DATOS_[Conc.Sal.18])))))))),
0)</f>
        <v>0</v>
      </c>
      <c r="AB103" s="196">
        <f t="array" ref="AB103">IFERROR(
(MEDIAN((IF(DATOS_[[Sexo]:[Sexo]]=$B103,IF(DATOS_[[AGRUP. VALOR. PTO.]:[AGRUP. VALOR. PTO.]]=$B102,IF(DATOS_[[Check Periodo Ref.]:[Check Periodo Ref.]]="Dentro",IF(DATOS_[[Check Equiparado]:[Check Equiparado]]="Sí",IF(DATOS!AW$5="Sí",(1/DATOS_[[% anualiz]:[% anualiz]]),1)*IF(DATOS!AW$4="Sí",1/DATOS_[[% normaliz]:[% normaliz]],1)*(DATOS_[Conc.Sal.19])))))))),
0)</f>
        <v>0</v>
      </c>
      <c r="AC103" s="196">
        <f t="array" ref="AC103">IFERROR(
(MEDIAN((IF(DATOS_[[Sexo]:[Sexo]]=$B103,IF(DATOS_[[AGRUP. VALOR. PTO.]:[AGRUP. VALOR. PTO.]]=$B102,IF(DATOS_[[Check Periodo Ref.]:[Check Periodo Ref.]]="Dentro",IF(DATOS_[[Check Equiparado]:[Check Equiparado]]="Sí",IF(DATOS!AX$5="Sí",(1/DATOS_[[% anualiz]:[% anualiz]]),1)*IF(DATOS!AX$4="Sí",1/DATOS_[[% normaliz]:[% normaliz]],1)*(DATOS_[Conc.Sal.20])))))))),
0)</f>
        <v>0</v>
      </c>
      <c r="AD103" s="196">
        <f t="array" ref="AD103">IFERROR(
(MEDIAN((IF(DATOS_[[Sexo]:[Sexo]]=$B103,IF(DATOS_[[AGRUP. VALOR. PTO.]:[AGRUP. VALOR. PTO.]]=$B102,IF(DATOS_[[Check Periodo Ref.]:[Check Periodo Ref.]]="Dentro",IF(DATOS_[[Check Equiparado]:[Check Equiparado]]="Sí",IF(DATOS!AY$5="Sí",(1/DATOS_[[% anualiz]:[% anualiz]]),1)*IF(DATOS!AY$4="Sí",1/DATOS_[[% normaliz]:[% normaliz]],1)*(DATOS_[Conc.Sal.21])))))))),
0)</f>
        <v>0</v>
      </c>
      <c r="AE103" s="196">
        <f t="array" ref="AE103">IFERROR(
(MEDIAN((IF(DATOS_[[Sexo]:[Sexo]]=$B103,IF(DATOS_[[AGRUP. VALOR. PTO.]:[AGRUP. VALOR. PTO.]]=$B102,IF(DATOS_[[Check Periodo Ref.]:[Check Periodo Ref.]]="Dentro",IF(DATOS_[[Check Equiparado]:[Check Equiparado]]="Sí",IF(DATOS!AZ$5="Sí",(1/DATOS_[[% anualiz]:[% anualiz]]),1)*IF(DATOS!AZ$4="Sí",1/DATOS_[[% normaliz]:[% normaliz]],1)*(DATOS_[Conc.Sal.22])))))))),
0)</f>
        <v>0</v>
      </c>
      <c r="AF103" s="196">
        <f t="array" ref="AF103">IFERROR(
(MEDIAN((IF(DATOS_[[Sexo]:[Sexo]]=$B103,IF(DATOS_[[AGRUP. VALOR. PTO.]:[AGRUP. VALOR. PTO.]]=$B102,IF(DATOS_[[Check Periodo Ref.]:[Check Periodo Ref.]]="Dentro",IF(DATOS_[[Check Equiparado]:[Check Equiparado]]="Sí",IF(DATOS!BA$5="Sí",(1/DATOS_[[% anualiz]:[% anualiz]]),1)*IF(DATOS!BA$4="Sí",1/DATOS_[[% normaliz]:[% normaliz]],1)*(DATOS_[Conc.Sal.23])))))))),
0)</f>
        <v>0</v>
      </c>
      <c r="AG103" s="196">
        <f t="array" ref="AG103">IFERROR(
(MEDIAN((IF(DATOS_[[Sexo]:[Sexo]]=$B103,IF(DATOS_[[AGRUP. VALOR. PTO.]:[AGRUP. VALOR. PTO.]]=$B102,IF(DATOS_[[Check Periodo Ref.]:[Check Periodo Ref.]]="Dentro",IF(DATOS_[[Check Equiparado]:[Check Equiparado]]="Sí",IF(DATOS!BB$5="Sí",(1/DATOS_[[% anualiz]:[% anualiz]]),1)*IF(DATOS!BB$4="Sí",1/DATOS_[[% normaliz]:[% normaliz]],1)*(DATOS_[Conc.Sal.24])))))))),
0)</f>
        <v>0</v>
      </c>
      <c r="AH103" s="196">
        <f t="array" ref="AH103">IFERROR(
(MEDIAN((IF(DATOS_[[Sexo]:[Sexo]]=$B103,IF(DATOS_[[AGRUP. VALOR. PTO.]:[AGRUP. VALOR. PTO.]]=$B102,IF(DATOS_[[Check Periodo Ref.]:[Check Periodo Ref.]]="Dentro",IF(DATOS_[[Check Equiparado]:[Check Equiparado]]="Sí",IF(DATOS!BC$5="Sí",(1/DATOS_[[% anualiz]:[% anualiz]]),1)*IF(DATOS!BC$4="Sí",1/DATOS_[[% normaliz]:[% normaliz]],1)*(DATOS_[Conc.Sal.25])))))))),
0)</f>
        <v>0</v>
      </c>
      <c r="AI103" s="196">
        <f t="array" ref="AI103">IFERROR(
(MEDIAN((IF(DATOS_[[Sexo]:[Sexo]]=$B103,IF(DATOS_[[AGRUP. VALOR. PTO.]:[AGRUP. VALOR. PTO.]]=$B102,IF(DATOS_[[Check Periodo Ref.]:[Check Periodo Ref.]]="Dentro",IF(DATOS_[[Check Equiparado]:[Check Equiparado]]="Sí",IF(DATOS!BD$5="Sí",(1/DATOS_[[% anualiz]:[% anualiz]]),1)*IF(DATOS!BD$4="Sí",1/DATOS_[[% normaliz]:[% normaliz]],1)*(DATOS_[Conc.Sal.26])))))))),
0)</f>
        <v>0</v>
      </c>
      <c r="AJ103" s="196">
        <f t="array" ref="AJ103">IFERROR(
(MEDIAN((IF(DATOS_[[Sexo]:[Sexo]]=$B103,IF(DATOS_[[AGRUP. VALOR. PTO.]:[AGRUP. VALOR. PTO.]]=$B102,IF(DATOS_[[Check Periodo Ref.]:[Check Periodo Ref.]]="Dentro",IF(DATOS_[[Check Equiparado]:[Check Equiparado]]="Sí",IF(DATOS!BE$5="Sí",(1/DATOS_[[% anualiz]:[% anualiz]]),1)*IF(DATOS!BE$4="Sí",1/DATOS_[[% normaliz]:[% normaliz]],1)*(DATOS_[Conc.Sal.27])))))))),
0)</f>
        <v>0</v>
      </c>
      <c r="AK103" s="196">
        <f t="array" ref="AK103">IFERROR(
(MEDIAN((IF(DATOS_[[Sexo]:[Sexo]]=$B103,IF(DATOS_[[AGRUP. VALOR. PTO.]:[AGRUP. VALOR. PTO.]]=$B102,IF(DATOS_[[Check Periodo Ref.]:[Check Periodo Ref.]]="Dentro",IF(DATOS_[[Check Equiparado]:[Check Equiparado]]="Sí",IF(DATOS!BF$5="Sí",(1/DATOS_[[% anualiz]:[% anualiz]]),1)*IF(DATOS!BF$4="Sí",1/DATOS_[[% normaliz]:[% normaliz]],1)*(DATOS_[Conc.Sal.28])))))))),
0)</f>
        <v>0</v>
      </c>
      <c r="AL103" s="196">
        <f t="array" ref="AL103">IFERROR(
(MEDIAN((IF(DATOS_[[Sexo]:[Sexo]]=$B103,IF(DATOS_[[AGRUP. VALOR. PTO.]:[AGRUP. VALOR. PTO.]]=$B102,IF(DATOS_[[Check Periodo Ref.]:[Check Periodo Ref.]]="Dentro",IF(DATOS_[[Check Equiparado]:[Check Equiparado]]="Sí",IF(DATOS!BG$5="Sí",(1/DATOS_[[% anualiz]:[% anualiz]]),1)*IF(DATOS!BG$4="Sí",1/DATOS_[[% normaliz]:[% normaliz]],1)*(DATOS_[Conc.Sal.29])))))))),
0)</f>
        <v>0</v>
      </c>
      <c r="AM103" s="196">
        <f t="array" ref="AM103">IFERROR(
(MEDIAN((IF(DATOS_[[Sexo]:[Sexo]]=$B103,IF(DATOS_[[AGRUP. VALOR. PTO.]:[AGRUP. VALOR. PTO.]]=$B102,IF(DATOS_[[Check Periodo Ref.]:[Check Periodo Ref.]]="Dentro",IF(DATOS_[[Check Equiparado]:[Check Equiparado]]="Sí",IF(DATOS!BH$5="Sí",(1/DATOS_[[% anualiz]:[% anualiz]]),1)*IF(DATOS!BH$4="Sí",1/DATOS_[[% normaliz]:[% normaliz]],1)*(DATOS_[Conc.Sal.30])))))))),
0)</f>
        <v>0</v>
      </c>
      <c r="AN103" s="195">
        <f t="array" ref="AN103">IFERROR(
MEDIAN(IF(DATOS_[Sexo]=$B103,IF(DATOS_[[AGRUP. VALOR. PTO.]:[AGRUP. VALOR. PTO.]]=$B102,IF(DATOS_[Check Equiparado]="Sí",IF(DATOS_[Check Periodo Ref.]="Dentro",DATOS_[Tot COMPL.SAL Eq],FALSE))))),
0)</f>
        <v>0</v>
      </c>
      <c r="AO103" s="172">
        <f t="array" ref="AO103">IFERROR(
MEDIAN(IF(DATOS_[Sexo]=$B103,IF(DATOS_[[AGRUP. VALOR. PTO.]:[AGRUP. VALOR. PTO.]]=$B102,IF(DATOS_[Check Equiparado]="Sí",IF(DATOS_[Check Periodo Ref.]="Dentro",DATOS_[TOTAL SALARIO Eq],FALSE))))),
0)</f>
        <v>0</v>
      </c>
      <c r="AP103" s="173">
        <f t="array" ref="AP103">IFERROR(
(MEDIAN((IF(DATOS_[[Sexo]:[Sexo]]=$B103,IF(DATOS_[[AGRUP. VALOR. PTO.]:[AGRUP. VALOR. PTO.]]=$B102,IF(DATOS_[[Check Periodo Ref.]:[Check Periodo Ref.]]="Dentro",IF(DATOS_[[Check Equiparado]:[Check Equiparado]]="Sí",IF(DATOS!BW$5="Sí",(1/DATOS_[[% anualiz]:[% anualiz]]),1)*IF(DATOS!BW$4="Sí",1/DATOS_[[% normaliz]:[% normaliz]],1)*(DATOS_[C.Extra.01])))))))),
0)</f>
        <v>0</v>
      </c>
      <c r="AQ103" s="173">
        <f t="array" ref="AQ103">IFERROR(
(MEDIAN((IF(DATOS_[[Sexo]:[Sexo]]=$B103,IF(DATOS_[[AGRUP. VALOR. PTO.]:[AGRUP. VALOR. PTO.]]=$B102,IF(DATOS_[[Check Periodo Ref.]:[Check Periodo Ref.]]="Dentro",IF(DATOS_[[Check Equiparado]:[Check Equiparado]]="Sí",IF(DATOS!CB$5="Sí",(1/DATOS_[[% anualiz]:[% anualiz]]),1)*IF(DATOS!CB$4="Sí",1/DATOS_[[% normaliz]:[% normaliz]],1)*(DATOS_[C.Extra.06])))))))),
0)</f>
        <v>0</v>
      </c>
      <c r="AR103" s="173">
        <f t="array" ref="AR103">IFERROR(
(MEDIAN((IF(DATOS_[[Sexo]:[Sexo]]=$B103,IF(DATOS_[[AGRUP. VALOR. PTO.]:[AGRUP. VALOR. PTO.]]=$B102,IF(DATOS_[[Check Periodo Ref.]:[Check Periodo Ref.]]="Dentro",IF(DATOS_[[Check Equiparado]:[Check Equiparado]]="Sí",IF(DATOS!CC$5="Sí",(1/DATOS_[[% anualiz]:[% anualiz]]),1)*IF(DATOS!CC$4="Sí",1/DATOS_[[% normaliz]:[% normaliz]],1)*(DATOS_[C.Extra.07])))))))),
0)</f>
        <v>0</v>
      </c>
      <c r="AS103" s="173">
        <f t="array" ref="AS103">IFERROR(
(MEDIAN((IF(DATOS_[[Sexo]:[Sexo]]=$B103,IF(DATOS_[[AGRUP. VALOR. PTO.]:[AGRUP. VALOR. PTO.]]=$B102,IF(DATOS_[[Check Periodo Ref.]:[Check Periodo Ref.]]="Dentro",IF(DATOS_[[Check Equiparado]:[Check Equiparado]]="Sí",IF(DATOS!CD$5="Sí",(1/DATOS_[[% anualiz]:[% anualiz]]),1)*IF(DATOS!CD$4="Sí",1/DATOS_[[% normaliz]:[% normaliz]],1)*(DATOS_[C.Extra.08])))))))),
0)</f>
        <v>0</v>
      </c>
      <c r="AT103" s="173">
        <f t="array" ref="AT103">IFERROR(
(MEDIAN((IF(DATOS_[[Sexo]:[Sexo]]=$B103,IF(DATOS_[[AGRUP. VALOR. PTO.]:[AGRUP. VALOR. PTO.]]=$B102,IF(DATOS_[[Check Periodo Ref.]:[Check Periodo Ref.]]="Dentro",IF(DATOS_[[Check Equiparado]:[Check Equiparado]]="Sí",IF(DATOS!CG$5="Sí",(1/DATOS_[[% anualiz]:[% anualiz]]),1)*IF(DATOS!CG$4="Sí",1/DATOS_[[% normaliz]:[% normaliz]],1)*(DATOS_[C.Extra.11])))))))),
0)</f>
        <v>0</v>
      </c>
      <c r="AU103" s="197">
        <f t="array" ref="AU103">IFERROR(
MEDIAN(IF(DATOS_[Sexo]=$B103,IF(DATOS_[[AGRUP. VALOR. PTO.]:[AGRUP. VALOR. PTO.]]=$B102,IF(DATOS_[Check Equiparado]="Sí",IF(DATOS_[Check Periodo Ref.]="Dentro",DATOS_[Tot Extrasalarial Eq],FALSE))))),
0)</f>
        <v>0</v>
      </c>
      <c r="AV103" s="175">
        <f t="array" ref="AV103">IFERROR(
MEDIAN(IF(DATOS_[Sexo]=$B103,IF(DATOS_[[AGRUP. VALOR. PTO.]:[AGRUP. VALOR. PTO.]]=$B102,IF(DATOS_[Check Equiparado]="Sí",IF(DATOS_[Check Periodo Ref.]="Dentro",DATOS_[TOTAL Retrib Eq],FALSE))))),
0)</f>
        <v>0</v>
      </c>
    </row>
    <row r="104" spans="1:48" x14ac:dyDescent="0.25">
      <c r="A104" s="133" t="str">
        <f t="shared" ref="A104" si="122">+A103</f>
        <v>[ocultar]</v>
      </c>
      <c r="B104" s="202" t="s">
        <v>521</v>
      </c>
      <c r="C104" s="203">
        <f t="array" ref="C104">SUM(IF($B104=DATOS_[Sexo],
IF($B102=DATOS_[AGRUP. VALOR. PTO.],
IF("Dentro"=DATOS_[Check Periodo Ref.],
1/(COUNTIFS(DATOS_[Sexo],$B104,DATOS_[AGRUP. VALOR. PTO.],$B102,DATOS_[Check Periodo Ref.],"Dentro",DATOS_[id/cod],DATOS_[id/cod]))))))</f>
        <v>0</v>
      </c>
      <c r="D104" s="204">
        <f>COUNTIFS(DATOS_[AGRUP. VALOR. PTO.],$B102,DATOS_[Sexo],$B104,DATOS_[Check Periodo Ref.],"Dentro")</f>
        <v>0</v>
      </c>
      <c r="E104" s="204">
        <f>COUNTIFS(DATOS_[AGRUP. VALOR. PTO.],$B102,DATOS_[Sexo],$B104,DATOS_[Check Periodo Ref.],"Dentro",DATOS_[Check Nº SC Norm],"Sí")</f>
        <v>0</v>
      </c>
      <c r="F104" s="204">
        <f>COUNTIFS(DATOS_[AGRUP. VALOR. PTO.],$B102,DATOS_[Sexo],$B104,DATOS_[Check Periodo Ref.],"Dentro",DATOS_[Check Nº SC Anualiz],"Sí")</f>
        <v>0</v>
      </c>
      <c r="G104" s="204">
        <f>COUNTIFS(DATOS_[AGRUP. VALOR. PTO.],$B102,DATOS_[Sexo],$B104,DATOS_[Check Periodo Ref.],"Dentro",DATOS_[Check Nº SC Norm y Anualiz],"Sí")</f>
        <v>0</v>
      </c>
      <c r="H104" s="204">
        <f>COUNTIFS(DATOS_[AGRUP. VALOR. PTO.],$B102,DATOS_[Sexo],$B104,DATOS_[Check Periodo Ref.],"Dentro",DATOS_[Check Equiparación],"Sí")</f>
        <v>0</v>
      </c>
      <c r="I104" s="195" cm="1">
        <f t="array" ref="I104">IFERROR(
MEDIAN(IF(DATOS_[Sexo]=$B104,IF(DATOS_[[AGRUP. VALOR. PTO.]:[AGRUP. VALOR. PTO.]]=$B102,IF(DATOS_[Check Equiparado]="Sí",IF(DATOS_[Check Periodo Ref.]="Dentro",DATOS_[SALARIO BASE Eq],FALSE))))),
0)</f>
        <v>0</v>
      </c>
      <c r="J104" s="196">
        <f t="array" ref="J104">IFERROR(
(MEDIAN((IF(DATOS_[[Sexo]:[Sexo]]=$B104,IF(DATOS_[[AGRUP. VALOR. PTO.]:[AGRUP. VALOR. PTO.]]=$B102,IF(DATOS_[[Check Periodo Ref.]:[Check Periodo Ref.]]="Dentro",IF(DATOS_[[Check Equiparado]:[Check Equiparado]]="Sí",IF(DATOS!AE$5="Sí",(1/DATOS_[[% anualiz]:[% anualiz]]),1)*IF(DATOS!AE$4="Sí",1/DATOS_[[% normaliz]:[% normaliz]],1)*(DATOS_[Conc.Sal.01])))))))),
0)</f>
        <v>0</v>
      </c>
      <c r="K104" s="196">
        <f t="array" ref="K104">IFERROR(
(MEDIAN((IF(DATOS_[[Sexo]:[Sexo]]=$B104,IF(DATOS_[[AGRUP. VALOR. PTO.]:[AGRUP. VALOR. PTO.]]=$B102,IF(DATOS_[[Check Periodo Ref.]:[Check Periodo Ref.]]="Dentro",IF(DATOS_[[Check Equiparado]:[Check Equiparado]]="Sí",IF(DATOS!AF$5="Sí",(1/DATOS_[[% anualiz]:[% anualiz]]),1)*IF(DATOS!AF$4="Sí",1/DATOS_[[% normaliz]:[% normaliz]],1)*(DATOS_[Conc.Sal.02])))))))),
0)</f>
        <v>0</v>
      </c>
      <c r="L104" s="196">
        <f t="array" ref="L104">IFERROR(
(MEDIAN((IF(DATOS_[[Sexo]:[Sexo]]=$B104,IF(DATOS_[[AGRUP. VALOR. PTO.]:[AGRUP. VALOR. PTO.]]=$B102,IF(DATOS_[[Check Periodo Ref.]:[Check Periodo Ref.]]="Dentro",IF(DATOS_[[Check Equiparado]:[Check Equiparado]]="Sí",IF(DATOS!AG$5="Sí",(1/DATOS_[[% anualiz]:[% anualiz]]),1)*IF(DATOS!AG$4="Sí",1/DATOS_[[% normaliz]:[% normaliz]],1)*(DATOS_[Conc.Sal.03])))))))),
0)</f>
        <v>0</v>
      </c>
      <c r="M104" s="196">
        <f t="array" ref="M104">IFERROR(
(MEDIAN((IF(DATOS_[[Sexo]:[Sexo]]=$B104,IF(DATOS_[[AGRUP. VALOR. PTO.]:[AGRUP. VALOR. PTO.]]=$B102,IF(DATOS_[[Check Periodo Ref.]:[Check Periodo Ref.]]="Dentro",IF(DATOS_[[Check Equiparado]:[Check Equiparado]]="Sí",IF(DATOS!AH$5="Sí",(1/DATOS_[[% anualiz]:[% anualiz]]),1)*IF(DATOS!AH$4="Sí",1/DATOS_[[% normaliz]:[% normaliz]],1)*(DATOS_[Conc.Sal.04])))))))),
0)</f>
        <v>0</v>
      </c>
      <c r="N104" s="196">
        <f t="array" ref="N104">IFERROR(
(MEDIAN((IF(DATOS_[[Sexo]:[Sexo]]=$B104,IF(DATOS_[[AGRUP. VALOR. PTO.]:[AGRUP. VALOR. PTO.]]=$B102,IF(DATOS_[[Check Periodo Ref.]:[Check Periodo Ref.]]="Dentro",IF(DATOS_[[Check Equiparado]:[Check Equiparado]]="Sí",IF(DATOS!AI$5="Sí",(1/DATOS_[[% anualiz]:[% anualiz]]),1)*IF(DATOS!AI$4="Sí",1/DATOS_[[% normaliz]:[% normaliz]],1)*(DATOS_[Conc.Sal.05])))))))),
0)</f>
        <v>0</v>
      </c>
      <c r="O104" s="196">
        <f t="array" ref="O104">IFERROR(
(MEDIAN((IF(DATOS_[[Sexo]:[Sexo]]=$B104,IF(DATOS_[[AGRUP. VALOR. PTO.]:[AGRUP. VALOR. PTO.]]=$B102,IF(DATOS_[[Check Periodo Ref.]:[Check Periodo Ref.]]="Dentro",IF(DATOS_[[Check Equiparado]:[Check Equiparado]]="Sí",IF(DATOS!AJ$5="Sí",(1/DATOS_[[% anualiz]:[% anualiz]]),1)*IF(DATOS!AJ$4="Sí",1/DATOS_[[% normaliz]:[% normaliz]],1)*(DATOS_[Conc.Sal.06])))))))),
0)</f>
        <v>0</v>
      </c>
      <c r="P104" s="196">
        <f t="array" ref="P104">IFERROR(
(MEDIAN((IF(DATOS_[[Sexo]:[Sexo]]=$B104,IF(DATOS_[[AGRUP. VALOR. PTO.]:[AGRUP. VALOR. PTO.]]=$B102,IF(DATOS_[[Check Periodo Ref.]:[Check Periodo Ref.]]="Dentro",IF(DATOS_[[Check Equiparado]:[Check Equiparado]]="Sí",IF(DATOS!AK$5="Sí",(1/DATOS_[[% anualiz]:[% anualiz]]),1)*IF(DATOS!AK$4="Sí",1/DATOS_[[% normaliz]:[% normaliz]],1)*(DATOS_[Conc.Sal.07])))))))),
0)</f>
        <v>0</v>
      </c>
      <c r="Q104" s="196">
        <f t="array" ref="Q104">IFERROR(
(MEDIAN((IF(DATOS_[[Sexo]:[Sexo]]=$B104,IF(DATOS_[[AGRUP. VALOR. PTO.]:[AGRUP. VALOR. PTO.]]=$B102,IF(DATOS_[[Check Periodo Ref.]:[Check Periodo Ref.]]="Dentro",IF(DATOS_[[Check Equiparado]:[Check Equiparado]]="Sí",IF(DATOS!AL$5="Sí",(1/DATOS_[[% anualiz]:[% anualiz]]),1)*IF(DATOS!AL$4="Sí",1/DATOS_[[% normaliz]:[% normaliz]],1)*(DATOS_[Conc.Sal.08])))))))),
0)</f>
        <v>0</v>
      </c>
      <c r="R104" s="196">
        <f t="array" ref="R104">IFERROR(
(MEDIAN((IF(DATOS_[[Sexo]:[Sexo]]=$B104,IF(DATOS_[[AGRUP. VALOR. PTO.]:[AGRUP. VALOR. PTO.]]=$B102,IF(DATOS_[[Check Periodo Ref.]:[Check Periodo Ref.]]="Dentro",IF(DATOS_[[Check Equiparado]:[Check Equiparado]]="Sí",IF(DATOS!AM$5="Sí",(1/DATOS_[[% anualiz]:[% anualiz]]),1)*IF(DATOS!AM$4="Sí",1/DATOS_[[% normaliz]:[% normaliz]],1)*(DATOS_[Conc.Sal.09])))))))),
0)</f>
        <v>0</v>
      </c>
      <c r="S104" s="196">
        <f t="array" ref="S104">IFERROR(
(MEDIAN((IF(DATOS_[[Sexo]:[Sexo]]=$B104,IF(DATOS_[[AGRUP. VALOR. PTO.]:[AGRUP. VALOR. PTO.]]=$B102,IF(DATOS_[[Check Periodo Ref.]:[Check Periodo Ref.]]="Dentro",IF(DATOS_[[Check Equiparado]:[Check Equiparado]]="Sí",IF(DATOS!AN$5="Sí",(1/DATOS_[[% anualiz]:[% anualiz]]),1)*IF(DATOS!AN$4="Sí",1/DATOS_[[% normaliz]:[% normaliz]],1)*(DATOS_[Conc.Sal.10])))))))),
0)</f>
        <v>0</v>
      </c>
      <c r="T104" s="196">
        <f t="array" ref="T104">IFERROR(
(MEDIAN((IF(DATOS_[[Sexo]:[Sexo]]=$B104,IF(DATOS_[[AGRUP. VALOR. PTO.]:[AGRUP. VALOR. PTO.]]=$B102,IF(DATOS_[[Check Periodo Ref.]:[Check Periodo Ref.]]="Dentro",IF(DATOS_[[Check Equiparado]:[Check Equiparado]]="Sí",IF(DATOS!AO$5="Sí",(1/DATOS_[[% anualiz]:[% anualiz]]),1)*IF(DATOS!AO$4="Sí",1/DATOS_[[% normaliz]:[% normaliz]],1)*(DATOS_[Conc.Sal.11])))))))),
0)</f>
        <v>0</v>
      </c>
      <c r="U104" s="196">
        <f t="array" ref="U104">IFERROR(
(MEDIAN((IF(DATOS_[[Sexo]:[Sexo]]=$B104,IF(DATOS_[[AGRUP. VALOR. PTO.]:[AGRUP. VALOR. PTO.]]=$B102,IF(DATOS_[[Check Periodo Ref.]:[Check Periodo Ref.]]="Dentro",IF(DATOS_[[Check Equiparado]:[Check Equiparado]]="Sí",IF(DATOS!AP$5="Sí",(1/DATOS_[[% anualiz]:[% anualiz]]),1)*IF(DATOS!AP$4="Sí",1/DATOS_[[% normaliz]:[% normaliz]],1)*(DATOS_[Conc.Sal.12])))))))),
0)</f>
        <v>0</v>
      </c>
      <c r="V104" s="196">
        <f t="array" ref="V104">IFERROR(
(MEDIAN((IF(DATOS_[[Sexo]:[Sexo]]=$B104,IF(DATOS_[[AGRUP. VALOR. PTO.]:[AGRUP. VALOR. PTO.]]=$B102,IF(DATOS_[[Check Periodo Ref.]:[Check Periodo Ref.]]="Dentro",IF(DATOS_[[Check Equiparado]:[Check Equiparado]]="Sí",IF(DATOS!AQ$5="Sí",(1/DATOS_[[% anualiz]:[% anualiz]]),1)*IF(DATOS!AQ$4="Sí",1/DATOS_[[% normaliz]:[% normaliz]],1)*(DATOS_[Conc.Sal.13])))))))),
0)</f>
        <v>0</v>
      </c>
      <c r="W104" s="196">
        <f t="array" ref="W104">IFERROR(
(MEDIAN((IF(DATOS_[[Sexo]:[Sexo]]=$B104,IF(DATOS_[[AGRUP. VALOR. PTO.]:[AGRUP. VALOR. PTO.]]=$B102,IF(DATOS_[[Check Periodo Ref.]:[Check Periodo Ref.]]="Dentro",IF(DATOS_[[Check Equiparado]:[Check Equiparado]]="Sí",IF(DATOS!AR$5="Sí",(1/DATOS_[[% anualiz]:[% anualiz]]),1)*IF(DATOS!AR$4="Sí",1/DATOS_[[% normaliz]:[% normaliz]],1)*(DATOS_[Conc.Sal.14])))))))),
0)</f>
        <v>0</v>
      </c>
      <c r="X104" s="196">
        <f t="array" ref="X104">IFERROR(
(MEDIAN((IF(DATOS_[[Sexo]:[Sexo]]=$B104,IF(DATOS_[[AGRUP. VALOR. PTO.]:[AGRUP. VALOR. PTO.]]=$B102,IF(DATOS_[[Check Periodo Ref.]:[Check Periodo Ref.]]="Dentro",IF(DATOS_[[Check Equiparado]:[Check Equiparado]]="Sí",IF(DATOS!AS$5="Sí",(1/DATOS_[[% anualiz]:[% anualiz]]),1)*IF(DATOS!AS$4="Sí",1/DATOS_[[% normaliz]:[% normaliz]],1)*(DATOS_[Conc.Sal.15])))))))),
0)</f>
        <v>0</v>
      </c>
      <c r="Y104" s="196">
        <f t="array" ref="Y104">IFERROR(
(MEDIAN((IF(DATOS_[[Sexo]:[Sexo]]=$B104,IF(DATOS_[[AGRUP. VALOR. PTO.]:[AGRUP. VALOR. PTO.]]=$B102,IF(DATOS_[[Check Periodo Ref.]:[Check Periodo Ref.]]="Dentro",IF(DATOS_[[Check Equiparado]:[Check Equiparado]]="Sí",IF(DATOS!AT$5="Sí",(1/DATOS_[[% anualiz]:[% anualiz]]),1)*IF(DATOS!AT$4="Sí",1/DATOS_[[% normaliz]:[% normaliz]],1)*(DATOS_[Conc.Sal.16])))))))),
0)</f>
        <v>0</v>
      </c>
      <c r="Z104" s="196">
        <f t="array" ref="Z104">IFERROR(
(MEDIAN((IF(DATOS_[[Sexo]:[Sexo]]=$B104,IF(DATOS_[[AGRUP. VALOR. PTO.]:[AGRUP. VALOR. PTO.]]=$B102,IF(DATOS_[[Check Periodo Ref.]:[Check Periodo Ref.]]="Dentro",IF(DATOS_[[Check Equiparado]:[Check Equiparado]]="Sí",IF(DATOS!AU$5="Sí",(1/DATOS_[[% anualiz]:[% anualiz]]),1)*IF(DATOS!AU$4="Sí",1/DATOS_[[% normaliz]:[% normaliz]],1)*(DATOS_[Conc.Sal.17])))))))),
0)</f>
        <v>0</v>
      </c>
      <c r="AA104" s="196">
        <f t="array" ref="AA104">IFERROR(
(MEDIAN((IF(DATOS_[[Sexo]:[Sexo]]=$B104,IF(DATOS_[[AGRUP. VALOR. PTO.]:[AGRUP. VALOR. PTO.]]=$B102,IF(DATOS_[[Check Periodo Ref.]:[Check Periodo Ref.]]="Dentro",IF(DATOS_[[Check Equiparado]:[Check Equiparado]]="Sí",IF(DATOS!AV$5="Sí",(1/DATOS_[[% anualiz]:[% anualiz]]),1)*IF(DATOS!AV$4="Sí",1/DATOS_[[% normaliz]:[% normaliz]],1)*(DATOS_[Conc.Sal.18])))))))),
0)</f>
        <v>0</v>
      </c>
      <c r="AB104" s="196">
        <f t="array" ref="AB104">IFERROR(
(MEDIAN((IF(DATOS_[[Sexo]:[Sexo]]=$B104,IF(DATOS_[[AGRUP. VALOR. PTO.]:[AGRUP. VALOR. PTO.]]=$B102,IF(DATOS_[[Check Periodo Ref.]:[Check Periodo Ref.]]="Dentro",IF(DATOS_[[Check Equiparado]:[Check Equiparado]]="Sí",IF(DATOS!AW$5="Sí",(1/DATOS_[[% anualiz]:[% anualiz]]),1)*IF(DATOS!AW$4="Sí",1/DATOS_[[% normaliz]:[% normaliz]],1)*(DATOS_[Conc.Sal.19])))))))),
0)</f>
        <v>0</v>
      </c>
      <c r="AC104" s="196">
        <f t="array" ref="AC104">IFERROR(
(MEDIAN((IF(DATOS_[[Sexo]:[Sexo]]=$B104,IF(DATOS_[[AGRUP. VALOR. PTO.]:[AGRUP. VALOR. PTO.]]=$B102,IF(DATOS_[[Check Periodo Ref.]:[Check Periodo Ref.]]="Dentro",IF(DATOS_[[Check Equiparado]:[Check Equiparado]]="Sí",IF(DATOS!AX$5="Sí",(1/DATOS_[[% anualiz]:[% anualiz]]),1)*IF(DATOS!AX$4="Sí",1/DATOS_[[% normaliz]:[% normaliz]],1)*(DATOS_[Conc.Sal.20])))))))),
0)</f>
        <v>0</v>
      </c>
      <c r="AD104" s="196">
        <f t="array" ref="AD104">IFERROR(
(MEDIAN((IF(DATOS_[[Sexo]:[Sexo]]=$B104,IF(DATOS_[[AGRUP. VALOR. PTO.]:[AGRUP. VALOR. PTO.]]=$B102,IF(DATOS_[[Check Periodo Ref.]:[Check Periodo Ref.]]="Dentro",IF(DATOS_[[Check Equiparado]:[Check Equiparado]]="Sí",IF(DATOS!AY$5="Sí",(1/DATOS_[[% anualiz]:[% anualiz]]),1)*IF(DATOS!AY$4="Sí",1/DATOS_[[% normaliz]:[% normaliz]],1)*(DATOS_[Conc.Sal.21])))))))),
0)</f>
        <v>0</v>
      </c>
      <c r="AE104" s="196">
        <f t="array" ref="AE104">IFERROR(
(MEDIAN((IF(DATOS_[[Sexo]:[Sexo]]=$B104,IF(DATOS_[[AGRUP. VALOR. PTO.]:[AGRUP. VALOR. PTO.]]=$B102,IF(DATOS_[[Check Periodo Ref.]:[Check Periodo Ref.]]="Dentro",IF(DATOS_[[Check Equiparado]:[Check Equiparado]]="Sí",IF(DATOS!AZ$5="Sí",(1/DATOS_[[% anualiz]:[% anualiz]]),1)*IF(DATOS!AZ$4="Sí",1/DATOS_[[% normaliz]:[% normaliz]],1)*(DATOS_[Conc.Sal.22])))))))),
0)</f>
        <v>0</v>
      </c>
      <c r="AF104" s="196">
        <f t="array" ref="AF104">IFERROR(
(MEDIAN((IF(DATOS_[[Sexo]:[Sexo]]=$B104,IF(DATOS_[[AGRUP. VALOR. PTO.]:[AGRUP. VALOR. PTO.]]=$B102,IF(DATOS_[[Check Periodo Ref.]:[Check Periodo Ref.]]="Dentro",IF(DATOS_[[Check Equiparado]:[Check Equiparado]]="Sí",IF(DATOS!BA$5="Sí",(1/DATOS_[[% anualiz]:[% anualiz]]),1)*IF(DATOS!BA$4="Sí",1/DATOS_[[% normaliz]:[% normaliz]],1)*(DATOS_[Conc.Sal.23])))))))),
0)</f>
        <v>0</v>
      </c>
      <c r="AG104" s="196">
        <f t="array" ref="AG104">IFERROR(
(MEDIAN((IF(DATOS_[[Sexo]:[Sexo]]=$B104,IF(DATOS_[[AGRUP. VALOR. PTO.]:[AGRUP. VALOR. PTO.]]=$B102,IF(DATOS_[[Check Periodo Ref.]:[Check Periodo Ref.]]="Dentro",IF(DATOS_[[Check Equiparado]:[Check Equiparado]]="Sí",IF(DATOS!BB$5="Sí",(1/DATOS_[[% anualiz]:[% anualiz]]),1)*IF(DATOS!BB$4="Sí",1/DATOS_[[% normaliz]:[% normaliz]],1)*(DATOS_[Conc.Sal.24])))))))),
0)</f>
        <v>0</v>
      </c>
      <c r="AH104" s="196">
        <f t="array" ref="AH104">IFERROR(
(MEDIAN((IF(DATOS_[[Sexo]:[Sexo]]=$B104,IF(DATOS_[[AGRUP. VALOR. PTO.]:[AGRUP. VALOR. PTO.]]=$B102,IF(DATOS_[[Check Periodo Ref.]:[Check Periodo Ref.]]="Dentro",IF(DATOS_[[Check Equiparado]:[Check Equiparado]]="Sí",IF(DATOS!BC$5="Sí",(1/DATOS_[[% anualiz]:[% anualiz]]),1)*IF(DATOS!BC$4="Sí",1/DATOS_[[% normaliz]:[% normaliz]],1)*(DATOS_[Conc.Sal.25])))))))),
0)</f>
        <v>0</v>
      </c>
      <c r="AI104" s="196">
        <f t="array" ref="AI104">IFERROR(
(MEDIAN((IF(DATOS_[[Sexo]:[Sexo]]=$B104,IF(DATOS_[[AGRUP. VALOR. PTO.]:[AGRUP. VALOR. PTO.]]=$B102,IF(DATOS_[[Check Periodo Ref.]:[Check Periodo Ref.]]="Dentro",IF(DATOS_[[Check Equiparado]:[Check Equiparado]]="Sí",IF(DATOS!BD$5="Sí",(1/DATOS_[[% anualiz]:[% anualiz]]),1)*IF(DATOS!BD$4="Sí",1/DATOS_[[% normaliz]:[% normaliz]],1)*(DATOS_[Conc.Sal.26])))))))),
0)</f>
        <v>0</v>
      </c>
      <c r="AJ104" s="196">
        <f t="array" ref="AJ104">IFERROR(
(MEDIAN((IF(DATOS_[[Sexo]:[Sexo]]=$B104,IF(DATOS_[[AGRUP. VALOR. PTO.]:[AGRUP. VALOR. PTO.]]=$B102,IF(DATOS_[[Check Periodo Ref.]:[Check Periodo Ref.]]="Dentro",IF(DATOS_[[Check Equiparado]:[Check Equiparado]]="Sí",IF(DATOS!BE$5="Sí",(1/DATOS_[[% anualiz]:[% anualiz]]),1)*IF(DATOS!BE$4="Sí",1/DATOS_[[% normaliz]:[% normaliz]],1)*(DATOS_[Conc.Sal.27])))))))),
0)</f>
        <v>0</v>
      </c>
      <c r="AK104" s="196">
        <f t="array" ref="AK104">IFERROR(
(MEDIAN((IF(DATOS_[[Sexo]:[Sexo]]=$B104,IF(DATOS_[[AGRUP. VALOR. PTO.]:[AGRUP. VALOR. PTO.]]=$B102,IF(DATOS_[[Check Periodo Ref.]:[Check Periodo Ref.]]="Dentro",IF(DATOS_[[Check Equiparado]:[Check Equiparado]]="Sí",IF(DATOS!BF$5="Sí",(1/DATOS_[[% anualiz]:[% anualiz]]),1)*IF(DATOS!BF$4="Sí",1/DATOS_[[% normaliz]:[% normaliz]],1)*(DATOS_[Conc.Sal.28])))))))),
0)</f>
        <v>0</v>
      </c>
      <c r="AL104" s="196">
        <f t="array" ref="AL104">IFERROR(
(MEDIAN((IF(DATOS_[[Sexo]:[Sexo]]=$B104,IF(DATOS_[[AGRUP. VALOR. PTO.]:[AGRUP. VALOR. PTO.]]=$B102,IF(DATOS_[[Check Periodo Ref.]:[Check Periodo Ref.]]="Dentro",IF(DATOS_[[Check Equiparado]:[Check Equiparado]]="Sí",IF(DATOS!BG$5="Sí",(1/DATOS_[[% anualiz]:[% anualiz]]),1)*IF(DATOS!BG$4="Sí",1/DATOS_[[% normaliz]:[% normaliz]],1)*(DATOS_[Conc.Sal.29])))))))),
0)</f>
        <v>0</v>
      </c>
      <c r="AM104" s="196">
        <f t="array" ref="AM104">IFERROR(
(MEDIAN((IF(DATOS_[[Sexo]:[Sexo]]=$B104,IF(DATOS_[[AGRUP. VALOR. PTO.]:[AGRUP. VALOR. PTO.]]=$B102,IF(DATOS_[[Check Periodo Ref.]:[Check Periodo Ref.]]="Dentro",IF(DATOS_[[Check Equiparado]:[Check Equiparado]]="Sí",IF(DATOS!BH$5="Sí",(1/DATOS_[[% anualiz]:[% anualiz]]),1)*IF(DATOS!BH$4="Sí",1/DATOS_[[% normaliz]:[% normaliz]],1)*(DATOS_[Conc.Sal.30])))))))),
0)</f>
        <v>0</v>
      </c>
      <c r="AN104" s="195">
        <f t="array" ref="AN104">IFERROR(
MEDIAN(IF(DATOS_[Sexo]=$B104,IF(DATOS_[[AGRUP. VALOR. PTO.]:[AGRUP. VALOR. PTO.]]=$B102,IF(DATOS_[Check Equiparado]="Sí",IF(DATOS_[Check Periodo Ref.]="Dentro",DATOS_[Tot COMPL.SAL Eq],FALSE))))),
0)</f>
        <v>0</v>
      </c>
      <c r="AO104" s="172">
        <f t="array" ref="AO104">IFERROR(
MEDIAN(IF(DATOS_[Sexo]=$B104,IF(DATOS_[[AGRUP. VALOR. PTO.]:[AGRUP. VALOR. PTO.]]=$B102,IF(DATOS_[Check Equiparado]="Sí",IF(DATOS_[Check Periodo Ref.]="Dentro",DATOS_[TOTAL SALARIO Eq],FALSE))))),
0)</f>
        <v>0</v>
      </c>
      <c r="AP104" s="173">
        <f t="array" ref="AP104">IFERROR(
(MEDIAN((IF(DATOS_[[Sexo]:[Sexo]]=$B104,IF(DATOS_[[AGRUP. VALOR. PTO.]:[AGRUP. VALOR. PTO.]]=$B103,IF(DATOS_[[Check Periodo Ref.]:[Check Periodo Ref.]]="Dentro",IF(DATOS_[[Check Equiparado]:[Check Equiparado]]="Sí",IF(DATOS!BW$5="Sí",(1/DATOS_[[% anualiz]:[% anualiz]]),1)*IF(DATOS!BW$4="Sí",1/DATOS_[[% normaliz]:[% normaliz]],1)*(DATOS_[C.Extra.01])))))))),
0)</f>
        <v>0</v>
      </c>
      <c r="AQ104" s="173">
        <f t="array" ref="AQ104">IFERROR(
(MEDIAN((IF(DATOS_[[Sexo]:[Sexo]]=$B104,IF(DATOS_[[AGRUP. VALOR. PTO.]:[AGRUP. VALOR. PTO.]]=$B103,IF(DATOS_[[Check Periodo Ref.]:[Check Periodo Ref.]]="Dentro",IF(DATOS_[[Check Equiparado]:[Check Equiparado]]="Sí",IF(DATOS!CB$5="Sí",(1/DATOS_[[% anualiz]:[% anualiz]]),1)*IF(DATOS!CB$4="Sí",1/DATOS_[[% normaliz]:[% normaliz]],1)*(DATOS_[C.Extra.06])))))))),
0)</f>
        <v>0</v>
      </c>
      <c r="AR104" s="173">
        <f t="array" ref="AR104">IFERROR(
(MEDIAN((IF(DATOS_[[Sexo]:[Sexo]]=$B104,IF(DATOS_[[AGRUP. VALOR. PTO.]:[AGRUP. VALOR. PTO.]]=$B103,IF(DATOS_[[Check Periodo Ref.]:[Check Periodo Ref.]]="Dentro",IF(DATOS_[[Check Equiparado]:[Check Equiparado]]="Sí",IF(DATOS!CC$5="Sí",(1/DATOS_[[% anualiz]:[% anualiz]]),1)*IF(DATOS!CC$4="Sí",1/DATOS_[[% normaliz]:[% normaliz]],1)*(DATOS_[C.Extra.07])))))))),
0)</f>
        <v>0</v>
      </c>
      <c r="AS104" s="173">
        <f t="array" ref="AS104">IFERROR(
(MEDIAN((IF(DATOS_[[Sexo]:[Sexo]]=$B104,IF(DATOS_[[AGRUP. VALOR. PTO.]:[AGRUP. VALOR. PTO.]]=$B103,IF(DATOS_[[Check Periodo Ref.]:[Check Periodo Ref.]]="Dentro",IF(DATOS_[[Check Equiparado]:[Check Equiparado]]="Sí",IF(DATOS!CD$5="Sí",(1/DATOS_[[% anualiz]:[% anualiz]]),1)*IF(DATOS!CD$4="Sí",1/DATOS_[[% normaliz]:[% normaliz]],1)*(DATOS_[C.Extra.08])))))))),
0)</f>
        <v>0</v>
      </c>
      <c r="AT104" s="173">
        <f t="array" ref="AT104">IFERROR(
(MEDIAN((IF(DATOS_[[Sexo]:[Sexo]]=$B104,IF(DATOS_[[AGRUP. VALOR. PTO.]:[AGRUP. VALOR. PTO.]]=$B103,IF(DATOS_[[Check Periodo Ref.]:[Check Periodo Ref.]]="Dentro",IF(DATOS_[[Check Equiparado]:[Check Equiparado]]="Sí",IF(DATOS!CG$5="Sí",(1/DATOS_[[% anualiz]:[% anualiz]]),1)*IF(DATOS!CG$4="Sí",1/DATOS_[[% normaliz]:[% normaliz]],1)*(DATOS_[C.Extra.11])))))))),
0)</f>
        <v>0</v>
      </c>
      <c r="AU104" s="197">
        <f t="array" ref="AU104">IFERROR(
MEDIAN(IF(DATOS_[Sexo]=$B104,IF(DATOS_[[AGRUP. VALOR. PTO.]:[AGRUP. VALOR. PTO.]]=$B102,IF(DATOS_[Check Equiparado]="Sí",IF(DATOS_[Check Periodo Ref.]="Dentro",DATOS_[Tot Extrasalarial Eq],FALSE))))),
0)</f>
        <v>0</v>
      </c>
      <c r="AV104" s="175">
        <f t="array" ref="AV104">IFERROR(
MEDIAN(IF(DATOS_[Sexo]=$B104,IF(DATOS_[[AGRUP. VALOR. PTO.]:[AGRUP. VALOR. PTO.]]=$B102,IF(DATOS_[Check Equiparado]="Sí",IF(DATOS_[Check Periodo Ref.]="Dentro",DATOS_[TOTAL Retrib Eq],FALSE))))),
0)</f>
        <v>0</v>
      </c>
    </row>
    <row r="105" spans="1:48" ht="25.65" customHeight="1" x14ac:dyDescent="0.25">
      <c r="B105" s="208"/>
      <c r="C105" s="209"/>
      <c r="D105" s="210"/>
      <c r="E105" s="210"/>
      <c r="F105" s="210"/>
      <c r="G105" s="210"/>
      <c r="H105" s="210"/>
    </row>
    <row r="106" spans="1:48" x14ac:dyDescent="0.25">
      <c r="B106" s="202"/>
      <c r="C106" s="203"/>
      <c r="D106" s="204"/>
      <c r="E106" s="204"/>
      <c r="F106" s="204"/>
      <c r="G106" s="204"/>
      <c r="H106" s="204"/>
    </row>
    <row r="107" spans="1:48" x14ac:dyDescent="0.25">
      <c r="B107" s="202"/>
      <c r="C107" s="203"/>
      <c r="D107" s="204"/>
      <c r="E107" s="204"/>
      <c r="F107" s="204"/>
      <c r="G107" s="204"/>
      <c r="H107" s="204"/>
    </row>
    <row r="108" spans="1:48" x14ac:dyDescent="0.25">
      <c r="B108" s="208"/>
      <c r="C108" s="209"/>
      <c r="D108" s="210"/>
      <c r="E108" s="210"/>
      <c r="F108" s="210"/>
      <c r="G108" s="210"/>
      <c r="H108" s="210"/>
    </row>
    <row r="109" spans="1:48" x14ac:dyDescent="0.25">
      <c r="B109" s="202"/>
      <c r="C109" s="203"/>
      <c r="D109" s="204"/>
      <c r="E109" s="204"/>
      <c r="F109" s="204"/>
      <c r="G109" s="204"/>
      <c r="H109" s="204"/>
    </row>
    <row r="110" spans="1:48" x14ac:dyDescent="0.25">
      <c r="B110" s="202"/>
      <c r="C110" s="203"/>
      <c r="D110" s="204"/>
      <c r="E110" s="204"/>
      <c r="F110" s="204"/>
      <c r="G110" s="204"/>
      <c r="H110" s="204"/>
    </row>
    <row r="111" spans="1:48" x14ac:dyDescent="0.25">
      <c r="B111" s="208"/>
      <c r="C111" s="209"/>
      <c r="D111" s="210"/>
      <c r="E111" s="210"/>
      <c r="F111" s="210"/>
      <c r="G111" s="210"/>
      <c r="H111" s="210"/>
    </row>
    <row r="112" spans="1:48" x14ac:dyDescent="0.25">
      <c r="B112" s="202"/>
      <c r="C112" s="203"/>
      <c r="D112" s="204"/>
      <c r="E112" s="204"/>
      <c r="F112" s="204"/>
      <c r="G112" s="204"/>
      <c r="H112" s="204"/>
    </row>
    <row r="113" spans="2:8" x14ac:dyDescent="0.25">
      <c r="B113" s="202"/>
      <c r="C113" s="203"/>
      <c r="D113" s="204"/>
      <c r="E113" s="204"/>
      <c r="F113" s="204"/>
      <c r="G113" s="204"/>
      <c r="H113" s="204"/>
    </row>
    <row r="114" spans="2:8" x14ac:dyDescent="0.25">
      <c r="B114" s="208"/>
      <c r="C114" s="209"/>
      <c r="D114" s="210"/>
      <c r="E114" s="210"/>
      <c r="F114" s="210"/>
      <c r="G114" s="210"/>
      <c r="H114" s="210"/>
    </row>
    <row r="115" spans="2:8" x14ac:dyDescent="0.25">
      <c r="B115" s="202"/>
      <c r="C115" s="203"/>
      <c r="D115" s="204"/>
      <c r="E115" s="204"/>
      <c r="F115" s="204"/>
      <c r="G115" s="204"/>
      <c r="H115" s="204"/>
    </row>
    <row r="116" spans="2:8" x14ac:dyDescent="0.25">
      <c r="B116" s="202"/>
      <c r="C116" s="203"/>
      <c r="D116" s="204"/>
      <c r="E116" s="204"/>
      <c r="F116" s="204"/>
      <c r="G116" s="204"/>
      <c r="H116" s="204"/>
    </row>
  </sheetData>
  <dataConsolidate/>
  <pageMargins left="0.25" right="0.25" top="0.75" bottom="0.75" header="0.3" footer="0.3"/>
  <pageSetup paperSize="9" scale="84"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11</vt:i4>
      </vt:variant>
    </vt:vector>
  </HeadingPairs>
  <TitlesOfParts>
    <vt:vector size="25" baseType="lpstr">
      <vt:lpstr>Inicio</vt:lpstr>
      <vt:lpstr>CAMPOS</vt:lpstr>
      <vt:lpstr>CONC.RETR</vt:lpstr>
      <vt:lpstr>DATOS</vt:lpstr>
      <vt:lpstr>AGRUPACIONES</vt:lpstr>
      <vt:lpstr>CONTRATOS</vt:lpstr>
      <vt:lpstr>1.1.a.Efect.Prom</vt:lpstr>
      <vt:lpstr>1.2.a.Efect.Mediana</vt:lpstr>
      <vt:lpstr>2.1.a.Equip.Prom</vt:lpstr>
      <vt:lpstr>2.2.a.Equip.Mediana</vt:lpstr>
      <vt:lpstr>1.1.b.Efect.Prom</vt:lpstr>
      <vt:lpstr>1.2.b.Efect.Mediana</vt:lpstr>
      <vt:lpstr>2.1.b.Equip.Prom</vt:lpstr>
      <vt:lpstr>2.2.b.Equip.Mediana</vt:lpstr>
      <vt:lpstr>CAMPOS!_Hlk61886961</vt:lpstr>
      <vt:lpstr>_TIPO</vt:lpstr>
      <vt:lpstr>AGR_CL_EMP</vt:lpstr>
      <vt:lpstr>AGR_VAL_PTO</vt:lpstr>
      <vt:lpstr>CONTRATOS!Área_de_impresión</vt:lpstr>
      <vt:lpstr>DATOS</vt:lpstr>
      <vt:lpstr>rngAnualizable</vt:lpstr>
      <vt:lpstr>rngNombre</vt:lpstr>
      <vt:lpstr>rngNormalizable</vt:lpstr>
      <vt:lpstr>RngTipo</vt:lpstr>
      <vt:lpstr>CONTRATOS!TblRngEdad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Fernández</dc:creator>
  <cp:keywords/>
  <dc:description/>
  <cp:lastModifiedBy>Equipo de cuentas de Microsoft</cp:lastModifiedBy>
  <cp:revision/>
  <dcterms:created xsi:type="dcterms:W3CDTF">2015-06-05T18:19:34Z</dcterms:created>
  <dcterms:modified xsi:type="dcterms:W3CDTF">2025-11-25T12:47:32Z</dcterms:modified>
  <cp:category/>
  <cp:contentStatus/>
</cp:coreProperties>
</file>